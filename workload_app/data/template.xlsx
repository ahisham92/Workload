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mitwally\Downloads\"/>
    </mc:Choice>
  </mc:AlternateContent>
  <xr:revisionPtr revIDLastSave="0" documentId="13_ncr:1_{E720468C-B354-4673-8FA5-1583EEB5C0D5}" xr6:coauthVersionLast="47" xr6:coauthVersionMax="47" xr10:uidLastSave="{00000000-0000-0000-0000-000000000000}"/>
  <bookViews>
    <workbookView xWindow="-108" yWindow="-108" windowWidth="23256" windowHeight="13896" firstSheet="13" activeTab="17" xr2:uid="{C74CF887-9BAB-4729-84D7-30CEA6C4ED45}"/>
  </bookViews>
  <sheets>
    <sheet name="START HERE" sheetId="29" r:id="rId1"/>
    <sheet name="Definitions" sheetId="7" r:id="rId2"/>
    <sheet name="Dashboard" sheetId="6" r:id="rId3"/>
    <sheet name="Mgmt Review" sheetId="8" r:id="rId4"/>
    <sheet name="Engineer KPIs" sheetId="9" r:id="rId5"/>
    <sheet name="Team Member" sheetId="10" r:id="rId6"/>
    <sheet name="Scorecard" sheetId="11" r:id="rId7"/>
    <sheet name="Delivery Sequence" sheetId="19" r:id="rId8"/>
    <sheet name="Inputs" sheetId="3" r:id="rId9"/>
    <sheet name="Deliverables" sheetId="15" r:id="rId10"/>
    <sheet name="Profit Plan" sheetId="18" r:id="rId11"/>
    <sheet name="Support Plan" sheetId="25" r:id="rId12"/>
    <sheet name="Proposals" sheetId="24" r:id="rId13"/>
    <sheet name="Phasing" sheetId="4" r:id="rId14"/>
    <sheet name="Analysis" sheetId="5" r:id="rId15"/>
    <sheet name="Project Types" sheetId="13" r:id="rId16"/>
    <sheet name="Rules of Credit" sheetId="14" r:id="rId17"/>
    <sheet name="Work Calendar" sheetId="21" r:id="rId18"/>
    <sheet name="Deliverable Actuals" sheetId="23" r:id="rId19"/>
    <sheet name="Timesheet Daily" sheetId="22" r:id="rId20"/>
    <sheet name="Timesheet Raw" sheetId="20" r:id="rId21"/>
    <sheet name="TS Engineer 1" sheetId="26" r:id="rId22"/>
    <sheet name="TS Engineer 2" sheetId="27" r:id="rId23"/>
    <sheet name="TS Engineer 3" sheetId="28" r:id="rId24"/>
  </sheets>
  <definedNames>
    <definedName name="_xlnm._FilterDatabase" localSheetId="4" hidden="1">'Engineer KPIs'!$A$23:$F$64</definedName>
    <definedName name="_xlnm._FilterDatabase" localSheetId="5" hidden="1">'Team Member'!$A$31:$F$60</definedName>
    <definedName name="_xlnm.Print_Area" localSheetId="14">Analysis!$A$1:$Y$47</definedName>
    <definedName name="_xlnm.Print_Area" localSheetId="2">Dashboard!$A$1:$M$137</definedName>
    <definedName name="_xlnm.Print_Area" localSheetId="1">Definitions!$A$1:$F$35</definedName>
    <definedName name="_xlnm.Print_Area" localSheetId="4">'Engineer KPIs'!$A$1:$G$100</definedName>
    <definedName name="_xlnm.Print_Area" localSheetId="8">Inputs!$A$1:$U$94</definedName>
    <definedName name="_xlnm.Print_Area" localSheetId="3">'Mgmt Review'!$A$1:$J$40</definedName>
    <definedName name="_xlnm.Print_Area" localSheetId="6">Scorecard!$A$1:$F$59</definedName>
    <definedName name="_xlnm.Print_Area" localSheetId="5">'Team Member'!$A$1:$H$86</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Ahmed Mitwally</author>
  </authors>
  <commentList>
    <comment ref="B6" authorId="0" shapeId="0" xr:uid="{C6C139B1-42AC-49AD-9268-12A168290DA6}">
      <text>
        <r>
          <rPr>
            <b/>
            <sz val="9"/>
            <color indexed="81"/>
            <rFont val="Tahoma"/>
            <charset val="1"/>
          </rPr>
          <t>Ahmed Mitwally:</t>
        </r>
        <r>
          <rPr>
            <sz val="9"/>
            <color indexed="81"/>
            <rFont val="Tahoma"/>
            <charset val="1"/>
          </rPr>
          <t xml:space="preserve">
Quarter key used to match the quarter column headers on the Analysis and Phasing sheets.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Mitwally</author>
  </authors>
  <commentList>
    <comment ref="H5" authorId="0" shapeId="0" xr:uid="{CC02509B-71DF-4EE2-856D-778AA3063402}">
      <text>
        <r>
          <rPr>
            <b/>
            <sz val="9"/>
            <color indexed="81"/>
            <rFont val="Tahoma"/>
            <charset val="1"/>
          </rPr>
          <t>Ahmed Mitwally:</t>
        </r>
        <r>
          <rPr>
            <sz val="9"/>
            <color indexed="81"/>
            <rFont val="Tahoma"/>
            <charset val="1"/>
          </rPr>
          <t xml:space="preserve">
Optional. Enter a Cost at Completion here to override the calculated forecast for this project. Leave blank to let the model calculate it.</t>
        </r>
      </text>
    </comment>
    <comment ref="L5" authorId="0" shapeId="0" xr:uid="{D970A018-07F0-455F-AA0B-1E98F9EEFEC5}">
      <text>
        <r>
          <rPr>
            <b/>
            <sz val="9"/>
            <color indexed="81"/>
            <rFont val="Tahoma"/>
            <charset val="1"/>
          </rPr>
          <t>Ahmed Mitwally:</t>
        </r>
        <r>
          <rPr>
            <sz val="9"/>
            <color indexed="81"/>
            <rFont val="Tahoma"/>
            <charset val="1"/>
          </rPr>
          <t xml:space="preserve">
Must total 100% for any project with a budget. Turns red if it does not.</t>
        </r>
      </text>
    </comment>
    <comment ref="M5" authorId="0" shapeId="0" xr:uid="{86D4615B-8F05-4164-A40B-F7D7F4CC4EF7}">
      <text>
        <r>
          <rPr>
            <b/>
            <sz val="9"/>
            <color indexed="81"/>
            <rFont val="Tahoma"/>
            <charset val="1"/>
          </rPr>
          <t>Ahmed Mitwally:</t>
        </r>
        <r>
          <rPr>
            <sz val="9"/>
            <color indexed="81"/>
            <rFont val="Tahoma"/>
            <charset val="1"/>
          </rPr>
          <t xml:space="preserve">
1 = counts toward delivery capacity and in-hand workload. Active and Not Started are in scope.</t>
        </r>
      </text>
    </comment>
    <comment ref="R5" authorId="0" shapeId="0" xr:uid="{28FAEDF6-D937-47F7-A443-915A756BDD14}">
      <text>
        <r>
          <rPr>
            <b/>
            <sz val="9"/>
            <color indexed="81"/>
            <rFont val="Tahoma"/>
            <charset val="1"/>
          </rPr>
          <t>Ahmed Mitwally:</t>
        </r>
        <r>
          <rPr>
            <sz val="9"/>
            <color indexed="81"/>
            <rFont val="Tahoma"/>
            <charset val="1"/>
          </rPr>
          <t xml:space="preserve">
Cost at Completion less actual MM booked, floored at zero. This is the work genuinely still to do.</t>
        </r>
      </text>
    </comment>
    <comment ref="S5" authorId="0" shapeId="0" xr:uid="{31E4BE50-5C6E-4836-916C-C4F8F5891A2F}">
      <text>
        <r>
          <rPr>
            <b/>
            <sz val="9"/>
            <color indexed="81"/>
            <rFont val="Tahoma"/>
            <charset val="1"/>
          </rPr>
          <t>Ahmed Mitwally:</t>
        </r>
        <r>
          <rPr>
            <sz val="9"/>
            <color indexed="81"/>
            <rFont val="Tahoma"/>
            <charset val="1"/>
          </rPr>
          <t xml:space="preserve">
Budget x % Complete. The value delivered so far.</t>
        </r>
      </text>
    </comment>
    <comment ref="U5" authorId="0" shapeId="0" xr:uid="{EE726978-EC56-44A7-8D67-AE587AE70552}">
      <text>
        <r>
          <rPr>
            <b/>
            <sz val="9"/>
            <color indexed="81"/>
            <rFont val="Tahoma"/>
            <charset val="1"/>
          </rPr>
          <t>Ahmed Mitwally:</t>
        </r>
        <r>
          <rPr>
            <sz val="9"/>
            <color indexed="81"/>
            <rFont val="Tahoma"/>
            <charset val="1"/>
          </rPr>
          <t xml:space="preserve">
Earned MM divided by actual MM. Above 1.00 means more value delivered than time burned.</t>
        </r>
      </text>
    </comment>
    <comment ref="V5" authorId="0" shapeId="0" xr:uid="{11678B21-1005-4C1C-AC46-198DB16A57E4}">
      <text>
        <r>
          <rPr>
            <b/>
            <sz val="9"/>
            <color indexed="81"/>
            <rFont val="Tahoma"/>
            <charset val="1"/>
          </rPr>
          <t>Ahmed Mitwally:</t>
        </r>
        <r>
          <rPr>
            <sz val="9"/>
            <color indexed="81"/>
            <rFont val="Tahoma"/>
            <charset val="1"/>
          </rPr>
          <t xml:space="preserve">
Weighted-average portfolio weight of this project's deliverable types. Used for personal scoring only — never applied to project financials.</t>
        </r>
      </text>
    </comment>
    <comment ref="G6" authorId="0" shapeId="0" xr:uid="{73B582AC-1213-4152-BA31-5464A1072C0A}">
      <text>
        <r>
          <rPr>
            <b/>
            <sz val="9"/>
            <color indexed="81"/>
            <rFont val="Tahoma"/>
            <charset val="1"/>
          </rPr>
          <t>Ahmed Mitwally:</t>
        </r>
        <r>
          <rPr>
            <sz val="9"/>
            <color indexed="81"/>
            <rFont val="Tahoma"/>
            <charset val="1"/>
          </rPr>
          <t xml:space="preserve">
Driven by the Deliverables register (rules-of-credit progress). If a project has no deliverables logged, it falls back to the manual % in column O.</t>
        </r>
      </text>
    </comment>
    <comment ref="I6" authorId="0" shapeId="0" xr:uid="{B1E7750C-BFC1-4CED-9EEE-E910C804CB56}">
      <text>
        <r>
          <rPr>
            <b/>
            <sz val="9"/>
            <color indexed="81"/>
            <rFont val="Tahoma"/>
            <charset val="1"/>
          </rPr>
          <t>Ahmed Mitwally:</t>
        </r>
        <r>
          <rPr>
            <sz val="9"/>
            <color indexed="81"/>
            <rFont val="Tahoma"/>
            <charset val="1"/>
          </rPr>
          <t xml:space="preserve">
Driven by the Deliverables register: each person's share of the deliverables actually earned on this project. Falls back to the manual % in column W when no resource split has been entered.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Ahmed Mitwally</author>
  </authors>
  <commentList>
    <comment ref="B5" authorId="0" shapeId="0" xr:uid="{119FD15C-1D24-431F-B955-4D2F15C5571A}">
      <text>
        <r>
          <rPr>
            <b/>
            <sz val="9"/>
            <color indexed="81"/>
            <rFont val="Tahoma"/>
            <charset val="1"/>
          </rPr>
          <t>Ahmed Mitwally:</t>
        </r>
        <r>
          <rPr>
            <sz val="9"/>
            <color indexed="81"/>
            <rFont val="Tahoma"/>
            <charset val="1"/>
          </rPr>
          <t xml:space="preserve">
Agreed conversion for reporting hours. Change here and every hours figure on this sheet follows.</t>
        </r>
      </text>
    </comment>
    <comment ref="B13" authorId="0" shapeId="0" xr:uid="{6757DF23-3E4F-4910-8DB5-BC646E60301F}">
      <text>
        <r>
          <rPr>
            <b/>
            <sz val="9"/>
            <color indexed="81"/>
            <rFont val="Tahoma"/>
            <charset val="1"/>
          </rPr>
          <t>Ahmed Mitwally:</t>
        </r>
        <r>
          <rPr>
            <sz val="9"/>
            <color indexed="81"/>
            <rFont val="Tahoma"/>
            <charset val="1"/>
          </rPr>
          <t xml:space="preserve">
How many man-months it takes to earn one man-month of budget value. 1.00 = on budget. Raise it above 1.00 to plan pessimistically. Used only where you have not typed a deliverable-specific estimate.</t>
        </r>
      </text>
    </comment>
    <comment ref="B14" authorId="0" shapeId="0" xr:uid="{6CDD2DB8-929E-4EB1-B1B8-7B423987DD68}">
      <text>
        <r>
          <rPr>
            <b/>
            <sz val="9"/>
            <color indexed="81"/>
            <rFont val="Tahoma"/>
            <charset val="1"/>
          </rPr>
          <t>Ahmed Mitwally:</t>
        </r>
        <r>
          <rPr>
            <sz val="9"/>
            <color indexed="81"/>
            <rFont val="Tahoma"/>
            <charset val="1"/>
          </rPr>
          <t xml:space="preserve">
0.00 = break even for the year. Set a positive figure to plan for surplus.</t>
        </r>
      </text>
    </comment>
    <comment ref="B15" authorId="0" shapeId="0" xr:uid="{46CC8764-F3DD-4DB6-96D0-A12567DEFD5F}">
      <text>
        <r>
          <rPr>
            <b/>
            <sz val="9"/>
            <color indexed="81"/>
            <rFont val="Tahoma"/>
            <charset val="1"/>
          </rPr>
          <t>Ahmed Mitwally:</t>
        </r>
        <r>
          <rPr>
            <sz val="9"/>
            <color indexed="81"/>
            <rFont val="Tahoma"/>
            <charset val="1"/>
          </rPr>
          <t xml:space="preserve">
Floor on the assumed CPI. Stops a badly overrun project from demanding an absurd number of man-months to finish.</t>
        </r>
      </text>
    </comment>
    <comment ref="B16" authorId="0" shapeId="0" xr:uid="{264E4469-2C03-4451-A6AE-E6CD0A57CF84}">
      <text>
        <r>
          <rPr>
            <b/>
            <sz val="9"/>
            <color indexed="81"/>
            <rFont val="Tahoma"/>
            <charset val="1"/>
          </rPr>
          <t>Ahmed Mitwally:</t>
        </r>
        <r>
          <rPr>
            <sz val="9"/>
            <color indexed="81"/>
            <rFont val="Tahoma"/>
            <charset val="1"/>
          </rPr>
          <t xml:space="preserve">
Ceiling on the assumed CPI. The Definitions sheet warns that a CPI above about 2.00x usually means missing actuals rather than genuine efficiency, so the plan will not reward it.</t>
        </r>
      </text>
    </comment>
    <comment ref="K26" authorId="0" shapeId="0" xr:uid="{AC2B2053-6A1E-4BDD-B0DC-4DABE811DCD6}">
      <text>
        <r>
          <rPr>
            <b/>
            <sz val="9"/>
            <color indexed="81"/>
            <rFont val="Tahoma"/>
            <charset val="1"/>
          </rPr>
          <t>Ahmed Mitwally:</t>
        </r>
        <r>
          <rPr>
            <sz val="9"/>
            <color indexed="81"/>
            <rFont val="Tahoma"/>
            <charset val="1"/>
          </rPr>
          <t xml:space="preserve">
Type the hours you expect the deliverable still needs. This replaces the CPI-derived estimate and re-ranks the whole plan. Leave blank to let the CPI drive it. Hours are converted to man-months at the rate in B5.</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<sst xmlns="http://schemas.openxmlformats.org/spreadsheetml/2006/main" count="209176" uniqueCount="2738">
  <si>
    <t>Budget</t>
  </si>
  <si>
    <t>N25178-0100D</t>
  </si>
  <si>
    <t>N25185-0100D</t>
  </si>
  <si>
    <t>D26058-0100D</t>
  </si>
  <si>
    <t>Total</t>
  </si>
  <si>
    <t>Project</t>
  </si>
  <si>
    <t>E26084-0100D</t>
  </si>
  <si>
    <t>AN23276-0100D</t>
  </si>
  <si>
    <t>Metric</t>
  </si>
  <si>
    <t>Engineer</t>
  </si>
  <si>
    <t>Osama</t>
  </si>
  <si>
    <t>Kirolos</t>
  </si>
  <si>
    <t>Check</t>
  </si>
  <si>
    <t>Budget (MM)</t>
  </si>
  <si>
    <t>Over / (Under) capacity (MM)</t>
  </si>
  <si>
    <t>Utilisation vs capacity</t>
  </si>
  <si>
    <t>Profit / (Loss)</t>
  </si>
  <si>
    <t>Remaining</t>
  </si>
  <si>
    <t>Cost at Compl.</t>
  </si>
  <si>
    <t>AN22137-0100D</t>
  </si>
  <si>
    <t>Status</t>
  </si>
  <si>
    <t>Active</t>
  </si>
  <si>
    <t>Not Started</t>
  </si>
  <si>
    <t>In Scope</t>
  </si>
  <si>
    <t>Ahmed</t>
  </si>
  <si>
    <t>Proposal</t>
  </si>
  <si>
    <t>Projects</t>
  </si>
  <si>
    <t>In Scope?</t>
  </si>
  <si>
    <t>On Hold</t>
  </si>
  <si>
    <t>Finalized</t>
  </si>
  <si>
    <t>Cancelled</t>
  </si>
  <si>
    <t>WHAT IS ACTUALLY BEING WORKED — PORTFOLIO BY STATUS</t>
  </si>
  <si>
    <t>INPUTS — PROJECT REGISTER &amp; TEAM</t>
  </si>
  <si>
    <t>Blue cells are inputs. Add a project by filling the next blank row (up to row 24) — every downstream sheet picks it up automatically. All effort in Man-Months (MM).</t>
  </si>
  <si>
    <t>PROJECT REGISTER</t>
  </si>
  <si>
    <t>Code</t>
  </si>
  <si>
    <t>Project Name</t>
  </si>
  <si>
    <t>Start</t>
  </si>
  <si>
    <t>End</t>
  </si>
  <si>
    <t>% Complete</t>
  </si>
  <si>
    <t>CAC Override</t>
  </si>
  <si>
    <t>Ahmed %</t>
  </si>
  <si>
    <t>Osama %</t>
  </si>
  <si>
    <t>Kirolos %</t>
  </si>
  <si>
    <t>Notes</t>
  </si>
  <si>
    <t>TOTAL</t>
  </si>
  <si>
    <t>TEAM AVAILABILITY — % of time available for project delivery</t>
  </si>
  <si>
    <t>Months per quarter</t>
  </si>
  <si>
    <t>months — 1 engineer at 100% availability delivers 3.00 MM per quarter</t>
  </si>
  <si>
    <t>PHASING — PLANNED vs ACTUAL MM BY QUARTER</t>
  </si>
  <si>
    <t>Year</t>
  </si>
  <si>
    <t>Quarter</t>
  </si>
  <si>
    <t>Quarter start</t>
  </si>
  <si>
    <t>Quarter end</t>
  </si>
  <si>
    <t>Opening</t>
  </si>
  <si>
    <t>PLANNED MM — AUTO (straight-line across each project's start-to-end window)</t>
  </si>
  <si>
    <t>PLANNED MM — OVERRIDE (leave blank to use the auto spread; type a value to force a quarter)</t>
  </si>
  <si>
    <t>PLANNED MM — IN USE (override where entered, otherwise auto)</t>
  </si>
  <si>
    <t>TOTAL BOOKED</t>
  </si>
  <si>
    <t>CALCULATED — do not type here</t>
  </si>
  <si>
    <t>Actual MM</t>
  </si>
  <si>
    <t>Remaining on Hand</t>
  </si>
  <si>
    <t>Earned MM</t>
  </si>
  <si>
    <t>CPI</t>
  </si>
  <si>
    <t>ACTUAL MM BY PROJECT (rollup of the grid above)</t>
  </si>
  <si>
    <t>EARNED MM BY PROJECT (value delivered, spread in proportion to actual time booked)</t>
  </si>
  <si>
    <t>ACTUAL MM BY ENGINEER</t>
  </si>
  <si>
    <t>ANALYSIS — EFFICIENCY &amp; PROFITABILITY BY QUARTER AND YEAR</t>
  </si>
  <si>
    <t>IN-HAND — ACTIVE + NOT STARTED (what the team must actually deliver)</t>
  </si>
  <si>
    <t>Planned MM (in use)</t>
  </si>
  <si>
    <t>Actual MM booked</t>
  </si>
  <si>
    <t>Earned MM (value delivered)</t>
  </si>
  <si>
    <t>Profit / (Loss) in quarter</t>
  </si>
  <si>
    <t>Cumulative actual MM</t>
  </si>
  <si>
    <t>Cumulative earned MM</t>
  </si>
  <si>
    <t>Cumulative profit / (loss)</t>
  </si>
  <si>
    <t>OVERALL — ALL PROJECTS REGARDLESS OF STATUS</t>
  </si>
  <si>
    <t>TEAM CAPACITY, UTILISATION &amp; EFFICIENCY</t>
  </si>
  <si>
    <t>Capacity MM (availability x months)</t>
  </si>
  <si>
    <t>Plan adherence (actual vs planned)</t>
  </si>
  <si>
    <t>Efficiency — CPI (earned vs actual)</t>
  </si>
  <si>
    <t>Schedule — SPI (earned vs planned)</t>
  </si>
  <si>
    <t>ANNUAL SUMMARY — ALL PROJECTS</t>
  </si>
  <si>
    <t>Planned MM</t>
  </si>
  <si>
    <t>Profit / (Loss) in year</t>
  </si>
  <si>
    <t>Capacity MM</t>
  </si>
  <si>
    <t>Plan adherence</t>
  </si>
  <si>
    <t>Efficiency — CPI</t>
  </si>
  <si>
    <t>Profit / (Loss) in quarter measures value delivered against time burned in that period (Earned MM less Actual MM). It is a performance measure, not the forecast profit at completion — that sits on the Inputs sheet as Budget less Cost at Completion.</t>
  </si>
  <si>
    <t>PROJECT PORTFOLIO DASHBOARD</t>
  </si>
  <si>
    <t>Efficiency (CPI)</t>
  </si>
  <si>
    <t>% Compl.</t>
  </si>
  <si>
    <t>Share of team time booked</t>
  </si>
  <si>
    <t>Remaining on hand allocated (MM)</t>
  </si>
  <si>
    <t>Years of work outstanding</t>
  </si>
  <si>
    <t>Chart data — by quarter</t>
  </si>
  <si>
    <t>Chart data — by year</t>
  </si>
  <si>
    <t>IN DELIVERY SCOPE</t>
  </si>
  <si>
    <t>PERIOD FILTER — choose how you want to look at the portfolio</t>
  </si>
  <si>
    <t>View by:</t>
  </si>
  <si>
    <t>Year:</t>
  </si>
  <si>
    <t>Quarter:</t>
  </si>
  <si>
    <t>Showing:</t>
  </si>
  <si>
    <t>Resolved period →</t>
  </si>
  <si>
    <t>from</t>
  </si>
  <si>
    <t>to</t>
  </si>
  <si>
    <t>SELECTED PERIOD — PERFORMANCE IN THE PERIOD YOU CHOSE ABOVE</t>
  </si>
  <si>
    <t>Utilisation</t>
  </si>
  <si>
    <t>Plan Adherence</t>
  </si>
  <si>
    <t>Projects Active</t>
  </si>
  <si>
    <t>Planned in Period</t>
  </si>
  <si>
    <t>Actual in Period</t>
  </si>
  <si>
    <t>Filter helper — resolves which projects are live in the selected period. Do not edit.</t>
  </si>
  <si>
    <t>Actual to Date</t>
  </si>
  <si>
    <t>Profit</t>
  </si>
  <si>
    <t>Live?</t>
  </si>
  <si>
    <t>Rank</t>
  </si>
  <si>
    <t>% of Period Plan</t>
  </si>
  <si>
    <t>ALL LIVE IN PERIOD</t>
  </si>
  <si>
    <t>RESOURCE DETAIL — BY ENGINEER (selected period)</t>
  </si>
  <si>
    <t>Actual MM booked in period</t>
  </si>
  <si>
    <t>Share of team time in period</t>
  </si>
  <si>
    <t>Capacity in period (MM)</t>
  </si>
  <si>
    <t>Utilisation in period</t>
  </si>
  <si>
    <t>Yas Canal Community - Lead Design Consultancy Services</t>
  </si>
  <si>
    <t xml:space="preserve">AD24217-0100D </t>
  </si>
  <si>
    <t>AN23207-0500D</t>
  </si>
  <si>
    <t>Construction of the Offsite Works for the Multifunctional Conference Center</t>
  </si>
  <si>
    <t>Construction of the Port Terminal for the Free Zone of the Integrated Development of Barra do Dande (ZFDIBD)</t>
  </si>
  <si>
    <t>AN24073-0100D</t>
  </si>
  <si>
    <t>Requalification of the Corimba Coastline - Praia da Areia Branca</t>
  </si>
  <si>
    <t>Rehabilitation of the Main Piers of the Terminal Port at Kwanda Base</t>
  </si>
  <si>
    <t>AN24140-0100R</t>
  </si>
  <si>
    <t>Comoros Inter-Island connectivity - Expansion works of the BOINGOMA port in Mohéli</t>
  </si>
  <si>
    <t>CS24035-0100D</t>
  </si>
  <si>
    <t>E24181-0100D</t>
  </si>
  <si>
    <t>Assessing the Quay Wall Capacity Under Loading Effect of STS Crane Offloading at Damietta Port</t>
  </si>
  <si>
    <t>Ras Al Hekma – Landscape Design Consultancy Services [RIBA Stage 1-4] for Promenade Beach Area and Sea Wall</t>
  </si>
  <si>
    <t>J23152-0100D - Consultancy Services for PV Projects at APC</t>
  </si>
  <si>
    <t>J23152-0100D</t>
  </si>
  <si>
    <t>Consultancy Services for Port Modernization Infrastructure and Reconstruction Works for Nigerian Port Authority (NPA) in TINCAN and APAPA Ports</t>
  </si>
  <si>
    <t>Consultancy Services for The Feasibility Studies, Masterplan and Concept Design for IJEBU-ODE and MONIYA Ports Terminals.</t>
  </si>
  <si>
    <t>Lead Consultant Services for Simaisma Development Project</t>
  </si>
  <si>
    <t>Q25008-0100D</t>
  </si>
  <si>
    <t>The Line Hidden Marina Project Management, Project Controls, BIM &amp; GIS Requirements</t>
  </si>
  <si>
    <t>S24014-0101D</t>
  </si>
  <si>
    <t>S24014-0102D</t>
  </si>
  <si>
    <t>S24014-0103D</t>
  </si>
  <si>
    <t>S24014-0104D</t>
  </si>
  <si>
    <t>The Line Hidden Marina - Design of Wharf - Temporary Works</t>
  </si>
  <si>
    <t>The Line Hidden Marina, The Line Engineering Tasks - Part 1</t>
  </si>
  <si>
    <t xml:space="preserve">	The Line Hidden Marina Project Management, Project Controls, BIM &amp; GIS Requirements</t>
  </si>
  <si>
    <t>FIELD DEFINITIONS — HOW TO READ THE DASHBOARD</t>
  </si>
  <si>
    <t>SECTION 1 — THE THREE CORE MEASURES (everything else is built from these)</t>
  </si>
  <si>
    <t>Field</t>
  </si>
  <si>
    <t>Where it appears</t>
  </si>
  <si>
    <t>What it actually means</t>
  </si>
  <si>
    <t>How it is calculated</t>
  </si>
  <si>
    <t>Current</t>
  </si>
  <si>
    <t>How to read it</t>
  </si>
  <si>
    <t>Selected Period band</t>
  </si>
  <si>
    <t>The effort we SAID we would spend in this period. It comes from each project's budget spread across the months between its start and end date, so a 12 MM project running 2 years contributes 1.5 MM to each quarter.</t>
  </si>
  <si>
    <t>Straight-line spread of Budget across the project's start-to-end window, summed for every project touching the period. Overridable per project per quarter on the Phasing sheet.</t>
  </si>
  <si>
    <t>This is the yardstick, not an achievement. It answers: how much work was this period supposed to absorb?</t>
  </si>
  <si>
    <t>The effort we REALLY spent in this period — the man-months your team actually booked against projects in those three months (or that year).</t>
  </si>
  <si>
    <t>Sum of the quarterly actuals grid on Phasing, for the quarters inside the selected period, across all projects and all three engineers.</t>
  </si>
  <si>
    <t>The only hard fact of the three. If this is blank, nobody logged time — the period is unmeasurable, not efficient.</t>
  </si>
  <si>
    <t>The VALUE we delivered in this period, expressed in man-months of budget. If a project is 70% complete on a 26 MM budget, 18.2 MM of value has been earned regardless of how long it took.</t>
  </si>
  <si>
    <t>Budget x % Complete for each project, then spread across quarters in proportion to when the time was actually booked.</t>
  </si>
  <si>
    <t>This is what the client is effectively paying for. Compare it with Actual MM to see whether effort is converting into progress.</t>
  </si>
  <si>
    <t>SECTION 2 — PERIOD METRICS (flow: what happened inside the chosen window)</t>
  </si>
  <si>
    <t>Profit / (Loss) in period</t>
  </si>
  <si>
    <t>Value delivered less effort burned, in this period only. Positive means you got more budget-value out than man-months you put in.</t>
  </si>
  <si>
    <t>Earned MM less Actual MM.</t>
  </si>
  <si>
    <t>A performance score for the period, NOT money in the bank. It says nothing about whether the project will finish in profit.</t>
  </si>
  <si>
    <t>How much the team could deliver in this period if fully applied to projects.</t>
  </si>
  <si>
    <t>Each person's availability % for that year x 3 months per quarter (x4 for a full year), summed across the team.</t>
  </si>
  <si>
    <t>The ceiling. Actual MM above this means overtime or the data is wrong; far below means the team was on other work.</t>
  </si>
  <si>
    <t>How busy the team was: how much of the available capacity was actually booked to projects.</t>
  </si>
  <si>
    <t>Actual MM divided by Capacity MM.</t>
  </si>
  <si>
    <t>Low utilisation usually means unlogged time or non-project work, not idleness. Check before drawing conclusions.</t>
  </si>
  <si>
    <t>Did we burn the effort we said we would this period?</t>
  </si>
  <si>
    <t>Actual MM divided by Planned MM.</t>
  </si>
  <si>
    <t>Below 100% means the plan assumed more effort than was spent — either you are behind, or the phasing dates need correcting.</t>
  </si>
  <si>
    <t>Efficiency (CPI) — in period</t>
  </si>
  <si>
    <t>Value delivered per man-month spent, IN THIS PERIOD ONLY. Above 1.00 means the period converted effort into progress well.</t>
  </si>
  <si>
    <t>Earned MM in period divided by Actual MM in period.</t>
  </si>
  <si>
    <t>A snapshot of recent performance. Volatile — one quarter with little logged time can swing it wildly.</t>
  </si>
  <si>
    <t>1. Efficiency is only as good as the logged time. A project marked 100% complete with almost no booked MM will show an impossibly high CPI and flatter the portfolio. Check Actual to Date against Budget on the Inputs sheet before believing a number above about 2.00x.</t>
  </si>
  <si>
    <t>2. Planned MM depends entirely on the Start and End dates. If a date is wrong, that project's effort lands in the wrong quarters and Plan Adherence becomes meaningless.</t>
  </si>
  <si>
    <t>3. % Complete drives Earned MM and Forecast at Completion. It is a judgement you type in — if it is stale, both the efficiency and the forecast loss are stale too.</t>
  </si>
  <si>
    <t>SECTION 3 — READING EFFICIENCY CORRECTLY</t>
  </si>
  <si>
    <t>There is now one efficiency figure on the dashboard: Earned MM divided by Actual MM, for the period you selected. It answers a single question — did the effort spent in this window convert into delivered value? Above 1.00 is good. The traps below are the reason it sometimes looks wrong.</t>
  </si>
  <si>
    <t>What you see</t>
  </si>
  <si>
    <t>Why it happens</t>
  </si>
  <si>
    <t>What to do about it</t>
  </si>
  <si>
    <t>Reads n/a, or a dash</t>
  </si>
  <si>
    <t>No time was booked to any project in the period, so there is nothing to divide.</t>
  </si>
  <si>
    <t>Treat the period as unmeasured, not efficient. Check the actuals grid on Phasing for those quarters.</t>
  </si>
  <si>
    <t>Far above 1.00 (say over 2.00x)</t>
  </si>
  <si>
    <t>A project is marked well advanced on very little booked time, so earned value dwarfs actual effort.</t>
  </si>
  <si>
    <t>Almost always missing actuals or an overstated budget. Compare Actual to Date against Budget in Project Detail.</t>
  </si>
  <si>
    <t>Below 1.00</t>
  </si>
  <si>
    <t>More effort has been spent than value delivered. This is a genuine overrun.</t>
  </si>
  <si>
    <t>Real signal. Look at Cost at Completion versus Budget per project in Project Detail to find which contract is causing it.</t>
  </si>
  <si>
    <t>Swings hard between quarters</t>
  </si>
  <si>
    <t>Period figures are volatile by nature — one quarter of light logging moves them a long way.</t>
  </si>
  <si>
    <t>Switch the filter to Year, or scan several quarters, before concluding anything about a trend.</t>
  </si>
  <si>
    <t>SECTION 4 — BEFORE YOU TRUST ANY OF THESE NUMBERS</t>
  </si>
  <si>
    <t>S22058-0700D</t>
  </si>
  <si>
    <t>AN23232-0100D</t>
  </si>
  <si>
    <t>AN24185-0100R</t>
  </si>
  <si>
    <t>AN24135-0100R</t>
  </si>
  <si>
    <t>4. Effort booked before quarterly tracking began sits in the Opening column on Phasing. It counts toward a project's total booked time but falls inside no quarter, so it never appears in any period figure.</t>
  </si>
  <si>
    <t>JCDC Detailed Masterplan &amp; Engineering - PHASE 2 - Infrastructure</t>
  </si>
  <si>
    <t>AN23108-0100R</t>
  </si>
  <si>
    <t>TA24246-0200R</t>
  </si>
  <si>
    <t>S22058-0900D</t>
  </si>
  <si>
    <t>S22058-0400D</t>
  </si>
  <si>
    <t>PROJECT DETAIL — only projects live in the selected period</t>
  </si>
  <si>
    <t>Proposals of 2025</t>
  </si>
  <si>
    <t>Chargable Proposals of 2025</t>
  </si>
  <si>
    <t>AD23051-0101D</t>
  </si>
  <si>
    <t>AN21146-0100R</t>
  </si>
  <si>
    <t>N23106-0100D</t>
  </si>
  <si>
    <t>OM23030-0100D</t>
  </si>
  <si>
    <t>Chargable Proposals of 2024</t>
  </si>
  <si>
    <t>Proposals of 2024</t>
  </si>
  <si>
    <t>S23204-0100D</t>
  </si>
  <si>
    <t>S24100-0100D</t>
  </si>
  <si>
    <t>TA23011-0100R</t>
  </si>
  <si>
    <t>Proposals of 2026</t>
  </si>
  <si>
    <t>Chargable Proposals of 2026</t>
  </si>
  <si>
    <t>Construction of Dry Docks Permanent Terminal and Construction of Shipyard in Luanda Port</t>
  </si>
  <si>
    <t>AMI Stormwater Collection System – Private Outfall</t>
  </si>
  <si>
    <t>AL25148-0100D</t>
  </si>
  <si>
    <t>AOR/EOR &amp; Engineering Services Sazan Development</t>
  </si>
  <si>
    <t>Construction of the Offshore Import and Export System of Cabinda Refinery</t>
  </si>
  <si>
    <t>Requalification of Luanda Naval Base</t>
  </si>
  <si>
    <t>Abu Dhabi Ports - Development of Unicargas Port in Luanda</t>
  </si>
  <si>
    <t>JCD Detailed Master Planning and Engineering – Infrastructure</t>
  </si>
  <si>
    <t xml:space="preserve">	JCDC Detailed Masterplan &amp; Engineering - MBS Bay - Urban Development</t>
  </si>
  <si>
    <t>Construction of Fertilizer Complex in Soyo</t>
  </si>
  <si>
    <t xml:space="preserve">	Consultancy Services for Design Review for The Development of Kisiwa / MGAO Port in Mtwara.</t>
  </si>
  <si>
    <t>Number</t>
  </si>
  <si>
    <t>Waterfront Villas Development, Plot P2, Sector Qasr AI Mugheirah, Zone AI Marfa, AI Dhafra Region, Abu Dhabi, UAE</t>
  </si>
  <si>
    <t>Construction of the Oceanic Terminal of Barra do Dande (TOBD)</t>
  </si>
  <si>
    <t>Consultancy Services For Front End Engineering Design (Feed) For The Proposed Brass Island Shipyard Located At Brass Lga Bayelsa State</t>
  </si>
  <si>
    <t>Development of Waterfront Action Areas in Khawr AL Batah</t>
  </si>
  <si>
    <t>Al Farshah Island (AFI) Pre-Infrastructure Design</t>
  </si>
  <si>
    <t>Shushah Island - KUARTZ Tower Design Services - RBTA</t>
  </si>
  <si>
    <t>Design Review Services of a Fishing Harbour At Kilwa Masoko – Lindi Region</t>
  </si>
  <si>
    <t>Chargable Proposals 26</t>
  </si>
  <si>
    <t>Chargable Proposals 24</t>
  </si>
  <si>
    <t>Proposals 24</t>
  </si>
  <si>
    <t>Proposals 25</t>
  </si>
  <si>
    <t>Chargable Proposals 25</t>
  </si>
  <si>
    <t>Proposals 26</t>
  </si>
  <si>
    <t>Earned in Period</t>
  </si>
  <si>
    <t>MANAGEMENT REVIEW — TEAM PERFORMANCE</t>
  </si>
  <si>
    <t>To change the period, use the View by / Year / Quarter selectors at the top of the Dashboard sheet — this sheet follows them automatically.</t>
  </si>
  <si>
    <t>PERFORMANCE IN THE SELECTED PERIOD</t>
  </si>
  <si>
    <t>Team totals</t>
  </si>
  <si>
    <t>TEAM KPIs BY ENGINEER — SELECTED PERIOD</t>
  </si>
  <si>
    <t>KPI</t>
  </si>
  <si>
    <t>Team Total</t>
  </si>
  <si>
    <t>Earned MM (by allocation)</t>
  </si>
  <si>
    <t>Profit / (Loss) contribution</t>
  </si>
  <si>
    <t>Remaining on hand allocated</t>
  </si>
  <si>
    <t>Chart data</t>
  </si>
  <si>
    <t>ENGINEER KPIs — SELECTED PERIOD</t>
  </si>
  <si>
    <t>Period is controlled from the Dashboard sheet. This sheet and the Management Review sheet both follow it.</t>
  </si>
  <si>
    <t>Helper — actual MM by project and engineer for the selected period. Do not edit.</t>
  </si>
  <si>
    <t>KPI SUMMARY BY ENGINEER</t>
  </si>
  <si>
    <t>Projects worked in period</t>
  </si>
  <si>
    <t>Average MM per project worked</t>
  </si>
  <si>
    <t>Months of work outstanding</t>
  </si>
  <si>
    <t>WHO WORKED ON WHAT — ACTUAL MM IN THE SELECTED PERIOD</t>
  </si>
  <si>
    <t>As-at date (for to-date comparisons)</t>
  </si>
  <si>
    <t>Overwrite with a fixed date to freeze the report; leave as =TODAY() to always compare against today.</t>
  </si>
  <si>
    <t>Elapsed fraction of quarter (to as-at date)</t>
  </si>
  <si>
    <t>Capacity MM to date</t>
  </si>
  <si>
    <t>Planned MM to date</t>
  </si>
  <si>
    <t>As at:</t>
  </si>
  <si>
    <t>Elapsed:</t>
  </si>
  <si>
    <t>Planned to date:</t>
  </si>
  <si>
    <t>Capacity to Date</t>
  </si>
  <si>
    <t>Plan Adherence to Date</t>
  </si>
  <si>
    <t>Planned MM (full period)</t>
  </si>
  <si>
    <t>Planned MM to date (by allocation)</t>
  </si>
  <si>
    <t>Utilisation vs capacity to date</t>
  </si>
  <si>
    <t>Plan adherence to date</t>
  </si>
  <si>
    <t>Chart data — do not edit</t>
  </si>
  <si>
    <t>Planned MM to Date</t>
  </si>
  <si>
    <t>All effort in Man-Months (MM). Choose your name and the year below — this sheet is independent of the Dashboard filter.</t>
  </si>
  <si>
    <t>Team member:</t>
  </si>
  <si>
    <t>Planned in Year</t>
  </si>
  <si>
    <t>Earned in Year</t>
  </si>
  <si>
    <t>Your Actual MM</t>
  </si>
  <si>
    <t>Your Allocation %</t>
  </si>
  <si>
    <t>YOUR NUMBERS FOR THE YEAR</t>
  </si>
  <si>
    <t>Value</t>
  </si>
  <si>
    <t>What it means</t>
  </si>
  <si>
    <t>Actual MM you booked</t>
  </si>
  <si>
    <t>Planned MM to date (your allocation)</t>
  </si>
  <si>
    <t>Earned MM (value you delivered)</t>
  </si>
  <si>
    <t>Projects you worked on</t>
  </si>
  <si>
    <t>Average MM per project</t>
  </si>
  <si>
    <t>Remaining workload allocated to you</t>
  </si>
  <si>
    <t>Planned to Date in Period</t>
  </si>
  <si>
    <t>Planned to Date in Year</t>
  </si>
  <si>
    <t>QUARTER BY QUARTER</t>
  </si>
  <si>
    <t>Your actual MM</t>
  </si>
  <si>
    <t>Your capacity to date</t>
  </si>
  <si>
    <t>Elapsed of quarter</t>
  </si>
  <si>
    <t>YOUR PROJECTS THIS YEAR</t>
  </si>
  <si>
    <t>Your MM</t>
  </si>
  <si>
    <t>Share of your time</t>
  </si>
  <si>
    <t>Planned to date</t>
  </si>
  <si>
    <t>Your allocation %</t>
  </si>
  <si>
    <t>Your Capacity to Date</t>
  </si>
  <si>
    <t>Your earned MM (value delivered)</t>
  </si>
  <si>
    <t>Your efficiency (CPI)</t>
  </si>
  <si>
    <t>Your contribution to team MM</t>
  </si>
  <si>
    <t>Your Earned MM</t>
  </si>
  <si>
    <t>TEAM SCORECARD — WEIGHTED RANKING</t>
  </si>
  <si>
    <t>SCORING FACTORS — edit the blue cells</t>
  </si>
  <si>
    <t>Factor</t>
  </si>
  <si>
    <t>Weight</t>
  </si>
  <si>
    <t>Direction</t>
  </si>
  <si>
    <t>Target</t>
  </si>
  <si>
    <t>How it is scored</t>
  </si>
  <si>
    <t>Higher is better</t>
  </si>
  <si>
    <t>Target band</t>
  </si>
  <si>
    <t>100 when exactly on target; falls away as it deviates either side.</t>
  </si>
  <si>
    <t>100 when exactly on plan; over- and under-running both lose points.</t>
  </si>
  <si>
    <t>Earned MM delivered</t>
  </si>
  <si>
    <t>Actual MM contributed</t>
  </si>
  <si>
    <t>Rewards volume of effort carried.</t>
  </si>
  <si>
    <t>Projects worked</t>
  </si>
  <si>
    <t>Rewards breadth across the portfolio.</t>
  </si>
  <si>
    <t>TOTAL WEIGHT</t>
  </si>
  <si>
    <t>RAW VALUES FOR THE SELECTED PERIOD</t>
  </si>
  <si>
    <t>Best</t>
  </si>
  <si>
    <t>NORMALISED SCORES (0 = worst, 100 = best)</t>
  </si>
  <si>
    <t>WEIGHTED SCORE</t>
  </si>
  <si>
    <t>RANK</t>
  </si>
  <si>
    <t>RANKING</t>
  </si>
  <si>
    <t>Weighted Score</t>
  </si>
  <si>
    <t>Strongest factor</t>
  </si>
  <si>
    <t>Weakest factor</t>
  </si>
  <si>
    <t>idx</t>
  </si>
  <si>
    <t>PROJECT TYPE LIBRARY</t>
  </si>
  <si>
    <t>The one setup decision. Edit the cream cells to agree the group standard, then lock this sheet.</t>
  </si>
  <si>
    <t>Type Code</t>
  </si>
  <si>
    <t>Project Type</t>
  </si>
  <si>
    <t>Measurement Basis</t>
  </si>
  <si>
    <t>Earning Trigger (data source)</t>
  </si>
  <si>
    <t>Portfolio Weight</t>
  </si>
  <si>
    <t>Include in CPI?</t>
  </si>
  <si>
    <t>Notes / rationale</t>
  </si>
  <si>
    <t>DD</t>
  </si>
  <si>
    <t>Detailed Design</t>
  </si>
  <si>
    <t>Man-hour weighted deliverables</t>
  </si>
  <si>
    <t>Deliverable issue status in EDMS</t>
  </si>
  <si>
    <t>Yes</t>
  </si>
  <si>
    <t>Baseline type. Full production of drawings, models and calculations.</t>
  </si>
  <si>
    <t>CD</t>
  </si>
  <si>
    <t>Concept / Preliminary Design</t>
  </si>
  <si>
    <t>Stage gates</t>
  </si>
  <si>
    <t>Gate acceptance recorded in EDMS</t>
  </si>
  <si>
    <t>High engineering content, low document count. Weighted above DD for option-development effort.</t>
  </si>
  <si>
    <t>FS</t>
  </si>
  <si>
    <t>Feasibility / Master Planning</t>
  </si>
  <si>
    <t>Report issue and comment closeout</t>
  </si>
  <si>
    <t>Study work ending in a report rather than a drawing set.</t>
  </si>
  <si>
    <t>SA</t>
  </si>
  <si>
    <t>Specialist Analysis &amp; Modelling</t>
  </si>
  <si>
    <t>Weighted milestones</t>
  </si>
  <si>
    <t>Model, run and report milestones</t>
  </si>
  <si>
    <t>Mooring, berthing, dynamic and geotechnical analysis. Highest weight - specialist, non-substitutable skill.</t>
  </si>
  <si>
    <t>DR</t>
  </si>
  <si>
    <t>Design Review / Third-Party Check</t>
  </si>
  <si>
    <t>Units complete</t>
  </si>
  <si>
    <t>Comment sheet transmittal</t>
  </si>
  <si>
    <t>Checking another party's design. Real skill, but consumes rather than creates deliverables.</t>
  </si>
  <si>
    <t>TD</t>
  </si>
  <si>
    <t>Tender Documentation</t>
  </si>
  <si>
    <t>Tender issue and addenda closeout</t>
  </si>
  <si>
    <t>BOQ, specifications and tender drawings assembled from completed design.</t>
  </si>
  <si>
    <t>CS</t>
  </si>
  <si>
    <t>Construction Phase Support</t>
  </si>
  <si>
    <t>Units complete (queries closed)</t>
  </si>
  <si>
    <t>RFI / site query response transmittal</t>
  </si>
  <si>
    <t>Reactive scope. Measured on closed queries, not on time at desk.</t>
  </si>
  <si>
    <t>PP</t>
  </si>
  <si>
    <t>Proposals &amp; Bids</t>
  </si>
  <si>
    <t>Level of effort</t>
  </si>
  <si>
    <t>Submission date</t>
  </si>
  <si>
    <t>No</t>
  </si>
  <si>
    <t>Necessary but unmeasurable against a budget. Excluded from CPI by design.</t>
  </si>
  <si>
    <t>OH</t>
  </si>
  <si>
    <t>On Hold / Standby</t>
  </si>
  <si>
    <t>n/a - earns nothing</t>
  </si>
  <si>
    <t>Dormant scope. Earns no value; time booked here should be minimal and visible.</t>
  </si>
  <si>
    <t>Weighting basis:</t>
  </si>
  <si>
    <t>Detailed Design = 1.00 is the reference. Weights are applied to earned MM for PERSONAL SCORING ONLY (Engineer Scorecard). They are never applied to project financials.</t>
  </si>
  <si>
    <t>Assumption:</t>
  </si>
  <si>
    <t>Starting weights proposed by Marine Structures Unit for group agreement; not derived from a published standard. Agree once, then freeze.</t>
  </si>
  <si>
    <t>RULES OF CREDIT — EARNING STEPS BY PROJECT TYPE</t>
  </si>
  <si>
    <t>Cumulative credit earned when a deliverable reaches each step. Only steps that leave a date stamp in a system should be used.</t>
  </si>
  <si>
    <t>Step No.</t>
  </si>
  <si>
    <t>Step Name (choose this on the Deliverable Register)</t>
  </si>
  <si>
    <t>Cumulative Credit</t>
  </si>
  <si>
    <t>Data Source</t>
  </si>
  <si>
    <t>Design started</t>
  </si>
  <si>
    <t>Manual (capped)</t>
  </si>
  <si>
    <t>Issued for internal check (IDC/IFR)</t>
  </si>
  <si>
    <t>EDMS status</t>
  </si>
  <si>
    <t>Checked and back-checked</t>
  </si>
  <si>
    <t>Transmitted to client (IFA/IFC)</t>
  </si>
  <si>
    <t>Transmittal register</t>
  </si>
  <si>
    <t>Returned Code 1 / accepted</t>
  </si>
  <si>
    <t>Client return code</t>
  </si>
  <si>
    <t>Design basis and criteria agreed</t>
  </si>
  <si>
    <t>Options developed</t>
  </si>
  <si>
    <t>Option selected and frozen</t>
  </si>
  <si>
    <t>Minuted decision</t>
  </si>
  <si>
    <t>Concept report and drawings issued</t>
  </si>
  <si>
    <t>Client acceptance</t>
  </si>
  <si>
    <t>Data collection complete</t>
  </si>
  <si>
    <t>Analysis complete</t>
  </si>
  <si>
    <t>Draft report issued</t>
  </si>
  <si>
    <t>Client comments closed</t>
  </si>
  <si>
    <t>Comment register</t>
  </si>
  <si>
    <t>Final report issued</t>
  </si>
  <si>
    <t>Model built and validated</t>
  </si>
  <si>
    <t>Model file / EDMS</t>
  </si>
  <si>
    <t>Analysis runs complete</t>
  </si>
  <si>
    <t>Report issued</t>
  </si>
  <si>
    <t>Comments closed</t>
  </si>
  <si>
    <t>Documents received and logged</t>
  </si>
  <si>
    <t>EDMS receipt</t>
  </si>
  <si>
    <t>Review complete internally</t>
  </si>
  <si>
    <t>Comment sheet transmitted</t>
  </si>
  <si>
    <t>Comment closeout confirmed</t>
  </si>
  <si>
    <t>Draft prepared</t>
  </si>
  <si>
    <t>Internal check complete</t>
  </si>
  <si>
    <t>Issued for tender</t>
  </si>
  <si>
    <t>Tender queries and addenda closed</t>
  </si>
  <si>
    <t>Query register</t>
  </si>
  <si>
    <t>Query received and logged</t>
  </si>
  <si>
    <t>Response prepared and checked</t>
  </si>
  <si>
    <t>Response transmitted</t>
  </si>
  <si>
    <t>Proposal in preparation</t>
  </si>
  <si>
    <t>Proposal submitted</t>
  </si>
  <si>
    <t>Submission log</t>
  </si>
  <si>
    <t>On hold - no earning</t>
  </si>
  <si>
    <t>n/a</t>
  </si>
  <si>
    <t>Offices may collapse steps (e.g. 10 / 85 / 100) but may not add steps that have no date stamp in a system.</t>
  </si>
  <si>
    <t>Key (Type|Step)</t>
  </si>
  <si>
    <t>DELIVERABLE REGISTER — INPUT SHEET</t>
  </si>
  <si>
    <t>Project Number</t>
  </si>
  <si>
    <t>Deliverable / Phase</t>
  </si>
  <si>
    <t>Phase Weight %</t>
  </si>
  <si>
    <t>Step Name (status)</t>
  </si>
  <si>
    <t>Credit %</t>
  </si>
  <si>
    <t>Weighted Progress</t>
  </si>
  <si>
    <t>Status Date</t>
  </si>
  <si>
    <t>PROJECT ROLL-UP — calculated</t>
  </si>
  <si>
    <t>Weights must total 100% per project before the progress figure is meaningful.</t>
  </si>
  <si>
    <t>Deliverables</t>
  </si>
  <si>
    <t>Sum of Weights</t>
  </si>
  <si>
    <t>Weight Check</t>
  </si>
  <si>
    <t>Progress (Rules of Credit)</t>
  </si>
  <si>
    <t>Concept Design</t>
  </si>
  <si>
    <t>Schematic Design</t>
  </si>
  <si>
    <t>Final Design</t>
  </si>
  <si>
    <t>Final Design - Tin Can Berth 1</t>
  </si>
  <si>
    <t>Final Design - Tin Can Berth 2</t>
  </si>
  <si>
    <t>Final Design - Tin Can Berth 3</t>
  </si>
  <si>
    <t>Final Design - Tin Can Berth 4</t>
  </si>
  <si>
    <t>Final Design - Tin Can Berth 5</t>
  </si>
  <si>
    <t>Final Design - Tin Can Berth 6</t>
  </si>
  <si>
    <t>Final Design - Tin Can Berth 7</t>
  </si>
  <si>
    <t>Final Design - Tin Can Berth 8</t>
  </si>
  <si>
    <t>Final Design - Tin Can Berth 9</t>
  </si>
  <si>
    <t>Final Design - Tin Can Berth 10</t>
  </si>
  <si>
    <t>Final Design - Apapa Berth 4</t>
  </si>
  <si>
    <t>Final Design - Apapa Berth 5</t>
  </si>
  <si>
    <t>Final Design - Apapa Berth 6</t>
  </si>
  <si>
    <t>Final Design - Apapa Berth 7</t>
  </si>
  <si>
    <t>Final Design - Apapa Berth 8</t>
  </si>
  <si>
    <t>Final Design - Apapa Berth 9</t>
  </si>
  <si>
    <t>Final Design - Apapa Berth 10</t>
  </si>
  <si>
    <t>Final Design - Apapa Berth 11</t>
  </si>
  <si>
    <t>Final Design - Apapa Berth 12</t>
  </si>
  <si>
    <t>Final Design - Apapa Berth 13</t>
  </si>
  <si>
    <t>Final Design - Apapa Berth 14</t>
  </si>
  <si>
    <t>Report</t>
  </si>
  <si>
    <t>Specifications</t>
  </si>
  <si>
    <t>Tender Design</t>
  </si>
  <si>
    <t>Design Review</t>
  </si>
  <si>
    <t>Proposals</t>
  </si>
  <si>
    <t>Type Factor (KPI only)</t>
  </si>
  <si>
    <t>Type Factor (weighted avg)</t>
  </si>
  <si>
    <t>KPI weighting only — never applied to financials</t>
  </si>
  <si>
    <t>Manual % (fallback)</t>
  </si>
  <si>
    <t>TYPE-WEIGHTED VIEW — PERSONAL SCORING ONLY (never applied to project financials)</t>
  </si>
  <si>
    <t>Type-weighted Earned MM (KPI only)</t>
  </si>
  <si>
    <t>Type-weighted Efficiency (CPI, KPI only)</t>
  </si>
  <si>
    <t>Average type factor of work delivered</t>
  </si>
  <si>
    <t>Efficiency (CPI, type-weighted)</t>
  </si>
  <si>
    <t>Earned MM delivered (type-weighted)</t>
  </si>
  <si>
    <t>Best performer scores 100; others in proportion. Earned MM is weighted by project type factor — scoring only.</t>
  </si>
  <si>
    <t>Rewards absolute value delivered, weighted by project type factor — scoring only.</t>
  </si>
  <si>
    <t>Q1</t>
  </si>
  <si>
    <t>Split Check</t>
  </si>
  <si>
    <t>Ahmed share</t>
  </si>
  <si>
    <t>Osama share</t>
  </si>
  <si>
    <t>Kirolos share</t>
  </si>
  <si>
    <t>Share Basis</t>
  </si>
  <si>
    <t>Ahmed % (manual fallback)</t>
  </si>
  <si>
    <t>Osama % (manual fallback)</t>
  </si>
  <si>
    <t>Kirolos % (manual fallback)</t>
  </si>
  <si>
    <t>One row per deliverable. Blue cells are inputs. Pick the project, type, phase weight (% of that project's scope), the step reached, and who worked on it (Ahmed / Osama / Kirolos must total 100% per row). Credit %, progress and the person split feeding Inputs are all calculated.</t>
  </si>
  <si>
    <t>PROFIT PLAN — OPTIMUM DELIVERY SEQUENCE FOR THE PLAN YEAR</t>
  </si>
  <si>
    <t>Objective: maximise Earned MM less Actual MM. Every open deliverable is ranked by value earned per man-month spent, then capacity is filled from the top. Under a single capacity constraint that ranking is the profit-maximising order. Blue cells are inputs.</t>
  </si>
  <si>
    <t>1 — ASSUMPTIONS</t>
  </si>
  <si>
    <t>Hours per man-month</t>
  </si>
  <si>
    <t>Plan year</t>
  </si>
  <si>
    <t>As-at date</t>
  </si>
  <si>
    <t>Team capacity per month (MM)</t>
  </si>
  <si>
    <t>Full-year capacity (MM)</t>
  </si>
  <si>
    <t>Capacity elapsed to date (MM)</t>
  </si>
  <si>
    <t>Capacity left this year (MM)</t>
  </si>
  <si>
    <t>Capacity left this year (hours)</t>
  </si>
  <si>
    <t>Target profit for the year (MM)</t>
  </si>
  <si>
    <t>2 — POSITION THIS YEAR SO FAR (follows the Dashboard filter)</t>
  </si>
  <si>
    <t>Dashboard period shown</t>
  </si>
  <si>
    <t>Profit / (Loss) so far (MM)</t>
  </si>
  <si>
    <t>Efficiency (CPI) so far</t>
  </si>
  <si>
    <t>Filter check</t>
  </si>
  <si>
    <t>4 — DELIVERABLE PLAN (one row per register entry; ranked by value earned per man-month)</t>
  </si>
  <si>
    <t>Type</t>
  </si>
  <si>
    <t>Status now</t>
  </si>
  <si>
    <t>Project Status</t>
  </si>
  <si>
    <t>Credit now</t>
  </si>
  <si>
    <t>Credit left</t>
  </si>
  <si>
    <t>Deliverable Budget MM</t>
  </si>
  <si>
    <t>Earned to Date MM</t>
  </si>
  <si>
    <t>Remaining Value MM</t>
  </si>
  <si>
    <t>Hours to Finish</t>
  </si>
  <si>
    <t>Value per MM</t>
  </si>
  <si>
    <t>Priority Score</t>
  </si>
  <si>
    <t>Cumulative MM</t>
  </si>
  <si>
    <t>Decision</t>
  </si>
  <si>
    <t>Profit Contribution MM</t>
  </si>
  <si>
    <t>Ahmed hrs</t>
  </si>
  <si>
    <t>Osama hrs</t>
  </si>
  <si>
    <t>Kirolos hrs</t>
  </si>
  <si>
    <t>Default CPI when a project has no history</t>
  </si>
  <si>
    <t>Lowest CPI allowed in the plan</t>
  </si>
  <si>
    <t>Highest CPI allowed in the plan</t>
  </si>
  <si>
    <t>Assumed CPI (clamped)</t>
  </si>
  <si>
    <t>3 — THE OPTIMUM PLAN FOR THE REST OF THE YEAR</t>
  </si>
  <si>
    <t>Deliverables to do</t>
  </si>
  <si>
    <t>MM committed</t>
  </si>
  <si>
    <t>Hours committed</t>
  </si>
  <si>
    <t>Capacity used</t>
  </si>
  <si>
    <t>Value to be earned (MM)</t>
  </si>
  <si>
    <t>Profit added by the plan (MM)</t>
  </si>
  <si>
    <t>Projected year-end profit (MM)</t>
  </si>
  <si>
    <t>vs target</t>
  </si>
  <si>
    <t>Verdict</t>
  </si>
  <si>
    <t>HOURS BY ENGINEER</t>
  </si>
  <si>
    <t>Unassigned (no split entered)</t>
  </si>
  <si>
    <t>DEFERRED TO NEXT YEAR</t>
  </si>
  <si>
    <t>Deliverables deferred</t>
  </si>
  <si>
    <t>MM required</t>
  </si>
  <si>
    <t>Value left on the table (MM)</t>
  </si>
  <si>
    <t>HOW TO READ THIS AND HOW TO CLOSE THE GAP</t>
  </si>
  <si>
    <t>Profit here is earned value less man-months spent, so a deliverable only adds profit where its project's assumed CPI is above 1.00x. Finishing work on an overrunning project still costs more than it earns — it protects the client relationship, not this year's number.</t>
  </si>
  <si>
    <t>Lever 2 — fix missing actuals. An understated CPI (unlogged time on Phasing) makes profitable work look unprofitable and pushes it down the ranking. Check the projects reading at the 2.00x ceiling first.</t>
  </si>
  <si>
    <t>Lever 3 — only the deferred list can add more. Anything marked DEFER needs capacity you do not have this year; winning new work will not help the profit figure until it earns credit.</t>
  </si>
  <si>
    <t>5 — NEXT FOUR MONTHS: HOW THE HOURS AND THE RESULT SPLIT</t>
  </si>
  <si>
    <t>Month</t>
  </si>
  <si>
    <t>Hours planned</t>
  </si>
  <si>
    <t>MM planned</t>
  </si>
  <si>
    <t>Value earned in month (MM)</t>
  </si>
  <si>
    <t>Profit in month (MM)</t>
  </si>
  <si>
    <t>Year profit at month end (MM)</t>
  </si>
  <si>
    <t>Deliverables finished in month</t>
  </si>
  <si>
    <t>HOURS BY ENGINEER PER MONTH</t>
  </si>
  <si>
    <t>Hours per person available</t>
  </si>
  <si>
    <t>Overload check (busiest person)</t>
  </si>
  <si>
    <t>Hours are loaded in rank order against the team's monthly capacity, so a deliverable straddling a month boundary is split across both months. Columns X:AA in the table show each deliverable's hours per month.</t>
  </si>
  <si>
    <t>Expected Hours (override)</t>
  </si>
  <si>
    <t>Lever 1 - override the estimate in hours. Where you know the real effort still needed, type the hours in column K (Expected Hours). That replaces the CPI-derived figure, re-ranks the plan and re-flows the monthly loading and each engineer's hours instantly.</t>
  </si>
  <si>
    <t>MM to Finish</t>
  </si>
  <si>
    <t>DELIVERY SEQUENCE — THE PLAN IN ORDER</t>
  </si>
  <si>
    <t>Read top to bottom: this is the order to deliver in. Everything above the capacity line is in this year's plan; everything below it needs capacity the team does not have. To change the plan, type expected hours in column K of the Profit Plan sheet — this list re-sorts itself.</t>
  </si>
  <si>
    <t>THE PLAN AT A GLANCE</t>
  </si>
  <si>
    <t>TEAM EARNINGS UNDER THIS SEQUENCE</t>
  </si>
  <si>
    <t>Hours in plan</t>
  </si>
  <si>
    <t>MM in plan</t>
  </si>
  <si>
    <t>Earned MM (pro-rata on hours)</t>
  </si>
  <si>
    <t>Hours available to year end</t>
  </si>
  <si>
    <t>Load</t>
  </si>
  <si>
    <t>DELIVERY SEQUENCE — RANKED BY VALUE EARNED PER MAN-MONTH</t>
  </si>
  <si>
    <t>#</t>
  </si>
  <si>
    <t>Hours to finish</t>
  </si>
  <si>
    <t>MM to finish</t>
  </si>
  <si>
    <t>Value earned (MM)</t>
  </si>
  <si>
    <t>Profit added (MM)</t>
  </si>
  <si>
    <t>Start month</t>
  </si>
  <si>
    <t>Finish month</t>
  </si>
  <si>
    <t>Year-end profit after this item (MM)</t>
  </si>
  <si>
    <t>src row</t>
  </si>
  <si>
    <t>The red line is the capacity limit. Rows above it fit inside the 12.00 MM left this year; rows below need capacity the team does not have. Hours, months and engineer split all follow the Expected Hours you type in column K of the Profit Plan sheet.</t>
  </si>
  <si>
    <t>Capacity left (MM)</t>
  </si>
  <si>
    <t>Capacity left (hrs)</t>
  </si>
  <si>
    <t>Year-end profit (MM)</t>
  </si>
  <si>
    <t>Deferred to next year</t>
  </si>
  <si>
    <t>Value deferred (MM)</t>
  </si>
  <si>
    <t>Unassigned</t>
  </si>
  <si>
    <t>Implied CPI of this plan</t>
  </si>
  <si>
    <t>Credibility check</t>
  </si>
  <si>
    <t>REALITY CHECK - SAME CAPACITY AT HISTORICAL CPI</t>
  </si>
  <si>
    <t>Value earned on remaining capacity (MM)</t>
  </si>
  <si>
    <t>Profit / (loss) added (MM)</t>
  </si>
  <si>
    <t>CPI needed just to break even for the year</t>
  </si>
  <si>
    <t>Job Type</t>
  </si>
  <si>
    <t>JobNumber</t>
  </si>
  <si>
    <t>FullName</t>
  </si>
  <si>
    <t>Total MM</t>
  </si>
  <si>
    <t>%</t>
  </si>
  <si>
    <t>WorkAreaCode</t>
  </si>
  <si>
    <t>EmployeeAreaCode</t>
  </si>
  <si>
    <t>DepartmentABR</t>
  </si>
  <si>
    <t>EmployeeID</t>
  </si>
  <si>
    <t>RegularHours</t>
  </si>
  <si>
    <t>OvertimeHours</t>
  </si>
  <si>
    <t>Date</t>
  </si>
  <si>
    <t>Phase</t>
  </si>
  <si>
    <t>Task</t>
  </si>
  <si>
    <t>WorkScope</t>
  </si>
  <si>
    <t>TotalHours</t>
  </si>
  <si>
    <t>MappedDepartmentABR</t>
  </si>
  <si>
    <t>Grade</t>
  </si>
  <si>
    <t>DCNID</t>
  </si>
  <si>
    <t>BudgetStatus</t>
  </si>
  <si>
    <t>PercentProgress</t>
  </si>
  <si>
    <t>ProgressDepBudget</t>
  </si>
  <si>
    <t>JobDept</t>
  </si>
  <si>
    <t>BudgetedDeptABR</t>
  </si>
  <si>
    <t>OfficeCode</t>
  </si>
  <si>
    <t>AreaDept</t>
  </si>
  <si>
    <t>EmployeeOffice</t>
  </si>
  <si>
    <t>CurrentUnitDesc</t>
  </si>
  <si>
    <t>CurrentUnitId</t>
  </si>
  <si>
    <t>JobDeptUnit</t>
  </si>
  <si>
    <t>JobStatus</t>
  </si>
  <si>
    <t>RegularHoursSubmitted</t>
  </si>
  <si>
    <t>OvertimeHoursSubmitted</t>
  </si>
  <si>
    <t>SourceID</t>
  </si>
  <si>
    <t>TimesheetStatusId</t>
  </si>
  <si>
    <t>TotalTimesheetHours</t>
  </si>
  <si>
    <t>EmployeeWeek</t>
  </si>
  <si>
    <t>EmployeeDay</t>
  </si>
  <si>
    <t>Expenditure Type</t>
  </si>
  <si>
    <t>DeliverableID</t>
  </si>
  <si>
    <t>InOut</t>
  </si>
  <si>
    <t>EAC</t>
  </si>
  <si>
    <t>ETC</t>
  </si>
  <si>
    <t>BudgetAtProgressDate</t>
  </si>
  <si>
    <t>SpentAtProgressDate</t>
  </si>
  <si>
    <t>InOutSourcing</t>
  </si>
  <si>
    <t>WkSummarykey</t>
  </si>
  <si>
    <t>WKeyOffice</t>
  </si>
  <si>
    <t>DeliverableDescription</t>
  </si>
  <si>
    <t>CPI_New</t>
  </si>
  <si>
    <t>EAC1_New</t>
  </si>
  <si>
    <t>EAC2_New</t>
  </si>
  <si>
    <t>ETC1_New</t>
  </si>
  <si>
    <t>ETC2_New</t>
  </si>
  <si>
    <t>EV_New</t>
  </si>
  <si>
    <t>MaximumEAC</t>
  </si>
  <si>
    <t>MinimumEAC</t>
  </si>
  <si>
    <t>PercentPlanedWork_New</t>
  </si>
  <si>
    <t>PV_New</t>
  </si>
  <si>
    <t>SPI_New</t>
  </si>
  <si>
    <t>EV_New_MM</t>
  </si>
  <si>
    <t>EV_without99</t>
  </si>
  <si>
    <t>EAC1without99</t>
  </si>
  <si>
    <t>ETC1Without99</t>
  </si>
  <si>
    <t>CumulativeSpent</t>
  </si>
  <si>
    <t>CumulativeSpentMM</t>
  </si>
  <si>
    <t>EAC1 Based on CumulativeSpent</t>
  </si>
  <si>
    <t>ETC1 Based on CumulativeSpent</t>
  </si>
  <si>
    <t>EAC2 Based on Cumulative Spent</t>
  </si>
  <si>
    <t>IsLatestProgressDate</t>
  </si>
  <si>
    <t>IsMaximumdate</t>
  </si>
  <si>
    <t>3-Proposals Regular</t>
  </si>
  <si>
    <t>WWOM250731</t>
  </si>
  <si>
    <t>Ahmed Mitwally</t>
  </si>
  <si>
    <t>1-Projects</t>
  </si>
  <si>
    <t>6-Additives</t>
  </si>
  <si>
    <t>LATE</t>
  </si>
  <si>
    <t>HOLIDAY</t>
  </si>
  <si>
    <t>2-Proposals Chargeable</t>
  </si>
  <si>
    <t>PN230795C</t>
  </si>
  <si>
    <t>LEAVE</t>
  </si>
  <si>
    <t>WWMZ250249</t>
  </si>
  <si>
    <t>AD24217-0100D</t>
  </si>
  <si>
    <t>PECO231523C</t>
  </si>
  <si>
    <t>WWOM250791</t>
  </si>
  <si>
    <t>QL251243</t>
  </si>
  <si>
    <t>WWMZ251598</t>
  </si>
  <si>
    <t>PJ260118</t>
  </si>
  <si>
    <t>WWL260195</t>
  </si>
  <si>
    <t>PAL251195C</t>
  </si>
  <si>
    <t>WWS260269</t>
  </si>
  <si>
    <t>WWN260200</t>
  </si>
  <si>
    <t>PAN260617C</t>
  </si>
  <si>
    <t>EXCUSE.PER</t>
  </si>
  <si>
    <t>WORK CALENDAR - SETTINGS</t>
  </si>
  <si>
    <t>These settings drive the Timesheet Daily and Deliverable Actuals sheets. Blue cells are inputs you can change.</t>
  </si>
  <si>
    <t>WORKING WEEK</t>
  </si>
  <si>
    <t>1 = normal working day, 0 = weekend</t>
  </si>
  <si>
    <t>Weekday no.</t>
  </si>
  <si>
    <t>Day</t>
  </si>
  <si>
    <t>Working?</t>
  </si>
  <si>
    <t>Sunday</t>
  </si>
  <si>
    <t>Monday</t>
  </si>
  <si>
    <t>Tuesday</t>
  </si>
  <si>
    <t>Wednesday</t>
  </si>
  <si>
    <t>Thursday</t>
  </si>
  <si>
    <t>Friday</t>
  </si>
  <si>
    <t>Saturday</t>
  </si>
  <si>
    <t>Standard hours per working day</t>
  </si>
  <si>
    <t>Analysis start date</t>
  </si>
  <si>
    <t>Analysis end date</t>
  </si>
  <si>
    <t>ENGINEERS</t>
  </si>
  <si>
    <t>Pattern is matched against FullName on Timesheet Raw. Keep the asterisks.</t>
  </si>
  <si>
    <t>Short name</t>
  </si>
  <si>
    <t>Match pattern</t>
  </si>
  <si>
    <t>Available hrs / month</t>
  </si>
  <si>
    <t>*Ahmed*</t>
  </si>
  <si>
    <t>*Osama*</t>
  </si>
  <si>
    <t>*Kirolos*</t>
  </si>
  <si>
    <t>NON-PROJECT CHARGE CODES</t>
  </si>
  <si>
    <t>JobNumber values that mean the engineer was not doing project work</t>
  </si>
  <si>
    <t>Meaning</t>
  </si>
  <si>
    <t>Treat as</t>
  </si>
  <si>
    <t>Public holiday or company closure</t>
  </si>
  <si>
    <t>Day off</t>
  </si>
  <si>
    <t>Annual or sick leave</t>
  </si>
  <si>
    <t>Personal excuse, part of a day</t>
  </si>
  <si>
    <t>Partial absence</t>
  </si>
  <si>
    <t>Late arrival, part of a day</t>
  </si>
  <si>
    <t>PUBLIC HOLIDAYS / CLOSURES</t>
  </si>
  <si>
    <t>Optional. Holidays already charged as HOLIDAY are detected automatically; use this list for future dates.</t>
  </si>
  <si>
    <t>Name</t>
  </si>
  <si>
    <t>TIMESHEET DAILY - WHO CHARGED WHAT, AND WHICH DAYS NOBODY WORKED</t>
  </si>
  <si>
    <t>Calendar</t>
  </si>
  <si>
    <t>Ahmed Project</t>
  </si>
  <si>
    <t>Ahmed Proposal</t>
  </si>
  <si>
    <t>Ahmed Other</t>
  </si>
  <si>
    <t>Ahmed Total</t>
  </si>
  <si>
    <t>Ahmed Status</t>
  </si>
  <si>
    <t>Osama Project</t>
  </si>
  <si>
    <t>Osama Proposal</t>
  </si>
  <si>
    <t>Osama Other</t>
  </si>
  <si>
    <t>Osama Total</t>
  </si>
  <si>
    <t>Osama Status</t>
  </si>
  <si>
    <t>Kirolos Project</t>
  </si>
  <si>
    <t>Kirolos Proposal</t>
  </si>
  <si>
    <t>Kirolos Other</t>
  </si>
  <si>
    <t>Kirolos Total</t>
  </si>
  <si>
    <t>Kirolos Status</t>
  </si>
  <si>
    <t>Match pattern &gt;</t>
  </si>
  <si>
    <t>Last date found in timesheet data</t>
  </si>
  <si>
    <t>FirstLineForDay (helper)</t>
  </si>
  <si>
    <t>DayKey (helper)</t>
  </si>
  <si>
    <t>Weekend code for working-day maths</t>
  </si>
  <si>
    <t>Built from the working week above (Mon..Sun, 1 = non-working)</t>
  </si>
  <si>
    <t>DELIVERABLE ACTUALS - REAL DATES, REAL HOURS, AND TIME SPENT DORMANT</t>
  </si>
  <si>
    <t>Register status</t>
  </si>
  <si>
    <t>TS Phase (set once)</t>
  </si>
  <si>
    <t>Started?</t>
  </si>
  <si>
    <t>Phase hours (all)</t>
  </si>
  <si>
    <t>Rows sharing</t>
  </si>
  <si>
    <t>Actual hours</t>
  </si>
  <si>
    <t>First charge</t>
  </si>
  <si>
    <t>Last charge</t>
  </si>
  <si>
    <t>Calendar days</t>
  </si>
  <si>
    <t>Working days</t>
  </si>
  <si>
    <t>Days charged</t>
  </si>
  <si>
    <t>Dormant days</t>
  </si>
  <si>
    <t>Dormant %</t>
  </si>
  <si>
    <t>Activity status</t>
  </si>
  <si>
    <t>Actual start (timesheet)</t>
  </si>
  <si>
    <t>Last activity (timesheet)</t>
  </si>
  <si>
    <t>Actual hours to date</t>
  </si>
  <si>
    <t>Dormant working days</t>
  </si>
  <si>
    <t>DATA CHECK - RUN YOUR EYE OVER THIS AFTER EVERY MONTHLY PASTE</t>
  </si>
  <si>
    <t>Rows detected</t>
  </si>
  <si>
    <t>First date in data</t>
  </si>
  <si>
    <t>Last date in data</t>
  </si>
  <si>
    <t>Total hours in data</t>
  </si>
  <si>
    <t>Rows matched to Ahmed</t>
  </si>
  <si>
    <t>Rows matched to Osama</t>
  </si>
  <si>
    <t>Rows matched to Kirolos</t>
  </si>
  <si>
    <t>Rows matched to nobody</t>
  </si>
  <si>
    <t>HOW TO UPDATE EACH MONTH</t>
  </si>
  <si>
    <t>Deliverables in register</t>
  </si>
  <si>
    <t>Linked to a timesheet phase</t>
  </si>
  <si>
    <t>Total actual hours attributed</t>
  </si>
  <si>
    <t>Ahmed Absence / Late</t>
  </si>
  <si>
    <t>Osama Absence / Late</t>
  </si>
  <si>
    <t>Kirolos Absence / Late</t>
  </si>
  <si>
    <t>Every date in the analysis window from Work Calendar. "IDLE - no charge" means a normal working day with no timesheet entry at all. "Day off" means HOLIDAY or LEAVE was charged for the full day. The Absence / Late column also picks up part-day LATE and EXCUSE.PER charges.</t>
  </si>
  <si>
    <t>Ahmed Overtime</t>
  </si>
  <si>
    <t>Ahmed Manual status</t>
  </si>
  <si>
    <t>Osama Overtime</t>
  </si>
  <si>
    <t>Osama Manual status</t>
  </si>
  <si>
    <t>Kirolos Overtime</t>
  </si>
  <si>
    <t>Kirolos Manual status</t>
  </si>
  <si>
    <t>PrevChargeDate (helper)</t>
  </si>
  <si>
    <t>GapWorkingDays (helper)</t>
  </si>
  <si>
    <t>Gap that counts as a real stoppage (working days)</t>
  </si>
  <si>
    <t>Longest stoppage (working days)</t>
  </si>
  <si>
    <t>Stoppage started</t>
  </si>
  <si>
    <t>Stoppage ended</t>
  </si>
  <si>
    <t>Activity spells</t>
  </si>
  <si>
    <t>MANUAL: Actual start</t>
  </si>
  <si>
    <t>MANUAL: Actual finish</t>
  </si>
  <si>
    <t>MANUAL: Submitted to client</t>
  </si>
  <si>
    <t>MANUAL: Comments received</t>
  </si>
  <si>
    <t>MANUAL: Resubmitted</t>
  </si>
  <si>
    <t>MANUAL: Completed</t>
  </si>
  <si>
    <t>Start variance (days)</t>
  </si>
  <si>
    <t>Finish variance (days)</t>
  </si>
  <si>
    <t>Working days awaiting client</t>
  </si>
  <si>
    <t>Internal idle days</t>
  </si>
  <si>
    <t>Date check</t>
  </si>
  <si>
    <t>Columns A-R are derived from the timesheet. The mid-blue block (W-AB) is yours to type into: real milestone dates from the DCN / register. Start and finish variance compare what you typed against what the timesheet actually shows, so a register that disagrees with the timesheet is flagged rather than hidden. "Longest stoppage" and "Activity spells" show whether a deliverable ran continuously or stopped and restarted - a submitted-then-waiting-for-comments deliverable will show 2 or more spells.</t>
  </si>
  <si>
    <t>Total working days awaiting client</t>
  </si>
  <si>
    <t>Longest single stoppage (working days)</t>
  </si>
  <si>
    <t>Rows where your dates disagree with timesheet</t>
  </si>
  <si>
    <t>First row of its phase group?</t>
  </si>
  <si>
    <t>SUMMARY (counted once per phase group, not per berth)</t>
  </si>
  <si>
    <t>Phase groups charged</t>
  </si>
  <si>
    <t>Phase groups never charged</t>
  </si>
  <si>
    <t>Phase groups currently dormant</t>
  </si>
  <si>
    <t>Total internal idle working days</t>
  </si>
  <si>
    <t>Phase groups that stopped and restarted</t>
  </si>
  <si>
    <t>Osama Ayman</t>
  </si>
  <si>
    <t>Kirolos Nazih</t>
  </si>
  <si>
    <t>PROPOSALS - REAL PROPOSAL NUMBERS FROM THE TIMESHEET</t>
  </si>
  <si>
    <t>The list in column A builds itself from Timesheet Raw - every job booked under a proposal job type. It grows and shrinks with the data, so a new proposal appears automatically after each monthly paste. Yearly totals on the right feed the Proposals rows in the Deliverables register.</t>
  </si>
  <si>
    <t>Proposal number</t>
  </si>
  <si>
    <t>Total hrs</t>
  </si>
  <si>
    <t>YEARLY TOTALS</t>
  </si>
  <si>
    <t>Proposals used</t>
  </si>
  <si>
    <t>Chargeable hrs</t>
  </si>
  <si>
    <t>REGISTER LINK - hours behind each Proposals row in the Deliverables register</t>
  </si>
  <si>
    <t>Register label</t>
  </si>
  <si>
    <t>Job type</t>
  </si>
  <si>
    <t>Hours</t>
  </si>
  <si>
    <t>SUPPORT PLAN - BENGALURU AND DRAFTSMAN SUPPORT PER DELIVERABLE</t>
  </si>
  <si>
    <t>One row per deliverable, same order as the Deliverables register. Blue cells are yours to fill. Cairo hours come from the timesheet automatically. Where the planned office and the delivered office differ, the row is flagged and the hours Cairo had to absorb are calculated - that is the capacity cost of the shift.</t>
  </si>
  <si>
    <t>PLANNED office</t>
  </si>
  <si>
    <t>PLANNED Bengaluru hrs</t>
  </si>
  <si>
    <t>PLANNED draftsman hrs</t>
  </si>
  <si>
    <t>DELIVERED office</t>
  </si>
  <si>
    <t>Office shift date</t>
  </si>
  <si>
    <t>Shift reason</t>
  </si>
  <si>
    <t>ACTUAL Bengaluru hrs</t>
  </si>
  <si>
    <t>ACTUAL draftsman hrs</t>
  </si>
  <si>
    <t>Cairo hrs (timesheet)</t>
  </si>
  <si>
    <t>Total delivered hrs</t>
  </si>
  <si>
    <t>Cairo share</t>
  </si>
  <si>
    <t>Bengaluru share</t>
  </si>
  <si>
    <t>Draftsman share</t>
  </si>
  <si>
    <t>Bengaluru shortfall hrs</t>
  </si>
  <si>
    <t>Shift status</t>
  </si>
  <si>
    <t>SUPPORT SUMMARY</t>
  </si>
  <si>
    <t>Deliverables with a planned office set</t>
  </si>
  <si>
    <t>Deliverables shifted away from plan</t>
  </si>
  <si>
    <t>Bengaluru shortfall hrs (absorbed by Cairo)</t>
  </si>
  <si>
    <t>Shortfall in man-months</t>
  </si>
  <si>
    <t>Cairo share of delivery</t>
  </si>
  <si>
    <t>Bengaluru share of delivery</t>
  </si>
  <si>
    <t>Draftsman share of delivery</t>
  </si>
  <si>
    <t>TEAM PERFORMANCE DEPENDENCY - DRAFTSMEN AND BENGALURU</t>
  </si>
  <si>
    <t>Cairo hours come from the timesheet. Bengaluru and draftsman hours are entered per deliverable on the Support Plan sheet. Until those are filled in, delivery reads as 100% Cairo.</t>
  </si>
  <si>
    <t>DELIVERY MIX</t>
  </si>
  <si>
    <t>Share</t>
  </si>
  <si>
    <t>Man-months</t>
  </si>
  <si>
    <t>Cairo team (from timesheet)</t>
  </si>
  <si>
    <t>Bengaluru support</t>
  </si>
  <si>
    <t>Draftsman support</t>
  </si>
  <si>
    <t>Total delivered</t>
  </si>
  <si>
    <t>BENGALURU: PLAN VERSUS REALITY</t>
  </si>
  <si>
    <t>Planned Bengaluru hours</t>
  </si>
  <si>
    <t>Actual Bengaluru hours</t>
  </si>
  <si>
    <t>Shortfall absorbed by Cairo (hours)</t>
  </si>
  <si>
    <t>Shortfall absorbed by Cairo (man-months)</t>
  </si>
  <si>
    <t>As a share of Cairo capacity left this year</t>
  </si>
  <si>
    <t>Deliverables shifted away from the planned office</t>
  </si>
  <si>
    <t>DRAFTSMAN DEPENDENCY</t>
  </si>
  <si>
    <t>Planned draftsman hours</t>
  </si>
  <si>
    <t>Actual draftsman hours</t>
  </si>
  <si>
    <t>Deliverables relying on a draftsman</t>
  </si>
  <si>
    <t>VERDICT</t>
  </si>
  <si>
    <t>TIMESHEET - AHMED MITWALLY  |  PASTE TARGET. Delete row 4 downward, then paste this person's export into A4. Do not touch row 3.</t>
  </si>
  <si>
    <t>TIMESHEET - OSAMA AYMAN  |  PASTE TARGET. Delete row 4 downward, then paste this person's export into A4. Do not touch row 3.</t>
  </si>
  <si>
    <t>TIMESHEET - KIROLOS NAZIH  |  PASTE TARGET. Delete row 4 downward, then paste this person's export into A4. Do not touch row 3.</t>
  </si>
  <si>
    <t>TIMESHEET RAW - CONSOLIDATED VIEW. Do not type here. This sheet stacks the three per-engineer sheets automatically. Paste each person's export into TS Ahmed, TS Osama or TS Kirolos instead.</t>
  </si>
  <si>
    <t>WORKLOAD &amp; PROFIT PLAN - START HERE</t>
  </si>
  <si>
    <t>Click any sheet name to jump straight to it. Blue-text cells anywhere in this workbook are inputs you can change; green text is pulled from another sheet; black is calculated.</t>
  </si>
  <si>
    <t>1 - WHERE YOU ENTER DATA</t>
  </si>
  <si>
    <t>What you put there</t>
  </si>
  <si>
    <t>How often</t>
  </si>
  <si>
    <t>TS Ahmed</t>
  </si>
  <si>
    <t>Paste Ahmed's monthly timesheet export into cell A4</t>
  </si>
  <si>
    <t>Monthly</t>
  </si>
  <si>
    <t>TS Osama</t>
  </si>
  <si>
    <t>Paste Osama's monthly timesheet export into cell A4</t>
  </si>
  <si>
    <t>TS Kirolos</t>
  </si>
  <si>
    <t>Paste Kirolos's monthly timesheet export into cell A4</t>
  </si>
  <si>
    <t>Progress: step reached, credit %, status date, engineer % split</t>
  </si>
  <si>
    <t>Deliverable Actuals</t>
  </si>
  <si>
    <t>Real milestone dates - submitted, comments received, resubmitted, completed (blue block W:AB)</t>
  </si>
  <si>
    <t>Support Plan</t>
  </si>
  <si>
    <t>Bengaluru and draftsman support: planned, delivered, office shift date and reason</t>
  </si>
  <si>
    <t>When resourcing changes</t>
  </si>
  <si>
    <t>Profit Plan</t>
  </si>
  <si>
    <t>Expected hours to finish each deliverable (column K) and the planning assumptions at the top</t>
  </si>
  <si>
    <t>When re-planning</t>
  </si>
  <si>
    <t>Phasing</t>
  </si>
  <si>
    <t>Inputs</t>
  </si>
  <si>
    <t>Project master data: budget MM, start and end dates, team availability</t>
  </si>
  <si>
    <t>When a project is added</t>
  </si>
  <si>
    <t>Work Calendar</t>
  </si>
  <si>
    <t>Working week, public holidays, engineer name patterns, hours per day</t>
  </si>
  <si>
    <t>Rarely</t>
  </si>
  <si>
    <t>2 - WHERE YOU READ THE OUTPUT</t>
  </si>
  <si>
    <t>What it answers</t>
  </si>
  <si>
    <t>Delivery Sequence</t>
  </si>
  <si>
    <t>In what order should we deliver, and where does the year-end profit land?</t>
  </si>
  <si>
    <t>What does the rest of the year look like, and is the plan credible?</t>
  </si>
  <si>
    <t>Dashboard</t>
  </si>
  <si>
    <t>Portfolio KPIs for any year or quarter: planned, actual, earned, CPI, utilisation</t>
  </si>
  <si>
    <t>Mgmt Review</t>
  </si>
  <si>
    <t>Team performance, plan adherence, and dependency on draftsmen and Bengaluru</t>
  </si>
  <si>
    <t>Timesheet Daily</t>
  </si>
  <si>
    <t>Who charged what on every date: project, proposal, absence, overtime, idle or leave</t>
  </si>
  <si>
    <t>Real start and finish dates, dormant days, stoppages, activity spells</t>
  </si>
  <si>
    <t>Proposal effort by real proposal number and by year</t>
  </si>
  <si>
    <t>Engineer KPIs</t>
  </si>
  <si>
    <t>Per-engineer performance measures</t>
  </si>
  <si>
    <t>Scorecard</t>
  </si>
  <si>
    <t>Summary scoring view</t>
  </si>
  <si>
    <t>Team Member</t>
  </si>
  <si>
    <t>Individual workload detail</t>
  </si>
  <si>
    <t>Analysis</t>
  </si>
  <si>
    <t>Quarterly efficiency and profitability by project</t>
  </si>
  <si>
    <t>Timesheet Raw</t>
  </si>
  <si>
    <t>Consolidated timesheet - read only, builds itself from the three TS sheets</t>
  </si>
  <si>
    <t>3 - HOW THE WORKBOOK FLOWS</t>
  </si>
  <si>
    <t>The three TS sheets feed Timesheet Raw, which feeds Timesheet Daily (day-by-day) and Deliverable Actuals (deliverable-by-deliverable).</t>
  </si>
  <si>
    <t>Deliverable Actuals plus the Deliverables register feed the Profit Plan, which ranks the remaining work and produces the Delivery Sequence.</t>
  </si>
  <si>
    <t>Support Plan feeds the dependency section of Mgmt Review. Proposals feeds the proposal rows of the register.</t>
  </si>
  <si>
    <t>4 - MONTHLY ROUTINE</t>
  </si>
  <si>
    <t>Step 1. Paste each engineer's export into TS Ahmed, TS Osama and TS Kirolos (cell A4, after deleting the old rows).</t>
  </si>
  <si>
    <t>Step 2. Open Work Calendar and check the DATA CHECK block: row count, date range, and that no rows are unmatched.</t>
  </si>
  <si>
    <t>Step 3. Update progress on the Deliverables register and milestone dates on Deliverable Actuals.</t>
  </si>
  <si>
    <t>Step 5. Read the result on Delivery Sequence, Profit Plan and Mgmt Review.</t>
  </si>
  <si>
    <t>1.  Open TS Ahmed, TS Osama and TS Kirolos. On each, select row 4 down to the last row of data and delete the rows.</t>
  </si>
  <si>
    <t>2.  Paste each person's new export into cell A4 of their own sheet. Include every column in the same order, but not the export's own header rows.</t>
  </si>
  <si>
    <t>3.  Timesheet Raw rebuilds itself from those three sheets - never type on it.</t>
  </si>
  <si>
    <t>4.  Come back here and check the DATA CHECK block above: row count, date range, and that no rows are unmatched.</t>
  </si>
  <si>
    <t>5.  If a new engineer joins, add a sheet for them, add their match pattern in the ENGINEERS block, and add them to the formula in Timesheet Raw cell A4.</t>
  </si>
  <si>
    <t>7.  Only revisit the TS Phase column on Deliverable Actuals if a new deliverable is added to the register. Support Plan and Proposals need no monthly work.</t>
  </si>
  <si>
    <t>Built automatically from TS Ahmed + TS Osama + TS Kirolos by the formula in cell A4. Each source sheet is read from row 4 to row 6000, so up to about 18,000 rows in total. Helper columns BU:BX are used by the dormancy and stoppage calculations.</t>
  </si>
  <si>
    <t/>
  </si>
  <si>
    <t>NOW CALCULATED FROM THE TIMESHEET - do not type in the grid below.</t>
  </si>
  <si>
    <t>Each cell sums Timesheet Raw hours for that project code (or proposal job type and year) and that engineer, within the quarter, divided by hours per man-month. Project and proposal hours count; HOLIDAY, LEAVE, LATE and EXCUSE do not. Quarters earlier than your loaded timesheet history read zero - paste the fuller exports into the TS sheets to fill them. The grid as it was previously typed is preserved on the sheet 'Phasing Actual (typed backup)'.</t>
  </si>
  <si>
    <t>ACTUAL MM BOOKED - by project and engineer, per quarter (CALCULATED from the timesheet)</t>
  </si>
  <si>
    <t>Planned MM overrides only (the block from row 93). Actual MM is now calculated from the timesheet - do not type in it.</t>
  </si>
  <si>
    <t>Inputs and Phasing feed Analysis, which feeds the Dashboard. Phasing actual MM is now calculated from the timesheet, so the Dashboard and Analysis move as soon as you paste.</t>
  </si>
  <si>
    <t>Step 4. Nothing to retype for actual MM - Phasing now reads it from the timesheet. Just check the Dashboard and Analysis have moved.</t>
  </si>
  <si>
    <t>6.  Update progress on the Deliverables register and milestone dates on Deliverable Actuals. Actual MM on Phasing now calculates itself - do not type in that grid.</t>
  </si>
  <si>
    <t>39-0</t>
  </si>
  <si>
    <t>SB</t>
  </si>
  <si>
    <t>063381</t>
  </si>
  <si>
    <t>HO Design</t>
  </si>
  <si>
    <t>P3</t>
  </si>
  <si>
    <t>AN22137-0100DSB</t>
  </si>
  <si>
    <t>39</t>
  </si>
  <si>
    <t>39SB</t>
  </si>
  <si>
    <t>Cairo</t>
  </si>
  <si>
    <t>MARINE STRUCTURES</t>
  </si>
  <si>
    <t>3SB0005</t>
  </si>
  <si>
    <t>AN22137-0100DSB3SB0005</t>
  </si>
  <si>
    <t>0633818/26/2024</t>
  </si>
  <si>
    <t>2- Over Budget</t>
  </si>
  <si>
    <t>{62981CBA-A730-4F38-8113-B1E1C75C8874}</t>
  </si>
  <si>
    <t>Outside Pune</t>
  </si>
  <si>
    <t>Outside India</t>
  </si>
  <si>
    <t>AN22137-0100DSB162981CBA-A730-4F38-8113-B1E1C75C8874</t>
  </si>
  <si>
    <t>AN22137-0100DSB162981CBA-A730-4F38-8113-B1E1C75C887439</t>
  </si>
  <si>
    <t>Preliminary Design Package SB</t>
  </si>
  <si>
    <t>MZ22111-0100D</t>
  </si>
  <si>
    <t>MZ22111-0100DSB</t>
  </si>
  <si>
    <t>MZ22111-0100DSB3SB0005</t>
  </si>
  <si>
    <t>0633818/21/2023</t>
  </si>
  <si>
    <t>1- Within Budget</t>
  </si>
  <si>
    <t>{8F485B15-FAC5-4ADC-A8CB-FAE7BCBCE989}</t>
  </si>
  <si>
    <t>MZ22111-0100DSB48F485B15-FAC5-4ADC-A8CB-FAE7BCBCE989</t>
  </si>
  <si>
    <t>MZ22111-0100DSB48F485B15-FAC5-4ADC-A8CB-FAE7BCBCE98939</t>
  </si>
  <si>
    <t>Tender Docs SB</t>
  </si>
  <si>
    <t>AN23232-0100DSB</t>
  </si>
  <si>
    <t>AN23232-0100DSB3SB0005</t>
  </si>
  <si>
    <t>0633811/29/2024</t>
  </si>
  <si>
    <t>{AFDC3C51-E10D-4263-94DE-948A966E3B27}</t>
  </si>
  <si>
    <t>AN23232-0100DSB3AFDC3C51-E10D-4263-94DE-948A966E3B27</t>
  </si>
  <si>
    <t>AN23232-0100DSB3AFDC3C51-E10D-4263-94DE-948A966E3B2739</t>
  </si>
  <si>
    <t>(SB) MARINE DESIGN DEVELOPMENT</t>
  </si>
  <si>
    <t>Lead</t>
  </si>
  <si>
    <t>N25185-0100DSB</t>
  </si>
  <si>
    <t>N25185-0100DSB3SB0005</t>
  </si>
  <si>
    <t>0633815/11/2026</t>
  </si>
  <si>
    <t>{07F345C7-7575-41B9-9B7F-18C5F5B46735}</t>
  </si>
  <si>
    <t>N25185-0100DSB407F345C7-7575-41B9-9B7F-18C5F5B46735</t>
  </si>
  <si>
    <t>N25185-0100DSB407F345C7-7575-41B9-9B7F-18C5F5B4673539</t>
  </si>
  <si>
    <t>Detailed Design ST</t>
  </si>
  <si>
    <t>E15025-0100D</t>
  </si>
  <si>
    <t>P1</t>
  </si>
  <si>
    <t>E15025-0100DSB</t>
  </si>
  <si>
    <t>E15025-0100DSB3SB0005</t>
  </si>
  <si>
    <t>0633818/28/2017</t>
  </si>
  <si>
    <t>E15025-0100DSB3</t>
  </si>
  <si>
    <t>E15025-0100DSB339</t>
  </si>
  <si>
    <t>S12066-0100D</t>
  </si>
  <si>
    <t>S12066-0100DSB</t>
  </si>
  <si>
    <t>S12066-0100DSB3SB0005</t>
  </si>
  <si>
    <t>0633811/9/2017</t>
  </si>
  <si>
    <t>S12066-0100DSB4</t>
  </si>
  <si>
    <t>S12066-0100DSB439</t>
  </si>
  <si>
    <t>S18137-0100D</t>
  </si>
  <si>
    <t>S18137-0100DSB</t>
  </si>
  <si>
    <t>S18137-0100DSB3SB0005</t>
  </si>
  <si>
    <t>06338111/19/2018</t>
  </si>
  <si>
    <t>S18137-0100DSB4</t>
  </si>
  <si>
    <t>S18137-0100DSB439</t>
  </si>
  <si>
    <t>PE241280C-09</t>
  </si>
  <si>
    <t>PE241280C-09SB</t>
  </si>
  <si>
    <t>PE241280C-09SB3SB0005</t>
  </si>
  <si>
    <t>0633811/13/2025</t>
  </si>
  <si>
    <t>4- Proposals</t>
  </si>
  <si>
    <t>PE241280C-09SB0</t>
  </si>
  <si>
    <t>PE241280C-09SB039</t>
  </si>
  <si>
    <t>0633814/20/2026</t>
  </si>
  <si>
    <t>0633818/31/2015</t>
  </si>
  <si>
    <t>D16113-0100D</t>
  </si>
  <si>
    <t>D16113-0100DSB</t>
  </si>
  <si>
    <t>D16113-0100DSB3SB0005</t>
  </si>
  <si>
    <t>0633815/28/2018</t>
  </si>
  <si>
    <t>D16113-0100DSB4</t>
  </si>
  <si>
    <t>D16113-0100DSB439</t>
  </si>
  <si>
    <t>ECO21209-0100D</t>
  </si>
  <si>
    <t>ECO21209-0100DSB</t>
  </si>
  <si>
    <t>ECO21209-0100DSB3SB0005</t>
  </si>
  <si>
    <t>06338110/9/2023</t>
  </si>
  <si>
    <t>{E0FF8784-2D17-480B-8312-AE9154EF4D24}</t>
  </si>
  <si>
    <t>ECO21209-0100DSB4E0FF8784-2D17-480B-8312-AE9154EF4D24</t>
  </si>
  <si>
    <t>ECO21209-0100DSB4E0FF8784-2D17-480B-8312-AE9154EF4D2439</t>
  </si>
  <si>
    <t>Detailed Design SB</t>
  </si>
  <si>
    <t>PN230795CSB</t>
  </si>
  <si>
    <t>PN230795CSB3SB0005</t>
  </si>
  <si>
    <t>0633814/15/2024</t>
  </si>
  <si>
    <t>PN230795CSB0</t>
  </si>
  <si>
    <t>PN230795CSB039</t>
  </si>
  <si>
    <t>D17099-0200S</t>
  </si>
  <si>
    <t>45-3</t>
  </si>
  <si>
    <t>Site</t>
  </si>
  <si>
    <t>D17099-0200SSB</t>
  </si>
  <si>
    <t>D17099-0200SSB3SB0005</t>
  </si>
  <si>
    <t>0633812/25/2019</t>
  </si>
  <si>
    <t>3- Supervision</t>
  </si>
  <si>
    <t>D17099-0200SSB6</t>
  </si>
  <si>
    <t>D17099-0200SSB639</t>
  </si>
  <si>
    <t>0633815/2/2016</t>
  </si>
  <si>
    <t>E15025-0100DSB1</t>
  </si>
  <si>
    <t>E15025-0100DSB139</t>
  </si>
  <si>
    <t>N23106-0100DSB</t>
  </si>
  <si>
    <t>N23106-0100DSB3SB0005</t>
  </si>
  <si>
    <t>{922B80F0-D856-4711-B166-4D988BD42FCD}</t>
  </si>
  <si>
    <t>N23106-0100DSB3922B80F0-D856-4711-B166-4D988BD42FCD</t>
  </si>
  <si>
    <t>N23106-0100DSB3922B80F0-D856-4711-B166-4D988BD42FCD39</t>
  </si>
  <si>
    <t>FEED Design Package SB</t>
  </si>
  <si>
    <t>06338111/10/2025</t>
  </si>
  <si>
    <t>{0A19BE2B-B590-4F00-9FB1-A2B3636B3C30}</t>
  </si>
  <si>
    <t>N25185-0100DSB10A19BE2B-B590-4F00-9FB1-A2B3636B3C30</t>
  </si>
  <si>
    <t>N25185-0100DSB10A19BE2B-B590-4F00-9FB1-A2B3636B3C3039</t>
  </si>
  <si>
    <t>Concept Design ST</t>
  </si>
  <si>
    <t>0633816/27/2016</t>
  </si>
  <si>
    <t>0633817/25/2016</t>
  </si>
  <si>
    <t>S15096-0100D</t>
  </si>
  <si>
    <t>S15096-0100DSB</t>
  </si>
  <si>
    <t>S15096-0100DSB3SB0005</t>
  </si>
  <si>
    <t>0633818/27/2018</t>
  </si>
  <si>
    <t>S15096-0100DSB4</t>
  </si>
  <si>
    <t>S15096-0100DSB439</t>
  </si>
  <si>
    <t>06338111/26/2018</t>
  </si>
  <si>
    <t>0633818/22/2016</t>
  </si>
  <si>
    <t>E15025-0100DSB4</t>
  </si>
  <si>
    <t>E15025-0100DSB439</t>
  </si>
  <si>
    <t>0633818/7/2017</t>
  </si>
  <si>
    <t>0633815/4/2026</t>
  </si>
  <si>
    <t>0633814/27/2026</t>
  </si>
  <si>
    <t>0633812/27/2017</t>
  </si>
  <si>
    <t>E15025-0100DSB2</t>
  </si>
  <si>
    <t>E15025-0100DSB239</t>
  </si>
  <si>
    <t>06338111/20/2017</t>
  </si>
  <si>
    <t>06338110/2/2023</t>
  </si>
  <si>
    <t>0633812/9/2026</t>
  </si>
  <si>
    <t>Q14104-0100D</t>
  </si>
  <si>
    <t>Q14104-0100DSB</t>
  </si>
  <si>
    <t>Q14104-0100DSB3SB0005</t>
  </si>
  <si>
    <t>0633811/29/2018</t>
  </si>
  <si>
    <t>Q14104-0100DSB3</t>
  </si>
  <si>
    <t>Q14104-0100DSB339</t>
  </si>
  <si>
    <t>S22058-0700DSB</t>
  </si>
  <si>
    <t>S22058-0700DSB3SB0005</t>
  </si>
  <si>
    <t>0633811/20/2025</t>
  </si>
  <si>
    <t>{273670FF-DFB4-41D7-AD83-2C211C8B9FE2}</t>
  </si>
  <si>
    <t>In Pune</t>
  </si>
  <si>
    <t>Insourced from other Dar Design Offices</t>
  </si>
  <si>
    <t>S22058-0700DSB4273670FF-DFB4-41D7-AD83-2C211C8B9FE2</t>
  </si>
  <si>
    <t>S22058-0700DSB4273670FF-DFB4-41D7-AD83-2C211C8B9FE239</t>
  </si>
  <si>
    <t>Detailed Design - ST</t>
  </si>
  <si>
    <t>B15027-0100D</t>
  </si>
  <si>
    <t>B15027-0100DSB</t>
  </si>
  <si>
    <t>B15027-0100DSB3SB0005</t>
  </si>
  <si>
    <t>0633813/13/2017</t>
  </si>
  <si>
    <t>Insourced from Area</t>
  </si>
  <si>
    <t>B15027-0100DSB2</t>
  </si>
  <si>
    <t>B15027-0100DSB239</t>
  </si>
  <si>
    <t>E18066-0104D</t>
  </si>
  <si>
    <t>P2</t>
  </si>
  <si>
    <t>E18066-0104DSB</t>
  </si>
  <si>
    <t>E18066-0104DSB3SB0005</t>
  </si>
  <si>
    <t>0633819/9/2019</t>
  </si>
  <si>
    <t>{731DFCEC-1B56-4585-8E96-CE8536A0BDA3}</t>
  </si>
  <si>
    <t>E18066-0104DSB3731DFCEC-1B56-4585-8E96-CE8536A0BDA3</t>
  </si>
  <si>
    <t>E18066-0104DSB3731DFCEC-1B56-4585-8E96-CE8536A0BDA339</t>
  </si>
  <si>
    <t>Phase 3 SB</t>
  </si>
  <si>
    <t>06338110/8/2018</t>
  </si>
  <si>
    <t>{B68D4F24-6BB2-4626-9589-9D0A89D804CD}</t>
  </si>
  <si>
    <t>E18066-0104DSB2B68D4F24-6BB2-4626-9589-9D0A89D804CD</t>
  </si>
  <si>
    <t>E18066-0104DSB2B68D4F24-6BB2-4626-9589-9D0A89D804CD39</t>
  </si>
  <si>
    <t>Phase 2 SB</t>
  </si>
  <si>
    <t>S22045-0100D</t>
  </si>
  <si>
    <t>S22045-0100DSB</t>
  </si>
  <si>
    <t>S22045-0100DSB3SB0005</t>
  </si>
  <si>
    <t>06338112/19/2022</t>
  </si>
  <si>
    <t>{64BB01BF-37E3-42F2-8EF6-A9998309D7D8}</t>
  </si>
  <si>
    <t>S22045-0100DSB164BB01BF-37E3-42F2-8EF6-A9998309D7D8</t>
  </si>
  <si>
    <t>S22045-0100DSB164BB01BF-37E3-42F2-8EF6-A9998309D7D839</t>
  </si>
  <si>
    <t>Stage 3A</t>
  </si>
  <si>
    <t>0633812/20/2017</t>
  </si>
  <si>
    <t>06338110/27/2025</t>
  </si>
  <si>
    <t>0633815/25/2026</t>
  </si>
  <si>
    <t>0633818/10/2015</t>
  </si>
  <si>
    <t>0633813/30/2026</t>
  </si>
  <si>
    <t>0633811/22/2018</t>
  </si>
  <si>
    <t>06338112/10/2018</t>
  </si>
  <si>
    <t>S24014-0102DSB</t>
  </si>
  <si>
    <t>S24014-0102DSB3SB0005</t>
  </si>
  <si>
    <t>0633817/28/2025</t>
  </si>
  <si>
    <t>{42A270B2-5218-4965-947E-11A73286AB69}</t>
  </si>
  <si>
    <t>S24014-0102DSB442A270B2-5218-4965-947E-11A73286AB69</t>
  </si>
  <si>
    <t>S24014-0102DSB442A270B2-5218-4965-947E-11A73286AB6939</t>
  </si>
  <si>
    <t>Vessel Collision - Concept Design, Calculations and Models of Structures - SB</t>
  </si>
  <si>
    <t>5-General</t>
  </si>
  <si>
    <t>GENERAL.1.EGP</t>
  </si>
  <si>
    <t>GENERAL.1.EGPSB</t>
  </si>
  <si>
    <t>GENERAL.1.EGPSB3SB0005</t>
  </si>
  <si>
    <t>0633816/19/2017</t>
  </si>
  <si>
    <t>GENERAL.1.EGPSB0</t>
  </si>
  <si>
    <t>GENERAL.1.EGPSB039</t>
  </si>
  <si>
    <t>0633818/21/2017</t>
  </si>
  <si>
    <t>0633815/9/2016</t>
  </si>
  <si>
    <t>0633817/22/2024</t>
  </si>
  <si>
    <t>0633815/18/2026</t>
  </si>
  <si>
    <t>0633814/13/2026</t>
  </si>
  <si>
    <t>0633817/3/2017</t>
  </si>
  <si>
    <t>0633812/12/2024</t>
  </si>
  <si>
    <t>{AA2EC30B-18CF-4497-806B-33AA4F0C1151}</t>
  </si>
  <si>
    <t>AN23232-0100DSB4AA2EC30B-18CF-4497-806B-33AA4F0C1151</t>
  </si>
  <si>
    <t>AN23232-0100DSB4AA2EC30B-18CF-4497-806B-33AA4F0C115139</t>
  </si>
  <si>
    <t>TENDER DOCUMENTS (SB)</t>
  </si>
  <si>
    <t>AN23276-0100DSB</t>
  </si>
  <si>
    <t>AN23276-0100DSB3SB0005</t>
  </si>
  <si>
    <t>0633817/15/2024</t>
  </si>
  <si>
    <t>{4AFE5100-91A8-466C-BC17-DB13E42B1C0C}</t>
  </si>
  <si>
    <t>AN23276-0100DSB24AFE5100-91A8-466C-BC17-DB13E42B1C0C</t>
  </si>
  <si>
    <t>AN23276-0100DSB24AFE5100-91A8-466C-BC17-DB13E42B1C0C39</t>
  </si>
  <si>
    <t>Engineering Design - SB</t>
  </si>
  <si>
    <t>0633816/4/2018</t>
  </si>
  <si>
    <t>0633818/15/2016</t>
  </si>
  <si>
    <t>0633812/19/2018</t>
  </si>
  <si>
    <t>0633816/8/2015</t>
  </si>
  <si>
    <t>S24100-0100DSB</t>
  </si>
  <si>
    <t>S24100-0100DSB3SB0005</t>
  </si>
  <si>
    <t>0633817/8/2024</t>
  </si>
  <si>
    <t>{FAEF1E85-3C92-4ECB-9DA9-E6158C8AB9B0}</t>
  </si>
  <si>
    <t>S24100-0100DSB1FAEF1E85-3C92-4ECB-9DA9-E6158C8AB9B0</t>
  </si>
  <si>
    <t>S24100-0100DSB1FAEF1E85-3C92-4ECB-9DA9-E6158C8AB9B039</t>
  </si>
  <si>
    <t>100% 3A-SB</t>
  </si>
  <si>
    <t>0633817/31/2017</t>
  </si>
  <si>
    <t>06338112/30/2019</t>
  </si>
  <si>
    <t>{04C1F619-945F-4907-AA7C-49B1D7C9CCF4}</t>
  </si>
  <si>
    <t>E18066-0104DSB404C1F619-945F-4907-AA7C-49B1D7C9CCF4</t>
  </si>
  <si>
    <t>E18066-0104DSB404C1F619-945F-4907-AA7C-49B1D7C9CCF439</t>
  </si>
  <si>
    <t>Phase 4 SB</t>
  </si>
  <si>
    <t>0633817/29/2024</t>
  </si>
  <si>
    <t>0633814/6/2026</t>
  </si>
  <si>
    <t>06338112/12/2022</t>
  </si>
  <si>
    <t>S22205-0100D</t>
  </si>
  <si>
    <t>S22205-0100DSB</t>
  </si>
  <si>
    <t>S22205-0100DSB3SB0005</t>
  </si>
  <si>
    <t>0633815/8/2023</t>
  </si>
  <si>
    <t>{68F4E034-4C8B-403A-97BB-F91B8BBF213C}</t>
  </si>
  <si>
    <t>S22205-0100DSB268F4E034-4C8B-403A-97BB-F91B8BBF213C</t>
  </si>
  <si>
    <t>S22205-0100DSB268F4E034-4C8B-403A-97BB-F91B8BBF213C39</t>
  </si>
  <si>
    <t>Stage 3A Concept design</t>
  </si>
  <si>
    <t>S24014-0101DSB</t>
  </si>
  <si>
    <t>S24014-0101DSB3SB0005</t>
  </si>
  <si>
    <t>0633813/4/2024</t>
  </si>
  <si>
    <t>{3364C301-C801-4C30-BBC4-CEE82CA9F141}</t>
  </si>
  <si>
    <t>S24014-0101DSB13364C301-C801-4C30-BBC4-CEE82CA9F141</t>
  </si>
  <si>
    <t>S24014-0101DSB13364C301-C801-4C30-BBC4-CEE82CA9F14139</t>
  </si>
  <si>
    <t>Project Plans - SB</t>
  </si>
  <si>
    <t>S24014-0103DSB</t>
  </si>
  <si>
    <t>S24014-0103DSB3SB0005</t>
  </si>
  <si>
    <t>06338110/7/2024</t>
  </si>
  <si>
    <t>{82EB2B3C-A98A-428B-8F00-9E0E8C15983F}</t>
  </si>
  <si>
    <t>S24014-0103DSB282EB2B3C-A98A-428B-8F00-9E0E8C15983F</t>
  </si>
  <si>
    <t>S24014-0103DSB282EB2B3C-A98A-428B-8F00-9E0E8C15983F39</t>
  </si>
  <si>
    <t>Develop Employer’s Requirements-SB</t>
  </si>
  <si>
    <t>0633816/26/2023</t>
  </si>
  <si>
    <t>0633812/2/2026</t>
  </si>
  <si>
    <t>0633814/6/2015</t>
  </si>
  <si>
    <t>06338112/3/2018</t>
  </si>
  <si>
    <t>0633817/7/2025</t>
  </si>
  <si>
    <t>PECO231523CSB</t>
  </si>
  <si>
    <t>PECO231523CSB3SB0005</t>
  </si>
  <si>
    <t>06338110/30/2023</t>
  </si>
  <si>
    <t>PECO231523CSB0</t>
  </si>
  <si>
    <t>PECO231523CSB039</t>
  </si>
  <si>
    <t>0633814/16/2018</t>
  </si>
  <si>
    <t>0633812/12/2018</t>
  </si>
  <si>
    <t>0633811/14/2019</t>
  </si>
  <si>
    <t>0633819/25/2023</t>
  </si>
  <si>
    <t>06338110/20/2025</t>
  </si>
  <si>
    <t>S08050</t>
  </si>
  <si>
    <t>S08050SB</t>
  </si>
  <si>
    <t>S08050SB3SB0005</t>
  </si>
  <si>
    <t>06338111/3/2014</t>
  </si>
  <si>
    <t>S08050SB4</t>
  </si>
  <si>
    <t>S08050SB439</t>
  </si>
  <si>
    <t>0633818/24/2015</t>
  </si>
  <si>
    <t>0633814/3/2023</t>
  </si>
  <si>
    <t>06338111/13/2023</t>
  </si>
  <si>
    <t>D15074-0100D</t>
  </si>
  <si>
    <t>D15074-0100DSB</t>
  </si>
  <si>
    <t>D15074-0100DSB3SB0005</t>
  </si>
  <si>
    <t>0633813/27/2017</t>
  </si>
  <si>
    <t>D15074-0100DSB4</t>
  </si>
  <si>
    <t>D15074-0100DSB439</t>
  </si>
  <si>
    <t>0633814/30/2018</t>
  </si>
  <si>
    <t>0633813/4/2019</t>
  </si>
  <si>
    <t>06338110/13/2025</t>
  </si>
  <si>
    <t>7-Idle</t>
  </si>
  <si>
    <t>Idle</t>
  </si>
  <si>
    <t>IdleSB</t>
  </si>
  <si>
    <t>IdleSB3SB0005</t>
  </si>
  <si>
    <t>0633811/4/2021</t>
  </si>
  <si>
    <t>IdleSB0</t>
  </si>
  <si>
    <t>IdleSB039</t>
  </si>
  <si>
    <t>0633814/29/2024</t>
  </si>
  <si>
    <t>0633811/15/2024</t>
  </si>
  <si>
    <t>D15015-0100D</t>
  </si>
  <si>
    <t>D15015-0100DSB</t>
  </si>
  <si>
    <t>D15015-0100DSB3SB0005</t>
  </si>
  <si>
    <t>0633813/28/2016</t>
  </si>
  <si>
    <t>D15015-0100DSB2</t>
  </si>
  <si>
    <t>D15015-0100DSB239</t>
  </si>
  <si>
    <t>D16069-0100D</t>
  </si>
  <si>
    <t>D16069-0100DSB</t>
  </si>
  <si>
    <t>D16069-0100DSB3SB0005</t>
  </si>
  <si>
    <t>0633811/23/2017</t>
  </si>
  <si>
    <t>D16069-0100DSB4</t>
  </si>
  <si>
    <t>D16069-0100DSB439</t>
  </si>
  <si>
    <t>0633818/8/2016</t>
  </si>
  <si>
    <t>06338112/4/2017</t>
  </si>
  <si>
    <t>0633815/4/2015</t>
  </si>
  <si>
    <t>0633812/22/2016</t>
  </si>
  <si>
    <t>06338111/23/2015</t>
  </si>
  <si>
    <t>06338112/17/2018</t>
  </si>
  <si>
    <t>06338112/5/2022</t>
  </si>
  <si>
    <t>0633811/22/2024</t>
  </si>
  <si>
    <t>0633815/14/2018</t>
  </si>
  <si>
    <t>0633814/23/2018</t>
  </si>
  <si>
    <t>0633818/29/2016</t>
  </si>
  <si>
    <t>06338112/11/2017</t>
  </si>
  <si>
    <t>06338112/24/2018</t>
  </si>
  <si>
    <t>E20046-0100D</t>
  </si>
  <si>
    <t>E20046-0100DSB</t>
  </si>
  <si>
    <t>E20046-0100DSB3SB0005</t>
  </si>
  <si>
    <t>06338110/18/2021</t>
  </si>
  <si>
    <t>E20046-0100DSB4</t>
  </si>
  <si>
    <t>E20046-0100DSB439</t>
  </si>
  <si>
    <t>0633813/16/2015</t>
  </si>
  <si>
    <t>0633815/11/2015</t>
  </si>
  <si>
    <t>{427FC3AD-63EA-4027-9100-36E43D70B1CB}</t>
  </si>
  <si>
    <t>S24014-0103DSB2427FC3AD-63EA-4027-9100-36E43D70B1CB</t>
  </si>
  <si>
    <t>S24014-0103DSB2427FC3AD-63EA-4027-9100-36E43D70B1CB39</t>
  </si>
  <si>
    <t>Definition drawings Production-SB</t>
  </si>
  <si>
    <t>0633812/18/2019</t>
  </si>
  <si>
    <t>06338112/23/2019</t>
  </si>
  <si>
    <t>06338111/12/2018</t>
  </si>
  <si>
    <t>0633817/2/2018</t>
  </si>
  <si>
    <t>{B3E7ED37-2C71-42E2-8F57-60439F68A190}</t>
  </si>
  <si>
    <t>E18066-0104DSB1B3E7ED37-2C71-42E2-8F57-60439F68A190</t>
  </si>
  <si>
    <t>E18066-0104DSB1B3E7ED37-2C71-42E2-8F57-60439F68A19039</t>
  </si>
  <si>
    <t>Phase 1 SB</t>
  </si>
  <si>
    <t>0633811/1/2018</t>
  </si>
  <si>
    <t>0633812/26/2018</t>
  </si>
  <si>
    <t>0633818/4/2025</t>
  </si>
  <si>
    <t>CS24035-0100DSB</t>
  </si>
  <si>
    <t>CS24035-0100DSB3SB0005</t>
  </si>
  <si>
    <t>06338111/24/2025</t>
  </si>
  <si>
    <t>{CBF7B468-CB00-44F0-AD3A-01858D6F259E}</t>
  </si>
  <si>
    <t>CS24035-0100DSB4CBF7B468-CB00-44F0-AD3A-01858D6F259E</t>
  </si>
  <si>
    <t>CS24035-0100DSB4CBF7B468-CB00-44F0-AD3A-01858D6F259E39</t>
  </si>
  <si>
    <t>Detailed Design marine works- ST</t>
  </si>
  <si>
    <t>06338111/17/2025</t>
  </si>
  <si>
    <t>06338112/8/2025</t>
  </si>
  <si>
    <t>06338110/31/2016</t>
  </si>
  <si>
    <t>D16069-0100DSB2</t>
  </si>
  <si>
    <t>D16069-0100DSB239</t>
  </si>
  <si>
    <t>D16069-0200S</t>
  </si>
  <si>
    <t>HO Site</t>
  </si>
  <si>
    <t>D16069-0200SSB</t>
  </si>
  <si>
    <t>D16069-0200SSB3SB0005</t>
  </si>
  <si>
    <t>D16069-0200SSB6</t>
  </si>
  <si>
    <t>D16069-0200SSB639</t>
  </si>
  <si>
    <t>0633815/7/2018</t>
  </si>
  <si>
    <t>0633812/6/2017</t>
  </si>
  <si>
    <t>06338112/19/2016</t>
  </si>
  <si>
    <t>0633817/17/2017</t>
  </si>
  <si>
    <t>06338111/13/2017</t>
  </si>
  <si>
    <t>0633812/7/2022</t>
  </si>
  <si>
    <t>0633818/3/2026</t>
  </si>
  <si>
    <t>Q17062-0100D</t>
  </si>
  <si>
    <t>Q17062-0100DSB</t>
  </si>
  <si>
    <t>Q17062-0100DSB3SB0005</t>
  </si>
  <si>
    <t>Q17062-0100DSB1</t>
  </si>
  <si>
    <t>Q17062-0100DSB139</t>
  </si>
  <si>
    <t>0633812/15/2016</t>
  </si>
  <si>
    <t>06338112/29/2014</t>
  </si>
  <si>
    <t>S19046-0162D</t>
  </si>
  <si>
    <t>S19046-0162DSB</t>
  </si>
  <si>
    <t>S19046-0162DSB3SB0005</t>
  </si>
  <si>
    <t>06338111/6/2023</t>
  </si>
  <si>
    <t>{B364EBEE-BF08-4F52-8B68-950E63411DD5}</t>
  </si>
  <si>
    <t>S19046-0162DSB2B364EBEE-BF08-4F52-8B68-950E63411DD5</t>
  </si>
  <si>
    <t>S19046-0162DSB2B364EBEE-BF08-4F52-8B68-950E63411DD539</t>
  </si>
  <si>
    <t>Concept Design Deliverable SB</t>
  </si>
  <si>
    <t>0633817/10/2023</t>
  </si>
  <si>
    <t>06338111/11/2024</t>
  </si>
  <si>
    <t>{11606A3C-C057-4807-A936-ED9D0C057FBC}</t>
  </si>
  <si>
    <t>S24014-0103DSB211606A3C-C057-4807-A936-ED9D0C057FBC</t>
  </si>
  <si>
    <t>S24014-0103DSB211606A3C-C057-4807-A936-ED9D0C057FBC39</t>
  </si>
  <si>
    <t>Stage 3B Books-SB</t>
  </si>
  <si>
    <t>0633811/8/2024</t>
  </si>
  <si>
    <t>06338110/16/2017</t>
  </si>
  <si>
    <t>06338110/30/2017</t>
  </si>
  <si>
    <t>0633817/10/2017</t>
  </si>
  <si>
    <t>0633813/16/2020</t>
  </si>
  <si>
    <t>06338112/9/2019</t>
  </si>
  <si>
    <t>06338110/24/2022</t>
  </si>
  <si>
    <t>06338110/13/2014</t>
  </si>
  <si>
    <t>06338110/27/2014</t>
  </si>
  <si>
    <t>06338110/19/2015</t>
  </si>
  <si>
    <t>0633811/12/2015</t>
  </si>
  <si>
    <t>0633819/14/2015</t>
  </si>
  <si>
    <t>06338111/17/2014</t>
  </si>
  <si>
    <t>06338112/1/2014</t>
  </si>
  <si>
    <t>06338112/8/2014</t>
  </si>
  <si>
    <t>06338112/15/2014</t>
  </si>
  <si>
    <t>06338112/22/2014</t>
  </si>
  <si>
    <t>0633811/19/2015</t>
  </si>
  <si>
    <t>0633811/26/2015</t>
  </si>
  <si>
    <t>0633812/2/2015</t>
  </si>
  <si>
    <t>0633813/2/2015</t>
  </si>
  <si>
    <t>06338110/17/2016</t>
  </si>
  <si>
    <t>0633814/18/2016</t>
  </si>
  <si>
    <t>S19078-0100D</t>
  </si>
  <si>
    <t>S19078-0100DSB</t>
  </si>
  <si>
    <t>S19078-0100DSB3SB0005</t>
  </si>
  <si>
    <t>0633812/17/2020</t>
  </si>
  <si>
    <t>S19078-0100DSB4</t>
  </si>
  <si>
    <t>S19078-0100DSB439</t>
  </si>
  <si>
    <t>0633811/27/2025</t>
  </si>
  <si>
    <t>{1EBD94F7-4632-4553-97EA-1095758F7A04}</t>
  </si>
  <si>
    <t>S22058-0700DSB41EBD94F7-4632-4553-97EA-1095758F7A04</t>
  </si>
  <si>
    <t>S22058-0700DSB41EBD94F7-4632-4553-97EA-1095758F7A0439</t>
  </si>
  <si>
    <t>Enabling Works - ST</t>
  </si>
  <si>
    <t>PS20450C</t>
  </si>
  <si>
    <t>PS20450CSB</t>
  </si>
  <si>
    <t>PS20450CSB3SB0005</t>
  </si>
  <si>
    <t>0633819/21/2020</t>
  </si>
  <si>
    <t>PS20450CSB0</t>
  </si>
  <si>
    <t>PS20450CSB039</t>
  </si>
  <si>
    <t>06338111/27/2023</t>
  </si>
  <si>
    <t>06338112/25/2023</t>
  </si>
  <si>
    <t>0633814/4/2016</t>
  </si>
  <si>
    <t>0633813/20/2017</t>
  </si>
  <si>
    <t>06338111/27/2017</t>
  </si>
  <si>
    <t>06338110/2/2017</t>
  </si>
  <si>
    <t>06338110/9/2017</t>
  </si>
  <si>
    <t>0633814/3/2017</t>
  </si>
  <si>
    <t>06338110/22/2018</t>
  </si>
  <si>
    <t>0633816/29/2015</t>
  </si>
  <si>
    <t>0633813/30/2015</t>
  </si>
  <si>
    <t>0633815/25/2015</t>
  </si>
  <si>
    <t>06338111/9/2015</t>
  </si>
  <si>
    <t>06338112/21/2015</t>
  </si>
  <si>
    <t>0633813/6/2023</t>
  </si>
  <si>
    <t>0633819/23/2024</t>
  </si>
  <si>
    <t>0633812/11/2019</t>
  </si>
  <si>
    <t>06338112/18/2017</t>
  </si>
  <si>
    <t>06338111/6/2017</t>
  </si>
  <si>
    <t>0633819/3/2018</t>
  </si>
  <si>
    <t>0633811/20/2020</t>
  </si>
  <si>
    <t>0633812/3/2020</t>
  </si>
  <si>
    <t>E20135-0100D</t>
  </si>
  <si>
    <t>E20135-0100DSB</t>
  </si>
  <si>
    <t>E20135-0100DSB3SB0005</t>
  </si>
  <si>
    <t>0633812/28/2022</t>
  </si>
  <si>
    <t>E20135-0100DSB4</t>
  </si>
  <si>
    <t>E20135-0100DSB439</t>
  </si>
  <si>
    <t>06338110/20/2014</t>
  </si>
  <si>
    <t>0633816/1/2015</t>
  </si>
  <si>
    <t>0633812/29/2016</t>
  </si>
  <si>
    <t>0633814/27/2015</t>
  </si>
  <si>
    <t>0633813/21/2016</t>
  </si>
  <si>
    <t>0633817/18/2016</t>
  </si>
  <si>
    <t>0633811/2/2017</t>
  </si>
  <si>
    <t>0633812/27/2023</t>
  </si>
  <si>
    <t>0633815/29/2023</t>
  </si>
  <si>
    <t>0633813/13/2023</t>
  </si>
  <si>
    <t>S19046-0173D</t>
  </si>
  <si>
    <t>S19046-0173DSB</t>
  </si>
  <si>
    <t>S19046-0173DSB3SB0005</t>
  </si>
  <si>
    <t>0633815/22/2023</t>
  </si>
  <si>
    <t>{9597911D-3DB0-4D41-A7D3-C193C1C95ABF}</t>
  </si>
  <si>
    <t>S19046-0173DSB49597911D-3DB0-4D41-A7D3-C193C1C95ABF</t>
  </si>
  <si>
    <t>S19046-0173DSB49597911D-3DB0-4D41-A7D3-C193C1C95ABF39</t>
  </si>
  <si>
    <t>Final Design Package 3C/3D</t>
  </si>
  <si>
    <t>0633812/10/2020</t>
  </si>
  <si>
    <t>0633814/22/2024</t>
  </si>
  <si>
    <t>06338111/25/2024</t>
  </si>
  <si>
    <t>0633819/6/2021</t>
  </si>
  <si>
    <t>06338112/18/2023</t>
  </si>
  <si>
    <t>0633814/24/2017</t>
  </si>
  <si>
    <t>B15027-0100DSB4</t>
  </si>
  <si>
    <t>B15027-0100DSB439</t>
  </si>
  <si>
    <t>06338112/22/2025</t>
  </si>
  <si>
    <t>0633813/19/2018</t>
  </si>
  <si>
    <t>0633819/25/2017</t>
  </si>
  <si>
    <t>0633813/25/2019</t>
  </si>
  <si>
    <t>0633814/15/2019</t>
  </si>
  <si>
    <t>0633818/30/2021</t>
  </si>
  <si>
    <t>OM21137-0100D</t>
  </si>
  <si>
    <t>OM21137-0100DSB</t>
  </si>
  <si>
    <t>OM21137-0100DSB3SB0005</t>
  </si>
  <si>
    <t>06338110/11/2021</t>
  </si>
  <si>
    <t>OM21137-0100DSB2</t>
  </si>
  <si>
    <t>OM21137-0100DSB239</t>
  </si>
  <si>
    <t>Q21033-0100D</t>
  </si>
  <si>
    <t>Q21033-0100DSB</t>
  </si>
  <si>
    <t>Q21033-0100DSB3SB0005</t>
  </si>
  <si>
    <t>0633819/27/2021</t>
  </si>
  <si>
    <t>{944703E3-DD73-404F-9066-1BAE358892C7}</t>
  </si>
  <si>
    <t>Q21033-0100DSB4944703E3-DD73-404F-9066-1BAE358892C7</t>
  </si>
  <si>
    <t>Q21033-0100DSB4944703E3-DD73-404F-9066-1BAE358892C739</t>
  </si>
  <si>
    <t>0633818/3/2015</t>
  </si>
  <si>
    <t>0633818/17/2015</t>
  </si>
  <si>
    <t>0633814/11/2016</t>
  </si>
  <si>
    <t>06338110/26/2015</t>
  </si>
  <si>
    <t>0633815/16/2016</t>
  </si>
  <si>
    <t>S13026-0100S</t>
  </si>
  <si>
    <t>S13026-0100SSB</t>
  </si>
  <si>
    <t>S13026-0100SSB3SB0005</t>
  </si>
  <si>
    <t>06338111/11/2019</t>
  </si>
  <si>
    <t>S13026-0100SSB6</t>
  </si>
  <si>
    <t>S13026-0100SSB639</t>
  </si>
  <si>
    <t>0633815/15/2023</t>
  </si>
  <si>
    <t>S20066-0604D</t>
  </si>
  <si>
    <t>S20066-0604DSB</t>
  </si>
  <si>
    <t>S20066-0604DSB3SB0005</t>
  </si>
  <si>
    <t>0633818/15/2022</t>
  </si>
  <si>
    <t>{4C769350-AC08-4388-8A3E-85D169A765A9}</t>
  </si>
  <si>
    <t>S20066-0604DSB14C769350-AC08-4388-8A3E-85D169A765A9</t>
  </si>
  <si>
    <t>S20066-0604DSB14C769350-AC08-4388-8A3E-85D169A765A939</t>
  </si>
  <si>
    <t>Concept Design  Report   SB</t>
  </si>
  <si>
    <t>0633815/27/2024</t>
  </si>
  <si>
    <t>0633816/21/2021</t>
  </si>
  <si>
    <t>06338112/4/2023</t>
  </si>
  <si>
    <t>06338112/15/2025</t>
  </si>
  <si>
    <t>{2B5FA9F2-3440-45FB-A131-F2A05515E8E2}</t>
  </si>
  <si>
    <t>CS24035-0100DSB42B5FA9F2-3440-45FB-A131-F2A05515E8E2</t>
  </si>
  <si>
    <t>CS24035-0100DSB42B5FA9F2-3440-45FB-A131-F2A05515E8E239</t>
  </si>
  <si>
    <t>Detailed Design-Onshore-ST</t>
  </si>
  <si>
    <t>0633813/11/2019</t>
  </si>
  <si>
    <t>0633811/8/2018</t>
  </si>
  <si>
    <t>0633811/16/2017</t>
  </si>
  <si>
    <t>0633814/10/2017</t>
  </si>
  <si>
    <t>06338110/21/2019</t>
  </si>
  <si>
    <t>0633814/8/2019</t>
  </si>
  <si>
    <t>06338112/2/2019</t>
  </si>
  <si>
    <t>06338110/28/2019</t>
  </si>
  <si>
    <t>06338111/5/2018</t>
  </si>
  <si>
    <t>06338110/1/2018</t>
  </si>
  <si>
    <t>0633813/7/2022</t>
  </si>
  <si>
    <t>0633817/24/2023</t>
  </si>
  <si>
    <t>0633811/9/2023</t>
  </si>
  <si>
    <t>06338110/25/2021</t>
  </si>
  <si>
    <t>RW21009-0106D</t>
  </si>
  <si>
    <t>RW21009-0106DSB</t>
  </si>
  <si>
    <t>RW21009-0106DSB3SB0005</t>
  </si>
  <si>
    <t>RW21009-0106DSB4</t>
  </si>
  <si>
    <t>RW21009-0106DSB439</t>
  </si>
  <si>
    <t>0633811/11/2016</t>
  </si>
  <si>
    <t>0633812/16/2015</t>
  </si>
  <si>
    <t>0633819/19/2016</t>
  </si>
  <si>
    <t>0633812/8/2016</t>
  </si>
  <si>
    <t>0633812/1/2016</t>
  </si>
  <si>
    <t>06338111/18/2019</t>
  </si>
  <si>
    <t>0633812/4/2019</t>
  </si>
  <si>
    <t>06338112/16/2024</t>
  </si>
  <si>
    <t>06338111/18/2024</t>
  </si>
  <si>
    <t>{FB8E3BC9-ABC0-4474-9301-9CCCC99C72EE}</t>
  </si>
  <si>
    <t>S24014-0103DSB2FB8E3BC9-ABC0-4474-9301-9CCCC99C72EE</t>
  </si>
  <si>
    <t>S24014-0103DSB2FB8E3BC9-ABC0-4474-9301-9CCCC99C72EE39</t>
  </si>
  <si>
    <t>Workshops with NEOM stakeholders-SB</t>
  </si>
  <si>
    <t>06338112/2/2024</t>
  </si>
  <si>
    <t>06338112/9/2024</t>
  </si>
  <si>
    <t>S24014-0104DSB</t>
  </si>
  <si>
    <t>S24014-0104DSB3SB0005</t>
  </si>
  <si>
    <t>0633819/30/2024</t>
  </si>
  <si>
    <t>{F72D7F34-89E0-482E-8952-2E19352300DE}</t>
  </si>
  <si>
    <t>S24014-0104DSB1F72D7F34-89E0-482E-8952-2E19352300DE</t>
  </si>
  <si>
    <t>S24014-0104DSB1F72D7F34-89E0-482E-8952-2E19352300DE39</t>
  </si>
  <si>
    <t>Weekly Dashboard-SB</t>
  </si>
  <si>
    <t>0633819/2/2024</t>
  </si>
  <si>
    <t>0633819/14/2020</t>
  </si>
  <si>
    <t>0633815/6/2024</t>
  </si>
  <si>
    <t>06338111/7/2016</t>
  </si>
  <si>
    <t>06338112/1/2025</t>
  </si>
  <si>
    <t>0633819/18/2017</t>
  </si>
  <si>
    <t>0633817/24/2017</t>
  </si>
  <si>
    <t>0633818/1/2016</t>
  </si>
  <si>
    <t>0633813/5/2018</t>
  </si>
  <si>
    <t>06338110/23/2017</t>
  </si>
  <si>
    <t>0633813/26/2018</t>
  </si>
  <si>
    <t>06338111/25/2019</t>
  </si>
  <si>
    <t>0633811/13/2020</t>
  </si>
  <si>
    <t>0633813/2/2020</t>
  </si>
  <si>
    <t>06338112/16/2019</t>
  </si>
  <si>
    <t>0633817/16/2018</t>
  </si>
  <si>
    <t>0633811/24/2022</t>
  </si>
  <si>
    <t>0633816/8/2026</t>
  </si>
  <si>
    <t>0633817/20/2026</t>
  </si>
  <si>
    <t>0633811/15/2018</t>
  </si>
  <si>
    <t>0633812/5/2018</t>
  </si>
  <si>
    <t>06338110/4/2021</t>
  </si>
  <si>
    <t>0633816/28/2021</t>
  </si>
  <si>
    <t>0633816/15/2015</t>
  </si>
  <si>
    <t>06338110/12/2015</t>
  </si>
  <si>
    <t>0633812/9/2015</t>
  </si>
  <si>
    <t>06338111/21/2016</t>
  </si>
  <si>
    <t>06338112/5/2016</t>
  </si>
  <si>
    <t>0633815/30/2016</t>
  </si>
  <si>
    <t>0633815/8/2017</t>
  </si>
  <si>
    <t>S15069-0100S</t>
  </si>
  <si>
    <t>S15069-0100SSB</t>
  </si>
  <si>
    <t>S15069-0100SSB3SB0005</t>
  </si>
  <si>
    <t>0633815/21/2018</t>
  </si>
  <si>
    <t>S15069-0100SSB6</t>
  </si>
  <si>
    <t>S15069-0100SSB639</t>
  </si>
  <si>
    <t>{8439D44E-7C90-445E-A3B4-730BD8291C4E}</t>
  </si>
  <si>
    <t>S20066-0604DSB28439D44E-7C90-445E-A3B4-730BD8291C4E</t>
  </si>
  <si>
    <t>S20066-0604DSB28439D44E-7C90-445E-A3B4-730BD8291C4E39</t>
  </si>
  <si>
    <t>Preliminary design SB</t>
  </si>
  <si>
    <t>0633812/13/2023</t>
  </si>
  <si>
    <t>{E598AD19-62CE-4804-BA36-7E7E57B4F3C8}</t>
  </si>
  <si>
    <t>S22205-0100DSB1E598AD19-62CE-4804-BA36-7E7E57B4F3C8</t>
  </si>
  <si>
    <t>S22205-0100DSB1E598AD19-62CE-4804-BA36-7E7E57B4F3C839</t>
  </si>
  <si>
    <t>Stage 2C Preparation of Initial Asset Brief including a Pre-Concept Design</t>
  </si>
  <si>
    <t>0633815/20/2024</t>
  </si>
  <si>
    <t>0633818/12/2024</t>
  </si>
  <si>
    <t>06338111/1/2021</t>
  </si>
  <si>
    <t>0633815/15/2017</t>
  </si>
  <si>
    <t>0633815/22/2017</t>
  </si>
  <si>
    <t>0633818/14/2017</t>
  </si>
  <si>
    <t>0633814/2/2018</t>
  </si>
  <si>
    <t>0633813/12/2018</t>
  </si>
  <si>
    <t>0633813/18/2019</t>
  </si>
  <si>
    <t>0633811/28/2019</t>
  </si>
  <si>
    <t>0633811/27/2020</t>
  </si>
  <si>
    <t>06338110/29/2018</t>
  </si>
  <si>
    <t>06338110/15/2018</t>
  </si>
  <si>
    <t>0633819/17/2018</t>
  </si>
  <si>
    <t>0633817/23/2018</t>
  </si>
  <si>
    <t>0633819/10/2018</t>
  </si>
  <si>
    <t>0633813/23/2020</t>
  </si>
  <si>
    <t>06338111/8/2021</t>
  </si>
  <si>
    <t>06338110/16/2023</t>
  </si>
  <si>
    <t>0633816/19/2023</t>
  </si>
  <si>
    <t>0633818/2/2021</t>
  </si>
  <si>
    <t>0633814/24/2023</t>
  </si>
  <si>
    <t>0633819/18/2023</t>
  </si>
  <si>
    <t>J23152-0100DSB</t>
  </si>
  <si>
    <t>J23152-0100DSB3SB0005</t>
  </si>
  <si>
    <t>{A1687B8F-9ABE-4564-B894-6BE6D541D8F4}</t>
  </si>
  <si>
    <t>J23152-0100DSB4A1687B8F-9ABE-4564-B894-6BE6D541D8F4</t>
  </si>
  <si>
    <t>J23152-0100DSB4A1687B8F-9ABE-4564-B894-6BE6D541D8F439</t>
  </si>
  <si>
    <t>Preparation of Tender Documents SB</t>
  </si>
  <si>
    <t>58-1</t>
  </si>
  <si>
    <t>0633811/26/2026</t>
  </si>
  <si>
    <t>0633811/5/2015</t>
  </si>
  <si>
    <t>06338112/14/2015</t>
  </si>
  <si>
    <t>06338111/16/2015</t>
  </si>
  <si>
    <t>0633819/21/2015</t>
  </si>
  <si>
    <t>06338111/14/2016</t>
  </si>
  <si>
    <t>06338111/28/2016</t>
  </si>
  <si>
    <t>06338112/12/2016</t>
  </si>
  <si>
    <t>0633816/12/2023</t>
  </si>
  <si>
    <t>06338110/21/2024</t>
  </si>
  <si>
    <t>{0A680AB4-53EB-473D-A06F-44917AF415D7}</t>
  </si>
  <si>
    <t>S24014-0103DSB20A680AB4-53EB-473D-A06F-44917AF415D7</t>
  </si>
  <si>
    <t>S24014-0103DSB20A680AB4-53EB-473D-A06F-44917AF415D739</t>
  </si>
  <si>
    <t>Models to LOD202-SB</t>
  </si>
  <si>
    <t>0633817/20/2020</t>
  </si>
  <si>
    <t>0633818/3/2020</t>
  </si>
  <si>
    <t>0633817/27/2020</t>
  </si>
  <si>
    <t>0633818/24/2020</t>
  </si>
  <si>
    <t>QL251243SB</t>
  </si>
  <si>
    <t>QL251243SB3SB0005</t>
  </si>
  <si>
    <t>0633819/29/2025</t>
  </si>
  <si>
    <t>QL251243SB0</t>
  </si>
  <si>
    <t>QL251243SB039</t>
  </si>
  <si>
    <t>WWOM250791SB</t>
  </si>
  <si>
    <t>WWOM250791SB3SB0005</t>
  </si>
  <si>
    <t>0633818/11/2025</t>
  </si>
  <si>
    <t>WWOM250791SB0</t>
  </si>
  <si>
    <t>WWOM250791SB039</t>
  </si>
  <si>
    <t>GENERAL.1</t>
  </si>
  <si>
    <t>GENERAL.1SB</t>
  </si>
  <si>
    <t>GENERAL.1SB3SB0005</t>
  </si>
  <si>
    <t>0633813/30/2020</t>
  </si>
  <si>
    <t>5- General1&amp;3</t>
  </si>
  <si>
    <t>GENERAL.1SB0</t>
  </si>
  <si>
    <t>GENERAL.1SB039</t>
  </si>
  <si>
    <t>0633814/6/2020</t>
  </si>
  <si>
    <t>0633814/13/2020</t>
  </si>
  <si>
    <t>0633814/20/2020</t>
  </si>
  <si>
    <t>0633816/8/2020</t>
  </si>
  <si>
    <t>0633816/15/2020</t>
  </si>
  <si>
    <t>0633816/22/2020</t>
  </si>
  <si>
    <t>0633816/29/2020</t>
  </si>
  <si>
    <t>0633817/6/2020</t>
  </si>
  <si>
    <t>0633817/13/2020</t>
  </si>
  <si>
    <t>06338111/23/2020</t>
  </si>
  <si>
    <t>HOLIDAYSB</t>
  </si>
  <si>
    <t>HOLIDAYSB3SB0005</t>
  </si>
  <si>
    <t>0633814/25/2016</t>
  </si>
  <si>
    <t>HOLIDAYSB0</t>
  </si>
  <si>
    <t>HOLIDAYSB039</t>
  </si>
  <si>
    <t>0633817/4/2016</t>
  </si>
  <si>
    <t>0633819/5/2016</t>
  </si>
  <si>
    <t>0633819/12/2016</t>
  </si>
  <si>
    <t>0633819/26/2016</t>
  </si>
  <si>
    <t>06338110/3/2016</t>
  </si>
  <si>
    <t>06338112/26/2016</t>
  </si>
  <si>
    <t>0633814/17/2017</t>
  </si>
  <si>
    <t>0633815/1/2017</t>
  </si>
  <si>
    <t>0633816/26/2017</t>
  </si>
  <si>
    <t>0633814/9/2018</t>
  </si>
  <si>
    <t>0633816/11/2018</t>
  </si>
  <si>
    <t>0633816/25/2018</t>
  </si>
  <si>
    <t>0633818/20/2018</t>
  </si>
  <si>
    <t>06338112/31/2018</t>
  </si>
  <si>
    <t>0633811/7/2019</t>
  </si>
  <si>
    <t>0633811/21/2019</t>
  </si>
  <si>
    <t>0633814/22/2019</t>
  </si>
  <si>
    <t>0633814/29/2019</t>
  </si>
  <si>
    <t>0633816/3/2019</t>
  </si>
  <si>
    <t>0633816/24/2019</t>
  </si>
  <si>
    <t>0633817/22/2019</t>
  </si>
  <si>
    <t>0633818/5/2019</t>
  </si>
  <si>
    <t>0633818/12/2019</t>
  </si>
  <si>
    <t>0633819/30/2019</t>
  </si>
  <si>
    <t>0633811/6/2020</t>
  </si>
  <si>
    <t>0633813/9/2020</t>
  </si>
  <si>
    <t>0633815/18/2020</t>
  </si>
  <si>
    <t>0633815/25/2020</t>
  </si>
  <si>
    <t>0633818/17/2020</t>
  </si>
  <si>
    <t>0633815/10/2021</t>
  </si>
  <si>
    <t>0633811/1/2024</t>
  </si>
  <si>
    <t>LEAVESB</t>
  </si>
  <si>
    <t>LEAVESB3SB0005</t>
  </si>
  <si>
    <t>0633813/14/2016</t>
  </si>
  <si>
    <t>LEAVESB0</t>
  </si>
  <si>
    <t>LEAVESB039</t>
  </si>
  <si>
    <t>0633817/11/2016</t>
  </si>
  <si>
    <t>06338110/24/2016</t>
  </si>
  <si>
    <t>0633813/6/2017</t>
  </si>
  <si>
    <t>0633819/4/2017</t>
  </si>
  <si>
    <t>06338112/25/2017</t>
  </si>
  <si>
    <t>0633816/18/2018</t>
  </si>
  <si>
    <t>0633817/30/2018</t>
  </si>
  <si>
    <t>0633818/6/2018</t>
  </si>
  <si>
    <t>0633814/1/2019</t>
  </si>
  <si>
    <t>0633816/10/2019</t>
  </si>
  <si>
    <t>0633816/17/2019</t>
  </si>
  <si>
    <t>0633817/8/2019</t>
  </si>
  <si>
    <t>SICK</t>
  </si>
  <si>
    <t>SICKSB</t>
  </si>
  <si>
    <t>SICKSB3SB0005</t>
  </si>
  <si>
    <t>SICKSB0</t>
  </si>
  <si>
    <t>SICKSB039</t>
  </si>
  <si>
    <t>0633815/23/2016</t>
  </si>
  <si>
    <t>06338110/10/2016</t>
  </si>
  <si>
    <t>0633818/19/2019</t>
  </si>
  <si>
    <t>0633812/1/2021</t>
  </si>
  <si>
    <t>06338111/20/2023</t>
  </si>
  <si>
    <t>06338112/11/2023</t>
  </si>
  <si>
    <t>0633812/13/2017</t>
  </si>
  <si>
    <t>0633819/23/2019</t>
  </si>
  <si>
    <t>0633817/9/2018</t>
  </si>
  <si>
    <t>0633812/21/2022</t>
  </si>
  <si>
    <t>0633819/20/2021</t>
  </si>
  <si>
    <t>0633811/10/2022</t>
  </si>
  <si>
    <t>0633812/14/2022</t>
  </si>
  <si>
    <t>0633811/16/2023</t>
  </si>
  <si>
    <t>0633812/16/2026</t>
  </si>
  <si>
    <t>{49586D5D-8DEA-478C-A528-40F40A5E5027}</t>
  </si>
  <si>
    <t>N23106-0100DSB449586D5D-8DEA-478C-A528-40F40A5E5027</t>
  </si>
  <si>
    <t>N23106-0100DSB449586D5D-8DEA-478C-A528-40F40A5E502739</t>
  </si>
  <si>
    <t>Tender Documents Package SB</t>
  </si>
  <si>
    <t>0633812/23/2015</t>
  </si>
  <si>
    <t>0633816/22/2015</t>
  </si>
  <si>
    <t>0633819/28/2015</t>
  </si>
  <si>
    <t>06338111/10/2014</t>
  </si>
  <si>
    <t>06338111/2/2015</t>
  </si>
  <si>
    <t>0633817/31/2023</t>
  </si>
  <si>
    <t>0633818/8/2022</t>
  </si>
  <si>
    <t>0633815/13/2024</t>
  </si>
  <si>
    <t>0633819/22/2025</t>
  </si>
  <si>
    <t>0633819/7/2020</t>
  </si>
  <si>
    <t>0633818/16/2021</t>
  </si>
  <si>
    <t>0633819/28/2020</t>
  </si>
  <si>
    <t>GENERAL.3</t>
  </si>
  <si>
    <t>GENERAL.3SB</t>
  </si>
  <si>
    <t>GENERAL.3SB3SB0005</t>
  </si>
  <si>
    <t>0633819/29/2014</t>
  </si>
  <si>
    <t>GENERAL.3SB0</t>
  </si>
  <si>
    <t>GENERAL.3SB039</t>
  </si>
  <si>
    <t>06338110/6/2014</t>
  </si>
  <si>
    <t>0633813/15/2021</t>
  </si>
  <si>
    <t>0633815/17/2021</t>
  </si>
  <si>
    <t>0633817/26/2021</t>
  </si>
  <si>
    <t>AN23108-0100RSB</t>
  </si>
  <si>
    <t>AN23108-0100RSB3SB0005</t>
  </si>
  <si>
    <t>0633812/3/2025</t>
  </si>
  <si>
    <t>{7A02C445-F92C-4321-A56C-70A6CA9CC11E}</t>
  </si>
  <si>
    <t>AN23108-0100RSB67A02C445-F92C-4321-A56C-70A6CA9CC11E</t>
  </si>
  <si>
    <t>AN23108-0100RSB67A02C445-F92C-4321-A56C-70A6CA9CC11E39</t>
  </si>
  <si>
    <t>Pre-FEED review and Design Review related to infrastructure and civil works SB</t>
  </si>
  <si>
    <t>D22150-0100D</t>
  </si>
  <si>
    <t>D22150-0100DSB</t>
  </si>
  <si>
    <t>D22150-0100DSB3SB0005</t>
  </si>
  <si>
    <t>{D21EE4A8-B722-4BF2-B2C5-28BDAF9D908C}</t>
  </si>
  <si>
    <t>D22150-0100DSB4D21EE4A8-B722-4BF2-B2C5-28BDAF9D908C</t>
  </si>
  <si>
    <t>D22150-0100DSB4D21EE4A8-B722-4BF2-B2C5-28BDAF9D908C39</t>
  </si>
  <si>
    <t>Final Design &amp; Tender SB</t>
  </si>
  <si>
    <t>0633811/30/2017</t>
  </si>
  <si>
    <t>0633819/2/2019</t>
  </si>
  <si>
    <t>0633812/24/2020</t>
  </si>
  <si>
    <t>0633819/16/2019</t>
  </si>
  <si>
    <t>0633818/13/2018</t>
  </si>
  <si>
    <t>06338111/22/2021</t>
  </si>
  <si>
    <t>0633819/13/2021</t>
  </si>
  <si>
    <t>0633811/3/2022</t>
  </si>
  <si>
    <t>0633817/3/2023</t>
  </si>
  <si>
    <t>0633811/30/2023</t>
  </si>
  <si>
    <t>0633818/23/2021</t>
  </si>
  <si>
    <t>0633811/31/2022</t>
  </si>
  <si>
    <t>0633818/7/2023</t>
  </si>
  <si>
    <t>0633818/14/2023</t>
  </si>
  <si>
    <t>0633818/28/2023</t>
  </si>
  <si>
    <t>{3E161758-8501-40F9-A55F-C8900DD6428E}</t>
  </si>
  <si>
    <t>J23152-0100DSB43E161758-8501-40F9-A55F-C8900DD6428E</t>
  </si>
  <si>
    <t>J23152-0100DSB43E161758-8501-40F9-A55F-C8900DD6428E39</t>
  </si>
  <si>
    <t>Preparation of Tender Documents - Plant 2 SB</t>
  </si>
  <si>
    <t>0633812/23/2026</t>
  </si>
  <si>
    <t>06338111/3/2025</t>
  </si>
  <si>
    <t>06338112/7/2015</t>
  </si>
  <si>
    <t>0633817/27/2015</t>
  </si>
  <si>
    <t>0633819/7/2015</t>
  </si>
  <si>
    <t>06338110/5/2015</t>
  </si>
  <si>
    <t>0633811/18/2016</t>
  </si>
  <si>
    <t>06338111/24/2014</t>
  </si>
  <si>
    <t>0633813/9/2015</t>
  </si>
  <si>
    <t>0633814/20/2015</t>
  </si>
  <si>
    <t>0633811/4/2016</t>
  </si>
  <si>
    <t>06338111/4/2019</t>
  </si>
  <si>
    <t>S19046-0136D</t>
  </si>
  <si>
    <t>S19046-0136DSB</t>
  </si>
  <si>
    <t>S19046-0136DSB3SB0005</t>
  </si>
  <si>
    <t>0633818/9/2021</t>
  </si>
  <si>
    <t>{ECD9C8B3-BF49-444C-954C-C4D949F3B34F}</t>
  </si>
  <si>
    <t>S19046-0136DSB4ECD9C8B3-BF49-444C-954C-C4D949F3B34F</t>
  </si>
  <si>
    <t>S19046-0136DSB4ECD9C8B3-BF49-444C-954C-C4D949F3B34F39</t>
  </si>
  <si>
    <t>0633813/20/2023</t>
  </si>
  <si>
    <t>0633816/5/2023</t>
  </si>
  <si>
    <t>0633812/20/2023</t>
  </si>
  <si>
    <t>0633815/1/2023</t>
  </si>
  <si>
    <t>S23204-0100DSB</t>
  </si>
  <si>
    <t>S23204-0100DSB3SB0005</t>
  </si>
  <si>
    <t>{FD96F530-1EC7-4317-8D3E-4B0D7326D85B}</t>
  </si>
  <si>
    <t>S23204-0100DSB1FD96F530-1EC7-4317-8D3E-4B0D7326D85B</t>
  </si>
  <si>
    <t>S23204-0100DSB1FD96F530-1EC7-4317-8D3E-4B0D7326D85B39</t>
  </si>
  <si>
    <t>100% Pre-Concept - SB</t>
  </si>
  <si>
    <t>0633812/26/2024</t>
  </si>
  <si>
    <t>0633817/1/2024</t>
  </si>
  <si>
    <t>0633816/16/2025</t>
  </si>
  <si>
    <t>0633818/25/2025</t>
  </si>
  <si>
    <t>0633817/14/2025</t>
  </si>
  <si>
    <t>0633816/2/2025</t>
  </si>
  <si>
    <t>06338110/28/2024</t>
  </si>
  <si>
    <t>{10B7227F-802A-4EF1-A32A-887AC9369C2F}</t>
  </si>
  <si>
    <t>S24014-0103DSB210B7227F-802A-4EF1-A32A-887AC9369C2F</t>
  </si>
  <si>
    <t>S24014-0103DSB210B7227F-802A-4EF1-A32A-887AC9369C2F39</t>
  </si>
  <si>
    <t>Design Basis Document-SB</t>
  </si>
  <si>
    <t>{4400E8C8-72DB-406D-BFBD-C8D7B02A6E4F}</t>
  </si>
  <si>
    <t>S24014-0103DSB24400E8C8-72DB-406D-BFBD-C8D7B02A6E4F</t>
  </si>
  <si>
    <t>S24014-0103DSB24400E8C8-72DB-406D-BFBD-C8D7B02A6E4F39</t>
  </si>
  <si>
    <t>Weekly progress update-SB</t>
  </si>
  <si>
    <t>06338111/4/2024</t>
  </si>
  <si>
    <t>0633814/28/2025</t>
  </si>
  <si>
    <t>{3B820196-4964-471F-A61A-33749C59976F}</t>
  </si>
  <si>
    <t>S24014-0104DSB13B820196-4964-471F-A61A-33749C59976F</t>
  </si>
  <si>
    <t>S24014-0104DSB13B820196-4964-471F-A61A-33749C59976F39</t>
  </si>
  <si>
    <t>Daily Project management-SB</t>
  </si>
  <si>
    <t>TA24246-0100S</t>
  </si>
  <si>
    <t>TA24246-0100SSB</t>
  </si>
  <si>
    <t>TA24246-0100SSB3SB0005</t>
  </si>
  <si>
    <t>0633812/10/2025</t>
  </si>
  <si>
    <t>TA24246-0100SSB6</t>
  </si>
  <si>
    <t>TA24246-0100SSB639</t>
  </si>
  <si>
    <t>PE17262</t>
  </si>
  <si>
    <t>PE17262SB</t>
  </si>
  <si>
    <t>PE17262SB3SB0005</t>
  </si>
  <si>
    <t>PE17262SB0</t>
  </si>
  <si>
    <t>PE17262SB039</t>
  </si>
  <si>
    <t>06338110/23/2023</t>
  </si>
  <si>
    <t>PD17045</t>
  </si>
  <si>
    <t>PD17045SB</t>
  </si>
  <si>
    <t>PD17045SB3SB0005</t>
  </si>
  <si>
    <t>PD17045SB0</t>
  </si>
  <si>
    <t>PD17045SB039</t>
  </si>
  <si>
    <t>PS250346</t>
  </si>
  <si>
    <t>PS250346SB</t>
  </si>
  <si>
    <t>PS250346SB3SB0005</t>
  </si>
  <si>
    <t>0633812/24/2025</t>
  </si>
  <si>
    <t>PS250346SB0</t>
  </si>
  <si>
    <t>PS250346SB039</t>
  </si>
  <si>
    <t>0633816/1/2020</t>
  </si>
  <si>
    <t>0633816/12/2017</t>
  </si>
  <si>
    <t>0633819/22/2014</t>
  </si>
  <si>
    <t>0633814/13/2015</t>
  </si>
  <si>
    <t>0633817/13/2015</t>
  </si>
  <si>
    <t>0633811/25/2016</t>
  </si>
  <si>
    <t>06338110/5/2020</t>
  </si>
  <si>
    <t>06338110/26/2020</t>
  </si>
  <si>
    <t>0633811/25/2021</t>
  </si>
  <si>
    <t>0633817/12/2021</t>
  </si>
  <si>
    <t>0633817/19/2021</t>
  </si>
  <si>
    <t>0633814/25/2022</t>
  </si>
  <si>
    <t>0633815/2/2022</t>
  </si>
  <si>
    <t>0633816/27/2022</t>
  </si>
  <si>
    <t>0633817/4/2022</t>
  </si>
  <si>
    <t>0633817/11/2022</t>
  </si>
  <si>
    <t>06338110/3/2022</t>
  </si>
  <si>
    <t>06338112/26/2022</t>
  </si>
  <si>
    <t>0633811/2/2023</t>
  </si>
  <si>
    <t>0633811/23/2023</t>
  </si>
  <si>
    <t>0633814/17/2023</t>
  </si>
  <si>
    <t>0633817/17/2023</t>
  </si>
  <si>
    <t>0633814/8/2024</t>
  </si>
  <si>
    <t>0633816/10/2024</t>
  </si>
  <si>
    <t>0633816/17/2024</t>
  </si>
  <si>
    <t>0633816/24/2024</t>
  </si>
  <si>
    <t>0633819/9/2024</t>
  </si>
  <si>
    <t>06338112/30/2024</t>
  </si>
  <si>
    <t>0633811/6/2025</t>
  </si>
  <si>
    <t>0633813/31/2025</t>
  </si>
  <si>
    <t>0633814/14/2025</t>
  </si>
  <si>
    <t>0633814/21/2025</t>
  </si>
  <si>
    <t>0633816/9/2025</t>
  </si>
  <si>
    <t>0633816/23/2025</t>
  </si>
  <si>
    <t>0633816/30/2025</t>
  </si>
  <si>
    <t>0633817/21/2025</t>
  </si>
  <si>
    <t>0633819/1/2025</t>
  </si>
  <si>
    <t>06338110/6/2025</t>
  </si>
  <si>
    <t>06338112/29/2025</t>
  </si>
  <si>
    <t>0633811/5/2026</t>
  </si>
  <si>
    <t>0633813/16/2026</t>
  </si>
  <si>
    <t>0633813/23/2026</t>
  </si>
  <si>
    <t>0633816/15/2026</t>
  </si>
  <si>
    <t>0633816/29/2026</t>
  </si>
  <si>
    <t>L.W.P</t>
  </si>
  <si>
    <t>L.W.PSB</t>
  </si>
  <si>
    <t>L.W.PSB3SB0005</t>
  </si>
  <si>
    <t>L.W.PSB0</t>
  </si>
  <si>
    <t>L.W.PSB039</t>
  </si>
  <si>
    <t>06338111/30/2015</t>
  </si>
  <si>
    <t>06338112/28/2015</t>
  </si>
  <si>
    <t>06338111/2/2020</t>
  </si>
  <si>
    <t>06338111/16/2020</t>
  </si>
  <si>
    <t>06338111/30/2020</t>
  </si>
  <si>
    <t>06338112/7/2020</t>
  </si>
  <si>
    <t>06338112/14/2020</t>
  </si>
  <si>
    <t>06338112/28/2020</t>
  </si>
  <si>
    <t>0633813/29/2021</t>
  </si>
  <si>
    <t>0633815/31/2021</t>
  </si>
  <si>
    <t>06338111/15/2021</t>
  </si>
  <si>
    <t>06338112/20/2021</t>
  </si>
  <si>
    <t>06338112/27/2021</t>
  </si>
  <si>
    <t>0633813/14/2022</t>
  </si>
  <si>
    <t>0633815/30/2022</t>
  </si>
  <si>
    <t>0633818/1/2022</t>
  </si>
  <si>
    <t>06338110/17/2022</t>
  </si>
  <si>
    <t>06338111/21/2022</t>
  </si>
  <si>
    <t>0633812/6/2023</t>
  </si>
  <si>
    <t>0633816/3/2024</t>
  </si>
  <si>
    <t>0633818/5/2024</t>
  </si>
  <si>
    <t>06338110/14/2024</t>
  </si>
  <si>
    <t>0633814/7/2025</t>
  </si>
  <si>
    <t>0633819/8/2025</t>
  </si>
  <si>
    <t>0633819/15/2025</t>
  </si>
  <si>
    <t>0633811/19/2026</t>
  </si>
  <si>
    <t>0633816/1/2026</t>
  </si>
  <si>
    <t>0633816/22/2026</t>
  </si>
  <si>
    <t>0633817/6/2026</t>
  </si>
  <si>
    <t>0633817/13/2026</t>
  </si>
  <si>
    <t>0633813/23/2015</t>
  </si>
  <si>
    <t>0633817/5/2021</t>
  </si>
  <si>
    <t>0633819/5/2022</t>
  </si>
  <si>
    <t>0633819/12/2022</t>
  </si>
  <si>
    <t>06338110/10/2022</t>
  </si>
  <si>
    <t>0633811/11/2021</t>
  </si>
  <si>
    <t>0633816/14/2021</t>
  </si>
  <si>
    <t>0633815/24/2021</t>
  </si>
  <si>
    <t>AD23051-0101DSB</t>
  </si>
  <si>
    <t>AD23051-0101DSB3SB0005</t>
  </si>
  <si>
    <t>{C9F4079E-9FDF-4E46-9F1B-E0FE7FC89EF0}</t>
  </si>
  <si>
    <t>AD23051-0101DSB3C9F4079E-9FDF-4E46-9F1B-E0FE7FC89EF0</t>
  </si>
  <si>
    <t>AD23051-0101DSB3C9F4079E-9FDF-4E46-9F1B-E0FE7FC89EF039</t>
  </si>
  <si>
    <t>Schematic Masterplan</t>
  </si>
  <si>
    <t>0633817/1/2019</t>
  </si>
  <si>
    <t>0633815/20/2019</t>
  </si>
  <si>
    <t>0633819/24/2018</t>
  </si>
  <si>
    <t>06338111/29/2021</t>
  </si>
  <si>
    <t>0633811/12/2026</t>
  </si>
  <si>
    <t>0633815/18/2015</t>
  </si>
  <si>
    <t>0633818/31/2020</t>
  </si>
  <si>
    <t>0633812/15/2021</t>
  </si>
  <si>
    <t>0633811/18/2021</t>
  </si>
  <si>
    <t>0633816/7/2021</t>
  </si>
  <si>
    <t>AD24217-0100DSB</t>
  </si>
  <si>
    <t>AD24217-0100DSB3SB0005</t>
  </si>
  <si>
    <t>{8E048E22-4498-4075-BDB7-D47BDB6EA2AB}</t>
  </si>
  <si>
    <t>AD24217-0100DSB28E048E22-4498-4075-BDB7-D47BDB6EA2AB</t>
  </si>
  <si>
    <t>AD24217-0100DSB28E048E22-4498-4075-BDB7-D47BDB6EA2AB39</t>
  </si>
  <si>
    <t>Concept Design - ST</t>
  </si>
  <si>
    <t>{ADB81CD5-3509-42CD-AD58-A8DDC6831C54}</t>
  </si>
  <si>
    <t>MZ22111-0100DSB3ADB81CD5-3509-42CD-AD58-A8DDC6831C54</t>
  </si>
  <si>
    <t>MZ22111-0100DSB3ADB81CD5-3509-42CD-AD58-A8DDC6831C5439</t>
  </si>
  <si>
    <t>0633817/6/2015</t>
  </si>
  <si>
    <t>0633817/20/2015</t>
  </si>
  <si>
    <t>0633813/7/2016</t>
  </si>
  <si>
    <t>0633819/26/2022</t>
  </si>
  <si>
    <t>{C85E0EAA-CE17-4BA1-8FCB-F77B7D7D33B2}</t>
  </si>
  <si>
    <t>S20066-0604DSB4C85E0EAA-CE17-4BA1-8FCB-F77B7D7D33B2</t>
  </si>
  <si>
    <t>S20066-0604DSB4C85E0EAA-CE17-4BA1-8FCB-F77B7D7D33B239</t>
  </si>
  <si>
    <t>Final Design &amp;Tender SB</t>
  </si>
  <si>
    <t>0633819/16/2024</t>
  </si>
  <si>
    <t>0633815/5/2025</t>
  </si>
  <si>
    <t>0633812/8/2021</t>
  </si>
  <si>
    <t>0633812/5/2024</t>
  </si>
  <si>
    <t>{DA90791F-94E2-42D7-A9B1-91B0A4A77B79}</t>
  </si>
  <si>
    <t>AD23051-0101DSB4DA90791F-94E2-42D7-A9B1-91B0A4A77B79</t>
  </si>
  <si>
    <t>AD23051-0101DSB4DA90791F-94E2-42D7-A9B1-91B0A4A77B7939</t>
  </si>
  <si>
    <t>Detailed Masterplan</t>
  </si>
  <si>
    <t>0633819/11/2017</t>
  </si>
  <si>
    <t>0633815/13/2019</t>
  </si>
  <si>
    <t>06338110/14/2019</t>
  </si>
  <si>
    <t>0633815/6/2019</t>
  </si>
  <si>
    <t>06338110/7/2019</t>
  </si>
  <si>
    <t>0633818/26/2019</t>
  </si>
  <si>
    <t>0633816/13/2016</t>
  </si>
  <si>
    <t>0633813/25/2024</t>
  </si>
  <si>
    <t>0633817/29/2019</t>
  </si>
  <si>
    <t>0633815/29/2017</t>
  </si>
  <si>
    <t>0633814/10/2023</t>
  </si>
  <si>
    <t>0633816/6/2016</t>
  </si>
  <si>
    <t>06338111/28/2022</t>
  </si>
  <si>
    <t>0633812/17/2025</t>
  </si>
  <si>
    <t>S22058-0900DSB</t>
  </si>
  <si>
    <t>S22058-0900DSB3SB0005</t>
  </si>
  <si>
    <t>{CFC69A3B-2CC7-4EA8-BBE6-D11E505CF26A}</t>
  </si>
  <si>
    <t>S22058-0900DSB2CFC69A3B-2CC7-4EA8-BBE6-D11E505CF26A</t>
  </si>
  <si>
    <t>S22058-0900DSB2CFC69A3B-2CC7-4EA8-BBE6-D11E505CF26A39</t>
  </si>
  <si>
    <t>Concept Master Plan Design-ST</t>
  </si>
  <si>
    <t>0633813/27/2023</t>
  </si>
  <si>
    <t>0633813/11/2024</t>
  </si>
  <si>
    <t>0633813/18/2024</t>
  </si>
  <si>
    <t>0633818/18/2025</t>
  </si>
  <si>
    <t>0633813/17/2025</t>
  </si>
  <si>
    <t>0633813/3/2025</t>
  </si>
  <si>
    <t>4-Training</t>
  </si>
  <si>
    <t>TRAINING</t>
  </si>
  <si>
    <t>40-1</t>
  </si>
  <si>
    <t>TRAININGSB</t>
  </si>
  <si>
    <t>TRAININGSB3SB0005</t>
  </si>
  <si>
    <t>TRAININGSB0</t>
  </si>
  <si>
    <t>TRAININGSB039</t>
  </si>
  <si>
    <t>0633819/4/2023</t>
  </si>
  <si>
    <t>0633819/11/2023</t>
  </si>
  <si>
    <t>0633816/5/2017</t>
  </si>
  <si>
    <t>0633814/26/2021</t>
  </si>
  <si>
    <t>0633815/3/2021</t>
  </si>
  <si>
    <t>0633814/18/2022</t>
  </si>
  <si>
    <t>0633813/24/2025</t>
  </si>
  <si>
    <t>0633816/20/2016</t>
  </si>
  <si>
    <t>0633815/27/2019</t>
  </si>
  <si>
    <t>0633813/28/2022</t>
  </si>
  <si>
    <t>0633813/2/2026</t>
  </si>
  <si>
    <t>0633813/9/2026</t>
  </si>
  <si>
    <t>0633814/19/2021</t>
  </si>
  <si>
    <t>0633817/15/2019</t>
  </si>
  <si>
    <t>06338112/23/2024</t>
  </si>
  <si>
    <t>0633815/26/2025</t>
  </si>
  <si>
    <t>PE241280C-12</t>
  </si>
  <si>
    <t>PE241280C-12SB</t>
  </si>
  <si>
    <t>PE241280C-12SB3SB0005</t>
  </si>
  <si>
    <t>PE241280C-12SB0</t>
  </si>
  <si>
    <t>PE241280C-12SB039</t>
  </si>
  <si>
    <t>0633818/29/2022</t>
  </si>
  <si>
    <t>0633814/27/2020</t>
  </si>
  <si>
    <t>0633815/4/2020</t>
  </si>
  <si>
    <t>0633815/11/2020</t>
  </si>
  <si>
    <t>0633817/25/2022</t>
  </si>
  <si>
    <t>Q25008-0100DSB</t>
  </si>
  <si>
    <t>Q25008-0100DSB3SB0005</t>
  </si>
  <si>
    <t>{C5B30460-C4D9-4314-A600-D1F9EFB3BFE7}</t>
  </si>
  <si>
    <t>Q25008-0100DSB2C5B30460-C4D9-4314-A600-D1F9EFB3BFE7</t>
  </si>
  <si>
    <t>Q25008-0100DSB2C5B30460-C4D9-4314-A600-D1F9EFB3BFE739</t>
  </si>
  <si>
    <t>Stage 4 Tendering Stage - SB</t>
  </si>
  <si>
    <t>PAN260617CSB</t>
  </si>
  <si>
    <t>PAN260617CSB3SB0005</t>
  </si>
  <si>
    <t>PAN260617CSB0</t>
  </si>
  <si>
    <t>PAN260617CSB039</t>
  </si>
  <si>
    <t>0633815/9/2022</t>
  </si>
  <si>
    <t>OM23030-0100DSB</t>
  </si>
  <si>
    <t>OM23030-0100DSB3SB0005</t>
  </si>
  <si>
    <t>0633812/19/2024</t>
  </si>
  <si>
    <t>{A8127B07-A220-46E1-AF82-55DEC918F23A}</t>
  </si>
  <si>
    <t>OM23030-0100DSB3A8127B07-A220-46E1-AF82-55DEC918F23A</t>
  </si>
  <si>
    <t>OM23030-0100DSB3A8127B07-A220-46E1-AF82-55DEC918F23A39</t>
  </si>
  <si>
    <t>DELIVERABLE 8: PRELIMINARY DESIGN FOR MARINE WORKS, INFRASTRUCTURE AND UTILITIES SB</t>
  </si>
  <si>
    <t>{59471D01-6488-4B82-A84F-DAD32CFBE90D}</t>
  </si>
  <si>
    <t>Q25008-0100DSB259471D01-6488-4B82-A84F-DAD32CFBE90D</t>
  </si>
  <si>
    <t>Q25008-0100DSB259471D01-6488-4B82-A84F-DAD32CFBE90D39</t>
  </si>
  <si>
    <t>Stage 3 Tender Documents - SB</t>
  </si>
  <si>
    <t>0633815/19/2025</t>
  </si>
  <si>
    <t>TA24246-0200RSB</t>
  </si>
  <si>
    <t>TA24246-0200RSB3SB0005</t>
  </si>
  <si>
    <t>{3BA86B78-27FB-4FF0-B2EF-D079EDF82C0A}</t>
  </si>
  <si>
    <t>TA24246-0200RSB63BA86B78-27FB-4FF0-B2EF-D079EDF82C0A</t>
  </si>
  <si>
    <t>TA24246-0200RSB63BA86B78-27FB-4FF0-B2EF-D079EDF82C0A39</t>
  </si>
  <si>
    <t>Review- SB</t>
  </si>
  <si>
    <t>AN23207-0100D</t>
  </si>
  <si>
    <t>AN23207-0100DSB</t>
  </si>
  <si>
    <t>AN23207-0100DSB3SB0005</t>
  </si>
  <si>
    <t>{E0A6809A-A13C-4808-9CB9-716D82B34996}</t>
  </si>
  <si>
    <t>AN23207-0100DSB4E0A6809A-A13C-4808-9CB9-716D82B34996</t>
  </si>
  <si>
    <t>AN23207-0100DSB4E0A6809A-A13C-4808-9CB9-716D82B3499639</t>
  </si>
  <si>
    <t>Structural Design</t>
  </si>
  <si>
    <t>0633811/17/2022</t>
  </si>
  <si>
    <t>0633816/13/2022</t>
  </si>
  <si>
    <t>E18028-0100D</t>
  </si>
  <si>
    <t>E18028-0100DSB</t>
  </si>
  <si>
    <t>E18028-0100DSB3SB0005</t>
  </si>
  <si>
    <t>{8286A148-D9A3-44EA-BD8B-D5E29D5D1C14}</t>
  </si>
  <si>
    <t>E18028-0100DSB48286A148-D9A3-44EA-BD8B-D5E29D5D1C14</t>
  </si>
  <si>
    <t>E18028-0100DSB48286A148-D9A3-44EA-BD8B-D5E29D5D1C1439</t>
  </si>
  <si>
    <t>0633814/1/2024</t>
  </si>
  <si>
    <t>0633813/22/2021</t>
  </si>
  <si>
    <t>WWOM250731SB</t>
  </si>
  <si>
    <t>WWOM250731SB3SB0005</t>
  </si>
  <si>
    <t>WWOM250731SB0</t>
  </si>
  <si>
    <t>WWOM250731SB039</t>
  </si>
  <si>
    <t>0633813/21/2022</t>
  </si>
  <si>
    <t>0633815/16/2022</t>
  </si>
  <si>
    <t>0633813/8/2021</t>
  </si>
  <si>
    <t>06338112/21/2020</t>
  </si>
  <si>
    <t>06338111/14/2022</t>
  </si>
  <si>
    <t>06338110/19/2020</t>
  </si>
  <si>
    <t>0633814/12/2021</t>
  </si>
  <si>
    <t>WWMZ251598SB</t>
  </si>
  <si>
    <t>WWMZ251598SB3SB0005</t>
  </si>
  <si>
    <t>WWMZ251598SB0</t>
  </si>
  <si>
    <t>WWMZ251598SB039</t>
  </si>
  <si>
    <t>06338111/9/2020</t>
  </si>
  <si>
    <t>0633814/5/2021</t>
  </si>
  <si>
    <t>0633818/10/2020</t>
  </si>
  <si>
    <t>0633818/22/2022</t>
  </si>
  <si>
    <t>0633816/20/2022</t>
  </si>
  <si>
    <t>0633817/18/2022</t>
  </si>
  <si>
    <t>0633816/6/2022</t>
  </si>
  <si>
    <t>06338110/31/2022</t>
  </si>
  <si>
    <t>0633818/19/2024</t>
  </si>
  <si>
    <t>0633815/12/2025</t>
  </si>
  <si>
    <t>PAL251195CSB</t>
  </si>
  <si>
    <t>PAL251195CSB3SB0005</t>
  </si>
  <si>
    <t>PAL251195CSB0</t>
  </si>
  <si>
    <t>PAL251195CSB039</t>
  </si>
  <si>
    <t>EXCUSE.PERSB</t>
  </si>
  <si>
    <t>EXCUSE.PERSB3SB0005</t>
  </si>
  <si>
    <t>EXCUSE.PERSB0</t>
  </si>
  <si>
    <t>EXCUSE.PERSB039</t>
  </si>
  <si>
    <t>0633819/19/2022</t>
  </si>
  <si>
    <t>06338112/6/2021</t>
  </si>
  <si>
    <t>06338112/13/2021</t>
  </si>
  <si>
    <t>0633815/23/2022</t>
  </si>
  <si>
    <t>06338111/7/2022</t>
  </si>
  <si>
    <t>06338110/12/2020</t>
  </si>
  <si>
    <t>0633812/22/2021</t>
  </si>
  <si>
    <t>0633813/1/2021</t>
  </si>
  <si>
    <t>AN21146-0100RSB</t>
  </si>
  <si>
    <t>AN21146-0100RSB3SB0005</t>
  </si>
  <si>
    <t>{D77DB635-0C85-4F34-840E-B47DAE169EA3}</t>
  </si>
  <si>
    <t>AN21146-0100RSB6D77DB635-0C85-4F34-840E-B47DAE169EA3</t>
  </si>
  <si>
    <t>AN21146-0100RSB6D77DB635-0C85-4F34-840E-B47DAE169EA339</t>
  </si>
  <si>
    <t>Design review comments  SB</t>
  </si>
  <si>
    <t>AN24185-0100RSB</t>
  </si>
  <si>
    <t>AN24185-0100RSB3SB0005</t>
  </si>
  <si>
    <t>{C0F52151-E810-4831-B524-B53E6A0C5A26}</t>
  </si>
  <si>
    <t>AN24185-0100RSB6C0F52151-E810-4831-B524-B53E6A0C5A26</t>
  </si>
  <si>
    <t>AN24185-0100RSB6C0F52151-E810-4831-B524-B53E6A0C5A2639</t>
  </si>
  <si>
    <t>Design Review SB</t>
  </si>
  <si>
    <t>{7EA021BA-BF90-4EB3-9257-DD0C11BA6A82}</t>
  </si>
  <si>
    <t>CS24035-0100DSB17EA021BA-BF90-4EB3-9257-DD0C11BA6A82</t>
  </si>
  <si>
    <t>CS24035-0100DSB17EA021BA-BF90-4EB3-9257-DD0C11BA6A8239</t>
  </si>
  <si>
    <t>Basis of design report- ST</t>
  </si>
  <si>
    <t>E23181-0200S</t>
  </si>
  <si>
    <t>E23181-0200SSB</t>
  </si>
  <si>
    <t>E23181-0200SSB3SB0005</t>
  </si>
  <si>
    <t>E23181-0200SSB6</t>
  </si>
  <si>
    <t>E23181-0200SSB639</t>
  </si>
  <si>
    <t>0633814/4/2022</t>
  </si>
  <si>
    <t>TA23011-0100RSB</t>
  </si>
  <si>
    <t>TA23011-0100RSB3SB0005</t>
  </si>
  <si>
    <t>{4280BE21-85C9-4D2E-A193-EB52C28AA678}</t>
  </si>
  <si>
    <t>TA23011-0100RSB64280BE21-85C9-4D2E-A193-EB52C28AA678</t>
  </si>
  <si>
    <t>TA23011-0100RSB64280BE21-85C9-4D2E-A193-EB52C28AA67839</t>
  </si>
  <si>
    <t>0633813/10/2025</t>
  </si>
  <si>
    <t>PS240458</t>
  </si>
  <si>
    <t>PS240458SB</t>
  </si>
  <si>
    <t>PS240458SB3SB0005</t>
  </si>
  <si>
    <t>Active PT</t>
  </si>
  <si>
    <t>PS240458SB0</t>
  </si>
  <si>
    <t>PS240458SB039</t>
  </si>
  <si>
    <t>WWN260200SB</t>
  </si>
  <si>
    <t>WWN260200SB3SB0005</t>
  </si>
  <si>
    <t>WWN260200SB0</t>
  </si>
  <si>
    <t>WWN260200SB039</t>
  </si>
  <si>
    <t>WWS240344</t>
  </si>
  <si>
    <t>WWS240344SB</t>
  </si>
  <si>
    <t>WWS240344SB3SB0005</t>
  </si>
  <si>
    <t>WWS240344SB0</t>
  </si>
  <si>
    <t>WWS240344SB039</t>
  </si>
  <si>
    <t>0633814/11/2022</t>
  </si>
  <si>
    <t>AN24135-0100RSB</t>
  </si>
  <si>
    <t>AN24135-0100RSB3SB0005</t>
  </si>
  <si>
    <t>{0986577F-F5CB-4683-B590-1FB27408D6E8}</t>
  </si>
  <si>
    <t>AN24135-0100RSB60986577F-F5CB-4683-B590-1FB27408D6E8</t>
  </si>
  <si>
    <t>AN24135-0100RSB60986577F-F5CB-4683-B590-1FB27408D6E839</t>
  </si>
  <si>
    <t>Structural Review Works</t>
  </si>
  <si>
    <t>D14081-0100D</t>
  </si>
  <si>
    <t>D14081-0100DSB</t>
  </si>
  <si>
    <t>D14081-0100DSB3SB0005</t>
  </si>
  <si>
    <t>D14081-0100DSB4</t>
  </si>
  <si>
    <t>D14081-0100DSB439</t>
  </si>
  <si>
    <t>{2450E054-AEF9-4BF4-8D54-4D90B4A4CB4C}</t>
  </si>
  <si>
    <t>S19046-0162DSB42450E054-AEF9-4BF4-8D54-4D90B4A4CB4C</t>
  </si>
  <si>
    <t>S19046-0162DSB42450E054-AEF9-4BF4-8D54-4D90B4A4CB4C39</t>
  </si>
  <si>
    <t>Tender Documents SB</t>
  </si>
  <si>
    <t>{6D39D042-9B1D-416A-B853-31578208025C}</t>
  </si>
  <si>
    <t>S24014-0104DSB16D39D042-9B1D-416A-B853-31578208025C</t>
  </si>
  <si>
    <t>S24014-0104DSB16D39D042-9B1D-416A-B853-31578208025C39</t>
  </si>
  <si>
    <t>Monthly Progress-SB</t>
  </si>
  <si>
    <t>PE240049C</t>
  </si>
  <si>
    <t>PE240049CSB</t>
  </si>
  <si>
    <t>PE240049CSB3SB0005</t>
  </si>
  <si>
    <t>PE240049CSB0</t>
  </si>
  <si>
    <t>PE240049CSB039</t>
  </si>
  <si>
    <t>WWS250396</t>
  </si>
  <si>
    <t>WWS250396SB</t>
  </si>
  <si>
    <t>WWS250396SB3SB0005</t>
  </si>
  <si>
    <t>WWS250396SB0</t>
  </si>
  <si>
    <t>WWS250396SB039</t>
  </si>
  <si>
    <t>LATESB</t>
  </si>
  <si>
    <t>LATESB3SB0005</t>
  </si>
  <si>
    <t>LATESB0</t>
  </si>
  <si>
    <t>LATESB039</t>
  </si>
  <si>
    <t>WWIQ240673</t>
  </si>
  <si>
    <t>WWIQ240673SB</t>
  </si>
  <si>
    <t>WWIQ240673SB3SB0005</t>
  </si>
  <si>
    <t>WWIQ240673SB0</t>
  </si>
  <si>
    <t>WWIQ240673SB039</t>
  </si>
  <si>
    <t>{6BE8CCCF-2AE1-4523-B957-3F2614F35F5B}</t>
  </si>
  <si>
    <t>AD24217-0100DSB36BE8CCCF-2AE1-4523-B957-3F2614F35F5B</t>
  </si>
  <si>
    <t>AD24217-0100DSB36BE8CCCF-2AE1-4523-B957-3F2614F35F5B39</t>
  </si>
  <si>
    <t>Preliminary Design - ST</t>
  </si>
  <si>
    <t>WWOM241095</t>
  </si>
  <si>
    <t>WWOM241095SB</t>
  </si>
  <si>
    <t>WWOM241095SB3SB0005</t>
  </si>
  <si>
    <t>WWOM241095SB0</t>
  </si>
  <si>
    <t>WWOM241095SB039</t>
  </si>
  <si>
    <t>AN24073-0100DSB</t>
  </si>
  <si>
    <t>AN24073-0100DSB3SB0005</t>
  </si>
  <si>
    <t>{8E29FD1E-FAE4-461D-97BF-E21644E0E16E}</t>
  </si>
  <si>
    <t>AN24073-0100DSB28E29FD1E-FAE4-461D-97BF-E21644E0E16E</t>
  </si>
  <si>
    <t>AN24073-0100DSB28E29FD1E-FAE4-461D-97BF-E21644E0E16E39</t>
  </si>
  <si>
    <t>DMIDD- SB</t>
  </si>
  <si>
    <t>D22150-0200S</t>
  </si>
  <si>
    <t>D22150-0200SSB</t>
  </si>
  <si>
    <t>D22150-0200SSB3SB0005</t>
  </si>
  <si>
    <t>D22150-0200SSB6</t>
  </si>
  <si>
    <t>D22150-0200SSB639</t>
  </si>
  <si>
    <t>{2223C8E5-8065-482E-A702-29CED4A78B15}</t>
  </si>
  <si>
    <t>MZ22111-0100DSB52223C8E5-8065-482E-A702-29CED4A78B15</t>
  </si>
  <si>
    <t>MZ22111-0100DSB52223C8E5-8065-482E-A702-29CED4A78B1539</t>
  </si>
  <si>
    <t>Tender evaluation SB</t>
  </si>
  <si>
    <t>{527AE5C0-07A5-4CF1-8CA4-4CEB8529A20A}</t>
  </si>
  <si>
    <t>Q25008-0100DSB2527AE5C0-07A5-4CF1-8CA4-4CEB8529A20A</t>
  </si>
  <si>
    <t>Q25008-0100DSB2527AE5C0-07A5-4CF1-8CA4-4CEB8529A20A39</t>
  </si>
  <si>
    <t>Stage 1 Concept Stage | Brief Validation &amp; Master Planning - SB</t>
  </si>
  <si>
    <t>S22058-0400DSB</t>
  </si>
  <si>
    <t>S22058-0400DSB3SB0005</t>
  </si>
  <si>
    <t>{68C5C53E-F074-4A27-9CCD-2B87D8C1F672}</t>
  </si>
  <si>
    <t>S22058-0400DSB468C5C53E-F074-4A27-9CCD-2B87D8C1F672</t>
  </si>
  <si>
    <t>S22058-0400DSB468C5C53E-F074-4A27-9CCD-2B87D8C1F67239</t>
  </si>
  <si>
    <t>Deatiled Design and Documents SB</t>
  </si>
  <si>
    <t>{6D306F94-4625-4252-B2E1-E6B5AB30F2FB}</t>
  </si>
  <si>
    <t>S24014-0103DSB26D306F94-4625-4252-B2E1-E6B5AB30F2FB</t>
  </si>
  <si>
    <t>S24014-0103DSB26D306F94-4625-4252-B2E1-E6B5AB30F2FB39</t>
  </si>
  <si>
    <t>Kick off meeting-SB</t>
  </si>
  <si>
    <t>PAN221498C</t>
  </si>
  <si>
    <t>PAN221498CSB</t>
  </si>
  <si>
    <t>PAN221498CSB3SB0005</t>
  </si>
  <si>
    <t>PAN221498CSB0</t>
  </si>
  <si>
    <t>PAN221498CSB039</t>
  </si>
  <si>
    <t>PBZ250409</t>
  </si>
  <si>
    <t>PBZ250409SB</t>
  </si>
  <si>
    <t>PBZ250409SB3SB0005</t>
  </si>
  <si>
    <t>PBZ250409SB0</t>
  </si>
  <si>
    <t>PBZ250409SB039</t>
  </si>
  <si>
    <t>PIN250656</t>
  </si>
  <si>
    <t>PIN250656SB</t>
  </si>
  <si>
    <t>PIN250656SB3SB0005</t>
  </si>
  <si>
    <t>PIN250656SB0</t>
  </si>
  <si>
    <t>PIN250656SB039</t>
  </si>
  <si>
    <t>PPY250473</t>
  </si>
  <si>
    <t>PPY250473SB</t>
  </si>
  <si>
    <t>PPY250473SB3SB0005</t>
  </si>
  <si>
    <t>PPY250473SB0</t>
  </si>
  <si>
    <t>PPY250473SB039</t>
  </si>
  <si>
    <t>PS231531</t>
  </si>
  <si>
    <t>PS231531SB</t>
  </si>
  <si>
    <t>PS231531SB3SB0005</t>
  </si>
  <si>
    <t>PS231531SB0</t>
  </si>
  <si>
    <t>PS231531SB039</t>
  </si>
  <si>
    <t>WWL260195SB</t>
  </si>
  <si>
    <t>WWL260195SB3SB0005</t>
  </si>
  <si>
    <t>WWL260195SB0</t>
  </si>
  <si>
    <t>WWL260195SB039</t>
  </si>
  <si>
    <t>WWMZ250249SB</t>
  </si>
  <si>
    <t>WWMZ250249SB3SB0005</t>
  </si>
  <si>
    <t>WWMZ250249SB0</t>
  </si>
  <si>
    <t>WWMZ250249SB039</t>
  </si>
  <si>
    <t>WWQ250337</t>
  </si>
  <si>
    <t>WWQ250337SB</t>
  </si>
  <si>
    <t>WWQ250337SB3SB0005</t>
  </si>
  <si>
    <t>WWQ250337SB0</t>
  </si>
  <si>
    <t>WWQ250337SB039</t>
  </si>
  <si>
    <t>WWS240119</t>
  </si>
  <si>
    <t>WWS240119SB</t>
  </si>
  <si>
    <t>WWS240119SB3SB0005</t>
  </si>
  <si>
    <t>WWS240119SB0</t>
  </si>
  <si>
    <t>WWS240119SB039</t>
  </si>
  <si>
    <t>WWS240426</t>
  </si>
  <si>
    <t>WWS240426SB</t>
  </si>
  <si>
    <t>WWS240426SB3SB0005</t>
  </si>
  <si>
    <t>WWS240426SB0</t>
  </si>
  <si>
    <t>WWS240426SB039</t>
  </si>
  <si>
    <t>WWS240976</t>
  </si>
  <si>
    <t>WWS240976SB</t>
  </si>
  <si>
    <t>WWS240976SB3SB0005</t>
  </si>
  <si>
    <t>WWS240976SB0</t>
  </si>
  <si>
    <t>WWS240976SB039</t>
  </si>
  <si>
    <t>WWS250088</t>
  </si>
  <si>
    <t>WWS250088SB</t>
  </si>
  <si>
    <t>WWS250088SB3SB0005</t>
  </si>
  <si>
    <t>Submitted</t>
  </si>
  <si>
    <t>WWS250088SB0</t>
  </si>
  <si>
    <t>WWS250088SB039</t>
  </si>
  <si>
    <t>AN24140-0100RSB</t>
  </si>
  <si>
    <t>AN24140-0100RSB3SB0005</t>
  </si>
  <si>
    <t>{D431DED7-2E92-4151-B202-3918AA8C483E}</t>
  </si>
  <si>
    <t>AN24140-0100RSB6D431DED7-2E92-4151-B202-3918AA8C483E</t>
  </si>
  <si>
    <t>AN24140-0100RSB6D431DED7-2E92-4151-B202-3918AA8C483E39</t>
  </si>
  <si>
    <t>{63B09A47-914E-437E-A94B-7C80B01A9E2A}</t>
  </si>
  <si>
    <t>J23152-0100DSB563B09A47-914E-437E-A94B-7C80B01A9E2A</t>
  </si>
  <si>
    <t>J23152-0100DSB563B09A47-914E-437E-A94B-7C80B01A9E2A39</t>
  </si>
  <si>
    <t>Tender Assessment Report SB</t>
  </si>
  <si>
    <t>PJ240530</t>
  </si>
  <si>
    <t>PJ240530SB</t>
  </si>
  <si>
    <t>PJ240530SB3SB0005</t>
  </si>
  <si>
    <t>PJ240530SB0</t>
  </si>
  <si>
    <t>PJ240530SB039</t>
  </si>
  <si>
    <t>PJ260118SB</t>
  </si>
  <si>
    <t>PJ260118SB3SB0005</t>
  </si>
  <si>
    <t>PJ260118SB0</t>
  </si>
  <si>
    <t>PJ260118SB039</t>
  </si>
  <si>
    <t>PQ240548</t>
  </si>
  <si>
    <t>PQ240548SB</t>
  </si>
  <si>
    <t>PQ240548SB3SB0005</t>
  </si>
  <si>
    <t>PQ240548SB0</t>
  </si>
  <si>
    <t>PQ240548SB039</t>
  </si>
  <si>
    <t>WWCG250041</t>
  </si>
  <si>
    <t>WWCG250041SB</t>
  </si>
  <si>
    <t>WWCG250041SB3SB0005</t>
  </si>
  <si>
    <t>WWCG250041SB0</t>
  </si>
  <si>
    <t>WWCG250041SB039</t>
  </si>
  <si>
    <t>WWOM250578</t>
  </si>
  <si>
    <t>WWOM250578SB</t>
  </si>
  <si>
    <t>WWOM250578SB3SB0005</t>
  </si>
  <si>
    <t>WWOM250578SB0</t>
  </si>
  <si>
    <t>WWOM250578SB039</t>
  </si>
  <si>
    <t>WWQ240828</t>
  </si>
  <si>
    <t>WWQ240828SB</t>
  </si>
  <si>
    <t>WWQ240828SB3SB0005</t>
  </si>
  <si>
    <t>WWQ240828SB0</t>
  </si>
  <si>
    <t>WWQ240828SB039</t>
  </si>
  <si>
    <t>WWS260269SB</t>
  </si>
  <si>
    <t>WWS260269SB3SB0005</t>
  </si>
  <si>
    <t>WWS260269SB0</t>
  </si>
  <si>
    <t>WWS260269SB039</t>
  </si>
  <si>
    <t>065302</t>
  </si>
  <si>
    <t>Professional</t>
  </si>
  <si>
    <t>0653027/28/2025</t>
  </si>
  <si>
    <t>0653022/26/2024</t>
  </si>
  <si>
    <t>0653023/4/2024</t>
  </si>
  <si>
    <t>ECO24125-0100D</t>
  </si>
  <si>
    <t>ECO24125-0100DSB</t>
  </si>
  <si>
    <t>ECO24125-0100DSB3SB0005</t>
  </si>
  <si>
    <t>0653025/26/2025</t>
  </si>
  <si>
    <t>{EF9A7B98-ED8C-4D05-B1C6-26E43F51120A}</t>
  </si>
  <si>
    <t>ECO24125-0100DSB3EF9A7B98-ED8C-4D05-B1C6-26E43F51120A</t>
  </si>
  <si>
    <t>ECO24125-0100DSB3EF9A7B98-ED8C-4D05-B1C6-26E43F51120A39</t>
  </si>
  <si>
    <t>FD-ST</t>
  </si>
  <si>
    <t>0653028/4/2025</t>
  </si>
  <si>
    <t>S24028-0101D</t>
  </si>
  <si>
    <t>S24028-0101DSB</t>
  </si>
  <si>
    <t>S24028-0101DSB3SB0005</t>
  </si>
  <si>
    <t>0653028/12/2024</t>
  </si>
  <si>
    <t>{1C0446B7-C54A-4346-8CD2-AAC15187CDB5}</t>
  </si>
  <si>
    <t>S24028-0101DSB21C0446B7-C54A-4346-8CD2-AAC15187CDB5</t>
  </si>
  <si>
    <t>S24028-0101DSB21C0446B7-C54A-4346-8CD2-AAC15187CDB539</t>
  </si>
  <si>
    <t>Waste water treatment plants CD  - SB</t>
  </si>
  <si>
    <t>0653021/13/2025</t>
  </si>
  <si>
    <t>0653023/25/2024</t>
  </si>
  <si>
    <t>06530211/10/2025</t>
  </si>
  <si>
    <t>0653025/11/2026</t>
  </si>
  <si>
    <t>0653024/27/2026</t>
  </si>
  <si>
    <t>0653025/4/2026</t>
  </si>
  <si>
    <t>0653027/27/2026</t>
  </si>
  <si>
    <t>0653026/23/2025</t>
  </si>
  <si>
    <t>{B7862F49-37A2-42EA-B9CF-342F9E5B475A}</t>
  </si>
  <si>
    <t>AD24217-0100DSB1B7862F49-37A2-42EA-B9CF-342F9E5B475A</t>
  </si>
  <si>
    <t>AD24217-0100DSB1B7862F49-37A2-42EA-B9CF-342F9E5B475A39</t>
  </si>
  <si>
    <t>Project Design Brief - ST</t>
  </si>
  <si>
    <t>0653026/2/2025</t>
  </si>
  <si>
    <t>0653026/16/2025</t>
  </si>
  <si>
    <t>0653027/22/2024</t>
  </si>
  <si>
    <t>0653021/20/2025</t>
  </si>
  <si>
    <t>0653021/27/2025</t>
  </si>
  <si>
    <t>0653027/8/2024</t>
  </si>
  <si>
    <t>E26084-0100DSB</t>
  </si>
  <si>
    <t>E26084-0100DSB3SB0005</t>
  </si>
  <si>
    <t>0653028/3/2026</t>
  </si>
  <si>
    <t>{F1EE89B9-5865-4D1D-9EFE-71F876496795}</t>
  </si>
  <si>
    <t>E26084-0100DSB3F1EE89B9-5865-4D1D-9EFE-71F876496795</t>
  </si>
  <si>
    <t>E26084-0100DSB3F1EE89B9-5865-4D1D-9EFE-71F87649679539</t>
  </si>
  <si>
    <t>Schematic Design - STR</t>
  </si>
  <si>
    <t>S23130-0101D</t>
  </si>
  <si>
    <t>S23130-0101DSB</t>
  </si>
  <si>
    <t>S23130-0101DSB3SB0005</t>
  </si>
  <si>
    <t>0653026/10/2024</t>
  </si>
  <si>
    <t>{3728D408-7F72-480D-852C-799560EDE3B1}</t>
  </si>
  <si>
    <t>S23130-0101DSB33728D408-7F72-480D-852C-799560EDE3B1</t>
  </si>
  <si>
    <t>S23130-0101DSB33728D408-7F72-480D-852C-799560EDE3B139</t>
  </si>
  <si>
    <t>50% DD SB</t>
  </si>
  <si>
    <t>0653024/6/2026</t>
  </si>
  <si>
    <t>0653026/15/2026</t>
  </si>
  <si>
    <t>0653024/20/2026</t>
  </si>
  <si>
    <t>0653026/9/2025</t>
  </si>
  <si>
    <t>0653027/1/2024</t>
  </si>
  <si>
    <t>06530212/1/2025</t>
  </si>
  <si>
    <t>0653027/20/2026</t>
  </si>
  <si>
    <t>0653021/12/2026</t>
  </si>
  <si>
    <t>06530212/2/2024</t>
  </si>
  <si>
    <t>0653027/29/2024</t>
  </si>
  <si>
    <t>0653025/18/2026</t>
  </si>
  <si>
    <t>0653025/5/2025</t>
  </si>
  <si>
    <t>06530212/9/2024</t>
  </si>
  <si>
    <t>0653028/5/2024</t>
  </si>
  <si>
    <t>0653024/15/2024</t>
  </si>
  <si>
    <t>0653028/19/2024</t>
  </si>
  <si>
    <t>S21220-0100D</t>
  </si>
  <si>
    <t>S21220-0100DSB</t>
  </si>
  <si>
    <t>S21220-0100DSB3SB0005</t>
  </si>
  <si>
    <t>0653025/20/2024</t>
  </si>
  <si>
    <t>{E1581190-D5F9-4405-80C6-53E3491296A2}</t>
  </si>
  <si>
    <t>S21220-0100DSB4E1581190-D5F9-4405-80C6-53E3491296A2</t>
  </si>
  <si>
    <t>S21220-0100DSB4E1581190-D5F9-4405-80C6-53E3491296A239</t>
  </si>
  <si>
    <t>Detailed Design Drawings Draft Submission SB</t>
  </si>
  <si>
    <t>0653029/15/2025</t>
  </si>
  <si>
    <t>0653029/30/2024</t>
  </si>
  <si>
    <t>S23202-0103D</t>
  </si>
  <si>
    <t>S23202-0103DSB</t>
  </si>
  <si>
    <t>S23202-0103DSB3SB0005</t>
  </si>
  <si>
    <t>0653026/3/2024</t>
  </si>
  <si>
    <t>{0114D731-D6EA-4624-A7BF-BB601CB49D33}</t>
  </si>
  <si>
    <t>S23202-0103DSB10114D731-D6EA-4624-A7BF-BB601CB49D33</t>
  </si>
  <si>
    <t>S23202-0103DSB10114D731-D6EA-4624-A7BF-BB601CB49D3339</t>
  </si>
  <si>
    <t>TO4_KPH_SB</t>
  </si>
  <si>
    <t>0653027/6/2026</t>
  </si>
  <si>
    <t>0653022/2/2026</t>
  </si>
  <si>
    <t>0653029/8/2025</t>
  </si>
  <si>
    <t>{349E2EDB-F821-4BF0-834E-E7B33A3A7930}</t>
  </si>
  <si>
    <t>S24014-0102DSB4349E2EDB-F821-4BF0-834E-E7B33A3A7930</t>
  </si>
  <si>
    <t>S24014-0102DSB4349E2EDB-F821-4BF0-834E-E7B33A3A793039</t>
  </si>
  <si>
    <t>Vessel Collision - Weekly progress update - SB</t>
  </si>
  <si>
    <t>06530211/11/2024</t>
  </si>
  <si>
    <t>0653027/15/2024</t>
  </si>
  <si>
    <t>0653024/28/2025</t>
  </si>
  <si>
    <t>0653026/17/2024</t>
  </si>
  <si>
    <t>0653025/12/2025</t>
  </si>
  <si>
    <t>0653029/16/2024</t>
  </si>
  <si>
    <t>0653029/2/2024</t>
  </si>
  <si>
    <t>0653026/29/2026</t>
  </si>
  <si>
    <t>06530211/17/2025</t>
  </si>
  <si>
    <t>06530212/8/2025</t>
  </si>
  <si>
    <t>0653022/9/2026</t>
  </si>
  <si>
    <t>06530211/25/2024</t>
  </si>
  <si>
    <t>0653027/21/2025</t>
  </si>
  <si>
    <t>0653029/1/2025</t>
  </si>
  <si>
    <t>0653024/1/2024</t>
  </si>
  <si>
    <t>0653029/9/2024</t>
  </si>
  <si>
    <t>06530210/20/2025</t>
  </si>
  <si>
    <t>06530211/24/2025</t>
  </si>
  <si>
    <t>0653026/24/2024</t>
  </si>
  <si>
    <t>0653025/6/2024</t>
  </si>
  <si>
    <t>0653022/19/2024</t>
  </si>
  <si>
    <t>06530210/21/2024</t>
  </si>
  <si>
    <t>0653029/23/2024</t>
  </si>
  <si>
    <t>0653026/22/2026</t>
  </si>
  <si>
    <t>06530210/6/2025</t>
  </si>
  <si>
    <t>06530212/22/2025</t>
  </si>
  <si>
    <t>06530212/29/2025</t>
  </si>
  <si>
    <t>0653021/19/2026</t>
  </si>
  <si>
    <t>0653021/26/2026</t>
  </si>
  <si>
    <t>0653022/10/2025</t>
  </si>
  <si>
    <t>0653028/26/2024</t>
  </si>
  <si>
    <t>0653024/21/2025</t>
  </si>
  <si>
    <t>0653023/31/2025</t>
  </si>
  <si>
    <t>PS221394</t>
  </si>
  <si>
    <t>PS221394SB</t>
  </si>
  <si>
    <t>PS221394SB3SB0005</t>
  </si>
  <si>
    <t>0653023/18/2024</t>
  </si>
  <si>
    <t>PS221394SB0</t>
  </si>
  <si>
    <t>PS221394SB039</t>
  </si>
  <si>
    <t>0653024/29/2024</t>
  </si>
  <si>
    <t>0653021/6/2025</t>
  </si>
  <si>
    <t>0653025/19/2025</t>
  </si>
  <si>
    <t>0653023/2/2026</t>
  </si>
  <si>
    <t>06530210/7/2024</t>
  </si>
  <si>
    <t>0653024/13/2026</t>
  </si>
  <si>
    <t>06530210/27/2025</t>
  </si>
  <si>
    <t>06530211/3/2025</t>
  </si>
  <si>
    <t>06530212/15/2025</t>
  </si>
  <si>
    <t>0653023/30/2026</t>
  </si>
  <si>
    <t>0653025/13/2024</t>
  </si>
  <si>
    <t>06530212/16/2024</t>
  </si>
  <si>
    <t>0653022/3/2025</t>
  </si>
  <si>
    <t>0653022/24/2025</t>
  </si>
  <si>
    <t>06530211/18/2024</t>
  </si>
  <si>
    <t>06530211/4/2024</t>
  </si>
  <si>
    <t>0653026/30/2025</t>
  </si>
  <si>
    <t>0653023/17/2025</t>
  </si>
  <si>
    <t>0653024/22/2024</t>
  </si>
  <si>
    <t>0653028/11/2025</t>
  </si>
  <si>
    <t>0653028/25/2025</t>
  </si>
  <si>
    <t>0653024/7/2025</t>
  </si>
  <si>
    <t>AN24135-0200S</t>
  </si>
  <si>
    <t>AN24135-0200SSB</t>
  </si>
  <si>
    <t>AN24135-0200SSB3SB0005</t>
  </si>
  <si>
    <t>AN24135-0200SSB6</t>
  </si>
  <si>
    <t>AN24135-0200SSB639</t>
  </si>
  <si>
    <t>06530212/23/2024</t>
  </si>
  <si>
    <t>0653025/25/2026</t>
  </si>
  <si>
    <t>0653025/27/2024</t>
  </si>
  <si>
    <t>0653023/10/2025</t>
  </si>
  <si>
    <t>PE241280C-04</t>
  </si>
  <si>
    <t>PE241280C-04SB</t>
  </si>
  <si>
    <t>PE241280C-04SB3SB0005</t>
  </si>
  <si>
    <t>PE241280C-04SB0</t>
  </si>
  <si>
    <t>PE241280C-04SB039</t>
  </si>
  <si>
    <t>0653023/11/2024</t>
  </si>
  <si>
    <t>0653024/14/2025</t>
  </si>
  <si>
    <t>0653022/17/2025</t>
  </si>
  <si>
    <t>06530210/28/2024</t>
  </si>
  <si>
    <t>06530210/13/2025</t>
  </si>
  <si>
    <t>0653027/13/2026</t>
  </si>
  <si>
    <t>0653021/5/2026</t>
  </si>
  <si>
    <t>0653029/29/2025</t>
  </si>
  <si>
    <t>06530210/14/2024</t>
  </si>
  <si>
    <t>0653027/7/2025</t>
  </si>
  <si>
    <t>0653027/14/2025</t>
  </si>
  <si>
    <t>06530212/30/2024</t>
  </si>
  <si>
    <t>PN250010C</t>
  </si>
  <si>
    <t>PN250010CSB</t>
  </si>
  <si>
    <t>PN250010CSB3SB0005</t>
  </si>
  <si>
    <t>PN250010CSB0</t>
  </si>
  <si>
    <t>PN250010CSB039</t>
  </si>
  <si>
    <t>0653024/8/2024</t>
  </si>
  <si>
    <t>0653023/16/2026</t>
  </si>
  <si>
    <t>0653023/23/2026</t>
  </si>
  <si>
    <t>0653029/22/2025</t>
  </si>
  <si>
    <t>0653026/1/2026</t>
  </si>
  <si>
    <t>0653026/8/2026</t>
  </si>
  <si>
    <t>0653023/9/2026</t>
  </si>
  <si>
    <t>0653022/16/2026</t>
  </si>
  <si>
    <t>0653023/3/2025</t>
  </si>
  <si>
    <t>0653023/24/2025</t>
  </si>
  <si>
    <t>E21208-0100S</t>
  </si>
  <si>
    <t>E21208-0100SSB</t>
  </si>
  <si>
    <t>E21208-0100SSB3SB0005</t>
  </si>
  <si>
    <t>E21208-0100SSB6</t>
  </si>
  <si>
    <t>E21208-0100SSB639</t>
  </si>
  <si>
    <t>0653022/23/2026</t>
  </si>
  <si>
    <t>0653028/18/2025</t>
  </si>
  <si>
    <t>S24082-0100R</t>
  </si>
  <si>
    <t>S24082-0100RSB</t>
  </si>
  <si>
    <t>S24082-0100RSB3SB0005</t>
  </si>
  <si>
    <t>S24082-0100RSB6</t>
  </si>
  <si>
    <t>S24082-0100RSB639</t>
  </si>
  <si>
    <t>065512</t>
  </si>
  <si>
    <t>0655126/23/2025</t>
  </si>
  <si>
    <t>0655127/27/2026</t>
  </si>
  <si>
    <t>0655124/6/2026</t>
  </si>
  <si>
    <t>06551212/1/2025</t>
  </si>
  <si>
    <t>0655125/11/2026</t>
  </si>
  <si>
    <t>0655124/27/2026</t>
  </si>
  <si>
    <t>0655121/13/2025</t>
  </si>
  <si>
    <t>0655128/3/2026</t>
  </si>
  <si>
    <t>06551210/14/2024</t>
  </si>
  <si>
    <t>0655121/27/2025</t>
  </si>
  <si>
    <t>0655128/18/2025</t>
  </si>
  <si>
    <t>06551211/10/2025</t>
  </si>
  <si>
    <t>0655121/20/2025</t>
  </si>
  <si>
    <t>0655128/4/2025</t>
  </si>
  <si>
    <t>0655126/16/2025</t>
  </si>
  <si>
    <t>0655126/15/2026</t>
  </si>
  <si>
    <t>06551212/2/2024</t>
  </si>
  <si>
    <t>0655128/10/2026</t>
  </si>
  <si>
    <t>0655125/18/2026</t>
  </si>
  <si>
    <t>06551212/16/2024</t>
  </si>
  <si>
    <t>0655121/12/2026</t>
  </si>
  <si>
    <t>06551211/24/2025</t>
  </si>
  <si>
    <t>0655127/20/2026</t>
  </si>
  <si>
    <t>0655125/26/2025</t>
  </si>
  <si>
    <t>0655127/14/2025</t>
  </si>
  <si>
    <t>0655127/28/2025</t>
  </si>
  <si>
    <t>06551212/9/2024</t>
  </si>
  <si>
    <t>0655126/8/2026</t>
  </si>
  <si>
    <t>0655121/6/2025</t>
  </si>
  <si>
    <t>0655126/9/2025</t>
  </si>
  <si>
    <t>06551212/8/2025</t>
  </si>
  <si>
    <t>0655122/2/2026</t>
  </si>
  <si>
    <t>{CCDEB691-8ABF-4B6D-ACBF-FE2BC64BB286}</t>
  </si>
  <si>
    <t>Q25008-0100DSB2CCDEB691-8ABF-4B6D-ACBF-FE2BC64BB286</t>
  </si>
  <si>
    <t>Q25008-0100DSB2CCDEB691-8ABF-4B6D-ACBF-FE2BC64BB28639</t>
  </si>
  <si>
    <t>DCN - SB</t>
  </si>
  <si>
    <t>0655129/30/2024</t>
  </si>
  <si>
    <t>06551211/17/2025</t>
  </si>
  <si>
    <t>0655125/25/2026</t>
  </si>
  <si>
    <t>0655126/30/2025</t>
  </si>
  <si>
    <t>{87F874F9-5D8C-4C3F-A5F3-51029CCD3AB6}</t>
  </si>
  <si>
    <t>AD24217-0100DSB487F874F9-5D8C-4C3F-A5F3-51029CCD3AB6</t>
  </si>
  <si>
    <t>AD24217-0100DSB487F874F9-5D8C-4C3F-A5F3-51029CCD3AB639</t>
  </si>
  <si>
    <t>0655124/20/2026</t>
  </si>
  <si>
    <t>0655125/19/2025</t>
  </si>
  <si>
    <t>0655129/2/2024</t>
  </si>
  <si>
    <t>0655129/23/2024</t>
  </si>
  <si>
    <t>0655125/12/2025</t>
  </si>
  <si>
    <t>0655127/7/2025</t>
  </si>
  <si>
    <t>0655129/22/2025</t>
  </si>
  <si>
    <t>0655125/4/2026</t>
  </si>
  <si>
    <t>0655122/10/2025</t>
  </si>
  <si>
    <t>06551210/7/2024</t>
  </si>
  <si>
    <t>0655127/6/2026</t>
  </si>
  <si>
    <t>06551210/21/2024</t>
  </si>
  <si>
    <t>D24117-0100D</t>
  </si>
  <si>
    <t>D24117-0100DSB</t>
  </si>
  <si>
    <t>D24117-0100DSB3SB0005</t>
  </si>
  <si>
    <t>06551211/4/2024</t>
  </si>
  <si>
    <t>{774E8931-D256-498D-9950-FD5D5C467B19}</t>
  </si>
  <si>
    <t>D24117-0100DSB1774E8931-D256-498D-9950-FD5D5C467B19</t>
  </si>
  <si>
    <t>D24117-0100DSB1774E8931-D256-498D-9950-FD5D5C467B1939</t>
  </si>
  <si>
    <t>ST - Final Concept preparation and submission</t>
  </si>
  <si>
    <t>06551211/18/2024</t>
  </si>
  <si>
    <t>06551211/25/2024</t>
  </si>
  <si>
    <t>0655129/16/2024</t>
  </si>
  <si>
    <t>0655121/19/2026</t>
  </si>
  <si>
    <t>0655127/21/2025</t>
  </si>
  <si>
    <t>0655128/26/2024</t>
  </si>
  <si>
    <t>0655129/1/2025</t>
  </si>
  <si>
    <t>0655122/9/2026</t>
  </si>
  <si>
    <t>0655121/26/2026</t>
  </si>
  <si>
    <t>0655122/24/2025</t>
  </si>
  <si>
    <t>06551211/11/2024</t>
  </si>
  <si>
    <t>0655129/9/2024</t>
  </si>
  <si>
    <t>06551210/6/2025</t>
  </si>
  <si>
    <t>0655123/30/2026</t>
  </si>
  <si>
    <t>0655124/7/2025</t>
  </si>
  <si>
    <t>0655128/11/2025</t>
  </si>
  <si>
    <t>0655128/25/2025</t>
  </si>
  <si>
    <t>0655123/31/2025</t>
  </si>
  <si>
    <t>06551210/28/2024</t>
  </si>
  <si>
    <t>0655124/14/2025</t>
  </si>
  <si>
    <t>0655126/29/2026</t>
  </si>
  <si>
    <t>0655126/1/2026</t>
  </si>
  <si>
    <t>0655122/17/2025</t>
  </si>
  <si>
    <t>0655129/15/2025</t>
  </si>
  <si>
    <t>0655126/2/2025</t>
  </si>
  <si>
    <t>0655129/29/2025</t>
  </si>
  <si>
    <t>0655123/23/2026</t>
  </si>
  <si>
    <t>06551212/29/2025</t>
  </si>
  <si>
    <t>06551212/30/2024</t>
  </si>
  <si>
    <t>0655124/21/2025</t>
  </si>
  <si>
    <t>0655124/28/2025</t>
  </si>
  <si>
    <t>0655121/5/2026</t>
  </si>
  <si>
    <t>0655123/16/2026</t>
  </si>
  <si>
    <t>0655125/5/2025</t>
  </si>
  <si>
    <t>06551210/20/2025</t>
  </si>
  <si>
    <t>06551211/3/2025</t>
  </si>
  <si>
    <t>06551212/15/2025</t>
  </si>
  <si>
    <t>0655122/16/2026</t>
  </si>
  <si>
    <t>0655126/22/2026</t>
  </si>
  <si>
    <t>06551212/23/2024</t>
  </si>
  <si>
    <t>0655122/3/2025</t>
  </si>
  <si>
    <t>06551212/22/2025</t>
  </si>
  <si>
    <t>0655128/19/2024</t>
  </si>
  <si>
    <t>0655129/8/2025</t>
  </si>
  <si>
    <t>0655123/3/2025</t>
  </si>
  <si>
    <t>0655123/24/2025</t>
  </si>
  <si>
    <t>0655123/10/2025</t>
  </si>
  <si>
    <t>06551210/27/2025</t>
  </si>
  <si>
    <t>0655123/9/2026</t>
  </si>
  <si>
    <t>0655123/17/2025</t>
  </si>
  <si>
    <t>0655123/2/2026</t>
  </si>
  <si>
    <t>0655122/23/2026</t>
  </si>
  <si>
    <t>06551210/13/2025</t>
  </si>
  <si>
    <t>5 - TAB COLOUR GUIDE</t>
  </si>
  <si>
    <t>Tabs are ordered and coloured by role, left to right.</t>
  </si>
  <si>
    <t>Purple</t>
  </si>
  <si>
    <t>Guide and glossary</t>
  </si>
  <si>
    <t>START HERE, Definitions</t>
  </si>
  <si>
    <t>Blue</t>
  </si>
  <si>
    <t>Reports - read these</t>
  </si>
  <si>
    <t>Dashboard, Mgmt Review, Engineer KPIs, Team Member, Scorecard, Delivery Sequence</t>
  </si>
  <si>
    <t>Green</t>
  </si>
  <si>
    <t>Plan and enter data here</t>
  </si>
  <si>
    <t>Inputs, Deliverables, Profit Plan, Support Plan, Proposals, Phasing, Analysis</t>
  </si>
  <si>
    <t>Amber</t>
  </si>
  <si>
    <t>Reference tables - change rarely</t>
  </si>
  <si>
    <t>Project Types, Rules of Credit, Work Calendar</t>
  </si>
  <si>
    <t>Grey</t>
  </si>
  <si>
    <t>Engine and raw paste targets</t>
  </si>
  <si>
    <t>Deliverable Actuals, Timesheet Daily, Timesheet Raw, TS Ahmed / Osama / Kirolos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</si>
</sst>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0.00;\(0.00\);\-"/>
    <numFmt numFmtId="165" formatCode="0.0%"/>
    <numFmt numFmtId="166" formatCode="0.0"/>
    <numFmt numFmtId="167" formatCode="0.0%;\(0.0%\);\-"/>
    <numFmt numFmtId="168" formatCode="0;;\-"/>
    <numFmt numFmtId="169" formatCode="0%;;\-"/>
    <numFmt numFmtId="170" formatCode="dd\-mmm\-yy"/>
    <numFmt numFmtId="171" formatCode="0.00;;\-"/>
    <numFmt numFmtId="172" formatCode="0.00\x;;\-"/>
    <numFmt numFmtId="173" formatCode="0.00\x"/>
    <numFmt numFmtId="174" formatCode="0.0%;;\-"/>
    <numFmt numFmtId="175" formatCode="0.00;;"/>
    <numFmt numFmtId="176" formatCode="dd\-mmm\-yyyy"/>
    <numFmt numFmtId="177" formatCode="0.00&quot;x&quot;"/>
    <numFmt numFmtId="178" formatCode="0.00;\(0.00\)"/>
    <numFmt numFmtId="179" formatCode="0.000000"/>
    <numFmt numFmtId="180" formatCode="mmm\ yyyy"/>
    <numFmt numFmtId="181" formatCode="#,##0;;\-"/>
    <numFmt numFmtId="182" formatCode="#,##0.00;\(#,##0.00\);\-"/>
    <numFmt numFmtId="183" formatCode="yyyy\-mm\-dd"/>
    <numFmt numFmtId="184" formatCode="#,##0.0;;\-"/>
    <numFmt numFmtId="185" formatCode="#,##0.0"/>
    <numFmt numFmtId="186" formatCode="\+#,##0;\-#,##0;\-"/>
  </numFmts>
  <fonts count="90" x14ac:knownFonts="1">
    <font>
      <sz val="11"/>
      <color theme="1"/>
      <name val="Aptos Narrow"/>
      <family val="2"/>
      <scheme val="minor"/>
    </font>
    <font>
      <b/>
      <sz val="11"/>
      <color theme="1"/>
      <name val="Aptos Narrow"/>
      <family val="2"/>
      <scheme val="minor"/>
    </font>
    <font>
      <b/>
      <sz val="11"/>
      <color rgb="FFFFFFFF"/>
      <name val="Arial"/>
    </font>
    <font>
      <sz val="11"/>
      <color theme="1"/>
      <name val="Arial"/>
    </font>
    <font>
      <b/>
      <sz val="11"/>
      <color theme="1"/>
      <name val="Arial"/>
    </font>
    <font>
      <sz val="9"/>
      <color indexed="81"/>
      <name val="Tahoma"/>
      <charset val="1"/>
    </font>
    <font>
      <b/>
      <sz val="9"/>
      <color indexed="81"/>
      <name val="Tahoma"/>
      <charset val="1"/>
    </font>
    <font>
      <b/>
      <sz val="18"/>
      <color rgb="FFFFFFFF"/>
      <name val="Arial"/>
    </font>
    <font>
      <i/>
      <sz val="10"/>
      <color rgb="FFFFFFFF"/>
      <name val="Arial"/>
    </font>
    <font>
      <b/>
      <sz val="9"/>
      <color rgb="FF404040"/>
      <name val="Arial"/>
    </font>
    <font>
      <sz val="8"/>
      <color rgb="FF808080"/>
      <name val="Arial"/>
    </font>
    <font>
      <sz val="10"/>
      <color theme="1"/>
      <name val="Arial"/>
    </font>
    <font>
      <b/>
      <sz val="10"/>
      <color theme="1"/>
      <name val="Arial"/>
    </font>
    <font>
      <b/>
      <sz val="11"/>
      <color rgb="FFFFFFFF"/>
      <name val="Aptos Narrow"/>
      <family val="2"/>
      <scheme val="minor"/>
    </font>
    <font>
      <sz val="11"/>
      <color rgb="FF0000FF"/>
      <name val="Aptos Narrow"/>
      <family val="2"/>
      <scheme val="minor"/>
    </font>
    <font>
      <sz val="9"/>
      <color rgb="FF808080"/>
      <name val="Aptos Narrow"/>
      <family val="2"/>
      <scheme val="minor"/>
    </font>
    <font>
      <b/>
      <sz val="10"/>
      <color theme="1"/>
      <name val="Aptos Narrow"/>
      <family val="2"/>
      <scheme val="minor"/>
    </font>
    <font>
      <b/>
      <sz val="16"/>
      <color rgb="FFFFFFFF"/>
      <name val="Arial"/>
    </font>
    <font>
      <sz val="11"/>
      <color rgb="FF0000FF"/>
      <name val="Arial"/>
    </font>
    <font>
      <i/>
      <sz val="11"/>
      <color theme="1"/>
      <name val="Arial"/>
    </font>
    <font>
      <i/>
      <sz val="9"/>
      <color rgb="FF808080"/>
      <name val="Arial"/>
    </font>
    <font>
      <b/>
      <sz val="9"/>
      <color rgb="FF808080"/>
      <name val="Arial"/>
    </font>
    <font>
      <b/>
      <sz val="10"/>
      <color rgb="FFFFFFFF"/>
      <name val="Aptos Narrow"/>
      <family val="2"/>
      <scheme val="minor"/>
    </font>
    <font>
      <sz val="9"/>
      <color theme="1"/>
      <name val="Arial"/>
    </font>
    <font>
      <i/>
      <sz val="9"/>
      <color rgb="FF7F7F7F"/>
      <name val="Arial"/>
    </font>
    <font>
      <b/>
      <sz val="12"/>
      <color theme="1"/>
      <name val="Arial"/>
    </font>
    <font>
      <b/>
      <sz val="12"/>
      <color rgb="FF0000FF"/>
      <name val="Arial"/>
    </font>
    <font>
      <b/>
      <sz val="12"/>
      <color rgb="FF7030A0"/>
      <name val="Arial"/>
    </font>
    <font>
      <i/>
      <sz val="8"/>
      <color rgb="FF808080"/>
      <name val="Arial"/>
    </font>
    <font>
      <b/>
      <sz val="15"/>
      <color rgb="FF7030A0"/>
      <name val="Arial"/>
    </font>
    <font>
      <sz val="9"/>
      <color rgb="FF909090"/>
      <name val="Arial"/>
    </font>
    <font>
      <sz val="9"/>
      <color rgb="FF909090"/>
      <name val="Aptos Narrow"/>
      <family val="2"/>
      <scheme val="minor"/>
    </font>
    <font>
      <b/>
      <sz val="9"/>
      <color rgb="FF909090"/>
      <name val="Arial"/>
    </font>
    <font>
      <b/>
      <sz val="9"/>
      <color rgb="FF909090"/>
      <name val="Aptos Narrow"/>
      <family val="2"/>
      <scheme val="minor"/>
    </font>
    <font>
      <i/>
      <sz val="10"/>
      <color rgb="FF7030A0"/>
      <name val="Arial"/>
    </font>
    <font>
      <b/>
      <i/>
      <sz val="10"/>
      <color theme="1"/>
      <name val="Arial"/>
    </font>
    <font>
      <i/>
      <sz val="11"/>
      <color rgb="FFFFFFFF"/>
      <name val="Arial"/>
    </font>
    <font>
      <i/>
      <sz val="9"/>
      <color rgb="FF7030A0"/>
      <name val="Arial"/>
    </font>
    <font>
      <b/>
      <sz val="11"/>
      <color rgb="FF0000FF"/>
      <name val="Arial"/>
    </font>
    <font>
      <b/>
      <sz val="8"/>
      <color rgb="FF808080"/>
      <name val="Arial"/>
    </font>
    <font>
      <i/>
      <sz val="9"/>
      <color rgb="FF9C5700"/>
      <name val="Arial"/>
    </font>
    <font>
      <sz val="8"/>
      <color rgb="FFC0C0C0"/>
      <name val="Arial"/>
    </font>
    <font>
      <i/>
      <sz val="9"/>
      <color rgb="FF606060"/>
      <name val="Arial"/>
    </font>
    <font>
      <sz val="8"/>
      <color rgb="FFFFFFFF"/>
      <name val="Arial"/>
    </font>
    <font>
      <sz val="11"/>
      <color theme="1"/>
      <name val="Calibri"/>
      <family val="2"/>
      <charset val="1"/>
    </font>
    <font>
      <b/>
      <sz val="14"/>
      <color rgb="FF1F3864"/>
      <name val="Arial"/>
      <charset val="1"/>
    </font>
    <font>
      <i/>
      <sz val="10"/>
      <color rgb="FF595959"/>
      <name val="Arial"/>
      <charset val="1"/>
    </font>
    <font>
      <b/>
      <sz val="10"/>
      <color rgb="FFFFFFFF"/>
      <name val="Arial"/>
      <charset val="1"/>
    </font>
    <font>
      <b/>
      <sz val="10"/>
      <name val="Arial"/>
      <charset val="1"/>
    </font>
    <font>
      <sz val="10"/>
      <name val="Arial"/>
      <charset val="1"/>
    </font>
    <font>
      <sz val="10"/>
      <color rgb="FF0000FF"/>
      <name val="Arial"/>
      <charset val="1"/>
    </font>
    <font>
      <sz val="9"/>
      <name val="Arial"/>
      <charset val="1"/>
    </font>
    <font>
      <b/>
      <sz val="9"/>
      <color rgb="FF808080"/>
      <name val="Calibri"/>
      <family val="2"/>
      <charset val="1"/>
    </font>
    <font>
      <sz val="9"/>
      <color rgb="FF808080"/>
      <name val="Calibri"/>
      <family val="2"/>
      <charset val="1"/>
    </font>
    <font>
      <b/>
      <sz val="14"/>
      <color rgb="FF1F3864"/>
      <name val="Arial"/>
    </font>
    <font>
      <i/>
      <sz val="10"/>
      <color rgb="FF595959"/>
      <name val="Arial"/>
    </font>
    <font>
      <b/>
      <sz val="12"/>
      <color rgb="FF1F3864"/>
      <name val="Arial"/>
    </font>
    <font>
      <b/>
      <sz val="10"/>
      <color rgb="FFFFFFFF"/>
      <name val="Arial"/>
    </font>
    <font>
      <sz val="10"/>
      <color rgb="FF0000FF"/>
      <name val="Arial"/>
    </font>
    <font>
      <sz val="10"/>
      <color rgb="FF000000"/>
      <name val="Arial"/>
    </font>
    <font>
      <sz val="10"/>
      <color rgb="FF008000"/>
      <name val="Arial"/>
    </font>
    <font>
      <sz val="8"/>
      <name val="Aptos Narrow"/>
      <family val="2"/>
      <scheme val="minor"/>
    </font>
    <font>
      <i/>
      <sz val="9"/>
      <color rgb="FF595959"/>
      <name val="Aptos Narrow"/>
      <family val="2"/>
      <scheme val="minor"/>
    </font>
    <font>
      <sz val="11"/>
      <color rgb="FF008000"/>
      <name val="Arial"/>
    </font>
    <font>
      <sz val="11"/>
      <color rgb="FF008000"/>
      <name val="Aptos Narrow"/>
      <family val="2"/>
      <scheme val="minor"/>
    </font>
    <font>
      <b/>
      <sz val="10"/>
      <color rgb="FF1F3864"/>
      <name val="Arial"/>
    </font>
    <font>
      <sz val="9"/>
      <color rgb="FF595959"/>
      <name val="Arial"/>
    </font>
    <font>
      <b/>
      <sz val="9"/>
      <color rgb="FFFFFFFF"/>
      <name val="Arial"/>
    </font>
    <font>
      <b/>
      <sz val="10"/>
      <color rgb="FF008000"/>
      <name val="Arial"/>
    </font>
    <font>
      <sz val="8"/>
      <color rgb="FFA6A6A6"/>
      <name val="Arial"/>
    </font>
    <font>
      <sz val="8"/>
      <color rgb="FFA6A6A6"/>
      <name val="Aptos Narrow"/>
      <family val="2"/>
      <scheme val="minor"/>
    </font>
    <font>
      <sz val="9"/>
      <color rgb="FF008000"/>
      <name val="Arial"/>
    </font>
    <font>
      <i/>
      <sz val="9"/>
      <color rgb="FF595959"/>
      <name val="Arial"/>
    </font>
    <font>
      <u/>
      <sz val="11"/>
      <color theme="10"/>
      <name val="Aptos Narrow"/>
      <family val="2"/>
      <scheme val="minor"/>
    </font>
    <font>
      <b/>
      <sz val="14"/>
      <color theme="1"/>
      <name val="Aptos Narrow"/>
      <family val="2"/>
      <scheme val="minor"/>
    </font>
    <font>
      <i/>
      <sz val="9"/>
      <color theme="1"/>
      <name val="Aptos Narrow"/>
      <family val="2"/>
      <scheme val="minor"/>
    </font>
    <font>
      <b/>
      <sz val="11"/>
      <color rgb="FF008000"/>
      <name val="Aptos Narrow"/>
      <family val="2"/>
      <scheme val="minor"/>
    </font>
    <font>
      <b/>
      <sz val="8"/>
      <color rgb="FFBFBFBF"/>
      <name val="Aptos Narrow"/>
      <family val="2"/>
      <scheme val="minor"/>
    </font>
    <font>
      <sz val="8"/>
      <color rgb="FFBFBFBF"/>
      <name val="Aptos Narrow"/>
      <family val="2"/>
      <scheme val="minor"/>
    </font>
    <font>
      <i/>
      <sz val="11"/>
      <color theme="1"/>
      <name val="Aptos Narrow"/>
      <family val="2"/>
      <scheme val="minor"/>
    </font>
    <font>
      <b/>
      <sz val="11"/>
      <color rgb="FFC00000"/>
      <name val="Aptos Narrow"/>
      <family val="2"/>
      <scheme val="minor"/>
    </font>
    <font>
      <b/>
      <sz val="14"/>
      <color rgb="FF1F3864"/>
      <name val="Aptos Narrow"/>
      <family val="2"/>
      <scheme val="minor"/>
    </font>
    <font>
      <b/>
      <sz val="11"/>
      <color rgb="FF0000FF"/>
      <name val="Aptos Narrow"/>
      <family val="2"/>
      <scheme val="minor"/>
    </font>
    <font>
      <i/>
      <sz val="11"/>
      <color rgb="FF0000FF"/>
      <name val="Aptos Narrow"/>
      <family val="2"/>
      <scheme val="minor"/>
    </font>
    <font>
      <sz val="11"/>
      <color rgb="FFC00000"/>
      <name val="Aptos Narrow"/>
      <family val="2"/>
      <scheme val="minor"/>
    </font>
    <font>
      <b/>
      <sz val="12"/>
      <color rgb="FFFFFFFF"/>
      <name val="Arial"/>
    </font>
    <font>
      <b/>
      <sz val="18"/>
      <color rgb="FF1F3864"/>
      <name val="Aptos Narrow"/>
      <family val="2"/>
      <scheme val="minor"/>
    </font>
    <font>
      <b/>
      <sz val="12"/>
      <color rgb="FFFFFFFF"/>
      <name val="Aptos Narrow"/>
      <family val="2"/>
      <scheme val="minor"/>
    </font>
    <font>
      <b/>
      <i/>
      <sz val="12"/>
      <color rgb="FFFFFFFF"/>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1F4E79"/>
        <bgColor indexed="64"/>
      </patternFill>
    </fill>
    <fill>
      <patternFill patternType="solid">
        <fgColor rgb="FFDDEBF7"/>
        <bgColor indexed="64"/>
      </patternFill>
    </fill>
    <fill>
      <patternFill patternType="solid">
        <fgColor rgb="FFC00000"/>
        <bgColor indexed="64"/>
      </patternFill>
    </fill>
    <fill>
      <patternFill patternType="solid">
        <fgColor rgb="FFFCE4E4"/>
        <bgColor indexed="64"/>
      </patternFill>
    </fill>
    <fill>
      <patternFill patternType="solid">
        <fgColor rgb="FFFFF2CC"/>
        <bgColor indexed="64"/>
      </patternFill>
    </fill>
    <fill>
      <patternFill patternType="solid">
        <fgColor rgb="FFF2F2F2"/>
        <bgColor indexed="64"/>
      </patternFill>
    </fill>
    <fill>
      <patternFill patternType="solid">
        <fgColor rgb="FFF2F7FB"/>
        <bgColor indexed="64"/>
      </patternFill>
    </fill>
    <fill>
      <patternFill patternType="solid">
        <fgColor rgb="FFE2EFDA"/>
        <bgColor indexed="64"/>
      </patternFill>
    </fill>
    <fill>
      <patternFill patternType="solid">
        <fgColor rgb="FFFFFFFF"/>
        <bgColor indexed="64"/>
      </patternFill>
    </fill>
    <fill>
      <patternFill patternType="solid">
        <fgColor rgb="FF2E75B6"/>
        <bgColor indexed="64"/>
      </patternFill>
    </fill>
    <fill>
      <patternFill patternType="solid">
        <fgColor rgb="FFFFFBF0"/>
        <bgColor indexed="64"/>
      </patternFill>
    </fill>
    <fill>
      <patternFill patternType="solid">
        <fgColor rgb="FFF5F9FF"/>
        <bgColor indexed="64"/>
      </patternFill>
    </fill>
    <fill>
      <patternFill patternType="solid">
        <fgColor rgb="FF7F7F7F"/>
        <bgColor indexed="64"/>
      </patternFill>
    </fill>
    <fill>
      <patternFill patternType="solid">
        <fgColor rgb="FFEDEDED"/>
        <bgColor indexed="64"/>
      </patternFill>
    </fill>
    <fill>
      <patternFill patternType="solid">
        <fgColor rgb="FFFAFAFA"/>
        <bgColor indexed="64"/>
      </patternFill>
    </fill>
    <fill>
      <patternFill patternType="solid">
        <fgColor rgb="FF7030A0"/>
        <bgColor indexed="64"/>
      </patternFill>
    </fill>
    <fill>
      <patternFill patternType="solid">
        <fgColor rgb="FFF7F2FB"/>
        <bgColor indexed="64"/>
      </patternFill>
    </fill>
    <fill>
      <patternFill patternType="solid">
        <fgColor rgb="FFE4DFEC"/>
        <bgColor indexed="64"/>
      </patternFill>
    </fill>
    <fill>
      <patternFill patternType="solid">
        <fgColor rgb="FFFBF9FD"/>
        <bgColor indexed="64"/>
      </patternFill>
    </fill>
    <fill>
      <patternFill patternType="solid">
        <fgColor rgb="FF7F6000"/>
        <bgColor indexed="64"/>
      </patternFill>
    </fill>
    <fill>
      <patternFill patternType="solid">
        <fgColor rgb="FF1F3864"/>
        <bgColor rgb="FF333333"/>
      </patternFill>
    </fill>
    <fill>
      <patternFill patternType="solid">
        <fgColor rgb="FFFFF2CC"/>
        <bgColor rgb="FFF2F2F2"/>
      </patternFill>
    </fill>
    <fill>
      <patternFill patternType="solid">
        <fgColor rgb="FF1F3864"/>
        <bgColor indexed="64"/>
      </patternFill>
    </fill>
    <fill>
      <patternFill patternType="solid">
        <fgColor rgb="FF808080"/>
        <bgColor indexed="64"/>
      </patternFill>
    </fill>
    <fill>
      <patternFill patternType="solid">
        <fgColor rgb="FFD9E1F2"/>
        <bgColor indexed="64"/>
      </patternFill>
    </fill>
    <fill>
      <patternFill patternType="solid">
        <fgColor rgb="FF375623"/>
        <bgColor indexed="64"/>
      </patternFill>
    </fill>
    <fill>
      <patternFill patternType="solid">
        <fgColor rgb="FFD9E2F3"/>
        <bgColor indexed="64"/>
      </patternFill>
    </fill>
    <fill>
      <patternFill patternType="solid">
        <fgColor rgb="FFFFFF00"/>
        <bgColor indexed="64"/>
      </patternFill>
    </fill>
    <fill>
      <patternFill patternType="solid">
        <fgColor rgb="FF1F6FC5"/>
        <bgColor indexed="64"/>
      </patternFill>
    </fill>
    <fill>
      <patternFill patternType="solid">
        <fgColor rgb="FF2E9B57"/>
        <bgColor indexed="64"/>
      </patternFill>
    </fill>
    <fill>
      <patternFill patternType="solid">
        <fgColor rgb="FFBF8F00"/>
        <bgColor indexed="64"/>
      </patternFill>
    </fill>
  </fills>
  <borders count="18">
    <border>
      <left/>
      <right/>
      <top/>
      <bottom/>
      <diagonal/>
    </border>
    <border>
      <left style="thin">
        <color rgb="FFBFBFBF"/>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style="thin">
        <color rgb="FFBFBFBF"/>
      </top>
      <bottom/>
      <diagonal/>
    </border>
    <border>
      <left style="thin">
        <color rgb="FFD9D9D9"/>
      </left>
      <right style="thin">
        <color rgb="FFD9D9D9"/>
      </right>
      <top style="thin">
        <color rgb="FFD9D9D9"/>
      </top>
      <bottom style="thin">
        <color rgb="FFD9D9D9"/>
      </bottom>
      <diagonal/>
    </border>
    <border>
      <left style="thin">
        <color rgb="FFD6C2E8"/>
      </left>
      <right/>
      <top style="thin">
        <color rgb="FFD6C2E8"/>
      </top>
      <bottom/>
      <diagonal/>
    </border>
    <border>
      <left style="thin">
        <color rgb="FFD6C2E8"/>
      </left>
      <right/>
      <top/>
      <bottom/>
      <diagonal/>
    </border>
    <border>
      <left style="thin">
        <color rgb="FFD6C2E8"/>
      </left>
      <right/>
      <top/>
      <bottom style="thin">
        <color rgb="FFD6C2E8"/>
      </bottom>
      <diagonal/>
    </border>
    <border>
      <left style="thin">
        <color rgb="FFD6C2E8"/>
      </left>
      <right style="thin">
        <color rgb="FFD6C2E8"/>
      </right>
      <top style="thin">
        <color rgb="FFD6C2E8"/>
      </top>
      <bottom/>
      <diagonal/>
    </border>
    <border>
      <left style="thin">
        <color rgb="FFD6C2E8"/>
      </left>
      <right style="thin">
        <color rgb="FFD6C2E8"/>
      </right>
      <top/>
      <bottom/>
      <diagonal/>
    </border>
    <border>
      <left style="thin">
        <color rgb="FFD6C2E8"/>
      </left>
      <right style="thin">
        <color rgb="FFD6C2E8"/>
      </right>
      <top/>
      <bottom style="thin">
        <color rgb="FFD6C2E8"/>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style="thin">
        <color rgb="FFBFBFBF"/>
      </left>
      <right style="thin">
        <color rgb="FFBFBFBF"/>
      </right>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s>
  <cellStyleXfs count="3">
    <xf numFmtId="0" fontId="0" fillId="0" borderId="0"/>
    <xf numFmtId="0" fontId="44" fillId="0" borderId="0"/>
    <xf numFmtId="0" fontId="73" fillId="0" borderId="0" applyNumberFormat="0" applyFill="0" applyBorder="0" applyAlignment="0" applyProtection="0"/>
  </cellStyleXfs>
  <cellXfs count="430">
    <xf numFmtId="0" fontId="0" fillId="0" borderId="0" xfId="0"/>
    <xf numFmtId="0" fontId="3" fillId="0" borderId="0" xfId="0" applyFont="1"/>
    <xf numFmtId="0" fontId="4" fillId="0" borderId="0" xfId="0" applyFont="1"/>
    <xf numFmtId="0" fontId="3" fillId="10" borderId="0" xfId="0" applyFont="1" applyFill="1"/>
    <xf numFmtId="0" fontId="10" fillId="10" borderId="0" xfId="0" applyFont="1" applyFill="1" applyAlignment="1">
      <alignment horizontal="center"/>
    </xf>
    <xf numFmtId="0" fontId="3" fillId="10" borderId="2" xfId="0" applyFont="1" applyFill="1" applyBorder="1"/>
    <xf numFmtId="0" fontId="4" fillId="10" borderId="2" xfId="0" applyFont="1" applyFill="1" applyBorder="1"/>
    <xf numFmtId="164" fontId="3" fillId="10" borderId="2" xfId="0" applyNumberFormat="1" applyFont="1" applyFill="1" applyBorder="1" applyAlignment="1">
      <alignment horizontal="center"/>
    </xf>
    <xf numFmtId="166" fontId="3" fillId="10" borderId="2" xfId="0" applyNumberFormat="1" applyFont="1" applyFill="1" applyBorder="1" applyAlignment="1">
      <alignment horizontal="center"/>
    </xf>
    <xf numFmtId="0" fontId="4" fillId="5" borderId="2" xfId="0" applyFont="1" applyFill="1" applyBorder="1"/>
    <xf numFmtId="0" fontId="4" fillId="3" borderId="2" xfId="0" applyFont="1" applyFill="1" applyBorder="1"/>
    <xf numFmtId="0" fontId="12" fillId="3" borderId="2" xfId="0" applyFont="1" applyFill="1" applyBorder="1" applyAlignment="1">
      <alignment horizontal="center"/>
    </xf>
    <xf numFmtId="0" fontId="3" fillId="10" borderId="2" xfId="0" applyFont="1" applyFill="1" applyBorder="1" applyAlignment="1">
      <alignment vertical="center"/>
    </xf>
    <xf numFmtId="0" fontId="3" fillId="10" borderId="0" xfId="0" applyFont="1" applyFill="1" applyAlignment="1">
      <alignment vertical="center"/>
    </xf>
    <xf numFmtId="0" fontId="11" fillId="0" borderId="0" xfId="0" applyFont="1"/>
    <xf numFmtId="9" fontId="3" fillId="10" borderId="2" xfId="0" applyNumberFormat="1" applyFont="1" applyFill="1" applyBorder="1" applyAlignment="1">
      <alignment horizontal="center"/>
    </xf>
    <xf numFmtId="164" fontId="4" fillId="10" borderId="2" xfId="0" applyNumberFormat="1" applyFont="1" applyFill="1" applyBorder="1" applyAlignment="1">
      <alignment horizontal="center"/>
    </xf>
    <xf numFmtId="1" fontId="3" fillId="10" borderId="2" xfId="0" applyNumberFormat="1" applyFont="1" applyFill="1" applyBorder="1" applyAlignment="1">
      <alignment horizontal="center"/>
    </xf>
    <xf numFmtId="0" fontId="4" fillId="3" borderId="2" xfId="0" applyFont="1" applyFill="1" applyBorder="1" applyAlignment="1">
      <alignment horizontal="center"/>
    </xf>
    <xf numFmtId="0" fontId="4" fillId="7" borderId="2" xfId="0" applyFont="1" applyFill="1" applyBorder="1"/>
    <xf numFmtId="2" fontId="4" fillId="7" borderId="2" xfId="0" applyNumberFormat="1" applyFont="1" applyFill="1" applyBorder="1" applyAlignment="1">
      <alignment horizontal="center"/>
    </xf>
    <xf numFmtId="9" fontId="4" fillId="7" borderId="2" xfId="0" applyNumberFormat="1" applyFont="1" applyFill="1" applyBorder="1" applyAlignment="1">
      <alignment horizontal="center"/>
    </xf>
    <xf numFmtId="164" fontId="4" fillId="7" borderId="2" xfId="0" applyNumberFormat="1" applyFont="1" applyFill="1" applyBorder="1" applyAlignment="1">
      <alignment horizontal="center"/>
    </xf>
    <xf numFmtId="0" fontId="3" fillId="7" borderId="2" xfId="0" applyFont="1" applyFill="1" applyBorder="1"/>
    <xf numFmtId="0" fontId="15" fillId="0" borderId="0" xfId="0" applyFont="1"/>
    <xf numFmtId="0" fontId="1" fillId="0" borderId="2" xfId="0" applyFont="1" applyBorder="1"/>
    <xf numFmtId="0" fontId="0" fillId="0" borderId="2" xfId="0" applyBorder="1"/>
    <xf numFmtId="164" fontId="1" fillId="0" borderId="2" xfId="0" applyNumberFormat="1" applyFont="1" applyBorder="1" applyAlignment="1">
      <alignment horizontal="center"/>
    </xf>
    <xf numFmtId="2" fontId="0" fillId="0" borderId="2" xfId="0" applyNumberFormat="1" applyBorder="1" applyAlignment="1">
      <alignment horizontal="center"/>
    </xf>
    <xf numFmtId="164" fontId="0" fillId="0" borderId="2" xfId="0" applyNumberFormat="1" applyBorder="1" applyAlignment="1">
      <alignment horizontal="center"/>
    </xf>
    <xf numFmtId="0" fontId="1" fillId="3" borderId="2" xfId="0" applyFont="1" applyFill="1" applyBorder="1"/>
    <xf numFmtId="0" fontId="1" fillId="3" borderId="2" xfId="0" applyFont="1" applyFill="1" applyBorder="1" applyAlignment="1">
      <alignment horizontal="center"/>
    </xf>
    <xf numFmtId="164" fontId="1" fillId="7" borderId="2" xfId="0" applyNumberFormat="1" applyFont="1" applyFill="1" applyBorder="1" applyAlignment="1">
      <alignment horizontal="center"/>
    </xf>
    <xf numFmtId="2" fontId="1" fillId="7" borderId="2" xfId="0" applyNumberFormat="1" applyFont="1" applyFill="1" applyBorder="1" applyAlignment="1">
      <alignment horizontal="center"/>
    </xf>
    <xf numFmtId="0" fontId="18" fillId="0" borderId="2" xfId="0" applyFont="1" applyBorder="1"/>
    <xf numFmtId="2" fontId="18" fillId="0" borderId="2" xfId="0" applyNumberFormat="1" applyFont="1" applyBorder="1" applyAlignment="1">
      <alignment horizontal="center"/>
    </xf>
    <xf numFmtId="170" fontId="18" fillId="6" borderId="2" xfId="0" applyNumberFormat="1" applyFont="1" applyFill="1" applyBorder="1" applyAlignment="1">
      <alignment horizontal="center"/>
    </xf>
    <xf numFmtId="0" fontId="18" fillId="0" borderId="2" xfId="0" applyFont="1" applyBorder="1" applyAlignment="1">
      <alignment horizontal="center"/>
    </xf>
    <xf numFmtId="9" fontId="18" fillId="0" borderId="2" xfId="0" applyNumberFormat="1" applyFont="1" applyBorder="1" applyAlignment="1">
      <alignment horizontal="center"/>
    </xf>
    <xf numFmtId="171" fontId="18" fillId="12" borderId="2" xfId="0" applyNumberFormat="1" applyFont="1" applyFill="1" applyBorder="1" applyAlignment="1">
      <alignment horizontal="center"/>
    </xf>
    <xf numFmtId="169" fontId="3" fillId="0" borderId="2" xfId="0" applyNumberFormat="1" applyFont="1" applyBorder="1" applyAlignment="1">
      <alignment horizontal="center"/>
    </xf>
    <xf numFmtId="168" fontId="3" fillId="0" borderId="2" xfId="0" applyNumberFormat="1" applyFont="1" applyBorder="1" applyAlignment="1">
      <alignment horizontal="center"/>
    </xf>
    <xf numFmtId="0" fontId="4" fillId="0" borderId="2" xfId="0" applyFont="1" applyBorder="1"/>
    <xf numFmtId="0" fontId="19" fillId="0" borderId="0" xfId="0" applyFont="1"/>
    <xf numFmtId="1" fontId="18" fillId="0" borderId="0" xfId="0" applyNumberFormat="1" applyFont="1" applyAlignment="1">
      <alignment horizontal="center"/>
    </xf>
    <xf numFmtId="1" fontId="4" fillId="3" borderId="2" xfId="0" applyNumberFormat="1" applyFont="1" applyFill="1" applyBorder="1" applyAlignment="1">
      <alignment horizontal="center"/>
    </xf>
    <xf numFmtId="168" fontId="4" fillId="7" borderId="2" xfId="0" applyNumberFormat="1" applyFont="1" applyFill="1" applyBorder="1" applyAlignment="1">
      <alignment horizontal="center"/>
    </xf>
    <xf numFmtId="0" fontId="21" fillId="0" borderId="0" xfId="0" applyFont="1"/>
    <xf numFmtId="170" fontId="21" fillId="0" borderId="0" xfId="0" applyNumberFormat="1" applyFont="1" applyAlignment="1">
      <alignment horizontal="center"/>
    </xf>
    <xf numFmtId="0" fontId="4" fillId="3" borderId="0" xfId="0" applyFont="1" applyFill="1"/>
    <xf numFmtId="1" fontId="4" fillId="3" borderId="0" xfId="0" applyNumberFormat="1" applyFont="1" applyFill="1" applyAlignment="1">
      <alignment horizontal="center"/>
    </xf>
    <xf numFmtId="0" fontId="4" fillId="3" borderId="0" xfId="0" applyFont="1" applyFill="1" applyAlignment="1">
      <alignment horizontal="center"/>
    </xf>
    <xf numFmtId="0" fontId="4" fillId="3" borderId="5" xfId="0" applyFont="1" applyFill="1" applyBorder="1" applyAlignment="1">
      <alignment horizontal="left"/>
    </xf>
    <xf numFmtId="0" fontId="4" fillId="3" borderId="5" xfId="0" applyFont="1" applyFill="1" applyBorder="1" applyAlignment="1">
      <alignment horizontal="center"/>
    </xf>
    <xf numFmtId="0" fontId="3" fillId="0" borderId="5" xfId="0" applyFont="1" applyBorder="1"/>
    <xf numFmtId="164" fontId="3" fillId="0" borderId="5" xfId="0" applyNumberFormat="1" applyFont="1" applyBorder="1" applyAlignment="1">
      <alignment horizontal="center"/>
    </xf>
    <xf numFmtId="164" fontId="4" fillId="7" borderId="5" xfId="0" applyNumberFormat="1" applyFont="1" applyFill="1" applyBorder="1" applyAlignment="1">
      <alignment horizontal="center"/>
    </xf>
    <xf numFmtId="0" fontId="12" fillId="15" borderId="2" xfId="0" applyFont="1" applyFill="1" applyBorder="1" applyAlignment="1">
      <alignment horizontal="center"/>
    </xf>
    <xf numFmtId="164" fontId="0" fillId="16" borderId="2" xfId="0" applyNumberFormat="1" applyFill="1" applyBorder="1" applyAlignment="1">
      <alignment horizontal="center"/>
    </xf>
    <xf numFmtId="164" fontId="1" fillId="16" borderId="2" xfId="0" applyNumberFormat="1" applyFont="1" applyFill="1" applyBorder="1" applyAlignment="1">
      <alignment horizontal="center"/>
    </xf>
    <xf numFmtId="172" fontId="0" fillId="16" borderId="2" xfId="0" applyNumberFormat="1" applyFill="1" applyBorder="1" applyAlignment="1">
      <alignment horizontal="center"/>
    </xf>
    <xf numFmtId="172" fontId="1" fillId="7" borderId="2" xfId="0" applyNumberFormat="1" applyFont="1" applyFill="1" applyBorder="1" applyAlignment="1">
      <alignment horizontal="center"/>
    </xf>
    <xf numFmtId="167" fontId="3" fillId="0" borderId="5" xfId="0" applyNumberFormat="1" applyFont="1" applyBorder="1" applyAlignment="1">
      <alignment horizontal="center"/>
    </xf>
    <xf numFmtId="1" fontId="4" fillId="3" borderId="5" xfId="0" applyNumberFormat="1" applyFont="1" applyFill="1" applyBorder="1" applyAlignment="1">
      <alignment horizontal="center"/>
    </xf>
    <xf numFmtId="0" fontId="4" fillId="8" borderId="5" xfId="0" applyFont="1" applyFill="1" applyBorder="1"/>
    <xf numFmtId="164" fontId="4" fillId="8" borderId="5" xfId="0" applyNumberFormat="1" applyFont="1" applyFill="1" applyBorder="1" applyAlignment="1">
      <alignment horizontal="center"/>
    </xf>
    <xf numFmtId="0" fontId="4" fillId="7" borderId="5" xfId="0" applyFont="1" applyFill="1" applyBorder="1"/>
    <xf numFmtId="0" fontId="4" fillId="5" borderId="5" xfId="0" applyFont="1" applyFill="1" applyBorder="1"/>
    <xf numFmtId="167" fontId="4" fillId="5" borderId="5" xfId="0" applyNumberFormat="1" applyFont="1" applyFill="1" applyBorder="1" applyAlignment="1">
      <alignment horizontal="center"/>
    </xf>
    <xf numFmtId="164" fontId="4" fillId="5" borderId="5" xfId="0" applyNumberFormat="1" applyFont="1" applyFill="1" applyBorder="1" applyAlignment="1">
      <alignment horizontal="center"/>
    </xf>
    <xf numFmtId="0" fontId="4" fillId="9" borderId="5" xfId="0" applyFont="1" applyFill="1" applyBorder="1"/>
    <xf numFmtId="172" fontId="4" fillId="9" borderId="5" xfId="0" applyNumberFormat="1" applyFont="1" applyFill="1" applyBorder="1" applyAlignment="1">
      <alignment horizontal="center"/>
    </xf>
    <xf numFmtId="0" fontId="4" fillId="3" borderId="2" xfId="0" applyFont="1" applyFill="1" applyBorder="1" applyAlignment="1">
      <alignment horizontal="left"/>
    </xf>
    <xf numFmtId="168" fontId="3" fillId="10" borderId="2" xfId="0" applyNumberFormat="1" applyFont="1" applyFill="1" applyBorder="1" applyAlignment="1">
      <alignment horizontal="center"/>
    </xf>
    <xf numFmtId="0" fontId="3" fillId="10" borderId="2" xfId="0" applyFont="1" applyFill="1" applyBorder="1" applyAlignment="1">
      <alignment horizontal="center"/>
    </xf>
    <xf numFmtId="0" fontId="4" fillId="7" borderId="2" xfId="0" applyFont="1" applyFill="1" applyBorder="1" applyAlignment="1">
      <alignment horizontal="center"/>
    </xf>
    <xf numFmtId="171" fontId="3" fillId="10" borderId="2" xfId="0" applyNumberFormat="1" applyFont="1" applyFill="1" applyBorder="1" applyAlignment="1">
      <alignment horizontal="center"/>
    </xf>
    <xf numFmtId="169" fontId="3" fillId="10" borderId="2" xfId="0" applyNumberFormat="1" applyFont="1" applyFill="1" applyBorder="1" applyAlignment="1">
      <alignment horizontal="center"/>
    </xf>
    <xf numFmtId="171" fontId="4" fillId="7" borderId="2" xfId="0" applyNumberFormat="1" applyFont="1" applyFill="1" applyBorder="1" applyAlignment="1">
      <alignment horizontal="center"/>
    </xf>
    <xf numFmtId="174" fontId="3" fillId="10" borderId="2" xfId="0" applyNumberFormat="1" applyFont="1" applyFill="1" applyBorder="1" applyAlignment="1">
      <alignment horizontal="center"/>
    </xf>
    <xf numFmtId="174" fontId="4" fillId="7" borderId="2" xfId="0" applyNumberFormat="1" applyFont="1" applyFill="1" applyBorder="1" applyAlignment="1">
      <alignment horizontal="center"/>
    </xf>
    <xf numFmtId="0" fontId="4" fillId="10" borderId="0" xfId="0" applyFont="1" applyFill="1" applyAlignment="1">
      <alignment horizontal="right"/>
    </xf>
    <xf numFmtId="0" fontId="26" fillId="6" borderId="0" xfId="0" applyFont="1" applyFill="1" applyAlignment="1">
      <alignment horizontal="center"/>
    </xf>
    <xf numFmtId="1" fontId="26" fillId="6" borderId="0" xfId="0" applyNumberFormat="1" applyFont="1" applyFill="1" applyAlignment="1">
      <alignment horizontal="center"/>
    </xf>
    <xf numFmtId="0" fontId="28" fillId="10" borderId="0" xfId="0" applyFont="1" applyFill="1" applyAlignment="1">
      <alignment horizontal="right"/>
    </xf>
    <xf numFmtId="0" fontId="10" fillId="10" borderId="0" xfId="0" applyFont="1" applyFill="1" applyAlignment="1">
      <alignment horizontal="right"/>
    </xf>
    <xf numFmtId="170" fontId="10" fillId="10" borderId="0" xfId="0" applyNumberFormat="1" applyFont="1" applyFill="1" applyAlignment="1">
      <alignment horizontal="center"/>
    </xf>
    <xf numFmtId="0" fontId="9" fillId="18" borderId="6" xfId="0" applyFont="1" applyFill="1" applyBorder="1" applyAlignment="1">
      <alignment horizontal="center" wrapText="1"/>
    </xf>
    <xf numFmtId="164" fontId="29" fillId="18" borderId="7" xfId="0" applyNumberFormat="1" applyFont="1" applyFill="1" applyBorder="1" applyAlignment="1">
      <alignment horizontal="center"/>
    </xf>
    <xf numFmtId="0" fontId="10" fillId="18" borderId="8" xfId="0" applyFont="1" applyFill="1" applyBorder="1" applyAlignment="1">
      <alignment horizontal="center" wrapText="1"/>
    </xf>
    <xf numFmtId="0" fontId="9" fillId="18" borderId="9" xfId="0" applyFont="1" applyFill="1" applyBorder="1" applyAlignment="1">
      <alignment horizontal="center" wrapText="1"/>
    </xf>
    <xf numFmtId="0" fontId="10" fillId="18" borderId="11" xfId="0" applyFont="1" applyFill="1" applyBorder="1" applyAlignment="1">
      <alignment horizontal="center" wrapText="1"/>
    </xf>
    <xf numFmtId="165" fontId="29" fillId="18" borderId="7" xfId="0" applyNumberFormat="1" applyFont="1" applyFill="1" applyBorder="1" applyAlignment="1">
      <alignment horizontal="center"/>
    </xf>
    <xf numFmtId="173" fontId="29" fillId="18" borderId="7" xfId="0" applyNumberFormat="1" applyFont="1" applyFill="1" applyBorder="1" applyAlignment="1">
      <alignment horizontal="center"/>
    </xf>
    <xf numFmtId="168" fontId="29" fillId="18" borderId="10" xfId="0" applyNumberFormat="1" applyFont="1" applyFill="1" applyBorder="1" applyAlignment="1">
      <alignment horizontal="center"/>
    </xf>
    <xf numFmtId="0" fontId="10" fillId="18" borderId="8" xfId="0" applyFont="1" applyFill="1" applyBorder="1" applyAlignment="1">
      <alignment horizontal="center" vertical="top" wrapText="1"/>
    </xf>
    <xf numFmtId="0" fontId="10" fillId="18" borderId="11" xfId="0" applyFont="1" applyFill="1" applyBorder="1" applyAlignment="1">
      <alignment horizontal="center" vertical="top" wrapText="1"/>
    </xf>
    <xf numFmtId="0" fontId="30" fillId="10" borderId="0" xfId="0" applyFont="1" applyFill="1"/>
    <xf numFmtId="0" fontId="31" fillId="0" borderId="0" xfId="0" applyFont="1"/>
    <xf numFmtId="0" fontId="32" fillId="10" borderId="0" xfId="0" applyFont="1" applyFill="1"/>
    <xf numFmtId="0" fontId="33" fillId="0" borderId="0" xfId="0" applyFont="1"/>
    <xf numFmtId="169" fontId="30" fillId="10" borderId="0" xfId="0" applyNumberFormat="1" applyFont="1" applyFill="1"/>
    <xf numFmtId="164" fontId="30" fillId="10" borderId="0" xfId="0" applyNumberFormat="1" applyFont="1" applyFill="1"/>
    <xf numFmtId="164" fontId="31" fillId="0" borderId="0" xfId="0" applyNumberFormat="1" applyFont="1"/>
    <xf numFmtId="0" fontId="12" fillId="3" borderId="2" xfId="0" applyFont="1" applyFill="1" applyBorder="1" applyAlignment="1">
      <alignment horizontal="left" wrapText="1"/>
    </xf>
    <xf numFmtId="0" fontId="12" fillId="3" borderId="2" xfId="0" applyFont="1" applyFill="1" applyBorder="1" applyAlignment="1">
      <alignment horizontal="center" wrapText="1"/>
    </xf>
    <xf numFmtId="0" fontId="11" fillId="0" borderId="2" xfId="0" applyFont="1" applyBorder="1" applyAlignment="1">
      <alignment vertical="top" wrapText="1"/>
    </xf>
    <xf numFmtId="0" fontId="12" fillId="3" borderId="4" xfId="0" applyFont="1" applyFill="1" applyBorder="1" applyAlignment="1">
      <alignment horizontal="center" vertical="center"/>
    </xf>
    <xf numFmtId="0" fontId="12" fillId="0" borderId="2" xfId="0" applyFont="1" applyBorder="1" applyAlignment="1">
      <alignment vertical="top" wrapText="1"/>
    </xf>
    <xf numFmtId="164" fontId="12" fillId="8" borderId="2" xfId="0" applyNumberFormat="1" applyFont="1" applyFill="1" applyBorder="1" applyAlignment="1">
      <alignment horizontal="center" vertical="top" wrapText="1"/>
    </xf>
    <xf numFmtId="164" fontId="12" fillId="18" borderId="2" xfId="0" applyNumberFormat="1" applyFont="1" applyFill="1" applyBorder="1" applyAlignment="1">
      <alignment horizontal="center" vertical="top" wrapText="1"/>
    </xf>
    <xf numFmtId="165" fontId="12" fillId="18" borderId="2" xfId="0" applyNumberFormat="1" applyFont="1" applyFill="1" applyBorder="1" applyAlignment="1">
      <alignment horizontal="center" vertical="top" wrapText="1"/>
    </xf>
    <xf numFmtId="173" fontId="12" fillId="18" borderId="2" xfId="0" applyNumberFormat="1" applyFont="1" applyFill="1" applyBorder="1" applyAlignment="1">
      <alignment horizontal="center" vertical="top" wrapText="1"/>
    </xf>
    <xf numFmtId="0" fontId="34" fillId="0" borderId="2" xfId="0" applyFont="1" applyBorder="1" applyAlignment="1">
      <alignment vertical="top" wrapText="1"/>
    </xf>
    <xf numFmtId="0" fontId="1" fillId="3" borderId="12" xfId="0" applyFont="1" applyFill="1" applyBorder="1" applyAlignment="1">
      <alignment horizontal="left"/>
    </xf>
    <xf numFmtId="0" fontId="1" fillId="3" borderId="12" xfId="0" applyFont="1" applyFill="1" applyBorder="1" applyAlignment="1">
      <alignment horizontal="center"/>
    </xf>
    <xf numFmtId="0" fontId="0" fillId="0" borderId="13" xfId="0" applyBorder="1"/>
    <xf numFmtId="170" fontId="0" fillId="0" borderId="13" xfId="0" applyNumberFormat="1" applyBorder="1" applyAlignment="1">
      <alignment horizontal="center"/>
    </xf>
    <xf numFmtId="164" fontId="0" fillId="0" borderId="13" xfId="0" applyNumberFormat="1" applyBorder="1" applyAlignment="1">
      <alignment horizontal="center"/>
    </xf>
    <xf numFmtId="0" fontId="0" fillId="0" borderId="14" xfId="0" applyBorder="1"/>
    <xf numFmtId="164" fontId="1" fillId="7" borderId="14" xfId="0" applyNumberFormat="1" applyFont="1" applyFill="1" applyBorder="1" applyAlignment="1">
      <alignment horizontal="center"/>
    </xf>
    <xf numFmtId="164" fontId="14" fillId="12" borderId="13" xfId="0" applyNumberFormat="1" applyFont="1" applyFill="1" applyBorder="1" applyAlignment="1">
      <alignment horizontal="center"/>
    </xf>
    <xf numFmtId="164" fontId="14" fillId="13" borderId="13" xfId="0" applyNumberFormat="1" applyFont="1" applyFill="1" applyBorder="1" applyAlignment="1">
      <alignment horizontal="center"/>
    </xf>
    <xf numFmtId="0" fontId="1" fillId="15" borderId="12" xfId="0" applyFont="1" applyFill="1" applyBorder="1" applyAlignment="1">
      <alignment horizontal="left"/>
    </xf>
    <xf numFmtId="0" fontId="1" fillId="15" borderId="12" xfId="0" applyFont="1" applyFill="1" applyBorder="1" applyAlignment="1">
      <alignment horizontal="center"/>
    </xf>
    <xf numFmtId="0" fontId="16" fillId="3" borderId="4" xfId="0" applyFont="1" applyFill="1" applyBorder="1" applyAlignment="1">
      <alignment horizontal="left" wrapText="1"/>
    </xf>
    <xf numFmtId="0" fontId="16" fillId="3" borderId="4" xfId="0" applyFont="1" applyFill="1" applyBorder="1" applyAlignment="1">
      <alignment horizontal="center" wrapText="1"/>
    </xf>
    <xf numFmtId="0" fontId="16" fillId="19" borderId="4" xfId="0" applyFont="1" applyFill="1" applyBorder="1" applyAlignment="1">
      <alignment horizontal="center" wrapText="1"/>
    </xf>
    <xf numFmtId="0" fontId="0" fillId="0" borderId="3" xfId="0" applyBorder="1"/>
    <xf numFmtId="171" fontId="0" fillId="0" borderId="3" xfId="0" applyNumberFormat="1" applyBorder="1" applyAlignment="1">
      <alignment horizontal="center"/>
    </xf>
    <xf numFmtId="170" fontId="0" fillId="0" borderId="3" xfId="0" applyNumberFormat="1" applyBorder="1" applyAlignment="1">
      <alignment horizontal="center"/>
    </xf>
    <xf numFmtId="0" fontId="0" fillId="0" borderId="3" xfId="0" applyBorder="1" applyAlignment="1">
      <alignment horizontal="center"/>
    </xf>
    <xf numFmtId="169" fontId="0" fillId="0" borderId="3" xfId="0" applyNumberFormat="1" applyBorder="1" applyAlignment="1">
      <alignment horizontal="center"/>
    </xf>
    <xf numFmtId="164" fontId="0" fillId="0" borderId="3" xfId="0" applyNumberFormat="1" applyBorder="1" applyAlignment="1">
      <alignment horizontal="center"/>
    </xf>
    <xf numFmtId="164" fontId="0" fillId="20" borderId="3" xfId="0" applyNumberFormat="1" applyFill="1" applyBorder="1" applyAlignment="1">
      <alignment horizontal="center"/>
    </xf>
    <xf numFmtId="174" fontId="0" fillId="20" borderId="3" xfId="0" applyNumberFormat="1" applyFill="1" applyBorder="1" applyAlignment="1">
      <alignment horizontal="center"/>
    </xf>
    <xf numFmtId="0" fontId="1" fillId="7" borderId="15" xfId="0" applyFont="1" applyFill="1" applyBorder="1"/>
    <xf numFmtId="171" fontId="1" fillId="7" borderId="15" xfId="0" applyNumberFormat="1" applyFont="1" applyFill="1" applyBorder="1" applyAlignment="1">
      <alignment horizontal="center"/>
    </xf>
    <xf numFmtId="0" fontId="1" fillId="7" borderId="15" xfId="0" applyFont="1" applyFill="1" applyBorder="1" applyAlignment="1">
      <alignment horizontal="center"/>
    </xf>
    <xf numFmtId="169" fontId="1" fillId="7" borderId="15" xfId="0" applyNumberFormat="1" applyFont="1" applyFill="1" applyBorder="1" applyAlignment="1">
      <alignment horizontal="center"/>
    </xf>
    <xf numFmtId="164" fontId="1" fillId="7" borderId="15" xfId="0" applyNumberFormat="1" applyFont="1" applyFill="1" applyBorder="1" applyAlignment="1">
      <alignment horizontal="center"/>
    </xf>
    <xf numFmtId="174" fontId="1" fillId="7" borderId="15" xfId="0" applyNumberFormat="1" applyFont="1" applyFill="1" applyBorder="1" applyAlignment="1">
      <alignment horizontal="center"/>
    </xf>
    <xf numFmtId="0" fontId="1" fillId="3" borderId="2" xfId="0" applyFont="1" applyFill="1" applyBorder="1" applyAlignment="1">
      <alignment horizontal="left"/>
    </xf>
    <xf numFmtId="174" fontId="0" fillId="0" borderId="2" xfId="0" applyNumberFormat="1" applyBorder="1" applyAlignment="1">
      <alignment horizontal="center"/>
    </xf>
    <xf numFmtId="174" fontId="1" fillId="7" borderId="2" xfId="0" applyNumberFormat="1" applyFont="1" applyFill="1" applyBorder="1" applyAlignment="1">
      <alignment horizontal="center"/>
    </xf>
    <xf numFmtId="174" fontId="1" fillId="0" borderId="2" xfId="0" applyNumberFormat="1" applyFont="1" applyBorder="1" applyAlignment="1">
      <alignment horizontal="center"/>
    </xf>
    <xf numFmtId="49" fontId="15" fillId="0" borderId="0" xfId="0" applyNumberFormat="1" applyFont="1"/>
    <xf numFmtId="0" fontId="4" fillId="10" borderId="0" xfId="0" applyFont="1" applyFill="1" applyAlignment="1">
      <alignment vertical="center"/>
    </xf>
    <xf numFmtId="174" fontId="4" fillId="5" borderId="2" xfId="0" applyNumberFormat="1" applyFont="1" applyFill="1" applyBorder="1" applyAlignment="1">
      <alignment horizontal="center"/>
    </xf>
    <xf numFmtId="0" fontId="3" fillId="5" borderId="2" xfId="0" applyFont="1" applyFill="1" applyBorder="1"/>
    <xf numFmtId="174" fontId="3" fillId="5" borderId="2" xfId="0" applyNumberFormat="1" applyFont="1" applyFill="1" applyBorder="1" applyAlignment="1">
      <alignment horizontal="center"/>
    </xf>
    <xf numFmtId="0" fontId="4" fillId="9" borderId="2" xfId="0" applyFont="1" applyFill="1" applyBorder="1"/>
    <xf numFmtId="172" fontId="4" fillId="9" borderId="2" xfId="0" applyNumberFormat="1" applyFont="1" applyFill="1" applyBorder="1" applyAlignment="1">
      <alignment horizontal="center"/>
    </xf>
    <xf numFmtId="174" fontId="31" fillId="0" borderId="0" xfId="0" applyNumberFormat="1" applyFont="1"/>
    <xf numFmtId="0" fontId="4" fillId="19" borderId="4" xfId="0" applyFont="1" applyFill="1" applyBorder="1" applyAlignment="1">
      <alignment horizontal="left"/>
    </xf>
    <xf numFmtId="0" fontId="4" fillId="19" borderId="4" xfId="0" applyFont="1" applyFill="1" applyBorder="1" applyAlignment="1">
      <alignment horizontal="center"/>
    </xf>
    <xf numFmtId="0" fontId="3" fillId="10" borderId="3" xfId="0" applyFont="1" applyFill="1" applyBorder="1"/>
    <xf numFmtId="0" fontId="3" fillId="10" borderId="3" xfId="0" applyFont="1" applyFill="1" applyBorder="1" applyAlignment="1">
      <alignment horizontal="center"/>
    </xf>
    <xf numFmtId="164" fontId="3" fillId="10" borderId="3" xfId="0" applyNumberFormat="1" applyFont="1" applyFill="1" applyBorder="1" applyAlignment="1">
      <alignment horizontal="center"/>
    </xf>
    <xf numFmtId="0" fontId="4" fillId="7" borderId="15" xfId="0" applyFont="1" applyFill="1" applyBorder="1"/>
    <xf numFmtId="0" fontId="4" fillId="7" borderId="15" xfId="0" applyFont="1" applyFill="1" applyBorder="1" applyAlignment="1">
      <alignment horizontal="center"/>
    </xf>
    <xf numFmtId="164" fontId="4" fillId="7" borderId="15" xfId="0" applyNumberFormat="1" applyFont="1" applyFill="1" applyBorder="1" applyAlignment="1">
      <alignment horizontal="center"/>
    </xf>
    <xf numFmtId="170" fontId="38" fillId="6" borderId="0" xfId="0" applyNumberFormat="1" applyFont="1" applyFill="1" applyAlignment="1">
      <alignment horizontal="center"/>
    </xf>
    <xf numFmtId="0" fontId="3" fillId="0" borderId="12" xfId="0" applyFont="1" applyBorder="1"/>
    <xf numFmtId="172" fontId="3" fillId="0" borderId="12" xfId="0" applyNumberFormat="1" applyFont="1" applyBorder="1" applyAlignment="1">
      <alignment horizontal="center"/>
    </xf>
    <xf numFmtId="0" fontId="1" fillId="6" borderId="5" xfId="0" applyFont="1" applyFill="1" applyBorder="1"/>
    <xf numFmtId="165" fontId="1" fillId="6" borderId="5" xfId="0" applyNumberFormat="1" applyFont="1" applyFill="1" applyBorder="1" applyAlignment="1">
      <alignment horizontal="center"/>
    </xf>
    <xf numFmtId="0" fontId="1" fillId="5" borderId="5" xfId="0" applyFont="1" applyFill="1" applyBorder="1"/>
    <xf numFmtId="164" fontId="1" fillId="5" borderId="5" xfId="0" applyNumberFormat="1" applyFont="1" applyFill="1" applyBorder="1" applyAlignment="1">
      <alignment horizontal="center"/>
    </xf>
    <xf numFmtId="0" fontId="10" fillId="0" borderId="0" xfId="0" applyFont="1" applyAlignment="1">
      <alignment horizontal="center"/>
    </xf>
    <xf numFmtId="170" fontId="39" fillId="10" borderId="0" xfId="0" applyNumberFormat="1" applyFont="1" applyFill="1" applyAlignment="1">
      <alignment horizontal="center"/>
    </xf>
    <xf numFmtId="165" fontId="39" fillId="10" borderId="0" xfId="0" applyNumberFormat="1" applyFont="1" applyFill="1" applyAlignment="1">
      <alignment horizontal="center"/>
    </xf>
    <xf numFmtId="164" fontId="39" fillId="0" borderId="0" xfId="0" applyNumberFormat="1" applyFont="1" applyAlignment="1">
      <alignment horizontal="center"/>
    </xf>
    <xf numFmtId="170" fontId="4" fillId="10" borderId="0" xfId="0" applyNumberFormat="1" applyFont="1" applyFill="1" applyAlignment="1">
      <alignment horizontal="center"/>
    </xf>
    <xf numFmtId="0" fontId="25" fillId="10" borderId="0" xfId="0" applyFont="1" applyFill="1" applyAlignment="1">
      <alignment horizontal="right"/>
    </xf>
    <xf numFmtId="164" fontId="25" fillId="10" borderId="2" xfId="0" applyNumberFormat="1" applyFont="1" applyFill="1" applyBorder="1" applyAlignment="1">
      <alignment horizontal="center" vertical="center"/>
    </xf>
    <xf numFmtId="0" fontId="3" fillId="5" borderId="2" xfId="0" applyFont="1" applyFill="1" applyBorder="1" applyAlignment="1">
      <alignment vertical="center"/>
    </xf>
    <xf numFmtId="174" fontId="25" fillId="5" borderId="2" xfId="0" applyNumberFormat="1" applyFont="1" applyFill="1" applyBorder="1" applyAlignment="1">
      <alignment horizontal="center" vertical="center"/>
    </xf>
    <xf numFmtId="0" fontId="3" fillId="9" borderId="2" xfId="0" applyFont="1" applyFill="1" applyBorder="1" applyAlignment="1">
      <alignment vertical="center"/>
    </xf>
    <xf numFmtId="172" fontId="25" fillId="9" borderId="2" xfId="0" applyNumberFormat="1" applyFont="1" applyFill="1" applyBorder="1" applyAlignment="1">
      <alignment horizontal="center" vertical="center"/>
    </xf>
    <xf numFmtId="168" fontId="25" fillId="10" borderId="2" xfId="0" applyNumberFormat="1" applyFont="1" applyFill="1" applyBorder="1" applyAlignment="1">
      <alignment horizontal="center" vertical="center"/>
    </xf>
    <xf numFmtId="0" fontId="1" fillId="9" borderId="2" xfId="0" applyFont="1" applyFill="1" applyBorder="1"/>
    <xf numFmtId="164" fontId="1" fillId="9" borderId="2" xfId="0" applyNumberFormat="1" applyFont="1" applyFill="1" applyBorder="1" applyAlignment="1">
      <alignment horizontal="center"/>
    </xf>
    <xf numFmtId="172" fontId="1" fillId="9" borderId="2" xfId="0" applyNumberFormat="1" applyFont="1" applyFill="1" applyBorder="1" applyAlignment="1">
      <alignment horizontal="center"/>
    </xf>
    <xf numFmtId="174" fontId="1" fillId="3" borderId="2" xfId="0" applyNumberFormat="1" applyFont="1" applyFill="1" applyBorder="1" applyAlignment="1">
      <alignment horizontal="center"/>
    </xf>
    <xf numFmtId="166" fontId="30" fillId="10" borderId="0" xfId="0" applyNumberFormat="1" applyFont="1" applyFill="1"/>
    <xf numFmtId="9" fontId="18" fillId="6" borderId="2" xfId="0" applyNumberFormat="1" applyFont="1" applyFill="1" applyBorder="1" applyAlignment="1">
      <alignment horizontal="center"/>
    </xf>
    <xf numFmtId="0" fontId="18" fillId="10" borderId="2" xfId="0" applyFont="1" applyFill="1" applyBorder="1" applyAlignment="1">
      <alignment horizontal="center"/>
    </xf>
    <xf numFmtId="175" fontId="18" fillId="6" borderId="2" xfId="0" applyNumberFormat="1" applyFont="1" applyFill="1" applyBorder="1" applyAlignment="1">
      <alignment horizontal="center"/>
    </xf>
    <xf numFmtId="0" fontId="42" fillId="10" borderId="2" xfId="0" applyFont="1" applyFill="1" applyBorder="1" applyAlignment="1">
      <alignment wrapText="1"/>
    </xf>
    <xf numFmtId="172" fontId="3" fillId="10" borderId="2" xfId="0" applyNumberFormat="1" applyFont="1" applyFill="1" applyBorder="1" applyAlignment="1">
      <alignment horizontal="center"/>
    </xf>
    <xf numFmtId="172" fontId="4" fillId="7" borderId="2" xfId="0" applyNumberFormat="1" applyFont="1" applyFill="1" applyBorder="1" applyAlignment="1">
      <alignment horizontal="center"/>
    </xf>
    <xf numFmtId="166" fontId="4" fillId="9" borderId="2" xfId="0" applyNumberFormat="1" applyFont="1" applyFill="1" applyBorder="1" applyAlignment="1">
      <alignment horizontal="center"/>
    </xf>
    <xf numFmtId="0" fontId="4" fillId="9" borderId="2" xfId="0" applyFont="1" applyFill="1" applyBorder="1" applyAlignment="1">
      <alignment horizontal="center"/>
    </xf>
    <xf numFmtId="0" fontId="4" fillId="6" borderId="2" xfId="0" applyFont="1" applyFill="1" applyBorder="1"/>
    <xf numFmtId="1" fontId="4" fillId="6" borderId="2" xfId="0" applyNumberFormat="1" applyFont="1" applyFill="1" applyBorder="1" applyAlignment="1">
      <alignment horizontal="center"/>
    </xf>
    <xf numFmtId="0" fontId="4" fillId="6" borderId="2" xfId="0" applyFont="1" applyFill="1" applyBorder="1" applyAlignment="1">
      <alignment horizontal="center"/>
    </xf>
    <xf numFmtId="1" fontId="4" fillId="9" borderId="2" xfId="0" applyNumberFormat="1" applyFont="1" applyFill="1" applyBorder="1" applyAlignment="1">
      <alignment horizontal="center"/>
    </xf>
    <xf numFmtId="0" fontId="43" fillId="10" borderId="0" xfId="0" applyFont="1" applyFill="1" applyAlignment="1">
      <alignment horizontal="center"/>
    </xf>
    <xf numFmtId="0" fontId="43" fillId="10" borderId="0" xfId="0" applyFont="1" applyFill="1"/>
    <xf numFmtId="0" fontId="45" fillId="0" borderId="0" xfId="1" applyFont="1"/>
    <xf numFmtId="0" fontId="44" fillId="0" borderId="0" xfId="1"/>
    <xf numFmtId="0" fontId="46" fillId="0" borderId="0" xfId="1" applyFont="1"/>
    <xf numFmtId="0" fontId="47" fillId="22" borderId="2" xfId="1" applyFont="1" applyFill="1" applyBorder="1" applyAlignment="1">
      <alignment horizontal="center" vertical="center" wrapText="1"/>
    </xf>
    <xf numFmtId="0" fontId="48" fillId="0" borderId="2" xfId="1" applyFont="1" applyBorder="1"/>
    <xf numFmtId="0" fontId="49" fillId="0" borderId="2" xfId="1" applyFont="1" applyBorder="1"/>
    <xf numFmtId="2" fontId="50" fillId="23" borderId="2" xfId="1" applyNumberFormat="1" applyFont="1" applyFill="1" applyBorder="1" applyAlignment="1">
      <alignment horizontal="center" vertical="center"/>
    </xf>
    <xf numFmtId="0" fontId="50" fillId="23" borderId="2" xfId="1" applyFont="1" applyFill="1" applyBorder="1" applyAlignment="1">
      <alignment horizontal="center" vertical="center"/>
    </xf>
    <xf numFmtId="0" fontId="51" fillId="0" borderId="2" xfId="1" applyFont="1" applyBorder="1" applyAlignment="1">
      <alignment vertical="top" wrapText="1"/>
    </xf>
    <xf numFmtId="0" fontId="48" fillId="0" borderId="0" xfId="1" applyFont="1"/>
    <xf numFmtId="0" fontId="49" fillId="0" borderId="2" xfId="1" applyFont="1" applyBorder="1" applyAlignment="1">
      <alignment horizontal="center" vertical="center"/>
    </xf>
    <xf numFmtId="9" fontId="50" fillId="23" borderId="2" xfId="1" applyNumberFormat="1" applyFont="1" applyFill="1" applyBorder="1" applyAlignment="1">
      <alignment horizontal="center" vertical="center"/>
    </xf>
    <xf numFmtId="0" fontId="51" fillId="0" borderId="2" xfId="1" applyFont="1" applyBorder="1"/>
    <xf numFmtId="0" fontId="52" fillId="0" borderId="0" xfId="1" applyFont="1"/>
    <xf numFmtId="0" fontId="53" fillId="0" borderId="0" xfId="1" applyFont="1"/>
    <xf numFmtId="0" fontId="54" fillId="0" borderId="0" xfId="0" applyFont="1"/>
    <xf numFmtId="0" fontId="55" fillId="0" borderId="0" xfId="0" applyFont="1"/>
    <xf numFmtId="0" fontId="56" fillId="0" borderId="0" xfId="0" applyFont="1"/>
    <xf numFmtId="0" fontId="59" fillId="0" borderId="0" xfId="0" applyFont="1"/>
    <xf numFmtId="0" fontId="57" fillId="24" borderId="16" xfId="0" applyFont="1" applyFill="1" applyBorder="1" applyAlignment="1">
      <alignment horizontal="center" vertical="center" wrapText="1"/>
    </xf>
    <xf numFmtId="0" fontId="57" fillId="24" borderId="17" xfId="0" applyFont="1" applyFill="1" applyBorder="1" applyAlignment="1">
      <alignment horizontal="center" vertical="center" wrapText="1"/>
    </xf>
    <xf numFmtId="0" fontId="58" fillId="6" borderId="17" xfId="0" applyFont="1" applyFill="1" applyBorder="1"/>
    <xf numFmtId="0" fontId="57" fillId="24" borderId="2" xfId="0" applyFont="1" applyFill="1" applyBorder="1" applyAlignment="1">
      <alignment horizontal="center" vertical="center" wrapText="1"/>
    </xf>
    <xf numFmtId="0" fontId="58" fillId="6" borderId="2" xfId="0" applyFont="1" applyFill="1" applyBorder="1"/>
    <xf numFmtId="0" fontId="60" fillId="0" borderId="2" xfId="0" applyFont="1" applyBorder="1"/>
    <xf numFmtId="9" fontId="58" fillId="6" borderId="2" xfId="0" applyNumberFormat="1" applyFont="1" applyFill="1" applyBorder="1"/>
    <xf numFmtId="0" fontId="58" fillId="6" borderId="2" xfId="0" applyFont="1" applyFill="1" applyBorder="1" applyAlignment="1">
      <alignment horizontal="center"/>
    </xf>
    <xf numFmtId="0" fontId="59" fillId="0" borderId="2" xfId="0" applyFont="1" applyBorder="1"/>
    <xf numFmtId="9" fontId="59" fillId="0" borderId="2" xfId="0" applyNumberFormat="1" applyFont="1" applyBorder="1"/>
    <xf numFmtId="165" fontId="59" fillId="0" borderId="2" xfId="0" applyNumberFormat="1" applyFont="1" applyBorder="1"/>
    <xf numFmtId="0" fontId="59" fillId="0" borderId="2" xfId="0" applyFont="1" applyBorder="1" applyAlignment="1">
      <alignment horizontal="center"/>
    </xf>
    <xf numFmtId="9" fontId="59" fillId="0" borderId="2" xfId="0" applyNumberFormat="1" applyFont="1" applyBorder="1" applyAlignment="1">
      <alignment horizontal="center"/>
    </xf>
    <xf numFmtId="0" fontId="57" fillId="24" borderId="3" xfId="0" applyFont="1" applyFill="1" applyBorder="1" applyAlignment="1">
      <alignment horizontal="center" vertical="center" wrapText="1"/>
    </xf>
    <xf numFmtId="2" fontId="60" fillId="0" borderId="0" xfId="0" applyNumberFormat="1" applyFont="1" applyAlignment="1">
      <alignment horizontal="center"/>
    </xf>
    <xf numFmtId="0" fontId="62" fillId="0" borderId="0" xfId="0" applyFont="1"/>
    <xf numFmtId="9" fontId="63" fillId="0" borderId="2" xfId="0" applyNumberFormat="1" applyFont="1" applyBorder="1" applyAlignment="1">
      <alignment horizontal="center"/>
    </xf>
    <xf numFmtId="9" fontId="14" fillId="6" borderId="0" xfId="0" applyNumberFormat="1" applyFont="1" applyFill="1"/>
    <xf numFmtId="0" fontId="57" fillId="24" borderId="3" xfId="0" applyFont="1" applyFill="1" applyBorder="1" applyAlignment="1">
      <alignment horizontal="center" wrapText="1"/>
    </xf>
    <xf numFmtId="2" fontId="64" fillId="0" borderId="0" xfId="0" applyNumberFormat="1" applyFont="1" applyAlignment="1">
      <alignment horizontal="center"/>
    </xf>
    <xf numFmtId="0" fontId="65" fillId="10" borderId="0" xfId="0" applyFont="1" applyFill="1"/>
    <xf numFmtId="2" fontId="4" fillId="10" borderId="2" xfId="0" applyNumberFormat="1" applyFont="1" applyFill="1" applyBorder="1" applyAlignment="1">
      <alignment horizontal="center"/>
    </xf>
    <xf numFmtId="9" fontId="58" fillId="6" borderId="0" xfId="0" applyNumberFormat="1" applyFont="1" applyFill="1" applyAlignment="1">
      <alignment horizontal="center"/>
    </xf>
    <xf numFmtId="176" fontId="58" fillId="6" borderId="16" xfId="0" applyNumberFormat="1" applyFont="1" applyFill="1" applyBorder="1"/>
    <xf numFmtId="9" fontId="58" fillId="6" borderId="2" xfId="0" applyNumberFormat="1" applyFont="1" applyFill="1" applyBorder="1" applyAlignment="1">
      <alignment horizontal="center"/>
    </xf>
    <xf numFmtId="0" fontId="23" fillId="0" borderId="2" xfId="0" applyFont="1" applyBorder="1" applyAlignment="1">
      <alignment horizontal="center"/>
    </xf>
    <xf numFmtId="0" fontId="57" fillId="24" borderId="1" xfId="0" applyFont="1" applyFill="1" applyBorder="1" applyAlignment="1">
      <alignment horizontal="center" vertical="center" wrapText="1"/>
    </xf>
    <xf numFmtId="9" fontId="11" fillId="0" borderId="2" xfId="0" applyNumberFormat="1" applyFont="1" applyBorder="1" applyAlignment="1">
      <alignment horizontal="center"/>
    </xf>
    <xf numFmtId="0" fontId="66" fillId="0" borderId="2" xfId="0" applyFont="1" applyBorder="1" applyAlignment="1">
      <alignment horizontal="center"/>
    </xf>
    <xf numFmtId="0" fontId="67" fillId="25" borderId="0" xfId="0" applyFont="1" applyFill="1" applyAlignment="1">
      <alignment horizontal="center" wrapText="1"/>
    </xf>
    <xf numFmtId="169" fontId="63" fillId="0" borderId="2" xfId="0" applyNumberFormat="1" applyFont="1" applyBorder="1" applyAlignment="1">
      <alignment horizontal="center"/>
    </xf>
    <xf numFmtId="0" fontId="60" fillId="0" borderId="0" xfId="0" applyFont="1" applyAlignment="1">
      <alignment horizontal="center"/>
    </xf>
    <xf numFmtId="1" fontId="58" fillId="6" borderId="0" xfId="0" applyNumberFormat="1" applyFont="1" applyFill="1" applyAlignment="1">
      <alignment horizontal="center"/>
    </xf>
    <xf numFmtId="176" fontId="60" fillId="0" borderId="0" xfId="0" applyNumberFormat="1" applyFont="1" applyAlignment="1">
      <alignment horizontal="center"/>
    </xf>
    <xf numFmtId="3" fontId="60" fillId="0" borderId="0" xfId="0" applyNumberFormat="1" applyFont="1" applyAlignment="1">
      <alignment horizontal="center"/>
    </xf>
    <xf numFmtId="177" fontId="58" fillId="6" borderId="0" xfId="0" applyNumberFormat="1" applyFont="1" applyFill="1" applyAlignment="1">
      <alignment horizontal="center"/>
    </xf>
    <xf numFmtId="2" fontId="58" fillId="6" borderId="0" xfId="0" applyNumberFormat="1" applyFont="1" applyFill="1" applyAlignment="1">
      <alignment horizontal="center"/>
    </xf>
    <xf numFmtId="177" fontId="60" fillId="0" borderId="0" xfId="0" applyNumberFormat="1" applyFont="1" applyAlignment="1">
      <alignment horizontal="center"/>
    </xf>
    <xf numFmtId="1" fontId="60" fillId="0" borderId="0" xfId="0" applyNumberFormat="1" applyFont="1" applyAlignment="1">
      <alignment horizontal="center"/>
    </xf>
    <xf numFmtId="165" fontId="60" fillId="0" borderId="0" xfId="0" applyNumberFormat="1" applyFont="1" applyAlignment="1">
      <alignment horizontal="center"/>
    </xf>
    <xf numFmtId="178" fontId="60" fillId="0" borderId="0" xfId="0" applyNumberFormat="1" applyFont="1" applyAlignment="1">
      <alignment horizontal="center"/>
    </xf>
    <xf numFmtId="0" fontId="60" fillId="0" borderId="0" xfId="0" applyFont="1" applyAlignment="1">
      <alignment horizontal="left"/>
    </xf>
    <xf numFmtId="0" fontId="68" fillId="0" borderId="0" xfId="0" applyFont="1" applyAlignment="1">
      <alignment horizontal="left"/>
    </xf>
    <xf numFmtId="0" fontId="67" fillId="24" borderId="16" xfId="0" applyFont="1" applyFill="1" applyBorder="1" applyAlignment="1">
      <alignment horizontal="center" vertical="center" wrapText="1"/>
    </xf>
    <xf numFmtId="0" fontId="67" fillId="24" borderId="2" xfId="0" applyFont="1" applyFill="1" applyBorder="1" applyAlignment="1">
      <alignment horizontal="center" vertical="center" wrapText="1"/>
    </xf>
    <xf numFmtId="9" fontId="11" fillId="0" borderId="2" xfId="0" applyNumberFormat="1" applyFont="1" applyBorder="1"/>
    <xf numFmtId="178" fontId="11" fillId="0" borderId="2" xfId="0" applyNumberFormat="1" applyFont="1" applyBorder="1"/>
    <xf numFmtId="2" fontId="11" fillId="0" borderId="2" xfId="0" applyNumberFormat="1" applyFont="1" applyBorder="1"/>
    <xf numFmtId="3" fontId="11" fillId="0" borderId="2" xfId="0" applyNumberFormat="1" applyFont="1" applyBorder="1"/>
    <xf numFmtId="177" fontId="11" fillId="0" borderId="2" xfId="0" applyNumberFormat="1" applyFont="1" applyBorder="1"/>
    <xf numFmtId="179" fontId="69" fillId="0" borderId="2" xfId="0" applyNumberFormat="1" applyFont="1" applyBorder="1"/>
    <xf numFmtId="1" fontId="11" fillId="0" borderId="2" xfId="0" applyNumberFormat="1" applyFont="1" applyBorder="1" applyAlignment="1">
      <alignment horizontal="center"/>
    </xf>
    <xf numFmtId="2" fontId="11" fillId="0" borderId="2" xfId="0" applyNumberFormat="1" applyFont="1" applyBorder="1" applyAlignment="1">
      <alignment horizontal="center"/>
    </xf>
    <xf numFmtId="0" fontId="12" fillId="0" borderId="2" xfId="0" applyFont="1" applyBorder="1" applyAlignment="1">
      <alignment horizontal="center"/>
    </xf>
    <xf numFmtId="0" fontId="57" fillId="25" borderId="0" xfId="0" applyFont="1" applyFill="1"/>
    <xf numFmtId="0" fontId="70" fillId="0" borderId="0" xfId="0" applyFont="1" applyAlignment="1">
      <alignment horizontal="center"/>
    </xf>
    <xf numFmtId="0" fontId="11" fillId="0" borderId="2" xfId="0" applyFont="1" applyBorder="1"/>
    <xf numFmtId="180" fontId="12" fillId="26" borderId="2" xfId="0" applyNumberFormat="1" applyFont="1" applyFill="1" applyBorder="1" applyAlignment="1">
      <alignment horizontal="center"/>
    </xf>
    <xf numFmtId="0" fontId="12" fillId="26" borderId="2" xfId="0" applyFont="1" applyFill="1" applyBorder="1" applyAlignment="1">
      <alignment horizontal="center"/>
    </xf>
    <xf numFmtId="3" fontId="60" fillId="0" borderId="2" xfId="0" applyNumberFormat="1" applyFont="1" applyBorder="1" applyAlignment="1">
      <alignment horizontal="center"/>
    </xf>
    <xf numFmtId="2" fontId="60" fillId="0" borderId="2" xfId="0" applyNumberFormat="1" applyFont="1" applyBorder="1" applyAlignment="1">
      <alignment horizontal="center"/>
    </xf>
    <xf numFmtId="165" fontId="60" fillId="0" borderId="2" xfId="0" applyNumberFormat="1" applyFont="1" applyBorder="1" applyAlignment="1">
      <alignment horizontal="center"/>
    </xf>
    <xf numFmtId="178" fontId="60" fillId="0" borderId="2" xfId="0" applyNumberFormat="1" applyFont="1" applyBorder="1" applyAlignment="1">
      <alignment horizontal="center"/>
    </xf>
    <xf numFmtId="1" fontId="60" fillId="0" borderId="2" xfId="0" applyNumberFormat="1" applyFont="1" applyBorder="1" applyAlignment="1">
      <alignment horizontal="center"/>
    </xf>
    <xf numFmtId="0" fontId="60" fillId="0" borderId="2" xfId="0" applyFont="1" applyBorder="1" applyAlignment="1">
      <alignment horizontal="center"/>
    </xf>
    <xf numFmtId="0" fontId="12" fillId="0" borderId="2" xfId="0" applyFont="1" applyBorder="1"/>
    <xf numFmtId="0" fontId="71" fillId="0" borderId="2" xfId="0" applyFont="1" applyBorder="1" applyAlignment="1">
      <alignment horizontal="center"/>
    </xf>
    <xf numFmtId="177" fontId="11" fillId="0" borderId="16" xfId="0" applyNumberFormat="1" applyFont="1" applyBorder="1"/>
    <xf numFmtId="0" fontId="67" fillId="27" borderId="2" xfId="0" applyFont="1" applyFill="1" applyBorder="1" applyAlignment="1">
      <alignment horizontal="center" vertical="center" wrapText="1"/>
    </xf>
    <xf numFmtId="3" fontId="11" fillId="0" borderId="2" xfId="0" applyNumberFormat="1" applyFont="1" applyBorder="1" applyAlignment="1">
      <alignment horizontal="center"/>
    </xf>
    <xf numFmtId="0" fontId="72" fillId="0" borderId="3" xfId="0" applyFont="1" applyBorder="1"/>
    <xf numFmtId="0" fontId="2" fillId="24" borderId="0" xfId="0" applyFont="1" applyFill="1"/>
    <xf numFmtId="0" fontId="22" fillId="14" borderId="0" xfId="0" applyFont="1" applyFill="1" applyAlignment="1">
      <alignment vertical="center" indent="1"/>
    </xf>
    <xf numFmtId="0" fontId="22" fillId="14" borderId="0" xfId="0" applyFont="1" applyFill="1"/>
    <xf numFmtId="0" fontId="20" fillId="0" borderId="0" xfId="0" applyFont="1"/>
    <xf numFmtId="0" fontId="3" fillId="0" borderId="0" xfId="0" applyFont="1"/>
    <xf numFmtId="0" fontId="17" fillId="2" borderId="0" xfId="0" applyFont="1" applyFill="1" applyAlignment="1">
      <alignment vertical="center" indent="1"/>
    </xf>
    <xf numFmtId="0" fontId="8" fillId="11" borderId="0" xfId="0" applyFont="1" applyFill="1" applyAlignment="1">
      <alignment vertical="center" indent="1"/>
    </xf>
    <xf numFmtId="0" fontId="2" fillId="2" borderId="0" xfId="0" applyFont="1" applyFill="1" applyAlignment="1">
      <alignment vertical="center" indent="1"/>
    </xf>
    <xf numFmtId="0" fontId="2" fillId="2" borderId="0" xfId="0" applyFont="1" applyFill="1" applyAlignment="1">
      <alignment vertical="center"/>
    </xf>
    <xf numFmtId="0" fontId="2" fillId="2" borderId="0" xfId="0" applyFont="1" applyFill="1"/>
    <xf numFmtId="0" fontId="13" fillId="2" borderId="0" xfId="0" applyFont="1" applyFill="1" applyAlignment="1">
      <alignment vertical="center" indent="1"/>
    </xf>
    <xf numFmtId="0" fontId="7" fillId="2" borderId="0" xfId="0" applyFont="1" applyFill="1" applyAlignment="1">
      <alignment vertical="center" indent="1"/>
    </xf>
    <xf numFmtId="0" fontId="27" fillId="10" borderId="0" xfId="0" applyFont="1" applyFill="1"/>
    <xf numFmtId="0" fontId="2" fillId="17" borderId="0" xfId="0" applyFont="1" applyFill="1" applyAlignment="1">
      <alignment vertical="center" indent="1"/>
    </xf>
    <xf numFmtId="0" fontId="3" fillId="10" borderId="0" xfId="0" applyFont="1" applyFill="1" applyAlignment="1">
      <alignment vertical="center" indent="1"/>
    </xf>
    <xf numFmtId="0" fontId="36" fillId="11" borderId="0" xfId="0" applyFont="1" applyFill="1" applyAlignment="1">
      <alignment vertical="center" indent="1"/>
    </xf>
    <xf numFmtId="0" fontId="37" fillId="18" borderId="0" xfId="0" applyFont="1" applyFill="1" applyAlignment="1">
      <alignment vertical="center" indent="1"/>
    </xf>
    <xf numFmtId="0" fontId="3" fillId="10" borderId="0" xfId="0" applyFont="1" applyFill="1"/>
    <xf numFmtId="0" fontId="40" fillId="6" borderId="0" xfId="0" applyFont="1" applyFill="1" applyAlignment="1">
      <alignment vertical="center" indent="1"/>
    </xf>
    <xf numFmtId="0" fontId="41" fillId="10" borderId="0" xfId="0" applyFont="1" applyFill="1" applyAlignment="1">
      <alignment horizontal="center"/>
    </xf>
    <xf numFmtId="0" fontId="42" fillId="10" borderId="1" xfId="0" applyFont="1" applyFill="1" applyBorder="1" applyAlignment="1">
      <alignment horizontal="left" vertical="center"/>
    </xf>
    <xf numFmtId="0" fontId="42" fillId="10" borderId="0" xfId="0" applyFont="1" applyFill="1" applyAlignment="1">
      <alignment horizontal="left" vertical="center"/>
    </xf>
    <xf numFmtId="0" fontId="42" fillId="5" borderId="1" xfId="0" applyFont="1" applyFill="1" applyBorder="1" applyAlignment="1">
      <alignment horizontal="left" vertical="center"/>
    </xf>
    <xf numFmtId="0" fontId="42" fillId="5" borderId="0" xfId="0" applyFont="1" applyFill="1" applyAlignment="1">
      <alignment horizontal="left" vertical="center"/>
    </xf>
    <xf numFmtId="0" fontId="42" fillId="9" borderId="1" xfId="0" applyFont="1" applyFill="1" applyBorder="1" applyAlignment="1">
      <alignment horizontal="left" vertical="center"/>
    </xf>
    <xf numFmtId="0" fontId="42" fillId="9" borderId="0" xfId="0" applyFont="1" applyFill="1" applyAlignment="1">
      <alignment horizontal="left" vertical="center"/>
    </xf>
    <xf numFmtId="0" fontId="4" fillId="3" borderId="1" xfId="0" applyFont="1" applyFill="1" applyBorder="1" applyAlignment="1">
      <alignment horizontal="left"/>
    </xf>
    <xf numFmtId="0" fontId="4" fillId="3" borderId="0" xfId="0" applyFont="1" applyFill="1" applyAlignment="1">
      <alignment horizontal="left"/>
    </xf>
    <xf numFmtId="0" fontId="2" fillId="4" borderId="0" xfId="0" applyFont="1" applyFill="1" applyAlignment="1">
      <alignment vertical="center" indent="1"/>
    </xf>
    <xf numFmtId="0" fontId="1" fillId="6" borderId="0" xfId="0" applyFont="1" applyFill="1" applyAlignment="1">
      <alignment vertical="top" wrapText="1"/>
    </xf>
    <xf numFmtId="0" fontId="0" fillId="0" borderId="0" xfId="0"/>
    <xf numFmtId="0" fontId="23" fillId="0" borderId="0" xfId="0" applyFont="1" applyAlignment="1">
      <alignment vertical="top" wrapText="1"/>
    </xf>
    <xf numFmtId="0" fontId="1" fillId="5" borderId="2" xfId="0" applyFont="1" applyFill="1" applyBorder="1" applyAlignment="1">
      <alignment horizontal="center" vertical="top" wrapText="1"/>
    </xf>
    <xf numFmtId="0" fontId="0" fillId="0" borderId="2" xfId="0" applyBorder="1" applyAlignment="1">
      <alignment vertical="top" wrapText="1"/>
    </xf>
    <xf numFmtId="0" fontId="2" fillId="21" borderId="0" xfId="0" applyFont="1" applyFill="1" applyAlignment="1">
      <alignment vertical="center" indent="1"/>
    </xf>
    <xf numFmtId="0" fontId="1" fillId="0" borderId="2" xfId="0" applyFont="1" applyBorder="1" applyAlignment="1">
      <alignment vertical="top" wrapText="1"/>
    </xf>
    <xf numFmtId="0" fontId="35" fillId="0" borderId="0" xfId="0" applyFont="1" applyAlignment="1">
      <alignment vertical="top" wrapText="1"/>
    </xf>
    <xf numFmtId="0" fontId="12" fillId="0" borderId="0" xfId="0" applyFont="1" applyAlignment="1">
      <alignment vertical="top" wrapText="1"/>
    </xf>
    <xf numFmtId="0" fontId="11" fillId="0" borderId="0" xfId="0" applyFont="1" applyAlignment="1">
      <alignment vertical="center" indent="1"/>
    </xf>
    <xf numFmtId="0" fontId="2" fillId="4" borderId="0" xfId="0" applyFont="1" applyFill="1" applyAlignment="1">
      <alignment vertical="center" wrapText="1" indent="1"/>
    </xf>
    <xf numFmtId="0" fontId="13" fillId="14" borderId="0" xfId="0" applyFont="1" applyFill="1" applyAlignment="1">
      <alignment vertical="center" indent="1"/>
    </xf>
    <xf numFmtId="0" fontId="24" fillId="0" borderId="0" xfId="0" applyFont="1"/>
    <xf numFmtId="181" fontId="58" fillId="6" borderId="2" xfId="0" applyNumberFormat="1" applyFont="1" applyFill="1" applyBorder="1" applyAlignment="1">
      <alignment horizontal="center"/>
    </xf>
    <xf numFmtId="0" fontId="75" fillId="0" borderId="0" xfId="0" applyFont="1"/>
    <xf numFmtId="0" fontId="13" fillId="24" borderId="0" xfId="0" applyFont="1" applyFill="1"/>
    <xf numFmtId="0" fontId="64" fillId="0" borderId="0" xfId="0" applyFont="1"/>
    <xf numFmtId="3" fontId="64" fillId="0" borderId="0" xfId="0" applyNumberFormat="1" applyFont="1"/>
    <xf numFmtId="164" fontId="64" fillId="0" borderId="0" xfId="0" applyNumberFormat="1" applyFont="1"/>
    <xf numFmtId="0" fontId="76" fillId="0" borderId="0" xfId="0" applyFont="1"/>
    <xf numFmtId="0" fontId="1" fillId="0" borderId="0" xfId="0" applyFont="1"/>
    <xf numFmtId="181" fontId="0" fillId="0" borderId="0" xfId="0" applyNumberFormat="1"/>
    <xf numFmtId="171" fontId="0" fillId="0" borderId="0" xfId="0" applyNumberFormat="1"/>
    <xf numFmtId="165" fontId="0" fillId="0" borderId="0" xfId="0" applyNumberFormat="1"/>
    <xf numFmtId="3" fontId="0" fillId="0" borderId="0" xfId="0" applyNumberFormat="1"/>
    <xf numFmtId="181" fontId="1" fillId="0" borderId="0" xfId="0" applyNumberFormat="1" applyFont="1"/>
    <xf numFmtId="171" fontId="1" fillId="0" borderId="0" xfId="0" applyNumberFormat="1" applyFont="1"/>
    <xf numFmtId="0" fontId="13" fillId="24" borderId="0" xfId="0" applyFont="1" applyFill="1"/>
    <xf numFmtId="0" fontId="74" fillId="0" borderId="0" xfId="0" applyFont="1"/>
    <xf numFmtId="0" fontId="1" fillId="26" borderId="0" xfId="0" applyFont="1" applyFill="1" applyAlignment="1">
      <alignment horizontal="center" wrapText="1"/>
    </xf>
    <xf numFmtId="0" fontId="64" fillId="0" borderId="0" xfId="0" applyFont="1" applyAlignment="1">
      <alignment horizontal="center"/>
    </xf>
    <xf numFmtId="181" fontId="64" fillId="0" borderId="0" xfId="0" applyNumberFormat="1" applyFont="1"/>
    <xf numFmtId="171" fontId="64" fillId="0" borderId="0" xfId="0" applyNumberFormat="1" applyFont="1"/>
    <xf numFmtId="165" fontId="64" fillId="0" borderId="0" xfId="0" applyNumberFormat="1" applyFont="1"/>
    <xf numFmtId="0" fontId="77" fillId="0" borderId="0" xfId="0" applyFont="1"/>
    <xf numFmtId="0" fontId="78" fillId="0" borderId="0" xfId="0" applyFont="1"/>
    <xf numFmtId="0" fontId="79" fillId="0" borderId="0" xfId="0" applyFont="1"/>
    <xf numFmtId="2" fontId="64" fillId="0" borderId="0" xfId="0" applyNumberFormat="1" applyFont="1" applyAlignment="1">
      <alignment horizontal="right"/>
    </xf>
    <xf numFmtId="3" fontId="64" fillId="0" borderId="0" xfId="0" applyNumberFormat="1" applyFont="1" applyAlignment="1">
      <alignment horizontal="right"/>
    </xf>
    <xf numFmtId="164" fontId="64" fillId="0" borderId="0" xfId="0" applyNumberFormat="1" applyFont="1" applyAlignment="1">
      <alignment horizontal="right"/>
    </xf>
    <xf numFmtId="164" fontId="76" fillId="0" borderId="0" xfId="0" applyNumberFormat="1" applyFont="1" applyAlignment="1">
      <alignment horizontal="right"/>
    </xf>
    <xf numFmtId="0" fontId="1" fillId="0" borderId="0" xfId="0" applyFont="1" applyAlignment="1">
      <alignment wrapText="1"/>
    </xf>
    <xf numFmtId="0" fontId="75" fillId="0" borderId="0" xfId="0" applyFont="1" applyAlignment="1"/>
    <xf numFmtId="0" fontId="12" fillId="0" borderId="0" xfId="0" applyFont="1"/>
    <xf numFmtId="173" fontId="1" fillId="0" borderId="0" xfId="0" applyNumberFormat="1" applyFont="1"/>
    <xf numFmtId="0" fontId="0" fillId="0" borderId="0" xfId="0" applyFill="1" applyBorder="1"/>
    <xf numFmtId="0" fontId="1" fillId="0" borderId="0" xfId="0" applyFont="1" applyFill="1" applyBorder="1"/>
    <xf numFmtId="173" fontId="0" fillId="0" borderId="0" xfId="0" applyNumberFormat="1"/>
    <xf numFmtId="0" fontId="80" fillId="0" borderId="0" xfId="0" applyFont="1" applyAlignment="1">
      <alignment horizontal="left"/>
    </xf>
    <xf numFmtId="182" fontId="0" fillId="0" borderId="0" xfId="0" applyNumberFormat="1"/>
    <xf numFmtId="182" fontId="1" fillId="0" borderId="0" xfId="0" applyNumberFormat="1" applyFont="1"/>
    <xf numFmtId="0" fontId="80" fillId="0" borderId="0" xfId="0" applyFont="1"/>
    <xf numFmtId="183" fontId="0" fillId="0" borderId="0" xfId="0" applyNumberFormat="1"/>
    <xf numFmtId="0" fontId="81" fillId="0" borderId="0" xfId="0" applyFont="1"/>
    <xf numFmtId="0" fontId="1" fillId="28" borderId="0" xfId="0" applyFont="1" applyFill="1"/>
    <xf numFmtId="0" fontId="79" fillId="28" borderId="0" xfId="0" applyFont="1" applyFill="1"/>
    <xf numFmtId="0" fontId="14" fillId="0" borderId="0" xfId="0" applyFont="1"/>
    <xf numFmtId="183" fontId="14" fillId="0" borderId="0" xfId="0" applyNumberFormat="1" applyFont="1"/>
    <xf numFmtId="0" fontId="82" fillId="0" borderId="0" xfId="0" applyFont="1"/>
    <xf numFmtId="0" fontId="82" fillId="28" borderId="0" xfId="0" applyFont="1" applyFill="1"/>
    <xf numFmtId="0" fontId="83" fillId="28" borderId="0" xfId="0" applyFont="1" applyFill="1"/>
    <xf numFmtId="0" fontId="79" fillId="0" borderId="0" xfId="0" applyFont="1" applyAlignment="1">
      <alignment horizontal="right"/>
    </xf>
    <xf numFmtId="0" fontId="13" fillId="24" borderId="0" xfId="0" applyFont="1" applyFill="1" applyAlignment="1">
      <alignment wrapText="1"/>
    </xf>
    <xf numFmtId="183" fontId="76" fillId="0" borderId="0" xfId="0" applyNumberFormat="1" applyFont="1"/>
    <xf numFmtId="0" fontId="13" fillId="14" borderId="0" xfId="0" applyFont="1" applyFill="1"/>
    <xf numFmtId="168" fontId="0" fillId="0" borderId="0" xfId="0" applyNumberFormat="1"/>
    <xf numFmtId="184" fontId="0" fillId="0" borderId="0" xfId="0" applyNumberFormat="1"/>
    <xf numFmtId="174" fontId="0" fillId="0" borderId="0" xfId="0" applyNumberFormat="1"/>
    <xf numFmtId="168" fontId="14" fillId="0" borderId="0" xfId="0" applyNumberFormat="1" applyFont="1"/>
    <xf numFmtId="183" fontId="64" fillId="0" borderId="0" xfId="0" applyNumberFormat="1" applyFont="1"/>
    <xf numFmtId="184" fontId="64" fillId="0" borderId="0" xfId="0" applyNumberFormat="1" applyFont="1"/>
    <xf numFmtId="0" fontId="1" fillId="29" borderId="0" xfId="0" applyFont="1" applyFill="1"/>
    <xf numFmtId="3" fontId="1" fillId="0" borderId="0" xfId="0" applyNumberFormat="1" applyFont="1"/>
    <xf numFmtId="185" fontId="0" fillId="0" borderId="0" xfId="0" applyNumberFormat="1"/>
    <xf numFmtId="0" fontId="13" fillId="28" borderId="0" xfId="0" applyFont="1" applyFill="1" applyAlignment="1">
      <alignment wrapText="1"/>
    </xf>
    <xf numFmtId="184" fontId="1" fillId="0" borderId="0" xfId="0" applyNumberFormat="1" applyFont="1"/>
    <xf numFmtId="171" fontId="84" fillId="0" borderId="0" xfId="0" applyNumberFormat="1" applyFont="1"/>
    <xf numFmtId="186" fontId="0" fillId="0" borderId="0" xfId="0" applyNumberFormat="1"/>
    <xf numFmtId="0" fontId="13" fillId="11" borderId="0" xfId="0" applyFont="1" applyFill="1" applyAlignment="1">
      <alignment wrapText="1"/>
    </xf>
    <xf numFmtId="0" fontId="13" fillId="14" borderId="0" xfId="0" applyFont="1" applyFill="1" applyAlignment="1">
      <alignment wrapText="1"/>
    </xf>
    <xf numFmtId="185" fontId="1" fillId="0" borderId="0" xfId="0" applyNumberFormat="1" applyFont="1"/>
    <xf numFmtId="184" fontId="14" fillId="0" borderId="0" xfId="0" applyNumberFormat="1" applyFont="1"/>
    <xf numFmtId="174" fontId="1" fillId="0" borderId="0" xfId="0" applyNumberFormat="1" applyFont="1"/>
    <xf numFmtId="0" fontId="85" fillId="24" borderId="0" xfId="0" applyFont="1" applyFill="1"/>
    <xf numFmtId="0" fontId="19" fillId="10" borderId="0" xfId="0" applyFont="1" applyFill="1"/>
    <xf numFmtId="0" fontId="4" fillId="10" borderId="0" xfId="0" applyFont="1" applyFill="1"/>
    <xf numFmtId="0" fontId="4" fillId="28" borderId="0" xfId="0" applyFont="1" applyFill="1"/>
    <xf numFmtId="184" fontId="3" fillId="10" borderId="0" xfId="0" applyNumberFormat="1" applyFont="1" applyFill="1"/>
    <xf numFmtId="174" fontId="3" fillId="10" borderId="0" xfId="0" applyNumberFormat="1" applyFont="1" applyFill="1"/>
    <xf numFmtId="171" fontId="3" fillId="10" borderId="0" xfId="0" applyNumberFormat="1" applyFont="1" applyFill="1"/>
    <xf numFmtId="184" fontId="4" fillId="10" borderId="0" xfId="0" applyNumberFormat="1" applyFont="1" applyFill="1"/>
    <xf numFmtId="174" fontId="4" fillId="10" borderId="0" xfId="0" applyNumberFormat="1" applyFont="1" applyFill="1"/>
    <xf numFmtId="171" fontId="4" fillId="10" borderId="0" xfId="0" applyNumberFormat="1" applyFont="1" applyFill="1"/>
    <xf numFmtId="3" fontId="4" fillId="10" borderId="0" xfId="0" applyNumberFormat="1" applyFont="1" applyFill="1"/>
    <xf numFmtId="3" fontId="3" fillId="10" borderId="0" xfId="0" applyNumberFormat="1" applyFont="1" applyFill="1"/>
    <xf numFmtId="0" fontId="4" fillId="29" borderId="0" xfId="0" applyFont="1" applyFill="1"/>
    <xf numFmtId="0" fontId="86" fillId="0" borderId="0" xfId="0" applyFont="1" applyAlignment="1">
      <alignment vertical="center"/>
    </xf>
    <xf numFmtId="0" fontId="0" fillId="0" borderId="0" xfId="0" applyAlignment="1">
      <alignment vertical="center"/>
    </xf>
    <xf numFmtId="0" fontId="79" fillId="0" borderId="0" xfId="0" applyFont="1" applyAlignment="1">
      <alignment vertical="center"/>
    </xf>
    <xf numFmtId="0" fontId="87" fillId="24" borderId="0" xfId="0" applyFont="1" applyFill="1" applyAlignment="1">
      <alignment vertical="center"/>
    </xf>
    <xf numFmtId="0" fontId="88" fillId="24" borderId="0" xfId="0" applyFont="1" applyFill="1" applyAlignment="1">
      <alignment vertical="center"/>
    </xf>
    <xf numFmtId="0" fontId="73" fillId="3" borderId="0" xfId="2" applyFont="1" applyFill="1" applyAlignment="1">
      <alignment vertical="center"/>
    </xf>
    <xf numFmtId="0" fontId="0" fillId="0" borderId="0" xfId="0" applyFont="1" applyAlignment="1">
      <alignment vertical="center"/>
    </xf>
    <xf numFmtId="0" fontId="13" fillId="24" borderId="0" xfId="0" applyFont="1" applyFill="1" applyAlignment="1">
      <alignment vertical="center"/>
    </xf>
    <xf numFmtId="0" fontId="73" fillId="9" borderId="0" xfId="2" applyFont="1" applyFill="1" applyAlignment="1">
      <alignment vertical="center"/>
    </xf>
    <xf numFmtId="0" fontId="13" fillId="30" borderId="0" xfId="0" applyFont="1" applyFill="1" applyAlignment="1">
      <alignment horizontal="center"/>
    </xf>
    <xf numFmtId="0" fontId="13" fillId="31" borderId="0" xfId="0" applyFont="1" applyFill="1" applyAlignment="1">
      <alignment horizontal="center"/>
    </xf>
    <xf numFmtId="0" fontId="13" fillId="32" borderId="0" xfId="0" applyFont="1" applyFill="1" applyAlignment="1">
      <alignment horizontal="center"/>
    </xf>
    <xf numFmtId="0" fontId="13" fillId="25" borderId="0" xfId="0" applyFont="1" applyFill="1" applyAlignment="1">
      <alignment horizontal="center"/>
    </xf>
    <xf numFmtId="0" fontId="89" fillId="0" borderId="0" xfId="0" applyFont="1" applyAlignment="1">
      <alignment vertical="center"/>
    </xf>
    <xf numFmtId="0" fontId="13" fillId="17" borderId="0" xfId="0" applyFont="1" applyFill="1" applyAlignment="1">
      <alignment horizontal="center" vertical="center"/>
    </xf>
  </cellXfs>
  <cellStyles count="3">
    <cellStyle name="Hyperlink" xfId="2" builtinId="8"/>
    <cellStyle name="Normal" xfId="0" builtinId="0"/>
    <cellStyle name="Normal 2" xfId="1" xr:uid="{FBBA8C4C-DF60-439A-9FD3-C2813849378A}"/>
  </cellStyles>
  <dxfs count="131">
    <dxf>
      <font>
        <color rgb="FF808080"/>
      </font>
      <fill>
        <patternFill patternType="solid">
          <fgColor indexed="64"/>
          <bgColor rgb="FFF2F2F2"/>
        </patternFill>
      </fill>
    </dxf>
    <dxf>
      <font>
        <color rgb="FF375623"/>
      </font>
      <fill>
        <patternFill patternType="solid">
          <fgColor indexed="64"/>
          <bgColor rgb="FFE2EFDA"/>
        </patternFill>
      </fill>
    </dxf>
    <dxf>
      <font>
        <color rgb="FF9C0006"/>
      </font>
      <fill>
        <patternFill patternType="solid">
          <fgColor indexed="64"/>
          <bgColor rgb="FFFFC7CE"/>
        </patternFill>
      </fill>
    </dxf>
    <dxf>
      <font>
        <color rgb="FFBFBFBF"/>
      </font>
      <fill>
        <patternFill patternType="solid">
          <fgColor indexed="64"/>
          <bgColor rgb="FFFFFFFF"/>
        </patternFill>
      </fill>
    </dxf>
    <dxf>
      <font>
        <color rgb="FF833C0C"/>
      </font>
      <fill>
        <patternFill patternType="solid">
          <fgColor indexed="64"/>
          <bgColor rgb="FFFCE4D6"/>
        </patternFill>
      </fill>
    </dxf>
    <dxf>
      <font>
        <color rgb="FF808080"/>
      </font>
      <fill>
        <patternFill patternType="solid">
          <fgColor indexed="64"/>
          <bgColor rgb="FFF2F2F2"/>
        </patternFill>
      </fill>
    </dxf>
    <dxf>
      <font>
        <color rgb="FF595959"/>
      </font>
      <fill>
        <patternFill patternType="solid">
          <fgColor indexed="64"/>
          <bgColor rgb="FFD9D9D9"/>
        </patternFill>
      </fill>
    </dxf>
    <dxf>
      <font>
        <color rgb="FF9C0006"/>
      </font>
      <fill>
        <patternFill patternType="solid">
          <fgColor indexed="64"/>
          <bgColor rgb="FFFFC7CE"/>
        </patternFill>
      </fill>
    </dxf>
    <dxf>
      <font>
        <color rgb="FF375623"/>
      </font>
      <fill>
        <patternFill patternType="solid">
          <fgColor indexed="64"/>
          <bgColor rgb="FFE2EFDA"/>
        </patternFill>
      </fill>
    </dxf>
    <dxf>
      <font>
        <color rgb="FF7F6000"/>
      </font>
      <fill>
        <patternFill patternType="solid">
          <fgColor indexed="64"/>
          <bgColor rgb="FFFFF2CC"/>
        </patternFill>
      </fill>
    </dxf>
    <dxf>
      <font>
        <color rgb="FFBFBFBF"/>
      </font>
      <fill>
        <patternFill patternType="solid">
          <fgColor indexed="64"/>
          <bgColor rgb="FFFFFFFF"/>
        </patternFill>
      </fill>
    </dxf>
    <dxf>
      <font>
        <color rgb="FF833C0C"/>
      </font>
      <fill>
        <patternFill patternType="solid">
          <fgColor indexed="64"/>
          <bgColor rgb="FFFCE4D6"/>
        </patternFill>
      </fill>
    </dxf>
    <dxf>
      <font>
        <color rgb="FF808080"/>
      </font>
      <fill>
        <patternFill patternType="solid">
          <fgColor indexed="64"/>
          <bgColor rgb="FFF2F2F2"/>
        </patternFill>
      </fill>
    </dxf>
    <dxf>
      <font>
        <color rgb="FF595959"/>
      </font>
      <fill>
        <patternFill patternType="solid">
          <fgColor indexed="64"/>
          <bgColor rgb="FFD9D9D9"/>
        </patternFill>
      </fill>
    </dxf>
    <dxf>
      <font>
        <color rgb="FF9C0006"/>
      </font>
      <fill>
        <patternFill patternType="solid">
          <fgColor indexed="64"/>
          <bgColor rgb="FFFFC7CE"/>
        </patternFill>
      </fill>
    </dxf>
    <dxf>
      <font>
        <color rgb="FF375623"/>
      </font>
      <fill>
        <patternFill patternType="solid">
          <fgColor indexed="64"/>
          <bgColor rgb="FFE2EFDA"/>
        </patternFill>
      </fill>
    </dxf>
    <dxf>
      <font>
        <color rgb="FF7F6000"/>
      </font>
      <fill>
        <patternFill patternType="solid">
          <fgColor indexed="64"/>
          <bgColor rgb="FFFFF2CC"/>
        </patternFill>
      </fill>
    </dxf>
    <dxf>
      <font>
        <color rgb="FFBFBFBF"/>
      </font>
      <fill>
        <patternFill patternType="solid">
          <fgColor indexed="64"/>
          <bgColor rgb="FFFFFFFF"/>
        </patternFill>
      </fill>
    </dxf>
    <dxf>
      <font>
        <color rgb="FF833C0C"/>
      </font>
      <fill>
        <patternFill patternType="solid">
          <fgColor indexed="64"/>
          <bgColor rgb="FFFCE4D6"/>
        </patternFill>
      </fill>
    </dxf>
    <dxf>
      <font>
        <color rgb="FF808080"/>
      </font>
      <fill>
        <patternFill patternType="solid">
          <fgColor indexed="64"/>
          <bgColor rgb="FFF2F2F2"/>
        </patternFill>
      </fill>
    </dxf>
    <dxf>
      <font>
        <color rgb="FF595959"/>
      </font>
      <fill>
        <patternFill patternType="solid">
          <fgColor indexed="64"/>
          <bgColor rgb="FFD9D9D9"/>
        </patternFill>
      </fill>
    </dxf>
    <dxf>
      <font>
        <color rgb="FF9C0006"/>
      </font>
      <fill>
        <patternFill patternType="solid">
          <fgColor indexed="64"/>
          <bgColor rgb="FFFFC7CE"/>
        </patternFill>
      </fill>
    </dxf>
    <dxf>
      <font>
        <color rgb="FF375623"/>
      </font>
      <fill>
        <patternFill patternType="solid">
          <fgColor indexed="64"/>
          <bgColor rgb="FFE2EFDA"/>
        </patternFill>
      </fill>
    </dxf>
    <dxf>
      <font>
        <color rgb="FF7F6000"/>
      </font>
      <fill>
        <patternFill patternType="solid">
          <fgColor indexed="64"/>
          <bgColor rgb="FFFFF2CC"/>
        </patternFill>
      </fill>
    </dxf>
    <dxf>
      <font>
        <color rgb="FFBFBFBF"/>
      </font>
      <fill>
        <patternFill patternType="solid">
          <fgColor indexed="64"/>
          <bgColor rgb="FFFFFFFF"/>
        </patternFill>
      </fill>
    </dxf>
    <dxf>
      <font>
        <color rgb="FF7F6000"/>
      </font>
      <fill>
        <patternFill patternType="solid">
          <fgColor indexed="64"/>
          <bgColor rgb="FFFFF2CC"/>
        </patternFill>
      </fill>
    </dxf>
    <dxf>
      <font>
        <color rgb="FF808080"/>
      </font>
      <fill>
        <patternFill patternType="solid">
          <fgColor indexed="64"/>
          <bgColor rgb="FFF2F2F2"/>
        </patternFill>
      </fill>
    </dxf>
    <dxf>
      <font>
        <color rgb="FF595959"/>
      </font>
      <fill>
        <patternFill patternType="solid">
          <fgColor indexed="64"/>
          <bgColor rgb="FFD9D9D9"/>
        </patternFill>
      </fill>
    </dxf>
    <dxf>
      <font>
        <color rgb="FF375623"/>
      </font>
      <fill>
        <patternFill patternType="solid">
          <fgColor indexed="64"/>
          <bgColor rgb="FFE2EFDA"/>
        </patternFill>
      </fill>
    </dxf>
    <dxf>
      <font>
        <color rgb="FFFFFFFF"/>
      </font>
      <fill>
        <patternFill patternType="solid">
          <fgColor indexed="64"/>
          <bgColor rgb="FFFF0000"/>
        </patternFill>
      </fill>
    </dxf>
    <dxf>
      <font>
        <color rgb="FF843C0C"/>
      </font>
      <fill>
        <patternFill patternType="solid">
          <fgColor indexed="64"/>
          <bgColor rgb="FFF8CBAD"/>
        </patternFill>
      </fill>
    </dxf>
    <dxf>
      <font>
        <color rgb="FFBFBFBF"/>
      </font>
      <fill>
        <patternFill patternType="solid">
          <fgColor indexed="64"/>
          <bgColor rgb="FFFFFFFF"/>
        </patternFill>
      </fill>
    </dxf>
    <dxf>
      <font>
        <color rgb="FF7F6000"/>
      </font>
      <fill>
        <patternFill patternType="solid">
          <fgColor indexed="64"/>
          <bgColor rgb="FFFFF2CC"/>
        </patternFill>
      </fill>
    </dxf>
    <dxf>
      <font>
        <color rgb="FF808080"/>
      </font>
      <fill>
        <patternFill patternType="solid">
          <fgColor indexed="64"/>
          <bgColor rgb="FFF2F2F2"/>
        </patternFill>
      </fill>
    </dxf>
    <dxf>
      <font>
        <color rgb="FF595959"/>
      </font>
      <fill>
        <patternFill patternType="solid">
          <fgColor indexed="64"/>
          <bgColor rgb="FFD9D9D9"/>
        </patternFill>
      </fill>
    </dxf>
    <dxf>
      <font>
        <color rgb="FF375623"/>
      </font>
      <fill>
        <patternFill patternType="solid">
          <fgColor indexed="64"/>
          <bgColor rgb="FFE2EFDA"/>
        </patternFill>
      </fill>
    </dxf>
    <dxf>
      <font>
        <color rgb="FFFFFFFF"/>
      </font>
      <fill>
        <patternFill patternType="solid">
          <fgColor indexed="64"/>
          <bgColor rgb="FFFF0000"/>
        </patternFill>
      </fill>
    </dxf>
    <dxf>
      <font>
        <color rgb="FF843C0C"/>
      </font>
      <fill>
        <patternFill patternType="solid">
          <fgColor indexed="64"/>
          <bgColor rgb="FFF8CBAD"/>
        </patternFill>
      </fill>
    </dxf>
    <dxf>
      <font>
        <b/>
        <i val="0"/>
        <color rgb="FF843C0C"/>
      </font>
      <fill>
        <patternFill patternType="solid">
          <fgColor indexed="64"/>
          <bgColor rgb="FFF8CBAD"/>
        </patternFill>
      </fill>
    </dxf>
    <dxf>
      <font>
        <color rgb="FF808080"/>
      </font>
      <fill>
        <patternFill patternType="solid">
          <fgColor indexed="64"/>
          <bgColor rgb="FFF2F2F2"/>
        </patternFill>
      </fill>
    </dxf>
    <dxf>
      <font>
        <color rgb="FF375623"/>
      </font>
      <fill>
        <patternFill patternType="solid">
          <fgColor indexed="64"/>
          <bgColor rgb="FFE2EFDA"/>
        </patternFill>
      </fill>
    </dxf>
    <dxf>
      <font>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color rgb="FFBFBFBF"/>
      </font>
      <fill>
        <patternFill patternType="solid">
          <fgColor indexed="64"/>
          <bgColor rgb="FFFFFFFF"/>
        </patternFill>
      </fill>
    </dxf>
    <dxf>
      <font>
        <color rgb="FF7F6000"/>
      </font>
      <fill>
        <patternFill patternType="solid">
          <fgColor indexed="64"/>
          <bgColor rgb="FFFFF2CC"/>
        </patternFill>
      </fill>
    </dxf>
    <dxf>
      <font>
        <color rgb="FF808080"/>
      </font>
      <fill>
        <patternFill patternType="solid">
          <fgColor indexed="64"/>
          <bgColor rgb="FFF2F2F2"/>
        </patternFill>
      </fill>
    </dxf>
    <dxf>
      <font>
        <color rgb="FF595959"/>
      </font>
      <fill>
        <patternFill patternType="solid">
          <fgColor indexed="64"/>
          <bgColor rgb="FFD9D9D9"/>
        </patternFill>
      </fill>
    </dxf>
    <dxf>
      <font>
        <color rgb="FF375623"/>
      </font>
      <fill>
        <patternFill patternType="solid">
          <fgColor indexed="64"/>
          <bgColor rgb="FFE2EFDA"/>
        </patternFill>
      </fill>
    </dxf>
    <dxf>
      <font>
        <color rgb="FFFFFFFF"/>
      </font>
      <fill>
        <patternFill patternType="solid">
          <fgColor indexed="64"/>
          <bgColor rgb="FFFF0000"/>
        </patternFill>
      </fill>
    </dxf>
    <dxf>
      <font>
        <color rgb="FF843C0C"/>
      </font>
      <fill>
        <patternFill patternType="solid">
          <fgColor indexed="64"/>
          <bgColor rgb="FFF8CBAD"/>
        </patternFill>
      </fill>
    </dxf>
    <dxf>
      <font>
        <color rgb="FFBFBFBF"/>
      </font>
      <fill>
        <patternFill patternType="solid">
          <fgColor indexed="64"/>
          <bgColor rgb="FFFFFFFF"/>
        </patternFill>
      </fill>
    </dxf>
    <dxf>
      <font>
        <color rgb="FF7F6000"/>
      </font>
      <fill>
        <patternFill patternType="solid">
          <fgColor indexed="64"/>
          <bgColor rgb="FFFFF2CC"/>
        </patternFill>
      </fill>
    </dxf>
    <dxf>
      <font>
        <color rgb="FF808080"/>
      </font>
      <fill>
        <patternFill patternType="solid">
          <fgColor indexed="64"/>
          <bgColor rgb="FFF2F2F2"/>
        </patternFill>
      </fill>
    </dxf>
    <dxf>
      <font>
        <color rgb="FF595959"/>
      </font>
      <fill>
        <patternFill patternType="solid">
          <fgColor indexed="64"/>
          <bgColor rgb="FFD9D9D9"/>
        </patternFill>
      </fill>
    </dxf>
    <dxf>
      <font>
        <color rgb="FF375623"/>
      </font>
      <fill>
        <patternFill patternType="solid">
          <fgColor indexed="64"/>
          <bgColor rgb="FFE2EFDA"/>
        </patternFill>
      </fill>
    </dxf>
    <dxf>
      <font>
        <color rgb="FFFFFFFF"/>
      </font>
      <fill>
        <patternFill patternType="solid">
          <fgColor indexed="64"/>
          <bgColor rgb="FFFF0000"/>
        </patternFill>
      </fill>
    </dxf>
    <dxf>
      <font>
        <color rgb="FF843C0C"/>
      </font>
      <fill>
        <patternFill patternType="solid">
          <fgColor indexed="64"/>
          <bgColor rgb="FFF8CBAD"/>
        </patternFill>
      </fill>
    </dxf>
    <dxf>
      <font>
        <color rgb="FFBFBFBF"/>
      </font>
      <fill>
        <patternFill patternType="solid">
          <fgColor indexed="64"/>
          <bgColor rgb="FFFFFFFF"/>
        </patternFill>
      </fill>
    </dxf>
    <dxf>
      <font>
        <color rgb="FF7F6000"/>
      </font>
      <fill>
        <patternFill patternType="solid">
          <fgColor indexed="64"/>
          <bgColor rgb="FFFFF2CC"/>
        </patternFill>
      </fill>
    </dxf>
    <dxf>
      <font>
        <color rgb="FF808080"/>
      </font>
      <fill>
        <patternFill patternType="solid">
          <fgColor indexed="64"/>
          <bgColor rgb="FFF2F2F2"/>
        </patternFill>
      </fill>
    </dxf>
    <dxf>
      <font>
        <color rgb="FF595959"/>
      </font>
      <fill>
        <patternFill patternType="solid">
          <fgColor indexed="64"/>
          <bgColor rgb="FFD9D9D9"/>
        </patternFill>
      </fill>
    </dxf>
    <dxf>
      <font>
        <color rgb="FF375623"/>
      </font>
      <fill>
        <patternFill patternType="solid">
          <fgColor indexed="64"/>
          <bgColor rgb="FFE2EFDA"/>
        </patternFill>
      </fill>
    </dxf>
    <dxf>
      <font>
        <color rgb="FFFFFFFF"/>
      </font>
      <fill>
        <patternFill patternType="solid">
          <fgColor indexed="64"/>
          <bgColor rgb="FFFF0000"/>
        </patternFill>
      </fill>
    </dxf>
    <dxf>
      <font>
        <color rgb="FF843C0C"/>
      </font>
      <fill>
        <patternFill patternType="solid">
          <fgColor indexed="64"/>
          <bgColor rgb="FFF8CBAD"/>
        </patternFill>
      </fill>
    </dxf>
    <dxf>
      <font>
        <b/>
        <i val="0"/>
        <color rgb="FFC00000"/>
      </font>
    </dxf>
    <dxf>
      <font>
        <color rgb="FF000000"/>
      </font>
      <fill>
        <patternFill patternType="solid">
          <fgColor indexed="64"/>
          <bgColor rgb="FFFFFF00"/>
        </patternFill>
      </fill>
    </dxf>
    <dxf>
      <font>
        <color rgb="FF375623"/>
      </font>
      <fill>
        <patternFill patternType="solid">
          <fgColor indexed="64"/>
          <bgColor rgb="FFE2EFDA"/>
        </patternFill>
      </fill>
    </dxf>
    <dxf>
      <font>
        <color rgb="FF843C0C"/>
      </font>
      <fill>
        <patternFill patternType="solid">
          <fgColor indexed="64"/>
          <bgColor rgb="FFF8CBAD"/>
        </patternFill>
      </fill>
    </dxf>
    <dxf>
      <font>
        <color rgb="FF808080"/>
      </font>
      <fill>
        <patternFill patternType="solid">
          <fgColor indexed="64"/>
          <bgColor rgb="FFF2F2F2"/>
        </patternFill>
      </fill>
    </dxf>
    <dxf>
      <font>
        <color rgb="FFBFBFBF"/>
      </font>
      <fill>
        <patternFill patternType="solid">
          <fgColor indexed="64"/>
          <bgColor rgb="FFFFFFFF"/>
        </patternFill>
      </fill>
    </dxf>
    <dxf>
      <font>
        <color rgb="FF7F6000"/>
      </font>
      <fill>
        <patternFill patternType="solid">
          <fgColor indexed="64"/>
          <bgColor rgb="FFFFF2CC"/>
        </patternFill>
      </fill>
    </dxf>
    <dxf>
      <font>
        <color rgb="FF808080"/>
      </font>
      <fill>
        <patternFill patternType="solid">
          <fgColor indexed="64"/>
          <bgColor rgb="FFF2F2F2"/>
        </patternFill>
      </fill>
    </dxf>
    <dxf>
      <font>
        <color rgb="FF595959"/>
      </font>
      <fill>
        <patternFill patternType="solid">
          <fgColor indexed="64"/>
          <bgColor rgb="FFD9D9D9"/>
        </patternFill>
      </fill>
    </dxf>
    <dxf>
      <font>
        <color rgb="FF375623"/>
      </font>
      <fill>
        <patternFill patternType="solid">
          <fgColor indexed="64"/>
          <bgColor rgb="FFE2EFDA"/>
        </patternFill>
      </fill>
    </dxf>
    <dxf>
      <font>
        <color rgb="FF843C0C"/>
      </font>
      <fill>
        <patternFill patternType="solid">
          <fgColor indexed="64"/>
          <bgColor rgb="FFF8CBAD"/>
        </patternFill>
      </fill>
    </dxf>
    <dxf>
      <font>
        <color rgb="FFBFBFBF"/>
      </font>
      <fill>
        <patternFill patternType="solid">
          <fgColor indexed="64"/>
          <bgColor rgb="FFFFFFFF"/>
        </patternFill>
      </fill>
    </dxf>
    <dxf>
      <font>
        <color rgb="FF7F6000"/>
      </font>
      <fill>
        <patternFill patternType="solid">
          <fgColor indexed="64"/>
          <bgColor rgb="FFFFF2CC"/>
        </patternFill>
      </fill>
    </dxf>
    <dxf>
      <font>
        <color rgb="FF808080"/>
      </font>
      <fill>
        <patternFill patternType="solid">
          <fgColor indexed="64"/>
          <bgColor rgb="FFF2F2F2"/>
        </patternFill>
      </fill>
    </dxf>
    <dxf>
      <font>
        <color rgb="FF595959"/>
      </font>
      <fill>
        <patternFill patternType="solid">
          <fgColor indexed="64"/>
          <bgColor rgb="FFD9D9D9"/>
        </patternFill>
      </fill>
    </dxf>
    <dxf>
      <font>
        <color rgb="FF375623"/>
      </font>
      <fill>
        <patternFill patternType="solid">
          <fgColor indexed="64"/>
          <bgColor rgb="FFE2EFDA"/>
        </patternFill>
      </fill>
    </dxf>
    <dxf>
      <font>
        <color rgb="FF843C0C"/>
      </font>
      <fill>
        <patternFill patternType="solid">
          <fgColor indexed="64"/>
          <bgColor rgb="FFF8CBAD"/>
        </patternFill>
      </fill>
    </dxf>
    <dxf>
      <font>
        <color rgb="FFBFBFBF"/>
      </font>
      <fill>
        <patternFill patternType="solid">
          <fgColor indexed="64"/>
          <bgColor rgb="FFFFFFFF"/>
        </patternFill>
      </fill>
    </dxf>
    <dxf>
      <font>
        <color rgb="FF7F6000"/>
      </font>
      <fill>
        <patternFill patternType="solid">
          <fgColor indexed="64"/>
          <bgColor rgb="FFFFF2CC"/>
        </patternFill>
      </fill>
    </dxf>
    <dxf>
      <font>
        <color rgb="FF808080"/>
      </font>
      <fill>
        <patternFill patternType="solid">
          <fgColor indexed="64"/>
          <bgColor rgb="FFF2F2F2"/>
        </patternFill>
      </fill>
    </dxf>
    <dxf>
      <font>
        <color rgb="FF595959"/>
      </font>
      <fill>
        <patternFill patternType="solid">
          <fgColor indexed="64"/>
          <bgColor rgb="FFD9D9D9"/>
        </patternFill>
      </fill>
    </dxf>
    <dxf>
      <font>
        <color rgb="FF375623"/>
      </font>
      <fill>
        <patternFill patternType="solid">
          <fgColor indexed="64"/>
          <bgColor rgb="FFE2EFDA"/>
        </patternFill>
      </fill>
    </dxf>
    <dxf>
      <font>
        <color rgb="FF843C0C"/>
      </font>
      <fill>
        <patternFill patternType="solid">
          <fgColor indexed="64"/>
          <bgColor rgb="FFF8CBAD"/>
        </patternFill>
      </fill>
    </dxf>
    <dxf>
      <font>
        <b val="0"/>
        <i val="0"/>
      </font>
      <border>
        <top style="thin">
          <color rgb="FFC00000"/>
        </top>
      </border>
    </dxf>
    <dxf>
      <fill>
        <patternFill patternType="solid">
          <fgColor indexed="64"/>
          <bgColor rgb="FFE2EFDA"/>
        </patternFill>
      </fill>
    </dxf>
    <dxf>
      <font>
        <color rgb="FF808080"/>
      </font>
      <fill>
        <patternFill patternType="solid">
          <fgColor indexed="64"/>
          <bgColor rgb="FFF2F2F2"/>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b/>
        <i val="0"/>
        <color rgb="FF808080"/>
      </font>
    </dxf>
    <dxf>
      <font>
        <b/>
        <i val="0"/>
        <color rgb="FF7030A0"/>
      </font>
    </dxf>
    <dxf>
      <font>
        <b/>
        <i val="0"/>
        <color rgb="FF1F4E79"/>
      </font>
    </dxf>
    <dxf>
      <font>
        <b/>
        <i val="0"/>
        <color rgb="FF9C0006"/>
      </font>
    </dxf>
    <dxf>
      <font>
        <b/>
        <i val="0"/>
        <color rgb="FF7F6000"/>
      </font>
    </dxf>
    <dxf>
      <font>
        <b/>
        <i val="0"/>
        <color rgb="FF006100"/>
      </font>
    </dxf>
    <dxf>
      <font>
        <b/>
        <i val="0"/>
        <color rgb="FF808080"/>
      </font>
    </dxf>
    <dxf>
      <font>
        <b/>
        <i val="0"/>
        <color rgb="FF7030A0"/>
      </font>
    </dxf>
    <dxf>
      <font>
        <b/>
        <i val="0"/>
        <color rgb="FF1F4E79"/>
      </font>
    </dxf>
    <dxf>
      <font>
        <b/>
        <i val="0"/>
        <color rgb="FF9C0006"/>
      </font>
    </dxf>
    <dxf>
      <font>
        <b/>
        <i val="0"/>
        <color rgb="FF7F6000"/>
      </font>
    </dxf>
    <dxf>
      <font>
        <b/>
        <i val="0"/>
        <color rgb="FF006100"/>
      </font>
    </dxf>
    <dxf>
      <font>
        <color rgb="FFC00000"/>
      </font>
    </dxf>
    <dxf>
      <font>
        <color rgb="FFC00000"/>
      </font>
    </dxf>
    <dxf>
      <font>
        <color rgb="FF808080"/>
      </font>
      <fill>
        <patternFill patternType="solid">
          <fgColor indexed="64"/>
          <bgColor rgb="FFF2F2F2"/>
        </patternFill>
      </fill>
    </dxf>
    <dxf>
      <font>
        <color rgb="FF7030A0"/>
      </font>
      <fill>
        <patternFill patternType="solid">
          <fgColor indexed="64"/>
          <bgColor rgb="FFE4DFEC"/>
        </patternFill>
      </fill>
    </dxf>
    <dxf>
      <font>
        <color rgb="FF1F4E79"/>
      </font>
      <fill>
        <patternFill patternType="solid">
          <fgColor indexed="64"/>
          <bgColor rgb="FFDDEBF7"/>
        </patternFill>
      </fill>
    </dxf>
    <dxf>
      <font>
        <color rgb="FF9C0006"/>
      </font>
      <fill>
        <patternFill patternType="solid">
          <fgColor indexed="64"/>
          <bgColor rgb="FFFFC7CE"/>
        </patternFill>
      </fill>
    </dxf>
    <dxf>
      <font>
        <color rgb="FF7F6000"/>
      </font>
      <fill>
        <patternFill patternType="solid">
          <fgColor indexed="64"/>
          <bgColor rgb="FFFFF2CC"/>
        </patternFill>
      </fill>
    </dxf>
    <dxf>
      <font>
        <color rgb="FF006100"/>
      </font>
      <fill>
        <patternFill patternType="solid">
          <fgColor indexed="64"/>
          <bgColor rgb="FFC6EFCE"/>
        </patternFill>
      </fill>
    </dxf>
    <dxf>
      <font>
        <b/>
        <i val="0"/>
        <color rgb="FF808080"/>
      </font>
    </dxf>
    <dxf>
      <font>
        <b/>
        <i val="0"/>
        <color rgb="FF7030A0"/>
      </font>
    </dxf>
    <dxf>
      <font>
        <b/>
        <i val="0"/>
        <color rgb="FF1F4E79"/>
      </font>
    </dxf>
    <dxf>
      <font>
        <b/>
        <i val="0"/>
        <color rgb="FF9C0006"/>
      </font>
    </dxf>
    <dxf>
      <font>
        <b/>
        <i val="0"/>
        <color rgb="FF7F6000"/>
      </font>
    </dxf>
    <dxf>
      <font>
        <b/>
        <i val="0"/>
        <color rgb="FF006100"/>
      </font>
    </dxf>
    <dxf>
      <font>
        <color rgb="FF006100"/>
      </font>
    </dxf>
    <dxf>
      <font>
        <color rgb="FF9C0006"/>
      </font>
      <fill>
        <patternFill patternType="solid">
          <fgColor indexed="64"/>
          <bgColor rgb="FFFFC7CE"/>
        </patternFill>
      </fill>
    </dxf>
    <dxf>
      <font>
        <color rgb="FFC00000"/>
      </font>
    </dxf>
    <dxf>
      <font>
        <b/>
        <i val="0"/>
        <color rgb="FF9C0006"/>
      </font>
      <fill>
        <patternFill patternType="solid">
          <fgColor indexed="64"/>
          <bgColor rgb="FFFFC7CE"/>
        </patternFill>
      </fill>
    </dxf>
    <dxf>
      <font>
        <color rgb="FF808080"/>
      </font>
      <fill>
        <patternFill patternType="solid">
          <fgColor indexed="64"/>
          <bgColor rgb="FFF2F2F2"/>
        </patternFill>
      </fill>
    </dxf>
    <dxf>
      <font>
        <color rgb="FF7030A0"/>
      </font>
      <fill>
        <patternFill patternType="solid">
          <fgColor indexed="64"/>
          <bgColor rgb="FFE4DFEC"/>
        </patternFill>
      </fill>
    </dxf>
    <dxf>
      <font>
        <color rgb="FF1F4E79"/>
      </font>
      <fill>
        <patternFill patternType="solid">
          <fgColor indexed="64"/>
          <bgColor rgb="FFDDEBF7"/>
        </patternFill>
      </fill>
    </dxf>
    <dxf>
      <font>
        <color rgb="FF9C0006"/>
      </font>
      <fill>
        <patternFill patternType="solid">
          <fgColor indexed="64"/>
          <bgColor rgb="FFFFC7CE"/>
        </patternFill>
      </fill>
    </dxf>
    <dxf>
      <font>
        <color rgb="FF7F6000"/>
      </font>
      <fill>
        <patternFill patternType="solid">
          <fgColor indexed="64"/>
          <bgColor rgb="FFFFF2CC"/>
        </patternFill>
      </fill>
    </dxf>
    <dxf>
      <font>
        <color rgb="FF006100"/>
      </font>
      <fill>
        <patternFill patternType="solid">
          <fgColor indexed="64"/>
          <bgColor rgb="FFC6EFCE"/>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a:t>Planned vs Actual vs Earned MM by Quarter (full timeline — not filtered)</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Dashboard!$B$140</c:f>
              <c:strCache>
                <c:ptCount val="1"/>
                <c:pt idx="0">
                  <c:v>Planned MM</c:v>
                </c:pt>
              </c:strCache>
            </c:strRef>
          </c:tx>
          <c:spPr>
            <a:ln w="28575" cap="rnd">
              <a:solidFill>
                <a:schemeClr val="accent1"/>
              </a:solidFill>
              <a:round/>
            </a:ln>
            <a:effectLst/>
          </c:spPr>
          <c:marker>
            <c:symbol val="none"/>
          </c:marker>
          <c:cat>
            <c:strRef>
              <c:f>Dashboard!$A$141:$A$160</c:f>
              <c:strCache>
                <c:ptCount val="20"/>
                <c:pt idx="0">
                  <c:v>Q1-24</c:v>
                </c:pt>
                <c:pt idx="1">
                  <c:v>Q2-24</c:v>
                </c:pt>
                <c:pt idx="2">
                  <c:v>Q3-24</c:v>
                </c:pt>
                <c:pt idx="3">
                  <c:v>Q4-24</c:v>
                </c:pt>
                <c:pt idx="4">
                  <c:v>Q1-25</c:v>
                </c:pt>
                <c:pt idx="5">
                  <c:v>Q2-25</c:v>
                </c:pt>
                <c:pt idx="6">
                  <c:v>Q3-25</c:v>
                </c:pt>
                <c:pt idx="7">
                  <c:v>Q4-25</c:v>
                </c:pt>
                <c:pt idx="8">
                  <c:v>Q1-26</c:v>
                </c:pt>
                <c:pt idx="9">
                  <c:v>Q2-26</c:v>
                </c:pt>
                <c:pt idx="10">
                  <c:v>Q3-26</c:v>
                </c:pt>
                <c:pt idx="11">
                  <c:v>Q4-26</c:v>
                </c:pt>
                <c:pt idx="12">
                  <c:v>Q1-27</c:v>
                </c:pt>
                <c:pt idx="13">
                  <c:v>Q2-27</c:v>
                </c:pt>
                <c:pt idx="14">
                  <c:v>Q3-27</c:v>
                </c:pt>
                <c:pt idx="15">
                  <c:v>Q4-27</c:v>
                </c:pt>
                <c:pt idx="16">
                  <c:v>Q1-28</c:v>
                </c:pt>
                <c:pt idx="17">
                  <c:v>Q2-28</c:v>
                </c:pt>
                <c:pt idx="18">
                  <c:v>Q3-28</c:v>
                </c:pt>
                <c:pt idx="19">
                  <c:v>Q4-28</c:v>
                </c:pt>
              </c:strCache>
            </c:strRef>
          </c:cat>
          <c:val>
            <c:numRef>
              <c:f>Dashboard!$B$141:$B$160</c:f>
              <c:numCache>
                <c:formatCode>General</c:formatCode>
                <c:ptCount val="20"/>
                <c:pt idx="0">
                  <c:v>6.1516769570680943</c:v>
                </c:pt>
                <c:pt idx="1">
                  <c:v>21.27827683425118</c:v>
                </c:pt>
                <c:pt idx="2">
                  <c:v>16.690900911226059</c:v>
                </c:pt>
                <c:pt idx="3">
                  <c:v>11.24385927030365</c:v>
                </c:pt>
                <c:pt idx="4">
                  <c:v>9.458206146035387</c:v>
                </c:pt>
                <c:pt idx="5">
                  <c:v>11.276314360655094</c:v>
                </c:pt>
                <c:pt idx="6">
                  <c:v>15.336632175191898</c:v>
                </c:pt>
                <c:pt idx="7">
                  <c:v>9.5617296087891415</c:v>
                </c:pt>
                <c:pt idx="8">
                  <c:v>12.801473484828895</c:v>
                </c:pt>
                <c:pt idx="9">
                  <c:v>11.11548640370359</c:v>
                </c:pt>
                <c:pt idx="10">
                  <c:v>12.858458867517017</c:v>
                </c:pt>
                <c:pt idx="11">
                  <c:v>8.05375261537983</c:v>
                </c:pt>
                <c:pt idx="12">
                  <c:v>4.3984985990597751</c:v>
                </c:pt>
                <c:pt idx="13">
                  <c:v>4.0482479986984519</c:v>
                </c:pt>
                <c:pt idx="14">
                  <c:v>3.7790978768060266</c:v>
                </c:pt>
                <c:pt idx="15">
                  <c:v>3.7790978768060266</c:v>
                </c:pt>
                <c:pt idx="16">
                  <c:v>1.2448700410396716</c:v>
                </c:pt>
                <c:pt idx="17">
                  <c:v>1.2448700410396716</c:v>
                </c:pt>
                <c:pt idx="18">
                  <c:v>0.62927496580027364</c:v>
                </c:pt>
                <c:pt idx="19">
                  <c:v>0.62927496580027364</c:v>
                </c:pt>
              </c:numCache>
            </c:numRef>
          </c:val>
          <c:smooth val="0"/>
          <c:extLst>
            <c:ext xmlns:c16="http://schemas.microsoft.com/office/drawing/2014/chart" uri="{C3380CC4-5D6E-409C-BE32-E72D297353CC}">
              <c16:uniqueId val="{00000000-B6FF-43D4-BB23-4BC3FC98424A}"/>
            </c:ext>
          </c:extLst>
        </c:ser>
        <c:ser>
          <c:idx val="1"/>
          <c:order val="1"/>
          <c:tx>
            <c:strRef>
              <c:f>Dashboard!$C$140</c:f>
              <c:strCache>
                <c:ptCount val="1"/>
                <c:pt idx="0">
                  <c:v>Actual MM</c:v>
                </c:pt>
              </c:strCache>
            </c:strRef>
          </c:tx>
          <c:spPr>
            <a:ln w="28575" cap="rnd">
              <a:solidFill>
                <a:schemeClr val="accent2"/>
              </a:solidFill>
              <a:round/>
            </a:ln>
            <a:effectLst/>
          </c:spPr>
          <c:marker>
            <c:symbol val="none"/>
          </c:marker>
          <c:cat>
            <c:strRef>
              <c:f>Dashboard!$A$141:$A$160</c:f>
              <c:strCache>
                <c:ptCount val="20"/>
                <c:pt idx="0">
                  <c:v>Q1-24</c:v>
                </c:pt>
                <c:pt idx="1">
                  <c:v>Q2-24</c:v>
                </c:pt>
                <c:pt idx="2">
                  <c:v>Q3-24</c:v>
                </c:pt>
                <c:pt idx="3">
                  <c:v>Q4-24</c:v>
                </c:pt>
                <c:pt idx="4">
                  <c:v>Q1-25</c:v>
                </c:pt>
                <c:pt idx="5">
                  <c:v>Q2-25</c:v>
                </c:pt>
                <c:pt idx="6">
                  <c:v>Q3-25</c:v>
                </c:pt>
                <c:pt idx="7">
                  <c:v>Q4-25</c:v>
                </c:pt>
                <c:pt idx="8">
                  <c:v>Q1-26</c:v>
                </c:pt>
                <c:pt idx="9">
                  <c:v>Q2-26</c:v>
                </c:pt>
                <c:pt idx="10">
                  <c:v>Q3-26</c:v>
                </c:pt>
                <c:pt idx="11">
                  <c:v>Q4-26</c:v>
                </c:pt>
                <c:pt idx="12">
                  <c:v>Q1-27</c:v>
                </c:pt>
                <c:pt idx="13">
                  <c:v>Q2-27</c:v>
                </c:pt>
                <c:pt idx="14">
                  <c:v>Q3-27</c:v>
                </c:pt>
                <c:pt idx="15">
                  <c:v>Q4-27</c:v>
                </c:pt>
                <c:pt idx="16">
                  <c:v>Q1-28</c:v>
                </c:pt>
                <c:pt idx="17">
                  <c:v>Q2-28</c:v>
                </c:pt>
                <c:pt idx="18">
                  <c:v>Q3-28</c:v>
                </c:pt>
                <c:pt idx="19">
                  <c:v>Q4-28</c:v>
                </c:pt>
              </c:strCache>
            </c:strRef>
          </c:cat>
          <c:val>
            <c:numRef>
              <c:f>Dashboard!$C$141:$C$160</c:f>
              <c:numCache>
                <c:formatCode>General</c:formatCode>
                <c:ptCount val="20"/>
                <c:pt idx="0">
                  <c:v>3.7364864864864868</c:v>
                </c:pt>
                <c:pt idx="1">
                  <c:v>3.4824324324324323</c:v>
                </c:pt>
                <c:pt idx="2">
                  <c:v>5.9310810810810803</c:v>
                </c:pt>
                <c:pt idx="3">
                  <c:v>8.0783783783783782</c:v>
                </c:pt>
                <c:pt idx="4">
                  <c:v>7.2337837837837844</c:v>
                </c:pt>
                <c:pt idx="5">
                  <c:v>5.96081081081081</c:v>
                </c:pt>
                <c:pt idx="6">
                  <c:v>8.7851351351351354</c:v>
                </c:pt>
                <c:pt idx="7">
                  <c:v>8.1783783783783761</c:v>
                </c:pt>
                <c:pt idx="8">
                  <c:v>6.6445945945945946</c:v>
                </c:pt>
                <c:pt idx="9">
                  <c:v>7.7986486486486468</c:v>
                </c:pt>
                <c:pt idx="10">
                  <c:v>3.464864864864865</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B6FF-43D4-BB23-4BC3FC98424A}"/>
            </c:ext>
          </c:extLst>
        </c:ser>
        <c:ser>
          <c:idx val="2"/>
          <c:order val="2"/>
          <c:tx>
            <c:strRef>
              <c:f>Dashboard!$D$140</c:f>
              <c:strCache>
                <c:ptCount val="1"/>
                <c:pt idx="0">
                  <c:v>Earned MM</c:v>
                </c:pt>
              </c:strCache>
            </c:strRef>
          </c:tx>
          <c:spPr>
            <a:ln w="28575" cap="rnd">
              <a:solidFill>
                <a:schemeClr val="accent3"/>
              </a:solidFill>
              <a:round/>
            </a:ln>
            <a:effectLst/>
          </c:spPr>
          <c:marker>
            <c:symbol val="none"/>
          </c:marker>
          <c:cat>
            <c:strRef>
              <c:f>Dashboard!$A$141:$A$160</c:f>
              <c:strCache>
                <c:ptCount val="20"/>
                <c:pt idx="0">
                  <c:v>Q1-24</c:v>
                </c:pt>
                <c:pt idx="1">
                  <c:v>Q2-24</c:v>
                </c:pt>
                <c:pt idx="2">
                  <c:v>Q3-24</c:v>
                </c:pt>
                <c:pt idx="3">
                  <c:v>Q4-24</c:v>
                </c:pt>
                <c:pt idx="4">
                  <c:v>Q1-25</c:v>
                </c:pt>
                <c:pt idx="5">
                  <c:v>Q2-25</c:v>
                </c:pt>
                <c:pt idx="6">
                  <c:v>Q3-25</c:v>
                </c:pt>
                <c:pt idx="7">
                  <c:v>Q4-25</c:v>
                </c:pt>
                <c:pt idx="8">
                  <c:v>Q1-26</c:v>
                </c:pt>
                <c:pt idx="9">
                  <c:v>Q2-26</c:v>
                </c:pt>
                <c:pt idx="10">
                  <c:v>Q3-26</c:v>
                </c:pt>
                <c:pt idx="11">
                  <c:v>Q4-26</c:v>
                </c:pt>
                <c:pt idx="12">
                  <c:v>Q1-27</c:v>
                </c:pt>
                <c:pt idx="13">
                  <c:v>Q2-27</c:v>
                </c:pt>
                <c:pt idx="14">
                  <c:v>Q3-27</c:v>
                </c:pt>
                <c:pt idx="15">
                  <c:v>Q4-27</c:v>
                </c:pt>
                <c:pt idx="16">
                  <c:v>Q1-28</c:v>
                </c:pt>
                <c:pt idx="17">
                  <c:v>Q2-28</c:v>
                </c:pt>
                <c:pt idx="18">
                  <c:v>Q3-28</c:v>
                </c:pt>
                <c:pt idx="19">
                  <c:v>Q4-28</c:v>
                </c:pt>
              </c:strCache>
            </c:strRef>
          </c:cat>
          <c:val>
            <c:numRef>
              <c:f>Dashboard!$D$141:$D$160</c:f>
              <c:numCache>
                <c:formatCode>General</c:formatCode>
                <c:ptCount val="20"/>
                <c:pt idx="0">
                  <c:v>13.904222963267506</c:v>
                </c:pt>
                <c:pt idx="1">
                  <c:v>13.484699075756589</c:v>
                </c:pt>
                <c:pt idx="2">
                  <c:v>16.051781042349106</c:v>
                </c:pt>
                <c:pt idx="3">
                  <c:v>14.157121595900842</c:v>
                </c:pt>
                <c:pt idx="4">
                  <c:v>7.501523850953717</c:v>
                </c:pt>
                <c:pt idx="5">
                  <c:v>11.631745215559794</c:v>
                </c:pt>
                <c:pt idx="6">
                  <c:v>13.165997437935664</c:v>
                </c:pt>
                <c:pt idx="7">
                  <c:v>5.7657842142747784</c:v>
                </c:pt>
                <c:pt idx="8">
                  <c:v>6.3798129639126016</c:v>
                </c:pt>
                <c:pt idx="9">
                  <c:v>5.5491441656978839</c:v>
                </c:pt>
                <c:pt idx="10">
                  <c:v>2.2571801903557125</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2-B6FF-43D4-BB23-4BC3FC98424A}"/>
            </c:ext>
          </c:extLst>
        </c:ser>
        <c:dLbls>
          <c:showLegendKey val="0"/>
          <c:showVal val="0"/>
          <c:showCatName val="0"/>
          <c:showSerName val="0"/>
          <c:showPercent val="0"/>
          <c:showBubbleSize val="0"/>
        </c:dLbls>
        <c:smooth val="0"/>
        <c:axId val="1104080143"/>
        <c:axId val="1359830463"/>
      </c:lineChart>
      <c:catAx>
        <c:axId val="110408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830463"/>
        <c:crosses val="autoZero"/>
        <c:auto val="1"/>
        <c:lblAlgn val="ctr"/>
        <c:lblOffset val="100"/>
        <c:noMultiLvlLbl val="0"/>
      </c:catAx>
      <c:valAx>
        <c:axId val="1359830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0801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FBFBF"/>
      </a:solidFill>
      <a:prstDash val="solid"/>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a:t>Planned vs Actual vs Capacity MM by Year (full timeline — not filtered)</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Dashboard!$B$163</c:f>
              <c:strCache>
                <c:ptCount val="1"/>
                <c:pt idx="0">
                  <c:v>Planned MM</c:v>
                </c:pt>
              </c:strCache>
            </c:strRef>
          </c:tx>
          <c:spPr>
            <a:solidFill>
              <a:schemeClr val="accent1"/>
            </a:solidFill>
            <a:ln>
              <a:noFill/>
            </a:ln>
            <a:effectLst/>
          </c:spPr>
          <c:invertIfNegative val="0"/>
          <c:cat>
            <c:strRef>
              <c:f>Dashboard!$A$164:$A$168</c:f>
              <c:strCache>
                <c:ptCount val="5"/>
                <c:pt idx="0">
                  <c:v>2024</c:v>
                </c:pt>
                <c:pt idx="1">
                  <c:v>2025</c:v>
                </c:pt>
                <c:pt idx="2">
                  <c:v>2026</c:v>
                </c:pt>
                <c:pt idx="3">
                  <c:v>2027</c:v>
                </c:pt>
                <c:pt idx="4">
                  <c:v>2028</c:v>
                </c:pt>
              </c:strCache>
            </c:strRef>
          </c:cat>
          <c:val>
            <c:numRef>
              <c:f>Dashboard!$B$164:$B$168</c:f>
              <c:numCache>
                <c:formatCode>General</c:formatCode>
                <c:ptCount val="5"/>
                <c:pt idx="0">
                  <c:v>55.364713972848982</c:v>
                </c:pt>
                <c:pt idx="1">
                  <c:v>45.632882290671525</c:v>
                </c:pt>
                <c:pt idx="2">
                  <c:v>44.829171371429332</c:v>
                </c:pt>
                <c:pt idx="3">
                  <c:v>16.004942351370282</c:v>
                </c:pt>
                <c:pt idx="4">
                  <c:v>3.7482900136798905</c:v>
                </c:pt>
              </c:numCache>
            </c:numRef>
          </c:val>
          <c:extLst>
            <c:ext xmlns:c16="http://schemas.microsoft.com/office/drawing/2014/chart" uri="{C3380CC4-5D6E-409C-BE32-E72D297353CC}">
              <c16:uniqueId val="{00000000-2547-4CCD-B2E9-EF5C5C8583A9}"/>
            </c:ext>
          </c:extLst>
        </c:ser>
        <c:ser>
          <c:idx val="1"/>
          <c:order val="1"/>
          <c:tx>
            <c:strRef>
              <c:f>Dashboard!$C$163</c:f>
              <c:strCache>
                <c:ptCount val="1"/>
                <c:pt idx="0">
                  <c:v>Actual MM</c:v>
                </c:pt>
              </c:strCache>
            </c:strRef>
          </c:tx>
          <c:spPr>
            <a:solidFill>
              <a:schemeClr val="accent2"/>
            </a:solidFill>
            <a:ln>
              <a:noFill/>
            </a:ln>
            <a:effectLst/>
          </c:spPr>
          <c:invertIfNegative val="0"/>
          <c:cat>
            <c:strRef>
              <c:f>Dashboard!$A$164:$A$168</c:f>
              <c:strCache>
                <c:ptCount val="5"/>
                <c:pt idx="0">
                  <c:v>2024</c:v>
                </c:pt>
                <c:pt idx="1">
                  <c:v>2025</c:v>
                </c:pt>
                <c:pt idx="2">
                  <c:v>2026</c:v>
                </c:pt>
                <c:pt idx="3">
                  <c:v>2027</c:v>
                </c:pt>
                <c:pt idx="4">
                  <c:v>2028</c:v>
                </c:pt>
              </c:strCache>
            </c:strRef>
          </c:cat>
          <c:val>
            <c:numRef>
              <c:f>Dashboard!$C$164:$C$168</c:f>
              <c:numCache>
                <c:formatCode>General</c:formatCode>
                <c:ptCount val="5"/>
                <c:pt idx="0">
                  <c:v>21.228378378378377</c:v>
                </c:pt>
                <c:pt idx="1">
                  <c:v>30.158108108108106</c:v>
                </c:pt>
                <c:pt idx="2">
                  <c:v>17.908108108108106</c:v>
                </c:pt>
                <c:pt idx="3">
                  <c:v>0</c:v>
                </c:pt>
                <c:pt idx="4">
                  <c:v>0</c:v>
                </c:pt>
              </c:numCache>
            </c:numRef>
          </c:val>
          <c:extLst>
            <c:ext xmlns:c16="http://schemas.microsoft.com/office/drawing/2014/chart" uri="{C3380CC4-5D6E-409C-BE32-E72D297353CC}">
              <c16:uniqueId val="{00000001-2547-4CCD-B2E9-EF5C5C8583A9}"/>
            </c:ext>
          </c:extLst>
        </c:ser>
        <c:ser>
          <c:idx val="2"/>
          <c:order val="2"/>
          <c:tx>
            <c:strRef>
              <c:f>Dashboard!$D$163</c:f>
              <c:strCache>
                <c:ptCount val="1"/>
                <c:pt idx="0">
                  <c:v>Capacity MM</c:v>
                </c:pt>
              </c:strCache>
            </c:strRef>
          </c:tx>
          <c:spPr>
            <a:solidFill>
              <a:schemeClr val="accent3"/>
            </a:solidFill>
            <a:ln>
              <a:noFill/>
            </a:ln>
            <a:effectLst/>
          </c:spPr>
          <c:invertIfNegative val="0"/>
          <c:cat>
            <c:strRef>
              <c:f>Dashboard!$A$164:$A$168</c:f>
              <c:strCache>
                <c:ptCount val="5"/>
                <c:pt idx="0">
                  <c:v>2024</c:v>
                </c:pt>
                <c:pt idx="1">
                  <c:v>2025</c:v>
                </c:pt>
                <c:pt idx="2">
                  <c:v>2026</c:v>
                </c:pt>
                <c:pt idx="3">
                  <c:v>2027</c:v>
                </c:pt>
                <c:pt idx="4">
                  <c:v>2028</c:v>
                </c:pt>
              </c:strCache>
            </c:strRef>
          </c:cat>
          <c:val>
            <c:numRef>
              <c:f>Dashboard!$D$164:$D$168</c:f>
              <c:numCache>
                <c:formatCode>General</c:formatCode>
                <c:ptCount val="5"/>
                <c:pt idx="0">
                  <c:v>28.200000000000003</c:v>
                </c:pt>
                <c:pt idx="1">
                  <c:v>36</c:v>
                </c:pt>
                <c:pt idx="2">
                  <c:v>36</c:v>
                </c:pt>
                <c:pt idx="3">
                  <c:v>36</c:v>
                </c:pt>
                <c:pt idx="4">
                  <c:v>36</c:v>
                </c:pt>
              </c:numCache>
            </c:numRef>
          </c:val>
          <c:extLst>
            <c:ext xmlns:c16="http://schemas.microsoft.com/office/drawing/2014/chart" uri="{C3380CC4-5D6E-409C-BE32-E72D297353CC}">
              <c16:uniqueId val="{00000002-2547-4CCD-B2E9-EF5C5C8583A9}"/>
            </c:ext>
          </c:extLst>
        </c:ser>
        <c:dLbls>
          <c:showLegendKey val="0"/>
          <c:showVal val="0"/>
          <c:showCatName val="0"/>
          <c:showSerName val="0"/>
          <c:showPercent val="0"/>
          <c:showBubbleSize val="0"/>
        </c:dLbls>
        <c:gapWidth val="219"/>
        <c:overlap val="-27"/>
        <c:axId val="1245856879"/>
        <c:axId val="1359834783"/>
      </c:barChart>
      <c:catAx>
        <c:axId val="124585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834783"/>
        <c:crosses val="autoZero"/>
        <c:auto val="1"/>
        <c:lblAlgn val="ctr"/>
        <c:lblOffset val="100"/>
        <c:noMultiLvlLbl val="0"/>
      </c:catAx>
      <c:valAx>
        <c:axId val="135983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856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FBFBF"/>
      </a:solidFill>
      <a:prstDash val="solid"/>
      <a:round/>
    </a:ln>
    <a:effectLst/>
  </c:spPr>
  <c:txPr>
    <a:bodyPr/>
    <a:lstStyle/>
    <a:p>
      <a:pPr>
        <a:defRPr/>
      </a:pPr>
      <a:endParaRPr lang="en-US"/>
    </a:p>
  </c:txPr>
  <c:printSettings>
    <c:headerFooter/>
    <c:pageMargins b="0.75" l="0.7" r="0.7" t="0.75" header="0.3" footer="0.3"/>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a:t>Actual MM vs Capacity to Date by Engineer</a:t>
            </a: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'Mgmt Review'!$B$71</c:f>
              <c:strCache>
                <c:ptCount val="1"/>
                <c:pt idx="0">
                  <c:v>Actual MM</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'Mgmt Review'!$A$72:$A$74</c:f>
              <c:strCache>
                <c:ptCount val="3"/>
                <c:pt idx="0">
                  <c:v>Ahmed</c:v>
                </c:pt>
                <c:pt idx="1">
                  <c:v>Osama</c:v>
                </c:pt>
                <c:pt idx="2">
                  <c:v>Kirolos</c:v>
                </c:pt>
              </c:strCache>
            </c:strRef>
          </c:cat>
          <c:val>
            <c:numRef>
              <c:f>'Mgmt Review'!$B$72:$B$74</c:f>
              <c:numCache>
                <c:formatCode>0.00;\(0.00\);\-</c:formatCode>
                <c:ptCount val="3"/>
                <c:pt idx="0">
                  <c:v>5.7216216216216225</c:v>
                </c:pt>
                <c:pt idx="1">
                  <c:v>5.9945945945945942</c:v>
                </c:pt>
                <c:pt idx="2">
                  <c:v>6.1918918918918919</c:v>
                </c:pt>
              </c:numCache>
            </c:numRef>
          </c:val>
          <c:extLst>
            <c:ext xmlns:c16="http://schemas.microsoft.com/office/drawing/2014/chart" uri="{C3380CC4-5D6E-409C-BE32-E72D297353CC}">
              <c16:uniqueId val="{00000000-BBD9-4EAE-AA9A-FBBFC63F8B05}"/>
            </c:ext>
          </c:extLst>
        </c:ser>
        <c:ser>
          <c:idx val="1"/>
          <c:order val="1"/>
          <c:tx>
            <c:strRef>
              <c:f>'Mgmt Review'!$C$71</c:f>
              <c:strCache>
                <c:ptCount val="1"/>
                <c:pt idx="0">
                  <c:v>Capacity to Date</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'Mgmt Review'!$A$72:$A$74</c:f>
              <c:strCache>
                <c:ptCount val="3"/>
                <c:pt idx="0">
                  <c:v>Ahmed</c:v>
                </c:pt>
                <c:pt idx="1">
                  <c:v>Osama</c:v>
                </c:pt>
                <c:pt idx="2">
                  <c:v>Kirolos</c:v>
                </c:pt>
              </c:strCache>
            </c:strRef>
          </c:cat>
          <c:val>
            <c:numRef>
              <c:f>'Mgmt Review'!$C$72:$C$74</c:f>
              <c:numCache>
                <c:formatCode>0.00;\(0.00\);\-</c:formatCode>
                <c:ptCount val="3"/>
                <c:pt idx="0">
                  <c:v>8.054347826086957</c:v>
                </c:pt>
                <c:pt idx="1">
                  <c:v>8.054347826086957</c:v>
                </c:pt>
                <c:pt idx="2">
                  <c:v>8.054347826086957</c:v>
                </c:pt>
              </c:numCache>
            </c:numRef>
          </c:val>
          <c:extLst>
            <c:ext xmlns:c16="http://schemas.microsoft.com/office/drawing/2014/chart" uri="{C3380CC4-5D6E-409C-BE32-E72D297353CC}">
              <c16:uniqueId val="{00000001-BBD9-4EAE-AA9A-FBBFC63F8B05}"/>
            </c:ext>
          </c:extLst>
        </c:ser>
        <c:dLbls>
          <c:showLegendKey val="0"/>
          <c:showVal val="0"/>
          <c:showCatName val="0"/>
          <c:showSerName val="0"/>
          <c:showPercent val="0"/>
          <c:showBubbleSize val="0"/>
        </c:dLbls>
        <c:gapWidth val="219"/>
        <c:overlap val="-27"/>
        <c:axId val="1345920863"/>
        <c:axId val="1937082335"/>
      </c:barChart>
      <c:catAx>
        <c:axId val="134592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082335"/>
        <c:crosses val="autoZero"/>
        <c:auto val="1"/>
        <c:lblAlgn val="ctr"/>
        <c:lblOffset val="100"/>
        <c:noMultiLvlLbl val="0"/>
      </c:catAx>
      <c:valAx>
        <c:axId val="1937082335"/>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9208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FBFBF"/>
      </a:solidFill>
      <a:prstDash val="solid"/>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a:t>Planned vs Actual vs Earned MM by Engineer</a:t>
            </a: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'Mgmt Review'!$B$77</c:f>
              <c:strCache>
                <c:ptCount val="1"/>
                <c:pt idx="0">
                  <c:v>Planned MM</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'Mgmt Review'!$A$78:$A$80</c:f>
              <c:strCache>
                <c:ptCount val="3"/>
                <c:pt idx="0">
                  <c:v>Ahmed</c:v>
                </c:pt>
                <c:pt idx="1">
                  <c:v>Osama</c:v>
                </c:pt>
                <c:pt idx="2">
                  <c:v>Kirolos</c:v>
                </c:pt>
              </c:strCache>
            </c:strRef>
          </c:cat>
          <c:val>
            <c:numRef>
              <c:f>'Mgmt Review'!$B$78:$B$80</c:f>
              <c:numCache>
                <c:formatCode>0.00;\(0.00\);\-</c:formatCode>
                <c:ptCount val="3"/>
                <c:pt idx="0">
                  <c:v>12.228238810823992</c:v>
                </c:pt>
                <c:pt idx="1">
                  <c:v>9.3573832148261431</c:v>
                </c:pt>
                <c:pt idx="2">
                  <c:v>11.136586869986392</c:v>
                </c:pt>
              </c:numCache>
            </c:numRef>
          </c:val>
          <c:extLst>
            <c:ext xmlns:c16="http://schemas.microsoft.com/office/drawing/2014/chart" uri="{C3380CC4-5D6E-409C-BE32-E72D297353CC}">
              <c16:uniqueId val="{00000000-DBF2-48EF-BC4F-61E0EF2B5580}"/>
            </c:ext>
          </c:extLst>
        </c:ser>
        <c:ser>
          <c:idx val="1"/>
          <c:order val="1"/>
          <c:tx>
            <c:strRef>
              <c:f>'Mgmt Review'!$C$77</c:f>
              <c:strCache>
                <c:ptCount val="1"/>
                <c:pt idx="0">
                  <c:v>Actual MM</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'Mgmt Review'!$A$78:$A$80</c:f>
              <c:strCache>
                <c:ptCount val="3"/>
                <c:pt idx="0">
                  <c:v>Ahmed</c:v>
                </c:pt>
                <c:pt idx="1">
                  <c:v>Osama</c:v>
                </c:pt>
                <c:pt idx="2">
                  <c:v>Kirolos</c:v>
                </c:pt>
              </c:strCache>
            </c:strRef>
          </c:cat>
          <c:val>
            <c:numRef>
              <c:f>'Mgmt Review'!$C$78:$C$80</c:f>
              <c:numCache>
                <c:formatCode>0.00;\(0.00\);\-</c:formatCode>
                <c:ptCount val="3"/>
                <c:pt idx="0">
                  <c:v>5.7216216216216225</c:v>
                </c:pt>
                <c:pt idx="1">
                  <c:v>5.9945945945945942</c:v>
                </c:pt>
                <c:pt idx="2">
                  <c:v>6.1918918918918919</c:v>
                </c:pt>
              </c:numCache>
            </c:numRef>
          </c:val>
          <c:extLst>
            <c:ext xmlns:c16="http://schemas.microsoft.com/office/drawing/2014/chart" uri="{C3380CC4-5D6E-409C-BE32-E72D297353CC}">
              <c16:uniqueId val="{00000001-DBF2-48EF-BC4F-61E0EF2B5580}"/>
            </c:ext>
          </c:extLst>
        </c:ser>
        <c:ser>
          <c:idx val="2"/>
          <c:order val="2"/>
          <c:tx>
            <c:strRef>
              <c:f>'Mgmt Review'!$D$77</c:f>
              <c:strCache>
                <c:ptCount val="1"/>
                <c:pt idx="0">
                  <c:v>Earned MM</c:v>
                </c:pt>
              </c:strCache>
            </c:strRef>
          </c:tx>
          <c:spPr>
            <a:solidFill>
              <a:schemeClr val="accent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'Mgmt Review'!$A$78:$A$80</c:f>
              <c:strCache>
                <c:ptCount val="3"/>
                <c:pt idx="0">
                  <c:v>Ahmed</c:v>
                </c:pt>
                <c:pt idx="1">
                  <c:v>Osama</c:v>
                </c:pt>
                <c:pt idx="2">
                  <c:v>Kirolos</c:v>
                </c:pt>
              </c:strCache>
            </c:strRef>
          </c:cat>
          <c:val>
            <c:numRef>
              <c:f>'Mgmt Review'!$D$78:$D$80</c:f>
              <c:numCache>
                <c:formatCode>0.00;\(0.00\);\-</c:formatCode>
                <c:ptCount val="3"/>
                <c:pt idx="0">
                  <c:v>5.1198091144153901</c:v>
                </c:pt>
                <c:pt idx="1">
                  <c:v>3.7813340110923952</c:v>
                </c:pt>
                <c:pt idx="2">
                  <c:v>5.2849941944584158</c:v>
                </c:pt>
              </c:numCache>
            </c:numRef>
          </c:val>
          <c:extLst>
            <c:ext xmlns:c16="http://schemas.microsoft.com/office/drawing/2014/chart" uri="{C3380CC4-5D6E-409C-BE32-E72D297353CC}">
              <c16:uniqueId val="{00000002-DBF2-48EF-BC4F-61E0EF2B5580}"/>
            </c:ext>
          </c:extLst>
        </c:ser>
        <c:dLbls>
          <c:showLegendKey val="0"/>
          <c:showVal val="0"/>
          <c:showCatName val="0"/>
          <c:showSerName val="0"/>
          <c:showPercent val="0"/>
          <c:showBubbleSize val="0"/>
        </c:dLbls>
        <c:gapWidth val="219"/>
        <c:overlap val="-27"/>
        <c:axId val="1345929215"/>
        <c:axId val="1937072735"/>
      </c:barChart>
      <c:catAx>
        <c:axId val="134592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072735"/>
        <c:crosses val="autoZero"/>
        <c:auto val="1"/>
        <c:lblAlgn val="ctr"/>
        <c:lblOffset val="100"/>
        <c:noMultiLvlLbl val="0"/>
      </c:catAx>
      <c:valAx>
        <c:axId val="1937072735"/>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929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FBFBF"/>
      </a:solidFill>
      <a:prstDash val="solid"/>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a:t>Utilisation and Plan Adherence to Date by Engineer</a:t>
            </a: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'Mgmt Review'!$B$83</c:f>
              <c:strCache>
                <c:ptCount val="1"/>
                <c:pt idx="0">
                  <c:v>Utilisation</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'Mgmt Review'!$A$84:$A$86</c:f>
              <c:strCache>
                <c:ptCount val="3"/>
                <c:pt idx="0">
                  <c:v>Ahmed</c:v>
                </c:pt>
                <c:pt idx="1">
                  <c:v>Osama</c:v>
                </c:pt>
                <c:pt idx="2">
                  <c:v>Kirolos</c:v>
                </c:pt>
              </c:strCache>
            </c:strRef>
          </c:cat>
          <c:val>
            <c:numRef>
              <c:f>'Mgmt Review'!$B$84:$B$86</c:f>
              <c:numCache>
                <c:formatCode>0.0%;;\-</c:formatCode>
                <c:ptCount val="3"/>
                <c:pt idx="0">
                  <c:v>0.71037677353466833</c:v>
                </c:pt>
                <c:pt idx="1">
                  <c:v>0.7442681547944705</c:v>
                </c:pt>
                <c:pt idx="2">
                  <c:v>0.76876390560601082</c:v>
                </c:pt>
              </c:numCache>
            </c:numRef>
          </c:val>
          <c:extLst>
            <c:ext xmlns:c16="http://schemas.microsoft.com/office/drawing/2014/chart" uri="{C3380CC4-5D6E-409C-BE32-E72D297353CC}">
              <c16:uniqueId val="{00000000-EBF4-4250-AC44-6D6624539DC4}"/>
            </c:ext>
          </c:extLst>
        </c:ser>
        <c:ser>
          <c:idx val="1"/>
          <c:order val="1"/>
          <c:tx>
            <c:strRef>
              <c:f>'Mgmt Review'!$C$83</c:f>
              <c:strCache>
                <c:ptCount val="1"/>
                <c:pt idx="0">
                  <c:v>Plan Adherence</c:v>
                </c:pt>
              </c:strCache>
            </c:strRef>
          </c:tx>
          <c:spPr>
            <a:solidFill>
              <a:schemeClr val="accent2"/>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'Mgmt Review'!$A$84:$A$86</c:f>
              <c:strCache>
                <c:ptCount val="3"/>
                <c:pt idx="0">
                  <c:v>Ahmed</c:v>
                </c:pt>
                <c:pt idx="1">
                  <c:v>Osama</c:v>
                </c:pt>
                <c:pt idx="2">
                  <c:v>Kirolos</c:v>
                </c:pt>
              </c:strCache>
            </c:strRef>
          </c:cat>
          <c:val>
            <c:numRef>
              <c:f>'Mgmt Review'!$C$84:$C$86</c:f>
              <c:numCache>
                <c:formatCode>0.0%;;\-</c:formatCode>
                <c:ptCount val="3"/>
                <c:pt idx="0">
                  <c:v>0.46790234555748544</c:v>
                </c:pt>
                <c:pt idx="1">
                  <c:v>0.64062724128862891</c:v>
                </c:pt>
                <c:pt idx="2">
                  <c:v>0.55599547367419389</c:v>
                </c:pt>
              </c:numCache>
            </c:numRef>
          </c:val>
          <c:extLst>
            <c:ext xmlns:c16="http://schemas.microsoft.com/office/drawing/2014/chart" uri="{C3380CC4-5D6E-409C-BE32-E72D297353CC}">
              <c16:uniqueId val="{00000001-EBF4-4250-AC44-6D6624539DC4}"/>
            </c:ext>
          </c:extLst>
        </c:ser>
        <c:dLbls>
          <c:showLegendKey val="0"/>
          <c:showVal val="0"/>
          <c:showCatName val="0"/>
          <c:showSerName val="0"/>
          <c:showPercent val="0"/>
          <c:showBubbleSize val="0"/>
        </c:dLbls>
        <c:gapWidth val="182"/>
        <c:axId val="1345939423"/>
        <c:axId val="1937073695"/>
      </c:barChart>
      <c:catAx>
        <c:axId val="1345939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073695"/>
        <c:crosses val="autoZero"/>
        <c:auto val="1"/>
        <c:lblAlgn val="ctr"/>
        <c:lblOffset val="100"/>
        <c:noMultiLvlLbl val="0"/>
      </c:catAx>
      <c:valAx>
        <c:axId val="1937073695"/>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939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FBFBF"/>
      </a:solidFill>
      <a:prstDash val="solid"/>
      <a:round/>
    </a:ln>
    <a:effectLst/>
  </c:spPr>
  <c:txPr>
    <a:bodyPr/>
    <a:lstStyle/>
    <a:p>
      <a:pPr>
        <a:defRPr/>
      </a:pPr>
      <a:endParaRPr lang="en-US"/>
    </a:p>
  </c:txPr>
  <c:printSettings>
    <c:headerFooter/>
    <c:pageMargins b="0.75" l="0.7" r="0.7" t="0.75" header="0.3" footer="0.3"/>
    <c:pageSetup paperSize="9"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a:t>Actual MM by Engineer by Quarter (full timeline)</a:t>
            </a: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'Engineer KPIs'!$B$265</c:f>
              <c:strCache>
                <c:ptCount val="1"/>
                <c:pt idx="0">
                  <c:v>Ahmed</c:v>
                </c:pt>
              </c:strCache>
            </c:strRef>
          </c:tx>
          <c:spPr>
            <a:ln w="28575" cap="rnd">
              <a:solidFill>
                <a:schemeClr val="accent1"/>
              </a:solidFill>
              <a:round/>
            </a:ln>
            <a:effectLst/>
          </c:spPr>
          <c:marker>
            <c:symbol val="none"/>
          </c:marker>
          <c:cat>
            <c:strRef>
              <c:f>'Engineer KPIs'!$A$266:$A$285</c:f>
              <c:strCache>
                <c:ptCount val="20"/>
                <c:pt idx="0">
                  <c:v>Q1-24</c:v>
                </c:pt>
                <c:pt idx="1">
                  <c:v>Q2-24</c:v>
                </c:pt>
                <c:pt idx="2">
                  <c:v>Q3-24</c:v>
                </c:pt>
                <c:pt idx="3">
                  <c:v>Q4-24</c:v>
                </c:pt>
                <c:pt idx="4">
                  <c:v>Q1-25</c:v>
                </c:pt>
                <c:pt idx="5">
                  <c:v>Q2-25</c:v>
                </c:pt>
                <c:pt idx="6">
                  <c:v>Q3-25</c:v>
                </c:pt>
                <c:pt idx="7">
                  <c:v>Q4-25</c:v>
                </c:pt>
                <c:pt idx="8">
                  <c:v>Q1-26</c:v>
                </c:pt>
                <c:pt idx="9">
                  <c:v>Q2-26</c:v>
                </c:pt>
                <c:pt idx="10">
                  <c:v>Q3-26</c:v>
                </c:pt>
                <c:pt idx="11">
                  <c:v>Q4-26</c:v>
                </c:pt>
                <c:pt idx="12">
                  <c:v>Q1-27</c:v>
                </c:pt>
                <c:pt idx="13">
                  <c:v>Q2-27</c:v>
                </c:pt>
                <c:pt idx="14">
                  <c:v>Q3-27</c:v>
                </c:pt>
                <c:pt idx="15">
                  <c:v>Q4-27</c:v>
                </c:pt>
                <c:pt idx="16">
                  <c:v>Q1-28</c:v>
                </c:pt>
                <c:pt idx="17">
                  <c:v>Q2-28</c:v>
                </c:pt>
                <c:pt idx="18">
                  <c:v>Q3-28</c:v>
                </c:pt>
                <c:pt idx="19">
                  <c:v>Q4-28</c:v>
                </c:pt>
              </c:strCache>
            </c:strRef>
          </c:cat>
          <c:val>
            <c:numRef>
              <c:f>'Engineer KPIs'!$B$266:$B$285</c:f>
              <c:numCache>
                <c:formatCode>General</c:formatCode>
                <c:ptCount val="20"/>
                <c:pt idx="0">
                  <c:v>2.8959459459459458</c:v>
                </c:pt>
                <c:pt idx="1">
                  <c:v>2.3378378378378382</c:v>
                </c:pt>
                <c:pt idx="2">
                  <c:v>2.7391891891891889</c:v>
                </c:pt>
                <c:pt idx="3">
                  <c:v>2.7729729729729726</c:v>
                </c:pt>
                <c:pt idx="4">
                  <c:v>2.224324324324324</c:v>
                </c:pt>
                <c:pt idx="5">
                  <c:v>2.0716216216216217</c:v>
                </c:pt>
                <c:pt idx="6">
                  <c:v>2.2554054054054054</c:v>
                </c:pt>
                <c:pt idx="7">
                  <c:v>2.7081081081081084</c:v>
                </c:pt>
                <c:pt idx="8">
                  <c:v>2.2689189189189189</c:v>
                </c:pt>
                <c:pt idx="9">
                  <c:v>2.7554054054054058</c:v>
                </c:pt>
                <c:pt idx="10">
                  <c:v>0.69729729729729728</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0-36E4-4435-AA1F-85C2F178835B}"/>
            </c:ext>
          </c:extLst>
        </c:ser>
        <c:ser>
          <c:idx val="1"/>
          <c:order val="1"/>
          <c:tx>
            <c:strRef>
              <c:f>'Engineer KPIs'!$C$265</c:f>
              <c:strCache>
                <c:ptCount val="1"/>
                <c:pt idx="0">
                  <c:v>Osama</c:v>
                </c:pt>
              </c:strCache>
            </c:strRef>
          </c:tx>
          <c:spPr>
            <a:ln w="28575" cap="rnd">
              <a:solidFill>
                <a:schemeClr val="accent2"/>
              </a:solidFill>
              <a:round/>
            </a:ln>
            <a:effectLst/>
          </c:spPr>
          <c:marker>
            <c:symbol val="none"/>
          </c:marker>
          <c:cat>
            <c:strRef>
              <c:f>'Engineer KPIs'!$A$266:$A$285</c:f>
              <c:strCache>
                <c:ptCount val="20"/>
                <c:pt idx="0">
                  <c:v>Q1-24</c:v>
                </c:pt>
                <c:pt idx="1">
                  <c:v>Q2-24</c:v>
                </c:pt>
                <c:pt idx="2">
                  <c:v>Q3-24</c:v>
                </c:pt>
                <c:pt idx="3">
                  <c:v>Q4-24</c:v>
                </c:pt>
                <c:pt idx="4">
                  <c:v>Q1-25</c:v>
                </c:pt>
                <c:pt idx="5">
                  <c:v>Q2-25</c:v>
                </c:pt>
                <c:pt idx="6">
                  <c:v>Q3-25</c:v>
                </c:pt>
                <c:pt idx="7">
                  <c:v>Q4-25</c:v>
                </c:pt>
                <c:pt idx="8">
                  <c:v>Q1-26</c:v>
                </c:pt>
                <c:pt idx="9">
                  <c:v>Q2-26</c:v>
                </c:pt>
                <c:pt idx="10">
                  <c:v>Q3-26</c:v>
                </c:pt>
                <c:pt idx="11">
                  <c:v>Q4-26</c:v>
                </c:pt>
                <c:pt idx="12">
                  <c:v>Q1-27</c:v>
                </c:pt>
                <c:pt idx="13">
                  <c:v>Q2-27</c:v>
                </c:pt>
                <c:pt idx="14">
                  <c:v>Q3-27</c:v>
                </c:pt>
                <c:pt idx="15">
                  <c:v>Q4-27</c:v>
                </c:pt>
                <c:pt idx="16">
                  <c:v>Q1-28</c:v>
                </c:pt>
                <c:pt idx="17">
                  <c:v>Q2-28</c:v>
                </c:pt>
                <c:pt idx="18">
                  <c:v>Q3-28</c:v>
                </c:pt>
                <c:pt idx="19">
                  <c:v>Q4-28</c:v>
                </c:pt>
              </c:strCache>
            </c:strRef>
          </c:cat>
          <c:val>
            <c:numRef>
              <c:f>'Engineer KPIs'!$C$266:$C$285</c:f>
              <c:numCache>
                <c:formatCode>General</c:formatCode>
                <c:ptCount val="20"/>
                <c:pt idx="0">
                  <c:v>0.84054054054054061</c:v>
                </c:pt>
                <c:pt idx="1">
                  <c:v>1.1445945945945946</c:v>
                </c:pt>
                <c:pt idx="2">
                  <c:v>1.9243243243243242</c:v>
                </c:pt>
                <c:pt idx="3">
                  <c:v>3.0054054054054049</c:v>
                </c:pt>
                <c:pt idx="4">
                  <c:v>2.5621621621621622</c:v>
                </c:pt>
                <c:pt idx="5">
                  <c:v>2.1459459459459458</c:v>
                </c:pt>
                <c:pt idx="6">
                  <c:v>3.2472972972972971</c:v>
                </c:pt>
                <c:pt idx="7">
                  <c:v>2.7648648648648653</c:v>
                </c:pt>
                <c:pt idx="8">
                  <c:v>2.137837837837838</c:v>
                </c:pt>
                <c:pt idx="9">
                  <c:v>2.5378378378378379</c:v>
                </c:pt>
                <c:pt idx="10">
                  <c:v>1.318918918918919</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1-36E4-4435-AA1F-85C2F178835B}"/>
            </c:ext>
          </c:extLst>
        </c:ser>
        <c:ser>
          <c:idx val="2"/>
          <c:order val="2"/>
          <c:tx>
            <c:strRef>
              <c:f>'Engineer KPIs'!$D$265</c:f>
              <c:strCache>
                <c:ptCount val="1"/>
                <c:pt idx="0">
                  <c:v>Kirolos</c:v>
                </c:pt>
              </c:strCache>
            </c:strRef>
          </c:tx>
          <c:spPr>
            <a:ln w="28575" cap="rnd">
              <a:solidFill>
                <a:schemeClr val="accent3"/>
              </a:solidFill>
              <a:round/>
            </a:ln>
            <a:effectLst/>
          </c:spPr>
          <c:marker>
            <c:symbol val="none"/>
          </c:marker>
          <c:cat>
            <c:strRef>
              <c:f>'Engineer KPIs'!$A$266:$A$285</c:f>
              <c:strCache>
                <c:ptCount val="20"/>
                <c:pt idx="0">
                  <c:v>Q1-24</c:v>
                </c:pt>
                <c:pt idx="1">
                  <c:v>Q2-24</c:v>
                </c:pt>
                <c:pt idx="2">
                  <c:v>Q3-24</c:v>
                </c:pt>
                <c:pt idx="3">
                  <c:v>Q4-24</c:v>
                </c:pt>
                <c:pt idx="4">
                  <c:v>Q1-25</c:v>
                </c:pt>
                <c:pt idx="5">
                  <c:v>Q2-25</c:v>
                </c:pt>
                <c:pt idx="6">
                  <c:v>Q3-25</c:v>
                </c:pt>
                <c:pt idx="7">
                  <c:v>Q4-25</c:v>
                </c:pt>
                <c:pt idx="8">
                  <c:v>Q1-26</c:v>
                </c:pt>
                <c:pt idx="9">
                  <c:v>Q2-26</c:v>
                </c:pt>
                <c:pt idx="10">
                  <c:v>Q3-26</c:v>
                </c:pt>
                <c:pt idx="11">
                  <c:v>Q4-26</c:v>
                </c:pt>
                <c:pt idx="12">
                  <c:v>Q1-27</c:v>
                </c:pt>
                <c:pt idx="13">
                  <c:v>Q2-27</c:v>
                </c:pt>
                <c:pt idx="14">
                  <c:v>Q3-27</c:v>
                </c:pt>
                <c:pt idx="15">
                  <c:v>Q4-27</c:v>
                </c:pt>
                <c:pt idx="16">
                  <c:v>Q1-28</c:v>
                </c:pt>
                <c:pt idx="17">
                  <c:v>Q2-28</c:v>
                </c:pt>
                <c:pt idx="18">
                  <c:v>Q3-28</c:v>
                </c:pt>
                <c:pt idx="19">
                  <c:v>Q4-28</c:v>
                </c:pt>
              </c:strCache>
            </c:strRef>
          </c:cat>
          <c:val>
            <c:numRef>
              <c:f>'Engineer KPIs'!$D$266:$D$285</c:f>
              <c:numCache>
                <c:formatCode>General</c:formatCode>
                <c:ptCount val="20"/>
                <c:pt idx="0">
                  <c:v>0</c:v>
                </c:pt>
                <c:pt idx="1">
                  <c:v>0</c:v>
                </c:pt>
                <c:pt idx="2">
                  <c:v>1.2675675675675677</c:v>
                </c:pt>
                <c:pt idx="3">
                  <c:v>2.2999999999999998</c:v>
                </c:pt>
                <c:pt idx="4">
                  <c:v>2.4472972972972973</c:v>
                </c:pt>
                <c:pt idx="5">
                  <c:v>1.7432432432432432</c:v>
                </c:pt>
                <c:pt idx="6">
                  <c:v>3.2824324324324325</c:v>
                </c:pt>
                <c:pt idx="7">
                  <c:v>2.7054054054054055</c:v>
                </c:pt>
                <c:pt idx="8">
                  <c:v>2.2378378378378376</c:v>
                </c:pt>
                <c:pt idx="9">
                  <c:v>2.5054054054054054</c:v>
                </c:pt>
                <c:pt idx="10">
                  <c:v>1.4486486486486487</c:v>
                </c:pt>
                <c:pt idx="11">
                  <c:v>0</c:v>
                </c:pt>
                <c:pt idx="12">
                  <c:v>0</c:v>
                </c:pt>
                <c:pt idx="13">
                  <c:v>0</c:v>
                </c:pt>
                <c:pt idx="14">
                  <c:v>0</c:v>
                </c:pt>
                <c:pt idx="15">
                  <c:v>0</c:v>
                </c:pt>
                <c:pt idx="16">
                  <c:v>0</c:v>
                </c:pt>
                <c:pt idx="17">
                  <c:v>0</c:v>
                </c:pt>
                <c:pt idx="18">
                  <c:v>0</c:v>
                </c:pt>
                <c:pt idx="19">
                  <c:v>0</c:v>
                </c:pt>
              </c:numCache>
            </c:numRef>
          </c:val>
          <c:smooth val="0"/>
          <c:extLst>
            <c:ext xmlns:c16="http://schemas.microsoft.com/office/drawing/2014/chart" uri="{C3380CC4-5D6E-409C-BE32-E72D297353CC}">
              <c16:uniqueId val="{00000002-36E4-4435-AA1F-85C2F178835B}"/>
            </c:ext>
          </c:extLst>
        </c:ser>
        <c:dLbls>
          <c:showLegendKey val="0"/>
          <c:showVal val="0"/>
          <c:showCatName val="0"/>
          <c:showSerName val="0"/>
          <c:showPercent val="0"/>
          <c:showBubbleSize val="0"/>
        </c:dLbls>
        <c:smooth val="0"/>
        <c:axId val="1345952879"/>
        <c:axId val="1359873183"/>
      </c:lineChart>
      <c:catAx>
        <c:axId val="134595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873183"/>
        <c:crosses val="autoZero"/>
        <c:auto val="1"/>
        <c:lblAlgn val="ctr"/>
        <c:lblOffset val="100"/>
        <c:noMultiLvlLbl val="0"/>
      </c:catAx>
      <c:valAx>
        <c:axId val="135987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952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FBFBF"/>
      </a:solidFill>
      <a:prstDash val="solid"/>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a:t>Actual vs Capacity vs Remaining Workload by Engineer</a:t>
            </a: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'Engineer KPIs'!$B$312</c:f>
              <c:strCache>
                <c:ptCount val="1"/>
                <c:pt idx="0">
                  <c:v>Actual MM</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'Engineer KPIs'!$A$313:$A$315</c:f>
              <c:strCache>
                <c:ptCount val="3"/>
                <c:pt idx="0">
                  <c:v>Ahmed</c:v>
                </c:pt>
                <c:pt idx="1">
                  <c:v>Osama</c:v>
                </c:pt>
                <c:pt idx="2">
                  <c:v>Kirolos</c:v>
                </c:pt>
              </c:strCache>
            </c:strRef>
          </c:cat>
          <c:val>
            <c:numRef>
              <c:f>'Engineer KPIs'!$B$313:$B$315</c:f>
              <c:numCache>
                <c:formatCode>0.00;\(0.00\);\-</c:formatCode>
                <c:ptCount val="3"/>
                <c:pt idx="0">
                  <c:v>5.7216216216216225</c:v>
                </c:pt>
                <c:pt idx="1">
                  <c:v>5.9945945945945942</c:v>
                </c:pt>
                <c:pt idx="2">
                  <c:v>6.1918918918918919</c:v>
                </c:pt>
              </c:numCache>
            </c:numRef>
          </c:val>
          <c:extLst>
            <c:ext xmlns:c16="http://schemas.microsoft.com/office/drawing/2014/chart" uri="{C3380CC4-5D6E-409C-BE32-E72D297353CC}">
              <c16:uniqueId val="{00000000-FF16-4E99-8ACB-07E2D44C97B0}"/>
            </c:ext>
          </c:extLst>
        </c:ser>
        <c:ser>
          <c:idx val="1"/>
          <c:order val="1"/>
          <c:tx>
            <c:strRef>
              <c:f>'Engineer KPIs'!$C$312</c:f>
              <c:strCache>
                <c:ptCount val="1"/>
                <c:pt idx="0">
                  <c:v>Capacity to Date</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'Engineer KPIs'!$A$313:$A$315</c:f>
              <c:strCache>
                <c:ptCount val="3"/>
                <c:pt idx="0">
                  <c:v>Ahmed</c:v>
                </c:pt>
                <c:pt idx="1">
                  <c:v>Osama</c:v>
                </c:pt>
                <c:pt idx="2">
                  <c:v>Kirolos</c:v>
                </c:pt>
              </c:strCache>
            </c:strRef>
          </c:cat>
          <c:val>
            <c:numRef>
              <c:f>'Engineer KPIs'!$C$313:$C$315</c:f>
              <c:numCache>
                <c:formatCode>0.00;\(0.00\);\-</c:formatCode>
                <c:ptCount val="3"/>
                <c:pt idx="0">
                  <c:v>8.054347826086957</c:v>
                </c:pt>
                <c:pt idx="1">
                  <c:v>8.054347826086957</c:v>
                </c:pt>
                <c:pt idx="2">
                  <c:v>8.054347826086957</c:v>
                </c:pt>
              </c:numCache>
            </c:numRef>
          </c:val>
          <c:extLst>
            <c:ext xmlns:c16="http://schemas.microsoft.com/office/drawing/2014/chart" uri="{C3380CC4-5D6E-409C-BE32-E72D297353CC}">
              <c16:uniqueId val="{00000001-FF16-4E99-8ACB-07E2D44C97B0}"/>
            </c:ext>
          </c:extLst>
        </c:ser>
        <c:ser>
          <c:idx val="2"/>
          <c:order val="2"/>
          <c:tx>
            <c:strRef>
              <c:f>'Engineer KPIs'!$D$312</c:f>
              <c:strCache>
                <c:ptCount val="1"/>
                <c:pt idx="0">
                  <c:v>Remaining on Hand</c:v>
                </c:pt>
              </c:strCache>
            </c:strRef>
          </c:tx>
          <c:spPr>
            <a:solidFill>
              <a:schemeClr val="accent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'Engineer KPIs'!$A$313:$A$315</c:f>
              <c:strCache>
                <c:ptCount val="3"/>
                <c:pt idx="0">
                  <c:v>Ahmed</c:v>
                </c:pt>
                <c:pt idx="1">
                  <c:v>Osama</c:v>
                </c:pt>
                <c:pt idx="2">
                  <c:v>Kirolos</c:v>
                </c:pt>
              </c:strCache>
            </c:strRef>
          </c:cat>
          <c:val>
            <c:numRef>
              <c:f>'Engineer KPIs'!$D$313:$D$315</c:f>
              <c:numCache>
                <c:formatCode>0.00;\(0.00\);\-</c:formatCode>
                <c:ptCount val="3"/>
                <c:pt idx="0">
                  <c:v>22.961745693007909</c:v>
                </c:pt>
                <c:pt idx="1">
                  <c:v>24.440534518563283</c:v>
                </c:pt>
                <c:pt idx="2">
                  <c:v>6.16589789837907</c:v>
                </c:pt>
              </c:numCache>
            </c:numRef>
          </c:val>
          <c:extLst>
            <c:ext xmlns:c16="http://schemas.microsoft.com/office/drawing/2014/chart" uri="{C3380CC4-5D6E-409C-BE32-E72D297353CC}">
              <c16:uniqueId val="{00000002-FF16-4E99-8ACB-07E2D44C97B0}"/>
            </c:ext>
          </c:extLst>
        </c:ser>
        <c:dLbls>
          <c:showLegendKey val="0"/>
          <c:showVal val="0"/>
          <c:showCatName val="0"/>
          <c:showSerName val="0"/>
          <c:showPercent val="0"/>
          <c:showBubbleSize val="0"/>
        </c:dLbls>
        <c:gapWidth val="219"/>
        <c:overlap val="-27"/>
        <c:axId val="1345964015"/>
        <c:axId val="1359869823"/>
      </c:barChart>
      <c:catAx>
        <c:axId val="134596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869823"/>
        <c:crosses val="autoZero"/>
        <c:auto val="1"/>
        <c:lblAlgn val="ctr"/>
        <c:lblOffset val="100"/>
        <c:noMultiLvlLbl val="0"/>
      </c:catAx>
      <c:valAx>
        <c:axId val="1359869823"/>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9640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FBFBF"/>
      </a:solidFill>
      <a:prstDash val="solid"/>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a:t>Share of Actual MM Booked</a:t>
            </a: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'Engineer KPIs'!$B$288</c:f>
              <c:strCache>
                <c:ptCount val="1"/>
                <c:pt idx="0">
                  <c:v>Actual MM</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78FB-4470-8E83-86ED33884D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30-4C49-BA8B-613C2F0460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78FB-4470-8E83-86ED33884DEC}"/>
              </c:ext>
            </c:extLst>
          </c:dPt>
          <c:dLbls>
            <c:numFmt formatCode="0.00&quot; M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'Engineer KPIs'!$A$289:$A$291</c:f>
              <c:strCache>
                <c:ptCount val="3"/>
                <c:pt idx="0">
                  <c:v>Ahmed</c:v>
                </c:pt>
                <c:pt idx="1">
                  <c:v>Osama</c:v>
                </c:pt>
                <c:pt idx="2">
                  <c:v>Kirolos</c:v>
                </c:pt>
              </c:strCache>
            </c:strRef>
          </c:cat>
          <c:val>
            <c:numRef>
              <c:f>'Engineer KPIs'!$B$289:$B$291</c:f>
              <c:numCache>
                <c:formatCode>0.00;\(0.00\);\-</c:formatCode>
                <c:ptCount val="3"/>
                <c:pt idx="0">
                  <c:v>5.7216216216216225</c:v>
                </c:pt>
                <c:pt idx="1">
                  <c:v>5.9945945945945942</c:v>
                </c:pt>
                <c:pt idx="2">
                  <c:v>6.1918918918918919</c:v>
                </c:pt>
              </c:numCache>
            </c:numRef>
          </c:val>
          <c:extLst>
            <c:ext xmlns:c16="http://schemas.microsoft.com/office/drawing/2014/chart" uri="{C3380CC4-5D6E-409C-BE32-E72D297353CC}">
              <c16:uniqueId val="{00000000-78FB-4470-8E83-86ED33884DE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FBFBF"/>
      </a:solidFill>
      <a:prstDash val="solid"/>
      <a:round/>
    </a:ln>
    <a:effectLst/>
  </c:spPr>
  <c:txPr>
    <a:bodyPr/>
    <a:lstStyle/>
    <a:p>
      <a:pPr>
        <a:defRPr/>
      </a:pPr>
      <a:endParaRPr lang="en-US"/>
    </a:p>
  </c:txPr>
  <c:printSettings>
    <c:headerFooter/>
    <c:pageMargins b="0.75" l="0.7" r="0.7" t="0.75" header="0.3" footer="0.3"/>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a:t>Share of Earned MM (value delivered)</a:t>
            </a: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'Engineer KPIs'!$B$294</c:f>
              <c:strCache>
                <c:ptCount val="1"/>
                <c:pt idx="0">
                  <c:v>Earned MM</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A5-4DC0-B3B2-72C8C23088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A5-4DC0-B3B2-72C8C23088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A5-4DC0-B3B2-72C8C23088E9}"/>
              </c:ext>
            </c:extLst>
          </c:dPt>
          <c:dLbls>
            <c:numFmt formatCode="0.00&quot; M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'Engineer KPIs'!$A$295:$A$297</c:f>
              <c:strCache>
                <c:ptCount val="3"/>
                <c:pt idx="0">
                  <c:v>Ahmed</c:v>
                </c:pt>
                <c:pt idx="1">
                  <c:v>Osama</c:v>
                </c:pt>
                <c:pt idx="2">
                  <c:v>Kirolos</c:v>
                </c:pt>
              </c:strCache>
            </c:strRef>
          </c:cat>
          <c:val>
            <c:numRef>
              <c:f>'Engineer KPIs'!$B$295:$B$297</c:f>
              <c:numCache>
                <c:formatCode>0.00;\(0.00\);\-</c:formatCode>
                <c:ptCount val="3"/>
                <c:pt idx="0">
                  <c:v>5.1198091144153901</c:v>
                </c:pt>
                <c:pt idx="1">
                  <c:v>3.7813340110923952</c:v>
                </c:pt>
                <c:pt idx="2">
                  <c:v>5.2849941944584158</c:v>
                </c:pt>
              </c:numCache>
            </c:numRef>
          </c:val>
          <c:extLst>
            <c:ext xmlns:c16="http://schemas.microsoft.com/office/drawing/2014/chart" uri="{C3380CC4-5D6E-409C-BE32-E72D297353CC}">
              <c16:uniqueId val="{00000000-F303-4E1E-86ED-C62D1CEABB5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FBFBF"/>
      </a:solidFill>
      <a:prstDash val="solid"/>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a:t>Share of Remaining Workload on Hand</a:t>
            </a: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'Engineer KPIs'!$B$300</c:f>
              <c:strCache>
                <c:ptCount val="1"/>
                <c:pt idx="0">
                  <c:v>Remaining on Hand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5B-4A9C-9F13-44B2B258C6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5B-4A9C-9F13-44B2B258C6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5B-4A9C-9F13-44B2B258C6AC}"/>
              </c:ext>
            </c:extLst>
          </c:dPt>
          <c:dLbls>
            <c:numFmt formatCode="0.00&quot; M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'Engineer KPIs'!$A$301:$A$303</c:f>
              <c:strCache>
                <c:ptCount val="3"/>
                <c:pt idx="0">
                  <c:v>Ahmed</c:v>
                </c:pt>
                <c:pt idx="1">
                  <c:v>Osama</c:v>
                </c:pt>
                <c:pt idx="2">
                  <c:v>Kirolos</c:v>
                </c:pt>
              </c:strCache>
            </c:strRef>
          </c:cat>
          <c:val>
            <c:numRef>
              <c:f>'Engineer KPIs'!$B$301:$B$303</c:f>
              <c:numCache>
                <c:formatCode>0.00;\(0.00\);\-</c:formatCode>
                <c:ptCount val="3"/>
                <c:pt idx="0">
                  <c:v>22.961745693007909</c:v>
                </c:pt>
                <c:pt idx="1">
                  <c:v>24.440534518563283</c:v>
                </c:pt>
                <c:pt idx="2">
                  <c:v>6.16589789837907</c:v>
                </c:pt>
              </c:numCache>
            </c:numRef>
          </c:val>
          <c:extLst>
            <c:ext xmlns:c16="http://schemas.microsoft.com/office/drawing/2014/chart" uri="{C3380CC4-5D6E-409C-BE32-E72D297353CC}">
              <c16:uniqueId val="{00000000-0445-4780-B527-05C5E38EE15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FBFBF"/>
      </a:solidFill>
      <a:prstDash val="solid"/>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a:t>Share of Planned MM to Date</a:t>
            </a: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'Engineer KPIs'!$B$306</c:f>
              <c:strCache>
                <c:ptCount val="1"/>
                <c:pt idx="0">
                  <c:v>Planned MM to Date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67-47BC-89EC-03D579984E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67-47BC-89EC-03D579984E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67-47BC-89EC-03D579984E82}"/>
              </c:ext>
            </c:extLst>
          </c:dPt>
          <c:dLbls>
            <c:numFmt formatCode="0.00&quot; MM&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'Engineer KPIs'!$A$307:$A$309</c:f>
              <c:strCache>
                <c:ptCount val="3"/>
                <c:pt idx="0">
                  <c:v>Ahmed</c:v>
                </c:pt>
                <c:pt idx="1">
                  <c:v>Osama</c:v>
                </c:pt>
                <c:pt idx="2">
                  <c:v>Kirolos</c:v>
                </c:pt>
              </c:strCache>
            </c:strRef>
          </c:cat>
          <c:val>
            <c:numRef>
              <c:f>'Engineer KPIs'!$B$307:$B$309</c:f>
              <c:numCache>
                <c:formatCode>0.00;\(0.00\);\-</c:formatCode>
                <c:ptCount val="3"/>
                <c:pt idx="0">
                  <c:v>12.228238810823992</c:v>
                </c:pt>
                <c:pt idx="1">
                  <c:v>9.3573832148261431</c:v>
                </c:pt>
                <c:pt idx="2">
                  <c:v>11.136586869986392</c:v>
                </c:pt>
              </c:numCache>
            </c:numRef>
          </c:val>
          <c:extLst>
            <c:ext xmlns:c16="http://schemas.microsoft.com/office/drawing/2014/chart" uri="{C3380CC4-5D6E-409C-BE32-E72D297353CC}">
              <c16:uniqueId val="{00000000-782B-4861-A88E-14D99BFE86E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FBFBF"/>
      </a:solidFill>
      <a:prstDash val="solid"/>
      <a:round/>
    </a:ln>
    <a:effectLst/>
  </c:spPr>
  <c:txPr>
    <a:bodyPr/>
    <a:lstStyle/>
    <a:p>
      <a:pPr>
        <a:defRPr/>
      </a:pPr>
      <a:endParaRPr lang="en-US"/>
    </a:p>
  </c:txPr>
  <c:printSettings>
    <c:headerFooter/>
    <c:pageMargins b="0.75" l="0.7" r="0.7" t="0.75" header="0.3" footer="0.3"/>
    <c:pageSetup paperSize="9"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a:t>Your Actual, Earned and Capacity by Quarter (MM)</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'Team Member'!$B$239</c:f>
              <c:strCache>
                <c:ptCount val="1"/>
                <c:pt idx="0">
                  <c:v>Your Actual MM</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Member'!$A$240:$A$243</c:f>
              <c:strCache>
                <c:ptCount val="4"/>
                <c:pt idx="0">
                  <c:v>Q1-25</c:v>
                </c:pt>
                <c:pt idx="1">
                  <c:v>Q2-25</c:v>
                </c:pt>
                <c:pt idx="2">
                  <c:v>Q3-25</c:v>
                </c:pt>
                <c:pt idx="3">
                  <c:v>Q4-25</c:v>
                </c:pt>
              </c:strCache>
            </c:strRef>
          </c:cat>
          <c:val>
            <c:numRef>
              <c:f>'Team Member'!$B$240:$B$243</c:f>
              <c:numCache>
                <c:formatCode>0.00;\(0.00\);\-</c:formatCode>
                <c:ptCount val="4"/>
                <c:pt idx="0">
                  <c:v>2.224324324324324</c:v>
                </c:pt>
                <c:pt idx="1">
                  <c:v>2.0716216216216217</c:v>
                </c:pt>
                <c:pt idx="2">
                  <c:v>2.2554054054054054</c:v>
                </c:pt>
                <c:pt idx="3">
                  <c:v>2.7081081081081084</c:v>
                </c:pt>
              </c:numCache>
            </c:numRef>
          </c:val>
          <c:extLst>
            <c:ext xmlns:c16="http://schemas.microsoft.com/office/drawing/2014/chart" uri="{C3380CC4-5D6E-409C-BE32-E72D297353CC}">
              <c16:uniqueId val="{00000000-5566-4BE6-AF85-C258D9A2D005}"/>
            </c:ext>
          </c:extLst>
        </c:ser>
        <c:ser>
          <c:idx val="1"/>
          <c:order val="1"/>
          <c:tx>
            <c:strRef>
              <c:f>'Team Member'!$C$239</c:f>
              <c:strCache>
                <c:ptCount val="1"/>
                <c:pt idx="0">
                  <c:v>Your Earned MM</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Member'!$A$240:$A$243</c:f>
              <c:strCache>
                <c:ptCount val="4"/>
                <c:pt idx="0">
                  <c:v>Q1-25</c:v>
                </c:pt>
                <c:pt idx="1">
                  <c:v>Q2-25</c:v>
                </c:pt>
                <c:pt idx="2">
                  <c:v>Q3-25</c:v>
                </c:pt>
                <c:pt idx="3">
                  <c:v>Q4-25</c:v>
                </c:pt>
              </c:strCache>
            </c:strRef>
          </c:cat>
          <c:val>
            <c:numRef>
              <c:f>'Team Member'!$C$240:$C$243</c:f>
              <c:numCache>
                <c:formatCode>0.00;\(0.00\);\-</c:formatCode>
                <c:ptCount val="4"/>
                <c:pt idx="0">
                  <c:v>2.162548491108526</c:v>
                </c:pt>
                <c:pt idx="1">
                  <c:v>7.8547622580460299</c:v>
                </c:pt>
                <c:pt idx="2">
                  <c:v>7.5314145633642564</c:v>
                </c:pt>
                <c:pt idx="3">
                  <c:v>2.466872853156266</c:v>
                </c:pt>
              </c:numCache>
            </c:numRef>
          </c:val>
          <c:extLst>
            <c:ext xmlns:c16="http://schemas.microsoft.com/office/drawing/2014/chart" uri="{C3380CC4-5D6E-409C-BE32-E72D297353CC}">
              <c16:uniqueId val="{00000001-5566-4BE6-AF85-C258D9A2D005}"/>
            </c:ext>
          </c:extLst>
        </c:ser>
        <c:ser>
          <c:idx val="2"/>
          <c:order val="2"/>
          <c:tx>
            <c:strRef>
              <c:f>'Team Member'!$D$239</c:f>
              <c:strCache>
                <c:ptCount val="1"/>
                <c:pt idx="0">
                  <c:v>Your Capacity to Date</c:v>
                </c:pt>
              </c:strCache>
            </c:strRef>
          </c:tx>
          <c:spPr>
            <a:solidFill>
              <a:schemeClr val="accent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Member'!$A$240:$A$243</c:f>
              <c:strCache>
                <c:ptCount val="4"/>
                <c:pt idx="0">
                  <c:v>Q1-25</c:v>
                </c:pt>
                <c:pt idx="1">
                  <c:v>Q2-25</c:v>
                </c:pt>
                <c:pt idx="2">
                  <c:v>Q3-25</c:v>
                </c:pt>
                <c:pt idx="3">
                  <c:v>Q4-25</c:v>
                </c:pt>
              </c:strCache>
            </c:strRef>
          </c:cat>
          <c:val>
            <c:numRef>
              <c:f>'Team Member'!$D$240:$D$243</c:f>
              <c:numCache>
                <c:formatCode>0.00;\(0.00\);\-</c:formatCode>
                <c:ptCount val="4"/>
                <c:pt idx="0">
                  <c:v>3</c:v>
                </c:pt>
                <c:pt idx="1">
                  <c:v>3</c:v>
                </c:pt>
                <c:pt idx="2">
                  <c:v>3</c:v>
                </c:pt>
                <c:pt idx="3">
                  <c:v>3</c:v>
                </c:pt>
              </c:numCache>
            </c:numRef>
          </c:val>
          <c:extLst>
            <c:ext xmlns:c16="http://schemas.microsoft.com/office/drawing/2014/chart" uri="{C3380CC4-5D6E-409C-BE32-E72D297353CC}">
              <c16:uniqueId val="{00000002-5566-4BE6-AF85-C258D9A2D005}"/>
            </c:ext>
          </c:extLst>
        </c:ser>
        <c:dLbls>
          <c:showLegendKey val="0"/>
          <c:showVal val="0"/>
          <c:showCatName val="0"/>
          <c:showSerName val="0"/>
          <c:showPercent val="0"/>
          <c:showBubbleSize val="0"/>
        </c:dLbls>
        <c:gapWidth val="219"/>
        <c:overlap val="-27"/>
        <c:axId val="1284411391"/>
        <c:axId val="1359823743"/>
      </c:barChart>
      <c:catAx>
        <c:axId val="128441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823743"/>
        <c:crosses val="autoZero"/>
        <c:auto val="1"/>
        <c:lblAlgn val="ctr"/>
        <c:lblOffset val="100"/>
        <c:noMultiLvlLbl val="0"/>
      </c:catAx>
      <c:valAx>
        <c:axId val="1359823743"/>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4113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FBFBF"/>
      </a:solidFill>
      <a:prstDash val="solid"/>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a:t>Weighted Score by Engineer</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Scorecard!$B$62</c:f>
              <c:strCache>
                <c:ptCount val="1"/>
                <c:pt idx="0">
                  <c:v>Weighted Score</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Scorecard!$A$63:$A$65</c:f>
              <c:strCache>
                <c:ptCount val="3"/>
                <c:pt idx="0">
                  <c:v>Ahmed</c:v>
                </c:pt>
                <c:pt idx="1">
                  <c:v>Osama</c:v>
                </c:pt>
                <c:pt idx="2">
                  <c:v>Kirolos</c:v>
                </c:pt>
              </c:strCache>
            </c:strRef>
          </c:cat>
          <c:val>
            <c:numRef>
              <c:f>Scorecard!$B$63:$B$65</c:f>
              <c:numCache>
                <c:formatCode>0.0</c:formatCode>
                <c:ptCount val="3"/>
                <c:pt idx="0">
                  <c:v>84.752291268883866</c:v>
                </c:pt>
                <c:pt idx="1">
                  <c:v>75.994279733712233</c:v>
                </c:pt>
                <c:pt idx="2">
                  <c:v>83.862362259461221</c:v>
                </c:pt>
              </c:numCache>
            </c:numRef>
          </c:val>
          <c:extLst>
            <c:ext xmlns:c16="http://schemas.microsoft.com/office/drawing/2014/chart" uri="{C3380CC4-5D6E-409C-BE32-E72D297353CC}">
              <c16:uniqueId val="{00000000-B02D-4428-9A54-C69EC1285873}"/>
            </c:ext>
          </c:extLst>
        </c:ser>
        <c:dLbls>
          <c:showLegendKey val="0"/>
          <c:showVal val="0"/>
          <c:showCatName val="0"/>
          <c:showSerName val="0"/>
          <c:showPercent val="0"/>
          <c:showBubbleSize val="0"/>
        </c:dLbls>
        <c:gapWidth val="219"/>
        <c:overlap val="-27"/>
        <c:axId val="1284402111"/>
        <c:axId val="1359857343"/>
      </c:barChart>
      <c:catAx>
        <c:axId val="128440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857343"/>
        <c:crosses val="autoZero"/>
        <c:auto val="1"/>
        <c:lblAlgn val="ctr"/>
        <c:lblOffset val="100"/>
        <c:noMultiLvlLbl val="0"/>
      </c:catAx>
      <c:valAx>
        <c:axId val="135985734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40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FBFBF"/>
      </a:solidFill>
      <a:prstDash val="solid"/>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a:t>Factor Scores by Engineer (0–100)</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Scorecard!$B$24</c:f>
              <c:strCache>
                <c:ptCount val="1"/>
                <c:pt idx="0">
                  <c:v>Ahmed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Scorecard!$A$25:$A$30</c:f>
              <c:strCache>
                <c:ptCount val="6"/>
                <c:pt idx="0">
                  <c:v>Efficiency (CPI, type-weighted)</c:v>
                </c:pt>
                <c:pt idx="1">
                  <c:v>Utilisation vs capacity</c:v>
                </c:pt>
                <c:pt idx="2">
                  <c:v>Plan adherence</c:v>
                </c:pt>
                <c:pt idx="3">
                  <c:v>Earned MM delivered (type-weighted)</c:v>
                </c:pt>
                <c:pt idx="4">
                  <c:v>Actual MM contributed</c:v>
                </c:pt>
                <c:pt idx="5">
                  <c:v>Projects worked</c:v>
                </c:pt>
              </c:strCache>
            </c:strRef>
          </c:cat>
          <c:val>
            <c:numRef>
              <c:f>Scorecard!$B$25:$B$30</c:f>
              <c:numCache>
                <c:formatCode>0.0</c:formatCode>
                <c:ptCount val="6"/>
                <c:pt idx="0">
                  <c:v>100</c:v>
                </c:pt>
                <c:pt idx="1">
                  <c:v>71.037677353466833</c:v>
                </c:pt>
                <c:pt idx="2">
                  <c:v>46.790234555748548</c:v>
                </c:pt>
                <c:pt idx="3">
                  <c:v>100</c:v>
                </c:pt>
                <c:pt idx="4">
                  <c:v>92.405063291139257</c:v>
                </c:pt>
                <c:pt idx="5">
                  <c:v>85.714285714285708</c:v>
                </c:pt>
              </c:numCache>
            </c:numRef>
          </c:val>
          <c:extLst>
            <c:ext xmlns:c16="http://schemas.microsoft.com/office/drawing/2014/chart" uri="{C3380CC4-5D6E-409C-BE32-E72D297353CC}">
              <c16:uniqueId val="{00000000-5C0A-4523-9BDB-39009BC73052}"/>
            </c:ext>
          </c:extLst>
        </c:ser>
        <c:ser>
          <c:idx val="1"/>
          <c:order val="1"/>
          <c:tx>
            <c:strRef>
              <c:f>Scorecard!$C$24</c:f>
              <c:strCache>
                <c:ptCount val="1"/>
                <c:pt idx="0">
                  <c:v>Osama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Scorecard!$A$25:$A$30</c:f>
              <c:strCache>
                <c:ptCount val="6"/>
                <c:pt idx="0">
                  <c:v>Efficiency (CPI, type-weighted)</c:v>
                </c:pt>
                <c:pt idx="1">
                  <c:v>Utilisation vs capacity</c:v>
                </c:pt>
                <c:pt idx="2">
                  <c:v>Plan adherence</c:v>
                </c:pt>
                <c:pt idx="3">
                  <c:v>Earned MM delivered (type-weighted)</c:v>
                </c:pt>
                <c:pt idx="4">
                  <c:v>Actual MM contributed</c:v>
                </c:pt>
                <c:pt idx="5">
                  <c:v>Projects worked</c:v>
                </c:pt>
              </c:strCache>
            </c:strRef>
          </c:cat>
          <c:val>
            <c:numRef>
              <c:f>Scorecard!$C$25:$C$30</c:f>
              <c:numCache>
                <c:formatCode>0.0</c:formatCode>
                <c:ptCount val="6"/>
                <c:pt idx="0">
                  <c:v>76.462820069161381</c:v>
                </c:pt>
                <c:pt idx="1">
                  <c:v>74.426815479447043</c:v>
                </c:pt>
                <c:pt idx="2">
                  <c:v>64.062724128862897</c:v>
                </c:pt>
                <c:pt idx="3">
                  <c:v>80.110786449409503</c:v>
                </c:pt>
                <c:pt idx="4">
                  <c:v>96.813618507202094</c:v>
                </c:pt>
                <c:pt idx="5">
                  <c:v>57.142857142857139</c:v>
                </c:pt>
              </c:numCache>
            </c:numRef>
          </c:val>
          <c:extLst>
            <c:ext xmlns:c16="http://schemas.microsoft.com/office/drawing/2014/chart" uri="{C3380CC4-5D6E-409C-BE32-E72D297353CC}">
              <c16:uniqueId val="{00000001-5C0A-4523-9BDB-39009BC73052}"/>
            </c:ext>
          </c:extLst>
        </c:ser>
        <c:ser>
          <c:idx val="2"/>
          <c:order val="2"/>
          <c:tx>
            <c:strRef>
              <c:f>Scorecard!$D$24</c:f>
              <c:strCache>
                <c:ptCount val="1"/>
                <c:pt idx="0">
                  <c:v>Kirolos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Scorecard!$A$25:$A$30</c:f>
              <c:strCache>
                <c:ptCount val="6"/>
                <c:pt idx="0">
                  <c:v>Efficiency (CPI, type-weighted)</c:v>
                </c:pt>
                <c:pt idx="1">
                  <c:v>Utilisation vs capacity</c:v>
                </c:pt>
                <c:pt idx="2">
                  <c:v>Plan adherence</c:v>
                </c:pt>
                <c:pt idx="3">
                  <c:v>Earned MM delivered (type-weighted)</c:v>
                </c:pt>
                <c:pt idx="4">
                  <c:v>Actual MM contributed</c:v>
                </c:pt>
                <c:pt idx="5">
                  <c:v>Projects worked</c:v>
                </c:pt>
              </c:strCache>
            </c:strRef>
          </c:cat>
          <c:val>
            <c:numRef>
              <c:f>Scorecard!$D$25:$D$30</c:f>
              <c:numCache>
                <c:formatCode>0.0</c:formatCode>
                <c:ptCount val="6"/>
                <c:pt idx="0">
                  <c:v>87.420214829778544</c:v>
                </c:pt>
                <c:pt idx="1">
                  <c:v>76.876390560601081</c:v>
                </c:pt>
                <c:pt idx="2">
                  <c:v>55.59954736741939</c:v>
                </c:pt>
                <c:pt idx="3">
                  <c:v>94.60543796647265</c:v>
                </c:pt>
                <c:pt idx="4">
                  <c:v>100</c:v>
                </c:pt>
                <c:pt idx="5">
                  <c:v>100</c:v>
                </c:pt>
              </c:numCache>
            </c:numRef>
          </c:val>
          <c:extLst>
            <c:ext xmlns:c16="http://schemas.microsoft.com/office/drawing/2014/chart" uri="{C3380CC4-5D6E-409C-BE32-E72D297353CC}">
              <c16:uniqueId val="{00000002-5C0A-4523-9BDB-39009BC73052}"/>
            </c:ext>
          </c:extLst>
        </c:ser>
        <c:dLbls>
          <c:showLegendKey val="0"/>
          <c:showVal val="0"/>
          <c:showCatName val="0"/>
          <c:showSerName val="0"/>
          <c:showPercent val="0"/>
          <c:showBubbleSize val="0"/>
        </c:dLbls>
        <c:axId val="1284432735"/>
        <c:axId val="1359860223"/>
      </c:radarChart>
      <c:catAx>
        <c:axId val="128443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860223"/>
        <c:crosses val="autoZero"/>
        <c:auto val="1"/>
        <c:lblAlgn val="ctr"/>
        <c:lblOffset val="100"/>
        <c:noMultiLvlLbl val="0"/>
      </c:catAx>
      <c:valAx>
        <c:axId val="135986022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432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BFBFBF"/>
      </a:solidFill>
      <a:prstDash val="solid"/>
      <a:round/>
    </a:ln>
    <a:effectLst/>
  </c:spPr>
  <c:txPr>
    <a:bodyPr/>
    <a:lstStyle/>
    <a:p>
      <a:pPr>
        <a:defRPr/>
      </a:pPr>
      <a:endParaRPr lang="en-US"/>
    </a:p>
  </c:txPr>
  <c:printSettings>
    <c:headerFooter/>
    <c:pageMargins b="0.75" l="0.7" r="0.7" t="0.75" header="0.3" footer="0.3"/>
    <c:pageSetup paperSize="9"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0</xdr:colOff>
      <xdr:row>116</xdr:row>
      <xdr:rowOff>3585</xdr:rowOff>
    </xdr:from>
    <xdr:to>
      <xdr:col>6</xdr:col>
      <xdr:colOff>0</xdr:colOff>
      <xdr:row>136</xdr:row>
      <xdr:rowOff>3585</xdr:rowOff>
    </xdr:to>
    <xdr:graphicFrame macro="">
      <xdr:nvGraphicFramePr>
        <xdr:cNvPr id="4" name="ByQuarter">
          <a:extLst>
            <a:ext uri="{FF2B5EF4-FFF2-40B4-BE49-F238E27FC236}">
              <a16:creationId xmlns:a16="http://schemas.microsoft.com/office/drawing/2014/main" id="{281992C7-C56D-762E-797C-9941BB0BF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447</xdr:colOff>
      <xdr:row>116</xdr:row>
      <xdr:rowOff>3585</xdr:rowOff>
    </xdr:from>
    <xdr:to>
      <xdr:col>12</xdr:col>
      <xdr:colOff>1242059</xdr:colOff>
      <xdr:row>136</xdr:row>
      <xdr:rowOff>3585</xdr:rowOff>
    </xdr:to>
    <xdr:graphicFrame macro="">
      <xdr:nvGraphicFramePr>
        <xdr:cNvPr id="5" name="ByYear">
          <a:extLst>
            <a:ext uri="{FF2B5EF4-FFF2-40B4-BE49-F238E27FC236}">
              <a16:creationId xmlns:a16="http://schemas.microsoft.com/office/drawing/2014/main" id="{F37BF587-34C7-A52D-2A39-36B6798061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23</xdr:row>
      <xdr:rowOff>0</xdr:rowOff>
    </xdr:from>
    <xdr:to>
      <xdr:col>2</xdr:col>
      <xdr:colOff>111760</xdr:colOff>
      <xdr:row>37</xdr:row>
      <xdr:rowOff>170180</xdr:rowOff>
    </xdr:to>
    <xdr:graphicFrame macro="">
      <xdr:nvGraphicFramePr>
        <xdr:cNvPr id="2" name="ActualVsCapacity">
          <a:extLst>
            <a:ext uri="{FF2B5EF4-FFF2-40B4-BE49-F238E27FC236}">
              <a16:creationId xmlns:a16="http://schemas.microsoft.com/office/drawing/2014/main" id="{B9001E78-5DD2-13E0-C797-D4915E5099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187960</xdr:colOff>
      <xdr:row>23</xdr:row>
      <xdr:rowOff>0</xdr:rowOff>
    </xdr:from>
    <xdr:to>
      <xdr:col>5</xdr:col>
      <xdr:colOff>848360</xdr:colOff>
      <xdr:row>37</xdr:row>
      <xdr:rowOff>170180</xdr:rowOff>
    </xdr:to>
    <xdr:graphicFrame macro="">
      <xdr:nvGraphicFramePr>
        <xdr:cNvPr id="3" name="PlannedActualEarned">
          <a:extLst>
            <a:ext uri="{FF2B5EF4-FFF2-40B4-BE49-F238E27FC236}">
              <a16:creationId xmlns:a16="http://schemas.microsoft.com/office/drawing/2014/main" id="{A8882230-EC8C-8485-74A9-2108A566B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924560</xdr:colOff>
      <xdr:row>23</xdr:row>
      <xdr:rowOff>0</xdr:rowOff>
    </xdr:from>
    <xdr:to>
      <xdr:col>9</xdr:col>
      <xdr:colOff>365760</xdr:colOff>
      <xdr:row>37</xdr:row>
      <xdr:rowOff>170180</xdr:rowOff>
    </xdr:to>
    <xdr:graphicFrame macro="">
      <xdr:nvGraphicFramePr>
        <xdr:cNvPr id="4" name="UtilAdherence">
          <a:extLst>
            <a:ext uri="{FF2B5EF4-FFF2-40B4-BE49-F238E27FC236}">
              <a16:creationId xmlns:a16="http://schemas.microsoft.com/office/drawing/2014/main" id="{3FD8433F-54AF-29DD-3E33-D8883CB9AD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66</xdr:row>
      <xdr:rowOff>0</xdr:rowOff>
    </xdr:from>
    <xdr:to>
      <xdr:col>0</xdr:col>
      <xdr:colOff>3632200</xdr:colOff>
      <xdr:row>80</xdr:row>
      <xdr:rowOff>43180</xdr:rowOff>
    </xdr:to>
    <xdr:graphicFrame macro="">
      <xdr:nvGraphicFramePr>
        <xdr:cNvPr id="2" name="EngByQuarter">
          <a:extLst>
            <a:ext uri="{FF2B5EF4-FFF2-40B4-BE49-F238E27FC236}">
              <a16:creationId xmlns:a16="http://schemas.microsoft.com/office/drawing/2014/main" id="{7BEDCE98-0F8F-20DF-90C5-6A0622CC5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3708400</xdr:colOff>
      <xdr:row>66</xdr:row>
      <xdr:rowOff>0</xdr:rowOff>
    </xdr:from>
    <xdr:to>
      <xdr:col>3</xdr:col>
      <xdr:colOff>863600</xdr:colOff>
      <xdr:row>80</xdr:row>
      <xdr:rowOff>43180</xdr:rowOff>
    </xdr:to>
    <xdr:graphicFrame macro="">
      <xdr:nvGraphicFramePr>
        <xdr:cNvPr id="3" name="EngCapacity">
          <a:extLst>
            <a:ext uri="{FF2B5EF4-FFF2-40B4-BE49-F238E27FC236}">
              <a16:creationId xmlns:a16="http://schemas.microsoft.com/office/drawing/2014/main" id="{A0CACCED-705B-F5FD-F994-5ACF60B9EB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965200</xdr:colOff>
      <xdr:row>66</xdr:row>
      <xdr:rowOff>12700</xdr:rowOff>
    </xdr:from>
    <xdr:to>
      <xdr:col>6</xdr:col>
      <xdr:colOff>779780</xdr:colOff>
      <xdr:row>80</xdr:row>
      <xdr:rowOff>55880</xdr:rowOff>
    </xdr:to>
    <xdr:graphicFrame macro="">
      <xdr:nvGraphicFramePr>
        <xdr:cNvPr id="4" name="EngShare">
          <a:extLst>
            <a:ext uri="{FF2B5EF4-FFF2-40B4-BE49-F238E27FC236}">
              <a16:creationId xmlns:a16="http://schemas.microsoft.com/office/drawing/2014/main" id="{D6E4B735-9F8B-52E1-4BA2-CAFC365C6C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80</xdr:row>
      <xdr:rowOff>132080</xdr:rowOff>
    </xdr:from>
    <xdr:to>
      <xdr:col>0</xdr:col>
      <xdr:colOff>3632200</xdr:colOff>
      <xdr:row>94</xdr:row>
      <xdr:rowOff>175260</xdr:rowOff>
    </xdr:to>
    <xdr:graphicFrame macro="">
      <xdr:nvGraphicFramePr>
        <xdr:cNvPr id="5" name="ShareEarned">
          <a:extLst>
            <a:ext uri="{FF2B5EF4-FFF2-40B4-BE49-F238E27FC236}">
              <a16:creationId xmlns:a16="http://schemas.microsoft.com/office/drawing/2014/main" id="{9C5D83A5-48A5-7A57-8290-E4786B3F2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3708400</xdr:colOff>
      <xdr:row>80</xdr:row>
      <xdr:rowOff>132080</xdr:rowOff>
    </xdr:from>
    <xdr:to>
      <xdr:col>3</xdr:col>
      <xdr:colOff>863600</xdr:colOff>
      <xdr:row>94</xdr:row>
      <xdr:rowOff>175260</xdr:rowOff>
    </xdr:to>
    <xdr:graphicFrame macro="">
      <xdr:nvGraphicFramePr>
        <xdr:cNvPr id="6" name="ShareRemaining">
          <a:extLst>
            <a:ext uri="{FF2B5EF4-FFF2-40B4-BE49-F238E27FC236}">
              <a16:creationId xmlns:a16="http://schemas.microsoft.com/office/drawing/2014/main" id="{93F3E182-67EF-5231-36CE-914335809D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939800</xdr:colOff>
      <xdr:row>80</xdr:row>
      <xdr:rowOff>132080</xdr:rowOff>
    </xdr:from>
    <xdr:to>
      <xdr:col>6</xdr:col>
      <xdr:colOff>754380</xdr:colOff>
      <xdr:row>94</xdr:row>
      <xdr:rowOff>175260</xdr:rowOff>
    </xdr:to>
    <xdr:graphicFrame macro="">
      <xdr:nvGraphicFramePr>
        <xdr:cNvPr id="7" name="SharePlanned">
          <a:extLst>
            <a:ext uri="{FF2B5EF4-FFF2-40B4-BE49-F238E27FC236}">
              <a16:creationId xmlns:a16="http://schemas.microsoft.com/office/drawing/2014/main" id="{8EE79DAD-3A71-9412-8A42-59A3DC2B90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99060</xdr:colOff>
      <xdr:row>7</xdr:row>
      <xdr:rowOff>30480</xdr:rowOff>
    </xdr:from>
    <xdr:to>
      <xdr:col>7</xdr:col>
      <xdr:colOff>754380</xdr:colOff>
      <xdr:row>18</xdr:row>
      <xdr:rowOff>45720</xdr:rowOff>
    </xdr:to>
    <xdr:graphicFrame macro="">
      <xdr:nvGraphicFramePr>
        <xdr:cNvPr id="2" name="MyQuarters">
          <a:extLst>
            <a:ext uri="{FF2B5EF4-FFF2-40B4-BE49-F238E27FC236}">
              <a16:creationId xmlns:a16="http://schemas.microsoft.com/office/drawing/2014/main" id="{F0F11DB7-721F-A625-10BB-80307FAE5A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38</xdr:row>
      <xdr:rowOff>52240</xdr:rowOff>
    </xdr:from>
    <xdr:to>
      <xdr:col>3</xdr:col>
      <xdr:colOff>0</xdr:colOff>
      <xdr:row>58</xdr:row>
      <xdr:rowOff>52240</xdr:rowOff>
    </xdr:to>
    <xdr:graphicFrame macro="">
      <xdr:nvGraphicFramePr>
        <xdr:cNvPr id="2" name="ScoreByEngineer">
          <a:extLst>
            <a:ext uri="{FF2B5EF4-FFF2-40B4-BE49-F238E27FC236}">
              <a16:creationId xmlns:a16="http://schemas.microsoft.com/office/drawing/2014/main" id="{AF7B05E4-FBBB-C63C-8E41-989E46FE2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1311225</xdr:colOff>
      <xdr:row>38</xdr:row>
      <xdr:rowOff>51425</xdr:rowOff>
    </xdr:from>
    <xdr:to>
      <xdr:col>5</xdr:col>
      <xdr:colOff>4105225</xdr:colOff>
      <xdr:row>58</xdr:row>
      <xdr:rowOff>51425</xdr:rowOff>
    </xdr:to>
    <xdr:graphicFrame macro="">
      <xdr:nvGraphicFramePr>
        <xdr:cNvPr id="3" name="FactorRadar">
          <a:extLst>
            <a:ext uri="{FF2B5EF4-FFF2-40B4-BE49-F238E27FC236}">
              <a16:creationId xmlns:a16="http://schemas.microsoft.com/office/drawing/2014/main" id="{A3F3F7E7-6302-A7F0-5296-C18BE5A777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D8C26EB-420E-46A4-9B71-894C2CFC9DF5}">
  <we:reference id="WA200009404" version="1.0.0.8" store="Omex" storeType="OMEX"/>
  <we:alternateReferences>
    <we:reference id="WA200009404" version="1.0.0.8" store="WA200009404" storeType="OMEX"/>
  </we:alternateReferences>
  <we:properties>
    <we:property name="claude.fileId" value="&quot;029d5065-ed9d-4115-8947-906ec0ad59c1&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1B190-E5E4-4660-8C14-928255BB1F74}">
  <sheetPr>
    <tabColor rgb="FF7030A0"/>
  </sheetPr>
  <dimension ref="A1:C49"/>
  <sheetViews>
    <sheetView workbookViewId="0">
      <selection activeCell="A8" sqref="A8"/>
    </sheetView>
  </sheetViews>
  <sheetFormatPr defaultRowHeight="14.4" x14ac:dyDescent="0.3"/>
  <cols>
    <col min="1" max="1" width="38.88671875" customWidth="1"/>
    <col min="2" max="2" width="87" customWidth="1"/>
    <col min="3" max="3" width="29.6640625" customWidth="1"/>
  </cols>
  <sheetData>
    <row r="1" spans="1:3" ht="23.4" x14ac:dyDescent="0.3">
      <c r="A1" s="415" t="s">
        <v>921</v>
      </c>
      <c r="B1" s="416"/>
      <c r="C1" s="416"/>
    </row>
    <row r="2" spans="1:3" x14ac:dyDescent="0.3">
      <c r="A2" s="417" t="s">
        <v>922</v>
      </c>
      <c r="B2" s="416"/>
      <c r="C2" s="416"/>
    </row>
    <row r="3" spans="1:3" x14ac:dyDescent="0.3">
      <c r="A3" s="416"/>
      <c r="B3" s="416"/>
      <c r="C3" s="416"/>
    </row>
    <row r="4" spans="1:3" ht="15.6" x14ac:dyDescent="0.3">
      <c r="A4" s="418" t="s">
        <v>923</v>
      </c>
      <c r="B4" s="418" t="s">
        <v>924</v>
      </c>
      <c r="C4" s="418" t="s">
        <v>925</v>
      </c>
    </row>
    <row r="5" spans="1:3" x14ac:dyDescent="0.3">
      <c r="A5" s="420" t="s">
        <v>926</v>
      </c>
      <c r="B5" s="421" t="s">
        <v>927</v>
      </c>
      <c r="C5" s="421" t="s">
        <v>928</v>
      </c>
    </row>
    <row r="6" spans="1:3" x14ac:dyDescent="0.3">
      <c r="A6" s="420" t="s">
        <v>929</v>
      </c>
      <c r="B6" s="421" t="s">
        <v>930</v>
      </c>
      <c r="C6" s="421" t="s">
        <v>928</v>
      </c>
    </row>
    <row r="7" spans="1:3" x14ac:dyDescent="0.3">
      <c r="A7" s="420" t="s">
        <v>931</v>
      </c>
      <c r="B7" s="421" t="s">
        <v>932</v>
      </c>
      <c r="C7" s="421" t="s">
        <v>928</v>
      </c>
    </row>
    <row r="8" spans="1:3" x14ac:dyDescent="0.3">
      <c r="A8" s="420" t="s">
        <v>471</v>
      </c>
      <c r="B8" s="421" t="s">
        <v>933</v>
      </c>
      <c r="C8" s="421" t="s">
        <v>928</v>
      </c>
    </row>
    <row r="9" spans="1:3" x14ac:dyDescent="0.3">
      <c r="A9" s="420" t="s">
        <v>934</v>
      </c>
      <c r="B9" s="421" t="s">
        <v>935</v>
      </c>
      <c r="C9" s="421" t="s">
        <v>928</v>
      </c>
    </row>
    <row r="10" spans="1:3" x14ac:dyDescent="0.3">
      <c r="A10" s="420" t="s">
        <v>936</v>
      </c>
      <c r="B10" s="421" t="s">
        <v>937</v>
      </c>
      <c r="C10" s="421" t="s">
        <v>938</v>
      </c>
    </row>
    <row r="11" spans="1:3" x14ac:dyDescent="0.3">
      <c r="A11" s="420" t="s">
        <v>939</v>
      </c>
      <c r="B11" s="421" t="s">
        <v>940</v>
      </c>
      <c r="C11" s="421" t="s">
        <v>941</v>
      </c>
    </row>
    <row r="12" spans="1:3" x14ac:dyDescent="0.3">
      <c r="A12" s="420" t="s">
        <v>942</v>
      </c>
      <c r="B12" s="421" t="s">
        <v>992</v>
      </c>
      <c r="C12" s="421" t="s">
        <v>948</v>
      </c>
    </row>
    <row r="13" spans="1:3" x14ac:dyDescent="0.3">
      <c r="A13" s="420" t="s">
        <v>943</v>
      </c>
      <c r="B13" s="421" t="s">
        <v>944</v>
      </c>
      <c r="C13" s="421" t="s">
        <v>945</v>
      </c>
    </row>
    <row r="14" spans="1:3" x14ac:dyDescent="0.3">
      <c r="A14" s="420" t="s">
        <v>946</v>
      </c>
      <c r="B14" s="421" t="s">
        <v>947</v>
      </c>
      <c r="C14" s="421" t="s">
        <v>948</v>
      </c>
    </row>
    <row r="15" spans="1:3" x14ac:dyDescent="0.3">
      <c r="A15" s="421"/>
      <c r="B15" s="421"/>
      <c r="C15" s="421"/>
    </row>
    <row r="16" spans="1:3" x14ac:dyDescent="0.3">
      <c r="A16" s="422" t="s">
        <v>949</v>
      </c>
      <c r="B16" s="422" t="s">
        <v>950</v>
      </c>
      <c r="C16" s="422"/>
    </row>
    <row r="17" spans="1:3" x14ac:dyDescent="0.3">
      <c r="A17" s="423" t="s">
        <v>951</v>
      </c>
      <c r="B17" s="421" t="s">
        <v>952</v>
      </c>
      <c r="C17" s="421"/>
    </row>
    <row r="18" spans="1:3" x14ac:dyDescent="0.3">
      <c r="A18" s="423" t="s">
        <v>939</v>
      </c>
      <c r="B18" s="421" t="s">
        <v>953</v>
      </c>
      <c r="C18" s="421"/>
    </row>
    <row r="19" spans="1:3" x14ac:dyDescent="0.3">
      <c r="A19" s="423" t="s">
        <v>954</v>
      </c>
      <c r="B19" s="421" t="s">
        <v>955</v>
      </c>
      <c r="C19" s="421"/>
    </row>
    <row r="20" spans="1:3" x14ac:dyDescent="0.3">
      <c r="A20" s="423" t="s">
        <v>956</v>
      </c>
      <c r="B20" s="421" t="s">
        <v>957</v>
      </c>
      <c r="C20" s="421"/>
    </row>
    <row r="21" spans="1:3" x14ac:dyDescent="0.3">
      <c r="A21" s="423" t="s">
        <v>958</v>
      </c>
      <c r="B21" s="421" t="s">
        <v>959</v>
      </c>
      <c r="C21" s="421"/>
    </row>
    <row r="22" spans="1:3" x14ac:dyDescent="0.3">
      <c r="A22" s="423" t="s">
        <v>934</v>
      </c>
      <c r="B22" s="421" t="s">
        <v>960</v>
      </c>
      <c r="C22" s="421"/>
    </row>
    <row r="23" spans="1:3" x14ac:dyDescent="0.3">
      <c r="A23" s="423" t="s">
        <v>503</v>
      </c>
      <c r="B23" s="421" t="s">
        <v>961</v>
      </c>
      <c r="C23" s="421"/>
    </row>
    <row r="24" spans="1:3" x14ac:dyDescent="0.3">
      <c r="A24" s="423" t="s">
        <v>962</v>
      </c>
      <c r="B24" s="421" t="s">
        <v>963</v>
      </c>
      <c r="C24" s="421"/>
    </row>
    <row r="25" spans="1:3" x14ac:dyDescent="0.3">
      <c r="A25" s="423" t="s">
        <v>964</v>
      </c>
      <c r="B25" s="421" t="s">
        <v>965</v>
      </c>
      <c r="C25" s="421"/>
    </row>
    <row r="26" spans="1:3" x14ac:dyDescent="0.3">
      <c r="A26" s="423" t="s">
        <v>966</v>
      </c>
      <c r="B26" s="421" t="s">
        <v>967</v>
      </c>
      <c r="C26" s="421"/>
    </row>
    <row r="27" spans="1:3" x14ac:dyDescent="0.3">
      <c r="A27" s="423" t="s">
        <v>968</v>
      </c>
      <c r="B27" s="421" t="s">
        <v>969</v>
      </c>
      <c r="C27" s="421"/>
    </row>
    <row r="28" spans="1:3" x14ac:dyDescent="0.3">
      <c r="A28" s="423" t="s">
        <v>970</v>
      </c>
      <c r="B28" s="421" t="s">
        <v>971</v>
      </c>
      <c r="C28" s="421"/>
    </row>
    <row r="29" spans="1:3" x14ac:dyDescent="0.3">
      <c r="A29" s="416"/>
      <c r="B29" s="416"/>
      <c r="C29" s="416"/>
    </row>
    <row r="30" spans="1:3" ht="15.6" x14ac:dyDescent="0.3">
      <c r="A30" s="418" t="s">
        <v>972</v>
      </c>
      <c r="B30" s="418"/>
      <c r="C30" s="418"/>
    </row>
    <row r="31" spans="1:3" x14ac:dyDescent="0.3">
      <c r="A31" s="417" t="s">
        <v>973</v>
      </c>
      <c r="B31" s="416"/>
      <c r="C31" s="416"/>
    </row>
    <row r="32" spans="1:3" x14ac:dyDescent="0.3">
      <c r="A32" s="417" t="s">
        <v>974</v>
      </c>
      <c r="B32" s="416"/>
      <c r="C32" s="416"/>
    </row>
    <row r="33" spans="1:3" x14ac:dyDescent="0.3">
      <c r="A33" s="417" t="s">
        <v>975</v>
      </c>
      <c r="B33" s="416"/>
      <c r="C33" s="416"/>
    </row>
    <row r="34" spans="1:3" x14ac:dyDescent="0.3">
      <c r="A34" s="417" t="s">
        <v>993</v>
      </c>
      <c r="B34" s="416"/>
      <c r="C34" s="416"/>
    </row>
    <row r="35" spans="1:3" x14ac:dyDescent="0.3">
      <c r="A35" s="417"/>
      <c r="B35" s="416"/>
      <c r="C35" s="416"/>
    </row>
    <row r="36" spans="1:3" ht="15.6" x14ac:dyDescent="0.3">
      <c r="A36" s="419" t="s">
        <v>976</v>
      </c>
      <c r="B36" s="418"/>
      <c r="C36" s="418"/>
    </row>
    <row r="37" spans="1:3" x14ac:dyDescent="0.3">
      <c r="A37" s="417" t="s">
        <v>977</v>
      </c>
      <c r="B37" s="416"/>
      <c r="C37" s="416"/>
    </row>
    <row r="38" spans="1:3" x14ac:dyDescent="0.3">
      <c r="A38" s="417" t="s">
        <v>978</v>
      </c>
      <c r="B38" s="416"/>
      <c r="C38" s="416"/>
    </row>
    <row r="39" spans="1:3" x14ac:dyDescent="0.3">
      <c r="A39" s="417" t="s">
        <v>979</v>
      </c>
      <c r="B39" s="416"/>
      <c r="C39" s="416"/>
    </row>
    <row r="40" spans="1:3" x14ac:dyDescent="0.3">
      <c r="A40" s="417" t="s">
        <v>994</v>
      </c>
      <c r="B40" s="416"/>
      <c r="C40" s="416"/>
    </row>
    <row r="41" spans="1:3" x14ac:dyDescent="0.3">
      <c r="A41" s="417" t="s">
        <v>980</v>
      </c>
      <c r="B41" s="416"/>
      <c r="C41" s="416"/>
    </row>
    <row r="43" spans="1:3" ht="15.6" x14ac:dyDescent="0.3">
      <c r="A43" s="428" t="s">
        <v>2721</v>
      </c>
    </row>
    <row r="44" spans="1:3" x14ac:dyDescent="0.3">
      <c r="A44" s="417" t="s">
        <v>2722</v>
      </c>
    </row>
    <row r="45" spans="1:3" x14ac:dyDescent="0.3">
      <c r="A45" s="429" t="s">
        <v>2723</v>
      </c>
      <c r="B45" t="s">
        <v>2724</v>
      </c>
      <c r="C45" t="s">
        <v>2725</v>
      </c>
    </row>
    <row r="46" spans="1:3" x14ac:dyDescent="0.3">
      <c r="A46" s="424" t="s">
        <v>2726</v>
      </c>
      <c r="B46" t="s">
        <v>2727</v>
      </c>
      <c r="C46" t="s">
        <v>2728</v>
      </c>
    </row>
    <row r="47" spans="1:3" x14ac:dyDescent="0.3">
      <c r="A47" s="425" t="s">
        <v>2729</v>
      </c>
      <c r="B47" t="s">
        <v>2730</v>
      </c>
      <c r="C47" t="s">
        <v>2731</v>
      </c>
    </row>
    <row r="48" spans="1:3" x14ac:dyDescent="0.3">
      <c r="A48" s="426" t="s">
        <v>2732</v>
      </c>
      <c r="B48" t="s">
        <v>2733</v>
      </c>
      <c r="C48" t="s">
        <v>2734</v>
      </c>
    </row>
    <row r="49" spans="1:3" x14ac:dyDescent="0.3">
      <c r="A49" s="427" t="s">
        <v>2735</v>
      </c>
      <c r="B49" t="s">
        <v>2736</v>
      </c>
      <c r="C49" t="s">
        <v>2737</v>
      </c>
    </row>
  </sheetData>
  <hyperlinks>
    <hyperlink ref="A5" location="'TS Ahmed'!A1" tooltip="Go to TS Ahmed" display="TS Ahmed" xr:uid="{FBEF3434-0393-42CC-A304-535380BADFA4}"/>
    <hyperlink ref="A6" location="'TS Osama'!A1" tooltip="Go to TS Osama" display="TS Osama" xr:uid="{1C8A0D7F-44F3-4133-AE7F-CF2297629881}"/>
    <hyperlink ref="A7" location="'TS Kirolos'!A1" tooltip="Go to TS Kirolos" display="TS Kirolos" xr:uid="{FE38C8B3-3B18-4E10-BEB0-BD6F5A645FF5}"/>
    <hyperlink ref="A8" location="'Deliverables'!A1" tooltip="Go to Deliverables" display="Deliverables" xr:uid="{BFA539B9-E8D6-4BEF-A325-43845413CEAF}"/>
    <hyperlink ref="A9" location="'Deliverable Actuals'!A1" tooltip="Go to Deliverable Actuals" display="Deliverable Actuals" xr:uid="{57D8204F-EE08-4089-A563-E5AC3D178A2A}"/>
    <hyperlink ref="A10" location="'Support Plan'!A1" tooltip="Go to Support Plan" display="Support Plan" xr:uid="{3883938E-CFFD-4E81-BB5A-BCAAA76205A8}"/>
    <hyperlink ref="A11" location="'Profit Plan'!A1" tooltip="Go to Profit Plan" display="Profit Plan" xr:uid="{9C59995F-84B9-4A7F-8C6C-5B7AD1D157B3}"/>
    <hyperlink ref="A12" location="'Phasing'!A1" tooltip="Go to Phasing" display="Phasing" xr:uid="{5EDA1F9F-FE74-4E3C-AE0D-3776730648D3}"/>
    <hyperlink ref="A13" location="'Inputs'!A1" tooltip="Go to Inputs" display="Inputs" xr:uid="{CADF5B7B-F258-4BF2-AE69-78A0F36A4C1A}"/>
    <hyperlink ref="A14" location="'Work Calendar'!A1" tooltip="Go to Work Calendar" display="Work Calendar" xr:uid="{B8911906-EF00-4B2D-9175-12816AA74C30}"/>
    <hyperlink ref="A17" location="'Delivery Sequence'!A1" tooltip="Go to Delivery Sequence" display="Delivery Sequence" xr:uid="{12A514C5-3171-440B-B0F1-D3E662A8A6BB}"/>
    <hyperlink ref="A18" location="'Profit Plan'!A1" tooltip="Go to Profit Plan" display="Profit Plan" xr:uid="{F77897D2-00AA-4018-B300-C1DAA29F58AB}"/>
    <hyperlink ref="A19" location="'Dashboard'!A1" tooltip="Go to Dashboard" display="Dashboard" xr:uid="{024CD9B3-EA17-462E-8BC1-7F97F916E736}"/>
    <hyperlink ref="A20" location="'Mgmt Review'!A1" tooltip="Go to Mgmt Review" display="Mgmt Review" xr:uid="{1800A670-CE21-4A86-8A33-2237A7E4F651}"/>
    <hyperlink ref="A21" location="'Timesheet Daily'!A1" tooltip="Go to Timesheet Daily" display="Timesheet Daily" xr:uid="{D5A83435-E751-4E0F-BEDC-B97F7B18BE4F}"/>
    <hyperlink ref="A22" location="'Deliverable Actuals'!A1" tooltip="Go to Deliverable Actuals" display="Deliverable Actuals" xr:uid="{5B1F773F-AC7F-4B33-997F-6AC09D7C67D3}"/>
    <hyperlink ref="A23" location="'Proposals'!A1" tooltip="Go to Proposals" display="Proposals" xr:uid="{473DA874-B64D-4088-8ECE-C04879FCB3B3}"/>
    <hyperlink ref="A24" location="'Engineer KPIs'!A1" tooltip="Go to Engineer KPIs" display="Engineer KPIs" xr:uid="{3082BDCC-C23D-4A91-9C57-840A58209DA7}"/>
    <hyperlink ref="A25" location="'Scorecard'!A1" tooltip="Go to Scorecard" display="Scorecard" xr:uid="{10701AC7-DF0C-4368-944D-404F5EC9269F}"/>
    <hyperlink ref="A26" location="'Team Member'!A1" tooltip="Go to Team Member" display="Team Member" xr:uid="{C4FFACB6-4C3F-44E1-8636-B9EAC9FECF99}"/>
    <hyperlink ref="A27" location="'Analysis'!A1" tooltip="Go to Analysis" display="Analysis" xr:uid="{EC6A887A-A132-48C7-A89D-A3843699390B}"/>
    <hyperlink ref="A28" location="'Timesheet Raw'!A1" tooltip="Go to Timesheet Raw" display="Timesheet Raw" xr:uid="{DA25613A-CB8F-4835-AF2D-2991413E110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3E6C8-D85D-49B7-9538-6899D0E96D56}">
  <sheetPr>
    <tabColor rgb="FF7030A0"/>
    <pageSetUpPr fitToPage="1"/>
  </sheetPr>
  <dimension ref="A1:F69"/>
  <sheetViews>
    <sheetView showGridLines="0" workbookViewId="0">
      <selection activeCell="A10" sqref="A10:F10"/>
    </sheetView>
  </sheetViews>
  <sheetFormatPr defaultRowHeight="14.4" x14ac:dyDescent="0.3"/>
  <cols>
    <col min="1" max="1" width="32.44140625" customWidth="1"/>
    <col min="2" max="2" width="24.109375" customWidth="1"/>
    <col min="3" max="3" width="63" customWidth="1"/>
    <col min="4" max="4" width="53.6640625" customWidth="1"/>
    <col min="5" max="5" width="15.77734375" customWidth="1"/>
    <col min="6" max="6" width="55.5546875" customWidth="1"/>
  </cols>
  <sheetData>
    <row r="1" spans="1:6" ht="31.95" customHeight="1" x14ac:dyDescent="0.3">
      <c r="A1" s="295" t="s">
        <v>152</v>
      </c>
      <c r="B1" s="328"/>
      <c r="C1" s="328"/>
      <c r="D1" s="328"/>
      <c r="E1" s="328"/>
      <c r="F1" s="328"/>
    </row>
    <row r="2" spans="1:6" ht="22.05" customHeight="1" x14ac:dyDescent="0.3">
      <c r="A2" s="296" t="str">
        <f>"All effort in Man-Months (MM). The Current column below is live and follows the Dashboard filter, showing: "&amp;Dashboard!$H$5</f>
        <v>All effort in Man-Months (MM). The Current column below is live and follows the Dashboard filter, showing: Full year 2026</v>
      </c>
      <c r="B2" s="328"/>
      <c r="C2" s="328"/>
      <c r="D2" s="328"/>
      <c r="E2" s="328"/>
      <c r="F2" s="328"/>
    </row>
    <row r="3" spans="1:6" x14ac:dyDescent="0.3">
      <c r="A3" s="14"/>
      <c r="B3" s="14"/>
      <c r="C3" s="14"/>
      <c r="D3" s="14"/>
      <c r="E3" s="14"/>
      <c r="F3" s="14"/>
    </row>
    <row r="4" spans="1:6" ht="22.05" customHeight="1" x14ac:dyDescent="0.3">
      <c r="A4" s="297" t="s">
        <v>153</v>
      </c>
      <c r="B4" s="297"/>
      <c r="C4" s="297"/>
      <c r="D4" s="297"/>
      <c r="E4" s="297"/>
      <c r="F4" s="297"/>
    </row>
    <row r="5" spans="1:6" ht="19.95" customHeight="1" x14ac:dyDescent="0.3">
      <c r="A5" s="107" t="s">
        <v>154</v>
      </c>
      <c r="B5" s="107" t="s">
        <v>155</v>
      </c>
      <c r="C5" s="107" t="s">
        <v>156</v>
      </c>
      <c r="D5" s="107" t="s">
        <v>157</v>
      </c>
      <c r="E5" s="107" t="s">
        <v>158</v>
      </c>
      <c r="F5" s="107" t="s">
        <v>159</v>
      </c>
    </row>
    <row r="6" spans="1:6" ht="73.95" customHeight="1" x14ac:dyDescent="0.3">
      <c r="A6" s="108" t="s">
        <v>83</v>
      </c>
      <c r="B6" s="113" t="s">
        <v>160</v>
      </c>
      <c r="C6" s="106" t="s">
        <v>161</v>
      </c>
      <c r="D6" s="106" t="s">
        <v>162</v>
      </c>
      <c r="E6" s="109">
        <f>Dashboard!$B$10</f>
        <v>44.829171371429332</v>
      </c>
      <c r="F6" s="106" t="s">
        <v>163</v>
      </c>
    </row>
    <row r="7" spans="1:6" ht="73.95" customHeight="1" x14ac:dyDescent="0.3">
      <c r="A7" s="108" t="s">
        <v>60</v>
      </c>
      <c r="B7" s="113" t="s">
        <v>160</v>
      </c>
      <c r="C7" s="106" t="s">
        <v>164</v>
      </c>
      <c r="D7" s="106" t="s">
        <v>165</v>
      </c>
      <c r="E7" s="109">
        <f>Dashboard!$C$10</f>
        <v>17.908108108108106</v>
      </c>
      <c r="F7" s="106" t="s">
        <v>166</v>
      </c>
    </row>
    <row r="8" spans="1:6" ht="73.95" customHeight="1" x14ac:dyDescent="0.3">
      <c r="A8" s="108" t="s">
        <v>62</v>
      </c>
      <c r="B8" s="113" t="s">
        <v>160</v>
      </c>
      <c r="C8" s="106" t="s">
        <v>167</v>
      </c>
      <c r="D8" s="106" t="s">
        <v>168</v>
      </c>
      <c r="E8" s="109">
        <f>Dashboard!$D$10</f>
        <v>14.186137319966196</v>
      </c>
      <c r="F8" s="106" t="s">
        <v>169</v>
      </c>
    </row>
    <row r="9" spans="1:6" x14ac:dyDescent="0.3">
      <c r="A9" s="14"/>
      <c r="B9" s="14"/>
      <c r="C9" s="14"/>
      <c r="D9" s="14"/>
      <c r="E9" s="14"/>
      <c r="F9" s="14"/>
    </row>
    <row r="10" spans="1:6" ht="22.05" customHeight="1" x14ac:dyDescent="0.3">
      <c r="A10" s="303" t="s">
        <v>170</v>
      </c>
      <c r="B10" s="303"/>
      <c r="C10" s="303"/>
      <c r="D10" s="303"/>
      <c r="E10" s="303"/>
      <c r="F10" s="303"/>
    </row>
    <row r="11" spans="1:6" ht="19.95" customHeight="1" x14ac:dyDescent="0.3">
      <c r="A11" s="107" t="s">
        <v>154</v>
      </c>
      <c r="B11" s="107" t="s">
        <v>155</v>
      </c>
      <c r="C11" s="107" t="s">
        <v>156</v>
      </c>
      <c r="D11" s="107" t="s">
        <v>157</v>
      </c>
      <c r="E11" s="107" t="s">
        <v>158</v>
      </c>
      <c r="F11" s="107" t="s">
        <v>159</v>
      </c>
    </row>
    <row r="12" spans="1:6" ht="58.05" customHeight="1" x14ac:dyDescent="0.3">
      <c r="A12" s="108" t="s">
        <v>171</v>
      </c>
      <c r="B12" s="113" t="s">
        <v>160</v>
      </c>
      <c r="C12" s="106" t="s">
        <v>172</v>
      </c>
      <c r="D12" s="106" t="s">
        <v>173</v>
      </c>
      <c r="E12" s="110">
        <f>Dashboard!$E$10</f>
        <v>-3.7219707881419097</v>
      </c>
      <c r="F12" s="106" t="s">
        <v>174</v>
      </c>
    </row>
    <row r="13" spans="1:6" ht="58.05" customHeight="1" x14ac:dyDescent="0.3">
      <c r="A13" s="108" t="s">
        <v>85</v>
      </c>
      <c r="B13" s="113" t="s">
        <v>160</v>
      </c>
      <c r="C13" s="106" t="s">
        <v>175</v>
      </c>
      <c r="D13" s="106" t="s">
        <v>176</v>
      </c>
      <c r="E13" s="110">
        <f ca="1">Dashboard!$F$10</f>
        <v>24.163043478260871</v>
      </c>
      <c r="F13" s="106" t="s">
        <v>177</v>
      </c>
    </row>
    <row r="14" spans="1:6" ht="58.05" customHeight="1" x14ac:dyDescent="0.3">
      <c r="A14" s="108" t="s">
        <v>107</v>
      </c>
      <c r="B14" s="113" t="s">
        <v>160</v>
      </c>
      <c r="C14" s="106" t="s">
        <v>178</v>
      </c>
      <c r="D14" s="106" t="s">
        <v>179</v>
      </c>
      <c r="E14" s="111">
        <f ca="1">Dashboard!$G$10</f>
        <v>0.74113627797838311</v>
      </c>
      <c r="F14" s="106" t="s">
        <v>180</v>
      </c>
    </row>
    <row r="15" spans="1:6" ht="58.05" customHeight="1" x14ac:dyDescent="0.3">
      <c r="A15" s="108" t="s">
        <v>108</v>
      </c>
      <c r="B15" s="113" t="s">
        <v>160</v>
      </c>
      <c r="C15" s="106" t="s">
        <v>181</v>
      </c>
      <c r="D15" s="106" t="s">
        <v>182</v>
      </c>
      <c r="E15" s="111">
        <f ca="1">Dashboard!$H$10</f>
        <v>0.54727687135131431</v>
      </c>
      <c r="F15" s="106" t="s">
        <v>183</v>
      </c>
    </row>
    <row r="16" spans="1:6" ht="58.05" customHeight="1" x14ac:dyDescent="0.3">
      <c r="A16" s="108" t="s">
        <v>184</v>
      </c>
      <c r="B16" s="113" t="s">
        <v>160</v>
      </c>
      <c r="C16" s="106" t="s">
        <v>185</v>
      </c>
      <c r="D16" s="106" t="s">
        <v>186</v>
      </c>
      <c r="E16" s="112">
        <f>Dashboard!$I$10</f>
        <v>0.79216281442612335</v>
      </c>
      <c r="F16" s="106" t="s">
        <v>187</v>
      </c>
    </row>
    <row r="17" spans="1:6" x14ac:dyDescent="0.3">
      <c r="A17" s="14"/>
      <c r="B17" s="14"/>
      <c r="C17" s="14"/>
      <c r="D17" s="14"/>
      <c r="E17" s="14"/>
      <c r="F17" s="14"/>
    </row>
    <row r="18" spans="1:6" x14ac:dyDescent="0.3">
      <c r="A18" s="14"/>
      <c r="B18" s="14"/>
      <c r="C18" s="14"/>
      <c r="D18" s="14"/>
      <c r="E18" s="14"/>
      <c r="F18" s="14"/>
    </row>
    <row r="19" spans="1:6" ht="22.05" customHeight="1" x14ac:dyDescent="0.3">
      <c r="A19" s="329" t="s">
        <v>191</v>
      </c>
      <c r="B19" s="327"/>
      <c r="C19" s="327"/>
      <c r="D19" s="327"/>
      <c r="E19" s="327"/>
      <c r="F19" s="327"/>
    </row>
    <row r="20" spans="1:6" ht="42" customHeight="1" x14ac:dyDescent="0.3">
      <c r="A20" s="326" t="s">
        <v>192</v>
      </c>
      <c r="B20" s="327"/>
      <c r="C20" s="327"/>
      <c r="D20" s="327"/>
      <c r="E20" s="327"/>
      <c r="F20" s="327"/>
    </row>
    <row r="21" spans="1:6" ht="19.95" customHeight="1" x14ac:dyDescent="0.3">
      <c r="A21" s="322" t="s">
        <v>193</v>
      </c>
      <c r="B21" s="322"/>
      <c r="C21" s="322" t="s">
        <v>194</v>
      </c>
      <c r="D21" s="322"/>
      <c r="E21" s="322" t="s">
        <v>195</v>
      </c>
      <c r="F21" s="322"/>
    </row>
    <row r="22" spans="1:6" ht="46.05" customHeight="1" x14ac:dyDescent="0.3">
      <c r="A22" s="325" t="s">
        <v>196</v>
      </c>
      <c r="B22" s="325"/>
      <c r="C22" s="323" t="s">
        <v>197</v>
      </c>
      <c r="D22" s="323"/>
      <c r="E22" s="323" t="s">
        <v>198</v>
      </c>
      <c r="F22" s="323"/>
    </row>
    <row r="23" spans="1:6" ht="46.05" customHeight="1" x14ac:dyDescent="0.3">
      <c r="A23" s="325" t="s">
        <v>199</v>
      </c>
      <c r="B23" s="325"/>
      <c r="C23" s="323" t="s">
        <v>200</v>
      </c>
      <c r="D23" s="323"/>
      <c r="E23" s="323" t="s">
        <v>201</v>
      </c>
      <c r="F23" s="323"/>
    </row>
    <row r="24" spans="1:6" ht="46.05" customHeight="1" x14ac:dyDescent="0.3">
      <c r="A24" s="325" t="s">
        <v>202</v>
      </c>
      <c r="B24" s="325"/>
      <c r="C24" s="323" t="s">
        <v>203</v>
      </c>
      <c r="D24" s="323"/>
      <c r="E24" s="323" t="s">
        <v>204</v>
      </c>
      <c r="F24" s="323"/>
    </row>
    <row r="25" spans="1:6" ht="46.05" customHeight="1" x14ac:dyDescent="0.3">
      <c r="A25" s="325" t="s">
        <v>205</v>
      </c>
      <c r="B25" s="325"/>
      <c r="C25" s="323" t="s">
        <v>206</v>
      </c>
      <c r="D25" s="323"/>
      <c r="E25" s="323" t="s">
        <v>207</v>
      </c>
      <c r="F25" s="323"/>
    </row>
    <row r="27" spans="1:6" ht="31.95" customHeight="1" x14ac:dyDescent="0.3">
      <c r="A27" s="319" t="str">
        <f>"For the period currently selected ("&amp;Dashboard!$H$5&amp;") efficiency reads "&amp;IF(Dashboard!$C$10=0,"n/a — no time booked",TEXT(Dashboard!$I$10,"0.00")&amp;"x, from "&amp;TEXT(Dashboard!$D$10,"0.00")&amp;" MM of value delivered against "&amp;TEXT(Dashboard!$C$10,"0.00")&amp;" MM of effort booked.")</f>
        <v>For the period currently selected (Full year 2026) efficiency reads 0.79x, from 14.19 MM of value delivered against 17.91 MM of effort booked.</v>
      </c>
      <c r="B27" s="320"/>
      <c r="C27" s="320"/>
      <c r="D27" s="320"/>
      <c r="E27" s="320"/>
      <c r="F27" s="320"/>
    </row>
    <row r="29" spans="1:6" ht="48" customHeight="1" x14ac:dyDescent="0.3"/>
    <row r="30" spans="1:6" x14ac:dyDescent="0.3">
      <c r="A30" s="14"/>
      <c r="B30" s="14"/>
      <c r="C30" s="14"/>
      <c r="D30" s="14"/>
      <c r="E30" s="14"/>
      <c r="F30" s="14"/>
    </row>
    <row r="31" spans="1:6" ht="22.05" customHeight="1" x14ac:dyDescent="0.3">
      <c r="A31" s="324" t="s">
        <v>208</v>
      </c>
      <c r="B31" s="324"/>
      <c r="C31" s="324"/>
      <c r="D31" s="324"/>
      <c r="E31" s="324"/>
      <c r="F31" s="324"/>
    </row>
    <row r="32" spans="1:6" ht="31.95" customHeight="1" x14ac:dyDescent="0.3">
      <c r="A32" s="321" t="s">
        <v>188</v>
      </c>
      <c r="B32" s="321"/>
      <c r="C32" s="321"/>
      <c r="D32" s="321"/>
      <c r="E32" s="321"/>
      <c r="F32" s="321"/>
    </row>
    <row r="33" spans="1:6" ht="31.95" customHeight="1" x14ac:dyDescent="0.3">
      <c r="A33" s="321" t="s">
        <v>189</v>
      </c>
      <c r="B33" s="321"/>
      <c r="C33" s="321"/>
      <c r="D33" s="321"/>
      <c r="E33" s="321"/>
      <c r="F33" s="321"/>
    </row>
    <row r="34" spans="1:6" ht="31.95" customHeight="1" x14ac:dyDescent="0.3">
      <c r="A34" s="321" t="s">
        <v>190</v>
      </c>
      <c r="B34" s="321"/>
      <c r="C34" s="321"/>
      <c r="D34" s="321"/>
      <c r="E34" s="321"/>
      <c r="F34" s="321"/>
    </row>
    <row r="35" spans="1:6" ht="31.95" customHeight="1" x14ac:dyDescent="0.3">
      <c r="A35" s="321" t="s">
        <v>213</v>
      </c>
      <c r="B35" s="321"/>
      <c r="C35" s="321"/>
      <c r="D35" s="321"/>
      <c r="E35" s="321"/>
      <c r="F35" s="321"/>
    </row>
    <row r="36" spans="1:6" x14ac:dyDescent="0.3">
      <c r="A36" s="14"/>
      <c r="B36" s="14"/>
      <c r="C36" s="14"/>
      <c r="D36" s="14"/>
      <c r="E36" s="14"/>
      <c r="F36" s="14"/>
    </row>
    <row r="37" spans="1:6" x14ac:dyDescent="0.3">
      <c r="A37" s="14"/>
      <c r="B37" s="14"/>
      <c r="C37" s="14"/>
      <c r="D37" s="14"/>
      <c r="E37" s="14"/>
      <c r="F37" s="14"/>
    </row>
    <row r="38" spans="1:6" x14ac:dyDescent="0.3">
      <c r="A38" s="14"/>
      <c r="B38" s="14"/>
      <c r="C38" s="14"/>
      <c r="D38" s="14"/>
      <c r="E38" s="14"/>
      <c r="F38" s="14"/>
    </row>
    <row r="39" spans="1:6" x14ac:dyDescent="0.3">
      <c r="A39" s="14"/>
      <c r="B39" s="14"/>
      <c r="C39" s="14"/>
      <c r="D39" s="14"/>
      <c r="E39" s="14"/>
      <c r="F39" s="14"/>
    </row>
    <row r="40" spans="1:6" x14ac:dyDescent="0.3">
      <c r="A40" s="14"/>
      <c r="B40" s="14"/>
      <c r="C40" s="14"/>
      <c r="D40" s="14"/>
      <c r="E40" s="14"/>
      <c r="F40" s="14"/>
    </row>
    <row r="41" spans="1:6" x14ac:dyDescent="0.3">
      <c r="A41" s="14"/>
      <c r="B41" s="14"/>
      <c r="C41" s="14"/>
      <c r="D41" s="14"/>
      <c r="E41" s="14"/>
      <c r="F41" s="14"/>
    </row>
    <row r="42" spans="1:6" x14ac:dyDescent="0.3">
      <c r="A42" s="14"/>
      <c r="B42" s="14"/>
      <c r="C42" s="14"/>
      <c r="D42" s="14"/>
      <c r="E42" s="14"/>
      <c r="F42" s="14"/>
    </row>
    <row r="43" spans="1:6" x14ac:dyDescent="0.3">
      <c r="A43" s="14"/>
      <c r="B43" s="14"/>
      <c r="C43" s="14"/>
      <c r="D43" s="14"/>
      <c r="E43" s="14"/>
      <c r="F43" s="14"/>
    </row>
    <row r="44" spans="1:6" x14ac:dyDescent="0.3">
      <c r="A44" s="14"/>
      <c r="B44" s="14"/>
      <c r="C44" s="14"/>
      <c r="D44" s="14"/>
      <c r="E44" s="14"/>
      <c r="F44" s="14"/>
    </row>
    <row r="45" spans="1:6" x14ac:dyDescent="0.3">
      <c r="A45" s="14"/>
      <c r="B45" s="14"/>
      <c r="C45" s="14"/>
      <c r="D45" s="14"/>
      <c r="E45" s="14"/>
      <c r="F45" s="14"/>
    </row>
    <row r="46" spans="1:6" x14ac:dyDescent="0.3">
      <c r="A46" s="14"/>
      <c r="B46" s="14"/>
      <c r="C46" s="14"/>
      <c r="D46" s="14"/>
      <c r="E46" s="14"/>
      <c r="F46" s="14"/>
    </row>
    <row r="47" spans="1:6" x14ac:dyDescent="0.3">
      <c r="A47" s="14"/>
      <c r="B47" s="14"/>
      <c r="C47" s="14"/>
      <c r="D47" s="14"/>
      <c r="E47" s="14"/>
      <c r="F47" s="14"/>
    </row>
    <row r="48" spans="1:6" x14ac:dyDescent="0.3">
      <c r="A48" s="14"/>
      <c r="B48" s="14"/>
      <c r="C48" s="14"/>
      <c r="D48" s="14"/>
      <c r="E48" s="14"/>
      <c r="F48" s="14"/>
    </row>
    <row r="49" spans="1:6" x14ac:dyDescent="0.3">
      <c r="A49" s="14"/>
      <c r="B49" s="14"/>
      <c r="C49" s="14"/>
      <c r="D49" s="14"/>
      <c r="E49" s="14"/>
      <c r="F49" s="14"/>
    </row>
    <row r="50" spans="1:6" x14ac:dyDescent="0.3">
      <c r="A50" s="14"/>
      <c r="B50" s="14"/>
      <c r="C50" s="14"/>
      <c r="D50" s="14"/>
      <c r="E50" s="14"/>
      <c r="F50" s="14"/>
    </row>
    <row r="51" spans="1:6" x14ac:dyDescent="0.3">
      <c r="A51" s="14"/>
      <c r="B51" s="14"/>
      <c r="C51" s="14"/>
      <c r="D51" s="14"/>
      <c r="E51" s="14"/>
      <c r="F51" s="14"/>
    </row>
    <row r="52" spans="1:6" x14ac:dyDescent="0.3">
      <c r="A52" s="14"/>
      <c r="B52" s="14"/>
      <c r="C52" s="14"/>
      <c r="D52" s="14"/>
      <c r="E52" s="14"/>
      <c r="F52" s="14"/>
    </row>
    <row r="53" spans="1:6" x14ac:dyDescent="0.3">
      <c r="A53" s="14"/>
      <c r="B53" s="14"/>
      <c r="C53" s="14"/>
      <c r="D53" s="14"/>
      <c r="E53" s="14"/>
      <c r="F53" s="14"/>
    </row>
    <row r="54" spans="1:6" x14ac:dyDescent="0.3">
      <c r="A54" s="14"/>
      <c r="B54" s="14"/>
      <c r="C54" s="14"/>
      <c r="D54" s="14"/>
      <c r="E54" s="14"/>
      <c r="F54" s="14"/>
    </row>
    <row r="55" spans="1:6" x14ac:dyDescent="0.3">
      <c r="A55" s="14"/>
      <c r="B55" s="14"/>
      <c r="C55" s="14"/>
      <c r="D55" s="14"/>
      <c r="E55" s="14"/>
      <c r="F55" s="14"/>
    </row>
    <row r="56" spans="1:6" x14ac:dyDescent="0.3">
      <c r="A56" s="14"/>
      <c r="B56" s="14"/>
      <c r="C56" s="14"/>
      <c r="D56" s="14"/>
      <c r="E56" s="14"/>
      <c r="F56" s="14"/>
    </row>
    <row r="57" spans="1:6" x14ac:dyDescent="0.3">
      <c r="A57" s="14"/>
      <c r="B57" s="14"/>
      <c r="C57" s="14"/>
      <c r="D57" s="14"/>
      <c r="E57" s="14"/>
      <c r="F57" s="14"/>
    </row>
    <row r="58" spans="1:6" x14ac:dyDescent="0.3">
      <c r="A58" s="14"/>
      <c r="B58" s="14"/>
      <c r="C58" s="14"/>
      <c r="D58" s="14"/>
      <c r="E58" s="14"/>
      <c r="F58" s="14"/>
    </row>
    <row r="59" spans="1:6" x14ac:dyDescent="0.3">
      <c r="A59" s="14"/>
      <c r="B59" s="14"/>
      <c r="C59" s="14"/>
      <c r="D59" s="14"/>
      <c r="E59" s="14"/>
      <c r="F59" s="14"/>
    </row>
    <row r="60" spans="1:6" x14ac:dyDescent="0.3">
      <c r="A60" s="14"/>
      <c r="B60" s="14"/>
      <c r="C60" s="14"/>
      <c r="D60" s="14"/>
      <c r="E60" s="14"/>
      <c r="F60" s="14"/>
    </row>
    <row r="61" spans="1:6" x14ac:dyDescent="0.3">
      <c r="A61" s="14"/>
      <c r="B61" s="14"/>
      <c r="C61" s="14"/>
      <c r="D61" s="14"/>
      <c r="E61" s="14"/>
      <c r="F61" s="14"/>
    </row>
    <row r="62" spans="1:6" x14ac:dyDescent="0.3">
      <c r="A62" s="14"/>
      <c r="B62" s="14"/>
      <c r="C62" s="14"/>
      <c r="D62" s="14"/>
      <c r="E62" s="14"/>
      <c r="F62" s="14"/>
    </row>
    <row r="63" spans="1:6" x14ac:dyDescent="0.3">
      <c r="A63" s="14"/>
      <c r="B63" s="14"/>
      <c r="C63" s="14"/>
      <c r="D63" s="14"/>
      <c r="E63" s="14"/>
      <c r="F63" s="14"/>
    </row>
    <row r="64" spans="1:6" x14ac:dyDescent="0.3">
      <c r="A64" s="14"/>
      <c r="B64" s="14"/>
      <c r="C64" s="14"/>
      <c r="D64" s="14"/>
      <c r="E64" s="14"/>
      <c r="F64" s="14"/>
    </row>
    <row r="65" spans="1:6" x14ac:dyDescent="0.3">
      <c r="A65" s="14"/>
      <c r="B65" s="14"/>
      <c r="C65" s="14"/>
      <c r="D65" s="14"/>
      <c r="E65" s="14"/>
      <c r="F65" s="14"/>
    </row>
    <row r="66" spans="1:6" x14ac:dyDescent="0.3">
      <c r="A66" s="14"/>
      <c r="B66" s="14"/>
      <c r="C66" s="14"/>
      <c r="D66" s="14"/>
      <c r="E66" s="14"/>
      <c r="F66" s="14"/>
    </row>
    <row r="67" spans="1:6" x14ac:dyDescent="0.3">
      <c r="A67" s="14"/>
      <c r="B67" s="14"/>
      <c r="C67" s="14"/>
      <c r="D67" s="14"/>
      <c r="E67" s="14"/>
      <c r="F67" s="14"/>
    </row>
    <row r="68" spans="1:6" x14ac:dyDescent="0.3">
      <c r="A68" s="14"/>
      <c r="B68" s="14"/>
      <c r="C68" s="14"/>
      <c r="D68" s="14"/>
      <c r="E68" s="14"/>
      <c r="F68" s="14"/>
    </row>
    <row r="69" spans="1:6" x14ac:dyDescent="0.3">
      <c r="A69" s="14"/>
      <c r="B69" s="14"/>
      <c r="C69" s="14"/>
      <c r="D69" s="14"/>
      <c r="E69" s="14"/>
      <c r="F69" s="14"/>
    </row>
  </sheetData>
  <mergeCells count="27">
    <mergeCell ref="A1:F1"/>
    <mergeCell ref="A2:F2"/>
    <mergeCell ref="A4:F4"/>
    <mergeCell ref="A10:F10"/>
    <mergeCell ref="A19:F19"/>
    <mergeCell ref="A20:F20"/>
    <mergeCell ref="A21:B21"/>
    <mergeCell ref="A22:B22"/>
    <mergeCell ref="A23:B23"/>
    <mergeCell ref="A24:B24"/>
    <mergeCell ref="A25:B25"/>
    <mergeCell ref="C24:D24"/>
    <mergeCell ref="E24:F24"/>
    <mergeCell ref="C25:D25"/>
    <mergeCell ref="E25:F25"/>
    <mergeCell ref="C21:D21"/>
    <mergeCell ref="E21:F21"/>
    <mergeCell ref="C22:D22"/>
    <mergeCell ref="E22:F22"/>
    <mergeCell ref="C23:D23"/>
    <mergeCell ref="E23:F23"/>
    <mergeCell ref="A27:F27"/>
    <mergeCell ref="A32:F32"/>
    <mergeCell ref="A33:F33"/>
    <mergeCell ref="A34:F34"/>
    <mergeCell ref="A35:F35"/>
    <mergeCell ref="A31:F31"/>
  </mergeCells>
  <pageMargins left="0.7" right="0.7" top="0.75" bottom="0.75" header="0.3" footer="0.3"/>
  <pageSetup paperSize="9" scale="54" fitToHeight="2"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AEBB2-8C94-4837-938A-81B97C833624}">
  <sheetPr>
    <tabColor rgb="FF1F6FC5"/>
    <pageSetUpPr fitToPage="1"/>
  </sheetPr>
  <dimension ref="A1:P252"/>
  <sheetViews>
    <sheetView showGridLines="0" zoomScale="85" zoomScaleNormal="85" workbookViewId="0">
      <selection activeCell="J31" sqref="J31"/>
    </sheetView>
  </sheetViews>
  <sheetFormatPr defaultRowHeight="14.4" x14ac:dyDescent="0.3"/>
  <cols>
    <col min="1" max="1" width="38.88671875" customWidth="1"/>
    <col min="2" max="10" width="17" customWidth="1"/>
    <col min="11" max="13" width="18.109375" customWidth="1"/>
  </cols>
  <sheetData>
    <row r="1" spans="1:13" ht="34.049999999999997" customHeight="1" x14ac:dyDescent="0.3">
      <c r="A1" s="301" t="s">
        <v>89</v>
      </c>
      <c r="B1" s="301"/>
      <c r="C1" s="301"/>
      <c r="D1" s="301"/>
      <c r="E1" s="301"/>
      <c r="F1" s="301"/>
      <c r="G1" s="301"/>
      <c r="H1" s="301"/>
      <c r="I1" s="301"/>
      <c r="J1" s="301"/>
      <c r="K1" s="301"/>
      <c r="L1" s="301"/>
      <c r="M1" s="301"/>
    </row>
    <row r="2" spans="1:13" ht="19.95" customHeight="1" x14ac:dyDescent="0.3">
      <c r="A2" s="296" t="str">
        <f ca="1">"All effort in Man-Months (MM)   |   "&amp;TEXT(Inputs!$M$86,"0")&amp;" projects in scope of "&amp;TEXT(COUNTA(Inputs!$A$6:$A$85),"0")&amp;"   |   Team of "&amp;TEXT(COUNTA(Inputs!$A$91:$A$93),"0")&amp;"   |   Reported "&amp;TEXT(TODAY(),"dd mmm yyyy")</f>
        <v>All effort in Man-Months (MM)   |   9 projects in scope of 40   |   Team of 3   |   Reported 01 Sep 2026</v>
      </c>
      <c r="B2" s="296"/>
      <c r="C2" s="296"/>
      <c r="D2" s="296"/>
      <c r="E2" s="296"/>
      <c r="F2" s="296"/>
      <c r="G2" s="296"/>
      <c r="H2" s="296"/>
      <c r="I2" s="296"/>
      <c r="J2" s="296"/>
      <c r="K2" s="296"/>
      <c r="L2" s="296"/>
      <c r="M2" s="296"/>
    </row>
    <row r="3" spans="1:13" x14ac:dyDescent="0.3">
      <c r="A3" s="3"/>
      <c r="B3" s="3"/>
      <c r="C3" s="3"/>
      <c r="D3" s="3"/>
      <c r="E3" s="3"/>
      <c r="F3" s="3"/>
      <c r="G3" s="3"/>
      <c r="H3" s="3"/>
      <c r="I3" s="3"/>
      <c r="J3" s="3"/>
      <c r="K3" s="1"/>
      <c r="L3" s="1"/>
      <c r="M3" s="1"/>
    </row>
    <row r="4" spans="1:13" ht="19.95" customHeight="1" x14ac:dyDescent="0.3">
      <c r="A4" s="303" t="s">
        <v>98</v>
      </c>
      <c r="B4" s="303"/>
      <c r="C4" s="303"/>
      <c r="D4" s="303"/>
      <c r="E4" s="303"/>
      <c r="F4" s="303"/>
      <c r="G4" s="303"/>
      <c r="H4" s="303"/>
      <c r="I4" s="303"/>
      <c r="J4" s="303"/>
      <c r="K4" s="303"/>
      <c r="L4" s="303"/>
      <c r="M4" s="303"/>
    </row>
    <row r="5" spans="1:13" ht="15.6" x14ac:dyDescent="0.3">
      <c r="A5" s="81" t="s">
        <v>99</v>
      </c>
      <c r="B5" s="82" t="s">
        <v>50</v>
      </c>
      <c r="C5" s="81" t="s">
        <v>100</v>
      </c>
      <c r="D5" s="83">
        <v>2026</v>
      </c>
      <c r="E5" s="81" t="s">
        <v>101</v>
      </c>
      <c r="F5" s="82" t="s">
        <v>516</v>
      </c>
      <c r="G5" s="81" t="s">
        <v>102</v>
      </c>
      <c r="H5" s="302" t="str">
        <f>IF($B$5="All Time","All periods, including opening balances",IF($B$5="Year","Full year "&amp;TEXT($D$5,"0"),$F$5&amp;" "&amp;TEXT($D$5,"0")&amp;"  ("&amp;TEXT($D$6,"dd mmm")&amp;" to "&amp;TEXT($F$6,"dd mmm yyyy")&amp;")"))</f>
        <v>Full year 2026</v>
      </c>
      <c r="I5" s="302"/>
      <c r="J5" s="302"/>
      <c r="K5" s="1"/>
      <c r="L5" s="1"/>
      <c r="M5" s="1"/>
    </row>
    <row r="6" spans="1:13" x14ac:dyDescent="0.3">
      <c r="A6" s="84" t="s">
        <v>103</v>
      </c>
      <c r="B6" s="4" t="str">
        <f>$F$5&amp;"-"&amp;TEXT(MOD($D$5,100),"00")</f>
        <v>Q1-26</v>
      </c>
      <c r="C6" s="85" t="s">
        <v>104</v>
      </c>
      <c r="D6" s="86">
        <f>IF($B$5="All Time",DATE(1900,1,1),IF($B$5="Year",DATE($D$5,1,1),DATE($D$5,(VALUE(MID($F$5,2,1))-1)*3+1,1)))</f>
        <v>46023</v>
      </c>
      <c r="E6" s="85" t="s">
        <v>105</v>
      </c>
      <c r="F6" s="86">
        <f>IF($B$5="All Time",DATE(2099,12,31),IF($B$5="Year",DATE($D$5,12,31),EOMONTH($D$6,2)))</f>
        <v>46387</v>
      </c>
      <c r="G6" s="4" t="s">
        <v>283</v>
      </c>
      <c r="H6" s="170">
        <f ca="1">Inputs!$B$96</f>
        <v>46266</v>
      </c>
      <c r="I6" s="4" t="s">
        <v>284</v>
      </c>
      <c r="J6" s="171">
        <f ca="1">IF(IF($B$5="All Time",Analysis!$Y$24,IF($B$5="Year",SUMIF(Analysis!$E$3:$X$3,$D$5,Analysis!$E$24:$X$24),SUMIF(Analysis!$E$4:$X$4,$B$6,Analysis!$E$24:$X$24)))=0,"",$F$10/(IF($B$5="All Time",Analysis!$Y$24,IF($B$5="Year",SUMIF(Analysis!$E$3:$X$3,$D$5,Analysis!$E$24:$X$24),SUMIF(Analysis!$E$4:$X$4,$B$6,Analysis!$E$24:$X$24)))))</f>
        <v>0.67119565217391308</v>
      </c>
      <c r="K6" s="169" t="s">
        <v>285</v>
      </c>
      <c r="L6" s="172">
        <f ca="1">IF($B$5="All Time",Analysis!$Y$33,IF($B$5="Year",SUMIF(Analysis!$E$3:$X$3,$D$5,Analysis!$E$33:$X$33),SUMIF(Analysis!$E$4:$X$4,$B$6,Analysis!$E$33:$X$33)))</f>
        <v>32.722208895636527</v>
      </c>
      <c r="M6" s="1"/>
    </row>
    <row r="7" spans="1:13" x14ac:dyDescent="0.3">
      <c r="A7" s="3"/>
      <c r="B7" s="3"/>
      <c r="C7" s="3"/>
      <c r="D7" s="3"/>
      <c r="E7" s="3"/>
      <c r="F7" s="3"/>
      <c r="G7" s="3"/>
      <c r="H7" s="3"/>
      <c r="I7" s="3"/>
      <c r="J7" s="3"/>
      <c r="K7" s="1"/>
      <c r="L7" s="1"/>
      <c r="M7" s="1"/>
    </row>
    <row r="8" spans="1:13" ht="19.95" customHeight="1" x14ac:dyDescent="0.3">
      <c r="A8" s="303" t="s">
        <v>106</v>
      </c>
      <c r="B8" s="303"/>
      <c r="C8" s="303"/>
      <c r="D8" s="303"/>
      <c r="E8" s="303"/>
      <c r="F8" s="303"/>
      <c r="G8" s="303"/>
      <c r="H8" s="303"/>
      <c r="I8" s="303"/>
      <c r="J8" s="303"/>
      <c r="K8" s="303"/>
      <c r="L8" s="303"/>
      <c r="M8" s="303"/>
    </row>
    <row r="9" spans="1:13" ht="25.95" customHeight="1" x14ac:dyDescent="0.3">
      <c r="A9" s="3"/>
      <c r="B9" s="87" t="s">
        <v>288</v>
      </c>
      <c r="C9" s="87" t="s">
        <v>60</v>
      </c>
      <c r="D9" s="87" t="s">
        <v>62</v>
      </c>
      <c r="E9" s="87" t="s">
        <v>16</v>
      </c>
      <c r="F9" s="87" t="s">
        <v>286</v>
      </c>
      <c r="G9" s="87" t="s">
        <v>107</v>
      </c>
      <c r="H9" s="87" t="s">
        <v>287</v>
      </c>
      <c r="I9" s="87" t="s">
        <v>90</v>
      </c>
      <c r="J9" s="90" t="s">
        <v>109</v>
      </c>
      <c r="K9" s="1"/>
      <c r="L9" s="1"/>
      <c r="M9" s="1"/>
    </row>
    <row r="10" spans="1:13" ht="25.95" customHeight="1" x14ac:dyDescent="0.35">
      <c r="A10" s="3"/>
      <c r="B10" s="88">
        <f>IF($B$5="All Time",Analysis!$Y$17,IF($B$5="Year",SUMIF(Analysis!$E$3:$X$3,$D$5,Analysis!$E$17:$X$17),SUMIF(Analysis!$E$4:$X$4,$B$6,Analysis!$E$17:$X$17)))</f>
        <v>44.829171371429332</v>
      </c>
      <c r="C10" s="88">
        <f>IF($B$5="All Time",Analysis!$Y$18,IF($B$5="Year",SUMIF(Analysis!$E$3:$X$3,$D$5,Analysis!$E$18:$X$18),SUMIF(Analysis!$E$4:$X$4,$B$6,Analysis!$E$18:$X$18)))</f>
        <v>17.908108108108106</v>
      </c>
      <c r="D10" s="88">
        <f>IF($B$5="All Time",Analysis!$Y$19,IF($B$5="Year",SUMIF(Analysis!$E$3:$X$3,$D$5,Analysis!$E$19:$X$19),SUMIF(Analysis!$E$4:$X$4,$B$6,Analysis!$E$19:$X$19)))</f>
        <v>14.186137319966196</v>
      </c>
      <c r="E10" s="88">
        <f>D10-C10</f>
        <v>-3.7219707881419097</v>
      </c>
      <c r="F10" s="88">
        <f ca="1">IF($B$5="All Time",Analysis!$Y$32,IF($B$5="Year",SUMIF(Analysis!$E$3:$X$3,$D$5,Analysis!$E$32:$X$32),SUMIF(Analysis!$E$4:$X$4,$B$6,Analysis!$E$32:$X$32)))</f>
        <v>24.163043478260871</v>
      </c>
      <c r="G10" s="92">
        <f ca="1">IF(F10=0,"n/a",C10/F10)</f>
        <v>0.74113627797838311</v>
      </c>
      <c r="H10" s="92">
        <f ca="1">IF($L$6=0,"n/a",C10/$L$6)</f>
        <v>0.54727687135131431</v>
      </c>
      <c r="I10" s="93">
        <f>IF(C10=0,"n/a",D10/C10)</f>
        <v>0.79216281442612335</v>
      </c>
      <c r="J10" s="94" cm="1">
        <f t="array" ref="J10">SUMPRODUCT((Inputs!$A$6:$A$85&lt;&gt;"")*(Inputs!$D$6:$D$85&lt;=$F$6)*(Inputs!$E$6:$E$85&gt;=$D$6))</f>
        <v>16</v>
      </c>
      <c r="K10" s="1"/>
      <c r="L10" s="1"/>
      <c r="M10" s="1"/>
    </row>
    <row r="11" spans="1:13" ht="28.05" customHeight="1" x14ac:dyDescent="0.3">
      <c r="A11" s="3"/>
      <c r="B11" s="95" t="str">
        <f>"full period plan"</f>
        <v>full period plan</v>
      </c>
      <c r="C11" s="95" t="str">
        <f>"what we actually burned"</f>
        <v>what we actually burned</v>
      </c>
      <c r="D11" s="95" t="str">
        <f>"value delivered"</f>
        <v>value delivered</v>
      </c>
      <c r="E11" s="95" t="str">
        <f>"earned minus actual"</f>
        <v>earned minus actual</v>
      </c>
      <c r="F11" s="95" t="str">
        <f ca="1">"pro-rated to "&amp;TEXT($H$6,"dd mmm")</f>
        <v>pro-rated to 01 Sep</v>
      </c>
      <c r="G11" s="95" t="str">
        <f>"actual vs capacity to date"</f>
        <v>actual vs capacity to date</v>
      </c>
      <c r="H11" s="95" t="str">
        <f ca="1">"vs "&amp;TEXT($L$6,"0.00")&amp;" MM planned to date"</f>
        <v>vs 32.72 MM planned to date</v>
      </c>
      <c r="I11" s="95" t="str">
        <f>"above 1.00 is good"</f>
        <v>above 1.00 is good</v>
      </c>
      <c r="J11" s="96" t="str">
        <f>"live in this period"</f>
        <v>live in this period</v>
      </c>
      <c r="K11" s="1"/>
      <c r="L11" s="1"/>
      <c r="M11" s="1"/>
    </row>
    <row r="12" spans="1:13" x14ac:dyDescent="0.3">
      <c r="A12" s="3"/>
      <c r="B12" s="3"/>
      <c r="C12" s="3"/>
      <c r="D12" s="3"/>
      <c r="E12" s="3"/>
      <c r="F12" s="3"/>
      <c r="G12" s="3"/>
      <c r="H12" s="3"/>
      <c r="I12" s="3"/>
      <c r="J12" s="3"/>
      <c r="K12" s="1"/>
      <c r="L12" s="1"/>
      <c r="M12" s="1"/>
    </row>
    <row r="13" spans="1:13" ht="19.95" customHeight="1" x14ac:dyDescent="0.3">
      <c r="A13" s="297" t="s">
        <v>31</v>
      </c>
      <c r="B13" s="297"/>
      <c r="C13" s="297"/>
      <c r="D13" s="297"/>
      <c r="E13" s="297"/>
      <c r="F13" s="297"/>
      <c r="G13" s="297"/>
      <c r="H13" s="297"/>
      <c r="I13" s="297"/>
      <c r="J13" s="297"/>
      <c r="K13" s="297"/>
      <c r="L13" s="297"/>
      <c r="M13" s="297"/>
    </row>
    <row r="14" spans="1:13" ht="27" x14ac:dyDescent="0.3">
      <c r="A14" s="104" t="s">
        <v>20</v>
      </c>
      <c r="B14" s="105" t="s">
        <v>26</v>
      </c>
      <c r="C14" s="105" t="s">
        <v>0</v>
      </c>
      <c r="D14" s="105" t="s">
        <v>110</v>
      </c>
      <c r="E14" s="105" t="s">
        <v>111</v>
      </c>
      <c r="F14" s="105" t="s">
        <v>61</v>
      </c>
      <c r="G14" s="105" t="s">
        <v>18</v>
      </c>
      <c r="H14" s="105" t="s">
        <v>16</v>
      </c>
      <c r="I14" s="105" t="s">
        <v>27</v>
      </c>
      <c r="J14" s="3"/>
      <c r="K14" s="1"/>
      <c r="L14" s="1"/>
      <c r="M14" s="1"/>
    </row>
    <row r="15" spans="1:13" x14ac:dyDescent="0.3">
      <c r="A15" s="5" t="s">
        <v>21</v>
      </c>
      <c r="B15" s="73" cm="1">
        <f t="array" ref="B15">SUMPRODUCT((Inputs!$F$6:$F$85=$A15)*$M$173:$M$252)</f>
        <v>6</v>
      </c>
      <c r="C15" s="7" cm="1">
        <f t="array" ref="C15">SUMPRODUCT((Inputs!$F$6:$F$85=$A15)*$M$173:$M$252*$B$173:$B$252)</f>
        <v>35.549999999999997</v>
      </c>
      <c r="D15" s="7" cm="1">
        <f t="array" ref="D15">SUMPRODUCT((Inputs!$F$6:$F$85=$A15)*$M$173:$M$252*$K$173:$K$252)</f>
        <v>28.315240756907514</v>
      </c>
      <c r="E15" s="7" cm="1">
        <f t="array" ref="E15">SUMPRODUCT((Inputs!$F$6:$F$85=$A15)*$M$173:$M$252*$L$173:$L$252)</f>
        <v>14.166216216216215</v>
      </c>
      <c r="F15" s="7" cm="1">
        <f t="array" ref="F15">SUMPRODUCT((Inputs!$F$6:$F$85=$A15)*$M$173:$M$252*$I$173:$I$252)</f>
        <v>48.56817810995026</v>
      </c>
      <c r="G15" s="7" cm="1">
        <f t="array" ref="G15">SUMPRODUCT((Inputs!$F$6:$F$85=$A15)*$M$173:$M$252*$H$173:$H$252)</f>
        <v>68.214124055896207</v>
      </c>
      <c r="H15" s="7" cm="1">
        <f t="array" ref="H15">SUMPRODUCT((Inputs!$F$6:$F$85=$A15)*$M$173:$M$252*$J$173:$J$252)</f>
        <v>-32.66412405589621</v>
      </c>
      <c r="I15" s="74" t="str">
        <f t="shared" ref="I15:I20" si="0">IF(OR($A15="Active",$A15="Not Started"),"Yes","No")</f>
        <v>Yes</v>
      </c>
      <c r="J15" s="3"/>
      <c r="K15" s="1"/>
      <c r="L15" s="1"/>
      <c r="M15" s="1"/>
    </row>
    <row r="16" spans="1:13" x14ac:dyDescent="0.3">
      <c r="A16" s="5" t="s">
        <v>22</v>
      </c>
      <c r="B16" s="73" cm="1">
        <f t="array" ref="B16">SUMPRODUCT((Inputs!$F$6:$F$85=$A16)*$M$173:$M$252)</f>
        <v>1</v>
      </c>
      <c r="C16" s="7" cm="1">
        <f t="array" ref="C16">SUMPRODUCT((Inputs!$F$6:$F$85=$A16)*$M$173:$M$252*$B$173:$B$252)</f>
        <v>5</v>
      </c>
      <c r="D16" s="7" cm="1">
        <f t="array" ref="D16">SUMPRODUCT((Inputs!$F$6:$F$85=$A16)*$M$173:$M$252*$K$173:$K$252)</f>
        <v>1.2585499316005473</v>
      </c>
      <c r="E16" s="7" cm="1">
        <f t="array" ref="E16">SUMPRODUCT((Inputs!$F$6:$F$85=$A16)*$M$173:$M$252*$L$173:$L$252)</f>
        <v>0</v>
      </c>
      <c r="F16" s="7" cm="1">
        <f t="array" ref="F16">SUMPRODUCT((Inputs!$F$6:$F$85=$A16)*$M$173:$M$252*$I$173:$I$252)</f>
        <v>5</v>
      </c>
      <c r="G16" s="7" cm="1">
        <f t="array" ref="G16">SUMPRODUCT((Inputs!$F$6:$F$85=$A16)*$M$173:$M$252*$H$173:$H$252)</f>
        <v>5</v>
      </c>
      <c r="H16" s="7" cm="1">
        <f t="array" ref="H16">SUMPRODUCT((Inputs!$F$6:$F$85=$A16)*$M$173:$M$252*$J$173:$J$252)</f>
        <v>0</v>
      </c>
      <c r="I16" s="74" t="str">
        <f t="shared" si="0"/>
        <v>Yes</v>
      </c>
      <c r="J16" s="3"/>
      <c r="K16" s="1"/>
      <c r="L16" s="1"/>
      <c r="M16" s="1"/>
    </row>
    <row r="17" spans="1:13" x14ac:dyDescent="0.3">
      <c r="A17" s="5" t="s">
        <v>28</v>
      </c>
      <c r="B17" s="73" cm="1">
        <f t="array" ref="B17">SUMPRODUCT((Inputs!$F$6:$F$85=$A17)*$M$173:$M$252)</f>
        <v>7</v>
      </c>
      <c r="C17" s="7" cm="1">
        <f t="array" ref="C17">SUMPRODUCT((Inputs!$F$6:$F$85=$A17)*$M$173:$M$252*$B$173:$B$252)</f>
        <v>18.399999999999999</v>
      </c>
      <c r="D17" s="7" cm="1">
        <f t="array" ref="D17">SUMPRODUCT((Inputs!$F$6:$F$85=$A17)*$M$173:$M$252*$K$173:$K$252)</f>
        <v>9.5972453995574618</v>
      </c>
      <c r="E17" s="7" cm="1">
        <f t="array" ref="E17">SUMPRODUCT((Inputs!$F$6:$F$85=$A17)*$M$173:$M$252*$L$173:$L$252)</f>
        <v>1.354054054054054</v>
      </c>
      <c r="F17" s="7" cm="1">
        <f t="array" ref="F17">SUMPRODUCT((Inputs!$F$6:$F$85=$A17)*$M$173:$M$252*$I$173:$I$252)</f>
        <v>26.772301713478182</v>
      </c>
      <c r="G17" s="7" cm="1">
        <f t="array" ref="G17">SUMPRODUCT((Inputs!$F$6:$F$85=$A17)*$M$173:$M$252*$H$173:$H$252)</f>
        <v>35.793923335099805</v>
      </c>
      <c r="H17" s="7" cm="1">
        <f t="array" ref="H17">SUMPRODUCT((Inputs!$F$6:$F$85=$A17)*$M$173:$M$252*$J$173:$J$252)</f>
        <v>-17.393923335099803</v>
      </c>
      <c r="I17" s="74" t="str">
        <f t="shared" si="0"/>
        <v>No</v>
      </c>
      <c r="J17" s="3"/>
      <c r="K17" s="1"/>
      <c r="L17" s="1"/>
      <c r="M17" s="1"/>
    </row>
    <row r="18" spans="1:13" x14ac:dyDescent="0.3">
      <c r="A18" s="5" t="s">
        <v>29</v>
      </c>
      <c r="B18" s="73" cm="1">
        <f t="array" ref="B18">SUMPRODUCT((Inputs!$F$6:$F$85=$A18)*$M$173:$M$252)</f>
        <v>2</v>
      </c>
      <c r="C18" s="7" cm="1">
        <f t="array" ref="C18">SUMPRODUCT((Inputs!$F$6:$F$85=$A18)*$M$173:$M$252*$B$173:$B$252)</f>
        <v>9</v>
      </c>
      <c r="D18" s="7" cm="1">
        <f t="array" ref="D18">SUMPRODUCT((Inputs!$F$6:$F$85=$A18)*$M$173:$M$252*$K$173:$K$252)</f>
        <v>5.6581352833638023</v>
      </c>
      <c r="E18" s="7" cm="1">
        <f t="array" ref="E18">SUMPRODUCT((Inputs!$F$6:$F$85=$A18)*$M$173:$M$252*$L$173:$L$252)</f>
        <v>1.9472972972972973</v>
      </c>
      <c r="F18" s="7" cm="1">
        <f t="array" ref="F18">SUMPRODUCT((Inputs!$F$6:$F$85=$A18)*$M$173:$M$252*$I$173:$I$252)</f>
        <v>0</v>
      </c>
      <c r="G18" s="7" cm="1">
        <f t="array" ref="G18">SUMPRODUCT((Inputs!$F$6:$F$85=$A18)*$M$173:$M$252*$H$173:$H$252)</f>
        <v>4.8905405405405409</v>
      </c>
      <c r="H18" s="7" cm="1">
        <f t="array" ref="H18">SUMPRODUCT((Inputs!$F$6:$F$85=$A18)*$M$173:$M$252*$J$173:$J$252)</f>
        <v>4.1094594594594591</v>
      </c>
      <c r="I18" s="74" t="str">
        <f t="shared" si="0"/>
        <v>No</v>
      </c>
      <c r="J18" s="3"/>
      <c r="K18" s="1"/>
      <c r="L18" s="1"/>
      <c r="M18" s="1"/>
    </row>
    <row r="19" spans="1:13" x14ac:dyDescent="0.3">
      <c r="A19" s="5" t="s">
        <v>25</v>
      </c>
      <c r="B19" s="73" cm="1">
        <f t="array" ref="B19">SUMPRODUCT((Inputs!$F$6:$F$85=$A19)*$M$173:$M$252)</f>
        <v>0</v>
      </c>
      <c r="C19" s="7" cm="1">
        <f t="array" ref="C19">SUMPRODUCT((Inputs!$F$6:$F$85=$A19)*$M$173:$M$252*$B$173:$B$252)</f>
        <v>0</v>
      </c>
      <c r="D19" s="7" cm="1">
        <f t="array" ref="D19">SUMPRODUCT((Inputs!$F$6:$F$85=$A19)*$M$173:$M$252*$K$173:$K$252)</f>
        <v>0</v>
      </c>
      <c r="E19" s="7" cm="1">
        <f t="array" ref="E19">SUMPRODUCT((Inputs!$F$6:$F$85=$A19)*$M$173:$M$252*$L$173:$L$252)</f>
        <v>0</v>
      </c>
      <c r="F19" s="7" cm="1">
        <f t="array" ref="F19">SUMPRODUCT((Inputs!$F$6:$F$85=$A19)*$M$173:$M$252*$I$173:$I$252)</f>
        <v>0</v>
      </c>
      <c r="G19" s="7" cm="1">
        <f t="array" ref="G19">SUMPRODUCT((Inputs!$F$6:$F$85=$A19)*$M$173:$M$252*$H$173:$H$252)</f>
        <v>0</v>
      </c>
      <c r="H19" s="7" cm="1">
        <f t="array" ref="H19">SUMPRODUCT((Inputs!$F$6:$F$85=$A19)*$M$173:$M$252*$J$173:$J$252)</f>
        <v>0</v>
      </c>
      <c r="I19" s="74" t="str">
        <f t="shared" si="0"/>
        <v>No</v>
      </c>
      <c r="J19" s="3"/>
      <c r="K19" s="1"/>
      <c r="L19" s="1"/>
      <c r="M19" s="1"/>
    </row>
    <row r="20" spans="1:13" x14ac:dyDescent="0.3">
      <c r="A20" s="5" t="s">
        <v>30</v>
      </c>
      <c r="B20" s="73" cm="1">
        <f t="array" ref="B20">SUMPRODUCT((Inputs!$F$6:$F$85=$A20)*$M$173:$M$252)</f>
        <v>0</v>
      </c>
      <c r="C20" s="7" cm="1">
        <f t="array" ref="C20">SUMPRODUCT((Inputs!$F$6:$F$85=$A20)*$M$173:$M$252*$B$173:$B$252)</f>
        <v>0</v>
      </c>
      <c r="D20" s="7" cm="1">
        <f t="array" ref="D20">SUMPRODUCT((Inputs!$F$6:$F$85=$A20)*$M$173:$M$252*$K$173:$K$252)</f>
        <v>0</v>
      </c>
      <c r="E20" s="7" cm="1">
        <f t="array" ref="E20">SUMPRODUCT((Inputs!$F$6:$F$85=$A20)*$M$173:$M$252*$L$173:$L$252)</f>
        <v>0</v>
      </c>
      <c r="F20" s="7" cm="1">
        <f t="array" ref="F20">SUMPRODUCT((Inputs!$F$6:$F$85=$A20)*$M$173:$M$252*$I$173:$I$252)</f>
        <v>0</v>
      </c>
      <c r="G20" s="7" cm="1">
        <f t="array" ref="G20">SUMPRODUCT((Inputs!$F$6:$F$85=$A20)*$M$173:$M$252*$H$173:$H$252)</f>
        <v>0</v>
      </c>
      <c r="H20" s="7" cm="1">
        <f t="array" ref="H20">SUMPRODUCT((Inputs!$F$6:$F$85=$A20)*$M$173:$M$252*$J$173:$J$252)</f>
        <v>0</v>
      </c>
      <c r="I20" s="74" t="str">
        <f t="shared" si="0"/>
        <v>No</v>
      </c>
      <c r="J20" s="3"/>
      <c r="K20" s="1"/>
      <c r="L20" s="1"/>
      <c r="M20" s="1"/>
    </row>
    <row r="21" spans="1:13" x14ac:dyDescent="0.3">
      <c r="A21" s="19" t="s">
        <v>118</v>
      </c>
      <c r="B21" s="46">
        <f t="shared" ref="B21:H21" si="1">SUM(B15:B20)</f>
        <v>16</v>
      </c>
      <c r="C21" s="22">
        <f t="shared" si="1"/>
        <v>67.949999999999989</v>
      </c>
      <c r="D21" s="22">
        <f t="shared" si="1"/>
        <v>44.829171371429325</v>
      </c>
      <c r="E21" s="22">
        <f t="shared" si="1"/>
        <v>17.467567567567567</v>
      </c>
      <c r="F21" s="22">
        <f t="shared" si="1"/>
        <v>80.340479823428439</v>
      </c>
      <c r="G21" s="22">
        <f t="shared" si="1"/>
        <v>113.89858793153655</v>
      </c>
      <c r="H21" s="22">
        <f t="shared" si="1"/>
        <v>-45.948587931536551</v>
      </c>
      <c r="I21" s="75" t="str">
        <f>""</f>
        <v/>
      </c>
      <c r="J21" s="3"/>
      <c r="K21" s="1"/>
      <c r="L21" s="1"/>
      <c r="M21" s="1"/>
    </row>
    <row r="22" spans="1:13" x14ac:dyDescent="0.3">
      <c r="A22" s="19" t="s">
        <v>97</v>
      </c>
      <c r="B22" s="46">
        <f t="shared" ref="B22:H22" si="2">SUM(B15:B16)</f>
        <v>7</v>
      </c>
      <c r="C22" s="22">
        <f t="shared" si="2"/>
        <v>40.549999999999997</v>
      </c>
      <c r="D22" s="22">
        <f t="shared" si="2"/>
        <v>29.573790688508062</v>
      </c>
      <c r="E22" s="22">
        <f t="shared" si="2"/>
        <v>14.166216216216215</v>
      </c>
      <c r="F22" s="22">
        <f t="shared" si="2"/>
        <v>53.56817810995026</v>
      </c>
      <c r="G22" s="22">
        <f t="shared" si="2"/>
        <v>73.214124055896207</v>
      </c>
      <c r="H22" s="22">
        <f t="shared" si="2"/>
        <v>-32.66412405589621</v>
      </c>
      <c r="I22" s="75" t="str">
        <f>""</f>
        <v/>
      </c>
      <c r="J22" s="3"/>
      <c r="K22" s="1"/>
      <c r="L22" s="1"/>
      <c r="M22" s="1"/>
    </row>
    <row r="23" spans="1:13" x14ac:dyDescent="0.3">
      <c r="A23" s="3"/>
      <c r="B23" s="3"/>
      <c r="C23" s="3"/>
      <c r="D23" s="3"/>
      <c r="E23" s="3"/>
      <c r="F23" s="3"/>
      <c r="G23" s="3"/>
      <c r="H23" s="3"/>
      <c r="I23" s="3"/>
      <c r="J23" s="3"/>
      <c r="K23" s="1"/>
      <c r="L23" s="1"/>
      <c r="M23" s="1"/>
    </row>
    <row r="24" spans="1:13" ht="19.95" customHeight="1" x14ac:dyDescent="0.3">
      <c r="A24" s="300" t="s">
        <v>219</v>
      </c>
      <c r="B24" s="300"/>
      <c r="C24" s="300"/>
      <c r="D24" s="300"/>
      <c r="E24" s="300"/>
      <c r="F24" s="300"/>
      <c r="G24" s="300"/>
      <c r="H24" s="300"/>
      <c r="I24" s="300"/>
      <c r="J24" s="300"/>
      <c r="K24" s="300"/>
      <c r="L24" s="300"/>
      <c r="M24" s="300"/>
    </row>
    <row r="25" spans="1:13" x14ac:dyDescent="0.3">
      <c r="A25" s="125" t="s">
        <v>5</v>
      </c>
      <c r="B25" s="126" t="s">
        <v>0</v>
      </c>
      <c r="C25" s="126" t="s">
        <v>37</v>
      </c>
      <c r="D25" s="126" t="s">
        <v>38</v>
      </c>
      <c r="E25" s="126" t="s">
        <v>20</v>
      </c>
      <c r="F25" s="126" t="s">
        <v>91</v>
      </c>
      <c r="G25" s="126" t="s">
        <v>113</v>
      </c>
      <c r="H25" s="126" t="s">
        <v>18</v>
      </c>
      <c r="I25" s="126" t="s">
        <v>17</v>
      </c>
      <c r="J25" s="126" t="s">
        <v>16</v>
      </c>
      <c r="K25" s="127" t="s">
        <v>110</v>
      </c>
      <c r="L25" s="127" t="s">
        <v>111</v>
      </c>
      <c r="M25" s="127" t="s">
        <v>117</v>
      </c>
    </row>
    <row r="26" spans="1:13" x14ac:dyDescent="0.3">
      <c r="A26" s="128" t="str">
        <f t="shared" ref="A26:A57" si="3">IFERROR(INDEX($A$173:$A$252,MATCH(ROW()-25,$N$173:$N$252,0)),"")</f>
        <v>N25178-0100D</v>
      </c>
      <c r="B26" s="129">
        <f t="shared" ref="B26:B57" si="4">IF($A26="","",INDEX($B$173:$B$252,MATCH(ROW()-25,$N$173:$N$252,0)))</f>
        <v>2.4</v>
      </c>
      <c r="C26" s="130">
        <f t="shared" ref="C26:C57" si="5">IF($A26="","",INDEX($C$173:$C$252,MATCH(ROW()-25,$N$173:$N$252,0)))</f>
        <v>46204</v>
      </c>
      <c r="D26" s="130">
        <f t="shared" ref="D26:D57" si="6">IF($A26="","",INDEX($D$173:$D$252,MATCH(ROW()-25,$N$173:$N$252,0)))</f>
        <v>46295</v>
      </c>
      <c r="E26" s="131" t="str">
        <f t="shared" ref="E26:E57" si="7">IF($A26="","",INDEX($E$173:$E$252,MATCH(ROW()-25,$N$173:$N$252,0)))</f>
        <v>Active</v>
      </c>
      <c r="F26" s="132">
        <f t="shared" ref="F26:F57" si="8">IF($A26="","",INDEX($F$173:$F$252,MATCH(ROW()-25,$N$173:$N$252,0)))</f>
        <v>0.65</v>
      </c>
      <c r="G26" s="133">
        <f t="shared" ref="G26:G57" si="9">IF($A26="","",INDEX($G$173:$G$252,MATCH(ROW()-25,$N$173:$N$252,0)))</f>
        <v>0</v>
      </c>
      <c r="H26" s="133">
        <f t="shared" ref="H26:H57" si="10">IF($A26="","",INDEX($H$173:$H$252,MATCH(ROW()-25,$N$173:$N$252,0)))</f>
        <v>2.4</v>
      </c>
      <c r="I26" s="133">
        <f t="shared" ref="I26:I57" si="11">IF($A26="","",INDEX($I$173:$I$252,MATCH(ROW()-25,$N$173:$N$252,0)))</f>
        <v>2.4</v>
      </c>
      <c r="J26" s="133">
        <f t="shared" ref="J26:J57" si="12">IF($A26="","",INDEX($J$173:$J$252,MATCH(ROW()-25,$N$173:$N$252,0)))</f>
        <v>0</v>
      </c>
      <c r="K26" s="134">
        <f t="shared" ref="K26:K57" si="13">IF($A26="","",INDEX($K$173:$K$252,MATCH(ROW()-25,$N$173:$N$252,0)))</f>
        <v>2.4</v>
      </c>
      <c r="L26" s="134">
        <f t="shared" ref="L26:L57" si="14">IF($A26="","",INDEX($L$173:$L$252,MATCH(ROW()-25,$N$173:$N$252,0)))</f>
        <v>0</v>
      </c>
      <c r="M26" s="135">
        <f t="shared" ref="M26:M57" si="15">IF($A26="","",IF($K$106=0,"",$K26/$K$106))</f>
        <v>5.3536568412450643E-2</v>
      </c>
    </row>
    <row r="27" spans="1:13" x14ac:dyDescent="0.3">
      <c r="A27" s="128" t="str">
        <f t="shared" si="3"/>
        <v>E26084-0100D</v>
      </c>
      <c r="B27" s="129">
        <f t="shared" si="4"/>
        <v>3</v>
      </c>
      <c r="C27" s="130">
        <f t="shared" si="5"/>
        <v>45839</v>
      </c>
      <c r="D27" s="130">
        <f t="shared" si="6"/>
        <v>46295</v>
      </c>
      <c r="E27" s="131" t="str">
        <f t="shared" si="7"/>
        <v>Active</v>
      </c>
      <c r="F27" s="132">
        <f t="shared" si="8"/>
        <v>0.16250000000000001</v>
      </c>
      <c r="G27" s="133">
        <f t="shared" si="9"/>
        <v>0.22567567567567567</v>
      </c>
      <c r="H27" s="133">
        <f t="shared" si="10"/>
        <v>1.3887733887733886</v>
      </c>
      <c r="I27" s="133">
        <f t="shared" si="11"/>
        <v>1.1630977130977129</v>
      </c>
      <c r="J27" s="133">
        <f t="shared" si="12"/>
        <v>1.6112266112266114</v>
      </c>
      <c r="K27" s="134">
        <f t="shared" si="13"/>
        <v>1.7921225382932164</v>
      </c>
      <c r="L27" s="134">
        <f t="shared" si="14"/>
        <v>0.22567567567567567</v>
      </c>
      <c r="M27" s="135">
        <f t="shared" si="15"/>
        <v>3.997670453117895E-2</v>
      </c>
    </row>
    <row r="28" spans="1:13" x14ac:dyDescent="0.3">
      <c r="A28" s="128" t="str">
        <f t="shared" si="3"/>
        <v>N25185-0100D</v>
      </c>
      <c r="B28" s="129">
        <f t="shared" si="4"/>
        <v>26</v>
      </c>
      <c r="C28" s="130">
        <f t="shared" si="5"/>
        <v>45931</v>
      </c>
      <c r="D28" s="130">
        <f t="shared" si="6"/>
        <v>46387</v>
      </c>
      <c r="E28" s="131" t="str">
        <f t="shared" si="7"/>
        <v>Active</v>
      </c>
      <c r="F28" s="132">
        <f t="shared" si="8"/>
        <v>0.316</v>
      </c>
      <c r="G28" s="133">
        <f t="shared" si="9"/>
        <v>18.516216216216218</v>
      </c>
      <c r="H28" s="133">
        <f t="shared" si="10"/>
        <v>58.595620937393093</v>
      </c>
      <c r="I28" s="133">
        <f t="shared" si="11"/>
        <v>40.079404721176871</v>
      </c>
      <c r="J28" s="133">
        <f t="shared" si="12"/>
        <v>-32.595620937393093</v>
      </c>
      <c r="K28" s="134">
        <f t="shared" si="13"/>
        <v>20.765864332603936</v>
      </c>
      <c r="L28" s="134">
        <f t="shared" si="14"/>
        <v>13.517567567567566</v>
      </c>
      <c r="M28" s="135">
        <f t="shared" si="15"/>
        <v>0.4632221318692164</v>
      </c>
    </row>
    <row r="29" spans="1:13" x14ac:dyDescent="0.3">
      <c r="A29" s="128" t="str">
        <f t="shared" si="3"/>
        <v>D26058-0100D</v>
      </c>
      <c r="B29" s="129">
        <f t="shared" si="4"/>
        <v>5</v>
      </c>
      <c r="C29" s="130">
        <f t="shared" si="5"/>
        <v>46204</v>
      </c>
      <c r="D29" s="130">
        <f t="shared" si="6"/>
        <v>46934</v>
      </c>
      <c r="E29" s="131" t="str">
        <f t="shared" si="7"/>
        <v>Not Started</v>
      </c>
      <c r="F29" s="132">
        <f t="shared" si="8"/>
        <v>0</v>
      </c>
      <c r="G29" s="133">
        <f t="shared" si="9"/>
        <v>0</v>
      </c>
      <c r="H29" s="133">
        <f t="shared" si="10"/>
        <v>5</v>
      </c>
      <c r="I29" s="133">
        <f t="shared" si="11"/>
        <v>5</v>
      </c>
      <c r="J29" s="133">
        <f t="shared" si="12"/>
        <v>0</v>
      </c>
      <c r="K29" s="134">
        <f t="shared" si="13"/>
        <v>1.2585499316005473</v>
      </c>
      <c r="L29" s="134">
        <f t="shared" si="14"/>
        <v>0</v>
      </c>
      <c r="M29" s="135">
        <f t="shared" si="15"/>
        <v>2.8074351880674076E-2</v>
      </c>
    </row>
    <row r="30" spans="1:13" x14ac:dyDescent="0.3">
      <c r="A30" s="128" t="str">
        <f t="shared" si="3"/>
        <v>AN23207-0500D</v>
      </c>
      <c r="B30" s="129">
        <f t="shared" si="4"/>
        <v>1.1499999999999999</v>
      </c>
      <c r="C30" s="130">
        <f t="shared" si="5"/>
        <v>46023</v>
      </c>
      <c r="D30" s="130">
        <f t="shared" si="6"/>
        <v>46112</v>
      </c>
      <c r="E30" s="131" t="str">
        <f t="shared" si="7"/>
        <v>On Hold</v>
      </c>
      <c r="F30" s="132">
        <f t="shared" si="8"/>
        <v>0.65</v>
      </c>
      <c r="G30" s="133">
        <f t="shared" si="9"/>
        <v>0</v>
      </c>
      <c r="H30" s="133">
        <f t="shared" si="10"/>
        <v>1.1499999999999999</v>
      </c>
      <c r="I30" s="133">
        <f t="shared" si="11"/>
        <v>1.1499999999999999</v>
      </c>
      <c r="J30" s="133">
        <f t="shared" si="12"/>
        <v>0</v>
      </c>
      <c r="K30" s="134">
        <f t="shared" si="13"/>
        <v>1.1499999999999999</v>
      </c>
      <c r="L30" s="134">
        <f t="shared" si="14"/>
        <v>0</v>
      </c>
      <c r="M30" s="135">
        <f t="shared" si="15"/>
        <v>2.5652939030965931E-2</v>
      </c>
    </row>
    <row r="31" spans="1:13" x14ac:dyDescent="0.3">
      <c r="A31" s="128" t="str">
        <f t="shared" si="3"/>
        <v>AN23276-0100D</v>
      </c>
      <c r="B31" s="129">
        <f t="shared" si="4"/>
        <v>5</v>
      </c>
      <c r="C31" s="130">
        <f t="shared" si="5"/>
        <v>45474</v>
      </c>
      <c r="D31" s="130">
        <f t="shared" si="6"/>
        <v>46295</v>
      </c>
      <c r="E31" s="131" t="str">
        <f t="shared" si="7"/>
        <v>On Hold</v>
      </c>
      <c r="F31" s="132">
        <f t="shared" si="8"/>
        <v>0.9</v>
      </c>
      <c r="G31" s="133">
        <f t="shared" si="9"/>
        <v>0.88918918918918921</v>
      </c>
      <c r="H31" s="133">
        <f t="shared" si="10"/>
        <v>0.98798798798798804</v>
      </c>
      <c r="I31" s="133">
        <f t="shared" si="11"/>
        <v>9.8798798798798826E-2</v>
      </c>
      <c r="J31" s="133">
        <f t="shared" si="12"/>
        <v>4.0120120120120122</v>
      </c>
      <c r="K31" s="134">
        <f t="shared" si="13"/>
        <v>1.6605839416058394</v>
      </c>
      <c r="L31" s="134">
        <f t="shared" si="14"/>
        <v>0</v>
      </c>
      <c r="M31" s="135">
        <f t="shared" si="15"/>
        <v>3.7042485747665818E-2</v>
      </c>
    </row>
    <row r="32" spans="1:13" x14ac:dyDescent="0.3">
      <c r="A32" s="128" t="str">
        <f t="shared" si="3"/>
        <v>AN24073-0100D</v>
      </c>
      <c r="B32" s="129">
        <f t="shared" si="4"/>
        <v>1.25</v>
      </c>
      <c r="C32" s="130">
        <f t="shared" si="5"/>
        <v>45839</v>
      </c>
      <c r="D32" s="130">
        <f t="shared" si="6"/>
        <v>46295</v>
      </c>
      <c r="E32" s="131" t="str">
        <f t="shared" si="7"/>
        <v>On Hold</v>
      </c>
      <c r="F32" s="132">
        <f t="shared" si="8"/>
        <v>0.9</v>
      </c>
      <c r="G32" s="133">
        <f t="shared" si="9"/>
        <v>0.92432432432432432</v>
      </c>
      <c r="H32" s="133">
        <f t="shared" si="10"/>
        <v>1.027027027027027</v>
      </c>
      <c r="I32" s="133">
        <f t="shared" si="11"/>
        <v>0.10270270270270265</v>
      </c>
      <c r="J32" s="133">
        <f t="shared" si="12"/>
        <v>0.22297297297297303</v>
      </c>
      <c r="K32" s="134">
        <f t="shared" si="13"/>
        <v>0.7467177242888402</v>
      </c>
      <c r="L32" s="134">
        <f t="shared" si="14"/>
        <v>0</v>
      </c>
      <c r="M32" s="135">
        <f t="shared" si="15"/>
        <v>1.6656960221324565E-2</v>
      </c>
    </row>
    <row r="33" spans="1:13" x14ac:dyDescent="0.3">
      <c r="A33" s="128" t="str">
        <f t="shared" si="3"/>
        <v>AN24140-0100R</v>
      </c>
      <c r="B33" s="129">
        <f t="shared" si="4"/>
        <v>1.5</v>
      </c>
      <c r="C33" s="130">
        <f t="shared" si="5"/>
        <v>45717</v>
      </c>
      <c r="D33" s="130">
        <f t="shared" si="6"/>
        <v>46295</v>
      </c>
      <c r="E33" s="131" t="str">
        <f t="shared" si="7"/>
        <v>Active</v>
      </c>
      <c r="F33" s="132">
        <f t="shared" si="8"/>
        <v>0.1</v>
      </c>
      <c r="G33" s="133">
        <f t="shared" si="9"/>
        <v>0.50270270270270279</v>
      </c>
      <c r="H33" s="133">
        <f t="shared" si="10"/>
        <v>5.0270270270270272</v>
      </c>
      <c r="I33" s="133">
        <f t="shared" si="11"/>
        <v>4.5243243243243247</v>
      </c>
      <c r="J33" s="133">
        <f t="shared" si="12"/>
        <v>-3.5270270270270272</v>
      </c>
      <c r="K33" s="134">
        <f t="shared" si="13"/>
        <v>0.70725388601036265</v>
      </c>
      <c r="L33" s="134">
        <f t="shared" si="14"/>
        <v>2.1621621621621623E-2</v>
      </c>
      <c r="M33" s="135">
        <f t="shared" si="15"/>
        <v>1.577664418890223E-2</v>
      </c>
    </row>
    <row r="34" spans="1:13" x14ac:dyDescent="0.3">
      <c r="A34" s="128" t="str">
        <f t="shared" si="3"/>
        <v>CS24035-0100D</v>
      </c>
      <c r="B34" s="129">
        <f t="shared" si="4"/>
        <v>4</v>
      </c>
      <c r="C34" s="130">
        <f t="shared" si="5"/>
        <v>45931</v>
      </c>
      <c r="D34" s="130">
        <f t="shared" si="6"/>
        <v>46387</v>
      </c>
      <c r="E34" s="131" t="str">
        <f t="shared" si="7"/>
        <v>On Hold</v>
      </c>
      <c r="F34" s="132">
        <f t="shared" si="8"/>
        <v>0.85</v>
      </c>
      <c r="G34" s="133">
        <f t="shared" si="9"/>
        <v>3.1324324324324322</v>
      </c>
      <c r="H34" s="133">
        <f t="shared" si="10"/>
        <v>3.685214626391097</v>
      </c>
      <c r="I34" s="133">
        <f t="shared" si="11"/>
        <v>0.55278219395866479</v>
      </c>
      <c r="J34" s="133">
        <f t="shared" si="12"/>
        <v>0.31478537360890302</v>
      </c>
      <c r="K34" s="134">
        <f t="shared" si="13"/>
        <v>3.194748358862145</v>
      </c>
      <c r="L34" s="134">
        <f t="shared" si="14"/>
        <v>0.57027027027027022</v>
      </c>
      <c r="M34" s="135">
        <f t="shared" si="15"/>
        <v>7.1264943364494862E-2</v>
      </c>
    </row>
    <row r="35" spans="1:13" x14ac:dyDescent="0.3">
      <c r="A35" s="128" t="str">
        <f t="shared" si="3"/>
        <v>Q25008-0100D</v>
      </c>
      <c r="B35" s="129">
        <f t="shared" si="4"/>
        <v>5</v>
      </c>
      <c r="C35" s="130">
        <f t="shared" si="5"/>
        <v>46023</v>
      </c>
      <c r="D35" s="130">
        <f t="shared" si="6"/>
        <v>46235</v>
      </c>
      <c r="E35" s="131" t="str">
        <f t="shared" si="7"/>
        <v>Finalized</v>
      </c>
      <c r="F35" s="132">
        <f t="shared" si="8"/>
        <v>1</v>
      </c>
      <c r="G35" s="133">
        <f t="shared" si="9"/>
        <v>1.9297297297297298</v>
      </c>
      <c r="H35" s="133">
        <f t="shared" si="10"/>
        <v>1.9297297297297298</v>
      </c>
      <c r="I35" s="133">
        <f t="shared" si="11"/>
        <v>0</v>
      </c>
      <c r="J35" s="133">
        <f t="shared" si="12"/>
        <v>3.07027027027027</v>
      </c>
      <c r="K35" s="134">
        <f t="shared" si="13"/>
        <v>5</v>
      </c>
      <c r="L35" s="134">
        <f t="shared" si="14"/>
        <v>1.8135135135135134</v>
      </c>
      <c r="M35" s="135">
        <f t="shared" si="15"/>
        <v>0.11153451752593885</v>
      </c>
    </row>
    <row r="36" spans="1:13" x14ac:dyDescent="0.3">
      <c r="A36" s="128" t="str">
        <f t="shared" si="3"/>
        <v>AN24185-0100R</v>
      </c>
      <c r="B36" s="129">
        <f t="shared" si="4"/>
        <v>4</v>
      </c>
      <c r="C36" s="130">
        <f t="shared" si="5"/>
        <v>45566</v>
      </c>
      <c r="D36" s="130">
        <f t="shared" si="6"/>
        <v>46112</v>
      </c>
      <c r="E36" s="131" t="str">
        <f t="shared" si="7"/>
        <v>Finalized</v>
      </c>
      <c r="F36" s="132">
        <f t="shared" si="8"/>
        <v>1</v>
      </c>
      <c r="G36" s="133">
        <f t="shared" si="9"/>
        <v>2.9608108108108109</v>
      </c>
      <c r="H36" s="133">
        <f t="shared" si="10"/>
        <v>2.9608108108108109</v>
      </c>
      <c r="I36" s="133">
        <f t="shared" si="11"/>
        <v>0</v>
      </c>
      <c r="J36" s="133">
        <f t="shared" si="12"/>
        <v>1.0391891891891891</v>
      </c>
      <c r="K36" s="134">
        <f t="shared" si="13"/>
        <v>0.65813528336380256</v>
      </c>
      <c r="L36" s="134">
        <f t="shared" si="14"/>
        <v>0.13378378378378378</v>
      </c>
      <c r="M36" s="135">
        <f t="shared" si="15"/>
        <v>1.4680960259355754E-2</v>
      </c>
    </row>
    <row r="37" spans="1:13" x14ac:dyDescent="0.3">
      <c r="A37" s="128" t="str">
        <f t="shared" si="3"/>
        <v>AN24135-0100R</v>
      </c>
      <c r="B37" s="129">
        <f t="shared" si="4"/>
        <v>4</v>
      </c>
      <c r="C37" s="130">
        <f t="shared" si="5"/>
        <v>45566</v>
      </c>
      <c r="D37" s="130">
        <f t="shared" si="6"/>
        <v>46477</v>
      </c>
      <c r="E37" s="131" t="str">
        <f t="shared" si="7"/>
        <v>On Hold</v>
      </c>
      <c r="F37" s="132">
        <f t="shared" si="8"/>
        <v>0.1</v>
      </c>
      <c r="G37" s="133">
        <f t="shared" si="9"/>
        <v>1.8310810810810809</v>
      </c>
      <c r="H37" s="133">
        <f t="shared" si="10"/>
        <v>18.310810810810807</v>
      </c>
      <c r="I37" s="133">
        <f t="shared" si="11"/>
        <v>16.479729729729726</v>
      </c>
      <c r="J37" s="133">
        <f t="shared" si="12"/>
        <v>-14.310810810810807</v>
      </c>
      <c r="K37" s="134">
        <f t="shared" si="13"/>
        <v>1.6008771929824561</v>
      </c>
      <c r="L37" s="134">
        <f t="shared" si="14"/>
        <v>0</v>
      </c>
      <c r="M37" s="135">
        <f t="shared" si="15"/>
        <v>3.5710613067515509E-2</v>
      </c>
    </row>
    <row r="38" spans="1:13" x14ac:dyDescent="0.3">
      <c r="A38" s="128" t="str">
        <f t="shared" si="3"/>
        <v>AN23108-0100R</v>
      </c>
      <c r="B38" s="129">
        <f t="shared" si="4"/>
        <v>2</v>
      </c>
      <c r="C38" s="130">
        <f t="shared" si="5"/>
        <v>45689</v>
      </c>
      <c r="D38" s="130">
        <f t="shared" si="6"/>
        <v>46568</v>
      </c>
      <c r="E38" s="131" t="str">
        <f t="shared" si="7"/>
        <v>On Hold</v>
      </c>
      <c r="F38" s="132">
        <f t="shared" si="8"/>
        <v>0.1</v>
      </c>
      <c r="G38" s="133">
        <f t="shared" si="9"/>
        <v>0.82702702702702702</v>
      </c>
      <c r="H38" s="133">
        <f t="shared" si="10"/>
        <v>8.2702702702702702</v>
      </c>
      <c r="I38" s="133">
        <f t="shared" si="11"/>
        <v>7.4432432432432432</v>
      </c>
      <c r="J38" s="133">
        <f t="shared" si="12"/>
        <v>-6.2702702702702702</v>
      </c>
      <c r="K38" s="134">
        <f t="shared" si="13"/>
        <v>0.82954545454545459</v>
      </c>
      <c r="L38" s="134">
        <f t="shared" si="14"/>
        <v>0.68513513513513513</v>
      </c>
      <c r="M38" s="135">
        <f t="shared" si="15"/>
        <v>1.850459040771258E-2</v>
      </c>
    </row>
    <row r="39" spans="1:13" x14ac:dyDescent="0.3">
      <c r="A39" s="128" t="str">
        <f t="shared" si="3"/>
        <v>TA24246-0200R</v>
      </c>
      <c r="B39" s="129">
        <f t="shared" si="4"/>
        <v>1</v>
      </c>
      <c r="C39" s="130">
        <f t="shared" si="5"/>
        <v>45689</v>
      </c>
      <c r="D39" s="130">
        <f t="shared" si="6"/>
        <v>46568</v>
      </c>
      <c r="E39" s="131" t="str">
        <f t="shared" si="7"/>
        <v>On Hold</v>
      </c>
      <c r="F39" s="132">
        <f t="shared" si="8"/>
        <v>0.6</v>
      </c>
      <c r="G39" s="133">
        <f t="shared" si="9"/>
        <v>1.4175675675675674</v>
      </c>
      <c r="H39" s="133">
        <f t="shared" si="10"/>
        <v>2.3626126126126126</v>
      </c>
      <c r="I39" s="133">
        <f t="shared" si="11"/>
        <v>0.94504504504504516</v>
      </c>
      <c r="J39" s="133">
        <f t="shared" si="12"/>
        <v>-1.3626126126126126</v>
      </c>
      <c r="K39" s="134">
        <f t="shared" si="13"/>
        <v>0.41477272727272729</v>
      </c>
      <c r="L39" s="134">
        <f t="shared" si="14"/>
        <v>9.8648648648648654E-2</v>
      </c>
      <c r="M39" s="135">
        <f t="shared" si="15"/>
        <v>9.2522952038562901E-3</v>
      </c>
    </row>
    <row r="40" spans="1:13" x14ac:dyDescent="0.3">
      <c r="A40" s="128" t="str">
        <f t="shared" si="3"/>
        <v>Chargable Proposals 26</v>
      </c>
      <c r="B40" s="129">
        <f t="shared" si="4"/>
        <v>2.25</v>
      </c>
      <c r="C40" s="130">
        <f t="shared" si="5"/>
        <v>46023</v>
      </c>
      <c r="D40" s="130">
        <f t="shared" si="6"/>
        <v>46387</v>
      </c>
      <c r="E40" s="131" t="str">
        <f t="shared" si="7"/>
        <v>Active</v>
      </c>
      <c r="F40" s="132">
        <f t="shared" si="8"/>
        <v>0.5</v>
      </c>
      <c r="G40" s="133">
        <f t="shared" si="9"/>
        <v>0.33108108108108109</v>
      </c>
      <c r="H40" s="133">
        <f t="shared" si="10"/>
        <v>0.66216216216216217</v>
      </c>
      <c r="I40" s="133">
        <f t="shared" si="11"/>
        <v>0.33108108108108109</v>
      </c>
      <c r="J40" s="133">
        <f t="shared" si="12"/>
        <v>1.5878378378378377</v>
      </c>
      <c r="K40" s="134">
        <f t="shared" si="13"/>
        <v>2.25</v>
      </c>
      <c r="L40" s="134">
        <f t="shared" si="14"/>
        <v>0.33108108108108109</v>
      </c>
      <c r="M40" s="135">
        <f t="shared" si="15"/>
        <v>5.0190532886672481E-2</v>
      </c>
    </row>
    <row r="41" spans="1:13" x14ac:dyDescent="0.3">
      <c r="A41" s="128" t="str">
        <f t="shared" si="3"/>
        <v>Proposals 26</v>
      </c>
      <c r="B41" s="129">
        <f t="shared" si="4"/>
        <v>0.4</v>
      </c>
      <c r="C41" s="130">
        <f t="shared" si="5"/>
        <v>46023</v>
      </c>
      <c r="D41" s="130">
        <f t="shared" si="6"/>
        <v>46387</v>
      </c>
      <c r="E41" s="131" t="str">
        <f t="shared" si="7"/>
        <v>Active</v>
      </c>
      <c r="F41" s="132">
        <f t="shared" si="8"/>
        <v>0.5</v>
      </c>
      <c r="G41" s="133">
        <f t="shared" si="9"/>
        <v>7.0270270270270274E-2</v>
      </c>
      <c r="H41" s="133">
        <f t="shared" si="10"/>
        <v>0.14054054054054055</v>
      </c>
      <c r="I41" s="133">
        <f t="shared" si="11"/>
        <v>7.0270270270270274E-2</v>
      </c>
      <c r="J41" s="133">
        <f t="shared" si="12"/>
        <v>0.25945945945945947</v>
      </c>
      <c r="K41" s="134">
        <f t="shared" si="13"/>
        <v>0.4</v>
      </c>
      <c r="L41" s="134">
        <f t="shared" si="14"/>
        <v>7.0270270270270274E-2</v>
      </c>
      <c r="M41" s="135">
        <f t="shared" si="15"/>
        <v>8.9227614020751089E-3</v>
      </c>
    </row>
    <row r="42" spans="1:13" x14ac:dyDescent="0.3">
      <c r="A42" s="128" t="str">
        <f t="shared" si="3"/>
        <v/>
      </c>
      <c r="B42" s="129" t="str">
        <f t="shared" si="4"/>
        <v/>
      </c>
      <c r="C42" s="130" t="str">
        <f t="shared" si="5"/>
        <v/>
      </c>
      <c r="D42" s="130" t="str">
        <f t="shared" si="6"/>
        <v/>
      </c>
      <c r="E42" s="131" t="str">
        <f t="shared" si="7"/>
        <v/>
      </c>
      <c r="F42" s="132" t="str">
        <f t="shared" si="8"/>
        <v/>
      </c>
      <c r="G42" s="133" t="str">
        <f t="shared" si="9"/>
        <v/>
      </c>
      <c r="H42" s="133" t="str">
        <f t="shared" si="10"/>
        <v/>
      </c>
      <c r="I42" s="133" t="str">
        <f t="shared" si="11"/>
        <v/>
      </c>
      <c r="J42" s="133" t="str">
        <f t="shared" si="12"/>
        <v/>
      </c>
      <c r="K42" s="134" t="str">
        <f t="shared" si="13"/>
        <v/>
      </c>
      <c r="L42" s="134" t="str">
        <f t="shared" si="14"/>
        <v/>
      </c>
      <c r="M42" s="135" t="str">
        <f t="shared" si="15"/>
        <v/>
      </c>
    </row>
    <row r="43" spans="1:13" x14ac:dyDescent="0.3">
      <c r="A43" s="128" t="str">
        <f t="shared" si="3"/>
        <v/>
      </c>
      <c r="B43" s="129" t="str">
        <f t="shared" si="4"/>
        <v/>
      </c>
      <c r="C43" s="130" t="str">
        <f t="shared" si="5"/>
        <v/>
      </c>
      <c r="D43" s="130" t="str">
        <f t="shared" si="6"/>
        <v/>
      </c>
      <c r="E43" s="131" t="str">
        <f t="shared" si="7"/>
        <v/>
      </c>
      <c r="F43" s="132" t="str">
        <f t="shared" si="8"/>
        <v/>
      </c>
      <c r="G43" s="133" t="str">
        <f t="shared" si="9"/>
        <v/>
      </c>
      <c r="H43" s="133" t="str">
        <f t="shared" si="10"/>
        <v/>
      </c>
      <c r="I43" s="133" t="str">
        <f t="shared" si="11"/>
        <v/>
      </c>
      <c r="J43" s="133" t="str">
        <f t="shared" si="12"/>
        <v/>
      </c>
      <c r="K43" s="134" t="str">
        <f t="shared" si="13"/>
        <v/>
      </c>
      <c r="L43" s="134" t="str">
        <f t="shared" si="14"/>
        <v/>
      </c>
      <c r="M43" s="135" t="str">
        <f t="shared" si="15"/>
        <v/>
      </c>
    </row>
    <row r="44" spans="1:13" x14ac:dyDescent="0.3">
      <c r="A44" s="128" t="str">
        <f t="shared" si="3"/>
        <v/>
      </c>
      <c r="B44" s="129" t="str">
        <f t="shared" si="4"/>
        <v/>
      </c>
      <c r="C44" s="130" t="str">
        <f t="shared" si="5"/>
        <v/>
      </c>
      <c r="D44" s="130" t="str">
        <f t="shared" si="6"/>
        <v/>
      </c>
      <c r="E44" s="131" t="str">
        <f t="shared" si="7"/>
        <v/>
      </c>
      <c r="F44" s="132" t="str">
        <f t="shared" si="8"/>
        <v/>
      </c>
      <c r="G44" s="133" t="str">
        <f t="shared" si="9"/>
        <v/>
      </c>
      <c r="H44" s="133" t="str">
        <f t="shared" si="10"/>
        <v/>
      </c>
      <c r="I44" s="133" t="str">
        <f t="shared" si="11"/>
        <v/>
      </c>
      <c r="J44" s="133" t="str">
        <f t="shared" si="12"/>
        <v/>
      </c>
      <c r="K44" s="134" t="str">
        <f t="shared" si="13"/>
        <v/>
      </c>
      <c r="L44" s="134" t="str">
        <f t="shared" si="14"/>
        <v/>
      </c>
      <c r="M44" s="135" t="str">
        <f t="shared" si="15"/>
        <v/>
      </c>
    </row>
    <row r="45" spans="1:13" x14ac:dyDescent="0.3">
      <c r="A45" s="128" t="str">
        <f t="shared" si="3"/>
        <v/>
      </c>
      <c r="B45" s="129" t="str">
        <f t="shared" si="4"/>
        <v/>
      </c>
      <c r="C45" s="130" t="str">
        <f t="shared" si="5"/>
        <v/>
      </c>
      <c r="D45" s="130" t="str">
        <f t="shared" si="6"/>
        <v/>
      </c>
      <c r="E45" s="131" t="str">
        <f t="shared" si="7"/>
        <v/>
      </c>
      <c r="F45" s="132" t="str">
        <f t="shared" si="8"/>
        <v/>
      </c>
      <c r="G45" s="133" t="str">
        <f t="shared" si="9"/>
        <v/>
      </c>
      <c r="H45" s="133" t="str">
        <f t="shared" si="10"/>
        <v/>
      </c>
      <c r="I45" s="133" t="str">
        <f t="shared" si="11"/>
        <v/>
      </c>
      <c r="J45" s="133" t="str">
        <f t="shared" si="12"/>
        <v/>
      </c>
      <c r="K45" s="134" t="str">
        <f t="shared" si="13"/>
        <v/>
      </c>
      <c r="L45" s="134" t="str">
        <f t="shared" si="14"/>
        <v/>
      </c>
      <c r="M45" s="135" t="str">
        <f t="shared" si="15"/>
        <v/>
      </c>
    </row>
    <row r="46" spans="1:13" x14ac:dyDescent="0.3">
      <c r="A46" s="128" t="str">
        <f t="shared" si="3"/>
        <v/>
      </c>
      <c r="B46" s="129" t="str">
        <f t="shared" si="4"/>
        <v/>
      </c>
      <c r="C46" s="130" t="str">
        <f t="shared" si="5"/>
        <v/>
      </c>
      <c r="D46" s="130" t="str">
        <f t="shared" si="6"/>
        <v/>
      </c>
      <c r="E46" s="131" t="str">
        <f t="shared" si="7"/>
        <v/>
      </c>
      <c r="F46" s="132" t="str">
        <f t="shared" si="8"/>
        <v/>
      </c>
      <c r="G46" s="133" t="str">
        <f t="shared" si="9"/>
        <v/>
      </c>
      <c r="H46" s="133" t="str">
        <f t="shared" si="10"/>
        <v/>
      </c>
      <c r="I46" s="133" t="str">
        <f t="shared" si="11"/>
        <v/>
      </c>
      <c r="J46" s="133" t="str">
        <f t="shared" si="12"/>
        <v/>
      </c>
      <c r="K46" s="134" t="str">
        <f t="shared" si="13"/>
        <v/>
      </c>
      <c r="L46" s="134" t="str">
        <f t="shared" si="14"/>
        <v/>
      </c>
      <c r="M46" s="135" t="str">
        <f t="shared" si="15"/>
        <v/>
      </c>
    </row>
    <row r="47" spans="1:13" x14ac:dyDescent="0.3">
      <c r="A47" s="128" t="str">
        <f t="shared" si="3"/>
        <v/>
      </c>
      <c r="B47" s="129" t="str">
        <f t="shared" si="4"/>
        <v/>
      </c>
      <c r="C47" s="130" t="str">
        <f t="shared" si="5"/>
        <v/>
      </c>
      <c r="D47" s="130" t="str">
        <f t="shared" si="6"/>
        <v/>
      </c>
      <c r="E47" s="131" t="str">
        <f t="shared" si="7"/>
        <v/>
      </c>
      <c r="F47" s="132" t="str">
        <f t="shared" si="8"/>
        <v/>
      </c>
      <c r="G47" s="133" t="str">
        <f t="shared" si="9"/>
        <v/>
      </c>
      <c r="H47" s="133" t="str">
        <f t="shared" si="10"/>
        <v/>
      </c>
      <c r="I47" s="133" t="str">
        <f t="shared" si="11"/>
        <v/>
      </c>
      <c r="J47" s="133" t="str">
        <f t="shared" si="12"/>
        <v/>
      </c>
      <c r="K47" s="134" t="str">
        <f t="shared" si="13"/>
        <v/>
      </c>
      <c r="L47" s="134" t="str">
        <f t="shared" si="14"/>
        <v/>
      </c>
      <c r="M47" s="135" t="str">
        <f t="shared" si="15"/>
        <v/>
      </c>
    </row>
    <row r="48" spans="1:13" ht="19.95" customHeight="1" x14ac:dyDescent="0.3">
      <c r="A48" s="128" t="str">
        <f t="shared" si="3"/>
        <v/>
      </c>
      <c r="B48" s="129" t="str">
        <f t="shared" si="4"/>
        <v/>
      </c>
      <c r="C48" s="130" t="str">
        <f t="shared" si="5"/>
        <v/>
      </c>
      <c r="D48" s="130" t="str">
        <f t="shared" si="6"/>
        <v/>
      </c>
      <c r="E48" s="131" t="str">
        <f t="shared" si="7"/>
        <v/>
      </c>
      <c r="F48" s="132" t="str">
        <f t="shared" si="8"/>
        <v/>
      </c>
      <c r="G48" s="133" t="str">
        <f t="shared" si="9"/>
        <v/>
      </c>
      <c r="H48" s="133" t="str">
        <f t="shared" si="10"/>
        <v/>
      </c>
      <c r="I48" s="133" t="str">
        <f t="shared" si="11"/>
        <v/>
      </c>
      <c r="J48" s="133" t="str">
        <f t="shared" si="12"/>
        <v/>
      </c>
      <c r="K48" s="134" t="str">
        <f t="shared" si="13"/>
        <v/>
      </c>
      <c r="L48" s="134" t="str">
        <f t="shared" si="14"/>
        <v/>
      </c>
      <c r="M48" s="135" t="str">
        <f t="shared" si="15"/>
        <v/>
      </c>
    </row>
    <row r="49" spans="1:13" x14ac:dyDescent="0.3">
      <c r="A49" s="128" t="str">
        <f t="shared" si="3"/>
        <v/>
      </c>
      <c r="B49" s="129" t="str">
        <f t="shared" si="4"/>
        <v/>
      </c>
      <c r="C49" s="130" t="str">
        <f t="shared" si="5"/>
        <v/>
      </c>
      <c r="D49" s="130" t="str">
        <f t="shared" si="6"/>
        <v/>
      </c>
      <c r="E49" s="131" t="str">
        <f t="shared" si="7"/>
        <v/>
      </c>
      <c r="F49" s="132" t="str">
        <f t="shared" si="8"/>
        <v/>
      </c>
      <c r="G49" s="133" t="str">
        <f t="shared" si="9"/>
        <v/>
      </c>
      <c r="H49" s="133" t="str">
        <f t="shared" si="10"/>
        <v/>
      </c>
      <c r="I49" s="133" t="str">
        <f t="shared" si="11"/>
        <v/>
      </c>
      <c r="J49" s="133" t="str">
        <f t="shared" si="12"/>
        <v/>
      </c>
      <c r="K49" s="134" t="str">
        <f t="shared" si="13"/>
        <v/>
      </c>
      <c r="L49" s="134" t="str">
        <f t="shared" si="14"/>
        <v/>
      </c>
      <c r="M49" s="135" t="str">
        <f t="shared" si="15"/>
        <v/>
      </c>
    </row>
    <row r="50" spans="1:13" x14ac:dyDescent="0.3">
      <c r="A50" s="128" t="str">
        <f t="shared" si="3"/>
        <v/>
      </c>
      <c r="B50" s="129" t="str">
        <f t="shared" si="4"/>
        <v/>
      </c>
      <c r="C50" s="130" t="str">
        <f t="shared" si="5"/>
        <v/>
      </c>
      <c r="D50" s="130" t="str">
        <f t="shared" si="6"/>
        <v/>
      </c>
      <c r="E50" s="131" t="str">
        <f t="shared" si="7"/>
        <v/>
      </c>
      <c r="F50" s="132" t="str">
        <f t="shared" si="8"/>
        <v/>
      </c>
      <c r="G50" s="133" t="str">
        <f t="shared" si="9"/>
        <v/>
      </c>
      <c r="H50" s="133" t="str">
        <f t="shared" si="10"/>
        <v/>
      </c>
      <c r="I50" s="133" t="str">
        <f t="shared" si="11"/>
        <v/>
      </c>
      <c r="J50" s="133" t="str">
        <f t="shared" si="12"/>
        <v/>
      </c>
      <c r="K50" s="134" t="str">
        <f t="shared" si="13"/>
        <v/>
      </c>
      <c r="L50" s="134" t="str">
        <f t="shared" si="14"/>
        <v/>
      </c>
      <c r="M50" s="135" t="str">
        <f t="shared" si="15"/>
        <v/>
      </c>
    </row>
    <row r="51" spans="1:13" x14ac:dyDescent="0.3">
      <c r="A51" s="128" t="str">
        <f t="shared" si="3"/>
        <v/>
      </c>
      <c r="B51" s="129" t="str">
        <f t="shared" si="4"/>
        <v/>
      </c>
      <c r="C51" s="130" t="str">
        <f t="shared" si="5"/>
        <v/>
      </c>
      <c r="D51" s="130" t="str">
        <f t="shared" si="6"/>
        <v/>
      </c>
      <c r="E51" s="131" t="str">
        <f t="shared" si="7"/>
        <v/>
      </c>
      <c r="F51" s="132" t="str">
        <f t="shared" si="8"/>
        <v/>
      </c>
      <c r="G51" s="133" t="str">
        <f t="shared" si="9"/>
        <v/>
      </c>
      <c r="H51" s="133" t="str">
        <f t="shared" si="10"/>
        <v/>
      </c>
      <c r="I51" s="133" t="str">
        <f t="shared" si="11"/>
        <v/>
      </c>
      <c r="J51" s="133" t="str">
        <f t="shared" si="12"/>
        <v/>
      </c>
      <c r="K51" s="134" t="str">
        <f t="shared" si="13"/>
        <v/>
      </c>
      <c r="L51" s="134" t="str">
        <f t="shared" si="14"/>
        <v/>
      </c>
      <c r="M51" s="135" t="str">
        <f t="shared" si="15"/>
        <v/>
      </c>
    </row>
    <row r="52" spans="1:13" x14ac:dyDescent="0.3">
      <c r="A52" s="128" t="str">
        <f t="shared" si="3"/>
        <v/>
      </c>
      <c r="B52" s="129" t="str">
        <f t="shared" si="4"/>
        <v/>
      </c>
      <c r="C52" s="130" t="str">
        <f t="shared" si="5"/>
        <v/>
      </c>
      <c r="D52" s="130" t="str">
        <f t="shared" si="6"/>
        <v/>
      </c>
      <c r="E52" s="131" t="str">
        <f t="shared" si="7"/>
        <v/>
      </c>
      <c r="F52" s="132" t="str">
        <f t="shared" si="8"/>
        <v/>
      </c>
      <c r="G52" s="133" t="str">
        <f t="shared" si="9"/>
        <v/>
      </c>
      <c r="H52" s="133" t="str">
        <f t="shared" si="10"/>
        <v/>
      </c>
      <c r="I52" s="133" t="str">
        <f t="shared" si="11"/>
        <v/>
      </c>
      <c r="J52" s="133" t="str">
        <f t="shared" si="12"/>
        <v/>
      </c>
      <c r="K52" s="134" t="str">
        <f t="shared" si="13"/>
        <v/>
      </c>
      <c r="L52" s="134" t="str">
        <f t="shared" si="14"/>
        <v/>
      </c>
      <c r="M52" s="135" t="str">
        <f t="shared" si="15"/>
        <v/>
      </c>
    </row>
    <row r="53" spans="1:13" x14ac:dyDescent="0.3">
      <c r="A53" s="128" t="str">
        <f t="shared" si="3"/>
        <v/>
      </c>
      <c r="B53" s="129" t="str">
        <f t="shared" si="4"/>
        <v/>
      </c>
      <c r="C53" s="130" t="str">
        <f t="shared" si="5"/>
        <v/>
      </c>
      <c r="D53" s="130" t="str">
        <f t="shared" si="6"/>
        <v/>
      </c>
      <c r="E53" s="131" t="str">
        <f t="shared" si="7"/>
        <v/>
      </c>
      <c r="F53" s="132" t="str">
        <f t="shared" si="8"/>
        <v/>
      </c>
      <c r="G53" s="133" t="str">
        <f t="shared" si="9"/>
        <v/>
      </c>
      <c r="H53" s="133" t="str">
        <f t="shared" si="10"/>
        <v/>
      </c>
      <c r="I53" s="133" t="str">
        <f t="shared" si="11"/>
        <v/>
      </c>
      <c r="J53" s="133" t="str">
        <f t="shared" si="12"/>
        <v/>
      </c>
      <c r="K53" s="134" t="str">
        <f t="shared" si="13"/>
        <v/>
      </c>
      <c r="L53" s="134" t="str">
        <f t="shared" si="14"/>
        <v/>
      </c>
      <c r="M53" s="135" t="str">
        <f t="shared" si="15"/>
        <v/>
      </c>
    </row>
    <row r="54" spans="1:13" x14ac:dyDescent="0.3">
      <c r="A54" s="128" t="str">
        <f t="shared" si="3"/>
        <v/>
      </c>
      <c r="B54" s="129" t="str">
        <f t="shared" si="4"/>
        <v/>
      </c>
      <c r="C54" s="130" t="str">
        <f t="shared" si="5"/>
        <v/>
      </c>
      <c r="D54" s="130" t="str">
        <f t="shared" si="6"/>
        <v/>
      </c>
      <c r="E54" s="131" t="str">
        <f t="shared" si="7"/>
        <v/>
      </c>
      <c r="F54" s="132" t="str">
        <f t="shared" si="8"/>
        <v/>
      </c>
      <c r="G54" s="133" t="str">
        <f t="shared" si="9"/>
        <v/>
      </c>
      <c r="H54" s="133" t="str">
        <f t="shared" si="10"/>
        <v/>
      </c>
      <c r="I54" s="133" t="str">
        <f t="shared" si="11"/>
        <v/>
      </c>
      <c r="J54" s="133" t="str">
        <f t="shared" si="12"/>
        <v/>
      </c>
      <c r="K54" s="134" t="str">
        <f t="shared" si="13"/>
        <v/>
      </c>
      <c r="L54" s="134" t="str">
        <f t="shared" si="14"/>
        <v/>
      </c>
      <c r="M54" s="135" t="str">
        <f t="shared" si="15"/>
        <v/>
      </c>
    </row>
    <row r="55" spans="1:13" x14ac:dyDescent="0.3">
      <c r="A55" s="128" t="str">
        <f t="shared" si="3"/>
        <v/>
      </c>
      <c r="B55" s="129" t="str">
        <f t="shared" si="4"/>
        <v/>
      </c>
      <c r="C55" s="130" t="str">
        <f t="shared" si="5"/>
        <v/>
      </c>
      <c r="D55" s="130" t="str">
        <f t="shared" si="6"/>
        <v/>
      </c>
      <c r="E55" s="131" t="str">
        <f t="shared" si="7"/>
        <v/>
      </c>
      <c r="F55" s="132" t="str">
        <f t="shared" si="8"/>
        <v/>
      </c>
      <c r="G55" s="133" t="str">
        <f t="shared" si="9"/>
        <v/>
      </c>
      <c r="H55" s="133" t="str">
        <f t="shared" si="10"/>
        <v/>
      </c>
      <c r="I55" s="133" t="str">
        <f t="shared" si="11"/>
        <v/>
      </c>
      <c r="J55" s="133" t="str">
        <f t="shared" si="12"/>
        <v/>
      </c>
      <c r="K55" s="134" t="str">
        <f t="shared" si="13"/>
        <v/>
      </c>
      <c r="L55" s="134" t="str">
        <f t="shared" si="14"/>
        <v/>
      </c>
      <c r="M55" s="135" t="str">
        <f t="shared" si="15"/>
        <v/>
      </c>
    </row>
    <row r="56" spans="1:13" x14ac:dyDescent="0.3">
      <c r="A56" s="128" t="str">
        <f t="shared" si="3"/>
        <v/>
      </c>
      <c r="B56" s="129" t="str">
        <f t="shared" si="4"/>
        <v/>
      </c>
      <c r="C56" s="130" t="str">
        <f t="shared" si="5"/>
        <v/>
      </c>
      <c r="D56" s="130" t="str">
        <f t="shared" si="6"/>
        <v/>
      </c>
      <c r="E56" s="131" t="str">
        <f t="shared" si="7"/>
        <v/>
      </c>
      <c r="F56" s="132" t="str">
        <f t="shared" si="8"/>
        <v/>
      </c>
      <c r="G56" s="133" t="str">
        <f t="shared" si="9"/>
        <v/>
      </c>
      <c r="H56" s="133" t="str">
        <f t="shared" si="10"/>
        <v/>
      </c>
      <c r="I56" s="133" t="str">
        <f t="shared" si="11"/>
        <v/>
      </c>
      <c r="J56" s="133" t="str">
        <f t="shared" si="12"/>
        <v/>
      </c>
      <c r="K56" s="134" t="str">
        <f t="shared" si="13"/>
        <v/>
      </c>
      <c r="L56" s="134" t="str">
        <f t="shared" si="14"/>
        <v/>
      </c>
      <c r="M56" s="135" t="str">
        <f t="shared" si="15"/>
        <v/>
      </c>
    </row>
    <row r="57" spans="1:13" x14ac:dyDescent="0.3">
      <c r="A57" s="128" t="str">
        <f t="shared" si="3"/>
        <v/>
      </c>
      <c r="B57" s="129" t="str">
        <f t="shared" si="4"/>
        <v/>
      </c>
      <c r="C57" s="130" t="str">
        <f t="shared" si="5"/>
        <v/>
      </c>
      <c r="D57" s="130" t="str">
        <f t="shared" si="6"/>
        <v/>
      </c>
      <c r="E57" s="131" t="str">
        <f t="shared" si="7"/>
        <v/>
      </c>
      <c r="F57" s="132" t="str">
        <f t="shared" si="8"/>
        <v/>
      </c>
      <c r="G57" s="133" t="str">
        <f t="shared" si="9"/>
        <v/>
      </c>
      <c r="H57" s="133" t="str">
        <f t="shared" si="10"/>
        <v/>
      </c>
      <c r="I57" s="133" t="str">
        <f t="shared" si="11"/>
        <v/>
      </c>
      <c r="J57" s="133" t="str">
        <f t="shared" si="12"/>
        <v/>
      </c>
      <c r="K57" s="134" t="str">
        <f t="shared" si="13"/>
        <v/>
      </c>
      <c r="L57" s="134" t="str">
        <f t="shared" si="14"/>
        <v/>
      </c>
      <c r="M57" s="135" t="str">
        <f t="shared" si="15"/>
        <v/>
      </c>
    </row>
    <row r="58" spans="1:13" x14ac:dyDescent="0.3">
      <c r="A58" s="128" t="str">
        <f t="shared" ref="A58:A89" si="16">IFERROR(INDEX($A$173:$A$252,MATCH(ROW()-25,$N$173:$N$252,0)),"")</f>
        <v/>
      </c>
      <c r="B58" s="129" t="str">
        <f t="shared" ref="B58:B89" si="17">IF($A58="","",INDEX($B$173:$B$252,MATCH(ROW()-25,$N$173:$N$252,0)))</f>
        <v/>
      </c>
      <c r="C58" s="130" t="str">
        <f t="shared" ref="C58:C89" si="18">IF($A58="","",INDEX($C$173:$C$252,MATCH(ROW()-25,$N$173:$N$252,0)))</f>
        <v/>
      </c>
      <c r="D58" s="130" t="str">
        <f t="shared" ref="D58:D89" si="19">IF($A58="","",INDEX($D$173:$D$252,MATCH(ROW()-25,$N$173:$N$252,0)))</f>
        <v/>
      </c>
      <c r="E58" s="131" t="str">
        <f t="shared" ref="E58:E89" si="20">IF($A58="","",INDEX($E$173:$E$252,MATCH(ROW()-25,$N$173:$N$252,0)))</f>
        <v/>
      </c>
      <c r="F58" s="132" t="str">
        <f t="shared" ref="F58:F89" si="21">IF($A58="","",INDEX($F$173:$F$252,MATCH(ROW()-25,$N$173:$N$252,0)))</f>
        <v/>
      </c>
      <c r="G58" s="133" t="str">
        <f t="shared" ref="G58:G89" si="22">IF($A58="","",INDEX($G$173:$G$252,MATCH(ROW()-25,$N$173:$N$252,0)))</f>
        <v/>
      </c>
      <c r="H58" s="133" t="str">
        <f t="shared" ref="H58:H89" si="23">IF($A58="","",INDEX($H$173:$H$252,MATCH(ROW()-25,$N$173:$N$252,0)))</f>
        <v/>
      </c>
      <c r="I58" s="133" t="str">
        <f t="shared" ref="I58:I89" si="24">IF($A58="","",INDEX($I$173:$I$252,MATCH(ROW()-25,$N$173:$N$252,0)))</f>
        <v/>
      </c>
      <c r="J58" s="133" t="str">
        <f t="shared" ref="J58:J89" si="25">IF($A58="","",INDEX($J$173:$J$252,MATCH(ROW()-25,$N$173:$N$252,0)))</f>
        <v/>
      </c>
      <c r="K58" s="134" t="str">
        <f t="shared" ref="K58:K89" si="26">IF($A58="","",INDEX($K$173:$K$252,MATCH(ROW()-25,$N$173:$N$252,0)))</f>
        <v/>
      </c>
      <c r="L58" s="134" t="str">
        <f t="shared" ref="L58:L89" si="27">IF($A58="","",INDEX($L$173:$L$252,MATCH(ROW()-25,$N$173:$N$252,0)))</f>
        <v/>
      </c>
      <c r="M58" s="135" t="str">
        <f t="shared" ref="M58:M89" si="28">IF($A58="","",IF($K$106=0,"",$K58/$K$106))</f>
        <v/>
      </c>
    </row>
    <row r="59" spans="1:13" x14ac:dyDescent="0.3">
      <c r="A59" s="128" t="str">
        <f t="shared" si="16"/>
        <v/>
      </c>
      <c r="B59" s="129" t="str">
        <f t="shared" si="17"/>
        <v/>
      </c>
      <c r="C59" s="130" t="str">
        <f t="shared" si="18"/>
        <v/>
      </c>
      <c r="D59" s="130" t="str">
        <f t="shared" si="19"/>
        <v/>
      </c>
      <c r="E59" s="131" t="str">
        <f t="shared" si="20"/>
        <v/>
      </c>
      <c r="F59" s="132" t="str">
        <f t="shared" si="21"/>
        <v/>
      </c>
      <c r="G59" s="133" t="str">
        <f t="shared" si="22"/>
        <v/>
      </c>
      <c r="H59" s="133" t="str">
        <f t="shared" si="23"/>
        <v/>
      </c>
      <c r="I59" s="133" t="str">
        <f t="shared" si="24"/>
        <v/>
      </c>
      <c r="J59" s="133" t="str">
        <f t="shared" si="25"/>
        <v/>
      </c>
      <c r="K59" s="134" t="str">
        <f t="shared" si="26"/>
        <v/>
      </c>
      <c r="L59" s="134" t="str">
        <f t="shared" si="27"/>
        <v/>
      </c>
      <c r="M59" s="135" t="str">
        <f t="shared" si="28"/>
        <v/>
      </c>
    </row>
    <row r="60" spans="1:13" x14ac:dyDescent="0.3">
      <c r="A60" s="128" t="str">
        <f t="shared" si="16"/>
        <v/>
      </c>
      <c r="B60" s="129" t="str">
        <f t="shared" si="17"/>
        <v/>
      </c>
      <c r="C60" s="130" t="str">
        <f t="shared" si="18"/>
        <v/>
      </c>
      <c r="D60" s="130" t="str">
        <f t="shared" si="19"/>
        <v/>
      </c>
      <c r="E60" s="131" t="str">
        <f t="shared" si="20"/>
        <v/>
      </c>
      <c r="F60" s="132" t="str">
        <f t="shared" si="21"/>
        <v/>
      </c>
      <c r="G60" s="133" t="str">
        <f t="shared" si="22"/>
        <v/>
      </c>
      <c r="H60" s="133" t="str">
        <f t="shared" si="23"/>
        <v/>
      </c>
      <c r="I60" s="133" t="str">
        <f t="shared" si="24"/>
        <v/>
      </c>
      <c r="J60" s="133" t="str">
        <f t="shared" si="25"/>
        <v/>
      </c>
      <c r="K60" s="134" t="str">
        <f t="shared" si="26"/>
        <v/>
      </c>
      <c r="L60" s="134" t="str">
        <f t="shared" si="27"/>
        <v/>
      </c>
      <c r="M60" s="135" t="str">
        <f t="shared" si="28"/>
        <v/>
      </c>
    </row>
    <row r="61" spans="1:13" x14ac:dyDescent="0.3">
      <c r="A61" s="128" t="str">
        <f t="shared" si="16"/>
        <v/>
      </c>
      <c r="B61" s="129" t="str">
        <f t="shared" si="17"/>
        <v/>
      </c>
      <c r="C61" s="130" t="str">
        <f t="shared" si="18"/>
        <v/>
      </c>
      <c r="D61" s="130" t="str">
        <f t="shared" si="19"/>
        <v/>
      </c>
      <c r="E61" s="131" t="str">
        <f t="shared" si="20"/>
        <v/>
      </c>
      <c r="F61" s="132" t="str">
        <f t="shared" si="21"/>
        <v/>
      </c>
      <c r="G61" s="133" t="str">
        <f t="shared" si="22"/>
        <v/>
      </c>
      <c r="H61" s="133" t="str">
        <f t="shared" si="23"/>
        <v/>
      </c>
      <c r="I61" s="133" t="str">
        <f t="shared" si="24"/>
        <v/>
      </c>
      <c r="J61" s="133" t="str">
        <f t="shared" si="25"/>
        <v/>
      </c>
      <c r="K61" s="134" t="str">
        <f t="shared" si="26"/>
        <v/>
      </c>
      <c r="L61" s="134" t="str">
        <f t="shared" si="27"/>
        <v/>
      </c>
      <c r="M61" s="135" t="str">
        <f t="shared" si="28"/>
        <v/>
      </c>
    </row>
    <row r="62" spans="1:13" x14ac:dyDescent="0.3">
      <c r="A62" s="128" t="str">
        <f t="shared" si="16"/>
        <v/>
      </c>
      <c r="B62" s="129" t="str">
        <f t="shared" si="17"/>
        <v/>
      </c>
      <c r="C62" s="130" t="str">
        <f t="shared" si="18"/>
        <v/>
      </c>
      <c r="D62" s="130" t="str">
        <f t="shared" si="19"/>
        <v/>
      </c>
      <c r="E62" s="131" t="str">
        <f t="shared" si="20"/>
        <v/>
      </c>
      <c r="F62" s="132" t="str">
        <f t="shared" si="21"/>
        <v/>
      </c>
      <c r="G62" s="133" t="str">
        <f t="shared" si="22"/>
        <v/>
      </c>
      <c r="H62" s="133" t="str">
        <f t="shared" si="23"/>
        <v/>
      </c>
      <c r="I62" s="133" t="str">
        <f t="shared" si="24"/>
        <v/>
      </c>
      <c r="J62" s="133" t="str">
        <f t="shared" si="25"/>
        <v/>
      </c>
      <c r="K62" s="134" t="str">
        <f t="shared" si="26"/>
        <v/>
      </c>
      <c r="L62" s="134" t="str">
        <f t="shared" si="27"/>
        <v/>
      </c>
      <c r="M62" s="135" t="str">
        <f t="shared" si="28"/>
        <v/>
      </c>
    </row>
    <row r="63" spans="1:13" x14ac:dyDescent="0.3">
      <c r="A63" s="128" t="str">
        <f t="shared" si="16"/>
        <v/>
      </c>
      <c r="B63" s="129" t="str">
        <f t="shared" si="17"/>
        <v/>
      </c>
      <c r="C63" s="130" t="str">
        <f t="shared" si="18"/>
        <v/>
      </c>
      <c r="D63" s="130" t="str">
        <f t="shared" si="19"/>
        <v/>
      </c>
      <c r="E63" s="131" t="str">
        <f t="shared" si="20"/>
        <v/>
      </c>
      <c r="F63" s="132" t="str">
        <f t="shared" si="21"/>
        <v/>
      </c>
      <c r="G63" s="133" t="str">
        <f t="shared" si="22"/>
        <v/>
      </c>
      <c r="H63" s="133" t="str">
        <f t="shared" si="23"/>
        <v/>
      </c>
      <c r="I63" s="133" t="str">
        <f t="shared" si="24"/>
        <v/>
      </c>
      <c r="J63" s="133" t="str">
        <f t="shared" si="25"/>
        <v/>
      </c>
      <c r="K63" s="134" t="str">
        <f t="shared" si="26"/>
        <v/>
      </c>
      <c r="L63" s="134" t="str">
        <f t="shared" si="27"/>
        <v/>
      </c>
      <c r="M63" s="135" t="str">
        <f t="shared" si="28"/>
        <v/>
      </c>
    </row>
    <row r="64" spans="1:13" x14ac:dyDescent="0.3">
      <c r="A64" s="128" t="str">
        <f t="shared" si="16"/>
        <v/>
      </c>
      <c r="B64" s="129" t="str">
        <f t="shared" si="17"/>
        <v/>
      </c>
      <c r="C64" s="130" t="str">
        <f t="shared" si="18"/>
        <v/>
      </c>
      <c r="D64" s="130" t="str">
        <f t="shared" si="19"/>
        <v/>
      </c>
      <c r="E64" s="131" t="str">
        <f t="shared" si="20"/>
        <v/>
      </c>
      <c r="F64" s="132" t="str">
        <f t="shared" si="21"/>
        <v/>
      </c>
      <c r="G64" s="133" t="str">
        <f t="shared" si="22"/>
        <v/>
      </c>
      <c r="H64" s="133" t="str">
        <f t="shared" si="23"/>
        <v/>
      </c>
      <c r="I64" s="133" t="str">
        <f t="shared" si="24"/>
        <v/>
      </c>
      <c r="J64" s="133" t="str">
        <f t="shared" si="25"/>
        <v/>
      </c>
      <c r="K64" s="134" t="str">
        <f t="shared" si="26"/>
        <v/>
      </c>
      <c r="L64" s="134" t="str">
        <f t="shared" si="27"/>
        <v/>
      </c>
      <c r="M64" s="135" t="str">
        <f t="shared" si="28"/>
        <v/>
      </c>
    </row>
    <row r="65" spans="1:13" x14ac:dyDescent="0.3">
      <c r="A65" s="128" t="str">
        <f t="shared" si="16"/>
        <v/>
      </c>
      <c r="B65" s="129" t="str">
        <f t="shared" si="17"/>
        <v/>
      </c>
      <c r="C65" s="130" t="str">
        <f t="shared" si="18"/>
        <v/>
      </c>
      <c r="D65" s="130" t="str">
        <f t="shared" si="19"/>
        <v/>
      </c>
      <c r="E65" s="131" t="str">
        <f t="shared" si="20"/>
        <v/>
      </c>
      <c r="F65" s="132" t="str">
        <f t="shared" si="21"/>
        <v/>
      </c>
      <c r="G65" s="133" t="str">
        <f t="shared" si="22"/>
        <v/>
      </c>
      <c r="H65" s="133" t="str">
        <f t="shared" si="23"/>
        <v/>
      </c>
      <c r="I65" s="133" t="str">
        <f t="shared" si="24"/>
        <v/>
      </c>
      <c r="J65" s="133" t="str">
        <f t="shared" si="25"/>
        <v/>
      </c>
      <c r="K65" s="134" t="str">
        <f t="shared" si="26"/>
        <v/>
      </c>
      <c r="L65" s="134" t="str">
        <f t="shared" si="27"/>
        <v/>
      </c>
      <c r="M65" s="135" t="str">
        <f t="shared" si="28"/>
        <v/>
      </c>
    </row>
    <row r="66" spans="1:13" x14ac:dyDescent="0.3">
      <c r="A66" s="128" t="str">
        <f t="shared" si="16"/>
        <v/>
      </c>
      <c r="B66" s="129" t="str">
        <f t="shared" si="17"/>
        <v/>
      </c>
      <c r="C66" s="130" t="str">
        <f t="shared" si="18"/>
        <v/>
      </c>
      <c r="D66" s="130" t="str">
        <f t="shared" si="19"/>
        <v/>
      </c>
      <c r="E66" s="131" t="str">
        <f t="shared" si="20"/>
        <v/>
      </c>
      <c r="F66" s="132" t="str">
        <f t="shared" si="21"/>
        <v/>
      </c>
      <c r="G66" s="133" t="str">
        <f t="shared" si="22"/>
        <v/>
      </c>
      <c r="H66" s="133" t="str">
        <f t="shared" si="23"/>
        <v/>
      </c>
      <c r="I66" s="133" t="str">
        <f t="shared" si="24"/>
        <v/>
      </c>
      <c r="J66" s="133" t="str">
        <f t="shared" si="25"/>
        <v/>
      </c>
      <c r="K66" s="134" t="str">
        <f t="shared" si="26"/>
        <v/>
      </c>
      <c r="L66" s="134" t="str">
        <f t="shared" si="27"/>
        <v/>
      </c>
      <c r="M66" s="135" t="str">
        <f t="shared" si="28"/>
        <v/>
      </c>
    </row>
    <row r="67" spans="1:13" x14ac:dyDescent="0.3">
      <c r="A67" s="128" t="str">
        <f t="shared" si="16"/>
        <v/>
      </c>
      <c r="B67" s="129" t="str">
        <f t="shared" si="17"/>
        <v/>
      </c>
      <c r="C67" s="130" t="str">
        <f t="shared" si="18"/>
        <v/>
      </c>
      <c r="D67" s="130" t="str">
        <f t="shared" si="19"/>
        <v/>
      </c>
      <c r="E67" s="131" t="str">
        <f t="shared" si="20"/>
        <v/>
      </c>
      <c r="F67" s="132" t="str">
        <f t="shared" si="21"/>
        <v/>
      </c>
      <c r="G67" s="133" t="str">
        <f t="shared" si="22"/>
        <v/>
      </c>
      <c r="H67" s="133" t="str">
        <f t="shared" si="23"/>
        <v/>
      </c>
      <c r="I67" s="133" t="str">
        <f t="shared" si="24"/>
        <v/>
      </c>
      <c r="J67" s="133" t="str">
        <f t="shared" si="25"/>
        <v/>
      </c>
      <c r="K67" s="134" t="str">
        <f t="shared" si="26"/>
        <v/>
      </c>
      <c r="L67" s="134" t="str">
        <f t="shared" si="27"/>
        <v/>
      </c>
      <c r="M67" s="135" t="str">
        <f t="shared" si="28"/>
        <v/>
      </c>
    </row>
    <row r="68" spans="1:13" x14ac:dyDescent="0.3">
      <c r="A68" s="128" t="str">
        <f t="shared" si="16"/>
        <v/>
      </c>
      <c r="B68" s="129" t="str">
        <f t="shared" si="17"/>
        <v/>
      </c>
      <c r="C68" s="130" t="str">
        <f t="shared" si="18"/>
        <v/>
      </c>
      <c r="D68" s="130" t="str">
        <f t="shared" si="19"/>
        <v/>
      </c>
      <c r="E68" s="131" t="str">
        <f t="shared" si="20"/>
        <v/>
      </c>
      <c r="F68" s="132" t="str">
        <f t="shared" si="21"/>
        <v/>
      </c>
      <c r="G68" s="133" t="str">
        <f t="shared" si="22"/>
        <v/>
      </c>
      <c r="H68" s="133" t="str">
        <f t="shared" si="23"/>
        <v/>
      </c>
      <c r="I68" s="133" t="str">
        <f t="shared" si="24"/>
        <v/>
      </c>
      <c r="J68" s="133" t="str">
        <f t="shared" si="25"/>
        <v/>
      </c>
      <c r="K68" s="134" t="str">
        <f t="shared" si="26"/>
        <v/>
      </c>
      <c r="L68" s="134" t="str">
        <f t="shared" si="27"/>
        <v/>
      </c>
      <c r="M68" s="135" t="str">
        <f t="shared" si="28"/>
        <v/>
      </c>
    </row>
    <row r="69" spans="1:13" x14ac:dyDescent="0.3">
      <c r="A69" s="128" t="str">
        <f t="shared" si="16"/>
        <v/>
      </c>
      <c r="B69" s="129" t="str">
        <f t="shared" si="17"/>
        <v/>
      </c>
      <c r="C69" s="130" t="str">
        <f t="shared" si="18"/>
        <v/>
      </c>
      <c r="D69" s="130" t="str">
        <f t="shared" si="19"/>
        <v/>
      </c>
      <c r="E69" s="131" t="str">
        <f t="shared" si="20"/>
        <v/>
      </c>
      <c r="F69" s="132" t="str">
        <f t="shared" si="21"/>
        <v/>
      </c>
      <c r="G69" s="133" t="str">
        <f t="shared" si="22"/>
        <v/>
      </c>
      <c r="H69" s="133" t="str">
        <f t="shared" si="23"/>
        <v/>
      </c>
      <c r="I69" s="133" t="str">
        <f t="shared" si="24"/>
        <v/>
      </c>
      <c r="J69" s="133" t="str">
        <f t="shared" si="25"/>
        <v/>
      </c>
      <c r="K69" s="134" t="str">
        <f t="shared" si="26"/>
        <v/>
      </c>
      <c r="L69" s="134" t="str">
        <f t="shared" si="27"/>
        <v/>
      </c>
      <c r="M69" s="135" t="str">
        <f t="shared" si="28"/>
        <v/>
      </c>
    </row>
    <row r="70" spans="1:13" x14ac:dyDescent="0.3">
      <c r="A70" s="128" t="str">
        <f t="shared" si="16"/>
        <v/>
      </c>
      <c r="B70" s="129" t="str">
        <f t="shared" si="17"/>
        <v/>
      </c>
      <c r="C70" s="130" t="str">
        <f t="shared" si="18"/>
        <v/>
      </c>
      <c r="D70" s="130" t="str">
        <f t="shared" si="19"/>
        <v/>
      </c>
      <c r="E70" s="131" t="str">
        <f t="shared" si="20"/>
        <v/>
      </c>
      <c r="F70" s="132" t="str">
        <f t="shared" si="21"/>
        <v/>
      </c>
      <c r="G70" s="133" t="str">
        <f t="shared" si="22"/>
        <v/>
      </c>
      <c r="H70" s="133" t="str">
        <f t="shared" si="23"/>
        <v/>
      </c>
      <c r="I70" s="133" t="str">
        <f t="shared" si="24"/>
        <v/>
      </c>
      <c r="J70" s="133" t="str">
        <f t="shared" si="25"/>
        <v/>
      </c>
      <c r="K70" s="134" t="str">
        <f t="shared" si="26"/>
        <v/>
      </c>
      <c r="L70" s="134" t="str">
        <f t="shared" si="27"/>
        <v/>
      </c>
      <c r="M70" s="135" t="str">
        <f t="shared" si="28"/>
        <v/>
      </c>
    </row>
    <row r="71" spans="1:13" x14ac:dyDescent="0.3">
      <c r="A71" s="128" t="str">
        <f t="shared" si="16"/>
        <v/>
      </c>
      <c r="B71" s="129" t="str">
        <f t="shared" si="17"/>
        <v/>
      </c>
      <c r="C71" s="130" t="str">
        <f t="shared" si="18"/>
        <v/>
      </c>
      <c r="D71" s="130" t="str">
        <f t="shared" si="19"/>
        <v/>
      </c>
      <c r="E71" s="131" t="str">
        <f t="shared" si="20"/>
        <v/>
      </c>
      <c r="F71" s="132" t="str">
        <f t="shared" si="21"/>
        <v/>
      </c>
      <c r="G71" s="133" t="str">
        <f t="shared" si="22"/>
        <v/>
      </c>
      <c r="H71" s="133" t="str">
        <f t="shared" si="23"/>
        <v/>
      </c>
      <c r="I71" s="133" t="str">
        <f t="shared" si="24"/>
        <v/>
      </c>
      <c r="J71" s="133" t="str">
        <f t="shared" si="25"/>
        <v/>
      </c>
      <c r="K71" s="134" t="str">
        <f t="shared" si="26"/>
        <v/>
      </c>
      <c r="L71" s="134" t="str">
        <f t="shared" si="27"/>
        <v/>
      </c>
      <c r="M71" s="135" t="str">
        <f t="shared" si="28"/>
        <v/>
      </c>
    </row>
    <row r="72" spans="1:13" x14ac:dyDescent="0.3">
      <c r="A72" s="128" t="str">
        <f t="shared" si="16"/>
        <v/>
      </c>
      <c r="B72" s="129" t="str">
        <f t="shared" si="17"/>
        <v/>
      </c>
      <c r="C72" s="130" t="str">
        <f t="shared" si="18"/>
        <v/>
      </c>
      <c r="D72" s="130" t="str">
        <f t="shared" si="19"/>
        <v/>
      </c>
      <c r="E72" s="131" t="str">
        <f t="shared" si="20"/>
        <v/>
      </c>
      <c r="F72" s="132" t="str">
        <f t="shared" si="21"/>
        <v/>
      </c>
      <c r="G72" s="133" t="str">
        <f t="shared" si="22"/>
        <v/>
      </c>
      <c r="H72" s="133" t="str">
        <f t="shared" si="23"/>
        <v/>
      </c>
      <c r="I72" s="133" t="str">
        <f t="shared" si="24"/>
        <v/>
      </c>
      <c r="J72" s="133" t="str">
        <f t="shared" si="25"/>
        <v/>
      </c>
      <c r="K72" s="134" t="str">
        <f t="shared" si="26"/>
        <v/>
      </c>
      <c r="L72" s="134" t="str">
        <f t="shared" si="27"/>
        <v/>
      </c>
      <c r="M72" s="135" t="str">
        <f t="shared" si="28"/>
        <v/>
      </c>
    </row>
    <row r="73" spans="1:13" x14ac:dyDescent="0.3">
      <c r="A73" s="128" t="str">
        <f t="shared" si="16"/>
        <v/>
      </c>
      <c r="B73" s="129" t="str">
        <f t="shared" si="17"/>
        <v/>
      </c>
      <c r="C73" s="130" t="str">
        <f t="shared" si="18"/>
        <v/>
      </c>
      <c r="D73" s="130" t="str">
        <f t="shared" si="19"/>
        <v/>
      </c>
      <c r="E73" s="131" t="str">
        <f t="shared" si="20"/>
        <v/>
      </c>
      <c r="F73" s="132" t="str">
        <f t="shared" si="21"/>
        <v/>
      </c>
      <c r="G73" s="133" t="str">
        <f t="shared" si="22"/>
        <v/>
      </c>
      <c r="H73" s="133" t="str">
        <f t="shared" si="23"/>
        <v/>
      </c>
      <c r="I73" s="133" t="str">
        <f t="shared" si="24"/>
        <v/>
      </c>
      <c r="J73" s="133" t="str">
        <f t="shared" si="25"/>
        <v/>
      </c>
      <c r="K73" s="134" t="str">
        <f t="shared" si="26"/>
        <v/>
      </c>
      <c r="L73" s="134" t="str">
        <f t="shared" si="27"/>
        <v/>
      </c>
      <c r="M73" s="135" t="str">
        <f t="shared" si="28"/>
        <v/>
      </c>
    </row>
    <row r="74" spans="1:13" x14ac:dyDescent="0.3">
      <c r="A74" s="128" t="str">
        <f t="shared" si="16"/>
        <v/>
      </c>
      <c r="B74" s="129" t="str">
        <f t="shared" si="17"/>
        <v/>
      </c>
      <c r="C74" s="130" t="str">
        <f t="shared" si="18"/>
        <v/>
      </c>
      <c r="D74" s="130" t="str">
        <f t="shared" si="19"/>
        <v/>
      </c>
      <c r="E74" s="131" t="str">
        <f t="shared" si="20"/>
        <v/>
      </c>
      <c r="F74" s="132" t="str">
        <f t="shared" si="21"/>
        <v/>
      </c>
      <c r="G74" s="133" t="str">
        <f t="shared" si="22"/>
        <v/>
      </c>
      <c r="H74" s="133" t="str">
        <f t="shared" si="23"/>
        <v/>
      </c>
      <c r="I74" s="133" t="str">
        <f t="shared" si="24"/>
        <v/>
      </c>
      <c r="J74" s="133" t="str">
        <f t="shared" si="25"/>
        <v/>
      </c>
      <c r="K74" s="134" t="str">
        <f t="shared" si="26"/>
        <v/>
      </c>
      <c r="L74" s="134" t="str">
        <f t="shared" si="27"/>
        <v/>
      </c>
      <c r="M74" s="135" t="str">
        <f t="shared" si="28"/>
        <v/>
      </c>
    </row>
    <row r="75" spans="1:13" x14ac:dyDescent="0.3">
      <c r="A75" s="128" t="str">
        <f t="shared" si="16"/>
        <v/>
      </c>
      <c r="B75" s="129" t="str">
        <f t="shared" si="17"/>
        <v/>
      </c>
      <c r="C75" s="130" t="str">
        <f t="shared" si="18"/>
        <v/>
      </c>
      <c r="D75" s="130" t="str">
        <f t="shared" si="19"/>
        <v/>
      </c>
      <c r="E75" s="131" t="str">
        <f t="shared" si="20"/>
        <v/>
      </c>
      <c r="F75" s="132" t="str">
        <f t="shared" si="21"/>
        <v/>
      </c>
      <c r="G75" s="133" t="str">
        <f t="shared" si="22"/>
        <v/>
      </c>
      <c r="H75" s="133" t="str">
        <f t="shared" si="23"/>
        <v/>
      </c>
      <c r="I75" s="133" t="str">
        <f t="shared" si="24"/>
        <v/>
      </c>
      <c r="J75" s="133" t="str">
        <f t="shared" si="25"/>
        <v/>
      </c>
      <c r="K75" s="134" t="str">
        <f t="shared" si="26"/>
        <v/>
      </c>
      <c r="L75" s="134" t="str">
        <f t="shared" si="27"/>
        <v/>
      </c>
      <c r="M75" s="135" t="str">
        <f t="shared" si="28"/>
        <v/>
      </c>
    </row>
    <row r="76" spans="1:13" x14ac:dyDescent="0.3">
      <c r="A76" s="128" t="str">
        <f t="shared" si="16"/>
        <v/>
      </c>
      <c r="B76" s="129" t="str">
        <f t="shared" si="17"/>
        <v/>
      </c>
      <c r="C76" s="130" t="str">
        <f t="shared" si="18"/>
        <v/>
      </c>
      <c r="D76" s="130" t="str">
        <f t="shared" si="19"/>
        <v/>
      </c>
      <c r="E76" s="131" t="str">
        <f t="shared" si="20"/>
        <v/>
      </c>
      <c r="F76" s="132" t="str">
        <f t="shared" si="21"/>
        <v/>
      </c>
      <c r="G76" s="133" t="str">
        <f t="shared" si="22"/>
        <v/>
      </c>
      <c r="H76" s="133" t="str">
        <f t="shared" si="23"/>
        <v/>
      </c>
      <c r="I76" s="133" t="str">
        <f t="shared" si="24"/>
        <v/>
      </c>
      <c r="J76" s="133" t="str">
        <f t="shared" si="25"/>
        <v/>
      </c>
      <c r="K76" s="134" t="str">
        <f t="shared" si="26"/>
        <v/>
      </c>
      <c r="L76" s="134" t="str">
        <f t="shared" si="27"/>
        <v/>
      </c>
      <c r="M76" s="135" t="str">
        <f t="shared" si="28"/>
        <v/>
      </c>
    </row>
    <row r="77" spans="1:13" x14ac:dyDescent="0.3">
      <c r="A77" s="128" t="str">
        <f t="shared" si="16"/>
        <v/>
      </c>
      <c r="B77" s="129" t="str">
        <f t="shared" si="17"/>
        <v/>
      </c>
      <c r="C77" s="130" t="str">
        <f t="shared" si="18"/>
        <v/>
      </c>
      <c r="D77" s="130" t="str">
        <f t="shared" si="19"/>
        <v/>
      </c>
      <c r="E77" s="131" t="str">
        <f t="shared" si="20"/>
        <v/>
      </c>
      <c r="F77" s="132" t="str">
        <f t="shared" si="21"/>
        <v/>
      </c>
      <c r="G77" s="133" t="str">
        <f t="shared" si="22"/>
        <v/>
      </c>
      <c r="H77" s="133" t="str">
        <f t="shared" si="23"/>
        <v/>
      </c>
      <c r="I77" s="133" t="str">
        <f t="shared" si="24"/>
        <v/>
      </c>
      <c r="J77" s="133" t="str">
        <f t="shared" si="25"/>
        <v/>
      </c>
      <c r="K77" s="134" t="str">
        <f t="shared" si="26"/>
        <v/>
      </c>
      <c r="L77" s="134" t="str">
        <f t="shared" si="27"/>
        <v/>
      </c>
      <c r="M77" s="135" t="str">
        <f t="shared" si="28"/>
        <v/>
      </c>
    </row>
    <row r="78" spans="1:13" x14ac:dyDescent="0.3">
      <c r="A78" s="128" t="str">
        <f t="shared" si="16"/>
        <v/>
      </c>
      <c r="B78" s="129" t="str">
        <f t="shared" si="17"/>
        <v/>
      </c>
      <c r="C78" s="130" t="str">
        <f t="shared" si="18"/>
        <v/>
      </c>
      <c r="D78" s="130" t="str">
        <f t="shared" si="19"/>
        <v/>
      </c>
      <c r="E78" s="131" t="str">
        <f t="shared" si="20"/>
        <v/>
      </c>
      <c r="F78" s="132" t="str">
        <f t="shared" si="21"/>
        <v/>
      </c>
      <c r="G78" s="133" t="str">
        <f t="shared" si="22"/>
        <v/>
      </c>
      <c r="H78" s="133" t="str">
        <f t="shared" si="23"/>
        <v/>
      </c>
      <c r="I78" s="133" t="str">
        <f t="shared" si="24"/>
        <v/>
      </c>
      <c r="J78" s="133" t="str">
        <f t="shared" si="25"/>
        <v/>
      </c>
      <c r="K78" s="134" t="str">
        <f t="shared" si="26"/>
        <v/>
      </c>
      <c r="L78" s="134" t="str">
        <f t="shared" si="27"/>
        <v/>
      </c>
      <c r="M78" s="135" t="str">
        <f t="shared" si="28"/>
        <v/>
      </c>
    </row>
    <row r="79" spans="1:13" x14ac:dyDescent="0.3">
      <c r="A79" s="128" t="str">
        <f t="shared" si="16"/>
        <v/>
      </c>
      <c r="B79" s="129" t="str">
        <f t="shared" si="17"/>
        <v/>
      </c>
      <c r="C79" s="130" t="str">
        <f t="shared" si="18"/>
        <v/>
      </c>
      <c r="D79" s="130" t="str">
        <f t="shared" si="19"/>
        <v/>
      </c>
      <c r="E79" s="131" t="str">
        <f t="shared" si="20"/>
        <v/>
      </c>
      <c r="F79" s="132" t="str">
        <f t="shared" si="21"/>
        <v/>
      </c>
      <c r="G79" s="133" t="str">
        <f t="shared" si="22"/>
        <v/>
      </c>
      <c r="H79" s="133" t="str">
        <f t="shared" si="23"/>
        <v/>
      </c>
      <c r="I79" s="133" t="str">
        <f t="shared" si="24"/>
        <v/>
      </c>
      <c r="J79" s="133" t="str">
        <f t="shared" si="25"/>
        <v/>
      </c>
      <c r="K79" s="134" t="str">
        <f t="shared" si="26"/>
        <v/>
      </c>
      <c r="L79" s="134" t="str">
        <f t="shared" si="27"/>
        <v/>
      </c>
      <c r="M79" s="135" t="str">
        <f t="shared" si="28"/>
        <v/>
      </c>
    </row>
    <row r="80" spans="1:13" x14ac:dyDescent="0.3">
      <c r="A80" s="128" t="str">
        <f t="shared" si="16"/>
        <v/>
      </c>
      <c r="B80" s="129" t="str">
        <f t="shared" si="17"/>
        <v/>
      </c>
      <c r="C80" s="130" t="str">
        <f t="shared" si="18"/>
        <v/>
      </c>
      <c r="D80" s="130" t="str">
        <f t="shared" si="19"/>
        <v/>
      </c>
      <c r="E80" s="131" t="str">
        <f t="shared" si="20"/>
        <v/>
      </c>
      <c r="F80" s="132" t="str">
        <f t="shared" si="21"/>
        <v/>
      </c>
      <c r="G80" s="133" t="str">
        <f t="shared" si="22"/>
        <v/>
      </c>
      <c r="H80" s="133" t="str">
        <f t="shared" si="23"/>
        <v/>
      </c>
      <c r="I80" s="133" t="str">
        <f t="shared" si="24"/>
        <v/>
      </c>
      <c r="J80" s="133" t="str">
        <f t="shared" si="25"/>
        <v/>
      </c>
      <c r="K80" s="134" t="str">
        <f t="shared" si="26"/>
        <v/>
      </c>
      <c r="L80" s="134" t="str">
        <f t="shared" si="27"/>
        <v/>
      </c>
      <c r="M80" s="135" t="str">
        <f t="shared" si="28"/>
        <v/>
      </c>
    </row>
    <row r="81" spans="1:13" x14ac:dyDescent="0.3">
      <c r="A81" s="128" t="str">
        <f t="shared" si="16"/>
        <v/>
      </c>
      <c r="B81" s="129" t="str">
        <f t="shared" si="17"/>
        <v/>
      </c>
      <c r="C81" s="130" t="str">
        <f t="shared" si="18"/>
        <v/>
      </c>
      <c r="D81" s="130" t="str">
        <f t="shared" si="19"/>
        <v/>
      </c>
      <c r="E81" s="131" t="str">
        <f t="shared" si="20"/>
        <v/>
      </c>
      <c r="F81" s="132" t="str">
        <f t="shared" si="21"/>
        <v/>
      </c>
      <c r="G81" s="133" t="str">
        <f t="shared" si="22"/>
        <v/>
      </c>
      <c r="H81" s="133" t="str">
        <f t="shared" si="23"/>
        <v/>
      </c>
      <c r="I81" s="133" t="str">
        <f t="shared" si="24"/>
        <v/>
      </c>
      <c r="J81" s="133" t="str">
        <f t="shared" si="25"/>
        <v/>
      </c>
      <c r="K81" s="134" t="str">
        <f t="shared" si="26"/>
        <v/>
      </c>
      <c r="L81" s="134" t="str">
        <f t="shared" si="27"/>
        <v/>
      </c>
      <c r="M81" s="135" t="str">
        <f t="shared" si="28"/>
        <v/>
      </c>
    </row>
    <row r="82" spans="1:13" x14ac:dyDescent="0.3">
      <c r="A82" s="128" t="str">
        <f t="shared" si="16"/>
        <v/>
      </c>
      <c r="B82" s="129" t="str">
        <f t="shared" si="17"/>
        <v/>
      </c>
      <c r="C82" s="130" t="str">
        <f t="shared" si="18"/>
        <v/>
      </c>
      <c r="D82" s="130" t="str">
        <f t="shared" si="19"/>
        <v/>
      </c>
      <c r="E82" s="131" t="str">
        <f t="shared" si="20"/>
        <v/>
      </c>
      <c r="F82" s="132" t="str">
        <f t="shared" si="21"/>
        <v/>
      </c>
      <c r="G82" s="133" t="str">
        <f t="shared" si="22"/>
        <v/>
      </c>
      <c r="H82" s="133" t="str">
        <f t="shared" si="23"/>
        <v/>
      </c>
      <c r="I82" s="133" t="str">
        <f t="shared" si="24"/>
        <v/>
      </c>
      <c r="J82" s="133" t="str">
        <f t="shared" si="25"/>
        <v/>
      </c>
      <c r="K82" s="134" t="str">
        <f t="shared" si="26"/>
        <v/>
      </c>
      <c r="L82" s="134" t="str">
        <f t="shared" si="27"/>
        <v/>
      </c>
      <c r="M82" s="135" t="str">
        <f t="shared" si="28"/>
        <v/>
      </c>
    </row>
    <row r="83" spans="1:13" x14ac:dyDescent="0.3">
      <c r="A83" s="128" t="str">
        <f t="shared" si="16"/>
        <v/>
      </c>
      <c r="B83" s="129" t="str">
        <f t="shared" si="17"/>
        <v/>
      </c>
      <c r="C83" s="130" t="str">
        <f t="shared" si="18"/>
        <v/>
      </c>
      <c r="D83" s="130" t="str">
        <f t="shared" si="19"/>
        <v/>
      </c>
      <c r="E83" s="131" t="str">
        <f t="shared" si="20"/>
        <v/>
      </c>
      <c r="F83" s="132" t="str">
        <f t="shared" si="21"/>
        <v/>
      </c>
      <c r="G83" s="133" t="str">
        <f t="shared" si="22"/>
        <v/>
      </c>
      <c r="H83" s="133" t="str">
        <f t="shared" si="23"/>
        <v/>
      </c>
      <c r="I83" s="133" t="str">
        <f t="shared" si="24"/>
        <v/>
      </c>
      <c r="J83" s="133" t="str">
        <f t="shared" si="25"/>
        <v/>
      </c>
      <c r="K83" s="134" t="str">
        <f t="shared" si="26"/>
        <v/>
      </c>
      <c r="L83" s="134" t="str">
        <f t="shared" si="27"/>
        <v/>
      </c>
      <c r="M83" s="135" t="str">
        <f t="shared" si="28"/>
        <v/>
      </c>
    </row>
    <row r="84" spans="1:13" x14ac:dyDescent="0.3">
      <c r="A84" s="128" t="str">
        <f t="shared" si="16"/>
        <v/>
      </c>
      <c r="B84" s="129" t="str">
        <f t="shared" si="17"/>
        <v/>
      </c>
      <c r="C84" s="130" t="str">
        <f t="shared" si="18"/>
        <v/>
      </c>
      <c r="D84" s="130" t="str">
        <f t="shared" si="19"/>
        <v/>
      </c>
      <c r="E84" s="131" t="str">
        <f t="shared" si="20"/>
        <v/>
      </c>
      <c r="F84" s="132" t="str">
        <f t="shared" si="21"/>
        <v/>
      </c>
      <c r="G84" s="133" t="str">
        <f t="shared" si="22"/>
        <v/>
      </c>
      <c r="H84" s="133" t="str">
        <f t="shared" si="23"/>
        <v/>
      </c>
      <c r="I84" s="133" t="str">
        <f t="shared" si="24"/>
        <v/>
      </c>
      <c r="J84" s="133" t="str">
        <f t="shared" si="25"/>
        <v/>
      </c>
      <c r="K84" s="134" t="str">
        <f t="shared" si="26"/>
        <v/>
      </c>
      <c r="L84" s="134" t="str">
        <f t="shared" si="27"/>
        <v/>
      </c>
      <c r="M84" s="135" t="str">
        <f t="shared" si="28"/>
        <v/>
      </c>
    </row>
    <row r="85" spans="1:13" x14ac:dyDescent="0.3">
      <c r="A85" s="128" t="str">
        <f t="shared" si="16"/>
        <v/>
      </c>
      <c r="B85" s="129" t="str">
        <f t="shared" si="17"/>
        <v/>
      </c>
      <c r="C85" s="130" t="str">
        <f t="shared" si="18"/>
        <v/>
      </c>
      <c r="D85" s="130" t="str">
        <f t="shared" si="19"/>
        <v/>
      </c>
      <c r="E85" s="131" t="str">
        <f t="shared" si="20"/>
        <v/>
      </c>
      <c r="F85" s="132" t="str">
        <f t="shared" si="21"/>
        <v/>
      </c>
      <c r="G85" s="133" t="str">
        <f t="shared" si="22"/>
        <v/>
      </c>
      <c r="H85" s="133" t="str">
        <f t="shared" si="23"/>
        <v/>
      </c>
      <c r="I85" s="133" t="str">
        <f t="shared" si="24"/>
        <v/>
      </c>
      <c r="J85" s="133" t="str">
        <f t="shared" si="25"/>
        <v/>
      </c>
      <c r="K85" s="134" t="str">
        <f t="shared" si="26"/>
        <v/>
      </c>
      <c r="L85" s="134" t="str">
        <f t="shared" si="27"/>
        <v/>
      </c>
      <c r="M85" s="135" t="str">
        <f t="shared" si="28"/>
        <v/>
      </c>
    </row>
    <row r="86" spans="1:13" x14ac:dyDescent="0.3">
      <c r="A86" s="128" t="str">
        <f t="shared" si="16"/>
        <v/>
      </c>
      <c r="B86" s="129" t="str">
        <f t="shared" si="17"/>
        <v/>
      </c>
      <c r="C86" s="130" t="str">
        <f t="shared" si="18"/>
        <v/>
      </c>
      <c r="D86" s="130" t="str">
        <f t="shared" si="19"/>
        <v/>
      </c>
      <c r="E86" s="131" t="str">
        <f t="shared" si="20"/>
        <v/>
      </c>
      <c r="F86" s="132" t="str">
        <f t="shared" si="21"/>
        <v/>
      </c>
      <c r="G86" s="133" t="str">
        <f t="shared" si="22"/>
        <v/>
      </c>
      <c r="H86" s="133" t="str">
        <f t="shared" si="23"/>
        <v/>
      </c>
      <c r="I86" s="133" t="str">
        <f t="shared" si="24"/>
        <v/>
      </c>
      <c r="J86" s="133" t="str">
        <f t="shared" si="25"/>
        <v/>
      </c>
      <c r="K86" s="134" t="str">
        <f t="shared" si="26"/>
        <v/>
      </c>
      <c r="L86" s="134" t="str">
        <f t="shared" si="27"/>
        <v/>
      </c>
      <c r="M86" s="135" t="str">
        <f t="shared" si="28"/>
        <v/>
      </c>
    </row>
    <row r="87" spans="1:13" x14ac:dyDescent="0.3">
      <c r="A87" s="128" t="str">
        <f t="shared" si="16"/>
        <v/>
      </c>
      <c r="B87" s="129" t="str">
        <f t="shared" si="17"/>
        <v/>
      </c>
      <c r="C87" s="130" t="str">
        <f t="shared" si="18"/>
        <v/>
      </c>
      <c r="D87" s="130" t="str">
        <f t="shared" si="19"/>
        <v/>
      </c>
      <c r="E87" s="131" t="str">
        <f t="shared" si="20"/>
        <v/>
      </c>
      <c r="F87" s="132" t="str">
        <f t="shared" si="21"/>
        <v/>
      </c>
      <c r="G87" s="133" t="str">
        <f t="shared" si="22"/>
        <v/>
      </c>
      <c r="H87" s="133" t="str">
        <f t="shared" si="23"/>
        <v/>
      </c>
      <c r="I87" s="133" t="str">
        <f t="shared" si="24"/>
        <v/>
      </c>
      <c r="J87" s="133" t="str">
        <f t="shared" si="25"/>
        <v/>
      </c>
      <c r="K87" s="134" t="str">
        <f t="shared" si="26"/>
        <v/>
      </c>
      <c r="L87" s="134" t="str">
        <f t="shared" si="27"/>
        <v/>
      </c>
      <c r="M87" s="135" t="str">
        <f t="shared" si="28"/>
        <v/>
      </c>
    </row>
    <row r="88" spans="1:13" x14ac:dyDescent="0.3">
      <c r="A88" s="128" t="str">
        <f t="shared" si="16"/>
        <v/>
      </c>
      <c r="B88" s="129" t="str">
        <f t="shared" si="17"/>
        <v/>
      </c>
      <c r="C88" s="130" t="str">
        <f t="shared" si="18"/>
        <v/>
      </c>
      <c r="D88" s="130" t="str">
        <f t="shared" si="19"/>
        <v/>
      </c>
      <c r="E88" s="131" t="str">
        <f t="shared" si="20"/>
        <v/>
      </c>
      <c r="F88" s="132" t="str">
        <f t="shared" si="21"/>
        <v/>
      </c>
      <c r="G88" s="133" t="str">
        <f t="shared" si="22"/>
        <v/>
      </c>
      <c r="H88" s="133" t="str">
        <f t="shared" si="23"/>
        <v/>
      </c>
      <c r="I88" s="133" t="str">
        <f t="shared" si="24"/>
        <v/>
      </c>
      <c r="J88" s="133" t="str">
        <f t="shared" si="25"/>
        <v/>
      </c>
      <c r="K88" s="134" t="str">
        <f t="shared" si="26"/>
        <v/>
      </c>
      <c r="L88" s="134" t="str">
        <f t="shared" si="27"/>
        <v/>
      </c>
      <c r="M88" s="135" t="str">
        <f t="shared" si="28"/>
        <v/>
      </c>
    </row>
    <row r="89" spans="1:13" x14ac:dyDescent="0.3">
      <c r="A89" s="128" t="str">
        <f t="shared" si="16"/>
        <v/>
      </c>
      <c r="B89" s="129" t="str">
        <f t="shared" si="17"/>
        <v/>
      </c>
      <c r="C89" s="130" t="str">
        <f t="shared" si="18"/>
        <v/>
      </c>
      <c r="D89" s="130" t="str">
        <f t="shared" si="19"/>
        <v/>
      </c>
      <c r="E89" s="131" t="str">
        <f t="shared" si="20"/>
        <v/>
      </c>
      <c r="F89" s="132" t="str">
        <f t="shared" si="21"/>
        <v/>
      </c>
      <c r="G89" s="133" t="str">
        <f t="shared" si="22"/>
        <v/>
      </c>
      <c r="H89" s="133" t="str">
        <f t="shared" si="23"/>
        <v/>
      </c>
      <c r="I89" s="133" t="str">
        <f t="shared" si="24"/>
        <v/>
      </c>
      <c r="J89" s="133" t="str">
        <f t="shared" si="25"/>
        <v/>
      </c>
      <c r="K89" s="134" t="str">
        <f t="shared" si="26"/>
        <v/>
      </c>
      <c r="L89" s="134" t="str">
        <f t="shared" si="27"/>
        <v/>
      </c>
      <c r="M89" s="135" t="str">
        <f t="shared" si="28"/>
        <v/>
      </c>
    </row>
    <row r="90" spans="1:13" x14ac:dyDescent="0.3">
      <c r="A90" s="128" t="str">
        <f t="shared" ref="A90:A105" si="29">IFERROR(INDEX($A$173:$A$252,MATCH(ROW()-25,$N$173:$N$252,0)),"")</f>
        <v/>
      </c>
      <c r="B90" s="129" t="str">
        <f t="shared" ref="B90:B105" si="30">IF($A90="","",INDEX($B$173:$B$252,MATCH(ROW()-25,$N$173:$N$252,0)))</f>
        <v/>
      </c>
      <c r="C90" s="130" t="str">
        <f t="shared" ref="C90:C105" si="31">IF($A90="","",INDEX($C$173:$C$252,MATCH(ROW()-25,$N$173:$N$252,0)))</f>
        <v/>
      </c>
      <c r="D90" s="130" t="str">
        <f t="shared" ref="D90:D105" si="32">IF($A90="","",INDEX($D$173:$D$252,MATCH(ROW()-25,$N$173:$N$252,0)))</f>
        <v/>
      </c>
      <c r="E90" s="131" t="str">
        <f t="shared" ref="E90:E105" si="33">IF($A90="","",INDEX($E$173:$E$252,MATCH(ROW()-25,$N$173:$N$252,0)))</f>
        <v/>
      </c>
      <c r="F90" s="132" t="str">
        <f t="shared" ref="F90:F105" si="34">IF($A90="","",INDEX($F$173:$F$252,MATCH(ROW()-25,$N$173:$N$252,0)))</f>
        <v/>
      </c>
      <c r="G90" s="133" t="str">
        <f t="shared" ref="G90:G105" si="35">IF($A90="","",INDEX($G$173:$G$252,MATCH(ROW()-25,$N$173:$N$252,0)))</f>
        <v/>
      </c>
      <c r="H90" s="133" t="str">
        <f t="shared" ref="H90:H105" si="36">IF($A90="","",INDEX($H$173:$H$252,MATCH(ROW()-25,$N$173:$N$252,0)))</f>
        <v/>
      </c>
      <c r="I90" s="133" t="str">
        <f t="shared" ref="I90:I105" si="37">IF($A90="","",INDEX($I$173:$I$252,MATCH(ROW()-25,$N$173:$N$252,0)))</f>
        <v/>
      </c>
      <c r="J90" s="133" t="str">
        <f t="shared" ref="J90:J105" si="38">IF($A90="","",INDEX($J$173:$J$252,MATCH(ROW()-25,$N$173:$N$252,0)))</f>
        <v/>
      </c>
      <c r="K90" s="134" t="str">
        <f t="shared" ref="K90:K105" si="39">IF($A90="","",INDEX($K$173:$K$252,MATCH(ROW()-25,$N$173:$N$252,0)))</f>
        <v/>
      </c>
      <c r="L90" s="134" t="str">
        <f t="shared" ref="L90:L105" si="40">IF($A90="","",INDEX($L$173:$L$252,MATCH(ROW()-25,$N$173:$N$252,0)))</f>
        <v/>
      </c>
      <c r="M90" s="135" t="str">
        <f t="shared" ref="M90:M105" si="41">IF($A90="","",IF($K$106=0,"",$K90/$K$106))</f>
        <v/>
      </c>
    </row>
    <row r="91" spans="1:13" x14ac:dyDescent="0.3">
      <c r="A91" s="128" t="str">
        <f t="shared" si="29"/>
        <v/>
      </c>
      <c r="B91" s="129" t="str">
        <f t="shared" si="30"/>
        <v/>
      </c>
      <c r="C91" s="130" t="str">
        <f t="shared" si="31"/>
        <v/>
      </c>
      <c r="D91" s="130" t="str">
        <f t="shared" si="32"/>
        <v/>
      </c>
      <c r="E91" s="131" t="str">
        <f t="shared" si="33"/>
        <v/>
      </c>
      <c r="F91" s="132" t="str">
        <f t="shared" si="34"/>
        <v/>
      </c>
      <c r="G91" s="133" t="str">
        <f t="shared" si="35"/>
        <v/>
      </c>
      <c r="H91" s="133" t="str">
        <f t="shared" si="36"/>
        <v/>
      </c>
      <c r="I91" s="133" t="str">
        <f t="shared" si="37"/>
        <v/>
      </c>
      <c r="J91" s="133" t="str">
        <f t="shared" si="38"/>
        <v/>
      </c>
      <c r="K91" s="134" t="str">
        <f t="shared" si="39"/>
        <v/>
      </c>
      <c r="L91" s="134" t="str">
        <f t="shared" si="40"/>
        <v/>
      </c>
      <c r="M91" s="135" t="str">
        <f t="shared" si="41"/>
        <v/>
      </c>
    </row>
    <row r="92" spans="1:13" x14ac:dyDescent="0.3">
      <c r="A92" s="128" t="str">
        <f t="shared" si="29"/>
        <v/>
      </c>
      <c r="B92" s="129" t="str">
        <f t="shared" si="30"/>
        <v/>
      </c>
      <c r="C92" s="130" t="str">
        <f t="shared" si="31"/>
        <v/>
      </c>
      <c r="D92" s="130" t="str">
        <f t="shared" si="32"/>
        <v/>
      </c>
      <c r="E92" s="131" t="str">
        <f t="shared" si="33"/>
        <v/>
      </c>
      <c r="F92" s="132" t="str">
        <f t="shared" si="34"/>
        <v/>
      </c>
      <c r="G92" s="133" t="str">
        <f t="shared" si="35"/>
        <v/>
      </c>
      <c r="H92" s="133" t="str">
        <f t="shared" si="36"/>
        <v/>
      </c>
      <c r="I92" s="133" t="str">
        <f t="shared" si="37"/>
        <v/>
      </c>
      <c r="J92" s="133" t="str">
        <f t="shared" si="38"/>
        <v/>
      </c>
      <c r="K92" s="134" t="str">
        <f t="shared" si="39"/>
        <v/>
      </c>
      <c r="L92" s="134" t="str">
        <f t="shared" si="40"/>
        <v/>
      </c>
      <c r="M92" s="135" t="str">
        <f t="shared" si="41"/>
        <v/>
      </c>
    </row>
    <row r="93" spans="1:13" x14ac:dyDescent="0.3">
      <c r="A93" s="128" t="str">
        <f t="shared" si="29"/>
        <v/>
      </c>
      <c r="B93" s="129" t="str">
        <f t="shared" si="30"/>
        <v/>
      </c>
      <c r="C93" s="130" t="str">
        <f t="shared" si="31"/>
        <v/>
      </c>
      <c r="D93" s="130" t="str">
        <f t="shared" si="32"/>
        <v/>
      </c>
      <c r="E93" s="131" t="str">
        <f t="shared" si="33"/>
        <v/>
      </c>
      <c r="F93" s="132" t="str">
        <f t="shared" si="34"/>
        <v/>
      </c>
      <c r="G93" s="133" t="str">
        <f t="shared" si="35"/>
        <v/>
      </c>
      <c r="H93" s="133" t="str">
        <f t="shared" si="36"/>
        <v/>
      </c>
      <c r="I93" s="133" t="str">
        <f t="shared" si="37"/>
        <v/>
      </c>
      <c r="J93" s="133" t="str">
        <f t="shared" si="38"/>
        <v/>
      </c>
      <c r="K93" s="134" t="str">
        <f t="shared" si="39"/>
        <v/>
      </c>
      <c r="L93" s="134" t="str">
        <f t="shared" si="40"/>
        <v/>
      </c>
      <c r="M93" s="135" t="str">
        <f t="shared" si="41"/>
        <v/>
      </c>
    </row>
    <row r="94" spans="1:13" x14ac:dyDescent="0.3">
      <c r="A94" s="128" t="str">
        <f t="shared" si="29"/>
        <v/>
      </c>
      <c r="B94" s="129" t="str">
        <f t="shared" si="30"/>
        <v/>
      </c>
      <c r="C94" s="130" t="str">
        <f t="shared" si="31"/>
        <v/>
      </c>
      <c r="D94" s="130" t="str">
        <f t="shared" si="32"/>
        <v/>
      </c>
      <c r="E94" s="131" t="str">
        <f t="shared" si="33"/>
        <v/>
      </c>
      <c r="F94" s="132" t="str">
        <f t="shared" si="34"/>
        <v/>
      </c>
      <c r="G94" s="133" t="str">
        <f t="shared" si="35"/>
        <v/>
      </c>
      <c r="H94" s="133" t="str">
        <f t="shared" si="36"/>
        <v/>
      </c>
      <c r="I94" s="133" t="str">
        <f t="shared" si="37"/>
        <v/>
      </c>
      <c r="J94" s="133" t="str">
        <f t="shared" si="38"/>
        <v/>
      </c>
      <c r="K94" s="134" t="str">
        <f t="shared" si="39"/>
        <v/>
      </c>
      <c r="L94" s="134" t="str">
        <f t="shared" si="40"/>
        <v/>
      </c>
      <c r="M94" s="135" t="str">
        <f t="shared" si="41"/>
        <v/>
      </c>
    </row>
    <row r="95" spans="1:13" x14ac:dyDescent="0.3">
      <c r="A95" s="128" t="str">
        <f t="shared" si="29"/>
        <v/>
      </c>
      <c r="B95" s="129" t="str">
        <f t="shared" si="30"/>
        <v/>
      </c>
      <c r="C95" s="130" t="str">
        <f t="shared" si="31"/>
        <v/>
      </c>
      <c r="D95" s="130" t="str">
        <f t="shared" si="32"/>
        <v/>
      </c>
      <c r="E95" s="131" t="str">
        <f t="shared" si="33"/>
        <v/>
      </c>
      <c r="F95" s="132" t="str">
        <f t="shared" si="34"/>
        <v/>
      </c>
      <c r="G95" s="133" t="str">
        <f t="shared" si="35"/>
        <v/>
      </c>
      <c r="H95" s="133" t="str">
        <f t="shared" si="36"/>
        <v/>
      </c>
      <c r="I95" s="133" t="str">
        <f t="shared" si="37"/>
        <v/>
      </c>
      <c r="J95" s="133" t="str">
        <f t="shared" si="38"/>
        <v/>
      </c>
      <c r="K95" s="134" t="str">
        <f t="shared" si="39"/>
        <v/>
      </c>
      <c r="L95" s="134" t="str">
        <f t="shared" si="40"/>
        <v/>
      </c>
      <c r="M95" s="135" t="str">
        <f t="shared" si="41"/>
        <v/>
      </c>
    </row>
    <row r="96" spans="1:13" x14ac:dyDescent="0.3">
      <c r="A96" s="128" t="str">
        <f t="shared" si="29"/>
        <v/>
      </c>
      <c r="B96" s="129" t="str">
        <f t="shared" si="30"/>
        <v/>
      </c>
      <c r="C96" s="130" t="str">
        <f t="shared" si="31"/>
        <v/>
      </c>
      <c r="D96" s="130" t="str">
        <f t="shared" si="32"/>
        <v/>
      </c>
      <c r="E96" s="131" t="str">
        <f t="shared" si="33"/>
        <v/>
      </c>
      <c r="F96" s="132" t="str">
        <f t="shared" si="34"/>
        <v/>
      </c>
      <c r="G96" s="133" t="str">
        <f t="shared" si="35"/>
        <v/>
      </c>
      <c r="H96" s="133" t="str">
        <f t="shared" si="36"/>
        <v/>
      </c>
      <c r="I96" s="133" t="str">
        <f t="shared" si="37"/>
        <v/>
      </c>
      <c r="J96" s="133" t="str">
        <f t="shared" si="38"/>
        <v/>
      </c>
      <c r="K96" s="134" t="str">
        <f t="shared" si="39"/>
        <v/>
      </c>
      <c r="L96" s="134" t="str">
        <f t="shared" si="40"/>
        <v/>
      </c>
      <c r="M96" s="135" t="str">
        <f t="shared" si="41"/>
        <v/>
      </c>
    </row>
    <row r="97" spans="1:13" x14ac:dyDescent="0.3">
      <c r="A97" s="128" t="str">
        <f t="shared" si="29"/>
        <v/>
      </c>
      <c r="B97" s="129" t="str">
        <f t="shared" si="30"/>
        <v/>
      </c>
      <c r="C97" s="130" t="str">
        <f t="shared" si="31"/>
        <v/>
      </c>
      <c r="D97" s="130" t="str">
        <f t="shared" si="32"/>
        <v/>
      </c>
      <c r="E97" s="131" t="str">
        <f t="shared" si="33"/>
        <v/>
      </c>
      <c r="F97" s="132" t="str">
        <f t="shared" si="34"/>
        <v/>
      </c>
      <c r="G97" s="133" t="str">
        <f t="shared" si="35"/>
        <v/>
      </c>
      <c r="H97" s="133" t="str">
        <f t="shared" si="36"/>
        <v/>
      </c>
      <c r="I97" s="133" t="str">
        <f t="shared" si="37"/>
        <v/>
      </c>
      <c r="J97" s="133" t="str">
        <f t="shared" si="38"/>
        <v/>
      </c>
      <c r="K97" s="134" t="str">
        <f t="shared" si="39"/>
        <v/>
      </c>
      <c r="L97" s="134" t="str">
        <f t="shared" si="40"/>
        <v/>
      </c>
      <c r="M97" s="135" t="str">
        <f t="shared" si="41"/>
        <v/>
      </c>
    </row>
    <row r="98" spans="1:13" x14ac:dyDescent="0.3">
      <c r="A98" s="128" t="str">
        <f t="shared" si="29"/>
        <v/>
      </c>
      <c r="B98" s="129" t="str">
        <f t="shared" si="30"/>
        <v/>
      </c>
      <c r="C98" s="130" t="str">
        <f t="shared" si="31"/>
        <v/>
      </c>
      <c r="D98" s="130" t="str">
        <f t="shared" si="32"/>
        <v/>
      </c>
      <c r="E98" s="131" t="str">
        <f t="shared" si="33"/>
        <v/>
      </c>
      <c r="F98" s="132" t="str">
        <f t="shared" si="34"/>
        <v/>
      </c>
      <c r="G98" s="133" t="str">
        <f t="shared" si="35"/>
        <v/>
      </c>
      <c r="H98" s="133" t="str">
        <f t="shared" si="36"/>
        <v/>
      </c>
      <c r="I98" s="133" t="str">
        <f t="shared" si="37"/>
        <v/>
      </c>
      <c r="J98" s="133" t="str">
        <f t="shared" si="38"/>
        <v/>
      </c>
      <c r="K98" s="134" t="str">
        <f t="shared" si="39"/>
        <v/>
      </c>
      <c r="L98" s="134" t="str">
        <f t="shared" si="40"/>
        <v/>
      </c>
      <c r="M98" s="135" t="str">
        <f t="shared" si="41"/>
        <v/>
      </c>
    </row>
    <row r="99" spans="1:13" x14ac:dyDescent="0.3">
      <c r="A99" s="128" t="str">
        <f t="shared" si="29"/>
        <v/>
      </c>
      <c r="B99" s="129" t="str">
        <f t="shared" si="30"/>
        <v/>
      </c>
      <c r="C99" s="130" t="str">
        <f t="shared" si="31"/>
        <v/>
      </c>
      <c r="D99" s="130" t="str">
        <f t="shared" si="32"/>
        <v/>
      </c>
      <c r="E99" s="131" t="str">
        <f t="shared" si="33"/>
        <v/>
      </c>
      <c r="F99" s="132" t="str">
        <f t="shared" si="34"/>
        <v/>
      </c>
      <c r="G99" s="133" t="str">
        <f t="shared" si="35"/>
        <v/>
      </c>
      <c r="H99" s="133" t="str">
        <f t="shared" si="36"/>
        <v/>
      </c>
      <c r="I99" s="133" t="str">
        <f t="shared" si="37"/>
        <v/>
      </c>
      <c r="J99" s="133" t="str">
        <f t="shared" si="38"/>
        <v/>
      </c>
      <c r="K99" s="134" t="str">
        <f t="shared" si="39"/>
        <v/>
      </c>
      <c r="L99" s="134" t="str">
        <f t="shared" si="40"/>
        <v/>
      </c>
      <c r="M99" s="135" t="str">
        <f t="shared" si="41"/>
        <v/>
      </c>
    </row>
    <row r="100" spans="1:13" x14ac:dyDescent="0.3">
      <c r="A100" s="128" t="str">
        <f t="shared" si="29"/>
        <v/>
      </c>
      <c r="B100" s="129" t="str">
        <f t="shared" si="30"/>
        <v/>
      </c>
      <c r="C100" s="130" t="str">
        <f t="shared" si="31"/>
        <v/>
      </c>
      <c r="D100" s="130" t="str">
        <f t="shared" si="32"/>
        <v/>
      </c>
      <c r="E100" s="131" t="str">
        <f t="shared" si="33"/>
        <v/>
      </c>
      <c r="F100" s="132" t="str">
        <f t="shared" si="34"/>
        <v/>
      </c>
      <c r="G100" s="133" t="str">
        <f t="shared" si="35"/>
        <v/>
      </c>
      <c r="H100" s="133" t="str">
        <f t="shared" si="36"/>
        <v/>
      </c>
      <c r="I100" s="133" t="str">
        <f t="shared" si="37"/>
        <v/>
      </c>
      <c r="J100" s="133" t="str">
        <f t="shared" si="38"/>
        <v/>
      </c>
      <c r="K100" s="134" t="str">
        <f t="shared" si="39"/>
        <v/>
      </c>
      <c r="L100" s="134" t="str">
        <f t="shared" si="40"/>
        <v/>
      </c>
      <c r="M100" s="135" t="str">
        <f t="shared" si="41"/>
        <v/>
      </c>
    </row>
    <row r="101" spans="1:13" x14ac:dyDescent="0.3">
      <c r="A101" s="128" t="str">
        <f t="shared" si="29"/>
        <v/>
      </c>
      <c r="B101" s="129" t="str">
        <f t="shared" si="30"/>
        <v/>
      </c>
      <c r="C101" s="130" t="str">
        <f t="shared" si="31"/>
        <v/>
      </c>
      <c r="D101" s="130" t="str">
        <f t="shared" si="32"/>
        <v/>
      </c>
      <c r="E101" s="131" t="str">
        <f t="shared" si="33"/>
        <v/>
      </c>
      <c r="F101" s="132" t="str">
        <f t="shared" si="34"/>
        <v/>
      </c>
      <c r="G101" s="133" t="str">
        <f t="shared" si="35"/>
        <v/>
      </c>
      <c r="H101" s="133" t="str">
        <f t="shared" si="36"/>
        <v/>
      </c>
      <c r="I101" s="133" t="str">
        <f t="shared" si="37"/>
        <v/>
      </c>
      <c r="J101" s="133" t="str">
        <f t="shared" si="38"/>
        <v/>
      </c>
      <c r="K101" s="134" t="str">
        <f t="shared" si="39"/>
        <v/>
      </c>
      <c r="L101" s="134" t="str">
        <f t="shared" si="40"/>
        <v/>
      </c>
      <c r="M101" s="135" t="str">
        <f t="shared" si="41"/>
        <v/>
      </c>
    </row>
    <row r="102" spans="1:13" x14ac:dyDescent="0.3">
      <c r="A102" s="128" t="str">
        <f t="shared" si="29"/>
        <v/>
      </c>
      <c r="B102" s="129" t="str">
        <f t="shared" si="30"/>
        <v/>
      </c>
      <c r="C102" s="130" t="str">
        <f t="shared" si="31"/>
        <v/>
      </c>
      <c r="D102" s="130" t="str">
        <f t="shared" si="32"/>
        <v/>
      </c>
      <c r="E102" s="131" t="str">
        <f t="shared" si="33"/>
        <v/>
      </c>
      <c r="F102" s="132" t="str">
        <f t="shared" si="34"/>
        <v/>
      </c>
      <c r="G102" s="133" t="str">
        <f t="shared" si="35"/>
        <v/>
      </c>
      <c r="H102" s="133" t="str">
        <f t="shared" si="36"/>
        <v/>
      </c>
      <c r="I102" s="133" t="str">
        <f t="shared" si="37"/>
        <v/>
      </c>
      <c r="J102" s="133" t="str">
        <f t="shared" si="38"/>
        <v/>
      </c>
      <c r="K102" s="134" t="str">
        <f t="shared" si="39"/>
        <v/>
      </c>
      <c r="L102" s="134" t="str">
        <f t="shared" si="40"/>
        <v/>
      </c>
      <c r="M102" s="135" t="str">
        <f t="shared" si="41"/>
        <v/>
      </c>
    </row>
    <row r="103" spans="1:13" x14ac:dyDescent="0.3">
      <c r="A103" s="128" t="str">
        <f t="shared" si="29"/>
        <v/>
      </c>
      <c r="B103" s="129" t="str">
        <f t="shared" si="30"/>
        <v/>
      </c>
      <c r="C103" s="130" t="str">
        <f t="shared" si="31"/>
        <v/>
      </c>
      <c r="D103" s="130" t="str">
        <f t="shared" si="32"/>
        <v/>
      </c>
      <c r="E103" s="131" t="str">
        <f t="shared" si="33"/>
        <v/>
      </c>
      <c r="F103" s="132" t="str">
        <f t="shared" si="34"/>
        <v/>
      </c>
      <c r="G103" s="133" t="str">
        <f t="shared" si="35"/>
        <v/>
      </c>
      <c r="H103" s="133" t="str">
        <f t="shared" si="36"/>
        <v/>
      </c>
      <c r="I103" s="133" t="str">
        <f t="shared" si="37"/>
        <v/>
      </c>
      <c r="J103" s="133" t="str">
        <f t="shared" si="38"/>
        <v/>
      </c>
      <c r="K103" s="134" t="str">
        <f t="shared" si="39"/>
        <v/>
      </c>
      <c r="L103" s="134" t="str">
        <f t="shared" si="40"/>
        <v/>
      </c>
      <c r="M103" s="135" t="str">
        <f t="shared" si="41"/>
        <v/>
      </c>
    </row>
    <row r="104" spans="1:13" x14ac:dyDescent="0.3">
      <c r="A104" s="128" t="str">
        <f t="shared" si="29"/>
        <v/>
      </c>
      <c r="B104" s="129" t="str">
        <f t="shared" si="30"/>
        <v/>
      </c>
      <c r="C104" s="130" t="str">
        <f t="shared" si="31"/>
        <v/>
      </c>
      <c r="D104" s="130" t="str">
        <f t="shared" si="32"/>
        <v/>
      </c>
      <c r="E104" s="131" t="str">
        <f t="shared" si="33"/>
        <v/>
      </c>
      <c r="F104" s="132" t="str">
        <f t="shared" si="34"/>
        <v/>
      </c>
      <c r="G104" s="133" t="str">
        <f t="shared" si="35"/>
        <v/>
      </c>
      <c r="H104" s="133" t="str">
        <f t="shared" si="36"/>
        <v/>
      </c>
      <c r="I104" s="133" t="str">
        <f t="shared" si="37"/>
        <v/>
      </c>
      <c r="J104" s="133" t="str">
        <f t="shared" si="38"/>
        <v/>
      </c>
      <c r="K104" s="134" t="str">
        <f t="shared" si="39"/>
        <v/>
      </c>
      <c r="L104" s="134" t="str">
        <f t="shared" si="40"/>
        <v/>
      </c>
      <c r="M104" s="135" t="str">
        <f t="shared" si="41"/>
        <v/>
      </c>
    </row>
    <row r="105" spans="1:13" x14ac:dyDescent="0.3">
      <c r="A105" s="128" t="str">
        <f t="shared" si="29"/>
        <v/>
      </c>
      <c r="B105" s="129" t="str">
        <f t="shared" si="30"/>
        <v/>
      </c>
      <c r="C105" s="130" t="str">
        <f t="shared" si="31"/>
        <v/>
      </c>
      <c r="D105" s="130" t="str">
        <f t="shared" si="32"/>
        <v/>
      </c>
      <c r="E105" s="131" t="str">
        <f t="shared" si="33"/>
        <v/>
      </c>
      <c r="F105" s="132" t="str">
        <f t="shared" si="34"/>
        <v/>
      </c>
      <c r="G105" s="133" t="str">
        <f t="shared" si="35"/>
        <v/>
      </c>
      <c r="H105" s="133" t="str">
        <f t="shared" si="36"/>
        <v/>
      </c>
      <c r="I105" s="133" t="str">
        <f t="shared" si="37"/>
        <v/>
      </c>
      <c r="J105" s="133" t="str">
        <f t="shared" si="38"/>
        <v/>
      </c>
      <c r="K105" s="134" t="str">
        <f t="shared" si="39"/>
        <v/>
      </c>
      <c r="L105" s="134" t="str">
        <f t="shared" si="40"/>
        <v/>
      </c>
      <c r="M105" s="135" t="str">
        <f t="shared" si="41"/>
        <v/>
      </c>
    </row>
    <row r="106" spans="1:13" x14ac:dyDescent="0.3">
      <c r="A106" s="136" t="str">
        <f>"TOTAL — "&amp;COUNTIF($A$26:$A$105,"?*")&amp;" project(s) live in period"</f>
        <v>TOTAL — 16 project(s) live in period</v>
      </c>
      <c r="B106" s="137">
        <f>SUM(B26:B105)</f>
        <v>67.95</v>
      </c>
      <c r="C106" s="138"/>
      <c r="D106" s="138"/>
      <c r="E106" s="138"/>
      <c r="F106" s="139" cm="1">
        <f t="array" ref="F106">IF(B106=0,"",SUMPRODUCT($B$26:$B$105,IF($F$26:$F$105="",0,$F$26:$F$105))/B106)</f>
        <v>0.46668138337012505</v>
      </c>
      <c r="G106" s="140">
        <f t="shared" ref="G106:L106" si="42">SUM(G26:G105)</f>
        <v>33.558108108108108</v>
      </c>
      <c r="H106" s="140">
        <f t="shared" si="42"/>
        <v>113.89858793153657</v>
      </c>
      <c r="I106" s="140">
        <f t="shared" si="42"/>
        <v>80.340479823428439</v>
      </c>
      <c r="J106" s="140">
        <f t="shared" si="42"/>
        <v>-45.948587931536565</v>
      </c>
      <c r="K106" s="140">
        <f t="shared" si="42"/>
        <v>44.829171371429325</v>
      </c>
      <c r="L106" s="140">
        <f t="shared" si="42"/>
        <v>17.467567567567567</v>
      </c>
      <c r="M106" s="141">
        <f>IF($K$106=0,"",1)</f>
        <v>1</v>
      </c>
    </row>
    <row r="108" spans="1:13" ht="19.95" customHeight="1" x14ac:dyDescent="0.3">
      <c r="A108" s="300" t="s">
        <v>119</v>
      </c>
      <c r="B108" s="300"/>
      <c r="C108" s="300"/>
      <c r="D108" s="300"/>
      <c r="E108" s="300"/>
      <c r="F108" s="300"/>
      <c r="G108" s="300"/>
      <c r="H108" s="300"/>
      <c r="I108" s="300"/>
      <c r="J108" s="300"/>
      <c r="K108" s="300"/>
      <c r="L108" s="300"/>
      <c r="M108" s="300"/>
    </row>
    <row r="109" spans="1:13" x14ac:dyDescent="0.3">
      <c r="A109" s="142" t="s">
        <v>8</v>
      </c>
      <c r="B109" s="31" t="str">
        <f>Inputs!$A$91</f>
        <v>Ahmed</v>
      </c>
      <c r="C109" s="31" t="str">
        <f>Inputs!$A$92</f>
        <v>Osama</v>
      </c>
      <c r="D109" s="31" t="str">
        <f>Inputs!$A$93</f>
        <v>Kirolos</v>
      </c>
      <c r="E109" s="31" t="s">
        <v>4</v>
      </c>
    </row>
    <row r="110" spans="1:13" x14ac:dyDescent="0.3">
      <c r="A110" s="26" t="s">
        <v>120</v>
      </c>
      <c r="B110" s="29">
        <f>IF($B$5="All Time",Phasing!$Y$680,IF($B$5="Year",SUMIF(Phasing!$E$3:$X$3,$D$5,Phasing!$E$680:$X$680),SUMIF(Phasing!$E$4:$X$4,$B$6,Phasing!$E$680:$X$680)))</f>
        <v>5.7216216216216225</v>
      </c>
      <c r="C110" s="29">
        <f>IF($B$5="All Time",Phasing!$Y$681,IF($B$5="Year",SUMIF(Phasing!$E$3:$X$3,$D$5,Phasing!$E$681:$X$681),SUMIF(Phasing!$E$4:$X$4,$B$6,Phasing!$E$681:$X$681)))</f>
        <v>5.9945945945945942</v>
      </c>
      <c r="D110" s="29">
        <f>IF($B$5="All Time",Phasing!$Y$682,IF($B$5="Year",SUMIF(Phasing!$E$3:$X$3,$D$5,Phasing!$E$682:$X$682),SUMIF(Phasing!$E$4:$X$4,$B$6,Phasing!$E$682:$X$682)))</f>
        <v>6.1918918918918919</v>
      </c>
      <c r="E110" s="32">
        <f>SUM(B110:D110)</f>
        <v>17.908108108108109</v>
      </c>
    </row>
    <row r="111" spans="1:13" x14ac:dyDescent="0.3">
      <c r="A111" s="26" t="s">
        <v>121</v>
      </c>
      <c r="B111" s="143">
        <f>IF($E$110=0,"",B110/$E$110)</f>
        <v>0.31949894355568975</v>
      </c>
      <c r="C111" s="143">
        <f>IF($E$110=0,"",C110/$E$110)</f>
        <v>0.33474192574705702</v>
      </c>
      <c r="D111" s="143">
        <f>IF($E$110=0,"",D110/$E$110)</f>
        <v>0.34575913069725323</v>
      </c>
      <c r="E111" s="144">
        <f>IF(E110=0,"",SUM(B111:D111))</f>
        <v>1</v>
      </c>
    </row>
    <row r="112" spans="1:13" x14ac:dyDescent="0.3">
      <c r="A112" s="25" t="s">
        <v>93</v>
      </c>
      <c r="B112" s="27">
        <f>SUMPRODUCT($I$173:$I$252,Inputs!$M$6:$M$85,$M$173:$M$252,Inputs!$I$6:$I$85)</f>
        <v>22.961745693007909</v>
      </c>
      <c r="C112" s="27">
        <f>SUMPRODUCT($I$173:$I$252,Inputs!$M$6:$M$85,$M$173:$M$252,Inputs!$J$6:$J$85)</f>
        <v>24.440534518563283</v>
      </c>
      <c r="D112" s="27">
        <f>SUMPRODUCT($I$173:$I$252,Inputs!$M$6:$M$85,$M$173:$M$252,Inputs!$K$6:$K$85)</f>
        <v>6.16589789837907</v>
      </c>
      <c r="E112" s="32">
        <f>SUM(B112:D112)</f>
        <v>53.568178109950267</v>
      </c>
    </row>
    <row r="113" spans="1:5" x14ac:dyDescent="0.3">
      <c r="A113" s="26" t="s">
        <v>122</v>
      </c>
      <c r="B113" s="29">
        <f>IF($B$5="All Time",SUM(Inputs!$B$91:$F$91)*4*Inputs!$B$94,IF($B$5="Year",SUMIF(Inputs!$B$90:$F$90,$D$5,Inputs!$B$91:$F$91)*4*Inputs!$B$94,SUMIF(Inputs!$B$90:$F$90,$D$5,Inputs!$B$91:$F$91)*Inputs!$B$94))</f>
        <v>12</v>
      </c>
      <c r="C113" s="29">
        <f>IF($B$5="All Time",SUM(Inputs!$B$92:$F$92)*4*Inputs!$B$94,IF($B$5="Year",SUMIF(Inputs!$B$90:$F$90,$D$5,Inputs!$B$92:$F$92)*4*Inputs!$B$94,SUMIF(Inputs!$B$90:$F$90,$D$5,Inputs!$B$92:$F$92)*Inputs!$B$94))</f>
        <v>12</v>
      </c>
      <c r="D113" s="29">
        <f>IF($B$5="All Time",SUM(Inputs!$B$93:$F$93)*4*Inputs!$B$94,IF($B$5="Year",SUMIF(Inputs!$B$90:$F$90,$D$5,Inputs!$B$93:$F$93)*4*Inputs!$B$94,SUMIF(Inputs!$B$90:$F$90,$D$5,Inputs!$B$93:$F$93)*Inputs!$B$94))</f>
        <v>12</v>
      </c>
      <c r="E113" s="32">
        <f>SUM(B113:D113)</f>
        <v>36</v>
      </c>
    </row>
    <row r="114" spans="1:5" x14ac:dyDescent="0.3">
      <c r="A114" s="25" t="s">
        <v>123</v>
      </c>
      <c r="B114" s="145">
        <f>IF(B113=0,"",B110/B113)</f>
        <v>0.47680180180180187</v>
      </c>
      <c r="C114" s="145">
        <f>IF(C113=0,"",C110/C113)</f>
        <v>0.4995495495495495</v>
      </c>
      <c r="D114" s="145">
        <f>IF(D113=0,"",D110/D113)</f>
        <v>0.51599099099099099</v>
      </c>
      <c r="E114" s="144">
        <f>IF(E113=0,"",E110/E113)</f>
        <v>0.49744744744744751</v>
      </c>
    </row>
    <row r="115" spans="1:5" x14ac:dyDescent="0.3">
      <c r="A115" s="26" t="s">
        <v>94</v>
      </c>
      <c r="B115" s="28">
        <f>IF(SUMIF(Inputs!$B$90:$F$90,$D$5,Inputs!$B$91:$F$91)*4*Inputs!$B$94=0,"",B112/(SUMIF(Inputs!$B$90:$F$90,$D$5,Inputs!$B$91:$F$91)*4*Inputs!$B$94))</f>
        <v>1.913478807750659</v>
      </c>
      <c r="C115" s="28">
        <f>IF(SUMIF(Inputs!$B$90:$F$90,$D$5,Inputs!$B$92:$F$92)*4*Inputs!$B$94=0,"",C112/(SUMIF(Inputs!$B$90:$F$90,$D$5,Inputs!$B$92:$F$92)*4*Inputs!$B$94))</f>
        <v>2.0367112098802735</v>
      </c>
      <c r="D115" s="28">
        <f>IF(SUMIF(Inputs!$B$90:$F$90,$D$5,Inputs!$B$93:$F$93)*4*Inputs!$B$94=0,"",D112/(SUMIF(Inputs!$B$90:$F$90,$D$5,Inputs!$B$93:$F$93)*4*Inputs!$B$94))</f>
        <v>0.51382482486492254</v>
      </c>
      <c r="E115" s="33">
        <f>IF($E$113=0,"",$E$112/($E$113*IF($B$5="Quarter",4,IF($B$5="Year",1,0.2))))</f>
        <v>1.4880049474986186</v>
      </c>
    </row>
    <row r="139" spans="1:4" x14ac:dyDescent="0.3">
      <c r="A139" s="24" t="s">
        <v>95</v>
      </c>
      <c r="B139" s="24"/>
      <c r="C139" s="24"/>
      <c r="D139" s="24"/>
    </row>
    <row r="140" spans="1:4" x14ac:dyDescent="0.3">
      <c r="A140" s="24" t="s">
        <v>51</v>
      </c>
      <c r="B140" s="24" t="s">
        <v>83</v>
      </c>
      <c r="C140" s="24" t="s">
        <v>60</v>
      </c>
      <c r="D140" s="24" t="s">
        <v>62</v>
      </c>
    </row>
    <row r="141" spans="1:4" x14ac:dyDescent="0.3">
      <c r="A141" s="24" t="str">
        <f>Analysis!E$4</f>
        <v>Q1-24</v>
      </c>
      <c r="B141" s="24">
        <f>Analysis!E$17</f>
        <v>6.1516769570680943</v>
      </c>
      <c r="C141" s="24">
        <f>Analysis!E$18</f>
        <v>3.7364864864864868</v>
      </c>
      <c r="D141" s="24">
        <f>Analysis!E$19</f>
        <v>13.904222963267506</v>
      </c>
    </row>
    <row r="142" spans="1:4" x14ac:dyDescent="0.3">
      <c r="A142" s="24" t="str">
        <f>Analysis!F$4</f>
        <v>Q2-24</v>
      </c>
      <c r="B142" s="24">
        <f>Analysis!F$17</f>
        <v>21.27827683425118</v>
      </c>
      <c r="C142" s="24">
        <f>Analysis!F$18</f>
        <v>3.4824324324324323</v>
      </c>
      <c r="D142" s="24">
        <f>Analysis!F$19</f>
        <v>13.484699075756589</v>
      </c>
    </row>
    <row r="143" spans="1:4" x14ac:dyDescent="0.3">
      <c r="A143" s="24" t="str">
        <f>Analysis!G$4</f>
        <v>Q3-24</v>
      </c>
      <c r="B143" s="24">
        <f>Analysis!G$17</f>
        <v>16.690900911226059</v>
      </c>
      <c r="C143" s="24">
        <f>Analysis!G$18</f>
        <v>5.9310810810810803</v>
      </c>
      <c r="D143" s="24">
        <f>Analysis!G$19</f>
        <v>16.051781042349106</v>
      </c>
    </row>
    <row r="144" spans="1:4" x14ac:dyDescent="0.3">
      <c r="A144" s="24" t="str">
        <f>Analysis!H$4</f>
        <v>Q4-24</v>
      </c>
      <c r="B144" s="24">
        <f>Analysis!H$17</f>
        <v>11.24385927030365</v>
      </c>
      <c r="C144" s="24">
        <f>Analysis!H$18</f>
        <v>8.0783783783783782</v>
      </c>
      <c r="D144" s="24">
        <f>Analysis!H$19</f>
        <v>14.157121595900842</v>
      </c>
    </row>
    <row r="145" spans="1:4" x14ac:dyDescent="0.3">
      <c r="A145" s="24" t="str">
        <f>Analysis!I$4</f>
        <v>Q1-25</v>
      </c>
      <c r="B145" s="24">
        <f>Analysis!I$17</f>
        <v>9.458206146035387</v>
      </c>
      <c r="C145" s="24">
        <f>Analysis!I$18</f>
        <v>7.2337837837837844</v>
      </c>
      <c r="D145" s="24">
        <f>Analysis!I$19</f>
        <v>7.501523850953717</v>
      </c>
    </row>
    <row r="146" spans="1:4" x14ac:dyDescent="0.3">
      <c r="A146" s="24" t="str">
        <f>Analysis!J$4</f>
        <v>Q2-25</v>
      </c>
      <c r="B146" s="24">
        <f>Analysis!J$17</f>
        <v>11.276314360655094</v>
      </c>
      <c r="C146" s="24">
        <f>Analysis!J$18</f>
        <v>5.96081081081081</v>
      </c>
      <c r="D146" s="24">
        <f>Analysis!J$19</f>
        <v>11.631745215559794</v>
      </c>
    </row>
    <row r="147" spans="1:4" x14ac:dyDescent="0.3">
      <c r="A147" s="24" t="str">
        <f>Analysis!K$4</f>
        <v>Q3-25</v>
      </c>
      <c r="B147" s="24">
        <f>Analysis!K$17</f>
        <v>15.336632175191898</v>
      </c>
      <c r="C147" s="24">
        <f>Analysis!K$18</f>
        <v>8.7851351351351354</v>
      </c>
      <c r="D147" s="24">
        <f>Analysis!K$19</f>
        <v>13.165997437935664</v>
      </c>
    </row>
    <row r="148" spans="1:4" x14ac:dyDescent="0.3">
      <c r="A148" s="24" t="str">
        <f>Analysis!L$4</f>
        <v>Q4-25</v>
      </c>
      <c r="B148" s="24">
        <f>Analysis!L$17</f>
        <v>9.5617296087891415</v>
      </c>
      <c r="C148" s="24">
        <f>Analysis!L$18</f>
        <v>8.1783783783783761</v>
      </c>
      <c r="D148" s="24">
        <f>Analysis!L$19</f>
        <v>5.7657842142747784</v>
      </c>
    </row>
    <row r="149" spans="1:4" x14ac:dyDescent="0.3">
      <c r="A149" s="24" t="str">
        <f>Analysis!M$4</f>
        <v>Q1-26</v>
      </c>
      <c r="B149" s="24">
        <f>Analysis!M$17</f>
        <v>12.801473484828895</v>
      </c>
      <c r="C149" s="24">
        <f>Analysis!M$18</f>
        <v>6.6445945945945946</v>
      </c>
      <c r="D149" s="24">
        <f>Analysis!M$19</f>
        <v>6.3798129639126016</v>
      </c>
    </row>
    <row r="150" spans="1:4" x14ac:dyDescent="0.3">
      <c r="A150" s="24" t="str">
        <f>Analysis!N$4</f>
        <v>Q2-26</v>
      </c>
      <c r="B150" s="24">
        <f>Analysis!N$17</f>
        <v>11.11548640370359</v>
      </c>
      <c r="C150" s="24">
        <f>Analysis!N$18</f>
        <v>7.7986486486486468</v>
      </c>
      <c r="D150" s="24">
        <f>Analysis!N$19</f>
        <v>5.5491441656978839</v>
      </c>
    </row>
    <row r="151" spans="1:4" x14ac:dyDescent="0.3">
      <c r="A151" s="24" t="str">
        <f>Analysis!O$4</f>
        <v>Q3-26</v>
      </c>
      <c r="B151" s="24">
        <f>Analysis!O$17</f>
        <v>12.858458867517017</v>
      </c>
      <c r="C151" s="24">
        <f>Analysis!O$18</f>
        <v>3.464864864864865</v>
      </c>
      <c r="D151" s="24">
        <f>Analysis!O$19</f>
        <v>2.2571801903557125</v>
      </c>
    </row>
    <row r="152" spans="1:4" x14ac:dyDescent="0.3">
      <c r="A152" s="24" t="str">
        <f>Analysis!P$4</f>
        <v>Q4-26</v>
      </c>
      <c r="B152" s="24">
        <f>Analysis!P$17</f>
        <v>8.05375261537983</v>
      </c>
      <c r="C152" s="24">
        <f>Analysis!P$18</f>
        <v>0</v>
      </c>
      <c r="D152" s="24">
        <f>Analysis!P$19</f>
        <v>0</v>
      </c>
    </row>
    <row r="153" spans="1:4" x14ac:dyDescent="0.3">
      <c r="A153" s="24" t="str">
        <f>Analysis!Q$4</f>
        <v>Q1-27</v>
      </c>
      <c r="B153" s="24">
        <f>Analysis!Q$17</f>
        <v>4.3984985990597751</v>
      </c>
      <c r="C153" s="24">
        <f>Analysis!Q$18</f>
        <v>0</v>
      </c>
      <c r="D153" s="24">
        <f>Analysis!Q$19</f>
        <v>0</v>
      </c>
    </row>
    <row r="154" spans="1:4" x14ac:dyDescent="0.3">
      <c r="A154" s="24" t="str">
        <f>Analysis!R$4</f>
        <v>Q2-27</v>
      </c>
      <c r="B154" s="24">
        <f>Analysis!R$17</f>
        <v>4.0482479986984519</v>
      </c>
      <c r="C154" s="24">
        <f>Analysis!R$18</f>
        <v>0</v>
      </c>
      <c r="D154" s="24">
        <f>Analysis!R$19</f>
        <v>0</v>
      </c>
    </row>
    <row r="155" spans="1:4" x14ac:dyDescent="0.3">
      <c r="A155" s="24" t="str">
        <f>Analysis!S$4</f>
        <v>Q3-27</v>
      </c>
      <c r="B155" s="24">
        <f>Analysis!S$17</f>
        <v>3.7790978768060266</v>
      </c>
      <c r="C155" s="24">
        <f>Analysis!S$18</f>
        <v>0</v>
      </c>
      <c r="D155" s="24">
        <f>Analysis!S$19</f>
        <v>0</v>
      </c>
    </row>
    <row r="156" spans="1:4" x14ac:dyDescent="0.3">
      <c r="A156" s="24" t="str">
        <f>Analysis!T$4</f>
        <v>Q4-27</v>
      </c>
      <c r="B156" s="24">
        <f>Analysis!T$17</f>
        <v>3.7790978768060266</v>
      </c>
      <c r="C156" s="24">
        <f>Analysis!T$18</f>
        <v>0</v>
      </c>
      <c r="D156" s="24">
        <f>Analysis!T$19</f>
        <v>0</v>
      </c>
    </row>
    <row r="157" spans="1:4" x14ac:dyDescent="0.3">
      <c r="A157" s="24" t="str">
        <f>Analysis!U$4</f>
        <v>Q1-28</v>
      </c>
      <c r="B157" s="24">
        <f>Analysis!U$17</f>
        <v>1.2448700410396716</v>
      </c>
      <c r="C157" s="24">
        <f>Analysis!U$18</f>
        <v>0</v>
      </c>
      <c r="D157" s="24">
        <f>Analysis!U$19</f>
        <v>0</v>
      </c>
    </row>
    <row r="158" spans="1:4" x14ac:dyDescent="0.3">
      <c r="A158" s="24" t="str">
        <f>Analysis!V$4</f>
        <v>Q2-28</v>
      </c>
      <c r="B158" s="24">
        <f>Analysis!V$17</f>
        <v>1.2448700410396716</v>
      </c>
      <c r="C158" s="24">
        <f>Analysis!V$18</f>
        <v>0</v>
      </c>
      <c r="D158" s="24">
        <f>Analysis!V$19</f>
        <v>0</v>
      </c>
    </row>
    <row r="159" spans="1:4" x14ac:dyDescent="0.3">
      <c r="A159" s="24" t="str">
        <f>Analysis!W$4</f>
        <v>Q3-28</v>
      </c>
      <c r="B159" s="24">
        <f>Analysis!W$17</f>
        <v>0.62927496580027364</v>
      </c>
      <c r="C159" s="24">
        <f>Analysis!W$18</f>
        <v>0</v>
      </c>
      <c r="D159" s="24">
        <f>Analysis!W$19</f>
        <v>0</v>
      </c>
    </row>
    <row r="160" spans="1:4" x14ac:dyDescent="0.3">
      <c r="A160" s="24" t="str">
        <f>Analysis!X$4</f>
        <v>Q4-28</v>
      </c>
      <c r="B160" s="24">
        <f>Analysis!X$17</f>
        <v>0.62927496580027364</v>
      </c>
      <c r="C160" s="24">
        <f>Analysis!X$18</f>
        <v>0</v>
      </c>
      <c r="D160" s="24">
        <f>Analysis!X$19</f>
        <v>0</v>
      </c>
    </row>
    <row r="161" spans="1:16" x14ac:dyDescent="0.3">
      <c r="A161" s="24"/>
      <c r="B161" s="24"/>
      <c r="C161" s="24"/>
      <c r="D161" s="24"/>
    </row>
    <row r="162" spans="1:16" x14ac:dyDescent="0.3">
      <c r="A162" s="24" t="s">
        <v>96</v>
      </c>
      <c r="B162" s="24"/>
      <c r="C162" s="24"/>
      <c r="D162" s="24"/>
    </row>
    <row r="163" spans="1:16" x14ac:dyDescent="0.3">
      <c r="A163" s="24" t="s">
        <v>50</v>
      </c>
      <c r="B163" s="24" t="s">
        <v>83</v>
      </c>
      <c r="C163" s="24" t="s">
        <v>60</v>
      </c>
      <c r="D163" s="24" t="s">
        <v>85</v>
      </c>
    </row>
    <row r="164" spans="1:16" x14ac:dyDescent="0.3">
      <c r="A164" s="146" t="str">
        <f>TEXT(Analysis!E$36,"0")</f>
        <v>2024</v>
      </c>
      <c r="B164" s="24">
        <f>Analysis!E$37</f>
        <v>55.364713972848982</v>
      </c>
      <c r="C164" s="24">
        <f>Analysis!E$38</f>
        <v>21.228378378378377</v>
      </c>
      <c r="D164" s="24">
        <f>Analysis!E$41</f>
        <v>28.200000000000003</v>
      </c>
    </row>
    <row r="165" spans="1:16" x14ac:dyDescent="0.3">
      <c r="A165" s="146" t="str">
        <f>TEXT(Analysis!F$36,"0")</f>
        <v>2025</v>
      </c>
      <c r="B165" s="24">
        <f>Analysis!F$37</f>
        <v>45.632882290671525</v>
      </c>
      <c r="C165" s="24">
        <f>Analysis!F$38</f>
        <v>30.158108108108106</v>
      </c>
      <c r="D165" s="24">
        <f>Analysis!F$41</f>
        <v>36</v>
      </c>
    </row>
    <row r="166" spans="1:16" x14ac:dyDescent="0.3">
      <c r="A166" s="146" t="str">
        <f>TEXT(Analysis!G$36,"0")</f>
        <v>2026</v>
      </c>
      <c r="B166" s="24">
        <f>Analysis!G$37</f>
        <v>44.829171371429332</v>
      </c>
      <c r="C166" s="24">
        <f>Analysis!G$38</f>
        <v>17.908108108108106</v>
      </c>
      <c r="D166" s="24">
        <f>Analysis!G$41</f>
        <v>36</v>
      </c>
    </row>
    <row r="167" spans="1:16" x14ac:dyDescent="0.3">
      <c r="A167" s="146" t="str">
        <f>TEXT(Analysis!H$36,"0")</f>
        <v>2027</v>
      </c>
      <c r="B167" s="24">
        <f>Analysis!H$37</f>
        <v>16.004942351370282</v>
      </c>
      <c r="C167" s="24">
        <f>Analysis!H$38</f>
        <v>0</v>
      </c>
      <c r="D167" s="24">
        <f>Analysis!H$41</f>
        <v>36</v>
      </c>
    </row>
    <row r="168" spans="1:16" x14ac:dyDescent="0.3">
      <c r="A168" s="146" t="str">
        <f>TEXT(Analysis!I$36,"0")</f>
        <v>2028</v>
      </c>
      <c r="B168" s="24">
        <f>Analysis!I$37</f>
        <v>3.7482900136798905</v>
      </c>
      <c r="C168" s="24">
        <f>Analysis!I$38</f>
        <v>0</v>
      </c>
      <c r="D168" s="24">
        <f>Analysis!I$41</f>
        <v>36</v>
      </c>
    </row>
    <row r="171" spans="1:16" x14ac:dyDescent="0.3">
      <c r="A171" s="98" t="s">
        <v>112</v>
      </c>
      <c r="B171" s="98"/>
      <c r="C171" s="98"/>
      <c r="D171" s="98"/>
      <c r="E171" s="98"/>
      <c r="F171" s="98"/>
      <c r="G171" s="98"/>
      <c r="H171" s="98"/>
      <c r="I171" s="98"/>
      <c r="J171" s="98"/>
      <c r="K171" s="98"/>
      <c r="L171" s="98"/>
      <c r="M171" s="98"/>
      <c r="N171" s="98"/>
      <c r="O171" s="98"/>
      <c r="P171" s="98"/>
    </row>
    <row r="172" spans="1:16" x14ac:dyDescent="0.3">
      <c r="A172" s="100" t="s">
        <v>35</v>
      </c>
      <c r="B172" s="100" t="s">
        <v>0</v>
      </c>
      <c r="C172" s="100" t="s">
        <v>37</v>
      </c>
      <c r="D172" s="100" t="s">
        <v>38</v>
      </c>
      <c r="E172" s="100" t="s">
        <v>20</v>
      </c>
      <c r="F172" s="100" t="s">
        <v>91</v>
      </c>
      <c r="G172" s="100" t="s">
        <v>113</v>
      </c>
      <c r="H172" s="100" t="s">
        <v>18</v>
      </c>
      <c r="I172" s="100" t="s">
        <v>17</v>
      </c>
      <c r="J172" s="100" t="s">
        <v>114</v>
      </c>
      <c r="K172" s="100" t="s">
        <v>110</v>
      </c>
      <c r="L172" s="100" t="s">
        <v>111</v>
      </c>
      <c r="M172" s="100" t="s">
        <v>115</v>
      </c>
      <c r="N172" s="100" t="s">
        <v>116</v>
      </c>
      <c r="O172" s="100" t="s">
        <v>258</v>
      </c>
      <c r="P172" s="100" t="s">
        <v>309</v>
      </c>
    </row>
    <row r="173" spans="1:16" x14ac:dyDescent="0.3">
      <c r="A173" s="98" t="str">
        <f>IF(Inputs!$A6="","",Inputs!$A6)</f>
        <v>N25178-0100D</v>
      </c>
      <c r="B173" s="98">
        <f>IF($A173="",0,Inputs!$C6)</f>
        <v>2.4</v>
      </c>
      <c r="C173" s="98">
        <f>IF($A173="","",Inputs!$D6)</f>
        <v>46204</v>
      </c>
      <c r="D173" s="98">
        <f>IF($A173="","",Inputs!$E6)</f>
        <v>46295</v>
      </c>
      <c r="E173" s="98" t="str">
        <f>IF($A173="","",Inputs!$F6)</f>
        <v>Active</v>
      </c>
      <c r="F173" s="98">
        <f>IF($A173="",0,Inputs!$G6)</f>
        <v>0.65</v>
      </c>
      <c r="G173" s="98">
        <f>IF($A173="",0,Inputs!$P6)</f>
        <v>0</v>
      </c>
      <c r="H173" s="98">
        <f>IF($A173="",0,Inputs!$Q6)</f>
        <v>2.4</v>
      </c>
      <c r="I173" s="98">
        <f>IF($A173="",0,Inputs!$R6)</f>
        <v>2.4</v>
      </c>
      <c r="J173" s="98">
        <f>IF($A173="",0,Inputs!$T6)</f>
        <v>0</v>
      </c>
      <c r="K173" s="98">
        <f>IF($A173="",0,IF($B$5="All Time",Phasing!$Y180,IF($B$5="Year",SUMIF(Phasing!$E$3:$X$3,$D$5,Phasing!$E180:$X180),SUMIF(Phasing!$E$4:$X$4,$B$6,Phasing!$E180:$X180))))</f>
        <v>2.4</v>
      </c>
      <c r="L173" s="98">
        <f>IF($A173="",0,IF($B$5="All Time",Phasing!$Y510,IF($B$5="Year",SUMIF(Phasing!$E$3:$X$3,$D$5,Phasing!$E510:$X510),SUMIF(Phasing!$E$4:$X$4,$B$6,Phasing!$E510:$X510))))</f>
        <v>0</v>
      </c>
      <c r="M173" s="98">
        <f>IF($A173="",0,IF(AND(Inputs!$D6&lt;=$F$6,Inputs!$E6&gt;=$D$6),1,0))</f>
        <v>1</v>
      </c>
      <c r="N173" s="98">
        <f>IF($M173=0,"",SUM($M$173:$M173))</f>
        <v>1</v>
      </c>
      <c r="O173" s="103">
        <f>IF($A173="",0,IF($B$5="All Time",Phasing!$Y595,IF($B$5="Year",SUMIF(Phasing!$E$3:$X$3,$D$5,Phasing!$E595:$X595),SUMIF(Phasing!$E$4:$X$4,$B$6,Phasing!$E595:$X595))))</f>
        <v>0</v>
      </c>
      <c r="P173" s="103" cm="1">
        <f t="array" aca="1" ref="P173" ca="1">IF($A173="",0,IF($B$5="All Time",SUMPRODUCT(Phasing!$D180:$X180,Analysis!$D$31:$X$31),IF($B$5="Year",SUMPRODUCT((Analysis!$E$3:$X$3=$D$5)*Phasing!$E180:$X180*Analysis!$E$31:$X$31),SUMPRODUCT((Analysis!$E$4:$X$4=$B$6)*Phasing!$E180:$X180*Analysis!$E$31:$X$31))))</f>
        <v>1.6434782608695653</v>
      </c>
    </row>
    <row r="174" spans="1:16" x14ac:dyDescent="0.3">
      <c r="A174" s="98" t="str">
        <f>IF(Inputs!$A7="","",Inputs!$A7)</f>
        <v>E26084-0100D</v>
      </c>
      <c r="B174" s="98">
        <f>IF($A174="",0,Inputs!$C7)</f>
        <v>3</v>
      </c>
      <c r="C174" s="98">
        <f>IF($A174="","",Inputs!$D7)</f>
        <v>45839</v>
      </c>
      <c r="D174" s="98">
        <f>IF($A174="","",Inputs!$E7)</f>
        <v>46295</v>
      </c>
      <c r="E174" s="98" t="str">
        <f>IF($A174="","",Inputs!$F7)</f>
        <v>Active</v>
      </c>
      <c r="F174" s="98">
        <f>IF($A174="",0,Inputs!$G7)</f>
        <v>0.16250000000000001</v>
      </c>
      <c r="G174" s="98">
        <f>IF($A174="",0,Inputs!$P7)</f>
        <v>0.22567567567567567</v>
      </c>
      <c r="H174" s="98">
        <f>IF($A174="",0,Inputs!$Q7)</f>
        <v>1.3887733887733886</v>
      </c>
      <c r="I174" s="98">
        <f>IF($A174="",0,Inputs!$R7)</f>
        <v>1.1630977130977129</v>
      </c>
      <c r="J174" s="98">
        <f>IF($A174="",0,Inputs!$T7)</f>
        <v>1.6112266112266114</v>
      </c>
      <c r="K174" s="98">
        <f>IF($A174="",0,IF($B$5="All Time",Phasing!$Y181,IF($B$5="Year",SUMIF(Phasing!$E$3:$X$3,$D$5,Phasing!$E181:$X181),SUMIF(Phasing!$E$4:$X$4,$B$6,Phasing!$E181:$X181))))</f>
        <v>1.7921225382932164</v>
      </c>
      <c r="L174" s="98">
        <f>IF($A174="",0,IF($B$5="All Time",Phasing!$Y511,IF($B$5="Year",SUMIF(Phasing!$E$3:$X$3,$D$5,Phasing!$E511:$X511),SUMIF(Phasing!$E$4:$X$4,$B$6,Phasing!$E511:$X511))))</f>
        <v>0.22567567567567567</v>
      </c>
      <c r="M174" s="98">
        <f>IF($A174="",0,IF(AND(Inputs!$D7&lt;=$F$6,Inputs!$E7&gt;=$D$6),1,0))</f>
        <v>1</v>
      </c>
      <c r="N174" s="98">
        <f>IF($M174=0,"",SUM($M$173:$M174))</f>
        <v>2</v>
      </c>
      <c r="O174" s="103">
        <f>IF($A174="",0,IF($B$5="All Time",Phasing!$Y596,IF($B$5="Year",SUMIF(Phasing!$E$3:$X$3,$D$5,Phasing!$E596:$X596),SUMIF(Phasing!$E$4:$X$4,$B$6,Phasing!$E596:$X596))))</f>
        <v>0.48750000000000004</v>
      </c>
      <c r="P174" s="103" cm="1">
        <f t="array" aca="1" ref="P174" ca="1">IF($A174="",0,IF($B$5="All Time",SUMPRODUCT(Phasing!$D181:$X181,Analysis!$D$31:$X$31),IF($B$5="Year",SUMPRODUCT((Analysis!$E$3:$X$3=$D$5)*Phasing!$E181:$X181*Analysis!$E$31:$X$31),SUMPRODUCT((Analysis!$E$4:$X$4=$B$6)*Phasing!$E181:$X181*Analysis!$E$31:$X$31))))</f>
        <v>1.6017505470459517</v>
      </c>
    </row>
    <row r="175" spans="1:16" x14ac:dyDescent="0.3">
      <c r="A175" s="98" t="str">
        <f>IF(Inputs!$A8="","",Inputs!$A8)</f>
        <v>N25185-0100D</v>
      </c>
      <c r="B175" s="98">
        <f>IF($A175="",0,Inputs!$C8)</f>
        <v>26</v>
      </c>
      <c r="C175" s="98">
        <f>IF($A175="","",Inputs!$D8)</f>
        <v>45931</v>
      </c>
      <c r="D175" s="98">
        <f>IF($A175="","",Inputs!$E8)</f>
        <v>46387</v>
      </c>
      <c r="E175" s="98" t="str">
        <f>IF($A175="","",Inputs!$F8)</f>
        <v>Active</v>
      </c>
      <c r="F175" s="98">
        <f>IF($A175="",0,Inputs!$G8)</f>
        <v>0.316</v>
      </c>
      <c r="G175" s="98">
        <f>IF($A175="",0,Inputs!$P8)</f>
        <v>18.516216216216218</v>
      </c>
      <c r="H175" s="98">
        <f>IF($A175="",0,Inputs!$Q8)</f>
        <v>58.595620937393093</v>
      </c>
      <c r="I175" s="98">
        <f>IF($A175="",0,Inputs!$R8)</f>
        <v>40.079404721176871</v>
      </c>
      <c r="J175" s="98">
        <f>IF($A175="",0,Inputs!$T8)</f>
        <v>-32.595620937393093</v>
      </c>
      <c r="K175" s="98">
        <f>IF($A175="",0,IF($B$5="All Time",Phasing!$Y182,IF($B$5="Year",SUMIF(Phasing!$E$3:$X$3,$D$5,Phasing!$E182:$X182),SUMIF(Phasing!$E$4:$X$4,$B$6,Phasing!$E182:$X182))))</f>
        <v>20.765864332603936</v>
      </c>
      <c r="L175" s="98">
        <f>IF($A175="",0,IF($B$5="All Time",Phasing!$Y512,IF($B$5="Year",SUMIF(Phasing!$E$3:$X$3,$D$5,Phasing!$E512:$X512),SUMIF(Phasing!$E$4:$X$4,$B$6,Phasing!$E512:$X512))))</f>
        <v>13.517567567567566</v>
      </c>
      <c r="M175" s="98">
        <f>IF($A175="",0,IF(AND(Inputs!$D8&lt;=$F$6,Inputs!$E8&gt;=$D$6),1,0))</f>
        <v>1</v>
      </c>
      <c r="N175" s="98">
        <f>IF($M175=0,"",SUM($M$173:$M175))</f>
        <v>3</v>
      </c>
      <c r="O175" s="103">
        <f>IF($A175="",0,IF($B$5="All Time",Phasing!$Y597,IF($B$5="Year",SUMIF(Phasing!$E$3:$X$3,$D$5,Phasing!$E597:$X597),SUMIF(Phasing!$E$4:$X$4,$B$6,Phasing!$E597:$X597))))</f>
        <v>5.9980037950664133</v>
      </c>
      <c r="P175" s="103" cm="1">
        <f t="array" aca="1" ref="P175" ca="1">IF($A175="",0,IF($B$5="All Time",SUMPRODUCT(Phasing!$D182:$X182,Analysis!$D$31:$X$31),IF($B$5="Year",SUMPRODUCT((Analysis!$E$3:$X$3=$D$5)*Phasing!$E182:$X182*Analysis!$E$31:$X$31),SUMPRODUCT((Analysis!$E$4:$X$4=$B$6)*Phasing!$E182:$X182*Analysis!$E$31:$X$31))))</f>
        <v>13.881838074398249</v>
      </c>
    </row>
    <row r="176" spans="1:16" x14ac:dyDescent="0.3">
      <c r="A176" s="98" t="str">
        <f>IF(Inputs!$A9="","",Inputs!$A9)</f>
        <v>AN22137-0100D</v>
      </c>
      <c r="B176" s="98">
        <f>IF($A176="",0,Inputs!$C9)</f>
        <v>5</v>
      </c>
      <c r="C176" s="98">
        <f>IF($A176="","",Inputs!$D9)</f>
        <v>46388</v>
      </c>
      <c r="D176" s="98">
        <f>IF($A176="","",Inputs!$E9)</f>
        <v>47118</v>
      </c>
      <c r="E176" s="98" t="str">
        <f>IF($A176="","",Inputs!$F9)</f>
        <v>Not Started</v>
      </c>
      <c r="F176" s="98">
        <f>IF($A176="",0,Inputs!$G9)</f>
        <v>0</v>
      </c>
      <c r="G176" s="98">
        <f>IF($A176="",0,Inputs!$P9)</f>
        <v>1.4013513513513514</v>
      </c>
      <c r="H176" s="98">
        <f>IF($A176="",0,Inputs!$Q9)</f>
        <v>5</v>
      </c>
      <c r="I176" s="98">
        <f>IF($A176="",0,Inputs!$R9)</f>
        <v>3.5986486486486484</v>
      </c>
      <c r="J176" s="98">
        <f>IF($A176="",0,Inputs!$T9)</f>
        <v>0</v>
      </c>
      <c r="K176" s="98">
        <f>IF($A176="",0,IF($B$5="All Time",Phasing!$Y183,IF($B$5="Year",SUMIF(Phasing!$E$3:$X$3,$D$5,Phasing!$E183:$X183),SUMIF(Phasing!$E$4:$X$4,$B$6,Phasing!$E183:$X183))))</f>
        <v>0</v>
      </c>
      <c r="L176" s="98">
        <f>IF($A176="",0,IF($B$5="All Time",Phasing!$Y513,IF($B$5="Year",SUMIF(Phasing!$E$3:$X$3,$D$5,Phasing!$E513:$X513),SUMIF(Phasing!$E$4:$X$4,$B$6,Phasing!$E513:$X513))))</f>
        <v>0</v>
      </c>
      <c r="M176" s="98">
        <f>IF($A176="",0,IF(AND(Inputs!$D9&lt;=$F$6,Inputs!$E9&gt;=$D$6),1,0))</f>
        <v>0</v>
      </c>
      <c r="N176" s="98" t="str">
        <f>IF($M176=0,"",SUM($M$173:$M176))</f>
        <v/>
      </c>
      <c r="O176" s="103">
        <f>IF($A176="",0,IF($B$5="All Time",Phasing!$Y598,IF($B$5="Year",SUMIF(Phasing!$E$3:$X$3,$D$5,Phasing!$E598:$X598),SUMIF(Phasing!$E$4:$X$4,$B$6,Phasing!$E598:$X598))))</f>
        <v>0</v>
      </c>
      <c r="P176" s="103" cm="1">
        <f t="array" aca="1" ref="P176" ca="1">IF($A176="",0,IF($B$5="All Time",SUMPRODUCT(Phasing!$D183:$X183,Analysis!$D$31:$X$31),IF($B$5="Year",SUMPRODUCT((Analysis!$E$3:$X$3=$D$5)*Phasing!$E183:$X183*Analysis!$E$31:$X$31),SUMPRODUCT((Analysis!$E$4:$X$4=$B$6)*Phasing!$E183:$X183*Analysis!$E$31:$X$31))))</f>
        <v>0</v>
      </c>
    </row>
    <row r="177" spans="1:16" x14ac:dyDescent="0.3">
      <c r="A177" s="98" t="str">
        <f>IF(Inputs!$A10="","",Inputs!$A10)</f>
        <v>D26058-0100D</v>
      </c>
      <c r="B177" s="98">
        <f>IF($A177="",0,Inputs!$C10)</f>
        <v>5</v>
      </c>
      <c r="C177" s="98">
        <f>IF($A177="","",Inputs!$D10)</f>
        <v>46204</v>
      </c>
      <c r="D177" s="98">
        <f>IF($A177="","",Inputs!$E10)</f>
        <v>46934</v>
      </c>
      <c r="E177" s="98" t="str">
        <f>IF($A177="","",Inputs!$F10)</f>
        <v>Not Started</v>
      </c>
      <c r="F177" s="98">
        <f>IF($A177="",0,Inputs!$G10)</f>
        <v>0</v>
      </c>
      <c r="G177" s="98">
        <f>IF($A177="",0,Inputs!$P10)</f>
        <v>0</v>
      </c>
      <c r="H177" s="98">
        <f>IF($A177="",0,Inputs!$Q10)</f>
        <v>5</v>
      </c>
      <c r="I177" s="98">
        <f>IF($A177="",0,Inputs!$R10)</f>
        <v>5</v>
      </c>
      <c r="J177" s="98">
        <f>IF($A177="",0,Inputs!$T10)</f>
        <v>0</v>
      </c>
      <c r="K177" s="98">
        <f>IF($A177="",0,IF($B$5="All Time",Phasing!$Y184,IF($B$5="Year",SUMIF(Phasing!$E$3:$X$3,$D$5,Phasing!$E184:$X184),SUMIF(Phasing!$E$4:$X$4,$B$6,Phasing!$E184:$X184))))</f>
        <v>1.2585499316005473</v>
      </c>
      <c r="L177" s="98">
        <f>IF($A177="",0,IF($B$5="All Time",Phasing!$Y514,IF($B$5="Year",SUMIF(Phasing!$E$3:$X$3,$D$5,Phasing!$E514:$X514),SUMIF(Phasing!$E$4:$X$4,$B$6,Phasing!$E514:$X514))))</f>
        <v>0</v>
      </c>
      <c r="M177" s="98">
        <f>IF($A177="",0,IF(AND(Inputs!$D10&lt;=$F$6,Inputs!$E10&gt;=$D$6),1,0))</f>
        <v>1</v>
      </c>
      <c r="N177" s="98">
        <f>IF($M177=0,"",SUM($M$173:$M177))</f>
        <v>4</v>
      </c>
      <c r="O177" s="103">
        <f>IF($A177="",0,IF($B$5="All Time",Phasing!$Y599,IF($B$5="Year",SUMIF(Phasing!$E$3:$X$3,$D$5,Phasing!$E599:$X599),SUMIF(Phasing!$E$4:$X$4,$B$6,Phasing!$E599:$X599))))</f>
        <v>0</v>
      </c>
      <c r="P177" s="103" cm="1">
        <f t="array" aca="1" ref="P177" ca="1">IF($A177="",0,IF($B$5="All Time",SUMPRODUCT(Phasing!$D184:$X184,Analysis!$D$31:$X$31),IF($B$5="Year",SUMPRODUCT((Analysis!$E$3:$X$3=$D$5)*Phasing!$E184:$X184*Analysis!$E$31:$X$31),SUMPRODUCT((Analysis!$E$4:$X$4=$B$6)*Phasing!$E184:$X184*Analysis!$E$31:$X$31))))</f>
        <v>0.43091655266757872</v>
      </c>
    </row>
    <row r="178" spans="1:16" x14ac:dyDescent="0.3">
      <c r="A178" s="98" t="str">
        <f>IF(Inputs!$A11="","",Inputs!$A11)</f>
        <v xml:space="preserve">AD24217-0100D </v>
      </c>
      <c r="B178" s="98">
        <f>IF($A178="",0,Inputs!$C11)</f>
        <v>3</v>
      </c>
      <c r="C178" s="98">
        <f>IF($A178="","",Inputs!$D11)</f>
        <v>45809</v>
      </c>
      <c r="D178" s="98">
        <f>IF($A178="","",Inputs!$E11)</f>
        <v>45870</v>
      </c>
      <c r="E178" s="98" t="str">
        <f>IF($A178="","",Inputs!$F11)</f>
        <v>Finalized</v>
      </c>
      <c r="F178" s="98">
        <f>IF($A178="",0,Inputs!$G11)</f>
        <v>1</v>
      </c>
      <c r="G178" s="98">
        <f>IF($A178="",0,Inputs!$P11)</f>
        <v>2.5999999999999996</v>
      </c>
      <c r="H178" s="98">
        <f>IF($A178="",0,Inputs!$Q11)</f>
        <v>2.5999999999999996</v>
      </c>
      <c r="I178" s="98">
        <f>IF($A178="",0,Inputs!$R11)</f>
        <v>0</v>
      </c>
      <c r="J178" s="98">
        <f>IF($A178="",0,Inputs!$T11)</f>
        <v>0.40000000000000036</v>
      </c>
      <c r="K178" s="98">
        <f>IF($A178="",0,IF($B$5="All Time",Phasing!$Y185,IF($B$5="Year",SUMIF(Phasing!$E$3:$X$3,$D$5,Phasing!$E185:$X185),SUMIF(Phasing!$E$4:$X$4,$B$6,Phasing!$E185:$X185))))</f>
        <v>0</v>
      </c>
      <c r="L178" s="98">
        <f>IF($A178="",0,IF($B$5="All Time",Phasing!$Y515,IF($B$5="Year",SUMIF(Phasing!$E$3:$X$3,$D$5,Phasing!$E515:$X515),SUMIF(Phasing!$E$4:$X$4,$B$6,Phasing!$E515:$X515))))</f>
        <v>0</v>
      </c>
      <c r="M178" s="98">
        <f>IF($A178="",0,IF(AND(Inputs!$D11&lt;=$F$6,Inputs!$E11&gt;=$D$6),1,0))</f>
        <v>0</v>
      </c>
      <c r="N178" s="98" t="str">
        <f>IF($M178=0,"",SUM($M$173:$M178))</f>
        <v/>
      </c>
      <c r="O178" s="103">
        <f>IF($A178="",0,IF($B$5="All Time",Phasing!$Y600,IF($B$5="Year",SUMIF(Phasing!$E$3:$X$3,$D$5,Phasing!$E600:$X600),SUMIF(Phasing!$E$4:$X$4,$B$6,Phasing!$E600:$X600))))</f>
        <v>0</v>
      </c>
      <c r="P178" s="103" cm="1">
        <f t="array" aca="1" ref="P178" ca="1">IF($A178="",0,IF($B$5="All Time",SUMPRODUCT(Phasing!$D185:$X185,Analysis!$D$31:$X$31),IF($B$5="Year",SUMPRODUCT((Analysis!$E$3:$X$3=$D$5)*Phasing!$E185:$X185*Analysis!$E$31:$X$31),SUMPRODUCT((Analysis!$E$4:$X$4=$B$6)*Phasing!$E185:$X185*Analysis!$E$31:$X$31))))</f>
        <v>0</v>
      </c>
    </row>
    <row r="179" spans="1:16" x14ac:dyDescent="0.3">
      <c r="A179" s="98" t="str">
        <f>IF(Inputs!$A12="","",Inputs!$A12)</f>
        <v>AN23207-0500D</v>
      </c>
      <c r="B179" s="98">
        <f>IF($A179="",0,Inputs!$C12)</f>
        <v>1.1499999999999999</v>
      </c>
      <c r="C179" s="98">
        <f>IF($A179="","",Inputs!$D12)</f>
        <v>46023</v>
      </c>
      <c r="D179" s="98">
        <f>IF($A179="","",Inputs!$E12)</f>
        <v>46112</v>
      </c>
      <c r="E179" s="98" t="str">
        <f>IF($A179="","",Inputs!$F12)</f>
        <v>On Hold</v>
      </c>
      <c r="F179" s="98">
        <f>IF($A179="",0,Inputs!$G12)</f>
        <v>0.65</v>
      </c>
      <c r="G179" s="98">
        <f>IF($A179="",0,Inputs!$P12)</f>
        <v>0</v>
      </c>
      <c r="H179" s="98">
        <f>IF($A179="",0,Inputs!$Q12)</f>
        <v>1.1499999999999999</v>
      </c>
      <c r="I179" s="98">
        <f>IF($A179="",0,Inputs!$R12)</f>
        <v>1.1499999999999999</v>
      </c>
      <c r="J179" s="98">
        <f>IF($A179="",0,Inputs!$T12)</f>
        <v>0</v>
      </c>
      <c r="K179" s="98">
        <f>IF($A179="",0,IF($B$5="All Time",Phasing!$Y186,IF($B$5="Year",SUMIF(Phasing!$E$3:$X$3,$D$5,Phasing!$E186:$X186),SUMIF(Phasing!$E$4:$X$4,$B$6,Phasing!$E186:$X186))))</f>
        <v>1.1499999999999999</v>
      </c>
      <c r="L179" s="98">
        <f>IF($A179="",0,IF($B$5="All Time",Phasing!$Y516,IF($B$5="Year",SUMIF(Phasing!$E$3:$X$3,$D$5,Phasing!$E516:$X516),SUMIF(Phasing!$E$4:$X$4,$B$6,Phasing!$E516:$X516))))</f>
        <v>0</v>
      </c>
      <c r="M179" s="98">
        <f>IF($A179="",0,IF(AND(Inputs!$D12&lt;=$F$6,Inputs!$E12&gt;=$D$6),1,0))</f>
        <v>1</v>
      </c>
      <c r="N179" s="98">
        <f>IF($M179=0,"",SUM($M$173:$M179))</f>
        <v>5</v>
      </c>
      <c r="O179" s="103">
        <f>IF($A179="",0,IF($B$5="All Time",Phasing!$Y601,IF($B$5="Year",SUMIF(Phasing!$E$3:$X$3,$D$5,Phasing!$E601:$X601),SUMIF(Phasing!$E$4:$X$4,$B$6,Phasing!$E601:$X601))))</f>
        <v>0</v>
      </c>
      <c r="P179" s="103" cm="1">
        <f t="array" aca="1" ref="P179" ca="1">IF($A179="",0,IF($B$5="All Time",SUMPRODUCT(Phasing!$D186:$X186,Analysis!$D$31:$X$31),IF($B$5="Year",SUMPRODUCT((Analysis!$E$3:$X$3=$D$5)*Phasing!$E186:$X186*Analysis!$E$31:$X$31),SUMPRODUCT((Analysis!$E$4:$X$4=$B$6)*Phasing!$E186:$X186*Analysis!$E$31:$X$31))))</f>
        <v>1.1499999999999999</v>
      </c>
    </row>
    <row r="180" spans="1:16" x14ac:dyDescent="0.3">
      <c r="A180" s="98" t="str">
        <f>IF(Inputs!$A13="","",Inputs!$A13)</f>
        <v>AN23276-0100D</v>
      </c>
      <c r="B180" s="98">
        <f>IF($A180="",0,Inputs!$C13)</f>
        <v>5</v>
      </c>
      <c r="C180" s="98">
        <f>IF($A180="","",Inputs!$D13)</f>
        <v>45474</v>
      </c>
      <c r="D180" s="98">
        <f>IF($A180="","",Inputs!$E13)</f>
        <v>46295</v>
      </c>
      <c r="E180" s="98" t="str">
        <f>IF($A180="","",Inputs!$F13)</f>
        <v>On Hold</v>
      </c>
      <c r="F180" s="98">
        <f>IF($A180="",0,Inputs!$G13)</f>
        <v>0.9</v>
      </c>
      <c r="G180" s="98">
        <f>IF($A180="",0,Inputs!$P13)</f>
        <v>0.88918918918918921</v>
      </c>
      <c r="H180" s="98">
        <f>IF($A180="",0,Inputs!$Q13)</f>
        <v>0.98798798798798804</v>
      </c>
      <c r="I180" s="98">
        <f>IF($A180="",0,Inputs!$R13)</f>
        <v>9.8798798798798826E-2</v>
      </c>
      <c r="J180" s="98">
        <f>IF($A180="",0,Inputs!$T13)</f>
        <v>4.0120120120120122</v>
      </c>
      <c r="K180" s="98">
        <f>IF($A180="",0,IF($B$5="All Time",Phasing!$Y187,IF($B$5="Year",SUMIF(Phasing!$E$3:$X$3,$D$5,Phasing!$E187:$X187),SUMIF(Phasing!$E$4:$X$4,$B$6,Phasing!$E187:$X187))))</f>
        <v>1.6605839416058394</v>
      </c>
      <c r="L180" s="98">
        <f>IF($A180="",0,IF($B$5="All Time",Phasing!$Y517,IF($B$5="Year",SUMIF(Phasing!$E$3:$X$3,$D$5,Phasing!$E517:$X517),SUMIF(Phasing!$E$4:$X$4,$B$6,Phasing!$E517:$X517))))</f>
        <v>0</v>
      </c>
      <c r="M180" s="98">
        <f>IF($A180="",0,IF(AND(Inputs!$D13&lt;=$F$6,Inputs!$E13&gt;=$D$6),1,0))</f>
        <v>1</v>
      </c>
      <c r="N180" s="98">
        <f>IF($M180=0,"",SUM($M$173:$M180))</f>
        <v>6</v>
      </c>
      <c r="O180" s="103">
        <f>IF($A180="",0,IF($B$5="All Time",Phasing!$Y602,IF($B$5="Year",SUMIF(Phasing!$E$3:$X$3,$D$5,Phasing!$E602:$X602),SUMIF(Phasing!$E$4:$X$4,$B$6,Phasing!$E602:$X602))))</f>
        <v>0</v>
      </c>
      <c r="P180" s="103" cm="1">
        <f t="array" aca="1" ref="P180" ca="1">IF($A180="",0,IF($B$5="All Time",SUMPRODUCT(Phasing!$D187:$X187,Analysis!$D$31:$X$31),IF($B$5="Year",SUMPRODUCT((Analysis!$E$3:$X$3=$D$5)*Phasing!$E187:$X187*Analysis!$E$31:$X$31),SUMPRODUCT((Analysis!$E$4:$X$4=$B$6)*Phasing!$E187:$X187*Analysis!$E$31:$X$31))))</f>
        <v>1.4841849148418493</v>
      </c>
    </row>
    <row r="181" spans="1:16" x14ac:dyDescent="0.3">
      <c r="A181" s="98" t="str">
        <f>IF(Inputs!$A14="","",Inputs!$A14)</f>
        <v>AN24073-0100D</v>
      </c>
      <c r="B181" s="98">
        <f>IF($A181="",0,Inputs!$C14)</f>
        <v>1.25</v>
      </c>
      <c r="C181" s="98">
        <f>IF($A181="","",Inputs!$D14)</f>
        <v>45839</v>
      </c>
      <c r="D181" s="98">
        <f>IF($A181="","",Inputs!$E14)</f>
        <v>46295</v>
      </c>
      <c r="E181" s="98" t="str">
        <f>IF($A181="","",Inputs!$F14)</f>
        <v>On Hold</v>
      </c>
      <c r="F181" s="98">
        <f>IF($A181="",0,Inputs!$G14)</f>
        <v>0.9</v>
      </c>
      <c r="G181" s="98">
        <f>IF($A181="",0,Inputs!$P14)</f>
        <v>0.92432432432432432</v>
      </c>
      <c r="H181" s="98">
        <f>IF($A181="",0,Inputs!$Q14)</f>
        <v>1.027027027027027</v>
      </c>
      <c r="I181" s="98">
        <f>IF($A181="",0,Inputs!$R14)</f>
        <v>0.10270270270270265</v>
      </c>
      <c r="J181" s="98">
        <f>IF($A181="",0,Inputs!$T14)</f>
        <v>0.22297297297297303</v>
      </c>
      <c r="K181" s="98">
        <f>IF($A181="",0,IF($B$5="All Time",Phasing!$Y188,IF($B$5="Year",SUMIF(Phasing!$E$3:$X$3,$D$5,Phasing!$E188:$X188),SUMIF(Phasing!$E$4:$X$4,$B$6,Phasing!$E188:$X188))))</f>
        <v>0.7467177242888402</v>
      </c>
      <c r="L181" s="98">
        <f>IF($A181="",0,IF($B$5="All Time",Phasing!$Y518,IF($B$5="Year",SUMIF(Phasing!$E$3:$X$3,$D$5,Phasing!$E518:$X518),SUMIF(Phasing!$E$4:$X$4,$B$6,Phasing!$E518:$X518))))</f>
        <v>0</v>
      </c>
      <c r="M181" s="98">
        <f>IF($A181="",0,IF(AND(Inputs!$D14&lt;=$F$6,Inputs!$E14&gt;=$D$6),1,0))</f>
        <v>1</v>
      </c>
      <c r="N181" s="98">
        <f>IF($M181=0,"",SUM($M$173:$M181))</f>
        <v>7</v>
      </c>
      <c r="O181" s="103">
        <f>IF($A181="",0,IF($B$5="All Time",Phasing!$Y603,IF($B$5="Year",SUMIF(Phasing!$E$3:$X$3,$D$5,Phasing!$E603:$X603),SUMIF(Phasing!$E$4:$X$4,$B$6,Phasing!$E603:$X603))))</f>
        <v>0</v>
      </c>
      <c r="P181" s="103" cm="1">
        <f t="array" aca="1" ref="P181" ca="1">IF($A181="",0,IF($B$5="All Time",SUMPRODUCT(Phasing!$D188:$X188,Analysis!$D$31:$X$31),IF($B$5="Year",SUMPRODUCT((Analysis!$E$3:$X$3=$D$5)*Phasing!$E188:$X188*Analysis!$E$31:$X$31),SUMPRODUCT((Analysis!$E$4:$X$4=$B$6)*Phasing!$E188:$X188*Analysis!$E$31:$X$31))))</f>
        <v>0.66739606126914652</v>
      </c>
    </row>
    <row r="182" spans="1:16" x14ac:dyDescent="0.3">
      <c r="A182" s="98" t="str">
        <f>IF(Inputs!$A15="","",Inputs!$A15)</f>
        <v>AN24140-0100R</v>
      </c>
      <c r="B182" s="98">
        <f>IF($A182="",0,Inputs!$C15)</f>
        <v>1.5</v>
      </c>
      <c r="C182" s="98">
        <f>IF($A182="","",Inputs!$D15)</f>
        <v>45717</v>
      </c>
      <c r="D182" s="98">
        <f>IF($A182="","",Inputs!$E15)</f>
        <v>46295</v>
      </c>
      <c r="E182" s="98" t="str">
        <f>IF($A182="","",Inputs!$F15)</f>
        <v>Active</v>
      </c>
      <c r="F182" s="98">
        <f>IF($A182="",0,Inputs!$G15)</f>
        <v>0.1</v>
      </c>
      <c r="G182" s="98">
        <f>IF($A182="",0,Inputs!$P15)</f>
        <v>0.50270270270270279</v>
      </c>
      <c r="H182" s="98">
        <f>IF($A182="",0,Inputs!$Q15)</f>
        <v>5.0270270270270272</v>
      </c>
      <c r="I182" s="98">
        <f>IF($A182="",0,Inputs!$R15)</f>
        <v>4.5243243243243247</v>
      </c>
      <c r="J182" s="98">
        <f>IF($A182="",0,Inputs!$T15)</f>
        <v>-3.5270270270270272</v>
      </c>
      <c r="K182" s="98">
        <f>IF($A182="",0,IF($B$5="All Time",Phasing!$Y189,IF($B$5="Year",SUMIF(Phasing!$E$3:$X$3,$D$5,Phasing!$E189:$X189),SUMIF(Phasing!$E$4:$X$4,$B$6,Phasing!$E189:$X189))))</f>
        <v>0.70725388601036265</v>
      </c>
      <c r="L182" s="98">
        <f>IF($A182="",0,IF($B$5="All Time",Phasing!$Y519,IF($B$5="Year",SUMIF(Phasing!$E$3:$X$3,$D$5,Phasing!$E519:$X519),SUMIF(Phasing!$E$4:$X$4,$B$6,Phasing!$E519:$X519))))</f>
        <v>2.1621621621621623E-2</v>
      </c>
      <c r="M182" s="98">
        <f>IF($A182="",0,IF(AND(Inputs!$D15&lt;=$F$6,Inputs!$E15&gt;=$D$6),1,0))</f>
        <v>1</v>
      </c>
      <c r="N182" s="98">
        <f>IF($M182=0,"",SUM($M$173:$M182))</f>
        <v>8</v>
      </c>
      <c r="O182" s="103">
        <f>IF($A182="",0,IF($B$5="All Time",Phasing!$Y604,IF($B$5="Year",SUMIF(Phasing!$E$3:$X$3,$D$5,Phasing!$E604:$X604),SUMIF(Phasing!$E$4:$X$4,$B$6,Phasing!$E604:$X604))))</f>
        <v>6.4516129032258082E-3</v>
      </c>
      <c r="P182" s="103" cm="1">
        <f t="array" aca="1" ref="P182" ca="1">IF($A182="",0,IF($B$5="All Time",SUMPRODUCT(Phasing!$D189:$X189,Analysis!$D$31:$X$31),IF($B$5="Year",SUMPRODUCT((Analysis!$E$3:$X$3=$D$5)*Phasing!$E189:$X189*Analysis!$E$31:$X$31),SUMPRODUCT((Analysis!$E$4:$X$4=$B$6)*Phasing!$E189:$X189*Analysis!$E$31:$X$31))))</f>
        <v>0.63212435233160624</v>
      </c>
    </row>
    <row r="183" spans="1:16" x14ac:dyDescent="0.3">
      <c r="A183" s="98" t="str">
        <f>IF(Inputs!$A16="","",Inputs!$A16)</f>
        <v>CS24035-0100D</v>
      </c>
      <c r="B183" s="98">
        <f>IF($A183="",0,Inputs!$C16)</f>
        <v>4</v>
      </c>
      <c r="C183" s="98">
        <f>IF($A183="","",Inputs!$D16)</f>
        <v>45931</v>
      </c>
      <c r="D183" s="98">
        <f>IF($A183="","",Inputs!$E16)</f>
        <v>46387</v>
      </c>
      <c r="E183" s="98" t="str">
        <f>IF($A183="","",Inputs!$F16)</f>
        <v>On Hold</v>
      </c>
      <c r="F183" s="98">
        <f>IF($A183="",0,Inputs!$G16)</f>
        <v>0.85</v>
      </c>
      <c r="G183" s="98">
        <f>IF($A183="",0,Inputs!$P16)</f>
        <v>3.1324324324324322</v>
      </c>
      <c r="H183" s="98">
        <f>IF($A183="",0,Inputs!$Q16)</f>
        <v>3.685214626391097</v>
      </c>
      <c r="I183" s="98">
        <f>IF($A183="",0,Inputs!$R16)</f>
        <v>0.55278219395866479</v>
      </c>
      <c r="J183" s="98">
        <f>IF($A183="",0,Inputs!$T16)</f>
        <v>0.31478537360890302</v>
      </c>
      <c r="K183" s="98">
        <f>IF($A183="",0,IF($B$5="All Time",Phasing!$Y190,IF($B$5="Year",SUMIF(Phasing!$E$3:$X$3,$D$5,Phasing!$E190:$X190),SUMIF(Phasing!$E$4:$X$4,$B$6,Phasing!$E190:$X190))))</f>
        <v>3.194748358862145</v>
      </c>
      <c r="L183" s="98">
        <f>IF($A183="",0,IF($B$5="All Time",Phasing!$Y520,IF($B$5="Year",SUMIF(Phasing!$E$3:$X$3,$D$5,Phasing!$E520:$X520),SUMIF(Phasing!$E$4:$X$4,$B$6,Phasing!$E520:$X520))))</f>
        <v>0.57027027027027022</v>
      </c>
      <c r="M183" s="98">
        <f>IF($A183="",0,IF(AND(Inputs!$D16&lt;=$F$6,Inputs!$E16&gt;=$D$6),1,0))</f>
        <v>1</v>
      </c>
      <c r="N183" s="98">
        <f>IF($M183=0,"",SUM($M$173:$M183))</f>
        <v>9</v>
      </c>
      <c r="O183" s="103">
        <f>IF($A183="",0,IF($B$5="All Time",Phasing!$Y605,IF($B$5="Year",SUMIF(Phasing!$E$3:$X$3,$D$5,Phasing!$E605:$X605),SUMIF(Phasing!$E$4:$X$4,$B$6,Phasing!$E605:$X605))))</f>
        <v>0.6189818809318377</v>
      </c>
      <c r="P183" s="103" cm="1">
        <f t="array" aca="1" ref="P183" ca="1">IF($A183="",0,IF($B$5="All Time",SUMPRODUCT(Phasing!$D190:$X190,Analysis!$D$31:$X$31),IF($B$5="Year",SUMPRODUCT((Analysis!$E$3:$X$3=$D$5)*Phasing!$E190:$X190*Analysis!$E$31:$X$31),SUMPRODUCT((Analysis!$E$4:$X$4=$B$6)*Phasing!$E190:$X190*Analysis!$E$31:$X$31))))</f>
        <v>2.1356673960612693</v>
      </c>
    </row>
    <row r="184" spans="1:16" x14ac:dyDescent="0.3">
      <c r="A184" s="98" t="str">
        <f>IF(Inputs!$A17="","",Inputs!$A17)</f>
        <v>E24181-0100D</v>
      </c>
      <c r="B184" s="98">
        <f>IF($A184="",0,Inputs!$C17)</f>
        <v>0.5</v>
      </c>
      <c r="C184" s="98">
        <f>IF($A184="","",Inputs!$D17)</f>
        <v>45505</v>
      </c>
      <c r="D184" s="98">
        <f>IF($A184="","",Inputs!$E17)</f>
        <v>45505</v>
      </c>
      <c r="E184" s="98" t="str">
        <f>IF($A184="","",Inputs!$F17)</f>
        <v>Finalized</v>
      </c>
      <c r="F184" s="98">
        <f>IF($A184="",0,Inputs!$G17)</f>
        <v>1</v>
      </c>
      <c r="G184" s="98">
        <f>IF($A184="",0,Inputs!$P17)</f>
        <v>0</v>
      </c>
      <c r="H184" s="98">
        <f>IF($A184="",0,Inputs!$Q17)</f>
        <v>0.5</v>
      </c>
      <c r="I184" s="98">
        <f>IF($A184="",0,Inputs!$R17)</f>
        <v>0.5</v>
      </c>
      <c r="J184" s="98">
        <f>IF($A184="",0,Inputs!$T17)</f>
        <v>0</v>
      </c>
      <c r="K184" s="98">
        <f>IF($A184="",0,IF($B$5="All Time",Phasing!$Y191,IF($B$5="Year",SUMIF(Phasing!$E$3:$X$3,$D$5,Phasing!$E191:$X191),SUMIF(Phasing!$E$4:$X$4,$B$6,Phasing!$E191:$X191))))</f>
        <v>0</v>
      </c>
      <c r="L184" s="98">
        <f>IF($A184="",0,IF($B$5="All Time",Phasing!$Y521,IF($B$5="Year",SUMIF(Phasing!$E$3:$X$3,$D$5,Phasing!$E521:$X521),SUMIF(Phasing!$E$4:$X$4,$B$6,Phasing!$E521:$X521))))</f>
        <v>0</v>
      </c>
      <c r="M184" s="98">
        <f>IF($A184="",0,IF(AND(Inputs!$D17&lt;=$F$6,Inputs!$E17&gt;=$D$6),1,0))</f>
        <v>0</v>
      </c>
      <c r="N184" s="98" t="str">
        <f>IF($M184=0,"",SUM($M$173:$M184))</f>
        <v/>
      </c>
      <c r="O184" s="103">
        <f>IF($A184="",0,IF($B$5="All Time",Phasing!$Y606,IF($B$5="Year",SUMIF(Phasing!$E$3:$X$3,$D$5,Phasing!$E606:$X606),SUMIF(Phasing!$E$4:$X$4,$B$6,Phasing!$E606:$X606))))</f>
        <v>0</v>
      </c>
      <c r="P184" s="103" cm="1">
        <f t="array" aca="1" ref="P184" ca="1">IF($A184="",0,IF($B$5="All Time",SUMPRODUCT(Phasing!$D191:$X191,Analysis!$D$31:$X$31),IF($B$5="Year",SUMPRODUCT((Analysis!$E$3:$X$3=$D$5)*Phasing!$E191:$X191*Analysis!$E$31:$X$31),SUMPRODUCT((Analysis!$E$4:$X$4=$B$6)*Phasing!$E191:$X191*Analysis!$E$31:$X$31))))</f>
        <v>0</v>
      </c>
    </row>
    <row r="185" spans="1:16" x14ac:dyDescent="0.3">
      <c r="A185" s="98" t="str">
        <f>IF(Inputs!$A18="","",Inputs!$A18)</f>
        <v>J23152-0100D</v>
      </c>
      <c r="B185" s="98">
        <f>IF($A185="",0,Inputs!$C18)</f>
        <v>0.5</v>
      </c>
      <c r="C185" s="98">
        <f>IF($A185="","",Inputs!$D18)</f>
        <v>45292</v>
      </c>
      <c r="D185" s="98">
        <f>IF($A185="","",Inputs!$E18)</f>
        <v>45382</v>
      </c>
      <c r="E185" s="98" t="str">
        <f>IF($A185="","",Inputs!$F18)</f>
        <v>Finalized</v>
      </c>
      <c r="F185" s="98">
        <f>IF($A185="",0,Inputs!$G18)</f>
        <v>1</v>
      </c>
      <c r="G185" s="98">
        <f>IF($A185="",0,Inputs!$P18)</f>
        <v>0.11081081081081082</v>
      </c>
      <c r="H185" s="98">
        <f>IF($A185="",0,Inputs!$Q18)</f>
        <v>0.11081081081081082</v>
      </c>
      <c r="I185" s="98">
        <f>IF($A185="",0,Inputs!$R18)</f>
        <v>0</v>
      </c>
      <c r="J185" s="98">
        <f>IF($A185="",0,Inputs!$T18)</f>
        <v>0.38918918918918921</v>
      </c>
      <c r="K185" s="98">
        <f>IF($A185="",0,IF($B$5="All Time",Phasing!$Y192,IF($B$5="Year",SUMIF(Phasing!$E$3:$X$3,$D$5,Phasing!$E192:$X192),SUMIF(Phasing!$E$4:$X$4,$B$6,Phasing!$E192:$X192))))</f>
        <v>0</v>
      </c>
      <c r="L185" s="98">
        <f>IF($A185="",0,IF($B$5="All Time",Phasing!$Y522,IF($B$5="Year",SUMIF(Phasing!$E$3:$X$3,$D$5,Phasing!$E522:$X522),SUMIF(Phasing!$E$4:$X$4,$B$6,Phasing!$E522:$X522))))</f>
        <v>0</v>
      </c>
      <c r="M185" s="98">
        <f>IF($A185="",0,IF(AND(Inputs!$D18&lt;=$F$6,Inputs!$E18&gt;=$D$6),1,0))</f>
        <v>0</v>
      </c>
      <c r="N185" s="98" t="str">
        <f>IF($M185=0,"",SUM($M$173:$M185))</f>
        <v/>
      </c>
      <c r="O185" s="103">
        <f>IF($A185="",0,IF($B$5="All Time",Phasing!$Y607,IF($B$5="Year",SUMIF(Phasing!$E$3:$X$3,$D$5,Phasing!$E607:$X607),SUMIF(Phasing!$E$4:$X$4,$B$6,Phasing!$E607:$X607))))</f>
        <v>0</v>
      </c>
      <c r="P185" s="103" cm="1">
        <f t="array" aca="1" ref="P185" ca="1">IF($A185="",0,IF($B$5="All Time",SUMPRODUCT(Phasing!$D192:$X192,Analysis!$D$31:$X$31),IF($B$5="Year",SUMPRODUCT((Analysis!$E$3:$X$3=$D$5)*Phasing!$E192:$X192*Analysis!$E$31:$X$31),SUMPRODUCT((Analysis!$E$4:$X$4=$B$6)*Phasing!$E192:$X192*Analysis!$E$31:$X$31))))</f>
        <v>0</v>
      </c>
    </row>
    <row r="186" spans="1:16" x14ac:dyDescent="0.3">
      <c r="A186" s="98" t="str">
        <f>IF(Inputs!$A19="","",Inputs!$A19)</f>
        <v>Q25008-0100D</v>
      </c>
      <c r="B186" s="98">
        <f>IF($A186="",0,Inputs!$C19)</f>
        <v>5</v>
      </c>
      <c r="C186" s="98">
        <f>IF($A186="","",Inputs!$D19)</f>
        <v>46023</v>
      </c>
      <c r="D186" s="98">
        <f>IF($A186="","",Inputs!$E19)</f>
        <v>46235</v>
      </c>
      <c r="E186" s="98" t="str">
        <f>IF($A186="","",Inputs!$F19)</f>
        <v>Finalized</v>
      </c>
      <c r="F186" s="98">
        <f>IF($A186="",0,Inputs!$G19)</f>
        <v>1</v>
      </c>
      <c r="G186" s="98">
        <f>IF($A186="",0,Inputs!$P19)</f>
        <v>1.9297297297297298</v>
      </c>
      <c r="H186" s="98">
        <f>IF($A186="",0,Inputs!$Q19)</f>
        <v>1.9297297297297298</v>
      </c>
      <c r="I186" s="98">
        <f>IF($A186="",0,Inputs!$R19)</f>
        <v>0</v>
      </c>
      <c r="J186" s="98">
        <f>IF($A186="",0,Inputs!$T19)</f>
        <v>3.07027027027027</v>
      </c>
      <c r="K186" s="98">
        <f>IF($A186="",0,IF($B$5="All Time",Phasing!$Y193,IF($B$5="Year",SUMIF(Phasing!$E$3:$X$3,$D$5,Phasing!$E193:$X193),SUMIF(Phasing!$E$4:$X$4,$B$6,Phasing!$E193:$X193))))</f>
        <v>5</v>
      </c>
      <c r="L186" s="98">
        <f>IF($A186="",0,IF($B$5="All Time",Phasing!$Y523,IF($B$5="Year",SUMIF(Phasing!$E$3:$X$3,$D$5,Phasing!$E523:$X523),SUMIF(Phasing!$E$4:$X$4,$B$6,Phasing!$E523:$X523))))</f>
        <v>1.8135135135135134</v>
      </c>
      <c r="M186" s="98">
        <f>IF($A186="",0,IF(AND(Inputs!$D19&lt;=$F$6,Inputs!$E19&gt;=$D$6),1,0))</f>
        <v>1</v>
      </c>
      <c r="N186" s="98">
        <f>IF($M186=0,"",SUM($M$173:$M186))</f>
        <v>10</v>
      </c>
      <c r="O186" s="103">
        <f>IF($A186="",0,IF($B$5="All Time",Phasing!$Y608,IF($B$5="Year",SUMIF(Phasing!$E$3:$X$3,$D$5,Phasing!$E608:$X608),SUMIF(Phasing!$E$4:$X$4,$B$6,Phasing!$E608:$X608))))</f>
        <v>4.6988795518207294</v>
      </c>
      <c r="P186" s="103" cm="1">
        <f t="array" aca="1" ref="P186" ca="1">IF($A186="",0,IF($B$5="All Time",SUMPRODUCT(Phasing!$D193:$X193,Analysis!$D$31:$X$31),IF($B$5="Year",SUMPRODUCT((Analysis!$E$3:$X$3=$D$5)*Phasing!$E193:$X193*Analysis!$E$31:$X$31),SUMPRODUCT((Analysis!$E$4:$X$4=$B$6)*Phasing!$E193:$X193*Analysis!$E$31:$X$31))))</f>
        <v>4.7632169830577666</v>
      </c>
    </row>
    <row r="187" spans="1:16" x14ac:dyDescent="0.3">
      <c r="A187" s="98" t="str">
        <f>IF(Inputs!$A20="","",Inputs!$A20)</f>
        <v>S24014-0101D</v>
      </c>
      <c r="B187" s="98">
        <f>IF($A187="",0,Inputs!$C20)</f>
        <v>21.27</v>
      </c>
      <c r="C187" s="98">
        <f>IF($A187="","",Inputs!$D20)</f>
        <v>45383</v>
      </c>
      <c r="D187" s="98">
        <f>IF($A187="","",Inputs!$E20)</f>
        <v>45505</v>
      </c>
      <c r="E187" s="98" t="str">
        <f>IF($A187="","",Inputs!$F20)</f>
        <v>Finalized</v>
      </c>
      <c r="F187" s="98">
        <f>IF($A187="",0,Inputs!$G20)</f>
        <v>1</v>
      </c>
      <c r="G187" s="98">
        <f>IF($A187="",0,Inputs!$P20)</f>
        <v>2.4418918918918915</v>
      </c>
      <c r="H187" s="98">
        <f>IF($A187="",0,Inputs!$Q20)</f>
        <v>2.4418918918918915</v>
      </c>
      <c r="I187" s="98">
        <f>IF($A187="",0,Inputs!$R20)</f>
        <v>0</v>
      </c>
      <c r="J187" s="98">
        <f>IF($A187="",0,Inputs!$T20)</f>
        <v>18.828108108108108</v>
      </c>
      <c r="K187" s="98">
        <f>IF($A187="",0,IF($B$5="All Time",Phasing!$Y194,IF($B$5="Year",SUMIF(Phasing!$E$3:$X$3,$D$5,Phasing!$E194:$X194),SUMIF(Phasing!$E$4:$X$4,$B$6,Phasing!$E194:$X194))))</f>
        <v>0</v>
      </c>
      <c r="L187" s="98">
        <f>IF($A187="",0,IF($B$5="All Time",Phasing!$Y524,IF($B$5="Year",SUMIF(Phasing!$E$3:$X$3,$D$5,Phasing!$E524:$X524),SUMIF(Phasing!$E$4:$X$4,$B$6,Phasing!$E524:$X524))))</f>
        <v>0</v>
      </c>
      <c r="M187" s="98">
        <f>IF($A187="",0,IF(AND(Inputs!$D20&lt;=$F$6,Inputs!$E20&gt;=$D$6),1,0))</f>
        <v>0</v>
      </c>
      <c r="N187" s="98" t="str">
        <f>IF($M187=0,"",SUM($M$173:$M187))</f>
        <v/>
      </c>
      <c r="O187" s="103">
        <f>IF($A187="",0,IF($B$5="All Time",Phasing!$Y609,IF($B$5="Year",SUMIF(Phasing!$E$3:$X$3,$D$5,Phasing!$E609:$X609),SUMIF(Phasing!$E$4:$X$4,$B$6,Phasing!$E609:$X609))))</f>
        <v>0</v>
      </c>
      <c r="P187" s="103" cm="1">
        <f t="array" aca="1" ref="P187" ca="1">IF($A187="",0,IF($B$5="All Time",SUMPRODUCT(Phasing!$D194:$X194,Analysis!$D$31:$X$31),IF($B$5="Year",SUMPRODUCT((Analysis!$E$3:$X$3=$D$5)*Phasing!$E194:$X194*Analysis!$E$31:$X$31),SUMPRODUCT((Analysis!$E$4:$X$4=$B$6)*Phasing!$E194:$X194*Analysis!$E$31:$X$31))))</f>
        <v>0</v>
      </c>
    </row>
    <row r="188" spans="1:16" x14ac:dyDescent="0.3">
      <c r="A188" s="98" t="str">
        <f>IF(Inputs!$A21="","",Inputs!$A21)</f>
        <v>S24014-0102D</v>
      </c>
      <c r="B188" s="98">
        <f>IF($A188="",0,Inputs!$C21)</f>
        <v>7.62</v>
      </c>
      <c r="C188" s="98">
        <f>IF($A188="","",Inputs!$D21)</f>
        <v>45536</v>
      </c>
      <c r="D188" s="98">
        <f>IF($A188="","",Inputs!$E21)</f>
        <v>45930</v>
      </c>
      <c r="E188" s="98" t="str">
        <f>IF($A188="","",Inputs!$F21)</f>
        <v>Finalized</v>
      </c>
      <c r="F188" s="98">
        <f>IF($A188="",0,Inputs!$G21)</f>
        <v>1</v>
      </c>
      <c r="G188" s="98">
        <f>IF($A188="",0,Inputs!$P21)</f>
        <v>2.6554054054054053</v>
      </c>
      <c r="H188" s="98">
        <f>IF($A188="",0,Inputs!$Q21)</f>
        <v>2.6554054054054053</v>
      </c>
      <c r="I188" s="98">
        <f>IF($A188="",0,Inputs!$R21)</f>
        <v>0</v>
      </c>
      <c r="J188" s="98">
        <f>IF($A188="",0,Inputs!$T21)</f>
        <v>4.9645945945945948</v>
      </c>
      <c r="K188" s="98">
        <f>IF($A188="",0,IF($B$5="All Time",Phasing!$Y195,IF($B$5="Year",SUMIF(Phasing!$E$3:$X$3,$D$5,Phasing!$E195:$X195),SUMIF(Phasing!$E$4:$X$4,$B$6,Phasing!$E195:$X195))))</f>
        <v>0</v>
      </c>
      <c r="L188" s="98">
        <f>IF($A188="",0,IF($B$5="All Time",Phasing!$Y525,IF($B$5="Year",SUMIF(Phasing!$E$3:$X$3,$D$5,Phasing!$E525:$X525),SUMIF(Phasing!$E$4:$X$4,$B$6,Phasing!$E525:$X525))))</f>
        <v>0</v>
      </c>
      <c r="M188" s="98">
        <f>IF($A188="",0,IF(AND(Inputs!$D21&lt;=$F$6,Inputs!$E21&gt;=$D$6),1,0))</f>
        <v>0</v>
      </c>
      <c r="N188" s="98" t="str">
        <f>IF($M188=0,"",SUM($M$173:$M188))</f>
        <v/>
      </c>
      <c r="O188" s="103">
        <f>IF($A188="",0,IF($B$5="All Time",Phasing!$Y610,IF($B$5="Year",SUMIF(Phasing!$E$3:$X$3,$D$5,Phasing!$E610:$X610),SUMIF(Phasing!$E$4:$X$4,$B$6,Phasing!$E610:$X610))))</f>
        <v>0</v>
      </c>
      <c r="P188" s="103" cm="1">
        <f t="array" aca="1" ref="P188" ca="1">IF($A188="",0,IF($B$5="All Time",SUMPRODUCT(Phasing!$D195:$X195,Analysis!$D$31:$X$31),IF($B$5="Year",SUMPRODUCT((Analysis!$E$3:$X$3=$D$5)*Phasing!$E195:$X195*Analysis!$E$31:$X$31),SUMPRODUCT((Analysis!$E$4:$X$4=$B$6)*Phasing!$E195:$X195*Analysis!$E$31:$X$31))))</f>
        <v>0</v>
      </c>
    </row>
    <row r="189" spans="1:16" x14ac:dyDescent="0.3">
      <c r="A189" s="98" t="str">
        <f>IF(Inputs!$A22="","",Inputs!$A22)</f>
        <v>S24014-0103D</v>
      </c>
      <c r="B189" s="98">
        <f>IF($A189="",0,Inputs!$C22)</f>
        <v>6.36</v>
      </c>
      <c r="C189" s="98">
        <f>IF($A189="","",Inputs!$D22)</f>
        <v>45536</v>
      </c>
      <c r="D189" s="98">
        <f>IF($A189="","",Inputs!$E22)</f>
        <v>45930</v>
      </c>
      <c r="E189" s="98" t="str">
        <f>IF($A189="","",Inputs!$F22)</f>
        <v>Finalized</v>
      </c>
      <c r="F189" s="98">
        <f>IF($A189="",0,Inputs!$G22)</f>
        <v>1</v>
      </c>
      <c r="G189" s="98">
        <f>IF($A189="",0,Inputs!$P22)</f>
        <v>4.3499999999999996</v>
      </c>
      <c r="H189" s="98">
        <f>IF($A189="",0,Inputs!$Q22)</f>
        <v>4.3499999999999996</v>
      </c>
      <c r="I189" s="98">
        <f>IF($A189="",0,Inputs!$R22)</f>
        <v>0</v>
      </c>
      <c r="J189" s="98">
        <f>IF($A189="",0,Inputs!$T22)</f>
        <v>2.0100000000000007</v>
      </c>
      <c r="K189" s="98">
        <f>IF($A189="",0,IF($B$5="All Time",Phasing!$Y196,IF($B$5="Year",SUMIF(Phasing!$E$3:$X$3,$D$5,Phasing!$E196:$X196),SUMIF(Phasing!$E$4:$X$4,$B$6,Phasing!$E196:$X196))))</f>
        <v>0</v>
      </c>
      <c r="L189" s="98">
        <f>IF($A189="",0,IF($B$5="All Time",Phasing!$Y526,IF($B$5="Year",SUMIF(Phasing!$E$3:$X$3,$D$5,Phasing!$E526:$X526),SUMIF(Phasing!$E$4:$X$4,$B$6,Phasing!$E526:$X526))))</f>
        <v>0</v>
      </c>
      <c r="M189" s="98">
        <f>IF($A189="",0,IF(AND(Inputs!$D22&lt;=$F$6,Inputs!$E22&gt;=$D$6),1,0))</f>
        <v>0</v>
      </c>
      <c r="N189" s="98" t="str">
        <f>IF($M189=0,"",SUM($M$173:$M189))</f>
        <v/>
      </c>
      <c r="O189" s="103">
        <f>IF($A189="",0,IF($B$5="All Time",Phasing!$Y611,IF($B$5="Year",SUMIF(Phasing!$E$3:$X$3,$D$5,Phasing!$E611:$X611),SUMIF(Phasing!$E$4:$X$4,$B$6,Phasing!$E611:$X611))))</f>
        <v>0</v>
      </c>
      <c r="P189" s="103" cm="1">
        <f t="array" aca="1" ref="P189" ca="1">IF($A189="",0,IF($B$5="All Time",SUMPRODUCT(Phasing!$D196:$X196,Analysis!$D$31:$X$31),IF($B$5="Year",SUMPRODUCT((Analysis!$E$3:$X$3=$D$5)*Phasing!$E196:$X196*Analysis!$E$31:$X$31),SUMPRODUCT((Analysis!$E$4:$X$4=$B$6)*Phasing!$E196:$X196*Analysis!$E$31:$X$31))))</f>
        <v>0</v>
      </c>
    </row>
    <row r="190" spans="1:16" x14ac:dyDescent="0.3">
      <c r="A190" s="98" t="str">
        <f>IF(Inputs!$A23="","",Inputs!$A23)</f>
        <v>S24014-0104D</v>
      </c>
      <c r="B190" s="98">
        <f>IF($A190="",0,Inputs!$C23)</f>
        <v>12.03</v>
      </c>
      <c r="C190" s="98">
        <f>IF($A190="","",Inputs!$D23)</f>
        <v>45536</v>
      </c>
      <c r="D190" s="98">
        <f>IF($A190="","",Inputs!$E23)</f>
        <v>45930</v>
      </c>
      <c r="E190" s="98" t="str">
        <f>IF($A190="","",Inputs!$F23)</f>
        <v>Finalized</v>
      </c>
      <c r="F190" s="98">
        <f>IF($A190="",0,Inputs!$G23)</f>
        <v>1</v>
      </c>
      <c r="G190" s="98">
        <f>IF($A190="",0,Inputs!$P23)</f>
        <v>1.2162162162162162</v>
      </c>
      <c r="H190" s="98">
        <f>IF($A190="",0,Inputs!$Q23)</f>
        <v>1.2162162162162162</v>
      </c>
      <c r="I190" s="98">
        <f>IF($A190="",0,Inputs!$R23)</f>
        <v>0</v>
      </c>
      <c r="J190" s="98">
        <f>IF($A190="",0,Inputs!$T23)</f>
        <v>10.813783783783784</v>
      </c>
      <c r="K190" s="98">
        <f>IF($A190="",0,IF($B$5="All Time",Phasing!$Y197,IF($B$5="Year",SUMIF(Phasing!$E$3:$X$3,$D$5,Phasing!$E197:$X197),SUMIF(Phasing!$E$4:$X$4,$B$6,Phasing!$E197:$X197))))</f>
        <v>0</v>
      </c>
      <c r="L190" s="98">
        <f>IF($A190="",0,IF($B$5="All Time",Phasing!$Y527,IF($B$5="Year",SUMIF(Phasing!$E$3:$X$3,$D$5,Phasing!$E527:$X527),SUMIF(Phasing!$E$4:$X$4,$B$6,Phasing!$E527:$X527))))</f>
        <v>0</v>
      </c>
      <c r="M190" s="98">
        <f>IF($A190="",0,IF(AND(Inputs!$D23&lt;=$F$6,Inputs!$E23&gt;=$D$6),1,0))</f>
        <v>0</v>
      </c>
      <c r="N190" s="98" t="str">
        <f>IF($M190=0,"",SUM($M$173:$M190))</f>
        <v/>
      </c>
      <c r="O190" s="103">
        <f>IF($A190="",0,IF($B$5="All Time",Phasing!$Y612,IF($B$5="Year",SUMIF(Phasing!$E$3:$X$3,$D$5,Phasing!$E612:$X612),SUMIF(Phasing!$E$4:$X$4,$B$6,Phasing!$E612:$X612))))</f>
        <v>0</v>
      </c>
      <c r="P190" s="103" cm="1">
        <f t="array" aca="1" ref="P190" ca="1">IF($A190="",0,IF($B$5="All Time",SUMPRODUCT(Phasing!$D197:$X197,Analysis!$D$31:$X$31),IF($B$5="Year",SUMPRODUCT((Analysis!$E$3:$X$3=$D$5)*Phasing!$E197:$X197*Analysis!$E$31:$X$31),SUMPRODUCT((Analysis!$E$4:$X$4=$B$6)*Phasing!$E197:$X197*Analysis!$E$31:$X$31))))</f>
        <v>0</v>
      </c>
    </row>
    <row r="191" spans="1:16" x14ac:dyDescent="0.3">
      <c r="A191" s="98" t="str">
        <f>IF(Inputs!$A24="","",Inputs!$A24)</f>
        <v>S22058-0700D</v>
      </c>
      <c r="B191" s="98">
        <f>IF($A191="",0,Inputs!$C24)</f>
        <v>6</v>
      </c>
      <c r="C191" s="98">
        <f>IF($A191="","",Inputs!$D24)</f>
        <v>45474</v>
      </c>
      <c r="D191" s="98">
        <f>IF($A191="","",Inputs!$E24)</f>
        <v>45930</v>
      </c>
      <c r="E191" s="98" t="str">
        <f>IF($A191="","",Inputs!$F24)</f>
        <v>Finalized</v>
      </c>
      <c r="F191" s="98">
        <f>IF($A191="",0,Inputs!$G24)</f>
        <v>1</v>
      </c>
      <c r="G191" s="98">
        <f>IF($A191="",0,Inputs!$P24)</f>
        <v>5.1162162162162161</v>
      </c>
      <c r="H191" s="98">
        <f>IF($A191="",0,Inputs!$Q24)</f>
        <v>5.1162162162162161</v>
      </c>
      <c r="I191" s="98">
        <f>IF($A191="",0,Inputs!$R24)</f>
        <v>0</v>
      </c>
      <c r="J191" s="98">
        <f>IF($A191="",0,Inputs!$T24)</f>
        <v>0.88378378378378386</v>
      </c>
      <c r="K191" s="98">
        <f>IF($A191="",0,IF($B$5="All Time",Phasing!$Y198,IF($B$5="Year",SUMIF(Phasing!$E$3:$X$3,$D$5,Phasing!$E198:$X198),SUMIF(Phasing!$E$4:$X$4,$B$6,Phasing!$E198:$X198))))</f>
        <v>0</v>
      </c>
      <c r="L191" s="98">
        <f>IF($A191="",0,IF($B$5="All Time",Phasing!$Y528,IF($B$5="Year",SUMIF(Phasing!$E$3:$X$3,$D$5,Phasing!$E528:$X528),SUMIF(Phasing!$E$4:$X$4,$B$6,Phasing!$E528:$X528))))</f>
        <v>0</v>
      </c>
      <c r="M191" s="98">
        <f>IF($A191="",0,IF(AND(Inputs!$D24&lt;=$F$6,Inputs!$E24&gt;=$D$6),1,0))</f>
        <v>0</v>
      </c>
      <c r="N191" s="98" t="str">
        <f>IF($M191=0,"",SUM($M$173:$M191))</f>
        <v/>
      </c>
      <c r="O191" s="103">
        <f>IF($A191="",0,IF($B$5="All Time",Phasing!$Y613,IF($B$5="Year",SUMIF(Phasing!$E$3:$X$3,$D$5,Phasing!$E613:$X613),SUMIF(Phasing!$E$4:$X$4,$B$6,Phasing!$E613:$X613))))</f>
        <v>0</v>
      </c>
      <c r="P191" s="103" cm="1">
        <f t="array" aca="1" ref="P191" ca="1">IF($A191="",0,IF($B$5="All Time",SUMPRODUCT(Phasing!$D198:$X198,Analysis!$D$31:$X$31),IF($B$5="Year",SUMPRODUCT((Analysis!$E$3:$X$3=$D$5)*Phasing!$E198:$X198*Analysis!$E$31:$X$31),SUMPRODUCT((Analysis!$E$4:$X$4=$B$6)*Phasing!$E198:$X198*Analysis!$E$31:$X$31))))</f>
        <v>0</v>
      </c>
    </row>
    <row r="192" spans="1:16" x14ac:dyDescent="0.3">
      <c r="A192" s="98" t="str">
        <f>IF(Inputs!$A25="","",Inputs!$A25)</f>
        <v>AN24185-0100R</v>
      </c>
      <c r="B192" s="98">
        <f>IF($A192="",0,Inputs!$C25)</f>
        <v>4</v>
      </c>
      <c r="C192" s="98">
        <f>IF($A192="","",Inputs!$D25)</f>
        <v>45566</v>
      </c>
      <c r="D192" s="98">
        <f>IF($A192="","",Inputs!$E25)</f>
        <v>46112</v>
      </c>
      <c r="E192" s="98" t="str">
        <f>IF($A192="","",Inputs!$F25)</f>
        <v>Finalized</v>
      </c>
      <c r="F192" s="98">
        <f>IF($A192="",0,Inputs!$G25)</f>
        <v>1</v>
      </c>
      <c r="G192" s="98">
        <f>IF($A192="",0,Inputs!$P25)</f>
        <v>2.9608108108108109</v>
      </c>
      <c r="H192" s="98">
        <f>IF($A192="",0,Inputs!$Q25)</f>
        <v>2.9608108108108109</v>
      </c>
      <c r="I192" s="98">
        <f>IF($A192="",0,Inputs!$R25)</f>
        <v>0</v>
      </c>
      <c r="J192" s="98">
        <f>IF($A192="",0,Inputs!$T25)</f>
        <v>1.0391891891891891</v>
      </c>
      <c r="K192" s="98">
        <f>IF($A192="",0,IF($B$5="All Time",Phasing!$Y199,IF($B$5="Year",SUMIF(Phasing!$E$3:$X$3,$D$5,Phasing!$E199:$X199),SUMIF(Phasing!$E$4:$X$4,$B$6,Phasing!$E199:$X199))))</f>
        <v>0.65813528336380256</v>
      </c>
      <c r="L192" s="98">
        <f>IF($A192="",0,IF($B$5="All Time",Phasing!$Y529,IF($B$5="Year",SUMIF(Phasing!$E$3:$X$3,$D$5,Phasing!$E529:$X529),SUMIF(Phasing!$E$4:$X$4,$B$6,Phasing!$E529:$X529))))</f>
        <v>0.13378378378378378</v>
      </c>
      <c r="M192" s="98">
        <f>IF($A192="",0,IF(AND(Inputs!$D25&lt;=$F$6,Inputs!$E25&gt;=$D$6),1,0))</f>
        <v>1</v>
      </c>
      <c r="N192" s="98">
        <f>IF($M192=0,"",SUM($M$173:$M192))</f>
        <v>11</v>
      </c>
      <c r="O192" s="103">
        <f>IF($A192="",0,IF($B$5="All Time",Phasing!$Y614,IF($B$5="Year",SUMIF(Phasing!$E$3:$X$3,$D$5,Phasing!$E614:$X614),SUMIF(Phasing!$E$4:$X$4,$B$6,Phasing!$E614:$X614))))</f>
        <v>0.18073938840712001</v>
      </c>
      <c r="P192" s="103" cm="1">
        <f t="array" aca="1" ref="P192" ca="1">IF($A192="",0,IF($B$5="All Time",SUMPRODUCT(Phasing!$D199:$X199,Analysis!$D$31:$X$31),IF($B$5="Year",SUMPRODUCT((Analysis!$E$3:$X$3=$D$5)*Phasing!$E199:$X199*Analysis!$E$31:$X$31),SUMPRODUCT((Analysis!$E$4:$X$4=$B$6)*Phasing!$E199:$X199*Analysis!$E$31:$X$31))))</f>
        <v>0.65813528336380256</v>
      </c>
    </row>
    <row r="193" spans="1:16" x14ac:dyDescent="0.3">
      <c r="A193" s="98" t="str">
        <f>IF(Inputs!$A26="","",Inputs!$A26)</f>
        <v>AN24135-0100R</v>
      </c>
      <c r="B193" s="98">
        <f>IF($A193="",0,Inputs!$C26)</f>
        <v>4</v>
      </c>
      <c r="C193" s="98">
        <f>IF($A193="","",Inputs!$D26)</f>
        <v>45566</v>
      </c>
      <c r="D193" s="98">
        <f>IF($A193="","",Inputs!$E26)</f>
        <v>46477</v>
      </c>
      <c r="E193" s="98" t="str">
        <f>IF($A193="","",Inputs!$F26)</f>
        <v>On Hold</v>
      </c>
      <c r="F193" s="98">
        <f>IF($A193="",0,Inputs!$G26)</f>
        <v>0.1</v>
      </c>
      <c r="G193" s="98">
        <f>IF($A193="",0,Inputs!$P26)</f>
        <v>1.8310810810810809</v>
      </c>
      <c r="H193" s="98">
        <f>IF($A193="",0,Inputs!$Q26)</f>
        <v>18.310810810810807</v>
      </c>
      <c r="I193" s="98">
        <f>IF($A193="",0,Inputs!$R26)</f>
        <v>16.479729729729726</v>
      </c>
      <c r="J193" s="98">
        <f>IF($A193="",0,Inputs!$T26)</f>
        <v>-14.310810810810807</v>
      </c>
      <c r="K193" s="98">
        <f>IF($A193="",0,IF($B$5="All Time",Phasing!$Y200,IF($B$5="Year",SUMIF(Phasing!$E$3:$X$3,$D$5,Phasing!$E200:$X200),SUMIF(Phasing!$E$4:$X$4,$B$6,Phasing!$E200:$X200))))</f>
        <v>1.6008771929824561</v>
      </c>
      <c r="L193" s="98">
        <f>IF($A193="",0,IF($B$5="All Time",Phasing!$Y530,IF($B$5="Year",SUMIF(Phasing!$E$3:$X$3,$D$5,Phasing!$E530:$X530),SUMIF(Phasing!$E$4:$X$4,$B$6,Phasing!$E530:$X530))))</f>
        <v>0</v>
      </c>
      <c r="M193" s="98">
        <f>IF($A193="",0,IF(AND(Inputs!$D26&lt;=$F$6,Inputs!$E26&gt;=$D$6),1,0))</f>
        <v>1</v>
      </c>
      <c r="N193" s="98">
        <f>IF($M193=0,"",SUM($M$173:$M193))</f>
        <v>12</v>
      </c>
      <c r="O193" s="103">
        <f>IF($A193="",0,IF($B$5="All Time",Phasing!$Y615,IF($B$5="Year",SUMIF(Phasing!$E$3:$X$3,$D$5,Phasing!$E615:$X615),SUMIF(Phasing!$E$4:$X$4,$B$6,Phasing!$E615:$X615))))</f>
        <v>0</v>
      </c>
      <c r="P193" s="103" cm="1">
        <f t="array" aca="1" ref="P193" ca="1">IF($A193="",0,IF($B$5="All Time",SUMPRODUCT(Phasing!$D200:$X200,Analysis!$D$31:$X$31),IF($B$5="Year",SUMPRODUCT((Analysis!$E$3:$X$3=$D$5)*Phasing!$E200:$X200*Analysis!$E$31:$X$31),SUMPRODUCT((Analysis!$E$4:$X$4=$B$6)*Phasing!$E200:$X200*Analysis!$E$31:$X$31))))</f>
        <v>1.0701754385964912</v>
      </c>
    </row>
    <row r="194" spans="1:16" x14ac:dyDescent="0.3">
      <c r="A194" s="98" t="str">
        <f>IF(Inputs!$A27="","",Inputs!$A27)</f>
        <v>AN23232-0100D</v>
      </c>
      <c r="B194" s="98">
        <f>IF($A194="",0,Inputs!$C27)</f>
        <v>3</v>
      </c>
      <c r="C194" s="98">
        <f>IF($A194="","",Inputs!$D27)</f>
        <v>45292</v>
      </c>
      <c r="D194" s="98">
        <f>IF($A194="","",Inputs!$E27)</f>
        <v>45565</v>
      </c>
      <c r="E194" s="98" t="str">
        <f>IF($A194="","",Inputs!$F27)</f>
        <v>Finalized</v>
      </c>
      <c r="F194" s="98">
        <f>IF($A194="",0,Inputs!$G27)</f>
        <v>1</v>
      </c>
      <c r="G194" s="98">
        <f>IF($A194="",0,Inputs!$P27)</f>
        <v>3.3027027027027032</v>
      </c>
      <c r="H194" s="98">
        <f>IF($A194="",0,Inputs!$Q27)</f>
        <v>3.3027027027027032</v>
      </c>
      <c r="I194" s="98">
        <f>IF($A194="",0,Inputs!$R27)</f>
        <v>0</v>
      </c>
      <c r="J194" s="98">
        <f>IF($A194="",0,Inputs!$T27)</f>
        <v>-0.30270270270270316</v>
      </c>
      <c r="K194" s="98">
        <f>IF($A194="",0,IF($B$5="All Time",Phasing!$Y201,IF($B$5="Year",SUMIF(Phasing!$E$3:$X$3,$D$5,Phasing!$E201:$X201),SUMIF(Phasing!$E$4:$X$4,$B$6,Phasing!$E201:$X201))))</f>
        <v>0</v>
      </c>
      <c r="L194" s="98">
        <f>IF($A194="",0,IF($B$5="All Time",Phasing!$Y531,IF($B$5="Year",SUMIF(Phasing!$E$3:$X$3,$D$5,Phasing!$E531:$X531),SUMIF(Phasing!$E$4:$X$4,$B$6,Phasing!$E531:$X531))))</f>
        <v>0</v>
      </c>
      <c r="M194" s="98">
        <f>IF($A194="",0,IF(AND(Inputs!$D27&lt;=$F$6,Inputs!$E27&gt;=$D$6),1,0))</f>
        <v>0</v>
      </c>
      <c r="N194" s="98" t="str">
        <f>IF($M194=0,"",SUM($M$173:$M194))</f>
        <v/>
      </c>
      <c r="O194" s="103">
        <f>IF($A194="",0,IF($B$5="All Time",Phasing!$Y616,IF($B$5="Year",SUMIF(Phasing!$E$3:$X$3,$D$5,Phasing!$E616:$X616),SUMIF(Phasing!$E$4:$X$4,$B$6,Phasing!$E616:$X616))))</f>
        <v>0</v>
      </c>
      <c r="P194" s="103" cm="1">
        <f t="array" aca="1" ref="P194" ca="1">IF($A194="",0,IF($B$5="All Time",SUMPRODUCT(Phasing!$D201:$X201,Analysis!$D$31:$X$31),IF($B$5="Year",SUMPRODUCT((Analysis!$E$3:$X$3=$D$5)*Phasing!$E201:$X201*Analysis!$E$31:$X$31),SUMPRODUCT((Analysis!$E$4:$X$4=$B$6)*Phasing!$E201:$X201*Analysis!$E$31:$X$31))))</f>
        <v>0</v>
      </c>
    </row>
    <row r="195" spans="1:16" x14ac:dyDescent="0.3">
      <c r="A195" s="98" t="str">
        <f>IF(Inputs!$A28="","",Inputs!$A28)</f>
        <v>AN23108-0100R</v>
      </c>
      <c r="B195" s="98">
        <f>IF($A195="",0,Inputs!$C28)</f>
        <v>2</v>
      </c>
      <c r="C195" s="98">
        <f>IF($A195="","",Inputs!$D28)</f>
        <v>45689</v>
      </c>
      <c r="D195" s="98">
        <f>IF($A195="","",Inputs!$E28)</f>
        <v>46568</v>
      </c>
      <c r="E195" s="98" t="str">
        <f>IF($A195="","",Inputs!$F28)</f>
        <v>On Hold</v>
      </c>
      <c r="F195" s="98">
        <f>IF($A195="",0,Inputs!$G28)</f>
        <v>0.1</v>
      </c>
      <c r="G195" s="98">
        <f>IF($A195="",0,Inputs!$P28)</f>
        <v>0.82702702702702702</v>
      </c>
      <c r="H195" s="98">
        <f>IF($A195="",0,Inputs!$Q28)</f>
        <v>8.2702702702702702</v>
      </c>
      <c r="I195" s="98">
        <f>IF($A195="",0,Inputs!$R28)</f>
        <v>7.4432432432432432</v>
      </c>
      <c r="J195" s="98">
        <f>IF($A195="",0,Inputs!$T28)</f>
        <v>-6.2702702702702702</v>
      </c>
      <c r="K195" s="98">
        <f>IF($A195="",0,IF($B$5="All Time",Phasing!$Y202,IF($B$5="Year",SUMIF(Phasing!$E$3:$X$3,$D$5,Phasing!$E202:$X202),SUMIF(Phasing!$E$4:$X$4,$B$6,Phasing!$E202:$X202))))</f>
        <v>0.82954545454545459</v>
      </c>
      <c r="L195" s="98">
        <f>IF($A195="",0,IF($B$5="All Time",Phasing!$Y532,IF($B$5="Year",SUMIF(Phasing!$E$3:$X$3,$D$5,Phasing!$E532:$X532),SUMIF(Phasing!$E$4:$X$4,$B$6,Phasing!$E532:$X532))))</f>
        <v>0.68513513513513513</v>
      </c>
      <c r="M195" s="98">
        <f>IF($A195="",0,IF(AND(Inputs!$D28&lt;=$F$6,Inputs!$E28&gt;=$D$6),1,0))</f>
        <v>1</v>
      </c>
      <c r="N195" s="98">
        <f>IF($M195=0,"",SUM($M$173:$M195))</f>
        <v>13</v>
      </c>
      <c r="O195" s="103">
        <f>IF($A195="",0,IF($B$5="All Time",Phasing!$Y617,IF($B$5="Year",SUMIF(Phasing!$E$3:$X$3,$D$5,Phasing!$E617:$X617),SUMIF(Phasing!$E$4:$X$4,$B$6,Phasing!$E617:$X617))))</f>
        <v>0.16568627450980394</v>
      </c>
      <c r="P195" s="103" cm="1">
        <f t="array" aca="1" ref="P195" ca="1">IF($A195="",0,IF($B$5="All Time",SUMPRODUCT(Phasing!$D202:$X202,Analysis!$D$31:$X$31),IF($B$5="Year",SUMPRODUCT((Analysis!$E$3:$X$3=$D$5)*Phasing!$E202:$X202*Analysis!$E$31:$X$31),SUMPRODUCT((Analysis!$E$4:$X$4=$B$6)*Phasing!$E202:$X202*Analysis!$E$31:$X$31))))</f>
        <v>0.55454545454545456</v>
      </c>
    </row>
    <row r="196" spans="1:16" x14ac:dyDescent="0.3">
      <c r="A196" s="98" t="str">
        <f>IF(Inputs!$A29="","",Inputs!$A29)</f>
        <v>TA24246-0200R</v>
      </c>
      <c r="B196" s="98">
        <f>IF($A196="",0,Inputs!$C29)</f>
        <v>1</v>
      </c>
      <c r="C196" s="98">
        <f>IF($A196="","",Inputs!$D29)</f>
        <v>45689</v>
      </c>
      <c r="D196" s="98">
        <f>IF($A196="","",Inputs!$E29)</f>
        <v>46568</v>
      </c>
      <c r="E196" s="98" t="str">
        <f>IF($A196="","",Inputs!$F29)</f>
        <v>On Hold</v>
      </c>
      <c r="F196" s="98">
        <f>IF($A196="",0,Inputs!$G29)</f>
        <v>0.6</v>
      </c>
      <c r="G196" s="98">
        <f>IF($A196="",0,Inputs!$P29)</f>
        <v>1.4175675675675674</v>
      </c>
      <c r="H196" s="98">
        <f>IF($A196="",0,Inputs!$Q29)</f>
        <v>2.3626126126126126</v>
      </c>
      <c r="I196" s="98">
        <f>IF($A196="",0,Inputs!$R29)</f>
        <v>0.94504504504504516</v>
      </c>
      <c r="J196" s="98">
        <f>IF($A196="",0,Inputs!$T29)</f>
        <v>-1.3626126126126126</v>
      </c>
      <c r="K196" s="98">
        <f>IF($A196="",0,IF($B$5="All Time",Phasing!$Y203,IF($B$5="Year",SUMIF(Phasing!$E$3:$X$3,$D$5,Phasing!$E203:$X203),SUMIF(Phasing!$E$4:$X$4,$B$6,Phasing!$E203:$X203))))</f>
        <v>0.41477272727272729</v>
      </c>
      <c r="L196" s="98">
        <f>IF($A196="",0,IF($B$5="All Time",Phasing!$Y533,IF($B$5="Year",SUMIF(Phasing!$E$3:$X$3,$D$5,Phasing!$E533:$X533),SUMIF(Phasing!$E$4:$X$4,$B$6,Phasing!$E533:$X533))))</f>
        <v>9.8648648648648654E-2</v>
      </c>
      <c r="M196" s="98">
        <f>IF($A196="",0,IF(AND(Inputs!$D29&lt;=$F$6,Inputs!$E29&gt;=$D$6),1,0))</f>
        <v>1</v>
      </c>
      <c r="N196" s="98">
        <f>IF($M196=0,"",SUM($M$173:$M196))</f>
        <v>14</v>
      </c>
      <c r="O196" s="103">
        <f>IF($A196="",0,IF($B$5="All Time",Phasing!$Y618,IF($B$5="Year",SUMIF(Phasing!$E$3:$X$3,$D$5,Phasing!$E618:$X618),SUMIF(Phasing!$E$4:$X$4,$B$6,Phasing!$E618:$X618))))</f>
        <v>4.1754051477597719E-2</v>
      </c>
      <c r="P196" s="103" cm="1">
        <f t="array" aca="1" ref="P196" ca="1">IF($A196="",0,IF($B$5="All Time",SUMPRODUCT(Phasing!$D203:$X203,Analysis!$D$31:$X$31),IF($B$5="Year",SUMPRODUCT((Analysis!$E$3:$X$3=$D$5)*Phasing!$E203:$X203*Analysis!$E$31:$X$31),SUMPRODUCT((Analysis!$E$4:$X$4=$B$6)*Phasing!$E203:$X203*Analysis!$E$31:$X$31))))</f>
        <v>0.27727272727272728</v>
      </c>
    </row>
    <row r="197" spans="1:16" x14ac:dyDescent="0.3">
      <c r="A197" s="98" t="str">
        <f>IF(Inputs!$A30="","",Inputs!$A30)</f>
        <v>S22058-0900D</v>
      </c>
      <c r="B197" s="98">
        <f>IF($A197="",0,Inputs!$C30)</f>
        <v>0.25</v>
      </c>
      <c r="C197" s="98">
        <f>IF($A197="","",Inputs!$D30)</f>
        <v>45383</v>
      </c>
      <c r="D197" s="98">
        <f>IF($A197="","",Inputs!$E30)</f>
        <v>45565</v>
      </c>
      <c r="E197" s="98" t="str">
        <f>IF($A197="","",Inputs!$F30)</f>
        <v>Cancelled</v>
      </c>
      <c r="F197" s="98">
        <f>IF($A197="",0,Inputs!$G30)</f>
        <v>1</v>
      </c>
      <c r="G197" s="98">
        <f>IF($A197="",0,Inputs!$P30)</f>
        <v>9.5945945945945951E-2</v>
      </c>
      <c r="H197" s="98">
        <f>IF($A197="",0,Inputs!$Q30)</f>
        <v>9.5945945945945951E-2</v>
      </c>
      <c r="I197" s="98">
        <f>IF($A197="",0,Inputs!$R30)</f>
        <v>0</v>
      </c>
      <c r="J197" s="98">
        <f>IF($A197="",0,Inputs!$T30)</f>
        <v>0.15405405405405403</v>
      </c>
      <c r="K197" s="98">
        <f>IF($A197="",0,IF($B$5="All Time",Phasing!$Y204,IF($B$5="Year",SUMIF(Phasing!$E$3:$X$3,$D$5,Phasing!$E204:$X204),SUMIF(Phasing!$E$4:$X$4,$B$6,Phasing!$E204:$X204))))</f>
        <v>0</v>
      </c>
      <c r="L197" s="98">
        <f>IF($A197="",0,IF($B$5="All Time",Phasing!$Y534,IF($B$5="Year",SUMIF(Phasing!$E$3:$X$3,$D$5,Phasing!$E534:$X534),SUMIF(Phasing!$E$4:$X$4,$B$6,Phasing!$E534:$X534))))</f>
        <v>0</v>
      </c>
      <c r="M197" s="98">
        <f>IF($A197="",0,IF(AND(Inputs!$D30&lt;=$F$6,Inputs!$E30&gt;=$D$6),1,0))</f>
        <v>0</v>
      </c>
      <c r="N197" s="98" t="str">
        <f>IF($M197=0,"",SUM($M$173:$M197))</f>
        <v/>
      </c>
      <c r="O197" s="103">
        <f>IF($A197="",0,IF($B$5="All Time",Phasing!$Y619,IF($B$5="Year",SUMIF(Phasing!$E$3:$X$3,$D$5,Phasing!$E619:$X619),SUMIF(Phasing!$E$4:$X$4,$B$6,Phasing!$E619:$X619))))</f>
        <v>0</v>
      </c>
      <c r="P197" s="103" cm="1">
        <f t="array" aca="1" ref="P197" ca="1">IF($A197="",0,IF($B$5="All Time",SUMPRODUCT(Phasing!$D204:$X204,Analysis!$D$31:$X$31),IF($B$5="Year",SUMPRODUCT((Analysis!$E$3:$X$3=$D$5)*Phasing!$E204:$X204*Analysis!$E$31:$X$31),SUMPRODUCT((Analysis!$E$4:$X$4=$B$6)*Phasing!$E204:$X204*Analysis!$E$31:$X$31))))</f>
        <v>0</v>
      </c>
    </row>
    <row r="198" spans="1:16" x14ac:dyDescent="0.3">
      <c r="A198" s="98" t="str">
        <f>IF(Inputs!$A31="","",Inputs!$A31)</f>
        <v>S22058-0400D</v>
      </c>
      <c r="B198" s="98">
        <f>IF($A198="",0,Inputs!$C31)</f>
        <v>0.5</v>
      </c>
      <c r="C198" s="98">
        <f>IF($A198="","",Inputs!$D31)</f>
        <v>45292</v>
      </c>
      <c r="D198" s="98">
        <f>IF($A198="","",Inputs!$E31)</f>
        <v>45382</v>
      </c>
      <c r="E198" s="98" t="str">
        <f>IF($A198="","",Inputs!$F31)</f>
        <v>Finalized</v>
      </c>
      <c r="F198" s="98">
        <f>IF($A198="",0,Inputs!$G31)</f>
        <v>1</v>
      </c>
      <c r="G198" s="98">
        <f>IF($A198="",0,Inputs!$P31)</f>
        <v>4.0540540540540543E-2</v>
      </c>
      <c r="H198" s="98">
        <f>IF($A198="",0,Inputs!$Q31)</f>
        <v>4.0540540540540543E-2</v>
      </c>
      <c r="I198" s="98">
        <f>IF($A198="",0,Inputs!$R31)</f>
        <v>0</v>
      </c>
      <c r="J198" s="98">
        <f>IF($A198="",0,Inputs!$T31)</f>
        <v>0.45945945945945943</v>
      </c>
      <c r="K198" s="98">
        <f>IF($A198="",0,IF($B$5="All Time",Phasing!$Y205,IF($B$5="Year",SUMIF(Phasing!$E$3:$X$3,$D$5,Phasing!$E205:$X205),SUMIF(Phasing!$E$4:$X$4,$B$6,Phasing!$E205:$X205))))</f>
        <v>0</v>
      </c>
      <c r="L198" s="98">
        <f>IF($A198="",0,IF($B$5="All Time",Phasing!$Y535,IF($B$5="Year",SUMIF(Phasing!$E$3:$X$3,$D$5,Phasing!$E535:$X535),SUMIF(Phasing!$E$4:$X$4,$B$6,Phasing!$E535:$X535))))</f>
        <v>0</v>
      </c>
      <c r="M198" s="98">
        <f>IF($A198="",0,IF(AND(Inputs!$D31&lt;=$F$6,Inputs!$E31&gt;=$D$6),1,0))</f>
        <v>0</v>
      </c>
      <c r="N198" s="98" t="str">
        <f>IF($M198=0,"",SUM($M$173:$M198))</f>
        <v/>
      </c>
      <c r="O198" s="103">
        <f>IF($A198="",0,IF($B$5="All Time",Phasing!$Y620,IF($B$5="Year",SUMIF(Phasing!$E$3:$X$3,$D$5,Phasing!$E620:$X620),SUMIF(Phasing!$E$4:$X$4,$B$6,Phasing!$E620:$X620))))</f>
        <v>0</v>
      </c>
      <c r="P198" s="103" cm="1">
        <f t="array" aca="1" ref="P198" ca="1">IF($A198="",0,IF($B$5="All Time",SUMPRODUCT(Phasing!$D205:$X205,Analysis!$D$31:$X$31),IF($B$5="Year",SUMPRODUCT((Analysis!$E$3:$X$3=$D$5)*Phasing!$E205:$X205*Analysis!$E$31:$X$31),SUMPRODUCT((Analysis!$E$4:$X$4=$B$6)*Phasing!$E205:$X205*Analysis!$E$31:$X$31))))</f>
        <v>0</v>
      </c>
    </row>
    <row r="199" spans="1:16" x14ac:dyDescent="0.3">
      <c r="A199" s="98" t="str">
        <f>IF(Inputs!$A32="","",Inputs!$A32)</f>
        <v>Proposals 25</v>
      </c>
      <c r="B199" s="98">
        <f>IF($A199="",0,Inputs!$C32)</f>
        <v>1.9</v>
      </c>
      <c r="C199" s="98">
        <f>IF($A199="","",Inputs!$D32)</f>
        <v>45658</v>
      </c>
      <c r="D199" s="98">
        <f>IF($A199="","",Inputs!$E32)</f>
        <v>46022</v>
      </c>
      <c r="E199" s="98" t="str">
        <f>IF($A199="","",Inputs!$F32)</f>
        <v>Finalized</v>
      </c>
      <c r="F199" s="98">
        <f>IF($A199="",0,Inputs!$G32)</f>
        <v>1</v>
      </c>
      <c r="G199" s="98">
        <f>IF($A199="",0,Inputs!$P32)</f>
        <v>2.083783783783784</v>
      </c>
      <c r="H199" s="98">
        <f>IF($A199="",0,Inputs!$Q32)</f>
        <v>2.083783783783784</v>
      </c>
      <c r="I199" s="98">
        <f>IF($A199="",0,Inputs!$R32)</f>
        <v>0</v>
      </c>
      <c r="J199" s="98">
        <f>IF($A199="",0,Inputs!$T32)</f>
        <v>-0.18378378378378413</v>
      </c>
      <c r="K199" s="98">
        <f>IF($A199="",0,IF($B$5="All Time",Phasing!$Y206,IF($B$5="Year",SUMIF(Phasing!$E$3:$X$3,$D$5,Phasing!$E206:$X206),SUMIF(Phasing!$E$4:$X$4,$B$6,Phasing!$E206:$X206))))</f>
        <v>0</v>
      </c>
      <c r="L199" s="98">
        <f>IF($A199="",0,IF($B$5="All Time",Phasing!$Y536,IF($B$5="Year",SUMIF(Phasing!$E$3:$X$3,$D$5,Phasing!$E536:$X536),SUMIF(Phasing!$E$4:$X$4,$B$6,Phasing!$E536:$X536))))</f>
        <v>0</v>
      </c>
      <c r="M199" s="98">
        <f>IF($A199="",0,IF(AND(Inputs!$D32&lt;=$F$6,Inputs!$E32&gt;=$D$6),1,0))</f>
        <v>0</v>
      </c>
      <c r="N199" s="98" t="str">
        <f>IF($M199=0,"",SUM($M$173:$M199))</f>
        <v/>
      </c>
      <c r="O199" s="103">
        <f>IF($A199="",0,IF($B$5="All Time",Phasing!$Y621,IF($B$5="Year",SUMIF(Phasing!$E$3:$X$3,$D$5,Phasing!$E621:$X621),SUMIF(Phasing!$E$4:$X$4,$B$6,Phasing!$E621:$X621))))</f>
        <v>0</v>
      </c>
      <c r="P199" s="103" cm="1">
        <f t="array" aca="1" ref="P199" ca="1">IF($A199="",0,IF($B$5="All Time",SUMPRODUCT(Phasing!$D206:$X206,Analysis!$D$31:$X$31),IF($B$5="Year",SUMPRODUCT((Analysis!$E$3:$X$3=$D$5)*Phasing!$E206:$X206*Analysis!$E$31:$X$31),SUMPRODUCT((Analysis!$E$4:$X$4=$B$6)*Phasing!$E206:$X206*Analysis!$E$31:$X$31))))</f>
        <v>0</v>
      </c>
    </row>
    <row r="200" spans="1:16" x14ac:dyDescent="0.3">
      <c r="A200" s="98" t="str">
        <f>IF(Inputs!$A33="","",Inputs!$A33)</f>
        <v>Chargable Proposals 25</v>
      </c>
      <c r="B200" s="98">
        <f>IF($A200="",0,Inputs!$C33)</f>
        <v>3</v>
      </c>
      <c r="C200" s="98">
        <f>IF($A200="","",Inputs!$D33)</f>
        <v>45839</v>
      </c>
      <c r="D200" s="98">
        <f>IF($A200="","",Inputs!$E33)</f>
        <v>45930</v>
      </c>
      <c r="E200" s="98" t="str">
        <f>IF($A200="","",Inputs!$F33)</f>
        <v>Finalized</v>
      </c>
      <c r="F200" s="98">
        <f>IF($A200="",0,Inputs!$G33)</f>
        <v>1</v>
      </c>
      <c r="G200" s="98">
        <f>IF($A200="",0,Inputs!$P33)</f>
        <v>3.9432432432432432</v>
      </c>
      <c r="H200" s="98">
        <f>IF($A200="",0,Inputs!$Q33)</f>
        <v>3.9432432432432432</v>
      </c>
      <c r="I200" s="98">
        <f>IF($A200="",0,Inputs!$R33)</f>
        <v>0</v>
      </c>
      <c r="J200" s="98">
        <f>IF($A200="",0,Inputs!$T33)</f>
        <v>-0.94324324324324316</v>
      </c>
      <c r="K200" s="98">
        <f>IF($A200="",0,IF($B$5="All Time",Phasing!$Y207,IF($B$5="Year",SUMIF(Phasing!$E$3:$X$3,$D$5,Phasing!$E207:$X207),SUMIF(Phasing!$E$4:$X$4,$B$6,Phasing!$E207:$X207))))</f>
        <v>0</v>
      </c>
      <c r="L200" s="98">
        <f>IF($A200="",0,IF($B$5="All Time",Phasing!$Y537,IF($B$5="Year",SUMIF(Phasing!$E$3:$X$3,$D$5,Phasing!$E537:$X537),SUMIF(Phasing!$E$4:$X$4,$B$6,Phasing!$E537:$X537))))</f>
        <v>0</v>
      </c>
      <c r="M200" s="98">
        <f>IF($A200="",0,IF(AND(Inputs!$D33&lt;=$F$6,Inputs!$E33&gt;=$D$6),1,0))</f>
        <v>0</v>
      </c>
      <c r="N200" s="98" t="str">
        <f>IF($M200=0,"",SUM($M$173:$M200))</f>
        <v/>
      </c>
      <c r="O200" s="103">
        <f>IF($A200="",0,IF($B$5="All Time",Phasing!$Y622,IF($B$5="Year",SUMIF(Phasing!$E$3:$X$3,$D$5,Phasing!$E622:$X622),SUMIF(Phasing!$E$4:$X$4,$B$6,Phasing!$E622:$X622))))</f>
        <v>0</v>
      </c>
      <c r="P200" s="103" cm="1">
        <f t="array" aca="1" ref="P200" ca="1">IF($A200="",0,IF($B$5="All Time",SUMPRODUCT(Phasing!$D207:$X207,Analysis!$D$31:$X$31),IF($B$5="Year",SUMPRODUCT((Analysis!$E$3:$X$3=$D$5)*Phasing!$E207:$X207*Analysis!$E$31:$X$31),SUMPRODUCT((Analysis!$E$4:$X$4=$B$6)*Phasing!$E207:$X207*Analysis!$E$31:$X$31))))</f>
        <v>0</v>
      </c>
    </row>
    <row r="201" spans="1:16" x14ac:dyDescent="0.3">
      <c r="A201" s="98" t="str">
        <f>IF(Inputs!$A34="","",Inputs!$A34)</f>
        <v>AD23051-0101D</v>
      </c>
      <c r="B201" s="98">
        <f>IF($A201="",0,Inputs!$C34)</f>
        <v>0.5</v>
      </c>
      <c r="C201" s="98">
        <f>IF($A201="","",Inputs!$D34)</f>
        <v>45292</v>
      </c>
      <c r="D201" s="98">
        <f>IF($A201="","",Inputs!$E34)</f>
        <v>45382</v>
      </c>
      <c r="E201" s="98" t="str">
        <f>IF($A201="","",Inputs!$F34)</f>
        <v>Cancelled</v>
      </c>
      <c r="F201" s="98">
        <f>IF($A201="",0,Inputs!$G34)</f>
        <v>1</v>
      </c>
      <c r="G201" s="98">
        <f>IF($A201="",0,Inputs!$P34)</f>
        <v>0.14189189189189189</v>
      </c>
      <c r="H201" s="98">
        <f>IF($A201="",0,Inputs!$Q34)</f>
        <v>0.14189189189189189</v>
      </c>
      <c r="I201" s="98">
        <f>IF($A201="",0,Inputs!$R34)</f>
        <v>0</v>
      </c>
      <c r="J201" s="98">
        <f>IF($A201="",0,Inputs!$T34)</f>
        <v>0.35810810810810811</v>
      </c>
      <c r="K201" s="98">
        <f>IF($A201="",0,IF($B$5="All Time",Phasing!$Y208,IF($B$5="Year",SUMIF(Phasing!$E$3:$X$3,$D$5,Phasing!$E208:$X208),SUMIF(Phasing!$E$4:$X$4,$B$6,Phasing!$E208:$X208))))</f>
        <v>0</v>
      </c>
      <c r="L201" s="98">
        <f>IF($A201="",0,IF($B$5="All Time",Phasing!$Y538,IF($B$5="Year",SUMIF(Phasing!$E$3:$X$3,$D$5,Phasing!$E538:$X538),SUMIF(Phasing!$E$4:$X$4,$B$6,Phasing!$E538:$X538))))</f>
        <v>0</v>
      </c>
      <c r="M201" s="98">
        <f>IF($A201="",0,IF(AND(Inputs!$D34&lt;=$F$6,Inputs!$E34&gt;=$D$6),1,0))</f>
        <v>0</v>
      </c>
      <c r="N201" s="98" t="str">
        <f>IF($M201=0,"",SUM($M$173:$M201))</f>
        <v/>
      </c>
      <c r="O201" s="103">
        <f>IF($A201="",0,IF($B$5="All Time",Phasing!$Y623,IF($B$5="Year",SUMIF(Phasing!$E$3:$X$3,$D$5,Phasing!$E623:$X623),SUMIF(Phasing!$E$4:$X$4,$B$6,Phasing!$E623:$X623))))</f>
        <v>0</v>
      </c>
      <c r="P201" s="103" cm="1">
        <f t="array" aca="1" ref="P201" ca="1">IF($A201="",0,IF($B$5="All Time",SUMPRODUCT(Phasing!$D208:$X208,Analysis!$D$31:$X$31),IF($B$5="Year",SUMPRODUCT((Analysis!$E$3:$X$3=$D$5)*Phasing!$E208:$X208*Analysis!$E$31:$X$31),SUMPRODUCT((Analysis!$E$4:$X$4=$B$6)*Phasing!$E208:$X208*Analysis!$E$31:$X$31))))</f>
        <v>0</v>
      </c>
    </row>
    <row r="202" spans="1:16" x14ac:dyDescent="0.3">
      <c r="A202" s="98" t="str">
        <f>IF(Inputs!$A35="","",Inputs!$A35)</f>
        <v>AN21146-0100R</v>
      </c>
      <c r="B202" s="98">
        <f>IF($A202="",0,Inputs!$C35)</f>
        <v>3</v>
      </c>
      <c r="C202" s="98">
        <f>IF($A202="","",Inputs!$D35)</f>
        <v>45352</v>
      </c>
      <c r="D202" s="98">
        <f>IF($A202="","",Inputs!$E35)</f>
        <v>45565</v>
      </c>
      <c r="E202" s="98" t="str">
        <f>IF($A202="","",Inputs!$F35)</f>
        <v>Finalized</v>
      </c>
      <c r="F202" s="98">
        <f>IF($A202="",0,Inputs!$G35)</f>
        <v>1</v>
      </c>
      <c r="G202" s="98">
        <f>IF($A202="",0,Inputs!$P35)</f>
        <v>0.51891891891891895</v>
      </c>
      <c r="H202" s="98">
        <f>IF($A202="",0,Inputs!$Q35)</f>
        <v>0.51891891891891895</v>
      </c>
      <c r="I202" s="98">
        <f>IF($A202="",0,Inputs!$R35)</f>
        <v>0</v>
      </c>
      <c r="J202" s="98">
        <f>IF($A202="",0,Inputs!$T35)</f>
        <v>2.4810810810810811</v>
      </c>
      <c r="K202" s="98">
        <f>IF($A202="",0,IF($B$5="All Time",Phasing!$Y209,IF($B$5="Year",SUMIF(Phasing!$E$3:$X$3,$D$5,Phasing!$E209:$X209),SUMIF(Phasing!$E$4:$X$4,$B$6,Phasing!$E209:$X209))))</f>
        <v>0</v>
      </c>
      <c r="L202" s="98">
        <f>IF($A202="",0,IF($B$5="All Time",Phasing!$Y539,IF($B$5="Year",SUMIF(Phasing!$E$3:$X$3,$D$5,Phasing!$E539:$X539),SUMIF(Phasing!$E$4:$X$4,$B$6,Phasing!$E539:$X539))))</f>
        <v>0</v>
      </c>
      <c r="M202" s="98">
        <f>IF($A202="",0,IF(AND(Inputs!$D35&lt;=$F$6,Inputs!$E35&gt;=$D$6),1,0))</f>
        <v>0</v>
      </c>
      <c r="N202" s="98" t="str">
        <f>IF($M202=0,"",SUM($M$173:$M202))</f>
        <v/>
      </c>
      <c r="O202" s="103">
        <f>IF($A202="",0,IF($B$5="All Time",Phasing!$Y624,IF($B$5="Year",SUMIF(Phasing!$E$3:$X$3,$D$5,Phasing!$E624:$X624),SUMIF(Phasing!$E$4:$X$4,$B$6,Phasing!$E624:$X624))))</f>
        <v>0</v>
      </c>
      <c r="P202" s="103" cm="1">
        <f t="array" aca="1" ref="P202" ca="1">IF($A202="",0,IF($B$5="All Time",SUMPRODUCT(Phasing!$D209:$X209,Analysis!$D$31:$X$31),IF($B$5="Year",SUMPRODUCT((Analysis!$E$3:$X$3=$D$5)*Phasing!$E209:$X209*Analysis!$E$31:$X$31),SUMPRODUCT((Analysis!$E$4:$X$4=$B$6)*Phasing!$E209:$X209*Analysis!$E$31:$X$31))))</f>
        <v>0</v>
      </c>
    </row>
    <row r="203" spans="1:16" x14ac:dyDescent="0.3">
      <c r="A203" s="98" t="str">
        <f>IF(Inputs!$A36="","",Inputs!$A36)</f>
        <v>N23106-0100D</v>
      </c>
      <c r="B203" s="98">
        <f>IF($A203="",0,Inputs!$C36)</f>
        <v>5</v>
      </c>
      <c r="C203" s="98">
        <f>IF($A203="","",Inputs!$D36)</f>
        <v>45352</v>
      </c>
      <c r="D203" s="98">
        <f>IF($A203="","",Inputs!$E36)</f>
        <v>45565</v>
      </c>
      <c r="E203" s="98" t="str">
        <f>IF($A203="","",Inputs!$F36)</f>
        <v>Finalized</v>
      </c>
      <c r="F203" s="98">
        <f>IF($A203="",0,Inputs!$G36)</f>
        <v>1</v>
      </c>
      <c r="G203" s="98">
        <f>IF($A203="",0,Inputs!$P36)</f>
        <v>3.3216216216216221</v>
      </c>
      <c r="H203" s="98">
        <f>IF($A203="",0,Inputs!$Q36)</f>
        <v>3.3216216216216221</v>
      </c>
      <c r="I203" s="98">
        <f>IF($A203="",0,Inputs!$R36)</f>
        <v>0</v>
      </c>
      <c r="J203" s="98">
        <f>IF($A203="",0,Inputs!$T36)</f>
        <v>1.6783783783783779</v>
      </c>
      <c r="K203" s="98">
        <f>IF($A203="",0,IF($B$5="All Time",Phasing!$Y210,IF($B$5="Year",SUMIF(Phasing!$E$3:$X$3,$D$5,Phasing!$E210:$X210),SUMIF(Phasing!$E$4:$X$4,$B$6,Phasing!$E210:$X210))))</f>
        <v>0</v>
      </c>
      <c r="L203" s="98">
        <f>IF($A203="",0,IF($B$5="All Time",Phasing!$Y540,IF($B$5="Year",SUMIF(Phasing!$E$3:$X$3,$D$5,Phasing!$E540:$X540),SUMIF(Phasing!$E$4:$X$4,$B$6,Phasing!$E540:$X540))))</f>
        <v>0.44054054054054054</v>
      </c>
      <c r="M203" s="98">
        <f>IF($A203="",0,IF(AND(Inputs!$D36&lt;=$F$6,Inputs!$E36&gt;=$D$6),1,0))</f>
        <v>0</v>
      </c>
      <c r="N203" s="98" t="str">
        <f>IF($M203=0,"",SUM($M$173:$M203))</f>
        <v/>
      </c>
      <c r="O203" s="103">
        <f>IF($A203="",0,IF($B$5="All Time",Phasing!$Y625,IF($B$5="Year",SUMIF(Phasing!$E$3:$X$3,$D$5,Phasing!$E625:$X625),SUMIF(Phasing!$E$4:$X$4,$B$6,Phasing!$E625:$X625))))</f>
        <v>0.66314076484947115</v>
      </c>
      <c r="P203" s="103" cm="1">
        <f t="array" aca="1" ref="P203" ca="1">IF($A203="",0,IF($B$5="All Time",SUMPRODUCT(Phasing!$D210:$X210,Analysis!$D$31:$X$31),IF($B$5="Year",SUMPRODUCT((Analysis!$E$3:$X$3=$D$5)*Phasing!$E210:$X210*Analysis!$E$31:$X$31),SUMPRODUCT((Analysis!$E$4:$X$4=$B$6)*Phasing!$E210:$X210*Analysis!$E$31:$X$31))))</f>
        <v>0</v>
      </c>
    </row>
    <row r="204" spans="1:16" x14ac:dyDescent="0.3">
      <c r="A204" s="98" t="str">
        <f>IF(Inputs!$A37="","",Inputs!$A37)</f>
        <v>OM23030-0100D</v>
      </c>
      <c r="B204" s="98">
        <f>IF($A204="",0,Inputs!$C37)</f>
        <v>0.25</v>
      </c>
      <c r="C204" s="98">
        <f>IF($A204="","",Inputs!$D37)</f>
        <v>45352</v>
      </c>
      <c r="D204" s="98">
        <f>IF($A204="","",Inputs!$E37)</f>
        <v>45473</v>
      </c>
      <c r="E204" s="98" t="str">
        <f>IF($A204="","",Inputs!$F37)</f>
        <v>Finalized</v>
      </c>
      <c r="F204" s="98">
        <f>IF($A204="",0,Inputs!$G37)</f>
        <v>1</v>
      </c>
      <c r="G204" s="98">
        <f>IF($A204="",0,Inputs!$P37)</f>
        <v>0.14729729729729729</v>
      </c>
      <c r="H204" s="98">
        <f>IF($A204="",0,Inputs!$Q37)</f>
        <v>0.14729729729729729</v>
      </c>
      <c r="I204" s="98">
        <f>IF($A204="",0,Inputs!$R37)</f>
        <v>0</v>
      </c>
      <c r="J204" s="98">
        <f>IF($A204="",0,Inputs!$T37)</f>
        <v>0.10270270270270271</v>
      </c>
      <c r="K204" s="98">
        <f>IF($A204="",0,IF($B$5="All Time",Phasing!$Y211,IF($B$5="Year",SUMIF(Phasing!$E$3:$X$3,$D$5,Phasing!$E211:$X211),SUMIF(Phasing!$E$4:$X$4,$B$6,Phasing!$E211:$X211))))</f>
        <v>0</v>
      </c>
      <c r="L204" s="98">
        <f>IF($A204="",0,IF($B$5="All Time",Phasing!$Y541,IF($B$5="Year",SUMIF(Phasing!$E$3:$X$3,$D$5,Phasing!$E541:$X541),SUMIF(Phasing!$E$4:$X$4,$B$6,Phasing!$E541:$X541))))</f>
        <v>0</v>
      </c>
      <c r="M204" s="98">
        <f>IF($A204="",0,IF(AND(Inputs!$D37&lt;=$F$6,Inputs!$E37&gt;=$D$6),1,0))</f>
        <v>0</v>
      </c>
      <c r="N204" s="98" t="str">
        <f>IF($M204=0,"",SUM($M$173:$M204))</f>
        <v/>
      </c>
      <c r="O204" s="103">
        <f>IF($A204="",0,IF($B$5="All Time",Phasing!$Y626,IF($B$5="Year",SUMIF(Phasing!$E$3:$X$3,$D$5,Phasing!$E626:$X626),SUMIF(Phasing!$E$4:$X$4,$B$6,Phasing!$E626:$X626))))</f>
        <v>0</v>
      </c>
      <c r="P204" s="103" cm="1">
        <f t="array" aca="1" ref="P204" ca="1">IF($A204="",0,IF($B$5="All Time",SUMPRODUCT(Phasing!$D211:$X211,Analysis!$D$31:$X$31),IF($B$5="Year",SUMPRODUCT((Analysis!$E$3:$X$3=$D$5)*Phasing!$E211:$X211*Analysis!$E$31:$X$31),SUMPRODUCT((Analysis!$E$4:$X$4=$B$6)*Phasing!$E211:$X211*Analysis!$E$31:$X$31))))</f>
        <v>0</v>
      </c>
    </row>
    <row r="205" spans="1:16" x14ac:dyDescent="0.3">
      <c r="A205" s="98" t="str">
        <f>IF(Inputs!$A38="","",Inputs!$A38)</f>
        <v>Chargable Proposals 24</v>
      </c>
      <c r="B205" s="98">
        <f>IF($A205="",0,Inputs!$C38)</f>
        <v>2.25</v>
      </c>
      <c r="C205" s="98">
        <f>IF($A205="","",Inputs!$D38)</f>
        <v>45292</v>
      </c>
      <c r="D205" s="98">
        <f>IF($A205="","",Inputs!$E38)</f>
        <v>45657</v>
      </c>
      <c r="E205" s="98" t="str">
        <f>IF($A205="","",Inputs!$F38)</f>
        <v>Finalized</v>
      </c>
      <c r="F205" s="98">
        <f>IF($A205="",0,Inputs!$G38)</f>
        <v>1</v>
      </c>
      <c r="G205" s="98">
        <f>IF($A205="",0,Inputs!$P38)</f>
        <v>1.854054054054054</v>
      </c>
      <c r="H205" s="98">
        <f>IF($A205="",0,Inputs!$Q38)</f>
        <v>1.854054054054054</v>
      </c>
      <c r="I205" s="98">
        <f>IF($A205="",0,Inputs!$R38)</f>
        <v>0</v>
      </c>
      <c r="J205" s="98">
        <f>IF($A205="",0,Inputs!$T38)</f>
        <v>0.39594594594594601</v>
      </c>
      <c r="K205" s="98">
        <f>IF($A205="",0,IF($B$5="All Time",Phasing!$Y212,IF($B$5="Year",SUMIF(Phasing!$E$3:$X$3,$D$5,Phasing!$E212:$X212),SUMIF(Phasing!$E$4:$X$4,$B$6,Phasing!$E212:$X212))))</f>
        <v>0</v>
      </c>
      <c r="L205" s="98">
        <f>IF($A205="",0,IF($B$5="All Time",Phasing!$Y542,IF($B$5="Year",SUMIF(Phasing!$E$3:$X$3,$D$5,Phasing!$E542:$X542),SUMIF(Phasing!$E$4:$X$4,$B$6,Phasing!$E542:$X542))))</f>
        <v>0</v>
      </c>
      <c r="M205" s="98">
        <f>IF($A205="",0,IF(AND(Inputs!$D38&lt;=$F$6,Inputs!$E38&gt;=$D$6),1,0))</f>
        <v>0</v>
      </c>
      <c r="N205" s="98" t="str">
        <f>IF($M205=0,"",SUM($M$173:$M205))</f>
        <v/>
      </c>
      <c r="O205" s="103">
        <f>IF($A205="",0,IF($B$5="All Time",Phasing!$Y627,IF($B$5="Year",SUMIF(Phasing!$E$3:$X$3,$D$5,Phasing!$E627:$X627),SUMIF(Phasing!$E$4:$X$4,$B$6,Phasing!$E627:$X627))))</f>
        <v>0</v>
      </c>
      <c r="P205" s="103" cm="1">
        <f t="array" aca="1" ref="P205" ca="1">IF($A205="",0,IF($B$5="All Time",SUMPRODUCT(Phasing!$D212:$X212,Analysis!$D$31:$X$31),IF($B$5="Year",SUMPRODUCT((Analysis!$E$3:$X$3=$D$5)*Phasing!$E212:$X212*Analysis!$E$31:$X$31),SUMPRODUCT((Analysis!$E$4:$X$4=$B$6)*Phasing!$E212:$X212*Analysis!$E$31:$X$31))))</f>
        <v>0</v>
      </c>
    </row>
    <row r="206" spans="1:16" x14ac:dyDescent="0.3">
      <c r="A206" s="98" t="str">
        <f>IF(Inputs!$A39="","",Inputs!$A39)</f>
        <v>Proposals 24</v>
      </c>
      <c r="B206" s="98">
        <f>IF($A206="",0,Inputs!$C39)</f>
        <v>1.1000000000000001</v>
      </c>
      <c r="C206" s="98">
        <f>IF($A206="","",Inputs!$D39)</f>
        <v>45292</v>
      </c>
      <c r="D206" s="98">
        <f>IF($A206="","",Inputs!$E39)</f>
        <v>45657</v>
      </c>
      <c r="E206" s="98" t="str">
        <f>IF($A206="","",Inputs!$F39)</f>
        <v>Finalized</v>
      </c>
      <c r="F206" s="98">
        <f>IF($A206="",0,Inputs!$G39)</f>
        <v>1</v>
      </c>
      <c r="G206" s="98">
        <f>IF($A206="",0,Inputs!$P39)</f>
        <v>0.53648648648648645</v>
      </c>
      <c r="H206" s="98">
        <f>IF($A206="",0,Inputs!$Q39)</f>
        <v>0.53648648648648645</v>
      </c>
      <c r="I206" s="98">
        <f>IF($A206="",0,Inputs!$R39)</f>
        <v>0</v>
      </c>
      <c r="J206" s="98">
        <f>IF($A206="",0,Inputs!$T39)</f>
        <v>0.56351351351351364</v>
      </c>
      <c r="K206" s="98">
        <f>IF($A206="",0,IF($B$5="All Time",Phasing!$Y213,IF($B$5="Year",SUMIF(Phasing!$E$3:$X$3,$D$5,Phasing!$E213:$X213),SUMIF(Phasing!$E$4:$X$4,$B$6,Phasing!$E213:$X213))))</f>
        <v>0</v>
      </c>
      <c r="L206" s="98">
        <f>IF($A206="",0,IF($B$5="All Time",Phasing!$Y543,IF($B$5="Year",SUMIF(Phasing!$E$3:$X$3,$D$5,Phasing!$E543:$X543),SUMIF(Phasing!$E$4:$X$4,$B$6,Phasing!$E543:$X543))))</f>
        <v>0</v>
      </c>
      <c r="M206" s="98">
        <f>IF($A206="",0,IF(AND(Inputs!$D39&lt;=$F$6,Inputs!$E39&gt;=$D$6),1,0))</f>
        <v>0</v>
      </c>
      <c r="N206" s="98" t="str">
        <f>IF($M206=0,"",SUM($M$173:$M206))</f>
        <v/>
      </c>
      <c r="O206" s="103">
        <f>IF($A206="",0,IF($B$5="All Time",Phasing!$Y628,IF($B$5="Year",SUMIF(Phasing!$E$3:$X$3,$D$5,Phasing!$E628:$X628),SUMIF(Phasing!$E$4:$X$4,$B$6,Phasing!$E628:$X628))))</f>
        <v>0</v>
      </c>
      <c r="P206" s="103" cm="1">
        <f t="array" aca="1" ref="P206" ca="1">IF($A206="",0,IF($B$5="All Time",SUMPRODUCT(Phasing!$D213:$X213,Analysis!$D$31:$X$31),IF($B$5="Year",SUMPRODUCT((Analysis!$E$3:$X$3=$D$5)*Phasing!$E213:$X213*Analysis!$E$31:$X$31),SUMPRODUCT((Analysis!$E$4:$X$4=$B$6)*Phasing!$E213:$X213*Analysis!$E$31:$X$31))))</f>
        <v>0</v>
      </c>
    </row>
    <row r="207" spans="1:16" x14ac:dyDescent="0.3">
      <c r="A207" s="98" t="str">
        <f>IF(Inputs!$A40="","",Inputs!$A40)</f>
        <v>S23204-0100D</v>
      </c>
      <c r="B207" s="98">
        <f>IF($A207="",0,Inputs!$C40)</f>
        <v>1.5</v>
      </c>
      <c r="C207" s="98">
        <f>IF($A207="","",Inputs!$D40)</f>
        <v>45292</v>
      </c>
      <c r="D207" s="98">
        <f>IF($A207="","",Inputs!$E40)</f>
        <v>45382</v>
      </c>
      <c r="E207" s="98" t="str">
        <f>IF($A207="","",Inputs!$F40)</f>
        <v>Finalized</v>
      </c>
      <c r="F207" s="98">
        <f>IF($A207="",0,Inputs!$G40)</f>
        <v>1</v>
      </c>
      <c r="G207" s="98">
        <f>IF($A207="",0,Inputs!$P40)</f>
        <v>4.5945945945945948E-2</v>
      </c>
      <c r="H207" s="98">
        <f>IF($A207="",0,Inputs!$Q40)</f>
        <v>4.5945945945945948E-2</v>
      </c>
      <c r="I207" s="98">
        <f>IF($A207="",0,Inputs!$R40)</f>
        <v>0</v>
      </c>
      <c r="J207" s="98">
        <f>IF($A207="",0,Inputs!$T40)</f>
        <v>1.4540540540540541</v>
      </c>
      <c r="K207" s="98">
        <f>IF($A207="",0,IF($B$5="All Time",Phasing!$Y214,IF($B$5="Year",SUMIF(Phasing!$E$3:$X$3,$D$5,Phasing!$E214:$X214),SUMIF(Phasing!$E$4:$X$4,$B$6,Phasing!$E214:$X214))))</f>
        <v>0</v>
      </c>
      <c r="L207" s="98">
        <f>IF($A207="",0,IF($B$5="All Time",Phasing!$Y544,IF($B$5="Year",SUMIF(Phasing!$E$3:$X$3,$D$5,Phasing!$E544:$X544),SUMIF(Phasing!$E$4:$X$4,$B$6,Phasing!$E544:$X544))))</f>
        <v>0</v>
      </c>
      <c r="M207" s="98">
        <f>IF($A207="",0,IF(AND(Inputs!$D40&lt;=$F$6,Inputs!$E40&gt;=$D$6),1,0))</f>
        <v>0</v>
      </c>
      <c r="N207" s="98" t="str">
        <f>IF($M207=0,"",SUM($M$173:$M207))</f>
        <v/>
      </c>
      <c r="O207" s="103">
        <f>IF($A207="",0,IF($B$5="All Time",Phasing!$Y629,IF($B$5="Year",SUMIF(Phasing!$E$3:$X$3,$D$5,Phasing!$E629:$X629),SUMIF(Phasing!$E$4:$X$4,$B$6,Phasing!$E629:$X629))))</f>
        <v>0</v>
      </c>
      <c r="P207" s="103" cm="1">
        <f t="array" aca="1" ref="P207" ca="1">IF($A207="",0,IF($B$5="All Time",SUMPRODUCT(Phasing!$D214:$X214,Analysis!$D$31:$X$31),IF($B$5="Year",SUMPRODUCT((Analysis!$E$3:$X$3=$D$5)*Phasing!$E214:$X214*Analysis!$E$31:$X$31),SUMPRODUCT((Analysis!$E$4:$X$4=$B$6)*Phasing!$E214:$X214*Analysis!$E$31:$X$31))))</f>
        <v>0</v>
      </c>
    </row>
    <row r="208" spans="1:16" x14ac:dyDescent="0.3">
      <c r="A208" s="98" t="str">
        <f>IF(Inputs!$A41="","",Inputs!$A41)</f>
        <v>S24100-0100D</v>
      </c>
      <c r="B208" s="98">
        <f>IF($A208="",0,Inputs!$C41)</f>
        <v>3</v>
      </c>
      <c r="C208" s="98">
        <f>IF($A208="","",Inputs!$D41)</f>
        <v>45474</v>
      </c>
      <c r="D208" s="98">
        <f>IF($A208="","",Inputs!$E41)</f>
        <v>45657</v>
      </c>
      <c r="E208" s="98" t="str">
        <f>IF($A208="","",Inputs!$F41)</f>
        <v>Finalized</v>
      </c>
      <c r="F208" s="98">
        <f>IF($A208="",0,Inputs!$G41)</f>
        <v>1</v>
      </c>
      <c r="G208" s="98">
        <f>IF($A208="",0,Inputs!$P41)</f>
        <v>1.0054054054054056</v>
      </c>
      <c r="H208" s="98">
        <f>IF($A208="",0,Inputs!$Q41)</f>
        <v>1.0054054054054056</v>
      </c>
      <c r="I208" s="98">
        <f>IF($A208="",0,Inputs!$R41)</f>
        <v>0</v>
      </c>
      <c r="J208" s="98">
        <f>IF($A208="",0,Inputs!$T41)</f>
        <v>1.9945945945945944</v>
      </c>
      <c r="K208" s="98">
        <f>IF($A208="",0,IF($B$5="All Time",Phasing!$Y215,IF($B$5="Year",SUMIF(Phasing!$E$3:$X$3,$D$5,Phasing!$E215:$X215),SUMIF(Phasing!$E$4:$X$4,$B$6,Phasing!$E215:$X215))))</f>
        <v>0</v>
      </c>
      <c r="L208" s="98">
        <f>IF($A208="",0,IF($B$5="All Time",Phasing!$Y545,IF($B$5="Year",SUMIF(Phasing!$E$3:$X$3,$D$5,Phasing!$E545:$X545),SUMIF(Phasing!$E$4:$X$4,$B$6,Phasing!$E545:$X545))))</f>
        <v>0</v>
      </c>
      <c r="M208" s="98">
        <f>IF($A208="",0,IF(AND(Inputs!$D41&lt;=$F$6,Inputs!$E41&gt;=$D$6),1,0))</f>
        <v>0</v>
      </c>
      <c r="N208" s="98" t="str">
        <f>IF($M208=0,"",SUM($M$173:$M208))</f>
        <v/>
      </c>
      <c r="O208" s="103">
        <f>IF($A208="",0,IF($B$5="All Time",Phasing!$Y630,IF($B$5="Year",SUMIF(Phasing!$E$3:$X$3,$D$5,Phasing!$E630:$X630),SUMIF(Phasing!$E$4:$X$4,$B$6,Phasing!$E630:$X630))))</f>
        <v>0</v>
      </c>
      <c r="P208" s="103" cm="1">
        <f t="array" aca="1" ref="P208" ca="1">IF($A208="",0,IF($B$5="All Time",SUMPRODUCT(Phasing!$D215:$X215,Analysis!$D$31:$X$31),IF($B$5="Year",SUMPRODUCT((Analysis!$E$3:$X$3=$D$5)*Phasing!$E215:$X215*Analysis!$E$31:$X$31),SUMPRODUCT((Analysis!$E$4:$X$4=$B$6)*Phasing!$E215:$X215*Analysis!$E$31:$X$31))))</f>
        <v>0</v>
      </c>
    </row>
    <row r="209" spans="1:16" x14ac:dyDescent="0.3">
      <c r="A209" s="98" t="str">
        <f>IF(Inputs!$A42="","",Inputs!$A42)</f>
        <v>TA23011-0100R</v>
      </c>
      <c r="B209" s="98">
        <f>IF($A209="",0,Inputs!$C42)</f>
        <v>0.1</v>
      </c>
      <c r="C209" s="98">
        <f>IF($A209="","",Inputs!$D42)</f>
        <v>45292</v>
      </c>
      <c r="D209" s="98">
        <f>IF($A209="","",Inputs!$E42)</f>
        <v>45382</v>
      </c>
      <c r="E209" s="98" t="str">
        <f>IF($A209="","",Inputs!$F42)</f>
        <v>Finalized</v>
      </c>
      <c r="F209" s="98">
        <f>IF($A209="",0,Inputs!$G42)</f>
        <v>1</v>
      </c>
      <c r="G209" s="98">
        <f>IF($A209="",0,Inputs!$P42)</f>
        <v>5.4054054054054057E-2</v>
      </c>
      <c r="H209" s="98">
        <f>IF($A209="",0,Inputs!$Q42)</f>
        <v>5.4054054054054057E-2</v>
      </c>
      <c r="I209" s="98">
        <f>IF($A209="",0,Inputs!$R42)</f>
        <v>0</v>
      </c>
      <c r="J209" s="98">
        <f>IF($A209="",0,Inputs!$T42)</f>
        <v>4.5945945945945948E-2</v>
      </c>
      <c r="K209" s="98">
        <f>IF($A209="",0,IF($B$5="All Time",Phasing!$Y216,IF($B$5="Year",SUMIF(Phasing!$E$3:$X$3,$D$5,Phasing!$E216:$X216),SUMIF(Phasing!$E$4:$X$4,$B$6,Phasing!$E216:$X216))))</f>
        <v>0</v>
      </c>
      <c r="L209" s="98">
        <f>IF($A209="",0,IF($B$5="All Time",Phasing!$Y546,IF($B$5="Year",SUMIF(Phasing!$E$3:$X$3,$D$5,Phasing!$E546:$X546),SUMIF(Phasing!$E$4:$X$4,$B$6,Phasing!$E546:$X546))))</f>
        <v>0</v>
      </c>
      <c r="M209" s="98">
        <f>IF($A209="",0,IF(AND(Inputs!$D42&lt;=$F$6,Inputs!$E42&gt;=$D$6),1,0))</f>
        <v>0</v>
      </c>
      <c r="N209" s="98" t="str">
        <f>IF($M209=0,"",SUM($M$173:$M209))</f>
        <v/>
      </c>
      <c r="O209" s="103">
        <f>IF($A209="",0,IF($B$5="All Time",Phasing!$Y631,IF($B$5="Year",SUMIF(Phasing!$E$3:$X$3,$D$5,Phasing!$E631:$X631),SUMIF(Phasing!$E$4:$X$4,$B$6,Phasing!$E631:$X631))))</f>
        <v>0</v>
      </c>
      <c r="P209" s="103" cm="1">
        <f t="array" aca="1" ref="P209" ca="1">IF($A209="",0,IF($B$5="All Time",SUMPRODUCT(Phasing!$D216:$X216,Analysis!$D$31:$X$31),IF($B$5="Year",SUMPRODUCT((Analysis!$E$3:$X$3=$D$5)*Phasing!$E216:$X216*Analysis!$E$31:$X$31),SUMPRODUCT((Analysis!$E$4:$X$4=$B$6)*Phasing!$E216:$X216*Analysis!$E$31:$X$31))))</f>
        <v>0</v>
      </c>
    </row>
    <row r="210" spans="1:16" x14ac:dyDescent="0.3">
      <c r="A210" s="98" t="str">
        <f>IF(Inputs!$A43="","",Inputs!$A43)</f>
        <v>AL25148-0100D</v>
      </c>
      <c r="B210" s="98">
        <f>IF($A210="",0,Inputs!$C43)</f>
        <v>10</v>
      </c>
      <c r="C210" s="98">
        <f>IF($A210="","",Inputs!$D43)</f>
        <v>46388</v>
      </c>
      <c r="D210" s="98">
        <f>IF($A210="","",Inputs!$E43)</f>
        <v>46752</v>
      </c>
      <c r="E210" s="98" t="str">
        <f>IF($A210="","",Inputs!$F43)</f>
        <v>Not Started</v>
      </c>
      <c r="F210" s="98">
        <f>IF($A210="",0,Inputs!$G43)</f>
        <v>0</v>
      </c>
      <c r="G210" s="98">
        <f>IF($A210="",0,Inputs!$P43)</f>
        <v>0</v>
      </c>
      <c r="H210" s="98">
        <f>IF($A210="",0,Inputs!$Q43)</f>
        <v>10</v>
      </c>
      <c r="I210" s="98">
        <f>IF($A210="",0,Inputs!$R43)</f>
        <v>10</v>
      </c>
      <c r="J210" s="98">
        <f>IF($A210="",0,Inputs!$T43)</f>
        <v>0</v>
      </c>
      <c r="K210" s="98">
        <f>IF($A210="",0,IF($B$5="All Time",Phasing!$Y217,IF($B$5="Year",SUMIF(Phasing!$E$3:$X$3,$D$5,Phasing!$E217:$X217),SUMIF(Phasing!$E$4:$X$4,$B$6,Phasing!$E217:$X217))))</f>
        <v>0</v>
      </c>
      <c r="L210" s="98">
        <f>IF($A210="",0,IF($B$5="All Time",Phasing!$Y547,IF($B$5="Year",SUMIF(Phasing!$E$3:$X$3,$D$5,Phasing!$E547:$X547),SUMIF(Phasing!$E$4:$X$4,$B$6,Phasing!$E547:$X547))))</f>
        <v>0</v>
      </c>
      <c r="M210" s="98">
        <f>IF($A210="",0,IF(AND(Inputs!$D43&lt;=$F$6,Inputs!$E43&gt;=$D$6),1,0))</f>
        <v>0</v>
      </c>
      <c r="N210" s="98" t="str">
        <f>IF($M210=0,"",SUM($M$173:$M210))</f>
        <v/>
      </c>
      <c r="O210" s="103">
        <f>IF($A210="",0,IF($B$5="All Time",Phasing!$Y632,IF($B$5="Year",SUMIF(Phasing!$E$3:$X$3,$D$5,Phasing!$E632:$X632),SUMIF(Phasing!$E$4:$X$4,$B$6,Phasing!$E632:$X632))))</f>
        <v>0</v>
      </c>
      <c r="P210" s="103" cm="1">
        <f t="array" aca="1" ref="P210" ca="1">IF($A210="",0,IF($B$5="All Time",SUMPRODUCT(Phasing!$D217:$X217,Analysis!$D$31:$X$31),IF($B$5="Year",SUMPRODUCT((Analysis!$E$3:$X$3=$D$5)*Phasing!$E217:$X217*Analysis!$E$31:$X$31),SUMPRODUCT((Analysis!$E$4:$X$4=$B$6)*Phasing!$E217:$X217*Analysis!$E$31:$X$31))))</f>
        <v>0</v>
      </c>
    </row>
    <row r="211" spans="1:16" x14ac:dyDescent="0.3">
      <c r="A211" s="98" t="str">
        <f>IF(Inputs!$A44="","",Inputs!$A44)</f>
        <v>Chargable Proposals 26</v>
      </c>
      <c r="B211" s="98">
        <f>IF($A211="",0,Inputs!$C44)</f>
        <v>2.25</v>
      </c>
      <c r="C211" s="98">
        <f>IF($A211="","",Inputs!$D44)</f>
        <v>46023</v>
      </c>
      <c r="D211" s="98">
        <f>IF($A211="","",Inputs!$E44)</f>
        <v>46387</v>
      </c>
      <c r="E211" s="98" t="str">
        <f>IF($A211="","",Inputs!$F44)</f>
        <v>Active</v>
      </c>
      <c r="F211" s="98">
        <f>IF($A211="",0,Inputs!$G44)</f>
        <v>0.5</v>
      </c>
      <c r="G211" s="98">
        <f>IF($A211="",0,Inputs!$P44)</f>
        <v>0.33108108108108109</v>
      </c>
      <c r="H211" s="98">
        <f>IF($A211="",0,Inputs!$Q44)</f>
        <v>0.66216216216216217</v>
      </c>
      <c r="I211" s="98">
        <f>IF($A211="",0,Inputs!$R44)</f>
        <v>0.33108108108108109</v>
      </c>
      <c r="J211" s="98">
        <f>IF($A211="",0,Inputs!$T44)</f>
        <v>1.5878378378378377</v>
      </c>
      <c r="K211" s="98">
        <f>IF($A211="",0,IF($B$5="All Time",Phasing!$Y218,IF($B$5="Year",SUMIF(Phasing!$E$3:$X$3,$D$5,Phasing!$E218:$X218),SUMIF(Phasing!$E$4:$X$4,$B$6,Phasing!$E218:$X218))))</f>
        <v>2.25</v>
      </c>
      <c r="L211" s="98">
        <f>IF($A211="",0,IF($B$5="All Time",Phasing!$Y548,IF($B$5="Year",SUMIF(Phasing!$E$3:$X$3,$D$5,Phasing!$E548:$X548),SUMIF(Phasing!$E$4:$X$4,$B$6,Phasing!$E548:$X548))))</f>
        <v>0.33108108108108109</v>
      </c>
      <c r="M211" s="98">
        <f>IF($A211="",0,IF(AND(Inputs!$D44&lt;=$F$6,Inputs!$E44&gt;=$D$6),1,0))</f>
        <v>1</v>
      </c>
      <c r="N211" s="98">
        <f>IF($M211=0,"",SUM($M$173:$M211))</f>
        <v>15</v>
      </c>
      <c r="O211" s="103">
        <f>IF($A211="",0,IF($B$5="All Time",Phasing!$Y633,IF($B$5="Year",SUMIF(Phasing!$E$3:$X$3,$D$5,Phasing!$E633:$X633),SUMIF(Phasing!$E$4:$X$4,$B$6,Phasing!$E633:$X633))))</f>
        <v>1.125</v>
      </c>
      <c r="P211" s="103" cm="1">
        <f t="array" aca="1" ref="P211" ca="1">IF($A211="",0,IF($B$5="All Time",SUMPRODUCT(Phasing!$D218:$X218,Analysis!$D$31:$X$31),IF($B$5="Year",SUMPRODUCT((Analysis!$E$3:$X$3=$D$5)*Phasing!$E218:$X218*Analysis!$E$31:$X$31),SUMPRODUCT((Analysis!$E$4:$X$4=$B$6)*Phasing!$E218:$X218*Analysis!$E$31:$X$31))))</f>
        <v>1.504109589041096</v>
      </c>
    </row>
    <row r="212" spans="1:16" x14ac:dyDescent="0.3">
      <c r="A212" s="98" t="str">
        <f>IF(Inputs!$A45="","",Inputs!$A45)</f>
        <v/>
      </c>
      <c r="B212" s="98">
        <f>IF($A212="",0,Inputs!$C45)</f>
        <v>0</v>
      </c>
      <c r="C212" s="98" t="str">
        <f>IF($A212="","",Inputs!$D45)</f>
        <v/>
      </c>
      <c r="D212" s="98" t="str">
        <f>IF($A212="","",Inputs!$E45)</f>
        <v/>
      </c>
      <c r="E212" s="98" t="str">
        <f>IF($A212="","",Inputs!$F45)</f>
        <v/>
      </c>
      <c r="F212" s="98">
        <f>IF($A212="",0,Inputs!$G45)</f>
        <v>0</v>
      </c>
      <c r="G212" s="98">
        <f>IF($A212="",0,Inputs!$P45)</f>
        <v>0</v>
      </c>
      <c r="H212" s="98">
        <f>IF($A212="",0,Inputs!$Q45)</f>
        <v>0</v>
      </c>
      <c r="I212" s="98">
        <f>IF($A212="",0,Inputs!$R45)</f>
        <v>0</v>
      </c>
      <c r="J212" s="98">
        <f>IF($A212="",0,Inputs!$T45)</f>
        <v>0</v>
      </c>
      <c r="K212" s="98">
        <f>IF($A212="",0,IF($B$5="All Time",Phasing!$Y219,IF($B$5="Year",SUMIF(Phasing!$E$3:$X$3,$D$5,Phasing!$E219:$X219),SUMIF(Phasing!$E$4:$X$4,$B$6,Phasing!$E219:$X219))))</f>
        <v>0</v>
      </c>
      <c r="L212" s="98">
        <f>IF($A212="",0,IF($B$5="All Time",Phasing!$Y549,IF($B$5="Year",SUMIF(Phasing!$E$3:$X$3,$D$5,Phasing!$E549:$X549),SUMIF(Phasing!$E$4:$X$4,$B$6,Phasing!$E549:$X549))))</f>
        <v>0</v>
      </c>
      <c r="M212" s="98">
        <f>IF($A212="",0,IF(AND(Inputs!$D45&lt;=$F$6,Inputs!$E45&gt;=$D$6),1,0))</f>
        <v>0</v>
      </c>
      <c r="N212" s="98" t="str">
        <f>IF($M212=0,"",SUM($M$173:$M212))</f>
        <v/>
      </c>
      <c r="O212" s="103">
        <f>IF($A212="",0,IF($B$5="All Time",Phasing!$Y634,IF($B$5="Year",SUMIF(Phasing!$E$3:$X$3,$D$5,Phasing!$E634:$X634),SUMIF(Phasing!$E$4:$X$4,$B$6,Phasing!$E634:$X634))))</f>
        <v>0</v>
      </c>
      <c r="P212" s="103" cm="1">
        <f t="array" ref="P212">IF($A212="",0,IF($B$5="All Time",SUMPRODUCT(Phasing!$D219:$X219,Analysis!$D$31:$X$31),IF($B$5="Year",SUMPRODUCT((Analysis!$E$3:$X$3=$D$5)*Phasing!$E219:$X219*Analysis!$E$31:$X$31),SUMPRODUCT((Analysis!$E$4:$X$4=$B$6)*Phasing!$E219:$X219*Analysis!$E$31:$X$31))))</f>
        <v>0</v>
      </c>
    </row>
    <row r="213" spans="1:16" x14ac:dyDescent="0.3">
      <c r="A213" s="98" t="str">
        <f>IF(Inputs!$A46="","",Inputs!$A46)</f>
        <v>Proposals 26</v>
      </c>
      <c r="B213" s="98">
        <f>IF($A213="",0,Inputs!$C46)</f>
        <v>0.4</v>
      </c>
      <c r="C213" s="98">
        <f>IF($A213="","",Inputs!$D46)</f>
        <v>46023</v>
      </c>
      <c r="D213" s="98">
        <f>IF($A213="","",Inputs!$E46)</f>
        <v>46387</v>
      </c>
      <c r="E213" s="98" t="str">
        <f>IF($A213="","",Inputs!$F46)</f>
        <v>Active</v>
      </c>
      <c r="F213" s="98">
        <f>IF($A213="",0,Inputs!$G46)</f>
        <v>0.5</v>
      </c>
      <c r="G213" s="98">
        <f>IF($A213="",0,Inputs!$P46)</f>
        <v>7.0270270270270274E-2</v>
      </c>
      <c r="H213" s="98">
        <f>IF($A213="",0,Inputs!$Q46)</f>
        <v>0.14054054054054055</v>
      </c>
      <c r="I213" s="98">
        <f>IF($A213="",0,Inputs!$R46)</f>
        <v>7.0270270270270274E-2</v>
      </c>
      <c r="J213" s="98">
        <f>IF($A213="",0,Inputs!$T46)</f>
        <v>0.25945945945945947</v>
      </c>
      <c r="K213" s="98">
        <f>IF($A213="",0,IF($B$5="All Time",Phasing!$Y220,IF($B$5="Year",SUMIF(Phasing!$E$3:$X$3,$D$5,Phasing!$E220:$X220),SUMIF(Phasing!$E$4:$X$4,$B$6,Phasing!$E220:$X220))))</f>
        <v>0.4</v>
      </c>
      <c r="L213" s="98">
        <f>IF($A213="",0,IF($B$5="All Time",Phasing!$Y550,IF($B$5="Year",SUMIF(Phasing!$E$3:$X$3,$D$5,Phasing!$E550:$X550),SUMIF(Phasing!$E$4:$X$4,$B$6,Phasing!$E550:$X550))))</f>
        <v>7.0270270270270274E-2</v>
      </c>
      <c r="M213" s="98">
        <f>IF($A213="",0,IF(AND(Inputs!$D46&lt;=$F$6,Inputs!$E46&gt;=$D$6),1,0))</f>
        <v>1</v>
      </c>
      <c r="N213" s="98">
        <f>IF($M213=0,"",SUM($M$173:$M213))</f>
        <v>16</v>
      </c>
      <c r="O213" s="103">
        <f>IF($A213="",0,IF($B$5="All Time",Phasing!$Y635,IF($B$5="Year",SUMIF(Phasing!$E$3:$X$3,$D$5,Phasing!$E635:$X635),SUMIF(Phasing!$E$4:$X$4,$B$6,Phasing!$E635:$X635))))</f>
        <v>0.2</v>
      </c>
      <c r="P213" s="103" cm="1">
        <f t="array" aca="1" ref="P213" ca="1">IF($A213="",0,IF($B$5="All Time",SUMPRODUCT(Phasing!$D220:$X220,Analysis!$D$31:$X$31),IF($B$5="Year",SUMPRODUCT((Analysis!$E$3:$X$3=$D$5)*Phasing!$E220:$X220*Analysis!$E$31:$X$31),SUMPRODUCT((Analysis!$E$4:$X$4=$B$6)*Phasing!$E220:$X220*Analysis!$E$31:$X$31))))</f>
        <v>0.26739726027397259</v>
      </c>
    </row>
    <row r="214" spans="1:16" x14ac:dyDescent="0.3">
      <c r="A214" s="98" t="str">
        <f>IF(Inputs!$A47="","",Inputs!$A47)</f>
        <v/>
      </c>
      <c r="B214" s="98">
        <f>IF($A214="",0,Inputs!$C47)</f>
        <v>0</v>
      </c>
      <c r="C214" s="98" t="str">
        <f>IF($A214="","",Inputs!$D47)</f>
        <v/>
      </c>
      <c r="D214" s="98" t="str">
        <f>IF($A214="","",Inputs!$E47)</f>
        <v/>
      </c>
      <c r="E214" s="98" t="str">
        <f>IF($A214="","",Inputs!$F47)</f>
        <v/>
      </c>
      <c r="F214" s="98">
        <f>IF($A214="",0,Inputs!$G47)</f>
        <v>0</v>
      </c>
      <c r="G214" s="98">
        <f>IF($A214="",0,Inputs!$P47)</f>
        <v>0</v>
      </c>
      <c r="H214" s="98">
        <f>IF($A214="",0,Inputs!$Q47)</f>
        <v>0</v>
      </c>
      <c r="I214" s="98">
        <f>IF($A214="",0,Inputs!$R47)</f>
        <v>0</v>
      </c>
      <c r="J214" s="98">
        <f>IF($A214="",0,Inputs!$T47)</f>
        <v>0</v>
      </c>
      <c r="K214" s="98">
        <f>IF($A214="",0,IF($B$5="All Time",Phasing!$Y221,IF($B$5="Year",SUMIF(Phasing!$E$3:$X$3,$D$5,Phasing!$E221:$X221),SUMIF(Phasing!$E$4:$X$4,$B$6,Phasing!$E221:$X221))))</f>
        <v>0</v>
      </c>
      <c r="L214" s="98">
        <f>IF($A214="",0,IF($B$5="All Time",Phasing!$Y551,IF($B$5="Year",SUMIF(Phasing!$E$3:$X$3,$D$5,Phasing!$E551:$X551),SUMIF(Phasing!$E$4:$X$4,$B$6,Phasing!$E551:$X551))))</f>
        <v>0</v>
      </c>
      <c r="M214" s="98">
        <f>IF($A214="",0,IF(AND(Inputs!$D47&lt;=$F$6,Inputs!$E47&gt;=$D$6),1,0))</f>
        <v>0</v>
      </c>
      <c r="N214" s="98" t="str">
        <f>IF($M214=0,"",SUM($M$173:$M214))</f>
        <v/>
      </c>
      <c r="O214" s="103">
        <f>IF($A214="",0,IF($B$5="All Time",Phasing!$Y636,IF($B$5="Year",SUMIF(Phasing!$E$3:$X$3,$D$5,Phasing!$E636:$X636),SUMIF(Phasing!$E$4:$X$4,$B$6,Phasing!$E636:$X636))))</f>
        <v>0</v>
      </c>
      <c r="P214" s="103" cm="1">
        <f t="array" ref="P214">IF($A214="",0,IF($B$5="All Time",SUMPRODUCT(Phasing!$D221:$X221,Analysis!$D$31:$X$31),IF($B$5="Year",SUMPRODUCT((Analysis!$E$3:$X$3=$D$5)*Phasing!$E221:$X221*Analysis!$E$31:$X$31),SUMPRODUCT((Analysis!$E$4:$X$4=$B$6)*Phasing!$E221:$X221*Analysis!$E$31:$X$31))))</f>
        <v>0</v>
      </c>
    </row>
    <row r="215" spans="1:16" x14ac:dyDescent="0.3">
      <c r="A215" s="98" t="str">
        <f>IF(Inputs!$A48="","",Inputs!$A48)</f>
        <v/>
      </c>
      <c r="B215" s="98">
        <f>IF($A215="",0,Inputs!$C48)</f>
        <v>0</v>
      </c>
      <c r="C215" s="98" t="str">
        <f>IF($A215="","",Inputs!$D48)</f>
        <v/>
      </c>
      <c r="D215" s="98" t="str">
        <f>IF($A215="","",Inputs!$E48)</f>
        <v/>
      </c>
      <c r="E215" s="98" t="str">
        <f>IF($A215="","",Inputs!$F48)</f>
        <v/>
      </c>
      <c r="F215" s="98">
        <f>IF($A215="",0,Inputs!$G48)</f>
        <v>0</v>
      </c>
      <c r="G215" s="98">
        <f>IF($A215="",0,Inputs!$P48)</f>
        <v>0</v>
      </c>
      <c r="H215" s="98">
        <f>IF($A215="",0,Inputs!$Q48)</f>
        <v>0</v>
      </c>
      <c r="I215" s="98">
        <f>IF($A215="",0,Inputs!$R48)</f>
        <v>0</v>
      </c>
      <c r="J215" s="98">
        <f>IF($A215="",0,Inputs!$T48)</f>
        <v>0</v>
      </c>
      <c r="K215" s="98">
        <f>IF($A215="",0,IF($B$5="All Time",Phasing!$Y222,IF($B$5="Year",SUMIF(Phasing!$E$3:$X$3,$D$5,Phasing!$E222:$X222),SUMIF(Phasing!$E$4:$X$4,$B$6,Phasing!$E222:$X222))))</f>
        <v>0</v>
      </c>
      <c r="L215" s="98">
        <f>IF($A215="",0,IF($B$5="All Time",Phasing!$Y552,IF($B$5="Year",SUMIF(Phasing!$E$3:$X$3,$D$5,Phasing!$E552:$X552),SUMIF(Phasing!$E$4:$X$4,$B$6,Phasing!$E552:$X552))))</f>
        <v>0</v>
      </c>
      <c r="M215" s="98">
        <f>IF($A215="",0,IF(AND(Inputs!$D48&lt;=$F$6,Inputs!$E48&gt;=$D$6),1,0))</f>
        <v>0</v>
      </c>
      <c r="N215" s="98" t="str">
        <f>IF($M215=0,"",SUM($M$173:$M215))</f>
        <v/>
      </c>
      <c r="O215" s="103">
        <f>IF($A215="",0,IF($B$5="All Time",Phasing!$Y637,IF($B$5="Year",SUMIF(Phasing!$E$3:$X$3,$D$5,Phasing!$E637:$X637),SUMIF(Phasing!$E$4:$X$4,$B$6,Phasing!$E637:$X637))))</f>
        <v>0</v>
      </c>
      <c r="P215" s="103" cm="1">
        <f t="array" ref="P215">IF($A215="",0,IF($B$5="All Time",SUMPRODUCT(Phasing!$D222:$X222,Analysis!$D$31:$X$31),IF($B$5="Year",SUMPRODUCT((Analysis!$E$3:$X$3=$D$5)*Phasing!$E222:$X222*Analysis!$E$31:$X$31),SUMPRODUCT((Analysis!$E$4:$X$4=$B$6)*Phasing!$E222:$X222*Analysis!$E$31:$X$31))))</f>
        <v>0</v>
      </c>
    </row>
    <row r="216" spans="1:16" x14ac:dyDescent="0.3">
      <c r="A216" s="98" t="str">
        <f>IF(Inputs!$A49="","",Inputs!$A49)</f>
        <v/>
      </c>
      <c r="B216" s="98">
        <f>IF($A216="",0,Inputs!$C49)</f>
        <v>0</v>
      </c>
      <c r="C216" s="98" t="str">
        <f>IF($A216="","",Inputs!$D49)</f>
        <v/>
      </c>
      <c r="D216" s="98" t="str">
        <f>IF($A216="","",Inputs!$E49)</f>
        <v/>
      </c>
      <c r="E216" s="98" t="str">
        <f>IF($A216="","",Inputs!$F49)</f>
        <v/>
      </c>
      <c r="F216" s="98">
        <f>IF($A216="",0,Inputs!$G49)</f>
        <v>0</v>
      </c>
      <c r="G216" s="98">
        <f>IF($A216="",0,Inputs!$P49)</f>
        <v>0</v>
      </c>
      <c r="H216" s="98">
        <f>IF($A216="",0,Inputs!$Q49)</f>
        <v>0</v>
      </c>
      <c r="I216" s="98">
        <f>IF($A216="",0,Inputs!$R49)</f>
        <v>0</v>
      </c>
      <c r="J216" s="98">
        <f>IF($A216="",0,Inputs!$T49)</f>
        <v>0</v>
      </c>
      <c r="K216" s="98">
        <f>IF($A216="",0,IF($B$5="All Time",Phasing!$Y223,IF($B$5="Year",SUMIF(Phasing!$E$3:$X$3,$D$5,Phasing!$E223:$X223),SUMIF(Phasing!$E$4:$X$4,$B$6,Phasing!$E223:$X223))))</f>
        <v>0</v>
      </c>
      <c r="L216" s="98">
        <f>IF($A216="",0,IF($B$5="All Time",Phasing!$Y553,IF($B$5="Year",SUMIF(Phasing!$E$3:$X$3,$D$5,Phasing!$E553:$X553),SUMIF(Phasing!$E$4:$X$4,$B$6,Phasing!$E553:$X553))))</f>
        <v>0</v>
      </c>
      <c r="M216" s="98">
        <f>IF($A216="",0,IF(AND(Inputs!$D49&lt;=$F$6,Inputs!$E49&gt;=$D$6),1,0))</f>
        <v>0</v>
      </c>
      <c r="N216" s="98" t="str">
        <f>IF($M216=0,"",SUM($M$173:$M216))</f>
        <v/>
      </c>
      <c r="O216" s="103">
        <f>IF($A216="",0,IF($B$5="All Time",Phasing!$Y638,IF($B$5="Year",SUMIF(Phasing!$E$3:$X$3,$D$5,Phasing!$E638:$X638),SUMIF(Phasing!$E$4:$X$4,$B$6,Phasing!$E638:$X638))))</f>
        <v>0</v>
      </c>
      <c r="P216" s="103" cm="1">
        <f t="array" ref="P216">IF($A216="",0,IF($B$5="All Time",SUMPRODUCT(Phasing!$D223:$X223,Analysis!$D$31:$X$31),IF($B$5="Year",SUMPRODUCT((Analysis!$E$3:$X$3=$D$5)*Phasing!$E223:$X223*Analysis!$E$31:$X$31),SUMPRODUCT((Analysis!$E$4:$X$4=$B$6)*Phasing!$E223:$X223*Analysis!$E$31:$X$31))))</f>
        <v>0</v>
      </c>
    </row>
    <row r="217" spans="1:16" x14ac:dyDescent="0.3">
      <c r="A217" s="98" t="str">
        <f>IF(Inputs!$A50="","",Inputs!$A50)</f>
        <v/>
      </c>
      <c r="B217" s="98">
        <f>IF($A217="",0,Inputs!$C50)</f>
        <v>0</v>
      </c>
      <c r="C217" s="98" t="str">
        <f>IF($A217="","",Inputs!$D50)</f>
        <v/>
      </c>
      <c r="D217" s="98" t="str">
        <f>IF($A217="","",Inputs!$E50)</f>
        <v/>
      </c>
      <c r="E217" s="98" t="str">
        <f>IF($A217="","",Inputs!$F50)</f>
        <v/>
      </c>
      <c r="F217" s="98">
        <f>IF($A217="",0,Inputs!$G50)</f>
        <v>0</v>
      </c>
      <c r="G217" s="98">
        <f>IF($A217="",0,Inputs!$P50)</f>
        <v>0</v>
      </c>
      <c r="H217" s="98">
        <f>IF($A217="",0,Inputs!$Q50)</f>
        <v>0</v>
      </c>
      <c r="I217" s="98">
        <f>IF($A217="",0,Inputs!$R50)</f>
        <v>0</v>
      </c>
      <c r="J217" s="98">
        <f>IF($A217="",0,Inputs!$T50)</f>
        <v>0</v>
      </c>
      <c r="K217" s="98">
        <f>IF($A217="",0,IF($B$5="All Time",Phasing!$Y224,IF($B$5="Year",SUMIF(Phasing!$E$3:$X$3,$D$5,Phasing!$E224:$X224),SUMIF(Phasing!$E$4:$X$4,$B$6,Phasing!$E224:$X224))))</f>
        <v>0</v>
      </c>
      <c r="L217" s="98">
        <f>IF($A217="",0,IF($B$5="All Time",Phasing!$Y554,IF($B$5="Year",SUMIF(Phasing!$E$3:$X$3,$D$5,Phasing!$E554:$X554),SUMIF(Phasing!$E$4:$X$4,$B$6,Phasing!$E554:$X554))))</f>
        <v>0</v>
      </c>
      <c r="M217" s="98">
        <f>IF($A217="",0,IF(AND(Inputs!$D50&lt;=$F$6,Inputs!$E50&gt;=$D$6),1,0))</f>
        <v>0</v>
      </c>
      <c r="N217" s="98" t="str">
        <f>IF($M217=0,"",SUM($M$173:$M217))</f>
        <v/>
      </c>
      <c r="O217" s="103">
        <f>IF($A217="",0,IF($B$5="All Time",Phasing!$Y639,IF($B$5="Year",SUMIF(Phasing!$E$3:$X$3,$D$5,Phasing!$E639:$X639),SUMIF(Phasing!$E$4:$X$4,$B$6,Phasing!$E639:$X639))))</f>
        <v>0</v>
      </c>
      <c r="P217" s="103" cm="1">
        <f t="array" ref="P217">IF($A217="",0,IF($B$5="All Time",SUMPRODUCT(Phasing!$D224:$X224,Analysis!$D$31:$X$31),IF($B$5="Year",SUMPRODUCT((Analysis!$E$3:$X$3=$D$5)*Phasing!$E224:$X224*Analysis!$E$31:$X$31),SUMPRODUCT((Analysis!$E$4:$X$4=$B$6)*Phasing!$E224:$X224*Analysis!$E$31:$X$31))))</f>
        <v>0</v>
      </c>
    </row>
    <row r="218" spans="1:16" x14ac:dyDescent="0.3">
      <c r="A218" s="98" t="str">
        <f>IF(Inputs!$A51="","",Inputs!$A51)</f>
        <v/>
      </c>
      <c r="B218" s="98">
        <f>IF($A218="",0,Inputs!$C51)</f>
        <v>0</v>
      </c>
      <c r="C218" s="98" t="str">
        <f>IF($A218="","",Inputs!$D51)</f>
        <v/>
      </c>
      <c r="D218" s="98" t="str">
        <f>IF($A218="","",Inputs!$E51)</f>
        <v/>
      </c>
      <c r="E218" s="98" t="str">
        <f>IF($A218="","",Inputs!$F51)</f>
        <v/>
      </c>
      <c r="F218" s="98">
        <f>IF($A218="",0,Inputs!$G51)</f>
        <v>0</v>
      </c>
      <c r="G218" s="98">
        <f>IF($A218="",0,Inputs!$P51)</f>
        <v>0</v>
      </c>
      <c r="H218" s="98">
        <f>IF($A218="",0,Inputs!$Q51)</f>
        <v>0</v>
      </c>
      <c r="I218" s="98">
        <f>IF($A218="",0,Inputs!$R51)</f>
        <v>0</v>
      </c>
      <c r="J218" s="98">
        <f>IF($A218="",0,Inputs!$T51)</f>
        <v>0</v>
      </c>
      <c r="K218" s="98">
        <f>IF($A218="",0,IF($B$5="All Time",Phasing!$Y225,IF($B$5="Year",SUMIF(Phasing!$E$3:$X$3,$D$5,Phasing!$E225:$X225),SUMIF(Phasing!$E$4:$X$4,$B$6,Phasing!$E225:$X225))))</f>
        <v>0</v>
      </c>
      <c r="L218" s="98">
        <f>IF($A218="",0,IF($B$5="All Time",Phasing!$Y555,IF($B$5="Year",SUMIF(Phasing!$E$3:$X$3,$D$5,Phasing!$E555:$X555),SUMIF(Phasing!$E$4:$X$4,$B$6,Phasing!$E555:$X555))))</f>
        <v>0</v>
      </c>
      <c r="M218" s="98">
        <f>IF($A218="",0,IF(AND(Inputs!$D51&lt;=$F$6,Inputs!$E51&gt;=$D$6),1,0))</f>
        <v>0</v>
      </c>
      <c r="N218" s="98" t="str">
        <f>IF($M218=0,"",SUM($M$173:$M218))</f>
        <v/>
      </c>
      <c r="O218" s="103">
        <f>IF($A218="",0,IF($B$5="All Time",Phasing!$Y640,IF($B$5="Year",SUMIF(Phasing!$E$3:$X$3,$D$5,Phasing!$E640:$X640),SUMIF(Phasing!$E$4:$X$4,$B$6,Phasing!$E640:$X640))))</f>
        <v>0</v>
      </c>
      <c r="P218" s="103" cm="1">
        <f t="array" ref="P218">IF($A218="",0,IF($B$5="All Time",SUMPRODUCT(Phasing!$D225:$X225,Analysis!$D$31:$X$31),IF($B$5="Year",SUMPRODUCT((Analysis!$E$3:$X$3=$D$5)*Phasing!$E225:$X225*Analysis!$E$31:$X$31),SUMPRODUCT((Analysis!$E$4:$X$4=$B$6)*Phasing!$E225:$X225*Analysis!$E$31:$X$31))))</f>
        <v>0</v>
      </c>
    </row>
    <row r="219" spans="1:16" x14ac:dyDescent="0.3">
      <c r="A219" s="98" t="str">
        <f>IF(Inputs!$A52="","",Inputs!$A52)</f>
        <v/>
      </c>
      <c r="B219" s="98">
        <f>IF($A219="",0,Inputs!$C52)</f>
        <v>0</v>
      </c>
      <c r="C219" s="98" t="str">
        <f>IF($A219="","",Inputs!$D52)</f>
        <v/>
      </c>
      <c r="D219" s="98" t="str">
        <f>IF($A219="","",Inputs!$E52)</f>
        <v/>
      </c>
      <c r="E219" s="98" t="str">
        <f>IF($A219="","",Inputs!$F52)</f>
        <v/>
      </c>
      <c r="F219" s="98">
        <f>IF($A219="",0,Inputs!$G52)</f>
        <v>0</v>
      </c>
      <c r="G219" s="98">
        <f>IF($A219="",0,Inputs!$P52)</f>
        <v>0</v>
      </c>
      <c r="H219" s="98">
        <f>IF($A219="",0,Inputs!$Q52)</f>
        <v>0</v>
      </c>
      <c r="I219" s="98">
        <f>IF($A219="",0,Inputs!$R52)</f>
        <v>0</v>
      </c>
      <c r="J219" s="98">
        <f>IF($A219="",0,Inputs!$T52)</f>
        <v>0</v>
      </c>
      <c r="K219" s="98">
        <f>IF($A219="",0,IF($B$5="All Time",Phasing!$Y226,IF($B$5="Year",SUMIF(Phasing!$E$3:$X$3,$D$5,Phasing!$E226:$X226),SUMIF(Phasing!$E$4:$X$4,$B$6,Phasing!$E226:$X226))))</f>
        <v>0</v>
      </c>
      <c r="L219" s="98">
        <f>IF($A219="",0,IF($B$5="All Time",Phasing!$Y556,IF($B$5="Year",SUMIF(Phasing!$E$3:$X$3,$D$5,Phasing!$E556:$X556),SUMIF(Phasing!$E$4:$X$4,$B$6,Phasing!$E556:$X556))))</f>
        <v>0</v>
      </c>
      <c r="M219" s="98">
        <f>IF($A219="",0,IF(AND(Inputs!$D52&lt;=$F$6,Inputs!$E52&gt;=$D$6),1,0))</f>
        <v>0</v>
      </c>
      <c r="N219" s="98" t="str">
        <f>IF($M219=0,"",SUM($M$173:$M219))</f>
        <v/>
      </c>
      <c r="O219" s="103">
        <f>IF($A219="",0,IF($B$5="All Time",Phasing!$Y641,IF($B$5="Year",SUMIF(Phasing!$E$3:$X$3,$D$5,Phasing!$E641:$X641),SUMIF(Phasing!$E$4:$X$4,$B$6,Phasing!$E641:$X641))))</f>
        <v>0</v>
      </c>
      <c r="P219" s="103" cm="1">
        <f t="array" ref="P219">IF($A219="",0,IF($B$5="All Time",SUMPRODUCT(Phasing!$D226:$X226,Analysis!$D$31:$X$31),IF($B$5="Year",SUMPRODUCT((Analysis!$E$3:$X$3=$D$5)*Phasing!$E226:$X226*Analysis!$E$31:$X$31),SUMPRODUCT((Analysis!$E$4:$X$4=$B$6)*Phasing!$E226:$X226*Analysis!$E$31:$X$31))))</f>
        <v>0</v>
      </c>
    </row>
    <row r="220" spans="1:16" x14ac:dyDescent="0.3">
      <c r="A220" s="98" t="str">
        <f>IF(Inputs!$A53="","",Inputs!$A53)</f>
        <v/>
      </c>
      <c r="B220" s="98">
        <f>IF($A220="",0,Inputs!$C53)</f>
        <v>0</v>
      </c>
      <c r="C220" s="98" t="str">
        <f>IF($A220="","",Inputs!$D53)</f>
        <v/>
      </c>
      <c r="D220" s="98" t="str">
        <f>IF($A220="","",Inputs!$E53)</f>
        <v/>
      </c>
      <c r="E220" s="98" t="str">
        <f>IF($A220="","",Inputs!$F53)</f>
        <v/>
      </c>
      <c r="F220" s="98">
        <f>IF($A220="",0,Inputs!$G53)</f>
        <v>0</v>
      </c>
      <c r="G220" s="98">
        <f>IF($A220="",0,Inputs!$P53)</f>
        <v>0</v>
      </c>
      <c r="H220" s="98">
        <f>IF($A220="",0,Inputs!$Q53)</f>
        <v>0</v>
      </c>
      <c r="I220" s="98">
        <f>IF($A220="",0,Inputs!$R53)</f>
        <v>0</v>
      </c>
      <c r="J220" s="98">
        <f>IF($A220="",0,Inputs!$T53)</f>
        <v>0</v>
      </c>
      <c r="K220" s="98">
        <f>IF($A220="",0,IF($B$5="All Time",Phasing!$Y227,IF($B$5="Year",SUMIF(Phasing!$E$3:$X$3,$D$5,Phasing!$E227:$X227),SUMIF(Phasing!$E$4:$X$4,$B$6,Phasing!$E227:$X227))))</f>
        <v>0</v>
      </c>
      <c r="L220" s="98">
        <f>IF($A220="",0,IF($B$5="All Time",Phasing!$Y557,IF($B$5="Year",SUMIF(Phasing!$E$3:$X$3,$D$5,Phasing!$E557:$X557),SUMIF(Phasing!$E$4:$X$4,$B$6,Phasing!$E557:$X557))))</f>
        <v>0</v>
      </c>
      <c r="M220" s="98">
        <f>IF($A220="",0,IF(AND(Inputs!$D53&lt;=$F$6,Inputs!$E53&gt;=$D$6),1,0))</f>
        <v>0</v>
      </c>
      <c r="N220" s="98" t="str">
        <f>IF($M220=0,"",SUM($M$173:$M220))</f>
        <v/>
      </c>
      <c r="O220" s="103">
        <f>IF($A220="",0,IF($B$5="All Time",Phasing!$Y642,IF($B$5="Year",SUMIF(Phasing!$E$3:$X$3,$D$5,Phasing!$E642:$X642),SUMIF(Phasing!$E$4:$X$4,$B$6,Phasing!$E642:$X642))))</f>
        <v>0</v>
      </c>
      <c r="P220" s="103" cm="1">
        <f t="array" ref="P220">IF($A220="",0,IF($B$5="All Time",SUMPRODUCT(Phasing!$D227:$X227,Analysis!$D$31:$X$31),IF($B$5="Year",SUMPRODUCT((Analysis!$E$3:$X$3=$D$5)*Phasing!$E227:$X227*Analysis!$E$31:$X$31),SUMPRODUCT((Analysis!$E$4:$X$4=$B$6)*Phasing!$E227:$X227*Analysis!$E$31:$X$31))))</f>
        <v>0</v>
      </c>
    </row>
    <row r="221" spans="1:16" x14ac:dyDescent="0.3">
      <c r="A221" s="98" t="str">
        <f>IF(Inputs!$A54="","",Inputs!$A54)</f>
        <v/>
      </c>
      <c r="B221" s="98">
        <f>IF($A221="",0,Inputs!$C54)</f>
        <v>0</v>
      </c>
      <c r="C221" s="98" t="str">
        <f>IF($A221="","",Inputs!$D54)</f>
        <v/>
      </c>
      <c r="D221" s="98" t="str">
        <f>IF($A221="","",Inputs!$E54)</f>
        <v/>
      </c>
      <c r="E221" s="98" t="str">
        <f>IF($A221="","",Inputs!$F54)</f>
        <v/>
      </c>
      <c r="F221" s="98">
        <f>IF($A221="",0,Inputs!$G54)</f>
        <v>0</v>
      </c>
      <c r="G221" s="98">
        <f>IF($A221="",0,Inputs!$P54)</f>
        <v>0</v>
      </c>
      <c r="H221" s="98">
        <f>IF($A221="",0,Inputs!$Q54)</f>
        <v>0</v>
      </c>
      <c r="I221" s="98">
        <f>IF($A221="",0,Inputs!$R54)</f>
        <v>0</v>
      </c>
      <c r="J221" s="98">
        <f>IF($A221="",0,Inputs!$T54)</f>
        <v>0</v>
      </c>
      <c r="K221" s="98">
        <f>IF($A221="",0,IF($B$5="All Time",Phasing!$Y228,IF($B$5="Year",SUMIF(Phasing!$E$3:$X$3,$D$5,Phasing!$E228:$X228),SUMIF(Phasing!$E$4:$X$4,$B$6,Phasing!$E228:$X228))))</f>
        <v>0</v>
      </c>
      <c r="L221" s="98">
        <f>IF($A221="",0,IF($B$5="All Time",Phasing!$Y558,IF($B$5="Year",SUMIF(Phasing!$E$3:$X$3,$D$5,Phasing!$E558:$X558),SUMIF(Phasing!$E$4:$X$4,$B$6,Phasing!$E558:$X558))))</f>
        <v>0</v>
      </c>
      <c r="M221" s="98">
        <f>IF($A221="",0,IF(AND(Inputs!$D54&lt;=$F$6,Inputs!$E54&gt;=$D$6),1,0))</f>
        <v>0</v>
      </c>
      <c r="N221" s="98" t="str">
        <f>IF($M221=0,"",SUM($M$173:$M221))</f>
        <v/>
      </c>
      <c r="O221" s="103">
        <f>IF($A221="",0,IF($B$5="All Time",Phasing!$Y643,IF($B$5="Year",SUMIF(Phasing!$E$3:$X$3,$D$5,Phasing!$E643:$X643),SUMIF(Phasing!$E$4:$X$4,$B$6,Phasing!$E643:$X643))))</f>
        <v>0</v>
      </c>
      <c r="P221" s="103" cm="1">
        <f t="array" ref="P221">IF($A221="",0,IF($B$5="All Time",SUMPRODUCT(Phasing!$D228:$X228,Analysis!$D$31:$X$31),IF($B$5="Year",SUMPRODUCT((Analysis!$E$3:$X$3=$D$5)*Phasing!$E228:$X228*Analysis!$E$31:$X$31),SUMPRODUCT((Analysis!$E$4:$X$4=$B$6)*Phasing!$E228:$X228*Analysis!$E$31:$X$31))))</f>
        <v>0</v>
      </c>
    </row>
    <row r="222" spans="1:16" x14ac:dyDescent="0.3">
      <c r="A222" s="98" t="str">
        <f>IF(Inputs!$A55="","",Inputs!$A55)</f>
        <v/>
      </c>
      <c r="B222" s="98">
        <f>IF($A222="",0,Inputs!$C55)</f>
        <v>0</v>
      </c>
      <c r="C222" s="98" t="str">
        <f>IF($A222="","",Inputs!$D55)</f>
        <v/>
      </c>
      <c r="D222" s="98" t="str">
        <f>IF($A222="","",Inputs!$E55)</f>
        <v/>
      </c>
      <c r="E222" s="98" t="str">
        <f>IF($A222="","",Inputs!$F55)</f>
        <v/>
      </c>
      <c r="F222" s="98">
        <f>IF($A222="",0,Inputs!$G55)</f>
        <v>0</v>
      </c>
      <c r="G222" s="98">
        <f>IF($A222="",0,Inputs!$P55)</f>
        <v>0</v>
      </c>
      <c r="H222" s="98">
        <f>IF($A222="",0,Inputs!$Q55)</f>
        <v>0</v>
      </c>
      <c r="I222" s="98">
        <f>IF($A222="",0,Inputs!$R55)</f>
        <v>0</v>
      </c>
      <c r="J222" s="98">
        <f>IF($A222="",0,Inputs!$T55)</f>
        <v>0</v>
      </c>
      <c r="K222" s="98">
        <f>IF($A222="",0,IF($B$5="All Time",Phasing!$Y229,IF($B$5="Year",SUMIF(Phasing!$E$3:$X$3,$D$5,Phasing!$E229:$X229),SUMIF(Phasing!$E$4:$X$4,$B$6,Phasing!$E229:$X229))))</f>
        <v>0</v>
      </c>
      <c r="L222" s="98">
        <f>IF($A222="",0,IF($B$5="All Time",Phasing!$Y559,IF($B$5="Year",SUMIF(Phasing!$E$3:$X$3,$D$5,Phasing!$E559:$X559),SUMIF(Phasing!$E$4:$X$4,$B$6,Phasing!$E559:$X559))))</f>
        <v>0</v>
      </c>
      <c r="M222" s="98">
        <f>IF($A222="",0,IF(AND(Inputs!$D55&lt;=$F$6,Inputs!$E55&gt;=$D$6),1,0))</f>
        <v>0</v>
      </c>
      <c r="N222" s="98" t="str">
        <f>IF($M222=0,"",SUM($M$173:$M222))</f>
        <v/>
      </c>
      <c r="O222" s="103">
        <f>IF($A222="",0,IF($B$5="All Time",Phasing!$Y644,IF($B$5="Year",SUMIF(Phasing!$E$3:$X$3,$D$5,Phasing!$E644:$X644),SUMIF(Phasing!$E$4:$X$4,$B$6,Phasing!$E644:$X644))))</f>
        <v>0</v>
      </c>
      <c r="P222" s="103" cm="1">
        <f t="array" ref="P222">IF($A222="",0,IF($B$5="All Time",SUMPRODUCT(Phasing!$D229:$X229,Analysis!$D$31:$X$31),IF($B$5="Year",SUMPRODUCT((Analysis!$E$3:$X$3=$D$5)*Phasing!$E229:$X229*Analysis!$E$31:$X$31),SUMPRODUCT((Analysis!$E$4:$X$4=$B$6)*Phasing!$E229:$X229*Analysis!$E$31:$X$31))))</f>
        <v>0</v>
      </c>
    </row>
    <row r="223" spans="1:16" x14ac:dyDescent="0.3">
      <c r="A223" s="98" t="str">
        <f>IF(Inputs!$A56="","",Inputs!$A56)</f>
        <v/>
      </c>
      <c r="B223" s="98">
        <f>IF($A223="",0,Inputs!$C56)</f>
        <v>0</v>
      </c>
      <c r="C223" s="98" t="str">
        <f>IF($A223="","",Inputs!$D56)</f>
        <v/>
      </c>
      <c r="D223" s="98" t="str">
        <f>IF($A223="","",Inputs!$E56)</f>
        <v/>
      </c>
      <c r="E223" s="98" t="str">
        <f>IF($A223="","",Inputs!$F56)</f>
        <v/>
      </c>
      <c r="F223" s="98">
        <f>IF($A223="",0,Inputs!$G56)</f>
        <v>0</v>
      </c>
      <c r="G223" s="98">
        <f>IF($A223="",0,Inputs!$P56)</f>
        <v>0</v>
      </c>
      <c r="H223" s="98">
        <f>IF($A223="",0,Inputs!$Q56)</f>
        <v>0</v>
      </c>
      <c r="I223" s="98">
        <f>IF($A223="",0,Inputs!$R56)</f>
        <v>0</v>
      </c>
      <c r="J223" s="98">
        <f>IF($A223="",0,Inputs!$T56)</f>
        <v>0</v>
      </c>
      <c r="K223" s="98">
        <f>IF($A223="",0,IF($B$5="All Time",Phasing!$Y230,IF($B$5="Year",SUMIF(Phasing!$E$3:$X$3,$D$5,Phasing!$E230:$X230),SUMIF(Phasing!$E$4:$X$4,$B$6,Phasing!$E230:$X230))))</f>
        <v>0</v>
      </c>
      <c r="L223" s="98">
        <f>IF($A223="",0,IF($B$5="All Time",Phasing!$Y560,IF($B$5="Year",SUMIF(Phasing!$E$3:$X$3,$D$5,Phasing!$E560:$X560),SUMIF(Phasing!$E$4:$X$4,$B$6,Phasing!$E560:$X560))))</f>
        <v>0</v>
      </c>
      <c r="M223" s="98">
        <f>IF($A223="",0,IF(AND(Inputs!$D56&lt;=$F$6,Inputs!$E56&gt;=$D$6),1,0))</f>
        <v>0</v>
      </c>
      <c r="N223" s="98" t="str">
        <f>IF($M223=0,"",SUM($M$173:$M223))</f>
        <v/>
      </c>
      <c r="O223" s="103">
        <f>IF($A223="",0,IF($B$5="All Time",Phasing!$Y645,IF($B$5="Year",SUMIF(Phasing!$E$3:$X$3,$D$5,Phasing!$E645:$X645),SUMIF(Phasing!$E$4:$X$4,$B$6,Phasing!$E645:$X645))))</f>
        <v>0</v>
      </c>
      <c r="P223" s="103" cm="1">
        <f t="array" ref="P223">IF($A223="",0,IF($B$5="All Time",SUMPRODUCT(Phasing!$D230:$X230,Analysis!$D$31:$X$31),IF($B$5="Year",SUMPRODUCT((Analysis!$E$3:$X$3=$D$5)*Phasing!$E230:$X230*Analysis!$E$31:$X$31),SUMPRODUCT((Analysis!$E$4:$X$4=$B$6)*Phasing!$E230:$X230*Analysis!$E$31:$X$31))))</f>
        <v>0</v>
      </c>
    </row>
    <row r="224" spans="1:16" x14ac:dyDescent="0.3">
      <c r="A224" s="98" t="str">
        <f>IF(Inputs!$A57="","",Inputs!$A57)</f>
        <v/>
      </c>
      <c r="B224" s="98">
        <f>IF($A224="",0,Inputs!$C57)</f>
        <v>0</v>
      </c>
      <c r="C224" s="98" t="str">
        <f>IF($A224="","",Inputs!$D57)</f>
        <v/>
      </c>
      <c r="D224" s="98" t="str">
        <f>IF($A224="","",Inputs!$E57)</f>
        <v/>
      </c>
      <c r="E224" s="98" t="str">
        <f>IF($A224="","",Inputs!$F57)</f>
        <v/>
      </c>
      <c r="F224" s="98">
        <f>IF($A224="",0,Inputs!$G57)</f>
        <v>0</v>
      </c>
      <c r="G224" s="98">
        <f>IF($A224="",0,Inputs!$P57)</f>
        <v>0</v>
      </c>
      <c r="H224" s="98">
        <f>IF($A224="",0,Inputs!$Q57)</f>
        <v>0</v>
      </c>
      <c r="I224" s="98">
        <f>IF($A224="",0,Inputs!$R57)</f>
        <v>0</v>
      </c>
      <c r="J224" s="98">
        <f>IF($A224="",0,Inputs!$T57)</f>
        <v>0</v>
      </c>
      <c r="K224" s="98">
        <f>IF($A224="",0,IF($B$5="All Time",Phasing!$Y231,IF($B$5="Year",SUMIF(Phasing!$E$3:$X$3,$D$5,Phasing!$E231:$X231),SUMIF(Phasing!$E$4:$X$4,$B$6,Phasing!$E231:$X231))))</f>
        <v>0</v>
      </c>
      <c r="L224" s="98">
        <f>IF($A224="",0,IF($B$5="All Time",Phasing!$Y561,IF($B$5="Year",SUMIF(Phasing!$E$3:$X$3,$D$5,Phasing!$E561:$X561),SUMIF(Phasing!$E$4:$X$4,$B$6,Phasing!$E561:$X561))))</f>
        <v>0</v>
      </c>
      <c r="M224" s="98">
        <f>IF($A224="",0,IF(AND(Inputs!$D57&lt;=$F$6,Inputs!$E57&gt;=$D$6),1,0))</f>
        <v>0</v>
      </c>
      <c r="N224" s="98" t="str">
        <f>IF($M224=0,"",SUM($M$173:$M224))</f>
        <v/>
      </c>
      <c r="O224" s="103">
        <f>IF($A224="",0,IF($B$5="All Time",Phasing!$Y646,IF($B$5="Year",SUMIF(Phasing!$E$3:$X$3,$D$5,Phasing!$E646:$X646),SUMIF(Phasing!$E$4:$X$4,$B$6,Phasing!$E646:$X646))))</f>
        <v>0</v>
      </c>
      <c r="P224" s="103" cm="1">
        <f t="array" ref="P224">IF($A224="",0,IF($B$5="All Time",SUMPRODUCT(Phasing!$D231:$X231,Analysis!$D$31:$X$31),IF($B$5="Year",SUMPRODUCT((Analysis!$E$3:$X$3=$D$5)*Phasing!$E231:$X231*Analysis!$E$31:$X$31),SUMPRODUCT((Analysis!$E$4:$X$4=$B$6)*Phasing!$E231:$X231*Analysis!$E$31:$X$31))))</f>
        <v>0</v>
      </c>
    </row>
    <row r="225" spans="1:16" x14ac:dyDescent="0.3">
      <c r="A225" s="98" t="str">
        <f>IF(Inputs!$A58="","",Inputs!$A58)</f>
        <v/>
      </c>
      <c r="B225" s="98">
        <f>IF($A225="",0,Inputs!$C58)</f>
        <v>0</v>
      </c>
      <c r="C225" s="98" t="str">
        <f>IF($A225="","",Inputs!$D58)</f>
        <v/>
      </c>
      <c r="D225" s="98" t="str">
        <f>IF($A225="","",Inputs!$E58)</f>
        <v/>
      </c>
      <c r="E225" s="98" t="str">
        <f>IF($A225="","",Inputs!$F58)</f>
        <v/>
      </c>
      <c r="F225" s="98">
        <f>IF($A225="",0,Inputs!$G58)</f>
        <v>0</v>
      </c>
      <c r="G225" s="98">
        <f>IF($A225="",0,Inputs!$P58)</f>
        <v>0</v>
      </c>
      <c r="H225" s="98">
        <f>IF($A225="",0,Inputs!$Q58)</f>
        <v>0</v>
      </c>
      <c r="I225" s="98">
        <f>IF($A225="",0,Inputs!$R58)</f>
        <v>0</v>
      </c>
      <c r="J225" s="98">
        <f>IF($A225="",0,Inputs!$T58)</f>
        <v>0</v>
      </c>
      <c r="K225" s="98">
        <f>IF($A225="",0,IF($B$5="All Time",Phasing!$Y232,IF($B$5="Year",SUMIF(Phasing!$E$3:$X$3,$D$5,Phasing!$E232:$X232),SUMIF(Phasing!$E$4:$X$4,$B$6,Phasing!$E232:$X232))))</f>
        <v>0</v>
      </c>
      <c r="L225" s="98">
        <f>IF($A225="",0,IF($B$5="All Time",Phasing!$Y562,IF($B$5="Year",SUMIF(Phasing!$E$3:$X$3,$D$5,Phasing!$E562:$X562),SUMIF(Phasing!$E$4:$X$4,$B$6,Phasing!$E562:$X562))))</f>
        <v>0</v>
      </c>
      <c r="M225" s="98">
        <f>IF($A225="",0,IF(AND(Inputs!$D58&lt;=$F$6,Inputs!$E58&gt;=$D$6),1,0))</f>
        <v>0</v>
      </c>
      <c r="N225" s="98" t="str">
        <f>IF($M225=0,"",SUM($M$173:$M225))</f>
        <v/>
      </c>
      <c r="O225" s="103">
        <f>IF($A225="",0,IF($B$5="All Time",Phasing!$Y647,IF($B$5="Year",SUMIF(Phasing!$E$3:$X$3,$D$5,Phasing!$E647:$X647),SUMIF(Phasing!$E$4:$X$4,$B$6,Phasing!$E647:$X647))))</f>
        <v>0</v>
      </c>
      <c r="P225" s="103" cm="1">
        <f t="array" ref="P225">IF($A225="",0,IF($B$5="All Time",SUMPRODUCT(Phasing!$D232:$X232,Analysis!$D$31:$X$31),IF($B$5="Year",SUMPRODUCT((Analysis!$E$3:$X$3=$D$5)*Phasing!$E232:$X232*Analysis!$E$31:$X$31),SUMPRODUCT((Analysis!$E$4:$X$4=$B$6)*Phasing!$E232:$X232*Analysis!$E$31:$X$31))))</f>
        <v>0</v>
      </c>
    </row>
    <row r="226" spans="1:16" x14ac:dyDescent="0.3">
      <c r="A226" s="98" t="str">
        <f>IF(Inputs!$A59="","",Inputs!$A59)</f>
        <v/>
      </c>
      <c r="B226" s="98">
        <f>IF($A226="",0,Inputs!$C59)</f>
        <v>0</v>
      </c>
      <c r="C226" s="98" t="str">
        <f>IF($A226="","",Inputs!$D59)</f>
        <v/>
      </c>
      <c r="D226" s="98" t="str">
        <f>IF($A226="","",Inputs!$E59)</f>
        <v/>
      </c>
      <c r="E226" s="98" t="str">
        <f>IF($A226="","",Inputs!$F59)</f>
        <v/>
      </c>
      <c r="F226" s="98">
        <f>IF($A226="",0,Inputs!$G59)</f>
        <v>0</v>
      </c>
      <c r="G226" s="98">
        <f>IF($A226="",0,Inputs!$P59)</f>
        <v>0</v>
      </c>
      <c r="H226" s="98">
        <f>IF($A226="",0,Inputs!$Q59)</f>
        <v>0</v>
      </c>
      <c r="I226" s="98">
        <f>IF($A226="",0,Inputs!$R59)</f>
        <v>0</v>
      </c>
      <c r="J226" s="98">
        <f>IF($A226="",0,Inputs!$T59)</f>
        <v>0</v>
      </c>
      <c r="K226" s="98">
        <f>IF($A226="",0,IF($B$5="All Time",Phasing!$Y233,IF($B$5="Year",SUMIF(Phasing!$E$3:$X$3,$D$5,Phasing!$E233:$X233),SUMIF(Phasing!$E$4:$X$4,$B$6,Phasing!$E233:$X233))))</f>
        <v>0</v>
      </c>
      <c r="L226" s="98">
        <f>IF($A226="",0,IF($B$5="All Time",Phasing!$Y563,IF($B$5="Year",SUMIF(Phasing!$E$3:$X$3,$D$5,Phasing!$E563:$X563),SUMIF(Phasing!$E$4:$X$4,$B$6,Phasing!$E563:$X563))))</f>
        <v>0</v>
      </c>
      <c r="M226" s="98">
        <f>IF($A226="",0,IF(AND(Inputs!$D59&lt;=$F$6,Inputs!$E59&gt;=$D$6),1,0))</f>
        <v>0</v>
      </c>
      <c r="N226" s="98" t="str">
        <f>IF($M226=0,"",SUM($M$173:$M226))</f>
        <v/>
      </c>
      <c r="O226" s="103">
        <f>IF($A226="",0,IF($B$5="All Time",Phasing!$Y648,IF($B$5="Year",SUMIF(Phasing!$E$3:$X$3,$D$5,Phasing!$E648:$X648),SUMIF(Phasing!$E$4:$X$4,$B$6,Phasing!$E648:$X648))))</f>
        <v>0</v>
      </c>
      <c r="P226" s="103" cm="1">
        <f t="array" ref="P226">IF($A226="",0,IF($B$5="All Time",SUMPRODUCT(Phasing!$D233:$X233,Analysis!$D$31:$X$31),IF($B$5="Year",SUMPRODUCT((Analysis!$E$3:$X$3=$D$5)*Phasing!$E233:$X233*Analysis!$E$31:$X$31),SUMPRODUCT((Analysis!$E$4:$X$4=$B$6)*Phasing!$E233:$X233*Analysis!$E$31:$X$31))))</f>
        <v>0</v>
      </c>
    </row>
    <row r="227" spans="1:16" x14ac:dyDescent="0.3">
      <c r="A227" s="98" t="str">
        <f>IF(Inputs!$A60="","",Inputs!$A60)</f>
        <v/>
      </c>
      <c r="B227" s="98">
        <f>IF($A227="",0,Inputs!$C60)</f>
        <v>0</v>
      </c>
      <c r="C227" s="98" t="str">
        <f>IF($A227="","",Inputs!$D60)</f>
        <v/>
      </c>
      <c r="D227" s="98" t="str">
        <f>IF($A227="","",Inputs!$E60)</f>
        <v/>
      </c>
      <c r="E227" s="98" t="str">
        <f>IF($A227="","",Inputs!$F60)</f>
        <v/>
      </c>
      <c r="F227" s="98">
        <f>IF($A227="",0,Inputs!$G60)</f>
        <v>0</v>
      </c>
      <c r="G227" s="98">
        <f>IF($A227="",0,Inputs!$P60)</f>
        <v>0</v>
      </c>
      <c r="H227" s="98">
        <f>IF($A227="",0,Inputs!$Q60)</f>
        <v>0</v>
      </c>
      <c r="I227" s="98">
        <f>IF($A227="",0,Inputs!$R60)</f>
        <v>0</v>
      </c>
      <c r="J227" s="98">
        <f>IF($A227="",0,Inputs!$T60)</f>
        <v>0</v>
      </c>
      <c r="K227" s="98">
        <f>IF($A227="",0,IF($B$5="All Time",Phasing!$Y234,IF($B$5="Year",SUMIF(Phasing!$E$3:$X$3,$D$5,Phasing!$E234:$X234),SUMIF(Phasing!$E$4:$X$4,$B$6,Phasing!$E234:$X234))))</f>
        <v>0</v>
      </c>
      <c r="L227" s="98">
        <f>IF($A227="",0,IF($B$5="All Time",Phasing!$Y564,IF($B$5="Year",SUMIF(Phasing!$E$3:$X$3,$D$5,Phasing!$E564:$X564),SUMIF(Phasing!$E$4:$X$4,$B$6,Phasing!$E564:$X564))))</f>
        <v>0</v>
      </c>
      <c r="M227" s="98">
        <f>IF($A227="",0,IF(AND(Inputs!$D60&lt;=$F$6,Inputs!$E60&gt;=$D$6),1,0))</f>
        <v>0</v>
      </c>
      <c r="N227" s="98" t="str">
        <f>IF($M227=0,"",SUM($M$173:$M227))</f>
        <v/>
      </c>
      <c r="O227" s="103">
        <f>IF($A227="",0,IF($B$5="All Time",Phasing!$Y649,IF($B$5="Year",SUMIF(Phasing!$E$3:$X$3,$D$5,Phasing!$E649:$X649),SUMIF(Phasing!$E$4:$X$4,$B$6,Phasing!$E649:$X649))))</f>
        <v>0</v>
      </c>
      <c r="P227" s="103" cm="1">
        <f t="array" ref="P227">IF($A227="",0,IF($B$5="All Time",SUMPRODUCT(Phasing!$D234:$X234,Analysis!$D$31:$X$31),IF($B$5="Year",SUMPRODUCT((Analysis!$E$3:$X$3=$D$5)*Phasing!$E234:$X234*Analysis!$E$31:$X$31),SUMPRODUCT((Analysis!$E$4:$X$4=$B$6)*Phasing!$E234:$X234*Analysis!$E$31:$X$31))))</f>
        <v>0</v>
      </c>
    </row>
    <row r="228" spans="1:16" x14ac:dyDescent="0.3">
      <c r="A228" s="98" t="str">
        <f>IF(Inputs!$A61="","",Inputs!$A61)</f>
        <v/>
      </c>
      <c r="B228" s="98">
        <f>IF($A228="",0,Inputs!$C61)</f>
        <v>0</v>
      </c>
      <c r="C228" s="98" t="str">
        <f>IF($A228="","",Inputs!$D61)</f>
        <v/>
      </c>
      <c r="D228" s="98" t="str">
        <f>IF($A228="","",Inputs!$E61)</f>
        <v/>
      </c>
      <c r="E228" s="98" t="str">
        <f>IF($A228="","",Inputs!$F61)</f>
        <v/>
      </c>
      <c r="F228" s="98">
        <f>IF($A228="",0,Inputs!$G61)</f>
        <v>0</v>
      </c>
      <c r="G228" s="98">
        <f>IF($A228="",0,Inputs!$P61)</f>
        <v>0</v>
      </c>
      <c r="H228" s="98">
        <f>IF($A228="",0,Inputs!$Q61)</f>
        <v>0</v>
      </c>
      <c r="I228" s="98">
        <f>IF($A228="",0,Inputs!$R61)</f>
        <v>0</v>
      </c>
      <c r="J228" s="98">
        <f>IF($A228="",0,Inputs!$T61)</f>
        <v>0</v>
      </c>
      <c r="K228" s="98">
        <f>IF($A228="",0,IF($B$5="All Time",Phasing!$Y235,IF($B$5="Year",SUMIF(Phasing!$E$3:$X$3,$D$5,Phasing!$E235:$X235),SUMIF(Phasing!$E$4:$X$4,$B$6,Phasing!$E235:$X235))))</f>
        <v>0</v>
      </c>
      <c r="L228" s="98">
        <f>IF($A228="",0,IF($B$5="All Time",Phasing!$Y565,IF($B$5="Year",SUMIF(Phasing!$E$3:$X$3,$D$5,Phasing!$E565:$X565),SUMIF(Phasing!$E$4:$X$4,$B$6,Phasing!$E565:$X565))))</f>
        <v>0</v>
      </c>
      <c r="M228" s="98">
        <f>IF($A228="",0,IF(AND(Inputs!$D61&lt;=$F$6,Inputs!$E61&gt;=$D$6),1,0))</f>
        <v>0</v>
      </c>
      <c r="N228" s="98" t="str">
        <f>IF($M228=0,"",SUM($M$173:$M228))</f>
        <v/>
      </c>
      <c r="O228" s="103">
        <f>IF($A228="",0,IF($B$5="All Time",Phasing!$Y650,IF($B$5="Year",SUMIF(Phasing!$E$3:$X$3,$D$5,Phasing!$E650:$X650),SUMIF(Phasing!$E$4:$X$4,$B$6,Phasing!$E650:$X650))))</f>
        <v>0</v>
      </c>
      <c r="P228" s="103" cm="1">
        <f t="array" ref="P228">IF($A228="",0,IF($B$5="All Time",SUMPRODUCT(Phasing!$D235:$X235,Analysis!$D$31:$X$31),IF($B$5="Year",SUMPRODUCT((Analysis!$E$3:$X$3=$D$5)*Phasing!$E235:$X235*Analysis!$E$31:$X$31),SUMPRODUCT((Analysis!$E$4:$X$4=$B$6)*Phasing!$E235:$X235*Analysis!$E$31:$X$31))))</f>
        <v>0</v>
      </c>
    </row>
    <row r="229" spans="1:16" x14ac:dyDescent="0.3">
      <c r="A229" s="98" t="str">
        <f>IF(Inputs!$A62="","",Inputs!$A62)</f>
        <v/>
      </c>
      <c r="B229" s="98">
        <f>IF($A229="",0,Inputs!$C62)</f>
        <v>0</v>
      </c>
      <c r="C229" s="98" t="str">
        <f>IF($A229="","",Inputs!$D62)</f>
        <v/>
      </c>
      <c r="D229" s="98" t="str">
        <f>IF($A229="","",Inputs!$E62)</f>
        <v/>
      </c>
      <c r="E229" s="98" t="str">
        <f>IF($A229="","",Inputs!$F62)</f>
        <v/>
      </c>
      <c r="F229" s="98">
        <f>IF($A229="",0,Inputs!$G62)</f>
        <v>0</v>
      </c>
      <c r="G229" s="98">
        <f>IF($A229="",0,Inputs!$P62)</f>
        <v>0</v>
      </c>
      <c r="H229" s="98">
        <f>IF($A229="",0,Inputs!$Q62)</f>
        <v>0</v>
      </c>
      <c r="I229" s="98">
        <f>IF($A229="",0,Inputs!$R62)</f>
        <v>0</v>
      </c>
      <c r="J229" s="98">
        <f>IF($A229="",0,Inputs!$T62)</f>
        <v>0</v>
      </c>
      <c r="K229" s="98">
        <f>IF($A229="",0,IF($B$5="All Time",Phasing!$Y236,IF($B$5="Year",SUMIF(Phasing!$E$3:$X$3,$D$5,Phasing!$E236:$X236),SUMIF(Phasing!$E$4:$X$4,$B$6,Phasing!$E236:$X236))))</f>
        <v>0</v>
      </c>
      <c r="L229" s="98">
        <f>IF($A229="",0,IF($B$5="All Time",Phasing!$Y566,IF($B$5="Year",SUMIF(Phasing!$E$3:$X$3,$D$5,Phasing!$E566:$X566),SUMIF(Phasing!$E$4:$X$4,$B$6,Phasing!$E566:$X566))))</f>
        <v>0</v>
      </c>
      <c r="M229" s="98">
        <f>IF($A229="",0,IF(AND(Inputs!$D62&lt;=$F$6,Inputs!$E62&gt;=$D$6),1,0))</f>
        <v>0</v>
      </c>
      <c r="N229" s="98" t="str">
        <f>IF($M229=0,"",SUM($M$173:$M229))</f>
        <v/>
      </c>
      <c r="O229" s="103">
        <f>IF($A229="",0,IF($B$5="All Time",Phasing!$Y651,IF($B$5="Year",SUMIF(Phasing!$E$3:$X$3,$D$5,Phasing!$E651:$X651),SUMIF(Phasing!$E$4:$X$4,$B$6,Phasing!$E651:$X651))))</f>
        <v>0</v>
      </c>
      <c r="P229" s="103" cm="1">
        <f t="array" ref="P229">IF($A229="",0,IF($B$5="All Time",SUMPRODUCT(Phasing!$D236:$X236,Analysis!$D$31:$X$31),IF($B$5="Year",SUMPRODUCT((Analysis!$E$3:$X$3=$D$5)*Phasing!$E236:$X236*Analysis!$E$31:$X$31),SUMPRODUCT((Analysis!$E$4:$X$4=$B$6)*Phasing!$E236:$X236*Analysis!$E$31:$X$31))))</f>
        <v>0</v>
      </c>
    </row>
    <row r="230" spans="1:16" x14ac:dyDescent="0.3">
      <c r="A230" s="98" t="str">
        <f>IF(Inputs!$A63="","",Inputs!$A63)</f>
        <v/>
      </c>
      <c r="B230" s="98">
        <f>IF($A230="",0,Inputs!$C63)</f>
        <v>0</v>
      </c>
      <c r="C230" s="98" t="str">
        <f>IF($A230="","",Inputs!$D63)</f>
        <v/>
      </c>
      <c r="D230" s="98" t="str">
        <f>IF($A230="","",Inputs!$E63)</f>
        <v/>
      </c>
      <c r="E230" s="98" t="str">
        <f>IF($A230="","",Inputs!$F63)</f>
        <v/>
      </c>
      <c r="F230" s="98">
        <f>IF($A230="",0,Inputs!$G63)</f>
        <v>0</v>
      </c>
      <c r="G230" s="98">
        <f>IF($A230="",0,Inputs!$P63)</f>
        <v>0</v>
      </c>
      <c r="H230" s="98">
        <f>IF($A230="",0,Inputs!$Q63)</f>
        <v>0</v>
      </c>
      <c r="I230" s="98">
        <f>IF($A230="",0,Inputs!$R63)</f>
        <v>0</v>
      </c>
      <c r="J230" s="98">
        <f>IF($A230="",0,Inputs!$T63)</f>
        <v>0</v>
      </c>
      <c r="K230" s="98">
        <f>IF($A230="",0,IF($B$5="All Time",Phasing!$Y237,IF($B$5="Year",SUMIF(Phasing!$E$3:$X$3,$D$5,Phasing!$E237:$X237),SUMIF(Phasing!$E$4:$X$4,$B$6,Phasing!$E237:$X237))))</f>
        <v>0</v>
      </c>
      <c r="L230" s="98">
        <f>IF($A230="",0,IF($B$5="All Time",Phasing!$Y567,IF($B$5="Year",SUMIF(Phasing!$E$3:$X$3,$D$5,Phasing!$E567:$X567),SUMIF(Phasing!$E$4:$X$4,$B$6,Phasing!$E567:$X567))))</f>
        <v>0</v>
      </c>
      <c r="M230" s="98">
        <f>IF($A230="",0,IF(AND(Inputs!$D63&lt;=$F$6,Inputs!$E63&gt;=$D$6),1,0))</f>
        <v>0</v>
      </c>
      <c r="N230" s="98" t="str">
        <f>IF($M230=0,"",SUM($M$173:$M230))</f>
        <v/>
      </c>
      <c r="O230" s="103">
        <f>IF($A230="",0,IF($B$5="All Time",Phasing!$Y652,IF($B$5="Year",SUMIF(Phasing!$E$3:$X$3,$D$5,Phasing!$E652:$X652),SUMIF(Phasing!$E$4:$X$4,$B$6,Phasing!$E652:$X652))))</f>
        <v>0</v>
      </c>
      <c r="P230" s="103" cm="1">
        <f t="array" ref="P230">IF($A230="",0,IF($B$5="All Time",SUMPRODUCT(Phasing!$D237:$X237,Analysis!$D$31:$X$31),IF($B$5="Year",SUMPRODUCT((Analysis!$E$3:$X$3=$D$5)*Phasing!$E237:$X237*Analysis!$E$31:$X$31),SUMPRODUCT((Analysis!$E$4:$X$4=$B$6)*Phasing!$E237:$X237*Analysis!$E$31:$X$31))))</f>
        <v>0</v>
      </c>
    </row>
    <row r="231" spans="1:16" x14ac:dyDescent="0.3">
      <c r="A231" s="98" t="str">
        <f>IF(Inputs!$A64="","",Inputs!$A64)</f>
        <v/>
      </c>
      <c r="B231" s="98">
        <f>IF($A231="",0,Inputs!$C64)</f>
        <v>0</v>
      </c>
      <c r="C231" s="98" t="str">
        <f>IF($A231="","",Inputs!$D64)</f>
        <v/>
      </c>
      <c r="D231" s="98" t="str">
        <f>IF($A231="","",Inputs!$E64)</f>
        <v/>
      </c>
      <c r="E231" s="98" t="str">
        <f>IF($A231="","",Inputs!$F64)</f>
        <v/>
      </c>
      <c r="F231" s="98">
        <f>IF($A231="",0,Inputs!$G64)</f>
        <v>0</v>
      </c>
      <c r="G231" s="98">
        <f>IF($A231="",0,Inputs!$P64)</f>
        <v>0</v>
      </c>
      <c r="H231" s="98">
        <f>IF($A231="",0,Inputs!$Q64)</f>
        <v>0</v>
      </c>
      <c r="I231" s="98">
        <f>IF($A231="",0,Inputs!$R64)</f>
        <v>0</v>
      </c>
      <c r="J231" s="98">
        <f>IF($A231="",0,Inputs!$T64)</f>
        <v>0</v>
      </c>
      <c r="K231" s="98">
        <f>IF($A231="",0,IF($B$5="All Time",Phasing!$Y238,IF($B$5="Year",SUMIF(Phasing!$E$3:$X$3,$D$5,Phasing!$E238:$X238),SUMIF(Phasing!$E$4:$X$4,$B$6,Phasing!$E238:$X238))))</f>
        <v>0</v>
      </c>
      <c r="L231" s="98">
        <f>IF($A231="",0,IF($B$5="All Time",Phasing!$Y568,IF($B$5="Year",SUMIF(Phasing!$E$3:$X$3,$D$5,Phasing!$E568:$X568),SUMIF(Phasing!$E$4:$X$4,$B$6,Phasing!$E568:$X568))))</f>
        <v>0</v>
      </c>
      <c r="M231" s="98">
        <f>IF($A231="",0,IF(AND(Inputs!$D64&lt;=$F$6,Inputs!$E64&gt;=$D$6),1,0))</f>
        <v>0</v>
      </c>
      <c r="N231" s="98" t="str">
        <f>IF($M231=0,"",SUM($M$173:$M231))</f>
        <v/>
      </c>
      <c r="O231" s="103">
        <f>IF($A231="",0,IF($B$5="All Time",Phasing!$Y653,IF($B$5="Year",SUMIF(Phasing!$E$3:$X$3,$D$5,Phasing!$E653:$X653),SUMIF(Phasing!$E$4:$X$4,$B$6,Phasing!$E653:$X653))))</f>
        <v>0</v>
      </c>
      <c r="P231" s="103" cm="1">
        <f t="array" ref="P231">IF($A231="",0,IF($B$5="All Time",SUMPRODUCT(Phasing!$D238:$X238,Analysis!$D$31:$X$31),IF($B$5="Year",SUMPRODUCT((Analysis!$E$3:$X$3=$D$5)*Phasing!$E238:$X238*Analysis!$E$31:$X$31),SUMPRODUCT((Analysis!$E$4:$X$4=$B$6)*Phasing!$E238:$X238*Analysis!$E$31:$X$31))))</f>
        <v>0</v>
      </c>
    </row>
    <row r="232" spans="1:16" x14ac:dyDescent="0.3">
      <c r="A232" s="98" t="str">
        <f>IF(Inputs!$A65="","",Inputs!$A65)</f>
        <v/>
      </c>
      <c r="B232" s="98">
        <f>IF($A232="",0,Inputs!$C65)</f>
        <v>0</v>
      </c>
      <c r="C232" s="98" t="str">
        <f>IF($A232="","",Inputs!$D65)</f>
        <v/>
      </c>
      <c r="D232" s="98" t="str">
        <f>IF($A232="","",Inputs!$E65)</f>
        <v/>
      </c>
      <c r="E232" s="98" t="str">
        <f>IF($A232="","",Inputs!$F65)</f>
        <v/>
      </c>
      <c r="F232" s="98">
        <f>IF($A232="",0,Inputs!$G65)</f>
        <v>0</v>
      </c>
      <c r="G232" s="98">
        <f>IF($A232="",0,Inputs!$P65)</f>
        <v>0</v>
      </c>
      <c r="H232" s="98">
        <f>IF($A232="",0,Inputs!$Q65)</f>
        <v>0</v>
      </c>
      <c r="I232" s="98">
        <f>IF($A232="",0,Inputs!$R65)</f>
        <v>0</v>
      </c>
      <c r="J232" s="98">
        <f>IF($A232="",0,Inputs!$T65)</f>
        <v>0</v>
      </c>
      <c r="K232" s="98">
        <f>IF($A232="",0,IF($B$5="All Time",Phasing!$Y239,IF($B$5="Year",SUMIF(Phasing!$E$3:$X$3,$D$5,Phasing!$E239:$X239),SUMIF(Phasing!$E$4:$X$4,$B$6,Phasing!$E239:$X239))))</f>
        <v>0</v>
      </c>
      <c r="L232" s="98">
        <f>IF($A232="",0,IF($B$5="All Time",Phasing!$Y569,IF($B$5="Year",SUMIF(Phasing!$E$3:$X$3,$D$5,Phasing!$E569:$X569),SUMIF(Phasing!$E$4:$X$4,$B$6,Phasing!$E569:$X569))))</f>
        <v>0</v>
      </c>
      <c r="M232" s="98">
        <f>IF($A232="",0,IF(AND(Inputs!$D65&lt;=$F$6,Inputs!$E65&gt;=$D$6),1,0))</f>
        <v>0</v>
      </c>
      <c r="N232" s="98" t="str">
        <f>IF($M232=0,"",SUM($M$173:$M232))</f>
        <v/>
      </c>
      <c r="O232" s="103">
        <f>IF($A232="",0,IF($B$5="All Time",Phasing!$Y654,IF($B$5="Year",SUMIF(Phasing!$E$3:$X$3,$D$5,Phasing!$E654:$X654),SUMIF(Phasing!$E$4:$X$4,$B$6,Phasing!$E654:$X654))))</f>
        <v>0</v>
      </c>
      <c r="P232" s="103" cm="1">
        <f t="array" ref="P232">IF($A232="",0,IF($B$5="All Time",SUMPRODUCT(Phasing!$D239:$X239,Analysis!$D$31:$X$31),IF($B$5="Year",SUMPRODUCT((Analysis!$E$3:$X$3=$D$5)*Phasing!$E239:$X239*Analysis!$E$31:$X$31),SUMPRODUCT((Analysis!$E$4:$X$4=$B$6)*Phasing!$E239:$X239*Analysis!$E$31:$X$31))))</f>
        <v>0</v>
      </c>
    </row>
    <row r="233" spans="1:16" x14ac:dyDescent="0.3">
      <c r="A233" s="98" t="str">
        <f>IF(Inputs!$A66="","",Inputs!$A66)</f>
        <v/>
      </c>
      <c r="B233" s="98">
        <f>IF($A233="",0,Inputs!$C66)</f>
        <v>0</v>
      </c>
      <c r="C233" s="98" t="str">
        <f>IF($A233="","",Inputs!$D66)</f>
        <v/>
      </c>
      <c r="D233" s="98" t="str">
        <f>IF($A233="","",Inputs!$E66)</f>
        <v/>
      </c>
      <c r="E233" s="98" t="str">
        <f>IF($A233="","",Inputs!$F66)</f>
        <v/>
      </c>
      <c r="F233" s="98">
        <f>IF($A233="",0,Inputs!$G66)</f>
        <v>0</v>
      </c>
      <c r="G233" s="98">
        <f>IF($A233="",0,Inputs!$P66)</f>
        <v>0</v>
      </c>
      <c r="H233" s="98">
        <f>IF($A233="",0,Inputs!$Q66)</f>
        <v>0</v>
      </c>
      <c r="I233" s="98">
        <f>IF($A233="",0,Inputs!$R66)</f>
        <v>0</v>
      </c>
      <c r="J233" s="98">
        <f>IF($A233="",0,Inputs!$T66)</f>
        <v>0</v>
      </c>
      <c r="K233" s="98">
        <f>IF($A233="",0,IF($B$5="All Time",Phasing!$Y240,IF($B$5="Year",SUMIF(Phasing!$E$3:$X$3,$D$5,Phasing!$E240:$X240),SUMIF(Phasing!$E$4:$X$4,$B$6,Phasing!$E240:$X240))))</f>
        <v>0</v>
      </c>
      <c r="L233" s="98">
        <f>IF($A233="",0,IF($B$5="All Time",Phasing!$Y570,IF($B$5="Year",SUMIF(Phasing!$E$3:$X$3,$D$5,Phasing!$E570:$X570),SUMIF(Phasing!$E$4:$X$4,$B$6,Phasing!$E570:$X570))))</f>
        <v>0</v>
      </c>
      <c r="M233" s="98">
        <f>IF($A233="",0,IF(AND(Inputs!$D66&lt;=$F$6,Inputs!$E66&gt;=$D$6),1,0))</f>
        <v>0</v>
      </c>
      <c r="N233" s="98" t="str">
        <f>IF($M233=0,"",SUM($M$173:$M233))</f>
        <v/>
      </c>
      <c r="O233" s="103">
        <f>IF($A233="",0,IF($B$5="All Time",Phasing!$Y655,IF($B$5="Year",SUMIF(Phasing!$E$3:$X$3,$D$5,Phasing!$E655:$X655),SUMIF(Phasing!$E$4:$X$4,$B$6,Phasing!$E655:$X655))))</f>
        <v>0</v>
      </c>
      <c r="P233" s="103" cm="1">
        <f t="array" ref="P233">IF($A233="",0,IF($B$5="All Time",SUMPRODUCT(Phasing!$D240:$X240,Analysis!$D$31:$X$31),IF($B$5="Year",SUMPRODUCT((Analysis!$E$3:$X$3=$D$5)*Phasing!$E240:$X240*Analysis!$E$31:$X$31),SUMPRODUCT((Analysis!$E$4:$X$4=$B$6)*Phasing!$E240:$X240*Analysis!$E$31:$X$31))))</f>
        <v>0</v>
      </c>
    </row>
    <row r="234" spans="1:16" x14ac:dyDescent="0.3">
      <c r="A234" s="98" t="str">
        <f>IF(Inputs!$A67="","",Inputs!$A67)</f>
        <v/>
      </c>
      <c r="B234" s="98">
        <f>IF($A234="",0,Inputs!$C67)</f>
        <v>0</v>
      </c>
      <c r="C234" s="98" t="str">
        <f>IF($A234="","",Inputs!$D67)</f>
        <v/>
      </c>
      <c r="D234" s="98" t="str">
        <f>IF($A234="","",Inputs!$E67)</f>
        <v/>
      </c>
      <c r="E234" s="98" t="str">
        <f>IF($A234="","",Inputs!$F67)</f>
        <v/>
      </c>
      <c r="F234" s="98">
        <f>IF($A234="",0,Inputs!$G67)</f>
        <v>0</v>
      </c>
      <c r="G234" s="98">
        <f>IF($A234="",0,Inputs!$P67)</f>
        <v>0</v>
      </c>
      <c r="H234" s="98">
        <f>IF($A234="",0,Inputs!$Q67)</f>
        <v>0</v>
      </c>
      <c r="I234" s="98">
        <f>IF($A234="",0,Inputs!$R67)</f>
        <v>0</v>
      </c>
      <c r="J234" s="98">
        <f>IF($A234="",0,Inputs!$T67)</f>
        <v>0</v>
      </c>
      <c r="K234" s="98">
        <f>IF($A234="",0,IF($B$5="All Time",Phasing!$Y241,IF($B$5="Year",SUMIF(Phasing!$E$3:$X$3,$D$5,Phasing!$E241:$X241),SUMIF(Phasing!$E$4:$X$4,$B$6,Phasing!$E241:$X241))))</f>
        <v>0</v>
      </c>
      <c r="L234" s="98">
        <f>IF($A234="",0,IF($B$5="All Time",Phasing!$Y571,IF($B$5="Year",SUMIF(Phasing!$E$3:$X$3,$D$5,Phasing!$E571:$X571),SUMIF(Phasing!$E$4:$X$4,$B$6,Phasing!$E571:$X571))))</f>
        <v>0</v>
      </c>
      <c r="M234" s="98">
        <f>IF($A234="",0,IF(AND(Inputs!$D67&lt;=$F$6,Inputs!$E67&gt;=$D$6),1,0))</f>
        <v>0</v>
      </c>
      <c r="N234" s="98" t="str">
        <f>IF($M234=0,"",SUM($M$173:$M234))</f>
        <v/>
      </c>
      <c r="O234" s="103">
        <f>IF($A234="",0,IF($B$5="All Time",Phasing!$Y656,IF($B$5="Year",SUMIF(Phasing!$E$3:$X$3,$D$5,Phasing!$E656:$X656),SUMIF(Phasing!$E$4:$X$4,$B$6,Phasing!$E656:$X656))))</f>
        <v>0</v>
      </c>
      <c r="P234" s="103" cm="1">
        <f t="array" ref="P234">IF($A234="",0,IF($B$5="All Time",SUMPRODUCT(Phasing!$D241:$X241,Analysis!$D$31:$X$31),IF($B$5="Year",SUMPRODUCT((Analysis!$E$3:$X$3=$D$5)*Phasing!$E241:$X241*Analysis!$E$31:$X$31),SUMPRODUCT((Analysis!$E$4:$X$4=$B$6)*Phasing!$E241:$X241*Analysis!$E$31:$X$31))))</f>
        <v>0</v>
      </c>
    </row>
    <row r="235" spans="1:16" x14ac:dyDescent="0.3">
      <c r="A235" s="98" t="str">
        <f>IF(Inputs!$A68="","",Inputs!$A68)</f>
        <v/>
      </c>
      <c r="B235" s="98">
        <f>IF($A235="",0,Inputs!$C68)</f>
        <v>0</v>
      </c>
      <c r="C235" s="98" t="str">
        <f>IF($A235="","",Inputs!$D68)</f>
        <v/>
      </c>
      <c r="D235" s="98" t="str">
        <f>IF($A235="","",Inputs!$E68)</f>
        <v/>
      </c>
      <c r="E235" s="98" t="str">
        <f>IF($A235="","",Inputs!$F68)</f>
        <v/>
      </c>
      <c r="F235" s="98">
        <f>IF($A235="",0,Inputs!$G68)</f>
        <v>0</v>
      </c>
      <c r="G235" s="98">
        <f>IF($A235="",0,Inputs!$P68)</f>
        <v>0</v>
      </c>
      <c r="H235" s="98">
        <f>IF($A235="",0,Inputs!$Q68)</f>
        <v>0</v>
      </c>
      <c r="I235" s="98">
        <f>IF($A235="",0,Inputs!$R68)</f>
        <v>0</v>
      </c>
      <c r="J235" s="98">
        <f>IF($A235="",0,Inputs!$T68)</f>
        <v>0</v>
      </c>
      <c r="K235" s="98">
        <f>IF($A235="",0,IF($B$5="All Time",Phasing!$Y242,IF($B$5="Year",SUMIF(Phasing!$E$3:$X$3,$D$5,Phasing!$E242:$X242),SUMIF(Phasing!$E$4:$X$4,$B$6,Phasing!$E242:$X242))))</f>
        <v>0</v>
      </c>
      <c r="L235" s="98">
        <f>IF($A235="",0,IF($B$5="All Time",Phasing!$Y572,IF($B$5="Year",SUMIF(Phasing!$E$3:$X$3,$D$5,Phasing!$E572:$X572),SUMIF(Phasing!$E$4:$X$4,$B$6,Phasing!$E572:$X572))))</f>
        <v>0</v>
      </c>
      <c r="M235" s="98">
        <f>IF($A235="",0,IF(AND(Inputs!$D68&lt;=$F$6,Inputs!$E68&gt;=$D$6),1,0))</f>
        <v>0</v>
      </c>
      <c r="N235" s="98" t="str">
        <f>IF($M235=0,"",SUM($M$173:$M235))</f>
        <v/>
      </c>
      <c r="O235" s="103">
        <f>IF($A235="",0,IF($B$5="All Time",Phasing!$Y657,IF($B$5="Year",SUMIF(Phasing!$E$3:$X$3,$D$5,Phasing!$E657:$X657),SUMIF(Phasing!$E$4:$X$4,$B$6,Phasing!$E657:$X657))))</f>
        <v>0</v>
      </c>
      <c r="P235" s="103" cm="1">
        <f t="array" ref="P235">IF($A235="",0,IF($B$5="All Time",SUMPRODUCT(Phasing!$D242:$X242,Analysis!$D$31:$X$31),IF($B$5="Year",SUMPRODUCT((Analysis!$E$3:$X$3=$D$5)*Phasing!$E242:$X242*Analysis!$E$31:$X$31),SUMPRODUCT((Analysis!$E$4:$X$4=$B$6)*Phasing!$E242:$X242*Analysis!$E$31:$X$31))))</f>
        <v>0</v>
      </c>
    </row>
    <row r="236" spans="1:16" x14ac:dyDescent="0.3">
      <c r="A236" s="98" t="str">
        <f>IF(Inputs!$A69="","",Inputs!$A69)</f>
        <v/>
      </c>
      <c r="B236" s="98">
        <f>IF($A236="",0,Inputs!$C69)</f>
        <v>0</v>
      </c>
      <c r="C236" s="98" t="str">
        <f>IF($A236="","",Inputs!$D69)</f>
        <v/>
      </c>
      <c r="D236" s="98" t="str">
        <f>IF($A236="","",Inputs!$E69)</f>
        <v/>
      </c>
      <c r="E236" s="98" t="str">
        <f>IF($A236="","",Inputs!$F69)</f>
        <v/>
      </c>
      <c r="F236" s="98">
        <f>IF($A236="",0,Inputs!$G69)</f>
        <v>0</v>
      </c>
      <c r="G236" s="98">
        <f>IF($A236="",0,Inputs!$P69)</f>
        <v>0</v>
      </c>
      <c r="H236" s="98">
        <f>IF($A236="",0,Inputs!$Q69)</f>
        <v>0</v>
      </c>
      <c r="I236" s="98">
        <f>IF($A236="",0,Inputs!$R69)</f>
        <v>0</v>
      </c>
      <c r="J236" s="98">
        <f>IF($A236="",0,Inputs!$T69)</f>
        <v>0</v>
      </c>
      <c r="K236" s="98">
        <f>IF($A236="",0,IF($B$5="All Time",Phasing!$Y243,IF($B$5="Year",SUMIF(Phasing!$E$3:$X$3,$D$5,Phasing!$E243:$X243),SUMIF(Phasing!$E$4:$X$4,$B$6,Phasing!$E243:$X243))))</f>
        <v>0</v>
      </c>
      <c r="L236" s="98">
        <f>IF($A236="",0,IF($B$5="All Time",Phasing!$Y573,IF($B$5="Year",SUMIF(Phasing!$E$3:$X$3,$D$5,Phasing!$E573:$X573),SUMIF(Phasing!$E$4:$X$4,$B$6,Phasing!$E573:$X573))))</f>
        <v>0</v>
      </c>
      <c r="M236" s="98">
        <f>IF($A236="",0,IF(AND(Inputs!$D69&lt;=$F$6,Inputs!$E69&gt;=$D$6),1,0))</f>
        <v>0</v>
      </c>
      <c r="N236" s="98" t="str">
        <f>IF($M236=0,"",SUM($M$173:$M236))</f>
        <v/>
      </c>
      <c r="O236" s="103">
        <f>IF($A236="",0,IF($B$5="All Time",Phasing!$Y658,IF($B$5="Year",SUMIF(Phasing!$E$3:$X$3,$D$5,Phasing!$E658:$X658),SUMIF(Phasing!$E$4:$X$4,$B$6,Phasing!$E658:$X658))))</f>
        <v>0</v>
      </c>
      <c r="P236" s="103" cm="1">
        <f t="array" ref="P236">IF($A236="",0,IF($B$5="All Time",SUMPRODUCT(Phasing!$D243:$X243,Analysis!$D$31:$X$31),IF($B$5="Year",SUMPRODUCT((Analysis!$E$3:$X$3=$D$5)*Phasing!$E243:$X243*Analysis!$E$31:$X$31),SUMPRODUCT((Analysis!$E$4:$X$4=$B$6)*Phasing!$E243:$X243*Analysis!$E$31:$X$31))))</f>
        <v>0</v>
      </c>
    </row>
    <row r="237" spans="1:16" x14ac:dyDescent="0.3">
      <c r="A237" s="98" t="str">
        <f>IF(Inputs!$A70="","",Inputs!$A70)</f>
        <v/>
      </c>
      <c r="B237" s="98">
        <f>IF($A237="",0,Inputs!$C70)</f>
        <v>0</v>
      </c>
      <c r="C237" s="98" t="str">
        <f>IF($A237="","",Inputs!$D70)</f>
        <v/>
      </c>
      <c r="D237" s="98" t="str">
        <f>IF($A237="","",Inputs!$E70)</f>
        <v/>
      </c>
      <c r="E237" s="98" t="str">
        <f>IF($A237="","",Inputs!$F70)</f>
        <v/>
      </c>
      <c r="F237" s="98">
        <f>IF($A237="",0,Inputs!$G70)</f>
        <v>0</v>
      </c>
      <c r="G237" s="98">
        <f>IF($A237="",0,Inputs!$P70)</f>
        <v>0</v>
      </c>
      <c r="H237" s="98">
        <f>IF($A237="",0,Inputs!$Q70)</f>
        <v>0</v>
      </c>
      <c r="I237" s="98">
        <f>IF($A237="",0,Inputs!$R70)</f>
        <v>0</v>
      </c>
      <c r="J237" s="98">
        <f>IF($A237="",0,Inputs!$T70)</f>
        <v>0</v>
      </c>
      <c r="K237" s="98">
        <f>IF($A237="",0,IF($B$5="All Time",Phasing!$Y244,IF($B$5="Year",SUMIF(Phasing!$E$3:$X$3,$D$5,Phasing!$E244:$X244),SUMIF(Phasing!$E$4:$X$4,$B$6,Phasing!$E244:$X244))))</f>
        <v>0</v>
      </c>
      <c r="L237" s="98">
        <f>IF($A237="",0,IF($B$5="All Time",Phasing!$Y574,IF($B$5="Year",SUMIF(Phasing!$E$3:$X$3,$D$5,Phasing!$E574:$X574),SUMIF(Phasing!$E$4:$X$4,$B$6,Phasing!$E574:$X574))))</f>
        <v>0</v>
      </c>
      <c r="M237" s="98">
        <f>IF($A237="",0,IF(AND(Inputs!$D70&lt;=$F$6,Inputs!$E70&gt;=$D$6),1,0))</f>
        <v>0</v>
      </c>
      <c r="N237" s="98" t="str">
        <f>IF($M237=0,"",SUM($M$173:$M237))</f>
        <v/>
      </c>
      <c r="O237" s="103">
        <f>IF($A237="",0,IF($B$5="All Time",Phasing!$Y659,IF($B$5="Year",SUMIF(Phasing!$E$3:$X$3,$D$5,Phasing!$E659:$X659),SUMIF(Phasing!$E$4:$X$4,$B$6,Phasing!$E659:$X659))))</f>
        <v>0</v>
      </c>
      <c r="P237" s="103" cm="1">
        <f t="array" ref="P237">IF($A237="",0,IF($B$5="All Time",SUMPRODUCT(Phasing!$D244:$X244,Analysis!$D$31:$X$31),IF($B$5="Year",SUMPRODUCT((Analysis!$E$3:$X$3=$D$5)*Phasing!$E244:$X244*Analysis!$E$31:$X$31),SUMPRODUCT((Analysis!$E$4:$X$4=$B$6)*Phasing!$E244:$X244*Analysis!$E$31:$X$31))))</f>
        <v>0</v>
      </c>
    </row>
    <row r="238" spans="1:16" x14ac:dyDescent="0.3">
      <c r="A238" s="98" t="str">
        <f>IF(Inputs!$A71="","",Inputs!$A71)</f>
        <v/>
      </c>
      <c r="B238" s="98">
        <f>IF($A238="",0,Inputs!$C71)</f>
        <v>0</v>
      </c>
      <c r="C238" s="98" t="str">
        <f>IF($A238="","",Inputs!$D71)</f>
        <v/>
      </c>
      <c r="D238" s="98" t="str">
        <f>IF($A238="","",Inputs!$E71)</f>
        <v/>
      </c>
      <c r="E238" s="98" t="str">
        <f>IF($A238="","",Inputs!$F71)</f>
        <v/>
      </c>
      <c r="F238" s="98">
        <f>IF($A238="",0,Inputs!$G71)</f>
        <v>0</v>
      </c>
      <c r="G238" s="98">
        <f>IF($A238="",0,Inputs!$P71)</f>
        <v>0</v>
      </c>
      <c r="H238" s="98">
        <f>IF($A238="",0,Inputs!$Q71)</f>
        <v>0</v>
      </c>
      <c r="I238" s="98">
        <f>IF($A238="",0,Inputs!$R71)</f>
        <v>0</v>
      </c>
      <c r="J238" s="98">
        <f>IF($A238="",0,Inputs!$T71)</f>
        <v>0</v>
      </c>
      <c r="K238" s="98">
        <f>IF($A238="",0,IF($B$5="All Time",Phasing!$Y245,IF($B$5="Year",SUMIF(Phasing!$E$3:$X$3,$D$5,Phasing!$E245:$X245),SUMIF(Phasing!$E$4:$X$4,$B$6,Phasing!$E245:$X245))))</f>
        <v>0</v>
      </c>
      <c r="L238" s="98">
        <f>IF($A238="",0,IF($B$5="All Time",Phasing!$Y575,IF($B$5="Year",SUMIF(Phasing!$E$3:$X$3,$D$5,Phasing!$E575:$X575),SUMIF(Phasing!$E$4:$X$4,$B$6,Phasing!$E575:$X575))))</f>
        <v>0</v>
      </c>
      <c r="M238" s="98">
        <f>IF($A238="",0,IF(AND(Inputs!$D71&lt;=$F$6,Inputs!$E71&gt;=$D$6),1,0))</f>
        <v>0</v>
      </c>
      <c r="N238" s="98" t="str">
        <f>IF($M238=0,"",SUM($M$173:$M238))</f>
        <v/>
      </c>
      <c r="O238" s="103">
        <f>IF($A238="",0,IF($B$5="All Time",Phasing!$Y660,IF($B$5="Year",SUMIF(Phasing!$E$3:$X$3,$D$5,Phasing!$E660:$X660),SUMIF(Phasing!$E$4:$X$4,$B$6,Phasing!$E660:$X660))))</f>
        <v>0</v>
      </c>
      <c r="P238" s="103" cm="1">
        <f t="array" ref="P238">IF($A238="",0,IF($B$5="All Time",SUMPRODUCT(Phasing!$D245:$X245,Analysis!$D$31:$X$31),IF($B$5="Year",SUMPRODUCT((Analysis!$E$3:$X$3=$D$5)*Phasing!$E245:$X245*Analysis!$E$31:$X$31),SUMPRODUCT((Analysis!$E$4:$X$4=$B$6)*Phasing!$E245:$X245*Analysis!$E$31:$X$31))))</f>
        <v>0</v>
      </c>
    </row>
    <row r="239" spans="1:16" x14ac:dyDescent="0.3">
      <c r="A239" s="98" t="str">
        <f>IF(Inputs!$A72="","",Inputs!$A72)</f>
        <v/>
      </c>
      <c r="B239" s="98">
        <f>IF($A239="",0,Inputs!$C72)</f>
        <v>0</v>
      </c>
      <c r="C239" s="98" t="str">
        <f>IF($A239="","",Inputs!$D72)</f>
        <v/>
      </c>
      <c r="D239" s="98" t="str">
        <f>IF($A239="","",Inputs!$E72)</f>
        <v/>
      </c>
      <c r="E239" s="98" t="str">
        <f>IF($A239="","",Inputs!$F72)</f>
        <v/>
      </c>
      <c r="F239" s="98">
        <f>IF($A239="",0,Inputs!$G72)</f>
        <v>0</v>
      </c>
      <c r="G239" s="98">
        <f>IF($A239="",0,Inputs!$P72)</f>
        <v>0</v>
      </c>
      <c r="H239" s="98">
        <f>IF($A239="",0,Inputs!$Q72)</f>
        <v>0</v>
      </c>
      <c r="I239" s="98">
        <f>IF($A239="",0,Inputs!$R72)</f>
        <v>0</v>
      </c>
      <c r="J239" s="98">
        <f>IF($A239="",0,Inputs!$T72)</f>
        <v>0</v>
      </c>
      <c r="K239" s="98">
        <f>IF($A239="",0,IF($B$5="All Time",Phasing!$Y246,IF($B$5="Year",SUMIF(Phasing!$E$3:$X$3,$D$5,Phasing!$E246:$X246),SUMIF(Phasing!$E$4:$X$4,$B$6,Phasing!$E246:$X246))))</f>
        <v>0</v>
      </c>
      <c r="L239" s="98">
        <f>IF($A239="",0,IF($B$5="All Time",Phasing!$Y576,IF($B$5="Year",SUMIF(Phasing!$E$3:$X$3,$D$5,Phasing!$E576:$X576),SUMIF(Phasing!$E$4:$X$4,$B$6,Phasing!$E576:$X576))))</f>
        <v>0</v>
      </c>
      <c r="M239" s="98">
        <f>IF($A239="",0,IF(AND(Inputs!$D72&lt;=$F$6,Inputs!$E72&gt;=$D$6),1,0))</f>
        <v>0</v>
      </c>
      <c r="N239" s="98" t="str">
        <f>IF($M239=0,"",SUM($M$173:$M239))</f>
        <v/>
      </c>
      <c r="O239" s="103">
        <f>IF($A239="",0,IF($B$5="All Time",Phasing!$Y661,IF($B$5="Year",SUMIF(Phasing!$E$3:$X$3,$D$5,Phasing!$E661:$X661),SUMIF(Phasing!$E$4:$X$4,$B$6,Phasing!$E661:$X661))))</f>
        <v>0</v>
      </c>
      <c r="P239" s="103" cm="1">
        <f t="array" ref="P239">IF($A239="",0,IF($B$5="All Time",SUMPRODUCT(Phasing!$D246:$X246,Analysis!$D$31:$X$31),IF($B$5="Year",SUMPRODUCT((Analysis!$E$3:$X$3=$D$5)*Phasing!$E246:$X246*Analysis!$E$31:$X$31),SUMPRODUCT((Analysis!$E$4:$X$4=$B$6)*Phasing!$E246:$X246*Analysis!$E$31:$X$31))))</f>
        <v>0</v>
      </c>
    </row>
    <row r="240" spans="1:16" x14ac:dyDescent="0.3">
      <c r="A240" s="98" t="str">
        <f>IF(Inputs!$A73="","",Inputs!$A73)</f>
        <v/>
      </c>
      <c r="B240" s="98">
        <f>IF($A240="",0,Inputs!$C73)</f>
        <v>0</v>
      </c>
      <c r="C240" s="98" t="str">
        <f>IF($A240="","",Inputs!$D73)</f>
        <v/>
      </c>
      <c r="D240" s="98" t="str">
        <f>IF($A240="","",Inputs!$E73)</f>
        <v/>
      </c>
      <c r="E240" s="98" t="str">
        <f>IF($A240="","",Inputs!$F73)</f>
        <v/>
      </c>
      <c r="F240" s="98">
        <f>IF($A240="",0,Inputs!$G73)</f>
        <v>0</v>
      </c>
      <c r="G240" s="98">
        <f>IF($A240="",0,Inputs!$P73)</f>
        <v>0</v>
      </c>
      <c r="H240" s="98">
        <f>IF($A240="",0,Inputs!$Q73)</f>
        <v>0</v>
      </c>
      <c r="I240" s="98">
        <f>IF($A240="",0,Inputs!$R73)</f>
        <v>0</v>
      </c>
      <c r="J240" s="98">
        <f>IF($A240="",0,Inputs!$T73)</f>
        <v>0</v>
      </c>
      <c r="K240" s="98">
        <f>IF($A240="",0,IF($B$5="All Time",Phasing!$Y247,IF($B$5="Year",SUMIF(Phasing!$E$3:$X$3,$D$5,Phasing!$E247:$X247),SUMIF(Phasing!$E$4:$X$4,$B$6,Phasing!$E247:$X247))))</f>
        <v>0</v>
      </c>
      <c r="L240" s="98">
        <f>IF($A240="",0,IF($B$5="All Time",Phasing!$Y577,IF($B$5="Year",SUMIF(Phasing!$E$3:$X$3,$D$5,Phasing!$E577:$X577),SUMIF(Phasing!$E$4:$X$4,$B$6,Phasing!$E577:$X577))))</f>
        <v>0</v>
      </c>
      <c r="M240" s="98">
        <f>IF($A240="",0,IF(AND(Inputs!$D73&lt;=$F$6,Inputs!$E73&gt;=$D$6),1,0))</f>
        <v>0</v>
      </c>
      <c r="N240" s="98" t="str">
        <f>IF($M240=0,"",SUM($M$173:$M240))</f>
        <v/>
      </c>
      <c r="O240" s="103">
        <f>IF($A240="",0,IF($B$5="All Time",Phasing!$Y662,IF($B$5="Year",SUMIF(Phasing!$E$3:$X$3,$D$5,Phasing!$E662:$X662),SUMIF(Phasing!$E$4:$X$4,$B$6,Phasing!$E662:$X662))))</f>
        <v>0</v>
      </c>
      <c r="P240" s="103" cm="1">
        <f t="array" ref="P240">IF($A240="",0,IF($B$5="All Time",SUMPRODUCT(Phasing!$D247:$X247,Analysis!$D$31:$X$31),IF($B$5="Year",SUMPRODUCT((Analysis!$E$3:$X$3=$D$5)*Phasing!$E247:$X247*Analysis!$E$31:$X$31),SUMPRODUCT((Analysis!$E$4:$X$4=$B$6)*Phasing!$E247:$X247*Analysis!$E$31:$X$31))))</f>
        <v>0</v>
      </c>
    </row>
    <row r="241" spans="1:16" x14ac:dyDescent="0.3">
      <c r="A241" s="98" t="str">
        <f>IF(Inputs!$A74="","",Inputs!$A74)</f>
        <v/>
      </c>
      <c r="B241" s="98">
        <f>IF($A241="",0,Inputs!$C74)</f>
        <v>0</v>
      </c>
      <c r="C241" s="98" t="str">
        <f>IF($A241="","",Inputs!$D74)</f>
        <v/>
      </c>
      <c r="D241" s="98" t="str">
        <f>IF($A241="","",Inputs!$E74)</f>
        <v/>
      </c>
      <c r="E241" s="98" t="str">
        <f>IF($A241="","",Inputs!$F74)</f>
        <v/>
      </c>
      <c r="F241" s="98">
        <f>IF($A241="",0,Inputs!$G74)</f>
        <v>0</v>
      </c>
      <c r="G241" s="98">
        <f>IF($A241="",0,Inputs!$P74)</f>
        <v>0</v>
      </c>
      <c r="H241" s="98">
        <f>IF($A241="",0,Inputs!$Q74)</f>
        <v>0</v>
      </c>
      <c r="I241" s="98">
        <f>IF($A241="",0,Inputs!$R74)</f>
        <v>0</v>
      </c>
      <c r="J241" s="98">
        <f>IF($A241="",0,Inputs!$T74)</f>
        <v>0</v>
      </c>
      <c r="K241" s="98">
        <f>IF($A241="",0,IF($B$5="All Time",Phasing!$Y248,IF($B$5="Year",SUMIF(Phasing!$E$3:$X$3,$D$5,Phasing!$E248:$X248),SUMIF(Phasing!$E$4:$X$4,$B$6,Phasing!$E248:$X248))))</f>
        <v>0</v>
      </c>
      <c r="L241" s="98">
        <f>IF($A241="",0,IF($B$5="All Time",Phasing!$Y578,IF($B$5="Year",SUMIF(Phasing!$E$3:$X$3,$D$5,Phasing!$E578:$X578),SUMIF(Phasing!$E$4:$X$4,$B$6,Phasing!$E578:$X578))))</f>
        <v>0</v>
      </c>
      <c r="M241" s="98">
        <f>IF($A241="",0,IF(AND(Inputs!$D74&lt;=$F$6,Inputs!$E74&gt;=$D$6),1,0))</f>
        <v>0</v>
      </c>
      <c r="N241" s="98" t="str">
        <f>IF($M241=0,"",SUM($M$173:$M241))</f>
        <v/>
      </c>
      <c r="O241" s="103">
        <f>IF($A241="",0,IF($B$5="All Time",Phasing!$Y663,IF($B$5="Year",SUMIF(Phasing!$E$3:$X$3,$D$5,Phasing!$E663:$X663),SUMIF(Phasing!$E$4:$X$4,$B$6,Phasing!$E663:$X663))))</f>
        <v>0</v>
      </c>
      <c r="P241" s="103" cm="1">
        <f t="array" ref="P241">IF($A241="",0,IF($B$5="All Time",SUMPRODUCT(Phasing!$D248:$X248,Analysis!$D$31:$X$31),IF($B$5="Year",SUMPRODUCT((Analysis!$E$3:$X$3=$D$5)*Phasing!$E248:$X248*Analysis!$E$31:$X$31),SUMPRODUCT((Analysis!$E$4:$X$4=$B$6)*Phasing!$E248:$X248*Analysis!$E$31:$X$31))))</f>
        <v>0</v>
      </c>
    </row>
    <row r="242" spans="1:16" x14ac:dyDescent="0.3">
      <c r="A242" s="98" t="str">
        <f>IF(Inputs!$A75="","",Inputs!$A75)</f>
        <v/>
      </c>
      <c r="B242" s="98">
        <f>IF($A242="",0,Inputs!$C75)</f>
        <v>0</v>
      </c>
      <c r="C242" s="98" t="str">
        <f>IF($A242="","",Inputs!$D75)</f>
        <v/>
      </c>
      <c r="D242" s="98" t="str">
        <f>IF($A242="","",Inputs!$E75)</f>
        <v/>
      </c>
      <c r="E242" s="98" t="str">
        <f>IF($A242="","",Inputs!$F75)</f>
        <v/>
      </c>
      <c r="F242" s="98">
        <f>IF($A242="",0,Inputs!$G75)</f>
        <v>0</v>
      </c>
      <c r="G242" s="98">
        <f>IF($A242="",0,Inputs!$P75)</f>
        <v>0</v>
      </c>
      <c r="H242" s="98">
        <f>IF($A242="",0,Inputs!$Q75)</f>
        <v>0</v>
      </c>
      <c r="I242" s="98">
        <f>IF($A242="",0,Inputs!$R75)</f>
        <v>0</v>
      </c>
      <c r="J242" s="98">
        <f>IF($A242="",0,Inputs!$T75)</f>
        <v>0</v>
      </c>
      <c r="K242" s="98">
        <f>IF($A242="",0,IF($B$5="All Time",Phasing!$Y249,IF($B$5="Year",SUMIF(Phasing!$E$3:$X$3,$D$5,Phasing!$E249:$X249),SUMIF(Phasing!$E$4:$X$4,$B$6,Phasing!$E249:$X249))))</f>
        <v>0</v>
      </c>
      <c r="L242" s="98">
        <f>IF($A242="",0,IF($B$5="All Time",Phasing!$Y579,IF($B$5="Year",SUMIF(Phasing!$E$3:$X$3,$D$5,Phasing!$E579:$X579),SUMIF(Phasing!$E$4:$X$4,$B$6,Phasing!$E579:$X579))))</f>
        <v>0</v>
      </c>
      <c r="M242" s="98">
        <f>IF($A242="",0,IF(AND(Inputs!$D75&lt;=$F$6,Inputs!$E75&gt;=$D$6),1,0))</f>
        <v>0</v>
      </c>
      <c r="N242" s="98" t="str">
        <f>IF($M242=0,"",SUM($M$173:$M242))</f>
        <v/>
      </c>
      <c r="O242" s="103">
        <f>IF($A242="",0,IF($B$5="All Time",Phasing!$Y664,IF($B$5="Year",SUMIF(Phasing!$E$3:$X$3,$D$5,Phasing!$E664:$X664),SUMIF(Phasing!$E$4:$X$4,$B$6,Phasing!$E664:$X664))))</f>
        <v>0</v>
      </c>
      <c r="P242" s="103" cm="1">
        <f t="array" ref="P242">IF($A242="",0,IF($B$5="All Time",SUMPRODUCT(Phasing!$D249:$X249,Analysis!$D$31:$X$31),IF($B$5="Year",SUMPRODUCT((Analysis!$E$3:$X$3=$D$5)*Phasing!$E249:$X249*Analysis!$E$31:$X$31),SUMPRODUCT((Analysis!$E$4:$X$4=$B$6)*Phasing!$E249:$X249*Analysis!$E$31:$X$31))))</f>
        <v>0</v>
      </c>
    </row>
    <row r="243" spans="1:16" x14ac:dyDescent="0.3">
      <c r="A243" s="98" t="str">
        <f>IF(Inputs!$A76="","",Inputs!$A76)</f>
        <v/>
      </c>
      <c r="B243" s="98">
        <f>IF($A243="",0,Inputs!$C76)</f>
        <v>0</v>
      </c>
      <c r="C243" s="98" t="str">
        <f>IF($A243="","",Inputs!$D76)</f>
        <v/>
      </c>
      <c r="D243" s="98" t="str">
        <f>IF($A243="","",Inputs!$E76)</f>
        <v/>
      </c>
      <c r="E243" s="98" t="str">
        <f>IF($A243="","",Inputs!$F76)</f>
        <v/>
      </c>
      <c r="F243" s="98">
        <f>IF($A243="",0,Inputs!$G76)</f>
        <v>0</v>
      </c>
      <c r="G243" s="98">
        <f>IF($A243="",0,Inputs!$P76)</f>
        <v>0</v>
      </c>
      <c r="H243" s="98">
        <f>IF($A243="",0,Inputs!$Q76)</f>
        <v>0</v>
      </c>
      <c r="I243" s="98">
        <f>IF($A243="",0,Inputs!$R76)</f>
        <v>0</v>
      </c>
      <c r="J243" s="98">
        <f>IF($A243="",0,Inputs!$T76)</f>
        <v>0</v>
      </c>
      <c r="K243" s="98">
        <f>IF($A243="",0,IF($B$5="All Time",Phasing!$Y250,IF($B$5="Year",SUMIF(Phasing!$E$3:$X$3,$D$5,Phasing!$E250:$X250),SUMIF(Phasing!$E$4:$X$4,$B$6,Phasing!$E250:$X250))))</f>
        <v>0</v>
      </c>
      <c r="L243" s="98">
        <f>IF($A243="",0,IF($B$5="All Time",Phasing!$Y580,IF($B$5="Year",SUMIF(Phasing!$E$3:$X$3,$D$5,Phasing!$E580:$X580),SUMIF(Phasing!$E$4:$X$4,$B$6,Phasing!$E580:$X580))))</f>
        <v>0</v>
      </c>
      <c r="M243" s="98">
        <f>IF($A243="",0,IF(AND(Inputs!$D76&lt;=$F$6,Inputs!$E76&gt;=$D$6),1,0))</f>
        <v>0</v>
      </c>
      <c r="N243" s="98" t="str">
        <f>IF($M243=0,"",SUM($M$173:$M243))</f>
        <v/>
      </c>
      <c r="O243" s="103">
        <f>IF($A243="",0,IF($B$5="All Time",Phasing!$Y665,IF($B$5="Year",SUMIF(Phasing!$E$3:$X$3,$D$5,Phasing!$E665:$X665),SUMIF(Phasing!$E$4:$X$4,$B$6,Phasing!$E665:$X665))))</f>
        <v>0</v>
      </c>
      <c r="P243" s="103" cm="1">
        <f t="array" ref="P243">IF($A243="",0,IF($B$5="All Time",SUMPRODUCT(Phasing!$D250:$X250,Analysis!$D$31:$X$31),IF($B$5="Year",SUMPRODUCT((Analysis!$E$3:$X$3=$D$5)*Phasing!$E250:$X250*Analysis!$E$31:$X$31),SUMPRODUCT((Analysis!$E$4:$X$4=$B$6)*Phasing!$E250:$X250*Analysis!$E$31:$X$31))))</f>
        <v>0</v>
      </c>
    </row>
    <row r="244" spans="1:16" x14ac:dyDescent="0.3">
      <c r="A244" s="98" t="str">
        <f>IF(Inputs!$A77="","",Inputs!$A77)</f>
        <v/>
      </c>
      <c r="B244" s="98">
        <f>IF($A244="",0,Inputs!$C77)</f>
        <v>0</v>
      </c>
      <c r="C244" s="98" t="str">
        <f>IF($A244="","",Inputs!$D77)</f>
        <v/>
      </c>
      <c r="D244" s="98" t="str">
        <f>IF($A244="","",Inputs!$E77)</f>
        <v/>
      </c>
      <c r="E244" s="98" t="str">
        <f>IF($A244="","",Inputs!$F77)</f>
        <v/>
      </c>
      <c r="F244" s="98">
        <f>IF($A244="",0,Inputs!$G77)</f>
        <v>0</v>
      </c>
      <c r="G244" s="98">
        <f>IF($A244="",0,Inputs!$P77)</f>
        <v>0</v>
      </c>
      <c r="H244" s="98">
        <f>IF($A244="",0,Inputs!$Q77)</f>
        <v>0</v>
      </c>
      <c r="I244" s="98">
        <f>IF($A244="",0,Inputs!$R77)</f>
        <v>0</v>
      </c>
      <c r="J244" s="98">
        <f>IF($A244="",0,Inputs!$T77)</f>
        <v>0</v>
      </c>
      <c r="K244" s="98">
        <f>IF($A244="",0,IF($B$5="All Time",Phasing!$Y251,IF($B$5="Year",SUMIF(Phasing!$E$3:$X$3,$D$5,Phasing!$E251:$X251),SUMIF(Phasing!$E$4:$X$4,$B$6,Phasing!$E251:$X251))))</f>
        <v>0</v>
      </c>
      <c r="L244" s="98">
        <f>IF($A244="",0,IF($B$5="All Time",Phasing!$Y581,IF($B$5="Year",SUMIF(Phasing!$E$3:$X$3,$D$5,Phasing!$E581:$X581),SUMIF(Phasing!$E$4:$X$4,$B$6,Phasing!$E581:$X581))))</f>
        <v>0</v>
      </c>
      <c r="M244" s="98">
        <f>IF($A244="",0,IF(AND(Inputs!$D77&lt;=$F$6,Inputs!$E77&gt;=$D$6),1,0))</f>
        <v>0</v>
      </c>
      <c r="N244" s="98" t="str">
        <f>IF($M244=0,"",SUM($M$173:$M244))</f>
        <v/>
      </c>
      <c r="O244" s="103">
        <f>IF($A244="",0,IF($B$5="All Time",Phasing!$Y666,IF($B$5="Year",SUMIF(Phasing!$E$3:$X$3,$D$5,Phasing!$E666:$X666),SUMIF(Phasing!$E$4:$X$4,$B$6,Phasing!$E666:$X666))))</f>
        <v>0</v>
      </c>
      <c r="P244" s="103" cm="1">
        <f t="array" ref="P244">IF($A244="",0,IF($B$5="All Time",SUMPRODUCT(Phasing!$D251:$X251,Analysis!$D$31:$X$31),IF($B$5="Year",SUMPRODUCT((Analysis!$E$3:$X$3=$D$5)*Phasing!$E251:$X251*Analysis!$E$31:$X$31),SUMPRODUCT((Analysis!$E$4:$X$4=$B$6)*Phasing!$E251:$X251*Analysis!$E$31:$X$31))))</f>
        <v>0</v>
      </c>
    </row>
    <row r="245" spans="1:16" x14ac:dyDescent="0.3">
      <c r="A245" s="98" t="str">
        <f>IF(Inputs!$A78="","",Inputs!$A78)</f>
        <v/>
      </c>
      <c r="B245" s="98">
        <f>IF($A245="",0,Inputs!$C78)</f>
        <v>0</v>
      </c>
      <c r="C245" s="98" t="str">
        <f>IF($A245="","",Inputs!$D78)</f>
        <v/>
      </c>
      <c r="D245" s="98" t="str">
        <f>IF($A245="","",Inputs!$E78)</f>
        <v/>
      </c>
      <c r="E245" s="98" t="str">
        <f>IF($A245="","",Inputs!$F78)</f>
        <v/>
      </c>
      <c r="F245" s="98">
        <f>IF($A245="",0,Inputs!$G78)</f>
        <v>0</v>
      </c>
      <c r="G245" s="98">
        <f>IF($A245="",0,Inputs!$P78)</f>
        <v>0</v>
      </c>
      <c r="H245" s="98">
        <f>IF($A245="",0,Inputs!$Q78)</f>
        <v>0</v>
      </c>
      <c r="I245" s="98">
        <f>IF($A245="",0,Inputs!$R78)</f>
        <v>0</v>
      </c>
      <c r="J245" s="98">
        <f>IF($A245="",0,Inputs!$T78)</f>
        <v>0</v>
      </c>
      <c r="K245" s="98">
        <f>IF($A245="",0,IF($B$5="All Time",Phasing!$Y252,IF($B$5="Year",SUMIF(Phasing!$E$3:$X$3,$D$5,Phasing!$E252:$X252),SUMIF(Phasing!$E$4:$X$4,$B$6,Phasing!$E252:$X252))))</f>
        <v>0</v>
      </c>
      <c r="L245" s="98">
        <f>IF($A245="",0,IF($B$5="All Time",Phasing!$Y582,IF($B$5="Year",SUMIF(Phasing!$E$3:$X$3,$D$5,Phasing!$E582:$X582),SUMIF(Phasing!$E$4:$X$4,$B$6,Phasing!$E582:$X582))))</f>
        <v>0</v>
      </c>
      <c r="M245" s="98">
        <f>IF($A245="",0,IF(AND(Inputs!$D78&lt;=$F$6,Inputs!$E78&gt;=$D$6),1,0))</f>
        <v>0</v>
      </c>
      <c r="N245" s="98" t="str">
        <f>IF($M245=0,"",SUM($M$173:$M245))</f>
        <v/>
      </c>
      <c r="O245" s="103">
        <f>IF($A245="",0,IF($B$5="All Time",Phasing!$Y667,IF($B$5="Year",SUMIF(Phasing!$E$3:$X$3,$D$5,Phasing!$E667:$X667),SUMIF(Phasing!$E$4:$X$4,$B$6,Phasing!$E667:$X667))))</f>
        <v>0</v>
      </c>
      <c r="P245" s="103" cm="1">
        <f t="array" ref="P245">IF($A245="",0,IF($B$5="All Time",SUMPRODUCT(Phasing!$D252:$X252,Analysis!$D$31:$X$31),IF($B$5="Year",SUMPRODUCT((Analysis!$E$3:$X$3=$D$5)*Phasing!$E252:$X252*Analysis!$E$31:$X$31),SUMPRODUCT((Analysis!$E$4:$X$4=$B$6)*Phasing!$E252:$X252*Analysis!$E$31:$X$31))))</f>
        <v>0</v>
      </c>
    </row>
    <row r="246" spans="1:16" x14ac:dyDescent="0.3">
      <c r="A246" s="98" t="str">
        <f>IF(Inputs!$A79="","",Inputs!$A79)</f>
        <v/>
      </c>
      <c r="B246" s="98">
        <f>IF($A246="",0,Inputs!$C79)</f>
        <v>0</v>
      </c>
      <c r="C246" s="98" t="str">
        <f>IF($A246="","",Inputs!$D79)</f>
        <v/>
      </c>
      <c r="D246" s="98" t="str">
        <f>IF($A246="","",Inputs!$E79)</f>
        <v/>
      </c>
      <c r="E246" s="98" t="str">
        <f>IF($A246="","",Inputs!$F79)</f>
        <v/>
      </c>
      <c r="F246" s="98">
        <f>IF($A246="",0,Inputs!$G79)</f>
        <v>0</v>
      </c>
      <c r="G246" s="98">
        <f>IF($A246="",0,Inputs!$P79)</f>
        <v>0</v>
      </c>
      <c r="H246" s="98">
        <f>IF($A246="",0,Inputs!$Q79)</f>
        <v>0</v>
      </c>
      <c r="I246" s="98">
        <f>IF($A246="",0,Inputs!$R79)</f>
        <v>0</v>
      </c>
      <c r="J246" s="98">
        <f>IF($A246="",0,Inputs!$T79)</f>
        <v>0</v>
      </c>
      <c r="K246" s="98">
        <f>IF($A246="",0,IF($B$5="All Time",Phasing!$Y253,IF($B$5="Year",SUMIF(Phasing!$E$3:$X$3,$D$5,Phasing!$E253:$X253),SUMIF(Phasing!$E$4:$X$4,$B$6,Phasing!$E253:$X253))))</f>
        <v>0</v>
      </c>
      <c r="L246" s="98">
        <f>IF($A246="",0,IF($B$5="All Time",Phasing!$Y583,IF($B$5="Year",SUMIF(Phasing!$E$3:$X$3,$D$5,Phasing!$E583:$X583),SUMIF(Phasing!$E$4:$X$4,$B$6,Phasing!$E583:$X583))))</f>
        <v>0</v>
      </c>
      <c r="M246" s="98">
        <f>IF($A246="",0,IF(AND(Inputs!$D79&lt;=$F$6,Inputs!$E79&gt;=$D$6),1,0))</f>
        <v>0</v>
      </c>
      <c r="N246" s="98" t="str">
        <f>IF($M246=0,"",SUM($M$173:$M246))</f>
        <v/>
      </c>
      <c r="O246" s="103">
        <f>IF($A246="",0,IF($B$5="All Time",Phasing!$Y668,IF($B$5="Year",SUMIF(Phasing!$E$3:$X$3,$D$5,Phasing!$E668:$X668),SUMIF(Phasing!$E$4:$X$4,$B$6,Phasing!$E668:$X668))))</f>
        <v>0</v>
      </c>
      <c r="P246" s="103" cm="1">
        <f t="array" ref="P246">IF($A246="",0,IF($B$5="All Time",SUMPRODUCT(Phasing!$D253:$X253,Analysis!$D$31:$X$31),IF($B$5="Year",SUMPRODUCT((Analysis!$E$3:$X$3=$D$5)*Phasing!$E253:$X253*Analysis!$E$31:$X$31),SUMPRODUCT((Analysis!$E$4:$X$4=$B$6)*Phasing!$E253:$X253*Analysis!$E$31:$X$31))))</f>
        <v>0</v>
      </c>
    </row>
    <row r="247" spans="1:16" x14ac:dyDescent="0.3">
      <c r="A247" s="98" t="str">
        <f>IF(Inputs!$A80="","",Inputs!$A80)</f>
        <v/>
      </c>
      <c r="B247" s="98">
        <f>IF($A247="",0,Inputs!$C80)</f>
        <v>0</v>
      </c>
      <c r="C247" s="98" t="str">
        <f>IF($A247="","",Inputs!$D80)</f>
        <v/>
      </c>
      <c r="D247" s="98" t="str">
        <f>IF($A247="","",Inputs!$E80)</f>
        <v/>
      </c>
      <c r="E247" s="98" t="str">
        <f>IF($A247="","",Inputs!$F80)</f>
        <v/>
      </c>
      <c r="F247" s="98">
        <f>IF($A247="",0,Inputs!$G80)</f>
        <v>0</v>
      </c>
      <c r="G247" s="98">
        <f>IF($A247="",0,Inputs!$P80)</f>
        <v>0</v>
      </c>
      <c r="H247" s="98">
        <f>IF($A247="",0,Inputs!$Q80)</f>
        <v>0</v>
      </c>
      <c r="I247" s="98">
        <f>IF($A247="",0,Inputs!$R80)</f>
        <v>0</v>
      </c>
      <c r="J247" s="98">
        <f>IF($A247="",0,Inputs!$T80)</f>
        <v>0</v>
      </c>
      <c r="K247" s="98">
        <f>IF($A247="",0,IF($B$5="All Time",Phasing!$Y254,IF($B$5="Year",SUMIF(Phasing!$E$3:$X$3,$D$5,Phasing!$E254:$X254),SUMIF(Phasing!$E$4:$X$4,$B$6,Phasing!$E254:$X254))))</f>
        <v>0</v>
      </c>
      <c r="L247" s="98">
        <f>IF($A247="",0,IF($B$5="All Time",Phasing!$Y584,IF($B$5="Year",SUMIF(Phasing!$E$3:$X$3,$D$5,Phasing!$E584:$X584),SUMIF(Phasing!$E$4:$X$4,$B$6,Phasing!$E584:$X584))))</f>
        <v>0</v>
      </c>
      <c r="M247" s="98">
        <f>IF($A247="",0,IF(AND(Inputs!$D80&lt;=$F$6,Inputs!$E80&gt;=$D$6),1,0))</f>
        <v>0</v>
      </c>
      <c r="N247" s="98" t="str">
        <f>IF($M247=0,"",SUM($M$173:$M247))</f>
        <v/>
      </c>
      <c r="O247" s="103">
        <f>IF($A247="",0,IF($B$5="All Time",Phasing!$Y669,IF($B$5="Year",SUMIF(Phasing!$E$3:$X$3,$D$5,Phasing!$E669:$X669),SUMIF(Phasing!$E$4:$X$4,$B$6,Phasing!$E669:$X669))))</f>
        <v>0</v>
      </c>
      <c r="P247" s="103" cm="1">
        <f t="array" ref="P247">IF($A247="",0,IF($B$5="All Time",SUMPRODUCT(Phasing!$D254:$X254,Analysis!$D$31:$X$31),IF($B$5="Year",SUMPRODUCT((Analysis!$E$3:$X$3=$D$5)*Phasing!$E254:$X254*Analysis!$E$31:$X$31),SUMPRODUCT((Analysis!$E$4:$X$4=$B$6)*Phasing!$E254:$X254*Analysis!$E$31:$X$31))))</f>
        <v>0</v>
      </c>
    </row>
    <row r="248" spans="1:16" x14ac:dyDescent="0.3">
      <c r="A248" s="98" t="str">
        <f>IF(Inputs!$A81="","",Inputs!$A81)</f>
        <v/>
      </c>
      <c r="B248" s="98">
        <f>IF($A248="",0,Inputs!$C81)</f>
        <v>0</v>
      </c>
      <c r="C248" s="98" t="str">
        <f>IF($A248="","",Inputs!$D81)</f>
        <v/>
      </c>
      <c r="D248" s="98" t="str">
        <f>IF($A248="","",Inputs!$E81)</f>
        <v/>
      </c>
      <c r="E248" s="98" t="str">
        <f>IF($A248="","",Inputs!$F81)</f>
        <v/>
      </c>
      <c r="F248" s="98">
        <f>IF($A248="",0,Inputs!$G81)</f>
        <v>0</v>
      </c>
      <c r="G248" s="98">
        <f>IF($A248="",0,Inputs!$P81)</f>
        <v>0</v>
      </c>
      <c r="H248" s="98">
        <f>IF($A248="",0,Inputs!$Q81)</f>
        <v>0</v>
      </c>
      <c r="I248" s="98">
        <f>IF($A248="",0,Inputs!$R81)</f>
        <v>0</v>
      </c>
      <c r="J248" s="98">
        <f>IF($A248="",0,Inputs!$T81)</f>
        <v>0</v>
      </c>
      <c r="K248" s="98">
        <f>IF($A248="",0,IF($B$5="All Time",Phasing!$Y255,IF($B$5="Year",SUMIF(Phasing!$E$3:$X$3,$D$5,Phasing!$E255:$X255),SUMIF(Phasing!$E$4:$X$4,$B$6,Phasing!$E255:$X255))))</f>
        <v>0</v>
      </c>
      <c r="L248" s="98">
        <f>IF($A248="",0,IF($B$5="All Time",Phasing!$Y585,IF($B$5="Year",SUMIF(Phasing!$E$3:$X$3,$D$5,Phasing!$E585:$X585),SUMIF(Phasing!$E$4:$X$4,$B$6,Phasing!$E585:$X585))))</f>
        <v>0</v>
      </c>
      <c r="M248" s="98">
        <f>IF($A248="",0,IF(AND(Inputs!$D81&lt;=$F$6,Inputs!$E81&gt;=$D$6),1,0))</f>
        <v>0</v>
      </c>
      <c r="N248" s="98" t="str">
        <f>IF($M248=0,"",SUM($M$173:$M248))</f>
        <v/>
      </c>
      <c r="O248" s="103">
        <f>IF($A248="",0,IF($B$5="All Time",Phasing!$Y670,IF($B$5="Year",SUMIF(Phasing!$E$3:$X$3,$D$5,Phasing!$E670:$X670),SUMIF(Phasing!$E$4:$X$4,$B$6,Phasing!$E670:$X670))))</f>
        <v>0</v>
      </c>
      <c r="P248" s="103" cm="1">
        <f t="array" ref="P248">IF($A248="",0,IF($B$5="All Time",SUMPRODUCT(Phasing!$D255:$X255,Analysis!$D$31:$X$31),IF($B$5="Year",SUMPRODUCT((Analysis!$E$3:$X$3=$D$5)*Phasing!$E255:$X255*Analysis!$E$31:$X$31),SUMPRODUCT((Analysis!$E$4:$X$4=$B$6)*Phasing!$E255:$X255*Analysis!$E$31:$X$31))))</f>
        <v>0</v>
      </c>
    </row>
    <row r="249" spans="1:16" x14ac:dyDescent="0.3">
      <c r="A249" s="98" t="str">
        <f>IF(Inputs!$A82="","",Inputs!$A82)</f>
        <v/>
      </c>
      <c r="B249" s="98">
        <f>IF($A249="",0,Inputs!$C82)</f>
        <v>0</v>
      </c>
      <c r="C249" s="98" t="str">
        <f>IF($A249="","",Inputs!$D82)</f>
        <v/>
      </c>
      <c r="D249" s="98" t="str">
        <f>IF($A249="","",Inputs!$E82)</f>
        <v/>
      </c>
      <c r="E249" s="98" t="str">
        <f>IF($A249="","",Inputs!$F82)</f>
        <v/>
      </c>
      <c r="F249" s="98">
        <f>IF($A249="",0,Inputs!$G82)</f>
        <v>0</v>
      </c>
      <c r="G249" s="98">
        <f>IF($A249="",0,Inputs!$P82)</f>
        <v>0</v>
      </c>
      <c r="H249" s="98">
        <f>IF($A249="",0,Inputs!$Q82)</f>
        <v>0</v>
      </c>
      <c r="I249" s="98">
        <f>IF($A249="",0,Inputs!$R82)</f>
        <v>0</v>
      </c>
      <c r="J249" s="98">
        <f>IF($A249="",0,Inputs!$T82)</f>
        <v>0</v>
      </c>
      <c r="K249" s="98">
        <f>IF($A249="",0,IF($B$5="All Time",Phasing!$Y256,IF($B$5="Year",SUMIF(Phasing!$E$3:$X$3,$D$5,Phasing!$E256:$X256),SUMIF(Phasing!$E$4:$X$4,$B$6,Phasing!$E256:$X256))))</f>
        <v>0</v>
      </c>
      <c r="L249" s="98">
        <f>IF($A249="",0,IF($B$5="All Time",Phasing!$Y586,IF($B$5="Year",SUMIF(Phasing!$E$3:$X$3,$D$5,Phasing!$E586:$X586),SUMIF(Phasing!$E$4:$X$4,$B$6,Phasing!$E586:$X586))))</f>
        <v>0</v>
      </c>
      <c r="M249" s="98">
        <f>IF($A249="",0,IF(AND(Inputs!$D82&lt;=$F$6,Inputs!$E82&gt;=$D$6),1,0))</f>
        <v>0</v>
      </c>
      <c r="N249" s="98" t="str">
        <f>IF($M249=0,"",SUM($M$173:$M249))</f>
        <v/>
      </c>
      <c r="O249" s="103">
        <f>IF($A249="",0,IF($B$5="All Time",Phasing!$Y671,IF($B$5="Year",SUMIF(Phasing!$E$3:$X$3,$D$5,Phasing!$E671:$X671),SUMIF(Phasing!$E$4:$X$4,$B$6,Phasing!$E671:$X671))))</f>
        <v>0</v>
      </c>
      <c r="P249" s="103" cm="1">
        <f t="array" ref="P249">IF($A249="",0,IF($B$5="All Time",SUMPRODUCT(Phasing!$D256:$X256,Analysis!$D$31:$X$31),IF($B$5="Year",SUMPRODUCT((Analysis!$E$3:$X$3=$D$5)*Phasing!$E256:$X256*Analysis!$E$31:$X$31),SUMPRODUCT((Analysis!$E$4:$X$4=$B$6)*Phasing!$E256:$X256*Analysis!$E$31:$X$31))))</f>
        <v>0</v>
      </c>
    </row>
    <row r="250" spans="1:16" x14ac:dyDescent="0.3">
      <c r="A250" s="98" t="str">
        <f>IF(Inputs!$A83="","",Inputs!$A83)</f>
        <v/>
      </c>
      <c r="B250" s="98">
        <f>IF($A250="",0,Inputs!$C83)</f>
        <v>0</v>
      </c>
      <c r="C250" s="98" t="str">
        <f>IF($A250="","",Inputs!$D83)</f>
        <v/>
      </c>
      <c r="D250" s="98" t="str">
        <f>IF($A250="","",Inputs!$E83)</f>
        <v/>
      </c>
      <c r="E250" s="98" t="str">
        <f>IF($A250="","",Inputs!$F83)</f>
        <v/>
      </c>
      <c r="F250" s="98">
        <f>IF($A250="",0,Inputs!$G83)</f>
        <v>0</v>
      </c>
      <c r="G250" s="98">
        <f>IF($A250="",0,Inputs!$P83)</f>
        <v>0</v>
      </c>
      <c r="H250" s="98">
        <f>IF($A250="",0,Inputs!$Q83)</f>
        <v>0</v>
      </c>
      <c r="I250" s="98">
        <f>IF($A250="",0,Inputs!$R83)</f>
        <v>0</v>
      </c>
      <c r="J250" s="98">
        <f>IF($A250="",0,Inputs!$T83)</f>
        <v>0</v>
      </c>
      <c r="K250" s="98">
        <f>IF($A250="",0,IF($B$5="All Time",Phasing!$Y257,IF($B$5="Year",SUMIF(Phasing!$E$3:$X$3,$D$5,Phasing!$E257:$X257),SUMIF(Phasing!$E$4:$X$4,$B$6,Phasing!$E257:$X257))))</f>
        <v>0</v>
      </c>
      <c r="L250" s="98">
        <f>IF($A250="",0,IF($B$5="All Time",Phasing!$Y587,IF($B$5="Year",SUMIF(Phasing!$E$3:$X$3,$D$5,Phasing!$E587:$X587),SUMIF(Phasing!$E$4:$X$4,$B$6,Phasing!$E587:$X587))))</f>
        <v>0</v>
      </c>
      <c r="M250" s="98">
        <f>IF($A250="",0,IF(AND(Inputs!$D83&lt;=$F$6,Inputs!$E83&gt;=$D$6),1,0))</f>
        <v>0</v>
      </c>
      <c r="N250" s="98" t="str">
        <f>IF($M250=0,"",SUM($M$173:$M250))</f>
        <v/>
      </c>
      <c r="O250" s="103">
        <f>IF($A250="",0,IF($B$5="All Time",Phasing!$Y672,IF($B$5="Year",SUMIF(Phasing!$E$3:$X$3,$D$5,Phasing!$E672:$X672),SUMIF(Phasing!$E$4:$X$4,$B$6,Phasing!$E672:$X672))))</f>
        <v>0</v>
      </c>
      <c r="P250" s="103" cm="1">
        <f t="array" ref="P250">IF($A250="",0,IF($B$5="All Time",SUMPRODUCT(Phasing!$D257:$X257,Analysis!$D$31:$X$31),IF($B$5="Year",SUMPRODUCT((Analysis!$E$3:$X$3=$D$5)*Phasing!$E257:$X257*Analysis!$E$31:$X$31),SUMPRODUCT((Analysis!$E$4:$X$4=$B$6)*Phasing!$E257:$X257*Analysis!$E$31:$X$31))))</f>
        <v>0</v>
      </c>
    </row>
    <row r="251" spans="1:16" x14ac:dyDescent="0.3">
      <c r="A251" s="98" t="str">
        <f>IF(Inputs!$A84="","",Inputs!$A84)</f>
        <v/>
      </c>
      <c r="B251" s="98">
        <f>IF($A251="",0,Inputs!$C84)</f>
        <v>0</v>
      </c>
      <c r="C251" s="98" t="str">
        <f>IF($A251="","",Inputs!$D84)</f>
        <v/>
      </c>
      <c r="D251" s="98" t="str">
        <f>IF($A251="","",Inputs!$E84)</f>
        <v/>
      </c>
      <c r="E251" s="98" t="str">
        <f>IF($A251="","",Inputs!$F84)</f>
        <v/>
      </c>
      <c r="F251" s="98">
        <f>IF($A251="",0,Inputs!$G84)</f>
        <v>0</v>
      </c>
      <c r="G251" s="98">
        <f>IF($A251="",0,Inputs!$P84)</f>
        <v>0</v>
      </c>
      <c r="H251" s="98">
        <f>IF($A251="",0,Inputs!$Q84)</f>
        <v>0</v>
      </c>
      <c r="I251" s="98">
        <f>IF($A251="",0,Inputs!$R84)</f>
        <v>0</v>
      </c>
      <c r="J251" s="98">
        <f>IF($A251="",0,Inputs!$T84)</f>
        <v>0</v>
      </c>
      <c r="K251" s="98">
        <f>IF($A251="",0,IF($B$5="All Time",Phasing!$Y258,IF($B$5="Year",SUMIF(Phasing!$E$3:$X$3,$D$5,Phasing!$E258:$X258),SUMIF(Phasing!$E$4:$X$4,$B$6,Phasing!$E258:$X258))))</f>
        <v>0</v>
      </c>
      <c r="L251" s="98">
        <f>IF($A251="",0,IF($B$5="All Time",Phasing!$Y588,IF($B$5="Year",SUMIF(Phasing!$E$3:$X$3,$D$5,Phasing!$E588:$X588),SUMIF(Phasing!$E$4:$X$4,$B$6,Phasing!$E588:$X588))))</f>
        <v>0</v>
      </c>
      <c r="M251" s="98">
        <f>IF($A251="",0,IF(AND(Inputs!$D84&lt;=$F$6,Inputs!$E84&gt;=$D$6),1,0))</f>
        <v>0</v>
      </c>
      <c r="N251" s="98" t="str">
        <f>IF($M251=0,"",SUM($M$173:$M251))</f>
        <v/>
      </c>
      <c r="O251" s="103">
        <f>IF($A251="",0,IF($B$5="All Time",Phasing!$Y673,IF($B$5="Year",SUMIF(Phasing!$E$3:$X$3,$D$5,Phasing!$E673:$X673),SUMIF(Phasing!$E$4:$X$4,$B$6,Phasing!$E673:$X673))))</f>
        <v>0</v>
      </c>
      <c r="P251" s="103" cm="1">
        <f t="array" ref="P251">IF($A251="",0,IF($B$5="All Time",SUMPRODUCT(Phasing!$D258:$X258,Analysis!$D$31:$X$31),IF($B$5="Year",SUMPRODUCT((Analysis!$E$3:$X$3=$D$5)*Phasing!$E258:$X258*Analysis!$E$31:$X$31),SUMPRODUCT((Analysis!$E$4:$X$4=$B$6)*Phasing!$E258:$X258*Analysis!$E$31:$X$31))))</f>
        <v>0</v>
      </c>
    </row>
    <row r="252" spans="1:16" x14ac:dyDescent="0.3">
      <c r="A252" s="98" t="str">
        <f>IF(Inputs!$A85="","",Inputs!$A85)</f>
        <v/>
      </c>
      <c r="B252" s="98">
        <f>IF($A252="",0,Inputs!$C85)</f>
        <v>0</v>
      </c>
      <c r="C252" s="98" t="str">
        <f>IF($A252="","",Inputs!$D85)</f>
        <v/>
      </c>
      <c r="D252" s="98" t="str">
        <f>IF($A252="","",Inputs!$E85)</f>
        <v/>
      </c>
      <c r="E252" s="98" t="str">
        <f>IF($A252="","",Inputs!$F85)</f>
        <v/>
      </c>
      <c r="F252" s="98">
        <f>IF($A252="",0,Inputs!$G85)</f>
        <v>0</v>
      </c>
      <c r="G252" s="98">
        <f>IF($A252="",0,Inputs!$P85)</f>
        <v>0</v>
      </c>
      <c r="H252" s="98">
        <f>IF($A252="",0,Inputs!$Q85)</f>
        <v>0</v>
      </c>
      <c r="I252" s="98">
        <f>IF($A252="",0,Inputs!$R85)</f>
        <v>0</v>
      </c>
      <c r="J252" s="98">
        <f>IF($A252="",0,Inputs!$T85)</f>
        <v>0</v>
      </c>
      <c r="K252" s="98">
        <f>IF($A252="",0,IF($B$5="All Time",Phasing!$Y259,IF($B$5="Year",SUMIF(Phasing!$E$3:$X$3,$D$5,Phasing!$E259:$X259),SUMIF(Phasing!$E$4:$X$4,$B$6,Phasing!$E259:$X259))))</f>
        <v>0</v>
      </c>
      <c r="L252" s="98">
        <f>IF($A252="",0,IF($B$5="All Time",Phasing!$Y589,IF($B$5="Year",SUMIF(Phasing!$E$3:$X$3,$D$5,Phasing!$E589:$X589),SUMIF(Phasing!$E$4:$X$4,$B$6,Phasing!$E589:$X589))))</f>
        <v>0</v>
      </c>
      <c r="M252" s="98">
        <f>IF($A252="",0,IF(AND(Inputs!$D85&lt;=$F$6,Inputs!$E85&gt;=$D$6),1,0))</f>
        <v>0</v>
      </c>
      <c r="N252" s="98" t="str">
        <f>IF($M252=0,"",SUM($M$173:$M252))</f>
        <v/>
      </c>
      <c r="O252" s="103">
        <f>IF($A252="",0,IF($B$5="All Time",Phasing!$Y674,IF($B$5="Year",SUMIF(Phasing!$E$3:$X$3,$D$5,Phasing!$E674:$X674),SUMIF(Phasing!$E$4:$X$4,$B$6,Phasing!$E674:$X674))))</f>
        <v>0</v>
      </c>
      <c r="P252" s="103" cm="1">
        <f t="array" ref="P252">IF($A252="",0,IF($B$5="All Time",SUMPRODUCT(Phasing!$D259:$X259,Analysis!$D$31:$X$31),IF($B$5="Year",SUMPRODUCT((Analysis!$E$3:$X$3=$D$5)*Phasing!$E259:$X259*Analysis!$E$31:$X$31),SUMPRODUCT((Analysis!$E$4:$X$4=$B$6)*Phasing!$E259:$X259*Analysis!$E$31:$X$31))))</f>
        <v>0</v>
      </c>
    </row>
  </sheetData>
  <mergeCells count="8">
    <mergeCell ref="A13:M13"/>
    <mergeCell ref="A24:M24"/>
    <mergeCell ref="A1:M1"/>
    <mergeCell ref="A2:M2"/>
    <mergeCell ref="A108:M108"/>
    <mergeCell ref="H5:J5"/>
    <mergeCell ref="A4:M4"/>
    <mergeCell ref="A8:M8"/>
  </mergeCells>
  <conditionalFormatting sqref="A15:A20">
    <cfRule type="containsText" dxfId="120" priority="1" operator="containsText" text="Active">
      <formula>NOT(ISERROR(SEARCH("Active",A15)))</formula>
    </cfRule>
    <cfRule type="containsText" dxfId="119" priority="2" operator="containsText" text="Not Started">
      <formula>NOT(ISERROR(SEARCH("Not Started",A15)))</formula>
    </cfRule>
    <cfRule type="containsText" dxfId="118" priority="3" operator="containsText" text="On Hold">
      <formula>NOT(ISERROR(SEARCH("On Hold",A15)))</formula>
    </cfRule>
    <cfRule type="containsText" dxfId="117" priority="4" operator="containsText" text="Finalized">
      <formula>NOT(ISERROR(SEARCH("Finalized",A15)))</formula>
    </cfRule>
    <cfRule type="containsText" dxfId="116" priority="5" operator="containsText" text="Proposal">
      <formula>NOT(ISERROR(SEARCH("Proposal",A15)))</formula>
    </cfRule>
    <cfRule type="containsText" dxfId="115" priority="6" operator="containsText" text="Cancelled">
      <formula>NOT(ISERROR(SEARCH("Cancelled",A15)))</formula>
    </cfRule>
  </conditionalFormatting>
  <conditionalFormatting sqref="E26:E105">
    <cfRule type="containsText" dxfId="114" priority="8" operator="containsText" text="Active">
      <formula>NOT(ISERROR(SEARCH("Active",E26)))</formula>
    </cfRule>
    <cfRule type="containsText" dxfId="113" priority="9" operator="containsText" text="Not Started">
      <formula>NOT(ISERROR(SEARCH("Not Started",E26)))</formula>
    </cfRule>
    <cfRule type="containsText" dxfId="112" priority="10" operator="containsText" text="On Hold">
      <formula>NOT(ISERROR(SEARCH("On Hold",E26)))</formula>
    </cfRule>
    <cfRule type="containsText" dxfId="111" priority="11" operator="containsText" text="Finalized">
      <formula>NOT(ISERROR(SEARCH("Finalized",E26)))</formula>
    </cfRule>
    <cfRule type="containsText" dxfId="110" priority="12" operator="containsText" text="Proposal">
      <formula>NOT(ISERROR(SEARCH("Proposal",E26)))</formula>
    </cfRule>
    <cfRule type="containsText" dxfId="109" priority="13" operator="containsText" text="Cancelled">
      <formula>NOT(ISERROR(SEARCH("Cancelled",E26)))</formula>
    </cfRule>
  </conditionalFormatting>
  <conditionalFormatting sqref="G15:G22">
    <cfRule type="cellIs" dxfId="108" priority="7" operator="lessThan">
      <formula>0</formula>
    </cfRule>
  </conditionalFormatting>
  <conditionalFormatting sqref="J26:J106">
    <cfRule type="cellIs" dxfId="107" priority="14" operator="lessThan">
      <formula>0</formula>
    </cfRule>
  </conditionalFormatting>
  <dataValidations count="3">
    <dataValidation type="list" allowBlank="1" showInputMessage="1" showErrorMessage="1" sqref="B5" xr:uid="{DFFEEBBF-09F3-4B8D-977C-A477358BF364}">
      <formula1>"All Time,Year,Quarter"</formula1>
    </dataValidation>
    <dataValidation type="list" allowBlank="1" showInputMessage="1" showErrorMessage="1" sqref="D5" xr:uid="{B4804C14-6CB4-4019-B864-6AA790ACB11D}">
      <formula1>"2024,2025,2026,2027,2028"</formula1>
    </dataValidation>
    <dataValidation type="list" allowBlank="1" showInputMessage="1" showErrorMessage="1" sqref="F5" xr:uid="{FE0AA16B-8E02-4E56-BE4F-2E12E17E42BF}">
      <formula1>"Q1,Q2,Q3,Q4"</formula1>
    </dataValidation>
  </dataValidations>
  <printOptions horizontalCentered="1"/>
  <pageMargins left="0.33333333333333331" right="0.33333333333333331" top="0.44444444444444442" bottom="0.44444444444444442" header="0.3" footer="0.3"/>
  <pageSetup paperSize="9" scale="57" fitToHeight="5" orientation="landscape" r:id="rId1"/>
  <headerFooter>
    <oddFooter>&amp;LProject Portfolio Dashboard — Confidential&amp;RPage &amp;P of &amp;N</oddFooter>
  </headerFooter>
  <rowBreaks count="5" manualBreakCount="5">
    <brk id="12" max="12" man="1"/>
    <brk id="23" max="12" man="1"/>
    <brk id="47" max="12" man="1"/>
    <brk id="56" max="12" man="1"/>
    <brk id="106" max="12"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B09DF-53C7-47A3-BF24-02AF4AC955AD}">
  <sheetPr>
    <tabColor rgb="FF1F6FC5"/>
    <pageSetUpPr fitToPage="1"/>
  </sheetPr>
  <dimension ref="A1:J86"/>
  <sheetViews>
    <sheetView showGridLines="0" workbookViewId="0">
      <selection activeCell="B45" sqref="B45"/>
    </sheetView>
  </sheetViews>
  <sheetFormatPr defaultRowHeight="14.4" x14ac:dyDescent="0.3"/>
  <cols>
    <col min="1" max="1" width="43.5546875" customWidth="1"/>
    <col min="2" max="10" width="17.77734375" customWidth="1"/>
  </cols>
  <sheetData>
    <row r="1" spans="1:10" ht="34.049999999999997" customHeight="1" x14ac:dyDescent="0.3">
      <c r="A1" s="301" t="s">
        <v>259</v>
      </c>
      <c r="B1" s="304"/>
      <c r="C1" s="304"/>
      <c r="D1" s="304"/>
      <c r="E1" s="304"/>
      <c r="F1" s="304"/>
      <c r="G1" s="304"/>
      <c r="H1" s="304"/>
      <c r="I1" s="304"/>
      <c r="J1" s="304"/>
    </row>
    <row r="2" spans="1:10" ht="22.05" customHeight="1" x14ac:dyDescent="0.3">
      <c r="A2" s="305" t="str">
        <f ca="1">"Viewing: "&amp;Dashboard!$H$5&amp;"     |     All effort in Man-Months (MM)     |     Reported "&amp;TEXT(TODAY(),"dd mmm yyyy")</f>
        <v>Viewing: Full year 2026     |     All effort in Man-Months (MM)     |     Reported 01 Sep 2026</v>
      </c>
      <c r="B2" s="304"/>
      <c r="C2" s="304"/>
      <c r="D2" s="304"/>
      <c r="E2" s="304"/>
      <c r="F2" s="304"/>
      <c r="G2" s="304"/>
      <c r="H2" s="304"/>
      <c r="I2" s="304"/>
      <c r="J2" s="304"/>
    </row>
    <row r="3" spans="1:10" x14ac:dyDescent="0.3">
      <c r="A3" s="3"/>
      <c r="B3" s="3"/>
      <c r="C3" s="3"/>
      <c r="D3" s="3"/>
      <c r="E3" s="3"/>
      <c r="F3" s="3"/>
      <c r="G3" s="3"/>
      <c r="H3" s="3"/>
      <c r="I3" s="3"/>
      <c r="J3" s="3"/>
    </row>
    <row r="4" spans="1:10" ht="18" customHeight="1" x14ac:dyDescent="0.3">
      <c r="A4" s="306" t="s">
        <v>260</v>
      </c>
      <c r="B4" s="307"/>
      <c r="C4" s="307"/>
      <c r="D4" s="307"/>
      <c r="E4" s="307"/>
      <c r="F4" s="307"/>
      <c r="G4" s="307"/>
      <c r="H4" s="307"/>
      <c r="I4" s="307"/>
      <c r="J4" s="307"/>
    </row>
    <row r="5" spans="1:10" ht="18" hidden="1" customHeight="1" x14ac:dyDescent="0.3">
      <c r="A5" s="308" t="str">
        <f ca="1">"As at "&amp;TEXT(Dashboard!$H$6,"dd mmm yyyy")&amp;" — "&amp;TEXT(Dashboard!$J$6,"0.0%")&amp;" of the selected period has elapsed. Capacity and plan adherence are pro-rated accordingly, so a part-finished year is not compared against a full year of capacity."</f>
        <v>As at 01 Sep 2026 — 67.1% of the selected period has elapsed. Capacity and plan adherence are pro-rated accordingly, so a part-finished year is not compared against a full year of capacity.</v>
      </c>
      <c r="B5" s="307"/>
      <c r="C5" s="307"/>
      <c r="D5" s="307"/>
      <c r="E5" s="307"/>
      <c r="F5" s="307"/>
      <c r="G5" s="307"/>
      <c r="H5" s="307"/>
      <c r="I5" s="307"/>
      <c r="J5" s="307"/>
    </row>
    <row r="6" spans="1:10" ht="19.95" customHeight="1" x14ac:dyDescent="0.3">
      <c r="A6" s="303" t="s">
        <v>261</v>
      </c>
      <c r="B6" s="307"/>
      <c r="C6" s="307"/>
      <c r="D6" s="307"/>
      <c r="E6" s="307"/>
      <c r="F6" s="307"/>
      <c r="G6" s="307"/>
      <c r="H6" s="307"/>
      <c r="I6" s="307"/>
      <c r="J6" s="307"/>
    </row>
    <row r="7" spans="1:10" ht="25.95" customHeight="1" x14ac:dyDescent="0.3">
      <c r="A7" s="147" t="s">
        <v>262</v>
      </c>
      <c r="B7" s="87" t="s">
        <v>288</v>
      </c>
      <c r="C7" s="87" t="s">
        <v>60</v>
      </c>
      <c r="D7" s="87" t="s">
        <v>62</v>
      </c>
      <c r="E7" s="87" t="s">
        <v>16</v>
      </c>
      <c r="F7" s="87" t="s">
        <v>286</v>
      </c>
      <c r="G7" s="87" t="s">
        <v>107</v>
      </c>
      <c r="H7" s="87" t="s">
        <v>287</v>
      </c>
      <c r="I7" s="87" t="s">
        <v>90</v>
      </c>
      <c r="J7" s="90" t="s">
        <v>109</v>
      </c>
    </row>
    <row r="8" spans="1:10" ht="25.95" customHeight="1" x14ac:dyDescent="0.35">
      <c r="A8" s="13"/>
      <c r="B8" s="88">
        <f>Dashboard!$B$10</f>
        <v>44.829171371429332</v>
      </c>
      <c r="C8" s="88">
        <f>Dashboard!$C$10</f>
        <v>17.908108108108106</v>
      </c>
      <c r="D8" s="88">
        <f>Dashboard!$D$10</f>
        <v>14.186137319966196</v>
      </c>
      <c r="E8" s="88">
        <f>Dashboard!$E$10</f>
        <v>-3.7219707881419097</v>
      </c>
      <c r="F8" s="88">
        <f ca="1">Dashboard!$F$10</f>
        <v>24.163043478260871</v>
      </c>
      <c r="G8" s="92">
        <f ca="1">Dashboard!$G$10</f>
        <v>0.74113627797838311</v>
      </c>
      <c r="H8" s="92">
        <f ca="1">Dashboard!$H$10</f>
        <v>0.54727687135131431</v>
      </c>
      <c r="I8" s="93">
        <f>Dashboard!$I$10</f>
        <v>0.79216281442612335</v>
      </c>
      <c r="J8" s="94">
        <f>Dashboard!$J$10</f>
        <v>16</v>
      </c>
    </row>
    <row r="9" spans="1:10" ht="25.95" customHeight="1" x14ac:dyDescent="0.3">
      <c r="A9" s="13"/>
      <c r="B9" s="89" t="str">
        <f>"what we said we would burn"</f>
        <v>what we said we would burn</v>
      </c>
      <c r="C9" s="89" t="str">
        <f>"what we actually burned"</f>
        <v>what we actually burned</v>
      </c>
      <c r="D9" s="89" t="str">
        <f>"value delivered"</f>
        <v>value delivered</v>
      </c>
      <c r="E9" s="89" t="str">
        <f>"earned minus actual"</f>
        <v>earned minus actual</v>
      </c>
      <c r="F9" s="89" t="str">
        <f ca="1">"pro-rated to "&amp;TEXT(Dashboard!$H$6,"dd mmm")</f>
        <v>pro-rated to 01 Sep</v>
      </c>
      <c r="G9" s="89" t="str">
        <f>"actual vs capacity"</f>
        <v>actual vs capacity</v>
      </c>
      <c r="H9" s="89" t="str">
        <f ca="1">"vs "&amp;TEXT(Dashboard!$L$6,"0.00")&amp;" MM planned to date"</f>
        <v>vs 32.72 MM planned to date</v>
      </c>
      <c r="I9" s="89" t="str">
        <f>"above 1.00 is good"</f>
        <v>above 1.00 is good</v>
      </c>
      <c r="J9" s="91" t="str">
        <f>"live in this period"</f>
        <v>live in this period</v>
      </c>
    </row>
    <row r="10" spans="1:10" x14ac:dyDescent="0.3">
      <c r="A10" s="3"/>
      <c r="B10" s="3"/>
      <c r="C10" s="3"/>
      <c r="D10" s="3"/>
      <c r="E10" s="3"/>
      <c r="F10" s="3"/>
      <c r="G10" s="3"/>
      <c r="H10" s="3"/>
      <c r="I10" s="3"/>
      <c r="J10" s="3"/>
    </row>
    <row r="11" spans="1:10" ht="19.95" customHeight="1" x14ac:dyDescent="0.3">
      <c r="A11" s="297" t="s">
        <v>263</v>
      </c>
      <c r="B11" s="307"/>
      <c r="C11" s="307"/>
      <c r="D11" s="307"/>
      <c r="E11" s="307"/>
      <c r="F11" s="307"/>
      <c r="G11" s="307"/>
      <c r="H11" s="307"/>
      <c r="I11" s="307"/>
      <c r="J11" s="307"/>
    </row>
    <row r="12" spans="1:10" x14ac:dyDescent="0.3">
      <c r="A12" s="72" t="s">
        <v>264</v>
      </c>
      <c r="B12" s="18" t="str">
        <f>Inputs!$A$91</f>
        <v>Ahmed</v>
      </c>
      <c r="C12" s="18" t="str">
        <f>Inputs!$A$92</f>
        <v>Osama</v>
      </c>
      <c r="D12" s="18" t="str">
        <f>Inputs!$A$93</f>
        <v>Kirolos</v>
      </c>
      <c r="E12" s="18" t="s">
        <v>265</v>
      </c>
      <c r="F12" s="3"/>
      <c r="G12" s="3"/>
      <c r="H12" s="3"/>
      <c r="I12" s="3"/>
      <c r="J12" s="3"/>
    </row>
    <row r="13" spans="1:10" x14ac:dyDescent="0.3">
      <c r="A13" s="6" t="s">
        <v>70</v>
      </c>
      <c r="B13" s="16">
        <f>IF(Dashboard!$B$5="All Time",Phasing!$Y$680,IF(Dashboard!$B$5="Year",SUMIF(Phasing!$E$3:$X$3,Dashboard!$D$5,Phasing!$E$680:$X$680),SUMIF(Phasing!$E$4:$X$4,Dashboard!$B$6,Phasing!$E$680:$X$680)))</f>
        <v>5.7216216216216225</v>
      </c>
      <c r="C13" s="16">
        <f>IF(Dashboard!$B$5="All Time",Phasing!$Y$681,IF(Dashboard!$B$5="Year",SUMIF(Phasing!$E$3:$X$3,Dashboard!$D$5,Phasing!$E$681:$X$681),SUMIF(Phasing!$E$4:$X$4,Dashboard!$B$6,Phasing!$E$681:$X$681)))</f>
        <v>5.9945945945945942</v>
      </c>
      <c r="D13" s="16">
        <f>IF(Dashboard!$B$5="All Time",Phasing!$Y$682,IF(Dashboard!$B$5="Year",SUMIF(Phasing!$E$3:$X$3,Dashboard!$D$5,Phasing!$E$682:$X$682),SUMIF(Phasing!$E$4:$X$4,Dashboard!$B$6,Phasing!$E$682:$X$682)))</f>
        <v>6.1918918918918919</v>
      </c>
      <c r="E13" s="22">
        <f>SUM(B13:D13)</f>
        <v>17.908108108108109</v>
      </c>
      <c r="F13" s="3"/>
      <c r="G13" s="3"/>
      <c r="H13" s="3"/>
      <c r="I13" s="3"/>
      <c r="J13" s="3"/>
    </row>
    <row r="14" spans="1:10" x14ac:dyDescent="0.3">
      <c r="A14" s="6" t="s">
        <v>289</v>
      </c>
      <c r="B14" s="16">
        <f ca="1">SUMPRODUCT(Dashboard!$P$173:$P$252,Inputs!$I$6:$I$85)</f>
        <v>12.228238810823992</v>
      </c>
      <c r="C14" s="16">
        <f ca="1">SUMPRODUCT(Dashboard!$P$173:$P$252,Inputs!$J$6:$J$85)</f>
        <v>9.3573832148261431</v>
      </c>
      <c r="D14" s="16">
        <f ca="1">SUMPRODUCT(Dashboard!$P$173:$P$252,Inputs!$K$6:$K$85)</f>
        <v>11.136586869986392</v>
      </c>
      <c r="E14" s="22">
        <f ca="1">SUM(B14:D14)</f>
        <v>32.722208895636527</v>
      </c>
      <c r="F14" s="3"/>
      <c r="G14" s="3"/>
      <c r="H14" s="3"/>
      <c r="I14" s="3"/>
      <c r="J14" s="3"/>
    </row>
    <row r="15" spans="1:10" x14ac:dyDescent="0.3">
      <c r="A15" s="6" t="s">
        <v>266</v>
      </c>
      <c r="B15" s="16">
        <f>SUMPRODUCT(Dashboard!$O$173:$O$252,Inputs!$I$6:$I$85)</f>
        <v>5.1198091144153901</v>
      </c>
      <c r="C15" s="16">
        <f>SUMPRODUCT(Dashboard!$O$173:$O$252,Inputs!$J$6:$J$85)</f>
        <v>3.7813340110923952</v>
      </c>
      <c r="D15" s="16">
        <f>SUMPRODUCT(Dashboard!$O$173:$O$252,Inputs!$K$6:$K$85)</f>
        <v>5.2849941944584158</v>
      </c>
      <c r="E15" s="22">
        <f>SUM(B15:D15)</f>
        <v>14.1861373199662</v>
      </c>
      <c r="F15" s="3"/>
      <c r="G15" s="3"/>
      <c r="H15" s="3"/>
      <c r="I15" s="3"/>
      <c r="J15" s="3"/>
    </row>
    <row r="16" spans="1:10" x14ac:dyDescent="0.3">
      <c r="A16" s="6" t="s">
        <v>267</v>
      </c>
      <c r="B16" s="16">
        <f>B15-B13</f>
        <v>-0.60181250720623236</v>
      </c>
      <c r="C16" s="16">
        <f>C15-C13</f>
        <v>-2.213260583502199</v>
      </c>
      <c r="D16" s="16">
        <f>D15-D13</f>
        <v>-0.90689769743347615</v>
      </c>
      <c r="E16" s="22">
        <f>E15-E13</f>
        <v>-3.7219707881419097</v>
      </c>
      <c r="F16" s="3"/>
      <c r="G16" s="3"/>
      <c r="H16" s="3"/>
      <c r="I16" s="3"/>
      <c r="J16" s="3"/>
    </row>
    <row r="17" spans="1:10" x14ac:dyDescent="0.3">
      <c r="A17" s="6" t="s">
        <v>281</v>
      </c>
      <c r="B17" s="16">
        <f ca="1">(IF(Dashboard!$B$5="All Time",SUM(Inputs!$B$91:$F$91)*4*Inputs!$B$94,IF(Dashboard!$B$5="Year",SUMIF(Inputs!$B$90:$F$90,Dashboard!$D$5,Inputs!$B$91:$F$91)*4*Inputs!$B$94,SUMIF(Inputs!$B$90:$F$90,Dashboard!$D$5,Inputs!$B$91:$F$91)*Inputs!$B$94)))*IF(Dashboard!$J$6="",0,Dashboard!$J$6)</f>
        <v>8.054347826086957</v>
      </c>
      <c r="C17" s="16">
        <f ca="1">(IF(Dashboard!$B$5="All Time",SUM(Inputs!$B$92:$F$92)*4*Inputs!$B$94,IF(Dashboard!$B$5="Year",SUMIF(Inputs!$B$90:$F$90,Dashboard!$D$5,Inputs!$B$92:$F$92)*4*Inputs!$B$94,SUMIF(Inputs!$B$90:$F$90,Dashboard!$D$5,Inputs!$B$92:$F$92)*Inputs!$B$94)))*IF(Dashboard!$J$6="",0,Dashboard!$J$6)</f>
        <v>8.054347826086957</v>
      </c>
      <c r="D17" s="16">
        <f ca="1">(IF(Dashboard!$B$5="All Time",SUM(Inputs!$B$93:$F$93)*4*Inputs!$B$94,IF(Dashboard!$B$5="Year",SUMIF(Inputs!$B$90:$F$90,Dashboard!$D$5,Inputs!$B$93:$F$93)*4*Inputs!$B$94,SUMIF(Inputs!$B$90:$F$90,Dashboard!$D$5,Inputs!$B$93:$F$93)*Inputs!$B$94)))*IF(Dashboard!$J$6="",0,Dashboard!$J$6)</f>
        <v>8.054347826086957</v>
      </c>
      <c r="E17" s="22">
        <f ca="1">SUM(B17:D17)</f>
        <v>24.163043478260871</v>
      </c>
      <c r="F17" s="3"/>
      <c r="G17" s="3"/>
      <c r="H17" s="3"/>
      <c r="I17" s="3"/>
      <c r="J17" s="3"/>
    </row>
    <row r="18" spans="1:10" x14ac:dyDescent="0.3">
      <c r="A18" s="6" t="s">
        <v>290</v>
      </c>
      <c r="B18" s="16">
        <f ca="1">IF(B17=0,"n/a",B13/B17)</f>
        <v>0.71037677353466833</v>
      </c>
      <c r="C18" s="16">
        <f ca="1">IF(C17=0,"n/a",C13/C17)</f>
        <v>0.7442681547944705</v>
      </c>
      <c r="D18" s="16">
        <f ca="1">IF(D17=0,"n/a",D13/D17)</f>
        <v>0.76876390560601082</v>
      </c>
      <c r="E18" s="22">
        <f ca="1">IF(E17=0,"n/a",E13/E17)</f>
        <v>0.74113627797838322</v>
      </c>
      <c r="F18" s="3"/>
      <c r="G18" s="3"/>
      <c r="H18" s="3"/>
      <c r="I18" s="3"/>
      <c r="J18" s="3"/>
    </row>
    <row r="19" spans="1:10" x14ac:dyDescent="0.3">
      <c r="A19" s="6" t="s">
        <v>291</v>
      </c>
      <c r="B19" s="16">
        <f ca="1">IF(B14=0,"n/a",B13/B14)</f>
        <v>0.46790234555748544</v>
      </c>
      <c r="C19" s="16">
        <f ca="1">IF(C14=0,"n/a",C13/C14)</f>
        <v>0.64062724128862891</v>
      </c>
      <c r="D19" s="16">
        <f ca="1">IF(D14=0,"n/a",D13/D14)</f>
        <v>0.55599547367419389</v>
      </c>
      <c r="E19" s="22">
        <f ca="1">IF(E14=0,"n/a",E13/E14)</f>
        <v>0.54727687135131442</v>
      </c>
      <c r="F19" s="3"/>
      <c r="G19" s="3"/>
      <c r="H19" s="3"/>
      <c r="I19" s="3"/>
      <c r="J19" s="3"/>
    </row>
    <row r="20" spans="1:10" x14ac:dyDescent="0.3">
      <c r="A20" s="6" t="s">
        <v>90</v>
      </c>
      <c r="B20" s="16">
        <f>IF(B13=0,"n/a",B15/B13)</f>
        <v>0.89481784238719608</v>
      </c>
      <c r="C20" s="16">
        <f>IF(C13=0,"n/a",C15/C13)</f>
        <v>0.63079061501541311</v>
      </c>
      <c r="D20" s="16">
        <f>IF(D13=0,"n/a",D15/D13)</f>
        <v>0.85353463638132421</v>
      </c>
      <c r="E20" s="22">
        <f>IF(E13=0,"n/a",E15/E13)</f>
        <v>0.79216281442612335</v>
      </c>
      <c r="F20" s="3"/>
      <c r="G20" s="3"/>
      <c r="H20" s="3"/>
      <c r="I20" s="3"/>
      <c r="J20" s="3"/>
    </row>
    <row r="21" spans="1:10" x14ac:dyDescent="0.3">
      <c r="A21" s="6" t="s">
        <v>92</v>
      </c>
      <c r="B21" s="16">
        <f>IF($E$13=0,"",B13/$E$13)</f>
        <v>0.31949894355568975</v>
      </c>
      <c r="C21" s="16">
        <f>IF($E$13=0,"",C13/$E$13)</f>
        <v>0.33474192574705702</v>
      </c>
      <c r="D21" s="16">
        <f>IF($E$13=0,"",D13/$E$13)</f>
        <v>0.34575913069725323</v>
      </c>
      <c r="E21" s="22">
        <f>IF(E13=0,"",SUM(B21:D21))</f>
        <v>1</v>
      </c>
      <c r="F21" s="3"/>
      <c r="G21" s="3"/>
      <c r="H21" s="3"/>
      <c r="I21" s="3"/>
      <c r="J21" s="3"/>
    </row>
    <row r="22" spans="1:10" x14ac:dyDescent="0.3">
      <c r="A22" s="6" t="s">
        <v>268</v>
      </c>
      <c r="B22" s="16">
        <f>SUMPRODUCT(Dashboard!$I$173:$I$252,Inputs!$M$6:$M$85,Dashboard!$M$173:$M$252,Inputs!$I$6:$I$85)</f>
        <v>22.961745693007909</v>
      </c>
      <c r="C22" s="16">
        <f>SUMPRODUCT(Dashboard!$I$173:$I$252,Inputs!$M$6:$M$85,Dashboard!$M$173:$M$252,Inputs!$J$6:$J$85)</f>
        <v>24.440534518563283</v>
      </c>
      <c r="D22" s="16">
        <f>SUMPRODUCT(Dashboard!$I$173:$I$252,Inputs!$M$6:$M$85,Dashboard!$M$173:$M$252,Inputs!$K$6:$K$85)</f>
        <v>6.16589789837907</v>
      </c>
      <c r="E22" s="22">
        <f>SUM(B22:D22)</f>
        <v>53.568178109950267</v>
      </c>
      <c r="F22" s="3"/>
      <c r="G22" s="3"/>
      <c r="H22" s="3"/>
      <c r="I22" s="3"/>
      <c r="J22" s="3"/>
    </row>
    <row r="23" spans="1:10" x14ac:dyDescent="0.3">
      <c r="A23" s="3"/>
      <c r="B23" s="3"/>
      <c r="C23" s="3"/>
      <c r="D23" s="3"/>
      <c r="E23" s="3"/>
      <c r="F23" s="3"/>
      <c r="G23" s="3"/>
      <c r="H23" s="3"/>
      <c r="I23" s="3"/>
      <c r="J23" s="3"/>
    </row>
    <row r="24" spans="1:10" x14ac:dyDescent="0.3">
      <c r="A24" s="239" t="s">
        <v>508</v>
      </c>
      <c r="B24" s="3"/>
      <c r="C24" s="3"/>
      <c r="D24" s="3"/>
      <c r="E24" s="3"/>
      <c r="F24" s="3"/>
      <c r="G24" s="3"/>
      <c r="H24" s="3"/>
      <c r="I24" s="3"/>
      <c r="J24" s="3"/>
    </row>
    <row r="25" spans="1:10" x14ac:dyDescent="0.3">
      <c r="A25" s="6" t="s">
        <v>509</v>
      </c>
      <c r="B25" s="240">
        <f>SUMPRODUCT(Dashboard!$O$173:$O$252,Inputs!$V$6:$V$85,Inputs!$I$6:$I$85)</f>
        <v>4.7902584641862411</v>
      </c>
      <c r="C25" s="240">
        <f>SUMPRODUCT(Dashboard!$O$173:$O$252,Inputs!$V$6:$V$85,Inputs!$J$6:$J$85)</f>
        <v>3.8375137286190029</v>
      </c>
      <c r="D25" s="240">
        <f>SUMPRODUCT(Dashboard!$O$173:$O$252,Inputs!$V$6:$V$85,Inputs!$K$6:$K$85)</f>
        <v>4.5318449997694197</v>
      </c>
      <c r="E25" s="20">
        <f>SUM(B25:D25)</f>
        <v>13.159617192574665</v>
      </c>
      <c r="F25" s="3"/>
      <c r="G25" s="3"/>
      <c r="H25" s="3"/>
      <c r="I25" s="3"/>
      <c r="J25" s="3"/>
    </row>
    <row r="26" spans="1:10" x14ac:dyDescent="0.3">
      <c r="A26" s="6" t="s">
        <v>510</v>
      </c>
      <c r="B26" s="240">
        <f>IF(B13=0,"n/a",B25/B13)</f>
        <v>0.83722042123236129</v>
      </c>
      <c r="C26" s="240">
        <f>IF(C13=0,"n/a",C25/C13)</f>
        <v>0.6401623442691754</v>
      </c>
      <c r="D26" s="240">
        <f>IF(D13=0,"n/a",D25/D13)</f>
        <v>0.73189989084010709</v>
      </c>
      <c r="E26" s="20">
        <f>IF(E13=0,"n/a",E25/E13)</f>
        <v>0.73484128603269327</v>
      </c>
      <c r="F26" s="3"/>
      <c r="G26" s="3"/>
      <c r="H26" s="3"/>
      <c r="I26" s="3"/>
      <c r="J26" s="3"/>
    </row>
    <row r="27" spans="1:10" x14ac:dyDescent="0.3">
      <c r="A27" s="6" t="s">
        <v>511</v>
      </c>
      <c r="B27" s="240">
        <f>IF(B15=0,"n/a",B25/B15)</f>
        <v>0.93563223884631508</v>
      </c>
      <c r="C27" s="240">
        <f>IF(C15=0,"n/a",C25/C15)</f>
        <v>1.0148571158648791</v>
      </c>
      <c r="D27" s="240">
        <f>IF(D15=0,"n/a",D25/D15)</f>
        <v>0.85749290028005876</v>
      </c>
      <c r="E27" s="20">
        <f>IF(E15=0,"n/a",E25/E15)</f>
        <v>0.92763920831735036</v>
      </c>
      <c r="F27" s="3"/>
      <c r="G27" s="3"/>
      <c r="H27" s="3"/>
      <c r="I27" s="3"/>
      <c r="J27" s="3"/>
    </row>
    <row r="28" spans="1:10" x14ac:dyDescent="0.3">
      <c r="A28" s="3"/>
      <c r="B28" s="3"/>
      <c r="C28" s="3"/>
      <c r="D28" s="3"/>
      <c r="E28" s="3"/>
      <c r="F28" s="3"/>
      <c r="G28" s="3"/>
      <c r="H28" s="3"/>
      <c r="I28" s="3"/>
      <c r="J28" s="3"/>
    </row>
    <row r="29" spans="1:10" x14ac:dyDescent="0.3">
      <c r="A29" s="3"/>
      <c r="B29" s="3"/>
      <c r="C29" s="3"/>
      <c r="D29" s="3"/>
      <c r="E29" s="3"/>
      <c r="F29" s="3"/>
      <c r="G29" s="3"/>
      <c r="H29" s="3"/>
      <c r="I29" s="3"/>
      <c r="J29" s="3"/>
    </row>
    <row r="30" spans="1:10" ht="15.6" x14ac:dyDescent="0.3">
      <c r="A30" s="402" t="s">
        <v>896</v>
      </c>
      <c r="B30" s="3"/>
      <c r="C30" s="3"/>
      <c r="D30" s="3"/>
      <c r="E30" s="3"/>
      <c r="F30" s="3"/>
      <c r="G30" s="3"/>
      <c r="H30" s="3"/>
      <c r="I30" s="3"/>
      <c r="J30" s="3"/>
    </row>
    <row r="31" spans="1:10" x14ac:dyDescent="0.3">
      <c r="A31" s="403" t="s">
        <v>897</v>
      </c>
      <c r="B31" s="3"/>
      <c r="C31" s="3"/>
      <c r="D31" s="3"/>
      <c r="E31" s="3"/>
      <c r="F31" s="3"/>
      <c r="G31" s="3"/>
      <c r="H31" s="3"/>
      <c r="I31" s="3"/>
      <c r="J31" s="3"/>
    </row>
    <row r="32" spans="1:10" x14ac:dyDescent="0.3">
      <c r="A32" s="3"/>
      <c r="B32" s="3"/>
      <c r="C32" s="3"/>
      <c r="D32" s="3"/>
      <c r="E32" s="3"/>
      <c r="F32" s="3"/>
      <c r="G32" s="3"/>
      <c r="H32" s="3"/>
      <c r="I32" s="3"/>
      <c r="J32" s="3"/>
    </row>
    <row r="33" spans="1:10" x14ac:dyDescent="0.3">
      <c r="A33" s="405" t="s">
        <v>898</v>
      </c>
      <c r="B33" s="405" t="s">
        <v>870</v>
      </c>
      <c r="C33" s="405" t="s">
        <v>899</v>
      </c>
      <c r="D33" s="405" t="s">
        <v>900</v>
      </c>
      <c r="E33" s="3"/>
      <c r="F33" s="3"/>
      <c r="G33" s="3"/>
      <c r="H33" s="3"/>
      <c r="I33" s="3"/>
      <c r="J33" s="3"/>
    </row>
    <row r="34" spans="1:10" x14ac:dyDescent="0.3">
      <c r="A34" s="3" t="s">
        <v>901</v>
      </c>
      <c r="B34" s="406">
        <f>SUM('Support Plan'!$K$5:$K$68)</f>
        <v>11970</v>
      </c>
      <c r="C34" s="407">
        <f>IF($B$37=0,"",$B34/$B$37)</f>
        <v>1</v>
      </c>
      <c r="D34" s="408">
        <f>$B34/'Profit Plan'!$B$5</f>
        <v>64.702702702702709</v>
      </c>
      <c r="E34" s="3"/>
      <c r="F34" s="3"/>
      <c r="G34" s="3"/>
      <c r="H34" s="3"/>
      <c r="I34" s="3"/>
      <c r="J34" s="3"/>
    </row>
    <row r="35" spans="1:10" x14ac:dyDescent="0.3">
      <c r="A35" s="3" t="s">
        <v>902</v>
      </c>
      <c r="B35" s="406">
        <f>SUM('Support Plan'!$I$5:$I$68)</f>
        <v>0</v>
      </c>
      <c r="C35" s="407">
        <f>IF($B$37=0,"",$B35/$B$37)</f>
        <v>0</v>
      </c>
      <c r="D35" s="408">
        <f>$B35/'Profit Plan'!$B$5</f>
        <v>0</v>
      </c>
      <c r="E35" s="3"/>
      <c r="F35" s="3"/>
      <c r="G35" s="3"/>
      <c r="H35" s="3"/>
      <c r="I35" s="3"/>
      <c r="J35" s="3"/>
    </row>
    <row r="36" spans="1:10" x14ac:dyDescent="0.3">
      <c r="A36" s="3" t="s">
        <v>903</v>
      </c>
      <c r="B36" s="406">
        <f>SUM('Support Plan'!$J$5:$J$68)</f>
        <v>0</v>
      </c>
      <c r="C36" s="407">
        <f>IF($B$37=0,"",$B36/$B$37)</f>
        <v>0</v>
      </c>
      <c r="D36" s="408">
        <f>$B36/'Profit Plan'!$B$5</f>
        <v>0</v>
      </c>
      <c r="E36" s="3"/>
      <c r="F36" s="3"/>
      <c r="G36" s="3"/>
      <c r="H36" s="3"/>
      <c r="I36" s="3"/>
      <c r="J36" s="3"/>
    </row>
    <row r="37" spans="1:10" x14ac:dyDescent="0.3">
      <c r="A37" s="404" t="s">
        <v>904</v>
      </c>
      <c r="B37" s="409">
        <f>SUM($B$34:$B$36)</f>
        <v>11970</v>
      </c>
      <c r="C37" s="410">
        <f>IF($B$37=0,"",1)</f>
        <v>1</v>
      </c>
      <c r="D37" s="411">
        <f>$B37/'Profit Plan'!$B$5</f>
        <v>64.702702702702709</v>
      </c>
      <c r="E37" s="3"/>
      <c r="F37" s="3"/>
      <c r="G37" s="3"/>
      <c r="H37" s="3"/>
      <c r="I37" s="3"/>
      <c r="J37" s="3"/>
    </row>
    <row r="38" spans="1:10" x14ac:dyDescent="0.3">
      <c r="A38" s="3"/>
      <c r="B38" s="3"/>
      <c r="C38" s="3"/>
      <c r="D38" s="3"/>
      <c r="E38" s="3"/>
      <c r="F38" s="3"/>
      <c r="G38" s="3"/>
      <c r="H38" s="3"/>
      <c r="I38" s="3"/>
      <c r="J38" s="3"/>
    </row>
    <row r="39" spans="1:10" x14ac:dyDescent="0.3">
      <c r="A39" s="405" t="s">
        <v>905</v>
      </c>
      <c r="B39" s="3"/>
      <c r="C39" s="3"/>
      <c r="D39" s="3"/>
      <c r="E39" s="3"/>
      <c r="F39" s="3"/>
      <c r="G39" s="3"/>
      <c r="H39" s="3"/>
      <c r="I39" s="3"/>
      <c r="J39" s="3"/>
    </row>
    <row r="40" spans="1:10" x14ac:dyDescent="0.3">
      <c r="A40" s="3" t="s">
        <v>906</v>
      </c>
      <c r="B40" s="406">
        <f>'Support Plan'!$T$7</f>
        <v>0</v>
      </c>
      <c r="C40" s="3"/>
      <c r="D40" s="3"/>
      <c r="E40" s="3"/>
      <c r="F40" s="3"/>
      <c r="G40" s="3"/>
      <c r="H40" s="3"/>
      <c r="I40" s="3"/>
      <c r="J40" s="3"/>
    </row>
    <row r="41" spans="1:10" x14ac:dyDescent="0.3">
      <c r="A41" s="3" t="s">
        <v>907</v>
      </c>
      <c r="B41" s="406">
        <f>'Support Plan'!$T$8</f>
        <v>0</v>
      </c>
      <c r="C41" s="3"/>
      <c r="D41" s="3"/>
      <c r="E41" s="3"/>
      <c r="F41" s="3"/>
      <c r="G41" s="3"/>
      <c r="H41" s="3"/>
      <c r="I41" s="3"/>
      <c r="J41" s="3"/>
    </row>
    <row r="42" spans="1:10" x14ac:dyDescent="0.3">
      <c r="A42" s="3" t="s">
        <v>908</v>
      </c>
      <c r="B42" s="409">
        <f>'Support Plan'!$T$9</f>
        <v>0</v>
      </c>
      <c r="C42" s="3"/>
      <c r="D42" s="3"/>
      <c r="E42" s="3"/>
      <c r="F42" s="3"/>
      <c r="G42" s="3"/>
      <c r="H42" s="3"/>
      <c r="I42" s="3"/>
      <c r="J42" s="3"/>
    </row>
    <row r="43" spans="1:10" x14ac:dyDescent="0.3">
      <c r="A43" s="3" t="s">
        <v>909</v>
      </c>
      <c r="B43" s="411">
        <f>'Support Plan'!$T$10</f>
        <v>0</v>
      </c>
      <c r="C43" s="3"/>
      <c r="D43" s="3"/>
      <c r="E43" s="3"/>
      <c r="F43" s="3"/>
      <c r="G43" s="3"/>
      <c r="H43" s="3"/>
      <c r="I43" s="3"/>
      <c r="J43" s="3"/>
    </row>
    <row r="44" spans="1:10" x14ac:dyDescent="0.3">
      <c r="A44" s="3" t="s">
        <v>910</v>
      </c>
      <c r="B44" s="407">
        <f ca="1">IF('Profit Plan'!$B$11=0,"",$B$43/'Profit Plan'!$B$11)</f>
        <v>0</v>
      </c>
      <c r="C44" s="3"/>
      <c r="D44" s="3"/>
      <c r="E44" s="3"/>
      <c r="F44" s="3"/>
      <c r="G44" s="3"/>
      <c r="H44" s="3"/>
      <c r="I44" s="3"/>
      <c r="J44" s="3"/>
    </row>
    <row r="45" spans="1:10" x14ac:dyDescent="0.3">
      <c r="A45" s="3" t="s">
        <v>911</v>
      </c>
      <c r="B45" s="412">
        <f>'Support Plan'!$T$6</f>
        <v>0</v>
      </c>
      <c r="C45" s="3"/>
      <c r="D45" s="3"/>
      <c r="E45" s="3"/>
      <c r="F45" s="3"/>
      <c r="G45" s="3"/>
      <c r="H45" s="3"/>
      <c r="I45" s="3"/>
      <c r="J45" s="3"/>
    </row>
    <row r="46" spans="1:10" x14ac:dyDescent="0.3">
      <c r="A46" s="3"/>
      <c r="B46" s="3"/>
      <c r="C46" s="3"/>
      <c r="D46" s="3"/>
      <c r="E46" s="3"/>
      <c r="F46" s="3"/>
      <c r="G46" s="3"/>
      <c r="H46" s="3"/>
      <c r="I46" s="3"/>
      <c r="J46" s="3"/>
    </row>
    <row r="47" spans="1:10" x14ac:dyDescent="0.3">
      <c r="A47" s="405" t="s">
        <v>912</v>
      </c>
      <c r="B47" s="3"/>
      <c r="C47" s="3"/>
      <c r="D47" s="3"/>
      <c r="E47" s="3"/>
      <c r="F47" s="3"/>
      <c r="G47" s="3"/>
      <c r="H47" s="3"/>
      <c r="I47" s="3"/>
      <c r="J47" s="3"/>
    </row>
    <row r="48" spans="1:10" x14ac:dyDescent="0.3">
      <c r="A48" s="3" t="s">
        <v>913</v>
      </c>
      <c r="B48" s="406">
        <f>'Support Plan'!$T$11</f>
        <v>0</v>
      </c>
      <c r="C48" s="3"/>
      <c r="D48" s="3"/>
      <c r="E48" s="3"/>
      <c r="F48" s="3"/>
      <c r="G48" s="3"/>
      <c r="H48" s="3"/>
      <c r="I48" s="3"/>
      <c r="J48" s="3"/>
    </row>
    <row r="49" spans="1:10" x14ac:dyDescent="0.3">
      <c r="A49" s="3" t="s">
        <v>914</v>
      </c>
      <c r="B49" s="406">
        <f>'Support Plan'!$T$12</f>
        <v>0</v>
      </c>
      <c r="C49" s="3"/>
      <c r="D49" s="3"/>
      <c r="E49" s="3"/>
      <c r="F49" s="3"/>
      <c r="G49" s="3"/>
      <c r="H49" s="3"/>
      <c r="I49" s="3"/>
      <c r="J49" s="3"/>
    </row>
    <row r="50" spans="1:10" x14ac:dyDescent="0.3">
      <c r="A50" s="3" t="s">
        <v>895</v>
      </c>
      <c r="B50" s="410">
        <f>$C$36</f>
        <v>0</v>
      </c>
      <c r="C50" s="3"/>
      <c r="D50" s="3"/>
      <c r="E50" s="3"/>
      <c r="F50" s="3"/>
      <c r="G50" s="3"/>
      <c r="H50" s="3"/>
      <c r="I50" s="3"/>
      <c r="J50" s="3"/>
    </row>
    <row r="51" spans="1:10" x14ac:dyDescent="0.3">
      <c r="A51" s="3" t="s">
        <v>915</v>
      </c>
      <c r="B51" s="413">
        <f>COUNTIF('Support Plan'!$J$5:$J$68,"&gt;0")</f>
        <v>0</v>
      </c>
      <c r="C51" s="3"/>
      <c r="D51" s="3"/>
      <c r="E51" s="3"/>
      <c r="F51" s="3"/>
      <c r="G51" s="3"/>
      <c r="H51" s="3"/>
      <c r="I51" s="3"/>
      <c r="J51" s="3"/>
    </row>
    <row r="52" spans="1:10" x14ac:dyDescent="0.3">
      <c r="A52" s="3"/>
      <c r="B52" s="3"/>
      <c r="C52" s="3"/>
      <c r="D52" s="3"/>
      <c r="E52" s="3"/>
      <c r="F52" s="3"/>
      <c r="G52" s="3"/>
      <c r="H52" s="3"/>
      <c r="I52" s="3"/>
      <c r="J52" s="3"/>
    </row>
    <row r="53" spans="1:10" x14ac:dyDescent="0.3">
      <c r="A53" s="414" t="s">
        <v>916</v>
      </c>
      <c r="B53" s="404" t="str">
        <f>IF($B$40+$B$48=0,"No support plan entered yet - fill the blue columns on the Support Plan sheet and this section becomes live.",IF($B$42&gt;0,"Cairo absorbed "&amp;TEXT($B$43,"0.00")&amp;" MM of work planned for Bengaluru across "&amp;TEXT($B$45,"0")&amp;" deliverable(s). That is "&amp;TEXT($B$44,"0.0%")&amp;" of the capacity left this year and is a direct hit to CPI.","Bengaluru delivered at or above plan; no unplanned load on Cairo."))</f>
        <v>No support plan entered yet - fill the blue columns on the Support Plan sheet and this section becomes live.</v>
      </c>
      <c r="C53" s="3"/>
      <c r="D53" s="3"/>
      <c r="E53" s="3"/>
      <c r="F53" s="3"/>
      <c r="G53" s="3"/>
      <c r="H53" s="3"/>
      <c r="I53" s="3"/>
      <c r="J53" s="3"/>
    </row>
    <row r="54" spans="1:10" x14ac:dyDescent="0.3">
      <c r="A54" s="3"/>
      <c r="B54" s="3"/>
      <c r="C54" s="3"/>
      <c r="D54" s="3"/>
      <c r="E54" s="3"/>
      <c r="F54" s="3"/>
      <c r="G54" s="3"/>
      <c r="H54" s="3"/>
      <c r="I54" s="3"/>
      <c r="J54" s="3"/>
    </row>
    <row r="55" spans="1:10" x14ac:dyDescent="0.3">
      <c r="A55" s="3"/>
      <c r="B55" s="3"/>
      <c r="C55" s="3"/>
      <c r="D55" s="3"/>
      <c r="E55" s="3"/>
      <c r="F55" s="3"/>
      <c r="G55" s="3"/>
      <c r="H55" s="3"/>
      <c r="I55" s="3"/>
      <c r="J55" s="3"/>
    </row>
    <row r="56" spans="1:10" x14ac:dyDescent="0.3">
      <c r="A56" s="3"/>
      <c r="B56" s="3"/>
      <c r="C56" s="3"/>
      <c r="D56" s="3"/>
      <c r="E56" s="3"/>
      <c r="F56" s="3"/>
      <c r="G56" s="3"/>
      <c r="H56" s="3"/>
      <c r="I56" s="3"/>
      <c r="J56" s="3"/>
    </row>
    <row r="57" spans="1:10" x14ac:dyDescent="0.3">
      <c r="A57" s="3"/>
      <c r="B57" s="3"/>
      <c r="C57" s="3"/>
      <c r="D57" s="3"/>
      <c r="E57" s="3"/>
      <c r="F57" s="3"/>
      <c r="G57" s="3"/>
      <c r="H57" s="3"/>
      <c r="I57" s="3"/>
      <c r="J57" s="3"/>
    </row>
    <row r="58" spans="1:10" x14ac:dyDescent="0.3">
      <c r="A58" s="3"/>
      <c r="B58" s="3"/>
      <c r="C58" s="3"/>
      <c r="D58" s="3"/>
      <c r="E58" s="3"/>
      <c r="F58" s="3"/>
      <c r="G58" s="3"/>
      <c r="H58" s="3"/>
      <c r="I58" s="3"/>
      <c r="J58" s="3"/>
    </row>
    <row r="59" spans="1:10" x14ac:dyDescent="0.3">
      <c r="A59" s="3"/>
      <c r="B59" s="3"/>
      <c r="C59" s="3"/>
      <c r="D59" s="3"/>
      <c r="E59" s="3"/>
      <c r="F59" s="3"/>
      <c r="G59" s="3"/>
      <c r="H59" s="3"/>
      <c r="I59" s="3"/>
      <c r="J59" s="3"/>
    </row>
    <row r="60" spans="1:10" x14ac:dyDescent="0.3">
      <c r="A60" s="3"/>
      <c r="B60" s="3"/>
      <c r="C60" s="3"/>
      <c r="D60" s="3"/>
      <c r="E60" s="3"/>
      <c r="F60" s="3"/>
      <c r="G60" s="3"/>
      <c r="H60" s="3"/>
      <c r="I60" s="3"/>
      <c r="J60" s="3"/>
    </row>
    <row r="61" spans="1:10" x14ac:dyDescent="0.3">
      <c r="A61" s="3"/>
      <c r="B61" s="3"/>
      <c r="C61" s="3"/>
      <c r="D61" s="3"/>
      <c r="E61" s="3"/>
      <c r="F61" s="3"/>
      <c r="G61" s="3"/>
      <c r="H61" s="3"/>
      <c r="I61" s="3"/>
      <c r="J61" s="3"/>
    </row>
    <row r="62" spans="1:10" x14ac:dyDescent="0.3">
      <c r="A62" s="3"/>
      <c r="B62" s="3"/>
      <c r="C62" s="3"/>
      <c r="D62" s="3"/>
      <c r="E62" s="3"/>
      <c r="F62" s="3"/>
      <c r="G62" s="3"/>
      <c r="H62" s="3"/>
      <c r="I62" s="3"/>
      <c r="J62" s="3"/>
    </row>
    <row r="63" spans="1:10" x14ac:dyDescent="0.3">
      <c r="A63" s="3"/>
      <c r="B63" s="3"/>
      <c r="C63" s="3"/>
      <c r="D63" s="3"/>
      <c r="E63" s="3"/>
      <c r="F63" s="3"/>
      <c r="G63" s="3"/>
      <c r="H63" s="3"/>
      <c r="I63" s="3"/>
      <c r="J63" s="3"/>
    </row>
    <row r="64" spans="1:10" x14ac:dyDescent="0.3">
      <c r="A64" s="3"/>
      <c r="B64" s="3"/>
      <c r="C64" s="3"/>
      <c r="D64" s="3"/>
      <c r="E64" s="3"/>
      <c r="F64" s="3"/>
      <c r="G64" s="3"/>
      <c r="H64" s="3"/>
      <c r="I64" s="3"/>
      <c r="J64" s="3"/>
    </row>
    <row r="65" spans="1:10" x14ac:dyDescent="0.3">
      <c r="A65" s="3"/>
      <c r="B65" s="3"/>
      <c r="C65" s="3"/>
      <c r="D65" s="3"/>
      <c r="E65" s="3"/>
      <c r="F65" s="3"/>
      <c r="G65" s="3"/>
      <c r="H65" s="3"/>
      <c r="I65" s="3"/>
      <c r="J65" s="3"/>
    </row>
    <row r="66" spans="1:10" x14ac:dyDescent="0.3">
      <c r="A66" s="3"/>
      <c r="B66" s="3"/>
      <c r="C66" s="3"/>
      <c r="D66" s="3"/>
      <c r="E66" s="3"/>
      <c r="F66" s="3"/>
      <c r="G66" s="3"/>
      <c r="H66" s="3"/>
      <c r="I66" s="3"/>
      <c r="J66" s="3"/>
    </row>
    <row r="67" spans="1:10" x14ac:dyDescent="0.3">
      <c r="A67" s="3"/>
      <c r="B67" s="3"/>
      <c r="C67" s="3"/>
      <c r="D67" s="3"/>
      <c r="E67" s="3"/>
      <c r="F67" s="3"/>
      <c r="G67" s="3"/>
      <c r="H67" s="3"/>
      <c r="I67" s="3"/>
      <c r="J67" s="3"/>
    </row>
    <row r="68" spans="1:10" x14ac:dyDescent="0.3">
      <c r="A68" s="3"/>
      <c r="B68" s="3"/>
      <c r="C68" s="3"/>
      <c r="D68" s="3"/>
      <c r="E68" s="3"/>
      <c r="F68" s="3"/>
      <c r="G68" s="3"/>
      <c r="H68" s="3"/>
      <c r="I68" s="3"/>
      <c r="J68" s="3"/>
    </row>
    <row r="69" spans="1:10" x14ac:dyDescent="0.3">
      <c r="A69" s="3"/>
      <c r="B69" s="3"/>
      <c r="C69" s="3"/>
      <c r="D69" s="3"/>
      <c r="E69" s="3"/>
      <c r="F69" s="3"/>
      <c r="G69" s="3"/>
      <c r="H69" s="3"/>
      <c r="I69" s="3"/>
      <c r="J69" s="3"/>
    </row>
    <row r="70" spans="1:10" x14ac:dyDescent="0.3">
      <c r="A70" s="97" t="s">
        <v>269</v>
      </c>
      <c r="B70" s="97"/>
      <c r="C70" s="97"/>
      <c r="D70" s="97"/>
      <c r="E70" s="3"/>
      <c r="F70" s="3"/>
      <c r="G70" s="3"/>
      <c r="H70" s="3"/>
      <c r="I70" s="3"/>
      <c r="J70" s="3"/>
    </row>
    <row r="71" spans="1:10" x14ac:dyDescent="0.3">
      <c r="A71" s="97" t="s">
        <v>9</v>
      </c>
      <c r="B71" s="97" t="s">
        <v>60</v>
      </c>
      <c r="C71" s="97" t="s">
        <v>286</v>
      </c>
      <c r="D71" s="97"/>
      <c r="E71" s="3"/>
      <c r="F71" s="3"/>
      <c r="G71" s="3"/>
      <c r="H71" s="3"/>
      <c r="I71" s="3"/>
      <c r="J71" s="3"/>
    </row>
    <row r="72" spans="1:10" x14ac:dyDescent="0.3">
      <c r="A72" s="97" t="str">
        <f>$B$12</f>
        <v>Ahmed</v>
      </c>
      <c r="B72" s="102">
        <f>B$13</f>
        <v>5.7216216216216225</v>
      </c>
      <c r="C72" s="102">
        <f ca="1">B$17</f>
        <v>8.054347826086957</v>
      </c>
      <c r="D72" s="97"/>
      <c r="E72" s="3"/>
      <c r="F72" s="3"/>
      <c r="G72" s="3"/>
      <c r="H72" s="3"/>
      <c r="I72" s="3"/>
      <c r="J72" s="3"/>
    </row>
    <row r="73" spans="1:10" x14ac:dyDescent="0.3">
      <c r="A73" s="97" t="str">
        <f>$C$12</f>
        <v>Osama</v>
      </c>
      <c r="B73" s="102">
        <f>C$13</f>
        <v>5.9945945945945942</v>
      </c>
      <c r="C73" s="102">
        <f ca="1">C$17</f>
        <v>8.054347826086957</v>
      </c>
      <c r="D73" s="97"/>
      <c r="E73" s="3"/>
      <c r="F73" s="3"/>
      <c r="G73" s="3"/>
      <c r="H73" s="3"/>
      <c r="I73" s="3"/>
      <c r="J73" s="3"/>
    </row>
    <row r="74" spans="1:10" x14ac:dyDescent="0.3">
      <c r="A74" s="97" t="str">
        <f>$D$12</f>
        <v>Kirolos</v>
      </c>
      <c r="B74" s="102">
        <f>D$13</f>
        <v>6.1918918918918919</v>
      </c>
      <c r="C74" s="102">
        <f ca="1">D$17</f>
        <v>8.054347826086957</v>
      </c>
      <c r="D74" s="97"/>
      <c r="E74" s="3"/>
      <c r="F74" s="3"/>
      <c r="G74" s="3"/>
      <c r="H74" s="3"/>
      <c r="I74" s="3"/>
      <c r="J74" s="3"/>
    </row>
    <row r="75" spans="1:10" x14ac:dyDescent="0.3">
      <c r="A75" s="97"/>
      <c r="B75" s="97"/>
      <c r="C75" s="97"/>
      <c r="D75" s="97"/>
      <c r="E75" s="3"/>
      <c r="F75" s="3"/>
      <c r="G75" s="3"/>
      <c r="H75" s="3"/>
      <c r="I75" s="3"/>
      <c r="J75" s="3"/>
    </row>
    <row r="76" spans="1:10" x14ac:dyDescent="0.3">
      <c r="A76" s="97"/>
      <c r="B76" s="97"/>
      <c r="C76" s="97"/>
      <c r="D76" s="97"/>
      <c r="E76" s="3"/>
      <c r="F76" s="3"/>
      <c r="G76" s="3"/>
      <c r="H76" s="3"/>
      <c r="I76" s="3"/>
      <c r="J76" s="3"/>
    </row>
    <row r="77" spans="1:10" x14ac:dyDescent="0.3">
      <c r="A77" s="97" t="s">
        <v>9</v>
      </c>
      <c r="B77" s="97" t="s">
        <v>83</v>
      </c>
      <c r="C77" s="97" t="s">
        <v>60</v>
      </c>
      <c r="D77" s="97" t="s">
        <v>62</v>
      </c>
      <c r="E77" s="3"/>
      <c r="F77" s="3"/>
      <c r="G77" s="3"/>
      <c r="H77" s="3"/>
      <c r="I77" s="3"/>
      <c r="J77" s="3"/>
    </row>
    <row r="78" spans="1:10" x14ac:dyDescent="0.3">
      <c r="A78" s="97" t="str">
        <f>$B$12</f>
        <v>Ahmed</v>
      </c>
      <c r="B78" s="102">
        <f ca="1">B$14</f>
        <v>12.228238810823992</v>
      </c>
      <c r="C78" s="102">
        <f>B$13</f>
        <v>5.7216216216216225</v>
      </c>
      <c r="D78" s="102">
        <f>B$15</f>
        <v>5.1198091144153901</v>
      </c>
      <c r="E78" s="3"/>
      <c r="F78" s="3"/>
      <c r="G78" s="3"/>
      <c r="H78" s="3"/>
      <c r="I78" s="3"/>
      <c r="J78" s="3"/>
    </row>
    <row r="79" spans="1:10" x14ac:dyDescent="0.3">
      <c r="A79" s="97" t="str">
        <f>$C$12</f>
        <v>Osama</v>
      </c>
      <c r="B79" s="102">
        <f ca="1">C$14</f>
        <v>9.3573832148261431</v>
      </c>
      <c r="C79" s="102">
        <f>C$13</f>
        <v>5.9945945945945942</v>
      </c>
      <c r="D79" s="102">
        <f>C$15</f>
        <v>3.7813340110923952</v>
      </c>
      <c r="E79" s="3"/>
      <c r="F79" s="3"/>
      <c r="G79" s="3"/>
      <c r="H79" s="3"/>
      <c r="I79" s="3"/>
      <c r="J79" s="3"/>
    </row>
    <row r="80" spans="1:10" x14ac:dyDescent="0.3">
      <c r="A80" s="97" t="str">
        <f>$D$12</f>
        <v>Kirolos</v>
      </c>
      <c r="B80" s="102">
        <f ca="1">D$14</f>
        <v>11.136586869986392</v>
      </c>
      <c r="C80" s="102">
        <f>D$13</f>
        <v>6.1918918918918919</v>
      </c>
      <c r="D80" s="102">
        <f>D$15</f>
        <v>5.2849941944584158</v>
      </c>
      <c r="E80" s="3"/>
      <c r="F80" s="3"/>
      <c r="G80" s="3"/>
      <c r="H80" s="3"/>
      <c r="I80" s="3"/>
      <c r="J80" s="3"/>
    </row>
    <row r="81" spans="1:4" x14ac:dyDescent="0.3">
      <c r="A81" s="98"/>
      <c r="B81" s="98"/>
      <c r="C81" s="98"/>
      <c r="D81" s="98"/>
    </row>
    <row r="82" spans="1:4" x14ac:dyDescent="0.3">
      <c r="A82" s="98"/>
      <c r="B82" s="98"/>
      <c r="C82" s="98"/>
      <c r="D82" s="98"/>
    </row>
    <row r="83" spans="1:4" x14ac:dyDescent="0.3">
      <c r="A83" s="98" t="s">
        <v>9</v>
      </c>
      <c r="B83" s="98" t="s">
        <v>107</v>
      </c>
      <c r="C83" s="98" t="s">
        <v>108</v>
      </c>
      <c r="D83" s="98"/>
    </row>
    <row r="84" spans="1:4" x14ac:dyDescent="0.3">
      <c r="A84" s="98" t="str">
        <f>$B$12</f>
        <v>Ahmed</v>
      </c>
      <c r="B84" s="153">
        <f ca="1">B$18</f>
        <v>0.71037677353466833</v>
      </c>
      <c r="C84" s="153">
        <f ca="1">B$19</f>
        <v>0.46790234555748544</v>
      </c>
      <c r="D84" s="98"/>
    </row>
    <row r="85" spans="1:4" x14ac:dyDescent="0.3">
      <c r="A85" s="98" t="str">
        <f>$C$12</f>
        <v>Osama</v>
      </c>
      <c r="B85" s="153">
        <f ca="1">C$18</f>
        <v>0.7442681547944705</v>
      </c>
      <c r="C85" s="153">
        <f ca="1">C$19</f>
        <v>0.64062724128862891</v>
      </c>
      <c r="D85" s="98"/>
    </row>
    <row r="86" spans="1:4" x14ac:dyDescent="0.3">
      <c r="A86" s="98" t="str">
        <f>$D$12</f>
        <v>Kirolos</v>
      </c>
      <c r="B86" s="153">
        <f ca="1">D$18</f>
        <v>0.76876390560601082</v>
      </c>
      <c r="C86" s="153">
        <f ca="1">D$19</f>
        <v>0.55599547367419389</v>
      </c>
      <c r="D86" s="98"/>
    </row>
  </sheetData>
  <mergeCells count="6">
    <mergeCell ref="A1:J1"/>
    <mergeCell ref="A2:J2"/>
    <mergeCell ref="A4:J4"/>
    <mergeCell ref="A6:J6"/>
    <mergeCell ref="A11:J11"/>
    <mergeCell ref="A5:J5"/>
  </mergeCells>
  <printOptions horizontalCentered="1"/>
  <pageMargins left="0.25" right="0.25" top="0.27777777777777779" bottom="0.27777777777777779" header="0.3" footer="0.3"/>
  <pageSetup paperSize="9" scale="70" orientation="landscape" r:id="rId1"/>
  <rowBreaks count="1" manualBreakCount="1">
    <brk id="23" max="9"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C75AA-5CFA-4A71-A6F8-0B50B6414971}">
  <sheetPr filterMode="1">
    <tabColor rgb="FF1F6FC5"/>
  </sheetPr>
  <dimension ref="A1:G315"/>
  <sheetViews>
    <sheetView showGridLines="0" view="pageBreakPreview" topLeftCell="A2" zoomScaleNormal="100" zoomScaleSheetLayoutView="100" workbookViewId="0">
      <selection activeCell="C14" sqref="C14"/>
    </sheetView>
  </sheetViews>
  <sheetFormatPr defaultRowHeight="14.4" x14ac:dyDescent="0.3"/>
  <cols>
    <col min="1" max="1" width="55.5546875" customWidth="1"/>
    <col min="2" max="2" width="20.33203125" customWidth="1"/>
    <col min="3" max="6" width="18.5546875" customWidth="1"/>
    <col min="7" max="7" width="13" customWidth="1"/>
  </cols>
  <sheetData>
    <row r="1" spans="1:7" ht="34.049999999999997" customHeight="1" x14ac:dyDescent="0.3">
      <c r="A1" s="301" t="s">
        <v>270</v>
      </c>
      <c r="B1" s="304"/>
      <c r="C1" s="304"/>
      <c r="D1" s="304"/>
      <c r="E1" s="304"/>
      <c r="F1" s="304"/>
      <c r="G1" s="304"/>
    </row>
    <row r="2" spans="1:7" ht="22.05" customHeight="1" x14ac:dyDescent="0.3">
      <c r="A2" s="305" t="str">
        <f ca="1">"Viewing: "&amp;Dashboard!$H$5&amp;"     |     All effort in Man-Months (MM)     |     Reported "&amp;TEXT(TODAY(),"dd mmm yyyy")</f>
        <v>Viewing: Full year 2026     |     All effort in Man-Months (MM)     |     Reported 01 Sep 2026</v>
      </c>
      <c r="B2" s="304"/>
      <c r="C2" s="304"/>
      <c r="D2" s="304"/>
      <c r="E2" s="304"/>
      <c r="F2" s="304"/>
      <c r="G2" s="304"/>
    </row>
    <row r="3" spans="1:7" x14ac:dyDescent="0.3">
      <c r="A3" s="3"/>
      <c r="B3" s="3"/>
      <c r="C3" s="3"/>
      <c r="D3" s="3"/>
      <c r="E3" s="3"/>
      <c r="F3" s="3"/>
      <c r="G3" s="3"/>
    </row>
    <row r="4" spans="1:7" ht="18" hidden="1" customHeight="1" x14ac:dyDescent="0.3">
      <c r="A4" s="306" t="s">
        <v>271</v>
      </c>
      <c r="B4" s="307"/>
      <c r="C4" s="307"/>
      <c r="D4" s="307"/>
      <c r="E4" s="307"/>
      <c r="F4" s="307"/>
      <c r="G4" s="307"/>
    </row>
    <row r="5" spans="1:7" ht="18" hidden="1" customHeight="1" x14ac:dyDescent="0.3">
      <c r="A5" s="308" t="str">
        <f ca="1">"As at "&amp;TEXT(Dashboard!$H$6,"dd mmm yyyy")&amp;" — "&amp;TEXT(Dashboard!$J$6,"0.0%")&amp;" of the selected period has elapsed. Capacity and plan adherence are pro-rated accordingly."</f>
        <v>As at 01 Sep 2026 — 67.1% of the selected period has elapsed. Capacity and plan adherence are pro-rated accordingly.</v>
      </c>
      <c r="B5" s="307"/>
      <c r="C5" s="307"/>
      <c r="D5" s="307"/>
      <c r="E5" s="307"/>
      <c r="F5" s="307"/>
      <c r="G5" s="307"/>
    </row>
    <row r="6" spans="1:7" ht="19.95" customHeight="1" x14ac:dyDescent="0.3">
      <c r="A6" s="297" t="s">
        <v>273</v>
      </c>
      <c r="B6" s="297"/>
      <c r="C6" s="297"/>
      <c r="D6" s="297"/>
      <c r="E6" s="297"/>
      <c r="F6" s="297"/>
      <c r="G6" s="297"/>
    </row>
    <row r="7" spans="1:7" x14ac:dyDescent="0.3">
      <c r="A7" s="72" t="s">
        <v>264</v>
      </c>
      <c r="B7" s="18" t="str">
        <f>Inputs!$A$91</f>
        <v>Ahmed</v>
      </c>
      <c r="C7" s="18" t="str">
        <f>Inputs!$A$92</f>
        <v>Osama</v>
      </c>
      <c r="D7" s="18" t="str">
        <f>Inputs!$A$93</f>
        <v>Kirolos</v>
      </c>
      <c r="E7" s="18" t="s">
        <v>265</v>
      </c>
      <c r="F7" s="3"/>
      <c r="G7" s="3"/>
    </row>
    <row r="8" spans="1:7" x14ac:dyDescent="0.3">
      <c r="A8" s="6" t="s">
        <v>70</v>
      </c>
      <c r="B8" s="16">
        <f>'Mgmt Review'!B13</f>
        <v>5.7216216216216225</v>
      </c>
      <c r="C8" s="16">
        <f>'Mgmt Review'!C13</f>
        <v>5.9945945945945942</v>
      </c>
      <c r="D8" s="16">
        <f>'Mgmt Review'!D13</f>
        <v>6.1918918918918919</v>
      </c>
      <c r="E8" s="22">
        <f>'Mgmt Review'!E13</f>
        <v>17.908108108108109</v>
      </c>
      <c r="F8" s="3"/>
      <c r="G8" s="3"/>
    </row>
    <row r="9" spans="1:7" x14ac:dyDescent="0.3">
      <c r="A9" s="5" t="s">
        <v>289</v>
      </c>
      <c r="B9" s="7">
        <f ca="1">'Mgmt Review'!B14</f>
        <v>12.228238810823992</v>
      </c>
      <c r="C9" s="7">
        <f ca="1">'Mgmt Review'!C14</f>
        <v>9.3573832148261431</v>
      </c>
      <c r="D9" s="7">
        <f ca="1">'Mgmt Review'!D14</f>
        <v>11.136586869986392</v>
      </c>
      <c r="E9" s="22">
        <f ca="1">'Mgmt Review'!E14</f>
        <v>32.722208895636527</v>
      </c>
      <c r="F9" s="3"/>
      <c r="G9" s="3"/>
    </row>
    <row r="10" spans="1:7" x14ac:dyDescent="0.3">
      <c r="A10" s="5" t="s">
        <v>266</v>
      </c>
      <c r="B10" s="7">
        <f>'Mgmt Review'!B15</f>
        <v>5.1198091144153901</v>
      </c>
      <c r="C10" s="7">
        <f>'Mgmt Review'!C15</f>
        <v>3.7813340110923952</v>
      </c>
      <c r="D10" s="7">
        <f>'Mgmt Review'!D15</f>
        <v>5.2849941944584158</v>
      </c>
      <c r="E10" s="22">
        <f>'Mgmt Review'!E15</f>
        <v>14.1861373199662</v>
      </c>
      <c r="F10" s="3"/>
      <c r="G10" s="3"/>
    </row>
    <row r="11" spans="1:7" x14ac:dyDescent="0.3">
      <c r="A11" s="6" t="s">
        <v>267</v>
      </c>
      <c r="B11" s="16">
        <f>'Mgmt Review'!B16</f>
        <v>-0.60181250720623236</v>
      </c>
      <c r="C11" s="16">
        <f>'Mgmt Review'!C16</f>
        <v>-2.213260583502199</v>
      </c>
      <c r="D11" s="16">
        <f>'Mgmt Review'!D16</f>
        <v>-0.90689769743347615</v>
      </c>
      <c r="E11" s="22">
        <f>'Mgmt Review'!E16</f>
        <v>-3.7219707881419097</v>
      </c>
      <c r="F11" s="3"/>
      <c r="G11" s="3"/>
    </row>
    <row r="12" spans="1:7" x14ac:dyDescent="0.3">
      <c r="A12" s="5" t="s">
        <v>281</v>
      </c>
      <c r="B12" s="7">
        <f ca="1">'Mgmt Review'!B17</f>
        <v>8.054347826086957</v>
      </c>
      <c r="C12" s="7">
        <f ca="1">'Mgmt Review'!C17</f>
        <v>8.054347826086957</v>
      </c>
      <c r="D12" s="7">
        <f ca="1">'Mgmt Review'!D17</f>
        <v>8.054347826086957</v>
      </c>
      <c r="E12" s="22">
        <f ca="1">'Mgmt Review'!E17</f>
        <v>24.163043478260871</v>
      </c>
      <c r="F12" s="3"/>
      <c r="G12" s="3"/>
    </row>
    <row r="13" spans="1:7" x14ac:dyDescent="0.3">
      <c r="A13" s="9" t="s">
        <v>290</v>
      </c>
      <c r="B13" s="148">
        <f ca="1">'Mgmt Review'!B18</f>
        <v>0.71037677353466833</v>
      </c>
      <c r="C13" s="148">
        <f ca="1">'Mgmt Review'!C18</f>
        <v>0.7442681547944705</v>
      </c>
      <c r="D13" s="148">
        <f ca="1">'Mgmt Review'!D18</f>
        <v>0.76876390560601082</v>
      </c>
      <c r="E13" s="148">
        <f ca="1">'Mgmt Review'!E18</f>
        <v>0.74113627797838322</v>
      </c>
      <c r="F13" s="3"/>
      <c r="G13" s="3"/>
    </row>
    <row r="14" spans="1:7" x14ac:dyDescent="0.3">
      <c r="A14" s="149" t="s">
        <v>291</v>
      </c>
      <c r="B14" s="150">
        <f ca="1">'Mgmt Review'!B19</f>
        <v>0.46790234555748544</v>
      </c>
      <c r="C14" s="150">
        <f ca="1">'Mgmt Review'!C19</f>
        <v>0.64062724128862891</v>
      </c>
      <c r="D14" s="150">
        <f ca="1">'Mgmt Review'!D19</f>
        <v>0.55599547367419389</v>
      </c>
      <c r="E14" s="148">
        <f ca="1">'Mgmt Review'!E19</f>
        <v>0.54727687135131442</v>
      </c>
      <c r="F14" s="3"/>
      <c r="G14" s="3"/>
    </row>
    <row r="15" spans="1:7" x14ac:dyDescent="0.3">
      <c r="A15" s="151" t="s">
        <v>90</v>
      </c>
      <c r="B15" s="152">
        <f>'Mgmt Review'!B20</f>
        <v>0.89481784238719608</v>
      </c>
      <c r="C15" s="152">
        <f>'Mgmt Review'!C20</f>
        <v>0.63079061501541311</v>
      </c>
      <c r="D15" s="152">
        <f>'Mgmt Review'!D20</f>
        <v>0.85353463638132421</v>
      </c>
      <c r="E15" s="152">
        <f>'Mgmt Review'!E20</f>
        <v>0.79216281442612335</v>
      </c>
      <c r="F15" s="3"/>
      <c r="G15" s="3"/>
    </row>
    <row r="16" spans="1:7" x14ac:dyDescent="0.3">
      <c r="A16" s="5" t="s">
        <v>92</v>
      </c>
      <c r="B16" s="79">
        <f>'Mgmt Review'!B21</f>
        <v>0.31949894355568975</v>
      </c>
      <c r="C16" s="79">
        <f>'Mgmt Review'!C21</f>
        <v>0.33474192574705702</v>
      </c>
      <c r="D16" s="79">
        <f>'Mgmt Review'!D21</f>
        <v>0.34575913069725323</v>
      </c>
      <c r="E16" s="80">
        <f>'Mgmt Review'!E21</f>
        <v>1</v>
      </c>
      <c r="F16" s="3"/>
      <c r="G16" s="3"/>
    </row>
    <row r="17" spans="1:7" x14ac:dyDescent="0.3">
      <c r="A17" s="5" t="s">
        <v>268</v>
      </c>
      <c r="B17" s="7">
        <f>'Mgmt Review'!B22</f>
        <v>22.961745693007909</v>
      </c>
      <c r="C17" s="7">
        <f>'Mgmt Review'!C22</f>
        <v>24.440534518563283</v>
      </c>
      <c r="D17" s="7">
        <f>'Mgmt Review'!D22</f>
        <v>6.16589789837907</v>
      </c>
      <c r="E17" s="22">
        <f>'Mgmt Review'!E22</f>
        <v>53.568178109950267</v>
      </c>
      <c r="F17" s="3"/>
      <c r="G17" s="3"/>
    </row>
    <row r="18" spans="1:7" x14ac:dyDescent="0.3">
      <c r="A18" s="5" t="s">
        <v>274</v>
      </c>
      <c r="B18" s="73">
        <f>COUNTIF($C$181:$C$260,"&gt;0")</f>
        <v>6</v>
      </c>
      <c r="C18" s="73">
        <f>COUNTIF($D$181:$D$260,"&gt;0")</f>
        <v>4</v>
      </c>
      <c r="D18" s="73">
        <f>COUNTIF($E$181:$E$260,"&gt;0")</f>
        <v>7</v>
      </c>
      <c r="E18" s="46">
        <f>COUNTIF($F$181:$F$260,"&gt;0")</f>
        <v>11</v>
      </c>
      <c r="F18" s="3"/>
      <c r="G18" s="3"/>
    </row>
    <row r="19" spans="1:7" x14ac:dyDescent="0.3">
      <c r="A19" s="5" t="s">
        <v>275</v>
      </c>
      <c r="B19" s="76">
        <f>IF(B18=0,"n/a",B8/B18)</f>
        <v>0.95360360360360374</v>
      </c>
      <c r="C19" s="76">
        <f>IF(C18=0,"n/a",C8/C18)</f>
        <v>1.4986486486486486</v>
      </c>
      <c r="D19" s="76">
        <f>IF(D18=0,"n/a",D8/D18)</f>
        <v>0.88455598455598461</v>
      </c>
      <c r="E19" s="78">
        <f>IF(E18=0,"n/a",E8/E18)</f>
        <v>1.6280098280098281</v>
      </c>
      <c r="F19" s="3"/>
      <c r="G19" s="3"/>
    </row>
    <row r="20" spans="1:7" x14ac:dyDescent="0.3">
      <c r="A20" s="5" t="s">
        <v>276</v>
      </c>
      <c r="B20" s="76">
        <f>IF(SUMIF(Inputs!$B$90:$F$90,Dashboard!$D$5,Inputs!$B$91:$F$91)*4*Inputs!$B$94=0,"n/a",B17/(SUMIF(Inputs!$B$90:$F$90,Dashboard!$D$5,Inputs!$B$91:$F$91)*4*Inputs!$B$94)*12)</f>
        <v>22.961745693007909</v>
      </c>
      <c r="C20" s="76">
        <f>IF(SUMIF(Inputs!$B$90:$F$90,Dashboard!$D$5,Inputs!$B$92:$F$92)*4*Inputs!$B$94=0,"n/a",C17/(SUMIF(Inputs!$B$90:$F$90,Dashboard!$D$5,Inputs!$B$92:$F$92)*4*Inputs!$B$94)*12)</f>
        <v>24.440534518563283</v>
      </c>
      <c r="D20" s="76">
        <f>IF(SUMIF(Inputs!$B$90:$F$90,Dashboard!$D$5,Inputs!$B$93:$F$93)*4*Inputs!$B$94=0,"n/a",D17/(SUMIF(Inputs!$B$90:$F$90,Dashboard!$D$5,Inputs!$B$93:$F$93)*4*Inputs!$B$94)*12)</f>
        <v>6.16589789837907</v>
      </c>
      <c r="E20" s="78">
        <f>IF(SUM(Inputs!$B$91:$B$93)=0,"n/a",E17/(SUMIF(Inputs!$B$90:$F$90,Dashboard!$D$5,Inputs!$B$91:$F$91)*4*Inputs!$B$94+SUMIF(Inputs!$B$90:$F$90,Dashboard!$D$5,Inputs!$B$92:$F$92)*4*Inputs!$B$94+SUMIF(Inputs!$B$90:$F$90,Dashboard!$D$5,Inputs!$B$93:$F$93)*4*Inputs!$B$94)*12)</f>
        <v>17.856059369983424</v>
      </c>
      <c r="F20" s="3"/>
      <c r="G20" s="3"/>
    </row>
    <row r="21" spans="1:7" x14ac:dyDescent="0.3">
      <c r="A21" s="3"/>
      <c r="B21" s="3"/>
      <c r="C21" s="3"/>
      <c r="D21" s="3"/>
      <c r="E21" s="3"/>
      <c r="F21" s="3"/>
      <c r="G21" s="3"/>
    </row>
    <row r="22" spans="1:7" ht="19.95" customHeight="1" x14ac:dyDescent="0.3">
      <c r="A22" s="303" t="s">
        <v>277</v>
      </c>
      <c r="B22" s="303"/>
      <c r="C22" s="303"/>
      <c r="D22" s="303"/>
      <c r="E22" s="303"/>
      <c r="F22" s="303"/>
      <c r="G22" s="303"/>
    </row>
    <row r="23" spans="1:7" x14ac:dyDescent="0.3">
      <c r="A23" s="154" t="s">
        <v>5</v>
      </c>
      <c r="B23" s="155" t="s">
        <v>20</v>
      </c>
      <c r="C23" s="155" t="str">
        <f>Inputs!$A$91</f>
        <v>Ahmed</v>
      </c>
      <c r="D23" s="155" t="str">
        <f>Inputs!$A$92</f>
        <v>Osama</v>
      </c>
      <c r="E23" s="155" t="str">
        <f>Inputs!$A$93</f>
        <v>Kirolos</v>
      </c>
      <c r="F23" s="155" t="s">
        <v>4</v>
      </c>
      <c r="G23" s="3"/>
    </row>
    <row r="24" spans="1:7" x14ac:dyDescent="0.3">
      <c r="A24" s="156" t="str">
        <f t="shared" ref="A24:A63" si="0">IFERROR(INDEX($A$181:$A$260,MATCH(ROW()-23,$G$181:$G$260,0)),"")</f>
        <v>E26084-0100D</v>
      </c>
      <c r="B24" s="157" t="str">
        <f t="shared" ref="B24:B63" si="1">IF($A24="","",INDEX($B$181:$B$260,MATCH(ROW()-23,$G$181:$G$260,0)))</f>
        <v>Active</v>
      </c>
      <c r="C24" s="158">
        <f t="shared" ref="C24:C63" si="2">IF($A24="","",INDEX($C$181:$C$260,MATCH(ROW()-23,$G$181:$G$260,0)))</f>
        <v>0</v>
      </c>
      <c r="D24" s="158">
        <f t="shared" ref="D24:D63" si="3">IF($A24="","",INDEX($D$181:$D$260,MATCH(ROW()-23,$G$181:$G$260,0)))</f>
        <v>0.22567567567567567</v>
      </c>
      <c r="E24" s="158">
        <f t="shared" ref="E24:E63" si="4">IF($A24="","",INDEX($E$181:$E$260,MATCH(ROW()-23,$G$181:$G$260,0)))</f>
        <v>0</v>
      </c>
      <c r="F24" s="158">
        <f t="shared" ref="F24:F63" si="5">IF($A24="","",INDEX($F$181:$F$260,MATCH(ROW()-23,$G$181:$G$260,0)))</f>
        <v>0.22567567567567567</v>
      </c>
      <c r="G24" s="3"/>
    </row>
    <row r="25" spans="1:7" x14ac:dyDescent="0.3">
      <c r="A25" s="156" t="str">
        <f t="shared" si="0"/>
        <v>N25185-0100D</v>
      </c>
      <c r="B25" s="157" t="str">
        <f t="shared" si="1"/>
        <v>Active</v>
      </c>
      <c r="C25" s="158">
        <f t="shared" si="2"/>
        <v>5.0999999999999996</v>
      </c>
      <c r="D25" s="158">
        <f t="shared" si="3"/>
        <v>5.4189189189189193</v>
      </c>
      <c r="E25" s="158">
        <f t="shared" si="4"/>
        <v>2.9986486486486488</v>
      </c>
      <c r="F25" s="158">
        <f t="shared" si="5"/>
        <v>13.517567567567568</v>
      </c>
      <c r="G25" s="3"/>
    </row>
    <row r="26" spans="1:7" x14ac:dyDescent="0.3">
      <c r="A26" s="156" t="str">
        <f t="shared" si="0"/>
        <v>AN24140-0100R</v>
      </c>
      <c r="B26" s="157" t="str">
        <f t="shared" si="1"/>
        <v>Active</v>
      </c>
      <c r="C26" s="158">
        <f t="shared" si="2"/>
        <v>0</v>
      </c>
      <c r="D26" s="158">
        <f t="shared" si="3"/>
        <v>0</v>
      </c>
      <c r="E26" s="158">
        <f t="shared" si="4"/>
        <v>2.1621621621621623E-2</v>
      </c>
      <c r="F26" s="158">
        <f t="shared" si="5"/>
        <v>2.1621621621621623E-2</v>
      </c>
      <c r="G26" s="3"/>
    </row>
    <row r="27" spans="1:7" x14ac:dyDescent="0.3">
      <c r="A27" s="156" t="str">
        <f t="shared" si="0"/>
        <v>CS24035-0100D</v>
      </c>
      <c r="B27" s="157" t="str">
        <f t="shared" si="1"/>
        <v>On Hold</v>
      </c>
      <c r="C27" s="158">
        <f t="shared" si="2"/>
        <v>0.10675675675675676</v>
      </c>
      <c r="D27" s="158">
        <f t="shared" si="3"/>
        <v>0</v>
      </c>
      <c r="E27" s="158">
        <f t="shared" si="4"/>
        <v>0.4635135135135135</v>
      </c>
      <c r="F27" s="158">
        <f t="shared" si="5"/>
        <v>0.57027027027027022</v>
      </c>
      <c r="G27" s="3"/>
    </row>
    <row r="28" spans="1:7" x14ac:dyDescent="0.3">
      <c r="A28" s="156" t="str">
        <f t="shared" si="0"/>
        <v>Q25008-0100D</v>
      </c>
      <c r="B28" s="157" t="str">
        <f t="shared" si="1"/>
        <v>Finalized</v>
      </c>
      <c r="C28" s="158">
        <f t="shared" si="2"/>
        <v>0.14594594594594595</v>
      </c>
      <c r="D28" s="158">
        <f t="shared" si="3"/>
        <v>0</v>
      </c>
      <c r="E28" s="158">
        <f t="shared" si="4"/>
        <v>1.6675675675675676</v>
      </c>
      <c r="F28" s="158">
        <f t="shared" si="5"/>
        <v>1.8135135135135136</v>
      </c>
      <c r="G28" s="3"/>
    </row>
    <row r="29" spans="1:7" x14ac:dyDescent="0.3">
      <c r="A29" s="156" t="str">
        <f t="shared" si="0"/>
        <v>AN24185-0100R</v>
      </c>
      <c r="B29" s="157" t="str">
        <f t="shared" si="1"/>
        <v>Finalized</v>
      </c>
      <c r="C29" s="158">
        <f t="shared" si="2"/>
        <v>0</v>
      </c>
      <c r="D29" s="158">
        <f t="shared" si="3"/>
        <v>0</v>
      </c>
      <c r="E29" s="158">
        <f t="shared" si="4"/>
        <v>0.13378378378378378</v>
      </c>
      <c r="F29" s="158">
        <f t="shared" si="5"/>
        <v>0.13378378378378378</v>
      </c>
      <c r="G29" s="3"/>
    </row>
    <row r="30" spans="1:7" x14ac:dyDescent="0.3">
      <c r="A30" s="156" t="str">
        <f t="shared" si="0"/>
        <v>AN23108-0100R</v>
      </c>
      <c r="B30" s="157" t="str">
        <f t="shared" si="1"/>
        <v>On Hold</v>
      </c>
      <c r="C30" s="158">
        <f t="shared" si="2"/>
        <v>0</v>
      </c>
      <c r="D30" s="158">
        <f t="shared" si="3"/>
        <v>0</v>
      </c>
      <c r="E30" s="158">
        <f t="shared" si="4"/>
        <v>0.68513513513513513</v>
      </c>
      <c r="F30" s="158">
        <f t="shared" si="5"/>
        <v>0.68513513513513513</v>
      </c>
      <c r="G30" s="3"/>
    </row>
    <row r="31" spans="1:7" x14ac:dyDescent="0.3">
      <c r="A31" s="156" t="str">
        <f t="shared" si="0"/>
        <v>TA24246-0200R</v>
      </c>
      <c r="B31" s="157" t="str">
        <f t="shared" si="1"/>
        <v>On Hold</v>
      </c>
      <c r="C31" s="158">
        <f t="shared" si="2"/>
        <v>0</v>
      </c>
      <c r="D31" s="158">
        <f t="shared" si="3"/>
        <v>9.8648648648648654E-2</v>
      </c>
      <c r="E31" s="158">
        <f t="shared" si="4"/>
        <v>0</v>
      </c>
      <c r="F31" s="158">
        <f t="shared" si="5"/>
        <v>9.8648648648648654E-2</v>
      </c>
      <c r="G31" s="3"/>
    </row>
    <row r="32" spans="1:7" x14ac:dyDescent="0.3">
      <c r="A32" s="156" t="str">
        <f t="shared" si="0"/>
        <v>N23106-0100D</v>
      </c>
      <c r="B32" s="157" t="str">
        <f t="shared" si="1"/>
        <v>Finalized</v>
      </c>
      <c r="C32" s="158">
        <f t="shared" si="2"/>
        <v>0.1891891891891892</v>
      </c>
      <c r="D32" s="158">
        <f t="shared" si="3"/>
        <v>0.25135135135135134</v>
      </c>
      <c r="E32" s="158">
        <f t="shared" si="4"/>
        <v>0</v>
      </c>
      <c r="F32" s="158">
        <f t="shared" si="5"/>
        <v>0.44054054054054054</v>
      </c>
      <c r="G32" s="3"/>
    </row>
    <row r="33" spans="1:7" hidden="1" x14ac:dyDescent="0.3">
      <c r="A33" s="156" t="str">
        <f t="shared" si="0"/>
        <v>Chargable Proposals 26</v>
      </c>
      <c r="B33" s="157" t="str">
        <f t="shared" si="1"/>
        <v>Active</v>
      </c>
      <c r="C33" s="158">
        <f t="shared" si="2"/>
        <v>0.10945945945945947</v>
      </c>
      <c r="D33" s="158">
        <f t="shared" si="3"/>
        <v>0</v>
      </c>
      <c r="E33" s="158">
        <f t="shared" si="4"/>
        <v>0.22162162162162163</v>
      </c>
      <c r="F33" s="158">
        <f t="shared" si="5"/>
        <v>0.33108108108108109</v>
      </c>
      <c r="G33" s="3"/>
    </row>
    <row r="34" spans="1:7" hidden="1" x14ac:dyDescent="0.3">
      <c r="A34" s="156" t="str">
        <f t="shared" si="0"/>
        <v>Proposals 26</v>
      </c>
      <c r="B34" s="157" t="str">
        <f t="shared" si="1"/>
        <v>Active</v>
      </c>
      <c r="C34" s="158">
        <f t="shared" si="2"/>
        <v>7.0270270270270274E-2</v>
      </c>
      <c r="D34" s="158">
        <f t="shared" si="3"/>
        <v>0</v>
      </c>
      <c r="E34" s="158">
        <f t="shared" si="4"/>
        <v>0</v>
      </c>
      <c r="F34" s="158">
        <f t="shared" si="5"/>
        <v>7.0270270270270274E-2</v>
      </c>
      <c r="G34" s="3"/>
    </row>
    <row r="35" spans="1:7" hidden="1" x14ac:dyDescent="0.3">
      <c r="A35" s="156" t="str">
        <f t="shared" si="0"/>
        <v/>
      </c>
      <c r="B35" s="157" t="str">
        <f t="shared" si="1"/>
        <v/>
      </c>
      <c r="C35" s="158" t="str">
        <f t="shared" si="2"/>
        <v/>
      </c>
      <c r="D35" s="158" t="str">
        <f t="shared" si="3"/>
        <v/>
      </c>
      <c r="E35" s="158" t="str">
        <f t="shared" si="4"/>
        <v/>
      </c>
      <c r="F35" s="158" t="str">
        <f t="shared" si="5"/>
        <v/>
      </c>
      <c r="G35" s="3"/>
    </row>
    <row r="36" spans="1:7" hidden="1" x14ac:dyDescent="0.3">
      <c r="A36" s="156" t="str">
        <f t="shared" si="0"/>
        <v/>
      </c>
      <c r="B36" s="157" t="str">
        <f t="shared" si="1"/>
        <v/>
      </c>
      <c r="C36" s="158" t="str">
        <f t="shared" si="2"/>
        <v/>
      </c>
      <c r="D36" s="158" t="str">
        <f t="shared" si="3"/>
        <v/>
      </c>
      <c r="E36" s="158" t="str">
        <f t="shared" si="4"/>
        <v/>
      </c>
      <c r="F36" s="158" t="str">
        <f t="shared" si="5"/>
        <v/>
      </c>
      <c r="G36" s="3"/>
    </row>
    <row r="37" spans="1:7" hidden="1" x14ac:dyDescent="0.3">
      <c r="A37" s="156" t="str">
        <f t="shared" si="0"/>
        <v/>
      </c>
      <c r="B37" s="157" t="str">
        <f t="shared" si="1"/>
        <v/>
      </c>
      <c r="C37" s="158" t="str">
        <f t="shared" si="2"/>
        <v/>
      </c>
      <c r="D37" s="158" t="str">
        <f t="shared" si="3"/>
        <v/>
      </c>
      <c r="E37" s="158" t="str">
        <f t="shared" si="4"/>
        <v/>
      </c>
      <c r="F37" s="158" t="str">
        <f t="shared" si="5"/>
        <v/>
      </c>
      <c r="G37" s="3"/>
    </row>
    <row r="38" spans="1:7" hidden="1" x14ac:dyDescent="0.3">
      <c r="A38" s="156" t="str">
        <f t="shared" si="0"/>
        <v/>
      </c>
      <c r="B38" s="157" t="str">
        <f t="shared" si="1"/>
        <v/>
      </c>
      <c r="C38" s="158" t="str">
        <f t="shared" si="2"/>
        <v/>
      </c>
      <c r="D38" s="158" t="str">
        <f t="shared" si="3"/>
        <v/>
      </c>
      <c r="E38" s="158" t="str">
        <f t="shared" si="4"/>
        <v/>
      </c>
      <c r="F38" s="158" t="str">
        <f t="shared" si="5"/>
        <v/>
      </c>
      <c r="G38" s="3"/>
    </row>
    <row r="39" spans="1:7" hidden="1" x14ac:dyDescent="0.3">
      <c r="A39" s="156" t="str">
        <f t="shared" si="0"/>
        <v/>
      </c>
      <c r="B39" s="157" t="str">
        <f t="shared" si="1"/>
        <v/>
      </c>
      <c r="C39" s="158" t="str">
        <f t="shared" si="2"/>
        <v/>
      </c>
      <c r="D39" s="158" t="str">
        <f t="shared" si="3"/>
        <v/>
      </c>
      <c r="E39" s="158" t="str">
        <f t="shared" si="4"/>
        <v/>
      </c>
      <c r="F39" s="158" t="str">
        <f t="shared" si="5"/>
        <v/>
      </c>
      <c r="G39" s="3"/>
    </row>
    <row r="40" spans="1:7" hidden="1" x14ac:dyDescent="0.3">
      <c r="A40" s="156" t="str">
        <f t="shared" si="0"/>
        <v/>
      </c>
      <c r="B40" s="157" t="str">
        <f t="shared" si="1"/>
        <v/>
      </c>
      <c r="C40" s="158" t="str">
        <f t="shared" si="2"/>
        <v/>
      </c>
      <c r="D40" s="158" t="str">
        <f t="shared" si="3"/>
        <v/>
      </c>
      <c r="E40" s="158" t="str">
        <f t="shared" si="4"/>
        <v/>
      </c>
      <c r="F40" s="158" t="str">
        <f t="shared" si="5"/>
        <v/>
      </c>
      <c r="G40" s="3"/>
    </row>
    <row r="41" spans="1:7" hidden="1" x14ac:dyDescent="0.3">
      <c r="A41" s="156" t="str">
        <f t="shared" si="0"/>
        <v/>
      </c>
      <c r="B41" s="157" t="str">
        <f t="shared" si="1"/>
        <v/>
      </c>
      <c r="C41" s="158" t="str">
        <f t="shared" si="2"/>
        <v/>
      </c>
      <c r="D41" s="158" t="str">
        <f t="shared" si="3"/>
        <v/>
      </c>
      <c r="E41" s="158" t="str">
        <f t="shared" si="4"/>
        <v/>
      </c>
      <c r="F41" s="158" t="str">
        <f t="shared" si="5"/>
        <v/>
      </c>
      <c r="G41" s="3"/>
    </row>
    <row r="42" spans="1:7" hidden="1" x14ac:dyDescent="0.3">
      <c r="A42" s="156" t="str">
        <f t="shared" si="0"/>
        <v/>
      </c>
      <c r="B42" s="157" t="str">
        <f t="shared" si="1"/>
        <v/>
      </c>
      <c r="C42" s="158" t="str">
        <f t="shared" si="2"/>
        <v/>
      </c>
      <c r="D42" s="158" t="str">
        <f t="shared" si="3"/>
        <v/>
      </c>
      <c r="E42" s="158" t="str">
        <f t="shared" si="4"/>
        <v/>
      </c>
      <c r="F42" s="158" t="str">
        <f t="shared" si="5"/>
        <v/>
      </c>
      <c r="G42" s="3"/>
    </row>
    <row r="43" spans="1:7" hidden="1" x14ac:dyDescent="0.3">
      <c r="A43" s="156" t="str">
        <f t="shared" si="0"/>
        <v/>
      </c>
      <c r="B43" s="157" t="str">
        <f t="shared" si="1"/>
        <v/>
      </c>
      <c r="C43" s="158" t="str">
        <f t="shared" si="2"/>
        <v/>
      </c>
      <c r="D43" s="158" t="str">
        <f t="shared" si="3"/>
        <v/>
      </c>
      <c r="E43" s="158" t="str">
        <f t="shared" si="4"/>
        <v/>
      </c>
      <c r="F43" s="158" t="str">
        <f t="shared" si="5"/>
        <v/>
      </c>
      <c r="G43" s="3"/>
    </row>
    <row r="44" spans="1:7" hidden="1" x14ac:dyDescent="0.3">
      <c r="A44" s="156" t="str">
        <f t="shared" si="0"/>
        <v/>
      </c>
      <c r="B44" s="157" t="str">
        <f t="shared" si="1"/>
        <v/>
      </c>
      <c r="C44" s="158" t="str">
        <f t="shared" si="2"/>
        <v/>
      </c>
      <c r="D44" s="158" t="str">
        <f t="shared" si="3"/>
        <v/>
      </c>
      <c r="E44" s="158" t="str">
        <f t="shared" si="4"/>
        <v/>
      </c>
      <c r="F44" s="158" t="str">
        <f t="shared" si="5"/>
        <v/>
      </c>
      <c r="G44" s="3"/>
    </row>
    <row r="45" spans="1:7" hidden="1" x14ac:dyDescent="0.3">
      <c r="A45" s="156" t="str">
        <f t="shared" si="0"/>
        <v/>
      </c>
      <c r="B45" s="157" t="str">
        <f t="shared" si="1"/>
        <v/>
      </c>
      <c r="C45" s="158" t="str">
        <f t="shared" si="2"/>
        <v/>
      </c>
      <c r="D45" s="158" t="str">
        <f t="shared" si="3"/>
        <v/>
      </c>
      <c r="E45" s="158" t="str">
        <f t="shared" si="4"/>
        <v/>
      </c>
      <c r="F45" s="158" t="str">
        <f t="shared" si="5"/>
        <v/>
      </c>
      <c r="G45" s="3"/>
    </row>
    <row r="46" spans="1:7" hidden="1" x14ac:dyDescent="0.3">
      <c r="A46" s="156" t="str">
        <f t="shared" si="0"/>
        <v/>
      </c>
      <c r="B46" s="157" t="str">
        <f t="shared" si="1"/>
        <v/>
      </c>
      <c r="C46" s="158" t="str">
        <f t="shared" si="2"/>
        <v/>
      </c>
      <c r="D46" s="158" t="str">
        <f t="shared" si="3"/>
        <v/>
      </c>
      <c r="E46" s="158" t="str">
        <f t="shared" si="4"/>
        <v/>
      </c>
      <c r="F46" s="158" t="str">
        <f t="shared" si="5"/>
        <v/>
      </c>
      <c r="G46" s="3"/>
    </row>
    <row r="47" spans="1:7" hidden="1" x14ac:dyDescent="0.3">
      <c r="A47" s="156" t="str">
        <f t="shared" si="0"/>
        <v/>
      </c>
      <c r="B47" s="157" t="str">
        <f t="shared" si="1"/>
        <v/>
      </c>
      <c r="C47" s="158" t="str">
        <f t="shared" si="2"/>
        <v/>
      </c>
      <c r="D47" s="158" t="str">
        <f t="shared" si="3"/>
        <v/>
      </c>
      <c r="E47" s="158" t="str">
        <f t="shared" si="4"/>
        <v/>
      </c>
      <c r="F47" s="158" t="str">
        <f t="shared" si="5"/>
        <v/>
      </c>
      <c r="G47" s="3"/>
    </row>
    <row r="48" spans="1:7" hidden="1" x14ac:dyDescent="0.3">
      <c r="A48" s="156" t="str">
        <f t="shared" si="0"/>
        <v/>
      </c>
      <c r="B48" s="157" t="str">
        <f t="shared" si="1"/>
        <v/>
      </c>
      <c r="C48" s="158" t="str">
        <f t="shared" si="2"/>
        <v/>
      </c>
      <c r="D48" s="158" t="str">
        <f t="shared" si="3"/>
        <v/>
      </c>
      <c r="E48" s="158" t="str">
        <f t="shared" si="4"/>
        <v/>
      </c>
      <c r="F48" s="158" t="str">
        <f t="shared" si="5"/>
        <v/>
      </c>
      <c r="G48" s="3"/>
    </row>
    <row r="49" spans="1:7" hidden="1" x14ac:dyDescent="0.3">
      <c r="A49" s="156" t="str">
        <f t="shared" si="0"/>
        <v/>
      </c>
      <c r="B49" s="157" t="str">
        <f t="shared" si="1"/>
        <v/>
      </c>
      <c r="C49" s="158" t="str">
        <f t="shared" si="2"/>
        <v/>
      </c>
      <c r="D49" s="158" t="str">
        <f t="shared" si="3"/>
        <v/>
      </c>
      <c r="E49" s="158" t="str">
        <f t="shared" si="4"/>
        <v/>
      </c>
      <c r="F49" s="158" t="str">
        <f t="shared" si="5"/>
        <v/>
      </c>
      <c r="G49" s="3"/>
    </row>
    <row r="50" spans="1:7" hidden="1" x14ac:dyDescent="0.3">
      <c r="A50" s="156" t="str">
        <f t="shared" si="0"/>
        <v/>
      </c>
      <c r="B50" s="157" t="str">
        <f t="shared" si="1"/>
        <v/>
      </c>
      <c r="C50" s="158" t="str">
        <f t="shared" si="2"/>
        <v/>
      </c>
      <c r="D50" s="158" t="str">
        <f t="shared" si="3"/>
        <v/>
      </c>
      <c r="E50" s="158" t="str">
        <f t="shared" si="4"/>
        <v/>
      </c>
      <c r="F50" s="158" t="str">
        <f t="shared" si="5"/>
        <v/>
      </c>
      <c r="G50" s="3"/>
    </row>
    <row r="51" spans="1:7" hidden="1" x14ac:dyDescent="0.3">
      <c r="A51" s="156" t="str">
        <f t="shared" si="0"/>
        <v/>
      </c>
      <c r="B51" s="157" t="str">
        <f t="shared" si="1"/>
        <v/>
      </c>
      <c r="C51" s="158" t="str">
        <f t="shared" si="2"/>
        <v/>
      </c>
      <c r="D51" s="158" t="str">
        <f t="shared" si="3"/>
        <v/>
      </c>
      <c r="E51" s="158" t="str">
        <f t="shared" si="4"/>
        <v/>
      </c>
      <c r="F51" s="158" t="str">
        <f t="shared" si="5"/>
        <v/>
      </c>
      <c r="G51" s="3"/>
    </row>
    <row r="52" spans="1:7" hidden="1" x14ac:dyDescent="0.3">
      <c r="A52" s="156" t="str">
        <f t="shared" si="0"/>
        <v/>
      </c>
      <c r="B52" s="157" t="str">
        <f t="shared" si="1"/>
        <v/>
      </c>
      <c r="C52" s="158" t="str">
        <f t="shared" si="2"/>
        <v/>
      </c>
      <c r="D52" s="158" t="str">
        <f t="shared" si="3"/>
        <v/>
      </c>
      <c r="E52" s="158" t="str">
        <f t="shared" si="4"/>
        <v/>
      </c>
      <c r="F52" s="158" t="str">
        <f t="shared" si="5"/>
        <v/>
      </c>
      <c r="G52" s="3"/>
    </row>
    <row r="53" spans="1:7" hidden="1" x14ac:dyDescent="0.3">
      <c r="A53" s="156" t="str">
        <f t="shared" si="0"/>
        <v/>
      </c>
      <c r="B53" s="157" t="str">
        <f t="shared" si="1"/>
        <v/>
      </c>
      <c r="C53" s="158" t="str">
        <f t="shared" si="2"/>
        <v/>
      </c>
      <c r="D53" s="158" t="str">
        <f t="shared" si="3"/>
        <v/>
      </c>
      <c r="E53" s="158" t="str">
        <f t="shared" si="4"/>
        <v/>
      </c>
      <c r="F53" s="158" t="str">
        <f t="shared" si="5"/>
        <v/>
      </c>
      <c r="G53" s="3"/>
    </row>
    <row r="54" spans="1:7" hidden="1" x14ac:dyDescent="0.3">
      <c r="A54" s="156" t="str">
        <f t="shared" si="0"/>
        <v/>
      </c>
      <c r="B54" s="157" t="str">
        <f t="shared" si="1"/>
        <v/>
      </c>
      <c r="C54" s="158" t="str">
        <f t="shared" si="2"/>
        <v/>
      </c>
      <c r="D54" s="158" t="str">
        <f t="shared" si="3"/>
        <v/>
      </c>
      <c r="E54" s="158" t="str">
        <f t="shared" si="4"/>
        <v/>
      </c>
      <c r="F54" s="158" t="str">
        <f t="shared" si="5"/>
        <v/>
      </c>
      <c r="G54" s="3"/>
    </row>
    <row r="55" spans="1:7" hidden="1" x14ac:dyDescent="0.3">
      <c r="A55" s="156" t="str">
        <f t="shared" si="0"/>
        <v/>
      </c>
      <c r="B55" s="157" t="str">
        <f t="shared" si="1"/>
        <v/>
      </c>
      <c r="C55" s="158" t="str">
        <f t="shared" si="2"/>
        <v/>
      </c>
      <c r="D55" s="158" t="str">
        <f t="shared" si="3"/>
        <v/>
      </c>
      <c r="E55" s="158" t="str">
        <f t="shared" si="4"/>
        <v/>
      </c>
      <c r="F55" s="158" t="str">
        <f t="shared" si="5"/>
        <v/>
      </c>
      <c r="G55" s="3"/>
    </row>
    <row r="56" spans="1:7" hidden="1" x14ac:dyDescent="0.3">
      <c r="A56" s="156" t="str">
        <f t="shared" si="0"/>
        <v/>
      </c>
      <c r="B56" s="157" t="str">
        <f t="shared" si="1"/>
        <v/>
      </c>
      <c r="C56" s="158" t="str">
        <f t="shared" si="2"/>
        <v/>
      </c>
      <c r="D56" s="158" t="str">
        <f t="shared" si="3"/>
        <v/>
      </c>
      <c r="E56" s="158" t="str">
        <f t="shared" si="4"/>
        <v/>
      </c>
      <c r="F56" s="158" t="str">
        <f t="shared" si="5"/>
        <v/>
      </c>
      <c r="G56" s="3"/>
    </row>
    <row r="57" spans="1:7" hidden="1" x14ac:dyDescent="0.3">
      <c r="A57" s="156" t="str">
        <f t="shared" si="0"/>
        <v/>
      </c>
      <c r="B57" s="157" t="str">
        <f t="shared" si="1"/>
        <v/>
      </c>
      <c r="C57" s="158" t="str">
        <f t="shared" si="2"/>
        <v/>
      </c>
      <c r="D57" s="158" t="str">
        <f t="shared" si="3"/>
        <v/>
      </c>
      <c r="E57" s="158" t="str">
        <f t="shared" si="4"/>
        <v/>
      </c>
      <c r="F57" s="158" t="str">
        <f t="shared" si="5"/>
        <v/>
      </c>
      <c r="G57" s="3"/>
    </row>
    <row r="58" spans="1:7" hidden="1" x14ac:dyDescent="0.3">
      <c r="A58" s="156" t="str">
        <f t="shared" si="0"/>
        <v/>
      </c>
      <c r="B58" s="157" t="str">
        <f t="shared" si="1"/>
        <v/>
      </c>
      <c r="C58" s="158" t="str">
        <f t="shared" si="2"/>
        <v/>
      </c>
      <c r="D58" s="158" t="str">
        <f t="shared" si="3"/>
        <v/>
      </c>
      <c r="E58" s="158" t="str">
        <f t="shared" si="4"/>
        <v/>
      </c>
      <c r="F58" s="158" t="str">
        <f t="shared" si="5"/>
        <v/>
      </c>
      <c r="G58" s="3"/>
    </row>
    <row r="59" spans="1:7" hidden="1" x14ac:dyDescent="0.3">
      <c r="A59" s="156" t="str">
        <f t="shared" si="0"/>
        <v/>
      </c>
      <c r="B59" s="157" t="str">
        <f t="shared" si="1"/>
        <v/>
      </c>
      <c r="C59" s="158" t="str">
        <f t="shared" si="2"/>
        <v/>
      </c>
      <c r="D59" s="158" t="str">
        <f t="shared" si="3"/>
        <v/>
      </c>
      <c r="E59" s="158" t="str">
        <f t="shared" si="4"/>
        <v/>
      </c>
      <c r="F59" s="158" t="str">
        <f t="shared" si="5"/>
        <v/>
      </c>
      <c r="G59" s="3"/>
    </row>
    <row r="60" spans="1:7" hidden="1" x14ac:dyDescent="0.3">
      <c r="A60" s="156" t="str">
        <f t="shared" si="0"/>
        <v/>
      </c>
      <c r="B60" s="157" t="str">
        <f t="shared" si="1"/>
        <v/>
      </c>
      <c r="C60" s="158" t="str">
        <f t="shared" si="2"/>
        <v/>
      </c>
      <c r="D60" s="158" t="str">
        <f t="shared" si="3"/>
        <v/>
      </c>
      <c r="E60" s="158" t="str">
        <f t="shared" si="4"/>
        <v/>
      </c>
      <c r="F60" s="158" t="str">
        <f t="shared" si="5"/>
        <v/>
      </c>
      <c r="G60" s="3"/>
    </row>
    <row r="61" spans="1:7" hidden="1" x14ac:dyDescent="0.3">
      <c r="A61" s="156" t="str">
        <f t="shared" si="0"/>
        <v/>
      </c>
      <c r="B61" s="157" t="str">
        <f t="shared" si="1"/>
        <v/>
      </c>
      <c r="C61" s="158" t="str">
        <f t="shared" si="2"/>
        <v/>
      </c>
      <c r="D61" s="158" t="str">
        <f t="shared" si="3"/>
        <v/>
      </c>
      <c r="E61" s="158" t="str">
        <f t="shared" si="4"/>
        <v/>
      </c>
      <c r="F61" s="158" t="str">
        <f t="shared" si="5"/>
        <v/>
      </c>
      <c r="G61" s="3"/>
    </row>
    <row r="62" spans="1:7" hidden="1" x14ac:dyDescent="0.3">
      <c r="A62" s="156" t="str">
        <f t="shared" si="0"/>
        <v/>
      </c>
      <c r="B62" s="157" t="str">
        <f t="shared" si="1"/>
        <v/>
      </c>
      <c r="C62" s="158" t="str">
        <f t="shared" si="2"/>
        <v/>
      </c>
      <c r="D62" s="158" t="str">
        <f t="shared" si="3"/>
        <v/>
      </c>
      <c r="E62" s="158" t="str">
        <f t="shared" si="4"/>
        <v/>
      </c>
      <c r="F62" s="158" t="str">
        <f t="shared" si="5"/>
        <v/>
      </c>
      <c r="G62" s="3"/>
    </row>
    <row r="63" spans="1:7" hidden="1" x14ac:dyDescent="0.3">
      <c r="A63" s="156" t="str">
        <f t="shared" si="0"/>
        <v/>
      </c>
      <c r="B63" s="157" t="str">
        <f t="shared" si="1"/>
        <v/>
      </c>
      <c r="C63" s="158" t="str">
        <f t="shared" si="2"/>
        <v/>
      </c>
      <c r="D63" s="158" t="str">
        <f t="shared" si="3"/>
        <v/>
      </c>
      <c r="E63" s="158" t="str">
        <f t="shared" si="4"/>
        <v/>
      </c>
      <c r="F63" s="158" t="str">
        <f t="shared" si="5"/>
        <v/>
      </c>
      <c r="G63" s="3"/>
    </row>
    <row r="64" spans="1:7" x14ac:dyDescent="0.3">
      <c r="A64" s="159" t="str">
        <f>"TOTAL — "&amp;COUNTIF($A$24:$A$63,"?*")&amp;" project(s) with time booked"</f>
        <v>TOTAL — 11 project(s) with time booked</v>
      </c>
      <c r="B64" s="160"/>
      <c r="C64" s="161">
        <f>SUM(C24:C63)</f>
        <v>5.7216216216216207</v>
      </c>
      <c r="D64" s="161">
        <f>SUM(D24:D63)</f>
        <v>5.9945945945945942</v>
      </c>
      <c r="E64" s="161">
        <f>SUM(E24:E63)</f>
        <v>6.1918918918918919</v>
      </c>
      <c r="F64" s="161">
        <f>SUM(F24:F63)</f>
        <v>17.908108108108106</v>
      </c>
      <c r="G64" s="3"/>
    </row>
    <row r="65" spans="1:7" x14ac:dyDescent="0.3">
      <c r="A65" s="3"/>
      <c r="B65" s="3"/>
      <c r="C65" s="3"/>
      <c r="D65" s="3"/>
      <c r="E65" s="3"/>
      <c r="F65" s="3"/>
      <c r="G65" s="3"/>
    </row>
    <row r="66" spans="1:7" x14ac:dyDescent="0.3">
      <c r="A66" s="3"/>
      <c r="B66" s="3"/>
      <c r="C66" s="3"/>
      <c r="D66" s="3"/>
      <c r="E66" s="3"/>
      <c r="F66" s="3"/>
      <c r="G66" s="3"/>
    </row>
    <row r="67" spans="1:7" x14ac:dyDescent="0.3">
      <c r="A67" s="3"/>
      <c r="B67" s="3"/>
      <c r="C67" s="3"/>
      <c r="D67" s="3"/>
      <c r="E67" s="3"/>
      <c r="F67" s="3"/>
      <c r="G67" s="3"/>
    </row>
    <row r="68" spans="1:7" x14ac:dyDescent="0.3">
      <c r="A68" s="3"/>
      <c r="B68" s="3"/>
      <c r="C68" s="3"/>
      <c r="D68" s="3"/>
      <c r="E68" s="3"/>
      <c r="F68" s="3"/>
      <c r="G68" s="3"/>
    </row>
    <row r="69" spans="1:7" x14ac:dyDescent="0.3">
      <c r="A69" s="3"/>
      <c r="B69" s="3"/>
      <c r="C69" s="3"/>
      <c r="D69" s="3"/>
      <c r="E69" s="3"/>
      <c r="F69" s="3"/>
      <c r="G69" s="3"/>
    </row>
    <row r="70" spans="1:7" x14ac:dyDescent="0.3">
      <c r="A70" s="3"/>
      <c r="B70" s="3"/>
      <c r="C70" s="3"/>
      <c r="D70" s="3"/>
      <c r="E70" s="3"/>
      <c r="F70" s="3"/>
      <c r="G70" s="3"/>
    </row>
    <row r="71" spans="1:7" x14ac:dyDescent="0.3">
      <c r="A71" s="3"/>
      <c r="B71" s="3"/>
      <c r="C71" s="3"/>
      <c r="D71" s="3"/>
      <c r="E71" s="3"/>
      <c r="F71" s="3"/>
      <c r="G71" s="3"/>
    </row>
    <row r="72" spans="1:7" x14ac:dyDescent="0.3">
      <c r="A72" s="3"/>
      <c r="B72" s="3"/>
      <c r="C72" s="3"/>
      <c r="D72" s="3"/>
      <c r="E72" s="3"/>
      <c r="F72" s="3"/>
      <c r="G72" s="3"/>
    </row>
    <row r="73" spans="1:7" x14ac:dyDescent="0.3">
      <c r="A73" s="3"/>
      <c r="B73" s="3"/>
      <c r="C73" s="3"/>
      <c r="D73" s="3"/>
      <c r="E73" s="3"/>
      <c r="F73" s="3"/>
      <c r="G73" s="3"/>
    </row>
    <row r="74" spans="1:7" x14ac:dyDescent="0.3">
      <c r="A74" s="3"/>
      <c r="B74" s="3"/>
      <c r="C74" s="3"/>
      <c r="D74" s="3"/>
      <c r="E74" s="3"/>
      <c r="F74" s="3"/>
      <c r="G74" s="3"/>
    </row>
    <row r="75" spans="1:7" x14ac:dyDescent="0.3">
      <c r="A75" s="3"/>
      <c r="B75" s="3"/>
      <c r="C75" s="3"/>
      <c r="D75" s="3"/>
      <c r="E75" s="3"/>
      <c r="F75" s="3"/>
      <c r="G75" s="3"/>
    </row>
    <row r="76" spans="1:7" x14ac:dyDescent="0.3">
      <c r="A76" s="3"/>
      <c r="B76" s="3"/>
      <c r="C76" s="3"/>
      <c r="D76" s="3"/>
      <c r="E76" s="3"/>
      <c r="F76" s="3"/>
      <c r="G76" s="3"/>
    </row>
    <row r="77" spans="1:7" x14ac:dyDescent="0.3">
      <c r="A77" s="3"/>
      <c r="B77" s="3"/>
      <c r="C77" s="3"/>
      <c r="D77" s="3"/>
      <c r="E77" s="3"/>
      <c r="F77" s="3"/>
      <c r="G77" s="3"/>
    </row>
    <row r="78" spans="1:7" x14ac:dyDescent="0.3">
      <c r="A78" s="3"/>
      <c r="B78" s="3"/>
      <c r="C78" s="3"/>
      <c r="D78" s="3"/>
      <c r="E78" s="3"/>
      <c r="F78" s="3"/>
      <c r="G78" s="3"/>
    </row>
    <row r="79" spans="1:7" x14ac:dyDescent="0.3">
      <c r="A79" s="3"/>
      <c r="B79" s="3"/>
      <c r="C79" s="3"/>
      <c r="D79" s="3"/>
      <c r="E79" s="3"/>
      <c r="F79" s="3"/>
      <c r="G79" s="3"/>
    </row>
    <row r="80" spans="1:7" x14ac:dyDescent="0.3">
      <c r="A80" s="3"/>
      <c r="B80" s="3"/>
      <c r="C80" s="3"/>
      <c r="D80" s="3"/>
      <c r="E80" s="3"/>
      <c r="F80" s="3"/>
      <c r="G80" s="3"/>
    </row>
    <row r="81" spans="1:7" x14ac:dyDescent="0.3">
      <c r="A81" s="3"/>
      <c r="B81" s="3"/>
      <c r="C81" s="3"/>
      <c r="D81" s="3"/>
      <c r="E81" s="3"/>
      <c r="F81" s="3"/>
      <c r="G81" s="3"/>
    </row>
    <row r="82" spans="1:7" x14ac:dyDescent="0.3">
      <c r="A82" s="3"/>
      <c r="B82" s="3"/>
      <c r="C82" s="3"/>
      <c r="D82" s="3"/>
      <c r="E82" s="3"/>
      <c r="F82" s="3"/>
      <c r="G82" s="3"/>
    </row>
    <row r="83" spans="1:7" x14ac:dyDescent="0.3">
      <c r="A83" s="3"/>
      <c r="B83" s="3"/>
      <c r="C83" s="3"/>
      <c r="D83" s="3"/>
      <c r="E83" s="3"/>
      <c r="F83" s="3"/>
      <c r="G83" s="3"/>
    </row>
    <row r="84" spans="1:7" x14ac:dyDescent="0.3">
      <c r="A84" s="3"/>
      <c r="B84" s="3"/>
      <c r="C84" s="3"/>
      <c r="D84" s="3"/>
      <c r="E84" s="3"/>
      <c r="F84" s="3"/>
      <c r="G84" s="3"/>
    </row>
    <row r="85" spans="1:7" x14ac:dyDescent="0.3">
      <c r="A85" s="3"/>
      <c r="B85" s="3"/>
      <c r="C85" s="3"/>
      <c r="D85" s="3"/>
      <c r="E85" s="3"/>
      <c r="F85" s="3"/>
      <c r="G85" s="3"/>
    </row>
    <row r="86" spans="1:7" x14ac:dyDescent="0.3">
      <c r="A86" s="3"/>
      <c r="B86" s="3"/>
      <c r="C86" s="3"/>
      <c r="D86" s="3"/>
      <c r="E86" s="3"/>
      <c r="F86" s="3"/>
      <c r="G86" s="3"/>
    </row>
    <row r="87" spans="1:7" x14ac:dyDescent="0.3">
      <c r="A87" s="3"/>
      <c r="B87" s="3"/>
      <c r="C87" s="3"/>
      <c r="D87" s="3"/>
      <c r="E87" s="3"/>
      <c r="F87" s="3"/>
      <c r="G87" s="3"/>
    </row>
    <row r="88" spans="1:7" x14ac:dyDescent="0.3">
      <c r="A88" s="3"/>
      <c r="B88" s="3"/>
      <c r="C88" s="3"/>
      <c r="D88" s="3"/>
      <c r="E88" s="3"/>
      <c r="F88" s="3"/>
      <c r="G88" s="3"/>
    </row>
    <row r="89" spans="1:7" x14ac:dyDescent="0.3">
      <c r="A89" s="3"/>
      <c r="B89" s="3"/>
      <c r="C89" s="3"/>
      <c r="D89" s="3"/>
      <c r="E89" s="3"/>
      <c r="F89" s="3"/>
      <c r="G89" s="3"/>
    </row>
    <row r="90" spans="1:7" x14ac:dyDescent="0.3">
      <c r="A90" s="3"/>
      <c r="B90" s="3"/>
      <c r="C90" s="3"/>
      <c r="D90" s="3"/>
      <c r="E90" s="3"/>
      <c r="F90" s="3"/>
      <c r="G90" s="3"/>
    </row>
    <row r="91" spans="1:7" x14ac:dyDescent="0.3">
      <c r="A91" s="3"/>
      <c r="B91" s="3"/>
      <c r="C91" s="3"/>
      <c r="D91" s="3"/>
      <c r="E91" s="3"/>
      <c r="F91" s="3"/>
      <c r="G91" s="3"/>
    </row>
    <row r="92" spans="1:7" x14ac:dyDescent="0.3">
      <c r="A92" s="3"/>
      <c r="B92" s="3"/>
      <c r="C92" s="3"/>
      <c r="D92" s="3"/>
      <c r="E92" s="3"/>
      <c r="F92" s="3"/>
      <c r="G92" s="3"/>
    </row>
    <row r="93" spans="1:7" x14ac:dyDescent="0.3">
      <c r="A93" s="3"/>
      <c r="B93" s="3"/>
      <c r="C93" s="3"/>
      <c r="D93" s="3"/>
      <c r="E93" s="3"/>
      <c r="F93" s="3"/>
      <c r="G93" s="3"/>
    </row>
    <row r="94" spans="1:7" x14ac:dyDescent="0.3">
      <c r="A94" s="3"/>
      <c r="B94" s="3"/>
      <c r="C94" s="3"/>
      <c r="D94" s="3"/>
      <c r="E94" s="3"/>
      <c r="F94" s="3"/>
      <c r="G94" s="3"/>
    </row>
    <row r="95" spans="1:7" x14ac:dyDescent="0.3">
      <c r="A95" s="3"/>
      <c r="B95" s="3"/>
      <c r="C95" s="3"/>
      <c r="D95" s="3"/>
      <c r="E95" s="3"/>
      <c r="F95" s="3"/>
      <c r="G95" s="3"/>
    </row>
    <row r="96" spans="1:7" x14ac:dyDescent="0.3">
      <c r="A96" s="3"/>
      <c r="B96" s="3"/>
      <c r="C96" s="3"/>
      <c r="D96" s="3"/>
      <c r="E96" s="3"/>
      <c r="F96" s="3"/>
      <c r="G96" s="3"/>
    </row>
    <row r="97" spans="1:7" x14ac:dyDescent="0.3">
      <c r="A97" s="3"/>
      <c r="B97" s="3"/>
      <c r="C97" s="3"/>
      <c r="D97" s="3"/>
      <c r="E97" s="3"/>
      <c r="F97" s="3"/>
      <c r="G97" s="3"/>
    </row>
    <row r="98" spans="1:7" x14ac:dyDescent="0.3">
      <c r="A98" s="3"/>
      <c r="B98" s="3"/>
      <c r="C98" s="3"/>
      <c r="D98" s="3"/>
      <c r="E98" s="3"/>
      <c r="F98" s="3"/>
      <c r="G98" s="3"/>
    </row>
    <row r="99" spans="1:7" x14ac:dyDescent="0.3">
      <c r="A99" s="3"/>
      <c r="B99" s="3"/>
      <c r="C99" s="3"/>
      <c r="D99" s="3"/>
      <c r="E99" s="3"/>
      <c r="F99" s="3"/>
      <c r="G99" s="3"/>
    </row>
    <row r="100" spans="1:7" x14ac:dyDescent="0.3">
      <c r="A100" s="3"/>
      <c r="B100" s="3"/>
      <c r="C100" s="3"/>
      <c r="D100" s="3"/>
      <c r="E100" s="3"/>
      <c r="F100" s="3"/>
      <c r="G100" s="3"/>
    </row>
    <row r="101" spans="1:7" x14ac:dyDescent="0.3">
      <c r="A101" s="3"/>
      <c r="B101" s="3"/>
      <c r="C101" s="3"/>
      <c r="D101" s="3"/>
      <c r="E101" s="3"/>
      <c r="F101" s="3"/>
      <c r="G101" s="3"/>
    </row>
    <row r="102" spans="1:7" x14ac:dyDescent="0.3">
      <c r="A102" s="3"/>
      <c r="B102" s="3"/>
      <c r="C102" s="3"/>
      <c r="D102" s="3"/>
      <c r="E102" s="3"/>
      <c r="F102" s="3"/>
      <c r="G102" s="3"/>
    </row>
    <row r="103" spans="1:7" x14ac:dyDescent="0.3">
      <c r="A103" s="3"/>
      <c r="B103" s="3"/>
      <c r="C103" s="3"/>
      <c r="D103" s="3"/>
      <c r="E103" s="3"/>
      <c r="F103" s="3"/>
      <c r="G103" s="3"/>
    </row>
    <row r="104" spans="1:7" x14ac:dyDescent="0.3">
      <c r="A104" s="3"/>
      <c r="B104" s="3"/>
      <c r="C104" s="3"/>
      <c r="D104" s="3"/>
      <c r="E104" s="3"/>
      <c r="F104" s="3"/>
      <c r="G104" s="3"/>
    </row>
    <row r="105" spans="1:7" x14ac:dyDescent="0.3">
      <c r="A105" s="3"/>
      <c r="B105" s="3"/>
      <c r="C105" s="3"/>
      <c r="D105" s="3"/>
      <c r="E105" s="3"/>
      <c r="F105" s="3"/>
      <c r="G105" s="3"/>
    </row>
    <row r="106" spans="1:7" x14ac:dyDescent="0.3">
      <c r="A106" s="3"/>
      <c r="B106" s="3"/>
      <c r="C106" s="3"/>
      <c r="D106" s="3"/>
      <c r="E106" s="3"/>
      <c r="F106" s="3"/>
      <c r="G106" s="3"/>
    </row>
    <row r="107" spans="1:7" x14ac:dyDescent="0.3">
      <c r="A107" s="3"/>
      <c r="B107" s="3"/>
      <c r="C107" s="3"/>
      <c r="D107" s="3"/>
      <c r="E107" s="3"/>
      <c r="F107" s="3"/>
      <c r="G107" s="3"/>
    </row>
    <row r="108" spans="1:7" x14ac:dyDescent="0.3">
      <c r="A108" s="3"/>
      <c r="B108" s="3"/>
      <c r="C108" s="3"/>
      <c r="D108" s="3"/>
      <c r="E108" s="3"/>
      <c r="F108" s="3"/>
      <c r="G108" s="3"/>
    </row>
    <row r="109" spans="1:7" x14ac:dyDescent="0.3">
      <c r="A109" s="3"/>
      <c r="B109" s="3"/>
      <c r="C109" s="3"/>
      <c r="D109" s="3"/>
      <c r="E109" s="3"/>
      <c r="F109" s="3"/>
      <c r="G109" s="3"/>
    </row>
    <row r="110" spans="1:7" x14ac:dyDescent="0.3">
      <c r="A110" s="3"/>
      <c r="B110" s="3"/>
      <c r="C110" s="3"/>
      <c r="D110" s="3"/>
      <c r="E110" s="3"/>
      <c r="F110" s="3"/>
      <c r="G110" s="3"/>
    </row>
    <row r="111" spans="1:7" x14ac:dyDescent="0.3">
      <c r="E111" s="3"/>
      <c r="F111" s="3"/>
      <c r="G111" s="3"/>
    </row>
    <row r="112" spans="1:7" x14ac:dyDescent="0.3">
      <c r="E112" s="3"/>
      <c r="F112" s="3"/>
      <c r="G112" s="3"/>
    </row>
    <row r="113" spans="5:7" x14ac:dyDescent="0.3">
      <c r="E113" s="3"/>
      <c r="F113" s="3"/>
      <c r="G113" s="3"/>
    </row>
    <row r="114" spans="5:7" x14ac:dyDescent="0.3">
      <c r="E114" s="3"/>
      <c r="F114" s="3"/>
      <c r="G114" s="3"/>
    </row>
    <row r="115" spans="5:7" x14ac:dyDescent="0.3">
      <c r="E115" s="3"/>
      <c r="F115" s="3"/>
      <c r="G115" s="3"/>
    </row>
    <row r="116" spans="5:7" x14ac:dyDescent="0.3">
      <c r="E116" s="3"/>
      <c r="F116" s="3"/>
      <c r="G116" s="3"/>
    </row>
    <row r="117" spans="5:7" x14ac:dyDescent="0.3">
      <c r="E117" s="3"/>
      <c r="F117" s="3"/>
      <c r="G117" s="3"/>
    </row>
    <row r="118" spans="5:7" x14ac:dyDescent="0.3">
      <c r="E118" s="3"/>
      <c r="F118" s="3"/>
      <c r="G118" s="3"/>
    </row>
    <row r="119" spans="5:7" x14ac:dyDescent="0.3">
      <c r="E119" s="3"/>
      <c r="F119" s="3"/>
      <c r="G119" s="3"/>
    </row>
    <row r="120" spans="5:7" x14ac:dyDescent="0.3">
      <c r="E120" s="3"/>
      <c r="F120" s="3"/>
      <c r="G120" s="3"/>
    </row>
    <row r="121" spans="5:7" x14ac:dyDescent="0.3">
      <c r="E121" s="3"/>
      <c r="F121" s="3"/>
      <c r="G121" s="3"/>
    </row>
    <row r="122" spans="5:7" x14ac:dyDescent="0.3">
      <c r="E122" s="3"/>
      <c r="F122" s="3"/>
      <c r="G122" s="3"/>
    </row>
    <row r="123" spans="5:7" x14ac:dyDescent="0.3">
      <c r="E123" s="3"/>
      <c r="F123" s="3"/>
      <c r="G123" s="3"/>
    </row>
    <row r="124" spans="5:7" x14ac:dyDescent="0.3">
      <c r="E124" s="3"/>
      <c r="F124" s="3"/>
      <c r="G124" s="3"/>
    </row>
    <row r="125" spans="5:7" x14ac:dyDescent="0.3">
      <c r="E125" s="3"/>
      <c r="F125" s="3"/>
      <c r="G125" s="3"/>
    </row>
    <row r="126" spans="5:7" x14ac:dyDescent="0.3">
      <c r="E126" s="3"/>
      <c r="F126" s="3"/>
      <c r="G126" s="3"/>
    </row>
    <row r="127" spans="5:7" x14ac:dyDescent="0.3">
      <c r="E127" s="3"/>
      <c r="F127" s="3"/>
      <c r="G127" s="3"/>
    </row>
    <row r="128" spans="5:7" x14ac:dyDescent="0.3">
      <c r="E128" s="3"/>
      <c r="F128" s="3"/>
      <c r="G128" s="3"/>
    </row>
    <row r="129" spans="5:7" x14ac:dyDescent="0.3">
      <c r="E129" s="3"/>
      <c r="F129" s="3"/>
      <c r="G129" s="3"/>
    </row>
    <row r="130" spans="5:7" x14ac:dyDescent="0.3">
      <c r="E130" s="3"/>
      <c r="F130" s="3"/>
      <c r="G130" s="3"/>
    </row>
    <row r="131" spans="5:7" x14ac:dyDescent="0.3">
      <c r="E131" s="3"/>
      <c r="F131" s="3"/>
      <c r="G131" s="3"/>
    </row>
    <row r="132" spans="5:7" x14ac:dyDescent="0.3">
      <c r="E132" s="3"/>
      <c r="F132" s="3"/>
      <c r="G132" s="3"/>
    </row>
    <row r="133" spans="5:7" x14ac:dyDescent="0.3">
      <c r="E133" s="3"/>
      <c r="F133" s="3"/>
      <c r="G133" s="3"/>
    </row>
    <row r="134" spans="5:7" x14ac:dyDescent="0.3">
      <c r="E134" s="3"/>
      <c r="F134" s="3"/>
      <c r="G134" s="3"/>
    </row>
    <row r="135" spans="5:7" x14ac:dyDescent="0.3">
      <c r="E135" s="3"/>
      <c r="F135" s="3"/>
      <c r="G135" s="3"/>
    </row>
    <row r="136" spans="5:7" x14ac:dyDescent="0.3">
      <c r="E136" s="3"/>
      <c r="F136" s="3"/>
      <c r="G136" s="3"/>
    </row>
    <row r="137" spans="5:7" x14ac:dyDescent="0.3">
      <c r="E137" s="3"/>
      <c r="F137" s="3"/>
      <c r="G137" s="3"/>
    </row>
    <row r="138" spans="5:7" x14ac:dyDescent="0.3">
      <c r="E138" s="3"/>
      <c r="F138" s="3"/>
      <c r="G138" s="3"/>
    </row>
    <row r="139" spans="5:7" x14ac:dyDescent="0.3">
      <c r="E139" s="3"/>
      <c r="F139" s="3"/>
      <c r="G139" s="3"/>
    </row>
    <row r="140" spans="5:7" x14ac:dyDescent="0.3">
      <c r="E140" s="3"/>
      <c r="F140" s="3"/>
      <c r="G140" s="3"/>
    </row>
    <row r="141" spans="5:7" x14ac:dyDescent="0.3">
      <c r="E141" s="3"/>
      <c r="F141" s="3"/>
      <c r="G141" s="3"/>
    </row>
    <row r="142" spans="5:7" x14ac:dyDescent="0.3">
      <c r="E142" s="3"/>
      <c r="F142" s="3"/>
      <c r="G142" s="3"/>
    </row>
    <row r="143" spans="5:7" x14ac:dyDescent="0.3">
      <c r="E143" s="3"/>
      <c r="F143" s="3"/>
      <c r="G143" s="3"/>
    </row>
    <row r="144" spans="5:7" x14ac:dyDescent="0.3">
      <c r="E144" s="3"/>
      <c r="F144" s="3"/>
      <c r="G144" s="3"/>
    </row>
    <row r="145" spans="1:7" x14ac:dyDescent="0.3">
      <c r="A145" s="3"/>
      <c r="B145" s="3"/>
      <c r="C145" s="3"/>
      <c r="D145" s="3"/>
      <c r="E145" s="3"/>
      <c r="F145" s="3"/>
      <c r="G145" s="3"/>
    </row>
    <row r="146" spans="1:7" x14ac:dyDescent="0.3">
      <c r="A146" s="3"/>
      <c r="B146" s="3"/>
      <c r="C146" s="3"/>
      <c r="D146" s="3"/>
      <c r="E146" s="3"/>
      <c r="F146" s="3"/>
      <c r="G146" s="3"/>
    </row>
    <row r="147" spans="1:7" x14ac:dyDescent="0.3">
      <c r="A147" s="3"/>
      <c r="B147" s="3"/>
      <c r="C147" s="3"/>
      <c r="D147" s="3"/>
      <c r="E147" s="3"/>
      <c r="F147" s="3"/>
      <c r="G147" s="3"/>
    </row>
    <row r="148" spans="1:7" x14ac:dyDescent="0.3">
      <c r="A148" s="3"/>
      <c r="B148" s="3"/>
      <c r="C148" s="3"/>
      <c r="D148" s="3"/>
      <c r="E148" s="3"/>
      <c r="F148" s="3"/>
      <c r="G148" s="3"/>
    </row>
    <row r="149" spans="1:7" x14ac:dyDescent="0.3">
      <c r="A149" s="3"/>
      <c r="B149" s="3"/>
      <c r="C149" s="3"/>
      <c r="D149" s="3"/>
      <c r="E149" s="3"/>
      <c r="F149" s="3"/>
      <c r="G149" s="3"/>
    </row>
    <row r="150" spans="1:7" x14ac:dyDescent="0.3">
      <c r="A150" s="3"/>
      <c r="B150" s="3"/>
      <c r="C150" s="3"/>
      <c r="D150" s="3"/>
      <c r="E150" s="3"/>
      <c r="F150" s="3"/>
      <c r="G150" s="3"/>
    </row>
    <row r="151" spans="1:7" x14ac:dyDescent="0.3">
      <c r="A151" s="3"/>
      <c r="B151" s="3"/>
      <c r="C151" s="3"/>
      <c r="D151" s="3"/>
      <c r="E151" s="3"/>
      <c r="F151" s="3"/>
      <c r="G151" s="3"/>
    </row>
    <row r="152" spans="1:7" x14ac:dyDescent="0.3">
      <c r="A152" s="3"/>
      <c r="B152" s="3"/>
      <c r="C152" s="3"/>
      <c r="D152" s="3"/>
      <c r="E152" s="3"/>
      <c r="F152" s="3"/>
      <c r="G152" s="3"/>
    </row>
    <row r="153" spans="1:7" x14ac:dyDescent="0.3">
      <c r="A153" s="3"/>
      <c r="B153" s="3"/>
      <c r="C153" s="3"/>
      <c r="D153" s="3"/>
      <c r="E153" s="3"/>
      <c r="F153" s="3"/>
      <c r="G153" s="3"/>
    </row>
    <row r="154" spans="1:7" x14ac:dyDescent="0.3">
      <c r="A154" s="3"/>
      <c r="B154" s="3"/>
      <c r="C154" s="3"/>
      <c r="D154" s="3"/>
      <c r="E154" s="3"/>
      <c r="F154" s="3"/>
      <c r="G154" s="3"/>
    </row>
    <row r="155" spans="1:7" x14ac:dyDescent="0.3">
      <c r="A155" s="3"/>
      <c r="B155" s="3"/>
      <c r="C155" s="3"/>
      <c r="D155" s="3"/>
      <c r="E155" s="3"/>
      <c r="F155" s="3"/>
      <c r="G155" s="3"/>
    </row>
    <row r="156" spans="1:7" x14ac:dyDescent="0.3">
      <c r="A156" s="3"/>
      <c r="B156" s="3"/>
      <c r="C156" s="3"/>
      <c r="D156" s="3"/>
      <c r="E156" s="3"/>
      <c r="F156" s="3"/>
      <c r="G156" s="3"/>
    </row>
    <row r="157" spans="1:7" x14ac:dyDescent="0.3">
      <c r="A157" s="3"/>
      <c r="B157" s="3"/>
      <c r="C157" s="3"/>
      <c r="D157" s="3"/>
      <c r="E157" s="3"/>
      <c r="F157" s="3"/>
      <c r="G157" s="3"/>
    </row>
    <row r="158" spans="1:7" x14ac:dyDescent="0.3">
      <c r="A158" s="3"/>
      <c r="B158" s="3"/>
      <c r="C158" s="3"/>
      <c r="D158" s="3"/>
      <c r="E158" s="3"/>
      <c r="F158" s="3"/>
      <c r="G158" s="3"/>
    </row>
    <row r="159" spans="1:7" x14ac:dyDescent="0.3">
      <c r="A159" s="3"/>
      <c r="B159" s="3"/>
      <c r="C159" s="3"/>
      <c r="D159" s="3"/>
      <c r="E159" s="3"/>
      <c r="F159" s="3"/>
      <c r="G159" s="3"/>
    </row>
    <row r="160" spans="1:7" x14ac:dyDescent="0.3">
      <c r="A160" s="3"/>
      <c r="B160" s="3"/>
      <c r="C160" s="3"/>
      <c r="D160" s="3"/>
      <c r="E160" s="3"/>
      <c r="F160" s="3"/>
      <c r="G160" s="3"/>
    </row>
    <row r="161" spans="1:7" x14ac:dyDescent="0.3">
      <c r="A161" s="3"/>
      <c r="B161" s="3"/>
      <c r="C161" s="3"/>
      <c r="D161" s="3"/>
      <c r="E161" s="3"/>
      <c r="F161" s="3"/>
      <c r="G161" s="3"/>
    </row>
    <row r="162" spans="1:7" x14ac:dyDescent="0.3">
      <c r="A162" s="3"/>
      <c r="B162" s="3"/>
      <c r="C162" s="3"/>
      <c r="D162" s="3"/>
      <c r="E162" s="3"/>
      <c r="F162" s="3"/>
      <c r="G162" s="3"/>
    </row>
    <row r="163" spans="1:7" x14ac:dyDescent="0.3">
      <c r="A163" s="3"/>
      <c r="B163" s="3"/>
      <c r="C163" s="3"/>
      <c r="D163" s="3"/>
      <c r="E163" s="3"/>
      <c r="F163" s="3"/>
      <c r="G163" s="3"/>
    </row>
    <row r="164" spans="1:7" x14ac:dyDescent="0.3">
      <c r="A164" s="3"/>
      <c r="B164" s="3"/>
      <c r="C164" s="3"/>
      <c r="D164" s="3"/>
      <c r="E164" s="3"/>
      <c r="F164" s="3"/>
      <c r="G164" s="3"/>
    </row>
    <row r="165" spans="1:7" x14ac:dyDescent="0.3">
      <c r="A165" s="3"/>
      <c r="B165" s="3"/>
      <c r="C165" s="3"/>
      <c r="D165" s="3"/>
      <c r="E165" s="3"/>
      <c r="F165" s="3"/>
      <c r="G165" s="3"/>
    </row>
    <row r="166" spans="1:7" x14ac:dyDescent="0.3">
      <c r="A166" s="3"/>
      <c r="B166" s="3"/>
      <c r="C166" s="3"/>
      <c r="D166" s="3"/>
      <c r="E166" s="3"/>
      <c r="F166" s="3"/>
      <c r="G166" s="3"/>
    </row>
    <row r="167" spans="1:7" x14ac:dyDescent="0.3">
      <c r="A167" s="3"/>
      <c r="B167" s="3"/>
      <c r="C167" s="3"/>
      <c r="D167" s="3"/>
      <c r="E167" s="3"/>
      <c r="F167" s="3"/>
      <c r="G167" s="3"/>
    </row>
    <row r="168" spans="1:7" x14ac:dyDescent="0.3">
      <c r="A168" s="3"/>
      <c r="B168" s="3"/>
      <c r="C168" s="3"/>
      <c r="D168" s="3"/>
      <c r="E168" s="3"/>
      <c r="F168" s="3"/>
      <c r="G168" s="3"/>
    </row>
    <row r="169" spans="1:7" x14ac:dyDescent="0.3">
      <c r="A169" s="3"/>
      <c r="B169" s="3"/>
      <c r="C169" s="3"/>
      <c r="D169" s="3"/>
      <c r="E169" s="3"/>
      <c r="F169" s="3"/>
      <c r="G169" s="3"/>
    </row>
    <row r="170" spans="1:7" x14ac:dyDescent="0.3">
      <c r="A170" s="3"/>
      <c r="B170" s="3"/>
      <c r="C170" s="3"/>
      <c r="D170" s="3"/>
      <c r="E170" s="3"/>
      <c r="F170" s="3"/>
      <c r="G170" s="3"/>
    </row>
    <row r="171" spans="1:7" x14ac:dyDescent="0.3">
      <c r="A171" s="3"/>
      <c r="B171" s="3"/>
      <c r="C171" s="3"/>
      <c r="D171" s="3"/>
      <c r="E171" s="3"/>
      <c r="F171" s="3"/>
      <c r="G171" s="3"/>
    </row>
    <row r="172" spans="1:7" x14ac:dyDescent="0.3">
      <c r="A172" s="3"/>
      <c r="B172" s="3"/>
      <c r="C172" s="3"/>
      <c r="D172" s="3"/>
      <c r="E172" s="3"/>
      <c r="F172" s="3"/>
      <c r="G172" s="3"/>
    </row>
    <row r="173" spans="1:7" x14ac:dyDescent="0.3">
      <c r="A173" s="3"/>
      <c r="B173" s="3"/>
      <c r="C173" s="3"/>
      <c r="D173" s="3"/>
      <c r="E173" s="3"/>
      <c r="F173" s="3"/>
      <c r="G173" s="3"/>
    </row>
    <row r="174" spans="1:7" x14ac:dyDescent="0.3">
      <c r="A174" s="3"/>
      <c r="B174" s="3"/>
      <c r="C174" s="3"/>
      <c r="D174" s="3"/>
      <c r="E174" s="3"/>
      <c r="F174" s="3"/>
      <c r="G174" s="3"/>
    </row>
    <row r="175" spans="1:7" x14ac:dyDescent="0.3">
      <c r="A175" s="3"/>
      <c r="B175" s="3"/>
      <c r="C175" s="3"/>
      <c r="D175" s="3"/>
      <c r="E175" s="3"/>
      <c r="F175" s="3"/>
      <c r="G175" s="3"/>
    </row>
    <row r="176" spans="1:7" x14ac:dyDescent="0.3">
      <c r="A176" s="3"/>
      <c r="B176" s="3"/>
      <c r="C176" s="3"/>
      <c r="D176" s="3"/>
      <c r="E176" s="3"/>
      <c r="F176" s="3"/>
      <c r="G176" s="3"/>
    </row>
    <row r="177" spans="1:7" x14ac:dyDescent="0.3">
      <c r="A177" s="3"/>
      <c r="B177" s="3"/>
      <c r="C177" s="3"/>
      <c r="D177" s="3"/>
      <c r="E177" s="3"/>
      <c r="F177" s="3"/>
      <c r="G177" s="3"/>
    </row>
    <row r="178" spans="1:7" x14ac:dyDescent="0.3">
      <c r="A178" s="3"/>
      <c r="B178" s="3"/>
      <c r="C178" s="3"/>
      <c r="D178" s="3"/>
      <c r="E178" s="3"/>
      <c r="F178" s="3"/>
      <c r="G178" s="3"/>
    </row>
    <row r="179" spans="1:7" x14ac:dyDescent="0.3">
      <c r="A179" s="97" t="s">
        <v>272</v>
      </c>
      <c r="B179" s="97"/>
      <c r="C179" s="97"/>
      <c r="D179" s="97"/>
      <c r="E179" s="97"/>
      <c r="F179" s="97"/>
      <c r="G179" s="97"/>
    </row>
    <row r="180" spans="1:7" x14ac:dyDescent="0.3">
      <c r="A180" s="99" t="s">
        <v>35</v>
      </c>
      <c r="B180" s="99" t="s">
        <v>20</v>
      </c>
      <c r="C180" s="99" t="s">
        <v>24</v>
      </c>
      <c r="D180" s="99" t="s">
        <v>10</v>
      </c>
      <c r="E180" s="99" t="s">
        <v>11</v>
      </c>
      <c r="F180" s="99" t="s">
        <v>4</v>
      </c>
      <c r="G180" s="99" t="s">
        <v>116</v>
      </c>
    </row>
    <row r="181" spans="1:7" x14ac:dyDescent="0.3">
      <c r="A181" s="97" t="str">
        <f>IF(Inputs!$A6="","",Inputs!$A6)</f>
        <v>N25178-0100D</v>
      </c>
      <c r="B181" s="97" t="str">
        <f>IF($A181="","",Inputs!$F6)</f>
        <v>Active</v>
      </c>
      <c r="C181" s="102">
        <f>IF($A181="",0,IF(Dashboard!$B$5="All Time",Phasing!$Y265,IF(Dashboard!$B$5="Year",SUMIF(Phasing!$E$3:$X$3,Dashboard!$D$5,Phasing!$E265:$X265),SUMIF(Phasing!$E$4:$X$4,Dashboard!$B$6,Phasing!$E265:$X265))))</f>
        <v>0</v>
      </c>
      <c r="D181" s="102">
        <f>IF($A181="",0,IF(Dashboard!$B$5="All Time",Phasing!$Y266,IF(Dashboard!$B$5="Year",SUMIF(Phasing!$E$3:$X$3,Dashboard!$D$5,Phasing!$E266:$X266),SUMIF(Phasing!$E$4:$X$4,Dashboard!$B$6,Phasing!$E266:$X266))))</f>
        <v>0</v>
      </c>
      <c r="E181" s="102">
        <f>IF($A181="",0,IF(Dashboard!$B$5="All Time",Phasing!$Y267,IF(Dashboard!$B$5="Year",SUMIF(Phasing!$E$3:$X$3,Dashboard!$D$5,Phasing!$E267:$X267),SUMIF(Phasing!$E$4:$X$4,Dashboard!$B$6,Phasing!$E267:$X267))))</f>
        <v>0</v>
      </c>
      <c r="F181" s="102">
        <f t="shared" ref="F181:F212" si="6">SUM($C181:$E181)</f>
        <v>0</v>
      </c>
      <c r="G181" s="97" t="str">
        <f>IF($F181&lt;=0,"",COUNTIF($F$181:$F181,"&gt;0"))</f>
        <v/>
      </c>
    </row>
    <row r="182" spans="1:7" x14ac:dyDescent="0.3">
      <c r="A182" s="97" t="str">
        <f>IF(Inputs!$A7="","",Inputs!$A7)</f>
        <v>E26084-0100D</v>
      </c>
      <c r="B182" s="97" t="str">
        <f>IF($A182="","",Inputs!$F7)</f>
        <v>Active</v>
      </c>
      <c r="C182" s="102">
        <f>IF($A182="",0,IF(Dashboard!$B$5="All Time",Phasing!$Y268,IF(Dashboard!$B$5="Year",SUMIF(Phasing!$E$3:$X$3,Dashboard!$D$5,Phasing!$E268:$X268),SUMIF(Phasing!$E$4:$X$4,Dashboard!$B$6,Phasing!$E268:$X268))))</f>
        <v>0</v>
      </c>
      <c r="D182" s="102">
        <f>IF($A182="",0,IF(Dashboard!$B$5="All Time",Phasing!$Y269,IF(Dashboard!$B$5="Year",SUMIF(Phasing!$E$3:$X$3,Dashboard!$D$5,Phasing!$E269:$X269),SUMIF(Phasing!$E$4:$X$4,Dashboard!$B$6,Phasing!$E269:$X269))))</f>
        <v>0.22567567567567567</v>
      </c>
      <c r="E182" s="102">
        <f>IF($A182="",0,IF(Dashboard!$B$5="All Time",Phasing!$Y270,IF(Dashboard!$B$5="Year",SUMIF(Phasing!$E$3:$X$3,Dashboard!$D$5,Phasing!$E270:$X270),SUMIF(Phasing!$E$4:$X$4,Dashboard!$B$6,Phasing!$E270:$X270))))</f>
        <v>0</v>
      </c>
      <c r="F182" s="102">
        <f t="shared" si="6"/>
        <v>0.22567567567567567</v>
      </c>
      <c r="G182" s="97">
        <f>IF($F182&lt;=0,"",COUNTIF($F$181:$F182,"&gt;0"))</f>
        <v>1</v>
      </c>
    </row>
    <row r="183" spans="1:7" x14ac:dyDescent="0.3">
      <c r="A183" s="97" t="str">
        <f>IF(Inputs!$A8="","",Inputs!$A8)</f>
        <v>N25185-0100D</v>
      </c>
      <c r="B183" s="97" t="str">
        <f>IF($A183="","",Inputs!$F8)</f>
        <v>Active</v>
      </c>
      <c r="C183" s="102">
        <f>IF($A183="",0,IF(Dashboard!$B$5="All Time",Phasing!$Y271,IF(Dashboard!$B$5="Year",SUMIF(Phasing!$E$3:$X$3,Dashboard!$D$5,Phasing!$E271:$X271),SUMIF(Phasing!$E$4:$X$4,Dashboard!$B$6,Phasing!$E271:$X271))))</f>
        <v>5.0999999999999996</v>
      </c>
      <c r="D183" s="102">
        <f>IF($A183="",0,IF(Dashboard!$B$5="All Time",Phasing!$Y272,IF(Dashboard!$B$5="Year",SUMIF(Phasing!$E$3:$X$3,Dashboard!$D$5,Phasing!$E272:$X272),SUMIF(Phasing!$E$4:$X$4,Dashboard!$B$6,Phasing!$E272:$X272))))</f>
        <v>5.4189189189189193</v>
      </c>
      <c r="E183" s="102">
        <f>IF($A183="",0,IF(Dashboard!$B$5="All Time",Phasing!$Y273,IF(Dashboard!$B$5="Year",SUMIF(Phasing!$E$3:$X$3,Dashboard!$D$5,Phasing!$E273:$X273),SUMIF(Phasing!$E$4:$X$4,Dashboard!$B$6,Phasing!$E273:$X273))))</f>
        <v>2.9986486486486488</v>
      </c>
      <c r="F183" s="102">
        <f t="shared" si="6"/>
        <v>13.517567567567568</v>
      </c>
      <c r="G183" s="97">
        <f>IF($F183&lt;=0,"",COUNTIF($F$181:$F183,"&gt;0"))</f>
        <v>2</v>
      </c>
    </row>
    <row r="184" spans="1:7" x14ac:dyDescent="0.3">
      <c r="A184" s="97" t="str">
        <f>IF(Inputs!$A9="","",Inputs!$A9)</f>
        <v>AN22137-0100D</v>
      </c>
      <c r="B184" s="97" t="str">
        <f>IF($A184="","",Inputs!$F9)</f>
        <v>Not Started</v>
      </c>
      <c r="C184" s="102">
        <f>IF($A184="",0,IF(Dashboard!$B$5="All Time",Phasing!$Y274,IF(Dashboard!$B$5="Year",SUMIF(Phasing!$E$3:$X$3,Dashboard!$D$5,Phasing!$E274:$X274),SUMIF(Phasing!$E$4:$X$4,Dashboard!$B$6,Phasing!$E274:$X274))))</f>
        <v>0</v>
      </c>
      <c r="D184" s="102">
        <f>IF($A184="",0,IF(Dashboard!$B$5="All Time",Phasing!$Y275,IF(Dashboard!$B$5="Year",SUMIF(Phasing!$E$3:$X$3,Dashboard!$D$5,Phasing!$E275:$X275),SUMIF(Phasing!$E$4:$X$4,Dashboard!$B$6,Phasing!$E275:$X275))))</f>
        <v>0</v>
      </c>
      <c r="E184" s="102">
        <f>IF($A184="",0,IF(Dashboard!$B$5="All Time",Phasing!$Y276,IF(Dashboard!$B$5="Year",SUMIF(Phasing!$E$3:$X$3,Dashboard!$D$5,Phasing!$E276:$X276),SUMIF(Phasing!$E$4:$X$4,Dashboard!$B$6,Phasing!$E276:$X276))))</f>
        <v>0</v>
      </c>
      <c r="F184" s="102">
        <f t="shared" si="6"/>
        <v>0</v>
      </c>
      <c r="G184" s="97" t="str">
        <f>IF($F184&lt;=0,"",COUNTIF($F$181:$F184,"&gt;0"))</f>
        <v/>
      </c>
    </row>
    <row r="185" spans="1:7" x14ac:dyDescent="0.3">
      <c r="A185" s="97" t="str">
        <f>IF(Inputs!$A10="","",Inputs!$A10)</f>
        <v>D26058-0100D</v>
      </c>
      <c r="B185" s="97" t="str">
        <f>IF($A185="","",Inputs!$F10)</f>
        <v>Not Started</v>
      </c>
      <c r="C185" s="102">
        <f>IF($A185="",0,IF(Dashboard!$B$5="All Time",Phasing!$Y277,IF(Dashboard!$B$5="Year",SUMIF(Phasing!$E$3:$X$3,Dashboard!$D$5,Phasing!$E277:$X277),SUMIF(Phasing!$E$4:$X$4,Dashboard!$B$6,Phasing!$E277:$X277))))</f>
        <v>0</v>
      </c>
      <c r="D185" s="102">
        <f>IF($A185="",0,IF(Dashboard!$B$5="All Time",Phasing!$Y278,IF(Dashboard!$B$5="Year",SUMIF(Phasing!$E$3:$X$3,Dashboard!$D$5,Phasing!$E278:$X278),SUMIF(Phasing!$E$4:$X$4,Dashboard!$B$6,Phasing!$E278:$X278))))</f>
        <v>0</v>
      </c>
      <c r="E185" s="102">
        <f>IF($A185="",0,IF(Dashboard!$B$5="All Time",Phasing!$Y279,IF(Dashboard!$B$5="Year",SUMIF(Phasing!$E$3:$X$3,Dashboard!$D$5,Phasing!$E279:$X279),SUMIF(Phasing!$E$4:$X$4,Dashboard!$B$6,Phasing!$E279:$X279))))</f>
        <v>0</v>
      </c>
      <c r="F185" s="102">
        <f t="shared" si="6"/>
        <v>0</v>
      </c>
      <c r="G185" s="97" t="str">
        <f>IF($F185&lt;=0,"",COUNTIF($F$181:$F185,"&gt;0"))</f>
        <v/>
      </c>
    </row>
    <row r="186" spans="1:7" x14ac:dyDescent="0.3">
      <c r="A186" s="97" t="str">
        <f>IF(Inputs!$A11="","",Inputs!$A11)</f>
        <v xml:space="preserve">AD24217-0100D </v>
      </c>
      <c r="B186" s="97" t="str">
        <f>IF($A186="","",Inputs!$F11)</f>
        <v>Finalized</v>
      </c>
      <c r="C186" s="102">
        <f>IF($A186="",0,IF(Dashboard!$B$5="All Time",Phasing!$Y280,IF(Dashboard!$B$5="Year",SUMIF(Phasing!$E$3:$X$3,Dashboard!$D$5,Phasing!$E280:$X280),SUMIF(Phasing!$E$4:$X$4,Dashboard!$B$6,Phasing!$E280:$X280))))</f>
        <v>0</v>
      </c>
      <c r="D186" s="102">
        <f>IF($A186="",0,IF(Dashboard!$B$5="All Time",Phasing!$Y281,IF(Dashboard!$B$5="Year",SUMIF(Phasing!$E$3:$X$3,Dashboard!$D$5,Phasing!$E281:$X281),SUMIF(Phasing!$E$4:$X$4,Dashboard!$B$6,Phasing!$E281:$X281))))</f>
        <v>0</v>
      </c>
      <c r="E186" s="102">
        <f>IF($A186="",0,IF(Dashboard!$B$5="All Time",Phasing!$Y282,IF(Dashboard!$B$5="Year",SUMIF(Phasing!$E$3:$X$3,Dashboard!$D$5,Phasing!$E282:$X282),SUMIF(Phasing!$E$4:$X$4,Dashboard!$B$6,Phasing!$E282:$X282))))</f>
        <v>0</v>
      </c>
      <c r="F186" s="102">
        <f t="shared" si="6"/>
        <v>0</v>
      </c>
      <c r="G186" s="97" t="str">
        <f>IF($F186&lt;=0,"",COUNTIF($F$181:$F186,"&gt;0"))</f>
        <v/>
      </c>
    </row>
    <row r="187" spans="1:7" x14ac:dyDescent="0.3">
      <c r="A187" s="97" t="str">
        <f>IF(Inputs!$A12="","",Inputs!$A12)</f>
        <v>AN23207-0500D</v>
      </c>
      <c r="B187" s="97" t="str">
        <f>IF($A187="","",Inputs!$F12)</f>
        <v>On Hold</v>
      </c>
      <c r="C187" s="102">
        <f>IF($A187="",0,IF(Dashboard!$B$5="All Time",Phasing!$Y283,IF(Dashboard!$B$5="Year",SUMIF(Phasing!$E$3:$X$3,Dashboard!$D$5,Phasing!$E283:$X283),SUMIF(Phasing!$E$4:$X$4,Dashboard!$B$6,Phasing!$E283:$X283))))</f>
        <v>0</v>
      </c>
      <c r="D187" s="102">
        <f>IF($A187="",0,IF(Dashboard!$B$5="All Time",Phasing!$Y284,IF(Dashboard!$B$5="Year",SUMIF(Phasing!$E$3:$X$3,Dashboard!$D$5,Phasing!$E284:$X284),SUMIF(Phasing!$E$4:$X$4,Dashboard!$B$6,Phasing!$E284:$X284))))</f>
        <v>0</v>
      </c>
      <c r="E187" s="102">
        <f>IF($A187="",0,IF(Dashboard!$B$5="All Time",Phasing!$Y285,IF(Dashboard!$B$5="Year",SUMIF(Phasing!$E$3:$X$3,Dashboard!$D$5,Phasing!$E285:$X285),SUMIF(Phasing!$E$4:$X$4,Dashboard!$B$6,Phasing!$E285:$X285))))</f>
        <v>0</v>
      </c>
      <c r="F187" s="102">
        <f t="shared" si="6"/>
        <v>0</v>
      </c>
      <c r="G187" s="97" t="str">
        <f>IF($F187&lt;=0,"",COUNTIF($F$181:$F187,"&gt;0"))</f>
        <v/>
      </c>
    </row>
    <row r="188" spans="1:7" x14ac:dyDescent="0.3">
      <c r="A188" s="97" t="str">
        <f>IF(Inputs!$A13="","",Inputs!$A13)</f>
        <v>AN23276-0100D</v>
      </c>
      <c r="B188" s="97" t="str">
        <f>IF($A188="","",Inputs!$F13)</f>
        <v>On Hold</v>
      </c>
      <c r="C188" s="102">
        <f>IF($A188="",0,IF(Dashboard!$B$5="All Time",Phasing!$Y286,IF(Dashboard!$B$5="Year",SUMIF(Phasing!$E$3:$X$3,Dashboard!$D$5,Phasing!$E286:$X286),SUMIF(Phasing!$E$4:$X$4,Dashboard!$B$6,Phasing!$E286:$X286))))</f>
        <v>0</v>
      </c>
      <c r="D188" s="102">
        <f>IF($A188="",0,IF(Dashboard!$B$5="All Time",Phasing!$Y287,IF(Dashboard!$B$5="Year",SUMIF(Phasing!$E$3:$X$3,Dashboard!$D$5,Phasing!$E287:$X287),SUMIF(Phasing!$E$4:$X$4,Dashboard!$B$6,Phasing!$E287:$X287))))</f>
        <v>0</v>
      </c>
      <c r="E188" s="102">
        <f>IF($A188="",0,IF(Dashboard!$B$5="All Time",Phasing!$Y288,IF(Dashboard!$B$5="Year",SUMIF(Phasing!$E$3:$X$3,Dashboard!$D$5,Phasing!$E288:$X288),SUMIF(Phasing!$E$4:$X$4,Dashboard!$B$6,Phasing!$E288:$X288))))</f>
        <v>0</v>
      </c>
      <c r="F188" s="102">
        <f t="shared" si="6"/>
        <v>0</v>
      </c>
      <c r="G188" s="97" t="str">
        <f>IF($F188&lt;=0,"",COUNTIF($F$181:$F188,"&gt;0"))</f>
        <v/>
      </c>
    </row>
    <row r="189" spans="1:7" x14ac:dyDescent="0.3">
      <c r="A189" s="97" t="str">
        <f>IF(Inputs!$A14="","",Inputs!$A14)</f>
        <v>AN24073-0100D</v>
      </c>
      <c r="B189" s="97" t="str">
        <f>IF($A189="","",Inputs!$F14)</f>
        <v>On Hold</v>
      </c>
      <c r="C189" s="102">
        <f>IF($A189="",0,IF(Dashboard!$B$5="All Time",Phasing!$Y289,IF(Dashboard!$B$5="Year",SUMIF(Phasing!$E$3:$X$3,Dashboard!$D$5,Phasing!$E289:$X289),SUMIF(Phasing!$E$4:$X$4,Dashboard!$B$6,Phasing!$E289:$X289))))</f>
        <v>0</v>
      </c>
      <c r="D189" s="102">
        <f>IF($A189="",0,IF(Dashboard!$B$5="All Time",Phasing!$Y290,IF(Dashboard!$B$5="Year",SUMIF(Phasing!$E$3:$X$3,Dashboard!$D$5,Phasing!$E290:$X290),SUMIF(Phasing!$E$4:$X$4,Dashboard!$B$6,Phasing!$E290:$X290))))</f>
        <v>0</v>
      </c>
      <c r="E189" s="102">
        <f>IF($A189="",0,IF(Dashboard!$B$5="All Time",Phasing!$Y291,IF(Dashboard!$B$5="Year",SUMIF(Phasing!$E$3:$X$3,Dashboard!$D$5,Phasing!$E291:$X291),SUMIF(Phasing!$E$4:$X$4,Dashboard!$B$6,Phasing!$E291:$X291))))</f>
        <v>0</v>
      </c>
      <c r="F189" s="102">
        <f t="shared" si="6"/>
        <v>0</v>
      </c>
      <c r="G189" s="97" t="str">
        <f>IF($F189&lt;=0,"",COUNTIF($F$181:$F189,"&gt;0"))</f>
        <v/>
      </c>
    </row>
    <row r="190" spans="1:7" x14ac:dyDescent="0.3">
      <c r="A190" s="97" t="str">
        <f>IF(Inputs!$A15="","",Inputs!$A15)</f>
        <v>AN24140-0100R</v>
      </c>
      <c r="B190" s="97" t="str">
        <f>IF($A190="","",Inputs!$F15)</f>
        <v>Active</v>
      </c>
      <c r="C190" s="102">
        <f>IF($A190="",0,IF(Dashboard!$B$5="All Time",Phasing!$Y292,IF(Dashboard!$B$5="Year",SUMIF(Phasing!$E$3:$X$3,Dashboard!$D$5,Phasing!$E292:$X292),SUMIF(Phasing!$E$4:$X$4,Dashboard!$B$6,Phasing!$E292:$X292))))</f>
        <v>0</v>
      </c>
      <c r="D190" s="102">
        <f>IF($A190="",0,IF(Dashboard!$B$5="All Time",Phasing!$Y293,IF(Dashboard!$B$5="Year",SUMIF(Phasing!$E$3:$X$3,Dashboard!$D$5,Phasing!$E293:$X293),SUMIF(Phasing!$E$4:$X$4,Dashboard!$B$6,Phasing!$E293:$X293))))</f>
        <v>0</v>
      </c>
      <c r="E190" s="102">
        <f>IF($A190="",0,IF(Dashboard!$B$5="All Time",Phasing!$Y294,IF(Dashboard!$B$5="Year",SUMIF(Phasing!$E$3:$X$3,Dashboard!$D$5,Phasing!$E294:$X294),SUMIF(Phasing!$E$4:$X$4,Dashboard!$B$6,Phasing!$E294:$X294))))</f>
        <v>2.1621621621621623E-2</v>
      </c>
      <c r="F190" s="102">
        <f t="shared" si="6"/>
        <v>2.1621621621621623E-2</v>
      </c>
      <c r="G190" s="97">
        <f>IF($F190&lt;=0,"",COUNTIF($F$181:$F190,"&gt;0"))</f>
        <v>3</v>
      </c>
    </row>
    <row r="191" spans="1:7" x14ac:dyDescent="0.3">
      <c r="A191" s="97" t="str">
        <f>IF(Inputs!$A16="","",Inputs!$A16)</f>
        <v>CS24035-0100D</v>
      </c>
      <c r="B191" s="97" t="str">
        <f>IF($A191="","",Inputs!$F16)</f>
        <v>On Hold</v>
      </c>
      <c r="C191" s="102">
        <f>IF($A191="",0,IF(Dashboard!$B$5="All Time",Phasing!$Y295,IF(Dashboard!$B$5="Year",SUMIF(Phasing!$E$3:$X$3,Dashboard!$D$5,Phasing!$E295:$X295),SUMIF(Phasing!$E$4:$X$4,Dashboard!$B$6,Phasing!$E295:$X295))))</f>
        <v>0.10675675675675676</v>
      </c>
      <c r="D191" s="102">
        <f>IF($A191="",0,IF(Dashboard!$B$5="All Time",Phasing!$Y296,IF(Dashboard!$B$5="Year",SUMIF(Phasing!$E$3:$X$3,Dashboard!$D$5,Phasing!$E296:$X296),SUMIF(Phasing!$E$4:$X$4,Dashboard!$B$6,Phasing!$E296:$X296))))</f>
        <v>0</v>
      </c>
      <c r="E191" s="102">
        <f>IF($A191="",0,IF(Dashboard!$B$5="All Time",Phasing!$Y297,IF(Dashboard!$B$5="Year",SUMIF(Phasing!$E$3:$X$3,Dashboard!$D$5,Phasing!$E297:$X297),SUMIF(Phasing!$E$4:$X$4,Dashboard!$B$6,Phasing!$E297:$X297))))</f>
        <v>0.4635135135135135</v>
      </c>
      <c r="F191" s="102">
        <f t="shared" si="6"/>
        <v>0.57027027027027022</v>
      </c>
      <c r="G191" s="97">
        <f>IF($F191&lt;=0,"",COUNTIF($F$181:$F191,"&gt;0"))</f>
        <v>4</v>
      </c>
    </row>
    <row r="192" spans="1:7" x14ac:dyDescent="0.3">
      <c r="A192" s="97" t="str">
        <f>IF(Inputs!$A17="","",Inputs!$A17)</f>
        <v>E24181-0100D</v>
      </c>
      <c r="B192" s="97" t="str">
        <f>IF($A192="","",Inputs!$F17)</f>
        <v>Finalized</v>
      </c>
      <c r="C192" s="102">
        <f>IF($A192="",0,IF(Dashboard!$B$5="All Time",Phasing!$Y298,IF(Dashboard!$B$5="Year",SUMIF(Phasing!$E$3:$X$3,Dashboard!$D$5,Phasing!$E298:$X298),SUMIF(Phasing!$E$4:$X$4,Dashboard!$B$6,Phasing!$E298:$X298))))</f>
        <v>0</v>
      </c>
      <c r="D192" s="102">
        <f>IF($A192="",0,IF(Dashboard!$B$5="All Time",Phasing!$Y299,IF(Dashboard!$B$5="Year",SUMIF(Phasing!$E$3:$X$3,Dashboard!$D$5,Phasing!$E299:$X299),SUMIF(Phasing!$E$4:$X$4,Dashboard!$B$6,Phasing!$E299:$X299))))</f>
        <v>0</v>
      </c>
      <c r="E192" s="102">
        <f>IF($A192="",0,IF(Dashboard!$B$5="All Time",Phasing!$Y300,IF(Dashboard!$B$5="Year",SUMIF(Phasing!$E$3:$X$3,Dashboard!$D$5,Phasing!$E300:$X300),SUMIF(Phasing!$E$4:$X$4,Dashboard!$B$6,Phasing!$E300:$X300))))</f>
        <v>0</v>
      </c>
      <c r="F192" s="102">
        <f t="shared" si="6"/>
        <v>0</v>
      </c>
      <c r="G192" s="97" t="str">
        <f>IF($F192&lt;=0,"",COUNTIF($F$181:$F192,"&gt;0"))</f>
        <v/>
      </c>
    </row>
    <row r="193" spans="1:7" x14ac:dyDescent="0.3">
      <c r="A193" s="97" t="str">
        <f>IF(Inputs!$A18="","",Inputs!$A18)</f>
        <v>J23152-0100D</v>
      </c>
      <c r="B193" s="97" t="str">
        <f>IF($A193="","",Inputs!$F18)</f>
        <v>Finalized</v>
      </c>
      <c r="C193" s="102">
        <f>IF($A193="",0,IF(Dashboard!$B$5="All Time",Phasing!$Y301,IF(Dashboard!$B$5="Year",SUMIF(Phasing!$E$3:$X$3,Dashboard!$D$5,Phasing!$E301:$X301),SUMIF(Phasing!$E$4:$X$4,Dashboard!$B$6,Phasing!$E301:$X301))))</f>
        <v>0</v>
      </c>
      <c r="D193" s="102">
        <f>IF($A193="",0,IF(Dashboard!$B$5="All Time",Phasing!$Y302,IF(Dashboard!$B$5="Year",SUMIF(Phasing!$E$3:$X$3,Dashboard!$D$5,Phasing!$E302:$X302),SUMIF(Phasing!$E$4:$X$4,Dashboard!$B$6,Phasing!$E302:$X302))))</f>
        <v>0</v>
      </c>
      <c r="E193" s="102">
        <f>IF($A193="",0,IF(Dashboard!$B$5="All Time",Phasing!$Y303,IF(Dashboard!$B$5="Year",SUMIF(Phasing!$E$3:$X$3,Dashboard!$D$5,Phasing!$E303:$X303),SUMIF(Phasing!$E$4:$X$4,Dashboard!$B$6,Phasing!$E303:$X303))))</f>
        <v>0</v>
      </c>
      <c r="F193" s="102">
        <f t="shared" si="6"/>
        <v>0</v>
      </c>
      <c r="G193" s="97" t="str">
        <f>IF($F193&lt;=0,"",COUNTIF($F$181:$F193,"&gt;0"))</f>
        <v/>
      </c>
    </row>
    <row r="194" spans="1:7" x14ac:dyDescent="0.3">
      <c r="A194" s="97" t="str">
        <f>IF(Inputs!$A19="","",Inputs!$A19)</f>
        <v>Q25008-0100D</v>
      </c>
      <c r="B194" s="97" t="str">
        <f>IF($A194="","",Inputs!$F19)</f>
        <v>Finalized</v>
      </c>
      <c r="C194" s="102">
        <f>IF($A194="",0,IF(Dashboard!$B$5="All Time",Phasing!$Y304,IF(Dashboard!$B$5="Year",SUMIF(Phasing!$E$3:$X$3,Dashboard!$D$5,Phasing!$E304:$X304),SUMIF(Phasing!$E$4:$X$4,Dashboard!$B$6,Phasing!$E304:$X304))))</f>
        <v>0.14594594594594595</v>
      </c>
      <c r="D194" s="102">
        <f>IF($A194="",0,IF(Dashboard!$B$5="All Time",Phasing!$Y305,IF(Dashboard!$B$5="Year",SUMIF(Phasing!$E$3:$X$3,Dashboard!$D$5,Phasing!$E305:$X305),SUMIF(Phasing!$E$4:$X$4,Dashboard!$B$6,Phasing!$E305:$X305))))</f>
        <v>0</v>
      </c>
      <c r="E194" s="102">
        <f>IF($A194="",0,IF(Dashboard!$B$5="All Time",Phasing!$Y306,IF(Dashboard!$B$5="Year",SUMIF(Phasing!$E$3:$X$3,Dashboard!$D$5,Phasing!$E306:$X306),SUMIF(Phasing!$E$4:$X$4,Dashboard!$B$6,Phasing!$E306:$X306))))</f>
        <v>1.6675675675675676</v>
      </c>
      <c r="F194" s="102">
        <f t="shared" si="6"/>
        <v>1.8135135135135136</v>
      </c>
      <c r="G194" s="97">
        <f>IF($F194&lt;=0,"",COUNTIF($F$181:$F194,"&gt;0"))</f>
        <v>5</v>
      </c>
    </row>
    <row r="195" spans="1:7" x14ac:dyDescent="0.3">
      <c r="A195" s="97" t="str">
        <f>IF(Inputs!$A20="","",Inputs!$A20)</f>
        <v>S24014-0101D</v>
      </c>
      <c r="B195" s="97" t="str">
        <f>IF($A195="","",Inputs!$F20)</f>
        <v>Finalized</v>
      </c>
      <c r="C195" s="102">
        <f>IF($A195="",0,IF(Dashboard!$B$5="All Time",Phasing!$Y307,IF(Dashboard!$B$5="Year",SUMIF(Phasing!$E$3:$X$3,Dashboard!$D$5,Phasing!$E307:$X307),SUMIF(Phasing!$E$4:$X$4,Dashboard!$B$6,Phasing!$E307:$X307))))</f>
        <v>0</v>
      </c>
      <c r="D195" s="102">
        <f>IF($A195="",0,IF(Dashboard!$B$5="All Time",Phasing!$Y308,IF(Dashboard!$B$5="Year",SUMIF(Phasing!$E$3:$X$3,Dashboard!$D$5,Phasing!$E308:$X308),SUMIF(Phasing!$E$4:$X$4,Dashboard!$B$6,Phasing!$E308:$X308))))</f>
        <v>0</v>
      </c>
      <c r="E195" s="102">
        <f>IF($A195="",0,IF(Dashboard!$B$5="All Time",Phasing!$Y309,IF(Dashboard!$B$5="Year",SUMIF(Phasing!$E$3:$X$3,Dashboard!$D$5,Phasing!$E309:$X309),SUMIF(Phasing!$E$4:$X$4,Dashboard!$B$6,Phasing!$E309:$X309))))</f>
        <v>0</v>
      </c>
      <c r="F195" s="102">
        <f t="shared" si="6"/>
        <v>0</v>
      </c>
      <c r="G195" s="97" t="str">
        <f>IF($F195&lt;=0,"",COUNTIF($F$181:$F195,"&gt;0"))</f>
        <v/>
      </c>
    </row>
    <row r="196" spans="1:7" x14ac:dyDescent="0.3">
      <c r="A196" s="97" t="str">
        <f>IF(Inputs!$A21="","",Inputs!$A21)</f>
        <v>S24014-0102D</v>
      </c>
      <c r="B196" s="97" t="str">
        <f>IF($A196="","",Inputs!$F21)</f>
        <v>Finalized</v>
      </c>
      <c r="C196" s="102">
        <f>IF($A196="",0,IF(Dashboard!$B$5="All Time",Phasing!$Y310,IF(Dashboard!$B$5="Year",SUMIF(Phasing!$E$3:$X$3,Dashboard!$D$5,Phasing!$E310:$X310),SUMIF(Phasing!$E$4:$X$4,Dashboard!$B$6,Phasing!$E310:$X310))))</f>
        <v>0</v>
      </c>
      <c r="D196" s="102">
        <f>IF($A196="",0,IF(Dashboard!$B$5="All Time",Phasing!$Y311,IF(Dashboard!$B$5="Year",SUMIF(Phasing!$E$3:$X$3,Dashboard!$D$5,Phasing!$E311:$X311),SUMIF(Phasing!$E$4:$X$4,Dashboard!$B$6,Phasing!$E311:$X311))))</f>
        <v>0</v>
      </c>
      <c r="E196" s="102">
        <f>IF($A196="",0,IF(Dashboard!$B$5="All Time",Phasing!$Y312,IF(Dashboard!$B$5="Year",SUMIF(Phasing!$E$3:$X$3,Dashboard!$D$5,Phasing!$E312:$X312),SUMIF(Phasing!$E$4:$X$4,Dashboard!$B$6,Phasing!$E312:$X312))))</f>
        <v>0</v>
      </c>
      <c r="F196" s="102">
        <f t="shared" si="6"/>
        <v>0</v>
      </c>
      <c r="G196" s="97" t="str">
        <f>IF($F196&lt;=0,"",COUNTIF($F$181:$F196,"&gt;0"))</f>
        <v/>
      </c>
    </row>
    <row r="197" spans="1:7" x14ac:dyDescent="0.3">
      <c r="A197" s="97" t="str">
        <f>IF(Inputs!$A22="","",Inputs!$A22)</f>
        <v>S24014-0103D</v>
      </c>
      <c r="B197" s="97" t="str">
        <f>IF($A197="","",Inputs!$F22)</f>
        <v>Finalized</v>
      </c>
      <c r="C197" s="102">
        <f>IF($A197="",0,IF(Dashboard!$B$5="All Time",Phasing!$Y313,IF(Dashboard!$B$5="Year",SUMIF(Phasing!$E$3:$X$3,Dashboard!$D$5,Phasing!$E313:$X313),SUMIF(Phasing!$E$4:$X$4,Dashboard!$B$6,Phasing!$E313:$X313))))</f>
        <v>0</v>
      </c>
      <c r="D197" s="102">
        <f>IF($A197="",0,IF(Dashboard!$B$5="All Time",Phasing!$Y314,IF(Dashboard!$B$5="Year",SUMIF(Phasing!$E$3:$X$3,Dashboard!$D$5,Phasing!$E314:$X314),SUMIF(Phasing!$E$4:$X$4,Dashboard!$B$6,Phasing!$E314:$X314))))</f>
        <v>0</v>
      </c>
      <c r="E197" s="102">
        <f>IF($A197="",0,IF(Dashboard!$B$5="All Time",Phasing!$Y315,IF(Dashboard!$B$5="Year",SUMIF(Phasing!$E$3:$X$3,Dashboard!$D$5,Phasing!$E315:$X315),SUMIF(Phasing!$E$4:$X$4,Dashboard!$B$6,Phasing!$E315:$X315))))</f>
        <v>0</v>
      </c>
      <c r="F197" s="102">
        <f t="shared" si="6"/>
        <v>0</v>
      </c>
      <c r="G197" s="97" t="str">
        <f>IF($F197&lt;=0,"",COUNTIF($F$181:$F197,"&gt;0"))</f>
        <v/>
      </c>
    </row>
    <row r="198" spans="1:7" x14ac:dyDescent="0.3">
      <c r="A198" s="97" t="str">
        <f>IF(Inputs!$A23="","",Inputs!$A23)</f>
        <v>S24014-0104D</v>
      </c>
      <c r="B198" s="97" t="str">
        <f>IF($A198="","",Inputs!$F23)</f>
        <v>Finalized</v>
      </c>
      <c r="C198" s="102">
        <f>IF($A198="",0,IF(Dashboard!$B$5="All Time",Phasing!$Y316,IF(Dashboard!$B$5="Year",SUMIF(Phasing!$E$3:$X$3,Dashboard!$D$5,Phasing!$E316:$X316),SUMIF(Phasing!$E$4:$X$4,Dashboard!$B$6,Phasing!$E316:$X316))))</f>
        <v>0</v>
      </c>
      <c r="D198" s="102">
        <f>IF($A198="",0,IF(Dashboard!$B$5="All Time",Phasing!$Y317,IF(Dashboard!$B$5="Year",SUMIF(Phasing!$E$3:$X$3,Dashboard!$D$5,Phasing!$E317:$X317),SUMIF(Phasing!$E$4:$X$4,Dashboard!$B$6,Phasing!$E317:$X317))))</f>
        <v>0</v>
      </c>
      <c r="E198" s="102">
        <f>IF($A198="",0,IF(Dashboard!$B$5="All Time",Phasing!$Y318,IF(Dashboard!$B$5="Year",SUMIF(Phasing!$E$3:$X$3,Dashboard!$D$5,Phasing!$E318:$X318),SUMIF(Phasing!$E$4:$X$4,Dashboard!$B$6,Phasing!$E318:$X318))))</f>
        <v>0</v>
      </c>
      <c r="F198" s="102">
        <f t="shared" si="6"/>
        <v>0</v>
      </c>
      <c r="G198" s="97" t="str">
        <f>IF($F198&lt;=0,"",COUNTIF($F$181:$F198,"&gt;0"))</f>
        <v/>
      </c>
    </row>
    <row r="199" spans="1:7" x14ac:dyDescent="0.3">
      <c r="A199" s="97" t="str">
        <f>IF(Inputs!$A24="","",Inputs!$A24)</f>
        <v>S22058-0700D</v>
      </c>
      <c r="B199" s="97" t="str">
        <f>IF($A199="","",Inputs!$F24)</f>
        <v>Finalized</v>
      </c>
      <c r="C199" s="102">
        <f>IF($A199="",0,IF(Dashboard!$B$5="All Time",Phasing!$Y319,IF(Dashboard!$B$5="Year",SUMIF(Phasing!$E$3:$X$3,Dashboard!$D$5,Phasing!$E319:$X319),SUMIF(Phasing!$E$4:$X$4,Dashboard!$B$6,Phasing!$E319:$X319))))</f>
        <v>0</v>
      </c>
      <c r="D199" s="102">
        <f>IF($A199="",0,IF(Dashboard!$B$5="All Time",Phasing!$Y320,IF(Dashboard!$B$5="Year",SUMIF(Phasing!$E$3:$X$3,Dashboard!$D$5,Phasing!$E320:$X320),SUMIF(Phasing!$E$4:$X$4,Dashboard!$B$6,Phasing!$E320:$X320))))</f>
        <v>0</v>
      </c>
      <c r="E199" s="102">
        <f>IF($A199="",0,IF(Dashboard!$B$5="All Time",Phasing!$Y321,IF(Dashboard!$B$5="Year",SUMIF(Phasing!$E$3:$X$3,Dashboard!$D$5,Phasing!$E321:$X321),SUMIF(Phasing!$E$4:$X$4,Dashboard!$B$6,Phasing!$E321:$X321))))</f>
        <v>0</v>
      </c>
      <c r="F199" s="102">
        <f t="shared" si="6"/>
        <v>0</v>
      </c>
      <c r="G199" s="97" t="str">
        <f>IF($F199&lt;=0,"",COUNTIF($F$181:$F199,"&gt;0"))</f>
        <v/>
      </c>
    </row>
    <row r="200" spans="1:7" x14ac:dyDescent="0.3">
      <c r="A200" s="97" t="str">
        <f>IF(Inputs!$A25="","",Inputs!$A25)</f>
        <v>AN24185-0100R</v>
      </c>
      <c r="B200" s="97" t="str">
        <f>IF($A200="","",Inputs!$F25)</f>
        <v>Finalized</v>
      </c>
      <c r="C200" s="102">
        <f>IF($A200="",0,IF(Dashboard!$B$5="All Time",Phasing!$Y322,IF(Dashboard!$B$5="Year",SUMIF(Phasing!$E$3:$X$3,Dashboard!$D$5,Phasing!$E322:$X322),SUMIF(Phasing!$E$4:$X$4,Dashboard!$B$6,Phasing!$E322:$X322))))</f>
        <v>0</v>
      </c>
      <c r="D200" s="102">
        <f>IF($A200="",0,IF(Dashboard!$B$5="All Time",Phasing!$Y323,IF(Dashboard!$B$5="Year",SUMIF(Phasing!$E$3:$X$3,Dashboard!$D$5,Phasing!$E323:$X323),SUMIF(Phasing!$E$4:$X$4,Dashboard!$B$6,Phasing!$E323:$X323))))</f>
        <v>0</v>
      </c>
      <c r="E200" s="102">
        <f>IF($A200="",0,IF(Dashboard!$B$5="All Time",Phasing!$Y324,IF(Dashboard!$B$5="Year",SUMIF(Phasing!$E$3:$X$3,Dashboard!$D$5,Phasing!$E324:$X324),SUMIF(Phasing!$E$4:$X$4,Dashboard!$B$6,Phasing!$E324:$X324))))</f>
        <v>0.13378378378378378</v>
      </c>
      <c r="F200" s="102">
        <f t="shared" si="6"/>
        <v>0.13378378378378378</v>
      </c>
      <c r="G200" s="97">
        <f>IF($F200&lt;=0,"",COUNTIF($F$181:$F200,"&gt;0"))</f>
        <v>6</v>
      </c>
    </row>
    <row r="201" spans="1:7" x14ac:dyDescent="0.3">
      <c r="A201" s="97" t="str">
        <f>IF(Inputs!$A26="","",Inputs!$A26)</f>
        <v>AN24135-0100R</v>
      </c>
      <c r="B201" s="97" t="str">
        <f>IF($A201="","",Inputs!$F26)</f>
        <v>On Hold</v>
      </c>
      <c r="C201" s="102">
        <f>IF($A201="",0,IF(Dashboard!$B$5="All Time",Phasing!$Y325,IF(Dashboard!$B$5="Year",SUMIF(Phasing!$E$3:$X$3,Dashboard!$D$5,Phasing!$E325:$X325),SUMIF(Phasing!$E$4:$X$4,Dashboard!$B$6,Phasing!$E325:$X325))))</f>
        <v>0</v>
      </c>
      <c r="D201" s="102">
        <f>IF($A201="",0,IF(Dashboard!$B$5="All Time",Phasing!$Y326,IF(Dashboard!$B$5="Year",SUMIF(Phasing!$E$3:$X$3,Dashboard!$D$5,Phasing!$E326:$X326),SUMIF(Phasing!$E$4:$X$4,Dashboard!$B$6,Phasing!$E326:$X326))))</f>
        <v>0</v>
      </c>
      <c r="E201" s="102">
        <f>IF($A201="",0,IF(Dashboard!$B$5="All Time",Phasing!$Y327,IF(Dashboard!$B$5="Year",SUMIF(Phasing!$E$3:$X$3,Dashboard!$D$5,Phasing!$E327:$X327),SUMIF(Phasing!$E$4:$X$4,Dashboard!$B$6,Phasing!$E327:$X327))))</f>
        <v>0</v>
      </c>
      <c r="F201" s="102">
        <f t="shared" si="6"/>
        <v>0</v>
      </c>
      <c r="G201" s="97" t="str">
        <f>IF($F201&lt;=0,"",COUNTIF($F$181:$F201,"&gt;0"))</f>
        <v/>
      </c>
    </row>
    <row r="202" spans="1:7" x14ac:dyDescent="0.3">
      <c r="A202" s="97" t="str">
        <f>IF(Inputs!$A27="","",Inputs!$A27)</f>
        <v>AN23232-0100D</v>
      </c>
      <c r="B202" s="97" t="str">
        <f>IF($A202="","",Inputs!$F27)</f>
        <v>Finalized</v>
      </c>
      <c r="C202" s="102">
        <f>IF($A202="",0,IF(Dashboard!$B$5="All Time",Phasing!$Y328,IF(Dashboard!$B$5="Year",SUMIF(Phasing!$E$3:$X$3,Dashboard!$D$5,Phasing!$E328:$X328),SUMIF(Phasing!$E$4:$X$4,Dashboard!$B$6,Phasing!$E328:$X328))))</f>
        <v>0</v>
      </c>
      <c r="D202" s="102">
        <f>IF($A202="",0,IF(Dashboard!$B$5="All Time",Phasing!$Y329,IF(Dashboard!$B$5="Year",SUMIF(Phasing!$E$3:$X$3,Dashboard!$D$5,Phasing!$E329:$X329),SUMIF(Phasing!$E$4:$X$4,Dashboard!$B$6,Phasing!$E329:$X329))))</f>
        <v>0</v>
      </c>
      <c r="E202" s="102">
        <f>IF($A202="",0,IF(Dashboard!$B$5="All Time",Phasing!$Y330,IF(Dashboard!$B$5="Year",SUMIF(Phasing!$E$3:$X$3,Dashboard!$D$5,Phasing!$E330:$X330),SUMIF(Phasing!$E$4:$X$4,Dashboard!$B$6,Phasing!$E330:$X330))))</f>
        <v>0</v>
      </c>
      <c r="F202" s="102">
        <f t="shared" si="6"/>
        <v>0</v>
      </c>
      <c r="G202" s="97" t="str">
        <f>IF($F202&lt;=0,"",COUNTIF($F$181:$F202,"&gt;0"))</f>
        <v/>
      </c>
    </row>
    <row r="203" spans="1:7" x14ac:dyDescent="0.3">
      <c r="A203" s="97" t="str">
        <f>IF(Inputs!$A28="","",Inputs!$A28)</f>
        <v>AN23108-0100R</v>
      </c>
      <c r="B203" s="97" t="str">
        <f>IF($A203="","",Inputs!$F28)</f>
        <v>On Hold</v>
      </c>
      <c r="C203" s="102">
        <f>IF($A203="",0,IF(Dashboard!$B$5="All Time",Phasing!$Y331,IF(Dashboard!$B$5="Year",SUMIF(Phasing!$E$3:$X$3,Dashboard!$D$5,Phasing!$E331:$X331),SUMIF(Phasing!$E$4:$X$4,Dashboard!$B$6,Phasing!$E331:$X331))))</f>
        <v>0</v>
      </c>
      <c r="D203" s="102">
        <f>IF($A203="",0,IF(Dashboard!$B$5="All Time",Phasing!$Y332,IF(Dashboard!$B$5="Year",SUMIF(Phasing!$E$3:$X$3,Dashboard!$D$5,Phasing!$E332:$X332),SUMIF(Phasing!$E$4:$X$4,Dashboard!$B$6,Phasing!$E332:$X332))))</f>
        <v>0</v>
      </c>
      <c r="E203" s="102">
        <f>IF($A203="",0,IF(Dashboard!$B$5="All Time",Phasing!$Y333,IF(Dashboard!$B$5="Year",SUMIF(Phasing!$E$3:$X$3,Dashboard!$D$5,Phasing!$E333:$X333),SUMIF(Phasing!$E$4:$X$4,Dashboard!$B$6,Phasing!$E333:$X333))))</f>
        <v>0.68513513513513513</v>
      </c>
      <c r="F203" s="102">
        <f t="shared" si="6"/>
        <v>0.68513513513513513</v>
      </c>
      <c r="G203" s="97">
        <f>IF($F203&lt;=0,"",COUNTIF($F$181:$F203,"&gt;0"))</f>
        <v>7</v>
      </c>
    </row>
    <row r="204" spans="1:7" x14ac:dyDescent="0.3">
      <c r="A204" s="97" t="str">
        <f>IF(Inputs!$A29="","",Inputs!$A29)</f>
        <v>TA24246-0200R</v>
      </c>
      <c r="B204" s="97" t="str">
        <f>IF($A204="","",Inputs!$F29)</f>
        <v>On Hold</v>
      </c>
      <c r="C204" s="102">
        <f>IF($A204="",0,IF(Dashboard!$B$5="All Time",Phasing!$Y334,IF(Dashboard!$B$5="Year",SUMIF(Phasing!$E$3:$X$3,Dashboard!$D$5,Phasing!$E334:$X334),SUMIF(Phasing!$E$4:$X$4,Dashboard!$B$6,Phasing!$E334:$X334))))</f>
        <v>0</v>
      </c>
      <c r="D204" s="102">
        <f>IF($A204="",0,IF(Dashboard!$B$5="All Time",Phasing!$Y335,IF(Dashboard!$B$5="Year",SUMIF(Phasing!$E$3:$X$3,Dashboard!$D$5,Phasing!$E335:$X335),SUMIF(Phasing!$E$4:$X$4,Dashboard!$B$6,Phasing!$E335:$X335))))</f>
        <v>9.8648648648648654E-2</v>
      </c>
      <c r="E204" s="102">
        <f>IF($A204="",0,IF(Dashboard!$B$5="All Time",Phasing!$Y336,IF(Dashboard!$B$5="Year",SUMIF(Phasing!$E$3:$X$3,Dashboard!$D$5,Phasing!$E336:$X336),SUMIF(Phasing!$E$4:$X$4,Dashboard!$B$6,Phasing!$E336:$X336))))</f>
        <v>0</v>
      </c>
      <c r="F204" s="102">
        <f t="shared" si="6"/>
        <v>9.8648648648648654E-2</v>
      </c>
      <c r="G204" s="97">
        <f>IF($F204&lt;=0,"",COUNTIF($F$181:$F204,"&gt;0"))</f>
        <v>8</v>
      </c>
    </row>
    <row r="205" spans="1:7" x14ac:dyDescent="0.3">
      <c r="A205" s="97" t="str">
        <f>IF(Inputs!$A30="","",Inputs!$A30)</f>
        <v>S22058-0900D</v>
      </c>
      <c r="B205" s="97" t="str">
        <f>IF($A205="","",Inputs!$F30)</f>
        <v>Cancelled</v>
      </c>
      <c r="C205" s="102">
        <f>IF($A205="",0,IF(Dashboard!$B$5="All Time",Phasing!$Y337,IF(Dashboard!$B$5="Year",SUMIF(Phasing!$E$3:$X$3,Dashboard!$D$5,Phasing!$E337:$X337),SUMIF(Phasing!$E$4:$X$4,Dashboard!$B$6,Phasing!$E337:$X337))))</f>
        <v>0</v>
      </c>
      <c r="D205" s="102">
        <f>IF($A205="",0,IF(Dashboard!$B$5="All Time",Phasing!$Y338,IF(Dashboard!$B$5="Year",SUMIF(Phasing!$E$3:$X$3,Dashboard!$D$5,Phasing!$E338:$X338),SUMIF(Phasing!$E$4:$X$4,Dashboard!$B$6,Phasing!$E338:$X338))))</f>
        <v>0</v>
      </c>
      <c r="E205" s="102">
        <f>IF($A205="",0,IF(Dashboard!$B$5="All Time",Phasing!$Y339,IF(Dashboard!$B$5="Year",SUMIF(Phasing!$E$3:$X$3,Dashboard!$D$5,Phasing!$E339:$X339),SUMIF(Phasing!$E$4:$X$4,Dashboard!$B$6,Phasing!$E339:$X339))))</f>
        <v>0</v>
      </c>
      <c r="F205" s="102">
        <f t="shared" si="6"/>
        <v>0</v>
      </c>
      <c r="G205" s="97" t="str">
        <f>IF($F205&lt;=0,"",COUNTIF($F$181:$F205,"&gt;0"))</f>
        <v/>
      </c>
    </row>
    <row r="206" spans="1:7" x14ac:dyDescent="0.3">
      <c r="A206" s="97" t="str">
        <f>IF(Inputs!$A31="","",Inputs!$A31)</f>
        <v>S22058-0400D</v>
      </c>
      <c r="B206" s="97" t="str">
        <f>IF($A206="","",Inputs!$F31)</f>
        <v>Finalized</v>
      </c>
      <c r="C206" s="102">
        <f>IF($A206="",0,IF(Dashboard!$B$5="All Time",Phasing!$Y340,IF(Dashboard!$B$5="Year",SUMIF(Phasing!$E$3:$X$3,Dashboard!$D$5,Phasing!$E340:$X340),SUMIF(Phasing!$E$4:$X$4,Dashboard!$B$6,Phasing!$E340:$X340))))</f>
        <v>0</v>
      </c>
      <c r="D206" s="102">
        <f>IF($A206="",0,IF(Dashboard!$B$5="All Time",Phasing!$Y341,IF(Dashboard!$B$5="Year",SUMIF(Phasing!$E$3:$X$3,Dashboard!$D$5,Phasing!$E341:$X341),SUMIF(Phasing!$E$4:$X$4,Dashboard!$B$6,Phasing!$E341:$X341))))</f>
        <v>0</v>
      </c>
      <c r="E206" s="102">
        <f>IF($A206="",0,IF(Dashboard!$B$5="All Time",Phasing!$Y342,IF(Dashboard!$B$5="Year",SUMIF(Phasing!$E$3:$X$3,Dashboard!$D$5,Phasing!$E342:$X342),SUMIF(Phasing!$E$4:$X$4,Dashboard!$B$6,Phasing!$E342:$X342))))</f>
        <v>0</v>
      </c>
      <c r="F206" s="102">
        <f t="shared" si="6"/>
        <v>0</v>
      </c>
      <c r="G206" s="97" t="str">
        <f>IF($F206&lt;=0,"",COUNTIF($F$181:$F206,"&gt;0"))</f>
        <v/>
      </c>
    </row>
    <row r="207" spans="1:7" x14ac:dyDescent="0.3">
      <c r="A207" s="97" t="str">
        <f>IF(Inputs!$A32="","",Inputs!$A32)</f>
        <v>Proposals 25</v>
      </c>
      <c r="B207" s="97" t="str">
        <f>IF($A207="","",Inputs!$F32)</f>
        <v>Finalized</v>
      </c>
      <c r="C207" s="102">
        <f>IF($A207="",0,IF(Dashboard!$B$5="All Time",Phasing!$Y343,IF(Dashboard!$B$5="Year",SUMIF(Phasing!$E$3:$X$3,Dashboard!$D$5,Phasing!$E343:$X343),SUMIF(Phasing!$E$4:$X$4,Dashboard!$B$6,Phasing!$E343:$X343))))</f>
        <v>0</v>
      </c>
      <c r="D207" s="102">
        <f>IF($A207="",0,IF(Dashboard!$B$5="All Time",Phasing!$Y344,IF(Dashboard!$B$5="Year",SUMIF(Phasing!$E$3:$X$3,Dashboard!$D$5,Phasing!$E344:$X344),SUMIF(Phasing!$E$4:$X$4,Dashboard!$B$6,Phasing!$E344:$X344))))</f>
        <v>0</v>
      </c>
      <c r="E207" s="102">
        <f>IF($A207="",0,IF(Dashboard!$B$5="All Time",Phasing!$Y345,IF(Dashboard!$B$5="Year",SUMIF(Phasing!$E$3:$X$3,Dashboard!$D$5,Phasing!$E345:$X345),SUMIF(Phasing!$E$4:$X$4,Dashboard!$B$6,Phasing!$E345:$X345))))</f>
        <v>0</v>
      </c>
      <c r="F207" s="102">
        <f t="shared" si="6"/>
        <v>0</v>
      </c>
      <c r="G207" s="97" t="str">
        <f>IF($F207&lt;=0,"",COUNTIF($F$181:$F207,"&gt;0"))</f>
        <v/>
      </c>
    </row>
    <row r="208" spans="1:7" x14ac:dyDescent="0.3">
      <c r="A208" s="97" t="str">
        <f>IF(Inputs!$A33="","",Inputs!$A33)</f>
        <v>Chargable Proposals 25</v>
      </c>
      <c r="B208" s="97" t="str">
        <f>IF($A208="","",Inputs!$F33)</f>
        <v>Finalized</v>
      </c>
      <c r="C208" s="102">
        <f>IF($A208="",0,IF(Dashboard!$B$5="All Time",Phasing!$Y346,IF(Dashboard!$B$5="Year",SUMIF(Phasing!$E$3:$X$3,Dashboard!$D$5,Phasing!$E346:$X346),SUMIF(Phasing!$E$4:$X$4,Dashboard!$B$6,Phasing!$E346:$X346))))</f>
        <v>0</v>
      </c>
      <c r="D208" s="102">
        <f>IF($A208="",0,IF(Dashboard!$B$5="All Time",Phasing!$Y347,IF(Dashboard!$B$5="Year",SUMIF(Phasing!$E$3:$X$3,Dashboard!$D$5,Phasing!$E347:$X347),SUMIF(Phasing!$E$4:$X$4,Dashboard!$B$6,Phasing!$E347:$X347))))</f>
        <v>0</v>
      </c>
      <c r="E208" s="102">
        <f>IF($A208="",0,IF(Dashboard!$B$5="All Time",Phasing!$Y348,IF(Dashboard!$B$5="Year",SUMIF(Phasing!$E$3:$X$3,Dashboard!$D$5,Phasing!$E348:$X348),SUMIF(Phasing!$E$4:$X$4,Dashboard!$B$6,Phasing!$E348:$X348))))</f>
        <v>0</v>
      </c>
      <c r="F208" s="102">
        <f t="shared" si="6"/>
        <v>0</v>
      </c>
      <c r="G208" s="97" t="str">
        <f>IF($F208&lt;=0,"",COUNTIF($F$181:$F208,"&gt;0"))</f>
        <v/>
      </c>
    </row>
    <row r="209" spans="1:7" x14ac:dyDescent="0.3">
      <c r="A209" s="97" t="str">
        <f>IF(Inputs!$A34="","",Inputs!$A34)</f>
        <v>AD23051-0101D</v>
      </c>
      <c r="B209" s="97" t="str">
        <f>IF($A209="","",Inputs!$F34)</f>
        <v>Cancelled</v>
      </c>
      <c r="C209" s="102">
        <f>IF($A209="",0,IF(Dashboard!$B$5="All Time",Phasing!$Y349,IF(Dashboard!$B$5="Year",SUMIF(Phasing!$E$3:$X$3,Dashboard!$D$5,Phasing!$E349:$X349),SUMIF(Phasing!$E$4:$X$4,Dashboard!$B$6,Phasing!$E349:$X349))))</f>
        <v>0</v>
      </c>
      <c r="D209" s="102">
        <f>IF($A209="",0,IF(Dashboard!$B$5="All Time",Phasing!$Y350,IF(Dashboard!$B$5="Year",SUMIF(Phasing!$E$3:$X$3,Dashboard!$D$5,Phasing!$E350:$X350),SUMIF(Phasing!$E$4:$X$4,Dashboard!$B$6,Phasing!$E350:$X350))))</f>
        <v>0</v>
      </c>
      <c r="E209" s="102">
        <f>IF($A209="",0,IF(Dashboard!$B$5="All Time",Phasing!$Y351,IF(Dashboard!$B$5="Year",SUMIF(Phasing!$E$3:$X$3,Dashboard!$D$5,Phasing!$E351:$X351),SUMIF(Phasing!$E$4:$X$4,Dashboard!$B$6,Phasing!$E351:$X351))))</f>
        <v>0</v>
      </c>
      <c r="F209" s="102">
        <f t="shared" si="6"/>
        <v>0</v>
      </c>
      <c r="G209" s="97" t="str">
        <f>IF($F209&lt;=0,"",COUNTIF($F$181:$F209,"&gt;0"))</f>
        <v/>
      </c>
    </row>
    <row r="210" spans="1:7" x14ac:dyDescent="0.3">
      <c r="A210" s="97" t="str">
        <f>IF(Inputs!$A35="","",Inputs!$A35)</f>
        <v>AN21146-0100R</v>
      </c>
      <c r="B210" s="97" t="str">
        <f>IF($A210="","",Inputs!$F35)</f>
        <v>Finalized</v>
      </c>
      <c r="C210" s="102">
        <f>IF($A210="",0,IF(Dashboard!$B$5="All Time",Phasing!$Y352,IF(Dashboard!$B$5="Year",SUMIF(Phasing!$E$3:$X$3,Dashboard!$D$5,Phasing!$E352:$X352),SUMIF(Phasing!$E$4:$X$4,Dashboard!$B$6,Phasing!$E352:$X352))))</f>
        <v>0</v>
      </c>
      <c r="D210" s="102">
        <f>IF($A210="",0,IF(Dashboard!$B$5="All Time",Phasing!$Y353,IF(Dashboard!$B$5="Year",SUMIF(Phasing!$E$3:$X$3,Dashboard!$D$5,Phasing!$E353:$X353),SUMIF(Phasing!$E$4:$X$4,Dashboard!$B$6,Phasing!$E353:$X353))))</f>
        <v>0</v>
      </c>
      <c r="E210" s="102">
        <f>IF($A210="",0,IF(Dashboard!$B$5="All Time",Phasing!$Y354,IF(Dashboard!$B$5="Year",SUMIF(Phasing!$E$3:$X$3,Dashboard!$D$5,Phasing!$E354:$X354),SUMIF(Phasing!$E$4:$X$4,Dashboard!$B$6,Phasing!$E354:$X354))))</f>
        <v>0</v>
      </c>
      <c r="F210" s="102">
        <f t="shared" si="6"/>
        <v>0</v>
      </c>
      <c r="G210" s="97" t="str">
        <f>IF($F210&lt;=0,"",COUNTIF($F$181:$F210,"&gt;0"))</f>
        <v/>
      </c>
    </row>
    <row r="211" spans="1:7" x14ac:dyDescent="0.3">
      <c r="A211" s="97" t="str">
        <f>IF(Inputs!$A36="","",Inputs!$A36)</f>
        <v>N23106-0100D</v>
      </c>
      <c r="B211" s="97" t="str">
        <f>IF($A211="","",Inputs!$F36)</f>
        <v>Finalized</v>
      </c>
      <c r="C211" s="102">
        <f>IF($A211="",0,IF(Dashboard!$B$5="All Time",Phasing!$Y355,IF(Dashboard!$B$5="Year",SUMIF(Phasing!$E$3:$X$3,Dashboard!$D$5,Phasing!$E355:$X355),SUMIF(Phasing!$E$4:$X$4,Dashboard!$B$6,Phasing!$E355:$X355))))</f>
        <v>0.1891891891891892</v>
      </c>
      <c r="D211" s="102">
        <f>IF($A211="",0,IF(Dashboard!$B$5="All Time",Phasing!$Y356,IF(Dashboard!$B$5="Year",SUMIF(Phasing!$E$3:$X$3,Dashboard!$D$5,Phasing!$E356:$X356),SUMIF(Phasing!$E$4:$X$4,Dashboard!$B$6,Phasing!$E356:$X356))))</f>
        <v>0.25135135135135134</v>
      </c>
      <c r="E211" s="102">
        <f>IF($A211="",0,IF(Dashboard!$B$5="All Time",Phasing!$Y357,IF(Dashboard!$B$5="Year",SUMIF(Phasing!$E$3:$X$3,Dashboard!$D$5,Phasing!$E357:$X357),SUMIF(Phasing!$E$4:$X$4,Dashboard!$B$6,Phasing!$E357:$X357))))</f>
        <v>0</v>
      </c>
      <c r="F211" s="102">
        <f t="shared" si="6"/>
        <v>0.44054054054054054</v>
      </c>
      <c r="G211" s="97">
        <f>IF($F211&lt;=0,"",COUNTIF($F$181:$F211,"&gt;0"))</f>
        <v>9</v>
      </c>
    </row>
    <row r="212" spans="1:7" x14ac:dyDescent="0.3">
      <c r="A212" s="97" t="str">
        <f>IF(Inputs!$A37="","",Inputs!$A37)</f>
        <v>OM23030-0100D</v>
      </c>
      <c r="B212" s="97" t="str">
        <f>IF($A212="","",Inputs!$F37)</f>
        <v>Finalized</v>
      </c>
      <c r="C212" s="102">
        <f>IF($A212="",0,IF(Dashboard!$B$5="All Time",Phasing!$Y358,IF(Dashboard!$B$5="Year",SUMIF(Phasing!$E$3:$X$3,Dashboard!$D$5,Phasing!$E358:$X358),SUMIF(Phasing!$E$4:$X$4,Dashboard!$B$6,Phasing!$E358:$X358))))</f>
        <v>0</v>
      </c>
      <c r="D212" s="102">
        <f>IF($A212="",0,IF(Dashboard!$B$5="All Time",Phasing!$Y359,IF(Dashboard!$B$5="Year",SUMIF(Phasing!$E$3:$X$3,Dashboard!$D$5,Phasing!$E359:$X359),SUMIF(Phasing!$E$4:$X$4,Dashboard!$B$6,Phasing!$E359:$X359))))</f>
        <v>0</v>
      </c>
      <c r="E212" s="102">
        <f>IF($A212="",0,IF(Dashboard!$B$5="All Time",Phasing!$Y360,IF(Dashboard!$B$5="Year",SUMIF(Phasing!$E$3:$X$3,Dashboard!$D$5,Phasing!$E360:$X360),SUMIF(Phasing!$E$4:$X$4,Dashboard!$B$6,Phasing!$E360:$X360))))</f>
        <v>0</v>
      </c>
      <c r="F212" s="102">
        <f t="shared" si="6"/>
        <v>0</v>
      </c>
      <c r="G212" s="97" t="str">
        <f>IF($F212&lt;=0,"",COUNTIF($F$181:$F212,"&gt;0"))</f>
        <v/>
      </c>
    </row>
    <row r="213" spans="1:7" x14ac:dyDescent="0.3">
      <c r="A213" s="97" t="str">
        <f>IF(Inputs!$A38="","",Inputs!$A38)</f>
        <v>Chargable Proposals 24</v>
      </c>
      <c r="B213" s="97" t="str">
        <f>IF($A213="","",Inputs!$F38)</f>
        <v>Finalized</v>
      </c>
      <c r="C213" s="102">
        <f>IF($A213="",0,IF(Dashboard!$B$5="All Time",Phasing!$Y361,IF(Dashboard!$B$5="Year",SUMIF(Phasing!$E$3:$X$3,Dashboard!$D$5,Phasing!$E361:$X361),SUMIF(Phasing!$E$4:$X$4,Dashboard!$B$6,Phasing!$E361:$X361))))</f>
        <v>0</v>
      </c>
      <c r="D213" s="102">
        <f>IF($A213="",0,IF(Dashboard!$B$5="All Time",Phasing!$Y362,IF(Dashboard!$B$5="Year",SUMIF(Phasing!$E$3:$X$3,Dashboard!$D$5,Phasing!$E362:$X362),SUMIF(Phasing!$E$4:$X$4,Dashboard!$B$6,Phasing!$E362:$X362))))</f>
        <v>0</v>
      </c>
      <c r="E213" s="102">
        <f>IF($A213="",0,IF(Dashboard!$B$5="All Time",Phasing!$Y363,IF(Dashboard!$B$5="Year",SUMIF(Phasing!$E$3:$X$3,Dashboard!$D$5,Phasing!$E363:$X363),SUMIF(Phasing!$E$4:$X$4,Dashboard!$B$6,Phasing!$E363:$X363))))</f>
        <v>0</v>
      </c>
      <c r="F213" s="102">
        <f t="shared" ref="F213:F244" si="7">SUM($C213:$E213)</f>
        <v>0</v>
      </c>
      <c r="G213" s="97" t="str">
        <f>IF($F213&lt;=0,"",COUNTIF($F$181:$F213,"&gt;0"))</f>
        <v/>
      </c>
    </row>
    <row r="214" spans="1:7" x14ac:dyDescent="0.3">
      <c r="A214" s="97" t="str">
        <f>IF(Inputs!$A39="","",Inputs!$A39)</f>
        <v>Proposals 24</v>
      </c>
      <c r="B214" s="97" t="str">
        <f>IF($A214="","",Inputs!$F39)</f>
        <v>Finalized</v>
      </c>
      <c r="C214" s="102">
        <f>IF($A214="",0,IF(Dashboard!$B$5="All Time",Phasing!$Y364,IF(Dashboard!$B$5="Year",SUMIF(Phasing!$E$3:$X$3,Dashboard!$D$5,Phasing!$E364:$X364),SUMIF(Phasing!$E$4:$X$4,Dashboard!$B$6,Phasing!$E364:$X364))))</f>
        <v>0</v>
      </c>
      <c r="D214" s="102">
        <f>IF($A214="",0,IF(Dashboard!$B$5="All Time",Phasing!$Y365,IF(Dashboard!$B$5="Year",SUMIF(Phasing!$E$3:$X$3,Dashboard!$D$5,Phasing!$E365:$X365),SUMIF(Phasing!$E$4:$X$4,Dashboard!$B$6,Phasing!$E365:$X365))))</f>
        <v>0</v>
      </c>
      <c r="E214" s="102">
        <f>IF($A214="",0,IF(Dashboard!$B$5="All Time",Phasing!$Y366,IF(Dashboard!$B$5="Year",SUMIF(Phasing!$E$3:$X$3,Dashboard!$D$5,Phasing!$E366:$X366),SUMIF(Phasing!$E$4:$X$4,Dashboard!$B$6,Phasing!$E366:$X366))))</f>
        <v>0</v>
      </c>
      <c r="F214" s="102">
        <f t="shared" si="7"/>
        <v>0</v>
      </c>
      <c r="G214" s="97" t="str">
        <f>IF($F214&lt;=0,"",COUNTIF($F$181:$F214,"&gt;0"))</f>
        <v/>
      </c>
    </row>
    <row r="215" spans="1:7" x14ac:dyDescent="0.3">
      <c r="A215" s="97" t="str">
        <f>IF(Inputs!$A40="","",Inputs!$A40)</f>
        <v>S23204-0100D</v>
      </c>
      <c r="B215" s="97" t="str">
        <f>IF($A215="","",Inputs!$F40)</f>
        <v>Finalized</v>
      </c>
      <c r="C215" s="102">
        <f>IF($A215="",0,IF(Dashboard!$B$5="All Time",Phasing!$Y367,IF(Dashboard!$B$5="Year",SUMIF(Phasing!$E$3:$X$3,Dashboard!$D$5,Phasing!$E367:$X367),SUMIF(Phasing!$E$4:$X$4,Dashboard!$B$6,Phasing!$E367:$X367))))</f>
        <v>0</v>
      </c>
      <c r="D215" s="102">
        <f>IF($A215="",0,IF(Dashboard!$B$5="All Time",Phasing!$Y368,IF(Dashboard!$B$5="Year",SUMIF(Phasing!$E$3:$X$3,Dashboard!$D$5,Phasing!$E368:$X368),SUMIF(Phasing!$E$4:$X$4,Dashboard!$B$6,Phasing!$E368:$X368))))</f>
        <v>0</v>
      </c>
      <c r="E215" s="102">
        <f>IF($A215="",0,IF(Dashboard!$B$5="All Time",Phasing!$Y369,IF(Dashboard!$B$5="Year",SUMIF(Phasing!$E$3:$X$3,Dashboard!$D$5,Phasing!$E369:$X369),SUMIF(Phasing!$E$4:$X$4,Dashboard!$B$6,Phasing!$E369:$X369))))</f>
        <v>0</v>
      </c>
      <c r="F215" s="102">
        <f t="shared" si="7"/>
        <v>0</v>
      </c>
      <c r="G215" s="97" t="str">
        <f>IF($F215&lt;=0,"",COUNTIF($F$181:$F215,"&gt;0"))</f>
        <v/>
      </c>
    </row>
    <row r="216" spans="1:7" x14ac:dyDescent="0.3">
      <c r="A216" s="97" t="str">
        <f>IF(Inputs!$A41="","",Inputs!$A41)</f>
        <v>S24100-0100D</v>
      </c>
      <c r="B216" s="97" t="str">
        <f>IF($A216="","",Inputs!$F41)</f>
        <v>Finalized</v>
      </c>
      <c r="C216" s="102">
        <f>IF($A216="",0,IF(Dashboard!$B$5="All Time",Phasing!$Y370,IF(Dashboard!$B$5="Year",SUMIF(Phasing!$E$3:$X$3,Dashboard!$D$5,Phasing!$E370:$X370),SUMIF(Phasing!$E$4:$X$4,Dashboard!$B$6,Phasing!$E370:$X370))))</f>
        <v>0</v>
      </c>
      <c r="D216" s="102">
        <f>IF($A216="",0,IF(Dashboard!$B$5="All Time",Phasing!$Y371,IF(Dashboard!$B$5="Year",SUMIF(Phasing!$E$3:$X$3,Dashboard!$D$5,Phasing!$E371:$X371),SUMIF(Phasing!$E$4:$X$4,Dashboard!$B$6,Phasing!$E371:$X371))))</f>
        <v>0</v>
      </c>
      <c r="E216" s="102">
        <f>IF($A216="",0,IF(Dashboard!$B$5="All Time",Phasing!$Y372,IF(Dashboard!$B$5="Year",SUMIF(Phasing!$E$3:$X$3,Dashboard!$D$5,Phasing!$E372:$X372),SUMIF(Phasing!$E$4:$X$4,Dashboard!$B$6,Phasing!$E372:$X372))))</f>
        <v>0</v>
      </c>
      <c r="F216" s="102">
        <f t="shared" si="7"/>
        <v>0</v>
      </c>
      <c r="G216" s="97" t="str">
        <f>IF($F216&lt;=0,"",COUNTIF($F$181:$F216,"&gt;0"))</f>
        <v/>
      </c>
    </row>
    <row r="217" spans="1:7" x14ac:dyDescent="0.3">
      <c r="A217" s="97" t="str">
        <f>IF(Inputs!$A42="","",Inputs!$A42)</f>
        <v>TA23011-0100R</v>
      </c>
      <c r="B217" s="97" t="str">
        <f>IF($A217="","",Inputs!$F42)</f>
        <v>Finalized</v>
      </c>
      <c r="C217" s="102">
        <f>IF($A217="",0,IF(Dashboard!$B$5="All Time",Phasing!$Y373,IF(Dashboard!$B$5="Year",SUMIF(Phasing!$E$3:$X$3,Dashboard!$D$5,Phasing!$E373:$X373),SUMIF(Phasing!$E$4:$X$4,Dashboard!$B$6,Phasing!$E373:$X373))))</f>
        <v>0</v>
      </c>
      <c r="D217" s="102">
        <f>IF($A217="",0,IF(Dashboard!$B$5="All Time",Phasing!$Y374,IF(Dashboard!$B$5="Year",SUMIF(Phasing!$E$3:$X$3,Dashboard!$D$5,Phasing!$E374:$X374),SUMIF(Phasing!$E$4:$X$4,Dashboard!$B$6,Phasing!$E374:$X374))))</f>
        <v>0</v>
      </c>
      <c r="E217" s="102">
        <f>IF($A217="",0,IF(Dashboard!$B$5="All Time",Phasing!$Y375,IF(Dashboard!$B$5="Year",SUMIF(Phasing!$E$3:$X$3,Dashboard!$D$5,Phasing!$E375:$X375),SUMIF(Phasing!$E$4:$X$4,Dashboard!$B$6,Phasing!$E375:$X375))))</f>
        <v>0</v>
      </c>
      <c r="F217" s="102">
        <f t="shared" si="7"/>
        <v>0</v>
      </c>
      <c r="G217" s="97" t="str">
        <f>IF($F217&lt;=0,"",COUNTIF($F$181:$F217,"&gt;0"))</f>
        <v/>
      </c>
    </row>
    <row r="218" spans="1:7" x14ac:dyDescent="0.3">
      <c r="A218" s="97" t="str">
        <f>IF(Inputs!$A43="","",Inputs!$A43)</f>
        <v>AL25148-0100D</v>
      </c>
      <c r="B218" s="97" t="str">
        <f>IF($A218="","",Inputs!$F43)</f>
        <v>Not Started</v>
      </c>
      <c r="C218" s="102">
        <f>IF($A218="",0,IF(Dashboard!$B$5="All Time",Phasing!$Y376,IF(Dashboard!$B$5="Year",SUMIF(Phasing!$E$3:$X$3,Dashboard!$D$5,Phasing!$E376:$X376),SUMIF(Phasing!$E$4:$X$4,Dashboard!$B$6,Phasing!$E376:$X376))))</f>
        <v>0</v>
      </c>
      <c r="D218" s="102">
        <f>IF($A218="",0,IF(Dashboard!$B$5="All Time",Phasing!$Y377,IF(Dashboard!$B$5="Year",SUMIF(Phasing!$E$3:$X$3,Dashboard!$D$5,Phasing!$E377:$X377),SUMIF(Phasing!$E$4:$X$4,Dashboard!$B$6,Phasing!$E377:$X377))))</f>
        <v>0</v>
      </c>
      <c r="E218" s="102">
        <f>IF($A218="",0,IF(Dashboard!$B$5="All Time",Phasing!$Y378,IF(Dashboard!$B$5="Year",SUMIF(Phasing!$E$3:$X$3,Dashboard!$D$5,Phasing!$E378:$X378),SUMIF(Phasing!$E$4:$X$4,Dashboard!$B$6,Phasing!$E378:$X378))))</f>
        <v>0</v>
      </c>
      <c r="F218" s="102">
        <f t="shared" si="7"/>
        <v>0</v>
      </c>
      <c r="G218" s="97" t="str">
        <f>IF($F218&lt;=0,"",COUNTIF($F$181:$F218,"&gt;0"))</f>
        <v/>
      </c>
    </row>
    <row r="219" spans="1:7" x14ac:dyDescent="0.3">
      <c r="A219" s="97" t="str">
        <f>IF(Inputs!$A44="","",Inputs!$A44)</f>
        <v>Chargable Proposals 26</v>
      </c>
      <c r="B219" s="97" t="str">
        <f>IF($A219="","",Inputs!$F44)</f>
        <v>Active</v>
      </c>
      <c r="C219" s="102">
        <f>IF($A219="",0,IF(Dashboard!$B$5="All Time",Phasing!$Y379,IF(Dashboard!$B$5="Year",SUMIF(Phasing!$E$3:$X$3,Dashboard!$D$5,Phasing!$E379:$X379),SUMIF(Phasing!$E$4:$X$4,Dashboard!$B$6,Phasing!$E379:$X379))))</f>
        <v>0.10945945945945947</v>
      </c>
      <c r="D219" s="102">
        <f>IF($A219="",0,IF(Dashboard!$B$5="All Time",Phasing!$Y380,IF(Dashboard!$B$5="Year",SUMIF(Phasing!$E$3:$X$3,Dashboard!$D$5,Phasing!$E380:$X380),SUMIF(Phasing!$E$4:$X$4,Dashboard!$B$6,Phasing!$E380:$X380))))</f>
        <v>0</v>
      </c>
      <c r="E219" s="102">
        <f>IF($A219="",0,IF(Dashboard!$B$5="All Time",Phasing!$Y381,IF(Dashboard!$B$5="Year",SUMIF(Phasing!$E$3:$X$3,Dashboard!$D$5,Phasing!$E381:$X381),SUMIF(Phasing!$E$4:$X$4,Dashboard!$B$6,Phasing!$E381:$X381))))</f>
        <v>0.22162162162162163</v>
      </c>
      <c r="F219" s="102">
        <f t="shared" si="7"/>
        <v>0.33108108108108109</v>
      </c>
      <c r="G219" s="97">
        <f>IF($F219&lt;=0,"",COUNTIF($F$181:$F219,"&gt;0"))</f>
        <v>10</v>
      </c>
    </row>
    <row r="220" spans="1:7" x14ac:dyDescent="0.3">
      <c r="A220" s="97" t="str">
        <f>IF(Inputs!$A45="","",Inputs!$A45)</f>
        <v/>
      </c>
      <c r="B220" s="97" t="str">
        <f>IF($A220="","",Inputs!$F45)</f>
        <v/>
      </c>
      <c r="C220" s="102">
        <f>IF($A220="",0,IF(Dashboard!$B$5="All Time",Phasing!$Y382,IF(Dashboard!$B$5="Year",SUMIF(Phasing!$E$3:$X$3,Dashboard!$D$5,Phasing!$E382:$X382),SUMIF(Phasing!$E$4:$X$4,Dashboard!$B$6,Phasing!$E382:$X382))))</f>
        <v>0</v>
      </c>
      <c r="D220" s="102">
        <f>IF($A220="",0,IF(Dashboard!$B$5="All Time",Phasing!$Y383,IF(Dashboard!$B$5="Year",SUMIF(Phasing!$E$3:$X$3,Dashboard!$D$5,Phasing!$E383:$X383),SUMIF(Phasing!$E$4:$X$4,Dashboard!$B$6,Phasing!$E383:$X383))))</f>
        <v>0</v>
      </c>
      <c r="E220" s="102">
        <f>IF($A220="",0,IF(Dashboard!$B$5="All Time",Phasing!$Y384,IF(Dashboard!$B$5="Year",SUMIF(Phasing!$E$3:$X$3,Dashboard!$D$5,Phasing!$E384:$X384),SUMIF(Phasing!$E$4:$X$4,Dashboard!$B$6,Phasing!$E384:$X384))))</f>
        <v>0</v>
      </c>
      <c r="F220" s="102">
        <f t="shared" si="7"/>
        <v>0</v>
      </c>
      <c r="G220" s="97" t="str">
        <f>IF($F220&lt;=0,"",COUNTIF($F$181:$F220,"&gt;0"))</f>
        <v/>
      </c>
    </row>
    <row r="221" spans="1:7" x14ac:dyDescent="0.3">
      <c r="A221" s="97" t="str">
        <f>IF(Inputs!$A46="","",Inputs!$A46)</f>
        <v>Proposals 26</v>
      </c>
      <c r="B221" s="97" t="str">
        <f>IF($A221="","",Inputs!$F46)</f>
        <v>Active</v>
      </c>
      <c r="C221" s="102">
        <f>IF($A221="",0,IF(Dashboard!$B$5="All Time",Phasing!$Y385,IF(Dashboard!$B$5="Year",SUMIF(Phasing!$E$3:$X$3,Dashboard!$D$5,Phasing!$E385:$X385),SUMIF(Phasing!$E$4:$X$4,Dashboard!$B$6,Phasing!$E385:$X385))))</f>
        <v>7.0270270270270274E-2</v>
      </c>
      <c r="D221" s="102">
        <f>IF($A221="",0,IF(Dashboard!$B$5="All Time",Phasing!$Y386,IF(Dashboard!$B$5="Year",SUMIF(Phasing!$E$3:$X$3,Dashboard!$D$5,Phasing!$E386:$X386),SUMIF(Phasing!$E$4:$X$4,Dashboard!$B$6,Phasing!$E386:$X386))))</f>
        <v>0</v>
      </c>
      <c r="E221" s="102">
        <f>IF($A221="",0,IF(Dashboard!$B$5="All Time",Phasing!$Y387,IF(Dashboard!$B$5="Year",SUMIF(Phasing!$E$3:$X$3,Dashboard!$D$5,Phasing!$E387:$X387),SUMIF(Phasing!$E$4:$X$4,Dashboard!$B$6,Phasing!$E387:$X387))))</f>
        <v>0</v>
      </c>
      <c r="F221" s="102">
        <f t="shared" si="7"/>
        <v>7.0270270270270274E-2</v>
      </c>
      <c r="G221" s="97">
        <f>IF($F221&lt;=0,"",COUNTIF($F$181:$F221,"&gt;0"))</f>
        <v>11</v>
      </c>
    </row>
    <row r="222" spans="1:7" x14ac:dyDescent="0.3">
      <c r="A222" s="97" t="str">
        <f>IF(Inputs!$A47="","",Inputs!$A47)</f>
        <v/>
      </c>
      <c r="B222" s="97" t="str">
        <f>IF($A222="","",Inputs!$F47)</f>
        <v/>
      </c>
      <c r="C222" s="102">
        <f>IF($A222="",0,IF(Dashboard!$B$5="All Time",Phasing!$Y388,IF(Dashboard!$B$5="Year",SUMIF(Phasing!$E$3:$X$3,Dashboard!$D$5,Phasing!$E388:$X388),SUMIF(Phasing!$E$4:$X$4,Dashboard!$B$6,Phasing!$E388:$X388))))</f>
        <v>0</v>
      </c>
      <c r="D222" s="102">
        <f>IF($A222="",0,IF(Dashboard!$B$5="All Time",Phasing!$Y389,IF(Dashboard!$B$5="Year",SUMIF(Phasing!$E$3:$X$3,Dashboard!$D$5,Phasing!$E389:$X389),SUMIF(Phasing!$E$4:$X$4,Dashboard!$B$6,Phasing!$E389:$X389))))</f>
        <v>0</v>
      </c>
      <c r="E222" s="102">
        <f>IF($A222="",0,IF(Dashboard!$B$5="All Time",Phasing!$Y390,IF(Dashboard!$B$5="Year",SUMIF(Phasing!$E$3:$X$3,Dashboard!$D$5,Phasing!$E390:$X390),SUMIF(Phasing!$E$4:$X$4,Dashboard!$B$6,Phasing!$E390:$X390))))</f>
        <v>0</v>
      </c>
      <c r="F222" s="102">
        <f t="shared" si="7"/>
        <v>0</v>
      </c>
      <c r="G222" s="97" t="str">
        <f>IF($F222&lt;=0,"",COUNTIF($F$181:$F222,"&gt;0"))</f>
        <v/>
      </c>
    </row>
    <row r="223" spans="1:7" x14ac:dyDescent="0.3">
      <c r="A223" s="97" t="str">
        <f>IF(Inputs!$A48="","",Inputs!$A48)</f>
        <v/>
      </c>
      <c r="B223" s="97" t="str">
        <f>IF($A223="","",Inputs!$F48)</f>
        <v/>
      </c>
      <c r="C223" s="102">
        <f>IF($A223="",0,IF(Dashboard!$B$5="All Time",Phasing!$Y391,IF(Dashboard!$B$5="Year",SUMIF(Phasing!$E$3:$X$3,Dashboard!$D$5,Phasing!$E391:$X391),SUMIF(Phasing!$E$4:$X$4,Dashboard!$B$6,Phasing!$E391:$X391))))</f>
        <v>0</v>
      </c>
      <c r="D223" s="102">
        <f>IF($A223="",0,IF(Dashboard!$B$5="All Time",Phasing!$Y392,IF(Dashboard!$B$5="Year",SUMIF(Phasing!$E$3:$X$3,Dashboard!$D$5,Phasing!$E392:$X392),SUMIF(Phasing!$E$4:$X$4,Dashboard!$B$6,Phasing!$E392:$X392))))</f>
        <v>0</v>
      </c>
      <c r="E223" s="102">
        <f>IF($A223="",0,IF(Dashboard!$B$5="All Time",Phasing!$Y393,IF(Dashboard!$B$5="Year",SUMIF(Phasing!$E$3:$X$3,Dashboard!$D$5,Phasing!$E393:$X393),SUMIF(Phasing!$E$4:$X$4,Dashboard!$B$6,Phasing!$E393:$X393))))</f>
        <v>0</v>
      </c>
      <c r="F223" s="102">
        <f t="shared" si="7"/>
        <v>0</v>
      </c>
      <c r="G223" s="97" t="str">
        <f>IF($F223&lt;=0,"",COUNTIF($F$181:$F223,"&gt;0"))</f>
        <v/>
      </c>
    </row>
    <row r="224" spans="1:7" x14ac:dyDescent="0.3">
      <c r="A224" s="97" t="str">
        <f>IF(Inputs!$A49="","",Inputs!$A49)</f>
        <v/>
      </c>
      <c r="B224" s="97" t="str">
        <f>IF($A224="","",Inputs!$F49)</f>
        <v/>
      </c>
      <c r="C224" s="102">
        <f>IF($A224="",0,IF(Dashboard!$B$5="All Time",Phasing!$Y394,IF(Dashboard!$B$5="Year",SUMIF(Phasing!$E$3:$X$3,Dashboard!$D$5,Phasing!$E394:$X394),SUMIF(Phasing!$E$4:$X$4,Dashboard!$B$6,Phasing!$E394:$X394))))</f>
        <v>0</v>
      </c>
      <c r="D224" s="102">
        <f>IF($A224="",0,IF(Dashboard!$B$5="All Time",Phasing!$Y395,IF(Dashboard!$B$5="Year",SUMIF(Phasing!$E$3:$X$3,Dashboard!$D$5,Phasing!$E395:$X395),SUMIF(Phasing!$E$4:$X$4,Dashboard!$B$6,Phasing!$E395:$X395))))</f>
        <v>0</v>
      </c>
      <c r="E224" s="102">
        <f>IF($A224="",0,IF(Dashboard!$B$5="All Time",Phasing!$Y396,IF(Dashboard!$B$5="Year",SUMIF(Phasing!$E$3:$X$3,Dashboard!$D$5,Phasing!$E396:$X396),SUMIF(Phasing!$E$4:$X$4,Dashboard!$B$6,Phasing!$E396:$X396))))</f>
        <v>0</v>
      </c>
      <c r="F224" s="102">
        <f t="shared" si="7"/>
        <v>0</v>
      </c>
      <c r="G224" s="97" t="str">
        <f>IF($F224&lt;=0,"",COUNTIF($F$181:$F224,"&gt;0"))</f>
        <v/>
      </c>
    </row>
    <row r="225" spans="1:7" x14ac:dyDescent="0.3">
      <c r="A225" s="97" t="str">
        <f>IF(Inputs!$A50="","",Inputs!$A50)</f>
        <v/>
      </c>
      <c r="B225" s="97" t="str">
        <f>IF($A225="","",Inputs!$F50)</f>
        <v/>
      </c>
      <c r="C225" s="102">
        <f>IF($A225="",0,IF(Dashboard!$B$5="All Time",Phasing!$Y397,IF(Dashboard!$B$5="Year",SUMIF(Phasing!$E$3:$X$3,Dashboard!$D$5,Phasing!$E397:$X397),SUMIF(Phasing!$E$4:$X$4,Dashboard!$B$6,Phasing!$E397:$X397))))</f>
        <v>0</v>
      </c>
      <c r="D225" s="102">
        <f>IF($A225="",0,IF(Dashboard!$B$5="All Time",Phasing!$Y398,IF(Dashboard!$B$5="Year",SUMIF(Phasing!$E$3:$X$3,Dashboard!$D$5,Phasing!$E398:$X398),SUMIF(Phasing!$E$4:$X$4,Dashboard!$B$6,Phasing!$E398:$X398))))</f>
        <v>0</v>
      </c>
      <c r="E225" s="102">
        <f>IF($A225="",0,IF(Dashboard!$B$5="All Time",Phasing!$Y399,IF(Dashboard!$B$5="Year",SUMIF(Phasing!$E$3:$X$3,Dashboard!$D$5,Phasing!$E399:$X399),SUMIF(Phasing!$E$4:$X$4,Dashboard!$B$6,Phasing!$E399:$X399))))</f>
        <v>0</v>
      </c>
      <c r="F225" s="102">
        <f t="shared" si="7"/>
        <v>0</v>
      </c>
      <c r="G225" s="97" t="str">
        <f>IF($F225&lt;=0,"",COUNTIF($F$181:$F225,"&gt;0"))</f>
        <v/>
      </c>
    </row>
    <row r="226" spans="1:7" x14ac:dyDescent="0.3">
      <c r="A226" s="97" t="str">
        <f>IF(Inputs!$A51="","",Inputs!$A51)</f>
        <v/>
      </c>
      <c r="B226" s="97" t="str">
        <f>IF($A226="","",Inputs!$F51)</f>
        <v/>
      </c>
      <c r="C226" s="102">
        <f>IF($A226="",0,IF(Dashboard!$B$5="All Time",Phasing!$Y400,IF(Dashboard!$B$5="Year",SUMIF(Phasing!$E$3:$X$3,Dashboard!$D$5,Phasing!$E400:$X400),SUMIF(Phasing!$E$4:$X$4,Dashboard!$B$6,Phasing!$E400:$X400))))</f>
        <v>0</v>
      </c>
      <c r="D226" s="102">
        <f>IF($A226="",0,IF(Dashboard!$B$5="All Time",Phasing!$Y401,IF(Dashboard!$B$5="Year",SUMIF(Phasing!$E$3:$X$3,Dashboard!$D$5,Phasing!$E401:$X401),SUMIF(Phasing!$E$4:$X$4,Dashboard!$B$6,Phasing!$E401:$X401))))</f>
        <v>0</v>
      </c>
      <c r="E226" s="102">
        <f>IF($A226="",0,IF(Dashboard!$B$5="All Time",Phasing!$Y402,IF(Dashboard!$B$5="Year",SUMIF(Phasing!$E$3:$X$3,Dashboard!$D$5,Phasing!$E402:$X402),SUMIF(Phasing!$E$4:$X$4,Dashboard!$B$6,Phasing!$E402:$X402))))</f>
        <v>0</v>
      </c>
      <c r="F226" s="102">
        <f t="shared" si="7"/>
        <v>0</v>
      </c>
      <c r="G226" s="97" t="str">
        <f>IF($F226&lt;=0,"",COUNTIF($F$181:$F226,"&gt;0"))</f>
        <v/>
      </c>
    </row>
    <row r="227" spans="1:7" x14ac:dyDescent="0.3">
      <c r="A227" s="97" t="str">
        <f>IF(Inputs!$A52="","",Inputs!$A52)</f>
        <v/>
      </c>
      <c r="B227" s="97" t="str">
        <f>IF($A227="","",Inputs!$F52)</f>
        <v/>
      </c>
      <c r="C227" s="102">
        <f>IF($A227="",0,IF(Dashboard!$B$5="All Time",Phasing!$Y403,IF(Dashboard!$B$5="Year",SUMIF(Phasing!$E$3:$X$3,Dashboard!$D$5,Phasing!$E403:$X403),SUMIF(Phasing!$E$4:$X$4,Dashboard!$B$6,Phasing!$E403:$X403))))</f>
        <v>0</v>
      </c>
      <c r="D227" s="102">
        <f>IF($A227="",0,IF(Dashboard!$B$5="All Time",Phasing!$Y404,IF(Dashboard!$B$5="Year",SUMIF(Phasing!$E$3:$X$3,Dashboard!$D$5,Phasing!$E404:$X404),SUMIF(Phasing!$E$4:$X$4,Dashboard!$B$6,Phasing!$E404:$X404))))</f>
        <v>0</v>
      </c>
      <c r="E227" s="102">
        <f>IF($A227="",0,IF(Dashboard!$B$5="All Time",Phasing!$Y405,IF(Dashboard!$B$5="Year",SUMIF(Phasing!$E$3:$X$3,Dashboard!$D$5,Phasing!$E405:$X405),SUMIF(Phasing!$E$4:$X$4,Dashboard!$B$6,Phasing!$E405:$X405))))</f>
        <v>0</v>
      </c>
      <c r="F227" s="102">
        <f t="shared" si="7"/>
        <v>0</v>
      </c>
      <c r="G227" s="97" t="str">
        <f>IF($F227&lt;=0,"",COUNTIF($F$181:$F227,"&gt;0"))</f>
        <v/>
      </c>
    </row>
    <row r="228" spans="1:7" x14ac:dyDescent="0.3">
      <c r="A228" s="97" t="str">
        <f>IF(Inputs!$A53="","",Inputs!$A53)</f>
        <v/>
      </c>
      <c r="B228" s="97" t="str">
        <f>IF($A228="","",Inputs!$F53)</f>
        <v/>
      </c>
      <c r="C228" s="102">
        <f>IF($A228="",0,IF(Dashboard!$B$5="All Time",Phasing!$Y406,IF(Dashboard!$B$5="Year",SUMIF(Phasing!$E$3:$X$3,Dashboard!$D$5,Phasing!$E406:$X406),SUMIF(Phasing!$E$4:$X$4,Dashboard!$B$6,Phasing!$E406:$X406))))</f>
        <v>0</v>
      </c>
      <c r="D228" s="102">
        <f>IF($A228="",0,IF(Dashboard!$B$5="All Time",Phasing!$Y407,IF(Dashboard!$B$5="Year",SUMIF(Phasing!$E$3:$X$3,Dashboard!$D$5,Phasing!$E407:$X407),SUMIF(Phasing!$E$4:$X$4,Dashboard!$B$6,Phasing!$E407:$X407))))</f>
        <v>0</v>
      </c>
      <c r="E228" s="102">
        <f>IF($A228="",0,IF(Dashboard!$B$5="All Time",Phasing!$Y408,IF(Dashboard!$B$5="Year",SUMIF(Phasing!$E$3:$X$3,Dashboard!$D$5,Phasing!$E408:$X408),SUMIF(Phasing!$E$4:$X$4,Dashboard!$B$6,Phasing!$E408:$X408))))</f>
        <v>0</v>
      </c>
      <c r="F228" s="102">
        <f t="shared" si="7"/>
        <v>0</v>
      </c>
      <c r="G228" s="97" t="str">
        <f>IF($F228&lt;=0,"",COUNTIF($F$181:$F228,"&gt;0"))</f>
        <v/>
      </c>
    </row>
    <row r="229" spans="1:7" x14ac:dyDescent="0.3">
      <c r="A229" s="97" t="str">
        <f>IF(Inputs!$A54="","",Inputs!$A54)</f>
        <v/>
      </c>
      <c r="B229" s="97" t="str">
        <f>IF($A229="","",Inputs!$F54)</f>
        <v/>
      </c>
      <c r="C229" s="102">
        <f>IF($A229="",0,IF(Dashboard!$B$5="All Time",Phasing!$Y409,IF(Dashboard!$B$5="Year",SUMIF(Phasing!$E$3:$X$3,Dashboard!$D$5,Phasing!$E409:$X409),SUMIF(Phasing!$E$4:$X$4,Dashboard!$B$6,Phasing!$E409:$X409))))</f>
        <v>0</v>
      </c>
      <c r="D229" s="102">
        <f>IF($A229="",0,IF(Dashboard!$B$5="All Time",Phasing!$Y410,IF(Dashboard!$B$5="Year",SUMIF(Phasing!$E$3:$X$3,Dashboard!$D$5,Phasing!$E410:$X410),SUMIF(Phasing!$E$4:$X$4,Dashboard!$B$6,Phasing!$E410:$X410))))</f>
        <v>0</v>
      </c>
      <c r="E229" s="102">
        <f>IF($A229="",0,IF(Dashboard!$B$5="All Time",Phasing!$Y411,IF(Dashboard!$B$5="Year",SUMIF(Phasing!$E$3:$X$3,Dashboard!$D$5,Phasing!$E411:$X411),SUMIF(Phasing!$E$4:$X$4,Dashboard!$B$6,Phasing!$E411:$X411))))</f>
        <v>0</v>
      </c>
      <c r="F229" s="102">
        <f t="shared" si="7"/>
        <v>0</v>
      </c>
      <c r="G229" s="97" t="str">
        <f>IF($F229&lt;=0,"",COUNTIF($F$181:$F229,"&gt;0"))</f>
        <v/>
      </c>
    </row>
    <row r="230" spans="1:7" x14ac:dyDescent="0.3">
      <c r="A230" s="97" t="str">
        <f>IF(Inputs!$A55="","",Inputs!$A55)</f>
        <v/>
      </c>
      <c r="B230" s="97" t="str">
        <f>IF($A230="","",Inputs!$F55)</f>
        <v/>
      </c>
      <c r="C230" s="102">
        <f>IF($A230="",0,IF(Dashboard!$B$5="All Time",Phasing!$Y412,IF(Dashboard!$B$5="Year",SUMIF(Phasing!$E$3:$X$3,Dashboard!$D$5,Phasing!$E412:$X412),SUMIF(Phasing!$E$4:$X$4,Dashboard!$B$6,Phasing!$E412:$X412))))</f>
        <v>0</v>
      </c>
      <c r="D230" s="102">
        <f>IF($A230="",0,IF(Dashboard!$B$5="All Time",Phasing!$Y413,IF(Dashboard!$B$5="Year",SUMIF(Phasing!$E$3:$X$3,Dashboard!$D$5,Phasing!$E413:$X413),SUMIF(Phasing!$E$4:$X$4,Dashboard!$B$6,Phasing!$E413:$X413))))</f>
        <v>0</v>
      </c>
      <c r="E230" s="102">
        <f>IF($A230="",0,IF(Dashboard!$B$5="All Time",Phasing!$Y414,IF(Dashboard!$B$5="Year",SUMIF(Phasing!$E$3:$X$3,Dashboard!$D$5,Phasing!$E414:$X414),SUMIF(Phasing!$E$4:$X$4,Dashboard!$B$6,Phasing!$E414:$X414))))</f>
        <v>0</v>
      </c>
      <c r="F230" s="102">
        <f t="shared" si="7"/>
        <v>0</v>
      </c>
      <c r="G230" s="97" t="str">
        <f>IF($F230&lt;=0,"",COUNTIF($F$181:$F230,"&gt;0"))</f>
        <v/>
      </c>
    </row>
    <row r="231" spans="1:7" x14ac:dyDescent="0.3">
      <c r="A231" s="97" t="str">
        <f>IF(Inputs!$A56="","",Inputs!$A56)</f>
        <v/>
      </c>
      <c r="B231" s="97" t="str">
        <f>IF($A231="","",Inputs!$F56)</f>
        <v/>
      </c>
      <c r="C231" s="102">
        <f>IF($A231="",0,IF(Dashboard!$B$5="All Time",Phasing!$Y415,IF(Dashboard!$B$5="Year",SUMIF(Phasing!$E$3:$X$3,Dashboard!$D$5,Phasing!$E415:$X415),SUMIF(Phasing!$E$4:$X$4,Dashboard!$B$6,Phasing!$E415:$X415))))</f>
        <v>0</v>
      </c>
      <c r="D231" s="102">
        <f>IF($A231="",0,IF(Dashboard!$B$5="All Time",Phasing!$Y416,IF(Dashboard!$B$5="Year",SUMIF(Phasing!$E$3:$X$3,Dashboard!$D$5,Phasing!$E416:$X416),SUMIF(Phasing!$E$4:$X$4,Dashboard!$B$6,Phasing!$E416:$X416))))</f>
        <v>0</v>
      </c>
      <c r="E231" s="102">
        <f>IF($A231="",0,IF(Dashboard!$B$5="All Time",Phasing!$Y417,IF(Dashboard!$B$5="Year",SUMIF(Phasing!$E$3:$X$3,Dashboard!$D$5,Phasing!$E417:$X417),SUMIF(Phasing!$E$4:$X$4,Dashboard!$B$6,Phasing!$E417:$X417))))</f>
        <v>0</v>
      </c>
      <c r="F231" s="102">
        <f t="shared" si="7"/>
        <v>0</v>
      </c>
      <c r="G231" s="97" t="str">
        <f>IF($F231&lt;=0,"",COUNTIF($F$181:$F231,"&gt;0"))</f>
        <v/>
      </c>
    </row>
    <row r="232" spans="1:7" x14ac:dyDescent="0.3">
      <c r="A232" s="97" t="str">
        <f>IF(Inputs!$A57="","",Inputs!$A57)</f>
        <v/>
      </c>
      <c r="B232" s="97" t="str">
        <f>IF($A232="","",Inputs!$F57)</f>
        <v/>
      </c>
      <c r="C232" s="102">
        <f>IF($A232="",0,IF(Dashboard!$B$5="All Time",Phasing!$Y418,IF(Dashboard!$B$5="Year",SUMIF(Phasing!$E$3:$X$3,Dashboard!$D$5,Phasing!$E418:$X418),SUMIF(Phasing!$E$4:$X$4,Dashboard!$B$6,Phasing!$E418:$X418))))</f>
        <v>0</v>
      </c>
      <c r="D232" s="102">
        <f>IF($A232="",0,IF(Dashboard!$B$5="All Time",Phasing!$Y419,IF(Dashboard!$B$5="Year",SUMIF(Phasing!$E$3:$X$3,Dashboard!$D$5,Phasing!$E419:$X419),SUMIF(Phasing!$E$4:$X$4,Dashboard!$B$6,Phasing!$E419:$X419))))</f>
        <v>0</v>
      </c>
      <c r="E232" s="102">
        <f>IF($A232="",0,IF(Dashboard!$B$5="All Time",Phasing!$Y420,IF(Dashboard!$B$5="Year",SUMIF(Phasing!$E$3:$X$3,Dashboard!$D$5,Phasing!$E420:$X420),SUMIF(Phasing!$E$4:$X$4,Dashboard!$B$6,Phasing!$E420:$X420))))</f>
        <v>0</v>
      </c>
      <c r="F232" s="102">
        <f t="shared" si="7"/>
        <v>0</v>
      </c>
      <c r="G232" s="97" t="str">
        <f>IF($F232&lt;=0,"",COUNTIF($F$181:$F232,"&gt;0"))</f>
        <v/>
      </c>
    </row>
    <row r="233" spans="1:7" x14ac:dyDescent="0.3">
      <c r="A233" s="97" t="str">
        <f>IF(Inputs!$A58="","",Inputs!$A58)</f>
        <v/>
      </c>
      <c r="B233" s="97" t="str">
        <f>IF($A233="","",Inputs!$F58)</f>
        <v/>
      </c>
      <c r="C233" s="102">
        <f>IF($A233="",0,IF(Dashboard!$B$5="All Time",Phasing!$Y421,IF(Dashboard!$B$5="Year",SUMIF(Phasing!$E$3:$X$3,Dashboard!$D$5,Phasing!$E421:$X421),SUMIF(Phasing!$E$4:$X$4,Dashboard!$B$6,Phasing!$E421:$X421))))</f>
        <v>0</v>
      </c>
      <c r="D233" s="102">
        <f>IF($A233="",0,IF(Dashboard!$B$5="All Time",Phasing!$Y422,IF(Dashboard!$B$5="Year",SUMIF(Phasing!$E$3:$X$3,Dashboard!$D$5,Phasing!$E422:$X422),SUMIF(Phasing!$E$4:$X$4,Dashboard!$B$6,Phasing!$E422:$X422))))</f>
        <v>0</v>
      </c>
      <c r="E233" s="102">
        <f>IF($A233="",0,IF(Dashboard!$B$5="All Time",Phasing!$Y423,IF(Dashboard!$B$5="Year",SUMIF(Phasing!$E$3:$X$3,Dashboard!$D$5,Phasing!$E423:$X423),SUMIF(Phasing!$E$4:$X$4,Dashboard!$B$6,Phasing!$E423:$X423))))</f>
        <v>0</v>
      </c>
      <c r="F233" s="102">
        <f t="shared" si="7"/>
        <v>0</v>
      </c>
      <c r="G233" s="97" t="str">
        <f>IF($F233&lt;=0,"",COUNTIF($F$181:$F233,"&gt;0"))</f>
        <v/>
      </c>
    </row>
    <row r="234" spans="1:7" x14ac:dyDescent="0.3">
      <c r="A234" s="97" t="str">
        <f>IF(Inputs!$A59="","",Inputs!$A59)</f>
        <v/>
      </c>
      <c r="B234" s="97" t="str">
        <f>IF($A234="","",Inputs!$F59)</f>
        <v/>
      </c>
      <c r="C234" s="102">
        <f>IF($A234="",0,IF(Dashboard!$B$5="All Time",Phasing!$Y424,IF(Dashboard!$B$5="Year",SUMIF(Phasing!$E$3:$X$3,Dashboard!$D$5,Phasing!$E424:$X424),SUMIF(Phasing!$E$4:$X$4,Dashboard!$B$6,Phasing!$E424:$X424))))</f>
        <v>0</v>
      </c>
      <c r="D234" s="102">
        <f>IF($A234="",0,IF(Dashboard!$B$5="All Time",Phasing!$Y425,IF(Dashboard!$B$5="Year",SUMIF(Phasing!$E$3:$X$3,Dashboard!$D$5,Phasing!$E425:$X425),SUMIF(Phasing!$E$4:$X$4,Dashboard!$B$6,Phasing!$E425:$X425))))</f>
        <v>0</v>
      </c>
      <c r="E234" s="102">
        <f>IF($A234="",0,IF(Dashboard!$B$5="All Time",Phasing!$Y426,IF(Dashboard!$B$5="Year",SUMIF(Phasing!$E$3:$X$3,Dashboard!$D$5,Phasing!$E426:$X426),SUMIF(Phasing!$E$4:$X$4,Dashboard!$B$6,Phasing!$E426:$X426))))</f>
        <v>0</v>
      </c>
      <c r="F234" s="102">
        <f t="shared" si="7"/>
        <v>0</v>
      </c>
      <c r="G234" s="97" t="str">
        <f>IF($F234&lt;=0,"",COUNTIF($F$181:$F234,"&gt;0"))</f>
        <v/>
      </c>
    </row>
    <row r="235" spans="1:7" x14ac:dyDescent="0.3">
      <c r="A235" s="97" t="str">
        <f>IF(Inputs!$A60="","",Inputs!$A60)</f>
        <v/>
      </c>
      <c r="B235" s="97" t="str">
        <f>IF($A235="","",Inputs!$F60)</f>
        <v/>
      </c>
      <c r="C235" s="102">
        <f>IF($A235="",0,IF(Dashboard!$B$5="All Time",Phasing!$Y427,IF(Dashboard!$B$5="Year",SUMIF(Phasing!$E$3:$X$3,Dashboard!$D$5,Phasing!$E427:$X427),SUMIF(Phasing!$E$4:$X$4,Dashboard!$B$6,Phasing!$E427:$X427))))</f>
        <v>0</v>
      </c>
      <c r="D235" s="102">
        <f>IF($A235="",0,IF(Dashboard!$B$5="All Time",Phasing!$Y428,IF(Dashboard!$B$5="Year",SUMIF(Phasing!$E$3:$X$3,Dashboard!$D$5,Phasing!$E428:$X428),SUMIF(Phasing!$E$4:$X$4,Dashboard!$B$6,Phasing!$E428:$X428))))</f>
        <v>0</v>
      </c>
      <c r="E235" s="102">
        <f>IF($A235="",0,IF(Dashboard!$B$5="All Time",Phasing!$Y429,IF(Dashboard!$B$5="Year",SUMIF(Phasing!$E$3:$X$3,Dashboard!$D$5,Phasing!$E429:$X429),SUMIF(Phasing!$E$4:$X$4,Dashboard!$B$6,Phasing!$E429:$X429))))</f>
        <v>0</v>
      </c>
      <c r="F235" s="102">
        <f t="shared" si="7"/>
        <v>0</v>
      </c>
      <c r="G235" s="97" t="str">
        <f>IF($F235&lt;=0,"",COUNTIF($F$181:$F235,"&gt;0"))</f>
        <v/>
      </c>
    </row>
    <row r="236" spans="1:7" x14ac:dyDescent="0.3">
      <c r="A236" s="97" t="str">
        <f>IF(Inputs!$A61="","",Inputs!$A61)</f>
        <v/>
      </c>
      <c r="B236" s="97" t="str">
        <f>IF($A236="","",Inputs!$F61)</f>
        <v/>
      </c>
      <c r="C236" s="102">
        <f>IF($A236="",0,IF(Dashboard!$B$5="All Time",Phasing!$Y430,IF(Dashboard!$B$5="Year",SUMIF(Phasing!$E$3:$X$3,Dashboard!$D$5,Phasing!$E430:$X430),SUMIF(Phasing!$E$4:$X$4,Dashboard!$B$6,Phasing!$E430:$X430))))</f>
        <v>0</v>
      </c>
      <c r="D236" s="102">
        <f>IF($A236="",0,IF(Dashboard!$B$5="All Time",Phasing!$Y431,IF(Dashboard!$B$5="Year",SUMIF(Phasing!$E$3:$X$3,Dashboard!$D$5,Phasing!$E431:$X431),SUMIF(Phasing!$E$4:$X$4,Dashboard!$B$6,Phasing!$E431:$X431))))</f>
        <v>0</v>
      </c>
      <c r="E236" s="102">
        <f>IF($A236="",0,IF(Dashboard!$B$5="All Time",Phasing!$Y432,IF(Dashboard!$B$5="Year",SUMIF(Phasing!$E$3:$X$3,Dashboard!$D$5,Phasing!$E432:$X432),SUMIF(Phasing!$E$4:$X$4,Dashboard!$B$6,Phasing!$E432:$X432))))</f>
        <v>0</v>
      </c>
      <c r="F236" s="102">
        <f t="shared" si="7"/>
        <v>0</v>
      </c>
      <c r="G236" s="97" t="str">
        <f>IF($F236&lt;=0,"",COUNTIF($F$181:$F236,"&gt;0"))</f>
        <v/>
      </c>
    </row>
    <row r="237" spans="1:7" x14ac:dyDescent="0.3">
      <c r="A237" s="97" t="str">
        <f>IF(Inputs!$A62="","",Inputs!$A62)</f>
        <v/>
      </c>
      <c r="B237" s="97" t="str">
        <f>IF($A237="","",Inputs!$F62)</f>
        <v/>
      </c>
      <c r="C237" s="102">
        <f>IF($A237="",0,IF(Dashboard!$B$5="All Time",Phasing!$Y433,IF(Dashboard!$B$5="Year",SUMIF(Phasing!$E$3:$X$3,Dashboard!$D$5,Phasing!$E433:$X433),SUMIF(Phasing!$E$4:$X$4,Dashboard!$B$6,Phasing!$E433:$X433))))</f>
        <v>0</v>
      </c>
      <c r="D237" s="102">
        <f>IF($A237="",0,IF(Dashboard!$B$5="All Time",Phasing!$Y434,IF(Dashboard!$B$5="Year",SUMIF(Phasing!$E$3:$X$3,Dashboard!$D$5,Phasing!$E434:$X434),SUMIF(Phasing!$E$4:$X$4,Dashboard!$B$6,Phasing!$E434:$X434))))</f>
        <v>0</v>
      </c>
      <c r="E237" s="102">
        <f>IF($A237="",0,IF(Dashboard!$B$5="All Time",Phasing!$Y435,IF(Dashboard!$B$5="Year",SUMIF(Phasing!$E$3:$X$3,Dashboard!$D$5,Phasing!$E435:$X435),SUMIF(Phasing!$E$4:$X$4,Dashboard!$B$6,Phasing!$E435:$X435))))</f>
        <v>0</v>
      </c>
      <c r="F237" s="102">
        <f t="shared" si="7"/>
        <v>0</v>
      </c>
      <c r="G237" s="97" t="str">
        <f>IF($F237&lt;=0,"",COUNTIF($F$181:$F237,"&gt;0"))</f>
        <v/>
      </c>
    </row>
    <row r="238" spans="1:7" x14ac:dyDescent="0.3">
      <c r="A238" s="97" t="str">
        <f>IF(Inputs!$A63="","",Inputs!$A63)</f>
        <v/>
      </c>
      <c r="B238" s="97" t="str">
        <f>IF($A238="","",Inputs!$F63)</f>
        <v/>
      </c>
      <c r="C238" s="102">
        <f>IF($A238="",0,IF(Dashboard!$B$5="All Time",Phasing!$Y436,IF(Dashboard!$B$5="Year",SUMIF(Phasing!$E$3:$X$3,Dashboard!$D$5,Phasing!$E436:$X436),SUMIF(Phasing!$E$4:$X$4,Dashboard!$B$6,Phasing!$E436:$X436))))</f>
        <v>0</v>
      </c>
      <c r="D238" s="102">
        <f>IF($A238="",0,IF(Dashboard!$B$5="All Time",Phasing!$Y437,IF(Dashboard!$B$5="Year",SUMIF(Phasing!$E$3:$X$3,Dashboard!$D$5,Phasing!$E437:$X437),SUMIF(Phasing!$E$4:$X$4,Dashboard!$B$6,Phasing!$E437:$X437))))</f>
        <v>0</v>
      </c>
      <c r="E238" s="102">
        <f>IF($A238="",0,IF(Dashboard!$B$5="All Time",Phasing!$Y438,IF(Dashboard!$B$5="Year",SUMIF(Phasing!$E$3:$X$3,Dashboard!$D$5,Phasing!$E438:$X438),SUMIF(Phasing!$E$4:$X$4,Dashboard!$B$6,Phasing!$E438:$X438))))</f>
        <v>0</v>
      </c>
      <c r="F238" s="102">
        <f t="shared" si="7"/>
        <v>0</v>
      </c>
      <c r="G238" s="97" t="str">
        <f>IF($F238&lt;=0,"",COUNTIF($F$181:$F238,"&gt;0"))</f>
        <v/>
      </c>
    </row>
    <row r="239" spans="1:7" x14ac:dyDescent="0.3">
      <c r="A239" s="97" t="str">
        <f>IF(Inputs!$A64="","",Inputs!$A64)</f>
        <v/>
      </c>
      <c r="B239" s="97" t="str">
        <f>IF($A239="","",Inputs!$F64)</f>
        <v/>
      </c>
      <c r="C239" s="102">
        <f>IF($A239="",0,IF(Dashboard!$B$5="All Time",Phasing!$Y439,IF(Dashboard!$B$5="Year",SUMIF(Phasing!$E$3:$X$3,Dashboard!$D$5,Phasing!$E439:$X439),SUMIF(Phasing!$E$4:$X$4,Dashboard!$B$6,Phasing!$E439:$X439))))</f>
        <v>0</v>
      </c>
      <c r="D239" s="102">
        <f>IF($A239="",0,IF(Dashboard!$B$5="All Time",Phasing!$Y440,IF(Dashboard!$B$5="Year",SUMIF(Phasing!$E$3:$X$3,Dashboard!$D$5,Phasing!$E440:$X440),SUMIF(Phasing!$E$4:$X$4,Dashboard!$B$6,Phasing!$E440:$X440))))</f>
        <v>0</v>
      </c>
      <c r="E239" s="102">
        <f>IF($A239="",0,IF(Dashboard!$B$5="All Time",Phasing!$Y441,IF(Dashboard!$B$5="Year",SUMIF(Phasing!$E$3:$X$3,Dashboard!$D$5,Phasing!$E441:$X441),SUMIF(Phasing!$E$4:$X$4,Dashboard!$B$6,Phasing!$E441:$X441))))</f>
        <v>0</v>
      </c>
      <c r="F239" s="102">
        <f t="shared" si="7"/>
        <v>0</v>
      </c>
      <c r="G239" s="97" t="str">
        <f>IF($F239&lt;=0,"",COUNTIF($F$181:$F239,"&gt;0"))</f>
        <v/>
      </c>
    </row>
    <row r="240" spans="1:7" x14ac:dyDescent="0.3">
      <c r="A240" s="97" t="str">
        <f>IF(Inputs!$A65="","",Inputs!$A65)</f>
        <v/>
      </c>
      <c r="B240" s="97" t="str">
        <f>IF($A240="","",Inputs!$F65)</f>
        <v/>
      </c>
      <c r="C240" s="102">
        <f>IF($A240="",0,IF(Dashboard!$B$5="All Time",Phasing!$Y442,IF(Dashboard!$B$5="Year",SUMIF(Phasing!$E$3:$X$3,Dashboard!$D$5,Phasing!$E442:$X442),SUMIF(Phasing!$E$4:$X$4,Dashboard!$B$6,Phasing!$E442:$X442))))</f>
        <v>0</v>
      </c>
      <c r="D240" s="102">
        <f>IF($A240="",0,IF(Dashboard!$B$5="All Time",Phasing!$Y443,IF(Dashboard!$B$5="Year",SUMIF(Phasing!$E$3:$X$3,Dashboard!$D$5,Phasing!$E443:$X443),SUMIF(Phasing!$E$4:$X$4,Dashboard!$B$6,Phasing!$E443:$X443))))</f>
        <v>0</v>
      </c>
      <c r="E240" s="102">
        <f>IF($A240="",0,IF(Dashboard!$B$5="All Time",Phasing!$Y444,IF(Dashboard!$B$5="Year",SUMIF(Phasing!$E$3:$X$3,Dashboard!$D$5,Phasing!$E444:$X444),SUMIF(Phasing!$E$4:$X$4,Dashboard!$B$6,Phasing!$E444:$X444))))</f>
        <v>0</v>
      </c>
      <c r="F240" s="102">
        <f t="shared" si="7"/>
        <v>0</v>
      </c>
      <c r="G240" s="97" t="str">
        <f>IF($F240&lt;=0,"",COUNTIF($F$181:$F240,"&gt;0"))</f>
        <v/>
      </c>
    </row>
    <row r="241" spans="1:7" x14ac:dyDescent="0.3">
      <c r="A241" s="97" t="str">
        <f>IF(Inputs!$A66="","",Inputs!$A66)</f>
        <v/>
      </c>
      <c r="B241" s="97" t="str">
        <f>IF($A241="","",Inputs!$F66)</f>
        <v/>
      </c>
      <c r="C241" s="102">
        <f>IF($A241="",0,IF(Dashboard!$B$5="All Time",Phasing!$Y445,IF(Dashboard!$B$5="Year",SUMIF(Phasing!$E$3:$X$3,Dashboard!$D$5,Phasing!$E445:$X445),SUMIF(Phasing!$E$4:$X$4,Dashboard!$B$6,Phasing!$E445:$X445))))</f>
        <v>0</v>
      </c>
      <c r="D241" s="102">
        <f>IF($A241="",0,IF(Dashboard!$B$5="All Time",Phasing!$Y446,IF(Dashboard!$B$5="Year",SUMIF(Phasing!$E$3:$X$3,Dashboard!$D$5,Phasing!$E446:$X446),SUMIF(Phasing!$E$4:$X$4,Dashboard!$B$6,Phasing!$E446:$X446))))</f>
        <v>0</v>
      </c>
      <c r="E241" s="102">
        <f>IF($A241="",0,IF(Dashboard!$B$5="All Time",Phasing!$Y447,IF(Dashboard!$B$5="Year",SUMIF(Phasing!$E$3:$X$3,Dashboard!$D$5,Phasing!$E447:$X447),SUMIF(Phasing!$E$4:$X$4,Dashboard!$B$6,Phasing!$E447:$X447))))</f>
        <v>0</v>
      </c>
      <c r="F241" s="102">
        <f t="shared" si="7"/>
        <v>0</v>
      </c>
      <c r="G241" s="97" t="str">
        <f>IF($F241&lt;=0,"",COUNTIF($F$181:$F241,"&gt;0"))</f>
        <v/>
      </c>
    </row>
    <row r="242" spans="1:7" x14ac:dyDescent="0.3">
      <c r="A242" s="97" t="str">
        <f>IF(Inputs!$A67="","",Inputs!$A67)</f>
        <v/>
      </c>
      <c r="B242" s="97" t="str">
        <f>IF($A242="","",Inputs!$F67)</f>
        <v/>
      </c>
      <c r="C242" s="102">
        <f>IF($A242="",0,IF(Dashboard!$B$5="All Time",Phasing!$Y448,IF(Dashboard!$B$5="Year",SUMIF(Phasing!$E$3:$X$3,Dashboard!$D$5,Phasing!$E448:$X448),SUMIF(Phasing!$E$4:$X$4,Dashboard!$B$6,Phasing!$E448:$X448))))</f>
        <v>0</v>
      </c>
      <c r="D242" s="102">
        <f>IF($A242="",0,IF(Dashboard!$B$5="All Time",Phasing!$Y449,IF(Dashboard!$B$5="Year",SUMIF(Phasing!$E$3:$X$3,Dashboard!$D$5,Phasing!$E449:$X449),SUMIF(Phasing!$E$4:$X$4,Dashboard!$B$6,Phasing!$E449:$X449))))</f>
        <v>0</v>
      </c>
      <c r="E242" s="102">
        <f>IF($A242="",0,IF(Dashboard!$B$5="All Time",Phasing!$Y450,IF(Dashboard!$B$5="Year",SUMIF(Phasing!$E$3:$X$3,Dashboard!$D$5,Phasing!$E450:$X450),SUMIF(Phasing!$E$4:$X$4,Dashboard!$B$6,Phasing!$E450:$X450))))</f>
        <v>0</v>
      </c>
      <c r="F242" s="102">
        <f t="shared" si="7"/>
        <v>0</v>
      </c>
      <c r="G242" s="97" t="str">
        <f>IF($F242&lt;=0,"",COUNTIF($F$181:$F242,"&gt;0"))</f>
        <v/>
      </c>
    </row>
    <row r="243" spans="1:7" x14ac:dyDescent="0.3">
      <c r="A243" s="97" t="str">
        <f>IF(Inputs!$A68="","",Inputs!$A68)</f>
        <v/>
      </c>
      <c r="B243" s="97" t="str">
        <f>IF($A243="","",Inputs!$F68)</f>
        <v/>
      </c>
      <c r="C243" s="102">
        <f>IF($A243="",0,IF(Dashboard!$B$5="All Time",Phasing!$Y451,IF(Dashboard!$B$5="Year",SUMIF(Phasing!$E$3:$X$3,Dashboard!$D$5,Phasing!$E451:$X451),SUMIF(Phasing!$E$4:$X$4,Dashboard!$B$6,Phasing!$E451:$X451))))</f>
        <v>0</v>
      </c>
      <c r="D243" s="102">
        <f>IF($A243="",0,IF(Dashboard!$B$5="All Time",Phasing!$Y452,IF(Dashboard!$B$5="Year",SUMIF(Phasing!$E$3:$X$3,Dashboard!$D$5,Phasing!$E452:$X452),SUMIF(Phasing!$E$4:$X$4,Dashboard!$B$6,Phasing!$E452:$X452))))</f>
        <v>0</v>
      </c>
      <c r="E243" s="102">
        <f>IF($A243="",0,IF(Dashboard!$B$5="All Time",Phasing!$Y453,IF(Dashboard!$B$5="Year",SUMIF(Phasing!$E$3:$X$3,Dashboard!$D$5,Phasing!$E453:$X453),SUMIF(Phasing!$E$4:$X$4,Dashboard!$B$6,Phasing!$E453:$X453))))</f>
        <v>0</v>
      </c>
      <c r="F243" s="102">
        <f t="shared" si="7"/>
        <v>0</v>
      </c>
      <c r="G243" s="97" t="str">
        <f>IF($F243&lt;=0,"",COUNTIF($F$181:$F243,"&gt;0"))</f>
        <v/>
      </c>
    </row>
    <row r="244" spans="1:7" x14ac:dyDescent="0.3">
      <c r="A244" s="97" t="str">
        <f>IF(Inputs!$A69="","",Inputs!$A69)</f>
        <v/>
      </c>
      <c r="B244" s="97" t="str">
        <f>IF($A244="","",Inputs!$F69)</f>
        <v/>
      </c>
      <c r="C244" s="102">
        <f>IF($A244="",0,IF(Dashboard!$B$5="All Time",Phasing!$Y454,IF(Dashboard!$B$5="Year",SUMIF(Phasing!$E$3:$X$3,Dashboard!$D$5,Phasing!$E454:$X454),SUMIF(Phasing!$E$4:$X$4,Dashboard!$B$6,Phasing!$E454:$X454))))</f>
        <v>0</v>
      </c>
      <c r="D244" s="102">
        <f>IF($A244="",0,IF(Dashboard!$B$5="All Time",Phasing!$Y455,IF(Dashboard!$B$5="Year",SUMIF(Phasing!$E$3:$X$3,Dashboard!$D$5,Phasing!$E455:$X455),SUMIF(Phasing!$E$4:$X$4,Dashboard!$B$6,Phasing!$E455:$X455))))</f>
        <v>0</v>
      </c>
      <c r="E244" s="102">
        <f>IF($A244="",0,IF(Dashboard!$B$5="All Time",Phasing!$Y456,IF(Dashboard!$B$5="Year",SUMIF(Phasing!$E$3:$X$3,Dashboard!$D$5,Phasing!$E456:$X456),SUMIF(Phasing!$E$4:$X$4,Dashboard!$B$6,Phasing!$E456:$X456))))</f>
        <v>0</v>
      </c>
      <c r="F244" s="102">
        <f t="shared" si="7"/>
        <v>0</v>
      </c>
      <c r="G244" s="97" t="str">
        <f>IF($F244&lt;=0,"",COUNTIF($F$181:$F244,"&gt;0"))</f>
        <v/>
      </c>
    </row>
    <row r="245" spans="1:7" x14ac:dyDescent="0.3">
      <c r="A245" s="97" t="str">
        <f>IF(Inputs!$A70="","",Inputs!$A70)</f>
        <v/>
      </c>
      <c r="B245" s="97" t="str">
        <f>IF($A245="","",Inputs!$F70)</f>
        <v/>
      </c>
      <c r="C245" s="102">
        <f>IF($A245="",0,IF(Dashboard!$B$5="All Time",Phasing!$Y457,IF(Dashboard!$B$5="Year",SUMIF(Phasing!$E$3:$X$3,Dashboard!$D$5,Phasing!$E457:$X457),SUMIF(Phasing!$E$4:$X$4,Dashboard!$B$6,Phasing!$E457:$X457))))</f>
        <v>0</v>
      </c>
      <c r="D245" s="102">
        <f>IF($A245="",0,IF(Dashboard!$B$5="All Time",Phasing!$Y458,IF(Dashboard!$B$5="Year",SUMIF(Phasing!$E$3:$X$3,Dashboard!$D$5,Phasing!$E458:$X458),SUMIF(Phasing!$E$4:$X$4,Dashboard!$B$6,Phasing!$E458:$X458))))</f>
        <v>0</v>
      </c>
      <c r="E245" s="102">
        <f>IF($A245="",0,IF(Dashboard!$B$5="All Time",Phasing!$Y459,IF(Dashboard!$B$5="Year",SUMIF(Phasing!$E$3:$X$3,Dashboard!$D$5,Phasing!$E459:$X459),SUMIF(Phasing!$E$4:$X$4,Dashboard!$B$6,Phasing!$E459:$X459))))</f>
        <v>0</v>
      </c>
      <c r="F245" s="102">
        <f t="shared" ref="F245:F260" si="8">SUM($C245:$E245)</f>
        <v>0</v>
      </c>
      <c r="G245" s="97" t="str">
        <f>IF($F245&lt;=0,"",COUNTIF($F$181:$F245,"&gt;0"))</f>
        <v/>
      </c>
    </row>
    <row r="246" spans="1:7" x14ac:dyDescent="0.3">
      <c r="A246" s="97" t="str">
        <f>IF(Inputs!$A71="","",Inputs!$A71)</f>
        <v/>
      </c>
      <c r="B246" s="97" t="str">
        <f>IF($A246="","",Inputs!$F71)</f>
        <v/>
      </c>
      <c r="C246" s="102">
        <f>IF($A246="",0,IF(Dashboard!$B$5="All Time",Phasing!$Y460,IF(Dashboard!$B$5="Year",SUMIF(Phasing!$E$3:$X$3,Dashboard!$D$5,Phasing!$E460:$X460),SUMIF(Phasing!$E$4:$X$4,Dashboard!$B$6,Phasing!$E460:$X460))))</f>
        <v>0</v>
      </c>
      <c r="D246" s="102">
        <f>IF($A246="",0,IF(Dashboard!$B$5="All Time",Phasing!$Y461,IF(Dashboard!$B$5="Year",SUMIF(Phasing!$E$3:$X$3,Dashboard!$D$5,Phasing!$E461:$X461),SUMIF(Phasing!$E$4:$X$4,Dashboard!$B$6,Phasing!$E461:$X461))))</f>
        <v>0</v>
      </c>
      <c r="E246" s="102">
        <f>IF($A246="",0,IF(Dashboard!$B$5="All Time",Phasing!$Y462,IF(Dashboard!$B$5="Year",SUMIF(Phasing!$E$3:$X$3,Dashboard!$D$5,Phasing!$E462:$X462),SUMIF(Phasing!$E$4:$X$4,Dashboard!$B$6,Phasing!$E462:$X462))))</f>
        <v>0</v>
      </c>
      <c r="F246" s="102">
        <f t="shared" si="8"/>
        <v>0</v>
      </c>
      <c r="G246" s="97" t="str">
        <f>IF($F246&lt;=0,"",COUNTIF($F$181:$F246,"&gt;0"))</f>
        <v/>
      </c>
    </row>
    <row r="247" spans="1:7" x14ac:dyDescent="0.3">
      <c r="A247" s="97" t="str">
        <f>IF(Inputs!$A72="","",Inputs!$A72)</f>
        <v/>
      </c>
      <c r="B247" s="97" t="str">
        <f>IF($A247="","",Inputs!$F72)</f>
        <v/>
      </c>
      <c r="C247" s="102">
        <f>IF($A247="",0,IF(Dashboard!$B$5="All Time",Phasing!$Y463,IF(Dashboard!$B$5="Year",SUMIF(Phasing!$E$3:$X$3,Dashboard!$D$5,Phasing!$E463:$X463),SUMIF(Phasing!$E$4:$X$4,Dashboard!$B$6,Phasing!$E463:$X463))))</f>
        <v>0</v>
      </c>
      <c r="D247" s="102">
        <f>IF($A247="",0,IF(Dashboard!$B$5="All Time",Phasing!$Y464,IF(Dashboard!$B$5="Year",SUMIF(Phasing!$E$3:$X$3,Dashboard!$D$5,Phasing!$E464:$X464),SUMIF(Phasing!$E$4:$X$4,Dashboard!$B$6,Phasing!$E464:$X464))))</f>
        <v>0</v>
      </c>
      <c r="E247" s="102">
        <f>IF($A247="",0,IF(Dashboard!$B$5="All Time",Phasing!$Y465,IF(Dashboard!$B$5="Year",SUMIF(Phasing!$E$3:$X$3,Dashboard!$D$5,Phasing!$E465:$X465),SUMIF(Phasing!$E$4:$X$4,Dashboard!$B$6,Phasing!$E465:$X465))))</f>
        <v>0</v>
      </c>
      <c r="F247" s="102">
        <f t="shared" si="8"/>
        <v>0</v>
      </c>
      <c r="G247" s="97" t="str">
        <f>IF($F247&lt;=0,"",COUNTIF($F$181:$F247,"&gt;0"))</f>
        <v/>
      </c>
    </row>
    <row r="248" spans="1:7" x14ac:dyDescent="0.3">
      <c r="A248" s="97" t="str">
        <f>IF(Inputs!$A73="","",Inputs!$A73)</f>
        <v/>
      </c>
      <c r="B248" s="97" t="str">
        <f>IF($A248="","",Inputs!$F73)</f>
        <v/>
      </c>
      <c r="C248" s="102">
        <f>IF($A248="",0,IF(Dashboard!$B$5="All Time",Phasing!$Y466,IF(Dashboard!$B$5="Year",SUMIF(Phasing!$E$3:$X$3,Dashboard!$D$5,Phasing!$E466:$X466),SUMIF(Phasing!$E$4:$X$4,Dashboard!$B$6,Phasing!$E466:$X466))))</f>
        <v>0</v>
      </c>
      <c r="D248" s="102">
        <f>IF($A248="",0,IF(Dashboard!$B$5="All Time",Phasing!$Y467,IF(Dashboard!$B$5="Year",SUMIF(Phasing!$E$3:$X$3,Dashboard!$D$5,Phasing!$E467:$X467),SUMIF(Phasing!$E$4:$X$4,Dashboard!$B$6,Phasing!$E467:$X467))))</f>
        <v>0</v>
      </c>
      <c r="E248" s="102">
        <f>IF($A248="",0,IF(Dashboard!$B$5="All Time",Phasing!$Y468,IF(Dashboard!$B$5="Year",SUMIF(Phasing!$E$3:$X$3,Dashboard!$D$5,Phasing!$E468:$X468),SUMIF(Phasing!$E$4:$X$4,Dashboard!$B$6,Phasing!$E468:$X468))))</f>
        <v>0</v>
      </c>
      <c r="F248" s="102">
        <f t="shared" si="8"/>
        <v>0</v>
      </c>
      <c r="G248" s="97" t="str">
        <f>IF($F248&lt;=0,"",COUNTIF($F$181:$F248,"&gt;0"))</f>
        <v/>
      </c>
    </row>
    <row r="249" spans="1:7" x14ac:dyDescent="0.3">
      <c r="A249" s="97" t="str">
        <f>IF(Inputs!$A74="","",Inputs!$A74)</f>
        <v/>
      </c>
      <c r="B249" s="97" t="str">
        <f>IF($A249="","",Inputs!$F74)</f>
        <v/>
      </c>
      <c r="C249" s="102">
        <f>IF($A249="",0,IF(Dashboard!$B$5="All Time",Phasing!$Y469,IF(Dashboard!$B$5="Year",SUMIF(Phasing!$E$3:$X$3,Dashboard!$D$5,Phasing!$E469:$X469),SUMIF(Phasing!$E$4:$X$4,Dashboard!$B$6,Phasing!$E469:$X469))))</f>
        <v>0</v>
      </c>
      <c r="D249" s="102">
        <f>IF($A249="",0,IF(Dashboard!$B$5="All Time",Phasing!$Y470,IF(Dashboard!$B$5="Year",SUMIF(Phasing!$E$3:$X$3,Dashboard!$D$5,Phasing!$E470:$X470),SUMIF(Phasing!$E$4:$X$4,Dashboard!$B$6,Phasing!$E470:$X470))))</f>
        <v>0</v>
      </c>
      <c r="E249" s="102">
        <f>IF($A249="",0,IF(Dashboard!$B$5="All Time",Phasing!$Y471,IF(Dashboard!$B$5="Year",SUMIF(Phasing!$E$3:$X$3,Dashboard!$D$5,Phasing!$E471:$X471),SUMIF(Phasing!$E$4:$X$4,Dashboard!$B$6,Phasing!$E471:$X471))))</f>
        <v>0</v>
      </c>
      <c r="F249" s="102">
        <f t="shared" si="8"/>
        <v>0</v>
      </c>
      <c r="G249" s="97" t="str">
        <f>IF($F249&lt;=0,"",COUNTIF($F$181:$F249,"&gt;0"))</f>
        <v/>
      </c>
    </row>
    <row r="250" spans="1:7" x14ac:dyDescent="0.3">
      <c r="A250" s="97" t="str">
        <f>IF(Inputs!$A75="","",Inputs!$A75)</f>
        <v/>
      </c>
      <c r="B250" s="97" t="str">
        <f>IF($A250="","",Inputs!$F75)</f>
        <v/>
      </c>
      <c r="C250" s="102">
        <f>IF($A250="",0,IF(Dashboard!$B$5="All Time",Phasing!$Y472,IF(Dashboard!$B$5="Year",SUMIF(Phasing!$E$3:$X$3,Dashboard!$D$5,Phasing!$E472:$X472),SUMIF(Phasing!$E$4:$X$4,Dashboard!$B$6,Phasing!$E472:$X472))))</f>
        <v>0</v>
      </c>
      <c r="D250" s="102">
        <f>IF($A250="",0,IF(Dashboard!$B$5="All Time",Phasing!$Y473,IF(Dashboard!$B$5="Year",SUMIF(Phasing!$E$3:$X$3,Dashboard!$D$5,Phasing!$E473:$X473),SUMIF(Phasing!$E$4:$X$4,Dashboard!$B$6,Phasing!$E473:$X473))))</f>
        <v>0</v>
      </c>
      <c r="E250" s="102">
        <f>IF($A250="",0,IF(Dashboard!$B$5="All Time",Phasing!$Y474,IF(Dashboard!$B$5="Year",SUMIF(Phasing!$E$3:$X$3,Dashboard!$D$5,Phasing!$E474:$X474),SUMIF(Phasing!$E$4:$X$4,Dashboard!$B$6,Phasing!$E474:$X474))))</f>
        <v>0</v>
      </c>
      <c r="F250" s="102">
        <f t="shared" si="8"/>
        <v>0</v>
      </c>
      <c r="G250" s="97" t="str">
        <f>IF($F250&lt;=0,"",COUNTIF($F$181:$F250,"&gt;0"))</f>
        <v/>
      </c>
    </row>
    <row r="251" spans="1:7" x14ac:dyDescent="0.3">
      <c r="A251" s="97" t="str">
        <f>IF(Inputs!$A76="","",Inputs!$A76)</f>
        <v/>
      </c>
      <c r="B251" s="97" t="str">
        <f>IF($A251="","",Inputs!$F76)</f>
        <v/>
      </c>
      <c r="C251" s="102">
        <f>IF($A251="",0,IF(Dashboard!$B$5="All Time",Phasing!$Y475,IF(Dashboard!$B$5="Year",SUMIF(Phasing!$E$3:$X$3,Dashboard!$D$5,Phasing!$E475:$X475),SUMIF(Phasing!$E$4:$X$4,Dashboard!$B$6,Phasing!$E475:$X475))))</f>
        <v>0</v>
      </c>
      <c r="D251" s="102">
        <f>IF($A251="",0,IF(Dashboard!$B$5="All Time",Phasing!$Y476,IF(Dashboard!$B$5="Year",SUMIF(Phasing!$E$3:$X$3,Dashboard!$D$5,Phasing!$E476:$X476),SUMIF(Phasing!$E$4:$X$4,Dashboard!$B$6,Phasing!$E476:$X476))))</f>
        <v>0</v>
      </c>
      <c r="E251" s="102">
        <f>IF($A251="",0,IF(Dashboard!$B$5="All Time",Phasing!$Y477,IF(Dashboard!$B$5="Year",SUMIF(Phasing!$E$3:$X$3,Dashboard!$D$5,Phasing!$E477:$X477),SUMIF(Phasing!$E$4:$X$4,Dashboard!$B$6,Phasing!$E477:$X477))))</f>
        <v>0</v>
      </c>
      <c r="F251" s="102">
        <f t="shared" si="8"/>
        <v>0</v>
      </c>
      <c r="G251" s="97" t="str">
        <f>IF($F251&lt;=0,"",COUNTIF($F$181:$F251,"&gt;0"))</f>
        <v/>
      </c>
    </row>
    <row r="252" spans="1:7" x14ac:dyDescent="0.3">
      <c r="A252" s="97" t="str">
        <f>IF(Inputs!$A77="","",Inputs!$A77)</f>
        <v/>
      </c>
      <c r="B252" s="97" t="str">
        <f>IF($A252="","",Inputs!$F77)</f>
        <v/>
      </c>
      <c r="C252" s="102">
        <f>IF($A252="",0,IF(Dashboard!$B$5="All Time",Phasing!$Y478,IF(Dashboard!$B$5="Year",SUMIF(Phasing!$E$3:$X$3,Dashboard!$D$5,Phasing!$E478:$X478),SUMIF(Phasing!$E$4:$X$4,Dashboard!$B$6,Phasing!$E478:$X478))))</f>
        <v>0</v>
      </c>
      <c r="D252" s="102">
        <f>IF($A252="",0,IF(Dashboard!$B$5="All Time",Phasing!$Y479,IF(Dashboard!$B$5="Year",SUMIF(Phasing!$E$3:$X$3,Dashboard!$D$5,Phasing!$E479:$X479),SUMIF(Phasing!$E$4:$X$4,Dashboard!$B$6,Phasing!$E479:$X479))))</f>
        <v>0</v>
      </c>
      <c r="E252" s="102">
        <f>IF($A252="",0,IF(Dashboard!$B$5="All Time",Phasing!$Y480,IF(Dashboard!$B$5="Year",SUMIF(Phasing!$E$3:$X$3,Dashboard!$D$5,Phasing!$E480:$X480),SUMIF(Phasing!$E$4:$X$4,Dashboard!$B$6,Phasing!$E480:$X480))))</f>
        <v>0</v>
      </c>
      <c r="F252" s="102">
        <f t="shared" si="8"/>
        <v>0</v>
      </c>
      <c r="G252" s="97" t="str">
        <f>IF($F252&lt;=0,"",COUNTIF($F$181:$F252,"&gt;0"))</f>
        <v/>
      </c>
    </row>
    <row r="253" spans="1:7" x14ac:dyDescent="0.3">
      <c r="A253" s="97" t="str">
        <f>IF(Inputs!$A78="","",Inputs!$A78)</f>
        <v/>
      </c>
      <c r="B253" s="97" t="str">
        <f>IF($A253="","",Inputs!$F78)</f>
        <v/>
      </c>
      <c r="C253" s="102">
        <f>IF($A253="",0,IF(Dashboard!$B$5="All Time",Phasing!$Y481,IF(Dashboard!$B$5="Year",SUMIF(Phasing!$E$3:$X$3,Dashboard!$D$5,Phasing!$E481:$X481),SUMIF(Phasing!$E$4:$X$4,Dashboard!$B$6,Phasing!$E481:$X481))))</f>
        <v>0</v>
      </c>
      <c r="D253" s="102">
        <f>IF($A253="",0,IF(Dashboard!$B$5="All Time",Phasing!$Y482,IF(Dashboard!$B$5="Year",SUMIF(Phasing!$E$3:$X$3,Dashboard!$D$5,Phasing!$E482:$X482),SUMIF(Phasing!$E$4:$X$4,Dashboard!$B$6,Phasing!$E482:$X482))))</f>
        <v>0</v>
      </c>
      <c r="E253" s="102">
        <f>IF($A253="",0,IF(Dashboard!$B$5="All Time",Phasing!$Y483,IF(Dashboard!$B$5="Year",SUMIF(Phasing!$E$3:$X$3,Dashboard!$D$5,Phasing!$E483:$X483),SUMIF(Phasing!$E$4:$X$4,Dashboard!$B$6,Phasing!$E483:$X483))))</f>
        <v>0</v>
      </c>
      <c r="F253" s="102">
        <f t="shared" si="8"/>
        <v>0</v>
      </c>
      <c r="G253" s="97" t="str">
        <f>IF($F253&lt;=0,"",COUNTIF($F$181:$F253,"&gt;0"))</f>
        <v/>
      </c>
    </row>
    <row r="254" spans="1:7" x14ac:dyDescent="0.3">
      <c r="A254" s="97" t="str">
        <f>IF(Inputs!$A79="","",Inputs!$A79)</f>
        <v/>
      </c>
      <c r="B254" s="97" t="str">
        <f>IF($A254="","",Inputs!$F79)</f>
        <v/>
      </c>
      <c r="C254" s="102">
        <f>IF($A254="",0,IF(Dashboard!$B$5="All Time",Phasing!$Y484,IF(Dashboard!$B$5="Year",SUMIF(Phasing!$E$3:$X$3,Dashboard!$D$5,Phasing!$E484:$X484),SUMIF(Phasing!$E$4:$X$4,Dashboard!$B$6,Phasing!$E484:$X484))))</f>
        <v>0</v>
      </c>
      <c r="D254" s="102">
        <f>IF($A254="",0,IF(Dashboard!$B$5="All Time",Phasing!$Y485,IF(Dashboard!$B$5="Year",SUMIF(Phasing!$E$3:$X$3,Dashboard!$D$5,Phasing!$E485:$X485),SUMIF(Phasing!$E$4:$X$4,Dashboard!$B$6,Phasing!$E485:$X485))))</f>
        <v>0</v>
      </c>
      <c r="E254" s="102">
        <f>IF($A254="",0,IF(Dashboard!$B$5="All Time",Phasing!$Y486,IF(Dashboard!$B$5="Year",SUMIF(Phasing!$E$3:$X$3,Dashboard!$D$5,Phasing!$E486:$X486),SUMIF(Phasing!$E$4:$X$4,Dashboard!$B$6,Phasing!$E486:$X486))))</f>
        <v>0</v>
      </c>
      <c r="F254" s="102">
        <f t="shared" si="8"/>
        <v>0</v>
      </c>
      <c r="G254" s="97" t="str">
        <f>IF($F254&lt;=0,"",COUNTIF($F$181:$F254,"&gt;0"))</f>
        <v/>
      </c>
    </row>
    <row r="255" spans="1:7" x14ac:dyDescent="0.3">
      <c r="A255" s="97" t="str">
        <f>IF(Inputs!$A80="","",Inputs!$A80)</f>
        <v/>
      </c>
      <c r="B255" s="97" t="str">
        <f>IF($A255="","",Inputs!$F80)</f>
        <v/>
      </c>
      <c r="C255" s="102">
        <f>IF($A255="",0,IF(Dashboard!$B$5="All Time",Phasing!$Y487,IF(Dashboard!$B$5="Year",SUMIF(Phasing!$E$3:$X$3,Dashboard!$D$5,Phasing!$E487:$X487),SUMIF(Phasing!$E$4:$X$4,Dashboard!$B$6,Phasing!$E487:$X487))))</f>
        <v>0</v>
      </c>
      <c r="D255" s="102">
        <f>IF($A255="",0,IF(Dashboard!$B$5="All Time",Phasing!$Y488,IF(Dashboard!$B$5="Year",SUMIF(Phasing!$E$3:$X$3,Dashboard!$D$5,Phasing!$E488:$X488),SUMIF(Phasing!$E$4:$X$4,Dashboard!$B$6,Phasing!$E488:$X488))))</f>
        <v>0</v>
      </c>
      <c r="E255" s="102">
        <f>IF($A255="",0,IF(Dashboard!$B$5="All Time",Phasing!$Y489,IF(Dashboard!$B$5="Year",SUMIF(Phasing!$E$3:$X$3,Dashboard!$D$5,Phasing!$E489:$X489),SUMIF(Phasing!$E$4:$X$4,Dashboard!$B$6,Phasing!$E489:$X489))))</f>
        <v>0</v>
      </c>
      <c r="F255" s="102">
        <f t="shared" si="8"/>
        <v>0</v>
      </c>
      <c r="G255" s="97" t="str">
        <f>IF($F255&lt;=0,"",COUNTIF($F$181:$F255,"&gt;0"))</f>
        <v/>
      </c>
    </row>
    <row r="256" spans="1:7" x14ac:dyDescent="0.3">
      <c r="A256" s="97" t="str">
        <f>IF(Inputs!$A81="","",Inputs!$A81)</f>
        <v/>
      </c>
      <c r="B256" s="97" t="str">
        <f>IF($A256="","",Inputs!$F81)</f>
        <v/>
      </c>
      <c r="C256" s="102">
        <f>IF($A256="",0,IF(Dashboard!$B$5="All Time",Phasing!$Y490,IF(Dashboard!$B$5="Year",SUMIF(Phasing!$E$3:$X$3,Dashboard!$D$5,Phasing!$E490:$X490),SUMIF(Phasing!$E$4:$X$4,Dashboard!$B$6,Phasing!$E490:$X490))))</f>
        <v>0</v>
      </c>
      <c r="D256" s="102">
        <f>IF($A256="",0,IF(Dashboard!$B$5="All Time",Phasing!$Y491,IF(Dashboard!$B$5="Year",SUMIF(Phasing!$E$3:$X$3,Dashboard!$D$5,Phasing!$E491:$X491),SUMIF(Phasing!$E$4:$X$4,Dashboard!$B$6,Phasing!$E491:$X491))))</f>
        <v>0</v>
      </c>
      <c r="E256" s="102">
        <f>IF($A256="",0,IF(Dashboard!$B$5="All Time",Phasing!$Y492,IF(Dashboard!$B$5="Year",SUMIF(Phasing!$E$3:$X$3,Dashboard!$D$5,Phasing!$E492:$X492),SUMIF(Phasing!$E$4:$X$4,Dashboard!$B$6,Phasing!$E492:$X492))))</f>
        <v>0</v>
      </c>
      <c r="F256" s="102">
        <f t="shared" si="8"/>
        <v>0</v>
      </c>
      <c r="G256" s="97" t="str">
        <f>IF($F256&lt;=0,"",COUNTIF($F$181:$F256,"&gt;0"))</f>
        <v/>
      </c>
    </row>
    <row r="257" spans="1:7" x14ac:dyDescent="0.3">
      <c r="A257" s="97" t="str">
        <f>IF(Inputs!$A82="","",Inputs!$A82)</f>
        <v/>
      </c>
      <c r="B257" s="97" t="str">
        <f>IF($A257="","",Inputs!$F82)</f>
        <v/>
      </c>
      <c r="C257" s="102">
        <f>IF($A257="",0,IF(Dashboard!$B$5="All Time",Phasing!$Y493,IF(Dashboard!$B$5="Year",SUMIF(Phasing!$E$3:$X$3,Dashboard!$D$5,Phasing!$E493:$X493),SUMIF(Phasing!$E$4:$X$4,Dashboard!$B$6,Phasing!$E493:$X493))))</f>
        <v>0</v>
      </c>
      <c r="D257" s="102">
        <f>IF($A257="",0,IF(Dashboard!$B$5="All Time",Phasing!$Y494,IF(Dashboard!$B$5="Year",SUMIF(Phasing!$E$3:$X$3,Dashboard!$D$5,Phasing!$E494:$X494),SUMIF(Phasing!$E$4:$X$4,Dashboard!$B$6,Phasing!$E494:$X494))))</f>
        <v>0</v>
      </c>
      <c r="E257" s="102">
        <f>IF($A257="",0,IF(Dashboard!$B$5="All Time",Phasing!$Y495,IF(Dashboard!$B$5="Year",SUMIF(Phasing!$E$3:$X$3,Dashboard!$D$5,Phasing!$E495:$X495),SUMIF(Phasing!$E$4:$X$4,Dashboard!$B$6,Phasing!$E495:$X495))))</f>
        <v>0</v>
      </c>
      <c r="F257" s="102">
        <f t="shared" si="8"/>
        <v>0</v>
      </c>
      <c r="G257" s="97" t="str">
        <f>IF($F257&lt;=0,"",COUNTIF($F$181:$F257,"&gt;0"))</f>
        <v/>
      </c>
    </row>
    <row r="258" spans="1:7" x14ac:dyDescent="0.3">
      <c r="A258" s="97" t="str">
        <f>IF(Inputs!$A83="","",Inputs!$A83)</f>
        <v/>
      </c>
      <c r="B258" s="97" t="str">
        <f>IF($A258="","",Inputs!$F83)</f>
        <v/>
      </c>
      <c r="C258" s="102">
        <f>IF($A258="",0,IF(Dashboard!$B$5="All Time",Phasing!$Y496,IF(Dashboard!$B$5="Year",SUMIF(Phasing!$E$3:$X$3,Dashboard!$D$5,Phasing!$E496:$X496),SUMIF(Phasing!$E$4:$X$4,Dashboard!$B$6,Phasing!$E496:$X496))))</f>
        <v>0</v>
      </c>
      <c r="D258" s="102">
        <f>IF($A258="",0,IF(Dashboard!$B$5="All Time",Phasing!$Y497,IF(Dashboard!$B$5="Year",SUMIF(Phasing!$E$3:$X$3,Dashboard!$D$5,Phasing!$E497:$X497),SUMIF(Phasing!$E$4:$X$4,Dashboard!$B$6,Phasing!$E497:$X497))))</f>
        <v>0</v>
      </c>
      <c r="E258" s="102">
        <f>IF($A258="",0,IF(Dashboard!$B$5="All Time",Phasing!$Y498,IF(Dashboard!$B$5="Year",SUMIF(Phasing!$E$3:$X$3,Dashboard!$D$5,Phasing!$E498:$X498),SUMIF(Phasing!$E$4:$X$4,Dashboard!$B$6,Phasing!$E498:$X498))))</f>
        <v>0</v>
      </c>
      <c r="F258" s="102">
        <f t="shared" si="8"/>
        <v>0</v>
      </c>
      <c r="G258" s="97" t="str">
        <f>IF($F258&lt;=0,"",COUNTIF($F$181:$F258,"&gt;0"))</f>
        <v/>
      </c>
    </row>
    <row r="259" spans="1:7" x14ac:dyDescent="0.3">
      <c r="A259" s="97" t="str">
        <f>IF(Inputs!$A84="","",Inputs!$A84)</f>
        <v/>
      </c>
      <c r="B259" s="97" t="str">
        <f>IF($A259="","",Inputs!$F84)</f>
        <v/>
      </c>
      <c r="C259" s="102">
        <f>IF($A259="",0,IF(Dashboard!$B$5="All Time",Phasing!$Y499,IF(Dashboard!$B$5="Year",SUMIF(Phasing!$E$3:$X$3,Dashboard!$D$5,Phasing!$E499:$X499),SUMIF(Phasing!$E$4:$X$4,Dashboard!$B$6,Phasing!$E499:$X499))))</f>
        <v>0</v>
      </c>
      <c r="D259" s="102">
        <f>IF($A259="",0,IF(Dashboard!$B$5="All Time",Phasing!$Y500,IF(Dashboard!$B$5="Year",SUMIF(Phasing!$E$3:$X$3,Dashboard!$D$5,Phasing!$E500:$X500),SUMIF(Phasing!$E$4:$X$4,Dashboard!$B$6,Phasing!$E500:$X500))))</f>
        <v>0</v>
      </c>
      <c r="E259" s="102">
        <f>IF($A259="",0,IF(Dashboard!$B$5="All Time",Phasing!$Y501,IF(Dashboard!$B$5="Year",SUMIF(Phasing!$E$3:$X$3,Dashboard!$D$5,Phasing!$E501:$X501),SUMIF(Phasing!$E$4:$X$4,Dashboard!$B$6,Phasing!$E501:$X501))))</f>
        <v>0</v>
      </c>
      <c r="F259" s="102">
        <f t="shared" si="8"/>
        <v>0</v>
      </c>
      <c r="G259" s="97" t="str">
        <f>IF($F259&lt;=0,"",COUNTIF($F$181:$F259,"&gt;0"))</f>
        <v/>
      </c>
    </row>
    <row r="260" spans="1:7" x14ac:dyDescent="0.3">
      <c r="A260" s="97" t="str">
        <f>IF(Inputs!$A85="","",Inputs!$A85)</f>
        <v/>
      </c>
      <c r="B260" s="97" t="str">
        <f>IF($A260="","",Inputs!$F85)</f>
        <v/>
      </c>
      <c r="C260" s="102">
        <f>IF($A260="",0,IF(Dashboard!$B$5="All Time",Phasing!$Y502,IF(Dashboard!$B$5="Year",SUMIF(Phasing!$E$3:$X$3,Dashboard!$D$5,Phasing!$E502:$X502),SUMIF(Phasing!$E$4:$X$4,Dashboard!$B$6,Phasing!$E502:$X502))))</f>
        <v>0</v>
      </c>
      <c r="D260" s="102">
        <f>IF($A260="",0,IF(Dashboard!$B$5="All Time",Phasing!$Y503,IF(Dashboard!$B$5="Year",SUMIF(Phasing!$E$3:$X$3,Dashboard!$D$5,Phasing!$E503:$X503),SUMIF(Phasing!$E$4:$X$4,Dashboard!$B$6,Phasing!$E503:$X503))))</f>
        <v>0</v>
      </c>
      <c r="E260" s="102">
        <f>IF($A260="",0,IF(Dashboard!$B$5="All Time",Phasing!$Y504,IF(Dashboard!$B$5="Year",SUMIF(Phasing!$E$3:$X$3,Dashboard!$D$5,Phasing!$E504:$X504),SUMIF(Phasing!$E$4:$X$4,Dashboard!$B$6,Phasing!$E504:$X504))))</f>
        <v>0</v>
      </c>
      <c r="F260" s="102">
        <f t="shared" si="8"/>
        <v>0</v>
      </c>
      <c r="G260" s="97" t="str">
        <f>IF($F260&lt;=0,"",COUNTIF($F$181:$F260,"&gt;0"))</f>
        <v/>
      </c>
    </row>
    <row r="264" spans="1:7" x14ac:dyDescent="0.3">
      <c r="A264" s="98" t="s">
        <v>292</v>
      </c>
      <c r="B264" s="98"/>
      <c r="C264" s="98"/>
      <c r="D264" s="98"/>
    </row>
    <row r="265" spans="1:7" x14ac:dyDescent="0.3">
      <c r="A265" s="98" t="s">
        <v>51</v>
      </c>
      <c r="B265" s="98" t="str">
        <f>Inputs!$A$91</f>
        <v>Ahmed</v>
      </c>
      <c r="C265" s="98" t="str">
        <f>Inputs!$A$92</f>
        <v>Osama</v>
      </c>
      <c r="D265" s="98" t="str">
        <f>Inputs!$A$93</f>
        <v>Kirolos</v>
      </c>
    </row>
    <row r="266" spans="1:7" x14ac:dyDescent="0.3">
      <c r="A266" s="98" t="str">
        <f>Analysis!E$4</f>
        <v>Q1-24</v>
      </c>
      <c r="B266" s="98">
        <f>Phasing!E$680</f>
        <v>2.8959459459459458</v>
      </c>
      <c r="C266" s="98">
        <f>Phasing!E$681</f>
        <v>0.84054054054054061</v>
      </c>
      <c r="D266" s="98">
        <f>Phasing!E$682</f>
        <v>0</v>
      </c>
    </row>
    <row r="267" spans="1:7" x14ac:dyDescent="0.3">
      <c r="A267" s="98" t="str">
        <f>Analysis!F$4</f>
        <v>Q2-24</v>
      </c>
      <c r="B267" s="98">
        <f>Phasing!F$680</f>
        <v>2.3378378378378382</v>
      </c>
      <c r="C267" s="98">
        <f>Phasing!F$681</f>
        <v>1.1445945945945946</v>
      </c>
      <c r="D267" s="98">
        <f>Phasing!F$682</f>
        <v>0</v>
      </c>
    </row>
    <row r="268" spans="1:7" x14ac:dyDescent="0.3">
      <c r="A268" s="98" t="str">
        <f>Analysis!G$4</f>
        <v>Q3-24</v>
      </c>
      <c r="B268" s="98">
        <f>Phasing!G$680</f>
        <v>2.7391891891891889</v>
      </c>
      <c r="C268" s="98">
        <f>Phasing!G$681</f>
        <v>1.9243243243243242</v>
      </c>
      <c r="D268" s="98">
        <f>Phasing!G$682</f>
        <v>1.2675675675675677</v>
      </c>
    </row>
    <row r="269" spans="1:7" x14ac:dyDescent="0.3">
      <c r="A269" s="98" t="str">
        <f>Analysis!H$4</f>
        <v>Q4-24</v>
      </c>
      <c r="B269" s="98">
        <f>Phasing!H$680</f>
        <v>2.7729729729729726</v>
      </c>
      <c r="C269" s="98">
        <f>Phasing!H$681</f>
        <v>3.0054054054054049</v>
      </c>
      <c r="D269" s="98">
        <f>Phasing!H$682</f>
        <v>2.2999999999999998</v>
      </c>
    </row>
    <row r="270" spans="1:7" x14ac:dyDescent="0.3">
      <c r="A270" s="98" t="str">
        <f>Analysis!I$4</f>
        <v>Q1-25</v>
      </c>
      <c r="B270" s="98">
        <f>Phasing!I$680</f>
        <v>2.224324324324324</v>
      </c>
      <c r="C270" s="98">
        <f>Phasing!I$681</f>
        <v>2.5621621621621622</v>
      </c>
      <c r="D270" s="98">
        <f>Phasing!I$682</f>
        <v>2.4472972972972973</v>
      </c>
    </row>
    <row r="271" spans="1:7" x14ac:dyDescent="0.3">
      <c r="A271" s="98" t="str">
        <f>Analysis!J$4</f>
        <v>Q2-25</v>
      </c>
      <c r="B271" s="98">
        <f>Phasing!J$680</f>
        <v>2.0716216216216217</v>
      </c>
      <c r="C271" s="98">
        <f>Phasing!J$681</f>
        <v>2.1459459459459458</v>
      </c>
      <c r="D271" s="98">
        <f>Phasing!J$682</f>
        <v>1.7432432432432432</v>
      </c>
    </row>
    <row r="272" spans="1:7" x14ac:dyDescent="0.3">
      <c r="A272" s="98" t="str">
        <f>Analysis!K$4</f>
        <v>Q3-25</v>
      </c>
      <c r="B272" s="98">
        <f>Phasing!K$680</f>
        <v>2.2554054054054054</v>
      </c>
      <c r="C272" s="98">
        <f>Phasing!K$681</f>
        <v>3.2472972972972971</v>
      </c>
      <c r="D272" s="98">
        <f>Phasing!K$682</f>
        <v>3.2824324324324325</v>
      </c>
    </row>
    <row r="273" spans="1:4" x14ac:dyDescent="0.3">
      <c r="A273" s="98" t="str">
        <f>Analysis!L$4</f>
        <v>Q4-25</v>
      </c>
      <c r="B273" s="98">
        <f>Phasing!L$680</f>
        <v>2.7081081081081084</v>
      </c>
      <c r="C273" s="98">
        <f>Phasing!L$681</f>
        <v>2.7648648648648653</v>
      </c>
      <c r="D273" s="98">
        <f>Phasing!L$682</f>
        <v>2.7054054054054055</v>
      </c>
    </row>
    <row r="274" spans="1:4" x14ac:dyDescent="0.3">
      <c r="A274" s="98" t="str">
        <f>Analysis!M$4</f>
        <v>Q1-26</v>
      </c>
      <c r="B274" s="98">
        <f>Phasing!M$680</f>
        <v>2.2689189189189189</v>
      </c>
      <c r="C274" s="98">
        <f>Phasing!M$681</f>
        <v>2.137837837837838</v>
      </c>
      <c r="D274" s="98">
        <f>Phasing!M$682</f>
        <v>2.2378378378378376</v>
      </c>
    </row>
    <row r="275" spans="1:4" x14ac:dyDescent="0.3">
      <c r="A275" s="98" t="str">
        <f>Analysis!N$4</f>
        <v>Q2-26</v>
      </c>
      <c r="B275" s="98">
        <f>Phasing!N$680</f>
        <v>2.7554054054054058</v>
      </c>
      <c r="C275" s="98">
        <f>Phasing!N$681</f>
        <v>2.5378378378378379</v>
      </c>
      <c r="D275" s="98">
        <f>Phasing!N$682</f>
        <v>2.5054054054054054</v>
      </c>
    </row>
    <row r="276" spans="1:4" x14ac:dyDescent="0.3">
      <c r="A276" s="98" t="str">
        <f>Analysis!O$4</f>
        <v>Q3-26</v>
      </c>
      <c r="B276" s="98">
        <f>Phasing!O$680</f>
        <v>0.69729729729729728</v>
      </c>
      <c r="C276" s="98">
        <f>Phasing!O$681</f>
        <v>1.318918918918919</v>
      </c>
      <c r="D276" s="98">
        <f>Phasing!O$682</f>
        <v>1.4486486486486487</v>
      </c>
    </row>
    <row r="277" spans="1:4" x14ac:dyDescent="0.3">
      <c r="A277" s="98" t="str">
        <f>Analysis!P$4</f>
        <v>Q4-26</v>
      </c>
      <c r="B277" s="98">
        <f>Phasing!P$680</f>
        <v>0</v>
      </c>
      <c r="C277" s="98">
        <f>Phasing!P$681</f>
        <v>0</v>
      </c>
      <c r="D277" s="98">
        <f>Phasing!P$682</f>
        <v>0</v>
      </c>
    </row>
    <row r="278" spans="1:4" x14ac:dyDescent="0.3">
      <c r="A278" s="98" t="str">
        <f>Analysis!Q$4</f>
        <v>Q1-27</v>
      </c>
      <c r="B278" s="98">
        <f>Phasing!Q$680</f>
        <v>0</v>
      </c>
      <c r="C278" s="98">
        <f>Phasing!Q$681</f>
        <v>0</v>
      </c>
      <c r="D278" s="98">
        <f>Phasing!Q$682</f>
        <v>0</v>
      </c>
    </row>
    <row r="279" spans="1:4" x14ac:dyDescent="0.3">
      <c r="A279" s="98" t="str">
        <f>Analysis!R$4</f>
        <v>Q2-27</v>
      </c>
      <c r="B279" s="98">
        <f>Phasing!R$680</f>
        <v>0</v>
      </c>
      <c r="C279" s="98">
        <f>Phasing!R$681</f>
        <v>0</v>
      </c>
      <c r="D279" s="98">
        <f>Phasing!R$682</f>
        <v>0</v>
      </c>
    </row>
    <row r="280" spans="1:4" x14ac:dyDescent="0.3">
      <c r="A280" s="98" t="str">
        <f>Analysis!S$4</f>
        <v>Q3-27</v>
      </c>
      <c r="B280" s="98">
        <f>Phasing!S$680</f>
        <v>0</v>
      </c>
      <c r="C280" s="98">
        <f>Phasing!S$681</f>
        <v>0</v>
      </c>
      <c r="D280" s="98">
        <f>Phasing!S$682</f>
        <v>0</v>
      </c>
    </row>
    <row r="281" spans="1:4" x14ac:dyDescent="0.3">
      <c r="A281" s="98" t="str">
        <f>Analysis!T$4</f>
        <v>Q4-27</v>
      </c>
      <c r="B281" s="98">
        <f>Phasing!T$680</f>
        <v>0</v>
      </c>
      <c r="C281" s="98">
        <f>Phasing!T$681</f>
        <v>0</v>
      </c>
      <c r="D281" s="98">
        <f>Phasing!T$682</f>
        <v>0</v>
      </c>
    </row>
    <row r="282" spans="1:4" x14ac:dyDescent="0.3">
      <c r="A282" s="98" t="str">
        <f>Analysis!U$4</f>
        <v>Q1-28</v>
      </c>
      <c r="B282" s="98">
        <f>Phasing!U$680</f>
        <v>0</v>
      </c>
      <c r="C282" s="98">
        <f>Phasing!U$681</f>
        <v>0</v>
      </c>
      <c r="D282" s="98">
        <f>Phasing!U$682</f>
        <v>0</v>
      </c>
    </row>
    <row r="283" spans="1:4" x14ac:dyDescent="0.3">
      <c r="A283" s="98" t="str">
        <f>Analysis!V$4</f>
        <v>Q2-28</v>
      </c>
      <c r="B283" s="98">
        <f>Phasing!V$680</f>
        <v>0</v>
      </c>
      <c r="C283" s="98">
        <f>Phasing!V$681</f>
        <v>0</v>
      </c>
      <c r="D283" s="98">
        <f>Phasing!V$682</f>
        <v>0</v>
      </c>
    </row>
    <row r="284" spans="1:4" x14ac:dyDescent="0.3">
      <c r="A284" s="98" t="str">
        <f>Analysis!W$4</f>
        <v>Q3-28</v>
      </c>
      <c r="B284" s="98">
        <f>Phasing!W$680</f>
        <v>0</v>
      </c>
      <c r="C284" s="98">
        <f>Phasing!W$681</f>
        <v>0</v>
      </c>
      <c r="D284" s="98">
        <f>Phasing!W$682</f>
        <v>0</v>
      </c>
    </row>
    <row r="285" spans="1:4" x14ac:dyDescent="0.3">
      <c r="A285" s="98" t="str">
        <f>Analysis!X$4</f>
        <v>Q4-28</v>
      </c>
      <c r="B285" s="98">
        <f>Phasing!X$680</f>
        <v>0</v>
      </c>
      <c r="C285" s="98">
        <f>Phasing!X$681</f>
        <v>0</v>
      </c>
      <c r="D285" s="98">
        <f>Phasing!X$682</f>
        <v>0</v>
      </c>
    </row>
    <row r="286" spans="1:4" x14ac:dyDescent="0.3">
      <c r="A286" s="98"/>
      <c r="B286" s="98"/>
      <c r="C286" s="98"/>
      <c r="D286" s="98"/>
    </row>
    <row r="287" spans="1:4" x14ac:dyDescent="0.3">
      <c r="A287" s="98"/>
      <c r="B287" s="98"/>
      <c r="C287" s="98"/>
      <c r="D287" s="98"/>
    </row>
    <row r="288" spans="1:4" x14ac:dyDescent="0.3">
      <c r="A288" s="98" t="s">
        <v>9</v>
      </c>
      <c r="B288" s="98" t="s">
        <v>60</v>
      </c>
      <c r="C288" s="98"/>
      <c r="D288" s="98"/>
    </row>
    <row r="289" spans="1:4" x14ac:dyDescent="0.3">
      <c r="A289" s="98" t="str">
        <f>$B$7</f>
        <v>Ahmed</v>
      </c>
      <c r="B289" s="103">
        <f>B$8</f>
        <v>5.7216216216216225</v>
      </c>
      <c r="C289" s="98"/>
      <c r="D289" s="98"/>
    </row>
    <row r="290" spans="1:4" x14ac:dyDescent="0.3">
      <c r="A290" s="98" t="str">
        <f>$C$7</f>
        <v>Osama</v>
      </c>
      <c r="B290" s="103">
        <f>C$8</f>
        <v>5.9945945945945942</v>
      </c>
      <c r="C290" s="98"/>
      <c r="D290" s="98"/>
    </row>
    <row r="291" spans="1:4" x14ac:dyDescent="0.3">
      <c r="A291" s="98" t="str">
        <f>$D$7</f>
        <v>Kirolos</v>
      </c>
      <c r="B291" s="103">
        <f>D$8</f>
        <v>6.1918918918918919</v>
      </c>
      <c r="C291" s="98"/>
      <c r="D291" s="98"/>
    </row>
    <row r="292" spans="1:4" x14ac:dyDescent="0.3">
      <c r="A292" s="98"/>
      <c r="B292" s="98"/>
      <c r="C292" s="98"/>
      <c r="D292" s="98"/>
    </row>
    <row r="293" spans="1:4" x14ac:dyDescent="0.3">
      <c r="A293" s="98"/>
      <c r="B293" s="98"/>
      <c r="C293" s="98"/>
      <c r="D293" s="98"/>
    </row>
    <row r="294" spans="1:4" x14ac:dyDescent="0.3">
      <c r="A294" s="98" t="s">
        <v>9</v>
      </c>
      <c r="B294" s="98" t="s">
        <v>62</v>
      </c>
      <c r="C294" s="98"/>
      <c r="D294" s="98"/>
    </row>
    <row r="295" spans="1:4" x14ac:dyDescent="0.3">
      <c r="A295" s="98" t="str">
        <f>$B$7</f>
        <v>Ahmed</v>
      </c>
      <c r="B295" s="103">
        <f>B$10</f>
        <v>5.1198091144153901</v>
      </c>
      <c r="C295" s="98"/>
      <c r="D295" s="98"/>
    </row>
    <row r="296" spans="1:4" x14ac:dyDescent="0.3">
      <c r="A296" s="98" t="str">
        <f>$C$7</f>
        <v>Osama</v>
      </c>
      <c r="B296" s="103">
        <f>C$10</f>
        <v>3.7813340110923952</v>
      </c>
      <c r="C296" s="98"/>
      <c r="D296" s="98"/>
    </row>
    <row r="297" spans="1:4" x14ac:dyDescent="0.3">
      <c r="A297" s="98" t="str">
        <f>$D$7</f>
        <v>Kirolos</v>
      </c>
      <c r="B297" s="103">
        <f>D$10</f>
        <v>5.2849941944584158</v>
      </c>
      <c r="C297" s="98"/>
      <c r="D297" s="98"/>
    </row>
    <row r="298" spans="1:4" x14ac:dyDescent="0.3">
      <c r="A298" s="98"/>
      <c r="B298" s="98"/>
      <c r="C298" s="98"/>
      <c r="D298" s="98"/>
    </row>
    <row r="299" spans="1:4" x14ac:dyDescent="0.3">
      <c r="A299" s="98"/>
      <c r="B299" s="98"/>
      <c r="C299" s="98"/>
      <c r="D299" s="98"/>
    </row>
    <row r="300" spans="1:4" x14ac:dyDescent="0.3">
      <c r="A300" s="98" t="s">
        <v>9</v>
      </c>
      <c r="B300" s="98" t="s">
        <v>61</v>
      </c>
      <c r="C300" s="98"/>
      <c r="D300" s="98"/>
    </row>
    <row r="301" spans="1:4" x14ac:dyDescent="0.3">
      <c r="A301" s="98" t="str">
        <f>$B$7</f>
        <v>Ahmed</v>
      </c>
      <c r="B301" s="103">
        <f>B$17</f>
        <v>22.961745693007909</v>
      </c>
      <c r="C301" s="98"/>
      <c r="D301" s="98"/>
    </row>
    <row r="302" spans="1:4" x14ac:dyDescent="0.3">
      <c r="A302" s="98" t="str">
        <f>$C$7</f>
        <v>Osama</v>
      </c>
      <c r="B302" s="103">
        <f>C$17</f>
        <v>24.440534518563283</v>
      </c>
      <c r="C302" s="98"/>
      <c r="D302" s="98"/>
    </row>
    <row r="303" spans="1:4" x14ac:dyDescent="0.3">
      <c r="A303" s="98" t="str">
        <f>$D$7</f>
        <v>Kirolos</v>
      </c>
      <c r="B303" s="103">
        <f>D$17</f>
        <v>6.16589789837907</v>
      </c>
      <c r="C303" s="98"/>
      <c r="D303" s="98"/>
    </row>
    <row r="304" spans="1:4" x14ac:dyDescent="0.3">
      <c r="A304" s="98"/>
      <c r="B304" s="98"/>
      <c r="C304" s="98"/>
      <c r="D304" s="98"/>
    </row>
    <row r="305" spans="1:4" x14ac:dyDescent="0.3">
      <c r="A305" s="98"/>
      <c r="B305" s="98"/>
      <c r="C305" s="98"/>
      <c r="D305" s="98"/>
    </row>
    <row r="306" spans="1:4" x14ac:dyDescent="0.3">
      <c r="A306" s="98" t="s">
        <v>9</v>
      </c>
      <c r="B306" s="98" t="s">
        <v>293</v>
      </c>
      <c r="C306" s="98"/>
      <c r="D306" s="98"/>
    </row>
    <row r="307" spans="1:4" x14ac:dyDescent="0.3">
      <c r="A307" s="98" t="str">
        <f>$B$7</f>
        <v>Ahmed</v>
      </c>
      <c r="B307" s="103">
        <f ca="1">B$9</f>
        <v>12.228238810823992</v>
      </c>
      <c r="C307" s="98"/>
      <c r="D307" s="98"/>
    </row>
    <row r="308" spans="1:4" x14ac:dyDescent="0.3">
      <c r="A308" s="98" t="str">
        <f>$C$7</f>
        <v>Osama</v>
      </c>
      <c r="B308" s="103">
        <f ca="1">C$9</f>
        <v>9.3573832148261431</v>
      </c>
      <c r="C308" s="98"/>
      <c r="D308" s="98"/>
    </row>
    <row r="309" spans="1:4" x14ac:dyDescent="0.3">
      <c r="A309" s="98" t="str">
        <f>$D$7</f>
        <v>Kirolos</v>
      </c>
      <c r="B309" s="103">
        <f ca="1">D$9</f>
        <v>11.136586869986392</v>
      </c>
      <c r="C309" s="98"/>
      <c r="D309" s="98"/>
    </row>
    <row r="310" spans="1:4" x14ac:dyDescent="0.3">
      <c r="A310" s="98"/>
      <c r="B310" s="98"/>
      <c r="C310" s="98"/>
      <c r="D310" s="98"/>
    </row>
    <row r="311" spans="1:4" x14ac:dyDescent="0.3">
      <c r="A311" s="98"/>
      <c r="B311" s="98"/>
      <c r="C311" s="98"/>
      <c r="D311" s="98"/>
    </row>
    <row r="312" spans="1:4" x14ac:dyDescent="0.3">
      <c r="A312" s="98" t="s">
        <v>9</v>
      </c>
      <c r="B312" s="98" t="s">
        <v>60</v>
      </c>
      <c r="C312" s="98" t="s">
        <v>286</v>
      </c>
      <c r="D312" s="98" t="s">
        <v>61</v>
      </c>
    </row>
    <row r="313" spans="1:4" x14ac:dyDescent="0.3">
      <c r="A313" s="98" t="str">
        <f>$B$7</f>
        <v>Ahmed</v>
      </c>
      <c r="B313" s="103">
        <f>B$8</f>
        <v>5.7216216216216225</v>
      </c>
      <c r="C313" s="103">
        <f ca="1">B$12</f>
        <v>8.054347826086957</v>
      </c>
      <c r="D313" s="103">
        <f>B$17</f>
        <v>22.961745693007909</v>
      </c>
    </row>
    <row r="314" spans="1:4" x14ac:dyDescent="0.3">
      <c r="A314" s="98" t="str">
        <f>$C$7</f>
        <v>Osama</v>
      </c>
      <c r="B314" s="103">
        <f>C$8</f>
        <v>5.9945945945945942</v>
      </c>
      <c r="C314" s="103">
        <f ca="1">C$12</f>
        <v>8.054347826086957</v>
      </c>
      <c r="D314" s="103">
        <f>C$17</f>
        <v>24.440534518563283</v>
      </c>
    </row>
    <row r="315" spans="1:4" x14ac:dyDescent="0.3">
      <c r="A315" s="98" t="str">
        <f>$D$7</f>
        <v>Kirolos</v>
      </c>
      <c r="B315" s="103">
        <f>D$8</f>
        <v>6.1918918918918919</v>
      </c>
      <c r="C315" s="103">
        <f ca="1">D$12</f>
        <v>8.054347826086957</v>
      </c>
      <c r="D315" s="103">
        <f>D$17</f>
        <v>6.16589789837907</v>
      </c>
    </row>
  </sheetData>
  <autoFilter ref="A23:F64" xr:uid="{BCBC75AA-5CFA-4A71-A6F8-0B50B6414971}">
    <filterColumn colId="0">
      <customFilters>
        <customFilter operator="notEqual" val=" "/>
      </customFilters>
    </filterColumn>
  </autoFilter>
  <mergeCells count="6">
    <mergeCell ref="A1:G1"/>
    <mergeCell ref="A2:G2"/>
    <mergeCell ref="A4:G4"/>
    <mergeCell ref="A6:G6"/>
    <mergeCell ref="A22:G22"/>
    <mergeCell ref="A5:G5"/>
  </mergeCells>
  <conditionalFormatting sqref="B24:B63">
    <cfRule type="containsText" dxfId="106" priority="1" operator="containsText" text="Active">
      <formula>NOT(ISERROR(SEARCH("Active",B24)))</formula>
    </cfRule>
    <cfRule type="containsText" dxfId="105" priority="2" operator="containsText" text="Not Started">
      <formula>NOT(ISERROR(SEARCH("Not Started",B24)))</formula>
    </cfRule>
    <cfRule type="containsText" dxfId="104" priority="3" operator="containsText" text="On Hold">
      <formula>NOT(ISERROR(SEARCH("On Hold",B24)))</formula>
    </cfRule>
    <cfRule type="containsText" dxfId="103" priority="4" operator="containsText" text="Finalized">
      <formula>NOT(ISERROR(SEARCH("Finalized",B24)))</formula>
    </cfRule>
    <cfRule type="containsText" dxfId="102" priority="5" operator="containsText" text="Proposal">
      <formula>NOT(ISERROR(SEARCH("Proposal",B24)))</formula>
    </cfRule>
    <cfRule type="containsText" dxfId="101" priority="6" operator="containsText" text="Cancelled">
      <formula>NOT(ISERROR(SEARCH("Cancelled",B24)))</formula>
    </cfRule>
  </conditionalFormatting>
  <printOptions horizontalCentered="1"/>
  <pageMargins left="0.25" right="0.25" top="0.27777777777777779" bottom="0.27777777777777779" header="0.3" footer="0.3"/>
  <pageSetup paperSize="9" scale="88" fitToHeight="2" orientation="landscape" r:id="rId1"/>
  <rowBreaks count="1" manualBreakCount="1">
    <brk id="65" max="6"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D69AD-140F-48DD-B91C-419C72A3E5D7}">
  <sheetPr filterMode="1">
    <tabColor rgb="FF1F6FC5"/>
  </sheetPr>
  <dimension ref="A1:H274"/>
  <sheetViews>
    <sheetView showGridLines="0" workbookViewId="0">
      <selection activeCell="B4" sqref="B4"/>
    </sheetView>
  </sheetViews>
  <sheetFormatPr defaultRowHeight="14.4" x14ac:dyDescent="0.3"/>
  <cols>
    <col min="1" max="1" width="53.6640625" customWidth="1"/>
    <col min="2" max="6" width="20" customWidth="1"/>
    <col min="7" max="8" width="13" customWidth="1"/>
  </cols>
  <sheetData>
    <row r="1" spans="1:8" ht="34.049999999999997" customHeight="1" x14ac:dyDescent="0.3">
      <c r="A1" s="301" t="str">
        <f>"PERSONAL PERFORMANCE REPORT — "&amp;UPPER($B$4)&amp;"  |  "&amp;TEXT($D$4,"0")</f>
        <v>PERSONAL PERFORMANCE REPORT — AHMED  |  2025</v>
      </c>
      <c r="B1" s="304"/>
      <c r="C1" s="304"/>
      <c r="D1" s="304"/>
      <c r="E1" s="304"/>
      <c r="F1" s="304"/>
      <c r="G1" s="304"/>
      <c r="H1" s="304"/>
    </row>
    <row r="2" spans="1:8" ht="22.05" customHeight="1" x14ac:dyDescent="0.3">
      <c r="A2" s="305" t="s">
        <v>294</v>
      </c>
      <c r="B2" s="304"/>
      <c r="C2" s="304"/>
      <c r="D2" s="304"/>
      <c r="E2" s="304"/>
      <c r="F2" s="304"/>
      <c r="G2" s="304"/>
      <c r="H2" s="304"/>
    </row>
    <row r="3" spans="1:8" x14ac:dyDescent="0.3">
      <c r="A3" s="3"/>
      <c r="B3" s="3"/>
      <c r="C3" s="3"/>
      <c r="D3" s="3"/>
      <c r="E3" s="3"/>
      <c r="F3" s="3"/>
      <c r="G3" s="3"/>
      <c r="H3" s="3"/>
    </row>
    <row r="4" spans="1:8" ht="15.6" x14ac:dyDescent="0.3">
      <c r="A4" s="81" t="s">
        <v>295</v>
      </c>
      <c r="B4" s="82" t="s">
        <v>24</v>
      </c>
      <c r="C4" s="174" t="s">
        <v>100</v>
      </c>
      <c r="D4" s="83">
        <v>2025</v>
      </c>
      <c r="E4" s="81" t="s">
        <v>283</v>
      </c>
      <c r="F4" s="173">
        <f ca="1">Inputs!$B$96</f>
        <v>46266</v>
      </c>
      <c r="G4" s="3"/>
      <c r="H4" s="198">
        <f>MATCH($B$4,Inputs!$A$91:$A$93,0)</f>
        <v>1</v>
      </c>
    </row>
    <row r="5" spans="1:8" ht="18" hidden="1" customHeight="1" x14ac:dyDescent="0.3">
      <c r="A5" s="308" t="str" cm="1">
        <f t="array" aca="1" ref="A5" ca="1">"As at "&amp;TEXT($F$4,"dd mmm yyyy")&amp;", "&amp;TEXT(SUMPRODUCT((Analysis!$E$3:$X$3=$D$4)*Analysis!$E$31:$X$31)/4,"0.0%")&amp;" of "&amp;TEXT($D$4,"0")&amp;" has elapsed. Capacity and plan targets below are pro-rated to that point, not to 31 December."</f>
        <v>As at 01 Sep 2026, 100.0% of 2025 has elapsed. Capacity and plan targets below are pro-rated to that point, not to 31 December.</v>
      </c>
      <c r="B5" s="307"/>
      <c r="C5" s="307"/>
      <c r="D5" s="307"/>
      <c r="E5" s="307"/>
      <c r="F5" s="307"/>
      <c r="G5" s="307"/>
      <c r="H5" s="309" cm="1">
        <f t="array" aca="1" ref="H5" ca="1">SUMPRODUCT((Analysis!$E$3:$X$3=$D$4)*Analysis!$E$31:$X$31)/4</f>
        <v>1</v>
      </c>
    </row>
    <row r="6" spans="1:8" x14ac:dyDescent="0.3">
      <c r="A6" s="3"/>
      <c r="B6" s="3"/>
      <c r="C6" s="3"/>
      <c r="D6" s="3"/>
      <c r="E6" s="3"/>
      <c r="F6" s="3"/>
      <c r="G6" s="3"/>
      <c r="H6" s="198" cm="1">
        <f t="array" ref="H6">IFERROR(INDEX(Inputs!$B$91:$F$93,$H$4,MATCH($D$4,Inputs!$B$90:$F$90,0))*4*Inputs!$B$94,0)</f>
        <v>12</v>
      </c>
    </row>
    <row r="7" spans="1:8" ht="19.95" customHeight="1" x14ac:dyDescent="0.3">
      <c r="A7" s="297" t="s">
        <v>300</v>
      </c>
      <c r="B7" s="297"/>
      <c r="C7" s="297"/>
      <c r="D7" s="297"/>
      <c r="E7" s="297"/>
      <c r="F7" s="297"/>
      <c r="G7" s="297"/>
      <c r="H7" s="297"/>
    </row>
    <row r="8" spans="1:8" x14ac:dyDescent="0.3">
      <c r="A8" s="72" t="s">
        <v>8</v>
      </c>
      <c r="B8" s="18" t="s">
        <v>301</v>
      </c>
      <c r="C8" s="316" t="s">
        <v>302</v>
      </c>
      <c r="D8" s="317"/>
      <c r="E8" s="3"/>
      <c r="F8" s="3"/>
      <c r="G8" s="3"/>
      <c r="H8" s="3"/>
    </row>
    <row r="9" spans="1:8" ht="15.6" x14ac:dyDescent="0.3">
      <c r="A9" s="12" t="s">
        <v>303</v>
      </c>
      <c r="B9" s="175">
        <f>SUM($E$154:$E$233)</f>
        <v>9.2594594594594586</v>
      </c>
      <c r="C9" s="310" t="str">
        <f>"time you actually logged in "&amp;TEXT($D$4,"0")</f>
        <v>time you actually logged in 2025</v>
      </c>
      <c r="D9" s="311"/>
      <c r="E9" s="3"/>
      <c r="F9" s="3"/>
      <c r="G9" s="3"/>
      <c r="H9" s="3"/>
    </row>
    <row r="10" spans="1:8" ht="15.6" x14ac:dyDescent="0.3">
      <c r="A10" s="12" t="s">
        <v>304</v>
      </c>
      <c r="B10" s="175">
        <f ca="1">SUMPRODUCT($H$154:$H$233,$F$154:$F$233)</f>
        <v>22.761725031666849</v>
      </c>
      <c r="C10" s="310" t="str">
        <f ca="1">"what the plan expected of you by "&amp;TEXT($F$4,"dd mmm")</f>
        <v>what the plan expected of you by 01 Sep</v>
      </c>
      <c r="D10" s="311"/>
      <c r="E10" s="3"/>
      <c r="F10" s="3"/>
      <c r="G10" s="3"/>
      <c r="H10" s="3"/>
    </row>
    <row r="11" spans="1:8" ht="15.6" x14ac:dyDescent="0.3">
      <c r="A11" s="12" t="s">
        <v>305</v>
      </c>
      <c r="B11" s="175">
        <f>SUMPRODUCT($D$154:$D$233,$F$154:$F$233)</f>
        <v>20.015598165675076</v>
      </c>
      <c r="C11" s="310" t="str">
        <f>"budget value earned on your share of the work"</f>
        <v>budget value earned on your share of the work</v>
      </c>
      <c r="D11" s="311"/>
      <c r="E11" s="3"/>
      <c r="F11" s="3"/>
      <c r="G11" s="3"/>
      <c r="H11" s="3"/>
    </row>
    <row r="12" spans="1:8" ht="15.6" x14ac:dyDescent="0.3">
      <c r="A12" s="12" t="s">
        <v>281</v>
      </c>
      <c r="B12" s="175">
        <f ca="1">$H$6*$H$5</f>
        <v>12</v>
      </c>
      <c r="C12" s="310" t="str">
        <f ca="1">"your available time up to "&amp;TEXT($F$4,"dd mmm")</f>
        <v>your available time up to 01 Sep</v>
      </c>
      <c r="D12" s="311"/>
      <c r="E12" s="3"/>
      <c r="F12" s="3"/>
      <c r="G12" s="3"/>
      <c r="H12" s="3"/>
    </row>
    <row r="13" spans="1:8" ht="15.6" x14ac:dyDescent="0.3">
      <c r="A13" s="176" t="s">
        <v>290</v>
      </c>
      <c r="B13" s="177">
        <f ca="1">IF($B$12=0,"n/a",$B$9/$B$12)</f>
        <v>0.77162162162162151</v>
      </c>
      <c r="C13" s="312" t="str">
        <f ca="1">IF($B$13="n/a","no capacity set",IF($B$13&gt;1,"above capacity — overloaded","within capacity"))</f>
        <v>within capacity</v>
      </c>
      <c r="D13" s="313"/>
      <c r="E13" s="3"/>
      <c r="F13" s="3"/>
      <c r="G13" s="3"/>
      <c r="H13" s="3"/>
    </row>
    <row r="14" spans="1:8" ht="15.6" x14ac:dyDescent="0.3">
      <c r="A14" s="176" t="s">
        <v>291</v>
      </c>
      <c r="B14" s="177">
        <f ca="1">IF($B$10=0,"n/a",$B$9/$B$10)</f>
        <v>0.40679954821426756</v>
      </c>
      <c r="C14" s="312" t="str">
        <f ca="1">IF($B$14="n/a","no plan to compare",IF($B$14&gt;1,"ahead of the plan","behind the plan"))</f>
        <v>behind the plan</v>
      </c>
      <c r="D14" s="313"/>
      <c r="E14" s="3"/>
      <c r="F14" s="3"/>
      <c r="G14" s="3"/>
      <c r="H14" s="3"/>
    </row>
    <row r="15" spans="1:8" ht="15.6" x14ac:dyDescent="0.3">
      <c r="A15" s="178" t="s">
        <v>90</v>
      </c>
      <c r="B15" s="179">
        <f>IF($B$9=0,"n/a",$B$11/$B$9)</f>
        <v>2.1616378637769347</v>
      </c>
      <c r="C15" s="314" t="str">
        <f>IF($B$15="n/a","no time booked",IF($B$15&gt;=1,"delivering more value than time spent","spending more time than value delivered"))</f>
        <v>delivering more value than time spent</v>
      </c>
      <c r="D15" s="315"/>
      <c r="E15" s="3"/>
      <c r="F15" s="3"/>
      <c r="G15" s="3"/>
      <c r="H15" s="3"/>
    </row>
    <row r="16" spans="1:8" ht="15.6" x14ac:dyDescent="0.3">
      <c r="A16" s="12" t="s">
        <v>306</v>
      </c>
      <c r="B16" s="180">
        <f>COUNTIF($E$154:$E$233,"&gt;0")</f>
        <v>20</v>
      </c>
      <c r="C16" s="310" t="str">
        <f>"projects with time booked in the year"</f>
        <v>projects with time booked in the year</v>
      </c>
      <c r="D16" s="311"/>
      <c r="E16" s="3"/>
      <c r="F16" s="3"/>
      <c r="G16" s="3"/>
      <c r="H16" s="3"/>
    </row>
    <row r="17" spans="1:8" ht="15.6" x14ac:dyDescent="0.3">
      <c r="A17" s="12" t="s">
        <v>307</v>
      </c>
      <c r="B17" s="175">
        <f>IF($B$16=0,"n/a",$B$9/$B$16)</f>
        <v>0.46297297297297291</v>
      </c>
      <c r="C17" s="310" t="str">
        <f>"average effort per project"</f>
        <v>average effort per project</v>
      </c>
      <c r="D17" s="311"/>
      <c r="E17" s="3"/>
      <c r="F17" s="3"/>
      <c r="G17" s="3"/>
      <c r="H17" s="3"/>
    </row>
    <row r="18" spans="1:8" ht="15.6" x14ac:dyDescent="0.3">
      <c r="A18" s="12" t="s">
        <v>308</v>
      </c>
      <c r="B18" s="175">
        <f>SUMPRODUCT(Inputs!$R$6:$R$85,Inputs!$M$6:$M$85,$F$154:$F$233)</f>
        <v>31.120934882197098</v>
      </c>
      <c r="C18" s="310" t="str">
        <f>"still to do on projects assigned to you"</f>
        <v>still to do on projects assigned to you</v>
      </c>
      <c r="D18" s="311"/>
      <c r="E18" s="3"/>
      <c r="F18" s="3"/>
      <c r="G18" s="3"/>
      <c r="H18" s="3"/>
    </row>
    <row r="19" spans="1:8" x14ac:dyDescent="0.3">
      <c r="A19" s="3"/>
      <c r="B19" s="3"/>
      <c r="C19" s="3"/>
      <c r="D19" s="3"/>
      <c r="E19" s="3"/>
      <c r="F19" s="3"/>
      <c r="G19" s="3"/>
      <c r="H19" s="3"/>
    </row>
    <row r="20" spans="1:8" ht="19.95" customHeight="1" x14ac:dyDescent="0.3">
      <c r="A20" s="303" t="s">
        <v>311</v>
      </c>
      <c r="B20" s="303"/>
      <c r="C20" s="303"/>
      <c r="D20" s="303"/>
      <c r="E20" s="303"/>
      <c r="F20" s="303"/>
      <c r="G20" s="303"/>
      <c r="H20" s="303"/>
    </row>
    <row r="21" spans="1:8" x14ac:dyDescent="0.3">
      <c r="A21" s="72" t="s">
        <v>8</v>
      </c>
      <c r="B21" s="18" t="str">
        <f>"Q1-"&amp;TEXT(MOD($D$4,100),"00")</f>
        <v>Q1-25</v>
      </c>
      <c r="C21" s="18" t="str">
        <f>"Q2-"&amp;TEXT(MOD($D$4,100),"00")</f>
        <v>Q2-25</v>
      </c>
      <c r="D21" s="18" t="str">
        <f>"Q3-"&amp;TEXT(MOD($D$4,100),"00")</f>
        <v>Q3-25</v>
      </c>
      <c r="E21" s="18" t="str">
        <f>"Q4-"&amp;TEXT(MOD($D$4,100),"00")</f>
        <v>Q4-25</v>
      </c>
      <c r="F21" s="18" t="s">
        <v>50</v>
      </c>
      <c r="G21" s="3"/>
      <c r="H21" s="3"/>
    </row>
    <row r="22" spans="1:8" x14ac:dyDescent="0.3">
      <c r="A22" s="5" t="s">
        <v>312</v>
      </c>
      <c r="B22" s="7" cm="1">
        <f t="array" ref="B22">SUMPRODUCT((Phasing!$E$4:$X$4=B$21)*INDEX(Phasing!$E$680:$X$682,$H$4,0))</f>
        <v>2.224324324324324</v>
      </c>
      <c r="C22" s="7" cm="1">
        <f t="array" ref="C22">SUMPRODUCT((Phasing!$E$4:$X$4=C$21)*INDEX(Phasing!$E$680:$X$682,$H$4,0))</f>
        <v>2.0716216216216217</v>
      </c>
      <c r="D22" s="7" cm="1">
        <f t="array" ref="D22">SUMPRODUCT((Phasing!$E$4:$X$4=D$21)*INDEX(Phasing!$E$680:$X$682,$H$4,0))</f>
        <v>2.2554054054054054</v>
      </c>
      <c r="E22" s="7" cm="1">
        <f t="array" ref="E22">SUMPRODUCT((Phasing!$E$4:$X$4=E$21)*INDEX(Phasing!$E$680:$X$682,$H$4,0))</f>
        <v>2.7081081081081084</v>
      </c>
      <c r="F22" s="22">
        <f>SUM(B22:E22)</f>
        <v>9.2594594594594586</v>
      </c>
      <c r="G22" s="3"/>
      <c r="H22" s="3"/>
    </row>
    <row r="23" spans="1:8" x14ac:dyDescent="0.3">
      <c r="A23" s="5" t="s">
        <v>313</v>
      </c>
      <c r="B23" s="7">
        <f ca="1">$H$6/4*B24</f>
        <v>3</v>
      </c>
      <c r="C23" s="7">
        <f ca="1">$H$6/4*C24</f>
        <v>3</v>
      </c>
      <c r="D23" s="7">
        <f ca="1">$H$6/4*D24</f>
        <v>3</v>
      </c>
      <c r="E23" s="7">
        <f ca="1">$H$6/4*E24</f>
        <v>3</v>
      </c>
      <c r="F23" s="22">
        <f ca="1">SUM(B23:E23)</f>
        <v>12</v>
      </c>
      <c r="G23" s="3"/>
      <c r="H23" s="3"/>
    </row>
    <row r="24" spans="1:8" x14ac:dyDescent="0.3">
      <c r="A24" s="5" t="s">
        <v>314</v>
      </c>
      <c r="B24" s="79" cm="1">
        <f t="array" aca="1" ref="B24" ca="1">SUMPRODUCT((Analysis!$E$4:$X$4=B$21)*Analysis!$E$31:$X$31)</f>
        <v>1</v>
      </c>
      <c r="C24" s="79" cm="1">
        <f t="array" aca="1" ref="C24" ca="1">SUMPRODUCT((Analysis!$E$4:$X$4=C$21)*Analysis!$E$31:$X$31)</f>
        <v>1</v>
      </c>
      <c r="D24" s="79" cm="1">
        <f t="array" aca="1" ref="D24" ca="1">SUMPRODUCT((Analysis!$E$4:$X$4=D$21)*Analysis!$E$31:$X$31)</f>
        <v>1</v>
      </c>
      <c r="E24" s="79" cm="1">
        <f t="array" aca="1" ref="E24" ca="1">SUMPRODUCT((Analysis!$E$4:$X$4=E$21)*Analysis!$E$31:$X$31)</f>
        <v>1</v>
      </c>
      <c r="F24" s="80">
        <f ca="1">$H$5</f>
        <v>1</v>
      </c>
      <c r="G24" s="3"/>
      <c r="H24" s="3"/>
    </row>
    <row r="25" spans="1:8" x14ac:dyDescent="0.3">
      <c r="A25" s="9" t="s">
        <v>290</v>
      </c>
      <c r="B25" s="148">
        <f ca="1">IF(B23=0,"n/a",B22/B23)</f>
        <v>0.74144144144144131</v>
      </c>
      <c r="C25" s="148">
        <f ca="1">IF(C23=0,"n/a",C22/C23)</f>
        <v>0.69054054054054059</v>
      </c>
      <c r="D25" s="148">
        <f ca="1">IF(D23=0,"n/a",D22/D23)</f>
        <v>0.75180180180180178</v>
      </c>
      <c r="E25" s="148">
        <f ca="1">IF(E23=0,"n/a",E22/E23)</f>
        <v>0.90270270270270281</v>
      </c>
      <c r="F25" s="80">
        <f ca="1">IF(F23=0,"n/a",F22/F23)</f>
        <v>0.77162162162162151</v>
      </c>
      <c r="G25" s="3"/>
      <c r="H25" s="3"/>
    </row>
    <row r="26" spans="1:8" x14ac:dyDescent="0.3">
      <c r="A26" s="181" t="s">
        <v>321</v>
      </c>
      <c r="B26" s="182">
        <f>SUMPRODUCT(INDEX(Phasing!$E$595:$X$674,0,MATCH(B$21,Phasing!$E$4:$X$4,0)),$F$154:$F$233)</f>
        <v>2.162548491108526</v>
      </c>
      <c r="C26" s="182">
        <f>SUMPRODUCT(INDEX(Phasing!$E$595:$X$674,0,MATCH(C$21,Phasing!$E$4:$X$4,0)),$F$154:$F$233)</f>
        <v>7.8547622580460299</v>
      </c>
      <c r="D26" s="182">
        <f>SUMPRODUCT(INDEX(Phasing!$E$595:$X$674,0,MATCH(D$21,Phasing!$E$4:$X$4,0)),$F$154:$F$233)</f>
        <v>7.5314145633642564</v>
      </c>
      <c r="E26" s="182">
        <f>SUMPRODUCT(INDEX(Phasing!$E$595:$X$674,0,MATCH(E$21,Phasing!$E$4:$X$4,0)),$F$154:$F$233)</f>
        <v>2.466872853156266</v>
      </c>
      <c r="F26" s="32">
        <f>SUM(B26:E26)</f>
        <v>20.01559816567508</v>
      </c>
    </row>
    <row r="27" spans="1:8" x14ac:dyDescent="0.3">
      <c r="A27" s="181" t="s">
        <v>322</v>
      </c>
      <c r="B27" s="183">
        <f>IF(B22=0,"n/a",B26/B22)</f>
        <v>0.97222714667090493</v>
      </c>
      <c r="C27" s="183">
        <f>IF(C22=0,"n/a",C26/C22)</f>
        <v>3.7916008290633152</v>
      </c>
      <c r="D27" s="183">
        <f>IF(D22=0,"n/a",D26/D22)</f>
        <v>3.3392730838163871</v>
      </c>
      <c r="E27" s="183">
        <f>IF(E22=0,"n/a",E26/E22)</f>
        <v>0.9109211134409364</v>
      </c>
      <c r="F27" s="61">
        <f>IF(F22=0,"n/a",F26/F22)</f>
        <v>2.1616378637769351</v>
      </c>
    </row>
    <row r="28" spans="1:8" x14ac:dyDescent="0.3">
      <c r="A28" s="30" t="s">
        <v>323</v>
      </c>
      <c r="B28" s="184" cm="1">
        <f t="array" ref="B28">IF(SUMPRODUCT((Phasing!$E$4:$X$4=B$21)*Phasing!$E$505:$X$505)=0,"n/a",B22/SUMPRODUCT((Phasing!$E$4:$X$4=B$21)*Phasing!$E$505:$X$505))</f>
        <v>0.30749112647113752</v>
      </c>
      <c r="C28" s="184" cm="1">
        <f t="array" ref="C28">IF(SUMPRODUCT((Phasing!$E$4:$X$4=C$21)*Phasing!$E$505:$X$505)=0,"n/a",C22/SUMPRODUCT((Phasing!$E$4:$X$4=C$21)*Phasing!$E$505:$X$505))</f>
        <v>0.34754024030832009</v>
      </c>
      <c r="D28" s="184" cm="1">
        <f t="array" ref="D28">IF(SUMPRODUCT((Phasing!$E$4:$X$4=D$21)*Phasing!$E$505:$X$505)=0,"n/a",D22/SUMPRODUCT((Phasing!$E$4:$X$4=D$21)*Phasing!$E$505:$X$505))</f>
        <v>0.25672973388709425</v>
      </c>
      <c r="E28" s="184" cm="1">
        <f t="array" ref="E28">IF(SUMPRODUCT((Phasing!$E$4:$X$4=E$21)*Phasing!$E$505:$X$505)=0,"n/a",E22/SUMPRODUCT((Phasing!$E$4:$X$4=E$21)*Phasing!$E$505:$X$505))</f>
        <v>0.33113020489094525</v>
      </c>
      <c r="F28" s="144" cm="1">
        <f t="array" ref="F28">IF(SUMPRODUCT((Analysis!$E$3:$X$3=$D$4)*Phasing!$E$505:$X$505)=0,"n/a",F22/SUMPRODUCT((Analysis!$E$3:$X$3=$D$4)*Phasing!$E$505:$X$505))</f>
        <v>0.30703051485414701</v>
      </c>
    </row>
    <row r="29" spans="1:8" x14ac:dyDescent="0.3">
      <c r="A29" s="3"/>
      <c r="B29" s="3"/>
      <c r="C29" s="3"/>
      <c r="D29" s="3"/>
      <c r="E29" s="3"/>
      <c r="F29" s="3"/>
      <c r="G29" s="3"/>
      <c r="H29" s="3"/>
    </row>
    <row r="30" spans="1:8" ht="19.95" customHeight="1" x14ac:dyDescent="0.3">
      <c r="A30" s="297" t="s">
        <v>315</v>
      </c>
      <c r="B30" s="297"/>
      <c r="C30" s="297"/>
      <c r="D30" s="297"/>
      <c r="E30" s="297"/>
      <c r="F30" s="297"/>
      <c r="G30" s="297"/>
      <c r="H30" s="297"/>
    </row>
    <row r="31" spans="1:8" x14ac:dyDescent="0.3">
      <c r="A31" s="72" t="s">
        <v>5</v>
      </c>
      <c r="B31" s="18" t="s">
        <v>20</v>
      </c>
      <c r="C31" s="18" t="s">
        <v>316</v>
      </c>
      <c r="D31" s="18" t="s">
        <v>317</v>
      </c>
      <c r="E31" s="18" t="s">
        <v>318</v>
      </c>
      <c r="F31" s="18" t="s">
        <v>319</v>
      </c>
      <c r="G31" s="3"/>
      <c r="H31" s="3"/>
    </row>
    <row r="32" spans="1:8" x14ac:dyDescent="0.3">
      <c r="A32" s="5" t="str">
        <f t="shared" ref="A32:A59" si="0">IFERROR(INDEX($A$154:$A$233,MATCH(ROW()-31,$G$154:$G$233,0)),"")</f>
        <v>N25185-0100D</v>
      </c>
      <c r="B32" s="74" t="str">
        <f t="shared" ref="B32:B59" si="1">IF($A32="","",INDEX($B$154:$B$233,MATCH(ROW()-31,$G$154:$G$233,0)))</f>
        <v>Active</v>
      </c>
      <c r="C32" s="7">
        <f t="shared" ref="C32:C59" si="2">IF($A32="","",INDEX($E$154:$E$233,MATCH(ROW()-31,$G$154:$G$233,0)))</f>
        <v>1.6283783783783783</v>
      </c>
      <c r="D32" s="79">
        <f t="shared" ref="D32:D59" si="3">IF($A32="","",IF($C$60=0,"",$C32/$C$60))</f>
        <v>0.17586106246351432</v>
      </c>
      <c r="E32" s="7">
        <f t="shared" ref="E32:E59" ca="1" si="4">IF($A32="","",INDEX($H$154:$H$233,MATCH(ROW()-31,$G$154:$G$233,0)))</f>
        <v>5.2341356673960613</v>
      </c>
      <c r="F32" s="77">
        <f t="shared" ref="F32:F59" si="5">IF($A32="","",INDEX($F$154:$F$233,MATCH(ROW()-31,$G$154:$G$233,0)))</f>
        <v>0.41582278481012658</v>
      </c>
      <c r="G32" s="3"/>
      <c r="H32" s="3"/>
    </row>
    <row r="33" spans="1:8" x14ac:dyDescent="0.3">
      <c r="A33" s="5" t="str">
        <f t="shared" si="0"/>
        <v xml:space="preserve">AD24217-0100D </v>
      </c>
      <c r="B33" s="74" t="str">
        <f t="shared" si="1"/>
        <v>Finalized</v>
      </c>
      <c r="C33" s="7">
        <f t="shared" si="2"/>
        <v>0.25945945945945947</v>
      </c>
      <c r="D33" s="79">
        <f t="shared" si="3"/>
        <v>2.802101576182137E-2</v>
      </c>
      <c r="E33" s="7">
        <f t="shared" ca="1" si="4"/>
        <v>3</v>
      </c>
      <c r="F33" s="77">
        <f t="shared" si="5"/>
        <v>0.4</v>
      </c>
      <c r="G33" s="3"/>
      <c r="H33" s="3"/>
    </row>
    <row r="34" spans="1:8" x14ac:dyDescent="0.3">
      <c r="A34" s="5" t="str">
        <f t="shared" si="0"/>
        <v>AN23276-0100D</v>
      </c>
      <c r="B34" s="74" t="str">
        <f t="shared" si="1"/>
        <v>On Hold</v>
      </c>
      <c r="C34" s="7">
        <f t="shared" si="2"/>
        <v>1.0810810810810811E-2</v>
      </c>
      <c r="D34" s="79">
        <f t="shared" si="3"/>
        <v>1.1675423234092238E-3</v>
      </c>
      <c r="E34" s="7">
        <f t="shared" ca="1" si="4"/>
        <v>2.2201946472019465</v>
      </c>
      <c r="F34" s="77">
        <f t="shared" si="5"/>
        <v>0.4</v>
      </c>
      <c r="G34" s="3"/>
      <c r="H34" s="3"/>
    </row>
    <row r="35" spans="1:8" x14ac:dyDescent="0.3">
      <c r="A35" s="5" t="str">
        <f t="shared" si="0"/>
        <v>AN24073-0100D</v>
      </c>
      <c r="B35" s="74" t="str">
        <f t="shared" si="1"/>
        <v>On Hold</v>
      </c>
      <c r="C35" s="7">
        <f t="shared" si="2"/>
        <v>1.0810810810810811E-2</v>
      </c>
      <c r="D35" s="79">
        <f t="shared" si="3"/>
        <v>1.1675423234092238E-3</v>
      </c>
      <c r="E35" s="7">
        <f t="shared" ca="1" si="4"/>
        <v>0.50328227571115969</v>
      </c>
      <c r="F35" s="77">
        <f t="shared" si="5"/>
        <v>0.1</v>
      </c>
      <c r="G35" s="3"/>
      <c r="H35" s="3"/>
    </row>
    <row r="36" spans="1:8" x14ac:dyDescent="0.3">
      <c r="A36" s="5" t="str">
        <f t="shared" si="0"/>
        <v>AN24140-0100R</v>
      </c>
      <c r="B36" s="74" t="str">
        <f t="shared" si="1"/>
        <v>Active</v>
      </c>
      <c r="C36" s="7">
        <f t="shared" si="2"/>
        <v>5.4054054054054057E-3</v>
      </c>
      <c r="D36" s="79">
        <f t="shared" si="3"/>
        <v>5.837711617046119E-4</v>
      </c>
      <c r="E36" s="7">
        <f t="shared" ca="1" si="4"/>
        <v>0.79274611398963724</v>
      </c>
      <c r="F36" s="77">
        <f t="shared" si="5"/>
        <v>0.10000000000000002</v>
      </c>
      <c r="G36" s="3"/>
      <c r="H36" s="3"/>
    </row>
    <row r="37" spans="1:8" x14ac:dyDescent="0.3">
      <c r="A37" s="5" t="str">
        <f t="shared" si="0"/>
        <v>CS24035-0100D</v>
      </c>
      <c r="B37" s="74" t="str">
        <f t="shared" si="1"/>
        <v>On Hold</v>
      </c>
      <c r="C37" s="7">
        <f t="shared" si="2"/>
        <v>1.0337837837837838</v>
      </c>
      <c r="D37" s="79">
        <f t="shared" si="3"/>
        <v>0.11164623467600701</v>
      </c>
      <c r="E37" s="7">
        <f t="shared" ca="1" si="4"/>
        <v>0.80525164113785563</v>
      </c>
      <c r="F37" s="77">
        <f t="shared" si="5"/>
        <v>0.5</v>
      </c>
      <c r="G37" s="3"/>
      <c r="H37" s="3"/>
    </row>
    <row r="38" spans="1:8" x14ac:dyDescent="0.3">
      <c r="A38" s="5" t="str">
        <f t="shared" si="0"/>
        <v>J23152-0100D</v>
      </c>
      <c r="B38" s="74" t="str">
        <f t="shared" si="1"/>
        <v>Finalized</v>
      </c>
      <c r="C38" s="7">
        <f t="shared" si="2"/>
        <v>1.6216216216216217E-2</v>
      </c>
      <c r="D38" s="79">
        <f t="shared" si="3"/>
        <v>1.7513134851138356E-3</v>
      </c>
      <c r="E38" s="7">
        <f t="shared" ca="1" si="4"/>
        <v>0</v>
      </c>
      <c r="F38" s="77">
        <f t="shared" si="5"/>
        <v>1</v>
      </c>
      <c r="G38" s="3"/>
      <c r="H38" s="3"/>
    </row>
    <row r="39" spans="1:8" x14ac:dyDescent="0.3">
      <c r="A39" s="5" t="str">
        <f t="shared" si="0"/>
        <v>Q25008-0100D</v>
      </c>
      <c r="B39" s="74" t="str">
        <f t="shared" si="1"/>
        <v>Finalized</v>
      </c>
      <c r="C39" s="7">
        <f t="shared" si="2"/>
        <v>7.8378378378378383E-2</v>
      </c>
      <c r="D39" s="79">
        <f t="shared" si="3"/>
        <v>8.4646818447168728E-3</v>
      </c>
      <c r="E39" s="7">
        <f t="shared" ca="1" si="4"/>
        <v>0</v>
      </c>
      <c r="F39" s="77">
        <f t="shared" si="5"/>
        <v>0.2</v>
      </c>
      <c r="G39" s="3"/>
      <c r="H39" s="3"/>
    </row>
    <row r="40" spans="1:8" x14ac:dyDescent="0.3">
      <c r="A40" s="5" t="str">
        <f t="shared" si="0"/>
        <v>S24014-0102D</v>
      </c>
      <c r="B40" s="74" t="str">
        <f t="shared" si="1"/>
        <v>Finalized</v>
      </c>
      <c r="C40" s="7">
        <f t="shared" si="2"/>
        <v>2.2364864864864864</v>
      </c>
      <c r="D40" s="79">
        <f t="shared" si="3"/>
        <v>0.24153531815528315</v>
      </c>
      <c r="E40" s="7">
        <f t="shared" ca="1" si="4"/>
        <v>5.2664810126582271</v>
      </c>
      <c r="F40" s="77">
        <f t="shared" si="5"/>
        <v>0.7</v>
      </c>
      <c r="G40" s="3"/>
      <c r="H40" s="3"/>
    </row>
    <row r="41" spans="1:8" x14ac:dyDescent="0.3">
      <c r="A41" s="5" t="str">
        <f t="shared" si="0"/>
        <v>S24014-0104D</v>
      </c>
      <c r="B41" s="74" t="str">
        <f t="shared" si="1"/>
        <v>Finalized</v>
      </c>
      <c r="C41" s="7">
        <f t="shared" si="2"/>
        <v>0.67162162162162165</v>
      </c>
      <c r="D41" s="79">
        <f t="shared" si="3"/>
        <v>7.2533566841798028E-2</v>
      </c>
      <c r="E41" s="7">
        <f t="shared" ca="1" si="4"/>
        <v>8.3144050632911384</v>
      </c>
      <c r="F41" s="77">
        <f t="shared" si="5"/>
        <v>1</v>
      </c>
      <c r="G41" s="3"/>
      <c r="H41" s="3"/>
    </row>
    <row r="42" spans="1:8" x14ac:dyDescent="0.3">
      <c r="A42" s="5" t="str">
        <f t="shared" si="0"/>
        <v>S22058-0700D</v>
      </c>
      <c r="B42" s="74" t="str">
        <f t="shared" si="1"/>
        <v>Finalized</v>
      </c>
      <c r="C42" s="7">
        <f t="shared" si="2"/>
        <v>0.90540540540540537</v>
      </c>
      <c r="D42" s="79">
        <f t="shared" si="3"/>
        <v>9.7781669585522479E-2</v>
      </c>
      <c r="E42" s="7">
        <f t="shared" ca="1" si="4"/>
        <v>3.5842450765864329</v>
      </c>
      <c r="F42" s="77">
        <f t="shared" si="5"/>
        <v>0.15</v>
      </c>
      <c r="G42" s="3"/>
      <c r="H42" s="3"/>
    </row>
    <row r="43" spans="1:8" x14ac:dyDescent="0.3">
      <c r="A43" s="5" t="str">
        <f t="shared" si="0"/>
        <v>AN24185-0100R</v>
      </c>
      <c r="B43" s="74" t="str">
        <f t="shared" si="1"/>
        <v>Finalized</v>
      </c>
      <c r="C43" s="7">
        <f t="shared" si="2"/>
        <v>1.0810810810810811E-2</v>
      </c>
      <c r="D43" s="79">
        <f t="shared" si="3"/>
        <v>1.1675423234092238E-3</v>
      </c>
      <c r="E43" s="7">
        <f t="shared" ca="1" si="4"/>
        <v>2.6691042047531992</v>
      </c>
      <c r="F43" s="77">
        <f t="shared" si="5"/>
        <v>0.05</v>
      </c>
      <c r="G43" s="3"/>
      <c r="H43" s="3"/>
    </row>
    <row r="44" spans="1:8" x14ac:dyDescent="0.3">
      <c r="A44" s="5" t="str">
        <f t="shared" si="0"/>
        <v>AN24135-0100R</v>
      </c>
      <c r="B44" s="74" t="str">
        <f t="shared" si="1"/>
        <v>On Hold</v>
      </c>
      <c r="C44" s="7">
        <f t="shared" si="2"/>
        <v>2.5675675675675677E-2</v>
      </c>
      <c r="D44" s="79">
        <f t="shared" si="3"/>
        <v>2.7729130180969065E-3</v>
      </c>
      <c r="E44" s="7">
        <f t="shared" ca="1" si="4"/>
        <v>1.6008771929824561</v>
      </c>
      <c r="F44" s="77">
        <f t="shared" si="5"/>
        <v>5.000000000000001E-2</v>
      </c>
      <c r="G44" s="3"/>
      <c r="H44" s="3"/>
    </row>
    <row r="45" spans="1:8" x14ac:dyDescent="0.3">
      <c r="A45" s="5" t="str">
        <f t="shared" si="0"/>
        <v>AN23232-0100D</v>
      </c>
      <c r="B45" s="74" t="str">
        <f t="shared" si="1"/>
        <v>Finalized</v>
      </c>
      <c r="C45" s="7">
        <f t="shared" si="2"/>
        <v>4.1891891891891894E-2</v>
      </c>
      <c r="D45" s="79">
        <f t="shared" si="3"/>
        <v>4.5242265032107423E-3</v>
      </c>
      <c r="E45" s="7">
        <f t="shared" ca="1" si="4"/>
        <v>0</v>
      </c>
      <c r="F45" s="77">
        <f t="shared" si="5"/>
        <v>0.75</v>
      </c>
      <c r="G45" s="3"/>
      <c r="H45" s="3"/>
    </row>
    <row r="46" spans="1:8" x14ac:dyDescent="0.3">
      <c r="A46" s="5" t="str">
        <f t="shared" si="0"/>
        <v>AN23108-0100R</v>
      </c>
      <c r="B46" s="74" t="str">
        <f t="shared" si="1"/>
        <v>On Hold</v>
      </c>
      <c r="C46" s="7">
        <f t="shared" si="2"/>
        <v>9.7297297297297303E-2</v>
      </c>
      <c r="D46" s="79">
        <f t="shared" si="3"/>
        <v>1.0507880910683014E-2</v>
      </c>
      <c r="E46" s="7">
        <f t="shared" ca="1" si="4"/>
        <v>0.75909090909090915</v>
      </c>
      <c r="F46" s="77">
        <f t="shared" si="5"/>
        <v>0.10000000000000002</v>
      </c>
      <c r="G46" s="3"/>
      <c r="H46" s="3"/>
    </row>
    <row r="47" spans="1:8" x14ac:dyDescent="0.3">
      <c r="A47" s="5" t="str">
        <f t="shared" si="0"/>
        <v>TA24246-0200R</v>
      </c>
      <c r="B47" s="74" t="str">
        <f t="shared" si="1"/>
        <v>On Hold</v>
      </c>
      <c r="C47" s="7">
        <f t="shared" si="2"/>
        <v>8.513513513513514E-2</v>
      </c>
      <c r="D47" s="79">
        <f t="shared" si="3"/>
        <v>9.1943957968476375E-3</v>
      </c>
      <c r="E47" s="7">
        <f t="shared" ca="1" si="4"/>
        <v>0.37954545454545457</v>
      </c>
      <c r="F47" s="77">
        <f t="shared" si="5"/>
        <v>0.1</v>
      </c>
      <c r="G47" s="3"/>
      <c r="H47" s="3"/>
    </row>
    <row r="48" spans="1:8" x14ac:dyDescent="0.3">
      <c r="A48" s="5" t="str">
        <f t="shared" si="0"/>
        <v>S22058-0900D</v>
      </c>
      <c r="B48" s="74" t="str">
        <f t="shared" si="1"/>
        <v>Cancelled</v>
      </c>
      <c r="C48" s="7">
        <f t="shared" si="2"/>
        <v>7.4324324324324328E-2</v>
      </c>
      <c r="D48" s="79">
        <f t="shared" si="3"/>
        <v>8.0268534734384139E-3</v>
      </c>
      <c r="E48" s="7">
        <f t="shared" ca="1" si="4"/>
        <v>0</v>
      </c>
      <c r="F48" s="77">
        <f t="shared" si="5"/>
        <v>1</v>
      </c>
      <c r="G48" s="3"/>
      <c r="H48" s="3"/>
    </row>
    <row r="49" spans="1:8" x14ac:dyDescent="0.3">
      <c r="A49" s="5" t="str">
        <f t="shared" si="0"/>
        <v>S22058-0400D</v>
      </c>
      <c r="B49" s="74" t="str">
        <f t="shared" si="1"/>
        <v>Finalized</v>
      </c>
      <c r="C49" s="7">
        <f t="shared" si="2"/>
        <v>1.0810810810810811E-2</v>
      </c>
      <c r="D49" s="79">
        <f t="shared" si="3"/>
        <v>1.1675423234092238E-3</v>
      </c>
      <c r="E49" s="7">
        <f t="shared" ca="1" si="4"/>
        <v>0</v>
      </c>
      <c r="F49" s="77">
        <f t="shared" si="5"/>
        <v>1</v>
      </c>
      <c r="G49" s="3"/>
      <c r="H49" s="3"/>
    </row>
    <row r="50" spans="1:8" x14ac:dyDescent="0.3">
      <c r="A50" s="5" t="str">
        <f t="shared" si="0"/>
        <v>Proposals 25</v>
      </c>
      <c r="B50" s="74" t="str">
        <f t="shared" si="1"/>
        <v>Finalized</v>
      </c>
      <c r="C50" s="7">
        <f t="shared" si="2"/>
        <v>1.0716216216216217</v>
      </c>
      <c r="D50" s="79">
        <f t="shared" si="3"/>
        <v>0.1157326328079393</v>
      </c>
      <c r="E50" s="7">
        <f t="shared" ca="1" si="4"/>
        <v>1.9</v>
      </c>
      <c r="F50" s="77">
        <f t="shared" si="5"/>
        <v>0.8</v>
      </c>
      <c r="G50" s="3"/>
      <c r="H50" s="3"/>
    </row>
    <row r="51" spans="1:8" x14ac:dyDescent="0.3">
      <c r="A51" s="5" t="str">
        <f t="shared" si="0"/>
        <v>Chargable Proposals 25</v>
      </c>
      <c r="B51" s="74" t="str">
        <f t="shared" si="1"/>
        <v>Finalized</v>
      </c>
      <c r="C51" s="7">
        <f t="shared" si="2"/>
        <v>0.98513513513513518</v>
      </c>
      <c r="D51" s="79">
        <f t="shared" si="3"/>
        <v>0.10639229422066551</v>
      </c>
      <c r="E51" s="7">
        <f t="shared" ca="1" si="4"/>
        <v>3</v>
      </c>
      <c r="F51" s="77">
        <f t="shared" si="5"/>
        <v>0.4</v>
      </c>
      <c r="G51" s="3"/>
      <c r="H51" s="3"/>
    </row>
    <row r="52" spans="1:8" hidden="1" x14ac:dyDescent="0.3">
      <c r="A52" s="5" t="str">
        <f t="shared" si="0"/>
        <v/>
      </c>
      <c r="B52" s="74" t="str">
        <f t="shared" si="1"/>
        <v/>
      </c>
      <c r="C52" s="7" t="str">
        <f t="shared" si="2"/>
        <v/>
      </c>
      <c r="D52" s="79" t="str">
        <f t="shared" si="3"/>
        <v/>
      </c>
      <c r="E52" s="7" t="str">
        <f t="shared" si="4"/>
        <v/>
      </c>
      <c r="F52" s="77" t="str">
        <f t="shared" si="5"/>
        <v/>
      </c>
      <c r="G52" s="3"/>
      <c r="H52" s="3"/>
    </row>
    <row r="53" spans="1:8" hidden="1" x14ac:dyDescent="0.3">
      <c r="A53" s="5" t="str">
        <f t="shared" si="0"/>
        <v/>
      </c>
      <c r="B53" s="74" t="str">
        <f t="shared" si="1"/>
        <v/>
      </c>
      <c r="C53" s="7" t="str">
        <f t="shared" si="2"/>
        <v/>
      </c>
      <c r="D53" s="79" t="str">
        <f t="shared" si="3"/>
        <v/>
      </c>
      <c r="E53" s="7" t="str">
        <f t="shared" si="4"/>
        <v/>
      </c>
      <c r="F53" s="77" t="str">
        <f t="shared" si="5"/>
        <v/>
      </c>
      <c r="G53" s="3"/>
      <c r="H53" s="3"/>
    </row>
    <row r="54" spans="1:8" hidden="1" x14ac:dyDescent="0.3">
      <c r="A54" s="5" t="str">
        <f t="shared" si="0"/>
        <v/>
      </c>
      <c r="B54" s="74" t="str">
        <f t="shared" si="1"/>
        <v/>
      </c>
      <c r="C54" s="7" t="str">
        <f t="shared" si="2"/>
        <v/>
      </c>
      <c r="D54" s="79" t="str">
        <f t="shared" si="3"/>
        <v/>
      </c>
      <c r="E54" s="7" t="str">
        <f t="shared" si="4"/>
        <v/>
      </c>
      <c r="F54" s="77" t="str">
        <f t="shared" si="5"/>
        <v/>
      </c>
      <c r="G54" s="3"/>
      <c r="H54" s="3"/>
    </row>
    <row r="55" spans="1:8" hidden="1" x14ac:dyDescent="0.3">
      <c r="A55" s="5" t="str">
        <f t="shared" si="0"/>
        <v/>
      </c>
      <c r="B55" s="74" t="str">
        <f t="shared" si="1"/>
        <v/>
      </c>
      <c r="C55" s="7" t="str">
        <f t="shared" si="2"/>
        <v/>
      </c>
      <c r="D55" s="79" t="str">
        <f t="shared" si="3"/>
        <v/>
      </c>
      <c r="E55" s="7" t="str">
        <f t="shared" si="4"/>
        <v/>
      </c>
      <c r="F55" s="77" t="str">
        <f t="shared" si="5"/>
        <v/>
      </c>
      <c r="G55" s="3"/>
      <c r="H55" s="3"/>
    </row>
    <row r="56" spans="1:8" hidden="1" x14ac:dyDescent="0.3">
      <c r="A56" s="5" t="str">
        <f t="shared" si="0"/>
        <v/>
      </c>
      <c r="B56" s="74" t="str">
        <f t="shared" si="1"/>
        <v/>
      </c>
      <c r="C56" s="7" t="str">
        <f t="shared" si="2"/>
        <v/>
      </c>
      <c r="D56" s="79" t="str">
        <f t="shared" si="3"/>
        <v/>
      </c>
      <c r="E56" s="7" t="str">
        <f t="shared" si="4"/>
        <v/>
      </c>
      <c r="F56" s="77" t="str">
        <f t="shared" si="5"/>
        <v/>
      </c>
      <c r="G56" s="3"/>
      <c r="H56" s="3"/>
    </row>
    <row r="57" spans="1:8" hidden="1" x14ac:dyDescent="0.3">
      <c r="A57" s="5" t="str">
        <f t="shared" si="0"/>
        <v/>
      </c>
      <c r="B57" s="74" t="str">
        <f t="shared" si="1"/>
        <v/>
      </c>
      <c r="C57" s="7" t="str">
        <f t="shared" si="2"/>
        <v/>
      </c>
      <c r="D57" s="79" t="str">
        <f t="shared" si="3"/>
        <v/>
      </c>
      <c r="E57" s="7" t="str">
        <f t="shared" si="4"/>
        <v/>
      </c>
      <c r="F57" s="77" t="str">
        <f t="shared" si="5"/>
        <v/>
      </c>
      <c r="G57" s="3"/>
      <c r="H57" s="3"/>
    </row>
    <row r="58" spans="1:8" hidden="1" x14ac:dyDescent="0.3">
      <c r="A58" s="5" t="str">
        <f t="shared" si="0"/>
        <v/>
      </c>
      <c r="B58" s="74" t="str">
        <f t="shared" si="1"/>
        <v/>
      </c>
      <c r="C58" s="7" t="str">
        <f t="shared" si="2"/>
        <v/>
      </c>
      <c r="D58" s="79" t="str">
        <f t="shared" si="3"/>
        <v/>
      </c>
      <c r="E58" s="7" t="str">
        <f t="shared" si="4"/>
        <v/>
      </c>
      <c r="F58" s="77" t="str">
        <f t="shared" si="5"/>
        <v/>
      </c>
      <c r="G58" s="3"/>
      <c r="H58" s="3"/>
    </row>
    <row r="59" spans="1:8" hidden="1" x14ac:dyDescent="0.3">
      <c r="A59" s="5" t="str">
        <f t="shared" si="0"/>
        <v/>
      </c>
      <c r="B59" s="74" t="str">
        <f t="shared" si="1"/>
        <v/>
      </c>
      <c r="C59" s="7" t="str">
        <f t="shared" si="2"/>
        <v/>
      </c>
      <c r="D59" s="79" t="str">
        <f t="shared" si="3"/>
        <v/>
      </c>
      <c r="E59" s="7" t="str">
        <f t="shared" si="4"/>
        <v/>
      </c>
      <c r="F59" s="77" t="str">
        <f t="shared" si="5"/>
        <v/>
      </c>
      <c r="G59" s="3"/>
      <c r="H59" s="3"/>
    </row>
    <row r="60" spans="1:8" x14ac:dyDescent="0.3">
      <c r="A60" s="19" t="str">
        <f>"TOTAL — "&amp;COUNTIF($A$32:$A$59,"?*")&amp;" project(s)"</f>
        <v>TOTAL — 20 project(s)</v>
      </c>
      <c r="B60" s="75"/>
      <c r="C60" s="22">
        <f>SUM(C32:C59)</f>
        <v>9.2594594594594586</v>
      </c>
      <c r="D60" s="80">
        <f>IF($C$60=0,"",1)</f>
        <v>1</v>
      </c>
      <c r="E60" s="22">
        <f ca="1">SUM(E32:E59)</f>
        <v>40.029359259344481</v>
      </c>
      <c r="F60" s="75"/>
      <c r="G60" s="3"/>
      <c r="H60" s="3"/>
    </row>
    <row r="61" spans="1:8" x14ac:dyDescent="0.3">
      <c r="A61" s="3"/>
      <c r="B61" s="3"/>
      <c r="C61" s="3"/>
      <c r="D61" s="3"/>
      <c r="E61" s="3"/>
      <c r="F61" s="3"/>
      <c r="G61" s="3"/>
      <c r="H61" s="3"/>
    </row>
    <row r="62" spans="1:8" x14ac:dyDescent="0.3">
      <c r="A62" s="3"/>
      <c r="B62" s="3"/>
      <c r="C62" s="3"/>
      <c r="D62" s="3"/>
      <c r="E62" s="3"/>
      <c r="F62" s="3"/>
      <c r="G62" s="3"/>
      <c r="H62" s="3"/>
    </row>
    <row r="63" spans="1:8" x14ac:dyDescent="0.3">
      <c r="A63" s="3"/>
      <c r="B63" s="3"/>
      <c r="C63" s="3"/>
      <c r="D63" s="3"/>
      <c r="E63" s="3"/>
      <c r="F63" s="3"/>
      <c r="G63" s="3"/>
      <c r="H63" s="3"/>
    </row>
    <row r="64" spans="1:8" x14ac:dyDescent="0.3">
      <c r="A64" s="3"/>
      <c r="B64" s="3"/>
      <c r="C64" s="3"/>
      <c r="D64" s="3"/>
      <c r="E64" s="3"/>
      <c r="F64" s="3"/>
      <c r="G64" s="3"/>
      <c r="H64" s="3"/>
    </row>
    <row r="65" spans="1:8" x14ac:dyDescent="0.3">
      <c r="A65" s="3"/>
      <c r="B65" s="3"/>
      <c r="C65" s="3"/>
      <c r="D65" s="3"/>
      <c r="E65" s="3"/>
      <c r="F65" s="3"/>
      <c r="G65" s="3"/>
      <c r="H65" s="3"/>
    </row>
    <row r="66" spans="1:8" x14ac:dyDescent="0.3">
      <c r="A66" s="3"/>
      <c r="B66" s="3"/>
      <c r="C66" s="3"/>
      <c r="D66" s="3"/>
      <c r="E66" s="3"/>
      <c r="F66" s="3"/>
      <c r="G66" s="3"/>
      <c r="H66" s="3"/>
    </row>
    <row r="67" spans="1:8" x14ac:dyDescent="0.3">
      <c r="A67" s="3"/>
      <c r="B67" s="3"/>
      <c r="C67" s="3"/>
      <c r="D67" s="3"/>
      <c r="E67" s="3"/>
      <c r="F67" s="3"/>
      <c r="G67" s="3"/>
      <c r="H67" s="3"/>
    </row>
    <row r="68" spans="1:8" x14ac:dyDescent="0.3">
      <c r="A68" s="3"/>
      <c r="B68" s="3"/>
      <c r="C68" s="3"/>
      <c r="D68" s="3"/>
      <c r="E68" s="3"/>
      <c r="F68" s="3"/>
      <c r="G68" s="3"/>
      <c r="H68" s="3"/>
    </row>
    <row r="69" spans="1:8" x14ac:dyDescent="0.3">
      <c r="A69" s="3"/>
      <c r="B69" s="3"/>
      <c r="C69" s="3"/>
      <c r="D69" s="3"/>
      <c r="E69" s="3"/>
      <c r="F69" s="3"/>
      <c r="G69" s="3"/>
      <c r="H69" s="3"/>
    </row>
    <row r="70" spans="1:8" x14ac:dyDescent="0.3">
      <c r="A70" s="3"/>
      <c r="B70" s="3"/>
      <c r="C70" s="3"/>
      <c r="D70" s="3"/>
      <c r="E70" s="3"/>
      <c r="F70" s="3"/>
      <c r="G70" s="3"/>
      <c r="H70" s="3"/>
    </row>
    <row r="71" spans="1:8" x14ac:dyDescent="0.3">
      <c r="A71" s="3"/>
      <c r="B71" s="3"/>
      <c r="C71" s="3"/>
      <c r="D71" s="3"/>
      <c r="E71" s="3"/>
      <c r="F71" s="3"/>
      <c r="G71" s="3"/>
      <c r="H71" s="3"/>
    </row>
    <row r="72" spans="1:8" x14ac:dyDescent="0.3">
      <c r="A72" s="3"/>
      <c r="B72" s="3"/>
      <c r="C72" s="3"/>
      <c r="D72" s="3"/>
      <c r="E72" s="3"/>
      <c r="F72" s="3"/>
      <c r="G72" s="3"/>
      <c r="H72" s="3"/>
    </row>
    <row r="73" spans="1:8" x14ac:dyDescent="0.3">
      <c r="A73" s="3"/>
      <c r="B73" s="3"/>
      <c r="C73" s="3"/>
      <c r="D73" s="3"/>
      <c r="E73" s="3"/>
      <c r="F73" s="3"/>
      <c r="G73" s="3"/>
      <c r="H73" s="3"/>
    </row>
    <row r="74" spans="1:8" x14ac:dyDescent="0.3">
      <c r="A74" s="3"/>
      <c r="B74" s="3"/>
      <c r="C74" s="3"/>
      <c r="D74" s="3"/>
      <c r="E74" s="3"/>
      <c r="F74" s="3"/>
      <c r="G74" s="3"/>
      <c r="H74" s="3"/>
    </row>
    <row r="75" spans="1:8" x14ac:dyDescent="0.3">
      <c r="A75" s="3"/>
      <c r="B75" s="3"/>
      <c r="C75" s="3"/>
      <c r="D75" s="3"/>
      <c r="E75" s="3"/>
      <c r="F75" s="3"/>
      <c r="G75" s="3"/>
      <c r="H75" s="3"/>
    </row>
    <row r="76" spans="1:8" x14ac:dyDescent="0.3">
      <c r="A76" s="3"/>
      <c r="B76" s="3"/>
      <c r="C76" s="3"/>
      <c r="D76" s="3"/>
      <c r="E76" s="3"/>
      <c r="F76" s="3"/>
      <c r="G76" s="3"/>
      <c r="H76" s="3"/>
    </row>
    <row r="77" spans="1:8" x14ac:dyDescent="0.3">
      <c r="A77" s="3"/>
      <c r="B77" s="3"/>
      <c r="C77" s="3"/>
      <c r="D77" s="3"/>
      <c r="E77" s="3"/>
      <c r="F77" s="3"/>
      <c r="G77" s="3"/>
      <c r="H77" s="3"/>
    </row>
    <row r="78" spans="1:8" x14ac:dyDescent="0.3">
      <c r="A78" s="3"/>
      <c r="B78" s="3"/>
      <c r="C78" s="3"/>
      <c r="D78" s="3"/>
      <c r="E78" s="3"/>
      <c r="F78" s="3"/>
      <c r="G78" s="3"/>
      <c r="H78" s="3"/>
    </row>
    <row r="79" spans="1:8" x14ac:dyDescent="0.3">
      <c r="A79" s="3"/>
      <c r="B79" s="3"/>
      <c r="C79" s="3"/>
      <c r="D79" s="3"/>
      <c r="E79" s="3"/>
      <c r="F79" s="3"/>
      <c r="G79" s="3"/>
      <c r="H79" s="3"/>
    </row>
    <row r="80" spans="1:8" x14ac:dyDescent="0.3">
      <c r="A80" s="3"/>
      <c r="B80" s="3"/>
      <c r="C80" s="3"/>
      <c r="D80" s="3"/>
      <c r="E80" s="3"/>
      <c r="F80" s="3"/>
      <c r="G80" s="3"/>
      <c r="H80" s="3"/>
    </row>
    <row r="81" spans="1:8" x14ac:dyDescent="0.3">
      <c r="A81" s="3"/>
      <c r="B81" s="3"/>
      <c r="C81" s="3"/>
      <c r="D81" s="3"/>
      <c r="E81" s="3"/>
      <c r="F81" s="3"/>
      <c r="G81" s="3"/>
      <c r="H81" s="3"/>
    </row>
    <row r="82" spans="1:8" x14ac:dyDescent="0.3">
      <c r="A82" s="3"/>
      <c r="B82" s="3"/>
      <c r="C82" s="3"/>
      <c r="D82" s="3"/>
      <c r="E82" s="3"/>
      <c r="F82" s="3"/>
      <c r="G82" s="3"/>
      <c r="H82" s="3"/>
    </row>
    <row r="83" spans="1:8" x14ac:dyDescent="0.3">
      <c r="A83" s="3"/>
      <c r="B83" s="3"/>
      <c r="C83" s="3"/>
      <c r="D83" s="3"/>
      <c r="E83" s="3"/>
      <c r="F83" s="3"/>
      <c r="G83" s="3"/>
      <c r="H83" s="3"/>
    </row>
    <row r="84" spans="1:8" x14ac:dyDescent="0.3">
      <c r="A84" s="3"/>
      <c r="B84" s="3"/>
      <c r="C84" s="3"/>
      <c r="D84" s="3"/>
      <c r="E84" s="3"/>
      <c r="F84" s="3"/>
      <c r="G84" s="3"/>
      <c r="H84" s="3"/>
    </row>
    <row r="85" spans="1:8" x14ac:dyDescent="0.3">
      <c r="A85" s="3"/>
      <c r="B85" s="3"/>
      <c r="C85" s="3"/>
      <c r="D85" s="3"/>
      <c r="E85" s="3"/>
      <c r="F85" s="3"/>
      <c r="G85" s="3"/>
      <c r="H85" s="3"/>
    </row>
    <row r="86" spans="1:8" x14ac:dyDescent="0.3">
      <c r="A86" s="3"/>
      <c r="B86" s="3"/>
      <c r="C86" s="3"/>
      <c r="D86" s="3"/>
      <c r="E86" s="3"/>
      <c r="F86" s="3"/>
      <c r="G86" s="3"/>
      <c r="H86" s="3"/>
    </row>
    <row r="87" spans="1:8" x14ac:dyDescent="0.3">
      <c r="A87" s="3"/>
      <c r="B87" s="3"/>
      <c r="C87" s="3"/>
      <c r="D87" s="3"/>
      <c r="E87" s="3"/>
      <c r="F87" s="3"/>
      <c r="G87" s="3"/>
      <c r="H87" s="3"/>
    </row>
    <row r="88" spans="1:8" x14ac:dyDescent="0.3">
      <c r="A88" s="3"/>
      <c r="B88" s="3"/>
      <c r="C88" s="3"/>
      <c r="D88" s="3"/>
      <c r="E88" s="3"/>
      <c r="F88" s="3"/>
      <c r="G88" s="3"/>
      <c r="H88" s="3"/>
    </row>
    <row r="89" spans="1:8" x14ac:dyDescent="0.3">
      <c r="A89" s="3"/>
      <c r="B89" s="3"/>
      <c r="C89" s="3"/>
      <c r="D89" s="3"/>
      <c r="E89" s="3"/>
      <c r="F89" s="3"/>
      <c r="G89" s="3"/>
      <c r="H89" s="3"/>
    </row>
    <row r="90" spans="1:8" x14ac:dyDescent="0.3">
      <c r="A90" s="3"/>
      <c r="B90" s="3"/>
      <c r="C90" s="3"/>
      <c r="D90" s="3"/>
      <c r="E90" s="3"/>
      <c r="F90" s="3"/>
      <c r="G90" s="3"/>
      <c r="H90" s="3"/>
    </row>
    <row r="91" spans="1:8" x14ac:dyDescent="0.3">
      <c r="A91" s="3"/>
      <c r="B91" s="3"/>
      <c r="C91" s="3"/>
      <c r="D91" s="3"/>
      <c r="E91" s="3"/>
      <c r="F91" s="3"/>
      <c r="G91" s="3"/>
      <c r="H91" s="3"/>
    </row>
    <row r="92" spans="1:8" x14ac:dyDescent="0.3">
      <c r="A92" s="3"/>
      <c r="B92" s="3"/>
      <c r="C92" s="3"/>
      <c r="D92" s="3"/>
      <c r="E92" s="3"/>
      <c r="F92" s="3"/>
      <c r="G92" s="3"/>
      <c r="H92" s="3"/>
    </row>
    <row r="93" spans="1:8" x14ac:dyDescent="0.3">
      <c r="A93" s="3"/>
      <c r="B93" s="3"/>
      <c r="C93" s="3"/>
      <c r="D93" s="3"/>
      <c r="E93" s="3"/>
      <c r="F93" s="3"/>
      <c r="G93" s="3"/>
      <c r="H93" s="3"/>
    </row>
    <row r="94" spans="1:8" x14ac:dyDescent="0.3">
      <c r="A94" s="3"/>
      <c r="B94" s="3"/>
      <c r="C94" s="3"/>
      <c r="D94" s="3"/>
      <c r="E94" s="3"/>
      <c r="F94" s="3"/>
      <c r="G94" s="3"/>
      <c r="H94" s="3"/>
    </row>
    <row r="95" spans="1:8" x14ac:dyDescent="0.3">
      <c r="A95" s="3"/>
      <c r="B95" s="3"/>
      <c r="C95" s="3"/>
      <c r="D95" s="3"/>
      <c r="E95" s="3"/>
      <c r="F95" s="3"/>
      <c r="G95" s="3"/>
      <c r="H95" s="3"/>
    </row>
    <row r="96" spans="1:8" x14ac:dyDescent="0.3">
      <c r="A96" s="3"/>
      <c r="B96" s="3"/>
      <c r="C96" s="3"/>
      <c r="D96" s="3"/>
      <c r="E96" s="3"/>
      <c r="F96" s="3"/>
      <c r="G96" s="3"/>
      <c r="H96" s="3"/>
    </row>
    <row r="97" spans="1:8" x14ac:dyDescent="0.3">
      <c r="A97" s="3"/>
      <c r="B97" s="3"/>
      <c r="C97" s="3"/>
      <c r="D97" s="3"/>
      <c r="E97" s="3"/>
      <c r="F97" s="3"/>
      <c r="G97" s="3"/>
      <c r="H97" s="3"/>
    </row>
    <row r="98" spans="1:8" x14ac:dyDescent="0.3">
      <c r="A98" s="3"/>
      <c r="B98" s="3"/>
      <c r="C98" s="3"/>
      <c r="D98" s="3"/>
      <c r="E98" s="3"/>
      <c r="F98" s="3"/>
      <c r="G98" s="3"/>
      <c r="H98" s="3"/>
    </row>
    <row r="99" spans="1:8" x14ac:dyDescent="0.3">
      <c r="A99" s="3"/>
      <c r="B99" s="3"/>
      <c r="C99" s="3"/>
      <c r="D99" s="3"/>
      <c r="E99" s="3"/>
      <c r="F99" s="3"/>
      <c r="G99" s="3"/>
      <c r="H99" s="3"/>
    </row>
    <row r="100" spans="1:8" x14ac:dyDescent="0.3">
      <c r="A100" s="3"/>
      <c r="B100" s="3"/>
      <c r="C100" s="3"/>
      <c r="D100" s="3"/>
      <c r="E100" s="3"/>
      <c r="F100" s="3"/>
      <c r="G100" s="3"/>
      <c r="H100" s="3"/>
    </row>
    <row r="101" spans="1:8" x14ac:dyDescent="0.3">
      <c r="A101" s="3"/>
      <c r="B101" s="3"/>
      <c r="C101" s="3"/>
      <c r="D101" s="3"/>
      <c r="E101" s="3"/>
      <c r="F101" s="3"/>
      <c r="G101" s="3"/>
      <c r="H101" s="3"/>
    </row>
    <row r="102" spans="1:8" x14ac:dyDescent="0.3">
      <c r="A102" s="3"/>
      <c r="B102" s="3"/>
      <c r="C102" s="3"/>
      <c r="D102" s="3"/>
      <c r="E102" s="3"/>
      <c r="F102" s="3"/>
      <c r="G102" s="3"/>
      <c r="H102" s="3"/>
    </row>
    <row r="103" spans="1:8" x14ac:dyDescent="0.3">
      <c r="A103" s="3"/>
      <c r="B103" s="3"/>
      <c r="C103" s="3"/>
      <c r="D103" s="3"/>
      <c r="E103" s="3"/>
      <c r="F103" s="3"/>
      <c r="G103" s="3"/>
      <c r="H103" s="3"/>
    </row>
    <row r="104" spans="1:8" x14ac:dyDescent="0.3">
      <c r="A104" s="3"/>
      <c r="B104" s="3"/>
      <c r="C104" s="3"/>
      <c r="D104" s="3"/>
      <c r="E104" s="3"/>
      <c r="F104" s="3"/>
      <c r="G104" s="3"/>
      <c r="H104" s="3"/>
    </row>
    <row r="105" spans="1:8" x14ac:dyDescent="0.3">
      <c r="A105" s="3"/>
      <c r="B105" s="3"/>
      <c r="C105" s="3"/>
      <c r="D105" s="3"/>
      <c r="E105" s="3"/>
      <c r="F105" s="3"/>
      <c r="G105" s="3"/>
      <c r="H105" s="3"/>
    </row>
    <row r="106" spans="1:8" x14ac:dyDescent="0.3">
      <c r="A106" s="3"/>
      <c r="B106" s="3"/>
      <c r="C106" s="3"/>
      <c r="D106" s="3"/>
      <c r="E106" s="3"/>
      <c r="F106" s="3"/>
      <c r="G106" s="3"/>
      <c r="H106" s="3"/>
    </row>
    <row r="107" spans="1:8" x14ac:dyDescent="0.3">
      <c r="A107" s="3"/>
      <c r="B107" s="3"/>
      <c r="C107" s="3"/>
      <c r="D107" s="3"/>
      <c r="E107" s="3"/>
      <c r="F107" s="3"/>
      <c r="G107" s="3"/>
      <c r="H107" s="3"/>
    </row>
    <row r="108" spans="1:8" x14ac:dyDescent="0.3">
      <c r="A108" s="3"/>
      <c r="B108" s="3"/>
      <c r="C108" s="3"/>
      <c r="D108" s="3"/>
      <c r="E108" s="3"/>
      <c r="F108" s="3"/>
      <c r="G108" s="3"/>
      <c r="H108" s="3"/>
    </row>
    <row r="109" spans="1:8" x14ac:dyDescent="0.3">
      <c r="A109" s="3"/>
      <c r="B109" s="3"/>
      <c r="C109" s="3"/>
      <c r="D109" s="3"/>
      <c r="E109" s="3"/>
      <c r="F109" s="3"/>
      <c r="G109" s="3"/>
      <c r="H109" s="3"/>
    </row>
    <row r="110" spans="1:8" x14ac:dyDescent="0.3">
      <c r="A110" s="3"/>
      <c r="B110" s="3"/>
      <c r="C110" s="3"/>
      <c r="D110" s="3"/>
      <c r="E110" s="3"/>
      <c r="F110" s="3"/>
      <c r="G110" s="3"/>
      <c r="H110" s="3"/>
    </row>
    <row r="111" spans="1:8" x14ac:dyDescent="0.3">
      <c r="A111" s="3"/>
      <c r="B111" s="3"/>
      <c r="C111" s="3"/>
      <c r="D111" s="3"/>
      <c r="E111" s="3"/>
      <c r="F111" s="3"/>
      <c r="G111" s="3"/>
      <c r="H111" s="3"/>
    </row>
    <row r="112" spans="1:8" x14ac:dyDescent="0.3">
      <c r="A112" s="3"/>
      <c r="B112" s="3"/>
      <c r="C112" s="3"/>
      <c r="D112" s="3"/>
      <c r="E112" s="3"/>
      <c r="F112" s="3"/>
      <c r="G112" s="3"/>
      <c r="H112" s="3"/>
    </row>
    <row r="113" spans="1:8" x14ac:dyDescent="0.3">
      <c r="A113" s="3"/>
      <c r="B113" s="3"/>
      <c r="C113" s="3"/>
      <c r="D113" s="3"/>
      <c r="E113" s="3"/>
      <c r="F113" s="3"/>
      <c r="G113" s="3"/>
      <c r="H113" s="3"/>
    </row>
    <row r="114" spans="1:8" x14ac:dyDescent="0.3">
      <c r="A114" s="3"/>
      <c r="B114" s="3"/>
      <c r="C114" s="3"/>
      <c r="D114" s="3"/>
      <c r="E114" s="3"/>
      <c r="F114" s="3"/>
      <c r="G114" s="3"/>
      <c r="H114" s="3"/>
    </row>
    <row r="115" spans="1:8" x14ac:dyDescent="0.3">
      <c r="A115" s="3"/>
      <c r="B115" s="3"/>
      <c r="C115" s="3"/>
      <c r="D115" s="3"/>
      <c r="E115" s="3"/>
      <c r="F115" s="3"/>
      <c r="G115" s="3"/>
      <c r="H115" s="3"/>
    </row>
    <row r="116" spans="1:8" x14ac:dyDescent="0.3">
      <c r="A116" s="3"/>
      <c r="B116" s="3"/>
      <c r="C116" s="3"/>
      <c r="D116" s="3"/>
      <c r="E116" s="3"/>
      <c r="F116" s="3"/>
      <c r="G116" s="3"/>
      <c r="H116" s="3"/>
    </row>
    <row r="117" spans="1:8" x14ac:dyDescent="0.3">
      <c r="A117" s="3"/>
      <c r="B117" s="3"/>
      <c r="C117" s="3"/>
      <c r="D117" s="3"/>
      <c r="E117" s="3"/>
      <c r="F117" s="3"/>
      <c r="G117" s="3"/>
      <c r="H117" s="3"/>
    </row>
    <row r="118" spans="1:8" x14ac:dyDescent="0.3">
      <c r="A118" s="3"/>
      <c r="B118" s="3"/>
      <c r="C118" s="3"/>
      <c r="D118" s="3"/>
      <c r="E118" s="3"/>
      <c r="F118" s="3"/>
      <c r="G118" s="3"/>
      <c r="H118" s="3"/>
    </row>
    <row r="119" spans="1:8" x14ac:dyDescent="0.3">
      <c r="A119" s="3"/>
      <c r="B119" s="3"/>
      <c r="C119" s="3"/>
      <c r="D119" s="3"/>
      <c r="E119" s="3"/>
      <c r="F119" s="3"/>
      <c r="G119" s="3"/>
      <c r="H119" s="3"/>
    </row>
    <row r="120" spans="1:8" x14ac:dyDescent="0.3">
      <c r="A120" s="3"/>
      <c r="B120" s="3"/>
      <c r="C120" s="3"/>
      <c r="D120" s="3"/>
      <c r="E120" s="3"/>
      <c r="F120" s="3"/>
      <c r="G120" s="3"/>
      <c r="H120" s="3"/>
    </row>
    <row r="121" spans="1:8" x14ac:dyDescent="0.3">
      <c r="A121" s="3"/>
      <c r="B121" s="3"/>
      <c r="C121" s="3"/>
      <c r="D121" s="3"/>
      <c r="E121" s="3"/>
      <c r="F121" s="3"/>
      <c r="G121" s="3"/>
      <c r="H121" s="3"/>
    </row>
    <row r="122" spans="1:8" x14ac:dyDescent="0.3">
      <c r="A122" s="3"/>
      <c r="B122" s="3"/>
      <c r="C122" s="3"/>
      <c r="D122" s="3"/>
      <c r="E122" s="3"/>
      <c r="F122" s="3"/>
      <c r="G122" s="3"/>
      <c r="H122" s="3"/>
    </row>
    <row r="123" spans="1:8" x14ac:dyDescent="0.3">
      <c r="D123" s="3"/>
      <c r="E123" s="3"/>
      <c r="F123" s="3"/>
      <c r="G123" s="3"/>
      <c r="H123" s="3"/>
    </row>
    <row r="124" spans="1:8" x14ac:dyDescent="0.3">
      <c r="D124" s="3"/>
      <c r="E124" s="3"/>
      <c r="F124" s="3"/>
      <c r="G124" s="3"/>
      <c r="H124" s="3"/>
    </row>
    <row r="125" spans="1:8" x14ac:dyDescent="0.3">
      <c r="D125" s="3"/>
      <c r="E125" s="3"/>
      <c r="F125" s="3"/>
      <c r="G125" s="3"/>
      <c r="H125" s="3"/>
    </row>
    <row r="126" spans="1:8" x14ac:dyDescent="0.3">
      <c r="D126" s="3"/>
      <c r="E126" s="3"/>
      <c r="F126" s="3"/>
      <c r="G126" s="3"/>
      <c r="H126" s="3"/>
    </row>
    <row r="127" spans="1:8" x14ac:dyDescent="0.3">
      <c r="D127" s="3"/>
      <c r="E127" s="3"/>
      <c r="F127" s="3"/>
      <c r="G127" s="3"/>
      <c r="H127" s="3"/>
    </row>
    <row r="128" spans="1:8" x14ac:dyDescent="0.3">
      <c r="D128" s="3"/>
      <c r="E128" s="3"/>
      <c r="F128" s="3"/>
      <c r="G128" s="3"/>
      <c r="H128" s="3"/>
    </row>
    <row r="129" spans="1:8" x14ac:dyDescent="0.3">
      <c r="A129" s="97"/>
      <c r="B129" s="97"/>
      <c r="C129" s="97"/>
      <c r="D129" s="3"/>
      <c r="E129" s="3"/>
      <c r="F129" s="3"/>
      <c r="G129" s="3"/>
      <c r="H129" s="3"/>
    </row>
    <row r="130" spans="1:8" x14ac:dyDescent="0.3">
      <c r="A130" s="97"/>
      <c r="B130" s="97"/>
      <c r="C130" s="97"/>
      <c r="D130" s="3"/>
      <c r="E130" s="3"/>
      <c r="F130" s="3"/>
      <c r="G130" s="3"/>
      <c r="H130" s="3"/>
    </row>
    <row r="131" spans="1:8" x14ac:dyDescent="0.3">
      <c r="A131" s="97" t="s">
        <v>5</v>
      </c>
      <c r="B131" s="97" t="s">
        <v>316</v>
      </c>
      <c r="C131" s="97"/>
      <c r="D131" s="3"/>
      <c r="E131" s="3"/>
      <c r="F131" s="3"/>
      <c r="G131" s="3"/>
      <c r="H131" s="3"/>
    </row>
    <row r="132" spans="1:8" x14ac:dyDescent="0.3">
      <c r="C132" s="97"/>
      <c r="D132" s="3"/>
      <c r="E132" s="3"/>
      <c r="F132" s="3"/>
      <c r="G132" s="3"/>
      <c r="H132" s="3"/>
    </row>
    <row r="133" spans="1:8" x14ac:dyDescent="0.3">
      <c r="C133" s="97"/>
      <c r="D133" s="3"/>
      <c r="E133" s="3"/>
      <c r="F133" s="3"/>
      <c r="G133" s="3"/>
      <c r="H133" s="3"/>
    </row>
    <row r="134" spans="1:8" x14ac:dyDescent="0.3">
      <c r="C134" s="97"/>
      <c r="D134" s="3"/>
      <c r="E134" s="3"/>
      <c r="F134" s="3"/>
      <c r="G134" s="3"/>
      <c r="H134" s="3"/>
    </row>
    <row r="135" spans="1:8" x14ac:dyDescent="0.3">
      <c r="C135" s="97"/>
      <c r="D135" s="3"/>
      <c r="E135" s="3"/>
      <c r="F135" s="3"/>
      <c r="G135" s="3"/>
      <c r="H135" s="3"/>
    </row>
    <row r="136" spans="1:8" x14ac:dyDescent="0.3">
      <c r="C136" s="97"/>
      <c r="D136" s="3"/>
      <c r="E136" s="3"/>
      <c r="F136" s="3"/>
      <c r="G136" s="3"/>
      <c r="H136" s="3"/>
    </row>
    <row r="137" spans="1:8" x14ac:dyDescent="0.3">
      <c r="C137" s="97"/>
      <c r="D137" s="3"/>
      <c r="E137" s="3"/>
      <c r="F137" s="3"/>
      <c r="G137" s="3"/>
      <c r="H137" s="3"/>
    </row>
    <row r="138" spans="1:8" x14ac:dyDescent="0.3">
      <c r="C138" s="97"/>
      <c r="D138" s="3"/>
      <c r="E138" s="3"/>
      <c r="F138" s="3"/>
      <c r="G138" s="3"/>
      <c r="H138" s="3"/>
    </row>
    <row r="139" spans="1:8" x14ac:dyDescent="0.3">
      <c r="C139" s="97"/>
      <c r="D139" s="3"/>
      <c r="E139" s="3"/>
      <c r="F139" s="3"/>
      <c r="G139" s="3"/>
      <c r="H139" s="3"/>
    </row>
    <row r="140" spans="1:8" x14ac:dyDescent="0.3">
      <c r="C140" s="97"/>
      <c r="D140" s="3"/>
      <c r="E140" s="3"/>
      <c r="F140" s="3"/>
      <c r="G140" s="3"/>
      <c r="H140" s="3"/>
    </row>
    <row r="141" spans="1:8" x14ac:dyDescent="0.3">
      <c r="C141" s="97"/>
      <c r="D141" s="3"/>
      <c r="E141" s="3"/>
      <c r="F141" s="3"/>
      <c r="G141" s="3"/>
      <c r="H141" s="3"/>
    </row>
    <row r="142" spans="1:8" x14ac:dyDescent="0.3">
      <c r="C142" s="97"/>
      <c r="D142" s="3"/>
      <c r="E142" s="3"/>
      <c r="F142" s="3"/>
      <c r="G142" s="3"/>
      <c r="H142" s="3"/>
    </row>
    <row r="143" spans="1:8" x14ac:dyDescent="0.3">
      <c r="C143" s="97"/>
      <c r="D143" s="3"/>
      <c r="E143" s="3"/>
      <c r="F143" s="3"/>
      <c r="G143" s="3"/>
      <c r="H143" s="3"/>
    </row>
    <row r="144" spans="1:8" x14ac:dyDescent="0.3">
      <c r="C144" s="97"/>
      <c r="D144" s="3"/>
      <c r="E144" s="3"/>
      <c r="F144" s="3"/>
      <c r="G144" s="3"/>
      <c r="H144" s="3"/>
    </row>
    <row r="145" spans="1:8" x14ac:dyDescent="0.3">
      <c r="C145" s="97"/>
      <c r="D145" s="3"/>
      <c r="E145" s="3"/>
      <c r="F145" s="3"/>
      <c r="G145" s="3"/>
      <c r="H145" s="3"/>
    </row>
    <row r="146" spans="1:8" x14ac:dyDescent="0.3">
      <c r="C146" s="97"/>
      <c r="D146" s="3"/>
      <c r="E146" s="3"/>
      <c r="F146" s="3"/>
      <c r="G146" s="3"/>
      <c r="H146" s="3"/>
    </row>
    <row r="147" spans="1:8" x14ac:dyDescent="0.3">
      <c r="C147" s="97"/>
      <c r="D147" s="3"/>
      <c r="E147" s="3"/>
      <c r="F147" s="3"/>
      <c r="G147" s="3"/>
      <c r="H147" s="3"/>
    </row>
    <row r="148" spans="1:8" x14ac:dyDescent="0.3">
      <c r="C148" s="97"/>
      <c r="D148" s="3"/>
      <c r="E148" s="3"/>
      <c r="F148" s="3"/>
      <c r="G148" s="3"/>
      <c r="H148" s="3"/>
    </row>
    <row r="149" spans="1:8" x14ac:dyDescent="0.3">
      <c r="C149" s="97"/>
      <c r="D149" s="3"/>
      <c r="E149" s="3"/>
      <c r="F149" s="3"/>
      <c r="G149" s="3"/>
      <c r="H149" s="3"/>
    </row>
    <row r="150" spans="1:8" x14ac:dyDescent="0.3">
      <c r="C150" s="97"/>
      <c r="D150" s="3"/>
      <c r="E150" s="3"/>
      <c r="F150" s="3"/>
      <c r="G150" s="3"/>
      <c r="H150" s="3"/>
    </row>
    <row r="151" spans="1:8" x14ac:dyDescent="0.3">
      <c r="C151" s="97"/>
      <c r="D151" s="3"/>
      <c r="E151" s="3"/>
      <c r="F151" s="3"/>
      <c r="G151" s="3"/>
      <c r="H151" s="3"/>
    </row>
    <row r="152" spans="1:8" x14ac:dyDescent="0.3">
      <c r="C152" s="97"/>
      <c r="D152" s="97"/>
      <c r="E152" s="97"/>
      <c r="F152" s="97"/>
      <c r="G152" s="97"/>
      <c r="H152" s="97"/>
    </row>
    <row r="153" spans="1:8" x14ac:dyDescent="0.3">
      <c r="C153" s="99" t="s">
        <v>296</v>
      </c>
      <c r="D153" s="99" t="s">
        <v>297</v>
      </c>
      <c r="E153" s="99" t="s">
        <v>298</v>
      </c>
      <c r="F153" s="99" t="s">
        <v>299</v>
      </c>
      <c r="G153" s="99" t="s">
        <v>116</v>
      </c>
      <c r="H153" s="99" t="s">
        <v>310</v>
      </c>
    </row>
    <row r="154" spans="1:8" x14ac:dyDescent="0.3">
      <c r="A154" s="98" t="str">
        <f>IF(Inputs!$A6="","",Inputs!$A6)</f>
        <v>N25178-0100D</v>
      </c>
      <c r="B154" s="98" t="str">
        <f>IF($A154="","",Inputs!$F6)</f>
        <v>Active</v>
      </c>
      <c r="C154" s="102" cm="1">
        <f t="array" ref="C154">IF($A154="",0,SUMPRODUCT((Phasing!$E$3:$X$3=$D$4)*Phasing!$E180:$X180))</f>
        <v>0</v>
      </c>
      <c r="D154" s="102" cm="1">
        <f t="array" ref="D154">IF($A154="",0,SUMPRODUCT((Phasing!$E$3:$X$3=$D$4)*Phasing!$E595:$X595))</f>
        <v>0</v>
      </c>
      <c r="E154" s="102" cm="1">
        <f t="array" ref="E154">IF($A154="",0,SUMPRODUCT((Phasing!$E$3:$X$3=$D$4)*INDEX(Phasing!$E$265:$X$267,$H$4,0)))</f>
        <v>0</v>
      </c>
      <c r="F154" s="101" cm="1">
        <f t="array" ref="F154">IF($A154="",0,INDEX(Inputs!$I6:$K6,1,$H$4))</f>
        <v>1</v>
      </c>
      <c r="G154" s="97" t="str">
        <f>IF($E154&lt;=0,"",COUNTIF($E$154:$E154,"&gt;0"))</f>
        <v/>
      </c>
      <c r="H154" s="102" cm="1">
        <f t="array" aca="1" ref="H154" ca="1">IF($A154="",0,SUMPRODUCT((Analysis!$E$3:$X$3=$D$4)*Phasing!$E180:$X180*Analysis!$E$31:$X$31))</f>
        <v>0</v>
      </c>
    </row>
    <row r="155" spans="1:8" x14ac:dyDescent="0.3">
      <c r="A155" s="98" t="str">
        <f>IF(Inputs!$A7="","",Inputs!$A7)</f>
        <v>E26084-0100D</v>
      </c>
      <c r="B155" s="98" t="str">
        <f>IF($A155="","",Inputs!$F7)</f>
        <v>Active</v>
      </c>
      <c r="C155" s="102" cm="1">
        <f t="array" ref="C155">IF($A155="",0,SUMPRODUCT((Phasing!$E$3:$X$3=$D$4)*Phasing!$E181:$X181))</f>
        <v>1.2078774617067833</v>
      </c>
      <c r="D155" s="102" cm="1">
        <f t="array" ref="D155">IF($A155="",0,SUMPRODUCT((Phasing!$E$3:$X$3=$D$4)*Phasing!$E596:$X596))</f>
        <v>0</v>
      </c>
      <c r="E155" s="102" cm="1">
        <f t="array" ref="E155">IF($A155="",0,SUMPRODUCT((Phasing!$E$3:$X$3=$D$4)*INDEX(Phasing!$E$268:$X$270,$H$4,0)))</f>
        <v>0</v>
      </c>
      <c r="F155" s="101" cm="1">
        <f t="array" ref="F155">IF($A155="",0,INDEX(Inputs!$I7:$K7,1,$H$4))</f>
        <v>0.15</v>
      </c>
      <c r="G155" s="97" t="str">
        <f>IF($E155&lt;=0,"",COUNTIF($E$154:$E155,"&gt;0"))</f>
        <v/>
      </c>
      <c r="H155" s="102" cm="1">
        <f t="array" aca="1" ref="H155" ca="1">IF($A155="",0,SUMPRODUCT((Analysis!$E$3:$X$3=$D$4)*Phasing!$E181:$X181*Analysis!$E$31:$X$31))</f>
        <v>1.2078774617067833</v>
      </c>
    </row>
    <row r="156" spans="1:8" x14ac:dyDescent="0.3">
      <c r="A156" s="98" t="str">
        <f>IF(Inputs!$A8="","",Inputs!$A8)</f>
        <v>N25185-0100D</v>
      </c>
      <c r="B156" s="98" t="str">
        <f>IF($A156="","",Inputs!$F8)</f>
        <v>Active</v>
      </c>
      <c r="C156" s="102" cm="1">
        <f t="array" ref="C156">IF($A156="",0,SUMPRODUCT((Phasing!$E$3:$X$3=$D$4)*Phasing!$E182:$X182))</f>
        <v>5.2341356673960613</v>
      </c>
      <c r="D156" s="102" cm="1">
        <f t="array" ref="D156">IF($A156="",0,SUMPRODUCT((Phasing!$E$3:$X$3=$D$4)*Phasing!$E597:$X597))</f>
        <v>2.2179962049335864</v>
      </c>
      <c r="E156" s="102" cm="1">
        <f t="array" ref="E156">IF($A156="",0,SUMPRODUCT((Phasing!$E$3:$X$3=$D$4)*INDEX(Phasing!$E$271:$X$273,$H$4,0)))</f>
        <v>1.6283783783783783</v>
      </c>
      <c r="F156" s="101" cm="1">
        <f t="array" ref="F156">IF($A156="",0,INDEX(Inputs!$I8:$K8,1,$H$4))</f>
        <v>0.41582278481012658</v>
      </c>
      <c r="G156" s="97">
        <f>IF($E156&lt;=0,"",COUNTIF($E$154:$E156,"&gt;0"))</f>
        <v>1</v>
      </c>
      <c r="H156" s="102" cm="1">
        <f t="array" aca="1" ref="H156" ca="1">IF($A156="",0,SUMPRODUCT((Analysis!$E$3:$X$3=$D$4)*Phasing!$E182:$X182*Analysis!$E$31:$X$31))</f>
        <v>5.2341356673960613</v>
      </c>
    </row>
    <row r="157" spans="1:8" x14ac:dyDescent="0.3">
      <c r="A157" s="98" t="str">
        <f>IF(Inputs!$A9="","",Inputs!$A9)</f>
        <v>AN22137-0100D</v>
      </c>
      <c r="B157" s="98" t="str">
        <f>IF($A157="","",Inputs!$F9)</f>
        <v>Not Started</v>
      </c>
      <c r="C157" s="102" cm="1">
        <f t="array" ref="C157">IF($A157="",0,SUMPRODUCT((Phasing!$E$3:$X$3=$D$4)*Phasing!$E183:$X183))</f>
        <v>0</v>
      </c>
      <c r="D157" s="102" cm="1">
        <f t="array" ref="D157">IF($A157="",0,SUMPRODUCT((Phasing!$E$3:$X$3=$D$4)*Phasing!$E598:$X598))</f>
        <v>0</v>
      </c>
      <c r="E157" s="102" cm="1">
        <f t="array" ref="E157">IF($A157="",0,SUMPRODUCT((Phasing!$E$3:$X$3=$D$4)*INDEX(Phasing!$E$274:$X$276,$H$4,0)))</f>
        <v>0</v>
      </c>
      <c r="F157" s="101" cm="1">
        <f t="array" ref="F157">IF($A157="",0,INDEX(Inputs!$I9:$K9,1,$H$4))</f>
        <v>0.6</v>
      </c>
      <c r="G157" s="97" t="str">
        <f>IF($E157&lt;=0,"",COUNTIF($E$154:$E157,"&gt;0"))</f>
        <v/>
      </c>
      <c r="H157" s="102" cm="1">
        <f t="array" aca="1" ref="H157" ca="1">IF($A157="",0,SUMPRODUCT((Analysis!$E$3:$X$3=$D$4)*Phasing!$E183:$X183*Analysis!$E$31:$X$31))</f>
        <v>0</v>
      </c>
    </row>
    <row r="158" spans="1:8" x14ac:dyDescent="0.3">
      <c r="A158" s="98" t="str">
        <f>IF(Inputs!$A10="","",Inputs!$A10)</f>
        <v>D26058-0100D</v>
      </c>
      <c r="B158" s="98" t="str">
        <f>IF($A158="","",Inputs!$F10)</f>
        <v>Not Started</v>
      </c>
      <c r="C158" s="102" cm="1">
        <f t="array" ref="C158">IF($A158="",0,SUMPRODUCT((Phasing!$E$3:$X$3=$D$4)*Phasing!$E184:$X184))</f>
        <v>0</v>
      </c>
      <c r="D158" s="102" cm="1">
        <f t="array" ref="D158">IF($A158="",0,SUMPRODUCT((Phasing!$E$3:$X$3=$D$4)*Phasing!$E599:$X599))</f>
        <v>0</v>
      </c>
      <c r="E158" s="102" cm="1">
        <f t="array" ref="E158">IF($A158="",0,SUMPRODUCT((Phasing!$E$3:$X$3=$D$4)*INDEX(Phasing!$E$277:$X$279,$H$4,0)))</f>
        <v>0</v>
      </c>
      <c r="F158" s="101" cm="1">
        <f t="array" ref="F158">IF($A158="",0,INDEX(Inputs!$I10:$K10,1,$H$4))</f>
        <v>0.6</v>
      </c>
      <c r="G158" s="97" t="str">
        <f>IF($E158&lt;=0,"",COUNTIF($E$154:$E158,"&gt;0"))</f>
        <v/>
      </c>
      <c r="H158" s="102" cm="1">
        <f t="array" aca="1" ref="H158" ca="1">IF($A158="",0,SUMPRODUCT((Analysis!$E$3:$X$3=$D$4)*Phasing!$E184:$X184*Analysis!$E$31:$X$31))</f>
        <v>0</v>
      </c>
    </row>
    <row r="159" spans="1:8" x14ac:dyDescent="0.3">
      <c r="A159" s="98" t="str">
        <f>IF(Inputs!$A11="","",Inputs!$A11)</f>
        <v xml:space="preserve">AD24217-0100D </v>
      </c>
      <c r="B159" s="98" t="str">
        <f>IF($A159="","",Inputs!$F11)</f>
        <v>Finalized</v>
      </c>
      <c r="C159" s="102" cm="1">
        <f t="array" ref="C159">IF($A159="",0,SUMPRODUCT((Phasing!$E$3:$X$3=$D$4)*Phasing!$E185:$X185))</f>
        <v>3</v>
      </c>
      <c r="D159" s="102" cm="1">
        <f t="array" ref="D159">IF($A159="",0,SUMPRODUCT((Phasing!$E$3:$X$3=$D$4)*Phasing!$E600:$X600))</f>
        <v>3</v>
      </c>
      <c r="E159" s="102" cm="1">
        <f t="array" ref="E159">IF($A159="",0,SUMPRODUCT((Phasing!$E$3:$X$3=$D$4)*INDEX(Phasing!$E$280:$X$282,$H$4,0)))</f>
        <v>0.25945945945945947</v>
      </c>
      <c r="F159" s="101" cm="1">
        <f t="array" ref="F159">IF($A159="",0,INDEX(Inputs!$I11:$K11,1,$H$4))</f>
        <v>0.4</v>
      </c>
      <c r="G159" s="97">
        <f>IF($E159&lt;=0,"",COUNTIF($E$154:$E159,"&gt;0"))</f>
        <v>2</v>
      </c>
      <c r="H159" s="102" cm="1">
        <f t="array" aca="1" ref="H159" ca="1">IF($A159="",0,SUMPRODUCT((Analysis!$E$3:$X$3=$D$4)*Phasing!$E185:$X185*Analysis!$E$31:$X$31))</f>
        <v>3</v>
      </c>
    </row>
    <row r="160" spans="1:8" x14ac:dyDescent="0.3">
      <c r="A160" s="97" t="str">
        <f>IF(Inputs!$A12="","",Inputs!$A12)</f>
        <v>AN23207-0500D</v>
      </c>
      <c r="B160" s="97" t="str">
        <f>IF($A160="","",Inputs!$F12)</f>
        <v>On Hold</v>
      </c>
      <c r="C160" s="102" cm="1">
        <f t="array" ref="C160">IF($A160="",0,SUMPRODUCT((Phasing!$E$3:$X$3=$D$4)*Phasing!$E186:$X186))</f>
        <v>0</v>
      </c>
      <c r="D160" s="102" cm="1">
        <f t="array" ref="D160">IF($A160="",0,SUMPRODUCT((Phasing!$E$3:$X$3=$D$4)*Phasing!$E601:$X601))</f>
        <v>0</v>
      </c>
      <c r="E160" s="102" cm="1">
        <f t="array" ref="E160">IF($A160="",0,SUMPRODUCT((Phasing!$E$3:$X$3=$D$4)*INDEX(Phasing!$E$283:$X$285,$H$4,0)))</f>
        <v>0</v>
      </c>
      <c r="F160" s="101" cm="1">
        <f t="array" ref="F160">IF($A160="",0,INDEX(Inputs!$I12:$K12,1,$H$4))</f>
        <v>0.2</v>
      </c>
      <c r="G160" s="97" t="str">
        <f>IF($E160&lt;=0,"",COUNTIF($E$154:$E160,"&gt;0"))</f>
        <v/>
      </c>
      <c r="H160" s="102" cm="1">
        <f t="array" aca="1" ref="H160" ca="1">IF($A160="",0,SUMPRODUCT((Analysis!$E$3:$X$3=$D$4)*Phasing!$E186:$X186*Analysis!$E$31:$X$31))</f>
        <v>0</v>
      </c>
    </row>
    <row r="161" spans="1:8" x14ac:dyDescent="0.3">
      <c r="A161" s="97" t="str">
        <f>IF(Inputs!$A13="","",Inputs!$A13)</f>
        <v>AN23276-0100D</v>
      </c>
      <c r="B161" s="97" t="str">
        <f>IF($A161="","",Inputs!$F13)</f>
        <v>On Hold</v>
      </c>
      <c r="C161" s="102" cm="1">
        <f t="array" ref="C161">IF($A161="",0,SUMPRODUCT((Phasing!$E$3:$X$3=$D$4)*Phasing!$E187:$X187))</f>
        <v>2.2201946472019465</v>
      </c>
      <c r="D161" s="102" cm="1">
        <f t="array" ref="D161">IF($A161="",0,SUMPRODUCT((Phasing!$E$3:$X$3=$D$4)*Phasing!$E602:$X602))</f>
        <v>0.53343465045592708</v>
      </c>
      <c r="E161" s="102" cm="1">
        <f t="array" ref="E161">IF($A161="",0,SUMPRODUCT((Phasing!$E$3:$X$3=$D$4)*INDEX(Phasing!$E$286:$X$288,$H$4,0)))</f>
        <v>1.0810810810810811E-2</v>
      </c>
      <c r="F161" s="101" cm="1">
        <f t="array" ref="F161">IF($A161="",0,INDEX(Inputs!$I13:$K13,1,$H$4))</f>
        <v>0.4</v>
      </c>
      <c r="G161" s="97">
        <f>IF($E161&lt;=0,"",COUNTIF($E$154:$E161,"&gt;0"))</f>
        <v>3</v>
      </c>
      <c r="H161" s="102" cm="1">
        <f t="array" aca="1" ref="H161" ca="1">IF($A161="",0,SUMPRODUCT((Analysis!$E$3:$X$3=$D$4)*Phasing!$E187:$X187*Analysis!$E$31:$X$31))</f>
        <v>2.2201946472019465</v>
      </c>
    </row>
    <row r="162" spans="1:8" x14ac:dyDescent="0.3">
      <c r="A162" s="97" t="str">
        <f>IF(Inputs!$A14="","",Inputs!$A14)</f>
        <v>AN24073-0100D</v>
      </c>
      <c r="B162" s="97" t="str">
        <f>IF($A162="","",Inputs!$F14)</f>
        <v>On Hold</v>
      </c>
      <c r="C162" s="102" cm="1">
        <f t="array" ref="C162">IF($A162="",0,SUMPRODUCT((Phasing!$E$3:$X$3=$D$4)*Phasing!$E188:$X188))</f>
        <v>0.50328227571115969</v>
      </c>
      <c r="D162" s="102" cm="1">
        <f t="array" ref="D162">IF($A162="",0,SUMPRODUCT((Phasing!$E$3:$X$3=$D$4)*Phasing!$E603:$X603))</f>
        <v>1.125</v>
      </c>
      <c r="E162" s="102" cm="1">
        <f t="array" ref="E162">IF($A162="",0,SUMPRODUCT((Phasing!$E$3:$X$3=$D$4)*INDEX(Phasing!$E$289:$X$291,$H$4,0)))</f>
        <v>1.0810810810810811E-2</v>
      </c>
      <c r="F162" s="101" cm="1">
        <f t="array" ref="F162">IF($A162="",0,INDEX(Inputs!$I14:$K14,1,$H$4))</f>
        <v>0.1</v>
      </c>
      <c r="G162" s="97">
        <f>IF($E162&lt;=0,"",COUNTIF($E$154:$E162,"&gt;0"))</f>
        <v>4</v>
      </c>
      <c r="H162" s="102" cm="1">
        <f t="array" aca="1" ref="H162" ca="1">IF($A162="",0,SUMPRODUCT((Analysis!$E$3:$X$3=$D$4)*Phasing!$E188:$X188*Analysis!$E$31:$X$31))</f>
        <v>0.50328227571115969</v>
      </c>
    </row>
    <row r="163" spans="1:8" x14ac:dyDescent="0.3">
      <c r="A163" s="97" t="str">
        <f>IF(Inputs!$A15="","",Inputs!$A15)</f>
        <v>AN24140-0100R</v>
      </c>
      <c r="B163" s="97" t="str">
        <f>IF($A163="","",Inputs!$F15)</f>
        <v>Active</v>
      </c>
      <c r="C163" s="102" cm="1">
        <f t="array" ref="C163">IF($A163="",0,SUMPRODUCT((Phasing!$E$3:$X$3=$D$4)*Phasing!$E189:$X189))</f>
        <v>0.79274611398963724</v>
      </c>
      <c r="D163" s="102" cm="1">
        <f t="array" ref="D163">IF($A163="",0,SUMPRODUCT((Phasing!$E$3:$X$3=$D$4)*Phasing!$E604:$X604))</f>
        <v>0.1233870967741936</v>
      </c>
      <c r="E163" s="102" cm="1">
        <f t="array" ref="E163">IF($A163="",0,SUMPRODUCT((Phasing!$E$3:$X$3=$D$4)*INDEX(Phasing!$E$292:$X$294,$H$4,0)))</f>
        <v>5.4054054054054057E-3</v>
      </c>
      <c r="F163" s="101" cm="1">
        <f t="array" ref="F163">IF($A163="",0,INDEX(Inputs!$I15:$K15,1,$H$4))</f>
        <v>0.10000000000000002</v>
      </c>
      <c r="G163" s="97">
        <f>IF($E163&lt;=0,"",COUNTIF($E$154:$E163,"&gt;0"))</f>
        <v>5</v>
      </c>
      <c r="H163" s="102" cm="1">
        <f t="array" aca="1" ref="H163" ca="1">IF($A163="",0,SUMPRODUCT((Analysis!$E$3:$X$3=$D$4)*Phasing!$E189:$X189*Analysis!$E$31:$X$31))</f>
        <v>0.79274611398963724</v>
      </c>
    </row>
    <row r="164" spans="1:8" x14ac:dyDescent="0.3">
      <c r="A164" s="97" t="str">
        <f>IF(Inputs!$A16="","",Inputs!$A16)</f>
        <v>CS24035-0100D</v>
      </c>
      <c r="B164" s="97" t="str">
        <f>IF($A164="","",Inputs!$F16)</f>
        <v>On Hold</v>
      </c>
      <c r="C164" s="102" cm="1">
        <f t="array" ref="C164">IF($A164="",0,SUMPRODUCT((Phasing!$E$3:$X$3=$D$4)*Phasing!$E190:$X190))</f>
        <v>0.80525164113785563</v>
      </c>
      <c r="D164" s="102" cm="1">
        <f t="array" ref="D164">IF($A164="",0,SUMPRODUCT((Phasing!$E$3:$X$3=$D$4)*Phasing!$E605:$X605))</f>
        <v>2.7458153580672997</v>
      </c>
      <c r="E164" s="102" cm="1">
        <f t="array" ref="E164">IF($A164="",0,SUMPRODUCT((Phasing!$E$3:$X$3=$D$4)*INDEX(Phasing!$E$295:$X$297,$H$4,0)))</f>
        <v>1.0337837837837838</v>
      </c>
      <c r="F164" s="101" cm="1">
        <f t="array" ref="F164">IF($A164="",0,INDEX(Inputs!$I16:$K16,1,$H$4))</f>
        <v>0.5</v>
      </c>
      <c r="G164" s="97">
        <f>IF($E164&lt;=0,"",COUNTIF($E$154:$E164,"&gt;0"))</f>
        <v>6</v>
      </c>
      <c r="H164" s="102" cm="1">
        <f t="array" aca="1" ref="H164" ca="1">IF($A164="",0,SUMPRODUCT((Analysis!$E$3:$X$3=$D$4)*Phasing!$E190:$X190*Analysis!$E$31:$X$31))</f>
        <v>0.80525164113785563</v>
      </c>
    </row>
    <row r="165" spans="1:8" x14ac:dyDescent="0.3">
      <c r="A165" s="97" t="str">
        <f>IF(Inputs!$A17="","",Inputs!$A17)</f>
        <v>E24181-0100D</v>
      </c>
      <c r="B165" s="97" t="str">
        <f>IF($A165="","",Inputs!$F17)</f>
        <v>Finalized</v>
      </c>
      <c r="C165" s="102" cm="1">
        <f t="array" ref="C165">IF($A165="",0,SUMPRODUCT((Phasing!$E$3:$X$3=$D$4)*Phasing!$E191:$X191))</f>
        <v>0</v>
      </c>
      <c r="D165" s="102" cm="1">
        <f t="array" ref="D165">IF($A165="",0,SUMPRODUCT((Phasing!$E$3:$X$3=$D$4)*Phasing!$E606:$X606))</f>
        <v>0</v>
      </c>
      <c r="E165" s="102" cm="1">
        <f t="array" ref="E165">IF($A165="",0,SUMPRODUCT((Phasing!$E$3:$X$3=$D$4)*INDEX(Phasing!$E$298:$X$300,$H$4,0)))</f>
        <v>0</v>
      </c>
      <c r="F165" s="101" cm="1">
        <f t="array" ref="F165">IF($A165="",0,INDEX(Inputs!$I17:$K17,1,$H$4))</f>
        <v>1</v>
      </c>
      <c r="G165" s="97" t="str">
        <f>IF($E165&lt;=0,"",COUNTIF($E$154:$E165,"&gt;0"))</f>
        <v/>
      </c>
      <c r="H165" s="102" cm="1">
        <f t="array" aca="1" ref="H165" ca="1">IF($A165="",0,SUMPRODUCT((Analysis!$E$3:$X$3=$D$4)*Phasing!$E191:$X191*Analysis!$E$31:$X$31))</f>
        <v>0</v>
      </c>
    </row>
    <row r="166" spans="1:8" x14ac:dyDescent="0.3">
      <c r="A166" s="97" t="str">
        <f>IF(Inputs!$A18="","",Inputs!$A18)</f>
        <v>J23152-0100D</v>
      </c>
      <c r="B166" s="97" t="str">
        <f>IF($A166="","",Inputs!$F18)</f>
        <v>Finalized</v>
      </c>
      <c r="C166" s="102" cm="1">
        <f t="array" ref="C166">IF($A166="",0,SUMPRODUCT((Phasing!$E$3:$X$3=$D$4)*Phasing!$E192:$X192))</f>
        <v>0</v>
      </c>
      <c r="D166" s="102" cm="1">
        <f t="array" ref="D166">IF($A166="",0,SUMPRODUCT((Phasing!$E$3:$X$3=$D$4)*Phasing!$E607:$X607))</f>
        <v>7.3170731707317069E-2</v>
      </c>
      <c r="E166" s="102" cm="1">
        <f t="array" ref="E166">IF($A166="",0,SUMPRODUCT((Phasing!$E$3:$X$3=$D$4)*INDEX(Phasing!$E$301:$X$303,$H$4,0)))</f>
        <v>1.6216216216216217E-2</v>
      </c>
      <c r="F166" s="101" cm="1">
        <f t="array" ref="F166">IF($A166="",0,INDEX(Inputs!$I18:$K18,1,$H$4))</f>
        <v>1</v>
      </c>
      <c r="G166" s="97">
        <f>IF($E166&lt;=0,"",COUNTIF($E$154:$E166,"&gt;0"))</f>
        <v>7</v>
      </c>
      <c r="H166" s="102" cm="1">
        <f t="array" aca="1" ref="H166" ca="1">IF($A166="",0,SUMPRODUCT((Analysis!$E$3:$X$3=$D$4)*Phasing!$E192:$X192*Analysis!$E$31:$X$31))</f>
        <v>0</v>
      </c>
    </row>
    <row r="167" spans="1:8" x14ac:dyDescent="0.3">
      <c r="A167" s="97" t="str">
        <f>IF(Inputs!$A19="","",Inputs!$A19)</f>
        <v>Q25008-0100D</v>
      </c>
      <c r="B167" s="97" t="str">
        <f>IF($A167="","",Inputs!$F19)</f>
        <v>Finalized</v>
      </c>
      <c r="C167" s="102" cm="1">
        <f t="array" ref="C167">IF($A167="",0,SUMPRODUCT((Phasing!$E$3:$X$3=$D$4)*Phasing!$E193:$X193))</f>
        <v>0</v>
      </c>
      <c r="D167" s="102" cm="1">
        <f t="array" ref="D167">IF($A167="",0,SUMPRODUCT((Phasing!$E$3:$X$3=$D$4)*Phasing!$E608:$X608))</f>
        <v>0.30112044817927175</v>
      </c>
      <c r="E167" s="102" cm="1">
        <f t="array" ref="E167">IF($A167="",0,SUMPRODUCT((Phasing!$E$3:$X$3=$D$4)*INDEX(Phasing!$E$304:$X$306,$H$4,0)))</f>
        <v>7.8378378378378383E-2</v>
      </c>
      <c r="F167" s="101" cm="1">
        <f t="array" ref="F167">IF($A167="",0,INDEX(Inputs!$I19:$K19,1,$H$4))</f>
        <v>0.2</v>
      </c>
      <c r="G167" s="97">
        <f>IF($E167&lt;=0,"",COUNTIF($E$154:$E167,"&gt;0"))</f>
        <v>8</v>
      </c>
      <c r="H167" s="102" cm="1">
        <f t="array" aca="1" ref="H167" ca="1">IF($A167="",0,SUMPRODUCT((Analysis!$E$3:$X$3=$D$4)*Phasing!$E193:$X193*Analysis!$E$31:$X$31))</f>
        <v>0</v>
      </c>
    </row>
    <row r="168" spans="1:8" x14ac:dyDescent="0.3">
      <c r="A168" s="97" t="str">
        <f>IF(Inputs!$A20="","",Inputs!$A20)</f>
        <v>S24014-0101D</v>
      </c>
      <c r="B168" s="97" t="str">
        <f>IF($A168="","",Inputs!$F20)</f>
        <v>Finalized</v>
      </c>
      <c r="C168" s="102" cm="1">
        <f t="array" ref="C168">IF($A168="",0,SUMPRODUCT((Phasing!$E$3:$X$3=$D$4)*Phasing!$E194:$X194))</f>
        <v>0</v>
      </c>
      <c r="D168" s="102" cm="1">
        <f t="array" ref="D168">IF($A168="",0,SUMPRODUCT((Phasing!$E$3:$X$3=$D$4)*Phasing!$E609:$X609))</f>
        <v>0</v>
      </c>
      <c r="E168" s="102" cm="1">
        <f t="array" ref="E168">IF($A168="",0,SUMPRODUCT((Phasing!$E$3:$X$3=$D$4)*INDEX(Phasing!$E$307:$X$309,$H$4,0)))</f>
        <v>0</v>
      </c>
      <c r="F168" s="101" cm="1">
        <f t="array" ref="F168">IF($A168="",0,INDEX(Inputs!$I20:$K20,1,$H$4))</f>
        <v>1</v>
      </c>
      <c r="G168" s="97" t="str">
        <f>IF($E168&lt;=0,"",COUNTIF($E$154:$E168,"&gt;0"))</f>
        <v/>
      </c>
      <c r="H168" s="102" cm="1">
        <f t="array" aca="1" ref="H168" ca="1">IF($A168="",0,SUMPRODUCT((Analysis!$E$3:$X$3=$D$4)*Phasing!$E194:$X194*Analysis!$E$31:$X$31))</f>
        <v>0</v>
      </c>
    </row>
    <row r="169" spans="1:8" x14ac:dyDescent="0.3">
      <c r="A169" s="97" t="str">
        <f>IF(Inputs!$A21="","",Inputs!$A21)</f>
        <v>S24014-0102D</v>
      </c>
      <c r="B169" s="97" t="str">
        <f>IF($A169="","",Inputs!$F21)</f>
        <v>Finalized</v>
      </c>
      <c r="C169" s="102" cm="1">
        <f t="array" ref="C169">IF($A169="",0,SUMPRODUCT((Phasing!$E$3:$X$3=$D$4)*Phasing!$E195:$X195))</f>
        <v>5.2664810126582271</v>
      </c>
      <c r="D169" s="102" cm="1">
        <f t="array" ref="D169">IF($A169="",0,SUMPRODUCT((Phasing!$E$3:$X$3=$D$4)*Phasing!$E610:$X610))</f>
        <v>7.62</v>
      </c>
      <c r="E169" s="102" cm="1">
        <f t="array" ref="E169">IF($A169="",0,SUMPRODUCT((Phasing!$E$3:$X$3=$D$4)*INDEX(Phasing!$E$310:$X$312,$H$4,0)))</f>
        <v>2.2364864864864864</v>
      </c>
      <c r="F169" s="101" cm="1">
        <f t="array" ref="F169">IF($A169="",0,INDEX(Inputs!$I21:$K21,1,$H$4))</f>
        <v>0.7</v>
      </c>
      <c r="G169" s="97">
        <f>IF($E169&lt;=0,"",COUNTIF($E$154:$E169,"&gt;0"))</f>
        <v>9</v>
      </c>
      <c r="H169" s="102" cm="1">
        <f t="array" aca="1" ref="H169" ca="1">IF($A169="",0,SUMPRODUCT((Analysis!$E$3:$X$3=$D$4)*Phasing!$E195:$X195*Analysis!$E$31:$X$31))</f>
        <v>5.2664810126582271</v>
      </c>
    </row>
    <row r="170" spans="1:8" x14ac:dyDescent="0.3">
      <c r="A170" s="97" t="str">
        <f>IF(Inputs!$A22="","",Inputs!$A22)</f>
        <v>S24014-0103D</v>
      </c>
      <c r="B170" s="97" t="str">
        <f>IF($A170="","",Inputs!$F22)</f>
        <v>Finalized</v>
      </c>
      <c r="C170" s="102" cm="1">
        <f t="array" ref="C170">IF($A170="",0,SUMPRODUCT((Phasing!$E$3:$X$3=$D$4)*Phasing!$E196:$X196))</f>
        <v>4.3956455696202532</v>
      </c>
      <c r="D170" s="102" cm="1">
        <f t="array" ref="D170">IF($A170="",0,SUMPRODUCT((Phasing!$E$3:$X$3=$D$4)*Phasing!$E611:$X611))</f>
        <v>0</v>
      </c>
      <c r="E170" s="102" cm="1">
        <f t="array" ref="E170">IF($A170="",0,SUMPRODUCT((Phasing!$E$3:$X$3=$D$4)*INDEX(Phasing!$E$313:$X$315,$H$4,0)))</f>
        <v>0</v>
      </c>
      <c r="F170" s="101" cm="1">
        <f t="array" ref="F170">IF($A170="",0,INDEX(Inputs!$I22:$K22,1,$H$4))</f>
        <v>0.5</v>
      </c>
      <c r="G170" s="97" t="str">
        <f>IF($E170&lt;=0,"",COUNTIF($E$154:$E170,"&gt;0"))</f>
        <v/>
      </c>
      <c r="H170" s="102" cm="1">
        <f t="array" aca="1" ref="H170" ca="1">IF($A170="",0,SUMPRODUCT((Analysis!$E$3:$X$3=$D$4)*Phasing!$E196:$X196*Analysis!$E$31:$X$31))</f>
        <v>4.3956455696202532</v>
      </c>
    </row>
    <row r="171" spans="1:8" x14ac:dyDescent="0.3">
      <c r="A171" s="97" t="str">
        <f>IF(Inputs!$A23="","",Inputs!$A23)</f>
        <v>S24014-0104D</v>
      </c>
      <c r="B171" s="97" t="str">
        <f>IF($A171="","",Inputs!$F23)</f>
        <v>Finalized</v>
      </c>
      <c r="C171" s="102" cm="1">
        <f t="array" ref="C171">IF($A171="",0,SUMPRODUCT((Phasing!$E$3:$X$3=$D$4)*Phasing!$E197:$X197))</f>
        <v>8.3144050632911384</v>
      </c>
      <c r="D171" s="102" cm="1">
        <f t="array" ref="D171">IF($A171="",0,SUMPRODUCT((Phasing!$E$3:$X$3=$D$4)*Phasing!$E612:$X612))</f>
        <v>6.6432333333333329</v>
      </c>
      <c r="E171" s="102" cm="1">
        <f t="array" ref="E171">IF($A171="",0,SUMPRODUCT((Phasing!$E$3:$X$3=$D$4)*INDEX(Phasing!$E$316:$X$318,$H$4,0)))</f>
        <v>0.67162162162162165</v>
      </c>
      <c r="F171" s="101" cm="1">
        <f t="array" ref="F171">IF($A171="",0,INDEX(Inputs!$I23:$K23,1,$H$4))</f>
        <v>1</v>
      </c>
      <c r="G171" s="97">
        <f>IF($E171&lt;=0,"",COUNTIF($E$154:$E171,"&gt;0"))</f>
        <v>10</v>
      </c>
      <c r="H171" s="102" cm="1">
        <f t="array" aca="1" ref="H171" ca="1">IF($A171="",0,SUMPRODUCT((Analysis!$E$3:$X$3=$D$4)*Phasing!$E197:$X197*Analysis!$E$31:$X$31))</f>
        <v>8.3144050632911384</v>
      </c>
    </row>
    <row r="172" spans="1:8" x14ac:dyDescent="0.3">
      <c r="A172" s="97" t="str">
        <f>IF(Inputs!$A24="","",Inputs!$A24)</f>
        <v>S22058-0700D</v>
      </c>
      <c r="B172" s="97" t="str">
        <f>IF($A172="","",Inputs!$F24)</f>
        <v>Finalized</v>
      </c>
      <c r="C172" s="102" cm="1">
        <f t="array" ref="C172">IF($A172="",0,SUMPRODUCT((Phasing!$E$3:$X$3=$D$4)*Phasing!$E198:$X198))</f>
        <v>3.5842450765864329</v>
      </c>
      <c r="D172" s="102" cm="1">
        <f t="array" ref="D172">IF($A172="",0,SUMPRODUCT((Phasing!$E$3:$X$3=$D$4)*Phasing!$E613:$X613))</f>
        <v>5.1870047543581617</v>
      </c>
      <c r="E172" s="102" cm="1">
        <f t="array" ref="E172">IF($A172="",0,SUMPRODUCT((Phasing!$E$3:$X$3=$D$4)*INDEX(Phasing!$E$319:$X$321,$H$4,0)))</f>
        <v>0.90540540540540537</v>
      </c>
      <c r="F172" s="101" cm="1">
        <f t="array" ref="F172">IF($A172="",0,INDEX(Inputs!$I24:$K24,1,$H$4))</f>
        <v>0.15</v>
      </c>
      <c r="G172" s="97">
        <f>IF($E172&lt;=0,"",COUNTIF($E$154:$E172,"&gt;0"))</f>
        <v>11</v>
      </c>
      <c r="H172" s="102" cm="1">
        <f t="array" aca="1" ref="H172" ca="1">IF($A172="",0,SUMPRODUCT((Analysis!$E$3:$X$3=$D$4)*Phasing!$E198:$X198*Analysis!$E$31:$X$31))</f>
        <v>3.5842450765864329</v>
      </c>
    </row>
    <row r="173" spans="1:8" x14ac:dyDescent="0.3">
      <c r="A173" s="97" t="str">
        <f>IF(Inputs!$A25="","",Inputs!$A25)</f>
        <v>AN24185-0100R</v>
      </c>
      <c r="B173" s="97" t="str">
        <f>IF($A173="","",Inputs!$F25)</f>
        <v>Finalized</v>
      </c>
      <c r="C173" s="102" cm="1">
        <f t="array" ref="C173">IF($A173="",0,SUMPRODUCT((Phasing!$E$3:$X$3=$D$4)*Phasing!$E199:$X199))</f>
        <v>2.6691042047531992</v>
      </c>
      <c r="D173" s="102" cm="1">
        <f t="array" ref="D173">IF($A173="",0,SUMPRODUCT((Phasing!$E$3:$X$3=$D$4)*Phasing!$E614:$X614))</f>
        <v>2.2911912368781375</v>
      </c>
      <c r="E173" s="102" cm="1">
        <f t="array" ref="E173">IF($A173="",0,SUMPRODUCT((Phasing!$E$3:$X$3=$D$4)*INDEX(Phasing!$E$322:$X$324,$H$4,0)))</f>
        <v>1.0810810810810811E-2</v>
      </c>
      <c r="F173" s="101" cm="1">
        <f t="array" ref="F173">IF($A173="",0,INDEX(Inputs!$I25:$K25,1,$H$4))</f>
        <v>0.05</v>
      </c>
      <c r="G173" s="97">
        <f>IF($E173&lt;=0,"",COUNTIF($E$154:$E173,"&gt;0"))</f>
        <v>12</v>
      </c>
      <c r="H173" s="102" cm="1">
        <f t="array" aca="1" ref="H173" ca="1">IF($A173="",0,SUMPRODUCT((Analysis!$E$3:$X$3=$D$4)*Phasing!$E199:$X199*Analysis!$E$31:$X$31))</f>
        <v>2.6691042047531992</v>
      </c>
    </row>
    <row r="174" spans="1:8" x14ac:dyDescent="0.3">
      <c r="A174" s="97" t="str">
        <f>IF(Inputs!$A26="","",Inputs!$A26)</f>
        <v>AN24135-0100R</v>
      </c>
      <c r="B174" s="97" t="str">
        <f>IF($A174="","",Inputs!$F26)</f>
        <v>On Hold</v>
      </c>
      <c r="C174" s="102" cm="1">
        <f t="array" ref="C174">IF($A174="",0,SUMPRODUCT((Phasing!$E$3:$X$3=$D$4)*Phasing!$E200:$X200))</f>
        <v>1.6008771929824561</v>
      </c>
      <c r="D174" s="102" cm="1">
        <f t="array" ref="D174">IF($A174="",0,SUMPRODUCT((Phasing!$E$3:$X$3=$D$4)*Phasing!$E615:$X615))</f>
        <v>0.29726937269372689</v>
      </c>
      <c r="E174" s="102" cm="1">
        <f t="array" ref="E174">IF($A174="",0,SUMPRODUCT((Phasing!$E$3:$X$3=$D$4)*INDEX(Phasing!$E$325:$X$327,$H$4,0)))</f>
        <v>2.5675675675675677E-2</v>
      </c>
      <c r="F174" s="101" cm="1">
        <f t="array" ref="F174">IF($A174="",0,INDEX(Inputs!$I26:$K26,1,$H$4))</f>
        <v>5.000000000000001E-2</v>
      </c>
      <c r="G174" s="97">
        <f>IF($E174&lt;=0,"",COUNTIF($E$154:$E174,"&gt;0"))</f>
        <v>13</v>
      </c>
      <c r="H174" s="102" cm="1">
        <f t="array" aca="1" ref="H174" ca="1">IF($A174="",0,SUMPRODUCT((Analysis!$E$3:$X$3=$D$4)*Phasing!$E200:$X200*Analysis!$E$31:$X$31))</f>
        <v>1.6008771929824561</v>
      </c>
    </row>
    <row r="175" spans="1:8" x14ac:dyDescent="0.3">
      <c r="A175" s="97" t="str">
        <f>IF(Inputs!$A27="","",Inputs!$A27)</f>
        <v>AN23232-0100D</v>
      </c>
      <c r="B175" s="97" t="str">
        <f>IF($A175="","",Inputs!$F27)</f>
        <v>Finalized</v>
      </c>
      <c r="C175" s="102" cm="1">
        <f t="array" ref="C175">IF($A175="",0,SUMPRODUCT((Phasing!$E$3:$X$3=$D$4)*Phasing!$E201:$X201))</f>
        <v>0</v>
      </c>
      <c r="D175" s="102" cm="1">
        <f t="array" ref="D175">IF($A175="",0,SUMPRODUCT((Phasing!$E$3:$X$3=$D$4)*Phasing!$E616:$X616))</f>
        <v>3.8052373158756134E-2</v>
      </c>
      <c r="E175" s="102" cm="1">
        <f t="array" ref="E175">IF($A175="",0,SUMPRODUCT((Phasing!$E$3:$X$3=$D$4)*INDEX(Phasing!$E$328:$X$330,$H$4,0)))</f>
        <v>4.1891891891891894E-2</v>
      </c>
      <c r="F175" s="101" cm="1">
        <f t="array" ref="F175">IF($A175="",0,INDEX(Inputs!$I27:$K27,1,$H$4))</f>
        <v>0.75</v>
      </c>
      <c r="G175" s="97">
        <f>IF($E175&lt;=0,"",COUNTIF($E$154:$E175,"&gt;0"))</f>
        <v>14</v>
      </c>
      <c r="H175" s="102" cm="1">
        <f t="array" aca="1" ref="H175" ca="1">IF($A175="",0,SUMPRODUCT((Analysis!$E$3:$X$3=$D$4)*Phasing!$E201:$X201*Analysis!$E$31:$X$31))</f>
        <v>0</v>
      </c>
    </row>
    <row r="176" spans="1:8" x14ac:dyDescent="0.3">
      <c r="A176" s="97" t="str">
        <f>IF(Inputs!$A28="","",Inputs!$A28)</f>
        <v>AN23108-0100R</v>
      </c>
      <c r="B176" s="97" t="str">
        <f>IF($A176="","",Inputs!$F28)</f>
        <v>On Hold</v>
      </c>
      <c r="C176" s="102" cm="1">
        <f t="array" ref="C176">IF($A176="",0,SUMPRODUCT((Phasing!$E$3:$X$3=$D$4)*Phasing!$E202:$X202))</f>
        <v>0.75909090909090915</v>
      </c>
      <c r="D176" s="102" cm="1">
        <f t="array" ref="D176">IF($A176="",0,SUMPRODUCT((Phasing!$E$3:$X$3=$D$4)*Phasing!$E617:$X617))</f>
        <v>3.4313725490196081E-2</v>
      </c>
      <c r="E176" s="102" cm="1">
        <f t="array" ref="E176">IF($A176="",0,SUMPRODUCT((Phasing!$E$3:$X$3=$D$4)*INDEX(Phasing!$E$331:$X$333,$H$4,0)))</f>
        <v>9.7297297297297303E-2</v>
      </c>
      <c r="F176" s="101" cm="1">
        <f t="array" ref="F176">IF($A176="",0,INDEX(Inputs!$I28:$K28,1,$H$4))</f>
        <v>0.10000000000000002</v>
      </c>
      <c r="G176" s="97">
        <f>IF($E176&lt;=0,"",COUNTIF($E$154:$E176,"&gt;0"))</f>
        <v>15</v>
      </c>
      <c r="H176" s="102" cm="1">
        <f t="array" aca="1" ref="H176" ca="1">IF($A176="",0,SUMPRODUCT((Analysis!$E$3:$X$3=$D$4)*Phasing!$E202:$X202*Analysis!$E$31:$X$31))</f>
        <v>0.75909090909090915</v>
      </c>
    </row>
    <row r="177" spans="1:8" x14ac:dyDescent="0.3">
      <c r="A177" s="97" t="str">
        <f>IF(Inputs!$A29="","",Inputs!$A29)</f>
        <v>TA24246-0200R</v>
      </c>
      <c r="B177" s="97" t="str">
        <f>IF($A177="","",Inputs!$F29)</f>
        <v>On Hold</v>
      </c>
      <c r="C177" s="102" cm="1">
        <f t="array" ref="C177">IF($A177="",0,SUMPRODUCT((Phasing!$E$3:$X$3=$D$4)*Phasing!$E203:$X203))</f>
        <v>0.37954545454545457</v>
      </c>
      <c r="D177" s="102" cm="1">
        <f t="array" ref="D177">IF($A177="",0,SUMPRODUCT((Phasing!$E$3:$X$3=$D$4)*Phasing!$E618:$X618))</f>
        <v>0.55824594852240228</v>
      </c>
      <c r="E177" s="102" cm="1">
        <f t="array" ref="E177">IF($A177="",0,SUMPRODUCT((Phasing!$E$3:$X$3=$D$4)*INDEX(Phasing!$E$334:$X$336,$H$4,0)))</f>
        <v>8.513513513513514E-2</v>
      </c>
      <c r="F177" s="101" cm="1">
        <f t="array" ref="F177">IF($A177="",0,INDEX(Inputs!$I29:$K29,1,$H$4))</f>
        <v>0.1</v>
      </c>
      <c r="G177" s="97">
        <f>IF($E177&lt;=0,"",COUNTIF($E$154:$E177,"&gt;0"))</f>
        <v>16</v>
      </c>
      <c r="H177" s="102" cm="1">
        <f t="array" aca="1" ref="H177" ca="1">IF($A177="",0,SUMPRODUCT((Analysis!$E$3:$X$3=$D$4)*Phasing!$E203:$X203*Analysis!$E$31:$X$31))</f>
        <v>0.37954545454545457</v>
      </c>
    </row>
    <row r="178" spans="1:8" x14ac:dyDescent="0.3">
      <c r="A178" s="97" t="str">
        <f>IF(Inputs!$A30="","",Inputs!$A30)</f>
        <v>S22058-0900D</v>
      </c>
      <c r="B178" s="97" t="str">
        <f>IF($A178="","",Inputs!$F30)</f>
        <v>Cancelled</v>
      </c>
      <c r="C178" s="102" cm="1">
        <f t="array" ref="C178">IF($A178="",0,SUMPRODUCT((Phasing!$E$3:$X$3=$D$4)*Phasing!$E204:$X204))</f>
        <v>0</v>
      </c>
      <c r="D178" s="102" cm="1">
        <f t="array" ref="D178">IF($A178="",0,SUMPRODUCT((Phasing!$E$3:$X$3=$D$4)*Phasing!$E619:$X619))</f>
        <v>0.19366197183098591</v>
      </c>
      <c r="E178" s="102" cm="1">
        <f t="array" ref="E178">IF($A178="",0,SUMPRODUCT((Phasing!$E$3:$X$3=$D$4)*INDEX(Phasing!$E$337:$X$339,$H$4,0)))</f>
        <v>7.4324324324324328E-2</v>
      </c>
      <c r="F178" s="101" cm="1">
        <f t="array" ref="F178">IF($A178="",0,INDEX(Inputs!$I30:$K30,1,$H$4))</f>
        <v>1</v>
      </c>
      <c r="G178" s="97">
        <f>IF($E178&lt;=0,"",COUNTIF($E$154:$E178,"&gt;0"))</f>
        <v>17</v>
      </c>
      <c r="H178" s="102" cm="1">
        <f t="array" aca="1" ref="H178" ca="1">IF($A178="",0,SUMPRODUCT((Analysis!$E$3:$X$3=$D$4)*Phasing!$E204:$X204*Analysis!$E$31:$X$31))</f>
        <v>0</v>
      </c>
    </row>
    <row r="179" spans="1:8" x14ac:dyDescent="0.3">
      <c r="A179" s="97" t="str">
        <f>IF(Inputs!$A31="","",Inputs!$A31)</f>
        <v>S22058-0400D</v>
      </c>
      <c r="B179" s="97" t="str">
        <f>IF($A179="","",Inputs!$F31)</f>
        <v>Finalized</v>
      </c>
      <c r="C179" s="102" cm="1">
        <f t="array" ref="C179">IF($A179="",0,SUMPRODUCT((Phasing!$E$3:$X$3=$D$4)*Phasing!$E205:$X205))</f>
        <v>0</v>
      </c>
      <c r="D179" s="102" cm="1">
        <f t="array" ref="D179">IF($A179="",0,SUMPRODUCT((Phasing!$E$3:$X$3=$D$4)*Phasing!$E620:$X620))</f>
        <v>0.13333333333333333</v>
      </c>
      <c r="E179" s="102" cm="1">
        <f t="array" ref="E179">IF($A179="",0,SUMPRODUCT((Phasing!$E$3:$X$3=$D$4)*INDEX(Phasing!$E$340:$X$342,$H$4,0)))</f>
        <v>1.0810810810810811E-2</v>
      </c>
      <c r="F179" s="101" cm="1">
        <f t="array" ref="F179">IF($A179="",0,INDEX(Inputs!$I31:$K31,1,$H$4))</f>
        <v>1</v>
      </c>
      <c r="G179" s="97">
        <f>IF($E179&lt;=0,"",COUNTIF($E$154:$E179,"&gt;0"))</f>
        <v>18</v>
      </c>
      <c r="H179" s="102" cm="1">
        <f t="array" aca="1" ref="H179" ca="1">IF($A179="",0,SUMPRODUCT((Analysis!$E$3:$X$3=$D$4)*Phasing!$E205:$X205*Analysis!$E$31:$X$31))</f>
        <v>0</v>
      </c>
    </row>
    <row r="180" spans="1:8" x14ac:dyDescent="0.3">
      <c r="A180" s="97" t="str">
        <f>IF(Inputs!$A32="","",Inputs!$A32)</f>
        <v>Proposals 25</v>
      </c>
      <c r="B180" s="97" t="str">
        <f>IF($A180="","",Inputs!$F32)</f>
        <v>Finalized</v>
      </c>
      <c r="C180" s="102" cm="1">
        <f t="array" ref="C180">IF($A180="",0,SUMPRODUCT((Phasing!$E$3:$X$3=$D$4)*Phasing!$E206:$X206))</f>
        <v>1.9</v>
      </c>
      <c r="D180" s="102" cm="1">
        <f t="array" ref="D180">IF($A180="",0,SUMPRODUCT((Phasing!$E$3:$X$3=$D$4)*Phasing!$E621:$X621))</f>
        <v>1.8999999999999997</v>
      </c>
      <c r="E180" s="102" cm="1">
        <f t="array" ref="E180">IF($A180="",0,SUMPRODUCT((Phasing!$E$3:$X$3=$D$4)*INDEX(Phasing!$E$343:$X$345,$H$4,0)))</f>
        <v>1.0716216216216217</v>
      </c>
      <c r="F180" s="101" cm="1">
        <f t="array" ref="F180">IF($A180="",0,INDEX(Inputs!$I32:$K32,1,$H$4))</f>
        <v>0.8</v>
      </c>
      <c r="G180" s="97">
        <f>IF($E180&lt;=0,"",COUNTIF($E$154:$E180,"&gt;0"))</f>
        <v>19</v>
      </c>
      <c r="H180" s="102" cm="1">
        <f t="array" aca="1" ref="H180" ca="1">IF($A180="",0,SUMPRODUCT((Analysis!$E$3:$X$3=$D$4)*Phasing!$E206:$X206*Analysis!$E$31:$X$31))</f>
        <v>1.9</v>
      </c>
    </row>
    <row r="181" spans="1:8" x14ac:dyDescent="0.3">
      <c r="A181" s="97" t="str">
        <f>IF(Inputs!$A33="","",Inputs!$A33)</f>
        <v>Chargable Proposals 25</v>
      </c>
      <c r="B181" s="97" t="str">
        <f>IF($A181="","",Inputs!$F33)</f>
        <v>Finalized</v>
      </c>
      <c r="C181" s="102" cm="1">
        <f t="array" ref="C181">IF($A181="",0,SUMPRODUCT((Phasing!$E$3:$X$3=$D$4)*Phasing!$E207:$X207))</f>
        <v>3</v>
      </c>
      <c r="D181" s="102" cm="1">
        <f t="array" ref="D181">IF($A181="",0,SUMPRODUCT((Phasing!$E$3:$X$3=$D$4)*Phasing!$E622:$X622))</f>
        <v>3</v>
      </c>
      <c r="E181" s="102" cm="1">
        <f t="array" ref="E181">IF($A181="",0,SUMPRODUCT((Phasing!$E$3:$X$3=$D$4)*INDEX(Phasing!$E$346:$X$348,$H$4,0)))</f>
        <v>0.98513513513513518</v>
      </c>
      <c r="F181" s="101" cm="1">
        <f t="array" ref="F181">IF($A181="",0,INDEX(Inputs!$I33:$K33,1,$H$4))</f>
        <v>0.4</v>
      </c>
      <c r="G181" s="97">
        <f>IF($E181&lt;=0,"",COUNTIF($E$154:$E181,"&gt;0"))</f>
        <v>20</v>
      </c>
      <c r="H181" s="102" cm="1">
        <f t="array" aca="1" ref="H181" ca="1">IF($A181="",0,SUMPRODUCT((Analysis!$E$3:$X$3=$D$4)*Phasing!$E207:$X207*Analysis!$E$31:$X$31))</f>
        <v>3</v>
      </c>
    </row>
    <row r="182" spans="1:8" x14ac:dyDescent="0.3">
      <c r="A182" s="97" t="str">
        <f>IF(Inputs!$A34="","",Inputs!$A34)</f>
        <v>AD23051-0101D</v>
      </c>
      <c r="B182" s="97" t="str">
        <f>IF($A182="","",Inputs!$F34)</f>
        <v>Cancelled</v>
      </c>
      <c r="C182" s="102" cm="1">
        <f t="array" ref="C182">IF($A182="",0,SUMPRODUCT((Phasing!$E$3:$X$3=$D$4)*Phasing!$E208:$X208))</f>
        <v>0</v>
      </c>
      <c r="D182" s="102" cm="1">
        <f t="array" ref="D182">IF($A182="",0,SUMPRODUCT((Phasing!$E$3:$X$3=$D$4)*Phasing!$E623:$X623))</f>
        <v>0</v>
      </c>
      <c r="E182" s="102" cm="1">
        <f t="array" ref="E182">IF($A182="",0,SUMPRODUCT((Phasing!$E$3:$X$3=$D$4)*INDEX(Phasing!$E$349:$X$351,$H$4,0)))</f>
        <v>0</v>
      </c>
      <c r="F182" s="101" cm="1">
        <f t="array" ref="F182">IF($A182="",0,INDEX(Inputs!$I34:$K34,1,$H$4))</f>
        <v>1</v>
      </c>
      <c r="G182" s="97" t="str">
        <f>IF($E182&lt;=0,"",COUNTIF($E$154:$E182,"&gt;0"))</f>
        <v/>
      </c>
      <c r="H182" s="102" cm="1">
        <f t="array" aca="1" ref="H182" ca="1">IF($A182="",0,SUMPRODUCT((Analysis!$E$3:$X$3=$D$4)*Phasing!$E208:$X208*Analysis!$E$31:$X$31))</f>
        <v>0</v>
      </c>
    </row>
    <row r="183" spans="1:8" x14ac:dyDescent="0.3">
      <c r="A183" s="97" t="str">
        <f>IF(Inputs!$A35="","",Inputs!$A35)</f>
        <v>AN21146-0100R</v>
      </c>
      <c r="B183" s="97" t="str">
        <f>IF($A183="","",Inputs!$F35)</f>
        <v>Finalized</v>
      </c>
      <c r="C183" s="102" cm="1">
        <f t="array" ref="C183">IF($A183="",0,SUMPRODUCT((Phasing!$E$3:$X$3=$D$4)*Phasing!$E209:$X209))</f>
        <v>0</v>
      </c>
      <c r="D183" s="102" cm="1">
        <f t="array" ref="D183">IF($A183="",0,SUMPRODUCT((Phasing!$E$3:$X$3=$D$4)*Phasing!$E624:$X624))</f>
        <v>0</v>
      </c>
      <c r="E183" s="102" cm="1">
        <f t="array" ref="E183">IF($A183="",0,SUMPRODUCT((Phasing!$E$3:$X$3=$D$4)*INDEX(Phasing!$E$352:$X$354,$H$4,0)))</f>
        <v>0</v>
      </c>
      <c r="F183" s="101" cm="1">
        <f t="array" ref="F183">IF($A183="",0,INDEX(Inputs!$I35:$K35,1,$H$4))</f>
        <v>0.4</v>
      </c>
      <c r="G183" s="97" t="str">
        <f>IF($E183&lt;=0,"",COUNTIF($E$154:$E183,"&gt;0"))</f>
        <v/>
      </c>
      <c r="H183" s="102" cm="1">
        <f t="array" aca="1" ref="H183" ca="1">IF($A183="",0,SUMPRODUCT((Analysis!$E$3:$X$3=$D$4)*Phasing!$E209:$X209*Analysis!$E$31:$X$31))</f>
        <v>0</v>
      </c>
    </row>
    <row r="184" spans="1:8" x14ac:dyDescent="0.3">
      <c r="A184" s="97" t="str">
        <f>IF(Inputs!$A36="","",Inputs!$A36)</f>
        <v>N23106-0100D</v>
      </c>
      <c r="B184" s="97" t="str">
        <f>IF($A184="","",Inputs!$F36)</f>
        <v>Finalized</v>
      </c>
      <c r="C184" s="102" cm="1">
        <f t="array" ref="C184">IF($A184="",0,SUMPRODUCT((Phasing!$E$3:$X$3=$D$4)*Phasing!$E210:$X210))</f>
        <v>0</v>
      </c>
      <c r="D184" s="102" cm="1">
        <f t="array" ref="D184">IF($A184="",0,SUMPRODUCT((Phasing!$E$3:$X$3=$D$4)*Phasing!$E625:$X625))</f>
        <v>4.8820179007323029E-2</v>
      </c>
      <c r="E184" s="102" cm="1">
        <f t="array" ref="E184">IF($A184="",0,SUMPRODUCT((Phasing!$E$3:$X$3=$D$4)*INDEX(Phasing!$E$355:$X$357,$H$4,0)))</f>
        <v>0</v>
      </c>
      <c r="F184" s="101" cm="1">
        <f t="array" ref="F184">IF($A184="",0,INDEX(Inputs!$I36:$K36,1,$H$4))</f>
        <v>0.6</v>
      </c>
      <c r="G184" s="97" t="str">
        <f>IF($E184&lt;=0,"",COUNTIF($E$154:$E184,"&gt;0"))</f>
        <v/>
      </c>
      <c r="H184" s="102" cm="1">
        <f t="array" aca="1" ref="H184" ca="1">IF($A184="",0,SUMPRODUCT((Analysis!$E$3:$X$3=$D$4)*Phasing!$E210:$X210*Analysis!$E$31:$X$31))</f>
        <v>0</v>
      </c>
    </row>
    <row r="185" spans="1:8" x14ac:dyDescent="0.3">
      <c r="A185" s="97" t="str">
        <f>IF(Inputs!$A37="","",Inputs!$A37)</f>
        <v>OM23030-0100D</v>
      </c>
      <c r="B185" s="97" t="str">
        <f>IF($A185="","",Inputs!$F37)</f>
        <v>Finalized</v>
      </c>
      <c r="C185" s="102" cm="1">
        <f t="array" ref="C185">IF($A185="",0,SUMPRODUCT((Phasing!$E$3:$X$3=$D$4)*Phasing!$E211:$X211))</f>
        <v>0</v>
      </c>
      <c r="D185" s="102" cm="1">
        <f t="array" ref="D185">IF($A185="",0,SUMPRODUCT((Phasing!$E$3:$X$3=$D$4)*Phasing!$E626:$X626))</f>
        <v>0</v>
      </c>
      <c r="E185" s="102" cm="1">
        <f t="array" ref="E185">IF($A185="",0,SUMPRODUCT((Phasing!$E$3:$X$3=$D$4)*INDEX(Phasing!$E$358:$X$360,$H$4,0)))</f>
        <v>0</v>
      </c>
      <c r="F185" s="101" cm="1">
        <f t="array" ref="F185">IF($A185="",0,INDEX(Inputs!$I37:$K37,1,$H$4))</f>
        <v>1</v>
      </c>
      <c r="G185" s="97" t="str">
        <f>IF($E185&lt;=0,"",COUNTIF($E$154:$E185,"&gt;0"))</f>
        <v/>
      </c>
      <c r="H185" s="102" cm="1">
        <f t="array" aca="1" ref="H185" ca="1">IF($A185="",0,SUMPRODUCT((Analysis!$E$3:$X$3=$D$4)*Phasing!$E211:$X211*Analysis!$E$31:$X$31))</f>
        <v>0</v>
      </c>
    </row>
    <row r="186" spans="1:8" x14ac:dyDescent="0.3">
      <c r="A186" s="97" t="str">
        <f>IF(Inputs!$A38="","",Inputs!$A38)</f>
        <v>Chargable Proposals 24</v>
      </c>
      <c r="B186" s="97" t="str">
        <f>IF($A186="","",Inputs!$F38)</f>
        <v>Finalized</v>
      </c>
      <c r="C186" s="102" cm="1">
        <f t="array" ref="C186">IF($A186="",0,SUMPRODUCT((Phasing!$E$3:$X$3=$D$4)*Phasing!$E212:$X212))</f>
        <v>0</v>
      </c>
      <c r="D186" s="102" cm="1">
        <f t="array" ref="D186">IF($A186="",0,SUMPRODUCT((Phasing!$E$3:$X$3=$D$4)*Phasing!$E627:$X627))</f>
        <v>0</v>
      </c>
      <c r="E186" s="102" cm="1">
        <f t="array" ref="E186">IF($A186="",0,SUMPRODUCT((Phasing!$E$3:$X$3=$D$4)*INDEX(Phasing!$E$361:$X$363,$H$4,0)))</f>
        <v>0</v>
      </c>
      <c r="F186" s="101" cm="1">
        <f t="array" ref="F186">IF($A186="",0,INDEX(Inputs!$I38:$K38,1,$H$4))</f>
        <v>0.4</v>
      </c>
      <c r="G186" s="97" t="str">
        <f>IF($E186&lt;=0,"",COUNTIF($E$154:$E186,"&gt;0"))</f>
        <v/>
      </c>
      <c r="H186" s="102" cm="1">
        <f t="array" aca="1" ref="H186" ca="1">IF($A186="",0,SUMPRODUCT((Analysis!$E$3:$X$3=$D$4)*Phasing!$E212:$X212*Analysis!$E$31:$X$31))</f>
        <v>0</v>
      </c>
    </row>
    <row r="187" spans="1:8" x14ac:dyDescent="0.3">
      <c r="A187" s="97" t="str">
        <f>IF(Inputs!$A39="","",Inputs!$A39)</f>
        <v>Proposals 24</v>
      </c>
      <c r="B187" s="97" t="str">
        <f>IF($A187="","",Inputs!$F39)</f>
        <v>Finalized</v>
      </c>
      <c r="C187" s="102" cm="1">
        <f t="array" ref="C187">IF($A187="",0,SUMPRODUCT((Phasing!$E$3:$X$3=$D$4)*Phasing!$E213:$X213))</f>
        <v>0</v>
      </c>
      <c r="D187" s="102" cm="1">
        <f t="array" ref="D187">IF($A187="",0,SUMPRODUCT((Phasing!$E$3:$X$3=$D$4)*Phasing!$E628:$X628))</f>
        <v>0</v>
      </c>
      <c r="E187" s="102" cm="1">
        <f t="array" ref="E187">IF($A187="",0,SUMPRODUCT((Phasing!$E$3:$X$3=$D$4)*INDEX(Phasing!$E$364:$X$366,$H$4,0)))</f>
        <v>0</v>
      </c>
      <c r="F187" s="101" cm="1">
        <f t="array" ref="F187">IF($A187="",0,INDEX(Inputs!$I39:$K39,1,$H$4))</f>
        <v>0.8</v>
      </c>
      <c r="G187" s="97" t="str">
        <f>IF($E187&lt;=0,"",COUNTIF($E$154:$E187,"&gt;0"))</f>
        <v/>
      </c>
      <c r="H187" s="102" cm="1">
        <f t="array" aca="1" ref="H187" ca="1">IF($A187="",0,SUMPRODUCT((Analysis!$E$3:$X$3=$D$4)*Phasing!$E213:$X213*Analysis!$E$31:$X$31))</f>
        <v>0</v>
      </c>
    </row>
    <row r="188" spans="1:8" x14ac:dyDescent="0.3">
      <c r="A188" s="97" t="str">
        <f>IF(Inputs!$A40="","",Inputs!$A40)</f>
        <v>S23204-0100D</v>
      </c>
      <c r="B188" s="97" t="str">
        <f>IF($A188="","",Inputs!$F40)</f>
        <v>Finalized</v>
      </c>
      <c r="C188" s="102" cm="1">
        <f t="array" ref="C188">IF($A188="",0,SUMPRODUCT((Phasing!$E$3:$X$3=$D$4)*Phasing!$E214:$X214))</f>
        <v>0</v>
      </c>
      <c r="D188" s="102" cm="1">
        <f t="array" ref="D188">IF($A188="",0,SUMPRODUCT((Phasing!$E$3:$X$3=$D$4)*Phasing!$E629:$X629))</f>
        <v>0</v>
      </c>
      <c r="E188" s="102" cm="1">
        <f t="array" ref="E188">IF($A188="",0,SUMPRODUCT((Phasing!$E$3:$X$3=$D$4)*INDEX(Phasing!$E$367:$X$369,$H$4,0)))</f>
        <v>0</v>
      </c>
      <c r="F188" s="101" cm="1">
        <f t="array" ref="F188">IF($A188="",0,INDEX(Inputs!$I40:$K40,1,$H$4))</f>
        <v>1</v>
      </c>
      <c r="G188" s="97" t="str">
        <f>IF($E188&lt;=0,"",COUNTIF($E$154:$E188,"&gt;0"))</f>
        <v/>
      </c>
      <c r="H188" s="102" cm="1">
        <f t="array" aca="1" ref="H188" ca="1">IF($A188="",0,SUMPRODUCT((Analysis!$E$3:$X$3=$D$4)*Phasing!$E214:$X214*Analysis!$E$31:$X$31))</f>
        <v>0</v>
      </c>
    </row>
    <row r="189" spans="1:8" x14ac:dyDescent="0.3">
      <c r="A189" s="97" t="str">
        <f>IF(Inputs!$A41="","",Inputs!$A41)</f>
        <v>S24100-0100D</v>
      </c>
      <c r="B189" s="97" t="str">
        <f>IF($A189="","",Inputs!$F41)</f>
        <v>Finalized</v>
      </c>
      <c r="C189" s="102" cm="1">
        <f t="array" ref="C189">IF($A189="",0,SUMPRODUCT((Phasing!$E$3:$X$3=$D$4)*Phasing!$E215:$X215))</f>
        <v>0</v>
      </c>
      <c r="D189" s="102" cm="1">
        <f t="array" ref="D189">IF($A189="",0,SUMPRODUCT((Phasing!$E$3:$X$3=$D$4)*Phasing!$E630:$X630))</f>
        <v>0</v>
      </c>
      <c r="E189" s="102" cm="1">
        <f t="array" ref="E189">IF($A189="",0,SUMPRODUCT((Phasing!$E$3:$X$3=$D$4)*INDEX(Phasing!$E$370:$X$372,$H$4,0)))</f>
        <v>0</v>
      </c>
      <c r="F189" s="101" cm="1">
        <f t="array" ref="F189">IF($A189="",0,INDEX(Inputs!$I41:$K41,1,$H$4))</f>
        <v>0.25</v>
      </c>
      <c r="G189" s="97" t="str">
        <f>IF($E189&lt;=0,"",COUNTIF($E$154:$E189,"&gt;0"))</f>
        <v/>
      </c>
      <c r="H189" s="102" cm="1">
        <f t="array" aca="1" ref="H189" ca="1">IF($A189="",0,SUMPRODUCT((Analysis!$E$3:$X$3=$D$4)*Phasing!$E215:$X215*Analysis!$E$31:$X$31))</f>
        <v>0</v>
      </c>
    </row>
    <row r="190" spans="1:8" x14ac:dyDescent="0.3">
      <c r="A190" s="97" t="str">
        <f>IF(Inputs!$A42="","",Inputs!$A42)</f>
        <v>TA23011-0100R</v>
      </c>
      <c r="B190" s="97" t="str">
        <f>IF($A190="","",Inputs!$F42)</f>
        <v>Finalized</v>
      </c>
      <c r="C190" s="102" cm="1">
        <f t="array" ref="C190">IF($A190="",0,SUMPRODUCT((Phasing!$E$3:$X$3=$D$4)*Phasing!$E216:$X216))</f>
        <v>0</v>
      </c>
      <c r="D190" s="102" cm="1">
        <f t="array" ref="D190">IF($A190="",0,SUMPRODUCT((Phasing!$E$3:$X$3=$D$4)*Phasing!$E631:$X631))</f>
        <v>0</v>
      </c>
      <c r="E190" s="102" cm="1">
        <f t="array" ref="E190">IF($A190="",0,SUMPRODUCT((Phasing!$E$3:$X$3=$D$4)*INDEX(Phasing!$E$373:$X$375,$H$4,0)))</f>
        <v>0</v>
      </c>
      <c r="F190" s="101" cm="1">
        <f t="array" ref="F190">IF($A190="",0,INDEX(Inputs!$I42:$K42,1,$H$4))</f>
        <v>1</v>
      </c>
      <c r="G190" s="97" t="str">
        <f>IF($E190&lt;=0,"",COUNTIF($E$154:$E190,"&gt;0"))</f>
        <v/>
      </c>
      <c r="H190" s="102" cm="1">
        <f t="array" aca="1" ref="H190" ca="1">IF($A190="",0,SUMPRODUCT((Analysis!$E$3:$X$3=$D$4)*Phasing!$E216:$X216*Analysis!$E$31:$X$31))</f>
        <v>0</v>
      </c>
    </row>
    <row r="191" spans="1:8" x14ac:dyDescent="0.3">
      <c r="A191" s="97" t="str">
        <f>IF(Inputs!$A43="","",Inputs!$A43)</f>
        <v>AL25148-0100D</v>
      </c>
      <c r="B191" s="97" t="str">
        <f>IF($A191="","",Inputs!$F43)</f>
        <v>Not Started</v>
      </c>
      <c r="C191" s="102" cm="1">
        <f t="array" ref="C191">IF($A191="",0,SUMPRODUCT((Phasing!$E$3:$X$3=$D$4)*Phasing!$E217:$X217))</f>
        <v>0</v>
      </c>
      <c r="D191" s="102" cm="1">
        <f t="array" ref="D191">IF($A191="",0,SUMPRODUCT((Phasing!$E$3:$X$3=$D$4)*Phasing!$E632:$X632))</f>
        <v>0</v>
      </c>
      <c r="E191" s="102" cm="1">
        <f t="array" ref="E191">IF($A191="",0,SUMPRODUCT((Phasing!$E$3:$X$3=$D$4)*INDEX(Phasing!$E$376:$X$378,$H$4,0)))</f>
        <v>0</v>
      </c>
      <c r="F191" s="101" cm="1">
        <f t="array" ref="F191">IF($A191="",0,INDEX(Inputs!$I43:$K43,1,$H$4))</f>
        <v>0.6</v>
      </c>
      <c r="G191" s="97" t="str">
        <f>IF($E191&lt;=0,"",COUNTIF($E$154:$E191,"&gt;0"))</f>
        <v/>
      </c>
      <c r="H191" s="102" cm="1">
        <f t="array" aca="1" ref="H191" ca="1">IF($A191="",0,SUMPRODUCT((Analysis!$E$3:$X$3=$D$4)*Phasing!$E217:$X217*Analysis!$E$31:$X$31))</f>
        <v>0</v>
      </c>
    </row>
    <row r="192" spans="1:8" x14ac:dyDescent="0.3">
      <c r="A192" s="97" t="str">
        <f>IF(Inputs!$A44="","",Inputs!$A44)</f>
        <v>Chargable Proposals 26</v>
      </c>
      <c r="B192" s="97" t="str">
        <f>IF($A192="","",Inputs!$F44)</f>
        <v>Active</v>
      </c>
      <c r="C192" s="102" cm="1">
        <f t="array" ref="C192">IF($A192="",0,SUMPRODUCT((Phasing!$E$3:$X$3=$D$4)*Phasing!$E218:$X218))</f>
        <v>0</v>
      </c>
      <c r="D192" s="102" cm="1">
        <f t="array" ref="D192">IF($A192="",0,SUMPRODUCT((Phasing!$E$3:$X$3=$D$4)*Phasing!$E633:$X633))</f>
        <v>0</v>
      </c>
      <c r="E192" s="102" cm="1">
        <f t="array" ref="E192">IF($A192="",0,SUMPRODUCT((Phasing!$E$3:$X$3=$D$4)*INDEX(Phasing!$E$379:$X$381,$H$4,0)))</f>
        <v>0</v>
      </c>
      <c r="F192" s="101" cm="1">
        <f t="array" ref="F192">IF($A192="",0,INDEX(Inputs!$I44:$K44,1,$H$4))</f>
        <v>0.6</v>
      </c>
      <c r="G192" s="97" t="str">
        <f>IF($E192&lt;=0,"",COUNTIF($E$154:$E192,"&gt;0"))</f>
        <v/>
      </c>
      <c r="H192" s="102" cm="1">
        <f t="array" aca="1" ref="H192" ca="1">IF($A192="",0,SUMPRODUCT((Analysis!$E$3:$X$3=$D$4)*Phasing!$E218:$X218*Analysis!$E$31:$X$31))</f>
        <v>0</v>
      </c>
    </row>
    <row r="193" spans="1:8" x14ac:dyDescent="0.3">
      <c r="A193" s="97" t="str">
        <f>IF(Inputs!$A45="","",Inputs!$A45)</f>
        <v/>
      </c>
      <c r="B193" s="97" t="str">
        <f>IF($A193="","",Inputs!$F45)</f>
        <v/>
      </c>
      <c r="C193" s="102" cm="1">
        <f t="array" ref="C193">IF($A193="",0,SUMPRODUCT((Phasing!$E$3:$X$3=$D$4)*Phasing!$E219:$X219))</f>
        <v>0</v>
      </c>
      <c r="D193" s="102" cm="1">
        <f t="array" ref="D193">IF($A193="",0,SUMPRODUCT((Phasing!$E$3:$X$3=$D$4)*Phasing!$E634:$X634))</f>
        <v>0</v>
      </c>
      <c r="E193" s="102" cm="1">
        <f t="array" ref="E193">IF($A193="",0,SUMPRODUCT((Phasing!$E$3:$X$3=$D$4)*INDEX(Phasing!$E$382:$X$384,$H$4,0)))</f>
        <v>0</v>
      </c>
      <c r="F193" s="101" cm="1">
        <f t="array" ref="F193">IF($A193="",0,INDEX(Inputs!$I45:$K45,1,$H$4))</f>
        <v>0</v>
      </c>
      <c r="G193" s="97" t="str">
        <f>IF($E193&lt;=0,"",COUNTIF($E$154:$E193,"&gt;0"))</f>
        <v/>
      </c>
      <c r="H193" s="102" cm="1">
        <f t="array" ref="H193">IF($A193="",0,SUMPRODUCT((Analysis!$E$3:$X$3=$D$4)*Phasing!$E219:$X219*Analysis!$E$31:$X$31))</f>
        <v>0</v>
      </c>
    </row>
    <row r="194" spans="1:8" x14ac:dyDescent="0.3">
      <c r="A194" s="97" t="str">
        <f>IF(Inputs!$A46="","",Inputs!$A46)</f>
        <v>Proposals 26</v>
      </c>
      <c r="B194" s="97" t="str">
        <f>IF($A194="","",Inputs!$F46)</f>
        <v>Active</v>
      </c>
      <c r="C194" s="102" cm="1">
        <f t="array" ref="C194">IF($A194="",0,SUMPRODUCT((Phasing!$E$3:$X$3=$D$4)*Phasing!$E220:$X220))</f>
        <v>0</v>
      </c>
      <c r="D194" s="102" cm="1">
        <f t="array" ref="D194">IF($A194="",0,SUMPRODUCT((Phasing!$E$3:$X$3=$D$4)*Phasing!$E635:$X635))</f>
        <v>0</v>
      </c>
      <c r="E194" s="102" cm="1">
        <f t="array" ref="E194">IF($A194="",0,SUMPRODUCT((Phasing!$E$3:$X$3=$D$4)*INDEX(Phasing!$E$385:$X$387,$H$4,0)))</f>
        <v>0</v>
      </c>
      <c r="F194" s="101" cm="1">
        <f t="array" ref="F194">IF($A194="",0,INDEX(Inputs!$I46:$K46,1,$H$4))</f>
        <v>1</v>
      </c>
      <c r="G194" s="97" t="str">
        <f>IF($E194&lt;=0,"",COUNTIF($E$154:$E194,"&gt;0"))</f>
        <v/>
      </c>
      <c r="H194" s="102" cm="1">
        <f t="array" aca="1" ref="H194" ca="1">IF($A194="",0,SUMPRODUCT((Analysis!$E$3:$X$3=$D$4)*Phasing!$E220:$X220*Analysis!$E$31:$X$31))</f>
        <v>0</v>
      </c>
    </row>
    <row r="195" spans="1:8" x14ac:dyDescent="0.3">
      <c r="A195" s="97" t="str">
        <f>IF(Inputs!$A47="","",Inputs!$A47)</f>
        <v/>
      </c>
      <c r="B195" s="97" t="str">
        <f>IF($A195="","",Inputs!$F47)</f>
        <v/>
      </c>
      <c r="C195" s="102" cm="1">
        <f t="array" ref="C195">IF($A195="",0,SUMPRODUCT((Phasing!$E$3:$X$3=$D$4)*Phasing!$E221:$X221))</f>
        <v>0</v>
      </c>
      <c r="D195" s="102" cm="1">
        <f t="array" ref="D195">IF($A195="",0,SUMPRODUCT((Phasing!$E$3:$X$3=$D$4)*Phasing!$E636:$X636))</f>
        <v>0</v>
      </c>
      <c r="E195" s="102" cm="1">
        <f t="array" ref="E195">IF($A195="",0,SUMPRODUCT((Phasing!$E$3:$X$3=$D$4)*INDEX(Phasing!$E$388:$X$390,$H$4,0)))</f>
        <v>0</v>
      </c>
      <c r="F195" s="101" cm="1">
        <f t="array" ref="F195">IF($A195="",0,INDEX(Inputs!$I47:$K47,1,$H$4))</f>
        <v>0</v>
      </c>
      <c r="G195" s="97" t="str">
        <f>IF($E195&lt;=0,"",COUNTIF($E$154:$E195,"&gt;0"))</f>
        <v/>
      </c>
      <c r="H195" s="102" cm="1">
        <f t="array" ref="H195">IF($A195="",0,SUMPRODUCT((Analysis!$E$3:$X$3=$D$4)*Phasing!$E221:$X221*Analysis!$E$31:$X$31))</f>
        <v>0</v>
      </c>
    </row>
    <row r="196" spans="1:8" x14ac:dyDescent="0.3">
      <c r="A196" s="97" t="str">
        <f>IF(Inputs!$A48="","",Inputs!$A48)</f>
        <v/>
      </c>
      <c r="B196" s="97" t="str">
        <f>IF($A196="","",Inputs!$F48)</f>
        <v/>
      </c>
      <c r="C196" s="102" cm="1">
        <f t="array" ref="C196">IF($A196="",0,SUMPRODUCT((Phasing!$E$3:$X$3=$D$4)*Phasing!$E222:$X222))</f>
        <v>0</v>
      </c>
      <c r="D196" s="102" cm="1">
        <f t="array" ref="D196">IF($A196="",0,SUMPRODUCT((Phasing!$E$3:$X$3=$D$4)*Phasing!$E637:$X637))</f>
        <v>0</v>
      </c>
      <c r="E196" s="102" cm="1">
        <f t="array" ref="E196">IF($A196="",0,SUMPRODUCT((Phasing!$E$3:$X$3=$D$4)*INDEX(Phasing!$E$391:$X$393,$H$4,0)))</f>
        <v>0</v>
      </c>
      <c r="F196" s="101" cm="1">
        <f t="array" ref="F196">IF($A196="",0,INDEX(Inputs!$I48:$K48,1,$H$4))</f>
        <v>0</v>
      </c>
      <c r="G196" s="97" t="str">
        <f>IF($E196&lt;=0,"",COUNTIF($E$154:$E196,"&gt;0"))</f>
        <v/>
      </c>
      <c r="H196" s="102" cm="1">
        <f t="array" ref="H196">IF($A196="",0,SUMPRODUCT((Analysis!$E$3:$X$3=$D$4)*Phasing!$E222:$X222*Analysis!$E$31:$X$31))</f>
        <v>0</v>
      </c>
    </row>
    <row r="197" spans="1:8" x14ac:dyDescent="0.3">
      <c r="A197" s="97" t="str">
        <f>IF(Inputs!$A49="","",Inputs!$A49)</f>
        <v/>
      </c>
      <c r="B197" s="97" t="str">
        <f>IF($A197="","",Inputs!$F49)</f>
        <v/>
      </c>
      <c r="C197" s="102" cm="1">
        <f t="array" ref="C197">IF($A197="",0,SUMPRODUCT((Phasing!$E$3:$X$3=$D$4)*Phasing!$E223:$X223))</f>
        <v>0</v>
      </c>
      <c r="D197" s="102" cm="1">
        <f t="array" ref="D197">IF($A197="",0,SUMPRODUCT((Phasing!$E$3:$X$3=$D$4)*Phasing!$E638:$X638))</f>
        <v>0</v>
      </c>
      <c r="E197" s="102" cm="1">
        <f t="array" ref="E197">IF($A197="",0,SUMPRODUCT((Phasing!$E$3:$X$3=$D$4)*INDEX(Phasing!$E$394:$X$396,$H$4,0)))</f>
        <v>0</v>
      </c>
      <c r="F197" s="101" cm="1">
        <f t="array" ref="F197">IF($A197="",0,INDEX(Inputs!$I49:$K49,1,$H$4))</f>
        <v>0</v>
      </c>
      <c r="G197" s="97" t="str">
        <f>IF($E197&lt;=0,"",COUNTIF($E$154:$E197,"&gt;0"))</f>
        <v/>
      </c>
      <c r="H197" s="102" cm="1">
        <f t="array" ref="H197">IF($A197="",0,SUMPRODUCT((Analysis!$E$3:$X$3=$D$4)*Phasing!$E223:$X223*Analysis!$E$31:$X$31))</f>
        <v>0</v>
      </c>
    </row>
    <row r="198" spans="1:8" x14ac:dyDescent="0.3">
      <c r="A198" s="97" t="str">
        <f>IF(Inputs!$A50="","",Inputs!$A50)</f>
        <v/>
      </c>
      <c r="B198" s="97" t="str">
        <f>IF($A198="","",Inputs!$F50)</f>
        <v/>
      </c>
      <c r="C198" s="102" cm="1">
        <f t="array" ref="C198">IF($A198="",0,SUMPRODUCT((Phasing!$E$3:$X$3=$D$4)*Phasing!$E224:$X224))</f>
        <v>0</v>
      </c>
      <c r="D198" s="102" cm="1">
        <f t="array" ref="D198">IF($A198="",0,SUMPRODUCT((Phasing!$E$3:$X$3=$D$4)*Phasing!$E639:$X639))</f>
        <v>0</v>
      </c>
      <c r="E198" s="102" cm="1">
        <f t="array" ref="E198">IF($A198="",0,SUMPRODUCT((Phasing!$E$3:$X$3=$D$4)*INDEX(Phasing!$E$397:$X$399,$H$4,0)))</f>
        <v>0</v>
      </c>
      <c r="F198" s="101" cm="1">
        <f t="array" ref="F198">IF($A198="",0,INDEX(Inputs!$I50:$K50,1,$H$4))</f>
        <v>0</v>
      </c>
      <c r="G198" s="97" t="str">
        <f>IF($E198&lt;=0,"",COUNTIF($E$154:$E198,"&gt;0"))</f>
        <v/>
      </c>
      <c r="H198" s="102" cm="1">
        <f t="array" ref="H198">IF($A198="",0,SUMPRODUCT((Analysis!$E$3:$X$3=$D$4)*Phasing!$E224:$X224*Analysis!$E$31:$X$31))</f>
        <v>0</v>
      </c>
    </row>
    <row r="199" spans="1:8" x14ac:dyDescent="0.3">
      <c r="A199" s="97" t="str">
        <f>IF(Inputs!$A51="","",Inputs!$A51)</f>
        <v/>
      </c>
      <c r="B199" s="97" t="str">
        <f>IF($A199="","",Inputs!$F51)</f>
        <v/>
      </c>
      <c r="C199" s="102" cm="1">
        <f t="array" ref="C199">IF($A199="",0,SUMPRODUCT((Phasing!$E$3:$X$3=$D$4)*Phasing!$E225:$X225))</f>
        <v>0</v>
      </c>
      <c r="D199" s="102" cm="1">
        <f t="array" ref="D199">IF($A199="",0,SUMPRODUCT((Phasing!$E$3:$X$3=$D$4)*Phasing!$E640:$X640))</f>
        <v>0</v>
      </c>
      <c r="E199" s="102" cm="1">
        <f t="array" ref="E199">IF($A199="",0,SUMPRODUCT((Phasing!$E$3:$X$3=$D$4)*INDEX(Phasing!$E$400:$X$402,$H$4,0)))</f>
        <v>0</v>
      </c>
      <c r="F199" s="101" cm="1">
        <f t="array" ref="F199">IF($A199="",0,INDEX(Inputs!$I51:$K51,1,$H$4))</f>
        <v>0</v>
      </c>
      <c r="G199" s="97" t="str">
        <f>IF($E199&lt;=0,"",COUNTIF($E$154:$E199,"&gt;0"))</f>
        <v/>
      </c>
      <c r="H199" s="102" cm="1">
        <f t="array" ref="H199">IF($A199="",0,SUMPRODUCT((Analysis!$E$3:$X$3=$D$4)*Phasing!$E225:$X225*Analysis!$E$31:$X$31))</f>
        <v>0</v>
      </c>
    </row>
    <row r="200" spans="1:8" x14ac:dyDescent="0.3">
      <c r="A200" s="97" t="str">
        <f>IF(Inputs!$A52="","",Inputs!$A52)</f>
        <v/>
      </c>
      <c r="B200" s="97" t="str">
        <f>IF($A200="","",Inputs!$F52)</f>
        <v/>
      </c>
      <c r="C200" s="102" cm="1">
        <f t="array" ref="C200">IF($A200="",0,SUMPRODUCT((Phasing!$E$3:$X$3=$D$4)*Phasing!$E226:$X226))</f>
        <v>0</v>
      </c>
      <c r="D200" s="102" cm="1">
        <f t="array" ref="D200">IF($A200="",0,SUMPRODUCT((Phasing!$E$3:$X$3=$D$4)*Phasing!$E641:$X641))</f>
        <v>0</v>
      </c>
      <c r="E200" s="102" cm="1">
        <f t="array" ref="E200">IF($A200="",0,SUMPRODUCT((Phasing!$E$3:$X$3=$D$4)*INDEX(Phasing!$E$403:$X$405,$H$4,0)))</f>
        <v>0</v>
      </c>
      <c r="F200" s="101" cm="1">
        <f t="array" ref="F200">IF($A200="",0,INDEX(Inputs!$I52:$K52,1,$H$4))</f>
        <v>0</v>
      </c>
      <c r="G200" s="97" t="str">
        <f>IF($E200&lt;=0,"",COUNTIF($E$154:$E200,"&gt;0"))</f>
        <v/>
      </c>
      <c r="H200" s="102" cm="1">
        <f t="array" ref="H200">IF($A200="",0,SUMPRODUCT((Analysis!$E$3:$X$3=$D$4)*Phasing!$E226:$X226*Analysis!$E$31:$X$31))</f>
        <v>0</v>
      </c>
    </row>
    <row r="201" spans="1:8" x14ac:dyDescent="0.3">
      <c r="A201" s="97" t="str">
        <f>IF(Inputs!$A53="","",Inputs!$A53)</f>
        <v/>
      </c>
      <c r="B201" s="97" t="str">
        <f>IF($A201="","",Inputs!$F53)</f>
        <v/>
      </c>
      <c r="C201" s="102" cm="1">
        <f t="array" ref="C201">IF($A201="",0,SUMPRODUCT((Phasing!$E$3:$X$3=$D$4)*Phasing!$E227:$X227))</f>
        <v>0</v>
      </c>
      <c r="D201" s="102" cm="1">
        <f t="array" ref="D201">IF($A201="",0,SUMPRODUCT((Phasing!$E$3:$X$3=$D$4)*Phasing!$E642:$X642))</f>
        <v>0</v>
      </c>
      <c r="E201" s="102" cm="1">
        <f t="array" ref="E201">IF($A201="",0,SUMPRODUCT((Phasing!$E$3:$X$3=$D$4)*INDEX(Phasing!$E$406:$X$408,$H$4,0)))</f>
        <v>0</v>
      </c>
      <c r="F201" s="101" cm="1">
        <f t="array" ref="F201">IF($A201="",0,INDEX(Inputs!$I53:$K53,1,$H$4))</f>
        <v>0</v>
      </c>
      <c r="G201" s="97" t="str">
        <f>IF($E201&lt;=0,"",COUNTIF($E$154:$E201,"&gt;0"))</f>
        <v/>
      </c>
      <c r="H201" s="102" cm="1">
        <f t="array" ref="H201">IF($A201="",0,SUMPRODUCT((Analysis!$E$3:$X$3=$D$4)*Phasing!$E227:$X227*Analysis!$E$31:$X$31))</f>
        <v>0</v>
      </c>
    </row>
    <row r="202" spans="1:8" x14ac:dyDescent="0.3">
      <c r="A202" s="97" t="str">
        <f>IF(Inputs!$A54="","",Inputs!$A54)</f>
        <v/>
      </c>
      <c r="B202" s="97" t="str">
        <f>IF($A202="","",Inputs!$F54)</f>
        <v/>
      </c>
      <c r="C202" s="102" cm="1">
        <f t="array" ref="C202">IF($A202="",0,SUMPRODUCT((Phasing!$E$3:$X$3=$D$4)*Phasing!$E228:$X228))</f>
        <v>0</v>
      </c>
      <c r="D202" s="102" cm="1">
        <f t="array" ref="D202">IF($A202="",0,SUMPRODUCT((Phasing!$E$3:$X$3=$D$4)*Phasing!$E643:$X643))</f>
        <v>0</v>
      </c>
      <c r="E202" s="102" cm="1">
        <f t="array" ref="E202">IF($A202="",0,SUMPRODUCT((Phasing!$E$3:$X$3=$D$4)*INDEX(Phasing!$E$409:$X$411,$H$4,0)))</f>
        <v>0</v>
      </c>
      <c r="F202" s="101" cm="1">
        <f t="array" ref="F202">IF($A202="",0,INDEX(Inputs!$I54:$K54,1,$H$4))</f>
        <v>0</v>
      </c>
      <c r="G202" s="97" t="str">
        <f>IF($E202&lt;=0,"",COUNTIF($E$154:$E202,"&gt;0"))</f>
        <v/>
      </c>
      <c r="H202" s="102" cm="1">
        <f t="array" ref="H202">IF($A202="",0,SUMPRODUCT((Analysis!$E$3:$X$3=$D$4)*Phasing!$E228:$X228*Analysis!$E$31:$X$31))</f>
        <v>0</v>
      </c>
    </row>
    <row r="203" spans="1:8" x14ac:dyDescent="0.3">
      <c r="A203" s="97" t="str">
        <f>IF(Inputs!$A55="","",Inputs!$A55)</f>
        <v/>
      </c>
      <c r="B203" s="97" t="str">
        <f>IF($A203="","",Inputs!$F55)</f>
        <v/>
      </c>
      <c r="C203" s="102" cm="1">
        <f t="array" ref="C203">IF($A203="",0,SUMPRODUCT((Phasing!$E$3:$X$3=$D$4)*Phasing!$E229:$X229))</f>
        <v>0</v>
      </c>
      <c r="D203" s="102" cm="1">
        <f t="array" ref="D203">IF($A203="",0,SUMPRODUCT((Phasing!$E$3:$X$3=$D$4)*Phasing!$E644:$X644))</f>
        <v>0</v>
      </c>
      <c r="E203" s="102" cm="1">
        <f t="array" ref="E203">IF($A203="",0,SUMPRODUCT((Phasing!$E$3:$X$3=$D$4)*INDEX(Phasing!$E$412:$X$414,$H$4,0)))</f>
        <v>0</v>
      </c>
      <c r="F203" s="101" cm="1">
        <f t="array" ref="F203">IF($A203="",0,INDEX(Inputs!$I55:$K55,1,$H$4))</f>
        <v>0</v>
      </c>
      <c r="G203" s="97" t="str">
        <f>IF($E203&lt;=0,"",COUNTIF($E$154:$E203,"&gt;0"))</f>
        <v/>
      </c>
      <c r="H203" s="102" cm="1">
        <f t="array" ref="H203">IF($A203="",0,SUMPRODUCT((Analysis!$E$3:$X$3=$D$4)*Phasing!$E229:$X229*Analysis!$E$31:$X$31))</f>
        <v>0</v>
      </c>
    </row>
    <row r="204" spans="1:8" x14ac:dyDescent="0.3">
      <c r="A204" s="97" t="str">
        <f>IF(Inputs!$A56="","",Inputs!$A56)</f>
        <v/>
      </c>
      <c r="B204" s="97" t="str">
        <f>IF($A204="","",Inputs!$F56)</f>
        <v/>
      </c>
      <c r="C204" s="102" cm="1">
        <f t="array" ref="C204">IF($A204="",0,SUMPRODUCT((Phasing!$E$3:$X$3=$D$4)*Phasing!$E230:$X230))</f>
        <v>0</v>
      </c>
      <c r="D204" s="102" cm="1">
        <f t="array" ref="D204">IF($A204="",0,SUMPRODUCT((Phasing!$E$3:$X$3=$D$4)*Phasing!$E645:$X645))</f>
        <v>0</v>
      </c>
      <c r="E204" s="102" cm="1">
        <f t="array" ref="E204">IF($A204="",0,SUMPRODUCT((Phasing!$E$3:$X$3=$D$4)*INDEX(Phasing!$E$415:$X$417,$H$4,0)))</f>
        <v>0</v>
      </c>
      <c r="F204" s="101" cm="1">
        <f t="array" ref="F204">IF($A204="",0,INDEX(Inputs!$I56:$K56,1,$H$4))</f>
        <v>0</v>
      </c>
      <c r="G204" s="97" t="str">
        <f>IF($E204&lt;=0,"",COUNTIF($E$154:$E204,"&gt;0"))</f>
        <v/>
      </c>
      <c r="H204" s="102" cm="1">
        <f t="array" ref="H204">IF($A204="",0,SUMPRODUCT((Analysis!$E$3:$X$3=$D$4)*Phasing!$E230:$X230*Analysis!$E$31:$X$31))</f>
        <v>0</v>
      </c>
    </row>
    <row r="205" spans="1:8" x14ac:dyDescent="0.3">
      <c r="A205" s="97" t="str">
        <f>IF(Inputs!$A57="","",Inputs!$A57)</f>
        <v/>
      </c>
      <c r="B205" s="97" t="str">
        <f>IF($A205="","",Inputs!$F57)</f>
        <v/>
      </c>
      <c r="C205" s="102" cm="1">
        <f t="array" ref="C205">IF($A205="",0,SUMPRODUCT((Phasing!$E$3:$X$3=$D$4)*Phasing!$E231:$X231))</f>
        <v>0</v>
      </c>
      <c r="D205" s="102" cm="1">
        <f t="array" ref="D205">IF($A205="",0,SUMPRODUCT((Phasing!$E$3:$X$3=$D$4)*Phasing!$E646:$X646))</f>
        <v>0</v>
      </c>
      <c r="E205" s="102" cm="1">
        <f t="array" ref="E205">IF($A205="",0,SUMPRODUCT((Phasing!$E$3:$X$3=$D$4)*INDEX(Phasing!$E$418:$X$420,$H$4,0)))</f>
        <v>0</v>
      </c>
      <c r="F205" s="101" cm="1">
        <f t="array" ref="F205">IF($A205="",0,INDEX(Inputs!$I57:$K57,1,$H$4))</f>
        <v>0</v>
      </c>
      <c r="G205" s="97" t="str">
        <f>IF($E205&lt;=0,"",COUNTIF($E$154:$E205,"&gt;0"))</f>
        <v/>
      </c>
      <c r="H205" s="102" cm="1">
        <f t="array" ref="H205">IF($A205="",0,SUMPRODUCT((Analysis!$E$3:$X$3=$D$4)*Phasing!$E231:$X231*Analysis!$E$31:$X$31))</f>
        <v>0</v>
      </c>
    </row>
    <row r="206" spans="1:8" x14ac:dyDescent="0.3">
      <c r="A206" s="97" t="str">
        <f>IF(Inputs!$A58="","",Inputs!$A58)</f>
        <v/>
      </c>
      <c r="B206" s="97" t="str">
        <f>IF($A206="","",Inputs!$F58)</f>
        <v/>
      </c>
      <c r="C206" s="102" cm="1">
        <f t="array" ref="C206">IF($A206="",0,SUMPRODUCT((Phasing!$E$3:$X$3=$D$4)*Phasing!$E232:$X232))</f>
        <v>0</v>
      </c>
      <c r="D206" s="102" cm="1">
        <f t="array" ref="D206">IF($A206="",0,SUMPRODUCT((Phasing!$E$3:$X$3=$D$4)*Phasing!$E647:$X647))</f>
        <v>0</v>
      </c>
      <c r="E206" s="102" cm="1">
        <f t="array" ref="E206">IF($A206="",0,SUMPRODUCT((Phasing!$E$3:$X$3=$D$4)*INDEX(Phasing!$E$421:$X$423,$H$4,0)))</f>
        <v>0</v>
      </c>
      <c r="F206" s="101" cm="1">
        <f t="array" ref="F206">IF($A206="",0,INDEX(Inputs!$I58:$K58,1,$H$4))</f>
        <v>0</v>
      </c>
      <c r="G206" s="97" t="str">
        <f>IF($E206&lt;=0,"",COUNTIF($E$154:$E206,"&gt;0"))</f>
        <v/>
      </c>
      <c r="H206" s="102" cm="1">
        <f t="array" ref="H206">IF($A206="",0,SUMPRODUCT((Analysis!$E$3:$X$3=$D$4)*Phasing!$E232:$X232*Analysis!$E$31:$X$31))</f>
        <v>0</v>
      </c>
    </row>
    <row r="207" spans="1:8" x14ac:dyDescent="0.3">
      <c r="A207" s="97" t="str">
        <f>IF(Inputs!$A59="","",Inputs!$A59)</f>
        <v/>
      </c>
      <c r="B207" s="97" t="str">
        <f>IF($A207="","",Inputs!$F59)</f>
        <v/>
      </c>
      <c r="C207" s="102" cm="1">
        <f t="array" ref="C207">IF($A207="",0,SUMPRODUCT((Phasing!$E$3:$X$3=$D$4)*Phasing!$E233:$X233))</f>
        <v>0</v>
      </c>
      <c r="D207" s="102" cm="1">
        <f t="array" ref="D207">IF($A207="",0,SUMPRODUCT((Phasing!$E$3:$X$3=$D$4)*Phasing!$E648:$X648))</f>
        <v>0</v>
      </c>
      <c r="E207" s="102" cm="1">
        <f t="array" ref="E207">IF($A207="",0,SUMPRODUCT((Phasing!$E$3:$X$3=$D$4)*INDEX(Phasing!$E$424:$X$426,$H$4,0)))</f>
        <v>0</v>
      </c>
      <c r="F207" s="101" cm="1">
        <f t="array" ref="F207">IF($A207="",0,INDEX(Inputs!$I59:$K59,1,$H$4))</f>
        <v>0</v>
      </c>
      <c r="G207" s="97" t="str">
        <f>IF($E207&lt;=0,"",COUNTIF($E$154:$E207,"&gt;0"))</f>
        <v/>
      </c>
      <c r="H207" s="102" cm="1">
        <f t="array" ref="H207">IF($A207="",0,SUMPRODUCT((Analysis!$E$3:$X$3=$D$4)*Phasing!$E233:$X233*Analysis!$E$31:$X$31))</f>
        <v>0</v>
      </c>
    </row>
    <row r="208" spans="1:8" x14ac:dyDescent="0.3">
      <c r="A208" s="97" t="str">
        <f>IF(Inputs!$A60="","",Inputs!$A60)</f>
        <v/>
      </c>
      <c r="B208" s="97" t="str">
        <f>IF($A208="","",Inputs!$F60)</f>
        <v/>
      </c>
      <c r="C208" s="102" cm="1">
        <f t="array" ref="C208">IF($A208="",0,SUMPRODUCT((Phasing!$E$3:$X$3=$D$4)*Phasing!$E234:$X234))</f>
        <v>0</v>
      </c>
      <c r="D208" s="102" cm="1">
        <f t="array" ref="D208">IF($A208="",0,SUMPRODUCT((Phasing!$E$3:$X$3=$D$4)*Phasing!$E649:$X649))</f>
        <v>0</v>
      </c>
      <c r="E208" s="102" cm="1">
        <f t="array" ref="E208">IF($A208="",0,SUMPRODUCT((Phasing!$E$3:$X$3=$D$4)*INDEX(Phasing!$E$427:$X$429,$H$4,0)))</f>
        <v>0</v>
      </c>
      <c r="F208" s="101" cm="1">
        <f t="array" ref="F208">IF($A208="",0,INDEX(Inputs!$I60:$K60,1,$H$4))</f>
        <v>0</v>
      </c>
      <c r="G208" s="97" t="str">
        <f>IF($E208&lt;=0,"",COUNTIF($E$154:$E208,"&gt;0"))</f>
        <v/>
      </c>
      <c r="H208" s="102" cm="1">
        <f t="array" ref="H208">IF($A208="",0,SUMPRODUCT((Analysis!$E$3:$X$3=$D$4)*Phasing!$E234:$X234*Analysis!$E$31:$X$31))</f>
        <v>0</v>
      </c>
    </row>
    <row r="209" spans="1:8" x14ac:dyDescent="0.3">
      <c r="A209" s="97" t="str">
        <f>IF(Inputs!$A61="","",Inputs!$A61)</f>
        <v/>
      </c>
      <c r="B209" s="97" t="str">
        <f>IF($A209="","",Inputs!$F61)</f>
        <v/>
      </c>
      <c r="C209" s="102" cm="1">
        <f t="array" ref="C209">IF($A209="",0,SUMPRODUCT((Phasing!$E$3:$X$3=$D$4)*Phasing!$E235:$X235))</f>
        <v>0</v>
      </c>
      <c r="D209" s="102" cm="1">
        <f t="array" ref="D209">IF($A209="",0,SUMPRODUCT((Phasing!$E$3:$X$3=$D$4)*Phasing!$E650:$X650))</f>
        <v>0</v>
      </c>
      <c r="E209" s="102" cm="1">
        <f t="array" ref="E209">IF($A209="",0,SUMPRODUCT((Phasing!$E$3:$X$3=$D$4)*INDEX(Phasing!$E$430:$X$432,$H$4,0)))</f>
        <v>0</v>
      </c>
      <c r="F209" s="101" cm="1">
        <f t="array" ref="F209">IF($A209="",0,INDEX(Inputs!$I61:$K61,1,$H$4))</f>
        <v>0</v>
      </c>
      <c r="G209" s="97" t="str">
        <f>IF($E209&lt;=0,"",COUNTIF($E$154:$E209,"&gt;0"))</f>
        <v/>
      </c>
      <c r="H209" s="102" cm="1">
        <f t="array" ref="H209">IF($A209="",0,SUMPRODUCT((Analysis!$E$3:$X$3=$D$4)*Phasing!$E235:$X235*Analysis!$E$31:$X$31))</f>
        <v>0</v>
      </c>
    </row>
    <row r="210" spans="1:8" x14ac:dyDescent="0.3">
      <c r="A210" s="97" t="str">
        <f>IF(Inputs!$A62="","",Inputs!$A62)</f>
        <v/>
      </c>
      <c r="B210" s="97" t="str">
        <f>IF($A210="","",Inputs!$F62)</f>
        <v/>
      </c>
      <c r="C210" s="102" cm="1">
        <f t="array" ref="C210">IF($A210="",0,SUMPRODUCT((Phasing!$E$3:$X$3=$D$4)*Phasing!$E236:$X236))</f>
        <v>0</v>
      </c>
      <c r="D210" s="102" cm="1">
        <f t="array" ref="D210">IF($A210="",0,SUMPRODUCT((Phasing!$E$3:$X$3=$D$4)*Phasing!$E651:$X651))</f>
        <v>0</v>
      </c>
      <c r="E210" s="102" cm="1">
        <f t="array" ref="E210">IF($A210="",0,SUMPRODUCT((Phasing!$E$3:$X$3=$D$4)*INDEX(Phasing!$E$433:$X$435,$H$4,0)))</f>
        <v>0</v>
      </c>
      <c r="F210" s="101" cm="1">
        <f t="array" ref="F210">IF($A210="",0,INDEX(Inputs!$I62:$K62,1,$H$4))</f>
        <v>0</v>
      </c>
      <c r="G210" s="97" t="str">
        <f>IF($E210&lt;=0,"",COUNTIF($E$154:$E210,"&gt;0"))</f>
        <v/>
      </c>
      <c r="H210" s="102" cm="1">
        <f t="array" ref="H210">IF($A210="",0,SUMPRODUCT((Analysis!$E$3:$X$3=$D$4)*Phasing!$E236:$X236*Analysis!$E$31:$X$31))</f>
        <v>0</v>
      </c>
    </row>
    <row r="211" spans="1:8" x14ac:dyDescent="0.3">
      <c r="A211" s="97" t="str">
        <f>IF(Inputs!$A63="","",Inputs!$A63)</f>
        <v/>
      </c>
      <c r="B211" s="97" t="str">
        <f>IF($A211="","",Inputs!$F63)</f>
        <v/>
      </c>
      <c r="C211" s="102" cm="1">
        <f t="array" ref="C211">IF($A211="",0,SUMPRODUCT((Phasing!$E$3:$X$3=$D$4)*Phasing!$E237:$X237))</f>
        <v>0</v>
      </c>
      <c r="D211" s="102" cm="1">
        <f t="array" ref="D211">IF($A211="",0,SUMPRODUCT((Phasing!$E$3:$X$3=$D$4)*Phasing!$E652:$X652))</f>
        <v>0</v>
      </c>
      <c r="E211" s="102" cm="1">
        <f t="array" ref="E211">IF($A211="",0,SUMPRODUCT((Phasing!$E$3:$X$3=$D$4)*INDEX(Phasing!$E$436:$X$438,$H$4,0)))</f>
        <v>0</v>
      </c>
      <c r="F211" s="101" cm="1">
        <f t="array" ref="F211">IF($A211="",0,INDEX(Inputs!$I63:$K63,1,$H$4))</f>
        <v>0</v>
      </c>
      <c r="G211" s="97" t="str">
        <f>IF($E211&lt;=0,"",COUNTIF($E$154:$E211,"&gt;0"))</f>
        <v/>
      </c>
      <c r="H211" s="102" cm="1">
        <f t="array" ref="H211">IF($A211="",0,SUMPRODUCT((Analysis!$E$3:$X$3=$D$4)*Phasing!$E237:$X237*Analysis!$E$31:$X$31))</f>
        <v>0</v>
      </c>
    </row>
    <row r="212" spans="1:8" x14ac:dyDescent="0.3">
      <c r="A212" s="97" t="str">
        <f>IF(Inputs!$A64="","",Inputs!$A64)</f>
        <v/>
      </c>
      <c r="B212" s="97" t="str">
        <f>IF($A212="","",Inputs!$F64)</f>
        <v/>
      </c>
      <c r="C212" s="102" cm="1">
        <f t="array" ref="C212">IF($A212="",0,SUMPRODUCT((Phasing!$E$3:$X$3=$D$4)*Phasing!$E238:$X238))</f>
        <v>0</v>
      </c>
      <c r="D212" s="102" cm="1">
        <f t="array" ref="D212">IF($A212="",0,SUMPRODUCT((Phasing!$E$3:$X$3=$D$4)*Phasing!$E653:$X653))</f>
        <v>0</v>
      </c>
      <c r="E212" s="102" cm="1">
        <f t="array" ref="E212">IF($A212="",0,SUMPRODUCT((Phasing!$E$3:$X$3=$D$4)*INDEX(Phasing!$E$439:$X$441,$H$4,0)))</f>
        <v>0</v>
      </c>
      <c r="F212" s="101" cm="1">
        <f t="array" ref="F212">IF($A212="",0,INDEX(Inputs!$I64:$K64,1,$H$4))</f>
        <v>0</v>
      </c>
      <c r="G212" s="97" t="str">
        <f>IF($E212&lt;=0,"",COUNTIF($E$154:$E212,"&gt;0"))</f>
        <v/>
      </c>
      <c r="H212" s="102" cm="1">
        <f t="array" ref="H212">IF($A212="",0,SUMPRODUCT((Analysis!$E$3:$X$3=$D$4)*Phasing!$E238:$X238*Analysis!$E$31:$X$31))</f>
        <v>0</v>
      </c>
    </row>
    <row r="213" spans="1:8" x14ac:dyDescent="0.3">
      <c r="A213" s="97" t="str">
        <f>IF(Inputs!$A65="","",Inputs!$A65)</f>
        <v/>
      </c>
      <c r="B213" s="97" t="str">
        <f>IF($A213="","",Inputs!$F65)</f>
        <v/>
      </c>
      <c r="C213" s="102" cm="1">
        <f t="array" ref="C213">IF($A213="",0,SUMPRODUCT((Phasing!$E$3:$X$3=$D$4)*Phasing!$E239:$X239))</f>
        <v>0</v>
      </c>
      <c r="D213" s="102" cm="1">
        <f t="array" ref="D213">IF($A213="",0,SUMPRODUCT((Phasing!$E$3:$X$3=$D$4)*Phasing!$E654:$X654))</f>
        <v>0</v>
      </c>
      <c r="E213" s="102" cm="1">
        <f t="array" ref="E213">IF($A213="",0,SUMPRODUCT((Phasing!$E$3:$X$3=$D$4)*INDEX(Phasing!$E$442:$X$444,$H$4,0)))</f>
        <v>0</v>
      </c>
      <c r="F213" s="101" cm="1">
        <f t="array" ref="F213">IF($A213="",0,INDEX(Inputs!$I65:$K65,1,$H$4))</f>
        <v>0</v>
      </c>
      <c r="G213" s="97" t="str">
        <f>IF($E213&lt;=0,"",COUNTIF($E$154:$E213,"&gt;0"))</f>
        <v/>
      </c>
      <c r="H213" s="102" cm="1">
        <f t="array" ref="H213">IF($A213="",0,SUMPRODUCT((Analysis!$E$3:$X$3=$D$4)*Phasing!$E239:$X239*Analysis!$E$31:$X$31))</f>
        <v>0</v>
      </c>
    </row>
    <row r="214" spans="1:8" x14ac:dyDescent="0.3">
      <c r="A214" s="97" t="str">
        <f>IF(Inputs!$A66="","",Inputs!$A66)</f>
        <v/>
      </c>
      <c r="B214" s="97" t="str">
        <f>IF($A214="","",Inputs!$F66)</f>
        <v/>
      </c>
      <c r="C214" s="102" cm="1">
        <f t="array" ref="C214">IF($A214="",0,SUMPRODUCT((Phasing!$E$3:$X$3=$D$4)*Phasing!$E240:$X240))</f>
        <v>0</v>
      </c>
      <c r="D214" s="102" cm="1">
        <f t="array" ref="D214">IF($A214="",0,SUMPRODUCT((Phasing!$E$3:$X$3=$D$4)*Phasing!$E655:$X655))</f>
        <v>0</v>
      </c>
      <c r="E214" s="102" cm="1">
        <f t="array" ref="E214">IF($A214="",0,SUMPRODUCT((Phasing!$E$3:$X$3=$D$4)*INDEX(Phasing!$E$445:$X$447,$H$4,0)))</f>
        <v>0</v>
      </c>
      <c r="F214" s="101" cm="1">
        <f t="array" ref="F214">IF($A214="",0,INDEX(Inputs!$I66:$K66,1,$H$4))</f>
        <v>0</v>
      </c>
      <c r="G214" s="97" t="str">
        <f>IF($E214&lt;=0,"",COUNTIF($E$154:$E214,"&gt;0"))</f>
        <v/>
      </c>
      <c r="H214" s="102" cm="1">
        <f t="array" ref="H214">IF($A214="",0,SUMPRODUCT((Analysis!$E$3:$X$3=$D$4)*Phasing!$E240:$X240*Analysis!$E$31:$X$31))</f>
        <v>0</v>
      </c>
    </row>
    <row r="215" spans="1:8" x14ac:dyDescent="0.3">
      <c r="A215" s="97" t="str">
        <f>IF(Inputs!$A67="","",Inputs!$A67)</f>
        <v/>
      </c>
      <c r="B215" s="97" t="str">
        <f>IF($A215="","",Inputs!$F67)</f>
        <v/>
      </c>
      <c r="C215" s="102" cm="1">
        <f t="array" ref="C215">IF($A215="",0,SUMPRODUCT((Phasing!$E$3:$X$3=$D$4)*Phasing!$E241:$X241))</f>
        <v>0</v>
      </c>
      <c r="D215" s="102" cm="1">
        <f t="array" ref="D215">IF($A215="",0,SUMPRODUCT((Phasing!$E$3:$X$3=$D$4)*Phasing!$E656:$X656))</f>
        <v>0</v>
      </c>
      <c r="E215" s="102" cm="1">
        <f t="array" ref="E215">IF($A215="",0,SUMPRODUCT((Phasing!$E$3:$X$3=$D$4)*INDEX(Phasing!$E$448:$X$450,$H$4,0)))</f>
        <v>0</v>
      </c>
      <c r="F215" s="101" cm="1">
        <f t="array" ref="F215">IF($A215="",0,INDEX(Inputs!$I67:$K67,1,$H$4))</f>
        <v>0</v>
      </c>
      <c r="G215" s="97" t="str">
        <f>IF($E215&lt;=0,"",COUNTIF($E$154:$E215,"&gt;0"))</f>
        <v/>
      </c>
      <c r="H215" s="102" cm="1">
        <f t="array" ref="H215">IF($A215="",0,SUMPRODUCT((Analysis!$E$3:$X$3=$D$4)*Phasing!$E241:$X241*Analysis!$E$31:$X$31))</f>
        <v>0</v>
      </c>
    </row>
    <row r="216" spans="1:8" x14ac:dyDescent="0.3">
      <c r="A216" s="97" t="str">
        <f>IF(Inputs!$A68="","",Inputs!$A68)</f>
        <v/>
      </c>
      <c r="B216" s="97" t="str">
        <f>IF($A216="","",Inputs!$F68)</f>
        <v/>
      </c>
      <c r="C216" s="102" cm="1">
        <f t="array" ref="C216">IF($A216="",0,SUMPRODUCT((Phasing!$E$3:$X$3=$D$4)*Phasing!$E242:$X242))</f>
        <v>0</v>
      </c>
      <c r="D216" s="102" cm="1">
        <f t="array" ref="D216">IF($A216="",0,SUMPRODUCT((Phasing!$E$3:$X$3=$D$4)*Phasing!$E657:$X657))</f>
        <v>0</v>
      </c>
      <c r="E216" s="102" cm="1">
        <f t="array" ref="E216">IF($A216="",0,SUMPRODUCT((Phasing!$E$3:$X$3=$D$4)*INDEX(Phasing!$E$451:$X$453,$H$4,0)))</f>
        <v>0</v>
      </c>
      <c r="F216" s="101" cm="1">
        <f t="array" ref="F216">IF($A216="",0,INDEX(Inputs!$I68:$K68,1,$H$4))</f>
        <v>0</v>
      </c>
      <c r="G216" s="97" t="str">
        <f>IF($E216&lt;=0,"",COUNTIF($E$154:$E216,"&gt;0"))</f>
        <v/>
      </c>
      <c r="H216" s="102" cm="1">
        <f t="array" ref="H216">IF($A216="",0,SUMPRODUCT((Analysis!$E$3:$X$3=$D$4)*Phasing!$E242:$X242*Analysis!$E$31:$X$31))</f>
        <v>0</v>
      </c>
    </row>
    <row r="217" spans="1:8" x14ac:dyDescent="0.3">
      <c r="A217" s="97" t="str">
        <f>IF(Inputs!$A69="","",Inputs!$A69)</f>
        <v/>
      </c>
      <c r="B217" s="97" t="str">
        <f>IF($A217="","",Inputs!$F69)</f>
        <v/>
      </c>
      <c r="C217" s="102" cm="1">
        <f t="array" ref="C217">IF($A217="",0,SUMPRODUCT((Phasing!$E$3:$X$3=$D$4)*Phasing!$E243:$X243))</f>
        <v>0</v>
      </c>
      <c r="D217" s="102" cm="1">
        <f t="array" ref="D217">IF($A217="",0,SUMPRODUCT((Phasing!$E$3:$X$3=$D$4)*Phasing!$E658:$X658))</f>
        <v>0</v>
      </c>
      <c r="E217" s="102" cm="1">
        <f t="array" ref="E217">IF($A217="",0,SUMPRODUCT((Phasing!$E$3:$X$3=$D$4)*INDEX(Phasing!$E$454:$X$456,$H$4,0)))</f>
        <v>0</v>
      </c>
      <c r="F217" s="101" cm="1">
        <f t="array" ref="F217">IF($A217="",0,INDEX(Inputs!$I69:$K69,1,$H$4))</f>
        <v>0</v>
      </c>
      <c r="G217" s="97" t="str">
        <f>IF($E217&lt;=0,"",COUNTIF($E$154:$E217,"&gt;0"))</f>
        <v/>
      </c>
      <c r="H217" s="102" cm="1">
        <f t="array" ref="H217">IF($A217="",0,SUMPRODUCT((Analysis!$E$3:$X$3=$D$4)*Phasing!$E243:$X243*Analysis!$E$31:$X$31))</f>
        <v>0</v>
      </c>
    </row>
    <row r="218" spans="1:8" x14ac:dyDescent="0.3">
      <c r="A218" s="97" t="str">
        <f>IF(Inputs!$A70="","",Inputs!$A70)</f>
        <v/>
      </c>
      <c r="B218" s="97" t="str">
        <f>IF($A218="","",Inputs!$F70)</f>
        <v/>
      </c>
      <c r="C218" s="102" cm="1">
        <f t="array" ref="C218">IF($A218="",0,SUMPRODUCT((Phasing!$E$3:$X$3=$D$4)*Phasing!$E244:$X244))</f>
        <v>0</v>
      </c>
      <c r="D218" s="102" cm="1">
        <f t="array" ref="D218">IF($A218="",0,SUMPRODUCT((Phasing!$E$3:$X$3=$D$4)*Phasing!$E659:$X659))</f>
        <v>0</v>
      </c>
      <c r="E218" s="102" cm="1">
        <f t="array" ref="E218">IF($A218="",0,SUMPRODUCT((Phasing!$E$3:$X$3=$D$4)*INDEX(Phasing!$E$457:$X$459,$H$4,0)))</f>
        <v>0</v>
      </c>
      <c r="F218" s="101" cm="1">
        <f t="array" ref="F218">IF($A218="",0,INDEX(Inputs!$I70:$K70,1,$H$4))</f>
        <v>0</v>
      </c>
      <c r="G218" s="97" t="str">
        <f>IF($E218&lt;=0,"",COUNTIF($E$154:$E218,"&gt;0"))</f>
        <v/>
      </c>
      <c r="H218" s="102" cm="1">
        <f t="array" ref="H218">IF($A218="",0,SUMPRODUCT((Analysis!$E$3:$X$3=$D$4)*Phasing!$E244:$X244*Analysis!$E$31:$X$31))</f>
        <v>0</v>
      </c>
    </row>
    <row r="219" spans="1:8" x14ac:dyDescent="0.3">
      <c r="A219" s="97" t="str">
        <f>IF(Inputs!$A71="","",Inputs!$A71)</f>
        <v/>
      </c>
      <c r="B219" s="97" t="str">
        <f>IF($A219="","",Inputs!$F71)</f>
        <v/>
      </c>
      <c r="C219" s="102" cm="1">
        <f t="array" ref="C219">IF($A219="",0,SUMPRODUCT((Phasing!$E$3:$X$3=$D$4)*Phasing!$E245:$X245))</f>
        <v>0</v>
      </c>
      <c r="D219" s="102" cm="1">
        <f t="array" ref="D219">IF($A219="",0,SUMPRODUCT((Phasing!$E$3:$X$3=$D$4)*Phasing!$E660:$X660))</f>
        <v>0</v>
      </c>
      <c r="E219" s="102" cm="1">
        <f t="array" ref="E219">IF($A219="",0,SUMPRODUCT((Phasing!$E$3:$X$3=$D$4)*INDEX(Phasing!$E$460:$X$462,$H$4,0)))</f>
        <v>0</v>
      </c>
      <c r="F219" s="101" cm="1">
        <f t="array" ref="F219">IF($A219="",0,INDEX(Inputs!$I71:$K71,1,$H$4))</f>
        <v>0</v>
      </c>
      <c r="G219" s="97" t="str">
        <f>IF($E219&lt;=0,"",COUNTIF($E$154:$E219,"&gt;0"))</f>
        <v/>
      </c>
      <c r="H219" s="102" cm="1">
        <f t="array" ref="H219">IF($A219="",0,SUMPRODUCT((Analysis!$E$3:$X$3=$D$4)*Phasing!$E245:$X245*Analysis!$E$31:$X$31))</f>
        <v>0</v>
      </c>
    </row>
    <row r="220" spans="1:8" x14ac:dyDescent="0.3">
      <c r="A220" s="97" t="str">
        <f>IF(Inputs!$A72="","",Inputs!$A72)</f>
        <v/>
      </c>
      <c r="B220" s="97" t="str">
        <f>IF($A220="","",Inputs!$F72)</f>
        <v/>
      </c>
      <c r="C220" s="102" cm="1">
        <f t="array" ref="C220">IF($A220="",0,SUMPRODUCT((Phasing!$E$3:$X$3=$D$4)*Phasing!$E246:$X246))</f>
        <v>0</v>
      </c>
      <c r="D220" s="102" cm="1">
        <f t="array" ref="D220">IF($A220="",0,SUMPRODUCT((Phasing!$E$3:$X$3=$D$4)*Phasing!$E661:$X661))</f>
        <v>0</v>
      </c>
      <c r="E220" s="102" cm="1">
        <f t="array" ref="E220">IF($A220="",0,SUMPRODUCT((Phasing!$E$3:$X$3=$D$4)*INDEX(Phasing!$E$463:$X$465,$H$4,0)))</f>
        <v>0</v>
      </c>
      <c r="F220" s="101" cm="1">
        <f t="array" ref="F220">IF($A220="",0,INDEX(Inputs!$I72:$K72,1,$H$4))</f>
        <v>0</v>
      </c>
      <c r="G220" s="97" t="str">
        <f>IF($E220&lt;=0,"",COUNTIF($E$154:$E220,"&gt;0"))</f>
        <v/>
      </c>
      <c r="H220" s="102" cm="1">
        <f t="array" ref="H220">IF($A220="",0,SUMPRODUCT((Analysis!$E$3:$X$3=$D$4)*Phasing!$E246:$X246*Analysis!$E$31:$X$31))</f>
        <v>0</v>
      </c>
    </row>
    <row r="221" spans="1:8" x14ac:dyDescent="0.3">
      <c r="A221" s="97" t="str">
        <f>IF(Inputs!$A73="","",Inputs!$A73)</f>
        <v/>
      </c>
      <c r="B221" s="97" t="str">
        <f>IF($A221="","",Inputs!$F73)</f>
        <v/>
      </c>
      <c r="C221" s="102" cm="1">
        <f t="array" ref="C221">IF($A221="",0,SUMPRODUCT((Phasing!$E$3:$X$3=$D$4)*Phasing!$E247:$X247))</f>
        <v>0</v>
      </c>
      <c r="D221" s="102" cm="1">
        <f t="array" ref="D221">IF($A221="",0,SUMPRODUCT((Phasing!$E$3:$X$3=$D$4)*Phasing!$E662:$X662))</f>
        <v>0</v>
      </c>
      <c r="E221" s="102" cm="1">
        <f t="array" ref="E221">IF($A221="",0,SUMPRODUCT((Phasing!$E$3:$X$3=$D$4)*INDEX(Phasing!$E$466:$X$468,$H$4,0)))</f>
        <v>0</v>
      </c>
      <c r="F221" s="101" cm="1">
        <f t="array" ref="F221">IF($A221="",0,INDEX(Inputs!$I73:$K73,1,$H$4))</f>
        <v>0</v>
      </c>
      <c r="G221" s="97" t="str">
        <f>IF($E221&lt;=0,"",COUNTIF($E$154:$E221,"&gt;0"))</f>
        <v/>
      </c>
      <c r="H221" s="102" cm="1">
        <f t="array" ref="H221">IF($A221="",0,SUMPRODUCT((Analysis!$E$3:$X$3=$D$4)*Phasing!$E247:$X247*Analysis!$E$31:$X$31))</f>
        <v>0</v>
      </c>
    </row>
    <row r="222" spans="1:8" x14ac:dyDescent="0.3">
      <c r="A222" s="97" t="str">
        <f>IF(Inputs!$A74="","",Inputs!$A74)</f>
        <v/>
      </c>
      <c r="B222" s="97" t="str">
        <f>IF($A222="","",Inputs!$F74)</f>
        <v/>
      </c>
      <c r="C222" s="102" cm="1">
        <f t="array" ref="C222">IF($A222="",0,SUMPRODUCT((Phasing!$E$3:$X$3=$D$4)*Phasing!$E248:$X248))</f>
        <v>0</v>
      </c>
      <c r="D222" s="102" cm="1">
        <f t="array" ref="D222">IF($A222="",0,SUMPRODUCT((Phasing!$E$3:$X$3=$D$4)*Phasing!$E663:$X663))</f>
        <v>0</v>
      </c>
      <c r="E222" s="102" cm="1">
        <f t="array" ref="E222">IF($A222="",0,SUMPRODUCT((Phasing!$E$3:$X$3=$D$4)*INDEX(Phasing!$E$469:$X$471,$H$4,0)))</f>
        <v>0</v>
      </c>
      <c r="F222" s="101" cm="1">
        <f t="array" ref="F222">IF($A222="",0,INDEX(Inputs!$I74:$K74,1,$H$4))</f>
        <v>0</v>
      </c>
      <c r="G222" s="97" t="str">
        <f>IF($E222&lt;=0,"",COUNTIF($E$154:$E222,"&gt;0"))</f>
        <v/>
      </c>
      <c r="H222" s="102" cm="1">
        <f t="array" ref="H222">IF($A222="",0,SUMPRODUCT((Analysis!$E$3:$X$3=$D$4)*Phasing!$E248:$X248*Analysis!$E$31:$X$31))</f>
        <v>0</v>
      </c>
    </row>
    <row r="223" spans="1:8" x14ac:dyDescent="0.3">
      <c r="A223" s="97" t="str">
        <f>IF(Inputs!$A75="","",Inputs!$A75)</f>
        <v/>
      </c>
      <c r="B223" s="97" t="str">
        <f>IF($A223="","",Inputs!$F75)</f>
        <v/>
      </c>
      <c r="C223" s="102" cm="1">
        <f t="array" ref="C223">IF($A223="",0,SUMPRODUCT((Phasing!$E$3:$X$3=$D$4)*Phasing!$E249:$X249))</f>
        <v>0</v>
      </c>
      <c r="D223" s="102" cm="1">
        <f t="array" ref="D223">IF($A223="",0,SUMPRODUCT((Phasing!$E$3:$X$3=$D$4)*Phasing!$E664:$X664))</f>
        <v>0</v>
      </c>
      <c r="E223" s="102" cm="1">
        <f t="array" ref="E223">IF($A223="",0,SUMPRODUCT((Phasing!$E$3:$X$3=$D$4)*INDEX(Phasing!$E$472:$X$474,$H$4,0)))</f>
        <v>0</v>
      </c>
      <c r="F223" s="101" cm="1">
        <f t="array" ref="F223">IF($A223="",0,INDEX(Inputs!$I75:$K75,1,$H$4))</f>
        <v>0</v>
      </c>
      <c r="G223" s="97" t="str">
        <f>IF($E223&lt;=0,"",COUNTIF($E$154:$E223,"&gt;0"))</f>
        <v/>
      </c>
      <c r="H223" s="102" cm="1">
        <f t="array" ref="H223">IF($A223="",0,SUMPRODUCT((Analysis!$E$3:$X$3=$D$4)*Phasing!$E249:$X249*Analysis!$E$31:$X$31))</f>
        <v>0</v>
      </c>
    </row>
    <row r="224" spans="1:8" x14ac:dyDescent="0.3">
      <c r="A224" s="97" t="str">
        <f>IF(Inputs!$A76="","",Inputs!$A76)</f>
        <v/>
      </c>
      <c r="B224" s="97" t="str">
        <f>IF($A224="","",Inputs!$F76)</f>
        <v/>
      </c>
      <c r="C224" s="102" cm="1">
        <f t="array" ref="C224">IF($A224="",0,SUMPRODUCT((Phasing!$E$3:$X$3=$D$4)*Phasing!$E250:$X250))</f>
        <v>0</v>
      </c>
      <c r="D224" s="102" cm="1">
        <f t="array" ref="D224">IF($A224="",0,SUMPRODUCT((Phasing!$E$3:$X$3=$D$4)*Phasing!$E665:$X665))</f>
        <v>0</v>
      </c>
      <c r="E224" s="102" cm="1">
        <f t="array" ref="E224">IF($A224="",0,SUMPRODUCT((Phasing!$E$3:$X$3=$D$4)*INDEX(Phasing!$E$475:$X$477,$H$4,0)))</f>
        <v>0</v>
      </c>
      <c r="F224" s="101" cm="1">
        <f t="array" ref="F224">IF($A224="",0,INDEX(Inputs!$I76:$K76,1,$H$4))</f>
        <v>0</v>
      </c>
      <c r="G224" s="97" t="str">
        <f>IF($E224&lt;=0,"",COUNTIF($E$154:$E224,"&gt;0"))</f>
        <v/>
      </c>
      <c r="H224" s="102" cm="1">
        <f t="array" ref="H224">IF($A224="",0,SUMPRODUCT((Analysis!$E$3:$X$3=$D$4)*Phasing!$E250:$X250*Analysis!$E$31:$X$31))</f>
        <v>0</v>
      </c>
    </row>
    <row r="225" spans="1:8" x14ac:dyDescent="0.3">
      <c r="A225" s="97" t="str">
        <f>IF(Inputs!$A77="","",Inputs!$A77)</f>
        <v/>
      </c>
      <c r="B225" s="97" t="str">
        <f>IF($A225="","",Inputs!$F77)</f>
        <v/>
      </c>
      <c r="C225" s="102" cm="1">
        <f t="array" ref="C225">IF($A225="",0,SUMPRODUCT((Phasing!$E$3:$X$3=$D$4)*Phasing!$E251:$X251))</f>
        <v>0</v>
      </c>
      <c r="D225" s="102" cm="1">
        <f t="array" ref="D225">IF($A225="",0,SUMPRODUCT((Phasing!$E$3:$X$3=$D$4)*Phasing!$E666:$X666))</f>
        <v>0</v>
      </c>
      <c r="E225" s="102" cm="1">
        <f t="array" ref="E225">IF($A225="",0,SUMPRODUCT((Phasing!$E$3:$X$3=$D$4)*INDEX(Phasing!$E$478:$X$480,$H$4,0)))</f>
        <v>0</v>
      </c>
      <c r="F225" s="101" cm="1">
        <f t="array" ref="F225">IF($A225="",0,INDEX(Inputs!$I77:$K77,1,$H$4))</f>
        <v>0</v>
      </c>
      <c r="G225" s="97" t="str">
        <f>IF($E225&lt;=0,"",COUNTIF($E$154:$E225,"&gt;0"))</f>
        <v/>
      </c>
      <c r="H225" s="102" cm="1">
        <f t="array" ref="H225">IF($A225="",0,SUMPRODUCT((Analysis!$E$3:$X$3=$D$4)*Phasing!$E251:$X251*Analysis!$E$31:$X$31))</f>
        <v>0</v>
      </c>
    </row>
    <row r="226" spans="1:8" x14ac:dyDescent="0.3">
      <c r="A226" s="97" t="str">
        <f>IF(Inputs!$A78="","",Inputs!$A78)</f>
        <v/>
      </c>
      <c r="B226" s="97" t="str">
        <f>IF($A226="","",Inputs!$F78)</f>
        <v/>
      </c>
      <c r="C226" s="102" cm="1">
        <f t="array" ref="C226">IF($A226="",0,SUMPRODUCT((Phasing!$E$3:$X$3=$D$4)*Phasing!$E252:$X252))</f>
        <v>0</v>
      </c>
      <c r="D226" s="102" cm="1">
        <f t="array" ref="D226">IF($A226="",0,SUMPRODUCT((Phasing!$E$3:$X$3=$D$4)*Phasing!$E667:$X667))</f>
        <v>0</v>
      </c>
      <c r="E226" s="102" cm="1">
        <f t="array" ref="E226">IF($A226="",0,SUMPRODUCT((Phasing!$E$3:$X$3=$D$4)*INDEX(Phasing!$E$481:$X$483,$H$4,0)))</f>
        <v>0</v>
      </c>
      <c r="F226" s="101" cm="1">
        <f t="array" ref="F226">IF($A226="",0,INDEX(Inputs!$I78:$K78,1,$H$4))</f>
        <v>0</v>
      </c>
      <c r="G226" s="97" t="str">
        <f>IF($E226&lt;=0,"",COUNTIF($E$154:$E226,"&gt;0"))</f>
        <v/>
      </c>
      <c r="H226" s="102" cm="1">
        <f t="array" ref="H226">IF($A226="",0,SUMPRODUCT((Analysis!$E$3:$X$3=$D$4)*Phasing!$E252:$X252*Analysis!$E$31:$X$31))</f>
        <v>0</v>
      </c>
    </row>
    <row r="227" spans="1:8" x14ac:dyDescent="0.3">
      <c r="A227" s="97" t="str">
        <f>IF(Inputs!$A79="","",Inputs!$A79)</f>
        <v/>
      </c>
      <c r="B227" s="97" t="str">
        <f>IF($A227="","",Inputs!$F79)</f>
        <v/>
      </c>
      <c r="C227" s="102" cm="1">
        <f t="array" ref="C227">IF($A227="",0,SUMPRODUCT((Phasing!$E$3:$X$3=$D$4)*Phasing!$E253:$X253))</f>
        <v>0</v>
      </c>
      <c r="D227" s="102" cm="1">
        <f t="array" ref="D227">IF($A227="",0,SUMPRODUCT((Phasing!$E$3:$X$3=$D$4)*Phasing!$E668:$X668))</f>
        <v>0</v>
      </c>
      <c r="E227" s="102" cm="1">
        <f t="array" ref="E227">IF($A227="",0,SUMPRODUCT((Phasing!$E$3:$X$3=$D$4)*INDEX(Phasing!$E$484:$X$486,$H$4,0)))</f>
        <v>0</v>
      </c>
      <c r="F227" s="101" cm="1">
        <f t="array" ref="F227">IF($A227="",0,INDEX(Inputs!$I79:$K79,1,$H$4))</f>
        <v>0</v>
      </c>
      <c r="G227" s="97" t="str">
        <f>IF($E227&lt;=0,"",COUNTIF($E$154:$E227,"&gt;0"))</f>
        <v/>
      </c>
      <c r="H227" s="102" cm="1">
        <f t="array" ref="H227">IF($A227="",0,SUMPRODUCT((Analysis!$E$3:$X$3=$D$4)*Phasing!$E253:$X253*Analysis!$E$31:$X$31))</f>
        <v>0</v>
      </c>
    </row>
    <row r="228" spans="1:8" x14ac:dyDescent="0.3">
      <c r="A228" s="97" t="str">
        <f>IF(Inputs!$A80="","",Inputs!$A80)</f>
        <v/>
      </c>
      <c r="B228" s="97" t="str">
        <f>IF($A228="","",Inputs!$F80)</f>
        <v/>
      </c>
      <c r="C228" s="102" cm="1">
        <f t="array" ref="C228">IF($A228="",0,SUMPRODUCT((Phasing!$E$3:$X$3=$D$4)*Phasing!$E254:$X254))</f>
        <v>0</v>
      </c>
      <c r="D228" s="102" cm="1">
        <f t="array" ref="D228">IF($A228="",0,SUMPRODUCT((Phasing!$E$3:$X$3=$D$4)*Phasing!$E669:$X669))</f>
        <v>0</v>
      </c>
      <c r="E228" s="102" cm="1">
        <f t="array" ref="E228">IF($A228="",0,SUMPRODUCT((Phasing!$E$3:$X$3=$D$4)*INDEX(Phasing!$E$487:$X$489,$H$4,0)))</f>
        <v>0</v>
      </c>
      <c r="F228" s="101" cm="1">
        <f t="array" ref="F228">IF($A228="",0,INDEX(Inputs!$I80:$K80,1,$H$4))</f>
        <v>0</v>
      </c>
      <c r="G228" s="97" t="str">
        <f>IF($E228&lt;=0,"",COUNTIF($E$154:$E228,"&gt;0"))</f>
        <v/>
      </c>
      <c r="H228" s="102" cm="1">
        <f t="array" ref="H228">IF($A228="",0,SUMPRODUCT((Analysis!$E$3:$X$3=$D$4)*Phasing!$E254:$X254*Analysis!$E$31:$X$31))</f>
        <v>0</v>
      </c>
    </row>
    <row r="229" spans="1:8" x14ac:dyDescent="0.3">
      <c r="A229" s="97" t="str">
        <f>IF(Inputs!$A81="","",Inputs!$A81)</f>
        <v/>
      </c>
      <c r="B229" s="97" t="str">
        <f>IF($A229="","",Inputs!$F81)</f>
        <v/>
      </c>
      <c r="C229" s="102" cm="1">
        <f t="array" ref="C229">IF($A229="",0,SUMPRODUCT((Phasing!$E$3:$X$3=$D$4)*Phasing!$E255:$X255))</f>
        <v>0</v>
      </c>
      <c r="D229" s="102" cm="1">
        <f t="array" ref="D229">IF($A229="",0,SUMPRODUCT((Phasing!$E$3:$X$3=$D$4)*Phasing!$E670:$X670))</f>
        <v>0</v>
      </c>
      <c r="E229" s="102" cm="1">
        <f t="array" ref="E229">IF($A229="",0,SUMPRODUCT((Phasing!$E$3:$X$3=$D$4)*INDEX(Phasing!$E$490:$X$492,$H$4,0)))</f>
        <v>0</v>
      </c>
      <c r="F229" s="101" cm="1">
        <f t="array" ref="F229">IF($A229="",0,INDEX(Inputs!$I81:$K81,1,$H$4))</f>
        <v>0</v>
      </c>
      <c r="G229" s="97" t="str">
        <f>IF($E229&lt;=0,"",COUNTIF($E$154:$E229,"&gt;0"))</f>
        <v/>
      </c>
      <c r="H229" s="102" cm="1">
        <f t="array" ref="H229">IF($A229="",0,SUMPRODUCT((Analysis!$E$3:$X$3=$D$4)*Phasing!$E255:$X255*Analysis!$E$31:$X$31))</f>
        <v>0</v>
      </c>
    </row>
    <row r="230" spans="1:8" x14ac:dyDescent="0.3">
      <c r="A230" s="97" t="str">
        <f>IF(Inputs!$A82="","",Inputs!$A82)</f>
        <v/>
      </c>
      <c r="B230" s="97" t="str">
        <f>IF($A230="","",Inputs!$F82)</f>
        <v/>
      </c>
      <c r="C230" s="102" cm="1">
        <f t="array" ref="C230">IF($A230="",0,SUMPRODUCT((Phasing!$E$3:$X$3=$D$4)*Phasing!$E256:$X256))</f>
        <v>0</v>
      </c>
      <c r="D230" s="102" cm="1">
        <f t="array" ref="D230">IF($A230="",0,SUMPRODUCT((Phasing!$E$3:$X$3=$D$4)*Phasing!$E671:$X671))</f>
        <v>0</v>
      </c>
      <c r="E230" s="102" cm="1">
        <f t="array" ref="E230">IF($A230="",0,SUMPRODUCT((Phasing!$E$3:$X$3=$D$4)*INDEX(Phasing!$E$493:$X$495,$H$4,0)))</f>
        <v>0</v>
      </c>
      <c r="F230" s="101" cm="1">
        <f t="array" ref="F230">IF($A230="",0,INDEX(Inputs!$I82:$K82,1,$H$4))</f>
        <v>0</v>
      </c>
      <c r="G230" s="97" t="str">
        <f>IF($E230&lt;=0,"",COUNTIF($E$154:$E230,"&gt;0"))</f>
        <v/>
      </c>
      <c r="H230" s="102" cm="1">
        <f t="array" ref="H230">IF($A230="",0,SUMPRODUCT((Analysis!$E$3:$X$3=$D$4)*Phasing!$E256:$X256*Analysis!$E$31:$X$31))</f>
        <v>0</v>
      </c>
    </row>
    <row r="231" spans="1:8" x14ac:dyDescent="0.3">
      <c r="A231" s="97" t="str">
        <f>IF(Inputs!$A83="","",Inputs!$A83)</f>
        <v/>
      </c>
      <c r="B231" s="97" t="str">
        <f>IF($A231="","",Inputs!$F83)</f>
        <v/>
      </c>
      <c r="C231" s="102" cm="1">
        <f t="array" ref="C231">IF($A231="",0,SUMPRODUCT((Phasing!$E$3:$X$3=$D$4)*Phasing!$E257:$X257))</f>
        <v>0</v>
      </c>
      <c r="D231" s="102" cm="1">
        <f t="array" ref="D231">IF($A231="",0,SUMPRODUCT((Phasing!$E$3:$X$3=$D$4)*Phasing!$E672:$X672))</f>
        <v>0</v>
      </c>
      <c r="E231" s="102" cm="1">
        <f t="array" ref="E231">IF($A231="",0,SUMPRODUCT((Phasing!$E$3:$X$3=$D$4)*INDEX(Phasing!$E$496:$X$498,$H$4,0)))</f>
        <v>0</v>
      </c>
      <c r="F231" s="101" cm="1">
        <f t="array" ref="F231">IF($A231="",0,INDEX(Inputs!$I83:$K83,1,$H$4))</f>
        <v>0</v>
      </c>
      <c r="G231" s="97" t="str">
        <f>IF($E231&lt;=0,"",COUNTIF($E$154:$E231,"&gt;0"))</f>
        <v/>
      </c>
      <c r="H231" s="102" cm="1">
        <f t="array" ref="H231">IF($A231="",0,SUMPRODUCT((Analysis!$E$3:$X$3=$D$4)*Phasing!$E257:$X257*Analysis!$E$31:$X$31))</f>
        <v>0</v>
      </c>
    </row>
    <row r="232" spans="1:8" x14ac:dyDescent="0.3">
      <c r="A232" s="97" t="str">
        <f>IF(Inputs!$A84="","",Inputs!$A84)</f>
        <v/>
      </c>
      <c r="B232" s="97" t="str">
        <f>IF($A232="","",Inputs!$F84)</f>
        <v/>
      </c>
      <c r="C232" s="102" cm="1">
        <f t="array" ref="C232">IF($A232="",0,SUMPRODUCT((Phasing!$E$3:$X$3=$D$4)*Phasing!$E258:$X258))</f>
        <v>0</v>
      </c>
      <c r="D232" s="102" cm="1">
        <f t="array" ref="D232">IF($A232="",0,SUMPRODUCT((Phasing!$E$3:$X$3=$D$4)*Phasing!$E673:$X673))</f>
        <v>0</v>
      </c>
      <c r="E232" s="102" cm="1">
        <f t="array" ref="E232">IF($A232="",0,SUMPRODUCT((Phasing!$E$3:$X$3=$D$4)*INDEX(Phasing!$E$499:$X$501,$H$4,0)))</f>
        <v>0</v>
      </c>
      <c r="F232" s="101" cm="1">
        <f t="array" ref="F232">IF($A232="",0,INDEX(Inputs!$I84:$K84,1,$H$4))</f>
        <v>0</v>
      </c>
      <c r="G232" s="97" t="str">
        <f>IF($E232&lt;=0,"",COUNTIF($E$154:$E232,"&gt;0"))</f>
        <v/>
      </c>
      <c r="H232" s="102" cm="1">
        <f t="array" ref="H232">IF($A232="",0,SUMPRODUCT((Analysis!$E$3:$X$3=$D$4)*Phasing!$E258:$X258*Analysis!$E$31:$X$31))</f>
        <v>0</v>
      </c>
    </row>
    <row r="233" spans="1:8" x14ac:dyDescent="0.3">
      <c r="A233" s="97" t="str">
        <f>IF(Inputs!$A85="","",Inputs!$A85)</f>
        <v/>
      </c>
      <c r="B233" s="97" t="str">
        <f>IF($A233="","",Inputs!$F85)</f>
        <v/>
      </c>
      <c r="C233" s="102" cm="1">
        <f t="array" ref="C233">IF($A233="",0,SUMPRODUCT((Phasing!$E$3:$X$3=$D$4)*Phasing!$E259:$X259))</f>
        <v>0</v>
      </c>
      <c r="D233" s="102" cm="1">
        <f t="array" ref="D233">IF($A233="",0,SUMPRODUCT((Phasing!$E$3:$X$3=$D$4)*Phasing!$E674:$X674))</f>
        <v>0</v>
      </c>
      <c r="E233" s="102" cm="1">
        <f t="array" ref="E233">IF($A233="",0,SUMPRODUCT((Phasing!$E$3:$X$3=$D$4)*INDEX(Phasing!$E$502:$X$504,$H$4,0)))</f>
        <v>0</v>
      </c>
      <c r="F233" s="101" cm="1">
        <f t="array" ref="F233">IF($A233="",0,INDEX(Inputs!$I85:$K85,1,$H$4))</f>
        <v>0</v>
      </c>
      <c r="G233" s="97" t="str">
        <f>IF($E233&lt;=0,"",COUNTIF($E$154:$E233,"&gt;0"))</f>
        <v/>
      </c>
      <c r="H233" s="102" cm="1">
        <f t="array" ref="H233">IF($A233="",0,SUMPRODUCT((Analysis!$E$3:$X$3=$D$4)*Phasing!$E259:$X259*Analysis!$E$31:$X$31))</f>
        <v>0</v>
      </c>
    </row>
    <row r="234" spans="1:8" x14ac:dyDescent="0.3">
      <c r="A234" s="3"/>
      <c r="B234" s="3"/>
      <c r="C234" s="3"/>
      <c r="D234" s="3"/>
      <c r="E234" s="3"/>
      <c r="F234" s="3"/>
      <c r="G234" s="3"/>
      <c r="H234" s="3"/>
    </row>
    <row r="235" spans="1:8" x14ac:dyDescent="0.3">
      <c r="A235" s="3"/>
      <c r="B235" s="3"/>
      <c r="C235" s="3"/>
      <c r="D235" s="3"/>
      <c r="E235" s="3"/>
      <c r="F235" s="3"/>
      <c r="G235" s="3"/>
      <c r="H235" s="3"/>
    </row>
    <row r="236" spans="1:8" x14ac:dyDescent="0.3">
      <c r="A236" s="3"/>
      <c r="B236" s="3"/>
      <c r="C236" s="3"/>
      <c r="D236" s="3"/>
      <c r="E236" s="3"/>
      <c r="F236" s="3"/>
      <c r="G236" s="3"/>
      <c r="H236" s="3"/>
    </row>
    <row r="237" spans="1:8" x14ac:dyDescent="0.3">
      <c r="A237" s="3"/>
      <c r="B237" s="3"/>
      <c r="C237" s="3"/>
      <c r="D237" s="3"/>
      <c r="E237" s="3"/>
      <c r="F237" s="3"/>
      <c r="G237" s="3"/>
      <c r="H237" s="3"/>
    </row>
    <row r="238" spans="1:8" x14ac:dyDescent="0.3">
      <c r="A238" s="97" t="s">
        <v>292</v>
      </c>
      <c r="B238" s="97"/>
      <c r="C238" s="97"/>
      <c r="D238" s="3"/>
      <c r="E238" s="3"/>
      <c r="F238" s="3"/>
      <c r="G238" s="3"/>
      <c r="H238" s="3"/>
    </row>
    <row r="239" spans="1:8" x14ac:dyDescent="0.3">
      <c r="A239" s="97" t="s">
        <v>51</v>
      </c>
      <c r="B239" s="97" t="s">
        <v>298</v>
      </c>
      <c r="C239" s="97" t="s">
        <v>324</v>
      </c>
      <c r="D239" s="97" t="s">
        <v>320</v>
      </c>
      <c r="E239" s="3"/>
      <c r="F239" s="3"/>
      <c r="G239" s="3"/>
      <c r="H239" s="3"/>
    </row>
    <row r="240" spans="1:8" x14ac:dyDescent="0.3">
      <c r="A240" s="97" t="str">
        <f>B$21</f>
        <v>Q1-25</v>
      </c>
      <c r="B240" s="102">
        <f>B$22</f>
        <v>2.224324324324324</v>
      </c>
      <c r="C240" s="102">
        <f>B$26</f>
        <v>2.162548491108526</v>
      </c>
      <c r="D240" s="102">
        <f ca="1">B$23</f>
        <v>3</v>
      </c>
      <c r="E240" s="3"/>
      <c r="F240" s="3"/>
      <c r="G240" s="3"/>
      <c r="H240" s="3"/>
    </row>
    <row r="241" spans="1:8" x14ac:dyDescent="0.3">
      <c r="A241" s="97" t="str">
        <f>C$21</f>
        <v>Q2-25</v>
      </c>
      <c r="B241" s="102">
        <f>C$22</f>
        <v>2.0716216216216217</v>
      </c>
      <c r="C241" s="102">
        <f>C$26</f>
        <v>7.8547622580460299</v>
      </c>
      <c r="D241" s="102">
        <f ca="1">C$23</f>
        <v>3</v>
      </c>
      <c r="E241" s="3"/>
      <c r="F241" s="3"/>
      <c r="G241" s="3"/>
      <c r="H241" s="3"/>
    </row>
    <row r="242" spans="1:8" x14ac:dyDescent="0.3">
      <c r="A242" s="97" t="str">
        <f>D$21</f>
        <v>Q3-25</v>
      </c>
      <c r="B242" s="102">
        <f>D$22</f>
        <v>2.2554054054054054</v>
      </c>
      <c r="C242" s="102">
        <f>D$26</f>
        <v>7.5314145633642564</v>
      </c>
      <c r="D242" s="102">
        <f ca="1">D$23</f>
        <v>3</v>
      </c>
      <c r="E242" s="3"/>
      <c r="F242" s="3"/>
      <c r="G242" s="3"/>
      <c r="H242" s="3"/>
    </row>
    <row r="243" spans="1:8" x14ac:dyDescent="0.3">
      <c r="A243" s="97" t="str">
        <f>E$21</f>
        <v>Q4-25</v>
      </c>
      <c r="B243" s="102">
        <f>E$22</f>
        <v>2.7081081081081084</v>
      </c>
      <c r="C243" s="102">
        <f>E$26</f>
        <v>2.466872853156266</v>
      </c>
      <c r="D243" s="102">
        <f ca="1">E$23</f>
        <v>3</v>
      </c>
      <c r="E243" s="3"/>
      <c r="F243" s="3"/>
      <c r="G243" s="3"/>
      <c r="H243" s="3"/>
    </row>
    <row r="244" spans="1:8" x14ac:dyDescent="0.3">
      <c r="A244" s="98"/>
      <c r="B244" s="98"/>
      <c r="C244" s="98"/>
    </row>
    <row r="245" spans="1:8" x14ac:dyDescent="0.3">
      <c r="A245" s="98"/>
      <c r="B245" s="98"/>
      <c r="C245" s="98"/>
    </row>
    <row r="246" spans="1:8" x14ac:dyDescent="0.3">
      <c r="A246" s="98" t="s">
        <v>5</v>
      </c>
      <c r="B246" s="98" t="s">
        <v>316</v>
      </c>
      <c r="C246" s="98"/>
    </row>
    <row r="247" spans="1:8" x14ac:dyDescent="0.3">
      <c r="A247" s="98" t="str">
        <f t="shared" ref="A247:A274" si="6">IF($A32="","",$A32)</f>
        <v>N25185-0100D</v>
      </c>
      <c r="B247" s="98">
        <f t="shared" ref="B247:B274" si="7">IF($A32="",NA(),$C32)</f>
        <v>1.6283783783783783</v>
      </c>
      <c r="C247" s="98"/>
    </row>
    <row r="248" spans="1:8" x14ac:dyDescent="0.3">
      <c r="A248" s="98" t="str">
        <f t="shared" si="6"/>
        <v xml:space="preserve">AD24217-0100D </v>
      </c>
      <c r="B248" s="98">
        <f t="shared" si="7"/>
        <v>0.25945945945945947</v>
      </c>
      <c r="C248" s="98"/>
    </row>
    <row r="249" spans="1:8" x14ac:dyDescent="0.3">
      <c r="A249" s="98" t="str">
        <f t="shared" si="6"/>
        <v>AN23276-0100D</v>
      </c>
      <c r="B249" s="98">
        <f t="shared" si="7"/>
        <v>1.0810810810810811E-2</v>
      </c>
      <c r="C249" s="98"/>
    </row>
    <row r="250" spans="1:8" x14ac:dyDescent="0.3">
      <c r="A250" s="98" t="str">
        <f t="shared" si="6"/>
        <v>AN24073-0100D</v>
      </c>
      <c r="B250" s="98">
        <f t="shared" si="7"/>
        <v>1.0810810810810811E-2</v>
      </c>
      <c r="C250" s="98"/>
    </row>
    <row r="251" spans="1:8" x14ac:dyDescent="0.3">
      <c r="A251" s="98" t="str">
        <f t="shared" si="6"/>
        <v>AN24140-0100R</v>
      </c>
      <c r="B251" s="98">
        <f t="shared" si="7"/>
        <v>5.4054054054054057E-3</v>
      </c>
      <c r="C251" s="98"/>
    </row>
    <row r="252" spans="1:8" x14ac:dyDescent="0.3">
      <c r="A252" s="98" t="str">
        <f t="shared" si="6"/>
        <v>CS24035-0100D</v>
      </c>
      <c r="B252" s="98">
        <f t="shared" si="7"/>
        <v>1.0337837837837838</v>
      </c>
      <c r="C252" s="98"/>
    </row>
    <row r="253" spans="1:8" x14ac:dyDescent="0.3">
      <c r="A253" s="98" t="str">
        <f t="shared" si="6"/>
        <v>J23152-0100D</v>
      </c>
      <c r="B253" s="98">
        <f t="shared" si="7"/>
        <v>1.6216216216216217E-2</v>
      </c>
      <c r="C253" s="98"/>
    </row>
    <row r="254" spans="1:8" x14ac:dyDescent="0.3">
      <c r="A254" s="98" t="str">
        <f t="shared" si="6"/>
        <v>Q25008-0100D</v>
      </c>
      <c r="B254" s="98">
        <f t="shared" si="7"/>
        <v>7.8378378378378383E-2</v>
      </c>
      <c r="C254" s="98"/>
    </row>
    <row r="255" spans="1:8" x14ac:dyDescent="0.3">
      <c r="A255" s="98" t="str">
        <f t="shared" si="6"/>
        <v>S24014-0102D</v>
      </c>
      <c r="B255" s="98">
        <f t="shared" si="7"/>
        <v>2.2364864864864864</v>
      </c>
      <c r="C255" s="98"/>
    </row>
    <row r="256" spans="1:8" x14ac:dyDescent="0.3">
      <c r="A256" s="98" t="str">
        <f t="shared" si="6"/>
        <v>S24014-0104D</v>
      </c>
      <c r="B256" s="98">
        <f t="shared" si="7"/>
        <v>0.67162162162162165</v>
      </c>
      <c r="C256" s="98"/>
    </row>
    <row r="257" spans="1:3" x14ac:dyDescent="0.3">
      <c r="A257" s="98" t="str">
        <f t="shared" si="6"/>
        <v>S22058-0700D</v>
      </c>
      <c r="B257" s="98">
        <f t="shared" si="7"/>
        <v>0.90540540540540537</v>
      </c>
      <c r="C257" s="98"/>
    </row>
    <row r="258" spans="1:3" x14ac:dyDescent="0.3">
      <c r="A258" s="98" t="str">
        <f t="shared" si="6"/>
        <v>AN24185-0100R</v>
      </c>
      <c r="B258" s="98">
        <f t="shared" si="7"/>
        <v>1.0810810810810811E-2</v>
      </c>
      <c r="C258" s="98"/>
    </row>
    <row r="259" spans="1:3" x14ac:dyDescent="0.3">
      <c r="A259" s="98" t="str">
        <f t="shared" si="6"/>
        <v>AN24135-0100R</v>
      </c>
      <c r="B259" s="98">
        <f t="shared" si="7"/>
        <v>2.5675675675675677E-2</v>
      </c>
      <c r="C259" s="98"/>
    </row>
    <row r="260" spans="1:3" x14ac:dyDescent="0.3">
      <c r="A260" s="98" t="str">
        <f t="shared" si="6"/>
        <v>AN23232-0100D</v>
      </c>
      <c r="B260" s="98">
        <f t="shared" si="7"/>
        <v>4.1891891891891894E-2</v>
      </c>
      <c r="C260" s="98"/>
    </row>
    <row r="261" spans="1:3" x14ac:dyDescent="0.3">
      <c r="A261" s="98" t="str">
        <f t="shared" si="6"/>
        <v>AN23108-0100R</v>
      </c>
      <c r="B261" s="98">
        <f t="shared" si="7"/>
        <v>9.7297297297297303E-2</v>
      </c>
      <c r="C261" s="98"/>
    </row>
    <row r="262" spans="1:3" x14ac:dyDescent="0.3">
      <c r="A262" s="98" t="str">
        <f t="shared" si="6"/>
        <v>TA24246-0200R</v>
      </c>
      <c r="B262" s="98">
        <f t="shared" si="7"/>
        <v>8.513513513513514E-2</v>
      </c>
      <c r="C262" s="98"/>
    </row>
    <row r="263" spans="1:3" x14ac:dyDescent="0.3">
      <c r="A263" s="98" t="str">
        <f t="shared" si="6"/>
        <v>S22058-0900D</v>
      </c>
      <c r="B263" s="98">
        <f t="shared" si="7"/>
        <v>7.4324324324324328E-2</v>
      </c>
      <c r="C263" s="98"/>
    </row>
    <row r="264" spans="1:3" x14ac:dyDescent="0.3">
      <c r="A264" s="98" t="str">
        <f t="shared" si="6"/>
        <v>S22058-0400D</v>
      </c>
      <c r="B264" s="98">
        <f t="shared" si="7"/>
        <v>1.0810810810810811E-2</v>
      </c>
      <c r="C264" s="98"/>
    </row>
    <row r="265" spans="1:3" x14ac:dyDescent="0.3">
      <c r="A265" s="98" t="str">
        <f t="shared" si="6"/>
        <v>Proposals 25</v>
      </c>
      <c r="B265" s="98">
        <f t="shared" si="7"/>
        <v>1.0716216216216217</v>
      </c>
      <c r="C265" s="98"/>
    </row>
    <row r="266" spans="1:3" x14ac:dyDescent="0.3">
      <c r="A266" s="98" t="str">
        <f t="shared" si="6"/>
        <v>Chargable Proposals 25</v>
      </c>
      <c r="B266" s="98">
        <f t="shared" si="7"/>
        <v>0.98513513513513518</v>
      </c>
      <c r="C266" s="98"/>
    </row>
    <row r="267" spans="1:3" x14ac:dyDescent="0.3">
      <c r="A267" s="98" t="str">
        <f t="shared" si="6"/>
        <v/>
      </c>
      <c r="B267" s="98" t="e">
        <f t="shared" si="7"/>
        <v>#N/A</v>
      </c>
      <c r="C267" s="98"/>
    </row>
    <row r="268" spans="1:3" x14ac:dyDescent="0.3">
      <c r="A268" s="98" t="str">
        <f t="shared" si="6"/>
        <v/>
      </c>
      <c r="B268" s="98" t="e">
        <f t="shared" si="7"/>
        <v>#N/A</v>
      </c>
      <c r="C268" s="98"/>
    </row>
    <row r="269" spans="1:3" x14ac:dyDescent="0.3">
      <c r="A269" s="98" t="str">
        <f t="shared" si="6"/>
        <v/>
      </c>
      <c r="B269" s="98" t="e">
        <f t="shared" si="7"/>
        <v>#N/A</v>
      </c>
      <c r="C269" s="98"/>
    </row>
    <row r="270" spans="1:3" x14ac:dyDescent="0.3">
      <c r="A270" s="98" t="str">
        <f t="shared" si="6"/>
        <v/>
      </c>
      <c r="B270" s="98" t="e">
        <f t="shared" si="7"/>
        <v>#N/A</v>
      </c>
      <c r="C270" s="98"/>
    </row>
    <row r="271" spans="1:3" x14ac:dyDescent="0.3">
      <c r="A271" s="98" t="str">
        <f t="shared" si="6"/>
        <v/>
      </c>
      <c r="B271" s="98" t="e">
        <f t="shared" si="7"/>
        <v>#N/A</v>
      </c>
      <c r="C271" s="98"/>
    </row>
    <row r="272" spans="1:3" x14ac:dyDescent="0.3">
      <c r="A272" s="98" t="str">
        <f t="shared" si="6"/>
        <v/>
      </c>
      <c r="B272" s="98" t="e">
        <f t="shared" si="7"/>
        <v>#N/A</v>
      </c>
      <c r="C272" s="98"/>
    </row>
    <row r="273" spans="1:3" x14ac:dyDescent="0.3">
      <c r="A273" s="98" t="str">
        <f t="shared" si="6"/>
        <v/>
      </c>
      <c r="B273" s="98" t="e">
        <f t="shared" si="7"/>
        <v>#N/A</v>
      </c>
      <c r="C273" s="98"/>
    </row>
    <row r="274" spans="1:3" x14ac:dyDescent="0.3">
      <c r="A274" s="98" t="str">
        <f t="shared" si="6"/>
        <v/>
      </c>
      <c r="B274" s="98" t="e">
        <f t="shared" si="7"/>
        <v>#N/A</v>
      </c>
      <c r="C274" s="98"/>
    </row>
  </sheetData>
  <autoFilter ref="A31:F60" xr:uid="{D13D69AD-140F-48DD-B91C-419C72A3E5D7}">
    <filterColumn colId="0">
      <customFilters>
        <customFilter operator="notEqual" val=" "/>
      </customFilters>
    </filterColumn>
  </autoFilter>
  <mergeCells count="17">
    <mergeCell ref="A30:H30"/>
    <mergeCell ref="C8:D8"/>
    <mergeCell ref="C9:D9"/>
    <mergeCell ref="C10:D10"/>
    <mergeCell ref="C11:D11"/>
    <mergeCell ref="A1:H1"/>
    <mergeCell ref="A2:H2"/>
    <mergeCell ref="A5:H5"/>
    <mergeCell ref="A7:H7"/>
    <mergeCell ref="A20:H20"/>
    <mergeCell ref="C18:D18"/>
    <mergeCell ref="C12:D12"/>
    <mergeCell ref="C13:D13"/>
    <mergeCell ref="C14:D14"/>
    <mergeCell ref="C15:D15"/>
    <mergeCell ref="C16:D16"/>
    <mergeCell ref="C17:D17"/>
  </mergeCells>
  <conditionalFormatting sqref="B32:B59">
    <cfRule type="containsText" dxfId="100" priority="1" operator="containsText" text="Active">
      <formula>NOT(ISERROR(SEARCH("Active",B32)))</formula>
    </cfRule>
    <cfRule type="containsText" dxfId="99" priority="2" operator="containsText" text="Not Started">
      <formula>NOT(ISERROR(SEARCH("Not Started",B32)))</formula>
    </cfRule>
    <cfRule type="containsText" dxfId="98" priority="3" operator="containsText" text="On Hold">
      <formula>NOT(ISERROR(SEARCH("On Hold",B32)))</formula>
    </cfRule>
    <cfRule type="containsText" dxfId="97" priority="4" operator="containsText" text="Finalized">
      <formula>NOT(ISERROR(SEARCH("Finalized",B32)))</formula>
    </cfRule>
    <cfRule type="containsText" dxfId="96" priority="5" operator="containsText" text="Proposal">
      <formula>NOT(ISERROR(SEARCH("Proposal",B32)))</formula>
    </cfRule>
    <cfRule type="containsText" dxfId="95" priority="6" operator="containsText" text="Cancelled">
      <formula>NOT(ISERROR(SEARCH("Cancelled",B32)))</formula>
    </cfRule>
  </conditionalFormatting>
  <dataValidations count="2">
    <dataValidation type="list" allowBlank="1" showInputMessage="1" showErrorMessage="1" sqref="B4" xr:uid="{0183B32E-8886-4FD0-A361-C82E6CB01193}">
      <formula1>"Ahmed,Osama,Kirolos"</formula1>
    </dataValidation>
    <dataValidation type="list" allowBlank="1" showInputMessage="1" showErrorMessage="1" sqref="D4" xr:uid="{3659F0A4-E4F5-48DC-87C2-DF506636A5DA}">
      <formula1>"2024,2025,2026,2027,2028"</formula1>
    </dataValidation>
  </dataValidations>
  <printOptions horizontalCentered="1"/>
  <pageMargins left="0.25" right="0.25" top="0.27777777777777779" bottom="0.27777777777777779" header="0.3" footer="0.3"/>
  <pageSetup paperSize="8" orientation="landscape" r:id="rId1"/>
  <rowBreaks count="1" manualBreakCount="1">
    <brk id="61" max="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CCE2-1C1E-4B53-A0DE-18936E77F557}">
  <sheetPr>
    <tabColor rgb="FF1F6FC5"/>
  </sheetPr>
  <dimension ref="A1:F80"/>
  <sheetViews>
    <sheetView showGridLines="0" topLeftCell="A7" zoomScale="85" zoomScaleNormal="85" zoomScaleSheetLayoutView="70" workbookViewId="0">
      <selection activeCell="B8" sqref="B8"/>
    </sheetView>
  </sheetViews>
  <sheetFormatPr defaultRowHeight="14.4" x14ac:dyDescent="0.3"/>
  <cols>
    <col min="1" max="1" width="46.33203125" customWidth="1"/>
    <col min="2" max="5" width="20.33203125" customWidth="1"/>
    <col min="6" max="6" width="61.109375" customWidth="1"/>
  </cols>
  <sheetData>
    <row r="1" spans="1:6" ht="34.049999999999997" customHeight="1" x14ac:dyDescent="0.3">
      <c r="A1" s="301" t="s">
        <v>325</v>
      </c>
      <c r="B1" s="304"/>
      <c r="C1" s="304"/>
      <c r="D1" s="304"/>
      <c r="E1" s="304"/>
      <c r="F1" s="304"/>
    </row>
    <row r="2" spans="1:6" ht="22.05" customHeight="1" x14ac:dyDescent="0.3">
      <c r="A2" s="305" t="str">
        <f>"Viewing: "&amp;Dashboard!$H$5&amp;"     |     Weights below are yours to set — change them and the ranking updates."</f>
        <v>Viewing: Full year 2026     |     Weights below are yours to set — change them and the ranking updates.</v>
      </c>
      <c r="B2" s="304"/>
      <c r="C2" s="304"/>
      <c r="D2" s="304"/>
      <c r="E2" s="304"/>
      <c r="F2" s="304"/>
    </row>
    <row r="3" spans="1:6" x14ac:dyDescent="0.3">
      <c r="A3" s="3"/>
      <c r="B3" s="3"/>
      <c r="C3" s="3"/>
      <c r="D3" s="3"/>
      <c r="E3" s="3"/>
      <c r="F3" s="3"/>
    </row>
    <row r="4" spans="1:6" ht="19.95" customHeight="1" x14ac:dyDescent="0.3">
      <c r="A4" s="303" t="s">
        <v>326</v>
      </c>
      <c r="B4" s="303"/>
      <c r="C4" s="303"/>
      <c r="D4" s="303"/>
      <c r="E4" s="303"/>
      <c r="F4" s="303"/>
    </row>
    <row r="5" spans="1:6" x14ac:dyDescent="0.3">
      <c r="A5" s="72" t="s">
        <v>327</v>
      </c>
      <c r="B5" s="18" t="s">
        <v>328</v>
      </c>
      <c r="C5" s="18" t="s">
        <v>329</v>
      </c>
      <c r="D5" s="18" t="s">
        <v>330</v>
      </c>
      <c r="E5" s="18" t="s">
        <v>331</v>
      </c>
      <c r="F5" s="18"/>
    </row>
    <row r="6" spans="1:6" x14ac:dyDescent="0.3">
      <c r="A6" s="6" t="s">
        <v>512</v>
      </c>
      <c r="B6" s="186">
        <v>0.3</v>
      </c>
      <c r="C6" s="187" t="s">
        <v>332</v>
      </c>
      <c r="D6" s="188"/>
      <c r="E6" s="5" t="s">
        <v>514</v>
      </c>
      <c r="F6" s="189"/>
    </row>
    <row r="7" spans="1:6" x14ac:dyDescent="0.3">
      <c r="A7" s="6" t="s">
        <v>15</v>
      </c>
      <c r="B7" s="186">
        <v>0.2</v>
      </c>
      <c r="C7" s="187" t="s">
        <v>333</v>
      </c>
      <c r="D7" s="188">
        <v>1</v>
      </c>
      <c r="E7" s="5" t="s">
        <v>334</v>
      </c>
      <c r="F7" s="189"/>
    </row>
    <row r="8" spans="1:6" x14ac:dyDescent="0.3">
      <c r="A8" s="6" t="s">
        <v>86</v>
      </c>
      <c r="B8" s="186">
        <v>0.15</v>
      </c>
      <c r="C8" s="187" t="s">
        <v>333</v>
      </c>
      <c r="D8" s="188">
        <v>1</v>
      </c>
      <c r="E8" s="5" t="s">
        <v>335</v>
      </c>
      <c r="F8" s="189"/>
    </row>
    <row r="9" spans="1:6" x14ac:dyDescent="0.3">
      <c r="A9" s="6" t="s">
        <v>513</v>
      </c>
      <c r="B9" s="186">
        <v>0.2</v>
      </c>
      <c r="C9" s="187" t="s">
        <v>332</v>
      </c>
      <c r="D9" s="188"/>
      <c r="E9" s="5" t="s">
        <v>515</v>
      </c>
      <c r="F9" s="189"/>
    </row>
    <row r="10" spans="1:6" x14ac:dyDescent="0.3">
      <c r="A10" s="6" t="s">
        <v>337</v>
      </c>
      <c r="B10" s="186">
        <v>0.1</v>
      </c>
      <c r="C10" s="187" t="s">
        <v>332</v>
      </c>
      <c r="D10" s="188"/>
      <c r="E10" s="5" t="s">
        <v>338</v>
      </c>
      <c r="F10" s="189"/>
    </row>
    <row r="11" spans="1:6" x14ac:dyDescent="0.3">
      <c r="A11" s="6" t="s">
        <v>339</v>
      </c>
      <c r="B11" s="186">
        <v>0.05</v>
      </c>
      <c r="C11" s="187" t="s">
        <v>332</v>
      </c>
      <c r="D11" s="188"/>
      <c r="E11" s="5" t="s">
        <v>340</v>
      </c>
      <c r="F11" s="189"/>
    </row>
    <row r="12" spans="1:6" x14ac:dyDescent="0.3">
      <c r="A12" s="19" t="s">
        <v>341</v>
      </c>
      <c r="B12" s="21">
        <f>SUM(B6:B11)</f>
        <v>1</v>
      </c>
      <c r="C12" s="75" t="str">
        <f>IF(ROUND($B$12,4)=1,"OK","MUST TOTAL 100%")</f>
        <v>OK</v>
      </c>
      <c r="D12" s="75"/>
      <c r="E12" s="5"/>
      <c r="F12" s="5"/>
    </row>
    <row r="13" spans="1:6" x14ac:dyDescent="0.3">
      <c r="A13" s="3"/>
      <c r="B13" s="3"/>
      <c r="C13" s="3"/>
      <c r="D13" s="3"/>
      <c r="E13" s="3"/>
      <c r="F13" s="3"/>
    </row>
    <row r="14" spans="1:6" ht="19.95" customHeight="1" x14ac:dyDescent="0.3">
      <c r="A14" s="297" t="s">
        <v>342</v>
      </c>
      <c r="B14" s="297"/>
      <c r="C14" s="297"/>
      <c r="D14" s="297"/>
      <c r="E14" s="297"/>
      <c r="F14" s="297"/>
    </row>
    <row r="15" spans="1:6" x14ac:dyDescent="0.3">
      <c r="A15" s="72" t="s">
        <v>327</v>
      </c>
      <c r="B15" s="18" t="str">
        <f>Inputs!$A$91</f>
        <v>Ahmed</v>
      </c>
      <c r="C15" s="18" t="str">
        <f>Inputs!$A$92</f>
        <v>Osama</v>
      </c>
      <c r="D15" s="18" t="str">
        <f>Inputs!$A$93</f>
        <v>Kirolos</v>
      </c>
      <c r="E15" s="18" t="s">
        <v>343</v>
      </c>
      <c r="F15" s="3"/>
    </row>
    <row r="16" spans="1:6" x14ac:dyDescent="0.3">
      <c r="A16" s="6" t="str">
        <f t="shared" ref="A16:A21" si="0">$A6</f>
        <v>Efficiency (CPI, type-weighted)</v>
      </c>
      <c r="B16" s="190">
        <f>IFERROR('Mgmt Review'!B26,0)</f>
        <v>0.83722042123236129</v>
      </c>
      <c r="C16" s="190">
        <f>IFERROR('Mgmt Review'!C26,0)</f>
        <v>0.6401623442691754</v>
      </c>
      <c r="D16" s="190">
        <f>IFERROR('Mgmt Review'!D26,0)</f>
        <v>0.73189989084010709</v>
      </c>
      <c r="E16" s="191">
        <f t="shared" ref="E16:E21" si="1">MAX(B16:D16)</f>
        <v>0.83722042123236129</v>
      </c>
      <c r="F16" s="3"/>
    </row>
    <row r="17" spans="1:6" x14ac:dyDescent="0.3">
      <c r="A17" s="6" t="str">
        <f t="shared" si="0"/>
        <v>Utilisation vs capacity</v>
      </c>
      <c r="B17" s="79">
        <f ca="1">IFERROR('Mgmt Review'!B18,0)</f>
        <v>0.71037677353466833</v>
      </c>
      <c r="C17" s="79">
        <f ca="1">IFERROR('Mgmt Review'!C18,0)</f>
        <v>0.7442681547944705</v>
      </c>
      <c r="D17" s="79">
        <f ca="1">IFERROR('Mgmt Review'!D18,0)</f>
        <v>0.76876390560601082</v>
      </c>
      <c r="E17" s="80">
        <f t="shared" ca="1" si="1"/>
        <v>0.76876390560601082</v>
      </c>
      <c r="F17" s="3"/>
    </row>
    <row r="18" spans="1:6" x14ac:dyDescent="0.3">
      <c r="A18" s="6" t="str">
        <f t="shared" si="0"/>
        <v>Plan adherence</v>
      </c>
      <c r="B18" s="79">
        <f ca="1">IFERROR('Mgmt Review'!B19,0)</f>
        <v>0.46790234555748544</v>
      </c>
      <c r="C18" s="79">
        <f ca="1">IFERROR('Mgmt Review'!C19,0)</f>
        <v>0.64062724128862891</v>
      </c>
      <c r="D18" s="79">
        <f ca="1">IFERROR('Mgmt Review'!D19,0)</f>
        <v>0.55599547367419389</v>
      </c>
      <c r="E18" s="80">
        <f t="shared" ca="1" si="1"/>
        <v>0.64062724128862891</v>
      </c>
      <c r="F18" s="3"/>
    </row>
    <row r="19" spans="1:6" x14ac:dyDescent="0.3">
      <c r="A19" s="6" t="str">
        <f t="shared" si="0"/>
        <v>Earned MM delivered (type-weighted)</v>
      </c>
      <c r="B19" s="7">
        <f>IFERROR('Mgmt Review'!B25,0)</f>
        <v>4.7902584641862411</v>
      </c>
      <c r="C19" s="7">
        <f>IFERROR('Mgmt Review'!C25,0)</f>
        <v>3.8375137286190029</v>
      </c>
      <c r="D19" s="7">
        <f>IFERROR('Mgmt Review'!D25,0)</f>
        <v>4.5318449997694197</v>
      </c>
      <c r="E19" s="22">
        <f t="shared" si="1"/>
        <v>4.7902584641862411</v>
      </c>
      <c r="F19" s="3"/>
    </row>
    <row r="20" spans="1:6" x14ac:dyDescent="0.3">
      <c r="A20" s="6" t="str">
        <f t="shared" si="0"/>
        <v>Actual MM contributed</v>
      </c>
      <c r="B20" s="7">
        <f>IFERROR('Mgmt Review'!B13,0)</f>
        <v>5.7216216216216225</v>
      </c>
      <c r="C20" s="7">
        <f>IFERROR('Mgmt Review'!C13,0)</f>
        <v>5.9945945945945942</v>
      </c>
      <c r="D20" s="7">
        <f>IFERROR('Mgmt Review'!D13,0)</f>
        <v>6.1918918918918919</v>
      </c>
      <c r="E20" s="22">
        <f t="shared" si="1"/>
        <v>6.1918918918918919</v>
      </c>
      <c r="F20" s="3"/>
    </row>
    <row r="21" spans="1:6" x14ac:dyDescent="0.3">
      <c r="A21" s="6" t="str">
        <f t="shared" si="0"/>
        <v>Projects worked</v>
      </c>
      <c r="B21" s="73">
        <f>IFERROR('Engineer KPIs'!B18,0)</f>
        <v>6</v>
      </c>
      <c r="C21" s="73">
        <f>IFERROR('Engineer KPIs'!C18,0)</f>
        <v>4</v>
      </c>
      <c r="D21" s="73">
        <f>IFERROR('Engineer KPIs'!D18,0)</f>
        <v>7</v>
      </c>
      <c r="E21" s="46">
        <f t="shared" si="1"/>
        <v>7</v>
      </c>
      <c r="F21" s="3"/>
    </row>
    <row r="22" spans="1:6" x14ac:dyDescent="0.3">
      <c r="A22" s="3"/>
      <c r="B22" s="3"/>
      <c r="C22" s="3"/>
      <c r="D22" s="3"/>
      <c r="E22" s="3"/>
      <c r="F22" s="3"/>
    </row>
    <row r="23" spans="1:6" ht="19.95" customHeight="1" x14ac:dyDescent="0.3">
      <c r="A23" s="297" t="s">
        <v>344</v>
      </c>
      <c r="B23" s="297"/>
      <c r="C23" s="297"/>
      <c r="D23" s="297"/>
      <c r="E23" s="297"/>
      <c r="F23" s="297"/>
    </row>
    <row r="24" spans="1:6" x14ac:dyDescent="0.3">
      <c r="A24" s="72" t="s">
        <v>327</v>
      </c>
      <c r="B24" s="18" t="str">
        <f>Inputs!$A$91</f>
        <v>Ahmed</v>
      </c>
      <c r="C24" s="18" t="str">
        <f>Inputs!$A$92</f>
        <v>Osama</v>
      </c>
      <c r="D24" s="18" t="str">
        <f>Inputs!$A$93</f>
        <v>Kirolos</v>
      </c>
      <c r="E24" s="18" t="s">
        <v>328</v>
      </c>
      <c r="F24" s="3"/>
    </row>
    <row r="25" spans="1:6" x14ac:dyDescent="0.3">
      <c r="A25" s="6" t="str">
        <f t="shared" ref="A25:A30" si="2">$A6</f>
        <v>Efficiency (CPI, type-weighted)</v>
      </c>
      <c r="B25" s="8">
        <f t="shared" ref="B25:D30" si="3">IF($C6="Higher is better",IF($E16=0,0,B16/$E16*100),MAX(0,(1-MIN(1,ABS(B16-$D6)/IF($D6=0,1,$D6)))*100))</f>
        <v>100</v>
      </c>
      <c r="C25" s="8">
        <f t="shared" si="3"/>
        <v>76.462820069161381</v>
      </c>
      <c r="D25" s="8">
        <f t="shared" si="3"/>
        <v>87.420214829778544</v>
      </c>
      <c r="E25" s="15">
        <f t="shared" ref="E25:E30" si="4">$B6</f>
        <v>0.3</v>
      </c>
      <c r="F25" s="3"/>
    </row>
    <row r="26" spans="1:6" x14ac:dyDescent="0.3">
      <c r="A26" s="6" t="str">
        <f t="shared" si="2"/>
        <v>Utilisation vs capacity</v>
      </c>
      <c r="B26" s="8">
        <f t="shared" ca="1" si="3"/>
        <v>71.037677353466833</v>
      </c>
      <c r="C26" s="8">
        <f t="shared" ca="1" si="3"/>
        <v>74.426815479447043</v>
      </c>
      <c r="D26" s="8">
        <f t="shared" ca="1" si="3"/>
        <v>76.876390560601081</v>
      </c>
      <c r="E26" s="15">
        <f t="shared" si="4"/>
        <v>0.2</v>
      </c>
      <c r="F26" s="3"/>
    </row>
    <row r="27" spans="1:6" x14ac:dyDescent="0.3">
      <c r="A27" s="6" t="str">
        <f t="shared" si="2"/>
        <v>Plan adherence</v>
      </c>
      <c r="B27" s="8">
        <f t="shared" ca="1" si="3"/>
        <v>46.790234555748548</v>
      </c>
      <c r="C27" s="8">
        <f t="shared" ca="1" si="3"/>
        <v>64.062724128862897</v>
      </c>
      <c r="D27" s="8">
        <f t="shared" ca="1" si="3"/>
        <v>55.59954736741939</v>
      </c>
      <c r="E27" s="15">
        <f t="shared" si="4"/>
        <v>0.15</v>
      </c>
      <c r="F27" s="3"/>
    </row>
    <row r="28" spans="1:6" x14ac:dyDescent="0.3">
      <c r="A28" s="6" t="str">
        <f t="shared" si="2"/>
        <v>Earned MM delivered (type-weighted)</v>
      </c>
      <c r="B28" s="8">
        <f t="shared" si="3"/>
        <v>100</v>
      </c>
      <c r="C28" s="8">
        <f t="shared" si="3"/>
        <v>80.110786449409503</v>
      </c>
      <c r="D28" s="8">
        <f t="shared" si="3"/>
        <v>94.60543796647265</v>
      </c>
      <c r="E28" s="15">
        <f t="shared" si="4"/>
        <v>0.2</v>
      </c>
      <c r="F28" s="3"/>
    </row>
    <row r="29" spans="1:6" x14ac:dyDescent="0.3">
      <c r="A29" s="6" t="str">
        <f t="shared" si="2"/>
        <v>Actual MM contributed</v>
      </c>
      <c r="B29" s="8">
        <f t="shared" si="3"/>
        <v>92.405063291139257</v>
      </c>
      <c r="C29" s="8">
        <f t="shared" si="3"/>
        <v>96.813618507202094</v>
      </c>
      <c r="D29" s="8">
        <f t="shared" si="3"/>
        <v>100</v>
      </c>
      <c r="E29" s="15">
        <f t="shared" si="4"/>
        <v>0.1</v>
      </c>
      <c r="F29" s="3"/>
    </row>
    <row r="30" spans="1:6" x14ac:dyDescent="0.3">
      <c r="A30" s="6" t="str">
        <f t="shared" si="2"/>
        <v>Projects worked</v>
      </c>
      <c r="B30" s="8">
        <f t="shared" si="3"/>
        <v>85.714285714285708</v>
      </c>
      <c r="C30" s="8">
        <f t="shared" si="3"/>
        <v>57.142857142857139</v>
      </c>
      <c r="D30" s="8">
        <f t="shared" si="3"/>
        <v>100</v>
      </c>
      <c r="E30" s="15">
        <f t="shared" si="4"/>
        <v>0.05</v>
      </c>
      <c r="F30" s="3"/>
    </row>
    <row r="31" spans="1:6" x14ac:dyDescent="0.3">
      <c r="A31" s="151" t="s">
        <v>345</v>
      </c>
      <c r="B31" s="192">
        <f ca="1">SUMPRODUCT(B25:B30,$E$25:$E$30)</f>
        <v>84.752291268883866</v>
      </c>
      <c r="C31" s="192">
        <f ca="1">SUMPRODUCT(C25:C30,$E$25:$E$30)</f>
        <v>75.994279733712233</v>
      </c>
      <c r="D31" s="192">
        <f ca="1">SUMPRODUCT(D25:D30,$E$25:$E$30)</f>
        <v>83.862362259461221</v>
      </c>
      <c r="E31" s="193"/>
      <c r="F31" s="3"/>
    </row>
    <row r="32" spans="1:6" x14ac:dyDescent="0.3">
      <c r="A32" s="194" t="s">
        <v>346</v>
      </c>
      <c r="B32" s="195">
        <f ca="1">RANK(B31,$B$31:$D$31)</f>
        <v>1</v>
      </c>
      <c r="C32" s="195">
        <f ca="1">RANK(C31,$B$31:$D$31)</f>
        <v>3</v>
      </c>
      <c r="D32" s="195">
        <f ca="1">RANK(D31,$B$31:$D$31)</f>
        <v>2</v>
      </c>
      <c r="E32" s="196"/>
      <c r="F32" s="3"/>
    </row>
    <row r="33" spans="1:6" x14ac:dyDescent="0.3">
      <c r="A33" s="3"/>
      <c r="B33" s="3"/>
      <c r="C33" s="3"/>
      <c r="D33" s="3"/>
      <c r="E33" s="3"/>
      <c r="F33" s="3"/>
    </row>
    <row r="34" spans="1:6" ht="19.95" customHeight="1" x14ac:dyDescent="0.3">
      <c r="A34" s="318" t="s">
        <v>347</v>
      </c>
      <c r="B34" s="318"/>
      <c r="C34" s="318"/>
      <c r="D34" s="318"/>
      <c r="E34" s="318"/>
      <c r="F34" s="318"/>
    </row>
    <row r="35" spans="1:6" x14ac:dyDescent="0.3">
      <c r="A35" s="72" t="s">
        <v>116</v>
      </c>
      <c r="B35" s="18" t="s">
        <v>9</v>
      </c>
      <c r="C35" s="18" t="s">
        <v>348</v>
      </c>
      <c r="D35" s="18" t="s">
        <v>349</v>
      </c>
      <c r="E35" s="18" t="s">
        <v>350</v>
      </c>
      <c r="F35" s="199" t="s">
        <v>351</v>
      </c>
    </row>
    <row r="36" spans="1:6" x14ac:dyDescent="0.3">
      <c r="A36" s="197">
        <v>1</v>
      </c>
      <c r="B36" s="193" t="str" cm="1">
        <f t="array" aca="1" ref="B36" ca="1">INDEX($B$24:$D$24,$F36)</f>
        <v>Ahmed</v>
      </c>
      <c r="C36" s="192" cm="1">
        <f t="array" aca="1" ref="C36" ca="1">INDEX($B$31:$D$31,$F36)</f>
        <v>84.752291268883866</v>
      </c>
      <c r="D36" s="151" t="str">
        <f ca="1">INDEX($A$25:$A$30,MATCH(MAX(INDEX($B$25:$D$30,0,$F36)),INDEX($B$25:$D$30,0,$F36),0))</f>
        <v>Efficiency (CPI, type-weighted)</v>
      </c>
      <c r="E36" s="151" t="str">
        <f ca="1">INDEX($A$25:$A$30,MATCH(MIN(INDEX($B$25:$D$30,0,$F36)),INDEX($B$25:$D$30,0,$F36),0))</f>
        <v>Plan adherence</v>
      </c>
      <c r="F36" s="199">
        <f ca="1">MATCH(1,$B$32:$D$32,0)</f>
        <v>1</v>
      </c>
    </row>
    <row r="37" spans="1:6" x14ac:dyDescent="0.3">
      <c r="A37" s="17">
        <v>2</v>
      </c>
      <c r="B37" s="74" t="str" cm="1">
        <f t="array" aca="1" ref="B37" ca="1">INDEX($B$24:$D$24,$F37)</f>
        <v>Kirolos</v>
      </c>
      <c r="C37" s="8" cm="1">
        <f t="array" aca="1" ref="C37" ca="1">INDEX($B$31:$D$31,$F37)</f>
        <v>83.862362259461221</v>
      </c>
      <c r="D37" s="5" t="str">
        <f ca="1">INDEX($A$25:$A$30,MATCH(MAX(INDEX($B$25:$D$30,0,$F37)),INDEX($B$25:$D$30,0,$F37),0))</f>
        <v>Actual MM contributed</v>
      </c>
      <c r="E37" s="5" t="str">
        <f ca="1">INDEX($A$25:$A$30,MATCH(MIN(INDEX($B$25:$D$30,0,$F37)),INDEX($B$25:$D$30,0,$F37),0))</f>
        <v>Plan adherence</v>
      </c>
      <c r="F37" s="199">
        <f ca="1">MATCH(2,$B$32:$D$32,0)</f>
        <v>3</v>
      </c>
    </row>
    <row r="38" spans="1:6" x14ac:dyDescent="0.3">
      <c r="A38" s="17">
        <v>3</v>
      </c>
      <c r="B38" s="74" t="str" cm="1">
        <f t="array" aca="1" ref="B38" ca="1">INDEX($B$24:$D$24,$F38)</f>
        <v>Osama</v>
      </c>
      <c r="C38" s="8" cm="1">
        <f t="array" aca="1" ref="C38" ca="1">INDEX($B$31:$D$31,$F38)</f>
        <v>75.994279733712233</v>
      </c>
      <c r="D38" s="5" t="str">
        <f ca="1">INDEX($A$25:$A$30,MATCH(MAX(INDEX($B$25:$D$30,0,$F38)),INDEX($B$25:$D$30,0,$F38),0))</f>
        <v>Actual MM contributed</v>
      </c>
      <c r="E38" s="5" t="str">
        <f ca="1">INDEX($A$25:$A$30,MATCH(MIN(INDEX($B$25:$D$30,0,$F38)),INDEX($B$25:$D$30,0,$F38),0))</f>
        <v>Projects worked</v>
      </c>
      <c r="F38" s="199">
        <f ca="1">MATCH(3,$B$32:$D$32,0)</f>
        <v>2</v>
      </c>
    </row>
    <row r="39" spans="1:6" x14ac:dyDescent="0.3">
      <c r="A39" s="3"/>
      <c r="B39" s="3"/>
      <c r="C39" s="3"/>
      <c r="D39" s="3"/>
      <c r="E39" s="3"/>
      <c r="F39" s="3"/>
    </row>
    <row r="40" spans="1:6" x14ac:dyDescent="0.3">
      <c r="A40" s="3"/>
      <c r="B40" s="3"/>
      <c r="C40" s="3"/>
      <c r="D40" s="3"/>
      <c r="E40" s="3"/>
      <c r="F40" s="3"/>
    </row>
    <row r="41" spans="1:6" x14ac:dyDescent="0.3">
      <c r="A41" s="3"/>
      <c r="B41" s="3"/>
      <c r="C41" s="3"/>
      <c r="D41" s="3"/>
      <c r="E41" s="3"/>
      <c r="F41" s="3"/>
    </row>
    <row r="42" spans="1:6" x14ac:dyDescent="0.3">
      <c r="A42" s="3"/>
      <c r="B42" s="3"/>
      <c r="C42" s="3"/>
      <c r="D42" s="3"/>
      <c r="E42" s="3"/>
      <c r="F42" s="3"/>
    </row>
    <row r="43" spans="1:6" x14ac:dyDescent="0.3">
      <c r="A43" s="3"/>
      <c r="B43" s="3"/>
      <c r="C43" s="3"/>
      <c r="D43" s="3"/>
      <c r="E43" s="3"/>
      <c r="F43" s="3"/>
    </row>
    <row r="44" spans="1:6" x14ac:dyDescent="0.3">
      <c r="A44" s="3"/>
      <c r="B44" s="3"/>
      <c r="C44" s="3"/>
      <c r="D44" s="3"/>
      <c r="E44" s="3"/>
      <c r="F44" s="3"/>
    </row>
    <row r="45" spans="1:6" x14ac:dyDescent="0.3">
      <c r="A45" s="3"/>
      <c r="B45" s="3"/>
      <c r="C45" s="3"/>
      <c r="D45" s="3"/>
      <c r="E45" s="3"/>
      <c r="F45" s="3"/>
    </row>
    <row r="46" spans="1:6" x14ac:dyDescent="0.3">
      <c r="A46" s="3"/>
      <c r="B46" s="3"/>
      <c r="C46" s="3"/>
      <c r="D46" s="3"/>
      <c r="E46" s="3"/>
      <c r="F46" s="3"/>
    </row>
    <row r="47" spans="1:6" x14ac:dyDescent="0.3">
      <c r="A47" s="3"/>
      <c r="B47" s="3"/>
      <c r="C47" s="3"/>
      <c r="D47" s="3"/>
      <c r="E47" s="3"/>
      <c r="F47" s="3"/>
    </row>
    <row r="48" spans="1:6" x14ac:dyDescent="0.3">
      <c r="A48" s="3"/>
      <c r="B48" s="3"/>
      <c r="C48" s="3"/>
      <c r="D48" s="3"/>
      <c r="E48" s="3"/>
      <c r="F48" s="3"/>
    </row>
    <row r="49" spans="1:6" x14ac:dyDescent="0.3">
      <c r="A49" s="3"/>
      <c r="B49" s="3"/>
      <c r="C49" s="3"/>
      <c r="D49" s="3"/>
      <c r="E49" s="3"/>
      <c r="F49" s="3"/>
    </row>
    <row r="50" spans="1:6" x14ac:dyDescent="0.3">
      <c r="A50" s="3"/>
      <c r="B50" s="3"/>
      <c r="C50" s="3"/>
      <c r="D50" s="3"/>
      <c r="E50" s="3"/>
      <c r="F50" s="3"/>
    </row>
    <row r="51" spans="1:6" x14ac:dyDescent="0.3">
      <c r="A51" s="3"/>
      <c r="B51" s="3"/>
      <c r="C51" s="3"/>
      <c r="D51" s="3"/>
      <c r="E51" s="3"/>
      <c r="F51" s="3"/>
    </row>
    <row r="52" spans="1:6" x14ac:dyDescent="0.3">
      <c r="A52" s="3"/>
      <c r="B52" s="3"/>
      <c r="C52" s="3"/>
      <c r="D52" s="3"/>
      <c r="E52" s="3"/>
      <c r="F52" s="3"/>
    </row>
    <row r="53" spans="1:6" x14ac:dyDescent="0.3">
      <c r="A53" s="3"/>
      <c r="B53" s="3"/>
      <c r="C53" s="3"/>
      <c r="D53" s="3"/>
      <c r="E53" s="3"/>
      <c r="F53" s="3"/>
    </row>
    <row r="54" spans="1:6" x14ac:dyDescent="0.3">
      <c r="A54" s="3"/>
      <c r="B54" s="3"/>
      <c r="C54" s="3"/>
      <c r="D54" s="3"/>
      <c r="E54" s="3"/>
      <c r="F54" s="3"/>
    </row>
    <row r="55" spans="1:6" x14ac:dyDescent="0.3">
      <c r="A55" s="3"/>
      <c r="B55" s="3"/>
      <c r="C55" s="3"/>
      <c r="D55" s="3"/>
      <c r="E55" s="3"/>
      <c r="F55" s="3"/>
    </row>
    <row r="56" spans="1:6" x14ac:dyDescent="0.3">
      <c r="A56" s="3"/>
      <c r="B56" s="3"/>
      <c r="C56" s="3"/>
      <c r="D56" s="3"/>
      <c r="E56" s="3"/>
      <c r="F56" s="3"/>
    </row>
    <row r="57" spans="1:6" x14ac:dyDescent="0.3">
      <c r="A57" s="3"/>
      <c r="B57" s="3"/>
      <c r="C57" s="3"/>
      <c r="D57" s="3"/>
      <c r="E57" s="3"/>
      <c r="F57" s="3"/>
    </row>
    <row r="58" spans="1:6" x14ac:dyDescent="0.3">
      <c r="A58" s="3"/>
      <c r="B58" s="3"/>
      <c r="C58" s="3"/>
      <c r="D58" s="3"/>
      <c r="E58" s="3"/>
      <c r="F58" s="3"/>
    </row>
    <row r="59" spans="1:6" x14ac:dyDescent="0.3">
      <c r="A59" s="3"/>
      <c r="B59" s="3"/>
      <c r="C59" s="3"/>
      <c r="D59" s="3"/>
      <c r="E59" s="3"/>
      <c r="F59" s="3"/>
    </row>
    <row r="60" spans="1:6" x14ac:dyDescent="0.3">
      <c r="A60" s="3"/>
      <c r="B60" s="3"/>
      <c r="C60" s="3"/>
      <c r="D60" s="3"/>
      <c r="E60" s="3"/>
      <c r="F60" s="3"/>
    </row>
    <row r="61" spans="1:6" x14ac:dyDescent="0.3">
      <c r="A61" s="97" t="s">
        <v>292</v>
      </c>
      <c r="B61" s="97"/>
      <c r="C61" s="3"/>
      <c r="D61" s="3"/>
      <c r="E61" s="3"/>
      <c r="F61" s="3"/>
    </row>
    <row r="62" spans="1:6" x14ac:dyDescent="0.3">
      <c r="A62" s="97" t="s">
        <v>9</v>
      </c>
      <c r="B62" s="97" t="s">
        <v>348</v>
      </c>
      <c r="C62" s="3"/>
      <c r="D62" s="3"/>
      <c r="E62" s="3"/>
      <c r="F62" s="3"/>
    </row>
    <row r="63" spans="1:6" x14ac:dyDescent="0.3">
      <c r="A63" s="97" t="str">
        <f>$B$24</f>
        <v>Ahmed</v>
      </c>
      <c r="B63" s="185">
        <f ca="1">$B$31</f>
        <v>84.752291268883866</v>
      </c>
      <c r="C63" s="3"/>
      <c r="D63" s="3"/>
      <c r="E63" s="3"/>
      <c r="F63" s="3"/>
    </row>
    <row r="64" spans="1:6" x14ac:dyDescent="0.3">
      <c r="A64" s="97" t="str">
        <f>$C$24</f>
        <v>Osama</v>
      </c>
      <c r="B64" s="185">
        <f ca="1">$C$31</f>
        <v>75.994279733712233</v>
      </c>
      <c r="C64" s="3"/>
      <c r="D64" s="3"/>
      <c r="E64" s="3"/>
      <c r="F64" s="3"/>
    </row>
    <row r="65" spans="1:6" x14ac:dyDescent="0.3">
      <c r="A65" s="97" t="str">
        <f>$D$24</f>
        <v>Kirolos</v>
      </c>
      <c r="B65" s="185">
        <f ca="1">$D$31</f>
        <v>83.862362259461221</v>
      </c>
      <c r="C65" s="3"/>
      <c r="D65" s="3"/>
      <c r="E65" s="3"/>
      <c r="F65" s="3"/>
    </row>
    <row r="66" spans="1:6" x14ac:dyDescent="0.3">
      <c r="A66" s="3"/>
      <c r="B66" s="3"/>
      <c r="C66" s="3"/>
      <c r="D66" s="3"/>
      <c r="E66" s="3"/>
      <c r="F66" s="3"/>
    </row>
    <row r="67" spans="1:6" x14ac:dyDescent="0.3">
      <c r="A67" s="3"/>
      <c r="B67" s="3"/>
      <c r="C67" s="3"/>
      <c r="D67" s="3"/>
      <c r="E67" s="3"/>
      <c r="F67" s="3"/>
    </row>
    <row r="68" spans="1:6" x14ac:dyDescent="0.3">
      <c r="A68" s="3"/>
      <c r="B68" s="3"/>
      <c r="C68" s="3"/>
      <c r="D68" s="3"/>
      <c r="E68" s="3"/>
      <c r="F68" s="3"/>
    </row>
    <row r="69" spans="1:6" x14ac:dyDescent="0.3">
      <c r="A69" s="3"/>
      <c r="B69" s="3"/>
      <c r="C69" s="3"/>
      <c r="D69" s="3"/>
      <c r="E69" s="3"/>
      <c r="F69" s="3"/>
    </row>
    <row r="70" spans="1:6" x14ac:dyDescent="0.3">
      <c r="A70" s="3"/>
      <c r="B70" s="3"/>
      <c r="C70" s="3"/>
      <c r="D70" s="3"/>
      <c r="E70" s="3"/>
      <c r="F70" s="3"/>
    </row>
    <row r="71" spans="1:6" x14ac:dyDescent="0.3">
      <c r="A71" s="3"/>
      <c r="B71" s="3"/>
      <c r="C71" s="3"/>
      <c r="D71" s="3"/>
      <c r="E71" s="3"/>
      <c r="F71" s="3"/>
    </row>
    <row r="72" spans="1:6" x14ac:dyDescent="0.3">
      <c r="A72" s="3"/>
      <c r="B72" s="3"/>
      <c r="C72" s="3"/>
      <c r="D72" s="3"/>
      <c r="E72" s="3"/>
      <c r="F72" s="3"/>
    </row>
    <row r="73" spans="1:6" x14ac:dyDescent="0.3">
      <c r="A73" s="3"/>
      <c r="B73" s="3"/>
      <c r="C73" s="3"/>
      <c r="D73" s="3"/>
      <c r="E73" s="3"/>
      <c r="F73" s="3"/>
    </row>
    <row r="74" spans="1:6" x14ac:dyDescent="0.3">
      <c r="A74" s="3"/>
      <c r="B74" s="3"/>
      <c r="C74" s="3"/>
      <c r="D74" s="3"/>
      <c r="E74" s="3"/>
      <c r="F74" s="3"/>
    </row>
    <row r="75" spans="1:6" x14ac:dyDescent="0.3">
      <c r="A75" s="3"/>
      <c r="B75" s="3"/>
      <c r="C75" s="3"/>
      <c r="D75" s="3"/>
      <c r="E75" s="3"/>
      <c r="F75" s="3"/>
    </row>
    <row r="76" spans="1:6" x14ac:dyDescent="0.3">
      <c r="A76" s="3"/>
      <c r="B76" s="3"/>
      <c r="C76" s="3"/>
      <c r="D76" s="3"/>
      <c r="E76" s="3"/>
      <c r="F76" s="3"/>
    </row>
    <row r="77" spans="1:6" x14ac:dyDescent="0.3">
      <c r="A77" s="3"/>
      <c r="B77" s="3"/>
      <c r="C77" s="3"/>
      <c r="D77" s="3"/>
      <c r="E77" s="3"/>
      <c r="F77" s="3"/>
    </row>
    <row r="78" spans="1:6" x14ac:dyDescent="0.3">
      <c r="A78" s="3"/>
      <c r="B78" s="3"/>
      <c r="C78" s="3"/>
      <c r="D78" s="3"/>
      <c r="E78" s="3"/>
      <c r="F78" s="3"/>
    </row>
    <row r="79" spans="1:6" x14ac:dyDescent="0.3">
      <c r="A79" s="3"/>
      <c r="B79" s="3"/>
      <c r="C79" s="3"/>
      <c r="D79" s="3"/>
      <c r="E79" s="3"/>
      <c r="F79" s="3"/>
    </row>
    <row r="80" spans="1:6" x14ac:dyDescent="0.3">
      <c r="A80" s="3"/>
      <c r="B80" s="3"/>
      <c r="C80" s="3"/>
      <c r="D80" s="3"/>
      <c r="E80" s="3"/>
      <c r="F80" s="3"/>
    </row>
  </sheetData>
  <mergeCells count="6">
    <mergeCell ref="A34:F34"/>
    <mergeCell ref="A1:F1"/>
    <mergeCell ref="A2:F2"/>
    <mergeCell ref="A4:F4"/>
    <mergeCell ref="A14:F14"/>
    <mergeCell ref="A23:F23"/>
  </mergeCells>
  <conditionalFormatting sqref="B25:D30">
    <cfRule type="colorScale" priority="1">
      <colorScale>
        <cfvo type="num" val="0"/>
        <cfvo type="num" val="60"/>
        <cfvo type="num" val="100"/>
        <color rgb="FFF8696B"/>
        <color rgb="FFFFEB84"/>
        <color rgb="FF63BE7B"/>
      </colorScale>
    </cfRule>
  </conditionalFormatting>
  <dataValidations count="1">
    <dataValidation type="list" allowBlank="1" showInputMessage="1" showErrorMessage="1" sqref="C6:C11" xr:uid="{761D2A48-0CD0-4A2E-9A24-1F6DC1C8CF49}">
      <formula1>"Higher is better,Target band"</formula1>
    </dataValidation>
  </dataValidations>
  <printOptions horizontalCentered="1"/>
  <pageMargins left="0.7" right="0.7" top="0.75" bottom="0.75" header="0.3" footer="0.3"/>
  <pageSetup paperSize="9" scale="70" fitToHeight="2" orientation="landscape" r:id="rId1"/>
  <rowBreaks count="1" manualBreakCount="1">
    <brk id="38" max="5"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EA00B-5332-41A7-93D7-94C11C17F081}">
  <sheetPr>
    <tabColor rgb="FF1F6FC5"/>
  </sheetPr>
  <dimension ref="A1:R82"/>
  <sheetViews>
    <sheetView workbookViewId="0">
      <pane ySplit="17" topLeftCell="A21" activePane="bottomLeft" state="frozen"/>
      <selection pane="bottomLeft" activeCell="A16" sqref="A16:P16"/>
    </sheetView>
  </sheetViews>
  <sheetFormatPr defaultRowHeight="14.4" x14ac:dyDescent="0.3"/>
  <cols>
    <col min="1" max="1" width="7.44140625" customWidth="1"/>
    <col min="2" max="2" width="20.33203125" customWidth="1"/>
    <col min="3" max="3" width="38.88671875" customWidth="1"/>
    <col min="4" max="4" width="13" customWidth="1"/>
    <col min="5" max="5" width="14.77734375" customWidth="1"/>
    <col min="6" max="6" width="13.88671875" customWidth="1"/>
    <col min="7" max="8" width="14.77734375" customWidth="1"/>
    <col min="9" max="9" width="15.77734375" customWidth="1"/>
    <col min="10" max="12" width="14.77734375" customWidth="1"/>
    <col min="13" max="15" width="13" customWidth="1"/>
    <col min="16" max="16" width="20.33203125" customWidth="1"/>
    <col min="17" max="17" width="3.6640625" customWidth="1"/>
    <col min="18" max="18" width="10.21875" customWidth="1"/>
  </cols>
  <sheetData>
    <row r="1" spans="1:16" ht="18" x14ac:dyDescent="0.35">
      <c r="A1" s="347" t="s">
        <v>600</v>
      </c>
      <c r="B1" s="347"/>
      <c r="C1" s="347"/>
      <c r="D1" s="347"/>
      <c r="E1" s="347"/>
      <c r="F1" s="347"/>
      <c r="G1" s="347"/>
      <c r="H1" s="347"/>
      <c r="I1" s="347"/>
      <c r="J1" s="347"/>
      <c r="K1" s="347"/>
      <c r="L1" s="347"/>
      <c r="M1" s="347"/>
      <c r="N1" s="347"/>
      <c r="O1" s="347"/>
      <c r="P1" s="347"/>
    </row>
    <row r="2" spans="1:16" x14ac:dyDescent="0.3">
      <c r="A2" s="361" t="s">
        <v>601</v>
      </c>
      <c r="B2" s="361"/>
      <c r="C2" s="361"/>
      <c r="D2" s="361"/>
      <c r="E2" s="361"/>
      <c r="F2" s="361"/>
      <c r="G2" s="361"/>
      <c r="H2" s="361"/>
      <c r="I2" s="361"/>
      <c r="J2" s="361"/>
      <c r="K2" s="361"/>
      <c r="L2" s="361"/>
      <c r="M2" s="361"/>
      <c r="N2" s="361"/>
      <c r="O2" s="361"/>
      <c r="P2" s="361"/>
    </row>
    <row r="4" spans="1:16" x14ac:dyDescent="0.3">
      <c r="A4" s="346" t="s">
        <v>602</v>
      </c>
      <c r="B4" s="346"/>
      <c r="D4" s="346" t="s">
        <v>603</v>
      </c>
      <c r="E4" s="346"/>
      <c r="F4" s="346"/>
      <c r="G4" s="346"/>
      <c r="H4" s="346"/>
      <c r="I4" s="346"/>
      <c r="J4" s="346"/>
    </row>
    <row r="5" spans="1:16" ht="30" customHeight="1" x14ac:dyDescent="0.3">
      <c r="A5" s="320" t="s">
        <v>620</v>
      </c>
      <c r="B5" s="320"/>
      <c r="C5" s="356">
        <f ca="1">'Profit Plan'!$B$11</f>
        <v>11.899999999999999</v>
      </c>
      <c r="D5" s="360" t="s">
        <v>9</v>
      </c>
      <c r="E5" s="360" t="s">
        <v>604</v>
      </c>
      <c r="F5" s="360" t="s">
        <v>605</v>
      </c>
      <c r="G5" s="360" t="s">
        <v>606</v>
      </c>
      <c r="H5" s="360" t="s">
        <v>607</v>
      </c>
      <c r="I5" s="360" t="s">
        <v>608</v>
      </c>
      <c r="J5" s="360" t="s">
        <v>12</v>
      </c>
    </row>
    <row r="6" spans="1:16" x14ac:dyDescent="0.3">
      <c r="A6" s="320" t="s">
        <v>621</v>
      </c>
      <c r="B6" s="320"/>
      <c r="C6" s="357">
        <f ca="1">'Profit Plan'!$B$12</f>
        <v>2201.4999999999995</v>
      </c>
      <c r="D6" t="s">
        <v>24</v>
      </c>
      <c r="E6" s="340">
        <f ca="1">'Profit Plan'!$I$16</f>
        <v>775.03750000000002</v>
      </c>
      <c r="F6" s="341">
        <f ca="1">$E6/'Profit Plan'!$B$5</f>
        <v>4.1893918918918924</v>
      </c>
      <c r="G6" s="341">
        <f ca="1">IF($E$10=0,0,$E6/$E$10*$C$10)</f>
        <v>9.4679178529554715</v>
      </c>
      <c r="H6" s="340">
        <f ca="1">'Profit Plan'!$B$12/3</f>
        <v>733.83333333333314</v>
      </c>
      <c r="I6" s="342">
        <f ca="1">IF($H6="","",$E6/$H6)</f>
        <v>1.0561492164433344</v>
      </c>
      <c r="J6" t="str">
        <f ca="1">IF($H6="","-",IF($I6&gt;1,"OVER by "&amp;TEXT($E6-$H6,"#,##0")&amp;" hrs","within capacity"))</f>
        <v>OVER by 41 hrs</v>
      </c>
    </row>
    <row r="7" spans="1:16" x14ac:dyDescent="0.3">
      <c r="A7" s="320" t="s">
        <v>566</v>
      </c>
      <c r="B7" s="320"/>
      <c r="C7" s="357">
        <f ca="1">'Profit Plan'!$I$5</f>
        <v>27</v>
      </c>
      <c r="D7" t="s">
        <v>10</v>
      </c>
      <c r="E7" s="340">
        <f ca="1">'Profit Plan'!$I$17</f>
        <v>729.6</v>
      </c>
      <c r="F7" s="341">
        <f ca="1">$E7/'Profit Plan'!$B$5</f>
        <v>3.9437837837837839</v>
      </c>
      <c r="G7" s="341">
        <f ca="1">IF($E$10=0,0,$E7/$E$10*$C$10)</f>
        <v>8.9128498498670226</v>
      </c>
      <c r="H7" s="340">
        <f ca="1">'Profit Plan'!$B$12/3</f>
        <v>733.83333333333314</v>
      </c>
      <c r="I7" s="342">
        <f t="shared" ref="I7:I9" ca="1" si="0">IF($H7="","",$E7/$H7)</f>
        <v>0.99423120599591219</v>
      </c>
      <c r="J7" t="str">
        <f t="shared" ref="J7:J9" ca="1" si="1">IF($H7="","-",IF($I7&gt;1,"OVER by "&amp;TEXT($E7-$H7,"#,##0")&amp;" hrs","within capacity"))</f>
        <v>within capacity</v>
      </c>
    </row>
    <row r="8" spans="1:16" x14ac:dyDescent="0.3">
      <c r="A8" s="320" t="s">
        <v>567</v>
      </c>
      <c r="B8" s="320"/>
      <c r="C8" s="356">
        <f ca="1">'Profit Plan'!$I$6</f>
        <v>11.813851351351353</v>
      </c>
      <c r="D8" t="s">
        <v>11</v>
      </c>
      <c r="E8" s="340">
        <f ca="1">'Profit Plan'!$I$18</f>
        <v>680.92499999999995</v>
      </c>
      <c r="F8" s="341">
        <f ca="1">$E8/'Profit Plan'!$B$5</f>
        <v>3.6806756756756753</v>
      </c>
      <c r="G8" s="341">
        <f ca="1">IF($E$10=0,0,$E8/$E$10*$C$10)</f>
        <v>8.3182322971774969</v>
      </c>
      <c r="H8" s="340">
        <f ca="1">'Profit Plan'!$B$12/3</f>
        <v>733.83333333333314</v>
      </c>
      <c r="I8" s="342">
        <f t="shared" ca="1" si="0"/>
        <v>0.92790143084260746</v>
      </c>
      <c r="J8" t="str">
        <f t="shared" ca="1" si="1"/>
        <v>within capacity</v>
      </c>
    </row>
    <row r="9" spans="1:16" x14ac:dyDescent="0.3">
      <c r="A9" s="320" t="s">
        <v>568</v>
      </c>
      <c r="B9" s="320"/>
      <c r="C9" s="357">
        <f ca="1">'Profit Plan'!$I$7</f>
        <v>2185.5625</v>
      </c>
      <c r="D9" t="s">
        <v>625</v>
      </c>
      <c r="E9" s="340">
        <f ca="1">'Profit Plan'!$I$19</f>
        <v>0</v>
      </c>
      <c r="F9" s="341">
        <f ca="1">$E9/'Profit Plan'!$B$5</f>
        <v>0</v>
      </c>
      <c r="G9" s="341">
        <f ca="1">IF($E$10=0,0,$E9/$E$10*$C$10)</f>
        <v>0</v>
      </c>
      <c r="H9" s="340" t="str">
        <f>""</f>
        <v/>
      </c>
      <c r="I9" s="342" t="str">
        <f t="shared" si="0"/>
        <v/>
      </c>
      <c r="J9" t="str">
        <f t="shared" si="1"/>
        <v>-</v>
      </c>
    </row>
    <row r="10" spans="1:16" x14ac:dyDescent="0.3">
      <c r="A10" s="320" t="s">
        <v>570</v>
      </c>
      <c r="B10" s="320"/>
      <c r="C10" s="356">
        <f ca="1">'Profit Plan'!$I$9</f>
        <v>26.698999999999991</v>
      </c>
      <c r="D10" s="339" t="s">
        <v>4</v>
      </c>
      <c r="E10" s="344">
        <f ca="1">SUM($E$6:$E$9)</f>
        <v>2185.5625</v>
      </c>
      <c r="F10" s="345">
        <f ca="1">SUM($F$6:$F$9)</f>
        <v>11.813851351351353</v>
      </c>
      <c r="G10" s="345">
        <f ca="1">SUM($G$6:$G$9)</f>
        <v>26.698999999999991</v>
      </c>
    </row>
    <row r="11" spans="1:16" x14ac:dyDescent="0.3">
      <c r="A11" s="320" t="s">
        <v>614</v>
      </c>
      <c r="B11" s="320"/>
      <c r="C11" s="358">
        <f ca="1">'Profit Plan'!$I$10</f>
        <v>14.885148648648638</v>
      </c>
    </row>
    <row r="12" spans="1:16" x14ac:dyDescent="0.3">
      <c r="A12" s="320" t="s">
        <v>622</v>
      </c>
      <c r="B12" s="320"/>
      <c r="C12" s="359">
        <f ca="1">'Profit Plan'!$I$11</f>
        <v>11.163177860506728</v>
      </c>
    </row>
    <row r="13" spans="1:16" x14ac:dyDescent="0.3">
      <c r="A13" s="320" t="s">
        <v>623</v>
      </c>
      <c r="B13" s="320"/>
      <c r="C13" s="357">
        <f ca="1">'Profit Plan'!$I$22</f>
        <v>5</v>
      </c>
    </row>
    <row r="14" spans="1:16" x14ac:dyDescent="0.3">
      <c r="A14" s="320" t="s">
        <v>624</v>
      </c>
      <c r="B14" s="320"/>
      <c r="C14" s="356">
        <f ca="1">'Profit Plan'!$I$24</f>
        <v>17.112500000000001</v>
      </c>
    </row>
    <row r="15" spans="1:16" x14ac:dyDescent="0.3">
      <c r="A15" s="365" t="s">
        <v>626</v>
      </c>
      <c r="B15" s="364"/>
      <c r="C15" s="363">
        <f ca="1">'Profit Plan'!$E$12</f>
        <v>2.2599742629185839</v>
      </c>
      <c r="D15" s="367" t="str">
        <f ca="1">'Profit Plan'!$E$13</f>
        <v>NOT CREDIBLE - implied 2.26x is above the 2.00x ceiling; expected hours are too optimistic</v>
      </c>
      <c r="E15" s="320"/>
      <c r="F15" s="320"/>
      <c r="G15" s="320"/>
      <c r="H15" s="320"/>
      <c r="I15" s="320"/>
      <c r="J15" s="320"/>
    </row>
    <row r="16" spans="1:16" x14ac:dyDescent="0.3">
      <c r="A16" s="346" t="s">
        <v>609</v>
      </c>
      <c r="B16" s="346"/>
      <c r="C16" s="346"/>
      <c r="D16" s="346"/>
      <c r="E16" s="346"/>
      <c r="F16" s="346"/>
      <c r="G16" s="346"/>
      <c r="H16" s="346"/>
      <c r="I16" s="346"/>
      <c r="J16" s="346"/>
      <c r="K16" s="346"/>
      <c r="L16" s="346"/>
      <c r="M16" s="346"/>
      <c r="N16" s="346"/>
      <c r="O16" s="346"/>
      <c r="P16" s="346"/>
    </row>
    <row r="17" spans="1:18" ht="28.8" x14ac:dyDescent="0.3">
      <c r="A17" s="348" t="s">
        <v>610</v>
      </c>
      <c r="B17" s="348" t="s">
        <v>5</v>
      </c>
      <c r="C17" s="348" t="s">
        <v>463</v>
      </c>
      <c r="D17" s="348" t="s">
        <v>556</v>
      </c>
      <c r="E17" s="348" t="s">
        <v>611</v>
      </c>
      <c r="F17" s="348" t="s">
        <v>612</v>
      </c>
      <c r="G17" s="348" t="s">
        <v>613</v>
      </c>
      <c r="H17" s="348" t="s">
        <v>614</v>
      </c>
      <c r="I17" s="348" t="s">
        <v>555</v>
      </c>
      <c r="J17" s="348" t="s">
        <v>569</v>
      </c>
      <c r="K17" s="348" t="s">
        <v>615</v>
      </c>
      <c r="L17" s="348" t="s">
        <v>616</v>
      </c>
      <c r="M17" s="348" t="s">
        <v>558</v>
      </c>
      <c r="N17" s="348" t="s">
        <v>559</v>
      </c>
      <c r="O17" s="348" t="s">
        <v>560</v>
      </c>
      <c r="P17" s="348" t="s">
        <v>617</v>
      </c>
      <c r="R17" s="353" t="s">
        <v>618</v>
      </c>
    </row>
    <row r="18" spans="1:18" x14ac:dyDescent="0.3">
      <c r="A18" s="336">
        <f>IF(ROW()-17&gt;COUNT('Profit Plan'!$P$27:$P$226),"",ROW()-17)</f>
        <v>1</v>
      </c>
      <c r="B18" s="335" t="str" cm="1">
        <f t="array" ref="B18">IF($R18="","",INDEX('Profit Plan'!$A$27:$A$226,$R18))</f>
        <v>N25185-0100D</v>
      </c>
      <c r="C18" s="335" t="str" cm="1">
        <f t="array" ref="C18">IF($R18="","",INDEX('Profit Plan'!$B$27:$B$226,$R18))</f>
        <v>Final Design - Apapa Berth 12</v>
      </c>
      <c r="D18" s="349" t="str" cm="1">
        <f t="array" aca="1" ref="D18" ca="1">IF($R18="","",INDEX('Profit Plan'!$R$27:$R$226,$R18))</f>
        <v>DO</v>
      </c>
      <c r="E18" s="350" cm="1">
        <f t="array" ref="E18">IF($R18="","",INDEX('Profit Plan'!$M$27:$M$226,$R18))</f>
        <v>50</v>
      </c>
      <c r="F18" s="351" cm="1">
        <f t="array" ref="F18">IF($R18="","",INDEX('Profit Plan'!$L$27:$L$226,$R18))</f>
        <v>0.27027027027027029</v>
      </c>
      <c r="G18" s="351" cm="1">
        <f t="array" ref="G18">IF($R18="","",INDEX('Profit Plan'!$J$27:$J$226,$R18))</f>
        <v>0.93600000000000005</v>
      </c>
      <c r="H18" s="337">
        <f ca="1">IF($D18="DO",$G18-$F18,"")</f>
        <v>0.66572972972972977</v>
      </c>
      <c r="I18" s="351" cm="1">
        <f t="array" ref="I18">IF($R18="","",INDEX('Profit Plan'!$Q$27:$Q$226,$R18))</f>
        <v>0.27027027027027029</v>
      </c>
      <c r="J18" s="352">
        <f ca="1">IF($R18="","",$I18/'Profit Plan'!$B$11)</f>
        <v>2.2711787417669774E-2</v>
      </c>
      <c r="K18" s="349" t="str">
        <f ca="1">IF($D18&lt;&gt;"DO","-",TEXT(EOMONTH('Profit Plan'!$B$7,INT(($I18-$F18)/'Profit Plan'!$B$8))+1,"mmm yy"))</f>
        <v>Oct 26</v>
      </c>
      <c r="L18" s="349" t="str">
        <f ca="1">IF($D18&lt;&gt;"DO","-",TEXT(EOMONTH('Profit Plan'!$B$7,MAX(0,CEILING($I18/'Profit Plan'!$B$8,1)-1))+1,"mmm yy"))</f>
        <v>Oct 26</v>
      </c>
      <c r="M18" s="350" cm="1">
        <f t="array" aca="1" ref="M18" ca="1">IF($D18&lt;&gt;"DO","",INDEX('Profit Plan'!$T$27:$T$226,$R18))</f>
        <v>12.5</v>
      </c>
      <c r="N18" s="350" cm="1">
        <f t="array" aca="1" ref="N18" ca="1">IF($D18&lt;&gt;"DO","",INDEX('Profit Plan'!$U$27:$U$226,$R18))</f>
        <v>0</v>
      </c>
      <c r="O18" s="350" cm="1">
        <f t="array" aca="1" ref="O18" ca="1">IF($D18&lt;&gt;"DO","",INDEX('Profit Plan'!$V$27:$V$226,$R18))</f>
        <v>37.5</v>
      </c>
      <c r="P18" s="337">
        <f ca="1">IF($R18="","",'Profit Plan'!$E$8+SUM($H$18:$H18))</f>
        <v>-3.05624105841218</v>
      </c>
      <c r="Q18" s="335"/>
      <c r="R18" s="354">
        <f>IF($A18="","",IFERROR(MATCH($A18,'Profit Plan'!$P$27:$P$226,0),""))</f>
        <v>23</v>
      </c>
    </row>
    <row r="19" spans="1:18" x14ac:dyDescent="0.3">
      <c r="A19" s="336">
        <f>IF(ROW()-17&gt;COUNT('Profit Plan'!$P$27:$P$226),"",ROW()-17)</f>
        <v>2</v>
      </c>
      <c r="B19" s="335" t="str" cm="1">
        <f t="array" ref="B19">IF($R19="","",INDEX('Profit Plan'!$A$27:$A$226,$R19))</f>
        <v>N25185-0100D</v>
      </c>
      <c r="C19" s="335" t="str" cm="1">
        <f t="array" ref="C19">IF($R19="","",INDEX('Profit Plan'!$B$27:$B$226,$R19))</f>
        <v>Final Design - Apapa Berth 13</v>
      </c>
      <c r="D19" s="349" t="str" cm="1">
        <f t="array" aca="1" ref="D19" ca="1">IF($R19="","",INDEX('Profit Plan'!$R$27:$R$226,$R19))</f>
        <v>DO</v>
      </c>
      <c r="E19" s="350" cm="1">
        <f t="array" ref="E19">IF($R19="","",INDEX('Profit Plan'!$M$27:$M$226,$R19))</f>
        <v>50</v>
      </c>
      <c r="F19" s="351" cm="1">
        <f t="array" ref="F19">IF($R19="","",INDEX('Profit Plan'!$L$27:$L$226,$R19))</f>
        <v>0.27027027027027029</v>
      </c>
      <c r="G19" s="351" cm="1">
        <f t="array" ref="G19">IF($R19="","",INDEX('Profit Plan'!$J$27:$J$226,$R19))</f>
        <v>0.93600000000000005</v>
      </c>
      <c r="H19" s="337">
        <f t="shared" ref="H19:H80" ca="1" si="2">IF($D19="DO",$G19-$F19,"")</f>
        <v>0.66572972972972977</v>
      </c>
      <c r="I19" s="351" cm="1">
        <f t="array" ref="I19">IF($R19="","",INDEX('Profit Plan'!$Q$27:$Q$226,$R19))</f>
        <v>0.54054054054054057</v>
      </c>
      <c r="J19" s="352">
        <f ca="1">IF($R19="","",$I19/'Profit Plan'!$B$11)</f>
        <v>4.5423574835339549E-2</v>
      </c>
      <c r="K19" s="349" t="str">
        <f ca="1">IF($D19&lt;&gt;"DO","-",TEXT(EOMONTH('Profit Plan'!$B$7,INT(($I19-$F19)/'Profit Plan'!$B$8))+1,"mmm yy"))</f>
        <v>Oct 26</v>
      </c>
      <c r="L19" s="349" t="str">
        <f ca="1">IF($D19&lt;&gt;"DO","-",TEXT(EOMONTH('Profit Plan'!$B$7,MAX(0,CEILING($I19/'Profit Plan'!$B$8,1)-1))+1,"mmm yy"))</f>
        <v>Oct 26</v>
      </c>
      <c r="M19" s="350" cm="1">
        <f t="array" aca="1" ref="M19" ca="1">IF($D19&lt;&gt;"DO","",INDEX('Profit Plan'!$T$27:$T$226,$R19))</f>
        <v>12.5</v>
      </c>
      <c r="N19" s="350" cm="1">
        <f t="array" aca="1" ref="N19" ca="1">IF($D19&lt;&gt;"DO","",INDEX('Profit Plan'!$U$27:$U$226,$R19))</f>
        <v>0</v>
      </c>
      <c r="O19" s="350" cm="1">
        <f t="array" aca="1" ref="O19" ca="1">IF($D19&lt;&gt;"DO","",INDEX('Profit Plan'!$V$27:$V$226,$R19))</f>
        <v>37.5</v>
      </c>
      <c r="P19" s="337">
        <f ca="1">IF($R19="","",'Profit Plan'!$E$8+SUM($H$18:$H19))</f>
        <v>-2.3905113286824502</v>
      </c>
      <c r="Q19" s="335"/>
      <c r="R19" s="354">
        <f>IF($A19="","",IFERROR(MATCH($A19,'Profit Plan'!$P$27:$P$226,0),""))</f>
        <v>24</v>
      </c>
    </row>
    <row r="20" spans="1:18" x14ac:dyDescent="0.3">
      <c r="A20" s="336">
        <f>IF(ROW()-17&gt;COUNT('Profit Plan'!$P$27:$P$226),"",ROW()-17)</f>
        <v>3</v>
      </c>
      <c r="B20" s="335" t="str" cm="1">
        <f t="array" ref="B20">IF($R20="","",INDEX('Profit Plan'!$A$27:$A$226,$R20))</f>
        <v>N25185-0100D</v>
      </c>
      <c r="C20" s="335" t="str" cm="1">
        <f t="array" ref="C20">IF($R20="","",INDEX('Profit Plan'!$B$27:$B$226,$R20))</f>
        <v>Final Design - Apapa Berth 14</v>
      </c>
      <c r="D20" s="349" t="str" cm="1">
        <f t="array" aca="1" ref="D20" ca="1">IF($R20="","",INDEX('Profit Plan'!$R$27:$R$226,$R20))</f>
        <v>DO</v>
      </c>
      <c r="E20" s="350" cm="1">
        <f t="array" ref="E20">IF($R20="","",INDEX('Profit Plan'!$M$27:$M$226,$R20))</f>
        <v>50</v>
      </c>
      <c r="F20" s="351" cm="1">
        <f t="array" ref="F20">IF($R20="","",INDEX('Profit Plan'!$L$27:$L$226,$R20))</f>
        <v>0.27027027027027029</v>
      </c>
      <c r="G20" s="351" cm="1">
        <f t="array" ref="G20">IF($R20="","",INDEX('Profit Plan'!$J$27:$J$226,$R20))</f>
        <v>0.93600000000000005</v>
      </c>
      <c r="H20" s="337">
        <f t="shared" ca="1" si="2"/>
        <v>0.66572972972972977</v>
      </c>
      <c r="I20" s="351" cm="1">
        <f t="array" ref="I20">IF($R20="","",INDEX('Profit Plan'!$Q$27:$Q$226,$R20))</f>
        <v>0.81081081081081086</v>
      </c>
      <c r="J20" s="352">
        <f ca="1">IF($R20="","",$I20/'Profit Plan'!$B$11)</f>
        <v>6.8135362253009327E-2</v>
      </c>
      <c r="K20" s="349" t="str">
        <f ca="1">IF($D20&lt;&gt;"DO","-",TEXT(EOMONTH('Profit Plan'!$B$7,INT(($I20-$F20)/'Profit Plan'!$B$8))+1,"mmm yy"))</f>
        <v>Oct 26</v>
      </c>
      <c r="L20" s="349" t="str">
        <f ca="1">IF($D20&lt;&gt;"DO","-",TEXT(EOMONTH('Profit Plan'!$B$7,MAX(0,CEILING($I20/'Profit Plan'!$B$8,1)-1))+1,"mmm yy"))</f>
        <v>Oct 26</v>
      </c>
      <c r="M20" s="350" cm="1">
        <f t="array" aca="1" ref="M20" ca="1">IF($D20&lt;&gt;"DO","",INDEX('Profit Plan'!$T$27:$T$226,$R20))</f>
        <v>12.5</v>
      </c>
      <c r="N20" s="350" cm="1">
        <f t="array" aca="1" ref="N20" ca="1">IF($D20&lt;&gt;"DO","",INDEX('Profit Plan'!$U$27:$U$226,$R20))</f>
        <v>0</v>
      </c>
      <c r="O20" s="350" cm="1">
        <f t="array" aca="1" ref="O20" ca="1">IF($D20&lt;&gt;"DO","",INDEX('Profit Plan'!$V$27:$V$226,$R20))</f>
        <v>37.5</v>
      </c>
      <c r="P20" s="337">
        <f ca="1">IF($R20="","",'Profit Plan'!$E$8+SUM($H$18:$H20))</f>
        <v>-1.7247815989527204</v>
      </c>
      <c r="Q20" s="335"/>
      <c r="R20" s="354">
        <f>IF($A20="","",IFERROR(MATCH($A20,'Profit Plan'!$P$27:$P$226,0),""))</f>
        <v>25</v>
      </c>
    </row>
    <row r="21" spans="1:18" x14ac:dyDescent="0.3">
      <c r="A21" s="336">
        <f>IF(ROW()-17&gt;COUNT('Profit Plan'!$P$27:$P$226),"",ROW()-17)</f>
        <v>4</v>
      </c>
      <c r="B21" s="335" t="str" cm="1">
        <f t="array" ref="B21">IF($R21="","",INDEX('Profit Plan'!$A$27:$A$226,$R21))</f>
        <v>D26058-0100D</v>
      </c>
      <c r="C21" s="335" t="str" cm="1">
        <f t="array" ref="C21">IF($R21="","",INDEX('Profit Plan'!$B$27:$B$226,$R21))</f>
        <v>Concept Design</v>
      </c>
      <c r="D21" s="349" t="str" cm="1">
        <f t="array" aca="1" ref="D21" ca="1">IF($R21="","",INDEX('Profit Plan'!$R$27:$R$226,$R21))</f>
        <v>DO</v>
      </c>
      <c r="E21" s="350" cm="1">
        <f t="array" ref="E21">IF($R21="","",INDEX('Profit Plan'!$M$27:$M$226,$R21))</f>
        <v>50</v>
      </c>
      <c r="F21" s="351" cm="1">
        <f t="array" ref="F21">IF($R21="","",INDEX('Profit Plan'!$L$27:$L$226,$R21))</f>
        <v>0.27027027027027029</v>
      </c>
      <c r="G21" s="351" cm="1">
        <f t="array" ref="G21">IF($R21="","",INDEX('Profit Plan'!$J$27:$J$226,$R21))</f>
        <v>0.75</v>
      </c>
      <c r="H21" s="337">
        <f t="shared" ca="1" si="2"/>
        <v>0.47972972972972971</v>
      </c>
      <c r="I21" s="351" cm="1">
        <f t="array" ref="I21">IF($R21="","",INDEX('Profit Plan'!$Q$27:$Q$226,$R21))</f>
        <v>1.0810810810810811</v>
      </c>
      <c r="J21" s="352">
        <f ca="1">IF($R21="","",$I21/'Profit Plan'!$B$11)</f>
        <v>9.0847149670679098E-2</v>
      </c>
      <c r="K21" s="349" t="str">
        <f ca="1">IF($D21&lt;&gt;"DO","-",TEXT(EOMONTH('Profit Plan'!$B$7,INT(($I21-$F21)/'Profit Plan'!$B$8))+1,"mmm yy"))</f>
        <v>Oct 26</v>
      </c>
      <c r="L21" s="349" t="str">
        <f ca="1">IF($D21&lt;&gt;"DO","-",TEXT(EOMONTH('Profit Plan'!$B$7,MAX(0,CEILING($I21/'Profit Plan'!$B$8,1)-1))+1,"mmm yy"))</f>
        <v>Oct 26</v>
      </c>
      <c r="M21" s="350" cm="1">
        <f t="array" aca="1" ref="M21" ca="1">IF($D21&lt;&gt;"DO","",INDEX('Profit Plan'!$T$27:$T$226,$R21))</f>
        <v>30</v>
      </c>
      <c r="N21" s="350" cm="1">
        <f t="array" aca="1" ref="N21" ca="1">IF($D21&lt;&gt;"DO","",INDEX('Profit Plan'!$U$27:$U$226,$R21))</f>
        <v>20</v>
      </c>
      <c r="O21" s="350" cm="1">
        <f t="array" aca="1" ref="O21" ca="1">IF($D21&lt;&gt;"DO","",INDEX('Profit Plan'!$V$27:$V$226,$R21))</f>
        <v>0</v>
      </c>
      <c r="P21" s="337">
        <f ca="1">IF($R21="","",'Profit Plan'!$E$8+SUM($H$18:$H21))</f>
        <v>-1.2450518692229906</v>
      </c>
      <c r="Q21" s="335"/>
      <c r="R21" s="354">
        <f>IF($A21="","",IFERROR(MATCH($A21,'Profit Plan'!$P$27:$P$226,0),""))</f>
        <v>27</v>
      </c>
    </row>
    <row r="22" spans="1:18" x14ac:dyDescent="0.3">
      <c r="A22" s="336">
        <f>IF(ROW()-17&gt;COUNT('Profit Plan'!$P$27:$P$226),"",ROW()-17)</f>
        <v>5</v>
      </c>
      <c r="B22" s="335" t="str" cm="1">
        <f t="array" ref="B22">IF($R22="","",INDEX('Profit Plan'!$A$27:$A$226,$R22))</f>
        <v>N25185-0100D</v>
      </c>
      <c r="C22" s="335" t="str" cm="1">
        <f t="array" ref="C22">IF($R22="","",INDEX('Profit Plan'!$B$27:$B$226,$R22))</f>
        <v>Final Design - Tin Can Berth 5</v>
      </c>
      <c r="D22" s="349" t="str" cm="1">
        <f t="array" aca="1" ref="D22" ca="1">IF($R22="","",INDEX('Profit Plan'!$R$27:$R$226,$R22))</f>
        <v>DO</v>
      </c>
      <c r="E22" s="350" cm="1">
        <f t="array" ref="E22">IF($R22="","",INDEX('Profit Plan'!$M$27:$M$226,$R22))</f>
        <v>12</v>
      </c>
      <c r="F22" s="351" cm="1">
        <f t="array" ref="F22">IF($R22="","",INDEX('Profit Plan'!$L$27:$L$226,$R22))</f>
        <v>6.4864864864864868E-2</v>
      </c>
      <c r="G22" s="351" cm="1">
        <f t="array" ref="G22">IF($R22="","",INDEX('Profit Plan'!$J$27:$J$226,$R22))</f>
        <v>0.15600000000000003</v>
      </c>
      <c r="H22" s="337">
        <f t="shared" ca="1" si="2"/>
        <v>9.1135135135135159E-2</v>
      </c>
      <c r="I22" s="351" cm="1">
        <f t="array" ref="I22">IF($R22="","",INDEX('Profit Plan'!$Q$27:$Q$226,$R22))</f>
        <v>1.145945945945946</v>
      </c>
      <c r="J22" s="352">
        <f ca="1">IF($R22="","",$I22/'Profit Plan'!$B$11)</f>
        <v>9.6297978650919838E-2</v>
      </c>
      <c r="K22" s="349" t="str">
        <f ca="1">IF($D22&lt;&gt;"DO","-",TEXT(EOMONTH('Profit Plan'!$B$7,INT(($I22-$F22)/'Profit Plan'!$B$8))+1,"mmm yy"))</f>
        <v>Oct 26</v>
      </c>
      <c r="L22" s="349" t="str">
        <f ca="1">IF($D22&lt;&gt;"DO","-",TEXT(EOMONTH('Profit Plan'!$B$7,MAX(0,CEILING($I22/'Profit Plan'!$B$8,1)-1))+1,"mmm yy"))</f>
        <v>Oct 26</v>
      </c>
      <c r="M22" s="350" cm="1">
        <f t="array" aca="1" ref="M22" ca="1">IF($D22&lt;&gt;"DO","",INDEX('Profit Plan'!$T$27:$T$226,$R22))</f>
        <v>5.4</v>
      </c>
      <c r="N22" s="350" cm="1">
        <f t="array" aca="1" ref="N22" ca="1">IF($D22&lt;&gt;"DO","",INDEX('Profit Plan'!$U$27:$U$226,$R22))</f>
        <v>5.4</v>
      </c>
      <c r="O22" s="350" cm="1">
        <f t="array" aca="1" ref="O22" ca="1">IF($D22&lt;&gt;"DO","",INDEX('Profit Plan'!$V$27:$V$226,$R22))</f>
        <v>1.2000000000000002</v>
      </c>
      <c r="P22" s="337">
        <f ca="1">IF($R22="","",'Profit Plan'!$E$8+SUM($H$18:$H22))</f>
        <v>-1.1539167340878556</v>
      </c>
      <c r="Q22" s="335"/>
      <c r="R22" s="354">
        <f>IF($A22="","",IFERROR(MATCH($A22,'Profit Plan'!$P$27:$P$226,0),""))</f>
        <v>9</v>
      </c>
    </row>
    <row r="23" spans="1:18" x14ac:dyDescent="0.3">
      <c r="A23" s="336">
        <f>IF(ROW()-17&gt;COUNT('Profit Plan'!$P$27:$P$226),"",ROW()-17)</f>
        <v>6</v>
      </c>
      <c r="B23" s="335" t="str" cm="1">
        <f t="array" ref="B23">IF($R23="","",INDEX('Profit Plan'!$A$27:$A$226,$R23))</f>
        <v>N25185-0100D</v>
      </c>
      <c r="C23" s="335" t="str" cm="1">
        <f t="array" ref="C23">IF($R23="","",INDEX('Profit Plan'!$B$27:$B$226,$R23))</f>
        <v>Final Design - Tin Can Berth 6</v>
      </c>
      <c r="D23" s="349" t="str" cm="1">
        <f t="array" aca="1" ref="D23" ca="1">IF($R23="","",INDEX('Profit Plan'!$R$27:$R$226,$R23))</f>
        <v>DO</v>
      </c>
      <c r="E23" s="350" cm="1">
        <f t="array" ref="E23">IF($R23="","",INDEX('Profit Plan'!$M$27:$M$226,$R23))</f>
        <v>12</v>
      </c>
      <c r="F23" s="351" cm="1">
        <f t="array" ref="F23">IF($R23="","",INDEX('Profit Plan'!$L$27:$L$226,$R23))</f>
        <v>6.4864864864864868E-2</v>
      </c>
      <c r="G23" s="351" cm="1">
        <f t="array" ref="G23">IF($R23="","",INDEX('Profit Plan'!$J$27:$J$226,$R23))</f>
        <v>0.15600000000000003</v>
      </c>
      <c r="H23" s="337">
        <f t="shared" ca="1" si="2"/>
        <v>9.1135135135135159E-2</v>
      </c>
      <c r="I23" s="351" cm="1">
        <f t="array" ref="I23">IF($R23="","",INDEX('Profit Plan'!$Q$27:$Q$226,$R23))</f>
        <v>1.2108108108108109</v>
      </c>
      <c r="J23" s="352">
        <f ca="1">IF($R23="","",$I23/'Profit Plan'!$B$11)</f>
        <v>0.10174880763116059</v>
      </c>
      <c r="K23" s="349" t="str">
        <f ca="1">IF($D23&lt;&gt;"DO","-",TEXT(EOMONTH('Profit Plan'!$B$7,INT(($I23-$F23)/'Profit Plan'!$B$8))+1,"mmm yy"))</f>
        <v>Oct 26</v>
      </c>
      <c r="L23" s="349" t="str">
        <f ca="1">IF($D23&lt;&gt;"DO","-",TEXT(EOMONTH('Profit Plan'!$B$7,MAX(0,CEILING($I23/'Profit Plan'!$B$8,1)-1))+1,"mmm yy"))</f>
        <v>Oct 26</v>
      </c>
      <c r="M23" s="350" cm="1">
        <f t="array" aca="1" ref="M23" ca="1">IF($D23&lt;&gt;"DO","",INDEX('Profit Plan'!$T$27:$T$226,$R23))</f>
        <v>5.4</v>
      </c>
      <c r="N23" s="350" cm="1">
        <f t="array" aca="1" ref="N23" ca="1">IF($D23&lt;&gt;"DO","",INDEX('Profit Plan'!$U$27:$U$226,$R23))</f>
        <v>5.4</v>
      </c>
      <c r="O23" s="350" cm="1">
        <f t="array" aca="1" ref="O23" ca="1">IF($D23&lt;&gt;"DO","",INDEX('Profit Plan'!$V$27:$V$226,$R23))</f>
        <v>1.2000000000000002</v>
      </c>
      <c r="P23" s="337">
        <f ca="1">IF($R23="","",'Profit Plan'!$E$8+SUM($H$18:$H23))</f>
        <v>-1.0627815989527205</v>
      </c>
      <c r="Q23" s="335"/>
      <c r="R23" s="354">
        <f>IF($A23="","",IFERROR(MATCH($A23,'Profit Plan'!$P$27:$P$226,0),""))</f>
        <v>10</v>
      </c>
    </row>
    <row r="24" spans="1:18" x14ac:dyDescent="0.3">
      <c r="A24" s="336">
        <f>IF(ROW()-17&gt;COUNT('Profit Plan'!$P$27:$P$226),"",ROW()-17)</f>
        <v>7</v>
      </c>
      <c r="B24" s="335" t="str" cm="1">
        <f t="array" ref="B24">IF($R24="","",INDEX('Profit Plan'!$A$27:$A$226,$R24))</f>
        <v>N25185-0100D</v>
      </c>
      <c r="C24" s="335" t="str" cm="1">
        <f t="array" ref="C24">IF($R24="","",INDEX('Profit Plan'!$B$27:$B$226,$R24))</f>
        <v>Final Design - Tin Can Berth 7</v>
      </c>
      <c r="D24" s="349" t="str" cm="1">
        <f t="array" aca="1" ref="D24" ca="1">IF($R24="","",INDEX('Profit Plan'!$R$27:$R$226,$R24))</f>
        <v>DO</v>
      </c>
      <c r="E24" s="350" cm="1">
        <f t="array" ref="E24">IF($R24="","",INDEX('Profit Plan'!$M$27:$M$226,$R24))</f>
        <v>12</v>
      </c>
      <c r="F24" s="351" cm="1">
        <f t="array" ref="F24">IF($R24="","",INDEX('Profit Plan'!$L$27:$L$226,$R24))</f>
        <v>6.4864864864864868E-2</v>
      </c>
      <c r="G24" s="351" cm="1">
        <f t="array" ref="G24">IF($R24="","",INDEX('Profit Plan'!$J$27:$J$226,$R24))</f>
        <v>0.15600000000000003</v>
      </c>
      <c r="H24" s="337">
        <f t="shared" ca="1" si="2"/>
        <v>9.1135135135135159E-2</v>
      </c>
      <c r="I24" s="351" cm="1">
        <f t="array" ref="I24">IF($R24="","",INDEX('Profit Plan'!$Q$27:$Q$226,$R24))</f>
        <v>1.2756756756756755</v>
      </c>
      <c r="J24" s="352">
        <f ca="1">IF($R24="","",$I24/'Profit Plan'!$B$11)</f>
        <v>0.10719963661140132</v>
      </c>
      <c r="K24" s="349" t="str">
        <f ca="1">IF($D24&lt;&gt;"DO","-",TEXT(EOMONTH('Profit Plan'!$B$7,INT(($I24-$F24)/'Profit Plan'!$B$8))+1,"mmm yy"))</f>
        <v>Oct 26</v>
      </c>
      <c r="L24" s="349" t="str">
        <f ca="1">IF($D24&lt;&gt;"DO","-",TEXT(EOMONTH('Profit Plan'!$B$7,MAX(0,CEILING($I24/'Profit Plan'!$B$8,1)-1))+1,"mmm yy"))</f>
        <v>Oct 26</v>
      </c>
      <c r="M24" s="350" cm="1">
        <f t="array" aca="1" ref="M24" ca="1">IF($D24&lt;&gt;"DO","",INDEX('Profit Plan'!$T$27:$T$226,$R24))</f>
        <v>5.4</v>
      </c>
      <c r="N24" s="350" cm="1">
        <f t="array" aca="1" ref="N24" ca="1">IF($D24&lt;&gt;"DO","",INDEX('Profit Plan'!$U$27:$U$226,$R24))</f>
        <v>5.4</v>
      </c>
      <c r="O24" s="350" cm="1">
        <f t="array" aca="1" ref="O24" ca="1">IF($D24&lt;&gt;"DO","",INDEX('Profit Plan'!$V$27:$V$226,$R24))</f>
        <v>1.2000000000000002</v>
      </c>
      <c r="P24" s="337">
        <f ca="1">IF($R24="","",'Profit Plan'!$E$8+SUM($H$18:$H24))</f>
        <v>-0.97164646381758546</v>
      </c>
      <c r="Q24" s="335"/>
      <c r="R24" s="354">
        <f>IF($A24="","",IFERROR(MATCH($A24,'Profit Plan'!$P$27:$P$226,0),""))</f>
        <v>11</v>
      </c>
    </row>
    <row r="25" spans="1:18" x14ac:dyDescent="0.3">
      <c r="A25" s="336">
        <f>IF(ROW()-17&gt;COUNT('Profit Plan'!$P$27:$P$226),"",ROW()-17)</f>
        <v>8</v>
      </c>
      <c r="B25" s="335" t="str" cm="1">
        <f t="array" ref="B25">IF($R25="","",INDEX('Profit Plan'!$A$27:$A$226,$R25))</f>
        <v>N25185-0100D</v>
      </c>
      <c r="C25" s="335" t="str" cm="1">
        <f t="array" ref="C25">IF($R25="","",INDEX('Profit Plan'!$B$27:$B$226,$R25))</f>
        <v>Final Design - Tin Can Berth 8</v>
      </c>
      <c r="D25" s="349" t="str" cm="1">
        <f t="array" aca="1" ref="D25" ca="1">IF($R25="","",INDEX('Profit Plan'!$R$27:$R$226,$R25))</f>
        <v>DO</v>
      </c>
      <c r="E25" s="350" cm="1">
        <f t="array" ref="E25">IF($R25="","",INDEX('Profit Plan'!$M$27:$M$226,$R25))</f>
        <v>12</v>
      </c>
      <c r="F25" s="351" cm="1">
        <f t="array" ref="F25">IF($R25="","",INDEX('Profit Plan'!$L$27:$L$226,$R25))</f>
        <v>6.4864864864864868E-2</v>
      </c>
      <c r="G25" s="351" cm="1">
        <f t="array" ref="G25">IF($R25="","",INDEX('Profit Plan'!$J$27:$J$226,$R25))</f>
        <v>0.15600000000000003</v>
      </c>
      <c r="H25" s="337">
        <f t="shared" ca="1" si="2"/>
        <v>9.1135135135135159E-2</v>
      </c>
      <c r="I25" s="351" cm="1">
        <f t="array" ref="I25">IF($R25="","",INDEX('Profit Plan'!$Q$27:$Q$226,$R25))</f>
        <v>1.3405405405405406</v>
      </c>
      <c r="J25" s="352">
        <f ca="1">IF($R25="","",$I25/'Profit Plan'!$B$11)</f>
        <v>0.11265046559164209</v>
      </c>
      <c r="K25" s="349" t="str">
        <f ca="1">IF($D25&lt;&gt;"DO","-",TEXT(EOMONTH('Profit Plan'!$B$7,INT(($I25-$F25)/'Profit Plan'!$B$8))+1,"mmm yy"))</f>
        <v>Oct 26</v>
      </c>
      <c r="L25" s="349" t="str">
        <f ca="1">IF($D25&lt;&gt;"DO","-",TEXT(EOMONTH('Profit Plan'!$B$7,MAX(0,CEILING($I25/'Profit Plan'!$B$8,1)-1))+1,"mmm yy"))</f>
        <v>Oct 26</v>
      </c>
      <c r="M25" s="350" cm="1">
        <f t="array" aca="1" ref="M25" ca="1">IF($D25&lt;&gt;"DO","",INDEX('Profit Plan'!$T$27:$T$226,$R25))</f>
        <v>5.4</v>
      </c>
      <c r="N25" s="350" cm="1">
        <f t="array" aca="1" ref="N25" ca="1">IF($D25&lt;&gt;"DO","",INDEX('Profit Plan'!$U$27:$U$226,$R25))</f>
        <v>5.4</v>
      </c>
      <c r="O25" s="350" cm="1">
        <f t="array" aca="1" ref="O25" ca="1">IF($D25&lt;&gt;"DO","",INDEX('Profit Plan'!$V$27:$V$226,$R25))</f>
        <v>1.2000000000000002</v>
      </c>
      <c r="P25" s="337">
        <f ca="1">IF($R25="","",'Profit Plan'!$E$8+SUM($H$18:$H25))</f>
        <v>-0.88051132868245041</v>
      </c>
      <c r="Q25" s="335"/>
      <c r="R25" s="354">
        <f>IF($A25="","",IFERROR(MATCH($A25,'Profit Plan'!$P$27:$P$226,0),""))</f>
        <v>12</v>
      </c>
    </row>
    <row r="26" spans="1:18" x14ac:dyDescent="0.3">
      <c r="A26" s="336">
        <f>IF(ROW()-17&gt;COUNT('Profit Plan'!$P$27:$P$226),"",ROW()-17)</f>
        <v>9</v>
      </c>
      <c r="B26" s="335" t="str" cm="1">
        <f t="array" ref="B26">IF($R26="","",INDEX('Profit Plan'!$A$27:$A$226,$R26))</f>
        <v>AN22137-0100D</v>
      </c>
      <c r="C26" s="335" t="str" cm="1">
        <f t="array" ref="C26">IF($R26="","",INDEX('Profit Plan'!$B$27:$B$226,$R26))</f>
        <v>Schematic Design</v>
      </c>
      <c r="D26" s="349" t="str" cm="1">
        <f t="array" aca="1" ref="D26" ca="1">IF($R26="","",INDEX('Profit Plan'!$R$27:$R$226,$R26))</f>
        <v>DO</v>
      </c>
      <c r="E26" s="350" cm="1">
        <f t="array" ref="E26">IF($R26="","",INDEX('Profit Plan'!$M$27:$M$226,$R26))</f>
        <v>400</v>
      </c>
      <c r="F26" s="351" cm="1">
        <f t="array" ref="F26">IF($R26="","",INDEX('Profit Plan'!$L$27:$L$226,$R26))</f>
        <v>2.1621621621621623</v>
      </c>
      <c r="G26" s="351" cm="1">
        <f t="array" ref="G26">IF($R26="","",INDEX('Profit Plan'!$J$27:$J$226,$R26))</f>
        <v>5</v>
      </c>
      <c r="H26" s="337">
        <f t="shared" ca="1" si="2"/>
        <v>2.8378378378378377</v>
      </c>
      <c r="I26" s="351" cm="1">
        <f t="array" ref="I26">IF($R26="","",INDEX('Profit Plan'!$Q$27:$Q$226,$R26))</f>
        <v>3.5027027027027029</v>
      </c>
      <c r="J26" s="352">
        <f ca="1">IF($R26="","",$I26/'Profit Plan'!$B$11)</f>
        <v>0.29434476493300027</v>
      </c>
      <c r="K26" s="349" t="str">
        <f ca="1">IF($D26&lt;&gt;"DO","-",TEXT(EOMONTH('Profit Plan'!$B$7,INT(($I26-$F26)/'Profit Plan'!$B$8))+1,"mmm yy"))</f>
        <v>Oct 26</v>
      </c>
      <c r="L26" s="349" t="str">
        <f ca="1">IF($D26&lt;&gt;"DO","-",TEXT(EOMONTH('Profit Plan'!$B$7,MAX(0,CEILING($I26/'Profit Plan'!$B$8,1)-1))+1,"mmm yy"))</f>
        <v>Nov 26</v>
      </c>
      <c r="M26" s="350" cm="1">
        <f t="array" aca="1" ref="M26" ca="1">IF($D26&lt;&gt;"DO","",INDEX('Profit Plan'!$T$27:$T$226,$R26))</f>
        <v>240</v>
      </c>
      <c r="N26" s="350" cm="1">
        <f t="array" aca="1" ref="N26" ca="1">IF($D26&lt;&gt;"DO","",INDEX('Profit Plan'!$U$27:$U$226,$R26))</f>
        <v>160</v>
      </c>
      <c r="O26" s="350" cm="1">
        <f t="array" aca="1" ref="O26" ca="1">IF($D26&lt;&gt;"DO","",INDEX('Profit Plan'!$V$27:$V$226,$R26))</f>
        <v>0</v>
      </c>
      <c r="P26" s="337">
        <f ca="1">IF($R26="","",'Profit Plan'!$E$8+SUM($H$18:$H26))</f>
        <v>1.9573265091553873</v>
      </c>
      <c r="Q26" s="335"/>
      <c r="R26" s="354">
        <f>IF($A26="","",IFERROR(MATCH($A26,'Profit Plan'!$P$27:$P$226,0),""))</f>
        <v>26</v>
      </c>
    </row>
    <row r="27" spans="1:18" x14ac:dyDescent="0.3">
      <c r="A27" s="336">
        <f>IF(ROW()-17&gt;COUNT('Profit Plan'!$P$27:$P$226),"",ROW()-17)</f>
        <v>10</v>
      </c>
      <c r="B27" s="335" t="str" cm="1">
        <f t="array" ref="B27">IF($R27="","",INDEX('Profit Plan'!$A$27:$A$226,$R27))</f>
        <v>N25185-0100D</v>
      </c>
      <c r="C27" s="335" t="str" cm="1">
        <f t="array" ref="C27">IF($R27="","",INDEX('Profit Plan'!$B$27:$B$226,$R27))</f>
        <v>Final Design - Tin Can Berth 9</v>
      </c>
      <c r="D27" s="349" t="str" cm="1">
        <f t="array" aca="1" ref="D27" ca="1">IF($R27="","",INDEX('Profit Plan'!$R$27:$R$226,$R27))</f>
        <v>DO</v>
      </c>
      <c r="E27" s="350" cm="1">
        <f t="array" ref="E27">IF($R27="","",INDEX('Profit Plan'!$M$27:$M$226,$R27))</f>
        <v>80</v>
      </c>
      <c r="F27" s="351" cm="1">
        <f t="array" ref="F27">IF($R27="","",INDEX('Profit Plan'!$L$27:$L$226,$R27))</f>
        <v>0.43243243243243246</v>
      </c>
      <c r="G27" s="351" cm="1">
        <f t="array" ref="G27">IF($R27="","",INDEX('Profit Plan'!$J$27:$J$226,$R27))</f>
        <v>0.93600000000000005</v>
      </c>
      <c r="H27" s="337">
        <f t="shared" ca="1" si="2"/>
        <v>0.5035675675675676</v>
      </c>
      <c r="I27" s="351" cm="1">
        <f t="array" ref="I27">IF($R27="","",INDEX('Profit Plan'!$Q$27:$Q$226,$R27))</f>
        <v>3.9351351351351354</v>
      </c>
      <c r="J27" s="352">
        <f ca="1">IF($R27="","",$I27/'Profit Plan'!$B$11)</f>
        <v>0.33068362480127189</v>
      </c>
      <c r="K27" s="349" t="str">
        <f ca="1">IF($D27&lt;&gt;"DO","-",TEXT(EOMONTH('Profit Plan'!$B$7,INT(($I27-$F27)/'Profit Plan'!$B$8))+1,"mmm yy"))</f>
        <v>Nov 26</v>
      </c>
      <c r="L27" s="349" t="str">
        <f ca="1">IF($D27&lt;&gt;"DO","-",TEXT(EOMONTH('Profit Plan'!$B$7,MAX(0,CEILING($I27/'Profit Plan'!$B$8,1)-1))+1,"mmm yy"))</f>
        <v>Nov 26</v>
      </c>
      <c r="M27" s="350" cm="1">
        <f t="array" aca="1" ref="M27" ca="1">IF($D27&lt;&gt;"DO","",INDEX('Profit Plan'!$T$27:$T$226,$R27))</f>
        <v>32</v>
      </c>
      <c r="N27" s="350" cm="1">
        <f t="array" aca="1" ref="N27" ca="1">IF($D27&lt;&gt;"DO","",INDEX('Profit Plan'!$U$27:$U$226,$R27))</f>
        <v>48</v>
      </c>
      <c r="O27" s="350" cm="1">
        <f t="array" aca="1" ref="O27" ca="1">IF($D27&lt;&gt;"DO","",INDEX('Profit Plan'!$V$27:$V$226,$R27))</f>
        <v>0</v>
      </c>
      <c r="P27" s="337">
        <f ca="1">IF($R27="","",'Profit Plan'!$E$8+SUM($H$18:$H27))</f>
        <v>2.4608940767229548</v>
      </c>
      <c r="Q27" s="335"/>
      <c r="R27" s="354">
        <f>IF($A27="","",IFERROR(MATCH($A27,'Profit Plan'!$P$27:$P$226,0),""))</f>
        <v>13</v>
      </c>
    </row>
    <row r="28" spans="1:18" x14ac:dyDescent="0.3">
      <c r="A28" s="336">
        <f>IF(ROW()-17&gt;COUNT('Profit Plan'!$P$27:$P$226),"",ROW()-17)</f>
        <v>11</v>
      </c>
      <c r="B28" s="335" t="str" cm="1">
        <f t="array" ref="B28">IF($R28="","",INDEX('Profit Plan'!$A$27:$A$226,$R28))</f>
        <v>N25185-0100D</v>
      </c>
      <c r="C28" s="335" t="str" cm="1">
        <f t="array" ref="C28">IF($R28="","",INDEX('Profit Plan'!$B$27:$B$226,$R28))</f>
        <v>Final Design - Tin Can Berth 10</v>
      </c>
      <c r="D28" s="349" t="str" cm="1">
        <f t="array" aca="1" ref="D28" ca="1">IF($R28="","",INDEX('Profit Plan'!$R$27:$R$226,$R28))</f>
        <v>DO</v>
      </c>
      <c r="E28" s="350" cm="1">
        <f t="array" ref="E28">IF($R28="","",INDEX('Profit Plan'!$M$27:$M$226,$R28))</f>
        <v>80</v>
      </c>
      <c r="F28" s="351" cm="1">
        <f t="array" ref="F28">IF($R28="","",INDEX('Profit Plan'!$L$27:$L$226,$R28))</f>
        <v>0.43243243243243246</v>
      </c>
      <c r="G28" s="351" cm="1">
        <f t="array" ref="G28">IF($R28="","",INDEX('Profit Plan'!$J$27:$J$226,$R28))</f>
        <v>0.93600000000000005</v>
      </c>
      <c r="H28" s="337">
        <f t="shared" ca="1" si="2"/>
        <v>0.5035675675675676</v>
      </c>
      <c r="I28" s="351" cm="1">
        <f t="array" ref="I28">IF($R28="","",INDEX('Profit Plan'!$Q$27:$Q$226,$R28))</f>
        <v>4.3675675675675674</v>
      </c>
      <c r="J28" s="352">
        <f ca="1">IF($R28="","",$I28/'Profit Plan'!$B$11)</f>
        <v>0.36702248466954351</v>
      </c>
      <c r="K28" s="349" t="str">
        <f ca="1">IF($D28&lt;&gt;"DO","-",TEXT(EOMONTH('Profit Plan'!$B$7,INT(($I28-$F28)/'Profit Plan'!$B$8))+1,"mmm yy"))</f>
        <v>Nov 26</v>
      </c>
      <c r="L28" s="349" t="str">
        <f ca="1">IF($D28&lt;&gt;"DO","-",TEXT(EOMONTH('Profit Plan'!$B$7,MAX(0,CEILING($I28/'Profit Plan'!$B$8,1)-1))+1,"mmm yy"))</f>
        <v>Nov 26</v>
      </c>
      <c r="M28" s="350" cm="1">
        <f t="array" aca="1" ref="M28" ca="1">IF($D28&lt;&gt;"DO","",INDEX('Profit Plan'!$T$27:$T$226,$R28))</f>
        <v>32</v>
      </c>
      <c r="N28" s="350" cm="1">
        <f t="array" aca="1" ref="N28" ca="1">IF($D28&lt;&gt;"DO","",INDEX('Profit Plan'!$U$27:$U$226,$R28))</f>
        <v>48</v>
      </c>
      <c r="O28" s="350" cm="1">
        <f t="array" aca="1" ref="O28" ca="1">IF($D28&lt;&gt;"DO","",INDEX('Profit Plan'!$V$27:$V$226,$R28))</f>
        <v>0</v>
      </c>
      <c r="P28" s="337">
        <f ca="1">IF($R28="","",'Profit Plan'!$E$8+SUM($H$18:$H28))</f>
        <v>2.9644616442905223</v>
      </c>
      <c r="Q28" s="335"/>
      <c r="R28" s="354">
        <f>IF($A28="","",IFERROR(MATCH($A28,'Profit Plan'!$P$27:$P$226,0),""))</f>
        <v>14</v>
      </c>
    </row>
    <row r="29" spans="1:18" x14ac:dyDescent="0.3">
      <c r="A29" s="336">
        <f>IF(ROW()-17&gt;COUNT('Profit Plan'!$P$27:$P$226),"",ROW()-17)</f>
        <v>12</v>
      </c>
      <c r="B29" s="335" t="str" cm="1">
        <f t="array" ref="B29">IF($R29="","",INDEX('Profit Plan'!$A$27:$A$226,$R29))</f>
        <v>N25185-0100D</v>
      </c>
      <c r="C29" s="335" t="str" cm="1">
        <f t="array" ref="C29">IF($R29="","",INDEX('Profit Plan'!$B$27:$B$226,$R29))</f>
        <v>Final Design - Tin Can Berth 1</v>
      </c>
      <c r="D29" s="349" t="str" cm="1">
        <f t="array" aca="1" ref="D29" ca="1">IF($R29="","",INDEX('Profit Plan'!$R$27:$R$226,$R29))</f>
        <v>DO</v>
      </c>
      <c r="E29" s="350" cm="1">
        <f t="array" ref="E29">IF($R29="","",INDEX('Profit Plan'!$M$27:$M$226,$R29))</f>
        <v>90</v>
      </c>
      <c r="F29" s="351" cm="1">
        <f t="array" ref="F29">IF($R29="","",INDEX('Profit Plan'!$L$27:$L$226,$R29))</f>
        <v>0.48648648648648651</v>
      </c>
      <c r="G29" s="351" cm="1">
        <f t="array" ref="G29">IF($R29="","",INDEX('Profit Plan'!$J$27:$J$226,$R29))</f>
        <v>1.04</v>
      </c>
      <c r="H29" s="337">
        <f t="shared" ca="1" si="2"/>
        <v>0.55351351351351352</v>
      </c>
      <c r="I29" s="351" cm="1">
        <f t="array" ref="I29">IF($R29="","",INDEX('Profit Plan'!$Q$27:$Q$226,$R29))</f>
        <v>4.8540540540540533</v>
      </c>
      <c r="J29" s="352">
        <f ca="1">IF($R29="","",$I29/'Profit Plan'!$B$11)</f>
        <v>0.40790370202134907</v>
      </c>
      <c r="K29" s="349" t="str">
        <f ca="1">IF($D29&lt;&gt;"DO","-",TEXT(EOMONTH('Profit Plan'!$B$7,INT(($I29-$F29)/'Profit Plan'!$B$8))+1,"mmm yy"))</f>
        <v>Nov 26</v>
      </c>
      <c r="L29" s="349" t="str">
        <f ca="1">IF($D29&lt;&gt;"DO","-",TEXT(EOMONTH('Profit Plan'!$B$7,MAX(0,CEILING($I29/'Profit Plan'!$B$8,1)-1))+1,"mmm yy"))</f>
        <v>Nov 26</v>
      </c>
      <c r="M29" s="350" cm="1">
        <f t="array" aca="1" ref="M29" ca="1">IF($D29&lt;&gt;"DO","",INDEX('Profit Plan'!$T$27:$T$226,$R29))</f>
        <v>13.5</v>
      </c>
      <c r="N29" s="350" cm="1">
        <f t="array" aca="1" ref="N29" ca="1">IF($D29&lt;&gt;"DO","",INDEX('Profit Plan'!$U$27:$U$226,$R29))</f>
        <v>54</v>
      </c>
      <c r="O29" s="350" cm="1">
        <f t="array" aca="1" ref="O29" ca="1">IF($D29&lt;&gt;"DO","",INDEX('Profit Plan'!$V$27:$V$226,$R29))</f>
        <v>22.5</v>
      </c>
      <c r="P29" s="337">
        <f ca="1">IF($R29="","",'Profit Plan'!$E$8+SUM($H$18:$H29))</f>
        <v>3.5179751578040355</v>
      </c>
      <c r="Q29" s="335"/>
      <c r="R29" s="354">
        <f>IF($A29="","",IFERROR(MATCH($A29,'Profit Plan'!$P$27:$P$226,0),""))</f>
        <v>5</v>
      </c>
    </row>
    <row r="30" spans="1:18" x14ac:dyDescent="0.3">
      <c r="A30" s="336">
        <f>IF(ROW()-17&gt;COUNT('Profit Plan'!$P$27:$P$226),"",ROW()-17)</f>
        <v>13</v>
      </c>
      <c r="B30" s="335" t="str" cm="1">
        <f t="array" ref="B30">IF($R30="","",INDEX('Profit Plan'!$A$27:$A$226,$R30))</f>
        <v>N25185-0100D</v>
      </c>
      <c r="C30" s="335" t="str" cm="1">
        <f t="array" ref="C30">IF($R30="","",INDEX('Profit Plan'!$B$27:$B$226,$R30))</f>
        <v>Final Design - Tin Can Berth 2</v>
      </c>
      <c r="D30" s="349" t="str" cm="1">
        <f t="array" aca="1" ref="D30" ca="1">IF($R30="","",INDEX('Profit Plan'!$R$27:$R$226,$R30))</f>
        <v>DO</v>
      </c>
      <c r="E30" s="350" cm="1">
        <f t="array" ref="E30">IF($R30="","",INDEX('Profit Plan'!$M$27:$M$226,$R30))</f>
        <v>90</v>
      </c>
      <c r="F30" s="351" cm="1">
        <f t="array" ref="F30">IF($R30="","",INDEX('Profit Plan'!$L$27:$L$226,$R30))</f>
        <v>0.48648648648648651</v>
      </c>
      <c r="G30" s="351" cm="1">
        <f t="array" ref="G30">IF($R30="","",INDEX('Profit Plan'!$J$27:$J$226,$R30))</f>
        <v>1.04</v>
      </c>
      <c r="H30" s="337">
        <f t="shared" ca="1" si="2"/>
        <v>0.55351351351351352</v>
      </c>
      <c r="I30" s="351" cm="1">
        <f t="array" ref="I30">IF($R30="","",INDEX('Profit Plan'!$Q$27:$Q$226,$R30))</f>
        <v>5.3405405405405402</v>
      </c>
      <c r="J30" s="352">
        <f ca="1">IF($R30="","",$I30/'Profit Plan'!$B$11)</f>
        <v>0.44878491937315468</v>
      </c>
      <c r="K30" s="349" t="str">
        <f ca="1">IF($D30&lt;&gt;"DO","-",TEXT(EOMONTH('Profit Plan'!$B$7,INT(($I30-$F30)/'Profit Plan'!$B$8))+1,"mmm yy"))</f>
        <v>Nov 26</v>
      </c>
      <c r="L30" s="349" t="str">
        <f ca="1">IF($D30&lt;&gt;"DO","-",TEXT(EOMONTH('Profit Plan'!$B$7,MAX(0,CEILING($I30/'Profit Plan'!$B$8,1)-1))+1,"mmm yy"))</f>
        <v>Nov 26</v>
      </c>
      <c r="M30" s="350" cm="1">
        <f t="array" aca="1" ref="M30" ca="1">IF($D30&lt;&gt;"DO","",INDEX('Profit Plan'!$T$27:$T$226,$R30))</f>
        <v>13.5</v>
      </c>
      <c r="N30" s="350" cm="1">
        <f t="array" aca="1" ref="N30" ca="1">IF($D30&lt;&gt;"DO","",INDEX('Profit Plan'!$U$27:$U$226,$R30))</f>
        <v>54</v>
      </c>
      <c r="O30" s="350" cm="1">
        <f t="array" aca="1" ref="O30" ca="1">IF($D30&lt;&gt;"DO","",INDEX('Profit Plan'!$V$27:$V$226,$R30))</f>
        <v>22.5</v>
      </c>
      <c r="P30" s="337">
        <f ca="1">IF($R30="","",'Profit Plan'!$E$8+SUM($H$18:$H30))</f>
        <v>4.0714886713175487</v>
      </c>
      <c r="Q30" s="335"/>
      <c r="R30" s="354">
        <f>IF($A30="","",IFERROR(MATCH($A30,'Profit Plan'!$P$27:$P$226,0),""))</f>
        <v>6</v>
      </c>
    </row>
    <row r="31" spans="1:18" x14ac:dyDescent="0.3">
      <c r="A31" s="336">
        <f>IF(ROW()-17&gt;COUNT('Profit Plan'!$P$27:$P$226),"",ROW()-17)</f>
        <v>14</v>
      </c>
      <c r="B31" s="335" t="str" cm="1">
        <f t="array" ref="B31">IF($R31="","",INDEX('Profit Plan'!$A$27:$A$226,$R31))</f>
        <v>N25185-0100D</v>
      </c>
      <c r="C31" s="335" t="str" cm="1">
        <f t="array" ref="C31">IF($R31="","",INDEX('Profit Plan'!$B$27:$B$226,$R31))</f>
        <v>Final Design - Tin Can Berth 3</v>
      </c>
      <c r="D31" s="349" t="str" cm="1">
        <f t="array" aca="1" ref="D31" ca="1">IF($R31="","",INDEX('Profit Plan'!$R$27:$R$226,$R31))</f>
        <v>DO</v>
      </c>
      <c r="E31" s="350" cm="1">
        <f t="array" ref="E31">IF($R31="","",INDEX('Profit Plan'!$M$27:$M$226,$R31))</f>
        <v>90</v>
      </c>
      <c r="F31" s="351" cm="1">
        <f t="array" ref="F31">IF($R31="","",INDEX('Profit Plan'!$L$27:$L$226,$R31))</f>
        <v>0.48648648648648651</v>
      </c>
      <c r="G31" s="351" cm="1">
        <f t="array" ref="G31">IF($R31="","",INDEX('Profit Plan'!$J$27:$J$226,$R31))</f>
        <v>1.04</v>
      </c>
      <c r="H31" s="337">
        <f t="shared" ca="1" si="2"/>
        <v>0.55351351351351352</v>
      </c>
      <c r="I31" s="351" cm="1">
        <f t="array" ref="I31">IF($R31="","",INDEX('Profit Plan'!$Q$27:$Q$226,$R31))</f>
        <v>5.827027027027027</v>
      </c>
      <c r="J31" s="352">
        <f ca="1">IF($R31="","",$I31/'Profit Plan'!$B$11)</f>
        <v>0.48966613672496029</v>
      </c>
      <c r="K31" s="349" t="str">
        <f ca="1">IF($D31&lt;&gt;"DO","-",TEXT(EOMONTH('Profit Plan'!$B$7,INT(($I31-$F31)/'Profit Plan'!$B$8))+1,"mmm yy"))</f>
        <v>Nov 26</v>
      </c>
      <c r="L31" s="349" t="str">
        <f ca="1">IF($D31&lt;&gt;"DO","-",TEXT(EOMONTH('Profit Plan'!$B$7,MAX(0,CEILING($I31/'Profit Plan'!$B$8,1)-1))+1,"mmm yy"))</f>
        <v>Nov 26</v>
      </c>
      <c r="M31" s="350" cm="1">
        <f t="array" aca="1" ref="M31" ca="1">IF($D31&lt;&gt;"DO","",INDEX('Profit Plan'!$T$27:$T$226,$R31))</f>
        <v>13.5</v>
      </c>
      <c r="N31" s="350" cm="1">
        <f t="array" aca="1" ref="N31" ca="1">IF($D31&lt;&gt;"DO","",INDEX('Profit Plan'!$U$27:$U$226,$R31))</f>
        <v>54</v>
      </c>
      <c r="O31" s="350" cm="1">
        <f t="array" aca="1" ref="O31" ca="1">IF($D31&lt;&gt;"DO","",INDEX('Profit Plan'!$V$27:$V$226,$R31))</f>
        <v>22.5</v>
      </c>
      <c r="P31" s="337">
        <f ca="1">IF($R31="","",'Profit Plan'!$E$8+SUM($H$18:$H31))</f>
        <v>4.6250021848310627</v>
      </c>
      <c r="Q31" s="335"/>
      <c r="R31" s="354">
        <f>IF($A31="","",IFERROR(MATCH($A31,'Profit Plan'!$P$27:$P$226,0),""))</f>
        <v>7</v>
      </c>
    </row>
    <row r="32" spans="1:18" x14ac:dyDescent="0.3">
      <c r="A32" s="336">
        <f>IF(ROW()-17&gt;COUNT('Profit Plan'!$P$27:$P$226),"",ROW()-17)</f>
        <v>15</v>
      </c>
      <c r="B32" s="335" t="str" cm="1">
        <f t="array" ref="B32">IF($R32="","",INDEX('Profit Plan'!$A$27:$A$226,$R32))</f>
        <v>N25185-0100D</v>
      </c>
      <c r="C32" s="335" t="str" cm="1">
        <f t="array" ref="C32">IF($R32="","",INDEX('Profit Plan'!$B$27:$B$226,$R32))</f>
        <v>Final Design - Tin Can Berth 4</v>
      </c>
      <c r="D32" s="349" t="str" cm="1">
        <f t="array" aca="1" ref="D32" ca="1">IF($R32="","",INDEX('Profit Plan'!$R$27:$R$226,$R32))</f>
        <v>DO</v>
      </c>
      <c r="E32" s="350" cm="1">
        <f t="array" ref="E32">IF($R32="","",INDEX('Profit Plan'!$M$27:$M$226,$R32))</f>
        <v>90</v>
      </c>
      <c r="F32" s="351" cm="1">
        <f t="array" ref="F32">IF($R32="","",INDEX('Profit Plan'!$L$27:$L$226,$R32))</f>
        <v>0.48648648648648651</v>
      </c>
      <c r="G32" s="351" cm="1">
        <f t="array" ref="G32">IF($R32="","",INDEX('Profit Plan'!$J$27:$J$226,$R32))</f>
        <v>1.04</v>
      </c>
      <c r="H32" s="337">
        <f t="shared" ca="1" si="2"/>
        <v>0.55351351351351352</v>
      </c>
      <c r="I32" s="351" cm="1">
        <f t="array" ref="I32">IF($R32="","",INDEX('Profit Plan'!$Q$27:$Q$226,$R32))</f>
        <v>6.3135135135135139</v>
      </c>
      <c r="J32" s="352">
        <f ca="1">IF($R32="","",$I32/'Profit Plan'!$B$11)</f>
        <v>0.5305473540767659</v>
      </c>
      <c r="K32" s="349" t="str">
        <f ca="1">IF($D32&lt;&gt;"DO","-",TEXT(EOMONTH('Profit Plan'!$B$7,INT(($I32-$F32)/'Profit Plan'!$B$8))+1,"mmm yy"))</f>
        <v>Nov 26</v>
      </c>
      <c r="L32" s="349" t="str">
        <f ca="1">IF($D32&lt;&gt;"DO","-",TEXT(EOMONTH('Profit Plan'!$B$7,MAX(0,CEILING($I32/'Profit Plan'!$B$8,1)-1))+1,"mmm yy"))</f>
        <v>Dec 26</v>
      </c>
      <c r="M32" s="350" cm="1">
        <f t="array" aca="1" ref="M32" ca="1">IF($D32&lt;&gt;"DO","",INDEX('Profit Plan'!$T$27:$T$226,$R32))</f>
        <v>13.5</v>
      </c>
      <c r="N32" s="350" cm="1">
        <f t="array" aca="1" ref="N32" ca="1">IF($D32&lt;&gt;"DO","",INDEX('Profit Plan'!$U$27:$U$226,$R32))</f>
        <v>54</v>
      </c>
      <c r="O32" s="350" cm="1">
        <f t="array" aca="1" ref="O32" ca="1">IF($D32&lt;&gt;"DO","",INDEX('Profit Plan'!$V$27:$V$226,$R32))</f>
        <v>22.5</v>
      </c>
      <c r="P32" s="337">
        <f ca="1">IF($R32="","",'Profit Plan'!$E$8+SUM($H$18:$H32))</f>
        <v>5.1785156983445759</v>
      </c>
      <c r="Q32" s="335"/>
      <c r="R32" s="354">
        <f>IF($A32="","",IFERROR(MATCH($A32,'Profit Plan'!$P$27:$P$226,0),""))</f>
        <v>8</v>
      </c>
    </row>
    <row r="33" spans="1:18" x14ac:dyDescent="0.3">
      <c r="A33" s="336">
        <f>IF(ROW()-17&gt;COUNT('Profit Plan'!$P$27:$P$226),"",ROW()-17)</f>
        <v>16</v>
      </c>
      <c r="B33" s="335" t="str" cm="1">
        <f t="array" ref="B33">IF($R33="","",INDEX('Profit Plan'!$A$27:$A$226,$R33))</f>
        <v>N25185-0100D</v>
      </c>
      <c r="C33" s="335" t="str" cm="1">
        <f t="array" ref="C33">IF($R33="","",INDEX('Profit Plan'!$B$27:$B$226,$R33))</f>
        <v>Final Design - Apapa Berth 4</v>
      </c>
      <c r="D33" s="349" t="str" cm="1">
        <f t="array" aca="1" ref="D33" ca="1">IF($R33="","",INDEX('Profit Plan'!$R$27:$R$226,$R33))</f>
        <v>DO</v>
      </c>
      <c r="E33" s="350" cm="1">
        <f t="array" ref="E33">IF($R33="","",INDEX('Profit Plan'!$M$27:$M$226,$R33))</f>
        <v>90</v>
      </c>
      <c r="F33" s="351" cm="1">
        <f t="array" ref="F33">IF($R33="","",INDEX('Profit Plan'!$L$27:$L$226,$R33))</f>
        <v>0.48648648648648651</v>
      </c>
      <c r="G33" s="351" cm="1">
        <f t="array" ref="G33">IF($R33="","",INDEX('Profit Plan'!$J$27:$J$226,$R33))</f>
        <v>1.04</v>
      </c>
      <c r="H33" s="337">
        <f t="shared" ca="1" si="2"/>
        <v>0.55351351351351352</v>
      </c>
      <c r="I33" s="351" cm="1">
        <f t="array" ref="I33">IF($R33="","",INDEX('Profit Plan'!$Q$27:$Q$226,$R33))</f>
        <v>6.8000000000000007</v>
      </c>
      <c r="J33" s="352">
        <f ca="1">IF($R33="","",$I33/'Profit Plan'!$B$11)</f>
        <v>0.57142857142857151</v>
      </c>
      <c r="K33" s="349" t="str">
        <f ca="1">IF($D33&lt;&gt;"DO","-",TEXT(EOMONTH('Profit Plan'!$B$7,INT(($I33-$F33)/'Profit Plan'!$B$8))+1,"mmm yy"))</f>
        <v>Dec 26</v>
      </c>
      <c r="L33" s="349" t="str">
        <f ca="1">IF($D33&lt;&gt;"DO","-",TEXT(EOMONTH('Profit Plan'!$B$7,MAX(0,CEILING($I33/'Profit Plan'!$B$8,1)-1))+1,"mmm yy"))</f>
        <v>Dec 26</v>
      </c>
      <c r="M33" s="350" cm="1">
        <f t="array" aca="1" ref="M33" ca="1">IF($D33&lt;&gt;"DO","",INDEX('Profit Plan'!$T$27:$T$226,$R33))</f>
        <v>13.5</v>
      </c>
      <c r="N33" s="350" cm="1">
        <f t="array" aca="1" ref="N33" ca="1">IF($D33&lt;&gt;"DO","",INDEX('Profit Plan'!$U$27:$U$226,$R33))</f>
        <v>22.5</v>
      </c>
      <c r="O33" s="350" cm="1">
        <f t="array" aca="1" ref="O33" ca="1">IF($D33&lt;&gt;"DO","",INDEX('Profit Plan'!$V$27:$V$226,$R33))</f>
        <v>54</v>
      </c>
      <c r="P33" s="337">
        <f ca="1">IF($R33="","",'Profit Plan'!$E$8+SUM($H$18:$H33))</f>
        <v>5.7320292118580891</v>
      </c>
      <c r="Q33" s="335"/>
      <c r="R33" s="354">
        <f>IF($A33="","",IFERROR(MATCH($A33,'Profit Plan'!$P$27:$P$226,0),""))</f>
        <v>15</v>
      </c>
    </row>
    <row r="34" spans="1:18" x14ac:dyDescent="0.3">
      <c r="A34" s="336">
        <f>IF(ROW()-17&gt;COUNT('Profit Plan'!$P$27:$P$226),"",ROW()-17)</f>
        <v>17</v>
      </c>
      <c r="B34" s="335" t="str" cm="1">
        <f t="array" ref="B34">IF($R34="","",INDEX('Profit Plan'!$A$27:$A$226,$R34))</f>
        <v>N25185-0100D</v>
      </c>
      <c r="C34" s="335" t="str" cm="1">
        <f t="array" ref="C34">IF($R34="","",INDEX('Profit Plan'!$B$27:$B$226,$R34))</f>
        <v>Final Design - Apapa Berth 5</v>
      </c>
      <c r="D34" s="349" t="str" cm="1">
        <f t="array" aca="1" ref="D34" ca="1">IF($R34="","",INDEX('Profit Plan'!$R$27:$R$226,$R34))</f>
        <v>DO</v>
      </c>
      <c r="E34" s="350" cm="1">
        <f t="array" ref="E34">IF($R34="","",INDEX('Profit Plan'!$M$27:$M$226,$R34))</f>
        <v>90</v>
      </c>
      <c r="F34" s="351" cm="1">
        <f t="array" ref="F34">IF($R34="","",INDEX('Profit Plan'!$L$27:$L$226,$R34))</f>
        <v>0.48648648648648651</v>
      </c>
      <c r="G34" s="351" cm="1">
        <f t="array" ref="G34">IF($R34="","",INDEX('Profit Plan'!$J$27:$J$226,$R34))</f>
        <v>1.04</v>
      </c>
      <c r="H34" s="337">
        <f t="shared" ca="1" si="2"/>
        <v>0.55351351351351352</v>
      </c>
      <c r="I34" s="351" cm="1">
        <f t="array" ref="I34">IF($R34="","",INDEX('Profit Plan'!$Q$27:$Q$226,$R34))</f>
        <v>7.2864864864864867</v>
      </c>
      <c r="J34" s="352">
        <f ca="1">IF($R34="","",$I34/'Profit Plan'!$B$11)</f>
        <v>0.61230978878037712</v>
      </c>
      <c r="K34" s="349" t="str">
        <f ca="1">IF($D34&lt;&gt;"DO","-",TEXT(EOMONTH('Profit Plan'!$B$7,INT(($I34-$F34)/'Profit Plan'!$B$8))+1,"mmm yy"))</f>
        <v>Dec 26</v>
      </c>
      <c r="L34" s="349" t="str">
        <f ca="1">IF($D34&lt;&gt;"DO","-",TEXT(EOMONTH('Profit Plan'!$B$7,MAX(0,CEILING($I34/'Profit Plan'!$B$8,1)-1))+1,"mmm yy"))</f>
        <v>Dec 26</v>
      </c>
      <c r="M34" s="350" cm="1">
        <f t="array" aca="1" ref="M34" ca="1">IF($D34&lt;&gt;"DO","",INDEX('Profit Plan'!$T$27:$T$226,$R34))</f>
        <v>13.5</v>
      </c>
      <c r="N34" s="350" cm="1">
        <f t="array" aca="1" ref="N34" ca="1">IF($D34&lt;&gt;"DO","",INDEX('Profit Plan'!$U$27:$U$226,$R34))</f>
        <v>22.5</v>
      </c>
      <c r="O34" s="350" cm="1">
        <f t="array" aca="1" ref="O34" ca="1">IF($D34&lt;&gt;"DO","",INDEX('Profit Plan'!$V$27:$V$226,$R34))</f>
        <v>54</v>
      </c>
      <c r="P34" s="337">
        <f ca="1">IF($R34="","",'Profit Plan'!$E$8+SUM($H$18:$H34))</f>
        <v>6.2855427253716023</v>
      </c>
      <c r="Q34" s="335"/>
      <c r="R34" s="354">
        <f>IF($A34="","",IFERROR(MATCH($A34,'Profit Plan'!$P$27:$P$226,0),""))</f>
        <v>16</v>
      </c>
    </row>
    <row r="35" spans="1:18" x14ac:dyDescent="0.3">
      <c r="A35" s="336">
        <f>IF(ROW()-17&gt;COUNT('Profit Plan'!$P$27:$P$226),"",ROW()-17)</f>
        <v>18</v>
      </c>
      <c r="B35" s="335" t="str" cm="1">
        <f t="array" ref="B35">IF($R35="","",INDEX('Profit Plan'!$A$27:$A$226,$R35))</f>
        <v>N25185-0100D</v>
      </c>
      <c r="C35" s="335" t="str" cm="1">
        <f t="array" ref="C35">IF($R35="","",INDEX('Profit Plan'!$B$27:$B$226,$R35))</f>
        <v>Final Design - Apapa Berth 6</v>
      </c>
      <c r="D35" s="349" t="str" cm="1">
        <f t="array" aca="1" ref="D35" ca="1">IF($R35="","",INDEX('Profit Plan'!$R$27:$R$226,$R35))</f>
        <v>DO</v>
      </c>
      <c r="E35" s="350" cm="1">
        <f t="array" ref="E35">IF($R35="","",INDEX('Profit Plan'!$M$27:$M$226,$R35))</f>
        <v>90</v>
      </c>
      <c r="F35" s="351" cm="1">
        <f t="array" ref="F35">IF($R35="","",INDEX('Profit Plan'!$L$27:$L$226,$R35))</f>
        <v>0.48648648648648651</v>
      </c>
      <c r="G35" s="351" cm="1">
        <f t="array" ref="G35">IF($R35="","",INDEX('Profit Plan'!$J$27:$J$226,$R35))</f>
        <v>1.04</v>
      </c>
      <c r="H35" s="337">
        <f t="shared" ca="1" si="2"/>
        <v>0.55351351351351352</v>
      </c>
      <c r="I35" s="351" cm="1">
        <f t="array" ref="I35">IF($R35="","",INDEX('Profit Plan'!$Q$27:$Q$226,$R35))</f>
        <v>7.7729729729729735</v>
      </c>
      <c r="J35" s="352">
        <f ca="1">IF($R35="","",$I35/'Profit Plan'!$B$11)</f>
        <v>0.65319100613218273</v>
      </c>
      <c r="K35" s="349" t="str">
        <f ca="1">IF($D35&lt;&gt;"DO","-",TEXT(EOMONTH('Profit Plan'!$B$7,INT(($I35-$F35)/'Profit Plan'!$B$8))+1,"mmm yy"))</f>
        <v>Dec 26</v>
      </c>
      <c r="L35" s="349" t="str">
        <f ca="1">IF($D35&lt;&gt;"DO","-",TEXT(EOMONTH('Profit Plan'!$B$7,MAX(0,CEILING($I35/'Profit Plan'!$B$8,1)-1))+1,"mmm yy"))</f>
        <v>Dec 26</v>
      </c>
      <c r="M35" s="350" cm="1">
        <f t="array" aca="1" ref="M35" ca="1">IF($D35&lt;&gt;"DO","",INDEX('Profit Plan'!$T$27:$T$226,$R35))</f>
        <v>13.5</v>
      </c>
      <c r="N35" s="350" cm="1">
        <f t="array" aca="1" ref="N35" ca="1">IF($D35&lt;&gt;"DO","",INDEX('Profit Plan'!$U$27:$U$226,$R35))</f>
        <v>22.5</v>
      </c>
      <c r="O35" s="350" cm="1">
        <f t="array" aca="1" ref="O35" ca="1">IF($D35&lt;&gt;"DO","",INDEX('Profit Plan'!$V$27:$V$226,$R35))</f>
        <v>54</v>
      </c>
      <c r="P35" s="337">
        <f ca="1">IF($R35="","",'Profit Plan'!$E$8+SUM($H$18:$H35))</f>
        <v>6.8390562388851155</v>
      </c>
      <c r="Q35" s="335"/>
      <c r="R35" s="354">
        <f>IF($A35="","",IFERROR(MATCH($A35,'Profit Plan'!$P$27:$P$226,0),""))</f>
        <v>17</v>
      </c>
    </row>
    <row r="36" spans="1:18" x14ac:dyDescent="0.3">
      <c r="A36" s="336">
        <f>IF(ROW()-17&gt;COUNT('Profit Plan'!$P$27:$P$226),"",ROW()-17)</f>
        <v>19</v>
      </c>
      <c r="B36" s="335" t="str" cm="1">
        <f t="array" ref="B36">IF($R36="","",INDEX('Profit Plan'!$A$27:$A$226,$R36))</f>
        <v>N25185-0100D</v>
      </c>
      <c r="C36" s="335" t="str" cm="1">
        <f t="array" ref="C36">IF($R36="","",INDEX('Profit Plan'!$B$27:$B$226,$R36))</f>
        <v>Final Design - Apapa Berth 7</v>
      </c>
      <c r="D36" s="349" t="str" cm="1">
        <f t="array" aca="1" ref="D36" ca="1">IF($R36="","",INDEX('Profit Plan'!$R$27:$R$226,$R36))</f>
        <v>DO</v>
      </c>
      <c r="E36" s="350" cm="1">
        <f t="array" ref="E36">IF($R36="","",INDEX('Profit Plan'!$M$27:$M$226,$R36))</f>
        <v>90</v>
      </c>
      <c r="F36" s="351" cm="1">
        <f t="array" ref="F36">IF($R36="","",INDEX('Profit Plan'!$L$27:$L$226,$R36))</f>
        <v>0.48648648648648651</v>
      </c>
      <c r="G36" s="351" cm="1">
        <f t="array" ref="G36">IF($R36="","",INDEX('Profit Plan'!$J$27:$J$226,$R36))</f>
        <v>1.04</v>
      </c>
      <c r="H36" s="337">
        <f t="shared" ca="1" si="2"/>
        <v>0.55351351351351352</v>
      </c>
      <c r="I36" s="351" cm="1">
        <f t="array" ref="I36">IF($R36="","",INDEX('Profit Plan'!$Q$27:$Q$226,$R36))</f>
        <v>8.2594594594594604</v>
      </c>
      <c r="J36" s="352">
        <f ca="1">IF($R36="","",$I36/'Profit Plan'!$B$11)</f>
        <v>0.69407222348398834</v>
      </c>
      <c r="K36" s="349" t="str">
        <f ca="1">IF($D36&lt;&gt;"DO","-",TEXT(EOMONTH('Profit Plan'!$B$7,INT(($I36-$F36)/'Profit Plan'!$B$8))+1,"mmm yy"))</f>
        <v>Dec 26</v>
      </c>
      <c r="L36" s="349" t="str">
        <f ca="1">IF($D36&lt;&gt;"DO","-",TEXT(EOMONTH('Profit Plan'!$B$7,MAX(0,CEILING($I36/'Profit Plan'!$B$8,1)-1))+1,"mmm yy"))</f>
        <v>Dec 26</v>
      </c>
      <c r="M36" s="350" cm="1">
        <f t="array" aca="1" ref="M36" ca="1">IF($D36&lt;&gt;"DO","",INDEX('Profit Plan'!$T$27:$T$226,$R36))</f>
        <v>13.5</v>
      </c>
      <c r="N36" s="350" cm="1">
        <f t="array" aca="1" ref="N36" ca="1">IF($D36&lt;&gt;"DO","",INDEX('Profit Plan'!$U$27:$U$226,$R36))</f>
        <v>22.5</v>
      </c>
      <c r="O36" s="350" cm="1">
        <f t="array" aca="1" ref="O36" ca="1">IF($D36&lt;&gt;"DO","",INDEX('Profit Plan'!$V$27:$V$226,$R36))</f>
        <v>54</v>
      </c>
      <c r="P36" s="337">
        <f ca="1">IF($R36="","",'Profit Plan'!$E$8+SUM($H$18:$H36))</f>
        <v>7.3925697523986287</v>
      </c>
      <c r="Q36" s="335"/>
      <c r="R36" s="354">
        <f>IF($A36="","",IFERROR(MATCH($A36,'Profit Plan'!$P$27:$P$226,0),""))</f>
        <v>18</v>
      </c>
    </row>
    <row r="37" spans="1:18" x14ac:dyDescent="0.3">
      <c r="A37" s="336">
        <f>IF(ROW()-17&gt;COUNT('Profit Plan'!$P$27:$P$226),"",ROW()-17)</f>
        <v>20</v>
      </c>
      <c r="B37" s="335" t="str" cm="1">
        <f t="array" ref="B37">IF($R37="","",INDEX('Profit Plan'!$A$27:$A$226,$R37))</f>
        <v>N25185-0100D</v>
      </c>
      <c r="C37" s="335" t="str" cm="1">
        <f t="array" ref="C37">IF($R37="","",INDEX('Profit Plan'!$B$27:$B$226,$R37))</f>
        <v>Final Design - Apapa Berth 8</v>
      </c>
      <c r="D37" s="349" t="str" cm="1">
        <f t="array" aca="1" ref="D37" ca="1">IF($R37="","",INDEX('Profit Plan'!$R$27:$R$226,$R37))</f>
        <v>DO</v>
      </c>
      <c r="E37" s="350" cm="1">
        <f t="array" ref="E37">IF($R37="","",INDEX('Profit Plan'!$M$27:$M$226,$R37))</f>
        <v>90</v>
      </c>
      <c r="F37" s="351" cm="1">
        <f t="array" ref="F37">IF($R37="","",INDEX('Profit Plan'!$L$27:$L$226,$R37))</f>
        <v>0.48648648648648651</v>
      </c>
      <c r="G37" s="351" cm="1">
        <f t="array" ref="G37">IF($R37="","",INDEX('Profit Plan'!$J$27:$J$226,$R37))</f>
        <v>1.04</v>
      </c>
      <c r="H37" s="337">
        <f t="shared" ca="1" si="2"/>
        <v>0.55351351351351352</v>
      </c>
      <c r="I37" s="351" cm="1">
        <f t="array" ref="I37">IF($R37="","",INDEX('Profit Plan'!$Q$27:$Q$226,$R37))</f>
        <v>8.7459459459459481</v>
      </c>
      <c r="J37" s="352">
        <f ca="1">IF($R37="","",$I37/'Profit Plan'!$B$11)</f>
        <v>0.73495344083579406</v>
      </c>
      <c r="K37" s="349" t="str">
        <f ca="1">IF($D37&lt;&gt;"DO","-",TEXT(EOMONTH('Profit Plan'!$B$7,INT(($I37-$F37)/'Profit Plan'!$B$8))+1,"mmm yy"))</f>
        <v>Dec 26</v>
      </c>
      <c r="L37" s="349" t="str">
        <f ca="1">IF($D37&lt;&gt;"DO","-",TEXT(EOMONTH('Profit Plan'!$B$7,MAX(0,CEILING($I37/'Profit Plan'!$B$8,1)-1))+1,"mmm yy"))</f>
        <v>Dec 26</v>
      </c>
      <c r="M37" s="350" cm="1">
        <f t="array" aca="1" ref="M37" ca="1">IF($D37&lt;&gt;"DO","",INDEX('Profit Plan'!$T$27:$T$226,$R37))</f>
        <v>13.5</v>
      </c>
      <c r="N37" s="350" cm="1">
        <f t="array" aca="1" ref="N37" ca="1">IF($D37&lt;&gt;"DO","",INDEX('Profit Plan'!$U$27:$U$226,$R37))</f>
        <v>22.5</v>
      </c>
      <c r="O37" s="350" cm="1">
        <f t="array" aca="1" ref="O37" ca="1">IF($D37&lt;&gt;"DO","",INDEX('Profit Plan'!$V$27:$V$226,$R37))</f>
        <v>54</v>
      </c>
      <c r="P37" s="337">
        <f ca="1">IF($R37="","",'Profit Plan'!$E$8+SUM($H$18:$H37))</f>
        <v>7.9460832659121419</v>
      </c>
      <c r="Q37" s="335"/>
      <c r="R37" s="354">
        <f>IF($A37="","",IFERROR(MATCH($A37,'Profit Plan'!$P$27:$P$226,0),""))</f>
        <v>19</v>
      </c>
    </row>
    <row r="38" spans="1:18" x14ac:dyDescent="0.3">
      <c r="A38" s="336">
        <f>IF(ROW()-17&gt;COUNT('Profit Plan'!$P$27:$P$226),"",ROW()-17)</f>
        <v>21</v>
      </c>
      <c r="B38" s="335" t="str" cm="1">
        <f t="array" ref="B38">IF($R38="","",INDEX('Profit Plan'!$A$27:$A$226,$R38))</f>
        <v>N25185-0100D</v>
      </c>
      <c r="C38" s="335" t="str" cm="1">
        <f t="array" ref="C38">IF($R38="","",INDEX('Profit Plan'!$B$27:$B$226,$R38))</f>
        <v>Final Design - Apapa Berth 9</v>
      </c>
      <c r="D38" s="349" t="str" cm="1">
        <f t="array" aca="1" ref="D38" ca="1">IF($R38="","",INDEX('Profit Plan'!$R$27:$R$226,$R38))</f>
        <v>DO</v>
      </c>
      <c r="E38" s="350" cm="1">
        <f t="array" ref="E38">IF($R38="","",INDEX('Profit Plan'!$M$27:$M$226,$R38))</f>
        <v>90</v>
      </c>
      <c r="F38" s="351" cm="1">
        <f t="array" ref="F38">IF($R38="","",INDEX('Profit Plan'!$L$27:$L$226,$R38))</f>
        <v>0.48648648648648651</v>
      </c>
      <c r="G38" s="351" cm="1">
        <f t="array" ref="G38">IF($R38="","",INDEX('Profit Plan'!$J$27:$J$226,$R38))</f>
        <v>1.04</v>
      </c>
      <c r="H38" s="337">
        <f t="shared" ca="1" si="2"/>
        <v>0.55351351351351352</v>
      </c>
      <c r="I38" s="351" cm="1">
        <f t="array" ref="I38">IF($R38="","",INDEX('Profit Plan'!$Q$27:$Q$226,$R38))</f>
        <v>9.2324324324324341</v>
      </c>
      <c r="J38" s="352">
        <f ca="1">IF($R38="","",$I38/'Profit Plan'!$B$11)</f>
        <v>0.77583465818759956</v>
      </c>
      <c r="K38" s="349" t="str">
        <f ca="1">IF($D38&lt;&gt;"DO","-",TEXT(EOMONTH('Profit Plan'!$B$7,INT(($I38-$F38)/'Profit Plan'!$B$8))+1,"mmm yy"))</f>
        <v>Dec 26</v>
      </c>
      <c r="L38" s="349" t="str">
        <f ca="1">IF($D38&lt;&gt;"DO","-",TEXT(EOMONTH('Profit Plan'!$B$7,MAX(0,CEILING($I38/'Profit Plan'!$B$8,1)-1))+1,"mmm yy"))</f>
        <v>Jan 27</v>
      </c>
      <c r="M38" s="350" cm="1">
        <f t="array" aca="1" ref="M38" ca="1">IF($D38&lt;&gt;"DO","",INDEX('Profit Plan'!$T$27:$T$226,$R38))</f>
        <v>13.5</v>
      </c>
      <c r="N38" s="350" cm="1">
        <f t="array" aca="1" ref="N38" ca="1">IF($D38&lt;&gt;"DO","",INDEX('Profit Plan'!$U$27:$U$226,$R38))</f>
        <v>22.5</v>
      </c>
      <c r="O38" s="350" cm="1">
        <f t="array" aca="1" ref="O38" ca="1">IF($D38&lt;&gt;"DO","",INDEX('Profit Plan'!$V$27:$V$226,$R38))</f>
        <v>54</v>
      </c>
      <c r="P38" s="337">
        <f ca="1">IF($R38="","",'Profit Plan'!$E$8+SUM($H$18:$H38))</f>
        <v>8.4995967794256551</v>
      </c>
      <c r="Q38" s="335"/>
      <c r="R38" s="354">
        <f>IF($A38="","",IFERROR(MATCH($A38,'Profit Plan'!$P$27:$P$226,0),""))</f>
        <v>20</v>
      </c>
    </row>
    <row r="39" spans="1:18" x14ac:dyDescent="0.3">
      <c r="A39" s="336">
        <f>IF(ROW()-17&gt;COUNT('Profit Plan'!$P$27:$P$226),"",ROW()-17)</f>
        <v>22</v>
      </c>
      <c r="B39" s="335" t="str" cm="1">
        <f t="array" ref="B39">IF($R39="","",INDEX('Profit Plan'!$A$27:$A$226,$R39))</f>
        <v>N25185-0100D</v>
      </c>
      <c r="C39" s="335" t="str" cm="1">
        <f t="array" ref="C39">IF($R39="","",INDEX('Profit Plan'!$B$27:$B$226,$R39))</f>
        <v>Final Design - Apapa Berth 10</v>
      </c>
      <c r="D39" s="349" t="str" cm="1">
        <f t="array" aca="1" ref="D39" ca="1">IF($R39="","",INDEX('Profit Plan'!$R$27:$R$226,$R39))</f>
        <v>DO</v>
      </c>
      <c r="E39" s="350" cm="1">
        <f t="array" ref="E39">IF($R39="","",INDEX('Profit Plan'!$M$27:$M$226,$R39))</f>
        <v>90</v>
      </c>
      <c r="F39" s="351" cm="1">
        <f t="array" ref="F39">IF($R39="","",INDEX('Profit Plan'!$L$27:$L$226,$R39))</f>
        <v>0.48648648648648651</v>
      </c>
      <c r="G39" s="351" cm="1">
        <f t="array" ref="G39">IF($R39="","",INDEX('Profit Plan'!$J$27:$J$226,$R39))</f>
        <v>1.04</v>
      </c>
      <c r="H39" s="337">
        <f t="shared" ca="1" si="2"/>
        <v>0.55351351351351352</v>
      </c>
      <c r="I39" s="351" cm="1">
        <f t="array" ref="I39">IF($R39="","",INDEX('Profit Plan'!$Q$27:$Q$226,$R39))</f>
        <v>9.71891891891892</v>
      </c>
      <c r="J39" s="352">
        <f ca="1">IF($R39="","",$I39/'Profit Plan'!$B$11)</f>
        <v>0.81671587553940517</v>
      </c>
      <c r="K39" s="349" t="str">
        <f ca="1">IF($D39&lt;&gt;"DO","-",TEXT(EOMONTH('Profit Plan'!$B$7,INT(($I39-$F39)/'Profit Plan'!$B$8))+1,"mmm yy"))</f>
        <v>Jan 27</v>
      </c>
      <c r="L39" s="349" t="str">
        <f ca="1">IF($D39&lt;&gt;"DO","-",TEXT(EOMONTH('Profit Plan'!$B$7,MAX(0,CEILING($I39/'Profit Plan'!$B$8,1)-1))+1,"mmm yy"))</f>
        <v>Jan 27</v>
      </c>
      <c r="M39" s="350" cm="1">
        <f t="array" aca="1" ref="M39" ca="1">IF($D39&lt;&gt;"DO","",INDEX('Profit Plan'!$T$27:$T$226,$R39))</f>
        <v>13.5</v>
      </c>
      <c r="N39" s="350" cm="1">
        <f t="array" aca="1" ref="N39" ca="1">IF($D39&lt;&gt;"DO","",INDEX('Profit Plan'!$U$27:$U$226,$R39))</f>
        <v>22.5</v>
      </c>
      <c r="O39" s="350" cm="1">
        <f t="array" aca="1" ref="O39" ca="1">IF($D39&lt;&gt;"DO","",INDEX('Profit Plan'!$V$27:$V$226,$R39))</f>
        <v>54</v>
      </c>
      <c r="P39" s="337">
        <f ca="1">IF($R39="","",'Profit Plan'!$E$8+SUM($H$18:$H39))</f>
        <v>9.0531102929391682</v>
      </c>
      <c r="Q39" s="335"/>
      <c r="R39" s="354">
        <f>IF($A39="","",IFERROR(MATCH($A39,'Profit Plan'!$P$27:$P$226,0),""))</f>
        <v>21</v>
      </c>
    </row>
    <row r="40" spans="1:18" x14ac:dyDescent="0.3">
      <c r="A40" s="336">
        <f>IF(ROW()-17&gt;COUNT('Profit Plan'!$P$27:$P$226),"",ROW()-17)</f>
        <v>23</v>
      </c>
      <c r="B40" s="335" t="str" cm="1">
        <f t="array" ref="B40">IF($R40="","",INDEX('Profit Plan'!$A$27:$A$226,$R40))</f>
        <v>N25185-0100D</v>
      </c>
      <c r="C40" s="335" t="str" cm="1">
        <f t="array" ref="C40">IF($R40="","",INDEX('Profit Plan'!$B$27:$B$226,$R40))</f>
        <v>Final Design - Apapa Berth 11</v>
      </c>
      <c r="D40" s="349" t="str" cm="1">
        <f t="array" aca="1" ref="D40" ca="1">IF($R40="","",INDEX('Profit Plan'!$R$27:$R$226,$R40))</f>
        <v>DO</v>
      </c>
      <c r="E40" s="350" cm="1">
        <f t="array" ref="E40">IF($R40="","",INDEX('Profit Plan'!$M$27:$M$226,$R40))</f>
        <v>90</v>
      </c>
      <c r="F40" s="351" cm="1">
        <f t="array" ref="F40">IF($R40="","",INDEX('Profit Plan'!$L$27:$L$226,$R40))</f>
        <v>0.48648648648648651</v>
      </c>
      <c r="G40" s="351" cm="1">
        <f t="array" ref="G40">IF($R40="","",INDEX('Profit Plan'!$J$27:$J$226,$R40))</f>
        <v>1.04</v>
      </c>
      <c r="H40" s="337">
        <f t="shared" ca="1" si="2"/>
        <v>0.55351351351351352</v>
      </c>
      <c r="I40" s="351" cm="1">
        <f t="array" ref="I40">IF($R40="","",INDEX('Profit Plan'!$Q$27:$Q$226,$R40))</f>
        <v>10.205405405405408</v>
      </c>
      <c r="J40" s="352">
        <f ca="1">IF($R40="","",$I40/'Profit Plan'!$B$11)</f>
        <v>0.85759709289121089</v>
      </c>
      <c r="K40" s="349" t="str">
        <f ca="1">IF($D40&lt;&gt;"DO","-",TEXT(EOMONTH('Profit Plan'!$B$7,INT(($I40-$F40)/'Profit Plan'!$B$8))+1,"mmm yy"))</f>
        <v>Jan 27</v>
      </c>
      <c r="L40" s="349" t="str">
        <f ca="1">IF($D40&lt;&gt;"DO","-",TEXT(EOMONTH('Profit Plan'!$B$7,MAX(0,CEILING($I40/'Profit Plan'!$B$8,1)-1))+1,"mmm yy"))</f>
        <v>Jan 27</v>
      </c>
      <c r="M40" s="350" cm="1">
        <f t="array" aca="1" ref="M40" ca="1">IF($D40&lt;&gt;"DO","",INDEX('Profit Plan'!$T$27:$T$226,$R40))</f>
        <v>13.5</v>
      </c>
      <c r="N40" s="350" cm="1">
        <f t="array" aca="1" ref="N40" ca="1">IF($D40&lt;&gt;"DO","",INDEX('Profit Plan'!$U$27:$U$226,$R40))</f>
        <v>22.5</v>
      </c>
      <c r="O40" s="350" cm="1">
        <f t="array" aca="1" ref="O40" ca="1">IF($D40&lt;&gt;"DO","",INDEX('Profit Plan'!$V$27:$V$226,$R40))</f>
        <v>54</v>
      </c>
      <c r="P40" s="337">
        <f ca="1">IF($R40="","",'Profit Plan'!$E$8+SUM($H$18:$H40))</f>
        <v>9.6066238064526814</v>
      </c>
      <c r="Q40" s="335"/>
      <c r="R40" s="354">
        <f>IF($A40="","",IFERROR(MATCH($A40,'Profit Plan'!$P$27:$P$226,0),""))</f>
        <v>22</v>
      </c>
    </row>
    <row r="41" spans="1:18" x14ac:dyDescent="0.3">
      <c r="A41" s="336">
        <f>IF(ROW()-17&gt;COUNT('Profit Plan'!$P$27:$P$226),"",ROW()-17)</f>
        <v>24</v>
      </c>
      <c r="B41" s="335" t="str" cm="1">
        <f t="array" ref="B41">IF($R41="","",INDEX('Profit Plan'!$A$27:$A$226,$R41))</f>
        <v>D26058-0100D</v>
      </c>
      <c r="C41" s="335" t="str" cm="1">
        <f t="array" ref="C41">IF($R41="","",INDEX('Profit Plan'!$B$27:$B$226,$R41))</f>
        <v>Schematic Design</v>
      </c>
      <c r="D41" s="349" t="str" cm="1">
        <f t="array" aca="1" ref="D41" ca="1">IF($R41="","",INDEX('Profit Plan'!$R$27:$R$226,$R41))</f>
        <v>DO</v>
      </c>
      <c r="E41" s="350" cm="1">
        <f t="array" ref="E41">IF($R41="","",INDEX('Profit Plan'!$M$27:$M$226,$R41))</f>
        <v>90</v>
      </c>
      <c r="F41" s="351" cm="1">
        <f t="array" ref="F41">IF($R41="","",INDEX('Profit Plan'!$L$27:$L$226,$R41))</f>
        <v>0.48648648648648651</v>
      </c>
      <c r="G41" s="351" cm="1">
        <f t="array" ref="G41">IF($R41="","",INDEX('Profit Plan'!$J$27:$J$226,$R41))</f>
        <v>1</v>
      </c>
      <c r="H41" s="337">
        <f t="shared" ca="1" si="2"/>
        <v>0.51351351351351349</v>
      </c>
      <c r="I41" s="351" cm="1">
        <f t="array" ref="I41">IF($R41="","",INDEX('Profit Plan'!$Q$27:$Q$226,$R41))</f>
        <v>10.691891891891894</v>
      </c>
      <c r="J41" s="352">
        <f ca="1">IF($R41="","",$I41/'Profit Plan'!$B$11)</f>
        <v>0.89847831024301639</v>
      </c>
      <c r="K41" s="349" t="str">
        <f ca="1">IF($D41&lt;&gt;"DO","-",TEXT(EOMONTH('Profit Plan'!$B$7,INT(($I41-$F41)/'Profit Plan'!$B$8))+1,"mmm yy"))</f>
        <v>Jan 27</v>
      </c>
      <c r="L41" s="349" t="str">
        <f ca="1">IF($D41&lt;&gt;"DO","-",TEXT(EOMONTH('Profit Plan'!$B$7,MAX(0,CEILING($I41/'Profit Plan'!$B$8,1)-1))+1,"mmm yy"))</f>
        <v>Jan 27</v>
      </c>
      <c r="M41" s="350" cm="1">
        <f t="array" aca="1" ref="M41" ca="1">IF($D41&lt;&gt;"DO","",INDEX('Profit Plan'!$T$27:$T$226,$R41))</f>
        <v>54</v>
      </c>
      <c r="N41" s="350" cm="1">
        <f t="array" aca="1" ref="N41" ca="1">IF($D41&lt;&gt;"DO","",INDEX('Profit Plan'!$U$27:$U$226,$R41))</f>
        <v>36</v>
      </c>
      <c r="O41" s="350" cm="1">
        <f t="array" aca="1" ref="O41" ca="1">IF($D41&lt;&gt;"DO","",INDEX('Profit Plan'!$V$27:$V$226,$R41))</f>
        <v>0</v>
      </c>
      <c r="P41" s="337">
        <f ca="1">IF($R41="","",'Profit Plan'!$E$8+SUM($H$18:$H41))</f>
        <v>10.120137319966195</v>
      </c>
      <c r="Q41" s="335"/>
      <c r="R41" s="354">
        <f>IF($A41="","",IFERROR(MATCH($A41,'Profit Plan'!$P$27:$P$226,0),""))</f>
        <v>28</v>
      </c>
    </row>
    <row r="42" spans="1:18" x14ac:dyDescent="0.3">
      <c r="A42" s="336">
        <f>IF(ROW()-17&gt;COUNT('Profit Plan'!$P$27:$P$226),"",ROW()-17)</f>
        <v>25</v>
      </c>
      <c r="B42" s="335" t="str" cm="1">
        <f t="array" ref="B42">IF($R42="","",INDEX('Profit Plan'!$A$27:$A$226,$R42))</f>
        <v>Chargable Proposals 26</v>
      </c>
      <c r="C42" s="335" t="str" cm="1">
        <f t="array" ref="C42">IF($R42="","",INDEX('Profit Plan'!$B$27:$B$226,$R42))</f>
        <v>Proposals</v>
      </c>
      <c r="D42" s="349" t="str" cm="1">
        <f t="array" aca="1" ref="D42" ca="1">IF($R42="","",INDEX('Profit Plan'!$R$27:$R$226,$R42))</f>
        <v>DO</v>
      </c>
      <c r="E42" s="350" cm="1">
        <f t="array" ref="E42">IF($R42="","",INDEX('Profit Plan'!$M$27:$M$226,$R42))</f>
        <v>104.0625</v>
      </c>
      <c r="F42" s="351" cm="1">
        <f t="array" ref="F42">IF($R42="","",INDEX('Profit Plan'!$L$27:$L$226,$R42))</f>
        <v>0.5625</v>
      </c>
      <c r="G42" s="351" cm="1">
        <f t="array" ref="G42">IF($R42="","",INDEX('Profit Plan'!$J$27:$J$226,$R42))</f>
        <v>1.125</v>
      </c>
      <c r="H42" s="337">
        <f t="shared" ca="1" si="2"/>
        <v>0.5625</v>
      </c>
      <c r="I42" s="351" cm="1">
        <f t="array" ref="I42">IF($R42="","",INDEX('Profit Plan'!$Q$27:$Q$226,$R42))</f>
        <v>11.254391891891894</v>
      </c>
      <c r="J42" s="352">
        <f ca="1">IF($R42="","",$I42/'Profit Plan'!$B$11)</f>
        <v>0.94574721780604165</v>
      </c>
      <c r="K42" s="349" t="str">
        <f ca="1">IF($D42&lt;&gt;"DO","-",TEXT(EOMONTH('Profit Plan'!$B$7,INT(($I42-$F42)/'Profit Plan'!$B$8))+1,"mmm yy"))</f>
        <v>Jan 27</v>
      </c>
      <c r="L42" s="349" t="str">
        <f ca="1">IF($D42&lt;&gt;"DO","-",TEXT(EOMONTH('Profit Plan'!$B$7,MAX(0,CEILING($I42/'Profit Plan'!$B$8,1)-1))+1,"mmm yy"))</f>
        <v>Jan 27</v>
      </c>
      <c r="M42" s="350" cm="1">
        <f t="array" aca="1" ref="M42" ca="1">IF($D42&lt;&gt;"DO","",INDEX('Profit Plan'!$T$27:$T$226,$R42))</f>
        <v>62.4375</v>
      </c>
      <c r="N42" s="350" cm="1">
        <f t="array" aca="1" ref="N42" ca="1">IF($D42&lt;&gt;"DO","",INDEX('Profit Plan'!$U$27:$U$226,$R42))</f>
        <v>0</v>
      </c>
      <c r="O42" s="350" cm="1">
        <f t="array" aca="1" ref="O42" ca="1">IF($D42&lt;&gt;"DO","",INDEX('Profit Plan'!$V$27:$V$226,$R42))</f>
        <v>41.625</v>
      </c>
      <c r="P42" s="337">
        <f ca="1">IF($R42="","",'Profit Plan'!$E$8+SUM($H$18:$H42))</f>
        <v>10.682637319966195</v>
      </c>
      <c r="Q42" s="335"/>
      <c r="R42" s="354">
        <f>IF($A42="","",IFERROR(MATCH($A42,'Profit Plan'!$P$27:$P$226,0),""))</f>
        <v>63</v>
      </c>
    </row>
    <row r="43" spans="1:18" x14ac:dyDescent="0.3">
      <c r="A43" s="336">
        <f>IF(ROW()-17&gt;COUNT('Profit Plan'!$P$27:$P$226),"",ROW()-17)</f>
        <v>26</v>
      </c>
      <c r="B43" s="335" t="str" cm="1">
        <f t="array" ref="B43">IF($R43="","",INDEX('Profit Plan'!$A$27:$A$226,$R43))</f>
        <v>Proposals 26</v>
      </c>
      <c r="C43" s="335" t="str" cm="1">
        <f t="array" ref="C43">IF($R43="","",INDEX('Profit Plan'!$B$27:$B$226,$R43))</f>
        <v>Proposals</v>
      </c>
      <c r="D43" s="349" t="str" cm="1">
        <f t="array" aca="1" ref="D43" ca="1">IF($R43="","",INDEX('Profit Plan'!$R$27:$R$226,$R43))</f>
        <v>DO</v>
      </c>
      <c r="E43" s="350" cm="1">
        <f t="array" ref="E43">IF($R43="","",INDEX('Profit Plan'!$M$27:$M$226,$R43))</f>
        <v>18.5</v>
      </c>
      <c r="F43" s="351" cm="1">
        <f t="array" ref="F43">IF($R43="","",INDEX('Profit Plan'!$L$27:$L$226,$R43))</f>
        <v>0.1</v>
      </c>
      <c r="G43" s="351" cm="1">
        <f t="array" ref="G43">IF($R43="","",INDEX('Profit Plan'!$J$27:$J$226,$R43))</f>
        <v>0.2</v>
      </c>
      <c r="H43" s="337">
        <f t="shared" ca="1" si="2"/>
        <v>0.1</v>
      </c>
      <c r="I43" s="351" cm="1">
        <f t="array" ref="I43">IF($R43="","",INDEX('Profit Plan'!$Q$27:$Q$226,$R43))</f>
        <v>11.354391891891893</v>
      </c>
      <c r="J43" s="352">
        <f ca="1">IF($R43="","",$I43/'Profit Plan'!$B$11)</f>
        <v>0.95415057915057944</v>
      </c>
      <c r="K43" s="349" t="str">
        <f ca="1">IF($D43&lt;&gt;"DO","-",TEXT(EOMONTH('Profit Plan'!$B$7,INT(($I43-$F43)/'Profit Plan'!$B$8))+1,"mmm yy"))</f>
        <v>Jan 27</v>
      </c>
      <c r="L43" s="349" t="str">
        <f ca="1">IF($D43&lt;&gt;"DO","-",TEXT(EOMONTH('Profit Plan'!$B$7,MAX(0,CEILING($I43/'Profit Plan'!$B$8,1)-1))+1,"mmm yy"))</f>
        <v>Jan 27</v>
      </c>
      <c r="M43" s="350" cm="1">
        <f t="array" aca="1" ref="M43" ca="1">IF($D43&lt;&gt;"DO","",INDEX('Profit Plan'!$T$27:$T$226,$R43))</f>
        <v>18.5</v>
      </c>
      <c r="N43" s="350" cm="1">
        <f t="array" aca="1" ref="N43" ca="1">IF($D43&lt;&gt;"DO","",INDEX('Profit Plan'!$U$27:$U$226,$R43))</f>
        <v>0</v>
      </c>
      <c r="O43" s="350" cm="1">
        <f t="array" aca="1" ref="O43" ca="1">IF($D43&lt;&gt;"DO","",INDEX('Profit Plan'!$V$27:$V$226,$R43))</f>
        <v>0</v>
      </c>
      <c r="P43" s="337">
        <f ca="1">IF($R43="","",'Profit Plan'!$E$8+SUM($H$18:$H43))</f>
        <v>10.782637319966195</v>
      </c>
      <c r="Q43" s="335"/>
      <c r="R43" s="354">
        <f>IF($A43="","",IFERROR(MATCH($A43,'Profit Plan'!$P$27:$P$226,0),""))</f>
        <v>64</v>
      </c>
    </row>
    <row r="44" spans="1:18" x14ac:dyDescent="0.3">
      <c r="A44" s="336">
        <f>IF(ROW()-17&gt;COUNT('Profit Plan'!$P$27:$P$226),"",ROW()-17)</f>
        <v>27</v>
      </c>
      <c r="B44" s="335" t="str" cm="1">
        <f t="array" ref="B44">IF($R44="","",INDEX('Profit Plan'!$A$27:$A$226,$R44))</f>
        <v>N25178-0100D</v>
      </c>
      <c r="C44" s="335" t="str" cm="1">
        <f t="array" ref="C44">IF($R44="","",INDEX('Profit Plan'!$B$27:$B$226,$R44))</f>
        <v>Concept Design</v>
      </c>
      <c r="D44" s="349" t="str" cm="1">
        <f t="array" aca="1" ref="D44" ca="1">IF($R44="","",INDEX('Profit Plan'!$R$27:$R$226,$R44))</f>
        <v>DO</v>
      </c>
      <c r="E44" s="350" cm="1">
        <f t="array" ref="E44">IF($R44="","",INDEX('Profit Plan'!$M$27:$M$226,$R44))</f>
        <v>85</v>
      </c>
      <c r="F44" s="351" cm="1">
        <f t="array" ref="F44">IF($R44="","",INDEX('Profit Plan'!$L$27:$L$226,$R44))</f>
        <v>0.45945945945945948</v>
      </c>
      <c r="G44" s="351" cm="1">
        <f t="array" ref="G44">IF($R44="","",INDEX('Profit Plan'!$J$27:$J$226,$R44))</f>
        <v>0.84</v>
      </c>
      <c r="H44" s="337">
        <f t="shared" ca="1" si="2"/>
        <v>0.38054054054054048</v>
      </c>
      <c r="I44" s="351" cm="1">
        <f t="array" ref="I44">IF($R44="","",INDEX('Profit Plan'!$Q$27:$Q$226,$R44))</f>
        <v>11.813851351351353</v>
      </c>
      <c r="J44" s="352">
        <f ca="1">IF($R44="","",$I44/'Profit Plan'!$B$11)</f>
        <v>0.99276061776061797</v>
      </c>
      <c r="K44" s="349" t="str">
        <f ca="1">IF($D44&lt;&gt;"DO","-",TEXT(EOMONTH('Profit Plan'!$B$7,INT(($I44-$F44)/'Profit Plan'!$B$8))+1,"mmm yy"))</f>
        <v>Jan 27</v>
      </c>
      <c r="L44" s="349" t="str">
        <f ca="1">IF($D44&lt;&gt;"DO","-",TEXT(EOMONTH('Profit Plan'!$B$7,MAX(0,CEILING($I44/'Profit Plan'!$B$8,1)-1))+1,"mmm yy"))</f>
        <v>Jan 27</v>
      </c>
      <c r="M44" s="350" cm="1">
        <f t="array" aca="1" ref="M44" ca="1">IF($D44&lt;&gt;"DO","",INDEX('Profit Plan'!$T$27:$T$226,$R44))</f>
        <v>85</v>
      </c>
      <c r="N44" s="350" cm="1">
        <f t="array" aca="1" ref="N44" ca="1">IF($D44&lt;&gt;"DO","",INDEX('Profit Plan'!$U$27:$U$226,$R44))</f>
        <v>0</v>
      </c>
      <c r="O44" s="350" cm="1">
        <f t="array" aca="1" ref="O44" ca="1">IF($D44&lt;&gt;"DO","",INDEX('Profit Plan'!$V$27:$V$226,$R44))</f>
        <v>0</v>
      </c>
      <c r="P44" s="337">
        <f ca="1">IF($R44="","",'Profit Plan'!$E$8+SUM($H$18:$H44))</f>
        <v>11.163177860506735</v>
      </c>
      <c r="Q44" s="335"/>
      <c r="R44" s="354">
        <f>IF($A44="","",IFERROR(MATCH($A44,'Profit Plan'!$P$27:$P$226,0),""))</f>
        <v>1</v>
      </c>
    </row>
    <row r="45" spans="1:18" x14ac:dyDescent="0.3">
      <c r="A45" s="336">
        <f>IF(ROW()-17&gt;COUNT('Profit Plan'!$P$27:$P$226),"",ROW()-17)</f>
        <v>28</v>
      </c>
      <c r="B45" s="335" t="str" cm="1">
        <f t="array" ref="B45">IF($R45="","",INDEX('Profit Plan'!$A$27:$A$226,$R45))</f>
        <v>D26058-0100D</v>
      </c>
      <c r="C45" s="335" t="str" cm="1">
        <f t="array" ref="C45">IF($R45="","",INDEX('Profit Plan'!$B$27:$B$226,$R45))</f>
        <v>Final Design</v>
      </c>
      <c r="D45" s="349" t="str" cm="1">
        <f t="array" aca="1" ref="D45" ca="1">IF($R45="","",INDEX('Profit Plan'!$R$27:$R$226,$R45))</f>
        <v>DEFER</v>
      </c>
      <c r="E45" s="350" cm="1">
        <f t="array" ref="E45">IF($R45="","",INDEX('Profit Plan'!$M$27:$M$226,$R45))</f>
        <v>400</v>
      </c>
      <c r="F45" s="351" cm="1">
        <f t="array" ref="F45">IF($R45="","",INDEX('Profit Plan'!$L$27:$L$226,$R45))</f>
        <v>2.1621621621621623</v>
      </c>
      <c r="G45" s="351" cm="1">
        <f t="array" ref="G45">IF($R45="","",INDEX('Profit Plan'!$J$27:$J$226,$R45))</f>
        <v>3.25</v>
      </c>
      <c r="H45" s="337" t="str">
        <f t="shared" ca="1" si="2"/>
        <v/>
      </c>
      <c r="I45" s="351" cm="1">
        <f t="array" ref="I45">IF($R45="","",INDEX('Profit Plan'!$Q$27:$Q$226,$R45))</f>
        <v>13.976013513513516</v>
      </c>
      <c r="J45" s="352">
        <f ca="1">IF($R45="","",$I45/'Profit Plan'!$B$11)</f>
        <v>1.1744549171019762</v>
      </c>
      <c r="K45" s="349" t="str">
        <f ca="1">IF($D45&lt;&gt;"DO","-",TEXT(EOMONTH('Profit Plan'!$B$7,INT(($I45-$F45)/'Profit Plan'!$B$8))+1,"mmm yy"))</f>
        <v>-</v>
      </c>
      <c r="L45" s="349" t="str">
        <f ca="1">IF($D45&lt;&gt;"DO","-",TEXT(EOMONTH('Profit Plan'!$B$7,MAX(0,CEILING($I45/'Profit Plan'!$B$8,1)-1))+1,"mmm yy"))</f>
        <v>-</v>
      </c>
      <c r="M45" s="350" t="str" cm="1">
        <f t="array" aca="1" ref="M45" ca="1">IF($D45&lt;&gt;"DO","",INDEX('Profit Plan'!$T$27:$T$226,$R45))</f>
        <v/>
      </c>
      <c r="N45" s="350" t="str" cm="1">
        <f t="array" aca="1" ref="N45" ca="1">IF($D45&lt;&gt;"DO","",INDEX('Profit Plan'!$U$27:$U$226,$R45))</f>
        <v/>
      </c>
      <c r="O45" s="350" t="str" cm="1">
        <f t="array" aca="1" ref="O45" ca="1">IF($D45&lt;&gt;"DO","",INDEX('Profit Plan'!$V$27:$V$226,$R45))</f>
        <v/>
      </c>
      <c r="P45" s="337">
        <f ca="1">IF($R45="","",'Profit Plan'!$E$8+SUM($H$18:$H45))</f>
        <v>11.163177860506735</v>
      </c>
      <c r="Q45" s="335"/>
      <c r="R45" s="354">
        <f>IF($A45="","",IFERROR(MATCH($A45,'Profit Plan'!$P$27:$P$226,0),""))</f>
        <v>29</v>
      </c>
    </row>
    <row r="46" spans="1:18" x14ac:dyDescent="0.3">
      <c r="A46" s="336">
        <f>IF(ROW()-17&gt;COUNT('Profit Plan'!$P$27:$P$226),"",ROW()-17)</f>
        <v>29</v>
      </c>
      <c r="B46" s="335" t="str" cm="1">
        <f t="array" ref="B46">IF($R46="","",INDEX('Profit Plan'!$A$27:$A$226,$R46))</f>
        <v>E26084-0100D</v>
      </c>
      <c r="C46" s="335" t="str" cm="1">
        <f t="array" ref="C46">IF($R46="","",INDEX('Profit Plan'!$B$27:$B$226,$R46))</f>
        <v>Final Design</v>
      </c>
      <c r="D46" s="349" t="str" cm="1">
        <f t="array" aca="1" ref="D46" ca="1">IF($R46="","",INDEX('Profit Plan'!$R$27:$R$226,$R46))</f>
        <v>DEFER</v>
      </c>
      <c r="E46" s="350" cm="1">
        <f t="array" ref="E46">IF($R46="","",INDEX('Profit Plan'!$M$27:$M$226,$R46))</f>
        <v>300</v>
      </c>
      <c r="F46" s="351" cm="1">
        <f t="array" ref="F46">IF($R46="","",INDEX('Profit Plan'!$L$27:$L$226,$R46))</f>
        <v>1.6216216216216217</v>
      </c>
      <c r="G46" s="351" cm="1">
        <f t="array" ref="G46">IF($R46="","",INDEX('Profit Plan'!$J$27:$J$226,$R46))</f>
        <v>2.25</v>
      </c>
      <c r="H46" s="337" t="str">
        <f t="shared" ca="1" si="2"/>
        <v/>
      </c>
      <c r="I46" s="351" cm="1">
        <f t="array" ref="I46">IF($R46="","",INDEX('Profit Plan'!$Q$27:$Q$226,$R46))</f>
        <v>15.597635135135137</v>
      </c>
      <c r="J46" s="352">
        <f ca="1">IF($R46="","",$I46/'Profit Plan'!$B$11)</f>
        <v>1.3107256416079949</v>
      </c>
      <c r="K46" s="349" t="str">
        <f ca="1">IF($D46&lt;&gt;"DO","-",TEXT(EOMONTH('Profit Plan'!$B$7,INT(($I46-$F46)/'Profit Plan'!$B$8))+1,"mmm yy"))</f>
        <v>-</v>
      </c>
      <c r="L46" s="349" t="str">
        <f ca="1">IF($D46&lt;&gt;"DO","-",TEXT(EOMONTH('Profit Plan'!$B$7,MAX(0,CEILING($I46/'Profit Plan'!$B$8,1)-1))+1,"mmm yy"))</f>
        <v>-</v>
      </c>
      <c r="M46" s="350" t="str" cm="1">
        <f t="array" aca="1" ref="M46" ca="1">IF($D46&lt;&gt;"DO","",INDEX('Profit Plan'!$T$27:$T$226,$R46))</f>
        <v/>
      </c>
      <c r="N46" s="350" t="str" cm="1">
        <f t="array" aca="1" ref="N46" ca="1">IF($D46&lt;&gt;"DO","",INDEX('Profit Plan'!$U$27:$U$226,$R46))</f>
        <v/>
      </c>
      <c r="O46" s="350" t="str" cm="1">
        <f t="array" aca="1" ref="O46" ca="1">IF($D46&lt;&gt;"DO","",INDEX('Profit Plan'!$V$27:$V$226,$R46))</f>
        <v/>
      </c>
      <c r="P46" s="337">
        <f ca="1">IF($R46="","",'Profit Plan'!$E$8+SUM($H$18:$H46))</f>
        <v>11.163177860506735</v>
      </c>
      <c r="Q46" s="335"/>
      <c r="R46" s="354">
        <f>IF($A46="","",IFERROR(MATCH($A46,'Profit Plan'!$P$27:$P$226,0),""))</f>
        <v>3</v>
      </c>
    </row>
    <row r="47" spans="1:18" x14ac:dyDescent="0.3">
      <c r="A47" s="336">
        <f>IF(ROW()-17&gt;COUNT('Profit Plan'!$P$27:$P$226),"",ROW()-17)</f>
        <v>30</v>
      </c>
      <c r="B47" s="335" t="str" cm="1">
        <f t="array" ref="B47">IF($R47="","",INDEX('Profit Plan'!$A$27:$A$226,$R47))</f>
        <v>AL25148-0100D</v>
      </c>
      <c r="C47" s="335" t="str" cm="1">
        <f t="array" ref="C47">IF($R47="","",INDEX('Profit Plan'!$B$27:$B$226,$R47))</f>
        <v>Concept Design</v>
      </c>
      <c r="D47" s="349" t="str" cm="1">
        <f t="array" aca="1" ref="D47" ca="1">IF($R47="","",INDEX('Profit Plan'!$R$27:$R$226,$R47))</f>
        <v>DEFER</v>
      </c>
      <c r="E47" s="350" cm="1">
        <f t="array" ref="E47">IF($R47="","",INDEX('Profit Plan'!$M$27:$M$226,$R47))</f>
        <v>1850</v>
      </c>
      <c r="F47" s="351" cm="1">
        <f t="array" ref="F47">IF($R47="","",INDEX('Profit Plan'!$L$27:$L$226,$R47))</f>
        <v>10</v>
      </c>
      <c r="G47" s="351" cm="1">
        <f t="array" ref="G47">IF($R47="","",INDEX('Profit Plan'!$J$27:$J$226,$R47))</f>
        <v>10</v>
      </c>
      <c r="H47" s="337" t="str">
        <f t="shared" ca="1" si="2"/>
        <v/>
      </c>
      <c r="I47" s="351" cm="1">
        <f t="array" ref="I47">IF($R47="","",INDEX('Profit Plan'!$Q$27:$Q$226,$R47))</f>
        <v>25.597635135135139</v>
      </c>
      <c r="J47" s="352">
        <f ca="1">IF($R47="","",$I47/'Profit Plan'!$B$11)</f>
        <v>2.1510617760617765</v>
      </c>
      <c r="K47" s="349" t="str">
        <f ca="1">IF($D47&lt;&gt;"DO","-",TEXT(EOMONTH('Profit Plan'!$B$7,INT(($I47-$F47)/'Profit Plan'!$B$8))+1,"mmm yy"))</f>
        <v>-</v>
      </c>
      <c r="L47" s="349" t="str">
        <f ca="1">IF($D47&lt;&gt;"DO","-",TEXT(EOMONTH('Profit Plan'!$B$7,MAX(0,CEILING($I47/'Profit Plan'!$B$8,1)-1))+1,"mmm yy"))</f>
        <v>-</v>
      </c>
      <c r="M47" s="350" t="str" cm="1">
        <f t="array" aca="1" ref="M47" ca="1">IF($D47&lt;&gt;"DO","",INDEX('Profit Plan'!$T$27:$T$226,$R47))</f>
        <v/>
      </c>
      <c r="N47" s="350" t="str" cm="1">
        <f t="array" aca="1" ref="N47" ca="1">IF($D47&lt;&gt;"DO","",INDEX('Profit Plan'!$U$27:$U$226,$R47))</f>
        <v/>
      </c>
      <c r="O47" s="350" t="str" cm="1">
        <f t="array" aca="1" ref="O47" ca="1">IF($D47&lt;&gt;"DO","",INDEX('Profit Plan'!$V$27:$V$226,$R47))</f>
        <v/>
      </c>
      <c r="P47" s="337">
        <f ca="1">IF($R47="","",'Profit Plan'!$E$8+SUM($H$18:$H47))</f>
        <v>11.163177860506735</v>
      </c>
      <c r="Q47" s="335"/>
      <c r="R47" s="354">
        <f>IF($A47="","",IFERROR(MATCH($A47,'Profit Plan'!$P$27:$P$226,0),""))</f>
        <v>62</v>
      </c>
    </row>
    <row r="48" spans="1:18" x14ac:dyDescent="0.3">
      <c r="A48" s="336">
        <f>IF(ROW()-17&gt;COUNT('Profit Plan'!$P$27:$P$226),"",ROW()-17)</f>
        <v>31</v>
      </c>
      <c r="B48" s="335" t="str" cm="1">
        <f t="array" ref="B48">IF($R48="","",INDEX('Profit Plan'!$A$27:$A$226,$R48))</f>
        <v>AN24140-0100R</v>
      </c>
      <c r="C48" s="335" t="str" cm="1">
        <f t="array" ref="C48">IF($R48="","",INDEX('Profit Plan'!$B$27:$B$226,$R48))</f>
        <v>Design Review</v>
      </c>
      <c r="D48" s="349" t="str" cm="1">
        <f t="array" aca="1" ref="D48" ca="1">IF($R48="","",INDEX('Profit Plan'!$R$27:$R$226,$R48))</f>
        <v>DEFER</v>
      </c>
      <c r="E48" s="350" cm="1">
        <f t="array" ref="E48">IF($R48="","",INDEX('Profit Plan'!$M$27:$M$226,$R48))</f>
        <v>356.78571428571433</v>
      </c>
      <c r="F48" s="351" cm="1">
        <f t="array" ref="F48">IF($R48="","",INDEX('Profit Plan'!$L$27:$L$226,$R48))</f>
        <v>1.9285714285714288</v>
      </c>
      <c r="G48" s="351" cm="1">
        <f t="array" ref="G48">IF($R48="","",INDEX('Profit Plan'!$J$27:$J$226,$R48))</f>
        <v>1.35</v>
      </c>
      <c r="H48" s="337" t="str">
        <f t="shared" ca="1" si="2"/>
        <v/>
      </c>
      <c r="I48" s="351" cm="1">
        <f t="array" ref="I48">IF($R48="","",INDEX('Profit Plan'!$Q$27:$Q$226,$R48))</f>
        <v>27.526206563706566</v>
      </c>
      <c r="J48" s="352">
        <f ca="1">IF($R48="","",$I48/'Profit Plan'!$B$11)</f>
        <v>2.3131266019921486</v>
      </c>
      <c r="K48" s="349" t="str">
        <f ca="1">IF($D48&lt;&gt;"DO","-",TEXT(EOMONTH('Profit Plan'!$B$7,INT(($I48-$F48)/'Profit Plan'!$B$8))+1,"mmm yy"))</f>
        <v>-</v>
      </c>
      <c r="L48" s="349" t="str">
        <f ca="1">IF($D48&lt;&gt;"DO","-",TEXT(EOMONTH('Profit Plan'!$B$7,MAX(0,CEILING($I48/'Profit Plan'!$B$8,1)-1))+1,"mmm yy"))</f>
        <v>-</v>
      </c>
      <c r="M48" s="350" t="str" cm="1">
        <f t="array" aca="1" ref="M48" ca="1">IF($D48&lt;&gt;"DO","",INDEX('Profit Plan'!$T$27:$T$226,$R48))</f>
        <v/>
      </c>
      <c r="N48" s="350" t="str" cm="1">
        <f t="array" aca="1" ref="N48" ca="1">IF($D48&lt;&gt;"DO","",INDEX('Profit Plan'!$U$27:$U$226,$R48))</f>
        <v/>
      </c>
      <c r="O48" s="350" t="str" cm="1">
        <f t="array" aca="1" ref="O48" ca="1">IF($D48&lt;&gt;"DO","",INDEX('Profit Plan'!$V$27:$V$226,$R48))</f>
        <v/>
      </c>
      <c r="P48" s="337">
        <f ca="1">IF($R48="","",'Profit Plan'!$E$8+SUM($H$18:$H48))</f>
        <v>11.163177860506735</v>
      </c>
      <c r="Q48" s="335"/>
      <c r="R48" s="354">
        <f>IF($A48="","",IFERROR(MATCH($A48,'Profit Plan'!$P$27:$P$226,0),""))</f>
        <v>55</v>
      </c>
    </row>
    <row r="49" spans="1:18" x14ac:dyDescent="0.3">
      <c r="A49" s="336">
        <f>IF(ROW()-17&gt;COUNT('Profit Plan'!$P$27:$P$226),"",ROW()-17)</f>
        <v>32</v>
      </c>
      <c r="B49" s="335" t="str" cm="1">
        <f t="array" ref="B49">IF($R49="","",INDEX('Profit Plan'!$A$27:$A$226,$R49))</f>
        <v>E26084-0100D</v>
      </c>
      <c r="C49" s="335" t="str" cm="1">
        <f t="array" ref="C49">IF($R49="","",INDEX('Profit Plan'!$B$27:$B$226,$R49))</f>
        <v>Schematic Design</v>
      </c>
      <c r="D49" s="349" t="str" cm="1">
        <f t="array" aca="1" ref="D49" ca="1">IF($R49="","",INDEX('Profit Plan'!$R$27:$R$226,$R49))</f>
        <v>DEFER</v>
      </c>
      <c r="E49" s="350" cm="1">
        <f t="array" ref="E49">IF($R49="","",INDEX('Profit Plan'!$M$27:$M$226,$R49))</f>
        <v>100</v>
      </c>
      <c r="F49" s="351" cm="1">
        <f t="array" ref="F49">IF($R49="","",INDEX('Profit Plan'!$L$27:$L$226,$R49))</f>
        <v>0.54054054054054057</v>
      </c>
      <c r="G49" s="351" cm="1">
        <f t="array" ref="G49">IF($R49="","",INDEX('Profit Plan'!$J$27:$J$226,$R49))</f>
        <v>0.26249999999999996</v>
      </c>
      <c r="H49" s="337" t="str">
        <f t="shared" ca="1" si="2"/>
        <v/>
      </c>
      <c r="I49" s="351" cm="1">
        <f t="array" ref="I49">IF($R49="","",INDEX('Profit Plan'!$Q$27:$Q$226,$R49))</f>
        <v>28.066747104247106</v>
      </c>
      <c r="J49" s="352">
        <f ca="1">IF($R49="","",$I49/'Profit Plan'!$B$11)</f>
        <v>2.3585501768274884</v>
      </c>
      <c r="K49" s="349" t="str">
        <f ca="1">IF($D49&lt;&gt;"DO","-",TEXT(EOMONTH('Profit Plan'!$B$7,INT(($I49-$F49)/'Profit Plan'!$B$8))+1,"mmm yy"))</f>
        <v>-</v>
      </c>
      <c r="L49" s="349" t="str">
        <f ca="1">IF($D49&lt;&gt;"DO","-",TEXT(EOMONTH('Profit Plan'!$B$7,MAX(0,CEILING($I49/'Profit Plan'!$B$8,1)-1))+1,"mmm yy"))</f>
        <v>-</v>
      </c>
      <c r="M49" s="350" t="str" cm="1">
        <f t="array" aca="1" ref="M49" ca="1">IF($D49&lt;&gt;"DO","",INDEX('Profit Plan'!$T$27:$T$226,$R49))</f>
        <v/>
      </c>
      <c r="N49" s="350" t="str" cm="1">
        <f t="array" aca="1" ref="N49" ca="1">IF($D49&lt;&gt;"DO","",INDEX('Profit Plan'!$U$27:$U$226,$R49))</f>
        <v/>
      </c>
      <c r="O49" s="350" t="str" cm="1">
        <f t="array" aca="1" ref="O49" ca="1">IF($D49&lt;&gt;"DO","",INDEX('Profit Plan'!$V$27:$V$226,$R49))</f>
        <v/>
      </c>
      <c r="P49" s="337">
        <f ca="1">IF($R49="","",'Profit Plan'!$E$8+SUM($H$18:$H49))</f>
        <v>11.163177860506735</v>
      </c>
      <c r="Q49" s="335"/>
      <c r="R49" s="354">
        <f>IF($A49="","",IFERROR(MATCH($A49,'Profit Plan'!$P$27:$P$226,0),""))</f>
        <v>2</v>
      </c>
    </row>
    <row r="50" spans="1:18" x14ac:dyDescent="0.3">
      <c r="A50" s="336" t="str">
        <f>IF(ROW()-17&gt;COUNT('Profit Plan'!$P$27:$P$226),"",ROW()-17)</f>
        <v/>
      </c>
      <c r="B50" s="335" t="str" cm="1">
        <f t="array" ref="B50">IF($R50="","",INDEX('Profit Plan'!$A$27:$A$226,$R50))</f>
        <v/>
      </c>
      <c r="C50" s="335" t="str" cm="1">
        <f t="array" ref="C50">IF($R50="","",INDEX('Profit Plan'!$B$27:$B$226,$R50))</f>
        <v/>
      </c>
      <c r="D50" s="349" t="str" cm="1">
        <f t="array" ref="D50">IF($R50="","",INDEX('Profit Plan'!$R$27:$R$226,$R50))</f>
        <v/>
      </c>
      <c r="E50" s="350" t="str" cm="1">
        <f t="array" ref="E50">IF($R50="","",INDEX('Profit Plan'!$M$27:$M$226,$R50))</f>
        <v/>
      </c>
      <c r="F50" s="351" t="str" cm="1">
        <f t="array" ref="F50">IF($R50="","",INDEX('Profit Plan'!$L$27:$L$226,$R50))</f>
        <v/>
      </c>
      <c r="G50" s="351" t="str" cm="1">
        <f t="array" ref="G50">IF($R50="","",INDEX('Profit Plan'!$J$27:$J$226,$R50))</f>
        <v/>
      </c>
      <c r="H50" s="337" t="str">
        <f t="shared" si="2"/>
        <v/>
      </c>
      <c r="I50" s="351" t="str" cm="1">
        <f t="array" ref="I50">IF($R50="","",INDEX('Profit Plan'!$Q$27:$Q$226,$R50))</f>
        <v/>
      </c>
      <c r="J50" s="352" t="str">
        <f>IF($R50="","",$I50/'Profit Plan'!$B$11)</f>
        <v/>
      </c>
      <c r="K50" s="349" t="str">
        <f>IF($D50&lt;&gt;"DO","-",TEXT(EOMONTH('Profit Plan'!$B$7,INT(($I50-$F50)/'Profit Plan'!$B$8))+1,"mmm yy"))</f>
        <v>-</v>
      </c>
      <c r="L50" s="349" t="str">
        <f>IF($D50&lt;&gt;"DO","-",TEXT(EOMONTH('Profit Plan'!$B$7,MAX(0,CEILING($I50/'Profit Plan'!$B$8,1)-1))+1,"mmm yy"))</f>
        <v>-</v>
      </c>
      <c r="M50" s="350" t="str" cm="1">
        <f t="array" ref="M50">IF($D50&lt;&gt;"DO","",INDEX('Profit Plan'!$T$27:$T$226,$R50))</f>
        <v/>
      </c>
      <c r="N50" s="350" t="str" cm="1">
        <f t="array" ref="N50">IF($D50&lt;&gt;"DO","",INDEX('Profit Plan'!$U$27:$U$226,$R50))</f>
        <v/>
      </c>
      <c r="O50" s="350" t="str" cm="1">
        <f t="array" ref="O50">IF($D50&lt;&gt;"DO","",INDEX('Profit Plan'!$V$27:$V$226,$R50))</f>
        <v/>
      </c>
      <c r="P50" s="337" t="str">
        <f>IF($R50="","",'Profit Plan'!$E$8+SUM($H$18:$H50))</f>
        <v/>
      </c>
      <c r="Q50" s="335"/>
      <c r="R50" s="354" t="str">
        <f>IF($A50="","",IFERROR(MATCH($A50,'Profit Plan'!$P$27:$P$226,0),""))</f>
        <v/>
      </c>
    </row>
    <row r="51" spans="1:18" x14ac:dyDescent="0.3">
      <c r="A51" s="336" t="str">
        <f>IF(ROW()-17&gt;COUNT('Profit Plan'!$P$27:$P$226),"",ROW()-17)</f>
        <v/>
      </c>
      <c r="B51" s="335" t="str" cm="1">
        <f t="array" ref="B51">IF($R51="","",INDEX('Profit Plan'!$A$27:$A$226,$R51))</f>
        <v/>
      </c>
      <c r="C51" s="335" t="str" cm="1">
        <f t="array" ref="C51">IF($R51="","",INDEX('Profit Plan'!$B$27:$B$226,$R51))</f>
        <v/>
      </c>
      <c r="D51" s="349" t="str" cm="1">
        <f t="array" ref="D51">IF($R51="","",INDEX('Profit Plan'!$R$27:$R$226,$R51))</f>
        <v/>
      </c>
      <c r="E51" s="350" t="str" cm="1">
        <f t="array" ref="E51">IF($R51="","",INDEX('Profit Plan'!$M$27:$M$226,$R51))</f>
        <v/>
      </c>
      <c r="F51" s="351" t="str" cm="1">
        <f t="array" ref="F51">IF($R51="","",INDEX('Profit Plan'!$L$27:$L$226,$R51))</f>
        <v/>
      </c>
      <c r="G51" s="351" t="str" cm="1">
        <f t="array" ref="G51">IF($R51="","",INDEX('Profit Plan'!$J$27:$J$226,$R51))</f>
        <v/>
      </c>
      <c r="H51" s="337" t="str">
        <f t="shared" si="2"/>
        <v/>
      </c>
      <c r="I51" s="351" t="str" cm="1">
        <f t="array" ref="I51">IF($R51="","",INDEX('Profit Plan'!$Q$27:$Q$226,$R51))</f>
        <v/>
      </c>
      <c r="J51" s="352" t="str">
        <f>IF($R51="","",$I51/'Profit Plan'!$B$11)</f>
        <v/>
      </c>
      <c r="K51" s="349" t="str">
        <f>IF($D51&lt;&gt;"DO","-",TEXT(EOMONTH('Profit Plan'!$B$7,INT(($I51-$F51)/'Profit Plan'!$B$8))+1,"mmm yy"))</f>
        <v>-</v>
      </c>
      <c r="L51" s="349" t="str">
        <f>IF($D51&lt;&gt;"DO","-",TEXT(EOMONTH('Profit Plan'!$B$7,MAX(0,CEILING($I51/'Profit Plan'!$B$8,1)-1))+1,"mmm yy"))</f>
        <v>-</v>
      </c>
      <c r="M51" s="350" t="str" cm="1">
        <f t="array" ref="M51">IF($D51&lt;&gt;"DO","",INDEX('Profit Plan'!$T$27:$T$226,$R51))</f>
        <v/>
      </c>
      <c r="N51" s="350" t="str" cm="1">
        <f t="array" ref="N51">IF($D51&lt;&gt;"DO","",INDEX('Profit Plan'!$U$27:$U$226,$R51))</f>
        <v/>
      </c>
      <c r="O51" s="350" t="str" cm="1">
        <f t="array" ref="O51">IF($D51&lt;&gt;"DO","",INDEX('Profit Plan'!$V$27:$V$226,$R51))</f>
        <v/>
      </c>
      <c r="P51" s="337" t="str">
        <f>IF($R51="","",'Profit Plan'!$E$8+SUM($H$18:$H51))</f>
        <v/>
      </c>
      <c r="Q51" s="335"/>
      <c r="R51" s="354" t="str">
        <f>IF($A51="","",IFERROR(MATCH($A51,'Profit Plan'!$P$27:$P$226,0),""))</f>
        <v/>
      </c>
    </row>
    <row r="52" spans="1:18" x14ac:dyDescent="0.3">
      <c r="A52" s="336" t="str">
        <f>IF(ROW()-17&gt;COUNT('Profit Plan'!$P$27:$P$226),"",ROW()-17)</f>
        <v/>
      </c>
      <c r="B52" s="335" t="str" cm="1">
        <f t="array" ref="B52">IF($R52="","",INDEX('Profit Plan'!$A$27:$A$226,$R52))</f>
        <v/>
      </c>
      <c r="C52" s="335" t="str" cm="1">
        <f t="array" ref="C52">IF($R52="","",INDEX('Profit Plan'!$B$27:$B$226,$R52))</f>
        <v/>
      </c>
      <c r="D52" s="349" t="str" cm="1">
        <f t="array" ref="D52">IF($R52="","",INDEX('Profit Plan'!$R$27:$R$226,$R52))</f>
        <v/>
      </c>
      <c r="E52" s="350" t="str" cm="1">
        <f t="array" ref="E52">IF($R52="","",INDEX('Profit Plan'!$M$27:$M$226,$R52))</f>
        <v/>
      </c>
      <c r="F52" s="351" t="str" cm="1">
        <f t="array" ref="F52">IF($R52="","",INDEX('Profit Plan'!$L$27:$L$226,$R52))</f>
        <v/>
      </c>
      <c r="G52" s="351" t="str" cm="1">
        <f t="array" ref="G52">IF($R52="","",INDEX('Profit Plan'!$J$27:$J$226,$R52))</f>
        <v/>
      </c>
      <c r="H52" s="337" t="str">
        <f t="shared" si="2"/>
        <v/>
      </c>
      <c r="I52" s="351" t="str" cm="1">
        <f t="array" ref="I52">IF($R52="","",INDEX('Profit Plan'!$Q$27:$Q$226,$R52))</f>
        <v/>
      </c>
      <c r="J52" s="352" t="str">
        <f>IF($R52="","",$I52/'Profit Plan'!$B$11)</f>
        <v/>
      </c>
      <c r="K52" s="349" t="str">
        <f>IF($D52&lt;&gt;"DO","-",TEXT(EOMONTH('Profit Plan'!$B$7,INT(($I52-$F52)/'Profit Plan'!$B$8))+1,"mmm yy"))</f>
        <v>-</v>
      </c>
      <c r="L52" s="349" t="str">
        <f>IF($D52&lt;&gt;"DO","-",TEXT(EOMONTH('Profit Plan'!$B$7,MAX(0,CEILING($I52/'Profit Plan'!$B$8,1)-1))+1,"mmm yy"))</f>
        <v>-</v>
      </c>
      <c r="M52" s="350" t="str" cm="1">
        <f t="array" ref="M52">IF($D52&lt;&gt;"DO","",INDEX('Profit Plan'!$T$27:$T$226,$R52))</f>
        <v/>
      </c>
      <c r="N52" s="350" t="str" cm="1">
        <f t="array" ref="N52">IF($D52&lt;&gt;"DO","",INDEX('Profit Plan'!$U$27:$U$226,$R52))</f>
        <v/>
      </c>
      <c r="O52" s="350" t="str" cm="1">
        <f t="array" ref="O52">IF($D52&lt;&gt;"DO","",INDEX('Profit Plan'!$V$27:$V$226,$R52))</f>
        <v/>
      </c>
      <c r="P52" s="337" t="str">
        <f>IF($R52="","",'Profit Plan'!$E$8+SUM($H$18:$H52))</f>
        <v/>
      </c>
      <c r="Q52" s="335"/>
      <c r="R52" s="354" t="str">
        <f>IF($A52="","",IFERROR(MATCH($A52,'Profit Plan'!$P$27:$P$226,0),""))</f>
        <v/>
      </c>
    </row>
    <row r="53" spans="1:18" x14ac:dyDescent="0.3">
      <c r="A53" s="336" t="str">
        <f>IF(ROW()-17&gt;COUNT('Profit Plan'!$P$27:$P$226),"",ROW()-17)</f>
        <v/>
      </c>
      <c r="B53" s="335" t="str" cm="1">
        <f t="array" ref="B53">IF($R53="","",INDEX('Profit Plan'!$A$27:$A$226,$R53))</f>
        <v/>
      </c>
      <c r="C53" s="335" t="str" cm="1">
        <f t="array" ref="C53">IF($R53="","",INDEX('Profit Plan'!$B$27:$B$226,$R53))</f>
        <v/>
      </c>
      <c r="D53" s="349" t="str" cm="1">
        <f t="array" ref="D53">IF($R53="","",INDEX('Profit Plan'!$R$27:$R$226,$R53))</f>
        <v/>
      </c>
      <c r="E53" s="350" t="str" cm="1">
        <f t="array" ref="E53">IF($R53="","",INDEX('Profit Plan'!$M$27:$M$226,$R53))</f>
        <v/>
      </c>
      <c r="F53" s="351" t="str" cm="1">
        <f t="array" ref="F53">IF($R53="","",INDEX('Profit Plan'!$L$27:$L$226,$R53))</f>
        <v/>
      </c>
      <c r="G53" s="351" t="str" cm="1">
        <f t="array" ref="G53">IF($R53="","",INDEX('Profit Plan'!$J$27:$J$226,$R53))</f>
        <v/>
      </c>
      <c r="H53" s="337" t="str">
        <f t="shared" si="2"/>
        <v/>
      </c>
      <c r="I53" s="351" t="str" cm="1">
        <f t="array" ref="I53">IF($R53="","",INDEX('Profit Plan'!$Q$27:$Q$226,$R53))</f>
        <v/>
      </c>
      <c r="J53" s="352" t="str">
        <f>IF($R53="","",$I53/'Profit Plan'!$B$11)</f>
        <v/>
      </c>
      <c r="K53" s="349" t="str">
        <f>IF($D53&lt;&gt;"DO","-",TEXT(EOMONTH('Profit Plan'!$B$7,INT(($I53-$F53)/'Profit Plan'!$B$8))+1,"mmm yy"))</f>
        <v>-</v>
      </c>
      <c r="L53" s="349" t="str">
        <f>IF($D53&lt;&gt;"DO","-",TEXT(EOMONTH('Profit Plan'!$B$7,MAX(0,CEILING($I53/'Profit Plan'!$B$8,1)-1))+1,"mmm yy"))</f>
        <v>-</v>
      </c>
      <c r="M53" s="350" t="str" cm="1">
        <f t="array" ref="M53">IF($D53&lt;&gt;"DO","",INDEX('Profit Plan'!$T$27:$T$226,$R53))</f>
        <v/>
      </c>
      <c r="N53" s="350" t="str" cm="1">
        <f t="array" ref="N53">IF($D53&lt;&gt;"DO","",INDEX('Profit Plan'!$U$27:$U$226,$R53))</f>
        <v/>
      </c>
      <c r="O53" s="350" t="str" cm="1">
        <f t="array" ref="O53">IF($D53&lt;&gt;"DO","",INDEX('Profit Plan'!$V$27:$V$226,$R53))</f>
        <v/>
      </c>
      <c r="P53" s="337" t="str">
        <f>IF($R53="","",'Profit Plan'!$E$8+SUM($H$18:$H53))</f>
        <v/>
      </c>
      <c r="Q53" s="335"/>
      <c r="R53" s="354" t="str">
        <f>IF($A53="","",IFERROR(MATCH($A53,'Profit Plan'!$P$27:$P$226,0),""))</f>
        <v/>
      </c>
    </row>
    <row r="54" spans="1:18" x14ac:dyDescent="0.3">
      <c r="A54" s="336" t="str">
        <f>IF(ROW()-17&gt;COUNT('Profit Plan'!$P$27:$P$226),"",ROW()-17)</f>
        <v/>
      </c>
      <c r="B54" s="335" t="str" cm="1">
        <f t="array" ref="B54">IF($R54="","",INDEX('Profit Plan'!$A$27:$A$226,$R54))</f>
        <v/>
      </c>
      <c r="C54" s="335" t="str" cm="1">
        <f t="array" ref="C54">IF($R54="","",INDEX('Profit Plan'!$B$27:$B$226,$R54))</f>
        <v/>
      </c>
      <c r="D54" s="349" t="str" cm="1">
        <f t="array" ref="D54">IF($R54="","",INDEX('Profit Plan'!$R$27:$R$226,$R54))</f>
        <v/>
      </c>
      <c r="E54" s="350" t="str" cm="1">
        <f t="array" ref="E54">IF($R54="","",INDEX('Profit Plan'!$M$27:$M$226,$R54))</f>
        <v/>
      </c>
      <c r="F54" s="351" t="str" cm="1">
        <f t="array" ref="F54">IF($R54="","",INDEX('Profit Plan'!$L$27:$L$226,$R54))</f>
        <v/>
      </c>
      <c r="G54" s="351" t="str" cm="1">
        <f t="array" ref="G54">IF($R54="","",INDEX('Profit Plan'!$J$27:$J$226,$R54))</f>
        <v/>
      </c>
      <c r="H54" s="337" t="str">
        <f t="shared" si="2"/>
        <v/>
      </c>
      <c r="I54" s="351" t="str" cm="1">
        <f t="array" ref="I54">IF($R54="","",INDEX('Profit Plan'!$Q$27:$Q$226,$R54))</f>
        <v/>
      </c>
      <c r="J54" s="352" t="str">
        <f>IF($R54="","",$I54/'Profit Plan'!$B$11)</f>
        <v/>
      </c>
      <c r="K54" s="349" t="str">
        <f>IF($D54&lt;&gt;"DO","-",TEXT(EOMONTH('Profit Plan'!$B$7,INT(($I54-$F54)/'Profit Plan'!$B$8))+1,"mmm yy"))</f>
        <v>-</v>
      </c>
      <c r="L54" s="349" t="str">
        <f>IF($D54&lt;&gt;"DO","-",TEXT(EOMONTH('Profit Plan'!$B$7,MAX(0,CEILING($I54/'Profit Plan'!$B$8,1)-1))+1,"mmm yy"))</f>
        <v>-</v>
      </c>
      <c r="M54" s="350" t="str" cm="1">
        <f t="array" ref="M54">IF($D54&lt;&gt;"DO","",INDEX('Profit Plan'!$T$27:$T$226,$R54))</f>
        <v/>
      </c>
      <c r="N54" s="350" t="str" cm="1">
        <f t="array" ref="N54">IF($D54&lt;&gt;"DO","",INDEX('Profit Plan'!$U$27:$U$226,$R54))</f>
        <v/>
      </c>
      <c r="O54" s="350" t="str" cm="1">
        <f t="array" ref="O54">IF($D54&lt;&gt;"DO","",INDEX('Profit Plan'!$V$27:$V$226,$R54))</f>
        <v/>
      </c>
      <c r="P54" s="337" t="str">
        <f>IF($R54="","",'Profit Plan'!$E$8+SUM($H$18:$H54))</f>
        <v/>
      </c>
      <c r="Q54" s="335"/>
      <c r="R54" s="354" t="str">
        <f>IF($A54="","",IFERROR(MATCH($A54,'Profit Plan'!$P$27:$P$226,0),""))</f>
        <v/>
      </c>
    </row>
    <row r="55" spans="1:18" x14ac:dyDescent="0.3">
      <c r="A55" s="336" t="str">
        <f>IF(ROW()-17&gt;COUNT('Profit Plan'!$P$27:$P$226),"",ROW()-17)</f>
        <v/>
      </c>
      <c r="B55" s="335" t="str" cm="1">
        <f t="array" ref="B55">IF($R55="","",INDEX('Profit Plan'!$A$27:$A$226,$R55))</f>
        <v/>
      </c>
      <c r="C55" s="335" t="str" cm="1">
        <f t="array" ref="C55">IF($R55="","",INDEX('Profit Plan'!$B$27:$B$226,$R55))</f>
        <v/>
      </c>
      <c r="D55" s="349" t="str" cm="1">
        <f t="array" ref="D55">IF($R55="","",INDEX('Profit Plan'!$R$27:$R$226,$R55))</f>
        <v/>
      </c>
      <c r="E55" s="350" t="str" cm="1">
        <f t="array" ref="E55">IF($R55="","",INDEX('Profit Plan'!$M$27:$M$226,$R55))</f>
        <v/>
      </c>
      <c r="F55" s="351" t="str" cm="1">
        <f t="array" ref="F55">IF($R55="","",INDEX('Profit Plan'!$L$27:$L$226,$R55))</f>
        <v/>
      </c>
      <c r="G55" s="351" t="str" cm="1">
        <f t="array" ref="G55">IF($R55="","",INDEX('Profit Plan'!$J$27:$J$226,$R55))</f>
        <v/>
      </c>
      <c r="H55" s="337" t="str">
        <f t="shared" si="2"/>
        <v/>
      </c>
      <c r="I55" s="351" t="str" cm="1">
        <f t="array" ref="I55">IF($R55="","",INDEX('Profit Plan'!$Q$27:$Q$226,$R55))</f>
        <v/>
      </c>
      <c r="J55" s="352" t="str">
        <f>IF($R55="","",$I55/'Profit Plan'!$B$11)</f>
        <v/>
      </c>
      <c r="K55" s="349" t="str">
        <f>IF($D55&lt;&gt;"DO","-",TEXT(EOMONTH('Profit Plan'!$B$7,INT(($I55-$F55)/'Profit Plan'!$B$8))+1,"mmm yy"))</f>
        <v>-</v>
      </c>
      <c r="L55" s="349" t="str">
        <f>IF($D55&lt;&gt;"DO","-",TEXT(EOMONTH('Profit Plan'!$B$7,MAX(0,CEILING($I55/'Profit Plan'!$B$8,1)-1))+1,"mmm yy"))</f>
        <v>-</v>
      </c>
      <c r="M55" s="350" t="str" cm="1">
        <f t="array" ref="M55">IF($D55&lt;&gt;"DO","",INDEX('Profit Plan'!$T$27:$T$226,$R55))</f>
        <v/>
      </c>
      <c r="N55" s="350" t="str" cm="1">
        <f t="array" ref="N55">IF($D55&lt;&gt;"DO","",INDEX('Profit Plan'!$U$27:$U$226,$R55))</f>
        <v/>
      </c>
      <c r="O55" s="350" t="str" cm="1">
        <f t="array" ref="O55">IF($D55&lt;&gt;"DO","",INDEX('Profit Plan'!$V$27:$V$226,$R55))</f>
        <v/>
      </c>
      <c r="P55" s="337" t="str">
        <f>IF($R55="","",'Profit Plan'!$E$8+SUM($H$18:$H55))</f>
        <v/>
      </c>
      <c r="Q55" s="335"/>
      <c r="R55" s="354" t="str">
        <f>IF($A55="","",IFERROR(MATCH($A55,'Profit Plan'!$P$27:$P$226,0),""))</f>
        <v/>
      </c>
    </row>
    <row r="56" spans="1:18" x14ac:dyDescent="0.3">
      <c r="A56" s="336" t="str">
        <f>IF(ROW()-17&gt;COUNT('Profit Plan'!$P$27:$P$226),"",ROW()-17)</f>
        <v/>
      </c>
      <c r="B56" s="335" t="str" cm="1">
        <f t="array" ref="B56">IF($R56="","",INDEX('Profit Plan'!$A$27:$A$226,$R56))</f>
        <v/>
      </c>
      <c r="C56" s="335" t="str" cm="1">
        <f t="array" ref="C56">IF($R56="","",INDEX('Profit Plan'!$B$27:$B$226,$R56))</f>
        <v/>
      </c>
      <c r="D56" s="349" t="str" cm="1">
        <f t="array" ref="D56">IF($R56="","",INDEX('Profit Plan'!$R$27:$R$226,$R56))</f>
        <v/>
      </c>
      <c r="E56" s="350" t="str" cm="1">
        <f t="array" ref="E56">IF($R56="","",INDEX('Profit Plan'!$M$27:$M$226,$R56))</f>
        <v/>
      </c>
      <c r="F56" s="351" t="str" cm="1">
        <f t="array" ref="F56">IF($R56="","",INDEX('Profit Plan'!$L$27:$L$226,$R56))</f>
        <v/>
      </c>
      <c r="G56" s="351" t="str" cm="1">
        <f t="array" ref="G56">IF($R56="","",INDEX('Profit Plan'!$J$27:$J$226,$R56))</f>
        <v/>
      </c>
      <c r="H56" s="337" t="str">
        <f t="shared" si="2"/>
        <v/>
      </c>
      <c r="I56" s="351" t="str" cm="1">
        <f t="array" ref="I56">IF($R56="","",INDEX('Profit Plan'!$Q$27:$Q$226,$R56))</f>
        <v/>
      </c>
      <c r="J56" s="352" t="str">
        <f>IF($R56="","",$I56/'Profit Plan'!$B$11)</f>
        <v/>
      </c>
      <c r="K56" s="349" t="str">
        <f>IF($D56&lt;&gt;"DO","-",TEXT(EOMONTH('Profit Plan'!$B$7,INT(($I56-$F56)/'Profit Plan'!$B$8))+1,"mmm yy"))</f>
        <v>-</v>
      </c>
      <c r="L56" s="349" t="str">
        <f>IF($D56&lt;&gt;"DO","-",TEXT(EOMONTH('Profit Plan'!$B$7,MAX(0,CEILING($I56/'Profit Plan'!$B$8,1)-1))+1,"mmm yy"))</f>
        <v>-</v>
      </c>
      <c r="M56" s="350" t="str" cm="1">
        <f t="array" ref="M56">IF($D56&lt;&gt;"DO","",INDEX('Profit Plan'!$T$27:$T$226,$R56))</f>
        <v/>
      </c>
      <c r="N56" s="350" t="str" cm="1">
        <f t="array" ref="N56">IF($D56&lt;&gt;"DO","",INDEX('Profit Plan'!$U$27:$U$226,$R56))</f>
        <v/>
      </c>
      <c r="O56" s="350" t="str" cm="1">
        <f t="array" ref="O56">IF($D56&lt;&gt;"DO","",INDEX('Profit Plan'!$V$27:$V$226,$R56))</f>
        <v/>
      </c>
      <c r="P56" s="337" t="str">
        <f>IF($R56="","",'Profit Plan'!$E$8+SUM($H$18:$H56))</f>
        <v/>
      </c>
      <c r="Q56" s="335"/>
      <c r="R56" s="354" t="str">
        <f>IF($A56="","",IFERROR(MATCH($A56,'Profit Plan'!$P$27:$P$226,0),""))</f>
        <v/>
      </c>
    </row>
    <row r="57" spans="1:18" x14ac:dyDescent="0.3">
      <c r="A57" s="336" t="str">
        <f>IF(ROW()-17&gt;COUNT('Profit Plan'!$P$27:$P$226),"",ROW()-17)</f>
        <v/>
      </c>
      <c r="B57" s="335" t="str" cm="1">
        <f t="array" ref="B57">IF($R57="","",INDEX('Profit Plan'!$A$27:$A$226,$R57))</f>
        <v/>
      </c>
      <c r="C57" s="335" t="str" cm="1">
        <f t="array" ref="C57">IF($R57="","",INDEX('Profit Plan'!$B$27:$B$226,$R57))</f>
        <v/>
      </c>
      <c r="D57" s="349" t="str" cm="1">
        <f t="array" ref="D57">IF($R57="","",INDEX('Profit Plan'!$R$27:$R$226,$R57))</f>
        <v/>
      </c>
      <c r="E57" s="350" t="str" cm="1">
        <f t="array" ref="E57">IF($R57="","",INDEX('Profit Plan'!$M$27:$M$226,$R57))</f>
        <v/>
      </c>
      <c r="F57" s="351" t="str" cm="1">
        <f t="array" ref="F57">IF($R57="","",INDEX('Profit Plan'!$L$27:$L$226,$R57))</f>
        <v/>
      </c>
      <c r="G57" s="351" t="str" cm="1">
        <f t="array" ref="G57">IF($R57="","",INDEX('Profit Plan'!$J$27:$J$226,$R57))</f>
        <v/>
      </c>
      <c r="H57" s="337" t="str">
        <f t="shared" si="2"/>
        <v/>
      </c>
      <c r="I57" s="351" t="str" cm="1">
        <f t="array" ref="I57">IF($R57="","",INDEX('Profit Plan'!$Q$27:$Q$226,$R57))</f>
        <v/>
      </c>
      <c r="J57" s="352" t="str">
        <f>IF($R57="","",$I57/'Profit Plan'!$B$11)</f>
        <v/>
      </c>
      <c r="K57" s="349" t="str">
        <f>IF($D57&lt;&gt;"DO","-",TEXT(EOMONTH('Profit Plan'!$B$7,INT(($I57-$F57)/'Profit Plan'!$B$8))+1,"mmm yy"))</f>
        <v>-</v>
      </c>
      <c r="L57" s="349" t="str">
        <f>IF($D57&lt;&gt;"DO","-",TEXT(EOMONTH('Profit Plan'!$B$7,MAX(0,CEILING($I57/'Profit Plan'!$B$8,1)-1))+1,"mmm yy"))</f>
        <v>-</v>
      </c>
      <c r="M57" s="350" t="str" cm="1">
        <f t="array" ref="M57">IF($D57&lt;&gt;"DO","",INDEX('Profit Plan'!$T$27:$T$226,$R57))</f>
        <v/>
      </c>
      <c r="N57" s="350" t="str" cm="1">
        <f t="array" ref="N57">IF($D57&lt;&gt;"DO","",INDEX('Profit Plan'!$U$27:$U$226,$R57))</f>
        <v/>
      </c>
      <c r="O57" s="350" t="str" cm="1">
        <f t="array" ref="O57">IF($D57&lt;&gt;"DO","",INDEX('Profit Plan'!$V$27:$V$226,$R57))</f>
        <v/>
      </c>
      <c r="P57" s="337" t="str">
        <f>IF($R57="","",'Profit Plan'!$E$8+SUM($H$18:$H57))</f>
        <v/>
      </c>
      <c r="Q57" s="335"/>
      <c r="R57" s="354" t="str">
        <f>IF($A57="","",IFERROR(MATCH($A57,'Profit Plan'!$P$27:$P$226,0),""))</f>
        <v/>
      </c>
    </row>
    <row r="58" spans="1:18" x14ac:dyDescent="0.3">
      <c r="A58" s="336" t="str">
        <f>IF(ROW()-17&gt;COUNT('Profit Plan'!$P$27:$P$226),"",ROW()-17)</f>
        <v/>
      </c>
      <c r="B58" s="335" t="str" cm="1">
        <f t="array" ref="B58">IF($R58="","",INDEX('Profit Plan'!$A$27:$A$226,$R58))</f>
        <v/>
      </c>
      <c r="C58" s="335" t="str" cm="1">
        <f t="array" ref="C58">IF($R58="","",INDEX('Profit Plan'!$B$27:$B$226,$R58))</f>
        <v/>
      </c>
      <c r="D58" s="349" t="str" cm="1">
        <f t="array" ref="D58">IF($R58="","",INDEX('Profit Plan'!$R$27:$R$226,$R58))</f>
        <v/>
      </c>
      <c r="E58" s="350" t="str" cm="1">
        <f t="array" ref="E58">IF($R58="","",INDEX('Profit Plan'!$M$27:$M$226,$R58))</f>
        <v/>
      </c>
      <c r="F58" s="351" t="str" cm="1">
        <f t="array" ref="F58">IF($R58="","",INDEX('Profit Plan'!$L$27:$L$226,$R58))</f>
        <v/>
      </c>
      <c r="G58" s="351" t="str" cm="1">
        <f t="array" ref="G58">IF($R58="","",INDEX('Profit Plan'!$J$27:$J$226,$R58))</f>
        <v/>
      </c>
      <c r="H58" s="337" t="str">
        <f t="shared" si="2"/>
        <v/>
      </c>
      <c r="I58" s="351" t="str" cm="1">
        <f t="array" ref="I58">IF($R58="","",INDEX('Profit Plan'!$Q$27:$Q$226,$R58))</f>
        <v/>
      </c>
      <c r="J58" s="352" t="str">
        <f>IF($R58="","",$I58/'Profit Plan'!$B$11)</f>
        <v/>
      </c>
      <c r="K58" s="349" t="str">
        <f>IF($D58&lt;&gt;"DO","-",TEXT(EOMONTH('Profit Plan'!$B$7,INT(($I58-$F58)/'Profit Plan'!$B$8))+1,"mmm yy"))</f>
        <v>-</v>
      </c>
      <c r="L58" s="349" t="str">
        <f>IF($D58&lt;&gt;"DO","-",TEXT(EOMONTH('Profit Plan'!$B$7,MAX(0,CEILING($I58/'Profit Plan'!$B$8,1)-1))+1,"mmm yy"))</f>
        <v>-</v>
      </c>
      <c r="M58" s="350" t="str" cm="1">
        <f t="array" ref="M58">IF($D58&lt;&gt;"DO","",INDEX('Profit Plan'!$T$27:$T$226,$R58))</f>
        <v/>
      </c>
      <c r="N58" s="350" t="str" cm="1">
        <f t="array" ref="N58">IF($D58&lt;&gt;"DO","",INDEX('Profit Plan'!$U$27:$U$226,$R58))</f>
        <v/>
      </c>
      <c r="O58" s="350" t="str" cm="1">
        <f t="array" ref="O58">IF($D58&lt;&gt;"DO","",INDEX('Profit Plan'!$V$27:$V$226,$R58))</f>
        <v/>
      </c>
      <c r="P58" s="337" t="str">
        <f>IF($R58="","",'Profit Plan'!$E$8+SUM($H$18:$H58))</f>
        <v/>
      </c>
      <c r="Q58" s="335"/>
      <c r="R58" s="354" t="str">
        <f>IF($A58="","",IFERROR(MATCH($A58,'Profit Plan'!$P$27:$P$226,0),""))</f>
        <v/>
      </c>
    </row>
    <row r="59" spans="1:18" x14ac:dyDescent="0.3">
      <c r="A59" s="336" t="str">
        <f>IF(ROW()-17&gt;COUNT('Profit Plan'!$P$27:$P$226),"",ROW()-17)</f>
        <v/>
      </c>
      <c r="B59" s="335" t="str" cm="1">
        <f t="array" ref="B59">IF($R59="","",INDEX('Profit Plan'!$A$27:$A$226,$R59))</f>
        <v/>
      </c>
      <c r="C59" s="335" t="str" cm="1">
        <f t="array" ref="C59">IF($R59="","",INDEX('Profit Plan'!$B$27:$B$226,$R59))</f>
        <v/>
      </c>
      <c r="D59" s="349" t="str" cm="1">
        <f t="array" ref="D59">IF($R59="","",INDEX('Profit Plan'!$R$27:$R$226,$R59))</f>
        <v/>
      </c>
      <c r="E59" s="350" t="str" cm="1">
        <f t="array" ref="E59">IF($R59="","",INDEX('Profit Plan'!$M$27:$M$226,$R59))</f>
        <v/>
      </c>
      <c r="F59" s="351" t="str" cm="1">
        <f t="array" ref="F59">IF($R59="","",INDEX('Profit Plan'!$L$27:$L$226,$R59))</f>
        <v/>
      </c>
      <c r="G59" s="351" t="str" cm="1">
        <f t="array" ref="G59">IF($R59="","",INDEX('Profit Plan'!$J$27:$J$226,$R59))</f>
        <v/>
      </c>
      <c r="H59" s="337" t="str">
        <f t="shared" si="2"/>
        <v/>
      </c>
      <c r="I59" s="351" t="str" cm="1">
        <f t="array" ref="I59">IF($R59="","",INDEX('Profit Plan'!$Q$27:$Q$226,$R59))</f>
        <v/>
      </c>
      <c r="J59" s="352" t="str">
        <f>IF($R59="","",$I59/'Profit Plan'!$B$11)</f>
        <v/>
      </c>
      <c r="K59" s="349" t="str">
        <f>IF($D59&lt;&gt;"DO","-",TEXT(EOMONTH('Profit Plan'!$B$7,INT(($I59-$F59)/'Profit Plan'!$B$8))+1,"mmm yy"))</f>
        <v>-</v>
      </c>
      <c r="L59" s="349" t="str">
        <f>IF($D59&lt;&gt;"DO","-",TEXT(EOMONTH('Profit Plan'!$B$7,MAX(0,CEILING($I59/'Profit Plan'!$B$8,1)-1))+1,"mmm yy"))</f>
        <v>-</v>
      </c>
      <c r="M59" s="350" t="str" cm="1">
        <f t="array" ref="M59">IF($D59&lt;&gt;"DO","",INDEX('Profit Plan'!$T$27:$T$226,$R59))</f>
        <v/>
      </c>
      <c r="N59" s="350" t="str" cm="1">
        <f t="array" ref="N59">IF($D59&lt;&gt;"DO","",INDEX('Profit Plan'!$U$27:$U$226,$R59))</f>
        <v/>
      </c>
      <c r="O59" s="350" t="str" cm="1">
        <f t="array" ref="O59">IF($D59&lt;&gt;"DO","",INDEX('Profit Plan'!$V$27:$V$226,$R59))</f>
        <v/>
      </c>
      <c r="P59" s="337" t="str">
        <f>IF($R59="","",'Profit Plan'!$E$8+SUM($H$18:$H59))</f>
        <v/>
      </c>
      <c r="Q59" s="335"/>
      <c r="R59" s="354" t="str">
        <f>IF($A59="","",IFERROR(MATCH($A59,'Profit Plan'!$P$27:$P$226,0),""))</f>
        <v/>
      </c>
    </row>
    <row r="60" spans="1:18" x14ac:dyDescent="0.3">
      <c r="A60" s="336" t="str">
        <f>IF(ROW()-17&gt;COUNT('Profit Plan'!$P$27:$P$226),"",ROW()-17)</f>
        <v/>
      </c>
      <c r="B60" s="335" t="str" cm="1">
        <f t="array" ref="B60">IF($R60="","",INDEX('Profit Plan'!$A$27:$A$226,$R60))</f>
        <v/>
      </c>
      <c r="C60" s="335" t="str" cm="1">
        <f t="array" ref="C60">IF($R60="","",INDEX('Profit Plan'!$B$27:$B$226,$R60))</f>
        <v/>
      </c>
      <c r="D60" s="349" t="str" cm="1">
        <f t="array" ref="D60">IF($R60="","",INDEX('Profit Plan'!$R$27:$R$226,$R60))</f>
        <v/>
      </c>
      <c r="E60" s="350" t="str" cm="1">
        <f t="array" ref="E60">IF($R60="","",INDEX('Profit Plan'!$M$27:$M$226,$R60))</f>
        <v/>
      </c>
      <c r="F60" s="351" t="str" cm="1">
        <f t="array" ref="F60">IF($R60="","",INDEX('Profit Plan'!$L$27:$L$226,$R60))</f>
        <v/>
      </c>
      <c r="G60" s="351" t="str" cm="1">
        <f t="array" ref="G60">IF($R60="","",INDEX('Profit Plan'!$J$27:$J$226,$R60))</f>
        <v/>
      </c>
      <c r="H60" s="337" t="str">
        <f t="shared" si="2"/>
        <v/>
      </c>
      <c r="I60" s="351" t="str" cm="1">
        <f t="array" ref="I60">IF($R60="","",INDEX('Profit Plan'!$Q$27:$Q$226,$R60))</f>
        <v/>
      </c>
      <c r="J60" s="352" t="str">
        <f>IF($R60="","",$I60/'Profit Plan'!$B$11)</f>
        <v/>
      </c>
      <c r="K60" s="349" t="str">
        <f>IF($D60&lt;&gt;"DO","-",TEXT(EOMONTH('Profit Plan'!$B$7,INT(($I60-$F60)/'Profit Plan'!$B$8))+1,"mmm yy"))</f>
        <v>-</v>
      </c>
      <c r="L60" s="349" t="str">
        <f>IF($D60&lt;&gt;"DO","-",TEXT(EOMONTH('Profit Plan'!$B$7,MAX(0,CEILING($I60/'Profit Plan'!$B$8,1)-1))+1,"mmm yy"))</f>
        <v>-</v>
      </c>
      <c r="M60" s="350" t="str" cm="1">
        <f t="array" ref="M60">IF($D60&lt;&gt;"DO","",INDEX('Profit Plan'!$T$27:$T$226,$R60))</f>
        <v/>
      </c>
      <c r="N60" s="350" t="str" cm="1">
        <f t="array" ref="N60">IF($D60&lt;&gt;"DO","",INDEX('Profit Plan'!$U$27:$U$226,$R60))</f>
        <v/>
      </c>
      <c r="O60" s="350" t="str" cm="1">
        <f t="array" ref="O60">IF($D60&lt;&gt;"DO","",INDEX('Profit Plan'!$V$27:$V$226,$R60))</f>
        <v/>
      </c>
      <c r="P60" s="337" t="str">
        <f>IF($R60="","",'Profit Plan'!$E$8+SUM($H$18:$H60))</f>
        <v/>
      </c>
      <c r="Q60" s="335"/>
      <c r="R60" s="354" t="str">
        <f>IF($A60="","",IFERROR(MATCH($A60,'Profit Plan'!$P$27:$P$226,0),""))</f>
        <v/>
      </c>
    </row>
    <row r="61" spans="1:18" x14ac:dyDescent="0.3">
      <c r="A61" s="336" t="str">
        <f>IF(ROW()-17&gt;COUNT('Profit Plan'!$P$27:$P$226),"",ROW()-17)</f>
        <v/>
      </c>
      <c r="B61" s="335" t="str" cm="1">
        <f t="array" ref="B61">IF($R61="","",INDEX('Profit Plan'!$A$27:$A$226,$R61))</f>
        <v/>
      </c>
      <c r="C61" s="335" t="str" cm="1">
        <f t="array" ref="C61">IF($R61="","",INDEX('Profit Plan'!$B$27:$B$226,$R61))</f>
        <v/>
      </c>
      <c r="D61" s="349" t="str" cm="1">
        <f t="array" ref="D61">IF($R61="","",INDEX('Profit Plan'!$R$27:$R$226,$R61))</f>
        <v/>
      </c>
      <c r="E61" s="350" t="str" cm="1">
        <f t="array" ref="E61">IF($R61="","",INDEX('Profit Plan'!$M$27:$M$226,$R61))</f>
        <v/>
      </c>
      <c r="F61" s="351" t="str" cm="1">
        <f t="array" ref="F61">IF($R61="","",INDEX('Profit Plan'!$L$27:$L$226,$R61))</f>
        <v/>
      </c>
      <c r="G61" s="351" t="str" cm="1">
        <f t="array" ref="G61">IF($R61="","",INDEX('Profit Plan'!$J$27:$J$226,$R61))</f>
        <v/>
      </c>
      <c r="H61" s="337" t="str">
        <f t="shared" si="2"/>
        <v/>
      </c>
      <c r="I61" s="351" t="str" cm="1">
        <f t="array" ref="I61">IF($R61="","",INDEX('Profit Plan'!$Q$27:$Q$226,$R61))</f>
        <v/>
      </c>
      <c r="J61" s="352" t="str">
        <f>IF($R61="","",$I61/'Profit Plan'!$B$11)</f>
        <v/>
      </c>
      <c r="K61" s="349" t="str">
        <f>IF($D61&lt;&gt;"DO","-",TEXT(EOMONTH('Profit Plan'!$B$7,INT(($I61-$F61)/'Profit Plan'!$B$8))+1,"mmm yy"))</f>
        <v>-</v>
      </c>
      <c r="L61" s="349" t="str">
        <f>IF($D61&lt;&gt;"DO","-",TEXT(EOMONTH('Profit Plan'!$B$7,MAX(0,CEILING($I61/'Profit Plan'!$B$8,1)-1))+1,"mmm yy"))</f>
        <v>-</v>
      </c>
      <c r="M61" s="350" t="str" cm="1">
        <f t="array" ref="M61">IF($D61&lt;&gt;"DO","",INDEX('Profit Plan'!$T$27:$T$226,$R61))</f>
        <v/>
      </c>
      <c r="N61" s="350" t="str" cm="1">
        <f t="array" ref="N61">IF($D61&lt;&gt;"DO","",INDEX('Profit Plan'!$U$27:$U$226,$R61))</f>
        <v/>
      </c>
      <c r="O61" s="350" t="str" cm="1">
        <f t="array" ref="O61">IF($D61&lt;&gt;"DO","",INDEX('Profit Plan'!$V$27:$V$226,$R61))</f>
        <v/>
      </c>
      <c r="P61" s="337" t="str">
        <f>IF($R61="","",'Profit Plan'!$E$8+SUM($H$18:$H61))</f>
        <v/>
      </c>
      <c r="Q61" s="335"/>
      <c r="R61" s="354" t="str">
        <f>IF($A61="","",IFERROR(MATCH($A61,'Profit Plan'!$P$27:$P$226,0),""))</f>
        <v/>
      </c>
    </row>
    <row r="62" spans="1:18" x14ac:dyDescent="0.3">
      <c r="A62" s="336" t="str">
        <f>IF(ROW()-17&gt;COUNT('Profit Plan'!$P$27:$P$226),"",ROW()-17)</f>
        <v/>
      </c>
      <c r="B62" s="335" t="str" cm="1">
        <f t="array" ref="B62">IF($R62="","",INDEX('Profit Plan'!$A$27:$A$226,$R62))</f>
        <v/>
      </c>
      <c r="C62" s="335" t="str" cm="1">
        <f t="array" ref="C62">IF($R62="","",INDEX('Profit Plan'!$B$27:$B$226,$R62))</f>
        <v/>
      </c>
      <c r="D62" s="349" t="str" cm="1">
        <f t="array" ref="D62">IF($R62="","",INDEX('Profit Plan'!$R$27:$R$226,$R62))</f>
        <v/>
      </c>
      <c r="E62" s="350" t="str" cm="1">
        <f t="array" ref="E62">IF($R62="","",INDEX('Profit Plan'!$M$27:$M$226,$R62))</f>
        <v/>
      </c>
      <c r="F62" s="351" t="str" cm="1">
        <f t="array" ref="F62">IF($R62="","",INDEX('Profit Plan'!$L$27:$L$226,$R62))</f>
        <v/>
      </c>
      <c r="G62" s="351" t="str" cm="1">
        <f t="array" ref="G62">IF($R62="","",INDEX('Profit Plan'!$J$27:$J$226,$R62))</f>
        <v/>
      </c>
      <c r="H62" s="337" t="str">
        <f t="shared" si="2"/>
        <v/>
      </c>
      <c r="I62" s="351" t="str" cm="1">
        <f t="array" ref="I62">IF($R62="","",INDEX('Profit Plan'!$Q$27:$Q$226,$R62))</f>
        <v/>
      </c>
      <c r="J62" s="352" t="str">
        <f>IF($R62="","",$I62/'Profit Plan'!$B$11)</f>
        <v/>
      </c>
      <c r="K62" s="349" t="str">
        <f>IF($D62&lt;&gt;"DO","-",TEXT(EOMONTH('Profit Plan'!$B$7,INT(($I62-$F62)/'Profit Plan'!$B$8))+1,"mmm yy"))</f>
        <v>-</v>
      </c>
      <c r="L62" s="349" t="str">
        <f>IF($D62&lt;&gt;"DO","-",TEXT(EOMONTH('Profit Plan'!$B$7,MAX(0,CEILING($I62/'Profit Plan'!$B$8,1)-1))+1,"mmm yy"))</f>
        <v>-</v>
      </c>
      <c r="M62" s="350" t="str" cm="1">
        <f t="array" ref="M62">IF($D62&lt;&gt;"DO","",INDEX('Profit Plan'!$T$27:$T$226,$R62))</f>
        <v/>
      </c>
      <c r="N62" s="350" t="str" cm="1">
        <f t="array" ref="N62">IF($D62&lt;&gt;"DO","",INDEX('Profit Plan'!$U$27:$U$226,$R62))</f>
        <v/>
      </c>
      <c r="O62" s="350" t="str" cm="1">
        <f t="array" ref="O62">IF($D62&lt;&gt;"DO","",INDEX('Profit Plan'!$V$27:$V$226,$R62))</f>
        <v/>
      </c>
      <c r="P62" s="337" t="str">
        <f>IF($R62="","",'Profit Plan'!$E$8+SUM($H$18:$H62))</f>
        <v/>
      </c>
      <c r="Q62" s="335"/>
      <c r="R62" s="354" t="str">
        <f>IF($A62="","",IFERROR(MATCH($A62,'Profit Plan'!$P$27:$P$226,0),""))</f>
        <v/>
      </c>
    </row>
    <row r="63" spans="1:18" x14ac:dyDescent="0.3">
      <c r="A63" s="336" t="str">
        <f>IF(ROW()-17&gt;COUNT('Profit Plan'!$P$27:$P$226),"",ROW()-17)</f>
        <v/>
      </c>
      <c r="B63" s="335" t="str" cm="1">
        <f t="array" ref="B63">IF($R63="","",INDEX('Profit Plan'!$A$27:$A$226,$R63))</f>
        <v/>
      </c>
      <c r="C63" s="335" t="str" cm="1">
        <f t="array" ref="C63">IF($R63="","",INDEX('Profit Plan'!$B$27:$B$226,$R63))</f>
        <v/>
      </c>
      <c r="D63" s="349" t="str" cm="1">
        <f t="array" ref="D63">IF($R63="","",INDEX('Profit Plan'!$R$27:$R$226,$R63))</f>
        <v/>
      </c>
      <c r="E63" s="350" t="str" cm="1">
        <f t="array" ref="E63">IF($R63="","",INDEX('Profit Plan'!$M$27:$M$226,$R63))</f>
        <v/>
      </c>
      <c r="F63" s="351" t="str" cm="1">
        <f t="array" ref="F63">IF($R63="","",INDEX('Profit Plan'!$L$27:$L$226,$R63))</f>
        <v/>
      </c>
      <c r="G63" s="351" t="str" cm="1">
        <f t="array" ref="G63">IF($R63="","",INDEX('Profit Plan'!$J$27:$J$226,$R63))</f>
        <v/>
      </c>
      <c r="H63" s="337" t="str">
        <f t="shared" si="2"/>
        <v/>
      </c>
      <c r="I63" s="351" t="str" cm="1">
        <f t="array" ref="I63">IF($R63="","",INDEX('Profit Plan'!$Q$27:$Q$226,$R63))</f>
        <v/>
      </c>
      <c r="J63" s="352" t="str">
        <f>IF($R63="","",$I63/'Profit Plan'!$B$11)</f>
        <v/>
      </c>
      <c r="K63" s="349" t="str">
        <f>IF($D63&lt;&gt;"DO","-",TEXT(EOMONTH('Profit Plan'!$B$7,INT(($I63-$F63)/'Profit Plan'!$B$8))+1,"mmm yy"))</f>
        <v>-</v>
      </c>
      <c r="L63" s="349" t="str">
        <f>IF($D63&lt;&gt;"DO","-",TEXT(EOMONTH('Profit Plan'!$B$7,MAX(0,CEILING($I63/'Profit Plan'!$B$8,1)-1))+1,"mmm yy"))</f>
        <v>-</v>
      </c>
      <c r="M63" s="350" t="str" cm="1">
        <f t="array" ref="M63">IF($D63&lt;&gt;"DO","",INDEX('Profit Plan'!$T$27:$T$226,$R63))</f>
        <v/>
      </c>
      <c r="N63" s="350" t="str" cm="1">
        <f t="array" ref="N63">IF($D63&lt;&gt;"DO","",INDEX('Profit Plan'!$U$27:$U$226,$R63))</f>
        <v/>
      </c>
      <c r="O63" s="350" t="str" cm="1">
        <f t="array" ref="O63">IF($D63&lt;&gt;"DO","",INDEX('Profit Plan'!$V$27:$V$226,$R63))</f>
        <v/>
      </c>
      <c r="P63" s="337" t="str">
        <f>IF($R63="","",'Profit Plan'!$E$8+SUM($H$18:$H63))</f>
        <v/>
      </c>
      <c r="Q63" s="335"/>
      <c r="R63" s="354" t="str">
        <f>IF($A63="","",IFERROR(MATCH($A63,'Profit Plan'!$P$27:$P$226,0),""))</f>
        <v/>
      </c>
    </row>
    <row r="64" spans="1:18" x14ac:dyDescent="0.3">
      <c r="A64" s="336" t="str">
        <f>IF(ROW()-17&gt;COUNT('Profit Plan'!$P$27:$P$226),"",ROW()-17)</f>
        <v/>
      </c>
      <c r="B64" s="335" t="str" cm="1">
        <f t="array" ref="B64">IF($R64="","",INDEX('Profit Plan'!$A$27:$A$226,$R64))</f>
        <v/>
      </c>
      <c r="C64" s="335" t="str" cm="1">
        <f t="array" ref="C64">IF($R64="","",INDEX('Profit Plan'!$B$27:$B$226,$R64))</f>
        <v/>
      </c>
      <c r="D64" s="349" t="str" cm="1">
        <f t="array" ref="D64">IF($R64="","",INDEX('Profit Plan'!$R$27:$R$226,$R64))</f>
        <v/>
      </c>
      <c r="E64" s="350" t="str" cm="1">
        <f t="array" ref="E64">IF($R64="","",INDEX('Profit Plan'!$M$27:$M$226,$R64))</f>
        <v/>
      </c>
      <c r="F64" s="351" t="str" cm="1">
        <f t="array" ref="F64">IF($R64="","",INDEX('Profit Plan'!$L$27:$L$226,$R64))</f>
        <v/>
      </c>
      <c r="G64" s="351" t="str" cm="1">
        <f t="array" ref="G64">IF($R64="","",INDEX('Profit Plan'!$J$27:$J$226,$R64))</f>
        <v/>
      </c>
      <c r="H64" s="337" t="str">
        <f t="shared" si="2"/>
        <v/>
      </c>
      <c r="I64" s="351" t="str" cm="1">
        <f t="array" ref="I64">IF($R64="","",INDEX('Profit Plan'!$Q$27:$Q$226,$R64))</f>
        <v/>
      </c>
      <c r="J64" s="352" t="str">
        <f>IF($R64="","",$I64/'Profit Plan'!$B$11)</f>
        <v/>
      </c>
      <c r="K64" s="349" t="str">
        <f>IF($D64&lt;&gt;"DO","-",TEXT(EOMONTH('Profit Plan'!$B$7,INT(($I64-$F64)/'Profit Plan'!$B$8))+1,"mmm yy"))</f>
        <v>-</v>
      </c>
      <c r="L64" s="349" t="str">
        <f>IF($D64&lt;&gt;"DO","-",TEXT(EOMONTH('Profit Plan'!$B$7,MAX(0,CEILING($I64/'Profit Plan'!$B$8,1)-1))+1,"mmm yy"))</f>
        <v>-</v>
      </c>
      <c r="M64" s="350" t="str" cm="1">
        <f t="array" ref="M64">IF($D64&lt;&gt;"DO","",INDEX('Profit Plan'!$T$27:$T$226,$R64))</f>
        <v/>
      </c>
      <c r="N64" s="350" t="str" cm="1">
        <f t="array" ref="N64">IF($D64&lt;&gt;"DO","",INDEX('Profit Plan'!$U$27:$U$226,$R64))</f>
        <v/>
      </c>
      <c r="O64" s="350" t="str" cm="1">
        <f t="array" ref="O64">IF($D64&lt;&gt;"DO","",INDEX('Profit Plan'!$V$27:$V$226,$R64))</f>
        <v/>
      </c>
      <c r="P64" s="337" t="str">
        <f>IF($R64="","",'Profit Plan'!$E$8+SUM($H$18:$H64))</f>
        <v/>
      </c>
      <c r="Q64" s="335"/>
      <c r="R64" s="354" t="str">
        <f>IF($A64="","",IFERROR(MATCH($A64,'Profit Plan'!$P$27:$P$226,0),""))</f>
        <v/>
      </c>
    </row>
    <row r="65" spans="1:18" x14ac:dyDescent="0.3">
      <c r="A65" s="336" t="str">
        <f>IF(ROW()-17&gt;COUNT('Profit Plan'!$P$27:$P$226),"",ROW()-17)</f>
        <v/>
      </c>
      <c r="B65" s="335" t="str" cm="1">
        <f t="array" ref="B65">IF($R65="","",INDEX('Profit Plan'!$A$27:$A$226,$R65))</f>
        <v/>
      </c>
      <c r="C65" s="335" t="str" cm="1">
        <f t="array" ref="C65">IF($R65="","",INDEX('Profit Plan'!$B$27:$B$226,$R65))</f>
        <v/>
      </c>
      <c r="D65" s="349" t="str" cm="1">
        <f t="array" ref="D65">IF($R65="","",INDEX('Profit Plan'!$R$27:$R$226,$R65))</f>
        <v/>
      </c>
      <c r="E65" s="350" t="str" cm="1">
        <f t="array" ref="E65">IF($R65="","",INDEX('Profit Plan'!$M$27:$M$226,$R65))</f>
        <v/>
      </c>
      <c r="F65" s="351" t="str" cm="1">
        <f t="array" ref="F65">IF($R65="","",INDEX('Profit Plan'!$L$27:$L$226,$R65))</f>
        <v/>
      </c>
      <c r="G65" s="351" t="str" cm="1">
        <f t="array" ref="G65">IF($R65="","",INDEX('Profit Plan'!$J$27:$J$226,$R65))</f>
        <v/>
      </c>
      <c r="H65" s="337" t="str">
        <f t="shared" si="2"/>
        <v/>
      </c>
      <c r="I65" s="351" t="str" cm="1">
        <f t="array" ref="I65">IF($R65="","",INDEX('Profit Plan'!$Q$27:$Q$226,$R65))</f>
        <v/>
      </c>
      <c r="J65" s="352" t="str">
        <f>IF($R65="","",$I65/'Profit Plan'!$B$11)</f>
        <v/>
      </c>
      <c r="K65" s="349" t="str">
        <f>IF($D65&lt;&gt;"DO","-",TEXT(EOMONTH('Profit Plan'!$B$7,INT(($I65-$F65)/'Profit Plan'!$B$8))+1,"mmm yy"))</f>
        <v>-</v>
      </c>
      <c r="L65" s="349" t="str">
        <f>IF($D65&lt;&gt;"DO","-",TEXT(EOMONTH('Profit Plan'!$B$7,MAX(0,CEILING($I65/'Profit Plan'!$B$8,1)-1))+1,"mmm yy"))</f>
        <v>-</v>
      </c>
      <c r="M65" s="350" t="str" cm="1">
        <f t="array" ref="M65">IF($D65&lt;&gt;"DO","",INDEX('Profit Plan'!$T$27:$T$226,$R65))</f>
        <v/>
      </c>
      <c r="N65" s="350" t="str" cm="1">
        <f t="array" ref="N65">IF($D65&lt;&gt;"DO","",INDEX('Profit Plan'!$U$27:$U$226,$R65))</f>
        <v/>
      </c>
      <c r="O65" s="350" t="str" cm="1">
        <f t="array" ref="O65">IF($D65&lt;&gt;"DO","",INDEX('Profit Plan'!$V$27:$V$226,$R65))</f>
        <v/>
      </c>
      <c r="P65" s="337" t="str">
        <f>IF($R65="","",'Profit Plan'!$E$8+SUM($H$18:$H65))</f>
        <v/>
      </c>
      <c r="Q65" s="335"/>
      <c r="R65" s="354" t="str">
        <f>IF($A65="","",IFERROR(MATCH($A65,'Profit Plan'!$P$27:$P$226,0),""))</f>
        <v/>
      </c>
    </row>
    <row r="66" spans="1:18" x14ac:dyDescent="0.3">
      <c r="A66" s="336" t="str">
        <f>IF(ROW()-17&gt;COUNT('Profit Plan'!$P$27:$P$226),"",ROW()-17)</f>
        <v/>
      </c>
      <c r="B66" s="335" t="str" cm="1">
        <f t="array" ref="B66">IF($R66="","",INDEX('Profit Plan'!$A$27:$A$226,$R66))</f>
        <v/>
      </c>
      <c r="C66" s="335" t="str" cm="1">
        <f t="array" ref="C66">IF($R66="","",INDEX('Profit Plan'!$B$27:$B$226,$R66))</f>
        <v/>
      </c>
      <c r="D66" s="349" t="str" cm="1">
        <f t="array" ref="D66">IF($R66="","",INDEX('Profit Plan'!$R$27:$R$226,$R66))</f>
        <v/>
      </c>
      <c r="E66" s="350" t="str" cm="1">
        <f t="array" ref="E66">IF($R66="","",INDEX('Profit Plan'!$M$27:$M$226,$R66))</f>
        <v/>
      </c>
      <c r="F66" s="351" t="str" cm="1">
        <f t="array" ref="F66">IF($R66="","",INDEX('Profit Plan'!$L$27:$L$226,$R66))</f>
        <v/>
      </c>
      <c r="G66" s="351" t="str" cm="1">
        <f t="array" ref="G66">IF($R66="","",INDEX('Profit Plan'!$J$27:$J$226,$R66))</f>
        <v/>
      </c>
      <c r="H66" s="337" t="str">
        <f t="shared" si="2"/>
        <v/>
      </c>
      <c r="I66" s="351" t="str" cm="1">
        <f t="array" ref="I66">IF($R66="","",INDEX('Profit Plan'!$Q$27:$Q$226,$R66))</f>
        <v/>
      </c>
      <c r="J66" s="352" t="str">
        <f>IF($R66="","",$I66/'Profit Plan'!$B$11)</f>
        <v/>
      </c>
      <c r="K66" s="349" t="str">
        <f>IF($D66&lt;&gt;"DO","-",TEXT(EOMONTH('Profit Plan'!$B$7,INT(($I66-$F66)/'Profit Plan'!$B$8))+1,"mmm yy"))</f>
        <v>-</v>
      </c>
      <c r="L66" s="349" t="str">
        <f>IF($D66&lt;&gt;"DO","-",TEXT(EOMONTH('Profit Plan'!$B$7,MAX(0,CEILING($I66/'Profit Plan'!$B$8,1)-1))+1,"mmm yy"))</f>
        <v>-</v>
      </c>
      <c r="M66" s="350" t="str" cm="1">
        <f t="array" ref="M66">IF($D66&lt;&gt;"DO","",INDEX('Profit Plan'!$T$27:$T$226,$R66))</f>
        <v/>
      </c>
      <c r="N66" s="350" t="str" cm="1">
        <f t="array" ref="N66">IF($D66&lt;&gt;"DO","",INDEX('Profit Plan'!$U$27:$U$226,$R66))</f>
        <v/>
      </c>
      <c r="O66" s="350" t="str" cm="1">
        <f t="array" ref="O66">IF($D66&lt;&gt;"DO","",INDEX('Profit Plan'!$V$27:$V$226,$R66))</f>
        <v/>
      </c>
      <c r="P66" s="337" t="str">
        <f>IF($R66="","",'Profit Plan'!$E$8+SUM($H$18:$H66))</f>
        <v/>
      </c>
      <c r="Q66" s="335"/>
      <c r="R66" s="354" t="str">
        <f>IF($A66="","",IFERROR(MATCH($A66,'Profit Plan'!$P$27:$P$226,0),""))</f>
        <v/>
      </c>
    </row>
    <row r="67" spans="1:18" x14ac:dyDescent="0.3">
      <c r="A67" s="336" t="str">
        <f>IF(ROW()-17&gt;COUNT('Profit Plan'!$P$27:$P$226),"",ROW()-17)</f>
        <v/>
      </c>
      <c r="B67" s="335" t="str" cm="1">
        <f t="array" ref="B67">IF($R67="","",INDEX('Profit Plan'!$A$27:$A$226,$R67))</f>
        <v/>
      </c>
      <c r="C67" s="335" t="str" cm="1">
        <f t="array" ref="C67">IF($R67="","",INDEX('Profit Plan'!$B$27:$B$226,$R67))</f>
        <v/>
      </c>
      <c r="D67" s="349" t="str" cm="1">
        <f t="array" ref="D67">IF($R67="","",INDEX('Profit Plan'!$R$27:$R$226,$R67))</f>
        <v/>
      </c>
      <c r="E67" s="350" t="str" cm="1">
        <f t="array" ref="E67">IF($R67="","",INDEX('Profit Plan'!$M$27:$M$226,$R67))</f>
        <v/>
      </c>
      <c r="F67" s="351" t="str" cm="1">
        <f t="array" ref="F67">IF($R67="","",INDEX('Profit Plan'!$L$27:$L$226,$R67))</f>
        <v/>
      </c>
      <c r="G67" s="351" t="str" cm="1">
        <f t="array" ref="G67">IF($R67="","",INDEX('Profit Plan'!$J$27:$J$226,$R67))</f>
        <v/>
      </c>
      <c r="H67" s="337" t="str">
        <f t="shared" si="2"/>
        <v/>
      </c>
      <c r="I67" s="351" t="str" cm="1">
        <f t="array" ref="I67">IF($R67="","",INDEX('Profit Plan'!$Q$27:$Q$226,$R67))</f>
        <v/>
      </c>
      <c r="J67" s="352" t="str">
        <f>IF($R67="","",$I67/'Profit Plan'!$B$11)</f>
        <v/>
      </c>
      <c r="K67" s="349" t="str">
        <f>IF($D67&lt;&gt;"DO","-",TEXT(EOMONTH('Profit Plan'!$B$7,INT(($I67-$F67)/'Profit Plan'!$B$8))+1,"mmm yy"))</f>
        <v>-</v>
      </c>
      <c r="L67" s="349" t="str">
        <f>IF($D67&lt;&gt;"DO","-",TEXT(EOMONTH('Profit Plan'!$B$7,MAX(0,CEILING($I67/'Profit Plan'!$B$8,1)-1))+1,"mmm yy"))</f>
        <v>-</v>
      </c>
      <c r="M67" s="350" t="str" cm="1">
        <f t="array" ref="M67">IF($D67&lt;&gt;"DO","",INDEX('Profit Plan'!$T$27:$T$226,$R67))</f>
        <v/>
      </c>
      <c r="N67" s="350" t="str" cm="1">
        <f t="array" ref="N67">IF($D67&lt;&gt;"DO","",INDEX('Profit Plan'!$U$27:$U$226,$R67))</f>
        <v/>
      </c>
      <c r="O67" s="350" t="str" cm="1">
        <f t="array" ref="O67">IF($D67&lt;&gt;"DO","",INDEX('Profit Plan'!$V$27:$V$226,$R67))</f>
        <v/>
      </c>
      <c r="P67" s="337" t="str">
        <f>IF($R67="","",'Profit Plan'!$E$8+SUM($H$18:$H67))</f>
        <v/>
      </c>
      <c r="Q67" s="335"/>
      <c r="R67" s="354" t="str">
        <f>IF($A67="","",IFERROR(MATCH($A67,'Profit Plan'!$P$27:$P$226,0),""))</f>
        <v/>
      </c>
    </row>
    <row r="68" spans="1:18" x14ac:dyDescent="0.3">
      <c r="A68" s="336" t="str">
        <f>IF(ROW()-17&gt;COUNT('Profit Plan'!$P$27:$P$226),"",ROW()-17)</f>
        <v/>
      </c>
      <c r="B68" s="335" t="str" cm="1">
        <f t="array" ref="B68">IF($R68="","",INDEX('Profit Plan'!$A$27:$A$226,$R68))</f>
        <v/>
      </c>
      <c r="C68" s="335" t="str" cm="1">
        <f t="array" ref="C68">IF($R68="","",INDEX('Profit Plan'!$B$27:$B$226,$R68))</f>
        <v/>
      </c>
      <c r="D68" s="349" t="str" cm="1">
        <f t="array" ref="D68">IF($R68="","",INDEX('Profit Plan'!$R$27:$R$226,$R68))</f>
        <v/>
      </c>
      <c r="E68" s="350" t="str" cm="1">
        <f t="array" ref="E68">IF($R68="","",INDEX('Profit Plan'!$M$27:$M$226,$R68))</f>
        <v/>
      </c>
      <c r="F68" s="351" t="str" cm="1">
        <f t="array" ref="F68">IF($R68="","",INDEX('Profit Plan'!$L$27:$L$226,$R68))</f>
        <v/>
      </c>
      <c r="G68" s="351" t="str" cm="1">
        <f t="array" ref="G68">IF($R68="","",INDEX('Profit Plan'!$J$27:$J$226,$R68))</f>
        <v/>
      </c>
      <c r="H68" s="337" t="str">
        <f t="shared" si="2"/>
        <v/>
      </c>
      <c r="I68" s="351" t="str" cm="1">
        <f t="array" ref="I68">IF($R68="","",INDEX('Profit Plan'!$Q$27:$Q$226,$R68))</f>
        <v/>
      </c>
      <c r="J68" s="352" t="str">
        <f>IF($R68="","",$I68/'Profit Plan'!$B$11)</f>
        <v/>
      </c>
      <c r="K68" s="349" t="str">
        <f>IF($D68&lt;&gt;"DO","-",TEXT(EOMONTH('Profit Plan'!$B$7,INT(($I68-$F68)/'Profit Plan'!$B$8))+1,"mmm yy"))</f>
        <v>-</v>
      </c>
      <c r="L68" s="349" t="str">
        <f>IF($D68&lt;&gt;"DO","-",TEXT(EOMONTH('Profit Plan'!$B$7,MAX(0,CEILING($I68/'Profit Plan'!$B$8,1)-1))+1,"mmm yy"))</f>
        <v>-</v>
      </c>
      <c r="M68" s="350" t="str" cm="1">
        <f t="array" ref="M68">IF($D68&lt;&gt;"DO","",INDEX('Profit Plan'!$T$27:$T$226,$R68))</f>
        <v/>
      </c>
      <c r="N68" s="350" t="str" cm="1">
        <f t="array" ref="N68">IF($D68&lt;&gt;"DO","",INDEX('Profit Plan'!$U$27:$U$226,$R68))</f>
        <v/>
      </c>
      <c r="O68" s="350" t="str" cm="1">
        <f t="array" ref="O68">IF($D68&lt;&gt;"DO","",INDEX('Profit Plan'!$V$27:$V$226,$R68))</f>
        <v/>
      </c>
      <c r="P68" s="337" t="str">
        <f>IF($R68="","",'Profit Plan'!$E$8+SUM($H$18:$H68))</f>
        <v/>
      </c>
      <c r="Q68" s="335"/>
      <c r="R68" s="354" t="str">
        <f>IF($A68="","",IFERROR(MATCH($A68,'Profit Plan'!$P$27:$P$226,0),""))</f>
        <v/>
      </c>
    </row>
    <row r="69" spans="1:18" x14ac:dyDescent="0.3">
      <c r="A69" s="336" t="str">
        <f>IF(ROW()-17&gt;COUNT('Profit Plan'!$P$27:$P$226),"",ROW()-17)</f>
        <v/>
      </c>
      <c r="B69" s="335" t="str" cm="1">
        <f t="array" ref="B69">IF($R69="","",INDEX('Profit Plan'!$A$27:$A$226,$R69))</f>
        <v/>
      </c>
      <c r="C69" s="335" t="str" cm="1">
        <f t="array" ref="C69">IF($R69="","",INDEX('Profit Plan'!$B$27:$B$226,$R69))</f>
        <v/>
      </c>
      <c r="D69" s="349" t="str" cm="1">
        <f t="array" ref="D69">IF($R69="","",INDEX('Profit Plan'!$R$27:$R$226,$R69))</f>
        <v/>
      </c>
      <c r="E69" s="350" t="str" cm="1">
        <f t="array" ref="E69">IF($R69="","",INDEX('Profit Plan'!$M$27:$M$226,$R69))</f>
        <v/>
      </c>
      <c r="F69" s="351" t="str" cm="1">
        <f t="array" ref="F69">IF($R69="","",INDEX('Profit Plan'!$L$27:$L$226,$R69))</f>
        <v/>
      </c>
      <c r="G69" s="351" t="str" cm="1">
        <f t="array" ref="G69">IF($R69="","",INDEX('Profit Plan'!$J$27:$J$226,$R69))</f>
        <v/>
      </c>
      <c r="H69" s="337" t="str">
        <f t="shared" si="2"/>
        <v/>
      </c>
      <c r="I69" s="351" t="str" cm="1">
        <f t="array" ref="I69">IF($R69="","",INDEX('Profit Plan'!$Q$27:$Q$226,$R69))</f>
        <v/>
      </c>
      <c r="J69" s="352" t="str">
        <f>IF($R69="","",$I69/'Profit Plan'!$B$11)</f>
        <v/>
      </c>
      <c r="K69" s="349" t="str">
        <f>IF($D69&lt;&gt;"DO","-",TEXT(EOMONTH('Profit Plan'!$B$7,INT(($I69-$F69)/'Profit Plan'!$B$8))+1,"mmm yy"))</f>
        <v>-</v>
      </c>
      <c r="L69" s="349" t="str">
        <f>IF($D69&lt;&gt;"DO","-",TEXT(EOMONTH('Profit Plan'!$B$7,MAX(0,CEILING($I69/'Profit Plan'!$B$8,1)-1))+1,"mmm yy"))</f>
        <v>-</v>
      </c>
      <c r="M69" s="350" t="str" cm="1">
        <f t="array" ref="M69">IF($D69&lt;&gt;"DO","",INDEX('Profit Plan'!$T$27:$T$226,$R69))</f>
        <v/>
      </c>
      <c r="N69" s="350" t="str" cm="1">
        <f t="array" ref="N69">IF($D69&lt;&gt;"DO","",INDEX('Profit Plan'!$U$27:$U$226,$R69))</f>
        <v/>
      </c>
      <c r="O69" s="350" t="str" cm="1">
        <f t="array" ref="O69">IF($D69&lt;&gt;"DO","",INDEX('Profit Plan'!$V$27:$V$226,$R69))</f>
        <v/>
      </c>
      <c r="P69" s="337" t="str">
        <f>IF($R69="","",'Profit Plan'!$E$8+SUM($H$18:$H69))</f>
        <v/>
      </c>
      <c r="Q69" s="335"/>
      <c r="R69" s="354" t="str">
        <f>IF($A69="","",IFERROR(MATCH($A69,'Profit Plan'!$P$27:$P$226,0),""))</f>
        <v/>
      </c>
    </row>
    <row r="70" spans="1:18" x14ac:dyDescent="0.3">
      <c r="A70" s="336" t="str">
        <f>IF(ROW()-17&gt;COUNT('Profit Plan'!$P$27:$P$226),"",ROW()-17)</f>
        <v/>
      </c>
      <c r="B70" s="335" t="str" cm="1">
        <f t="array" ref="B70">IF($R70="","",INDEX('Profit Plan'!$A$27:$A$226,$R70))</f>
        <v/>
      </c>
      <c r="C70" s="335" t="str" cm="1">
        <f t="array" ref="C70">IF($R70="","",INDEX('Profit Plan'!$B$27:$B$226,$R70))</f>
        <v/>
      </c>
      <c r="D70" s="349" t="str" cm="1">
        <f t="array" ref="D70">IF($R70="","",INDEX('Profit Plan'!$R$27:$R$226,$R70))</f>
        <v/>
      </c>
      <c r="E70" s="350" t="str" cm="1">
        <f t="array" ref="E70">IF($R70="","",INDEX('Profit Plan'!$M$27:$M$226,$R70))</f>
        <v/>
      </c>
      <c r="F70" s="351" t="str" cm="1">
        <f t="array" ref="F70">IF($R70="","",INDEX('Profit Plan'!$L$27:$L$226,$R70))</f>
        <v/>
      </c>
      <c r="G70" s="351" t="str" cm="1">
        <f t="array" ref="G70">IF($R70="","",INDEX('Profit Plan'!$J$27:$J$226,$R70))</f>
        <v/>
      </c>
      <c r="H70" s="337" t="str">
        <f t="shared" si="2"/>
        <v/>
      </c>
      <c r="I70" s="351" t="str" cm="1">
        <f t="array" ref="I70">IF($R70="","",INDEX('Profit Plan'!$Q$27:$Q$226,$R70))</f>
        <v/>
      </c>
      <c r="J70" s="352" t="str">
        <f>IF($R70="","",$I70/'Profit Plan'!$B$11)</f>
        <v/>
      </c>
      <c r="K70" s="349" t="str">
        <f>IF($D70&lt;&gt;"DO","-",TEXT(EOMONTH('Profit Plan'!$B$7,INT(($I70-$F70)/'Profit Plan'!$B$8))+1,"mmm yy"))</f>
        <v>-</v>
      </c>
      <c r="L70" s="349" t="str">
        <f>IF($D70&lt;&gt;"DO","-",TEXT(EOMONTH('Profit Plan'!$B$7,MAX(0,CEILING($I70/'Profit Plan'!$B$8,1)-1))+1,"mmm yy"))</f>
        <v>-</v>
      </c>
      <c r="M70" s="350" t="str" cm="1">
        <f t="array" ref="M70">IF($D70&lt;&gt;"DO","",INDEX('Profit Plan'!$T$27:$T$226,$R70))</f>
        <v/>
      </c>
      <c r="N70" s="350" t="str" cm="1">
        <f t="array" ref="N70">IF($D70&lt;&gt;"DO","",INDEX('Profit Plan'!$U$27:$U$226,$R70))</f>
        <v/>
      </c>
      <c r="O70" s="350" t="str" cm="1">
        <f t="array" ref="O70">IF($D70&lt;&gt;"DO","",INDEX('Profit Plan'!$V$27:$V$226,$R70))</f>
        <v/>
      </c>
      <c r="P70" s="337" t="str">
        <f>IF($R70="","",'Profit Plan'!$E$8+SUM($H$18:$H70))</f>
        <v/>
      </c>
      <c r="Q70" s="335"/>
      <c r="R70" s="354" t="str">
        <f>IF($A70="","",IFERROR(MATCH($A70,'Profit Plan'!$P$27:$P$226,0),""))</f>
        <v/>
      </c>
    </row>
    <row r="71" spans="1:18" x14ac:dyDescent="0.3">
      <c r="A71" s="336" t="str">
        <f>IF(ROW()-17&gt;COUNT('Profit Plan'!$P$27:$P$226),"",ROW()-17)</f>
        <v/>
      </c>
      <c r="B71" s="335" t="str" cm="1">
        <f t="array" ref="B71">IF($R71="","",INDEX('Profit Plan'!$A$27:$A$226,$R71))</f>
        <v/>
      </c>
      <c r="C71" s="335" t="str" cm="1">
        <f t="array" ref="C71">IF($R71="","",INDEX('Profit Plan'!$B$27:$B$226,$R71))</f>
        <v/>
      </c>
      <c r="D71" s="349" t="str" cm="1">
        <f t="array" ref="D71">IF($R71="","",INDEX('Profit Plan'!$R$27:$R$226,$R71))</f>
        <v/>
      </c>
      <c r="E71" s="350" t="str" cm="1">
        <f t="array" ref="E71">IF($R71="","",INDEX('Profit Plan'!$M$27:$M$226,$R71))</f>
        <v/>
      </c>
      <c r="F71" s="351" t="str" cm="1">
        <f t="array" ref="F71">IF($R71="","",INDEX('Profit Plan'!$L$27:$L$226,$R71))</f>
        <v/>
      </c>
      <c r="G71" s="351" t="str" cm="1">
        <f t="array" ref="G71">IF($R71="","",INDEX('Profit Plan'!$J$27:$J$226,$R71))</f>
        <v/>
      </c>
      <c r="H71" s="337" t="str">
        <f t="shared" si="2"/>
        <v/>
      </c>
      <c r="I71" s="351" t="str" cm="1">
        <f t="array" ref="I71">IF($R71="","",INDEX('Profit Plan'!$Q$27:$Q$226,$R71))</f>
        <v/>
      </c>
      <c r="J71" s="352" t="str">
        <f>IF($R71="","",$I71/'Profit Plan'!$B$11)</f>
        <v/>
      </c>
      <c r="K71" s="349" t="str">
        <f>IF($D71&lt;&gt;"DO","-",TEXT(EOMONTH('Profit Plan'!$B$7,INT(($I71-$F71)/'Profit Plan'!$B$8))+1,"mmm yy"))</f>
        <v>-</v>
      </c>
      <c r="L71" s="349" t="str">
        <f>IF($D71&lt;&gt;"DO","-",TEXT(EOMONTH('Profit Plan'!$B$7,MAX(0,CEILING($I71/'Profit Plan'!$B$8,1)-1))+1,"mmm yy"))</f>
        <v>-</v>
      </c>
      <c r="M71" s="350" t="str" cm="1">
        <f t="array" ref="M71">IF($D71&lt;&gt;"DO","",INDEX('Profit Plan'!$T$27:$T$226,$R71))</f>
        <v/>
      </c>
      <c r="N71" s="350" t="str" cm="1">
        <f t="array" ref="N71">IF($D71&lt;&gt;"DO","",INDEX('Profit Plan'!$U$27:$U$226,$R71))</f>
        <v/>
      </c>
      <c r="O71" s="350" t="str" cm="1">
        <f t="array" ref="O71">IF($D71&lt;&gt;"DO","",INDEX('Profit Plan'!$V$27:$V$226,$R71))</f>
        <v/>
      </c>
      <c r="P71" s="337" t="str">
        <f>IF($R71="","",'Profit Plan'!$E$8+SUM($H$18:$H71))</f>
        <v/>
      </c>
      <c r="Q71" s="335"/>
      <c r="R71" s="354" t="str">
        <f>IF($A71="","",IFERROR(MATCH($A71,'Profit Plan'!$P$27:$P$226,0),""))</f>
        <v/>
      </c>
    </row>
    <row r="72" spans="1:18" x14ac:dyDescent="0.3">
      <c r="A72" s="336" t="str">
        <f>IF(ROW()-17&gt;COUNT('Profit Plan'!$P$27:$P$226),"",ROW()-17)</f>
        <v/>
      </c>
      <c r="B72" s="335" t="str" cm="1">
        <f t="array" ref="B72">IF($R72="","",INDEX('Profit Plan'!$A$27:$A$226,$R72))</f>
        <v/>
      </c>
      <c r="C72" s="335" t="str" cm="1">
        <f t="array" ref="C72">IF($R72="","",INDEX('Profit Plan'!$B$27:$B$226,$R72))</f>
        <v/>
      </c>
      <c r="D72" s="349" t="str" cm="1">
        <f t="array" ref="D72">IF($R72="","",INDEX('Profit Plan'!$R$27:$R$226,$R72))</f>
        <v/>
      </c>
      <c r="E72" s="350" t="str" cm="1">
        <f t="array" ref="E72">IF($R72="","",INDEX('Profit Plan'!$M$27:$M$226,$R72))</f>
        <v/>
      </c>
      <c r="F72" s="351" t="str" cm="1">
        <f t="array" ref="F72">IF($R72="","",INDEX('Profit Plan'!$L$27:$L$226,$R72))</f>
        <v/>
      </c>
      <c r="G72" s="351" t="str" cm="1">
        <f t="array" ref="G72">IF($R72="","",INDEX('Profit Plan'!$J$27:$J$226,$R72))</f>
        <v/>
      </c>
      <c r="H72" s="337" t="str">
        <f t="shared" si="2"/>
        <v/>
      </c>
      <c r="I72" s="351" t="str" cm="1">
        <f t="array" ref="I72">IF($R72="","",INDEX('Profit Plan'!$Q$27:$Q$226,$R72))</f>
        <v/>
      </c>
      <c r="J72" s="352" t="str">
        <f>IF($R72="","",$I72/'Profit Plan'!$B$11)</f>
        <v/>
      </c>
      <c r="K72" s="349" t="str">
        <f>IF($D72&lt;&gt;"DO","-",TEXT(EOMONTH('Profit Plan'!$B$7,INT(($I72-$F72)/'Profit Plan'!$B$8))+1,"mmm yy"))</f>
        <v>-</v>
      </c>
      <c r="L72" s="349" t="str">
        <f>IF($D72&lt;&gt;"DO","-",TEXT(EOMONTH('Profit Plan'!$B$7,MAX(0,CEILING($I72/'Profit Plan'!$B$8,1)-1))+1,"mmm yy"))</f>
        <v>-</v>
      </c>
      <c r="M72" s="350" t="str" cm="1">
        <f t="array" ref="M72">IF($D72&lt;&gt;"DO","",INDEX('Profit Plan'!$T$27:$T$226,$R72))</f>
        <v/>
      </c>
      <c r="N72" s="350" t="str" cm="1">
        <f t="array" ref="N72">IF($D72&lt;&gt;"DO","",INDEX('Profit Plan'!$U$27:$U$226,$R72))</f>
        <v/>
      </c>
      <c r="O72" s="350" t="str" cm="1">
        <f t="array" ref="O72">IF($D72&lt;&gt;"DO","",INDEX('Profit Plan'!$V$27:$V$226,$R72))</f>
        <v/>
      </c>
      <c r="P72" s="337" t="str">
        <f>IF($R72="","",'Profit Plan'!$E$8+SUM($H$18:$H72))</f>
        <v/>
      </c>
      <c r="Q72" s="335"/>
      <c r="R72" s="354" t="str">
        <f>IF($A72="","",IFERROR(MATCH($A72,'Profit Plan'!$P$27:$P$226,0),""))</f>
        <v/>
      </c>
    </row>
    <row r="73" spans="1:18" x14ac:dyDescent="0.3">
      <c r="A73" s="336" t="str">
        <f>IF(ROW()-17&gt;COUNT('Profit Plan'!$P$27:$P$226),"",ROW()-17)</f>
        <v/>
      </c>
      <c r="B73" s="335" t="str" cm="1">
        <f t="array" ref="B73">IF($R73="","",INDEX('Profit Plan'!$A$27:$A$226,$R73))</f>
        <v/>
      </c>
      <c r="C73" s="335" t="str" cm="1">
        <f t="array" ref="C73">IF($R73="","",INDEX('Profit Plan'!$B$27:$B$226,$R73))</f>
        <v/>
      </c>
      <c r="D73" s="349" t="str" cm="1">
        <f t="array" ref="D73">IF($R73="","",INDEX('Profit Plan'!$R$27:$R$226,$R73))</f>
        <v/>
      </c>
      <c r="E73" s="350" t="str" cm="1">
        <f t="array" ref="E73">IF($R73="","",INDEX('Profit Plan'!$M$27:$M$226,$R73))</f>
        <v/>
      </c>
      <c r="F73" s="351" t="str" cm="1">
        <f t="array" ref="F73">IF($R73="","",INDEX('Profit Plan'!$L$27:$L$226,$R73))</f>
        <v/>
      </c>
      <c r="G73" s="351" t="str" cm="1">
        <f t="array" ref="G73">IF($R73="","",INDEX('Profit Plan'!$J$27:$J$226,$R73))</f>
        <v/>
      </c>
      <c r="H73" s="337" t="str">
        <f t="shared" si="2"/>
        <v/>
      </c>
      <c r="I73" s="351" t="str" cm="1">
        <f t="array" ref="I73">IF($R73="","",INDEX('Profit Plan'!$Q$27:$Q$226,$R73))</f>
        <v/>
      </c>
      <c r="J73" s="352" t="str">
        <f>IF($R73="","",$I73/'Profit Plan'!$B$11)</f>
        <v/>
      </c>
      <c r="K73" s="349" t="str">
        <f>IF($D73&lt;&gt;"DO","-",TEXT(EOMONTH('Profit Plan'!$B$7,INT(($I73-$F73)/'Profit Plan'!$B$8))+1,"mmm yy"))</f>
        <v>-</v>
      </c>
      <c r="L73" s="349" t="str">
        <f>IF($D73&lt;&gt;"DO","-",TEXT(EOMONTH('Profit Plan'!$B$7,MAX(0,CEILING($I73/'Profit Plan'!$B$8,1)-1))+1,"mmm yy"))</f>
        <v>-</v>
      </c>
      <c r="M73" s="350" t="str" cm="1">
        <f t="array" ref="M73">IF($D73&lt;&gt;"DO","",INDEX('Profit Plan'!$T$27:$T$226,$R73))</f>
        <v/>
      </c>
      <c r="N73" s="350" t="str" cm="1">
        <f t="array" ref="N73">IF($D73&lt;&gt;"DO","",INDEX('Profit Plan'!$U$27:$U$226,$R73))</f>
        <v/>
      </c>
      <c r="O73" s="350" t="str" cm="1">
        <f t="array" ref="O73">IF($D73&lt;&gt;"DO","",INDEX('Profit Plan'!$V$27:$V$226,$R73))</f>
        <v/>
      </c>
      <c r="P73" s="337" t="str">
        <f>IF($R73="","",'Profit Plan'!$E$8+SUM($H$18:$H73))</f>
        <v/>
      </c>
      <c r="Q73" s="335"/>
      <c r="R73" s="354" t="str">
        <f>IF($A73="","",IFERROR(MATCH($A73,'Profit Plan'!$P$27:$P$226,0),""))</f>
        <v/>
      </c>
    </row>
    <row r="74" spans="1:18" x14ac:dyDescent="0.3">
      <c r="A74" s="336" t="str">
        <f>IF(ROW()-17&gt;COUNT('Profit Plan'!$P$27:$P$226),"",ROW()-17)</f>
        <v/>
      </c>
      <c r="B74" s="335" t="str" cm="1">
        <f t="array" ref="B74">IF($R74="","",INDEX('Profit Plan'!$A$27:$A$226,$R74))</f>
        <v/>
      </c>
      <c r="C74" s="335" t="str" cm="1">
        <f t="array" ref="C74">IF($R74="","",INDEX('Profit Plan'!$B$27:$B$226,$R74))</f>
        <v/>
      </c>
      <c r="D74" s="349" t="str" cm="1">
        <f t="array" ref="D74">IF($R74="","",INDEX('Profit Plan'!$R$27:$R$226,$R74))</f>
        <v/>
      </c>
      <c r="E74" s="350" t="str" cm="1">
        <f t="array" ref="E74">IF($R74="","",INDEX('Profit Plan'!$M$27:$M$226,$R74))</f>
        <v/>
      </c>
      <c r="F74" s="351" t="str" cm="1">
        <f t="array" ref="F74">IF($R74="","",INDEX('Profit Plan'!$L$27:$L$226,$R74))</f>
        <v/>
      </c>
      <c r="G74" s="351" t="str" cm="1">
        <f t="array" ref="G74">IF($R74="","",INDEX('Profit Plan'!$J$27:$J$226,$R74))</f>
        <v/>
      </c>
      <c r="H74" s="337" t="str">
        <f t="shared" si="2"/>
        <v/>
      </c>
      <c r="I74" s="351" t="str" cm="1">
        <f t="array" ref="I74">IF($R74="","",INDEX('Profit Plan'!$Q$27:$Q$226,$R74))</f>
        <v/>
      </c>
      <c r="J74" s="352" t="str">
        <f>IF($R74="","",$I74/'Profit Plan'!$B$11)</f>
        <v/>
      </c>
      <c r="K74" s="349" t="str">
        <f>IF($D74&lt;&gt;"DO","-",TEXT(EOMONTH('Profit Plan'!$B$7,INT(($I74-$F74)/'Profit Plan'!$B$8))+1,"mmm yy"))</f>
        <v>-</v>
      </c>
      <c r="L74" s="349" t="str">
        <f>IF($D74&lt;&gt;"DO","-",TEXT(EOMONTH('Profit Plan'!$B$7,MAX(0,CEILING($I74/'Profit Plan'!$B$8,1)-1))+1,"mmm yy"))</f>
        <v>-</v>
      </c>
      <c r="M74" s="350" t="str" cm="1">
        <f t="array" ref="M74">IF($D74&lt;&gt;"DO","",INDEX('Profit Plan'!$T$27:$T$226,$R74))</f>
        <v/>
      </c>
      <c r="N74" s="350" t="str" cm="1">
        <f t="array" ref="N74">IF($D74&lt;&gt;"DO","",INDEX('Profit Plan'!$U$27:$U$226,$R74))</f>
        <v/>
      </c>
      <c r="O74" s="350" t="str" cm="1">
        <f t="array" ref="O74">IF($D74&lt;&gt;"DO","",INDEX('Profit Plan'!$V$27:$V$226,$R74))</f>
        <v/>
      </c>
      <c r="P74" s="337" t="str">
        <f>IF($R74="","",'Profit Plan'!$E$8+SUM($H$18:$H74))</f>
        <v/>
      </c>
      <c r="Q74" s="335"/>
      <c r="R74" s="354" t="str">
        <f>IF($A74="","",IFERROR(MATCH($A74,'Profit Plan'!$P$27:$P$226,0),""))</f>
        <v/>
      </c>
    </row>
    <row r="75" spans="1:18" x14ac:dyDescent="0.3">
      <c r="A75" s="336" t="str">
        <f>IF(ROW()-17&gt;COUNT('Profit Plan'!$P$27:$P$226),"",ROW()-17)</f>
        <v/>
      </c>
      <c r="B75" s="335" t="str" cm="1">
        <f t="array" ref="B75">IF($R75="","",INDEX('Profit Plan'!$A$27:$A$226,$R75))</f>
        <v/>
      </c>
      <c r="C75" s="335" t="str" cm="1">
        <f t="array" ref="C75">IF($R75="","",INDEX('Profit Plan'!$B$27:$B$226,$R75))</f>
        <v/>
      </c>
      <c r="D75" s="349" t="str" cm="1">
        <f t="array" ref="D75">IF($R75="","",INDEX('Profit Plan'!$R$27:$R$226,$R75))</f>
        <v/>
      </c>
      <c r="E75" s="350" t="str" cm="1">
        <f t="array" ref="E75">IF($R75="","",INDEX('Profit Plan'!$M$27:$M$226,$R75))</f>
        <v/>
      </c>
      <c r="F75" s="351" t="str" cm="1">
        <f t="array" ref="F75">IF($R75="","",INDEX('Profit Plan'!$L$27:$L$226,$R75))</f>
        <v/>
      </c>
      <c r="G75" s="351" t="str" cm="1">
        <f t="array" ref="G75">IF($R75="","",INDEX('Profit Plan'!$J$27:$J$226,$R75))</f>
        <v/>
      </c>
      <c r="H75" s="337" t="str">
        <f t="shared" si="2"/>
        <v/>
      </c>
      <c r="I75" s="351" t="str" cm="1">
        <f t="array" ref="I75">IF($R75="","",INDEX('Profit Plan'!$Q$27:$Q$226,$R75))</f>
        <v/>
      </c>
      <c r="J75" s="352" t="str">
        <f>IF($R75="","",$I75/'Profit Plan'!$B$11)</f>
        <v/>
      </c>
      <c r="K75" s="349" t="str">
        <f>IF($D75&lt;&gt;"DO","-",TEXT(EOMONTH('Profit Plan'!$B$7,INT(($I75-$F75)/'Profit Plan'!$B$8))+1,"mmm yy"))</f>
        <v>-</v>
      </c>
      <c r="L75" s="349" t="str">
        <f>IF($D75&lt;&gt;"DO","-",TEXT(EOMONTH('Profit Plan'!$B$7,MAX(0,CEILING($I75/'Profit Plan'!$B$8,1)-1))+1,"mmm yy"))</f>
        <v>-</v>
      </c>
      <c r="M75" s="350" t="str" cm="1">
        <f t="array" ref="M75">IF($D75&lt;&gt;"DO","",INDEX('Profit Plan'!$T$27:$T$226,$R75))</f>
        <v/>
      </c>
      <c r="N75" s="350" t="str" cm="1">
        <f t="array" ref="N75">IF($D75&lt;&gt;"DO","",INDEX('Profit Plan'!$U$27:$U$226,$R75))</f>
        <v/>
      </c>
      <c r="O75" s="350" t="str" cm="1">
        <f t="array" ref="O75">IF($D75&lt;&gt;"DO","",INDEX('Profit Plan'!$V$27:$V$226,$R75))</f>
        <v/>
      </c>
      <c r="P75" s="337" t="str">
        <f>IF($R75="","",'Profit Plan'!$E$8+SUM($H$18:$H75))</f>
        <v/>
      </c>
      <c r="Q75" s="335"/>
      <c r="R75" s="354" t="str">
        <f>IF($A75="","",IFERROR(MATCH($A75,'Profit Plan'!$P$27:$P$226,0),""))</f>
        <v/>
      </c>
    </row>
    <row r="76" spans="1:18" x14ac:dyDescent="0.3">
      <c r="A76" s="336" t="str">
        <f>IF(ROW()-17&gt;COUNT('Profit Plan'!$P$27:$P$226),"",ROW()-17)</f>
        <v/>
      </c>
      <c r="B76" s="335" t="str" cm="1">
        <f t="array" ref="B76">IF($R76="","",INDEX('Profit Plan'!$A$27:$A$226,$R76))</f>
        <v/>
      </c>
      <c r="C76" s="335" t="str" cm="1">
        <f t="array" ref="C76">IF($R76="","",INDEX('Profit Plan'!$B$27:$B$226,$R76))</f>
        <v/>
      </c>
      <c r="D76" s="349" t="str" cm="1">
        <f t="array" ref="D76">IF($R76="","",INDEX('Profit Plan'!$R$27:$R$226,$R76))</f>
        <v/>
      </c>
      <c r="E76" s="350" t="str" cm="1">
        <f t="array" ref="E76">IF($R76="","",INDEX('Profit Plan'!$M$27:$M$226,$R76))</f>
        <v/>
      </c>
      <c r="F76" s="351" t="str" cm="1">
        <f t="array" ref="F76">IF($R76="","",INDEX('Profit Plan'!$L$27:$L$226,$R76))</f>
        <v/>
      </c>
      <c r="G76" s="351" t="str" cm="1">
        <f t="array" ref="G76">IF($R76="","",INDEX('Profit Plan'!$J$27:$J$226,$R76))</f>
        <v/>
      </c>
      <c r="H76" s="337" t="str">
        <f t="shared" si="2"/>
        <v/>
      </c>
      <c r="I76" s="351" t="str" cm="1">
        <f t="array" ref="I76">IF($R76="","",INDEX('Profit Plan'!$Q$27:$Q$226,$R76))</f>
        <v/>
      </c>
      <c r="J76" s="352" t="str">
        <f>IF($R76="","",$I76/'Profit Plan'!$B$11)</f>
        <v/>
      </c>
      <c r="K76" s="349" t="str">
        <f>IF($D76&lt;&gt;"DO","-",TEXT(EOMONTH('Profit Plan'!$B$7,INT(($I76-$F76)/'Profit Plan'!$B$8))+1,"mmm yy"))</f>
        <v>-</v>
      </c>
      <c r="L76" s="349" t="str">
        <f>IF($D76&lt;&gt;"DO","-",TEXT(EOMONTH('Profit Plan'!$B$7,MAX(0,CEILING($I76/'Profit Plan'!$B$8,1)-1))+1,"mmm yy"))</f>
        <v>-</v>
      </c>
      <c r="M76" s="350" t="str" cm="1">
        <f t="array" ref="M76">IF($D76&lt;&gt;"DO","",INDEX('Profit Plan'!$T$27:$T$226,$R76))</f>
        <v/>
      </c>
      <c r="N76" s="350" t="str" cm="1">
        <f t="array" ref="N76">IF($D76&lt;&gt;"DO","",INDEX('Profit Plan'!$U$27:$U$226,$R76))</f>
        <v/>
      </c>
      <c r="O76" s="350" t="str" cm="1">
        <f t="array" ref="O76">IF($D76&lt;&gt;"DO","",INDEX('Profit Plan'!$V$27:$V$226,$R76))</f>
        <v/>
      </c>
      <c r="P76" s="337" t="str">
        <f>IF($R76="","",'Profit Plan'!$E$8+SUM($H$18:$H76))</f>
        <v/>
      </c>
      <c r="Q76" s="335"/>
      <c r="R76" s="354" t="str">
        <f>IF($A76="","",IFERROR(MATCH($A76,'Profit Plan'!$P$27:$P$226,0),""))</f>
        <v/>
      </c>
    </row>
    <row r="77" spans="1:18" x14ac:dyDescent="0.3">
      <c r="A77" s="336" t="str">
        <f>IF(ROW()-17&gt;COUNT('Profit Plan'!$P$27:$P$226),"",ROW()-17)</f>
        <v/>
      </c>
      <c r="B77" s="335" t="str" cm="1">
        <f t="array" ref="B77">IF($R77="","",INDEX('Profit Plan'!$A$27:$A$226,$R77))</f>
        <v/>
      </c>
      <c r="C77" s="335" t="str" cm="1">
        <f t="array" ref="C77">IF($R77="","",INDEX('Profit Plan'!$B$27:$B$226,$R77))</f>
        <v/>
      </c>
      <c r="D77" s="349" t="str" cm="1">
        <f t="array" ref="D77">IF($R77="","",INDEX('Profit Plan'!$R$27:$R$226,$R77))</f>
        <v/>
      </c>
      <c r="E77" s="350" t="str" cm="1">
        <f t="array" ref="E77">IF($R77="","",INDEX('Profit Plan'!$M$27:$M$226,$R77))</f>
        <v/>
      </c>
      <c r="F77" s="351" t="str" cm="1">
        <f t="array" ref="F77">IF($R77="","",INDEX('Profit Plan'!$L$27:$L$226,$R77))</f>
        <v/>
      </c>
      <c r="G77" s="351" t="str" cm="1">
        <f t="array" ref="G77">IF($R77="","",INDEX('Profit Plan'!$J$27:$J$226,$R77))</f>
        <v/>
      </c>
      <c r="H77" s="337" t="str">
        <f t="shared" si="2"/>
        <v/>
      </c>
      <c r="I77" s="351" t="str" cm="1">
        <f t="array" ref="I77">IF($R77="","",INDEX('Profit Plan'!$Q$27:$Q$226,$R77))</f>
        <v/>
      </c>
      <c r="J77" s="352" t="str">
        <f>IF($R77="","",$I77/'Profit Plan'!$B$11)</f>
        <v/>
      </c>
      <c r="K77" s="349" t="str">
        <f>IF($D77&lt;&gt;"DO","-",TEXT(EOMONTH('Profit Plan'!$B$7,INT(($I77-$F77)/'Profit Plan'!$B$8))+1,"mmm yy"))</f>
        <v>-</v>
      </c>
      <c r="L77" s="349" t="str">
        <f>IF($D77&lt;&gt;"DO","-",TEXT(EOMONTH('Profit Plan'!$B$7,MAX(0,CEILING($I77/'Profit Plan'!$B$8,1)-1))+1,"mmm yy"))</f>
        <v>-</v>
      </c>
      <c r="M77" s="350" t="str" cm="1">
        <f t="array" ref="M77">IF($D77&lt;&gt;"DO","",INDEX('Profit Plan'!$T$27:$T$226,$R77))</f>
        <v/>
      </c>
      <c r="N77" s="350" t="str" cm="1">
        <f t="array" ref="N77">IF($D77&lt;&gt;"DO","",INDEX('Profit Plan'!$U$27:$U$226,$R77))</f>
        <v/>
      </c>
      <c r="O77" s="350" t="str" cm="1">
        <f t="array" ref="O77">IF($D77&lt;&gt;"DO","",INDEX('Profit Plan'!$V$27:$V$226,$R77))</f>
        <v/>
      </c>
      <c r="P77" s="337" t="str">
        <f>IF($R77="","",'Profit Plan'!$E$8+SUM($H$18:$H77))</f>
        <v/>
      </c>
      <c r="Q77" s="335"/>
      <c r="R77" s="354" t="str">
        <f>IF($A77="","",IFERROR(MATCH($A77,'Profit Plan'!$P$27:$P$226,0),""))</f>
        <v/>
      </c>
    </row>
    <row r="78" spans="1:18" x14ac:dyDescent="0.3">
      <c r="A78" s="336" t="str">
        <f>IF(ROW()-17&gt;COUNT('Profit Plan'!$P$27:$P$226),"",ROW()-17)</f>
        <v/>
      </c>
      <c r="B78" s="335" t="str" cm="1">
        <f t="array" ref="B78">IF($R78="","",INDEX('Profit Plan'!$A$27:$A$226,$R78))</f>
        <v/>
      </c>
      <c r="C78" s="335" t="str" cm="1">
        <f t="array" ref="C78">IF($R78="","",INDEX('Profit Plan'!$B$27:$B$226,$R78))</f>
        <v/>
      </c>
      <c r="D78" s="349" t="str" cm="1">
        <f t="array" ref="D78">IF($R78="","",INDEX('Profit Plan'!$R$27:$R$226,$R78))</f>
        <v/>
      </c>
      <c r="E78" s="350" t="str" cm="1">
        <f t="array" ref="E78">IF($R78="","",INDEX('Profit Plan'!$M$27:$M$226,$R78))</f>
        <v/>
      </c>
      <c r="F78" s="351" t="str" cm="1">
        <f t="array" ref="F78">IF($R78="","",INDEX('Profit Plan'!$L$27:$L$226,$R78))</f>
        <v/>
      </c>
      <c r="G78" s="351" t="str" cm="1">
        <f t="array" ref="G78">IF($R78="","",INDEX('Profit Plan'!$J$27:$J$226,$R78))</f>
        <v/>
      </c>
      <c r="H78" s="337" t="str">
        <f t="shared" si="2"/>
        <v/>
      </c>
      <c r="I78" s="351" t="str" cm="1">
        <f t="array" ref="I78">IF($R78="","",INDEX('Profit Plan'!$Q$27:$Q$226,$R78))</f>
        <v/>
      </c>
      <c r="J78" s="352" t="str">
        <f>IF($R78="","",$I78/'Profit Plan'!$B$11)</f>
        <v/>
      </c>
      <c r="K78" s="349" t="str">
        <f>IF($D78&lt;&gt;"DO","-",TEXT(EOMONTH('Profit Plan'!$B$7,INT(($I78-$F78)/'Profit Plan'!$B$8))+1,"mmm yy"))</f>
        <v>-</v>
      </c>
      <c r="L78" s="349" t="str">
        <f>IF($D78&lt;&gt;"DO","-",TEXT(EOMONTH('Profit Plan'!$B$7,MAX(0,CEILING($I78/'Profit Plan'!$B$8,1)-1))+1,"mmm yy"))</f>
        <v>-</v>
      </c>
      <c r="M78" s="350" t="str" cm="1">
        <f t="array" ref="M78">IF($D78&lt;&gt;"DO","",INDEX('Profit Plan'!$T$27:$T$226,$R78))</f>
        <v/>
      </c>
      <c r="N78" s="350" t="str" cm="1">
        <f t="array" ref="N78">IF($D78&lt;&gt;"DO","",INDEX('Profit Plan'!$U$27:$U$226,$R78))</f>
        <v/>
      </c>
      <c r="O78" s="350" t="str" cm="1">
        <f t="array" ref="O78">IF($D78&lt;&gt;"DO","",INDEX('Profit Plan'!$V$27:$V$226,$R78))</f>
        <v/>
      </c>
      <c r="P78" s="337" t="str">
        <f>IF($R78="","",'Profit Plan'!$E$8+SUM($H$18:$H78))</f>
        <v/>
      </c>
      <c r="Q78" s="335"/>
      <c r="R78" s="354" t="str">
        <f>IF($A78="","",IFERROR(MATCH($A78,'Profit Plan'!$P$27:$P$226,0),""))</f>
        <v/>
      </c>
    </row>
    <row r="79" spans="1:18" x14ac:dyDescent="0.3">
      <c r="A79" s="336" t="str">
        <f>IF(ROW()-17&gt;COUNT('Profit Plan'!$P$27:$P$226),"",ROW()-17)</f>
        <v/>
      </c>
      <c r="B79" s="335" t="str" cm="1">
        <f t="array" ref="B79">IF($R79="","",INDEX('Profit Plan'!$A$27:$A$226,$R79))</f>
        <v/>
      </c>
      <c r="C79" s="335" t="str" cm="1">
        <f t="array" ref="C79">IF($R79="","",INDEX('Profit Plan'!$B$27:$B$226,$R79))</f>
        <v/>
      </c>
      <c r="D79" s="349" t="str" cm="1">
        <f t="array" ref="D79">IF($R79="","",INDEX('Profit Plan'!$R$27:$R$226,$R79))</f>
        <v/>
      </c>
      <c r="E79" s="350" t="str" cm="1">
        <f t="array" ref="E79">IF($R79="","",INDEX('Profit Plan'!$M$27:$M$226,$R79))</f>
        <v/>
      </c>
      <c r="F79" s="351" t="str" cm="1">
        <f t="array" ref="F79">IF($R79="","",INDEX('Profit Plan'!$L$27:$L$226,$R79))</f>
        <v/>
      </c>
      <c r="G79" s="351" t="str" cm="1">
        <f t="array" ref="G79">IF($R79="","",INDEX('Profit Plan'!$J$27:$J$226,$R79))</f>
        <v/>
      </c>
      <c r="H79" s="337" t="str">
        <f t="shared" si="2"/>
        <v/>
      </c>
      <c r="I79" s="351" t="str" cm="1">
        <f t="array" ref="I79">IF($R79="","",INDEX('Profit Plan'!$Q$27:$Q$226,$R79))</f>
        <v/>
      </c>
      <c r="J79" s="352" t="str">
        <f>IF($R79="","",$I79/'Profit Plan'!$B$11)</f>
        <v/>
      </c>
      <c r="K79" s="349" t="str">
        <f>IF($D79&lt;&gt;"DO","-",TEXT(EOMONTH('Profit Plan'!$B$7,INT(($I79-$F79)/'Profit Plan'!$B$8))+1,"mmm yy"))</f>
        <v>-</v>
      </c>
      <c r="L79" s="349" t="str">
        <f>IF($D79&lt;&gt;"DO","-",TEXT(EOMONTH('Profit Plan'!$B$7,MAX(0,CEILING($I79/'Profit Plan'!$B$8,1)-1))+1,"mmm yy"))</f>
        <v>-</v>
      </c>
      <c r="M79" s="350" t="str" cm="1">
        <f t="array" ref="M79">IF($D79&lt;&gt;"DO","",INDEX('Profit Plan'!$T$27:$T$226,$R79))</f>
        <v/>
      </c>
      <c r="N79" s="350" t="str" cm="1">
        <f t="array" ref="N79">IF($D79&lt;&gt;"DO","",INDEX('Profit Plan'!$U$27:$U$226,$R79))</f>
        <v/>
      </c>
      <c r="O79" s="350" t="str" cm="1">
        <f t="array" ref="O79">IF($D79&lt;&gt;"DO","",INDEX('Profit Plan'!$V$27:$V$226,$R79))</f>
        <v/>
      </c>
      <c r="P79" s="337" t="str">
        <f>IF($R79="","",'Profit Plan'!$E$8+SUM($H$18:$H79))</f>
        <v/>
      </c>
      <c r="Q79" s="335"/>
      <c r="R79" s="354" t="str">
        <f>IF($A79="","",IFERROR(MATCH($A79,'Profit Plan'!$P$27:$P$226,0),""))</f>
        <v/>
      </c>
    </row>
    <row r="80" spans="1:18" x14ac:dyDescent="0.3">
      <c r="A80" s="336" t="str">
        <f>IF(ROW()-17&gt;COUNT('Profit Plan'!$P$27:$P$226),"",ROW()-17)</f>
        <v/>
      </c>
      <c r="B80" s="335" t="str" cm="1">
        <f t="array" ref="B80">IF($R80="","",INDEX('Profit Plan'!$A$27:$A$226,$R80))</f>
        <v/>
      </c>
      <c r="C80" s="335" t="str" cm="1">
        <f t="array" ref="C80">IF($R80="","",INDEX('Profit Plan'!$B$27:$B$226,$R80))</f>
        <v/>
      </c>
      <c r="D80" s="349" t="str" cm="1">
        <f t="array" ref="D80">IF($R80="","",INDEX('Profit Plan'!$R$27:$R$226,$R80))</f>
        <v/>
      </c>
      <c r="E80" s="350" t="str" cm="1">
        <f t="array" ref="E80">IF($R80="","",INDEX('Profit Plan'!$M$27:$M$226,$R80))</f>
        <v/>
      </c>
      <c r="F80" s="351" t="str" cm="1">
        <f t="array" ref="F80">IF($R80="","",INDEX('Profit Plan'!$L$27:$L$226,$R80))</f>
        <v/>
      </c>
      <c r="G80" s="351" t="str" cm="1">
        <f t="array" ref="G80">IF($R80="","",INDEX('Profit Plan'!$J$27:$J$226,$R80))</f>
        <v/>
      </c>
      <c r="H80" s="337" t="str">
        <f t="shared" si="2"/>
        <v/>
      </c>
      <c r="I80" s="351" t="str" cm="1">
        <f t="array" ref="I80">IF($R80="","",INDEX('Profit Plan'!$Q$27:$Q$226,$R80))</f>
        <v/>
      </c>
      <c r="J80" s="352" t="str">
        <f>IF($R80="","",$I80/'Profit Plan'!$B$11)</f>
        <v/>
      </c>
      <c r="K80" s="349" t="str">
        <f>IF($D80&lt;&gt;"DO","-",TEXT(EOMONTH('Profit Plan'!$B$7,INT(($I80-$F80)/'Profit Plan'!$B$8))+1,"mmm yy"))</f>
        <v>-</v>
      </c>
      <c r="L80" s="349" t="str">
        <f>IF($D80&lt;&gt;"DO","-",TEXT(EOMONTH('Profit Plan'!$B$7,MAX(0,CEILING($I80/'Profit Plan'!$B$8,1)-1))+1,"mmm yy"))</f>
        <v>-</v>
      </c>
      <c r="M80" s="350" t="str" cm="1">
        <f t="array" ref="M80">IF($D80&lt;&gt;"DO","",INDEX('Profit Plan'!$T$27:$T$226,$R80))</f>
        <v/>
      </c>
      <c r="N80" s="350" t="str" cm="1">
        <f t="array" ref="N80">IF($D80&lt;&gt;"DO","",INDEX('Profit Plan'!$U$27:$U$226,$R80))</f>
        <v/>
      </c>
      <c r="O80" s="350" t="str" cm="1">
        <f t="array" ref="O80">IF($D80&lt;&gt;"DO","",INDEX('Profit Plan'!$V$27:$V$226,$R80))</f>
        <v/>
      </c>
      <c r="P80" s="337" t="str">
        <f>IF($R80="","",'Profit Plan'!$E$8+SUM($H$18:$H80))</f>
        <v/>
      </c>
      <c r="Q80" s="335"/>
      <c r="R80" s="354" t="str">
        <f>IF($A80="","",IFERROR(MATCH($A80,'Profit Plan'!$P$27:$P$226,0),""))</f>
        <v/>
      </c>
    </row>
    <row r="82" spans="1:1" x14ac:dyDescent="0.3">
      <c r="A82" s="333" t="s">
        <v>619</v>
      </c>
    </row>
  </sheetData>
  <mergeCells count="17">
    <mergeCell ref="D15:J15"/>
    <mergeCell ref="A10:B10"/>
    <mergeCell ref="A11:B11"/>
    <mergeCell ref="A12:B12"/>
    <mergeCell ref="A13:B13"/>
    <mergeCell ref="A14:B14"/>
    <mergeCell ref="A15:B15"/>
    <mergeCell ref="A16:P16"/>
    <mergeCell ref="A4:B4"/>
    <mergeCell ref="D4:J4"/>
    <mergeCell ref="A1:P1"/>
    <mergeCell ref="A2:P2"/>
    <mergeCell ref="A5:B5"/>
    <mergeCell ref="A6:B6"/>
    <mergeCell ref="A7:B7"/>
    <mergeCell ref="A8:B8"/>
    <mergeCell ref="A9:B9"/>
  </mergeCells>
  <conditionalFormatting sqref="A18:P80">
    <cfRule type="expression" dxfId="91" priority="1">
      <formula>$D18="DEFER"</formula>
    </cfRule>
  </conditionalFormatting>
  <conditionalFormatting sqref="A18:P80">
    <cfRule type="expression" dxfId="90" priority="2">
      <formula>$D18="DO"</formula>
    </cfRule>
  </conditionalFormatting>
  <conditionalFormatting sqref="A18:P80">
    <cfRule type="expression" dxfId="89" priority="3">
      <formula>AND($D18="DEFER",$D17="DO")</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5FF2C-B5A0-47B4-8CCC-1926126DABE0}">
  <sheetPr>
    <tabColor rgb="FF2E9B57"/>
    <pageSetUpPr fitToPage="1"/>
  </sheetPr>
  <dimension ref="A1:Y120"/>
  <sheetViews>
    <sheetView showGridLines="0" view="pageBreakPreview" zoomScale="115" zoomScaleNormal="85" zoomScaleSheetLayoutView="115" workbookViewId="0">
      <selection activeCell="F15" sqref="A15:F15"/>
    </sheetView>
  </sheetViews>
  <sheetFormatPr defaultRowHeight="14.4" x14ac:dyDescent="0.3"/>
  <cols>
    <col min="1" max="1" width="24.6640625" customWidth="1"/>
    <col min="2" max="2" width="65" customWidth="1"/>
    <col min="3" max="3" width="14.77734375" customWidth="1"/>
    <col min="4" max="5" width="17" customWidth="1"/>
    <col min="6" max="6" width="18.5546875" customWidth="1"/>
    <col min="7" max="7" width="15.77734375" customWidth="1"/>
    <col min="8" max="8" width="17.5546875" customWidth="1"/>
    <col min="9" max="11" width="13.33203125" customWidth="1"/>
    <col min="12" max="12" width="13" customWidth="1"/>
    <col min="13" max="13" width="13.33203125" customWidth="1"/>
    <col min="14" max="14" width="40.77734375" customWidth="1"/>
    <col min="15" max="15" width="14.77734375" customWidth="1"/>
    <col min="16" max="21" width="17" customWidth="1"/>
    <col min="22" max="22" width="14.77734375" customWidth="1"/>
    <col min="23" max="25" width="14.44140625" customWidth="1"/>
  </cols>
  <sheetData>
    <row r="1" spans="1:25" ht="31.95" customHeight="1" x14ac:dyDescent="0.3">
      <c r="A1" s="295" t="s">
        <v>32</v>
      </c>
      <c r="B1" s="295"/>
      <c r="C1" s="295"/>
      <c r="D1" s="295"/>
      <c r="E1" s="295"/>
      <c r="F1" s="295"/>
      <c r="G1" s="295"/>
      <c r="H1" s="295"/>
      <c r="I1" s="295"/>
      <c r="J1" s="295"/>
      <c r="K1" s="295"/>
      <c r="L1" s="295"/>
      <c r="M1" s="295"/>
      <c r="N1" s="295"/>
    </row>
    <row r="2" spans="1:25" ht="22.05" customHeight="1" x14ac:dyDescent="0.3">
      <c r="A2" s="296" t="s">
        <v>33</v>
      </c>
      <c r="B2" s="296"/>
      <c r="C2" s="296"/>
      <c r="D2" s="296"/>
      <c r="E2" s="296"/>
      <c r="F2" s="296"/>
      <c r="G2" s="296"/>
      <c r="H2" s="296"/>
      <c r="I2" s="296"/>
      <c r="J2" s="296"/>
      <c r="K2" s="296"/>
      <c r="L2" s="296"/>
      <c r="M2" s="296"/>
      <c r="N2" s="296"/>
    </row>
    <row r="3" spans="1:25" x14ac:dyDescent="0.3">
      <c r="A3" s="1"/>
      <c r="B3" s="1"/>
      <c r="C3" s="1"/>
      <c r="D3" s="1"/>
      <c r="E3" s="1"/>
      <c r="F3" s="1"/>
      <c r="G3" s="1"/>
      <c r="H3" s="1"/>
      <c r="I3" s="1"/>
      <c r="J3" s="1"/>
      <c r="K3" s="1"/>
      <c r="L3" s="1"/>
      <c r="M3" s="1"/>
      <c r="N3" s="1"/>
    </row>
    <row r="4" spans="1:25" ht="19.95" customHeight="1" x14ac:dyDescent="0.3">
      <c r="A4" s="297" t="s">
        <v>34</v>
      </c>
      <c r="B4" s="297"/>
      <c r="C4" s="297"/>
      <c r="D4" s="297"/>
      <c r="E4" s="297"/>
      <c r="F4" s="297"/>
      <c r="G4" s="297"/>
      <c r="H4" s="297"/>
      <c r="I4" s="297"/>
      <c r="J4" s="297"/>
      <c r="K4" s="297"/>
      <c r="L4" s="297"/>
      <c r="M4" s="297"/>
      <c r="N4" s="297"/>
      <c r="P4" s="291" t="s">
        <v>59</v>
      </c>
      <c r="Q4" s="292"/>
      <c r="R4" s="292"/>
      <c r="S4" s="292"/>
      <c r="T4" s="292"/>
      <c r="U4" s="292"/>
    </row>
    <row r="5" spans="1:25" ht="36.6" x14ac:dyDescent="0.3">
      <c r="A5" s="18" t="s">
        <v>244</v>
      </c>
      <c r="B5" s="18" t="s">
        <v>36</v>
      </c>
      <c r="C5" s="11" t="s">
        <v>13</v>
      </c>
      <c r="D5" s="11" t="s">
        <v>37</v>
      </c>
      <c r="E5" s="11" t="s">
        <v>38</v>
      </c>
      <c r="F5" s="11" t="s">
        <v>20</v>
      </c>
      <c r="G5" s="11" t="s">
        <v>39</v>
      </c>
      <c r="H5" s="11" t="s">
        <v>40</v>
      </c>
      <c r="I5" s="11" t="s">
        <v>41</v>
      </c>
      <c r="J5" s="11" t="s">
        <v>42</v>
      </c>
      <c r="K5" s="11" t="s">
        <v>43</v>
      </c>
      <c r="L5" s="11" t="s">
        <v>12</v>
      </c>
      <c r="M5" s="11" t="s">
        <v>23</v>
      </c>
      <c r="N5" s="11" t="s">
        <v>44</v>
      </c>
      <c r="O5" s="237" t="s">
        <v>507</v>
      </c>
      <c r="P5" s="57" t="s">
        <v>60</v>
      </c>
      <c r="Q5" s="57" t="s">
        <v>18</v>
      </c>
      <c r="R5" s="57" t="s">
        <v>61</v>
      </c>
      <c r="S5" s="57" t="s">
        <v>62</v>
      </c>
      <c r="T5" s="57" t="s">
        <v>16</v>
      </c>
      <c r="U5" s="57" t="s">
        <v>63</v>
      </c>
      <c r="V5" s="237" t="s">
        <v>504</v>
      </c>
      <c r="W5" s="248" t="inlineStr">
        <is>
          <t xml:space="preserve">Engineer 1 % (manual fallback)</t>
        </is>
      </c>
      <c r="X5" s="248" t="inlineStr">
        <is>
          <t xml:space="preserve">Engineer 2 % (manual fallback)</t>
        </is>
      </c>
      <c r="Y5" s="248" t="inlineStr">
        <is>
          <t xml:space="preserve">Engineer 3 % (manual fallback)</t>
        </is>
      </c>
    </row>
    <row r="6" spans="1:25" x14ac:dyDescent="0.3">
      <c r="A6" s="34"/>
      <c r="B6" s="34"/>
      <c r="C6" s="35"/>
      <c r="D6" s="36"/>
      <c r="E6" s="36"/>
      <c r="F6" s="37"/>
      <c r="G6" s="235">
        <f>IF($A6="","",IF(SUMIF(Deliverables!$A$5:$A$204,$A6,Deliverables!$E$5:$E$204)=0,$O6,SUMIF(Deliverables!$A$5:$A$204,$A6,Deliverables!$I$5:$I$204)/SUMIF(Deliverables!$A$5:$A$204,$A6,Deliverables!$E$5:$E$204)))</f>
        <v>0.65</v>
      </c>
      <c r="H6" s="39"/>
      <c r="I6" s="249">
        <f>IF($A6="","",IF(SUM(Deliverables!$W5:$Y5)=0,$W6,Deliverables!W5))</f>
        <v>1</v>
      </c>
      <c r="J6" s="249">
        <f>IF($A6="","",IF(SUM(Deliverables!$W5:$Y5)=0,$X6,Deliverables!X5))</f>
        <v>0</v>
      </c>
      <c r="K6" s="249">
        <f>IF($A6="","",IF(SUM(Deliverables!$W5:$Y5)=0,$Y6,Deliverables!Y5))</f>
        <v>0</v>
      </c>
      <c r="L6" s="40">
        <f>IF($A6="","",SUM($I6:$K6))</f>
        <v>1</v>
      </c>
      <c r="M6" s="41">
        <f>IF($A6="",0,IF(OR($F6="Active",$F6="Not Started"),1,0))</f>
        <v>1</v>
      </c>
      <c r="N6" s="34"/>
      <c r="O6" s="236"/>
      <c r="P6" s="58">
        <f>IF($A6="","",SUMIF(Phasing!$A$265:$A$504,$A6,Phasing!$Y$265:$Y$504))</f>
        <v>0</v>
      </c>
      <c r="Q6" s="58">
        <f>IF($A6="","",IF($H6&lt;&gt;"",$H6,IF(OR($P6=0,$G6=0),$C6,$P6/$G6)))</f>
        <v>2.4</v>
      </c>
      <c r="R6" s="59">
        <f>IF($A6="","",MAX(0,$Q6-$P6))</f>
        <v>2.4</v>
      </c>
      <c r="S6" s="58">
        <f>IF($A6="","",$C6*$G6)</f>
        <v>1.56</v>
      </c>
      <c r="T6" s="59">
        <f>IF($A6="","",$C6-$Q6)</f>
        <v>0</v>
      </c>
      <c r="U6" s="60" t="str">
        <f>IF($A6="","",IF($P6=0,"",$S6/$P6))</f>
        <v/>
      </c>
      <c r="V6" s="238" cm="1">
        <f t="array" ref="V6">IF($A6="","",IF(SUMIF(Deliverables!$A$5:$A$204,$A6,Deliverables!$E$5:$E$204)=0,1,SUMPRODUCT((Deliverables!$A$5:$A$204=$A6)*Deliverables!$E$5:$E$204*Deliverables!$P$5:$P$204)/SUMIF(Deliverables!$A$5:$A$204,$A6,Deliverables!$E$5:$E$204)))</f>
        <v>1.1000000000000001</v>
      </c>
      <c r="W6" s="241"/>
      <c r="X6" s="241"/>
      <c r="Y6" s="241"/>
    </row>
    <row r="7" spans="1:25" x14ac:dyDescent="0.3">
      <c r="A7" s="34"/>
      <c r="B7" s="34"/>
      <c r="C7" s="35"/>
      <c r="D7" s="36"/>
      <c r="E7" s="36"/>
      <c r="F7" s="37"/>
      <c r="G7" s="235">
        <f>IF($A7="","",IF(SUMIF(Deliverables!$A$5:$A$204,$A7,Deliverables!$E$5:$E$204)=0,$O7,SUMIF(Deliverables!$A$5:$A$204,$A7,Deliverables!$I$5:$I$204)/SUMIF(Deliverables!$A$5:$A$204,$A7,Deliverables!$E$5:$E$204)))</f>
        <v>0.16250000000000001</v>
      </c>
      <c r="H7" s="39"/>
      <c r="I7" s="249">
        <f>IF($A7="","",IF(SUM(Deliverables!$W6:$Y6)=0,$W7,Deliverables!W6))</f>
        <v>0.15</v>
      </c>
      <c r="J7" s="249">
        <f>IF($A7="","",IF(SUM(Deliverables!$W6:$Y6)=0,$X7,Deliverables!X6))</f>
        <v>0.85</v>
      </c>
      <c r="K7" s="249">
        <f>IF($A7="","",IF(SUM(Deliverables!$W6:$Y6)=0,$Y7,Deliverables!Y6))</f>
        <v>0</v>
      </c>
      <c r="L7" s="40">
        <f t="shared" ref="L7:L36" si="0">IF($A7="","",SUM($I7:$K7))</f>
        <v>1</v>
      </c>
      <c r="M7" s="41">
        <f t="shared" ref="M7:M36" si="1">IF($A7="",0,IF(OR($F7="Active",$F7="Not Started"),1,0))</f>
        <v>1</v>
      </c>
      <c r="N7" s="34"/>
      <c r="O7" s="236"/>
      <c r="P7" s="58">
        <f>IF($A7="","",SUMIF(Phasing!$A$265:$A$504,$A7,Phasing!$Y$265:$Y$504))</f>
        <v>0.22567567567567567</v>
      </c>
      <c r="Q7" s="58">
        <f t="shared" ref="Q7:Q37" si="2">IF($A7="","",IF($H7&lt;&gt;"",$H7,IF(OR($P7=0,$G7=0),$C7,$P7/$G7)))</f>
        <v>1.3887733887733886</v>
      </c>
      <c r="R7" s="59">
        <f t="shared" ref="R7:R37" si="3">IF($A7="","",MAX(0,$Q7-$P7))</f>
        <v>1.1630977130977129</v>
      </c>
      <c r="S7" s="58">
        <f t="shared" ref="S7:S37" si="4">IF($A7="","",$C7*$G7)</f>
        <v>0.48750000000000004</v>
      </c>
      <c r="T7" s="59">
        <f t="shared" ref="T7:T37" si="5">IF($A7="","",$C7-$Q7)</f>
        <v>1.6112266112266114</v>
      </c>
      <c r="U7" s="60">
        <f t="shared" ref="U7:U37" si="6">IF($A7="","",IF($P7=0,"",$S7/$P7))</f>
        <v>2.1601796407185629</v>
      </c>
      <c r="V7" s="238" cm="1">
        <f t="array" ref="V7">IF($A7="","",IF(SUMIF(Deliverables!$A$5:$A$204,$A7,Deliverables!$E$5:$E$204)=0,1,SUMPRODUCT((Deliverables!$A$5:$A$204=$A7)*Deliverables!$E$5:$E$204*Deliverables!$P$5:$P$204)/SUMIF(Deliverables!$A$5:$A$204,$A7,Deliverables!$E$5:$E$204)))</f>
        <v>1.0249999999999999</v>
      </c>
      <c r="W7" s="241"/>
      <c r="X7" s="241"/>
      <c r="Y7" s="241"/>
    </row>
    <row r="8" spans="1:25" x14ac:dyDescent="0.3">
      <c r="A8" s="34"/>
      <c r="B8" s="34"/>
      <c r="C8" s="35"/>
      <c r="D8" s="36"/>
      <c r="E8" s="36"/>
      <c r="F8" s="37"/>
      <c r="G8" s="235">
        <f>IF($A8="","",IF(SUMIF(Deliverables!$A$5:$A$204,$A8,Deliverables!$E$5:$E$204)=0,$O8,SUMIF(Deliverables!$A$5:$A$204,$A8,Deliverables!$I$5:$I$204)/SUMIF(Deliverables!$A$5:$A$204,$A8,Deliverables!$E$5:$E$204)))</f>
        <v>0.316</v>
      </c>
      <c r="H8" s="39"/>
      <c r="I8" s="249">
        <f>IF($A8="","",IF(SUM(Deliverables!$W7:$Y7)=0,$W8,Deliverables!W7))</f>
        <v>0.41582278481012658</v>
      </c>
      <c r="J8" s="249">
        <f>IF($A8="","",IF(SUM(Deliverables!$W7:$Y7)=0,$X8,Deliverables!X7))</f>
        <v>0.51265822784810133</v>
      </c>
      <c r="K8" s="249">
        <f>IF($A8="","",IF(SUM(Deliverables!$W7:$Y7)=0,$Y8,Deliverables!Y7))</f>
        <v>7.1518987341772131E-2</v>
      </c>
      <c r="L8" s="40">
        <f t="shared" si="0"/>
        <v>1</v>
      </c>
      <c r="M8" s="41">
        <f t="shared" si="1"/>
        <v>1</v>
      </c>
      <c r="N8" s="34"/>
      <c r="O8" s="236"/>
      <c r="P8" s="58">
        <f>IF($A8="","",SUMIF(Phasing!$A$265:$A$504,$A8,Phasing!$Y$265:$Y$504))</f>
        <v>18.516216216216218</v>
      </c>
      <c r="Q8" s="58">
        <f t="shared" si="2"/>
        <v>58.595620937393093</v>
      </c>
      <c r="R8" s="59">
        <f t="shared" si="3"/>
        <v>40.079404721176871</v>
      </c>
      <c r="S8" s="58">
        <f t="shared" si="4"/>
        <v>8.2159999999999993</v>
      </c>
      <c r="T8" s="59">
        <f t="shared" si="5"/>
        <v>-32.595620937393093</v>
      </c>
      <c r="U8" s="60">
        <f t="shared" si="6"/>
        <v>0.44371916508538889</v>
      </c>
      <c r="V8" s="238" cm="1">
        <f t="array" ref="V8">IF($A8="","",IF(SUMIF(Deliverables!$A$5:$A$204,$A8,Deliverables!$E$5:$E$204)=0,1,SUMPRODUCT((Deliverables!$A$5:$A$204=$A8)*Deliverables!$E$5:$E$204*Deliverables!$P$5:$P$204)/SUMIF(Deliverables!$A$5:$A$204,$A8,Deliverables!$E$5:$E$204)))</f>
        <v>1.016</v>
      </c>
      <c r="W8" s="241"/>
      <c r="X8" s="241"/>
      <c r="Y8" s="241"/>
    </row>
    <row r="9" spans="1:25" x14ac:dyDescent="0.3">
      <c r="A9" s="34"/>
      <c r="B9" s="34"/>
      <c r="C9" s="35"/>
      <c r="D9" s="36"/>
      <c r="E9" s="36"/>
      <c r="F9" s="37"/>
      <c r="G9" s="235">
        <f>IF($A9="","",IF(SUMIF(Deliverables!$A$5:$A$204,$A9,Deliverables!$E$5:$E$204)=0,$O9,SUMIF(Deliverables!$A$5:$A$204,$A9,Deliverables!$I$5:$I$204)/SUMIF(Deliverables!$A$5:$A$204,$A9,Deliverables!$E$5:$E$204)))</f>
        <v>0</v>
      </c>
      <c r="H9" s="39"/>
      <c r="I9" s="249">
        <f>IF($A9="","",IF(SUM(Deliverables!$W8:$Y8)=0,$W9,Deliverables!W8))</f>
        <v>0.6</v>
      </c>
      <c r="J9" s="249">
        <f>IF($A9="","",IF(SUM(Deliverables!$W8:$Y8)=0,$X9,Deliverables!X8))</f>
        <v>0.4</v>
      </c>
      <c r="K9" s="249">
        <f>IF($A9="","",IF(SUM(Deliverables!$W8:$Y8)=0,$Y9,Deliverables!Y8))</f>
        <v>0</v>
      </c>
      <c r="L9" s="40">
        <f t="shared" si="0"/>
        <v>1</v>
      </c>
      <c r="M9" s="41">
        <f t="shared" si="1"/>
        <v>1</v>
      </c>
      <c r="N9" s="34"/>
      <c r="O9" s="236"/>
      <c r="P9" s="58">
        <f>IF($A9="","",SUMIF(Phasing!$A$265:$A$504,$A9,Phasing!$Y$265:$Y$504))</f>
        <v>1.4013513513513514</v>
      </c>
      <c r="Q9" s="58">
        <f t="shared" si="2"/>
        <v>5</v>
      </c>
      <c r="R9" s="59">
        <f t="shared" si="3"/>
        <v>3.5986486486486484</v>
      </c>
      <c r="S9" s="58">
        <f t="shared" si="4"/>
        <v>0</v>
      </c>
      <c r="T9" s="59">
        <f t="shared" si="5"/>
        <v>0</v>
      </c>
      <c r="U9" s="60">
        <f t="shared" si="6"/>
        <v>0</v>
      </c>
      <c r="V9" s="238" cm="1">
        <f t="array" ref="V9">IF($A9="","",IF(SUMIF(Deliverables!$A$5:$A$204,$A9,Deliverables!$E$5:$E$204)=0,1,SUMPRODUCT((Deliverables!$A$5:$A$204=$A9)*Deliverables!$E$5:$E$204*Deliverables!$P$5:$P$204)/SUMIF(Deliverables!$A$5:$A$204,$A9,Deliverables!$E$5:$E$204)))</f>
        <v>1.1000000000000001</v>
      </c>
      <c r="W9" s="241"/>
      <c r="X9" s="241"/>
      <c r="Y9" s="241"/>
    </row>
    <row r="10" spans="1:25" x14ac:dyDescent="0.3">
      <c r="A10" s="34"/>
      <c r="B10" s="34"/>
      <c r="C10" s="35"/>
      <c r="D10" s="36"/>
      <c r="E10" s="36"/>
      <c r="F10" s="37"/>
      <c r="G10" s="235">
        <f>IF($A10="","",IF(SUMIF(Deliverables!$A$5:$A$204,$A10,Deliverables!$E$5:$E$204)=0,$O10,SUMIF(Deliverables!$A$5:$A$204,$A10,Deliverables!$I$5:$I$204)/SUMIF(Deliverables!$A$5:$A$204,$A10,Deliverables!$E$5:$E$204)))</f>
        <v>0</v>
      </c>
      <c r="H10" s="39"/>
      <c r="I10" s="249">
        <f>IF($A10="","",IF(SUM(Deliverables!$W9:$Y9)=0,$W10,Deliverables!W9))</f>
        <v>0.6</v>
      </c>
      <c r="J10" s="249">
        <f>IF($A10="","",IF(SUM(Deliverables!$W9:$Y9)=0,$X10,Deliverables!X9))</f>
        <v>0.4</v>
      </c>
      <c r="K10" s="249">
        <f>IF($A10="","",IF(SUM(Deliverables!$W9:$Y9)=0,$Y10,Deliverables!Y9))</f>
        <v>0</v>
      </c>
      <c r="L10" s="40">
        <f t="shared" si="0"/>
        <v>1</v>
      </c>
      <c r="M10" s="41">
        <f t="shared" si="1"/>
        <v>1</v>
      </c>
      <c r="N10" s="34"/>
      <c r="O10" s="236"/>
      <c r="P10" s="58">
        <f>IF($A10="","",SUMIF(Phasing!$A$265:$A$504,$A10,Phasing!$Y$265:$Y$504))</f>
        <v>0</v>
      </c>
      <c r="Q10" s="58">
        <f t="shared" si="2"/>
        <v>5</v>
      </c>
      <c r="R10" s="59">
        <f t="shared" si="3"/>
        <v>5</v>
      </c>
      <c r="S10" s="58">
        <f t="shared" si="4"/>
        <v>0</v>
      </c>
      <c r="T10" s="59">
        <f t="shared" si="5"/>
        <v>0</v>
      </c>
      <c r="U10" s="60" t="str">
        <f t="shared" si="6"/>
        <v/>
      </c>
      <c r="V10" s="238" cm="1">
        <f t="array" ref="V10">IF($A10="","",IF(SUMIF(Deliverables!$A$5:$A$204,$A10,Deliverables!$E$5:$E$204)=0,1,SUMPRODUCT((Deliverables!$A$5:$A$204=$A10)*Deliverables!$E$5:$E$204*Deliverables!$P$5:$P$204)/SUMIF(Deliverables!$A$5:$A$204,$A10,Deliverables!$E$5:$E$204)))</f>
        <v>1.1000000000000001</v>
      </c>
      <c r="W10" s="241"/>
      <c r="X10" s="241"/>
      <c r="Y10" s="241"/>
    </row>
    <row r="11" spans="1:25" x14ac:dyDescent="0.3">
      <c r="A11" s="34"/>
      <c r="B11" s="34"/>
      <c r="C11" s="35"/>
      <c r="D11" s="36"/>
      <c r="E11" s="36"/>
      <c r="F11" s="37"/>
      <c r="G11" s="235">
        <f>IF($A11="","",IF(SUMIF(Deliverables!$A$5:$A$204,$A11,Deliverables!$E$5:$E$204)=0,$O11,SUMIF(Deliverables!$A$5:$A$204,$A11,Deliverables!$I$5:$I$204)/SUMIF(Deliverables!$A$5:$A$204,$A11,Deliverables!$E$5:$E$204)))</f>
        <v>1</v>
      </c>
      <c r="H11" s="39"/>
      <c r="I11" s="249">
        <f>IF($A11="","",IF(SUM(Deliverables!$W10:$Y10)=0,$W11,Deliverables!W10))</f>
        <v>0.4</v>
      </c>
      <c r="J11" s="249">
        <f>IF($A11="","",IF(SUM(Deliverables!$W10:$Y10)=0,$X11,Deliverables!X10))</f>
        <v>0.2</v>
      </c>
      <c r="K11" s="249">
        <f>IF($A11="","",IF(SUM(Deliverables!$W10:$Y10)=0,$Y11,Deliverables!Y10))</f>
        <v>0.4</v>
      </c>
      <c r="L11" s="40">
        <f t="shared" si="0"/>
        <v>1</v>
      </c>
      <c r="M11" s="41">
        <f t="shared" si="1"/>
        <v>0</v>
      </c>
      <c r="N11" s="34"/>
      <c r="O11" s="236"/>
      <c r="P11" s="58">
        <f>IF($A11="","",SUMIF(Phasing!$A$265:$A$504,$A11,Phasing!$Y$265:$Y$504))</f>
        <v>2.5999999999999996</v>
      </c>
      <c r="Q11" s="58">
        <f t="shared" si="2"/>
        <v>2.5999999999999996</v>
      </c>
      <c r="R11" s="59">
        <f t="shared" si="3"/>
        <v>0</v>
      </c>
      <c r="S11" s="58">
        <f t="shared" si="4"/>
        <v>3</v>
      </c>
      <c r="T11" s="59">
        <f t="shared" si="5"/>
        <v>0.40000000000000036</v>
      </c>
      <c r="U11" s="60">
        <f t="shared" si="6"/>
        <v>1.153846153846154</v>
      </c>
      <c r="V11" s="238" cm="1">
        <f t="array" ref="V11">IF($A11="","",IF(SUMIF(Deliverables!$A$5:$A$204,$A11,Deliverables!$E$5:$E$204)=0,1,SUMPRODUCT((Deliverables!$A$5:$A$204=$A11)*Deliverables!$E$5:$E$204*Deliverables!$P$5:$P$204)/SUMIF(Deliverables!$A$5:$A$204,$A11,Deliverables!$E$5:$E$204)))</f>
        <v>1.1000000000000001</v>
      </c>
      <c r="W11" s="241"/>
      <c r="X11" s="241"/>
      <c r="Y11" s="241"/>
    </row>
    <row r="12" spans="1:25" x14ac:dyDescent="0.3">
      <c r="A12" s="34"/>
      <c r="B12" s="34"/>
      <c r="C12" s="35"/>
      <c r="D12" s="36"/>
      <c r="E12" s="36"/>
      <c r="F12" s="37"/>
      <c r="G12" s="235">
        <f>IF($A12="","",IF(SUMIF(Deliverables!$A$5:$A$204,$A12,Deliverables!$E$5:$E$204)=0,$O12,SUMIF(Deliverables!$A$5:$A$204,$A12,Deliverables!$I$5:$I$204)/SUMIF(Deliverables!$A$5:$A$204,$A12,Deliverables!$E$5:$E$204)))</f>
        <v>0.65</v>
      </c>
      <c r="H12" s="39"/>
      <c r="I12" s="249">
        <f>IF($A12="","",IF(SUM(Deliverables!$W11:$Y11)=0,$W12,Deliverables!W11))</f>
        <v>0.2</v>
      </c>
      <c r="J12" s="249">
        <f>IF($A12="","",IF(SUM(Deliverables!$W11:$Y11)=0,$X12,Deliverables!X11))</f>
        <v>0</v>
      </c>
      <c r="K12" s="249">
        <f>IF($A12="","",IF(SUM(Deliverables!$W11:$Y11)=0,$Y12,Deliverables!Y11))</f>
        <v>0.8</v>
      </c>
      <c r="L12" s="40">
        <f t="shared" si="0"/>
        <v>1</v>
      </c>
      <c r="M12" s="41">
        <f t="shared" si="1"/>
        <v>0</v>
      </c>
      <c r="N12" s="34"/>
      <c r="O12" s="236"/>
      <c r="P12" s="58">
        <f>IF($A12="","",SUMIF(Phasing!$A$265:$A$504,$A12,Phasing!$Y$265:$Y$504))</f>
        <v>0</v>
      </c>
      <c r="Q12" s="58">
        <f t="shared" si="2"/>
        <v>1.1499999999999999</v>
      </c>
      <c r="R12" s="59">
        <f t="shared" si="3"/>
        <v>1.1499999999999999</v>
      </c>
      <c r="S12" s="58">
        <f t="shared" si="4"/>
        <v>0.74749999999999994</v>
      </c>
      <c r="T12" s="59">
        <f t="shared" si="5"/>
        <v>0</v>
      </c>
      <c r="U12" s="60" t="str">
        <f t="shared" si="6"/>
        <v/>
      </c>
      <c r="V12" s="238" cm="1">
        <f t="array" ref="V12">IF($A12="","",IF(SUMIF(Deliverables!$A$5:$A$204,$A12,Deliverables!$E$5:$E$204)=0,1,SUMPRODUCT((Deliverables!$A$5:$A$204=$A12)*Deliverables!$E$5:$E$204*Deliverables!$P$5:$P$204)/SUMIF(Deliverables!$A$5:$A$204,$A12,Deliverables!$E$5:$E$204)))</f>
        <v>1.1000000000000001</v>
      </c>
      <c r="W12" s="241"/>
      <c r="X12" s="241"/>
      <c r="Y12" s="241"/>
    </row>
    <row r="13" spans="1:25" x14ac:dyDescent="0.3">
      <c r="A13" s="34"/>
      <c r="B13" s="34"/>
      <c r="C13" s="35"/>
      <c r="D13" s="36"/>
      <c r="E13" s="36"/>
      <c r="F13" s="37"/>
      <c r="G13" s="235">
        <f>IF($A13="","",IF(SUMIF(Deliverables!$A$5:$A$204,$A13,Deliverables!$E$5:$E$204)=0,$O13,SUMIF(Deliverables!$A$5:$A$204,$A13,Deliverables!$I$5:$I$204)/SUMIF(Deliverables!$A$5:$A$204,$A13,Deliverables!$E$5:$E$204)))</f>
        <v>0.9</v>
      </c>
      <c r="H13" s="39"/>
      <c r="I13" s="249">
        <f>IF($A13="","",IF(SUM(Deliverables!$W12:$Y12)=0,$W13,Deliverables!W12))</f>
        <v>0.4</v>
      </c>
      <c r="J13" s="249">
        <f>IF($A13="","",IF(SUM(Deliverables!$W12:$Y12)=0,$X13,Deliverables!X12))</f>
        <v>0</v>
      </c>
      <c r="K13" s="249">
        <f>IF($A13="","",IF(SUM(Deliverables!$W12:$Y12)=0,$Y13,Deliverables!Y12))</f>
        <v>0.6</v>
      </c>
      <c r="L13" s="40">
        <f t="shared" si="0"/>
        <v>1</v>
      </c>
      <c r="M13" s="41">
        <f t="shared" si="1"/>
        <v>0</v>
      </c>
      <c r="N13" s="34"/>
      <c r="O13" s="236"/>
      <c r="P13" s="58">
        <f>IF($A13="","",SUMIF(Phasing!$A$265:$A$504,$A13,Phasing!$Y$265:$Y$504))</f>
        <v>0.88918918918918921</v>
      </c>
      <c r="Q13" s="58">
        <f t="shared" si="2"/>
        <v>0.98798798798798804</v>
      </c>
      <c r="R13" s="59">
        <f t="shared" si="3"/>
        <v>9.8798798798798826E-2</v>
      </c>
      <c r="S13" s="58">
        <f t="shared" si="4"/>
        <v>4.5</v>
      </c>
      <c r="T13" s="59">
        <f t="shared" si="5"/>
        <v>4.0120120120120122</v>
      </c>
      <c r="U13" s="60">
        <f t="shared" si="6"/>
        <v>5.0607902735562309</v>
      </c>
      <c r="V13" s="238" cm="1">
        <f t="array" ref="V13">IF($A13="","",IF(SUMIF(Deliverables!$A$5:$A$204,$A13,Deliverables!$E$5:$E$204)=0,1,SUMPRODUCT((Deliverables!$A$5:$A$204=$A13)*Deliverables!$E$5:$E$204*Deliverables!$P$5:$P$204)/SUMIF(Deliverables!$A$5:$A$204,$A13,Deliverables!$E$5:$E$204)))</f>
        <v>1.1000000000000001</v>
      </c>
      <c r="W13" s="241"/>
      <c r="X13" s="241"/>
      <c r="Y13" s="241"/>
    </row>
    <row r="14" spans="1:25" x14ac:dyDescent="0.3">
      <c r="A14" s="34"/>
      <c r="B14" s="34"/>
      <c r="C14" s="35"/>
      <c r="D14" s="36"/>
      <c r="E14" s="36"/>
      <c r="F14" s="37"/>
      <c r="G14" s="235">
        <f>IF($A14="","",IF(SUMIF(Deliverables!$A$5:$A$204,$A14,Deliverables!$E$5:$E$204)=0,$O14,SUMIF(Deliverables!$A$5:$A$204,$A14,Deliverables!$I$5:$I$204)/SUMIF(Deliverables!$A$5:$A$204,$A14,Deliverables!$E$5:$E$204)))</f>
        <v>0.9</v>
      </c>
      <c r="H14" s="39"/>
      <c r="I14" s="249">
        <f>IF($A14="","",IF(SUM(Deliverables!$W13:$Y13)=0,$W14,Deliverables!W13))</f>
        <v>0.1</v>
      </c>
      <c r="J14" s="249">
        <f>IF($A14="","",IF(SUM(Deliverables!$W13:$Y13)=0,$X14,Deliverables!X13))</f>
        <v>0.2</v>
      </c>
      <c r="K14" s="249">
        <f>IF($A14="","",IF(SUM(Deliverables!$W13:$Y13)=0,$Y14,Deliverables!Y13))</f>
        <v>0.7</v>
      </c>
      <c r="L14" s="40">
        <f t="shared" si="0"/>
        <v>1</v>
      </c>
      <c r="M14" s="41">
        <f t="shared" si="1"/>
        <v>0</v>
      </c>
      <c r="N14" s="34"/>
      <c r="O14" s="236"/>
      <c r="P14" s="58">
        <f>IF($A14="","",SUMIF(Phasing!$A$265:$A$504,$A14,Phasing!$Y$265:$Y$504))</f>
        <v>0.92432432432432432</v>
      </c>
      <c r="Q14" s="58">
        <f t="shared" si="2"/>
        <v>1.027027027027027</v>
      </c>
      <c r="R14" s="59">
        <f t="shared" si="3"/>
        <v>0.10270270270270265</v>
      </c>
      <c r="S14" s="58">
        <f t="shared" si="4"/>
        <v>1.125</v>
      </c>
      <c r="T14" s="59">
        <f t="shared" si="5"/>
        <v>0.22297297297297303</v>
      </c>
      <c r="U14" s="60">
        <f t="shared" si="6"/>
        <v>1.2171052631578947</v>
      </c>
      <c r="V14" s="238" cm="1">
        <f t="array" ref="V14">IF($A14="","",IF(SUMIF(Deliverables!$A$5:$A$204,$A14,Deliverables!$E$5:$E$204)=0,1,SUMPRODUCT((Deliverables!$A$5:$A$204=$A14)*Deliverables!$E$5:$E$204*Deliverables!$P$5:$P$204)/SUMIF(Deliverables!$A$5:$A$204,$A14,Deliverables!$E$5:$E$204)))</f>
        <v>1.1000000000000001</v>
      </c>
      <c r="W14" s="241"/>
      <c r="X14" s="241"/>
      <c r="Y14" s="241"/>
    </row>
    <row r="15" spans="1:25" x14ac:dyDescent="0.3">
      <c r="A15" s="34"/>
      <c r="B15" s="34"/>
      <c r="C15" s="35"/>
      <c r="D15" s="36"/>
      <c r="E15" s="36"/>
      <c r="F15" s="37"/>
      <c r="G15" s="235">
        <f>IF($A15="","",IF(SUMIF(Deliverables!$A$5:$A$204,$A15,Deliverables!$E$5:$E$204)=0,$O15,SUMIF(Deliverables!$A$5:$A$204,$A15,Deliverables!$I$5:$I$204)/SUMIF(Deliverables!$A$5:$A$204,$A15,Deliverables!$E$5:$E$204)))</f>
        <v>0.1</v>
      </c>
      <c r="H15" s="39"/>
      <c r="I15" s="249">
        <f>IF($A15="","",IF(SUM(Deliverables!$W14:$Y14)=0,$W15,Deliverables!W14))</f>
        <v>0.10000000000000002</v>
      </c>
      <c r="J15" s="249">
        <f>IF($A15="","",IF(SUM(Deliverables!$W14:$Y14)=0,$X15,Deliverables!X14))</f>
        <v>0.20000000000000004</v>
      </c>
      <c r="K15" s="249">
        <f>IF($A15="","",IF(SUM(Deliverables!$W14:$Y14)=0,$Y15,Deliverables!Y14))</f>
        <v>0.69999999999999984</v>
      </c>
      <c r="L15" s="40">
        <f t="shared" si="0"/>
        <v>0.99999999999999989</v>
      </c>
      <c r="M15" s="41">
        <f t="shared" si="1"/>
        <v>1</v>
      </c>
      <c r="N15" s="34"/>
      <c r="O15" s="236"/>
      <c r="P15" s="58">
        <f>IF($A15="","",SUMIF(Phasing!$A$265:$A$504,$A15,Phasing!$Y$265:$Y$504))</f>
        <v>0.50270270270270279</v>
      </c>
      <c r="Q15" s="58">
        <f t="shared" si="2"/>
        <v>5.0270270270270272</v>
      </c>
      <c r="R15" s="59">
        <f t="shared" si="3"/>
        <v>4.5243243243243247</v>
      </c>
      <c r="S15" s="58">
        <f t="shared" si="4"/>
        <v>0.15000000000000002</v>
      </c>
      <c r="T15" s="59">
        <f t="shared" si="5"/>
        <v>-3.5270270270270272</v>
      </c>
      <c r="U15" s="60">
        <f t="shared" si="6"/>
        <v>0.29838709677419356</v>
      </c>
      <c r="V15" s="238" cm="1">
        <f t="array" ref="V15">IF($A15="","",IF(SUMIF(Deliverables!$A$5:$A$204,$A15,Deliverables!$E$5:$E$204)=0,1,SUMPRODUCT((Deliverables!$A$5:$A$204=$A15)*Deliverables!$E$5:$E$204*Deliverables!$P$5:$P$204)/SUMIF(Deliverables!$A$5:$A$204,$A15,Deliverables!$E$5:$E$204)))</f>
        <v>0.75</v>
      </c>
      <c r="W15" s="241"/>
      <c r="X15" s="241"/>
      <c r="Y15" s="241"/>
    </row>
    <row r="16" spans="1:25" x14ac:dyDescent="0.3">
      <c r="A16" s="34"/>
      <c r="B16" s="34"/>
      <c r="C16" s="35"/>
      <c r="D16" s="36"/>
      <c r="E16" s="36"/>
      <c r="F16" s="37"/>
      <c r="G16" s="235">
        <f>IF($A16="","",IF(SUMIF(Deliverables!$A$5:$A$204,$A16,Deliverables!$E$5:$E$204)=0,$O16,SUMIF(Deliverables!$A$5:$A$204,$A16,Deliverables!$I$5:$I$204)/SUMIF(Deliverables!$A$5:$A$204,$A16,Deliverables!$E$5:$E$204)))</f>
        <v>0.85</v>
      </c>
      <c r="H16" s="39"/>
      <c r="I16" s="249">
        <f>IF($A16="","",IF(SUM(Deliverables!$W15:$Y15)=0,$W16,Deliverables!W15))</f>
        <v>0.5</v>
      </c>
      <c r="J16" s="249">
        <f>IF($A16="","",IF(SUM(Deliverables!$W15:$Y15)=0,$X16,Deliverables!X15))</f>
        <v>0</v>
      </c>
      <c r="K16" s="249">
        <f>IF($A16="","",IF(SUM(Deliverables!$W15:$Y15)=0,$Y16,Deliverables!Y15))</f>
        <v>0.5</v>
      </c>
      <c r="L16" s="40">
        <f t="shared" si="0"/>
        <v>1</v>
      </c>
      <c r="M16" s="41">
        <f t="shared" si="1"/>
        <v>0</v>
      </c>
      <c r="N16" s="34"/>
      <c r="O16" s="236"/>
      <c r="P16" s="58">
        <f>IF($A16="","",SUMIF(Phasing!$A$265:$A$504,$A16,Phasing!$Y$265:$Y$504))</f>
        <v>3.1324324324324322</v>
      </c>
      <c r="Q16" s="58">
        <f t="shared" si="2"/>
        <v>3.685214626391097</v>
      </c>
      <c r="R16" s="59">
        <f t="shared" si="3"/>
        <v>0.55278219395866479</v>
      </c>
      <c r="S16" s="58">
        <f t="shared" si="4"/>
        <v>3.4</v>
      </c>
      <c r="T16" s="59">
        <f t="shared" si="5"/>
        <v>0.31478537360890302</v>
      </c>
      <c r="U16" s="60">
        <f t="shared" si="6"/>
        <v>1.08541846419327</v>
      </c>
      <c r="V16" s="238" cm="1">
        <f t="array" ref="V16">IF($A16="","",IF(SUMIF(Deliverables!$A$5:$A$204,$A16,Deliverables!$E$5:$E$204)=0,1,SUMPRODUCT((Deliverables!$A$5:$A$204=$A16)*Deliverables!$E$5:$E$204*Deliverables!$P$5:$P$204)/SUMIF(Deliverables!$A$5:$A$204,$A16,Deliverables!$E$5:$E$204)))</f>
        <v>1</v>
      </c>
      <c r="W16" s="241"/>
      <c r="X16" s="241"/>
      <c r="Y16" s="241"/>
    </row>
    <row r="17" spans="1:25" x14ac:dyDescent="0.3">
      <c r="A17" s="34"/>
      <c r="B17" s="34"/>
      <c r="C17" s="35"/>
      <c r="D17" s="36"/>
      <c r="E17" s="36"/>
      <c r="F17" s="37"/>
      <c r="G17" s="235">
        <f>IF($A17="","",IF(SUMIF(Deliverables!$A$5:$A$204,$A17,Deliverables!$E$5:$E$204)=0,$O17,SUMIF(Deliverables!$A$5:$A$204,$A17,Deliverables!$I$5:$I$204)/SUMIF(Deliverables!$A$5:$A$204,$A17,Deliverables!$E$5:$E$204)))</f>
        <v>1</v>
      </c>
      <c r="H17" s="39"/>
      <c r="I17" s="249">
        <f>IF($A17="","",IF(SUM(Deliverables!$W16:$Y16)=0,$W17,Deliverables!W16))</f>
        <v>1</v>
      </c>
      <c r="J17" s="249">
        <f>IF($A17="","",IF(SUM(Deliverables!$W16:$Y16)=0,$X17,Deliverables!X16))</f>
        <v>0</v>
      </c>
      <c r="K17" s="249">
        <f>IF($A17="","",IF(SUM(Deliverables!$W16:$Y16)=0,$Y17,Deliverables!Y16))</f>
        <v>0</v>
      </c>
      <c r="L17" s="40">
        <f t="shared" si="0"/>
        <v>1</v>
      </c>
      <c r="M17" s="41">
        <f t="shared" si="1"/>
        <v>0</v>
      </c>
      <c r="N17" s="34"/>
      <c r="O17" s="236"/>
      <c r="P17" s="58">
        <f>IF($A17="","",SUMIF(Phasing!$A$265:$A$504,$A17,Phasing!$Y$265:$Y$504))</f>
        <v>0</v>
      </c>
      <c r="Q17" s="58">
        <f t="shared" si="2"/>
        <v>0.5</v>
      </c>
      <c r="R17" s="59">
        <f t="shared" si="3"/>
        <v>0.5</v>
      </c>
      <c r="S17" s="58">
        <f t="shared" si="4"/>
        <v>0.5</v>
      </c>
      <c r="T17" s="59">
        <f t="shared" si="5"/>
        <v>0</v>
      </c>
      <c r="U17" s="60" t="str">
        <f t="shared" si="6"/>
        <v/>
      </c>
      <c r="V17" s="238" cm="1">
        <f t="array" ref="V17">IF($A17="","",IF(SUMIF(Deliverables!$A$5:$A$204,$A17,Deliverables!$E$5:$E$204)=0,1,SUMPRODUCT((Deliverables!$A$5:$A$204=$A17)*Deliverables!$E$5:$E$204*Deliverables!$P$5:$P$204)/SUMIF(Deliverables!$A$5:$A$204,$A17,Deliverables!$E$5:$E$204)))</f>
        <v>1.2</v>
      </c>
      <c r="W17" s="241"/>
      <c r="X17" s="241"/>
      <c r="Y17" s="241"/>
    </row>
    <row r="18" spans="1:25" x14ac:dyDescent="0.3">
      <c r="A18" s="34"/>
      <c r="B18" s="34"/>
      <c r="C18" s="35"/>
      <c r="D18" s="36"/>
      <c r="E18" s="36"/>
      <c r="F18" s="37"/>
      <c r="G18" s="235">
        <f>IF($A18="","",IF(SUMIF(Deliverables!$A$5:$A$204,$A18,Deliverables!$E$5:$E$204)=0,$O18,SUMIF(Deliverables!$A$5:$A$204,$A18,Deliverables!$I$5:$I$204)/SUMIF(Deliverables!$A$5:$A$204,$A18,Deliverables!$E$5:$E$204)))</f>
        <v>1</v>
      </c>
      <c r="H18" s="39"/>
      <c r="I18" s="249">
        <f>IF($A18="","",IF(SUM(Deliverables!$W17:$Y17)=0,$W18,Deliverables!W17))</f>
        <v>1</v>
      </c>
      <c r="J18" s="249">
        <f>IF($A18="","",IF(SUM(Deliverables!$W17:$Y17)=0,$X18,Deliverables!X17))</f>
        <v>0</v>
      </c>
      <c r="K18" s="249">
        <f>IF($A18="","",IF(SUM(Deliverables!$W17:$Y17)=0,$Y18,Deliverables!Y17))</f>
        <v>0</v>
      </c>
      <c r="L18" s="40">
        <f t="shared" si="0"/>
        <v>1</v>
      </c>
      <c r="M18" s="41">
        <f t="shared" si="1"/>
        <v>0</v>
      </c>
      <c r="N18" s="34"/>
      <c r="O18" s="236"/>
      <c r="P18" s="58">
        <f>IF($A18="","",SUMIF(Phasing!$A$265:$A$504,$A18,Phasing!$Y$265:$Y$504))</f>
        <v>0.11081081081081082</v>
      </c>
      <c r="Q18" s="58">
        <f t="shared" si="2"/>
        <v>0.11081081081081082</v>
      </c>
      <c r="R18" s="59">
        <f t="shared" si="3"/>
        <v>0</v>
      </c>
      <c r="S18" s="58">
        <f t="shared" si="4"/>
        <v>0.5</v>
      </c>
      <c r="T18" s="59">
        <f t="shared" si="5"/>
        <v>0.38918918918918921</v>
      </c>
      <c r="U18" s="60">
        <f t="shared" si="6"/>
        <v>4.5121951219512191</v>
      </c>
      <c r="V18" s="238" cm="1">
        <f t="array" ref="V18">IF($A18="","",IF(SUMIF(Deliverables!$A$5:$A$204,$A18,Deliverables!$E$5:$E$204)=0,1,SUMPRODUCT((Deliverables!$A$5:$A$204=$A18)*Deliverables!$E$5:$E$204*Deliverables!$P$5:$P$204)/SUMIF(Deliverables!$A$5:$A$204,$A18,Deliverables!$E$5:$E$204)))</f>
        <v>0.85</v>
      </c>
      <c r="W18" s="241"/>
      <c r="X18" s="241"/>
      <c r="Y18" s="241"/>
    </row>
    <row r="19" spans="1:25" x14ac:dyDescent="0.3">
      <c r="A19" s="34"/>
      <c r="B19" s="34"/>
      <c r="C19" s="35"/>
      <c r="D19" s="36"/>
      <c r="E19" s="36"/>
      <c r="F19" s="37"/>
      <c r="G19" s="235">
        <f>IF($A19="","",IF(SUMIF(Deliverables!$A$5:$A$204,$A19,Deliverables!$E$5:$E$204)=0,$O19,SUMIF(Deliverables!$A$5:$A$204,$A19,Deliverables!$I$5:$I$204)/SUMIF(Deliverables!$A$5:$A$204,$A19,Deliverables!$E$5:$E$204)))</f>
        <v>1</v>
      </c>
      <c r="H19" s="39"/>
      <c r="I19" s="249">
        <f>IF($A19="","",IF(SUM(Deliverables!$W18:$Y18)=0,$W19,Deliverables!W18))</f>
        <v>0.2</v>
      </c>
      <c r="J19" s="249">
        <f>IF($A19="","",IF(SUM(Deliverables!$W18:$Y18)=0,$X19,Deliverables!X18))</f>
        <v>0</v>
      </c>
      <c r="K19" s="249">
        <f>IF($A19="","",IF(SUM(Deliverables!$W18:$Y18)=0,$Y19,Deliverables!Y18))</f>
        <v>0.8</v>
      </c>
      <c r="L19" s="40">
        <f t="shared" si="0"/>
        <v>1</v>
      </c>
      <c r="M19" s="41">
        <f t="shared" si="1"/>
        <v>0</v>
      </c>
      <c r="N19" s="34"/>
      <c r="O19" s="236"/>
      <c r="P19" s="58">
        <f>IF($A19="","",SUMIF(Phasing!$A$265:$A$504,$A19,Phasing!$Y$265:$Y$504))</f>
        <v>1.9297297297297298</v>
      </c>
      <c r="Q19" s="58">
        <f t="shared" si="2"/>
        <v>1.9297297297297298</v>
      </c>
      <c r="R19" s="59">
        <f t="shared" si="3"/>
        <v>0</v>
      </c>
      <c r="S19" s="58">
        <f t="shared" si="4"/>
        <v>5</v>
      </c>
      <c r="T19" s="59">
        <f t="shared" si="5"/>
        <v>3.07027027027027</v>
      </c>
      <c r="U19" s="60">
        <f t="shared" si="6"/>
        <v>2.5910364145658265</v>
      </c>
      <c r="V19" s="238" cm="1">
        <f t="array" ref="V19">IF($A19="","",IF(SUMIF(Deliverables!$A$5:$A$204,$A19,Deliverables!$E$5:$E$204)=0,1,SUMPRODUCT((Deliverables!$A$5:$A$204=$A19)*Deliverables!$E$5:$E$204*Deliverables!$P$5:$P$204)/SUMIF(Deliverables!$A$5:$A$204,$A19,Deliverables!$E$5:$E$204)))</f>
        <v>0.85</v>
      </c>
      <c r="W19" s="241"/>
      <c r="X19" s="241"/>
      <c r="Y19" s="241"/>
    </row>
    <row r="20" spans="1:25" x14ac:dyDescent="0.3">
      <c r="A20" s="34"/>
      <c r="B20" s="34"/>
      <c r="C20" s="35"/>
      <c r="D20" s="36"/>
      <c r="E20" s="36"/>
      <c r="F20" s="37"/>
      <c r="G20" s="235">
        <f>IF($A20="","",IF(SUMIF(Deliverables!$A$5:$A$204,$A20,Deliverables!$E$5:$E$204)=0,$O20,SUMIF(Deliverables!$A$5:$A$204,$A20,Deliverables!$I$5:$I$204)/SUMIF(Deliverables!$A$5:$A$204,$A20,Deliverables!$E$5:$E$204)))</f>
        <v>1</v>
      </c>
      <c r="H20" s="39"/>
      <c r="I20" s="249">
        <f>IF($A20="","",IF(SUM(Deliverables!$W19:$Y19)=0,$W20,Deliverables!W19))</f>
        <v>1</v>
      </c>
      <c r="J20" s="249">
        <f>IF($A20="","",IF(SUM(Deliverables!$W19:$Y19)=0,$X20,Deliverables!X19))</f>
        <v>0</v>
      </c>
      <c r="K20" s="249">
        <f>IF($A20="","",IF(SUM(Deliverables!$W19:$Y19)=0,$Y20,Deliverables!Y19))</f>
        <v>0</v>
      </c>
      <c r="L20" s="40">
        <f t="shared" si="0"/>
        <v>1</v>
      </c>
      <c r="M20" s="41">
        <f t="shared" si="1"/>
        <v>0</v>
      </c>
      <c r="N20" s="34"/>
      <c r="O20" s="236"/>
      <c r="P20" s="58">
        <f>IF($A20="","",SUMIF(Phasing!$A$265:$A$504,$A20,Phasing!$Y$265:$Y$504))</f>
        <v>2.4418918918918915</v>
      </c>
      <c r="Q20" s="58">
        <f t="shared" si="2"/>
        <v>2.4418918918918915</v>
      </c>
      <c r="R20" s="59">
        <f t="shared" si="3"/>
        <v>0</v>
      </c>
      <c r="S20" s="58">
        <f t="shared" si="4"/>
        <v>21.27</v>
      </c>
      <c r="T20" s="59">
        <f t="shared" si="5"/>
        <v>18.828108108108108</v>
      </c>
      <c r="U20" s="60">
        <f t="shared" si="6"/>
        <v>8.7104593248478146</v>
      </c>
      <c r="V20" s="238" cm="1">
        <f t="array" ref="V20">IF($A20="","",IF(SUMIF(Deliverables!$A$5:$A$204,$A20,Deliverables!$E$5:$E$204)=0,1,SUMPRODUCT((Deliverables!$A$5:$A$204=$A20)*Deliverables!$E$5:$E$204*Deliverables!$P$5:$P$204)/SUMIF(Deliverables!$A$5:$A$204,$A20,Deliverables!$E$5:$E$204)))</f>
        <v>1.2</v>
      </c>
      <c r="W20" s="241"/>
      <c r="X20" s="241"/>
      <c r="Y20" s="241"/>
    </row>
    <row r="21" spans="1:25" x14ac:dyDescent="0.3">
      <c r="A21" s="34"/>
      <c r="B21" s="34"/>
      <c r="C21" s="35"/>
      <c r="D21" s="36"/>
      <c r="E21" s="36"/>
      <c r="F21" s="37"/>
      <c r="G21" s="235">
        <f>IF($A21="","",IF(SUMIF(Deliverables!$A$5:$A$204,$A21,Deliverables!$E$5:$E$204)=0,$O21,SUMIF(Deliverables!$A$5:$A$204,$A21,Deliverables!$I$5:$I$204)/SUMIF(Deliverables!$A$5:$A$204,$A21,Deliverables!$E$5:$E$204)))</f>
        <v>1</v>
      </c>
      <c r="H21" s="39"/>
      <c r="I21" s="249">
        <f>IF($A21="","",IF(SUM(Deliverables!$W20:$Y20)=0,$W21,Deliverables!W20))</f>
        <v>0.7</v>
      </c>
      <c r="J21" s="249">
        <f>IF($A21="","",IF(SUM(Deliverables!$W20:$Y20)=0,$X21,Deliverables!X20))</f>
        <v>0.2</v>
      </c>
      <c r="K21" s="249">
        <f>IF($A21="","",IF(SUM(Deliverables!$W20:$Y20)=0,$Y21,Deliverables!Y20))</f>
        <v>0.1</v>
      </c>
      <c r="L21" s="40">
        <f t="shared" si="0"/>
        <v>0.99999999999999989</v>
      </c>
      <c r="M21" s="41">
        <f t="shared" si="1"/>
        <v>0</v>
      </c>
      <c r="N21" s="34"/>
      <c r="O21" s="236"/>
      <c r="P21" s="58">
        <f>IF($A21="","",SUMIF(Phasing!$A$265:$A$504,$A21,Phasing!$Y$265:$Y$504))</f>
        <v>2.6554054054054053</v>
      </c>
      <c r="Q21" s="58">
        <f t="shared" si="2"/>
        <v>2.6554054054054053</v>
      </c>
      <c r="R21" s="59">
        <f t="shared" si="3"/>
        <v>0</v>
      </c>
      <c r="S21" s="58">
        <f t="shared" si="4"/>
        <v>7.62</v>
      </c>
      <c r="T21" s="59">
        <f t="shared" si="5"/>
        <v>4.9645945945945948</v>
      </c>
      <c r="U21" s="60">
        <f t="shared" si="6"/>
        <v>2.8696183206106873</v>
      </c>
      <c r="V21" s="238" cm="1">
        <f t="array" ref="V21">IF($A21="","",IF(SUMIF(Deliverables!$A$5:$A$204,$A21,Deliverables!$E$5:$E$204)=0,1,SUMPRODUCT((Deliverables!$A$5:$A$204=$A21)*Deliverables!$E$5:$E$204*Deliverables!$P$5:$P$204)/SUMIF(Deliverables!$A$5:$A$204,$A21,Deliverables!$E$5:$E$204)))</f>
        <v>1.1000000000000001</v>
      </c>
      <c r="W21" s="241"/>
      <c r="X21" s="241"/>
      <c r="Y21" s="241"/>
    </row>
    <row r="22" spans="1:25" x14ac:dyDescent="0.3">
      <c r="A22" s="34"/>
      <c r="B22" s="34"/>
      <c r="C22" s="35"/>
      <c r="D22" s="36"/>
      <c r="E22" s="36"/>
      <c r="F22" s="37"/>
      <c r="G22" s="235">
        <f>IF($A22="","",IF(SUMIF(Deliverables!$A$5:$A$204,$A22,Deliverables!$E$5:$E$204)=0,$O22,SUMIF(Deliverables!$A$5:$A$204,$A22,Deliverables!$I$5:$I$204)/SUMIF(Deliverables!$A$5:$A$204,$A22,Deliverables!$E$5:$E$204)))</f>
        <v>1</v>
      </c>
      <c r="H22" s="39"/>
      <c r="I22" s="249">
        <f>IF($A22="","",IF(SUM(Deliverables!$W21:$Y21)=0,$W22,Deliverables!W21))</f>
        <v>0.5</v>
      </c>
      <c r="J22" s="249">
        <f>IF($A22="","",IF(SUM(Deliverables!$W21:$Y21)=0,$X22,Deliverables!X21))</f>
        <v>0.25</v>
      </c>
      <c r="K22" s="249">
        <f>IF($A22="","",IF(SUM(Deliverables!$W21:$Y21)=0,$Y22,Deliverables!Y21))</f>
        <v>0.25</v>
      </c>
      <c r="L22" s="40">
        <f t="shared" si="0"/>
        <v>1</v>
      </c>
      <c r="M22" s="41">
        <f t="shared" si="1"/>
        <v>0</v>
      </c>
      <c r="N22" s="34"/>
      <c r="O22" s="236"/>
      <c r="P22" s="58">
        <f>IF($A22="","",SUMIF(Phasing!$A$265:$A$504,$A22,Phasing!$Y$265:$Y$504))</f>
        <v>4.3499999999999996</v>
      </c>
      <c r="Q22" s="58">
        <f t="shared" si="2"/>
        <v>4.3499999999999996</v>
      </c>
      <c r="R22" s="59">
        <f t="shared" si="3"/>
        <v>0</v>
      </c>
      <c r="S22" s="58">
        <f t="shared" si="4"/>
        <v>6.36</v>
      </c>
      <c r="T22" s="59">
        <f t="shared" si="5"/>
        <v>2.0100000000000007</v>
      </c>
      <c r="U22" s="60">
        <f t="shared" si="6"/>
        <v>1.4620689655172416</v>
      </c>
      <c r="V22" s="238" cm="1">
        <f t="array" ref="V22">IF($A22="","",IF(SUMIF(Deliverables!$A$5:$A$204,$A22,Deliverables!$E$5:$E$204)=0,1,SUMPRODUCT((Deliverables!$A$5:$A$204=$A22)*Deliverables!$E$5:$E$204*Deliverables!$P$5:$P$204)/SUMIF(Deliverables!$A$5:$A$204,$A22,Deliverables!$E$5:$E$204)))</f>
        <v>1.1000000000000001</v>
      </c>
      <c r="W22" s="241"/>
      <c r="X22" s="241"/>
      <c r="Y22" s="241"/>
    </row>
    <row r="23" spans="1:25" x14ac:dyDescent="0.3">
      <c r="A23" s="34"/>
      <c r="B23" s="34"/>
      <c r="C23" s="35"/>
      <c r="D23" s="36"/>
      <c r="E23" s="36"/>
      <c r="F23" s="37"/>
      <c r="G23" s="235">
        <f>IF($A23="","",IF(SUMIF(Deliverables!$A$5:$A$204,$A23,Deliverables!$E$5:$E$204)=0,$O23,SUMIF(Deliverables!$A$5:$A$204,$A23,Deliverables!$I$5:$I$204)/SUMIF(Deliverables!$A$5:$A$204,$A23,Deliverables!$E$5:$E$204)))</f>
        <v>1</v>
      </c>
      <c r="H23" s="39"/>
      <c r="I23" s="249">
        <f>IF($A23="","",IF(SUM(Deliverables!$W22:$Y22)=0,$W23,Deliverables!W22))</f>
        <v>1</v>
      </c>
      <c r="J23" s="249">
        <f>IF($A23="","",IF(SUM(Deliverables!$W22:$Y22)=0,$X23,Deliverables!X22))</f>
        <v>0</v>
      </c>
      <c r="K23" s="249">
        <f>IF($A23="","",IF(SUM(Deliverables!$W22:$Y22)=0,$Y23,Deliverables!Y22))</f>
        <v>0</v>
      </c>
      <c r="L23" s="40">
        <f t="shared" si="0"/>
        <v>1</v>
      </c>
      <c r="M23" s="41">
        <f t="shared" si="1"/>
        <v>0</v>
      </c>
      <c r="N23" s="34"/>
      <c r="O23" s="236"/>
      <c r="P23" s="58">
        <f>IF($A23="","",SUMIF(Phasing!$A$265:$A$504,$A23,Phasing!$Y$265:$Y$504))</f>
        <v>1.2162162162162162</v>
      </c>
      <c r="Q23" s="58">
        <f t="shared" si="2"/>
        <v>1.2162162162162162</v>
      </c>
      <c r="R23" s="59">
        <f t="shared" si="3"/>
        <v>0</v>
      </c>
      <c r="S23" s="58">
        <f t="shared" si="4"/>
        <v>12.03</v>
      </c>
      <c r="T23" s="59">
        <f t="shared" si="5"/>
        <v>10.813783783783784</v>
      </c>
      <c r="U23" s="60">
        <f t="shared" si="6"/>
        <v>9.891333333333332</v>
      </c>
      <c r="V23" s="238" cm="1">
        <f t="array" ref="V23">IF($A23="","",IF(SUMIF(Deliverables!$A$5:$A$204,$A23,Deliverables!$E$5:$E$204)=0,1,SUMPRODUCT((Deliverables!$A$5:$A$204=$A23)*Deliverables!$E$5:$E$204*Deliverables!$P$5:$P$204)/SUMIF(Deliverables!$A$5:$A$204,$A23,Deliverables!$E$5:$E$204)))</f>
        <v>1.2</v>
      </c>
      <c r="W23" s="241"/>
      <c r="X23" s="241"/>
      <c r="Y23" s="241"/>
    </row>
    <row r="24" spans="1:25" x14ac:dyDescent="0.3">
      <c r="A24" s="34"/>
      <c r="B24" s="34"/>
      <c r="C24" s="35"/>
      <c r="D24" s="36"/>
      <c r="E24" s="36"/>
      <c r="F24" s="37"/>
      <c r="G24" s="235">
        <f>IF($A24="","",IF(SUMIF(Deliverables!$A$5:$A$204,$A24,Deliverables!$E$5:$E$204)=0,$O24,SUMIF(Deliverables!$A$5:$A$204,$A24,Deliverables!$I$5:$I$204)/SUMIF(Deliverables!$A$5:$A$204,$A24,Deliverables!$E$5:$E$204)))</f>
        <v>1</v>
      </c>
      <c r="H24" s="39"/>
      <c r="I24" s="249">
        <f>IF($A24="","",IF(SUM(Deliverables!$W23:$Y23)=0,$W24,Deliverables!W23))</f>
        <v>0.15</v>
      </c>
      <c r="J24" s="249">
        <f>IF($A24="","",IF(SUM(Deliverables!$W23:$Y23)=0,$X24,Deliverables!X23))</f>
        <v>0.5</v>
      </c>
      <c r="K24" s="249">
        <f>IF($A24="","",IF(SUM(Deliverables!$W23:$Y23)=0,$Y24,Deliverables!Y23))</f>
        <v>0.35</v>
      </c>
      <c r="L24" s="40">
        <f t="shared" si="0"/>
        <v>1</v>
      </c>
      <c r="M24" s="41">
        <f t="shared" si="1"/>
        <v>0</v>
      </c>
      <c r="N24" s="34"/>
      <c r="O24" s="236"/>
      <c r="P24" s="58">
        <f>IF($A24="","",SUMIF(Phasing!$A$265:$A$504,$A24,Phasing!$Y$265:$Y$504))</f>
        <v>5.1162162162162161</v>
      </c>
      <c r="Q24" s="58">
        <f t="shared" si="2"/>
        <v>5.1162162162162161</v>
      </c>
      <c r="R24" s="59">
        <f t="shared" si="3"/>
        <v>0</v>
      </c>
      <c r="S24" s="58">
        <f t="shared" si="4"/>
        <v>6</v>
      </c>
      <c r="T24" s="59">
        <f t="shared" si="5"/>
        <v>0.88378378378378386</v>
      </c>
      <c r="U24" s="60">
        <f t="shared" si="6"/>
        <v>1.1727416798732171</v>
      </c>
      <c r="V24" s="238" cm="1">
        <f t="array" ref="V24">IF($A24="","",IF(SUMIF(Deliverables!$A$5:$A$204,$A24,Deliverables!$E$5:$E$204)=0,1,SUMPRODUCT((Deliverables!$A$5:$A$204=$A24)*Deliverables!$E$5:$E$204*Deliverables!$P$5:$P$204)/SUMIF(Deliverables!$A$5:$A$204,$A24,Deliverables!$E$5:$E$204)))</f>
        <v>1.1000000000000001</v>
      </c>
      <c r="W24" s="241"/>
      <c r="X24" s="241"/>
      <c r="Y24" s="241"/>
    </row>
    <row r="25" spans="1:25" x14ac:dyDescent="0.3">
      <c r="A25" s="34"/>
      <c r="B25" s="34"/>
      <c r="C25" s="35"/>
      <c r="D25" s="36"/>
      <c r="E25" s="36"/>
      <c r="F25" s="37"/>
      <c r="G25" s="235">
        <f>IF($A25="","",IF(SUMIF(Deliverables!$A$5:$A$204,$A25,Deliverables!$E$5:$E$204)=0,$O25,SUMIF(Deliverables!$A$5:$A$204,$A25,Deliverables!$I$5:$I$204)/SUMIF(Deliverables!$A$5:$A$204,$A25,Deliverables!$E$5:$E$204)))</f>
        <v>1</v>
      </c>
      <c r="H25" s="39"/>
      <c r="I25" s="249">
        <f>IF($A25="","",IF(SUM(Deliverables!$W24:$Y24)=0,$W25,Deliverables!W24))</f>
        <v>0.05</v>
      </c>
      <c r="J25" s="249">
        <f>IF($A25="","",IF(SUM(Deliverables!$W24:$Y24)=0,$X25,Deliverables!X24))</f>
        <v>0.3</v>
      </c>
      <c r="K25" s="249">
        <f>IF($A25="","",IF(SUM(Deliverables!$W24:$Y24)=0,$Y25,Deliverables!Y24))</f>
        <v>0.65</v>
      </c>
      <c r="L25" s="40">
        <f t="shared" si="0"/>
        <v>1</v>
      </c>
      <c r="M25" s="41">
        <f t="shared" si="1"/>
        <v>0</v>
      </c>
      <c r="N25" s="34"/>
      <c r="O25" s="236"/>
      <c r="P25" s="58">
        <f>IF($A25="","",SUMIF(Phasing!$A$265:$A$504,$A25,Phasing!$Y$265:$Y$504))</f>
        <v>2.9608108108108109</v>
      </c>
      <c r="Q25" s="58">
        <f t="shared" si="2"/>
        <v>2.9608108108108109</v>
      </c>
      <c r="R25" s="59">
        <f t="shared" si="3"/>
        <v>0</v>
      </c>
      <c r="S25" s="58">
        <f t="shared" si="4"/>
        <v>4</v>
      </c>
      <c r="T25" s="59">
        <f t="shared" si="5"/>
        <v>1.0391891891891891</v>
      </c>
      <c r="U25" s="60">
        <f t="shared" si="6"/>
        <v>1.3509812870835234</v>
      </c>
      <c r="V25" s="238" cm="1">
        <f t="array" ref="V25">IF($A25="","",IF(SUMIF(Deliverables!$A$5:$A$204,$A25,Deliverables!$E$5:$E$204)=0,1,SUMPRODUCT((Deliverables!$A$5:$A$204=$A25)*Deliverables!$E$5:$E$204*Deliverables!$P$5:$P$204)/SUMIF(Deliverables!$A$5:$A$204,$A25,Deliverables!$E$5:$E$204)))</f>
        <v>0.75</v>
      </c>
      <c r="W25" s="241"/>
      <c r="X25" s="241"/>
      <c r="Y25" s="241"/>
    </row>
    <row r="26" spans="1:25" x14ac:dyDescent="0.3">
      <c r="A26" s="34"/>
      <c r="B26" s="34"/>
      <c r="C26" s="35"/>
      <c r="D26" s="36"/>
      <c r="E26" s="36"/>
      <c r="F26" s="37"/>
      <c r="G26" s="235">
        <f>IF($A26="","",IF(SUMIF(Deliverables!$A$5:$A$204,$A26,Deliverables!$E$5:$E$204)=0,$O26,SUMIF(Deliverables!$A$5:$A$204,$A26,Deliverables!$I$5:$I$204)/SUMIF(Deliverables!$A$5:$A$204,$A26,Deliverables!$E$5:$E$204)))</f>
        <v>0.1</v>
      </c>
      <c r="H26" s="39"/>
      <c r="I26" s="249">
        <f>IF($A26="","",IF(SUM(Deliverables!$W25:$Y25)=0,$W26,Deliverables!W25))</f>
        <v>5.000000000000001E-2</v>
      </c>
      <c r="J26" s="249">
        <f>IF($A26="","",IF(SUM(Deliverables!$W25:$Y25)=0,$X26,Deliverables!X25))</f>
        <v>0</v>
      </c>
      <c r="K26" s="249">
        <f>IF($A26="","",IF(SUM(Deliverables!$W25:$Y25)=0,$Y26,Deliverables!Y25))</f>
        <v>0.95</v>
      </c>
      <c r="L26" s="40">
        <f t="shared" si="0"/>
        <v>1</v>
      </c>
      <c r="M26" s="41">
        <f t="shared" si="1"/>
        <v>0</v>
      </c>
      <c r="N26" s="34"/>
      <c r="O26" s="236"/>
      <c r="P26" s="58">
        <f>IF($A26="","",SUMIF(Phasing!$A$265:$A$504,$A26,Phasing!$Y$265:$Y$504))</f>
        <v>1.8310810810810809</v>
      </c>
      <c r="Q26" s="58">
        <f t="shared" si="2"/>
        <v>18.310810810810807</v>
      </c>
      <c r="R26" s="59">
        <f t="shared" si="3"/>
        <v>16.479729729729726</v>
      </c>
      <c r="S26" s="58">
        <f t="shared" si="4"/>
        <v>0.4</v>
      </c>
      <c r="T26" s="59">
        <f t="shared" si="5"/>
        <v>-14.310810810810807</v>
      </c>
      <c r="U26" s="60">
        <f t="shared" si="6"/>
        <v>0.21845018450184506</v>
      </c>
      <c r="V26" s="238" cm="1">
        <f t="array" ref="V26">IF($A26="","",IF(SUMIF(Deliverables!$A$5:$A$204,$A26,Deliverables!$E$5:$E$204)=0,1,SUMPRODUCT((Deliverables!$A$5:$A$204=$A26)*Deliverables!$E$5:$E$204*Deliverables!$P$5:$P$204)/SUMIF(Deliverables!$A$5:$A$204,$A26,Deliverables!$E$5:$E$204)))</f>
        <v>0.75</v>
      </c>
      <c r="W26" s="241"/>
      <c r="X26" s="241"/>
      <c r="Y26" s="241"/>
    </row>
    <row r="27" spans="1:25" x14ac:dyDescent="0.3">
      <c r="A27" s="34"/>
      <c r="B27" s="34"/>
      <c r="C27" s="35"/>
      <c r="D27" s="36"/>
      <c r="E27" s="36"/>
      <c r="F27" s="37"/>
      <c r="G27" s="235">
        <f>IF($A27="","",IF(SUMIF(Deliverables!$A$5:$A$204,$A27,Deliverables!$E$5:$E$204)=0,$O27,SUMIF(Deliverables!$A$5:$A$204,$A27,Deliverables!$I$5:$I$204)/SUMIF(Deliverables!$A$5:$A$204,$A27,Deliverables!$E$5:$E$204)))</f>
        <v>1</v>
      </c>
      <c r="H27" s="39"/>
      <c r="I27" s="249">
        <f>IF($A27="","",IF(SUM(Deliverables!$W26:$Y26)=0,$W27,Deliverables!W26))</f>
        <v>0.75</v>
      </c>
      <c r="J27" s="249">
        <f>IF($A27="","",IF(SUM(Deliverables!$W26:$Y26)=0,$X27,Deliverables!X26))</f>
        <v>0.25</v>
      </c>
      <c r="K27" s="249">
        <f>IF($A27="","",IF(SUM(Deliverables!$W26:$Y26)=0,$Y27,Deliverables!Y26))</f>
        <v>0</v>
      </c>
      <c r="L27" s="40">
        <f t="shared" si="0"/>
        <v>1</v>
      </c>
      <c r="M27" s="41">
        <f t="shared" si="1"/>
        <v>0</v>
      </c>
      <c r="N27" s="34"/>
      <c r="O27" s="236"/>
      <c r="P27" s="58">
        <f>IF($A27="","",SUMIF(Phasing!$A$265:$A$504,$A27,Phasing!$Y$265:$Y$504))</f>
        <v>3.3027027027027032</v>
      </c>
      <c r="Q27" s="58">
        <f t="shared" si="2"/>
        <v>3.3027027027027032</v>
      </c>
      <c r="R27" s="59">
        <f t="shared" si="3"/>
        <v>0</v>
      </c>
      <c r="S27" s="58">
        <f t="shared" si="4"/>
        <v>3</v>
      </c>
      <c r="T27" s="59">
        <f t="shared" si="5"/>
        <v>-0.30270270270270316</v>
      </c>
      <c r="U27" s="60">
        <f t="shared" si="6"/>
        <v>0.9083469721767593</v>
      </c>
      <c r="V27" s="238" cm="1">
        <f t="array" ref="V27">IF($A27="","",IF(SUMIF(Deliverables!$A$5:$A$204,$A27,Deliverables!$E$5:$E$204)=0,1,SUMPRODUCT((Deliverables!$A$5:$A$204=$A27)*Deliverables!$E$5:$E$204*Deliverables!$P$5:$P$204)/SUMIF(Deliverables!$A$5:$A$204,$A27,Deliverables!$E$5:$E$204)))</f>
        <v>1.1000000000000001</v>
      </c>
      <c r="W27" s="241"/>
      <c r="X27" s="241"/>
      <c r="Y27" s="241"/>
    </row>
    <row r="28" spans="1:25" x14ac:dyDescent="0.3">
      <c r="A28" s="34"/>
      <c r="B28" s="34"/>
      <c r="C28" s="35"/>
      <c r="D28" s="36"/>
      <c r="E28" s="36"/>
      <c r="F28" s="37"/>
      <c r="G28" s="235">
        <f>IF($A28="","",IF(SUMIF(Deliverables!$A$5:$A$204,$A28,Deliverables!$E$5:$E$204)=0,$O28,SUMIF(Deliverables!$A$5:$A$204,$A28,Deliverables!$I$5:$I$204)/SUMIF(Deliverables!$A$5:$A$204,$A28,Deliverables!$E$5:$E$204)))</f>
        <v>0.1</v>
      </c>
      <c r="H28" s="39"/>
      <c r="I28" s="249">
        <f>IF($A28="","",IF(SUM(Deliverables!$W27:$Y27)=0,$W28,Deliverables!W27))</f>
        <v>0.10000000000000002</v>
      </c>
      <c r="J28" s="249">
        <f>IF($A28="","",IF(SUM(Deliverables!$W27:$Y27)=0,$X28,Deliverables!X27))</f>
        <v>0</v>
      </c>
      <c r="K28" s="249">
        <f>IF($A28="","",IF(SUM(Deliverables!$W27:$Y27)=0,$Y28,Deliverables!Y27))</f>
        <v>0.9</v>
      </c>
      <c r="L28" s="40">
        <f t="shared" si="0"/>
        <v>1</v>
      </c>
      <c r="M28" s="41">
        <f t="shared" si="1"/>
        <v>0</v>
      </c>
      <c r="N28" s="34"/>
      <c r="O28" s="236"/>
      <c r="P28" s="58">
        <f>IF($A28="","",SUMIF(Phasing!$A$265:$A$504,$A28,Phasing!$Y$265:$Y$504))</f>
        <v>0.82702702702702702</v>
      </c>
      <c r="Q28" s="58">
        <f t="shared" si="2"/>
        <v>8.2702702702702702</v>
      </c>
      <c r="R28" s="59">
        <f t="shared" si="3"/>
        <v>7.4432432432432432</v>
      </c>
      <c r="S28" s="58">
        <f t="shared" si="4"/>
        <v>0.2</v>
      </c>
      <c r="T28" s="59">
        <f t="shared" si="5"/>
        <v>-6.2702702702702702</v>
      </c>
      <c r="U28" s="60">
        <f t="shared" si="6"/>
        <v>0.24183006535947715</v>
      </c>
      <c r="V28" s="238" cm="1">
        <f t="array" ref="V28">IF($A28="","",IF(SUMIF(Deliverables!$A$5:$A$204,$A28,Deliverables!$E$5:$E$204)=0,1,SUMPRODUCT((Deliverables!$A$5:$A$204=$A28)*Deliverables!$E$5:$E$204*Deliverables!$P$5:$P$204)/SUMIF(Deliverables!$A$5:$A$204,$A28,Deliverables!$E$5:$E$204)))</f>
        <v>0.75</v>
      </c>
      <c r="W28" s="241"/>
      <c r="X28" s="241"/>
      <c r="Y28" s="241"/>
    </row>
    <row r="29" spans="1:25" x14ac:dyDescent="0.3">
      <c r="A29" s="34"/>
      <c r="B29" s="34"/>
      <c r="C29" s="35"/>
      <c r="D29" s="36"/>
      <c r="E29" s="36"/>
      <c r="F29" s="37"/>
      <c r="G29" s="235">
        <f>IF($A29="","",IF(SUMIF(Deliverables!$A$5:$A$204,$A29,Deliverables!$E$5:$E$204)=0,$O29,SUMIF(Deliverables!$A$5:$A$204,$A29,Deliverables!$I$5:$I$204)/SUMIF(Deliverables!$A$5:$A$204,$A29,Deliverables!$E$5:$E$204)))</f>
        <v>0.6</v>
      </c>
      <c r="H29" s="39"/>
      <c r="I29" s="249">
        <f>IF($A29="","",IF(SUM(Deliverables!$W28:$Y28)=0,$W29,Deliverables!W28))</f>
        <v>0.1</v>
      </c>
      <c r="J29" s="249">
        <f>IF($A29="","",IF(SUM(Deliverables!$W28:$Y28)=0,$X29,Deliverables!X28))</f>
        <v>0.90000000000000013</v>
      </c>
      <c r="K29" s="249">
        <f>IF($A29="","",IF(SUM(Deliverables!$W28:$Y28)=0,$Y29,Deliverables!Y28))</f>
        <v>0</v>
      </c>
      <c r="L29" s="40">
        <f t="shared" si="0"/>
        <v>1.0000000000000002</v>
      </c>
      <c r="M29" s="41">
        <f t="shared" si="1"/>
        <v>0</v>
      </c>
      <c r="N29" s="34"/>
      <c r="O29" s="236"/>
      <c r="P29" s="58">
        <f>IF($A29="","",SUMIF(Phasing!$A$265:$A$504,$A29,Phasing!$Y$265:$Y$504))</f>
        <v>1.4175675675675674</v>
      </c>
      <c r="Q29" s="58">
        <f t="shared" si="2"/>
        <v>2.3626126126126126</v>
      </c>
      <c r="R29" s="59">
        <f t="shared" si="3"/>
        <v>0.94504504504504516</v>
      </c>
      <c r="S29" s="58">
        <f t="shared" si="4"/>
        <v>0.6</v>
      </c>
      <c r="T29" s="59">
        <f t="shared" si="5"/>
        <v>-1.3626126126126126</v>
      </c>
      <c r="U29" s="60">
        <f t="shared" si="6"/>
        <v>0.42326024785510014</v>
      </c>
      <c r="V29" s="238" cm="1">
        <f t="array" ref="V29">IF($A29="","",IF(SUMIF(Deliverables!$A$5:$A$204,$A29,Deliverables!$E$5:$E$204)=0,1,SUMPRODUCT((Deliverables!$A$5:$A$204=$A29)*Deliverables!$E$5:$E$204*Deliverables!$P$5:$P$204)/SUMIF(Deliverables!$A$5:$A$204,$A29,Deliverables!$E$5:$E$204)))</f>
        <v>0.75</v>
      </c>
      <c r="W29" s="241"/>
      <c r="X29" s="241"/>
      <c r="Y29" s="241"/>
    </row>
    <row r="30" spans="1:25" x14ac:dyDescent="0.3">
      <c r="A30" s="34"/>
      <c r="B30" s="34"/>
      <c r="C30" s="35"/>
      <c r="D30" s="36"/>
      <c r="E30" s="36"/>
      <c r="F30" s="37"/>
      <c r="G30" s="235">
        <f>IF($A30="","",IF(SUMIF(Deliverables!$A$5:$A$204,$A30,Deliverables!$E$5:$E$204)=0,$O30,SUMIF(Deliverables!$A$5:$A$204,$A30,Deliverables!$I$5:$I$204)/SUMIF(Deliverables!$A$5:$A$204,$A30,Deliverables!$E$5:$E$204)))</f>
        <v>1</v>
      </c>
      <c r="H30" s="39"/>
      <c r="I30" s="249">
        <f>IF($A30="","",IF(SUM(Deliverables!$W29:$Y29)=0,$W30,Deliverables!W29))</f>
        <v>1</v>
      </c>
      <c r="J30" s="249">
        <f>IF($A30="","",IF(SUM(Deliverables!$W29:$Y29)=0,$X30,Deliverables!X29))</f>
        <v>0</v>
      </c>
      <c r="K30" s="249">
        <f>IF($A30="","",IF(SUM(Deliverables!$W29:$Y29)=0,$Y30,Deliverables!Y29))</f>
        <v>0</v>
      </c>
      <c r="L30" s="40">
        <f t="shared" si="0"/>
        <v>1</v>
      </c>
      <c r="M30" s="41">
        <f t="shared" si="1"/>
        <v>0</v>
      </c>
      <c r="N30" s="34"/>
      <c r="O30" s="236"/>
      <c r="P30" s="58">
        <f>IF($A30="","",SUMIF(Phasing!$A$265:$A$504,$A30,Phasing!$Y$265:$Y$504))</f>
        <v>9.5945945945945951E-2</v>
      </c>
      <c r="Q30" s="58">
        <f t="shared" si="2"/>
        <v>9.5945945945945951E-2</v>
      </c>
      <c r="R30" s="59">
        <f t="shared" si="3"/>
        <v>0</v>
      </c>
      <c r="S30" s="58">
        <f t="shared" si="4"/>
        <v>0.25</v>
      </c>
      <c r="T30" s="59">
        <f t="shared" si="5"/>
        <v>0.15405405405405403</v>
      </c>
      <c r="U30" s="60">
        <f t="shared" si="6"/>
        <v>2.605633802816901</v>
      </c>
      <c r="V30" s="238" cm="1">
        <f t="array" ref="V30">IF($A30="","",IF(SUMIF(Deliverables!$A$5:$A$204,$A30,Deliverables!$E$5:$E$204)=0,1,SUMPRODUCT((Deliverables!$A$5:$A$204=$A30)*Deliverables!$E$5:$E$204*Deliverables!$P$5:$P$204)/SUMIF(Deliverables!$A$5:$A$204,$A30,Deliverables!$E$5:$E$204)))</f>
        <v>1.1000000000000001</v>
      </c>
      <c r="W30" s="241"/>
      <c r="X30" s="241"/>
      <c r="Y30" s="241"/>
    </row>
    <row r="31" spans="1:25" x14ac:dyDescent="0.3">
      <c r="A31" s="34"/>
      <c r="B31" s="34"/>
      <c r="C31" s="35"/>
      <c r="D31" s="36"/>
      <c r="E31" s="36"/>
      <c r="F31" s="37"/>
      <c r="G31" s="235">
        <f>IF($A31="","",IF(SUMIF(Deliverables!$A$5:$A$204,$A31,Deliverables!$E$5:$E$204)=0,$O31,SUMIF(Deliverables!$A$5:$A$204,$A31,Deliverables!$I$5:$I$204)/SUMIF(Deliverables!$A$5:$A$204,$A31,Deliverables!$E$5:$E$204)))</f>
        <v>1</v>
      </c>
      <c r="H31" s="39"/>
      <c r="I31" s="249">
        <f>IF($A31="","",IF(SUM(Deliverables!$W30:$Y30)=0,$W31,Deliverables!W30))</f>
        <v>1</v>
      </c>
      <c r="J31" s="249">
        <f>IF($A31="","",IF(SUM(Deliverables!$W30:$Y30)=0,$X31,Deliverables!X30))</f>
        <v>0</v>
      </c>
      <c r="K31" s="249">
        <f>IF($A31="","",IF(SUM(Deliverables!$W30:$Y30)=0,$Y31,Deliverables!Y30))</f>
        <v>0</v>
      </c>
      <c r="L31" s="40">
        <f t="shared" si="0"/>
        <v>1</v>
      </c>
      <c r="M31" s="41">
        <f t="shared" si="1"/>
        <v>0</v>
      </c>
      <c r="N31" s="34"/>
      <c r="O31" s="236"/>
      <c r="P31" s="58">
        <f>IF($A31="","",SUMIF(Phasing!$A$265:$A$504,$A31,Phasing!$Y$265:$Y$504))</f>
        <v>4.0540540540540543E-2</v>
      </c>
      <c r="Q31" s="58">
        <f t="shared" si="2"/>
        <v>4.0540540540540543E-2</v>
      </c>
      <c r="R31" s="59">
        <f t="shared" si="3"/>
        <v>0</v>
      </c>
      <c r="S31" s="58">
        <f t="shared" si="4"/>
        <v>0.5</v>
      </c>
      <c r="T31" s="59">
        <f t="shared" si="5"/>
        <v>0.45945945945945943</v>
      </c>
      <c r="U31" s="60">
        <f t="shared" si="6"/>
        <v>12.333333333333332</v>
      </c>
      <c r="V31" s="238" cm="1">
        <f t="array" ref="V31">IF($A31="","",IF(SUMIF(Deliverables!$A$5:$A$204,$A31,Deliverables!$E$5:$E$204)=0,1,SUMPRODUCT((Deliverables!$A$5:$A$204=$A31)*Deliverables!$E$5:$E$204*Deliverables!$P$5:$P$204)/SUMIF(Deliverables!$A$5:$A$204,$A31,Deliverables!$E$5:$E$204)))</f>
        <v>1.1000000000000001</v>
      </c>
      <c r="W31" s="241"/>
      <c r="X31" s="241"/>
      <c r="Y31" s="241"/>
    </row>
    <row r="32" spans="1:25" x14ac:dyDescent="0.3">
      <c r="A32" s="34"/>
      <c r="B32" s="34"/>
      <c r="C32" s="35"/>
      <c r="D32" s="36"/>
      <c r="E32" s="36"/>
      <c r="F32" s="37"/>
      <c r="G32" s="235">
        <f>IF($A32="","",IF(SUMIF(Deliverables!$A$5:$A$204,$A32,Deliverables!$E$5:$E$204)=0,$O32,SUMIF(Deliverables!$A$5:$A$204,$A32,Deliverables!$I$5:$I$204)/SUMIF(Deliverables!$A$5:$A$204,$A32,Deliverables!$E$5:$E$204)))</f>
        <v>1</v>
      </c>
      <c r="H32" s="39"/>
      <c r="I32" s="249">
        <f>IF($A32="","",IF(SUM(Deliverables!$W31:$Y31)=0,$W32,Deliverables!W31))</f>
        <v>0.8</v>
      </c>
      <c r="J32" s="249">
        <f>IF($A32="","",IF(SUM(Deliverables!$W31:$Y31)=0,$X32,Deliverables!X31))</f>
        <v>0.1</v>
      </c>
      <c r="K32" s="249">
        <f>IF($A32="","",IF(SUM(Deliverables!$W31:$Y31)=0,$Y32,Deliverables!Y31))</f>
        <v>0.1</v>
      </c>
      <c r="L32" s="40">
        <f t="shared" si="0"/>
        <v>1</v>
      </c>
      <c r="M32" s="41">
        <f t="shared" si="1"/>
        <v>0</v>
      </c>
      <c r="N32" s="34"/>
      <c r="O32" s="236"/>
      <c r="P32" s="58">
        <f>IF($A32="","",SUMIF(Phasing!$A$265:$A$504,$A32,Phasing!$Y$265:$Y$504))</f>
        <v>2.083783783783784</v>
      </c>
      <c r="Q32" s="58">
        <f t="shared" si="2"/>
        <v>2.083783783783784</v>
      </c>
      <c r="R32" s="59">
        <f t="shared" si="3"/>
        <v>0</v>
      </c>
      <c r="S32" s="58">
        <f t="shared" si="4"/>
        <v>1.9</v>
      </c>
      <c r="T32" s="59">
        <f t="shared" si="5"/>
        <v>-0.18378378378378413</v>
      </c>
      <c r="U32" s="60">
        <f t="shared" si="6"/>
        <v>0.91180285343709455</v>
      </c>
      <c r="V32" s="238" cm="1">
        <f t="array" ref="V32">IF($A32="","",IF(SUMIF(Deliverables!$A$5:$A$204,$A32,Deliverables!$E$5:$E$204)=0,1,SUMPRODUCT((Deliverables!$A$5:$A$204=$A32)*Deliverables!$E$5:$E$204*Deliverables!$P$5:$P$204)/SUMIF(Deliverables!$A$5:$A$204,$A32,Deliverables!$E$5:$E$204)))</f>
        <v>0.7</v>
      </c>
      <c r="W32" s="241"/>
      <c r="X32" s="241"/>
      <c r="Y32" s="241"/>
    </row>
    <row r="33" spans="1:25" x14ac:dyDescent="0.3">
      <c r="A33" s="34"/>
      <c r="B33" s="34"/>
      <c r="C33" s="35"/>
      <c r="D33" s="36"/>
      <c r="E33" s="36"/>
      <c r="F33" s="37"/>
      <c r="G33" s="235">
        <f>IF($A33="","",IF(SUMIF(Deliverables!$A$5:$A$204,$A33,Deliverables!$E$5:$E$204)=0,$O33,SUMIF(Deliverables!$A$5:$A$204,$A33,Deliverables!$I$5:$I$204)/SUMIF(Deliverables!$A$5:$A$204,$A33,Deliverables!$E$5:$E$204)))</f>
        <v>1</v>
      </c>
      <c r="H33" s="39"/>
      <c r="I33" s="249">
        <f>IF($A33="","",IF(SUM(Deliverables!$W32:$Y32)=0,$W33,Deliverables!W32))</f>
        <v>0.4</v>
      </c>
      <c r="J33" s="249">
        <f>IF($A33="","",IF(SUM(Deliverables!$W32:$Y32)=0,$X33,Deliverables!X32))</f>
        <v>0.3</v>
      </c>
      <c r="K33" s="249">
        <f>IF($A33="","",IF(SUM(Deliverables!$W32:$Y32)=0,$Y33,Deliverables!Y32))</f>
        <v>0.3</v>
      </c>
      <c r="L33" s="40">
        <f t="shared" si="0"/>
        <v>1</v>
      </c>
      <c r="M33" s="41">
        <f t="shared" si="1"/>
        <v>0</v>
      </c>
      <c r="N33" s="34"/>
      <c r="O33" s="236"/>
      <c r="P33" s="58">
        <f>IF($A33="","",SUMIF(Phasing!$A$265:$A$504,$A33,Phasing!$Y$265:$Y$504))</f>
        <v>3.9432432432432432</v>
      </c>
      <c r="Q33" s="58">
        <f t="shared" si="2"/>
        <v>3.9432432432432432</v>
      </c>
      <c r="R33" s="59">
        <f t="shared" si="3"/>
        <v>0</v>
      </c>
      <c r="S33" s="58">
        <f t="shared" si="4"/>
        <v>3</v>
      </c>
      <c r="T33" s="59">
        <f t="shared" si="5"/>
        <v>-0.94324324324324316</v>
      </c>
      <c r="U33" s="60">
        <f t="shared" si="6"/>
        <v>0.76079506511309114</v>
      </c>
      <c r="V33" s="238" cm="1">
        <f t="array" ref="V33">IF($A33="","",IF(SUMIF(Deliverables!$A$5:$A$204,$A33,Deliverables!$E$5:$E$204)=0,1,SUMPRODUCT((Deliverables!$A$5:$A$204=$A33)*Deliverables!$E$5:$E$204*Deliverables!$P$5:$P$204)/SUMIF(Deliverables!$A$5:$A$204,$A33,Deliverables!$E$5:$E$204)))</f>
        <v>0.7</v>
      </c>
      <c r="W33" s="241"/>
      <c r="X33" s="241"/>
      <c r="Y33" s="241"/>
    </row>
    <row r="34" spans="1:25" x14ac:dyDescent="0.3">
      <c r="A34" s="34"/>
      <c r="B34" s="34"/>
      <c r="C34" s="35"/>
      <c r="D34" s="36"/>
      <c r="E34" s="36"/>
      <c r="F34" s="37"/>
      <c r="G34" s="235">
        <f>IF($A34="","",IF(SUMIF(Deliverables!$A$5:$A$204,$A34,Deliverables!$E$5:$E$204)=0,$O34,SUMIF(Deliverables!$A$5:$A$204,$A34,Deliverables!$I$5:$I$204)/SUMIF(Deliverables!$A$5:$A$204,$A34,Deliverables!$E$5:$E$204)))</f>
        <v>1</v>
      </c>
      <c r="H34" s="39"/>
      <c r="I34" s="249">
        <f>IF($A34="","",IF(SUM(Deliverables!$W33:$Y33)=0,$W34,Deliverables!W33))</f>
        <v>1</v>
      </c>
      <c r="J34" s="249">
        <f>IF($A34="","",IF(SUM(Deliverables!$W33:$Y33)=0,$X34,Deliverables!X33))</f>
        <v>0</v>
      </c>
      <c r="K34" s="249">
        <f>IF($A34="","",IF(SUM(Deliverables!$W33:$Y33)=0,$Y34,Deliverables!Y33))</f>
        <v>0</v>
      </c>
      <c r="L34" s="40">
        <f t="shared" si="0"/>
        <v>1</v>
      </c>
      <c r="M34" s="41">
        <f t="shared" si="1"/>
        <v>0</v>
      </c>
      <c r="N34" s="34"/>
      <c r="O34" s="236"/>
      <c r="P34" s="58">
        <f>IF($A34="","",SUMIF(Phasing!$A$265:$A$504,$A34,Phasing!$Y$265:$Y$504))</f>
        <v>0.14189189189189189</v>
      </c>
      <c r="Q34" s="58">
        <f t="shared" si="2"/>
        <v>0.14189189189189189</v>
      </c>
      <c r="R34" s="59">
        <f t="shared" si="3"/>
        <v>0</v>
      </c>
      <c r="S34" s="58">
        <f t="shared" si="4"/>
        <v>0.5</v>
      </c>
      <c r="T34" s="59">
        <f t="shared" si="5"/>
        <v>0.35810810810810811</v>
      </c>
      <c r="U34" s="60">
        <f t="shared" si="6"/>
        <v>3.5238095238095242</v>
      </c>
      <c r="V34" s="238" cm="1">
        <f t="array" ref="V34">IF($A34="","",IF(SUMIF(Deliverables!$A$5:$A$204,$A34,Deliverables!$E$5:$E$204)=0,1,SUMPRODUCT((Deliverables!$A$5:$A$204=$A34)*Deliverables!$E$5:$E$204*Deliverables!$P$5:$P$204)/SUMIF(Deliverables!$A$5:$A$204,$A34,Deliverables!$E$5:$E$204)))</f>
        <v>1.1000000000000001</v>
      </c>
      <c r="W34" s="241"/>
      <c r="X34" s="241"/>
      <c r="Y34" s="241"/>
    </row>
    <row r="35" spans="1:25" x14ac:dyDescent="0.3">
      <c r="A35" s="34"/>
      <c r="B35" s="34"/>
      <c r="C35" s="35"/>
      <c r="D35" s="36"/>
      <c r="E35" s="36"/>
      <c r="F35" s="37"/>
      <c r="G35" s="235">
        <f>IF($A35="","",IF(SUMIF(Deliverables!$A$5:$A$204,$A35,Deliverables!$E$5:$E$204)=0,$O35,SUMIF(Deliverables!$A$5:$A$204,$A35,Deliverables!$I$5:$I$204)/SUMIF(Deliverables!$A$5:$A$204,$A35,Deliverables!$E$5:$E$204)))</f>
        <v>1</v>
      </c>
      <c r="H35" s="39"/>
      <c r="I35" s="249">
        <f>IF($A35="","",IF(SUM(Deliverables!$W34:$Y34)=0,$W35,Deliverables!W34))</f>
        <v>0.4</v>
      </c>
      <c r="J35" s="249">
        <f>IF($A35="","",IF(SUM(Deliverables!$W34:$Y34)=0,$X35,Deliverables!X34))</f>
        <v>0</v>
      </c>
      <c r="K35" s="249">
        <f>IF($A35="","",IF(SUM(Deliverables!$W34:$Y34)=0,$Y35,Deliverables!Y34))</f>
        <v>0.6</v>
      </c>
      <c r="L35" s="40">
        <f t="shared" si="0"/>
        <v>1</v>
      </c>
      <c r="M35" s="41">
        <f t="shared" si="1"/>
        <v>0</v>
      </c>
      <c r="N35" s="34"/>
      <c r="O35" s="236"/>
      <c r="P35" s="58">
        <f>IF($A35="","",SUMIF(Phasing!$A$265:$A$504,$A35,Phasing!$Y$265:$Y$504))</f>
        <v>0.51891891891891895</v>
      </c>
      <c r="Q35" s="58">
        <f t="shared" si="2"/>
        <v>0.51891891891891895</v>
      </c>
      <c r="R35" s="59">
        <f t="shared" si="3"/>
        <v>0</v>
      </c>
      <c r="S35" s="58">
        <f t="shared" si="4"/>
        <v>3</v>
      </c>
      <c r="T35" s="59">
        <f t="shared" si="5"/>
        <v>2.4810810810810811</v>
      </c>
      <c r="U35" s="60">
        <f t="shared" si="6"/>
        <v>5.78125</v>
      </c>
      <c r="V35" s="238" cm="1">
        <f t="array" ref="V35">IF($A35="","",IF(SUMIF(Deliverables!$A$5:$A$204,$A35,Deliverables!$E$5:$E$204)=0,1,SUMPRODUCT((Deliverables!$A$5:$A$204=$A35)*Deliverables!$E$5:$E$204*Deliverables!$P$5:$P$204)/SUMIF(Deliverables!$A$5:$A$204,$A35,Deliverables!$E$5:$E$204)))</f>
        <v>0.75</v>
      </c>
      <c r="W35" s="241"/>
      <c r="X35" s="241"/>
      <c r="Y35" s="241"/>
    </row>
    <row r="36" spans="1:25" x14ac:dyDescent="0.3">
      <c r="A36" s="34"/>
      <c r="B36" s="34"/>
      <c r="C36" s="35"/>
      <c r="D36" s="36"/>
      <c r="E36" s="36"/>
      <c r="F36" s="37"/>
      <c r="G36" s="235">
        <f>IF($A36="","",IF(SUMIF(Deliverables!$A$5:$A$204,$A36,Deliverables!$E$5:$E$204)=0,$O36,SUMIF(Deliverables!$A$5:$A$204,$A36,Deliverables!$I$5:$I$204)/SUMIF(Deliverables!$A$5:$A$204,$A36,Deliverables!$E$5:$E$204)))</f>
        <v>1</v>
      </c>
      <c r="H36" s="39"/>
      <c r="I36" s="249">
        <f>IF($A36="","",IF(SUM(Deliverables!$W35:$Y35)=0,$W36,Deliverables!W35))</f>
        <v>0.6</v>
      </c>
      <c r="J36" s="249">
        <f>IF($A36="","",IF(SUM(Deliverables!$W35:$Y35)=0,$X36,Deliverables!X35))</f>
        <v>0.3</v>
      </c>
      <c r="K36" s="249">
        <f>IF($A36="","",IF(SUM(Deliverables!$W35:$Y35)=0,$Y36,Deliverables!Y35))</f>
        <v>0.1</v>
      </c>
      <c r="L36" s="40">
        <f t="shared" si="0"/>
        <v>0.99999999999999989</v>
      </c>
      <c r="M36" s="41">
        <f t="shared" si="1"/>
        <v>0</v>
      </c>
      <c r="N36" s="34"/>
      <c r="O36" s="236"/>
      <c r="P36" s="58">
        <f>IF($A36="","",SUMIF(Phasing!$A$265:$A$504,$A36,Phasing!$Y$265:$Y$504))</f>
        <v>3.3216216216216221</v>
      </c>
      <c r="Q36" s="58">
        <f t="shared" si="2"/>
        <v>3.3216216216216221</v>
      </c>
      <c r="R36" s="59">
        <f t="shared" si="3"/>
        <v>0</v>
      </c>
      <c r="S36" s="58">
        <f t="shared" si="4"/>
        <v>5</v>
      </c>
      <c r="T36" s="59">
        <f t="shared" si="5"/>
        <v>1.6783783783783779</v>
      </c>
      <c r="U36" s="60">
        <f t="shared" si="6"/>
        <v>1.505288852725793</v>
      </c>
      <c r="V36" s="238" cm="1">
        <f t="array" ref="V36">IF($A36="","",IF(SUMIF(Deliverables!$A$5:$A$204,$A36,Deliverables!$E$5:$E$204)=0,1,SUMPRODUCT((Deliverables!$A$5:$A$204=$A36)*Deliverables!$E$5:$E$204*Deliverables!$P$5:$P$204)/SUMIF(Deliverables!$A$5:$A$204,$A36,Deliverables!$E$5:$E$204)))</f>
        <v>1.1000000000000001</v>
      </c>
      <c r="W36" s="241"/>
      <c r="X36" s="241"/>
      <c r="Y36" s="241"/>
    </row>
    <row r="37" spans="1:25" x14ac:dyDescent="0.3">
      <c r="A37" s="34"/>
      <c r="B37" s="34"/>
      <c r="C37" s="35"/>
      <c r="D37" s="36"/>
      <c r="E37" s="36"/>
      <c r="F37" s="37"/>
      <c r="G37" s="235">
        <f>IF($A37="","",IF(SUMIF(Deliverables!$A$5:$A$204,$A37,Deliverables!$E$5:$E$204)=0,$O37,SUMIF(Deliverables!$A$5:$A$204,$A37,Deliverables!$I$5:$I$204)/SUMIF(Deliverables!$A$5:$A$204,$A37,Deliverables!$E$5:$E$204)))</f>
        <v>1</v>
      </c>
      <c r="H37" s="39"/>
      <c r="I37" s="249">
        <f>IF($A37="","",IF(SUM(Deliverables!$W36:$Y36)=0,$W37,Deliverables!W36))</f>
        <v>1</v>
      </c>
      <c r="J37" s="249">
        <f>IF($A37="","",IF(SUM(Deliverables!$W36:$Y36)=0,$X37,Deliverables!X36))</f>
        <v>0</v>
      </c>
      <c r="K37" s="249">
        <f>IF($A37="","",IF(SUM(Deliverables!$W36:$Y36)=0,$Y37,Deliverables!Y36))</f>
        <v>0</v>
      </c>
      <c r="L37" s="40">
        <f t="shared" ref="L37:L68" si="7">IF($A37="","",SUM($I37:$K37))</f>
        <v>1</v>
      </c>
      <c r="M37" s="41">
        <f t="shared" ref="M37:M68" si="8">IF($A37="",0,IF(OR($F37="Active",$F37="Not Started"),1,0))</f>
        <v>0</v>
      </c>
      <c r="N37" s="34"/>
      <c r="O37" s="236"/>
      <c r="P37" s="58">
        <f>IF($A37="","",SUMIF(Phasing!$A$265:$A$504,$A37,Phasing!$Y$265:$Y$504))</f>
        <v>0.14729729729729729</v>
      </c>
      <c r="Q37" s="58">
        <f t="shared" si="2"/>
        <v>0.14729729729729729</v>
      </c>
      <c r="R37" s="59">
        <f t="shared" si="3"/>
        <v>0</v>
      </c>
      <c r="S37" s="58">
        <f t="shared" si="4"/>
        <v>0.25</v>
      </c>
      <c r="T37" s="59">
        <f t="shared" si="5"/>
        <v>0.10270270270270271</v>
      </c>
      <c r="U37" s="60">
        <f t="shared" si="6"/>
        <v>1.6972477064220184</v>
      </c>
      <c r="V37" s="238" cm="1">
        <f t="array" ref="V37">IF($A37="","",IF(SUMIF(Deliverables!$A$5:$A$204,$A37,Deliverables!$E$5:$E$204)=0,1,SUMPRODUCT((Deliverables!$A$5:$A$204=$A37)*Deliverables!$E$5:$E$204*Deliverables!$P$5:$P$204)/SUMIF(Deliverables!$A$5:$A$204,$A37,Deliverables!$E$5:$E$204)))</f>
        <v>0.85</v>
      </c>
      <c r="W37" s="241"/>
      <c r="X37" s="241"/>
      <c r="Y37" s="241"/>
    </row>
    <row r="38" spans="1:25" x14ac:dyDescent="0.3">
      <c r="A38" s="34"/>
      <c r="B38" s="34"/>
      <c r="C38" s="35"/>
      <c r="D38" s="36"/>
      <c r="E38" s="36"/>
      <c r="F38" s="37"/>
      <c r="G38" s="235">
        <f>IF($A38="","",IF(SUMIF(Deliverables!$A$5:$A$204,$A38,Deliverables!$E$5:$E$204)=0,$O38,SUMIF(Deliverables!$A$5:$A$204,$A38,Deliverables!$I$5:$I$204)/SUMIF(Deliverables!$A$5:$A$204,$A38,Deliverables!$E$5:$E$204)))</f>
        <v>1</v>
      </c>
      <c r="H38" s="39"/>
      <c r="I38" s="249">
        <f>IF($A38="","",IF(SUM(Deliverables!$W37:$Y37)=0,$W38,Deliverables!W37))</f>
        <v>0.4</v>
      </c>
      <c r="J38" s="249">
        <f>IF($A38="","",IF(SUM(Deliverables!$W37:$Y37)=0,$X38,Deliverables!X37))</f>
        <v>0.3</v>
      </c>
      <c r="K38" s="249">
        <f>IF($A38="","",IF(SUM(Deliverables!$W37:$Y37)=0,$Y38,Deliverables!Y37))</f>
        <v>0.3</v>
      </c>
      <c r="L38" s="40">
        <f t="shared" si="7"/>
        <v>1</v>
      </c>
      <c r="M38" s="41">
        <f t="shared" si="8"/>
        <v>0</v>
      </c>
      <c r="N38" s="34"/>
      <c r="O38" s="236"/>
      <c r="P38" s="58">
        <f>IF($A38="","",SUMIF(Phasing!$A$265:$A$504,$A38,Phasing!$Y$265:$Y$504))</f>
        <v>1.854054054054054</v>
      </c>
      <c r="Q38" s="58">
        <f t="shared" ref="Q38:Q85" si="9">IF($A38="","",IF($H38&lt;&gt;"",$H38,IF(OR($P38=0,$G38=0),$C38,$P38/$G38)))</f>
        <v>1.854054054054054</v>
      </c>
      <c r="R38" s="59">
        <f t="shared" ref="R38:R85" si="10">IF($A38="","",MAX(0,$Q38-$P38))</f>
        <v>0</v>
      </c>
      <c r="S38" s="58">
        <f t="shared" ref="S38:S85" si="11">IF($A38="","",$C38*$G38)</f>
        <v>2.25</v>
      </c>
      <c r="T38" s="59">
        <f t="shared" ref="T38:T85" si="12">IF($A38="","",$C38-$Q38)</f>
        <v>0.39594594594594601</v>
      </c>
      <c r="U38" s="60">
        <f t="shared" ref="U38:U85" si="13">IF($A38="","",IF($P38=0,"",$S38/$P38))</f>
        <v>1.2135568513119535</v>
      </c>
      <c r="V38" s="238" cm="1">
        <f t="array" ref="V38">IF($A38="","",IF(SUMIF(Deliverables!$A$5:$A$204,$A38,Deliverables!$E$5:$E$204)=0,1,SUMPRODUCT((Deliverables!$A$5:$A$204=$A38)*Deliverables!$E$5:$E$204*Deliverables!$P$5:$P$204)/SUMIF(Deliverables!$A$5:$A$204,$A38,Deliverables!$E$5:$E$204)))</f>
        <v>0.7</v>
      </c>
      <c r="W38" s="241"/>
      <c r="X38" s="241"/>
      <c r="Y38" s="241"/>
    </row>
    <row r="39" spans="1:25" x14ac:dyDescent="0.3">
      <c r="A39" s="34"/>
      <c r="B39" s="34"/>
      <c r="C39" s="35"/>
      <c r="D39" s="36"/>
      <c r="E39" s="36"/>
      <c r="F39" s="37"/>
      <c r="G39" s="235">
        <f>IF($A39="","",IF(SUMIF(Deliverables!$A$5:$A$204,$A39,Deliverables!$E$5:$E$204)=0,$O39,SUMIF(Deliverables!$A$5:$A$204,$A39,Deliverables!$I$5:$I$204)/SUMIF(Deliverables!$A$5:$A$204,$A39,Deliverables!$E$5:$E$204)))</f>
        <v>1</v>
      </c>
      <c r="H39" s="39"/>
      <c r="I39" s="249">
        <f>IF($A39="","",IF(SUM(Deliverables!$W38:$Y38)=0,$W39,Deliverables!W38))</f>
        <v>0.8</v>
      </c>
      <c r="J39" s="249">
        <f>IF($A39="","",IF(SUM(Deliverables!$W38:$Y38)=0,$X39,Deliverables!X38))</f>
        <v>0.1</v>
      </c>
      <c r="K39" s="249">
        <f>IF($A39="","",IF(SUM(Deliverables!$W38:$Y38)=0,$Y39,Deliverables!Y38))</f>
        <v>0.1</v>
      </c>
      <c r="L39" s="40">
        <f t="shared" si="7"/>
        <v>1</v>
      </c>
      <c r="M39" s="41">
        <f t="shared" si="8"/>
        <v>0</v>
      </c>
      <c r="N39" s="34"/>
      <c r="O39" s="236"/>
      <c r="P39" s="58">
        <f>IF($A39="","",SUMIF(Phasing!$A$265:$A$504,$A39,Phasing!$Y$265:$Y$504))</f>
        <v>0.53648648648648645</v>
      </c>
      <c r="Q39" s="58">
        <f t="shared" si="9"/>
        <v>0.53648648648648645</v>
      </c>
      <c r="R39" s="59">
        <f t="shared" si="10"/>
        <v>0</v>
      </c>
      <c r="S39" s="58">
        <f t="shared" si="11"/>
        <v>1.1000000000000001</v>
      </c>
      <c r="T39" s="59">
        <f t="shared" si="12"/>
        <v>0.56351351351351364</v>
      </c>
      <c r="U39" s="60">
        <f t="shared" si="13"/>
        <v>2.0503778337531489</v>
      </c>
      <c r="V39" s="238" cm="1">
        <f t="array" ref="V39">IF($A39="","",IF(SUMIF(Deliverables!$A$5:$A$204,$A39,Deliverables!$E$5:$E$204)=0,1,SUMPRODUCT((Deliverables!$A$5:$A$204=$A39)*Deliverables!$E$5:$E$204*Deliverables!$P$5:$P$204)/SUMIF(Deliverables!$A$5:$A$204,$A39,Deliverables!$E$5:$E$204)))</f>
        <v>0.7</v>
      </c>
      <c r="W39" s="241"/>
      <c r="X39" s="241"/>
      <c r="Y39" s="241"/>
    </row>
    <row r="40" spans="1:25" x14ac:dyDescent="0.3">
      <c r="A40" s="34"/>
      <c r="B40" s="34"/>
      <c r="C40" s="35"/>
      <c r="D40" s="36"/>
      <c r="E40" s="36"/>
      <c r="F40" s="37"/>
      <c r="G40" s="235">
        <f>IF($A40="","",IF(SUMIF(Deliverables!$A$5:$A$204,$A40,Deliverables!$E$5:$E$204)=0,$O40,SUMIF(Deliverables!$A$5:$A$204,$A40,Deliverables!$I$5:$I$204)/SUMIF(Deliverables!$A$5:$A$204,$A40,Deliverables!$E$5:$E$204)))</f>
        <v>1</v>
      </c>
      <c r="H40" s="39"/>
      <c r="I40" s="249">
        <f>IF($A40="","",IF(SUM(Deliverables!$W39:$Y39)=0,$W40,Deliverables!W39))</f>
        <v>1</v>
      </c>
      <c r="J40" s="249">
        <f>IF($A40="","",IF(SUM(Deliverables!$W39:$Y39)=0,$X40,Deliverables!X39))</f>
        <v>0</v>
      </c>
      <c r="K40" s="249">
        <f>IF($A40="","",IF(SUM(Deliverables!$W39:$Y39)=0,$Y40,Deliverables!Y39))</f>
        <v>0</v>
      </c>
      <c r="L40" s="40">
        <f t="shared" si="7"/>
        <v>1</v>
      </c>
      <c r="M40" s="41">
        <f t="shared" si="8"/>
        <v>0</v>
      </c>
      <c r="N40" s="34"/>
      <c r="O40" s="236"/>
      <c r="P40" s="58">
        <f>IF($A40="","",SUMIF(Phasing!$A$265:$A$504,$A40,Phasing!$Y$265:$Y$504))</f>
        <v>4.5945945945945948E-2</v>
      </c>
      <c r="Q40" s="58">
        <f t="shared" si="9"/>
        <v>4.5945945945945948E-2</v>
      </c>
      <c r="R40" s="59">
        <f t="shared" si="10"/>
        <v>0</v>
      </c>
      <c r="S40" s="58">
        <f t="shared" si="11"/>
        <v>1.5</v>
      </c>
      <c r="T40" s="59">
        <f t="shared" si="12"/>
        <v>1.4540540540540541</v>
      </c>
      <c r="U40" s="60">
        <f t="shared" si="13"/>
        <v>32.647058823529413</v>
      </c>
      <c r="V40" s="238" cm="1">
        <f t="array" ref="V40">IF($A40="","",IF(SUMIF(Deliverables!$A$5:$A$204,$A40,Deliverables!$E$5:$E$204)=0,1,SUMPRODUCT((Deliverables!$A$5:$A$204=$A40)*Deliverables!$E$5:$E$204*Deliverables!$P$5:$P$204)/SUMIF(Deliverables!$A$5:$A$204,$A40,Deliverables!$E$5:$E$204)))</f>
        <v>1.1000000000000001</v>
      </c>
      <c r="W40" s="241"/>
      <c r="X40" s="241"/>
      <c r="Y40" s="241"/>
    </row>
    <row r="41" spans="1:25" x14ac:dyDescent="0.3">
      <c r="A41" s="34"/>
      <c r="B41" s="34"/>
      <c r="C41" s="35"/>
      <c r="D41" s="36"/>
      <c r="E41" s="36"/>
      <c r="F41" s="37"/>
      <c r="G41" s="235">
        <f>IF($A41="","",IF(SUMIF(Deliverables!$A$5:$A$204,$A41,Deliverables!$E$5:$E$204)=0,$O41,SUMIF(Deliverables!$A$5:$A$204,$A41,Deliverables!$I$5:$I$204)/SUMIF(Deliverables!$A$5:$A$204,$A41,Deliverables!$E$5:$E$204)))</f>
        <v>1</v>
      </c>
      <c r="H41" s="39"/>
      <c r="I41" s="249">
        <f>IF($A41="","",IF(SUM(Deliverables!$W40:$Y40)=0,$W41,Deliverables!W40))</f>
        <v>0.25</v>
      </c>
      <c r="J41" s="249">
        <f>IF($A41="","",IF(SUM(Deliverables!$W40:$Y40)=0,$X41,Deliverables!X40))</f>
        <v>0.3</v>
      </c>
      <c r="K41" s="249">
        <f>IF($A41="","",IF(SUM(Deliverables!$W40:$Y40)=0,$Y41,Deliverables!Y40))</f>
        <v>0.45</v>
      </c>
      <c r="L41" s="40">
        <f t="shared" si="7"/>
        <v>1</v>
      </c>
      <c r="M41" s="41">
        <f t="shared" si="8"/>
        <v>0</v>
      </c>
      <c r="N41" s="34"/>
      <c r="O41" s="236"/>
      <c r="P41" s="58">
        <f>IF($A41="","",SUMIF(Phasing!$A$265:$A$504,$A41,Phasing!$Y$265:$Y$504))</f>
        <v>1.0054054054054056</v>
      </c>
      <c r="Q41" s="58">
        <f t="shared" si="9"/>
        <v>1.0054054054054056</v>
      </c>
      <c r="R41" s="59">
        <f t="shared" si="10"/>
        <v>0</v>
      </c>
      <c r="S41" s="58">
        <f t="shared" si="11"/>
        <v>3</v>
      </c>
      <c r="T41" s="59">
        <f t="shared" si="12"/>
        <v>1.9945945945945944</v>
      </c>
      <c r="U41" s="60">
        <f t="shared" si="13"/>
        <v>2.9838709677419351</v>
      </c>
      <c r="V41" s="238" cm="1">
        <f t="array" ref="V41">IF($A41="","",IF(SUMIF(Deliverables!$A$5:$A$204,$A41,Deliverables!$E$5:$E$204)=0,1,SUMPRODUCT((Deliverables!$A$5:$A$204=$A41)*Deliverables!$E$5:$E$204*Deliverables!$P$5:$P$204)/SUMIF(Deliverables!$A$5:$A$204,$A41,Deliverables!$E$5:$E$204)))</f>
        <v>1.1000000000000001</v>
      </c>
      <c r="W41" s="241"/>
      <c r="X41" s="241"/>
      <c r="Y41" s="241"/>
    </row>
    <row r="42" spans="1:25" x14ac:dyDescent="0.3">
      <c r="A42" s="34"/>
      <c r="B42" s="34"/>
      <c r="C42" s="35"/>
      <c r="D42" s="36"/>
      <c r="E42" s="36"/>
      <c r="F42" s="37"/>
      <c r="G42" s="235">
        <f>IF($A42="","",IF(SUMIF(Deliverables!$A$5:$A$204,$A42,Deliverables!$E$5:$E$204)=0,$O42,SUMIF(Deliverables!$A$5:$A$204,$A42,Deliverables!$I$5:$I$204)/SUMIF(Deliverables!$A$5:$A$204,$A42,Deliverables!$E$5:$E$204)))</f>
        <v>1</v>
      </c>
      <c r="H42" s="39"/>
      <c r="I42" s="249">
        <f>IF($A42="","",IF(SUM(Deliverables!$W41:$Y41)=0,$W42,Deliverables!W41))</f>
        <v>1</v>
      </c>
      <c r="J42" s="249">
        <f>IF($A42="","",IF(SUM(Deliverables!$W41:$Y41)=0,$X42,Deliverables!X41))</f>
        <v>0</v>
      </c>
      <c r="K42" s="249">
        <f>IF($A42="","",IF(SUM(Deliverables!$W41:$Y41)=0,$Y42,Deliverables!Y41))</f>
        <v>0</v>
      </c>
      <c r="L42" s="40">
        <f t="shared" si="7"/>
        <v>1</v>
      </c>
      <c r="M42" s="41">
        <f t="shared" si="8"/>
        <v>0</v>
      </c>
      <c r="N42" s="34"/>
      <c r="O42" s="236"/>
      <c r="P42" s="58">
        <f>IF($A42="","",SUMIF(Phasing!$A$265:$A$504,$A42,Phasing!$Y$265:$Y$504))</f>
        <v>5.4054054054054057E-2</v>
      </c>
      <c r="Q42" s="58">
        <f t="shared" si="9"/>
        <v>5.4054054054054057E-2</v>
      </c>
      <c r="R42" s="59">
        <f t="shared" si="10"/>
        <v>0</v>
      </c>
      <c r="S42" s="58">
        <f t="shared" si="11"/>
        <v>0.1</v>
      </c>
      <c r="T42" s="59">
        <f t="shared" si="12"/>
        <v>4.5945945945945948E-2</v>
      </c>
      <c r="U42" s="60">
        <f t="shared" si="13"/>
        <v>1.85</v>
      </c>
      <c r="V42" s="238" cm="1">
        <f t="array" ref="V42">IF($A42="","",IF(SUMIF(Deliverables!$A$5:$A$204,$A42,Deliverables!$E$5:$E$204)=0,1,SUMPRODUCT((Deliverables!$A$5:$A$204=$A42)*Deliverables!$E$5:$E$204*Deliverables!$P$5:$P$204)/SUMIF(Deliverables!$A$5:$A$204,$A42,Deliverables!$E$5:$E$204)))</f>
        <v>0.75</v>
      </c>
      <c r="W42" s="241"/>
      <c r="X42" s="241"/>
      <c r="Y42" s="241"/>
    </row>
    <row r="43" spans="1:25" x14ac:dyDescent="0.3">
      <c r="A43" s="34"/>
      <c r="B43" s="34"/>
      <c r="C43" s="35"/>
      <c r="D43" s="36"/>
      <c r="E43" s="36"/>
      <c r="F43" s="37"/>
      <c r="G43" s="235">
        <f>IF($A43="","",IF(SUMIF(Deliverables!$A$5:$A$204,$A43,Deliverables!$E$5:$E$204)=0,$O43,SUMIF(Deliverables!$A$5:$A$204,$A43,Deliverables!$I$5:$I$204)/SUMIF(Deliverables!$A$5:$A$204,$A43,Deliverables!$E$5:$E$204)))</f>
        <v>0</v>
      </c>
      <c r="H43" s="39"/>
      <c r="I43" s="249">
        <f>IF($A43="","",IF(SUM(Deliverables!$W42:$Y42)=0,$W43,Deliverables!W42))</f>
        <v>0.6</v>
      </c>
      <c r="J43" s="249">
        <f>IF($A43="","",IF(SUM(Deliverables!$W42:$Y42)=0,$X43,Deliverables!X42))</f>
        <v>0</v>
      </c>
      <c r="K43" s="249">
        <f>IF($A43="","",IF(SUM(Deliverables!$W42:$Y42)=0,$Y43,Deliverables!Y42))</f>
        <v>0.4</v>
      </c>
      <c r="L43" s="40">
        <f t="shared" si="7"/>
        <v>1</v>
      </c>
      <c r="M43" s="41">
        <f t="shared" si="8"/>
        <v>1</v>
      </c>
      <c r="N43" s="34"/>
      <c r="O43" s="236"/>
      <c r="P43" s="58">
        <f>IF($A43="","",SUMIF(Phasing!$A$265:$A$504,$A43,Phasing!$Y$265:$Y$504))</f>
        <v>0</v>
      </c>
      <c r="Q43" s="58">
        <f t="shared" si="9"/>
        <v>10</v>
      </c>
      <c r="R43" s="59">
        <f t="shared" si="10"/>
        <v>10</v>
      </c>
      <c r="S43" s="58">
        <f t="shared" si="11"/>
        <v>0</v>
      </c>
      <c r="T43" s="59">
        <f t="shared" si="12"/>
        <v>0</v>
      </c>
      <c r="U43" s="60" t="str">
        <f t="shared" si="13"/>
        <v/>
      </c>
      <c r="V43" s="238" cm="1">
        <f t="array" ref="V43">IF($A43="","",IF(SUMIF(Deliverables!$A$5:$A$204,$A43,Deliverables!$E$5:$E$204)=0,1,SUMPRODUCT((Deliverables!$A$5:$A$204=$A43)*Deliverables!$E$5:$E$204*Deliverables!$P$5:$P$204)/SUMIF(Deliverables!$A$5:$A$204,$A43,Deliverables!$E$5:$E$204)))</f>
        <v>1.1000000000000001</v>
      </c>
      <c r="W43" s="241"/>
      <c r="X43" s="241"/>
      <c r="Y43" s="241"/>
    </row>
    <row r="44" spans="1:25" x14ac:dyDescent="0.3">
      <c r="A44" s="34"/>
      <c r="B44" s="34"/>
      <c r="C44" s="35"/>
      <c r="D44" s="36"/>
      <c r="E44" s="36"/>
      <c r="F44" s="37"/>
      <c r="G44" s="235">
        <f>IF($A44="","",IF(SUMIF(Deliverables!$A$5:$A$204,$A44,Deliverables!$E$5:$E$204)=0,$O44,SUMIF(Deliverables!$A$5:$A$204,$A44,Deliverables!$I$5:$I$204)/SUMIF(Deliverables!$A$5:$A$204,$A44,Deliverables!$E$5:$E$204)))</f>
        <v>0.5</v>
      </c>
      <c r="H44" s="39"/>
      <c r="I44" s="249">
        <f>IF($A44="","",IF(SUM(Deliverables!$W43:$Y43)=0,$W44,Deliverables!W43))</f>
        <v>0.6</v>
      </c>
      <c r="J44" s="249">
        <f>IF($A44="","",IF(SUM(Deliverables!$W43:$Y43)=0,$X44,Deliverables!X43))</f>
        <v>0</v>
      </c>
      <c r="K44" s="249">
        <f>IF($A44="","",IF(SUM(Deliverables!$W43:$Y43)=0,$Y44,Deliverables!Y43))</f>
        <v>0.4</v>
      </c>
      <c r="L44" s="40">
        <f t="shared" si="7"/>
        <v>1</v>
      </c>
      <c r="M44" s="41">
        <f t="shared" si="8"/>
        <v>1</v>
      </c>
      <c r="N44" s="34"/>
      <c r="O44" s="236"/>
      <c r="P44" s="58">
        <f>IF($A44="","",SUMIF(Phasing!$A$265:$A$504,$A44,Phasing!$Y$265:$Y$504))</f>
        <v>0.33108108108108109</v>
      </c>
      <c r="Q44" s="58">
        <f t="shared" si="9"/>
        <v>0.66216216216216217</v>
      </c>
      <c r="R44" s="59">
        <f t="shared" si="10"/>
        <v>0.33108108108108109</v>
      </c>
      <c r="S44" s="58">
        <f t="shared" si="11"/>
        <v>1.125</v>
      </c>
      <c r="T44" s="59">
        <f t="shared" si="12"/>
        <v>1.5878378378378377</v>
      </c>
      <c r="U44" s="60">
        <f t="shared" si="13"/>
        <v>3.3979591836734695</v>
      </c>
      <c r="V44" s="238" cm="1">
        <f t="array" ref="V44">IF($A44="","",IF(SUMIF(Deliverables!$A$5:$A$204,$A44,Deliverables!$E$5:$E$204)=0,1,SUMPRODUCT((Deliverables!$A$5:$A$204=$A44)*Deliverables!$E$5:$E$204*Deliverables!$P$5:$P$204)/SUMIF(Deliverables!$A$5:$A$204,$A44,Deliverables!$E$5:$E$204)))</f>
        <v>0.7</v>
      </c>
      <c r="W44" s="241"/>
      <c r="X44" s="241"/>
      <c r="Y44" s="241"/>
    </row>
    <row r="45" spans="1:25" x14ac:dyDescent="0.3">
      <c r="A45" s="34"/>
      <c r="B45" s="34"/>
      <c r="C45" s="35"/>
      <c r="D45" s="36"/>
      <c r="E45" s="36"/>
      <c r="F45" s="37"/>
      <c r="G45" s="235" t="str">
        <f>IF($A45="","",IF(SUMIF(Deliverables!$A$5:$A$204,$A45,Deliverables!$E$5:$E$204)=0,$O45,SUMIF(Deliverables!$A$5:$A$204,$A45,Deliverables!$I$5:$I$204)/SUMIF(Deliverables!$A$5:$A$204,$A45,Deliverables!$E$5:$E$204)))</f>
        <v/>
      </c>
      <c r="H45" s="39"/>
      <c r="I45" s="249" t="str">
        <f>IF($A45="","",IF(SUM(Deliverables!$W44:$Y44)=0,$W45,Deliverables!W44))</f>
        <v/>
      </c>
      <c r="J45" s="249" t="str">
        <f>IF($A45="","",IF(SUM(Deliverables!$W44:$Y44)=0,$X45,Deliverables!X44))</f>
        <v/>
      </c>
      <c r="K45" s="249" t="str">
        <f>IF($A45="","",IF(SUM(Deliverables!$W44:$Y44)=0,$Y45,Deliverables!Y44))</f>
        <v/>
      </c>
      <c r="L45" s="40" t="str">
        <f t="shared" si="7"/>
        <v/>
      </c>
      <c r="M45" s="41">
        <f t="shared" si="8"/>
        <v>0</v>
      </c>
      <c r="N45" s="34"/>
      <c r="O45" s="236"/>
      <c r="P45" s="58" t="str">
        <f>IF($A45="","",SUMIF(Phasing!$A$265:$A$504,$A45,Phasing!$Y$265:$Y$504))</f>
        <v/>
      </c>
      <c r="Q45" s="58" t="str">
        <f t="shared" si="9"/>
        <v/>
      </c>
      <c r="R45" s="59" t="str">
        <f t="shared" si="10"/>
        <v/>
      </c>
      <c r="S45" s="58" t="str">
        <f t="shared" si="11"/>
        <v/>
      </c>
      <c r="T45" s="59" t="str">
        <f t="shared" si="12"/>
        <v/>
      </c>
      <c r="U45" s="60" t="str">
        <f t="shared" si="13"/>
        <v/>
      </c>
      <c r="V45" s="238" t="str" cm="1">
        <f t="array" ref="V45">IF($A45="","",IF(SUMIF(Deliverables!$A$5:$A$204,$A45,Deliverables!$E$5:$E$204)=0,1,SUMPRODUCT((Deliverables!$A$5:$A$204=$A45)*Deliverables!$E$5:$E$204*Deliverables!$P$5:$P$204)/SUMIF(Deliverables!$A$5:$A$204,$A45,Deliverables!$E$5:$E$204)))</f>
        <v/>
      </c>
      <c r="W45" s="241"/>
      <c r="X45" s="241"/>
      <c r="Y45" s="241"/>
    </row>
    <row r="46" spans="1:25" x14ac:dyDescent="0.3">
      <c r="A46" s="34"/>
      <c r="B46" s="34"/>
      <c r="C46" s="35"/>
      <c r="D46" s="36"/>
      <c r="E46" s="36"/>
      <c r="F46" s="37"/>
      <c r="G46" s="235">
        <f>IF($A46="","",IF(SUMIF(Deliverables!$A$5:$A$204,$A46,Deliverables!$E$5:$E$204)=0,$O46,SUMIF(Deliverables!$A$5:$A$204,$A46,Deliverables!$I$5:$I$204)/SUMIF(Deliverables!$A$5:$A$204,$A46,Deliverables!$E$5:$E$204)))</f>
        <v>0.5</v>
      </c>
      <c r="H46" s="39"/>
      <c r="I46" s="249">
        <f>IF($A46="","",IF(SUM(Deliverables!$W45:$Y45)=0,$W46,Deliverables!W45))</f>
        <v>1</v>
      </c>
      <c r="J46" s="249">
        <f>IF($A46="","",IF(SUM(Deliverables!$W45:$Y45)=0,$X46,Deliverables!X45))</f>
        <v>0</v>
      </c>
      <c r="K46" s="249">
        <f>IF($A46="","",IF(SUM(Deliverables!$W45:$Y45)=0,$Y46,Deliverables!Y45))</f>
        <v>0</v>
      </c>
      <c r="L46" s="40">
        <f t="shared" si="7"/>
        <v>1</v>
      </c>
      <c r="M46" s="41">
        <f t="shared" si="8"/>
        <v>1</v>
      </c>
      <c r="N46" s="34"/>
      <c r="O46" s="236"/>
      <c r="P46" s="58">
        <f>IF($A46="","",SUMIF(Phasing!$A$265:$A$504,$A46,Phasing!$Y$265:$Y$504))</f>
        <v>7.0270270270270274E-2</v>
      </c>
      <c r="Q46" s="58">
        <f t="shared" si="9"/>
        <v>0.14054054054054055</v>
      </c>
      <c r="R46" s="59">
        <f t="shared" si="10"/>
        <v>7.0270270270270274E-2</v>
      </c>
      <c r="S46" s="58">
        <f t="shared" si="11"/>
        <v>0.2</v>
      </c>
      <c r="T46" s="59">
        <f t="shared" si="12"/>
        <v>0.25945945945945947</v>
      </c>
      <c r="U46" s="60">
        <f t="shared" si="13"/>
        <v>2.8461538461538463</v>
      </c>
      <c r="V46" s="238" cm="1">
        <f t="array" ref="V46">IF($A46="","",IF(SUMIF(Deliverables!$A$5:$A$204,$A46,Deliverables!$E$5:$E$204)=0,1,SUMPRODUCT((Deliverables!$A$5:$A$204=$A46)*Deliverables!$E$5:$E$204*Deliverables!$P$5:$P$204)/SUMIF(Deliverables!$A$5:$A$204,$A46,Deliverables!$E$5:$E$204)))</f>
        <v>0.7</v>
      </c>
      <c r="W46" s="241"/>
      <c r="X46" s="241"/>
      <c r="Y46" s="241"/>
    </row>
    <row r="47" spans="1:25" x14ac:dyDescent="0.3">
      <c r="A47" s="34"/>
      <c r="B47" s="34"/>
      <c r="C47" s="35"/>
      <c r="D47" s="36"/>
      <c r="E47" s="36"/>
      <c r="F47" s="37"/>
      <c r="G47" s="235" t="str">
        <f>IF($A47="","",IF(SUMIF(Deliverables!$A$5:$A$204,$A47,Deliverables!$E$5:$E$204)=0,$O47,SUMIF(Deliverables!$A$5:$A$204,$A47,Deliverables!$I$5:$I$204)/SUMIF(Deliverables!$A$5:$A$204,$A47,Deliverables!$E$5:$E$204)))</f>
        <v/>
      </c>
      <c r="H47" s="39"/>
      <c r="I47" s="249" t="str">
        <f>IF($A47="","",IF(SUM(Deliverables!$W46:$Y46)=0,$W47,Deliverables!W46))</f>
        <v/>
      </c>
      <c r="J47" s="249" t="str">
        <f>IF($A47="","",IF(SUM(Deliverables!$W46:$Y46)=0,$X47,Deliverables!X46))</f>
        <v/>
      </c>
      <c r="K47" s="249" t="str">
        <f>IF($A47="","",IF(SUM(Deliverables!$W46:$Y46)=0,$Y47,Deliverables!Y46))</f>
        <v/>
      </c>
      <c r="L47" s="40" t="str">
        <f t="shared" si="7"/>
        <v/>
      </c>
      <c r="M47" s="41">
        <f t="shared" si="8"/>
        <v>0</v>
      </c>
      <c r="N47" s="34"/>
      <c r="O47" s="236"/>
      <c r="P47" s="58" t="str">
        <f>IF($A47="","",SUMIF(Phasing!$A$265:$A$504,$A47,Phasing!$Y$265:$Y$504))</f>
        <v/>
      </c>
      <c r="Q47" s="58" t="str">
        <f t="shared" si="9"/>
        <v/>
      </c>
      <c r="R47" s="59" t="str">
        <f t="shared" si="10"/>
        <v/>
      </c>
      <c r="S47" s="58" t="str">
        <f t="shared" si="11"/>
        <v/>
      </c>
      <c r="T47" s="59" t="str">
        <f t="shared" si="12"/>
        <v/>
      </c>
      <c r="U47" s="60" t="str">
        <f t="shared" si="13"/>
        <v/>
      </c>
      <c r="V47" s="238" t="str" cm="1">
        <f t="array" ref="V47">IF($A47="","",IF(SUMIF(Deliverables!$A$5:$A$204,$A47,Deliverables!$E$5:$E$204)=0,1,SUMPRODUCT((Deliverables!$A$5:$A$204=$A47)*Deliverables!$E$5:$E$204*Deliverables!$P$5:$P$204)/SUMIF(Deliverables!$A$5:$A$204,$A47,Deliverables!$E$5:$E$204)))</f>
        <v/>
      </c>
      <c r="W47" s="241"/>
      <c r="X47" s="241"/>
      <c r="Y47" s="241"/>
    </row>
    <row r="48" spans="1:25" x14ac:dyDescent="0.3">
      <c r="A48" s="34"/>
      <c r="B48" s="34"/>
      <c r="C48" s="35"/>
      <c r="D48" s="36"/>
      <c r="E48" s="36"/>
      <c r="F48" s="37"/>
      <c r="G48" s="235" t="str">
        <f>IF($A48="","",IF(SUMIF(Deliverables!$A$5:$A$204,$A48,Deliverables!$E$5:$E$204)=0,$O48,SUMIF(Deliverables!$A$5:$A$204,$A48,Deliverables!$I$5:$I$204)/SUMIF(Deliverables!$A$5:$A$204,$A48,Deliverables!$E$5:$E$204)))</f>
        <v/>
      </c>
      <c r="H48" s="39"/>
      <c r="I48" s="249" t="str">
        <f>IF($A48="","",IF(SUM(Deliverables!$W47:$Y47)=0,$W48,Deliverables!W47))</f>
        <v/>
      </c>
      <c r="J48" s="249" t="str">
        <f>IF($A48="","",IF(SUM(Deliverables!$W47:$Y47)=0,$X48,Deliverables!X47))</f>
        <v/>
      </c>
      <c r="K48" s="249" t="str">
        <f>IF($A48="","",IF(SUM(Deliverables!$W47:$Y47)=0,$Y48,Deliverables!Y47))</f>
        <v/>
      </c>
      <c r="L48" s="40" t="str">
        <f t="shared" si="7"/>
        <v/>
      </c>
      <c r="M48" s="41">
        <f t="shared" si="8"/>
        <v>0</v>
      </c>
      <c r="N48" s="34"/>
      <c r="O48" s="236"/>
      <c r="P48" s="58" t="str">
        <f>IF($A48="","",SUMIF(Phasing!$A$265:$A$504,$A48,Phasing!$Y$265:$Y$504))</f>
        <v/>
      </c>
      <c r="Q48" s="58" t="str">
        <f t="shared" si="9"/>
        <v/>
      </c>
      <c r="R48" s="59" t="str">
        <f t="shared" si="10"/>
        <v/>
      </c>
      <c r="S48" s="58" t="str">
        <f t="shared" si="11"/>
        <v/>
      </c>
      <c r="T48" s="59" t="str">
        <f t="shared" si="12"/>
        <v/>
      </c>
      <c r="U48" s="60" t="str">
        <f t="shared" si="13"/>
        <v/>
      </c>
      <c r="V48" s="238" t="str" cm="1">
        <f t="array" ref="V48">IF($A48="","",IF(SUMIF(Deliverables!$A$5:$A$204,$A48,Deliverables!$E$5:$E$204)=0,1,SUMPRODUCT((Deliverables!$A$5:$A$204=$A48)*Deliverables!$E$5:$E$204*Deliverables!$P$5:$P$204)/SUMIF(Deliverables!$A$5:$A$204,$A48,Deliverables!$E$5:$E$204)))</f>
        <v/>
      </c>
      <c r="W48" s="241"/>
      <c r="X48" s="241"/>
      <c r="Y48" s="241"/>
    </row>
    <row r="49" spans="1:25" x14ac:dyDescent="0.3">
      <c r="A49" s="34"/>
      <c r="B49" s="34"/>
      <c r="C49" s="35"/>
      <c r="D49" s="36"/>
      <c r="E49" s="36"/>
      <c r="F49" s="37"/>
      <c r="G49" s="235" t="str">
        <f>IF($A49="","",IF(SUMIF(Deliverables!$A$5:$A$204,$A49,Deliverables!$E$5:$E$204)=0,$O49,SUMIF(Deliverables!$A$5:$A$204,$A49,Deliverables!$I$5:$I$204)/SUMIF(Deliverables!$A$5:$A$204,$A49,Deliverables!$E$5:$E$204)))</f>
        <v/>
      </c>
      <c r="H49" s="39"/>
      <c r="I49" s="249" t="str">
        <f>IF($A49="","",IF(SUM(Deliverables!$W48:$Y48)=0,$W49,Deliverables!W48))</f>
        <v/>
      </c>
      <c r="J49" s="249" t="str">
        <f>IF($A49="","",IF(SUM(Deliverables!$W48:$Y48)=0,$X49,Deliverables!X48))</f>
        <v/>
      </c>
      <c r="K49" s="249" t="str">
        <f>IF($A49="","",IF(SUM(Deliverables!$W48:$Y48)=0,$Y49,Deliverables!Y48))</f>
        <v/>
      </c>
      <c r="L49" s="40" t="str">
        <f t="shared" si="7"/>
        <v/>
      </c>
      <c r="M49" s="41">
        <f t="shared" si="8"/>
        <v>0</v>
      </c>
      <c r="N49" s="34"/>
      <c r="O49" s="236"/>
      <c r="P49" s="58" t="str">
        <f>IF($A49="","",SUMIF(Phasing!$A$265:$A$504,$A49,Phasing!$Y$265:$Y$504))</f>
        <v/>
      </c>
      <c r="Q49" s="58" t="str">
        <f t="shared" si="9"/>
        <v/>
      </c>
      <c r="R49" s="59" t="str">
        <f t="shared" si="10"/>
        <v/>
      </c>
      <c r="S49" s="58" t="str">
        <f t="shared" si="11"/>
        <v/>
      </c>
      <c r="T49" s="59" t="str">
        <f t="shared" si="12"/>
        <v/>
      </c>
      <c r="U49" s="60" t="str">
        <f t="shared" si="13"/>
        <v/>
      </c>
      <c r="V49" s="238" t="str" cm="1">
        <f t="array" ref="V49">IF($A49="","",IF(SUMIF(Deliverables!$A$5:$A$204,$A49,Deliverables!$E$5:$E$204)=0,1,SUMPRODUCT((Deliverables!$A$5:$A$204=$A49)*Deliverables!$E$5:$E$204*Deliverables!$P$5:$P$204)/SUMIF(Deliverables!$A$5:$A$204,$A49,Deliverables!$E$5:$E$204)))</f>
        <v/>
      </c>
      <c r="W49" s="241"/>
      <c r="X49" s="241"/>
      <c r="Y49" s="241"/>
    </row>
    <row r="50" spans="1:25" x14ac:dyDescent="0.3">
      <c r="A50" s="34"/>
      <c r="B50" s="34"/>
      <c r="C50" s="35"/>
      <c r="D50" s="36"/>
      <c r="E50" s="36"/>
      <c r="F50" s="37"/>
      <c r="G50" s="235" t="str">
        <f>IF($A50="","",IF(SUMIF(Deliverables!$A$5:$A$204,$A50,Deliverables!$E$5:$E$204)=0,$O50,SUMIF(Deliverables!$A$5:$A$204,$A50,Deliverables!$I$5:$I$204)/SUMIF(Deliverables!$A$5:$A$204,$A50,Deliverables!$E$5:$E$204)))</f>
        <v/>
      </c>
      <c r="H50" s="39"/>
      <c r="I50" s="249" t="str">
        <f>IF($A50="","",IF(SUM(Deliverables!$W49:$Y49)=0,$W50,Deliverables!W49))</f>
        <v/>
      </c>
      <c r="J50" s="249" t="str">
        <f>IF($A50="","",IF(SUM(Deliverables!$W49:$Y49)=0,$X50,Deliverables!X49))</f>
        <v/>
      </c>
      <c r="K50" s="249" t="str">
        <f>IF($A50="","",IF(SUM(Deliverables!$W49:$Y49)=0,$Y50,Deliverables!Y49))</f>
        <v/>
      </c>
      <c r="L50" s="40" t="str">
        <f t="shared" si="7"/>
        <v/>
      </c>
      <c r="M50" s="41">
        <f t="shared" si="8"/>
        <v>0</v>
      </c>
      <c r="N50" s="34"/>
      <c r="O50" s="236"/>
      <c r="P50" s="58" t="str">
        <f>IF($A50="","",SUMIF(Phasing!$A$265:$A$504,$A50,Phasing!$Y$265:$Y$504))</f>
        <v/>
      </c>
      <c r="Q50" s="58" t="str">
        <f t="shared" si="9"/>
        <v/>
      </c>
      <c r="R50" s="59" t="str">
        <f t="shared" si="10"/>
        <v/>
      </c>
      <c r="S50" s="58" t="str">
        <f t="shared" si="11"/>
        <v/>
      </c>
      <c r="T50" s="59" t="str">
        <f t="shared" si="12"/>
        <v/>
      </c>
      <c r="U50" s="60" t="str">
        <f t="shared" si="13"/>
        <v/>
      </c>
      <c r="V50" s="238" t="str" cm="1">
        <f t="array" ref="V50">IF($A50="","",IF(SUMIF(Deliverables!$A$5:$A$204,$A50,Deliverables!$E$5:$E$204)=0,1,SUMPRODUCT((Deliverables!$A$5:$A$204=$A50)*Deliverables!$E$5:$E$204*Deliverables!$P$5:$P$204)/SUMIF(Deliverables!$A$5:$A$204,$A50,Deliverables!$E$5:$E$204)))</f>
        <v/>
      </c>
      <c r="W50" s="241"/>
      <c r="X50" s="241"/>
      <c r="Y50" s="241"/>
    </row>
    <row r="51" spans="1:25" x14ac:dyDescent="0.3">
      <c r="A51" s="34"/>
      <c r="B51" s="34"/>
      <c r="C51" s="35"/>
      <c r="D51" s="36"/>
      <c r="E51" s="36"/>
      <c r="F51" s="37"/>
      <c r="G51" s="235" t="str">
        <f>IF($A51="","",IF(SUMIF(Deliverables!$A$5:$A$204,$A51,Deliverables!$E$5:$E$204)=0,$O51,SUMIF(Deliverables!$A$5:$A$204,$A51,Deliverables!$I$5:$I$204)/SUMIF(Deliverables!$A$5:$A$204,$A51,Deliverables!$E$5:$E$204)))</f>
        <v/>
      </c>
      <c r="H51" s="39"/>
      <c r="I51" s="249" t="str">
        <f>IF($A51="","",IF(SUM(Deliverables!$W50:$Y50)=0,$W51,Deliverables!W50))</f>
        <v/>
      </c>
      <c r="J51" s="249" t="str">
        <f>IF($A51="","",IF(SUM(Deliverables!$W50:$Y50)=0,$X51,Deliverables!X50))</f>
        <v/>
      </c>
      <c r="K51" s="249" t="str">
        <f>IF($A51="","",IF(SUM(Deliverables!$W50:$Y50)=0,$Y51,Deliverables!Y50))</f>
        <v/>
      </c>
      <c r="L51" s="40" t="str">
        <f t="shared" si="7"/>
        <v/>
      </c>
      <c r="M51" s="41">
        <f t="shared" si="8"/>
        <v>0</v>
      </c>
      <c r="N51" s="34"/>
      <c r="O51" s="236"/>
      <c r="P51" s="58" t="str">
        <f>IF($A51="","",SUMIF(Phasing!$A$265:$A$504,$A51,Phasing!$Y$265:$Y$504))</f>
        <v/>
      </c>
      <c r="Q51" s="58" t="str">
        <f t="shared" si="9"/>
        <v/>
      </c>
      <c r="R51" s="59" t="str">
        <f t="shared" si="10"/>
        <v/>
      </c>
      <c r="S51" s="58" t="str">
        <f t="shared" si="11"/>
        <v/>
      </c>
      <c r="T51" s="59" t="str">
        <f t="shared" si="12"/>
        <v/>
      </c>
      <c r="U51" s="60" t="str">
        <f t="shared" si="13"/>
        <v/>
      </c>
      <c r="V51" s="238" t="str" cm="1">
        <f t="array" ref="V51">IF($A51="","",IF(SUMIF(Deliverables!$A$5:$A$204,$A51,Deliverables!$E$5:$E$204)=0,1,SUMPRODUCT((Deliverables!$A$5:$A$204=$A51)*Deliverables!$E$5:$E$204*Deliverables!$P$5:$P$204)/SUMIF(Deliverables!$A$5:$A$204,$A51,Deliverables!$E$5:$E$204)))</f>
        <v/>
      </c>
      <c r="W51" s="241"/>
      <c r="X51" s="241"/>
      <c r="Y51" s="241"/>
    </row>
    <row r="52" spans="1:25" x14ac:dyDescent="0.3">
      <c r="A52" s="34"/>
      <c r="B52" s="34"/>
      <c r="C52" s="35"/>
      <c r="D52" s="36"/>
      <c r="E52" s="36"/>
      <c r="F52" s="37"/>
      <c r="G52" s="235" t="str">
        <f>IF($A52="","",IF(SUMIF(Deliverables!$A$5:$A$204,$A52,Deliverables!$E$5:$E$204)=0,$O52,SUMIF(Deliverables!$A$5:$A$204,$A52,Deliverables!$I$5:$I$204)/SUMIF(Deliverables!$A$5:$A$204,$A52,Deliverables!$E$5:$E$204)))</f>
        <v/>
      </c>
      <c r="H52" s="39"/>
      <c r="I52" s="249" t="str">
        <f>IF($A52="","",IF(SUM(Deliverables!$W51:$Y51)=0,$W52,Deliverables!W51))</f>
        <v/>
      </c>
      <c r="J52" s="249" t="str">
        <f>IF($A52="","",IF(SUM(Deliverables!$W51:$Y51)=0,$X52,Deliverables!X51))</f>
        <v/>
      </c>
      <c r="K52" s="249" t="str">
        <f>IF($A52="","",IF(SUM(Deliverables!$W51:$Y51)=0,$Y52,Deliverables!Y51))</f>
        <v/>
      </c>
      <c r="L52" s="40" t="str">
        <f t="shared" si="7"/>
        <v/>
      </c>
      <c r="M52" s="41">
        <f t="shared" si="8"/>
        <v>0</v>
      </c>
      <c r="N52" s="34"/>
      <c r="O52" s="236"/>
      <c r="P52" s="58" t="str">
        <f>IF($A52="","",SUMIF(Phasing!$A$265:$A$504,$A52,Phasing!$Y$265:$Y$504))</f>
        <v/>
      </c>
      <c r="Q52" s="58" t="str">
        <f t="shared" si="9"/>
        <v/>
      </c>
      <c r="R52" s="59" t="str">
        <f t="shared" si="10"/>
        <v/>
      </c>
      <c r="S52" s="58" t="str">
        <f t="shared" si="11"/>
        <v/>
      </c>
      <c r="T52" s="59" t="str">
        <f t="shared" si="12"/>
        <v/>
      </c>
      <c r="U52" s="60" t="str">
        <f t="shared" si="13"/>
        <v/>
      </c>
      <c r="V52" s="238" t="str" cm="1">
        <f t="array" ref="V52">IF($A52="","",IF(SUMIF(Deliverables!$A$5:$A$204,$A52,Deliverables!$E$5:$E$204)=0,1,SUMPRODUCT((Deliverables!$A$5:$A$204=$A52)*Deliverables!$E$5:$E$204*Deliverables!$P$5:$P$204)/SUMIF(Deliverables!$A$5:$A$204,$A52,Deliverables!$E$5:$E$204)))</f>
        <v/>
      </c>
      <c r="W52" s="241"/>
      <c r="X52" s="241"/>
      <c r="Y52" s="241"/>
    </row>
    <row r="53" spans="1:25" x14ac:dyDescent="0.3">
      <c r="A53" s="34"/>
      <c r="B53" s="34"/>
      <c r="C53" s="35"/>
      <c r="D53" s="36"/>
      <c r="E53" s="36"/>
      <c r="F53" s="37"/>
      <c r="G53" s="235" t="str">
        <f>IF($A53="","",IF(SUMIF(Deliverables!$A$5:$A$204,$A53,Deliverables!$E$5:$E$204)=0,$O53,SUMIF(Deliverables!$A$5:$A$204,$A53,Deliverables!$I$5:$I$204)/SUMIF(Deliverables!$A$5:$A$204,$A53,Deliverables!$E$5:$E$204)))</f>
        <v/>
      </c>
      <c r="H53" s="39"/>
      <c r="I53" s="249" t="str">
        <f>IF($A53="","",IF(SUM(Deliverables!$W52:$Y52)=0,$W53,Deliverables!W52))</f>
        <v/>
      </c>
      <c r="J53" s="249" t="str">
        <f>IF($A53="","",IF(SUM(Deliverables!$W52:$Y52)=0,$X53,Deliverables!X52))</f>
        <v/>
      </c>
      <c r="K53" s="249" t="str">
        <f>IF($A53="","",IF(SUM(Deliverables!$W52:$Y52)=0,$Y53,Deliverables!Y52))</f>
        <v/>
      </c>
      <c r="L53" s="40" t="str">
        <f t="shared" si="7"/>
        <v/>
      </c>
      <c r="M53" s="41">
        <f t="shared" si="8"/>
        <v>0</v>
      </c>
      <c r="N53" s="34"/>
      <c r="O53" s="236"/>
      <c r="P53" s="58" t="str">
        <f>IF($A53="","",SUMIF(Phasing!$A$265:$A$504,$A53,Phasing!$Y$265:$Y$504))</f>
        <v/>
      </c>
      <c r="Q53" s="58" t="str">
        <f t="shared" si="9"/>
        <v/>
      </c>
      <c r="R53" s="59" t="str">
        <f t="shared" si="10"/>
        <v/>
      </c>
      <c r="S53" s="58" t="str">
        <f t="shared" si="11"/>
        <v/>
      </c>
      <c r="T53" s="59" t="str">
        <f t="shared" si="12"/>
        <v/>
      </c>
      <c r="U53" s="60" t="str">
        <f t="shared" si="13"/>
        <v/>
      </c>
      <c r="V53" s="238" t="str" cm="1">
        <f t="array" ref="V53">IF($A53="","",IF(SUMIF(Deliverables!$A$5:$A$204,$A53,Deliverables!$E$5:$E$204)=0,1,SUMPRODUCT((Deliverables!$A$5:$A$204=$A53)*Deliverables!$E$5:$E$204*Deliverables!$P$5:$P$204)/SUMIF(Deliverables!$A$5:$A$204,$A53,Deliverables!$E$5:$E$204)))</f>
        <v/>
      </c>
      <c r="W53" s="241"/>
      <c r="X53" s="241"/>
      <c r="Y53" s="241"/>
    </row>
    <row r="54" spans="1:25" x14ac:dyDescent="0.3">
      <c r="A54" s="34"/>
      <c r="B54" s="34"/>
      <c r="C54" s="35"/>
      <c r="D54" s="36"/>
      <c r="E54" s="36"/>
      <c r="F54" s="37"/>
      <c r="G54" s="235" t="str">
        <f>IF($A54="","",IF(SUMIF(Deliverables!$A$5:$A$204,$A54,Deliverables!$E$5:$E$204)=0,$O54,SUMIF(Deliverables!$A$5:$A$204,$A54,Deliverables!$I$5:$I$204)/SUMIF(Deliverables!$A$5:$A$204,$A54,Deliverables!$E$5:$E$204)))</f>
        <v/>
      </c>
      <c r="H54" s="39"/>
      <c r="I54" s="249" t="str">
        <f>IF($A54="","",IF(SUM(Deliverables!$W53:$Y53)=0,$W54,Deliverables!W53))</f>
        <v/>
      </c>
      <c r="J54" s="249" t="str">
        <f>IF($A54="","",IF(SUM(Deliverables!$W53:$Y53)=0,$X54,Deliverables!X53))</f>
        <v/>
      </c>
      <c r="K54" s="249" t="str">
        <f>IF($A54="","",IF(SUM(Deliverables!$W53:$Y53)=0,$Y54,Deliverables!Y53))</f>
        <v/>
      </c>
      <c r="L54" s="40" t="str">
        <f t="shared" si="7"/>
        <v/>
      </c>
      <c r="M54" s="41">
        <f t="shared" si="8"/>
        <v>0</v>
      </c>
      <c r="N54" s="34"/>
      <c r="O54" s="236"/>
      <c r="P54" s="58" t="str">
        <f>IF($A54="","",SUMIF(Phasing!$A$265:$A$504,$A54,Phasing!$Y$265:$Y$504))</f>
        <v/>
      </c>
      <c r="Q54" s="58" t="str">
        <f t="shared" si="9"/>
        <v/>
      </c>
      <c r="R54" s="59" t="str">
        <f t="shared" si="10"/>
        <v/>
      </c>
      <c r="S54" s="58" t="str">
        <f t="shared" si="11"/>
        <v/>
      </c>
      <c r="T54" s="59" t="str">
        <f t="shared" si="12"/>
        <v/>
      </c>
      <c r="U54" s="60" t="str">
        <f t="shared" si="13"/>
        <v/>
      </c>
      <c r="V54" s="238" t="str" cm="1">
        <f t="array" ref="V54">IF($A54="","",IF(SUMIF(Deliverables!$A$5:$A$204,$A54,Deliverables!$E$5:$E$204)=0,1,SUMPRODUCT((Deliverables!$A$5:$A$204=$A54)*Deliverables!$E$5:$E$204*Deliverables!$P$5:$P$204)/SUMIF(Deliverables!$A$5:$A$204,$A54,Deliverables!$E$5:$E$204)))</f>
        <v/>
      </c>
      <c r="W54" s="241"/>
      <c r="X54" s="241"/>
      <c r="Y54" s="241"/>
    </row>
    <row r="55" spans="1:25" x14ac:dyDescent="0.3">
      <c r="A55" s="34"/>
      <c r="B55" s="34"/>
      <c r="C55" s="35"/>
      <c r="D55" s="36"/>
      <c r="E55" s="36"/>
      <c r="F55" s="37"/>
      <c r="G55" s="235" t="str">
        <f>IF($A55="","",IF(SUMIF(Deliverables!$A$5:$A$204,$A55,Deliverables!$E$5:$E$204)=0,$O55,SUMIF(Deliverables!$A$5:$A$204,$A55,Deliverables!$I$5:$I$204)/SUMIF(Deliverables!$A$5:$A$204,$A55,Deliverables!$E$5:$E$204)))</f>
        <v/>
      </c>
      <c r="H55" s="39"/>
      <c r="I55" s="249" t="str">
        <f>IF($A55="","",IF(SUM(Deliverables!$W54:$Y54)=0,$W55,Deliverables!W54))</f>
        <v/>
      </c>
      <c r="J55" s="249" t="str">
        <f>IF($A55="","",IF(SUM(Deliverables!$W54:$Y54)=0,$X55,Deliverables!X54))</f>
        <v/>
      </c>
      <c r="K55" s="249" t="str">
        <f>IF($A55="","",IF(SUM(Deliverables!$W54:$Y54)=0,$Y55,Deliverables!Y54))</f>
        <v/>
      </c>
      <c r="L55" s="40" t="str">
        <f t="shared" si="7"/>
        <v/>
      </c>
      <c r="M55" s="41">
        <f t="shared" si="8"/>
        <v>0</v>
      </c>
      <c r="N55" s="34"/>
      <c r="O55" s="236"/>
      <c r="P55" s="58" t="str">
        <f>IF($A55="","",SUMIF(Phasing!$A$265:$A$504,$A55,Phasing!$Y$265:$Y$504))</f>
        <v/>
      </c>
      <c r="Q55" s="58" t="str">
        <f t="shared" si="9"/>
        <v/>
      </c>
      <c r="R55" s="59" t="str">
        <f t="shared" si="10"/>
        <v/>
      </c>
      <c r="S55" s="58" t="str">
        <f t="shared" si="11"/>
        <v/>
      </c>
      <c r="T55" s="59" t="str">
        <f t="shared" si="12"/>
        <v/>
      </c>
      <c r="U55" s="60" t="str">
        <f t="shared" si="13"/>
        <v/>
      </c>
      <c r="V55" s="238" t="str" cm="1">
        <f t="array" ref="V55">IF($A55="","",IF(SUMIF(Deliverables!$A$5:$A$204,$A55,Deliverables!$E$5:$E$204)=0,1,SUMPRODUCT((Deliverables!$A$5:$A$204=$A55)*Deliverables!$E$5:$E$204*Deliverables!$P$5:$P$204)/SUMIF(Deliverables!$A$5:$A$204,$A55,Deliverables!$E$5:$E$204)))</f>
        <v/>
      </c>
      <c r="W55" s="241"/>
      <c r="X55" s="241"/>
      <c r="Y55" s="241"/>
    </row>
    <row r="56" spans="1:25" x14ac:dyDescent="0.3">
      <c r="A56" s="34"/>
      <c r="B56" s="34"/>
      <c r="C56" s="35"/>
      <c r="D56" s="36"/>
      <c r="E56" s="36"/>
      <c r="F56" s="37"/>
      <c r="G56" s="235" t="str">
        <f>IF($A56="","",IF(SUMIF(Deliverables!$A$5:$A$204,$A56,Deliverables!$E$5:$E$204)=0,$O56,SUMIF(Deliverables!$A$5:$A$204,$A56,Deliverables!$I$5:$I$204)/SUMIF(Deliverables!$A$5:$A$204,$A56,Deliverables!$E$5:$E$204)))</f>
        <v/>
      </c>
      <c r="H56" s="39"/>
      <c r="I56" s="249" t="str">
        <f>IF($A56="","",IF(SUM(Deliverables!$W55:$Y55)=0,$W56,Deliverables!W55))</f>
        <v/>
      </c>
      <c r="J56" s="249" t="str">
        <f>IF($A56="","",IF(SUM(Deliverables!$W55:$Y55)=0,$X56,Deliverables!X55))</f>
        <v/>
      </c>
      <c r="K56" s="249" t="str">
        <f>IF($A56="","",IF(SUM(Deliverables!$W55:$Y55)=0,$Y56,Deliverables!Y55))</f>
        <v/>
      </c>
      <c r="L56" s="40" t="str">
        <f t="shared" si="7"/>
        <v/>
      </c>
      <c r="M56" s="41">
        <f t="shared" si="8"/>
        <v>0</v>
      </c>
      <c r="N56" s="34"/>
      <c r="O56" s="236"/>
      <c r="P56" s="58" t="str">
        <f>IF($A56="","",SUMIF(Phasing!$A$265:$A$504,$A56,Phasing!$Y$265:$Y$504))</f>
        <v/>
      </c>
      <c r="Q56" s="58" t="str">
        <f t="shared" si="9"/>
        <v/>
      </c>
      <c r="R56" s="59" t="str">
        <f t="shared" si="10"/>
        <v/>
      </c>
      <c r="S56" s="58" t="str">
        <f t="shared" si="11"/>
        <v/>
      </c>
      <c r="T56" s="59" t="str">
        <f t="shared" si="12"/>
        <v/>
      </c>
      <c r="U56" s="60" t="str">
        <f t="shared" si="13"/>
        <v/>
      </c>
      <c r="V56" s="238" t="str" cm="1">
        <f t="array" ref="V56">IF($A56="","",IF(SUMIF(Deliverables!$A$5:$A$204,$A56,Deliverables!$E$5:$E$204)=0,1,SUMPRODUCT((Deliverables!$A$5:$A$204=$A56)*Deliverables!$E$5:$E$204*Deliverables!$P$5:$P$204)/SUMIF(Deliverables!$A$5:$A$204,$A56,Deliverables!$E$5:$E$204)))</f>
        <v/>
      </c>
      <c r="W56" s="241"/>
      <c r="X56" s="241"/>
      <c r="Y56" s="241"/>
    </row>
    <row r="57" spans="1:25" x14ac:dyDescent="0.3">
      <c r="A57" s="34"/>
      <c r="B57" s="34"/>
      <c r="C57" s="35"/>
      <c r="D57" s="36"/>
      <c r="E57" s="36"/>
      <c r="F57" s="37"/>
      <c r="G57" s="235" t="str">
        <f>IF($A57="","",IF(SUMIF(Deliverables!$A$5:$A$204,$A57,Deliverables!$E$5:$E$204)=0,$O57,SUMIF(Deliverables!$A$5:$A$204,$A57,Deliverables!$I$5:$I$204)/SUMIF(Deliverables!$A$5:$A$204,$A57,Deliverables!$E$5:$E$204)))</f>
        <v/>
      </c>
      <c r="H57" s="39"/>
      <c r="I57" s="249" t="str">
        <f>IF($A57="","",IF(SUM(Deliverables!$W56:$Y56)=0,$W57,Deliverables!W56))</f>
        <v/>
      </c>
      <c r="J57" s="249" t="str">
        <f>IF($A57="","",IF(SUM(Deliverables!$W56:$Y56)=0,$X57,Deliverables!X56))</f>
        <v/>
      </c>
      <c r="K57" s="249" t="str">
        <f>IF($A57="","",IF(SUM(Deliverables!$W56:$Y56)=0,$Y57,Deliverables!Y56))</f>
        <v/>
      </c>
      <c r="L57" s="40" t="str">
        <f t="shared" si="7"/>
        <v/>
      </c>
      <c r="M57" s="41">
        <f t="shared" si="8"/>
        <v>0</v>
      </c>
      <c r="N57" s="34"/>
      <c r="O57" s="236"/>
      <c r="P57" s="58" t="str">
        <f>IF($A57="","",SUMIF(Phasing!$A$265:$A$504,$A57,Phasing!$Y$265:$Y$504))</f>
        <v/>
      </c>
      <c r="Q57" s="58" t="str">
        <f t="shared" si="9"/>
        <v/>
      </c>
      <c r="R57" s="59" t="str">
        <f t="shared" si="10"/>
        <v/>
      </c>
      <c r="S57" s="58" t="str">
        <f t="shared" si="11"/>
        <v/>
      </c>
      <c r="T57" s="59" t="str">
        <f t="shared" si="12"/>
        <v/>
      </c>
      <c r="U57" s="60" t="str">
        <f t="shared" si="13"/>
        <v/>
      </c>
      <c r="V57" s="238" t="str" cm="1">
        <f t="array" ref="V57">IF($A57="","",IF(SUMIF(Deliverables!$A$5:$A$204,$A57,Deliverables!$E$5:$E$204)=0,1,SUMPRODUCT((Deliverables!$A$5:$A$204=$A57)*Deliverables!$E$5:$E$204*Deliverables!$P$5:$P$204)/SUMIF(Deliverables!$A$5:$A$204,$A57,Deliverables!$E$5:$E$204)))</f>
        <v/>
      </c>
      <c r="W57" s="241"/>
      <c r="X57" s="241"/>
      <c r="Y57" s="241"/>
    </row>
    <row r="58" spans="1:25" x14ac:dyDescent="0.3">
      <c r="A58" s="34"/>
      <c r="B58" s="34"/>
      <c r="C58" s="35"/>
      <c r="D58" s="36"/>
      <c r="E58" s="36"/>
      <c r="F58" s="37"/>
      <c r="G58" s="235" t="str">
        <f>IF($A58="","",IF(SUMIF(Deliverables!$A$5:$A$204,$A58,Deliverables!$E$5:$E$204)=0,$O58,SUMIF(Deliverables!$A$5:$A$204,$A58,Deliverables!$I$5:$I$204)/SUMIF(Deliverables!$A$5:$A$204,$A58,Deliverables!$E$5:$E$204)))</f>
        <v/>
      </c>
      <c r="H58" s="39"/>
      <c r="I58" s="249" t="str">
        <f>IF($A58="","",IF(SUM(Deliverables!$W57:$Y57)=0,$W58,Deliverables!W57))</f>
        <v/>
      </c>
      <c r="J58" s="249" t="str">
        <f>IF($A58="","",IF(SUM(Deliverables!$W57:$Y57)=0,$X58,Deliverables!X57))</f>
        <v/>
      </c>
      <c r="K58" s="249" t="str">
        <f>IF($A58="","",IF(SUM(Deliverables!$W57:$Y57)=0,$Y58,Deliverables!Y57))</f>
        <v/>
      </c>
      <c r="L58" s="40" t="str">
        <f t="shared" si="7"/>
        <v/>
      </c>
      <c r="M58" s="41">
        <f t="shared" si="8"/>
        <v>0</v>
      </c>
      <c r="N58" s="34"/>
      <c r="O58" s="236"/>
      <c r="P58" s="58" t="str">
        <f>IF($A58="","",SUMIF(Phasing!$A$265:$A$504,$A58,Phasing!$Y$265:$Y$504))</f>
        <v/>
      </c>
      <c r="Q58" s="58" t="str">
        <f t="shared" si="9"/>
        <v/>
      </c>
      <c r="R58" s="59" t="str">
        <f t="shared" si="10"/>
        <v/>
      </c>
      <c r="S58" s="58" t="str">
        <f t="shared" si="11"/>
        <v/>
      </c>
      <c r="T58" s="59" t="str">
        <f t="shared" si="12"/>
        <v/>
      </c>
      <c r="U58" s="60" t="str">
        <f t="shared" si="13"/>
        <v/>
      </c>
      <c r="V58" s="238" t="str" cm="1">
        <f t="array" ref="V58">IF($A58="","",IF(SUMIF(Deliverables!$A$5:$A$204,$A58,Deliverables!$E$5:$E$204)=0,1,SUMPRODUCT((Deliverables!$A$5:$A$204=$A58)*Deliverables!$E$5:$E$204*Deliverables!$P$5:$P$204)/SUMIF(Deliverables!$A$5:$A$204,$A58,Deliverables!$E$5:$E$204)))</f>
        <v/>
      </c>
      <c r="W58" s="241"/>
      <c r="X58" s="241"/>
      <c r="Y58" s="241"/>
    </row>
    <row r="59" spans="1:25" x14ac:dyDescent="0.3">
      <c r="A59" s="34"/>
      <c r="B59" s="34"/>
      <c r="C59" s="35"/>
      <c r="D59" s="36"/>
      <c r="E59" s="36"/>
      <c r="F59" s="37"/>
      <c r="G59" s="235" t="str">
        <f>IF($A59="","",IF(SUMIF(Deliverables!$A$5:$A$204,$A59,Deliverables!$E$5:$E$204)=0,$O59,SUMIF(Deliverables!$A$5:$A$204,$A59,Deliverables!$I$5:$I$204)/SUMIF(Deliverables!$A$5:$A$204,$A59,Deliverables!$E$5:$E$204)))</f>
        <v/>
      </c>
      <c r="H59" s="39"/>
      <c r="I59" s="249" t="str">
        <f>IF($A59="","",IF(SUM(Deliverables!$W58:$Y58)=0,$W59,Deliverables!W58))</f>
        <v/>
      </c>
      <c r="J59" s="249" t="str">
        <f>IF($A59="","",IF(SUM(Deliverables!$W58:$Y58)=0,$X59,Deliverables!X58))</f>
        <v/>
      </c>
      <c r="K59" s="249" t="str">
        <f>IF($A59="","",IF(SUM(Deliverables!$W58:$Y58)=0,$Y59,Deliverables!Y58))</f>
        <v/>
      </c>
      <c r="L59" s="40" t="str">
        <f t="shared" si="7"/>
        <v/>
      </c>
      <c r="M59" s="41">
        <f t="shared" si="8"/>
        <v>0</v>
      </c>
      <c r="N59" s="34"/>
      <c r="O59" s="236"/>
      <c r="P59" s="58" t="str">
        <f>IF($A59="","",SUMIF(Phasing!$A$265:$A$504,$A59,Phasing!$Y$265:$Y$504))</f>
        <v/>
      </c>
      <c r="Q59" s="58" t="str">
        <f t="shared" si="9"/>
        <v/>
      </c>
      <c r="R59" s="59" t="str">
        <f t="shared" si="10"/>
        <v/>
      </c>
      <c r="S59" s="58" t="str">
        <f t="shared" si="11"/>
        <v/>
      </c>
      <c r="T59" s="59" t="str">
        <f t="shared" si="12"/>
        <v/>
      </c>
      <c r="U59" s="60" t="str">
        <f t="shared" si="13"/>
        <v/>
      </c>
      <c r="V59" s="238" t="str" cm="1">
        <f t="array" ref="V59">IF($A59="","",IF(SUMIF(Deliverables!$A$5:$A$204,$A59,Deliverables!$E$5:$E$204)=0,1,SUMPRODUCT((Deliverables!$A$5:$A$204=$A59)*Deliverables!$E$5:$E$204*Deliverables!$P$5:$P$204)/SUMIF(Deliverables!$A$5:$A$204,$A59,Deliverables!$E$5:$E$204)))</f>
        <v/>
      </c>
      <c r="W59" s="241"/>
      <c r="X59" s="241"/>
      <c r="Y59" s="241"/>
    </row>
    <row r="60" spans="1:25" x14ac:dyDescent="0.3">
      <c r="A60" s="34"/>
      <c r="B60" s="34"/>
      <c r="C60" s="35"/>
      <c r="D60" s="36"/>
      <c r="E60" s="36"/>
      <c r="F60" s="37"/>
      <c r="G60" s="235" t="str">
        <f>IF($A60="","",IF(SUMIF(Deliverables!$A$5:$A$204,$A60,Deliverables!$E$5:$E$204)=0,$O60,SUMIF(Deliverables!$A$5:$A$204,$A60,Deliverables!$I$5:$I$204)/SUMIF(Deliverables!$A$5:$A$204,$A60,Deliverables!$E$5:$E$204)))</f>
        <v/>
      </c>
      <c r="H60" s="39"/>
      <c r="I60" s="249" t="str">
        <f>IF($A60="","",IF(SUM(Deliverables!$W59:$Y59)=0,$W60,Deliverables!W59))</f>
        <v/>
      </c>
      <c r="J60" s="249" t="str">
        <f>IF($A60="","",IF(SUM(Deliverables!$W59:$Y59)=0,$X60,Deliverables!X59))</f>
        <v/>
      </c>
      <c r="K60" s="249" t="str">
        <f>IF($A60="","",IF(SUM(Deliverables!$W59:$Y59)=0,$Y60,Deliverables!Y59))</f>
        <v/>
      </c>
      <c r="L60" s="40" t="str">
        <f t="shared" si="7"/>
        <v/>
      </c>
      <c r="M60" s="41">
        <f t="shared" si="8"/>
        <v>0</v>
      </c>
      <c r="N60" s="34"/>
      <c r="O60" s="236"/>
      <c r="P60" s="58" t="str">
        <f>IF($A60="","",SUMIF(Phasing!$A$265:$A$504,$A60,Phasing!$Y$265:$Y$504))</f>
        <v/>
      </c>
      <c r="Q60" s="58" t="str">
        <f t="shared" si="9"/>
        <v/>
      </c>
      <c r="R60" s="59" t="str">
        <f t="shared" si="10"/>
        <v/>
      </c>
      <c r="S60" s="58" t="str">
        <f t="shared" si="11"/>
        <v/>
      </c>
      <c r="T60" s="59" t="str">
        <f t="shared" si="12"/>
        <v/>
      </c>
      <c r="U60" s="60" t="str">
        <f t="shared" si="13"/>
        <v/>
      </c>
      <c r="V60" s="238" t="str" cm="1">
        <f t="array" ref="V60">IF($A60="","",IF(SUMIF(Deliverables!$A$5:$A$204,$A60,Deliverables!$E$5:$E$204)=0,1,SUMPRODUCT((Deliverables!$A$5:$A$204=$A60)*Deliverables!$E$5:$E$204*Deliverables!$P$5:$P$204)/SUMIF(Deliverables!$A$5:$A$204,$A60,Deliverables!$E$5:$E$204)))</f>
        <v/>
      </c>
      <c r="W60" s="241"/>
      <c r="X60" s="241"/>
      <c r="Y60" s="241"/>
    </row>
    <row r="61" spans="1:25" x14ac:dyDescent="0.3">
      <c r="A61" s="34"/>
      <c r="B61" s="34"/>
      <c r="C61" s="35"/>
      <c r="D61" s="36"/>
      <c r="E61" s="36"/>
      <c r="F61" s="37"/>
      <c r="G61" s="235" t="str">
        <f>IF($A61="","",IF(SUMIF(Deliverables!$A$5:$A$204,$A61,Deliverables!$E$5:$E$204)=0,$O61,SUMIF(Deliverables!$A$5:$A$204,$A61,Deliverables!$I$5:$I$204)/SUMIF(Deliverables!$A$5:$A$204,$A61,Deliverables!$E$5:$E$204)))</f>
        <v/>
      </c>
      <c r="H61" s="39"/>
      <c r="I61" s="249" t="str">
        <f>IF($A61="","",IF(SUM(Deliverables!$W60:$Y60)=0,$W61,Deliverables!W60))</f>
        <v/>
      </c>
      <c r="J61" s="249" t="str">
        <f>IF($A61="","",IF(SUM(Deliverables!$W60:$Y60)=0,$X61,Deliverables!X60))</f>
        <v/>
      </c>
      <c r="K61" s="249" t="str">
        <f>IF($A61="","",IF(SUM(Deliverables!$W60:$Y60)=0,$Y61,Deliverables!Y60))</f>
        <v/>
      </c>
      <c r="L61" s="40" t="str">
        <f t="shared" si="7"/>
        <v/>
      </c>
      <c r="M61" s="41">
        <f t="shared" si="8"/>
        <v>0</v>
      </c>
      <c r="N61" s="34"/>
      <c r="O61" s="236"/>
      <c r="P61" s="58" t="str">
        <f>IF($A61="","",SUMIF(Phasing!$A$265:$A$504,$A61,Phasing!$Y$265:$Y$504))</f>
        <v/>
      </c>
      <c r="Q61" s="58" t="str">
        <f t="shared" si="9"/>
        <v/>
      </c>
      <c r="R61" s="59" t="str">
        <f t="shared" si="10"/>
        <v/>
      </c>
      <c r="S61" s="58" t="str">
        <f t="shared" si="11"/>
        <v/>
      </c>
      <c r="T61" s="59" t="str">
        <f t="shared" si="12"/>
        <v/>
      </c>
      <c r="U61" s="60" t="str">
        <f t="shared" si="13"/>
        <v/>
      </c>
      <c r="V61" s="238" t="str" cm="1">
        <f t="array" ref="V61">IF($A61="","",IF(SUMIF(Deliverables!$A$5:$A$204,$A61,Deliverables!$E$5:$E$204)=0,1,SUMPRODUCT((Deliverables!$A$5:$A$204=$A61)*Deliverables!$E$5:$E$204*Deliverables!$P$5:$P$204)/SUMIF(Deliverables!$A$5:$A$204,$A61,Deliverables!$E$5:$E$204)))</f>
        <v/>
      </c>
      <c r="W61" s="241"/>
      <c r="X61" s="241"/>
      <c r="Y61" s="241"/>
    </row>
    <row r="62" spans="1:25" x14ac:dyDescent="0.3">
      <c r="A62" s="34"/>
      <c r="B62" s="34"/>
      <c r="C62" s="35"/>
      <c r="D62" s="36"/>
      <c r="E62" s="36"/>
      <c r="F62" s="37"/>
      <c r="G62" s="235" t="str">
        <f>IF($A62="","",IF(SUMIF(Deliverables!$A$5:$A$204,$A62,Deliverables!$E$5:$E$204)=0,$O62,SUMIF(Deliverables!$A$5:$A$204,$A62,Deliverables!$I$5:$I$204)/SUMIF(Deliverables!$A$5:$A$204,$A62,Deliverables!$E$5:$E$204)))</f>
        <v/>
      </c>
      <c r="H62" s="39"/>
      <c r="I62" s="249" t="str">
        <f>IF($A62="","",IF(SUM(Deliverables!$W61:$Y61)=0,$W62,Deliverables!W61))</f>
        <v/>
      </c>
      <c r="J62" s="249" t="str">
        <f>IF($A62="","",IF(SUM(Deliverables!$W61:$Y61)=0,$X62,Deliverables!X61))</f>
        <v/>
      </c>
      <c r="K62" s="249" t="str">
        <f>IF($A62="","",IF(SUM(Deliverables!$W61:$Y61)=0,$Y62,Deliverables!Y61))</f>
        <v/>
      </c>
      <c r="L62" s="40" t="str">
        <f t="shared" si="7"/>
        <v/>
      </c>
      <c r="M62" s="41">
        <f t="shared" si="8"/>
        <v>0</v>
      </c>
      <c r="N62" s="34"/>
      <c r="O62" s="236"/>
      <c r="P62" s="58" t="str">
        <f>IF($A62="","",SUMIF(Phasing!$A$265:$A$504,$A62,Phasing!$Y$265:$Y$504))</f>
        <v/>
      </c>
      <c r="Q62" s="58" t="str">
        <f t="shared" si="9"/>
        <v/>
      </c>
      <c r="R62" s="59" t="str">
        <f t="shared" si="10"/>
        <v/>
      </c>
      <c r="S62" s="58" t="str">
        <f t="shared" si="11"/>
        <v/>
      </c>
      <c r="T62" s="59" t="str">
        <f t="shared" si="12"/>
        <v/>
      </c>
      <c r="U62" s="60" t="str">
        <f t="shared" si="13"/>
        <v/>
      </c>
      <c r="V62" s="238" t="str" cm="1">
        <f t="array" ref="V62">IF($A62="","",IF(SUMIF(Deliverables!$A$5:$A$204,$A62,Deliverables!$E$5:$E$204)=0,1,SUMPRODUCT((Deliverables!$A$5:$A$204=$A62)*Deliverables!$E$5:$E$204*Deliverables!$P$5:$P$204)/SUMIF(Deliverables!$A$5:$A$204,$A62,Deliverables!$E$5:$E$204)))</f>
        <v/>
      </c>
      <c r="W62" s="241"/>
      <c r="X62" s="241"/>
      <c r="Y62" s="241"/>
    </row>
    <row r="63" spans="1:25" x14ac:dyDescent="0.3">
      <c r="A63" s="34"/>
      <c r="B63" s="34"/>
      <c r="C63" s="35"/>
      <c r="D63" s="36"/>
      <c r="E63" s="36"/>
      <c r="F63" s="37"/>
      <c r="G63" s="235" t="str">
        <f>IF($A63="","",IF(SUMIF(Deliverables!$A$5:$A$204,$A63,Deliverables!$E$5:$E$204)=0,$O63,SUMIF(Deliverables!$A$5:$A$204,$A63,Deliverables!$I$5:$I$204)/SUMIF(Deliverables!$A$5:$A$204,$A63,Deliverables!$E$5:$E$204)))</f>
        <v/>
      </c>
      <c r="H63" s="39"/>
      <c r="I63" s="249" t="str">
        <f>IF($A63="","",IF(SUM(Deliverables!$W62:$Y62)=0,$W63,Deliverables!W62))</f>
        <v/>
      </c>
      <c r="J63" s="249" t="str">
        <f>IF($A63="","",IF(SUM(Deliverables!$W62:$Y62)=0,$X63,Deliverables!X62))</f>
        <v/>
      </c>
      <c r="K63" s="249" t="str">
        <f>IF($A63="","",IF(SUM(Deliverables!$W62:$Y62)=0,$Y63,Deliverables!Y62))</f>
        <v/>
      </c>
      <c r="L63" s="40" t="str">
        <f t="shared" si="7"/>
        <v/>
      </c>
      <c r="M63" s="41">
        <f t="shared" si="8"/>
        <v>0</v>
      </c>
      <c r="N63" s="34"/>
      <c r="O63" s="236"/>
      <c r="P63" s="58" t="str">
        <f>IF($A63="","",SUMIF(Phasing!$A$265:$A$504,$A63,Phasing!$Y$265:$Y$504))</f>
        <v/>
      </c>
      <c r="Q63" s="58" t="str">
        <f t="shared" si="9"/>
        <v/>
      </c>
      <c r="R63" s="59" t="str">
        <f t="shared" si="10"/>
        <v/>
      </c>
      <c r="S63" s="58" t="str">
        <f t="shared" si="11"/>
        <v/>
      </c>
      <c r="T63" s="59" t="str">
        <f t="shared" si="12"/>
        <v/>
      </c>
      <c r="U63" s="60" t="str">
        <f t="shared" si="13"/>
        <v/>
      </c>
      <c r="V63" s="238" t="str" cm="1">
        <f t="array" ref="V63">IF($A63="","",IF(SUMIF(Deliverables!$A$5:$A$204,$A63,Deliverables!$E$5:$E$204)=0,1,SUMPRODUCT((Deliverables!$A$5:$A$204=$A63)*Deliverables!$E$5:$E$204*Deliverables!$P$5:$P$204)/SUMIF(Deliverables!$A$5:$A$204,$A63,Deliverables!$E$5:$E$204)))</f>
        <v/>
      </c>
      <c r="W63" s="241"/>
      <c r="X63" s="241"/>
      <c r="Y63" s="241"/>
    </row>
    <row r="64" spans="1:25" x14ac:dyDescent="0.3">
      <c r="A64" s="34"/>
      <c r="B64" s="34"/>
      <c r="C64" s="35"/>
      <c r="D64" s="36"/>
      <c r="E64" s="36"/>
      <c r="F64" s="37"/>
      <c r="G64" s="235" t="str">
        <f>IF($A64="","",IF(SUMIF(Deliverables!$A$5:$A$204,$A64,Deliverables!$E$5:$E$204)=0,$O64,SUMIF(Deliverables!$A$5:$A$204,$A64,Deliverables!$I$5:$I$204)/SUMIF(Deliverables!$A$5:$A$204,$A64,Deliverables!$E$5:$E$204)))</f>
        <v/>
      </c>
      <c r="H64" s="39"/>
      <c r="I64" s="249" t="str">
        <f>IF($A64="","",IF(SUM(Deliverables!$W63:$Y63)=0,$W64,Deliverables!W63))</f>
        <v/>
      </c>
      <c r="J64" s="249" t="str">
        <f>IF($A64="","",IF(SUM(Deliverables!$W63:$Y63)=0,$X64,Deliverables!X63))</f>
        <v/>
      </c>
      <c r="K64" s="249" t="str">
        <f>IF($A64="","",IF(SUM(Deliverables!$W63:$Y63)=0,$Y64,Deliverables!Y63))</f>
        <v/>
      </c>
      <c r="L64" s="40" t="str">
        <f t="shared" si="7"/>
        <v/>
      </c>
      <c r="M64" s="41">
        <f t="shared" si="8"/>
        <v>0</v>
      </c>
      <c r="N64" s="34"/>
      <c r="O64" s="236"/>
      <c r="P64" s="58" t="str">
        <f>IF($A64="","",SUMIF(Phasing!$A$265:$A$504,$A64,Phasing!$Y$265:$Y$504))</f>
        <v/>
      </c>
      <c r="Q64" s="58" t="str">
        <f t="shared" si="9"/>
        <v/>
      </c>
      <c r="R64" s="59" t="str">
        <f t="shared" si="10"/>
        <v/>
      </c>
      <c r="S64" s="58" t="str">
        <f t="shared" si="11"/>
        <v/>
      </c>
      <c r="T64" s="59" t="str">
        <f t="shared" si="12"/>
        <v/>
      </c>
      <c r="U64" s="60" t="str">
        <f t="shared" si="13"/>
        <v/>
      </c>
      <c r="V64" s="238" t="str" cm="1">
        <f t="array" ref="V64">IF($A64="","",IF(SUMIF(Deliverables!$A$5:$A$204,$A64,Deliverables!$E$5:$E$204)=0,1,SUMPRODUCT((Deliverables!$A$5:$A$204=$A64)*Deliverables!$E$5:$E$204*Deliverables!$P$5:$P$204)/SUMIF(Deliverables!$A$5:$A$204,$A64,Deliverables!$E$5:$E$204)))</f>
        <v/>
      </c>
      <c r="W64" s="241"/>
      <c r="X64" s="241"/>
      <c r="Y64" s="241"/>
    </row>
    <row r="65" spans="1:25" x14ac:dyDescent="0.3">
      <c r="A65" s="34"/>
      <c r="B65" s="34"/>
      <c r="C65" s="35"/>
      <c r="D65" s="36"/>
      <c r="E65" s="36"/>
      <c r="F65" s="37"/>
      <c r="G65" s="235" t="str">
        <f>IF($A65="","",IF(SUMIF(Deliverables!$A$5:$A$204,$A65,Deliverables!$E$5:$E$204)=0,$O65,SUMIF(Deliverables!$A$5:$A$204,$A65,Deliverables!$I$5:$I$204)/SUMIF(Deliverables!$A$5:$A$204,$A65,Deliverables!$E$5:$E$204)))</f>
        <v/>
      </c>
      <c r="H65" s="39"/>
      <c r="I65" s="249" t="str">
        <f>IF($A65="","",IF(SUM(Deliverables!$W64:$Y64)=0,$W65,Deliverables!W64))</f>
        <v/>
      </c>
      <c r="J65" s="249" t="str">
        <f>IF($A65="","",IF(SUM(Deliverables!$W64:$Y64)=0,$X65,Deliverables!X64))</f>
        <v/>
      </c>
      <c r="K65" s="249" t="str">
        <f>IF($A65="","",IF(SUM(Deliverables!$W64:$Y64)=0,$Y65,Deliverables!Y64))</f>
        <v/>
      </c>
      <c r="L65" s="40" t="str">
        <f t="shared" si="7"/>
        <v/>
      </c>
      <c r="M65" s="41">
        <f t="shared" si="8"/>
        <v>0</v>
      </c>
      <c r="N65" s="34"/>
      <c r="O65" s="236"/>
      <c r="P65" s="58" t="str">
        <f>IF($A65="","",SUMIF(Phasing!$A$265:$A$504,$A65,Phasing!$Y$265:$Y$504))</f>
        <v/>
      </c>
      <c r="Q65" s="58" t="str">
        <f t="shared" si="9"/>
        <v/>
      </c>
      <c r="R65" s="59" t="str">
        <f t="shared" si="10"/>
        <v/>
      </c>
      <c r="S65" s="58" t="str">
        <f t="shared" si="11"/>
        <v/>
      </c>
      <c r="T65" s="59" t="str">
        <f t="shared" si="12"/>
        <v/>
      </c>
      <c r="U65" s="60" t="str">
        <f t="shared" si="13"/>
        <v/>
      </c>
      <c r="V65" s="238" t="str" cm="1">
        <f t="array" ref="V65">IF($A65="","",IF(SUMIF(Deliverables!$A$5:$A$204,$A65,Deliverables!$E$5:$E$204)=0,1,SUMPRODUCT((Deliverables!$A$5:$A$204=$A65)*Deliverables!$E$5:$E$204*Deliverables!$P$5:$P$204)/SUMIF(Deliverables!$A$5:$A$204,$A65,Deliverables!$E$5:$E$204)))</f>
        <v/>
      </c>
      <c r="W65" s="241"/>
      <c r="X65" s="241"/>
      <c r="Y65" s="241"/>
    </row>
    <row r="66" spans="1:25" x14ac:dyDescent="0.3">
      <c r="A66" s="34"/>
      <c r="B66" s="34"/>
      <c r="C66" s="35"/>
      <c r="D66" s="36"/>
      <c r="E66" s="36"/>
      <c r="F66" s="37"/>
      <c r="G66" s="235" t="str">
        <f>IF($A66="","",IF(SUMIF(Deliverables!$A$5:$A$204,$A66,Deliverables!$E$5:$E$204)=0,$O66,SUMIF(Deliverables!$A$5:$A$204,$A66,Deliverables!$I$5:$I$204)/SUMIF(Deliverables!$A$5:$A$204,$A66,Deliverables!$E$5:$E$204)))</f>
        <v/>
      </c>
      <c r="H66" s="39"/>
      <c r="I66" s="249" t="str">
        <f>IF($A66="","",IF(SUM(Deliverables!$W65:$Y65)=0,$W66,Deliverables!W65))</f>
        <v/>
      </c>
      <c r="J66" s="249" t="str">
        <f>IF($A66="","",IF(SUM(Deliverables!$W65:$Y65)=0,$X66,Deliverables!X65))</f>
        <v/>
      </c>
      <c r="K66" s="249" t="str">
        <f>IF($A66="","",IF(SUM(Deliverables!$W65:$Y65)=0,$Y66,Deliverables!Y65))</f>
        <v/>
      </c>
      <c r="L66" s="40" t="str">
        <f t="shared" si="7"/>
        <v/>
      </c>
      <c r="M66" s="41">
        <f t="shared" si="8"/>
        <v>0</v>
      </c>
      <c r="N66" s="34"/>
      <c r="O66" s="236"/>
      <c r="P66" s="58" t="str">
        <f>IF($A66="","",SUMIF(Phasing!$A$265:$A$504,$A66,Phasing!$Y$265:$Y$504))</f>
        <v/>
      </c>
      <c r="Q66" s="58" t="str">
        <f t="shared" si="9"/>
        <v/>
      </c>
      <c r="R66" s="59" t="str">
        <f t="shared" si="10"/>
        <v/>
      </c>
      <c r="S66" s="58" t="str">
        <f t="shared" si="11"/>
        <v/>
      </c>
      <c r="T66" s="59" t="str">
        <f t="shared" si="12"/>
        <v/>
      </c>
      <c r="U66" s="60" t="str">
        <f t="shared" si="13"/>
        <v/>
      </c>
      <c r="V66" s="238" t="str" cm="1">
        <f t="array" ref="V66">IF($A66="","",IF(SUMIF(Deliverables!$A$5:$A$204,$A66,Deliverables!$E$5:$E$204)=0,1,SUMPRODUCT((Deliverables!$A$5:$A$204=$A66)*Deliverables!$E$5:$E$204*Deliverables!$P$5:$P$204)/SUMIF(Deliverables!$A$5:$A$204,$A66,Deliverables!$E$5:$E$204)))</f>
        <v/>
      </c>
      <c r="W66" s="241"/>
      <c r="X66" s="241"/>
      <c r="Y66" s="241"/>
    </row>
    <row r="67" spans="1:25" x14ac:dyDescent="0.3">
      <c r="A67" s="34"/>
      <c r="B67" s="34"/>
      <c r="C67" s="35"/>
      <c r="D67" s="36"/>
      <c r="E67" s="36"/>
      <c r="F67" s="37"/>
      <c r="G67" s="235" t="str">
        <f>IF($A67="","",IF(SUMIF(Deliverables!$A$5:$A$204,$A67,Deliverables!$E$5:$E$204)=0,$O67,SUMIF(Deliverables!$A$5:$A$204,$A67,Deliverables!$I$5:$I$204)/SUMIF(Deliverables!$A$5:$A$204,$A67,Deliverables!$E$5:$E$204)))</f>
        <v/>
      </c>
      <c r="H67" s="39"/>
      <c r="I67" s="249" t="str">
        <f>IF($A67="","",IF(SUM(Deliverables!$W66:$Y66)=0,$W67,Deliverables!W66))</f>
        <v/>
      </c>
      <c r="J67" s="249" t="str">
        <f>IF($A67="","",IF(SUM(Deliverables!$W66:$Y66)=0,$X67,Deliverables!X66))</f>
        <v/>
      </c>
      <c r="K67" s="249" t="str">
        <f>IF($A67="","",IF(SUM(Deliverables!$W66:$Y66)=0,$Y67,Deliverables!Y66))</f>
        <v/>
      </c>
      <c r="L67" s="40" t="str">
        <f t="shared" si="7"/>
        <v/>
      </c>
      <c r="M67" s="41">
        <f t="shared" si="8"/>
        <v>0</v>
      </c>
      <c r="N67" s="34"/>
      <c r="O67" s="236"/>
      <c r="P67" s="58" t="str">
        <f>IF($A67="","",SUMIF(Phasing!$A$265:$A$504,$A67,Phasing!$Y$265:$Y$504))</f>
        <v/>
      </c>
      <c r="Q67" s="58" t="str">
        <f t="shared" si="9"/>
        <v/>
      </c>
      <c r="R67" s="59" t="str">
        <f t="shared" si="10"/>
        <v/>
      </c>
      <c r="S67" s="58" t="str">
        <f t="shared" si="11"/>
        <v/>
      </c>
      <c r="T67" s="59" t="str">
        <f t="shared" si="12"/>
        <v/>
      </c>
      <c r="U67" s="60" t="str">
        <f t="shared" si="13"/>
        <v/>
      </c>
      <c r="V67" s="238" t="str" cm="1">
        <f t="array" ref="V67">IF($A67="","",IF(SUMIF(Deliverables!$A$5:$A$204,$A67,Deliverables!$E$5:$E$204)=0,1,SUMPRODUCT((Deliverables!$A$5:$A$204=$A67)*Deliverables!$E$5:$E$204*Deliverables!$P$5:$P$204)/SUMIF(Deliverables!$A$5:$A$204,$A67,Deliverables!$E$5:$E$204)))</f>
        <v/>
      </c>
      <c r="W67" s="241"/>
      <c r="X67" s="241"/>
      <c r="Y67" s="241"/>
    </row>
    <row r="68" spans="1:25" x14ac:dyDescent="0.3">
      <c r="A68" s="34"/>
      <c r="B68" s="34"/>
      <c r="C68" s="35"/>
      <c r="D68" s="36"/>
      <c r="E68" s="36"/>
      <c r="F68" s="37"/>
      <c r="G68" s="235" t="str">
        <f>IF($A68="","",IF(SUMIF(Deliverables!$A$5:$A$204,$A68,Deliverables!$E$5:$E$204)=0,$O68,SUMIF(Deliverables!$A$5:$A$204,$A68,Deliverables!$I$5:$I$204)/SUMIF(Deliverables!$A$5:$A$204,$A68,Deliverables!$E$5:$E$204)))</f>
        <v/>
      </c>
      <c r="H68" s="39"/>
      <c r="I68" s="249" t="str">
        <f>IF($A68="","",IF(SUM(Deliverables!$W67:$Y67)=0,$W68,Deliverables!W67))</f>
        <v/>
      </c>
      <c r="J68" s="249" t="str">
        <f>IF($A68="","",IF(SUM(Deliverables!$W67:$Y67)=0,$X68,Deliverables!X67))</f>
        <v/>
      </c>
      <c r="K68" s="249" t="str">
        <f>IF($A68="","",IF(SUM(Deliverables!$W67:$Y67)=0,$Y68,Deliverables!Y67))</f>
        <v/>
      </c>
      <c r="L68" s="40" t="str">
        <f t="shared" si="7"/>
        <v/>
      </c>
      <c r="M68" s="41">
        <f t="shared" si="8"/>
        <v>0</v>
      </c>
      <c r="N68" s="34"/>
      <c r="O68" s="236"/>
      <c r="P68" s="58" t="str">
        <f>IF($A68="","",SUMIF(Phasing!$A$265:$A$504,$A68,Phasing!$Y$265:$Y$504))</f>
        <v/>
      </c>
      <c r="Q68" s="58" t="str">
        <f t="shared" si="9"/>
        <v/>
      </c>
      <c r="R68" s="59" t="str">
        <f t="shared" si="10"/>
        <v/>
      </c>
      <c r="S68" s="58" t="str">
        <f t="shared" si="11"/>
        <v/>
      </c>
      <c r="T68" s="59" t="str">
        <f t="shared" si="12"/>
        <v/>
      </c>
      <c r="U68" s="60" t="str">
        <f t="shared" si="13"/>
        <v/>
      </c>
      <c r="V68" s="238" t="str" cm="1">
        <f t="array" ref="V68">IF($A68="","",IF(SUMIF(Deliverables!$A$5:$A$204,$A68,Deliverables!$E$5:$E$204)=0,1,SUMPRODUCT((Deliverables!$A$5:$A$204=$A68)*Deliverables!$E$5:$E$204*Deliverables!$P$5:$P$204)/SUMIF(Deliverables!$A$5:$A$204,$A68,Deliverables!$E$5:$E$204)))</f>
        <v/>
      </c>
      <c r="W68" s="241"/>
      <c r="X68" s="241"/>
      <c r="Y68" s="241"/>
    </row>
    <row r="69" spans="1:25" x14ac:dyDescent="0.3">
      <c r="A69" s="34"/>
      <c r="B69" s="34"/>
      <c r="C69" s="35"/>
      <c r="D69" s="36"/>
      <c r="E69" s="36"/>
      <c r="F69" s="37"/>
      <c r="G69" s="235" t="str">
        <f>IF($A69="","",IF(SUMIF(Deliverables!$A$5:$A$204,$A69,Deliverables!$E$5:$E$204)=0,$O69,SUMIF(Deliverables!$A$5:$A$204,$A69,Deliverables!$I$5:$I$204)/SUMIF(Deliverables!$A$5:$A$204,$A69,Deliverables!$E$5:$E$204)))</f>
        <v/>
      </c>
      <c r="H69" s="39"/>
      <c r="I69" s="249" t="str">
        <f>IF($A69="","",IF(SUM(Deliverables!$W68:$Y68)=0,$W69,Deliverables!W68))</f>
        <v/>
      </c>
      <c r="J69" s="249" t="str">
        <f>IF($A69="","",IF(SUM(Deliverables!$W68:$Y68)=0,$X69,Deliverables!X68))</f>
        <v/>
      </c>
      <c r="K69" s="249" t="str">
        <f>IF($A69="","",IF(SUM(Deliverables!$W68:$Y68)=0,$Y69,Deliverables!Y68))</f>
        <v/>
      </c>
      <c r="L69" s="40" t="str">
        <f t="shared" ref="L69:L85" si="14">IF($A69="","",SUM($I69:$K69))</f>
        <v/>
      </c>
      <c r="M69" s="41">
        <f t="shared" ref="M69:M85" si="15">IF($A69="",0,IF(OR($F69="Active",$F69="Not Started"),1,0))</f>
        <v>0</v>
      </c>
      <c r="N69" s="34"/>
      <c r="O69" s="236"/>
      <c r="P69" s="58" t="str">
        <f>IF($A69="","",SUMIF(Phasing!$A$265:$A$504,$A69,Phasing!$Y$265:$Y$504))</f>
        <v/>
      </c>
      <c r="Q69" s="58" t="str">
        <f t="shared" si="9"/>
        <v/>
      </c>
      <c r="R69" s="59" t="str">
        <f t="shared" si="10"/>
        <v/>
      </c>
      <c r="S69" s="58" t="str">
        <f t="shared" si="11"/>
        <v/>
      </c>
      <c r="T69" s="59" t="str">
        <f t="shared" si="12"/>
        <v/>
      </c>
      <c r="U69" s="60" t="str">
        <f t="shared" si="13"/>
        <v/>
      </c>
      <c r="V69" s="238" t="str" cm="1">
        <f t="array" ref="V69">IF($A69="","",IF(SUMIF(Deliverables!$A$5:$A$204,$A69,Deliverables!$E$5:$E$204)=0,1,SUMPRODUCT((Deliverables!$A$5:$A$204=$A69)*Deliverables!$E$5:$E$204*Deliverables!$P$5:$P$204)/SUMIF(Deliverables!$A$5:$A$204,$A69,Deliverables!$E$5:$E$204)))</f>
        <v/>
      </c>
      <c r="W69" s="241"/>
      <c r="X69" s="241"/>
      <c r="Y69" s="241"/>
    </row>
    <row r="70" spans="1:25" x14ac:dyDescent="0.3">
      <c r="A70" s="34"/>
      <c r="B70" s="34"/>
      <c r="C70" s="35"/>
      <c r="D70" s="36"/>
      <c r="E70" s="36"/>
      <c r="F70" s="37"/>
      <c r="G70" s="235" t="str">
        <f>IF($A70="","",IF(SUMIF(Deliverables!$A$5:$A$204,$A70,Deliverables!$E$5:$E$204)=0,$O70,SUMIF(Deliverables!$A$5:$A$204,$A70,Deliverables!$I$5:$I$204)/SUMIF(Deliverables!$A$5:$A$204,$A70,Deliverables!$E$5:$E$204)))</f>
        <v/>
      </c>
      <c r="H70" s="39"/>
      <c r="I70" s="249" t="str">
        <f>IF($A70="","",IF(SUM(Deliverables!$W69:$Y69)=0,$W70,Deliverables!W69))</f>
        <v/>
      </c>
      <c r="J70" s="249" t="str">
        <f>IF($A70="","",IF(SUM(Deliverables!$W69:$Y69)=0,$X70,Deliverables!X69))</f>
        <v/>
      </c>
      <c r="K70" s="249" t="str">
        <f>IF($A70="","",IF(SUM(Deliverables!$W69:$Y69)=0,$Y70,Deliverables!Y69))</f>
        <v/>
      </c>
      <c r="L70" s="40" t="str">
        <f t="shared" si="14"/>
        <v/>
      </c>
      <c r="M70" s="41">
        <f t="shared" si="15"/>
        <v>0</v>
      </c>
      <c r="N70" s="34"/>
      <c r="O70" s="236"/>
      <c r="P70" s="58" t="str">
        <f>IF($A70="","",SUMIF(Phasing!$A$265:$A$504,$A70,Phasing!$Y$265:$Y$504))</f>
        <v/>
      </c>
      <c r="Q70" s="58" t="str">
        <f t="shared" si="9"/>
        <v/>
      </c>
      <c r="R70" s="59" t="str">
        <f t="shared" si="10"/>
        <v/>
      </c>
      <c r="S70" s="58" t="str">
        <f t="shared" si="11"/>
        <v/>
      </c>
      <c r="T70" s="59" t="str">
        <f t="shared" si="12"/>
        <v/>
      </c>
      <c r="U70" s="60" t="str">
        <f t="shared" si="13"/>
        <v/>
      </c>
      <c r="V70" s="238" t="str" cm="1">
        <f t="array" ref="V70">IF($A70="","",IF(SUMIF(Deliverables!$A$5:$A$204,$A70,Deliverables!$E$5:$E$204)=0,1,SUMPRODUCT((Deliverables!$A$5:$A$204=$A70)*Deliverables!$E$5:$E$204*Deliverables!$P$5:$P$204)/SUMIF(Deliverables!$A$5:$A$204,$A70,Deliverables!$E$5:$E$204)))</f>
        <v/>
      </c>
      <c r="W70" s="241"/>
      <c r="X70" s="241"/>
      <c r="Y70" s="241"/>
    </row>
    <row r="71" spans="1:25" x14ac:dyDescent="0.3">
      <c r="A71" s="34"/>
      <c r="B71" s="34"/>
      <c r="C71" s="35"/>
      <c r="D71" s="36"/>
      <c r="E71" s="36"/>
      <c r="F71" s="37"/>
      <c r="G71" s="235" t="str">
        <f>IF($A71="","",IF(SUMIF(Deliverables!$A$5:$A$204,$A71,Deliverables!$E$5:$E$204)=0,$O71,SUMIF(Deliverables!$A$5:$A$204,$A71,Deliverables!$I$5:$I$204)/SUMIF(Deliverables!$A$5:$A$204,$A71,Deliverables!$E$5:$E$204)))</f>
        <v/>
      </c>
      <c r="H71" s="39"/>
      <c r="I71" s="249" t="str">
        <f>IF($A71="","",IF(SUM(Deliverables!$W70:$Y70)=0,$W71,Deliverables!W70))</f>
        <v/>
      </c>
      <c r="J71" s="249" t="str">
        <f>IF($A71="","",IF(SUM(Deliverables!$W70:$Y70)=0,$X71,Deliverables!X70))</f>
        <v/>
      </c>
      <c r="K71" s="249" t="str">
        <f>IF($A71="","",IF(SUM(Deliverables!$W70:$Y70)=0,$Y71,Deliverables!Y70))</f>
        <v/>
      </c>
      <c r="L71" s="40" t="str">
        <f t="shared" si="14"/>
        <v/>
      </c>
      <c r="M71" s="41">
        <f t="shared" si="15"/>
        <v>0</v>
      </c>
      <c r="N71" s="34"/>
      <c r="O71" s="236"/>
      <c r="P71" s="58" t="str">
        <f>IF($A71="","",SUMIF(Phasing!$A$265:$A$504,$A71,Phasing!$Y$265:$Y$504))</f>
        <v/>
      </c>
      <c r="Q71" s="58" t="str">
        <f t="shared" si="9"/>
        <v/>
      </c>
      <c r="R71" s="59" t="str">
        <f t="shared" si="10"/>
        <v/>
      </c>
      <c r="S71" s="58" t="str">
        <f t="shared" si="11"/>
        <v/>
      </c>
      <c r="T71" s="59" t="str">
        <f t="shared" si="12"/>
        <v/>
      </c>
      <c r="U71" s="60" t="str">
        <f t="shared" si="13"/>
        <v/>
      </c>
      <c r="V71" s="238" t="str" cm="1">
        <f t="array" ref="V71">IF($A71="","",IF(SUMIF(Deliverables!$A$5:$A$204,$A71,Deliverables!$E$5:$E$204)=0,1,SUMPRODUCT((Deliverables!$A$5:$A$204=$A71)*Deliverables!$E$5:$E$204*Deliverables!$P$5:$P$204)/SUMIF(Deliverables!$A$5:$A$204,$A71,Deliverables!$E$5:$E$204)))</f>
        <v/>
      </c>
      <c r="W71" s="241"/>
      <c r="X71" s="241"/>
      <c r="Y71" s="241"/>
    </row>
    <row r="72" spans="1:25" x14ac:dyDescent="0.3">
      <c r="A72" s="34"/>
      <c r="B72" s="34"/>
      <c r="C72" s="35"/>
      <c r="D72" s="36"/>
      <c r="E72" s="36"/>
      <c r="F72" s="37"/>
      <c r="G72" s="235" t="str">
        <f>IF($A72="","",IF(SUMIF(Deliverables!$A$5:$A$204,$A72,Deliverables!$E$5:$E$204)=0,$O72,SUMIF(Deliverables!$A$5:$A$204,$A72,Deliverables!$I$5:$I$204)/SUMIF(Deliverables!$A$5:$A$204,$A72,Deliverables!$E$5:$E$204)))</f>
        <v/>
      </c>
      <c r="H72" s="39"/>
      <c r="I72" s="249" t="str">
        <f>IF($A72="","",IF(SUM(Deliverables!$W71:$Y71)=0,$W72,Deliverables!W71))</f>
        <v/>
      </c>
      <c r="J72" s="249" t="str">
        <f>IF($A72="","",IF(SUM(Deliverables!$W71:$Y71)=0,$X72,Deliverables!X71))</f>
        <v/>
      </c>
      <c r="K72" s="249" t="str">
        <f>IF($A72="","",IF(SUM(Deliverables!$W71:$Y71)=0,$Y72,Deliverables!Y71))</f>
        <v/>
      </c>
      <c r="L72" s="40" t="str">
        <f t="shared" si="14"/>
        <v/>
      </c>
      <c r="M72" s="41">
        <f t="shared" si="15"/>
        <v>0</v>
      </c>
      <c r="N72" s="34"/>
      <c r="O72" s="236"/>
      <c r="P72" s="58" t="str">
        <f>IF($A72="","",SUMIF(Phasing!$A$265:$A$504,$A72,Phasing!$Y$265:$Y$504))</f>
        <v/>
      </c>
      <c r="Q72" s="58" t="str">
        <f t="shared" si="9"/>
        <v/>
      </c>
      <c r="R72" s="59" t="str">
        <f t="shared" si="10"/>
        <v/>
      </c>
      <c r="S72" s="58" t="str">
        <f t="shared" si="11"/>
        <v/>
      </c>
      <c r="T72" s="59" t="str">
        <f t="shared" si="12"/>
        <v/>
      </c>
      <c r="U72" s="60" t="str">
        <f t="shared" si="13"/>
        <v/>
      </c>
      <c r="V72" s="238" t="str" cm="1">
        <f t="array" ref="V72">IF($A72="","",IF(SUMIF(Deliverables!$A$5:$A$204,$A72,Deliverables!$E$5:$E$204)=0,1,SUMPRODUCT((Deliverables!$A$5:$A$204=$A72)*Deliverables!$E$5:$E$204*Deliverables!$P$5:$P$204)/SUMIF(Deliverables!$A$5:$A$204,$A72,Deliverables!$E$5:$E$204)))</f>
        <v/>
      </c>
      <c r="W72" s="241"/>
      <c r="X72" s="241"/>
      <c r="Y72" s="241"/>
    </row>
    <row r="73" spans="1:25" x14ac:dyDescent="0.3">
      <c r="A73" s="34"/>
      <c r="B73" s="34"/>
      <c r="C73" s="35"/>
      <c r="D73" s="36"/>
      <c r="E73" s="36"/>
      <c r="F73" s="37"/>
      <c r="G73" s="235" t="str">
        <f>IF($A73="","",IF(SUMIF(Deliverables!$A$5:$A$204,$A73,Deliverables!$E$5:$E$204)=0,$O73,SUMIF(Deliverables!$A$5:$A$204,$A73,Deliverables!$I$5:$I$204)/SUMIF(Deliverables!$A$5:$A$204,$A73,Deliverables!$E$5:$E$204)))</f>
        <v/>
      </c>
      <c r="H73" s="39"/>
      <c r="I73" s="249" t="str">
        <f>IF($A73="","",IF(SUM(Deliverables!$W72:$Y72)=0,$W73,Deliverables!W72))</f>
        <v/>
      </c>
      <c r="J73" s="249" t="str">
        <f>IF($A73="","",IF(SUM(Deliverables!$W72:$Y72)=0,$X73,Deliverables!X72))</f>
        <v/>
      </c>
      <c r="K73" s="249" t="str">
        <f>IF($A73="","",IF(SUM(Deliverables!$W72:$Y72)=0,$Y73,Deliverables!Y72))</f>
        <v/>
      </c>
      <c r="L73" s="40" t="str">
        <f t="shared" si="14"/>
        <v/>
      </c>
      <c r="M73" s="41">
        <f t="shared" si="15"/>
        <v>0</v>
      </c>
      <c r="N73" s="34"/>
      <c r="O73" s="236"/>
      <c r="P73" s="58" t="str">
        <f>IF($A73="","",SUMIF(Phasing!$A$265:$A$504,$A73,Phasing!$Y$265:$Y$504))</f>
        <v/>
      </c>
      <c r="Q73" s="58" t="str">
        <f t="shared" si="9"/>
        <v/>
      </c>
      <c r="R73" s="59" t="str">
        <f t="shared" si="10"/>
        <v/>
      </c>
      <c r="S73" s="58" t="str">
        <f t="shared" si="11"/>
        <v/>
      </c>
      <c r="T73" s="59" t="str">
        <f t="shared" si="12"/>
        <v/>
      </c>
      <c r="U73" s="60" t="str">
        <f t="shared" si="13"/>
        <v/>
      </c>
      <c r="V73" s="238" t="str" cm="1">
        <f t="array" ref="V73">IF($A73="","",IF(SUMIF(Deliverables!$A$5:$A$204,$A73,Deliverables!$E$5:$E$204)=0,1,SUMPRODUCT((Deliverables!$A$5:$A$204=$A73)*Deliverables!$E$5:$E$204*Deliverables!$P$5:$P$204)/SUMIF(Deliverables!$A$5:$A$204,$A73,Deliverables!$E$5:$E$204)))</f>
        <v/>
      </c>
      <c r="W73" s="241"/>
      <c r="X73" s="241"/>
      <c r="Y73" s="241"/>
    </row>
    <row r="74" spans="1:25" x14ac:dyDescent="0.3">
      <c r="A74" s="34"/>
      <c r="B74" s="34"/>
      <c r="C74" s="35"/>
      <c r="D74" s="36"/>
      <c r="E74" s="36"/>
      <c r="F74" s="37"/>
      <c r="G74" s="235" t="str">
        <f>IF($A74="","",IF(SUMIF(Deliverables!$A$5:$A$204,$A74,Deliverables!$E$5:$E$204)=0,$O74,SUMIF(Deliverables!$A$5:$A$204,$A74,Deliverables!$I$5:$I$204)/SUMIF(Deliverables!$A$5:$A$204,$A74,Deliverables!$E$5:$E$204)))</f>
        <v/>
      </c>
      <c r="H74" s="39"/>
      <c r="I74" s="249" t="str">
        <f>IF($A74="","",IF(SUM(Deliverables!$W73:$Y73)=0,$W74,Deliverables!W73))</f>
        <v/>
      </c>
      <c r="J74" s="249" t="str">
        <f>IF($A74="","",IF(SUM(Deliverables!$W73:$Y73)=0,$X74,Deliverables!X73))</f>
        <v/>
      </c>
      <c r="K74" s="249" t="str">
        <f>IF($A74="","",IF(SUM(Deliverables!$W73:$Y73)=0,$Y74,Deliverables!Y73))</f>
        <v/>
      </c>
      <c r="L74" s="40" t="str">
        <f t="shared" si="14"/>
        <v/>
      </c>
      <c r="M74" s="41">
        <f t="shared" si="15"/>
        <v>0</v>
      </c>
      <c r="N74" s="34"/>
      <c r="O74" s="236"/>
      <c r="P74" s="58" t="str">
        <f>IF($A74="","",SUMIF(Phasing!$A$265:$A$504,$A74,Phasing!$Y$265:$Y$504))</f>
        <v/>
      </c>
      <c r="Q74" s="58" t="str">
        <f t="shared" si="9"/>
        <v/>
      </c>
      <c r="R74" s="59" t="str">
        <f t="shared" si="10"/>
        <v/>
      </c>
      <c r="S74" s="58" t="str">
        <f t="shared" si="11"/>
        <v/>
      </c>
      <c r="T74" s="59" t="str">
        <f t="shared" si="12"/>
        <v/>
      </c>
      <c r="U74" s="60" t="str">
        <f t="shared" si="13"/>
        <v/>
      </c>
      <c r="V74" s="238" t="str" cm="1">
        <f t="array" ref="V74">IF($A74="","",IF(SUMIF(Deliverables!$A$5:$A$204,$A74,Deliverables!$E$5:$E$204)=0,1,SUMPRODUCT((Deliverables!$A$5:$A$204=$A74)*Deliverables!$E$5:$E$204*Deliverables!$P$5:$P$204)/SUMIF(Deliverables!$A$5:$A$204,$A74,Deliverables!$E$5:$E$204)))</f>
        <v/>
      </c>
      <c r="W74" s="241"/>
      <c r="X74" s="241"/>
      <c r="Y74" s="241"/>
    </row>
    <row r="75" spans="1:25" x14ac:dyDescent="0.3">
      <c r="A75" s="34"/>
      <c r="B75" s="34"/>
      <c r="C75" s="35"/>
      <c r="D75" s="36"/>
      <c r="E75" s="36"/>
      <c r="F75" s="37"/>
      <c r="G75" s="235" t="str">
        <f>IF($A75="","",IF(SUMIF(Deliverables!$A$5:$A$204,$A75,Deliverables!$E$5:$E$204)=0,$O75,SUMIF(Deliverables!$A$5:$A$204,$A75,Deliverables!$I$5:$I$204)/SUMIF(Deliverables!$A$5:$A$204,$A75,Deliverables!$E$5:$E$204)))</f>
        <v/>
      </c>
      <c r="H75" s="39"/>
      <c r="I75" s="249" t="str">
        <f>IF($A75="","",IF(SUM(Deliverables!$W74:$Y74)=0,$W75,Deliverables!W74))</f>
        <v/>
      </c>
      <c r="J75" s="249" t="str">
        <f>IF($A75="","",IF(SUM(Deliverables!$W74:$Y74)=0,$X75,Deliverables!X74))</f>
        <v/>
      </c>
      <c r="K75" s="249" t="str">
        <f>IF($A75="","",IF(SUM(Deliverables!$W74:$Y74)=0,$Y75,Deliverables!Y74))</f>
        <v/>
      </c>
      <c r="L75" s="40" t="str">
        <f t="shared" si="14"/>
        <v/>
      </c>
      <c r="M75" s="41">
        <f t="shared" si="15"/>
        <v>0</v>
      </c>
      <c r="N75" s="34"/>
      <c r="O75" s="236"/>
      <c r="P75" s="58" t="str">
        <f>IF($A75="","",SUMIF(Phasing!$A$265:$A$504,$A75,Phasing!$Y$265:$Y$504))</f>
        <v/>
      </c>
      <c r="Q75" s="58" t="str">
        <f t="shared" si="9"/>
        <v/>
      </c>
      <c r="R75" s="59" t="str">
        <f t="shared" si="10"/>
        <v/>
      </c>
      <c r="S75" s="58" t="str">
        <f t="shared" si="11"/>
        <v/>
      </c>
      <c r="T75" s="59" t="str">
        <f t="shared" si="12"/>
        <v/>
      </c>
      <c r="U75" s="60" t="str">
        <f t="shared" si="13"/>
        <v/>
      </c>
      <c r="V75" s="238" t="str" cm="1">
        <f t="array" ref="V75">IF($A75="","",IF(SUMIF(Deliverables!$A$5:$A$204,$A75,Deliverables!$E$5:$E$204)=0,1,SUMPRODUCT((Deliverables!$A$5:$A$204=$A75)*Deliverables!$E$5:$E$204*Deliverables!$P$5:$P$204)/SUMIF(Deliverables!$A$5:$A$204,$A75,Deliverables!$E$5:$E$204)))</f>
        <v/>
      </c>
      <c r="W75" s="241"/>
      <c r="X75" s="241"/>
      <c r="Y75" s="241"/>
    </row>
    <row r="76" spans="1:25" x14ac:dyDescent="0.3">
      <c r="A76" s="34"/>
      <c r="B76" s="34"/>
      <c r="C76" s="35"/>
      <c r="D76" s="36"/>
      <c r="E76" s="36"/>
      <c r="F76" s="37"/>
      <c r="G76" s="235" t="str">
        <f>IF($A76="","",IF(SUMIF(Deliverables!$A$5:$A$204,$A76,Deliverables!$E$5:$E$204)=0,$O76,SUMIF(Deliverables!$A$5:$A$204,$A76,Deliverables!$I$5:$I$204)/SUMIF(Deliverables!$A$5:$A$204,$A76,Deliverables!$E$5:$E$204)))</f>
        <v/>
      </c>
      <c r="H76" s="39"/>
      <c r="I76" s="249" t="str">
        <f>IF($A76="","",IF(SUM(Deliverables!$W75:$Y75)=0,$W76,Deliverables!W75))</f>
        <v/>
      </c>
      <c r="J76" s="249" t="str">
        <f>IF($A76="","",IF(SUM(Deliverables!$W75:$Y75)=0,$X76,Deliverables!X75))</f>
        <v/>
      </c>
      <c r="K76" s="249" t="str">
        <f>IF($A76="","",IF(SUM(Deliverables!$W75:$Y75)=0,$Y76,Deliverables!Y75))</f>
        <v/>
      </c>
      <c r="L76" s="40" t="str">
        <f t="shared" si="14"/>
        <v/>
      </c>
      <c r="M76" s="41">
        <f t="shared" si="15"/>
        <v>0</v>
      </c>
      <c r="N76" s="34"/>
      <c r="O76" s="236"/>
      <c r="P76" s="58" t="str">
        <f>IF($A76="","",SUMIF(Phasing!$A$265:$A$504,$A76,Phasing!$Y$265:$Y$504))</f>
        <v/>
      </c>
      <c r="Q76" s="58" t="str">
        <f t="shared" si="9"/>
        <v/>
      </c>
      <c r="R76" s="59" t="str">
        <f t="shared" si="10"/>
        <v/>
      </c>
      <c r="S76" s="58" t="str">
        <f t="shared" si="11"/>
        <v/>
      </c>
      <c r="T76" s="59" t="str">
        <f t="shared" si="12"/>
        <v/>
      </c>
      <c r="U76" s="60" t="str">
        <f t="shared" si="13"/>
        <v/>
      </c>
      <c r="V76" s="238" t="str" cm="1">
        <f t="array" ref="V76">IF($A76="","",IF(SUMIF(Deliverables!$A$5:$A$204,$A76,Deliverables!$E$5:$E$204)=0,1,SUMPRODUCT((Deliverables!$A$5:$A$204=$A76)*Deliverables!$E$5:$E$204*Deliverables!$P$5:$P$204)/SUMIF(Deliverables!$A$5:$A$204,$A76,Deliverables!$E$5:$E$204)))</f>
        <v/>
      </c>
      <c r="W76" s="241"/>
      <c r="X76" s="241"/>
      <c r="Y76" s="241"/>
    </row>
    <row r="77" spans="1:25" x14ac:dyDescent="0.3">
      <c r="A77" s="34"/>
      <c r="B77" s="34"/>
      <c r="C77" s="35"/>
      <c r="D77" s="36"/>
      <c r="E77" s="36"/>
      <c r="F77" s="37"/>
      <c r="G77" s="235" t="str">
        <f>IF($A77="","",IF(SUMIF(Deliverables!$A$5:$A$204,$A77,Deliverables!$E$5:$E$204)=0,$O77,SUMIF(Deliverables!$A$5:$A$204,$A77,Deliverables!$I$5:$I$204)/SUMIF(Deliverables!$A$5:$A$204,$A77,Deliverables!$E$5:$E$204)))</f>
        <v/>
      </c>
      <c r="H77" s="39"/>
      <c r="I77" s="249" t="str">
        <f>IF($A77="","",IF(SUM(Deliverables!$W76:$Y76)=0,$W77,Deliverables!W76))</f>
        <v/>
      </c>
      <c r="J77" s="249" t="str">
        <f>IF($A77="","",IF(SUM(Deliverables!$W76:$Y76)=0,$X77,Deliverables!X76))</f>
        <v/>
      </c>
      <c r="K77" s="249" t="str">
        <f>IF($A77="","",IF(SUM(Deliverables!$W76:$Y76)=0,$Y77,Deliverables!Y76))</f>
        <v/>
      </c>
      <c r="L77" s="40" t="str">
        <f t="shared" si="14"/>
        <v/>
      </c>
      <c r="M77" s="41">
        <f t="shared" si="15"/>
        <v>0</v>
      </c>
      <c r="N77" s="34"/>
      <c r="O77" s="236"/>
      <c r="P77" s="58" t="str">
        <f>IF($A77="","",SUMIF(Phasing!$A$265:$A$504,$A77,Phasing!$Y$265:$Y$504))</f>
        <v/>
      </c>
      <c r="Q77" s="58" t="str">
        <f t="shared" si="9"/>
        <v/>
      </c>
      <c r="R77" s="59" t="str">
        <f t="shared" si="10"/>
        <v/>
      </c>
      <c r="S77" s="58" t="str">
        <f t="shared" si="11"/>
        <v/>
      </c>
      <c r="T77" s="59" t="str">
        <f t="shared" si="12"/>
        <v/>
      </c>
      <c r="U77" s="60" t="str">
        <f t="shared" si="13"/>
        <v/>
      </c>
      <c r="V77" s="238" t="str" cm="1">
        <f t="array" ref="V77">IF($A77="","",IF(SUMIF(Deliverables!$A$5:$A$204,$A77,Deliverables!$E$5:$E$204)=0,1,SUMPRODUCT((Deliverables!$A$5:$A$204=$A77)*Deliverables!$E$5:$E$204*Deliverables!$P$5:$P$204)/SUMIF(Deliverables!$A$5:$A$204,$A77,Deliverables!$E$5:$E$204)))</f>
        <v/>
      </c>
      <c r="W77" s="241"/>
      <c r="X77" s="241"/>
      <c r="Y77" s="241"/>
    </row>
    <row r="78" spans="1:25" x14ac:dyDescent="0.3">
      <c r="A78" s="34"/>
      <c r="B78" s="34"/>
      <c r="C78" s="35"/>
      <c r="D78" s="36"/>
      <c r="E78" s="36"/>
      <c r="F78" s="37"/>
      <c r="G78" s="235" t="str">
        <f>IF($A78="","",IF(SUMIF(Deliverables!$A$5:$A$204,$A78,Deliverables!$E$5:$E$204)=0,$O78,SUMIF(Deliverables!$A$5:$A$204,$A78,Deliverables!$I$5:$I$204)/SUMIF(Deliverables!$A$5:$A$204,$A78,Deliverables!$E$5:$E$204)))</f>
        <v/>
      </c>
      <c r="H78" s="39"/>
      <c r="I78" s="249" t="str">
        <f>IF($A78="","",IF(SUM(Deliverables!$W77:$Y77)=0,$W78,Deliverables!W77))</f>
        <v/>
      </c>
      <c r="J78" s="249" t="str">
        <f>IF($A78="","",IF(SUM(Deliverables!$W77:$Y77)=0,$X78,Deliverables!X77))</f>
        <v/>
      </c>
      <c r="K78" s="249" t="str">
        <f>IF($A78="","",IF(SUM(Deliverables!$W77:$Y77)=0,$Y78,Deliverables!Y77))</f>
        <v/>
      </c>
      <c r="L78" s="40" t="str">
        <f t="shared" si="14"/>
        <v/>
      </c>
      <c r="M78" s="41">
        <f t="shared" si="15"/>
        <v>0</v>
      </c>
      <c r="N78" s="34"/>
      <c r="O78" s="236"/>
      <c r="P78" s="58" t="str">
        <f>IF($A78="","",SUMIF(Phasing!$A$265:$A$504,$A78,Phasing!$Y$265:$Y$504))</f>
        <v/>
      </c>
      <c r="Q78" s="58" t="str">
        <f t="shared" si="9"/>
        <v/>
      </c>
      <c r="R78" s="59" t="str">
        <f t="shared" si="10"/>
        <v/>
      </c>
      <c r="S78" s="58" t="str">
        <f t="shared" si="11"/>
        <v/>
      </c>
      <c r="T78" s="59" t="str">
        <f t="shared" si="12"/>
        <v/>
      </c>
      <c r="U78" s="60" t="str">
        <f t="shared" si="13"/>
        <v/>
      </c>
      <c r="V78" s="238" t="str" cm="1">
        <f t="array" ref="V78">IF($A78="","",IF(SUMIF(Deliverables!$A$5:$A$204,$A78,Deliverables!$E$5:$E$204)=0,1,SUMPRODUCT((Deliverables!$A$5:$A$204=$A78)*Deliverables!$E$5:$E$204*Deliverables!$P$5:$P$204)/SUMIF(Deliverables!$A$5:$A$204,$A78,Deliverables!$E$5:$E$204)))</f>
        <v/>
      </c>
      <c r="W78" s="241"/>
      <c r="X78" s="241"/>
      <c r="Y78" s="241"/>
    </row>
    <row r="79" spans="1:25" x14ac:dyDescent="0.3">
      <c r="A79" s="34"/>
      <c r="B79" s="34"/>
      <c r="C79" s="35"/>
      <c r="D79" s="36"/>
      <c r="E79" s="36"/>
      <c r="F79" s="37"/>
      <c r="G79" s="235" t="str">
        <f>IF($A79="","",IF(SUMIF(Deliverables!$A$5:$A$204,$A79,Deliverables!$E$5:$E$204)=0,$O79,SUMIF(Deliverables!$A$5:$A$204,$A79,Deliverables!$I$5:$I$204)/SUMIF(Deliverables!$A$5:$A$204,$A79,Deliverables!$E$5:$E$204)))</f>
        <v/>
      </c>
      <c r="H79" s="39"/>
      <c r="I79" s="249" t="str">
        <f>IF($A79="","",IF(SUM(Deliverables!$W78:$Y78)=0,$W79,Deliverables!W78))</f>
        <v/>
      </c>
      <c r="J79" s="249" t="str">
        <f>IF($A79="","",IF(SUM(Deliverables!$W78:$Y78)=0,$X79,Deliverables!X78))</f>
        <v/>
      </c>
      <c r="K79" s="249" t="str">
        <f>IF($A79="","",IF(SUM(Deliverables!$W78:$Y78)=0,$Y79,Deliverables!Y78))</f>
        <v/>
      </c>
      <c r="L79" s="40" t="str">
        <f t="shared" si="14"/>
        <v/>
      </c>
      <c r="M79" s="41">
        <f t="shared" si="15"/>
        <v>0</v>
      </c>
      <c r="N79" s="34"/>
      <c r="O79" s="236"/>
      <c r="P79" s="58" t="str">
        <f>IF($A79="","",SUMIF(Phasing!$A$265:$A$504,$A79,Phasing!$Y$265:$Y$504))</f>
        <v/>
      </c>
      <c r="Q79" s="58" t="str">
        <f t="shared" si="9"/>
        <v/>
      </c>
      <c r="R79" s="59" t="str">
        <f t="shared" si="10"/>
        <v/>
      </c>
      <c r="S79" s="58" t="str">
        <f t="shared" si="11"/>
        <v/>
      </c>
      <c r="T79" s="59" t="str">
        <f t="shared" si="12"/>
        <v/>
      </c>
      <c r="U79" s="60" t="str">
        <f t="shared" si="13"/>
        <v/>
      </c>
      <c r="V79" s="238" t="str" cm="1">
        <f t="array" ref="V79">IF($A79="","",IF(SUMIF(Deliverables!$A$5:$A$204,$A79,Deliverables!$E$5:$E$204)=0,1,SUMPRODUCT((Deliverables!$A$5:$A$204=$A79)*Deliverables!$E$5:$E$204*Deliverables!$P$5:$P$204)/SUMIF(Deliverables!$A$5:$A$204,$A79,Deliverables!$E$5:$E$204)))</f>
        <v/>
      </c>
      <c r="W79" s="241"/>
      <c r="X79" s="241"/>
      <c r="Y79" s="241"/>
    </row>
    <row r="80" spans="1:25" x14ac:dyDescent="0.3">
      <c r="A80" s="34"/>
      <c r="B80" s="34"/>
      <c r="C80" s="35"/>
      <c r="D80" s="36"/>
      <c r="E80" s="36"/>
      <c r="F80" s="37"/>
      <c r="G80" s="235" t="str">
        <f>IF($A80="","",IF(SUMIF(Deliverables!$A$5:$A$204,$A80,Deliverables!$E$5:$E$204)=0,$O80,SUMIF(Deliverables!$A$5:$A$204,$A80,Deliverables!$I$5:$I$204)/SUMIF(Deliverables!$A$5:$A$204,$A80,Deliverables!$E$5:$E$204)))</f>
        <v/>
      </c>
      <c r="H80" s="39"/>
      <c r="I80" s="249" t="str">
        <f>IF($A80="","",IF(SUM(Deliverables!$W79:$Y79)=0,$W80,Deliverables!W79))</f>
        <v/>
      </c>
      <c r="J80" s="249" t="str">
        <f>IF($A80="","",IF(SUM(Deliverables!$W79:$Y79)=0,$X80,Deliverables!X79))</f>
        <v/>
      </c>
      <c r="K80" s="249" t="str">
        <f>IF($A80="","",IF(SUM(Deliverables!$W79:$Y79)=0,$Y80,Deliverables!Y79))</f>
        <v/>
      </c>
      <c r="L80" s="40" t="str">
        <f t="shared" si="14"/>
        <v/>
      </c>
      <c r="M80" s="41">
        <f t="shared" si="15"/>
        <v>0</v>
      </c>
      <c r="N80" s="34"/>
      <c r="O80" s="236"/>
      <c r="P80" s="58" t="str">
        <f>IF($A80="","",SUMIF(Phasing!$A$265:$A$504,$A80,Phasing!$Y$265:$Y$504))</f>
        <v/>
      </c>
      <c r="Q80" s="58" t="str">
        <f t="shared" si="9"/>
        <v/>
      </c>
      <c r="R80" s="59" t="str">
        <f t="shared" si="10"/>
        <v/>
      </c>
      <c r="S80" s="58" t="str">
        <f t="shared" si="11"/>
        <v/>
      </c>
      <c r="T80" s="59" t="str">
        <f t="shared" si="12"/>
        <v/>
      </c>
      <c r="U80" s="60" t="str">
        <f t="shared" si="13"/>
        <v/>
      </c>
      <c r="V80" s="238" t="str" cm="1">
        <f t="array" ref="V80">IF($A80="","",IF(SUMIF(Deliverables!$A$5:$A$204,$A80,Deliverables!$E$5:$E$204)=0,1,SUMPRODUCT((Deliverables!$A$5:$A$204=$A80)*Deliverables!$E$5:$E$204*Deliverables!$P$5:$P$204)/SUMIF(Deliverables!$A$5:$A$204,$A80,Deliverables!$E$5:$E$204)))</f>
        <v/>
      </c>
      <c r="W80" s="241"/>
      <c r="X80" s="241"/>
      <c r="Y80" s="241"/>
    </row>
    <row r="81" spans="1:25" x14ac:dyDescent="0.3">
      <c r="A81" s="34"/>
      <c r="B81" s="34"/>
      <c r="C81" s="35"/>
      <c r="D81" s="36"/>
      <c r="E81" s="36"/>
      <c r="F81" s="37"/>
      <c r="G81" s="235" t="str">
        <f>IF($A81="","",IF(SUMIF(Deliverables!$A$5:$A$204,$A81,Deliverables!$E$5:$E$204)=0,$O81,SUMIF(Deliverables!$A$5:$A$204,$A81,Deliverables!$I$5:$I$204)/SUMIF(Deliverables!$A$5:$A$204,$A81,Deliverables!$E$5:$E$204)))</f>
        <v/>
      </c>
      <c r="H81" s="39"/>
      <c r="I81" s="249" t="str">
        <f>IF($A81="","",IF(SUM(Deliverables!$W80:$Y80)=0,$W81,Deliverables!W80))</f>
        <v/>
      </c>
      <c r="J81" s="249" t="str">
        <f>IF($A81="","",IF(SUM(Deliverables!$W80:$Y80)=0,$X81,Deliverables!X80))</f>
        <v/>
      </c>
      <c r="K81" s="249" t="str">
        <f>IF($A81="","",IF(SUM(Deliverables!$W80:$Y80)=0,$Y81,Deliverables!Y80))</f>
        <v/>
      </c>
      <c r="L81" s="40" t="str">
        <f t="shared" si="14"/>
        <v/>
      </c>
      <c r="M81" s="41">
        <f t="shared" si="15"/>
        <v>0</v>
      </c>
      <c r="N81" s="34"/>
      <c r="O81" s="236"/>
      <c r="P81" s="58" t="str">
        <f>IF($A81="","",SUMIF(Phasing!$A$265:$A$504,$A81,Phasing!$Y$265:$Y$504))</f>
        <v/>
      </c>
      <c r="Q81" s="58" t="str">
        <f t="shared" si="9"/>
        <v/>
      </c>
      <c r="R81" s="59" t="str">
        <f t="shared" si="10"/>
        <v/>
      </c>
      <c r="S81" s="58" t="str">
        <f t="shared" si="11"/>
        <v/>
      </c>
      <c r="T81" s="59" t="str">
        <f t="shared" si="12"/>
        <v/>
      </c>
      <c r="U81" s="60" t="str">
        <f t="shared" si="13"/>
        <v/>
      </c>
      <c r="V81" s="238" t="str" cm="1">
        <f t="array" ref="V81">IF($A81="","",IF(SUMIF(Deliverables!$A$5:$A$204,$A81,Deliverables!$E$5:$E$204)=0,1,SUMPRODUCT((Deliverables!$A$5:$A$204=$A81)*Deliverables!$E$5:$E$204*Deliverables!$P$5:$P$204)/SUMIF(Deliverables!$A$5:$A$204,$A81,Deliverables!$E$5:$E$204)))</f>
        <v/>
      </c>
      <c r="W81" s="241"/>
      <c r="X81" s="241"/>
      <c r="Y81" s="241"/>
    </row>
    <row r="82" spans="1:25" x14ac:dyDescent="0.3">
      <c r="A82" s="34"/>
      <c r="B82" s="34"/>
      <c r="C82" s="35"/>
      <c r="D82" s="36"/>
      <c r="E82" s="36"/>
      <c r="F82" s="37"/>
      <c r="G82" s="235" t="str">
        <f>IF($A82="","",IF(SUMIF(Deliverables!$A$5:$A$204,$A82,Deliverables!$E$5:$E$204)=0,$O82,SUMIF(Deliverables!$A$5:$A$204,$A82,Deliverables!$I$5:$I$204)/SUMIF(Deliverables!$A$5:$A$204,$A82,Deliverables!$E$5:$E$204)))</f>
        <v/>
      </c>
      <c r="H82" s="39"/>
      <c r="I82" s="249" t="str">
        <f>IF($A82="","",IF(SUM(Deliverables!$W81:$Y81)=0,$W82,Deliverables!W81))</f>
        <v/>
      </c>
      <c r="J82" s="249" t="str">
        <f>IF($A82="","",IF(SUM(Deliverables!$W81:$Y81)=0,$X82,Deliverables!X81))</f>
        <v/>
      </c>
      <c r="K82" s="249" t="str">
        <f>IF($A82="","",IF(SUM(Deliverables!$W81:$Y81)=0,$Y82,Deliverables!Y81))</f>
        <v/>
      </c>
      <c r="L82" s="40" t="str">
        <f t="shared" si="14"/>
        <v/>
      </c>
      <c r="M82" s="41">
        <f t="shared" si="15"/>
        <v>0</v>
      </c>
      <c r="N82" s="34"/>
      <c r="O82" s="236"/>
      <c r="P82" s="58" t="str">
        <f>IF($A82="","",SUMIF(Phasing!$A$265:$A$504,$A82,Phasing!$Y$265:$Y$504))</f>
        <v/>
      </c>
      <c r="Q82" s="58" t="str">
        <f t="shared" si="9"/>
        <v/>
      </c>
      <c r="R82" s="59" t="str">
        <f t="shared" si="10"/>
        <v/>
      </c>
      <c r="S82" s="58" t="str">
        <f t="shared" si="11"/>
        <v/>
      </c>
      <c r="T82" s="59" t="str">
        <f t="shared" si="12"/>
        <v/>
      </c>
      <c r="U82" s="60" t="str">
        <f t="shared" si="13"/>
        <v/>
      </c>
      <c r="V82" s="238" t="str" cm="1">
        <f t="array" ref="V82">IF($A82="","",IF(SUMIF(Deliverables!$A$5:$A$204,$A82,Deliverables!$E$5:$E$204)=0,1,SUMPRODUCT((Deliverables!$A$5:$A$204=$A82)*Deliverables!$E$5:$E$204*Deliverables!$P$5:$P$204)/SUMIF(Deliverables!$A$5:$A$204,$A82,Deliverables!$E$5:$E$204)))</f>
        <v/>
      </c>
      <c r="W82" s="241"/>
      <c r="X82" s="241"/>
      <c r="Y82" s="241"/>
    </row>
    <row r="83" spans="1:25" x14ac:dyDescent="0.3">
      <c r="A83" s="34"/>
      <c r="B83" s="34"/>
      <c r="C83" s="35"/>
      <c r="D83" s="36"/>
      <c r="E83" s="36"/>
      <c r="F83" s="37"/>
      <c r="G83" s="235" t="str">
        <f>IF($A83="","",IF(SUMIF(Deliverables!$A$5:$A$204,$A83,Deliverables!$E$5:$E$204)=0,$O83,SUMIF(Deliverables!$A$5:$A$204,$A83,Deliverables!$I$5:$I$204)/SUMIF(Deliverables!$A$5:$A$204,$A83,Deliverables!$E$5:$E$204)))</f>
        <v/>
      </c>
      <c r="H83" s="39"/>
      <c r="I83" s="249" t="str">
        <f>IF($A83="","",IF(SUM(Deliverables!$W82:$Y82)=0,$W83,Deliverables!W82))</f>
        <v/>
      </c>
      <c r="J83" s="249" t="str">
        <f>IF($A83="","",IF(SUM(Deliverables!$W82:$Y82)=0,$X83,Deliverables!X82))</f>
        <v/>
      </c>
      <c r="K83" s="249" t="str">
        <f>IF($A83="","",IF(SUM(Deliverables!$W82:$Y82)=0,$Y83,Deliverables!Y82))</f>
        <v/>
      </c>
      <c r="L83" s="40" t="str">
        <f t="shared" si="14"/>
        <v/>
      </c>
      <c r="M83" s="41">
        <f t="shared" si="15"/>
        <v>0</v>
      </c>
      <c r="N83" s="34"/>
      <c r="O83" s="236"/>
      <c r="P83" s="58" t="str">
        <f>IF($A83="","",SUMIF(Phasing!$A$265:$A$504,$A83,Phasing!$Y$265:$Y$504))</f>
        <v/>
      </c>
      <c r="Q83" s="58" t="str">
        <f t="shared" si="9"/>
        <v/>
      </c>
      <c r="R83" s="59" t="str">
        <f t="shared" si="10"/>
        <v/>
      </c>
      <c r="S83" s="58" t="str">
        <f t="shared" si="11"/>
        <v/>
      </c>
      <c r="T83" s="59" t="str">
        <f t="shared" si="12"/>
        <v/>
      </c>
      <c r="U83" s="60" t="str">
        <f t="shared" si="13"/>
        <v/>
      </c>
      <c r="V83" s="238" t="str" cm="1">
        <f t="array" ref="V83">IF($A83="","",IF(SUMIF(Deliverables!$A$5:$A$204,$A83,Deliverables!$E$5:$E$204)=0,1,SUMPRODUCT((Deliverables!$A$5:$A$204=$A83)*Deliverables!$E$5:$E$204*Deliverables!$P$5:$P$204)/SUMIF(Deliverables!$A$5:$A$204,$A83,Deliverables!$E$5:$E$204)))</f>
        <v/>
      </c>
      <c r="W83" s="241"/>
      <c r="X83" s="241"/>
      <c r="Y83" s="241"/>
    </row>
    <row r="84" spans="1:25" x14ac:dyDescent="0.3">
      <c r="A84" s="34"/>
      <c r="B84" s="34"/>
      <c r="C84" s="35"/>
      <c r="D84" s="36"/>
      <c r="E84" s="36"/>
      <c r="F84" s="37"/>
      <c r="G84" s="235" t="str">
        <f>IF($A84="","",IF(SUMIF(Deliverables!$A$5:$A$204,$A84,Deliverables!$E$5:$E$204)=0,$O84,SUMIF(Deliverables!$A$5:$A$204,$A84,Deliverables!$I$5:$I$204)/SUMIF(Deliverables!$A$5:$A$204,$A84,Deliverables!$E$5:$E$204)))</f>
        <v/>
      </c>
      <c r="H84" s="39"/>
      <c r="I84" s="249" t="str">
        <f>IF($A84="","",IF(SUM(Deliverables!$W83:$Y83)=0,$W84,Deliverables!W83))</f>
        <v/>
      </c>
      <c r="J84" s="249" t="str">
        <f>IF($A84="","",IF(SUM(Deliverables!$W83:$Y83)=0,$X84,Deliverables!X83))</f>
        <v/>
      </c>
      <c r="K84" s="249" t="str">
        <f>IF($A84="","",IF(SUM(Deliverables!$W83:$Y83)=0,$Y84,Deliverables!Y83))</f>
        <v/>
      </c>
      <c r="L84" s="40" t="str">
        <f t="shared" si="14"/>
        <v/>
      </c>
      <c r="M84" s="41">
        <f t="shared" si="15"/>
        <v>0</v>
      </c>
      <c r="N84" s="34"/>
      <c r="O84" s="236"/>
      <c r="P84" s="58" t="str">
        <f>IF($A84="","",SUMIF(Phasing!$A$265:$A$504,$A84,Phasing!$Y$265:$Y$504))</f>
        <v/>
      </c>
      <c r="Q84" s="58" t="str">
        <f t="shared" si="9"/>
        <v/>
      </c>
      <c r="R84" s="59" t="str">
        <f t="shared" si="10"/>
        <v/>
      </c>
      <c r="S84" s="58" t="str">
        <f t="shared" si="11"/>
        <v/>
      </c>
      <c r="T84" s="59" t="str">
        <f t="shared" si="12"/>
        <v/>
      </c>
      <c r="U84" s="60" t="str">
        <f t="shared" si="13"/>
        <v/>
      </c>
      <c r="V84" s="238" t="str" cm="1">
        <f t="array" ref="V84">IF($A84="","",IF(SUMIF(Deliverables!$A$5:$A$204,$A84,Deliverables!$E$5:$E$204)=0,1,SUMPRODUCT((Deliverables!$A$5:$A$204=$A84)*Deliverables!$E$5:$E$204*Deliverables!$P$5:$P$204)/SUMIF(Deliverables!$A$5:$A$204,$A84,Deliverables!$E$5:$E$204)))</f>
        <v/>
      </c>
      <c r="W84" s="241"/>
      <c r="X84" s="241"/>
      <c r="Y84" s="241"/>
    </row>
    <row r="85" spans="1:25" x14ac:dyDescent="0.3">
      <c r="A85" s="34"/>
      <c r="B85" s="34"/>
      <c r="C85" s="35"/>
      <c r="D85" s="36"/>
      <c r="E85" s="36"/>
      <c r="F85" s="37"/>
      <c r="G85" s="235" t="str">
        <f>IF($A85="","",IF(SUMIF(Deliverables!$A$5:$A$204,$A85,Deliverables!$E$5:$E$204)=0,$O85,SUMIF(Deliverables!$A$5:$A$204,$A85,Deliverables!$I$5:$I$204)/SUMIF(Deliverables!$A$5:$A$204,$A85,Deliverables!$E$5:$E$204)))</f>
        <v/>
      </c>
      <c r="H85" s="39"/>
      <c r="I85" s="249" t="str">
        <f>IF($A85="","",IF(SUM(Deliverables!$W84:$Y84)=0,$W85,Deliverables!W84))</f>
        <v/>
      </c>
      <c r="J85" s="249" t="str">
        <f>IF($A85="","",IF(SUM(Deliverables!$W84:$Y84)=0,$X85,Deliverables!X84))</f>
        <v/>
      </c>
      <c r="K85" s="249" t="str">
        <f>IF($A85="","",IF(SUM(Deliverables!$W84:$Y84)=0,$Y85,Deliverables!Y84))</f>
        <v/>
      </c>
      <c r="L85" s="40" t="str">
        <f t="shared" si="14"/>
        <v/>
      </c>
      <c r="M85" s="41">
        <f t="shared" si="15"/>
        <v>0</v>
      </c>
      <c r="N85" s="34"/>
      <c r="O85" s="236"/>
      <c r="P85" s="58" t="str">
        <f>IF($A85="","",SUMIF(Phasing!$A$265:$A$504,$A85,Phasing!$Y$265:$Y$504))</f>
        <v/>
      </c>
      <c r="Q85" s="58" t="str">
        <f t="shared" si="9"/>
        <v/>
      </c>
      <c r="R85" s="59" t="str">
        <f t="shared" si="10"/>
        <v/>
      </c>
      <c r="S85" s="58" t="str">
        <f t="shared" si="11"/>
        <v/>
      </c>
      <c r="T85" s="59" t="str">
        <f t="shared" si="12"/>
        <v/>
      </c>
      <c r="U85" s="60" t="str">
        <f t="shared" si="13"/>
        <v/>
      </c>
      <c r="V85" s="238" t="str" cm="1">
        <f t="array" ref="V85">IF($A85="","",IF(SUMIF(Deliverables!$A$5:$A$204,$A85,Deliverables!$E$5:$E$204)=0,1,SUMPRODUCT((Deliverables!$A$5:$A$204=$A85)*Deliverables!$E$5:$E$204*Deliverables!$P$5:$P$204)/SUMIF(Deliverables!$A$5:$A$204,$A85,Deliverables!$E$5:$E$204)))</f>
        <v/>
      </c>
      <c r="W85" s="241"/>
      <c r="X85" s="241"/>
      <c r="Y85" s="241"/>
    </row>
    <row r="86" spans="1:25" x14ac:dyDescent="0.3">
      <c r="A86" s="19" t="s">
        <v>45</v>
      </c>
      <c r="B86" s="23"/>
      <c r="C86" s="20">
        <f>SUM(C6:C85)</f>
        <v>165.57999999999998</v>
      </c>
      <c r="D86" s="23"/>
      <c r="E86" s="23"/>
      <c r="F86" s="23"/>
      <c r="G86" s="23"/>
      <c r="H86" s="23"/>
      <c r="I86" s="23"/>
      <c r="J86" s="23"/>
      <c r="K86" s="23"/>
      <c r="L86" s="23"/>
      <c r="M86" s="46">
        <f>SUM(M6:M85)</f>
        <v>9</v>
      </c>
      <c r="N86" s="23"/>
      <c r="P86" s="32">
        <f>SUM(P6:P85)</f>
        <v>70.541891891891893</v>
      </c>
      <c r="Q86" s="32">
        <f>SUM(Q6:Q85)</f>
        <v>164.98102036396901</v>
      </c>
      <c r="R86" s="32">
        <f>SUM(R6:R85)</f>
        <v>94.439128472077087</v>
      </c>
      <c r="S86" s="32">
        <f>SUM(S6:S85)</f>
        <v>114.34100000000001</v>
      </c>
      <c r="T86" s="32">
        <f>SUM(T6:T85)</f>
        <v>0.59897963603100912</v>
      </c>
      <c r="U86" s="61">
        <f>IF(P86=0,"",S86/P86)</f>
        <v>1.6208950020114559</v>
      </c>
    </row>
    <row r="87" spans="1:25" x14ac:dyDescent="0.3">
      <c r="A87" s="1"/>
      <c r="B87" s="1"/>
      <c r="C87" s="1"/>
      <c r="D87" s="1"/>
      <c r="E87" s="1"/>
      <c r="F87" s="1"/>
      <c r="G87" s="1"/>
      <c r="H87" s="1"/>
      <c r="I87" s="1"/>
      <c r="J87" s="1"/>
      <c r="K87" s="1"/>
      <c r="L87" s="1"/>
      <c r="M87" s="1"/>
      <c r="N87" s="1"/>
    </row>
    <row r="88" spans="1:25" x14ac:dyDescent="0.3">
      <c r="A88" s="1"/>
      <c r="B88" s="1"/>
      <c r="C88" s="1"/>
      <c r="D88" s="1"/>
      <c r="E88" s="1"/>
      <c r="F88" s="1"/>
      <c r="G88" s="1"/>
      <c r="H88" s="1"/>
      <c r="I88" s="1"/>
      <c r="J88" s="1"/>
      <c r="K88" s="1"/>
      <c r="L88" s="1"/>
      <c r="M88" s="1"/>
      <c r="N88" s="1"/>
    </row>
    <row r="89" spans="1:25" ht="19.95" customHeight="1" x14ac:dyDescent="0.3">
      <c r="A89" s="298" t="s">
        <v>46</v>
      </c>
      <c r="B89" s="299"/>
      <c r="C89" s="299"/>
      <c r="D89" s="299"/>
      <c r="E89" s="299"/>
      <c r="F89" s="299"/>
      <c r="G89" s="1"/>
      <c r="H89" s="1"/>
      <c r="I89" s="1"/>
      <c r="J89" s="1"/>
      <c r="K89" s="1"/>
      <c r="L89" s="1"/>
      <c r="M89" s="1"/>
      <c r="N89" s="1"/>
    </row>
    <row r="90" spans="1:25" x14ac:dyDescent="0.3">
      <c r="A90" s="10" t="s">
        <v>9</v>
      </c>
      <c r="B90" s="45">
        <v>2024</v>
      </c>
      <c r="C90" s="45">
        <v>2025</v>
      </c>
      <c r="D90" s="45">
        <v>2026</v>
      </c>
      <c r="E90" s="45">
        <v>2027</v>
      </c>
      <c r="F90" s="45">
        <v>2028</v>
      </c>
      <c r="G90" s="1"/>
      <c r="H90" s="1"/>
      <c r="I90" s="1"/>
      <c r="J90" s="1"/>
      <c r="K90" s="1"/>
      <c r="L90" s="1"/>
      <c r="M90" s="1"/>
      <c r="N90" s="1"/>
    </row>
    <row r="91" spans="1:25" x14ac:dyDescent="0.3">
      <c r="A91" s="42" t="inlineStr">
        <is>
          <t xml:space="preserve">Engineer 1</t>
        </is>
      </c>
      <c r="B91" s="38">
        <v>1</v>
      </c>
      <c r="C91" s="38">
        <v>1</v>
      </c>
      <c r="D91" s="38">
        <v>1</v>
      </c>
      <c r="E91" s="38">
        <v>1</v>
      </c>
      <c r="F91" s="38">
        <v>1</v>
      </c>
      <c r="G91" s="1"/>
      <c r="H91" s="1"/>
      <c r="I91" s="1"/>
      <c r="J91" s="1"/>
      <c r="K91" s="1"/>
      <c r="L91" s="1"/>
      <c r="M91" s="1"/>
      <c r="N91" s="1"/>
    </row>
    <row r="92" spans="1:25" x14ac:dyDescent="0.3">
      <c r="A92" s="42" t="inlineStr">
        <is>
          <t xml:space="preserve">Engineer 2</t>
        </is>
      </c>
      <c r="B92" s="38">
        <v>1</v>
      </c>
      <c r="C92" s="38">
        <v>1</v>
      </c>
      <c r="D92" s="38">
        <v>1</v>
      </c>
      <c r="E92" s="38">
        <v>1</v>
      </c>
      <c r="F92" s="38">
        <v>1</v>
      </c>
      <c r="G92" s="1"/>
      <c r="H92" s="1"/>
      <c r="I92" s="1"/>
      <c r="J92" s="1"/>
      <c r="K92" s="1"/>
      <c r="L92" s="1"/>
      <c r="M92" s="1"/>
      <c r="N92" s="1"/>
    </row>
    <row r="93" spans="1:25" x14ac:dyDescent="0.3">
      <c r="A93" s="42" t="inlineStr">
        <is>
          <t xml:space="preserve">Engineer 3</t>
        </is>
      </c>
      <c r="B93" s="38">
        <v>0.35</v>
      </c>
      <c r="C93" s="38">
        <v>1</v>
      </c>
      <c r="D93" s="38">
        <v>1</v>
      </c>
      <c r="E93" s="38">
        <v>1</v>
      </c>
      <c r="F93" s="38">
        <v>1</v>
      </c>
      <c r="G93" s="1"/>
      <c r="H93" s="1"/>
      <c r="I93" s="1"/>
      <c r="J93" s="1"/>
      <c r="K93" s="1"/>
      <c r="L93" s="1"/>
      <c r="M93" s="1"/>
      <c r="N93" s="1"/>
    </row>
    <row r="94" spans="1:25" x14ac:dyDescent="0.3">
      <c r="A94" s="43" t="s">
        <v>47</v>
      </c>
      <c r="B94" s="44">
        <v>3</v>
      </c>
      <c r="C94" s="293" t="s">
        <v>48</v>
      </c>
      <c r="D94" s="293"/>
      <c r="E94" s="293"/>
      <c r="F94" s="293"/>
      <c r="G94" s="293"/>
      <c r="H94" s="293"/>
      <c r="I94" s="1"/>
      <c r="J94" s="1"/>
      <c r="K94" s="1"/>
      <c r="L94" s="1"/>
      <c r="M94" s="1"/>
      <c r="N94" s="1"/>
    </row>
    <row r="95" spans="1:25" x14ac:dyDescent="0.3">
      <c r="A95" s="1"/>
      <c r="B95" s="1"/>
      <c r="C95" s="1"/>
      <c r="D95" s="1"/>
      <c r="E95" s="1"/>
      <c r="F95" s="1"/>
      <c r="G95" s="1"/>
      <c r="H95" s="1"/>
      <c r="I95" s="1"/>
      <c r="J95" s="1"/>
      <c r="K95" s="1"/>
      <c r="L95" s="1"/>
      <c r="M95" s="1"/>
      <c r="N95" s="1"/>
    </row>
    <row r="96" spans="1:25" x14ac:dyDescent="0.3">
      <c r="A96" s="2" t="s">
        <v>278</v>
      </c>
      <c r="B96" s="162">
        <f ca="1">TODAY()</f>
        <v>46266</v>
      </c>
      <c r="C96" s="293" t="s">
        <v>279</v>
      </c>
      <c r="D96" s="294"/>
      <c r="E96" s="294"/>
      <c r="F96" s="294"/>
      <c r="G96" s="294"/>
      <c r="H96" s="294"/>
      <c r="I96" s="1"/>
      <c r="J96" s="1"/>
      <c r="K96" s="1"/>
      <c r="L96" s="1"/>
      <c r="M96" s="1"/>
      <c r="N96" s="1"/>
    </row>
    <row r="97" spans="1:14" x14ac:dyDescent="0.3">
      <c r="A97" s="1"/>
      <c r="B97" s="1"/>
      <c r="C97" s="1"/>
      <c r="D97" s="1"/>
      <c r="E97" s="1"/>
      <c r="F97" s="1"/>
      <c r="G97" s="1"/>
      <c r="H97" s="1"/>
      <c r="I97" s="1"/>
      <c r="J97" s="1"/>
      <c r="K97" s="1"/>
      <c r="L97" s="1"/>
      <c r="M97" s="1"/>
      <c r="N97" s="1"/>
    </row>
    <row r="98" spans="1:14" x14ac:dyDescent="0.3">
      <c r="A98" s="1"/>
      <c r="B98" s="1"/>
      <c r="C98" s="1"/>
      <c r="D98" s="1"/>
      <c r="E98" s="1"/>
      <c r="F98" s="1"/>
      <c r="G98" s="1"/>
      <c r="H98" s="1"/>
      <c r="I98" s="1"/>
      <c r="J98" s="1"/>
      <c r="K98" s="1"/>
      <c r="L98" s="1"/>
      <c r="M98" s="1"/>
      <c r="N98" s="1"/>
    </row>
    <row r="99" spans="1:14" x14ac:dyDescent="0.3">
      <c r="A99" s="1"/>
      <c r="B99" s="1"/>
      <c r="C99" s="1"/>
      <c r="D99" s="1"/>
      <c r="E99" s="1"/>
      <c r="F99" s="1"/>
      <c r="G99" s="1"/>
      <c r="H99" s="1"/>
      <c r="I99" s="1"/>
      <c r="J99" s="1"/>
      <c r="K99" s="1"/>
      <c r="L99" s="1"/>
      <c r="M99" s="1"/>
      <c r="N99" s="1"/>
    </row>
    <row r="100" spans="1:14" x14ac:dyDescent="0.3">
      <c r="A100" s="1"/>
      <c r="B100" s="1"/>
      <c r="C100" s="1"/>
      <c r="D100" s="1"/>
      <c r="E100" s="1"/>
      <c r="F100" s="1"/>
      <c r="G100" s="1"/>
      <c r="H100" s="1"/>
      <c r="I100" s="1"/>
      <c r="J100" s="1"/>
      <c r="K100" s="1"/>
      <c r="L100" s="1"/>
      <c r="M100" s="1"/>
      <c r="N100" s="1"/>
    </row>
    <row r="101" spans="1:14" x14ac:dyDescent="0.3">
      <c r="A101" s="1"/>
      <c r="B101" s="1"/>
      <c r="C101" s="1"/>
      <c r="D101" s="1"/>
      <c r="E101" s="1"/>
      <c r="F101" s="1"/>
      <c r="G101" s="1"/>
      <c r="H101" s="1"/>
      <c r="I101" s="1"/>
      <c r="J101" s="1"/>
      <c r="K101" s="1"/>
      <c r="L101" s="1"/>
      <c r="M101" s="1"/>
      <c r="N101" s="1"/>
    </row>
    <row r="102" spans="1:14" x14ac:dyDescent="0.3">
      <c r="A102" s="1"/>
      <c r="B102" s="1"/>
      <c r="C102" s="1"/>
      <c r="D102" s="1"/>
      <c r="E102" s="1"/>
      <c r="F102" s="1"/>
      <c r="G102" s="1"/>
      <c r="H102" s="1"/>
      <c r="I102" s="1"/>
      <c r="J102" s="1"/>
      <c r="K102" s="1"/>
      <c r="L102" s="1"/>
      <c r="M102" s="1"/>
      <c r="N102" s="1"/>
    </row>
    <row r="103" spans="1:14" x14ac:dyDescent="0.3">
      <c r="A103" s="1"/>
      <c r="B103" s="1"/>
      <c r="C103" s="1"/>
      <c r="D103" s="1"/>
      <c r="E103" s="1"/>
      <c r="F103" s="1"/>
      <c r="G103" s="1"/>
      <c r="H103" s="1"/>
      <c r="I103" s="1"/>
      <c r="J103" s="1"/>
      <c r="K103" s="1"/>
      <c r="L103" s="1"/>
      <c r="M103" s="1"/>
      <c r="N103" s="1"/>
    </row>
    <row r="104" spans="1:14" x14ac:dyDescent="0.3">
      <c r="A104" s="1"/>
      <c r="B104" s="1"/>
      <c r="C104" s="1"/>
      <c r="D104" s="1"/>
      <c r="E104" s="1"/>
      <c r="F104" s="1"/>
      <c r="G104" s="1"/>
      <c r="H104" s="1"/>
      <c r="I104" s="1"/>
      <c r="J104" s="1"/>
      <c r="K104" s="1"/>
      <c r="L104" s="1"/>
      <c r="M104" s="1"/>
      <c r="N104" s="1"/>
    </row>
    <row r="105" spans="1:14" x14ac:dyDescent="0.3">
      <c r="A105" s="1"/>
      <c r="B105" s="1"/>
      <c r="C105" s="1"/>
      <c r="D105" s="1"/>
      <c r="E105" s="1"/>
      <c r="F105" s="1"/>
      <c r="G105" s="1"/>
      <c r="H105" s="1"/>
      <c r="I105" s="1"/>
      <c r="J105" s="1"/>
      <c r="K105" s="1"/>
      <c r="L105" s="1"/>
      <c r="M105" s="1"/>
      <c r="N105" s="1"/>
    </row>
    <row r="106" spans="1:14" x14ac:dyDescent="0.3">
      <c r="A106" s="1"/>
      <c r="B106" s="1"/>
      <c r="C106" s="1"/>
      <c r="D106" s="1"/>
      <c r="E106" s="1"/>
      <c r="F106" s="1"/>
      <c r="G106" s="1"/>
      <c r="H106" s="1"/>
      <c r="I106" s="1"/>
      <c r="J106" s="1"/>
      <c r="K106" s="1"/>
      <c r="L106" s="1"/>
      <c r="M106" s="1"/>
      <c r="N106" s="1"/>
    </row>
    <row r="107" spans="1:14" x14ac:dyDescent="0.3">
      <c r="A107" s="1"/>
      <c r="B107" s="1"/>
      <c r="C107" s="1"/>
      <c r="D107" s="1"/>
      <c r="E107" s="1"/>
      <c r="F107" s="1"/>
      <c r="G107" s="1"/>
      <c r="H107" s="1"/>
      <c r="I107" s="1"/>
      <c r="J107" s="1"/>
      <c r="K107" s="1"/>
      <c r="L107" s="1"/>
      <c r="M107" s="1"/>
      <c r="N107" s="1"/>
    </row>
    <row r="108" spans="1:14" x14ac:dyDescent="0.3">
      <c r="A108" s="1"/>
      <c r="B108" s="1"/>
      <c r="C108" s="1"/>
      <c r="D108" s="1"/>
      <c r="E108" s="1"/>
      <c r="F108" s="1"/>
      <c r="G108" s="1"/>
      <c r="H108" s="1"/>
      <c r="I108" s="1"/>
      <c r="J108" s="1"/>
      <c r="K108" s="1"/>
      <c r="L108" s="1"/>
      <c r="M108" s="1"/>
      <c r="N108" s="1"/>
    </row>
    <row r="109" spans="1:14" x14ac:dyDescent="0.3">
      <c r="A109" s="1"/>
      <c r="B109" s="1"/>
      <c r="C109" s="1"/>
      <c r="D109" s="1"/>
      <c r="E109" s="1"/>
      <c r="F109" s="1"/>
      <c r="G109" s="1"/>
      <c r="H109" s="1"/>
      <c r="I109" s="1"/>
      <c r="J109" s="1"/>
      <c r="K109" s="1"/>
      <c r="L109" s="1"/>
      <c r="M109" s="1"/>
      <c r="N109" s="1"/>
    </row>
    <row r="110" spans="1:14" x14ac:dyDescent="0.3">
      <c r="A110" s="1"/>
      <c r="B110" s="1"/>
      <c r="C110" s="1"/>
      <c r="D110" s="1"/>
      <c r="E110" s="1"/>
      <c r="F110" s="1"/>
      <c r="G110" s="1"/>
      <c r="H110" s="1"/>
      <c r="I110" s="1"/>
      <c r="J110" s="1"/>
      <c r="K110" s="1"/>
      <c r="L110" s="1"/>
      <c r="M110" s="1"/>
      <c r="N110" s="1"/>
    </row>
    <row r="111" spans="1:14" x14ac:dyDescent="0.3">
      <c r="A111" s="1"/>
      <c r="B111" s="1"/>
      <c r="C111" s="1"/>
      <c r="D111" s="1"/>
      <c r="E111" s="1"/>
      <c r="F111" s="1"/>
      <c r="G111" s="1"/>
      <c r="H111" s="1"/>
      <c r="I111" s="1"/>
      <c r="J111" s="1"/>
      <c r="K111" s="1"/>
      <c r="L111" s="1"/>
      <c r="M111" s="1"/>
      <c r="N111" s="1"/>
    </row>
    <row r="112" spans="1:14" x14ac:dyDescent="0.3">
      <c r="A112" s="1"/>
      <c r="B112" s="1"/>
      <c r="C112" s="1"/>
      <c r="D112" s="1"/>
      <c r="E112" s="1"/>
      <c r="F112" s="1"/>
      <c r="G112" s="1"/>
      <c r="H112" s="1"/>
      <c r="I112" s="1"/>
      <c r="J112" s="1"/>
      <c r="K112" s="1"/>
      <c r="L112" s="1"/>
      <c r="M112" s="1"/>
      <c r="N112" s="1"/>
    </row>
    <row r="113" spans="1:14" x14ac:dyDescent="0.3">
      <c r="A113" s="1"/>
      <c r="B113" s="1"/>
      <c r="C113" s="1"/>
      <c r="D113" s="1"/>
      <c r="E113" s="1"/>
      <c r="F113" s="1"/>
      <c r="G113" s="1"/>
      <c r="H113" s="1"/>
      <c r="I113" s="1"/>
      <c r="J113" s="1"/>
      <c r="K113" s="1"/>
      <c r="L113" s="1"/>
      <c r="M113" s="1"/>
      <c r="N113" s="1"/>
    </row>
    <row r="114" spans="1:14" x14ac:dyDescent="0.3">
      <c r="A114" s="1"/>
      <c r="B114" s="1"/>
      <c r="C114" s="1"/>
      <c r="D114" s="1"/>
      <c r="E114" s="1"/>
      <c r="F114" s="1"/>
      <c r="G114" s="1"/>
      <c r="H114" s="1"/>
      <c r="I114" s="1"/>
      <c r="J114" s="1"/>
      <c r="K114" s="1"/>
      <c r="L114" s="1"/>
      <c r="M114" s="1"/>
      <c r="N114" s="1"/>
    </row>
    <row r="115" spans="1:14" x14ac:dyDescent="0.3">
      <c r="A115" s="1"/>
      <c r="B115" s="1"/>
      <c r="C115" s="1"/>
      <c r="D115" s="1"/>
      <c r="E115" s="1"/>
      <c r="F115" s="1"/>
      <c r="G115" s="1"/>
      <c r="H115" s="1"/>
      <c r="I115" s="1"/>
      <c r="J115" s="1"/>
      <c r="K115" s="1"/>
      <c r="L115" s="1"/>
      <c r="M115" s="1"/>
      <c r="N115" s="1"/>
    </row>
    <row r="116" spans="1:14" x14ac:dyDescent="0.3">
      <c r="A116" s="1"/>
      <c r="B116" s="1"/>
      <c r="C116" s="1"/>
      <c r="D116" s="1"/>
      <c r="E116" s="1"/>
      <c r="F116" s="1"/>
      <c r="G116" s="1"/>
      <c r="H116" s="1"/>
      <c r="I116" s="1"/>
      <c r="J116" s="1"/>
      <c r="K116" s="1"/>
      <c r="L116" s="1"/>
      <c r="M116" s="1"/>
      <c r="N116" s="1"/>
    </row>
    <row r="117" spans="1:14" x14ac:dyDescent="0.3">
      <c r="A117" s="1"/>
      <c r="B117" s="1"/>
      <c r="C117" s="1"/>
      <c r="D117" s="1"/>
      <c r="E117" s="1"/>
      <c r="F117" s="1"/>
      <c r="G117" s="1"/>
      <c r="H117" s="1"/>
      <c r="I117" s="1"/>
      <c r="J117" s="1"/>
      <c r="K117" s="1"/>
      <c r="L117" s="1"/>
      <c r="M117" s="1"/>
      <c r="N117" s="1"/>
    </row>
    <row r="118" spans="1:14" x14ac:dyDescent="0.3">
      <c r="A118" s="1"/>
      <c r="B118" s="1"/>
      <c r="C118" s="1"/>
      <c r="D118" s="1"/>
      <c r="E118" s="1"/>
      <c r="F118" s="1"/>
      <c r="G118" s="1"/>
      <c r="H118" s="1"/>
      <c r="I118" s="1"/>
      <c r="J118" s="1"/>
      <c r="K118" s="1"/>
      <c r="L118" s="1"/>
      <c r="M118" s="1"/>
      <c r="N118" s="1"/>
    </row>
    <row r="119" spans="1:14" x14ac:dyDescent="0.3">
      <c r="A119" s="1"/>
      <c r="B119" s="1"/>
      <c r="C119" s="1"/>
      <c r="D119" s="1"/>
      <c r="E119" s="1"/>
      <c r="F119" s="1"/>
      <c r="G119" s="1"/>
      <c r="H119" s="1"/>
      <c r="I119" s="1"/>
      <c r="J119" s="1"/>
      <c r="K119" s="1"/>
      <c r="L119" s="1"/>
      <c r="M119" s="1"/>
      <c r="N119" s="1"/>
    </row>
    <row r="120" spans="1:14" x14ac:dyDescent="0.3">
      <c r="A120" s="1"/>
      <c r="B120" s="1"/>
      <c r="C120" s="1"/>
      <c r="D120" s="1"/>
      <c r="E120" s="1"/>
      <c r="F120" s="1"/>
      <c r="G120" s="1"/>
      <c r="H120" s="1"/>
      <c r="I120" s="1"/>
      <c r="J120" s="1"/>
      <c r="K120" s="1"/>
      <c r="L120" s="1"/>
      <c r="M120" s="1"/>
      <c r="N120" s="1"/>
    </row>
  </sheetData>
  <mergeCells count="7">
    <mergeCell ref="P4:U4"/>
    <mergeCell ref="C96:H96"/>
    <mergeCell ref="A1:N1"/>
    <mergeCell ref="A2:N2"/>
    <mergeCell ref="A4:N4"/>
    <mergeCell ref="A89:F89"/>
    <mergeCell ref="C94:H94"/>
  </mergeCells>
  <conditionalFormatting sqref="F6:F85">
    <cfRule type="containsText" dxfId="130" priority="2" operator="containsText" text="Active">
      <formula>NOT(ISERROR(SEARCH("Active",F6)))</formula>
    </cfRule>
    <cfRule type="containsText" dxfId="129" priority="3" operator="containsText" text="Not Started">
      <formula>NOT(ISERROR(SEARCH("Not Started",F6)))</formula>
    </cfRule>
    <cfRule type="containsText" dxfId="128" priority="4" operator="containsText" text="On Hold">
      <formula>NOT(ISERROR(SEARCH("On Hold",F6)))</formula>
    </cfRule>
    <cfRule type="containsText" dxfId="127" priority="5" operator="containsText" text="Finalized">
      <formula>NOT(ISERROR(SEARCH("Finalized",F6)))</formula>
    </cfRule>
    <cfRule type="containsText" dxfId="126" priority="6" operator="containsText" text="Proposal">
      <formula>NOT(ISERROR(SEARCH("Proposal",F6)))</formula>
    </cfRule>
    <cfRule type="containsText" dxfId="125" priority="7" operator="containsText" text="Cancelled">
      <formula>NOT(ISERROR(SEARCH("Cancelled",F6)))</formula>
    </cfRule>
  </conditionalFormatting>
  <conditionalFormatting sqref="L6:L85">
    <cfRule type="expression" dxfId="124" priority="1">
      <formula>AND($A6&lt;&gt;"",$L6&lt;&gt;1)</formula>
    </cfRule>
  </conditionalFormatting>
  <conditionalFormatting sqref="T6:T86">
    <cfRule type="cellIs" dxfId="123" priority="8" operator="lessThan">
      <formula>0</formula>
    </cfRule>
  </conditionalFormatting>
  <dataValidations count="1">
    <dataValidation type="list" allowBlank="1" showInputMessage="1" showErrorMessage="1" sqref="F6:F85" xr:uid="{6D8A6204-1EA7-40BD-BE39-5A5EA0C40198}">
      <formula1>"Active,Not Started,On Hold,Finalized,Proposal,Cancelled"</formula1>
    </dataValidation>
  </dataValidations>
  <pageMargins left="0.7" right="0.7" top="0.75" bottom="0.75" header="0.3" footer="0.3"/>
  <pageSetup paperSize="9" scale="31" orientation="landscape"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454B5-D1BC-4E20-A8D6-EEF7E5336E04}">
  <sheetPr>
    <tabColor rgb="FF2E9B57"/>
  </sheetPr>
  <dimension ref="A1:AE204"/>
  <sheetViews>
    <sheetView workbookViewId="0">
      <pane ySplit="4" topLeftCell="A50" activePane="bottomLeft" state="frozen"/>
      <selection pane="bottomLeft" activeCell="D13" sqref="D13"/>
    </sheetView>
  </sheetViews>
  <sheetFormatPr defaultRowHeight="14.4" x14ac:dyDescent="0.3"/>
  <cols>
    <col min="1" max="1" width="20.33203125" customWidth="1"/>
    <col min="2" max="2" width="40.77734375" customWidth="1"/>
    <col min="3" max="3" width="42.5546875" customWidth="1"/>
    <col min="4" max="4" width="12" customWidth="1"/>
    <col min="5" max="5" width="13.88671875" customWidth="1"/>
    <col min="6" max="6" width="10.21875" customWidth="1"/>
    <col min="7" max="7" width="37" customWidth="1"/>
    <col min="8" max="8" width="11.109375" customWidth="1"/>
    <col min="9" max="9" width="15.77734375" customWidth="1"/>
    <col min="10" max="10" width="16.6640625" customWidth="1"/>
    <col min="11" max="13" width="12" customWidth="1"/>
    <col min="14" max="14" width="14.77734375" customWidth="1"/>
    <col min="15" max="15" width="29.6640625" customWidth="1"/>
    <col min="16" max="16" width="13.88671875" customWidth="1"/>
    <col min="17" max="17" width="20.33203125" customWidth="1"/>
    <col min="18" max="22" width="15.77734375" customWidth="1"/>
    <col min="23" max="25" width="14.77734375" customWidth="1"/>
    <col min="26" max="26" width="18.5546875" customWidth="1"/>
    <col min="27" max="27" width="11.109375" bestFit="1" customWidth="1"/>
    <col min="28" max="28" width="11.5546875" bestFit="1" customWidth="1"/>
    <col min="29" max="29" width="12.109375" bestFit="1" customWidth="1"/>
    <col min="30" max="30" width="12.6640625" bestFit="1" customWidth="1"/>
    <col min="31" max="31" width="27.33203125" customWidth="1"/>
  </cols>
  <sheetData>
    <row r="1" spans="1:31" ht="17.399999999999999" x14ac:dyDescent="0.3">
      <c r="A1" s="215" t="s">
        <v>461</v>
      </c>
      <c r="Q1" s="217" t="s">
        <v>469</v>
      </c>
    </row>
    <row r="2" spans="1:31" x14ac:dyDescent="0.3">
      <c r="A2" s="216" t="s">
        <v>525</v>
      </c>
      <c r="Q2" s="216" t="s">
        <v>470</v>
      </c>
    </row>
    <row r="3" spans="1:31" x14ac:dyDescent="0.3">
      <c r="P3" s="234" t="s">
        <v>506</v>
      </c>
    </row>
    <row r="4" spans="1:31" ht="34.049999999999997" customHeight="1" x14ac:dyDescent="0.3">
      <c r="A4" s="222" t="s">
        <v>462</v>
      </c>
      <c r="B4" s="222" t="s">
        <v>36</v>
      </c>
      <c r="C4" s="222" t="s">
        <v>463</v>
      </c>
      <c r="D4" s="222" t="s">
        <v>354</v>
      </c>
      <c r="E4" s="222" t="s">
        <v>464</v>
      </c>
      <c r="F4" s="222" t="s">
        <v>411</v>
      </c>
      <c r="G4" s="222" t="s">
        <v>465</v>
      </c>
      <c r="H4" s="222" t="s">
        <v>466</v>
      </c>
      <c r="I4" s="222" t="s">
        <v>467</v>
      </c>
      <c r="J4" s="219" t="s">
        <v>468</v>
      </c>
      <c r="K4" s="222" t="inlineStr">
        <is>
          <t xml:space="preserve">Engineer 1 %</t>
        </is>
      </c>
      <c r="L4" s="222" t="inlineStr">
        <is>
          <t xml:space="preserve">Engineer 2 %</t>
        </is>
      </c>
      <c r="M4" s="222" t="inlineStr">
        <is>
          <t xml:space="preserve">Engineer 3 %</t>
        </is>
      </c>
      <c r="N4" s="222" t="s">
        <v>517</v>
      </c>
      <c r="O4" s="220" t="s">
        <v>44</v>
      </c>
      <c r="P4" s="232" t="s">
        <v>504</v>
      </c>
      <c r="Q4" s="222" t="s">
        <v>462</v>
      </c>
      <c r="R4" s="222" t="s">
        <v>471</v>
      </c>
      <c r="S4" s="222" t="s">
        <v>472</v>
      </c>
      <c r="T4" s="222" t="s">
        <v>473</v>
      </c>
      <c r="U4" s="222" t="s">
        <v>474</v>
      </c>
      <c r="V4" s="245" t="s">
        <v>505</v>
      </c>
      <c r="W4" s="222" t="s">
        <v>518</v>
      </c>
      <c r="X4" s="222" t="s">
        <v>519</v>
      </c>
      <c r="Y4" s="222" t="s">
        <v>520</v>
      </c>
      <c r="Z4" s="222" t="s">
        <v>521</v>
      </c>
      <c r="AA4" s="232" t="s">
        <v>802</v>
      </c>
      <c r="AB4" s="232" t="s">
        <v>803</v>
      </c>
      <c r="AC4" s="232" t="s">
        <v>804</v>
      </c>
      <c r="AD4" s="232" t="s">
        <v>805</v>
      </c>
      <c r="AE4" s="232" t="s">
        <v>801</v>
      </c>
    </row>
    <row r="5" spans="1:31" x14ac:dyDescent="0.3">
      <c r="A5" s="223"/>
      <c r="B5" s="224" t="str">
        <f>IF($A5="","",IFERROR(INDEX(Inputs!$B$6:$B$80,MATCH($A5,Inputs!$A$6:$A$80,0)),"not in register"))</f>
        <v>Consultancy Services for The Feasibility Studies, Masterplan and Concept Design for IJEBU-ODE and MONIYA Ports Terminals.</v>
      </c>
      <c r="C5" s="223"/>
      <c r="D5" s="223"/>
      <c r="E5" s="225"/>
      <c r="F5" s="226"/>
      <c r="G5" s="227" t="str">
        <f>IF(OR($D5="",$F5=""),"",IFERROR(INDEX('Rules of Credit'!$C$5:$C$38,MATCH($D5&amp;"|"&amp;$F5,'Rules of Credit'!$F$5:$F$38,0)),"invalid step"))</f>
        <v>Option selected and frozen</v>
      </c>
      <c r="H5" s="228">
        <f>IF(OR($D5="",$F5=""),"",IFERROR(INDEX('Rules of Credit'!$D$5:$D$38,MATCH($D5&amp;"|"&amp;$F5,'Rules of Credit'!$F$5:$F$38,0)),""))</f>
        <v>0.65</v>
      </c>
      <c r="I5" s="229">
        <f>IF(OR($E5="",$H5=""),"",$E5*$H5)</f>
        <v>0.65</v>
      </c>
      <c r="J5" s="242"/>
      <c r="K5" s="243"/>
      <c r="L5" s="243"/>
      <c r="M5" s="243"/>
      <c r="N5" s="244" t="str">
        <f>IF($A5="","",IF(SUM($K5:$M5)=0,"no split",IF(ROUND(SUM($K5:$M5),4)=1,"OK","not 100%")))</f>
        <v>OK</v>
      </c>
      <c r="O5" s="221"/>
      <c r="P5" s="233">
        <f>IF($D5="",0,IFERROR(INDEX('Project Types'!$E$5:$E$13,MATCH($D5,'Project Types'!$A$5:$A$13,0)),1))</f>
        <v>1.1000000000000001</v>
      </c>
      <c r="Q5" s="227" t="str">
        <f>IF(Inputs!$A6="","",Inputs!$A6)</f>
        <v>N25178-0100D</v>
      </c>
      <c r="R5" s="230">
        <f t="shared" ref="R5:R39" si="0">IF($Q5="","",COUNTIF($A$5:$A$204,$Q5))</f>
        <v>1</v>
      </c>
      <c r="S5" s="231">
        <f t="shared" ref="S5:S39" si="1">IF($Q5="","",SUMIF($A$5:$A$204,$Q5,$E$5:$E$204))</f>
        <v>1</v>
      </c>
      <c r="T5" s="230" t="str">
        <f t="shared" ref="T5:T36" si="2">IF($Q5="","",IF($R5=0,"no deliverables",IF(ROUND($S5,4)=1,"OK","weights not 100%")))</f>
        <v>OK</v>
      </c>
      <c r="U5" s="229">
        <f t="shared" ref="U5:U39" si="3">IF(OR($Q5="",$S5=0),"",SUMIF($A$5:$A$204,$Q5,$I$5:$I$204)/$S5)</f>
        <v>0.65</v>
      </c>
      <c r="V5" s="233" cm="1">
        <f t="array" ref="V5">IF($Q5="","",IF($S5=0,1,SUMPRODUCT(($A$5:$A$204=$Q5)*$E$5:$E$204*$P$5:$P$204)/$S5))</f>
        <v>1.1000000000000001</v>
      </c>
      <c r="W5" s="246" cm="1">
        <f t="array" ref="W5">IF($Q5="","",IF(SUMIF($A$5:$A$204,$Q5,$I$5:$I$204)&gt;0,SUMPRODUCT(IFERROR(($A$5:$A$204=$Q5)*$I$5:$I$204*K$5:K$204,0))/SUMIF($A$5:$A$204,$Q5,$I$5:$I$204),IF($S5&gt;0,SUMPRODUCT(IFERROR(($A$5:$A$204=$Q5)*$E$5:$E$204*K$5:K$204,0))/$S5,"")))</f>
        <v>1</v>
      </c>
      <c r="X5" s="246" cm="1">
        <f t="array" ref="X5">IF($Q5="","",IF(SUMIF($A$5:$A$204,$Q5,$I$5:$I$204)&gt;0,SUMPRODUCT(IFERROR(($A$5:$A$204=$Q5)*$I$5:$I$204*L$5:L$204,0))/SUMIF($A$5:$A$204,$Q5,$I$5:$I$204),IF($S5&gt;0,SUMPRODUCT(IFERROR(($A$5:$A$204=$Q5)*$E$5:$E$204*L$5:L$204,0))/$S5,"")))</f>
        <v>0</v>
      </c>
      <c r="Y5" s="246" cm="1">
        <f t="array" ref="Y5">IF($Q5="","",IF(SUMIF($A$5:$A$204,$Q5,$I$5:$I$204)&gt;0,SUMPRODUCT(IFERROR(($A$5:$A$204=$Q5)*$I$5:$I$204*M$5:M$204,0))/SUMIF($A$5:$A$204,$Q5,$I$5:$I$204),IF($S5&gt;0,SUMPRODUCT(IFERROR(($A$5:$A$204=$Q5)*$E$5:$E$204*M$5:M$204,0))/$S5,"")))</f>
        <v>0</v>
      </c>
      <c r="Z5" s="247" t="str">
        <f>IF($Q5="","",IF($R5=0,"no deliverables",IF(SUMIF($A$5:$A$204,$Q5,$I$5:$I$204)&gt;0,"earned progress","scope weight")))</f>
        <v>earned progress</v>
      </c>
      <c r="AA5" s="388">
        <f>IF($A5="","",IFERROR('Deliverable Actuals'!$K5,""))</f>
        <v>0</v>
      </c>
      <c r="AB5" s="388">
        <f>IF($A5="","",IFERROR('Deliverable Actuals'!$L5,""))</f>
        <v>0</v>
      </c>
      <c r="AC5" s="389">
        <f>IF($A5="","",IFERROR('Deliverable Actuals'!$I5,""))</f>
        <v>0</v>
      </c>
      <c r="AD5" s="350">
        <f>IF($A5="","",IFERROR('Deliverable Actuals'!$P5,""))</f>
        <v>0</v>
      </c>
      <c r="AE5" s="335" t="str">
        <f>IF($A5="","",IFERROR('Deliverable Actuals'!$R5,""))</f>
        <v>Never charged</v>
      </c>
      <c r="AG5"/>
      <c r="AH5"/>
      <c r="AI5"/>
      <c r="AJ5"/>
      <c r="AK5"/>
      <c r="AL5"/>
      <c r="AM5"/>
      <c r="AN5"/>
      <c r="AO5"/>
      <c r="AP5"/>
      <c r="AQ5"/>
      <c r="AR5"/>
    </row>
    <row r="6" spans="1:31" x14ac:dyDescent="0.3">
      <c r="A6" s="223"/>
      <c r="B6" s="224" t="str">
        <f>IF($A6="","",IFERROR(INDEX(Inputs!$B$6:$B$80,MATCH($A6,Inputs!$A$6:$A$80,0)),"not in register"))</f>
        <v>Ras Al Hekma – Landscape Design Consultancy Services [RIBA Stage 1-4] for Promenade Beach Area and Sea Wall</v>
      </c>
      <c r="C6" s="223"/>
      <c r="D6" s="223"/>
      <c r="E6" s="225"/>
      <c r="F6" s="226"/>
      <c r="G6" s="227" t="str">
        <f>IF(OR($D6="",$F6=""),"",IFERROR(INDEX('Rules of Credit'!$C$5:$C$38,MATCH($D6&amp;"|"&amp;$F6,'Rules of Credit'!$F$5:$F$38,0)),"invalid step"))</f>
        <v>Option selected and frozen</v>
      </c>
      <c r="H6" s="228">
        <f>IF(OR($D6="",$F6=""),"",IFERROR(INDEX('Rules of Credit'!$D$5:$D$38,MATCH($D6&amp;"|"&amp;$F6,'Rules of Credit'!$F$5:$F$38,0)),""))</f>
        <v>0.65</v>
      </c>
      <c r="I6" s="229">
        <f t="shared" ref="I6:I69" si="4">IF(OR($E6="",$H6=""),"",$E6*$H6)</f>
        <v>0.16250000000000001</v>
      </c>
      <c r="J6" s="242"/>
      <c r="K6" s="243"/>
      <c r="L6" s="243"/>
      <c r="M6" s="243"/>
      <c r="N6" s="244" t="str">
        <f t="shared" ref="N6:N69" si="5">IF($A6="","",IF(SUM($K6:$M6)=0,"no split",IF(ROUND(SUM($K6:$M6),4)=1,"OK","not 100%")))</f>
        <v>OK</v>
      </c>
      <c r="O6" s="221"/>
      <c r="P6" s="233">
        <f>IF($D6="",0,IFERROR(INDEX('Project Types'!$E$5:$E$13,MATCH($D6,'Project Types'!$A$5:$A$13,0)),1))</f>
        <v>1.1000000000000001</v>
      </c>
      <c r="Q6" s="227" t="str">
        <f>IF(Inputs!$A7="","",Inputs!$A7)</f>
        <v>E26084-0100D</v>
      </c>
      <c r="R6" s="230">
        <f t="shared" si="0"/>
        <v>2</v>
      </c>
      <c r="S6" s="231">
        <f t="shared" si="1"/>
        <v>1</v>
      </c>
      <c r="T6" s="230" t="str">
        <f t="shared" si="2"/>
        <v>OK</v>
      </c>
      <c r="U6" s="229">
        <f t="shared" si="3"/>
        <v>0.16250000000000001</v>
      </c>
      <c r="V6" s="233" cm="1">
        <f t="array" ref="V6">IF($Q6="","",IF($S6=0,1,SUMPRODUCT(($A$5:$A$204=$Q6)*$E$5:$E$204*$P$5:$P$204)/$S6))</f>
        <v>1.0249999999999999</v>
      </c>
      <c r="W6" s="246" cm="1">
        <f t="array" ref="W6">IF($Q6="","",IF(SUMIF($A$5:$A$204,$Q6,$I$5:$I$204)&gt;0,SUMPRODUCT(IFERROR(($A$5:$A$204=$Q6)*$I$5:$I$204*K$5:K$204,0))/SUMIF($A$5:$A$204,$Q6,$I$5:$I$204),IF($S6&gt;0,SUMPRODUCT(IFERROR(($A$5:$A$204=$Q6)*$E$5:$E$204*K$5:K$204,0))/$S6,"")))</f>
        <v>0.15</v>
      </c>
      <c r="X6" s="246" cm="1">
        <f t="array" ref="X6">IF($Q6="","",IF(SUMIF($A$5:$A$204,$Q6,$I$5:$I$204)&gt;0,SUMPRODUCT(IFERROR(($A$5:$A$204=$Q6)*$I$5:$I$204*L$5:L$204,0))/SUMIF($A$5:$A$204,$Q6,$I$5:$I$204),IF($S6&gt;0,SUMPRODUCT(IFERROR(($A$5:$A$204=$Q6)*$E$5:$E$204*L$5:L$204,0))/$S6,"")))</f>
        <v>0.85</v>
      </c>
      <c r="Y6" s="246" cm="1">
        <f t="array" ref="Y6">IF($Q6="","",IF(SUMIF($A$5:$A$204,$Q6,$I$5:$I$204)&gt;0,SUMPRODUCT(IFERROR(($A$5:$A$204=$Q6)*$I$5:$I$204*M$5:M$204,0))/SUMIF($A$5:$A$204,$Q6,$I$5:$I$204),IF($S6&gt;0,SUMPRODUCT(IFERROR(($A$5:$A$204=$Q6)*$E$5:$E$204*M$5:M$204,0))/$S6,"")))</f>
        <v>0</v>
      </c>
      <c r="Z6" s="247" t="str">
        <f t="shared" ref="Z6:Z69" si="6">IF($Q6="","",IF($R6=0,"no deliverables",IF(SUMIF($A$5:$A$204,$Q6,$I$5:$I$204)&gt;0,"earned progress","scope weight")))</f>
        <v>earned progress</v>
      </c>
      <c r="AA6" s="388">
        <f>IF($A6="","",IFERROR('Deliverable Actuals'!$K6,""))</f>
        <v>0</v>
      </c>
      <c r="AB6" s="388">
        <f>IF($A6="","",IFERROR('Deliverable Actuals'!$L6,""))</f>
        <v>0</v>
      </c>
      <c r="AC6" s="389">
        <f>IF($A6="","",IFERROR('Deliverable Actuals'!$I6,""))</f>
        <v>0</v>
      </c>
      <c r="AD6" s="350">
        <f>IF($A6="","",IFERROR('Deliverable Actuals'!$P6,""))</f>
        <v>0</v>
      </c>
      <c r="AE6" s="335" t="str">
        <f>IF($A6="","",IFERROR('Deliverable Actuals'!$R6,""))</f>
        <v>Never charged</v>
      </c>
      <c r="AG6"/>
      <c r="AH6"/>
      <c r="AI6"/>
      <c r="AJ6"/>
      <c r="AK6"/>
      <c r="AL6"/>
      <c r="AM6"/>
      <c r="AN6"/>
      <c r="AO6"/>
      <c r="AP6"/>
      <c r="AQ6"/>
      <c r="AR6"/>
    </row>
    <row r="7" spans="1:31" x14ac:dyDescent="0.3">
      <c r="A7" s="223"/>
      <c r="B7" s="224" t="str">
        <f>IF($A7="","",IFERROR(INDEX(Inputs!$B$6:$B$80,MATCH($A7,Inputs!$A$6:$A$80,0)),"not in register"))</f>
        <v>Ras Al Hekma – Landscape Design Consultancy Services [RIBA Stage 1-4] for Promenade Beach Area and Sea Wall</v>
      </c>
      <c r="C7" s="223"/>
      <c r="D7" s="223"/>
      <c r="E7" s="225"/>
      <c r="F7" s="226"/>
      <c r="G7" s="227" t="str">
        <f>IF(OR($D7="",$F7=""),"",IFERROR(INDEX('Rules of Credit'!$C$5:$C$38,MATCH($D7&amp;"|"&amp;$F7,'Rules of Credit'!$F$5:$F$38,0)),"invalid step"))</f>
        <v/>
      </c>
      <c r="H7" s="228" t="str">
        <f>IF(OR($D7="",$F7=""),"",IFERROR(INDEX('Rules of Credit'!$D$5:$D$38,MATCH($D7&amp;"|"&amp;$F7,'Rules of Credit'!$F$5:$F$38,0)),""))</f>
        <v/>
      </c>
      <c r="I7" s="229" t="str">
        <f t="shared" si="4"/>
        <v/>
      </c>
      <c r="J7" s="242"/>
      <c r="K7" s="243"/>
      <c r="L7" s="243"/>
      <c r="M7" s="243"/>
      <c r="N7" s="244" t="str">
        <f t="shared" si="5"/>
        <v>OK</v>
      </c>
      <c r="O7" s="221"/>
      <c r="P7" s="233">
        <f>IF($D7="",0,IFERROR(INDEX('Project Types'!$E$5:$E$13,MATCH($D7,'Project Types'!$A$5:$A$13,0)),1))</f>
        <v>1</v>
      </c>
      <c r="Q7" s="227" t="str">
        <f>IF(Inputs!$A8="","",Inputs!$A8)</f>
        <v>N25185-0100D</v>
      </c>
      <c r="R7" s="230">
        <f t="shared" si="0"/>
        <v>22</v>
      </c>
      <c r="S7" s="231">
        <f t="shared" si="1"/>
        <v>1.0000000000000002</v>
      </c>
      <c r="T7" s="230" t="str">
        <f t="shared" si="2"/>
        <v>OK</v>
      </c>
      <c r="U7" s="229">
        <f t="shared" si="3"/>
        <v>0.316</v>
      </c>
      <c r="V7" s="233" cm="1">
        <f t="array" ref="V7">IF($Q7="","",IF($S7=0,1,SUMPRODUCT(($A$5:$A$204=$Q7)*$E$5:$E$204*$P$5:$P$204)/$S7))</f>
        <v>1.016</v>
      </c>
      <c r="W7" s="246" cm="1">
        <f t="array" ref="W7">IF($Q7="","",IF(SUMIF($A$5:$A$204,$Q7,$I$5:$I$204)&gt;0,SUMPRODUCT(IFERROR(($A$5:$A$204=$Q7)*$I$5:$I$204*K$5:K$204,0))/SUMIF($A$5:$A$204,$Q7,$I$5:$I$204),IF($S7&gt;0,SUMPRODUCT(IFERROR(($A$5:$A$204=$Q7)*$E$5:$E$204*K$5:K$204,0))/$S7,"")))</f>
        <v>0.41582278481012658</v>
      </c>
      <c r="X7" s="246" cm="1">
        <f t="array" ref="X7">IF($Q7="","",IF(SUMIF($A$5:$A$204,$Q7,$I$5:$I$204)&gt;0,SUMPRODUCT(IFERROR(($A$5:$A$204=$Q7)*$I$5:$I$204*L$5:L$204,0))/SUMIF($A$5:$A$204,$Q7,$I$5:$I$204),IF($S7&gt;0,SUMPRODUCT(IFERROR(($A$5:$A$204=$Q7)*$E$5:$E$204*L$5:L$204,0))/$S7,"")))</f>
        <v>0.51265822784810133</v>
      </c>
      <c r="Y7" s="246" cm="1">
        <f t="array" ref="Y7">IF($Q7="","",IF(SUMIF($A$5:$A$204,$Q7,$I$5:$I$204)&gt;0,SUMPRODUCT(IFERROR(($A$5:$A$204=$Q7)*$I$5:$I$204*M$5:M$204,0))/SUMIF($A$5:$A$204,$Q7,$I$5:$I$204),IF($S7&gt;0,SUMPRODUCT(IFERROR(($A$5:$A$204=$Q7)*$E$5:$E$204*M$5:M$204,0))/$S7,"")))</f>
        <v>7.1518987341772131E-2</v>
      </c>
      <c r="Z7" s="247" t="str">
        <f t="shared" si="6"/>
        <v>earned progress</v>
      </c>
      <c r="AA7" s="388">
        <f>IF($A7="","",IFERROR('Deliverable Actuals'!$K7,""))</f>
        <v>0</v>
      </c>
      <c r="AB7" s="388">
        <f>IF($A7="","",IFERROR('Deliverable Actuals'!$L7,""))</f>
        <v>0</v>
      </c>
      <c r="AC7" s="389">
        <f>IF($A7="","",IFERROR('Deliverable Actuals'!$I7,""))</f>
        <v>0</v>
      </c>
      <c r="AD7" s="350">
        <f>IF($A7="","",IFERROR('Deliverable Actuals'!$P7,""))</f>
        <v>0</v>
      </c>
      <c r="AE7" s="335" t="str">
        <f>IF($A7="","",IFERROR('Deliverable Actuals'!$R7,""))</f>
        <v>Never charged</v>
      </c>
      <c r="AG7"/>
      <c r="AH7"/>
      <c r="AI7"/>
      <c r="AJ7"/>
      <c r="AK7"/>
      <c r="AL7"/>
      <c r="AM7"/>
      <c r="AN7"/>
      <c r="AO7"/>
      <c r="AP7"/>
      <c r="AQ7"/>
      <c r="AR7"/>
    </row>
    <row r="8" spans="1:31" x14ac:dyDescent="0.3">
      <c r="A8" s="223"/>
      <c r="B8" s="224" t="str">
        <f>IF($A8="","",IFERROR(INDEX(Inputs!$B$6:$B$80,MATCH($A8,Inputs!$A$6:$A$80,0)),"not in register"))</f>
        <v>Consultancy Services for Port Modernization Infrastructure and Reconstruction Works for Nigerian Port Authority (NPA) in TINCAN and APAPA Ports</v>
      </c>
      <c r="C8" s="223"/>
      <c r="D8" s="223"/>
      <c r="E8" s="225"/>
      <c r="F8" s="226"/>
      <c r="G8" s="227" t="str">
        <f>IF(OR($D8="",$F8=""),"",IFERROR(INDEX('Rules of Credit'!$C$5:$C$38,MATCH($D8&amp;"|"&amp;$F8,'Rules of Credit'!$F$5:$F$38,0)),"invalid step"))</f>
        <v>Client acceptance</v>
      </c>
      <c r="H8" s="228">
        <f>IF(OR($D8="",$F8=""),"",IFERROR(INDEX('Rules of Credit'!$D$5:$D$38,MATCH($D8&amp;"|"&amp;$F8,'Rules of Credit'!$F$5:$F$38,0)),""))</f>
        <v>1</v>
      </c>
      <c r="I8" s="229">
        <f t="shared" si="4"/>
        <v>0.16</v>
      </c>
      <c r="J8" s="242"/>
      <c r="K8" s="243"/>
      <c r="L8" s="243"/>
      <c r="M8" s="243"/>
      <c r="N8" s="244" t="str">
        <f t="shared" si="5"/>
        <v>OK</v>
      </c>
      <c r="O8" s="221"/>
      <c r="P8" s="233">
        <f>IF($D8="",0,IFERROR(INDEX('Project Types'!$E$5:$E$13,MATCH($D8,'Project Types'!$A$5:$A$13,0)),1))</f>
        <v>1.1000000000000001</v>
      </c>
      <c r="Q8" s="227" t="str">
        <f>IF(Inputs!$A9="","",Inputs!$A9)</f>
        <v>AN22137-0100D</v>
      </c>
      <c r="R8" s="230">
        <f t="shared" si="0"/>
        <v>1</v>
      </c>
      <c r="S8" s="231">
        <f t="shared" si="1"/>
        <v>1</v>
      </c>
      <c r="T8" s="230" t="str">
        <f t="shared" si="2"/>
        <v>OK</v>
      </c>
      <c r="U8" s="229">
        <f t="shared" si="3"/>
        <v>0</v>
      </c>
      <c r="V8" s="233" cm="1">
        <f t="array" ref="V8">IF($Q8="","",IF($S8=0,1,SUMPRODUCT(($A$5:$A$204=$Q8)*$E$5:$E$204*$P$5:$P$204)/$S8))</f>
        <v>1.1000000000000001</v>
      </c>
      <c r="W8" s="246" cm="1">
        <f t="array" ref="W8">IF($Q8="","",IF(SUMIF($A$5:$A$204,$Q8,$I$5:$I$204)&gt;0,SUMPRODUCT(IFERROR(($A$5:$A$204=$Q8)*$I$5:$I$204*K$5:K$204,0))/SUMIF($A$5:$A$204,$Q8,$I$5:$I$204),IF($S8&gt;0,SUMPRODUCT(IFERROR(($A$5:$A$204=$Q8)*$E$5:$E$204*K$5:K$204,0))/$S8,"")))</f>
        <v>0.6</v>
      </c>
      <c r="X8" s="246" cm="1">
        <f t="array" ref="X8">IF($Q8="","",IF(SUMIF($A$5:$A$204,$Q8,$I$5:$I$204)&gt;0,SUMPRODUCT(IFERROR(($A$5:$A$204=$Q8)*$I$5:$I$204*L$5:L$204,0))/SUMIF($A$5:$A$204,$Q8,$I$5:$I$204),IF($S8&gt;0,SUMPRODUCT(IFERROR(($A$5:$A$204=$Q8)*$E$5:$E$204*L$5:L$204,0))/$S8,"")))</f>
        <v>0.4</v>
      </c>
      <c r="Y8" s="246" cm="1">
        <f t="array" ref="Y8">IF($Q8="","",IF(SUMIF($A$5:$A$204,$Q8,$I$5:$I$204)&gt;0,SUMPRODUCT(IFERROR(($A$5:$A$204=$Q8)*$I$5:$I$204*M$5:M$204,0))/SUMIF($A$5:$A$204,$Q8,$I$5:$I$204),IF($S8&gt;0,SUMPRODUCT(IFERROR(($A$5:$A$204=$Q8)*$E$5:$E$204*M$5:M$204,0))/$S8,"")))</f>
        <v>0</v>
      </c>
      <c r="Z8" s="247" t="str">
        <f t="shared" si="6"/>
        <v>scope weight</v>
      </c>
      <c r="AA8" s="388">
        <f>IF($A8="","",IFERROR('Deliverable Actuals'!$K8,""))</f>
        <v>45931</v>
      </c>
      <c r="AB8" s="388">
        <f>IF($A8="","",IFERROR('Deliverable Actuals'!$L8,""))</f>
        <v>46099</v>
      </c>
      <c r="AC8" s="389">
        <f>IF($A8="","",IFERROR('Deliverable Actuals'!$I8,""))</f>
        <v>1650.75</v>
      </c>
      <c r="AD8" s="350">
        <f>IF($A8="","",IFERROR('Deliverable Actuals'!$P8,""))</f>
        <v>11</v>
      </c>
      <c r="AE8" s="335" t="str">
        <f>IF($A8="","",IFERROR('Deliverable Actuals'!$R8,""))</f>
        <v>Dormant since 2026-03-18</v>
      </c>
      <c r="AG8"/>
      <c r="AH8"/>
      <c r="AI8"/>
      <c r="AJ8"/>
      <c r="AK8"/>
      <c r="AL8"/>
      <c r="AM8"/>
      <c r="AN8"/>
      <c r="AO8"/>
      <c r="AP8"/>
      <c r="AQ8"/>
      <c r="AR8"/>
    </row>
    <row r="9" spans="1:31" x14ac:dyDescent="0.3">
      <c r="A9" s="223"/>
      <c r="B9" s="224" t="str">
        <f>IF($A9="","",IFERROR(INDEX(Inputs!$B$6:$B$80,MATCH($A9,Inputs!$A$6:$A$80,0)),"not in register"))</f>
        <v>Consultancy Services for Port Modernization Infrastructure and Reconstruction Works for Nigerian Port Authority (NPA) in TINCAN and APAPA Ports</v>
      </c>
      <c r="C9" s="223"/>
      <c r="D9" s="223"/>
      <c r="E9" s="225"/>
      <c r="F9" s="226"/>
      <c r="G9" s="227" t="str">
        <f>IF(OR($D9="",$F9=""),"",IFERROR(INDEX('Rules of Credit'!$C$5:$C$38,MATCH($D9&amp;"|"&amp;$F9,'Rules of Credit'!$F$5:$F$38,0)),"invalid step"))</f>
        <v/>
      </c>
      <c r="H9" s="228" t="str">
        <f>IF(OR($D9="",$F9=""),"",IFERROR(INDEX('Rules of Credit'!$D$5:$D$38,MATCH($D9&amp;"|"&amp;$F9,'Rules of Credit'!$F$5:$F$38,0)),""))</f>
        <v/>
      </c>
      <c r="I9" s="229" t="str">
        <f t="shared" si="4"/>
        <v/>
      </c>
      <c r="J9" s="242"/>
      <c r="K9" s="243"/>
      <c r="L9" s="243"/>
      <c r="M9" s="243"/>
      <c r="N9" s="244" t="str">
        <f t="shared" si="5"/>
        <v>OK</v>
      </c>
      <c r="O9" s="221"/>
      <c r="P9" s="233">
        <f>IF($D9="",0,IFERROR(INDEX('Project Types'!$E$5:$E$13,MATCH($D9,'Project Types'!$A$5:$A$13,0)),1))</f>
        <v>1</v>
      </c>
      <c r="Q9" s="227" t="str">
        <f>IF(Inputs!$A10="","",Inputs!$A10)</f>
        <v>D26058-0100D</v>
      </c>
      <c r="R9" s="230">
        <f t="shared" si="0"/>
        <v>3</v>
      </c>
      <c r="S9" s="231">
        <f t="shared" si="1"/>
        <v>1</v>
      </c>
      <c r="T9" s="230" t="str">
        <f t="shared" si="2"/>
        <v>OK</v>
      </c>
      <c r="U9" s="229">
        <f t="shared" si="3"/>
        <v>0</v>
      </c>
      <c r="V9" s="233" cm="1">
        <f t="array" ref="V9">IF($Q9="","",IF($S9=0,1,SUMPRODUCT(($A$5:$A$204=$Q9)*$E$5:$E$204*$P$5:$P$204)/$S9))</f>
        <v>1.1000000000000001</v>
      </c>
      <c r="W9" s="246" cm="1">
        <f t="array" ref="W9">IF($Q9="","",IF(SUMIF($A$5:$A$204,$Q9,$I$5:$I$204)&gt;0,SUMPRODUCT(IFERROR(($A$5:$A$204=$Q9)*$I$5:$I$204*K$5:K$204,0))/SUMIF($A$5:$A$204,$Q9,$I$5:$I$204),IF($S9&gt;0,SUMPRODUCT(IFERROR(($A$5:$A$204=$Q9)*$E$5:$E$204*K$5:K$204,0))/$S9,"")))</f>
        <v>0.6</v>
      </c>
      <c r="X9" s="246" cm="1">
        <f t="array" ref="X9">IF($Q9="","",IF(SUMIF($A$5:$A$204,$Q9,$I$5:$I$204)&gt;0,SUMPRODUCT(IFERROR(($A$5:$A$204=$Q9)*$I$5:$I$204*L$5:L$204,0))/SUMIF($A$5:$A$204,$Q9,$I$5:$I$204),IF($S9&gt;0,SUMPRODUCT(IFERROR(($A$5:$A$204=$Q9)*$E$5:$E$204*L$5:L$204,0))/$S9,"")))</f>
        <v>0.4</v>
      </c>
      <c r="Y9" s="246" cm="1">
        <f t="array" ref="Y9">IF($Q9="","",IF(SUMIF($A$5:$A$204,$Q9,$I$5:$I$204)&gt;0,SUMPRODUCT(IFERROR(($A$5:$A$204=$Q9)*$I$5:$I$204*M$5:M$204,0))/SUMIF($A$5:$A$204,$Q9,$I$5:$I$204),IF($S9&gt;0,SUMPRODUCT(IFERROR(($A$5:$A$204=$Q9)*$E$5:$E$204*M$5:M$204,0))/$S9,"")))</f>
        <v>0</v>
      </c>
      <c r="Z9" s="247" t="str">
        <f t="shared" si="6"/>
        <v>scope weight</v>
      </c>
      <c r="AA9" s="388">
        <f>IF($A9="","",IFERROR('Deliverable Actuals'!$K9,""))</f>
        <v>46105</v>
      </c>
      <c r="AB9" s="388">
        <f>IF($A9="","",IFERROR('Deliverable Actuals'!$L9,""))</f>
        <v>46250</v>
      </c>
      <c r="AC9" s="389">
        <f>IF($A9="","",IFERROR('Deliverable Actuals'!$I9,""))</f>
        <v>0</v>
      </c>
      <c r="AD9" s="350">
        <f>IF($A9="","",IFERROR('Deliverable Actuals'!$P9,""))</f>
        <v>11</v>
      </c>
      <c r="AE9" s="335" t="str">
        <f>IF($A9="","",IFERROR('Deliverable Actuals'!$R9,""))</f>
        <v>Active</v>
      </c>
      <c r="AG9"/>
      <c r="AH9"/>
      <c r="AI9"/>
      <c r="AJ9"/>
      <c r="AK9"/>
      <c r="AL9"/>
      <c r="AM9"/>
      <c r="AN9"/>
      <c r="AO9"/>
      <c r="AP9"/>
      <c r="AQ9"/>
      <c r="AR9"/>
    </row>
    <row r="10" spans="1:31" x14ac:dyDescent="0.3">
      <c r="A10" s="223"/>
      <c r="B10" s="224" t="str">
        <f>IF($A10="","",IFERROR(INDEX(Inputs!$B$6:$B$80,MATCH($A10,Inputs!$A$6:$A$80,0)),"not in register"))</f>
        <v>Consultancy Services for Port Modernization Infrastructure and Reconstruction Works for Nigerian Port Authority (NPA) in TINCAN and APAPA Ports</v>
      </c>
      <c r="C10" s="223"/>
      <c r="D10" s="223"/>
      <c r="E10" s="225"/>
      <c r="F10" s="226"/>
      <c r="G10" s="227" t="str">
        <f>IF(OR($D10="",$F10=""),"",IFERROR(INDEX('Rules of Credit'!$C$5:$C$38,MATCH($D10&amp;"|"&amp;$F10,'Rules of Credit'!$F$5:$F$38,0)),"invalid step"))</f>
        <v/>
      </c>
      <c r="H10" s="228" t="str">
        <f>IF(OR($D10="",$F10=""),"",IFERROR(INDEX('Rules of Credit'!$D$5:$D$38,MATCH($D10&amp;"|"&amp;$F10,'Rules of Credit'!$F$5:$F$38,0)),""))</f>
        <v/>
      </c>
      <c r="I10" s="229" t="str">
        <f t="shared" si="4"/>
        <v/>
      </c>
      <c r="J10" s="242"/>
      <c r="K10" s="243"/>
      <c r="L10" s="243"/>
      <c r="M10" s="243"/>
      <c r="N10" s="244" t="str">
        <f t="shared" si="5"/>
        <v>OK</v>
      </c>
      <c r="O10" s="221"/>
      <c r="P10" s="233">
        <f>IF($D10="",0,IFERROR(INDEX('Project Types'!$E$5:$E$13,MATCH($D10,'Project Types'!$A$5:$A$13,0)),1))</f>
        <v>1</v>
      </c>
      <c r="Q10" s="227" t="str">
        <f>IF(Inputs!$A11="","",Inputs!$A11)</f>
        <v xml:space="preserve">AD24217-0100D </v>
      </c>
      <c r="R10" s="230">
        <f t="shared" si="0"/>
        <v>1</v>
      </c>
      <c r="S10" s="231">
        <f t="shared" si="1"/>
        <v>1</v>
      </c>
      <c r="T10" s="230" t="str">
        <f t="shared" si="2"/>
        <v>OK</v>
      </c>
      <c r="U10" s="229">
        <f t="shared" si="3"/>
        <v>1</v>
      </c>
      <c r="V10" s="233" cm="1">
        <f t="array" ref="V10">IF($Q10="","",IF($S10=0,1,SUMPRODUCT(($A$5:$A$204=$Q10)*$E$5:$E$204*$P$5:$P$204)/$S10))</f>
        <v>1.1000000000000001</v>
      </c>
      <c r="W10" s="246" cm="1">
        <f t="array" ref="W10">IF($Q10="","",IF(SUMIF($A$5:$A$204,$Q10,$I$5:$I$204)&gt;0,SUMPRODUCT(IFERROR(($A$5:$A$204=$Q10)*$I$5:$I$204*K$5:K$204,0))/SUMIF($A$5:$A$204,$Q10,$I$5:$I$204),IF($S10&gt;0,SUMPRODUCT(IFERROR(($A$5:$A$204=$Q10)*$E$5:$E$204*K$5:K$204,0))/$S10,"")))</f>
        <v>0.4</v>
      </c>
      <c r="X10" s="246" cm="1">
        <f t="array" ref="X10">IF($Q10="","",IF(SUMIF($A$5:$A$204,$Q10,$I$5:$I$204)&gt;0,SUMPRODUCT(IFERROR(($A$5:$A$204=$Q10)*$I$5:$I$204*L$5:L$204,0))/SUMIF($A$5:$A$204,$Q10,$I$5:$I$204),IF($S10&gt;0,SUMPRODUCT(IFERROR(($A$5:$A$204=$Q10)*$E$5:$E$204*L$5:L$204,0))/$S10,"")))</f>
        <v>0.2</v>
      </c>
      <c r="Y10" s="246" cm="1">
        <f t="array" ref="Y10">IF($Q10="","",IF(SUMIF($A$5:$A$204,$Q10,$I$5:$I$204)&gt;0,SUMPRODUCT(IFERROR(($A$5:$A$204=$Q10)*$I$5:$I$204*M$5:M$204,0))/SUMIF($A$5:$A$204,$Q10,$I$5:$I$204),IF($S10&gt;0,SUMPRODUCT(IFERROR(($A$5:$A$204=$Q10)*$E$5:$E$204*M$5:M$204,0))/$S10,"")))</f>
        <v>0.4</v>
      </c>
      <c r="Z10" s="247" t="str">
        <f t="shared" si="6"/>
        <v>earned progress</v>
      </c>
      <c r="AA10" s="388">
        <f>IF($A10="","",IFERROR('Deliverable Actuals'!$K10,""))</f>
        <v>46105</v>
      </c>
      <c r="AB10" s="388">
        <f>IF($A10="","",IFERROR('Deliverable Actuals'!$L10,""))</f>
        <v>46250</v>
      </c>
      <c r="AC10" s="389">
        <f>IF($A10="","",IFERROR('Deliverable Actuals'!$I10,""))</f>
        <v>0</v>
      </c>
      <c r="AD10" s="350">
        <f>IF($A10="","",IFERROR('Deliverable Actuals'!$P10,""))</f>
        <v>11</v>
      </c>
      <c r="AE10" s="335" t="str">
        <f>IF($A10="","",IFERROR('Deliverable Actuals'!$R10,""))</f>
        <v>Active</v>
      </c>
      <c r="AG10"/>
      <c r="AH10"/>
      <c r="AI10"/>
      <c r="AJ10"/>
      <c r="AK10"/>
      <c r="AL10"/>
      <c r="AM10"/>
      <c r="AN10"/>
      <c r="AO10"/>
      <c r="AP10"/>
      <c r="AQ10"/>
      <c r="AR10"/>
    </row>
    <row r="11" spans="1:31" x14ac:dyDescent="0.3">
      <c r="A11" s="223"/>
      <c r="B11" s="224" t="str">
        <f>IF($A11="","",IFERROR(INDEX(Inputs!$B$6:$B$80,MATCH($A11,Inputs!$A$6:$A$80,0)),"not in register"))</f>
        <v>Consultancy Services for Port Modernization Infrastructure and Reconstruction Works for Nigerian Port Authority (NPA) in TINCAN and APAPA Ports</v>
      </c>
      <c r="C11" s="223"/>
      <c r="D11" s="223"/>
      <c r="E11" s="225"/>
      <c r="F11" s="226"/>
      <c r="G11" s="227" t="str">
        <f>IF(OR($D11="",$F11=""),"",IFERROR(INDEX('Rules of Credit'!$C$5:$C$38,MATCH($D11&amp;"|"&amp;$F11,'Rules of Credit'!$F$5:$F$38,0)),"invalid step"))</f>
        <v/>
      </c>
      <c r="H11" s="228" t="str">
        <f>IF(OR($D11="",$F11=""),"",IFERROR(INDEX('Rules of Credit'!$D$5:$D$38,MATCH($D11&amp;"|"&amp;$F11,'Rules of Credit'!$F$5:$F$38,0)),""))</f>
        <v/>
      </c>
      <c r="I11" s="229" t="str">
        <f t="shared" si="4"/>
        <v/>
      </c>
      <c r="J11" s="242"/>
      <c r="K11" s="243"/>
      <c r="L11" s="243"/>
      <c r="M11" s="243"/>
      <c r="N11" s="244" t="str">
        <f t="shared" si="5"/>
        <v>OK</v>
      </c>
      <c r="O11" s="221"/>
      <c r="P11" s="233">
        <f>IF($D11="",0,IFERROR(INDEX('Project Types'!$E$5:$E$13,MATCH($D11,'Project Types'!$A$5:$A$13,0)),1))</f>
        <v>1</v>
      </c>
      <c r="Q11" s="227" t="str">
        <f>IF(Inputs!$A12="","",Inputs!$A12)</f>
        <v>AN23207-0500D</v>
      </c>
      <c r="R11" s="230">
        <f t="shared" si="0"/>
        <v>1</v>
      </c>
      <c r="S11" s="231">
        <f t="shared" si="1"/>
        <v>1</v>
      </c>
      <c r="T11" s="230" t="str">
        <f t="shared" si="2"/>
        <v>OK</v>
      </c>
      <c r="U11" s="229">
        <f t="shared" si="3"/>
        <v>0.65</v>
      </c>
      <c r="V11" s="233" cm="1">
        <f t="array" ref="V11">IF($Q11="","",IF($S11=0,1,SUMPRODUCT(($A$5:$A$204=$Q11)*$E$5:$E$204*$P$5:$P$204)/$S11))</f>
        <v>1.1000000000000001</v>
      </c>
      <c r="W11" s="246" cm="1">
        <f t="array" ref="W11">IF($Q11="","",IF(SUMIF($A$5:$A$204,$Q11,$I$5:$I$204)&gt;0,SUMPRODUCT(IFERROR(($A$5:$A$204=$Q11)*$I$5:$I$204*K$5:K$204,0))/SUMIF($A$5:$A$204,$Q11,$I$5:$I$204),IF($S11&gt;0,SUMPRODUCT(IFERROR(($A$5:$A$204=$Q11)*$E$5:$E$204*K$5:K$204,0))/$S11,"")))</f>
        <v>0.2</v>
      </c>
      <c r="X11" s="246" cm="1">
        <f t="array" ref="X11">IF($Q11="","",IF(SUMIF($A$5:$A$204,$Q11,$I$5:$I$204)&gt;0,SUMPRODUCT(IFERROR(($A$5:$A$204=$Q11)*$I$5:$I$204*L$5:L$204,0))/SUMIF($A$5:$A$204,$Q11,$I$5:$I$204),IF($S11&gt;0,SUMPRODUCT(IFERROR(($A$5:$A$204=$Q11)*$E$5:$E$204*L$5:L$204,0))/$S11,"")))</f>
        <v>0</v>
      </c>
      <c r="Y11" s="246" cm="1">
        <f t="array" ref="Y11">IF($Q11="","",IF(SUMIF($A$5:$A$204,$Q11,$I$5:$I$204)&gt;0,SUMPRODUCT(IFERROR(($A$5:$A$204=$Q11)*$I$5:$I$204*M$5:M$204,0))/SUMIF($A$5:$A$204,$Q11,$I$5:$I$204),IF($S11&gt;0,SUMPRODUCT(IFERROR(($A$5:$A$204=$Q11)*$E$5:$E$204*M$5:M$204,0))/$S11,"")))</f>
        <v>0.8</v>
      </c>
      <c r="Z11" s="247" t="str">
        <f t="shared" si="6"/>
        <v>earned progress</v>
      </c>
      <c r="AA11" s="388">
        <f>IF($A11="","",IFERROR('Deliverable Actuals'!$K11,""))</f>
        <v>46105</v>
      </c>
      <c r="AB11" s="388">
        <f>IF($A11="","",IFERROR('Deliverable Actuals'!$L11,""))</f>
        <v>46250</v>
      </c>
      <c r="AC11" s="389">
        <f>IF($A11="","",IFERROR('Deliverable Actuals'!$I11,""))</f>
        <v>0</v>
      </c>
      <c r="AD11" s="350">
        <f>IF($A11="","",IFERROR('Deliverable Actuals'!$P11,""))</f>
        <v>11</v>
      </c>
      <c r="AE11" s="335" t="str">
        <f>IF($A11="","",IFERROR('Deliverable Actuals'!$R11,""))</f>
        <v>Active</v>
      </c>
      <c r="AG11"/>
      <c r="AH11"/>
      <c r="AI11"/>
      <c r="AJ11"/>
      <c r="AK11"/>
      <c r="AL11"/>
      <c r="AM11"/>
      <c r="AN11"/>
      <c r="AO11"/>
      <c r="AP11"/>
      <c r="AQ11"/>
      <c r="AR11"/>
    </row>
    <row r="12" spans="1:31" x14ac:dyDescent="0.3">
      <c r="A12" s="223"/>
      <c r="B12" s="224" t="str">
        <f>IF($A12="","",IFERROR(INDEX(Inputs!$B$6:$B$80,MATCH($A12,Inputs!$A$6:$A$80,0)),"not in register"))</f>
        <v>Consultancy Services for Port Modernization Infrastructure and Reconstruction Works for Nigerian Port Authority (NPA) in TINCAN and APAPA Ports</v>
      </c>
      <c r="C12" s="223"/>
      <c r="D12" s="223"/>
      <c r="E12" s="225"/>
      <c r="F12" s="226"/>
      <c r="G12" s="227" t="str">
        <f>IF(OR($D12="",$F12=""),"",IFERROR(INDEX('Rules of Credit'!$C$5:$C$38,MATCH($D12&amp;"|"&amp;$F12,'Rules of Credit'!$F$5:$F$38,0)),"invalid step"))</f>
        <v/>
      </c>
      <c r="H12" s="228" t="str">
        <f>IF(OR($D12="",$F12=""),"",IFERROR(INDEX('Rules of Credit'!$D$5:$D$38,MATCH($D12&amp;"|"&amp;$F12,'Rules of Credit'!$F$5:$F$38,0)),""))</f>
        <v/>
      </c>
      <c r="I12" s="229" t="str">
        <f t="shared" si="4"/>
        <v/>
      </c>
      <c r="J12" s="242"/>
      <c r="K12" s="243"/>
      <c r="L12" s="243"/>
      <c r="M12" s="243"/>
      <c r="N12" s="244" t="str">
        <f t="shared" si="5"/>
        <v>OK</v>
      </c>
      <c r="O12" s="221"/>
      <c r="P12" s="233">
        <f>IF($D12="",0,IFERROR(INDEX('Project Types'!$E$5:$E$13,MATCH($D12,'Project Types'!$A$5:$A$13,0)),1))</f>
        <v>1</v>
      </c>
      <c r="Q12" s="227" t="str">
        <f>IF(Inputs!$A13="","",Inputs!$A13)</f>
        <v>AN23276-0100D</v>
      </c>
      <c r="R12" s="230">
        <f t="shared" si="0"/>
        <v>1</v>
      </c>
      <c r="S12" s="231">
        <f t="shared" si="1"/>
        <v>1</v>
      </c>
      <c r="T12" s="230" t="str">
        <f t="shared" si="2"/>
        <v>OK</v>
      </c>
      <c r="U12" s="229">
        <f t="shared" si="3"/>
        <v>0.9</v>
      </c>
      <c r="V12" s="233" cm="1">
        <f t="array" ref="V12">IF($Q12="","",IF($S12=0,1,SUMPRODUCT(($A$5:$A$204=$Q12)*$E$5:$E$204*$P$5:$P$204)/$S12))</f>
        <v>1.1000000000000001</v>
      </c>
      <c r="W12" s="246" cm="1">
        <f t="array" ref="W12">IF($Q12="","",IF(SUMIF($A$5:$A$204,$Q12,$I$5:$I$204)&gt;0,SUMPRODUCT(IFERROR(($A$5:$A$204=$Q12)*$I$5:$I$204*K$5:K$204,0))/SUMIF($A$5:$A$204,$Q12,$I$5:$I$204),IF($S12&gt;0,SUMPRODUCT(IFERROR(($A$5:$A$204=$Q12)*$E$5:$E$204*K$5:K$204,0))/$S12,"")))</f>
        <v>0.4</v>
      </c>
      <c r="X12" s="246" cm="1">
        <f t="array" ref="X12">IF($Q12="","",IF(SUMIF($A$5:$A$204,$Q12,$I$5:$I$204)&gt;0,SUMPRODUCT(IFERROR(($A$5:$A$204=$Q12)*$I$5:$I$204*L$5:L$204,0))/SUMIF($A$5:$A$204,$Q12,$I$5:$I$204),IF($S12&gt;0,SUMPRODUCT(IFERROR(($A$5:$A$204=$Q12)*$E$5:$E$204*L$5:L$204,0))/$S12,"")))</f>
        <v>0</v>
      </c>
      <c r="Y12" s="246" cm="1">
        <f t="array" ref="Y12">IF($Q12="","",IF(SUMIF($A$5:$A$204,$Q12,$I$5:$I$204)&gt;0,SUMPRODUCT(IFERROR(($A$5:$A$204=$Q12)*$I$5:$I$204*M$5:M$204,0))/SUMIF($A$5:$A$204,$Q12,$I$5:$I$204),IF($S12&gt;0,SUMPRODUCT(IFERROR(($A$5:$A$204=$Q12)*$E$5:$E$204*M$5:M$204,0))/$S12,"")))</f>
        <v>0.6</v>
      </c>
      <c r="Z12" s="247" t="str">
        <f t="shared" si="6"/>
        <v>earned progress</v>
      </c>
      <c r="AA12" s="388">
        <f>IF($A12="","",IFERROR('Deliverable Actuals'!$K12,""))</f>
        <v>46105</v>
      </c>
      <c r="AB12" s="388">
        <f>IF($A12="","",IFERROR('Deliverable Actuals'!$L12,""))</f>
        <v>46250</v>
      </c>
      <c r="AC12" s="389">
        <f>IF($A12="","",IFERROR('Deliverable Actuals'!$I12,""))</f>
        <v>0</v>
      </c>
      <c r="AD12" s="350">
        <f>IF($A12="","",IFERROR('Deliverable Actuals'!$P12,""))</f>
        <v>11</v>
      </c>
      <c r="AE12" s="335" t="str">
        <f>IF($A12="","",IFERROR('Deliverable Actuals'!$R12,""))</f>
        <v>Active</v>
      </c>
      <c r="AG12"/>
      <c r="AH12"/>
      <c r="AI12"/>
      <c r="AJ12"/>
      <c r="AK12"/>
      <c r="AL12"/>
      <c r="AM12"/>
      <c r="AN12"/>
      <c r="AO12"/>
      <c r="AP12"/>
      <c r="AQ12"/>
      <c r="AR12"/>
    </row>
    <row r="13" spans="1:31" x14ac:dyDescent="0.3">
      <c r="A13" s="223"/>
      <c r="B13" s="224" t="str">
        <f>IF($A13="","",IFERROR(INDEX(Inputs!$B$6:$B$80,MATCH($A13,Inputs!$A$6:$A$80,0)),"not in register"))</f>
        <v>Consultancy Services for Port Modernization Infrastructure and Reconstruction Works for Nigerian Port Authority (NPA) in TINCAN and APAPA Ports</v>
      </c>
      <c r="C13" s="223"/>
      <c r="D13" s="223"/>
      <c r="E13" s="225"/>
      <c r="F13" s="226"/>
      <c r="G13" s="227" t="str">
        <f>IF(OR($D13="",$F13=""),"",IFERROR(INDEX('Rules of Credit'!$C$5:$C$38,MATCH($D13&amp;"|"&amp;$F13,'Rules of Credit'!$F$5:$F$38,0)),"invalid step"))</f>
        <v>Transmitted to client (IFA/IFC)</v>
      </c>
      <c r="H13" s="228">
        <f>IF(OR($D13="",$F13=""),"",IFERROR(INDEX('Rules of Credit'!$D$5:$D$38,MATCH($D13&amp;"|"&amp;$F13,'Rules of Credit'!$F$5:$F$38,0)),""))</f>
        <v>0.85</v>
      </c>
      <c r="I13" s="229">
        <f t="shared" si="4"/>
        <v>3.4000000000000002E-2</v>
      </c>
      <c r="J13" s="242"/>
      <c r="K13" s="243"/>
      <c r="L13" s="243"/>
      <c r="M13" s="243"/>
      <c r="N13" s="244" t="str">
        <f t="shared" si="5"/>
        <v>OK</v>
      </c>
      <c r="O13" s="221"/>
      <c r="P13" s="233">
        <f>IF($D13="",0,IFERROR(INDEX('Project Types'!$E$5:$E$13,MATCH($D13,'Project Types'!$A$5:$A$13,0)),1))</f>
        <v>1</v>
      </c>
      <c r="Q13" s="227" t="str">
        <f>IF(Inputs!$A14="","",Inputs!$A14)</f>
        <v>AN24073-0100D</v>
      </c>
      <c r="R13" s="230">
        <f t="shared" si="0"/>
        <v>1</v>
      </c>
      <c r="S13" s="231">
        <f t="shared" si="1"/>
        <v>1</v>
      </c>
      <c r="T13" s="230" t="str">
        <f t="shared" si="2"/>
        <v>OK</v>
      </c>
      <c r="U13" s="229">
        <f t="shared" si="3"/>
        <v>0.9</v>
      </c>
      <c r="V13" s="233" cm="1">
        <f t="array" ref="V13">IF($Q13="","",IF($S13=0,1,SUMPRODUCT(($A$5:$A$204=$Q13)*$E$5:$E$204*$P$5:$P$204)/$S13))</f>
        <v>1.1000000000000001</v>
      </c>
      <c r="W13" s="246" cm="1">
        <f t="array" ref="W13">IF($Q13="","",IF(SUMIF($A$5:$A$204,$Q13,$I$5:$I$204)&gt;0,SUMPRODUCT(IFERROR(($A$5:$A$204=$Q13)*$I$5:$I$204*K$5:K$204,0))/SUMIF($A$5:$A$204,$Q13,$I$5:$I$204),IF($S13&gt;0,SUMPRODUCT(IFERROR(($A$5:$A$204=$Q13)*$E$5:$E$204*K$5:K$204,0))/$S13,"")))</f>
        <v>0.1</v>
      </c>
      <c r="X13" s="246" cm="1">
        <f t="array" ref="X13">IF($Q13="","",IF(SUMIF($A$5:$A$204,$Q13,$I$5:$I$204)&gt;0,SUMPRODUCT(IFERROR(($A$5:$A$204=$Q13)*$I$5:$I$204*L$5:L$204,0))/SUMIF($A$5:$A$204,$Q13,$I$5:$I$204),IF($S13&gt;0,SUMPRODUCT(IFERROR(($A$5:$A$204=$Q13)*$E$5:$E$204*L$5:L$204,0))/$S13,"")))</f>
        <v>0.2</v>
      </c>
      <c r="Y13" s="246" cm="1">
        <f t="array" ref="Y13">IF($Q13="","",IF(SUMIF($A$5:$A$204,$Q13,$I$5:$I$204)&gt;0,SUMPRODUCT(IFERROR(($A$5:$A$204=$Q13)*$I$5:$I$204*M$5:M$204,0))/SUMIF($A$5:$A$204,$Q13,$I$5:$I$204),IF($S13&gt;0,SUMPRODUCT(IFERROR(($A$5:$A$204=$Q13)*$E$5:$E$204*M$5:M$204,0))/$S13,"")))</f>
        <v>0.7</v>
      </c>
      <c r="Z13" s="247" t="str">
        <f t="shared" si="6"/>
        <v>earned progress</v>
      </c>
      <c r="AA13" s="388">
        <f>IF($A13="","",IFERROR('Deliverable Actuals'!$K13,""))</f>
        <v>46105</v>
      </c>
      <c r="AB13" s="388">
        <f>IF($A13="","",IFERROR('Deliverable Actuals'!$L13,""))</f>
        <v>46250</v>
      </c>
      <c r="AC13" s="389">
        <f>IF($A13="","",IFERROR('Deliverable Actuals'!$I13,""))</f>
        <v>197.19444444444446</v>
      </c>
      <c r="AD13" s="350">
        <f>IF($A13="","",IFERROR('Deliverable Actuals'!$P13,""))</f>
        <v>11</v>
      </c>
      <c r="AE13" s="335" t="str">
        <f>IF($A13="","",IFERROR('Deliverable Actuals'!$R13,""))</f>
        <v>Active</v>
      </c>
      <c r="AG13"/>
      <c r="AH13"/>
      <c r="AI13"/>
      <c r="AJ13"/>
      <c r="AK13"/>
      <c r="AL13"/>
      <c r="AM13"/>
      <c r="AN13"/>
      <c r="AO13"/>
      <c r="AP13"/>
      <c r="AQ13"/>
      <c r="AR13"/>
    </row>
    <row r="14" spans="1:31" x14ac:dyDescent="0.3">
      <c r="A14" s="223"/>
      <c r="B14" s="224" t="str">
        <f>IF($A14="","",IFERROR(INDEX(Inputs!$B$6:$B$80,MATCH($A14,Inputs!$A$6:$A$80,0)),"not in register"))</f>
        <v>Consultancy Services for Port Modernization Infrastructure and Reconstruction Works for Nigerian Port Authority (NPA) in TINCAN and APAPA Ports</v>
      </c>
      <c r="C14" s="223"/>
      <c r="D14" s="223"/>
      <c r="E14" s="225"/>
      <c r="F14" s="226"/>
      <c r="G14" s="227" t="str">
        <f>IF(OR($D14="",$F14=""),"",IFERROR(INDEX('Rules of Credit'!$C$5:$C$38,MATCH($D14&amp;"|"&amp;$F14,'Rules of Credit'!$F$5:$F$38,0)),"invalid step"))</f>
        <v>Transmitted to client (IFA/IFC)</v>
      </c>
      <c r="H14" s="228">
        <f>IF(OR($D14="",$F14=""),"",IFERROR(INDEX('Rules of Credit'!$D$5:$D$38,MATCH($D14&amp;"|"&amp;$F14,'Rules of Credit'!$F$5:$F$38,0)),""))</f>
        <v>0.85</v>
      </c>
      <c r="I14" s="229">
        <f t="shared" si="4"/>
        <v>3.4000000000000002E-2</v>
      </c>
      <c r="J14" s="242"/>
      <c r="K14" s="243"/>
      <c r="L14" s="243"/>
      <c r="M14" s="243"/>
      <c r="N14" s="244" t="str">
        <f t="shared" si="5"/>
        <v>OK</v>
      </c>
      <c r="O14" s="221"/>
      <c r="P14" s="233">
        <f>IF($D14="",0,IFERROR(INDEX('Project Types'!$E$5:$E$13,MATCH($D14,'Project Types'!$A$5:$A$13,0)),1))</f>
        <v>1</v>
      </c>
      <c r="Q14" s="227" t="str">
        <f>IF(Inputs!$A15="","",Inputs!$A15)</f>
        <v>AN24140-0100R</v>
      </c>
      <c r="R14" s="230">
        <f t="shared" si="0"/>
        <v>1</v>
      </c>
      <c r="S14" s="231">
        <f t="shared" si="1"/>
        <v>1</v>
      </c>
      <c r="T14" s="230" t="str">
        <f t="shared" si="2"/>
        <v>OK</v>
      </c>
      <c r="U14" s="229">
        <f t="shared" si="3"/>
        <v>0.1</v>
      </c>
      <c r="V14" s="233" cm="1">
        <f t="array" ref="V14">IF($Q14="","",IF($S14=0,1,SUMPRODUCT(($A$5:$A$204=$Q14)*$E$5:$E$204*$P$5:$P$204)/$S14))</f>
        <v>0.75</v>
      </c>
      <c r="W14" s="246" cm="1">
        <f t="array" ref="W14">IF($Q14="","",IF(SUMIF($A$5:$A$204,$Q14,$I$5:$I$204)&gt;0,SUMPRODUCT(IFERROR(($A$5:$A$204=$Q14)*$I$5:$I$204*K$5:K$204,0))/SUMIF($A$5:$A$204,$Q14,$I$5:$I$204),IF($S14&gt;0,SUMPRODUCT(IFERROR(($A$5:$A$204=$Q14)*$E$5:$E$204*K$5:K$204,0))/$S14,"")))</f>
        <v>0.10000000000000002</v>
      </c>
      <c r="X14" s="246" cm="1">
        <f t="array" ref="X14">IF($Q14="","",IF(SUMIF($A$5:$A$204,$Q14,$I$5:$I$204)&gt;0,SUMPRODUCT(IFERROR(($A$5:$A$204=$Q14)*$I$5:$I$204*L$5:L$204,0))/SUMIF($A$5:$A$204,$Q14,$I$5:$I$204),IF($S14&gt;0,SUMPRODUCT(IFERROR(($A$5:$A$204=$Q14)*$E$5:$E$204*L$5:L$204,0))/$S14,"")))</f>
        <v>0.20000000000000004</v>
      </c>
      <c r="Y14" s="246" cm="1">
        <f t="array" ref="Y14">IF($Q14="","",IF(SUMIF($A$5:$A$204,$Q14,$I$5:$I$204)&gt;0,SUMPRODUCT(IFERROR(($A$5:$A$204=$Q14)*$I$5:$I$204*M$5:M$204,0))/SUMIF($A$5:$A$204,$Q14,$I$5:$I$204),IF($S14&gt;0,SUMPRODUCT(IFERROR(($A$5:$A$204=$Q14)*$E$5:$E$204*M$5:M$204,0))/$S14,"")))</f>
        <v>0.69999999999999984</v>
      </c>
      <c r="Z14" s="247" t="str">
        <f t="shared" si="6"/>
        <v>earned progress</v>
      </c>
      <c r="AA14" s="388">
        <f>IF($A14="","",IFERROR('Deliverable Actuals'!$K14,""))</f>
        <v>46105</v>
      </c>
      <c r="AB14" s="388">
        <f>IF($A14="","",IFERROR('Deliverable Actuals'!$L14,""))</f>
        <v>46250</v>
      </c>
      <c r="AC14" s="389">
        <f>IF($A14="","",IFERROR('Deliverable Actuals'!$I14,""))</f>
        <v>197.19444444444446</v>
      </c>
      <c r="AD14" s="350">
        <f>IF($A14="","",IFERROR('Deliverable Actuals'!$P14,""))</f>
        <v>11</v>
      </c>
      <c r="AE14" s="335" t="str">
        <f>IF($A14="","",IFERROR('Deliverable Actuals'!$R14,""))</f>
        <v>Active</v>
      </c>
      <c r="AG14"/>
      <c r="AH14"/>
      <c r="AI14"/>
      <c r="AJ14"/>
      <c r="AK14"/>
      <c r="AL14"/>
      <c r="AM14"/>
      <c r="AN14"/>
      <c r="AO14"/>
      <c r="AP14"/>
      <c r="AQ14"/>
      <c r="AR14"/>
    </row>
    <row r="15" spans="1:31" x14ac:dyDescent="0.3">
      <c r="A15" s="223"/>
      <c r="B15" s="224" t="str">
        <f>IF($A15="","",IFERROR(INDEX(Inputs!$B$6:$B$80,MATCH($A15,Inputs!$A$6:$A$80,0)),"not in register"))</f>
        <v>Consultancy Services for Port Modernization Infrastructure and Reconstruction Works for Nigerian Port Authority (NPA) in TINCAN and APAPA Ports</v>
      </c>
      <c r="C15" s="223"/>
      <c r="D15" s="223"/>
      <c r="E15" s="225"/>
      <c r="F15" s="226"/>
      <c r="G15" s="227" t="str">
        <f>IF(OR($D15="",$F15=""),"",IFERROR(INDEX('Rules of Credit'!$C$5:$C$38,MATCH($D15&amp;"|"&amp;$F15,'Rules of Credit'!$F$5:$F$38,0)),"invalid step"))</f>
        <v>Transmitted to client (IFA/IFC)</v>
      </c>
      <c r="H15" s="228">
        <f>IF(OR($D15="",$F15=""),"",IFERROR(INDEX('Rules of Credit'!$D$5:$D$38,MATCH($D15&amp;"|"&amp;$F15,'Rules of Credit'!$F$5:$F$38,0)),""))</f>
        <v>0.85</v>
      </c>
      <c r="I15" s="229">
        <f t="shared" si="4"/>
        <v>3.4000000000000002E-2</v>
      </c>
      <c r="J15" s="242"/>
      <c r="K15" s="243"/>
      <c r="L15" s="243"/>
      <c r="M15" s="243"/>
      <c r="N15" s="244" t="str">
        <f t="shared" si="5"/>
        <v>OK</v>
      </c>
      <c r="O15" s="221"/>
      <c r="P15" s="233">
        <f>IF($D15="",0,IFERROR(INDEX('Project Types'!$E$5:$E$13,MATCH($D15,'Project Types'!$A$5:$A$13,0)),1))</f>
        <v>1</v>
      </c>
      <c r="Q15" s="227" t="str">
        <f>IF(Inputs!$A16="","",Inputs!$A16)</f>
        <v>CS24035-0100D</v>
      </c>
      <c r="R15" s="230">
        <f t="shared" si="0"/>
        <v>1</v>
      </c>
      <c r="S15" s="231">
        <f t="shared" si="1"/>
        <v>1</v>
      </c>
      <c r="T15" s="230" t="str">
        <f t="shared" si="2"/>
        <v>OK</v>
      </c>
      <c r="U15" s="229">
        <f t="shared" si="3"/>
        <v>0.85</v>
      </c>
      <c r="V15" s="233" cm="1">
        <f t="array" ref="V15">IF($Q15="","",IF($S15=0,1,SUMPRODUCT(($A$5:$A$204=$Q15)*$E$5:$E$204*$P$5:$P$204)/$S15))</f>
        <v>1</v>
      </c>
      <c r="W15" s="246" cm="1">
        <f t="array" ref="W15">IF($Q15="","",IF(SUMIF($A$5:$A$204,$Q15,$I$5:$I$204)&gt;0,SUMPRODUCT(IFERROR(($A$5:$A$204=$Q15)*$I$5:$I$204*K$5:K$204,0))/SUMIF($A$5:$A$204,$Q15,$I$5:$I$204),IF($S15&gt;0,SUMPRODUCT(IFERROR(($A$5:$A$204=$Q15)*$E$5:$E$204*K$5:K$204,0))/$S15,"")))</f>
        <v>0.5</v>
      </c>
      <c r="X15" s="246" cm="1">
        <f t="array" ref="X15">IF($Q15="","",IF(SUMIF($A$5:$A$204,$Q15,$I$5:$I$204)&gt;0,SUMPRODUCT(IFERROR(($A$5:$A$204=$Q15)*$I$5:$I$204*L$5:L$204,0))/SUMIF($A$5:$A$204,$Q15,$I$5:$I$204),IF($S15&gt;0,SUMPRODUCT(IFERROR(($A$5:$A$204=$Q15)*$E$5:$E$204*L$5:L$204,0))/$S15,"")))</f>
        <v>0</v>
      </c>
      <c r="Y15" s="246" cm="1">
        <f t="array" ref="Y15">IF($Q15="","",IF(SUMIF($A$5:$A$204,$Q15,$I$5:$I$204)&gt;0,SUMPRODUCT(IFERROR(($A$5:$A$204=$Q15)*$I$5:$I$204*M$5:M$204,0))/SUMIF($A$5:$A$204,$Q15,$I$5:$I$204),IF($S15&gt;0,SUMPRODUCT(IFERROR(($A$5:$A$204=$Q15)*$E$5:$E$204*M$5:M$204,0))/$S15,"")))</f>
        <v>0.5</v>
      </c>
      <c r="Z15" s="247" t="str">
        <f t="shared" si="6"/>
        <v>earned progress</v>
      </c>
      <c r="AA15" s="388">
        <f>IF($A15="","",IFERROR('Deliverable Actuals'!$K15,""))</f>
        <v>46105</v>
      </c>
      <c r="AB15" s="388">
        <f>IF($A15="","",IFERROR('Deliverable Actuals'!$L15,""))</f>
        <v>46250</v>
      </c>
      <c r="AC15" s="389">
        <f>IF($A15="","",IFERROR('Deliverable Actuals'!$I15,""))</f>
        <v>197.19444444444446</v>
      </c>
      <c r="AD15" s="350">
        <f>IF($A15="","",IFERROR('Deliverable Actuals'!$P15,""))</f>
        <v>11</v>
      </c>
      <c r="AE15" s="335" t="str">
        <f>IF($A15="","",IFERROR('Deliverable Actuals'!$R15,""))</f>
        <v>Active</v>
      </c>
      <c r="AG15"/>
      <c r="AH15"/>
      <c r="AI15"/>
      <c r="AJ15"/>
      <c r="AK15"/>
      <c r="AL15"/>
      <c r="AM15"/>
      <c r="AN15"/>
      <c r="AO15"/>
      <c r="AP15"/>
      <c r="AQ15"/>
      <c r="AR15"/>
    </row>
    <row r="16" spans="1:31" x14ac:dyDescent="0.3">
      <c r="A16" s="223"/>
      <c r="B16" s="224" t="str">
        <f>IF($A16="","",IFERROR(INDEX(Inputs!$B$6:$B$80,MATCH($A16,Inputs!$A$6:$A$80,0)),"not in register"))</f>
        <v>Consultancy Services for Port Modernization Infrastructure and Reconstruction Works for Nigerian Port Authority (NPA) in TINCAN and APAPA Ports</v>
      </c>
      <c r="C16" s="223"/>
      <c r="D16" s="223"/>
      <c r="E16" s="225"/>
      <c r="F16" s="226"/>
      <c r="G16" s="227" t="str">
        <f>IF(OR($D16="",$F16=""),"",IFERROR(INDEX('Rules of Credit'!$C$5:$C$38,MATCH($D16&amp;"|"&amp;$F16,'Rules of Credit'!$F$5:$F$38,0)),"invalid step"))</f>
        <v>Transmitted to client (IFA/IFC)</v>
      </c>
      <c r="H16" s="228">
        <f>IF(OR($D16="",$F16=""),"",IFERROR(INDEX('Rules of Credit'!$D$5:$D$38,MATCH($D16&amp;"|"&amp;$F16,'Rules of Credit'!$F$5:$F$38,0)),""))</f>
        <v>0.85</v>
      </c>
      <c r="I16" s="229">
        <f t="shared" si="4"/>
        <v>3.4000000000000002E-2</v>
      </c>
      <c r="J16" s="242"/>
      <c r="K16" s="243"/>
      <c r="L16" s="243"/>
      <c r="M16" s="243"/>
      <c r="N16" s="244" t="str">
        <f t="shared" si="5"/>
        <v>OK</v>
      </c>
      <c r="O16" s="221"/>
      <c r="P16" s="233">
        <f>IF($D16="",0,IFERROR(INDEX('Project Types'!$E$5:$E$13,MATCH($D16,'Project Types'!$A$5:$A$13,0)),1))</f>
        <v>1</v>
      </c>
      <c r="Q16" s="227" t="str">
        <f>IF(Inputs!$A17="","",Inputs!$A17)</f>
        <v>E24181-0100D</v>
      </c>
      <c r="R16" s="230">
        <f t="shared" si="0"/>
        <v>1</v>
      </c>
      <c r="S16" s="231">
        <f t="shared" si="1"/>
        <v>1</v>
      </c>
      <c r="T16" s="230" t="str">
        <f t="shared" si="2"/>
        <v>OK</v>
      </c>
      <c r="U16" s="229">
        <f t="shared" si="3"/>
        <v>1</v>
      </c>
      <c r="V16" s="233" cm="1">
        <f t="array" ref="V16">IF($Q16="","",IF($S16=0,1,SUMPRODUCT(($A$5:$A$204=$Q16)*$E$5:$E$204*$P$5:$P$204)/$S16))</f>
        <v>1.2</v>
      </c>
      <c r="W16" s="246" cm="1">
        <f t="array" ref="W16">IF($Q16="","",IF(SUMIF($A$5:$A$204,$Q16,$I$5:$I$204)&gt;0,SUMPRODUCT(IFERROR(($A$5:$A$204=$Q16)*$I$5:$I$204*K$5:K$204,0))/SUMIF($A$5:$A$204,$Q16,$I$5:$I$204),IF($S16&gt;0,SUMPRODUCT(IFERROR(($A$5:$A$204=$Q16)*$E$5:$E$204*K$5:K$204,0))/$S16,"")))</f>
        <v>1</v>
      </c>
      <c r="X16" s="246" cm="1">
        <f t="array" ref="X16">IF($Q16="","",IF(SUMIF($A$5:$A$204,$Q16,$I$5:$I$204)&gt;0,SUMPRODUCT(IFERROR(($A$5:$A$204=$Q16)*$I$5:$I$204*L$5:L$204,0))/SUMIF($A$5:$A$204,$Q16,$I$5:$I$204),IF($S16&gt;0,SUMPRODUCT(IFERROR(($A$5:$A$204=$Q16)*$E$5:$E$204*L$5:L$204,0))/$S16,"")))</f>
        <v>0</v>
      </c>
      <c r="Y16" s="246" cm="1">
        <f t="array" ref="Y16">IF($Q16="","",IF(SUMIF($A$5:$A$204,$Q16,$I$5:$I$204)&gt;0,SUMPRODUCT(IFERROR(($A$5:$A$204=$Q16)*$I$5:$I$204*M$5:M$204,0))/SUMIF($A$5:$A$204,$Q16,$I$5:$I$204),IF($S16&gt;0,SUMPRODUCT(IFERROR(($A$5:$A$204=$Q16)*$E$5:$E$204*M$5:M$204,0))/$S16,"")))</f>
        <v>0</v>
      </c>
      <c r="Z16" s="247" t="str">
        <f t="shared" si="6"/>
        <v>earned progress</v>
      </c>
      <c r="AA16" s="388">
        <f>IF($A16="","",IFERROR('Deliverable Actuals'!$K16,""))</f>
        <v>46105</v>
      </c>
      <c r="AB16" s="388">
        <f>IF($A16="","",IFERROR('Deliverable Actuals'!$L16,""))</f>
        <v>46250</v>
      </c>
      <c r="AC16" s="389">
        <f>IF($A16="","",IFERROR('Deliverable Actuals'!$I16,""))</f>
        <v>197.19444444444446</v>
      </c>
      <c r="AD16" s="350">
        <f>IF($A16="","",IFERROR('Deliverable Actuals'!$P16,""))</f>
        <v>11</v>
      </c>
      <c r="AE16" s="335" t="str">
        <f>IF($A16="","",IFERROR('Deliverable Actuals'!$R16,""))</f>
        <v>Active</v>
      </c>
      <c r="AG16"/>
      <c r="AH16"/>
      <c r="AI16"/>
      <c r="AJ16"/>
      <c r="AK16"/>
      <c r="AL16"/>
      <c r="AM16"/>
      <c r="AN16"/>
      <c r="AO16"/>
      <c r="AP16"/>
      <c r="AQ16"/>
      <c r="AR16"/>
    </row>
    <row r="17" spans="1:31" x14ac:dyDescent="0.3">
      <c r="A17" s="223"/>
      <c r="B17" s="224" t="str">
        <f>IF($A17="","",IFERROR(INDEX(Inputs!$B$6:$B$80,MATCH($A17,Inputs!$A$6:$A$80,0)),"not in register"))</f>
        <v>Consultancy Services for Port Modernization Infrastructure and Reconstruction Works for Nigerian Port Authority (NPA) in TINCAN and APAPA Ports</v>
      </c>
      <c r="C17" s="223"/>
      <c r="D17" s="223"/>
      <c r="E17" s="225"/>
      <c r="F17" s="226"/>
      <c r="G17" s="227" t="str">
        <f>IF(OR($D17="",$F17=""),"",IFERROR(INDEX('Rules of Credit'!$C$5:$C$38,MATCH($D17&amp;"|"&amp;$F17,'Rules of Credit'!$F$5:$F$38,0)),"invalid step"))</f>
        <v>Design started</v>
      </c>
      <c r="H17" s="228">
        <f>IF(OR($D17="",$F17=""),"",IFERROR(INDEX('Rules of Credit'!$D$5:$D$38,MATCH($D17&amp;"|"&amp;$F17,'Rules of Credit'!$F$5:$F$38,0)),""))</f>
        <v>0.1</v>
      </c>
      <c r="I17" s="229">
        <f t="shared" si="4"/>
        <v>4.0000000000000001E-3</v>
      </c>
      <c r="J17" s="242"/>
      <c r="K17" s="243"/>
      <c r="L17" s="243"/>
      <c r="M17" s="243"/>
      <c r="N17" s="244" t="str">
        <f t="shared" si="5"/>
        <v>OK</v>
      </c>
      <c r="O17" s="221"/>
      <c r="P17" s="233">
        <f>IF($D17="",0,IFERROR(INDEX('Project Types'!$E$5:$E$13,MATCH($D17,'Project Types'!$A$5:$A$13,0)),1))</f>
        <v>1</v>
      </c>
      <c r="Q17" s="227" t="str">
        <f>IF(Inputs!$A18="","",Inputs!$A18)</f>
        <v>J23152-0100D</v>
      </c>
      <c r="R17" s="230">
        <f t="shared" si="0"/>
        <v>1</v>
      </c>
      <c r="S17" s="231">
        <f t="shared" si="1"/>
        <v>1</v>
      </c>
      <c r="T17" s="230" t="str">
        <f t="shared" si="2"/>
        <v>OK</v>
      </c>
      <c r="U17" s="229">
        <f t="shared" si="3"/>
        <v>1</v>
      </c>
      <c r="V17" s="233" cm="1">
        <f t="array" ref="V17">IF($Q17="","",IF($S17=0,1,SUMPRODUCT(($A$5:$A$204=$Q17)*$E$5:$E$204*$P$5:$P$204)/$S17))</f>
        <v>0.85</v>
      </c>
      <c r="W17" s="246" cm="1">
        <f t="array" ref="W17">IF($Q17="","",IF(SUMIF($A$5:$A$204,$Q17,$I$5:$I$204)&gt;0,SUMPRODUCT(IFERROR(($A$5:$A$204=$Q17)*$I$5:$I$204*K$5:K$204,0))/SUMIF($A$5:$A$204,$Q17,$I$5:$I$204),IF($S17&gt;0,SUMPRODUCT(IFERROR(($A$5:$A$204=$Q17)*$E$5:$E$204*K$5:K$204,0))/$S17,"")))</f>
        <v>1</v>
      </c>
      <c r="X17" s="246" cm="1">
        <f t="array" ref="X17">IF($Q17="","",IF(SUMIF($A$5:$A$204,$Q17,$I$5:$I$204)&gt;0,SUMPRODUCT(IFERROR(($A$5:$A$204=$Q17)*$I$5:$I$204*L$5:L$204,0))/SUMIF($A$5:$A$204,$Q17,$I$5:$I$204),IF($S17&gt;0,SUMPRODUCT(IFERROR(($A$5:$A$204=$Q17)*$E$5:$E$204*L$5:L$204,0))/$S17,"")))</f>
        <v>0</v>
      </c>
      <c r="Y17" s="246" cm="1">
        <f t="array" ref="Y17">IF($Q17="","",IF(SUMIF($A$5:$A$204,$Q17,$I$5:$I$204)&gt;0,SUMPRODUCT(IFERROR(($A$5:$A$204=$Q17)*$I$5:$I$204*M$5:M$204,0))/SUMIF($A$5:$A$204,$Q17,$I$5:$I$204),IF($S17&gt;0,SUMPRODUCT(IFERROR(($A$5:$A$204=$Q17)*$E$5:$E$204*M$5:M$204,0))/$S17,"")))</f>
        <v>0</v>
      </c>
      <c r="Z17" s="247" t="str">
        <f t="shared" si="6"/>
        <v>earned progress</v>
      </c>
      <c r="AA17" s="388">
        <f>IF($A17="","",IFERROR('Deliverable Actuals'!$K17,""))</f>
        <v>46105</v>
      </c>
      <c r="AB17" s="388">
        <f>IF($A17="","",IFERROR('Deliverable Actuals'!$L17,""))</f>
        <v>46250</v>
      </c>
      <c r="AC17" s="389">
        <f>IF($A17="","",IFERROR('Deliverable Actuals'!$I17,""))</f>
        <v>197.19444444444446</v>
      </c>
      <c r="AD17" s="350">
        <f>IF($A17="","",IFERROR('Deliverable Actuals'!$P17,""))</f>
        <v>11</v>
      </c>
      <c r="AE17" s="335" t="str">
        <f>IF($A17="","",IFERROR('Deliverable Actuals'!$R17,""))</f>
        <v>Active</v>
      </c>
      <c r="AG17"/>
      <c r="AH17"/>
      <c r="AI17"/>
      <c r="AJ17"/>
      <c r="AK17"/>
      <c r="AL17"/>
      <c r="AM17"/>
      <c r="AN17"/>
      <c r="AO17"/>
      <c r="AP17"/>
      <c r="AQ17"/>
      <c r="AR17"/>
    </row>
    <row r="18" spans="1:31" x14ac:dyDescent="0.3">
      <c r="A18" s="223"/>
      <c r="B18" s="224" t="str">
        <f>IF($A18="","",IFERROR(INDEX(Inputs!$B$6:$B$80,MATCH($A18,Inputs!$A$6:$A$80,0)),"not in register"))</f>
        <v>Consultancy Services for Port Modernization Infrastructure and Reconstruction Works for Nigerian Port Authority (NPA) in TINCAN and APAPA Ports</v>
      </c>
      <c r="C18" s="223"/>
      <c r="D18" s="223"/>
      <c r="E18" s="225"/>
      <c r="F18" s="226"/>
      <c r="G18" s="227" t="str">
        <f>IF(OR($D18="",$F18=""),"",IFERROR(INDEX('Rules of Credit'!$C$5:$C$38,MATCH($D18&amp;"|"&amp;$F18,'Rules of Credit'!$F$5:$F$38,0)),"invalid step"))</f>
        <v>Design started</v>
      </c>
      <c r="H18" s="228">
        <f>IF(OR($D18="",$F18=""),"",IFERROR(INDEX('Rules of Credit'!$D$5:$D$38,MATCH($D18&amp;"|"&amp;$F18,'Rules of Credit'!$F$5:$F$38,0)),""))</f>
        <v>0.1</v>
      </c>
      <c r="I18" s="229">
        <f t="shared" si="4"/>
        <v>4.0000000000000001E-3</v>
      </c>
      <c r="J18" s="242"/>
      <c r="K18" s="243"/>
      <c r="L18" s="243"/>
      <c r="M18" s="243"/>
      <c r="N18" s="244" t="str">
        <f t="shared" si="5"/>
        <v>OK</v>
      </c>
      <c r="O18" s="221"/>
      <c r="P18" s="233">
        <f>IF($D18="",0,IFERROR(INDEX('Project Types'!$E$5:$E$13,MATCH($D18,'Project Types'!$A$5:$A$13,0)),1))</f>
        <v>1</v>
      </c>
      <c r="Q18" s="227" t="str">
        <f>IF(Inputs!$A19="","",Inputs!$A19)</f>
        <v>Q25008-0100D</v>
      </c>
      <c r="R18" s="230">
        <f t="shared" si="0"/>
        <v>1</v>
      </c>
      <c r="S18" s="231">
        <f t="shared" si="1"/>
        <v>1</v>
      </c>
      <c r="T18" s="230" t="str">
        <f t="shared" si="2"/>
        <v>OK</v>
      </c>
      <c r="U18" s="229">
        <f t="shared" si="3"/>
        <v>1</v>
      </c>
      <c r="V18" s="233" cm="1">
        <f t="array" ref="V18">IF($Q18="","",IF($S18=0,1,SUMPRODUCT(($A$5:$A$204=$Q18)*$E$5:$E$204*$P$5:$P$204)/$S18))</f>
        <v>0.85</v>
      </c>
      <c r="W18" s="246" cm="1">
        <f t="array" ref="W18">IF($Q18="","",IF(SUMIF($A$5:$A$204,$Q18,$I$5:$I$204)&gt;0,SUMPRODUCT(IFERROR(($A$5:$A$204=$Q18)*$I$5:$I$204*K$5:K$204,0))/SUMIF($A$5:$A$204,$Q18,$I$5:$I$204),IF($S18&gt;0,SUMPRODUCT(IFERROR(($A$5:$A$204=$Q18)*$E$5:$E$204*K$5:K$204,0))/$S18,"")))</f>
        <v>0.2</v>
      </c>
      <c r="X18" s="246" cm="1">
        <f t="array" ref="X18">IF($Q18="","",IF(SUMIF($A$5:$A$204,$Q18,$I$5:$I$204)&gt;0,SUMPRODUCT(IFERROR(($A$5:$A$204=$Q18)*$I$5:$I$204*L$5:L$204,0))/SUMIF($A$5:$A$204,$Q18,$I$5:$I$204),IF($S18&gt;0,SUMPRODUCT(IFERROR(($A$5:$A$204=$Q18)*$E$5:$E$204*L$5:L$204,0))/$S18,"")))</f>
        <v>0</v>
      </c>
      <c r="Y18" s="246" cm="1">
        <f t="array" ref="Y18">IF($Q18="","",IF(SUMIF($A$5:$A$204,$Q18,$I$5:$I$204)&gt;0,SUMPRODUCT(IFERROR(($A$5:$A$204=$Q18)*$I$5:$I$204*M$5:M$204,0))/SUMIF($A$5:$A$204,$Q18,$I$5:$I$204),IF($S18&gt;0,SUMPRODUCT(IFERROR(($A$5:$A$204=$Q18)*$E$5:$E$204*M$5:M$204,0))/$S18,"")))</f>
        <v>0.8</v>
      </c>
      <c r="Z18" s="247" t="str">
        <f t="shared" si="6"/>
        <v>earned progress</v>
      </c>
      <c r="AA18" s="388">
        <f>IF($A18="","",IFERROR('Deliverable Actuals'!$K18,""))</f>
        <v>46105</v>
      </c>
      <c r="AB18" s="388">
        <f>IF($A18="","",IFERROR('Deliverable Actuals'!$L18,""))</f>
        <v>46250</v>
      </c>
      <c r="AC18" s="389">
        <f>IF($A18="","",IFERROR('Deliverable Actuals'!$I18,""))</f>
        <v>197.19444444444446</v>
      </c>
      <c r="AD18" s="350">
        <f>IF($A18="","",IFERROR('Deliverable Actuals'!$P18,""))</f>
        <v>11</v>
      </c>
      <c r="AE18" s="335" t="str">
        <f>IF($A18="","",IFERROR('Deliverable Actuals'!$R18,""))</f>
        <v>Active</v>
      </c>
      <c r="AG18"/>
      <c r="AH18"/>
      <c r="AI18"/>
      <c r="AJ18"/>
      <c r="AK18"/>
      <c r="AL18"/>
      <c r="AM18"/>
      <c r="AN18"/>
      <c r="AO18"/>
      <c r="AP18"/>
      <c r="AQ18"/>
      <c r="AR18"/>
    </row>
    <row r="19" spans="1:31" x14ac:dyDescent="0.3">
      <c r="A19" s="223"/>
      <c r="B19" s="224" t="str">
        <f>IF($A19="","",IFERROR(INDEX(Inputs!$B$6:$B$80,MATCH($A19,Inputs!$A$6:$A$80,0)),"not in register"))</f>
        <v>Consultancy Services for Port Modernization Infrastructure and Reconstruction Works for Nigerian Port Authority (NPA) in TINCAN and APAPA Ports</v>
      </c>
      <c r="C19" s="223"/>
      <c r="D19" s="223"/>
      <c r="E19" s="225"/>
      <c r="F19" s="226"/>
      <c r="G19" s="227" t="str">
        <f>IF(OR($D19="",$F19=""),"",IFERROR(INDEX('Rules of Credit'!$C$5:$C$38,MATCH($D19&amp;"|"&amp;$F19,'Rules of Credit'!$F$5:$F$38,0)),"invalid step"))</f>
        <v/>
      </c>
      <c r="H19" s="228" t="str">
        <f>IF(OR($D19="",$F19=""),"",IFERROR(INDEX('Rules of Credit'!$D$5:$D$38,MATCH($D19&amp;"|"&amp;$F19,'Rules of Credit'!$F$5:$F$38,0)),""))</f>
        <v/>
      </c>
      <c r="I19" s="229" t="str">
        <f t="shared" si="4"/>
        <v/>
      </c>
      <c r="J19" s="242"/>
      <c r="K19" s="243"/>
      <c r="L19" s="243"/>
      <c r="M19" s="243"/>
      <c r="N19" s="244" t="str">
        <f t="shared" si="5"/>
        <v>OK</v>
      </c>
      <c r="O19" s="221"/>
      <c r="P19" s="233">
        <f>IF($D19="",0,IFERROR(INDEX('Project Types'!$E$5:$E$13,MATCH($D19,'Project Types'!$A$5:$A$13,0)),1))</f>
        <v>1</v>
      </c>
      <c r="Q19" s="227" t="str">
        <f>IF(Inputs!$A20="","",Inputs!$A20)</f>
        <v>S24014-0101D</v>
      </c>
      <c r="R19" s="230">
        <f t="shared" si="0"/>
        <v>1</v>
      </c>
      <c r="S19" s="231">
        <f t="shared" si="1"/>
        <v>1</v>
      </c>
      <c r="T19" s="230" t="str">
        <f t="shared" si="2"/>
        <v>OK</v>
      </c>
      <c r="U19" s="229">
        <f t="shared" si="3"/>
        <v>1</v>
      </c>
      <c r="V19" s="233" cm="1">
        <f t="array" ref="V19">IF($Q19="","",IF($S19=0,1,SUMPRODUCT(($A$5:$A$204=$Q19)*$E$5:$E$204*$P$5:$P$204)/$S19))</f>
        <v>1.2</v>
      </c>
      <c r="W19" s="246" cm="1">
        <f t="array" ref="W19">IF($Q19="","",IF(SUMIF($A$5:$A$204,$Q19,$I$5:$I$204)&gt;0,SUMPRODUCT(IFERROR(($A$5:$A$204=$Q19)*$I$5:$I$204*K$5:K$204,0))/SUMIF($A$5:$A$204,$Q19,$I$5:$I$204),IF($S19&gt;0,SUMPRODUCT(IFERROR(($A$5:$A$204=$Q19)*$E$5:$E$204*K$5:K$204,0))/$S19,"")))</f>
        <v>1</v>
      </c>
      <c r="X19" s="246" cm="1">
        <f t="array" ref="X19">IF($Q19="","",IF(SUMIF($A$5:$A$204,$Q19,$I$5:$I$204)&gt;0,SUMPRODUCT(IFERROR(($A$5:$A$204=$Q19)*$I$5:$I$204*L$5:L$204,0))/SUMIF($A$5:$A$204,$Q19,$I$5:$I$204),IF($S19&gt;0,SUMPRODUCT(IFERROR(($A$5:$A$204=$Q19)*$E$5:$E$204*L$5:L$204,0))/$S19,"")))</f>
        <v>0</v>
      </c>
      <c r="Y19" s="246" cm="1">
        <f t="array" ref="Y19">IF($Q19="","",IF(SUMIF($A$5:$A$204,$Q19,$I$5:$I$204)&gt;0,SUMPRODUCT(IFERROR(($A$5:$A$204=$Q19)*$I$5:$I$204*M$5:M$204,0))/SUMIF($A$5:$A$204,$Q19,$I$5:$I$204),IF($S19&gt;0,SUMPRODUCT(IFERROR(($A$5:$A$204=$Q19)*$E$5:$E$204*M$5:M$204,0))/$S19,"")))</f>
        <v>0</v>
      </c>
      <c r="Z19" s="247" t="str">
        <f t="shared" si="6"/>
        <v>earned progress</v>
      </c>
      <c r="AA19" s="388">
        <f>IF($A19="","",IFERROR('Deliverable Actuals'!$K19,""))</f>
        <v>46105</v>
      </c>
      <c r="AB19" s="388">
        <f>IF($A19="","",IFERROR('Deliverable Actuals'!$L19,""))</f>
        <v>46250</v>
      </c>
      <c r="AC19" s="389">
        <f>IF($A19="","",IFERROR('Deliverable Actuals'!$I19,""))</f>
        <v>0</v>
      </c>
      <c r="AD19" s="350">
        <f>IF($A19="","",IFERROR('Deliverable Actuals'!$P19,""))</f>
        <v>11</v>
      </c>
      <c r="AE19" s="335" t="str">
        <f>IF($A19="","",IFERROR('Deliverable Actuals'!$R19,""))</f>
        <v>Active</v>
      </c>
      <c r="AG19"/>
      <c r="AH19"/>
      <c r="AI19"/>
      <c r="AJ19"/>
      <c r="AK19"/>
      <c r="AL19"/>
      <c r="AM19"/>
      <c r="AN19"/>
      <c r="AO19"/>
      <c r="AP19"/>
      <c r="AQ19"/>
      <c r="AR19"/>
    </row>
    <row r="20" spans="1:31" x14ac:dyDescent="0.3">
      <c r="A20" s="223"/>
      <c r="B20" s="224" t="str">
        <f>IF($A20="","",IFERROR(INDEX(Inputs!$B$6:$B$80,MATCH($A20,Inputs!$A$6:$A$80,0)),"not in register"))</f>
        <v>Consultancy Services for Port Modernization Infrastructure and Reconstruction Works for Nigerian Port Authority (NPA) in TINCAN and APAPA Ports</v>
      </c>
      <c r="C20" s="223"/>
      <c r="D20" s="223"/>
      <c r="E20" s="225"/>
      <c r="F20" s="226"/>
      <c r="G20" s="227" t="str">
        <f>IF(OR($D20="",$F20=""),"",IFERROR(INDEX('Rules of Credit'!$C$5:$C$38,MATCH($D20&amp;"|"&amp;$F20,'Rules of Credit'!$F$5:$F$38,0)),"invalid step"))</f>
        <v/>
      </c>
      <c r="H20" s="228" t="str">
        <f>IF(OR($D20="",$F20=""),"",IFERROR(INDEX('Rules of Credit'!$D$5:$D$38,MATCH($D20&amp;"|"&amp;$F20,'Rules of Credit'!$F$5:$F$38,0)),""))</f>
        <v/>
      </c>
      <c r="I20" s="229" t="str">
        <f t="shared" si="4"/>
        <v/>
      </c>
      <c r="J20" s="242"/>
      <c r="K20" s="243"/>
      <c r="L20" s="243"/>
      <c r="M20" s="243"/>
      <c r="N20" s="244" t="str">
        <f t="shared" si="5"/>
        <v>OK</v>
      </c>
      <c r="O20" s="221"/>
      <c r="P20" s="233">
        <f>IF($D20="",0,IFERROR(INDEX('Project Types'!$E$5:$E$13,MATCH($D20,'Project Types'!$A$5:$A$13,0)),1))</f>
        <v>1</v>
      </c>
      <c r="Q20" s="227" t="str">
        <f>IF(Inputs!$A21="","",Inputs!$A21)</f>
        <v>S24014-0102D</v>
      </c>
      <c r="R20" s="230">
        <f t="shared" si="0"/>
        <v>1</v>
      </c>
      <c r="S20" s="231">
        <f t="shared" si="1"/>
        <v>1</v>
      </c>
      <c r="T20" s="230" t="str">
        <f t="shared" si="2"/>
        <v>OK</v>
      </c>
      <c r="U20" s="229">
        <f t="shared" si="3"/>
        <v>1</v>
      </c>
      <c r="V20" s="233" cm="1">
        <f t="array" ref="V20">IF($Q20="","",IF($S20=0,1,SUMPRODUCT(($A$5:$A$204=$Q20)*$E$5:$E$204*$P$5:$P$204)/$S20))</f>
        <v>1.1000000000000001</v>
      </c>
      <c r="W20" s="246" cm="1">
        <f t="array" ref="W20">IF($Q20="","",IF(SUMIF($A$5:$A$204,$Q20,$I$5:$I$204)&gt;0,SUMPRODUCT(IFERROR(($A$5:$A$204=$Q20)*$I$5:$I$204*K$5:K$204,0))/SUMIF($A$5:$A$204,$Q20,$I$5:$I$204),IF($S20&gt;0,SUMPRODUCT(IFERROR(($A$5:$A$204=$Q20)*$E$5:$E$204*K$5:K$204,0))/$S20,"")))</f>
        <v>0.7</v>
      </c>
      <c r="X20" s="246" cm="1">
        <f t="array" ref="X20">IF($Q20="","",IF(SUMIF($A$5:$A$204,$Q20,$I$5:$I$204)&gt;0,SUMPRODUCT(IFERROR(($A$5:$A$204=$Q20)*$I$5:$I$204*L$5:L$204,0))/SUMIF($A$5:$A$204,$Q20,$I$5:$I$204),IF($S20&gt;0,SUMPRODUCT(IFERROR(($A$5:$A$204=$Q20)*$E$5:$E$204*L$5:L$204,0))/$S20,"")))</f>
        <v>0.2</v>
      </c>
      <c r="Y20" s="246" cm="1">
        <f t="array" ref="Y20">IF($Q20="","",IF(SUMIF($A$5:$A$204,$Q20,$I$5:$I$204)&gt;0,SUMPRODUCT(IFERROR(($A$5:$A$204=$Q20)*$I$5:$I$204*M$5:M$204,0))/SUMIF($A$5:$A$204,$Q20,$I$5:$I$204),IF($S20&gt;0,SUMPRODUCT(IFERROR(($A$5:$A$204=$Q20)*$E$5:$E$204*M$5:M$204,0))/$S20,"")))</f>
        <v>0.1</v>
      </c>
      <c r="Z20" s="247" t="str">
        <f t="shared" si="6"/>
        <v>earned progress</v>
      </c>
      <c r="AA20" s="388">
        <f>IF($A20="","",IFERROR('Deliverable Actuals'!$K20,""))</f>
        <v>46105</v>
      </c>
      <c r="AB20" s="388">
        <f>IF($A20="","",IFERROR('Deliverable Actuals'!$L20,""))</f>
        <v>46250</v>
      </c>
      <c r="AC20" s="389">
        <f>IF($A20="","",IFERROR('Deliverable Actuals'!$I20,""))</f>
        <v>0</v>
      </c>
      <c r="AD20" s="350">
        <f>IF($A20="","",IFERROR('Deliverable Actuals'!$P20,""))</f>
        <v>11</v>
      </c>
      <c r="AE20" s="335" t="str">
        <f>IF($A20="","",IFERROR('Deliverable Actuals'!$R20,""))</f>
        <v>Active</v>
      </c>
      <c r="AG20"/>
      <c r="AH20"/>
      <c r="AI20"/>
      <c r="AJ20"/>
      <c r="AK20"/>
      <c r="AL20"/>
      <c r="AM20"/>
      <c r="AN20"/>
      <c r="AO20"/>
      <c r="AP20"/>
      <c r="AQ20"/>
      <c r="AR20"/>
    </row>
    <row r="21" spans="1:31" x14ac:dyDescent="0.3">
      <c r="A21" s="223"/>
      <c r="B21" s="224" t="str">
        <f>IF($A21="","",IFERROR(INDEX(Inputs!$B$6:$B$80,MATCH($A21,Inputs!$A$6:$A$80,0)),"not in register"))</f>
        <v>Consultancy Services for Port Modernization Infrastructure and Reconstruction Works for Nigerian Port Authority (NPA) in TINCAN and APAPA Ports</v>
      </c>
      <c r="C21" s="223"/>
      <c r="D21" s="223"/>
      <c r="E21" s="225"/>
      <c r="F21" s="226"/>
      <c r="G21" s="227" t="str">
        <f>IF(OR($D21="",$F21=""),"",IFERROR(INDEX('Rules of Credit'!$C$5:$C$38,MATCH($D21&amp;"|"&amp;$F21,'Rules of Credit'!$F$5:$F$38,0)),"invalid step"))</f>
        <v/>
      </c>
      <c r="H21" s="228" t="str">
        <f>IF(OR($D21="",$F21=""),"",IFERROR(INDEX('Rules of Credit'!$D$5:$D$38,MATCH($D21&amp;"|"&amp;$F21,'Rules of Credit'!$F$5:$F$38,0)),""))</f>
        <v/>
      </c>
      <c r="I21" s="229" t="str">
        <f t="shared" si="4"/>
        <v/>
      </c>
      <c r="J21" s="242"/>
      <c r="K21" s="243"/>
      <c r="L21" s="243"/>
      <c r="M21" s="243"/>
      <c r="N21" s="244" t="str">
        <f t="shared" si="5"/>
        <v>OK</v>
      </c>
      <c r="O21" s="221"/>
      <c r="P21" s="233">
        <f>IF($D21="",0,IFERROR(INDEX('Project Types'!$E$5:$E$13,MATCH($D21,'Project Types'!$A$5:$A$13,0)),1))</f>
        <v>1</v>
      </c>
      <c r="Q21" s="227" t="str">
        <f>IF(Inputs!$A22="","",Inputs!$A22)</f>
        <v>S24014-0103D</v>
      </c>
      <c r="R21" s="230">
        <f t="shared" si="0"/>
        <v>1</v>
      </c>
      <c r="S21" s="231">
        <f t="shared" si="1"/>
        <v>1</v>
      </c>
      <c r="T21" s="230" t="str">
        <f t="shared" si="2"/>
        <v>OK</v>
      </c>
      <c r="U21" s="229">
        <f t="shared" si="3"/>
        <v>1</v>
      </c>
      <c r="V21" s="233" cm="1">
        <f t="array" ref="V21">IF($Q21="","",IF($S21=0,1,SUMPRODUCT(($A$5:$A$204=$Q21)*$E$5:$E$204*$P$5:$P$204)/$S21))</f>
        <v>1.1000000000000001</v>
      </c>
      <c r="W21" s="246" cm="1">
        <f t="array" ref="W21">IF($Q21="","",IF(SUMIF($A$5:$A$204,$Q21,$I$5:$I$204)&gt;0,SUMPRODUCT(IFERROR(($A$5:$A$204=$Q21)*$I$5:$I$204*K$5:K$204,0))/SUMIF($A$5:$A$204,$Q21,$I$5:$I$204),IF($S21&gt;0,SUMPRODUCT(IFERROR(($A$5:$A$204=$Q21)*$E$5:$E$204*K$5:K$204,0))/$S21,"")))</f>
        <v>0.5</v>
      </c>
      <c r="X21" s="246" cm="1">
        <f t="array" ref="X21">IF($Q21="","",IF(SUMIF($A$5:$A$204,$Q21,$I$5:$I$204)&gt;0,SUMPRODUCT(IFERROR(($A$5:$A$204=$Q21)*$I$5:$I$204*L$5:L$204,0))/SUMIF($A$5:$A$204,$Q21,$I$5:$I$204),IF($S21&gt;0,SUMPRODUCT(IFERROR(($A$5:$A$204=$Q21)*$E$5:$E$204*L$5:L$204,0))/$S21,"")))</f>
        <v>0.25</v>
      </c>
      <c r="Y21" s="246" cm="1">
        <f t="array" ref="Y21">IF($Q21="","",IF(SUMIF($A$5:$A$204,$Q21,$I$5:$I$204)&gt;0,SUMPRODUCT(IFERROR(($A$5:$A$204=$Q21)*$I$5:$I$204*M$5:M$204,0))/SUMIF($A$5:$A$204,$Q21,$I$5:$I$204),IF($S21&gt;0,SUMPRODUCT(IFERROR(($A$5:$A$204=$Q21)*$E$5:$E$204*M$5:M$204,0))/$S21,"")))</f>
        <v>0.25</v>
      </c>
      <c r="Z21" s="247" t="str">
        <f t="shared" si="6"/>
        <v>earned progress</v>
      </c>
      <c r="AA21" s="388">
        <f>IF($A21="","",IFERROR('Deliverable Actuals'!$K21,""))</f>
        <v>46105</v>
      </c>
      <c r="AB21" s="388">
        <f>IF($A21="","",IFERROR('Deliverable Actuals'!$L21,""))</f>
        <v>46250</v>
      </c>
      <c r="AC21" s="389">
        <f>IF($A21="","",IFERROR('Deliverable Actuals'!$I21,""))</f>
        <v>0</v>
      </c>
      <c r="AD21" s="350">
        <f>IF($A21="","",IFERROR('Deliverable Actuals'!$P21,""))</f>
        <v>11</v>
      </c>
      <c r="AE21" s="335" t="str">
        <f>IF($A21="","",IFERROR('Deliverable Actuals'!$R21,""))</f>
        <v>Active</v>
      </c>
      <c r="AG21"/>
      <c r="AH21"/>
      <c r="AI21"/>
      <c r="AJ21"/>
      <c r="AK21"/>
      <c r="AL21"/>
      <c r="AM21"/>
      <c r="AN21"/>
      <c r="AO21"/>
      <c r="AP21"/>
      <c r="AQ21"/>
      <c r="AR21"/>
    </row>
    <row r="22" spans="1:31" x14ac:dyDescent="0.3">
      <c r="A22" s="223"/>
      <c r="B22" s="224" t="str">
        <f>IF($A22="","",IFERROR(INDEX(Inputs!$B$6:$B$80,MATCH($A22,Inputs!$A$6:$A$80,0)),"not in register"))</f>
        <v>Consultancy Services for Port Modernization Infrastructure and Reconstruction Works for Nigerian Port Authority (NPA) in TINCAN and APAPA Ports</v>
      </c>
      <c r="C22" s="223"/>
      <c r="D22" s="223"/>
      <c r="E22" s="225"/>
      <c r="F22" s="226"/>
      <c r="G22" s="227" t="str">
        <f>IF(OR($D22="",$F22=""),"",IFERROR(INDEX('Rules of Credit'!$C$5:$C$38,MATCH($D22&amp;"|"&amp;$F22,'Rules of Credit'!$F$5:$F$38,0)),"invalid step"))</f>
        <v/>
      </c>
      <c r="H22" s="228" t="str">
        <f>IF(OR($D22="",$F22=""),"",IFERROR(INDEX('Rules of Credit'!$D$5:$D$38,MATCH($D22&amp;"|"&amp;$F22,'Rules of Credit'!$F$5:$F$38,0)),""))</f>
        <v/>
      </c>
      <c r="I22" s="229" t="str">
        <f t="shared" si="4"/>
        <v/>
      </c>
      <c r="J22" s="242"/>
      <c r="K22" s="243"/>
      <c r="L22" s="243"/>
      <c r="M22" s="243"/>
      <c r="N22" s="244" t="str">
        <f t="shared" si="5"/>
        <v>OK</v>
      </c>
      <c r="O22" s="221"/>
      <c r="P22" s="233">
        <f>IF($D22="",0,IFERROR(INDEX('Project Types'!$E$5:$E$13,MATCH($D22,'Project Types'!$A$5:$A$13,0)),1))</f>
        <v>1</v>
      </c>
      <c r="Q22" s="227" t="str">
        <f>IF(Inputs!$A23="","",Inputs!$A23)</f>
        <v>S24014-0104D</v>
      </c>
      <c r="R22" s="230">
        <f t="shared" si="0"/>
        <v>1</v>
      </c>
      <c r="S22" s="231">
        <f t="shared" si="1"/>
        <v>1</v>
      </c>
      <c r="T22" s="230" t="str">
        <f t="shared" si="2"/>
        <v>OK</v>
      </c>
      <c r="U22" s="229">
        <f t="shared" si="3"/>
        <v>1</v>
      </c>
      <c r="V22" s="233" cm="1">
        <f t="array" ref="V22">IF($Q22="","",IF($S22=0,1,SUMPRODUCT(($A$5:$A$204=$Q22)*$E$5:$E$204*$P$5:$P$204)/$S22))</f>
        <v>1.2</v>
      </c>
      <c r="W22" s="246" cm="1">
        <f t="array" ref="W22">IF($Q22="","",IF(SUMIF($A$5:$A$204,$Q22,$I$5:$I$204)&gt;0,SUMPRODUCT(IFERROR(($A$5:$A$204=$Q22)*$I$5:$I$204*K$5:K$204,0))/SUMIF($A$5:$A$204,$Q22,$I$5:$I$204),IF($S22&gt;0,SUMPRODUCT(IFERROR(($A$5:$A$204=$Q22)*$E$5:$E$204*K$5:K$204,0))/$S22,"")))</f>
        <v>1</v>
      </c>
      <c r="X22" s="246" cm="1">
        <f t="array" ref="X22">IF($Q22="","",IF(SUMIF($A$5:$A$204,$Q22,$I$5:$I$204)&gt;0,SUMPRODUCT(IFERROR(($A$5:$A$204=$Q22)*$I$5:$I$204*L$5:L$204,0))/SUMIF($A$5:$A$204,$Q22,$I$5:$I$204),IF($S22&gt;0,SUMPRODUCT(IFERROR(($A$5:$A$204=$Q22)*$E$5:$E$204*L$5:L$204,0))/$S22,"")))</f>
        <v>0</v>
      </c>
      <c r="Y22" s="246" cm="1">
        <f t="array" ref="Y22">IF($Q22="","",IF(SUMIF($A$5:$A$204,$Q22,$I$5:$I$204)&gt;0,SUMPRODUCT(IFERROR(($A$5:$A$204=$Q22)*$I$5:$I$204*M$5:M$204,0))/SUMIF($A$5:$A$204,$Q22,$I$5:$I$204),IF($S22&gt;0,SUMPRODUCT(IFERROR(($A$5:$A$204=$Q22)*$E$5:$E$204*M$5:M$204,0))/$S22,"")))</f>
        <v>0</v>
      </c>
      <c r="Z22" s="247" t="str">
        <f t="shared" si="6"/>
        <v>earned progress</v>
      </c>
      <c r="AA22" s="388">
        <f>IF($A22="","",IFERROR('Deliverable Actuals'!$K22,""))</f>
        <v>46105</v>
      </c>
      <c r="AB22" s="388">
        <f>IF($A22="","",IFERROR('Deliverable Actuals'!$L22,""))</f>
        <v>46250</v>
      </c>
      <c r="AC22" s="389">
        <f>IF($A22="","",IFERROR('Deliverable Actuals'!$I22,""))</f>
        <v>0</v>
      </c>
      <c r="AD22" s="350">
        <f>IF($A22="","",IFERROR('Deliverable Actuals'!$P22,""))</f>
        <v>11</v>
      </c>
      <c r="AE22" s="335" t="str">
        <f>IF($A22="","",IFERROR('Deliverable Actuals'!$R22,""))</f>
        <v>Active</v>
      </c>
      <c r="AG22"/>
      <c r="AH22"/>
      <c r="AI22"/>
      <c r="AJ22"/>
      <c r="AK22"/>
      <c r="AL22"/>
      <c r="AM22"/>
      <c r="AN22"/>
      <c r="AO22"/>
      <c r="AP22"/>
      <c r="AQ22"/>
      <c r="AR22"/>
    </row>
    <row r="23" spans="1:31" x14ac:dyDescent="0.3">
      <c r="A23" s="223"/>
      <c r="B23" s="224" t="str">
        <f>IF($A23="","",IFERROR(INDEX(Inputs!$B$6:$B$80,MATCH($A23,Inputs!$A$6:$A$80,0)),"not in register"))</f>
        <v>Consultancy Services for Port Modernization Infrastructure and Reconstruction Works for Nigerian Port Authority (NPA) in TINCAN and APAPA Ports</v>
      </c>
      <c r="C23" s="223"/>
      <c r="D23" s="223"/>
      <c r="E23" s="225"/>
      <c r="F23" s="226"/>
      <c r="G23" s="227" t="str">
        <f>IF(OR($D23="",$F23=""),"",IFERROR(INDEX('Rules of Credit'!$C$5:$C$38,MATCH($D23&amp;"|"&amp;$F23,'Rules of Credit'!$F$5:$F$38,0)),"invalid step"))</f>
        <v/>
      </c>
      <c r="H23" s="228" t="str">
        <f>IF(OR($D23="",$F23=""),"",IFERROR(INDEX('Rules of Credit'!$D$5:$D$38,MATCH($D23&amp;"|"&amp;$F23,'Rules of Credit'!$F$5:$F$38,0)),""))</f>
        <v/>
      </c>
      <c r="I23" s="229" t="str">
        <f t="shared" si="4"/>
        <v/>
      </c>
      <c r="J23" s="242"/>
      <c r="K23" s="243"/>
      <c r="L23" s="243"/>
      <c r="M23" s="243"/>
      <c r="N23" s="244" t="str">
        <f t="shared" si="5"/>
        <v>OK</v>
      </c>
      <c r="O23" s="221"/>
      <c r="P23" s="233">
        <f>IF($D23="",0,IFERROR(INDEX('Project Types'!$E$5:$E$13,MATCH($D23,'Project Types'!$A$5:$A$13,0)),1))</f>
        <v>1</v>
      </c>
      <c r="Q23" s="227" t="str">
        <f>IF(Inputs!$A24="","",Inputs!$A24)</f>
        <v>S22058-0700D</v>
      </c>
      <c r="R23" s="230">
        <f t="shared" si="0"/>
        <v>1</v>
      </c>
      <c r="S23" s="231">
        <f t="shared" si="1"/>
        <v>1</v>
      </c>
      <c r="T23" s="230" t="str">
        <f t="shared" si="2"/>
        <v>OK</v>
      </c>
      <c r="U23" s="229">
        <f t="shared" si="3"/>
        <v>1</v>
      </c>
      <c r="V23" s="233" cm="1">
        <f t="array" ref="V23">IF($Q23="","",IF($S23=0,1,SUMPRODUCT(($A$5:$A$204=$Q23)*$E$5:$E$204*$P$5:$P$204)/$S23))</f>
        <v>1.1000000000000001</v>
      </c>
      <c r="W23" s="246" cm="1">
        <f t="array" ref="W23">IF($Q23="","",IF(SUMIF($A$5:$A$204,$Q23,$I$5:$I$204)&gt;0,SUMPRODUCT(IFERROR(($A$5:$A$204=$Q23)*$I$5:$I$204*K$5:K$204,0))/SUMIF($A$5:$A$204,$Q23,$I$5:$I$204),IF($S23&gt;0,SUMPRODUCT(IFERROR(($A$5:$A$204=$Q23)*$E$5:$E$204*K$5:K$204,0))/$S23,"")))</f>
        <v>0.15</v>
      </c>
      <c r="X23" s="246" cm="1">
        <f t="array" ref="X23">IF($Q23="","",IF(SUMIF($A$5:$A$204,$Q23,$I$5:$I$204)&gt;0,SUMPRODUCT(IFERROR(($A$5:$A$204=$Q23)*$I$5:$I$204*L$5:L$204,0))/SUMIF($A$5:$A$204,$Q23,$I$5:$I$204),IF($S23&gt;0,SUMPRODUCT(IFERROR(($A$5:$A$204=$Q23)*$E$5:$E$204*L$5:L$204,0))/$S23,"")))</f>
        <v>0.5</v>
      </c>
      <c r="Y23" s="246" cm="1">
        <f t="array" ref="Y23">IF($Q23="","",IF(SUMIF($A$5:$A$204,$Q23,$I$5:$I$204)&gt;0,SUMPRODUCT(IFERROR(($A$5:$A$204=$Q23)*$I$5:$I$204*M$5:M$204,0))/SUMIF($A$5:$A$204,$Q23,$I$5:$I$204),IF($S23&gt;0,SUMPRODUCT(IFERROR(($A$5:$A$204=$Q23)*$E$5:$E$204*M$5:M$204,0))/$S23,"")))</f>
        <v>0.35</v>
      </c>
      <c r="Z23" s="247" t="str">
        <f t="shared" si="6"/>
        <v>earned progress</v>
      </c>
      <c r="AA23" s="388">
        <f>IF($A23="","",IFERROR('Deliverable Actuals'!$K23,""))</f>
        <v>46105</v>
      </c>
      <c r="AB23" s="388">
        <f>IF($A23="","",IFERROR('Deliverable Actuals'!$L23,""))</f>
        <v>46250</v>
      </c>
      <c r="AC23" s="389">
        <f>IF($A23="","",IFERROR('Deliverable Actuals'!$I23,""))</f>
        <v>0</v>
      </c>
      <c r="AD23" s="350">
        <f>IF($A23="","",IFERROR('Deliverable Actuals'!$P23,""))</f>
        <v>11</v>
      </c>
      <c r="AE23" s="335" t="str">
        <f>IF($A23="","",IFERROR('Deliverable Actuals'!$R23,""))</f>
        <v>Active</v>
      </c>
      <c r="AG23"/>
      <c r="AH23"/>
      <c r="AI23"/>
      <c r="AJ23"/>
      <c r="AK23"/>
      <c r="AL23"/>
      <c r="AM23"/>
      <c r="AN23"/>
      <c r="AO23"/>
      <c r="AP23"/>
      <c r="AQ23"/>
      <c r="AR23"/>
    </row>
    <row r="24" spans="1:31" x14ac:dyDescent="0.3">
      <c r="A24" s="223"/>
      <c r="B24" s="224" t="str">
        <f>IF($A24="","",IFERROR(INDEX(Inputs!$B$6:$B$80,MATCH($A24,Inputs!$A$6:$A$80,0)),"not in register"))</f>
        <v>Consultancy Services for Port Modernization Infrastructure and Reconstruction Works for Nigerian Port Authority (NPA) in TINCAN and APAPA Ports</v>
      </c>
      <c r="C24" s="223"/>
      <c r="D24" s="223"/>
      <c r="E24" s="225"/>
      <c r="F24" s="226"/>
      <c r="G24" s="227" t="str">
        <f>IF(OR($D24="",$F24=""),"",IFERROR(INDEX('Rules of Credit'!$C$5:$C$38,MATCH($D24&amp;"|"&amp;$F24,'Rules of Credit'!$F$5:$F$38,0)),"invalid step"))</f>
        <v/>
      </c>
      <c r="H24" s="228" t="str">
        <f>IF(OR($D24="",$F24=""),"",IFERROR(INDEX('Rules of Credit'!$D$5:$D$38,MATCH($D24&amp;"|"&amp;$F24,'Rules of Credit'!$F$5:$F$38,0)),""))</f>
        <v/>
      </c>
      <c r="I24" s="229" t="str">
        <f t="shared" si="4"/>
        <v/>
      </c>
      <c r="J24" s="242"/>
      <c r="K24" s="243"/>
      <c r="L24" s="243"/>
      <c r="M24" s="243"/>
      <c r="N24" s="244" t="str">
        <f t="shared" si="5"/>
        <v>OK</v>
      </c>
      <c r="O24" s="221"/>
      <c r="P24" s="233">
        <f>IF($D24="",0,IFERROR(INDEX('Project Types'!$E$5:$E$13,MATCH($D24,'Project Types'!$A$5:$A$13,0)),1))</f>
        <v>1</v>
      </c>
      <c r="Q24" s="227" t="str">
        <f>IF(Inputs!$A25="","",Inputs!$A25)</f>
        <v>AN24185-0100R</v>
      </c>
      <c r="R24" s="230">
        <f t="shared" si="0"/>
        <v>1</v>
      </c>
      <c r="S24" s="231">
        <f t="shared" si="1"/>
        <v>1</v>
      </c>
      <c r="T24" s="230" t="str">
        <f t="shared" si="2"/>
        <v>OK</v>
      </c>
      <c r="U24" s="229">
        <f t="shared" si="3"/>
        <v>1</v>
      </c>
      <c r="V24" s="233" cm="1">
        <f t="array" ref="V24">IF($Q24="","",IF($S24=0,1,SUMPRODUCT(($A$5:$A$204=$Q24)*$E$5:$E$204*$P$5:$P$204)/$S24))</f>
        <v>0.75</v>
      </c>
      <c r="W24" s="246" cm="1">
        <f t="array" ref="W24">IF($Q24="","",IF(SUMIF($A$5:$A$204,$Q24,$I$5:$I$204)&gt;0,SUMPRODUCT(IFERROR(($A$5:$A$204=$Q24)*$I$5:$I$204*K$5:K$204,0))/SUMIF($A$5:$A$204,$Q24,$I$5:$I$204),IF($S24&gt;0,SUMPRODUCT(IFERROR(($A$5:$A$204=$Q24)*$E$5:$E$204*K$5:K$204,0))/$S24,"")))</f>
        <v>0.05</v>
      </c>
      <c r="X24" s="246" cm="1">
        <f t="array" ref="X24">IF($Q24="","",IF(SUMIF($A$5:$A$204,$Q24,$I$5:$I$204)&gt;0,SUMPRODUCT(IFERROR(($A$5:$A$204=$Q24)*$I$5:$I$204*L$5:L$204,0))/SUMIF($A$5:$A$204,$Q24,$I$5:$I$204),IF($S24&gt;0,SUMPRODUCT(IFERROR(($A$5:$A$204=$Q24)*$E$5:$E$204*L$5:L$204,0))/$S24,"")))</f>
        <v>0.3</v>
      </c>
      <c r="Y24" s="246" cm="1">
        <f t="array" ref="Y24">IF($Q24="","",IF(SUMIF($A$5:$A$204,$Q24,$I$5:$I$204)&gt;0,SUMPRODUCT(IFERROR(($A$5:$A$204=$Q24)*$I$5:$I$204*M$5:M$204,0))/SUMIF($A$5:$A$204,$Q24,$I$5:$I$204),IF($S24&gt;0,SUMPRODUCT(IFERROR(($A$5:$A$204=$Q24)*$E$5:$E$204*M$5:M$204,0))/$S24,"")))</f>
        <v>0.65</v>
      </c>
      <c r="Z24" s="247" t="str">
        <f t="shared" si="6"/>
        <v>earned progress</v>
      </c>
      <c r="AA24" s="388">
        <f>IF($A24="","",IFERROR('Deliverable Actuals'!$K24,""))</f>
        <v>46105</v>
      </c>
      <c r="AB24" s="388">
        <f>IF($A24="","",IFERROR('Deliverable Actuals'!$L24,""))</f>
        <v>46250</v>
      </c>
      <c r="AC24" s="389">
        <f>IF($A24="","",IFERROR('Deliverable Actuals'!$I24,""))</f>
        <v>0</v>
      </c>
      <c r="AD24" s="350">
        <f>IF($A24="","",IFERROR('Deliverable Actuals'!$P24,""))</f>
        <v>11</v>
      </c>
      <c r="AE24" s="335" t="str">
        <f>IF($A24="","",IFERROR('Deliverable Actuals'!$R24,""))</f>
        <v>Active</v>
      </c>
      <c r="AG24"/>
      <c r="AH24"/>
      <c r="AI24"/>
      <c r="AJ24"/>
      <c r="AK24"/>
      <c r="AL24"/>
      <c r="AM24"/>
      <c r="AN24"/>
      <c r="AO24"/>
      <c r="AP24"/>
      <c r="AQ24"/>
      <c r="AR24"/>
    </row>
    <row r="25" spans="1:31" x14ac:dyDescent="0.3">
      <c r="A25" s="223"/>
      <c r="B25" s="224" t="str">
        <f>IF($A25="","",IFERROR(INDEX(Inputs!$B$6:$B$80,MATCH($A25,Inputs!$A$6:$A$80,0)),"not in register"))</f>
        <v>Consultancy Services for Port Modernization Infrastructure and Reconstruction Works for Nigerian Port Authority (NPA) in TINCAN and APAPA Ports</v>
      </c>
      <c r="C25" s="223"/>
      <c r="D25" s="223"/>
      <c r="E25" s="225"/>
      <c r="F25" s="226"/>
      <c r="G25" s="227" t="str">
        <f>IF(OR($D25="",$F25=""),"",IFERROR(INDEX('Rules of Credit'!$C$5:$C$38,MATCH($D25&amp;"|"&amp;$F25,'Rules of Credit'!$F$5:$F$38,0)),"invalid step"))</f>
        <v/>
      </c>
      <c r="H25" s="228" t="str">
        <f>IF(OR($D25="",$F25=""),"",IFERROR(INDEX('Rules of Credit'!$D$5:$D$38,MATCH($D25&amp;"|"&amp;$F25,'Rules of Credit'!$F$5:$F$38,0)),""))</f>
        <v/>
      </c>
      <c r="I25" s="229" t="str">
        <f t="shared" si="4"/>
        <v/>
      </c>
      <c r="J25" s="242"/>
      <c r="K25" s="243"/>
      <c r="L25" s="243"/>
      <c r="M25" s="243"/>
      <c r="N25" s="244" t="str">
        <f t="shared" si="5"/>
        <v>OK</v>
      </c>
      <c r="O25" s="221"/>
      <c r="P25" s="233">
        <f>IF($D25="",0,IFERROR(INDEX('Project Types'!$E$5:$E$13,MATCH($D25,'Project Types'!$A$5:$A$13,0)),1))</f>
        <v>1</v>
      </c>
      <c r="Q25" s="227" t="str">
        <f>IF(Inputs!$A26="","",Inputs!$A26)</f>
        <v>AN24135-0100R</v>
      </c>
      <c r="R25" s="230">
        <f t="shared" si="0"/>
        <v>1</v>
      </c>
      <c r="S25" s="231">
        <f t="shared" si="1"/>
        <v>1</v>
      </c>
      <c r="T25" s="230" t="str">
        <f t="shared" si="2"/>
        <v>OK</v>
      </c>
      <c r="U25" s="229">
        <f t="shared" si="3"/>
        <v>0.1</v>
      </c>
      <c r="V25" s="233" cm="1">
        <f t="array" ref="V25">IF($Q25="","",IF($S25=0,1,SUMPRODUCT(($A$5:$A$204=$Q25)*$E$5:$E$204*$P$5:$P$204)/$S25))</f>
        <v>0.75</v>
      </c>
      <c r="W25" s="246" cm="1">
        <f t="array" ref="W25">IF($Q25="","",IF(SUMIF($A$5:$A$204,$Q25,$I$5:$I$204)&gt;0,SUMPRODUCT(IFERROR(($A$5:$A$204=$Q25)*$I$5:$I$204*K$5:K$204,0))/SUMIF($A$5:$A$204,$Q25,$I$5:$I$204),IF($S25&gt;0,SUMPRODUCT(IFERROR(($A$5:$A$204=$Q25)*$E$5:$E$204*K$5:K$204,0))/$S25,"")))</f>
        <v>5.000000000000001E-2</v>
      </c>
      <c r="X25" s="246" cm="1">
        <f t="array" ref="X25">IF($Q25="","",IF(SUMIF($A$5:$A$204,$Q25,$I$5:$I$204)&gt;0,SUMPRODUCT(IFERROR(($A$5:$A$204=$Q25)*$I$5:$I$204*L$5:L$204,0))/SUMIF($A$5:$A$204,$Q25,$I$5:$I$204),IF($S25&gt;0,SUMPRODUCT(IFERROR(($A$5:$A$204=$Q25)*$E$5:$E$204*L$5:L$204,0))/$S25,"")))</f>
        <v>0</v>
      </c>
      <c r="Y25" s="246" cm="1">
        <f t="array" ref="Y25">IF($Q25="","",IF(SUMIF($A$5:$A$204,$Q25,$I$5:$I$204)&gt;0,SUMPRODUCT(IFERROR(($A$5:$A$204=$Q25)*$I$5:$I$204*M$5:M$204,0))/SUMIF($A$5:$A$204,$Q25,$I$5:$I$204),IF($S25&gt;0,SUMPRODUCT(IFERROR(($A$5:$A$204=$Q25)*$E$5:$E$204*M$5:M$204,0))/$S25,"")))</f>
        <v>0.95</v>
      </c>
      <c r="Z25" s="247" t="str">
        <f t="shared" si="6"/>
        <v>earned progress</v>
      </c>
      <c r="AA25" s="388">
        <f>IF($A25="","",IFERROR('Deliverable Actuals'!$K25,""))</f>
        <v>46105</v>
      </c>
      <c r="AB25" s="388">
        <f>IF($A25="","",IFERROR('Deliverable Actuals'!$L25,""))</f>
        <v>46250</v>
      </c>
      <c r="AC25" s="389">
        <f>IF($A25="","",IFERROR('Deliverable Actuals'!$I25,""))</f>
        <v>0</v>
      </c>
      <c r="AD25" s="350">
        <f>IF($A25="","",IFERROR('Deliverable Actuals'!$P25,""))</f>
        <v>11</v>
      </c>
      <c r="AE25" s="335" t="str">
        <f>IF($A25="","",IFERROR('Deliverable Actuals'!$R25,""))</f>
        <v>Active</v>
      </c>
      <c r="AG25"/>
      <c r="AH25"/>
      <c r="AI25"/>
      <c r="AJ25"/>
      <c r="AK25"/>
      <c r="AL25"/>
      <c r="AM25"/>
      <c r="AN25"/>
      <c r="AO25"/>
      <c r="AP25"/>
      <c r="AQ25"/>
      <c r="AR25"/>
    </row>
    <row r="26" spans="1:31" x14ac:dyDescent="0.3">
      <c r="A26" s="223"/>
      <c r="B26" s="224" t="str">
        <f>IF($A26="","",IFERROR(INDEX(Inputs!$B$6:$B$80,MATCH($A26,Inputs!$A$6:$A$80,0)),"not in register"))</f>
        <v>Consultancy Services for Port Modernization Infrastructure and Reconstruction Works for Nigerian Port Authority (NPA) in TINCAN and APAPA Ports</v>
      </c>
      <c r="C26" s="223"/>
      <c r="D26" s="223"/>
      <c r="E26" s="225"/>
      <c r="F26" s="226"/>
      <c r="G26" s="227" t="str">
        <f>IF(OR($D26="",$F26=""),"",IFERROR(INDEX('Rules of Credit'!$C$5:$C$38,MATCH($D26&amp;"|"&amp;$F26,'Rules of Credit'!$F$5:$F$38,0)),"invalid step"))</f>
        <v/>
      </c>
      <c r="H26" s="228" t="str">
        <f>IF(OR($D26="",$F26=""),"",IFERROR(INDEX('Rules of Credit'!$D$5:$D$38,MATCH($D26&amp;"|"&amp;$F26,'Rules of Credit'!$F$5:$F$38,0)),""))</f>
        <v/>
      </c>
      <c r="I26" s="229" t="str">
        <f t="shared" si="4"/>
        <v/>
      </c>
      <c r="J26" s="242"/>
      <c r="K26" s="243"/>
      <c r="L26" s="243"/>
      <c r="M26" s="243"/>
      <c r="N26" s="244" t="str">
        <f t="shared" si="5"/>
        <v>OK</v>
      </c>
      <c r="O26" s="221"/>
      <c r="P26" s="233">
        <f>IF($D26="",0,IFERROR(INDEX('Project Types'!$E$5:$E$13,MATCH($D26,'Project Types'!$A$5:$A$13,0)),1))</f>
        <v>1</v>
      </c>
      <c r="Q26" s="227" t="str">
        <f>IF(Inputs!$A27="","",Inputs!$A27)</f>
        <v>AN23232-0100D</v>
      </c>
      <c r="R26" s="230">
        <f t="shared" si="0"/>
        <v>1</v>
      </c>
      <c r="S26" s="231">
        <f t="shared" si="1"/>
        <v>1</v>
      </c>
      <c r="T26" s="230" t="str">
        <f t="shared" si="2"/>
        <v>OK</v>
      </c>
      <c r="U26" s="229">
        <f t="shared" si="3"/>
        <v>1</v>
      </c>
      <c r="V26" s="233" cm="1">
        <f t="array" ref="V26">IF($Q26="","",IF($S26=0,1,SUMPRODUCT(($A$5:$A$204=$Q26)*$E$5:$E$204*$P$5:$P$204)/$S26))</f>
        <v>1.1000000000000001</v>
      </c>
      <c r="W26" s="246" cm="1">
        <f t="array" ref="W26">IF($Q26="","",IF(SUMIF($A$5:$A$204,$Q26,$I$5:$I$204)&gt;0,SUMPRODUCT(IFERROR(($A$5:$A$204=$Q26)*$I$5:$I$204*K$5:K$204,0))/SUMIF($A$5:$A$204,$Q26,$I$5:$I$204),IF($S26&gt;0,SUMPRODUCT(IFERROR(($A$5:$A$204=$Q26)*$E$5:$E$204*K$5:K$204,0))/$S26,"")))</f>
        <v>0.75</v>
      </c>
      <c r="X26" s="246" cm="1">
        <f t="array" ref="X26">IF($Q26="","",IF(SUMIF($A$5:$A$204,$Q26,$I$5:$I$204)&gt;0,SUMPRODUCT(IFERROR(($A$5:$A$204=$Q26)*$I$5:$I$204*L$5:L$204,0))/SUMIF($A$5:$A$204,$Q26,$I$5:$I$204),IF($S26&gt;0,SUMPRODUCT(IFERROR(($A$5:$A$204=$Q26)*$E$5:$E$204*L$5:L$204,0))/$S26,"")))</f>
        <v>0.25</v>
      </c>
      <c r="Y26" s="246" cm="1">
        <f t="array" ref="Y26">IF($Q26="","",IF(SUMIF($A$5:$A$204,$Q26,$I$5:$I$204)&gt;0,SUMPRODUCT(IFERROR(($A$5:$A$204=$Q26)*$I$5:$I$204*M$5:M$204,0))/SUMIF($A$5:$A$204,$Q26,$I$5:$I$204),IF($S26&gt;0,SUMPRODUCT(IFERROR(($A$5:$A$204=$Q26)*$E$5:$E$204*M$5:M$204,0))/$S26,"")))</f>
        <v>0</v>
      </c>
      <c r="Z26" s="247" t="str">
        <f t="shared" si="6"/>
        <v>earned progress</v>
      </c>
      <c r="AA26" s="388">
        <f>IF($A26="","",IFERROR('Deliverable Actuals'!$K26,""))</f>
        <v>46105</v>
      </c>
      <c r="AB26" s="388">
        <f>IF($A26="","",IFERROR('Deliverable Actuals'!$L26,""))</f>
        <v>46250</v>
      </c>
      <c r="AC26" s="389">
        <f>IF($A26="","",IFERROR('Deliverable Actuals'!$I26,""))</f>
        <v>0</v>
      </c>
      <c r="AD26" s="350">
        <f>IF($A26="","",IFERROR('Deliverable Actuals'!$P26,""))</f>
        <v>11</v>
      </c>
      <c r="AE26" s="335" t="str">
        <f>IF($A26="","",IFERROR('Deliverable Actuals'!$R26,""))</f>
        <v>Active</v>
      </c>
      <c r="AG26"/>
      <c r="AH26"/>
      <c r="AI26"/>
      <c r="AJ26"/>
      <c r="AK26"/>
      <c r="AL26"/>
      <c r="AM26"/>
      <c r="AN26"/>
      <c r="AO26"/>
      <c r="AP26"/>
      <c r="AQ26"/>
      <c r="AR26"/>
    </row>
    <row r="27" spans="1:31" x14ac:dyDescent="0.3">
      <c r="A27" s="223"/>
      <c r="B27" s="224" t="str">
        <f>IF($A27="","",IFERROR(INDEX(Inputs!$B$6:$B$80,MATCH($A27,Inputs!$A$6:$A$80,0)),"not in register"))</f>
        <v>Consultancy Services for Port Modernization Infrastructure and Reconstruction Works for Nigerian Port Authority (NPA) in TINCAN and APAPA Ports</v>
      </c>
      <c r="C27" s="223"/>
      <c r="D27" s="223"/>
      <c r="E27" s="225"/>
      <c r="F27" s="226"/>
      <c r="G27" s="227" t="str">
        <f>IF(OR($D27="",$F27=""),"",IFERROR(INDEX('Rules of Credit'!$C$5:$C$38,MATCH($D27&amp;"|"&amp;$F27,'Rules of Credit'!$F$5:$F$38,0)),"invalid step"))</f>
        <v>Design started</v>
      </c>
      <c r="H27" s="228">
        <f>IF(OR($D27="",$F27=""),"",IFERROR(INDEX('Rules of Credit'!$D$5:$D$38,MATCH($D27&amp;"|"&amp;$F27,'Rules of Credit'!$F$5:$F$38,0)),""))</f>
        <v>0.1</v>
      </c>
      <c r="I27" s="229">
        <f t="shared" si="4"/>
        <v>4.0000000000000001E-3</v>
      </c>
      <c r="J27" s="242"/>
      <c r="K27" s="243"/>
      <c r="L27" s="243"/>
      <c r="M27" s="243"/>
      <c r="N27" s="244" t="str">
        <f t="shared" si="5"/>
        <v>OK</v>
      </c>
      <c r="O27" s="221"/>
      <c r="P27" s="233">
        <f>IF($D27="",0,IFERROR(INDEX('Project Types'!$E$5:$E$13,MATCH($D27,'Project Types'!$A$5:$A$13,0)),1))</f>
        <v>1</v>
      </c>
      <c r="Q27" s="227" t="str">
        <f>IF(Inputs!$A28="","",Inputs!$A28)</f>
        <v>AN23108-0100R</v>
      </c>
      <c r="R27" s="230">
        <f t="shared" si="0"/>
        <v>1</v>
      </c>
      <c r="S27" s="231">
        <f t="shared" si="1"/>
        <v>1</v>
      </c>
      <c r="T27" s="230" t="str">
        <f t="shared" si="2"/>
        <v>OK</v>
      </c>
      <c r="U27" s="229">
        <f t="shared" si="3"/>
        <v>0.1</v>
      </c>
      <c r="V27" s="233" cm="1">
        <f t="array" ref="V27">IF($Q27="","",IF($S27=0,1,SUMPRODUCT(($A$5:$A$204=$Q27)*$E$5:$E$204*$P$5:$P$204)/$S27))</f>
        <v>0.75</v>
      </c>
      <c r="W27" s="246" cm="1">
        <f t="array" ref="W27">IF($Q27="","",IF(SUMIF($A$5:$A$204,$Q27,$I$5:$I$204)&gt;0,SUMPRODUCT(IFERROR(($A$5:$A$204=$Q27)*$I$5:$I$204*K$5:K$204,0))/SUMIF($A$5:$A$204,$Q27,$I$5:$I$204),IF($S27&gt;0,SUMPRODUCT(IFERROR(($A$5:$A$204=$Q27)*$E$5:$E$204*K$5:K$204,0))/$S27,"")))</f>
        <v>0.10000000000000002</v>
      </c>
      <c r="X27" s="246" cm="1">
        <f t="array" ref="X27">IF($Q27="","",IF(SUMIF($A$5:$A$204,$Q27,$I$5:$I$204)&gt;0,SUMPRODUCT(IFERROR(($A$5:$A$204=$Q27)*$I$5:$I$204*L$5:L$204,0))/SUMIF($A$5:$A$204,$Q27,$I$5:$I$204),IF($S27&gt;0,SUMPRODUCT(IFERROR(($A$5:$A$204=$Q27)*$E$5:$E$204*L$5:L$204,0))/$S27,"")))</f>
        <v>0</v>
      </c>
      <c r="Y27" s="246" cm="1">
        <f t="array" ref="Y27">IF($Q27="","",IF(SUMIF($A$5:$A$204,$Q27,$I$5:$I$204)&gt;0,SUMPRODUCT(IFERROR(($A$5:$A$204=$Q27)*$I$5:$I$204*M$5:M$204,0))/SUMIF($A$5:$A$204,$Q27,$I$5:$I$204),IF($S27&gt;0,SUMPRODUCT(IFERROR(($A$5:$A$204=$Q27)*$E$5:$E$204*M$5:M$204,0))/$S27,"")))</f>
        <v>0.9</v>
      </c>
      <c r="Z27" s="247" t="str">
        <f t="shared" si="6"/>
        <v>earned progress</v>
      </c>
      <c r="AA27" s="388">
        <f>IF($A27="","",IFERROR('Deliverable Actuals'!$K27,""))</f>
        <v>46105</v>
      </c>
      <c r="AB27" s="388">
        <f>IF($A27="","",IFERROR('Deliverable Actuals'!$L27,""))</f>
        <v>46250</v>
      </c>
      <c r="AC27" s="389">
        <f>IF($A27="","",IFERROR('Deliverable Actuals'!$I27,""))</f>
        <v>197.19444444444446</v>
      </c>
      <c r="AD27" s="350">
        <f>IF($A27="","",IFERROR('Deliverable Actuals'!$P27,""))</f>
        <v>11</v>
      </c>
      <c r="AE27" s="335" t="str">
        <f>IF($A27="","",IFERROR('Deliverable Actuals'!$R27,""))</f>
        <v>Active</v>
      </c>
      <c r="AG27"/>
      <c r="AH27"/>
      <c r="AI27"/>
      <c r="AJ27"/>
      <c r="AK27"/>
      <c r="AL27"/>
      <c r="AM27"/>
      <c r="AN27"/>
      <c r="AO27"/>
      <c r="AP27"/>
      <c r="AQ27"/>
      <c r="AR27"/>
    </row>
    <row r="28" spans="1:31" x14ac:dyDescent="0.3">
      <c r="A28" s="223"/>
      <c r="B28" s="224" t="str">
        <f>IF($A28="","",IFERROR(INDEX(Inputs!$B$6:$B$80,MATCH($A28,Inputs!$A$6:$A$80,0)),"not in register"))</f>
        <v>Consultancy Services for Port Modernization Infrastructure and Reconstruction Works for Nigerian Port Authority (NPA) in TINCAN and APAPA Ports</v>
      </c>
      <c r="C28" s="223"/>
      <c r="D28" s="223"/>
      <c r="E28" s="225"/>
      <c r="F28" s="226"/>
      <c r="G28" s="227" t="str">
        <f>IF(OR($D28="",$F28=""),"",IFERROR(INDEX('Rules of Credit'!$C$5:$C$38,MATCH($D28&amp;"|"&amp;$F28,'Rules of Credit'!$F$5:$F$38,0)),"invalid step"))</f>
        <v>Design started</v>
      </c>
      <c r="H28" s="228">
        <f>IF(OR($D28="",$F28=""),"",IFERROR(INDEX('Rules of Credit'!$D$5:$D$38,MATCH($D28&amp;"|"&amp;$F28,'Rules of Credit'!$F$5:$F$38,0)),""))</f>
        <v>0.1</v>
      </c>
      <c r="I28" s="229">
        <f t="shared" si="4"/>
        <v>4.0000000000000001E-3</v>
      </c>
      <c r="J28" s="242"/>
      <c r="K28" s="243"/>
      <c r="L28" s="243"/>
      <c r="M28" s="243"/>
      <c r="N28" s="244" t="str">
        <f t="shared" si="5"/>
        <v>OK</v>
      </c>
      <c r="O28" s="221"/>
      <c r="P28" s="233">
        <f>IF($D28="",0,IFERROR(INDEX('Project Types'!$E$5:$E$13,MATCH($D28,'Project Types'!$A$5:$A$13,0)),1))</f>
        <v>1</v>
      </c>
      <c r="Q28" s="227" t="str">
        <f>IF(Inputs!$A29="","",Inputs!$A29)</f>
        <v>TA24246-0200R</v>
      </c>
      <c r="R28" s="230">
        <f t="shared" si="0"/>
        <v>1</v>
      </c>
      <c r="S28" s="231">
        <f t="shared" si="1"/>
        <v>1</v>
      </c>
      <c r="T28" s="230" t="str">
        <f t="shared" si="2"/>
        <v>OK</v>
      </c>
      <c r="U28" s="229">
        <f t="shared" si="3"/>
        <v>0.6</v>
      </c>
      <c r="V28" s="233" cm="1">
        <f t="array" ref="V28">IF($Q28="","",IF($S28=0,1,SUMPRODUCT(($A$5:$A$204=$Q28)*$E$5:$E$204*$P$5:$P$204)/$S28))</f>
        <v>0.75</v>
      </c>
      <c r="W28" s="246" cm="1">
        <f t="array" ref="W28">IF($Q28="","",IF(SUMIF($A$5:$A$204,$Q28,$I$5:$I$204)&gt;0,SUMPRODUCT(IFERROR(($A$5:$A$204=$Q28)*$I$5:$I$204*K$5:K$204,0))/SUMIF($A$5:$A$204,$Q28,$I$5:$I$204),IF($S28&gt;0,SUMPRODUCT(IFERROR(($A$5:$A$204=$Q28)*$E$5:$E$204*K$5:K$204,0))/$S28,"")))</f>
        <v>0.1</v>
      </c>
      <c r="X28" s="246" cm="1">
        <f t="array" ref="X28">IF($Q28="","",IF(SUMIF($A$5:$A$204,$Q28,$I$5:$I$204)&gt;0,SUMPRODUCT(IFERROR(($A$5:$A$204=$Q28)*$I$5:$I$204*L$5:L$204,0))/SUMIF($A$5:$A$204,$Q28,$I$5:$I$204),IF($S28&gt;0,SUMPRODUCT(IFERROR(($A$5:$A$204=$Q28)*$E$5:$E$204*L$5:L$204,0))/$S28,"")))</f>
        <v>0.90000000000000013</v>
      </c>
      <c r="Y28" s="246" cm="1">
        <f t="array" ref="Y28">IF($Q28="","",IF(SUMIF($A$5:$A$204,$Q28,$I$5:$I$204)&gt;0,SUMPRODUCT(IFERROR(($A$5:$A$204=$Q28)*$I$5:$I$204*M$5:M$204,0))/SUMIF($A$5:$A$204,$Q28,$I$5:$I$204),IF($S28&gt;0,SUMPRODUCT(IFERROR(($A$5:$A$204=$Q28)*$E$5:$E$204*M$5:M$204,0))/$S28,"")))</f>
        <v>0</v>
      </c>
      <c r="Z28" s="247" t="str">
        <f t="shared" si="6"/>
        <v>earned progress</v>
      </c>
      <c r="AA28" s="388">
        <f>IF($A28="","",IFERROR('Deliverable Actuals'!$K28,""))</f>
        <v>46105</v>
      </c>
      <c r="AB28" s="388">
        <f>IF($A28="","",IFERROR('Deliverable Actuals'!$L28,""))</f>
        <v>46250</v>
      </c>
      <c r="AC28" s="389">
        <f>IF($A28="","",IFERROR('Deliverable Actuals'!$I28,""))</f>
        <v>197.19444444444446</v>
      </c>
      <c r="AD28" s="350">
        <f>IF($A28="","",IFERROR('Deliverable Actuals'!$P28,""))</f>
        <v>11</v>
      </c>
      <c r="AE28" s="335" t="str">
        <f>IF($A28="","",IFERROR('Deliverable Actuals'!$R28,""))</f>
        <v>Active</v>
      </c>
      <c r="AG28"/>
      <c r="AH28"/>
      <c r="AI28"/>
      <c r="AJ28"/>
      <c r="AK28"/>
      <c r="AL28"/>
      <c r="AM28"/>
      <c r="AN28"/>
      <c r="AO28"/>
      <c r="AP28"/>
      <c r="AQ28"/>
      <c r="AR28"/>
    </row>
    <row r="29" spans="1:31" x14ac:dyDescent="0.3">
      <c r="A29" s="223"/>
      <c r="B29" s="224" t="str">
        <f>IF($A29="","",IFERROR(INDEX(Inputs!$B$6:$B$80,MATCH($A29,Inputs!$A$6:$A$80,0)),"not in register"))</f>
        <v>Consultancy Services for Port Modernization Infrastructure and Reconstruction Works for Nigerian Port Authority (NPA) in TINCAN and APAPA Ports</v>
      </c>
      <c r="C29" s="223"/>
      <c r="D29" s="223"/>
      <c r="E29" s="225"/>
      <c r="F29" s="226"/>
      <c r="G29" s="227" t="str">
        <f>IF(OR($D29="",$F29=""),"",IFERROR(INDEX('Rules of Credit'!$C$5:$C$38,MATCH($D29&amp;"|"&amp;$F29,'Rules of Credit'!$F$5:$F$38,0)),"invalid step"))</f>
        <v>Design started</v>
      </c>
      <c r="H29" s="228">
        <f>IF(OR($D29="",$F29=""),"",IFERROR(INDEX('Rules of Credit'!$D$5:$D$38,MATCH($D29&amp;"|"&amp;$F29,'Rules of Credit'!$F$5:$F$38,0)),""))</f>
        <v>0.1</v>
      </c>
      <c r="I29" s="229">
        <f t="shared" si="4"/>
        <v>4.0000000000000001E-3</v>
      </c>
      <c r="J29" s="242"/>
      <c r="K29" s="243"/>
      <c r="L29" s="243"/>
      <c r="M29" s="243"/>
      <c r="N29" s="244" t="str">
        <f t="shared" si="5"/>
        <v>OK</v>
      </c>
      <c r="O29" s="221"/>
      <c r="P29" s="233">
        <f>IF($D29="",0,IFERROR(INDEX('Project Types'!$E$5:$E$13,MATCH($D29,'Project Types'!$A$5:$A$13,0)),1))</f>
        <v>1</v>
      </c>
      <c r="Q29" s="227" t="str">
        <f>IF(Inputs!$A30="","",Inputs!$A30)</f>
        <v>S22058-0900D</v>
      </c>
      <c r="R29" s="230">
        <f t="shared" si="0"/>
        <v>1</v>
      </c>
      <c r="S29" s="231">
        <f t="shared" si="1"/>
        <v>1</v>
      </c>
      <c r="T29" s="230" t="str">
        <f t="shared" si="2"/>
        <v>OK</v>
      </c>
      <c r="U29" s="229">
        <f t="shared" si="3"/>
        <v>1</v>
      </c>
      <c r="V29" s="233" cm="1">
        <f t="array" ref="V29">IF($Q29="","",IF($S29=0,1,SUMPRODUCT(($A$5:$A$204=$Q29)*$E$5:$E$204*$P$5:$P$204)/$S29))</f>
        <v>1.1000000000000001</v>
      </c>
      <c r="W29" s="246" cm="1">
        <f t="array" ref="W29">IF($Q29="","",IF(SUMIF($A$5:$A$204,$Q29,$I$5:$I$204)&gt;0,SUMPRODUCT(IFERROR(($A$5:$A$204=$Q29)*$I$5:$I$204*K$5:K$204,0))/SUMIF($A$5:$A$204,$Q29,$I$5:$I$204),IF($S29&gt;0,SUMPRODUCT(IFERROR(($A$5:$A$204=$Q29)*$E$5:$E$204*K$5:K$204,0))/$S29,"")))</f>
        <v>1</v>
      </c>
      <c r="X29" s="246" cm="1">
        <f t="array" ref="X29">IF($Q29="","",IF(SUMIF($A$5:$A$204,$Q29,$I$5:$I$204)&gt;0,SUMPRODUCT(IFERROR(($A$5:$A$204=$Q29)*$I$5:$I$204*L$5:L$204,0))/SUMIF($A$5:$A$204,$Q29,$I$5:$I$204),IF($S29&gt;0,SUMPRODUCT(IFERROR(($A$5:$A$204=$Q29)*$E$5:$E$204*L$5:L$204,0))/$S29,"")))</f>
        <v>0</v>
      </c>
      <c r="Y29" s="246" cm="1">
        <f t="array" ref="Y29">IF($Q29="","",IF(SUMIF($A$5:$A$204,$Q29,$I$5:$I$204)&gt;0,SUMPRODUCT(IFERROR(($A$5:$A$204=$Q29)*$I$5:$I$204*M$5:M$204,0))/SUMIF($A$5:$A$204,$Q29,$I$5:$I$204),IF($S29&gt;0,SUMPRODUCT(IFERROR(($A$5:$A$204=$Q29)*$E$5:$E$204*M$5:M$204,0))/$S29,"")))</f>
        <v>0</v>
      </c>
      <c r="Z29" s="247" t="str">
        <f t="shared" si="6"/>
        <v>earned progress</v>
      </c>
      <c r="AA29" s="388">
        <f>IF($A29="","",IFERROR('Deliverable Actuals'!$K29,""))</f>
        <v>46105</v>
      </c>
      <c r="AB29" s="388">
        <f>IF($A29="","",IFERROR('Deliverable Actuals'!$L29,""))</f>
        <v>46250</v>
      </c>
      <c r="AC29" s="389">
        <f>IF($A29="","",IFERROR('Deliverable Actuals'!$I29,""))</f>
        <v>197.19444444444446</v>
      </c>
      <c r="AD29" s="350">
        <f>IF($A29="","",IFERROR('Deliverable Actuals'!$P29,""))</f>
        <v>11</v>
      </c>
      <c r="AE29" s="335" t="str">
        <f>IF($A29="","",IFERROR('Deliverable Actuals'!$R29,""))</f>
        <v>Active</v>
      </c>
      <c r="AG29"/>
      <c r="AH29"/>
      <c r="AI29"/>
      <c r="AJ29"/>
      <c r="AK29"/>
      <c r="AL29"/>
      <c r="AM29"/>
      <c r="AN29"/>
      <c r="AO29"/>
      <c r="AP29"/>
      <c r="AQ29"/>
      <c r="AR29"/>
    </row>
    <row r="30" spans="1:31" x14ac:dyDescent="0.3">
      <c r="A30" s="223"/>
      <c r="B30" s="224" t="str">
        <f>IF($A30="","",IFERROR(INDEX(Inputs!$B$6:$B$80,MATCH($A30,Inputs!$A$6:$A$80,0)),"not in register"))</f>
        <v>Construction of Dry Docks Permanent Terminal and Construction of Shipyard in Luanda Port</v>
      </c>
      <c r="C30" s="223"/>
      <c r="D30" s="223"/>
      <c r="E30" s="225"/>
      <c r="F30" s="226"/>
      <c r="G30" s="227" t="str">
        <f>IF(OR($D30="",$F30=""),"",IFERROR(INDEX('Rules of Credit'!$C$5:$C$38,MATCH($D30&amp;"|"&amp;$F30,'Rules of Credit'!$F$5:$F$38,0)),"invalid step"))</f>
        <v/>
      </c>
      <c r="H30" s="228" t="str">
        <f>IF(OR($D30="",$F30=""),"",IFERROR(INDEX('Rules of Credit'!$D$5:$D$38,MATCH($D30&amp;"|"&amp;$F30,'Rules of Credit'!$F$5:$F$38,0)),""))</f>
        <v/>
      </c>
      <c r="I30" s="229" t="str">
        <f t="shared" si="4"/>
        <v/>
      </c>
      <c r="J30" s="242"/>
      <c r="K30" s="243"/>
      <c r="L30" s="243"/>
      <c r="M30" s="243"/>
      <c r="N30" s="244" t="str">
        <f t="shared" si="5"/>
        <v>OK</v>
      </c>
      <c r="O30" s="221"/>
      <c r="P30" s="233">
        <f>IF($D30="",0,IFERROR(INDEX('Project Types'!$E$5:$E$13,MATCH($D30,'Project Types'!$A$5:$A$13,0)),1))</f>
        <v>1.1000000000000001</v>
      </c>
      <c r="Q30" s="227" t="str">
        <f>IF(Inputs!$A31="","",Inputs!$A31)</f>
        <v>S22058-0400D</v>
      </c>
      <c r="R30" s="230">
        <f t="shared" si="0"/>
        <v>1</v>
      </c>
      <c r="S30" s="231">
        <f t="shared" si="1"/>
        <v>1</v>
      </c>
      <c r="T30" s="230" t="str">
        <f t="shared" si="2"/>
        <v>OK</v>
      </c>
      <c r="U30" s="229">
        <f t="shared" si="3"/>
        <v>1</v>
      </c>
      <c r="V30" s="233" cm="1">
        <f t="array" ref="V30">IF($Q30="","",IF($S30=0,1,SUMPRODUCT(($A$5:$A$204=$Q30)*$E$5:$E$204*$P$5:$P$204)/$S30))</f>
        <v>1.1000000000000001</v>
      </c>
      <c r="W30" s="246" cm="1">
        <f t="array" ref="W30">IF($Q30="","",IF(SUMIF($A$5:$A$204,$Q30,$I$5:$I$204)&gt;0,SUMPRODUCT(IFERROR(($A$5:$A$204=$Q30)*$I$5:$I$204*K$5:K$204,0))/SUMIF($A$5:$A$204,$Q30,$I$5:$I$204),IF($S30&gt;0,SUMPRODUCT(IFERROR(($A$5:$A$204=$Q30)*$E$5:$E$204*K$5:K$204,0))/$S30,"")))</f>
        <v>1</v>
      </c>
      <c r="X30" s="246" cm="1">
        <f t="array" ref="X30">IF($Q30="","",IF(SUMIF($A$5:$A$204,$Q30,$I$5:$I$204)&gt;0,SUMPRODUCT(IFERROR(($A$5:$A$204=$Q30)*$I$5:$I$204*L$5:L$204,0))/SUMIF($A$5:$A$204,$Q30,$I$5:$I$204),IF($S30&gt;0,SUMPRODUCT(IFERROR(($A$5:$A$204=$Q30)*$E$5:$E$204*L$5:L$204,0))/$S30,"")))</f>
        <v>0</v>
      </c>
      <c r="Y30" s="246" cm="1">
        <f t="array" ref="Y30">IF($Q30="","",IF(SUMIF($A$5:$A$204,$Q30,$I$5:$I$204)&gt;0,SUMPRODUCT(IFERROR(($A$5:$A$204=$Q30)*$I$5:$I$204*M$5:M$204,0))/SUMIF($A$5:$A$204,$Q30,$I$5:$I$204),IF($S30&gt;0,SUMPRODUCT(IFERROR(($A$5:$A$204=$Q30)*$E$5:$E$204*M$5:M$204,0))/$S30,"")))</f>
        <v>0</v>
      </c>
      <c r="Z30" s="247" t="str">
        <f t="shared" si="6"/>
        <v>earned progress</v>
      </c>
      <c r="AA30" s="388">
        <f>IF($A30="","",IFERROR('Deliverable Actuals'!$K30,""))</f>
        <v>45412</v>
      </c>
      <c r="AB30" s="388">
        <f>IF($A30="","",IFERROR('Deliverable Actuals'!$L30,""))</f>
        <v>45533</v>
      </c>
      <c r="AC30" s="389">
        <f>IF($A30="","",IFERROR('Deliverable Actuals'!$I30,""))</f>
        <v>0</v>
      </c>
      <c r="AD30" s="350">
        <f>IF($A30="","",IFERROR('Deliverable Actuals'!$P30,""))</f>
        <v>62</v>
      </c>
      <c r="AE30" s="335" t="str">
        <f>IF($A30="","",IFERROR('Deliverable Actuals'!$R30,""))</f>
        <v>Dormant since 2024-08-29</v>
      </c>
      <c r="AG30"/>
      <c r="AH30"/>
      <c r="AI30"/>
      <c r="AJ30"/>
      <c r="AK30"/>
      <c r="AL30"/>
      <c r="AM30"/>
      <c r="AN30"/>
      <c r="AO30"/>
      <c r="AP30"/>
      <c r="AQ30"/>
      <c r="AR30"/>
    </row>
    <row r="31" spans="1:31" x14ac:dyDescent="0.3">
      <c r="A31" s="223"/>
      <c r="B31" s="224" t="str">
        <f>IF($A31="","",IFERROR(INDEX(Inputs!$B$6:$B$80,MATCH($A31,Inputs!$A$6:$A$80,0)),"not in register"))</f>
        <v>AMI Stormwater Collection System – Private Outfall</v>
      </c>
      <c r="C31" s="223"/>
      <c r="D31" s="223"/>
      <c r="E31" s="225"/>
      <c r="F31" s="226"/>
      <c r="G31" s="227" t="str">
        <f>IF(OR($D31="",$F31=""),"",IFERROR(INDEX('Rules of Credit'!$C$5:$C$38,MATCH($D31&amp;"|"&amp;$F31,'Rules of Credit'!$F$5:$F$38,0)),"invalid step"))</f>
        <v/>
      </c>
      <c r="H31" s="228" t="str">
        <f>IF(OR($D31="",$F31=""),"",IFERROR(INDEX('Rules of Credit'!$D$5:$D$38,MATCH($D31&amp;"|"&amp;$F31,'Rules of Credit'!$F$5:$F$38,0)),""))</f>
        <v/>
      </c>
      <c r="I31" s="229" t="str">
        <f t="shared" si="4"/>
        <v/>
      </c>
      <c r="J31" s="242"/>
      <c r="K31" s="243"/>
      <c r="L31" s="243"/>
      <c r="M31" s="243"/>
      <c r="N31" s="244" t="str">
        <f t="shared" si="5"/>
        <v>OK</v>
      </c>
      <c r="O31" s="221"/>
      <c r="P31" s="233">
        <f>IF($D31="",0,IFERROR(INDEX('Project Types'!$E$5:$E$13,MATCH($D31,'Project Types'!$A$5:$A$13,0)),1))</f>
        <v>1.1000000000000001</v>
      </c>
      <c r="Q31" s="227" t="str">
        <f>IF(Inputs!$A32="","",Inputs!$A32)</f>
        <v>Proposals 25</v>
      </c>
      <c r="R31" s="230">
        <f t="shared" si="0"/>
        <v>1</v>
      </c>
      <c r="S31" s="231">
        <f t="shared" si="1"/>
        <v>1</v>
      </c>
      <c r="T31" s="230" t="str">
        <f t="shared" si="2"/>
        <v>OK</v>
      </c>
      <c r="U31" s="229">
        <f t="shared" si="3"/>
        <v>1</v>
      </c>
      <c r="V31" s="233" cm="1">
        <f t="array" ref="V31">IF($Q31="","",IF($S31=0,1,SUMPRODUCT(($A$5:$A$204=$Q31)*$E$5:$E$204*$P$5:$P$204)/$S31))</f>
        <v>0.7</v>
      </c>
      <c r="W31" s="246" cm="1">
        <f t="array" ref="W31">IF($Q31="","",IF(SUMIF($A$5:$A$204,$Q31,$I$5:$I$204)&gt;0,SUMPRODUCT(IFERROR(($A$5:$A$204=$Q31)*$I$5:$I$204*K$5:K$204,0))/SUMIF($A$5:$A$204,$Q31,$I$5:$I$204),IF($S31&gt;0,SUMPRODUCT(IFERROR(($A$5:$A$204=$Q31)*$E$5:$E$204*K$5:K$204,0))/$S31,"")))</f>
        <v>0.8</v>
      </c>
      <c r="X31" s="246" cm="1">
        <f t="array" ref="X31">IF($Q31="","",IF(SUMIF($A$5:$A$204,$Q31,$I$5:$I$204)&gt;0,SUMPRODUCT(IFERROR(($A$5:$A$204=$Q31)*$I$5:$I$204*L$5:L$204,0))/SUMIF($A$5:$A$204,$Q31,$I$5:$I$204),IF($S31&gt;0,SUMPRODUCT(IFERROR(($A$5:$A$204=$Q31)*$E$5:$E$204*L$5:L$204,0))/$S31,"")))</f>
        <v>0.1</v>
      </c>
      <c r="Y31" s="246" cm="1">
        <f t="array" ref="Y31">IF($Q31="","",IF(SUMIF($A$5:$A$204,$Q31,$I$5:$I$204)&gt;0,SUMPRODUCT(IFERROR(($A$5:$A$204=$Q31)*$I$5:$I$204*M$5:M$204,0))/SUMIF($A$5:$A$204,$Q31,$I$5:$I$204),IF($S31&gt;0,SUMPRODUCT(IFERROR(($A$5:$A$204=$Q31)*$E$5:$E$204*M$5:M$204,0))/$S31,"")))</f>
        <v>0.1</v>
      </c>
      <c r="Z31" s="247" t="str">
        <f t="shared" si="6"/>
        <v>earned progress</v>
      </c>
      <c r="AA31" s="388">
        <f>IF($A31="","",IFERROR('Deliverable Actuals'!$K31,""))</f>
        <v>0</v>
      </c>
      <c r="AB31" s="388">
        <f>IF($A31="","",IFERROR('Deliverable Actuals'!$L31,""))</f>
        <v>0</v>
      </c>
      <c r="AC31" s="389">
        <f>IF($A31="","",IFERROR('Deliverable Actuals'!$I31,""))</f>
        <v>0</v>
      </c>
      <c r="AD31" s="350">
        <f>IF($A31="","",IFERROR('Deliverable Actuals'!$P31,""))</f>
        <v>0</v>
      </c>
      <c r="AE31" s="335" t="str">
        <f>IF($A31="","",IFERROR('Deliverable Actuals'!$R31,""))</f>
        <v>Never charged</v>
      </c>
      <c r="AG31"/>
      <c r="AH31"/>
      <c r="AI31"/>
      <c r="AJ31"/>
      <c r="AK31"/>
      <c r="AL31"/>
      <c r="AM31"/>
      <c r="AN31"/>
      <c r="AO31"/>
      <c r="AP31"/>
      <c r="AQ31"/>
      <c r="AR31"/>
    </row>
    <row r="32" spans="1:31" x14ac:dyDescent="0.3">
      <c r="A32" s="223"/>
      <c r="B32" s="224" t="str">
        <f>IF($A32="","",IFERROR(INDEX(Inputs!$B$6:$B$80,MATCH($A32,Inputs!$A$6:$A$80,0)),"not in register"))</f>
        <v>AMI Stormwater Collection System – Private Outfall</v>
      </c>
      <c r="C32" s="223"/>
      <c r="D32" s="223"/>
      <c r="E32" s="225"/>
      <c r="F32" s="226"/>
      <c r="G32" s="227" t="str">
        <f>IF(OR($D32="",$F32=""),"",IFERROR(INDEX('Rules of Credit'!$C$5:$C$38,MATCH($D32&amp;"|"&amp;$F32,'Rules of Credit'!$F$5:$F$38,0)),"invalid step"))</f>
        <v/>
      </c>
      <c r="H32" s="228" t="str">
        <f>IF(OR($D32="",$F32=""),"",IFERROR(INDEX('Rules of Credit'!$D$5:$D$38,MATCH($D32&amp;"|"&amp;$F32,'Rules of Credit'!$F$5:$F$38,0)),""))</f>
        <v/>
      </c>
      <c r="I32" s="229" t="str">
        <f t="shared" si="4"/>
        <v/>
      </c>
      <c r="J32" s="242"/>
      <c r="K32" s="243"/>
      <c r="L32" s="243"/>
      <c r="M32" s="243"/>
      <c r="N32" s="244" t="str">
        <f t="shared" si="5"/>
        <v>OK</v>
      </c>
      <c r="O32" s="221"/>
      <c r="P32" s="233">
        <f>IF($D32="",0,IFERROR(INDEX('Project Types'!$E$5:$E$13,MATCH($D32,'Project Types'!$A$5:$A$13,0)),1))</f>
        <v>1.1000000000000001</v>
      </c>
      <c r="Q32" s="227" t="str">
        <f>IF(Inputs!$A33="","",Inputs!$A33)</f>
        <v>Chargable Proposals 25</v>
      </c>
      <c r="R32" s="230">
        <f t="shared" si="0"/>
        <v>1</v>
      </c>
      <c r="S32" s="231">
        <f t="shared" si="1"/>
        <v>1</v>
      </c>
      <c r="T32" s="230" t="str">
        <f t="shared" si="2"/>
        <v>OK</v>
      </c>
      <c r="U32" s="229">
        <f t="shared" si="3"/>
        <v>1</v>
      </c>
      <c r="V32" s="233" cm="1">
        <f t="array" ref="V32">IF($Q32="","",IF($S32=0,1,SUMPRODUCT(($A$5:$A$204=$Q32)*$E$5:$E$204*$P$5:$P$204)/$S32))</f>
        <v>0.7</v>
      </c>
      <c r="W32" s="246" cm="1">
        <f t="array" ref="W32">IF($Q32="","",IF(SUMIF($A$5:$A$204,$Q32,$I$5:$I$204)&gt;0,SUMPRODUCT(IFERROR(($A$5:$A$204=$Q32)*$I$5:$I$204*K$5:K$204,0))/SUMIF($A$5:$A$204,$Q32,$I$5:$I$204),IF($S32&gt;0,SUMPRODUCT(IFERROR(($A$5:$A$204=$Q32)*$E$5:$E$204*K$5:K$204,0))/$S32,"")))</f>
        <v>0.4</v>
      </c>
      <c r="X32" s="246" cm="1">
        <f t="array" ref="X32">IF($Q32="","",IF(SUMIF($A$5:$A$204,$Q32,$I$5:$I$204)&gt;0,SUMPRODUCT(IFERROR(($A$5:$A$204=$Q32)*$I$5:$I$204*L$5:L$204,0))/SUMIF($A$5:$A$204,$Q32,$I$5:$I$204),IF($S32&gt;0,SUMPRODUCT(IFERROR(($A$5:$A$204=$Q32)*$E$5:$E$204*L$5:L$204,0))/$S32,"")))</f>
        <v>0.3</v>
      </c>
      <c r="Y32" s="246" cm="1">
        <f t="array" ref="Y32">IF($Q32="","",IF(SUMIF($A$5:$A$204,$Q32,$I$5:$I$204)&gt;0,SUMPRODUCT(IFERROR(($A$5:$A$204=$Q32)*$I$5:$I$204*M$5:M$204,0))/SUMIF($A$5:$A$204,$Q32,$I$5:$I$204),IF($S32&gt;0,SUMPRODUCT(IFERROR(($A$5:$A$204=$Q32)*$E$5:$E$204*M$5:M$204,0))/$S32,"")))</f>
        <v>0.3</v>
      </c>
      <c r="Z32" s="247" t="str">
        <f t="shared" si="6"/>
        <v>earned progress</v>
      </c>
      <c r="AA32" s="388">
        <f>IF($A32="","",IFERROR('Deliverable Actuals'!$K32,""))</f>
        <v>0</v>
      </c>
      <c r="AB32" s="388">
        <f>IF($A32="","",IFERROR('Deliverable Actuals'!$L32,""))</f>
        <v>0</v>
      </c>
      <c r="AC32" s="389">
        <f>IF($A32="","",IFERROR('Deliverable Actuals'!$I32,""))</f>
        <v>0</v>
      </c>
      <c r="AD32" s="350">
        <f>IF($A32="","",IFERROR('Deliverable Actuals'!$P32,""))</f>
        <v>0</v>
      </c>
      <c r="AE32" s="335" t="str">
        <f>IF($A32="","",IFERROR('Deliverable Actuals'!$R32,""))</f>
        <v>Never charged</v>
      </c>
      <c r="AG32"/>
      <c r="AH32"/>
      <c r="AI32"/>
      <c r="AJ32"/>
      <c r="AK32"/>
      <c r="AL32"/>
      <c r="AM32"/>
      <c r="AN32"/>
      <c r="AO32"/>
      <c r="AP32"/>
      <c r="AQ32"/>
      <c r="AR32"/>
    </row>
    <row r="33" spans="1:31" x14ac:dyDescent="0.3">
      <c r="A33" s="223"/>
      <c r="B33" s="224" t="str">
        <f>IF($A33="","",IFERROR(INDEX(Inputs!$B$6:$B$80,MATCH($A33,Inputs!$A$6:$A$80,0)),"not in register"))</f>
        <v>AMI Stormwater Collection System – Private Outfall</v>
      </c>
      <c r="C33" s="223"/>
      <c r="D33" s="223"/>
      <c r="E33" s="225"/>
      <c r="F33" s="226"/>
      <c r="G33" s="227" t="str">
        <f>IF(OR($D33="",$F33=""),"",IFERROR(INDEX('Rules of Credit'!$C$5:$C$38,MATCH($D33&amp;"|"&amp;$F33,'Rules of Credit'!$F$5:$F$38,0)),"invalid step"))</f>
        <v/>
      </c>
      <c r="H33" s="228" t="str">
        <f>IF(OR($D33="",$F33=""),"",IFERROR(INDEX('Rules of Credit'!$D$5:$D$38,MATCH($D33&amp;"|"&amp;$F33,'Rules of Credit'!$F$5:$F$38,0)),""))</f>
        <v/>
      </c>
      <c r="I33" s="229" t="str">
        <f t="shared" si="4"/>
        <v/>
      </c>
      <c r="J33" s="242"/>
      <c r="K33" s="243"/>
      <c r="L33" s="243"/>
      <c r="M33" s="243"/>
      <c r="N33" s="244" t="str">
        <f t="shared" si="5"/>
        <v>OK</v>
      </c>
      <c r="O33" s="221"/>
      <c r="P33" s="233">
        <f>IF($D33="",0,IFERROR(INDEX('Project Types'!$E$5:$E$13,MATCH($D33,'Project Types'!$A$5:$A$13,0)),1))</f>
        <v>1.1000000000000001</v>
      </c>
      <c r="Q33" s="227" t="str">
        <f>IF(Inputs!$A34="","",Inputs!$A34)</f>
        <v>AD23051-0101D</v>
      </c>
      <c r="R33" s="230">
        <f t="shared" si="0"/>
        <v>1</v>
      </c>
      <c r="S33" s="231">
        <f t="shared" si="1"/>
        <v>1</v>
      </c>
      <c r="T33" s="230" t="str">
        <f t="shared" si="2"/>
        <v>OK</v>
      </c>
      <c r="U33" s="229">
        <f t="shared" si="3"/>
        <v>1</v>
      </c>
      <c r="V33" s="233" cm="1">
        <f t="array" ref="V33">IF($Q33="","",IF($S33=0,1,SUMPRODUCT(($A$5:$A$204=$Q33)*$E$5:$E$204*$P$5:$P$204)/$S33))</f>
        <v>1.1000000000000001</v>
      </c>
      <c r="W33" s="246" cm="1">
        <f t="array" ref="W33">IF($Q33="","",IF(SUMIF($A$5:$A$204,$Q33,$I$5:$I$204)&gt;0,SUMPRODUCT(IFERROR(($A$5:$A$204=$Q33)*$I$5:$I$204*K$5:K$204,0))/SUMIF($A$5:$A$204,$Q33,$I$5:$I$204),IF($S33&gt;0,SUMPRODUCT(IFERROR(($A$5:$A$204=$Q33)*$E$5:$E$204*K$5:K$204,0))/$S33,"")))</f>
        <v>1</v>
      </c>
      <c r="X33" s="246" cm="1">
        <f t="array" ref="X33">IF($Q33="","",IF(SUMIF($A$5:$A$204,$Q33,$I$5:$I$204)&gt;0,SUMPRODUCT(IFERROR(($A$5:$A$204=$Q33)*$I$5:$I$204*L$5:L$204,0))/SUMIF($A$5:$A$204,$Q33,$I$5:$I$204),IF($S33&gt;0,SUMPRODUCT(IFERROR(($A$5:$A$204=$Q33)*$E$5:$E$204*L$5:L$204,0))/$S33,"")))</f>
        <v>0</v>
      </c>
      <c r="Y33" s="246" cm="1">
        <f t="array" ref="Y33">IF($Q33="","",IF(SUMIF($A$5:$A$204,$Q33,$I$5:$I$204)&gt;0,SUMPRODUCT(IFERROR(($A$5:$A$204=$Q33)*$I$5:$I$204*M$5:M$204,0))/SUMIF($A$5:$A$204,$Q33,$I$5:$I$204),IF($S33&gt;0,SUMPRODUCT(IFERROR(($A$5:$A$204=$Q33)*$E$5:$E$204*M$5:M$204,0))/$S33,"")))</f>
        <v>0</v>
      </c>
      <c r="Z33" s="247" t="str">
        <f t="shared" si="6"/>
        <v>earned progress</v>
      </c>
      <c r="AA33" s="388">
        <f>IF($A33="","",IFERROR('Deliverable Actuals'!$K33,""))</f>
        <v>0</v>
      </c>
      <c r="AB33" s="388">
        <f>IF($A33="","",IFERROR('Deliverable Actuals'!$L33,""))</f>
        <v>0</v>
      </c>
      <c r="AC33" s="389">
        <f>IF($A33="","",IFERROR('Deliverable Actuals'!$I33,""))</f>
        <v>0</v>
      </c>
      <c r="AD33" s="350">
        <f>IF($A33="","",IFERROR('Deliverable Actuals'!$P33,""))</f>
        <v>0</v>
      </c>
      <c r="AE33" s="335" t="str">
        <f>IF($A33="","",IFERROR('Deliverable Actuals'!$R33,""))</f>
        <v>Never charged</v>
      </c>
      <c r="AG33"/>
      <c r="AH33"/>
      <c r="AI33"/>
      <c r="AJ33"/>
      <c r="AK33"/>
      <c r="AL33"/>
      <c r="AM33"/>
      <c r="AN33"/>
      <c r="AO33"/>
      <c r="AP33"/>
      <c r="AQ33"/>
      <c r="AR33"/>
    </row>
    <row r="34" spans="1:31" x14ac:dyDescent="0.3">
      <c r="A34" s="223"/>
      <c r="B34" s="224" t="str">
        <f>IF($A34="","",IFERROR(INDEX(Inputs!$B$6:$B$80,MATCH($A34,Inputs!$A$6:$A$80,0)),"not in register"))</f>
        <v>Yas Canal Community - Lead Design Consultancy Services</v>
      </c>
      <c r="C34" s="223"/>
      <c r="D34" s="223"/>
      <c r="E34" s="225"/>
      <c r="F34" s="226"/>
      <c r="G34" s="227" t="str">
        <f>IF(OR($D34="",$F34=""),"",IFERROR(INDEX('Rules of Credit'!$C$5:$C$38,MATCH($D34&amp;"|"&amp;$F34,'Rules of Credit'!$F$5:$F$38,0)),"invalid step"))</f>
        <v>Client acceptance</v>
      </c>
      <c r="H34" s="228">
        <f>IF(OR($D34="",$F34=""),"",IFERROR(INDEX('Rules of Credit'!$D$5:$D$38,MATCH($D34&amp;"|"&amp;$F34,'Rules of Credit'!$F$5:$F$38,0)),""))</f>
        <v>1</v>
      </c>
      <c r="I34" s="229">
        <f t="shared" si="4"/>
        <v>1</v>
      </c>
      <c r="J34" s="242"/>
      <c r="K34" s="243"/>
      <c r="L34" s="243"/>
      <c r="M34" s="243"/>
      <c r="N34" s="244" t="str">
        <f t="shared" si="5"/>
        <v>OK</v>
      </c>
      <c r="O34" s="221"/>
      <c r="P34" s="233">
        <f>IF($D34="",0,IFERROR(INDEX('Project Types'!$E$5:$E$13,MATCH($D34,'Project Types'!$A$5:$A$13,0)),1))</f>
        <v>1.1000000000000001</v>
      </c>
      <c r="Q34" s="227" t="str">
        <f>IF(Inputs!$A35="","",Inputs!$A35)</f>
        <v>AN21146-0100R</v>
      </c>
      <c r="R34" s="230">
        <f t="shared" si="0"/>
        <v>1</v>
      </c>
      <c r="S34" s="231">
        <f t="shared" si="1"/>
        <v>1</v>
      </c>
      <c r="T34" s="230" t="str">
        <f t="shared" si="2"/>
        <v>OK</v>
      </c>
      <c r="U34" s="229">
        <f t="shared" si="3"/>
        <v>1</v>
      </c>
      <c r="V34" s="233" cm="1">
        <f t="array" ref="V34">IF($Q34="","",IF($S34=0,1,SUMPRODUCT(($A$5:$A$204=$Q34)*$E$5:$E$204*$P$5:$P$204)/$S34))</f>
        <v>0.75</v>
      </c>
      <c r="W34" s="246" cm="1">
        <f t="array" ref="W34">IF($Q34="","",IF(SUMIF($A$5:$A$204,$Q34,$I$5:$I$204)&gt;0,SUMPRODUCT(IFERROR(($A$5:$A$204=$Q34)*$I$5:$I$204*K$5:K$204,0))/SUMIF($A$5:$A$204,$Q34,$I$5:$I$204),IF($S34&gt;0,SUMPRODUCT(IFERROR(($A$5:$A$204=$Q34)*$E$5:$E$204*K$5:K$204,0))/$S34,"")))</f>
        <v>0.4</v>
      </c>
      <c r="X34" s="246" cm="1">
        <f t="array" ref="X34">IF($Q34="","",IF(SUMIF($A$5:$A$204,$Q34,$I$5:$I$204)&gt;0,SUMPRODUCT(IFERROR(($A$5:$A$204=$Q34)*$I$5:$I$204*L$5:L$204,0))/SUMIF($A$5:$A$204,$Q34,$I$5:$I$204),IF($S34&gt;0,SUMPRODUCT(IFERROR(($A$5:$A$204=$Q34)*$E$5:$E$204*L$5:L$204,0))/$S34,"")))</f>
        <v>0</v>
      </c>
      <c r="Y34" s="246" cm="1">
        <f t="array" ref="Y34">IF($Q34="","",IF(SUMIF($A$5:$A$204,$Q34,$I$5:$I$204)&gt;0,SUMPRODUCT(IFERROR(($A$5:$A$204=$Q34)*$I$5:$I$204*M$5:M$204,0))/SUMIF($A$5:$A$204,$Q34,$I$5:$I$204),IF($S34&gt;0,SUMPRODUCT(IFERROR(($A$5:$A$204=$Q34)*$E$5:$E$204*M$5:M$204,0))/$S34,"")))</f>
        <v>0.6</v>
      </c>
      <c r="Z34" s="247" t="str">
        <f t="shared" si="6"/>
        <v>earned progress</v>
      </c>
      <c r="AA34" s="388">
        <f>IF($A34="","",IFERROR('Deliverable Actuals'!$K34,""))</f>
        <v>45721</v>
      </c>
      <c r="AB34" s="388">
        <f>IF($A34="","",IFERROR('Deliverable Actuals'!$L34,""))</f>
        <v>45928</v>
      </c>
      <c r="AC34" s="389">
        <f>IF($A34="","",IFERROR('Deliverable Actuals'!$I34,""))</f>
        <v>363.75</v>
      </c>
      <c r="AD34" s="350">
        <f>IF($A34="","",IFERROR('Deliverable Actuals'!$P34,""))</f>
        <v>106</v>
      </c>
      <c r="AE34" s="335" t="str">
        <f>IF($A34="","",IFERROR('Deliverable Actuals'!$R34,""))</f>
        <v>Dormant since 2025-09-28</v>
      </c>
      <c r="AG34"/>
      <c r="AH34"/>
      <c r="AI34"/>
      <c r="AJ34"/>
      <c r="AK34"/>
      <c r="AL34"/>
      <c r="AM34"/>
      <c r="AN34"/>
      <c r="AO34"/>
      <c r="AP34"/>
      <c r="AQ34"/>
      <c r="AR34"/>
    </row>
    <row r="35" spans="1:31" x14ac:dyDescent="0.3">
      <c r="A35" s="223"/>
      <c r="B35" s="224" t="str">
        <f>IF($A35="","",IFERROR(INDEX(Inputs!$B$6:$B$80,MATCH($A35,Inputs!$A$6:$A$80,0)),"not in register"))</f>
        <v>Assessing the Quay Wall Capacity Under Loading Effect of STS Crane Offloading at Damietta Port</v>
      </c>
      <c r="C35" s="223"/>
      <c r="D35" s="223"/>
      <c r="E35" s="225"/>
      <c r="F35" s="226"/>
      <c r="G35" s="227" t="str">
        <f>IF(OR($D35="",$F35=""),"",IFERROR(INDEX('Rules of Credit'!$C$5:$C$38,MATCH($D35&amp;"|"&amp;$F35,'Rules of Credit'!$F$5:$F$38,0)),"invalid step"))</f>
        <v>Comments closed</v>
      </c>
      <c r="H35" s="228">
        <f>IF(OR($D35="",$F35=""),"",IFERROR(INDEX('Rules of Credit'!$D$5:$D$38,MATCH($D35&amp;"|"&amp;$F35,'Rules of Credit'!$F$5:$F$38,0)),""))</f>
        <v>1</v>
      </c>
      <c r="I35" s="229">
        <f t="shared" si="4"/>
        <v>1</v>
      </c>
      <c r="J35" s="242"/>
      <c r="K35" s="243"/>
      <c r="L35" s="243"/>
      <c r="M35" s="243"/>
      <c r="N35" s="244" t="str">
        <f t="shared" si="5"/>
        <v>OK</v>
      </c>
      <c r="O35" s="221"/>
      <c r="P35" s="233">
        <f>IF($D35="",0,IFERROR(INDEX('Project Types'!$E$5:$E$13,MATCH($D35,'Project Types'!$A$5:$A$13,0)),1))</f>
        <v>1.2</v>
      </c>
      <c r="Q35" s="227" t="str">
        <f>IF(Inputs!$A36="","",Inputs!$A36)</f>
        <v>N23106-0100D</v>
      </c>
      <c r="R35" s="230">
        <f t="shared" si="0"/>
        <v>1</v>
      </c>
      <c r="S35" s="231">
        <f t="shared" si="1"/>
        <v>1</v>
      </c>
      <c r="T35" s="230" t="str">
        <f t="shared" si="2"/>
        <v>OK</v>
      </c>
      <c r="U35" s="229">
        <f t="shared" si="3"/>
        <v>1</v>
      </c>
      <c r="V35" s="233" cm="1">
        <f t="array" ref="V35">IF($Q35="","",IF($S35=0,1,SUMPRODUCT(($A$5:$A$204=$Q35)*$E$5:$E$204*$P$5:$P$204)/$S35))</f>
        <v>1.1000000000000001</v>
      </c>
      <c r="W35" s="246" cm="1">
        <f t="array" ref="W35">IF($Q35="","",IF(SUMIF($A$5:$A$204,$Q35,$I$5:$I$204)&gt;0,SUMPRODUCT(IFERROR(($A$5:$A$204=$Q35)*$I$5:$I$204*K$5:K$204,0))/SUMIF($A$5:$A$204,$Q35,$I$5:$I$204),IF($S35&gt;0,SUMPRODUCT(IFERROR(($A$5:$A$204=$Q35)*$E$5:$E$204*K$5:K$204,0))/$S35,"")))</f>
        <v>0.6</v>
      </c>
      <c r="X35" s="246" cm="1">
        <f t="array" ref="X35">IF($Q35="","",IF(SUMIF($A$5:$A$204,$Q35,$I$5:$I$204)&gt;0,SUMPRODUCT(IFERROR(($A$5:$A$204=$Q35)*$I$5:$I$204*L$5:L$204,0))/SUMIF($A$5:$A$204,$Q35,$I$5:$I$204),IF($S35&gt;0,SUMPRODUCT(IFERROR(($A$5:$A$204=$Q35)*$E$5:$E$204*L$5:L$204,0))/$S35,"")))</f>
        <v>0.3</v>
      </c>
      <c r="Y35" s="246" cm="1">
        <f t="array" ref="Y35">IF($Q35="","",IF(SUMIF($A$5:$A$204,$Q35,$I$5:$I$204)&gt;0,SUMPRODUCT(IFERROR(($A$5:$A$204=$Q35)*$I$5:$I$204*M$5:M$204,0))/SUMIF($A$5:$A$204,$Q35,$I$5:$I$204),IF($S35&gt;0,SUMPRODUCT(IFERROR(($A$5:$A$204=$Q35)*$E$5:$E$204*M$5:M$204,0))/$S35,"")))</f>
        <v>0.1</v>
      </c>
      <c r="Z35" s="247" t="str">
        <f t="shared" si="6"/>
        <v>earned progress</v>
      </c>
      <c r="AA35" s="388">
        <f>IF($A35="","",IFERROR('Deliverable Actuals'!$K35,""))</f>
        <v>0</v>
      </c>
      <c r="AB35" s="388">
        <f>IF($A35="","",IFERROR('Deliverable Actuals'!$L35,""))</f>
        <v>0</v>
      </c>
      <c r="AC35" s="389">
        <f>IF($A35="","",IFERROR('Deliverable Actuals'!$I35,""))</f>
        <v>0</v>
      </c>
      <c r="AD35" s="350">
        <f>IF($A35="","",IFERROR('Deliverable Actuals'!$P35,""))</f>
        <v>0</v>
      </c>
      <c r="AE35" s="335" t="str">
        <f>IF($A35="","",IFERROR('Deliverable Actuals'!$R35,""))</f>
        <v>Never charged</v>
      </c>
      <c r="AG35"/>
      <c r="AH35"/>
      <c r="AI35"/>
      <c r="AJ35"/>
      <c r="AK35"/>
      <c r="AL35"/>
      <c r="AM35"/>
      <c r="AN35"/>
      <c r="AO35"/>
      <c r="AP35"/>
      <c r="AQ35"/>
      <c r="AR35"/>
    </row>
    <row r="36" spans="1:31" x14ac:dyDescent="0.3">
      <c r="A36" s="223"/>
      <c r="B36" s="224" t="str">
        <f>IF($A36="","",IFERROR(INDEX(Inputs!$B$6:$B$80,MATCH($A36,Inputs!$A$6:$A$80,0)),"not in register"))</f>
        <v>J23152-0100D - Consultancy Services for PV Projects at APC</v>
      </c>
      <c r="C36" s="223"/>
      <c r="D36" s="223"/>
      <c r="E36" s="225"/>
      <c r="F36" s="226"/>
      <c r="G36" s="227" t="str">
        <f>IF(OR($D36="",$F36=""),"",IFERROR(INDEX('Rules of Credit'!$C$5:$C$38,MATCH($D36&amp;"|"&amp;$F36,'Rules of Credit'!$F$5:$F$38,0)),"invalid step"))</f>
        <v>Tender queries and addenda closed</v>
      </c>
      <c r="H36" s="228">
        <f>IF(OR($D36="",$F36=""),"",IFERROR(INDEX('Rules of Credit'!$D$5:$D$38,MATCH($D36&amp;"|"&amp;$F36,'Rules of Credit'!$F$5:$F$38,0)),""))</f>
        <v>1</v>
      </c>
      <c r="I36" s="229">
        <f t="shared" si="4"/>
        <v>1</v>
      </c>
      <c r="J36" s="242"/>
      <c r="K36" s="243"/>
      <c r="L36" s="243"/>
      <c r="M36" s="243"/>
      <c r="N36" s="244" t="str">
        <f t="shared" si="5"/>
        <v>OK</v>
      </c>
      <c r="O36" s="221"/>
      <c r="P36" s="233">
        <f>IF($D36="",0,IFERROR(INDEX('Project Types'!$E$5:$E$13,MATCH($D36,'Project Types'!$A$5:$A$13,0)),1))</f>
        <v>0.85</v>
      </c>
      <c r="Q36" s="227" t="str">
        <f>IF(Inputs!$A37="","",Inputs!$A37)</f>
        <v>OM23030-0100D</v>
      </c>
      <c r="R36" s="230">
        <f t="shared" si="0"/>
        <v>1</v>
      </c>
      <c r="S36" s="231">
        <f t="shared" si="1"/>
        <v>1</v>
      </c>
      <c r="T36" s="230" t="str">
        <f t="shared" si="2"/>
        <v>OK</v>
      </c>
      <c r="U36" s="229">
        <f t="shared" si="3"/>
        <v>1</v>
      </c>
      <c r="V36" s="233" cm="1">
        <f t="array" ref="V36">IF($Q36="","",IF($S36=0,1,SUMPRODUCT(($A$5:$A$204=$Q36)*$E$5:$E$204*$P$5:$P$204)/$S36))</f>
        <v>0.85</v>
      </c>
      <c r="W36" s="246" cm="1">
        <f t="array" ref="W36">IF($Q36="","",IF(SUMIF($A$5:$A$204,$Q36,$I$5:$I$204)&gt;0,SUMPRODUCT(IFERROR(($A$5:$A$204=$Q36)*$I$5:$I$204*K$5:K$204,0))/SUMIF($A$5:$A$204,$Q36,$I$5:$I$204),IF($S36&gt;0,SUMPRODUCT(IFERROR(($A$5:$A$204=$Q36)*$E$5:$E$204*K$5:K$204,0))/$S36,"")))</f>
        <v>1</v>
      </c>
      <c r="X36" s="246" cm="1">
        <f t="array" ref="X36">IF($Q36="","",IF(SUMIF($A$5:$A$204,$Q36,$I$5:$I$204)&gt;0,SUMPRODUCT(IFERROR(($A$5:$A$204=$Q36)*$I$5:$I$204*L$5:L$204,0))/SUMIF($A$5:$A$204,$Q36,$I$5:$I$204),IF($S36&gt;0,SUMPRODUCT(IFERROR(($A$5:$A$204=$Q36)*$E$5:$E$204*L$5:L$204,0))/$S36,"")))</f>
        <v>0</v>
      </c>
      <c r="Y36" s="246" cm="1">
        <f t="array" ref="Y36">IF($Q36="","",IF(SUMIF($A$5:$A$204,$Q36,$I$5:$I$204)&gt;0,SUMPRODUCT(IFERROR(($A$5:$A$204=$Q36)*$I$5:$I$204*M$5:M$204,0))/SUMIF($A$5:$A$204,$Q36,$I$5:$I$204),IF($S36&gt;0,SUMPRODUCT(IFERROR(($A$5:$A$204=$Q36)*$E$5:$E$204*M$5:M$204,0))/$S36,"")))</f>
        <v>0</v>
      </c>
      <c r="Z36" s="247" t="str">
        <f t="shared" si="6"/>
        <v>earned progress</v>
      </c>
      <c r="AA36" s="388">
        <f>IF($A36="","",IFERROR('Deliverable Actuals'!$K36,""))</f>
        <v>45237</v>
      </c>
      <c r="AB36" s="388">
        <f>IF($A36="","",IFERROR('Deliverable Actuals'!$L36,""))</f>
        <v>45242</v>
      </c>
      <c r="AC36" s="389">
        <f>IF($A36="","",IFERROR('Deliverable Actuals'!$I36,""))</f>
        <v>17.5</v>
      </c>
      <c r="AD36" s="350">
        <f>IF($A36="","",IFERROR('Deliverable Actuals'!$P36,""))</f>
        <v>2</v>
      </c>
      <c r="AE36" s="335" t="str">
        <f>IF($A36="","",IFERROR('Deliverable Actuals'!$R36,""))</f>
        <v>Dormant since 2023-11-12</v>
      </c>
      <c r="AG36"/>
      <c r="AH36"/>
      <c r="AI36"/>
      <c r="AJ36"/>
      <c r="AK36"/>
      <c r="AL36"/>
      <c r="AM36"/>
      <c r="AN36"/>
      <c r="AO36"/>
      <c r="AP36"/>
      <c r="AQ36"/>
      <c r="AR36"/>
    </row>
    <row r="37" spans="1:31" x14ac:dyDescent="0.3">
      <c r="A37" s="223"/>
      <c r="B37" s="224" t="str">
        <f>IF($A37="","",IFERROR(INDEX(Inputs!$B$6:$B$80,MATCH($A37,Inputs!$A$6:$A$80,0)),"not in register"))</f>
        <v>Lead Consultant Services for Simaisma Development Project</v>
      </c>
      <c r="C37" s="223"/>
      <c r="D37" s="223"/>
      <c r="E37" s="225"/>
      <c r="F37" s="226"/>
      <c r="G37" s="227" t="str">
        <f>IF(OR($D37="",$F37=""),"",IFERROR(INDEX('Rules of Credit'!$C$5:$C$38,MATCH($D37&amp;"|"&amp;$F37,'Rules of Credit'!$F$5:$F$38,0)),"invalid step"))</f>
        <v>Tender queries and addenda closed</v>
      </c>
      <c r="H37" s="228">
        <f>IF(OR($D37="",$F37=""),"",IFERROR(INDEX('Rules of Credit'!$D$5:$D$38,MATCH($D37&amp;"|"&amp;$F37,'Rules of Credit'!$F$5:$F$38,0)),""))</f>
        <v>1</v>
      </c>
      <c r="I37" s="229">
        <f t="shared" si="4"/>
        <v>1</v>
      </c>
      <c r="J37" s="242"/>
      <c r="K37" s="243"/>
      <c r="L37" s="243"/>
      <c r="M37" s="243"/>
      <c r="N37" s="244" t="str">
        <f t="shared" si="5"/>
        <v>OK</v>
      </c>
      <c r="O37" s="221"/>
      <c r="P37" s="233">
        <f>IF($D37="",0,IFERROR(INDEX('Project Types'!$E$5:$E$13,MATCH($D37,'Project Types'!$A$5:$A$13,0)),1))</f>
        <v>0.85</v>
      </c>
      <c r="Q37" s="227" t="str">
        <f>IF(Inputs!$A38="","",Inputs!$A38)</f>
        <v>Chargable Proposals 24</v>
      </c>
      <c r="R37" s="230">
        <f t="shared" si="0"/>
        <v>1</v>
      </c>
      <c r="S37" s="231">
        <f t="shared" si="1"/>
        <v>1</v>
      </c>
      <c r="T37" s="230" t="str">
        <f t="shared" ref="T37:T69" si="7">IF($Q37="","",IF($R37=0,"no deliverables",IF(ROUND($S37,4)=1,"OK","weights not 100%")))</f>
        <v>OK</v>
      </c>
      <c r="U37" s="229">
        <f t="shared" si="3"/>
        <v>1</v>
      </c>
      <c r="V37" s="233" cm="1">
        <f t="array" ref="V37">IF($Q37="","",IF($S37=0,1,SUMPRODUCT(($A$5:$A$204=$Q37)*$E$5:$E$204*$P$5:$P$204)/$S37))</f>
        <v>0.7</v>
      </c>
      <c r="W37" s="246" cm="1">
        <f t="array" ref="W37">IF($Q37="","",IF(SUMIF($A$5:$A$204,$Q37,$I$5:$I$204)&gt;0,SUMPRODUCT(IFERROR(($A$5:$A$204=$Q37)*$I$5:$I$204*K$5:K$204,0))/SUMIF($A$5:$A$204,$Q37,$I$5:$I$204),IF($S37&gt;0,SUMPRODUCT(IFERROR(($A$5:$A$204=$Q37)*$E$5:$E$204*K$5:K$204,0))/$S37,"")))</f>
        <v>0.4</v>
      </c>
      <c r="X37" s="246" cm="1">
        <f t="array" ref="X37">IF($Q37="","",IF(SUMIF($A$5:$A$204,$Q37,$I$5:$I$204)&gt;0,SUMPRODUCT(IFERROR(($A$5:$A$204=$Q37)*$I$5:$I$204*L$5:L$204,0))/SUMIF($A$5:$A$204,$Q37,$I$5:$I$204),IF($S37&gt;0,SUMPRODUCT(IFERROR(($A$5:$A$204=$Q37)*$E$5:$E$204*L$5:L$204,0))/$S37,"")))</f>
        <v>0.3</v>
      </c>
      <c r="Y37" s="246" cm="1">
        <f t="array" ref="Y37">IF($Q37="","",IF(SUMIF($A$5:$A$204,$Q37,$I$5:$I$204)&gt;0,SUMPRODUCT(IFERROR(($A$5:$A$204=$Q37)*$I$5:$I$204*M$5:M$204,0))/SUMIF($A$5:$A$204,$Q37,$I$5:$I$204),IF($S37&gt;0,SUMPRODUCT(IFERROR(($A$5:$A$204=$Q37)*$E$5:$E$204*M$5:M$204,0))/$S37,"")))</f>
        <v>0.3</v>
      </c>
      <c r="Z37" s="247" t="str">
        <f t="shared" si="6"/>
        <v>earned progress</v>
      </c>
      <c r="AA37" s="388">
        <f>IF($A37="","",IFERROR('Deliverable Actuals'!$K37,""))</f>
        <v>45685</v>
      </c>
      <c r="AB37" s="388">
        <f>IF($A37="","",IFERROR('Deliverable Actuals'!$L37,""))</f>
        <v>46239</v>
      </c>
      <c r="AC37" s="389">
        <f>IF($A37="","",IFERROR('Deliverable Actuals'!$I37,""))</f>
        <v>357</v>
      </c>
      <c r="AD37" s="350">
        <f>IF($A37="","",IFERROR('Deliverable Actuals'!$P37,""))</f>
        <v>349</v>
      </c>
      <c r="AE37" s="335" t="str">
        <f>IF($A37="","",IFERROR('Deliverable Actuals'!$R37,""))</f>
        <v>Active</v>
      </c>
      <c r="AG37"/>
      <c r="AH37"/>
      <c r="AI37"/>
      <c r="AJ37"/>
      <c r="AK37"/>
      <c r="AL37"/>
      <c r="AM37"/>
      <c r="AN37"/>
      <c r="AO37"/>
      <c r="AP37"/>
      <c r="AQ37"/>
      <c r="AR37"/>
    </row>
    <row r="38" spans="1:31" x14ac:dyDescent="0.3">
      <c r="A38" s="223"/>
      <c r="B38" s="224" t="str">
        <f>IF($A38="","",IFERROR(INDEX(Inputs!$B$6:$B$80,MATCH($A38,Inputs!$A$6:$A$80,0)),"not in register"))</f>
        <v>The Line Hidden Marina Project Management, Project Controls, BIM &amp; GIS Requirements</v>
      </c>
      <c r="C38" s="223"/>
      <c r="D38" s="223"/>
      <c r="E38" s="225"/>
      <c r="F38" s="226"/>
      <c r="G38" s="227" t="str">
        <f>IF(OR($D38="",$F38=""),"",IFERROR(INDEX('Rules of Credit'!$C$5:$C$38,MATCH($D38&amp;"|"&amp;$F38,'Rules of Credit'!$F$5:$F$38,0)),"invalid step"))</f>
        <v>Comments closed</v>
      </c>
      <c r="H38" s="228">
        <f>IF(OR($D38="",$F38=""),"",IFERROR(INDEX('Rules of Credit'!$D$5:$D$38,MATCH($D38&amp;"|"&amp;$F38,'Rules of Credit'!$F$5:$F$38,0)),""))</f>
        <v>1</v>
      </c>
      <c r="I38" s="229">
        <f t="shared" si="4"/>
        <v>1</v>
      </c>
      <c r="J38" s="242"/>
      <c r="K38" s="243"/>
      <c r="L38" s="243"/>
      <c r="M38" s="243"/>
      <c r="N38" s="244" t="str">
        <f t="shared" si="5"/>
        <v>OK</v>
      </c>
      <c r="O38" s="221"/>
      <c r="P38" s="233">
        <f>IF($D38="",0,IFERROR(INDEX('Project Types'!$E$5:$E$13,MATCH($D38,'Project Types'!$A$5:$A$13,0)),1))</f>
        <v>1.2</v>
      </c>
      <c r="Q38" s="227" t="str">
        <f>IF(Inputs!$A39="","",Inputs!$A39)</f>
        <v>Proposals 24</v>
      </c>
      <c r="R38" s="230">
        <f t="shared" si="0"/>
        <v>1</v>
      </c>
      <c r="S38" s="231">
        <f t="shared" si="1"/>
        <v>1</v>
      </c>
      <c r="T38" s="230" t="str">
        <f t="shared" si="7"/>
        <v>OK</v>
      </c>
      <c r="U38" s="229">
        <f t="shared" si="3"/>
        <v>1</v>
      </c>
      <c r="V38" s="233" cm="1">
        <f t="array" ref="V38">IF($Q38="","",IF($S38=0,1,SUMPRODUCT(($A$5:$A$204=$Q38)*$E$5:$E$204*$P$5:$P$204)/$S38))</f>
        <v>0.7</v>
      </c>
      <c r="W38" s="246" cm="1">
        <f t="array" ref="W38">IF($Q38="","",IF(SUMIF($A$5:$A$204,$Q38,$I$5:$I$204)&gt;0,SUMPRODUCT(IFERROR(($A$5:$A$204=$Q38)*$I$5:$I$204*K$5:K$204,0))/SUMIF($A$5:$A$204,$Q38,$I$5:$I$204),IF($S38&gt;0,SUMPRODUCT(IFERROR(($A$5:$A$204=$Q38)*$E$5:$E$204*K$5:K$204,0))/$S38,"")))</f>
        <v>0.8</v>
      </c>
      <c r="X38" s="246" cm="1">
        <f t="array" ref="X38">IF($Q38="","",IF(SUMIF($A$5:$A$204,$Q38,$I$5:$I$204)&gt;0,SUMPRODUCT(IFERROR(($A$5:$A$204=$Q38)*$I$5:$I$204*L$5:L$204,0))/SUMIF($A$5:$A$204,$Q38,$I$5:$I$204),IF($S38&gt;0,SUMPRODUCT(IFERROR(($A$5:$A$204=$Q38)*$E$5:$E$204*L$5:L$204,0))/$S38,"")))</f>
        <v>0.1</v>
      </c>
      <c r="Y38" s="246" cm="1">
        <f t="array" ref="Y38">IF($Q38="","",IF(SUMIF($A$5:$A$204,$Q38,$I$5:$I$204)&gt;0,SUMPRODUCT(IFERROR(($A$5:$A$204=$Q38)*$I$5:$I$204*M$5:M$204,0))/SUMIF($A$5:$A$204,$Q38,$I$5:$I$204),IF($S38&gt;0,SUMPRODUCT(IFERROR(($A$5:$A$204=$Q38)*$E$5:$E$204*M$5:M$204,0))/$S38,"")))</f>
        <v>0.1</v>
      </c>
      <c r="Z38" s="247" t="str">
        <f t="shared" si="6"/>
        <v>earned progress</v>
      </c>
      <c r="AA38" s="388">
        <f>IF($A38="","",IFERROR('Deliverable Actuals'!$K38,""))</f>
        <v>45348</v>
      </c>
      <c r="AB38" s="388">
        <f>IF($A38="","",IFERROR('Deliverable Actuals'!$L38,""))</f>
        <v>45480</v>
      </c>
      <c r="AC38" s="389">
        <f>IF($A38="","",IFERROR('Deliverable Actuals'!$I38,""))</f>
        <v>451.75</v>
      </c>
      <c r="AD38" s="350">
        <f>IF($A38="","",IFERROR('Deliverable Actuals'!$P38,""))</f>
        <v>23</v>
      </c>
      <c r="AE38" s="335" t="str">
        <f>IF($A38="","",IFERROR('Deliverable Actuals'!$R38,""))</f>
        <v>Dormant since 2024-07-07</v>
      </c>
      <c r="AG38"/>
      <c r="AH38"/>
      <c r="AI38"/>
      <c r="AJ38"/>
      <c r="AK38"/>
      <c r="AL38"/>
      <c r="AM38"/>
      <c r="AN38"/>
      <c r="AO38"/>
      <c r="AP38"/>
      <c r="AQ38"/>
      <c r="AR38"/>
    </row>
    <row r="39" spans="1:31" x14ac:dyDescent="0.3">
      <c r="A39" s="223"/>
      <c r="B39" s="224" t="str">
        <f>IF($A39="","",IFERROR(INDEX(Inputs!$B$6:$B$80,MATCH($A39,Inputs!$A$6:$A$80,0)),"not in register"))</f>
        <v>The Line Hidden Marina, The Line Engineering Tasks - Part 1</v>
      </c>
      <c r="C39" s="223"/>
      <c r="D39" s="223"/>
      <c r="E39" s="225"/>
      <c r="F39" s="226"/>
      <c r="G39" s="227" t="str">
        <f>IF(OR($D39="",$F39=""),"",IFERROR(INDEX('Rules of Credit'!$C$5:$C$38,MATCH($D39&amp;"|"&amp;$F39,'Rules of Credit'!$F$5:$F$38,0)),"invalid step"))</f>
        <v>Client acceptance</v>
      </c>
      <c r="H39" s="228">
        <f>IF(OR($D39="",$F39=""),"",IFERROR(INDEX('Rules of Credit'!$D$5:$D$38,MATCH($D39&amp;"|"&amp;$F39,'Rules of Credit'!$F$5:$F$38,0)),""))</f>
        <v>1</v>
      </c>
      <c r="I39" s="229">
        <f t="shared" si="4"/>
        <v>1</v>
      </c>
      <c r="J39" s="242"/>
      <c r="K39" s="243"/>
      <c r="L39" s="243"/>
      <c r="M39" s="243"/>
      <c r="N39" s="244" t="str">
        <f t="shared" si="5"/>
        <v>OK</v>
      </c>
      <c r="O39" s="221"/>
      <c r="P39" s="233">
        <f>IF($D39="",0,IFERROR(INDEX('Project Types'!$E$5:$E$13,MATCH($D39,'Project Types'!$A$5:$A$13,0)),1))</f>
        <v>1.1000000000000001</v>
      </c>
      <c r="Q39" s="227" t="str">
        <f>IF(Inputs!$A40="","",Inputs!$A40)</f>
        <v>S23204-0100D</v>
      </c>
      <c r="R39" s="230">
        <f t="shared" si="0"/>
        <v>1</v>
      </c>
      <c r="S39" s="231">
        <f t="shared" si="1"/>
        <v>1</v>
      </c>
      <c r="T39" s="230" t="str">
        <f t="shared" si="7"/>
        <v>OK</v>
      </c>
      <c r="U39" s="229">
        <f t="shared" si="3"/>
        <v>1</v>
      </c>
      <c r="V39" s="233" cm="1">
        <f t="array" ref="V39">IF($Q39="","",IF($S39=0,1,SUMPRODUCT(($A$5:$A$204=$Q39)*$E$5:$E$204*$P$5:$P$204)/$S39))</f>
        <v>1.1000000000000001</v>
      </c>
      <c r="W39" s="246" cm="1">
        <f t="array" ref="W39">IF($Q39="","",IF(SUMIF($A$5:$A$204,$Q39,$I$5:$I$204)&gt;0,SUMPRODUCT(IFERROR(($A$5:$A$204=$Q39)*$I$5:$I$204*K$5:K$204,0))/SUMIF($A$5:$A$204,$Q39,$I$5:$I$204),IF($S39&gt;0,SUMPRODUCT(IFERROR(($A$5:$A$204=$Q39)*$E$5:$E$204*K$5:K$204,0))/$S39,"")))</f>
        <v>1</v>
      </c>
      <c r="X39" s="246" cm="1">
        <f t="array" ref="X39">IF($Q39="","",IF(SUMIF($A$5:$A$204,$Q39,$I$5:$I$204)&gt;0,SUMPRODUCT(IFERROR(($A$5:$A$204=$Q39)*$I$5:$I$204*L$5:L$204,0))/SUMIF($A$5:$A$204,$Q39,$I$5:$I$204),IF($S39&gt;0,SUMPRODUCT(IFERROR(($A$5:$A$204=$Q39)*$E$5:$E$204*L$5:L$204,0))/$S39,"")))</f>
        <v>0</v>
      </c>
      <c r="Y39" s="246" cm="1">
        <f t="array" ref="Y39">IF($Q39="","",IF(SUMIF($A$5:$A$204,$Q39,$I$5:$I$204)&gt;0,SUMPRODUCT(IFERROR(($A$5:$A$204=$Q39)*$I$5:$I$204*M$5:M$204,0))/SUMIF($A$5:$A$204,$Q39,$I$5:$I$204),IF($S39&gt;0,SUMPRODUCT(IFERROR(($A$5:$A$204=$Q39)*$E$5:$E$204*M$5:M$204,0))/$S39,"")))</f>
        <v>0</v>
      </c>
      <c r="Z39" s="247" t="str">
        <f t="shared" si="6"/>
        <v>earned progress</v>
      </c>
      <c r="AA39" s="388">
        <f>IF($A39="","",IFERROR('Deliverable Actuals'!$K39,""))</f>
        <v>45756</v>
      </c>
      <c r="AB39" s="388">
        <f>IF($A39="","",IFERROR('Deliverable Actuals'!$L39,""))</f>
        <v>45924</v>
      </c>
      <c r="AC39" s="389">
        <f>IF($A39="","",IFERROR('Deliverable Actuals'!$I39,""))</f>
        <v>491.25</v>
      </c>
      <c r="AD39" s="350">
        <f>IF($A39="","",IFERROR('Deliverable Actuals'!$P39,""))</f>
        <v>49</v>
      </c>
      <c r="AE39" s="335" t="str">
        <f>IF($A39="","",IFERROR('Deliverable Actuals'!$R39,""))</f>
        <v>Dormant since 2025-09-24</v>
      </c>
      <c r="AG39"/>
      <c r="AH39"/>
      <c r="AI39"/>
      <c r="AJ39"/>
      <c r="AK39"/>
      <c r="AL39"/>
      <c r="AM39"/>
      <c r="AN39"/>
      <c r="AO39"/>
      <c r="AP39"/>
      <c r="AQ39"/>
      <c r="AR39"/>
    </row>
    <row r="40" spans="1:31" x14ac:dyDescent="0.3">
      <c r="A40" s="223"/>
      <c r="B40" s="224" t="str">
        <f>IF($A40="","",IFERROR(INDEX(Inputs!$B$6:$B$80,MATCH($A40,Inputs!$A$6:$A$80,0)),"not in register"))</f>
        <v>The Line Hidden Marina - Design of Wharf - Temporary Works</v>
      </c>
      <c r="C40" s="223"/>
      <c r="D40" s="223"/>
      <c r="E40" s="225"/>
      <c r="F40" s="226"/>
      <c r="G40" s="227" t="str">
        <f>IF(OR($D40="",$F40=""),"",IFERROR(INDEX('Rules of Credit'!$C$5:$C$38,MATCH($D40&amp;"|"&amp;$F40,'Rules of Credit'!$F$5:$F$38,0)),"invalid step"))</f>
        <v>Client acceptance</v>
      </c>
      <c r="H40" s="228">
        <f>IF(OR($D40="",$F40=""),"",IFERROR(INDEX('Rules of Credit'!$D$5:$D$38,MATCH($D40&amp;"|"&amp;$F40,'Rules of Credit'!$F$5:$F$38,0)),""))</f>
        <v>1</v>
      </c>
      <c r="I40" s="229">
        <f t="shared" si="4"/>
        <v>1</v>
      </c>
      <c r="J40" s="242"/>
      <c r="K40" s="243"/>
      <c r="L40" s="243"/>
      <c r="M40" s="243"/>
      <c r="N40" s="244" t="str">
        <f t="shared" si="5"/>
        <v>OK</v>
      </c>
      <c r="O40" s="221"/>
      <c r="P40" s="233">
        <f>IF($D40="",0,IFERROR(INDEX('Project Types'!$E$5:$E$13,MATCH($D40,'Project Types'!$A$5:$A$13,0)),1))</f>
        <v>1.1000000000000001</v>
      </c>
      <c r="Q40" s="227" t="str">
        <f>IF(Inputs!$A41="","",Inputs!$A41)</f>
        <v>S24100-0100D</v>
      </c>
      <c r="R40" s="230">
        <f t="shared" ref="R40:R84" si="8">IF($Q40="","",COUNTIF($A$5:$A$204,$Q40))</f>
        <v>1</v>
      </c>
      <c r="S40" s="231">
        <f t="shared" ref="S40:S84" si="9">IF($Q40="","",SUMIF($A$5:$A$204,$Q40,$E$5:$E$204))</f>
        <v>1</v>
      </c>
      <c r="T40" s="230" t="str">
        <f t="shared" si="7"/>
        <v>OK</v>
      </c>
      <c r="U40" s="229">
        <f t="shared" ref="U40:U84" si="10">IF(OR($Q40="",$S40=0),"",SUMIF($A$5:$A$204,$Q40,$I$5:$I$204)/$S40)</f>
        <v>1</v>
      </c>
      <c r="V40" s="233" cm="1">
        <f t="array" ref="V40">IF($Q40="","",IF($S40=0,1,SUMPRODUCT(($A$5:$A$204=$Q40)*$E$5:$E$204*$P$5:$P$204)/$S40))</f>
        <v>1.1000000000000001</v>
      </c>
      <c r="W40" s="246" cm="1">
        <f t="array" ref="W40">IF($Q40="","",IF(SUMIF($A$5:$A$204,$Q40,$I$5:$I$204)&gt;0,SUMPRODUCT(IFERROR(($A$5:$A$204=$Q40)*$I$5:$I$204*K$5:K$204,0))/SUMIF($A$5:$A$204,$Q40,$I$5:$I$204),IF($S40&gt;0,SUMPRODUCT(IFERROR(($A$5:$A$204=$Q40)*$E$5:$E$204*K$5:K$204,0))/$S40,"")))</f>
        <v>0.25</v>
      </c>
      <c r="X40" s="246" cm="1">
        <f t="array" ref="X40">IF($Q40="","",IF(SUMIF($A$5:$A$204,$Q40,$I$5:$I$204)&gt;0,SUMPRODUCT(IFERROR(($A$5:$A$204=$Q40)*$I$5:$I$204*L$5:L$204,0))/SUMIF($A$5:$A$204,$Q40,$I$5:$I$204),IF($S40&gt;0,SUMPRODUCT(IFERROR(($A$5:$A$204=$Q40)*$E$5:$E$204*L$5:L$204,0))/$S40,"")))</f>
        <v>0.3</v>
      </c>
      <c r="Y40" s="246" cm="1">
        <f t="array" ref="Y40">IF($Q40="","",IF(SUMIF($A$5:$A$204,$Q40,$I$5:$I$204)&gt;0,SUMPRODUCT(IFERROR(($A$5:$A$204=$Q40)*$I$5:$I$204*M$5:M$204,0))/SUMIF($A$5:$A$204,$Q40,$I$5:$I$204),IF($S40&gt;0,SUMPRODUCT(IFERROR(($A$5:$A$204=$Q40)*$E$5:$E$204*M$5:M$204,0))/$S40,"")))</f>
        <v>0.45</v>
      </c>
      <c r="Z40" s="247" t="str">
        <f t="shared" si="6"/>
        <v>earned progress</v>
      </c>
      <c r="AA40" s="388">
        <f>IF($A40="","",IFERROR('Deliverable Actuals'!$K40,""))</f>
        <v>45537</v>
      </c>
      <c r="AB40" s="388">
        <f>IF($A40="","",IFERROR('Deliverable Actuals'!$L40,""))</f>
        <v>45643</v>
      </c>
      <c r="AC40" s="389">
        <f>IF($A40="","",IFERROR('Deliverable Actuals'!$I40,""))</f>
        <v>804.75</v>
      </c>
      <c r="AD40" s="350">
        <f>IF($A40="","",IFERROR('Deliverable Actuals'!$P40,""))</f>
        <v>11</v>
      </c>
      <c r="AE40" s="335" t="str">
        <f>IF($A40="","",IFERROR('Deliverable Actuals'!$R40,""))</f>
        <v>Dormant since 2024-12-17</v>
      </c>
      <c r="AG40"/>
      <c r="AH40"/>
      <c r="AI40"/>
      <c r="AJ40"/>
      <c r="AK40"/>
      <c r="AL40"/>
      <c r="AM40"/>
      <c r="AN40"/>
      <c r="AO40"/>
      <c r="AP40"/>
      <c r="AQ40"/>
      <c r="AR40"/>
    </row>
    <row r="41" spans="1:31" x14ac:dyDescent="0.3">
      <c r="A41" s="223"/>
      <c r="B41" s="224" t="str">
        <f>IF($A41="","",IFERROR(INDEX(Inputs!$B$6:$B$80,MATCH($A41,Inputs!$A$6:$A$80,0)),"not in register"))</f>
        <v xml:space="preserve">	The Line Hidden Marina Project Management, Project Controls, BIM &amp; GIS Requirements</v>
      </c>
      <c r="C41" s="223"/>
      <c r="D41" s="223"/>
      <c r="E41" s="225"/>
      <c r="F41" s="226"/>
      <c r="G41" s="227" t="str">
        <f>IF(OR($D41="",$F41=""),"",IFERROR(INDEX('Rules of Credit'!$C$5:$C$38,MATCH($D41&amp;"|"&amp;$F41,'Rules of Credit'!$F$5:$F$38,0)),"invalid step"))</f>
        <v>Comments closed</v>
      </c>
      <c r="H41" s="228">
        <f>IF(OR($D41="",$F41=""),"",IFERROR(INDEX('Rules of Credit'!$D$5:$D$38,MATCH($D41&amp;"|"&amp;$F41,'Rules of Credit'!$F$5:$F$38,0)),""))</f>
        <v>1</v>
      </c>
      <c r="I41" s="229">
        <f t="shared" si="4"/>
        <v>1</v>
      </c>
      <c r="J41" s="242"/>
      <c r="K41" s="243"/>
      <c r="L41" s="243"/>
      <c r="M41" s="243"/>
      <c r="N41" s="244" t="str">
        <f t="shared" si="5"/>
        <v>OK</v>
      </c>
      <c r="O41" s="221"/>
      <c r="P41" s="233">
        <f>IF($D41="",0,IFERROR(INDEX('Project Types'!$E$5:$E$13,MATCH($D41,'Project Types'!$A$5:$A$13,0)),1))</f>
        <v>1.2</v>
      </c>
      <c r="Q41" s="227" t="str">
        <f>IF(Inputs!$A42="","",Inputs!$A42)</f>
        <v>TA23011-0100R</v>
      </c>
      <c r="R41" s="230">
        <f t="shared" si="8"/>
        <v>1</v>
      </c>
      <c r="S41" s="231">
        <f t="shared" si="9"/>
        <v>1</v>
      </c>
      <c r="T41" s="230" t="str">
        <f t="shared" si="7"/>
        <v>OK</v>
      </c>
      <c r="U41" s="229">
        <f t="shared" si="10"/>
        <v>1</v>
      </c>
      <c r="V41" s="233" cm="1">
        <f t="array" ref="V41">IF($Q41="","",IF($S41=0,1,SUMPRODUCT(($A$5:$A$204=$Q41)*$E$5:$E$204*$P$5:$P$204)/$S41))</f>
        <v>0.75</v>
      </c>
      <c r="W41" s="246" cm="1">
        <f t="array" ref="W41">IF($Q41="","",IF(SUMIF($A$5:$A$204,$Q41,$I$5:$I$204)&gt;0,SUMPRODUCT(IFERROR(($A$5:$A$204=$Q41)*$I$5:$I$204*K$5:K$204,0))/SUMIF($A$5:$A$204,$Q41,$I$5:$I$204),IF($S41&gt;0,SUMPRODUCT(IFERROR(($A$5:$A$204=$Q41)*$E$5:$E$204*K$5:K$204,0))/$S41,"")))</f>
        <v>1</v>
      </c>
      <c r="X41" s="246" cm="1">
        <f t="array" ref="X41">IF($Q41="","",IF(SUMIF($A$5:$A$204,$Q41,$I$5:$I$204)&gt;0,SUMPRODUCT(IFERROR(($A$5:$A$204=$Q41)*$I$5:$I$204*L$5:L$204,0))/SUMIF($A$5:$A$204,$Q41,$I$5:$I$204),IF($S41&gt;0,SUMPRODUCT(IFERROR(($A$5:$A$204=$Q41)*$E$5:$E$204*L$5:L$204,0))/$S41,"")))</f>
        <v>0</v>
      </c>
      <c r="Y41" s="246" cm="1">
        <f t="array" ref="Y41">IF($Q41="","",IF(SUMIF($A$5:$A$204,$Q41,$I$5:$I$204)&gt;0,SUMPRODUCT(IFERROR(($A$5:$A$204=$Q41)*$I$5:$I$204*M$5:M$204,0))/SUMIF($A$5:$A$204,$Q41,$I$5:$I$204),IF($S41&gt;0,SUMPRODUCT(IFERROR(($A$5:$A$204=$Q41)*$E$5:$E$204*M$5:M$204,0))/$S41,"")))</f>
        <v>0</v>
      </c>
      <c r="Z41" s="247" t="str">
        <f t="shared" si="6"/>
        <v>earned progress</v>
      </c>
      <c r="AA41" s="388">
        <f>IF($A41="","",IFERROR('Deliverable Actuals'!$K41,""))</f>
        <v>45539</v>
      </c>
      <c r="AB41" s="388">
        <f>IF($A41="","",IFERROR('Deliverable Actuals'!$L41,""))</f>
        <v>45903</v>
      </c>
      <c r="AC41" s="389">
        <f>IF($A41="","",IFERROR('Deliverable Actuals'!$I41,""))</f>
        <v>225</v>
      </c>
      <c r="AD41" s="350">
        <f>IF($A41="","",IFERROR('Deliverable Actuals'!$P41,""))</f>
        <v>187</v>
      </c>
      <c r="AE41" s="335" t="str">
        <f>IF($A41="","",IFERROR('Deliverable Actuals'!$R41,""))</f>
        <v>Dormant since 2025-09-03</v>
      </c>
      <c r="AG41"/>
      <c r="AH41"/>
      <c r="AI41"/>
      <c r="AJ41"/>
      <c r="AK41"/>
      <c r="AL41"/>
      <c r="AM41"/>
      <c r="AN41"/>
      <c r="AO41"/>
      <c r="AP41"/>
      <c r="AQ41"/>
      <c r="AR41"/>
    </row>
    <row r="42" spans="1:31" x14ac:dyDescent="0.3">
      <c r="A42" s="223"/>
      <c r="B42" s="224" t="str">
        <f>IF($A42="","",IFERROR(INDEX(Inputs!$B$6:$B$80,MATCH($A42,Inputs!$A$6:$A$80,0)),"not in register"))</f>
        <v>JCDC Detailed Masterplan &amp; Engineering - PHASE 2 - Infrastructure</v>
      </c>
      <c r="C42" s="223"/>
      <c r="D42" s="223"/>
      <c r="E42" s="225"/>
      <c r="F42" s="226"/>
      <c r="G42" s="227" t="str">
        <f>IF(OR($D42="",$F42=""),"",IFERROR(INDEX('Rules of Credit'!$C$5:$C$38,MATCH($D42&amp;"|"&amp;$F42,'Rules of Credit'!$F$5:$F$38,0)),"invalid step"))</f>
        <v>Client acceptance</v>
      </c>
      <c r="H42" s="228">
        <f>IF(OR($D42="",$F42=""),"",IFERROR(INDEX('Rules of Credit'!$D$5:$D$38,MATCH($D42&amp;"|"&amp;$F42,'Rules of Credit'!$F$5:$F$38,0)),""))</f>
        <v>1</v>
      </c>
      <c r="I42" s="229">
        <f t="shared" si="4"/>
        <v>1</v>
      </c>
      <c r="J42" s="242"/>
      <c r="K42" s="243"/>
      <c r="L42" s="243"/>
      <c r="M42" s="243"/>
      <c r="N42" s="244" t="str">
        <f t="shared" si="5"/>
        <v>OK</v>
      </c>
      <c r="O42" s="221"/>
      <c r="P42" s="233">
        <f>IF($D42="",0,IFERROR(INDEX('Project Types'!$E$5:$E$13,MATCH($D42,'Project Types'!$A$5:$A$13,0)),1))</f>
        <v>1.1000000000000001</v>
      </c>
      <c r="Q42" s="227" t="str">
        <f>IF(Inputs!$A43="","",Inputs!$A43)</f>
        <v>AL25148-0100D</v>
      </c>
      <c r="R42" s="230">
        <f t="shared" si="8"/>
        <v>1</v>
      </c>
      <c r="S42" s="231">
        <f t="shared" si="9"/>
        <v>1</v>
      </c>
      <c r="T42" s="230" t="str">
        <f t="shared" si="7"/>
        <v>OK</v>
      </c>
      <c r="U42" s="229">
        <f t="shared" si="10"/>
        <v>0</v>
      </c>
      <c r="V42" s="233" cm="1">
        <f t="array" ref="V42">IF($Q42="","",IF($S42=0,1,SUMPRODUCT(($A$5:$A$204=$Q42)*$E$5:$E$204*$P$5:$P$204)/$S42))</f>
        <v>1.1000000000000001</v>
      </c>
      <c r="W42" s="246" cm="1">
        <f t="array" ref="W42">IF($Q42="","",IF(SUMIF($A$5:$A$204,$Q42,$I$5:$I$204)&gt;0,SUMPRODUCT(IFERROR(($A$5:$A$204=$Q42)*$I$5:$I$204*K$5:K$204,0))/SUMIF($A$5:$A$204,$Q42,$I$5:$I$204),IF($S42&gt;0,SUMPRODUCT(IFERROR(($A$5:$A$204=$Q42)*$E$5:$E$204*K$5:K$204,0))/$S42,"")))</f>
        <v>0.6</v>
      </c>
      <c r="X42" s="246" cm="1">
        <f t="array" ref="X42">IF($Q42="","",IF(SUMIF($A$5:$A$204,$Q42,$I$5:$I$204)&gt;0,SUMPRODUCT(IFERROR(($A$5:$A$204=$Q42)*$I$5:$I$204*L$5:L$204,0))/SUMIF($A$5:$A$204,$Q42,$I$5:$I$204),IF($S42&gt;0,SUMPRODUCT(IFERROR(($A$5:$A$204=$Q42)*$E$5:$E$204*L$5:L$204,0))/$S42,"")))</f>
        <v>0</v>
      </c>
      <c r="Y42" s="246" cm="1">
        <f t="array" ref="Y42">IF($Q42="","",IF(SUMIF($A$5:$A$204,$Q42,$I$5:$I$204)&gt;0,SUMPRODUCT(IFERROR(($A$5:$A$204=$Q42)*$I$5:$I$204*M$5:M$204,0))/SUMIF($A$5:$A$204,$Q42,$I$5:$I$204),IF($S42&gt;0,SUMPRODUCT(IFERROR(($A$5:$A$204=$Q42)*$E$5:$E$204*M$5:M$204,0))/$S42,"")))</f>
        <v>0.4</v>
      </c>
      <c r="Z42" s="247" t="str">
        <f t="shared" si="6"/>
        <v>scope weight</v>
      </c>
      <c r="AA42" s="388">
        <f>IF($A42="","",IFERROR('Deliverable Actuals'!$K42,""))</f>
        <v>45425</v>
      </c>
      <c r="AB42" s="388">
        <f>IF($A42="","",IFERROR('Deliverable Actuals'!$L42,""))</f>
        <v>45967</v>
      </c>
      <c r="AC42" s="389">
        <f>IF($A42="","",IFERROR('Deliverable Actuals'!$I42,""))</f>
        <v>946.5</v>
      </c>
      <c r="AD42" s="350">
        <f>IF($A42="","",IFERROR('Deliverable Actuals'!$P42,""))</f>
        <v>294</v>
      </c>
      <c r="AE42" s="335" t="str">
        <f>IF($A42="","",IFERROR('Deliverable Actuals'!$R42,""))</f>
        <v>Dormant since 2025-11-06</v>
      </c>
      <c r="AG42"/>
      <c r="AH42"/>
      <c r="AI42"/>
      <c r="AJ42"/>
      <c r="AK42"/>
      <c r="AL42"/>
      <c r="AM42"/>
      <c r="AN42"/>
      <c r="AO42"/>
      <c r="AP42"/>
      <c r="AQ42"/>
      <c r="AR42"/>
    </row>
    <row r="43" spans="1:31" x14ac:dyDescent="0.3">
      <c r="A43" s="223"/>
      <c r="B43" s="224" t="str">
        <f>IF($A43="","",IFERROR(INDEX(Inputs!$B$6:$B$80,MATCH($A43,Inputs!$A$6:$A$80,0)),"not in register"))</f>
        <v>Construction of the Offshore Import and Export System of Cabinda Refinery</v>
      </c>
      <c r="C43" s="223"/>
      <c r="D43" s="223"/>
      <c r="E43" s="225"/>
      <c r="F43" s="226"/>
      <c r="G43" s="227" t="str">
        <f>IF(OR($D43="",$F43=""),"",IFERROR(INDEX('Rules of Credit'!$C$5:$C$38,MATCH($D43&amp;"|"&amp;$F43,'Rules of Credit'!$F$5:$F$38,0)),"invalid step"))</f>
        <v>Comment closeout confirmed</v>
      </c>
      <c r="H43" s="228">
        <f>IF(OR($D43="",$F43=""),"",IFERROR(INDEX('Rules of Credit'!$D$5:$D$38,MATCH($D43&amp;"|"&amp;$F43,'Rules of Credit'!$F$5:$F$38,0)),""))</f>
        <v>1</v>
      </c>
      <c r="I43" s="229">
        <f t="shared" si="4"/>
        <v>1</v>
      </c>
      <c r="J43" s="242"/>
      <c r="K43" s="243"/>
      <c r="L43" s="243"/>
      <c r="M43" s="243"/>
      <c r="N43" s="244" t="str">
        <f t="shared" si="5"/>
        <v>OK</v>
      </c>
      <c r="O43" s="221"/>
      <c r="P43" s="233">
        <f>IF($D43="",0,IFERROR(INDEX('Project Types'!$E$5:$E$13,MATCH($D43,'Project Types'!$A$5:$A$13,0)),1))</f>
        <v>0.75</v>
      </c>
      <c r="Q43" s="227" t="str">
        <f>IF(Inputs!$A44="","",Inputs!$A44)</f>
        <v>Chargable Proposals 26</v>
      </c>
      <c r="R43" s="230">
        <f t="shared" si="8"/>
        <v>1</v>
      </c>
      <c r="S43" s="231">
        <f t="shared" si="9"/>
        <v>1</v>
      </c>
      <c r="T43" s="230" t="str">
        <f t="shared" si="7"/>
        <v>OK</v>
      </c>
      <c r="U43" s="229">
        <f t="shared" si="10"/>
        <v>0.5</v>
      </c>
      <c r="V43" s="233" cm="1">
        <f t="array" ref="V43">IF($Q43="","",IF($S43=0,1,SUMPRODUCT(($A$5:$A$204=$Q43)*$E$5:$E$204*$P$5:$P$204)/$S43))</f>
        <v>0.7</v>
      </c>
      <c r="W43" s="246" cm="1">
        <f t="array" ref="W43">IF($Q43="","",IF(SUMIF($A$5:$A$204,$Q43,$I$5:$I$204)&gt;0,SUMPRODUCT(IFERROR(($A$5:$A$204=$Q43)*$I$5:$I$204*K$5:K$204,0))/SUMIF($A$5:$A$204,$Q43,$I$5:$I$204),IF($S43&gt;0,SUMPRODUCT(IFERROR(($A$5:$A$204=$Q43)*$E$5:$E$204*K$5:K$204,0))/$S43,"")))</f>
        <v>0.6</v>
      </c>
      <c r="X43" s="246" cm="1">
        <f t="array" ref="X43">IF($Q43="","",IF(SUMIF($A$5:$A$204,$Q43,$I$5:$I$204)&gt;0,SUMPRODUCT(IFERROR(($A$5:$A$204=$Q43)*$I$5:$I$204*L$5:L$204,0))/SUMIF($A$5:$A$204,$Q43,$I$5:$I$204),IF($S43&gt;0,SUMPRODUCT(IFERROR(($A$5:$A$204=$Q43)*$E$5:$E$204*L$5:L$204,0))/$S43,"")))</f>
        <v>0</v>
      </c>
      <c r="Y43" s="246" cm="1">
        <f t="array" ref="Y43">IF($Q43="","",IF(SUMIF($A$5:$A$204,$Q43,$I$5:$I$204)&gt;0,SUMPRODUCT(IFERROR(($A$5:$A$204=$Q43)*$I$5:$I$204*M$5:M$204,0))/SUMIF($A$5:$A$204,$Q43,$I$5:$I$204),IF($S43&gt;0,SUMPRODUCT(IFERROR(($A$5:$A$204=$Q43)*$E$5:$E$204*M$5:M$204,0))/$S43,"")))</f>
        <v>0.4</v>
      </c>
      <c r="Z43" s="247" t="str">
        <f t="shared" si="6"/>
        <v>earned progress</v>
      </c>
      <c r="AA43" s="388">
        <f>IF($A43="","",IFERROR('Deliverable Actuals'!$K43,""))</f>
        <v>45585</v>
      </c>
      <c r="AB43" s="388">
        <f>IF($A43="","",IFERROR('Deliverable Actuals'!$L43,""))</f>
        <v>46112</v>
      </c>
      <c r="AC43" s="389">
        <f>IF($A43="","",IFERROR('Deliverable Actuals'!$I43,""))</f>
        <v>547.75</v>
      </c>
      <c r="AD43" s="350">
        <f>IF($A43="","",IFERROR('Deliverable Actuals'!$P43,""))</f>
        <v>301</v>
      </c>
      <c r="AE43" s="335" t="str">
        <f>IF($A43="","",IFERROR('Deliverable Actuals'!$R43,""))</f>
        <v>Dormant since 2026-03-31</v>
      </c>
      <c r="AG43"/>
      <c r="AH43"/>
      <c r="AI43"/>
      <c r="AJ43"/>
      <c r="AK43"/>
      <c r="AL43"/>
      <c r="AM43"/>
      <c r="AN43"/>
      <c r="AO43"/>
      <c r="AP43"/>
      <c r="AQ43"/>
      <c r="AR43"/>
    </row>
    <row r="44" spans="1:31" x14ac:dyDescent="0.3">
      <c r="A44" s="223"/>
      <c r="B44" s="224" t="str">
        <f>IF($A44="","",IFERROR(INDEX(Inputs!$B$6:$B$80,MATCH($A44,Inputs!$A$6:$A$80,0)),"not in register"))</f>
        <v>Abu Dhabi Ports - Development of Unicargas Port in Luanda</v>
      </c>
      <c r="C44" s="223"/>
      <c r="D44" s="223"/>
      <c r="E44" s="225"/>
      <c r="F44" s="226"/>
      <c r="G44" s="227" t="str">
        <f>IF(OR($D44="",$F44=""),"",IFERROR(INDEX('Rules of Credit'!$C$5:$C$38,MATCH($D44&amp;"|"&amp;$F44,'Rules of Credit'!$F$5:$F$38,0)),"invalid step"))</f>
        <v>Client acceptance</v>
      </c>
      <c r="H44" s="228">
        <f>IF(OR($D44="",$F44=""),"",IFERROR(INDEX('Rules of Credit'!$D$5:$D$38,MATCH($D44&amp;"|"&amp;$F44,'Rules of Credit'!$F$5:$F$38,0)),""))</f>
        <v>1</v>
      </c>
      <c r="I44" s="229">
        <f t="shared" si="4"/>
        <v>1</v>
      </c>
      <c r="J44" s="242"/>
      <c r="K44" s="243"/>
      <c r="L44" s="243"/>
      <c r="M44" s="243"/>
      <c r="N44" s="244" t="str">
        <f t="shared" si="5"/>
        <v>OK</v>
      </c>
      <c r="O44" s="221"/>
      <c r="P44" s="233">
        <f>IF($D44="",0,IFERROR(INDEX('Project Types'!$E$5:$E$13,MATCH($D44,'Project Types'!$A$5:$A$13,0)),1))</f>
        <v>1.1000000000000001</v>
      </c>
      <c r="Q44" s="227" t="str">
        <f>IF(Inputs!$A45="","",Inputs!$A45)</f>
        <v/>
      </c>
      <c r="R44" s="230" t="str">
        <f t="shared" si="8"/>
        <v/>
      </c>
      <c r="S44" s="231" t="str">
        <f t="shared" si="9"/>
        <v/>
      </c>
      <c r="T44" s="230" t="str">
        <f t="shared" si="7"/>
        <v/>
      </c>
      <c r="U44" s="229" t="str">
        <f t="shared" si="10"/>
        <v/>
      </c>
      <c r="V44" s="233" t="str" cm="1">
        <f t="array" ref="V44">IF($Q44="","",IF($S44=0,1,SUMPRODUCT(($A$5:$A$204=$Q44)*$E$5:$E$204*$P$5:$P$204)/$S44))</f>
        <v/>
      </c>
      <c r="W44" s="246" t="str" cm="1">
        <f t="array" ref="W44">IF($Q44="","",IF(SUMIF($A$5:$A$204,$Q44,$I$5:$I$204)&gt;0,SUMPRODUCT(IFERROR(($A$5:$A$204=$Q44)*$I$5:$I$204*K$5:K$204,0))/SUMIF($A$5:$A$204,$Q44,$I$5:$I$204),IF($S44&gt;0,SUMPRODUCT(IFERROR(($A$5:$A$204=$Q44)*$E$5:$E$204*K$5:K$204,0))/$S44,"")))</f>
        <v/>
      </c>
      <c r="X44" s="246" t="str" cm="1">
        <f t="array" ref="X44">IF($Q44="","",IF(SUMIF($A$5:$A$204,$Q44,$I$5:$I$204)&gt;0,SUMPRODUCT(IFERROR(($A$5:$A$204=$Q44)*$I$5:$I$204*L$5:L$204,0))/SUMIF($A$5:$A$204,$Q44,$I$5:$I$204),IF($S44&gt;0,SUMPRODUCT(IFERROR(($A$5:$A$204=$Q44)*$E$5:$E$204*L$5:L$204,0))/$S44,"")))</f>
        <v/>
      </c>
      <c r="Y44" s="246" t="str" cm="1">
        <f t="array" ref="Y44">IF($Q44="","",IF(SUMIF($A$5:$A$204,$Q44,$I$5:$I$204)&gt;0,SUMPRODUCT(IFERROR(($A$5:$A$204=$Q44)*$I$5:$I$204*M$5:M$204,0))/SUMIF($A$5:$A$204,$Q44,$I$5:$I$204),IF($S44&gt;0,SUMPRODUCT(IFERROR(($A$5:$A$204=$Q44)*$E$5:$E$204*M$5:M$204,0))/$S44,"")))</f>
        <v/>
      </c>
      <c r="Z44" s="247" t="str">
        <f t="shared" si="6"/>
        <v/>
      </c>
      <c r="AA44" s="388">
        <f>IF($A44="","",IFERROR('Deliverable Actuals'!$K44,""))</f>
        <v>45250</v>
      </c>
      <c r="AB44" s="388">
        <f>IF($A44="","",IFERROR('Deliverable Actuals'!$L44,""))</f>
        <v>45466</v>
      </c>
      <c r="AC44" s="389">
        <f>IF($A44="","",IFERROR('Deliverable Actuals'!$I44,""))</f>
        <v>403.75</v>
      </c>
      <c r="AD44" s="350">
        <f>IF($A44="","",IFERROR('Deliverable Actuals'!$P44,""))</f>
        <v>102</v>
      </c>
      <c r="AE44" s="335" t="str">
        <f>IF($A44="","",IFERROR('Deliverable Actuals'!$R44,""))</f>
        <v>Dormant since 2024-06-23</v>
      </c>
      <c r="AG44"/>
      <c r="AH44"/>
      <c r="AI44"/>
      <c r="AJ44"/>
      <c r="AK44"/>
      <c r="AL44"/>
      <c r="AM44"/>
      <c r="AN44"/>
      <c r="AO44"/>
      <c r="AP44"/>
      <c r="AQ44"/>
      <c r="AR44"/>
    </row>
    <row r="45" spans="1:31" x14ac:dyDescent="0.3">
      <c r="A45" s="223"/>
      <c r="B45" s="224" t="str">
        <f>IF($A45="","",IFERROR(INDEX(Inputs!$B$6:$B$80,MATCH($A45,Inputs!$A$6:$A$80,0)),"not in register"))</f>
        <v>JCD Detailed Master Planning and Engineering – Infrastructure</v>
      </c>
      <c r="C45" s="223"/>
      <c r="D45" s="223"/>
      <c r="E45" s="225"/>
      <c r="F45" s="226"/>
      <c r="G45" s="227" t="str">
        <f>IF(OR($D45="",$F45=""),"",IFERROR(INDEX('Rules of Credit'!$C$5:$C$38,MATCH($D45&amp;"|"&amp;$F45,'Rules of Credit'!$F$5:$F$38,0)),"invalid step"))</f>
        <v>Client acceptance</v>
      </c>
      <c r="H45" s="228">
        <f>IF(OR($D45="",$F45=""),"",IFERROR(INDEX('Rules of Credit'!$D$5:$D$38,MATCH($D45&amp;"|"&amp;$F45,'Rules of Credit'!$F$5:$F$38,0)),""))</f>
        <v>1</v>
      </c>
      <c r="I45" s="229">
        <f t="shared" si="4"/>
        <v>1</v>
      </c>
      <c r="J45" s="242"/>
      <c r="K45" s="243"/>
      <c r="L45" s="243"/>
      <c r="M45" s="243"/>
      <c r="N45" s="244" t="str">
        <f t="shared" si="5"/>
        <v>OK</v>
      </c>
      <c r="O45" s="221"/>
      <c r="P45" s="233">
        <f>IF($D45="",0,IFERROR(INDEX('Project Types'!$E$5:$E$13,MATCH($D45,'Project Types'!$A$5:$A$13,0)),1))</f>
        <v>1.1000000000000001</v>
      </c>
      <c r="Q45" s="227" t="str">
        <f>IF(Inputs!$A46="","",Inputs!$A46)</f>
        <v>Proposals 26</v>
      </c>
      <c r="R45" s="230">
        <f t="shared" si="8"/>
        <v>1</v>
      </c>
      <c r="S45" s="231">
        <f t="shared" si="9"/>
        <v>1</v>
      </c>
      <c r="T45" s="230" t="str">
        <f t="shared" si="7"/>
        <v>OK</v>
      </c>
      <c r="U45" s="229">
        <f t="shared" si="10"/>
        <v>0.5</v>
      </c>
      <c r="V45" s="233" cm="1">
        <f t="array" ref="V45">IF($Q45="","",IF($S45=0,1,SUMPRODUCT(($A$5:$A$204=$Q45)*$E$5:$E$204*$P$5:$P$204)/$S45))</f>
        <v>0.7</v>
      </c>
      <c r="W45" s="246" cm="1">
        <f t="array" ref="W45">IF($Q45="","",IF(SUMIF($A$5:$A$204,$Q45,$I$5:$I$204)&gt;0,SUMPRODUCT(IFERROR(($A$5:$A$204=$Q45)*$I$5:$I$204*K$5:K$204,0))/SUMIF($A$5:$A$204,$Q45,$I$5:$I$204),IF($S45&gt;0,SUMPRODUCT(IFERROR(($A$5:$A$204=$Q45)*$E$5:$E$204*K$5:K$204,0))/$S45,"")))</f>
        <v>1</v>
      </c>
      <c r="X45" s="246" cm="1">
        <f t="array" ref="X45">IF($Q45="","",IF(SUMIF($A$5:$A$204,$Q45,$I$5:$I$204)&gt;0,SUMPRODUCT(IFERROR(($A$5:$A$204=$Q45)*$I$5:$I$204*L$5:L$204,0))/SUMIF($A$5:$A$204,$Q45,$I$5:$I$204),IF($S45&gt;0,SUMPRODUCT(IFERROR(($A$5:$A$204=$Q45)*$E$5:$E$204*L$5:L$204,0))/$S45,"")))</f>
        <v>0</v>
      </c>
      <c r="Y45" s="246" cm="1">
        <f t="array" ref="Y45">IF($Q45="","",IF(SUMIF($A$5:$A$204,$Q45,$I$5:$I$204)&gt;0,SUMPRODUCT(IFERROR(($A$5:$A$204=$Q45)*$I$5:$I$204*M$5:M$204,0))/SUMIF($A$5:$A$204,$Q45,$I$5:$I$204),IF($S45&gt;0,SUMPRODUCT(IFERROR(($A$5:$A$204=$Q45)*$E$5:$E$204*M$5:M$204,0))/$S45,"")))</f>
        <v>0</v>
      </c>
      <c r="Z45" s="247" t="str">
        <f t="shared" si="6"/>
        <v>earned progress</v>
      </c>
      <c r="AA45" s="388">
        <f>IF($A45="","",IFERROR('Deliverable Actuals'!$K45,""))</f>
        <v>45279</v>
      </c>
      <c r="AB45" s="388">
        <f>IF($A45="","",IFERROR('Deliverable Actuals'!$L45,""))</f>
        <v>45776</v>
      </c>
      <c r="AC45" s="389">
        <f>IF($A45="","",IFERROR('Deliverable Actuals'!$I45,""))</f>
        <v>7.5</v>
      </c>
      <c r="AD45" s="350">
        <f>IF($A45="","",IFERROR('Deliverable Actuals'!$P45,""))</f>
        <v>349</v>
      </c>
      <c r="AE45" s="335" t="str">
        <f>IF($A45="","",IFERROR('Deliverable Actuals'!$R45,""))</f>
        <v>Dormant since 2025-04-29</v>
      </c>
      <c r="AG45"/>
      <c r="AH45"/>
      <c r="AI45"/>
      <c r="AJ45"/>
      <c r="AK45"/>
      <c r="AL45"/>
      <c r="AM45"/>
      <c r="AN45"/>
      <c r="AO45"/>
      <c r="AP45"/>
      <c r="AQ45"/>
      <c r="AR45"/>
    </row>
    <row r="46" spans="1:31" x14ac:dyDescent="0.3">
      <c r="A46" s="223"/>
      <c r="B46" s="224" t="str">
        <f>IF($A46="","",IFERROR(INDEX(Inputs!$B$6:$B$80,MATCH($A46,Inputs!$A$6:$A$80,0)),"not in register"))</f>
        <v>Proposals of 2025</v>
      </c>
      <c r="C46" s="223"/>
      <c r="D46" s="223"/>
      <c r="E46" s="225"/>
      <c r="F46" s="226"/>
      <c r="G46" s="227" t="str">
        <f>IF(OR($D46="",$F46=""),"",IFERROR(INDEX('Rules of Credit'!$C$5:$C$38,MATCH($D46&amp;"|"&amp;$F46,'Rules of Credit'!$F$5:$F$38,0)),"invalid step"))</f>
        <v>Proposal submitted</v>
      </c>
      <c r="H46" s="228">
        <f>IF(OR($D46="",$F46=""),"",IFERROR(INDEX('Rules of Credit'!$D$5:$D$38,MATCH($D46&amp;"|"&amp;$F46,'Rules of Credit'!$F$5:$F$38,0)),""))</f>
        <v>1</v>
      </c>
      <c r="I46" s="229">
        <f t="shared" si="4"/>
        <v>1</v>
      </c>
      <c r="J46" s="242"/>
      <c r="K46" s="243"/>
      <c r="L46" s="243"/>
      <c r="M46" s="243"/>
      <c r="N46" s="244" t="str">
        <f t="shared" si="5"/>
        <v>OK</v>
      </c>
      <c r="O46" s="221"/>
      <c r="P46" s="233">
        <f>IF($D46="",0,IFERROR(INDEX('Project Types'!$E$5:$E$13,MATCH($D46,'Project Types'!$A$5:$A$13,0)),1))</f>
        <v>0.7</v>
      </c>
      <c r="Q46" s="227" t="str">
        <f>IF(Inputs!$A47="","",Inputs!$A47)</f>
        <v/>
      </c>
      <c r="R46" s="230" t="str">
        <f t="shared" si="8"/>
        <v/>
      </c>
      <c r="S46" s="231" t="str">
        <f t="shared" si="9"/>
        <v/>
      </c>
      <c r="T46" s="230" t="str">
        <f t="shared" si="7"/>
        <v/>
      </c>
      <c r="U46" s="229" t="str">
        <f t="shared" si="10"/>
        <v/>
      </c>
      <c r="V46" s="233" t="str" cm="1">
        <f t="array" ref="V46">IF($Q46="","",IF($S46=0,1,SUMPRODUCT(($A$5:$A$204=$Q46)*$E$5:$E$204*$P$5:$P$204)/$S46))</f>
        <v/>
      </c>
      <c r="W46" s="246" t="str" cm="1">
        <f t="array" ref="W46">IF($Q46="","",IF(SUMIF($A$5:$A$204,$Q46,$I$5:$I$204)&gt;0,SUMPRODUCT(IFERROR(($A$5:$A$204=$Q46)*$I$5:$I$204*K$5:K$204,0))/SUMIF($A$5:$A$204,$Q46,$I$5:$I$204),IF($S46&gt;0,SUMPRODUCT(IFERROR(($A$5:$A$204=$Q46)*$E$5:$E$204*K$5:K$204,0))/$S46,"")))</f>
        <v/>
      </c>
      <c r="X46" s="246" t="str" cm="1">
        <f t="array" ref="X46">IF($Q46="","",IF(SUMIF($A$5:$A$204,$Q46,$I$5:$I$204)&gt;0,SUMPRODUCT(IFERROR(($A$5:$A$204=$Q46)*$I$5:$I$204*L$5:L$204,0))/SUMIF($A$5:$A$204,$Q46,$I$5:$I$204),IF($S46&gt;0,SUMPRODUCT(IFERROR(($A$5:$A$204=$Q46)*$E$5:$E$204*L$5:L$204,0))/$S46,"")))</f>
        <v/>
      </c>
      <c r="Y46" s="246" t="str" cm="1">
        <f t="array" ref="Y46">IF($Q46="","",IF(SUMIF($A$5:$A$204,$Q46,$I$5:$I$204)&gt;0,SUMPRODUCT(IFERROR(($A$5:$A$204=$Q46)*$I$5:$I$204*M$5:M$204,0))/SUMIF($A$5:$A$204,$Q46,$I$5:$I$204),IF($S46&gt;0,SUMPRODUCT(IFERROR(($A$5:$A$204=$Q46)*$E$5:$E$204*M$5:M$204,0))/$S46,"")))</f>
        <v/>
      </c>
      <c r="Z46" s="247" t="str">
        <f t="shared" si="6"/>
        <v/>
      </c>
      <c r="AA46" s="388">
        <f>IF($A46="","",IFERROR('Deliverable Actuals'!$K46,""))</f>
        <v>45707</v>
      </c>
      <c r="AB46" s="388">
        <f>IF($A46="","",IFERROR('Deliverable Actuals'!$L46,""))</f>
        <v>46002</v>
      </c>
      <c r="AC46" s="389">
        <f>IF($A46="","",IFERROR('Deliverable Actuals'!$I46,""))</f>
        <v>385.5</v>
      </c>
      <c r="AD46" s="350">
        <f>IF($A46="","",IFERROR('Deliverable Actuals'!$P46,""))</f>
        <v>212</v>
      </c>
      <c r="AE46" s="335" t="str">
        <f>IF($A46="","",IFERROR('Deliverable Actuals'!$R46,""))</f>
        <v>Dormant since 2025-12-11</v>
      </c>
      <c r="AG46"/>
      <c r="AH46"/>
      <c r="AI46"/>
      <c r="AJ46"/>
      <c r="AK46"/>
      <c r="AL46"/>
      <c r="AM46"/>
      <c r="AN46"/>
      <c r="AO46"/>
      <c r="AP46"/>
      <c r="AQ46"/>
      <c r="AR46"/>
    </row>
    <row r="47" spans="1:31" x14ac:dyDescent="0.3">
      <c r="A47" s="223"/>
      <c r="B47" s="224" t="str">
        <f>IF($A47="","",IFERROR(INDEX(Inputs!$B$6:$B$80,MATCH($A47,Inputs!$A$6:$A$80,0)),"not in register"))</f>
        <v>Chargable Proposals of 2025</v>
      </c>
      <c r="C47" s="223"/>
      <c r="D47" s="223"/>
      <c r="E47" s="225"/>
      <c r="F47" s="226"/>
      <c r="G47" s="227" t="str">
        <f>IF(OR($D47="",$F47=""),"",IFERROR(INDEX('Rules of Credit'!$C$5:$C$38,MATCH($D47&amp;"|"&amp;$F47,'Rules of Credit'!$F$5:$F$38,0)),"invalid step"))</f>
        <v>Proposal submitted</v>
      </c>
      <c r="H47" s="228">
        <f>IF(OR($D47="",$F47=""),"",IFERROR(INDEX('Rules of Credit'!$D$5:$D$38,MATCH($D47&amp;"|"&amp;$F47,'Rules of Credit'!$F$5:$F$38,0)),""))</f>
        <v>1</v>
      </c>
      <c r="I47" s="229">
        <f t="shared" si="4"/>
        <v>1</v>
      </c>
      <c r="J47" s="242"/>
      <c r="K47" s="243"/>
      <c r="L47" s="243"/>
      <c r="M47" s="243"/>
      <c r="N47" s="244" t="str">
        <f t="shared" si="5"/>
        <v>OK</v>
      </c>
      <c r="O47" s="221"/>
      <c r="P47" s="233">
        <f>IF($D47="",0,IFERROR(INDEX('Project Types'!$E$5:$E$13,MATCH($D47,'Project Types'!$A$5:$A$13,0)),1))</f>
        <v>0.7</v>
      </c>
      <c r="Q47" s="227" t="str">
        <f>IF(Inputs!$A48="","",Inputs!$A48)</f>
        <v/>
      </c>
      <c r="R47" s="230" t="str">
        <f t="shared" si="8"/>
        <v/>
      </c>
      <c r="S47" s="231" t="str">
        <f t="shared" si="9"/>
        <v/>
      </c>
      <c r="T47" s="230" t="str">
        <f t="shared" si="7"/>
        <v/>
      </c>
      <c r="U47" s="229" t="str">
        <f t="shared" si="10"/>
        <v/>
      </c>
      <c r="V47" s="233" t="str" cm="1">
        <f t="array" ref="V47">IF($Q47="","",IF($S47=0,1,SUMPRODUCT(($A$5:$A$204=$Q47)*$E$5:$E$204*$P$5:$P$204)/$S47))</f>
        <v/>
      </c>
      <c r="W47" s="246" t="str" cm="1">
        <f t="array" ref="W47">IF($Q47="","",IF(SUMIF($A$5:$A$204,$Q47,$I$5:$I$204)&gt;0,SUMPRODUCT(IFERROR(($A$5:$A$204=$Q47)*$I$5:$I$204*K$5:K$204,0))/SUMIF($A$5:$A$204,$Q47,$I$5:$I$204),IF($S47&gt;0,SUMPRODUCT(IFERROR(($A$5:$A$204=$Q47)*$E$5:$E$204*K$5:K$204,0))/$S47,"")))</f>
        <v/>
      </c>
      <c r="X47" s="246" t="str" cm="1">
        <f t="array" ref="X47">IF($Q47="","",IF(SUMIF($A$5:$A$204,$Q47,$I$5:$I$204)&gt;0,SUMPRODUCT(IFERROR(($A$5:$A$204=$Q47)*$I$5:$I$204*L$5:L$204,0))/SUMIF($A$5:$A$204,$Q47,$I$5:$I$204),IF($S47&gt;0,SUMPRODUCT(IFERROR(($A$5:$A$204=$Q47)*$E$5:$E$204*L$5:L$204,0))/$S47,"")))</f>
        <v/>
      </c>
      <c r="Y47" s="246" t="str" cm="1">
        <f t="array" ref="Y47">IF($Q47="","",IF(SUMIF($A$5:$A$204,$Q47,$I$5:$I$204)&gt;0,SUMPRODUCT(IFERROR(($A$5:$A$204=$Q47)*$I$5:$I$204*M$5:M$204,0))/SUMIF($A$5:$A$204,$Q47,$I$5:$I$204),IF($S47&gt;0,SUMPRODUCT(IFERROR(($A$5:$A$204=$Q47)*$E$5:$E$204*M$5:M$204,0))/$S47,"")))</f>
        <v/>
      </c>
      <c r="Z47" s="247" t="str">
        <f t="shared" si="6"/>
        <v/>
      </c>
      <c r="AA47" s="388">
        <f>IF($A47="","",IFERROR('Deliverable Actuals'!$K47,""))</f>
        <v>45659</v>
      </c>
      <c r="AB47" s="388">
        <f>IF($A47="","",IFERROR('Deliverable Actuals'!$L47,""))</f>
        <v>45908</v>
      </c>
      <c r="AC47" s="389">
        <f>IF($A47="","",IFERROR('Deliverable Actuals'!$I47,""))</f>
        <v>729.5</v>
      </c>
      <c r="AD47" s="350">
        <f>IF($A47="","",IFERROR('Deliverable Actuals'!$P47,""))</f>
        <v>178</v>
      </c>
      <c r="AE47" s="335" t="str">
        <f>IF($A47="","",IFERROR('Deliverable Actuals'!$R47,""))</f>
        <v>Dormant since 2025-09-08</v>
      </c>
      <c r="AG47"/>
      <c r="AH47"/>
      <c r="AI47"/>
      <c r="AJ47"/>
      <c r="AK47"/>
      <c r="AL47"/>
      <c r="AM47"/>
      <c r="AN47"/>
      <c r="AO47"/>
      <c r="AP47"/>
      <c r="AQ47"/>
      <c r="AR47"/>
    </row>
    <row r="48" spans="1:31" x14ac:dyDescent="0.3">
      <c r="A48" s="223"/>
      <c r="B48" s="224" t="str">
        <f>IF($A48="","",IFERROR(INDEX(Inputs!$B$6:$B$80,MATCH($A48,Inputs!$A$6:$A$80,0)),"not in register"))</f>
        <v>Construction of the Oceanic Terminal of Barra do Dande (TOBD)</v>
      </c>
      <c r="C48" s="223"/>
      <c r="D48" s="223"/>
      <c r="E48" s="225"/>
      <c r="F48" s="226"/>
      <c r="G48" s="227" t="str">
        <f>IF(OR($D48="",$F48=""),"",IFERROR(INDEX('Rules of Credit'!$C$5:$C$38,MATCH($D48&amp;"|"&amp;$F48,'Rules of Credit'!$F$5:$F$38,0)),"invalid step"))</f>
        <v>Comment closeout confirmed</v>
      </c>
      <c r="H48" s="228">
        <f>IF(OR($D48="",$F48=""),"",IFERROR(INDEX('Rules of Credit'!$D$5:$D$38,MATCH($D48&amp;"|"&amp;$F48,'Rules of Credit'!$F$5:$F$38,0)),""))</f>
        <v>1</v>
      </c>
      <c r="I48" s="229">
        <f t="shared" si="4"/>
        <v>1</v>
      </c>
      <c r="J48" s="242"/>
      <c r="K48" s="243"/>
      <c r="L48" s="243"/>
      <c r="M48" s="243"/>
      <c r="N48" s="244" t="str">
        <f t="shared" si="5"/>
        <v>OK</v>
      </c>
      <c r="O48" s="221"/>
      <c r="P48" s="233">
        <f>IF($D48="",0,IFERROR(INDEX('Project Types'!$E$5:$E$13,MATCH($D48,'Project Types'!$A$5:$A$13,0)),1))</f>
        <v>0.75</v>
      </c>
      <c r="Q48" s="227" t="str">
        <f>IF(Inputs!$A49="","",Inputs!$A49)</f>
        <v/>
      </c>
      <c r="R48" s="230" t="str">
        <f t="shared" si="8"/>
        <v/>
      </c>
      <c r="S48" s="231" t="str">
        <f t="shared" si="9"/>
        <v/>
      </c>
      <c r="T48" s="230" t="str">
        <f t="shared" si="7"/>
        <v/>
      </c>
      <c r="U48" s="229" t="str">
        <f t="shared" si="10"/>
        <v/>
      </c>
      <c r="V48" s="233" t="str" cm="1">
        <f t="array" ref="V48">IF($Q48="","",IF($S48=0,1,SUMPRODUCT(($A$5:$A$204=$Q48)*$E$5:$E$204*$P$5:$P$204)/$S48))</f>
        <v/>
      </c>
      <c r="W48" s="246" t="str" cm="1">
        <f t="array" ref="W48">IF($Q48="","",IF(SUMIF($A$5:$A$204,$Q48,$I$5:$I$204)&gt;0,SUMPRODUCT(IFERROR(($A$5:$A$204=$Q48)*$I$5:$I$204*K$5:K$204,0))/SUMIF($A$5:$A$204,$Q48,$I$5:$I$204),IF($S48&gt;0,SUMPRODUCT(IFERROR(($A$5:$A$204=$Q48)*$E$5:$E$204*K$5:K$204,0))/$S48,"")))</f>
        <v/>
      </c>
      <c r="X48" s="246" t="str" cm="1">
        <f t="array" ref="X48">IF($Q48="","",IF(SUMIF($A$5:$A$204,$Q48,$I$5:$I$204)&gt;0,SUMPRODUCT(IFERROR(($A$5:$A$204=$Q48)*$I$5:$I$204*L$5:L$204,0))/SUMIF($A$5:$A$204,$Q48,$I$5:$I$204),IF($S48&gt;0,SUMPRODUCT(IFERROR(($A$5:$A$204=$Q48)*$E$5:$E$204*L$5:L$204,0))/$S48,"")))</f>
        <v/>
      </c>
      <c r="Y48" s="246" t="str" cm="1">
        <f t="array" ref="Y48">IF($Q48="","",IF(SUMIF($A$5:$A$204,$Q48,$I$5:$I$204)&gt;0,SUMPRODUCT(IFERROR(($A$5:$A$204=$Q48)*$I$5:$I$204*M$5:M$204,0))/SUMIF($A$5:$A$204,$Q48,$I$5:$I$204),IF($S48&gt;0,SUMPRODUCT(IFERROR(($A$5:$A$204=$Q48)*$E$5:$E$204*M$5:M$204,0))/$S48,"")))</f>
        <v/>
      </c>
      <c r="Z48" s="247" t="str">
        <f t="shared" si="6"/>
        <v/>
      </c>
      <c r="AA48" s="388">
        <f>IF($A48="","",IFERROR('Deliverable Actuals'!$K48,""))</f>
        <v>45426</v>
      </c>
      <c r="AB48" s="388">
        <f>IF($A48="","",IFERROR('Deliverable Actuals'!$L48,""))</f>
        <v>45564</v>
      </c>
      <c r="AC48" s="389">
        <f>IF($A48="","",IFERROR('Deliverable Actuals'!$I48,""))</f>
        <v>96</v>
      </c>
      <c r="AD48" s="350">
        <f>IF($A48="","",IFERROR('Deliverable Actuals'!$P48,""))</f>
        <v>81</v>
      </c>
      <c r="AE48" s="335" t="str">
        <f>IF($A48="","",IFERROR('Deliverable Actuals'!$R48,""))</f>
        <v>Dormant since 2024-09-29</v>
      </c>
      <c r="AG48"/>
      <c r="AH48"/>
      <c r="AI48"/>
      <c r="AJ48"/>
      <c r="AK48"/>
      <c r="AL48"/>
      <c r="AM48"/>
      <c r="AN48"/>
      <c r="AO48"/>
      <c r="AP48"/>
      <c r="AQ48"/>
      <c r="AR48"/>
    </row>
    <row r="49" spans="1:31" x14ac:dyDescent="0.3">
      <c r="A49" s="223"/>
      <c r="B49" s="224" t="str">
        <f>IF($A49="","",IFERROR(INDEX(Inputs!$B$6:$B$80,MATCH($A49,Inputs!$A$6:$A$80,0)),"not in register"))</f>
        <v>Consultancy Services For Front End Engineering Design (Feed) For The Proposed Brass Island Shipyard Located At Brass Lga Bayelsa State</v>
      </c>
      <c r="C49" s="223"/>
      <c r="D49" s="223"/>
      <c r="E49" s="225"/>
      <c r="F49" s="226"/>
      <c r="G49" s="227" t="str">
        <f>IF(OR($D49="",$F49=""),"",IFERROR(INDEX('Rules of Credit'!$C$5:$C$38,MATCH($D49&amp;"|"&amp;$F49,'Rules of Credit'!$F$5:$F$38,0)),"invalid step"))</f>
        <v>Client acceptance</v>
      </c>
      <c r="H49" s="228">
        <f>IF(OR($D49="",$F49=""),"",IFERROR(INDEX('Rules of Credit'!$D$5:$D$38,MATCH($D49&amp;"|"&amp;$F49,'Rules of Credit'!$F$5:$F$38,0)),""))</f>
        <v>1</v>
      </c>
      <c r="I49" s="229">
        <f t="shared" si="4"/>
        <v>1</v>
      </c>
      <c r="J49" s="242"/>
      <c r="K49" s="243"/>
      <c r="L49" s="243"/>
      <c r="M49" s="243"/>
      <c r="N49" s="244" t="str">
        <f t="shared" si="5"/>
        <v>OK</v>
      </c>
      <c r="O49" s="221"/>
      <c r="P49" s="233">
        <f>IF($D49="",0,IFERROR(INDEX('Project Types'!$E$5:$E$13,MATCH($D49,'Project Types'!$A$5:$A$13,0)),1))</f>
        <v>1.1000000000000001</v>
      </c>
      <c r="Q49" s="227" t="str">
        <f>IF(Inputs!$A50="","",Inputs!$A50)</f>
        <v/>
      </c>
      <c r="R49" s="230" t="str">
        <f t="shared" si="8"/>
        <v/>
      </c>
      <c r="S49" s="231" t="str">
        <f t="shared" si="9"/>
        <v/>
      </c>
      <c r="T49" s="230" t="str">
        <f t="shared" si="7"/>
        <v/>
      </c>
      <c r="U49" s="229" t="str">
        <f t="shared" si="10"/>
        <v/>
      </c>
      <c r="V49" s="233" t="str" cm="1">
        <f t="array" ref="V49">IF($Q49="","",IF($S49=0,1,SUMPRODUCT(($A$5:$A$204=$Q49)*$E$5:$E$204*$P$5:$P$204)/$S49))</f>
        <v/>
      </c>
      <c r="W49" s="246" t="str" cm="1">
        <f t="array" ref="W49">IF($Q49="","",IF(SUMIF($A$5:$A$204,$Q49,$I$5:$I$204)&gt;0,SUMPRODUCT(IFERROR(($A$5:$A$204=$Q49)*$I$5:$I$204*K$5:K$204,0))/SUMIF($A$5:$A$204,$Q49,$I$5:$I$204),IF($S49&gt;0,SUMPRODUCT(IFERROR(($A$5:$A$204=$Q49)*$E$5:$E$204*K$5:K$204,0))/$S49,"")))</f>
        <v/>
      </c>
      <c r="X49" s="246" t="str" cm="1">
        <f t="array" ref="X49">IF($Q49="","",IF(SUMIF($A$5:$A$204,$Q49,$I$5:$I$204)&gt;0,SUMPRODUCT(IFERROR(($A$5:$A$204=$Q49)*$I$5:$I$204*L$5:L$204,0))/SUMIF($A$5:$A$204,$Q49,$I$5:$I$204),IF($S49&gt;0,SUMPRODUCT(IFERROR(($A$5:$A$204=$Q49)*$E$5:$E$204*L$5:L$204,0))/$S49,"")))</f>
        <v/>
      </c>
      <c r="Y49" s="246" t="str" cm="1">
        <f t="array" ref="Y49">IF($Q49="","",IF(SUMIF($A$5:$A$204,$Q49,$I$5:$I$204)&gt;0,SUMPRODUCT(IFERROR(($A$5:$A$204=$Q49)*$I$5:$I$204*M$5:M$204,0))/SUMIF($A$5:$A$204,$Q49,$I$5:$I$204),IF($S49&gt;0,SUMPRODUCT(IFERROR(($A$5:$A$204=$Q49)*$E$5:$E$204*M$5:M$204,0))/$S49,"")))</f>
        <v/>
      </c>
      <c r="Z49" s="247" t="str">
        <f t="shared" si="6"/>
        <v/>
      </c>
      <c r="AA49" s="388">
        <f>IF($A49="","",IFERROR('Deliverable Actuals'!$K49,""))</f>
        <v>45440</v>
      </c>
      <c r="AB49" s="388">
        <f>IF($A49="","",IFERROR('Deliverable Actuals'!$L49,""))</f>
        <v>46089</v>
      </c>
      <c r="AC49" s="389">
        <f>IF($A49="","",IFERROR('Deliverable Actuals'!$I49,""))</f>
        <v>217.75</v>
      </c>
      <c r="AD49" s="350">
        <f>IF($A49="","",IFERROR('Deliverable Actuals'!$P49,""))</f>
        <v>428</v>
      </c>
      <c r="AE49" s="335" t="str">
        <f>IF($A49="","",IFERROR('Deliverable Actuals'!$R49,""))</f>
        <v>Dormant since 2026-03-08</v>
      </c>
      <c r="AG49"/>
      <c r="AH49"/>
      <c r="AI49"/>
      <c r="AJ49"/>
      <c r="AK49"/>
      <c r="AL49"/>
      <c r="AM49"/>
      <c r="AN49"/>
      <c r="AO49"/>
      <c r="AP49"/>
      <c r="AQ49"/>
      <c r="AR49"/>
    </row>
    <row r="50" spans="1:31" x14ac:dyDescent="0.3">
      <c r="A50" s="223"/>
      <c r="B50" s="224" t="str">
        <f>IF($A50="","",IFERROR(INDEX(Inputs!$B$6:$B$80,MATCH($A50,Inputs!$A$6:$A$80,0)),"not in register"))</f>
        <v>Development of Waterfront Action Areas in Khawr AL Batah</v>
      </c>
      <c r="C50" s="223"/>
      <c r="D50" s="223"/>
      <c r="E50" s="225"/>
      <c r="F50" s="226"/>
      <c r="G50" s="227" t="str">
        <f>IF(OR($D50="",$F50=""),"",IFERROR(INDEX('Rules of Credit'!$C$5:$C$38,MATCH($D50&amp;"|"&amp;$F50,'Rules of Credit'!$F$5:$F$38,0)),"invalid step"))</f>
        <v>Tender queries and addenda closed</v>
      </c>
      <c r="H50" s="228">
        <f>IF(OR($D50="",$F50=""),"",IFERROR(INDEX('Rules of Credit'!$D$5:$D$38,MATCH($D50&amp;"|"&amp;$F50,'Rules of Credit'!$F$5:$F$38,0)),""))</f>
        <v>1</v>
      </c>
      <c r="I50" s="229">
        <f t="shared" si="4"/>
        <v>1</v>
      </c>
      <c r="J50" s="242"/>
      <c r="K50" s="243"/>
      <c r="L50" s="243"/>
      <c r="M50" s="243"/>
      <c r="N50" s="244" t="str">
        <f t="shared" si="5"/>
        <v>OK</v>
      </c>
      <c r="O50" s="221"/>
      <c r="P50" s="233">
        <f>IF($D50="",0,IFERROR(INDEX('Project Types'!$E$5:$E$13,MATCH($D50,'Project Types'!$A$5:$A$13,0)),1))</f>
        <v>0.85</v>
      </c>
      <c r="Q50" s="227" t="str">
        <f>IF(Inputs!$A51="","",Inputs!$A51)</f>
        <v/>
      </c>
      <c r="R50" s="230" t="str">
        <f t="shared" si="8"/>
        <v/>
      </c>
      <c r="S50" s="231" t="str">
        <f t="shared" si="9"/>
        <v/>
      </c>
      <c r="T50" s="230" t="str">
        <f t="shared" si="7"/>
        <v/>
      </c>
      <c r="U50" s="229" t="str">
        <f t="shared" si="10"/>
        <v/>
      </c>
      <c r="V50" s="233" t="str" cm="1">
        <f t="array" ref="V50">IF($Q50="","",IF($S50=0,1,SUMPRODUCT(($A$5:$A$204=$Q50)*$E$5:$E$204*$P$5:$P$204)/$S50))</f>
        <v/>
      </c>
      <c r="W50" s="246" t="str" cm="1">
        <f t="array" ref="W50">IF($Q50="","",IF(SUMIF($A$5:$A$204,$Q50,$I$5:$I$204)&gt;0,SUMPRODUCT(IFERROR(($A$5:$A$204=$Q50)*$I$5:$I$204*K$5:K$204,0))/SUMIF($A$5:$A$204,$Q50,$I$5:$I$204),IF($S50&gt;0,SUMPRODUCT(IFERROR(($A$5:$A$204=$Q50)*$E$5:$E$204*K$5:K$204,0))/$S50,"")))</f>
        <v/>
      </c>
      <c r="X50" s="246" t="str" cm="1">
        <f t="array" ref="X50">IF($Q50="","",IF(SUMIF($A$5:$A$204,$Q50,$I$5:$I$204)&gt;0,SUMPRODUCT(IFERROR(($A$5:$A$204=$Q50)*$I$5:$I$204*L$5:L$204,0))/SUMIF($A$5:$A$204,$Q50,$I$5:$I$204),IF($S50&gt;0,SUMPRODUCT(IFERROR(($A$5:$A$204=$Q50)*$E$5:$E$204*L$5:L$204,0))/$S50,"")))</f>
        <v/>
      </c>
      <c r="Y50" s="246" t="str" cm="1">
        <f t="array" ref="Y50">IF($Q50="","",IF(SUMIF($A$5:$A$204,$Q50,$I$5:$I$204)&gt;0,SUMPRODUCT(IFERROR(($A$5:$A$204=$Q50)*$I$5:$I$204*M$5:M$204,0))/SUMIF($A$5:$A$204,$Q50,$I$5:$I$204),IF($S50&gt;0,SUMPRODUCT(IFERROR(($A$5:$A$204=$Q50)*$E$5:$E$204*M$5:M$204,0))/$S50,"")))</f>
        <v/>
      </c>
      <c r="Z50" s="247" t="str">
        <f t="shared" si="6"/>
        <v/>
      </c>
      <c r="AA50" s="388">
        <f>IF($A50="","",IFERROR('Deliverable Actuals'!$K50,""))</f>
        <v>45334</v>
      </c>
      <c r="AB50" s="388">
        <f>IF($A50="","",IFERROR('Deliverable Actuals'!$L50,""))</f>
        <v>45347</v>
      </c>
      <c r="AC50" s="389">
        <f>IF($A50="","",IFERROR('Deliverable Actuals'!$I50,""))</f>
        <v>27.25</v>
      </c>
      <c r="AD50" s="350">
        <f>IF($A50="","",IFERROR('Deliverable Actuals'!$P50,""))</f>
        <v>0</v>
      </c>
      <c r="AE50" s="335" t="str">
        <f>IF($A50="","",IFERROR('Deliverable Actuals'!$R50,""))</f>
        <v>Dormant since 2024-02-25</v>
      </c>
      <c r="AG50"/>
      <c r="AH50"/>
      <c r="AI50"/>
      <c r="AJ50"/>
      <c r="AK50"/>
      <c r="AL50"/>
      <c r="AM50"/>
      <c r="AN50"/>
      <c r="AO50"/>
      <c r="AP50"/>
      <c r="AQ50"/>
      <c r="AR50"/>
    </row>
    <row r="51" spans="1:31" x14ac:dyDescent="0.3">
      <c r="A51" s="223"/>
      <c r="B51" s="224" t="str">
        <f>IF($A51="","",IFERROR(INDEX(Inputs!$B$6:$B$80,MATCH($A51,Inputs!$A$6:$A$80,0)),"not in register"))</f>
        <v>Chargable Proposals of 2024</v>
      </c>
      <c r="C51" s="223"/>
      <c r="D51" s="223"/>
      <c r="E51" s="225"/>
      <c r="F51" s="226"/>
      <c r="G51" s="227" t="str">
        <f>IF(OR($D51="",$F51=""),"",IFERROR(INDEX('Rules of Credit'!$C$5:$C$38,MATCH($D51&amp;"|"&amp;$F51,'Rules of Credit'!$F$5:$F$38,0)),"invalid step"))</f>
        <v>Proposal submitted</v>
      </c>
      <c r="H51" s="228">
        <f>IF(OR($D51="",$F51=""),"",IFERROR(INDEX('Rules of Credit'!$D$5:$D$38,MATCH($D51&amp;"|"&amp;$F51,'Rules of Credit'!$F$5:$F$38,0)),""))</f>
        <v>1</v>
      </c>
      <c r="I51" s="229">
        <f t="shared" si="4"/>
        <v>1</v>
      </c>
      <c r="J51" s="242"/>
      <c r="K51" s="243"/>
      <c r="L51" s="243"/>
      <c r="M51" s="243"/>
      <c r="N51" s="244" t="str">
        <f t="shared" si="5"/>
        <v>OK</v>
      </c>
      <c r="O51" s="221"/>
      <c r="P51" s="233">
        <f>IF($D51="",0,IFERROR(INDEX('Project Types'!$E$5:$E$13,MATCH($D51,'Project Types'!$A$5:$A$13,0)),1))</f>
        <v>0.7</v>
      </c>
      <c r="Q51" s="227" t="str">
        <f>IF(Inputs!$A52="","",Inputs!$A52)</f>
        <v/>
      </c>
      <c r="R51" s="230" t="str">
        <f t="shared" si="8"/>
        <v/>
      </c>
      <c r="S51" s="231" t="str">
        <f t="shared" si="9"/>
        <v/>
      </c>
      <c r="T51" s="230" t="str">
        <f t="shared" si="7"/>
        <v/>
      </c>
      <c r="U51" s="229" t="str">
        <f t="shared" si="10"/>
        <v/>
      </c>
      <c r="V51" s="233" t="str" cm="1">
        <f t="array" ref="V51">IF($Q51="","",IF($S51=0,1,SUMPRODUCT(($A$5:$A$204=$Q51)*$E$5:$E$204*$P$5:$P$204)/$S51))</f>
        <v/>
      </c>
      <c r="W51" s="246" t="str" cm="1">
        <f t="array" ref="W51">IF($Q51="","",IF(SUMIF($A$5:$A$204,$Q51,$I$5:$I$204)&gt;0,SUMPRODUCT(IFERROR(($A$5:$A$204=$Q51)*$I$5:$I$204*K$5:K$204,0))/SUMIF($A$5:$A$204,$Q51,$I$5:$I$204),IF($S51&gt;0,SUMPRODUCT(IFERROR(($A$5:$A$204=$Q51)*$E$5:$E$204*K$5:K$204,0))/$S51,"")))</f>
        <v/>
      </c>
      <c r="X51" s="246" t="str" cm="1">
        <f t="array" ref="X51">IF($Q51="","",IF(SUMIF($A$5:$A$204,$Q51,$I$5:$I$204)&gt;0,SUMPRODUCT(IFERROR(($A$5:$A$204=$Q51)*$I$5:$I$204*L$5:L$204,0))/SUMIF($A$5:$A$204,$Q51,$I$5:$I$204),IF($S51&gt;0,SUMPRODUCT(IFERROR(($A$5:$A$204=$Q51)*$E$5:$E$204*L$5:L$204,0))/$S51,"")))</f>
        <v/>
      </c>
      <c r="Y51" s="246" t="str" cm="1">
        <f t="array" ref="Y51">IF($Q51="","",IF(SUMIF($A$5:$A$204,$Q51,$I$5:$I$204)&gt;0,SUMPRODUCT(IFERROR(($A$5:$A$204=$Q51)*$I$5:$I$204*M$5:M$204,0))/SUMIF($A$5:$A$204,$Q51,$I$5:$I$204),IF($S51&gt;0,SUMPRODUCT(IFERROR(($A$5:$A$204=$Q51)*$E$5:$E$204*M$5:M$204,0))/$S51,"")))</f>
        <v/>
      </c>
      <c r="Z51" s="247" t="str">
        <f t="shared" si="6"/>
        <v/>
      </c>
      <c r="AA51" s="388">
        <f>IF($A51="","",IFERROR('Deliverable Actuals'!$K51,""))</f>
        <v>45323</v>
      </c>
      <c r="AB51" s="388">
        <f>IF($A51="","",IFERROR('Deliverable Actuals'!$L51,""))</f>
        <v>45656</v>
      </c>
      <c r="AC51" s="389">
        <f>IF($A51="","",IFERROR('Deliverable Actuals'!$I51,""))</f>
        <v>343</v>
      </c>
      <c r="AD51" s="350">
        <f>IF($A51="","",IFERROR('Deliverable Actuals'!$P51,""))</f>
        <v>238</v>
      </c>
      <c r="AE51" s="335" t="str">
        <f>IF($A51="","",IFERROR('Deliverable Actuals'!$R51,""))</f>
        <v>Dormant since 2024-12-30</v>
      </c>
      <c r="AG51"/>
      <c r="AH51"/>
      <c r="AI51"/>
      <c r="AJ51"/>
      <c r="AK51"/>
      <c r="AL51"/>
      <c r="AM51"/>
      <c r="AN51"/>
      <c r="AO51"/>
      <c r="AP51"/>
      <c r="AQ51"/>
      <c r="AR51"/>
    </row>
    <row r="52" spans="1:31" x14ac:dyDescent="0.3">
      <c r="A52" s="223"/>
      <c r="B52" s="224" t="str">
        <f>IF($A52="","",IFERROR(INDEX(Inputs!$B$6:$B$80,MATCH($A52,Inputs!$A$6:$A$80,0)),"not in register"))</f>
        <v>Proposals of 2024</v>
      </c>
      <c r="C52" s="223"/>
      <c r="D52" s="223"/>
      <c r="E52" s="225"/>
      <c r="F52" s="226"/>
      <c r="G52" s="227" t="str">
        <f>IF(OR($D52="",$F52=""),"",IFERROR(INDEX('Rules of Credit'!$C$5:$C$38,MATCH($D52&amp;"|"&amp;$F52,'Rules of Credit'!$F$5:$F$38,0)),"invalid step"))</f>
        <v>Proposal submitted</v>
      </c>
      <c r="H52" s="228">
        <f>IF(OR($D52="",$F52=""),"",IFERROR(INDEX('Rules of Credit'!$D$5:$D$38,MATCH($D52&amp;"|"&amp;$F52,'Rules of Credit'!$F$5:$F$38,0)),""))</f>
        <v>1</v>
      </c>
      <c r="I52" s="229">
        <f t="shared" si="4"/>
        <v>1</v>
      </c>
      <c r="J52" s="242"/>
      <c r="K52" s="243"/>
      <c r="L52" s="243"/>
      <c r="M52" s="243"/>
      <c r="N52" s="244" t="str">
        <f t="shared" si="5"/>
        <v>OK</v>
      </c>
      <c r="O52" s="221"/>
      <c r="P52" s="233">
        <f>IF($D52="",0,IFERROR(INDEX('Project Types'!$E$5:$E$13,MATCH($D52,'Project Types'!$A$5:$A$13,0)),1))</f>
        <v>0.7</v>
      </c>
      <c r="Q52" s="227" t="str">
        <f>IF(Inputs!$A53="","",Inputs!$A53)</f>
        <v/>
      </c>
      <c r="R52" s="230" t="str">
        <f t="shared" si="8"/>
        <v/>
      </c>
      <c r="S52" s="231" t="str">
        <f t="shared" si="9"/>
        <v/>
      </c>
      <c r="T52" s="230" t="str">
        <f t="shared" si="7"/>
        <v/>
      </c>
      <c r="U52" s="229" t="str">
        <f t="shared" si="10"/>
        <v/>
      </c>
      <c r="V52" s="233" t="str" cm="1">
        <f t="array" ref="V52">IF($Q52="","",IF($S52=0,1,SUMPRODUCT(($A$5:$A$204=$Q52)*$E$5:$E$204*$P$5:$P$204)/$S52))</f>
        <v/>
      </c>
      <c r="W52" s="246" t="str" cm="1">
        <f t="array" ref="W52">IF($Q52="","",IF(SUMIF($A$5:$A$204,$Q52,$I$5:$I$204)&gt;0,SUMPRODUCT(IFERROR(($A$5:$A$204=$Q52)*$I$5:$I$204*K$5:K$204,0))/SUMIF($A$5:$A$204,$Q52,$I$5:$I$204),IF($S52&gt;0,SUMPRODUCT(IFERROR(($A$5:$A$204=$Q52)*$E$5:$E$204*K$5:K$204,0))/$S52,"")))</f>
        <v/>
      </c>
      <c r="X52" s="246" t="str" cm="1">
        <f t="array" ref="X52">IF($Q52="","",IF(SUMIF($A$5:$A$204,$Q52,$I$5:$I$204)&gt;0,SUMPRODUCT(IFERROR(($A$5:$A$204=$Q52)*$I$5:$I$204*L$5:L$204,0))/SUMIF($A$5:$A$204,$Q52,$I$5:$I$204),IF($S52&gt;0,SUMPRODUCT(IFERROR(($A$5:$A$204=$Q52)*$E$5:$E$204*L$5:L$204,0))/$S52,"")))</f>
        <v/>
      </c>
      <c r="Y52" s="246" t="str" cm="1">
        <f t="array" ref="Y52">IF($Q52="","",IF(SUMIF($A$5:$A$204,$Q52,$I$5:$I$204)&gt;0,SUMPRODUCT(IFERROR(($A$5:$A$204=$Q52)*$I$5:$I$204*M$5:M$204,0))/SUMIF($A$5:$A$204,$Q52,$I$5:$I$204),IF($S52&gt;0,SUMPRODUCT(IFERROR(($A$5:$A$204=$Q52)*$E$5:$E$204*M$5:M$204,0))/$S52,"")))</f>
        <v/>
      </c>
      <c r="Z52" s="247" t="str">
        <f t="shared" si="6"/>
        <v/>
      </c>
      <c r="AA52" s="388">
        <f>IF($A52="","",IFERROR('Deliverable Actuals'!$K52,""))</f>
        <v>45327</v>
      </c>
      <c r="AB52" s="388">
        <f>IF($A52="","",IFERROR('Deliverable Actuals'!$L52,""))</f>
        <v>45644</v>
      </c>
      <c r="AC52" s="389">
        <f>IF($A52="","",IFERROR('Deliverable Actuals'!$I52,""))</f>
        <v>99.25</v>
      </c>
      <c r="AD52" s="350">
        <f>IF($A52="","",IFERROR('Deliverable Actuals'!$P52,""))</f>
        <v>228</v>
      </c>
      <c r="AE52" s="335" t="str">
        <f>IF($A52="","",IFERROR('Deliverable Actuals'!$R52,""))</f>
        <v>Dormant since 2024-12-18</v>
      </c>
      <c r="AG52"/>
      <c r="AH52"/>
      <c r="AI52"/>
      <c r="AJ52"/>
      <c r="AK52"/>
      <c r="AL52"/>
      <c r="AM52"/>
      <c r="AN52"/>
      <c r="AO52"/>
      <c r="AP52"/>
      <c r="AQ52"/>
      <c r="AR52"/>
    </row>
    <row r="53" spans="1:31" x14ac:dyDescent="0.3">
      <c r="A53" s="223"/>
      <c r="B53" s="224" t="str">
        <f>IF($A53="","",IFERROR(INDEX(Inputs!$B$6:$B$80,MATCH($A53,Inputs!$A$6:$A$80,0)),"not in register"))</f>
        <v>Al Farshah Island (AFI) Pre-Infrastructure Design</v>
      </c>
      <c r="C53" s="223"/>
      <c r="D53" s="223"/>
      <c r="E53" s="225"/>
      <c r="F53" s="226"/>
      <c r="G53" s="227" t="str">
        <f>IF(OR($D53="",$F53=""),"",IFERROR(INDEX('Rules of Credit'!$C$5:$C$38,MATCH($D53&amp;"|"&amp;$F53,'Rules of Credit'!$F$5:$F$38,0)),"invalid step"))</f>
        <v>Client acceptance</v>
      </c>
      <c r="H53" s="228">
        <f>IF(OR($D53="",$F53=""),"",IFERROR(INDEX('Rules of Credit'!$D$5:$D$38,MATCH($D53&amp;"|"&amp;$F53,'Rules of Credit'!$F$5:$F$38,0)),""))</f>
        <v>1</v>
      </c>
      <c r="I53" s="229">
        <f t="shared" si="4"/>
        <v>1</v>
      </c>
      <c r="J53" s="242"/>
      <c r="K53" s="243"/>
      <c r="L53" s="243"/>
      <c r="M53" s="243"/>
      <c r="N53" s="244" t="str">
        <f t="shared" si="5"/>
        <v>OK</v>
      </c>
      <c r="O53" s="221"/>
      <c r="P53" s="233">
        <f>IF($D53="",0,IFERROR(INDEX('Project Types'!$E$5:$E$13,MATCH($D53,'Project Types'!$A$5:$A$13,0)),1))</f>
        <v>1.1000000000000001</v>
      </c>
      <c r="Q53" s="227" t="str">
        <f>IF(Inputs!$A54="","",Inputs!$A54)</f>
        <v/>
      </c>
      <c r="R53" s="230" t="str">
        <f t="shared" si="8"/>
        <v/>
      </c>
      <c r="S53" s="231" t="str">
        <f t="shared" si="9"/>
        <v/>
      </c>
      <c r="T53" s="230" t="str">
        <f t="shared" si="7"/>
        <v/>
      </c>
      <c r="U53" s="229" t="str">
        <f t="shared" si="10"/>
        <v/>
      </c>
      <c r="V53" s="233" t="str" cm="1">
        <f t="array" ref="V53">IF($Q53="","",IF($S53=0,1,SUMPRODUCT(($A$5:$A$204=$Q53)*$E$5:$E$204*$P$5:$P$204)/$S53))</f>
        <v/>
      </c>
      <c r="W53" s="246" t="str" cm="1">
        <f t="array" ref="W53">IF($Q53="","",IF(SUMIF($A$5:$A$204,$Q53,$I$5:$I$204)&gt;0,SUMPRODUCT(IFERROR(($A$5:$A$204=$Q53)*$I$5:$I$204*K$5:K$204,0))/SUMIF($A$5:$A$204,$Q53,$I$5:$I$204),IF($S53&gt;0,SUMPRODUCT(IFERROR(($A$5:$A$204=$Q53)*$E$5:$E$204*K$5:K$204,0))/$S53,"")))</f>
        <v/>
      </c>
      <c r="X53" s="246" t="str" cm="1">
        <f t="array" ref="X53">IF($Q53="","",IF(SUMIF($A$5:$A$204,$Q53,$I$5:$I$204)&gt;0,SUMPRODUCT(IFERROR(($A$5:$A$204=$Q53)*$I$5:$I$204*L$5:L$204,0))/SUMIF($A$5:$A$204,$Q53,$I$5:$I$204),IF($S53&gt;0,SUMPRODUCT(IFERROR(($A$5:$A$204=$Q53)*$E$5:$E$204*L$5:L$204,0))/$S53,"")))</f>
        <v/>
      </c>
      <c r="Y53" s="246" t="str" cm="1">
        <f t="array" ref="Y53">IF($Q53="","",IF(SUMIF($A$5:$A$204,$Q53,$I$5:$I$204)&gt;0,SUMPRODUCT(IFERROR(($A$5:$A$204=$Q53)*$I$5:$I$204*M$5:M$204,0))/SUMIF($A$5:$A$204,$Q53,$I$5:$I$204),IF($S53&gt;0,SUMPRODUCT(IFERROR(($A$5:$A$204=$Q53)*$E$5:$E$204*M$5:M$204,0))/$S53,"")))</f>
        <v/>
      </c>
      <c r="Z53" s="247" t="str">
        <f t="shared" si="6"/>
        <v/>
      </c>
      <c r="AA53" s="388">
        <f>IF($A53="","",IFERROR('Deliverable Actuals'!$K53,""))</f>
        <v>45322</v>
      </c>
      <c r="AB53" s="388">
        <f>IF($A53="","",IFERROR('Deliverable Actuals'!$L53,""))</f>
        <v>45322</v>
      </c>
      <c r="AC53" s="389">
        <f>IF($A53="","",IFERROR('Deliverable Actuals'!$I53,""))</f>
        <v>8.5</v>
      </c>
      <c r="AD53" s="350">
        <f>IF($A53="","",IFERROR('Deliverable Actuals'!$P53,""))</f>
        <v>0</v>
      </c>
      <c r="AE53" s="335" t="str">
        <f>IF($A53="","",IFERROR('Deliverable Actuals'!$R53,""))</f>
        <v>Dormant since 2024-01-31</v>
      </c>
      <c r="AG53"/>
      <c r="AH53"/>
      <c r="AI53"/>
      <c r="AJ53"/>
      <c r="AK53"/>
      <c r="AL53"/>
      <c r="AM53"/>
      <c r="AN53"/>
      <c r="AO53"/>
      <c r="AP53"/>
      <c r="AQ53"/>
      <c r="AR53"/>
    </row>
    <row r="54" spans="1:31" x14ac:dyDescent="0.3">
      <c r="A54" s="223"/>
      <c r="B54" s="224" t="str">
        <f>IF($A54="","",IFERROR(INDEX(Inputs!$B$6:$B$80,MATCH($A54,Inputs!$A$6:$A$80,0)),"not in register"))</f>
        <v>Shushah Island - KUARTZ Tower Design Services - RBTA</v>
      </c>
      <c r="C54" s="223"/>
      <c r="D54" s="223"/>
      <c r="E54" s="225"/>
      <c r="F54" s="226"/>
      <c r="G54" s="227" t="str">
        <f>IF(OR($D54="",$F54=""),"",IFERROR(INDEX('Rules of Credit'!$C$5:$C$38,MATCH($D54&amp;"|"&amp;$F54,'Rules of Credit'!$F$5:$F$38,0)),"invalid step"))</f>
        <v>Client acceptance</v>
      </c>
      <c r="H54" s="228">
        <f>IF(OR($D54="",$F54=""),"",IFERROR(INDEX('Rules of Credit'!$D$5:$D$38,MATCH($D54&amp;"|"&amp;$F54,'Rules of Credit'!$F$5:$F$38,0)),""))</f>
        <v>1</v>
      </c>
      <c r="I54" s="229">
        <f t="shared" si="4"/>
        <v>1</v>
      </c>
      <c r="J54" s="242"/>
      <c r="K54" s="243"/>
      <c r="L54" s="243"/>
      <c r="M54" s="243"/>
      <c r="N54" s="244" t="str">
        <f t="shared" si="5"/>
        <v>OK</v>
      </c>
      <c r="O54" s="221"/>
      <c r="P54" s="233">
        <f>IF($D54="",0,IFERROR(INDEX('Project Types'!$E$5:$E$13,MATCH($D54,'Project Types'!$A$5:$A$13,0)),1))</f>
        <v>1.1000000000000001</v>
      </c>
      <c r="Q54" s="227" t="str">
        <f>IF(Inputs!$A55="","",Inputs!$A55)</f>
        <v/>
      </c>
      <c r="R54" s="230" t="str">
        <f t="shared" si="8"/>
        <v/>
      </c>
      <c r="S54" s="231" t="str">
        <f t="shared" si="9"/>
        <v/>
      </c>
      <c r="T54" s="230" t="str">
        <f t="shared" si="7"/>
        <v/>
      </c>
      <c r="U54" s="229" t="str">
        <f t="shared" si="10"/>
        <v/>
      </c>
      <c r="V54" s="233" t="str" cm="1">
        <f t="array" ref="V54">IF($Q54="","",IF($S54=0,1,SUMPRODUCT(($A$5:$A$204=$Q54)*$E$5:$E$204*$P$5:$P$204)/$S54))</f>
        <v/>
      </c>
      <c r="W54" s="246" t="str" cm="1">
        <f t="array" ref="W54">IF($Q54="","",IF(SUMIF($A$5:$A$204,$Q54,$I$5:$I$204)&gt;0,SUMPRODUCT(IFERROR(($A$5:$A$204=$Q54)*$I$5:$I$204*K$5:K$204,0))/SUMIF($A$5:$A$204,$Q54,$I$5:$I$204),IF($S54&gt;0,SUMPRODUCT(IFERROR(($A$5:$A$204=$Q54)*$E$5:$E$204*K$5:K$204,0))/$S54,"")))</f>
        <v/>
      </c>
      <c r="X54" s="246" t="str" cm="1">
        <f t="array" ref="X54">IF($Q54="","",IF(SUMIF($A$5:$A$204,$Q54,$I$5:$I$204)&gt;0,SUMPRODUCT(IFERROR(($A$5:$A$204=$Q54)*$I$5:$I$204*L$5:L$204,0))/SUMIF($A$5:$A$204,$Q54,$I$5:$I$204),IF($S54&gt;0,SUMPRODUCT(IFERROR(($A$5:$A$204=$Q54)*$E$5:$E$204*L$5:L$204,0))/$S54,"")))</f>
        <v/>
      </c>
      <c r="Y54" s="246" t="str" cm="1">
        <f t="array" ref="Y54">IF($Q54="","",IF(SUMIF($A$5:$A$204,$Q54,$I$5:$I$204)&gt;0,SUMPRODUCT(IFERROR(($A$5:$A$204=$Q54)*$I$5:$I$204*M$5:M$204,0))/SUMIF($A$5:$A$204,$Q54,$I$5:$I$204),IF($S54&gt;0,SUMPRODUCT(IFERROR(($A$5:$A$204=$Q54)*$E$5:$E$204*M$5:M$204,0))/$S54,"")))</f>
        <v/>
      </c>
      <c r="Z54" s="247" t="str">
        <f t="shared" si="6"/>
        <v/>
      </c>
      <c r="AA54" s="388">
        <f>IF($A54="","",IFERROR('Deliverable Actuals'!$K54,""))</f>
        <v>45468</v>
      </c>
      <c r="AB54" s="388">
        <f>IF($A54="","",IFERROR('Deliverable Actuals'!$L54,""))</f>
        <v>45581</v>
      </c>
      <c r="AC54" s="389">
        <f>IF($A54="","",IFERROR('Deliverable Actuals'!$I54,""))</f>
        <v>186</v>
      </c>
      <c r="AD54" s="350">
        <f>IF($A54="","",IFERROR('Deliverable Actuals'!$P54,""))</f>
        <v>60</v>
      </c>
      <c r="AE54" s="335" t="str">
        <f>IF($A54="","",IFERROR('Deliverable Actuals'!$R54,""))</f>
        <v>Dormant since 2024-10-16</v>
      </c>
      <c r="AG54"/>
      <c r="AH54"/>
      <c r="AI54"/>
      <c r="AJ54"/>
      <c r="AK54"/>
      <c r="AL54"/>
      <c r="AM54"/>
      <c r="AN54"/>
      <c r="AO54"/>
      <c r="AP54"/>
      <c r="AQ54"/>
      <c r="AR54"/>
    </row>
    <row r="55" spans="1:31" x14ac:dyDescent="0.3">
      <c r="A55" s="223"/>
      <c r="B55" s="224" t="str">
        <f>IF($A55="","",IFERROR(INDEX(Inputs!$B$6:$B$80,MATCH($A55,Inputs!$A$6:$A$80,0)),"not in register"))</f>
        <v>Design Review Services of a Fishing Harbour At Kilwa Masoko – Lindi Region</v>
      </c>
      <c r="C55" s="223"/>
      <c r="D55" s="223"/>
      <c r="E55" s="225"/>
      <c r="F55" s="226"/>
      <c r="G55" s="227" t="str">
        <f>IF(OR($D55="",$F55=""),"",IFERROR(INDEX('Rules of Credit'!$C$5:$C$38,MATCH($D55&amp;"|"&amp;$F55,'Rules of Credit'!$F$5:$F$38,0)),"invalid step"))</f>
        <v>Comment closeout confirmed</v>
      </c>
      <c r="H55" s="228">
        <f>IF(OR($D55="",$F55=""),"",IFERROR(INDEX('Rules of Credit'!$D$5:$D$38,MATCH($D55&amp;"|"&amp;$F55,'Rules of Credit'!$F$5:$F$38,0)),""))</f>
        <v>1</v>
      </c>
      <c r="I55" s="229">
        <f t="shared" si="4"/>
        <v>1</v>
      </c>
      <c r="J55" s="242"/>
      <c r="K55" s="243"/>
      <c r="L55" s="243"/>
      <c r="M55" s="243"/>
      <c r="N55" s="244" t="str">
        <f t="shared" si="5"/>
        <v>OK</v>
      </c>
      <c r="O55" s="221"/>
      <c r="P55" s="233">
        <f>IF($D55="",0,IFERROR(INDEX('Project Types'!$E$5:$E$13,MATCH($D55,'Project Types'!$A$5:$A$13,0)),1))</f>
        <v>0.75</v>
      </c>
      <c r="Q55" s="227" t="str">
        <f>IF(Inputs!$A56="","",Inputs!$A56)</f>
        <v/>
      </c>
      <c r="R55" s="230" t="str">
        <f t="shared" si="8"/>
        <v/>
      </c>
      <c r="S55" s="231" t="str">
        <f t="shared" si="9"/>
        <v/>
      </c>
      <c r="T55" s="230" t="str">
        <f t="shared" si="7"/>
        <v/>
      </c>
      <c r="U55" s="229" t="str">
        <f t="shared" si="10"/>
        <v/>
      </c>
      <c r="V55" s="233" t="str" cm="1">
        <f t="array" ref="V55">IF($Q55="","",IF($S55=0,1,SUMPRODUCT(($A$5:$A$204=$Q55)*$E$5:$E$204*$P$5:$P$204)/$S55))</f>
        <v/>
      </c>
      <c r="W55" s="246" t="str" cm="1">
        <f t="array" ref="W55">IF($Q55="","",IF(SUMIF($A$5:$A$204,$Q55,$I$5:$I$204)&gt;0,SUMPRODUCT(IFERROR(($A$5:$A$204=$Q55)*$I$5:$I$204*K$5:K$204,0))/SUMIF($A$5:$A$204,$Q55,$I$5:$I$204),IF($S55&gt;0,SUMPRODUCT(IFERROR(($A$5:$A$204=$Q55)*$E$5:$E$204*K$5:K$204,0))/$S55,"")))</f>
        <v/>
      </c>
      <c r="X55" s="246" t="str" cm="1">
        <f t="array" ref="X55">IF($Q55="","",IF(SUMIF($A$5:$A$204,$Q55,$I$5:$I$204)&gt;0,SUMPRODUCT(IFERROR(($A$5:$A$204=$Q55)*$I$5:$I$204*L$5:L$204,0))/SUMIF($A$5:$A$204,$Q55,$I$5:$I$204),IF($S55&gt;0,SUMPRODUCT(IFERROR(($A$5:$A$204=$Q55)*$E$5:$E$204*L$5:L$204,0))/$S55,"")))</f>
        <v/>
      </c>
      <c r="Y55" s="246" t="str" cm="1">
        <f t="array" ref="Y55">IF($Q55="","",IF(SUMIF($A$5:$A$204,$Q55,$I$5:$I$204)&gt;0,SUMPRODUCT(IFERROR(($A$5:$A$204=$Q55)*$I$5:$I$204*M$5:M$204,0))/SUMIF($A$5:$A$204,$Q55,$I$5:$I$204),IF($S55&gt;0,SUMPRODUCT(IFERROR(($A$5:$A$204=$Q55)*$E$5:$E$204*M$5:M$204,0))/$S55,"")))</f>
        <v/>
      </c>
      <c r="Z55" s="247" t="str">
        <f t="shared" si="6"/>
        <v/>
      </c>
      <c r="AA55" s="388">
        <f>IF($A55="","",IFERROR('Deliverable Actuals'!$K55,""))</f>
        <v>45278</v>
      </c>
      <c r="AB55" s="388">
        <f>IF($A55="","",IFERROR('Deliverable Actuals'!$L55,""))</f>
        <v>45295</v>
      </c>
      <c r="AC55" s="389">
        <f>IF($A55="","",IFERROR('Deliverable Actuals'!$I55,""))</f>
        <v>10</v>
      </c>
      <c r="AD55" s="350">
        <f>IF($A55="","",IFERROR('Deliverable Actuals'!$P55,""))</f>
        <v>11</v>
      </c>
      <c r="AE55" s="335" t="str">
        <f>IF($A55="","",IFERROR('Deliverable Actuals'!$R55,""))</f>
        <v>Dormant since 2024-01-04</v>
      </c>
      <c r="AG55"/>
      <c r="AH55"/>
      <c r="AI55"/>
      <c r="AJ55"/>
      <c r="AK55"/>
      <c r="AL55"/>
      <c r="AM55"/>
      <c r="AN55"/>
      <c r="AO55"/>
      <c r="AP55"/>
      <c r="AQ55"/>
      <c r="AR55"/>
    </row>
    <row r="56" spans="1:31" x14ac:dyDescent="0.3">
      <c r="A56" s="223"/>
      <c r="B56" s="224" t="str">
        <f>IF($A56="","",IFERROR(INDEX(Inputs!$B$6:$B$80,MATCH($A56,Inputs!$A$6:$A$80,0)),"not in register"))</f>
        <v>Construction of the Offsite Works for the Multifunctional Conference Center</v>
      </c>
      <c r="C56" s="223"/>
      <c r="D56" s="223"/>
      <c r="E56" s="225"/>
      <c r="F56" s="226"/>
      <c r="G56" s="227" t="str">
        <f>IF(OR($D56="",$F56=""),"",IFERROR(INDEX('Rules of Credit'!$C$5:$C$38,MATCH($D56&amp;"|"&amp;$F56,'Rules of Credit'!$F$5:$F$38,0)),"invalid step"))</f>
        <v>Option selected and frozen</v>
      </c>
      <c r="H56" s="228">
        <f>IF(OR($D56="",$F56=""),"",IFERROR(INDEX('Rules of Credit'!$D$5:$D$38,MATCH($D56&amp;"|"&amp;$F56,'Rules of Credit'!$F$5:$F$38,0)),""))</f>
        <v>0.65</v>
      </c>
      <c r="I56" s="229">
        <f t="shared" si="4"/>
        <v>0.65</v>
      </c>
      <c r="J56" s="242"/>
      <c r="K56" s="243"/>
      <c r="L56" s="243"/>
      <c r="M56" s="243"/>
      <c r="N56" s="244" t="str">
        <f t="shared" si="5"/>
        <v>OK</v>
      </c>
      <c r="O56" s="221"/>
      <c r="P56" s="233">
        <f>IF($D56="",0,IFERROR(INDEX('Project Types'!$E$5:$E$13,MATCH($D56,'Project Types'!$A$5:$A$13,0)),1))</f>
        <v>1.1000000000000001</v>
      </c>
      <c r="Q56" s="227" t="str">
        <f>IF(Inputs!$A57="","",Inputs!$A57)</f>
        <v/>
      </c>
      <c r="R56" s="230" t="str">
        <f t="shared" si="8"/>
        <v/>
      </c>
      <c r="S56" s="231" t="str">
        <f t="shared" si="9"/>
        <v/>
      </c>
      <c r="T56" s="230" t="str">
        <f t="shared" si="7"/>
        <v/>
      </c>
      <c r="U56" s="229" t="str">
        <f t="shared" si="10"/>
        <v/>
      </c>
      <c r="V56" s="233" t="str" cm="1">
        <f t="array" ref="V56">IF($Q56="","",IF($S56=0,1,SUMPRODUCT(($A$5:$A$204=$Q56)*$E$5:$E$204*$P$5:$P$204)/$S56))</f>
        <v/>
      </c>
      <c r="W56" s="246" t="str" cm="1">
        <f t="array" ref="W56">IF($Q56="","",IF(SUMIF($A$5:$A$204,$Q56,$I$5:$I$204)&gt;0,SUMPRODUCT(IFERROR(($A$5:$A$204=$Q56)*$I$5:$I$204*K$5:K$204,0))/SUMIF($A$5:$A$204,$Q56,$I$5:$I$204),IF($S56&gt;0,SUMPRODUCT(IFERROR(($A$5:$A$204=$Q56)*$E$5:$E$204*K$5:K$204,0))/$S56,"")))</f>
        <v/>
      </c>
      <c r="X56" s="246" t="str" cm="1">
        <f t="array" ref="X56">IF($Q56="","",IF(SUMIF($A$5:$A$204,$Q56,$I$5:$I$204)&gt;0,SUMPRODUCT(IFERROR(($A$5:$A$204=$Q56)*$I$5:$I$204*L$5:L$204,0))/SUMIF($A$5:$A$204,$Q56,$I$5:$I$204),IF($S56&gt;0,SUMPRODUCT(IFERROR(($A$5:$A$204=$Q56)*$E$5:$E$204*L$5:L$204,0))/$S56,"")))</f>
        <v/>
      </c>
      <c r="Y56" s="246" t="str" cm="1">
        <f t="array" ref="Y56">IF($Q56="","",IF(SUMIF($A$5:$A$204,$Q56,$I$5:$I$204)&gt;0,SUMPRODUCT(IFERROR(($A$5:$A$204=$Q56)*$I$5:$I$204*M$5:M$204,0))/SUMIF($A$5:$A$204,$Q56,$I$5:$I$204),IF($S56&gt;0,SUMPRODUCT(IFERROR(($A$5:$A$204=$Q56)*$E$5:$E$204*M$5:M$204,0))/$S56,"")))</f>
        <v/>
      </c>
      <c r="Z56" s="247" t="str">
        <f t="shared" si="6"/>
        <v/>
      </c>
      <c r="AA56" s="388">
        <f>IF($A56="","",IFERROR('Deliverable Actuals'!$K56,""))</f>
        <v>0</v>
      </c>
      <c r="AB56" s="388">
        <f>IF($A56="","",IFERROR('Deliverable Actuals'!$L56,""))</f>
        <v>0</v>
      </c>
      <c r="AC56" s="389">
        <f>IF($A56="","",IFERROR('Deliverable Actuals'!$I56,""))</f>
        <v>0</v>
      </c>
      <c r="AD56" s="350">
        <f>IF($A56="","",IFERROR('Deliverable Actuals'!$P56,""))</f>
        <v>0</v>
      </c>
      <c r="AE56" s="335" t="str">
        <f>IF($A56="","",IFERROR('Deliverable Actuals'!$R56,""))</f>
        <v>Never charged</v>
      </c>
      <c r="AG56"/>
      <c r="AH56"/>
      <c r="AI56"/>
      <c r="AJ56"/>
      <c r="AK56"/>
      <c r="AL56"/>
      <c r="AM56"/>
      <c r="AN56"/>
      <c r="AO56"/>
      <c r="AP56"/>
      <c r="AQ56"/>
      <c r="AR56"/>
    </row>
    <row r="57" spans="1:31" x14ac:dyDescent="0.3">
      <c r="A57" s="223"/>
      <c r="B57" s="224" t="str">
        <f>IF($A57="","",IFERROR(INDEX(Inputs!$B$6:$B$80,MATCH($A57,Inputs!$A$6:$A$80,0)),"not in register"))</f>
        <v>Construction of the Port Terminal for the Free Zone of the Integrated Development of Barra do Dande (ZFDIBD)</v>
      </c>
      <c r="C57" s="223"/>
      <c r="D57" s="223"/>
      <c r="E57" s="225"/>
      <c r="F57" s="226"/>
      <c r="G57" s="227" t="str">
        <f>IF(OR($D57="",$F57=""),"",IFERROR(INDEX('Rules of Credit'!$C$5:$C$38,MATCH($D57&amp;"|"&amp;$F57,'Rules of Credit'!$F$5:$F$38,0)),"invalid step"))</f>
        <v>Concept report and drawings issued</v>
      </c>
      <c r="H57" s="228">
        <f>IF(OR($D57="",$F57=""),"",IFERROR(INDEX('Rules of Credit'!$D$5:$D$38,MATCH($D57&amp;"|"&amp;$F57,'Rules of Credit'!$F$5:$F$38,0)),""))</f>
        <v>0.9</v>
      </c>
      <c r="I57" s="229">
        <f t="shared" si="4"/>
        <v>0.9</v>
      </c>
      <c r="J57" s="242"/>
      <c r="K57" s="243"/>
      <c r="L57" s="243"/>
      <c r="M57" s="243"/>
      <c r="N57" s="244" t="str">
        <f t="shared" si="5"/>
        <v>OK</v>
      </c>
      <c r="O57" s="221"/>
      <c r="P57" s="233">
        <f>IF($D57="",0,IFERROR(INDEX('Project Types'!$E$5:$E$13,MATCH($D57,'Project Types'!$A$5:$A$13,0)),1))</f>
        <v>1.1000000000000001</v>
      </c>
      <c r="Q57" s="227" t="str">
        <f>IF(Inputs!$A58="","",Inputs!$A58)</f>
        <v/>
      </c>
      <c r="R57" s="230" t="str">
        <f t="shared" si="8"/>
        <v/>
      </c>
      <c r="S57" s="231" t="str">
        <f t="shared" si="9"/>
        <v/>
      </c>
      <c r="T57" s="230" t="str">
        <f t="shared" si="7"/>
        <v/>
      </c>
      <c r="U57" s="229" t="str">
        <f t="shared" si="10"/>
        <v/>
      </c>
      <c r="V57" s="233" t="str" cm="1">
        <f t="array" ref="V57">IF($Q57="","",IF($S57=0,1,SUMPRODUCT(($A$5:$A$204=$Q57)*$E$5:$E$204*$P$5:$P$204)/$S57))</f>
        <v/>
      </c>
      <c r="W57" s="246" t="str" cm="1">
        <f t="array" ref="W57">IF($Q57="","",IF(SUMIF($A$5:$A$204,$Q57,$I$5:$I$204)&gt;0,SUMPRODUCT(IFERROR(($A$5:$A$204=$Q57)*$I$5:$I$204*K$5:K$204,0))/SUMIF($A$5:$A$204,$Q57,$I$5:$I$204),IF($S57&gt;0,SUMPRODUCT(IFERROR(($A$5:$A$204=$Q57)*$E$5:$E$204*K$5:K$204,0))/$S57,"")))</f>
        <v/>
      </c>
      <c r="X57" s="246" t="str" cm="1">
        <f t="array" ref="X57">IF($Q57="","",IF(SUMIF($A$5:$A$204,$Q57,$I$5:$I$204)&gt;0,SUMPRODUCT(IFERROR(($A$5:$A$204=$Q57)*$I$5:$I$204*L$5:L$204,0))/SUMIF($A$5:$A$204,$Q57,$I$5:$I$204),IF($S57&gt;0,SUMPRODUCT(IFERROR(($A$5:$A$204=$Q57)*$E$5:$E$204*L$5:L$204,0))/$S57,"")))</f>
        <v/>
      </c>
      <c r="Y57" s="246" t="str" cm="1">
        <f t="array" ref="Y57">IF($Q57="","",IF(SUMIF($A$5:$A$204,$Q57,$I$5:$I$204)&gt;0,SUMPRODUCT(IFERROR(($A$5:$A$204=$Q57)*$I$5:$I$204*M$5:M$204,0))/SUMIF($A$5:$A$204,$Q57,$I$5:$I$204),IF($S57&gt;0,SUMPRODUCT(IFERROR(($A$5:$A$204=$Q57)*$E$5:$E$204*M$5:M$204,0))/$S57,"")))</f>
        <v/>
      </c>
      <c r="Z57" s="247" t="str">
        <f t="shared" si="6"/>
        <v/>
      </c>
      <c r="AA57" s="388">
        <f>IF($A57="","",IFERROR('Deliverable Actuals'!$K57,""))</f>
        <v>45456</v>
      </c>
      <c r="AB57" s="388">
        <f>IF($A57="","",IFERROR('Deliverable Actuals'!$L57,""))</f>
        <v>45757</v>
      </c>
      <c r="AC57" s="389">
        <f>IF($A57="","",IFERROR('Deliverable Actuals'!$I57,""))</f>
        <v>164.5</v>
      </c>
      <c r="AD57" s="350">
        <f>IF($A57="","",IFERROR('Deliverable Actuals'!$P57,""))</f>
        <v>200</v>
      </c>
      <c r="AE57" s="335" t="str">
        <f>IF($A57="","",IFERROR('Deliverable Actuals'!$R57,""))</f>
        <v>Dormant since 2025-04-10</v>
      </c>
      <c r="AG57"/>
      <c r="AH57"/>
      <c r="AI57"/>
      <c r="AJ57"/>
      <c r="AK57"/>
      <c r="AL57"/>
      <c r="AM57"/>
      <c r="AN57"/>
      <c r="AO57"/>
      <c r="AP57"/>
      <c r="AQ57"/>
      <c r="AR57"/>
    </row>
    <row r="58" spans="1:31" x14ac:dyDescent="0.3">
      <c r="A58" s="223"/>
      <c r="B58" s="224" t="str">
        <f>IF($A58="","",IFERROR(INDEX(Inputs!$B$6:$B$80,MATCH($A58,Inputs!$A$6:$A$80,0)),"not in register"))</f>
        <v>Requalification of the Corimba Coastline - Praia da Areia Branca</v>
      </c>
      <c r="C58" s="223"/>
      <c r="D58" s="223"/>
      <c r="E58" s="225"/>
      <c r="F58" s="226"/>
      <c r="G58" s="227" t="str">
        <f>IF(OR($D58="",$F58=""),"",IFERROR(INDEX('Rules of Credit'!$C$5:$C$38,MATCH($D58&amp;"|"&amp;$F58,'Rules of Credit'!$F$5:$F$38,0)),"invalid step"))</f>
        <v>Concept report and drawings issued</v>
      </c>
      <c r="H58" s="228">
        <f>IF(OR($D58="",$F58=""),"",IFERROR(INDEX('Rules of Credit'!$D$5:$D$38,MATCH($D58&amp;"|"&amp;$F58,'Rules of Credit'!$F$5:$F$38,0)),""))</f>
        <v>0.9</v>
      </c>
      <c r="I58" s="229">
        <f t="shared" si="4"/>
        <v>0.9</v>
      </c>
      <c r="J58" s="242"/>
      <c r="K58" s="243"/>
      <c r="L58" s="243"/>
      <c r="M58" s="243"/>
      <c r="N58" s="244" t="str">
        <f t="shared" si="5"/>
        <v>OK</v>
      </c>
      <c r="O58" s="221"/>
      <c r="P58" s="233">
        <f>IF($D58="",0,IFERROR(INDEX('Project Types'!$E$5:$E$13,MATCH($D58,'Project Types'!$A$5:$A$13,0)),1))</f>
        <v>1.1000000000000001</v>
      </c>
      <c r="Q58" s="227" t="str">
        <f>IF(Inputs!$A59="","",Inputs!$A59)</f>
        <v/>
      </c>
      <c r="R58" s="230" t="str">
        <f t="shared" si="8"/>
        <v/>
      </c>
      <c r="S58" s="231" t="str">
        <f t="shared" si="9"/>
        <v/>
      </c>
      <c r="T58" s="230" t="str">
        <f t="shared" si="7"/>
        <v/>
      </c>
      <c r="U58" s="229" t="str">
        <f t="shared" si="10"/>
        <v/>
      </c>
      <c r="V58" s="233" t="str" cm="1">
        <f t="array" ref="V58">IF($Q58="","",IF($S58=0,1,SUMPRODUCT(($A$5:$A$204=$Q58)*$E$5:$E$204*$P$5:$P$204)/$S58))</f>
        <v/>
      </c>
      <c r="W58" s="246" t="str" cm="1">
        <f t="array" ref="W58">IF($Q58="","",IF(SUMIF($A$5:$A$204,$Q58,$I$5:$I$204)&gt;0,SUMPRODUCT(IFERROR(($A$5:$A$204=$Q58)*$I$5:$I$204*K$5:K$204,0))/SUMIF($A$5:$A$204,$Q58,$I$5:$I$204),IF($S58&gt;0,SUMPRODUCT(IFERROR(($A$5:$A$204=$Q58)*$E$5:$E$204*K$5:K$204,0))/$S58,"")))</f>
        <v/>
      </c>
      <c r="X58" s="246" t="str" cm="1">
        <f t="array" ref="X58">IF($Q58="","",IF(SUMIF($A$5:$A$204,$Q58,$I$5:$I$204)&gt;0,SUMPRODUCT(IFERROR(($A$5:$A$204=$Q58)*$I$5:$I$204*L$5:L$204,0))/SUMIF($A$5:$A$204,$Q58,$I$5:$I$204),IF($S58&gt;0,SUMPRODUCT(IFERROR(($A$5:$A$204=$Q58)*$E$5:$E$204*L$5:L$204,0))/$S58,"")))</f>
        <v/>
      </c>
      <c r="Y58" s="246" t="str" cm="1">
        <f t="array" ref="Y58">IF($Q58="","",IF(SUMIF($A$5:$A$204,$Q58,$I$5:$I$204)&gt;0,SUMPRODUCT(IFERROR(($A$5:$A$204=$Q58)*$I$5:$I$204*M$5:M$204,0))/SUMIF($A$5:$A$204,$Q58,$I$5:$I$204),IF($S58&gt;0,SUMPRODUCT(IFERROR(($A$5:$A$204=$Q58)*$E$5:$E$204*M$5:M$204,0))/$S58,"")))</f>
        <v/>
      </c>
      <c r="Z58" s="247" t="str">
        <f t="shared" si="6"/>
        <v/>
      </c>
      <c r="AA58" s="388">
        <f>IF($A58="","",IFERROR('Deliverable Actuals'!$K58,""))</f>
        <v>45866</v>
      </c>
      <c r="AB58" s="388">
        <f>IF($A58="","",IFERROR('Deliverable Actuals'!$L58,""))</f>
        <v>45931</v>
      </c>
      <c r="AC58" s="389">
        <f>IF($A58="","",IFERROR('Deliverable Actuals'!$I58,""))</f>
        <v>171</v>
      </c>
      <c r="AD58" s="350">
        <f>IF($A58="","",IFERROR('Deliverable Actuals'!$P58,""))</f>
        <v>18</v>
      </c>
      <c r="AE58" s="335" t="str">
        <f>IF($A58="","",IFERROR('Deliverable Actuals'!$R58,""))</f>
        <v>Dormant since 2025-10-01</v>
      </c>
      <c r="AG58"/>
      <c r="AH58"/>
      <c r="AI58"/>
      <c r="AJ58"/>
      <c r="AK58"/>
      <c r="AL58"/>
      <c r="AM58"/>
      <c r="AN58"/>
      <c r="AO58"/>
      <c r="AP58"/>
      <c r="AQ58"/>
      <c r="AR58"/>
    </row>
    <row r="59" spans="1:31" x14ac:dyDescent="0.3">
      <c r="A59" s="223"/>
      <c r="B59" s="224" t="str">
        <f>IF($A59="","",IFERROR(INDEX(Inputs!$B$6:$B$80,MATCH($A59,Inputs!$A$6:$A$80,0)),"not in register"))</f>
        <v>Rehabilitation of the Main Piers of the Terminal Port at Kwanda Base</v>
      </c>
      <c r="C59" s="223"/>
      <c r="D59" s="223"/>
      <c r="E59" s="225"/>
      <c r="F59" s="226"/>
      <c r="G59" s="227" t="str">
        <f>IF(OR($D59="",$F59=""),"",IFERROR(INDEX('Rules of Credit'!$C$5:$C$38,MATCH($D59&amp;"|"&amp;$F59,'Rules of Credit'!$F$5:$F$38,0)),"invalid step"))</f>
        <v>Documents received and logged</v>
      </c>
      <c r="H59" s="228">
        <f>IF(OR($D59="",$F59=""),"",IFERROR(INDEX('Rules of Credit'!$D$5:$D$38,MATCH($D59&amp;"|"&amp;$F59,'Rules of Credit'!$F$5:$F$38,0)),""))</f>
        <v>0.1</v>
      </c>
      <c r="I59" s="229">
        <f t="shared" si="4"/>
        <v>0.1</v>
      </c>
      <c r="J59" s="242"/>
      <c r="K59" s="243"/>
      <c r="L59" s="243"/>
      <c r="M59" s="243"/>
      <c r="N59" s="244" t="str">
        <f t="shared" si="5"/>
        <v>OK</v>
      </c>
      <c r="O59" s="221"/>
      <c r="P59" s="233">
        <f>IF($D59="",0,IFERROR(INDEX('Project Types'!$E$5:$E$13,MATCH($D59,'Project Types'!$A$5:$A$13,0)),1))</f>
        <v>0.75</v>
      </c>
      <c r="Q59" s="227" t="str">
        <f>IF(Inputs!$A60="","",Inputs!$A60)</f>
        <v/>
      </c>
      <c r="R59" s="230" t="str">
        <f t="shared" si="8"/>
        <v/>
      </c>
      <c r="S59" s="231" t="str">
        <f t="shared" si="9"/>
        <v/>
      </c>
      <c r="T59" s="230" t="str">
        <f t="shared" si="7"/>
        <v/>
      </c>
      <c r="U59" s="229" t="str">
        <f t="shared" si="10"/>
        <v/>
      </c>
      <c r="V59" s="233" t="str" cm="1">
        <f t="array" ref="V59">IF($Q59="","",IF($S59=0,1,SUMPRODUCT(($A$5:$A$204=$Q59)*$E$5:$E$204*$P$5:$P$204)/$S59))</f>
        <v/>
      </c>
      <c r="W59" s="246" t="str" cm="1">
        <f t="array" ref="W59">IF($Q59="","",IF(SUMIF($A$5:$A$204,$Q59,$I$5:$I$204)&gt;0,SUMPRODUCT(IFERROR(($A$5:$A$204=$Q59)*$I$5:$I$204*K$5:K$204,0))/SUMIF($A$5:$A$204,$Q59,$I$5:$I$204),IF($S59&gt;0,SUMPRODUCT(IFERROR(($A$5:$A$204=$Q59)*$E$5:$E$204*K$5:K$204,0))/$S59,"")))</f>
        <v/>
      </c>
      <c r="X59" s="246" t="str" cm="1">
        <f t="array" ref="X59">IF($Q59="","",IF(SUMIF($A$5:$A$204,$Q59,$I$5:$I$204)&gt;0,SUMPRODUCT(IFERROR(($A$5:$A$204=$Q59)*$I$5:$I$204*L$5:L$204,0))/SUMIF($A$5:$A$204,$Q59,$I$5:$I$204),IF($S59&gt;0,SUMPRODUCT(IFERROR(($A$5:$A$204=$Q59)*$E$5:$E$204*L$5:L$204,0))/$S59,"")))</f>
        <v/>
      </c>
      <c r="Y59" s="246" t="str" cm="1">
        <f t="array" ref="Y59">IF($Q59="","",IF(SUMIF($A$5:$A$204,$Q59,$I$5:$I$204)&gt;0,SUMPRODUCT(IFERROR(($A$5:$A$204=$Q59)*$I$5:$I$204*M$5:M$204,0))/SUMIF($A$5:$A$204,$Q59,$I$5:$I$204),IF($S59&gt;0,SUMPRODUCT(IFERROR(($A$5:$A$204=$Q59)*$E$5:$E$204*M$5:M$204,0))/$S59,"")))</f>
        <v/>
      </c>
      <c r="Z59" s="247" t="str">
        <f t="shared" si="6"/>
        <v/>
      </c>
      <c r="AA59" s="388">
        <f>IF($A59="","",IFERROR('Deliverable Actuals'!$K59,""))</f>
        <v>45631</v>
      </c>
      <c r="AB59" s="388">
        <f>IF($A59="","",IFERROR('Deliverable Actuals'!$L59,""))</f>
        <v>46057</v>
      </c>
      <c r="AC59" s="389">
        <f>IF($A59="","",IFERROR('Deliverable Actuals'!$I59,""))</f>
        <v>93</v>
      </c>
      <c r="AD59" s="350">
        <f>IF($A59="","",IFERROR('Deliverable Actuals'!$P59,""))</f>
        <v>293</v>
      </c>
      <c r="AE59" s="335" t="str">
        <f>IF($A59="","",IFERROR('Deliverable Actuals'!$R59,""))</f>
        <v>Dormant since 2026-02-04</v>
      </c>
      <c r="AG59"/>
      <c r="AH59"/>
      <c r="AI59"/>
      <c r="AJ59"/>
      <c r="AK59"/>
      <c r="AL59"/>
      <c r="AM59"/>
      <c r="AN59"/>
      <c r="AO59"/>
      <c r="AP59"/>
      <c r="AQ59"/>
      <c r="AR59"/>
    </row>
    <row r="60" spans="1:31" x14ac:dyDescent="0.3">
      <c r="A60" s="223"/>
      <c r="B60" s="224" t="str">
        <f>IF($A60="","",IFERROR(INDEX(Inputs!$B$6:$B$80,MATCH($A60,Inputs!$A$6:$A$80,0)),"not in register"))</f>
        <v>Comoros Inter-Island connectivity - Expansion works of the BOINGOMA port in Mohéli</v>
      </c>
      <c r="C60" s="223"/>
      <c r="D60" s="223"/>
      <c r="E60" s="225"/>
      <c r="F60" s="226"/>
      <c r="G60" s="227" t="str">
        <f>IF(OR($D60="",$F60=""),"",IFERROR(INDEX('Rules of Credit'!$C$5:$C$38,MATCH($D60&amp;"|"&amp;$F60,'Rules of Credit'!$F$5:$F$38,0)),"invalid step"))</f>
        <v>Transmitted to client (IFA/IFC)</v>
      </c>
      <c r="H60" s="228">
        <f>IF(OR($D60="",$F60=""),"",IFERROR(INDEX('Rules of Credit'!$D$5:$D$38,MATCH($D60&amp;"|"&amp;$F60,'Rules of Credit'!$F$5:$F$38,0)),""))</f>
        <v>0.85</v>
      </c>
      <c r="I60" s="229">
        <f t="shared" si="4"/>
        <v>0.85</v>
      </c>
      <c r="J60" s="242"/>
      <c r="K60" s="243"/>
      <c r="L60" s="243"/>
      <c r="M60" s="243"/>
      <c r="N60" s="244" t="str">
        <f t="shared" si="5"/>
        <v>OK</v>
      </c>
      <c r="O60" s="221"/>
      <c r="P60" s="233">
        <f>IF($D60="",0,IFERROR(INDEX('Project Types'!$E$5:$E$13,MATCH($D60,'Project Types'!$A$5:$A$13,0)),1))</f>
        <v>1</v>
      </c>
      <c r="Q60" s="227" t="str">
        <f>IF(Inputs!$A61="","",Inputs!$A61)</f>
        <v/>
      </c>
      <c r="R60" s="230" t="str">
        <f t="shared" si="8"/>
        <v/>
      </c>
      <c r="S60" s="231" t="str">
        <f t="shared" si="9"/>
        <v/>
      </c>
      <c r="T60" s="230" t="str">
        <f t="shared" si="7"/>
        <v/>
      </c>
      <c r="U60" s="229" t="str">
        <f t="shared" si="10"/>
        <v/>
      </c>
      <c r="V60" s="233" t="str" cm="1">
        <f t="array" ref="V60">IF($Q60="","",IF($S60=0,1,SUMPRODUCT(($A$5:$A$204=$Q60)*$E$5:$E$204*$P$5:$P$204)/$S60))</f>
        <v/>
      </c>
      <c r="W60" s="246" t="str" cm="1">
        <f t="array" ref="W60">IF($Q60="","",IF(SUMIF($A$5:$A$204,$Q60,$I$5:$I$204)&gt;0,SUMPRODUCT(IFERROR(($A$5:$A$204=$Q60)*$I$5:$I$204*K$5:K$204,0))/SUMIF($A$5:$A$204,$Q60,$I$5:$I$204),IF($S60&gt;0,SUMPRODUCT(IFERROR(($A$5:$A$204=$Q60)*$E$5:$E$204*K$5:K$204,0))/$S60,"")))</f>
        <v/>
      </c>
      <c r="X60" s="246" t="str" cm="1">
        <f t="array" ref="X60">IF($Q60="","",IF(SUMIF($A$5:$A$204,$Q60,$I$5:$I$204)&gt;0,SUMPRODUCT(IFERROR(($A$5:$A$204=$Q60)*$I$5:$I$204*L$5:L$204,0))/SUMIF($A$5:$A$204,$Q60,$I$5:$I$204),IF($S60&gt;0,SUMPRODUCT(IFERROR(($A$5:$A$204=$Q60)*$E$5:$E$204*L$5:L$204,0))/$S60,"")))</f>
        <v/>
      </c>
      <c r="Y60" s="246" t="str" cm="1">
        <f t="array" ref="Y60">IF($Q60="","",IF(SUMIF($A$5:$A$204,$Q60,$I$5:$I$204)&gt;0,SUMPRODUCT(IFERROR(($A$5:$A$204=$Q60)*$I$5:$I$204*M$5:M$204,0))/SUMIF($A$5:$A$204,$Q60,$I$5:$I$204),IF($S60&gt;0,SUMPRODUCT(IFERROR(($A$5:$A$204=$Q60)*$E$5:$E$204*M$5:M$204,0))/$S60,"")))</f>
        <v/>
      </c>
      <c r="Z60" s="247" t="str">
        <f t="shared" si="6"/>
        <v/>
      </c>
      <c r="AA60" s="388">
        <f>IF($A60="","",IFERROR('Deliverable Actuals'!$K60,""))</f>
        <v>45957</v>
      </c>
      <c r="AB60" s="388">
        <f>IF($A60="","",IFERROR('Deliverable Actuals'!$L60,""))</f>
        <v>46198</v>
      </c>
      <c r="AC60" s="389">
        <f>IF($A60="","",IFERROR('Deliverable Actuals'!$I60,""))</f>
        <v>568.5</v>
      </c>
      <c r="AD60" s="350">
        <f>IF($A60="","",IFERROR('Deliverable Actuals'!$P60,""))</f>
        <v>118</v>
      </c>
      <c r="AE60" s="335" t="str">
        <f>IF($A60="","",IFERROR('Deliverable Actuals'!$R60,""))</f>
        <v>Dormant since 2026-06-25</v>
      </c>
      <c r="AG60"/>
      <c r="AH60"/>
      <c r="AI60"/>
      <c r="AJ60"/>
      <c r="AK60"/>
      <c r="AL60"/>
      <c r="AM60"/>
      <c r="AN60"/>
      <c r="AO60"/>
      <c r="AP60"/>
      <c r="AQ60"/>
      <c r="AR60"/>
    </row>
    <row r="61" spans="1:31" x14ac:dyDescent="0.3">
      <c r="A61" s="223"/>
      <c r="B61" s="224" t="str">
        <f>IF($A61="","",IFERROR(INDEX(Inputs!$B$6:$B$80,MATCH($A61,Inputs!$A$6:$A$80,0)),"not in register"))</f>
        <v>Requalification of Luanda Naval Base</v>
      </c>
      <c r="C61" s="223"/>
      <c r="D61" s="223"/>
      <c r="E61" s="225"/>
      <c r="F61" s="226"/>
      <c r="G61" s="227" t="str">
        <f>IF(OR($D61="",$F61=""),"",IFERROR(INDEX('Rules of Credit'!$C$5:$C$38,MATCH($D61&amp;"|"&amp;$F61,'Rules of Credit'!$F$5:$F$38,0)),"invalid step"))</f>
        <v>Documents received and logged</v>
      </c>
      <c r="H61" s="228">
        <f>IF(OR($D61="",$F61=""),"",IFERROR(INDEX('Rules of Credit'!$D$5:$D$38,MATCH($D61&amp;"|"&amp;$F61,'Rules of Credit'!$F$5:$F$38,0)),""))</f>
        <v>0.1</v>
      </c>
      <c r="I61" s="229">
        <f t="shared" si="4"/>
        <v>0.1</v>
      </c>
      <c r="J61" s="242"/>
      <c r="K61" s="243"/>
      <c r="L61" s="243"/>
      <c r="M61" s="243"/>
      <c r="N61" s="244" t="str">
        <f t="shared" si="5"/>
        <v>OK</v>
      </c>
      <c r="O61" s="221"/>
      <c r="P61" s="233">
        <f>IF($D61="",0,IFERROR(INDEX('Project Types'!$E$5:$E$13,MATCH($D61,'Project Types'!$A$5:$A$13,0)),1))</f>
        <v>0.75</v>
      </c>
      <c r="Q61" s="227" t="str">
        <f>IF(Inputs!$A62="","",Inputs!$A62)</f>
        <v/>
      </c>
      <c r="R61" s="230" t="str">
        <f t="shared" si="8"/>
        <v/>
      </c>
      <c r="S61" s="231" t="str">
        <f t="shared" si="9"/>
        <v/>
      </c>
      <c r="T61" s="230" t="str">
        <f t="shared" si="7"/>
        <v/>
      </c>
      <c r="U61" s="229" t="str">
        <f t="shared" si="10"/>
        <v/>
      </c>
      <c r="V61" s="233" t="str" cm="1">
        <f t="array" ref="V61">IF($Q61="","",IF($S61=0,1,SUMPRODUCT(($A$5:$A$204=$Q61)*$E$5:$E$204*$P$5:$P$204)/$S61))</f>
        <v/>
      </c>
      <c r="W61" s="246" t="str" cm="1">
        <f t="array" ref="W61">IF($Q61="","",IF(SUMIF($A$5:$A$204,$Q61,$I$5:$I$204)&gt;0,SUMPRODUCT(IFERROR(($A$5:$A$204=$Q61)*$I$5:$I$204*K$5:K$204,0))/SUMIF($A$5:$A$204,$Q61,$I$5:$I$204),IF($S61&gt;0,SUMPRODUCT(IFERROR(($A$5:$A$204=$Q61)*$E$5:$E$204*K$5:K$204,0))/$S61,"")))</f>
        <v/>
      </c>
      <c r="X61" s="246" t="str" cm="1">
        <f t="array" ref="X61">IF($Q61="","",IF(SUMIF($A$5:$A$204,$Q61,$I$5:$I$204)&gt;0,SUMPRODUCT(IFERROR(($A$5:$A$204=$Q61)*$I$5:$I$204*L$5:L$204,0))/SUMIF($A$5:$A$204,$Q61,$I$5:$I$204),IF($S61&gt;0,SUMPRODUCT(IFERROR(($A$5:$A$204=$Q61)*$E$5:$E$204*L$5:L$204,0))/$S61,"")))</f>
        <v/>
      </c>
      <c r="Y61" s="246" t="str" cm="1">
        <f t="array" ref="Y61">IF($Q61="","",IF(SUMIF($A$5:$A$204,$Q61,$I$5:$I$204)&gt;0,SUMPRODUCT(IFERROR(($A$5:$A$204=$Q61)*$I$5:$I$204*M$5:M$204,0))/SUMIF($A$5:$A$204,$Q61,$I$5:$I$204),IF($S61&gt;0,SUMPRODUCT(IFERROR(($A$5:$A$204=$Q61)*$E$5:$E$204*M$5:M$204,0))/$S61,"")))</f>
        <v/>
      </c>
      <c r="Z61" s="247" t="str">
        <f t="shared" si="6"/>
        <v/>
      </c>
      <c r="AA61" s="388">
        <f>IF($A61="","",IFERROR('Deliverable Actuals'!$K61,""))</f>
        <v>45580</v>
      </c>
      <c r="AB61" s="388">
        <f>IF($A61="","",IFERROR('Deliverable Actuals'!$L61,""))</f>
        <v>45945</v>
      </c>
      <c r="AC61" s="389">
        <f>IF($A61="","",IFERROR('Deliverable Actuals'!$I61,""))</f>
        <v>338.75</v>
      </c>
      <c r="AD61" s="350">
        <f>IF($A61="","",IFERROR('Deliverable Actuals'!$P61,""))</f>
        <v>211</v>
      </c>
      <c r="AE61" s="335" t="str">
        <f>IF($A61="","",IFERROR('Deliverable Actuals'!$R61,""))</f>
        <v>Dormant since 2025-10-15</v>
      </c>
      <c r="AG61"/>
      <c r="AH61"/>
      <c r="AI61"/>
      <c r="AJ61"/>
      <c r="AK61"/>
      <c r="AL61"/>
      <c r="AM61"/>
      <c r="AN61"/>
      <c r="AO61"/>
      <c r="AP61"/>
      <c r="AQ61"/>
      <c r="AR61"/>
    </row>
    <row r="62" spans="1:31" x14ac:dyDescent="0.3">
      <c r="A62" s="223"/>
      <c r="B62" s="224" t="str">
        <f>IF($A62="","",IFERROR(INDEX(Inputs!$B$6:$B$80,MATCH($A62,Inputs!$A$6:$A$80,0)),"not in register"))</f>
        <v>Construction of Fertilizer Complex in Soyo</v>
      </c>
      <c r="C62" s="223"/>
      <c r="D62" s="223"/>
      <c r="E62" s="225"/>
      <c r="F62" s="226"/>
      <c r="G62" s="227" t="str">
        <f>IF(OR($D62="",$F62=""),"",IFERROR(INDEX('Rules of Credit'!$C$5:$C$38,MATCH($D62&amp;"|"&amp;$F62,'Rules of Credit'!$F$5:$F$38,0)),"invalid step"))</f>
        <v>Documents received and logged</v>
      </c>
      <c r="H62" s="228">
        <f>IF(OR($D62="",$F62=""),"",IFERROR(INDEX('Rules of Credit'!$D$5:$D$38,MATCH($D62&amp;"|"&amp;$F62,'Rules of Credit'!$F$5:$F$38,0)),""))</f>
        <v>0.1</v>
      </c>
      <c r="I62" s="229">
        <f t="shared" si="4"/>
        <v>0.1</v>
      </c>
      <c r="J62" s="242"/>
      <c r="K62" s="243"/>
      <c r="L62" s="243"/>
      <c r="M62" s="243"/>
      <c r="N62" s="244" t="str">
        <f t="shared" si="5"/>
        <v>OK</v>
      </c>
      <c r="O62" s="221"/>
      <c r="P62" s="233">
        <f>IF($D62="",0,IFERROR(INDEX('Project Types'!$E$5:$E$13,MATCH($D62,'Project Types'!$A$5:$A$13,0)),1))</f>
        <v>0.75</v>
      </c>
      <c r="Q62" s="227" t="str">
        <f>IF(Inputs!$A63="","",Inputs!$A63)</f>
        <v/>
      </c>
      <c r="R62" s="230" t="str">
        <f t="shared" si="8"/>
        <v/>
      </c>
      <c r="S62" s="231" t="str">
        <f t="shared" si="9"/>
        <v/>
      </c>
      <c r="T62" s="230" t="str">
        <f t="shared" si="7"/>
        <v/>
      </c>
      <c r="U62" s="229" t="str">
        <f t="shared" si="10"/>
        <v/>
      </c>
      <c r="V62" s="233" t="str" cm="1">
        <f t="array" ref="V62">IF($Q62="","",IF($S62=0,1,SUMPRODUCT(($A$5:$A$204=$Q62)*$E$5:$E$204*$P$5:$P$204)/$S62))</f>
        <v/>
      </c>
      <c r="W62" s="246" t="str" cm="1">
        <f t="array" ref="W62">IF($Q62="","",IF(SUMIF($A$5:$A$204,$Q62,$I$5:$I$204)&gt;0,SUMPRODUCT(IFERROR(($A$5:$A$204=$Q62)*$I$5:$I$204*K$5:K$204,0))/SUMIF($A$5:$A$204,$Q62,$I$5:$I$204),IF($S62&gt;0,SUMPRODUCT(IFERROR(($A$5:$A$204=$Q62)*$E$5:$E$204*K$5:K$204,0))/$S62,"")))</f>
        <v/>
      </c>
      <c r="X62" s="246" t="str" cm="1">
        <f t="array" ref="X62">IF($Q62="","",IF(SUMIF($A$5:$A$204,$Q62,$I$5:$I$204)&gt;0,SUMPRODUCT(IFERROR(($A$5:$A$204=$Q62)*$I$5:$I$204*L$5:L$204,0))/SUMIF($A$5:$A$204,$Q62,$I$5:$I$204),IF($S62&gt;0,SUMPRODUCT(IFERROR(($A$5:$A$204=$Q62)*$E$5:$E$204*L$5:L$204,0))/$S62,"")))</f>
        <v/>
      </c>
      <c r="Y62" s="246" t="str" cm="1">
        <f t="array" ref="Y62">IF($Q62="","",IF(SUMIF($A$5:$A$204,$Q62,$I$5:$I$204)&gt;0,SUMPRODUCT(IFERROR(($A$5:$A$204=$Q62)*$I$5:$I$204*M$5:M$204,0))/SUMIF($A$5:$A$204,$Q62,$I$5:$I$204),IF($S62&gt;0,SUMPRODUCT(IFERROR(($A$5:$A$204=$Q62)*$E$5:$E$204*M$5:M$204,0))/$S62,"")))</f>
        <v/>
      </c>
      <c r="Z62" s="247" t="str">
        <f t="shared" si="6"/>
        <v/>
      </c>
      <c r="AA62" s="388">
        <f>IF($A62="","",IFERROR('Deliverable Actuals'!$K62,""))</f>
        <v>45693</v>
      </c>
      <c r="AB62" s="388">
        <f>IF($A62="","",IFERROR('Deliverable Actuals'!$L62,""))</f>
        <v>46215</v>
      </c>
      <c r="AC62" s="389">
        <f>IF($A62="","",IFERROR('Deliverable Actuals'!$I62,""))</f>
        <v>153</v>
      </c>
      <c r="AD62" s="350">
        <f>IF($A62="","",IFERROR('Deliverable Actuals'!$P62,""))</f>
        <v>347</v>
      </c>
      <c r="AE62" s="335" t="str">
        <f>IF($A62="","",IFERROR('Deliverable Actuals'!$R62,""))</f>
        <v>Dormant since 2026-07-12</v>
      </c>
      <c r="AG62"/>
      <c r="AH62"/>
      <c r="AI62"/>
      <c r="AJ62"/>
      <c r="AK62"/>
      <c r="AL62"/>
      <c r="AM62"/>
      <c r="AN62"/>
      <c r="AO62"/>
      <c r="AP62"/>
      <c r="AQ62"/>
      <c r="AR62"/>
    </row>
    <row r="63" spans="1:31" x14ac:dyDescent="0.3">
      <c r="A63" s="223"/>
      <c r="B63" s="224" t="str">
        <f>IF($A63="","",IFERROR(INDEX(Inputs!$B$6:$B$80,MATCH($A63,Inputs!$A$6:$A$80,0)),"not in register"))</f>
        <v xml:space="preserve">	Consultancy Services for Design Review for The Development of Kisiwa / MGAO Port in Mtwara.</v>
      </c>
      <c r="C63" s="223"/>
      <c r="D63" s="223"/>
      <c r="E63" s="225"/>
      <c r="F63" s="226"/>
      <c r="G63" s="227" t="str">
        <f>IF(OR($D63="",$F63=""),"",IFERROR(INDEX('Rules of Credit'!$C$5:$C$38,MATCH($D63&amp;"|"&amp;$F63,'Rules of Credit'!$F$5:$F$38,0)),"invalid step"))</f>
        <v>Review complete internally</v>
      </c>
      <c r="H63" s="228">
        <f>IF(OR($D63="",$F63=""),"",IFERROR(INDEX('Rules of Credit'!$D$5:$D$38,MATCH($D63&amp;"|"&amp;$F63,'Rules of Credit'!$F$5:$F$38,0)),""))</f>
        <v>0.6</v>
      </c>
      <c r="I63" s="229">
        <f t="shared" si="4"/>
        <v>0.6</v>
      </c>
      <c r="J63" s="242"/>
      <c r="K63" s="243"/>
      <c r="L63" s="243"/>
      <c r="M63" s="243"/>
      <c r="N63" s="244" t="str">
        <f t="shared" si="5"/>
        <v>OK</v>
      </c>
      <c r="O63" s="221"/>
      <c r="P63" s="233">
        <f>IF($D63="",0,IFERROR(INDEX('Project Types'!$E$5:$E$13,MATCH($D63,'Project Types'!$A$5:$A$13,0)),1))</f>
        <v>0.75</v>
      </c>
      <c r="Q63" s="227" t="str">
        <f>IF(Inputs!$A64="","",Inputs!$A64)</f>
        <v/>
      </c>
      <c r="R63" s="230" t="str">
        <f t="shared" si="8"/>
        <v/>
      </c>
      <c r="S63" s="231" t="str">
        <f t="shared" si="9"/>
        <v/>
      </c>
      <c r="T63" s="230" t="str">
        <f t="shared" si="7"/>
        <v/>
      </c>
      <c r="U63" s="229" t="str">
        <f t="shared" si="10"/>
        <v/>
      </c>
      <c r="V63" s="233" t="str" cm="1">
        <f t="array" ref="V63">IF($Q63="","",IF($S63=0,1,SUMPRODUCT(($A$5:$A$204=$Q63)*$E$5:$E$204*$P$5:$P$204)/$S63))</f>
        <v/>
      </c>
      <c r="W63" s="246" t="str" cm="1">
        <f t="array" ref="W63">IF($Q63="","",IF(SUMIF($A$5:$A$204,$Q63,$I$5:$I$204)&gt;0,SUMPRODUCT(IFERROR(($A$5:$A$204=$Q63)*$I$5:$I$204*K$5:K$204,0))/SUMIF($A$5:$A$204,$Q63,$I$5:$I$204),IF($S63&gt;0,SUMPRODUCT(IFERROR(($A$5:$A$204=$Q63)*$E$5:$E$204*K$5:K$204,0))/$S63,"")))</f>
        <v/>
      </c>
      <c r="X63" s="246" t="str" cm="1">
        <f t="array" ref="X63">IF($Q63="","",IF(SUMIF($A$5:$A$204,$Q63,$I$5:$I$204)&gt;0,SUMPRODUCT(IFERROR(($A$5:$A$204=$Q63)*$I$5:$I$204*L$5:L$204,0))/SUMIF($A$5:$A$204,$Q63,$I$5:$I$204),IF($S63&gt;0,SUMPRODUCT(IFERROR(($A$5:$A$204=$Q63)*$E$5:$E$204*L$5:L$204,0))/$S63,"")))</f>
        <v/>
      </c>
      <c r="Y63" s="246" t="str" cm="1">
        <f t="array" ref="Y63">IF($Q63="","",IF(SUMIF($A$5:$A$204,$Q63,$I$5:$I$204)&gt;0,SUMPRODUCT(IFERROR(($A$5:$A$204=$Q63)*$I$5:$I$204*M$5:M$204,0))/SUMIF($A$5:$A$204,$Q63,$I$5:$I$204),IF($S63&gt;0,SUMPRODUCT(IFERROR(($A$5:$A$204=$Q63)*$E$5:$E$204*M$5:M$204,0))/$S63,"")))</f>
        <v/>
      </c>
      <c r="Z63" s="247" t="str">
        <f t="shared" si="6"/>
        <v/>
      </c>
      <c r="AA63" s="388">
        <f>IF($A63="","",IFERROR('Deliverable Actuals'!$K63,""))</f>
        <v>45762</v>
      </c>
      <c r="AB63" s="388">
        <f>IF($A63="","",IFERROR('Deliverable Actuals'!$L63,""))</f>
        <v>46118</v>
      </c>
      <c r="AC63" s="389">
        <f>IF($A63="","",IFERROR('Deliverable Actuals'!$I63,""))</f>
        <v>262.25</v>
      </c>
      <c r="AD63" s="350">
        <f>IF($A63="","",IFERROR('Deliverable Actuals'!$P63,""))</f>
        <v>212</v>
      </c>
      <c r="AE63" s="335" t="str">
        <f>IF($A63="","",IFERROR('Deliverable Actuals'!$R63,""))</f>
        <v>Dormant since 2026-04-06</v>
      </c>
      <c r="AG63"/>
      <c r="AH63"/>
      <c r="AI63"/>
      <c r="AJ63"/>
      <c r="AK63"/>
      <c r="AL63"/>
      <c r="AM63"/>
      <c r="AN63"/>
      <c r="AO63"/>
      <c r="AP63"/>
      <c r="AQ63"/>
      <c r="AR63"/>
    </row>
    <row r="64" spans="1:31" x14ac:dyDescent="0.3">
      <c r="A64" s="223"/>
      <c r="B64" s="224" t="str">
        <f>IF($A64="","",IFERROR(INDEX(Inputs!$B$6:$B$80,MATCH($A64,Inputs!$A$6:$A$80,0)),"not in register"))</f>
        <v xml:space="preserve">	JCDC Detailed Masterplan &amp; Engineering - MBS Bay - Urban Development</v>
      </c>
      <c r="C64" s="223"/>
      <c r="D64" s="223"/>
      <c r="E64" s="225"/>
      <c r="F64" s="226"/>
      <c r="G64" s="227" t="str">
        <f>IF(OR($D64="",$F64=""),"",IFERROR(INDEX('Rules of Credit'!$C$5:$C$38,MATCH($D64&amp;"|"&amp;$F64,'Rules of Credit'!$F$5:$F$38,0)),"invalid step"))</f>
        <v>Client acceptance</v>
      </c>
      <c r="H64" s="228">
        <f>IF(OR($D64="",$F64=""),"",IFERROR(INDEX('Rules of Credit'!$D$5:$D$38,MATCH($D64&amp;"|"&amp;$F64,'Rules of Credit'!$F$5:$F$38,0)),""))</f>
        <v>1</v>
      </c>
      <c r="I64" s="229">
        <f t="shared" si="4"/>
        <v>1</v>
      </c>
      <c r="J64" s="242"/>
      <c r="K64" s="243"/>
      <c r="L64" s="243"/>
      <c r="M64" s="243"/>
      <c r="N64" s="244" t="str">
        <f t="shared" si="5"/>
        <v>OK</v>
      </c>
      <c r="O64" s="221"/>
      <c r="P64" s="233">
        <f>IF($D64="",0,IFERROR(INDEX('Project Types'!$E$5:$E$13,MATCH($D64,'Project Types'!$A$5:$A$13,0)),1))</f>
        <v>1.1000000000000001</v>
      </c>
      <c r="Q64" s="227" t="str">
        <f>IF(Inputs!$A65="","",Inputs!$A65)</f>
        <v/>
      </c>
      <c r="R64" s="230" t="str">
        <f t="shared" si="8"/>
        <v/>
      </c>
      <c r="S64" s="231" t="str">
        <f t="shared" si="9"/>
        <v/>
      </c>
      <c r="T64" s="230" t="str">
        <f t="shared" si="7"/>
        <v/>
      </c>
      <c r="U64" s="229" t="str">
        <f t="shared" si="10"/>
        <v/>
      </c>
      <c r="V64" s="233" t="str" cm="1">
        <f t="array" ref="V64">IF($Q64="","",IF($S64=0,1,SUMPRODUCT(($A$5:$A$204=$Q64)*$E$5:$E$204*$P$5:$P$204)/$S64))</f>
        <v/>
      </c>
      <c r="W64" s="246" t="str" cm="1">
        <f t="array" ref="W64">IF($Q64="","",IF(SUMIF($A$5:$A$204,$Q64,$I$5:$I$204)&gt;0,SUMPRODUCT(IFERROR(($A$5:$A$204=$Q64)*$I$5:$I$204*K$5:K$204,0))/SUMIF($A$5:$A$204,$Q64,$I$5:$I$204),IF($S64&gt;0,SUMPRODUCT(IFERROR(($A$5:$A$204=$Q64)*$E$5:$E$204*K$5:K$204,0))/$S64,"")))</f>
        <v/>
      </c>
      <c r="X64" s="246" t="str" cm="1">
        <f t="array" ref="X64">IF($Q64="","",IF(SUMIF($A$5:$A$204,$Q64,$I$5:$I$204)&gt;0,SUMPRODUCT(IFERROR(($A$5:$A$204=$Q64)*$I$5:$I$204*L$5:L$204,0))/SUMIF($A$5:$A$204,$Q64,$I$5:$I$204),IF($S64&gt;0,SUMPRODUCT(IFERROR(($A$5:$A$204=$Q64)*$E$5:$E$204*L$5:L$204,0))/$S64,"")))</f>
        <v/>
      </c>
      <c r="Y64" s="246" t="str" cm="1">
        <f t="array" ref="Y64">IF($Q64="","",IF(SUMIF($A$5:$A$204,$Q64,$I$5:$I$204)&gt;0,SUMPRODUCT(IFERROR(($A$5:$A$204=$Q64)*$I$5:$I$204*M$5:M$204,0))/SUMIF($A$5:$A$204,$Q64,$I$5:$I$204),IF($S64&gt;0,SUMPRODUCT(IFERROR(($A$5:$A$204=$Q64)*$E$5:$E$204*M$5:M$204,0))/$S64,"")))</f>
        <v/>
      </c>
      <c r="Z64" s="247" t="str">
        <f t="shared" si="6"/>
        <v/>
      </c>
      <c r="AA64" s="388">
        <f>IF($A64="","",IFERROR('Deliverable Actuals'!$K64,""))</f>
        <v>0</v>
      </c>
      <c r="AB64" s="388">
        <f>IF($A64="","",IFERROR('Deliverable Actuals'!$L64,""))</f>
        <v>0</v>
      </c>
      <c r="AC64" s="389">
        <f>IF($A64="","",IFERROR('Deliverable Actuals'!$I64,""))</f>
        <v>0</v>
      </c>
      <c r="AD64" s="350">
        <f>IF($A64="","",IFERROR('Deliverable Actuals'!$P64,""))</f>
        <v>0</v>
      </c>
      <c r="AE64" s="335" t="str">
        <f>IF($A64="","",IFERROR('Deliverable Actuals'!$R64,""))</f>
        <v>Never charged</v>
      </c>
      <c r="AG64"/>
      <c r="AH64"/>
      <c r="AI64"/>
      <c r="AJ64"/>
      <c r="AK64"/>
      <c r="AL64"/>
      <c r="AM64"/>
      <c r="AN64"/>
      <c r="AO64"/>
      <c r="AP64"/>
      <c r="AQ64"/>
      <c r="AR64"/>
    </row>
    <row r="65" spans="1:31" x14ac:dyDescent="0.3">
      <c r="A65" s="223"/>
      <c r="B65" s="224" t="str">
        <f>IF($A65="","",IFERROR(INDEX(Inputs!$B$6:$B$80,MATCH($A65,Inputs!$A$6:$A$80,0)),"not in register"))</f>
        <v>Waterfront Villas Development, Plot P2, Sector Qasr AI Mugheirah, Zone AI Marfa, AI Dhafra Region, Abu Dhabi, UAE</v>
      </c>
      <c r="C65" s="223"/>
      <c r="D65" s="223"/>
      <c r="E65" s="225"/>
      <c r="F65" s="226"/>
      <c r="G65" s="227" t="str">
        <f>IF(OR($D65="",$F65=""),"",IFERROR(INDEX('Rules of Credit'!$C$5:$C$38,MATCH($D65&amp;"|"&amp;$F65,'Rules of Credit'!$F$5:$F$38,0)),"invalid step"))</f>
        <v>Client acceptance</v>
      </c>
      <c r="H65" s="228">
        <f>IF(OR($D65="",$F65=""),"",IFERROR(INDEX('Rules of Credit'!$D$5:$D$38,MATCH($D65&amp;"|"&amp;$F65,'Rules of Credit'!$F$5:$F$38,0)),""))</f>
        <v>1</v>
      </c>
      <c r="I65" s="229">
        <f t="shared" si="4"/>
        <v>1</v>
      </c>
      <c r="J65" s="242"/>
      <c r="K65" s="243"/>
      <c r="L65" s="243"/>
      <c r="M65" s="243"/>
      <c r="N65" s="244" t="str">
        <f t="shared" si="5"/>
        <v>OK</v>
      </c>
      <c r="O65" s="221"/>
      <c r="P65" s="233">
        <f>IF($D65="",0,IFERROR(INDEX('Project Types'!$E$5:$E$13,MATCH($D65,'Project Types'!$A$5:$A$13,0)),1))</f>
        <v>1.1000000000000001</v>
      </c>
      <c r="Q65" s="227" t="str">
        <f>IF(Inputs!$A66="","",Inputs!$A66)</f>
        <v/>
      </c>
      <c r="R65" s="230" t="str">
        <f t="shared" si="8"/>
        <v/>
      </c>
      <c r="S65" s="231" t="str">
        <f t="shared" si="9"/>
        <v/>
      </c>
      <c r="T65" s="230" t="str">
        <f t="shared" si="7"/>
        <v/>
      </c>
      <c r="U65" s="229" t="str">
        <f t="shared" si="10"/>
        <v/>
      </c>
      <c r="V65" s="233" t="str" cm="1">
        <f t="array" ref="V65">IF($Q65="","",IF($S65=0,1,SUMPRODUCT(($A$5:$A$204=$Q65)*$E$5:$E$204*$P$5:$P$204)/$S65))</f>
        <v/>
      </c>
      <c r="W65" s="246" t="str" cm="1">
        <f t="array" ref="W65">IF($Q65="","",IF(SUMIF($A$5:$A$204,$Q65,$I$5:$I$204)&gt;0,SUMPRODUCT(IFERROR(($A$5:$A$204=$Q65)*$I$5:$I$204*K$5:K$204,0))/SUMIF($A$5:$A$204,$Q65,$I$5:$I$204),IF($S65&gt;0,SUMPRODUCT(IFERROR(($A$5:$A$204=$Q65)*$E$5:$E$204*K$5:K$204,0))/$S65,"")))</f>
        <v/>
      </c>
      <c r="X65" s="246" t="str" cm="1">
        <f t="array" ref="X65">IF($Q65="","",IF(SUMIF($A$5:$A$204,$Q65,$I$5:$I$204)&gt;0,SUMPRODUCT(IFERROR(($A$5:$A$204=$Q65)*$I$5:$I$204*L$5:L$204,0))/SUMIF($A$5:$A$204,$Q65,$I$5:$I$204),IF($S65&gt;0,SUMPRODUCT(IFERROR(($A$5:$A$204=$Q65)*$E$5:$E$204*L$5:L$204,0))/$S65,"")))</f>
        <v/>
      </c>
      <c r="Y65" s="246" t="str" cm="1">
        <f t="array" ref="Y65">IF($Q65="","",IF(SUMIF($A$5:$A$204,$Q65,$I$5:$I$204)&gt;0,SUMPRODUCT(IFERROR(($A$5:$A$204=$Q65)*$I$5:$I$204*M$5:M$204,0))/SUMIF($A$5:$A$204,$Q65,$I$5:$I$204),IF($S65&gt;0,SUMPRODUCT(IFERROR(($A$5:$A$204=$Q65)*$E$5:$E$204*M$5:M$204,0))/$S65,"")))</f>
        <v/>
      </c>
      <c r="Z65" s="247" t="str">
        <f t="shared" si="6"/>
        <v/>
      </c>
      <c r="AA65" s="388">
        <f>IF($A65="","",IFERROR('Deliverable Actuals'!$K65,""))</f>
        <v>0</v>
      </c>
      <c r="AB65" s="388">
        <f>IF($A65="","",IFERROR('Deliverable Actuals'!$L65,""))</f>
        <v>0</v>
      </c>
      <c r="AC65" s="389">
        <f>IF($A65="","",IFERROR('Deliverable Actuals'!$I65,""))</f>
        <v>0</v>
      </c>
      <c r="AD65" s="350">
        <f>IF($A65="","",IFERROR('Deliverable Actuals'!$P65,""))</f>
        <v>0</v>
      </c>
      <c r="AE65" s="335" t="str">
        <f>IF($A65="","",IFERROR('Deliverable Actuals'!$R65,""))</f>
        <v>Never charged</v>
      </c>
      <c r="AG65"/>
      <c r="AH65"/>
      <c r="AI65"/>
      <c r="AJ65"/>
      <c r="AK65"/>
      <c r="AL65"/>
      <c r="AM65"/>
      <c r="AN65"/>
      <c r="AO65"/>
      <c r="AP65"/>
      <c r="AQ65"/>
      <c r="AR65"/>
    </row>
    <row r="66" spans="1:31" x14ac:dyDescent="0.3">
      <c r="A66" s="223"/>
      <c r="B66" s="224" t="str">
        <f>IF($A66="","",IFERROR(INDEX(Inputs!$B$6:$B$80,MATCH($A66,Inputs!$A$6:$A$80,0)),"not in register"))</f>
        <v>AOR/EOR &amp; Engineering Services Sazan Development</v>
      </c>
      <c r="C66" s="223"/>
      <c r="D66" s="223"/>
      <c r="E66" s="225"/>
      <c r="F66" s="226"/>
      <c r="G66" s="227" t="str">
        <f>IF(OR($D66="",$F66=""),"",IFERROR(INDEX('Rules of Credit'!$C$5:$C$38,MATCH($D66&amp;"|"&amp;$F66,'Rules of Credit'!$F$5:$F$38,0)),"invalid step"))</f>
        <v/>
      </c>
      <c r="H66" s="228" t="str">
        <f>IF(OR($D66="",$F66=""),"",IFERROR(INDEX('Rules of Credit'!$D$5:$D$38,MATCH($D66&amp;"|"&amp;$F66,'Rules of Credit'!$F$5:$F$38,0)),""))</f>
        <v/>
      </c>
      <c r="I66" s="229" t="str">
        <f t="shared" si="4"/>
        <v/>
      </c>
      <c r="J66" s="242"/>
      <c r="K66" s="243"/>
      <c r="L66" s="243"/>
      <c r="M66" s="243"/>
      <c r="N66" s="244" t="str">
        <f t="shared" si="5"/>
        <v>OK</v>
      </c>
      <c r="O66" s="221"/>
      <c r="P66" s="233">
        <f>IF($D66="",0,IFERROR(INDEX('Project Types'!$E$5:$E$13,MATCH($D66,'Project Types'!$A$5:$A$13,0)),1))</f>
        <v>1.1000000000000001</v>
      </c>
      <c r="Q66" s="227" t="str">
        <f>IF(Inputs!$A67="","",Inputs!$A67)</f>
        <v/>
      </c>
      <c r="R66" s="230" t="str">
        <f t="shared" si="8"/>
        <v/>
      </c>
      <c r="S66" s="231" t="str">
        <f t="shared" si="9"/>
        <v/>
      </c>
      <c r="T66" s="230" t="str">
        <f t="shared" si="7"/>
        <v/>
      </c>
      <c r="U66" s="229" t="str">
        <f t="shared" si="10"/>
        <v/>
      </c>
      <c r="V66" s="233" t="str" cm="1">
        <f t="array" ref="V66">IF($Q66="","",IF($S66=0,1,SUMPRODUCT(($A$5:$A$204=$Q66)*$E$5:$E$204*$P$5:$P$204)/$S66))</f>
        <v/>
      </c>
      <c r="W66" s="246" t="str" cm="1">
        <f t="array" ref="W66">IF($Q66="","",IF(SUMIF($A$5:$A$204,$Q66,$I$5:$I$204)&gt;0,SUMPRODUCT(IFERROR(($A$5:$A$204=$Q66)*$I$5:$I$204*K$5:K$204,0))/SUMIF($A$5:$A$204,$Q66,$I$5:$I$204),IF($S66&gt;0,SUMPRODUCT(IFERROR(($A$5:$A$204=$Q66)*$E$5:$E$204*K$5:K$204,0))/$S66,"")))</f>
        <v/>
      </c>
      <c r="X66" s="246" t="str" cm="1">
        <f t="array" ref="X66">IF($Q66="","",IF(SUMIF($A$5:$A$204,$Q66,$I$5:$I$204)&gt;0,SUMPRODUCT(IFERROR(($A$5:$A$204=$Q66)*$I$5:$I$204*L$5:L$204,0))/SUMIF($A$5:$A$204,$Q66,$I$5:$I$204),IF($S66&gt;0,SUMPRODUCT(IFERROR(($A$5:$A$204=$Q66)*$E$5:$E$204*L$5:L$204,0))/$S66,"")))</f>
        <v/>
      </c>
      <c r="Y66" s="246" t="str" cm="1">
        <f t="array" ref="Y66">IF($Q66="","",IF(SUMIF($A$5:$A$204,$Q66,$I$5:$I$204)&gt;0,SUMPRODUCT(IFERROR(($A$5:$A$204=$Q66)*$I$5:$I$204*M$5:M$204,0))/SUMIF($A$5:$A$204,$Q66,$I$5:$I$204),IF($S66&gt;0,SUMPRODUCT(IFERROR(($A$5:$A$204=$Q66)*$E$5:$E$204*M$5:M$204,0))/$S66,"")))</f>
        <v/>
      </c>
      <c r="Z66" s="247" t="str">
        <f t="shared" si="6"/>
        <v/>
      </c>
      <c r="AA66" s="388">
        <f>IF($A66="","",IFERROR('Deliverable Actuals'!$K66,""))</f>
        <v>0</v>
      </c>
      <c r="AB66" s="388">
        <f>IF($A66="","",IFERROR('Deliverable Actuals'!$L66,""))</f>
        <v>0</v>
      </c>
      <c r="AC66" s="389">
        <f>IF($A66="","",IFERROR('Deliverable Actuals'!$I66,""))</f>
        <v>0</v>
      </c>
      <c r="AD66" s="350">
        <f>IF($A66="","",IFERROR('Deliverable Actuals'!$P66,""))</f>
        <v>0</v>
      </c>
      <c r="AE66" s="335" t="str">
        <f>IF($A66="","",IFERROR('Deliverable Actuals'!$R66,""))</f>
        <v>Never charged</v>
      </c>
      <c r="AG66"/>
      <c r="AH66"/>
      <c r="AI66"/>
      <c r="AJ66"/>
      <c r="AK66"/>
      <c r="AL66"/>
      <c r="AM66"/>
      <c r="AN66"/>
      <c r="AO66"/>
      <c r="AP66"/>
      <c r="AQ66"/>
      <c r="AR66"/>
    </row>
    <row r="67" spans="1:31" x14ac:dyDescent="0.3">
      <c r="A67" s="223"/>
      <c r="B67" s="224" t="str">
        <f>IF($A67="","",IFERROR(INDEX(Inputs!$B$6:$B$80,MATCH($A67,Inputs!$A$6:$A$80,0)),"not in register"))</f>
        <v>Chargable Proposals of 2026</v>
      </c>
      <c r="C67" s="223"/>
      <c r="D67" s="223"/>
      <c r="E67" s="225"/>
      <c r="F67" s="226"/>
      <c r="G67" s="227" t="str">
        <f>IF(OR($D67="",$F67=""),"",IFERROR(INDEX('Rules of Credit'!$C$5:$C$38,MATCH($D67&amp;"|"&amp;$F67,'Rules of Credit'!$F$5:$F$38,0)),"invalid step"))</f>
        <v>Proposal in preparation</v>
      </c>
      <c r="H67" s="228">
        <f>IF(OR($D67="",$F67=""),"",IFERROR(INDEX('Rules of Credit'!$D$5:$D$38,MATCH($D67&amp;"|"&amp;$F67,'Rules of Credit'!$F$5:$F$38,0)),""))</f>
        <v>0.5</v>
      </c>
      <c r="I67" s="229">
        <f t="shared" si="4"/>
        <v>0.5</v>
      </c>
      <c r="J67" s="242"/>
      <c r="K67" s="243"/>
      <c r="L67" s="243"/>
      <c r="M67" s="243"/>
      <c r="N67" s="244" t="str">
        <f t="shared" si="5"/>
        <v>OK</v>
      </c>
      <c r="O67" s="221"/>
      <c r="P67" s="233">
        <f>IF($D67="",0,IFERROR(INDEX('Project Types'!$E$5:$E$13,MATCH($D67,'Project Types'!$A$5:$A$13,0)),1))</f>
        <v>0.7</v>
      </c>
      <c r="Q67" s="227" t="str">
        <f>IF(Inputs!$A68="","",Inputs!$A68)</f>
        <v/>
      </c>
      <c r="R67" s="230" t="str">
        <f t="shared" si="8"/>
        <v/>
      </c>
      <c r="S67" s="231" t="str">
        <f t="shared" si="9"/>
        <v/>
      </c>
      <c r="T67" s="230" t="str">
        <f t="shared" si="7"/>
        <v/>
      </c>
      <c r="U67" s="229" t="str">
        <f t="shared" si="10"/>
        <v/>
      </c>
      <c r="V67" s="233" t="str" cm="1">
        <f t="array" ref="V67">IF($Q67="","",IF($S67=0,1,SUMPRODUCT(($A$5:$A$204=$Q67)*$E$5:$E$204*$P$5:$P$204)/$S67))</f>
        <v/>
      </c>
      <c r="W67" s="246" t="str" cm="1">
        <f t="array" ref="W67">IF($Q67="","",IF(SUMIF($A$5:$A$204,$Q67,$I$5:$I$204)&gt;0,SUMPRODUCT(IFERROR(($A$5:$A$204=$Q67)*$I$5:$I$204*K$5:K$204,0))/SUMIF($A$5:$A$204,$Q67,$I$5:$I$204),IF($S67&gt;0,SUMPRODUCT(IFERROR(($A$5:$A$204=$Q67)*$E$5:$E$204*K$5:K$204,0))/$S67,"")))</f>
        <v/>
      </c>
      <c r="X67" s="246" t="str" cm="1">
        <f t="array" ref="X67">IF($Q67="","",IF(SUMIF($A$5:$A$204,$Q67,$I$5:$I$204)&gt;0,SUMPRODUCT(IFERROR(($A$5:$A$204=$Q67)*$I$5:$I$204*L$5:L$204,0))/SUMIF($A$5:$A$204,$Q67,$I$5:$I$204),IF($S67&gt;0,SUMPRODUCT(IFERROR(($A$5:$A$204=$Q67)*$E$5:$E$204*L$5:L$204,0))/$S67,"")))</f>
        <v/>
      </c>
      <c r="Y67" s="246" t="str" cm="1">
        <f t="array" ref="Y67">IF($Q67="","",IF(SUMIF($A$5:$A$204,$Q67,$I$5:$I$204)&gt;0,SUMPRODUCT(IFERROR(($A$5:$A$204=$Q67)*$I$5:$I$204*M$5:M$204,0))/SUMIF($A$5:$A$204,$Q67,$I$5:$I$204),IF($S67&gt;0,SUMPRODUCT(IFERROR(($A$5:$A$204=$Q67)*$E$5:$E$204*M$5:M$204,0))/$S67,"")))</f>
        <v/>
      </c>
      <c r="Z67" s="247" t="str">
        <f t="shared" si="6"/>
        <v/>
      </c>
      <c r="AA67" s="388">
        <f>IF($A67="","",IFERROR('Deliverable Actuals'!$K67,""))</f>
        <v>46078</v>
      </c>
      <c r="AB67" s="388">
        <f>IF($A67="","",IFERROR('Deliverable Actuals'!$L67,""))</f>
        <v>46156</v>
      </c>
      <c r="AC67" s="389">
        <f>IF($A67="","",IFERROR('Deliverable Actuals'!$I67,""))</f>
        <v>61.25</v>
      </c>
      <c r="AD67" s="350">
        <f>IF($A67="","",IFERROR('Deliverable Actuals'!$P67,""))</f>
        <v>57</v>
      </c>
      <c r="AE67" s="335" t="str">
        <f>IF($A67="","",IFERROR('Deliverable Actuals'!$R67,""))</f>
        <v>Dormant since 2026-05-14</v>
      </c>
      <c r="AG67"/>
      <c r="AH67"/>
      <c r="AI67"/>
      <c r="AJ67"/>
      <c r="AK67"/>
      <c r="AL67"/>
      <c r="AM67"/>
      <c r="AN67"/>
      <c r="AO67"/>
      <c r="AP67"/>
      <c r="AQ67"/>
      <c r="AR67"/>
    </row>
    <row r="68" spans="1:31" x14ac:dyDescent="0.3">
      <c r="A68" s="223"/>
      <c r="B68" s="224" t="str">
        <f>IF($A68="","",IFERROR(INDEX(Inputs!$B$6:$B$80,MATCH($A68,Inputs!$A$6:$A$80,0)),"not in register"))</f>
        <v>Proposals of 2026</v>
      </c>
      <c r="C68" s="223"/>
      <c r="D68" s="223"/>
      <c r="E68" s="225"/>
      <c r="F68" s="226"/>
      <c r="G68" s="227" t="str">
        <f>IF(OR($D68="",$F68=""),"",IFERROR(INDEX('Rules of Credit'!$C$5:$C$38,MATCH($D68&amp;"|"&amp;$F68,'Rules of Credit'!$F$5:$F$38,0)),"invalid step"))</f>
        <v>Proposal in preparation</v>
      </c>
      <c r="H68" s="228">
        <f>IF(OR($D68="",$F68=""),"",IFERROR(INDEX('Rules of Credit'!$D$5:$D$38,MATCH($D68&amp;"|"&amp;$F68,'Rules of Credit'!$F$5:$F$38,0)),""))</f>
        <v>0.5</v>
      </c>
      <c r="I68" s="229">
        <f t="shared" si="4"/>
        <v>0.5</v>
      </c>
      <c r="J68" s="242"/>
      <c r="K68" s="243"/>
      <c r="L68" s="243"/>
      <c r="M68" s="243"/>
      <c r="N68" s="244" t="str">
        <f t="shared" si="5"/>
        <v>OK</v>
      </c>
      <c r="O68" s="221"/>
      <c r="P68" s="233">
        <f>IF($D68="",0,IFERROR(INDEX('Project Types'!$E$5:$E$13,MATCH($D68,'Project Types'!$A$5:$A$13,0)),1))</f>
        <v>0.7</v>
      </c>
      <c r="Q68" s="227" t="str">
        <f>IF(Inputs!$A69="","",Inputs!$A69)</f>
        <v/>
      </c>
      <c r="R68" s="230" t="str">
        <f t="shared" si="8"/>
        <v/>
      </c>
      <c r="S68" s="231" t="str">
        <f t="shared" si="9"/>
        <v/>
      </c>
      <c r="T68" s="230" t="str">
        <f t="shared" si="7"/>
        <v/>
      </c>
      <c r="U68" s="229" t="str">
        <f t="shared" si="10"/>
        <v/>
      </c>
      <c r="V68" s="233" t="str" cm="1">
        <f t="array" ref="V68">IF($Q68="","",IF($S68=0,1,SUMPRODUCT(($A$5:$A$204=$Q68)*$E$5:$E$204*$P$5:$P$204)/$S68))</f>
        <v/>
      </c>
      <c r="W68" s="246" t="str" cm="1">
        <f t="array" ref="W68">IF($Q68="","",IF(SUMIF($A$5:$A$204,$Q68,$I$5:$I$204)&gt;0,SUMPRODUCT(IFERROR(($A$5:$A$204=$Q68)*$I$5:$I$204*K$5:K$204,0))/SUMIF($A$5:$A$204,$Q68,$I$5:$I$204),IF($S68&gt;0,SUMPRODUCT(IFERROR(($A$5:$A$204=$Q68)*$E$5:$E$204*K$5:K$204,0))/$S68,"")))</f>
        <v/>
      </c>
      <c r="X68" s="246" t="str" cm="1">
        <f t="array" ref="X68">IF($Q68="","",IF(SUMIF($A$5:$A$204,$Q68,$I$5:$I$204)&gt;0,SUMPRODUCT(IFERROR(($A$5:$A$204=$Q68)*$I$5:$I$204*L$5:L$204,0))/SUMIF($A$5:$A$204,$Q68,$I$5:$I$204),IF($S68&gt;0,SUMPRODUCT(IFERROR(($A$5:$A$204=$Q68)*$E$5:$E$204*L$5:L$204,0))/$S68,"")))</f>
        <v/>
      </c>
      <c r="Y68" s="246" t="str" cm="1">
        <f t="array" ref="Y68">IF($Q68="","",IF(SUMIF($A$5:$A$204,$Q68,$I$5:$I$204)&gt;0,SUMPRODUCT(IFERROR(($A$5:$A$204=$Q68)*$I$5:$I$204*M$5:M$204,0))/SUMIF($A$5:$A$204,$Q68,$I$5:$I$204),IF($S68&gt;0,SUMPRODUCT(IFERROR(($A$5:$A$204=$Q68)*$E$5:$E$204*M$5:M$204,0))/$S68,"")))</f>
        <v/>
      </c>
      <c r="Z68" s="247" t="str">
        <f t="shared" si="6"/>
        <v/>
      </c>
      <c r="AA68" s="388">
        <f>IF($A68="","",IFERROR('Deliverable Actuals'!$K68,""))</f>
        <v>46041</v>
      </c>
      <c r="AB68" s="388">
        <f>IF($A68="","",IFERROR('Deliverable Actuals'!$L68,""))</f>
        <v>46093</v>
      </c>
      <c r="AC68" s="389">
        <f>IF($A68="","",IFERROR('Deliverable Actuals'!$I68,""))</f>
        <v>13</v>
      </c>
      <c r="AD68" s="350">
        <f>IF($A68="","",IFERROR('Deliverable Actuals'!$P68,""))</f>
        <v>39</v>
      </c>
      <c r="AE68" s="335" t="str">
        <f>IF($A68="","",IFERROR('Deliverable Actuals'!$R68,""))</f>
        <v>Dormant since 2026-03-12</v>
      </c>
      <c r="AG68"/>
      <c r="AH68"/>
      <c r="AI68"/>
      <c r="AJ68"/>
      <c r="AK68"/>
      <c r="AL68"/>
      <c r="AM68"/>
      <c r="AN68"/>
      <c r="AO68"/>
      <c r="AP68"/>
      <c r="AQ68"/>
      <c r="AR68"/>
    </row>
    <row r="69" spans="1:31" x14ac:dyDescent="0.3">
      <c r="A69" s="223"/>
      <c r="B69" s="224" t="str">
        <f>IF($A69="","",IFERROR(INDEX(Inputs!$B$6:$B$80,MATCH($A69,Inputs!$A$6:$A$80,0)),"not in register"))</f>
        <v/>
      </c>
      <c r="C69" s="223"/>
      <c r="D69" s="223"/>
      <c r="E69" s="225"/>
      <c r="F69" s="226"/>
      <c r="G69" s="227" t="str">
        <f>IF(OR($D69="",$F69=""),"",IFERROR(INDEX('Rules of Credit'!$C$5:$C$38,MATCH($D69&amp;"|"&amp;$F69,'Rules of Credit'!$F$5:$F$38,0)),"invalid step"))</f>
        <v/>
      </c>
      <c r="H69" s="228" t="str">
        <f>IF(OR($D69="",$F69=""),"",IFERROR(INDEX('Rules of Credit'!$D$5:$D$38,MATCH($D69&amp;"|"&amp;$F69,'Rules of Credit'!$F$5:$F$38,0)),""))</f>
        <v/>
      </c>
      <c r="I69" s="229" t="str">
        <f t="shared" si="4"/>
        <v/>
      </c>
      <c r="J69" s="242"/>
      <c r="K69" s="243"/>
      <c r="L69" s="243"/>
      <c r="M69" s="243"/>
      <c r="N69" s="244" t="str">
        <f t="shared" si="5"/>
        <v/>
      </c>
      <c r="O69" s="221"/>
      <c r="P69" s="233">
        <f>IF($D69="",0,IFERROR(INDEX('Project Types'!$E$5:$E$13,MATCH($D69,'Project Types'!$A$5:$A$13,0)),1))</f>
        <v>0</v>
      </c>
      <c r="Q69" s="227" t="str">
        <f>IF(Inputs!$A70="","",Inputs!$A70)</f>
        <v/>
      </c>
      <c r="R69" s="230" t="str">
        <f t="shared" si="8"/>
        <v/>
      </c>
      <c r="S69" s="231" t="str">
        <f t="shared" si="9"/>
        <v/>
      </c>
      <c r="T69" s="230" t="str">
        <f t="shared" si="7"/>
        <v/>
      </c>
      <c r="U69" s="229" t="str">
        <f t="shared" si="10"/>
        <v/>
      </c>
      <c r="V69" s="233" t="str" cm="1">
        <f t="array" ref="V69">IF($Q69="","",IF($S69=0,1,SUMPRODUCT(($A$5:$A$204=$Q69)*$E$5:$E$204*$P$5:$P$204)/$S69))</f>
        <v/>
      </c>
      <c r="W69" s="246" t="str" cm="1">
        <f t="array" ref="W69">IF($Q69="","",IF(SUMIF($A$5:$A$204,$Q69,$I$5:$I$204)&gt;0,SUMPRODUCT(IFERROR(($A$5:$A$204=$Q69)*$I$5:$I$204*K$5:K$204,0))/SUMIF($A$5:$A$204,$Q69,$I$5:$I$204),IF($S69&gt;0,SUMPRODUCT(IFERROR(($A$5:$A$204=$Q69)*$E$5:$E$204*K$5:K$204,0))/$S69,"")))</f>
        <v/>
      </c>
      <c r="X69" s="246" t="str" cm="1">
        <f t="array" ref="X69">IF($Q69="","",IF(SUMIF($A$5:$A$204,$Q69,$I$5:$I$204)&gt;0,SUMPRODUCT(IFERROR(($A$5:$A$204=$Q69)*$I$5:$I$204*L$5:L$204,0))/SUMIF($A$5:$A$204,$Q69,$I$5:$I$204),IF($S69&gt;0,SUMPRODUCT(IFERROR(($A$5:$A$204=$Q69)*$E$5:$E$204*L$5:L$204,0))/$S69,"")))</f>
        <v/>
      </c>
      <c r="Y69" s="246" t="str" cm="1">
        <f t="array" ref="Y69">IF($Q69="","",IF(SUMIF($A$5:$A$204,$Q69,$I$5:$I$204)&gt;0,SUMPRODUCT(IFERROR(($A$5:$A$204=$Q69)*$I$5:$I$204*M$5:M$204,0))/SUMIF($A$5:$A$204,$Q69,$I$5:$I$204),IF($S69&gt;0,SUMPRODUCT(IFERROR(($A$5:$A$204=$Q69)*$E$5:$E$204*M$5:M$204,0))/$S69,"")))</f>
        <v/>
      </c>
      <c r="Z69" s="247" t="str">
        <f t="shared" si="6"/>
        <v/>
      </c>
      <c r="AG69"/>
      <c r="AH69"/>
      <c r="AI69"/>
      <c r="AJ69"/>
      <c r="AK69"/>
      <c r="AL69"/>
      <c r="AM69"/>
      <c r="AN69"/>
      <c r="AO69"/>
      <c r="AP69"/>
      <c r="AQ69"/>
      <c r="AR69"/>
    </row>
    <row r="70" spans="1:31" x14ac:dyDescent="0.3">
      <c r="A70" s="223"/>
      <c r="B70" s="224" t="str">
        <f>IF($A70="","",IFERROR(INDEX(Inputs!$B$6:$B$80,MATCH($A70,Inputs!$A$6:$A$80,0)),"not in register"))</f>
        <v/>
      </c>
      <c r="C70" s="223"/>
      <c r="D70" s="223"/>
      <c r="E70" s="225"/>
      <c r="F70" s="226"/>
      <c r="G70" s="227" t="str">
        <f>IF(OR($D70="",$F70=""),"",IFERROR(INDEX('Rules of Credit'!$C$5:$C$38,MATCH($D70&amp;"|"&amp;$F70,'Rules of Credit'!$F$5:$F$38,0)),"invalid step"))</f>
        <v/>
      </c>
      <c r="H70" s="228" t="str">
        <f>IF(OR($D70="",$F70=""),"",IFERROR(INDEX('Rules of Credit'!$D$5:$D$38,MATCH($D70&amp;"|"&amp;$F70,'Rules of Credit'!$F$5:$F$38,0)),""))</f>
        <v/>
      </c>
      <c r="I70" s="229" t="str">
        <f t="shared" ref="I70:I133" si="11">IF(OR($E70="",$H70=""),"",$E70*$H70)</f>
        <v/>
      </c>
      <c r="J70" s="242"/>
      <c r="K70" s="243"/>
      <c r="L70" s="243"/>
      <c r="M70" s="243"/>
      <c r="N70" s="244" t="str">
        <f t="shared" ref="N70:N133" si="12">IF($A70="","",IF(SUM($K70:$M70)=0,"no split",IF(ROUND(SUM($K70:$M70),4)=1,"OK","not 100%")))</f>
        <v/>
      </c>
      <c r="O70" s="221"/>
      <c r="P70" s="233">
        <f>IF($D70="",0,IFERROR(INDEX('Project Types'!$E$5:$E$13,MATCH($D70,'Project Types'!$A$5:$A$13,0)),1))</f>
        <v>0</v>
      </c>
      <c r="Q70" s="227" t="str">
        <f>IF(Inputs!$A71="","",Inputs!$A71)</f>
        <v/>
      </c>
      <c r="R70" s="230" t="str">
        <f t="shared" si="8"/>
        <v/>
      </c>
      <c r="S70" s="231" t="str">
        <f t="shared" si="9"/>
        <v/>
      </c>
      <c r="T70" s="230" t="str">
        <f t="shared" ref="T70:T84" si="13">IF($Q70="","",IF($R70=0,"no deliverables",IF(ROUND($S70,4)=1,"OK","weights not 100%")))</f>
        <v/>
      </c>
      <c r="U70" s="229" t="str">
        <f t="shared" si="10"/>
        <v/>
      </c>
      <c r="V70" s="233" t="str" cm="1">
        <f t="array" ref="V70">IF($Q70="","",IF($S70=0,1,SUMPRODUCT(($A$5:$A$204=$Q70)*$E$5:$E$204*$P$5:$P$204)/$S70))</f>
        <v/>
      </c>
      <c r="W70" s="246" t="str" cm="1">
        <f t="array" ref="W70">IF($Q70="","",IF(SUMIF($A$5:$A$204,$Q70,$I$5:$I$204)&gt;0,SUMPRODUCT(IFERROR(($A$5:$A$204=$Q70)*$I$5:$I$204*K$5:K$204,0))/SUMIF($A$5:$A$204,$Q70,$I$5:$I$204),IF($S70&gt;0,SUMPRODUCT(IFERROR(($A$5:$A$204=$Q70)*$E$5:$E$204*K$5:K$204,0))/$S70,"")))</f>
        <v/>
      </c>
      <c r="X70" s="246" t="str" cm="1">
        <f t="array" ref="X70">IF($Q70="","",IF(SUMIF($A$5:$A$204,$Q70,$I$5:$I$204)&gt;0,SUMPRODUCT(IFERROR(($A$5:$A$204=$Q70)*$I$5:$I$204*L$5:L$204,0))/SUMIF($A$5:$A$204,$Q70,$I$5:$I$204),IF($S70&gt;0,SUMPRODUCT(IFERROR(($A$5:$A$204=$Q70)*$E$5:$E$204*L$5:L$204,0))/$S70,"")))</f>
        <v/>
      </c>
      <c r="Y70" s="246" t="str" cm="1">
        <f t="array" ref="Y70">IF($Q70="","",IF(SUMIF($A$5:$A$204,$Q70,$I$5:$I$204)&gt;0,SUMPRODUCT(IFERROR(($A$5:$A$204=$Q70)*$I$5:$I$204*M$5:M$204,0))/SUMIF($A$5:$A$204,$Q70,$I$5:$I$204),IF($S70&gt;0,SUMPRODUCT(IFERROR(($A$5:$A$204=$Q70)*$E$5:$E$204*M$5:M$204,0))/$S70,"")))</f>
        <v/>
      </c>
      <c r="Z70" s="247" t="str">
        <f t="shared" ref="Z70:Z84" si="14">IF($Q70="","",IF($R70=0,"no deliverables",IF(SUMIF($A$5:$A$204,$Q70,$I$5:$I$204)&gt;0,"earned progress","scope weight")))</f>
        <v/>
      </c>
      <c r="AG70"/>
      <c r="AH70"/>
      <c r="AI70"/>
      <c r="AJ70"/>
      <c r="AK70"/>
      <c r="AL70"/>
      <c r="AM70"/>
      <c r="AN70"/>
      <c r="AO70"/>
      <c r="AP70"/>
      <c r="AQ70"/>
      <c r="AR70"/>
    </row>
    <row r="71" spans="1:31" x14ac:dyDescent="0.3">
      <c r="A71" s="223"/>
      <c r="B71" s="224" t="str">
        <f>IF($A71="","",IFERROR(INDEX(Inputs!$B$6:$B$80,MATCH($A71,Inputs!$A$6:$A$80,0)),"not in register"))</f>
        <v/>
      </c>
      <c r="C71" s="223"/>
      <c r="D71" s="223"/>
      <c r="E71" s="225"/>
      <c r="F71" s="226"/>
      <c r="G71" s="227" t="str">
        <f>IF(OR($D71="",$F71=""),"",IFERROR(INDEX('Rules of Credit'!$C$5:$C$38,MATCH($D71&amp;"|"&amp;$F71,'Rules of Credit'!$F$5:$F$38,0)),"invalid step"))</f>
        <v/>
      </c>
      <c r="H71" s="228" t="str">
        <f>IF(OR($D71="",$F71=""),"",IFERROR(INDEX('Rules of Credit'!$D$5:$D$38,MATCH($D71&amp;"|"&amp;$F71,'Rules of Credit'!$F$5:$F$38,0)),""))</f>
        <v/>
      </c>
      <c r="I71" s="229" t="str">
        <f t="shared" si="11"/>
        <v/>
      </c>
      <c r="J71" s="242"/>
      <c r="K71" s="243"/>
      <c r="L71" s="243"/>
      <c r="M71" s="243"/>
      <c r="N71" s="244" t="str">
        <f t="shared" si="12"/>
        <v/>
      </c>
      <c r="O71" s="221"/>
      <c r="P71" s="233">
        <f>IF($D71="",0,IFERROR(INDEX('Project Types'!$E$5:$E$13,MATCH($D71,'Project Types'!$A$5:$A$13,0)),1))</f>
        <v>0</v>
      </c>
      <c r="Q71" s="227" t="str">
        <f>IF(Inputs!$A72="","",Inputs!$A72)</f>
        <v/>
      </c>
      <c r="R71" s="230" t="str">
        <f t="shared" si="8"/>
        <v/>
      </c>
      <c r="S71" s="231" t="str">
        <f t="shared" si="9"/>
        <v/>
      </c>
      <c r="T71" s="230" t="str">
        <f t="shared" si="13"/>
        <v/>
      </c>
      <c r="U71" s="229" t="str">
        <f t="shared" si="10"/>
        <v/>
      </c>
      <c r="V71" s="233" t="str" cm="1">
        <f t="array" ref="V71">IF($Q71="","",IF($S71=0,1,SUMPRODUCT(($A$5:$A$204=$Q71)*$E$5:$E$204*$P$5:$P$204)/$S71))</f>
        <v/>
      </c>
      <c r="W71" s="246" t="str" cm="1">
        <f t="array" ref="W71">IF($Q71="","",IF(SUMIF($A$5:$A$204,$Q71,$I$5:$I$204)&gt;0,SUMPRODUCT(IFERROR(($A$5:$A$204=$Q71)*$I$5:$I$204*K$5:K$204,0))/SUMIF($A$5:$A$204,$Q71,$I$5:$I$204),IF($S71&gt;0,SUMPRODUCT(IFERROR(($A$5:$A$204=$Q71)*$E$5:$E$204*K$5:K$204,0))/$S71,"")))</f>
        <v/>
      </c>
      <c r="X71" s="246" t="str" cm="1">
        <f t="array" ref="X71">IF($Q71="","",IF(SUMIF($A$5:$A$204,$Q71,$I$5:$I$204)&gt;0,SUMPRODUCT(IFERROR(($A$5:$A$204=$Q71)*$I$5:$I$204*L$5:L$204,0))/SUMIF($A$5:$A$204,$Q71,$I$5:$I$204),IF($S71&gt;0,SUMPRODUCT(IFERROR(($A$5:$A$204=$Q71)*$E$5:$E$204*L$5:L$204,0))/$S71,"")))</f>
        <v/>
      </c>
      <c r="Y71" s="246" t="str" cm="1">
        <f t="array" ref="Y71">IF($Q71="","",IF(SUMIF($A$5:$A$204,$Q71,$I$5:$I$204)&gt;0,SUMPRODUCT(IFERROR(($A$5:$A$204=$Q71)*$I$5:$I$204*M$5:M$204,0))/SUMIF($A$5:$A$204,$Q71,$I$5:$I$204),IF($S71&gt;0,SUMPRODUCT(IFERROR(($A$5:$A$204=$Q71)*$E$5:$E$204*M$5:M$204,0))/$S71,"")))</f>
        <v/>
      </c>
      <c r="Z71" s="247" t="str">
        <f t="shared" si="14"/>
        <v/>
      </c>
      <c r="AG71"/>
      <c r="AH71"/>
      <c r="AI71"/>
      <c r="AJ71"/>
      <c r="AK71"/>
      <c r="AL71"/>
      <c r="AM71"/>
      <c r="AN71"/>
      <c r="AO71"/>
      <c r="AP71"/>
      <c r="AQ71"/>
      <c r="AR71"/>
    </row>
    <row r="72" spans="1:31" x14ac:dyDescent="0.3">
      <c r="A72" s="223"/>
      <c r="B72" s="224" t="str">
        <f>IF($A72="","",IFERROR(INDEX(Inputs!$B$6:$B$80,MATCH($A72,Inputs!$A$6:$A$80,0)),"not in register"))</f>
        <v/>
      </c>
      <c r="C72" s="223"/>
      <c r="D72" s="223"/>
      <c r="E72" s="225"/>
      <c r="F72" s="226"/>
      <c r="G72" s="227" t="str">
        <f>IF(OR($D72="",$F72=""),"",IFERROR(INDEX('Rules of Credit'!$C$5:$C$38,MATCH($D72&amp;"|"&amp;$F72,'Rules of Credit'!$F$5:$F$38,0)),"invalid step"))</f>
        <v/>
      </c>
      <c r="H72" s="228" t="str">
        <f>IF(OR($D72="",$F72=""),"",IFERROR(INDEX('Rules of Credit'!$D$5:$D$38,MATCH($D72&amp;"|"&amp;$F72,'Rules of Credit'!$F$5:$F$38,0)),""))</f>
        <v/>
      </c>
      <c r="I72" s="229" t="str">
        <f t="shared" si="11"/>
        <v/>
      </c>
      <c r="J72" s="242"/>
      <c r="K72" s="243"/>
      <c r="L72" s="243"/>
      <c r="M72" s="243"/>
      <c r="N72" s="244" t="str">
        <f t="shared" si="12"/>
        <v/>
      </c>
      <c r="O72" s="221"/>
      <c r="P72" s="233">
        <f>IF($D72="",0,IFERROR(INDEX('Project Types'!$E$5:$E$13,MATCH($D72,'Project Types'!$A$5:$A$13,0)),1))</f>
        <v>0</v>
      </c>
      <c r="Q72" s="227" t="str">
        <f>IF(Inputs!$A73="","",Inputs!$A73)</f>
        <v/>
      </c>
      <c r="R72" s="230" t="str">
        <f t="shared" si="8"/>
        <v/>
      </c>
      <c r="S72" s="231" t="str">
        <f t="shared" si="9"/>
        <v/>
      </c>
      <c r="T72" s="230" t="str">
        <f t="shared" si="13"/>
        <v/>
      </c>
      <c r="U72" s="229" t="str">
        <f t="shared" si="10"/>
        <v/>
      </c>
      <c r="V72" s="233" t="str" cm="1">
        <f t="array" ref="V72">IF($Q72="","",IF($S72=0,1,SUMPRODUCT(($A$5:$A$204=$Q72)*$E$5:$E$204*$P$5:$P$204)/$S72))</f>
        <v/>
      </c>
      <c r="W72" s="246" t="str" cm="1">
        <f t="array" ref="W72">IF($Q72="","",IF(SUMIF($A$5:$A$204,$Q72,$I$5:$I$204)&gt;0,SUMPRODUCT(IFERROR(($A$5:$A$204=$Q72)*$I$5:$I$204*K$5:K$204,0))/SUMIF($A$5:$A$204,$Q72,$I$5:$I$204),IF($S72&gt;0,SUMPRODUCT(IFERROR(($A$5:$A$204=$Q72)*$E$5:$E$204*K$5:K$204,0))/$S72,"")))</f>
        <v/>
      </c>
      <c r="X72" s="246" t="str" cm="1">
        <f t="array" ref="X72">IF($Q72="","",IF(SUMIF($A$5:$A$204,$Q72,$I$5:$I$204)&gt;0,SUMPRODUCT(IFERROR(($A$5:$A$204=$Q72)*$I$5:$I$204*L$5:L$204,0))/SUMIF($A$5:$A$204,$Q72,$I$5:$I$204),IF($S72&gt;0,SUMPRODUCT(IFERROR(($A$5:$A$204=$Q72)*$E$5:$E$204*L$5:L$204,0))/$S72,"")))</f>
        <v/>
      </c>
      <c r="Y72" s="246" t="str" cm="1">
        <f t="array" ref="Y72">IF($Q72="","",IF(SUMIF($A$5:$A$204,$Q72,$I$5:$I$204)&gt;0,SUMPRODUCT(IFERROR(($A$5:$A$204=$Q72)*$I$5:$I$204*M$5:M$204,0))/SUMIF($A$5:$A$204,$Q72,$I$5:$I$204),IF($S72&gt;0,SUMPRODUCT(IFERROR(($A$5:$A$204=$Q72)*$E$5:$E$204*M$5:M$204,0))/$S72,"")))</f>
        <v/>
      </c>
      <c r="Z72" s="247" t="str">
        <f t="shared" si="14"/>
        <v/>
      </c>
      <c r="AG72"/>
      <c r="AH72"/>
      <c r="AI72"/>
      <c r="AJ72"/>
      <c r="AK72"/>
      <c r="AL72"/>
      <c r="AM72"/>
      <c r="AN72"/>
      <c r="AO72"/>
      <c r="AP72"/>
      <c r="AQ72"/>
      <c r="AR72"/>
    </row>
    <row r="73" spans="1:31" x14ac:dyDescent="0.3">
      <c r="A73" s="223"/>
      <c r="B73" s="224" t="str">
        <f>IF($A73="","",IFERROR(INDEX(Inputs!$B$6:$B$80,MATCH($A73,Inputs!$A$6:$A$80,0)),"not in register"))</f>
        <v/>
      </c>
      <c r="C73" s="223"/>
      <c r="D73" s="223"/>
      <c r="E73" s="225"/>
      <c r="F73" s="226"/>
      <c r="G73" s="227" t="str">
        <f>IF(OR($D73="",$F73=""),"",IFERROR(INDEX('Rules of Credit'!$C$5:$C$38,MATCH($D73&amp;"|"&amp;$F73,'Rules of Credit'!$F$5:$F$38,0)),"invalid step"))</f>
        <v/>
      </c>
      <c r="H73" s="228" t="str">
        <f>IF(OR($D73="",$F73=""),"",IFERROR(INDEX('Rules of Credit'!$D$5:$D$38,MATCH($D73&amp;"|"&amp;$F73,'Rules of Credit'!$F$5:$F$38,0)),""))</f>
        <v/>
      </c>
      <c r="I73" s="229" t="str">
        <f t="shared" si="11"/>
        <v/>
      </c>
      <c r="J73" s="242"/>
      <c r="K73" s="243"/>
      <c r="L73" s="243"/>
      <c r="M73" s="243"/>
      <c r="N73" s="244" t="str">
        <f t="shared" si="12"/>
        <v/>
      </c>
      <c r="O73" s="221"/>
      <c r="P73" s="233">
        <f>IF($D73="",0,IFERROR(INDEX('Project Types'!$E$5:$E$13,MATCH($D73,'Project Types'!$A$5:$A$13,0)),1))</f>
        <v>0</v>
      </c>
      <c r="Q73" s="227" t="str">
        <f>IF(Inputs!$A74="","",Inputs!$A74)</f>
        <v/>
      </c>
      <c r="R73" s="230" t="str">
        <f t="shared" si="8"/>
        <v/>
      </c>
      <c r="S73" s="231" t="str">
        <f t="shared" si="9"/>
        <v/>
      </c>
      <c r="T73" s="230" t="str">
        <f t="shared" si="13"/>
        <v/>
      </c>
      <c r="U73" s="229" t="str">
        <f t="shared" si="10"/>
        <v/>
      </c>
      <c r="V73" s="233" t="str" cm="1">
        <f t="array" ref="V73">IF($Q73="","",IF($S73=0,1,SUMPRODUCT(($A$5:$A$204=$Q73)*$E$5:$E$204*$P$5:$P$204)/$S73))</f>
        <v/>
      </c>
      <c r="W73" s="246" t="str" cm="1">
        <f t="array" ref="W73">IF($Q73="","",IF(SUMIF($A$5:$A$204,$Q73,$I$5:$I$204)&gt;0,SUMPRODUCT(IFERROR(($A$5:$A$204=$Q73)*$I$5:$I$204*K$5:K$204,0))/SUMIF($A$5:$A$204,$Q73,$I$5:$I$204),IF($S73&gt;0,SUMPRODUCT(IFERROR(($A$5:$A$204=$Q73)*$E$5:$E$204*K$5:K$204,0))/$S73,"")))</f>
        <v/>
      </c>
      <c r="X73" s="246" t="str" cm="1">
        <f t="array" ref="X73">IF($Q73="","",IF(SUMIF($A$5:$A$204,$Q73,$I$5:$I$204)&gt;0,SUMPRODUCT(IFERROR(($A$5:$A$204=$Q73)*$I$5:$I$204*L$5:L$204,0))/SUMIF($A$5:$A$204,$Q73,$I$5:$I$204),IF($S73&gt;0,SUMPRODUCT(IFERROR(($A$5:$A$204=$Q73)*$E$5:$E$204*L$5:L$204,0))/$S73,"")))</f>
        <v/>
      </c>
      <c r="Y73" s="246" t="str" cm="1">
        <f t="array" ref="Y73">IF($Q73="","",IF(SUMIF($A$5:$A$204,$Q73,$I$5:$I$204)&gt;0,SUMPRODUCT(IFERROR(($A$5:$A$204=$Q73)*$I$5:$I$204*M$5:M$204,0))/SUMIF($A$5:$A$204,$Q73,$I$5:$I$204),IF($S73&gt;0,SUMPRODUCT(IFERROR(($A$5:$A$204=$Q73)*$E$5:$E$204*M$5:M$204,0))/$S73,"")))</f>
        <v/>
      </c>
      <c r="Z73" s="247" t="str">
        <f t="shared" si="14"/>
        <v/>
      </c>
      <c r="AG73"/>
      <c r="AH73"/>
      <c r="AI73"/>
      <c r="AJ73"/>
      <c r="AK73"/>
      <c r="AL73"/>
      <c r="AM73"/>
      <c r="AN73"/>
      <c r="AO73"/>
      <c r="AP73"/>
      <c r="AQ73"/>
      <c r="AR73"/>
    </row>
    <row r="74" spans="1:31" x14ac:dyDescent="0.3">
      <c r="A74" s="223"/>
      <c r="B74" s="224" t="str">
        <f>IF($A74="","",IFERROR(INDEX(Inputs!$B$6:$B$80,MATCH($A74,Inputs!$A$6:$A$80,0)),"not in register"))</f>
        <v/>
      </c>
      <c r="C74" s="223"/>
      <c r="D74" s="223"/>
      <c r="E74" s="225"/>
      <c r="F74" s="226"/>
      <c r="G74" s="227" t="str">
        <f>IF(OR($D74="",$F74=""),"",IFERROR(INDEX('Rules of Credit'!$C$5:$C$38,MATCH($D74&amp;"|"&amp;$F74,'Rules of Credit'!$F$5:$F$38,0)),"invalid step"))</f>
        <v/>
      </c>
      <c r="H74" s="228" t="str">
        <f>IF(OR($D74="",$F74=""),"",IFERROR(INDEX('Rules of Credit'!$D$5:$D$38,MATCH($D74&amp;"|"&amp;$F74,'Rules of Credit'!$F$5:$F$38,0)),""))</f>
        <v/>
      </c>
      <c r="I74" s="229" t="str">
        <f t="shared" si="11"/>
        <v/>
      </c>
      <c r="J74" s="242"/>
      <c r="K74" s="243"/>
      <c r="L74" s="243"/>
      <c r="M74" s="243"/>
      <c r="N74" s="244" t="str">
        <f t="shared" si="12"/>
        <v/>
      </c>
      <c r="O74" s="221"/>
      <c r="P74" s="233">
        <f>IF($D74="",0,IFERROR(INDEX('Project Types'!$E$5:$E$13,MATCH($D74,'Project Types'!$A$5:$A$13,0)),1))</f>
        <v>0</v>
      </c>
      <c r="Q74" s="227" t="str">
        <f>IF(Inputs!$A75="","",Inputs!$A75)</f>
        <v/>
      </c>
      <c r="R74" s="230" t="str">
        <f t="shared" si="8"/>
        <v/>
      </c>
      <c r="S74" s="231" t="str">
        <f t="shared" si="9"/>
        <v/>
      </c>
      <c r="T74" s="230" t="str">
        <f t="shared" si="13"/>
        <v/>
      </c>
      <c r="U74" s="229" t="str">
        <f t="shared" si="10"/>
        <v/>
      </c>
      <c r="V74" s="233" t="str" cm="1">
        <f t="array" ref="V74">IF($Q74="","",IF($S74=0,1,SUMPRODUCT(($A$5:$A$204=$Q74)*$E$5:$E$204*$P$5:$P$204)/$S74))</f>
        <v/>
      </c>
      <c r="W74" s="246" t="str" cm="1">
        <f t="array" ref="W74">IF($Q74="","",IF(SUMIF($A$5:$A$204,$Q74,$I$5:$I$204)&gt;0,SUMPRODUCT(IFERROR(($A$5:$A$204=$Q74)*$I$5:$I$204*K$5:K$204,0))/SUMIF($A$5:$A$204,$Q74,$I$5:$I$204),IF($S74&gt;0,SUMPRODUCT(IFERROR(($A$5:$A$204=$Q74)*$E$5:$E$204*K$5:K$204,0))/$S74,"")))</f>
        <v/>
      </c>
      <c r="X74" s="246" t="str" cm="1">
        <f t="array" ref="X74">IF($Q74="","",IF(SUMIF($A$5:$A$204,$Q74,$I$5:$I$204)&gt;0,SUMPRODUCT(IFERROR(($A$5:$A$204=$Q74)*$I$5:$I$204*L$5:L$204,0))/SUMIF($A$5:$A$204,$Q74,$I$5:$I$204),IF($S74&gt;0,SUMPRODUCT(IFERROR(($A$5:$A$204=$Q74)*$E$5:$E$204*L$5:L$204,0))/$S74,"")))</f>
        <v/>
      </c>
      <c r="Y74" s="246" t="str" cm="1">
        <f t="array" ref="Y74">IF($Q74="","",IF(SUMIF($A$5:$A$204,$Q74,$I$5:$I$204)&gt;0,SUMPRODUCT(IFERROR(($A$5:$A$204=$Q74)*$I$5:$I$204*M$5:M$204,0))/SUMIF($A$5:$A$204,$Q74,$I$5:$I$204),IF($S74&gt;0,SUMPRODUCT(IFERROR(($A$5:$A$204=$Q74)*$E$5:$E$204*M$5:M$204,0))/$S74,"")))</f>
        <v/>
      </c>
      <c r="Z74" s="247" t="str">
        <f t="shared" si="14"/>
        <v/>
      </c>
      <c r="AG74"/>
      <c r="AH74"/>
      <c r="AI74"/>
      <c r="AJ74"/>
      <c r="AK74"/>
      <c r="AL74"/>
      <c r="AM74"/>
      <c r="AN74"/>
      <c r="AO74"/>
      <c r="AP74"/>
      <c r="AQ74"/>
      <c r="AR74"/>
    </row>
    <row r="75" spans="1:31" x14ac:dyDescent="0.3">
      <c r="A75" s="223"/>
      <c r="B75" s="224" t="str">
        <f>IF($A75="","",IFERROR(INDEX(Inputs!$B$6:$B$80,MATCH($A75,Inputs!$A$6:$A$80,0)),"not in register"))</f>
        <v/>
      </c>
      <c r="C75" s="223"/>
      <c r="D75" s="223"/>
      <c r="E75" s="225"/>
      <c r="F75" s="226"/>
      <c r="G75" s="227" t="str">
        <f>IF(OR($D75="",$F75=""),"",IFERROR(INDEX('Rules of Credit'!$C$5:$C$38,MATCH($D75&amp;"|"&amp;$F75,'Rules of Credit'!$F$5:$F$38,0)),"invalid step"))</f>
        <v/>
      </c>
      <c r="H75" s="228" t="str">
        <f>IF(OR($D75="",$F75=""),"",IFERROR(INDEX('Rules of Credit'!$D$5:$D$38,MATCH($D75&amp;"|"&amp;$F75,'Rules of Credit'!$F$5:$F$38,0)),""))</f>
        <v/>
      </c>
      <c r="I75" s="229" t="str">
        <f t="shared" si="11"/>
        <v/>
      </c>
      <c r="J75" s="242"/>
      <c r="K75" s="243"/>
      <c r="L75" s="243"/>
      <c r="M75" s="243"/>
      <c r="N75" s="244" t="str">
        <f t="shared" si="12"/>
        <v/>
      </c>
      <c r="O75" s="221"/>
      <c r="P75" s="233">
        <f>IF($D75="",0,IFERROR(INDEX('Project Types'!$E$5:$E$13,MATCH($D75,'Project Types'!$A$5:$A$13,0)),1))</f>
        <v>0</v>
      </c>
      <c r="Q75" s="227" t="str">
        <f>IF(Inputs!$A76="","",Inputs!$A76)</f>
        <v/>
      </c>
      <c r="R75" s="230" t="str">
        <f t="shared" si="8"/>
        <v/>
      </c>
      <c r="S75" s="231" t="str">
        <f t="shared" si="9"/>
        <v/>
      </c>
      <c r="T75" s="230" t="str">
        <f t="shared" si="13"/>
        <v/>
      </c>
      <c r="U75" s="229" t="str">
        <f t="shared" si="10"/>
        <v/>
      </c>
      <c r="V75" s="233" t="str" cm="1">
        <f t="array" ref="V75">IF($Q75="","",IF($S75=0,1,SUMPRODUCT(($A$5:$A$204=$Q75)*$E$5:$E$204*$P$5:$P$204)/$S75))</f>
        <v/>
      </c>
      <c r="W75" s="246" t="str" cm="1">
        <f t="array" ref="W75">IF($Q75="","",IF(SUMIF($A$5:$A$204,$Q75,$I$5:$I$204)&gt;0,SUMPRODUCT(IFERROR(($A$5:$A$204=$Q75)*$I$5:$I$204*K$5:K$204,0))/SUMIF($A$5:$A$204,$Q75,$I$5:$I$204),IF($S75&gt;0,SUMPRODUCT(IFERROR(($A$5:$A$204=$Q75)*$E$5:$E$204*K$5:K$204,0))/$S75,"")))</f>
        <v/>
      </c>
      <c r="X75" s="246" t="str" cm="1">
        <f t="array" ref="X75">IF($Q75="","",IF(SUMIF($A$5:$A$204,$Q75,$I$5:$I$204)&gt;0,SUMPRODUCT(IFERROR(($A$5:$A$204=$Q75)*$I$5:$I$204*L$5:L$204,0))/SUMIF($A$5:$A$204,$Q75,$I$5:$I$204),IF($S75&gt;0,SUMPRODUCT(IFERROR(($A$5:$A$204=$Q75)*$E$5:$E$204*L$5:L$204,0))/$S75,"")))</f>
        <v/>
      </c>
      <c r="Y75" s="246" t="str" cm="1">
        <f t="array" ref="Y75">IF($Q75="","",IF(SUMIF($A$5:$A$204,$Q75,$I$5:$I$204)&gt;0,SUMPRODUCT(IFERROR(($A$5:$A$204=$Q75)*$I$5:$I$204*M$5:M$204,0))/SUMIF($A$5:$A$204,$Q75,$I$5:$I$204),IF($S75&gt;0,SUMPRODUCT(IFERROR(($A$5:$A$204=$Q75)*$E$5:$E$204*M$5:M$204,0))/$S75,"")))</f>
        <v/>
      </c>
      <c r="Z75" s="247" t="str">
        <f t="shared" si="14"/>
        <v/>
      </c>
      <c r="AG75"/>
      <c r="AH75"/>
      <c r="AI75"/>
      <c r="AJ75"/>
      <c r="AK75"/>
      <c r="AL75"/>
      <c r="AM75"/>
      <c r="AN75"/>
      <c r="AO75"/>
      <c r="AP75"/>
      <c r="AQ75"/>
      <c r="AR75"/>
    </row>
    <row r="76" spans="1:31" x14ac:dyDescent="0.3">
      <c r="A76" s="223"/>
      <c r="B76" s="224" t="str">
        <f>IF($A76="","",IFERROR(INDEX(Inputs!$B$6:$B$80,MATCH($A76,Inputs!$A$6:$A$80,0)),"not in register"))</f>
        <v/>
      </c>
      <c r="C76" s="223"/>
      <c r="D76" s="223"/>
      <c r="E76" s="225"/>
      <c r="F76" s="226"/>
      <c r="G76" s="227" t="str">
        <f>IF(OR($D76="",$F76=""),"",IFERROR(INDEX('Rules of Credit'!$C$5:$C$38,MATCH($D76&amp;"|"&amp;$F76,'Rules of Credit'!$F$5:$F$38,0)),"invalid step"))</f>
        <v/>
      </c>
      <c r="H76" s="228" t="str">
        <f>IF(OR($D76="",$F76=""),"",IFERROR(INDEX('Rules of Credit'!$D$5:$D$38,MATCH($D76&amp;"|"&amp;$F76,'Rules of Credit'!$F$5:$F$38,0)),""))</f>
        <v/>
      </c>
      <c r="I76" s="229" t="str">
        <f t="shared" si="11"/>
        <v/>
      </c>
      <c r="J76" s="242"/>
      <c r="K76" s="243"/>
      <c r="L76" s="243"/>
      <c r="M76" s="243"/>
      <c r="N76" s="244" t="str">
        <f t="shared" si="12"/>
        <v/>
      </c>
      <c r="O76" s="221"/>
      <c r="P76" s="233">
        <f>IF($D76="",0,IFERROR(INDEX('Project Types'!$E$5:$E$13,MATCH($D76,'Project Types'!$A$5:$A$13,0)),1))</f>
        <v>0</v>
      </c>
      <c r="Q76" s="227" t="str">
        <f>IF(Inputs!$A77="","",Inputs!$A77)</f>
        <v/>
      </c>
      <c r="R76" s="230" t="str">
        <f t="shared" si="8"/>
        <v/>
      </c>
      <c r="S76" s="231" t="str">
        <f t="shared" si="9"/>
        <v/>
      </c>
      <c r="T76" s="230" t="str">
        <f t="shared" si="13"/>
        <v/>
      </c>
      <c r="U76" s="229" t="str">
        <f t="shared" si="10"/>
        <v/>
      </c>
      <c r="V76" s="233" t="str" cm="1">
        <f t="array" ref="V76">IF($Q76="","",IF($S76=0,1,SUMPRODUCT(($A$5:$A$204=$Q76)*$E$5:$E$204*$P$5:$P$204)/$S76))</f>
        <v/>
      </c>
      <c r="W76" s="246" t="str" cm="1">
        <f t="array" ref="W76">IF($Q76="","",IF(SUMIF($A$5:$A$204,$Q76,$I$5:$I$204)&gt;0,SUMPRODUCT(IFERROR(($A$5:$A$204=$Q76)*$I$5:$I$204*K$5:K$204,0))/SUMIF($A$5:$A$204,$Q76,$I$5:$I$204),IF($S76&gt;0,SUMPRODUCT(IFERROR(($A$5:$A$204=$Q76)*$E$5:$E$204*K$5:K$204,0))/$S76,"")))</f>
        <v/>
      </c>
      <c r="X76" s="246" t="str" cm="1">
        <f t="array" ref="X76">IF($Q76="","",IF(SUMIF($A$5:$A$204,$Q76,$I$5:$I$204)&gt;0,SUMPRODUCT(IFERROR(($A$5:$A$204=$Q76)*$I$5:$I$204*L$5:L$204,0))/SUMIF($A$5:$A$204,$Q76,$I$5:$I$204),IF($S76&gt;0,SUMPRODUCT(IFERROR(($A$5:$A$204=$Q76)*$E$5:$E$204*L$5:L$204,0))/$S76,"")))</f>
        <v/>
      </c>
      <c r="Y76" s="246" t="str" cm="1">
        <f t="array" ref="Y76">IF($Q76="","",IF(SUMIF($A$5:$A$204,$Q76,$I$5:$I$204)&gt;0,SUMPRODUCT(IFERROR(($A$5:$A$204=$Q76)*$I$5:$I$204*M$5:M$204,0))/SUMIF($A$5:$A$204,$Q76,$I$5:$I$204),IF($S76&gt;0,SUMPRODUCT(IFERROR(($A$5:$A$204=$Q76)*$E$5:$E$204*M$5:M$204,0))/$S76,"")))</f>
        <v/>
      </c>
      <c r="Z76" s="247" t="str">
        <f t="shared" si="14"/>
        <v/>
      </c>
      <c r="AG76"/>
      <c r="AH76"/>
      <c r="AI76"/>
      <c r="AJ76"/>
      <c r="AK76"/>
      <c r="AL76"/>
      <c r="AM76"/>
      <c r="AN76"/>
      <c r="AO76"/>
      <c r="AP76"/>
      <c r="AQ76"/>
      <c r="AR76"/>
    </row>
    <row r="77" spans="1:31" x14ac:dyDescent="0.3">
      <c r="A77" s="223"/>
      <c r="B77" s="224" t="str">
        <f>IF($A77="","",IFERROR(INDEX(Inputs!$B$6:$B$80,MATCH($A77,Inputs!$A$6:$A$80,0)),"not in register"))</f>
        <v/>
      </c>
      <c r="C77" s="223"/>
      <c r="D77" s="223"/>
      <c r="E77" s="225"/>
      <c r="F77" s="226"/>
      <c r="G77" s="227" t="str">
        <f>IF(OR($D77="",$F77=""),"",IFERROR(INDEX('Rules of Credit'!$C$5:$C$38,MATCH($D77&amp;"|"&amp;$F77,'Rules of Credit'!$F$5:$F$38,0)),"invalid step"))</f>
        <v/>
      </c>
      <c r="H77" s="228" t="str">
        <f>IF(OR($D77="",$F77=""),"",IFERROR(INDEX('Rules of Credit'!$D$5:$D$38,MATCH($D77&amp;"|"&amp;$F77,'Rules of Credit'!$F$5:$F$38,0)),""))</f>
        <v/>
      </c>
      <c r="I77" s="229" t="str">
        <f t="shared" si="11"/>
        <v/>
      </c>
      <c r="J77" s="242"/>
      <c r="K77" s="243"/>
      <c r="L77" s="243"/>
      <c r="M77" s="243"/>
      <c r="N77" s="244" t="str">
        <f t="shared" si="12"/>
        <v/>
      </c>
      <c r="O77" s="221"/>
      <c r="P77" s="233">
        <f>IF($D77="",0,IFERROR(INDEX('Project Types'!$E$5:$E$13,MATCH($D77,'Project Types'!$A$5:$A$13,0)),1))</f>
        <v>0</v>
      </c>
      <c r="Q77" s="227" t="str">
        <f>IF(Inputs!$A78="","",Inputs!$A78)</f>
        <v/>
      </c>
      <c r="R77" s="230" t="str">
        <f t="shared" si="8"/>
        <v/>
      </c>
      <c r="S77" s="231" t="str">
        <f t="shared" si="9"/>
        <v/>
      </c>
      <c r="T77" s="230" t="str">
        <f t="shared" si="13"/>
        <v/>
      </c>
      <c r="U77" s="229" t="str">
        <f t="shared" si="10"/>
        <v/>
      </c>
      <c r="V77" s="233" t="str" cm="1">
        <f t="array" ref="V77">IF($Q77="","",IF($S77=0,1,SUMPRODUCT(($A$5:$A$204=$Q77)*$E$5:$E$204*$P$5:$P$204)/$S77))</f>
        <v/>
      </c>
      <c r="W77" s="246" t="str" cm="1">
        <f t="array" ref="W77">IF($Q77="","",IF(SUMIF($A$5:$A$204,$Q77,$I$5:$I$204)&gt;0,SUMPRODUCT(IFERROR(($A$5:$A$204=$Q77)*$I$5:$I$204*K$5:K$204,0))/SUMIF($A$5:$A$204,$Q77,$I$5:$I$204),IF($S77&gt;0,SUMPRODUCT(IFERROR(($A$5:$A$204=$Q77)*$E$5:$E$204*K$5:K$204,0))/$S77,"")))</f>
        <v/>
      </c>
      <c r="X77" s="246" t="str" cm="1">
        <f t="array" ref="X77">IF($Q77="","",IF(SUMIF($A$5:$A$204,$Q77,$I$5:$I$204)&gt;0,SUMPRODUCT(IFERROR(($A$5:$A$204=$Q77)*$I$5:$I$204*L$5:L$204,0))/SUMIF($A$5:$A$204,$Q77,$I$5:$I$204),IF($S77&gt;0,SUMPRODUCT(IFERROR(($A$5:$A$204=$Q77)*$E$5:$E$204*L$5:L$204,0))/$S77,"")))</f>
        <v/>
      </c>
      <c r="Y77" s="246" t="str" cm="1">
        <f t="array" ref="Y77">IF($Q77="","",IF(SUMIF($A$5:$A$204,$Q77,$I$5:$I$204)&gt;0,SUMPRODUCT(IFERROR(($A$5:$A$204=$Q77)*$I$5:$I$204*M$5:M$204,0))/SUMIF($A$5:$A$204,$Q77,$I$5:$I$204),IF($S77&gt;0,SUMPRODUCT(IFERROR(($A$5:$A$204=$Q77)*$E$5:$E$204*M$5:M$204,0))/$S77,"")))</f>
        <v/>
      </c>
      <c r="Z77" s="247" t="str">
        <f t="shared" si="14"/>
        <v/>
      </c>
      <c r="AG77"/>
      <c r="AH77"/>
      <c r="AI77"/>
      <c r="AJ77"/>
      <c r="AK77"/>
      <c r="AL77"/>
      <c r="AM77"/>
      <c r="AN77"/>
      <c r="AO77"/>
      <c r="AP77"/>
      <c r="AQ77"/>
      <c r="AR77"/>
    </row>
    <row r="78" spans="1:31" x14ac:dyDescent="0.3">
      <c r="A78" s="223"/>
      <c r="B78" s="224" t="str">
        <f>IF($A78="","",IFERROR(INDEX(Inputs!$B$6:$B$80,MATCH($A78,Inputs!$A$6:$A$80,0)),"not in register"))</f>
        <v/>
      </c>
      <c r="C78" s="223"/>
      <c r="D78" s="223"/>
      <c r="E78" s="225"/>
      <c r="F78" s="226"/>
      <c r="G78" s="227" t="str">
        <f>IF(OR($D78="",$F78=""),"",IFERROR(INDEX('Rules of Credit'!$C$5:$C$38,MATCH($D78&amp;"|"&amp;$F78,'Rules of Credit'!$F$5:$F$38,0)),"invalid step"))</f>
        <v/>
      </c>
      <c r="H78" s="228" t="str">
        <f>IF(OR($D78="",$F78=""),"",IFERROR(INDEX('Rules of Credit'!$D$5:$D$38,MATCH($D78&amp;"|"&amp;$F78,'Rules of Credit'!$F$5:$F$38,0)),""))</f>
        <v/>
      </c>
      <c r="I78" s="229" t="str">
        <f t="shared" si="11"/>
        <v/>
      </c>
      <c r="J78" s="242"/>
      <c r="K78" s="243"/>
      <c r="L78" s="243"/>
      <c r="M78" s="243"/>
      <c r="N78" s="244" t="str">
        <f t="shared" si="12"/>
        <v/>
      </c>
      <c r="O78" s="221"/>
      <c r="P78" s="233">
        <f>IF($D78="",0,IFERROR(INDEX('Project Types'!$E$5:$E$13,MATCH($D78,'Project Types'!$A$5:$A$13,0)),1))</f>
        <v>0</v>
      </c>
      <c r="Q78" s="227" t="str">
        <f>IF(Inputs!$A79="","",Inputs!$A79)</f>
        <v/>
      </c>
      <c r="R78" s="230" t="str">
        <f t="shared" si="8"/>
        <v/>
      </c>
      <c r="S78" s="231" t="str">
        <f t="shared" si="9"/>
        <v/>
      </c>
      <c r="T78" s="230" t="str">
        <f t="shared" si="13"/>
        <v/>
      </c>
      <c r="U78" s="229" t="str">
        <f t="shared" si="10"/>
        <v/>
      </c>
      <c r="V78" s="233" t="str" cm="1">
        <f t="array" ref="V78">IF($Q78="","",IF($S78=0,1,SUMPRODUCT(($A$5:$A$204=$Q78)*$E$5:$E$204*$P$5:$P$204)/$S78))</f>
        <v/>
      </c>
      <c r="W78" s="246" t="str" cm="1">
        <f t="array" ref="W78">IF($Q78="","",IF(SUMIF($A$5:$A$204,$Q78,$I$5:$I$204)&gt;0,SUMPRODUCT(IFERROR(($A$5:$A$204=$Q78)*$I$5:$I$204*K$5:K$204,0))/SUMIF($A$5:$A$204,$Q78,$I$5:$I$204),IF($S78&gt;0,SUMPRODUCT(IFERROR(($A$5:$A$204=$Q78)*$E$5:$E$204*K$5:K$204,0))/$S78,"")))</f>
        <v/>
      </c>
      <c r="X78" s="246" t="str" cm="1">
        <f t="array" ref="X78">IF($Q78="","",IF(SUMIF($A$5:$A$204,$Q78,$I$5:$I$204)&gt;0,SUMPRODUCT(IFERROR(($A$5:$A$204=$Q78)*$I$5:$I$204*L$5:L$204,0))/SUMIF($A$5:$A$204,$Q78,$I$5:$I$204),IF($S78&gt;0,SUMPRODUCT(IFERROR(($A$5:$A$204=$Q78)*$E$5:$E$204*L$5:L$204,0))/$S78,"")))</f>
        <v/>
      </c>
      <c r="Y78" s="246" t="str" cm="1">
        <f t="array" ref="Y78">IF($Q78="","",IF(SUMIF($A$5:$A$204,$Q78,$I$5:$I$204)&gt;0,SUMPRODUCT(IFERROR(($A$5:$A$204=$Q78)*$I$5:$I$204*M$5:M$204,0))/SUMIF($A$5:$A$204,$Q78,$I$5:$I$204),IF($S78&gt;0,SUMPRODUCT(IFERROR(($A$5:$A$204=$Q78)*$E$5:$E$204*M$5:M$204,0))/$S78,"")))</f>
        <v/>
      </c>
      <c r="Z78" s="247" t="str">
        <f t="shared" si="14"/>
        <v/>
      </c>
      <c r="AG78"/>
      <c r="AH78"/>
      <c r="AI78"/>
      <c r="AJ78"/>
      <c r="AK78"/>
      <c r="AL78"/>
      <c r="AM78"/>
      <c r="AN78"/>
      <c r="AO78"/>
      <c r="AP78"/>
      <c r="AQ78"/>
      <c r="AR78"/>
    </row>
    <row r="79" spans="1:31" x14ac:dyDescent="0.3">
      <c r="A79" s="223"/>
      <c r="B79" s="224" t="str">
        <f>IF($A79="","",IFERROR(INDEX(Inputs!$B$6:$B$80,MATCH($A79,Inputs!$A$6:$A$80,0)),"not in register"))</f>
        <v/>
      </c>
      <c r="C79" s="223"/>
      <c r="D79" s="223"/>
      <c r="E79" s="225"/>
      <c r="F79" s="226"/>
      <c r="G79" s="227" t="str">
        <f>IF(OR($D79="",$F79=""),"",IFERROR(INDEX('Rules of Credit'!$C$5:$C$38,MATCH($D79&amp;"|"&amp;$F79,'Rules of Credit'!$F$5:$F$38,0)),"invalid step"))</f>
        <v/>
      </c>
      <c r="H79" s="228" t="str">
        <f>IF(OR($D79="",$F79=""),"",IFERROR(INDEX('Rules of Credit'!$D$5:$D$38,MATCH($D79&amp;"|"&amp;$F79,'Rules of Credit'!$F$5:$F$38,0)),""))</f>
        <v/>
      </c>
      <c r="I79" s="229" t="str">
        <f t="shared" si="11"/>
        <v/>
      </c>
      <c r="J79" s="242"/>
      <c r="K79" s="243"/>
      <c r="L79" s="243"/>
      <c r="M79" s="243"/>
      <c r="N79" s="244" t="str">
        <f t="shared" si="12"/>
        <v/>
      </c>
      <c r="O79" s="221"/>
      <c r="P79" s="233">
        <f>IF($D79="",0,IFERROR(INDEX('Project Types'!$E$5:$E$13,MATCH($D79,'Project Types'!$A$5:$A$13,0)),1))</f>
        <v>0</v>
      </c>
      <c r="Q79" s="227" t="str">
        <f>IF(Inputs!$A80="","",Inputs!$A80)</f>
        <v/>
      </c>
      <c r="R79" s="230" t="str">
        <f t="shared" si="8"/>
        <v/>
      </c>
      <c r="S79" s="231" t="str">
        <f t="shared" si="9"/>
        <v/>
      </c>
      <c r="T79" s="230" t="str">
        <f t="shared" si="13"/>
        <v/>
      </c>
      <c r="U79" s="229" t="str">
        <f t="shared" si="10"/>
        <v/>
      </c>
      <c r="V79" s="233" t="str" cm="1">
        <f t="array" ref="V79">IF($Q79="","",IF($S79=0,1,SUMPRODUCT(($A$5:$A$204=$Q79)*$E$5:$E$204*$P$5:$P$204)/$S79))</f>
        <v/>
      </c>
      <c r="W79" s="246" t="str" cm="1">
        <f t="array" ref="W79">IF($Q79="","",IF(SUMIF($A$5:$A$204,$Q79,$I$5:$I$204)&gt;0,SUMPRODUCT(IFERROR(($A$5:$A$204=$Q79)*$I$5:$I$204*K$5:K$204,0))/SUMIF($A$5:$A$204,$Q79,$I$5:$I$204),IF($S79&gt;0,SUMPRODUCT(IFERROR(($A$5:$A$204=$Q79)*$E$5:$E$204*K$5:K$204,0))/$S79,"")))</f>
        <v/>
      </c>
      <c r="X79" s="246" t="str" cm="1">
        <f t="array" ref="X79">IF($Q79="","",IF(SUMIF($A$5:$A$204,$Q79,$I$5:$I$204)&gt;0,SUMPRODUCT(IFERROR(($A$5:$A$204=$Q79)*$I$5:$I$204*L$5:L$204,0))/SUMIF($A$5:$A$204,$Q79,$I$5:$I$204),IF($S79&gt;0,SUMPRODUCT(IFERROR(($A$5:$A$204=$Q79)*$E$5:$E$204*L$5:L$204,0))/$S79,"")))</f>
        <v/>
      </c>
      <c r="Y79" s="246" t="str" cm="1">
        <f t="array" ref="Y79">IF($Q79="","",IF(SUMIF($A$5:$A$204,$Q79,$I$5:$I$204)&gt;0,SUMPRODUCT(IFERROR(($A$5:$A$204=$Q79)*$I$5:$I$204*M$5:M$204,0))/SUMIF($A$5:$A$204,$Q79,$I$5:$I$204),IF($S79&gt;0,SUMPRODUCT(IFERROR(($A$5:$A$204=$Q79)*$E$5:$E$204*M$5:M$204,0))/$S79,"")))</f>
        <v/>
      </c>
      <c r="Z79" s="247" t="str">
        <f t="shared" si="14"/>
        <v/>
      </c>
      <c r="AG79"/>
      <c r="AH79"/>
      <c r="AI79"/>
      <c r="AJ79"/>
      <c r="AK79"/>
      <c r="AL79"/>
      <c r="AM79"/>
      <c r="AN79"/>
      <c r="AO79"/>
      <c r="AP79"/>
      <c r="AQ79"/>
      <c r="AR79"/>
    </row>
    <row r="80" spans="1:31" x14ac:dyDescent="0.3">
      <c r="A80" s="223"/>
      <c r="B80" s="224" t="str">
        <f>IF($A80="","",IFERROR(INDEX(Inputs!$B$6:$B$80,MATCH($A80,Inputs!$A$6:$A$80,0)),"not in register"))</f>
        <v/>
      </c>
      <c r="C80" s="223"/>
      <c r="D80" s="223"/>
      <c r="E80" s="225"/>
      <c r="F80" s="226"/>
      <c r="G80" s="227" t="str">
        <f>IF(OR($D80="",$F80=""),"",IFERROR(INDEX('Rules of Credit'!$C$5:$C$38,MATCH($D80&amp;"|"&amp;$F80,'Rules of Credit'!$F$5:$F$38,0)),"invalid step"))</f>
        <v/>
      </c>
      <c r="H80" s="228" t="str">
        <f>IF(OR($D80="",$F80=""),"",IFERROR(INDEX('Rules of Credit'!$D$5:$D$38,MATCH($D80&amp;"|"&amp;$F80,'Rules of Credit'!$F$5:$F$38,0)),""))</f>
        <v/>
      </c>
      <c r="I80" s="229" t="str">
        <f t="shared" si="11"/>
        <v/>
      </c>
      <c r="J80" s="242"/>
      <c r="K80" s="243"/>
      <c r="L80" s="243"/>
      <c r="M80" s="243"/>
      <c r="N80" s="244" t="str">
        <f t="shared" si="12"/>
        <v/>
      </c>
      <c r="O80" s="221"/>
      <c r="P80" s="233">
        <f>IF($D80="",0,IFERROR(INDEX('Project Types'!$E$5:$E$13,MATCH($D80,'Project Types'!$A$5:$A$13,0)),1))</f>
        <v>0</v>
      </c>
      <c r="Q80" s="227" t="str">
        <f>IF(Inputs!$A81="","",Inputs!$A81)</f>
        <v/>
      </c>
      <c r="R80" s="230" t="str">
        <f t="shared" si="8"/>
        <v/>
      </c>
      <c r="S80" s="231" t="str">
        <f t="shared" si="9"/>
        <v/>
      </c>
      <c r="T80" s="230" t="str">
        <f t="shared" si="13"/>
        <v/>
      </c>
      <c r="U80" s="229" t="str">
        <f t="shared" si="10"/>
        <v/>
      </c>
      <c r="V80" s="233" t="str" cm="1">
        <f t="array" ref="V80">IF($Q80="","",IF($S80=0,1,SUMPRODUCT(($A$5:$A$204=$Q80)*$E$5:$E$204*$P$5:$P$204)/$S80))</f>
        <v/>
      </c>
      <c r="W80" s="246" t="str" cm="1">
        <f t="array" ref="W80">IF($Q80="","",IF(SUMIF($A$5:$A$204,$Q80,$I$5:$I$204)&gt;0,SUMPRODUCT(IFERROR(($A$5:$A$204=$Q80)*$I$5:$I$204*K$5:K$204,0))/SUMIF($A$5:$A$204,$Q80,$I$5:$I$204),IF($S80&gt;0,SUMPRODUCT(IFERROR(($A$5:$A$204=$Q80)*$E$5:$E$204*K$5:K$204,0))/$S80,"")))</f>
        <v/>
      </c>
      <c r="X80" s="246" t="str" cm="1">
        <f t="array" ref="X80">IF($Q80="","",IF(SUMIF($A$5:$A$204,$Q80,$I$5:$I$204)&gt;0,SUMPRODUCT(IFERROR(($A$5:$A$204=$Q80)*$I$5:$I$204*L$5:L$204,0))/SUMIF($A$5:$A$204,$Q80,$I$5:$I$204),IF($S80&gt;0,SUMPRODUCT(IFERROR(($A$5:$A$204=$Q80)*$E$5:$E$204*L$5:L$204,0))/$S80,"")))</f>
        <v/>
      </c>
      <c r="Y80" s="246" t="str" cm="1">
        <f t="array" ref="Y80">IF($Q80="","",IF(SUMIF($A$5:$A$204,$Q80,$I$5:$I$204)&gt;0,SUMPRODUCT(IFERROR(($A$5:$A$204=$Q80)*$I$5:$I$204*M$5:M$204,0))/SUMIF($A$5:$A$204,$Q80,$I$5:$I$204),IF($S80&gt;0,SUMPRODUCT(IFERROR(($A$5:$A$204=$Q80)*$E$5:$E$204*M$5:M$204,0))/$S80,"")))</f>
        <v/>
      </c>
      <c r="Z80" s="247" t="str">
        <f t="shared" si="14"/>
        <v/>
      </c>
      <c r="AG80"/>
      <c r="AH80"/>
      <c r="AI80"/>
      <c r="AJ80"/>
      <c r="AK80"/>
      <c r="AL80"/>
      <c r="AM80"/>
      <c r="AN80"/>
      <c r="AO80"/>
      <c r="AP80"/>
      <c r="AQ80"/>
      <c r="AR80"/>
    </row>
    <row r="81" spans="1:26" x14ac:dyDescent="0.3">
      <c r="A81" s="223"/>
      <c r="B81" s="224" t="str">
        <f>IF($A81="","",IFERROR(INDEX(Inputs!$B$6:$B$80,MATCH($A81,Inputs!$A$6:$A$80,0)),"not in register"))</f>
        <v/>
      </c>
      <c r="C81" s="223"/>
      <c r="D81" s="223"/>
      <c r="E81" s="225"/>
      <c r="F81" s="226"/>
      <c r="G81" s="227" t="str">
        <f>IF(OR($D81="",$F81=""),"",IFERROR(INDEX('Rules of Credit'!$C$5:$C$38,MATCH($D81&amp;"|"&amp;$F81,'Rules of Credit'!$F$5:$F$38,0)),"invalid step"))</f>
        <v/>
      </c>
      <c r="H81" s="228" t="str">
        <f>IF(OR($D81="",$F81=""),"",IFERROR(INDEX('Rules of Credit'!$D$5:$D$38,MATCH($D81&amp;"|"&amp;$F81,'Rules of Credit'!$F$5:$F$38,0)),""))</f>
        <v/>
      </c>
      <c r="I81" s="229" t="str">
        <f t="shared" si="11"/>
        <v/>
      </c>
      <c r="J81" s="242"/>
      <c r="K81" s="243"/>
      <c r="L81" s="243"/>
      <c r="M81" s="243"/>
      <c r="N81" s="244" t="str">
        <f t="shared" si="12"/>
        <v/>
      </c>
      <c r="O81" s="221"/>
      <c r="P81" s="233">
        <f>IF($D81="",0,IFERROR(INDEX('Project Types'!$E$5:$E$13,MATCH($D81,'Project Types'!$A$5:$A$13,0)),1))</f>
        <v>0</v>
      </c>
      <c r="Q81" s="227" t="str">
        <f>IF(Inputs!$A82="","",Inputs!$A82)</f>
        <v/>
      </c>
      <c r="R81" s="230" t="str">
        <f t="shared" si="8"/>
        <v/>
      </c>
      <c r="S81" s="231" t="str">
        <f t="shared" si="9"/>
        <v/>
      </c>
      <c r="T81" s="230" t="str">
        <f t="shared" si="13"/>
        <v/>
      </c>
      <c r="U81" s="229" t="str">
        <f t="shared" si="10"/>
        <v/>
      </c>
      <c r="V81" s="233" t="str" cm="1">
        <f t="array" ref="V81">IF($Q81="","",IF($S81=0,1,SUMPRODUCT(($A$5:$A$204=$Q81)*$E$5:$E$204*$P$5:$P$204)/$S81))</f>
        <v/>
      </c>
      <c r="W81" s="246" t="str" cm="1">
        <f t="array" ref="W81">IF($Q81="","",IF(SUMIF($A$5:$A$204,$Q81,$I$5:$I$204)&gt;0,SUMPRODUCT(IFERROR(($A$5:$A$204=$Q81)*$I$5:$I$204*K$5:K$204,0))/SUMIF($A$5:$A$204,$Q81,$I$5:$I$204),IF($S81&gt;0,SUMPRODUCT(IFERROR(($A$5:$A$204=$Q81)*$E$5:$E$204*K$5:K$204,0))/$S81,"")))</f>
        <v/>
      </c>
      <c r="X81" s="246" t="str" cm="1">
        <f t="array" ref="X81">IF($Q81="","",IF(SUMIF($A$5:$A$204,$Q81,$I$5:$I$204)&gt;0,SUMPRODUCT(IFERROR(($A$5:$A$204=$Q81)*$I$5:$I$204*L$5:L$204,0))/SUMIF($A$5:$A$204,$Q81,$I$5:$I$204),IF($S81&gt;0,SUMPRODUCT(IFERROR(($A$5:$A$204=$Q81)*$E$5:$E$204*L$5:L$204,0))/$S81,"")))</f>
        <v/>
      </c>
      <c r="Y81" s="246" t="str" cm="1">
        <f t="array" ref="Y81">IF($Q81="","",IF(SUMIF($A$5:$A$204,$Q81,$I$5:$I$204)&gt;0,SUMPRODUCT(IFERROR(($A$5:$A$204=$Q81)*$I$5:$I$204*M$5:M$204,0))/SUMIF($A$5:$A$204,$Q81,$I$5:$I$204),IF($S81&gt;0,SUMPRODUCT(IFERROR(($A$5:$A$204=$Q81)*$E$5:$E$204*M$5:M$204,0))/$S81,"")))</f>
        <v/>
      </c>
      <c r="Z81" s="247" t="str">
        <f t="shared" si="14"/>
        <v/>
      </c>
      <c r="AG81"/>
      <c r="AH81"/>
      <c r="AI81"/>
      <c r="AJ81"/>
      <c r="AK81"/>
      <c r="AL81"/>
      <c r="AM81"/>
      <c r="AN81"/>
      <c r="AO81"/>
      <c r="AP81"/>
      <c r="AQ81"/>
      <c r="AR81"/>
    </row>
    <row r="82" spans="1:26" x14ac:dyDescent="0.3">
      <c r="A82" s="223"/>
      <c r="B82" s="224" t="str">
        <f>IF($A82="","",IFERROR(INDEX(Inputs!$B$6:$B$80,MATCH($A82,Inputs!$A$6:$A$80,0)),"not in register"))</f>
        <v/>
      </c>
      <c r="C82" s="223"/>
      <c r="D82" s="223"/>
      <c r="E82" s="225"/>
      <c r="F82" s="226"/>
      <c r="G82" s="227" t="str">
        <f>IF(OR($D82="",$F82=""),"",IFERROR(INDEX('Rules of Credit'!$C$5:$C$38,MATCH($D82&amp;"|"&amp;$F82,'Rules of Credit'!$F$5:$F$38,0)),"invalid step"))</f>
        <v/>
      </c>
      <c r="H82" s="228" t="str">
        <f>IF(OR($D82="",$F82=""),"",IFERROR(INDEX('Rules of Credit'!$D$5:$D$38,MATCH($D82&amp;"|"&amp;$F82,'Rules of Credit'!$F$5:$F$38,0)),""))</f>
        <v/>
      </c>
      <c r="I82" s="229" t="str">
        <f t="shared" si="11"/>
        <v/>
      </c>
      <c r="J82" s="242"/>
      <c r="K82" s="243"/>
      <c r="L82" s="243"/>
      <c r="M82" s="243"/>
      <c r="N82" s="244" t="str">
        <f t="shared" si="12"/>
        <v/>
      </c>
      <c r="O82" s="221"/>
      <c r="P82" s="233">
        <f>IF($D82="",0,IFERROR(INDEX('Project Types'!$E$5:$E$13,MATCH($D82,'Project Types'!$A$5:$A$13,0)),1))</f>
        <v>0</v>
      </c>
      <c r="Q82" s="227" t="str">
        <f>IF(Inputs!$A83="","",Inputs!$A83)</f>
        <v/>
      </c>
      <c r="R82" s="230" t="str">
        <f t="shared" si="8"/>
        <v/>
      </c>
      <c r="S82" s="231" t="str">
        <f t="shared" si="9"/>
        <v/>
      </c>
      <c r="T82" s="230" t="str">
        <f t="shared" si="13"/>
        <v/>
      </c>
      <c r="U82" s="229" t="str">
        <f t="shared" si="10"/>
        <v/>
      </c>
      <c r="V82" s="233" t="str" cm="1">
        <f t="array" ref="V82">IF($Q82="","",IF($S82=0,1,SUMPRODUCT(($A$5:$A$204=$Q82)*$E$5:$E$204*$P$5:$P$204)/$S82))</f>
        <v/>
      </c>
      <c r="W82" s="246" t="str" cm="1">
        <f t="array" ref="W82">IF($Q82="","",IF(SUMIF($A$5:$A$204,$Q82,$I$5:$I$204)&gt;0,SUMPRODUCT(IFERROR(($A$5:$A$204=$Q82)*$I$5:$I$204*K$5:K$204,0))/SUMIF($A$5:$A$204,$Q82,$I$5:$I$204),IF($S82&gt;0,SUMPRODUCT(IFERROR(($A$5:$A$204=$Q82)*$E$5:$E$204*K$5:K$204,0))/$S82,"")))</f>
        <v/>
      </c>
      <c r="X82" s="246" t="str" cm="1">
        <f t="array" ref="X82">IF($Q82="","",IF(SUMIF($A$5:$A$204,$Q82,$I$5:$I$204)&gt;0,SUMPRODUCT(IFERROR(($A$5:$A$204=$Q82)*$I$5:$I$204*L$5:L$204,0))/SUMIF($A$5:$A$204,$Q82,$I$5:$I$204),IF($S82&gt;0,SUMPRODUCT(IFERROR(($A$5:$A$204=$Q82)*$E$5:$E$204*L$5:L$204,0))/$S82,"")))</f>
        <v/>
      </c>
      <c r="Y82" s="246" t="str" cm="1">
        <f t="array" ref="Y82">IF($Q82="","",IF(SUMIF($A$5:$A$204,$Q82,$I$5:$I$204)&gt;0,SUMPRODUCT(IFERROR(($A$5:$A$204=$Q82)*$I$5:$I$204*M$5:M$204,0))/SUMIF($A$5:$A$204,$Q82,$I$5:$I$204),IF($S82&gt;0,SUMPRODUCT(IFERROR(($A$5:$A$204=$Q82)*$E$5:$E$204*M$5:M$204,0))/$S82,"")))</f>
        <v/>
      </c>
      <c r="Z82" s="247" t="str">
        <f t="shared" si="14"/>
        <v/>
      </c>
      <c r="AG82"/>
      <c r="AH82"/>
      <c r="AI82"/>
      <c r="AJ82"/>
      <c r="AK82"/>
      <c r="AL82"/>
      <c r="AM82"/>
      <c r="AN82"/>
      <c r="AO82"/>
      <c r="AP82"/>
      <c r="AQ82"/>
      <c r="AR82"/>
    </row>
    <row r="83" spans="1:26" x14ac:dyDescent="0.3">
      <c r="A83" s="223"/>
      <c r="B83" s="224" t="str">
        <f>IF($A83="","",IFERROR(INDEX(Inputs!$B$6:$B$80,MATCH($A83,Inputs!$A$6:$A$80,0)),"not in register"))</f>
        <v/>
      </c>
      <c r="C83" s="223"/>
      <c r="D83" s="223"/>
      <c r="E83" s="225"/>
      <c r="F83" s="226"/>
      <c r="G83" s="227" t="str">
        <f>IF(OR($D83="",$F83=""),"",IFERROR(INDEX('Rules of Credit'!$C$5:$C$38,MATCH($D83&amp;"|"&amp;$F83,'Rules of Credit'!$F$5:$F$38,0)),"invalid step"))</f>
        <v/>
      </c>
      <c r="H83" s="228" t="str">
        <f>IF(OR($D83="",$F83=""),"",IFERROR(INDEX('Rules of Credit'!$D$5:$D$38,MATCH($D83&amp;"|"&amp;$F83,'Rules of Credit'!$F$5:$F$38,0)),""))</f>
        <v/>
      </c>
      <c r="I83" s="229" t="str">
        <f t="shared" si="11"/>
        <v/>
      </c>
      <c r="J83" s="242"/>
      <c r="K83" s="243"/>
      <c r="L83" s="243"/>
      <c r="M83" s="243"/>
      <c r="N83" s="244" t="str">
        <f t="shared" si="12"/>
        <v/>
      </c>
      <c r="O83" s="221"/>
      <c r="P83" s="233">
        <f>IF($D83="",0,IFERROR(INDEX('Project Types'!$E$5:$E$13,MATCH($D83,'Project Types'!$A$5:$A$13,0)),1))</f>
        <v>0</v>
      </c>
      <c r="Q83" s="227" t="str">
        <f>IF(Inputs!$A84="","",Inputs!$A84)</f>
        <v/>
      </c>
      <c r="R83" s="230" t="str">
        <f t="shared" si="8"/>
        <v/>
      </c>
      <c r="S83" s="231" t="str">
        <f t="shared" si="9"/>
        <v/>
      </c>
      <c r="T83" s="230" t="str">
        <f t="shared" si="13"/>
        <v/>
      </c>
      <c r="U83" s="229" t="str">
        <f t="shared" si="10"/>
        <v/>
      </c>
      <c r="V83" s="233" t="str" cm="1">
        <f t="array" ref="V83">IF($Q83="","",IF($S83=0,1,SUMPRODUCT(($A$5:$A$204=$Q83)*$E$5:$E$204*$P$5:$P$204)/$S83))</f>
        <v/>
      </c>
      <c r="W83" s="246" t="str" cm="1">
        <f t="array" ref="W83">IF($Q83="","",IF(SUMIF($A$5:$A$204,$Q83,$I$5:$I$204)&gt;0,SUMPRODUCT(IFERROR(($A$5:$A$204=$Q83)*$I$5:$I$204*K$5:K$204,0))/SUMIF($A$5:$A$204,$Q83,$I$5:$I$204),IF($S83&gt;0,SUMPRODUCT(IFERROR(($A$5:$A$204=$Q83)*$E$5:$E$204*K$5:K$204,0))/$S83,"")))</f>
        <v/>
      </c>
      <c r="X83" s="246" t="str" cm="1">
        <f t="array" ref="X83">IF($Q83="","",IF(SUMIF($A$5:$A$204,$Q83,$I$5:$I$204)&gt;0,SUMPRODUCT(IFERROR(($A$5:$A$204=$Q83)*$I$5:$I$204*L$5:L$204,0))/SUMIF($A$5:$A$204,$Q83,$I$5:$I$204),IF($S83&gt;0,SUMPRODUCT(IFERROR(($A$5:$A$204=$Q83)*$E$5:$E$204*L$5:L$204,0))/$S83,"")))</f>
        <v/>
      </c>
      <c r="Y83" s="246" t="str" cm="1">
        <f t="array" ref="Y83">IF($Q83="","",IF(SUMIF($A$5:$A$204,$Q83,$I$5:$I$204)&gt;0,SUMPRODUCT(IFERROR(($A$5:$A$204=$Q83)*$I$5:$I$204*M$5:M$204,0))/SUMIF($A$5:$A$204,$Q83,$I$5:$I$204),IF($S83&gt;0,SUMPRODUCT(IFERROR(($A$5:$A$204=$Q83)*$E$5:$E$204*M$5:M$204,0))/$S83,"")))</f>
        <v/>
      </c>
      <c r="Z83" s="247" t="str">
        <f t="shared" si="14"/>
        <v/>
      </c>
      <c r="AG83"/>
      <c r="AH83"/>
      <c r="AI83"/>
      <c r="AJ83"/>
      <c r="AK83"/>
      <c r="AL83"/>
      <c r="AM83"/>
      <c r="AN83"/>
      <c r="AO83"/>
      <c r="AP83"/>
      <c r="AQ83"/>
      <c r="AR83"/>
    </row>
    <row r="84" spans="1:26" x14ac:dyDescent="0.3">
      <c r="A84" s="223"/>
      <c r="B84" s="224" t="str">
        <f>IF($A84="","",IFERROR(INDEX(Inputs!$B$6:$B$80,MATCH($A84,Inputs!$A$6:$A$80,0)),"not in register"))</f>
        <v/>
      </c>
      <c r="C84" s="223"/>
      <c r="D84" s="223"/>
      <c r="E84" s="225"/>
      <c r="F84" s="226"/>
      <c r="G84" s="227" t="str">
        <f>IF(OR($D84="",$F84=""),"",IFERROR(INDEX('Rules of Credit'!$C$5:$C$38,MATCH($D84&amp;"|"&amp;$F84,'Rules of Credit'!$F$5:$F$38,0)),"invalid step"))</f>
        <v/>
      </c>
      <c r="H84" s="228" t="str">
        <f>IF(OR($D84="",$F84=""),"",IFERROR(INDEX('Rules of Credit'!$D$5:$D$38,MATCH($D84&amp;"|"&amp;$F84,'Rules of Credit'!$F$5:$F$38,0)),""))</f>
        <v/>
      </c>
      <c r="I84" s="229" t="str">
        <f t="shared" si="11"/>
        <v/>
      </c>
      <c r="J84" s="242"/>
      <c r="K84" s="243"/>
      <c r="L84" s="243"/>
      <c r="M84" s="243"/>
      <c r="N84" s="244" t="str">
        <f t="shared" si="12"/>
        <v/>
      </c>
      <c r="O84" s="221"/>
      <c r="P84" s="233">
        <f>IF($D84="",0,IFERROR(INDEX('Project Types'!$E$5:$E$13,MATCH($D84,'Project Types'!$A$5:$A$13,0)),1))</f>
        <v>0</v>
      </c>
      <c r="Q84" s="227" t="str">
        <f>IF(Inputs!$A85="","",Inputs!$A85)</f>
        <v/>
      </c>
      <c r="R84" s="230" t="str">
        <f t="shared" si="8"/>
        <v/>
      </c>
      <c r="S84" s="231" t="str">
        <f t="shared" si="9"/>
        <v/>
      </c>
      <c r="T84" s="230" t="str">
        <f t="shared" si="13"/>
        <v/>
      </c>
      <c r="U84" s="229" t="str">
        <f t="shared" si="10"/>
        <v/>
      </c>
      <c r="V84" s="233" t="str" cm="1">
        <f t="array" ref="V84">IF($Q84="","",IF($S84=0,1,SUMPRODUCT(($A$5:$A$204=$Q84)*$E$5:$E$204*$P$5:$P$204)/$S84))</f>
        <v/>
      </c>
      <c r="W84" s="246" t="str" cm="1">
        <f t="array" ref="W84">IF($Q84="","",IF(SUMIF($A$5:$A$204,$Q84,$I$5:$I$204)&gt;0,SUMPRODUCT(IFERROR(($A$5:$A$204=$Q84)*$I$5:$I$204*K$5:K$204,0))/SUMIF($A$5:$A$204,$Q84,$I$5:$I$204),IF($S84&gt;0,SUMPRODUCT(IFERROR(($A$5:$A$204=$Q84)*$E$5:$E$204*K$5:K$204,0))/$S84,"")))</f>
        <v/>
      </c>
      <c r="X84" s="246" t="str" cm="1">
        <f t="array" ref="X84">IF($Q84="","",IF(SUMIF($A$5:$A$204,$Q84,$I$5:$I$204)&gt;0,SUMPRODUCT(IFERROR(($A$5:$A$204=$Q84)*$I$5:$I$204*L$5:L$204,0))/SUMIF($A$5:$A$204,$Q84,$I$5:$I$204),IF($S84&gt;0,SUMPRODUCT(IFERROR(($A$5:$A$204=$Q84)*$E$5:$E$204*L$5:L$204,0))/$S84,"")))</f>
        <v/>
      </c>
      <c r="Y84" s="246" t="str" cm="1">
        <f t="array" ref="Y84">IF($Q84="","",IF(SUMIF($A$5:$A$204,$Q84,$I$5:$I$204)&gt;0,SUMPRODUCT(IFERROR(($A$5:$A$204=$Q84)*$I$5:$I$204*M$5:M$204,0))/SUMIF($A$5:$A$204,$Q84,$I$5:$I$204),IF($S84&gt;0,SUMPRODUCT(IFERROR(($A$5:$A$204=$Q84)*$E$5:$E$204*M$5:M$204,0))/$S84,"")))</f>
        <v/>
      </c>
      <c r="Z84" s="247" t="str">
        <f t="shared" si="14"/>
        <v/>
      </c>
      <c r="AG84"/>
      <c r="AH84"/>
      <c r="AI84"/>
      <c r="AJ84"/>
      <c r="AK84"/>
      <c r="AL84"/>
      <c r="AM84"/>
      <c r="AN84"/>
      <c r="AO84"/>
      <c r="AP84"/>
      <c r="AQ84"/>
      <c r="AR84"/>
    </row>
    <row r="85" spans="1:26" x14ac:dyDescent="0.3">
      <c r="A85" s="223"/>
      <c r="B85" s="224" t="str">
        <f>IF($A85="","",IFERROR(INDEX(Inputs!$B$6:$B$80,MATCH($A85,Inputs!$A$6:$A$80,0)),"not in register"))</f>
        <v/>
      </c>
      <c r="C85" s="223"/>
      <c r="D85" s="223"/>
      <c r="E85" s="225"/>
      <c r="F85" s="226"/>
      <c r="G85" s="227" t="str">
        <f>IF(OR($D85="",$F85=""),"",IFERROR(INDEX('Rules of Credit'!$C$5:$C$38,MATCH($D85&amp;"|"&amp;$F85,'Rules of Credit'!$F$5:$F$38,0)),"invalid step"))</f>
        <v/>
      </c>
      <c r="H85" s="228" t="str">
        <f>IF(OR($D85="",$F85=""),"",IFERROR(INDEX('Rules of Credit'!$D$5:$D$38,MATCH($D85&amp;"|"&amp;$F85,'Rules of Credit'!$F$5:$F$38,0)),""))</f>
        <v/>
      </c>
      <c r="I85" s="229" t="str">
        <f t="shared" si="11"/>
        <v/>
      </c>
      <c r="J85" s="242"/>
      <c r="K85" s="243"/>
      <c r="L85" s="243"/>
      <c r="M85" s="243"/>
      <c r="N85" s="244" t="str">
        <f t="shared" si="12"/>
        <v/>
      </c>
      <c r="O85" s="221"/>
      <c r="P85" s="233">
        <f>IF($D85="",0,IFERROR(INDEX('Project Types'!$E$5:$E$13,MATCH($D85,'Project Types'!$A$5:$A$13,0)),1))</f>
        <v>0</v>
      </c>
      <c r="Q85" s="14"/>
      <c r="R85" s="14"/>
      <c r="S85" s="14"/>
      <c r="T85" s="14"/>
      <c r="U85" s="14"/>
      <c r="AG85"/>
      <c r="AH85"/>
      <c r="AI85"/>
      <c r="AJ85"/>
      <c r="AK85"/>
      <c r="AL85"/>
      <c r="AM85"/>
      <c r="AN85"/>
      <c r="AO85"/>
      <c r="AP85"/>
      <c r="AQ85"/>
      <c r="AR85"/>
    </row>
    <row r="86" spans="1:26" x14ac:dyDescent="0.3">
      <c r="A86" s="223"/>
      <c r="B86" s="224" t="str">
        <f>IF($A86="","",IFERROR(INDEX(Inputs!$B$6:$B$80,MATCH($A86,Inputs!$A$6:$A$80,0)),"not in register"))</f>
        <v/>
      </c>
      <c r="C86" s="223"/>
      <c r="D86" s="223"/>
      <c r="E86" s="225"/>
      <c r="F86" s="226"/>
      <c r="G86" s="227" t="str">
        <f>IF(OR($D86="",$F86=""),"",IFERROR(INDEX('Rules of Credit'!$C$5:$C$38,MATCH($D86&amp;"|"&amp;$F86,'Rules of Credit'!$F$5:$F$38,0)),"invalid step"))</f>
        <v/>
      </c>
      <c r="H86" s="228" t="str">
        <f>IF(OR($D86="",$F86=""),"",IFERROR(INDEX('Rules of Credit'!$D$5:$D$38,MATCH($D86&amp;"|"&amp;$F86,'Rules of Credit'!$F$5:$F$38,0)),""))</f>
        <v/>
      </c>
      <c r="I86" s="229" t="str">
        <f t="shared" si="11"/>
        <v/>
      </c>
      <c r="J86" s="242"/>
      <c r="K86" s="243"/>
      <c r="L86" s="243"/>
      <c r="M86" s="243"/>
      <c r="N86" s="244" t="str">
        <f t="shared" si="12"/>
        <v/>
      </c>
      <c r="O86" s="221"/>
      <c r="P86" s="233">
        <f>IF($D86="",0,IFERROR(INDEX('Project Types'!$E$5:$E$13,MATCH($D86,'Project Types'!$A$5:$A$13,0)),1))</f>
        <v>0</v>
      </c>
      <c r="Q86" s="14"/>
      <c r="R86" s="14"/>
      <c r="S86" s="14"/>
      <c r="T86" s="14"/>
      <c r="U86" s="14"/>
      <c r="AG86"/>
      <c r="AH86"/>
      <c r="AI86"/>
      <c r="AJ86"/>
      <c r="AK86"/>
      <c r="AL86"/>
      <c r="AM86"/>
      <c r="AN86"/>
      <c r="AO86"/>
      <c r="AP86"/>
      <c r="AQ86"/>
      <c r="AR86"/>
    </row>
    <row r="87" spans="1:26" x14ac:dyDescent="0.3">
      <c r="A87" s="223"/>
      <c r="B87" s="224" t="str">
        <f>IF($A87="","",IFERROR(INDEX(Inputs!$B$6:$B$80,MATCH($A87,Inputs!$A$6:$A$80,0)),"not in register"))</f>
        <v/>
      </c>
      <c r="C87" s="223"/>
      <c r="D87" s="223"/>
      <c r="E87" s="225"/>
      <c r="F87" s="226"/>
      <c r="G87" s="227" t="str">
        <f>IF(OR($D87="",$F87=""),"",IFERROR(INDEX('Rules of Credit'!$C$5:$C$38,MATCH($D87&amp;"|"&amp;$F87,'Rules of Credit'!$F$5:$F$38,0)),"invalid step"))</f>
        <v/>
      </c>
      <c r="H87" s="228" t="str">
        <f>IF(OR($D87="",$F87=""),"",IFERROR(INDEX('Rules of Credit'!$D$5:$D$38,MATCH($D87&amp;"|"&amp;$F87,'Rules of Credit'!$F$5:$F$38,0)),""))</f>
        <v/>
      </c>
      <c r="I87" s="229" t="str">
        <f t="shared" si="11"/>
        <v/>
      </c>
      <c r="J87" s="242"/>
      <c r="K87" s="243"/>
      <c r="L87" s="243"/>
      <c r="M87" s="243"/>
      <c r="N87" s="244" t="str">
        <f t="shared" si="12"/>
        <v/>
      </c>
      <c r="O87" s="221"/>
      <c r="P87" s="233">
        <f>IF($D87="",0,IFERROR(INDEX('Project Types'!$E$5:$E$13,MATCH($D87,'Project Types'!$A$5:$A$13,0)),1))</f>
        <v>0</v>
      </c>
      <c r="Q87" s="14"/>
      <c r="R87" s="14"/>
      <c r="S87" s="14"/>
      <c r="T87" s="14"/>
      <c r="U87" s="14"/>
      <c r="AG87"/>
      <c r="AH87"/>
      <c r="AI87"/>
      <c r="AJ87"/>
      <c r="AK87"/>
      <c r="AL87"/>
      <c r="AM87"/>
      <c r="AN87"/>
      <c r="AO87"/>
      <c r="AP87"/>
      <c r="AQ87"/>
      <c r="AR87"/>
    </row>
    <row r="88" spans="1:26" x14ac:dyDescent="0.3">
      <c r="A88" s="223"/>
      <c r="B88" s="224" t="str">
        <f>IF($A88="","",IFERROR(INDEX(Inputs!$B$6:$B$80,MATCH($A88,Inputs!$A$6:$A$80,0)),"not in register"))</f>
        <v/>
      </c>
      <c r="C88" s="223"/>
      <c r="D88" s="223"/>
      <c r="E88" s="225"/>
      <c r="F88" s="226"/>
      <c r="G88" s="227" t="str">
        <f>IF(OR($D88="",$F88=""),"",IFERROR(INDEX('Rules of Credit'!$C$5:$C$38,MATCH($D88&amp;"|"&amp;$F88,'Rules of Credit'!$F$5:$F$38,0)),"invalid step"))</f>
        <v/>
      </c>
      <c r="H88" s="228" t="str">
        <f>IF(OR($D88="",$F88=""),"",IFERROR(INDEX('Rules of Credit'!$D$5:$D$38,MATCH($D88&amp;"|"&amp;$F88,'Rules of Credit'!$F$5:$F$38,0)),""))</f>
        <v/>
      </c>
      <c r="I88" s="229" t="str">
        <f t="shared" si="11"/>
        <v/>
      </c>
      <c r="J88" s="242"/>
      <c r="K88" s="243"/>
      <c r="L88" s="243"/>
      <c r="M88" s="243"/>
      <c r="N88" s="244" t="str">
        <f t="shared" si="12"/>
        <v/>
      </c>
      <c r="O88" s="221"/>
      <c r="P88" s="233">
        <f>IF($D88="",0,IFERROR(INDEX('Project Types'!$E$5:$E$13,MATCH($D88,'Project Types'!$A$5:$A$13,0)),1))</f>
        <v>0</v>
      </c>
      <c r="Q88" s="14"/>
      <c r="R88" s="14"/>
      <c r="S88" s="14"/>
      <c r="T88" s="14"/>
      <c r="U88" s="14"/>
      <c r="AG88"/>
      <c r="AH88"/>
      <c r="AI88"/>
      <c r="AJ88"/>
      <c r="AK88"/>
      <c r="AL88"/>
      <c r="AM88"/>
      <c r="AN88"/>
      <c r="AO88"/>
      <c r="AP88"/>
      <c r="AQ88"/>
      <c r="AR88"/>
    </row>
    <row r="89" spans="1:26" x14ac:dyDescent="0.3">
      <c r="A89" s="223"/>
      <c r="B89" s="224" t="str">
        <f>IF($A89="","",IFERROR(INDEX(Inputs!$B$6:$B$80,MATCH($A89,Inputs!$A$6:$A$80,0)),"not in register"))</f>
        <v/>
      </c>
      <c r="C89" s="223"/>
      <c r="D89" s="223"/>
      <c r="E89" s="225"/>
      <c r="F89" s="226"/>
      <c r="G89" s="227" t="str">
        <f>IF(OR($D89="",$F89=""),"",IFERROR(INDEX('Rules of Credit'!$C$5:$C$38,MATCH($D89&amp;"|"&amp;$F89,'Rules of Credit'!$F$5:$F$38,0)),"invalid step"))</f>
        <v/>
      </c>
      <c r="H89" s="228" t="str">
        <f>IF(OR($D89="",$F89=""),"",IFERROR(INDEX('Rules of Credit'!$D$5:$D$38,MATCH($D89&amp;"|"&amp;$F89,'Rules of Credit'!$F$5:$F$38,0)),""))</f>
        <v/>
      </c>
      <c r="I89" s="229" t="str">
        <f t="shared" si="11"/>
        <v/>
      </c>
      <c r="J89" s="242"/>
      <c r="K89" s="243"/>
      <c r="L89" s="243"/>
      <c r="M89" s="243"/>
      <c r="N89" s="244" t="str">
        <f t="shared" si="12"/>
        <v/>
      </c>
      <c r="O89" s="221"/>
      <c r="P89" s="233">
        <f>IF($D89="",0,IFERROR(INDEX('Project Types'!$E$5:$E$13,MATCH($D89,'Project Types'!$A$5:$A$13,0)),1))</f>
        <v>0</v>
      </c>
      <c r="Q89" s="14"/>
      <c r="R89" s="14"/>
      <c r="S89" s="14"/>
      <c r="T89" s="14"/>
      <c r="U89" s="14"/>
      <c r="AG89"/>
      <c r="AH89"/>
      <c r="AI89"/>
      <c r="AJ89"/>
      <c r="AK89"/>
      <c r="AL89"/>
      <c r="AM89"/>
      <c r="AN89"/>
      <c r="AO89"/>
      <c r="AP89"/>
      <c r="AQ89"/>
      <c r="AR89"/>
    </row>
    <row r="90" spans="1:26" x14ac:dyDescent="0.3">
      <c r="A90" s="223"/>
      <c r="B90" s="224" t="str">
        <f>IF($A90="","",IFERROR(INDEX(Inputs!$B$6:$B$80,MATCH($A90,Inputs!$A$6:$A$80,0)),"not in register"))</f>
        <v/>
      </c>
      <c r="C90" s="223"/>
      <c r="D90" s="223"/>
      <c r="E90" s="225"/>
      <c r="F90" s="226"/>
      <c r="G90" s="227" t="str">
        <f>IF(OR($D90="",$F90=""),"",IFERROR(INDEX('Rules of Credit'!$C$5:$C$38,MATCH($D90&amp;"|"&amp;$F90,'Rules of Credit'!$F$5:$F$38,0)),"invalid step"))</f>
        <v/>
      </c>
      <c r="H90" s="228" t="str">
        <f>IF(OR($D90="",$F90=""),"",IFERROR(INDEX('Rules of Credit'!$D$5:$D$38,MATCH($D90&amp;"|"&amp;$F90,'Rules of Credit'!$F$5:$F$38,0)),""))</f>
        <v/>
      </c>
      <c r="I90" s="229" t="str">
        <f t="shared" si="11"/>
        <v/>
      </c>
      <c r="J90" s="242"/>
      <c r="K90" s="243"/>
      <c r="L90" s="243"/>
      <c r="M90" s="243"/>
      <c r="N90" s="244" t="str">
        <f t="shared" si="12"/>
        <v/>
      </c>
      <c r="O90" s="221"/>
      <c r="P90" s="233">
        <f>IF($D90="",0,IFERROR(INDEX('Project Types'!$E$5:$E$13,MATCH($D90,'Project Types'!$A$5:$A$13,0)),1))</f>
        <v>0</v>
      </c>
      <c r="Q90" s="14"/>
      <c r="R90" s="14"/>
      <c r="S90" s="14"/>
      <c r="T90" s="14"/>
      <c r="U90" s="14"/>
      <c r="AG90"/>
      <c r="AH90"/>
      <c r="AI90"/>
      <c r="AJ90"/>
      <c r="AK90"/>
      <c r="AL90"/>
      <c r="AM90"/>
      <c r="AN90"/>
      <c r="AO90"/>
      <c r="AP90"/>
      <c r="AQ90"/>
      <c r="AR90"/>
    </row>
    <row r="91" spans="1:26" x14ac:dyDescent="0.3">
      <c r="A91" s="223"/>
      <c r="B91" s="224" t="str">
        <f>IF($A91="","",IFERROR(INDEX(Inputs!$B$6:$B$80,MATCH($A91,Inputs!$A$6:$A$80,0)),"not in register"))</f>
        <v/>
      </c>
      <c r="C91" s="223"/>
      <c r="D91" s="223"/>
      <c r="E91" s="225"/>
      <c r="F91" s="226"/>
      <c r="G91" s="227" t="str">
        <f>IF(OR($D91="",$F91=""),"",IFERROR(INDEX('Rules of Credit'!$C$5:$C$38,MATCH($D91&amp;"|"&amp;$F91,'Rules of Credit'!$F$5:$F$38,0)),"invalid step"))</f>
        <v/>
      </c>
      <c r="H91" s="228" t="str">
        <f>IF(OR($D91="",$F91=""),"",IFERROR(INDEX('Rules of Credit'!$D$5:$D$38,MATCH($D91&amp;"|"&amp;$F91,'Rules of Credit'!$F$5:$F$38,0)),""))</f>
        <v/>
      </c>
      <c r="I91" s="229" t="str">
        <f t="shared" si="11"/>
        <v/>
      </c>
      <c r="J91" s="242"/>
      <c r="K91" s="243"/>
      <c r="L91" s="243"/>
      <c r="M91" s="243"/>
      <c r="N91" s="244" t="str">
        <f t="shared" si="12"/>
        <v/>
      </c>
      <c r="O91" s="221"/>
      <c r="P91" s="233">
        <f>IF($D91="",0,IFERROR(INDEX('Project Types'!$E$5:$E$13,MATCH($D91,'Project Types'!$A$5:$A$13,0)),1))</f>
        <v>0</v>
      </c>
      <c r="Q91" s="14"/>
      <c r="R91" s="14"/>
      <c r="S91" s="14"/>
      <c r="T91" s="14"/>
      <c r="U91" s="14"/>
      <c r="AG91"/>
      <c r="AH91"/>
      <c r="AI91"/>
      <c r="AJ91"/>
      <c r="AK91"/>
      <c r="AL91"/>
      <c r="AM91"/>
      <c r="AN91"/>
      <c r="AO91"/>
      <c r="AP91"/>
      <c r="AQ91"/>
      <c r="AR91"/>
    </row>
    <row r="92" spans="1:26" x14ac:dyDescent="0.3">
      <c r="A92" s="223"/>
      <c r="B92" s="224" t="str">
        <f>IF($A92="","",IFERROR(INDEX(Inputs!$B$6:$B$80,MATCH($A92,Inputs!$A$6:$A$80,0)),"not in register"))</f>
        <v/>
      </c>
      <c r="C92" s="223"/>
      <c r="D92" s="223"/>
      <c r="E92" s="225"/>
      <c r="F92" s="226"/>
      <c r="G92" s="227" t="str">
        <f>IF(OR($D92="",$F92=""),"",IFERROR(INDEX('Rules of Credit'!$C$5:$C$38,MATCH($D92&amp;"|"&amp;$F92,'Rules of Credit'!$F$5:$F$38,0)),"invalid step"))</f>
        <v/>
      </c>
      <c r="H92" s="228" t="str">
        <f>IF(OR($D92="",$F92=""),"",IFERROR(INDEX('Rules of Credit'!$D$5:$D$38,MATCH($D92&amp;"|"&amp;$F92,'Rules of Credit'!$F$5:$F$38,0)),""))</f>
        <v/>
      </c>
      <c r="I92" s="229" t="str">
        <f t="shared" si="11"/>
        <v/>
      </c>
      <c r="J92" s="242"/>
      <c r="K92" s="243"/>
      <c r="L92" s="243"/>
      <c r="M92" s="243"/>
      <c r="N92" s="244" t="str">
        <f t="shared" si="12"/>
        <v/>
      </c>
      <c r="O92" s="221"/>
      <c r="P92" s="233">
        <f>IF($D92="",0,IFERROR(INDEX('Project Types'!$E$5:$E$13,MATCH($D92,'Project Types'!$A$5:$A$13,0)),1))</f>
        <v>0</v>
      </c>
      <c r="Q92" s="14"/>
      <c r="R92" s="14"/>
      <c r="S92" s="14"/>
      <c r="T92" s="14"/>
      <c r="U92" s="14"/>
      <c r="AG92"/>
      <c r="AH92"/>
      <c r="AI92"/>
      <c r="AJ92"/>
      <c r="AK92"/>
      <c r="AL92"/>
      <c r="AM92"/>
      <c r="AN92"/>
      <c r="AO92"/>
      <c r="AP92"/>
      <c r="AQ92"/>
      <c r="AR92"/>
    </row>
    <row r="93" spans="1:26" x14ac:dyDescent="0.3">
      <c r="A93" s="223"/>
      <c r="B93" s="224" t="str">
        <f>IF($A93="","",IFERROR(INDEX(Inputs!$B$6:$B$80,MATCH($A93,Inputs!$A$6:$A$80,0)),"not in register"))</f>
        <v/>
      </c>
      <c r="C93" s="223"/>
      <c r="D93" s="223"/>
      <c r="E93" s="225"/>
      <c r="F93" s="226"/>
      <c r="G93" s="227" t="str">
        <f>IF(OR($D93="",$F93=""),"",IFERROR(INDEX('Rules of Credit'!$C$5:$C$38,MATCH($D93&amp;"|"&amp;$F93,'Rules of Credit'!$F$5:$F$38,0)),"invalid step"))</f>
        <v/>
      </c>
      <c r="H93" s="228" t="str">
        <f>IF(OR($D93="",$F93=""),"",IFERROR(INDEX('Rules of Credit'!$D$5:$D$38,MATCH($D93&amp;"|"&amp;$F93,'Rules of Credit'!$F$5:$F$38,0)),""))</f>
        <v/>
      </c>
      <c r="I93" s="229" t="str">
        <f t="shared" si="11"/>
        <v/>
      </c>
      <c r="J93" s="242"/>
      <c r="K93" s="243"/>
      <c r="L93" s="243"/>
      <c r="M93" s="243"/>
      <c r="N93" s="244" t="str">
        <f t="shared" si="12"/>
        <v/>
      </c>
      <c r="O93" s="221"/>
      <c r="P93" s="233">
        <f>IF($D93="",0,IFERROR(INDEX('Project Types'!$E$5:$E$13,MATCH($D93,'Project Types'!$A$5:$A$13,0)),1))</f>
        <v>0</v>
      </c>
      <c r="Q93" s="14"/>
      <c r="R93" s="14"/>
      <c r="S93" s="14"/>
      <c r="T93" s="14"/>
      <c r="U93" s="14"/>
      <c r="AG93"/>
      <c r="AH93"/>
      <c r="AI93"/>
      <c r="AJ93"/>
      <c r="AK93"/>
      <c r="AL93"/>
      <c r="AM93"/>
      <c r="AN93"/>
      <c r="AO93"/>
      <c r="AP93"/>
      <c r="AQ93"/>
      <c r="AR93"/>
    </row>
    <row r="94" spans="1:26" x14ac:dyDescent="0.3">
      <c r="A94" s="223"/>
      <c r="B94" s="224" t="str">
        <f>IF($A94="","",IFERROR(INDEX(Inputs!$B$6:$B$80,MATCH($A94,Inputs!$A$6:$A$80,0)),"not in register"))</f>
        <v/>
      </c>
      <c r="C94" s="223"/>
      <c r="D94" s="223"/>
      <c r="E94" s="225"/>
      <c r="F94" s="226"/>
      <c r="G94" s="227" t="str">
        <f>IF(OR($D94="",$F94=""),"",IFERROR(INDEX('Rules of Credit'!$C$5:$C$38,MATCH($D94&amp;"|"&amp;$F94,'Rules of Credit'!$F$5:$F$38,0)),"invalid step"))</f>
        <v/>
      </c>
      <c r="H94" s="228" t="str">
        <f>IF(OR($D94="",$F94=""),"",IFERROR(INDEX('Rules of Credit'!$D$5:$D$38,MATCH($D94&amp;"|"&amp;$F94,'Rules of Credit'!$F$5:$F$38,0)),""))</f>
        <v/>
      </c>
      <c r="I94" s="229" t="str">
        <f t="shared" si="11"/>
        <v/>
      </c>
      <c r="J94" s="242"/>
      <c r="K94" s="243"/>
      <c r="L94" s="243"/>
      <c r="M94" s="243"/>
      <c r="N94" s="244" t="str">
        <f t="shared" si="12"/>
        <v/>
      </c>
      <c r="O94" s="221"/>
      <c r="P94" s="233">
        <f>IF($D94="",0,IFERROR(INDEX('Project Types'!$E$5:$E$13,MATCH($D94,'Project Types'!$A$5:$A$13,0)),1))</f>
        <v>0</v>
      </c>
      <c r="Q94" s="14"/>
      <c r="R94" s="14"/>
      <c r="S94" s="14"/>
      <c r="T94" s="14"/>
      <c r="U94" s="14"/>
      <c r="AG94"/>
      <c r="AH94"/>
      <c r="AI94"/>
      <c r="AJ94"/>
      <c r="AK94"/>
      <c r="AL94"/>
      <c r="AM94"/>
      <c r="AN94"/>
      <c r="AO94"/>
      <c r="AP94"/>
      <c r="AQ94"/>
      <c r="AR94"/>
    </row>
    <row r="95" spans="1:26" x14ac:dyDescent="0.3">
      <c r="A95" s="223"/>
      <c r="B95" s="224" t="str">
        <f>IF($A95="","",IFERROR(INDEX(Inputs!$B$6:$B$80,MATCH($A95,Inputs!$A$6:$A$80,0)),"not in register"))</f>
        <v/>
      </c>
      <c r="C95" s="223"/>
      <c r="D95" s="223"/>
      <c r="E95" s="225"/>
      <c r="F95" s="226"/>
      <c r="G95" s="227" t="str">
        <f>IF(OR($D95="",$F95=""),"",IFERROR(INDEX('Rules of Credit'!$C$5:$C$38,MATCH($D95&amp;"|"&amp;$F95,'Rules of Credit'!$F$5:$F$38,0)),"invalid step"))</f>
        <v/>
      </c>
      <c r="H95" s="228" t="str">
        <f>IF(OR($D95="",$F95=""),"",IFERROR(INDEX('Rules of Credit'!$D$5:$D$38,MATCH($D95&amp;"|"&amp;$F95,'Rules of Credit'!$F$5:$F$38,0)),""))</f>
        <v/>
      </c>
      <c r="I95" s="229" t="str">
        <f t="shared" si="11"/>
        <v/>
      </c>
      <c r="J95" s="242"/>
      <c r="K95" s="243"/>
      <c r="L95" s="243"/>
      <c r="M95" s="243"/>
      <c r="N95" s="244" t="str">
        <f t="shared" si="12"/>
        <v/>
      </c>
      <c r="O95" s="221"/>
      <c r="P95" s="233">
        <f>IF($D95="",0,IFERROR(INDEX('Project Types'!$E$5:$E$13,MATCH($D95,'Project Types'!$A$5:$A$13,0)),1))</f>
        <v>0</v>
      </c>
      <c r="Q95" s="14"/>
      <c r="R95" s="14"/>
      <c r="S95" s="14"/>
      <c r="T95" s="14"/>
      <c r="U95" s="14"/>
      <c r="AG95"/>
      <c r="AH95"/>
      <c r="AI95"/>
      <c r="AJ95"/>
      <c r="AK95"/>
      <c r="AL95"/>
      <c r="AM95"/>
      <c r="AN95"/>
      <c r="AO95"/>
      <c r="AP95"/>
      <c r="AQ95"/>
      <c r="AR95"/>
    </row>
    <row r="96" spans="1:26" x14ac:dyDescent="0.3">
      <c r="A96" s="223"/>
      <c r="B96" s="224" t="str">
        <f>IF($A96="","",IFERROR(INDEX(Inputs!$B$6:$B$80,MATCH($A96,Inputs!$A$6:$A$80,0)),"not in register"))</f>
        <v/>
      </c>
      <c r="C96" s="223"/>
      <c r="D96" s="223"/>
      <c r="E96" s="225"/>
      <c r="F96" s="226"/>
      <c r="G96" s="227" t="str">
        <f>IF(OR($D96="",$F96=""),"",IFERROR(INDEX('Rules of Credit'!$C$5:$C$38,MATCH($D96&amp;"|"&amp;$F96,'Rules of Credit'!$F$5:$F$38,0)),"invalid step"))</f>
        <v/>
      </c>
      <c r="H96" s="228" t="str">
        <f>IF(OR($D96="",$F96=""),"",IFERROR(INDEX('Rules of Credit'!$D$5:$D$38,MATCH($D96&amp;"|"&amp;$F96,'Rules of Credit'!$F$5:$F$38,0)),""))</f>
        <v/>
      </c>
      <c r="I96" s="229" t="str">
        <f t="shared" si="11"/>
        <v/>
      </c>
      <c r="J96" s="242"/>
      <c r="K96" s="243"/>
      <c r="L96" s="243"/>
      <c r="M96" s="243"/>
      <c r="N96" s="244" t="str">
        <f t="shared" si="12"/>
        <v/>
      </c>
      <c r="O96" s="221"/>
      <c r="P96" s="233">
        <f>IF($D96="",0,IFERROR(INDEX('Project Types'!$E$5:$E$13,MATCH($D96,'Project Types'!$A$5:$A$13,0)),1))</f>
        <v>0</v>
      </c>
      <c r="Q96" s="14"/>
      <c r="R96" s="14"/>
      <c r="S96" s="14"/>
      <c r="T96" s="14"/>
      <c r="U96" s="14"/>
      <c r="AG96"/>
      <c r="AH96"/>
      <c r="AI96"/>
      <c r="AJ96"/>
      <c r="AK96"/>
      <c r="AL96"/>
      <c r="AM96"/>
      <c r="AN96"/>
      <c r="AO96"/>
      <c r="AP96"/>
      <c r="AQ96"/>
      <c r="AR96"/>
    </row>
    <row r="97" spans="1:21" x14ac:dyDescent="0.3">
      <c r="A97" s="223"/>
      <c r="B97" s="224" t="str">
        <f>IF($A97="","",IFERROR(INDEX(Inputs!$B$6:$B$80,MATCH($A97,Inputs!$A$6:$A$80,0)),"not in register"))</f>
        <v/>
      </c>
      <c r="C97" s="223"/>
      <c r="D97" s="223"/>
      <c r="E97" s="225"/>
      <c r="F97" s="226"/>
      <c r="G97" s="227" t="str">
        <f>IF(OR($D97="",$F97=""),"",IFERROR(INDEX('Rules of Credit'!$C$5:$C$38,MATCH($D97&amp;"|"&amp;$F97,'Rules of Credit'!$F$5:$F$38,0)),"invalid step"))</f>
        <v/>
      </c>
      <c r="H97" s="228" t="str">
        <f>IF(OR($D97="",$F97=""),"",IFERROR(INDEX('Rules of Credit'!$D$5:$D$38,MATCH($D97&amp;"|"&amp;$F97,'Rules of Credit'!$F$5:$F$38,0)),""))</f>
        <v/>
      </c>
      <c r="I97" s="229" t="str">
        <f t="shared" si="11"/>
        <v/>
      </c>
      <c r="J97" s="242"/>
      <c r="K97" s="243"/>
      <c r="L97" s="243"/>
      <c r="M97" s="243"/>
      <c r="N97" s="244" t="str">
        <f t="shared" si="12"/>
        <v/>
      </c>
      <c r="O97" s="221"/>
      <c r="P97" s="233">
        <f>IF($D97="",0,IFERROR(INDEX('Project Types'!$E$5:$E$13,MATCH($D97,'Project Types'!$A$5:$A$13,0)),1))</f>
        <v>0</v>
      </c>
      <c r="Q97" s="14"/>
      <c r="R97" s="14"/>
      <c r="S97" s="14"/>
      <c r="T97" s="14"/>
      <c r="U97" s="14"/>
      <c r="AG97"/>
      <c r="AH97"/>
      <c r="AI97"/>
      <c r="AJ97"/>
      <c r="AK97"/>
      <c r="AL97"/>
      <c r="AM97"/>
      <c r="AN97"/>
      <c r="AO97"/>
      <c r="AP97"/>
      <c r="AQ97"/>
      <c r="AR97"/>
    </row>
    <row r="98" spans="1:21" x14ac:dyDescent="0.3">
      <c r="A98" s="223"/>
      <c r="B98" s="224" t="str">
        <f>IF($A98="","",IFERROR(INDEX(Inputs!$B$6:$B$80,MATCH($A98,Inputs!$A$6:$A$80,0)),"not in register"))</f>
        <v/>
      </c>
      <c r="C98" s="223"/>
      <c r="D98" s="223"/>
      <c r="E98" s="225"/>
      <c r="F98" s="226"/>
      <c r="G98" s="227" t="str">
        <f>IF(OR($D98="",$F98=""),"",IFERROR(INDEX('Rules of Credit'!$C$5:$C$38,MATCH($D98&amp;"|"&amp;$F98,'Rules of Credit'!$F$5:$F$38,0)),"invalid step"))</f>
        <v/>
      </c>
      <c r="H98" s="228" t="str">
        <f>IF(OR($D98="",$F98=""),"",IFERROR(INDEX('Rules of Credit'!$D$5:$D$38,MATCH($D98&amp;"|"&amp;$F98,'Rules of Credit'!$F$5:$F$38,0)),""))</f>
        <v/>
      </c>
      <c r="I98" s="229" t="str">
        <f t="shared" si="11"/>
        <v/>
      </c>
      <c r="J98" s="242"/>
      <c r="K98" s="243"/>
      <c r="L98" s="243"/>
      <c r="M98" s="243"/>
      <c r="N98" s="244" t="str">
        <f t="shared" si="12"/>
        <v/>
      </c>
      <c r="O98" s="221"/>
      <c r="P98" s="233">
        <f>IF($D98="",0,IFERROR(INDEX('Project Types'!$E$5:$E$13,MATCH($D98,'Project Types'!$A$5:$A$13,0)),1))</f>
        <v>0</v>
      </c>
      <c r="Q98" s="14"/>
      <c r="R98" s="14"/>
      <c r="S98" s="14"/>
      <c r="T98" s="14"/>
      <c r="U98" s="14"/>
      <c r="AG98"/>
      <c r="AH98"/>
      <c r="AI98"/>
      <c r="AJ98"/>
      <c r="AK98"/>
      <c r="AL98"/>
      <c r="AM98"/>
      <c r="AN98"/>
      <c r="AO98"/>
      <c r="AP98"/>
      <c r="AQ98"/>
      <c r="AR98"/>
    </row>
    <row r="99" spans="1:21" x14ac:dyDescent="0.3">
      <c r="A99" s="223"/>
      <c r="B99" s="224" t="str">
        <f>IF($A99="","",IFERROR(INDEX(Inputs!$B$6:$B$80,MATCH($A99,Inputs!$A$6:$A$80,0)),"not in register"))</f>
        <v/>
      </c>
      <c r="C99" s="223"/>
      <c r="D99" s="223"/>
      <c r="E99" s="225"/>
      <c r="F99" s="226"/>
      <c r="G99" s="227" t="str">
        <f>IF(OR($D99="",$F99=""),"",IFERROR(INDEX('Rules of Credit'!$C$5:$C$38,MATCH($D99&amp;"|"&amp;$F99,'Rules of Credit'!$F$5:$F$38,0)),"invalid step"))</f>
        <v/>
      </c>
      <c r="H99" s="228" t="str">
        <f>IF(OR($D99="",$F99=""),"",IFERROR(INDEX('Rules of Credit'!$D$5:$D$38,MATCH($D99&amp;"|"&amp;$F99,'Rules of Credit'!$F$5:$F$38,0)),""))</f>
        <v/>
      </c>
      <c r="I99" s="229" t="str">
        <f t="shared" si="11"/>
        <v/>
      </c>
      <c r="J99" s="242"/>
      <c r="K99" s="243"/>
      <c r="L99" s="243"/>
      <c r="M99" s="243"/>
      <c r="N99" s="244" t="str">
        <f t="shared" si="12"/>
        <v/>
      </c>
      <c r="O99" s="221"/>
      <c r="P99" s="233">
        <f>IF($D99="",0,IFERROR(INDEX('Project Types'!$E$5:$E$13,MATCH($D99,'Project Types'!$A$5:$A$13,0)),1))</f>
        <v>0</v>
      </c>
      <c r="Q99" s="14"/>
      <c r="R99" s="14"/>
      <c r="S99" s="14"/>
      <c r="T99" s="14"/>
      <c r="U99" s="14"/>
      <c r="AG99"/>
      <c r="AH99"/>
      <c r="AI99"/>
      <c r="AJ99"/>
      <c r="AK99"/>
      <c r="AL99"/>
      <c r="AM99"/>
      <c r="AN99"/>
      <c r="AO99"/>
      <c r="AP99"/>
      <c r="AQ99"/>
      <c r="AR99"/>
    </row>
    <row r="100" spans="1:21" x14ac:dyDescent="0.3">
      <c r="A100" s="223"/>
      <c r="B100" s="224" t="str">
        <f>IF($A100="","",IFERROR(INDEX(Inputs!$B$6:$B$80,MATCH($A100,Inputs!$A$6:$A$80,0)),"not in register"))</f>
        <v/>
      </c>
      <c r="C100" s="223"/>
      <c r="D100" s="223"/>
      <c r="E100" s="225"/>
      <c r="F100" s="226"/>
      <c r="G100" s="227" t="str">
        <f>IF(OR($D100="",$F100=""),"",IFERROR(INDEX('Rules of Credit'!$C$5:$C$38,MATCH($D100&amp;"|"&amp;$F100,'Rules of Credit'!$F$5:$F$38,0)),"invalid step"))</f>
        <v/>
      </c>
      <c r="H100" s="228" t="str">
        <f>IF(OR($D100="",$F100=""),"",IFERROR(INDEX('Rules of Credit'!$D$5:$D$38,MATCH($D100&amp;"|"&amp;$F100,'Rules of Credit'!$F$5:$F$38,0)),""))</f>
        <v/>
      </c>
      <c r="I100" s="229" t="str">
        <f t="shared" si="11"/>
        <v/>
      </c>
      <c r="J100" s="242"/>
      <c r="K100" s="243"/>
      <c r="L100" s="243"/>
      <c r="M100" s="243"/>
      <c r="N100" s="244" t="str">
        <f t="shared" si="12"/>
        <v/>
      </c>
      <c r="O100" s="221"/>
      <c r="P100" s="233">
        <f>IF($D100="",0,IFERROR(INDEX('Project Types'!$E$5:$E$13,MATCH($D100,'Project Types'!$A$5:$A$13,0)),1))</f>
        <v>0</v>
      </c>
      <c r="Q100" s="14"/>
      <c r="R100" s="14"/>
      <c r="S100" s="14"/>
      <c r="T100" s="14"/>
      <c r="U100" s="14"/>
      <c r="AG100"/>
      <c r="AH100"/>
      <c r="AI100"/>
      <c r="AJ100"/>
      <c r="AK100"/>
      <c r="AL100"/>
      <c r="AM100"/>
      <c r="AN100"/>
      <c r="AO100"/>
      <c r="AP100"/>
      <c r="AQ100"/>
      <c r="AR100"/>
    </row>
    <row r="101" spans="1:21" x14ac:dyDescent="0.3">
      <c r="A101" s="223"/>
      <c r="B101" s="224" t="str">
        <f>IF($A101="","",IFERROR(INDEX(Inputs!$B$6:$B$80,MATCH($A101,Inputs!$A$6:$A$80,0)),"not in register"))</f>
        <v/>
      </c>
      <c r="C101" s="223"/>
      <c r="D101" s="223"/>
      <c r="E101" s="225"/>
      <c r="F101" s="226"/>
      <c r="G101" s="227" t="str">
        <f>IF(OR($D101="",$F101=""),"",IFERROR(INDEX('Rules of Credit'!$C$5:$C$38,MATCH($D101&amp;"|"&amp;$F101,'Rules of Credit'!$F$5:$F$38,0)),"invalid step"))</f>
        <v/>
      </c>
      <c r="H101" s="228" t="str">
        <f>IF(OR($D101="",$F101=""),"",IFERROR(INDEX('Rules of Credit'!$D$5:$D$38,MATCH($D101&amp;"|"&amp;$F101,'Rules of Credit'!$F$5:$F$38,0)),""))</f>
        <v/>
      </c>
      <c r="I101" s="229" t="str">
        <f t="shared" si="11"/>
        <v/>
      </c>
      <c r="J101" s="242"/>
      <c r="K101" s="243"/>
      <c r="L101" s="243"/>
      <c r="M101" s="243"/>
      <c r="N101" s="244" t="str">
        <f t="shared" si="12"/>
        <v/>
      </c>
      <c r="O101" s="221"/>
      <c r="P101" s="233">
        <f>IF($D101="",0,IFERROR(INDEX('Project Types'!$E$5:$E$13,MATCH($D101,'Project Types'!$A$5:$A$13,0)),1))</f>
        <v>0</v>
      </c>
      <c r="Q101" s="14"/>
      <c r="R101" s="14"/>
      <c r="S101" s="14"/>
      <c r="T101" s="14"/>
      <c r="U101" s="14"/>
      <c r="AG101"/>
      <c r="AH101"/>
      <c r="AI101"/>
      <c r="AJ101"/>
      <c r="AK101"/>
      <c r="AL101"/>
      <c r="AM101"/>
      <c r="AN101"/>
      <c r="AO101"/>
      <c r="AP101"/>
      <c r="AQ101"/>
      <c r="AR101"/>
    </row>
    <row r="102" spans="1:21" x14ac:dyDescent="0.3">
      <c r="A102" s="223"/>
      <c r="B102" s="224" t="str">
        <f>IF($A102="","",IFERROR(INDEX(Inputs!$B$6:$B$80,MATCH($A102,Inputs!$A$6:$A$80,0)),"not in register"))</f>
        <v/>
      </c>
      <c r="C102" s="223"/>
      <c r="D102" s="223"/>
      <c r="E102" s="225"/>
      <c r="F102" s="226"/>
      <c r="G102" s="227" t="str">
        <f>IF(OR($D102="",$F102=""),"",IFERROR(INDEX('Rules of Credit'!$C$5:$C$38,MATCH($D102&amp;"|"&amp;$F102,'Rules of Credit'!$F$5:$F$38,0)),"invalid step"))</f>
        <v/>
      </c>
      <c r="H102" s="228" t="str">
        <f>IF(OR($D102="",$F102=""),"",IFERROR(INDEX('Rules of Credit'!$D$5:$D$38,MATCH($D102&amp;"|"&amp;$F102,'Rules of Credit'!$F$5:$F$38,0)),""))</f>
        <v/>
      </c>
      <c r="I102" s="229" t="str">
        <f t="shared" si="11"/>
        <v/>
      </c>
      <c r="J102" s="242"/>
      <c r="K102" s="243"/>
      <c r="L102" s="243"/>
      <c r="M102" s="243"/>
      <c r="N102" s="244" t="str">
        <f t="shared" si="12"/>
        <v/>
      </c>
      <c r="O102" s="221"/>
      <c r="P102" s="233">
        <f>IF($D102="",0,IFERROR(INDEX('Project Types'!$E$5:$E$13,MATCH($D102,'Project Types'!$A$5:$A$13,0)),1))</f>
        <v>0</v>
      </c>
      <c r="Q102" s="14"/>
      <c r="R102" s="14"/>
      <c r="S102" s="14"/>
      <c r="T102" s="14"/>
      <c r="U102" s="14"/>
      <c r="AG102"/>
      <c r="AH102"/>
      <c r="AI102"/>
      <c r="AJ102"/>
      <c r="AK102"/>
      <c r="AL102"/>
      <c r="AM102"/>
      <c r="AN102"/>
      <c r="AO102"/>
      <c r="AP102"/>
      <c r="AQ102"/>
      <c r="AR102"/>
    </row>
    <row r="103" spans="1:21" x14ac:dyDescent="0.3">
      <c r="A103" s="223"/>
      <c r="B103" s="224" t="str">
        <f>IF($A103="","",IFERROR(INDEX(Inputs!$B$6:$B$80,MATCH($A103,Inputs!$A$6:$A$80,0)),"not in register"))</f>
        <v/>
      </c>
      <c r="C103" s="223"/>
      <c r="D103" s="223"/>
      <c r="E103" s="225"/>
      <c r="F103" s="226"/>
      <c r="G103" s="227" t="str">
        <f>IF(OR($D103="",$F103=""),"",IFERROR(INDEX('Rules of Credit'!$C$5:$C$38,MATCH($D103&amp;"|"&amp;$F103,'Rules of Credit'!$F$5:$F$38,0)),"invalid step"))</f>
        <v/>
      </c>
      <c r="H103" s="228" t="str">
        <f>IF(OR($D103="",$F103=""),"",IFERROR(INDEX('Rules of Credit'!$D$5:$D$38,MATCH($D103&amp;"|"&amp;$F103,'Rules of Credit'!$F$5:$F$38,0)),""))</f>
        <v/>
      </c>
      <c r="I103" s="229" t="str">
        <f t="shared" si="11"/>
        <v/>
      </c>
      <c r="J103" s="242"/>
      <c r="K103" s="243"/>
      <c r="L103" s="243"/>
      <c r="M103" s="243"/>
      <c r="N103" s="244" t="str">
        <f t="shared" si="12"/>
        <v/>
      </c>
      <c r="O103" s="221"/>
      <c r="P103" s="233">
        <f>IF($D103="",0,IFERROR(INDEX('Project Types'!$E$5:$E$13,MATCH($D103,'Project Types'!$A$5:$A$13,0)),1))</f>
        <v>0</v>
      </c>
      <c r="Q103" s="14"/>
      <c r="R103" s="14"/>
      <c r="S103" s="14"/>
      <c r="T103" s="14"/>
      <c r="U103" s="14"/>
      <c r="AG103"/>
      <c r="AH103"/>
      <c r="AI103"/>
      <c r="AJ103"/>
      <c r="AK103"/>
      <c r="AL103"/>
      <c r="AM103"/>
      <c r="AN103"/>
      <c r="AO103"/>
      <c r="AP103"/>
      <c r="AQ103"/>
      <c r="AR103"/>
    </row>
    <row r="104" spans="1:21" x14ac:dyDescent="0.3">
      <c r="A104" s="223"/>
      <c r="B104" s="224" t="str">
        <f>IF($A104="","",IFERROR(INDEX(Inputs!$B$6:$B$80,MATCH($A104,Inputs!$A$6:$A$80,0)),"not in register"))</f>
        <v/>
      </c>
      <c r="C104" s="223"/>
      <c r="D104" s="223"/>
      <c r="E104" s="225"/>
      <c r="F104" s="226"/>
      <c r="G104" s="227" t="str">
        <f>IF(OR($D104="",$F104=""),"",IFERROR(INDEX('Rules of Credit'!$C$5:$C$38,MATCH($D104&amp;"|"&amp;$F104,'Rules of Credit'!$F$5:$F$38,0)),"invalid step"))</f>
        <v/>
      </c>
      <c r="H104" s="228" t="str">
        <f>IF(OR($D104="",$F104=""),"",IFERROR(INDEX('Rules of Credit'!$D$5:$D$38,MATCH($D104&amp;"|"&amp;$F104,'Rules of Credit'!$F$5:$F$38,0)),""))</f>
        <v/>
      </c>
      <c r="I104" s="229" t="str">
        <f t="shared" si="11"/>
        <v/>
      </c>
      <c r="J104" s="242"/>
      <c r="K104" s="243"/>
      <c r="L104" s="243"/>
      <c r="M104" s="243"/>
      <c r="N104" s="244" t="str">
        <f t="shared" si="12"/>
        <v/>
      </c>
      <c r="O104" s="221"/>
      <c r="P104" s="233">
        <f>IF($D104="",0,IFERROR(INDEX('Project Types'!$E$5:$E$13,MATCH($D104,'Project Types'!$A$5:$A$13,0)),1))</f>
        <v>0</v>
      </c>
      <c r="Q104" s="14"/>
      <c r="R104" s="14"/>
      <c r="S104" s="14"/>
      <c r="T104" s="14"/>
      <c r="U104" s="14"/>
      <c r="AG104"/>
      <c r="AH104"/>
      <c r="AI104"/>
      <c r="AJ104"/>
      <c r="AK104"/>
      <c r="AL104"/>
      <c r="AM104"/>
      <c r="AN104"/>
      <c r="AO104"/>
      <c r="AP104"/>
      <c r="AQ104"/>
      <c r="AR104"/>
    </row>
    <row r="105" spans="1:21" x14ac:dyDescent="0.3">
      <c r="A105" s="223"/>
      <c r="B105" s="224" t="str">
        <f>IF($A105="","",IFERROR(INDEX(Inputs!$B$6:$B$80,MATCH($A105,Inputs!$A$6:$A$80,0)),"not in register"))</f>
        <v/>
      </c>
      <c r="C105" s="223"/>
      <c r="D105" s="223"/>
      <c r="E105" s="225"/>
      <c r="F105" s="226"/>
      <c r="G105" s="227" t="str">
        <f>IF(OR($D105="",$F105=""),"",IFERROR(INDEX('Rules of Credit'!$C$5:$C$38,MATCH($D105&amp;"|"&amp;$F105,'Rules of Credit'!$F$5:$F$38,0)),"invalid step"))</f>
        <v/>
      </c>
      <c r="H105" s="228" t="str">
        <f>IF(OR($D105="",$F105=""),"",IFERROR(INDEX('Rules of Credit'!$D$5:$D$38,MATCH($D105&amp;"|"&amp;$F105,'Rules of Credit'!$F$5:$F$38,0)),""))</f>
        <v/>
      </c>
      <c r="I105" s="229" t="str">
        <f t="shared" si="11"/>
        <v/>
      </c>
      <c r="J105" s="242"/>
      <c r="K105" s="243"/>
      <c r="L105" s="243"/>
      <c r="M105" s="243"/>
      <c r="N105" s="244" t="str">
        <f t="shared" si="12"/>
        <v/>
      </c>
      <c r="O105" s="221"/>
      <c r="P105" s="233">
        <f>IF($D105="",0,IFERROR(INDEX('Project Types'!$E$5:$E$13,MATCH($D105,'Project Types'!$A$5:$A$13,0)),1))</f>
        <v>0</v>
      </c>
      <c r="Q105" s="14"/>
      <c r="R105" s="14"/>
      <c r="S105" s="14"/>
      <c r="T105" s="14"/>
      <c r="U105" s="14"/>
      <c r="AG105"/>
      <c r="AH105"/>
      <c r="AI105"/>
      <c r="AJ105"/>
      <c r="AK105"/>
      <c r="AL105"/>
      <c r="AM105"/>
      <c r="AN105"/>
      <c r="AO105"/>
      <c r="AP105"/>
      <c r="AQ105"/>
      <c r="AR105"/>
    </row>
    <row r="106" spans="1:21" x14ac:dyDescent="0.3">
      <c r="A106" s="223"/>
      <c r="B106" s="224" t="str">
        <f>IF($A106="","",IFERROR(INDEX(Inputs!$B$6:$B$80,MATCH($A106,Inputs!$A$6:$A$80,0)),"not in register"))</f>
        <v/>
      </c>
      <c r="C106" s="223"/>
      <c r="D106" s="223"/>
      <c r="E106" s="225"/>
      <c r="F106" s="226"/>
      <c r="G106" s="227" t="str">
        <f>IF(OR($D106="",$F106=""),"",IFERROR(INDEX('Rules of Credit'!$C$5:$C$38,MATCH($D106&amp;"|"&amp;$F106,'Rules of Credit'!$F$5:$F$38,0)),"invalid step"))</f>
        <v/>
      </c>
      <c r="H106" s="228" t="str">
        <f>IF(OR($D106="",$F106=""),"",IFERROR(INDEX('Rules of Credit'!$D$5:$D$38,MATCH($D106&amp;"|"&amp;$F106,'Rules of Credit'!$F$5:$F$38,0)),""))</f>
        <v/>
      </c>
      <c r="I106" s="229" t="str">
        <f t="shared" si="11"/>
        <v/>
      </c>
      <c r="J106" s="242"/>
      <c r="K106" s="243"/>
      <c r="L106" s="243"/>
      <c r="M106" s="243"/>
      <c r="N106" s="244" t="str">
        <f t="shared" si="12"/>
        <v/>
      </c>
      <c r="O106" s="221"/>
      <c r="P106" s="233">
        <f>IF($D106="",0,IFERROR(INDEX('Project Types'!$E$5:$E$13,MATCH($D106,'Project Types'!$A$5:$A$13,0)),1))</f>
        <v>0</v>
      </c>
      <c r="Q106" s="14"/>
      <c r="R106" s="14"/>
      <c r="S106" s="14"/>
      <c r="T106" s="14"/>
      <c r="U106" s="14"/>
      <c r="AG106"/>
      <c r="AH106"/>
      <c r="AI106"/>
      <c r="AJ106"/>
      <c r="AK106"/>
      <c r="AL106"/>
      <c r="AM106"/>
      <c r="AN106"/>
      <c r="AO106"/>
      <c r="AP106"/>
      <c r="AQ106"/>
      <c r="AR106"/>
    </row>
    <row r="107" spans="1:21" x14ac:dyDescent="0.3">
      <c r="A107" s="223"/>
      <c r="B107" s="224" t="str">
        <f>IF($A107="","",IFERROR(INDEX(Inputs!$B$6:$B$80,MATCH($A107,Inputs!$A$6:$A$80,0)),"not in register"))</f>
        <v/>
      </c>
      <c r="C107" s="223"/>
      <c r="D107" s="223"/>
      <c r="E107" s="225"/>
      <c r="F107" s="226"/>
      <c r="G107" s="227" t="str">
        <f>IF(OR($D107="",$F107=""),"",IFERROR(INDEX('Rules of Credit'!$C$5:$C$38,MATCH($D107&amp;"|"&amp;$F107,'Rules of Credit'!$F$5:$F$38,0)),"invalid step"))</f>
        <v/>
      </c>
      <c r="H107" s="228" t="str">
        <f>IF(OR($D107="",$F107=""),"",IFERROR(INDEX('Rules of Credit'!$D$5:$D$38,MATCH($D107&amp;"|"&amp;$F107,'Rules of Credit'!$F$5:$F$38,0)),""))</f>
        <v/>
      </c>
      <c r="I107" s="229" t="str">
        <f t="shared" si="11"/>
        <v/>
      </c>
      <c r="J107" s="242"/>
      <c r="K107" s="243"/>
      <c r="L107" s="243"/>
      <c r="M107" s="243"/>
      <c r="N107" s="244" t="str">
        <f t="shared" si="12"/>
        <v/>
      </c>
      <c r="O107" s="221"/>
      <c r="P107" s="233">
        <f>IF($D107="",0,IFERROR(INDEX('Project Types'!$E$5:$E$13,MATCH($D107,'Project Types'!$A$5:$A$13,0)),1))</f>
        <v>0</v>
      </c>
      <c r="Q107" s="14"/>
      <c r="R107" s="14"/>
      <c r="S107" s="14"/>
      <c r="T107" s="14"/>
      <c r="U107" s="14"/>
      <c r="AG107"/>
      <c r="AH107"/>
      <c r="AI107"/>
      <c r="AJ107"/>
      <c r="AK107"/>
      <c r="AL107"/>
      <c r="AM107"/>
      <c r="AN107"/>
      <c r="AO107"/>
      <c r="AP107"/>
      <c r="AQ107"/>
      <c r="AR107"/>
    </row>
    <row r="108" spans="1:21" x14ac:dyDescent="0.3">
      <c r="A108" s="223"/>
      <c r="B108" s="224" t="str">
        <f>IF($A108="","",IFERROR(INDEX(Inputs!$B$6:$B$80,MATCH($A108,Inputs!$A$6:$A$80,0)),"not in register"))</f>
        <v/>
      </c>
      <c r="C108" s="223"/>
      <c r="D108" s="223"/>
      <c r="E108" s="225"/>
      <c r="F108" s="226"/>
      <c r="G108" s="227" t="str">
        <f>IF(OR($D108="",$F108=""),"",IFERROR(INDEX('Rules of Credit'!$C$5:$C$38,MATCH($D108&amp;"|"&amp;$F108,'Rules of Credit'!$F$5:$F$38,0)),"invalid step"))</f>
        <v/>
      </c>
      <c r="H108" s="228" t="str">
        <f>IF(OR($D108="",$F108=""),"",IFERROR(INDEX('Rules of Credit'!$D$5:$D$38,MATCH($D108&amp;"|"&amp;$F108,'Rules of Credit'!$F$5:$F$38,0)),""))</f>
        <v/>
      </c>
      <c r="I108" s="229" t="str">
        <f t="shared" si="11"/>
        <v/>
      </c>
      <c r="J108" s="242"/>
      <c r="K108" s="243"/>
      <c r="L108" s="243"/>
      <c r="M108" s="243"/>
      <c r="N108" s="244" t="str">
        <f t="shared" si="12"/>
        <v/>
      </c>
      <c r="O108" s="221"/>
      <c r="P108" s="233">
        <f>IF($D108="",0,IFERROR(INDEX('Project Types'!$E$5:$E$13,MATCH($D108,'Project Types'!$A$5:$A$13,0)),1))</f>
        <v>0</v>
      </c>
      <c r="Q108" s="14"/>
      <c r="R108" s="14"/>
      <c r="S108" s="14"/>
      <c r="T108" s="14"/>
      <c r="U108" s="14"/>
      <c r="AG108"/>
      <c r="AH108"/>
      <c r="AI108"/>
      <c r="AJ108"/>
      <c r="AK108"/>
      <c r="AL108"/>
      <c r="AM108"/>
      <c r="AN108"/>
      <c r="AO108"/>
      <c r="AP108"/>
      <c r="AQ108"/>
      <c r="AR108"/>
    </row>
    <row r="109" spans="1:21" x14ac:dyDescent="0.3">
      <c r="A109" s="223"/>
      <c r="B109" s="224" t="str">
        <f>IF($A109="","",IFERROR(INDEX(Inputs!$B$6:$B$80,MATCH($A109,Inputs!$A$6:$A$80,0)),"not in register"))</f>
        <v/>
      </c>
      <c r="C109" s="223"/>
      <c r="D109" s="223"/>
      <c r="E109" s="225"/>
      <c r="F109" s="226"/>
      <c r="G109" s="227" t="str">
        <f>IF(OR($D109="",$F109=""),"",IFERROR(INDEX('Rules of Credit'!$C$5:$C$38,MATCH($D109&amp;"|"&amp;$F109,'Rules of Credit'!$F$5:$F$38,0)),"invalid step"))</f>
        <v/>
      </c>
      <c r="H109" s="228" t="str">
        <f>IF(OR($D109="",$F109=""),"",IFERROR(INDEX('Rules of Credit'!$D$5:$D$38,MATCH($D109&amp;"|"&amp;$F109,'Rules of Credit'!$F$5:$F$38,0)),""))</f>
        <v/>
      </c>
      <c r="I109" s="229" t="str">
        <f t="shared" si="11"/>
        <v/>
      </c>
      <c r="J109" s="242"/>
      <c r="K109" s="243"/>
      <c r="L109" s="243"/>
      <c r="M109" s="243"/>
      <c r="N109" s="244" t="str">
        <f t="shared" si="12"/>
        <v/>
      </c>
      <c r="O109" s="221"/>
      <c r="P109" s="233">
        <f>IF($D109="",0,IFERROR(INDEX('Project Types'!$E$5:$E$13,MATCH($D109,'Project Types'!$A$5:$A$13,0)),1))</f>
        <v>0</v>
      </c>
      <c r="Q109" s="14"/>
      <c r="R109" s="14"/>
      <c r="S109" s="14"/>
      <c r="T109" s="14"/>
      <c r="U109" s="14"/>
      <c r="AG109"/>
      <c r="AH109"/>
      <c r="AI109"/>
      <c r="AJ109"/>
      <c r="AK109"/>
      <c r="AL109"/>
      <c r="AM109"/>
      <c r="AN109"/>
      <c r="AO109"/>
      <c r="AP109"/>
      <c r="AQ109"/>
      <c r="AR109"/>
    </row>
    <row r="110" spans="1:21" x14ac:dyDescent="0.3">
      <c r="A110" s="223"/>
      <c r="B110" s="224" t="str">
        <f>IF($A110="","",IFERROR(INDEX(Inputs!$B$6:$B$80,MATCH($A110,Inputs!$A$6:$A$80,0)),"not in register"))</f>
        <v/>
      </c>
      <c r="C110" s="223"/>
      <c r="D110" s="223"/>
      <c r="E110" s="225"/>
      <c r="F110" s="226"/>
      <c r="G110" s="227" t="str">
        <f>IF(OR($D110="",$F110=""),"",IFERROR(INDEX('Rules of Credit'!$C$5:$C$38,MATCH($D110&amp;"|"&amp;$F110,'Rules of Credit'!$F$5:$F$38,0)),"invalid step"))</f>
        <v/>
      </c>
      <c r="H110" s="228" t="str">
        <f>IF(OR($D110="",$F110=""),"",IFERROR(INDEX('Rules of Credit'!$D$5:$D$38,MATCH($D110&amp;"|"&amp;$F110,'Rules of Credit'!$F$5:$F$38,0)),""))</f>
        <v/>
      </c>
      <c r="I110" s="229" t="str">
        <f t="shared" si="11"/>
        <v/>
      </c>
      <c r="J110" s="242"/>
      <c r="K110" s="243"/>
      <c r="L110" s="243"/>
      <c r="M110" s="243"/>
      <c r="N110" s="244" t="str">
        <f t="shared" si="12"/>
        <v/>
      </c>
      <c r="O110" s="221"/>
      <c r="P110" s="233">
        <f>IF($D110="",0,IFERROR(INDEX('Project Types'!$E$5:$E$13,MATCH($D110,'Project Types'!$A$5:$A$13,0)),1))</f>
        <v>0</v>
      </c>
      <c r="Q110" s="14"/>
      <c r="R110" s="14"/>
      <c r="S110" s="14"/>
      <c r="T110" s="14"/>
      <c r="U110" s="14"/>
      <c r="AG110"/>
      <c r="AH110"/>
      <c r="AI110"/>
      <c r="AJ110"/>
      <c r="AK110"/>
      <c r="AL110"/>
      <c r="AM110"/>
      <c r="AN110"/>
      <c r="AO110"/>
      <c r="AP110"/>
      <c r="AQ110"/>
      <c r="AR110"/>
    </row>
    <row r="111" spans="1:21" x14ac:dyDescent="0.3">
      <c r="A111" s="223"/>
      <c r="B111" s="224" t="str">
        <f>IF($A111="","",IFERROR(INDEX(Inputs!$B$6:$B$80,MATCH($A111,Inputs!$A$6:$A$80,0)),"not in register"))</f>
        <v/>
      </c>
      <c r="C111" s="223"/>
      <c r="D111" s="223"/>
      <c r="E111" s="225"/>
      <c r="F111" s="226"/>
      <c r="G111" s="227" t="str">
        <f>IF(OR($D111="",$F111=""),"",IFERROR(INDEX('Rules of Credit'!$C$5:$C$38,MATCH($D111&amp;"|"&amp;$F111,'Rules of Credit'!$F$5:$F$38,0)),"invalid step"))</f>
        <v/>
      </c>
      <c r="H111" s="228" t="str">
        <f>IF(OR($D111="",$F111=""),"",IFERROR(INDEX('Rules of Credit'!$D$5:$D$38,MATCH($D111&amp;"|"&amp;$F111,'Rules of Credit'!$F$5:$F$38,0)),""))</f>
        <v/>
      </c>
      <c r="I111" s="229" t="str">
        <f t="shared" si="11"/>
        <v/>
      </c>
      <c r="J111" s="242"/>
      <c r="K111" s="243"/>
      <c r="L111" s="243"/>
      <c r="M111" s="243"/>
      <c r="N111" s="244" t="str">
        <f t="shared" si="12"/>
        <v/>
      </c>
      <c r="O111" s="221"/>
      <c r="P111" s="233">
        <f>IF($D111="",0,IFERROR(INDEX('Project Types'!$E$5:$E$13,MATCH($D111,'Project Types'!$A$5:$A$13,0)),1))</f>
        <v>0</v>
      </c>
      <c r="Q111" s="14"/>
      <c r="R111" s="14"/>
      <c r="S111" s="14"/>
      <c r="T111" s="14"/>
      <c r="U111" s="14"/>
      <c r="AG111"/>
      <c r="AH111"/>
      <c r="AI111"/>
      <c r="AJ111"/>
      <c r="AK111"/>
      <c r="AL111"/>
      <c r="AM111"/>
      <c r="AN111"/>
      <c r="AO111"/>
      <c r="AP111"/>
      <c r="AQ111"/>
      <c r="AR111"/>
    </row>
    <row r="112" spans="1:21" x14ac:dyDescent="0.3">
      <c r="A112" s="223"/>
      <c r="B112" s="224" t="str">
        <f>IF($A112="","",IFERROR(INDEX(Inputs!$B$6:$B$80,MATCH($A112,Inputs!$A$6:$A$80,0)),"not in register"))</f>
        <v/>
      </c>
      <c r="C112" s="223"/>
      <c r="D112" s="223"/>
      <c r="E112" s="225"/>
      <c r="F112" s="226"/>
      <c r="G112" s="227" t="str">
        <f>IF(OR($D112="",$F112=""),"",IFERROR(INDEX('Rules of Credit'!$C$5:$C$38,MATCH($D112&amp;"|"&amp;$F112,'Rules of Credit'!$F$5:$F$38,0)),"invalid step"))</f>
        <v/>
      </c>
      <c r="H112" s="228" t="str">
        <f>IF(OR($D112="",$F112=""),"",IFERROR(INDEX('Rules of Credit'!$D$5:$D$38,MATCH($D112&amp;"|"&amp;$F112,'Rules of Credit'!$F$5:$F$38,0)),""))</f>
        <v/>
      </c>
      <c r="I112" s="229" t="str">
        <f t="shared" si="11"/>
        <v/>
      </c>
      <c r="J112" s="242"/>
      <c r="K112" s="243"/>
      <c r="L112" s="243"/>
      <c r="M112" s="243"/>
      <c r="N112" s="244" t="str">
        <f t="shared" si="12"/>
        <v/>
      </c>
      <c r="O112" s="221"/>
      <c r="P112" s="233">
        <f>IF($D112="",0,IFERROR(INDEX('Project Types'!$E$5:$E$13,MATCH($D112,'Project Types'!$A$5:$A$13,0)),1))</f>
        <v>0</v>
      </c>
      <c r="Q112" s="14"/>
      <c r="R112" s="14"/>
      <c r="S112" s="14"/>
      <c r="T112" s="14"/>
      <c r="U112" s="14"/>
      <c r="AG112"/>
      <c r="AH112"/>
      <c r="AI112"/>
      <c r="AJ112"/>
      <c r="AK112"/>
      <c r="AL112"/>
      <c r="AM112"/>
      <c r="AN112"/>
      <c r="AO112"/>
      <c r="AP112"/>
      <c r="AQ112"/>
      <c r="AR112"/>
    </row>
    <row r="113" spans="1:21" x14ac:dyDescent="0.3">
      <c r="A113" s="223"/>
      <c r="B113" s="224" t="str">
        <f>IF($A113="","",IFERROR(INDEX(Inputs!$B$6:$B$80,MATCH($A113,Inputs!$A$6:$A$80,0)),"not in register"))</f>
        <v/>
      </c>
      <c r="C113" s="223"/>
      <c r="D113" s="223"/>
      <c r="E113" s="225"/>
      <c r="F113" s="226"/>
      <c r="G113" s="227" t="str">
        <f>IF(OR($D113="",$F113=""),"",IFERROR(INDEX('Rules of Credit'!$C$5:$C$38,MATCH($D113&amp;"|"&amp;$F113,'Rules of Credit'!$F$5:$F$38,0)),"invalid step"))</f>
        <v/>
      </c>
      <c r="H113" s="228" t="str">
        <f>IF(OR($D113="",$F113=""),"",IFERROR(INDEX('Rules of Credit'!$D$5:$D$38,MATCH($D113&amp;"|"&amp;$F113,'Rules of Credit'!$F$5:$F$38,0)),""))</f>
        <v/>
      </c>
      <c r="I113" s="229" t="str">
        <f t="shared" si="11"/>
        <v/>
      </c>
      <c r="J113" s="242"/>
      <c r="K113" s="243"/>
      <c r="L113" s="243"/>
      <c r="M113" s="243"/>
      <c r="N113" s="244" t="str">
        <f t="shared" si="12"/>
        <v/>
      </c>
      <c r="O113" s="221"/>
      <c r="P113" s="233">
        <f>IF($D113="",0,IFERROR(INDEX('Project Types'!$E$5:$E$13,MATCH($D113,'Project Types'!$A$5:$A$13,0)),1))</f>
        <v>0</v>
      </c>
      <c r="Q113" s="14"/>
      <c r="R113" s="14"/>
      <c r="S113" s="14"/>
      <c r="T113" s="14"/>
      <c r="U113" s="14"/>
      <c r="AG113"/>
      <c r="AH113"/>
      <c r="AI113"/>
      <c r="AJ113"/>
      <c r="AK113"/>
      <c r="AL113"/>
      <c r="AM113"/>
      <c r="AN113"/>
      <c r="AO113"/>
      <c r="AP113"/>
      <c r="AQ113"/>
      <c r="AR113"/>
    </row>
    <row r="114" spans="1:21" x14ac:dyDescent="0.3">
      <c r="A114" s="223"/>
      <c r="B114" s="224" t="str">
        <f>IF($A114="","",IFERROR(INDEX(Inputs!$B$6:$B$80,MATCH($A114,Inputs!$A$6:$A$80,0)),"not in register"))</f>
        <v/>
      </c>
      <c r="C114" s="223"/>
      <c r="D114" s="223"/>
      <c r="E114" s="225"/>
      <c r="F114" s="226"/>
      <c r="G114" s="227" t="str">
        <f>IF(OR($D114="",$F114=""),"",IFERROR(INDEX('Rules of Credit'!$C$5:$C$38,MATCH($D114&amp;"|"&amp;$F114,'Rules of Credit'!$F$5:$F$38,0)),"invalid step"))</f>
        <v/>
      </c>
      <c r="H114" s="228" t="str">
        <f>IF(OR($D114="",$F114=""),"",IFERROR(INDEX('Rules of Credit'!$D$5:$D$38,MATCH($D114&amp;"|"&amp;$F114,'Rules of Credit'!$F$5:$F$38,0)),""))</f>
        <v/>
      </c>
      <c r="I114" s="229" t="str">
        <f t="shared" si="11"/>
        <v/>
      </c>
      <c r="J114" s="242"/>
      <c r="K114" s="243"/>
      <c r="L114" s="243"/>
      <c r="M114" s="243"/>
      <c r="N114" s="244" t="str">
        <f t="shared" si="12"/>
        <v/>
      </c>
      <c r="O114" s="221"/>
      <c r="P114" s="233">
        <f>IF($D114="",0,IFERROR(INDEX('Project Types'!$E$5:$E$13,MATCH($D114,'Project Types'!$A$5:$A$13,0)),1))</f>
        <v>0</v>
      </c>
      <c r="Q114" s="14"/>
      <c r="R114" s="14"/>
      <c r="S114" s="14"/>
      <c r="T114" s="14"/>
      <c r="U114" s="14"/>
      <c r="AG114"/>
      <c r="AH114"/>
      <c r="AI114"/>
      <c r="AJ114"/>
      <c r="AK114"/>
      <c r="AL114"/>
      <c r="AM114"/>
      <c r="AN114"/>
      <c r="AO114"/>
      <c r="AP114"/>
      <c r="AQ114"/>
      <c r="AR114"/>
    </row>
    <row r="115" spans="1:21" x14ac:dyDescent="0.3">
      <c r="A115" s="223"/>
      <c r="B115" s="224" t="str">
        <f>IF($A115="","",IFERROR(INDEX(Inputs!$B$6:$B$80,MATCH($A115,Inputs!$A$6:$A$80,0)),"not in register"))</f>
        <v/>
      </c>
      <c r="C115" s="223"/>
      <c r="D115" s="223"/>
      <c r="E115" s="225"/>
      <c r="F115" s="226"/>
      <c r="G115" s="227" t="str">
        <f>IF(OR($D115="",$F115=""),"",IFERROR(INDEX('Rules of Credit'!$C$5:$C$38,MATCH($D115&amp;"|"&amp;$F115,'Rules of Credit'!$F$5:$F$38,0)),"invalid step"))</f>
        <v/>
      </c>
      <c r="H115" s="228" t="str">
        <f>IF(OR($D115="",$F115=""),"",IFERROR(INDEX('Rules of Credit'!$D$5:$D$38,MATCH($D115&amp;"|"&amp;$F115,'Rules of Credit'!$F$5:$F$38,0)),""))</f>
        <v/>
      </c>
      <c r="I115" s="229" t="str">
        <f t="shared" si="11"/>
        <v/>
      </c>
      <c r="J115" s="242"/>
      <c r="K115" s="243"/>
      <c r="L115" s="243"/>
      <c r="M115" s="243"/>
      <c r="N115" s="244" t="str">
        <f t="shared" si="12"/>
        <v/>
      </c>
      <c r="O115" s="221"/>
      <c r="P115" s="233">
        <f>IF($D115="",0,IFERROR(INDEX('Project Types'!$E$5:$E$13,MATCH($D115,'Project Types'!$A$5:$A$13,0)),1))</f>
        <v>0</v>
      </c>
      <c r="Q115" s="14"/>
      <c r="R115" s="14"/>
      <c r="S115" s="14"/>
      <c r="T115" s="14"/>
      <c r="U115" s="14"/>
      <c r="AG115"/>
      <c r="AH115"/>
      <c r="AI115"/>
      <c r="AJ115"/>
      <c r="AK115"/>
      <c r="AL115"/>
      <c r="AM115"/>
      <c r="AN115"/>
      <c r="AO115"/>
      <c r="AP115"/>
      <c r="AQ115"/>
      <c r="AR115"/>
    </row>
    <row r="116" spans="1:21" x14ac:dyDescent="0.3">
      <c r="A116" s="223"/>
      <c r="B116" s="224" t="str">
        <f>IF($A116="","",IFERROR(INDEX(Inputs!$B$6:$B$80,MATCH($A116,Inputs!$A$6:$A$80,0)),"not in register"))</f>
        <v/>
      </c>
      <c r="C116" s="223"/>
      <c r="D116" s="223"/>
      <c r="E116" s="225"/>
      <c r="F116" s="226"/>
      <c r="G116" s="227" t="str">
        <f>IF(OR($D116="",$F116=""),"",IFERROR(INDEX('Rules of Credit'!$C$5:$C$38,MATCH($D116&amp;"|"&amp;$F116,'Rules of Credit'!$F$5:$F$38,0)),"invalid step"))</f>
        <v/>
      </c>
      <c r="H116" s="228" t="str">
        <f>IF(OR($D116="",$F116=""),"",IFERROR(INDEX('Rules of Credit'!$D$5:$D$38,MATCH($D116&amp;"|"&amp;$F116,'Rules of Credit'!$F$5:$F$38,0)),""))</f>
        <v/>
      </c>
      <c r="I116" s="229" t="str">
        <f t="shared" si="11"/>
        <v/>
      </c>
      <c r="J116" s="242"/>
      <c r="K116" s="243"/>
      <c r="L116" s="243"/>
      <c r="M116" s="243"/>
      <c r="N116" s="244" t="str">
        <f t="shared" si="12"/>
        <v/>
      </c>
      <c r="O116" s="221"/>
      <c r="P116" s="233">
        <f>IF($D116="",0,IFERROR(INDEX('Project Types'!$E$5:$E$13,MATCH($D116,'Project Types'!$A$5:$A$13,0)),1))</f>
        <v>0</v>
      </c>
      <c r="Q116" s="14"/>
      <c r="R116" s="14"/>
      <c r="S116" s="14"/>
      <c r="T116" s="14"/>
      <c r="U116" s="14"/>
      <c r="AG116"/>
      <c r="AH116"/>
      <c r="AI116"/>
      <c r="AJ116"/>
      <c r="AK116"/>
      <c r="AL116"/>
      <c r="AM116"/>
      <c r="AN116"/>
      <c r="AO116"/>
      <c r="AP116"/>
      <c r="AQ116"/>
      <c r="AR116"/>
    </row>
    <row r="117" spans="1:21" x14ac:dyDescent="0.3">
      <c r="A117" s="223"/>
      <c r="B117" s="224" t="str">
        <f>IF($A117="","",IFERROR(INDEX(Inputs!$B$6:$B$80,MATCH($A117,Inputs!$A$6:$A$80,0)),"not in register"))</f>
        <v/>
      </c>
      <c r="C117" s="223"/>
      <c r="D117" s="223"/>
      <c r="E117" s="225"/>
      <c r="F117" s="226"/>
      <c r="G117" s="227" t="str">
        <f>IF(OR($D117="",$F117=""),"",IFERROR(INDEX('Rules of Credit'!$C$5:$C$38,MATCH($D117&amp;"|"&amp;$F117,'Rules of Credit'!$F$5:$F$38,0)),"invalid step"))</f>
        <v/>
      </c>
      <c r="H117" s="228" t="str">
        <f>IF(OR($D117="",$F117=""),"",IFERROR(INDEX('Rules of Credit'!$D$5:$D$38,MATCH($D117&amp;"|"&amp;$F117,'Rules of Credit'!$F$5:$F$38,0)),""))</f>
        <v/>
      </c>
      <c r="I117" s="229" t="str">
        <f t="shared" si="11"/>
        <v/>
      </c>
      <c r="J117" s="242"/>
      <c r="K117" s="243"/>
      <c r="L117" s="243"/>
      <c r="M117" s="243"/>
      <c r="N117" s="244" t="str">
        <f t="shared" si="12"/>
        <v/>
      </c>
      <c r="O117" s="221"/>
      <c r="P117" s="233">
        <f>IF($D117="",0,IFERROR(INDEX('Project Types'!$E$5:$E$13,MATCH($D117,'Project Types'!$A$5:$A$13,0)),1))</f>
        <v>0</v>
      </c>
      <c r="Q117" s="14"/>
      <c r="R117" s="14"/>
      <c r="S117" s="14"/>
      <c r="T117" s="14"/>
      <c r="U117" s="14"/>
      <c r="AG117"/>
      <c r="AH117"/>
      <c r="AI117"/>
      <c r="AJ117"/>
      <c r="AK117"/>
      <c r="AL117"/>
      <c r="AM117"/>
      <c r="AN117"/>
      <c r="AO117"/>
      <c r="AP117"/>
      <c r="AQ117"/>
      <c r="AR117"/>
    </row>
    <row r="118" spans="1:21" x14ac:dyDescent="0.3">
      <c r="A118" s="223"/>
      <c r="B118" s="224" t="str">
        <f>IF($A118="","",IFERROR(INDEX(Inputs!$B$6:$B$80,MATCH($A118,Inputs!$A$6:$A$80,0)),"not in register"))</f>
        <v/>
      </c>
      <c r="C118" s="223"/>
      <c r="D118" s="223"/>
      <c r="E118" s="225"/>
      <c r="F118" s="226"/>
      <c r="G118" s="227" t="str">
        <f>IF(OR($D118="",$F118=""),"",IFERROR(INDEX('Rules of Credit'!$C$5:$C$38,MATCH($D118&amp;"|"&amp;$F118,'Rules of Credit'!$F$5:$F$38,0)),"invalid step"))</f>
        <v/>
      </c>
      <c r="H118" s="228" t="str">
        <f>IF(OR($D118="",$F118=""),"",IFERROR(INDEX('Rules of Credit'!$D$5:$D$38,MATCH($D118&amp;"|"&amp;$F118,'Rules of Credit'!$F$5:$F$38,0)),""))</f>
        <v/>
      </c>
      <c r="I118" s="229" t="str">
        <f t="shared" si="11"/>
        <v/>
      </c>
      <c r="J118" s="242"/>
      <c r="K118" s="243"/>
      <c r="L118" s="243"/>
      <c r="M118" s="243"/>
      <c r="N118" s="244" t="str">
        <f t="shared" si="12"/>
        <v/>
      </c>
      <c r="O118" s="221"/>
      <c r="P118" s="233">
        <f>IF($D118="",0,IFERROR(INDEX('Project Types'!$E$5:$E$13,MATCH($D118,'Project Types'!$A$5:$A$13,0)),1))</f>
        <v>0</v>
      </c>
      <c r="Q118" s="14"/>
      <c r="R118" s="14"/>
      <c r="S118" s="14"/>
      <c r="T118" s="14"/>
      <c r="U118" s="14"/>
      <c r="AG118"/>
      <c r="AH118"/>
      <c r="AI118"/>
      <c r="AJ118"/>
      <c r="AK118"/>
      <c r="AL118"/>
      <c r="AM118"/>
      <c r="AN118"/>
      <c r="AO118"/>
      <c r="AP118"/>
      <c r="AQ118"/>
      <c r="AR118"/>
    </row>
    <row r="119" spans="1:21" x14ac:dyDescent="0.3">
      <c r="A119" s="223"/>
      <c r="B119" s="224" t="str">
        <f>IF($A119="","",IFERROR(INDEX(Inputs!$B$6:$B$80,MATCH($A119,Inputs!$A$6:$A$80,0)),"not in register"))</f>
        <v/>
      </c>
      <c r="C119" s="223"/>
      <c r="D119" s="223"/>
      <c r="E119" s="225"/>
      <c r="F119" s="226"/>
      <c r="G119" s="227" t="str">
        <f>IF(OR($D119="",$F119=""),"",IFERROR(INDEX('Rules of Credit'!$C$5:$C$38,MATCH($D119&amp;"|"&amp;$F119,'Rules of Credit'!$F$5:$F$38,0)),"invalid step"))</f>
        <v/>
      </c>
      <c r="H119" s="228" t="str">
        <f>IF(OR($D119="",$F119=""),"",IFERROR(INDEX('Rules of Credit'!$D$5:$D$38,MATCH($D119&amp;"|"&amp;$F119,'Rules of Credit'!$F$5:$F$38,0)),""))</f>
        <v/>
      </c>
      <c r="I119" s="229" t="str">
        <f t="shared" si="11"/>
        <v/>
      </c>
      <c r="J119" s="242"/>
      <c r="K119" s="243"/>
      <c r="L119" s="243"/>
      <c r="M119" s="243"/>
      <c r="N119" s="244" t="str">
        <f t="shared" si="12"/>
        <v/>
      </c>
      <c r="O119" s="221"/>
      <c r="P119" s="233">
        <f>IF($D119="",0,IFERROR(INDEX('Project Types'!$E$5:$E$13,MATCH($D119,'Project Types'!$A$5:$A$13,0)),1))</f>
        <v>0</v>
      </c>
      <c r="Q119" s="14"/>
      <c r="R119" s="14"/>
      <c r="S119" s="14"/>
      <c r="T119" s="14"/>
      <c r="U119" s="14"/>
      <c r="AG119"/>
      <c r="AH119"/>
      <c r="AI119"/>
      <c r="AJ119"/>
      <c r="AK119"/>
      <c r="AL119"/>
      <c r="AM119"/>
      <c r="AN119"/>
      <c r="AO119"/>
      <c r="AP119"/>
      <c r="AQ119"/>
      <c r="AR119"/>
    </row>
    <row r="120" spans="1:21" x14ac:dyDescent="0.3">
      <c r="A120" s="223"/>
      <c r="B120" s="224" t="str">
        <f>IF($A120="","",IFERROR(INDEX(Inputs!$B$6:$B$80,MATCH($A120,Inputs!$A$6:$A$80,0)),"not in register"))</f>
        <v/>
      </c>
      <c r="C120" s="223"/>
      <c r="D120" s="223"/>
      <c r="E120" s="225"/>
      <c r="F120" s="226"/>
      <c r="G120" s="227" t="str">
        <f>IF(OR($D120="",$F120=""),"",IFERROR(INDEX('Rules of Credit'!$C$5:$C$38,MATCH($D120&amp;"|"&amp;$F120,'Rules of Credit'!$F$5:$F$38,0)),"invalid step"))</f>
        <v/>
      </c>
      <c r="H120" s="228" t="str">
        <f>IF(OR($D120="",$F120=""),"",IFERROR(INDEX('Rules of Credit'!$D$5:$D$38,MATCH($D120&amp;"|"&amp;$F120,'Rules of Credit'!$F$5:$F$38,0)),""))</f>
        <v/>
      </c>
      <c r="I120" s="229" t="str">
        <f t="shared" si="11"/>
        <v/>
      </c>
      <c r="J120" s="242"/>
      <c r="K120" s="243"/>
      <c r="L120" s="243"/>
      <c r="M120" s="243"/>
      <c r="N120" s="244" t="str">
        <f t="shared" si="12"/>
        <v/>
      </c>
      <c r="O120" s="221"/>
      <c r="P120" s="233">
        <f>IF($D120="",0,IFERROR(INDEX('Project Types'!$E$5:$E$13,MATCH($D120,'Project Types'!$A$5:$A$13,0)),1))</f>
        <v>0</v>
      </c>
      <c r="Q120" s="14"/>
      <c r="R120" s="14"/>
      <c r="S120" s="14"/>
      <c r="T120" s="14"/>
      <c r="U120" s="14"/>
      <c r="AG120"/>
      <c r="AH120"/>
      <c r="AI120"/>
      <c r="AJ120"/>
      <c r="AK120"/>
      <c r="AL120"/>
      <c r="AM120"/>
      <c r="AN120"/>
      <c r="AO120"/>
      <c r="AP120"/>
      <c r="AQ120"/>
      <c r="AR120"/>
    </row>
    <row r="121" spans="1:21" x14ac:dyDescent="0.3">
      <c r="A121" s="223"/>
      <c r="B121" s="224" t="str">
        <f>IF($A121="","",IFERROR(INDEX(Inputs!$B$6:$B$80,MATCH($A121,Inputs!$A$6:$A$80,0)),"not in register"))</f>
        <v/>
      </c>
      <c r="C121" s="223"/>
      <c r="D121" s="223"/>
      <c r="E121" s="225"/>
      <c r="F121" s="226"/>
      <c r="G121" s="227" t="str">
        <f>IF(OR($D121="",$F121=""),"",IFERROR(INDEX('Rules of Credit'!$C$5:$C$38,MATCH($D121&amp;"|"&amp;$F121,'Rules of Credit'!$F$5:$F$38,0)),"invalid step"))</f>
        <v/>
      </c>
      <c r="H121" s="228" t="str">
        <f>IF(OR($D121="",$F121=""),"",IFERROR(INDEX('Rules of Credit'!$D$5:$D$38,MATCH($D121&amp;"|"&amp;$F121,'Rules of Credit'!$F$5:$F$38,0)),""))</f>
        <v/>
      </c>
      <c r="I121" s="229" t="str">
        <f t="shared" si="11"/>
        <v/>
      </c>
      <c r="J121" s="242"/>
      <c r="K121" s="243"/>
      <c r="L121" s="243"/>
      <c r="M121" s="243"/>
      <c r="N121" s="244" t="str">
        <f t="shared" si="12"/>
        <v/>
      </c>
      <c r="O121" s="221"/>
      <c r="P121" s="233">
        <f>IF($D121="",0,IFERROR(INDEX('Project Types'!$E$5:$E$13,MATCH($D121,'Project Types'!$A$5:$A$13,0)),1))</f>
        <v>0</v>
      </c>
      <c r="Q121" s="14"/>
      <c r="R121" s="14"/>
      <c r="S121" s="14"/>
      <c r="T121" s="14"/>
      <c r="U121" s="14"/>
      <c r="AG121"/>
      <c r="AH121"/>
      <c r="AI121"/>
      <c r="AJ121"/>
      <c r="AK121"/>
      <c r="AL121"/>
      <c r="AM121"/>
      <c r="AN121"/>
      <c r="AO121"/>
      <c r="AP121"/>
      <c r="AQ121"/>
      <c r="AR121"/>
    </row>
    <row r="122" spans="1:21" x14ac:dyDescent="0.3">
      <c r="A122" s="223"/>
      <c r="B122" s="224" t="str">
        <f>IF($A122="","",IFERROR(INDEX(Inputs!$B$6:$B$80,MATCH($A122,Inputs!$A$6:$A$80,0)),"not in register"))</f>
        <v/>
      </c>
      <c r="C122" s="223"/>
      <c r="D122" s="223"/>
      <c r="E122" s="225"/>
      <c r="F122" s="226"/>
      <c r="G122" s="227" t="str">
        <f>IF(OR($D122="",$F122=""),"",IFERROR(INDEX('Rules of Credit'!$C$5:$C$38,MATCH($D122&amp;"|"&amp;$F122,'Rules of Credit'!$F$5:$F$38,0)),"invalid step"))</f>
        <v/>
      </c>
      <c r="H122" s="228" t="str">
        <f>IF(OR($D122="",$F122=""),"",IFERROR(INDEX('Rules of Credit'!$D$5:$D$38,MATCH($D122&amp;"|"&amp;$F122,'Rules of Credit'!$F$5:$F$38,0)),""))</f>
        <v/>
      </c>
      <c r="I122" s="229" t="str">
        <f t="shared" si="11"/>
        <v/>
      </c>
      <c r="J122" s="242"/>
      <c r="K122" s="243"/>
      <c r="L122" s="243"/>
      <c r="M122" s="243"/>
      <c r="N122" s="244" t="str">
        <f t="shared" si="12"/>
        <v/>
      </c>
      <c r="O122" s="221"/>
      <c r="P122" s="233">
        <f>IF($D122="",0,IFERROR(INDEX('Project Types'!$E$5:$E$13,MATCH($D122,'Project Types'!$A$5:$A$13,0)),1))</f>
        <v>0</v>
      </c>
      <c r="Q122" s="14"/>
      <c r="R122" s="14"/>
      <c r="S122" s="14"/>
      <c r="T122" s="14"/>
      <c r="U122" s="14"/>
      <c r="AG122"/>
      <c r="AH122"/>
      <c r="AI122"/>
      <c r="AJ122"/>
      <c r="AK122"/>
      <c r="AL122"/>
      <c r="AM122"/>
      <c r="AN122"/>
      <c r="AO122"/>
      <c r="AP122"/>
      <c r="AQ122"/>
      <c r="AR122"/>
    </row>
    <row r="123" spans="1:21" x14ac:dyDescent="0.3">
      <c r="A123" s="223"/>
      <c r="B123" s="224" t="str">
        <f>IF($A123="","",IFERROR(INDEX(Inputs!$B$6:$B$80,MATCH($A123,Inputs!$A$6:$A$80,0)),"not in register"))</f>
        <v/>
      </c>
      <c r="C123" s="223"/>
      <c r="D123" s="223"/>
      <c r="E123" s="225"/>
      <c r="F123" s="226"/>
      <c r="G123" s="227" t="str">
        <f>IF(OR($D123="",$F123=""),"",IFERROR(INDEX('Rules of Credit'!$C$5:$C$38,MATCH($D123&amp;"|"&amp;$F123,'Rules of Credit'!$F$5:$F$38,0)),"invalid step"))</f>
        <v/>
      </c>
      <c r="H123" s="228" t="str">
        <f>IF(OR($D123="",$F123=""),"",IFERROR(INDEX('Rules of Credit'!$D$5:$D$38,MATCH($D123&amp;"|"&amp;$F123,'Rules of Credit'!$F$5:$F$38,0)),""))</f>
        <v/>
      </c>
      <c r="I123" s="229" t="str">
        <f t="shared" si="11"/>
        <v/>
      </c>
      <c r="J123" s="242"/>
      <c r="K123" s="243"/>
      <c r="L123" s="243"/>
      <c r="M123" s="243"/>
      <c r="N123" s="244" t="str">
        <f t="shared" si="12"/>
        <v/>
      </c>
      <c r="O123" s="221"/>
      <c r="P123" s="233">
        <f>IF($D123="",0,IFERROR(INDEX('Project Types'!$E$5:$E$13,MATCH($D123,'Project Types'!$A$5:$A$13,0)),1))</f>
        <v>0</v>
      </c>
      <c r="Q123" s="14"/>
      <c r="R123" s="14"/>
      <c r="S123" s="14"/>
      <c r="T123" s="14"/>
      <c r="U123" s="14"/>
      <c r="AG123"/>
      <c r="AH123"/>
      <c r="AI123"/>
      <c r="AJ123"/>
      <c r="AK123"/>
      <c r="AL123"/>
      <c r="AM123"/>
      <c r="AN123"/>
      <c r="AO123"/>
      <c r="AP123"/>
      <c r="AQ123"/>
      <c r="AR123"/>
    </row>
    <row r="124" spans="1:21" x14ac:dyDescent="0.3">
      <c r="A124" s="223"/>
      <c r="B124" s="224" t="str">
        <f>IF($A124="","",IFERROR(INDEX(Inputs!$B$6:$B$80,MATCH($A124,Inputs!$A$6:$A$80,0)),"not in register"))</f>
        <v/>
      </c>
      <c r="C124" s="223"/>
      <c r="D124" s="223"/>
      <c r="E124" s="225"/>
      <c r="F124" s="226"/>
      <c r="G124" s="227" t="str">
        <f>IF(OR($D124="",$F124=""),"",IFERROR(INDEX('Rules of Credit'!$C$5:$C$38,MATCH($D124&amp;"|"&amp;$F124,'Rules of Credit'!$F$5:$F$38,0)),"invalid step"))</f>
        <v/>
      </c>
      <c r="H124" s="228" t="str">
        <f>IF(OR($D124="",$F124=""),"",IFERROR(INDEX('Rules of Credit'!$D$5:$D$38,MATCH($D124&amp;"|"&amp;$F124,'Rules of Credit'!$F$5:$F$38,0)),""))</f>
        <v/>
      </c>
      <c r="I124" s="229" t="str">
        <f t="shared" si="11"/>
        <v/>
      </c>
      <c r="J124" s="242"/>
      <c r="K124" s="243"/>
      <c r="L124" s="243"/>
      <c r="M124" s="243"/>
      <c r="N124" s="244" t="str">
        <f t="shared" si="12"/>
        <v/>
      </c>
      <c r="O124" s="221"/>
      <c r="P124" s="233">
        <f>IF($D124="",0,IFERROR(INDEX('Project Types'!$E$5:$E$13,MATCH($D124,'Project Types'!$A$5:$A$13,0)),1))</f>
        <v>0</v>
      </c>
      <c r="Q124" s="14"/>
      <c r="R124" s="14"/>
      <c r="S124" s="14"/>
      <c r="T124" s="14"/>
      <c r="U124" s="14"/>
      <c r="AG124"/>
      <c r="AH124"/>
      <c r="AI124"/>
      <c r="AJ124"/>
      <c r="AK124"/>
      <c r="AL124"/>
      <c r="AM124"/>
      <c r="AN124"/>
      <c r="AO124"/>
      <c r="AP124"/>
      <c r="AQ124"/>
      <c r="AR124"/>
    </row>
    <row r="125" spans="1:21" x14ac:dyDescent="0.3">
      <c r="A125" s="223"/>
      <c r="B125" s="224" t="str">
        <f>IF($A125="","",IFERROR(INDEX(Inputs!$B$6:$B$80,MATCH($A125,Inputs!$A$6:$A$80,0)),"not in register"))</f>
        <v/>
      </c>
      <c r="C125" s="223"/>
      <c r="D125" s="223"/>
      <c r="E125" s="225"/>
      <c r="F125" s="226"/>
      <c r="G125" s="227" t="str">
        <f>IF(OR($D125="",$F125=""),"",IFERROR(INDEX('Rules of Credit'!$C$5:$C$38,MATCH($D125&amp;"|"&amp;$F125,'Rules of Credit'!$F$5:$F$38,0)),"invalid step"))</f>
        <v/>
      </c>
      <c r="H125" s="228" t="str">
        <f>IF(OR($D125="",$F125=""),"",IFERROR(INDEX('Rules of Credit'!$D$5:$D$38,MATCH($D125&amp;"|"&amp;$F125,'Rules of Credit'!$F$5:$F$38,0)),""))</f>
        <v/>
      </c>
      <c r="I125" s="229" t="str">
        <f t="shared" si="11"/>
        <v/>
      </c>
      <c r="J125" s="242"/>
      <c r="K125" s="243"/>
      <c r="L125" s="243"/>
      <c r="M125" s="243"/>
      <c r="N125" s="244" t="str">
        <f t="shared" si="12"/>
        <v/>
      </c>
      <c r="O125" s="221"/>
      <c r="P125" s="233">
        <f>IF($D125="",0,IFERROR(INDEX('Project Types'!$E$5:$E$13,MATCH($D125,'Project Types'!$A$5:$A$13,0)),1))</f>
        <v>0</v>
      </c>
      <c r="Q125" s="14"/>
      <c r="R125" s="14"/>
      <c r="S125" s="14"/>
      <c r="T125" s="14"/>
      <c r="U125" s="14"/>
      <c r="AG125"/>
      <c r="AH125"/>
      <c r="AI125"/>
      <c r="AJ125"/>
      <c r="AK125"/>
      <c r="AL125"/>
      <c r="AM125"/>
      <c r="AN125"/>
      <c r="AO125"/>
      <c r="AP125"/>
      <c r="AQ125"/>
      <c r="AR125"/>
    </row>
    <row r="126" spans="1:21" x14ac:dyDescent="0.3">
      <c r="A126" s="223"/>
      <c r="B126" s="224" t="str">
        <f>IF($A126="","",IFERROR(INDEX(Inputs!$B$6:$B$80,MATCH($A126,Inputs!$A$6:$A$80,0)),"not in register"))</f>
        <v/>
      </c>
      <c r="C126" s="223"/>
      <c r="D126" s="223"/>
      <c r="E126" s="225"/>
      <c r="F126" s="226"/>
      <c r="G126" s="227" t="str">
        <f>IF(OR($D126="",$F126=""),"",IFERROR(INDEX('Rules of Credit'!$C$5:$C$38,MATCH($D126&amp;"|"&amp;$F126,'Rules of Credit'!$F$5:$F$38,0)),"invalid step"))</f>
        <v/>
      </c>
      <c r="H126" s="228" t="str">
        <f>IF(OR($D126="",$F126=""),"",IFERROR(INDEX('Rules of Credit'!$D$5:$D$38,MATCH($D126&amp;"|"&amp;$F126,'Rules of Credit'!$F$5:$F$38,0)),""))</f>
        <v/>
      </c>
      <c r="I126" s="229" t="str">
        <f t="shared" si="11"/>
        <v/>
      </c>
      <c r="J126" s="242"/>
      <c r="K126" s="243"/>
      <c r="L126" s="243"/>
      <c r="M126" s="243"/>
      <c r="N126" s="244" t="str">
        <f t="shared" si="12"/>
        <v/>
      </c>
      <c r="O126" s="221"/>
      <c r="P126" s="233">
        <f>IF($D126="",0,IFERROR(INDEX('Project Types'!$E$5:$E$13,MATCH($D126,'Project Types'!$A$5:$A$13,0)),1))</f>
        <v>0</v>
      </c>
      <c r="Q126" s="14"/>
      <c r="R126" s="14"/>
      <c r="S126" s="14"/>
      <c r="T126" s="14"/>
      <c r="U126" s="14"/>
      <c r="AG126"/>
      <c r="AH126"/>
      <c r="AI126"/>
      <c r="AJ126"/>
      <c r="AK126"/>
      <c r="AL126"/>
      <c r="AM126"/>
      <c r="AN126"/>
      <c r="AO126"/>
      <c r="AP126"/>
      <c r="AQ126"/>
      <c r="AR126"/>
    </row>
    <row r="127" spans="1:21" x14ac:dyDescent="0.3">
      <c r="A127" s="223"/>
      <c r="B127" s="224" t="str">
        <f>IF($A127="","",IFERROR(INDEX(Inputs!$B$6:$B$80,MATCH($A127,Inputs!$A$6:$A$80,0)),"not in register"))</f>
        <v/>
      </c>
      <c r="C127" s="223"/>
      <c r="D127" s="223"/>
      <c r="E127" s="225"/>
      <c r="F127" s="226"/>
      <c r="G127" s="227" t="str">
        <f>IF(OR($D127="",$F127=""),"",IFERROR(INDEX('Rules of Credit'!$C$5:$C$38,MATCH($D127&amp;"|"&amp;$F127,'Rules of Credit'!$F$5:$F$38,0)),"invalid step"))</f>
        <v/>
      </c>
      <c r="H127" s="228" t="str">
        <f>IF(OR($D127="",$F127=""),"",IFERROR(INDEX('Rules of Credit'!$D$5:$D$38,MATCH($D127&amp;"|"&amp;$F127,'Rules of Credit'!$F$5:$F$38,0)),""))</f>
        <v/>
      </c>
      <c r="I127" s="229" t="str">
        <f t="shared" si="11"/>
        <v/>
      </c>
      <c r="J127" s="242"/>
      <c r="K127" s="243"/>
      <c r="L127" s="243"/>
      <c r="M127" s="243"/>
      <c r="N127" s="244" t="str">
        <f t="shared" si="12"/>
        <v/>
      </c>
      <c r="O127" s="221"/>
      <c r="P127" s="233">
        <f>IF($D127="",0,IFERROR(INDEX('Project Types'!$E$5:$E$13,MATCH($D127,'Project Types'!$A$5:$A$13,0)),1))</f>
        <v>0</v>
      </c>
      <c r="Q127" s="14"/>
      <c r="R127" s="14"/>
      <c r="S127" s="14"/>
      <c r="T127" s="14"/>
      <c r="U127" s="14"/>
      <c r="AG127"/>
      <c r="AH127"/>
      <c r="AI127"/>
      <c r="AJ127"/>
      <c r="AK127"/>
      <c r="AL127"/>
      <c r="AM127"/>
      <c r="AN127"/>
      <c r="AO127"/>
      <c r="AP127"/>
      <c r="AQ127"/>
      <c r="AR127"/>
    </row>
    <row r="128" spans="1:21" x14ac:dyDescent="0.3">
      <c r="A128" s="223"/>
      <c r="B128" s="224" t="str">
        <f>IF($A128="","",IFERROR(INDEX(Inputs!$B$6:$B$80,MATCH($A128,Inputs!$A$6:$A$80,0)),"not in register"))</f>
        <v/>
      </c>
      <c r="C128" s="223"/>
      <c r="D128" s="223"/>
      <c r="E128" s="225"/>
      <c r="F128" s="226"/>
      <c r="G128" s="227" t="str">
        <f>IF(OR($D128="",$F128=""),"",IFERROR(INDEX('Rules of Credit'!$C$5:$C$38,MATCH($D128&amp;"|"&amp;$F128,'Rules of Credit'!$F$5:$F$38,0)),"invalid step"))</f>
        <v/>
      </c>
      <c r="H128" s="228" t="str">
        <f>IF(OR($D128="",$F128=""),"",IFERROR(INDEX('Rules of Credit'!$D$5:$D$38,MATCH($D128&amp;"|"&amp;$F128,'Rules of Credit'!$F$5:$F$38,0)),""))</f>
        <v/>
      </c>
      <c r="I128" s="229" t="str">
        <f t="shared" si="11"/>
        <v/>
      </c>
      <c r="J128" s="242"/>
      <c r="K128" s="243"/>
      <c r="L128" s="243"/>
      <c r="M128" s="243"/>
      <c r="N128" s="244" t="str">
        <f t="shared" si="12"/>
        <v/>
      </c>
      <c r="O128" s="221"/>
      <c r="P128" s="233">
        <f>IF($D128="",0,IFERROR(INDEX('Project Types'!$E$5:$E$13,MATCH($D128,'Project Types'!$A$5:$A$13,0)),1))</f>
        <v>0</v>
      </c>
      <c r="Q128" s="14"/>
      <c r="R128" s="14"/>
      <c r="S128" s="14"/>
      <c r="T128" s="14"/>
      <c r="U128" s="14"/>
      <c r="AG128"/>
      <c r="AH128"/>
      <c r="AI128"/>
      <c r="AJ128"/>
      <c r="AK128"/>
      <c r="AL128"/>
      <c r="AM128"/>
      <c r="AN128"/>
      <c r="AO128"/>
      <c r="AP128"/>
      <c r="AQ128"/>
      <c r="AR128"/>
    </row>
    <row r="129" spans="1:21" x14ac:dyDescent="0.3">
      <c r="A129" s="223"/>
      <c r="B129" s="224" t="str">
        <f>IF($A129="","",IFERROR(INDEX(Inputs!$B$6:$B$80,MATCH($A129,Inputs!$A$6:$A$80,0)),"not in register"))</f>
        <v/>
      </c>
      <c r="C129" s="223"/>
      <c r="D129" s="223"/>
      <c r="E129" s="225"/>
      <c r="F129" s="226"/>
      <c r="G129" s="227" t="str">
        <f>IF(OR($D129="",$F129=""),"",IFERROR(INDEX('Rules of Credit'!$C$5:$C$38,MATCH($D129&amp;"|"&amp;$F129,'Rules of Credit'!$F$5:$F$38,0)),"invalid step"))</f>
        <v/>
      </c>
      <c r="H129" s="228" t="str">
        <f>IF(OR($D129="",$F129=""),"",IFERROR(INDEX('Rules of Credit'!$D$5:$D$38,MATCH($D129&amp;"|"&amp;$F129,'Rules of Credit'!$F$5:$F$38,0)),""))</f>
        <v/>
      </c>
      <c r="I129" s="229" t="str">
        <f t="shared" si="11"/>
        <v/>
      </c>
      <c r="J129" s="242"/>
      <c r="K129" s="243"/>
      <c r="L129" s="243"/>
      <c r="M129" s="243"/>
      <c r="N129" s="244" t="str">
        <f t="shared" si="12"/>
        <v/>
      </c>
      <c r="O129" s="221"/>
      <c r="P129" s="233">
        <f>IF($D129="",0,IFERROR(INDEX('Project Types'!$E$5:$E$13,MATCH($D129,'Project Types'!$A$5:$A$13,0)),1))</f>
        <v>0</v>
      </c>
      <c r="Q129" s="14"/>
      <c r="R129" s="14"/>
      <c r="S129" s="14"/>
      <c r="T129" s="14"/>
      <c r="U129" s="14"/>
      <c r="AG129"/>
      <c r="AH129"/>
      <c r="AI129"/>
      <c r="AJ129"/>
      <c r="AK129"/>
      <c r="AL129"/>
      <c r="AM129"/>
      <c r="AN129"/>
      <c r="AO129"/>
      <c r="AP129"/>
      <c r="AQ129"/>
      <c r="AR129"/>
    </row>
    <row r="130" spans="1:21" x14ac:dyDescent="0.3">
      <c r="A130" s="223"/>
      <c r="B130" s="224" t="str">
        <f>IF($A130="","",IFERROR(INDEX(Inputs!$B$6:$B$80,MATCH($A130,Inputs!$A$6:$A$80,0)),"not in register"))</f>
        <v/>
      </c>
      <c r="C130" s="223"/>
      <c r="D130" s="223"/>
      <c r="E130" s="225"/>
      <c r="F130" s="226"/>
      <c r="G130" s="227" t="str">
        <f>IF(OR($D130="",$F130=""),"",IFERROR(INDEX('Rules of Credit'!$C$5:$C$38,MATCH($D130&amp;"|"&amp;$F130,'Rules of Credit'!$F$5:$F$38,0)),"invalid step"))</f>
        <v/>
      </c>
      <c r="H130" s="228" t="str">
        <f>IF(OR($D130="",$F130=""),"",IFERROR(INDEX('Rules of Credit'!$D$5:$D$38,MATCH($D130&amp;"|"&amp;$F130,'Rules of Credit'!$F$5:$F$38,0)),""))</f>
        <v/>
      </c>
      <c r="I130" s="229" t="str">
        <f t="shared" si="11"/>
        <v/>
      </c>
      <c r="J130" s="242"/>
      <c r="K130" s="243"/>
      <c r="L130" s="243"/>
      <c r="M130" s="243"/>
      <c r="N130" s="244" t="str">
        <f t="shared" si="12"/>
        <v/>
      </c>
      <c r="O130" s="221"/>
      <c r="P130" s="233">
        <f>IF($D130="",0,IFERROR(INDEX('Project Types'!$E$5:$E$13,MATCH($D130,'Project Types'!$A$5:$A$13,0)),1))</f>
        <v>0</v>
      </c>
      <c r="Q130" s="14"/>
      <c r="R130" s="14"/>
      <c r="S130" s="14"/>
      <c r="T130" s="14"/>
      <c r="U130" s="14"/>
      <c r="AG130"/>
      <c r="AH130"/>
      <c r="AI130"/>
      <c r="AJ130"/>
      <c r="AK130"/>
      <c r="AL130"/>
      <c r="AM130"/>
      <c r="AN130"/>
      <c r="AO130"/>
      <c r="AP130"/>
      <c r="AQ130"/>
      <c r="AR130"/>
    </row>
    <row r="131" spans="1:21" x14ac:dyDescent="0.3">
      <c r="A131" s="223"/>
      <c r="B131" s="224" t="str">
        <f>IF($A131="","",IFERROR(INDEX(Inputs!$B$6:$B$80,MATCH($A131,Inputs!$A$6:$A$80,0)),"not in register"))</f>
        <v/>
      </c>
      <c r="C131" s="223"/>
      <c r="D131" s="223"/>
      <c r="E131" s="225"/>
      <c r="F131" s="226"/>
      <c r="G131" s="227" t="str">
        <f>IF(OR($D131="",$F131=""),"",IFERROR(INDEX('Rules of Credit'!$C$5:$C$38,MATCH($D131&amp;"|"&amp;$F131,'Rules of Credit'!$F$5:$F$38,0)),"invalid step"))</f>
        <v/>
      </c>
      <c r="H131" s="228" t="str">
        <f>IF(OR($D131="",$F131=""),"",IFERROR(INDEX('Rules of Credit'!$D$5:$D$38,MATCH($D131&amp;"|"&amp;$F131,'Rules of Credit'!$F$5:$F$38,0)),""))</f>
        <v/>
      </c>
      <c r="I131" s="229" t="str">
        <f t="shared" si="11"/>
        <v/>
      </c>
      <c r="J131" s="242"/>
      <c r="K131" s="243"/>
      <c r="L131" s="243"/>
      <c r="M131" s="243"/>
      <c r="N131" s="244" t="str">
        <f t="shared" si="12"/>
        <v/>
      </c>
      <c r="O131" s="221"/>
      <c r="P131" s="233">
        <f>IF($D131="",0,IFERROR(INDEX('Project Types'!$E$5:$E$13,MATCH($D131,'Project Types'!$A$5:$A$13,0)),1))</f>
        <v>0</v>
      </c>
      <c r="Q131" s="14"/>
      <c r="R131" s="14"/>
      <c r="S131" s="14"/>
      <c r="T131" s="14"/>
      <c r="U131" s="14"/>
      <c r="AG131"/>
      <c r="AH131"/>
      <c r="AI131"/>
      <c r="AJ131"/>
      <c r="AK131"/>
      <c r="AL131"/>
      <c r="AM131"/>
      <c r="AN131"/>
      <c r="AO131"/>
      <c r="AP131"/>
      <c r="AQ131"/>
      <c r="AR131"/>
    </row>
    <row r="132" spans="1:21" x14ac:dyDescent="0.3">
      <c r="A132" s="223"/>
      <c r="B132" s="224" t="str">
        <f>IF($A132="","",IFERROR(INDEX(Inputs!$B$6:$B$80,MATCH($A132,Inputs!$A$6:$A$80,0)),"not in register"))</f>
        <v/>
      </c>
      <c r="C132" s="223"/>
      <c r="D132" s="223"/>
      <c r="E132" s="225"/>
      <c r="F132" s="226"/>
      <c r="G132" s="227" t="str">
        <f>IF(OR($D132="",$F132=""),"",IFERROR(INDEX('Rules of Credit'!$C$5:$C$38,MATCH($D132&amp;"|"&amp;$F132,'Rules of Credit'!$F$5:$F$38,0)),"invalid step"))</f>
        <v/>
      </c>
      <c r="H132" s="228" t="str">
        <f>IF(OR($D132="",$F132=""),"",IFERROR(INDEX('Rules of Credit'!$D$5:$D$38,MATCH($D132&amp;"|"&amp;$F132,'Rules of Credit'!$F$5:$F$38,0)),""))</f>
        <v/>
      </c>
      <c r="I132" s="229" t="str">
        <f t="shared" si="11"/>
        <v/>
      </c>
      <c r="J132" s="242"/>
      <c r="K132" s="243"/>
      <c r="L132" s="243"/>
      <c r="M132" s="243"/>
      <c r="N132" s="244" t="str">
        <f t="shared" si="12"/>
        <v/>
      </c>
      <c r="O132" s="221"/>
      <c r="P132" s="233">
        <f>IF($D132="",0,IFERROR(INDEX('Project Types'!$E$5:$E$13,MATCH($D132,'Project Types'!$A$5:$A$13,0)),1))</f>
        <v>0</v>
      </c>
      <c r="Q132" s="14"/>
      <c r="R132" s="14"/>
      <c r="S132" s="14"/>
      <c r="T132" s="14"/>
      <c r="U132" s="14"/>
      <c r="AG132"/>
      <c r="AH132"/>
      <c r="AI132"/>
      <c r="AJ132"/>
      <c r="AK132"/>
      <c r="AL132"/>
      <c r="AM132"/>
      <c r="AN132"/>
      <c r="AO132"/>
      <c r="AP132"/>
      <c r="AQ132"/>
      <c r="AR132"/>
    </row>
    <row r="133" spans="1:21" x14ac:dyDescent="0.3">
      <c r="A133" s="223"/>
      <c r="B133" s="224" t="str">
        <f>IF($A133="","",IFERROR(INDEX(Inputs!$B$6:$B$80,MATCH($A133,Inputs!$A$6:$A$80,0)),"not in register"))</f>
        <v/>
      </c>
      <c r="C133" s="223"/>
      <c r="D133" s="223"/>
      <c r="E133" s="225"/>
      <c r="F133" s="226"/>
      <c r="G133" s="227" t="str">
        <f>IF(OR($D133="",$F133=""),"",IFERROR(INDEX('Rules of Credit'!$C$5:$C$38,MATCH($D133&amp;"|"&amp;$F133,'Rules of Credit'!$F$5:$F$38,0)),"invalid step"))</f>
        <v/>
      </c>
      <c r="H133" s="228" t="str">
        <f>IF(OR($D133="",$F133=""),"",IFERROR(INDEX('Rules of Credit'!$D$5:$D$38,MATCH($D133&amp;"|"&amp;$F133,'Rules of Credit'!$F$5:$F$38,0)),""))</f>
        <v/>
      </c>
      <c r="I133" s="229" t="str">
        <f t="shared" si="11"/>
        <v/>
      </c>
      <c r="J133" s="242"/>
      <c r="K133" s="243"/>
      <c r="L133" s="243"/>
      <c r="M133" s="243"/>
      <c r="N133" s="244" t="str">
        <f t="shared" si="12"/>
        <v/>
      </c>
      <c r="O133" s="221"/>
      <c r="P133" s="233">
        <f>IF($D133="",0,IFERROR(INDEX('Project Types'!$E$5:$E$13,MATCH($D133,'Project Types'!$A$5:$A$13,0)),1))</f>
        <v>0</v>
      </c>
      <c r="Q133" s="14"/>
      <c r="R133" s="14"/>
      <c r="S133" s="14"/>
      <c r="T133" s="14"/>
      <c r="U133" s="14"/>
      <c r="AG133"/>
      <c r="AH133"/>
      <c r="AI133"/>
      <c r="AJ133"/>
      <c r="AK133"/>
      <c r="AL133"/>
      <c r="AM133"/>
      <c r="AN133"/>
      <c r="AO133"/>
      <c r="AP133"/>
      <c r="AQ133"/>
      <c r="AR133"/>
    </row>
    <row r="134" spans="1:21" x14ac:dyDescent="0.3">
      <c r="A134" s="223"/>
      <c r="B134" s="224" t="str">
        <f>IF($A134="","",IFERROR(INDEX(Inputs!$B$6:$B$80,MATCH($A134,Inputs!$A$6:$A$80,0)),"not in register"))</f>
        <v/>
      </c>
      <c r="C134" s="223"/>
      <c r="D134" s="223"/>
      <c r="E134" s="225"/>
      <c r="F134" s="226"/>
      <c r="G134" s="227" t="str">
        <f>IF(OR($D134="",$F134=""),"",IFERROR(INDEX('Rules of Credit'!$C$5:$C$38,MATCH($D134&amp;"|"&amp;$F134,'Rules of Credit'!$F$5:$F$38,0)),"invalid step"))</f>
        <v/>
      </c>
      <c r="H134" s="228" t="str">
        <f>IF(OR($D134="",$F134=""),"",IFERROR(INDEX('Rules of Credit'!$D$5:$D$38,MATCH($D134&amp;"|"&amp;$F134,'Rules of Credit'!$F$5:$F$38,0)),""))</f>
        <v/>
      </c>
      <c r="I134" s="229" t="str">
        <f t="shared" ref="I134:I197" si="15">IF(OR($E134="",$H134=""),"",$E134*$H134)</f>
        <v/>
      </c>
      <c r="J134" s="242"/>
      <c r="K134" s="243"/>
      <c r="L134" s="243"/>
      <c r="M134" s="243"/>
      <c r="N134" s="244" t="str">
        <f t="shared" ref="N134:N197" si="16">IF($A134="","",IF(SUM($K134:$M134)=0,"no split",IF(ROUND(SUM($K134:$M134),4)=1,"OK","not 100%")))</f>
        <v/>
      </c>
      <c r="O134" s="221"/>
      <c r="P134" s="233">
        <f>IF($D134="",0,IFERROR(INDEX('Project Types'!$E$5:$E$13,MATCH($D134,'Project Types'!$A$5:$A$13,0)),1))</f>
        <v>0</v>
      </c>
      <c r="Q134" s="14"/>
      <c r="R134" s="14"/>
      <c r="S134" s="14"/>
      <c r="T134" s="14"/>
      <c r="U134" s="14"/>
      <c r="AG134"/>
      <c r="AH134"/>
      <c r="AI134"/>
      <c r="AJ134"/>
      <c r="AK134"/>
      <c r="AL134"/>
      <c r="AM134"/>
      <c r="AN134"/>
      <c r="AO134"/>
      <c r="AP134"/>
      <c r="AQ134"/>
      <c r="AR134"/>
    </row>
    <row r="135" spans="1:21" x14ac:dyDescent="0.3">
      <c r="A135" s="223"/>
      <c r="B135" s="224" t="str">
        <f>IF($A135="","",IFERROR(INDEX(Inputs!$B$6:$B$80,MATCH($A135,Inputs!$A$6:$A$80,0)),"not in register"))</f>
        <v/>
      </c>
      <c r="C135" s="223"/>
      <c r="D135" s="223"/>
      <c r="E135" s="225"/>
      <c r="F135" s="226"/>
      <c r="G135" s="227" t="str">
        <f>IF(OR($D135="",$F135=""),"",IFERROR(INDEX('Rules of Credit'!$C$5:$C$38,MATCH($D135&amp;"|"&amp;$F135,'Rules of Credit'!$F$5:$F$38,0)),"invalid step"))</f>
        <v/>
      </c>
      <c r="H135" s="228" t="str">
        <f>IF(OR($D135="",$F135=""),"",IFERROR(INDEX('Rules of Credit'!$D$5:$D$38,MATCH($D135&amp;"|"&amp;$F135,'Rules of Credit'!$F$5:$F$38,0)),""))</f>
        <v/>
      </c>
      <c r="I135" s="229" t="str">
        <f t="shared" si="15"/>
        <v/>
      </c>
      <c r="J135" s="242"/>
      <c r="K135" s="243"/>
      <c r="L135" s="243"/>
      <c r="M135" s="243"/>
      <c r="N135" s="244" t="str">
        <f t="shared" si="16"/>
        <v/>
      </c>
      <c r="O135" s="221"/>
      <c r="P135" s="233">
        <f>IF($D135="",0,IFERROR(INDEX('Project Types'!$E$5:$E$13,MATCH($D135,'Project Types'!$A$5:$A$13,0)),1))</f>
        <v>0</v>
      </c>
      <c r="Q135" s="14"/>
      <c r="R135" s="14"/>
      <c r="S135" s="14"/>
      <c r="T135" s="14"/>
      <c r="U135" s="14"/>
      <c r="AG135"/>
      <c r="AH135"/>
      <c r="AI135"/>
      <c r="AJ135"/>
      <c r="AK135"/>
      <c r="AL135"/>
      <c r="AM135"/>
      <c r="AN135"/>
      <c r="AO135"/>
      <c r="AP135"/>
      <c r="AQ135"/>
      <c r="AR135"/>
    </row>
    <row r="136" spans="1:21" x14ac:dyDescent="0.3">
      <c r="A136" s="223"/>
      <c r="B136" s="224" t="str">
        <f>IF($A136="","",IFERROR(INDEX(Inputs!$B$6:$B$80,MATCH($A136,Inputs!$A$6:$A$80,0)),"not in register"))</f>
        <v/>
      </c>
      <c r="C136" s="223"/>
      <c r="D136" s="223"/>
      <c r="E136" s="225"/>
      <c r="F136" s="226"/>
      <c r="G136" s="227" t="str">
        <f>IF(OR($D136="",$F136=""),"",IFERROR(INDEX('Rules of Credit'!$C$5:$C$38,MATCH($D136&amp;"|"&amp;$F136,'Rules of Credit'!$F$5:$F$38,0)),"invalid step"))</f>
        <v/>
      </c>
      <c r="H136" s="228" t="str">
        <f>IF(OR($D136="",$F136=""),"",IFERROR(INDEX('Rules of Credit'!$D$5:$D$38,MATCH($D136&amp;"|"&amp;$F136,'Rules of Credit'!$F$5:$F$38,0)),""))</f>
        <v/>
      </c>
      <c r="I136" s="229" t="str">
        <f t="shared" si="15"/>
        <v/>
      </c>
      <c r="J136" s="242"/>
      <c r="K136" s="243"/>
      <c r="L136" s="243"/>
      <c r="M136" s="243"/>
      <c r="N136" s="244" t="str">
        <f t="shared" si="16"/>
        <v/>
      </c>
      <c r="O136" s="221"/>
      <c r="P136" s="233">
        <f>IF($D136="",0,IFERROR(INDEX('Project Types'!$E$5:$E$13,MATCH($D136,'Project Types'!$A$5:$A$13,0)),1))</f>
        <v>0</v>
      </c>
      <c r="Q136" s="14"/>
      <c r="R136" s="14"/>
      <c r="S136" s="14"/>
      <c r="T136" s="14"/>
      <c r="U136" s="14"/>
      <c r="AG136"/>
      <c r="AH136"/>
      <c r="AI136"/>
      <c r="AJ136"/>
      <c r="AK136"/>
      <c r="AL136"/>
      <c r="AM136"/>
      <c r="AN136"/>
      <c r="AO136"/>
      <c r="AP136"/>
      <c r="AQ136"/>
      <c r="AR136"/>
    </row>
    <row r="137" spans="1:21" x14ac:dyDescent="0.3">
      <c r="A137" s="223"/>
      <c r="B137" s="224" t="str">
        <f>IF($A137="","",IFERROR(INDEX(Inputs!$B$6:$B$80,MATCH($A137,Inputs!$A$6:$A$80,0)),"not in register"))</f>
        <v/>
      </c>
      <c r="C137" s="223"/>
      <c r="D137" s="223"/>
      <c r="E137" s="225"/>
      <c r="F137" s="226"/>
      <c r="G137" s="227" t="str">
        <f>IF(OR($D137="",$F137=""),"",IFERROR(INDEX('Rules of Credit'!$C$5:$C$38,MATCH($D137&amp;"|"&amp;$F137,'Rules of Credit'!$F$5:$F$38,0)),"invalid step"))</f>
        <v/>
      </c>
      <c r="H137" s="228" t="str">
        <f>IF(OR($D137="",$F137=""),"",IFERROR(INDEX('Rules of Credit'!$D$5:$D$38,MATCH($D137&amp;"|"&amp;$F137,'Rules of Credit'!$F$5:$F$38,0)),""))</f>
        <v/>
      </c>
      <c r="I137" s="229" t="str">
        <f t="shared" si="15"/>
        <v/>
      </c>
      <c r="J137" s="242"/>
      <c r="K137" s="243"/>
      <c r="L137" s="243"/>
      <c r="M137" s="243"/>
      <c r="N137" s="244" t="str">
        <f t="shared" si="16"/>
        <v/>
      </c>
      <c r="O137" s="221"/>
      <c r="P137" s="233">
        <f>IF($D137="",0,IFERROR(INDEX('Project Types'!$E$5:$E$13,MATCH($D137,'Project Types'!$A$5:$A$13,0)),1))</f>
        <v>0</v>
      </c>
      <c r="Q137" s="14"/>
      <c r="R137" s="14"/>
      <c r="S137" s="14"/>
      <c r="T137" s="14"/>
      <c r="U137" s="14"/>
      <c r="AG137"/>
      <c r="AH137"/>
      <c r="AI137"/>
      <c r="AJ137"/>
      <c r="AK137"/>
      <c r="AL137"/>
      <c r="AM137"/>
      <c r="AN137"/>
      <c r="AO137"/>
      <c r="AP137"/>
      <c r="AQ137"/>
      <c r="AR137"/>
    </row>
    <row r="138" spans="1:21" x14ac:dyDescent="0.3">
      <c r="A138" s="223"/>
      <c r="B138" s="224" t="str">
        <f>IF($A138="","",IFERROR(INDEX(Inputs!$B$6:$B$80,MATCH($A138,Inputs!$A$6:$A$80,0)),"not in register"))</f>
        <v/>
      </c>
      <c r="C138" s="223"/>
      <c r="D138" s="223"/>
      <c r="E138" s="225"/>
      <c r="F138" s="226"/>
      <c r="G138" s="227" t="str">
        <f>IF(OR($D138="",$F138=""),"",IFERROR(INDEX('Rules of Credit'!$C$5:$C$38,MATCH($D138&amp;"|"&amp;$F138,'Rules of Credit'!$F$5:$F$38,0)),"invalid step"))</f>
        <v/>
      </c>
      <c r="H138" s="228" t="str">
        <f>IF(OR($D138="",$F138=""),"",IFERROR(INDEX('Rules of Credit'!$D$5:$D$38,MATCH($D138&amp;"|"&amp;$F138,'Rules of Credit'!$F$5:$F$38,0)),""))</f>
        <v/>
      </c>
      <c r="I138" s="229" t="str">
        <f t="shared" si="15"/>
        <v/>
      </c>
      <c r="J138" s="242"/>
      <c r="K138" s="243"/>
      <c r="L138" s="243"/>
      <c r="M138" s="243"/>
      <c r="N138" s="244" t="str">
        <f t="shared" si="16"/>
        <v/>
      </c>
      <c r="O138" s="221"/>
      <c r="P138" s="233">
        <f>IF($D138="",0,IFERROR(INDEX('Project Types'!$E$5:$E$13,MATCH($D138,'Project Types'!$A$5:$A$13,0)),1))</f>
        <v>0</v>
      </c>
      <c r="Q138" s="14"/>
      <c r="R138" s="14"/>
      <c r="S138" s="14"/>
      <c r="T138" s="14"/>
      <c r="U138" s="14"/>
      <c r="AG138"/>
      <c r="AH138"/>
      <c r="AI138"/>
      <c r="AJ138"/>
      <c r="AK138"/>
      <c r="AL138"/>
      <c r="AM138"/>
      <c r="AN138"/>
      <c r="AO138"/>
      <c r="AP138"/>
      <c r="AQ138"/>
      <c r="AR138"/>
    </row>
    <row r="139" spans="1:21" x14ac:dyDescent="0.3">
      <c r="A139" s="223"/>
      <c r="B139" s="224" t="str">
        <f>IF($A139="","",IFERROR(INDEX(Inputs!$B$6:$B$80,MATCH($A139,Inputs!$A$6:$A$80,0)),"not in register"))</f>
        <v/>
      </c>
      <c r="C139" s="223"/>
      <c r="D139" s="223"/>
      <c r="E139" s="225"/>
      <c r="F139" s="226"/>
      <c r="G139" s="227" t="str">
        <f>IF(OR($D139="",$F139=""),"",IFERROR(INDEX('Rules of Credit'!$C$5:$C$38,MATCH($D139&amp;"|"&amp;$F139,'Rules of Credit'!$F$5:$F$38,0)),"invalid step"))</f>
        <v/>
      </c>
      <c r="H139" s="228" t="str">
        <f>IF(OR($D139="",$F139=""),"",IFERROR(INDEX('Rules of Credit'!$D$5:$D$38,MATCH($D139&amp;"|"&amp;$F139,'Rules of Credit'!$F$5:$F$38,0)),""))</f>
        <v/>
      </c>
      <c r="I139" s="229" t="str">
        <f t="shared" si="15"/>
        <v/>
      </c>
      <c r="J139" s="242"/>
      <c r="K139" s="243"/>
      <c r="L139" s="243"/>
      <c r="M139" s="243"/>
      <c r="N139" s="244" t="str">
        <f t="shared" si="16"/>
        <v/>
      </c>
      <c r="O139" s="221"/>
      <c r="P139" s="233">
        <f>IF($D139="",0,IFERROR(INDEX('Project Types'!$E$5:$E$13,MATCH($D139,'Project Types'!$A$5:$A$13,0)),1))</f>
        <v>0</v>
      </c>
      <c r="Q139" s="14"/>
      <c r="R139" s="14"/>
      <c r="S139" s="14"/>
      <c r="T139" s="14"/>
      <c r="U139" s="14"/>
      <c r="AG139"/>
      <c r="AH139"/>
      <c r="AI139"/>
      <c r="AJ139"/>
      <c r="AK139"/>
      <c r="AL139"/>
      <c r="AM139"/>
      <c r="AN139"/>
      <c r="AO139"/>
      <c r="AP139"/>
      <c r="AQ139"/>
      <c r="AR139"/>
    </row>
    <row r="140" spans="1:21" x14ac:dyDescent="0.3">
      <c r="A140" s="223"/>
      <c r="B140" s="224" t="str">
        <f>IF($A140="","",IFERROR(INDEX(Inputs!$B$6:$B$80,MATCH($A140,Inputs!$A$6:$A$80,0)),"not in register"))</f>
        <v/>
      </c>
      <c r="C140" s="223"/>
      <c r="D140" s="223"/>
      <c r="E140" s="225"/>
      <c r="F140" s="226"/>
      <c r="G140" s="227" t="str">
        <f>IF(OR($D140="",$F140=""),"",IFERROR(INDEX('Rules of Credit'!$C$5:$C$38,MATCH($D140&amp;"|"&amp;$F140,'Rules of Credit'!$F$5:$F$38,0)),"invalid step"))</f>
        <v/>
      </c>
      <c r="H140" s="228" t="str">
        <f>IF(OR($D140="",$F140=""),"",IFERROR(INDEX('Rules of Credit'!$D$5:$D$38,MATCH($D140&amp;"|"&amp;$F140,'Rules of Credit'!$F$5:$F$38,0)),""))</f>
        <v/>
      </c>
      <c r="I140" s="229" t="str">
        <f t="shared" si="15"/>
        <v/>
      </c>
      <c r="J140" s="242"/>
      <c r="K140" s="243"/>
      <c r="L140" s="243"/>
      <c r="M140" s="243"/>
      <c r="N140" s="244" t="str">
        <f t="shared" si="16"/>
        <v/>
      </c>
      <c r="O140" s="221"/>
      <c r="P140" s="233">
        <f>IF($D140="",0,IFERROR(INDEX('Project Types'!$E$5:$E$13,MATCH($D140,'Project Types'!$A$5:$A$13,0)),1))</f>
        <v>0</v>
      </c>
      <c r="Q140" s="14"/>
      <c r="R140" s="14"/>
      <c r="S140" s="14"/>
      <c r="T140" s="14"/>
      <c r="U140" s="14"/>
      <c r="AG140"/>
      <c r="AH140"/>
      <c r="AI140"/>
      <c r="AJ140"/>
      <c r="AK140"/>
      <c r="AL140"/>
      <c r="AM140"/>
      <c r="AN140"/>
      <c r="AO140"/>
      <c r="AP140"/>
      <c r="AQ140"/>
      <c r="AR140"/>
    </row>
    <row r="141" spans="1:21" x14ac:dyDescent="0.3">
      <c r="A141" s="223"/>
      <c r="B141" s="224" t="str">
        <f>IF($A141="","",IFERROR(INDEX(Inputs!$B$6:$B$80,MATCH($A141,Inputs!$A$6:$A$80,0)),"not in register"))</f>
        <v/>
      </c>
      <c r="C141" s="223"/>
      <c r="D141" s="223"/>
      <c r="E141" s="225"/>
      <c r="F141" s="226"/>
      <c r="G141" s="227" t="str">
        <f>IF(OR($D141="",$F141=""),"",IFERROR(INDEX('Rules of Credit'!$C$5:$C$38,MATCH($D141&amp;"|"&amp;$F141,'Rules of Credit'!$F$5:$F$38,0)),"invalid step"))</f>
        <v/>
      </c>
      <c r="H141" s="228" t="str">
        <f>IF(OR($D141="",$F141=""),"",IFERROR(INDEX('Rules of Credit'!$D$5:$D$38,MATCH($D141&amp;"|"&amp;$F141,'Rules of Credit'!$F$5:$F$38,0)),""))</f>
        <v/>
      </c>
      <c r="I141" s="229" t="str">
        <f t="shared" si="15"/>
        <v/>
      </c>
      <c r="J141" s="242"/>
      <c r="K141" s="243"/>
      <c r="L141" s="243"/>
      <c r="M141" s="243"/>
      <c r="N141" s="244" t="str">
        <f t="shared" si="16"/>
        <v/>
      </c>
      <c r="O141" s="221"/>
      <c r="P141" s="233">
        <f>IF($D141="",0,IFERROR(INDEX('Project Types'!$E$5:$E$13,MATCH($D141,'Project Types'!$A$5:$A$13,0)),1))</f>
        <v>0</v>
      </c>
      <c r="Q141" s="14"/>
      <c r="R141" s="14"/>
      <c r="S141" s="14"/>
      <c r="T141" s="14"/>
      <c r="U141" s="14"/>
      <c r="AG141"/>
      <c r="AH141"/>
      <c r="AI141"/>
      <c r="AJ141"/>
      <c r="AK141"/>
      <c r="AL141"/>
      <c r="AM141"/>
      <c r="AN141"/>
      <c r="AO141"/>
      <c r="AP141"/>
      <c r="AQ141"/>
      <c r="AR141"/>
    </row>
    <row r="142" spans="1:21" x14ac:dyDescent="0.3">
      <c r="A142" s="223"/>
      <c r="B142" s="224" t="str">
        <f>IF($A142="","",IFERROR(INDEX(Inputs!$B$6:$B$80,MATCH($A142,Inputs!$A$6:$A$80,0)),"not in register"))</f>
        <v/>
      </c>
      <c r="C142" s="223"/>
      <c r="D142" s="223"/>
      <c r="E142" s="225"/>
      <c r="F142" s="226"/>
      <c r="G142" s="227" t="str">
        <f>IF(OR($D142="",$F142=""),"",IFERROR(INDEX('Rules of Credit'!$C$5:$C$38,MATCH($D142&amp;"|"&amp;$F142,'Rules of Credit'!$F$5:$F$38,0)),"invalid step"))</f>
        <v/>
      </c>
      <c r="H142" s="228" t="str">
        <f>IF(OR($D142="",$F142=""),"",IFERROR(INDEX('Rules of Credit'!$D$5:$D$38,MATCH($D142&amp;"|"&amp;$F142,'Rules of Credit'!$F$5:$F$38,0)),""))</f>
        <v/>
      </c>
      <c r="I142" s="229" t="str">
        <f t="shared" si="15"/>
        <v/>
      </c>
      <c r="J142" s="242"/>
      <c r="K142" s="243"/>
      <c r="L142" s="243"/>
      <c r="M142" s="243"/>
      <c r="N142" s="244" t="str">
        <f t="shared" si="16"/>
        <v/>
      </c>
      <c r="O142" s="221"/>
      <c r="P142" s="233">
        <f>IF($D142="",0,IFERROR(INDEX('Project Types'!$E$5:$E$13,MATCH($D142,'Project Types'!$A$5:$A$13,0)),1))</f>
        <v>0</v>
      </c>
      <c r="Q142" s="14"/>
      <c r="R142" s="14"/>
      <c r="S142" s="14"/>
      <c r="T142" s="14"/>
      <c r="U142" s="14"/>
      <c r="AG142"/>
      <c r="AH142"/>
      <c r="AI142"/>
      <c r="AJ142"/>
      <c r="AK142"/>
      <c r="AL142"/>
      <c r="AM142"/>
      <c r="AN142"/>
      <c r="AO142"/>
      <c r="AP142"/>
      <c r="AQ142"/>
      <c r="AR142"/>
    </row>
    <row r="143" spans="1:21" x14ac:dyDescent="0.3">
      <c r="A143" s="223"/>
      <c r="B143" s="224" t="str">
        <f>IF($A143="","",IFERROR(INDEX(Inputs!$B$6:$B$80,MATCH($A143,Inputs!$A$6:$A$80,0)),"not in register"))</f>
        <v/>
      </c>
      <c r="C143" s="223"/>
      <c r="D143" s="223"/>
      <c r="E143" s="225"/>
      <c r="F143" s="226"/>
      <c r="G143" s="227" t="str">
        <f>IF(OR($D143="",$F143=""),"",IFERROR(INDEX('Rules of Credit'!$C$5:$C$38,MATCH($D143&amp;"|"&amp;$F143,'Rules of Credit'!$F$5:$F$38,0)),"invalid step"))</f>
        <v/>
      </c>
      <c r="H143" s="228" t="str">
        <f>IF(OR($D143="",$F143=""),"",IFERROR(INDEX('Rules of Credit'!$D$5:$D$38,MATCH($D143&amp;"|"&amp;$F143,'Rules of Credit'!$F$5:$F$38,0)),""))</f>
        <v/>
      </c>
      <c r="I143" s="229" t="str">
        <f t="shared" si="15"/>
        <v/>
      </c>
      <c r="J143" s="242"/>
      <c r="K143" s="243"/>
      <c r="L143" s="243"/>
      <c r="M143" s="243"/>
      <c r="N143" s="244" t="str">
        <f t="shared" si="16"/>
        <v/>
      </c>
      <c r="O143" s="221"/>
      <c r="P143" s="233">
        <f>IF($D143="",0,IFERROR(INDEX('Project Types'!$E$5:$E$13,MATCH($D143,'Project Types'!$A$5:$A$13,0)),1))</f>
        <v>0</v>
      </c>
      <c r="Q143" s="14"/>
      <c r="R143" s="14"/>
      <c r="S143" s="14"/>
      <c r="T143" s="14"/>
      <c r="U143" s="14"/>
      <c r="AG143"/>
      <c r="AH143"/>
      <c r="AI143"/>
      <c r="AJ143"/>
      <c r="AK143"/>
      <c r="AL143"/>
      <c r="AM143"/>
      <c r="AN143"/>
      <c r="AO143"/>
      <c r="AP143"/>
      <c r="AQ143"/>
      <c r="AR143"/>
    </row>
    <row r="144" spans="1:21" x14ac:dyDescent="0.3">
      <c r="A144" s="223"/>
      <c r="B144" s="224" t="str">
        <f>IF($A144="","",IFERROR(INDEX(Inputs!$B$6:$B$80,MATCH($A144,Inputs!$A$6:$A$80,0)),"not in register"))</f>
        <v/>
      </c>
      <c r="C144" s="223"/>
      <c r="D144" s="223"/>
      <c r="E144" s="225"/>
      <c r="F144" s="226"/>
      <c r="G144" s="227" t="str">
        <f>IF(OR($D144="",$F144=""),"",IFERROR(INDEX('Rules of Credit'!$C$5:$C$38,MATCH($D144&amp;"|"&amp;$F144,'Rules of Credit'!$F$5:$F$38,0)),"invalid step"))</f>
        <v/>
      </c>
      <c r="H144" s="228" t="str">
        <f>IF(OR($D144="",$F144=""),"",IFERROR(INDEX('Rules of Credit'!$D$5:$D$38,MATCH($D144&amp;"|"&amp;$F144,'Rules of Credit'!$F$5:$F$38,0)),""))</f>
        <v/>
      </c>
      <c r="I144" s="229" t="str">
        <f t="shared" si="15"/>
        <v/>
      </c>
      <c r="J144" s="242"/>
      <c r="K144" s="243"/>
      <c r="L144" s="243"/>
      <c r="M144" s="243"/>
      <c r="N144" s="244" t="str">
        <f t="shared" si="16"/>
        <v/>
      </c>
      <c r="O144" s="221"/>
      <c r="P144" s="233">
        <f>IF($D144="",0,IFERROR(INDEX('Project Types'!$E$5:$E$13,MATCH($D144,'Project Types'!$A$5:$A$13,0)),1))</f>
        <v>0</v>
      </c>
      <c r="Q144" s="14"/>
      <c r="R144" s="14"/>
      <c r="S144" s="14"/>
      <c r="T144" s="14"/>
      <c r="U144" s="14"/>
      <c r="AG144"/>
      <c r="AH144"/>
      <c r="AI144"/>
      <c r="AJ144"/>
      <c r="AK144"/>
      <c r="AL144"/>
      <c r="AM144"/>
      <c r="AN144"/>
      <c r="AO144"/>
      <c r="AP144"/>
      <c r="AQ144"/>
      <c r="AR144"/>
    </row>
    <row r="145" spans="1:21" x14ac:dyDescent="0.3">
      <c r="A145" s="223"/>
      <c r="B145" s="224" t="str">
        <f>IF($A145="","",IFERROR(INDEX(Inputs!$B$6:$B$80,MATCH($A145,Inputs!$A$6:$A$80,0)),"not in register"))</f>
        <v/>
      </c>
      <c r="C145" s="223"/>
      <c r="D145" s="223"/>
      <c r="E145" s="225"/>
      <c r="F145" s="226"/>
      <c r="G145" s="227" t="str">
        <f>IF(OR($D145="",$F145=""),"",IFERROR(INDEX('Rules of Credit'!$C$5:$C$38,MATCH($D145&amp;"|"&amp;$F145,'Rules of Credit'!$F$5:$F$38,0)),"invalid step"))</f>
        <v/>
      </c>
      <c r="H145" s="228" t="str">
        <f>IF(OR($D145="",$F145=""),"",IFERROR(INDEX('Rules of Credit'!$D$5:$D$38,MATCH($D145&amp;"|"&amp;$F145,'Rules of Credit'!$F$5:$F$38,0)),""))</f>
        <v/>
      </c>
      <c r="I145" s="229" t="str">
        <f t="shared" si="15"/>
        <v/>
      </c>
      <c r="J145" s="242"/>
      <c r="K145" s="243"/>
      <c r="L145" s="243"/>
      <c r="M145" s="243"/>
      <c r="N145" s="244" t="str">
        <f t="shared" si="16"/>
        <v/>
      </c>
      <c r="O145" s="221"/>
      <c r="P145" s="233">
        <f>IF($D145="",0,IFERROR(INDEX('Project Types'!$E$5:$E$13,MATCH($D145,'Project Types'!$A$5:$A$13,0)),1))</f>
        <v>0</v>
      </c>
      <c r="Q145" s="14"/>
      <c r="R145" s="14"/>
      <c r="S145" s="14"/>
      <c r="T145" s="14"/>
      <c r="U145" s="14"/>
      <c r="AG145"/>
      <c r="AH145"/>
      <c r="AI145"/>
      <c r="AJ145"/>
      <c r="AK145"/>
      <c r="AL145"/>
      <c r="AM145"/>
      <c r="AN145"/>
      <c r="AO145"/>
      <c r="AP145"/>
      <c r="AQ145"/>
      <c r="AR145"/>
    </row>
    <row r="146" spans="1:21" x14ac:dyDescent="0.3">
      <c r="A146" s="223"/>
      <c r="B146" s="224" t="str">
        <f>IF($A146="","",IFERROR(INDEX(Inputs!$B$6:$B$80,MATCH($A146,Inputs!$A$6:$A$80,0)),"not in register"))</f>
        <v/>
      </c>
      <c r="C146" s="223"/>
      <c r="D146" s="223"/>
      <c r="E146" s="225"/>
      <c r="F146" s="226"/>
      <c r="G146" s="227" t="str">
        <f>IF(OR($D146="",$F146=""),"",IFERROR(INDEX('Rules of Credit'!$C$5:$C$38,MATCH($D146&amp;"|"&amp;$F146,'Rules of Credit'!$F$5:$F$38,0)),"invalid step"))</f>
        <v/>
      </c>
      <c r="H146" s="228" t="str">
        <f>IF(OR($D146="",$F146=""),"",IFERROR(INDEX('Rules of Credit'!$D$5:$D$38,MATCH($D146&amp;"|"&amp;$F146,'Rules of Credit'!$F$5:$F$38,0)),""))</f>
        <v/>
      </c>
      <c r="I146" s="229" t="str">
        <f t="shared" si="15"/>
        <v/>
      </c>
      <c r="J146" s="242"/>
      <c r="K146" s="243"/>
      <c r="L146" s="243"/>
      <c r="M146" s="243"/>
      <c r="N146" s="244" t="str">
        <f t="shared" si="16"/>
        <v/>
      </c>
      <c r="O146" s="221"/>
      <c r="P146" s="233">
        <f>IF($D146="",0,IFERROR(INDEX('Project Types'!$E$5:$E$13,MATCH($D146,'Project Types'!$A$5:$A$13,0)),1))</f>
        <v>0</v>
      </c>
      <c r="Q146" s="14"/>
      <c r="R146" s="14"/>
      <c r="S146" s="14"/>
      <c r="T146" s="14"/>
      <c r="U146" s="14"/>
      <c r="AG146"/>
      <c r="AH146"/>
      <c r="AI146"/>
      <c r="AJ146"/>
      <c r="AK146"/>
      <c r="AL146"/>
      <c r="AM146"/>
      <c r="AN146"/>
      <c r="AO146"/>
      <c r="AP146"/>
      <c r="AQ146"/>
      <c r="AR146"/>
    </row>
    <row r="147" spans="1:21" x14ac:dyDescent="0.3">
      <c r="A147" s="223"/>
      <c r="B147" s="224" t="str">
        <f>IF($A147="","",IFERROR(INDEX(Inputs!$B$6:$B$80,MATCH($A147,Inputs!$A$6:$A$80,0)),"not in register"))</f>
        <v/>
      </c>
      <c r="C147" s="223"/>
      <c r="D147" s="223"/>
      <c r="E147" s="225"/>
      <c r="F147" s="226"/>
      <c r="G147" s="227" t="str">
        <f>IF(OR($D147="",$F147=""),"",IFERROR(INDEX('Rules of Credit'!$C$5:$C$38,MATCH($D147&amp;"|"&amp;$F147,'Rules of Credit'!$F$5:$F$38,0)),"invalid step"))</f>
        <v/>
      </c>
      <c r="H147" s="228" t="str">
        <f>IF(OR($D147="",$F147=""),"",IFERROR(INDEX('Rules of Credit'!$D$5:$D$38,MATCH($D147&amp;"|"&amp;$F147,'Rules of Credit'!$F$5:$F$38,0)),""))</f>
        <v/>
      </c>
      <c r="I147" s="229" t="str">
        <f t="shared" si="15"/>
        <v/>
      </c>
      <c r="J147" s="242"/>
      <c r="K147" s="243"/>
      <c r="L147" s="243"/>
      <c r="M147" s="243"/>
      <c r="N147" s="244" t="str">
        <f t="shared" si="16"/>
        <v/>
      </c>
      <c r="O147" s="221"/>
      <c r="P147" s="233">
        <f>IF($D147="",0,IFERROR(INDEX('Project Types'!$E$5:$E$13,MATCH($D147,'Project Types'!$A$5:$A$13,0)),1))</f>
        <v>0</v>
      </c>
      <c r="Q147" s="14"/>
      <c r="R147" s="14"/>
      <c r="S147" s="14"/>
      <c r="T147" s="14"/>
      <c r="U147" s="14"/>
      <c r="AG147"/>
      <c r="AH147"/>
      <c r="AI147"/>
      <c r="AJ147"/>
      <c r="AK147"/>
      <c r="AL147"/>
      <c r="AM147"/>
      <c r="AN147"/>
      <c r="AO147"/>
      <c r="AP147"/>
      <c r="AQ147"/>
      <c r="AR147"/>
    </row>
    <row r="148" spans="1:21" x14ac:dyDescent="0.3">
      <c r="A148" s="223"/>
      <c r="B148" s="224" t="str">
        <f>IF($A148="","",IFERROR(INDEX(Inputs!$B$6:$B$80,MATCH($A148,Inputs!$A$6:$A$80,0)),"not in register"))</f>
        <v/>
      </c>
      <c r="C148" s="223"/>
      <c r="D148" s="223"/>
      <c r="E148" s="225"/>
      <c r="F148" s="226"/>
      <c r="G148" s="227" t="str">
        <f>IF(OR($D148="",$F148=""),"",IFERROR(INDEX('Rules of Credit'!$C$5:$C$38,MATCH($D148&amp;"|"&amp;$F148,'Rules of Credit'!$F$5:$F$38,0)),"invalid step"))</f>
        <v/>
      </c>
      <c r="H148" s="228" t="str">
        <f>IF(OR($D148="",$F148=""),"",IFERROR(INDEX('Rules of Credit'!$D$5:$D$38,MATCH($D148&amp;"|"&amp;$F148,'Rules of Credit'!$F$5:$F$38,0)),""))</f>
        <v/>
      </c>
      <c r="I148" s="229" t="str">
        <f t="shared" si="15"/>
        <v/>
      </c>
      <c r="J148" s="242"/>
      <c r="K148" s="243"/>
      <c r="L148" s="243"/>
      <c r="M148" s="243"/>
      <c r="N148" s="244" t="str">
        <f t="shared" si="16"/>
        <v/>
      </c>
      <c r="O148" s="221"/>
      <c r="P148" s="233">
        <f>IF($D148="",0,IFERROR(INDEX('Project Types'!$E$5:$E$13,MATCH($D148,'Project Types'!$A$5:$A$13,0)),1))</f>
        <v>0</v>
      </c>
      <c r="Q148" s="14"/>
      <c r="R148" s="14"/>
      <c r="S148" s="14"/>
      <c r="T148" s="14"/>
      <c r="U148" s="14"/>
      <c r="AG148"/>
      <c r="AH148"/>
      <c r="AI148"/>
      <c r="AJ148"/>
      <c r="AK148"/>
      <c r="AL148"/>
      <c r="AM148"/>
      <c r="AN148"/>
      <c r="AO148"/>
      <c r="AP148"/>
      <c r="AQ148"/>
      <c r="AR148"/>
    </row>
    <row r="149" spans="1:21" x14ac:dyDescent="0.3">
      <c r="A149" s="223"/>
      <c r="B149" s="224" t="str">
        <f>IF($A149="","",IFERROR(INDEX(Inputs!$B$6:$B$80,MATCH($A149,Inputs!$A$6:$A$80,0)),"not in register"))</f>
        <v/>
      </c>
      <c r="C149" s="223"/>
      <c r="D149" s="223"/>
      <c r="E149" s="225"/>
      <c r="F149" s="226"/>
      <c r="G149" s="227" t="str">
        <f>IF(OR($D149="",$F149=""),"",IFERROR(INDEX('Rules of Credit'!$C$5:$C$38,MATCH($D149&amp;"|"&amp;$F149,'Rules of Credit'!$F$5:$F$38,0)),"invalid step"))</f>
        <v/>
      </c>
      <c r="H149" s="228" t="str">
        <f>IF(OR($D149="",$F149=""),"",IFERROR(INDEX('Rules of Credit'!$D$5:$D$38,MATCH($D149&amp;"|"&amp;$F149,'Rules of Credit'!$F$5:$F$38,0)),""))</f>
        <v/>
      </c>
      <c r="I149" s="229" t="str">
        <f t="shared" si="15"/>
        <v/>
      </c>
      <c r="J149" s="242"/>
      <c r="K149" s="243"/>
      <c r="L149" s="243"/>
      <c r="M149" s="243"/>
      <c r="N149" s="244" t="str">
        <f t="shared" si="16"/>
        <v/>
      </c>
      <c r="O149" s="221"/>
      <c r="P149" s="233">
        <f>IF($D149="",0,IFERROR(INDEX('Project Types'!$E$5:$E$13,MATCH($D149,'Project Types'!$A$5:$A$13,0)),1))</f>
        <v>0</v>
      </c>
      <c r="Q149" s="14"/>
      <c r="R149" s="14"/>
      <c r="S149" s="14"/>
      <c r="T149" s="14"/>
      <c r="U149" s="14"/>
      <c r="AG149"/>
      <c r="AH149"/>
      <c r="AI149"/>
      <c r="AJ149"/>
      <c r="AK149"/>
      <c r="AL149"/>
      <c r="AM149"/>
      <c r="AN149"/>
      <c r="AO149"/>
      <c r="AP149"/>
      <c r="AQ149"/>
      <c r="AR149"/>
    </row>
    <row r="150" spans="1:21" x14ac:dyDescent="0.3">
      <c r="A150" s="223"/>
      <c r="B150" s="224" t="str">
        <f>IF($A150="","",IFERROR(INDEX(Inputs!$B$6:$B$80,MATCH($A150,Inputs!$A$6:$A$80,0)),"not in register"))</f>
        <v/>
      </c>
      <c r="C150" s="223"/>
      <c r="D150" s="223"/>
      <c r="E150" s="225"/>
      <c r="F150" s="226"/>
      <c r="G150" s="227" t="str">
        <f>IF(OR($D150="",$F150=""),"",IFERROR(INDEX('Rules of Credit'!$C$5:$C$38,MATCH($D150&amp;"|"&amp;$F150,'Rules of Credit'!$F$5:$F$38,0)),"invalid step"))</f>
        <v/>
      </c>
      <c r="H150" s="228" t="str">
        <f>IF(OR($D150="",$F150=""),"",IFERROR(INDEX('Rules of Credit'!$D$5:$D$38,MATCH($D150&amp;"|"&amp;$F150,'Rules of Credit'!$F$5:$F$38,0)),""))</f>
        <v/>
      </c>
      <c r="I150" s="229" t="str">
        <f t="shared" si="15"/>
        <v/>
      </c>
      <c r="J150" s="242"/>
      <c r="K150" s="243"/>
      <c r="L150" s="243"/>
      <c r="M150" s="243"/>
      <c r="N150" s="244" t="str">
        <f t="shared" si="16"/>
        <v/>
      </c>
      <c r="O150" s="221"/>
      <c r="P150" s="233">
        <f>IF($D150="",0,IFERROR(INDEX('Project Types'!$E$5:$E$13,MATCH($D150,'Project Types'!$A$5:$A$13,0)),1))</f>
        <v>0</v>
      </c>
      <c r="Q150" s="14"/>
      <c r="R150" s="14"/>
      <c r="S150" s="14"/>
      <c r="T150" s="14"/>
      <c r="U150" s="14"/>
      <c r="AG150"/>
      <c r="AH150"/>
      <c r="AI150"/>
      <c r="AJ150"/>
      <c r="AK150"/>
      <c r="AL150"/>
      <c r="AM150"/>
      <c r="AN150"/>
      <c r="AO150"/>
      <c r="AP150"/>
      <c r="AQ150"/>
      <c r="AR150"/>
    </row>
    <row r="151" spans="1:21" x14ac:dyDescent="0.3">
      <c r="A151" s="223"/>
      <c r="B151" s="224" t="str">
        <f>IF($A151="","",IFERROR(INDEX(Inputs!$B$6:$B$80,MATCH($A151,Inputs!$A$6:$A$80,0)),"not in register"))</f>
        <v/>
      </c>
      <c r="C151" s="223"/>
      <c r="D151" s="223"/>
      <c r="E151" s="225"/>
      <c r="F151" s="226"/>
      <c r="G151" s="227" t="str">
        <f>IF(OR($D151="",$F151=""),"",IFERROR(INDEX('Rules of Credit'!$C$5:$C$38,MATCH($D151&amp;"|"&amp;$F151,'Rules of Credit'!$F$5:$F$38,0)),"invalid step"))</f>
        <v/>
      </c>
      <c r="H151" s="228" t="str">
        <f>IF(OR($D151="",$F151=""),"",IFERROR(INDEX('Rules of Credit'!$D$5:$D$38,MATCH($D151&amp;"|"&amp;$F151,'Rules of Credit'!$F$5:$F$38,0)),""))</f>
        <v/>
      </c>
      <c r="I151" s="229" t="str">
        <f t="shared" si="15"/>
        <v/>
      </c>
      <c r="J151" s="242"/>
      <c r="K151" s="243"/>
      <c r="L151" s="243"/>
      <c r="M151" s="243"/>
      <c r="N151" s="244" t="str">
        <f t="shared" si="16"/>
        <v/>
      </c>
      <c r="O151" s="221"/>
      <c r="P151" s="233">
        <f>IF($D151="",0,IFERROR(INDEX('Project Types'!$E$5:$E$13,MATCH($D151,'Project Types'!$A$5:$A$13,0)),1))</f>
        <v>0</v>
      </c>
      <c r="Q151" s="14"/>
      <c r="R151" s="14"/>
      <c r="S151" s="14"/>
      <c r="T151" s="14"/>
      <c r="U151" s="14"/>
      <c r="AG151"/>
      <c r="AH151"/>
      <c r="AI151"/>
      <c r="AJ151"/>
      <c r="AK151"/>
      <c r="AL151"/>
      <c r="AM151"/>
      <c r="AN151"/>
      <c r="AO151"/>
      <c r="AP151"/>
      <c r="AQ151"/>
      <c r="AR151"/>
    </row>
    <row r="152" spans="1:21" x14ac:dyDescent="0.3">
      <c r="A152" s="223"/>
      <c r="B152" s="224" t="str">
        <f>IF($A152="","",IFERROR(INDEX(Inputs!$B$6:$B$80,MATCH($A152,Inputs!$A$6:$A$80,0)),"not in register"))</f>
        <v/>
      </c>
      <c r="C152" s="223"/>
      <c r="D152" s="223"/>
      <c r="E152" s="225"/>
      <c r="F152" s="226"/>
      <c r="G152" s="227" t="str">
        <f>IF(OR($D152="",$F152=""),"",IFERROR(INDEX('Rules of Credit'!$C$5:$C$38,MATCH($D152&amp;"|"&amp;$F152,'Rules of Credit'!$F$5:$F$38,0)),"invalid step"))</f>
        <v/>
      </c>
      <c r="H152" s="228" t="str">
        <f>IF(OR($D152="",$F152=""),"",IFERROR(INDEX('Rules of Credit'!$D$5:$D$38,MATCH($D152&amp;"|"&amp;$F152,'Rules of Credit'!$F$5:$F$38,0)),""))</f>
        <v/>
      </c>
      <c r="I152" s="229" t="str">
        <f t="shared" si="15"/>
        <v/>
      </c>
      <c r="J152" s="242"/>
      <c r="K152" s="243"/>
      <c r="L152" s="243"/>
      <c r="M152" s="243"/>
      <c r="N152" s="244" t="str">
        <f t="shared" si="16"/>
        <v/>
      </c>
      <c r="O152" s="221"/>
      <c r="P152" s="233">
        <f>IF($D152="",0,IFERROR(INDEX('Project Types'!$E$5:$E$13,MATCH($D152,'Project Types'!$A$5:$A$13,0)),1))</f>
        <v>0</v>
      </c>
      <c r="Q152" s="14"/>
      <c r="R152" s="14"/>
      <c r="S152" s="14"/>
      <c r="T152" s="14"/>
      <c r="U152" s="14"/>
      <c r="AG152"/>
      <c r="AH152"/>
      <c r="AI152"/>
      <c r="AJ152"/>
      <c r="AK152"/>
      <c r="AL152"/>
      <c r="AM152"/>
      <c r="AN152"/>
      <c r="AO152"/>
      <c r="AP152"/>
      <c r="AQ152"/>
      <c r="AR152"/>
    </row>
    <row r="153" spans="1:21" x14ac:dyDescent="0.3">
      <c r="A153" s="223"/>
      <c r="B153" s="224" t="str">
        <f>IF($A153="","",IFERROR(INDEX(Inputs!$B$6:$B$80,MATCH($A153,Inputs!$A$6:$A$80,0)),"not in register"))</f>
        <v/>
      </c>
      <c r="C153" s="223"/>
      <c r="D153" s="223"/>
      <c r="E153" s="225"/>
      <c r="F153" s="226"/>
      <c r="G153" s="227" t="str">
        <f>IF(OR($D153="",$F153=""),"",IFERROR(INDEX('Rules of Credit'!$C$5:$C$38,MATCH($D153&amp;"|"&amp;$F153,'Rules of Credit'!$F$5:$F$38,0)),"invalid step"))</f>
        <v/>
      </c>
      <c r="H153" s="228" t="str">
        <f>IF(OR($D153="",$F153=""),"",IFERROR(INDEX('Rules of Credit'!$D$5:$D$38,MATCH($D153&amp;"|"&amp;$F153,'Rules of Credit'!$F$5:$F$38,0)),""))</f>
        <v/>
      </c>
      <c r="I153" s="229" t="str">
        <f t="shared" si="15"/>
        <v/>
      </c>
      <c r="J153" s="242"/>
      <c r="K153" s="243"/>
      <c r="L153" s="243"/>
      <c r="M153" s="243"/>
      <c r="N153" s="244" t="str">
        <f t="shared" si="16"/>
        <v/>
      </c>
      <c r="O153" s="221"/>
      <c r="P153" s="233">
        <f>IF($D153="",0,IFERROR(INDEX('Project Types'!$E$5:$E$13,MATCH($D153,'Project Types'!$A$5:$A$13,0)),1))</f>
        <v>0</v>
      </c>
      <c r="Q153" s="14"/>
      <c r="R153" s="14"/>
      <c r="S153" s="14"/>
      <c r="T153" s="14"/>
      <c r="U153" s="14"/>
      <c r="AG153"/>
      <c r="AH153"/>
      <c r="AI153"/>
      <c r="AJ153"/>
      <c r="AK153"/>
      <c r="AL153"/>
      <c r="AM153"/>
      <c r="AN153"/>
      <c r="AO153"/>
      <c r="AP153"/>
      <c r="AQ153"/>
      <c r="AR153"/>
    </row>
    <row r="154" spans="1:21" x14ac:dyDescent="0.3">
      <c r="A154" s="223"/>
      <c r="B154" s="224" t="str">
        <f>IF($A154="","",IFERROR(INDEX(Inputs!$B$6:$B$80,MATCH($A154,Inputs!$A$6:$A$80,0)),"not in register"))</f>
        <v/>
      </c>
      <c r="C154" s="223"/>
      <c r="D154" s="223"/>
      <c r="E154" s="225"/>
      <c r="F154" s="226"/>
      <c r="G154" s="227" t="str">
        <f>IF(OR($D154="",$F154=""),"",IFERROR(INDEX('Rules of Credit'!$C$5:$C$38,MATCH($D154&amp;"|"&amp;$F154,'Rules of Credit'!$F$5:$F$38,0)),"invalid step"))</f>
        <v/>
      </c>
      <c r="H154" s="228" t="str">
        <f>IF(OR($D154="",$F154=""),"",IFERROR(INDEX('Rules of Credit'!$D$5:$D$38,MATCH($D154&amp;"|"&amp;$F154,'Rules of Credit'!$F$5:$F$38,0)),""))</f>
        <v/>
      </c>
      <c r="I154" s="229" t="str">
        <f t="shared" si="15"/>
        <v/>
      </c>
      <c r="J154" s="242"/>
      <c r="K154" s="243"/>
      <c r="L154" s="243"/>
      <c r="M154" s="243"/>
      <c r="N154" s="244" t="str">
        <f t="shared" si="16"/>
        <v/>
      </c>
      <c r="O154" s="221"/>
      <c r="P154" s="233">
        <f>IF($D154="",0,IFERROR(INDEX('Project Types'!$E$5:$E$13,MATCH($D154,'Project Types'!$A$5:$A$13,0)),1))</f>
        <v>0</v>
      </c>
      <c r="Q154" s="14"/>
      <c r="R154" s="14"/>
      <c r="S154" s="14"/>
      <c r="T154" s="14"/>
      <c r="U154" s="14"/>
      <c r="AG154"/>
      <c r="AH154"/>
      <c r="AI154"/>
      <c r="AJ154"/>
      <c r="AK154"/>
      <c r="AL154"/>
      <c r="AM154"/>
      <c r="AN154"/>
      <c r="AO154"/>
      <c r="AP154"/>
      <c r="AQ154"/>
      <c r="AR154"/>
    </row>
    <row r="155" spans="1:21" x14ac:dyDescent="0.3">
      <c r="A155" s="223"/>
      <c r="B155" s="224" t="str">
        <f>IF($A155="","",IFERROR(INDEX(Inputs!$B$6:$B$80,MATCH($A155,Inputs!$A$6:$A$80,0)),"not in register"))</f>
        <v/>
      </c>
      <c r="C155" s="223"/>
      <c r="D155" s="223"/>
      <c r="E155" s="225"/>
      <c r="F155" s="226"/>
      <c r="G155" s="227" t="str">
        <f>IF(OR($D155="",$F155=""),"",IFERROR(INDEX('Rules of Credit'!$C$5:$C$38,MATCH($D155&amp;"|"&amp;$F155,'Rules of Credit'!$F$5:$F$38,0)),"invalid step"))</f>
        <v/>
      </c>
      <c r="H155" s="228" t="str">
        <f>IF(OR($D155="",$F155=""),"",IFERROR(INDEX('Rules of Credit'!$D$5:$D$38,MATCH($D155&amp;"|"&amp;$F155,'Rules of Credit'!$F$5:$F$38,0)),""))</f>
        <v/>
      </c>
      <c r="I155" s="229" t="str">
        <f t="shared" si="15"/>
        <v/>
      </c>
      <c r="J155" s="242"/>
      <c r="K155" s="243"/>
      <c r="L155" s="243"/>
      <c r="M155" s="243"/>
      <c r="N155" s="244" t="str">
        <f t="shared" si="16"/>
        <v/>
      </c>
      <c r="O155" s="221"/>
      <c r="P155" s="233">
        <f>IF($D155="",0,IFERROR(INDEX('Project Types'!$E$5:$E$13,MATCH($D155,'Project Types'!$A$5:$A$13,0)),1))</f>
        <v>0</v>
      </c>
      <c r="Q155" s="14"/>
      <c r="R155" s="14"/>
      <c r="S155" s="14"/>
      <c r="T155" s="14"/>
      <c r="U155" s="14"/>
      <c r="AG155"/>
      <c r="AH155"/>
      <c r="AI155"/>
      <c r="AJ155"/>
      <c r="AK155"/>
      <c r="AL155"/>
      <c r="AM155"/>
      <c r="AN155"/>
      <c r="AO155"/>
      <c r="AP155"/>
      <c r="AQ155"/>
      <c r="AR155"/>
    </row>
    <row r="156" spans="1:21" x14ac:dyDescent="0.3">
      <c r="A156" s="223"/>
      <c r="B156" s="224" t="str">
        <f>IF($A156="","",IFERROR(INDEX(Inputs!$B$6:$B$80,MATCH($A156,Inputs!$A$6:$A$80,0)),"not in register"))</f>
        <v/>
      </c>
      <c r="C156" s="223"/>
      <c r="D156" s="223"/>
      <c r="E156" s="225"/>
      <c r="F156" s="226"/>
      <c r="G156" s="227" t="str">
        <f>IF(OR($D156="",$F156=""),"",IFERROR(INDEX('Rules of Credit'!$C$5:$C$38,MATCH($D156&amp;"|"&amp;$F156,'Rules of Credit'!$F$5:$F$38,0)),"invalid step"))</f>
        <v/>
      </c>
      <c r="H156" s="228" t="str">
        <f>IF(OR($D156="",$F156=""),"",IFERROR(INDEX('Rules of Credit'!$D$5:$D$38,MATCH($D156&amp;"|"&amp;$F156,'Rules of Credit'!$F$5:$F$38,0)),""))</f>
        <v/>
      </c>
      <c r="I156" s="229" t="str">
        <f t="shared" si="15"/>
        <v/>
      </c>
      <c r="J156" s="242"/>
      <c r="K156" s="243"/>
      <c r="L156" s="243"/>
      <c r="M156" s="243"/>
      <c r="N156" s="244" t="str">
        <f t="shared" si="16"/>
        <v/>
      </c>
      <c r="O156" s="221"/>
      <c r="P156" s="233">
        <f>IF($D156="",0,IFERROR(INDEX('Project Types'!$E$5:$E$13,MATCH($D156,'Project Types'!$A$5:$A$13,0)),1))</f>
        <v>0</v>
      </c>
      <c r="Q156" s="14"/>
      <c r="R156" s="14"/>
      <c r="S156" s="14"/>
      <c r="T156" s="14"/>
      <c r="U156" s="14"/>
      <c r="AG156"/>
      <c r="AH156"/>
      <c r="AI156"/>
      <c r="AJ156"/>
      <c r="AK156"/>
      <c r="AL156"/>
      <c r="AM156"/>
      <c r="AN156"/>
      <c r="AO156"/>
      <c r="AP156"/>
      <c r="AQ156"/>
      <c r="AR156"/>
    </row>
    <row r="157" spans="1:21" x14ac:dyDescent="0.3">
      <c r="A157" s="223"/>
      <c r="B157" s="224" t="str">
        <f>IF($A157="","",IFERROR(INDEX(Inputs!$B$6:$B$80,MATCH($A157,Inputs!$A$6:$A$80,0)),"not in register"))</f>
        <v/>
      </c>
      <c r="C157" s="223"/>
      <c r="D157" s="223"/>
      <c r="E157" s="225"/>
      <c r="F157" s="226"/>
      <c r="G157" s="227" t="str">
        <f>IF(OR($D157="",$F157=""),"",IFERROR(INDEX('Rules of Credit'!$C$5:$C$38,MATCH($D157&amp;"|"&amp;$F157,'Rules of Credit'!$F$5:$F$38,0)),"invalid step"))</f>
        <v/>
      </c>
      <c r="H157" s="228" t="str">
        <f>IF(OR($D157="",$F157=""),"",IFERROR(INDEX('Rules of Credit'!$D$5:$D$38,MATCH($D157&amp;"|"&amp;$F157,'Rules of Credit'!$F$5:$F$38,0)),""))</f>
        <v/>
      </c>
      <c r="I157" s="229" t="str">
        <f t="shared" si="15"/>
        <v/>
      </c>
      <c r="J157" s="242"/>
      <c r="K157" s="243"/>
      <c r="L157" s="243"/>
      <c r="M157" s="243"/>
      <c r="N157" s="244" t="str">
        <f t="shared" si="16"/>
        <v/>
      </c>
      <c r="O157" s="221"/>
      <c r="P157" s="233">
        <f>IF($D157="",0,IFERROR(INDEX('Project Types'!$E$5:$E$13,MATCH($D157,'Project Types'!$A$5:$A$13,0)),1))</f>
        <v>0</v>
      </c>
      <c r="Q157" s="14"/>
      <c r="R157" s="14"/>
      <c r="S157" s="14"/>
      <c r="T157" s="14"/>
      <c r="U157" s="14"/>
      <c r="AG157"/>
      <c r="AH157"/>
      <c r="AI157"/>
      <c r="AJ157"/>
      <c r="AK157"/>
      <c r="AL157"/>
      <c r="AM157"/>
      <c r="AN157"/>
      <c r="AO157"/>
      <c r="AP157"/>
      <c r="AQ157"/>
      <c r="AR157"/>
    </row>
    <row r="158" spans="1:21" x14ac:dyDescent="0.3">
      <c r="A158" s="223"/>
      <c r="B158" s="224" t="str">
        <f>IF($A158="","",IFERROR(INDEX(Inputs!$B$6:$B$80,MATCH($A158,Inputs!$A$6:$A$80,0)),"not in register"))</f>
        <v/>
      </c>
      <c r="C158" s="223"/>
      <c r="D158" s="223"/>
      <c r="E158" s="225"/>
      <c r="F158" s="226"/>
      <c r="G158" s="227" t="str">
        <f>IF(OR($D158="",$F158=""),"",IFERROR(INDEX('Rules of Credit'!$C$5:$C$38,MATCH($D158&amp;"|"&amp;$F158,'Rules of Credit'!$F$5:$F$38,0)),"invalid step"))</f>
        <v/>
      </c>
      <c r="H158" s="228" t="str">
        <f>IF(OR($D158="",$F158=""),"",IFERROR(INDEX('Rules of Credit'!$D$5:$D$38,MATCH($D158&amp;"|"&amp;$F158,'Rules of Credit'!$F$5:$F$38,0)),""))</f>
        <v/>
      </c>
      <c r="I158" s="229" t="str">
        <f t="shared" si="15"/>
        <v/>
      </c>
      <c r="J158" s="242"/>
      <c r="K158" s="243"/>
      <c r="L158" s="243"/>
      <c r="M158" s="243"/>
      <c r="N158" s="244" t="str">
        <f t="shared" si="16"/>
        <v/>
      </c>
      <c r="O158" s="221"/>
      <c r="P158" s="233">
        <f>IF($D158="",0,IFERROR(INDEX('Project Types'!$E$5:$E$13,MATCH($D158,'Project Types'!$A$5:$A$13,0)),1))</f>
        <v>0</v>
      </c>
      <c r="Q158" s="14"/>
      <c r="R158" s="14"/>
      <c r="S158" s="14"/>
      <c r="T158" s="14"/>
      <c r="U158" s="14"/>
      <c r="AG158"/>
      <c r="AH158"/>
      <c r="AI158"/>
      <c r="AJ158"/>
      <c r="AK158"/>
      <c r="AL158"/>
      <c r="AM158"/>
      <c r="AN158"/>
      <c r="AO158"/>
      <c r="AP158"/>
      <c r="AQ158"/>
      <c r="AR158"/>
    </row>
    <row r="159" spans="1:21" x14ac:dyDescent="0.3">
      <c r="A159" s="223"/>
      <c r="B159" s="224" t="str">
        <f>IF($A159="","",IFERROR(INDEX(Inputs!$B$6:$B$80,MATCH($A159,Inputs!$A$6:$A$80,0)),"not in register"))</f>
        <v/>
      </c>
      <c r="C159" s="223"/>
      <c r="D159" s="223"/>
      <c r="E159" s="225"/>
      <c r="F159" s="226"/>
      <c r="G159" s="227" t="str">
        <f>IF(OR($D159="",$F159=""),"",IFERROR(INDEX('Rules of Credit'!$C$5:$C$38,MATCH($D159&amp;"|"&amp;$F159,'Rules of Credit'!$F$5:$F$38,0)),"invalid step"))</f>
        <v/>
      </c>
      <c r="H159" s="228" t="str">
        <f>IF(OR($D159="",$F159=""),"",IFERROR(INDEX('Rules of Credit'!$D$5:$D$38,MATCH($D159&amp;"|"&amp;$F159,'Rules of Credit'!$F$5:$F$38,0)),""))</f>
        <v/>
      </c>
      <c r="I159" s="229" t="str">
        <f t="shared" si="15"/>
        <v/>
      </c>
      <c r="J159" s="242"/>
      <c r="K159" s="243"/>
      <c r="L159" s="243"/>
      <c r="M159" s="243"/>
      <c r="N159" s="244" t="str">
        <f t="shared" si="16"/>
        <v/>
      </c>
      <c r="O159" s="221"/>
      <c r="P159" s="233">
        <f>IF($D159="",0,IFERROR(INDEX('Project Types'!$E$5:$E$13,MATCH($D159,'Project Types'!$A$5:$A$13,0)),1))</f>
        <v>0</v>
      </c>
      <c r="Q159" s="14"/>
      <c r="R159" s="14"/>
      <c r="S159" s="14"/>
      <c r="T159" s="14"/>
      <c r="U159" s="14"/>
      <c r="AG159"/>
      <c r="AH159"/>
      <c r="AI159"/>
      <c r="AJ159"/>
      <c r="AK159"/>
      <c r="AL159"/>
      <c r="AM159"/>
      <c r="AN159"/>
      <c r="AO159"/>
      <c r="AP159"/>
      <c r="AQ159"/>
      <c r="AR159"/>
    </row>
    <row r="160" spans="1:21" x14ac:dyDescent="0.3">
      <c r="A160" s="223"/>
      <c r="B160" s="224" t="str">
        <f>IF($A160="","",IFERROR(INDEX(Inputs!$B$6:$B$80,MATCH($A160,Inputs!$A$6:$A$80,0)),"not in register"))</f>
        <v/>
      </c>
      <c r="C160" s="223"/>
      <c r="D160" s="223"/>
      <c r="E160" s="225"/>
      <c r="F160" s="226"/>
      <c r="G160" s="227" t="str">
        <f>IF(OR($D160="",$F160=""),"",IFERROR(INDEX('Rules of Credit'!$C$5:$C$38,MATCH($D160&amp;"|"&amp;$F160,'Rules of Credit'!$F$5:$F$38,0)),"invalid step"))</f>
        <v/>
      </c>
      <c r="H160" s="228" t="str">
        <f>IF(OR($D160="",$F160=""),"",IFERROR(INDEX('Rules of Credit'!$D$5:$D$38,MATCH($D160&amp;"|"&amp;$F160,'Rules of Credit'!$F$5:$F$38,0)),""))</f>
        <v/>
      </c>
      <c r="I160" s="229" t="str">
        <f t="shared" si="15"/>
        <v/>
      </c>
      <c r="J160" s="242"/>
      <c r="K160" s="243"/>
      <c r="L160" s="243"/>
      <c r="M160" s="243"/>
      <c r="N160" s="244" t="str">
        <f t="shared" si="16"/>
        <v/>
      </c>
      <c r="O160" s="221"/>
      <c r="P160" s="233">
        <f>IF($D160="",0,IFERROR(INDEX('Project Types'!$E$5:$E$13,MATCH($D160,'Project Types'!$A$5:$A$13,0)),1))</f>
        <v>0</v>
      </c>
      <c r="Q160" s="14"/>
      <c r="R160" s="14"/>
      <c r="S160" s="14"/>
      <c r="T160" s="14"/>
      <c r="U160" s="14"/>
      <c r="AG160"/>
      <c r="AH160"/>
      <c r="AI160"/>
      <c r="AJ160"/>
      <c r="AK160"/>
      <c r="AL160"/>
      <c r="AM160"/>
      <c r="AN160"/>
      <c r="AO160"/>
      <c r="AP160"/>
      <c r="AQ160"/>
      <c r="AR160"/>
    </row>
    <row r="161" spans="1:21" x14ac:dyDescent="0.3">
      <c r="A161" s="223"/>
      <c r="B161" s="224" t="str">
        <f>IF($A161="","",IFERROR(INDEX(Inputs!$B$6:$B$80,MATCH($A161,Inputs!$A$6:$A$80,0)),"not in register"))</f>
        <v/>
      </c>
      <c r="C161" s="223"/>
      <c r="D161" s="223"/>
      <c r="E161" s="225"/>
      <c r="F161" s="226"/>
      <c r="G161" s="227" t="str">
        <f>IF(OR($D161="",$F161=""),"",IFERROR(INDEX('Rules of Credit'!$C$5:$C$38,MATCH($D161&amp;"|"&amp;$F161,'Rules of Credit'!$F$5:$F$38,0)),"invalid step"))</f>
        <v/>
      </c>
      <c r="H161" s="228" t="str">
        <f>IF(OR($D161="",$F161=""),"",IFERROR(INDEX('Rules of Credit'!$D$5:$D$38,MATCH($D161&amp;"|"&amp;$F161,'Rules of Credit'!$F$5:$F$38,0)),""))</f>
        <v/>
      </c>
      <c r="I161" s="229" t="str">
        <f t="shared" si="15"/>
        <v/>
      </c>
      <c r="J161" s="242"/>
      <c r="K161" s="243"/>
      <c r="L161" s="243"/>
      <c r="M161" s="243"/>
      <c r="N161" s="244" t="str">
        <f t="shared" si="16"/>
        <v/>
      </c>
      <c r="O161" s="221"/>
      <c r="P161" s="233">
        <f>IF($D161="",0,IFERROR(INDEX('Project Types'!$E$5:$E$13,MATCH($D161,'Project Types'!$A$5:$A$13,0)),1))</f>
        <v>0</v>
      </c>
      <c r="Q161" s="14"/>
      <c r="R161" s="14"/>
      <c r="S161" s="14"/>
      <c r="T161" s="14"/>
      <c r="U161" s="14"/>
      <c r="AG161"/>
      <c r="AH161"/>
      <c r="AI161"/>
      <c r="AJ161"/>
      <c r="AK161"/>
      <c r="AL161"/>
      <c r="AM161"/>
      <c r="AN161"/>
      <c r="AO161"/>
      <c r="AP161"/>
      <c r="AQ161"/>
      <c r="AR161"/>
    </row>
    <row r="162" spans="1:21" x14ac:dyDescent="0.3">
      <c r="A162" s="223"/>
      <c r="B162" s="224" t="str">
        <f>IF($A162="","",IFERROR(INDEX(Inputs!$B$6:$B$80,MATCH($A162,Inputs!$A$6:$A$80,0)),"not in register"))</f>
        <v/>
      </c>
      <c r="C162" s="223"/>
      <c r="D162" s="223"/>
      <c r="E162" s="225"/>
      <c r="F162" s="226"/>
      <c r="G162" s="227" t="str">
        <f>IF(OR($D162="",$F162=""),"",IFERROR(INDEX('Rules of Credit'!$C$5:$C$38,MATCH($D162&amp;"|"&amp;$F162,'Rules of Credit'!$F$5:$F$38,0)),"invalid step"))</f>
        <v/>
      </c>
      <c r="H162" s="228" t="str">
        <f>IF(OR($D162="",$F162=""),"",IFERROR(INDEX('Rules of Credit'!$D$5:$D$38,MATCH($D162&amp;"|"&amp;$F162,'Rules of Credit'!$F$5:$F$38,0)),""))</f>
        <v/>
      </c>
      <c r="I162" s="229" t="str">
        <f t="shared" si="15"/>
        <v/>
      </c>
      <c r="J162" s="242"/>
      <c r="K162" s="243"/>
      <c r="L162" s="243"/>
      <c r="M162" s="243"/>
      <c r="N162" s="244" t="str">
        <f t="shared" si="16"/>
        <v/>
      </c>
      <c r="O162" s="221"/>
      <c r="P162" s="233">
        <f>IF($D162="",0,IFERROR(INDEX('Project Types'!$E$5:$E$13,MATCH($D162,'Project Types'!$A$5:$A$13,0)),1))</f>
        <v>0</v>
      </c>
      <c r="Q162" s="14"/>
      <c r="R162" s="14"/>
      <c r="S162" s="14"/>
      <c r="T162" s="14"/>
      <c r="U162" s="14"/>
      <c r="AG162"/>
      <c r="AH162"/>
      <c r="AI162"/>
      <c r="AJ162"/>
      <c r="AK162"/>
      <c r="AL162"/>
      <c r="AM162"/>
      <c r="AN162"/>
      <c r="AO162"/>
      <c r="AP162"/>
      <c r="AQ162"/>
      <c r="AR162"/>
    </row>
    <row r="163" spans="1:21" x14ac:dyDescent="0.3">
      <c r="A163" s="223"/>
      <c r="B163" s="224" t="str">
        <f>IF($A163="","",IFERROR(INDEX(Inputs!$B$6:$B$80,MATCH($A163,Inputs!$A$6:$A$80,0)),"not in register"))</f>
        <v/>
      </c>
      <c r="C163" s="223"/>
      <c r="D163" s="223"/>
      <c r="E163" s="225"/>
      <c r="F163" s="226"/>
      <c r="G163" s="227" t="str">
        <f>IF(OR($D163="",$F163=""),"",IFERROR(INDEX('Rules of Credit'!$C$5:$C$38,MATCH($D163&amp;"|"&amp;$F163,'Rules of Credit'!$F$5:$F$38,0)),"invalid step"))</f>
        <v/>
      </c>
      <c r="H163" s="228" t="str">
        <f>IF(OR($D163="",$F163=""),"",IFERROR(INDEX('Rules of Credit'!$D$5:$D$38,MATCH($D163&amp;"|"&amp;$F163,'Rules of Credit'!$F$5:$F$38,0)),""))</f>
        <v/>
      </c>
      <c r="I163" s="229" t="str">
        <f t="shared" si="15"/>
        <v/>
      </c>
      <c r="J163" s="242"/>
      <c r="K163" s="243"/>
      <c r="L163" s="243"/>
      <c r="M163" s="243"/>
      <c r="N163" s="244" t="str">
        <f t="shared" si="16"/>
        <v/>
      </c>
      <c r="O163" s="221"/>
      <c r="P163" s="233">
        <f>IF($D163="",0,IFERROR(INDEX('Project Types'!$E$5:$E$13,MATCH($D163,'Project Types'!$A$5:$A$13,0)),1))</f>
        <v>0</v>
      </c>
      <c r="Q163" s="14"/>
      <c r="R163" s="14"/>
      <c r="S163" s="14"/>
      <c r="T163" s="14"/>
      <c r="U163" s="14"/>
      <c r="AG163"/>
      <c r="AH163"/>
      <c r="AI163"/>
      <c r="AJ163"/>
      <c r="AK163"/>
      <c r="AL163"/>
      <c r="AM163"/>
      <c r="AN163"/>
      <c r="AO163"/>
      <c r="AP163"/>
      <c r="AQ163"/>
      <c r="AR163"/>
    </row>
    <row r="164" spans="1:21" x14ac:dyDescent="0.3">
      <c r="A164" s="223"/>
      <c r="B164" s="224" t="str">
        <f>IF($A164="","",IFERROR(INDEX(Inputs!$B$6:$B$80,MATCH($A164,Inputs!$A$6:$A$80,0)),"not in register"))</f>
        <v/>
      </c>
      <c r="C164" s="223"/>
      <c r="D164" s="223"/>
      <c r="E164" s="225"/>
      <c r="F164" s="226"/>
      <c r="G164" s="227" t="str">
        <f>IF(OR($D164="",$F164=""),"",IFERROR(INDEX('Rules of Credit'!$C$5:$C$38,MATCH($D164&amp;"|"&amp;$F164,'Rules of Credit'!$F$5:$F$38,0)),"invalid step"))</f>
        <v/>
      </c>
      <c r="H164" s="228" t="str">
        <f>IF(OR($D164="",$F164=""),"",IFERROR(INDEX('Rules of Credit'!$D$5:$D$38,MATCH($D164&amp;"|"&amp;$F164,'Rules of Credit'!$F$5:$F$38,0)),""))</f>
        <v/>
      </c>
      <c r="I164" s="229" t="str">
        <f t="shared" si="15"/>
        <v/>
      </c>
      <c r="J164" s="242"/>
      <c r="K164" s="243"/>
      <c r="L164" s="243"/>
      <c r="M164" s="243"/>
      <c r="N164" s="244" t="str">
        <f t="shared" si="16"/>
        <v/>
      </c>
      <c r="O164" s="221"/>
      <c r="P164" s="233">
        <f>IF($D164="",0,IFERROR(INDEX('Project Types'!$E$5:$E$13,MATCH($D164,'Project Types'!$A$5:$A$13,0)),1))</f>
        <v>0</v>
      </c>
      <c r="Q164" s="14"/>
      <c r="R164" s="14"/>
      <c r="S164" s="14"/>
      <c r="T164" s="14"/>
      <c r="U164" s="14"/>
      <c r="AG164"/>
      <c r="AH164"/>
      <c r="AI164"/>
      <c r="AJ164"/>
      <c r="AK164"/>
      <c r="AL164"/>
      <c r="AM164"/>
      <c r="AN164"/>
      <c r="AO164"/>
      <c r="AP164"/>
      <c r="AQ164"/>
      <c r="AR164"/>
    </row>
    <row r="165" spans="1:21" x14ac:dyDescent="0.3">
      <c r="A165" s="223"/>
      <c r="B165" s="224" t="str">
        <f>IF($A165="","",IFERROR(INDEX(Inputs!$B$6:$B$80,MATCH($A165,Inputs!$A$6:$A$80,0)),"not in register"))</f>
        <v/>
      </c>
      <c r="C165" s="223"/>
      <c r="D165" s="223"/>
      <c r="E165" s="225"/>
      <c r="F165" s="226"/>
      <c r="G165" s="227" t="str">
        <f>IF(OR($D165="",$F165=""),"",IFERROR(INDEX('Rules of Credit'!$C$5:$C$38,MATCH($D165&amp;"|"&amp;$F165,'Rules of Credit'!$F$5:$F$38,0)),"invalid step"))</f>
        <v/>
      </c>
      <c r="H165" s="228" t="str">
        <f>IF(OR($D165="",$F165=""),"",IFERROR(INDEX('Rules of Credit'!$D$5:$D$38,MATCH($D165&amp;"|"&amp;$F165,'Rules of Credit'!$F$5:$F$38,0)),""))</f>
        <v/>
      </c>
      <c r="I165" s="229" t="str">
        <f t="shared" si="15"/>
        <v/>
      </c>
      <c r="J165" s="242"/>
      <c r="K165" s="243"/>
      <c r="L165" s="243"/>
      <c r="M165" s="243"/>
      <c r="N165" s="244" t="str">
        <f t="shared" si="16"/>
        <v/>
      </c>
      <c r="O165" s="221"/>
      <c r="P165" s="233">
        <f>IF($D165="",0,IFERROR(INDEX('Project Types'!$E$5:$E$13,MATCH($D165,'Project Types'!$A$5:$A$13,0)),1))</f>
        <v>0</v>
      </c>
      <c r="Q165" s="14"/>
      <c r="R165" s="14"/>
      <c r="S165" s="14"/>
      <c r="T165" s="14"/>
      <c r="U165" s="14"/>
      <c r="AG165"/>
      <c r="AH165"/>
      <c r="AI165"/>
      <c r="AJ165"/>
      <c r="AK165"/>
      <c r="AL165"/>
      <c r="AM165"/>
      <c r="AN165"/>
      <c r="AO165"/>
      <c r="AP165"/>
      <c r="AQ165"/>
      <c r="AR165"/>
    </row>
    <row r="166" spans="1:21" x14ac:dyDescent="0.3">
      <c r="A166" s="223"/>
      <c r="B166" s="224" t="str">
        <f>IF($A166="","",IFERROR(INDEX(Inputs!$B$6:$B$80,MATCH($A166,Inputs!$A$6:$A$80,0)),"not in register"))</f>
        <v/>
      </c>
      <c r="C166" s="223"/>
      <c r="D166" s="223"/>
      <c r="E166" s="225"/>
      <c r="F166" s="226"/>
      <c r="G166" s="227" t="str">
        <f>IF(OR($D166="",$F166=""),"",IFERROR(INDEX('Rules of Credit'!$C$5:$C$38,MATCH($D166&amp;"|"&amp;$F166,'Rules of Credit'!$F$5:$F$38,0)),"invalid step"))</f>
        <v/>
      </c>
      <c r="H166" s="228" t="str">
        <f>IF(OR($D166="",$F166=""),"",IFERROR(INDEX('Rules of Credit'!$D$5:$D$38,MATCH($D166&amp;"|"&amp;$F166,'Rules of Credit'!$F$5:$F$38,0)),""))</f>
        <v/>
      </c>
      <c r="I166" s="229" t="str">
        <f t="shared" si="15"/>
        <v/>
      </c>
      <c r="J166" s="242"/>
      <c r="K166" s="243"/>
      <c r="L166" s="243"/>
      <c r="M166" s="243"/>
      <c r="N166" s="244" t="str">
        <f t="shared" si="16"/>
        <v/>
      </c>
      <c r="O166" s="221"/>
      <c r="P166" s="233">
        <f>IF($D166="",0,IFERROR(INDEX('Project Types'!$E$5:$E$13,MATCH($D166,'Project Types'!$A$5:$A$13,0)),1))</f>
        <v>0</v>
      </c>
      <c r="Q166" s="14"/>
      <c r="R166" s="14"/>
      <c r="S166" s="14"/>
      <c r="T166" s="14"/>
      <c r="U166" s="14"/>
      <c r="AG166"/>
      <c r="AH166"/>
      <c r="AI166"/>
      <c r="AJ166"/>
      <c r="AK166"/>
      <c r="AL166"/>
      <c r="AM166"/>
      <c r="AN166"/>
      <c r="AO166"/>
      <c r="AP166"/>
      <c r="AQ166"/>
      <c r="AR166"/>
    </row>
    <row r="167" spans="1:21" x14ac:dyDescent="0.3">
      <c r="A167" s="223"/>
      <c r="B167" s="224" t="str">
        <f>IF($A167="","",IFERROR(INDEX(Inputs!$B$6:$B$80,MATCH($A167,Inputs!$A$6:$A$80,0)),"not in register"))</f>
        <v/>
      </c>
      <c r="C167" s="223"/>
      <c r="D167" s="223"/>
      <c r="E167" s="225"/>
      <c r="F167" s="226"/>
      <c r="G167" s="227" t="str">
        <f>IF(OR($D167="",$F167=""),"",IFERROR(INDEX('Rules of Credit'!$C$5:$C$38,MATCH($D167&amp;"|"&amp;$F167,'Rules of Credit'!$F$5:$F$38,0)),"invalid step"))</f>
        <v/>
      </c>
      <c r="H167" s="228" t="str">
        <f>IF(OR($D167="",$F167=""),"",IFERROR(INDEX('Rules of Credit'!$D$5:$D$38,MATCH($D167&amp;"|"&amp;$F167,'Rules of Credit'!$F$5:$F$38,0)),""))</f>
        <v/>
      </c>
      <c r="I167" s="229" t="str">
        <f t="shared" si="15"/>
        <v/>
      </c>
      <c r="J167" s="242"/>
      <c r="K167" s="243"/>
      <c r="L167" s="243"/>
      <c r="M167" s="243"/>
      <c r="N167" s="244" t="str">
        <f t="shared" si="16"/>
        <v/>
      </c>
      <c r="O167" s="221"/>
      <c r="P167" s="233">
        <f>IF($D167="",0,IFERROR(INDEX('Project Types'!$E$5:$E$13,MATCH($D167,'Project Types'!$A$5:$A$13,0)),1))</f>
        <v>0</v>
      </c>
      <c r="Q167" s="14"/>
      <c r="R167" s="14"/>
      <c r="S167" s="14"/>
      <c r="T167" s="14"/>
      <c r="U167" s="14"/>
      <c r="AG167"/>
      <c r="AH167"/>
      <c r="AI167"/>
      <c r="AJ167"/>
      <c r="AK167"/>
      <c r="AL167"/>
      <c r="AM167"/>
      <c r="AN167"/>
      <c r="AO167"/>
      <c r="AP167"/>
      <c r="AQ167"/>
      <c r="AR167"/>
    </row>
    <row r="168" spans="1:21" x14ac:dyDescent="0.3">
      <c r="A168" s="223"/>
      <c r="B168" s="224" t="str">
        <f>IF($A168="","",IFERROR(INDEX(Inputs!$B$6:$B$80,MATCH($A168,Inputs!$A$6:$A$80,0)),"not in register"))</f>
        <v/>
      </c>
      <c r="C168" s="223"/>
      <c r="D168" s="223"/>
      <c r="E168" s="225"/>
      <c r="F168" s="226"/>
      <c r="G168" s="227" t="str">
        <f>IF(OR($D168="",$F168=""),"",IFERROR(INDEX('Rules of Credit'!$C$5:$C$38,MATCH($D168&amp;"|"&amp;$F168,'Rules of Credit'!$F$5:$F$38,0)),"invalid step"))</f>
        <v/>
      </c>
      <c r="H168" s="228" t="str">
        <f>IF(OR($D168="",$F168=""),"",IFERROR(INDEX('Rules of Credit'!$D$5:$D$38,MATCH($D168&amp;"|"&amp;$F168,'Rules of Credit'!$F$5:$F$38,0)),""))</f>
        <v/>
      </c>
      <c r="I168" s="229" t="str">
        <f t="shared" si="15"/>
        <v/>
      </c>
      <c r="J168" s="242"/>
      <c r="K168" s="243"/>
      <c r="L168" s="243"/>
      <c r="M168" s="243"/>
      <c r="N168" s="244" t="str">
        <f t="shared" si="16"/>
        <v/>
      </c>
      <c r="O168" s="221"/>
      <c r="P168" s="233">
        <f>IF($D168="",0,IFERROR(INDEX('Project Types'!$E$5:$E$13,MATCH($D168,'Project Types'!$A$5:$A$13,0)),1))</f>
        <v>0</v>
      </c>
      <c r="Q168" s="14"/>
      <c r="R168" s="14"/>
      <c r="S168" s="14"/>
      <c r="T168" s="14"/>
      <c r="U168" s="14"/>
      <c r="AG168"/>
      <c r="AH168"/>
      <c r="AI168"/>
      <c r="AJ168"/>
      <c r="AK168"/>
      <c r="AL168"/>
      <c r="AM168"/>
      <c r="AN168"/>
      <c r="AO168"/>
      <c r="AP168"/>
      <c r="AQ168"/>
      <c r="AR168"/>
    </row>
    <row r="169" spans="1:21" x14ac:dyDescent="0.3">
      <c r="A169" s="223"/>
      <c r="B169" s="224" t="str">
        <f>IF($A169="","",IFERROR(INDEX(Inputs!$B$6:$B$80,MATCH($A169,Inputs!$A$6:$A$80,0)),"not in register"))</f>
        <v/>
      </c>
      <c r="C169" s="223"/>
      <c r="D169" s="223"/>
      <c r="E169" s="225"/>
      <c r="F169" s="226"/>
      <c r="G169" s="227" t="str">
        <f>IF(OR($D169="",$F169=""),"",IFERROR(INDEX('Rules of Credit'!$C$5:$C$38,MATCH($D169&amp;"|"&amp;$F169,'Rules of Credit'!$F$5:$F$38,0)),"invalid step"))</f>
        <v/>
      </c>
      <c r="H169" s="228" t="str">
        <f>IF(OR($D169="",$F169=""),"",IFERROR(INDEX('Rules of Credit'!$D$5:$D$38,MATCH($D169&amp;"|"&amp;$F169,'Rules of Credit'!$F$5:$F$38,0)),""))</f>
        <v/>
      </c>
      <c r="I169" s="229" t="str">
        <f t="shared" si="15"/>
        <v/>
      </c>
      <c r="J169" s="242"/>
      <c r="K169" s="243"/>
      <c r="L169" s="243"/>
      <c r="M169" s="243"/>
      <c r="N169" s="244" t="str">
        <f t="shared" si="16"/>
        <v/>
      </c>
      <c r="O169" s="221"/>
      <c r="P169" s="233">
        <f>IF($D169="",0,IFERROR(INDEX('Project Types'!$E$5:$E$13,MATCH($D169,'Project Types'!$A$5:$A$13,0)),1))</f>
        <v>0</v>
      </c>
      <c r="Q169" s="14"/>
      <c r="R169" s="14"/>
      <c r="S169" s="14"/>
      <c r="T169" s="14"/>
      <c r="U169" s="14"/>
      <c r="AG169"/>
      <c r="AH169"/>
      <c r="AI169"/>
      <c r="AJ169"/>
      <c r="AK169"/>
      <c r="AL169"/>
      <c r="AM169"/>
      <c r="AN169"/>
      <c r="AO169"/>
      <c r="AP169"/>
      <c r="AQ169"/>
      <c r="AR169"/>
    </row>
    <row r="170" spans="1:21" x14ac:dyDescent="0.3">
      <c r="A170" s="223"/>
      <c r="B170" s="224" t="str">
        <f>IF($A170="","",IFERROR(INDEX(Inputs!$B$6:$B$80,MATCH($A170,Inputs!$A$6:$A$80,0)),"not in register"))</f>
        <v/>
      </c>
      <c r="C170" s="223"/>
      <c r="D170" s="223"/>
      <c r="E170" s="225"/>
      <c r="F170" s="226"/>
      <c r="G170" s="227" t="str">
        <f>IF(OR($D170="",$F170=""),"",IFERROR(INDEX('Rules of Credit'!$C$5:$C$38,MATCH($D170&amp;"|"&amp;$F170,'Rules of Credit'!$F$5:$F$38,0)),"invalid step"))</f>
        <v/>
      </c>
      <c r="H170" s="228" t="str">
        <f>IF(OR($D170="",$F170=""),"",IFERROR(INDEX('Rules of Credit'!$D$5:$D$38,MATCH($D170&amp;"|"&amp;$F170,'Rules of Credit'!$F$5:$F$38,0)),""))</f>
        <v/>
      </c>
      <c r="I170" s="229" t="str">
        <f t="shared" si="15"/>
        <v/>
      </c>
      <c r="J170" s="242"/>
      <c r="K170" s="243"/>
      <c r="L170" s="243"/>
      <c r="M170" s="243"/>
      <c r="N170" s="244" t="str">
        <f t="shared" si="16"/>
        <v/>
      </c>
      <c r="O170" s="221"/>
      <c r="P170" s="233">
        <f>IF($D170="",0,IFERROR(INDEX('Project Types'!$E$5:$E$13,MATCH($D170,'Project Types'!$A$5:$A$13,0)),1))</f>
        <v>0</v>
      </c>
      <c r="Q170" s="14"/>
      <c r="R170" s="14"/>
      <c r="S170" s="14"/>
      <c r="T170" s="14"/>
      <c r="U170" s="14"/>
      <c r="AG170"/>
      <c r="AH170"/>
      <c r="AI170"/>
      <c r="AJ170"/>
      <c r="AK170"/>
      <c r="AL170"/>
      <c r="AM170"/>
      <c r="AN170"/>
      <c r="AO170"/>
      <c r="AP170"/>
      <c r="AQ170"/>
      <c r="AR170"/>
    </row>
    <row r="171" spans="1:21" x14ac:dyDescent="0.3">
      <c r="A171" s="223"/>
      <c r="B171" s="224" t="str">
        <f>IF($A171="","",IFERROR(INDEX(Inputs!$B$6:$B$80,MATCH($A171,Inputs!$A$6:$A$80,0)),"not in register"))</f>
        <v/>
      </c>
      <c r="C171" s="223"/>
      <c r="D171" s="223"/>
      <c r="E171" s="225"/>
      <c r="F171" s="226"/>
      <c r="G171" s="227" t="str">
        <f>IF(OR($D171="",$F171=""),"",IFERROR(INDEX('Rules of Credit'!$C$5:$C$38,MATCH($D171&amp;"|"&amp;$F171,'Rules of Credit'!$F$5:$F$38,0)),"invalid step"))</f>
        <v/>
      </c>
      <c r="H171" s="228" t="str">
        <f>IF(OR($D171="",$F171=""),"",IFERROR(INDEX('Rules of Credit'!$D$5:$D$38,MATCH($D171&amp;"|"&amp;$F171,'Rules of Credit'!$F$5:$F$38,0)),""))</f>
        <v/>
      </c>
      <c r="I171" s="229" t="str">
        <f t="shared" si="15"/>
        <v/>
      </c>
      <c r="J171" s="242"/>
      <c r="K171" s="243"/>
      <c r="L171" s="243"/>
      <c r="M171" s="243"/>
      <c r="N171" s="244" t="str">
        <f t="shared" si="16"/>
        <v/>
      </c>
      <c r="O171" s="221"/>
      <c r="P171" s="233">
        <f>IF($D171="",0,IFERROR(INDEX('Project Types'!$E$5:$E$13,MATCH($D171,'Project Types'!$A$5:$A$13,0)),1))</f>
        <v>0</v>
      </c>
      <c r="Q171" s="14"/>
      <c r="R171" s="14"/>
      <c r="S171" s="14"/>
      <c r="T171" s="14"/>
      <c r="U171" s="14"/>
      <c r="AG171"/>
      <c r="AH171"/>
      <c r="AI171"/>
      <c r="AJ171"/>
      <c r="AK171"/>
      <c r="AL171"/>
      <c r="AM171"/>
      <c r="AN171"/>
      <c r="AO171"/>
      <c r="AP171"/>
      <c r="AQ171"/>
      <c r="AR171"/>
    </row>
    <row r="172" spans="1:21" x14ac:dyDescent="0.3">
      <c r="A172" s="223"/>
      <c r="B172" s="224" t="str">
        <f>IF($A172="","",IFERROR(INDEX(Inputs!$B$6:$B$80,MATCH($A172,Inputs!$A$6:$A$80,0)),"not in register"))</f>
        <v/>
      </c>
      <c r="C172" s="223"/>
      <c r="D172" s="223"/>
      <c r="E172" s="225"/>
      <c r="F172" s="226"/>
      <c r="G172" s="227" t="str">
        <f>IF(OR($D172="",$F172=""),"",IFERROR(INDEX('Rules of Credit'!$C$5:$C$38,MATCH($D172&amp;"|"&amp;$F172,'Rules of Credit'!$F$5:$F$38,0)),"invalid step"))</f>
        <v/>
      </c>
      <c r="H172" s="228" t="str">
        <f>IF(OR($D172="",$F172=""),"",IFERROR(INDEX('Rules of Credit'!$D$5:$D$38,MATCH($D172&amp;"|"&amp;$F172,'Rules of Credit'!$F$5:$F$38,0)),""))</f>
        <v/>
      </c>
      <c r="I172" s="229" t="str">
        <f t="shared" si="15"/>
        <v/>
      </c>
      <c r="J172" s="242"/>
      <c r="K172" s="243"/>
      <c r="L172" s="243"/>
      <c r="M172" s="243"/>
      <c r="N172" s="244" t="str">
        <f t="shared" si="16"/>
        <v/>
      </c>
      <c r="O172" s="221"/>
      <c r="P172" s="233">
        <f>IF($D172="",0,IFERROR(INDEX('Project Types'!$E$5:$E$13,MATCH($D172,'Project Types'!$A$5:$A$13,0)),1))</f>
        <v>0</v>
      </c>
      <c r="Q172" s="14"/>
      <c r="R172" s="14"/>
      <c r="S172" s="14"/>
      <c r="T172" s="14"/>
      <c r="U172" s="14"/>
      <c r="AG172"/>
      <c r="AH172"/>
      <c r="AI172"/>
      <c r="AJ172"/>
      <c r="AK172"/>
      <c r="AL172"/>
      <c r="AM172"/>
      <c r="AN172"/>
      <c r="AO172"/>
      <c r="AP172"/>
      <c r="AQ172"/>
      <c r="AR172"/>
    </row>
    <row r="173" spans="1:21" x14ac:dyDescent="0.3">
      <c r="A173" s="223"/>
      <c r="B173" s="224" t="str">
        <f>IF($A173="","",IFERROR(INDEX(Inputs!$B$6:$B$80,MATCH($A173,Inputs!$A$6:$A$80,0)),"not in register"))</f>
        <v/>
      </c>
      <c r="C173" s="223"/>
      <c r="D173" s="223"/>
      <c r="E173" s="225"/>
      <c r="F173" s="226"/>
      <c r="G173" s="227" t="str">
        <f>IF(OR($D173="",$F173=""),"",IFERROR(INDEX('Rules of Credit'!$C$5:$C$38,MATCH($D173&amp;"|"&amp;$F173,'Rules of Credit'!$F$5:$F$38,0)),"invalid step"))</f>
        <v/>
      </c>
      <c r="H173" s="228" t="str">
        <f>IF(OR($D173="",$F173=""),"",IFERROR(INDEX('Rules of Credit'!$D$5:$D$38,MATCH($D173&amp;"|"&amp;$F173,'Rules of Credit'!$F$5:$F$38,0)),""))</f>
        <v/>
      </c>
      <c r="I173" s="229" t="str">
        <f t="shared" si="15"/>
        <v/>
      </c>
      <c r="J173" s="242"/>
      <c r="K173" s="243"/>
      <c r="L173" s="243"/>
      <c r="M173" s="243"/>
      <c r="N173" s="244" t="str">
        <f t="shared" si="16"/>
        <v/>
      </c>
      <c r="O173" s="221"/>
      <c r="P173" s="233">
        <f>IF($D173="",0,IFERROR(INDEX('Project Types'!$E$5:$E$13,MATCH($D173,'Project Types'!$A$5:$A$13,0)),1))</f>
        <v>0</v>
      </c>
      <c r="Q173" s="14"/>
      <c r="R173" s="14"/>
      <c r="S173" s="14"/>
      <c r="T173" s="14"/>
      <c r="U173" s="14"/>
      <c r="AG173"/>
      <c r="AH173"/>
      <c r="AI173"/>
      <c r="AJ173"/>
      <c r="AK173"/>
      <c r="AL173"/>
      <c r="AM173"/>
      <c r="AN173"/>
      <c r="AO173"/>
      <c r="AP173"/>
      <c r="AQ173"/>
      <c r="AR173"/>
    </row>
    <row r="174" spans="1:21" x14ac:dyDescent="0.3">
      <c r="A174" s="223"/>
      <c r="B174" s="224" t="str">
        <f>IF($A174="","",IFERROR(INDEX(Inputs!$B$6:$B$80,MATCH($A174,Inputs!$A$6:$A$80,0)),"not in register"))</f>
        <v/>
      </c>
      <c r="C174" s="223"/>
      <c r="D174" s="223"/>
      <c r="E174" s="225"/>
      <c r="F174" s="226"/>
      <c r="G174" s="227" t="str">
        <f>IF(OR($D174="",$F174=""),"",IFERROR(INDEX('Rules of Credit'!$C$5:$C$38,MATCH($D174&amp;"|"&amp;$F174,'Rules of Credit'!$F$5:$F$38,0)),"invalid step"))</f>
        <v/>
      </c>
      <c r="H174" s="228" t="str">
        <f>IF(OR($D174="",$F174=""),"",IFERROR(INDEX('Rules of Credit'!$D$5:$D$38,MATCH($D174&amp;"|"&amp;$F174,'Rules of Credit'!$F$5:$F$38,0)),""))</f>
        <v/>
      </c>
      <c r="I174" s="229" t="str">
        <f t="shared" si="15"/>
        <v/>
      </c>
      <c r="J174" s="242"/>
      <c r="K174" s="243"/>
      <c r="L174" s="243"/>
      <c r="M174" s="243"/>
      <c r="N174" s="244" t="str">
        <f t="shared" si="16"/>
        <v/>
      </c>
      <c r="O174" s="221"/>
      <c r="P174" s="233">
        <f>IF($D174="",0,IFERROR(INDEX('Project Types'!$E$5:$E$13,MATCH($D174,'Project Types'!$A$5:$A$13,0)),1))</f>
        <v>0</v>
      </c>
      <c r="Q174" s="14"/>
      <c r="R174" s="14"/>
      <c r="S174" s="14"/>
      <c r="T174" s="14"/>
      <c r="U174" s="14"/>
      <c r="AG174"/>
      <c r="AH174"/>
      <c r="AI174"/>
      <c r="AJ174"/>
      <c r="AK174"/>
      <c r="AL174"/>
      <c r="AM174"/>
      <c r="AN174"/>
      <c r="AO174"/>
      <c r="AP174"/>
      <c r="AQ174"/>
      <c r="AR174"/>
    </row>
    <row r="175" spans="1:21" x14ac:dyDescent="0.3">
      <c r="A175" s="223"/>
      <c r="B175" s="224" t="str">
        <f>IF($A175="","",IFERROR(INDEX(Inputs!$B$6:$B$80,MATCH($A175,Inputs!$A$6:$A$80,0)),"not in register"))</f>
        <v/>
      </c>
      <c r="C175" s="223"/>
      <c r="D175" s="223"/>
      <c r="E175" s="225"/>
      <c r="F175" s="226"/>
      <c r="G175" s="227" t="str">
        <f>IF(OR($D175="",$F175=""),"",IFERROR(INDEX('Rules of Credit'!$C$5:$C$38,MATCH($D175&amp;"|"&amp;$F175,'Rules of Credit'!$F$5:$F$38,0)),"invalid step"))</f>
        <v/>
      </c>
      <c r="H175" s="228" t="str">
        <f>IF(OR($D175="",$F175=""),"",IFERROR(INDEX('Rules of Credit'!$D$5:$D$38,MATCH($D175&amp;"|"&amp;$F175,'Rules of Credit'!$F$5:$F$38,0)),""))</f>
        <v/>
      </c>
      <c r="I175" s="229" t="str">
        <f t="shared" si="15"/>
        <v/>
      </c>
      <c r="J175" s="242"/>
      <c r="K175" s="243"/>
      <c r="L175" s="243"/>
      <c r="M175" s="243"/>
      <c r="N175" s="244" t="str">
        <f t="shared" si="16"/>
        <v/>
      </c>
      <c r="O175" s="221"/>
      <c r="P175" s="233">
        <f>IF($D175="",0,IFERROR(INDEX('Project Types'!$E$5:$E$13,MATCH($D175,'Project Types'!$A$5:$A$13,0)),1))</f>
        <v>0</v>
      </c>
      <c r="Q175" s="14"/>
      <c r="R175" s="14"/>
      <c r="S175" s="14"/>
      <c r="T175" s="14"/>
      <c r="U175" s="14"/>
      <c r="AG175"/>
      <c r="AH175"/>
      <c r="AI175"/>
      <c r="AJ175"/>
      <c r="AK175"/>
      <c r="AL175"/>
      <c r="AM175"/>
      <c r="AN175"/>
      <c r="AO175"/>
      <c r="AP175"/>
      <c r="AQ175"/>
      <c r="AR175"/>
    </row>
    <row r="176" spans="1:21" x14ac:dyDescent="0.3">
      <c r="A176" s="223"/>
      <c r="B176" s="224" t="str">
        <f>IF($A176="","",IFERROR(INDEX(Inputs!$B$6:$B$80,MATCH($A176,Inputs!$A$6:$A$80,0)),"not in register"))</f>
        <v/>
      </c>
      <c r="C176" s="223"/>
      <c r="D176" s="223"/>
      <c r="E176" s="225"/>
      <c r="F176" s="226"/>
      <c r="G176" s="227" t="str">
        <f>IF(OR($D176="",$F176=""),"",IFERROR(INDEX('Rules of Credit'!$C$5:$C$38,MATCH($D176&amp;"|"&amp;$F176,'Rules of Credit'!$F$5:$F$38,0)),"invalid step"))</f>
        <v/>
      </c>
      <c r="H176" s="228" t="str">
        <f>IF(OR($D176="",$F176=""),"",IFERROR(INDEX('Rules of Credit'!$D$5:$D$38,MATCH($D176&amp;"|"&amp;$F176,'Rules of Credit'!$F$5:$F$38,0)),""))</f>
        <v/>
      </c>
      <c r="I176" s="229" t="str">
        <f t="shared" si="15"/>
        <v/>
      </c>
      <c r="J176" s="242"/>
      <c r="K176" s="243"/>
      <c r="L176" s="243"/>
      <c r="M176" s="243"/>
      <c r="N176" s="244" t="str">
        <f t="shared" si="16"/>
        <v/>
      </c>
      <c r="O176" s="221"/>
      <c r="P176" s="233">
        <f>IF($D176="",0,IFERROR(INDEX('Project Types'!$E$5:$E$13,MATCH($D176,'Project Types'!$A$5:$A$13,0)),1))</f>
        <v>0</v>
      </c>
      <c r="Q176" s="14"/>
      <c r="R176" s="14"/>
      <c r="S176" s="14"/>
      <c r="T176" s="14"/>
      <c r="U176" s="14"/>
      <c r="AG176"/>
      <c r="AH176"/>
      <c r="AI176"/>
      <c r="AJ176"/>
      <c r="AK176"/>
      <c r="AL176"/>
      <c r="AM176"/>
      <c r="AN176"/>
      <c r="AO176"/>
      <c r="AP176"/>
      <c r="AQ176"/>
      <c r="AR176"/>
    </row>
    <row r="177" spans="1:21" x14ac:dyDescent="0.3">
      <c r="A177" s="223"/>
      <c r="B177" s="224" t="str">
        <f>IF($A177="","",IFERROR(INDEX(Inputs!$B$6:$B$80,MATCH($A177,Inputs!$A$6:$A$80,0)),"not in register"))</f>
        <v/>
      </c>
      <c r="C177" s="223"/>
      <c r="D177" s="223"/>
      <c r="E177" s="225"/>
      <c r="F177" s="226"/>
      <c r="G177" s="227" t="str">
        <f>IF(OR($D177="",$F177=""),"",IFERROR(INDEX('Rules of Credit'!$C$5:$C$38,MATCH($D177&amp;"|"&amp;$F177,'Rules of Credit'!$F$5:$F$38,0)),"invalid step"))</f>
        <v/>
      </c>
      <c r="H177" s="228" t="str">
        <f>IF(OR($D177="",$F177=""),"",IFERROR(INDEX('Rules of Credit'!$D$5:$D$38,MATCH($D177&amp;"|"&amp;$F177,'Rules of Credit'!$F$5:$F$38,0)),""))</f>
        <v/>
      </c>
      <c r="I177" s="229" t="str">
        <f t="shared" si="15"/>
        <v/>
      </c>
      <c r="J177" s="242"/>
      <c r="K177" s="243"/>
      <c r="L177" s="243"/>
      <c r="M177" s="243"/>
      <c r="N177" s="244" t="str">
        <f t="shared" si="16"/>
        <v/>
      </c>
      <c r="O177" s="221"/>
      <c r="P177" s="233">
        <f>IF($D177="",0,IFERROR(INDEX('Project Types'!$E$5:$E$13,MATCH($D177,'Project Types'!$A$5:$A$13,0)),1))</f>
        <v>0</v>
      </c>
      <c r="Q177" s="14"/>
      <c r="R177" s="14"/>
      <c r="S177" s="14"/>
      <c r="T177" s="14"/>
      <c r="U177" s="14"/>
      <c r="AG177"/>
      <c r="AH177"/>
      <c r="AI177"/>
      <c r="AJ177"/>
      <c r="AK177"/>
      <c r="AL177"/>
      <c r="AM177"/>
      <c r="AN177"/>
      <c r="AO177"/>
      <c r="AP177"/>
      <c r="AQ177"/>
      <c r="AR177"/>
    </row>
    <row r="178" spans="1:21" x14ac:dyDescent="0.3">
      <c r="A178" s="223"/>
      <c r="B178" s="224" t="str">
        <f>IF($A178="","",IFERROR(INDEX(Inputs!$B$6:$B$80,MATCH($A178,Inputs!$A$6:$A$80,0)),"not in register"))</f>
        <v/>
      </c>
      <c r="C178" s="223"/>
      <c r="D178" s="223"/>
      <c r="E178" s="225"/>
      <c r="F178" s="226"/>
      <c r="G178" s="227" t="str">
        <f>IF(OR($D178="",$F178=""),"",IFERROR(INDEX('Rules of Credit'!$C$5:$C$38,MATCH($D178&amp;"|"&amp;$F178,'Rules of Credit'!$F$5:$F$38,0)),"invalid step"))</f>
        <v/>
      </c>
      <c r="H178" s="228" t="str">
        <f>IF(OR($D178="",$F178=""),"",IFERROR(INDEX('Rules of Credit'!$D$5:$D$38,MATCH($D178&amp;"|"&amp;$F178,'Rules of Credit'!$F$5:$F$38,0)),""))</f>
        <v/>
      </c>
      <c r="I178" s="229" t="str">
        <f t="shared" si="15"/>
        <v/>
      </c>
      <c r="J178" s="242"/>
      <c r="K178" s="243"/>
      <c r="L178" s="243"/>
      <c r="M178" s="243"/>
      <c r="N178" s="244" t="str">
        <f t="shared" si="16"/>
        <v/>
      </c>
      <c r="O178" s="221"/>
      <c r="P178" s="233">
        <f>IF($D178="",0,IFERROR(INDEX('Project Types'!$E$5:$E$13,MATCH($D178,'Project Types'!$A$5:$A$13,0)),1))</f>
        <v>0</v>
      </c>
      <c r="Q178" s="14"/>
      <c r="R178" s="14"/>
      <c r="S178" s="14"/>
      <c r="T178" s="14"/>
      <c r="U178" s="14"/>
      <c r="AG178"/>
      <c r="AH178"/>
      <c r="AI178"/>
      <c r="AJ178"/>
      <c r="AK178"/>
      <c r="AL178"/>
      <c r="AM178"/>
      <c r="AN178"/>
      <c r="AO178"/>
      <c r="AP178"/>
      <c r="AQ178"/>
      <c r="AR178"/>
    </row>
    <row r="179" spans="1:21" x14ac:dyDescent="0.3">
      <c r="A179" s="223"/>
      <c r="B179" s="224" t="str">
        <f>IF($A179="","",IFERROR(INDEX(Inputs!$B$6:$B$80,MATCH($A179,Inputs!$A$6:$A$80,0)),"not in register"))</f>
        <v/>
      </c>
      <c r="C179" s="223"/>
      <c r="D179" s="223"/>
      <c r="E179" s="225"/>
      <c r="F179" s="226"/>
      <c r="G179" s="227" t="str">
        <f>IF(OR($D179="",$F179=""),"",IFERROR(INDEX('Rules of Credit'!$C$5:$C$38,MATCH($D179&amp;"|"&amp;$F179,'Rules of Credit'!$F$5:$F$38,0)),"invalid step"))</f>
        <v/>
      </c>
      <c r="H179" s="228" t="str">
        <f>IF(OR($D179="",$F179=""),"",IFERROR(INDEX('Rules of Credit'!$D$5:$D$38,MATCH($D179&amp;"|"&amp;$F179,'Rules of Credit'!$F$5:$F$38,0)),""))</f>
        <v/>
      </c>
      <c r="I179" s="229" t="str">
        <f t="shared" si="15"/>
        <v/>
      </c>
      <c r="J179" s="242"/>
      <c r="K179" s="243"/>
      <c r="L179" s="243"/>
      <c r="M179" s="243"/>
      <c r="N179" s="244" t="str">
        <f t="shared" si="16"/>
        <v/>
      </c>
      <c r="O179" s="221"/>
      <c r="P179" s="233">
        <f>IF($D179="",0,IFERROR(INDEX('Project Types'!$E$5:$E$13,MATCH($D179,'Project Types'!$A$5:$A$13,0)),1))</f>
        <v>0</v>
      </c>
      <c r="Q179" s="14"/>
      <c r="R179" s="14"/>
      <c r="S179" s="14"/>
      <c r="T179" s="14"/>
      <c r="U179" s="14"/>
      <c r="AG179"/>
      <c r="AH179"/>
      <c r="AI179"/>
      <c r="AJ179"/>
      <c r="AK179"/>
      <c r="AL179"/>
      <c r="AM179"/>
      <c r="AN179"/>
      <c r="AO179"/>
      <c r="AP179"/>
      <c r="AQ179"/>
      <c r="AR179"/>
    </row>
    <row r="180" spans="1:21" x14ac:dyDescent="0.3">
      <c r="A180" s="223"/>
      <c r="B180" s="224" t="str">
        <f>IF($A180="","",IFERROR(INDEX(Inputs!$B$6:$B$80,MATCH($A180,Inputs!$A$6:$A$80,0)),"not in register"))</f>
        <v/>
      </c>
      <c r="C180" s="223"/>
      <c r="D180" s="223"/>
      <c r="E180" s="225"/>
      <c r="F180" s="226"/>
      <c r="G180" s="227" t="str">
        <f>IF(OR($D180="",$F180=""),"",IFERROR(INDEX('Rules of Credit'!$C$5:$C$38,MATCH($D180&amp;"|"&amp;$F180,'Rules of Credit'!$F$5:$F$38,0)),"invalid step"))</f>
        <v/>
      </c>
      <c r="H180" s="228" t="str">
        <f>IF(OR($D180="",$F180=""),"",IFERROR(INDEX('Rules of Credit'!$D$5:$D$38,MATCH($D180&amp;"|"&amp;$F180,'Rules of Credit'!$F$5:$F$38,0)),""))</f>
        <v/>
      </c>
      <c r="I180" s="229" t="str">
        <f t="shared" si="15"/>
        <v/>
      </c>
      <c r="J180" s="242"/>
      <c r="K180" s="243"/>
      <c r="L180" s="243"/>
      <c r="M180" s="243"/>
      <c r="N180" s="244" t="str">
        <f t="shared" si="16"/>
        <v/>
      </c>
      <c r="O180" s="221"/>
      <c r="P180" s="233">
        <f>IF($D180="",0,IFERROR(INDEX('Project Types'!$E$5:$E$13,MATCH($D180,'Project Types'!$A$5:$A$13,0)),1))</f>
        <v>0</v>
      </c>
      <c r="Q180" s="14"/>
      <c r="R180" s="14"/>
      <c r="S180" s="14"/>
      <c r="T180" s="14"/>
      <c r="U180" s="14"/>
      <c r="AG180"/>
      <c r="AH180"/>
      <c r="AI180"/>
      <c r="AJ180"/>
      <c r="AK180"/>
      <c r="AL180"/>
      <c r="AM180"/>
      <c r="AN180"/>
      <c r="AO180"/>
      <c r="AP180"/>
      <c r="AQ180"/>
      <c r="AR180"/>
    </row>
    <row r="181" spans="1:21" x14ac:dyDescent="0.3">
      <c r="A181" s="223"/>
      <c r="B181" s="224" t="str">
        <f>IF($A181="","",IFERROR(INDEX(Inputs!$B$6:$B$80,MATCH($A181,Inputs!$A$6:$A$80,0)),"not in register"))</f>
        <v/>
      </c>
      <c r="C181" s="223"/>
      <c r="D181" s="223"/>
      <c r="E181" s="225"/>
      <c r="F181" s="226"/>
      <c r="G181" s="227" t="str">
        <f>IF(OR($D181="",$F181=""),"",IFERROR(INDEX('Rules of Credit'!$C$5:$C$38,MATCH($D181&amp;"|"&amp;$F181,'Rules of Credit'!$F$5:$F$38,0)),"invalid step"))</f>
        <v/>
      </c>
      <c r="H181" s="228" t="str">
        <f>IF(OR($D181="",$F181=""),"",IFERROR(INDEX('Rules of Credit'!$D$5:$D$38,MATCH($D181&amp;"|"&amp;$F181,'Rules of Credit'!$F$5:$F$38,0)),""))</f>
        <v/>
      </c>
      <c r="I181" s="229" t="str">
        <f t="shared" si="15"/>
        <v/>
      </c>
      <c r="J181" s="242"/>
      <c r="K181" s="243"/>
      <c r="L181" s="243"/>
      <c r="M181" s="243"/>
      <c r="N181" s="244" t="str">
        <f t="shared" si="16"/>
        <v/>
      </c>
      <c r="O181" s="221"/>
      <c r="P181" s="233">
        <f>IF($D181="",0,IFERROR(INDEX('Project Types'!$E$5:$E$13,MATCH($D181,'Project Types'!$A$5:$A$13,0)),1))</f>
        <v>0</v>
      </c>
      <c r="Q181" s="14"/>
      <c r="R181" s="14"/>
      <c r="S181" s="14"/>
      <c r="T181" s="14"/>
      <c r="U181" s="14"/>
      <c r="AG181"/>
      <c r="AH181"/>
      <c r="AI181"/>
      <c r="AJ181"/>
      <c r="AK181"/>
      <c r="AL181"/>
      <c r="AM181"/>
      <c r="AN181"/>
      <c r="AO181"/>
      <c r="AP181"/>
      <c r="AQ181"/>
      <c r="AR181"/>
    </row>
    <row r="182" spans="1:21" x14ac:dyDescent="0.3">
      <c r="A182" s="223"/>
      <c r="B182" s="224" t="str">
        <f>IF($A182="","",IFERROR(INDEX(Inputs!$B$6:$B$80,MATCH($A182,Inputs!$A$6:$A$80,0)),"not in register"))</f>
        <v/>
      </c>
      <c r="C182" s="223"/>
      <c r="D182" s="223"/>
      <c r="E182" s="225"/>
      <c r="F182" s="226"/>
      <c r="G182" s="227" t="str">
        <f>IF(OR($D182="",$F182=""),"",IFERROR(INDEX('Rules of Credit'!$C$5:$C$38,MATCH($D182&amp;"|"&amp;$F182,'Rules of Credit'!$F$5:$F$38,0)),"invalid step"))</f>
        <v/>
      </c>
      <c r="H182" s="228" t="str">
        <f>IF(OR($D182="",$F182=""),"",IFERROR(INDEX('Rules of Credit'!$D$5:$D$38,MATCH($D182&amp;"|"&amp;$F182,'Rules of Credit'!$F$5:$F$38,0)),""))</f>
        <v/>
      </c>
      <c r="I182" s="229" t="str">
        <f t="shared" si="15"/>
        <v/>
      </c>
      <c r="J182" s="242"/>
      <c r="K182" s="243"/>
      <c r="L182" s="243"/>
      <c r="M182" s="243"/>
      <c r="N182" s="244" t="str">
        <f t="shared" si="16"/>
        <v/>
      </c>
      <c r="O182" s="221"/>
      <c r="P182" s="233">
        <f>IF($D182="",0,IFERROR(INDEX('Project Types'!$E$5:$E$13,MATCH($D182,'Project Types'!$A$5:$A$13,0)),1))</f>
        <v>0</v>
      </c>
      <c r="Q182" s="14"/>
      <c r="R182" s="14"/>
      <c r="S182" s="14"/>
      <c r="T182" s="14"/>
      <c r="U182" s="14"/>
      <c r="AG182"/>
      <c r="AH182"/>
      <c r="AI182"/>
      <c r="AJ182"/>
      <c r="AK182"/>
      <c r="AL182"/>
      <c r="AM182"/>
      <c r="AN182"/>
      <c r="AO182"/>
      <c r="AP182"/>
      <c r="AQ182"/>
      <c r="AR182"/>
    </row>
    <row r="183" spans="1:21" x14ac:dyDescent="0.3">
      <c r="A183" s="223"/>
      <c r="B183" s="224" t="str">
        <f>IF($A183="","",IFERROR(INDEX(Inputs!$B$6:$B$80,MATCH($A183,Inputs!$A$6:$A$80,0)),"not in register"))</f>
        <v/>
      </c>
      <c r="C183" s="223"/>
      <c r="D183" s="223"/>
      <c r="E183" s="225"/>
      <c r="F183" s="226"/>
      <c r="G183" s="227" t="str">
        <f>IF(OR($D183="",$F183=""),"",IFERROR(INDEX('Rules of Credit'!$C$5:$C$38,MATCH($D183&amp;"|"&amp;$F183,'Rules of Credit'!$F$5:$F$38,0)),"invalid step"))</f>
        <v/>
      </c>
      <c r="H183" s="228" t="str">
        <f>IF(OR($D183="",$F183=""),"",IFERROR(INDEX('Rules of Credit'!$D$5:$D$38,MATCH($D183&amp;"|"&amp;$F183,'Rules of Credit'!$F$5:$F$38,0)),""))</f>
        <v/>
      </c>
      <c r="I183" s="229" t="str">
        <f t="shared" si="15"/>
        <v/>
      </c>
      <c r="J183" s="242"/>
      <c r="K183" s="243"/>
      <c r="L183" s="243"/>
      <c r="M183" s="243"/>
      <c r="N183" s="244" t="str">
        <f t="shared" si="16"/>
        <v/>
      </c>
      <c r="O183" s="221"/>
      <c r="P183" s="233">
        <f>IF($D183="",0,IFERROR(INDEX('Project Types'!$E$5:$E$13,MATCH($D183,'Project Types'!$A$5:$A$13,0)),1))</f>
        <v>0</v>
      </c>
      <c r="Q183" s="14"/>
      <c r="R183" s="14"/>
      <c r="S183" s="14"/>
      <c r="T183" s="14"/>
      <c r="U183" s="14"/>
      <c r="AG183"/>
      <c r="AH183"/>
      <c r="AI183"/>
      <c r="AJ183"/>
      <c r="AK183"/>
      <c r="AL183"/>
      <c r="AM183"/>
      <c r="AN183"/>
      <c r="AO183"/>
      <c r="AP183"/>
      <c r="AQ183"/>
      <c r="AR183"/>
    </row>
    <row r="184" spans="1:21" x14ac:dyDescent="0.3">
      <c r="A184" s="223"/>
      <c r="B184" s="224" t="str">
        <f>IF($A184="","",IFERROR(INDEX(Inputs!$B$6:$B$80,MATCH($A184,Inputs!$A$6:$A$80,0)),"not in register"))</f>
        <v/>
      </c>
      <c r="C184" s="223"/>
      <c r="D184" s="223"/>
      <c r="E184" s="225"/>
      <c r="F184" s="226"/>
      <c r="G184" s="227" t="str">
        <f>IF(OR($D184="",$F184=""),"",IFERROR(INDEX('Rules of Credit'!$C$5:$C$38,MATCH($D184&amp;"|"&amp;$F184,'Rules of Credit'!$F$5:$F$38,0)),"invalid step"))</f>
        <v/>
      </c>
      <c r="H184" s="228" t="str">
        <f>IF(OR($D184="",$F184=""),"",IFERROR(INDEX('Rules of Credit'!$D$5:$D$38,MATCH($D184&amp;"|"&amp;$F184,'Rules of Credit'!$F$5:$F$38,0)),""))</f>
        <v/>
      </c>
      <c r="I184" s="229" t="str">
        <f t="shared" si="15"/>
        <v/>
      </c>
      <c r="J184" s="242"/>
      <c r="K184" s="243"/>
      <c r="L184" s="243"/>
      <c r="M184" s="243"/>
      <c r="N184" s="244" t="str">
        <f t="shared" si="16"/>
        <v/>
      </c>
      <c r="O184" s="221"/>
      <c r="P184" s="233">
        <f>IF($D184="",0,IFERROR(INDEX('Project Types'!$E$5:$E$13,MATCH($D184,'Project Types'!$A$5:$A$13,0)),1))</f>
        <v>0</v>
      </c>
      <c r="Q184" s="14"/>
      <c r="R184" s="14"/>
      <c r="S184" s="14"/>
      <c r="T184" s="14"/>
      <c r="U184" s="14"/>
      <c r="AG184"/>
      <c r="AH184"/>
      <c r="AI184"/>
      <c r="AJ184"/>
      <c r="AK184"/>
      <c r="AL184"/>
      <c r="AM184"/>
      <c r="AN184"/>
      <c r="AO184"/>
      <c r="AP184"/>
      <c r="AQ184"/>
      <c r="AR184"/>
    </row>
    <row r="185" spans="1:21" x14ac:dyDescent="0.3">
      <c r="A185" s="223"/>
      <c r="B185" s="224" t="str">
        <f>IF($A185="","",IFERROR(INDEX(Inputs!$B$6:$B$80,MATCH($A185,Inputs!$A$6:$A$80,0)),"not in register"))</f>
        <v/>
      </c>
      <c r="C185" s="223"/>
      <c r="D185" s="223"/>
      <c r="E185" s="225"/>
      <c r="F185" s="226"/>
      <c r="G185" s="227" t="str">
        <f>IF(OR($D185="",$F185=""),"",IFERROR(INDEX('Rules of Credit'!$C$5:$C$38,MATCH($D185&amp;"|"&amp;$F185,'Rules of Credit'!$F$5:$F$38,0)),"invalid step"))</f>
        <v/>
      </c>
      <c r="H185" s="228" t="str">
        <f>IF(OR($D185="",$F185=""),"",IFERROR(INDEX('Rules of Credit'!$D$5:$D$38,MATCH($D185&amp;"|"&amp;$F185,'Rules of Credit'!$F$5:$F$38,0)),""))</f>
        <v/>
      </c>
      <c r="I185" s="229" t="str">
        <f t="shared" si="15"/>
        <v/>
      </c>
      <c r="J185" s="242"/>
      <c r="K185" s="243"/>
      <c r="L185" s="243"/>
      <c r="M185" s="243"/>
      <c r="N185" s="244" t="str">
        <f t="shared" si="16"/>
        <v/>
      </c>
      <c r="O185" s="221"/>
      <c r="P185" s="233">
        <f>IF($D185="",0,IFERROR(INDEX('Project Types'!$E$5:$E$13,MATCH($D185,'Project Types'!$A$5:$A$13,0)),1))</f>
        <v>0</v>
      </c>
      <c r="Q185" s="14"/>
      <c r="R185" s="14"/>
      <c r="S185" s="14"/>
      <c r="T185" s="14"/>
      <c r="U185" s="14"/>
      <c r="AG185"/>
      <c r="AH185"/>
      <c r="AI185"/>
      <c r="AJ185"/>
      <c r="AK185"/>
      <c r="AL185"/>
      <c r="AM185"/>
      <c r="AN185"/>
      <c r="AO185"/>
      <c r="AP185"/>
      <c r="AQ185"/>
      <c r="AR185"/>
    </row>
    <row r="186" spans="1:21" x14ac:dyDescent="0.3">
      <c r="A186" s="223"/>
      <c r="B186" s="224" t="str">
        <f>IF($A186="","",IFERROR(INDEX(Inputs!$B$6:$B$80,MATCH($A186,Inputs!$A$6:$A$80,0)),"not in register"))</f>
        <v/>
      </c>
      <c r="C186" s="223"/>
      <c r="D186" s="223"/>
      <c r="E186" s="225"/>
      <c r="F186" s="226"/>
      <c r="G186" s="227" t="str">
        <f>IF(OR($D186="",$F186=""),"",IFERROR(INDEX('Rules of Credit'!$C$5:$C$38,MATCH($D186&amp;"|"&amp;$F186,'Rules of Credit'!$F$5:$F$38,0)),"invalid step"))</f>
        <v/>
      </c>
      <c r="H186" s="228" t="str">
        <f>IF(OR($D186="",$F186=""),"",IFERROR(INDEX('Rules of Credit'!$D$5:$D$38,MATCH($D186&amp;"|"&amp;$F186,'Rules of Credit'!$F$5:$F$38,0)),""))</f>
        <v/>
      </c>
      <c r="I186" s="229" t="str">
        <f t="shared" si="15"/>
        <v/>
      </c>
      <c r="J186" s="242"/>
      <c r="K186" s="243"/>
      <c r="L186" s="243"/>
      <c r="M186" s="243"/>
      <c r="N186" s="244" t="str">
        <f t="shared" si="16"/>
        <v/>
      </c>
      <c r="O186" s="221"/>
      <c r="P186" s="233">
        <f>IF($D186="",0,IFERROR(INDEX('Project Types'!$E$5:$E$13,MATCH($D186,'Project Types'!$A$5:$A$13,0)),1))</f>
        <v>0</v>
      </c>
      <c r="Q186" s="14"/>
      <c r="R186" s="14"/>
      <c r="S186" s="14"/>
      <c r="T186" s="14"/>
      <c r="U186" s="14"/>
      <c r="AG186"/>
      <c r="AH186"/>
      <c r="AI186"/>
      <c r="AJ186"/>
      <c r="AK186"/>
      <c r="AL186"/>
      <c r="AM186"/>
      <c r="AN186"/>
      <c r="AO186"/>
      <c r="AP186"/>
      <c r="AQ186"/>
      <c r="AR186"/>
    </row>
    <row r="187" spans="1:21" x14ac:dyDescent="0.3">
      <c r="A187" s="223"/>
      <c r="B187" s="224" t="str">
        <f>IF($A187="","",IFERROR(INDEX(Inputs!$B$6:$B$80,MATCH($A187,Inputs!$A$6:$A$80,0)),"not in register"))</f>
        <v/>
      </c>
      <c r="C187" s="223"/>
      <c r="D187" s="223"/>
      <c r="E187" s="225"/>
      <c r="F187" s="226"/>
      <c r="G187" s="227" t="str">
        <f>IF(OR($D187="",$F187=""),"",IFERROR(INDEX('Rules of Credit'!$C$5:$C$38,MATCH($D187&amp;"|"&amp;$F187,'Rules of Credit'!$F$5:$F$38,0)),"invalid step"))</f>
        <v/>
      </c>
      <c r="H187" s="228" t="str">
        <f>IF(OR($D187="",$F187=""),"",IFERROR(INDEX('Rules of Credit'!$D$5:$D$38,MATCH($D187&amp;"|"&amp;$F187,'Rules of Credit'!$F$5:$F$38,0)),""))</f>
        <v/>
      </c>
      <c r="I187" s="229" t="str">
        <f t="shared" si="15"/>
        <v/>
      </c>
      <c r="J187" s="242"/>
      <c r="K187" s="243"/>
      <c r="L187" s="243"/>
      <c r="M187" s="243"/>
      <c r="N187" s="244" t="str">
        <f t="shared" si="16"/>
        <v/>
      </c>
      <c r="O187" s="221"/>
      <c r="P187" s="233">
        <f>IF($D187="",0,IFERROR(INDEX('Project Types'!$E$5:$E$13,MATCH($D187,'Project Types'!$A$5:$A$13,0)),1))</f>
        <v>0</v>
      </c>
      <c r="Q187" s="14"/>
      <c r="R187" s="14"/>
      <c r="S187" s="14"/>
      <c r="T187" s="14"/>
      <c r="U187" s="14"/>
      <c r="AG187"/>
      <c r="AH187"/>
      <c r="AI187"/>
      <c r="AJ187"/>
      <c r="AK187"/>
      <c r="AL187"/>
      <c r="AM187"/>
      <c r="AN187"/>
      <c r="AO187"/>
      <c r="AP187"/>
      <c r="AQ187"/>
      <c r="AR187"/>
    </row>
    <row r="188" spans="1:21" x14ac:dyDescent="0.3">
      <c r="A188" s="223"/>
      <c r="B188" s="224" t="str">
        <f>IF($A188="","",IFERROR(INDEX(Inputs!$B$6:$B$80,MATCH($A188,Inputs!$A$6:$A$80,0)),"not in register"))</f>
        <v/>
      </c>
      <c r="C188" s="223"/>
      <c r="D188" s="223"/>
      <c r="E188" s="225"/>
      <c r="F188" s="226"/>
      <c r="G188" s="227" t="str">
        <f>IF(OR($D188="",$F188=""),"",IFERROR(INDEX('Rules of Credit'!$C$5:$C$38,MATCH($D188&amp;"|"&amp;$F188,'Rules of Credit'!$F$5:$F$38,0)),"invalid step"))</f>
        <v/>
      </c>
      <c r="H188" s="228" t="str">
        <f>IF(OR($D188="",$F188=""),"",IFERROR(INDEX('Rules of Credit'!$D$5:$D$38,MATCH($D188&amp;"|"&amp;$F188,'Rules of Credit'!$F$5:$F$38,0)),""))</f>
        <v/>
      </c>
      <c r="I188" s="229" t="str">
        <f t="shared" si="15"/>
        <v/>
      </c>
      <c r="J188" s="242"/>
      <c r="K188" s="243"/>
      <c r="L188" s="243"/>
      <c r="M188" s="243"/>
      <c r="N188" s="244" t="str">
        <f t="shared" si="16"/>
        <v/>
      </c>
      <c r="O188" s="221"/>
      <c r="P188" s="233">
        <f>IF($D188="",0,IFERROR(INDEX('Project Types'!$E$5:$E$13,MATCH($D188,'Project Types'!$A$5:$A$13,0)),1))</f>
        <v>0</v>
      </c>
      <c r="Q188" s="14"/>
      <c r="R188" s="14"/>
      <c r="S188" s="14"/>
      <c r="T188" s="14"/>
      <c r="U188" s="14"/>
      <c r="AG188"/>
      <c r="AH188"/>
      <c r="AI188"/>
      <c r="AJ188"/>
      <c r="AK188"/>
      <c r="AL188"/>
      <c r="AM188"/>
      <c r="AN188"/>
      <c r="AO188"/>
      <c r="AP188"/>
      <c r="AQ188"/>
      <c r="AR188"/>
    </row>
    <row r="189" spans="1:21" x14ac:dyDescent="0.3">
      <c r="A189" s="223"/>
      <c r="B189" s="224" t="str">
        <f>IF($A189="","",IFERROR(INDEX(Inputs!$B$6:$B$80,MATCH($A189,Inputs!$A$6:$A$80,0)),"not in register"))</f>
        <v/>
      </c>
      <c r="C189" s="223"/>
      <c r="D189" s="223"/>
      <c r="E189" s="225"/>
      <c r="F189" s="226"/>
      <c r="G189" s="227" t="str">
        <f>IF(OR($D189="",$F189=""),"",IFERROR(INDEX('Rules of Credit'!$C$5:$C$38,MATCH($D189&amp;"|"&amp;$F189,'Rules of Credit'!$F$5:$F$38,0)),"invalid step"))</f>
        <v/>
      </c>
      <c r="H189" s="228" t="str">
        <f>IF(OR($D189="",$F189=""),"",IFERROR(INDEX('Rules of Credit'!$D$5:$D$38,MATCH($D189&amp;"|"&amp;$F189,'Rules of Credit'!$F$5:$F$38,0)),""))</f>
        <v/>
      </c>
      <c r="I189" s="229" t="str">
        <f t="shared" si="15"/>
        <v/>
      </c>
      <c r="J189" s="242"/>
      <c r="K189" s="243"/>
      <c r="L189" s="243"/>
      <c r="M189" s="243"/>
      <c r="N189" s="244" t="str">
        <f t="shared" si="16"/>
        <v/>
      </c>
      <c r="O189" s="221"/>
      <c r="P189" s="233">
        <f>IF($D189="",0,IFERROR(INDEX('Project Types'!$E$5:$E$13,MATCH($D189,'Project Types'!$A$5:$A$13,0)),1))</f>
        <v>0</v>
      </c>
      <c r="Q189" s="14"/>
      <c r="R189" s="14"/>
      <c r="S189" s="14"/>
      <c r="T189" s="14"/>
      <c r="U189" s="14"/>
      <c r="AG189"/>
      <c r="AH189"/>
      <c r="AI189"/>
      <c r="AJ189"/>
      <c r="AK189"/>
      <c r="AL189"/>
      <c r="AM189"/>
      <c r="AN189"/>
      <c r="AO189"/>
      <c r="AP189"/>
      <c r="AQ189"/>
      <c r="AR189"/>
    </row>
    <row r="190" spans="1:21" x14ac:dyDescent="0.3">
      <c r="A190" s="223"/>
      <c r="B190" s="224" t="str">
        <f>IF($A190="","",IFERROR(INDEX(Inputs!$B$6:$B$80,MATCH($A190,Inputs!$A$6:$A$80,0)),"not in register"))</f>
        <v/>
      </c>
      <c r="C190" s="223"/>
      <c r="D190" s="223"/>
      <c r="E190" s="225"/>
      <c r="F190" s="226"/>
      <c r="G190" s="227" t="str">
        <f>IF(OR($D190="",$F190=""),"",IFERROR(INDEX('Rules of Credit'!$C$5:$C$38,MATCH($D190&amp;"|"&amp;$F190,'Rules of Credit'!$F$5:$F$38,0)),"invalid step"))</f>
        <v/>
      </c>
      <c r="H190" s="228" t="str">
        <f>IF(OR($D190="",$F190=""),"",IFERROR(INDEX('Rules of Credit'!$D$5:$D$38,MATCH($D190&amp;"|"&amp;$F190,'Rules of Credit'!$F$5:$F$38,0)),""))</f>
        <v/>
      </c>
      <c r="I190" s="229" t="str">
        <f t="shared" si="15"/>
        <v/>
      </c>
      <c r="J190" s="242"/>
      <c r="K190" s="243"/>
      <c r="L190" s="243"/>
      <c r="M190" s="243"/>
      <c r="N190" s="244" t="str">
        <f t="shared" si="16"/>
        <v/>
      </c>
      <c r="O190" s="221"/>
      <c r="P190" s="233">
        <f>IF($D190="",0,IFERROR(INDEX('Project Types'!$E$5:$E$13,MATCH($D190,'Project Types'!$A$5:$A$13,0)),1))</f>
        <v>0</v>
      </c>
      <c r="Q190" s="14"/>
      <c r="R190" s="14"/>
      <c r="S190" s="14"/>
      <c r="T190" s="14"/>
      <c r="U190" s="14"/>
      <c r="AG190"/>
      <c r="AH190"/>
      <c r="AI190"/>
      <c r="AJ190"/>
      <c r="AK190"/>
      <c r="AL190"/>
      <c r="AM190"/>
      <c r="AN190"/>
      <c r="AO190"/>
      <c r="AP190"/>
      <c r="AQ190"/>
      <c r="AR190"/>
    </row>
    <row r="191" spans="1:21" x14ac:dyDescent="0.3">
      <c r="A191" s="223"/>
      <c r="B191" s="224" t="str">
        <f>IF($A191="","",IFERROR(INDEX(Inputs!$B$6:$B$80,MATCH($A191,Inputs!$A$6:$A$80,0)),"not in register"))</f>
        <v/>
      </c>
      <c r="C191" s="223"/>
      <c r="D191" s="223"/>
      <c r="E191" s="225"/>
      <c r="F191" s="226"/>
      <c r="G191" s="227" t="str">
        <f>IF(OR($D191="",$F191=""),"",IFERROR(INDEX('Rules of Credit'!$C$5:$C$38,MATCH($D191&amp;"|"&amp;$F191,'Rules of Credit'!$F$5:$F$38,0)),"invalid step"))</f>
        <v/>
      </c>
      <c r="H191" s="228" t="str">
        <f>IF(OR($D191="",$F191=""),"",IFERROR(INDEX('Rules of Credit'!$D$5:$D$38,MATCH($D191&amp;"|"&amp;$F191,'Rules of Credit'!$F$5:$F$38,0)),""))</f>
        <v/>
      </c>
      <c r="I191" s="229" t="str">
        <f t="shared" si="15"/>
        <v/>
      </c>
      <c r="J191" s="242"/>
      <c r="K191" s="243"/>
      <c r="L191" s="243"/>
      <c r="M191" s="243"/>
      <c r="N191" s="244" t="str">
        <f t="shared" si="16"/>
        <v/>
      </c>
      <c r="O191" s="221"/>
      <c r="P191" s="233">
        <f>IF($D191="",0,IFERROR(INDEX('Project Types'!$E$5:$E$13,MATCH($D191,'Project Types'!$A$5:$A$13,0)),1))</f>
        <v>0</v>
      </c>
      <c r="Q191" s="14"/>
      <c r="R191" s="14"/>
      <c r="S191" s="14"/>
      <c r="T191" s="14"/>
      <c r="U191" s="14"/>
      <c r="AG191"/>
      <c r="AH191"/>
      <c r="AI191"/>
      <c r="AJ191"/>
      <c r="AK191"/>
      <c r="AL191"/>
      <c r="AM191"/>
      <c r="AN191"/>
      <c r="AO191"/>
      <c r="AP191"/>
      <c r="AQ191"/>
      <c r="AR191"/>
    </row>
    <row r="192" spans="1:21" x14ac:dyDescent="0.3">
      <c r="A192" s="223"/>
      <c r="B192" s="224" t="str">
        <f>IF($A192="","",IFERROR(INDEX(Inputs!$B$6:$B$80,MATCH($A192,Inputs!$A$6:$A$80,0)),"not in register"))</f>
        <v/>
      </c>
      <c r="C192" s="223"/>
      <c r="D192" s="223"/>
      <c r="E192" s="225"/>
      <c r="F192" s="226"/>
      <c r="G192" s="227" t="str">
        <f>IF(OR($D192="",$F192=""),"",IFERROR(INDEX('Rules of Credit'!$C$5:$C$38,MATCH($D192&amp;"|"&amp;$F192,'Rules of Credit'!$F$5:$F$38,0)),"invalid step"))</f>
        <v/>
      </c>
      <c r="H192" s="228" t="str">
        <f>IF(OR($D192="",$F192=""),"",IFERROR(INDEX('Rules of Credit'!$D$5:$D$38,MATCH($D192&amp;"|"&amp;$F192,'Rules of Credit'!$F$5:$F$38,0)),""))</f>
        <v/>
      </c>
      <c r="I192" s="229" t="str">
        <f t="shared" si="15"/>
        <v/>
      </c>
      <c r="J192" s="242"/>
      <c r="K192" s="243"/>
      <c r="L192" s="243"/>
      <c r="M192" s="243"/>
      <c r="N192" s="244" t="str">
        <f t="shared" si="16"/>
        <v/>
      </c>
      <c r="O192" s="221"/>
      <c r="P192" s="233">
        <f>IF($D192="",0,IFERROR(INDEX('Project Types'!$E$5:$E$13,MATCH($D192,'Project Types'!$A$5:$A$13,0)),1))</f>
        <v>0</v>
      </c>
      <c r="Q192" s="14"/>
      <c r="R192" s="14"/>
      <c r="S192" s="14"/>
      <c r="T192" s="14"/>
      <c r="U192" s="14"/>
      <c r="AG192"/>
      <c r="AH192"/>
      <c r="AI192"/>
      <c r="AJ192"/>
      <c r="AK192"/>
      <c r="AL192"/>
      <c r="AM192"/>
      <c r="AN192"/>
      <c r="AO192"/>
      <c r="AP192"/>
      <c r="AQ192"/>
      <c r="AR192"/>
    </row>
    <row r="193" spans="1:21" x14ac:dyDescent="0.3">
      <c r="A193" s="223"/>
      <c r="B193" s="224" t="str">
        <f>IF($A193="","",IFERROR(INDEX(Inputs!$B$6:$B$80,MATCH($A193,Inputs!$A$6:$A$80,0)),"not in register"))</f>
        <v/>
      </c>
      <c r="C193" s="223"/>
      <c r="D193" s="223"/>
      <c r="E193" s="225"/>
      <c r="F193" s="226"/>
      <c r="G193" s="227" t="str">
        <f>IF(OR($D193="",$F193=""),"",IFERROR(INDEX('Rules of Credit'!$C$5:$C$38,MATCH($D193&amp;"|"&amp;$F193,'Rules of Credit'!$F$5:$F$38,0)),"invalid step"))</f>
        <v/>
      </c>
      <c r="H193" s="228" t="str">
        <f>IF(OR($D193="",$F193=""),"",IFERROR(INDEX('Rules of Credit'!$D$5:$D$38,MATCH($D193&amp;"|"&amp;$F193,'Rules of Credit'!$F$5:$F$38,0)),""))</f>
        <v/>
      </c>
      <c r="I193" s="229" t="str">
        <f t="shared" si="15"/>
        <v/>
      </c>
      <c r="J193" s="242"/>
      <c r="K193" s="243"/>
      <c r="L193" s="243"/>
      <c r="M193" s="243"/>
      <c r="N193" s="244" t="str">
        <f t="shared" si="16"/>
        <v/>
      </c>
      <c r="O193" s="221"/>
      <c r="P193" s="233">
        <f>IF($D193="",0,IFERROR(INDEX('Project Types'!$E$5:$E$13,MATCH($D193,'Project Types'!$A$5:$A$13,0)),1))</f>
        <v>0</v>
      </c>
      <c r="Q193" s="14"/>
      <c r="R193" s="14"/>
      <c r="S193" s="14"/>
      <c r="T193" s="14"/>
      <c r="U193" s="14"/>
      <c r="AG193"/>
      <c r="AH193"/>
      <c r="AI193"/>
      <c r="AJ193"/>
      <c r="AK193"/>
      <c r="AL193"/>
      <c r="AM193"/>
      <c r="AN193"/>
      <c r="AO193"/>
      <c r="AP193"/>
      <c r="AQ193"/>
      <c r="AR193"/>
    </row>
    <row r="194" spans="1:21" x14ac:dyDescent="0.3">
      <c r="A194" s="223"/>
      <c r="B194" s="224" t="str">
        <f>IF($A194="","",IFERROR(INDEX(Inputs!$B$6:$B$80,MATCH($A194,Inputs!$A$6:$A$80,0)),"not in register"))</f>
        <v/>
      </c>
      <c r="C194" s="223"/>
      <c r="D194" s="223"/>
      <c r="E194" s="225"/>
      <c r="F194" s="226"/>
      <c r="G194" s="227" t="str">
        <f>IF(OR($D194="",$F194=""),"",IFERROR(INDEX('Rules of Credit'!$C$5:$C$38,MATCH($D194&amp;"|"&amp;$F194,'Rules of Credit'!$F$5:$F$38,0)),"invalid step"))</f>
        <v/>
      </c>
      <c r="H194" s="228" t="str">
        <f>IF(OR($D194="",$F194=""),"",IFERROR(INDEX('Rules of Credit'!$D$5:$D$38,MATCH($D194&amp;"|"&amp;$F194,'Rules of Credit'!$F$5:$F$38,0)),""))</f>
        <v/>
      </c>
      <c r="I194" s="229" t="str">
        <f t="shared" si="15"/>
        <v/>
      </c>
      <c r="J194" s="242"/>
      <c r="K194" s="243"/>
      <c r="L194" s="243"/>
      <c r="M194" s="243"/>
      <c r="N194" s="244" t="str">
        <f t="shared" si="16"/>
        <v/>
      </c>
      <c r="O194" s="221"/>
      <c r="P194" s="233">
        <f>IF($D194="",0,IFERROR(INDEX('Project Types'!$E$5:$E$13,MATCH($D194,'Project Types'!$A$5:$A$13,0)),1))</f>
        <v>0</v>
      </c>
      <c r="Q194" s="14"/>
      <c r="R194" s="14"/>
      <c r="S194" s="14"/>
      <c r="T194" s="14"/>
      <c r="U194" s="14"/>
      <c r="AG194"/>
      <c r="AH194"/>
      <c r="AI194"/>
      <c r="AJ194"/>
      <c r="AK194"/>
      <c r="AL194"/>
      <c r="AM194"/>
      <c r="AN194"/>
      <c r="AO194"/>
      <c r="AP194"/>
      <c r="AQ194"/>
      <c r="AR194"/>
    </row>
    <row r="195" spans="1:21" x14ac:dyDescent="0.3">
      <c r="A195" s="223"/>
      <c r="B195" s="224" t="str">
        <f>IF($A195="","",IFERROR(INDEX(Inputs!$B$6:$B$80,MATCH($A195,Inputs!$A$6:$A$80,0)),"not in register"))</f>
        <v/>
      </c>
      <c r="C195" s="223"/>
      <c r="D195" s="223"/>
      <c r="E195" s="225"/>
      <c r="F195" s="226"/>
      <c r="G195" s="227" t="str">
        <f>IF(OR($D195="",$F195=""),"",IFERROR(INDEX('Rules of Credit'!$C$5:$C$38,MATCH($D195&amp;"|"&amp;$F195,'Rules of Credit'!$F$5:$F$38,0)),"invalid step"))</f>
        <v/>
      </c>
      <c r="H195" s="228" t="str">
        <f>IF(OR($D195="",$F195=""),"",IFERROR(INDEX('Rules of Credit'!$D$5:$D$38,MATCH($D195&amp;"|"&amp;$F195,'Rules of Credit'!$F$5:$F$38,0)),""))</f>
        <v/>
      </c>
      <c r="I195" s="229" t="str">
        <f t="shared" si="15"/>
        <v/>
      </c>
      <c r="J195" s="242"/>
      <c r="K195" s="243"/>
      <c r="L195" s="243"/>
      <c r="M195" s="243"/>
      <c r="N195" s="244" t="str">
        <f t="shared" si="16"/>
        <v/>
      </c>
      <c r="O195" s="221"/>
      <c r="P195" s="233">
        <f>IF($D195="",0,IFERROR(INDEX('Project Types'!$E$5:$E$13,MATCH($D195,'Project Types'!$A$5:$A$13,0)),1))</f>
        <v>0</v>
      </c>
      <c r="Q195" s="14"/>
      <c r="R195" s="14"/>
      <c r="S195" s="14"/>
      <c r="T195" s="14"/>
      <c r="U195" s="14"/>
      <c r="AG195"/>
      <c r="AH195"/>
      <c r="AI195"/>
      <c r="AJ195"/>
      <c r="AK195"/>
      <c r="AL195"/>
      <c r="AM195"/>
      <c r="AN195"/>
      <c r="AO195"/>
      <c r="AP195"/>
      <c r="AQ195"/>
      <c r="AR195"/>
    </row>
    <row r="196" spans="1:21" x14ac:dyDescent="0.3">
      <c r="A196" s="223"/>
      <c r="B196" s="224" t="str">
        <f>IF($A196="","",IFERROR(INDEX(Inputs!$B$6:$B$80,MATCH($A196,Inputs!$A$6:$A$80,0)),"not in register"))</f>
        <v/>
      </c>
      <c r="C196" s="223"/>
      <c r="D196" s="223"/>
      <c r="E196" s="225"/>
      <c r="F196" s="226"/>
      <c r="G196" s="227" t="str">
        <f>IF(OR($D196="",$F196=""),"",IFERROR(INDEX('Rules of Credit'!$C$5:$C$38,MATCH($D196&amp;"|"&amp;$F196,'Rules of Credit'!$F$5:$F$38,0)),"invalid step"))</f>
        <v/>
      </c>
      <c r="H196" s="228" t="str">
        <f>IF(OR($D196="",$F196=""),"",IFERROR(INDEX('Rules of Credit'!$D$5:$D$38,MATCH($D196&amp;"|"&amp;$F196,'Rules of Credit'!$F$5:$F$38,0)),""))</f>
        <v/>
      </c>
      <c r="I196" s="229" t="str">
        <f t="shared" si="15"/>
        <v/>
      </c>
      <c r="J196" s="242"/>
      <c r="K196" s="243"/>
      <c r="L196" s="243"/>
      <c r="M196" s="243"/>
      <c r="N196" s="244" t="str">
        <f t="shared" si="16"/>
        <v/>
      </c>
      <c r="O196" s="221"/>
      <c r="P196" s="233">
        <f>IF($D196="",0,IFERROR(INDEX('Project Types'!$E$5:$E$13,MATCH($D196,'Project Types'!$A$5:$A$13,0)),1))</f>
        <v>0</v>
      </c>
      <c r="Q196" s="14"/>
      <c r="R196" s="14"/>
      <c r="S196" s="14"/>
      <c r="T196" s="14"/>
      <c r="U196" s="14"/>
      <c r="AG196"/>
      <c r="AH196"/>
      <c r="AI196"/>
      <c r="AJ196"/>
      <c r="AK196"/>
      <c r="AL196"/>
      <c r="AM196"/>
      <c r="AN196"/>
      <c r="AO196"/>
      <c r="AP196"/>
      <c r="AQ196"/>
      <c r="AR196"/>
    </row>
    <row r="197" spans="1:21" x14ac:dyDescent="0.3">
      <c r="A197" s="223"/>
      <c r="B197" s="224" t="str">
        <f>IF($A197="","",IFERROR(INDEX(Inputs!$B$6:$B$80,MATCH($A197,Inputs!$A$6:$A$80,0)),"not in register"))</f>
        <v/>
      </c>
      <c r="C197" s="223"/>
      <c r="D197" s="223"/>
      <c r="E197" s="225"/>
      <c r="F197" s="226"/>
      <c r="G197" s="227" t="str">
        <f>IF(OR($D197="",$F197=""),"",IFERROR(INDEX('Rules of Credit'!$C$5:$C$38,MATCH($D197&amp;"|"&amp;$F197,'Rules of Credit'!$F$5:$F$38,0)),"invalid step"))</f>
        <v/>
      </c>
      <c r="H197" s="228" t="str">
        <f>IF(OR($D197="",$F197=""),"",IFERROR(INDEX('Rules of Credit'!$D$5:$D$38,MATCH($D197&amp;"|"&amp;$F197,'Rules of Credit'!$F$5:$F$38,0)),""))</f>
        <v/>
      </c>
      <c r="I197" s="229" t="str">
        <f t="shared" si="15"/>
        <v/>
      </c>
      <c r="J197" s="242"/>
      <c r="K197" s="243"/>
      <c r="L197" s="243"/>
      <c r="M197" s="243"/>
      <c r="N197" s="244" t="str">
        <f t="shared" si="16"/>
        <v/>
      </c>
      <c r="O197" s="221"/>
      <c r="P197" s="233">
        <f>IF($D197="",0,IFERROR(INDEX('Project Types'!$E$5:$E$13,MATCH($D197,'Project Types'!$A$5:$A$13,0)),1))</f>
        <v>0</v>
      </c>
      <c r="Q197" s="14"/>
      <c r="R197" s="14"/>
      <c r="S197" s="14"/>
      <c r="T197" s="14"/>
      <c r="U197" s="14"/>
      <c r="AG197"/>
      <c r="AH197"/>
      <c r="AI197"/>
      <c r="AJ197"/>
      <c r="AK197"/>
      <c r="AL197"/>
      <c r="AM197"/>
      <c r="AN197"/>
      <c r="AO197"/>
      <c r="AP197"/>
      <c r="AQ197"/>
      <c r="AR197"/>
    </row>
    <row r="198" spans="1:21" x14ac:dyDescent="0.3">
      <c r="A198" s="223"/>
      <c r="B198" s="224" t="str">
        <f>IF($A198="","",IFERROR(INDEX(Inputs!$B$6:$B$80,MATCH($A198,Inputs!$A$6:$A$80,0)),"not in register"))</f>
        <v/>
      </c>
      <c r="C198" s="223"/>
      <c r="D198" s="223"/>
      <c r="E198" s="225"/>
      <c r="F198" s="226"/>
      <c r="G198" s="227" t="str">
        <f>IF(OR($D198="",$F198=""),"",IFERROR(INDEX('Rules of Credit'!$C$5:$C$38,MATCH($D198&amp;"|"&amp;$F198,'Rules of Credit'!$F$5:$F$38,0)),"invalid step"))</f>
        <v/>
      </c>
      <c r="H198" s="228" t="str">
        <f>IF(OR($D198="",$F198=""),"",IFERROR(INDEX('Rules of Credit'!$D$5:$D$38,MATCH($D198&amp;"|"&amp;$F198,'Rules of Credit'!$F$5:$F$38,0)),""))</f>
        <v/>
      </c>
      <c r="I198" s="229" t="str">
        <f t="shared" ref="I198:I204" si="17">IF(OR($E198="",$H198=""),"",$E198*$H198)</f>
        <v/>
      </c>
      <c r="J198" s="242"/>
      <c r="K198" s="243"/>
      <c r="L198" s="243"/>
      <c r="M198" s="243"/>
      <c r="N198" s="244" t="str">
        <f t="shared" ref="N198:N204" si="18">IF($A198="","",IF(SUM($K198:$M198)=0,"no split",IF(ROUND(SUM($K198:$M198),4)=1,"OK","not 100%")))</f>
        <v/>
      </c>
      <c r="O198" s="221"/>
      <c r="P198" s="233">
        <f>IF($D198="",0,IFERROR(INDEX('Project Types'!$E$5:$E$13,MATCH($D198,'Project Types'!$A$5:$A$13,0)),1))</f>
        <v>0</v>
      </c>
      <c r="Q198" s="14"/>
      <c r="R198" s="14"/>
      <c r="S198" s="14"/>
      <c r="T198" s="14"/>
      <c r="U198" s="14"/>
      <c r="AG198"/>
      <c r="AH198"/>
      <c r="AI198"/>
      <c r="AJ198"/>
      <c r="AK198"/>
      <c r="AL198"/>
      <c r="AM198"/>
      <c r="AN198"/>
      <c r="AO198"/>
      <c r="AP198"/>
      <c r="AQ198"/>
      <c r="AR198"/>
    </row>
    <row r="199" spans="1:21" x14ac:dyDescent="0.3">
      <c r="A199" s="223"/>
      <c r="B199" s="224" t="str">
        <f>IF($A199="","",IFERROR(INDEX(Inputs!$B$6:$B$80,MATCH($A199,Inputs!$A$6:$A$80,0)),"not in register"))</f>
        <v/>
      </c>
      <c r="C199" s="223"/>
      <c r="D199" s="223"/>
      <c r="E199" s="225"/>
      <c r="F199" s="226"/>
      <c r="G199" s="227" t="str">
        <f>IF(OR($D199="",$F199=""),"",IFERROR(INDEX('Rules of Credit'!$C$5:$C$38,MATCH($D199&amp;"|"&amp;$F199,'Rules of Credit'!$F$5:$F$38,0)),"invalid step"))</f>
        <v/>
      </c>
      <c r="H199" s="228" t="str">
        <f>IF(OR($D199="",$F199=""),"",IFERROR(INDEX('Rules of Credit'!$D$5:$D$38,MATCH($D199&amp;"|"&amp;$F199,'Rules of Credit'!$F$5:$F$38,0)),""))</f>
        <v/>
      </c>
      <c r="I199" s="229" t="str">
        <f t="shared" si="17"/>
        <v/>
      </c>
      <c r="J199" s="242"/>
      <c r="K199" s="243"/>
      <c r="L199" s="243"/>
      <c r="M199" s="243"/>
      <c r="N199" s="244" t="str">
        <f t="shared" si="18"/>
        <v/>
      </c>
      <c r="O199" s="221"/>
      <c r="P199" s="233">
        <f>IF($D199="",0,IFERROR(INDEX('Project Types'!$E$5:$E$13,MATCH($D199,'Project Types'!$A$5:$A$13,0)),1))</f>
        <v>0</v>
      </c>
      <c r="Q199" s="14"/>
      <c r="R199" s="14"/>
      <c r="S199" s="14"/>
      <c r="T199" s="14"/>
      <c r="U199" s="14"/>
      <c r="AG199"/>
      <c r="AH199"/>
      <c r="AI199"/>
      <c r="AJ199"/>
      <c r="AK199"/>
      <c r="AL199"/>
      <c r="AM199"/>
      <c r="AN199"/>
      <c r="AO199"/>
      <c r="AP199"/>
      <c r="AQ199"/>
      <c r="AR199"/>
    </row>
    <row r="200" spans="1:21" x14ac:dyDescent="0.3">
      <c r="A200" s="223"/>
      <c r="B200" s="224" t="str">
        <f>IF($A200="","",IFERROR(INDEX(Inputs!$B$6:$B$80,MATCH($A200,Inputs!$A$6:$A$80,0)),"not in register"))</f>
        <v/>
      </c>
      <c r="C200" s="223"/>
      <c r="D200" s="223"/>
      <c r="E200" s="225"/>
      <c r="F200" s="226"/>
      <c r="G200" s="227" t="str">
        <f>IF(OR($D200="",$F200=""),"",IFERROR(INDEX('Rules of Credit'!$C$5:$C$38,MATCH($D200&amp;"|"&amp;$F200,'Rules of Credit'!$F$5:$F$38,0)),"invalid step"))</f>
        <v/>
      </c>
      <c r="H200" s="228" t="str">
        <f>IF(OR($D200="",$F200=""),"",IFERROR(INDEX('Rules of Credit'!$D$5:$D$38,MATCH($D200&amp;"|"&amp;$F200,'Rules of Credit'!$F$5:$F$38,0)),""))</f>
        <v/>
      </c>
      <c r="I200" s="229" t="str">
        <f t="shared" si="17"/>
        <v/>
      </c>
      <c r="J200" s="242"/>
      <c r="K200" s="243"/>
      <c r="L200" s="243"/>
      <c r="M200" s="243"/>
      <c r="N200" s="244" t="str">
        <f t="shared" si="18"/>
        <v/>
      </c>
      <c r="O200" s="221"/>
      <c r="P200" s="233">
        <f>IF($D200="",0,IFERROR(INDEX('Project Types'!$E$5:$E$13,MATCH($D200,'Project Types'!$A$5:$A$13,0)),1))</f>
        <v>0</v>
      </c>
      <c r="Q200" s="14"/>
      <c r="R200" s="14"/>
      <c r="S200" s="14"/>
      <c r="T200" s="14"/>
      <c r="U200" s="14"/>
      <c r="AG200"/>
      <c r="AH200"/>
      <c r="AI200"/>
      <c r="AJ200"/>
      <c r="AK200"/>
      <c r="AL200"/>
      <c r="AM200"/>
      <c r="AN200"/>
      <c r="AO200"/>
      <c r="AP200"/>
      <c r="AQ200"/>
      <c r="AR200"/>
    </row>
    <row r="201" spans="1:21" x14ac:dyDescent="0.3">
      <c r="A201" s="223"/>
      <c r="B201" s="224" t="str">
        <f>IF($A201="","",IFERROR(INDEX(Inputs!$B$6:$B$80,MATCH($A201,Inputs!$A$6:$A$80,0)),"not in register"))</f>
        <v/>
      </c>
      <c r="C201" s="223"/>
      <c r="D201" s="223"/>
      <c r="E201" s="225"/>
      <c r="F201" s="226"/>
      <c r="G201" s="227" t="str">
        <f>IF(OR($D201="",$F201=""),"",IFERROR(INDEX('Rules of Credit'!$C$5:$C$38,MATCH($D201&amp;"|"&amp;$F201,'Rules of Credit'!$F$5:$F$38,0)),"invalid step"))</f>
        <v/>
      </c>
      <c r="H201" s="228" t="str">
        <f>IF(OR($D201="",$F201=""),"",IFERROR(INDEX('Rules of Credit'!$D$5:$D$38,MATCH($D201&amp;"|"&amp;$F201,'Rules of Credit'!$F$5:$F$38,0)),""))</f>
        <v/>
      </c>
      <c r="I201" s="229" t="str">
        <f t="shared" si="17"/>
        <v/>
      </c>
      <c r="J201" s="242"/>
      <c r="K201" s="243"/>
      <c r="L201" s="243"/>
      <c r="M201" s="243"/>
      <c r="N201" s="244" t="str">
        <f t="shared" si="18"/>
        <v/>
      </c>
      <c r="O201" s="221"/>
      <c r="P201" s="233">
        <f>IF($D201="",0,IFERROR(INDEX('Project Types'!$E$5:$E$13,MATCH($D201,'Project Types'!$A$5:$A$13,0)),1))</f>
        <v>0</v>
      </c>
      <c r="Q201" s="14"/>
      <c r="R201" s="14"/>
      <c r="S201" s="14"/>
      <c r="T201" s="14"/>
      <c r="U201" s="14"/>
      <c r="AG201"/>
      <c r="AH201"/>
      <c r="AI201"/>
      <c r="AJ201"/>
      <c r="AK201"/>
      <c r="AL201"/>
      <c r="AM201"/>
      <c r="AN201"/>
      <c r="AO201"/>
      <c r="AP201"/>
      <c r="AQ201"/>
      <c r="AR201"/>
    </row>
    <row r="202" spans="1:21" x14ac:dyDescent="0.3">
      <c r="A202" s="223"/>
      <c r="B202" s="224" t="str">
        <f>IF($A202="","",IFERROR(INDEX(Inputs!$B$6:$B$80,MATCH($A202,Inputs!$A$6:$A$80,0)),"not in register"))</f>
        <v/>
      </c>
      <c r="C202" s="223"/>
      <c r="D202" s="223"/>
      <c r="E202" s="225"/>
      <c r="F202" s="226"/>
      <c r="G202" s="227" t="str">
        <f>IF(OR($D202="",$F202=""),"",IFERROR(INDEX('Rules of Credit'!$C$5:$C$38,MATCH($D202&amp;"|"&amp;$F202,'Rules of Credit'!$F$5:$F$38,0)),"invalid step"))</f>
        <v/>
      </c>
      <c r="H202" s="228" t="str">
        <f>IF(OR($D202="",$F202=""),"",IFERROR(INDEX('Rules of Credit'!$D$5:$D$38,MATCH($D202&amp;"|"&amp;$F202,'Rules of Credit'!$F$5:$F$38,0)),""))</f>
        <v/>
      </c>
      <c r="I202" s="229" t="str">
        <f t="shared" si="17"/>
        <v/>
      </c>
      <c r="J202" s="242"/>
      <c r="K202" s="243"/>
      <c r="L202" s="243"/>
      <c r="M202" s="243"/>
      <c r="N202" s="244" t="str">
        <f t="shared" si="18"/>
        <v/>
      </c>
      <c r="O202" s="221"/>
      <c r="P202" s="233">
        <f>IF($D202="",0,IFERROR(INDEX('Project Types'!$E$5:$E$13,MATCH($D202,'Project Types'!$A$5:$A$13,0)),1))</f>
        <v>0</v>
      </c>
      <c r="Q202" s="14"/>
      <c r="R202" s="14"/>
      <c r="S202" s="14"/>
      <c r="T202" s="14"/>
      <c r="U202" s="14"/>
      <c r="AG202"/>
      <c r="AH202"/>
      <c r="AI202"/>
      <c r="AJ202"/>
      <c r="AK202"/>
      <c r="AL202"/>
      <c r="AM202"/>
      <c r="AN202"/>
      <c r="AO202"/>
      <c r="AP202"/>
      <c r="AQ202"/>
      <c r="AR202"/>
    </row>
    <row r="203" spans="1:21" x14ac:dyDescent="0.3">
      <c r="A203" s="223"/>
      <c r="B203" s="224" t="str">
        <f>IF($A203="","",IFERROR(INDEX(Inputs!$B$6:$B$80,MATCH($A203,Inputs!$A$6:$A$80,0)),"not in register"))</f>
        <v/>
      </c>
      <c r="C203" s="223"/>
      <c r="D203" s="223"/>
      <c r="E203" s="225"/>
      <c r="F203" s="226"/>
      <c r="G203" s="227" t="str">
        <f>IF(OR($D203="",$F203=""),"",IFERROR(INDEX('Rules of Credit'!$C$5:$C$38,MATCH($D203&amp;"|"&amp;$F203,'Rules of Credit'!$F$5:$F$38,0)),"invalid step"))</f>
        <v/>
      </c>
      <c r="H203" s="228" t="str">
        <f>IF(OR($D203="",$F203=""),"",IFERROR(INDEX('Rules of Credit'!$D$5:$D$38,MATCH($D203&amp;"|"&amp;$F203,'Rules of Credit'!$F$5:$F$38,0)),""))</f>
        <v/>
      </c>
      <c r="I203" s="229" t="str">
        <f t="shared" si="17"/>
        <v/>
      </c>
      <c r="J203" s="242"/>
      <c r="K203" s="243"/>
      <c r="L203" s="243"/>
      <c r="M203" s="243"/>
      <c r="N203" s="244" t="str">
        <f t="shared" si="18"/>
        <v/>
      </c>
      <c r="O203" s="221"/>
      <c r="P203" s="233">
        <f>IF($D203="",0,IFERROR(INDEX('Project Types'!$E$5:$E$13,MATCH($D203,'Project Types'!$A$5:$A$13,0)),1))</f>
        <v>0</v>
      </c>
      <c r="Q203" s="14"/>
      <c r="R203" s="14"/>
      <c r="S203" s="14"/>
      <c r="T203" s="14"/>
      <c r="U203" s="14"/>
      <c r="AG203"/>
      <c r="AH203"/>
      <c r="AI203"/>
      <c r="AJ203"/>
      <c r="AK203"/>
      <c r="AL203"/>
      <c r="AM203"/>
      <c r="AN203"/>
      <c r="AO203"/>
      <c r="AP203"/>
      <c r="AQ203"/>
      <c r="AR203"/>
    </row>
    <row r="204" spans="1:21" x14ac:dyDescent="0.3">
      <c r="A204" s="223"/>
      <c r="B204" s="224" t="str">
        <f>IF($A204="","",IFERROR(INDEX(Inputs!$B$6:$B$80,MATCH($A204,Inputs!$A$6:$A$80,0)),"not in register"))</f>
        <v/>
      </c>
      <c r="C204" s="223"/>
      <c r="D204" s="223"/>
      <c r="E204" s="225"/>
      <c r="F204" s="226"/>
      <c r="G204" s="227" t="str">
        <f>IF(OR($D204="",$F204=""),"",IFERROR(INDEX('Rules of Credit'!$C$5:$C$38,MATCH($D204&amp;"|"&amp;$F204,'Rules of Credit'!$F$5:$F$38,0)),"invalid step"))</f>
        <v/>
      </c>
      <c r="H204" s="228" t="str">
        <f>IF(OR($D204="",$F204=""),"",IFERROR(INDEX('Rules of Credit'!$D$5:$D$38,MATCH($D204&amp;"|"&amp;$F204,'Rules of Credit'!$F$5:$F$38,0)),""))</f>
        <v/>
      </c>
      <c r="I204" s="229" t="str">
        <f t="shared" si="17"/>
        <v/>
      </c>
      <c r="J204" s="242"/>
      <c r="K204" s="243"/>
      <c r="L204" s="243"/>
      <c r="M204" s="243"/>
      <c r="N204" s="244" t="str">
        <f t="shared" si="18"/>
        <v/>
      </c>
      <c r="O204" s="221"/>
      <c r="P204" s="233">
        <f>IF($D204="",0,IFERROR(INDEX('Project Types'!$E$5:$E$13,MATCH($D204,'Project Types'!$A$5:$A$13,0)),1))</f>
        <v>0</v>
      </c>
      <c r="Q204" s="14"/>
      <c r="R204" s="14"/>
      <c r="S204" s="14"/>
      <c r="T204" s="14"/>
      <c r="U204" s="14"/>
      <c r="AG204"/>
      <c r="AH204"/>
      <c r="AI204"/>
      <c r="AJ204"/>
      <c r="AK204"/>
      <c r="AL204"/>
      <c r="AM204"/>
      <c r="AN204"/>
      <c r="AO204"/>
      <c r="AP204"/>
      <c r="AQ204"/>
      <c r="AR204"/>
    </row>
  </sheetData>
  <phoneticPr fontId="61" type="noConversion"/>
  <conditionalFormatting sqref="T5:T84">
    <cfRule type="containsText" dxfId="122" priority="1" operator="containsText" text="not 100%">
      <formula>NOT(ISERROR(SEARCH("not 100%",T5)))</formula>
    </cfRule>
    <cfRule type="containsText" dxfId="121" priority="2" operator="containsText" text="OK">
      <formula>NOT(ISERROR(SEARCH("OK",T5)))</formula>
    </cfRule>
  </conditionalFormatting>
  <conditionalFormatting sqref="U5:U84">
    <cfRule type="dataBar" priority="3">
      <dataBar>
        <cfvo type="min"/>
        <cfvo type="max"/>
        <color rgb="FF638EC6"/>
      </dataBar>
      <extLst>
        <ext xmlns:x14="http://schemas.microsoft.com/office/spreadsheetml/2009/9/main" uri="{B025F937-C7B1-47D3-B67F-A62EFF666E3E}">
          <x14:id>{35D5769C-49AB-4396-81DB-FE252A69D237}</x14:id>
        </ext>
      </extLst>
    </cfRule>
  </conditionalFormatting>
  <dataValidations count="3">
    <dataValidation type="list" allowBlank="1" showInputMessage="1" showErrorMessage="1" sqref="F5:F204" xr:uid="{9949B29B-B602-454E-B6BD-42F1F34E8804}">
      <formula1>"1,2,3,4,5"</formula1>
    </dataValidation>
    <dataValidation type="decimal" allowBlank="1" showInputMessage="1" showErrorMessage="1" errorTitle="Invalid weight" error="Enter the phase weight as a percentage between 0% and 100%." sqref="E5:E204" xr:uid="{62E50CBA-ECC0-4D16-B05D-8725F7A02DEC}">
      <formula1>0</formula1>
      <formula2>1</formula2>
    </dataValidation>
    <dataValidation type="decimal" allowBlank="1" showInputMessage="1" showErrorMessage="1" errorTitle="Invalid share" error="Enter each person's share of this deliverable as 0-100%." sqref="K5:M204" xr:uid="{5C53DC50-9B21-4DAC-9EF8-D8EAAE30F94E}">
      <formula1>0</formula1>
      <formula2>1</formula2>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35D5769C-49AB-4396-81DB-FE252A69D237}">
            <x14:dataBar minLength="0" maxLength="100" direction="leftToRight" negativeBarColorSameAsPositive="1" axisPosition="none">
              <x14:cfvo type="min"/>
              <x14:cfvo type="max"/>
            </x14:dataBar>
          </x14:cfRule>
          <xm:sqref>U5:U84</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9EFCFEBD-2003-41B1-B607-4E5404F12FEE}">
          <x14:formula1>
            <xm:f>Inputs!$A$6:$A$40</xm:f>
          </x14:formula1>
          <xm:sqref>A5:A204</xm:sqref>
        </x14:dataValidation>
        <x14:dataValidation type="list" allowBlank="1" showInputMessage="1" showErrorMessage="1" xr:uid="{3F1EB2C5-E6A9-4A10-84B8-EFEEC6F32F5E}">
          <x14:formula1>
            <xm:f>'Project Types'!$A$5:$A$13</xm:f>
          </x14:formula1>
          <xm:sqref>D5:D204</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BB85C-E840-469E-864F-E511E140DAB0}">
  <sheetPr>
    <tabColor rgb="FF2E9B57"/>
  </sheetPr>
  <dimension ref="A1:AA226"/>
  <sheetViews>
    <sheetView topLeftCell="K1" workbookViewId="0">
      <pane ySplit="4" topLeftCell="A30" activePane="bottomLeft" state="frozen"/>
      <selection pane="bottomLeft" activeCell="K80" sqref="K80"/>
    </sheetView>
  </sheetViews>
  <sheetFormatPr defaultRowHeight="14.4" outlineLevelRow="1" x14ac:dyDescent="0.3"/>
  <cols>
    <col min="1" max="1" width="20.33203125" customWidth="1"/>
    <col min="2" max="2" width="38.88671875" customWidth="1"/>
    <col min="3" max="3" width="8.33203125" customWidth="1"/>
    <col min="4" max="4" width="33.33203125" customWidth="1"/>
    <col min="5" max="5" width="14.77734375" customWidth="1"/>
    <col min="6" max="7" width="11.109375" customWidth="1"/>
    <col min="8" max="10" width="13.88671875" customWidth="1"/>
    <col min="11" max="11" width="32.44140625" customWidth="1"/>
    <col min="12" max="16" width="14.44140625" customWidth="1"/>
    <col min="17" max="17" width="10.77734375" customWidth="1"/>
    <col min="18" max="18" width="14.77734375" customWidth="1"/>
    <col min="19" max="19" width="13.88671875" customWidth="1"/>
    <col min="20" max="23" width="12.5546875" customWidth="1"/>
    <col min="24" max="27" width="13.33203125" customWidth="1"/>
  </cols>
  <sheetData>
    <row r="1" spans="1:16" ht="17.399999999999999" x14ac:dyDescent="0.3">
      <c r="A1" s="215" t="s">
        <v>526</v>
      </c>
    </row>
    <row r="2" spans="1:16" x14ac:dyDescent="0.3">
      <c r="A2" s="216" t="s">
        <v>527</v>
      </c>
    </row>
    <row r="4" spans="1:16" x14ac:dyDescent="0.3">
      <c r="A4" s="290" t="s">
        <v>528</v>
      </c>
      <c r="B4" s="290"/>
      <c r="D4" s="290" t="s">
        <v>538</v>
      </c>
      <c r="E4" s="290"/>
      <c r="F4" s="290"/>
      <c r="H4" s="290" t="s">
        <v>565</v>
      </c>
      <c r="I4" s="290"/>
      <c r="K4" s="290" t="s">
        <v>585</v>
      </c>
      <c r="L4" s="290"/>
      <c r="M4" s="290"/>
      <c r="N4" s="290"/>
      <c r="O4" s="290"/>
      <c r="P4" s="290"/>
    </row>
    <row r="5" spans="1:16" x14ac:dyDescent="0.3">
      <c r="A5" s="14" t="s">
        <v>529</v>
      </c>
      <c r="B5" s="251">
        <v>185</v>
      </c>
      <c r="D5" s="14" t="s">
        <v>539</v>
      </c>
      <c r="E5" s="260" t="str">
        <f>Dashboard!$H$5</f>
        <v>Full year 2026</v>
      </c>
      <c r="H5" s="14" t="s">
        <v>566</v>
      </c>
      <c r="I5" s="257">
        <f ca="1">COUNTIF($R$27:$R$226,"DO")</f>
        <v>27</v>
      </c>
      <c r="L5" s="274">
        <v>1</v>
      </c>
      <c r="M5" s="274">
        <f>L5+1</f>
        <v>2</v>
      </c>
      <c r="N5" s="274">
        <f>M5+1</f>
        <v>3</v>
      </c>
      <c r="O5" s="274">
        <f>N5+1</f>
        <v>4</v>
      </c>
    </row>
    <row r="6" spans="1:16" x14ac:dyDescent="0.3">
      <c r="A6" s="14" t="s">
        <v>530</v>
      </c>
      <c r="B6" s="251">
        <v>2026</v>
      </c>
      <c r="D6" s="14" t="s">
        <v>70</v>
      </c>
      <c r="E6" s="233">
        <f>Dashboard!$C$10</f>
        <v>17.908108108108106</v>
      </c>
      <c r="H6" s="14" t="s">
        <v>567</v>
      </c>
      <c r="I6" s="233">
        <f ca="1">SUMIF($R$27:$R$226,"DO",$L$27:$L$226)</f>
        <v>11.813851351351353</v>
      </c>
      <c r="K6" s="275" t="s">
        <v>586</v>
      </c>
      <c r="L6" s="276">
        <f ca="1">EOMONTH($B$7,L$5-1)+1</f>
        <v>46296</v>
      </c>
      <c r="M6" s="276">
        <f ca="1">EOMONTH($B$7,M$5-1)+1</f>
        <v>46327</v>
      </c>
      <c r="N6" s="276">
        <f ca="1">EOMONTH($B$7,N$5-1)+1</f>
        <v>46357</v>
      </c>
      <c r="O6" s="276">
        <f ca="1">EOMONTH($B$7,O$5-1)+1</f>
        <v>46388</v>
      </c>
      <c r="P6" s="277" t="s">
        <v>45</v>
      </c>
    </row>
    <row r="7" spans="1:16" x14ac:dyDescent="0.3">
      <c r="A7" s="14" t="s">
        <v>531</v>
      </c>
      <c r="B7" s="252">
        <f ca="1">Inputs!$B$96</f>
        <v>46266</v>
      </c>
      <c r="D7" s="14" t="s">
        <v>336</v>
      </c>
      <c r="E7" s="233">
        <f>Dashboard!$D$10</f>
        <v>14.186137319966196</v>
      </c>
      <c r="H7" s="14" t="s">
        <v>568</v>
      </c>
      <c r="I7" s="253">
        <f ca="1">SUMIF($R$27:$R$226,"DO",$M$27:$M$226)</f>
        <v>2185.5625</v>
      </c>
      <c r="K7" s="275" t="s">
        <v>587</v>
      </c>
      <c r="L7" s="278">
        <f ca="1">SUM(X$27:X$226)</f>
        <v>555</v>
      </c>
      <c r="M7" s="278">
        <f ca="1">SUM(Y$27:Y$226)</f>
        <v>555.00000000000023</v>
      </c>
      <c r="N7" s="278">
        <f ca="1">SUM(Z$27:Z$226)</f>
        <v>554.99999999999977</v>
      </c>
      <c r="O7" s="278">
        <f ca="1">SUM(AA$27:AA$226)</f>
        <v>520.56249999999989</v>
      </c>
      <c r="P7" s="278">
        <f ca="1">SUM($L7:$O7)</f>
        <v>2185.5625</v>
      </c>
    </row>
    <row r="8" spans="1:16" x14ac:dyDescent="0.3">
      <c r="A8" s="14" t="s">
        <v>532</v>
      </c>
      <c r="B8" s="233">
        <f>SUM(Inputs!$D$91:$D$93)</f>
        <v>3</v>
      </c>
      <c r="D8" s="14" t="s">
        <v>540</v>
      </c>
      <c r="E8" s="233">
        <f>Dashboard!$E$10</f>
        <v>-3.7219707881419097</v>
      </c>
      <c r="H8" s="14" t="s">
        <v>569</v>
      </c>
      <c r="I8" s="258">
        <f ca="1">IF($B$11=0,"",$I6/$B$11)</f>
        <v>0.99276061776061797</v>
      </c>
      <c r="K8" s="275" t="s">
        <v>588</v>
      </c>
      <c r="L8" s="279">
        <f ca="1">$L7/$B$5</f>
        <v>3</v>
      </c>
      <c r="M8" s="279">
        <f ca="1">$M7/$B$5</f>
        <v>3.0000000000000013</v>
      </c>
      <c r="N8" s="279">
        <f ca="1">$N7/$B$5</f>
        <v>2.9999999999999987</v>
      </c>
      <c r="O8" s="279">
        <f ca="1">$O7/$B$5</f>
        <v>2.8138513513513508</v>
      </c>
      <c r="P8" s="279">
        <f ca="1">SUM($L8:$O8)</f>
        <v>11.813851351351351</v>
      </c>
    </row>
    <row r="9" spans="1:16" x14ac:dyDescent="0.3">
      <c r="A9" s="14" t="s">
        <v>533</v>
      </c>
      <c r="B9" s="233">
        <f>$B$8*12</f>
        <v>36</v>
      </c>
      <c r="D9" s="14" t="s">
        <v>541</v>
      </c>
      <c r="E9" s="256">
        <f>Dashboard!$I$10</f>
        <v>0.79216281442612335</v>
      </c>
      <c r="H9" s="14" t="s">
        <v>570</v>
      </c>
      <c r="I9" s="259">
        <f ca="1">SUMIF($R$27:$R$226,"DO",$J$27:$J$226)</f>
        <v>26.698999999999991</v>
      </c>
      <c r="K9" s="275" t="s">
        <v>85</v>
      </c>
      <c r="L9" s="279">
        <f>$B$8</f>
        <v>3</v>
      </c>
      <c r="M9" s="279">
        <f>$B$8</f>
        <v>3</v>
      </c>
      <c r="N9" s="279">
        <f>$B$8</f>
        <v>3</v>
      </c>
      <c r="O9" s="279">
        <f>$B$8</f>
        <v>3</v>
      </c>
      <c r="P9" s="279">
        <f>SUM($L9:$O9)</f>
        <v>12</v>
      </c>
    </row>
    <row r="10" spans="1:16" x14ac:dyDescent="0.3">
      <c r="A10" s="14" t="s">
        <v>534</v>
      </c>
      <c r="B10" s="233">
        <f ca="1">$B$8*((MONTH($B$7)-1)+DAY($B$7)/DAY(EOMONTH($B$7,0)))</f>
        <v>24.1</v>
      </c>
      <c r="D10" s="14" t="s">
        <v>542</v>
      </c>
      <c r="E10" s="260" t="str">
        <f>IF(Dashboard!$H$5="Full year "&amp;TEXT($B$6,"0"),"OK - matches plan year","Set Dashboard filter to Full year "&amp;TEXT($B$6,"0"))</f>
        <v>OK - matches plan year</v>
      </c>
      <c r="H10" s="14" t="s">
        <v>571</v>
      </c>
      <c r="I10" s="259">
        <f ca="1">$I9-$I6</f>
        <v>14.885148648648638</v>
      </c>
      <c r="K10" s="275" t="s">
        <v>107</v>
      </c>
      <c r="L10" s="280">
        <f ca="1">IF($L9=0,"",$L8/$L9)</f>
        <v>1</v>
      </c>
      <c r="M10" s="280">
        <f ca="1">IF($M9=0,"",$M8/$M9)</f>
        <v>1.0000000000000004</v>
      </c>
      <c r="N10" s="280">
        <f ca="1">IF($N9=0,"",$N8/$N9)</f>
        <v>0.99999999999999956</v>
      </c>
      <c r="O10" s="280">
        <f ca="1">IF($O9=0,"",$O8/$O9)</f>
        <v>0.93795045045045022</v>
      </c>
      <c r="P10" s="280">
        <f ca="1">IF($P9=0,"",$P8/$P9)</f>
        <v>0.98448761261261264</v>
      </c>
    </row>
    <row r="11" spans="1:16" x14ac:dyDescent="0.3">
      <c r="A11" s="14" t="s">
        <v>535</v>
      </c>
      <c r="B11" s="233">
        <f ca="1">MAX(0,$B$9-$B$10)</f>
        <v>11.899999999999999</v>
      </c>
      <c r="H11" s="14" t="s">
        <v>572</v>
      </c>
      <c r="I11" s="259">
        <f ca="1">$E$8+$I10</f>
        <v>11.163177860506728</v>
      </c>
      <c r="K11" s="275" t="s">
        <v>589</v>
      </c>
      <c r="L11" s="281" cm="1">
        <f t="array" aca="1" ref="L11" ca="1">SUMPRODUCT(IFERROR(X$27:X$226/$B$5*$W$27:$W$226,0))</f>
        <v>2.1810810810810812</v>
      </c>
      <c r="M11" s="281" cm="1">
        <f t="array" aca="1" ref="M11" ca="1">SUMPRODUCT(IFERROR(Y$27:Y$226/$B$5*$W$27:$W$226,0))</f>
        <v>2.100000000000001</v>
      </c>
      <c r="N11" s="281" cm="1">
        <f t="array" aca="1" ref="N11" ca="1">SUMPRODUCT(IFERROR(Z$27:Z$226/$B$5*$W$27:$W$226,0))</f>
        <v>2.0999999999999996</v>
      </c>
      <c r="O11" s="281" cm="1">
        <f t="array" aca="1" ref="O11" ca="1">SUMPRODUCT(IFERROR(AA$27:AA$226/$B$5*$W$27:$W$226,0))</f>
        <v>3.1147297297297287</v>
      </c>
      <c r="P11" s="281">
        <f ca="1">SUM($L11:$O11)</f>
        <v>9.4958108108108092</v>
      </c>
    </row>
    <row r="12" spans="1:16" x14ac:dyDescent="0.3">
      <c r="A12" s="14" t="s">
        <v>536</v>
      </c>
      <c r="B12" s="253">
        <f ca="1">$B$11*$B$5</f>
        <v>2201.4999999999995</v>
      </c>
      <c r="D12" s="362" t="s">
        <v>626</v>
      </c>
      <c r="E12" s="363">
        <f ca="1">IF($I$6=0,"",$I$9/$I$6)</f>
        <v>2.2599742629185839</v>
      </c>
      <c r="H12" s="14" t="s">
        <v>573</v>
      </c>
      <c r="I12" s="259">
        <f ca="1">$I11-$B$14</f>
        <v>11.163177860506728</v>
      </c>
      <c r="K12" s="275" t="s">
        <v>590</v>
      </c>
      <c r="L12" s="281">
        <f ca="1">$L11-$L8</f>
        <v>-0.81891891891891877</v>
      </c>
      <c r="M12" s="281">
        <f ca="1">$M11-$M8</f>
        <v>-0.90000000000000036</v>
      </c>
      <c r="N12" s="281">
        <f ca="1">$N11-$N8</f>
        <v>-0.89999999999999902</v>
      </c>
      <c r="O12" s="281">
        <f ca="1">$O11-$O8</f>
        <v>0.30087837837837794</v>
      </c>
      <c r="P12" s="281">
        <f ca="1">SUM($L12:$O12)</f>
        <v>-2.3180405405405402</v>
      </c>
    </row>
    <row r="13" spans="1:16" x14ac:dyDescent="0.3">
      <c r="A13" s="14" t="s">
        <v>561</v>
      </c>
      <c r="B13" s="254">
        <v>1</v>
      </c>
      <c r="D13" s="362" t="s">
        <v>627</v>
      </c>
      <c r="E13" s="339" t="str">
        <f ca="1">IF($E$12="","",IF($E$12&gt;$B$16,"NOT CREDIBLE - implied "&amp;TEXT($E$12,"0.00")&amp;"x is above the "&amp;TEXT($B$16,"0.00")&amp;"x ceiling; expected hours are too optimistic",IF($E$12&gt;$E$9*1.5,"OPTIMISTIC - implied "&amp;TEXT($E$12,"0.00")&amp;"x vs "&amp;TEXT($E$9,"0.00")&amp;"x achieved so far","Credible vs history")))</f>
        <v>NOT CREDIBLE - implied 2.26x is above the 2.00x ceiling; expected hours are too optimistic</v>
      </c>
      <c r="H13" s="14" t="s">
        <v>574</v>
      </c>
      <c r="I13" s="261" t="str">
        <f ca="1">IF($I11&gt;=$B$14,"Target met with the work available","Short of target by "&amp;TEXT($B$14-$I11,"0.00")&amp;" MM - see note below")</f>
        <v>Target met with the work available</v>
      </c>
      <c r="K13" s="275" t="s">
        <v>591</v>
      </c>
      <c r="L13" s="281">
        <f ca="1">$E$8+SUM($L$12:L12)</f>
        <v>-4.5408897070608285</v>
      </c>
      <c r="M13" s="281">
        <f ca="1">$E$8+SUM($L$12:M12)</f>
        <v>-5.4408897070608289</v>
      </c>
      <c r="N13" s="281">
        <f ca="1">$E$8+SUM($L$12:N12)</f>
        <v>-6.3408897070608283</v>
      </c>
      <c r="O13" s="281">
        <f ca="1">$E$8+SUM($L$12:O12)</f>
        <v>-6.0400113286824499</v>
      </c>
      <c r="P13" s="281"/>
    </row>
    <row r="14" spans="1:16" x14ac:dyDescent="0.3">
      <c r="A14" s="14" t="s">
        <v>537</v>
      </c>
      <c r="B14" s="255">
        <v>0</v>
      </c>
      <c r="H14" s="14"/>
      <c r="I14" s="250"/>
      <c r="K14" s="275" t="s">
        <v>592</v>
      </c>
      <c r="L14" s="282" cm="1">
        <f t="array" aca="1" ref="L14" ca="1">SUMPRODUCT(($R$27:$R$226="DO")*($Q$27:$Q$226&gt;(L$5-1)*$B$8)*($Q$27:$Q$226&lt;=L$5*$B$8))</f>
        <v>8</v>
      </c>
      <c r="M14" s="282" cm="1">
        <f t="array" aca="1" ref="M14" ca="1">SUMPRODUCT(($R$27:$R$226="DO")*($Q$27:$Q$226&gt;(M$5-1)*$B$8)*($Q$27:$Q$226&lt;=M$5*$B$8))</f>
        <v>6</v>
      </c>
      <c r="N14" s="282" cm="1">
        <f t="array" aca="1" ref="N14" ca="1">SUMPRODUCT(($R$27:$R$226="DO")*($Q$27:$Q$226&gt;(N$5-1)*$B$8)*($Q$27:$Q$226&lt;=N$5*$B$8))</f>
        <v>6</v>
      </c>
      <c r="O14" s="282" cm="1">
        <f t="array" aca="1" ref="O14" ca="1">SUMPRODUCT(($R$27:$R$226="DO")*($Q$27:$Q$226&gt;(O$5-1)*$B$8)*($Q$27:$Q$226&lt;=O$5*$B$8))</f>
        <v>7</v>
      </c>
      <c r="P14" s="282">
        <f ca="1">SUM($L14:$O14)</f>
        <v>27</v>
      </c>
    </row>
    <row r="15" spans="1:16" x14ac:dyDescent="0.3">
      <c r="A15" s="14" t="s">
        <v>562</v>
      </c>
      <c r="B15" s="254">
        <v>0.7</v>
      </c>
      <c r="D15" s="339" t="s">
        <v>628</v>
      </c>
      <c r="H15" s="14" t="s">
        <v>575</v>
      </c>
      <c r="I15" s="250"/>
      <c r="K15" s="275"/>
      <c r="L15" s="283"/>
      <c r="M15" s="283"/>
      <c r="N15" s="283"/>
      <c r="O15" s="283"/>
      <c r="P15" s="283"/>
    </row>
    <row r="16" spans="1:16" x14ac:dyDescent="0.3">
      <c r="A16" s="14" t="s">
        <v>563</v>
      </c>
      <c r="B16" s="254">
        <v>2</v>
      </c>
      <c r="D16" t="s">
        <v>629</v>
      </c>
      <c r="E16" s="368">
        <f ca="1">$B$11*$E$9</f>
        <v>9.4267374916708668</v>
      </c>
      <c r="H16" s="14" t="s">
        <v>24</v>
      </c>
      <c r="I16" s="253">
        <f ca="1">SUM($T$27:$T$226)</f>
        <v>775.03750000000002</v>
      </c>
      <c r="K16" s="284" t="s">
        <v>593</v>
      </c>
      <c r="L16" s="283"/>
      <c r="M16" s="283"/>
      <c r="N16" s="283"/>
      <c r="O16" s="283"/>
      <c r="P16" s="283"/>
    </row>
    <row r="17" spans="1:27" x14ac:dyDescent="0.3">
      <c r="D17" t="s">
        <v>630</v>
      </c>
      <c r="E17" s="368">
        <f ca="1">$E$16-$B$11</f>
        <v>-2.4732625083291317</v>
      </c>
      <c r="H17" s="14" t="s">
        <v>10</v>
      </c>
      <c r="I17" s="253">
        <f ca="1">SUM($U$27:$U$226)</f>
        <v>729.6</v>
      </c>
      <c r="K17" s="275" t="s">
        <v>24</v>
      </c>
      <c r="L17" s="278" cm="1">
        <f t="array" aca="1" ref="L17" ca="1">SUMPRODUCT(IFERROR(X$27:X$226*Deliverables!$K$5:$K$204,0))</f>
        <v>273.29999999999995</v>
      </c>
      <c r="M17" s="278" cm="1">
        <f t="array" aca="1" ref="M17" ca="1">SUMPRODUCT(IFERROR(Y$27:Y$226*Deliverables!$K$5:$K$204,0))</f>
        <v>165.10000000000005</v>
      </c>
      <c r="N17" s="278" cm="1">
        <f t="array" aca="1" ref="N17" ca="1">SUMPRODUCT(IFERROR(Z$27:Z$226*Deliverables!$K$5:$K$204,0))</f>
        <v>83.249999999999986</v>
      </c>
      <c r="O17" s="278" cm="1">
        <f t="array" aca="1" ref="O17" ca="1">SUMPRODUCT(IFERROR(AA$27:AA$226*Deliverables!$K$5:$K$204,0))</f>
        <v>253.38749999999993</v>
      </c>
      <c r="P17" s="278">
        <f ca="1">SUM($L17:$O17)</f>
        <v>775.03749999999991</v>
      </c>
    </row>
    <row r="18" spans="1:27" outlineLevel="1" x14ac:dyDescent="0.3">
      <c r="A18" s="273" t="s">
        <v>581</v>
      </c>
      <c r="D18" s="339" t="s">
        <v>572</v>
      </c>
      <c r="E18" s="369">
        <f ca="1">$E$8+$E$17</f>
        <v>-6.1952332964710415</v>
      </c>
      <c r="H18" s="14" t="s">
        <v>11</v>
      </c>
      <c r="I18" s="253">
        <f ca="1">SUM($V$27:$V$226)</f>
        <v>680.92499999999995</v>
      </c>
      <c r="K18" s="275" t="s">
        <v>10</v>
      </c>
      <c r="L18" s="278" cm="1">
        <f t="array" aca="1" ref="L18" ca="1">SUMPRODUCT(IFERROR(X$27:X$226*Deliverables!$L$5:$L$204,0))</f>
        <v>164.4</v>
      </c>
      <c r="M18" s="278" cm="1">
        <f t="array" aca="1" ref="M18" ca="1">SUMPRODUCT(IFERROR(Y$27:Y$226*Deliverables!$L$5:$L$204,0))</f>
        <v>314.40000000000009</v>
      </c>
      <c r="N18" s="278" cm="1">
        <f t="array" aca="1" ref="N18" ca="1">SUMPRODUCT(IFERROR(Z$27:Z$226*Deliverables!$L$5:$L$204,0))</f>
        <v>159.04999999999995</v>
      </c>
      <c r="O18" s="278" cm="1">
        <f t="array" aca="1" ref="O18" ca="1">SUMPRODUCT(IFERROR(AA$27:AA$226*Deliverables!$L$5:$L$204,0))</f>
        <v>91.75</v>
      </c>
      <c r="P18" s="278">
        <f ca="1">SUM($L18:$O18)</f>
        <v>729.6</v>
      </c>
    </row>
    <row r="19" spans="1:27" outlineLevel="1" x14ac:dyDescent="0.3">
      <c r="A19" s="218" t="str">
        <f ca="1">"The best plan available uses "&amp;TEXT($I$6,"0.00")&amp;" of the "&amp;TEXT($B$11,"0.00")&amp;" MM left this year ("&amp;TEXT($I$7,"#,##0")&amp;" hours), adds "&amp;TEXT($I$10,"0.00")&amp;" MM of profit and leaves the year at "&amp;TEXT($I$11,"0.00")&amp;" MM."</f>
        <v>The best plan available uses 11.81 of the 11.90 MM left this year (2,186 hours), adds 14.89 MM of profit and leaves the year at 11.16 MM.</v>
      </c>
      <c r="D19" t="s">
        <v>631</v>
      </c>
      <c r="E19" s="366">
        <f ca="1">IF($B$11=0,"",($B$11-$E$8)/$B$11)</f>
        <v>1.3127706544657067</v>
      </c>
      <c r="H19" s="14" t="s">
        <v>576</v>
      </c>
      <c r="I19" s="253">
        <f ca="1">MAX(0,$I7-SUM($I$16:$I$18))</f>
        <v>0</v>
      </c>
      <c r="K19" s="275" t="s">
        <v>11</v>
      </c>
      <c r="L19" s="278" cm="1">
        <f t="array" aca="1" ref="L19" ca="1">SUMPRODUCT(IFERROR(X$27:X$226*Deliverables!$M$5:$M$204,0))</f>
        <v>117.3</v>
      </c>
      <c r="M19" s="278" cm="1">
        <f t="array" aca="1" ref="M19" ca="1">SUMPRODUCT(IFERROR(Y$27:Y$226*Deliverables!$M$5:$M$204,0))</f>
        <v>75.500000000000057</v>
      </c>
      <c r="N19" s="278" cm="1">
        <f t="array" aca="1" ref="N19" ca="1">SUMPRODUCT(IFERROR(Z$27:Z$226*Deliverables!$M$5:$M$204,0))</f>
        <v>312.69999999999987</v>
      </c>
      <c r="O19" s="278" cm="1">
        <f t="array" aca="1" ref="O19" ca="1">SUMPRODUCT(IFERROR(AA$27:AA$226*Deliverables!$M$5:$M$204,0))</f>
        <v>175.42500000000004</v>
      </c>
      <c r="P19" s="278">
        <f ca="1">SUM($L19:$O19)</f>
        <v>680.92499999999995</v>
      </c>
    </row>
    <row r="20" spans="1:27" outlineLevel="1" x14ac:dyDescent="0.3">
      <c r="A20" s="218" t="str">
        <f>"Do this one first: "&amp;IFERROR(INDEX($B$27:$B$226,MATCH(1,$P$27:$P$226,0))&amp;" on "&amp;INDEX($A$27:$A$226,MATCH(1,$P$27:$P$226,0))&amp;" - "&amp;TEXT(INDEX($N$27:$N$226,MATCH(1,$P$27:$P$226,0)),"0.00")&amp;" MM earned per MM spent, "&amp;TEXT(INDEX($M$27:$M$226,MATCH(1,$P$27:$P$226,0)),"#,##0")&amp;" hours.","nothing plannable - check project statuses")</f>
        <v>Do this one first: Final Design - Apapa Berth 12 on N25185-0100D - 3.46 MM earned per MM spent, 50 hours.</v>
      </c>
      <c r="H20" s="14"/>
      <c r="I20" s="250"/>
      <c r="K20" s="275" t="s">
        <v>576</v>
      </c>
      <c r="L20" s="278">
        <f ca="1">MAX(0,$L7-SUM($L17:$L19))</f>
        <v>1.1368683772161603E-13</v>
      </c>
      <c r="M20" s="278">
        <f ca="1">MAX(0,$M7-SUM($M17:$M19))</f>
        <v>0</v>
      </c>
      <c r="N20" s="278">
        <f ca="1">MAX(0,$N7-SUM($N17:$N19))</f>
        <v>0</v>
      </c>
      <c r="O20" s="278">
        <f ca="1">MAX(0,$O7-SUM($O17:$O19))</f>
        <v>0</v>
      </c>
      <c r="P20" s="278">
        <f ca="1">SUM($L20:$O20)</f>
        <v>1.1368683772161603E-13</v>
      </c>
    </row>
    <row r="21" spans="1:27" outlineLevel="1" x14ac:dyDescent="0.3">
      <c r="A21" s="218" t="s">
        <v>582</v>
      </c>
      <c r="H21" s="14" t="s">
        <v>577</v>
      </c>
      <c r="I21" s="250"/>
      <c r="K21" s="275" t="s">
        <v>594</v>
      </c>
      <c r="L21" s="278">
        <f>$B$5*$B$8/3</f>
        <v>185</v>
      </c>
      <c r="M21" s="278">
        <f>$L21</f>
        <v>185</v>
      </c>
      <c r="N21" s="278">
        <f>$L21</f>
        <v>185</v>
      </c>
      <c r="O21" s="278">
        <f>$L21</f>
        <v>185</v>
      </c>
      <c r="P21" s="278">
        <f>SUM($L21:$O21)</f>
        <v>740</v>
      </c>
    </row>
    <row r="22" spans="1:27" outlineLevel="1" x14ac:dyDescent="0.3">
      <c r="A22" s="218" t="s">
        <v>598</v>
      </c>
      <c r="H22" s="14" t="s">
        <v>578</v>
      </c>
      <c r="I22" s="257">
        <f ca="1">COUNTIF($R$27:$R$226,"DEFER")</f>
        <v>5</v>
      </c>
      <c r="K22" s="275" t="s">
        <v>595</v>
      </c>
      <c r="L22" s="285" t="str">
        <f ca="1">IF(MAX($L17:$L19)&gt;$L21,"OVER by "&amp;TEXT(MAX($L17:$L19)-$L21,"#,##0")&amp;" hrs","within capacity")</f>
        <v>OVER by 88 hrs</v>
      </c>
      <c r="M22" s="285" t="str">
        <f ca="1">IF(MAX($M17:$M19)&gt;$M21,"OVER by "&amp;TEXT(MAX($M17:$M19)-$M21,"#,##0")&amp;" hrs","within capacity")</f>
        <v>OVER by 129 hrs</v>
      </c>
      <c r="N22" s="285" t="str">
        <f ca="1">IF(MAX($N17:$N19)&gt;$N21,"OVER by "&amp;TEXT(MAX($N17:$N19)-$N21,"#,##0")&amp;" hrs","within capacity")</f>
        <v>OVER by 128 hrs</v>
      </c>
      <c r="O22" s="285" t="str">
        <f ca="1">IF(MAX($O17:$O19)&gt;$O21,"OVER by "&amp;TEXT(MAX($O17:$O19)-$O21,"#,##0")&amp;" hrs","within capacity")</f>
        <v>OVER by 68 hrs</v>
      </c>
      <c r="P22" s="283"/>
    </row>
    <row r="23" spans="1:27" outlineLevel="1" x14ac:dyDescent="0.3">
      <c r="A23" s="218" t="s">
        <v>583</v>
      </c>
      <c r="H23" s="14" t="s">
        <v>579</v>
      </c>
      <c r="I23" s="233">
        <f ca="1">SUMIF($R$27:$R$226,"DEFER",$L$27:$L$226)</f>
        <v>16.252895752895753</v>
      </c>
      <c r="K23" s="289" t="s">
        <v>596</v>
      </c>
    </row>
    <row r="24" spans="1:27" outlineLevel="1" x14ac:dyDescent="0.3">
      <c r="A24" s="218" t="s">
        <v>584</v>
      </c>
      <c r="H24" s="14" t="s">
        <v>580</v>
      </c>
      <c r="I24" s="233">
        <f ca="1">SUMIF($R$27:$R$226,"DEFER",$J$27:$J$226)</f>
        <v>17.112500000000001</v>
      </c>
    </row>
    <row r="25" spans="1:27" x14ac:dyDescent="0.3">
      <c r="A25" s="290" t="s">
        <v>543</v>
      </c>
      <c r="B25" s="290"/>
      <c r="C25" s="290"/>
      <c r="D25" s="290"/>
      <c r="E25" s="290"/>
      <c r="F25" s="290"/>
      <c r="G25" s="290"/>
      <c r="H25" s="290"/>
      <c r="I25" s="290"/>
      <c r="J25" s="290"/>
      <c r="K25" s="290"/>
      <c r="L25" s="290"/>
      <c r="M25" s="290"/>
      <c r="N25" s="290"/>
      <c r="O25" s="290"/>
      <c r="P25" s="290"/>
      <c r="Q25" s="290"/>
      <c r="R25" s="290"/>
      <c r="S25" s="290"/>
      <c r="T25" s="290"/>
      <c r="U25" s="290"/>
      <c r="V25" s="290"/>
      <c r="W25" s="290"/>
      <c r="X25" s="274">
        <v>1</v>
      </c>
      <c r="Y25" s="274">
        <f>X25+1</f>
        <v>2</v>
      </c>
      <c r="Z25" s="274">
        <f>Y25+1</f>
        <v>3</v>
      </c>
      <c r="AA25" s="274">
        <f>Z25+1</f>
        <v>4</v>
      </c>
    </row>
    <row r="26" spans="1:27" ht="40.049999999999997" customHeight="1" x14ac:dyDescent="0.3">
      <c r="A26" s="263" t="s">
        <v>5</v>
      </c>
      <c r="B26" s="263" t="s">
        <v>463</v>
      </c>
      <c r="C26" s="263" t="s">
        <v>544</v>
      </c>
      <c r="D26" s="263" t="s">
        <v>545</v>
      </c>
      <c r="E26" s="263" t="s">
        <v>546</v>
      </c>
      <c r="F26" s="263" t="s">
        <v>547</v>
      </c>
      <c r="G26" s="263" t="s">
        <v>548</v>
      </c>
      <c r="H26" s="263" t="s">
        <v>549</v>
      </c>
      <c r="I26" s="263" t="s">
        <v>550</v>
      </c>
      <c r="J26" s="263" t="s">
        <v>551</v>
      </c>
      <c r="K26" s="263" t="s">
        <v>597</v>
      </c>
      <c r="L26" s="263" t="s">
        <v>599</v>
      </c>
      <c r="M26" s="263" t="s">
        <v>552</v>
      </c>
      <c r="N26" s="263" t="s">
        <v>553</v>
      </c>
      <c r="O26" s="263" t="s">
        <v>554</v>
      </c>
      <c r="P26" s="263" t="s">
        <v>116</v>
      </c>
      <c r="Q26" s="263" t="s">
        <v>555</v>
      </c>
      <c r="R26" s="263" t="s">
        <v>556</v>
      </c>
      <c r="S26" s="263" t="s">
        <v>557</v>
      </c>
      <c r="T26" s="263" t="s">
        <v>558</v>
      </c>
      <c r="U26" s="263" t="s">
        <v>559</v>
      </c>
      <c r="V26" s="263" t="s">
        <v>560</v>
      </c>
      <c r="W26" s="262" t="s">
        <v>564</v>
      </c>
      <c r="X26" s="287" t="str">
        <f ca="1">TEXT(EOMONTH($B$7,X$25-1)+1,"mmm yy")&amp;" hrs"</f>
        <v>Oct 26 hrs</v>
      </c>
      <c r="Y26" s="287" t="str">
        <f ca="1">TEXT(EOMONTH($B$7,Y$25-1)+1,"mmm yy")&amp;" hrs"</f>
        <v>Nov 26 hrs</v>
      </c>
      <c r="Z26" s="287" t="str">
        <f ca="1">TEXT(EOMONTH($B$7,Z$25-1)+1,"mmm yy")&amp;" hrs"</f>
        <v>Dec 26 hrs</v>
      </c>
      <c r="AA26" s="287" t="str">
        <f ca="1">TEXT(EOMONTH($B$7,AA$25-1)+1,"mmm yy")&amp;" hrs"</f>
        <v>Jan 27 hrs</v>
      </c>
    </row>
    <row r="27" spans="1:27" x14ac:dyDescent="0.3">
      <c r="A27" s="224" t="str">
        <f>IF(Deliverables!$A5="","",Deliverables!$A5)</f>
        <v>N25178-0100D</v>
      </c>
      <c r="B27" s="227" t="str">
        <f>IF($A27="","",Deliverables!$C5)</f>
        <v>Concept Design</v>
      </c>
      <c r="C27" s="227" t="str">
        <f>IF($A27="","",Deliverables!$D5)</f>
        <v>CD</v>
      </c>
      <c r="D27" s="227" t="str">
        <f>IF($A27="","",Deliverables!$G5)</f>
        <v>Option selected and frozen</v>
      </c>
      <c r="E27" s="227" t="str">
        <f>IF($A27="","",IFERROR(INDEX(Inputs!$F$6:$F$85,MATCH($A27,Inputs!$A$6:$A$85,0)),"not in register"))</f>
        <v>Active</v>
      </c>
      <c r="F27" s="264">
        <f>IF($A27="","",IF(Deliverables!$H5="",0,Deliverables!$H5))</f>
        <v>0.65</v>
      </c>
      <c r="G27" s="264">
        <f>IF($A27="","",1-$F27)</f>
        <v>0.35</v>
      </c>
      <c r="H27" s="265">
        <f>IF($A27="","",IFERROR(Deliverables!$E5*INDEX(Inputs!$C$6:$C$85,MATCH($A27,Inputs!$A$6:$A$85,0)),0))</f>
        <v>2.4</v>
      </c>
      <c r="I27" s="265">
        <f>IF($A27="","",$H27*$F27)</f>
        <v>1.56</v>
      </c>
      <c r="J27" s="265">
        <f>IF($A27="","",$H27*$G27)</f>
        <v>0.84</v>
      </c>
      <c r="K27" s="332">
        <v>85</v>
      </c>
      <c r="L27" s="266">
        <f>IF($A27="","",IF($K27&lt;&gt;"",$K27/$B$5,IF($W27=0,$J27,$J27/$W27)))</f>
        <v>0.45945945945945948</v>
      </c>
      <c r="M27" s="267">
        <f>IF($A27="","",$L27*$B$5)</f>
        <v>85</v>
      </c>
      <c r="N27" s="268">
        <f>IF(OR($A27="",$L27=0),"",$J27/$L27)</f>
        <v>1.828235294117647</v>
      </c>
      <c r="O27" s="269">
        <f>IF(OR($A27="",$J27&lt;=0.0001,AND($E27&lt;&gt;"Active",$E27&lt;&gt;"Not Started")),"",$N27-ROW()/1000000)</f>
        <v>1.828208294117647</v>
      </c>
      <c r="P27" s="270">
        <f>IF($O27="","",COUNTIF($O$27:$O$226,"&gt;"&amp;$O27)+1)</f>
        <v>27</v>
      </c>
      <c r="Q27" s="271">
        <f>IF($P27="","",SUMIFS($L$27:$L$226,$P$27:$P$226,"&lt;="&amp;$P27))</f>
        <v>11.813851351351353</v>
      </c>
      <c r="R27" s="272" t="str">
        <f ca="1">IF($A27="","",IF($O27="",IF($J27&lt;=0.0001,"complete","not in scope"),IF($Q27&lt;=$B$11,"DO","DEFER")))</f>
        <v>DO</v>
      </c>
      <c r="S27" s="265">
        <f ca="1">IF($R27="DO",$J27-$L27,"")</f>
        <v>0.38054054054054048</v>
      </c>
      <c r="T27" s="267">
        <f ca="1">IF($R27="DO",$M27*Deliverables!K5,"")</f>
        <v>85</v>
      </c>
      <c r="U27" s="267">
        <f ca="1">IF($R27="DO",$M27*Deliverables!L5,"")</f>
        <v>0</v>
      </c>
      <c r="V27" s="267">
        <f ca="1">IF($R27="DO",$M27*Deliverables!M5,"")</f>
        <v>0</v>
      </c>
      <c r="W27" s="286">
        <f>IF($A27="","",MEDIAN($B$15,$B$16,IFERROR(IF(INDEX(Inputs!$U$6:$U$85,MATCH($A27,Inputs!$A$6:$A$85,0))="",$B$13,INDEX(Inputs!$U$6:$U$85,MATCH($A27,Inputs!$A$6:$A$85,0))),$B$13)))</f>
        <v>1</v>
      </c>
      <c r="X27" s="288">
        <f ca="1">IF($R27&lt;&gt;"DO","",MAX(0,MIN($Q27,X$25*$B$8)-MAX($Q27-$L27,(X$25-1)*$B$8))*$B$5)</f>
        <v>0</v>
      </c>
      <c r="Y27" s="288">
        <f t="shared" ref="Y27:AA46" ca="1" si="0">IF($R27&lt;&gt;"DO","",MAX(0,MIN($Q27,Y$25*$B$8)-MAX($Q27-$L27,(Y$25-1)*$B$8))*$B$5)</f>
        <v>0</v>
      </c>
      <c r="Z27" s="288">
        <f t="shared" ca="1" si="0"/>
        <v>0</v>
      </c>
      <c r="AA27" s="288">
        <f t="shared" ca="1" si="0"/>
        <v>85.000000000000028</v>
      </c>
    </row>
    <row r="28" spans="1:27" x14ac:dyDescent="0.3">
      <c r="A28" s="224" t="str">
        <f>IF(Deliverables!$A6="","",Deliverables!$A6)</f>
        <v>E26084-0100D</v>
      </c>
      <c r="B28" s="227" t="str">
        <f>IF($A28="","",Deliverables!$C6)</f>
        <v>Schematic Design</v>
      </c>
      <c r="C28" s="227" t="str">
        <f>IF($A28="","",Deliverables!$D6)</f>
        <v>CD</v>
      </c>
      <c r="D28" s="227" t="str">
        <f>IF($A28="","",Deliverables!$G6)</f>
        <v>Option selected and frozen</v>
      </c>
      <c r="E28" s="227" t="str">
        <f>IF($A28="","",IFERROR(INDEX(Inputs!$F$6:$F$85,MATCH($A28,Inputs!$A$6:$A$85,0)),"not in register"))</f>
        <v>Active</v>
      </c>
      <c r="F28" s="264">
        <f>IF($A28="","",IF(Deliverables!$H6="",0,Deliverables!$H6))</f>
        <v>0.65</v>
      </c>
      <c r="G28" s="264">
        <f t="shared" ref="G28:G91" si="1">IF($A28="","",1-$F28)</f>
        <v>0.35</v>
      </c>
      <c r="H28" s="265">
        <f>IF($A28="","",IFERROR(Deliverables!$E6*INDEX(Inputs!$C$6:$C$85,MATCH($A28,Inputs!$A$6:$A$85,0)),0))</f>
        <v>0.75</v>
      </c>
      <c r="I28" s="265">
        <f t="shared" ref="I28:I91" si="2">IF($A28="","",$H28*$F28)</f>
        <v>0.48750000000000004</v>
      </c>
      <c r="J28" s="265">
        <f t="shared" ref="J28:J91" si="3">IF($A28="","",$H28*$G28)</f>
        <v>0.26249999999999996</v>
      </c>
      <c r="K28" s="332">
        <v>100</v>
      </c>
      <c r="L28" s="266">
        <f t="shared" ref="L28:L91" si="4">IF($A28="","",IF($K28&lt;&gt;"",$K28/$B$5,IF($W28=0,$J28,$J28/$W28)))</f>
        <v>0.54054054054054057</v>
      </c>
      <c r="M28" s="267">
        <f t="shared" ref="M28:M91" si="5">IF($A28="","",$L28*$B$5)</f>
        <v>100</v>
      </c>
      <c r="N28" s="268">
        <f t="shared" ref="N28:N91" si="6">IF(OR($A28="",$L28=0),"",$J28/$L28)</f>
        <v>0.48562499999999992</v>
      </c>
      <c r="O28" s="269">
        <f t="shared" ref="O28:O91" si="7">IF(OR($A28="",$J28&lt;=0.0001,AND($E28&lt;&gt;"Active",$E28&lt;&gt;"Not Started")),"",$N28-ROW()/1000000)</f>
        <v>0.48559699999999995</v>
      </c>
      <c r="P28" s="270">
        <f t="shared" ref="P28:P91" si="8">IF($O28="","",COUNTIF($O$27:$O$226,"&gt;"&amp;$O28)+1)</f>
        <v>32</v>
      </c>
      <c r="Q28" s="271">
        <f t="shared" ref="Q28:Q91" si="9">IF($P28="","",SUMIFS($L$27:$L$226,$P$27:$P$226,"&lt;="&amp;$P28))</f>
        <v>28.066747104247106</v>
      </c>
      <c r="R28" s="272" t="str">
        <f t="shared" ref="R28:R91" ca="1" si="10">IF($A28="","",IF($O28="",IF($J28&lt;=0.0001,"complete","not in scope"),IF($Q28&lt;=$B$11,"DO","DEFER")))</f>
        <v>DEFER</v>
      </c>
      <c r="S28" s="265" t="str">
        <f t="shared" ref="S28:S91" ca="1" si="11">IF($R28="DO",$J28-$L28,"")</f>
        <v/>
      </c>
      <c r="T28" s="267" t="str">
        <f ca="1">IF($R28="DO",$M28*Deliverables!K6,"")</f>
        <v/>
      </c>
      <c r="U28" s="267" t="str">
        <f ca="1">IF($R28="DO",$M28*Deliverables!L6,"")</f>
        <v/>
      </c>
      <c r="V28" s="267" t="str">
        <f ca="1">IF($R28="DO",$M28*Deliverables!M6,"")</f>
        <v/>
      </c>
      <c r="W28" s="286">
        <f>IF($A28="","",MEDIAN($B$15,$B$16,IFERROR(IF(INDEX(Inputs!$U$6:$U$85,MATCH($A28,Inputs!$A$6:$A$85,0))="",$B$13,INDEX(Inputs!$U$6:$U$85,MATCH($A28,Inputs!$A$6:$A$85,0))),$B$13)))</f>
        <v>2</v>
      </c>
      <c r="X28" s="288" t="str">
        <f t="shared" ref="X28:AA47" ca="1" si="12">IF($R28&lt;&gt;"DO","",MAX(0,MIN($Q28,X$25*$B$8)-MAX($Q28-$L28,(X$25-1)*$B$8))*$B$5)</f>
        <v/>
      </c>
      <c r="Y28" s="288" t="str">
        <f t="shared" ca="1" si="0"/>
        <v/>
      </c>
      <c r="Z28" s="288" t="str">
        <f t="shared" ca="1" si="0"/>
        <v/>
      </c>
      <c r="AA28" s="288" t="str">
        <f t="shared" ca="1" si="0"/>
        <v/>
      </c>
    </row>
    <row r="29" spans="1:27" x14ac:dyDescent="0.3">
      <c r="A29" s="224" t="str">
        <f>IF(Deliverables!$A7="","",Deliverables!$A7)</f>
        <v>E26084-0100D</v>
      </c>
      <c r="B29" s="227" t="str">
        <f>IF($A29="","",Deliverables!$C7)</f>
        <v>Final Design</v>
      </c>
      <c r="C29" s="227" t="str">
        <f>IF($A29="","",Deliverables!$D7)</f>
        <v>DD</v>
      </c>
      <c r="D29" s="227" t="str">
        <f>IF($A29="","",Deliverables!$G7)</f>
        <v/>
      </c>
      <c r="E29" s="227" t="str">
        <f>IF($A29="","",IFERROR(INDEX(Inputs!$F$6:$F$85,MATCH($A29,Inputs!$A$6:$A$85,0)),"not in register"))</f>
        <v>Active</v>
      </c>
      <c r="F29" s="264">
        <f>IF($A29="","",IF(Deliverables!$H7="",0,Deliverables!$H7))</f>
        <v>0</v>
      </c>
      <c r="G29" s="264">
        <f t="shared" si="1"/>
        <v>1</v>
      </c>
      <c r="H29" s="265">
        <f>IF($A29="","",IFERROR(Deliverables!$E7*INDEX(Inputs!$C$6:$C$85,MATCH($A29,Inputs!$A$6:$A$85,0)),0))</f>
        <v>2.25</v>
      </c>
      <c r="I29" s="265">
        <f t="shared" si="2"/>
        <v>0</v>
      </c>
      <c r="J29" s="265">
        <f t="shared" si="3"/>
        <v>2.25</v>
      </c>
      <c r="K29" s="332">
        <v>300</v>
      </c>
      <c r="L29" s="266">
        <f t="shared" si="4"/>
        <v>1.6216216216216217</v>
      </c>
      <c r="M29" s="267">
        <f t="shared" si="5"/>
        <v>300</v>
      </c>
      <c r="N29" s="268">
        <f t="shared" si="6"/>
        <v>1.3875</v>
      </c>
      <c r="O29" s="269">
        <f t="shared" si="7"/>
        <v>1.3874709999999999</v>
      </c>
      <c r="P29" s="270">
        <f t="shared" si="8"/>
        <v>29</v>
      </c>
      <c r="Q29" s="271">
        <f t="shared" si="9"/>
        <v>15.597635135135137</v>
      </c>
      <c r="R29" s="272" t="str">
        <f t="shared" ca="1" si="10"/>
        <v>DEFER</v>
      </c>
      <c r="S29" s="265" t="str">
        <f t="shared" ca="1" si="11"/>
        <v/>
      </c>
      <c r="T29" s="267" t="str">
        <f ca="1">IF($R29="DO",$M29*Deliverables!K7,"")</f>
        <v/>
      </c>
      <c r="U29" s="267" t="str">
        <f ca="1">IF($R29="DO",$M29*Deliverables!L7,"")</f>
        <v/>
      </c>
      <c r="V29" s="267" t="str">
        <f ca="1">IF($R29="DO",$M29*Deliverables!M7,"")</f>
        <v/>
      </c>
      <c r="W29" s="286">
        <f>IF($A29="","",MEDIAN($B$15,$B$16,IFERROR(IF(INDEX(Inputs!$U$6:$U$85,MATCH($A29,Inputs!$A$6:$A$85,0))="",$B$13,INDEX(Inputs!$U$6:$U$85,MATCH($A29,Inputs!$A$6:$A$85,0))),$B$13)))</f>
        <v>2</v>
      </c>
      <c r="X29" s="288" t="str">
        <f t="shared" ca="1" si="12"/>
        <v/>
      </c>
      <c r="Y29" s="288" t="str">
        <f t="shared" ca="1" si="0"/>
        <v/>
      </c>
      <c r="Z29" s="288" t="str">
        <f t="shared" ca="1" si="0"/>
        <v/>
      </c>
      <c r="AA29" s="288" t="str">
        <f t="shared" ca="1" si="0"/>
        <v/>
      </c>
    </row>
    <row r="30" spans="1:27" x14ac:dyDescent="0.3">
      <c r="A30" s="224" t="str">
        <f>IF(Deliverables!$A8="","",Deliverables!$A8)</f>
        <v>N25185-0100D</v>
      </c>
      <c r="B30" s="227" t="str">
        <f>IF($A30="","",Deliverables!$C8)</f>
        <v>Concept Design</v>
      </c>
      <c r="C30" s="227" t="str">
        <f>IF($A30="","",Deliverables!$D8)</f>
        <v>CD</v>
      </c>
      <c r="D30" s="227" t="str">
        <f>IF($A30="","",Deliverables!$G8)</f>
        <v>Client acceptance</v>
      </c>
      <c r="E30" s="227" t="str">
        <f>IF($A30="","",IFERROR(INDEX(Inputs!$F$6:$F$85,MATCH($A30,Inputs!$A$6:$A$85,0)),"not in register"))</f>
        <v>Active</v>
      </c>
      <c r="F30" s="264">
        <f>IF($A30="","",IF(Deliverables!$H8="",0,Deliverables!$H8))</f>
        <v>1</v>
      </c>
      <c r="G30" s="264">
        <f t="shared" si="1"/>
        <v>0</v>
      </c>
      <c r="H30" s="265">
        <f>IF($A30="","",IFERROR(Deliverables!$E8*INDEX(Inputs!$C$6:$C$85,MATCH($A30,Inputs!$A$6:$A$85,0)),0))</f>
        <v>4.16</v>
      </c>
      <c r="I30" s="265">
        <f t="shared" si="2"/>
        <v>4.16</v>
      </c>
      <c r="J30" s="265">
        <f t="shared" si="3"/>
        <v>0</v>
      </c>
      <c r="K30" s="332"/>
      <c r="L30" s="266">
        <f t="shared" si="4"/>
        <v>0</v>
      </c>
      <c r="M30" s="267">
        <f t="shared" si="5"/>
        <v>0</v>
      </c>
      <c r="N30" s="268" t="str">
        <f t="shared" si="6"/>
        <v/>
      </c>
      <c r="O30" s="269" t="str">
        <f t="shared" si="7"/>
        <v/>
      </c>
      <c r="P30" s="270" t="str">
        <f t="shared" si="8"/>
        <v/>
      </c>
      <c r="Q30" s="271" t="str">
        <f t="shared" si="9"/>
        <v/>
      </c>
      <c r="R30" s="272" t="str">
        <f t="shared" si="10"/>
        <v>complete</v>
      </c>
      <c r="S30" s="265" t="str">
        <f t="shared" si="11"/>
        <v/>
      </c>
      <c r="T30" s="267" t="str">
        <f>IF($R30="DO",$M30*Deliverables!K8,"")</f>
        <v/>
      </c>
      <c r="U30" s="267" t="str">
        <f>IF($R30="DO",$M30*Deliverables!L8,"")</f>
        <v/>
      </c>
      <c r="V30" s="267" t="str">
        <f>IF($R30="DO",$M30*Deliverables!M8,"")</f>
        <v/>
      </c>
      <c r="W30" s="286">
        <f>IF($A30="","",MEDIAN($B$15,$B$16,IFERROR(IF(INDEX(Inputs!$U$6:$U$85,MATCH($A30,Inputs!$A$6:$A$85,0))="",$B$13,INDEX(Inputs!$U$6:$U$85,MATCH($A30,Inputs!$A$6:$A$85,0))),$B$13)))</f>
        <v>0.7</v>
      </c>
      <c r="X30" s="288" t="str">
        <f t="shared" si="12"/>
        <v/>
      </c>
      <c r="Y30" s="288" t="str">
        <f t="shared" si="0"/>
        <v/>
      </c>
      <c r="Z30" s="288" t="str">
        <f t="shared" si="0"/>
        <v/>
      </c>
      <c r="AA30" s="288" t="str">
        <f t="shared" si="0"/>
        <v/>
      </c>
    </row>
    <row r="31" spans="1:27" x14ac:dyDescent="0.3">
      <c r="A31" s="224" t="str">
        <f>IF(Deliverables!$A9="","",Deliverables!$A9)</f>
        <v>N25185-0100D</v>
      </c>
      <c r="B31" s="227" t="str">
        <f>IF($A31="","",Deliverables!$C9)</f>
        <v>Final Design - Tin Can Berth 1</v>
      </c>
      <c r="C31" s="227" t="str">
        <f>IF($A31="","",Deliverables!$D9)</f>
        <v>DD</v>
      </c>
      <c r="D31" s="227" t="str">
        <f>IF($A31="","",Deliverables!$G9)</f>
        <v/>
      </c>
      <c r="E31" s="227" t="str">
        <f>IF($A31="","",IFERROR(INDEX(Inputs!$F$6:$F$85,MATCH($A31,Inputs!$A$6:$A$85,0)),"not in register"))</f>
        <v>Active</v>
      </c>
      <c r="F31" s="264">
        <f>IF($A31="","",IF(Deliverables!$H9="",0,Deliverables!$H9))</f>
        <v>0</v>
      </c>
      <c r="G31" s="264">
        <f t="shared" si="1"/>
        <v>1</v>
      </c>
      <c r="H31" s="265">
        <f>IF($A31="","",IFERROR(Deliverables!$E9*INDEX(Inputs!$C$6:$C$85,MATCH($A31,Inputs!$A$6:$A$85,0)),0))</f>
        <v>1.04</v>
      </c>
      <c r="I31" s="265">
        <f t="shared" si="2"/>
        <v>0</v>
      </c>
      <c r="J31" s="265">
        <f t="shared" si="3"/>
        <v>1.04</v>
      </c>
      <c r="K31" s="332">
        <v>90</v>
      </c>
      <c r="L31" s="266">
        <f t="shared" si="4"/>
        <v>0.48648648648648651</v>
      </c>
      <c r="M31" s="267">
        <f t="shared" si="5"/>
        <v>90</v>
      </c>
      <c r="N31" s="268">
        <f t="shared" si="6"/>
        <v>2.1377777777777776</v>
      </c>
      <c r="O31" s="269">
        <f t="shared" si="7"/>
        <v>2.1377467777777777</v>
      </c>
      <c r="P31" s="270">
        <f t="shared" si="8"/>
        <v>12</v>
      </c>
      <c r="Q31" s="271">
        <f t="shared" si="9"/>
        <v>4.8540540540540533</v>
      </c>
      <c r="R31" s="272" t="str">
        <f t="shared" ca="1" si="10"/>
        <v>DO</v>
      </c>
      <c r="S31" s="265">
        <f t="shared" ca="1" si="11"/>
        <v>0.55351351351351352</v>
      </c>
      <c r="T31" s="267">
        <f ca="1">IF($R31="DO",$M31*Deliverables!K9,"")</f>
        <v>13.5</v>
      </c>
      <c r="U31" s="267">
        <f ca="1">IF($R31="DO",$M31*Deliverables!L9,"")</f>
        <v>54</v>
      </c>
      <c r="V31" s="267">
        <f ca="1">IF($R31="DO",$M31*Deliverables!M9,"")</f>
        <v>22.5</v>
      </c>
      <c r="W31" s="286">
        <f>IF($A31="","",MEDIAN($B$15,$B$16,IFERROR(IF(INDEX(Inputs!$U$6:$U$85,MATCH($A31,Inputs!$A$6:$A$85,0))="",$B$13,INDEX(Inputs!$U$6:$U$85,MATCH($A31,Inputs!$A$6:$A$85,0))),$B$13)))</f>
        <v>0.7</v>
      </c>
      <c r="X31" s="288">
        <f t="shared" ca="1" si="12"/>
        <v>0</v>
      </c>
      <c r="Y31" s="288">
        <f t="shared" ca="1" si="0"/>
        <v>90.000000000000071</v>
      </c>
      <c r="Z31" s="288">
        <f t="shared" ca="1" si="0"/>
        <v>0</v>
      </c>
      <c r="AA31" s="288">
        <f t="shared" ca="1" si="0"/>
        <v>0</v>
      </c>
    </row>
    <row r="32" spans="1:27" x14ac:dyDescent="0.3">
      <c r="A32" s="224" t="str">
        <f>IF(Deliverables!$A10="","",Deliverables!$A10)</f>
        <v>N25185-0100D</v>
      </c>
      <c r="B32" s="227" t="str">
        <f>IF($A32="","",Deliverables!$C10)</f>
        <v>Final Design - Tin Can Berth 2</v>
      </c>
      <c r="C32" s="227" t="str">
        <f>IF($A32="","",Deliverables!$D10)</f>
        <v>DD</v>
      </c>
      <c r="D32" s="227" t="str">
        <f>IF($A32="","",Deliverables!$G10)</f>
        <v/>
      </c>
      <c r="E32" s="227" t="str">
        <f>IF($A32="","",IFERROR(INDEX(Inputs!$F$6:$F$85,MATCH($A32,Inputs!$A$6:$A$85,0)),"not in register"))</f>
        <v>Active</v>
      </c>
      <c r="F32" s="264">
        <f>IF($A32="","",IF(Deliverables!$H10="",0,Deliverables!$H10))</f>
        <v>0</v>
      </c>
      <c r="G32" s="264">
        <f t="shared" si="1"/>
        <v>1</v>
      </c>
      <c r="H32" s="265">
        <f>IF($A32="","",IFERROR(Deliverables!$E10*INDEX(Inputs!$C$6:$C$85,MATCH($A32,Inputs!$A$6:$A$85,0)),0))</f>
        <v>1.04</v>
      </c>
      <c r="I32" s="265">
        <f t="shared" si="2"/>
        <v>0</v>
      </c>
      <c r="J32" s="265">
        <f t="shared" si="3"/>
        <v>1.04</v>
      </c>
      <c r="K32" s="332">
        <v>90</v>
      </c>
      <c r="L32" s="266">
        <f t="shared" si="4"/>
        <v>0.48648648648648651</v>
      </c>
      <c r="M32" s="267">
        <f t="shared" si="5"/>
        <v>90</v>
      </c>
      <c r="N32" s="268">
        <f t="shared" si="6"/>
        <v>2.1377777777777776</v>
      </c>
      <c r="O32" s="269">
        <f t="shared" si="7"/>
        <v>2.1377457777777775</v>
      </c>
      <c r="P32" s="270">
        <f t="shared" si="8"/>
        <v>13</v>
      </c>
      <c r="Q32" s="271">
        <f t="shared" si="9"/>
        <v>5.3405405405405402</v>
      </c>
      <c r="R32" s="272" t="str">
        <f t="shared" ca="1" si="10"/>
        <v>DO</v>
      </c>
      <c r="S32" s="265">
        <f t="shared" ca="1" si="11"/>
        <v>0.55351351351351352</v>
      </c>
      <c r="T32" s="267">
        <f ca="1">IF($R32="DO",$M32*Deliverables!K10,"")</f>
        <v>13.5</v>
      </c>
      <c r="U32" s="267">
        <f ca="1">IF($R32="DO",$M32*Deliverables!L10,"")</f>
        <v>54</v>
      </c>
      <c r="V32" s="267">
        <f ca="1">IF($R32="DO",$M32*Deliverables!M10,"")</f>
        <v>22.5</v>
      </c>
      <c r="W32" s="286">
        <f>IF($A32="","",MEDIAN($B$15,$B$16,IFERROR(IF(INDEX(Inputs!$U$6:$U$85,MATCH($A32,Inputs!$A$6:$A$85,0))="",$B$13,INDEX(Inputs!$U$6:$U$85,MATCH($A32,Inputs!$A$6:$A$85,0))),$B$13)))</f>
        <v>0.7</v>
      </c>
      <c r="X32" s="288">
        <f t="shared" ca="1" si="12"/>
        <v>0</v>
      </c>
      <c r="Y32" s="288">
        <f t="shared" ca="1" si="0"/>
        <v>90.000000000000071</v>
      </c>
      <c r="Z32" s="288">
        <f t="shared" ca="1" si="0"/>
        <v>0</v>
      </c>
      <c r="AA32" s="288">
        <f t="shared" ca="1" si="0"/>
        <v>0</v>
      </c>
    </row>
    <row r="33" spans="1:27" x14ac:dyDescent="0.3">
      <c r="A33" s="224" t="str">
        <f>IF(Deliverables!$A11="","",Deliverables!$A11)</f>
        <v>N25185-0100D</v>
      </c>
      <c r="B33" s="227" t="str">
        <f>IF($A33="","",Deliverables!$C11)</f>
        <v>Final Design - Tin Can Berth 3</v>
      </c>
      <c r="C33" s="227" t="str">
        <f>IF($A33="","",Deliverables!$D11)</f>
        <v>DD</v>
      </c>
      <c r="D33" s="227" t="str">
        <f>IF($A33="","",Deliverables!$G11)</f>
        <v/>
      </c>
      <c r="E33" s="227" t="str">
        <f>IF($A33="","",IFERROR(INDEX(Inputs!$F$6:$F$85,MATCH($A33,Inputs!$A$6:$A$85,0)),"not in register"))</f>
        <v>Active</v>
      </c>
      <c r="F33" s="264">
        <f>IF($A33="","",IF(Deliverables!$H11="",0,Deliverables!$H11))</f>
        <v>0</v>
      </c>
      <c r="G33" s="264">
        <f t="shared" si="1"/>
        <v>1</v>
      </c>
      <c r="H33" s="265">
        <f>IF($A33="","",IFERROR(Deliverables!$E11*INDEX(Inputs!$C$6:$C$85,MATCH($A33,Inputs!$A$6:$A$85,0)),0))</f>
        <v>1.04</v>
      </c>
      <c r="I33" s="265">
        <f t="shared" si="2"/>
        <v>0</v>
      </c>
      <c r="J33" s="265">
        <f t="shared" si="3"/>
        <v>1.04</v>
      </c>
      <c r="K33" s="332">
        <v>90</v>
      </c>
      <c r="L33" s="266">
        <f t="shared" si="4"/>
        <v>0.48648648648648651</v>
      </c>
      <c r="M33" s="267">
        <f t="shared" si="5"/>
        <v>90</v>
      </c>
      <c r="N33" s="268">
        <f t="shared" si="6"/>
        <v>2.1377777777777776</v>
      </c>
      <c r="O33" s="269">
        <f t="shared" si="7"/>
        <v>2.1377447777777774</v>
      </c>
      <c r="P33" s="270">
        <f t="shared" si="8"/>
        <v>14</v>
      </c>
      <c r="Q33" s="271">
        <f t="shared" si="9"/>
        <v>5.827027027027027</v>
      </c>
      <c r="R33" s="272" t="str">
        <f t="shared" ca="1" si="10"/>
        <v>DO</v>
      </c>
      <c r="S33" s="265">
        <f t="shared" ca="1" si="11"/>
        <v>0.55351351351351352</v>
      </c>
      <c r="T33" s="267">
        <f ca="1">IF($R33="DO",$M33*Deliverables!K11,"")</f>
        <v>13.5</v>
      </c>
      <c r="U33" s="267">
        <f ca="1">IF($R33="DO",$M33*Deliverables!L11,"")</f>
        <v>54</v>
      </c>
      <c r="V33" s="267">
        <f ca="1">IF($R33="DO",$M33*Deliverables!M11,"")</f>
        <v>22.5</v>
      </c>
      <c r="W33" s="286">
        <f>IF($A33="","",MEDIAN($B$15,$B$16,IFERROR(IF(INDEX(Inputs!$U$6:$U$85,MATCH($A33,Inputs!$A$6:$A$85,0))="",$B$13,INDEX(Inputs!$U$6:$U$85,MATCH($A33,Inputs!$A$6:$A$85,0))),$B$13)))</f>
        <v>0.7</v>
      </c>
      <c r="X33" s="288">
        <f t="shared" ca="1" si="12"/>
        <v>0</v>
      </c>
      <c r="Y33" s="288">
        <f t="shared" ca="1" si="0"/>
        <v>90.000000000000071</v>
      </c>
      <c r="Z33" s="288">
        <f t="shared" ca="1" si="0"/>
        <v>0</v>
      </c>
      <c r="AA33" s="288">
        <f t="shared" ca="1" si="0"/>
        <v>0</v>
      </c>
    </row>
    <row r="34" spans="1:27" x14ac:dyDescent="0.3">
      <c r="A34" s="224" t="str">
        <f>IF(Deliverables!$A12="","",Deliverables!$A12)</f>
        <v>N25185-0100D</v>
      </c>
      <c r="B34" s="227" t="str">
        <f>IF($A34="","",Deliverables!$C12)</f>
        <v>Final Design - Tin Can Berth 4</v>
      </c>
      <c r="C34" s="227" t="str">
        <f>IF($A34="","",Deliverables!$D12)</f>
        <v>DD</v>
      </c>
      <c r="D34" s="227" t="str">
        <f>IF($A34="","",Deliverables!$G12)</f>
        <v/>
      </c>
      <c r="E34" s="227" t="str">
        <f>IF($A34="","",IFERROR(INDEX(Inputs!$F$6:$F$85,MATCH($A34,Inputs!$A$6:$A$85,0)),"not in register"))</f>
        <v>Active</v>
      </c>
      <c r="F34" s="264">
        <f>IF($A34="","",IF(Deliverables!$H12="",0,Deliverables!$H12))</f>
        <v>0</v>
      </c>
      <c r="G34" s="264">
        <f t="shared" si="1"/>
        <v>1</v>
      </c>
      <c r="H34" s="265">
        <f>IF($A34="","",IFERROR(Deliverables!$E12*INDEX(Inputs!$C$6:$C$85,MATCH($A34,Inputs!$A$6:$A$85,0)),0))</f>
        <v>1.04</v>
      </c>
      <c r="I34" s="265">
        <f t="shared" si="2"/>
        <v>0</v>
      </c>
      <c r="J34" s="265">
        <f t="shared" si="3"/>
        <v>1.04</v>
      </c>
      <c r="K34" s="332">
        <v>90</v>
      </c>
      <c r="L34" s="266">
        <f t="shared" si="4"/>
        <v>0.48648648648648651</v>
      </c>
      <c r="M34" s="267">
        <f t="shared" si="5"/>
        <v>90</v>
      </c>
      <c r="N34" s="268">
        <f t="shared" si="6"/>
        <v>2.1377777777777776</v>
      </c>
      <c r="O34" s="269">
        <f t="shared" si="7"/>
        <v>2.1377437777777777</v>
      </c>
      <c r="P34" s="270">
        <f t="shared" si="8"/>
        <v>15</v>
      </c>
      <c r="Q34" s="271">
        <f t="shared" si="9"/>
        <v>6.3135135135135139</v>
      </c>
      <c r="R34" s="272" t="str">
        <f t="shared" ca="1" si="10"/>
        <v>DO</v>
      </c>
      <c r="S34" s="265">
        <f t="shared" ca="1" si="11"/>
        <v>0.55351351351351352</v>
      </c>
      <c r="T34" s="267">
        <f ca="1">IF($R34="DO",$M34*Deliverables!K12,"")</f>
        <v>13.5</v>
      </c>
      <c r="U34" s="267">
        <f ca="1">IF($R34="DO",$M34*Deliverables!L12,"")</f>
        <v>54</v>
      </c>
      <c r="V34" s="267">
        <f ca="1">IF($R34="DO",$M34*Deliverables!M12,"")</f>
        <v>22.5</v>
      </c>
      <c r="W34" s="286">
        <f>IF($A34="","",MEDIAN($B$15,$B$16,IFERROR(IF(INDEX(Inputs!$U$6:$U$85,MATCH($A34,Inputs!$A$6:$A$85,0))="",$B$13,INDEX(Inputs!$U$6:$U$85,MATCH($A34,Inputs!$A$6:$A$85,0))),$B$13)))</f>
        <v>0.7</v>
      </c>
      <c r="X34" s="288">
        <f t="shared" ca="1" si="12"/>
        <v>0</v>
      </c>
      <c r="Y34" s="288">
        <f t="shared" ca="1" si="0"/>
        <v>32</v>
      </c>
      <c r="Z34" s="288">
        <f t="shared" ca="1" si="0"/>
        <v>58.000000000000064</v>
      </c>
      <c r="AA34" s="288">
        <f t="shared" ca="1" si="0"/>
        <v>0</v>
      </c>
    </row>
    <row r="35" spans="1:27" x14ac:dyDescent="0.3">
      <c r="A35" s="224" t="str">
        <f>IF(Deliverables!$A13="","",Deliverables!$A13)</f>
        <v>N25185-0100D</v>
      </c>
      <c r="B35" s="227" t="str">
        <f>IF($A35="","",Deliverables!$C13)</f>
        <v>Final Design - Tin Can Berth 5</v>
      </c>
      <c r="C35" s="227" t="str">
        <f>IF($A35="","",Deliverables!$D13)</f>
        <v>DD</v>
      </c>
      <c r="D35" s="227" t="str">
        <f>IF($A35="","",Deliverables!$G13)</f>
        <v>Transmitted to client (IFA/IFC)</v>
      </c>
      <c r="E35" s="227" t="str">
        <f>IF($A35="","",IFERROR(INDEX(Inputs!$F$6:$F$85,MATCH($A35,Inputs!$A$6:$A$85,0)),"not in register"))</f>
        <v>Active</v>
      </c>
      <c r="F35" s="264">
        <f>IF($A35="","",IF(Deliverables!$H13="",0,Deliverables!$H13))</f>
        <v>0.85</v>
      </c>
      <c r="G35" s="264">
        <f t="shared" si="1"/>
        <v>0.15000000000000002</v>
      </c>
      <c r="H35" s="265">
        <f>IF($A35="","",IFERROR(Deliverables!$E13*INDEX(Inputs!$C$6:$C$85,MATCH($A35,Inputs!$A$6:$A$85,0)),0))</f>
        <v>1.04</v>
      </c>
      <c r="I35" s="265">
        <f t="shared" si="2"/>
        <v>0.88400000000000001</v>
      </c>
      <c r="J35" s="265">
        <f t="shared" si="3"/>
        <v>0.15600000000000003</v>
      </c>
      <c r="K35" s="332">
        <v>12</v>
      </c>
      <c r="L35" s="266">
        <f t="shared" si="4"/>
        <v>6.4864864864864868E-2</v>
      </c>
      <c r="M35" s="267">
        <f t="shared" si="5"/>
        <v>12</v>
      </c>
      <c r="N35" s="268">
        <f t="shared" si="6"/>
        <v>2.4050000000000002</v>
      </c>
      <c r="O35" s="269">
        <f t="shared" si="7"/>
        <v>2.4049650000000002</v>
      </c>
      <c r="P35" s="270">
        <f t="shared" si="8"/>
        <v>5</v>
      </c>
      <c r="Q35" s="271">
        <f t="shared" si="9"/>
        <v>1.145945945945946</v>
      </c>
      <c r="R35" s="272" t="str">
        <f t="shared" ca="1" si="10"/>
        <v>DO</v>
      </c>
      <c r="S35" s="265">
        <f t="shared" ca="1" si="11"/>
        <v>9.1135135135135159E-2</v>
      </c>
      <c r="T35" s="267">
        <f ca="1">IF($R35="DO",$M35*Deliverables!K13,"")</f>
        <v>5.4</v>
      </c>
      <c r="U35" s="267">
        <f ca="1">IF($R35="DO",$M35*Deliverables!L13,"")</f>
        <v>5.4</v>
      </c>
      <c r="V35" s="267">
        <f ca="1">IF($R35="DO",$M35*Deliverables!M13,"")</f>
        <v>1.2000000000000002</v>
      </c>
      <c r="W35" s="286">
        <f>IF($A35="","",MEDIAN($B$15,$B$16,IFERROR(IF(INDEX(Inputs!$U$6:$U$85,MATCH($A35,Inputs!$A$6:$A$85,0))="",$B$13,INDEX(Inputs!$U$6:$U$85,MATCH($A35,Inputs!$A$6:$A$85,0))),$B$13)))</f>
        <v>0.7</v>
      </c>
      <c r="X35" s="288">
        <f t="shared" ca="1" si="12"/>
        <v>12</v>
      </c>
      <c r="Y35" s="288">
        <f t="shared" ca="1" si="0"/>
        <v>0</v>
      </c>
      <c r="Z35" s="288">
        <f t="shared" ca="1" si="0"/>
        <v>0</v>
      </c>
      <c r="AA35" s="288">
        <f t="shared" ca="1" si="0"/>
        <v>0</v>
      </c>
    </row>
    <row r="36" spans="1:27" x14ac:dyDescent="0.3">
      <c r="A36" s="224" t="str">
        <f>IF(Deliverables!$A14="","",Deliverables!$A14)</f>
        <v>N25185-0100D</v>
      </c>
      <c r="B36" s="227" t="str">
        <f>IF($A36="","",Deliverables!$C14)</f>
        <v>Final Design - Tin Can Berth 6</v>
      </c>
      <c r="C36" s="227" t="str">
        <f>IF($A36="","",Deliverables!$D14)</f>
        <v>DD</v>
      </c>
      <c r="D36" s="227" t="str">
        <f>IF($A36="","",Deliverables!$G14)</f>
        <v>Transmitted to client (IFA/IFC)</v>
      </c>
      <c r="E36" s="227" t="str">
        <f>IF($A36="","",IFERROR(INDEX(Inputs!$F$6:$F$85,MATCH($A36,Inputs!$A$6:$A$85,0)),"not in register"))</f>
        <v>Active</v>
      </c>
      <c r="F36" s="264">
        <f>IF($A36="","",IF(Deliverables!$H14="",0,Deliverables!$H14))</f>
        <v>0.85</v>
      </c>
      <c r="G36" s="264">
        <f t="shared" si="1"/>
        <v>0.15000000000000002</v>
      </c>
      <c r="H36" s="265">
        <f>IF($A36="","",IFERROR(Deliverables!$E14*INDEX(Inputs!$C$6:$C$85,MATCH($A36,Inputs!$A$6:$A$85,0)),0))</f>
        <v>1.04</v>
      </c>
      <c r="I36" s="265">
        <f t="shared" si="2"/>
        <v>0.88400000000000001</v>
      </c>
      <c r="J36" s="265">
        <f t="shared" si="3"/>
        <v>0.15600000000000003</v>
      </c>
      <c r="K36" s="332">
        <v>12</v>
      </c>
      <c r="L36" s="266">
        <f t="shared" si="4"/>
        <v>6.4864864864864868E-2</v>
      </c>
      <c r="M36" s="267">
        <f t="shared" si="5"/>
        <v>12</v>
      </c>
      <c r="N36" s="268">
        <f t="shared" si="6"/>
        <v>2.4050000000000002</v>
      </c>
      <c r="O36" s="269">
        <f t="shared" si="7"/>
        <v>2.4049640000000001</v>
      </c>
      <c r="P36" s="270">
        <f t="shared" si="8"/>
        <v>6</v>
      </c>
      <c r="Q36" s="271">
        <f t="shared" si="9"/>
        <v>1.2108108108108109</v>
      </c>
      <c r="R36" s="272" t="str">
        <f t="shared" ca="1" si="10"/>
        <v>DO</v>
      </c>
      <c r="S36" s="265">
        <f t="shared" ca="1" si="11"/>
        <v>9.1135135135135159E-2</v>
      </c>
      <c r="T36" s="267">
        <f ca="1">IF($R36="DO",$M36*Deliverables!K14,"")</f>
        <v>5.4</v>
      </c>
      <c r="U36" s="267">
        <f ca="1">IF($R36="DO",$M36*Deliverables!L14,"")</f>
        <v>5.4</v>
      </c>
      <c r="V36" s="267">
        <f ca="1">IF($R36="DO",$M36*Deliverables!M14,"")</f>
        <v>1.2000000000000002</v>
      </c>
      <c r="W36" s="286">
        <f>IF($A36="","",MEDIAN($B$15,$B$16,IFERROR(IF(INDEX(Inputs!$U$6:$U$85,MATCH($A36,Inputs!$A$6:$A$85,0))="",$B$13,INDEX(Inputs!$U$6:$U$85,MATCH($A36,Inputs!$A$6:$A$85,0))),$B$13)))</f>
        <v>0.7</v>
      </c>
      <c r="X36" s="288">
        <f t="shared" ca="1" si="12"/>
        <v>12</v>
      </c>
      <c r="Y36" s="288">
        <f t="shared" ca="1" si="0"/>
        <v>0</v>
      </c>
      <c r="Z36" s="288">
        <f t="shared" ca="1" si="0"/>
        <v>0</v>
      </c>
      <c r="AA36" s="288">
        <f t="shared" ca="1" si="0"/>
        <v>0</v>
      </c>
    </row>
    <row r="37" spans="1:27" x14ac:dyDescent="0.3">
      <c r="A37" s="224" t="str">
        <f>IF(Deliverables!$A15="","",Deliverables!$A15)</f>
        <v>N25185-0100D</v>
      </c>
      <c r="B37" s="227" t="str">
        <f>IF($A37="","",Deliverables!$C15)</f>
        <v>Final Design - Tin Can Berth 7</v>
      </c>
      <c r="C37" s="227" t="str">
        <f>IF($A37="","",Deliverables!$D15)</f>
        <v>DD</v>
      </c>
      <c r="D37" s="227" t="str">
        <f>IF($A37="","",Deliverables!$G15)</f>
        <v>Transmitted to client (IFA/IFC)</v>
      </c>
      <c r="E37" s="227" t="str">
        <f>IF($A37="","",IFERROR(INDEX(Inputs!$F$6:$F$85,MATCH($A37,Inputs!$A$6:$A$85,0)),"not in register"))</f>
        <v>Active</v>
      </c>
      <c r="F37" s="264">
        <f>IF($A37="","",IF(Deliverables!$H15="",0,Deliverables!$H15))</f>
        <v>0.85</v>
      </c>
      <c r="G37" s="264">
        <f t="shared" si="1"/>
        <v>0.15000000000000002</v>
      </c>
      <c r="H37" s="265">
        <f>IF($A37="","",IFERROR(Deliverables!$E15*INDEX(Inputs!$C$6:$C$85,MATCH($A37,Inputs!$A$6:$A$85,0)),0))</f>
        <v>1.04</v>
      </c>
      <c r="I37" s="265">
        <f t="shared" si="2"/>
        <v>0.88400000000000001</v>
      </c>
      <c r="J37" s="265">
        <f t="shared" si="3"/>
        <v>0.15600000000000003</v>
      </c>
      <c r="K37" s="332">
        <v>12</v>
      </c>
      <c r="L37" s="266">
        <f t="shared" si="4"/>
        <v>6.4864864864864868E-2</v>
      </c>
      <c r="M37" s="267">
        <f t="shared" si="5"/>
        <v>12</v>
      </c>
      <c r="N37" s="268">
        <f t="shared" si="6"/>
        <v>2.4050000000000002</v>
      </c>
      <c r="O37" s="269">
        <f t="shared" si="7"/>
        <v>2.4049630000000004</v>
      </c>
      <c r="P37" s="270">
        <f t="shared" si="8"/>
        <v>7</v>
      </c>
      <c r="Q37" s="271">
        <f t="shared" si="9"/>
        <v>1.2756756756756755</v>
      </c>
      <c r="R37" s="272" t="str">
        <f t="shared" ca="1" si="10"/>
        <v>DO</v>
      </c>
      <c r="S37" s="265">
        <f t="shared" ca="1" si="11"/>
        <v>9.1135135135135159E-2</v>
      </c>
      <c r="T37" s="267">
        <f ca="1">IF($R37="DO",$M37*Deliverables!K15,"")</f>
        <v>5.4</v>
      </c>
      <c r="U37" s="267">
        <f ca="1">IF($R37="DO",$M37*Deliverables!L15,"")</f>
        <v>5.4</v>
      </c>
      <c r="V37" s="267">
        <f ca="1">IF($R37="DO",$M37*Deliverables!M15,"")</f>
        <v>1.2000000000000002</v>
      </c>
      <c r="W37" s="286">
        <f>IF($A37="","",MEDIAN($B$15,$B$16,IFERROR(IF(INDEX(Inputs!$U$6:$U$85,MATCH($A37,Inputs!$A$6:$A$85,0))="",$B$13,INDEX(Inputs!$U$6:$U$85,MATCH($A37,Inputs!$A$6:$A$85,0))),$B$13)))</f>
        <v>0.7</v>
      </c>
      <c r="X37" s="288">
        <f t="shared" ca="1" si="12"/>
        <v>12</v>
      </c>
      <c r="Y37" s="288">
        <f t="shared" ca="1" si="0"/>
        <v>0</v>
      </c>
      <c r="Z37" s="288">
        <f t="shared" ca="1" si="0"/>
        <v>0</v>
      </c>
      <c r="AA37" s="288">
        <f t="shared" ca="1" si="0"/>
        <v>0</v>
      </c>
    </row>
    <row r="38" spans="1:27" x14ac:dyDescent="0.3">
      <c r="A38" s="224" t="str">
        <f>IF(Deliverables!$A16="","",Deliverables!$A16)</f>
        <v>N25185-0100D</v>
      </c>
      <c r="B38" s="227" t="str">
        <f>IF($A38="","",Deliverables!$C16)</f>
        <v>Final Design - Tin Can Berth 8</v>
      </c>
      <c r="C38" s="227" t="str">
        <f>IF($A38="","",Deliverables!$D16)</f>
        <v>DD</v>
      </c>
      <c r="D38" s="227" t="str">
        <f>IF($A38="","",Deliverables!$G16)</f>
        <v>Transmitted to client (IFA/IFC)</v>
      </c>
      <c r="E38" s="227" t="str">
        <f>IF($A38="","",IFERROR(INDEX(Inputs!$F$6:$F$85,MATCH($A38,Inputs!$A$6:$A$85,0)),"not in register"))</f>
        <v>Active</v>
      </c>
      <c r="F38" s="264">
        <f>IF($A38="","",IF(Deliverables!$H16="",0,Deliverables!$H16))</f>
        <v>0.85</v>
      </c>
      <c r="G38" s="264">
        <f t="shared" si="1"/>
        <v>0.15000000000000002</v>
      </c>
      <c r="H38" s="265">
        <f>IF($A38="","",IFERROR(Deliverables!$E16*INDEX(Inputs!$C$6:$C$85,MATCH($A38,Inputs!$A$6:$A$85,0)),0))</f>
        <v>1.04</v>
      </c>
      <c r="I38" s="265">
        <f t="shared" si="2"/>
        <v>0.88400000000000001</v>
      </c>
      <c r="J38" s="265">
        <f t="shared" si="3"/>
        <v>0.15600000000000003</v>
      </c>
      <c r="K38" s="332">
        <v>12</v>
      </c>
      <c r="L38" s="266">
        <f t="shared" si="4"/>
        <v>6.4864864864864868E-2</v>
      </c>
      <c r="M38" s="267">
        <f t="shared" si="5"/>
        <v>12</v>
      </c>
      <c r="N38" s="268">
        <f t="shared" si="6"/>
        <v>2.4050000000000002</v>
      </c>
      <c r="O38" s="269">
        <f t="shared" si="7"/>
        <v>2.4049620000000003</v>
      </c>
      <c r="P38" s="270">
        <f t="shared" si="8"/>
        <v>8</v>
      </c>
      <c r="Q38" s="271">
        <f t="shared" si="9"/>
        <v>1.3405405405405406</v>
      </c>
      <c r="R38" s="272" t="str">
        <f t="shared" ca="1" si="10"/>
        <v>DO</v>
      </c>
      <c r="S38" s="265">
        <f t="shared" ca="1" si="11"/>
        <v>9.1135135135135159E-2</v>
      </c>
      <c r="T38" s="267">
        <f ca="1">IF($R38="DO",$M38*Deliverables!K16,"")</f>
        <v>5.4</v>
      </c>
      <c r="U38" s="267">
        <f ca="1">IF($R38="DO",$M38*Deliverables!L16,"")</f>
        <v>5.4</v>
      </c>
      <c r="V38" s="267">
        <f ca="1">IF($R38="DO",$M38*Deliverables!M16,"")</f>
        <v>1.2000000000000002</v>
      </c>
      <c r="W38" s="286">
        <f>IF($A38="","",MEDIAN($B$15,$B$16,IFERROR(IF(INDEX(Inputs!$U$6:$U$85,MATCH($A38,Inputs!$A$6:$A$85,0))="",$B$13,INDEX(Inputs!$U$6:$U$85,MATCH($A38,Inputs!$A$6:$A$85,0))),$B$13)))</f>
        <v>0.7</v>
      </c>
      <c r="X38" s="288">
        <f t="shared" ca="1" si="12"/>
        <v>12</v>
      </c>
      <c r="Y38" s="288">
        <f t="shared" ca="1" si="0"/>
        <v>0</v>
      </c>
      <c r="Z38" s="288">
        <f t="shared" ca="1" si="0"/>
        <v>0</v>
      </c>
      <c r="AA38" s="288">
        <f t="shared" ca="1" si="0"/>
        <v>0</v>
      </c>
    </row>
    <row r="39" spans="1:27" x14ac:dyDescent="0.3">
      <c r="A39" s="224" t="str">
        <f>IF(Deliverables!$A17="","",Deliverables!$A17)</f>
        <v>N25185-0100D</v>
      </c>
      <c r="B39" s="227" t="str">
        <f>IF($A39="","",Deliverables!$C17)</f>
        <v>Final Design - Tin Can Berth 9</v>
      </c>
      <c r="C39" s="227" t="str">
        <f>IF($A39="","",Deliverables!$D17)</f>
        <v>DD</v>
      </c>
      <c r="D39" s="227" t="str">
        <f>IF($A39="","",Deliverables!$G17)</f>
        <v>Design started</v>
      </c>
      <c r="E39" s="227" t="str">
        <f>IF($A39="","",IFERROR(INDEX(Inputs!$F$6:$F$85,MATCH($A39,Inputs!$A$6:$A$85,0)),"not in register"))</f>
        <v>Active</v>
      </c>
      <c r="F39" s="264">
        <f>IF($A39="","",IF(Deliverables!$H17="",0,Deliverables!$H17))</f>
        <v>0.1</v>
      </c>
      <c r="G39" s="264">
        <f t="shared" si="1"/>
        <v>0.9</v>
      </c>
      <c r="H39" s="265">
        <f>IF($A39="","",IFERROR(Deliverables!$E17*INDEX(Inputs!$C$6:$C$85,MATCH($A39,Inputs!$A$6:$A$85,0)),0))</f>
        <v>1.04</v>
      </c>
      <c r="I39" s="265">
        <f t="shared" si="2"/>
        <v>0.10400000000000001</v>
      </c>
      <c r="J39" s="265">
        <f t="shared" si="3"/>
        <v>0.93600000000000005</v>
      </c>
      <c r="K39" s="332">
        <v>80</v>
      </c>
      <c r="L39" s="266">
        <f t="shared" si="4"/>
        <v>0.43243243243243246</v>
      </c>
      <c r="M39" s="267">
        <f t="shared" si="5"/>
        <v>80</v>
      </c>
      <c r="N39" s="268">
        <f t="shared" si="6"/>
        <v>2.1644999999999999</v>
      </c>
      <c r="O39" s="269">
        <f t="shared" si="7"/>
        <v>2.1644609999999997</v>
      </c>
      <c r="P39" s="270">
        <f t="shared" si="8"/>
        <v>10</v>
      </c>
      <c r="Q39" s="271">
        <f t="shared" si="9"/>
        <v>3.9351351351351354</v>
      </c>
      <c r="R39" s="272" t="str">
        <f t="shared" ca="1" si="10"/>
        <v>DO</v>
      </c>
      <c r="S39" s="265">
        <f t="shared" ca="1" si="11"/>
        <v>0.5035675675675676</v>
      </c>
      <c r="T39" s="267">
        <f ca="1">IF($R39="DO",$M39*Deliverables!K17,"")</f>
        <v>32</v>
      </c>
      <c r="U39" s="267">
        <f ca="1">IF($R39="DO",$M39*Deliverables!L17,"")</f>
        <v>48</v>
      </c>
      <c r="V39" s="267">
        <f ca="1">IF($R39="DO",$M39*Deliverables!M17,"")</f>
        <v>0</v>
      </c>
      <c r="W39" s="286">
        <f>IF($A39="","",MEDIAN($B$15,$B$16,IFERROR(IF(INDEX(Inputs!$U$6:$U$85,MATCH($A39,Inputs!$A$6:$A$85,0))="",$B$13,INDEX(Inputs!$U$6:$U$85,MATCH($A39,Inputs!$A$6:$A$85,0))),$B$13)))</f>
        <v>0.7</v>
      </c>
      <c r="X39" s="288">
        <f t="shared" ca="1" si="12"/>
        <v>0</v>
      </c>
      <c r="Y39" s="288">
        <f t="shared" ca="1" si="0"/>
        <v>80</v>
      </c>
      <c r="Z39" s="288">
        <f t="shared" ca="1" si="0"/>
        <v>0</v>
      </c>
      <c r="AA39" s="288">
        <f t="shared" ca="1" si="0"/>
        <v>0</v>
      </c>
    </row>
    <row r="40" spans="1:27" x14ac:dyDescent="0.3">
      <c r="A40" s="224" t="str">
        <f>IF(Deliverables!$A18="","",Deliverables!$A18)</f>
        <v>N25185-0100D</v>
      </c>
      <c r="B40" s="227" t="str">
        <f>IF($A40="","",Deliverables!$C18)</f>
        <v>Final Design - Tin Can Berth 10</v>
      </c>
      <c r="C40" s="227" t="str">
        <f>IF($A40="","",Deliverables!$D18)</f>
        <v>DD</v>
      </c>
      <c r="D40" s="227" t="str">
        <f>IF($A40="","",Deliverables!$G18)</f>
        <v>Design started</v>
      </c>
      <c r="E40" s="227" t="str">
        <f>IF($A40="","",IFERROR(INDEX(Inputs!$F$6:$F$85,MATCH($A40,Inputs!$A$6:$A$85,0)),"not in register"))</f>
        <v>Active</v>
      </c>
      <c r="F40" s="264">
        <f>IF($A40="","",IF(Deliverables!$H18="",0,Deliverables!$H18))</f>
        <v>0.1</v>
      </c>
      <c r="G40" s="264">
        <f t="shared" si="1"/>
        <v>0.9</v>
      </c>
      <c r="H40" s="265">
        <f>IF($A40="","",IFERROR(Deliverables!$E18*INDEX(Inputs!$C$6:$C$85,MATCH($A40,Inputs!$A$6:$A$85,0)),0))</f>
        <v>1.04</v>
      </c>
      <c r="I40" s="265">
        <f t="shared" si="2"/>
        <v>0.10400000000000001</v>
      </c>
      <c r="J40" s="265">
        <f t="shared" si="3"/>
        <v>0.93600000000000005</v>
      </c>
      <c r="K40" s="332">
        <v>80</v>
      </c>
      <c r="L40" s="266">
        <f t="shared" si="4"/>
        <v>0.43243243243243246</v>
      </c>
      <c r="M40" s="267">
        <f t="shared" si="5"/>
        <v>80</v>
      </c>
      <c r="N40" s="268">
        <f t="shared" si="6"/>
        <v>2.1644999999999999</v>
      </c>
      <c r="O40" s="269">
        <f t="shared" si="7"/>
        <v>2.1644600000000001</v>
      </c>
      <c r="P40" s="270">
        <f t="shared" si="8"/>
        <v>11</v>
      </c>
      <c r="Q40" s="271">
        <f t="shared" si="9"/>
        <v>4.3675675675675674</v>
      </c>
      <c r="R40" s="272" t="str">
        <f t="shared" ca="1" si="10"/>
        <v>DO</v>
      </c>
      <c r="S40" s="265">
        <f t="shared" ca="1" si="11"/>
        <v>0.5035675675675676</v>
      </c>
      <c r="T40" s="267">
        <f ca="1">IF($R40="DO",$M40*Deliverables!K18,"")</f>
        <v>32</v>
      </c>
      <c r="U40" s="267">
        <f ca="1">IF($R40="DO",$M40*Deliverables!L18,"")</f>
        <v>48</v>
      </c>
      <c r="V40" s="267">
        <f ca="1">IF($R40="DO",$M40*Deliverables!M18,"")</f>
        <v>0</v>
      </c>
      <c r="W40" s="286">
        <f>IF($A40="","",MEDIAN($B$15,$B$16,IFERROR(IF(INDEX(Inputs!$U$6:$U$85,MATCH($A40,Inputs!$A$6:$A$85,0))="",$B$13,INDEX(Inputs!$U$6:$U$85,MATCH($A40,Inputs!$A$6:$A$85,0))),$B$13)))</f>
        <v>0.7</v>
      </c>
      <c r="X40" s="288">
        <f t="shared" ca="1" si="12"/>
        <v>0</v>
      </c>
      <c r="Y40" s="288">
        <f t="shared" ca="1" si="0"/>
        <v>80</v>
      </c>
      <c r="Z40" s="288">
        <f t="shared" ca="1" si="0"/>
        <v>0</v>
      </c>
      <c r="AA40" s="288">
        <f t="shared" ca="1" si="0"/>
        <v>0</v>
      </c>
    </row>
    <row r="41" spans="1:27" x14ac:dyDescent="0.3">
      <c r="A41" s="224" t="str">
        <f>IF(Deliverables!$A19="","",Deliverables!$A19)</f>
        <v>N25185-0100D</v>
      </c>
      <c r="B41" s="227" t="str">
        <f>IF($A41="","",Deliverables!$C19)</f>
        <v>Final Design - Apapa Berth 4</v>
      </c>
      <c r="C41" s="227" t="str">
        <f>IF($A41="","",Deliverables!$D19)</f>
        <v>DD</v>
      </c>
      <c r="D41" s="227" t="str">
        <f>IF($A41="","",Deliverables!$G19)</f>
        <v/>
      </c>
      <c r="E41" s="227" t="str">
        <f>IF($A41="","",IFERROR(INDEX(Inputs!$F$6:$F$85,MATCH($A41,Inputs!$A$6:$A$85,0)),"not in register"))</f>
        <v>Active</v>
      </c>
      <c r="F41" s="264">
        <f>IF($A41="","",IF(Deliverables!$H19="",0,Deliverables!$H19))</f>
        <v>0</v>
      </c>
      <c r="G41" s="264">
        <f t="shared" si="1"/>
        <v>1</v>
      </c>
      <c r="H41" s="265">
        <f>IF($A41="","",IFERROR(Deliverables!$E19*INDEX(Inputs!$C$6:$C$85,MATCH($A41,Inputs!$A$6:$A$85,0)),0))</f>
        <v>1.04</v>
      </c>
      <c r="I41" s="265">
        <f t="shared" si="2"/>
        <v>0</v>
      </c>
      <c r="J41" s="265">
        <f t="shared" si="3"/>
        <v>1.04</v>
      </c>
      <c r="K41" s="332">
        <v>90</v>
      </c>
      <c r="L41" s="266">
        <f t="shared" si="4"/>
        <v>0.48648648648648651</v>
      </c>
      <c r="M41" s="267">
        <f t="shared" si="5"/>
        <v>90</v>
      </c>
      <c r="N41" s="268">
        <f t="shared" si="6"/>
        <v>2.1377777777777776</v>
      </c>
      <c r="O41" s="269">
        <f t="shared" si="7"/>
        <v>2.1377367777777776</v>
      </c>
      <c r="P41" s="270">
        <f t="shared" si="8"/>
        <v>16</v>
      </c>
      <c r="Q41" s="271">
        <f t="shared" si="9"/>
        <v>6.8000000000000007</v>
      </c>
      <c r="R41" s="272" t="str">
        <f t="shared" ca="1" si="10"/>
        <v>DO</v>
      </c>
      <c r="S41" s="265">
        <f t="shared" ca="1" si="11"/>
        <v>0.55351351351351352</v>
      </c>
      <c r="T41" s="267">
        <f ca="1">IF($R41="DO",$M41*Deliverables!K19,"")</f>
        <v>13.5</v>
      </c>
      <c r="U41" s="267">
        <f ca="1">IF($R41="DO",$M41*Deliverables!L19,"")</f>
        <v>22.5</v>
      </c>
      <c r="V41" s="267">
        <f ca="1">IF($R41="DO",$M41*Deliverables!M19,"")</f>
        <v>54</v>
      </c>
      <c r="W41" s="286">
        <f>IF($A41="","",MEDIAN($B$15,$B$16,IFERROR(IF(INDEX(Inputs!$U$6:$U$85,MATCH($A41,Inputs!$A$6:$A$85,0))="",$B$13,INDEX(Inputs!$U$6:$U$85,MATCH($A41,Inputs!$A$6:$A$85,0))),$B$13)))</f>
        <v>0.7</v>
      </c>
      <c r="X41" s="288">
        <f t="shared" ca="1" si="12"/>
        <v>0</v>
      </c>
      <c r="Y41" s="288">
        <f t="shared" ca="1" si="0"/>
        <v>0</v>
      </c>
      <c r="Z41" s="288">
        <f t="shared" ca="1" si="0"/>
        <v>90.000000000000071</v>
      </c>
      <c r="AA41" s="288">
        <f t="shared" ca="1" si="0"/>
        <v>0</v>
      </c>
    </row>
    <row r="42" spans="1:27" x14ac:dyDescent="0.3">
      <c r="A42" s="224" t="str">
        <f>IF(Deliverables!$A20="","",Deliverables!$A20)</f>
        <v>N25185-0100D</v>
      </c>
      <c r="B42" s="227" t="str">
        <f>IF($A42="","",Deliverables!$C20)</f>
        <v>Final Design - Apapa Berth 5</v>
      </c>
      <c r="C42" s="227" t="str">
        <f>IF($A42="","",Deliverables!$D20)</f>
        <v>DD</v>
      </c>
      <c r="D42" s="227" t="str">
        <f>IF($A42="","",Deliverables!$G20)</f>
        <v/>
      </c>
      <c r="E42" s="227" t="str">
        <f>IF($A42="","",IFERROR(INDEX(Inputs!$F$6:$F$85,MATCH($A42,Inputs!$A$6:$A$85,0)),"not in register"))</f>
        <v>Active</v>
      </c>
      <c r="F42" s="264">
        <f>IF($A42="","",IF(Deliverables!$H20="",0,Deliverables!$H20))</f>
        <v>0</v>
      </c>
      <c r="G42" s="264">
        <f t="shared" si="1"/>
        <v>1</v>
      </c>
      <c r="H42" s="265">
        <f>IF($A42="","",IFERROR(Deliverables!$E20*INDEX(Inputs!$C$6:$C$85,MATCH($A42,Inputs!$A$6:$A$85,0)),0))</f>
        <v>1.04</v>
      </c>
      <c r="I42" s="265">
        <f t="shared" si="2"/>
        <v>0</v>
      </c>
      <c r="J42" s="265">
        <f t="shared" si="3"/>
        <v>1.04</v>
      </c>
      <c r="K42" s="332">
        <v>90</v>
      </c>
      <c r="L42" s="266">
        <f t="shared" si="4"/>
        <v>0.48648648648648651</v>
      </c>
      <c r="M42" s="267">
        <f t="shared" si="5"/>
        <v>90</v>
      </c>
      <c r="N42" s="268">
        <f t="shared" si="6"/>
        <v>2.1377777777777776</v>
      </c>
      <c r="O42" s="269">
        <f t="shared" si="7"/>
        <v>2.1377357777777775</v>
      </c>
      <c r="P42" s="270">
        <f t="shared" si="8"/>
        <v>17</v>
      </c>
      <c r="Q42" s="271">
        <f t="shared" si="9"/>
        <v>7.2864864864864867</v>
      </c>
      <c r="R42" s="272" t="str">
        <f t="shared" ca="1" si="10"/>
        <v>DO</v>
      </c>
      <c r="S42" s="265">
        <f t="shared" ca="1" si="11"/>
        <v>0.55351351351351352</v>
      </c>
      <c r="T42" s="267">
        <f ca="1">IF($R42="DO",$M42*Deliverables!K20,"")</f>
        <v>13.5</v>
      </c>
      <c r="U42" s="267">
        <f ca="1">IF($R42="DO",$M42*Deliverables!L20,"")</f>
        <v>22.5</v>
      </c>
      <c r="V42" s="267">
        <f ca="1">IF($R42="DO",$M42*Deliverables!M20,"")</f>
        <v>54</v>
      </c>
      <c r="W42" s="286">
        <f>IF($A42="","",MEDIAN($B$15,$B$16,IFERROR(IF(INDEX(Inputs!$U$6:$U$85,MATCH($A42,Inputs!$A$6:$A$85,0))="",$B$13,INDEX(Inputs!$U$6:$U$85,MATCH($A42,Inputs!$A$6:$A$85,0))),$B$13)))</f>
        <v>0.7</v>
      </c>
      <c r="X42" s="288">
        <f t="shared" ca="1" si="12"/>
        <v>0</v>
      </c>
      <c r="Y42" s="288">
        <f t="shared" ca="1" si="0"/>
        <v>0</v>
      </c>
      <c r="Z42" s="288">
        <f t="shared" ca="1" si="0"/>
        <v>90.000000000000071</v>
      </c>
      <c r="AA42" s="288">
        <f t="shared" ca="1" si="0"/>
        <v>0</v>
      </c>
    </row>
    <row r="43" spans="1:27" x14ac:dyDescent="0.3">
      <c r="A43" s="224" t="str">
        <f>IF(Deliverables!$A21="","",Deliverables!$A21)</f>
        <v>N25185-0100D</v>
      </c>
      <c r="B43" s="227" t="str">
        <f>IF($A43="","",Deliverables!$C21)</f>
        <v>Final Design - Apapa Berth 6</v>
      </c>
      <c r="C43" s="227" t="str">
        <f>IF($A43="","",Deliverables!$D21)</f>
        <v>DD</v>
      </c>
      <c r="D43" s="227" t="str">
        <f>IF($A43="","",Deliverables!$G21)</f>
        <v/>
      </c>
      <c r="E43" s="227" t="str">
        <f>IF($A43="","",IFERROR(INDEX(Inputs!$F$6:$F$85,MATCH($A43,Inputs!$A$6:$A$85,0)),"not in register"))</f>
        <v>Active</v>
      </c>
      <c r="F43" s="264">
        <f>IF($A43="","",IF(Deliverables!$H21="",0,Deliverables!$H21))</f>
        <v>0</v>
      </c>
      <c r="G43" s="264">
        <f t="shared" si="1"/>
        <v>1</v>
      </c>
      <c r="H43" s="265">
        <f>IF($A43="","",IFERROR(Deliverables!$E21*INDEX(Inputs!$C$6:$C$85,MATCH($A43,Inputs!$A$6:$A$85,0)),0))</f>
        <v>1.04</v>
      </c>
      <c r="I43" s="265">
        <f t="shared" si="2"/>
        <v>0</v>
      </c>
      <c r="J43" s="265">
        <f t="shared" si="3"/>
        <v>1.04</v>
      </c>
      <c r="K43" s="332">
        <v>90</v>
      </c>
      <c r="L43" s="266">
        <f t="shared" si="4"/>
        <v>0.48648648648648651</v>
      </c>
      <c r="M43" s="267">
        <f t="shared" si="5"/>
        <v>90</v>
      </c>
      <c r="N43" s="268">
        <f t="shared" si="6"/>
        <v>2.1377777777777776</v>
      </c>
      <c r="O43" s="269">
        <f t="shared" si="7"/>
        <v>2.1377347777777778</v>
      </c>
      <c r="P43" s="270">
        <f t="shared" si="8"/>
        <v>18</v>
      </c>
      <c r="Q43" s="271">
        <f t="shared" si="9"/>
        <v>7.7729729729729735</v>
      </c>
      <c r="R43" s="272" t="str">
        <f t="shared" ca="1" si="10"/>
        <v>DO</v>
      </c>
      <c r="S43" s="265">
        <f t="shared" ca="1" si="11"/>
        <v>0.55351351351351352</v>
      </c>
      <c r="T43" s="267">
        <f ca="1">IF($R43="DO",$M43*Deliverables!K21,"")</f>
        <v>13.5</v>
      </c>
      <c r="U43" s="267">
        <f ca="1">IF($R43="DO",$M43*Deliverables!L21,"")</f>
        <v>22.5</v>
      </c>
      <c r="V43" s="267">
        <f ca="1">IF($R43="DO",$M43*Deliverables!M21,"")</f>
        <v>54</v>
      </c>
      <c r="W43" s="286">
        <f>IF($A43="","",MEDIAN($B$15,$B$16,IFERROR(IF(INDEX(Inputs!$U$6:$U$85,MATCH($A43,Inputs!$A$6:$A$85,0))="",$B$13,INDEX(Inputs!$U$6:$U$85,MATCH($A43,Inputs!$A$6:$A$85,0))),$B$13)))</f>
        <v>0.7</v>
      </c>
      <c r="X43" s="288">
        <f t="shared" ca="1" si="12"/>
        <v>0</v>
      </c>
      <c r="Y43" s="288">
        <f t="shared" ca="1" si="0"/>
        <v>0</v>
      </c>
      <c r="Z43" s="288">
        <f t="shared" ca="1" si="0"/>
        <v>90.000000000000071</v>
      </c>
      <c r="AA43" s="288">
        <f t="shared" ca="1" si="0"/>
        <v>0</v>
      </c>
    </row>
    <row r="44" spans="1:27" x14ac:dyDescent="0.3">
      <c r="A44" s="224" t="str">
        <f>IF(Deliverables!$A22="","",Deliverables!$A22)</f>
        <v>N25185-0100D</v>
      </c>
      <c r="B44" s="227" t="str">
        <f>IF($A44="","",Deliverables!$C22)</f>
        <v>Final Design - Apapa Berth 7</v>
      </c>
      <c r="C44" s="227" t="str">
        <f>IF($A44="","",Deliverables!$D22)</f>
        <v>DD</v>
      </c>
      <c r="D44" s="227" t="str">
        <f>IF($A44="","",Deliverables!$G22)</f>
        <v/>
      </c>
      <c r="E44" s="227" t="str">
        <f>IF($A44="","",IFERROR(INDEX(Inputs!$F$6:$F$85,MATCH($A44,Inputs!$A$6:$A$85,0)),"not in register"))</f>
        <v>Active</v>
      </c>
      <c r="F44" s="264">
        <f>IF($A44="","",IF(Deliverables!$H22="",0,Deliverables!$H22))</f>
        <v>0</v>
      </c>
      <c r="G44" s="264">
        <f t="shared" si="1"/>
        <v>1</v>
      </c>
      <c r="H44" s="265">
        <f>IF($A44="","",IFERROR(Deliverables!$E22*INDEX(Inputs!$C$6:$C$85,MATCH($A44,Inputs!$A$6:$A$85,0)),0))</f>
        <v>1.04</v>
      </c>
      <c r="I44" s="265">
        <f t="shared" si="2"/>
        <v>0</v>
      </c>
      <c r="J44" s="265">
        <f t="shared" si="3"/>
        <v>1.04</v>
      </c>
      <c r="K44" s="332">
        <v>90</v>
      </c>
      <c r="L44" s="266">
        <f t="shared" si="4"/>
        <v>0.48648648648648651</v>
      </c>
      <c r="M44" s="267">
        <f t="shared" si="5"/>
        <v>90</v>
      </c>
      <c r="N44" s="268">
        <f t="shared" si="6"/>
        <v>2.1377777777777776</v>
      </c>
      <c r="O44" s="269">
        <f t="shared" si="7"/>
        <v>2.1377337777777776</v>
      </c>
      <c r="P44" s="270">
        <f t="shared" si="8"/>
        <v>19</v>
      </c>
      <c r="Q44" s="271">
        <f t="shared" si="9"/>
        <v>8.2594594594594604</v>
      </c>
      <c r="R44" s="272" t="str">
        <f t="shared" ca="1" si="10"/>
        <v>DO</v>
      </c>
      <c r="S44" s="265">
        <f t="shared" ca="1" si="11"/>
        <v>0.55351351351351352</v>
      </c>
      <c r="T44" s="267">
        <f ca="1">IF($R44="DO",$M44*Deliverables!K22,"")</f>
        <v>13.5</v>
      </c>
      <c r="U44" s="267">
        <f ca="1">IF($R44="DO",$M44*Deliverables!L22,"")</f>
        <v>22.5</v>
      </c>
      <c r="V44" s="267">
        <f ca="1">IF($R44="DO",$M44*Deliverables!M22,"")</f>
        <v>54</v>
      </c>
      <c r="W44" s="286">
        <f>IF($A44="","",MEDIAN($B$15,$B$16,IFERROR(IF(INDEX(Inputs!$U$6:$U$85,MATCH($A44,Inputs!$A$6:$A$85,0))="",$B$13,INDEX(Inputs!$U$6:$U$85,MATCH($A44,Inputs!$A$6:$A$85,0))),$B$13)))</f>
        <v>0.7</v>
      </c>
      <c r="X44" s="288">
        <f t="shared" ca="1" si="12"/>
        <v>0</v>
      </c>
      <c r="Y44" s="288">
        <f t="shared" ca="1" si="0"/>
        <v>0</v>
      </c>
      <c r="Z44" s="288">
        <f t="shared" ca="1" si="0"/>
        <v>90.000000000000071</v>
      </c>
      <c r="AA44" s="288">
        <f t="shared" ca="1" si="0"/>
        <v>0</v>
      </c>
    </row>
    <row r="45" spans="1:27" x14ac:dyDescent="0.3">
      <c r="A45" s="224" t="str">
        <f>IF(Deliverables!$A23="","",Deliverables!$A23)</f>
        <v>N25185-0100D</v>
      </c>
      <c r="B45" s="227" t="str">
        <f>IF($A45="","",Deliverables!$C23)</f>
        <v>Final Design - Apapa Berth 8</v>
      </c>
      <c r="C45" s="227" t="str">
        <f>IF($A45="","",Deliverables!$D23)</f>
        <v>DD</v>
      </c>
      <c r="D45" s="227" t="str">
        <f>IF($A45="","",Deliverables!$G23)</f>
        <v/>
      </c>
      <c r="E45" s="227" t="str">
        <f>IF($A45="","",IFERROR(INDEX(Inputs!$F$6:$F$85,MATCH($A45,Inputs!$A$6:$A$85,0)),"not in register"))</f>
        <v>Active</v>
      </c>
      <c r="F45" s="264">
        <f>IF($A45="","",IF(Deliverables!$H23="",0,Deliverables!$H23))</f>
        <v>0</v>
      </c>
      <c r="G45" s="264">
        <f t="shared" si="1"/>
        <v>1</v>
      </c>
      <c r="H45" s="265">
        <f>IF($A45="","",IFERROR(Deliverables!$E23*INDEX(Inputs!$C$6:$C$85,MATCH($A45,Inputs!$A$6:$A$85,0)),0))</f>
        <v>1.04</v>
      </c>
      <c r="I45" s="265">
        <f t="shared" si="2"/>
        <v>0</v>
      </c>
      <c r="J45" s="265">
        <f t="shared" si="3"/>
        <v>1.04</v>
      </c>
      <c r="K45" s="332">
        <v>90</v>
      </c>
      <c r="L45" s="266">
        <f t="shared" si="4"/>
        <v>0.48648648648648651</v>
      </c>
      <c r="M45" s="267">
        <f t="shared" si="5"/>
        <v>90</v>
      </c>
      <c r="N45" s="268">
        <f t="shared" si="6"/>
        <v>2.1377777777777776</v>
      </c>
      <c r="O45" s="269">
        <f t="shared" si="7"/>
        <v>2.1377327777777775</v>
      </c>
      <c r="P45" s="270">
        <f t="shared" si="8"/>
        <v>20</v>
      </c>
      <c r="Q45" s="271">
        <f t="shared" si="9"/>
        <v>8.7459459459459481</v>
      </c>
      <c r="R45" s="272" t="str">
        <f t="shared" ca="1" si="10"/>
        <v>DO</v>
      </c>
      <c r="S45" s="265">
        <f t="shared" ca="1" si="11"/>
        <v>0.55351351351351352</v>
      </c>
      <c r="T45" s="267">
        <f ca="1">IF($R45="DO",$M45*Deliverables!K23,"")</f>
        <v>13.5</v>
      </c>
      <c r="U45" s="267">
        <f ca="1">IF($R45="DO",$M45*Deliverables!L23,"")</f>
        <v>22.5</v>
      </c>
      <c r="V45" s="267">
        <f ca="1">IF($R45="DO",$M45*Deliverables!M23,"")</f>
        <v>54</v>
      </c>
      <c r="W45" s="286">
        <f>IF($A45="","",MEDIAN($B$15,$B$16,IFERROR(IF(INDEX(Inputs!$U$6:$U$85,MATCH($A45,Inputs!$A$6:$A$85,0))="",$B$13,INDEX(Inputs!$U$6:$U$85,MATCH($A45,Inputs!$A$6:$A$85,0))),$B$13)))</f>
        <v>0.7</v>
      </c>
      <c r="X45" s="288">
        <f t="shared" ca="1" si="12"/>
        <v>0</v>
      </c>
      <c r="Y45" s="288">
        <f t="shared" ca="1" si="0"/>
        <v>0</v>
      </c>
      <c r="Z45" s="288">
        <f t="shared" ca="1" si="0"/>
        <v>89.999999999999901</v>
      </c>
      <c r="AA45" s="288">
        <f t="shared" ca="1" si="0"/>
        <v>0</v>
      </c>
    </row>
    <row r="46" spans="1:27" x14ac:dyDescent="0.3">
      <c r="A46" s="224" t="str">
        <f>IF(Deliverables!$A24="","",Deliverables!$A24)</f>
        <v>N25185-0100D</v>
      </c>
      <c r="B46" s="227" t="str">
        <f>IF($A46="","",Deliverables!$C24)</f>
        <v>Final Design - Apapa Berth 9</v>
      </c>
      <c r="C46" s="227" t="str">
        <f>IF($A46="","",Deliverables!$D24)</f>
        <v>DD</v>
      </c>
      <c r="D46" s="227" t="str">
        <f>IF($A46="","",Deliverables!$G24)</f>
        <v/>
      </c>
      <c r="E46" s="227" t="str">
        <f>IF($A46="","",IFERROR(INDEX(Inputs!$F$6:$F$85,MATCH($A46,Inputs!$A$6:$A$85,0)),"not in register"))</f>
        <v>Active</v>
      </c>
      <c r="F46" s="264">
        <f>IF($A46="","",IF(Deliverables!$H24="",0,Deliverables!$H24))</f>
        <v>0</v>
      </c>
      <c r="G46" s="264">
        <f t="shared" si="1"/>
        <v>1</v>
      </c>
      <c r="H46" s="265">
        <f>IF($A46="","",IFERROR(Deliverables!$E24*INDEX(Inputs!$C$6:$C$85,MATCH($A46,Inputs!$A$6:$A$85,0)),0))</f>
        <v>1.04</v>
      </c>
      <c r="I46" s="265">
        <f t="shared" si="2"/>
        <v>0</v>
      </c>
      <c r="J46" s="265">
        <f t="shared" si="3"/>
        <v>1.04</v>
      </c>
      <c r="K46" s="332">
        <v>90</v>
      </c>
      <c r="L46" s="266">
        <f t="shared" si="4"/>
        <v>0.48648648648648651</v>
      </c>
      <c r="M46" s="267">
        <f t="shared" si="5"/>
        <v>90</v>
      </c>
      <c r="N46" s="268">
        <f t="shared" si="6"/>
        <v>2.1377777777777776</v>
      </c>
      <c r="O46" s="269">
        <f t="shared" si="7"/>
        <v>2.1377317777777773</v>
      </c>
      <c r="P46" s="270">
        <f t="shared" si="8"/>
        <v>21</v>
      </c>
      <c r="Q46" s="271">
        <f t="shared" si="9"/>
        <v>9.2324324324324341</v>
      </c>
      <c r="R46" s="272" t="str">
        <f t="shared" ca="1" si="10"/>
        <v>DO</v>
      </c>
      <c r="S46" s="265">
        <f t="shared" ca="1" si="11"/>
        <v>0.55351351351351352</v>
      </c>
      <c r="T46" s="267">
        <f ca="1">IF($R46="DO",$M46*Deliverables!K24,"")</f>
        <v>13.5</v>
      </c>
      <c r="U46" s="267">
        <f ca="1">IF($R46="DO",$M46*Deliverables!L24,"")</f>
        <v>22.5</v>
      </c>
      <c r="V46" s="267">
        <f ca="1">IF($R46="DO",$M46*Deliverables!M24,"")</f>
        <v>54</v>
      </c>
      <c r="W46" s="286">
        <f>IF($A46="","",MEDIAN($B$15,$B$16,IFERROR(IF(INDEX(Inputs!$U$6:$U$85,MATCH($A46,Inputs!$A$6:$A$85,0))="",$B$13,INDEX(Inputs!$U$6:$U$85,MATCH($A46,Inputs!$A$6:$A$85,0))),$B$13)))</f>
        <v>0.7</v>
      </c>
      <c r="X46" s="288">
        <f t="shared" ca="1" si="12"/>
        <v>0</v>
      </c>
      <c r="Y46" s="288">
        <f t="shared" ca="1" si="0"/>
        <v>0</v>
      </c>
      <c r="Z46" s="288">
        <f t="shared" ca="1" si="0"/>
        <v>46.999999999999602</v>
      </c>
      <c r="AA46" s="288">
        <f t="shared" ca="1" si="0"/>
        <v>43.000000000000298</v>
      </c>
    </row>
    <row r="47" spans="1:27" x14ac:dyDescent="0.3">
      <c r="A47" s="224" t="str">
        <f>IF(Deliverables!$A25="","",Deliverables!$A25)</f>
        <v>N25185-0100D</v>
      </c>
      <c r="B47" s="227" t="str">
        <f>IF($A47="","",Deliverables!$C25)</f>
        <v>Final Design - Apapa Berth 10</v>
      </c>
      <c r="C47" s="227" t="str">
        <f>IF($A47="","",Deliverables!$D25)</f>
        <v>DD</v>
      </c>
      <c r="D47" s="227" t="str">
        <f>IF($A47="","",Deliverables!$G25)</f>
        <v/>
      </c>
      <c r="E47" s="227" t="str">
        <f>IF($A47="","",IFERROR(INDEX(Inputs!$F$6:$F$85,MATCH($A47,Inputs!$A$6:$A$85,0)),"not in register"))</f>
        <v>Active</v>
      </c>
      <c r="F47" s="264">
        <f>IF($A47="","",IF(Deliverables!$H25="",0,Deliverables!$H25))</f>
        <v>0</v>
      </c>
      <c r="G47" s="264">
        <f t="shared" si="1"/>
        <v>1</v>
      </c>
      <c r="H47" s="265">
        <f>IF($A47="","",IFERROR(Deliverables!$E25*INDEX(Inputs!$C$6:$C$85,MATCH($A47,Inputs!$A$6:$A$85,0)),0))</f>
        <v>1.04</v>
      </c>
      <c r="I47" s="265">
        <f t="shared" si="2"/>
        <v>0</v>
      </c>
      <c r="J47" s="265">
        <f t="shared" si="3"/>
        <v>1.04</v>
      </c>
      <c r="K47" s="332">
        <v>90</v>
      </c>
      <c r="L47" s="266">
        <f t="shared" si="4"/>
        <v>0.48648648648648651</v>
      </c>
      <c r="M47" s="267">
        <f t="shared" si="5"/>
        <v>90</v>
      </c>
      <c r="N47" s="268">
        <f t="shared" si="6"/>
        <v>2.1377777777777776</v>
      </c>
      <c r="O47" s="269">
        <f t="shared" si="7"/>
        <v>2.1377307777777776</v>
      </c>
      <c r="P47" s="270">
        <f t="shared" si="8"/>
        <v>22</v>
      </c>
      <c r="Q47" s="271">
        <f t="shared" si="9"/>
        <v>9.71891891891892</v>
      </c>
      <c r="R47" s="272" t="str">
        <f t="shared" ca="1" si="10"/>
        <v>DO</v>
      </c>
      <c r="S47" s="265">
        <f t="shared" ca="1" si="11"/>
        <v>0.55351351351351352</v>
      </c>
      <c r="T47" s="267">
        <f ca="1">IF($R47="DO",$M47*Deliverables!K25,"")</f>
        <v>13.5</v>
      </c>
      <c r="U47" s="267">
        <f ca="1">IF($R47="DO",$M47*Deliverables!L25,"")</f>
        <v>22.5</v>
      </c>
      <c r="V47" s="267">
        <f ca="1">IF($R47="DO",$M47*Deliverables!M25,"")</f>
        <v>54</v>
      </c>
      <c r="W47" s="286">
        <f>IF($A47="","",MEDIAN($B$15,$B$16,IFERROR(IF(INDEX(Inputs!$U$6:$U$85,MATCH($A47,Inputs!$A$6:$A$85,0))="",$B$13,INDEX(Inputs!$U$6:$U$85,MATCH($A47,Inputs!$A$6:$A$85,0))),$B$13)))</f>
        <v>0.7</v>
      </c>
      <c r="X47" s="288">
        <f t="shared" ca="1" si="12"/>
        <v>0</v>
      </c>
      <c r="Y47" s="288">
        <f t="shared" ca="1" si="12"/>
        <v>0</v>
      </c>
      <c r="Z47" s="288">
        <f t="shared" ca="1" si="12"/>
        <v>0</v>
      </c>
      <c r="AA47" s="288">
        <f t="shared" ca="1" si="12"/>
        <v>89.999999999999901</v>
      </c>
    </row>
    <row r="48" spans="1:27" x14ac:dyDescent="0.3">
      <c r="A48" s="224" t="str">
        <f>IF(Deliverables!$A26="","",Deliverables!$A26)</f>
        <v>N25185-0100D</v>
      </c>
      <c r="B48" s="227" t="str">
        <f>IF($A48="","",Deliverables!$C26)</f>
        <v>Final Design - Apapa Berth 11</v>
      </c>
      <c r="C48" s="227" t="str">
        <f>IF($A48="","",Deliverables!$D26)</f>
        <v>DD</v>
      </c>
      <c r="D48" s="227" t="str">
        <f>IF($A48="","",Deliverables!$G26)</f>
        <v/>
      </c>
      <c r="E48" s="227" t="str">
        <f>IF($A48="","",IFERROR(INDEX(Inputs!$F$6:$F$85,MATCH($A48,Inputs!$A$6:$A$85,0)),"not in register"))</f>
        <v>Active</v>
      </c>
      <c r="F48" s="264">
        <f>IF($A48="","",IF(Deliverables!$H26="",0,Deliverables!$H26))</f>
        <v>0</v>
      </c>
      <c r="G48" s="264">
        <f t="shared" si="1"/>
        <v>1</v>
      </c>
      <c r="H48" s="265">
        <f>IF($A48="","",IFERROR(Deliverables!$E26*INDEX(Inputs!$C$6:$C$85,MATCH($A48,Inputs!$A$6:$A$85,0)),0))</f>
        <v>1.04</v>
      </c>
      <c r="I48" s="265">
        <f t="shared" si="2"/>
        <v>0</v>
      </c>
      <c r="J48" s="265">
        <f t="shared" si="3"/>
        <v>1.04</v>
      </c>
      <c r="K48" s="332">
        <v>90</v>
      </c>
      <c r="L48" s="266">
        <f t="shared" si="4"/>
        <v>0.48648648648648651</v>
      </c>
      <c r="M48" s="267">
        <f t="shared" si="5"/>
        <v>90</v>
      </c>
      <c r="N48" s="268">
        <f t="shared" si="6"/>
        <v>2.1377777777777776</v>
      </c>
      <c r="O48" s="269">
        <f t="shared" si="7"/>
        <v>2.1377297777777775</v>
      </c>
      <c r="P48" s="270">
        <f t="shared" si="8"/>
        <v>23</v>
      </c>
      <c r="Q48" s="271">
        <f t="shared" si="9"/>
        <v>10.205405405405408</v>
      </c>
      <c r="R48" s="272" t="str">
        <f t="shared" ca="1" si="10"/>
        <v>DO</v>
      </c>
      <c r="S48" s="265">
        <f t="shared" ca="1" si="11"/>
        <v>0.55351351351351352</v>
      </c>
      <c r="T48" s="267">
        <f ca="1">IF($R48="DO",$M48*Deliverables!K26,"")</f>
        <v>13.5</v>
      </c>
      <c r="U48" s="267">
        <f ca="1">IF($R48="DO",$M48*Deliverables!L26,"")</f>
        <v>22.5</v>
      </c>
      <c r="V48" s="267">
        <f ca="1">IF($R48="DO",$M48*Deliverables!M26,"")</f>
        <v>54</v>
      </c>
      <c r="W48" s="286">
        <f>IF($A48="","",MEDIAN($B$15,$B$16,IFERROR(IF(INDEX(Inputs!$U$6:$U$85,MATCH($A48,Inputs!$A$6:$A$85,0))="",$B$13,INDEX(Inputs!$U$6:$U$85,MATCH($A48,Inputs!$A$6:$A$85,0))),$B$13)))</f>
        <v>0.7</v>
      </c>
      <c r="X48" s="288">
        <f t="shared" ref="X48:AA67" ca="1" si="13">IF($R48&lt;&gt;"DO","",MAX(0,MIN($Q48,X$25*$B$8)-MAX($Q48-$L48,(X$25-1)*$B$8))*$B$5)</f>
        <v>0</v>
      </c>
      <c r="Y48" s="288">
        <f t="shared" ca="1" si="13"/>
        <v>0</v>
      </c>
      <c r="Z48" s="288">
        <f t="shared" ca="1" si="13"/>
        <v>0</v>
      </c>
      <c r="AA48" s="288">
        <f t="shared" ca="1" si="13"/>
        <v>89.999999999999901</v>
      </c>
    </row>
    <row r="49" spans="1:27" x14ac:dyDescent="0.3">
      <c r="A49" s="224" t="str">
        <f>IF(Deliverables!$A27="","",Deliverables!$A27)</f>
        <v>N25185-0100D</v>
      </c>
      <c r="B49" s="227" t="str">
        <f>IF($A49="","",Deliverables!$C27)</f>
        <v>Final Design - Apapa Berth 12</v>
      </c>
      <c r="C49" s="227" t="str">
        <f>IF($A49="","",Deliverables!$D27)</f>
        <v>DD</v>
      </c>
      <c r="D49" s="227" t="str">
        <f>IF($A49="","",Deliverables!$G27)</f>
        <v>Design started</v>
      </c>
      <c r="E49" s="227" t="str">
        <f>IF($A49="","",IFERROR(INDEX(Inputs!$F$6:$F$85,MATCH($A49,Inputs!$A$6:$A$85,0)),"not in register"))</f>
        <v>Active</v>
      </c>
      <c r="F49" s="264">
        <f>IF($A49="","",IF(Deliverables!$H27="",0,Deliverables!$H27))</f>
        <v>0.1</v>
      </c>
      <c r="G49" s="264">
        <f t="shared" si="1"/>
        <v>0.9</v>
      </c>
      <c r="H49" s="265">
        <f>IF($A49="","",IFERROR(Deliverables!$E27*INDEX(Inputs!$C$6:$C$85,MATCH($A49,Inputs!$A$6:$A$85,0)),0))</f>
        <v>1.04</v>
      </c>
      <c r="I49" s="265">
        <f t="shared" si="2"/>
        <v>0.10400000000000001</v>
      </c>
      <c r="J49" s="265">
        <f t="shared" si="3"/>
        <v>0.93600000000000005</v>
      </c>
      <c r="K49" s="332">
        <v>50</v>
      </c>
      <c r="L49" s="266">
        <f t="shared" si="4"/>
        <v>0.27027027027027029</v>
      </c>
      <c r="M49" s="267">
        <f t="shared" si="5"/>
        <v>50</v>
      </c>
      <c r="N49" s="268">
        <f t="shared" si="6"/>
        <v>3.4632000000000001</v>
      </c>
      <c r="O49" s="269">
        <f t="shared" si="7"/>
        <v>3.4631509999999999</v>
      </c>
      <c r="P49" s="270">
        <f t="shared" si="8"/>
        <v>1</v>
      </c>
      <c r="Q49" s="271">
        <f t="shared" si="9"/>
        <v>0.27027027027027029</v>
      </c>
      <c r="R49" s="272" t="str">
        <f t="shared" ca="1" si="10"/>
        <v>DO</v>
      </c>
      <c r="S49" s="265">
        <f t="shared" ca="1" si="11"/>
        <v>0.66572972972972977</v>
      </c>
      <c r="T49" s="267">
        <f ca="1">IF($R49="DO",$M49*Deliverables!K27,"")</f>
        <v>12.5</v>
      </c>
      <c r="U49" s="267">
        <f ca="1">IF($R49="DO",$M49*Deliverables!L27,"")</f>
        <v>0</v>
      </c>
      <c r="V49" s="267">
        <f ca="1">IF($R49="DO",$M49*Deliverables!M27,"")</f>
        <v>37.5</v>
      </c>
      <c r="W49" s="286">
        <f>IF($A49="","",MEDIAN($B$15,$B$16,IFERROR(IF(INDEX(Inputs!$U$6:$U$85,MATCH($A49,Inputs!$A$6:$A$85,0))="",$B$13,INDEX(Inputs!$U$6:$U$85,MATCH($A49,Inputs!$A$6:$A$85,0))),$B$13)))</f>
        <v>0.7</v>
      </c>
      <c r="X49" s="288">
        <f t="shared" ca="1" si="13"/>
        <v>50</v>
      </c>
      <c r="Y49" s="288">
        <f t="shared" ca="1" si="13"/>
        <v>0</v>
      </c>
      <c r="Z49" s="288">
        <f t="shared" ca="1" si="13"/>
        <v>0</v>
      </c>
      <c r="AA49" s="288">
        <f t="shared" ca="1" si="13"/>
        <v>0</v>
      </c>
    </row>
    <row r="50" spans="1:27" x14ac:dyDescent="0.3">
      <c r="A50" s="224" t="str">
        <f>IF(Deliverables!$A28="","",Deliverables!$A28)</f>
        <v>N25185-0100D</v>
      </c>
      <c r="B50" s="227" t="str">
        <f>IF($A50="","",Deliverables!$C28)</f>
        <v>Final Design - Apapa Berth 13</v>
      </c>
      <c r="C50" s="227" t="str">
        <f>IF($A50="","",Deliverables!$D28)</f>
        <v>DD</v>
      </c>
      <c r="D50" s="227" t="str">
        <f>IF($A50="","",Deliverables!$G28)</f>
        <v>Design started</v>
      </c>
      <c r="E50" s="227" t="str">
        <f>IF($A50="","",IFERROR(INDEX(Inputs!$F$6:$F$85,MATCH($A50,Inputs!$A$6:$A$85,0)),"not in register"))</f>
        <v>Active</v>
      </c>
      <c r="F50" s="264">
        <f>IF($A50="","",IF(Deliverables!$H28="",0,Deliverables!$H28))</f>
        <v>0.1</v>
      </c>
      <c r="G50" s="264">
        <f t="shared" si="1"/>
        <v>0.9</v>
      </c>
      <c r="H50" s="265">
        <f>IF($A50="","",IFERROR(Deliverables!$E28*INDEX(Inputs!$C$6:$C$85,MATCH($A50,Inputs!$A$6:$A$85,0)),0))</f>
        <v>1.04</v>
      </c>
      <c r="I50" s="265">
        <f t="shared" si="2"/>
        <v>0.10400000000000001</v>
      </c>
      <c r="J50" s="265">
        <f t="shared" si="3"/>
        <v>0.93600000000000005</v>
      </c>
      <c r="K50" s="332">
        <v>50</v>
      </c>
      <c r="L50" s="266">
        <f t="shared" si="4"/>
        <v>0.27027027027027029</v>
      </c>
      <c r="M50" s="267">
        <f t="shared" si="5"/>
        <v>50</v>
      </c>
      <c r="N50" s="268">
        <f t="shared" si="6"/>
        <v>3.4632000000000001</v>
      </c>
      <c r="O50" s="269">
        <f t="shared" si="7"/>
        <v>3.4631500000000002</v>
      </c>
      <c r="P50" s="270">
        <f t="shared" si="8"/>
        <v>2</v>
      </c>
      <c r="Q50" s="271">
        <f t="shared" si="9"/>
        <v>0.54054054054054057</v>
      </c>
      <c r="R50" s="272" t="str">
        <f t="shared" ca="1" si="10"/>
        <v>DO</v>
      </c>
      <c r="S50" s="265">
        <f t="shared" ca="1" si="11"/>
        <v>0.66572972972972977</v>
      </c>
      <c r="T50" s="267">
        <f ca="1">IF($R50="DO",$M50*Deliverables!K28,"")</f>
        <v>12.5</v>
      </c>
      <c r="U50" s="267">
        <f ca="1">IF($R50="DO",$M50*Deliverables!L28,"")</f>
        <v>0</v>
      </c>
      <c r="V50" s="267">
        <f ca="1">IF($R50="DO",$M50*Deliverables!M28,"")</f>
        <v>37.5</v>
      </c>
      <c r="W50" s="286">
        <f>IF($A50="","",MEDIAN($B$15,$B$16,IFERROR(IF(INDEX(Inputs!$U$6:$U$85,MATCH($A50,Inputs!$A$6:$A$85,0))="",$B$13,INDEX(Inputs!$U$6:$U$85,MATCH($A50,Inputs!$A$6:$A$85,0))),$B$13)))</f>
        <v>0.7</v>
      </c>
      <c r="X50" s="288">
        <f t="shared" ca="1" si="13"/>
        <v>50</v>
      </c>
      <c r="Y50" s="288">
        <f t="shared" ca="1" si="13"/>
        <v>0</v>
      </c>
      <c r="Z50" s="288">
        <f t="shared" ca="1" si="13"/>
        <v>0</v>
      </c>
      <c r="AA50" s="288">
        <f t="shared" ca="1" si="13"/>
        <v>0</v>
      </c>
    </row>
    <row r="51" spans="1:27" x14ac:dyDescent="0.3">
      <c r="A51" s="224" t="str">
        <f>IF(Deliverables!$A29="","",Deliverables!$A29)</f>
        <v>N25185-0100D</v>
      </c>
      <c r="B51" s="227" t="str">
        <f>IF($A51="","",Deliverables!$C29)</f>
        <v>Final Design - Apapa Berth 14</v>
      </c>
      <c r="C51" s="227" t="str">
        <f>IF($A51="","",Deliverables!$D29)</f>
        <v>DD</v>
      </c>
      <c r="D51" s="227" t="str">
        <f>IF($A51="","",Deliverables!$G29)</f>
        <v>Design started</v>
      </c>
      <c r="E51" s="227" t="str">
        <f>IF($A51="","",IFERROR(INDEX(Inputs!$F$6:$F$85,MATCH($A51,Inputs!$A$6:$A$85,0)),"not in register"))</f>
        <v>Active</v>
      </c>
      <c r="F51" s="264">
        <f>IF($A51="","",IF(Deliverables!$H29="",0,Deliverables!$H29))</f>
        <v>0.1</v>
      </c>
      <c r="G51" s="264">
        <f t="shared" si="1"/>
        <v>0.9</v>
      </c>
      <c r="H51" s="265">
        <f>IF($A51="","",IFERROR(Deliverables!$E29*INDEX(Inputs!$C$6:$C$85,MATCH($A51,Inputs!$A$6:$A$85,0)),0))</f>
        <v>1.04</v>
      </c>
      <c r="I51" s="265">
        <f t="shared" si="2"/>
        <v>0.10400000000000001</v>
      </c>
      <c r="J51" s="265">
        <f t="shared" si="3"/>
        <v>0.93600000000000005</v>
      </c>
      <c r="K51" s="332">
        <v>50</v>
      </c>
      <c r="L51" s="266">
        <f t="shared" si="4"/>
        <v>0.27027027027027029</v>
      </c>
      <c r="M51" s="267">
        <f t="shared" si="5"/>
        <v>50</v>
      </c>
      <c r="N51" s="268">
        <f t="shared" si="6"/>
        <v>3.4632000000000001</v>
      </c>
      <c r="O51" s="269">
        <f t="shared" si="7"/>
        <v>3.463149</v>
      </c>
      <c r="P51" s="270">
        <f t="shared" si="8"/>
        <v>3</v>
      </c>
      <c r="Q51" s="271">
        <f t="shared" si="9"/>
        <v>0.81081081081081086</v>
      </c>
      <c r="R51" s="272" t="str">
        <f t="shared" ca="1" si="10"/>
        <v>DO</v>
      </c>
      <c r="S51" s="265">
        <f t="shared" ca="1" si="11"/>
        <v>0.66572972972972977</v>
      </c>
      <c r="T51" s="267">
        <f ca="1">IF($R51="DO",$M51*Deliverables!K29,"")</f>
        <v>12.5</v>
      </c>
      <c r="U51" s="267">
        <f ca="1">IF($R51="DO",$M51*Deliverables!L29,"")</f>
        <v>0</v>
      </c>
      <c r="V51" s="267">
        <f ca="1">IF($R51="DO",$M51*Deliverables!M29,"")</f>
        <v>37.5</v>
      </c>
      <c r="W51" s="286">
        <f>IF($A51="","",MEDIAN($B$15,$B$16,IFERROR(IF(INDEX(Inputs!$U$6:$U$85,MATCH($A51,Inputs!$A$6:$A$85,0))="",$B$13,INDEX(Inputs!$U$6:$U$85,MATCH($A51,Inputs!$A$6:$A$85,0))),$B$13)))</f>
        <v>0.7</v>
      </c>
      <c r="X51" s="288">
        <f t="shared" ca="1" si="13"/>
        <v>50</v>
      </c>
      <c r="Y51" s="288">
        <f t="shared" ca="1" si="13"/>
        <v>0</v>
      </c>
      <c r="Z51" s="288">
        <f t="shared" ca="1" si="13"/>
        <v>0</v>
      </c>
      <c r="AA51" s="288">
        <f t="shared" ca="1" si="13"/>
        <v>0</v>
      </c>
    </row>
    <row r="52" spans="1:27" x14ac:dyDescent="0.3">
      <c r="A52" s="224" t="str">
        <f>IF(Deliverables!$A30="","",Deliverables!$A30)</f>
        <v>AN22137-0100D</v>
      </c>
      <c r="B52" s="227" t="str">
        <f>IF($A52="","",Deliverables!$C30)</f>
        <v>Schematic Design</v>
      </c>
      <c r="C52" s="227" t="str">
        <f>IF($A52="","",Deliverables!$D30)</f>
        <v>CD</v>
      </c>
      <c r="D52" s="227" t="str">
        <f>IF($A52="","",Deliverables!$G30)</f>
        <v/>
      </c>
      <c r="E52" s="227" t="str">
        <f>IF($A52="","",IFERROR(INDEX(Inputs!$F$6:$F$85,MATCH($A52,Inputs!$A$6:$A$85,0)),"not in register"))</f>
        <v>Not Started</v>
      </c>
      <c r="F52" s="264">
        <f>IF($A52="","",IF(Deliverables!$H30="",0,Deliverables!$H30))</f>
        <v>0</v>
      </c>
      <c r="G52" s="264">
        <f t="shared" si="1"/>
        <v>1</v>
      </c>
      <c r="H52" s="265">
        <f>IF($A52="","",IFERROR(Deliverables!$E30*INDEX(Inputs!$C$6:$C$85,MATCH($A52,Inputs!$A$6:$A$85,0)),0))</f>
        <v>5</v>
      </c>
      <c r="I52" s="265">
        <f t="shared" si="2"/>
        <v>0</v>
      </c>
      <c r="J52" s="265">
        <f t="shared" si="3"/>
        <v>5</v>
      </c>
      <c r="K52" s="332">
        <v>400</v>
      </c>
      <c r="L52" s="266">
        <f t="shared" si="4"/>
        <v>2.1621621621621623</v>
      </c>
      <c r="M52" s="267">
        <f t="shared" si="5"/>
        <v>400</v>
      </c>
      <c r="N52" s="268">
        <f t="shared" si="6"/>
        <v>2.3125</v>
      </c>
      <c r="O52" s="269">
        <f t="shared" si="7"/>
        <v>2.3124479999999998</v>
      </c>
      <c r="P52" s="270">
        <f t="shared" si="8"/>
        <v>9</v>
      </c>
      <c r="Q52" s="271">
        <f t="shared" si="9"/>
        <v>3.5027027027027029</v>
      </c>
      <c r="R52" s="272" t="str">
        <f t="shared" ca="1" si="10"/>
        <v>DO</v>
      </c>
      <c r="S52" s="265">
        <f t="shared" ca="1" si="11"/>
        <v>2.8378378378378377</v>
      </c>
      <c r="T52" s="267">
        <f ca="1">IF($R52="DO",$M52*Deliverables!K30,"")</f>
        <v>240</v>
      </c>
      <c r="U52" s="267">
        <f ca="1">IF($R52="DO",$M52*Deliverables!L30,"")</f>
        <v>160</v>
      </c>
      <c r="V52" s="267">
        <f ca="1">IF($R52="DO",$M52*Deliverables!M30,"")</f>
        <v>0</v>
      </c>
      <c r="W52" s="286">
        <f>IF($A52="","",MEDIAN($B$15,$B$16,IFERROR(IF(INDEX(Inputs!$U$6:$U$85,MATCH($A52,Inputs!$A$6:$A$85,0))="",$B$13,INDEX(Inputs!$U$6:$U$85,MATCH($A52,Inputs!$A$6:$A$85,0))),$B$13)))</f>
        <v>0.7</v>
      </c>
      <c r="X52" s="288">
        <f t="shared" ca="1" si="13"/>
        <v>307</v>
      </c>
      <c r="Y52" s="288">
        <f t="shared" ca="1" si="13"/>
        <v>93.000000000000043</v>
      </c>
      <c r="Z52" s="288">
        <f t="shared" ca="1" si="13"/>
        <v>0</v>
      </c>
      <c r="AA52" s="288">
        <f t="shared" ca="1" si="13"/>
        <v>0</v>
      </c>
    </row>
    <row r="53" spans="1:27" x14ac:dyDescent="0.3">
      <c r="A53" s="224" t="str">
        <f>IF(Deliverables!$A31="","",Deliverables!$A31)</f>
        <v>D26058-0100D</v>
      </c>
      <c r="B53" s="227" t="str">
        <f>IF($A53="","",Deliverables!$C31)</f>
        <v>Concept Design</v>
      </c>
      <c r="C53" s="227" t="str">
        <f>IF($A53="","",Deliverables!$D31)</f>
        <v>CD</v>
      </c>
      <c r="D53" s="227" t="str">
        <f>IF($A53="","",Deliverables!$G31)</f>
        <v/>
      </c>
      <c r="E53" s="227" t="str">
        <f>IF($A53="","",IFERROR(INDEX(Inputs!$F$6:$F$85,MATCH($A53,Inputs!$A$6:$A$85,0)),"not in register"))</f>
        <v>Not Started</v>
      </c>
      <c r="F53" s="264">
        <f>IF($A53="","",IF(Deliverables!$H31="",0,Deliverables!$H31))</f>
        <v>0</v>
      </c>
      <c r="G53" s="264">
        <f t="shared" si="1"/>
        <v>1</v>
      </c>
      <c r="H53" s="265">
        <f>IF($A53="","",IFERROR(Deliverables!$E31*INDEX(Inputs!$C$6:$C$85,MATCH($A53,Inputs!$A$6:$A$85,0)),0))</f>
        <v>0.75</v>
      </c>
      <c r="I53" s="265">
        <f t="shared" si="2"/>
        <v>0</v>
      </c>
      <c r="J53" s="265">
        <f t="shared" si="3"/>
        <v>0.75</v>
      </c>
      <c r="K53" s="332">
        <v>50</v>
      </c>
      <c r="L53" s="266">
        <f t="shared" si="4"/>
        <v>0.27027027027027029</v>
      </c>
      <c r="M53" s="267">
        <f t="shared" si="5"/>
        <v>50</v>
      </c>
      <c r="N53" s="268">
        <f t="shared" si="6"/>
        <v>2.7749999999999999</v>
      </c>
      <c r="O53" s="269">
        <f t="shared" si="7"/>
        <v>2.7749470000000001</v>
      </c>
      <c r="P53" s="270">
        <f t="shared" si="8"/>
        <v>4</v>
      </c>
      <c r="Q53" s="271">
        <f t="shared" si="9"/>
        <v>1.0810810810810811</v>
      </c>
      <c r="R53" s="272" t="str">
        <f t="shared" ca="1" si="10"/>
        <v>DO</v>
      </c>
      <c r="S53" s="265">
        <f t="shared" ca="1" si="11"/>
        <v>0.47972972972972971</v>
      </c>
      <c r="T53" s="267">
        <f ca="1">IF($R53="DO",$M53*Deliverables!K31,"")</f>
        <v>30</v>
      </c>
      <c r="U53" s="267">
        <f ca="1">IF($R53="DO",$M53*Deliverables!L31,"")</f>
        <v>20</v>
      </c>
      <c r="V53" s="267">
        <f ca="1">IF($R53="DO",$M53*Deliverables!M31,"")</f>
        <v>0</v>
      </c>
      <c r="W53" s="286">
        <f>IF($A53="","",MEDIAN($B$15,$B$16,IFERROR(IF(INDEX(Inputs!$U$6:$U$85,MATCH($A53,Inputs!$A$6:$A$85,0))="",$B$13,INDEX(Inputs!$U$6:$U$85,MATCH($A53,Inputs!$A$6:$A$85,0))),$B$13)))</f>
        <v>1</v>
      </c>
      <c r="X53" s="288">
        <f t="shared" ca="1" si="13"/>
        <v>50</v>
      </c>
      <c r="Y53" s="288">
        <f t="shared" ca="1" si="13"/>
        <v>0</v>
      </c>
      <c r="Z53" s="288">
        <f t="shared" ca="1" si="13"/>
        <v>0</v>
      </c>
      <c r="AA53" s="288">
        <f t="shared" ca="1" si="13"/>
        <v>0</v>
      </c>
    </row>
    <row r="54" spans="1:27" x14ac:dyDescent="0.3">
      <c r="A54" s="224" t="str">
        <f>IF(Deliverables!$A32="","",Deliverables!$A32)</f>
        <v>D26058-0100D</v>
      </c>
      <c r="B54" s="227" t="str">
        <f>IF($A54="","",Deliverables!$C32)</f>
        <v>Schematic Design</v>
      </c>
      <c r="C54" s="227" t="str">
        <f>IF($A54="","",Deliverables!$D32)</f>
        <v>CD</v>
      </c>
      <c r="D54" s="227" t="str">
        <f>IF($A54="","",Deliverables!$G32)</f>
        <v/>
      </c>
      <c r="E54" s="227" t="str">
        <f>IF($A54="","",IFERROR(INDEX(Inputs!$F$6:$F$85,MATCH($A54,Inputs!$A$6:$A$85,0)),"not in register"))</f>
        <v>Not Started</v>
      </c>
      <c r="F54" s="264">
        <f>IF($A54="","",IF(Deliverables!$H32="",0,Deliverables!$H32))</f>
        <v>0</v>
      </c>
      <c r="G54" s="264">
        <f t="shared" si="1"/>
        <v>1</v>
      </c>
      <c r="H54" s="265">
        <f>IF($A54="","",IFERROR(Deliverables!$E32*INDEX(Inputs!$C$6:$C$85,MATCH($A54,Inputs!$A$6:$A$85,0)),0))</f>
        <v>1</v>
      </c>
      <c r="I54" s="265">
        <f t="shared" si="2"/>
        <v>0</v>
      </c>
      <c r="J54" s="265">
        <f t="shared" si="3"/>
        <v>1</v>
      </c>
      <c r="K54" s="332">
        <v>90</v>
      </c>
      <c r="L54" s="266">
        <f t="shared" si="4"/>
        <v>0.48648648648648651</v>
      </c>
      <c r="M54" s="267">
        <f t="shared" si="5"/>
        <v>90</v>
      </c>
      <c r="N54" s="268">
        <f t="shared" si="6"/>
        <v>2.0555555555555554</v>
      </c>
      <c r="O54" s="269">
        <f t="shared" si="7"/>
        <v>2.0555015555555554</v>
      </c>
      <c r="P54" s="270">
        <f t="shared" si="8"/>
        <v>24</v>
      </c>
      <c r="Q54" s="271">
        <f t="shared" si="9"/>
        <v>10.691891891891894</v>
      </c>
      <c r="R54" s="272" t="str">
        <f t="shared" ca="1" si="10"/>
        <v>DO</v>
      </c>
      <c r="S54" s="265">
        <f t="shared" ca="1" si="11"/>
        <v>0.51351351351351349</v>
      </c>
      <c r="T54" s="267">
        <f ca="1">IF($R54="DO",$M54*Deliverables!K32,"")</f>
        <v>54</v>
      </c>
      <c r="U54" s="267">
        <f ca="1">IF($R54="DO",$M54*Deliverables!L32,"")</f>
        <v>36</v>
      </c>
      <c r="V54" s="267">
        <f ca="1">IF($R54="DO",$M54*Deliverables!M32,"")</f>
        <v>0</v>
      </c>
      <c r="W54" s="286">
        <f>IF($A54="","",MEDIAN($B$15,$B$16,IFERROR(IF(INDEX(Inputs!$U$6:$U$85,MATCH($A54,Inputs!$A$6:$A$85,0))="",$B$13,INDEX(Inputs!$U$6:$U$85,MATCH($A54,Inputs!$A$6:$A$85,0))),$B$13)))</f>
        <v>1</v>
      </c>
      <c r="X54" s="288">
        <f t="shared" ca="1" si="13"/>
        <v>0</v>
      </c>
      <c r="Y54" s="288">
        <f t="shared" ca="1" si="13"/>
        <v>0</v>
      </c>
      <c r="Z54" s="288">
        <f t="shared" ca="1" si="13"/>
        <v>0</v>
      </c>
      <c r="AA54" s="288">
        <f t="shared" ca="1" si="13"/>
        <v>89.999999999999901</v>
      </c>
    </row>
    <row r="55" spans="1:27" x14ac:dyDescent="0.3">
      <c r="A55" s="224" t="str">
        <f>IF(Deliverables!$A33="","",Deliverables!$A33)</f>
        <v>D26058-0100D</v>
      </c>
      <c r="B55" s="227" t="str">
        <f>IF($A55="","",Deliverables!$C33)</f>
        <v>Final Design</v>
      </c>
      <c r="C55" s="227" t="str">
        <f>IF($A55="","",Deliverables!$D33)</f>
        <v>CD</v>
      </c>
      <c r="D55" s="227" t="str">
        <f>IF($A55="","",Deliverables!$G33)</f>
        <v/>
      </c>
      <c r="E55" s="227" t="str">
        <f>IF($A55="","",IFERROR(INDEX(Inputs!$F$6:$F$85,MATCH($A55,Inputs!$A$6:$A$85,0)),"not in register"))</f>
        <v>Not Started</v>
      </c>
      <c r="F55" s="264">
        <f>IF($A55="","",IF(Deliverables!$H33="",0,Deliverables!$H33))</f>
        <v>0</v>
      </c>
      <c r="G55" s="264">
        <f t="shared" si="1"/>
        <v>1</v>
      </c>
      <c r="H55" s="265">
        <f>IF($A55="","",IFERROR(Deliverables!$E33*INDEX(Inputs!$C$6:$C$85,MATCH($A55,Inputs!$A$6:$A$85,0)),0))</f>
        <v>3.25</v>
      </c>
      <c r="I55" s="265">
        <f t="shared" si="2"/>
        <v>0</v>
      </c>
      <c r="J55" s="265">
        <f t="shared" si="3"/>
        <v>3.25</v>
      </c>
      <c r="K55" s="332">
        <v>400</v>
      </c>
      <c r="L55" s="266">
        <f t="shared" si="4"/>
        <v>2.1621621621621623</v>
      </c>
      <c r="M55" s="267">
        <f t="shared" si="5"/>
        <v>400</v>
      </c>
      <c r="N55" s="268">
        <f t="shared" si="6"/>
        <v>1.5031249999999998</v>
      </c>
      <c r="O55" s="269">
        <f t="shared" si="7"/>
        <v>1.5030699999999999</v>
      </c>
      <c r="P55" s="270">
        <f t="shared" si="8"/>
        <v>28</v>
      </c>
      <c r="Q55" s="271">
        <f t="shared" si="9"/>
        <v>13.976013513513516</v>
      </c>
      <c r="R55" s="272" t="str">
        <f t="shared" ca="1" si="10"/>
        <v>DEFER</v>
      </c>
      <c r="S55" s="265" t="str">
        <f t="shared" ca="1" si="11"/>
        <v/>
      </c>
      <c r="T55" s="267" t="str">
        <f ca="1">IF($R55="DO",$M55*Deliverables!K33,"")</f>
        <v/>
      </c>
      <c r="U55" s="267" t="str">
        <f ca="1">IF($R55="DO",$M55*Deliverables!L33,"")</f>
        <v/>
      </c>
      <c r="V55" s="267" t="str">
        <f ca="1">IF($R55="DO",$M55*Deliverables!M33,"")</f>
        <v/>
      </c>
      <c r="W55" s="286">
        <f>IF($A55="","",MEDIAN($B$15,$B$16,IFERROR(IF(INDEX(Inputs!$U$6:$U$85,MATCH($A55,Inputs!$A$6:$A$85,0))="",$B$13,INDEX(Inputs!$U$6:$U$85,MATCH($A55,Inputs!$A$6:$A$85,0))),$B$13)))</f>
        <v>1</v>
      </c>
      <c r="X55" s="288" t="str">
        <f t="shared" ca="1" si="13"/>
        <v/>
      </c>
      <c r="Y55" s="288" t="str">
        <f t="shared" ca="1" si="13"/>
        <v/>
      </c>
      <c r="Z55" s="288" t="str">
        <f t="shared" ca="1" si="13"/>
        <v/>
      </c>
      <c r="AA55" s="288" t="str">
        <f t="shared" ca="1" si="13"/>
        <v/>
      </c>
    </row>
    <row r="56" spans="1:27" x14ac:dyDescent="0.3">
      <c r="A56" s="224" t="str">
        <f>IF(Deliverables!$A34="","",Deliverables!$A34)</f>
        <v xml:space="preserve">AD24217-0100D </v>
      </c>
      <c r="B56" s="227" t="str">
        <f>IF($A56="","",Deliverables!$C34)</f>
        <v>Concept Design</v>
      </c>
      <c r="C56" s="227" t="str">
        <f>IF($A56="","",Deliverables!$D34)</f>
        <v>CD</v>
      </c>
      <c r="D56" s="227" t="str">
        <f>IF($A56="","",Deliverables!$G34)</f>
        <v>Client acceptance</v>
      </c>
      <c r="E56" s="227" t="str">
        <f>IF($A56="","",IFERROR(INDEX(Inputs!$F$6:$F$85,MATCH($A56,Inputs!$A$6:$A$85,0)),"not in register"))</f>
        <v>Finalized</v>
      </c>
      <c r="F56" s="264">
        <f>IF($A56="","",IF(Deliverables!$H34="",0,Deliverables!$H34))</f>
        <v>1</v>
      </c>
      <c r="G56" s="264">
        <f t="shared" si="1"/>
        <v>0</v>
      </c>
      <c r="H56" s="265">
        <f>IF($A56="","",IFERROR(Deliverables!$E34*INDEX(Inputs!$C$6:$C$85,MATCH($A56,Inputs!$A$6:$A$85,0)),0))</f>
        <v>3</v>
      </c>
      <c r="I56" s="265">
        <f t="shared" si="2"/>
        <v>3</v>
      </c>
      <c r="J56" s="265">
        <f t="shared" si="3"/>
        <v>0</v>
      </c>
      <c r="K56" s="332"/>
      <c r="L56" s="266">
        <f t="shared" si="4"/>
        <v>0</v>
      </c>
      <c r="M56" s="267">
        <f t="shared" si="5"/>
        <v>0</v>
      </c>
      <c r="N56" s="268" t="str">
        <f t="shared" si="6"/>
        <v/>
      </c>
      <c r="O56" s="269" t="str">
        <f t="shared" si="7"/>
        <v/>
      </c>
      <c r="P56" s="270" t="str">
        <f t="shared" si="8"/>
        <v/>
      </c>
      <c r="Q56" s="271" t="str">
        <f t="shared" si="9"/>
        <v/>
      </c>
      <c r="R56" s="272" t="str">
        <f t="shared" si="10"/>
        <v>complete</v>
      </c>
      <c r="S56" s="265" t="str">
        <f t="shared" si="11"/>
        <v/>
      </c>
      <c r="T56" s="267" t="str">
        <f>IF($R56="DO",$M56*Deliverables!K34,"")</f>
        <v/>
      </c>
      <c r="U56" s="267" t="str">
        <f>IF($R56="DO",$M56*Deliverables!L34,"")</f>
        <v/>
      </c>
      <c r="V56" s="267" t="str">
        <f>IF($R56="DO",$M56*Deliverables!M34,"")</f>
        <v/>
      </c>
      <c r="W56" s="286">
        <f>IF($A56="","",MEDIAN($B$15,$B$16,IFERROR(IF(INDEX(Inputs!$U$6:$U$85,MATCH($A56,Inputs!$A$6:$A$85,0))="",$B$13,INDEX(Inputs!$U$6:$U$85,MATCH($A56,Inputs!$A$6:$A$85,0))),$B$13)))</f>
        <v>1.153846153846154</v>
      </c>
      <c r="X56" s="288" t="str">
        <f t="shared" si="13"/>
        <v/>
      </c>
      <c r="Y56" s="288" t="str">
        <f t="shared" si="13"/>
        <v/>
      </c>
      <c r="Z56" s="288" t="str">
        <f t="shared" si="13"/>
        <v/>
      </c>
      <c r="AA56" s="288" t="str">
        <f t="shared" si="13"/>
        <v/>
      </c>
    </row>
    <row r="57" spans="1:27" x14ac:dyDescent="0.3">
      <c r="A57" s="224" t="str">
        <f>IF(Deliverables!$A35="","",Deliverables!$A35)</f>
        <v>E24181-0100D</v>
      </c>
      <c r="B57" s="227" t="str">
        <f>IF($A57="","",Deliverables!$C35)</f>
        <v>Report</v>
      </c>
      <c r="C57" s="227" t="str">
        <f>IF($A57="","",Deliverables!$D35)</f>
        <v>SA</v>
      </c>
      <c r="D57" s="227" t="str">
        <f>IF($A57="","",Deliverables!$G35)</f>
        <v>Comments closed</v>
      </c>
      <c r="E57" s="227" t="str">
        <f>IF($A57="","",IFERROR(INDEX(Inputs!$F$6:$F$85,MATCH($A57,Inputs!$A$6:$A$85,0)),"not in register"))</f>
        <v>Finalized</v>
      </c>
      <c r="F57" s="264">
        <f>IF($A57="","",IF(Deliverables!$H35="",0,Deliverables!$H35))</f>
        <v>1</v>
      </c>
      <c r="G57" s="264">
        <f t="shared" si="1"/>
        <v>0</v>
      </c>
      <c r="H57" s="265">
        <f>IF($A57="","",IFERROR(Deliverables!$E35*INDEX(Inputs!$C$6:$C$85,MATCH($A57,Inputs!$A$6:$A$85,0)),0))</f>
        <v>0.5</v>
      </c>
      <c r="I57" s="265">
        <f t="shared" si="2"/>
        <v>0.5</v>
      </c>
      <c r="J57" s="265">
        <f t="shared" si="3"/>
        <v>0</v>
      </c>
      <c r="K57" s="332"/>
      <c r="L57" s="266">
        <f t="shared" si="4"/>
        <v>0</v>
      </c>
      <c r="M57" s="267">
        <f t="shared" si="5"/>
        <v>0</v>
      </c>
      <c r="N57" s="268" t="str">
        <f t="shared" si="6"/>
        <v/>
      </c>
      <c r="O57" s="269" t="str">
        <f t="shared" si="7"/>
        <v/>
      </c>
      <c r="P57" s="270" t="str">
        <f t="shared" si="8"/>
        <v/>
      </c>
      <c r="Q57" s="271" t="str">
        <f t="shared" si="9"/>
        <v/>
      </c>
      <c r="R57" s="272" t="str">
        <f t="shared" si="10"/>
        <v>complete</v>
      </c>
      <c r="S57" s="265" t="str">
        <f t="shared" si="11"/>
        <v/>
      </c>
      <c r="T57" s="267" t="str">
        <f>IF($R57="DO",$M57*Deliverables!K35,"")</f>
        <v/>
      </c>
      <c r="U57" s="267" t="str">
        <f>IF($R57="DO",$M57*Deliverables!L35,"")</f>
        <v/>
      </c>
      <c r="V57" s="267" t="str">
        <f>IF($R57="DO",$M57*Deliverables!M35,"")</f>
        <v/>
      </c>
      <c r="W57" s="286">
        <f>IF($A57="","",MEDIAN($B$15,$B$16,IFERROR(IF(INDEX(Inputs!$U$6:$U$85,MATCH($A57,Inputs!$A$6:$A$85,0))="",$B$13,INDEX(Inputs!$U$6:$U$85,MATCH($A57,Inputs!$A$6:$A$85,0))),$B$13)))</f>
        <v>1</v>
      </c>
      <c r="X57" s="288" t="str">
        <f t="shared" si="13"/>
        <v/>
      </c>
      <c r="Y57" s="288" t="str">
        <f t="shared" si="13"/>
        <v/>
      </c>
      <c r="Z57" s="288" t="str">
        <f t="shared" si="13"/>
        <v/>
      </c>
      <c r="AA57" s="288" t="str">
        <f t="shared" si="13"/>
        <v/>
      </c>
    </row>
    <row r="58" spans="1:27" x14ac:dyDescent="0.3">
      <c r="A58" s="224" t="str">
        <f>IF(Deliverables!$A36="","",Deliverables!$A36)</f>
        <v>J23152-0100D</v>
      </c>
      <c r="B58" s="227" t="str">
        <f>IF($A58="","",Deliverables!$C36)</f>
        <v>Specifications</v>
      </c>
      <c r="C58" s="227" t="str">
        <f>IF($A58="","",Deliverables!$D36)</f>
        <v>TD</v>
      </c>
      <c r="D58" s="227" t="str">
        <f>IF($A58="","",Deliverables!$G36)</f>
        <v>Tender queries and addenda closed</v>
      </c>
      <c r="E58" s="227" t="str">
        <f>IF($A58="","",IFERROR(INDEX(Inputs!$F$6:$F$85,MATCH($A58,Inputs!$A$6:$A$85,0)),"not in register"))</f>
        <v>Finalized</v>
      </c>
      <c r="F58" s="264">
        <f>IF($A58="","",IF(Deliverables!$H36="",0,Deliverables!$H36))</f>
        <v>1</v>
      </c>
      <c r="G58" s="264">
        <f t="shared" si="1"/>
        <v>0</v>
      </c>
      <c r="H58" s="265">
        <f>IF($A58="","",IFERROR(Deliverables!$E36*INDEX(Inputs!$C$6:$C$85,MATCH($A58,Inputs!$A$6:$A$85,0)),0))</f>
        <v>0.5</v>
      </c>
      <c r="I58" s="265">
        <f t="shared" si="2"/>
        <v>0.5</v>
      </c>
      <c r="J58" s="265">
        <f t="shared" si="3"/>
        <v>0</v>
      </c>
      <c r="K58" s="332"/>
      <c r="L58" s="266">
        <f t="shared" si="4"/>
        <v>0</v>
      </c>
      <c r="M58" s="267">
        <f t="shared" si="5"/>
        <v>0</v>
      </c>
      <c r="N58" s="268" t="str">
        <f t="shared" si="6"/>
        <v/>
      </c>
      <c r="O58" s="269" t="str">
        <f t="shared" si="7"/>
        <v/>
      </c>
      <c r="P58" s="270" t="str">
        <f t="shared" si="8"/>
        <v/>
      </c>
      <c r="Q58" s="271" t="str">
        <f t="shared" si="9"/>
        <v/>
      </c>
      <c r="R58" s="272" t="str">
        <f t="shared" si="10"/>
        <v>complete</v>
      </c>
      <c r="S58" s="265" t="str">
        <f t="shared" si="11"/>
        <v/>
      </c>
      <c r="T58" s="267" t="str">
        <f>IF($R58="DO",$M58*Deliverables!K36,"")</f>
        <v/>
      </c>
      <c r="U58" s="267" t="str">
        <f>IF($R58="DO",$M58*Deliverables!L36,"")</f>
        <v/>
      </c>
      <c r="V58" s="267" t="str">
        <f>IF($R58="DO",$M58*Deliverables!M36,"")</f>
        <v/>
      </c>
      <c r="W58" s="286">
        <f>IF($A58="","",MEDIAN($B$15,$B$16,IFERROR(IF(INDEX(Inputs!$U$6:$U$85,MATCH($A58,Inputs!$A$6:$A$85,0))="",$B$13,INDEX(Inputs!$U$6:$U$85,MATCH($A58,Inputs!$A$6:$A$85,0))),$B$13)))</f>
        <v>2</v>
      </c>
      <c r="X58" s="288" t="str">
        <f t="shared" si="13"/>
        <v/>
      </c>
      <c r="Y58" s="288" t="str">
        <f t="shared" si="13"/>
        <v/>
      </c>
      <c r="Z58" s="288" t="str">
        <f t="shared" si="13"/>
        <v/>
      </c>
      <c r="AA58" s="288" t="str">
        <f t="shared" si="13"/>
        <v/>
      </c>
    </row>
    <row r="59" spans="1:27" x14ac:dyDescent="0.3">
      <c r="A59" s="224" t="str">
        <f>IF(Deliverables!$A37="","",Deliverables!$A37)</f>
        <v>Q25008-0100D</v>
      </c>
      <c r="B59" s="227" t="str">
        <f>IF($A59="","",Deliverables!$C37)</f>
        <v>Tender Design</v>
      </c>
      <c r="C59" s="227" t="str">
        <f>IF($A59="","",Deliverables!$D37)</f>
        <v>TD</v>
      </c>
      <c r="D59" s="227" t="str">
        <f>IF($A59="","",Deliverables!$G37)</f>
        <v>Tender queries and addenda closed</v>
      </c>
      <c r="E59" s="227" t="str">
        <f>IF($A59="","",IFERROR(INDEX(Inputs!$F$6:$F$85,MATCH($A59,Inputs!$A$6:$A$85,0)),"not in register"))</f>
        <v>Finalized</v>
      </c>
      <c r="F59" s="264">
        <f>IF($A59="","",IF(Deliverables!$H37="",0,Deliverables!$H37))</f>
        <v>1</v>
      </c>
      <c r="G59" s="264">
        <f t="shared" si="1"/>
        <v>0</v>
      </c>
      <c r="H59" s="265">
        <f>IF($A59="","",IFERROR(Deliverables!$E37*INDEX(Inputs!$C$6:$C$85,MATCH($A59,Inputs!$A$6:$A$85,0)),0))</f>
        <v>5</v>
      </c>
      <c r="I59" s="265">
        <f t="shared" si="2"/>
        <v>5</v>
      </c>
      <c r="J59" s="265">
        <f t="shared" si="3"/>
        <v>0</v>
      </c>
      <c r="K59" s="332"/>
      <c r="L59" s="266">
        <f t="shared" si="4"/>
        <v>0</v>
      </c>
      <c r="M59" s="267">
        <f t="shared" si="5"/>
        <v>0</v>
      </c>
      <c r="N59" s="268" t="str">
        <f t="shared" si="6"/>
        <v/>
      </c>
      <c r="O59" s="269" t="str">
        <f t="shared" si="7"/>
        <v/>
      </c>
      <c r="P59" s="270" t="str">
        <f t="shared" si="8"/>
        <v/>
      </c>
      <c r="Q59" s="271" t="str">
        <f t="shared" si="9"/>
        <v/>
      </c>
      <c r="R59" s="272" t="str">
        <f t="shared" si="10"/>
        <v>complete</v>
      </c>
      <c r="S59" s="265" t="str">
        <f t="shared" si="11"/>
        <v/>
      </c>
      <c r="T59" s="267" t="str">
        <f>IF($R59="DO",$M59*Deliverables!K37,"")</f>
        <v/>
      </c>
      <c r="U59" s="267" t="str">
        <f>IF($R59="DO",$M59*Deliverables!L37,"")</f>
        <v/>
      </c>
      <c r="V59" s="267" t="str">
        <f>IF($R59="DO",$M59*Deliverables!M37,"")</f>
        <v/>
      </c>
      <c r="W59" s="286">
        <f>IF($A59="","",MEDIAN($B$15,$B$16,IFERROR(IF(INDEX(Inputs!$U$6:$U$85,MATCH($A59,Inputs!$A$6:$A$85,0))="",$B$13,INDEX(Inputs!$U$6:$U$85,MATCH($A59,Inputs!$A$6:$A$85,0))),$B$13)))</f>
        <v>2</v>
      </c>
      <c r="X59" s="288" t="str">
        <f t="shared" si="13"/>
        <v/>
      </c>
      <c r="Y59" s="288" t="str">
        <f t="shared" si="13"/>
        <v/>
      </c>
      <c r="Z59" s="288" t="str">
        <f t="shared" si="13"/>
        <v/>
      </c>
      <c r="AA59" s="288" t="str">
        <f t="shared" si="13"/>
        <v/>
      </c>
    </row>
    <row r="60" spans="1:27" x14ac:dyDescent="0.3">
      <c r="A60" s="224" t="str">
        <f>IF(Deliverables!$A38="","",Deliverables!$A38)</f>
        <v>S24014-0101D</v>
      </c>
      <c r="B60" s="227" t="str">
        <f>IF($A60="","",Deliverables!$C38)</f>
        <v>Report</v>
      </c>
      <c r="C60" s="227" t="str">
        <f>IF($A60="","",Deliverables!$D38)</f>
        <v>SA</v>
      </c>
      <c r="D60" s="227" t="str">
        <f>IF($A60="","",Deliverables!$G38)</f>
        <v>Comments closed</v>
      </c>
      <c r="E60" s="227" t="str">
        <f>IF($A60="","",IFERROR(INDEX(Inputs!$F$6:$F$85,MATCH($A60,Inputs!$A$6:$A$85,0)),"not in register"))</f>
        <v>Finalized</v>
      </c>
      <c r="F60" s="264">
        <f>IF($A60="","",IF(Deliverables!$H38="",0,Deliverables!$H38))</f>
        <v>1</v>
      </c>
      <c r="G60" s="264">
        <f t="shared" si="1"/>
        <v>0</v>
      </c>
      <c r="H60" s="265">
        <f>IF($A60="","",IFERROR(Deliverables!$E38*INDEX(Inputs!$C$6:$C$85,MATCH($A60,Inputs!$A$6:$A$85,0)),0))</f>
        <v>21.27</v>
      </c>
      <c r="I60" s="265">
        <f t="shared" si="2"/>
        <v>21.27</v>
      </c>
      <c r="J60" s="265">
        <f t="shared" si="3"/>
        <v>0</v>
      </c>
      <c r="K60" s="332"/>
      <c r="L60" s="266">
        <f t="shared" si="4"/>
        <v>0</v>
      </c>
      <c r="M60" s="267">
        <f t="shared" si="5"/>
        <v>0</v>
      </c>
      <c r="N60" s="268" t="str">
        <f t="shared" si="6"/>
        <v/>
      </c>
      <c r="O60" s="269" t="str">
        <f t="shared" si="7"/>
        <v/>
      </c>
      <c r="P60" s="270" t="str">
        <f t="shared" si="8"/>
        <v/>
      </c>
      <c r="Q60" s="271" t="str">
        <f t="shared" si="9"/>
        <v/>
      </c>
      <c r="R60" s="272" t="str">
        <f t="shared" si="10"/>
        <v>complete</v>
      </c>
      <c r="S60" s="265" t="str">
        <f t="shared" si="11"/>
        <v/>
      </c>
      <c r="T60" s="267" t="str">
        <f>IF($R60="DO",$M60*Deliverables!K38,"")</f>
        <v/>
      </c>
      <c r="U60" s="267" t="str">
        <f>IF($R60="DO",$M60*Deliverables!L38,"")</f>
        <v/>
      </c>
      <c r="V60" s="267" t="str">
        <f>IF($R60="DO",$M60*Deliverables!M38,"")</f>
        <v/>
      </c>
      <c r="W60" s="286">
        <f>IF($A60="","",MEDIAN($B$15,$B$16,IFERROR(IF(INDEX(Inputs!$U$6:$U$85,MATCH($A60,Inputs!$A$6:$A$85,0))="",$B$13,INDEX(Inputs!$U$6:$U$85,MATCH($A60,Inputs!$A$6:$A$85,0))),$B$13)))</f>
        <v>2</v>
      </c>
      <c r="X60" s="288" t="str">
        <f t="shared" si="13"/>
        <v/>
      </c>
      <c r="Y60" s="288" t="str">
        <f t="shared" si="13"/>
        <v/>
      </c>
      <c r="Z60" s="288" t="str">
        <f t="shared" si="13"/>
        <v/>
      </c>
      <c r="AA60" s="288" t="str">
        <f t="shared" si="13"/>
        <v/>
      </c>
    </row>
    <row r="61" spans="1:27" x14ac:dyDescent="0.3">
      <c r="A61" s="224" t="str">
        <f>IF(Deliverables!$A39="","",Deliverables!$A39)</f>
        <v>S24014-0102D</v>
      </c>
      <c r="B61" s="227" t="str">
        <f>IF($A61="","",Deliverables!$C39)</f>
        <v>Concept Design</v>
      </c>
      <c r="C61" s="227" t="str">
        <f>IF($A61="","",Deliverables!$D39)</f>
        <v>CD</v>
      </c>
      <c r="D61" s="227" t="str">
        <f>IF($A61="","",Deliverables!$G39)</f>
        <v>Client acceptance</v>
      </c>
      <c r="E61" s="227" t="str">
        <f>IF($A61="","",IFERROR(INDEX(Inputs!$F$6:$F$85,MATCH($A61,Inputs!$A$6:$A$85,0)),"not in register"))</f>
        <v>Finalized</v>
      </c>
      <c r="F61" s="264">
        <f>IF($A61="","",IF(Deliverables!$H39="",0,Deliverables!$H39))</f>
        <v>1</v>
      </c>
      <c r="G61" s="264">
        <f t="shared" si="1"/>
        <v>0</v>
      </c>
      <c r="H61" s="265">
        <f>IF($A61="","",IFERROR(Deliverables!$E39*INDEX(Inputs!$C$6:$C$85,MATCH($A61,Inputs!$A$6:$A$85,0)),0))</f>
        <v>7.62</v>
      </c>
      <c r="I61" s="265">
        <f t="shared" si="2"/>
        <v>7.62</v>
      </c>
      <c r="J61" s="265">
        <f t="shared" si="3"/>
        <v>0</v>
      </c>
      <c r="K61" s="332"/>
      <c r="L61" s="266">
        <f t="shared" si="4"/>
        <v>0</v>
      </c>
      <c r="M61" s="267">
        <f t="shared" si="5"/>
        <v>0</v>
      </c>
      <c r="N61" s="268" t="str">
        <f t="shared" si="6"/>
        <v/>
      </c>
      <c r="O61" s="269" t="str">
        <f t="shared" si="7"/>
        <v/>
      </c>
      <c r="P61" s="270" t="str">
        <f t="shared" si="8"/>
        <v/>
      </c>
      <c r="Q61" s="271" t="str">
        <f t="shared" si="9"/>
        <v/>
      </c>
      <c r="R61" s="272" t="str">
        <f t="shared" si="10"/>
        <v>complete</v>
      </c>
      <c r="S61" s="265" t="str">
        <f t="shared" si="11"/>
        <v/>
      </c>
      <c r="T61" s="267" t="str">
        <f>IF($R61="DO",$M61*Deliverables!K39,"")</f>
        <v/>
      </c>
      <c r="U61" s="267" t="str">
        <f>IF($R61="DO",$M61*Deliverables!L39,"")</f>
        <v/>
      </c>
      <c r="V61" s="267" t="str">
        <f>IF($R61="DO",$M61*Deliverables!M39,"")</f>
        <v/>
      </c>
      <c r="W61" s="286">
        <f>IF($A61="","",MEDIAN($B$15,$B$16,IFERROR(IF(INDEX(Inputs!$U$6:$U$85,MATCH($A61,Inputs!$A$6:$A$85,0))="",$B$13,INDEX(Inputs!$U$6:$U$85,MATCH($A61,Inputs!$A$6:$A$85,0))),$B$13)))</f>
        <v>2</v>
      </c>
      <c r="X61" s="288" t="str">
        <f t="shared" si="13"/>
        <v/>
      </c>
      <c r="Y61" s="288" t="str">
        <f t="shared" si="13"/>
        <v/>
      </c>
      <c r="Z61" s="288" t="str">
        <f t="shared" si="13"/>
        <v/>
      </c>
      <c r="AA61" s="288" t="str">
        <f t="shared" si="13"/>
        <v/>
      </c>
    </row>
    <row r="62" spans="1:27" x14ac:dyDescent="0.3">
      <c r="A62" s="224" t="str">
        <f>IF(Deliverables!$A40="","",Deliverables!$A40)</f>
        <v>S24014-0103D</v>
      </c>
      <c r="B62" s="227" t="str">
        <f>IF($A62="","",Deliverables!$C40)</f>
        <v>Concept Design</v>
      </c>
      <c r="C62" s="227" t="str">
        <f>IF($A62="","",Deliverables!$D40)</f>
        <v>CD</v>
      </c>
      <c r="D62" s="227" t="str">
        <f>IF($A62="","",Deliverables!$G40)</f>
        <v>Client acceptance</v>
      </c>
      <c r="E62" s="227" t="str">
        <f>IF($A62="","",IFERROR(INDEX(Inputs!$F$6:$F$85,MATCH($A62,Inputs!$A$6:$A$85,0)),"not in register"))</f>
        <v>Finalized</v>
      </c>
      <c r="F62" s="264">
        <f>IF($A62="","",IF(Deliverables!$H40="",0,Deliverables!$H40))</f>
        <v>1</v>
      </c>
      <c r="G62" s="264">
        <f t="shared" si="1"/>
        <v>0</v>
      </c>
      <c r="H62" s="265">
        <f>IF($A62="","",IFERROR(Deliverables!$E40*INDEX(Inputs!$C$6:$C$85,MATCH($A62,Inputs!$A$6:$A$85,0)),0))</f>
        <v>6.36</v>
      </c>
      <c r="I62" s="265">
        <f t="shared" si="2"/>
        <v>6.36</v>
      </c>
      <c r="J62" s="265">
        <f t="shared" si="3"/>
        <v>0</v>
      </c>
      <c r="K62" s="332"/>
      <c r="L62" s="266">
        <f t="shared" si="4"/>
        <v>0</v>
      </c>
      <c r="M62" s="267">
        <f t="shared" si="5"/>
        <v>0</v>
      </c>
      <c r="N62" s="268" t="str">
        <f t="shared" si="6"/>
        <v/>
      </c>
      <c r="O62" s="269" t="str">
        <f t="shared" si="7"/>
        <v/>
      </c>
      <c r="P62" s="270" t="str">
        <f t="shared" si="8"/>
        <v/>
      </c>
      <c r="Q62" s="271" t="str">
        <f t="shared" si="9"/>
        <v/>
      </c>
      <c r="R62" s="272" t="str">
        <f t="shared" si="10"/>
        <v>complete</v>
      </c>
      <c r="S62" s="265" t="str">
        <f t="shared" si="11"/>
        <v/>
      </c>
      <c r="T62" s="267" t="str">
        <f>IF($R62="DO",$M62*Deliverables!K40,"")</f>
        <v/>
      </c>
      <c r="U62" s="267" t="str">
        <f>IF($R62="DO",$M62*Deliverables!L40,"")</f>
        <v/>
      </c>
      <c r="V62" s="267" t="str">
        <f>IF($R62="DO",$M62*Deliverables!M40,"")</f>
        <v/>
      </c>
      <c r="W62" s="286">
        <f>IF($A62="","",MEDIAN($B$15,$B$16,IFERROR(IF(INDEX(Inputs!$U$6:$U$85,MATCH($A62,Inputs!$A$6:$A$85,0))="",$B$13,INDEX(Inputs!$U$6:$U$85,MATCH($A62,Inputs!$A$6:$A$85,0))),$B$13)))</f>
        <v>1.4620689655172416</v>
      </c>
      <c r="X62" s="288" t="str">
        <f t="shared" si="13"/>
        <v/>
      </c>
      <c r="Y62" s="288" t="str">
        <f t="shared" si="13"/>
        <v/>
      </c>
      <c r="Z62" s="288" t="str">
        <f t="shared" si="13"/>
        <v/>
      </c>
      <c r="AA62" s="288" t="str">
        <f t="shared" si="13"/>
        <v/>
      </c>
    </row>
    <row r="63" spans="1:27" x14ac:dyDescent="0.3">
      <c r="A63" s="224" t="str">
        <f>IF(Deliverables!$A41="","",Deliverables!$A41)</f>
        <v>S24014-0104D</v>
      </c>
      <c r="B63" s="227" t="str">
        <f>IF($A63="","",Deliverables!$C41)</f>
        <v>Report</v>
      </c>
      <c r="C63" s="227" t="str">
        <f>IF($A63="","",Deliverables!$D41)</f>
        <v>SA</v>
      </c>
      <c r="D63" s="227" t="str">
        <f>IF($A63="","",Deliverables!$G41)</f>
        <v>Comments closed</v>
      </c>
      <c r="E63" s="227" t="str">
        <f>IF($A63="","",IFERROR(INDEX(Inputs!$F$6:$F$85,MATCH($A63,Inputs!$A$6:$A$85,0)),"not in register"))</f>
        <v>Finalized</v>
      </c>
      <c r="F63" s="264">
        <f>IF($A63="","",IF(Deliverables!$H41="",0,Deliverables!$H41))</f>
        <v>1</v>
      </c>
      <c r="G63" s="264">
        <f t="shared" si="1"/>
        <v>0</v>
      </c>
      <c r="H63" s="265">
        <f>IF($A63="","",IFERROR(Deliverables!$E41*INDEX(Inputs!$C$6:$C$85,MATCH($A63,Inputs!$A$6:$A$85,0)),0))</f>
        <v>12.03</v>
      </c>
      <c r="I63" s="265">
        <f t="shared" si="2"/>
        <v>12.03</v>
      </c>
      <c r="J63" s="265">
        <f t="shared" si="3"/>
        <v>0</v>
      </c>
      <c r="K63" s="332"/>
      <c r="L63" s="266">
        <f t="shared" si="4"/>
        <v>0</v>
      </c>
      <c r="M63" s="267">
        <f t="shared" si="5"/>
        <v>0</v>
      </c>
      <c r="N63" s="268" t="str">
        <f t="shared" si="6"/>
        <v/>
      </c>
      <c r="O63" s="269" t="str">
        <f t="shared" si="7"/>
        <v/>
      </c>
      <c r="P63" s="270" t="str">
        <f t="shared" si="8"/>
        <v/>
      </c>
      <c r="Q63" s="271" t="str">
        <f t="shared" si="9"/>
        <v/>
      </c>
      <c r="R63" s="272" t="str">
        <f t="shared" si="10"/>
        <v>complete</v>
      </c>
      <c r="S63" s="265" t="str">
        <f t="shared" si="11"/>
        <v/>
      </c>
      <c r="T63" s="267" t="str">
        <f>IF($R63="DO",$M63*Deliverables!K41,"")</f>
        <v/>
      </c>
      <c r="U63" s="267" t="str">
        <f>IF($R63="DO",$M63*Deliverables!L41,"")</f>
        <v/>
      </c>
      <c r="V63" s="267" t="str">
        <f>IF($R63="DO",$M63*Deliverables!M41,"")</f>
        <v/>
      </c>
      <c r="W63" s="286">
        <f>IF($A63="","",MEDIAN($B$15,$B$16,IFERROR(IF(INDEX(Inputs!$U$6:$U$85,MATCH($A63,Inputs!$A$6:$A$85,0))="",$B$13,INDEX(Inputs!$U$6:$U$85,MATCH($A63,Inputs!$A$6:$A$85,0))),$B$13)))</f>
        <v>2</v>
      </c>
      <c r="X63" s="288" t="str">
        <f t="shared" si="13"/>
        <v/>
      </c>
      <c r="Y63" s="288" t="str">
        <f t="shared" si="13"/>
        <v/>
      </c>
      <c r="Z63" s="288" t="str">
        <f t="shared" si="13"/>
        <v/>
      </c>
      <c r="AA63" s="288" t="str">
        <f t="shared" si="13"/>
        <v/>
      </c>
    </row>
    <row r="64" spans="1:27" x14ac:dyDescent="0.3">
      <c r="A64" s="224" t="str">
        <f>IF(Deliverables!$A42="","",Deliverables!$A42)</f>
        <v>S22058-0700D</v>
      </c>
      <c r="B64" s="227" t="str">
        <f>IF($A64="","",Deliverables!$C42)</f>
        <v>Concept Design</v>
      </c>
      <c r="C64" s="227" t="str">
        <f>IF($A64="","",Deliverables!$D42)</f>
        <v>CD</v>
      </c>
      <c r="D64" s="227" t="str">
        <f>IF($A64="","",Deliverables!$G42)</f>
        <v>Client acceptance</v>
      </c>
      <c r="E64" s="227" t="str">
        <f>IF($A64="","",IFERROR(INDEX(Inputs!$F$6:$F$85,MATCH($A64,Inputs!$A$6:$A$85,0)),"not in register"))</f>
        <v>Finalized</v>
      </c>
      <c r="F64" s="264">
        <f>IF($A64="","",IF(Deliverables!$H42="",0,Deliverables!$H42))</f>
        <v>1</v>
      </c>
      <c r="G64" s="264">
        <f t="shared" si="1"/>
        <v>0</v>
      </c>
      <c r="H64" s="265">
        <f>IF($A64="","",IFERROR(Deliverables!$E42*INDEX(Inputs!$C$6:$C$85,MATCH($A64,Inputs!$A$6:$A$85,0)),0))</f>
        <v>6</v>
      </c>
      <c r="I64" s="265">
        <f t="shared" si="2"/>
        <v>6</v>
      </c>
      <c r="J64" s="265">
        <f t="shared" si="3"/>
        <v>0</v>
      </c>
      <c r="K64" s="332"/>
      <c r="L64" s="266">
        <f t="shared" si="4"/>
        <v>0</v>
      </c>
      <c r="M64" s="267">
        <f t="shared" si="5"/>
        <v>0</v>
      </c>
      <c r="N64" s="268" t="str">
        <f t="shared" si="6"/>
        <v/>
      </c>
      <c r="O64" s="269" t="str">
        <f t="shared" si="7"/>
        <v/>
      </c>
      <c r="P64" s="270" t="str">
        <f t="shared" si="8"/>
        <v/>
      </c>
      <c r="Q64" s="271" t="str">
        <f t="shared" si="9"/>
        <v/>
      </c>
      <c r="R64" s="272" t="str">
        <f t="shared" si="10"/>
        <v>complete</v>
      </c>
      <c r="S64" s="265" t="str">
        <f t="shared" si="11"/>
        <v/>
      </c>
      <c r="T64" s="267" t="str">
        <f>IF($R64="DO",$M64*Deliverables!K42,"")</f>
        <v/>
      </c>
      <c r="U64" s="267" t="str">
        <f>IF($R64="DO",$M64*Deliverables!L42,"")</f>
        <v/>
      </c>
      <c r="V64" s="267" t="str">
        <f>IF($R64="DO",$M64*Deliverables!M42,"")</f>
        <v/>
      </c>
      <c r="W64" s="286">
        <f>IF($A64="","",MEDIAN($B$15,$B$16,IFERROR(IF(INDEX(Inputs!$U$6:$U$85,MATCH($A64,Inputs!$A$6:$A$85,0))="",$B$13,INDEX(Inputs!$U$6:$U$85,MATCH($A64,Inputs!$A$6:$A$85,0))),$B$13)))</f>
        <v>1.1727416798732171</v>
      </c>
      <c r="X64" s="288" t="str">
        <f t="shared" si="13"/>
        <v/>
      </c>
      <c r="Y64" s="288" t="str">
        <f t="shared" si="13"/>
        <v/>
      </c>
      <c r="Z64" s="288" t="str">
        <f t="shared" si="13"/>
        <v/>
      </c>
      <c r="AA64" s="288" t="str">
        <f t="shared" si="13"/>
        <v/>
      </c>
    </row>
    <row r="65" spans="1:27" x14ac:dyDescent="0.3">
      <c r="A65" s="224" t="str">
        <f>IF(Deliverables!$A43="","",Deliverables!$A43)</f>
        <v>AN24185-0100R</v>
      </c>
      <c r="B65" s="227" t="str">
        <f>IF($A65="","",Deliverables!$C43)</f>
        <v>Design Review</v>
      </c>
      <c r="C65" s="227" t="str">
        <f>IF($A65="","",Deliverables!$D43)</f>
        <v>DR</v>
      </c>
      <c r="D65" s="227" t="str">
        <f>IF($A65="","",Deliverables!$G43)</f>
        <v>Comment closeout confirmed</v>
      </c>
      <c r="E65" s="227" t="str">
        <f>IF($A65="","",IFERROR(INDEX(Inputs!$F$6:$F$85,MATCH($A65,Inputs!$A$6:$A$85,0)),"not in register"))</f>
        <v>Finalized</v>
      </c>
      <c r="F65" s="264">
        <f>IF($A65="","",IF(Deliverables!$H43="",0,Deliverables!$H43))</f>
        <v>1</v>
      </c>
      <c r="G65" s="264">
        <f t="shared" si="1"/>
        <v>0</v>
      </c>
      <c r="H65" s="265">
        <f>IF($A65="","",IFERROR(Deliverables!$E43*INDEX(Inputs!$C$6:$C$85,MATCH($A65,Inputs!$A$6:$A$85,0)),0))</f>
        <v>4</v>
      </c>
      <c r="I65" s="265">
        <f t="shared" si="2"/>
        <v>4</v>
      </c>
      <c r="J65" s="265">
        <f t="shared" si="3"/>
        <v>0</v>
      </c>
      <c r="K65" s="332"/>
      <c r="L65" s="266">
        <f t="shared" si="4"/>
        <v>0</v>
      </c>
      <c r="M65" s="267">
        <f t="shared" si="5"/>
        <v>0</v>
      </c>
      <c r="N65" s="268" t="str">
        <f t="shared" si="6"/>
        <v/>
      </c>
      <c r="O65" s="269" t="str">
        <f t="shared" si="7"/>
        <v/>
      </c>
      <c r="P65" s="270" t="str">
        <f t="shared" si="8"/>
        <v/>
      </c>
      <c r="Q65" s="271" t="str">
        <f t="shared" si="9"/>
        <v/>
      </c>
      <c r="R65" s="272" t="str">
        <f t="shared" si="10"/>
        <v>complete</v>
      </c>
      <c r="S65" s="265" t="str">
        <f t="shared" si="11"/>
        <v/>
      </c>
      <c r="T65" s="267" t="str">
        <f>IF($R65="DO",$M65*Deliverables!K43,"")</f>
        <v/>
      </c>
      <c r="U65" s="267" t="str">
        <f>IF($R65="DO",$M65*Deliverables!L43,"")</f>
        <v/>
      </c>
      <c r="V65" s="267" t="str">
        <f>IF($R65="DO",$M65*Deliverables!M43,"")</f>
        <v/>
      </c>
      <c r="W65" s="286">
        <f>IF($A65="","",MEDIAN($B$15,$B$16,IFERROR(IF(INDEX(Inputs!$U$6:$U$85,MATCH($A65,Inputs!$A$6:$A$85,0))="",$B$13,INDEX(Inputs!$U$6:$U$85,MATCH($A65,Inputs!$A$6:$A$85,0))),$B$13)))</f>
        <v>1.3509812870835234</v>
      </c>
      <c r="X65" s="288" t="str">
        <f t="shared" si="13"/>
        <v/>
      </c>
      <c r="Y65" s="288" t="str">
        <f t="shared" si="13"/>
        <v/>
      </c>
      <c r="Z65" s="288" t="str">
        <f t="shared" si="13"/>
        <v/>
      </c>
      <c r="AA65" s="288" t="str">
        <f t="shared" si="13"/>
        <v/>
      </c>
    </row>
    <row r="66" spans="1:27" x14ac:dyDescent="0.3">
      <c r="A66" s="224" t="str">
        <f>IF(Deliverables!$A44="","",Deliverables!$A44)</f>
        <v>AN23232-0100D</v>
      </c>
      <c r="B66" s="227" t="str">
        <f>IF($A66="","",Deliverables!$C44)</f>
        <v>Concept Design</v>
      </c>
      <c r="C66" s="227" t="str">
        <f>IF($A66="","",Deliverables!$D44)</f>
        <v>CD</v>
      </c>
      <c r="D66" s="227" t="str">
        <f>IF($A66="","",Deliverables!$G44)</f>
        <v>Client acceptance</v>
      </c>
      <c r="E66" s="227" t="str">
        <f>IF($A66="","",IFERROR(INDEX(Inputs!$F$6:$F$85,MATCH($A66,Inputs!$A$6:$A$85,0)),"not in register"))</f>
        <v>Finalized</v>
      </c>
      <c r="F66" s="264">
        <f>IF($A66="","",IF(Deliverables!$H44="",0,Deliverables!$H44))</f>
        <v>1</v>
      </c>
      <c r="G66" s="264">
        <f t="shared" si="1"/>
        <v>0</v>
      </c>
      <c r="H66" s="265">
        <f>IF($A66="","",IFERROR(Deliverables!$E44*INDEX(Inputs!$C$6:$C$85,MATCH($A66,Inputs!$A$6:$A$85,0)),0))</f>
        <v>3</v>
      </c>
      <c r="I66" s="265">
        <f t="shared" si="2"/>
        <v>3</v>
      </c>
      <c r="J66" s="265">
        <f t="shared" si="3"/>
        <v>0</v>
      </c>
      <c r="K66" s="332"/>
      <c r="L66" s="266">
        <f t="shared" si="4"/>
        <v>0</v>
      </c>
      <c r="M66" s="267">
        <f t="shared" si="5"/>
        <v>0</v>
      </c>
      <c r="N66" s="268" t="str">
        <f t="shared" si="6"/>
        <v/>
      </c>
      <c r="O66" s="269" t="str">
        <f t="shared" si="7"/>
        <v/>
      </c>
      <c r="P66" s="270" t="str">
        <f t="shared" si="8"/>
        <v/>
      </c>
      <c r="Q66" s="271" t="str">
        <f t="shared" si="9"/>
        <v/>
      </c>
      <c r="R66" s="272" t="str">
        <f t="shared" si="10"/>
        <v>complete</v>
      </c>
      <c r="S66" s="265" t="str">
        <f t="shared" si="11"/>
        <v/>
      </c>
      <c r="T66" s="267" t="str">
        <f>IF($R66="DO",$M66*Deliverables!K44,"")</f>
        <v/>
      </c>
      <c r="U66" s="267" t="str">
        <f>IF($R66="DO",$M66*Deliverables!L44,"")</f>
        <v/>
      </c>
      <c r="V66" s="267" t="str">
        <f>IF($R66="DO",$M66*Deliverables!M44,"")</f>
        <v/>
      </c>
      <c r="W66" s="286">
        <f>IF($A66="","",MEDIAN($B$15,$B$16,IFERROR(IF(INDEX(Inputs!$U$6:$U$85,MATCH($A66,Inputs!$A$6:$A$85,0))="",$B$13,INDEX(Inputs!$U$6:$U$85,MATCH($A66,Inputs!$A$6:$A$85,0))),$B$13)))</f>
        <v>0.9083469721767593</v>
      </c>
      <c r="X66" s="288" t="str">
        <f t="shared" si="13"/>
        <v/>
      </c>
      <c r="Y66" s="288" t="str">
        <f t="shared" si="13"/>
        <v/>
      </c>
      <c r="Z66" s="288" t="str">
        <f t="shared" si="13"/>
        <v/>
      </c>
      <c r="AA66" s="288" t="str">
        <f t="shared" si="13"/>
        <v/>
      </c>
    </row>
    <row r="67" spans="1:27" x14ac:dyDescent="0.3">
      <c r="A67" s="224" t="str">
        <f>IF(Deliverables!$A45="","",Deliverables!$A45)</f>
        <v>S22058-0400D</v>
      </c>
      <c r="B67" s="227" t="str">
        <f>IF($A67="","",Deliverables!$C45)</f>
        <v>Concept Design</v>
      </c>
      <c r="C67" s="227" t="str">
        <f>IF($A67="","",Deliverables!$D45)</f>
        <v>CD</v>
      </c>
      <c r="D67" s="227" t="str">
        <f>IF($A67="","",Deliverables!$G45)</f>
        <v>Client acceptance</v>
      </c>
      <c r="E67" s="227" t="str">
        <f>IF($A67="","",IFERROR(INDEX(Inputs!$F$6:$F$85,MATCH($A67,Inputs!$A$6:$A$85,0)),"not in register"))</f>
        <v>Finalized</v>
      </c>
      <c r="F67" s="264">
        <f>IF($A67="","",IF(Deliverables!$H45="",0,Deliverables!$H45))</f>
        <v>1</v>
      </c>
      <c r="G67" s="264">
        <f t="shared" si="1"/>
        <v>0</v>
      </c>
      <c r="H67" s="265">
        <f>IF($A67="","",IFERROR(Deliverables!$E45*INDEX(Inputs!$C$6:$C$85,MATCH($A67,Inputs!$A$6:$A$85,0)),0))</f>
        <v>0.5</v>
      </c>
      <c r="I67" s="265">
        <f t="shared" si="2"/>
        <v>0.5</v>
      </c>
      <c r="J67" s="265">
        <f t="shared" si="3"/>
        <v>0</v>
      </c>
      <c r="K67" s="332"/>
      <c r="L67" s="266">
        <f t="shared" si="4"/>
        <v>0</v>
      </c>
      <c r="M67" s="267">
        <f t="shared" si="5"/>
        <v>0</v>
      </c>
      <c r="N67" s="268" t="str">
        <f t="shared" si="6"/>
        <v/>
      </c>
      <c r="O67" s="269" t="str">
        <f t="shared" si="7"/>
        <v/>
      </c>
      <c r="P67" s="270" t="str">
        <f t="shared" si="8"/>
        <v/>
      </c>
      <c r="Q67" s="271" t="str">
        <f t="shared" si="9"/>
        <v/>
      </c>
      <c r="R67" s="272" t="str">
        <f t="shared" si="10"/>
        <v>complete</v>
      </c>
      <c r="S67" s="265" t="str">
        <f t="shared" si="11"/>
        <v/>
      </c>
      <c r="T67" s="267" t="str">
        <f>IF($R67="DO",$M67*Deliverables!K45,"")</f>
        <v/>
      </c>
      <c r="U67" s="267" t="str">
        <f>IF($R67="DO",$M67*Deliverables!L45,"")</f>
        <v/>
      </c>
      <c r="V67" s="267" t="str">
        <f>IF($R67="DO",$M67*Deliverables!M45,"")</f>
        <v/>
      </c>
      <c r="W67" s="286">
        <f>IF($A67="","",MEDIAN($B$15,$B$16,IFERROR(IF(INDEX(Inputs!$U$6:$U$85,MATCH($A67,Inputs!$A$6:$A$85,0))="",$B$13,INDEX(Inputs!$U$6:$U$85,MATCH($A67,Inputs!$A$6:$A$85,0))),$B$13)))</f>
        <v>2</v>
      </c>
      <c r="X67" s="288" t="str">
        <f t="shared" si="13"/>
        <v/>
      </c>
      <c r="Y67" s="288" t="str">
        <f t="shared" si="13"/>
        <v/>
      </c>
      <c r="Z67" s="288" t="str">
        <f t="shared" si="13"/>
        <v/>
      </c>
      <c r="AA67" s="288" t="str">
        <f t="shared" si="13"/>
        <v/>
      </c>
    </row>
    <row r="68" spans="1:27" x14ac:dyDescent="0.3">
      <c r="A68" s="224" t="str">
        <f>IF(Deliverables!$A46="","",Deliverables!$A46)</f>
        <v>Proposals 25</v>
      </c>
      <c r="B68" s="227" t="str">
        <f>IF($A68="","",Deliverables!$C46)</f>
        <v>Proposals</v>
      </c>
      <c r="C68" s="227" t="str">
        <f>IF($A68="","",Deliverables!$D46)</f>
        <v>PP</v>
      </c>
      <c r="D68" s="227" t="str">
        <f>IF($A68="","",Deliverables!$G46)</f>
        <v>Proposal submitted</v>
      </c>
      <c r="E68" s="227" t="str">
        <f>IF($A68="","",IFERROR(INDEX(Inputs!$F$6:$F$85,MATCH($A68,Inputs!$A$6:$A$85,0)),"not in register"))</f>
        <v>Finalized</v>
      </c>
      <c r="F68" s="264">
        <f>IF($A68="","",IF(Deliverables!$H46="",0,Deliverables!$H46))</f>
        <v>1</v>
      </c>
      <c r="G68" s="264">
        <f t="shared" si="1"/>
        <v>0</v>
      </c>
      <c r="H68" s="265">
        <f>IF($A68="","",IFERROR(Deliverables!$E46*INDEX(Inputs!$C$6:$C$85,MATCH($A68,Inputs!$A$6:$A$85,0)),0))</f>
        <v>1.9</v>
      </c>
      <c r="I68" s="265">
        <f t="shared" si="2"/>
        <v>1.9</v>
      </c>
      <c r="J68" s="265">
        <f t="shared" si="3"/>
        <v>0</v>
      </c>
      <c r="K68" s="332"/>
      <c r="L68" s="266">
        <f t="shared" si="4"/>
        <v>0</v>
      </c>
      <c r="M68" s="267">
        <f t="shared" si="5"/>
        <v>0</v>
      </c>
      <c r="N68" s="268" t="str">
        <f t="shared" si="6"/>
        <v/>
      </c>
      <c r="O68" s="269" t="str">
        <f t="shared" si="7"/>
        <v/>
      </c>
      <c r="P68" s="270" t="str">
        <f t="shared" si="8"/>
        <v/>
      </c>
      <c r="Q68" s="271" t="str">
        <f t="shared" si="9"/>
        <v/>
      </c>
      <c r="R68" s="272" t="str">
        <f t="shared" si="10"/>
        <v>complete</v>
      </c>
      <c r="S68" s="265" t="str">
        <f t="shared" si="11"/>
        <v/>
      </c>
      <c r="T68" s="267" t="str">
        <f>IF($R68="DO",$M68*Deliverables!K46,"")</f>
        <v/>
      </c>
      <c r="U68" s="267" t="str">
        <f>IF($R68="DO",$M68*Deliverables!L46,"")</f>
        <v/>
      </c>
      <c r="V68" s="267" t="str">
        <f>IF($R68="DO",$M68*Deliverables!M46,"")</f>
        <v/>
      </c>
      <c r="W68" s="286">
        <f>IF($A68="","",MEDIAN($B$15,$B$16,IFERROR(IF(INDEX(Inputs!$U$6:$U$85,MATCH($A68,Inputs!$A$6:$A$85,0))="",$B$13,INDEX(Inputs!$U$6:$U$85,MATCH($A68,Inputs!$A$6:$A$85,0))),$B$13)))</f>
        <v>0.91180285343709455</v>
      </c>
      <c r="X68" s="288" t="str">
        <f t="shared" ref="X68:AA87" si="14">IF($R68&lt;&gt;"DO","",MAX(0,MIN($Q68,X$25*$B$8)-MAX($Q68-$L68,(X$25-1)*$B$8))*$B$5)</f>
        <v/>
      </c>
      <c r="Y68" s="288" t="str">
        <f t="shared" si="14"/>
        <v/>
      </c>
      <c r="Z68" s="288" t="str">
        <f t="shared" si="14"/>
        <v/>
      </c>
      <c r="AA68" s="288" t="str">
        <f t="shared" si="14"/>
        <v/>
      </c>
    </row>
    <row r="69" spans="1:27" x14ac:dyDescent="0.3">
      <c r="A69" s="224" t="str">
        <f>IF(Deliverables!$A47="","",Deliverables!$A47)</f>
        <v>Chargable Proposals 25</v>
      </c>
      <c r="B69" s="227" t="str">
        <f>IF($A69="","",Deliverables!$C47)</f>
        <v>Proposals</v>
      </c>
      <c r="C69" s="227" t="str">
        <f>IF($A69="","",Deliverables!$D47)</f>
        <v>PP</v>
      </c>
      <c r="D69" s="227" t="str">
        <f>IF($A69="","",Deliverables!$G47)</f>
        <v>Proposal submitted</v>
      </c>
      <c r="E69" s="227" t="str">
        <f>IF($A69="","",IFERROR(INDEX(Inputs!$F$6:$F$85,MATCH($A69,Inputs!$A$6:$A$85,0)),"not in register"))</f>
        <v>Finalized</v>
      </c>
      <c r="F69" s="264">
        <f>IF($A69="","",IF(Deliverables!$H47="",0,Deliverables!$H47))</f>
        <v>1</v>
      </c>
      <c r="G69" s="264">
        <f t="shared" si="1"/>
        <v>0</v>
      </c>
      <c r="H69" s="265">
        <f>IF($A69="","",IFERROR(Deliverables!$E47*INDEX(Inputs!$C$6:$C$85,MATCH($A69,Inputs!$A$6:$A$85,0)),0))</f>
        <v>3</v>
      </c>
      <c r="I69" s="265">
        <f t="shared" si="2"/>
        <v>3</v>
      </c>
      <c r="J69" s="265">
        <f t="shared" si="3"/>
        <v>0</v>
      </c>
      <c r="K69" s="332"/>
      <c r="L69" s="266">
        <f t="shared" si="4"/>
        <v>0</v>
      </c>
      <c r="M69" s="267">
        <f t="shared" si="5"/>
        <v>0</v>
      </c>
      <c r="N69" s="268" t="str">
        <f t="shared" si="6"/>
        <v/>
      </c>
      <c r="O69" s="269" t="str">
        <f t="shared" si="7"/>
        <v/>
      </c>
      <c r="P69" s="270" t="str">
        <f t="shared" si="8"/>
        <v/>
      </c>
      <c r="Q69" s="271" t="str">
        <f t="shared" si="9"/>
        <v/>
      </c>
      <c r="R69" s="272" t="str">
        <f t="shared" si="10"/>
        <v>complete</v>
      </c>
      <c r="S69" s="265" t="str">
        <f t="shared" si="11"/>
        <v/>
      </c>
      <c r="T69" s="267" t="str">
        <f>IF($R69="DO",$M69*Deliverables!K47,"")</f>
        <v/>
      </c>
      <c r="U69" s="267" t="str">
        <f>IF($R69="DO",$M69*Deliverables!L47,"")</f>
        <v/>
      </c>
      <c r="V69" s="267" t="str">
        <f>IF($R69="DO",$M69*Deliverables!M47,"")</f>
        <v/>
      </c>
      <c r="W69" s="286">
        <f>IF($A69="","",MEDIAN($B$15,$B$16,IFERROR(IF(INDEX(Inputs!$U$6:$U$85,MATCH($A69,Inputs!$A$6:$A$85,0))="",$B$13,INDEX(Inputs!$U$6:$U$85,MATCH($A69,Inputs!$A$6:$A$85,0))),$B$13)))</f>
        <v>0.76079506511309114</v>
      </c>
      <c r="X69" s="288" t="str">
        <f t="shared" si="14"/>
        <v/>
      </c>
      <c r="Y69" s="288" t="str">
        <f t="shared" si="14"/>
        <v/>
      </c>
      <c r="Z69" s="288" t="str">
        <f t="shared" si="14"/>
        <v/>
      </c>
      <c r="AA69" s="288" t="str">
        <f t="shared" si="14"/>
        <v/>
      </c>
    </row>
    <row r="70" spans="1:27" x14ac:dyDescent="0.3">
      <c r="A70" s="224" t="str">
        <f>IF(Deliverables!$A48="","",Deliverables!$A48)</f>
        <v>AN21146-0100R</v>
      </c>
      <c r="B70" s="227" t="str">
        <f>IF($A70="","",Deliverables!$C48)</f>
        <v>Design Review</v>
      </c>
      <c r="C70" s="227" t="str">
        <f>IF($A70="","",Deliverables!$D48)</f>
        <v>DR</v>
      </c>
      <c r="D70" s="227" t="str">
        <f>IF($A70="","",Deliverables!$G48)</f>
        <v>Comment closeout confirmed</v>
      </c>
      <c r="E70" s="227" t="str">
        <f>IF($A70="","",IFERROR(INDEX(Inputs!$F$6:$F$85,MATCH($A70,Inputs!$A$6:$A$85,0)),"not in register"))</f>
        <v>Finalized</v>
      </c>
      <c r="F70" s="264">
        <f>IF($A70="","",IF(Deliverables!$H48="",0,Deliverables!$H48))</f>
        <v>1</v>
      </c>
      <c r="G70" s="264">
        <f t="shared" si="1"/>
        <v>0</v>
      </c>
      <c r="H70" s="265">
        <f>IF($A70="","",IFERROR(Deliverables!$E48*INDEX(Inputs!$C$6:$C$85,MATCH($A70,Inputs!$A$6:$A$85,0)),0))</f>
        <v>3</v>
      </c>
      <c r="I70" s="265">
        <f t="shared" si="2"/>
        <v>3</v>
      </c>
      <c r="J70" s="265">
        <f t="shared" si="3"/>
        <v>0</v>
      </c>
      <c r="K70" s="332"/>
      <c r="L70" s="266">
        <f t="shared" si="4"/>
        <v>0</v>
      </c>
      <c r="M70" s="267">
        <f t="shared" si="5"/>
        <v>0</v>
      </c>
      <c r="N70" s="268" t="str">
        <f t="shared" si="6"/>
        <v/>
      </c>
      <c r="O70" s="269" t="str">
        <f t="shared" si="7"/>
        <v/>
      </c>
      <c r="P70" s="270" t="str">
        <f t="shared" si="8"/>
        <v/>
      </c>
      <c r="Q70" s="271" t="str">
        <f t="shared" si="9"/>
        <v/>
      </c>
      <c r="R70" s="272" t="str">
        <f t="shared" si="10"/>
        <v>complete</v>
      </c>
      <c r="S70" s="265" t="str">
        <f t="shared" si="11"/>
        <v/>
      </c>
      <c r="T70" s="267" t="str">
        <f>IF($R70="DO",$M70*Deliverables!K48,"")</f>
        <v/>
      </c>
      <c r="U70" s="267" t="str">
        <f>IF($R70="DO",$M70*Deliverables!L48,"")</f>
        <v/>
      </c>
      <c r="V70" s="267" t="str">
        <f>IF($R70="DO",$M70*Deliverables!M48,"")</f>
        <v/>
      </c>
      <c r="W70" s="286">
        <f>IF($A70="","",MEDIAN($B$15,$B$16,IFERROR(IF(INDEX(Inputs!$U$6:$U$85,MATCH($A70,Inputs!$A$6:$A$85,0))="",$B$13,INDEX(Inputs!$U$6:$U$85,MATCH($A70,Inputs!$A$6:$A$85,0))),$B$13)))</f>
        <v>2</v>
      </c>
      <c r="X70" s="288" t="str">
        <f t="shared" si="14"/>
        <v/>
      </c>
      <c r="Y70" s="288" t="str">
        <f t="shared" si="14"/>
        <v/>
      </c>
      <c r="Z70" s="288" t="str">
        <f t="shared" si="14"/>
        <v/>
      </c>
      <c r="AA70" s="288" t="str">
        <f t="shared" si="14"/>
        <v/>
      </c>
    </row>
    <row r="71" spans="1:27" x14ac:dyDescent="0.3">
      <c r="A71" s="224" t="str">
        <f>IF(Deliverables!$A49="","",Deliverables!$A49)</f>
        <v>N23106-0100D</v>
      </c>
      <c r="B71" s="227" t="str">
        <f>IF($A71="","",Deliverables!$C49)</f>
        <v>Concept Design</v>
      </c>
      <c r="C71" s="227" t="str">
        <f>IF($A71="","",Deliverables!$D49)</f>
        <v>CD</v>
      </c>
      <c r="D71" s="227" t="str">
        <f>IF($A71="","",Deliverables!$G49)</f>
        <v>Client acceptance</v>
      </c>
      <c r="E71" s="227" t="str">
        <f>IF($A71="","",IFERROR(INDEX(Inputs!$F$6:$F$85,MATCH($A71,Inputs!$A$6:$A$85,0)),"not in register"))</f>
        <v>Finalized</v>
      </c>
      <c r="F71" s="264">
        <f>IF($A71="","",IF(Deliverables!$H49="",0,Deliverables!$H49))</f>
        <v>1</v>
      </c>
      <c r="G71" s="264">
        <f t="shared" si="1"/>
        <v>0</v>
      </c>
      <c r="H71" s="265">
        <f>IF($A71="","",IFERROR(Deliverables!$E49*INDEX(Inputs!$C$6:$C$85,MATCH($A71,Inputs!$A$6:$A$85,0)),0))</f>
        <v>5</v>
      </c>
      <c r="I71" s="265">
        <f t="shared" si="2"/>
        <v>5</v>
      </c>
      <c r="J71" s="265">
        <f t="shared" si="3"/>
        <v>0</v>
      </c>
      <c r="K71" s="332"/>
      <c r="L71" s="266">
        <f t="shared" si="4"/>
        <v>0</v>
      </c>
      <c r="M71" s="267">
        <f t="shared" si="5"/>
        <v>0</v>
      </c>
      <c r="N71" s="268" t="str">
        <f t="shared" si="6"/>
        <v/>
      </c>
      <c r="O71" s="269" t="str">
        <f t="shared" si="7"/>
        <v/>
      </c>
      <c r="P71" s="270" t="str">
        <f t="shared" si="8"/>
        <v/>
      </c>
      <c r="Q71" s="271" t="str">
        <f t="shared" si="9"/>
        <v/>
      </c>
      <c r="R71" s="272" t="str">
        <f t="shared" si="10"/>
        <v>complete</v>
      </c>
      <c r="S71" s="265" t="str">
        <f t="shared" si="11"/>
        <v/>
      </c>
      <c r="T71" s="267" t="str">
        <f>IF($R71="DO",$M71*Deliverables!K49,"")</f>
        <v/>
      </c>
      <c r="U71" s="267" t="str">
        <f>IF($R71="DO",$M71*Deliverables!L49,"")</f>
        <v/>
      </c>
      <c r="V71" s="267" t="str">
        <f>IF($R71="DO",$M71*Deliverables!M49,"")</f>
        <v/>
      </c>
      <c r="W71" s="286">
        <f>IF($A71="","",MEDIAN($B$15,$B$16,IFERROR(IF(INDEX(Inputs!$U$6:$U$85,MATCH($A71,Inputs!$A$6:$A$85,0))="",$B$13,INDEX(Inputs!$U$6:$U$85,MATCH($A71,Inputs!$A$6:$A$85,0))),$B$13)))</f>
        <v>1.505288852725793</v>
      </c>
      <c r="X71" s="288" t="str">
        <f t="shared" si="14"/>
        <v/>
      </c>
      <c r="Y71" s="288" t="str">
        <f t="shared" si="14"/>
        <v/>
      </c>
      <c r="Z71" s="288" t="str">
        <f t="shared" si="14"/>
        <v/>
      </c>
      <c r="AA71" s="288" t="str">
        <f t="shared" si="14"/>
        <v/>
      </c>
    </row>
    <row r="72" spans="1:27" x14ac:dyDescent="0.3">
      <c r="A72" s="224" t="str">
        <f>IF(Deliverables!$A50="","",Deliverables!$A50)</f>
        <v>OM23030-0100D</v>
      </c>
      <c r="B72" s="227" t="str">
        <f>IF($A72="","",Deliverables!$C50)</f>
        <v>Tender Design</v>
      </c>
      <c r="C72" s="227" t="str">
        <f>IF($A72="","",Deliverables!$D50)</f>
        <v>TD</v>
      </c>
      <c r="D72" s="227" t="str">
        <f>IF($A72="","",Deliverables!$G50)</f>
        <v>Tender queries and addenda closed</v>
      </c>
      <c r="E72" s="227" t="str">
        <f>IF($A72="","",IFERROR(INDEX(Inputs!$F$6:$F$85,MATCH($A72,Inputs!$A$6:$A$85,0)),"not in register"))</f>
        <v>Finalized</v>
      </c>
      <c r="F72" s="264">
        <f>IF($A72="","",IF(Deliverables!$H50="",0,Deliverables!$H50))</f>
        <v>1</v>
      </c>
      <c r="G72" s="264">
        <f t="shared" si="1"/>
        <v>0</v>
      </c>
      <c r="H72" s="265">
        <f>IF($A72="","",IFERROR(Deliverables!$E50*INDEX(Inputs!$C$6:$C$85,MATCH($A72,Inputs!$A$6:$A$85,0)),0))</f>
        <v>0.25</v>
      </c>
      <c r="I72" s="265">
        <f t="shared" si="2"/>
        <v>0.25</v>
      </c>
      <c r="J72" s="265">
        <f t="shared" si="3"/>
        <v>0</v>
      </c>
      <c r="K72" s="332"/>
      <c r="L72" s="266">
        <f t="shared" si="4"/>
        <v>0</v>
      </c>
      <c r="M72" s="267">
        <f t="shared" si="5"/>
        <v>0</v>
      </c>
      <c r="N72" s="268" t="str">
        <f t="shared" si="6"/>
        <v/>
      </c>
      <c r="O72" s="269" t="str">
        <f t="shared" si="7"/>
        <v/>
      </c>
      <c r="P72" s="270" t="str">
        <f t="shared" si="8"/>
        <v/>
      </c>
      <c r="Q72" s="271" t="str">
        <f t="shared" si="9"/>
        <v/>
      </c>
      <c r="R72" s="272" t="str">
        <f t="shared" si="10"/>
        <v>complete</v>
      </c>
      <c r="S72" s="265" t="str">
        <f t="shared" si="11"/>
        <v/>
      </c>
      <c r="T72" s="267" t="str">
        <f>IF($R72="DO",$M72*Deliverables!K50,"")</f>
        <v/>
      </c>
      <c r="U72" s="267" t="str">
        <f>IF($R72="DO",$M72*Deliverables!L50,"")</f>
        <v/>
      </c>
      <c r="V72" s="267" t="str">
        <f>IF($R72="DO",$M72*Deliverables!M50,"")</f>
        <v/>
      </c>
      <c r="W72" s="286">
        <f>IF($A72="","",MEDIAN($B$15,$B$16,IFERROR(IF(INDEX(Inputs!$U$6:$U$85,MATCH($A72,Inputs!$A$6:$A$85,0))="",$B$13,INDEX(Inputs!$U$6:$U$85,MATCH($A72,Inputs!$A$6:$A$85,0))),$B$13)))</f>
        <v>1.6972477064220184</v>
      </c>
      <c r="X72" s="288" t="str">
        <f t="shared" si="14"/>
        <v/>
      </c>
      <c r="Y72" s="288" t="str">
        <f t="shared" si="14"/>
        <v/>
      </c>
      <c r="Z72" s="288" t="str">
        <f t="shared" si="14"/>
        <v/>
      </c>
      <c r="AA72" s="288" t="str">
        <f t="shared" si="14"/>
        <v/>
      </c>
    </row>
    <row r="73" spans="1:27" x14ac:dyDescent="0.3">
      <c r="A73" s="224" t="str">
        <f>IF(Deliverables!$A51="","",Deliverables!$A51)</f>
        <v>Chargable Proposals 24</v>
      </c>
      <c r="B73" s="227" t="str">
        <f>IF($A73="","",Deliverables!$C51)</f>
        <v>Proposals</v>
      </c>
      <c r="C73" s="227" t="str">
        <f>IF($A73="","",Deliverables!$D51)</f>
        <v>PP</v>
      </c>
      <c r="D73" s="227" t="str">
        <f>IF($A73="","",Deliverables!$G51)</f>
        <v>Proposal submitted</v>
      </c>
      <c r="E73" s="227" t="str">
        <f>IF($A73="","",IFERROR(INDEX(Inputs!$F$6:$F$85,MATCH($A73,Inputs!$A$6:$A$85,0)),"not in register"))</f>
        <v>Finalized</v>
      </c>
      <c r="F73" s="264">
        <f>IF($A73="","",IF(Deliverables!$H51="",0,Deliverables!$H51))</f>
        <v>1</v>
      </c>
      <c r="G73" s="264">
        <f t="shared" si="1"/>
        <v>0</v>
      </c>
      <c r="H73" s="265">
        <f>IF($A73="","",IFERROR(Deliverables!$E51*INDEX(Inputs!$C$6:$C$85,MATCH($A73,Inputs!$A$6:$A$85,0)),0))</f>
        <v>2.25</v>
      </c>
      <c r="I73" s="265">
        <f t="shared" si="2"/>
        <v>2.25</v>
      </c>
      <c r="J73" s="265">
        <f t="shared" si="3"/>
        <v>0</v>
      </c>
      <c r="K73" s="332"/>
      <c r="L73" s="266">
        <f t="shared" si="4"/>
        <v>0</v>
      </c>
      <c r="M73" s="267">
        <f t="shared" si="5"/>
        <v>0</v>
      </c>
      <c r="N73" s="268" t="str">
        <f t="shared" si="6"/>
        <v/>
      </c>
      <c r="O73" s="269" t="str">
        <f t="shared" si="7"/>
        <v/>
      </c>
      <c r="P73" s="270" t="str">
        <f t="shared" si="8"/>
        <v/>
      </c>
      <c r="Q73" s="271" t="str">
        <f t="shared" si="9"/>
        <v/>
      </c>
      <c r="R73" s="272" t="str">
        <f t="shared" si="10"/>
        <v>complete</v>
      </c>
      <c r="S73" s="265" t="str">
        <f t="shared" si="11"/>
        <v/>
      </c>
      <c r="T73" s="267" t="str">
        <f>IF($R73="DO",$M73*Deliverables!K51,"")</f>
        <v/>
      </c>
      <c r="U73" s="267" t="str">
        <f>IF($R73="DO",$M73*Deliverables!L51,"")</f>
        <v/>
      </c>
      <c r="V73" s="267" t="str">
        <f>IF($R73="DO",$M73*Deliverables!M51,"")</f>
        <v/>
      </c>
      <c r="W73" s="286">
        <f>IF($A73="","",MEDIAN($B$15,$B$16,IFERROR(IF(INDEX(Inputs!$U$6:$U$85,MATCH($A73,Inputs!$A$6:$A$85,0))="",$B$13,INDEX(Inputs!$U$6:$U$85,MATCH($A73,Inputs!$A$6:$A$85,0))),$B$13)))</f>
        <v>1.2135568513119535</v>
      </c>
      <c r="X73" s="288" t="str">
        <f t="shared" si="14"/>
        <v/>
      </c>
      <c r="Y73" s="288" t="str">
        <f t="shared" si="14"/>
        <v/>
      </c>
      <c r="Z73" s="288" t="str">
        <f t="shared" si="14"/>
        <v/>
      </c>
      <c r="AA73" s="288" t="str">
        <f t="shared" si="14"/>
        <v/>
      </c>
    </row>
    <row r="74" spans="1:27" x14ac:dyDescent="0.3">
      <c r="A74" s="224" t="str">
        <f>IF(Deliverables!$A52="","",Deliverables!$A52)</f>
        <v>Proposals 24</v>
      </c>
      <c r="B74" s="227" t="str">
        <f>IF($A74="","",Deliverables!$C52)</f>
        <v>Proposals</v>
      </c>
      <c r="C74" s="227" t="str">
        <f>IF($A74="","",Deliverables!$D52)</f>
        <v>PP</v>
      </c>
      <c r="D74" s="227" t="str">
        <f>IF($A74="","",Deliverables!$G52)</f>
        <v>Proposal submitted</v>
      </c>
      <c r="E74" s="227" t="str">
        <f>IF($A74="","",IFERROR(INDEX(Inputs!$F$6:$F$85,MATCH($A74,Inputs!$A$6:$A$85,0)),"not in register"))</f>
        <v>Finalized</v>
      </c>
      <c r="F74" s="264">
        <f>IF($A74="","",IF(Deliverables!$H52="",0,Deliverables!$H52))</f>
        <v>1</v>
      </c>
      <c r="G74" s="264">
        <f t="shared" si="1"/>
        <v>0</v>
      </c>
      <c r="H74" s="265">
        <f>IF($A74="","",IFERROR(Deliverables!$E52*INDEX(Inputs!$C$6:$C$85,MATCH($A74,Inputs!$A$6:$A$85,0)),0))</f>
        <v>1.1000000000000001</v>
      </c>
      <c r="I74" s="265">
        <f t="shared" si="2"/>
        <v>1.1000000000000001</v>
      </c>
      <c r="J74" s="265">
        <f t="shared" si="3"/>
        <v>0</v>
      </c>
      <c r="K74" s="332"/>
      <c r="L74" s="266">
        <f t="shared" si="4"/>
        <v>0</v>
      </c>
      <c r="M74" s="267">
        <f t="shared" si="5"/>
        <v>0</v>
      </c>
      <c r="N74" s="268" t="str">
        <f t="shared" si="6"/>
        <v/>
      </c>
      <c r="O74" s="269" t="str">
        <f t="shared" si="7"/>
        <v/>
      </c>
      <c r="P74" s="270" t="str">
        <f t="shared" si="8"/>
        <v/>
      </c>
      <c r="Q74" s="271" t="str">
        <f t="shared" si="9"/>
        <v/>
      </c>
      <c r="R74" s="272" t="str">
        <f t="shared" si="10"/>
        <v>complete</v>
      </c>
      <c r="S74" s="265" t="str">
        <f t="shared" si="11"/>
        <v/>
      </c>
      <c r="T74" s="267" t="str">
        <f>IF($R74="DO",$M74*Deliverables!K52,"")</f>
        <v/>
      </c>
      <c r="U74" s="267" t="str">
        <f>IF($R74="DO",$M74*Deliverables!L52,"")</f>
        <v/>
      </c>
      <c r="V74" s="267" t="str">
        <f>IF($R74="DO",$M74*Deliverables!M52,"")</f>
        <v/>
      </c>
      <c r="W74" s="286">
        <f>IF($A74="","",MEDIAN($B$15,$B$16,IFERROR(IF(INDEX(Inputs!$U$6:$U$85,MATCH($A74,Inputs!$A$6:$A$85,0))="",$B$13,INDEX(Inputs!$U$6:$U$85,MATCH($A74,Inputs!$A$6:$A$85,0))),$B$13)))</f>
        <v>2</v>
      </c>
      <c r="X74" s="288" t="str">
        <f t="shared" si="14"/>
        <v/>
      </c>
      <c r="Y74" s="288" t="str">
        <f t="shared" si="14"/>
        <v/>
      </c>
      <c r="Z74" s="288" t="str">
        <f t="shared" si="14"/>
        <v/>
      </c>
      <c r="AA74" s="288" t="str">
        <f t="shared" si="14"/>
        <v/>
      </c>
    </row>
    <row r="75" spans="1:27" x14ac:dyDescent="0.3">
      <c r="A75" s="224" t="str">
        <f>IF(Deliverables!$A53="","",Deliverables!$A53)</f>
        <v>S23204-0100D</v>
      </c>
      <c r="B75" s="227" t="str">
        <f>IF($A75="","",Deliverables!$C53)</f>
        <v>Concept Design</v>
      </c>
      <c r="C75" s="227" t="str">
        <f>IF($A75="","",Deliverables!$D53)</f>
        <v>CD</v>
      </c>
      <c r="D75" s="227" t="str">
        <f>IF($A75="","",Deliverables!$G53)</f>
        <v>Client acceptance</v>
      </c>
      <c r="E75" s="227" t="str">
        <f>IF($A75="","",IFERROR(INDEX(Inputs!$F$6:$F$85,MATCH($A75,Inputs!$A$6:$A$85,0)),"not in register"))</f>
        <v>Finalized</v>
      </c>
      <c r="F75" s="264">
        <f>IF($A75="","",IF(Deliverables!$H53="",0,Deliverables!$H53))</f>
        <v>1</v>
      </c>
      <c r="G75" s="264">
        <f t="shared" si="1"/>
        <v>0</v>
      </c>
      <c r="H75" s="265">
        <f>IF($A75="","",IFERROR(Deliverables!$E53*INDEX(Inputs!$C$6:$C$85,MATCH($A75,Inputs!$A$6:$A$85,0)),0))</f>
        <v>1.5</v>
      </c>
      <c r="I75" s="265">
        <f t="shared" si="2"/>
        <v>1.5</v>
      </c>
      <c r="J75" s="265">
        <f t="shared" si="3"/>
        <v>0</v>
      </c>
      <c r="K75" s="332"/>
      <c r="L75" s="266">
        <f t="shared" si="4"/>
        <v>0</v>
      </c>
      <c r="M75" s="267">
        <f t="shared" si="5"/>
        <v>0</v>
      </c>
      <c r="N75" s="268" t="str">
        <f t="shared" si="6"/>
        <v/>
      </c>
      <c r="O75" s="269" t="str">
        <f t="shared" si="7"/>
        <v/>
      </c>
      <c r="P75" s="270" t="str">
        <f t="shared" si="8"/>
        <v/>
      </c>
      <c r="Q75" s="271" t="str">
        <f t="shared" si="9"/>
        <v/>
      </c>
      <c r="R75" s="272" t="str">
        <f t="shared" si="10"/>
        <v>complete</v>
      </c>
      <c r="S75" s="265" t="str">
        <f t="shared" si="11"/>
        <v/>
      </c>
      <c r="T75" s="267" t="str">
        <f>IF($R75="DO",$M75*Deliverables!K53,"")</f>
        <v/>
      </c>
      <c r="U75" s="267" t="str">
        <f>IF($R75="DO",$M75*Deliverables!L53,"")</f>
        <v/>
      </c>
      <c r="V75" s="267" t="str">
        <f>IF($R75="DO",$M75*Deliverables!M53,"")</f>
        <v/>
      </c>
      <c r="W75" s="286">
        <f>IF($A75="","",MEDIAN($B$15,$B$16,IFERROR(IF(INDEX(Inputs!$U$6:$U$85,MATCH($A75,Inputs!$A$6:$A$85,0))="",$B$13,INDEX(Inputs!$U$6:$U$85,MATCH($A75,Inputs!$A$6:$A$85,0))),$B$13)))</f>
        <v>2</v>
      </c>
      <c r="X75" s="288" t="str">
        <f t="shared" si="14"/>
        <v/>
      </c>
      <c r="Y75" s="288" t="str">
        <f t="shared" si="14"/>
        <v/>
      </c>
      <c r="Z75" s="288" t="str">
        <f t="shared" si="14"/>
        <v/>
      </c>
      <c r="AA75" s="288" t="str">
        <f t="shared" si="14"/>
        <v/>
      </c>
    </row>
    <row r="76" spans="1:27" x14ac:dyDescent="0.3">
      <c r="A76" s="224" t="str">
        <f>IF(Deliverables!$A54="","",Deliverables!$A54)</f>
        <v>S24100-0100D</v>
      </c>
      <c r="B76" s="227" t="str">
        <f>IF($A76="","",Deliverables!$C54)</f>
        <v>Concept Design</v>
      </c>
      <c r="C76" s="227" t="str">
        <f>IF($A76="","",Deliverables!$D54)</f>
        <v>CD</v>
      </c>
      <c r="D76" s="227" t="str">
        <f>IF($A76="","",Deliverables!$G54)</f>
        <v>Client acceptance</v>
      </c>
      <c r="E76" s="227" t="str">
        <f>IF($A76="","",IFERROR(INDEX(Inputs!$F$6:$F$85,MATCH($A76,Inputs!$A$6:$A$85,0)),"not in register"))</f>
        <v>Finalized</v>
      </c>
      <c r="F76" s="264">
        <f>IF($A76="","",IF(Deliverables!$H54="",0,Deliverables!$H54))</f>
        <v>1</v>
      </c>
      <c r="G76" s="264">
        <f t="shared" si="1"/>
        <v>0</v>
      </c>
      <c r="H76" s="265">
        <f>IF($A76="","",IFERROR(Deliverables!$E54*INDEX(Inputs!$C$6:$C$85,MATCH($A76,Inputs!$A$6:$A$85,0)),0))</f>
        <v>3</v>
      </c>
      <c r="I76" s="265">
        <f t="shared" si="2"/>
        <v>3</v>
      </c>
      <c r="J76" s="265">
        <f t="shared" si="3"/>
        <v>0</v>
      </c>
      <c r="K76" s="332"/>
      <c r="L76" s="266">
        <f t="shared" si="4"/>
        <v>0</v>
      </c>
      <c r="M76" s="267">
        <f t="shared" si="5"/>
        <v>0</v>
      </c>
      <c r="N76" s="268" t="str">
        <f t="shared" si="6"/>
        <v/>
      </c>
      <c r="O76" s="269" t="str">
        <f t="shared" si="7"/>
        <v/>
      </c>
      <c r="P76" s="270" t="str">
        <f t="shared" si="8"/>
        <v/>
      </c>
      <c r="Q76" s="271" t="str">
        <f t="shared" si="9"/>
        <v/>
      </c>
      <c r="R76" s="272" t="str">
        <f t="shared" si="10"/>
        <v>complete</v>
      </c>
      <c r="S76" s="265" t="str">
        <f t="shared" si="11"/>
        <v/>
      </c>
      <c r="T76" s="267" t="str">
        <f>IF($R76="DO",$M76*Deliverables!K54,"")</f>
        <v/>
      </c>
      <c r="U76" s="267" t="str">
        <f>IF($R76="DO",$M76*Deliverables!L54,"")</f>
        <v/>
      </c>
      <c r="V76" s="267" t="str">
        <f>IF($R76="DO",$M76*Deliverables!M54,"")</f>
        <v/>
      </c>
      <c r="W76" s="286">
        <f>IF($A76="","",MEDIAN($B$15,$B$16,IFERROR(IF(INDEX(Inputs!$U$6:$U$85,MATCH($A76,Inputs!$A$6:$A$85,0))="",$B$13,INDEX(Inputs!$U$6:$U$85,MATCH($A76,Inputs!$A$6:$A$85,0))),$B$13)))</f>
        <v>2</v>
      </c>
      <c r="X76" s="288" t="str">
        <f t="shared" si="14"/>
        <v/>
      </c>
      <c r="Y76" s="288" t="str">
        <f t="shared" si="14"/>
        <v/>
      </c>
      <c r="Z76" s="288" t="str">
        <f t="shared" si="14"/>
        <v/>
      </c>
      <c r="AA76" s="288" t="str">
        <f t="shared" si="14"/>
        <v/>
      </c>
    </row>
    <row r="77" spans="1:27" x14ac:dyDescent="0.3">
      <c r="A77" s="224" t="str">
        <f>IF(Deliverables!$A55="","",Deliverables!$A55)</f>
        <v>TA23011-0100R</v>
      </c>
      <c r="B77" s="227" t="str">
        <f>IF($A77="","",Deliverables!$C55)</f>
        <v>Design Review</v>
      </c>
      <c r="C77" s="227" t="str">
        <f>IF($A77="","",Deliverables!$D55)</f>
        <v>DR</v>
      </c>
      <c r="D77" s="227" t="str">
        <f>IF($A77="","",Deliverables!$G55)</f>
        <v>Comment closeout confirmed</v>
      </c>
      <c r="E77" s="227" t="str">
        <f>IF($A77="","",IFERROR(INDEX(Inputs!$F$6:$F$85,MATCH($A77,Inputs!$A$6:$A$85,0)),"not in register"))</f>
        <v>Finalized</v>
      </c>
      <c r="F77" s="264">
        <f>IF($A77="","",IF(Deliverables!$H55="",0,Deliverables!$H55))</f>
        <v>1</v>
      </c>
      <c r="G77" s="264">
        <f t="shared" si="1"/>
        <v>0</v>
      </c>
      <c r="H77" s="265">
        <f>IF($A77="","",IFERROR(Deliverables!$E55*INDEX(Inputs!$C$6:$C$85,MATCH($A77,Inputs!$A$6:$A$85,0)),0))</f>
        <v>0.1</v>
      </c>
      <c r="I77" s="265">
        <f t="shared" si="2"/>
        <v>0.1</v>
      </c>
      <c r="J77" s="265">
        <f t="shared" si="3"/>
        <v>0</v>
      </c>
      <c r="K77" s="332"/>
      <c r="L77" s="266">
        <f t="shared" si="4"/>
        <v>0</v>
      </c>
      <c r="M77" s="267">
        <f t="shared" si="5"/>
        <v>0</v>
      </c>
      <c r="N77" s="268" t="str">
        <f t="shared" si="6"/>
        <v/>
      </c>
      <c r="O77" s="269" t="str">
        <f t="shared" si="7"/>
        <v/>
      </c>
      <c r="P77" s="270" t="str">
        <f t="shared" si="8"/>
        <v/>
      </c>
      <c r="Q77" s="271" t="str">
        <f t="shared" si="9"/>
        <v/>
      </c>
      <c r="R77" s="272" t="str">
        <f t="shared" si="10"/>
        <v>complete</v>
      </c>
      <c r="S77" s="265" t="str">
        <f t="shared" si="11"/>
        <v/>
      </c>
      <c r="T77" s="267" t="str">
        <f>IF($R77="DO",$M77*Deliverables!K55,"")</f>
        <v/>
      </c>
      <c r="U77" s="267" t="str">
        <f>IF($R77="DO",$M77*Deliverables!L55,"")</f>
        <v/>
      </c>
      <c r="V77" s="267" t="str">
        <f>IF($R77="DO",$M77*Deliverables!M55,"")</f>
        <v/>
      </c>
      <c r="W77" s="286">
        <f>IF($A77="","",MEDIAN($B$15,$B$16,IFERROR(IF(INDEX(Inputs!$U$6:$U$85,MATCH($A77,Inputs!$A$6:$A$85,0))="",$B$13,INDEX(Inputs!$U$6:$U$85,MATCH($A77,Inputs!$A$6:$A$85,0))),$B$13)))</f>
        <v>1.85</v>
      </c>
      <c r="X77" s="288" t="str">
        <f t="shared" si="14"/>
        <v/>
      </c>
      <c r="Y77" s="288" t="str">
        <f t="shared" si="14"/>
        <v/>
      </c>
      <c r="Z77" s="288" t="str">
        <f t="shared" si="14"/>
        <v/>
      </c>
      <c r="AA77" s="288" t="str">
        <f t="shared" si="14"/>
        <v/>
      </c>
    </row>
    <row r="78" spans="1:27" x14ac:dyDescent="0.3">
      <c r="A78" s="224" t="str">
        <f>IF(Deliverables!$A56="","",Deliverables!$A56)</f>
        <v>AN23207-0500D</v>
      </c>
      <c r="B78" s="227" t="str">
        <f>IF($A78="","",Deliverables!$C56)</f>
        <v>Concept Design</v>
      </c>
      <c r="C78" s="227" t="str">
        <f>IF($A78="","",Deliverables!$D56)</f>
        <v>CD</v>
      </c>
      <c r="D78" s="227" t="str">
        <f>IF($A78="","",Deliverables!$G56)</f>
        <v>Option selected and frozen</v>
      </c>
      <c r="E78" s="227" t="str">
        <f>IF($A78="","",IFERROR(INDEX(Inputs!$F$6:$F$85,MATCH($A78,Inputs!$A$6:$A$85,0)),"not in register"))</f>
        <v>On Hold</v>
      </c>
      <c r="F78" s="264">
        <f>IF($A78="","",IF(Deliverables!$H56="",0,Deliverables!$H56))</f>
        <v>0.65</v>
      </c>
      <c r="G78" s="264">
        <f t="shared" si="1"/>
        <v>0.35</v>
      </c>
      <c r="H78" s="265">
        <f>IF($A78="","",IFERROR(Deliverables!$E56*INDEX(Inputs!$C$6:$C$85,MATCH($A78,Inputs!$A$6:$A$85,0)),0))</f>
        <v>1.1499999999999999</v>
      </c>
      <c r="I78" s="265">
        <f t="shared" si="2"/>
        <v>0.74749999999999994</v>
      </c>
      <c r="J78" s="265">
        <f t="shared" si="3"/>
        <v>0.40249999999999997</v>
      </c>
      <c r="K78" s="332"/>
      <c r="L78" s="266">
        <f t="shared" si="4"/>
        <v>0.40249999999999997</v>
      </c>
      <c r="M78" s="267">
        <f t="shared" si="5"/>
        <v>74.462499999999991</v>
      </c>
      <c r="N78" s="268">
        <f t="shared" si="6"/>
        <v>1</v>
      </c>
      <c r="O78" s="269" t="str">
        <f t="shared" si="7"/>
        <v/>
      </c>
      <c r="P78" s="270" t="str">
        <f t="shared" si="8"/>
        <v/>
      </c>
      <c r="Q78" s="271" t="str">
        <f t="shared" si="9"/>
        <v/>
      </c>
      <c r="R78" s="272" t="str">
        <f t="shared" si="10"/>
        <v>not in scope</v>
      </c>
      <c r="S78" s="265" t="str">
        <f t="shared" si="11"/>
        <v/>
      </c>
      <c r="T78" s="267" t="str">
        <f>IF($R78="DO",$M78*Deliverables!K56,"")</f>
        <v/>
      </c>
      <c r="U78" s="267" t="str">
        <f>IF($R78="DO",$M78*Deliverables!L56,"")</f>
        <v/>
      </c>
      <c r="V78" s="267" t="str">
        <f>IF($R78="DO",$M78*Deliverables!M56,"")</f>
        <v/>
      </c>
      <c r="W78" s="286">
        <f>IF($A78="","",MEDIAN($B$15,$B$16,IFERROR(IF(INDEX(Inputs!$U$6:$U$85,MATCH($A78,Inputs!$A$6:$A$85,0))="",$B$13,INDEX(Inputs!$U$6:$U$85,MATCH($A78,Inputs!$A$6:$A$85,0))),$B$13)))</f>
        <v>1</v>
      </c>
      <c r="X78" s="288" t="str">
        <f t="shared" si="14"/>
        <v/>
      </c>
      <c r="Y78" s="288" t="str">
        <f t="shared" si="14"/>
        <v/>
      </c>
      <c r="Z78" s="288" t="str">
        <f t="shared" si="14"/>
        <v/>
      </c>
      <c r="AA78" s="288" t="str">
        <f t="shared" si="14"/>
        <v/>
      </c>
    </row>
    <row r="79" spans="1:27" x14ac:dyDescent="0.3">
      <c r="A79" s="224" t="str">
        <f>IF(Deliverables!$A57="","",Deliverables!$A57)</f>
        <v>AN23276-0100D</v>
      </c>
      <c r="B79" s="227" t="str">
        <f>IF($A79="","",Deliverables!$C57)</f>
        <v>Concept Design</v>
      </c>
      <c r="C79" s="227" t="str">
        <f>IF($A79="","",Deliverables!$D57)</f>
        <v>CD</v>
      </c>
      <c r="D79" s="227" t="str">
        <f>IF($A79="","",Deliverables!$G57)</f>
        <v>Concept report and drawings issued</v>
      </c>
      <c r="E79" s="227" t="str">
        <f>IF($A79="","",IFERROR(INDEX(Inputs!$F$6:$F$85,MATCH($A79,Inputs!$A$6:$A$85,0)),"not in register"))</f>
        <v>On Hold</v>
      </c>
      <c r="F79" s="264">
        <f>IF($A79="","",IF(Deliverables!$H57="",0,Deliverables!$H57))</f>
        <v>0.9</v>
      </c>
      <c r="G79" s="264">
        <f t="shared" si="1"/>
        <v>9.9999999999999978E-2</v>
      </c>
      <c r="H79" s="265">
        <f>IF($A79="","",IFERROR(Deliverables!$E57*INDEX(Inputs!$C$6:$C$85,MATCH($A79,Inputs!$A$6:$A$85,0)),0))</f>
        <v>5</v>
      </c>
      <c r="I79" s="265">
        <f t="shared" si="2"/>
        <v>4.5</v>
      </c>
      <c r="J79" s="265">
        <f t="shared" si="3"/>
        <v>0.49999999999999989</v>
      </c>
      <c r="K79" s="332"/>
      <c r="L79" s="266">
        <f t="shared" si="4"/>
        <v>0.24999999999999994</v>
      </c>
      <c r="M79" s="267">
        <f t="shared" si="5"/>
        <v>46.249999999999993</v>
      </c>
      <c r="N79" s="268">
        <f t="shared" si="6"/>
        <v>2</v>
      </c>
      <c r="O79" s="269" t="str">
        <f t="shared" si="7"/>
        <v/>
      </c>
      <c r="P79" s="270" t="str">
        <f t="shared" si="8"/>
        <v/>
      </c>
      <c r="Q79" s="271" t="str">
        <f t="shared" si="9"/>
        <v/>
      </c>
      <c r="R79" s="272" t="str">
        <f t="shared" si="10"/>
        <v>not in scope</v>
      </c>
      <c r="S79" s="265" t="str">
        <f t="shared" si="11"/>
        <v/>
      </c>
      <c r="T79" s="267" t="str">
        <f>IF($R79="DO",$M79*Deliverables!K57,"")</f>
        <v/>
      </c>
      <c r="U79" s="267" t="str">
        <f>IF($R79="DO",$M79*Deliverables!L57,"")</f>
        <v/>
      </c>
      <c r="V79" s="267" t="str">
        <f>IF($R79="DO",$M79*Deliverables!M57,"")</f>
        <v/>
      </c>
      <c r="W79" s="286">
        <f>IF($A79="","",MEDIAN($B$15,$B$16,IFERROR(IF(INDEX(Inputs!$U$6:$U$85,MATCH($A79,Inputs!$A$6:$A$85,0))="",$B$13,INDEX(Inputs!$U$6:$U$85,MATCH($A79,Inputs!$A$6:$A$85,0))),$B$13)))</f>
        <v>2</v>
      </c>
      <c r="X79" s="288" t="str">
        <f t="shared" si="14"/>
        <v/>
      </c>
      <c r="Y79" s="288" t="str">
        <f t="shared" si="14"/>
        <v/>
      </c>
      <c r="Z79" s="288" t="str">
        <f t="shared" si="14"/>
        <v/>
      </c>
      <c r="AA79" s="288" t="str">
        <f t="shared" si="14"/>
        <v/>
      </c>
    </row>
    <row r="80" spans="1:27" x14ac:dyDescent="0.3">
      <c r="A80" s="224" t="str">
        <f>IF(Deliverables!$A58="","",Deliverables!$A58)</f>
        <v>AN24073-0100D</v>
      </c>
      <c r="B80" s="227" t="str">
        <f>IF($A80="","",Deliverables!$C58)</f>
        <v>Concept Design</v>
      </c>
      <c r="C80" s="227" t="str">
        <f>IF($A80="","",Deliverables!$D58)</f>
        <v>CD</v>
      </c>
      <c r="D80" s="227" t="str">
        <f>IF($A80="","",Deliverables!$G58)</f>
        <v>Concept report and drawings issued</v>
      </c>
      <c r="E80" s="227" t="str">
        <f>IF($A80="","",IFERROR(INDEX(Inputs!$F$6:$F$85,MATCH($A80,Inputs!$A$6:$A$85,0)),"not in register"))</f>
        <v>On Hold</v>
      </c>
      <c r="F80" s="264">
        <f>IF($A80="","",IF(Deliverables!$H58="",0,Deliverables!$H58))</f>
        <v>0.9</v>
      </c>
      <c r="G80" s="264">
        <f t="shared" si="1"/>
        <v>9.9999999999999978E-2</v>
      </c>
      <c r="H80" s="265">
        <f>IF($A80="","",IFERROR(Deliverables!$E58*INDEX(Inputs!$C$6:$C$85,MATCH($A80,Inputs!$A$6:$A$85,0)),0))</f>
        <v>1.25</v>
      </c>
      <c r="I80" s="265">
        <f t="shared" si="2"/>
        <v>1.125</v>
      </c>
      <c r="J80" s="265">
        <f t="shared" si="3"/>
        <v>0.12499999999999997</v>
      </c>
      <c r="K80" s="332"/>
      <c r="L80" s="266">
        <f t="shared" si="4"/>
        <v>0.10270270270270268</v>
      </c>
      <c r="M80" s="267">
        <f t="shared" si="5"/>
        <v>18.999999999999996</v>
      </c>
      <c r="N80" s="268">
        <f t="shared" si="6"/>
        <v>1.2171052631578947</v>
      </c>
      <c r="O80" s="269" t="str">
        <f t="shared" si="7"/>
        <v/>
      </c>
      <c r="P80" s="270" t="str">
        <f t="shared" si="8"/>
        <v/>
      </c>
      <c r="Q80" s="271" t="str">
        <f t="shared" si="9"/>
        <v/>
      </c>
      <c r="R80" s="272" t="str">
        <f t="shared" si="10"/>
        <v>not in scope</v>
      </c>
      <c r="S80" s="265" t="str">
        <f t="shared" si="11"/>
        <v/>
      </c>
      <c r="T80" s="267" t="str">
        <f>IF($R80="DO",$M80*Deliverables!K58,"")</f>
        <v/>
      </c>
      <c r="U80" s="267" t="str">
        <f>IF($R80="DO",$M80*Deliverables!L58,"")</f>
        <v/>
      </c>
      <c r="V80" s="267" t="str">
        <f>IF($R80="DO",$M80*Deliverables!M58,"")</f>
        <v/>
      </c>
      <c r="W80" s="286">
        <f>IF($A80="","",MEDIAN($B$15,$B$16,IFERROR(IF(INDEX(Inputs!$U$6:$U$85,MATCH($A80,Inputs!$A$6:$A$85,0))="",$B$13,INDEX(Inputs!$U$6:$U$85,MATCH($A80,Inputs!$A$6:$A$85,0))),$B$13)))</f>
        <v>1.2171052631578947</v>
      </c>
      <c r="X80" s="288" t="str">
        <f t="shared" si="14"/>
        <v/>
      </c>
      <c r="Y80" s="288" t="str">
        <f t="shared" si="14"/>
        <v/>
      </c>
      <c r="Z80" s="288" t="str">
        <f t="shared" si="14"/>
        <v/>
      </c>
      <c r="AA80" s="288" t="str">
        <f t="shared" si="14"/>
        <v/>
      </c>
    </row>
    <row r="81" spans="1:27" x14ac:dyDescent="0.3">
      <c r="A81" s="224" t="str">
        <f>IF(Deliverables!$A59="","",Deliverables!$A59)</f>
        <v>AN24140-0100R</v>
      </c>
      <c r="B81" s="227" t="str">
        <f>IF($A81="","",Deliverables!$C59)</f>
        <v>Design Review</v>
      </c>
      <c r="C81" s="227" t="str">
        <f>IF($A81="","",Deliverables!$D59)</f>
        <v>DR</v>
      </c>
      <c r="D81" s="227" t="str">
        <f>IF($A81="","",Deliverables!$G59)</f>
        <v>Documents received and logged</v>
      </c>
      <c r="E81" s="227" t="str">
        <f>IF($A81="","",IFERROR(INDEX(Inputs!$F$6:$F$85,MATCH($A81,Inputs!$A$6:$A$85,0)),"not in register"))</f>
        <v>Active</v>
      </c>
      <c r="F81" s="264">
        <f>IF($A81="","",IF(Deliverables!$H59="",0,Deliverables!$H59))</f>
        <v>0.1</v>
      </c>
      <c r="G81" s="264">
        <f t="shared" si="1"/>
        <v>0.9</v>
      </c>
      <c r="H81" s="265">
        <f>IF($A81="","",IFERROR(Deliverables!$E59*INDEX(Inputs!$C$6:$C$85,MATCH($A81,Inputs!$A$6:$A$85,0)),0))</f>
        <v>1.5</v>
      </c>
      <c r="I81" s="265">
        <f t="shared" si="2"/>
        <v>0.15000000000000002</v>
      </c>
      <c r="J81" s="265">
        <f t="shared" si="3"/>
        <v>1.35</v>
      </c>
      <c r="K81" s="332"/>
      <c r="L81" s="266">
        <f t="shared" si="4"/>
        <v>1.9285714285714288</v>
      </c>
      <c r="M81" s="267">
        <f t="shared" si="5"/>
        <v>356.78571428571433</v>
      </c>
      <c r="N81" s="268">
        <f t="shared" si="6"/>
        <v>0.7</v>
      </c>
      <c r="O81" s="269">
        <f t="shared" si="7"/>
        <v>0.69991899999999996</v>
      </c>
      <c r="P81" s="270">
        <f t="shared" si="8"/>
        <v>31</v>
      </c>
      <c r="Q81" s="271">
        <f t="shared" si="9"/>
        <v>27.526206563706566</v>
      </c>
      <c r="R81" s="272" t="str">
        <f t="shared" ca="1" si="10"/>
        <v>DEFER</v>
      </c>
      <c r="S81" s="265" t="str">
        <f t="shared" ca="1" si="11"/>
        <v/>
      </c>
      <c r="T81" s="267" t="str">
        <f ca="1">IF($R81="DO",$M81*Deliverables!K59,"")</f>
        <v/>
      </c>
      <c r="U81" s="267" t="str">
        <f ca="1">IF($R81="DO",$M81*Deliverables!L59,"")</f>
        <v/>
      </c>
      <c r="V81" s="267" t="str">
        <f ca="1">IF($R81="DO",$M81*Deliverables!M59,"")</f>
        <v/>
      </c>
      <c r="W81" s="286">
        <f>IF($A81="","",MEDIAN($B$15,$B$16,IFERROR(IF(INDEX(Inputs!$U$6:$U$85,MATCH($A81,Inputs!$A$6:$A$85,0))="",$B$13,INDEX(Inputs!$U$6:$U$85,MATCH($A81,Inputs!$A$6:$A$85,0))),$B$13)))</f>
        <v>0.7</v>
      </c>
      <c r="X81" s="288" t="str">
        <f t="shared" ca="1" si="14"/>
        <v/>
      </c>
      <c r="Y81" s="288" t="str">
        <f t="shared" ca="1" si="14"/>
        <v/>
      </c>
      <c r="Z81" s="288" t="str">
        <f t="shared" ca="1" si="14"/>
        <v/>
      </c>
      <c r="AA81" s="288" t="str">
        <f t="shared" ca="1" si="14"/>
        <v/>
      </c>
    </row>
    <row r="82" spans="1:27" x14ac:dyDescent="0.3">
      <c r="A82" s="224" t="str">
        <f>IF(Deliverables!$A60="","",Deliverables!$A60)</f>
        <v>CS24035-0100D</v>
      </c>
      <c r="B82" s="227" t="str">
        <f>IF($A82="","",Deliverables!$C60)</f>
        <v>Detailed Design</v>
      </c>
      <c r="C82" s="227" t="str">
        <f>IF($A82="","",Deliverables!$D60)</f>
        <v>DD</v>
      </c>
      <c r="D82" s="227" t="str">
        <f>IF($A82="","",Deliverables!$G60)</f>
        <v>Transmitted to client (IFA/IFC)</v>
      </c>
      <c r="E82" s="227" t="str">
        <f>IF($A82="","",IFERROR(INDEX(Inputs!$F$6:$F$85,MATCH($A82,Inputs!$A$6:$A$85,0)),"not in register"))</f>
        <v>On Hold</v>
      </c>
      <c r="F82" s="264">
        <f>IF($A82="","",IF(Deliverables!$H60="",0,Deliverables!$H60))</f>
        <v>0.85</v>
      </c>
      <c r="G82" s="264">
        <f t="shared" si="1"/>
        <v>0.15000000000000002</v>
      </c>
      <c r="H82" s="265">
        <f>IF($A82="","",IFERROR(Deliverables!$E60*INDEX(Inputs!$C$6:$C$85,MATCH($A82,Inputs!$A$6:$A$85,0)),0))</f>
        <v>4</v>
      </c>
      <c r="I82" s="265">
        <f t="shared" si="2"/>
        <v>3.4</v>
      </c>
      <c r="J82" s="265">
        <f t="shared" si="3"/>
        <v>0.60000000000000009</v>
      </c>
      <c r="K82" s="332"/>
      <c r="L82" s="266">
        <f t="shared" si="4"/>
        <v>0.55278219395866468</v>
      </c>
      <c r="M82" s="267">
        <f t="shared" si="5"/>
        <v>102.26470588235297</v>
      </c>
      <c r="N82" s="268">
        <f t="shared" si="6"/>
        <v>1.08541846419327</v>
      </c>
      <c r="O82" s="269" t="str">
        <f t="shared" si="7"/>
        <v/>
      </c>
      <c r="P82" s="270" t="str">
        <f t="shared" si="8"/>
        <v/>
      </c>
      <c r="Q82" s="271" t="str">
        <f t="shared" si="9"/>
        <v/>
      </c>
      <c r="R82" s="272" t="str">
        <f t="shared" si="10"/>
        <v>not in scope</v>
      </c>
      <c r="S82" s="265" t="str">
        <f t="shared" si="11"/>
        <v/>
      </c>
      <c r="T82" s="267" t="str">
        <f>IF($R82="DO",$M82*Deliverables!K60,"")</f>
        <v/>
      </c>
      <c r="U82" s="267" t="str">
        <f>IF($R82="DO",$M82*Deliverables!L60,"")</f>
        <v/>
      </c>
      <c r="V82" s="267" t="str">
        <f>IF($R82="DO",$M82*Deliverables!M60,"")</f>
        <v/>
      </c>
      <c r="W82" s="286">
        <f>IF($A82="","",MEDIAN($B$15,$B$16,IFERROR(IF(INDEX(Inputs!$U$6:$U$85,MATCH($A82,Inputs!$A$6:$A$85,0))="",$B$13,INDEX(Inputs!$U$6:$U$85,MATCH($A82,Inputs!$A$6:$A$85,0))),$B$13)))</f>
        <v>1.08541846419327</v>
      </c>
      <c r="X82" s="288" t="str">
        <f t="shared" si="14"/>
        <v/>
      </c>
      <c r="Y82" s="288" t="str">
        <f t="shared" si="14"/>
        <v/>
      </c>
      <c r="Z82" s="288" t="str">
        <f t="shared" si="14"/>
        <v/>
      </c>
      <c r="AA82" s="288" t="str">
        <f t="shared" si="14"/>
        <v/>
      </c>
    </row>
    <row r="83" spans="1:27" x14ac:dyDescent="0.3">
      <c r="A83" s="224" t="str">
        <f>IF(Deliverables!$A61="","",Deliverables!$A61)</f>
        <v>AN24135-0100R</v>
      </c>
      <c r="B83" s="227" t="str">
        <f>IF($A83="","",Deliverables!$C61)</f>
        <v>Design Review</v>
      </c>
      <c r="C83" s="227" t="str">
        <f>IF($A83="","",Deliverables!$D61)</f>
        <v>DR</v>
      </c>
      <c r="D83" s="227" t="str">
        <f>IF($A83="","",Deliverables!$G61)</f>
        <v>Documents received and logged</v>
      </c>
      <c r="E83" s="227" t="str">
        <f>IF($A83="","",IFERROR(INDEX(Inputs!$F$6:$F$85,MATCH($A83,Inputs!$A$6:$A$85,0)),"not in register"))</f>
        <v>On Hold</v>
      </c>
      <c r="F83" s="264">
        <f>IF($A83="","",IF(Deliverables!$H61="",0,Deliverables!$H61))</f>
        <v>0.1</v>
      </c>
      <c r="G83" s="264">
        <f t="shared" si="1"/>
        <v>0.9</v>
      </c>
      <c r="H83" s="265">
        <f>IF($A83="","",IFERROR(Deliverables!$E61*INDEX(Inputs!$C$6:$C$85,MATCH($A83,Inputs!$A$6:$A$85,0)),0))</f>
        <v>4</v>
      </c>
      <c r="I83" s="265">
        <f t="shared" si="2"/>
        <v>0.4</v>
      </c>
      <c r="J83" s="265">
        <f t="shared" si="3"/>
        <v>3.6</v>
      </c>
      <c r="K83" s="332"/>
      <c r="L83" s="266">
        <f t="shared" si="4"/>
        <v>5.1428571428571432</v>
      </c>
      <c r="M83" s="267">
        <f t="shared" si="5"/>
        <v>951.42857142857144</v>
      </c>
      <c r="N83" s="268">
        <f t="shared" si="6"/>
        <v>0.7</v>
      </c>
      <c r="O83" s="269" t="str">
        <f t="shared" si="7"/>
        <v/>
      </c>
      <c r="P83" s="270" t="str">
        <f t="shared" si="8"/>
        <v/>
      </c>
      <c r="Q83" s="271" t="str">
        <f t="shared" si="9"/>
        <v/>
      </c>
      <c r="R83" s="272" t="str">
        <f t="shared" si="10"/>
        <v>not in scope</v>
      </c>
      <c r="S83" s="265" t="str">
        <f t="shared" si="11"/>
        <v/>
      </c>
      <c r="T83" s="267" t="str">
        <f>IF($R83="DO",$M83*Deliverables!K61,"")</f>
        <v/>
      </c>
      <c r="U83" s="267" t="str">
        <f>IF($R83="DO",$M83*Deliverables!L61,"")</f>
        <v/>
      </c>
      <c r="V83" s="267" t="str">
        <f>IF($R83="DO",$M83*Deliverables!M61,"")</f>
        <v/>
      </c>
      <c r="W83" s="286">
        <f>IF($A83="","",MEDIAN($B$15,$B$16,IFERROR(IF(INDEX(Inputs!$U$6:$U$85,MATCH($A83,Inputs!$A$6:$A$85,0))="",$B$13,INDEX(Inputs!$U$6:$U$85,MATCH($A83,Inputs!$A$6:$A$85,0))),$B$13)))</f>
        <v>0.7</v>
      </c>
      <c r="X83" s="288" t="str">
        <f t="shared" si="14"/>
        <v/>
      </c>
      <c r="Y83" s="288" t="str">
        <f t="shared" si="14"/>
        <v/>
      </c>
      <c r="Z83" s="288" t="str">
        <f t="shared" si="14"/>
        <v/>
      </c>
      <c r="AA83" s="288" t="str">
        <f t="shared" si="14"/>
        <v/>
      </c>
    </row>
    <row r="84" spans="1:27" x14ac:dyDescent="0.3">
      <c r="A84" s="224" t="str">
        <f>IF(Deliverables!$A62="","",Deliverables!$A62)</f>
        <v>AN23108-0100R</v>
      </c>
      <c r="B84" s="227" t="str">
        <f>IF($A84="","",Deliverables!$C62)</f>
        <v>Design Review</v>
      </c>
      <c r="C84" s="227" t="str">
        <f>IF($A84="","",Deliverables!$D62)</f>
        <v>DR</v>
      </c>
      <c r="D84" s="227" t="str">
        <f>IF($A84="","",Deliverables!$G62)</f>
        <v>Documents received and logged</v>
      </c>
      <c r="E84" s="227" t="str">
        <f>IF($A84="","",IFERROR(INDEX(Inputs!$F$6:$F$85,MATCH($A84,Inputs!$A$6:$A$85,0)),"not in register"))</f>
        <v>On Hold</v>
      </c>
      <c r="F84" s="264">
        <f>IF($A84="","",IF(Deliverables!$H62="",0,Deliverables!$H62))</f>
        <v>0.1</v>
      </c>
      <c r="G84" s="264">
        <f t="shared" si="1"/>
        <v>0.9</v>
      </c>
      <c r="H84" s="265">
        <f>IF($A84="","",IFERROR(Deliverables!$E62*INDEX(Inputs!$C$6:$C$85,MATCH($A84,Inputs!$A$6:$A$85,0)),0))</f>
        <v>2</v>
      </c>
      <c r="I84" s="265">
        <f t="shared" si="2"/>
        <v>0.2</v>
      </c>
      <c r="J84" s="265">
        <f t="shared" si="3"/>
        <v>1.8</v>
      </c>
      <c r="K84" s="332"/>
      <c r="L84" s="266">
        <f t="shared" si="4"/>
        <v>2.5714285714285716</v>
      </c>
      <c r="M84" s="267">
        <f t="shared" si="5"/>
        <v>475.71428571428572</v>
      </c>
      <c r="N84" s="268">
        <f t="shared" si="6"/>
        <v>0.7</v>
      </c>
      <c r="O84" s="269" t="str">
        <f t="shared" si="7"/>
        <v/>
      </c>
      <c r="P84" s="270" t="str">
        <f t="shared" si="8"/>
        <v/>
      </c>
      <c r="Q84" s="271" t="str">
        <f t="shared" si="9"/>
        <v/>
      </c>
      <c r="R84" s="272" t="str">
        <f t="shared" si="10"/>
        <v>not in scope</v>
      </c>
      <c r="S84" s="265" t="str">
        <f t="shared" si="11"/>
        <v/>
      </c>
      <c r="T84" s="267" t="str">
        <f>IF($R84="DO",$M84*Deliverables!K62,"")</f>
        <v/>
      </c>
      <c r="U84" s="267" t="str">
        <f>IF($R84="DO",$M84*Deliverables!L62,"")</f>
        <v/>
      </c>
      <c r="V84" s="267" t="str">
        <f>IF($R84="DO",$M84*Deliverables!M62,"")</f>
        <v/>
      </c>
      <c r="W84" s="286">
        <f>IF($A84="","",MEDIAN($B$15,$B$16,IFERROR(IF(INDEX(Inputs!$U$6:$U$85,MATCH($A84,Inputs!$A$6:$A$85,0))="",$B$13,INDEX(Inputs!$U$6:$U$85,MATCH($A84,Inputs!$A$6:$A$85,0))),$B$13)))</f>
        <v>0.7</v>
      </c>
      <c r="X84" s="288" t="str">
        <f t="shared" si="14"/>
        <v/>
      </c>
      <c r="Y84" s="288" t="str">
        <f t="shared" si="14"/>
        <v/>
      </c>
      <c r="Z84" s="288" t="str">
        <f t="shared" si="14"/>
        <v/>
      </c>
      <c r="AA84" s="288" t="str">
        <f t="shared" si="14"/>
        <v/>
      </c>
    </row>
    <row r="85" spans="1:27" x14ac:dyDescent="0.3">
      <c r="A85" s="224" t="str">
        <f>IF(Deliverables!$A63="","",Deliverables!$A63)</f>
        <v>TA24246-0200R</v>
      </c>
      <c r="B85" s="227" t="str">
        <f>IF($A85="","",Deliverables!$C63)</f>
        <v>Design Review</v>
      </c>
      <c r="C85" s="227" t="str">
        <f>IF($A85="","",Deliverables!$D63)</f>
        <v>DR</v>
      </c>
      <c r="D85" s="227" t="str">
        <f>IF($A85="","",Deliverables!$G63)</f>
        <v>Review complete internally</v>
      </c>
      <c r="E85" s="227" t="str">
        <f>IF($A85="","",IFERROR(INDEX(Inputs!$F$6:$F$85,MATCH($A85,Inputs!$A$6:$A$85,0)),"not in register"))</f>
        <v>On Hold</v>
      </c>
      <c r="F85" s="264">
        <f>IF($A85="","",IF(Deliverables!$H63="",0,Deliverables!$H63))</f>
        <v>0.6</v>
      </c>
      <c r="G85" s="264">
        <f t="shared" si="1"/>
        <v>0.4</v>
      </c>
      <c r="H85" s="265">
        <f>IF($A85="","",IFERROR(Deliverables!$E63*INDEX(Inputs!$C$6:$C$85,MATCH($A85,Inputs!$A$6:$A$85,0)),0))</f>
        <v>1</v>
      </c>
      <c r="I85" s="265">
        <f t="shared" si="2"/>
        <v>0.6</v>
      </c>
      <c r="J85" s="265">
        <f t="shared" si="3"/>
        <v>0.4</v>
      </c>
      <c r="K85" s="332"/>
      <c r="L85" s="266">
        <f t="shared" si="4"/>
        <v>0.57142857142857151</v>
      </c>
      <c r="M85" s="267">
        <f t="shared" si="5"/>
        <v>105.71428571428572</v>
      </c>
      <c r="N85" s="268">
        <f t="shared" si="6"/>
        <v>0.7</v>
      </c>
      <c r="O85" s="269" t="str">
        <f t="shared" si="7"/>
        <v/>
      </c>
      <c r="P85" s="270" t="str">
        <f t="shared" si="8"/>
        <v/>
      </c>
      <c r="Q85" s="271" t="str">
        <f t="shared" si="9"/>
        <v/>
      </c>
      <c r="R85" s="272" t="str">
        <f t="shared" si="10"/>
        <v>not in scope</v>
      </c>
      <c r="S85" s="265" t="str">
        <f t="shared" si="11"/>
        <v/>
      </c>
      <c r="T85" s="267" t="str">
        <f>IF($R85="DO",$M85*Deliverables!K63,"")</f>
        <v/>
      </c>
      <c r="U85" s="267" t="str">
        <f>IF($R85="DO",$M85*Deliverables!L63,"")</f>
        <v/>
      </c>
      <c r="V85" s="267" t="str">
        <f>IF($R85="DO",$M85*Deliverables!M63,"")</f>
        <v/>
      </c>
      <c r="W85" s="286">
        <f>IF($A85="","",MEDIAN($B$15,$B$16,IFERROR(IF(INDEX(Inputs!$U$6:$U$85,MATCH($A85,Inputs!$A$6:$A$85,0))="",$B$13,INDEX(Inputs!$U$6:$U$85,MATCH($A85,Inputs!$A$6:$A$85,0))),$B$13)))</f>
        <v>0.7</v>
      </c>
      <c r="X85" s="288" t="str">
        <f t="shared" si="14"/>
        <v/>
      </c>
      <c r="Y85" s="288" t="str">
        <f t="shared" si="14"/>
        <v/>
      </c>
      <c r="Z85" s="288" t="str">
        <f t="shared" si="14"/>
        <v/>
      </c>
      <c r="AA85" s="288" t="str">
        <f t="shared" si="14"/>
        <v/>
      </c>
    </row>
    <row r="86" spans="1:27" x14ac:dyDescent="0.3">
      <c r="A86" s="224" t="str">
        <f>IF(Deliverables!$A64="","",Deliverables!$A64)</f>
        <v>S22058-0900D</v>
      </c>
      <c r="B86" s="227" t="str">
        <f>IF($A86="","",Deliverables!$C64)</f>
        <v>Concept Design</v>
      </c>
      <c r="C86" s="227" t="str">
        <f>IF($A86="","",Deliverables!$D64)</f>
        <v>CD</v>
      </c>
      <c r="D86" s="227" t="str">
        <f>IF($A86="","",Deliverables!$G64)</f>
        <v>Client acceptance</v>
      </c>
      <c r="E86" s="227" t="str">
        <f>IF($A86="","",IFERROR(INDEX(Inputs!$F$6:$F$85,MATCH($A86,Inputs!$A$6:$A$85,0)),"not in register"))</f>
        <v>Cancelled</v>
      </c>
      <c r="F86" s="264">
        <f>IF($A86="","",IF(Deliverables!$H64="",0,Deliverables!$H64))</f>
        <v>1</v>
      </c>
      <c r="G86" s="264">
        <f t="shared" si="1"/>
        <v>0</v>
      </c>
      <c r="H86" s="265">
        <f>IF($A86="","",IFERROR(Deliverables!$E64*INDEX(Inputs!$C$6:$C$85,MATCH($A86,Inputs!$A$6:$A$85,0)),0))</f>
        <v>0.25</v>
      </c>
      <c r="I86" s="265">
        <f t="shared" si="2"/>
        <v>0.25</v>
      </c>
      <c r="J86" s="265">
        <f t="shared" si="3"/>
        <v>0</v>
      </c>
      <c r="K86" s="332"/>
      <c r="L86" s="266">
        <f t="shared" si="4"/>
        <v>0</v>
      </c>
      <c r="M86" s="267">
        <f t="shared" si="5"/>
        <v>0</v>
      </c>
      <c r="N86" s="268" t="str">
        <f t="shared" si="6"/>
        <v/>
      </c>
      <c r="O86" s="269" t="str">
        <f t="shared" si="7"/>
        <v/>
      </c>
      <c r="P86" s="270" t="str">
        <f t="shared" si="8"/>
        <v/>
      </c>
      <c r="Q86" s="271" t="str">
        <f t="shared" si="9"/>
        <v/>
      </c>
      <c r="R86" s="272" t="str">
        <f t="shared" si="10"/>
        <v>complete</v>
      </c>
      <c r="S86" s="265" t="str">
        <f t="shared" si="11"/>
        <v/>
      </c>
      <c r="T86" s="267" t="str">
        <f>IF($R86="DO",$M86*Deliverables!K64,"")</f>
        <v/>
      </c>
      <c r="U86" s="267" t="str">
        <f>IF($R86="DO",$M86*Deliverables!L64,"")</f>
        <v/>
      </c>
      <c r="V86" s="267" t="str">
        <f>IF($R86="DO",$M86*Deliverables!M64,"")</f>
        <v/>
      </c>
      <c r="W86" s="286">
        <f>IF($A86="","",MEDIAN($B$15,$B$16,IFERROR(IF(INDEX(Inputs!$U$6:$U$85,MATCH($A86,Inputs!$A$6:$A$85,0))="",$B$13,INDEX(Inputs!$U$6:$U$85,MATCH($A86,Inputs!$A$6:$A$85,0))),$B$13)))</f>
        <v>2</v>
      </c>
      <c r="X86" s="288" t="str">
        <f t="shared" si="14"/>
        <v/>
      </c>
      <c r="Y86" s="288" t="str">
        <f t="shared" si="14"/>
        <v/>
      </c>
      <c r="Z86" s="288" t="str">
        <f t="shared" si="14"/>
        <v/>
      </c>
      <c r="AA86" s="288" t="str">
        <f t="shared" si="14"/>
        <v/>
      </c>
    </row>
    <row r="87" spans="1:27" x14ac:dyDescent="0.3">
      <c r="A87" s="224" t="str">
        <f>IF(Deliverables!$A65="","",Deliverables!$A65)</f>
        <v>AD23051-0101D</v>
      </c>
      <c r="B87" s="227" t="str">
        <f>IF($A87="","",Deliverables!$C65)</f>
        <v>Concept Design</v>
      </c>
      <c r="C87" s="227" t="str">
        <f>IF($A87="","",Deliverables!$D65)</f>
        <v>CD</v>
      </c>
      <c r="D87" s="227" t="str">
        <f>IF($A87="","",Deliverables!$G65)</f>
        <v>Client acceptance</v>
      </c>
      <c r="E87" s="227" t="str">
        <f>IF($A87="","",IFERROR(INDEX(Inputs!$F$6:$F$85,MATCH($A87,Inputs!$A$6:$A$85,0)),"not in register"))</f>
        <v>Cancelled</v>
      </c>
      <c r="F87" s="264">
        <f>IF($A87="","",IF(Deliverables!$H65="",0,Deliverables!$H65))</f>
        <v>1</v>
      </c>
      <c r="G87" s="264">
        <f t="shared" si="1"/>
        <v>0</v>
      </c>
      <c r="H87" s="265">
        <f>IF($A87="","",IFERROR(Deliverables!$E65*INDEX(Inputs!$C$6:$C$85,MATCH($A87,Inputs!$A$6:$A$85,0)),0))</f>
        <v>0.5</v>
      </c>
      <c r="I87" s="265">
        <f t="shared" si="2"/>
        <v>0.5</v>
      </c>
      <c r="J87" s="265">
        <f t="shared" si="3"/>
        <v>0</v>
      </c>
      <c r="K87" s="332"/>
      <c r="L87" s="266">
        <f t="shared" si="4"/>
        <v>0</v>
      </c>
      <c r="M87" s="267">
        <f t="shared" si="5"/>
        <v>0</v>
      </c>
      <c r="N87" s="268" t="str">
        <f t="shared" si="6"/>
        <v/>
      </c>
      <c r="O87" s="269" t="str">
        <f t="shared" si="7"/>
        <v/>
      </c>
      <c r="P87" s="270" t="str">
        <f t="shared" si="8"/>
        <v/>
      </c>
      <c r="Q87" s="271" t="str">
        <f t="shared" si="9"/>
        <v/>
      </c>
      <c r="R87" s="272" t="str">
        <f t="shared" si="10"/>
        <v>complete</v>
      </c>
      <c r="S87" s="265" t="str">
        <f t="shared" si="11"/>
        <v/>
      </c>
      <c r="T87" s="267" t="str">
        <f>IF($R87="DO",$M87*Deliverables!K65,"")</f>
        <v/>
      </c>
      <c r="U87" s="267" t="str">
        <f>IF($R87="DO",$M87*Deliverables!L65,"")</f>
        <v/>
      </c>
      <c r="V87" s="267" t="str">
        <f>IF($R87="DO",$M87*Deliverables!M65,"")</f>
        <v/>
      </c>
      <c r="W87" s="286">
        <f>IF($A87="","",MEDIAN($B$15,$B$16,IFERROR(IF(INDEX(Inputs!$U$6:$U$85,MATCH($A87,Inputs!$A$6:$A$85,0))="",$B$13,INDEX(Inputs!$U$6:$U$85,MATCH($A87,Inputs!$A$6:$A$85,0))),$B$13)))</f>
        <v>2</v>
      </c>
      <c r="X87" s="288" t="str">
        <f t="shared" si="14"/>
        <v/>
      </c>
      <c r="Y87" s="288" t="str">
        <f t="shared" si="14"/>
        <v/>
      </c>
      <c r="Z87" s="288" t="str">
        <f t="shared" si="14"/>
        <v/>
      </c>
      <c r="AA87" s="288" t="str">
        <f t="shared" si="14"/>
        <v/>
      </c>
    </row>
    <row r="88" spans="1:27" x14ac:dyDescent="0.3">
      <c r="A88" s="224" t="str">
        <f>IF(Deliverables!$A66="","",Deliverables!$A66)</f>
        <v>AL25148-0100D</v>
      </c>
      <c r="B88" s="227" t="str">
        <f>IF($A88="","",Deliverables!$C66)</f>
        <v>Concept Design</v>
      </c>
      <c r="C88" s="227" t="str">
        <f>IF($A88="","",Deliverables!$D66)</f>
        <v>CD</v>
      </c>
      <c r="D88" s="227" t="str">
        <f>IF($A88="","",Deliverables!$G66)</f>
        <v/>
      </c>
      <c r="E88" s="227" t="str">
        <f>IF($A88="","",IFERROR(INDEX(Inputs!$F$6:$F$85,MATCH($A88,Inputs!$A$6:$A$85,0)),"not in register"))</f>
        <v>Not Started</v>
      </c>
      <c r="F88" s="264">
        <f>IF($A88="","",IF(Deliverables!$H66="",0,Deliverables!$H66))</f>
        <v>0</v>
      </c>
      <c r="G88" s="264">
        <f t="shared" si="1"/>
        <v>1</v>
      </c>
      <c r="H88" s="265">
        <f>IF($A88="","",IFERROR(Deliverables!$E66*INDEX(Inputs!$C$6:$C$85,MATCH($A88,Inputs!$A$6:$A$85,0)),0))</f>
        <v>10</v>
      </c>
      <c r="I88" s="265">
        <f t="shared" si="2"/>
        <v>0</v>
      </c>
      <c r="J88" s="265">
        <f t="shared" si="3"/>
        <v>10</v>
      </c>
      <c r="K88" s="332"/>
      <c r="L88" s="266">
        <f t="shared" si="4"/>
        <v>10</v>
      </c>
      <c r="M88" s="267">
        <f t="shared" si="5"/>
        <v>1850</v>
      </c>
      <c r="N88" s="268">
        <f t="shared" si="6"/>
        <v>1</v>
      </c>
      <c r="O88" s="269">
        <f t="shared" si="7"/>
        <v>0.99991200000000002</v>
      </c>
      <c r="P88" s="270">
        <f t="shared" si="8"/>
        <v>30</v>
      </c>
      <c r="Q88" s="271">
        <f t="shared" si="9"/>
        <v>25.597635135135139</v>
      </c>
      <c r="R88" s="272" t="str">
        <f t="shared" ca="1" si="10"/>
        <v>DEFER</v>
      </c>
      <c r="S88" s="265" t="str">
        <f t="shared" ca="1" si="11"/>
        <v/>
      </c>
      <c r="T88" s="267" t="str">
        <f ca="1">IF($R88="DO",$M88*Deliverables!K66,"")</f>
        <v/>
      </c>
      <c r="U88" s="267" t="str">
        <f ca="1">IF($R88="DO",$M88*Deliverables!L66,"")</f>
        <v/>
      </c>
      <c r="V88" s="267" t="str">
        <f ca="1">IF($R88="DO",$M88*Deliverables!M66,"")</f>
        <v/>
      </c>
      <c r="W88" s="286">
        <f>IF($A88="","",MEDIAN($B$15,$B$16,IFERROR(IF(INDEX(Inputs!$U$6:$U$85,MATCH($A88,Inputs!$A$6:$A$85,0))="",$B$13,INDEX(Inputs!$U$6:$U$85,MATCH($A88,Inputs!$A$6:$A$85,0))),$B$13)))</f>
        <v>1</v>
      </c>
      <c r="X88" s="288" t="str">
        <f t="shared" ref="X88:AA107" ca="1" si="15">IF($R88&lt;&gt;"DO","",MAX(0,MIN($Q88,X$25*$B$8)-MAX($Q88-$L88,(X$25-1)*$B$8))*$B$5)</f>
        <v/>
      </c>
      <c r="Y88" s="288" t="str">
        <f t="shared" ca="1" si="15"/>
        <v/>
      </c>
      <c r="Z88" s="288" t="str">
        <f t="shared" ca="1" si="15"/>
        <v/>
      </c>
      <c r="AA88" s="288" t="str">
        <f t="shared" ca="1" si="15"/>
        <v/>
      </c>
    </row>
    <row r="89" spans="1:27" x14ac:dyDescent="0.3">
      <c r="A89" s="224" t="str">
        <f>IF(Deliverables!$A67="","",Deliverables!$A67)</f>
        <v>Chargable Proposals 26</v>
      </c>
      <c r="B89" s="227" t="str">
        <f>IF($A89="","",Deliverables!$C67)</f>
        <v>Proposals</v>
      </c>
      <c r="C89" s="227" t="str">
        <f>IF($A89="","",Deliverables!$D67)</f>
        <v>PP</v>
      </c>
      <c r="D89" s="227" t="str">
        <f>IF($A89="","",Deliverables!$G67)</f>
        <v>Proposal in preparation</v>
      </c>
      <c r="E89" s="227" t="str">
        <f>IF($A89="","",IFERROR(INDEX(Inputs!$F$6:$F$85,MATCH($A89,Inputs!$A$6:$A$85,0)),"not in register"))</f>
        <v>Active</v>
      </c>
      <c r="F89" s="264">
        <f>IF($A89="","",IF(Deliverables!$H67="",0,Deliverables!$H67))</f>
        <v>0.5</v>
      </c>
      <c r="G89" s="264">
        <f t="shared" si="1"/>
        <v>0.5</v>
      </c>
      <c r="H89" s="265">
        <f>IF($A89="","",IFERROR(Deliverables!$E67*INDEX(Inputs!$C$6:$C$85,MATCH($A89,Inputs!$A$6:$A$85,0)),0))</f>
        <v>2.25</v>
      </c>
      <c r="I89" s="265">
        <f t="shared" si="2"/>
        <v>1.125</v>
      </c>
      <c r="J89" s="265">
        <f t="shared" si="3"/>
        <v>1.125</v>
      </c>
      <c r="K89" s="332"/>
      <c r="L89" s="266">
        <f t="shared" si="4"/>
        <v>0.5625</v>
      </c>
      <c r="M89" s="267">
        <f t="shared" si="5"/>
        <v>104.0625</v>
      </c>
      <c r="N89" s="268">
        <f t="shared" si="6"/>
        <v>2</v>
      </c>
      <c r="O89" s="269">
        <f t="shared" si="7"/>
        <v>1.999911</v>
      </c>
      <c r="P89" s="270">
        <f t="shared" si="8"/>
        <v>25</v>
      </c>
      <c r="Q89" s="271">
        <f t="shared" si="9"/>
        <v>11.254391891891894</v>
      </c>
      <c r="R89" s="272" t="str">
        <f t="shared" ca="1" si="10"/>
        <v>DO</v>
      </c>
      <c r="S89" s="265">
        <f t="shared" ca="1" si="11"/>
        <v>0.5625</v>
      </c>
      <c r="T89" s="267">
        <f ca="1">IF($R89="DO",$M89*Deliverables!K67,"")</f>
        <v>62.4375</v>
      </c>
      <c r="U89" s="267">
        <f ca="1">IF($R89="DO",$M89*Deliverables!L67,"")</f>
        <v>0</v>
      </c>
      <c r="V89" s="267">
        <f ca="1">IF($R89="DO",$M89*Deliverables!M67,"")</f>
        <v>41.625</v>
      </c>
      <c r="W89" s="286">
        <f>IF($A89="","",MEDIAN($B$15,$B$16,IFERROR(IF(INDEX(Inputs!$U$6:$U$85,MATCH($A89,Inputs!$A$6:$A$85,0))="",$B$13,INDEX(Inputs!$U$6:$U$85,MATCH($A89,Inputs!$A$6:$A$85,0))),$B$13)))</f>
        <v>2</v>
      </c>
      <c r="X89" s="288">
        <f t="shared" ca="1" si="15"/>
        <v>0</v>
      </c>
      <c r="Y89" s="288">
        <f t="shared" ca="1" si="15"/>
        <v>0</v>
      </c>
      <c r="Z89" s="288">
        <f t="shared" ca="1" si="15"/>
        <v>0</v>
      </c>
      <c r="AA89" s="288">
        <f t="shared" ca="1" si="15"/>
        <v>104.0625</v>
      </c>
    </row>
    <row r="90" spans="1:27" x14ac:dyDescent="0.3">
      <c r="A90" s="224" t="str">
        <f>IF(Deliverables!$A68="","",Deliverables!$A68)</f>
        <v>Proposals 26</v>
      </c>
      <c r="B90" s="227" t="str">
        <f>IF($A90="","",Deliverables!$C68)</f>
        <v>Proposals</v>
      </c>
      <c r="C90" s="227" t="str">
        <f>IF($A90="","",Deliverables!$D68)</f>
        <v>PP</v>
      </c>
      <c r="D90" s="227" t="str">
        <f>IF($A90="","",Deliverables!$G68)</f>
        <v>Proposal in preparation</v>
      </c>
      <c r="E90" s="227" t="str">
        <f>IF($A90="","",IFERROR(INDEX(Inputs!$F$6:$F$85,MATCH($A90,Inputs!$A$6:$A$85,0)),"not in register"))</f>
        <v>Active</v>
      </c>
      <c r="F90" s="264">
        <f>IF($A90="","",IF(Deliverables!$H68="",0,Deliverables!$H68))</f>
        <v>0.5</v>
      </c>
      <c r="G90" s="264">
        <f t="shared" si="1"/>
        <v>0.5</v>
      </c>
      <c r="H90" s="265">
        <f>IF($A90="","",IFERROR(Deliverables!$E68*INDEX(Inputs!$C$6:$C$85,MATCH($A90,Inputs!$A$6:$A$85,0)),0))</f>
        <v>0.4</v>
      </c>
      <c r="I90" s="265">
        <f t="shared" si="2"/>
        <v>0.2</v>
      </c>
      <c r="J90" s="265">
        <f t="shared" si="3"/>
        <v>0.2</v>
      </c>
      <c r="K90" s="332"/>
      <c r="L90" s="266">
        <f t="shared" si="4"/>
        <v>0.1</v>
      </c>
      <c r="M90" s="267">
        <f t="shared" si="5"/>
        <v>18.5</v>
      </c>
      <c r="N90" s="268">
        <f t="shared" si="6"/>
        <v>2</v>
      </c>
      <c r="O90" s="269">
        <f t="shared" si="7"/>
        <v>1.9999100000000001</v>
      </c>
      <c r="P90" s="270">
        <f t="shared" si="8"/>
        <v>26</v>
      </c>
      <c r="Q90" s="271">
        <f t="shared" si="9"/>
        <v>11.354391891891893</v>
      </c>
      <c r="R90" s="272" t="str">
        <f t="shared" ca="1" si="10"/>
        <v>DO</v>
      </c>
      <c r="S90" s="265">
        <f t="shared" ca="1" si="11"/>
        <v>0.1</v>
      </c>
      <c r="T90" s="267">
        <f ca="1">IF($R90="DO",$M90*Deliverables!K68,"")</f>
        <v>18.5</v>
      </c>
      <c r="U90" s="267">
        <f ca="1">IF($R90="DO",$M90*Deliverables!L68,"")</f>
        <v>0</v>
      </c>
      <c r="V90" s="267">
        <f ca="1">IF($R90="DO",$M90*Deliverables!M68,"")</f>
        <v>0</v>
      </c>
      <c r="W90" s="286">
        <f>IF($A90="","",MEDIAN($B$15,$B$16,IFERROR(IF(INDEX(Inputs!$U$6:$U$85,MATCH($A90,Inputs!$A$6:$A$85,0))="",$B$13,INDEX(Inputs!$U$6:$U$85,MATCH($A90,Inputs!$A$6:$A$85,0))),$B$13)))</f>
        <v>2</v>
      </c>
      <c r="X90" s="288">
        <f t="shared" ca="1" si="15"/>
        <v>0</v>
      </c>
      <c r="Y90" s="288">
        <f t="shared" ca="1" si="15"/>
        <v>0</v>
      </c>
      <c r="Z90" s="288">
        <f t="shared" ca="1" si="15"/>
        <v>0</v>
      </c>
      <c r="AA90" s="288">
        <f t="shared" ca="1" si="15"/>
        <v>18.499999999999936</v>
      </c>
    </row>
    <row r="91" spans="1:27" x14ac:dyDescent="0.3">
      <c r="A91" s="224" t="str">
        <f>IF(Deliverables!$A69="","",Deliverables!$A69)</f>
        <v/>
      </c>
      <c r="B91" s="227" t="str">
        <f>IF($A91="","",Deliverables!$C69)</f>
        <v/>
      </c>
      <c r="C91" s="227" t="str">
        <f>IF($A91="","",Deliverables!$D69)</f>
        <v/>
      </c>
      <c r="D91" s="227" t="str">
        <f>IF($A91="","",Deliverables!$G69)</f>
        <v/>
      </c>
      <c r="E91" s="227" t="str">
        <f>IF($A91="","",IFERROR(INDEX(Inputs!$F$6:$F$85,MATCH($A91,Inputs!$A$6:$A$85,0)),"not in register"))</f>
        <v/>
      </c>
      <c r="F91" s="264" t="str">
        <f>IF($A91="","",IF(Deliverables!$H69="",0,Deliverables!$H69))</f>
        <v/>
      </c>
      <c r="G91" s="264" t="str">
        <f t="shared" si="1"/>
        <v/>
      </c>
      <c r="H91" s="265" t="str">
        <f>IF($A91="","",IFERROR(Deliverables!$E69*INDEX(Inputs!$C$6:$C$85,MATCH($A91,Inputs!$A$6:$A$85,0)),0))</f>
        <v/>
      </c>
      <c r="I91" s="265" t="str">
        <f t="shared" si="2"/>
        <v/>
      </c>
      <c r="J91" s="265" t="str">
        <f t="shared" si="3"/>
        <v/>
      </c>
      <c r="K91" s="332"/>
      <c r="L91" s="266" t="str">
        <f t="shared" si="4"/>
        <v/>
      </c>
      <c r="M91" s="267" t="str">
        <f t="shared" si="5"/>
        <v/>
      </c>
      <c r="N91" s="268" t="str">
        <f t="shared" si="6"/>
        <v/>
      </c>
      <c r="O91" s="269" t="str">
        <f t="shared" si="7"/>
        <v/>
      </c>
      <c r="P91" s="270" t="str">
        <f t="shared" si="8"/>
        <v/>
      </c>
      <c r="Q91" s="271" t="str">
        <f t="shared" si="9"/>
        <v/>
      </c>
      <c r="R91" s="272" t="str">
        <f t="shared" si="10"/>
        <v/>
      </c>
      <c r="S91" s="265" t="str">
        <f t="shared" si="11"/>
        <v/>
      </c>
      <c r="T91" s="267" t="str">
        <f>IF($R91="DO",$M91*Deliverables!K69,"")</f>
        <v/>
      </c>
      <c r="U91" s="267" t="str">
        <f>IF($R91="DO",$M91*Deliverables!L69,"")</f>
        <v/>
      </c>
      <c r="V91" s="267" t="str">
        <f>IF($R91="DO",$M91*Deliverables!M69,"")</f>
        <v/>
      </c>
      <c r="W91" s="286" t="str">
        <f>IF($A91="","",MEDIAN($B$15,$B$16,IFERROR(IF(INDEX(Inputs!$U$6:$U$85,MATCH($A91,Inputs!$A$6:$A$85,0))="",$B$13,INDEX(Inputs!$U$6:$U$85,MATCH($A91,Inputs!$A$6:$A$85,0))),$B$13)))</f>
        <v/>
      </c>
      <c r="X91" s="288" t="str">
        <f t="shared" si="15"/>
        <v/>
      </c>
      <c r="Y91" s="288" t="str">
        <f t="shared" si="15"/>
        <v/>
      </c>
      <c r="Z91" s="288" t="str">
        <f t="shared" si="15"/>
        <v/>
      </c>
      <c r="AA91" s="288" t="str">
        <f t="shared" si="15"/>
        <v/>
      </c>
    </row>
    <row r="92" spans="1:27" x14ac:dyDescent="0.3">
      <c r="A92" s="224" t="str">
        <f>IF(Deliverables!$A70="","",Deliverables!$A70)</f>
        <v/>
      </c>
      <c r="B92" s="227" t="str">
        <f>IF($A92="","",Deliverables!$C70)</f>
        <v/>
      </c>
      <c r="C92" s="227" t="str">
        <f>IF($A92="","",Deliverables!$D70)</f>
        <v/>
      </c>
      <c r="D92" s="227" t="str">
        <f>IF($A92="","",Deliverables!$G70)</f>
        <v/>
      </c>
      <c r="E92" s="227" t="str">
        <f>IF($A92="","",IFERROR(INDEX(Inputs!$F$6:$F$85,MATCH($A92,Inputs!$A$6:$A$85,0)),"not in register"))</f>
        <v/>
      </c>
      <c r="F92" s="264" t="str">
        <f>IF($A92="","",IF(Deliverables!$H70="",0,Deliverables!$H70))</f>
        <v/>
      </c>
      <c r="G92" s="264" t="str">
        <f t="shared" ref="G92:G155" si="16">IF($A92="","",1-$F92)</f>
        <v/>
      </c>
      <c r="H92" s="265" t="str">
        <f>IF($A92="","",IFERROR(Deliverables!$E70*INDEX(Inputs!$C$6:$C$85,MATCH($A92,Inputs!$A$6:$A$85,0)),0))</f>
        <v/>
      </c>
      <c r="I92" s="265" t="str">
        <f t="shared" ref="I92:I155" si="17">IF($A92="","",$H92*$F92)</f>
        <v/>
      </c>
      <c r="J92" s="265" t="str">
        <f t="shared" ref="J92:J155" si="18">IF($A92="","",$H92*$G92)</f>
        <v/>
      </c>
      <c r="K92" s="332"/>
      <c r="L92" s="266" t="str">
        <f t="shared" ref="L92:L155" si="19">IF($A92="","",IF($K92&lt;&gt;"",$K92/$B$5,IF($W92=0,$J92,$J92/$W92)))</f>
        <v/>
      </c>
      <c r="M92" s="267" t="str">
        <f t="shared" ref="M92:M155" si="20">IF($A92="","",$L92*$B$5)</f>
        <v/>
      </c>
      <c r="N92" s="268" t="str">
        <f t="shared" ref="N92:N155" si="21">IF(OR($A92="",$L92=0),"",$J92/$L92)</f>
        <v/>
      </c>
      <c r="O92" s="269" t="str">
        <f t="shared" ref="O92:O155" si="22">IF(OR($A92="",$J92&lt;=0.0001,AND($E92&lt;&gt;"Active",$E92&lt;&gt;"Not Started")),"",$N92-ROW()/1000000)</f>
        <v/>
      </c>
      <c r="P92" s="270" t="str">
        <f t="shared" ref="P92:P155" si="23">IF($O92="","",COUNTIF($O$27:$O$226,"&gt;"&amp;$O92)+1)</f>
        <v/>
      </c>
      <c r="Q92" s="271" t="str">
        <f t="shared" ref="Q92:Q155" si="24">IF($P92="","",SUMIFS($L$27:$L$226,$P$27:$P$226,"&lt;="&amp;$P92))</f>
        <v/>
      </c>
      <c r="R92" s="272" t="str">
        <f t="shared" ref="R92:R155" si="25">IF($A92="","",IF($O92="",IF($J92&lt;=0.0001,"complete","not in scope"),IF($Q92&lt;=$B$11,"DO","DEFER")))</f>
        <v/>
      </c>
      <c r="S92" s="265" t="str">
        <f t="shared" ref="S92:S155" si="26">IF($R92="DO",$J92-$L92,"")</f>
        <v/>
      </c>
      <c r="T92" s="267" t="str">
        <f>IF($R92="DO",$M92*Deliverables!K70,"")</f>
        <v/>
      </c>
      <c r="U92" s="267" t="str">
        <f>IF($R92="DO",$M92*Deliverables!L70,"")</f>
        <v/>
      </c>
      <c r="V92" s="267" t="str">
        <f>IF($R92="DO",$M92*Deliverables!M70,"")</f>
        <v/>
      </c>
      <c r="W92" s="286" t="str">
        <f>IF($A92="","",MEDIAN($B$15,$B$16,IFERROR(IF(INDEX(Inputs!$U$6:$U$85,MATCH($A92,Inputs!$A$6:$A$85,0))="",$B$13,INDEX(Inputs!$U$6:$U$85,MATCH($A92,Inputs!$A$6:$A$85,0))),$B$13)))</f>
        <v/>
      </c>
      <c r="X92" s="288" t="str">
        <f t="shared" si="15"/>
        <v/>
      </c>
      <c r="Y92" s="288" t="str">
        <f t="shared" si="15"/>
        <v/>
      </c>
      <c r="Z92" s="288" t="str">
        <f t="shared" si="15"/>
        <v/>
      </c>
      <c r="AA92" s="288" t="str">
        <f t="shared" si="15"/>
        <v/>
      </c>
    </row>
    <row r="93" spans="1:27" x14ac:dyDescent="0.3">
      <c r="A93" s="224" t="str">
        <f>IF(Deliverables!$A71="","",Deliverables!$A71)</f>
        <v/>
      </c>
      <c r="B93" s="227" t="str">
        <f>IF($A93="","",Deliverables!$C71)</f>
        <v/>
      </c>
      <c r="C93" s="227" t="str">
        <f>IF($A93="","",Deliverables!$D71)</f>
        <v/>
      </c>
      <c r="D93" s="227" t="str">
        <f>IF($A93="","",Deliverables!$G71)</f>
        <v/>
      </c>
      <c r="E93" s="227" t="str">
        <f>IF($A93="","",IFERROR(INDEX(Inputs!$F$6:$F$85,MATCH($A93,Inputs!$A$6:$A$85,0)),"not in register"))</f>
        <v/>
      </c>
      <c r="F93" s="264" t="str">
        <f>IF($A93="","",IF(Deliverables!$H71="",0,Deliverables!$H71))</f>
        <v/>
      </c>
      <c r="G93" s="264" t="str">
        <f t="shared" si="16"/>
        <v/>
      </c>
      <c r="H93" s="265" t="str">
        <f>IF($A93="","",IFERROR(Deliverables!$E71*INDEX(Inputs!$C$6:$C$85,MATCH($A93,Inputs!$A$6:$A$85,0)),0))</f>
        <v/>
      </c>
      <c r="I93" s="265" t="str">
        <f t="shared" si="17"/>
        <v/>
      </c>
      <c r="J93" s="265" t="str">
        <f t="shared" si="18"/>
        <v/>
      </c>
      <c r="K93" s="332"/>
      <c r="L93" s="266" t="str">
        <f t="shared" si="19"/>
        <v/>
      </c>
      <c r="M93" s="267" t="str">
        <f t="shared" si="20"/>
        <v/>
      </c>
      <c r="N93" s="268" t="str">
        <f t="shared" si="21"/>
        <v/>
      </c>
      <c r="O93" s="269" t="str">
        <f t="shared" si="22"/>
        <v/>
      </c>
      <c r="P93" s="270" t="str">
        <f t="shared" si="23"/>
        <v/>
      </c>
      <c r="Q93" s="271" t="str">
        <f t="shared" si="24"/>
        <v/>
      </c>
      <c r="R93" s="272" t="str">
        <f t="shared" si="25"/>
        <v/>
      </c>
      <c r="S93" s="265" t="str">
        <f t="shared" si="26"/>
        <v/>
      </c>
      <c r="T93" s="267" t="str">
        <f>IF($R93="DO",$M93*Deliverables!K71,"")</f>
        <v/>
      </c>
      <c r="U93" s="267" t="str">
        <f>IF($R93="DO",$M93*Deliverables!L71,"")</f>
        <v/>
      </c>
      <c r="V93" s="267" t="str">
        <f>IF($R93="DO",$M93*Deliverables!M71,"")</f>
        <v/>
      </c>
      <c r="W93" s="286" t="str">
        <f>IF($A93="","",MEDIAN($B$15,$B$16,IFERROR(IF(INDEX(Inputs!$U$6:$U$85,MATCH($A93,Inputs!$A$6:$A$85,0))="",$B$13,INDEX(Inputs!$U$6:$U$85,MATCH($A93,Inputs!$A$6:$A$85,0))),$B$13)))</f>
        <v/>
      </c>
      <c r="X93" s="288" t="str">
        <f t="shared" si="15"/>
        <v/>
      </c>
      <c r="Y93" s="288" t="str">
        <f t="shared" si="15"/>
        <v/>
      </c>
      <c r="Z93" s="288" t="str">
        <f t="shared" si="15"/>
        <v/>
      </c>
      <c r="AA93" s="288" t="str">
        <f t="shared" si="15"/>
        <v/>
      </c>
    </row>
    <row r="94" spans="1:27" x14ac:dyDescent="0.3">
      <c r="A94" s="224" t="str">
        <f>IF(Deliverables!$A72="","",Deliverables!$A72)</f>
        <v/>
      </c>
      <c r="B94" s="227" t="str">
        <f>IF($A94="","",Deliverables!$C72)</f>
        <v/>
      </c>
      <c r="C94" s="227" t="str">
        <f>IF($A94="","",Deliverables!$D72)</f>
        <v/>
      </c>
      <c r="D94" s="227" t="str">
        <f>IF($A94="","",Deliverables!$G72)</f>
        <v/>
      </c>
      <c r="E94" s="227" t="str">
        <f>IF($A94="","",IFERROR(INDEX(Inputs!$F$6:$F$85,MATCH($A94,Inputs!$A$6:$A$85,0)),"not in register"))</f>
        <v/>
      </c>
      <c r="F94" s="264" t="str">
        <f>IF($A94="","",IF(Deliverables!$H72="",0,Deliverables!$H72))</f>
        <v/>
      </c>
      <c r="G94" s="264" t="str">
        <f t="shared" si="16"/>
        <v/>
      </c>
      <c r="H94" s="265" t="str">
        <f>IF($A94="","",IFERROR(Deliverables!$E72*INDEX(Inputs!$C$6:$C$85,MATCH($A94,Inputs!$A$6:$A$85,0)),0))</f>
        <v/>
      </c>
      <c r="I94" s="265" t="str">
        <f t="shared" si="17"/>
        <v/>
      </c>
      <c r="J94" s="265" t="str">
        <f t="shared" si="18"/>
        <v/>
      </c>
      <c r="K94" s="332"/>
      <c r="L94" s="266" t="str">
        <f t="shared" si="19"/>
        <v/>
      </c>
      <c r="M94" s="267" t="str">
        <f t="shared" si="20"/>
        <v/>
      </c>
      <c r="N94" s="268" t="str">
        <f t="shared" si="21"/>
        <v/>
      </c>
      <c r="O94" s="269" t="str">
        <f t="shared" si="22"/>
        <v/>
      </c>
      <c r="P94" s="270" t="str">
        <f t="shared" si="23"/>
        <v/>
      </c>
      <c r="Q94" s="271" t="str">
        <f t="shared" si="24"/>
        <v/>
      </c>
      <c r="R94" s="272" t="str">
        <f t="shared" si="25"/>
        <v/>
      </c>
      <c r="S94" s="265" t="str">
        <f t="shared" si="26"/>
        <v/>
      </c>
      <c r="T94" s="267" t="str">
        <f>IF($R94="DO",$M94*Deliverables!K72,"")</f>
        <v/>
      </c>
      <c r="U94" s="267" t="str">
        <f>IF($R94="DO",$M94*Deliverables!L72,"")</f>
        <v/>
      </c>
      <c r="V94" s="267" t="str">
        <f>IF($R94="DO",$M94*Deliverables!M72,"")</f>
        <v/>
      </c>
      <c r="W94" s="286" t="str">
        <f>IF($A94="","",MEDIAN($B$15,$B$16,IFERROR(IF(INDEX(Inputs!$U$6:$U$85,MATCH($A94,Inputs!$A$6:$A$85,0))="",$B$13,INDEX(Inputs!$U$6:$U$85,MATCH($A94,Inputs!$A$6:$A$85,0))),$B$13)))</f>
        <v/>
      </c>
      <c r="X94" s="288" t="str">
        <f t="shared" si="15"/>
        <v/>
      </c>
      <c r="Y94" s="288" t="str">
        <f t="shared" si="15"/>
        <v/>
      </c>
      <c r="Z94" s="288" t="str">
        <f t="shared" si="15"/>
        <v/>
      </c>
      <c r="AA94" s="288" t="str">
        <f t="shared" si="15"/>
        <v/>
      </c>
    </row>
    <row r="95" spans="1:27" x14ac:dyDescent="0.3">
      <c r="A95" s="224" t="str">
        <f>IF(Deliverables!$A73="","",Deliverables!$A73)</f>
        <v/>
      </c>
      <c r="B95" s="227" t="str">
        <f>IF($A95="","",Deliverables!$C73)</f>
        <v/>
      </c>
      <c r="C95" s="227" t="str">
        <f>IF($A95="","",Deliverables!$D73)</f>
        <v/>
      </c>
      <c r="D95" s="227" t="str">
        <f>IF($A95="","",Deliverables!$G73)</f>
        <v/>
      </c>
      <c r="E95" s="227" t="str">
        <f>IF($A95="","",IFERROR(INDEX(Inputs!$F$6:$F$85,MATCH($A95,Inputs!$A$6:$A$85,0)),"not in register"))</f>
        <v/>
      </c>
      <c r="F95" s="264" t="str">
        <f>IF($A95="","",IF(Deliverables!$H73="",0,Deliverables!$H73))</f>
        <v/>
      </c>
      <c r="G95" s="264" t="str">
        <f t="shared" si="16"/>
        <v/>
      </c>
      <c r="H95" s="265" t="str">
        <f>IF($A95="","",IFERROR(Deliverables!$E73*INDEX(Inputs!$C$6:$C$85,MATCH($A95,Inputs!$A$6:$A$85,0)),0))</f>
        <v/>
      </c>
      <c r="I95" s="265" t="str">
        <f t="shared" si="17"/>
        <v/>
      </c>
      <c r="J95" s="265" t="str">
        <f t="shared" si="18"/>
        <v/>
      </c>
      <c r="K95" s="332"/>
      <c r="L95" s="266" t="str">
        <f t="shared" si="19"/>
        <v/>
      </c>
      <c r="M95" s="267" t="str">
        <f t="shared" si="20"/>
        <v/>
      </c>
      <c r="N95" s="268" t="str">
        <f t="shared" si="21"/>
        <v/>
      </c>
      <c r="O95" s="269" t="str">
        <f t="shared" si="22"/>
        <v/>
      </c>
      <c r="P95" s="270" t="str">
        <f t="shared" si="23"/>
        <v/>
      </c>
      <c r="Q95" s="271" t="str">
        <f t="shared" si="24"/>
        <v/>
      </c>
      <c r="R95" s="272" t="str">
        <f t="shared" si="25"/>
        <v/>
      </c>
      <c r="S95" s="265" t="str">
        <f t="shared" si="26"/>
        <v/>
      </c>
      <c r="T95" s="267" t="str">
        <f>IF($R95="DO",$M95*Deliverables!K73,"")</f>
        <v/>
      </c>
      <c r="U95" s="267" t="str">
        <f>IF($R95="DO",$M95*Deliverables!L73,"")</f>
        <v/>
      </c>
      <c r="V95" s="267" t="str">
        <f>IF($R95="DO",$M95*Deliverables!M73,"")</f>
        <v/>
      </c>
      <c r="W95" s="286" t="str">
        <f>IF($A95="","",MEDIAN($B$15,$B$16,IFERROR(IF(INDEX(Inputs!$U$6:$U$85,MATCH($A95,Inputs!$A$6:$A$85,0))="",$B$13,INDEX(Inputs!$U$6:$U$85,MATCH($A95,Inputs!$A$6:$A$85,0))),$B$13)))</f>
        <v/>
      </c>
      <c r="X95" s="288" t="str">
        <f t="shared" si="15"/>
        <v/>
      </c>
      <c r="Y95" s="288" t="str">
        <f t="shared" si="15"/>
        <v/>
      </c>
      <c r="Z95" s="288" t="str">
        <f t="shared" si="15"/>
        <v/>
      </c>
      <c r="AA95" s="288" t="str">
        <f t="shared" si="15"/>
        <v/>
      </c>
    </row>
    <row r="96" spans="1:27" x14ac:dyDescent="0.3">
      <c r="A96" s="224" t="str">
        <f>IF(Deliverables!$A74="","",Deliverables!$A74)</f>
        <v/>
      </c>
      <c r="B96" s="227" t="str">
        <f>IF($A96="","",Deliverables!$C74)</f>
        <v/>
      </c>
      <c r="C96" s="227" t="str">
        <f>IF($A96="","",Deliverables!$D74)</f>
        <v/>
      </c>
      <c r="D96" s="227" t="str">
        <f>IF($A96="","",Deliverables!$G74)</f>
        <v/>
      </c>
      <c r="E96" s="227" t="str">
        <f>IF($A96="","",IFERROR(INDEX(Inputs!$F$6:$F$85,MATCH($A96,Inputs!$A$6:$A$85,0)),"not in register"))</f>
        <v/>
      </c>
      <c r="F96" s="264" t="str">
        <f>IF($A96="","",IF(Deliverables!$H74="",0,Deliverables!$H74))</f>
        <v/>
      </c>
      <c r="G96" s="264" t="str">
        <f t="shared" si="16"/>
        <v/>
      </c>
      <c r="H96" s="265" t="str">
        <f>IF($A96="","",IFERROR(Deliverables!$E74*INDEX(Inputs!$C$6:$C$85,MATCH($A96,Inputs!$A$6:$A$85,0)),0))</f>
        <v/>
      </c>
      <c r="I96" s="265" t="str">
        <f t="shared" si="17"/>
        <v/>
      </c>
      <c r="J96" s="265" t="str">
        <f t="shared" si="18"/>
        <v/>
      </c>
      <c r="K96" s="332"/>
      <c r="L96" s="266" t="str">
        <f t="shared" si="19"/>
        <v/>
      </c>
      <c r="M96" s="267" t="str">
        <f t="shared" si="20"/>
        <v/>
      </c>
      <c r="N96" s="268" t="str">
        <f t="shared" si="21"/>
        <v/>
      </c>
      <c r="O96" s="269" t="str">
        <f t="shared" si="22"/>
        <v/>
      </c>
      <c r="P96" s="270" t="str">
        <f t="shared" si="23"/>
        <v/>
      </c>
      <c r="Q96" s="271" t="str">
        <f t="shared" si="24"/>
        <v/>
      </c>
      <c r="R96" s="272" t="str">
        <f t="shared" si="25"/>
        <v/>
      </c>
      <c r="S96" s="265" t="str">
        <f t="shared" si="26"/>
        <v/>
      </c>
      <c r="T96" s="267" t="str">
        <f>IF($R96="DO",$M96*Deliverables!K74,"")</f>
        <v/>
      </c>
      <c r="U96" s="267" t="str">
        <f>IF($R96="DO",$M96*Deliverables!L74,"")</f>
        <v/>
      </c>
      <c r="V96" s="267" t="str">
        <f>IF($R96="DO",$M96*Deliverables!M74,"")</f>
        <v/>
      </c>
      <c r="W96" s="286" t="str">
        <f>IF($A96="","",MEDIAN($B$15,$B$16,IFERROR(IF(INDEX(Inputs!$U$6:$U$85,MATCH($A96,Inputs!$A$6:$A$85,0))="",$B$13,INDEX(Inputs!$U$6:$U$85,MATCH($A96,Inputs!$A$6:$A$85,0))),$B$13)))</f>
        <v/>
      </c>
      <c r="X96" s="288" t="str">
        <f t="shared" si="15"/>
        <v/>
      </c>
      <c r="Y96" s="288" t="str">
        <f t="shared" si="15"/>
        <v/>
      </c>
      <c r="Z96" s="288" t="str">
        <f t="shared" si="15"/>
        <v/>
      </c>
      <c r="AA96" s="288" t="str">
        <f t="shared" si="15"/>
        <v/>
      </c>
    </row>
    <row r="97" spans="1:27" x14ac:dyDescent="0.3">
      <c r="A97" s="224" t="str">
        <f>IF(Deliverables!$A75="","",Deliverables!$A75)</f>
        <v/>
      </c>
      <c r="B97" s="227" t="str">
        <f>IF($A97="","",Deliverables!$C75)</f>
        <v/>
      </c>
      <c r="C97" s="227" t="str">
        <f>IF($A97="","",Deliverables!$D75)</f>
        <v/>
      </c>
      <c r="D97" s="227" t="str">
        <f>IF($A97="","",Deliverables!$G75)</f>
        <v/>
      </c>
      <c r="E97" s="227" t="str">
        <f>IF($A97="","",IFERROR(INDEX(Inputs!$F$6:$F$85,MATCH($A97,Inputs!$A$6:$A$85,0)),"not in register"))</f>
        <v/>
      </c>
      <c r="F97" s="264" t="str">
        <f>IF($A97="","",IF(Deliverables!$H75="",0,Deliverables!$H75))</f>
        <v/>
      </c>
      <c r="G97" s="264" t="str">
        <f t="shared" si="16"/>
        <v/>
      </c>
      <c r="H97" s="265" t="str">
        <f>IF($A97="","",IFERROR(Deliverables!$E75*INDEX(Inputs!$C$6:$C$85,MATCH($A97,Inputs!$A$6:$A$85,0)),0))</f>
        <v/>
      </c>
      <c r="I97" s="265" t="str">
        <f t="shared" si="17"/>
        <v/>
      </c>
      <c r="J97" s="265" t="str">
        <f t="shared" si="18"/>
        <v/>
      </c>
      <c r="K97" s="332"/>
      <c r="L97" s="266" t="str">
        <f t="shared" si="19"/>
        <v/>
      </c>
      <c r="M97" s="267" t="str">
        <f t="shared" si="20"/>
        <v/>
      </c>
      <c r="N97" s="268" t="str">
        <f t="shared" si="21"/>
        <v/>
      </c>
      <c r="O97" s="269" t="str">
        <f t="shared" si="22"/>
        <v/>
      </c>
      <c r="P97" s="270" t="str">
        <f t="shared" si="23"/>
        <v/>
      </c>
      <c r="Q97" s="271" t="str">
        <f t="shared" si="24"/>
        <v/>
      </c>
      <c r="R97" s="272" t="str">
        <f t="shared" si="25"/>
        <v/>
      </c>
      <c r="S97" s="265" t="str">
        <f t="shared" si="26"/>
        <v/>
      </c>
      <c r="T97" s="267" t="str">
        <f>IF($R97="DO",$M97*Deliverables!K75,"")</f>
        <v/>
      </c>
      <c r="U97" s="267" t="str">
        <f>IF($R97="DO",$M97*Deliverables!L75,"")</f>
        <v/>
      </c>
      <c r="V97" s="267" t="str">
        <f>IF($R97="DO",$M97*Deliverables!M75,"")</f>
        <v/>
      </c>
      <c r="W97" s="286" t="str">
        <f>IF($A97="","",MEDIAN($B$15,$B$16,IFERROR(IF(INDEX(Inputs!$U$6:$U$85,MATCH($A97,Inputs!$A$6:$A$85,0))="",$B$13,INDEX(Inputs!$U$6:$U$85,MATCH($A97,Inputs!$A$6:$A$85,0))),$B$13)))</f>
        <v/>
      </c>
      <c r="X97" s="288" t="str">
        <f t="shared" si="15"/>
        <v/>
      </c>
      <c r="Y97" s="288" t="str">
        <f t="shared" si="15"/>
        <v/>
      </c>
      <c r="Z97" s="288" t="str">
        <f t="shared" si="15"/>
        <v/>
      </c>
      <c r="AA97" s="288" t="str">
        <f t="shared" si="15"/>
        <v/>
      </c>
    </row>
    <row r="98" spans="1:27" x14ac:dyDescent="0.3">
      <c r="A98" s="224" t="str">
        <f>IF(Deliverables!$A76="","",Deliverables!$A76)</f>
        <v/>
      </c>
      <c r="B98" s="227" t="str">
        <f>IF($A98="","",Deliverables!$C76)</f>
        <v/>
      </c>
      <c r="C98" s="227" t="str">
        <f>IF($A98="","",Deliverables!$D76)</f>
        <v/>
      </c>
      <c r="D98" s="227" t="str">
        <f>IF($A98="","",Deliverables!$G76)</f>
        <v/>
      </c>
      <c r="E98" s="227" t="str">
        <f>IF($A98="","",IFERROR(INDEX(Inputs!$F$6:$F$85,MATCH($A98,Inputs!$A$6:$A$85,0)),"not in register"))</f>
        <v/>
      </c>
      <c r="F98" s="264" t="str">
        <f>IF($A98="","",IF(Deliverables!$H76="",0,Deliverables!$H76))</f>
        <v/>
      </c>
      <c r="G98" s="264" t="str">
        <f t="shared" si="16"/>
        <v/>
      </c>
      <c r="H98" s="265" t="str">
        <f>IF($A98="","",IFERROR(Deliverables!$E76*INDEX(Inputs!$C$6:$C$85,MATCH($A98,Inputs!$A$6:$A$85,0)),0))</f>
        <v/>
      </c>
      <c r="I98" s="265" t="str">
        <f t="shared" si="17"/>
        <v/>
      </c>
      <c r="J98" s="265" t="str">
        <f t="shared" si="18"/>
        <v/>
      </c>
      <c r="K98" s="332"/>
      <c r="L98" s="266" t="str">
        <f t="shared" si="19"/>
        <v/>
      </c>
      <c r="M98" s="267" t="str">
        <f t="shared" si="20"/>
        <v/>
      </c>
      <c r="N98" s="268" t="str">
        <f t="shared" si="21"/>
        <v/>
      </c>
      <c r="O98" s="269" t="str">
        <f t="shared" si="22"/>
        <v/>
      </c>
      <c r="P98" s="270" t="str">
        <f t="shared" si="23"/>
        <v/>
      </c>
      <c r="Q98" s="271" t="str">
        <f t="shared" si="24"/>
        <v/>
      </c>
      <c r="R98" s="272" t="str">
        <f t="shared" si="25"/>
        <v/>
      </c>
      <c r="S98" s="265" t="str">
        <f t="shared" si="26"/>
        <v/>
      </c>
      <c r="T98" s="267" t="str">
        <f>IF($R98="DO",$M98*Deliverables!K76,"")</f>
        <v/>
      </c>
      <c r="U98" s="267" t="str">
        <f>IF($R98="DO",$M98*Deliverables!L76,"")</f>
        <v/>
      </c>
      <c r="V98" s="267" t="str">
        <f>IF($R98="DO",$M98*Deliverables!M76,"")</f>
        <v/>
      </c>
      <c r="W98" s="286" t="str">
        <f>IF($A98="","",MEDIAN($B$15,$B$16,IFERROR(IF(INDEX(Inputs!$U$6:$U$85,MATCH($A98,Inputs!$A$6:$A$85,0))="",$B$13,INDEX(Inputs!$U$6:$U$85,MATCH($A98,Inputs!$A$6:$A$85,0))),$B$13)))</f>
        <v/>
      </c>
      <c r="X98" s="288" t="str">
        <f t="shared" si="15"/>
        <v/>
      </c>
      <c r="Y98" s="288" t="str">
        <f t="shared" si="15"/>
        <v/>
      </c>
      <c r="Z98" s="288" t="str">
        <f t="shared" si="15"/>
        <v/>
      </c>
      <c r="AA98" s="288" t="str">
        <f t="shared" si="15"/>
        <v/>
      </c>
    </row>
    <row r="99" spans="1:27" x14ac:dyDescent="0.3">
      <c r="A99" s="224" t="str">
        <f>IF(Deliverables!$A77="","",Deliverables!$A77)</f>
        <v/>
      </c>
      <c r="B99" s="227" t="str">
        <f>IF($A99="","",Deliverables!$C77)</f>
        <v/>
      </c>
      <c r="C99" s="227" t="str">
        <f>IF($A99="","",Deliverables!$D77)</f>
        <v/>
      </c>
      <c r="D99" s="227" t="str">
        <f>IF($A99="","",Deliverables!$G77)</f>
        <v/>
      </c>
      <c r="E99" s="227" t="str">
        <f>IF($A99="","",IFERROR(INDEX(Inputs!$F$6:$F$85,MATCH($A99,Inputs!$A$6:$A$85,0)),"not in register"))</f>
        <v/>
      </c>
      <c r="F99" s="264" t="str">
        <f>IF($A99="","",IF(Deliverables!$H77="",0,Deliverables!$H77))</f>
        <v/>
      </c>
      <c r="G99" s="264" t="str">
        <f t="shared" si="16"/>
        <v/>
      </c>
      <c r="H99" s="265" t="str">
        <f>IF($A99="","",IFERROR(Deliverables!$E77*INDEX(Inputs!$C$6:$C$85,MATCH($A99,Inputs!$A$6:$A$85,0)),0))</f>
        <v/>
      </c>
      <c r="I99" s="265" t="str">
        <f t="shared" si="17"/>
        <v/>
      </c>
      <c r="J99" s="265" t="str">
        <f t="shared" si="18"/>
        <v/>
      </c>
      <c r="K99" s="332"/>
      <c r="L99" s="266" t="str">
        <f t="shared" si="19"/>
        <v/>
      </c>
      <c r="M99" s="267" t="str">
        <f t="shared" si="20"/>
        <v/>
      </c>
      <c r="N99" s="268" t="str">
        <f t="shared" si="21"/>
        <v/>
      </c>
      <c r="O99" s="269" t="str">
        <f t="shared" si="22"/>
        <v/>
      </c>
      <c r="P99" s="270" t="str">
        <f t="shared" si="23"/>
        <v/>
      </c>
      <c r="Q99" s="271" t="str">
        <f t="shared" si="24"/>
        <v/>
      </c>
      <c r="R99" s="272" t="str">
        <f t="shared" si="25"/>
        <v/>
      </c>
      <c r="S99" s="265" t="str">
        <f t="shared" si="26"/>
        <v/>
      </c>
      <c r="T99" s="267" t="str">
        <f>IF($R99="DO",$M99*Deliverables!K77,"")</f>
        <v/>
      </c>
      <c r="U99" s="267" t="str">
        <f>IF($R99="DO",$M99*Deliverables!L77,"")</f>
        <v/>
      </c>
      <c r="V99" s="267" t="str">
        <f>IF($R99="DO",$M99*Deliverables!M77,"")</f>
        <v/>
      </c>
      <c r="W99" s="286" t="str">
        <f>IF($A99="","",MEDIAN($B$15,$B$16,IFERROR(IF(INDEX(Inputs!$U$6:$U$85,MATCH($A99,Inputs!$A$6:$A$85,0))="",$B$13,INDEX(Inputs!$U$6:$U$85,MATCH($A99,Inputs!$A$6:$A$85,0))),$B$13)))</f>
        <v/>
      </c>
      <c r="X99" s="288" t="str">
        <f t="shared" si="15"/>
        <v/>
      </c>
      <c r="Y99" s="288" t="str">
        <f t="shared" si="15"/>
        <v/>
      </c>
      <c r="Z99" s="288" t="str">
        <f t="shared" si="15"/>
        <v/>
      </c>
      <c r="AA99" s="288" t="str">
        <f t="shared" si="15"/>
        <v/>
      </c>
    </row>
    <row r="100" spans="1:27" x14ac:dyDescent="0.3">
      <c r="A100" s="224" t="str">
        <f>IF(Deliverables!$A78="","",Deliverables!$A78)</f>
        <v/>
      </c>
      <c r="B100" s="227" t="str">
        <f>IF($A100="","",Deliverables!$C78)</f>
        <v/>
      </c>
      <c r="C100" s="227" t="str">
        <f>IF($A100="","",Deliverables!$D78)</f>
        <v/>
      </c>
      <c r="D100" s="227" t="str">
        <f>IF($A100="","",Deliverables!$G78)</f>
        <v/>
      </c>
      <c r="E100" s="227" t="str">
        <f>IF($A100="","",IFERROR(INDEX(Inputs!$F$6:$F$85,MATCH($A100,Inputs!$A$6:$A$85,0)),"not in register"))</f>
        <v/>
      </c>
      <c r="F100" s="264" t="str">
        <f>IF($A100="","",IF(Deliverables!$H78="",0,Deliverables!$H78))</f>
        <v/>
      </c>
      <c r="G100" s="264" t="str">
        <f t="shared" si="16"/>
        <v/>
      </c>
      <c r="H100" s="265" t="str">
        <f>IF($A100="","",IFERROR(Deliverables!$E78*INDEX(Inputs!$C$6:$C$85,MATCH($A100,Inputs!$A$6:$A$85,0)),0))</f>
        <v/>
      </c>
      <c r="I100" s="265" t="str">
        <f t="shared" si="17"/>
        <v/>
      </c>
      <c r="J100" s="265" t="str">
        <f t="shared" si="18"/>
        <v/>
      </c>
      <c r="K100" s="332"/>
      <c r="L100" s="266" t="str">
        <f t="shared" si="19"/>
        <v/>
      </c>
      <c r="M100" s="267" t="str">
        <f t="shared" si="20"/>
        <v/>
      </c>
      <c r="N100" s="268" t="str">
        <f t="shared" si="21"/>
        <v/>
      </c>
      <c r="O100" s="269" t="str">
        <f t="shared" si="22"/>
        <v/>
      </c>
      <c r="P100" s="270" t="str">
        <f t="shared" si="23"/>
        <v/>
      </c>
      <c r="Q100" s="271" t="str">
        <f t="shared" si="24"/>
        <v/>
      </c>
      <c r="R100" s="272" t="str">
        <f t="shared" si="25"/>
        <v/>
      </c>
      <c r="S100" s="265" t="str">
        <f t="shared" si="26"/>
        <v/>
      </c>
      <c r="T100" s="267" t="str">
        <f>IF($R100="DO",$M100*Deliverables!K78,"")</f>
        <v/>
      </c>
      <c r="U100" s="267" t="str">
        <f>IF($R100="DO",$M100*Deliverables!L78,"")</f>
        <v/>
      </c>
      <c r="V100" s="267" t="str">
        <f>IF($R100="DO",$M100*Deliverables!M78,"")</f>
        <v/>
      </c>
      <c r="W100" s="286" t="str">
        <f>IF($A100="","",MEDIAN($B$15,$B$16,IFERROR(IF(INDEX(Inputs!$U$6:$U$85,MATCH($A100,Inputs!$A$6:$A$85,0))="",$B$13,INDEX(Inputs!$U$6:$U$85,MATCH($A100,Inputs!$A$6:$A$85,0))),$B$13)))</f>
        <v/>
      </c>
      <c r="X100" s="288" t="str">
        <f t="shared" si="15"/>
        <v/>
      </c>
      <c r="Y100" s="288" t="str">
        <f t="shared" si="15"/>
        <v/>
      </c>
      <c r="Z100" s="288" t="str">
        <f t="shared" si="15"/>
        <v/>
      </c>
      <c r="AA100" s="288" t="str">
        <f t="shared" si="15"/>
        <v/>
      </c>
    </row>
    <row r="101" spans="1:27" x14ac:dyDescent="0.3">
      <c r="A101" s="224" t="str">
        <f>IF(Deliverables!$A79="","",Deliverables!$A79)</f>
        <v/>
      </c>
      <c r="B101" s="227" t="str">
        <f>IF($A101="","",Deliverables!$C79)</f>
        <v/>
      </c>
      <c r="C101" s="227" t="str">
        <f>IF($A101="","",Deliverables!$D79)</f>
        <v/>
      </c>
      <c r="D101" s="227" t="str">
        <f>IF($A101="","",Deliverables!$G79)</f>
        <v/>
      </c>
      <c r="E101" s="227" t="str">
        <f>IF($A101="","",IFERROR(INDEX(Inputs!$F$6:$F$85,MATCH($A101,Inputs!$A$6:$A$85,0)),"not in register"))</f>
        <v/>
      </c>
      <c r="F101" s="264" t="str">
        <f>IF($A101="","",IF(Deliverables!$H79="",0,Deliverables!$H79))</f>
        <v/>
      </c>
      <c r="G101" s="264" t="str">
        <f t="shared" si="16"/>
        <v/>
      </c>
      <c r="H101" s="265" t="str">
        <f>IF($A101="","",IFERROR(Deliverables!$E79*INDEX(Inputs!$C$6:$C$85,MATCH($A101,Inputs!$A$6:$A$85,0)),0))</f>
        <v/>
      </c>
      <c r="I101" s="265" t="str">
        <f t="shared" si="17"/>
        <v/>
      </c>
      <c r="J101" s="265" t="str">
        <f t="shared" si="18"/>
        <v/>
      </c>
      <c r="K101" s="332"/>
      <c r="L101" s="266" t="str">
        <f t="shared" si="19"/>
        <v/>
      </c>
      <c r="M101" s="267" t="str">
        <f t="shared" si="20"/>
        <v/>
      </c>
      <c r="N101" s="268" t="str">
        <f t="shared" si="21"/>
        <v/>
      </c>
      <c r="O101" s="269" t="str">
        <f t="shared" si="22"/>
        <v/>
      </c>
      <c r="P101" s="270" t="str">
        <f t="shared" si="23"/>
        <v/>
      </c>
      <c r="Q101" s="271" t="str">
        <f t="shared" si="24"/>
        <v/>
      </c>
      <c r="R101" s="272" t="str">
        <f t="shared" si="25"/>
        <v/>
      </c>
      <c r="S101" s="265" t="str">
        <f t="shared" si="26"/>
        <v/>
      </c>
      <c r="T101" s="267" t="str">
        <f>IF($R101="DO",$M101*Deliverables!K79,"")</f>
        <v/>
      </c>
      <c r="U101" s="267" t="str">
        <f>IF($R101="DO",$M101*Deliverables!L79,"")</f>
        <v/>
      </c>
      <c r="V101" s="267" t="str">
        <f>IF($R101="DO",$M101*Deliverables!M79,"")</f>
        <v/>
      </c>
      <c r="W101" s="286" t="str">
        <f>IF($A101="","",MEDIAN($B$15,$B$16,IFERROR(IF(INDEX(Inputs!$U$6:$U$85,MATCH($A101,Inputs!$A$6:$A$85,0))="",$B$13,INDEX(Inputs!$U$6:$U$85,MATCH($A101,Inputs!$A$6:$A$85,0))),$B$13)))</f>
        <v/>
      </c>
      <c r="X101" s="288" t="str">
        <f t="shared" si="15"/>
        <v/>
      </c>
      <c r="Y101" s="288" t="str">
        <f t="shared" si="15"/>
        <v/>
      </c>
      <c r="Z101" s="288" t="str">
        <f t="shared" si="15"/>
        <v/>
      </c>
      <c r="AA101" s="288" t="str">
        <f t="shared" si="15"/>
        <v/>
      </c>
    </row>
    <row r="102" spans="1:27" x14ac:dyDescent="0.3">
      <c r="A102" s="224" t="str">
        <f>IF(Deliverables!$A80="","",Deliverables!$A80)</f>
        <v/>
      </c>
      <c r="B102" s="227" t="str">
        <f>IF($A102="","",Deliverables!$C80)</f>
        <v/>
      </c>
      <c r="C102" s="227" t="str">
        <f>IF($A102="","",Deliverables!$D80)</f>
        <v/>
      </c>
      <c r="D102" s="227" t="str">
        <f>IF($A102="","",Deliverables!$G80)</f>
        <v/>
      </c>
      <c r="E102" s="227" t="str">
        <f>IF($A102="","",IFERROR(INDEX(Inputs!$F$6:$F$85,MATCH($A102,Inputs!$A$6:$A$85,0)),"not in register"))</f>
        <v/>
      </c>
      <c r="F102" s="264" t="str">
        <f>IF($A102="","",IF(Deliverables!$H80="",0,Deliverables!$H80))</f>
        <v/>
      </c>
      <c r="G102" s="264" t="str">
        <f t="shared" si="16"/>
        <v/>
      </c>
      <c r="H102" s="265" t="str">
        <f>IF($A102="","",IFERROR(Deliverables!$E80*INDEX(Inputs!$C$6:$C$85,MATCH($A102,Inputs!$A$6:$A$85,0)),0))</f>
        <v/>
      </c>
      <c r="I102" s="265" t="str">
        <f t="shared" si="17"/>
        <v/>
      </c>
      <c r="J102" s="265" t="str">
        <f t="shared" si="18"/>
        <v/>
      </c>
      <c r="K102" s="332"/>
      <c r="L102" s="266" t="str">
        <f t="shared" si="19"/>
        <v/>
      </c>
      <c r="M102" s="267" t="str">
        <f t="shared" si="20"/>
        <v/>
      </c>
      <c r="N102" s="268" t="str">
        <f t="shared" si="21"/>
        <v/>
      </c>
      <c r="O102" s="269" t="str">
        <f t="shared" si="22"/>
        <v/>
      </c>
      <c r="P102" s="270" t="str">
        <f t="shared" si="23"/>
        <v/>
      </c>
      <c r="Q102" s="271" t="str">
        <f t="shared" si="24"/>
        <v/>
      </c>
      <c r="R102" s="272" t="str">
        <f t="shared" si="25"/>
        <v/>
      </c>
      <c r="S102" s="265" t="str">
        <f t="shared" si="26"/>
        <v/>
      </c>
      <c r="T102" s="267" t="str">
        <f>IF($R102="DO",$M102*Deliverables!K80,"")</f>
        <v/>
      </c>
      <c r="U102" s="267" t="str">
        <f>IF($R102="DO",$M102*Deliverables!L80,"")</f>
        <v/>
      </c>
      <c r="V102" s="267" t="str">
        <f>IF($R102="DO",$M102*Deliverables!M80,"")</f>
        <v/>
      </c>
      <c r="W102" s="286" t="str">
        <f>IF($A102="","",MEDIAN($B$15,$B$16,IFERROR(IF(INDEX(Inputs!$U$6:$U$85,MATCH($A102,Inputs!$A$6:$A$85,0))="",$B$13,INDEX(Inputs!$U$6:$U$85,MATCH($A102,Inputs!$A$6:$A$85,0))),$B$13)))</f>
        <v/>
      </c>
      <c r="X102" s="288" t="str">
        <f t="shared" si="15"/>
        <v/>
      </c>
      <c r="Y102" s="288" t="str">
        <f t="shared" si="15"/>
        <v/>
      </c>
      <c r="Z102" s="288" t="str">
        <f t="shared" si="15"/>
        <v/>
      </c>
      <c r="AA102" s="288" t="str">
        <f t="shared" si="15"/>
        <v/>
      </c>
    </row>
    <row r="103" spans="1:27" x14ac:dyDescent="0.3">
      <c r="A103" s="224" t="str">
        <f>IF(Deliverables!$A81="","",Deliverables!$A81)</f>
        <v/>
      </c>
      <c r="B103" s="227" t="str">
        <f>IF($A103="","",Deliverables!$C81)</f>
        <v/>
      </c>
      <c r="C103" s="227" t="str">
        <f>IF($A103="","",Deliverables!$D81)</f>
        <v/>
      </c>
      <c r="D103" s="227" t="str">
        <f>IF($A103="","",Deliverables!$G81)</f>
        <v/>
      </c>
      <c r="E103" s="227" t="str">
        <f>IF($A103="","",IFERROR(INDEX(Inputs!$F$6:$F$85,MATCH($A103,Inputs!$A$6:$A$85,0)),"not in register"))</f>
        <v/>
      </c>
      <c r="F103" s="264" t="str">
        <f>IF($A103="","",IF(Deliverables!$H81="",0,Deliverables!$H81))</f>
        <v/>
      </c>
      <c r="G103" s="264" t="str">
        <f t="shared" si="16"/>
        <v/>
      </c>
      <c r="H103" s="265" t="str">
        <f>IF($A103="","",IFERROR(Deliverables!$E81*INDEX(Inputs!$C$6:$C$85,MATCH($A103,Inputs!$A$6:$A$85,0)),0))</f>
        <v/>
      </c>
      <c r="I103" s="265" t="str">
        <f t="shared" si="17"/>
        <v/>
      </c>
      <c r="J103" s="265" t="str">
        <f t="shared" si="18"/>
        <v/>
      </c>
      <c r="K103" s="332"/>
      <c r="L103" s="266" t="str">
        <f t="shared" si="19"/>
        <v/>
      </c>
      <c r="M103" s="267" t="str">
        <f t="shared" si="20"/>
        <v/>
      </c>
      <c r="N103" s="268" t="str">
        <f t="shared" si="21"/>
        <v/>
      </c>
      <c r="O103" s="269" t="str">
        <f t="shared" si="22"/>
        <v/>
      </c>
      <c r="P103" s="270" t="str">
        <f t="shared" si="23"/>
        <v/>
      </c>
      <c r="Q103" s="271" t="str">
        <f t="shared" si="24"/>
        <v/>
      </c>
      <c r="R103" s="272" t="str">
        <f t="shared" si="25"/>
        <v/>
      </c>
      <c r="S103" s="265" t="str">
        <f t="shared" si="26"/>
        <v/>
      </c>
      <c r="T103" s="267" t="str">
        <f>IF($R103="DO",$M103*Deliverables!K81,"")</f>
        <v/>
      </c>
      <c r="U103" s="267" t="str">
        <f>IF($R103="DO",$M103*Deliverables!L81,"")</f>
        <v/>
      </c>
      <c r="V103" s="267" t="str">
        <f>IF($R103="DO",$M103*Deliverables!M81,"")</f>
        <v/>
      </c>
      <c r="W103" s="286" t="str">
        <f>IF($A103="","",MEDIAN($B$15,$B$16,IFERROR(IF(INDEX(Inputs!$U$6:$U$85,MATCH($A103,Inputs!$A$6:$A$85,0))="",$B$13,INDEX(Inputs!$U$6:$U$85,MATCH($A103,Inputs!$A$6:$A$85,0))),$B$13)))</f>
        <v/>
      </c>
      <c r="X103" s="288" t="str">
        <f t="shared" si="15"/>
        <v/>
      </c>
      <c r="Y103" s="288" t="str">
        <f t="shared" si="15"/>
        <v/>
      </c>
      <c r="Z103" s="288" t="str">
        <f t="shared" si="15"/>
        <v/>
      </c>
      <c r="AA103" s="288" t="str">
        <f t="shared" si="15"/>
        <v/>
      </c>
    </row>
    <row r="104" spans="1:27" x14ac:dyDescent="0.3">
      <c r="A104" s="224" t="str">
        <f>IF(Deliverables!$A82="","",Deliverables!$A82)</f>
        <v/>
      </c>
      <c r="B104" s="227" t="str">
        <f>IF($A104="","",Deliverables!$C82)</f>
        <v/>
      </c>
      <c r="C104" s="227" t="str">
        <f>IF($A104="","",Deliverables!$D82)</f>
        <v/>
      </c>
      <c r="D104" s="227" t="str">
        <f>IF($A104="","",Deliverables!$G82)</f>
        <v/>
      </c>
      <c r="E104" s="227" t="str">
        <f>IF($A104="","",IFERROR(INDEX(Inputs!$F$6:$F$85,MATCH($A104,Inputs!$A$6:$A$85,0)),"not in register"))</f>
        <v/>
      </c>
      <c r="F104" s="264" t="str">
        <f>IF($A104="","",IF(Deliverables!$H82="",0,Deliverables!$H82))</f>
        <v/>
      </c>
      <c r="G104" s="264" t="str">
        <f t="shared" si="16"/>
        <v/>
      </c>
      <c r="H104" s="265" t="str">
        <f>IF($A104="","",IFERROR(Deliverables!$E82*INDEX(Inputs!$C$6:$C$85,MATCH($A104,Inputs!$A$6:$A$85,0)),0))</f>
        <v/>
      </c>
      <c r="I104" s="265" t="str">
        <f t="shared" si="17"/>
        <v/>
      </c>
      <c r="J104" s="265" t="str">
        <f t="shared" si="18"/>
        <v/>
      </c>
      <c r="K104" s="332"/>
      <c r="L104" s="266" t="str">
        <f t="shared" si="19"/>
        <v/>
      </c>
      <c r="M104" s="267" t="str">
        <f t="shared" si="20"/>
        <v/>
      </c>
      <c r="N104" s="268" t="str">
        <f t="shared" si="21"/>
        <v/>
      </c>
      <c r="O104" s="269" t="str">
        <f t="shared" si="22"/>
        <v/>
      </c>
      <c r="P104" s="270" t="str">
        <f t="shared" si="23"/>
        <v/>
      </c>
      <c r="Q104" s="271" t="str">
        <f t="shared" si="24"/>
        <v/>
      </c>
      <c r="R104" s="272" t="str">
        <f t="shared" si="25"/>
        <v/>
      </c>
      <c r="S104" s="265" t="str">
        <f t="shared" si="26"/>
        <v/>
      </c>
      <c r="T104" s="267" t="str">
        <f>IF($R104="DO",$M104*Deliverables!K82,"")</f>
        <v/>
      </c>
      <c r="U104" s="267" t="str">
        <f>IF($R104="DO",$M104*Deliverables!L82,"")</f>
        <v/>
      </c>
      <c r="V104" s="267" t="str">
        <f>IF($R104="DO",$M104*Deliverables!M82,"")</f>
        <v/>
      </c>
      <c r="W104" s="286" t="str">
        <f>IF($A104="","",MEDIAN($B$15,$B$16,IFERROR(IF(INDEX(Inputs!$U$6:$U$85,MATCH($A104,Inputs!$A$6:$A$85,0))="",$B$13,INDEX(Inputs!$U$6:$U$85,MATCH($A104,Inputs!$A$6:$A$85,0))),$B$13)))</f>
        <v/>
      </c>
      <c r="X104" s="288" t="str">
        <f t="shared" si="15"/>
        <v/>
      </c>
      <c r="Y104" s="288" t="str">
        <f t="shared" si="15"/>
        <v/>
      </c>
      <c r="Z104" s="288" t="str">
        <f t="shared" si="15"/>
        <v/>
      </c>
      <c r="AA104" s="288" t="str">
        <f t="shared" si="15"/>
        <v/>
      </c>
    </row>
    <row r="105" spans="1:27" x14ac:dyDescent="0.3">
      <c r="A105" s="224" t="str">
        <f>IF(Deliverables!$A83="","",Deliverables!$A83)</f>
        <v/>
      </c>
      <c r="B105" s="227" t="str">
        <f>IF($A105="","",Deliverables!$C83)</f>
        <v/>
      </c>
      <c r="C105" s="227" t="str">
        <f>IF($A105="","",Deliverables!$D83)</f>
        <v/>
      </c>
      <c r="D105" s="227" t="str">
        <f>IF($A105="","",Deliverables!$G83)</f>
        <v/>
      </c>
      <c r="E105" s="227" t="str">
        <f>IF($A105="","",IFERROR(INDEX(Inputs!$F$6:$F$85,MATCH($A105,Inputs!$A$6:$A$85,0)),"not in register"))</f>
        <v/>
      </c>
      <c r="F105" s="264" t="str">
        <f>IF($A105="","",IF(Deliverables!$H83="",0,Deliverables!$H83))</f>
        <v/>
      </c>
      <c r="G105" s="264" t="str">
        <f t="shared" si="16"/>
        <v/>
      </c>
      <c r="H105" s="265" t="str">
        <f>IF($A105="","",IFERROR(Deliverables!$E83*INDEX(Inputs!$C$6:$C$85,MATCH($A105,Inputs!$A$6:$A$85,0)),0))</f>
        <v/>
      </c>
      <c r="I105" s="265" t="str">
        <f t="shared" si="17"/>
        <v/>
      </c>
      <c r="J105" s="265" t="str">
        <f t="shared" si="18"/>
        <v/>
      </c>
      <c r="K105" s="332"/>
      <c r="L105" s="266" t="str">
        <f t="shared" si="19"/>
        <v/>
      </c>
      <c r="M105" s="267" t="str">
        <f t="shared" si="20"/>
        <v/>
      </c>
      <c r="N105" s="268" t="str">
        <f t="shared" si="21"/>
        <v/>
      </c>
      <c r="O105" s="269" t="str">
        <f t="shared" si="22"/>
        <v/>
      </c>
      <c r="P105" s="270" t="str">
        <f t="shared" si="23"/>
        <v/>
      </c>
      <c r="Q105" s="271" t="str">
        <f t="shared" si="24"/>
        <v/>
      </c>
      <c r="R105" s="272" t="str">
        <f t="shared" si="25"/>
        <v/>
      </c>
      <c r="S105" s="265" t="str">
        <f t="shared" si="26"/>
        <v/>
      </c>
      <c r="T105" s="267" t="str">
        <f>IF($R105="DO",$M105*Deliverables!K83,"")</f>
        <v/>
      </c>
      <c r="U105" s="267" t="str">
        <f>IF($R105="DO",$M105*Deliverables!L83,"")</f>
        <v/>
      </c>
      <c r="V105" s="267" t="str">
        <f>IF($R105="DO",$M105*Deliverables!M83,"")</f>
        <v/>
      </c>
      <c r="W105" s="286" t="str">
        <f>IF($A105="","",MEDIAN($B$15,$B$16,IFERROR(IF(INDEX(Inputs!$U$6:$U$85,MATCH($A105,Inputs!$A$6:$A$85,0))="",$B$13,INDEX(Inputs!$U$6:$U$85,MATCH($A105,Inputs!$A$6:$A$85,0))),$B$13)))</f>
        <v/>
      </c>
      <c r="X105" s="288" t="str">
        <f t="shared" si="15"/>
        <v/>
      </c>
      <c r="Y105" s="288" t="str">
        <f t="shared" si="15"/>
        <v/>
      </c>
      <c r="Z105" s="288" t="str">
        <f t="shared" si="15"/>
        <v/>
      </c>
      <c r="AA105" s="288" t="str">
        <f t="shared" si="15"/>
        <v/>
      </c>
    </row>
    <row r="106" spans="1:27" x14ac:dyDescent="0.3">
      <c r="A106" s="224" t="str">
        <f>IF(Deliverables!$A84="","",Deliverables!$A84)</f>
        <v/>
      </c>
      <c r="B106" s="227" t="str">
        <f>IF($A106="","",Deliverables!$C84)</f>
        <v/>
      </c>
      <c r="C106" s="227" t="str">
        <f>IF($A106="","",Deliverables!$D84)</f>
        <v/>
      </c>
      <c r="D106" s="227" t="str">
        <f>IF($A106="","",Deliverables!$G84)</f>
        <v/>
      </c>
      <c r="E106" s="227" t="str">
        <f>IF($A106="","",IFERROR(INDEX(Inputs!$F$6:$F$85,MATCH($A106,Inputs!$A$6:$A$85,0)),"not in register"))</f>
        <v/>
      </c>
      <c r="F106" s="264" t="str">
        <f>IF($A106="","",IF(Deliverables!$H84="",0,Deliverables!$H84))</f>
        <v/>
      </c>
      <c r="G106" s="264" t="str">
        <f t="shared" si="16"/>
        <v/>
      </c>
      <c r="H106" s="265" t="str">
        <f>IF($A106="","",IFERROR(Deliverables!$E84*INDEX(Inputs!$C$6:$C$85,MATCH($A106,Inputs!$A$6:$A$85,0)),0))</f>
        <v/>
      </c>
      <c r="I106" s="265" t="str">
        <f t="shared" si="17"/>
        <v/>
      </c>
      <c r="J106" s="265" t="str">
        <f t="shared" si="18"/>
        <v/>
      </c>
      <c r="K106" s="332"/>
      <c r="L106" s="266" t="str">
        <f t="shared" si="19"/>
        <v/>
      </c>
      <c r="M106" s="267" t="str">
        <f t="shared" si="20"/>
        <v/>
      </c>
      <c r="N106" s="268" t="str">
        <f t="shared" si="21"/>
        <v/>
      </c>
      <c r="O106" s="269" t="str">
        <f t="shared" si="22"/>
        <v/>
      </c>
      <c r="P106" s="270" t="str">
        <f t="shared" si="23"/>
        <v/>
      </c>
      <c r="Q106" s="271" t="str">
        <f t="shared" si="24"/>
        <v/>
      </c>
      <c r="R106" s="272" t="str">
        <f t="shared" si="25"/>
        <v/>
      </c>
      <c r="S106" s="265" t="str">
        <f t="shared" si="26"/>
        <v/>
      </c>
      <c r="T106" s="267" t="str">
        <f>IF($R106="DO",$M106*Deliverables!K84,"")</f>
        <v/>
      </c>
      <c r="U106" s="267" t="str">
        <f>IF($R106="DO",$M106*Deliverables!L84,"")</f>
        <v/>
      </c>
      <c r="V106" s="267" t="str">
        <f>IF($R106="DO",$M106*Deliverables!M84,"")</f>
        <v/>
      </c>
      <c r="W106" s="286" t="str">
        <f>IF($A106="","",MEDIAN($B$15,$B$16,IFERROR(IF(INDEX(Inputs!$U$6:$U$85,MATCH($A106,Inputs!$A$6:$A$85,0))="",$B$13,INDEX(Inputs!$U$6:$U$85,MATCH($A106,Inputs!$A$6:$A$85,0))),$B$13)))</f>
        <v/>
      </c>
      <c r="X106" s="288" t="str">
        <f t="shared" si="15"/>
        <v/>
      </c>
      <c r="Y106" s="288" t="str">
        <f t="shared" si="15"/>
        <v/>
      </c>
      <c r="Z106" s="288" t="str">
        <f t="shared" si="15"/>
        <v/>
      </c>
      <c r="AA106" s="288" t="str">
        <f t="shared" si="15"/>
        <v/>
      </c>
    </row>
    <row r="107" spans="1:27" x14ac:dyDescent="0.3">
      <c r="A107" s="224" t="str">
        <f>IF(Deliverables!$A85="","",Deliverables!$A85)</f>
        <v/>
      </c>
      <c r="B107" s="227" t="str">
        <f>IF($A107="","",Deliverables!$C85)</f>
        <v/>
      </c>
      <c r="C107" s="227" t="str">
        <f>IF($A107="","",Deliverables!$D85)</f>
        <v/>
      </c>
      <c r="D107" s="227" t="str">
        <f>IF($A107="","",Deliverables!$G85)</f>
        <v/>
      </c>
      <c r="E107" s="227" t="str">
        <f>IF($A107="","",IFERROR(INDEX(Inputs!$F$6:$F$85,MATCH($A107,Inputs!$A$6:$A$85,0)),"not in register"))</f>
        <v/>
      </c>
      <c r="F107" s="264" t="str">
        <f>IF($A107="","",IF(Deliverables!$H85="",0,Deliverables!$H85))</f>
        <v/>
      </c>
      <c r="G107" s="264" t="str">
        <f t="shared" si="16"/>
        <v/>
      </c>
      <c r="H107" s="265" t="str">
        <f>IF($A107="","",IFERROR(Deliverables!$E85*INDEX(Inputs!$C$6:$C$85,MATCH($A107,Inputs!$A$6:$A$85,0)),0))</f>
        <v/>
      </c>
      <c r="I107" s="265" t="str">
        <f t="shared" si="17"/>
        <v/>
      </c>
      <c r="J107" s="265" t="str">
        <f t="shared" si="18"/>
        <v/>
      </c>
      <c r="K107" s="332"/>
      <c r="L107" s="266" t="str">
        <f t="shared" si="19"/>
        <v/>
      </c>
      <c r="M107" s="267" t="str">
        <f t="shared" si="20"/>
        <v/>
      </c>
      <c r="N107" s="268" t="str">
        <f t="shared" si="21"/>
        <v/>
      </c>
      <c r="O107" s="269" t="str">
        <f t="shared" si="22"/>
        <v/>
      </c>
      <c r="P107" s="270" t="str">
        <f t="shared" si="23"/>
        <v/>
      </c>
      <c r="Q107" s="271" t="str">
        <f t="shared" si="24"/>
        <v/>
      </c>
      <c r="R107" s="272" t="str">
        <f t="shared" si="25"/>
        <v/>
      </c>
      <c r="S107" s="265" t="str">
        <f t="shared" si="26"/>
        <v/>
      </c>
      <c r="T107" s="267" t="str">
        <f>IF($R107="DO",$M107*Deliverables!K85,"")</f>
        <v/>
      </c>
      <c r="U107" s="267" t="str">
        <f>IF($R107="DO",$M107*Deliverables!L85,"")</f>
        <v/>
      </c>
      <c r="V107" s="267" t="str">
        <f>IF($R107="DO",$M107*Deliverables!M85,"")</f>
        <v/>
      </c>
      <c r="W107" s="286" t="str">
        <f>IF($A107="","",MEDIAN($B$15,$B$16,IFERROR(IF(INDEX(Inputs!$U$6:$U$85,MATCH($A107,Inputs!$A$6:$A$85,0))="",$B$13,INDEX(Inputs!$U$6:$U$85,MATCH($A107,Inputs!$A$6:$A$85,0))),$B$13)))</f>
        <v/>
      </c>
      <c r="X107" s="288" t="str">
        <f t="shared" si="15"/>
        <v/>
      </c>
      <c r="Y107" s="288" t="str">
        <f t="shared" si="15"/>
        <v/>
      </c>
      <c r="Z107" s="288" t="str">
        <f t="shared" si="15"/>
        <v/>
      </c>
      <c r="AA107" s="288" t="str">
        <f t="shared" si="15"/>
        <v/>
      </c>
    </row>
    <row r="108" spans="1:27" x14ac:dyDescent="0.3">
      <c r="A108" s="224" t="str">
        <f>IF(Deliverables!$A86="","",Deliverables!$A86)</f>
        <v/>
      </c>
      <c r="B108" s="227" t="str">
        <f>IF($A108="","",Deliverables!$C86)</f>
        <v/>
      </c>
      <c r="C108" s="227" t="str">
        <f>IF($A108="","",Deliverables!$D86)</f>
        <v/>
      </c>
      <c r="D108" s="227" t="str">
        <f>IF($A108="","",Deliverables!$G86)</f>
        <v/>
      </c>
      <c r="E108" s="227" t="str">
        <f>IF($A108="","",IFERROR(INDEX(Inputs!$F$6:$F$85,MATCH($A108,Inputs!$A$6:$A$85,0)),"not in register"))</f>
        <v/>
      </c>
      <c r="F108" s="264" t="str">
        <f>IF($A108="","",IF(Deliverables!$H86="",0,Deliverables!$H86))</f>
        <v/>
      </c>
      <c r="G108" s="264" t="str">
        <f t="shared" si="16"/>
        <v/>
      </c>
      <c r="H108" s="265" t="str">
        <f>IF($A108="","",IFERROR(Deliverables!$E86*INDEX(Inputs!$C$6:$C$85,MATCH($A108,Inputs!$A$6:$A$85,0)),0))</f>
        <v/>
      </c>
      <c r="I108" s="265" t="str">
        <f t="shared" si="17"/>
        <v/>
      </c>
      <c r="J108" s="265" t="str">
        <f t="shared" si="18"/>
        <v/>
      </c>
      <c r="K108" s="332"/>
      <c r="L108" s="266" t="str">
        <f t="shared" si="19"/>
        <v/>
      </c>
      <c r="M108" s="267" t="str">
        <f t="shared" si="20"/>
        <v/>
      </c>
      <c r="N108" s="268" t="str">
        <f t="shared" si="21"/>
        <v/>
      </c>
      <c r="O108" s="269" t="str">
        <f t="shared" si="22"/>
        <v/>
      </c>
      <c r="P108" s="270" t="str">
        <f t="shared" si="23"/>
        <v/>
      </c>
      <c r="Q108" s="271" t="str">
        <f t="shared" si="24"/>
        <v/>
      </c>
      <c r="R108" s="272" t="str">
        <f t="shared" si="25"/>
        <v/>
      </c>
      <c r="S108" s="265" t="str">
        <f t="shared" si="26"/>
        <v/>
      </c>
      <c r="T108" s="267" t="str">
        <f>IF($R108="DO",$M108*Deliverables!K86,"")</f>
        <v/>
      </c>
      <c r="U108" s="267" t="str">
        <f>IF($R108="DO",$M108*Deliverables!L86,"")</f>
        <v/>
      </c>
      <c r="V108" s="267" t="str">
        <f>IF($R108="DO",$M108*Deliverables!M86,"")</f>
        <v/>
      </c>
      <c r="W108" s="286" t="str">
        <f>IF($A108="","",MEDIAN($B$15,$B$16,IFERROR(IF(INDEX(Inputs!$U$6:$U$85,MATCH($A108,Inputs!$A$6:$A$85,0))="",$B$13,INDEX(Inputs!$U$6:$U$85,MATCH($A108,Inputs!$A$6:$A$85,0))),$B$13)))</f>
        <v/>
      </c>
      <c r="X108" s="288" t="str">
        <f t="shared" ref="X108:AA127" si="27">IF($R108&lt;&gt;"DO","",MAX(0,MIN($Q108,X$25*$B$8)-MAX($Q108-$L108,(X$25-1)*$B$8))*$B$5)</f>
        <v/>
      </c>
      <c r="Y108" s="288" t="str">
        <f t="shared" si="27"/>
        <v/>
      </c>
      <c r="Z108" s="288" t="str">
        <f t="shared" si="27"/>
        <v/>
      </c>
      <c r="AA108" s="288" t="str">
        <f t="shared" si="27"/>
        <v/>
      </c>
    </row>
    <row r="109" spans="1:27" x14ac:dyDescent="0.3">
      <c r="A109" s="224" t="str">
        <f>IF(Deliverables!$A87="","",Deliverables!$A87)</f>
        <v/>
      </c>
      <c r="B109" s="227" t="str">
        <f>IF($A109="","",Deliverables!$C87)</f>
        <v/>
      </c>
      <c r="C109" s="227" t="str">
        <f>IF($A109="","",Deliverables!$D87)</f>
        <v/>
      </c>
      <c r="D109" s="227" t="str">
        <f>IF($A109="","",Deliverables!$G87)</f>
        <v/>
      </c>
      <c r="E109" s="227" t="str">
        <f>IF($A109="","",IFERROR(INDEX(Inputs!$F$6:$F$85,MATCH($A109,Inputs!$A$6:$A$85,0)),"not in register"))</f>
        <v/>
      </c>
      <c r="F109" s="264" t="str">
        <f>IF($A109="","",IF(Deliverables!$H87="",0,Deliverables!$H87))</f>
        <v/>
      </c>
      <c r="G109" s="264" t="str">
        <f t="shared" si="16"/>
        <v/>
      </c>
      <c r="H109" s="265" t="str">
        <f>IF($A109="","",IFERROR(Deliverables!$E87*INDEX(Inputs!$C$6:$C$85,MATCH($A109,Inputs!$A$6:$A$85,0)),0))</f>
        <v/>
      </c>
      <c r="I109" s="265" t="str">
        <f t="shared" si="17"/>
        <v/>
      </c>
      <c r="J109" s="265" t="str">
        <f t="shared" si="18"/>
        <v/>
      </c>
      <c r="K109" s="332"/>
      <c r="L109" s="266" t="str">
        <f t="shared" si="19"/>
        <v/>
      </c>
      <c r="M109" s="267" t="str">
        <f t="shared" si="20"/>
        <v/>
      </c>
      <c r="N109" s="268" t="str">
        <f t="shared" si="21"/>
        <v/>
      </c>
      <c r="O109" s="269" t="str">
        <f t="shared" si="22"/>
        <v/>
      </c>
      <c r="P109" s="270" t="str">
        <f t="shared" si="23"/>
        <v/>
      </c>
      <c r="Q109" s="271" t="str">
        <f t="shared" si="24"/>
        <v/>
      </c>
      <c r="R109" s="272" t="str">
        <f t="shared" si="25"/>
        <v/>
      </c>
      <c r="S109" s="265" t="str">
        <f t="shared" si="26"/>
        <v/>
      </c>
      <c r="T109" s="267" t="str">
        <f>IF($R109="DO",$M109*Deliverables!K87,"")</f>
        <v/>
      </c>
      <c r="U109" s="267" t="str">
        <f>IF($R109="DO",$M109*Deliverables!L87,"")</f>
        <v/>
      </c>
      <c r="V109" s="267" t="str">
        <f>IF($R109="DO",$M109*Deliverables!M87,"")</f>
        <v/>
      </c>
      <c r="W109" s="286" t="str">
        <f>IF($A109="","",MEDIAN($B$15,$B$16,IFERROR(IF(INDEX(Inputs!$U$6:$U$85,MATCH($A109,Inputs!$A$6:$A$85,0))="",$B$13,INDEX(Inputs!$U$6:$U$85,MATCH($A109,Inputs!$A$6:$A$85,0))),$B$13)))</f>
        <v/>
      </c>
      <c r="X109" s="288" t="str">
        <f t="shared" si="27"/>
        <v/>
      </c>
      <c r="Y109" s="288" t="str">
        <f t="shared" si="27"/>
        <v/>
      </c>
      <c r="Z109" s="288" t="str">
        <f t="shared" si="27"/>
        <v/>
      </c>
      <c r="AA109" s="288" t="str">
        <f t="shared" si="27"/>
        <v/>
      </c>
    </row>
    <row r="110" spans="1:27" x14ac:dyDescent="0.3">
      <c r="A110" s="224" t="str">
        <f>IF(Deliverables!$A88="","",Deliverables!$A88)</f>
        <v/>
      </c>
      <c r="B110" s="227" t="str">
        <f>IF($A110="","",Deliverables!$C88)</f>
        <v/>
      </c>
      <c r="C110" s="227" t="str">
        <f>IF($A110="","",Deliverables!$D88)</f>
        <v/>
      </c>
      <c r="D110" s="227" t="str">
        <f>IF($A110="","",Deliverables!$G88)</f>
        <v/>
      </c>
      <c r="E110" s="227" t="str">
        <f>IF($A110="","",IFERROR(INDEX(Inputs!$F$6:$F$85,MATCH($A110,Inputs!$A$6:$A$85,0)),"not in register"))</f>
        <v/>
      </c>
      <c r="F110" s="264" t="str">
        <f>IF($A110="","",IF(Deliverables!$H88="",0,Deliverables!$H88))</f>
        <v/>
      </c>
      <c r="G110" s="264" t="str">
        <f t="shared" si="16"/>
        <v/>
      </c>
      <c r="H110" s="265" t="str">
        <f>IF($A110="","",IFERROR(Deliverables!$E88*INDEX(Inputs!$C$6:$C$85,MATCH($A110,Inputs!$A$6:$A$85,0)),0))</f>
        <v/>
      </c>
      <c r="I110" s="265" t="str">
        <f t="shared" si="17"/>
        <v/>
      </c>
      <c r="J110" s="265" t="str">
        <f t="shared" si="18"/>
        <v/>
      </c>
      <c r="K110" s="332"/>
      <c r="L110" s="266" t="str">
        <f t="shared" si="19"/>
        <v/>
      </c>
      <c r="M110" s="267" t="str">
        <f t="shared" si="20"/>
        <v/>
      </c>
      <c r="N110" s="268" t="str">
        <f t="shared" si="21"/>
        <v/>
      </c>
      <c r="O110" s="269" t="str">
        <f t="shared" si="22"/>
        <v/>
      </c>
      <c r="P110" s="270" t="str">
        <f t="shared" si="23"/>
        <v/>
      </c>
      <c r="Q110" s="271" t="str">
        <f t="shared" si="24"/>
        <v/>
      </c>
      <c r="R110" s="272" t="str">
        <f t="shared" si="25"/>
        <v/>
      </c>
      <c r="S110" s="265" t="str">
        <f t="shared" si="26"/>
        <v/>
      </c>
      <c r="T110" s="267" t="str">
        <f>IF($R110="DO",$M110*Deliverables!K88,"")</f>
        <v/>
      </c>
      <c r="U110" s="267" t="str">
        <f>IF($R110="DO",$M110*Deliverables!L88,"")</f>
        <v/>
      </c>
      <c r="V110" s="267" t="str">
        <f>IF($R110="DO",$M110*Deliverables!M88,"")</f>
        <v/>
      </c>
      <c r="W110" s="286" t="str">
        <f>IF($A110="","",MEDIAN($B$15,$B$16,IFERROR(IF(INDEX(Inputs!$U$6:$U$85,MATCH($A110,Inputs!$A$6:$A$85,0))="",$B$13,INDEX(Inputs!$U$6:$U$85,MATCH($A110,Inputs!$A$6:$A$85,0))),$B$13)))</f>
        <v/>
      </c>
      <c r="X110" s="288" t="str">
        <f t="shared" si="27"/>
        <v/>
      </c>
      <c r="Y110" s="288" t="str">
        <f t="shared" si="27"/>
        <v/>
      </c>
      <c r="Z110" s="288" t="str">
        <f t="shared" si="27"/>
        <v/>
      </c>
      <c r="AA110" s="288" t="str">
        <f t="shared" si="27"/>
        <v/>
      </c>
    </row>
    <row r="111" spans="1:27" x14ac:dyDescent="0.3">
      <c r="A111" s="224" t="str">
        <f>IF(Deliverables!$A89="","",Deliverables!$A89)</f>
        <v/>
      </c>
      <c r="B111" s="227" t="str">
        <f>IF($A111="","",Deliverables!$C89)</f>
        <v/>
      </c>
      <c r="C111" s="227" t="str">
        <f>IF($A111="","",Deliverables!$D89)</f>
        <v/>
      </c>
      <c r="D111" s="227" t="str">
        <f>IF($A111="","",Deliverables!$G89)</f>
        <v/>
      </c>
      <c r="E111" s="227" t="str">
        <f>IF($A111="","",IFERROR(INDEX(Inputs!$F$6:$F$85,MATCH($A111,Inputs!$A$6:$A$85,0)),"not in register"))</f>
        <v/>
      </c>
      <c r="F111" s="264" t="str">
        <f>IF($A111="","",IF(Deliverables!$H89="",0,Deliverables!$H89))</f>
        <v/>
      </c>
      <c r="G111" s="264" t="str">
        <f t="shared" si="16"/>
        <v/>
      </c>
      <c r="H111" s="265" t="str">
        <f>IF($A111="","",IFERROR(Deliverables!$E89*INDEX(Inputs!$C$6:$C$85,MATCH($A111,Inputs!$A$6:$A$85,0)),0))</f>
        <v/>
      </c>
      <c r="I111" s="265" t="str">
        <f t="shared" si="17"/>
        <v/>
      </c>
      <c r="J111" s="265" t="str">
        <f t="shared" si="18"/>
        <v/>
      </c>
      <c r="K111" s="332"/>
      <c r="L111" s="266" t="str">
        <f t="shared" si="19"/>
        <v/>
      </c>
      <c r="M111" s="267" t="str">
        <f t="shared" si="20"/>
        <v/>
      </c>
      <c r="N111" s="268" t="str">
        <f t="shared" si="21"/>
        <v/>
      </c>
      <c r="O111" s="269" t="str">
        <f t="shared" si="22"/>
        <v/>
      </c>
      <c r="P111" s="270" t="str">
        <f t="shared" si="23"/>
        <v/>
      </c>
      <c r="Q111" s="271" t="str">
        <f t="shared" si="24"/>
        <v/>
      </c>
      <c r="R111" s="272" t="str">
        <f t="shared" si="25"/>
        <v/>
      </c>
      <c r="S111" s="265" t="str">
        <f t="shared" si="26"/>
        <v/>
      </c>
      <c r="T111" s="267" t="str">
        <f>IF($R111="DO",$M111*Deliverables!K89,"")</f>
        <v/>
      </c>
      <c r="U111" s="267" t="str">
        <f>IF($R111="DO",$M111*Deliverables!L89,"")</f>
        <v/>
      </c>
      <c r="V111" s="267" t="str">
        <f>IF($R111="DO",$M111*Deliverables!M89,"")</f>
        <v/>
      </c>
      <c r="W111" s="286" t="str">
        <f>IF($A111="","",MEDIAN($B$15,$B$16,IFERROR(IF(INDEX(Inputs!$U$6:$U$85,MATCH($A111,Inputs!$A$6:$A$85,0))="",$B$13,INDEX(Inputs!$U$6:$U$85,MATCH($A111,Inputs!$A$6:$A$85,0))),$B$13)))</f>
        <v/>
      </c>
      <c r="X111" s="288" t="str">
        <f t="shared" si="27"/>
        <v/>
      </c>
      <c r="Y111" s="288" t="str">
        <f t="shared" si="27"/>
        <v/>
      </c>
      <c r="Z111" s="288" t="str">
        <f t="shared" si="27"/>
        <v/>
      </c>
      <c r="AA111" s="288" t="str">
        <f t="shared" si="27"/>
        <v/>
      </c>
    </row>
    <row r="112" spans="1:27" x14ac:dyDescent="0.3">
      <c r="A112" s="224" t="str">
        <f>IF(Deliverables!$A90="","",Deliverables!$A90)</f>
        <v/>
      </c>
      <c r="B112" s="227" t="str">
        <f>IF($A112="","",Deliverables!$C90)</f>
        <v/>
      </c>
      <c r="C112" s="227" t="str">
        <f>IF($A112="","",Deliverables!$D90)</f>
        <v/>
      </c>
      <c r="D112" s="227" t="str">
        <f>IF($A112="","",Deliverables!$G90)</f>
        <v/>
      </c>
      <c r="E112" s="227" t="str">
        <f>IF($A112="","",IFERROR(INDEX(Inputs!$F$6:$F$85,MATCH($A112,Inputs!$A$6:$A$85,0)),"not in register"))</f>
        <v/>
      </c>
      <c r="F112" s="264" t="str">
        <f>IF($A112="","",IF(Deliverables!$H90="",0,Deliverables!$H90))</f>
        <v/>
      </c>
      <c r="G112" s="264" t="str">
        <f t="shared" si="16"/>
        <v/>
      </c>
      <c r="H112" s="265" t="str">
        <f>IF($A112="","",IFERROR(Deliverables!$E90*INDEX(Inputs!$C$6:$C$85,MATCH($A112,Inputs!$A$6:$A$85,0)),0))</f>
        <v/>
      </c>
      <c r="I112" s="265" t="str">
        <f t="shared" si="17"/>
        <v/>
      </c>
      <c r="J112" s="265" t="str">
        <f t="shared" si="18"/>
        <v/>
      </c>
      <c r="K112" s="332"/>
      <c r="L112" s="266" t="str">
        <f t="shared" si="19"/>
        <v/>
      </c>
      <c r="M112" s="267" t="str">
        <f t="shared" si="20"/>
        <v/>
      </c>
      <c r="N112" s="268" t="str">
        <f t="shared" si="21"/>
        <v/>
      </c>
      <c r="O112" s="269" t="str">
        <f t="shared" si="22"/>
        <v/>
      </c>
      <c r="P112" s="270" t="str">
        <f t="shared" si="23"/>
        <v/>
      </c>
      <c r="Q112" s="271" t="str">
        <f t="shared" si="24"/>
        <v/>
      </c>
      <c r="R112" s="272" t="str">
        <f t="shared" si="25"/>
        <v/>
      </c>
      <c r="S112" s="265" t="str">
        <f t="shared" si="26"/>
        <v/>
      </c>
      <c r="T112" s="267" t="str">
        <f>IF($R112="DO",$M112*Deliverables!K90,"")</f>
        <v/>
      </c>
      <c r="U112" s="267" t="str">
        <f>IF($R112="DO",$M112*Deliverables!L90,"")</f>
        <v/>
      </c>
      <c r="V112" s="267" t="str">
        <f>IF($R112="DO",$M112*Deliverables!M90,"")</f>
        <v/>
      </c>
      <c r="W112" s="286" t="str">
        <f>IF($A112="","",MEDIAN($B$15,$B$16,IFERROR(IF(INDEX(Inputs!$U$6:$U$85,MATCH($A112,Inputs!$A$6:$A$85,0))="",$B$13,INDEX(Inputs!$U$6:$U$85,MATCH($A112,Inputs!$A$6:$A$85,0))),$B$13)))</f>
        <v/>
      </c>
      <c r="X112" s="288" t="str">
        <f t="shared" si="27"/>
        <v/>
      </c>
      <c r="Y112" s="288" t="str">
        <f t="shared" si="27"/>
        <v/>
      </c>
      <c r="Z112" s="288" t="str">
        <f t="shared" si="27"/>
        <v/>
      </c>
      <c r="AA112" s="288" t="str">
        <f t="shared" si="27"/>
        <v/>
      </c>
    </row>
    <row r="113" spans="1:27" x14ac:dyDescent="0.3">
      <c r="A113" s="224" t="str">
        <f>IF(Deliverables!$A91="","",Deliverables!$A91)</f>
        <v/>
      </c>
      <c r="B113" s="227" t="str">
        <f>IF($A113="","",Deliverables!$C91)</f>
        <v/>
      </c>
      <c r="C113" s="227" t="str">
        <f>IF($A113="","",Deliverables!$D91)</f>
        <v/>
      </c>
      <c r="D113" s="227" t="str">
        <f>IF($A113="","",Deliverables!$G91)</f>
        <v/>
      </c>
      <c r="E113" s="227" t="str">
        <f>IF($A113="","",IFERROR(INDEX(Inputs!$F$6:$F$85,MATCH($A113,Inputs!$A$6:$A$85,0)),"not in register"))</f>
        <v/>
      </c>
      <c r="F113" s="264" t="str">
        <f>IF($A113="","",IF(Deliverables!$H91="",0,Deliverables!$H91))</f>
        <v/>
      </c>
      <c r="G113" s="264" t="str">
        <f t="shared" si="16"/>
        <v/>
      </c>
      <c r="H113" s="265" t="str">
        <f>IF($A113="","",IFERROR(Deliverables!$E91*INDEX(Inputs!$C$6:$C$85,MATCH($A113,Inputs!$A$6:$A$85,0)),0))</f>
        <v/>
      </c>
      <c r="I113" s="265" t="str">
        <f t="shared" si="17"/>
        <v/>
      </c>
      <c r="J113" s="265" t="str">
        <f t="shared" si="18"/>
        <v/>
      </c>
      <c r="K113" s="332"/>
      <c r="L113" s="266" t="str">
        <f t="shared" si="19"/>
        <v/>
      </c>
      <c r="M113" s="267" t="str">
        <f t="shared" si="20"/>
        <v/>
      </c>
      <c r="N113" s="268" t="str">
        <f t="shared" si="21"/>
        <v/>
      </c>
      <c r="O113" s="269" t="str">
        <f t="shared" si="22"/>
        <v/>
      </c>
      <c r="P113" s="270" t="str">
        <f t="shared" si="23"/>
        <v/>
      </c>
      <c r="Q113" s="271" t="str">
        <f t="shared" si="24"/>
        <v/>
      </c>
      <c r="R113" s="272" t="str">
        <f t="shared" si="25"/>
        <v/>
      </c>
      <c r="S113" s="265" t="str">
        <f t="shared" si="26"/>
        <v/>
      </c>
      <c r="T113" s="267" t="str">
        <f>IF($R113="DO",$M113*Deliverables!K91,"")</f>
        <v/>
      </c>
      <c r="U113" s="267" t="str">
        <f>IF($R113="DO",$M113*Deliverables!L91,"")</f>
        <v/>
      </c>
      <c r="V113" s="267" t="str">
        <f>IF($R113="DO",$M113*Deliverables!M91,"")</f>
        <v/>
      </c>
      <c r="W113" s="286" t="str">
        <f>IF($A113="","",MEDIAN($B$15,$B$16,IFERROR(IF(INDEX(Inputs!$U$6:$U$85,MATCH($A113,Inputs!$A$6:$A$85,0))="",$B$13,INDEX(Inputs!$U$6:$U$85,MATCH($A113,Inputs!$A$6:$A$85,0))),$B$13)))</f>
        <v/>
      </c>
      <c r="X113" s="288" t="str">
        <f t="shared" si="27"/>
        <v/>
      </c>
      <c r="Y113" s="288" t="str">
        <f t="shared" si="27"/>
        <v/>
      </c>
      <c r="Z113" s="288" t="str">
        <f t="shared" si="27"/>
        <v/>
      </c>
      <c r="AA113" s="288" t="str">
        <f t="shared" si="27"/>
        <v/>
      </c>
    </row>
    <row r="114" spans="1:27" x14ac:dyDescent="0.3">
      <c r="A114" s="224" t="str">
        <f>IF(Deliverables!$A92="","",Deliverables!$A92)</f>
        <v/>
      </c>
      <c r="B114" s="227" t="str">
        <f>IF($A114="","",Deliverables!$C92)</f>
        <v/>
      </c>
      <c r="C114" s="227" t="str">
        <f>IF($A114="","",Deliverables!$D92)</f>
        <v/>
      </c>
      <c r="D114" s="227" t="str">
        <f>IF($A114="","",Deliverables!$G92)</f>
        <v/>
      </c>
      <c r="E114" s="227" t="str">
        <f>IF($A114="","",IFERROR(INDEX(Inputs!$F$6:$F$85,MATCH($A114,Inputs!$A$6:$A$85,0)),"not in register"))</f>
        <v/>
      </c>
      <c r="F114" s="264" t="str">
        <f>IF($A114="","",IF(Deliverables!$H92="",0,Deliverables!$H92))</f>
        <v/>
      </c>
      <c r="G114" s="264" t="str">
        <f t="shared" si="16"/>
        <v/>
      </c>
      <c r="H114" s="265" t="str">
        <f>IF($A114="","",IFERROR(Deliverables!$E92*INDEX(Inputs!$C$6:$C$85,MATCH($A114,Inputs!$A$6:$A$85,0)),0))</f>
        <v/>
      </c>
      <c r="I114" s="265" t="str">
        <f t="shared" si="17"/>
        <v/>
      </c>
      <c r="J114" s="265" t="str">
        <f t="shared" si="18"/>
        <v/>
      </c>
      <c r="K114" s="332"/>
      <c r="L114" s="266" t="str">
        <f t="shared" si="19"/>
        <v/>
      </c>
      <c r="M114" s="267" t="str">
        <f t="shared" si="20"/>
        <v/>
      </c>
      <c r="N114" s="268" t="str">
        <f t="shared" si="21"/>
        <v/>
      </c>
      <c r="O114" s="269" t="str">
        <f t="shared" si="22"/>
        <v/>
      </c>
      <c r="P114" s="270" t="str">
        <f t="shared" si="23"/>
        <v/>
      </c>
      <c r="Q114" s="271" t="str">
        <f t="shared" si="24"/>
        <v/>
      </c>
      <c r="R114" s="272" t="str">
        <f t="shared" si="25"/>
        <v/>
      </c>
      <c r="S114" s="265" t="str">
        <f t="shared" si="26"/>
        <v/>
      </c>
      <c r="T114" s="267" t="str">
        <f>IF($R114="DO",$M114*Deliverables!K92,"")</f>
        <v/>
      </c>
      <c r="U114" s="267" t="str">
        <f>IF($R114="DO",$M114*Deliverables!L92,"")</f>
        <v/>
      </c>
      <c r="V114" s="267" t="str">
        <f>IF($R114="DO",$M114*Deliverables!M92,"")</f>
        <v/>
      </c>
      <c r="W114" s="286" t="str">
        <f>IF($A114="","",MEDIAN($B$15,$B$16,IFERROR(IF(INDEX(Inputs!$U$6:$U$85,MATCH($A114,Inputs!$A$6:$A$85,0))="",$B$13,INDEX(Inputs!$U$6:$U$85,MATCH($A114,Inputs!$A$6:$A$85,0))),$B$13)))</f>
        <v/>
      </c>
      <c r="X114" s="288" t="str">
        <f t="shared" si="27"/>
        <v/>
      </c>
      <c r="Y114" s="288" t="str">
        <f t="shared" si="27"/>
        <v/>
      </c>
      <c r="Z114" s="288" t="str">
        <f t="shared" si="27"/>
        <v/>
      </c>
      <c r="AA114" s="288" t="str">
        <f t="shared" si="27"/>
        <v/>
      </c>
    </row>
    <row r="115" spans="1:27" x14ac:dyDescent="0.3">
      <c r="A115" s="224" t="str">
        <f>IF(Deliverables!$A93="","",Deliverables!$A93)</f>
        <v/>
      </c>
      <c r="B115" s="227" t="str">
        <f>IF($A115="","",Deliverables!$C93)</f>
        <v/>
      </c>
      <c r="C115" s="227" t="str">
        <f>IF($A115="","",Deliverables!$D93)</f>
        <v/>
      </c>
      <c r="D115" s="227" t="str">
        <f>IF($A115="","",Deliverables!$G93)</f>
        <v/>
      </c>
      <c r="E115" s="227" t="str">
        <f>IF($A115="","",IFERROR(INDEX(Inputs!$F$6:$F$85,MATCH($A115,Inputs!$A$6:$A$85,0)),"not in register"))</f>
        <v/>
      </c>
      <c r="F115" s="264" t="str">
        <f>IF($A115="","",IF(Deliverables!$H93="",0,Deliverables!$H93))</f>
        <v/>
      </c>
      <c r="G115" s="264" t="str">
        <f t="shared" si="16"/>
        <v/>
      </c>
      <c r="H115" s="265" t="str">
        <f>IF($A115="","",IFERROR(Deliverables!$E93*INDEX(Inputs!$C$6:$C$85,MATCH($A115,Inputs!$A$6:$A$85,0)),0))</f>
        <v/>
      </c>
      <c r="I115" s="265" t="str">
        <f t="shared" si="17"/>
        <v/>
      </c>
      <c r="J115" s="265" t="str">
        <f t="shared" si="18"/>
        <v/>
      </c>
      <c r="K115" s="332"/>
      <c r="L115" s="266" t="str">
        <f t="shared" si="19"/>
        <v/>
      </c>
      <c r="M115" s="267" t="str">
        <f t="shared" si="20"/>
        <v/>
      </c>
      <c r="N115" s="268" t="str">
        <f t="shared" si="21"/>
        <v/>
      </c>
      <c r="O115" s="269" t="str">
        <f t="shared" si="22"/>
        <v/>
      </c>
      <c r="P115" s="270" t="str">
        <f t="shared" si="23"/>
        <v/>
      </c>
      <c r="Q115" s="271" t="str">
        <f t="shared" si="24"/>
        <v/>
      </c>
      <c r="R115" s="272" t="str">
        <f t="shared" si="25"/>
        <v/>
      </c>
      <c r="S115" s="265" t="str">
        <f t="shared" si="26"/>
        <v/>
      </c>
      <c r="T115" s="267" t="str">
        <f>IF($R115="DO",$M115*Deliverables!K93,"")</f>
        <v/>
      </c>
      <c r="U115" s="267" t="str">
        <f>IF($R115="DO",$M115*Deliverables!L93,"")</f>
        <v/>
      </c>
      <c r="V115" s="267" t="str">
        <f>IF($R115="DO",$M115*Deliverables!M93,"")</f>
        <v/>
      </c>
      <c r="W115" s="286" t="str">
        <f>IF($A115="","",MEDIAN($B$15,$B$16,IFERROR(IF(INDEX(Inputs!$U$6:$U$85,MATCH($A115,Inputs!$A$6:$A$85,0))="",$B$13,INDEX(Inputs!$U$6:$U$85,MATCH($A115,Inputs!$A$6:$A$85,0))),$B$13)))</f>
        <v/>
      </c>
      <c r="X115" s="288" t="str">
        <f t="shared" si="27"/>
        <v/>
      </c>
      <c r="Y115" s="288" t="str">
        <f t="shared" si="27"/>
        <v/>
      </c>
      <c r="Z115" s="288" t="str">
        <f t="shared" si="27"/>
        <v/>
      </c>
      <c r="AA115" s="288" t="str">
        <f t="shared" si="27"/>
        <v/>
      </c>
    </row>
    <row r="116" spans="1:27" x14ac:dyDescent="0.3">
      <c r="A116" s="224" t="str">
        <f>IF(Deliverables!$A94="","",Deliverables!$A94)</f>
        <v/>
      </c>
      <c r="B116" s="227" t="str">
        <f>IF($A116="","",Deliverables!$C94)</f>
        <v/>
      </c>
      <c r="C116" s="227" t="str">
        <f>IF($A116="","",Deliverables!$D94)</f>
        <v/>
      </c>
      <c r="D116" s="227" t="str">
        <f>IF($A116="","",Deliverables!$G94)</f>
        <v/>
      </c>
      <c r="E116" s="227" t="str">
        <f>IF($A116="","",IFERROR(INDEX(Inputs!$F$6:$F$85,MATCH($A116,Inputs!$A$6:$A$85,0)),"not in register"))</f>
        <v/>
      </c>
      <c r="F116" s="264" t="str">
        <f>IF($A116="","",IF(Deliverables!$H94="",0,Deliverables!$H94))</f>
        <v/>
      </c>
      <c r="G116" s="264" t="str">
        <f t="shared" si="16"/>
        <v/>
      </c>
      <c r="H116" s="265" t="str">
        <f>IF($A116="","",IFERROR(Deliverables!$E94*INDEX(Inputs!$C$6:$C$85,MATCH($A116,Inputs!$A$6:$A$85,0)),0))</f>
        <v/>
      </c>
      <c r="I116" s="265" t="str">
        <f t="shared" si="17"/>
        <v/>
      </c>
      <c r="J116" s="265" t="str">
        <f t="shared" si="18"/>
        <v/>
      </c>
      <c r="K116" s="332"/>
      <c r="L116" s="266" t="str">
        <f t="shared" si="19"/>
        <v/>
      </c>
      <c r="M116" s="267" t="str">
        <f t="shared" si="20"/>
        <v/>
      </c>
      <c r="N116" s="268" t="str">
        <f t="shared" si="21"/>
        <v/>
      </c>
      <c r="O116" s="269" t="str">
        <f t="shared" si="22"/>
        <v/>
      </c>
      <c r="P116" s="270" t="str">
        <f t="shared" si="23"/>
        <v/>
      </c>
      <c r="Q116" s="271" t="str">
        <f t="shared" si="24"/>
        <v/>
      </c>
      <c r="R116" s="272" t="str">
        <f t="shared" si="25"/>
        <v/>
      </c>
      <c r="S116" s="265" t="str">
        <f t="shared" si="26"/>
        <v/>
      </c>
      <c r="T116" s="267" t="str">
        <f>IF($R116="DO",$M116*Deliverables!K94,"")</f>
        <v/>
      </c>
      <c r="U116" s="267" t="str">
        <f>IF($R116="DO",$M116*Deliverables!L94,"")</f>
        <v/>
      </c>
      <c r="V116" s="267" t="str">
        <f>IF($R116="DO",$M116*Deliverables!M94,"")</f>
        <v/>
      </c>
      <c r="W116" s="286" t="str">
        <f>IF($A116="","",MEDIAN($B$15,$B$16,IFERROR(IF(INDEX(Inputs!$U$6:$U$85,MATCH($A116,Inputs!$A$6:$A$85,0))="",$B$13,INDEX(Inputs!$U$6:$U$85,MATCH($A116,Inputs!$A$6:$A$85,0))),$B$13)))</f>
        <v/>
      </c>
      <c r="X116" s="288" t="str">
        <f t="shared" si="27"/>
        <v/>
      </c>
      <c r="Y116" s="288" t="str">
        <f t="shared" si="27"/>
        <v/>
      </c>
      <c r="Z116" s="288" t="str">
        <f t="shared" si="27"/>
        <v/>
      </c>
      <c r="AA116" s="288" t="str">
        <f t="shared" si="27"/>
        <v/>
      </c>
    </row>
    <row r="117" spans="1:27" x14ac:dyDescent="0.3">
      <c r="A117" s="224" t="str">
        <f>IF(Deliverables!$A95="","",Deliverables!$A95)</f>
        <v/>
      </c>
      <c r="B117" s="227" t="str">
        <f>IF($A117="","",Deliverables!$C95)</f>
        <v/>
      </c>
      <c r="C117" s="227" t="str">
        <f>IF($A117="","",Deliverables!$D95)</f>
        <v/>
      </c>
      <c r="D117" s="227" t="str">
        <f>IF($A117="","",Deliverables!$G95)</f>
        <v/>
      </c>
      <c r="E117" s="227" t="str">
        <f>IF($A117="","",IFERROR(INDEX(Inputs!$F$6:$F$85,MATCH($A117,Inputs!$A$6:$A$85,0)),"not in register"))</f>
        <v/>
      </c>
      <c r="F117" s="264" t="str">
        <f>IF($A117="","",IF(Deliverables!$H95="",0,Deliverables!$H95))</f>
        <v/>
      </c>
      <c r="G117" s="264" t="str">
        <f t="shared" si="16"/>
        <v/>
      </c>
      <c r="H117" s="265" t="str">
        <f>IF($A117="","",IFERROR(Deliverables!$E95*INDEX(Inputs!$C$6:$C$85,MATCH($A117,Inputs!$A$6:$A$85,0)),0))</f>
        <v/>
      </c>
      <c r="I117" s="265" t="str">
        <f t="shared" si="17"/>
        <v/>
      </c>
      <c r="J117" s="265" t="str">
        <f t="shared" si="18"/>
        <v/>
      </c>
      <c r="K117" s="332"/>
      <c r="L117" s="266" t="str">
        <f t="shared" si="19"/>
        <v/>
      </c>
      <c r="M117" s="267" t="str">
        <f t="shared" si="20"/>
        <v/>
      </c>
      <c r="N117" s="268" t="str">
        <f t="shared" si="21"/>
        <v/>
      </c>
      <c r="O117" s="269" t="str">
        <f t="shared" si="22"/>
        <v/>
      </c>
      <c r="P117" s="270" t="str">
        <f t="shared" si="23"/>
        <v/>
      </c>
      <c r="Q117" s="271" t="str">
        <f t="shared" si="24"/>
        <v/>
      </c>
      <c r="R117" s="272" t="str">
        <f t="shared" si="25"/>
        <v/>
      </c>
      <c r="S117" s="265" t="str">
        <f t="shared" si="26"/>
        <v/>
      </c>
      <c r="T117" s="267" t="str">
        <f>IF($R117="DO",$M117*Deliverables!K95,"")</f>
        <v/>
      </c>
      <c r="U117" s="267" t="str">
        <f>IF($R117="DO",$M117*Deliverables!L95,"")</f>
        <v/>
      </c>
      <c r="V117" s="267" t="str">
        <f>IF($R117="DO",$M117*Deliverables!M95,"")</f>
        <v/>
      </c>
      <c r="W117" s="286" t="str">
        <f>IF($A117="","",MEDIAN($B$15,$B$16,IFERROR(IF(INDEX(Inputs!$U$6:$U$85,MATCH($A117,Inputs!$A$6:$A$85,0))="",$B$13,INDEX(Inputs!$U$6:$U$85,MATCH($A117,Inputs!$A$6:$A$85,0))),$B$13)))</f>
        <v/>
      </c>
      <c r="X117" s="288" t="str">
        <f t="shared" si="27"/>
        <v/>
      </c>
      <c r="Y117" s="288" t="str">
        <f t="shared" si="27"/>
        <v/>
      </c>
      <c r="Z117" s="288" t="str">
        <f t="shared" si="27"/>
        <v/>
      </c>
      <c r="AA117" s="288" t="str">
        <f t="shared" si="27"/>
        <v/>
      </c>
    </row>
    <row r="118" spans="1:27" x14ac:dyDescent="0.3">
      <c r="A118" s="224" t="str">
        <f>IF(Deliverables!$A96="","",Deliverables!$A96)</f>
        <v/>
      </c>
      <c r="B118" s="227" t="str">
        <f>IF($A118="","",Deliverables!$C96)</f>
        <v/>
      </c>
      <c r="C118" s="227" t="str">
        <f>IF($A118="","",Deliverables!$D96)</f>
        <v/>
      </c>
      <c r="D118" s="227" t="str">
        <f>IF($A118="","",Deliverables!$G96)</f>
        <v/>
      </c>
      <c r="E118" s="227" t="str">
        <f>IF($A118="","",IFERROR(INDEX(Inputs!$F$6:$F$85,MATCH($A118,Inputs!$A$6:$A$85,0)),"not in register"))</f>
        <v/>
      </c>
      <c r="F118" s="264" t="str">
        <f>IF($A118="","",IF(Deliverables!$H96="",0,Deliverables!$H96))</f>
        <v/>
      </c>
      <c r="G118" s="264" t="str">
        <f t="shared" si="16"/>
        <v/>
      </c>
      <c r="H118" s="265" t="str">
        <f>IF($A118="","",IFERROR(Deliverables!$E96*INDEX(Inputs!$C$6:$C$85,MATCH($A118,Inputs!$A$6:$A$85,0)),0))</f>
        <v/>
      </c>
      <c r="I118" s="265" t="str">
        <f t="shared" si="17"/>
        <v/>
      </c>
      <c r="J118" s="265" t="str">
        <f t="shared" si="18"/>
        <v/>
      </c>
      <c r="K118" s="332"/>
      <c r="L118" s="266" t="str">
        <f t="shared" si="19"/>
        <v/>
      </c>
      <c r="M118" s="267" t="str">
        <f t="shared" si="20"/>
        <v/>
      </c>
      <c r="N118" s="268" t="str">
        <f t="shared" si="21"/>
        <v/>
      </c>
      <c r="O118" s="269" t="str">
        <f t="shared" si="22"/>
        <v/>
      </c>
      <c r="P118" s="270" t="str">
        <f t="shared" si="23"/>
        <v/>
      </c>
      <c r="Q118" s="271" t="str">
        <f t="shared" si="24"/>
        <v/>
      </c>
      <c r="R118" s="272" t="str">
        <f t="shared" si="25"/>
        <v/>
      </c>
      <c r="S118" s="265" t="str">
        <f t="shared" si="26"/>
        <v/>
      </c>
      <c r="T118" s="267" t="str">
        <f>IF($R118="DO",$M118*Deliverables!K96,"")</f>
        <v/>
      </c>
      <c r="U118" s="267" t="str">
        <f>IF($R118="DO",$M118*Deliverables!L96,"")</f>
        <v/>
      </c>
      <c r="V118" s="267" t="str">
        <f>IF($R118="DO",$M118*Deliverables!M96,"")</f>
        <v/>
      </c>
      <c r="W118" s="286" t="str">
        <f>IF($A118="","",MEDIAN($B$15,$B$16,IFERROR(IF(INDEX(Inputs!$U$6:$U$85,MATCH($A118,Inputs!$A$6:$A$85,0))="",$B$13,INDEX(Inputs!$U$6:$U$85,MATCH($A118,Inputs!$A$6:$A$85,0))),$B$13)))</f>
        <v/>
      </c>
      <c r="X118" s="288" t="str">
        <f t="shared" si="27"/>
        <v/>
      </c>
      <c r="Y118" s="288" t="str">
        <f t="shared" si="27"/>
        <v/>
      </c>
      <c r="Z118" s="288" t="str">
        <f t="shared" si="27"/>
        <v/>
      </c>
      <c r="AA118" s="288" t="str">
        <f t="shared" si="27"/>
        <v/>
      </c>
    </row>
    <row r="119" spans="1:27" x14ac:dyDescent="0.3">
      <c r="A119" s="224" t="str">
        <f>IF(Deliverables!$A97="","",Deliverables!$A97)</f>
        <v/>
      </c>
      <c r="B119" s="227" t="str">
        <f>IF($A119="","",Deliverables!$C97)</f>
        <v/>
      </c>
      <c r="C119" s="227" t="str">
        <f>IF($A119="","",Deliverables!$D97)</f>
        <v/>
      </c>
      <c r="D119" s="227" t="str">
        <f>IF($A119="","",Deliverables!$G97)</f>
        <v/>
      </c>
      <c r="E119" s="227" t="str">
        <f>IF($A119="","",IFERROR(INDEX(Inputs!$F$6:$F$85,MATCH($A119,Inputs!$A$6:$A$85,0)),"not in register"))</f>
        <v/>
      </c>
      <c r="F119" s="264" t="str">
        <f>IF($A119="","",IF(Deliverables!$H97="",0,Deliverables!$H97))</f>
        <v/>
      </c>
      <c r="G119" s="264" t="str">
        <f t="shared" si="16"/>
        <v/>
      </c>
      <c r="H119" s="265" t="str">
        <f>IF($A119="","",IFERROR(Deliverables!$E97*INDEX(Inputs!$C$6:$C$85,MATCH($A119,Inputs!$A$6:$A$85,0)),0))</f>
        <v/>
      </c>
      <c r="I119" s="265" t="str">
        <f t="shared" si="17"/>
        <v/>
      </c>
      <c r="J119" s="265" t="str">
        <f t="shared" si="18"/>
        <v/>
      </c>
      <c r="K119" s="332"/>
      <c r="L119" s="266" t="str">
        <f t="shared" si="19"/>
        <v/>
      </c>
      <c r="M119" s="267" t="str">
        <f t="shared" si="20"/>
        <v/>
      </c>
      <c r="N119" s="268" t="str">
        <f t="shared" si="21"/>
        <v/>
      </c>
      <c r="O119" s="269" t="str">
        <f t="shared" si="22"/>
        <v/>
      </c>
      <c r="P119" s="270" t="str">
        <f t="shared" si="23"/>
        <v/>
      </c>
      <c r="Q119" s="271" t="str">
        <f t="shared" si="24"/>
        <v/>
      </c>
      <c r="R119" s="272" t="str">
        <f t="shared" si="25"/>
        <v/>
      </c>
      <c r="S119" s="265" t="str">
        <f t="shared" si="26"/>
        <v/>
      </c>
      <c r="T119" s="267" t="str">
        <f>IF($R119="DO",$M119*Deliverables!K97,"")</f>
        <v/>
      </c>
      <c r="U119" s="267" t="str">
        <f>IF($R119="DO",$M119*Deliverables!L97,"")</f>
        <v/>
      </c>
      <c r="V119" s="267" t="str">
        <f>IF($R119="DO",$M119*Deliverables!M97,"")</f>
        <v/>
      </c>
      <c r="W119" s="286" t="str">
        <f>IF($A119="","",MEDIAN($B$15,$B$16,IFERROR(IF(INDEX(Inputs!$U$6:$U$85,MATCH($A119,Inputs!$A$6:$A$85,0))="",$B$13,INDEX(Inputs!$U$6:$U$85,MATCH($A119,Inputs!$A$6:$A$85,0))),$B$13)))</f>
        <v/>
      </c>
      <c r="X119" s="288" t="str">
        <f t="shared" si="27"/>
        <v/>
      </c>
      <c r="Y119" s="288" t="str">
        <f t="shared" si="27"/>
        <v/>
      </c>
      <c r="Z119" s="288" t="str">
        <f t="shared" si="27"/>
        <v/>
      </c>
      <c r="AA119" s="288" t="str">
        <f t="shared" si="27"/>
        <v/>
      </c>
    </row>
    <row r="120" spans="1:27" x14ac:dyDescent="0.3">
      <c r="A120" s="224" t="str">
        <f>IF(Deliverables!$A98="","",Deliverables!$A98)</f>
        <v/>
      </c>
      <c r="B120" s="227" t="str">
        <f>IF($A120="","",Deliverables!$C98)</f>
        <v/>
      </c>
      <c r="C120" s="227" t="str">
        <f>IF($A120="","",Deliverables!$D98)</f>
        <v/>
      </c>
      <c r="D120" s="227" t="str">
        <f>IF($A120="","",Deliverables!$G98)</f>
        <v/>
      </c>
      <c r="E120" s="227" t="str">
        <f>IF($A120="","",IFERROR(INDEX(Inputs!$F$6:$F$85,MATCH($A120,Inputs!$A$6:$A$85,0)),"not in register"))</f>
        <v/>
      </c>
      <c r="F120" s="264" t="str">
        <f>IF($A120="","",IF(Deliverables!$H98="",0,Deliverables!$H98))</f>
        <v/>
      </c>
      <c r="G120" s="264" t="str">
        <f t="shared" si="16"/>
        <v/>
      </c>
      <c r="H120" s="265" t="str">
        <f>IF($A120="","",IFERROR(Deliverables!$E98*INDEX(Inputs!$C$6:$C$85,MATCH($A120,Inputs!$A$6:$A$85,0)),0))</f>
        <v/>
      </c>
      <c r="I120" s="265" t="str">
        <f t="shared" si="17"/>
        <v/>
      </c>
      <c r="J120" s="265" t="str">
        <f t="shared" si="18"/>
        <v/>
      </c>
      <c r="K120" s="332"/>
      <c r="L120" s="266" t="str">
        <f t="shared" si="19"/>
        <v/>
      </c>
      <c r="M120" s="267" t="str">
        <f t="shared" si="20"/>
        <v/>
      </c>
      <c r="N120" s="268" t="str">
        <f t="shared" si="21"/>
        <v/>
      </c>
      <c r="O120" s="269" t="str">
        <f t="shared" si="22"/>
        <v/>
      </c>
      <c r="P120" s="270" t="str">
        <f t="shared" si="23"/>
        <v/>
      </c>
      <c r="Q120" s="271" t="str">
        <f t="shared" si="24"/>
        <v/>
      </c>
      <c r="R120" s="272" t="str">
        <f t="shared" si="25"/>
        <v/>
      </c>
      <c r="S120" s="265" t="str">
        <f t="shared" si="26"/>
        <v/>
      </c>
      <c r="T120" s="267" t="str">
        <f>IF($R120="DO",$M120*Deliverables!K98,"")</f>
        <v/>
      </c>
      <c r="U120" s="267" t="str">
        <f>IF($R120="DO",$M120*Deliverables!L98,"")</f>
        <v/>
      </c>
      <c r="V120" s="267" t="str">
        <f>IF($R120="DO",$M120*Deliverables!M98,"")</f>
        <v/>
      </c>
      <c r="W120" s="286" t="str">
        <f>IF($A120="","",MEDIAN($B$15,$B$16,IFERROR(IF(INDEX(Inputs!$U$6:$U$85,MATCH($A120,Inputs!$A$6:$A$85,0))="",$B$13,INDEX(Inputs!$U$6:$U$85,MATCH($A120,Inputs!$A$6:$A$85,0))),$B$13)))</f>
        <v/>
      </c>
      <c r="X120" s="288" t="str">
        <f t="shared" si="27"/>
        <v/>
      </c>
      <c r="Y120" s="288" t="str">
        <f t="shared" si="27"/>
        <v/>
      </c>
      <c r="Z120" s="288" t="str">
        <f t="shared" si="27"/>
        <v/>
      </c>
      <c r="AA120" s="288" t="str">
        <f t="shared" si="27"/>
        <v/>
      </c>
    </row>
    <row r="121" spans="1:27" x14ac:dyDescent="0.3">
      <c r="A121" s="224" t="str">
        <f>IF(Deliverables!$A99="","",Deliverables!$A99)</f>
        <v/>
      </c>
      <c r="B121" s="227" t="str">
        <f>IF($A121="","",Deliverables!$C99)</f>
        <v/>
      </c>
      <c r="C121" s="227" t="str">
        <f>IF($A121="","",Deliverables!$D99)</f>
        <v/>
      </c>
      <c r="D121" s="227" t="str">
        <f>IF($A121="","",Deliverables!$G99)</f>
        <v/>
      </c>
      <c r="E121" s="227" t="str">
        <f>IF($A121="","",IFERROR(INDEX(Inputs!$F$6:$F$85,MATCH($A121,Inputs!$A$6:$A$85,0)),"not in register"))</f>
        <v/>
      </c>
      <c r="F121" s="264" t="str">
        <f>IF($A121="","",IF(Deliverables!$H99="",0,Deliverables!$H99))</f>
        <v/>
      </c>
      <c r="G121" s="264" t="str">
        <f t="shared" si="16"/>
        <v/>
      </c>
      <c r="H121" s="265" t="str">
        <f>IF($A121="","",IFERROR(Deliverables!$E99*INDEX(Inputs!$C$6:$C$85,MATCH($A121,Inputs!$A$6:$A$85,0)),0))</f>
        <v/>
      </c>
      <c r="I121" s="265" t="str">
        <f t="shared" si="17"/>
        <v/>
      </c>
      <c r="J121" s="265" t="str">
        <f t="shared" si="18"/>
        <v/>
      </c>
      <c r="K121" s="332"/>
      <c r="L121" s="266" t="str">
        <f t="shared" si="19"/>
        <v/>
      </c>
      <c r="M121" s="267" t="str">
        <f t="shared" si="20"/>
        <v/>
      </c>
      <c r="N121" s="268" t="str">
        <f t="shared" si="21"/>
        <v/>
      </c>
      <c r="O121" s="269" t="str">
        <f t="shared" si="22"/>
        <v/>
      </c>
      <c r="P121" s="270" t="str">
        <f t="shared" si="23"/>
        <v/>
      </c>
      <c r="Q121" s="271" t="str">
        <f t="shared" si="24"/>
        <v/>
      </c>
      <c r="R121" s="272" t="str">
        <f t="shared" si="25"/>
        <v/>
      </c>
      <c r="S121" s="265" t="str">
        <f t="shared" si="26"/>
        <v/>
      </c>
      <c r="T121" s="267" t="str">
        <f>IF($R121="DO",$M121*Deliverables!K99,"")</f>
        <v/>
      </c>
      <c r="U121" s="267" t="str">
        <f>IF($R121="DO",$M121*Deliverables!L99,"")</f>
        <v/>
      </c>
      <c r="V121" s="267" t="str">
        <f>IF($R121="DO",$M121*Deliverables!M99,"")</f>
        <v/>
      </c>
      <c r="W121" s="286" t="str">
        <f>IF($A121="","",MEDIAN($B$15,$B$16,IFERROR(IF(INDEX(Inputs!$U$6:$U$85,MATCH($A121,Inputs!$A$6:$A$85,0))="",$B$13,INDEX(Inputs!$U$6:$U$85,MATCH($A121,Inputs!$A$6:$A$85,0))),$B$13)))</f>
        <v/>
      </c>
      <c r="X121" s="288" t="str">
        <f t="shared" si="27"/>
        <v/>
      </c>
      <c r="Y121" s="288" t="str">
        <f t="shared" si="27"/>
        <v/>
      </c>
      <c r="Z121" s="288" t="str">
        <f t="shared" si="27"/>
        <v/>
      </c>
      <c r="AA121" s="288" t="str">
        <f t="shared" si="27"/>
        <v/>
      </c>
    </row>
    <row r="122" spans="1:27" x14ac:dyDescent="0.3">
      <c r="A122" s="224" t="str">
        <f>IF(Deliverables!$A100="","",Deliverables!$A100)</f>
        <v/>
      </c>
      <c r="B122" s="227" t="str">
        <f>IF($A122="","",Deliverables!$C100)</f>
        <v/>
      </c>
      <c r="C122" s="227" t="str">
        <f>IF($A122="","",Deliverables!$D100)</f>
        <v/>
      </c>
      <c r="D122" s="227" t="str">
        <f>IF($A122="","",Deliverables!$G100)</f>
        <v/>
      </c>
      <c r="E122" s="227" t="str">
        <f>IF($A122="","",IFERROR(INDEX(Inputs!$F$6:$F$85,MATCH($A122,Inputs!$A$6:$A$85,0)),"not in register"))</f>
        <v/>
      </c>
      <c r="F122" s="264" t="str">
        <f>IF($A122="","",IF(Deliverables!$H100="",0,Deliverables!$H100))</f>
        <v/>
      </c>
      <c r="G122" s="264" t="str">
        <f t="shared" si="16"/>
        <v/>
      </c>
      <c r="H122" s="265" t="str">
        <f>IF($A122="","",IFERROR(Deliverables!$E100*INDEX(Inputs!$C$6:$C$85,MATCH($A122,Inputs!$A$6:$A$85,0)),0))</f>
        <v/>
      </c>
      <c r="I122" s="265" t="str">
        <f t="shared" si="17"/>
        <v/>
      </c>
      <c r="J122" s="265" t="str">
        <f t="shared" si="18"/>
        <v/>
      </c>
      <c r="K122" s="332"/>
      <c r="L122" s="266" t="str">
        <f t="shared" si="19"/>
        <v/>
      </c>
      <c r="M122" s="267" t="str">
        <f t="shared" si="20"/>
        <v/>
      </c>
      <c r="N122" s="268" t="str">
        <f t="shared" si="21"/>
        <v/>
      </c>
      <c r="O122" s="269" t="str">
        <f t="shared" si="22"/>
        <v/>
      </c>
      <c r="P122" s="270" t="str">
        <f t="shared" si="23"/>
        <v/>
      </c>
      <c r="Q122" s="271" t="str">
        <f t="shared" si="24"/>
        <v/>
      </c>
      <c r="R122" s="272" t="str">
        <f t="shared" si="25"/>
        <v/>
      </c>
      <c r="S122" s="265" t="str">
        <f t="shared" si="26"/>
        <v/>
      </c>
      <c r="T122" s="267" t="str">
        <f>IF($R122="DO",$M122*Deliverables!K100,"")</f>
        <v/>
      </c>
      <c r="U122" s="267" t="str">
        <f>IF($R122="DO",$M122*Deliverables!L100,"")</f>
        <v/>
      </c>
      <c r="V122" s="267" t="str">
        <f>IF($R122="DO",$M122*Deliverables!M100,"")</f>
        <v/>
      </c>
      <c r="W122" s="286" t="str">
        <f>IF($A122="","",MEDIAN($B$15,$B$16,IFERROR(IF(INDEX(Inputs!$U$6:$U$85,MATCH($A122,Inputs!$A$6:$A$85,0))="",$B$13,INDEX(Inputs!$U$6:$U$85,MATCH($A122,Inputs!$A$6:$A$85,0))),$B$13)))</f>
        <v/>
      </c>
      <c r="X122" s="288" t="str">
        <f t="shared" si="27"/>
        <v/>
      </c>
      <c r="Y122" s="288" t="str">
        <f t="shared" si="27"/>
        <v/>
      </c>
      <c r="Z122" s="288" t="str">
        <f t="shared" si="27"/>
        <v/>
      </c>
      <c r="AA122" s="288" t="str">
        <f t="shared" si="27"/>
        <v/>
      </c>
    </row>
    <row r="123" spans="1:27" x14ac:dyDescent="0.3">
      <c r="A123" s="224" t="str">
        <f>IF(Deliverables!$A101="","",Deliverables!$A101)</f>
        <v/>
      </c>
      <c r="B123" s="227" t="str">
        <f>IF($A123="","",Deliverables!$C101)</f>
        <v/>
      </c>
      <c r="C123" s="227" t="str">
        <f>IF($A123="","",Deliverables!$D101)</f>
        <v/>
      </c>
      <c r="D123" s="227" t="str">
        <f>IF($A123="","",Deliverables!$G101)</f>
        <v/>
      </c>
      <c r="E123" s="227" t="str">
        <f>IF($A123="","",IFERROR(INDEX(Inputs!$F$6:$F$85,MATCH($A123,Inputs!$A$6:$A$85,0)),"not in register"))</f>
        <v/>
      </c>
      <c r="F123" s="264" t="str">
        <f>IF($A123="","",IF(Deliverables!$H101="",0,Deliverables!$H101))</f>
        <v/>
      </c>
      <c r="G123" s="264" t="str">
        <f t="shared" si="16"/>
        <v/>
      </c>
      <c r="H123" s="265" t="str">
        <f>IF($A123="","",IFERROR(Deliverables!$E101*INDEX(Inputs!$C$6:$C$85,MATCH($A123,Inputs!$A$6:$A$85,0)),0))</f>
        <v/>
      </c>
      <c r="I123" s="265" t="str">
        <f t="shared" si="17"/>
        <v/>
      </c>
      <c r="J123" s="265" t="str">
        <f t="shared" si="18"/>
        <v/>
      </c>
      <c r="K123" s="332"/>
      <c r="L123" s="266" t="str">
        <f t="shared" si="19"/>
        <v/>
      </c>
      <c r="M123" s="267" t="str">
        <f t="shared" si="20"/>
        <v/>
      </c>
      <c r="N123" s="268" t="str">
        <f t="shared" si="21"/>
        <v/>
      </c>
      <c r="O123" s="269" t="str">
        <f t="shared" si="22"/>
        <v/>
      </c>
      <c r="P123" s="270" t="str">
        <f t="shared" si="23"/>
        <v/>
      </c>
      <c r="Q123" s="271" t="str">
        <f t="shared" si="24"/>
        <v/>
      </c>
      <c r="R123" s="272" t="str">
        <f t="shared" si="25"/>
        <v/>
      </c>
      <c r="S123" s="265" t="str">
        <f t="shared" si="26"/>
        <v/>
      </c>
      <c r="T123" s="267" t="str">
        <f>IF($R123="DO",$M123*Deliverables!K101,"")</f>
        <v/>
      </c>
      <c r="U123" s="267" t="str">
        <f>IF($R123="DO",$M123*Deliverables!L101,"")</f>
        <v/>
      </c>
      <c r="V123" s="267" t="str">
        <f>IF($R123="DO",$M123*Deliverables!M101,"")</f>
        <v/>
      </c>
      <c r="W123" s="286" t="str">
        <f>IF($A123="","",MEDIAN($B$15,$B$16,IFERROR(IF(INDEX(Inputs!$U$6:$U$85,MATCH($A123,Inputs!$A$6:$A$85,0))="",$B$13,INDEX(Inputs!$U$6:$U$85,MATCH($A123,Inputs!$A$6:$A$85,0))),$B$13)))</f>
        <v/>
      </c>
      <c r="X123" s="288" t="str">
        <f t="shared" si="27"/>
        <v/>
      </c>
      <c r="Y123" s="288" t="str">
        <f t="shared" si="27"/>
        <v/>
      </c>
      <c r="Z123" s="288" t="str">
        <f t="shared" si="27"/>
        <v/>
      </c>
      <c r="AA123" s="288" t="str">
        <f t="shared" si="27"/>
        <v/>
      </c>
    </row>
    <row r="124" spans="1:27" x14ac:dyDescent="0.3">
      <c r="A124" s="224" t="str">
        <f>IF(Deliverables!$A102="","",Deliverables!$A102)</f>
        <v/>
      </c>
      <c r="B124" s="227" t="str">
        <f>IF($A124="","",Deliverables!$C102)</f>
        <v/>
      </c>
      <c r="C124" s="227" t="str">
        <f>IF($A124="","",Deliverables!$D102)</f>
        <v/>
      </c>
      <c r="D124" s="227" t="str">
        <f>IF($A124="","",Deliverables!$G102)</f>
        <v/>
      </c>
      <c r="E124" s="227" t="str">
        <f>IF($A124="","",IFERROR(INDEX(Inputs!$F$6:$F$85,MATCH($A124,Inputs!$A$6:$A$85,0)),"not in register"))</f>
        <v/>
      </c>
      <c r="F124" s="264" t="str">
        <f>IF($A124="","",IF(Deliverables!$H102="",0,Deliverables!$H102))</f>
        <v/>
      </c>
      <c r="G124" s="264" t="str">
        <f t="shared" si="16"/>
        <v/>
      </c>
      <c r="H124" s="265" t="str">
        <f>IF($A124="","",IFERROR(Deliverables!$E102*INDEX(Inputs!$C$6:$C$85,MATCH($A124,Inputs!$A$6:$A$85,0)),0))</f>
        <v/>
      </c>
      <c r="I124" s="265" t="str">
        <f t="shared" si="17"/>
        <v/>
      </c>
      <c r="J124" s="265" t="str">
        <f t="shared" si="18"/>
        <v/>
      </c>
      <c r="K124" s="332"/>
      <c r="L124" s="266" t="str">
        <f t="shared" si="19"/>
        <v/>
      </c>
      <c r="M124" s="267" t="str">
        <f t="shared" si="20"/>
        <v/>
      </c>
      <c r="N124" s="268" t="str">
        <f t="shared" si="21"/>
        <v/>
      </c>
      <c r="O124" s="269" t="str">
        <f t="shared" si="22"/>
        <v/>
      </c>
      <c r="P124" s="270" t="str">
        <f t="shared" si="23"/>
        <v/>
      </c>
      <c r="Q124" s="271" t="str">
        <f t="shared" si="24"/>
        <v/>
      </c>
      <c r="R124" s="272" t="str">
        <f t="shared" si="25"/>
        <v/>
      </c>
      <c r="S124" s="265" t="str">
        <f t="shared" si="26"/>
        <v/>
      </c>
      <c r="T124" s="267" t="str">
        <f>IF($R124="DO",$M124*Deliverables!K102,"")</f>
        <v/>
      </c>
      <c r="U124" s="267" t="str">
        <f>IF($R124="DO",$M124*Deliverables!L102,"")</f>
        <v/>
      </c>
      <c r="V124" s="267" t="str">
        <f>IF($R124="DO",$M124*Deliverables!M102,"")</f>
        <v/>
      </c>
      <c r="W124" s="286" t="str">
        <f>IF($A124="","",MEDIAN($B$15,$B$16,IFERROR(IF(INDEX(Inputs!$U$6:$U$85,MATCH($A124,Inputs!$A$6:$A$85,0))="",$B$13,INDEX(Inputs!$U$6:$U$85,MATCH($A124,Inputs!$A$6:$A$85,0))),$B$13)))</f>
        <v/>
      </c>
      <c r="X124" s="288" t="str">
        <f t="shared" si="27"/>
        <v/>
      </c>
      <c r="Y124" s="288" t="str">
        <f t="shared" si="27"/>
        <v/>
      </c>
      <c r="Z124" s="288" t="str">
        <f t="shared" si="27"/>
        <v/>
      </c>
      <c r="AA124" s="288" t="str">
        <f t="shared" si="27"/>
        <v/>
      </c>
    </row>
    <row r="125" spans="1:27" x14ac:dyDescent="0.3">
      <c r="A125" s="224" t="str">
        <f>IF(Deliverables!$A103="","",Deliverables!$A103)</f>
        <v/>
      </c>
      <c r="B125" s="227" t="str">
        <f>IF($A125="","",Deliverables!$C103)</f>
        <v/>
      </c>
      <c r="C125" s="227" t="str">
        <f>IF($A125="","",Deliverables!$D103)</f>
        <v/>
      </c>
      <c r="D125" s="227" t="str">
        <f>IF($A125="","",Deliverables!$G103)</f>
        <v/>
      </c>
      <c r="E125" s="227" t="str">
        <f>IF($A125="","",IFERROR(INDEX(Inputs!$F$6:$F$85,MATCH($A125,Inputs!$A$6:$A$85,0)),"not in register"))</f>
        <v/>
      </c>
      <c r="F125" s="264" t="str">
        <f>IF($A125="","",IF(Deliverables!$H103="",0,Deliverables!$H103))</f>
        <v/>
      </c>
      <c r="G125" s="264" t="str">
        <f t="shared" si="16"/>
        <v/>
      </c>
      <c r="H125" s="265" t="str">
        <f>IF($A125="","",IFERROR(Deliverables!$E103*INDEX(Inputs!$C$6:$C$85,MATCH($A125,Inputs!$A$6:$A$85,0)),0))</f>
        <v/>
      </c>
      <c r="I125" s="265" t="str">
        <f t="shared" si="17"/>
        <v/>
      </c>
      <c r="J125" s="265" t="str">
        <f t="shared" si="18"/>
        <v/>
      </c>
      <c r="K125" s="332"/>
      <c r="L125" s="266" t="str">
        <f t="shared" si="19"/>
        <v/>
      </c>
      <c r="M125" s="267" t="str">
        <f t="shared" si="20"/>
        <v/>
      </c>
      <c r="N125" s="268" t="str">
        <f t="shared" si="21"/>
        <v/>
      </c>
      <c r="O125" s="269" t="str">
        <f t="shared" si="22"/>
        <v/>
      </c>
      <c r="P125" s="270" t="str">
        <f t="shared" si="23"/>
        <v/>
      </c>
      <c r="Q125" s="271" t="str">
        <f t="shared" si="24"/>
        <v/>
      </c>
      <c r="R125" s="272" t="str">
        <f t="shared" si="25"/>
        <v/>
      </c>
      <c r="S125" s="265" t="str">
        <f t="shared" si="26"/>
        <v/>
      </c>
      <c r="T125" s="267" t="str">
        <f>IF($R125="DO",$M125*Deliverables!K103,"")</f>
        <v/>
      </c>
      <c r="U125" s="267" t="str">
        <f>IF($R125="DO",$M125*Deliverables!L103,"")</f>
        <v/>
      </c>
      <c r="V125" s="267" t="str">
        <f>IF($R125="DO",$M125*Deliverables!M103,"")</f>
        <v/>
      </c>
      <c r="W125" s="286" t="str">
        <f>IF($A125="","",MEDIAN($B$15,$B$16,IFERROR(IF(INDEX(Inputs!$U$6:$U$85,MATCH($A125,Inputs!$A$6:$A$85,0))="",$B$13,INDEX(Inputs!$U$6:$U$85,MATCH($A125,Inputs!$A$6:$A$85,0))),$B$13)))</f>
        <v/>
      </c>
      <c r="X125" s="288" t="str">
        <f t="shared" si="27"/>
        <v/>
      </c>
      <c r="Y125" s="288" t="str">
        <f t="shared" si="27"/>
        <v/>
      </c>
      <c r="Z125" s="288" t="str">
        <f t="shared" si="27"/>
        <v/>
      </c>
      <c r="AA125" s="288" t="str">
        <f t="shared" si="27"/>
        <v/>
      </c>
    </row>
    <row r="126" spans="1:27" x14ac:dyDescent="0.3">
      <c r="A126" s="224" t="str">
        <f>IF(Deliverables!$A104="","",Deliverables!$A104)</f>
        <v/>
      </c>
      <c r="B126" s="227" t="str">
        <f>IF($A126="","",Deliverables!$C104)</f>
        <v/>
      </c>
      <c r="C126" s="227" t="str">
        <f>IF($A126="","",Deliverables!$D104)</f>
        <v/>
      </c>
      <c r="D126" s="227" t="str">
        <f>IF($A126="","",Deliverables!$G104)</f>
        <v/>
      </c>
      <c r="E126" s="227" t="str">
        <f>IF($A126="","",IFERROR(INDEX(Inputs!$F$6:$F$85,MATCH($A126,Inputs!$A$6:$A$85,0)),"not in register"))</f>
        <v/>
      </c>
      <c r="F126" s="264" t="str">
        <f>IF($A126="","",IF(Deliverables!$H104="",0,Deliverables!$H104))</f>
        <v/>
      </c>
      <c r="G126" s="264" t="str">
        <f t="shared" si="16"/>
        <v/>
      </c>
      <c r="H126" s="265" t="str">
        <f>IF($A126="","",IFERROR(Deliverables!$E104*INDEX(Inputs!$C$6:$C$85,MATCH($A126,Inputs!$A$6:$A$85,0)),0))</f>
        <v/>
      </c>
      <c r="I126" s="265" t="str">
        <f t="shared" si="17"/>
        <v/>
      </c>
      <c r="J126" s="265" t="str">
        <f t="shared" si="18"/>
        <v/>
      </c>
      <c r="K126" s="332"/>
      <c r="L126" s="266" t="str">
        <f t="shared" si="19"/>
        <v/>
      </c>
      <c r="M126" s="267" t="str">
        <f t="shared" si="20"/>
        <v/>
      </c>
      <c r="N126" s="268" t="str">
        <f t="shared" si="21"/>
        <v/>
      </c>
      <c r="O126" s="269" t="str">
        <f t="shared" si="22"/>
        <v/>
      </c>
      <c r="P126" s="270" t="str">
        <f t="shared" si="23"/>
        <v/>
      </c>
      <c r="Q126" s="271" t="str">
        <f t="shared" si="24"/>
        <v/>
      </c>
      <c r="R126" s="272" t="str">
        <f t="shared" si="25"/>
        <v/>
      </c>
      <c r="S126" s="265" t="str">
        <f t="shared" si="26"/>
        <v/>
      </c>
      <c r="T126" s="267" t="str">
        <f>IF($R126="DO",$M126*Deliverables!K104,"")</f>
        <v/>
      </c>
      <c r="U126" s="267" t="str">
        <f>IF($R126="DO",$M126*Deliverables!L104,"")</f>
        <v/>
      </c>
      <c r="V126" s="267" t="str">
        <f>IF($R126="DO",$M126*Deliverables!M104,"")</f>
        <v/>
      </c>
      <c r="W126" s="286" t="str">
        <f>IF($A126="","",MEDIAN($B$15,$B$16,IFERROR(IF(INDEX(Inputs!$U$6:$U$85,MATCH($A126,Inputs!$A$6:$A$85,0))="",$B$13,INDEX(Inputs!$U$6:$U$85,MATCH($A126,Inputs!$A$6:$A$85,0))),$B$13)))</f>
        <v/>
      </c>
      <c r="X126" s="288" t="str">
        <f t="shared" si="27"/>
        <v/>
      </c>
      <c r="Y126" s="288" t="str">
        <f t="shared" si="27"/>
        <v/>
      </c>
      <c r="Z126" s="288" t="str">
        <f t="shared" si="27"/>
        <v/>
      </c>
      <c r="AA126" s="288" t="str">
        <f t="shared" si="27"/>
        <v/>
      </c>
    </row>
    <row r="127" spans="1:27" x14ac:dyDescent="0.3">
      <c r="A127" s="224" t="str">
        <f>IF(Deliverables!$A105="","",Deliverables!$A105)</f>
        <v/>
      </c>
      <c r="B127" s="227" t="str">
        <f>IF($A127="","",Deliverables!$C105)</f>
        <v/>
      </c>
      <c r="C127" s="227" t="str">
        <f>IF($A127="","",Deliverables!$D105)</f>
        <v/>
      </c>
      <c r="D127" s="227" t="str">
        <f>IF($A127="","",Deliverables!$G105)</f>
        <v/>
      </c>
      <c r="E127" s="227" t="str">
        <f>IF($A127="","",IFERROR(INDEX(Inputs!$F$6:$F$85,MATCH($A127,Inputs!$A$6:$A$85,0)),"not in register"))</f>
        <v/>
      </c>
      <c r="F127" s="264" t="str">
        <f>IF($A127="","",IF(Deliverables!$H105="",0,Deliverables!$H105))</f>
        <v/>
      </c>
      <c r="G127" s="264" t="str">
        <f t="shared" si="16"/>
        <v/>
      </c>
      <c r="H127" s="265" t="str">
        <f>IF($A127="","",IFERROR(Deliverables!$E105*INDEX(Inputs!$C$6:$C$85,MATCH($A127,Inputs!$A$6:$A$85,0)),0))</f>
        <v/>
      </c>
      <c r="I127" s="265" t="str">
        <f t="shared" si="17"/>
        <v/>
      </c>
      <c r="J127" s="265" t="str">
        <f t="shared" si="18"/>
        <v/>
      </c>
      <c r="K127" s="332"/>
      <c r="L127" s="266" t="str">
        <f t="shared" si="19"/>
        <v/>
      </c>
      <c r="M127" s="267" t="str">
        <f t="shared" si="20"/>
        <v/>
      </c>
      <c r="N127" s="268" t="str">
        <f t="shared" si="21"/>
        <v/>
      </c>
      <c r="O127" s="269" t="str">
        <f t="shared" si="22"/>
        <v/>
      </c>
      <c r="P127" s="270" t="str">
        <f t="shared" si="23"/>
        <v/>
      </c>
      <c r="Q127" s="271" t="str">
        <f t="shared" si="24"/>
        <v/>
      </c>
      <c r="R127" s="272" t="str">
        <f t="shared" si="25"/>
        <v/>
      </c>
      <c r="S127" s="265" t="str">
        <f t="shared" si="26"/>
        <v/>
      </c>
      <c r="T127" s="267" t="str">
        <f>IF($R127="DO",$M127*Deliverables!K105,"")</f>
        <v/>
      </c>
      <c r="U127" s="267" t="str">
        <f>IF($R127="DO",$M127*Deliverables!L105,"")</f>
        <v/>
      </c>
      <c r="V127" s="267" t="str">
        <f>IF($R127="DO",$M127*Deliverables!M105,"")</f>
        <v/>
      </c>
      <c r="W127" s="286" t="str">
        <f>IF($A127="","",MEDIAN($B$15,$B$16,IFERROR(IF(INDEX(Inputs!$U$6:$U$85,MATCH($A127,Inputs!$A$6:$A$85,0))="",$B$13,INDEX(Inputs!$U$6:$U$85,MATCH($A127,Inputs!$A$6:$A$85,0))),$B$13)))</f>
        <v/>
      </c>
      <c r="X127" s="288" t="str">
        <f t="shared" si="27"/>
        <v/>
      </c>
      <c r="Y127" s="288" t="str">
        <f t="shared" si="27"/>
        <v/>
      </c>
      <c r="Z127" s="288" t="str">
        <f t="shared" si="27"/>
        <v/>
      </c>
      <c r="AA127" s="288" t="str">
        <f t="shared" si="27"/>
        <v/>
      </c>
    </row>
    <row r="128" spans="1:27" x14ac:dyDescent="0.3">
      <c r="A128" s="224" t="str">
        <f>IF(Deliverables!$A106="","",Deliverables!$A106)</f>
        <v/>
      </c>
      <c r="B128" s="227" t="str">
        <f>IF($A128="","",Deliverables!$C106)</f>
        <v/>
      </c>
      <c r="C128" s="227" t="str">
        <f>IF($A128="","",Deliverables!$D106)</f>
        <v/>
      </c>
      <c r="D128" s="227" t="str">
        <f>IF($A128="","",Deliverables!$G106)</f>
        <v/>
      </c>
      <c r="E128" s="227" t="str">
        <f>IF($A128="","",IFERROR(INDEX(Inputs!$F$6:$F$85,MATCH($A128,Inputs!$A$6:$A$85,0)),"not in register"))</f>
        <v/>
      </c>
      <c r="F128" s="264" t="str">
        <f>IF($A128="","",IF(Deliverables!$H106="",0,Deliverables!$H106))</f>
        <v/>
      </c>
      <c r="G128" s="264" t="str">
        <f t="shared" si="16"/>
        <v/>
      </c>
      <c r="H128" s="265" t="str">
        <f>IF($A128="","",IFERROR(Deliverables!$E106*INDEX(Inputs!$C$6:$C$85,MATCH($A128,Inputs!$A$6:$A$85,0)),0))</f>
        <v/>
      </c>
      <c r="I128" s="265" t="str">
        <f t="shared" si="17"/>
        <v/>
      </c>
      <c r="J128" s="265" t="str">
        <f t="shared" si="18"/>
        <v/>
      </c>
      <c r="K128" s="332"/>
      <c r="L128" s="266" t="str">
        <f t="shared" si="19"/>
        <v/>
      </c>
      <c r="M128" s="267" t="str">
        <f t="shared" si="20"/>
        <v/>
      </c>
      <c r="N128" s="268" t="str">
        <f t="shared" si="21"/>
        <v/>
      </c>
      <c r="O128" s="269" t="str">
        <f t="shared" si="22"/>
        <v/>
      </c>
      <c r="P128" s="270" t="str">
        <f t="shared" si="23"/>
        <v/>
      </c>
      <c r="Q128" s="271" t="str">
        <f t="shared" si="24"/>
        <v/>
      </c>
      <c r="R128" s="272" t="str">
        <f t="shared" si="25"/>
        <v/>
      </c>
      <c r="S128" s="265" t="str">
        <f t="shared" si="26"/>
        <v/>
      </c>
      <c r="T128" s="267" t="str">
        <f>IF($R128="DO",$M128*Deliverables!K106,"")</f>
        <v/>
      </c>
      <c r="U128" s="267" t="str">
        <f>IF($R128="DO",$M128*Deliverables!L106,"")</f>
        <v/>
      </c>
      <c r="V128" s="267" t="str">
        <f>IF($R128="DO",$M128*Deliverables!M106,"")</f>
        <v/>
      </c>
      <c r="W128" s="286" t="str">
        <f>IF($A128="","",MEDIAN($B$15,$B$16,IFERROR(IF(INDEX(Inputs!$U$6:$U$85,MATCH($A128,Inputs!$A$6:$A$85,0))="",$B$13,INDEX(Inputs!$U$6:$U$85,MATCH($A128,Inputs!$A$6:$A$85,0))),$B$13)))</f>
        <v/>
      </c>
      <c r="X128" s="288" t="str">
        <f t="shared" ref="X128:AA147" si="28">IF($R128&lt;&gt;"DO","",MAX(0,MIN($Q128,X$25*$B$8)-MAX($Q128-$L128,(X$25-1)*$B$8))*$B$5)</f>
        <v/>
      </c>
      <c r="Y128" s="288" t="str">
        <f t="shared" si="28"/>
        <v/>
      </c>
      <c r="Z128" s="288" t="str">
        <f t="shared" si="28"/>
        <v/>
      </c>
      <c r="AA128" s="288" t="str">
        <f t="shared" si="28"/>
        <v/>
      </c>
    </row>
    <row r="129" spans="1:27" x14ac:dyDescent="0.3">
      <c r="A129" s="224" t="str">
        <f>IF(Deliverables!$A107="","",Deliverables!$A107)</f>
        <v/>
      </c>
      <c r="B129" s="227" t="str">
        <f>IF($A129="","",Deliverables!$C107)</f>
        <v/>
      </c>
      <c r="C129" s="227" t="str">
        <f>IF($A129="","",Deliverables!$D107)</f>
        <v/>
      </c>
      <c r="D129" s="227" t="str">
        <f>IF($A129="","",Deliverables!$G107)</f>
        <v/>
      </c>
      <c r="E129" s="227" t="str">
        <f>IF($A129="","",IFERROR(INDEX(Inputs!$F$6:$F$85,MATCH($A129,Inputs!$A$6:$A$85,0)),"not in register"))</f>
        <v/>
      </c>
      <c r="F129" s="264" t="str">
        <f>IF($A129="","",IF(Deliverables!$H107="",0,Deliverables!$H107))</f>
        <v/>
      </c>
      <c r="G129" s="264" t="str">
        <f t="shared" si="16"/>
        <v/>
      </c>
      <c r="H129" s="265" t="str">
        <f>IF($A129="","",IFERROR(Deliverables!$E107*INDEX(Inputs!$C$6:$C$85,MATCH($A129,Inputs!$A$6:$A$85,0)),0))</f>
        <v/>
      </c>
      <c r="I129" s="265" t="str">
        <f t="shared" si="17"/>
        <v/>
      </c>
      <c r="J129" s="265" t="str">
        <f t="shared" si="18"/>
        <v/>
      </c>
      <c r="K129" s="332"/>
      <c r="L129" s="266" t="str">
        <f t="shared" si="19"/>
        <v/>
      </c>
      <c r="M129" s="267" t="str">
        <f t="shared" si="20"/>
        <v/>
      </c>
      <c r="N129" s="268" t="str">
        <f t="shared" si="21"/>
        <v/>
      </c>
      <c r="O129" s="269" t="str">
        <f t="shared" si="22"/>
        <v/>
      </c>
      <c r="P129" s="270" t="str">
        <f t="shared" si="23"/>
        <v/>
      </c>
      <c r="Q129" s="271" t="str">
        <f t="shared" si="24"/>
        <v/>
      </c>
      <c r="R129" s="272" t="str">
        <f t="shared" si="25"/>
        <v/>
      </c>
      <c r="S129" s="265" t="str">
        <f t="shared" si="26"/>
        <v/>
      </c>
      <c r="T129" s="267" t="str">
        <f>IF($R129="DO",$M129*Deliverables!K107,"")</f>
        <v/>
      </c>
      <c r="U129" s="267" t="str">
        <f>IF($R129="DO",$M129*Deliverables!L107,"")</f>
        <v/>
      </c>
      <c r="V129" s="267" t="str">
        <f>IF($R129="DO",$M129*Deliverables!M107,"")</f>
        <v/>
      </c>
      <c r="W129" s="286" t="str">
        <f>IF($A129="","",MEDIAN($B$15,$B$16,IFERROR(IF(INDEX(Inputs!$U$6:$U$85,MATCH($A129,Inputs!$A$6:$A$85,0))="",$B$13,INDEX(Inputs!$U$6:$U$85,MATCH($A129,Inputs!$A$6:$A$85,0))),$B$13)))</f>
        <v/>
      </c>
      <c r="X129" s="288" t="str">
        <f t="shared" si="28"/>
        <v/>
      </c>
      <c r="Y129" s="288" t="str">
        <f t="shared" si="28"/>
        <v/>
      </c>
      <c r="Z129" s="288" t="str">
        <f t="shared" si="28"/>
        <v/>
      </c>
      <c r="AA129" s="288" t="str">
        <f t="shared" si="28"/>
        <v/>
      </c>
    </row>
    <row r="130" spans="1:27" x14ac:dyDescent="0.3">
      <c r="A130" s="224" t="str">
        <f>IF(Deliverables!$A108="","",Deliverables!$A108)</f>
        <v/>
      </c>
      <c r="B130" s="227" t="str">
        <f>IF($A130="","",Deliverables!$C108)</f>
        <v/>
      </c>
      <c r="C130" s="227" t="str">
        <f>IF($A130="","",Deliverables!$D108)</f>
        <v/>
      </c>
      <c r="D130" s="227" t="str">
        <f>IF($A130="","",Deliverables!$G108)</f>
        <v/>
      </c>
      <c r="E130" s="227" t="str">
        <f>IF($A130="","",IFERROR(INDEX(Inputs!$F$6:$F$85,MATCH($A130,Inputs!$A$6:$A$85,0)),"not in register"))</f>
        <v/>
      </c>
      <c r="F130" s="264" t="str">
        <f>IF($A130="","",IF(Deliverables!$H108="",0,Deliverables!$H108))</f>
        <v/>
      </c>
      <c r="G130" s="264" t="str">
        <f t="shared" si="16"/>
        <v/>
      </c>
      <c r="H130" s="265" t="str">
        <f>IF($A130="","",IFERROR(Deliverables!$E108*INDEX(Inputs!$C$6:$C$85,MATCH($A130,Inputs!$A$6:$A$85,0)),0))</f>
        <v/>
      </c>
      <c r="I130" s="265" t="str">
        <f t="shared" si="17"/>
        <v/>
      </c>
      <c r="J130" s="265" t="str">
        <f t="shared" si="18"/>
        <v/>
      </c>
      <c r="K130" s="332"/>
      <c r="L130" s="266" t="str">
        <f t="shared" si="19"/>
        <v/>
      </c>
      <c r="M130" s="267" t="str">
        <f t="shared" si="20"/>
        <v/>
      </c>
      <c r="N130" s="268" t="str">
        <f t="shared" si="21"/>
        <v/>
      </c>
      <c r="O130" s="269" t="str">
        <f t="shared" si="22"/>
        <v/>
      </c>
      <c r="P130" s="270" t="str">
        <f t="shared" si="23"/>
        <v/>
      </c>
      <c r="Q130" s="271" t="str">
        <f t="shared" si="24"/>
        <v/>
      </c>
      <c r="R130" s="272" t="str">
        <f t="shared" si="25"/>
        <v/>
      </c>
      <c r="S130" s="265" t="str">
        <f t="shared" si="26"/>
        <v/>
      </c>
      <c r="T130" s="267" t="str">
        <f>IF($R130="DO",$M130*Deliverables!K108,"")</f>
        <v/>
      </c>
      <c r="U130" s="267" t="str">
        <f>IF($R130="DO",$M130*Deliverables!L108,"")</f>
        <v/>
      </c>
      <c r="V130" s="267" t="str">
        <f>IF($R130="DO",$M130*Deliverables!M108,"")</f>
        <v/>
      </c>
      <c r="W130" s="286" t="str">
        <f>IF($A130="","",MEDIAN($B$15,$B$16,IFERROR(IF(INDEX(Inputs!$U$6:$U$85,MATCH($A130,Inputs!$A$6:$A$85,0))="",$B$13,INDEX(Inputs!$U$6:$U$85,MATCH($A130,Inputs!$A$6:$A$85,0))),$B$13)))</f>
        <v/>
      </c>
      <c r="X130" s="288" t="str">
        <f t="shared" si="28"/>
        <v/>
      </c>
      <c r="Y130" s="288" t="str">
        <f t="shared" si="28"/>
        <v/>
      </c>
      <c r="Z130" s="288" t="str">
        <f t="shared" si="28"/>
        <v/>
      </c>
      <c r="AA130" s="288" t="str">
        <f t="shared" si="28"/>
        <v/>
      </c>
    </row>
    <row r="131" spans="1:27" x14ac:dyDescent="0.3">
      <c r="A131" s="224" t="str">
        <f>IF(Deliverables!$A109="","",Deliverables!$A109)</f>
        <v/>
      </c>
      <c r="B131" s="227" t="str">
        <f>IF($A131="","",Deliverables!$C109)</f>
        <v/>
      </c>
      <c r="C131" s="227" t="str">
        <f>IF($A131="","",Deliverables!$D109)</f>
        <v/>
      </c>
      <c r="D131" s="227" t="str">
        <f>IF($A131="","",Deliverables!$G109)</f>
        <v/>
      </c>
      <c r="E131" s="227" t="str">
        <f>IF($A131="","",IFERROR(INDEX(Inputs!$F$6:$F$85,MATCH($A131,Inputs!$A$6:$A$85,0)),"not in register"))</f>
        <v/>
      </c>
      <c r="F131" s="264" t="str">
        <f>IF($A131="","",IF(Deliverables!$H109="",0,Deliverables!$H109))</f>
        <v/>
      </c>
      <c r="G131" s="264" t="str">
        <f t="shared" si="16"/>
        <v/>
      </c>
      <c r="H131" s="265" t="str">
        <f>IF($A131="","",IFERROR(Deliverables!$E109*INDEX(Inputs!$C$6:$C$85,MATCH($A131,Inputs!$A$6:$A$85,0)),0))</f>
        <v/>
      </c>
      <c r="I131" s="265" t="str">
        <f t="shared" si="17"/>
        <v/>
      </c>
      <c r="J131" s="265" t="str">
        <f t="shared" si="18"/>
        <v/>
      </c>
      <c r="K131" s="332"/>
      <c r="L131" s="266" t="str">
        <f t="shared" si="19"/>
        <v/>
      </c>
      <c r="M131" s="267" t="str">
        <f t="shared" si="20"/>
        <v/>
      </c>
      <c r="N131" s="268" t="str">
        <f t="shared" si="21"/>
        <v/>
      </c>
      <c r="O131" s="269" t="str">
        <f t="shared" si="22"/>
        <v/>
      </c>
      <c r="P131" s="270" t="str">
        <f t="shared" si="23"/>
        <v/>
      </c>
      <c r="Q131" s="271" t="str">
        <f t="shared" si="24"/>
        <v/>
      </c>
      <c r="R131" s="272" t="str">
        <f t="shared" si="25"/>
        <v/>
      </c>
      <c r="S131" s="265" t="str">
        <f t="shared" si="26"/>
        <v/>
      </c>
      <c r="T131" s="267" t="str">
        <f>IF($R131="DO",$M131*Deliverables!K109,"")</f>
        <v/>
      </c>
      <c r="U131" s="267" t="str">
        <f>IF($R131="DO",$M131*Deliverables!L109,"")</f>
        <v/>
      </c>
      <c r="V131" s="267" t="str">
        <f>IF($R131="DO",$M131*Deliverables!M109,"")</f>
        <v/>
      </c>
      <c r="W131" s="286" t="str">
        <f>IF($A131="","",MEDIAN($B$15,$B$16,IFERROR(IF(INDEX(Inputs!$U$6:$U$85,MATCH($A131,Inputs!$A$6:$A$85,0))="",$B$13,INDEX(Inputs!$U$6:$U$85,MATCH($A131,Inputs!$A$6:$A$85,0))),$B$13)))</f>
        <v/>
      </c>
      <c r="X131" s="288" t="str">
        <f t="shared" si="28"/>
        <v/>
      </c>
      <c r="Y131" s="288" t="str">
        <f t="shared" si="28"/>
        <v/>
      </c>
      <c r="Z131" s="288" t="str">
        <f t="shared" si="28"/>
        <v/>
      </c>
      <c r="AA131" s="288" t="str">
        <f t="shared" si="28"/>
        <v/>
      </c>
    </row>
    <row r="132" spans="1:27" x14ac:dyDescent="0.3">
      <c r="A132" s="224" t="str">
        <f>IF(Deliverables!$A110="","",Deliverables!$A110)</f>
        <v/>
      </c>
      <c r="B132" s="227" t="str">
        <f>IF($A132="","",Deliverables!$C110)</f>
        <v/>
      </c>
      <c r="C132" s="227" t="str">
        <f>IF($A132="","",Deliverables!$D110)</f>
        <v/>
      </c>
      <c r="D132" s="227" t="str">
        <f>IF($A132="","",Deliverables!$G110)</f>
        <v/>
      </c>
      <c r="E132" s="227" t="str">
        <f>IF($A132="","",IFERROR(INDEX(Inputs!$F$6:$F$85,MATCH($A132,Inputs!$A$6:$A$85,0)),"not in register"))</f>
        <v/>
      </c>
      <c r="F132" s="264" t="str">
        <f>IF($A132="","",IF(Deliverables!$H110="",0,Deliverables!$H110))</f>
        <v/>
      </c>
      <c r="G132" s="264" t="str">
        <f t="shared" si="16"/>
        <v/>
      </c>
      <c r="H132" s="265" t="str">
        <f>IF($A132="","",IFERROR(Deliverables!$E110*INDEX(Inputs!$C$6:$C$85,MATCH($A132,Inputs!$A$6:$A$85,0)),0))</f>
        <v/>
      </c>
      <c r="I132" s="265" t="str">
        <f t="shared" si="17"/>
        <v/>
      </c>
      <c r="J132" s="265" t="str">
        <f t="shared" si="18"/>
        <v/>
      </c>
      <c r="K132" s="332"/>
      <c r="L132" s="266" t="str">
        <f t="shared" si="19"/>
        <v/>
      </c>
      <c r="M132" s="267" t="str">
        <f t="shared" si="20"/>
        <v/>
      </c>
      <c r="N132" s="268" t="str">
        <f t="shared" si="21"/>
        <v/>
      </c>
      <c r="O132" s="269" t="str">
        <f t="shared" si="22"/>
        <v/>
      </c>
      <c r="P132" s="270" t="str">
        <f t="shared" si="23"/>
        <v/>
      </c>
      <c r="Q132" s="271" t="str">
        <f t="shared" si="24"/>
        <v/>
      </c>
      <c r="R132" s="272" t="str">
        <f t="shared" si="25"/>
        <v/>
      </c>
      <c r="S132" s="265" t="str">
        <f t="shared" si="26"/>
        <v/>
      </c>
      <c r="T132" s="267" t="str">
        <f>IF($R132="DO",$M132*Deliverables!K110,"")</f>
        <v/>
      </c>
      <c r="U132" s="267" t="str">
        <f>IF($R132="DO",$M132*Deliverables!L110,"")</f>
        <v/>
      </c>
      <c r="V132" s="267" t="str">
        <f>IF($R132="DO",$M132*Deliverables!M110,"")</f>
        <v/>
      </c>
      <c r="W132" s="286" t="str">
        <f>IF($A132="","",MEDIAN($B$15,$B$16,IFERROR(IF(INDEX(Inputs!$U$6:$U$85,MATCH($A132,Inputs!$A$6:$A$85,0))="",$B$13,INDEX(Inputs!$U$6:$U$85,MATCH($A132,Inputs!$A$6:$A$85,0))),$B$13)))</f>
        <v/>
      </c>
      <c r="X132" s="288" t="str">
        <f t="shared" si="28"/>
        <v/>
      </c>
      <c r="Y132" s="288" t="str">
        <f t="shared" si="28"/>
        <v/>
      </c>
      <c r="Z132" s="288" t="str">
        <f t="shared" si="28"/>
        <v/>
      </c>
      <c r="AA132" s="288" t="str">
        <f t="shared" si="28"/>
        <v/>
      </c>
    </row>
    <row r="133" spans="1:27" x14ac:dyDescent="0.3">
      <c r="A133" s="224" t="str">
        <f>IF(Deliverables!$A111="","",Deliverables!$A111)</f>
        <v/>
      </c>
      <c r="B133" s="227" t="str">
        <f>IF($A133="","",Deliverables!$C111)</f>
        <v/>
      </c>
      <c r="C133" s="227" t="str">
        <f>IF($A133="","",Deliverables!$D111)</f>
        <v/>
      </c>
      <c r="D133" s="227" t="str">
        <f>IF($A133="","",Deliverables!$G111)</f>
        <v/>
      </c>
      <c r="E133" s="227" t="str">
        <f>IF($A133="","",IFERROR(INDEX(Inputs!$F$6:$F$85,MATCH($A133,Inputs!$A$6:$A$85,0)),"not in register"))</f>
        <v/>
      </c>
      <c r="F133" s="264" t="str">
        <f>IF($A133="","",IF(Deliverables!$H111="",0,Deliverables!$H111))</f>
        <v/>
      </c>
      <c r="G133" s="264" t="str">
        <f t="shared" si="16"/>
        <v/>
      </c>
      <c r="H133" s="265" t="str">
        <f>IF($A133="","",IFERROR(Deliverables!$E111*INDEX(Inputs!$C$6:$C$85,MATCH($A133,Inputs!$A$6:$A$85,0)),0))</f>
        <v/>
      </c>
      <c r="I133" s="265" t="str">
        <f t="shared" si="17"/>
        <v/>
      </c>
      <c r="J133" s="265" t="str">
        <f t="shared" si="18"/>
        <v/>
      </c>
      <c r="K133" s="332"/>
      <c r="L133" s="266" t="str">
        <f t="shared" si="19"/>
        <v/>
      </c>
      <c r="M133" s="267" t="str">
        <f t="shared" si="20"/>
        <v/>
      </c>
      <c r="N133" s="268" t="str">
        <f t="shared" si="21"/>
        <v/>
      </c>
      <c r="O133" s="269" t="str">
        <f t="shared" si="22"/>
        <v/>
      </c>
      <c r="P133" s="270" t="str">
        <f t="shared" si="23"/>
        <v/>
      </c>
      <c r="Q133" s="271" t="str">
        <f t="shared" si="24"/>
        <v/>
      </c>
      <c r="R133" s="272" t="str">
        <f t="shared" si="25"/>
        <v/>
      </c>
      <c r="S133" s="265" t="str">
        <f t="shared" si="26"/>
        <v/>
      </c>
      <c r="T133" s="267" t="str">
        <f>IF($R133="DO",$M133*Deliverables!K111,"")</f>
        <v/>
      </c>
      <c r="U133" s="267" t="str">
        <f>IF($R133="DO",$M133*Deliverables!L111,"")</f>
        <v/>
      </c>
      <c r="V133" s="267" t="str">
        <f>IF($R133="DO",$M133*Deliverables!M111,"")</f>
        <v/>
      </c>
      <c r="W133" s="286" t="str">
        <f>IF($A133="","",MEDIAN($B$15,$B$16,IFERROR(IF(INDEX(Inputs!$U$6:$U$85,MATCH($A133,Inputs!$A$6:$A$85,0))="",$B$13,INDEX(Inputs!$U$6:$U$85,MATCH($A133,Inputs!$A$6:$A$85,0))),$B$13)))</f>
        <v/>
      </c>
      <c r="X133" s="288" t="str">
        <f t="shared" si="28"/>
        <v/>
      </c>
      <c r="Y133" s="288" t="str">
        <f t="shared" si="28"/>
        <v/>
      </c>
      <c r="Z133" s="288" t="str">
        <f t="shared" si="28"/>
        <v/>
      </c>
      <c r="AA133" s="288" t="str">
        <f t="shared" si="28"/>
        <v/>
      </c>
    </row>
    <row r="134" spans="1:27" x14ac:dyDescent="0.3">
      <c r="A134" s="224" t="str">
        <f>IF(Deliverables!$A112="","",Deliverables!$A112)</f>
        <v/>
      </c>
      <c r="B134" s="227" t="str">
        <f>IF($A134="","",Deliverables!$C112)</f>
        <v/>
      </c>
      <c r="C134" s="227" t="str">
        <f>IF($A134="","",Deliverables!$D112)</f>
        <v/>
      </c>
      <c r="D134" s="227" t="str">
        <f>IF($A134="","",Deliverables!$G112)</f>
        <v/>
      </c>
      <c r="E134" s="227" t="str">
        <f>IF($A134="","",IFERROR(INDEX(Inputs!$F$6:$F$85,MATCH($A134,Inputs!$A$6:$A$85,0)),"not in register"))</f>
        <v/>
      </c>
      <c r="F134" s="264" t="str">
        <f>IF($A134="","",IF(Deliverables!$H112="",0,Deliverables!$H112))</f>
        <v/>
      </c>
      <c r="G134" s="264" t="str">
        <f t="shared" si="16"/>
        <v/>
      </c>
      <c r="H134" s="265" t="str">
        <f>IF($A134="","",IFERROR(Deliverables!$E112*INDEX(Inputs!$C$6:$C$85,MATCH($A134,Inputs!$A$6:$A$85,0)),0))</f>
        <v/>
      </c>
      <c r="I134" s="265" t="str">
        <f t="shared" si="17"/>
        <v/>
      </c>
      <c r="J134" s="265" t="str">
        <f t="shared" si="18"/>
        <v/>
      </c>
      <c r="K134" s="332"/>
      <c r="L134" s="266" t="str">
        <f t="shared" si="19"/>
        <v/>
      </c>
      <c r="M134" s="267" t="str">
        <f t="shared" si="20"/>
        <v/>
      </c>
      <c r="N134" s="268" t="str">
        <f t="shared" si="21"/>
        <v/>
      </c>
      <c r="O134" s="269" t="str">
        <f t="shared" si="22"/>
        <v/>
      </c>
      <c r="P134" s="270" t="str">
        <f t="shared" si="23"/>
        <v/>
      </c>
      <c r="Q134" s="271" t="str">
        <f t="shared" si="24"/>
        <v/>
      </c>
      <c r="R134" s="272" t="str">
        <f t="shared" si="25"/>
        <v/>
      </c>
      <c r="S134" s="265" t="str">
        <f t="shared" si="26"/>
        <v/>
      </c>
      <c r="T134" s="267" t="str">
        <f>IF($R134="DO",$M134*Deliverables!K112,"")</f>
        <v/>
      </c>
      <c r="U134" s="267" t="str">
        <f>IF($R134="DO",$M134*Deliverables!L112,"")</f>
        <v/>
      </c>
      <c r="V134" s="267" t="str">
        <f>IF($R134="DO",$M134*Deliverables!M112,"")</f>
        <v/>
      </c>
      <c r="W134" s="286" t="str">
        <f>IF($A134="","",MEDIAN($B$15,$B$16,IFERROR(IF(INDEX(Inputs!$U$6:$U$85,MATCH($A134,Inputs!$A$6:$A$85,0))="",$B$13,INDEX(Inputs!$U$6:$U$85,MATCH($A134,Inputs!$A$6:$A$85,0))),$B$13)))</f>
        <v/>
      </c>
      <c r="X134" s="288" t="str">
        <f t="shared" si="28"/>
        <v/>
      </c>
      <c r="Y134" s="288" t="str">
        <f t="shared" si="28"/>
        <v/>
      </c>
      <c r="Z134" s="288" t="str">
        <f t="shared" si="28"/>
        <v/>
      </c>
      <c r="AA134" s="288" t="str">
        <f t="shared" si="28"/>
        <v/>
      </c>
    </row>
    <row r="135" spans="1:27" x14ac:dyDescent="0.3">
      <c r="A135" s="224" t="str">
        <f>IF(Deliverables!$A113="","",Deliverables!$A113)</f>
        <v/>
      </c>
      <c r="B135" s="227" t="str">
        <f>IF($A135="","",Deliverables!$C113)</f>
        <v/>
      </c>
      <c r="C135" s="227" t="str">
        <f>IF($A135="","",Deliverables!$D113)</f>
        <v/>
      </c>
      <c r="D135" s="227" t="str">
        <f>IF($A135="","",Deliverables!$G113)</f>
        <v/>
      </c>
      <c r="E135" s="227" t="str">
        <f>IF($A135="","",IFERROR(INDEX(Inputs!$F$6:$F$85,MATCH($A135,Inputs!$A$6:$A$85,0)),"not in register"))</f>
        <v/>
      </c>
      <c r="F135" s="264" t="str">
        <f>IF($A135="","",IF(Deliverables!$H113="",0,Deliverables!$H113))</f>
        <v/>
      </c>
      <c r="G135" s="264" t="str">
        <f t="shared" si="16"/>
        <v/>
      </c>
      <c r="H135" s="265" t="str">
        <f>IF($A135="","",IFERROR(Deliverables!$E113*INDEX(Inputs!$C$6:$C$85,MATCH($A135,Inputs!$A$6:$A$85,0)),0))</f>
        <v/>
      </c>
      <c r="I135" s="265" t="str">
        <f t="shared" si="17"/>
        <v/>
      </c>
      <c r="J135" s="265" t="str">
        <f t="shared" si="18"/>
        <v/>
      </c>
      <c r="K135" s="332"/>
      <c r="L135" s="266" t="str">
        <f t="shared" si="19"/>
        <v/>
      </c>
      <c r="M135" s="267" t="str">
        <f t="shared" si="20"/>
        <v/>
      </c>
      <c r="N135" s="268" t="str">
        <f t="shared" si="21"/>
        <v/>
      </c>
      <c r="O135" s="269" t="str">
        <f t="shared" si="22"/>
        <v/>
      </c>
      <c r="P135" s="270" t="str">
        <f t="shared" si="23"/>
        <v/>
      </c>
      <c r="Q135" s="271" t="str">
        <f t="shared" si="24"/>
        <v/>
      </c>
      <c r="R135" s="272" t="str">
        <f t="shared" si="25"/>
        <v/>
      </c>
      <c r="S135" s="265" t="str">
        <f t="shared" si="26"/>
        <v/>
      </c>
      <c r="T135" s="267" t="str">
        <f>IF($R135="DO",$M135*Deliverables!K113,"")</f>
        <v/>
      </c>
      <c r="U135" s="267" t="str">
        <f>IF($R135="DO",$M135*Deliverables!L113,"")</f>
        <v/>
      </c>
      <c r="V135" s="267" t="str">
        <f>IF($R135="DO",$M135*Deliverables!M113,"")</f>
        <v/>
      </c>
      <c r="W135" s="286" t="str">
        <f>IF($A135="","",MEDIAN($B$15,$B$16,IFERROR(IF(INDEX(Inputs!$U$6:$U$85,MATCH($A135,Inputs!$A$6:$A$85,0))="",$B$13,INDEX(Inputs!$U$6:$U$85,MATCH($A135,Inputs!$A$6:$A$85,0))),$B$13)))</f>
        <v/>
      </c>
      <c r="X135" s="288" t="str">
        <f t="shared" si="28"/>
        <v/>
      </c>
      <c r="Y135" s="288" t="str">
        <f t="shared" si="28"/>
        <v/>
      </c>
      <c r="Z135" s="288" t="str">
        <f t="shared" si="28"/>
        <v/>
      </c>
      <c r="AA135" s="288" t="str">
        <f t="shared" si="28"/>
        <v/>
      </c>
    </row>
    <row r="136" spans="1:27" x14ac:dyDescent="0.3">
      <c r="A136" s="224" t="str">
        <f>IF(Deliverables!$A114="","",Deliverables!$A114)</f>
        <v/>
      </c>
      <c r="B136" s="227" t="str">
        <f>IF($A136="","",Deliverables!$C114)</f>
        <v/>
      </c>
      <c r="C136" s="227" t="str">
        <f>IF($A136="","",Deliverables!$D114)</f>
        <v/>
      </c>
      <c r="D136" s="227" t="str">
        <f>IF($A136="","",Deliverables!$G114)</f>
        <v/>
      </c>
      <c r="E136" s="227" t="str">
        <f>IF($A136="","",IFERROR(INDEX(Inputs!$F$6:$F$85,MATCH($A136,Inputs!$A$6:$A$85,0)),"not in register"))</f>
        <v/>
      </c>
      <c r="F136" s="264" t="str">
        <f>IF($A136="","",IF(Deliverables!$H114="",0,Deliverables!$H114))</f>
        <v/>
      </c>
      <c r="G136" s="264" t="str">
        <f t="shared" si="16"/>
        <v/>
      </c>
      <c r="H136" s="265" t="str">
        <f>IF($A136="","",IFERROR(Deliverables!$E114*INDEX(Inputs!$C$6:$C$85,MATCH($A136,Inputs!$A$6:$A$85,0)),0))</f>
        <v/>
      </c>
      <c r="I136" s="265" t="str">
        <f t="shared" si="17"/>
        <v/>
      </c>
      <c r="J136" s="265" t="str">
        <f t="shared" si="18"/>
        <v/>
      </c>
      <c r="K136" s="332"/>
      <c r="L136" s="266" t="str">
        <f t="shared" si="19"/>
        <v/>
      </c>
      <c r="M136" s="267" t="str">
        <f t="shared" si="20"/>
        <v/>
      </c>
      <c r="N136" s="268" t="str">
        <f t="shared" si="21"/>
        <v/>
      </c>
      <c r="O136" s="269" t="str">
        <f t="shared" si="22"/>
        <v/>
      </c>
      <c r="P136" s="270" t="str">
        <f t="shared" si="23"/>
        <v/>
      </c>
      <c r="Q136" s="271" t="str">
        <f t="shared" si="24"/>
        <v/>
      </c>
      <c r="R136" s="272" t="str">
        <f t="shared" si="25"/>
        <v/>
      </c>
      <c r="S136" s="265" t="str">
        <f t="shared" si="26"/>
        <v/>
      </c>
      <c r="T136" s="267" t="str">
        <f>IF($R136="DO",$M136*Deliverables!K114,"")</f>
        <v/>
      </c>
      <c r="U136" s="267" t="str">
        <f>IF($R136="DO",$M136*Deliverables!L114,"")</f>
        <v/>
      </c>
      <c r="V136" s="267" t="str">
        <f>IF($R136="DO",$M136*Deliverables!M114,"")</f>
        <v/>
      </c>
      <c r="W136" s="286" t="str">
        <f>IF($A136="","",MEDIAN($B$15,$B$16,IFERROR(IF(INDEX(Inputs!$U$6:$U$85,MATCH($A136,Inputs!$A$6:$A$85,0))="",$B$13,INDEX(Inputs!$U$6:$U$85,MATCH($A136,Inputs!$A$6:$A$85,0))),$B$13)))</f>
        <v/>
      </c>
      <c r="X136" s="288" t="str">
        <f t="shared" si="28"/>
        <v/>
      </c>
      <c r="Y136" s="288" t="str">
        <f t="shared" si="28"/>
        <v/>
      </c>
      <c r="Z136" s="288" t="str">
        <f t="shared" si="28"/>
        <v/>
      </c>
      <c r="AA136" s="288" t="str">
        <f t="shared" si="28"/>
        <v/>
      </c>
    </row>
    <row r="137" spans="1:27" x14ac:dyDescent="0.3">
      <c r="A137" s="224" t="str">
        <f>IF(Deliverables!$A115="","",Deliverables!$A115)</f>
        <v/>
      </c>
      <c r="B137" s="227" t="str">
        <f>IF($A137="","",Deliverables!$C115)</f>
        <v/>
      </c>
      <c r="C137" s="227" t="str">
        <f>IF($A137="","",Deliverables!$D115)</f>
        <v/>
      </c>
      <c r="D137" s="227" t="str">
        <f>IF($A137="","",Deliverables!$G115)</f>
        <v/>
      </c>
      <c r="E137" s="227" t="str">
        <f>IF($A137="","",IFERROR(INDEX(Inputs!$F$6:$F$85,MATCH($A137,Inputs!$A$6:$A$85,0)),"not in register"))</f>
        <v/>
      </c>
      <c r="F137" s="264" t="str">
        <f>IF($A137="","",IF(Deliverables!$H115="",0,Deliverables!$H115))</f>
        <v/>
      </c>
      <c r="G137" s="264" t="str">
        <f t="shared" si="16"/>
        <v/>
      </c>
      <c r="H137" s="265" t="str">
        <f>IF($A137="","",IFERROR(Deliverables!$E115*INDEX(Inputs!$C$6:$C$85,MATCH($A137,Inputs!$A$6:$A$85,0)),0))</f>
        <v/>
      </c>
      <c r="I137" s="265" t="str">
        <f t="shared" si="17"/>
        <v/>
      </c>
      <c r="J137" s="265" t="str">
        <f t="shared" si="18"/>
        <v/>
      </c>
      <c r="K137" s="332"/>
      <c r="L137" s="266" t="str">
        <f t="shared" si="19"/>
        <v/>
      </c>
      <c r="M137" s="267" t="str">
        <f t="shared" si="20"/>
        <v/>
      </c>
      <c r="N137" s="268" t="str">
        <f t="shared" si="21"/>
        <v/>
      </c>
      <c r="O137" s="269" t="str">
        <f t="shared" si="22"/>
        <v/>
      </c>
      <c r="P137" s="270" t="str">
        <f t="shared" si="23"/>
        <v/>
      </c>
      <c r="Q137" s="271" t="str">
        <f t="shared" si="24"/>
        <v/>
      </c>
      <c r="R137" s="272" t="str">
        <f t="shared" si="25"/>
        <v/>
      </c>
      <c r="S137" s="265" t="str">
        <f t="shared" si="26"/>
        <v/>
      </c>
      <c r="T137" s="267" t="str">
        <f>IF($R137="DO",$M137*Deliverables!K115,"")</f>
        <v/>
      </c>
      <c r="U137" s="267" t="str">
        <f>IF($R137="DO",$M137*Deliverables!L115,"")</f>
        <v/>
      </c>
      <c r="V137" s="267" t="str">
        <f>IF($R137="DO",$M137*Deliverables!M115,"")</f>
        <v/>
      </c>
      <c r="W137" s="286" t="str">
        <f>IF($A137="","",MEDIAN($B$15,$B$16,IFERROR(IF(INDEX(Inputs!$U$6:$U$85,MATCH($A137,Inputs!$A$6:$A$85,0))="",$B$13,INDEX(Inputs!$U$6:$U$85,MATCH($A137,Inputs!$A$6:$A$85,0))),$B$13)))</f>
        <v/>
      </c>
      <c r="X137" s="288" t="str">
        <f t="shared" si="28"/>
        <v/>
      </c>
      <c r="Y137" s="288" t="str">
        <f t="shared" si="28"/>
        <v/>
      </c>
      <c r="Z137" s="288" t="str">
        <f t="shared" si="28"/>
        <v/>
      </c>
      <c r="AA137" s="288" t="str">
        <f t="shared" si="28"/>
        <v/>
      </c>
    </row>
    <row r="138" spans="1:27" x14ac:dyDescent="0.3">
      <c r="A138" s="224" t="str">
        <f>IF(Deliverables!$A116="","",Deliverables!$A116)</f>
        <v/>
      </c>
      <c r="B138" s="227" t="str">
        <f>IF($A138="","",Deliverables!$C116)</f>
        <v/>
      </c>
      <c r="C138" s="227" t="str">
        <f>IF($A138="","",Deliverables!$D116)</f>
        <v/>
      </c>
      <c r="D138" s="227" t="str">
        <f>IF($A138="","",Deliverables!$G116)</f>
        <v/>
      </c>
      <c r="E138" s="227" t="str">
        <f>IF($A138="","",IFERROR(INDEX(Inputs!$F$6:$F$85,MATCH($A138,Inputs!$A$6:$A$85,0)),"not in register"))</f>
        <v/>
      </c>
      <c r="F138" s="264" t="str">
        <f>IF($A138="","",IF(Deliverables!$H116="",0,Deliverables!$H116))</f>
        <v/>
      </c>
      <c r="G138" s="264" t="str">
        <f t="shared" si="16"/>
        <v/>
      </c>
      <c r="H138" s="265" t="str">
        <f>IF($A138="","",IFERROR(Deliverables!$E116*INDEX(Inputs!$C$6:$C$85,MATCH($A138,Inputs!$A$6:$A$85,0)),0))</f>
        <v/>
      </c>
      <c r="I138" s="265" t="str">
        <f t="shared" si="17"/>
        <v/>
      </c>
      <c r="J138" s="265" t="str">
        <f t="shared" si="18"/>
        <v/>
      </c>
      <c r="K138" s="332"/>
      <c r="L138" s="266" t="str">
        <f t="shared" si="19"/>
        <v/>
      </c>
      <c r="M138" s="267" t="str">
        <f t="shared" si="20"/>
        <v/>
      </c>
      <c r="N138" s="268" t="str">
        <f t="shared" si="21"/>
        <v/>
      </c>
      <c r="O138" s="269" t="str">
        <f t="shared" si="22"/>
        <v/>
      </c>
      <c r="P138" s="270" t="str">
        <f t="shared" si="23"/>
        <v/>
      </c>
      <c r="Q138" s="271" t="str">
        <f t="shared" si="24"/>
        <v/>
      </c>
      <c r="R138" s="272" t="str">
        <f t="shared" si="25"/>
        <v/>
      </c>
      <c r="S138" s="265" t="str">
        <f t="shared" si="26"/>
        <v/>
      </c>
      <c r="T138" s="267" t="str">
        <f>IF($R138="DO",$M138*Deliverables!K116,"")</f>
        <v/>
      </c>
      <c r="U138" s="267" t="str">
        <f>IF($R138="DO",$M138*Deliverables!L116,"")</f>
        <v/>
      </c>
      <c r="V138" s="267" t="str">
        <f>IF($R138="DO",$M138*Deliverables!M116,"")</f>
        <v/>
      </c>
      <c r="W138" s="286" t="str">
        <f>IF($A138="","",MEDIAN($B$15,$B$16,IFERROR(IF(INDEX(Inputs!$U$6:$U$85,MATCH($A138,Inputs!$A$6:$A$85,0))="",$B$13,INDEX(Inputs!$U$6:$U$85,MATCH($A138,Inputs!$A$6:$A$85,0))),$B$13)))</f>
        <v/>
      </c>
      <c r="X138" s="288" t="str">
        <f t="shared" si="28"/>
        <v/>
      </c>
      <c r="Y138" s="288" t="str">
        <f t="shared" si="28"/>
        <v/>
      </c>
      <c r="Z138" s="288" t="str">
        <f t="shared" si="28"/>
        <v/>
      </c>
      <c r="AA138" s="288" t="str">
        <f t="shared" si="28"/>
        <v/>
      </c>
    </row>
    <row r="139" spans="1:27" x14ac:dyDescent="0.3">
      <c r="A139" s="224" t="str">
        <f>IF(Deliverables!$A117="","",Deliverables!$A117)</f>
        <v/>
      </c>
      <c r="B139" s="227" t="str">
        <f>IF($A139="","",Deliverables!$C117)</f>
        <v/>
      </c>
      <c r="C139" s="227" t="str">
        <f>IF($A139="","",Deliverables!$D117)</f>
        <v/>
      </c>
      <c r="D139" s="227" t="str">
        <f>IF($A139="","",Deliverables!$G117)</f>
        <v/>
      </c>
      <c r="E139" s="227" t="str">
        <f>IF($A139="","",IFERROR(INDEX(Inputs!$F$6:$F$85,MATCH($A139,Inputs!$A$6:$A$85,0)),"not in register"))</f>
        <v/>
      </c>
      <c r="F139" s="264" t="str">
        <f>IF($A139="","",IF(Deliverables!$H117="",0,Deliverables!$H117))</f>
        <v/>
      </c>
      <c r="G139" s="264" t="str">
        <f t="shared" si="16"/>
        <v/>
      </c>
      <c r="H139" s="265" t="str">
        <f>IF($A139="","",IFERROR(Deliverables!$E117*INDEX(Inputs!$C$6:$C$85,MATCH($A139,Inputs!$A$6:$A$85,0)),0))</f>
        <v/>
      </c>
      <c r="I139" s="265" t="str">
        <f t="shared" si="17"/>
        <v/>
      </c>
      <c r="J139" s="265" t="str">
        <f t="shared" si="18"/>
        <v/>
      </c>
      <c r="K139" s="332"/>
      <c r="L139" s="266" t="str">
        <f t="shared" si="19"/>
        <v/>
      </c>
      <c r="M139" s="267" t="str">
        <f t="shared" si="20"/>
        <v/>
      </c>
      <c r="N139" s="268" t="str">
        <f t="shared" si="21"/>
        <v/>
      </c>
      <c r="O139" s="269" t="str">
        <f t="shared" si="22"/>
        <v/>
      </c>
      <c r="P139" s="270" t="str">
        <f t="shared" si="23"/>
        <v/>
      </c>
      <c r="Q139" s="271" t="str">
        <f t="shared" si="24"/>
        <v/>
      </c>
      <c r="R139" s="272" t="str">
        <f t="shared" si="25"/>
        <v/>
      </c>
      <c r="S139" s="265" t="str">
        <f t="shared" si="26"/>
        <v/>
      </c>
      <c r="T139" s="267" t="str">
        <f>IF($R139="DO",$M139*Deliverables!K117,"")</f>
        <v/>
      </c>
      <c r="U139" s="267" t="str">
        <f>IF($R139="DO",$M139*Deliverables!L117,"")</f>
        <v/>
      </c>
      <c r="V139" s="267" t="str">
        <f>IF($R139="DO",$M139*Deliverables!M117,"")</f>
        <v/>
      </c>
      <c r="W139" s="286" t="str">
        <f>IF($A139="","",MEDIAN($B$15,$B$16,IFERROR(IF(INDEX(Inputs!$U$6:$U$85,MATCH($A139,Inputs!$A$6:$A$85,0))="",$B$13,INDEX(Inputs!$U$6:$U$85,MATCH($A139,Inputs!$A$6:$A$85,0))),$B$13)))</f>
        <v/>
      </c>
      <c r="X139" s="288" t="str">
        <f t="shared" si="28"/>
        <v/>
      </c>
      <c r="Y139" s="288" t="str">
        <f t="shared" si="28"/>
        <v/>
      </c>
      <c r="Z139" s="288" t="str">
        <f t="shared" si="28"/>
        <v/>
      </c>
      <c r="AA139" s="288" t="str">
        <f t="shared" si="28"/>
        <v/>
      </c>
    </row>
    <row r="140" spans="1:27" x14ac:dyDescent="0.3">
      <c r="A140" s="224" t="str">
        <f>IF(Deliverables!$A118="","",Deliverables!$A118)</f>
        <v/>
      </c>
      <c r="B140" s="227" t="str">
        <f>IF($A140="","",Deliverables!$C118)</f>
        <v/>
      </c>
      <c r="C140" s="227" t="str">
        <f>IF($A140="","",Deliverables!$D118)</f>
        <v/>
      </c>
      <c r="D140" s="227" t="str">
        <f>IF($A140="","",Deliverables!$G118)</f>
        <v/>
      </c>
      <c r="E140" s="227" t="str">
        <f>IF($A140="","",IFERROR(INDEX(Inputs!$F$6:$F$85,MATCH($A140,Inputs!$A$6:$A$85,0)),"not in register"))</f>
        <v/>
      </c>
      <c r="F140" s="264" t="str">
        <f>IF($A140="","",IF(Deliverables!$H118="",0,Deliverables!$H118))</f>
        <v/>
      </c>
      <c r="G140" s="264" t="str">
        <f t="shared" si="16"/>
        <v/>
      </c>
      <c r="H140" s="265" t="str">
        <f>IF($A140="","",IFERROR(Deliverables!$E118*INDEX(Inputs!$C$6:$C$85,MATCH($A140,Inputs!$A$6:$A$85,0)),0))</f>
        <v/>
      </c>
      <c r="I140" s="265" t="str">
        <f t="shared" si="17"/>
        <v/>
      </c>
      <c r="J140" s="265" t="str">
        <f t="shared" si="18"/>
        <v/>
      </c>
      <c r="K140" s="332"/>
      <c r="L140" s="266" t="str">
        <f t="shared" si="19"/>
        <v/>
      </c>
      <c r="M140" s="267" t="str">
        <f t="shared" si="20"/>
        <v/>
      </c>
      <c r="N140" s="268" t="str">
        <f t="shared" si="21"/>
        <v/>
      </c>
      <c r="O140" s="269" t="str">
        <f t="shared" si="22"/>
        <v/>
      </c>
      <c r="P140" s="270" t="str">
        <f t="shared" si="23"/>
        <v/>
      </c>
      <c r="Q140" s="271" t="str">
        <f t="shared" si="24"/>
        <v/>
      </c>
      <c r="R140" s="272" t="str">
        <f t="shared" si="25"/>
        <v/>
      </c>
      <c r="S140" s="265" t="str">
        <f t="shared" si="26"/>
        <v/>
      </c>
      <c r="T140" s="267" t="str">
        <f>IF($R140="DO",$M140*Deliverables!K118,"")</f>
        <v/>
      </c>
      <c r="U140" s="267" t="str">
        <f>IF($R140="DO",$M140*Deliverables!L118,"")</f>
        <v/>
      </c>
      <c r="V140" s="267" t="str">
        <f>IF($R140="DO",$M140*Deliverables!M118,"")</f>
        <v/>
      </c>
      <c r="W140" s="286" t="str">
        <f>IF($A140="","",MEDIAN($B$15,$B$16,IFERROR(IF(INDEX(Inputs!$U$6:$U$85,MATCH($A140,Inputs!$A$6:$A$85,0))="",$B$13,INDEX(Inputs!$U$6:$U$85,MATCH($A140,Inputs!$A$6:$A$85,0))),$B$13)))</f>
        <v/>
      </c>
      <c r="X140" s="288" t="str">
        <f t="shared" si="28"/>
        <v/>
      </c>
      <c r="Y140" s="288" t="str">
        <f t="shared" si="28"/>
        <v/>
      </c>
      <c r="Z140" s="288" t="str">
        <f t="shared" si="28"/>
        <v/>
      </c>
      <c r="AA140" s="288" t="str">
        <f t="shared" si="28"/>
        <v/>
      </c>
    </row>
    <row r="141" spans="1:27" x14ac:dyDescent="0.3">
      <c r="A141" s="224" t="str">
        <f>IF(Deliverables!$A119="","",Deliverables!$A119)</f>
        <v/>
      </c>
      <c r="B141" s="227" t="str">
        <f>IF($A141="","",Deliverables!$C119)</f>
        <v/>
      </c>
      <c r="C141" s="227" t="str">
        <f>IF($A141="","",Deliverables!$D119)</f>
        <v/>
      </c>
      <c r="D141" s="227" t="str">
        <f>IF($A141="","",Deliverables!$G119)</f>
        <v/>
      </c>
      <c r="E141" s="227" t="str">
        <f>IF($A141="","",IFERROR(INDEX(Inputs!$F$6:$F$85,MATCH($A141,Inputs!$A$6:$A$85,0)),"not in register"))</f>
        <v/>
      </c>
      <c r="F141" s="264" t="str">
        <f>IF($A141="","",IF(Deliverables!$H119="",0,Deliverables!$H119))</f>
        <v/>
      </c>
      <c r="G141" s="264" t="str">
        <f t="shared" si="16"/>
        <v/>
      </c>
      <c r="H141" s="265" t="str">
        <f>IF($A141="","",IFERROR(Deliverables!$E119*INDEX(Inputs!$C$6:$C$85,MATCH($A141,Inputs!$A$6:$A$85,0)),0))</f>
        <v/>
      </c>
      <c r="I141" s="265" t="str">
        <f t="shared" si="17"/>
        <v/>
      </c>
      <c r="J141" s="265" t="str">
        <f t="shared" si="18"/>
        <v/>
      </c>
      <c r="K141" s="332"/>
      <c r="L141" s="266" t="str">
        <f t="shared" si="19"/>
        <v/>
      </c>
      <c r="M141" s="267" t="str">
        <f t="shared" si="20"/>
        <v/>
      </c>
      <c r="N141" s="268" t="str">
        <f t="shared" si="21"/>
        <v/>
      </c>
      <c r="O141" s="269" t="str">
        <f t="shared" si="22"/>
        <v/>
      </c>
      <c r="P141" s="270" t="str">
        <f t="shared" si="23"/>
        <v/>
      </c>
      <c r="Q141" s="271" t="str">
        <f t="shared" si="24"/>
        <v/>
      </c>
      <c r="R141" s="272" t="str">
        <f t="shared" si="25"/>
        <v/>
      </c>
      <c r="S141" s="265" t="str">
        <f t="shared" si="26"/>
        <v/>
      </c>
      <c r="T141" s="267" t="str">
        <f>IF($R141="DO",$M141*Deliverables!K119,"")</f>
        <v/>
      </c>
      <c r="U141" s="267" t="str">
        <f>IF($R141="DO",$M141*Deliverables!L119,"")</f>
        <v/>
      </c>
      <c r="V141" s="267" t="str">
        <f>IF($R141="DO",$M141*Deliverables!M119,"")</f>
        <v/>
      </c>
      <c r="W141" s="286" t="str">
        <f>IF($A141="","",MEDIAN($B$15,$B$16,IFERROR(IF(INDEX(Inputs!$U$6:$U$85,MATCH($A141,Inputs!$A$6:$A$85,0))="",$B$13,INDEX(Inputs!$U$6:$U$85,MATCH($A141,Inputs!$A$6:$A$85,0))),$B$13)))</f>
        <v/>
      </c>
      <c r="X141" s="288" t="str">
        <f t="shared" si="28"/>
        <v/>
      </c>
      <c r="Y141" s="288" t="str">
        <f t="shared" si="28"/>
        <v/>
      </c>
      <c r="Z141" s="288" t="str">
        <f t="shared" si="28"/>
        <v/>
      </c>
      <c r="AA141" s="288" t="str">
        <f t="shared" si="28"/>
        <v/>
      </c>
    </row>
    <row r="142" spans="1:27" x14ac:dyDescent="0.3">
      <c r="A142" s="224" t="str">
        <f>IF(Deliverables!$A120="","",Deliverables!$A120)</f>
        <v/>
      </c>
      <c r="B142" s="227" t="str">
        <f>IF($A142="","",Deliverables!$C120)</f>
        <v/>
      </c>
      <c r="C142" s="227" t="str">
        <f>IF($A142="","",Deliverables!$D120)</f>
        <v/>
      </c>
      <c r="D142" s="227" t="str">
        <f>IF($A142="","",Deliverables!$G120)</f>
        <v/>
      </c>
      <c r="E142" s="227" t="str">
        <f>IF($A142="","",IFERROR(INDEX(Inputs!$F$6:$F$85,MATCH($A142,Inputs!$A$6:$A$85,0)),"not in register"))</f>
        <v/>
      </c>
      <c r="F142" s="264" t="str">
        <f>IF($A142="","",IF(Deliverables!$H120="",0,Deliverables!$H120))</f>
        <v/>
      </c>
      <c r="G142" s="264" t="str">
        <f t="shared" si="16"/>
        <v/>
      </c>
      <c r="H142" s="265" t="str">
        <f>IF($A142="","",IFERROR(Deliverables!$E120*INDEX(Inputs!$C$6:$C$85,MATCH($A142,Inputs!$A$6:$A$85,0)),0))</f>
        <v/>
      </c>
      <c r="I142" s="265" t="str">
        <f t="shared" si="17"/>
        <v/>
      </c>
      <c r="J142" s="265" t="str">
        <f t="shared" si="18"/>
        <v/>
      </c>
      <c r="K142" s="332"/>
      <c r="L142" s="266" t="str">
        <f t="shared" si="19"/>
        <v/>
      </c>
      <c r="M142" s="267" t="str">
        <f t="shared" si="20"/>
        <v/>
      </c>
      <c r="N142" s="268" t="str">
        <f t="shared" si="21"/>
        <v/>
      </c>
      <c r="O142" s="269" t="str">
        <f t="shared" si="22"/>
        <v/>
      </c>
      <c r="P142" s="270" t="str">
        <f t="shared" si="23"/>
        <v/>
      </c>
      <c r="Q142" s="271" t="str">
        <f t="shared" si="24"/>
        <v/>
      </c>
      <c r="R142" s="272" t="str">
        <f t="shared" si="25"/>
        <v/>
      </c>
      <c r="S142" s="265" t="str">
        <f t="shared" si="26"/>
        <v/>
      </c>
      <c r="T142" s="267" t="str">
        <f>IF($R142="DO",$M142*Deliverables!K120,"")</f>
        <v/>
      </c>
      <c r="U142" s="267" t="str">
        <f>IF($R142="DO",$M142*Deliverables!L120,"")</f>
        <v/>
      </c>
      <c r="V142" s="267" t="str">
        <f>IF($R142="DO",$M142*Deliverables!M120,"")</f>
        <v/>
      </c>
      <c r="W142" s="286" t="str">
        <f>IF($A142="","",MEDIAN($B$15,$B$16,IFERROR(IF(INDEX(Inputs!$U$6:$U$85,MATCH($A142,Inputs!$A$6:$A$85,0))="",$B$13,INDEX(Inputs!$U$6:$U$85,MATCH($A142,Inputs!$A$6:$A$85,0))),$B$13)))</f>
        <v/>
      </c>
      <c r="X142" s="288" t="str">
        <f t="shared" si="28"/>
        <v/>
      </c>
      <c r="Y142" s="288" t="str">
        <f t="shared" si="28"/>
        <v/>
      </c>
      <c r="Z142" s="288" t="str">
        <f t="shared" si="28"/>
        <v/>
      </c>
      <c r="AA142" s="288" t="str">
        <f t="shared" si="28"/>
        <v/>
      </c>
    </row>
    <row r="143" spans="1:27" x14ac:dyDescent="0.3">
      <c r="A143" s="224" t="str">
        <f>IF(Deliverables!$A121="","",Deliverables!$A121)</f>
        <v/>
      </c>
      <c r="B143" s="227" t="str">
        <f>IF($A143="","",Deliverables!$C121)</f>
        <v/>
      </c>
      <c r="C143" s="227" t="str">
        <f>IF($A143="","",Deliverables!$D121)</f>
        <v/>
      </c>
      <c r="D143" s="227" t="str">
        <f>IF($A143="","",Deliverables!$G121)</f>
        <v/>
      </c>
      <c r="E143" s="227" t="str">
        <f>IF($A143="","",IFERROR(INDEX(Inputs!$F$6:$F$85,MATCH($A143,Inputs!$A$6:$A$85,0)),"not in register"))</f>
        <v/>
      </c>
      <c r="F143" s="264" t="str">
        <f>IF($A143="","",IF(Deliverables!$H121="",0,Deliverables!$H121))</f>
        <v/>
      </c>
      <c r="G143" s="264" t="str">
        <f t="shared" si="16"/>
        <v/>
      </c>
      <c r="H143" s="265" t="str">
        <f>IF($A143="","",IFERROR(Deliverables!$E121*INDEX(Inputs!$C$6:$C$85,MATCH($A143,Inputs!$A$6:$A$85,0)),0))</f>
        <v/>
      </c>
      <c r="I143" s="265" t="str">
        <f t="shared" si="17"/>
        <v/>
      </c>
      <c r="J143" s="265" t="str">
        <f t="shared" si="18"/>
        <v/>
      </c>
      <c r="K143" s="332"/>
      <c r="L143" s="266" t="str">
        <f t="shared" si="19"/>
        <v/>
      </c>
      <c r="M143" s="267" t="str">
        <f t="shared" si="20"/>
        <v/>
      </c>
      <c r="N143" s="268" t="str">
        <f t="shared" si="21"/>
        <v/>
      </c>
      <c r="O143" s="269" t="str">
        <f t="shared" si="22"/>
        <v/>
      </c>
      <c r="P143" s="270" t="str">
        <f t="shared" si="23"/>
        <v/>
      </c>
      <c r="Q143" s="271" t="str">
        <f t="shared" si="24"/>
        <v/>
      </c>
      <c r="R143" s="272" t="str">
        <f t="shared" si="25"/>
        <v/>
      </c>
      <c r="S143" s="265" t="str">
        <f t="shared" si="26"/>
        <v/>
      </c>
      <c r="T143" s="267" t="str">
        <f>IF($R143="DO",$M143*Deliverables!K121,"")</f>
        <v/>
      </c>
      <c r="U143" s="267" t="str">
        <f>IF($R143="DO",$M143*Deliverables!L121,"")</f>
        <v/>
      </c>
      <c r="V143" s="267" t="str">
        <f>IF($R143="DO",$M143*Deliverables!M121,"")</f>
        <v/>
      </c>
      <c r="W143" s="286" t="str">
        <f>IF($A143="","",MEDIAN($B$15,$B$16,IFERROR(IF(INDEX(Inputs!$U$6:$U$85,MATCH($A143,Inputs!$A$6:$A$85,0))="",$B$13,INDEX(Inputs!$U$6:$U$85,MATCH($A143,Inputs!$A$6:$A$85,0))),$B$13)))</f>
        <v/>
      </c>
      <c r="X143" s="288" t="str">
        <f t="shared" si="28"/>
        <v/>
      </c>
      <c r="Y143" s="288" t="str">
        <f t="shared" si="28"/>
        <v/>
      </c>
      <c r="Z143" s="288" t="str">
        <f t="shared" si="28"/>
        <v/>
      </c>
      <c r="AA143" s="288" t="str">
        <f t="shared" si="28"/>
        <v/>
      </c>
    </row>
    <row r="144" spans="1:27" x14ac:dyDescent="0.3">
      <c r="A144" s="224" t="str">
        <f>IF(Deliverables!$A122="","",Deliverables!$A122)</f>
        <v/>
      </c>
      <c r="B144" s="227" t="str">
        <f>IF($A144="","",Deliverables!$C122)</f>
        <v/>
      </c>
      <c r="C144" s="227" t="str">
        <f>IF($A144="","",Deliverables!$D122)</f>
        <v/>
      </c>
      <c r="D144" s="227" t="str">
        <f>IF($A144="","",Deliverables!$G122)</f>
        <v/>
      </c>
      <c r="E144" s="227" t="str">
        <f>IF($A144="","",IFERROR(INDEX(Inputs!$F$6:$F$85,MATCH($A144,Inputs!$A$6:$A$85,0)),"not in register"))</f>
        <v/>
      </c>
      <c r="F144" s="264" t="str">
        <f>IF($A144="","",IF(Deliverables!$H122="",0,Deliverables!$H122))</f>
        <v/>
      </c>
      <c r="G144" s="264" t="str">
        <f t="shared" si="16"/>
        <v/>
      </c>
      <c r="H144" s="265" t="str">
        <f>IF($A144="","",IFERROR(Deliverables!$E122*INDEX(Inputs!$C$6:$C$85,MATCH($A144,Inputs!$A$6:$A$85,0)),0))</f>
        <v/>
      </c>
      <c r="I144" s="265" t="str">
        <f t="shared" si="17"/>
        <v/>
      </c>
      <c r="J144" s="265" t="str">
        <f t="shared" si="18"/>
        <v/>
      </c>
      <c r="K144" s="332"/>
      <c r="L144" s="266" t="str">
        <f t="shared" si="19"/>
        <v/>
      </c>
      <c r="M144" s="267" t="str">
        <f t="shared" si="20"/>
        <v/>
      </c>
      <c r="N144" s="268" t="str">
        <f t="shared" si="21"/>
        <v/>
      </c>
      <c r="O144" s="269" t="str">
        <f t="shared" si="22"/>
        <v/>
      </c>
      <c r="P144" s="270" t="str">
        <f t="shared" si="23"/>
        <v/>
      </c>
      <c r="Q144" s="271" t="str">
        <f t="shared" si="24"/>
        <v/>
      </c>
      <c r="R144" s="272" t="str">
        <f t="shared" si="25"/>
        <v/>
      </c>
      <c r="S144" s="265" t="str">
        <f t="shared" si="26"/>
        <v/>
      </c>
      <c r="T144" s="267" t="str">
        <f>IF($R144="DO",$M144*Deliverables!K122,"")</f>
        <v/>
      </c>
      <c r="U144" s="267" t="str">
        <f>IF($R144="DO",$M144*Deliverables!L122,"")</f>
        <v/>
      </c>
      <c r="V144" s="267" t="str">
        <f>IF($R144="DO",$M144*Deliverables!M122,"")</f>
        <v/>
      </c>
      <c r="W144" s="286" t="str">
        <f>IF($A144="","",MEDIAN($B$15,$B$16,IFERROR(IF(INDEX(Inputs!$U$6:$U$85,MATCH($A144,Inputs!$A$6:$A$85,0))="",$B$13,INDEX(Inputs!$U$6:$U$85,MATCH($A144,Inputs!$A$6:$A$85,0))),$B$13)))</f>
        <v/>
      </c>
      <c r="X144" s="288" t="str">
        <f t="shared" si="28"/>
        <v/>
      </c>
      <c r="Y144" s="288" t="str">
        <f t="shared" si="28"/>
        <v/>
      </c>
      <c r="Z144" s="288" t="str">
        <f t="shared" si="28"/>
        <v/>
      </c>
      <c r="AA144" s="288" t="str">
        <f t="shared" si="28"/>
        <v/>
      </c>
    </row>
    <row r="145" spans="1:27" x14ac:dyDescent="0.3">
      <c r="A145" s="224" t="str">
        <f>IF(Deliverables!$A123="","",Deliverables!$A123)</f>
        <v/>
      </c>
      <c r="B145" s="227" t="str">
        <f>IF($A145="","",Deliverables!$C123)</f>
        <v/>
      </c>
      <c r="C145" s="227" t="str">
        <f>IF($A145="","",Deliverables!$D123)</f>
        <v/>
      </c>
      <c r="D145" s="227" t="str">
        <f>IF($A145="","",Deliverables!$G123)</f>
        <v/>
      </c>
      <c r="E145" s="227" t="str">
        <f>IF($A145="","",IFERROR(INDEX(Inputs!$F$6:$F$85,MATCH($A145,Inputs!$A$6:$A$85,0)),"not in register"))</f>
        <v/>
      </c>
      <c r="F145" s="264" t="str">
        <f>IF($A145="","",IF(Deliverables!$H123="",0,Deliverables!$H123))</f>
        <v/>
      </c>
      <c r="G145" s="264" t="str">
        <f t="shared" si="16"/>
        <v/>
      </c>
      <c r="H145" s="265" t="str">
        <f>IF($A145="","",IFERROR(Deliverables!$E123*INDEX(Inputs!$C$6:$C$85,MATCH($A145,Inputs!$A$6:$A$85,0)),0))</f>
        <v/>
      </c>
      <c r="I145" s="265" t="str">
        <f t="shared" si="17"/>
        <v/>
      </c>
      <c r="J145" s="265" t="str">
        <f t="shared" si="18"/>
        <v/>
      </c>
      <c r="K145" s="332"/>
      <c r="L145" s="266" t="str">
        <f t="shared" si="19"/>
        <v/>
      </c>
      <c r="M145" s="267" t="str">
        <f t="shared" si="20"/>
        <v/>
      </c>
      <c r="N145" s="268" t="str">
        <f t="shared" si="21"/>
        <v/>
      </c>
      <c r="O145" s="269" t="str">
        <f t="shared" si="22"/>
        <v/>
      </c>
      <c r="P145" s="270" t="str">
        <f t="shared" si="23"/>
        <v/>
      </c>
      <c r="Q145" s="271" t="str">
        <f t="shared" si="24"/>
        <v/>
      </c>
      <c r="R145" s="272" t="str">
        <f t="shared" si="25"/>
        <v/>
      </c>
      <c r="S145" s="265" t="str">
        <f t="shared" si="26"/>
        <v/>
      </c>
      <c r="T145" s="267" t="str">
        <f>IF($R145="DO",$M145*Deliverables!K123,"")</f>
        <v/>
      </c>
      <c r="U145" s="267" t="str">
        <f>IF($R145="DO",$M145*Deliverables!L123,"")</f>
        <v/>
      </c>
      <c r="V145" s="267" t="str">
        <f>IF($R145="DO",$M145*Deliverables!M123,"")</f>
        <v/>
      </c>
      <c r="W145" s="286" t="str">
        <f>IF($A145="","",MEDIAN($B$15,$B$16,IFERROR(IF(INDEX(Inputs!$U$6:$U$85,MATCH($A145,Inputs!$A$6:$A$85,0))="",$B$13,INDEX(Inputs!$U$6:$U$85,MATCH($A145,Inputs!$A$6:$A$85,0))),$B$13)))</f>
        <v/>
      </c>
      <c r="X145" s="288" t="str">
        <f t="shared" si="28"/>
        <v/>
      </c>
      <c r="Y145" s="288" t="str">
        <f t="shared" si="28"/>
        <v/>
      </c>
      <c r="Z145" s="288" t="str">
        <f t="shared" si="28"/>
        <v/>
      </c>
      <c r="AA145" s="288" t="str">
        <f t="shared" si="28"/>
        <v/>
      </c>
    </row>
    <row r="146" spans="1:27" x14ac:dyDescent="0.3">
      <c r="A146" s="224" t="str">
        <f>IF(Deliverables!$A124="","",Deliverables!$A124)</f>
        <v/>
      </c>
      <c r="B146" s="227" t="str">
        <f>IF($A146="","",Deliverables!$C124)</f>
        <v/>
      </c>
      <c r="C146" s="227" t="str">
        <f>IF($A146="","",Deliverables!$D124)</f>
        <v/>
      </c>
      <c r="D146" s="227" t="str">
        <f>IF($A146="","",Deliverables!$G124)</f>
        <v/>
      </c>
      <c r="E146" s="227" t="str">
        <f>IF($A146="","",IFERROR(INDEX(Inputs!$F$6:$F$85,MATCH($A146,Inputs!$A$6:$A$85,0)),"not in register"))</f>
        <v/>
      </c>
      <c r="F146" s="264" t="str">
        <f>IF($A146="","",IF(Deliverables!$H124="",0,Deliverables!$H124))</f>
        <v/>
      </c>
      <c r="G146" s="264" t="str">
        <f t="shared" si="16"/>
        <v/>
      </c>
      <c r="H146" s="265" t="str">
        <f>IF($A146="","",IFERROR(Deliverables!$E124*INDEX(Inputs!$C$6:$C$85,MATCH($A146,Inputs!$A$6:$A$85,0)),0))</f>
        <v/>
      </c>
      <c r="I146" s="265" t="str">
        <f t="shared" si="17"/>
        <v/>
      </c>
      <c r="J146" s="265" t="str">
        <f t="shared" si="18"/>
        <v/>
      </c>
      <c r="K146" s="332"/>
      <c r="L146" s="266" t="str">
        <f t="shared" si="19"/>
        <v/>
      </c>
      <c r="M146" s="267" t="str">
        <f t="shared" si="20"/>
        <v/>
      </c>
      <c r="N146" s="268" t="str">
        <f t="shared" si="21"/>
        <v/>
      </c>
      <c r="O146" s="269" t="str">
        <f t="shared" si="22"/>
        <v/>
      </c>
      <c r="P146" s="270" t="str">
        <f t="shared" si="23"/>
        <v/>
      </c>
      <c r="Q146" s="271" t="str">
        <f t="shared" si="24"/>
        <v/>
      </c>
      <c r="R146" s="272" t="str">
        <f t="shared" si="25"/>
        <v/>
      </c>
      <c r="S146" s="265" t="str">
        <f t="shared" si="26"/>
        <v/>
      </c>
      <c r="T146" s="267" t="str">
        <f>IF($R146="DO",$M146*Deliverables!K124,"")</f>
        <v/>
      </c>
      <c r="U146" s="267" t="str">
        <f>IF($R146="DO",$M146*Deliverables!L124,"")</f>
        <v/>
      </c>
      <c r="V146" s="267" t="str">
        <f>IF($R146="DO",$M146*Deliverables!M124,"")</f>
        <v/>
      </c>
      <c r="W146" s="286" t="str">
        <f>IF($A146="","",MEDIAN($B$15,$B$16,IFERROR(IF(INDEX(Inputs!$U$6:$U$85,MATCH($A146,Inputs!$A$6:$A$85,0))="",$B$13,INDEX(Inputs!$U$6:$U$85,MATCH($A146,Inputs!$A$6:$A$85,0))),$B$13)))</f>
        <v/>
      </c>
      <c r="X146" s="288" t="str">
        <f t="shared" si="28"/>
        <v/>
      </c>
      <c r="Y146" s="288" t="str">
        <f t="shared" si="28"/>
        <v/>
      </c>
      <c r="Z146" s="288" t="str">
        <f t="shared" si="28"/>
        <v/>
      </c>
      <c r="AA146" s="288" t="str">
        <f t="shared" si="28"/>
        <v/>
      </c>
    </row>
    <row r="147" spans="1:27" x14ac:dyDescent="0.3">
      <c r="A147" s="224" t="str">
        <f>IF(Deliverables!$A125="","",Deliverables!$A125)</f>
        <v/>
      </c>
      <c r="B147" s="227" t="str">
        <f>IF($A147="","",Deliverables!$C125)</f>
        <v/>
      </c>
      <c r="C147" s="227" t="str">
        <f>IF($A147="","",Deliverables!$D125)</f>
        <v/>
      </c>
      <c r="D147" s="227" t="str">
        <f>IF($A147="","",Deliverables!$G125)</f>
        <v/>
      </c>
      <c r="E147" s="227" t="str">
        <f>IF($A147="","",IFERROR(INDEX(Inputs!$F$6:$F$85,MATCH($A147,Inputs!$A$6:$A$85,0)),"not in register"))</f>
        <v/>
      </c>
      <c r="F147" s="264" t="str">
        <f>IF($A147="","",IF(Deliverables!$H125="",0,Deliverables!$H125))</f>
        <v/>
      </c>
      <c r="G147" s="264" t="str">
        <f t="shared" si="16"/>
        <v/>
      </c>
      <c r="H147" s="265" t="str">
        <f>IF($A147="","",IFERROR(Deliverables!$E125*INDEX(Inputs!$C$6:$C$85,MATCH($A147,Inputs!$A$6:$A$85,0)),0))</f>
        <v/>
      </c>
      <c r="I147" s="265" t="str">
        <f t="shared" si="17"/>
        <v/>
      </c>
      <c r="J147" s="265" t="str">
        <f t="shared" si="18"/>
        <v/>
      </c>
      <c r="K147" s="332"/>
      <c r="L147" s="266" t="str">
        <f t="shared" si="19"/>
        <v/>
      </c>
      <c r="M147" s="267" t="str">
        <f t="shared" si="20"/>
        <v/>
      </c>
      <c r="N147" s="268" t="str">
        <f t="shared" si="21"/>
        <v/>
      </c>
      <c r="O147" s="269" t="str">
        <f t="shared" si="22"/>
        <v/>
      </c>
      <c r="P147" s="270" t="str">
        <f t="shared" si="23"/>
        <v/>
      </c>
      <c r="Q147" s="271" t="str">
        <f t="shared" si="24"/>
        <v/>
      </c>
      <c r="R147" s="272" t="str">
        <f t="shared" si="25"/>
        <v/>
      </c>
      <c r="S147" s="265" t="str">
        <f t="shared" si="26"/>
        <v/>
      </c>
      <c r="T147" s="267" t="str">
        <f>IF($R147="DO",$M147*Deliverables!K125,"")</f>
        <v/>
      </c>
      <c r="U147" s="267" t="str">
        <f>IF($R147="DO",$M147*Deliverables!L125,"")</f>
        <v/>
      </c>
      <c r="V147" s="267" t="str">
        <f>IF($R147="DO",$M147*Deliverables!M125,"")</f>
        <v/>
      </c>
      <c r="W147" s="286" t="str">
        <f>IF($A147="","",MEDIAN($B$15,$B$16,IFERROR(IF(INDEX(Inputs!$U$6:$U$85,MATCH($A147,Inputs!$A$6:$A$85,0))="",$B$13,INDEX(Inputs!$U$6:$U$85,MATCH($A147,Inputs!$A$6:$A$85,0))),$B$13)))</f>
        <v/>
      </c>
      <c r="X147" s="288" t="str">
        <f t="shared" si="28"/>
        <v/>
      </c>
      <c r="Y147" s="288" t="str">
        <f t="shared" si="28"/>
        <v/>
      </c>
      <c r="Z147" s="288" t="str">
        <f t="shared" si="28"/>
        <v/>
      </c>
      <c r="AA147" s="288" t="str">
        <f t="shared" si="28"/>
        <v/>
      </c>
    </row>
    <row r="148" spans="1:27" x14ac:dyDescent="0.3">
      <c r="A148" s="224" t="str">
        <f>IF(Deliverables!$A126="","",Deliverables!$A126)</f>
        <v/>
      </c>
      <c r="B148" s="227" t="str">
        <f>IF($A148="","",Deliverables!$C126)</f>
        <v/>
      </c>
      <c r="C148" s="227" t="str">
        <f>IF($A148="","",Deliverables!$D126)</f>
        <v/>
      </c>
      <c r="D148" s="227" t="str">
        <f>IF($A148="","",Deliverables!$G126)</f>
        <v/>
      </c>
      <c r="E148" s="227" t="str">
        <f>IF($A148="","",IFERROR(INDEX(Inputs!$F$6:$F$85,MATCH($A148,Inputs!$A$6:$A$85,0)),"not in register"))</f>
        <v/>
      </c>
      <c r="F148" s="264" t="str">
        <f>IF($A148="","",IF(Deliverables!$H126="",0,Deliverables!$H126))</f>
        <v/>
      </c>
      <c r="G148" s="264" t="str">
        <f t="shared" si="16"/>
        <v/>
      </c>
      <c r="H148" s="265" t="str">
        <f>IF($A148="","",IFERROR(Deliverables!$E126*INDEX(Inputs!$C$6:$C$85,MATCH($A148,Inputs!$A$6:$A$85,0)),0))</f>
        <v/>
      </c>
      <c r="I148" s="265" t="str">
        <f t="shared" si="17"/>
        <v/>
      </c>
      <c r="J148" s="265" t="str">
        <f t="shared" si="18"/>
        <v/>
      </c>
      <c r="K148" s="332"/>
      <c r="L148" s="266" t="str">
        <f t="shared" si="19"/>
        <v/>
      </c>
      <c r="M148" s="267" t="str">
        <f t="shared" si="20"/>
        <v/>
      </c>
      <c r="N148" s="268" t="str">
        <f t="shared" si="21"/>
        <v/>
      </c>
      <c r="O148" s="269" t="str">
        <f t="shared" si="22"/>
        <v/>
      </c>
      <c r="P148" s="270" t="str">
        <f t="shared" si="23"/>
        <v/>
      </c>
      <c r="Q148" s="271" t="str">
        <f t="shared" si="24"/>
        <v/>
      </c>
      <c r="R148" s="272" t="str">
        <f t="shared" si="25"/>
        <v/>
      </c>
      <c r="S148" s="265" t="str">
        <f t="shared" si="26"/>
        <v/>
      </c>
      <c r="T148" s="267" t="str">
        <f>IF($R148="DO",$M148*Deliverables!K126,"")</f>
        <v/>
      </c>
      <c r="U148" s="267" t="str">
        <f>IF($R148="DO",$M148*Deliverables!L126,"")</f>
        <v/>
      </c>
      <c r="V148" s="267" t="str">
        <f>IF($R148="DO",$M148*Deliverables!M126,"")</f>
        <v/>
      </c>
      <c r="W148" s="286" t="str">
        <f>IF($A148="","",MEDIAN($B$15,$B$16,IFERROR(IF(INDEX(Inputs!$U$6:$U$85,MATCH($A148,Inputs!$A$6:$A$85,0))="",$B$13,INDEX(Inputs!$U$6:$U$85,MATCH($A148,Inputs!$A$6:$A$85,0))),$B$13)))</f>
        <v/>
      </c>
      <c r="X148" s="288" t="str">
        <f t="shared" ref="X148:AA167" si="29">IF($R148&lt;&gt;"DO","",MAX(0,MIN($Q148,X$25*$B$8)-MAX($Q148-$L148,(X$25-1)*$B$8))*$B$5)</f>
        <v/>
      </c>
      <c r="Y148" s="288" t="str">
        <f t="shared" si="29"/>
        <v/>
      </c>
      <c r="Z148" s="288" t="str">
        <f t="shared" si="29"/>
        <v/>
      </c>
      <c r="AA148" s="288" t="str">
        <f t="shared" si="29"/>
        <v/>
      </c>
    </row>
    <row r="149" spans="1:27" x14ac:dyDescent="0.3">
      <c r="A149" s="224" t="str">
        <f>IF(Deliverables!$A127="","",Deliverables!$A127)</f>
        <v/>
      </c>
      <c r="B149" s="227" t="str">
        <f>IF($A149="","",Deliverables!$C127)</f>
        <v/>
      </c>
      <c r="C149" s="227" t="str">
        <f>IF($A149="","",Deliverables!$D127)</f>
        <v/>
      </c>
      <c r="D149" s="227" t="str">
        <f>IF($A149="","",Deliverables!$G127)</f>
        <v/>
      </c>
      <c r="E149" s="227" t="str">
        <f>IF($A149="","",IFERROR(INDEX(Inputs!$F$6:$F$85,MATCH($A149,Inputs!$A$6:$A$85,0)),"not in register"))</f>
        <v/>
      </c>
      <c r="F149" s="264" t="str">
        <f>IF($A149="","",IF(Deliverables!$H127="",0,Deliverables!$H127))</f>
        <v/>
      </c>
      <c r="G149" s="264" t="str">
        <f t="shared" si="16"/>
        <v/>
      </c>
      <c r="H149" s="265" t="str">
        <f>IF($A149="","",IFERROR(Deliverables!$E127*INDEX(Inputs!$C$6:$C$85,MATCH($A149,Inputs!$A$6:$A$85,0)),0))</f>
        <v/>
      </c>
      <c r="I149" s="265" t="str">
        <f t="shared" si="17"/>
        <v/>
      </c>
      <c r="J149" s="265" t="str">
        <f t="shared" si="18"/>
        <v/>
      </c>
      <c r="K149" s="332"/>
      <c r="L149" s="266" t="str">
        <f t="shared" si="19"/>
        <v/>
      </c>
      <c r="M149" s="267" t="str">
        <f t="shared" si="20"/>
        <v/>
      </c>
      <c r="N149" s="268" t="str">
        <f t="shared" si="21"/>
        <v/>
      </c>
      <c r="O149" s="269" t="str">
        <f t="shared" si="22"/>
        <v/>
      </c>
      <c r="P149" s="270" t="str">
        <f t="shared" si="23"/>
        <v/>
      </c>
      <c r="Q149" s="271" t="str">
        <f t="shared" si="24"/>
        <v/>
      </c>
      <c r="R149" s="272" t="str">
        <f t="shared" si="25"/>
        <v/>
      </c>
      <c r="S149" s="265" t="str">
        <f t="shared" si="26"/>
        <v/>
      </c>
      <c r="T149" s="267" t="str">
        <f>IF($R149="DO",$M149*Deliverables!K127,"")</f>
        <v/>
      </c>
      <c r="U149" s="267" t="str">
        <f>IF($R149="DO",$M149*Deliverables!L127,"")</f>
        <v/>
      </c>
      <c r="V149" s="267" t="str">
        <f>IF($R149="DO",$M149*Deliverables!M127,"")</f>
        <v/>
      </c>
      <c r="W149" s="286" t="str">
        <f>IF($A149="","",MEDIAN($B$15,$B$16,IFERROR(IF(INDEX(Inputs!$U$6:$U$85,MATCH($A149,Inputs!$A$6:$A$85,0))="",$B$13,INDEX(Inputs!$U$6:$U$85,MATCH($A149,Inputs!$A$6:$A$85,0))),$B$13)))</f>
        <v/>
      </c>
      <c r="X149" s="288" t="str">
        <f t="shared" si="29"/>
        <v/>
      </c>
      <c r="Y149" s="288" t="str">
        <f t="shared" si="29"/>
        <v/>
      </c>
      <c r="Z149" s="288" t="str">
        <f t="shared" si="29"/>
        <v/>
      </c>
      <c r="AA149" s="288" t="str">
        <f t="shared" si="29"/>
        <v/>
      </c>
    </row>
    <row r="150" spans="1:27" x14ac:dyDescent="0.3">
      <c r="A150" s="224" t="str">
        <f>IF(Deliverables!$A128="","",Deliverables!$A128)</f>
        <v/>
      </c>
      <c r="B150" s="227" t="str">
        <f>IF($A150="","",Deliverables!$C128)</f>
        <v/>
      </c>
      <c r="C150" s="227" t="str">
        <f>IF($A150="","",Deliverables!$D128)</f>
        <v/>
      </c>
      <c r="D150" s="227" t="str">
        <f>IF($A150="","",Deliverables!$G128)</f>
        <v/>
      </c>
      <c r="E150" s="227" t="str">
        <f>IF($A150="","",IFERROR(INDEX(Inputs!$F$6:$F$85,MATCH($A150,Inputs!$A$6:$A$85,0)),"not in register"))</f>
        <v/>
      </c>
      <c r="F150" s="264" t="str">
        <f>IF($A150="","",IF(Deliverables!$H128="",0,Deliverables!$H128))</f>
        <v/>
      </c>
      <c r="G150" s="264" t="str">
        <f t="shared" si="16"/>
        <v/>
      </c>
      <c r="H150" s="265" t="str">
        <f>IF($A150="","",IFERROR(Deliverables!$E128*INDEX(Inputs!$C$6:$C$85,MATCH($A150,Inputs!$A$6:$A$85,0)),0))</f>
        <v/>
      </c>
      <c r="I150" s="265" t="str">
        <f t="shared" si="17"/>
        <v/>
      </c>
      <c r="J150" s="265" t="str">
        <f t="shared" si="18"/>
        <v/>
      </c>
      <c r="K150" s="332"/>
      <c r="L150" s="266" t="str">
        <f t="shared" si="19"/>
        <v/>
      </c>
      <c r="M150" s="267" t="str">
        <f t="shared" si="20"/>
        <v/>
      </c>
      <c r="N150" s="268" t="str">
        <f t="shared" si="21"/>
        <v/>
      </c>
      <c r="O150" s="269" t="str">
        <f t="shared" si="22"/>
        <v/>
      </c>
      <c r="P150" s="270" t="str">
        <f t="shared" si="23"/>
        <v/>
      </c>
      <c r="Q150" s="271" t="str">
        <f t="shared" si="24"/>
        <v/>
      </c>
      <c r="R150" s="272" t="str">
        <f t="shared" si="25"/>
        <v/>
      </c>
      <c r="S150" s="265" t="str">
        <f t="shared" si="26"/>
        <v/>
      </c>
      <c r="T150" s="267" t="str">
        <f>IF($R150="DO",$M150*Deliverables!K128,"")</f>
        <v/>
      </c>
      <c r="U150" s="267" t="str">
        <f>IF($R150="DO",$M150*Deliverables!L128,"")</f>
        <v/>
      </c>
      <c r="V150" s="267" t="str">
        <f>IF($R150="DO",$M150*Deliverables!M128,"")</f>
        <v/>
      </c>
      <c r="W150" s="286" t="str">
        <f>IF($A150="","",MEDIAN($B$15,$B$16,IFERROR(IF(INDEX(Inputs!$U$6:$U$85,MATCH($A150,Inputs!$A$6:$A$85,0))="",$B$13,INDEX(Inputs!$U$6:$U$85,MATCH($A150,Inputs!$A$6:$A$85,0))),$B$13)))</f>
        <v/>
      </c>
      <c r="X150" s="288" t="str">
        <f t="shared" si="29"/>
        <v/>
      </c>
      <c r="Y150" s="288" t="str">
        <f t="shared" si="29"/>
        <v/>
      </c>
      <c r="Z150" s="288" t="str">
        <f t="shared" si="29"/>
        <v/>
      </c>
      <c r="AA150" s="288" t="str">
        <f t="shared" si="29"/>
        <v/>
      </c>
    </row>
    <row r="151" spans="1:27" x14ac:dyDescent="0.3">
      <c r="A151" s="224" t="str">
        <f>IF(Deliverables!$A129="","",Deliverables!$A129)</f>
        <v/>
      </c>
      <c r="B151" s="227" t="str">
        <f>IF($A151="","",Deliverables!$C129)</f>
        <v/>
      </c>
      <c r="C151" s="227" t="str">
        <f>IF($A151="","",Deliverables!$D129)</f>
        <v/>
      </c>
      <c r="D151" s="227" t="str">
        <f>IF($A151="","",Deliverables!$G129)</f>
        <v/>
      </c>
      <c r="E151" s="227" t="str">
        <f>IF($A151="","",IFERROR(INDEX(Inputs!$F$6:$F$85,MATCH($A151,Inputs!$A$6:$A$85,0)),"not in register"))</f>
        <v/>
      </c>
      <c r="F151" s="264" t="str">
        <f>IF($A151="","",IF(Deliverables!$H129="",0,Deliverables!$H129))</f>
        <v/>
      </c>
      <c r="G151" s="264" t="str">
        <f t="shared" si="16"/>
        <v/>
      </c>
      <c r="H151" s="265" t="str">
        <f>IF($A151="","",IFERROR(Deliverables!$E129*INDEX(Inputs!$C$6:$C$85,MATCH($A151,Inputs!$A$6:$A$85,0)),0))</f>
        <v/>
      </c>
      <c r="I151" s="265" t="str">
        <f t="shared" si="17"/>
        <v/>
      </c>
      <c r="J151" s="265" t="str">
        <f t="shared" si="18"/>
        <v/>
      </c>
      <c r="K151" s="332"/>
      <c r="L151" s="266" t="str">
        <f t="shared" si="19"/>
        <v/>
      </c>
      <c r="M151" s="267" t="str">
        <f t="shared" si="20"/>
        <v/>
      </c>
      <c r="N151" s="268" t="str">
        <f t="shared" si="21"/>
        <v/>
      </c>
      <c r="O151" s="269" t="str">
        <f t="shared" si="22"/>
        <v/>
      </c>
      <c r="P151" s="270" t="str">
        <f t="shared" si="23"/>
        <v/>
      </c>
      <c r="Q151" s="271" t="str">
        <f t="shared" si="24"/>
        <v/>
      </c>
      <c r="R151" s="272" t="str">
        <f t="shared" si="25"/>
        <v/>
      </c>
      <c r="S151" s="265" t="str">
        <f t="shared" si="26"/>
        <v/>
      </c>
      <c r="T151" s="267" t="str">
        <f>IF($R151="DO",$M151*Deliverables!K129,"")</f>
        <v/>
      </c>
      <c r="U151" s="267" t="str">
        <f>IF($R151="DO",$M151*Deliverables!L129,"")</f>
        <v/>
      </c>
      <c r="V151" s="267" t="str">
        <f>IF($R151="DO",$M151*Deliverables!M129,"")</f>
        <v/>
      </c>
      <c r="W151" s="286" t="str">
        <f>IF($A151="","",MEDIAN($B$15,$B$16,IFERROR(IF(INDEX(Inputs!$U$6:$U$85,MATCH($A151,Inputs!$A$6:$A$85,0))="",$B$13,INDEX(Inputs!$U$6:$U$85,MATCH($A151,Inputs!$A$6:$A$85,0))),$B$13)))</f>
        <v/>
      </c>
      <c r="X151" s="288" t="str">
        <f t="shared" si="29"/>
        <v/>
      </c>
      <c r="Y151" s="288" t="str">
        <f t="shared" si="29"/>
        <v/>
      </c>
      <c r="Z151" s="288" t="str">
        <f t="shared" si="29"/>
        <v/>
      </c>
      <c r="AA151" s="288" t="str">
        <f t="shared" si="29"/>
        <v/>
      </c>
    </row>
    <row r="152" spans="1:27" x14ac:dyDescent="0.3">
      <c r="A152" s="224" t="str">
        <f>IF(Deliverables!$A130="","",Deliverables!$A130)</f>
        <v/>
      </c>
      <c r="B152" s="227" t="str">
        <f>IF($A152="","",Deliverables!$C130)</f>
        <v/>
      </c>
      <c r="C152" s="227" t="str">
        <f>IF($A152="","",Deliverables!$D130)</f>
        <v/>
      </c>
      <c r="D152" s="227" t="str">
        <f>IF($A152="","",Deliverables!$G130)</f>
        <v/>
      </c>
      <c r="E152" s="227" t="str">
        <f>IF($A152="","",IFERROR(INDEX(Inputs!$F$6:$F$85,MATCH($A152,Inputs!$A$6:$A$85,0)),"not in register"))</f>
        <v/>
      </c>
      <c r="F152" s="264" t="str">
        <f>IF($A152="","",IF(Deliverables!$H130="",0,Deliverables!$H130))</f>
        <v/>
      </c>
      <c r="G152" s="264" t="str">
        <f t="shared" si="16"/>
        <v/>
      </c>
      <c r="H152" s="265" t="str">
        <f>IF($A152="","",IFERROR(Deliverables!$E130*INDEX(Inputs!$C$6:$C$85,MATCH($A152,Inputs!$A$6:$A$85,0)),0))</f>
        <v/>
      </c>
      <c r="I152" s="265" t="str">
        <f t="shared" si="17"/>
        <v/>
      </c>
      <c r="J152" s="265" t="str">
        <f t="shared" si="18"/>
        <v/>
      </c>
      <c r="K152" s="332"/>
      <c r="L152" s="266" t="str">
        <f t="shared" si="19"/>
        <v/>
      </c>
      <c r="M152" s="267" t="str">
        <f t="shared" si="20"/>
        <v/>
      </c>
      <c r="N152" s="268" t="str">
        <f t="shared" si="21"/>
        <v/>
      </c>
      <c r="O152" s="269" t="str">
        <f t="shared" si="22"/>
        <v/>
      </c>
      <c r="P152" s="270" t="str">
        <f t="shared" si="23"/>
        <v/>
      </c>
      <c r="Q152" s="271" t="str">
        <f t="shared" si="24"/>
        <v/>
      </c>
      <c r="R152" s="272" t="str">
        <f t="shared" si="25"/>
        <v/>
      </c>
      <c r="S152" s="265" t="str">
        <f t="shared" si="26"/>
        <v/>
      </c>
      <c r="T152" s="267" t="str">
        <f>IF($R152="DO",$M152*Deliverables!K130,"")</f>
        <v/>
      </c>
      <c r="U152" s="267" t="str">
        <f>IF($R152="DO",$M152*Deliverables!L130,"")</f>
        <v/>
      </c>
      <c r="V152" s="267" t="str">
        <f>IF($R152="DO",$M152*Deliverables!M130,"")</f>
        <v/>
      </c>
      <c r="W152" s="286" t="str">
        <f>IF($A152="","",MEDIAN($B$15,$B$16,IFERROR(IF(INDEX(Inputs!$U$6:$U$85,MATCH($A152,Inputs!$A$6:$A$85,0))="",$B$13,INDEX(Inputs!$U$6:$U$85,MATCH($A152,Inputs!$A$6:$A$85,0))),$B$13)))</f>
        <v/>
      </c>
      <c r="X152" s="288" t="str">
        <f t="shared" si="29"/>
        <v/>
      </c>
      <c r="Y152" s="288" t="str">
        <f t="shared" si="29"/>
        <v/>
      </c>
      <c r="Z152" s="288" t="str">
        <f t="shared" si="29"/>
        <v/>
      </c>
      <c r="AA152" s="288" t="str">
        <f t="shared" si="29"/>
        <v/>
      </c>
    </row>
    <row r="153" spans="1:27" x14ac:dyDescent="0.3">
      <c r="A153" s="224" t="str">
        <f>IF(Deliverables!$A131="","",Deliverables!$A131)</f>
        <v/>
      </c>
      <c r="B153" s="227" t="str">
        <f>IF($A153="","",Deliverables!$C131)</f>
        <v/>
      </c>
      <c r="C153" s="227" t="str">
        <f>IF($A153="","",Deliverables!$D131)</f>
        <v/>
      </c>
      <c r="D153" s="227" t="str">
        <f>IF($A153="","",Deliverables!$G131)</f>
        <v/>
      </c>
      <c r="E153" s="227" t="str">
        <f>IF($A153="","",IFERROR(INDEX(Inputs!$F$6:$F$85,MATCH($A153,Inputs!$A$6:$A$85,0)),"not in register"))</f>
        <v/>
      </c>
      <c r="F153" s="264" t="str">
        <f>IF($A153="","",IF(Deliverables!$H131="",0,Deliverables!$H131))</f>
        <v/>
      </c>
      <c r="G153" s="264" t="str">
        <f t="shared" si="16"/>
        <v/>
      </c>
      <c r="H153" s="265" t="str">
        <f>IF($A153="","",IFERROR(Deliverables!$E131*INDEX(Inputs!$C$6:$C$85,MATCH($A153,Inputs!$A$6:$A$85,0)),0))</f>
        <v/>
      </c>
      <c r="I153" s="265" t="str">
        <f t="shared" si="17"/>
        <v/>
      </c>
      <c r="J153" s="265" t="str">
        <f t="shared" si="18"/>
        <v/>
      </c>
      <c r="K153" s="332"/>
      <c r="L153" s="266" t="str">
        <f t="shared" si="19"/>
        <v/>
      </c>
      <c r="M153" s="267" t="str">
        <f t="shared" si="20"/>
        <v/>
      </c>
      <c r="N153" s="268" t="str">
        <f t="shared" si="21"/>
        <v/>
      </c>
      <c r="O153" s="269" t="str">
        <f t="shared" si="22"/>
        <v/>
      </c>
      <c r="P153" s="270" t="str">
        <f t="shared" si="23"/>
        <v/>
      </c>
      <c r="Q153" s="271" t="str">
        <f t="shared" si="24"/>
        <v/>
      </c>
      <c r="R153" s="272" t="str">
        <f t="shared" si="25"/>
        <v/>
      </c>
      <c r="S153" s="265" t="str">
        <f t="shared" si="26"/>
        <v/>
      </c>
      <c r="T153" s="267" t="str">
        <f>IF($R153="DO",$M153*Deliverables!K131,"")</f>
        <v/>
      </c>
      <c r="U153" s="267" t="str">
        <f>IF($R153="DO",$M153*Deliverables!L131,"")</f>
        <v/>
      </c>
      <c r="V153" s="267" t="str">
        <f>IF($R153="DO",$M153*Deliverables!M131,"")</f>
        <v/>
      </c>
      <c r="W153" s="286" t="str">
        <f>IF($A153="","",MEDIAN($B$15,$B$16,IFERROR(IF(INDEX(Inputs!$U$6:$U$85,MATCH($A153,Inputs!$A$6:$A$85,0))="",$B$13,INDEX(Inputs!$U$6:$U$85,MATCH($A153,Inputs!$A$6:$A$85,0))),$B$13)))</f>
        <v/>
      </c>
      <c r="X153" s="288" t="str">
        <f t="shared" si="29"/>
        <v/>
      </c>
      <c r="Y153" s="288" t="str">
        <f t="shared" si="29"/>
        <v/>
      </c>
      <c r="Z153" s="288" t="str">
        <f t="shared" si="29"/>
        <v/>
      </c>
      <c r="AA153" s="288" t="str">
        <f t="shared" si="29"/>
        <v/>
      </c>
    </row>
    <row r="154" spans="1:27" x14ac:dyDescent="0.3">
      <c r="A154" s="224" t="str">
        <f>IF(Deliverables!$A132="","",Deliverables!$A132)</f>
        <v/>
      </c>
      <c r="B154" s="227" t="str">
        <f>IF($A154="","",Deliverables!$C132)</f>
        <v/>
      </c>
      <c r="C154" s="227" t="str">
        <f>IF($A154="","",Deliverables!$D132)</f>
        <v/>
      </c>
      <c r="D154" s="227" t="str">
        <f>IF($A154="","",Deliverables!$G132)</f>
        <v/>
      </c>
      <c r="E154" s="227" t="str">
        <f>IF($A154="","",IFERROR(INDEX(Inputs!$F$6:$F$85,MATCH($A154,Inputs!$A$6:$A$85,0)),"not in register"))</f>
        <v/>
      </c>
      <c r="F154" s="264" t="str">
        <f>IF($A154="","",IF(Deliverables!$H132="",0,Deliverables!$H132))</f>
        <v/>
      </c>
      <c r="G154" s="264" t="str">
        <f t="shared" si="16"/>
        <v/>
      </c>
      <c r="H154" s="265" t="str">
        <f>IF($A154="","",IFERROR(Deliverables!$E132*INDEX(Inputs!$C$6:$C$85,MATCH($A154,Inputs!$A$6:$A$85,0)),0))</f>
        <v/>
      </c>
      <c r="I154" s="265" t="str">
        <f t="shared" si="17"/>
        <v/>
      </c>
      <c r="J154" s="265" t="str">
        <f t="shared" si="18"/>
        <v/>
      </c>
      <c r="K154" s="332"/>
      <c r="L154" s="266" t="str">
        <f t="shared" si="19"/>
        <v/>
      </c>
      <c r="M154" s="267" t="str">
        <f t="shared" si="20"/>
        <v/>
      </c>
      <c r="N154" s="268" t="str">
        <f t="shared" si="21"/>
        <v/>
      </c>
      <c r="O154" s="269" t="str">
        <f t="shared" si="22"/>
        <v/>
      </c>
      <c r="P154" s="270" t="str">
        <f t="shared" si="23"/>
        <v/>
      </c>
      <c r="Q154" s="271" t="str">
        <f t="shared" si="24"/>
        <v/>
      </c>
      <c r="R154" s="272" t="str">
        <f t="shared" si="25"/>
        <v/>
      </c>
      <c r="S154" s="265" t="str">
        <f t="shared" si="26"/>
        <v/>
      </c>
      <c r="T154" s="267" t="str">
        <f>IF($R154="DO",$M154*Deliverables!K132,"")</f>
        <v/>
      </c>
      <c r="U154" s="267" t="str">
        <f>IF($R154="DO",$M154*Deliverables!L132,"")</f>
        <v/>
      </c>
      <c r="V154" s="267" t="str">
        <f>IF($R154="DO",$M154*Deliverables!M132,"")</f>
        <v/>
      </c>
      <c r="W154" s="286" t="str">
        <f>IF($A154="","",MEDIAN($B$15,$B$16,IFERROR(IF(INDEX(Inputs!$U$6:$U$85,MATCH($A154,Inputs!$A$6:$A$85,0))="",$B$13,INDEX(Inputs!$U$6:$U$85,MATCH($A154,Inputs!$A$6:$A$85,0))),$B$13)))</f>
        <v/>
      </c>
      <c r="X154" s="288" t="str">
        <f t="shared" si="29"/>
        <v/>
      </c>
      <c r="Y154" s="288" t="str">
        <f t="shared" si="29"/>
        <v/>
      </c>
      <c r="Z154" s="288" t="str">
        <f t="shared" si="29"/>
        <v/>
      </c>
      <c r="AA154" s="288" t="str">
        <f t="shared" si="29"/>
        <v/>
      </c>
    </row>
    <row r="155" spans="1:27" x14ac:dyDescent="0.3">
      <c r="A155" s="224" t="str">
        <f>IF(Deliverables!$A133="","",Deliverables!$A133)</f>
        <v/>
      </c>
      <c r="B155" s="227" t="str">
        <f>IF($A155="","",Deliverables!$C133)</f>
        <v/>
      </c>
      <c r="C155" s="227" t="str">
        <f>IF($A155="","",Deliverables!$D133)</f>
        <v/>
      </c>
      <c r="D155" s="227" t="str">
        <f>IF($A155="","",Deliverables!$G133)</f>
        <v/>
      </c>
      <c r="E155" s="227" t="str">
        <f>IF($A155="","",IFERROR(INDEX(Inputs!$F$6:$F$85,MATCH($A155,Inputs!$A$6:$A$85,0)),"not in register"))</f>
        <v/>
      </c>
      <c r="F155" s="264" t="str">
        <f>IF($A155="","",IF(Deliverables!$H133="",0,Deliverables!$H133))</f>
        <v/>
      </c>
      <c r="G155" s="264" t="str">
        <f t="shared" si="16"/>
        <v/>
      </c>
      <c r="H155" s="265" t="str">
        <f>IF($A155="","",IFERROR(Deliverables!$E133*INDEX(Inputs!$C$6:$C$85,MATCH($A155,Inputs!$A$6:$A$85,0)),0))</f>
        <v/>
      </c>
      <c r="I155" s="265" t="str">
        <f t="shared" si="17"/>
        <v/>
      </c>
      <c r="J155" s="265" t="str">
        <f t="shared" si="18"/>
        <v/>
      </c>
      <c r="K155" s="332"/>
      <c r="L155" s="266" t="str">
        <f t="shared" si="19"/>
        <v/>
      </c>
      <c r="M155" s="267" t="str">
        <f t="shared" si="20"/>
        <v/>
      </c>
      <c r="N155" s="268" t="str">
        <f t="shared" si="21"/>
        <v/>
      </c>
      <c r="O155" s="269" t="str">
        <f t="shared" si="22"/>
        <v/>
      </c>
      <c r="P155" s="270" t="str">
        <f t="shared" si="23"/>
        <v/>
      </c>
      <c r="Q155" s="271" t="str">
        <f t="shared" si="24"/>
        <v/>
      </c>
      <c r="R155" s="272" t="str">
        <f t="shared" si="25"/>
        <v/>
      </c>
      <c r="S155" s="265" t="str">
        <f t="shared" si="26"/>
        <v/>
      </c>
      <c r="T155" s="267" t="str">
        <f>IF($R155="DO",$M155*Deliverables!K133,"")</f>
        <v/>
      </c>
      <c r="U155" s="267" t="str">
        <f>IF($R155="DO",$M155*Deliverables!L133,"")</f>
        <v/>
      </c>
      <c r="V155" s="267" t="str">
        <f>IF($R155="DO",$M155*Deliverables!M133,"")</f>
        <v/>
      </c>
      <c r="W155" s="286" t="str">
        <f>IF($A155="","",MEDIAN($B$15,$B$16,IFERROR(IF(INDEX(Inputs!$U$6:$U$85,MATCH($A155,Inputs!$A$6:$A$85,0))="",$B$13,INDEX(Inputs!$U$6:$U$85,MATCH($A155,Inputs!$A$6:$A$85,0))),$B$13)))</f>
        <v/>
      </c>
      <c r="X155" s="288" t="str">
        <f t="shared" si="29"/>
        <v/>
      </c>
      <c r="Y155" s="288" t="str">
        <f t="shared" si="29"/>
        <v/>
      </c>
      <c r="Z155" s="288" t="str">
        <f t="shared" si="29"/>
        <v/>
      </c>
      <c r="AA155" s="288" t="str">
        <f t="shared" si="29"/>
        <v/>
      </c>
    </row>
    <row r="156" spans="1:27" x14ac:dyDescent="0.3">
      <c r="A156" s="224" t="str">
        <f>IF(Deliverables!$A134="","",Deliverables!$A134)</f>
        <v/>
      </c>
      <c r="B156" s="227" t="str">
        <f>IF($A156="","",Deliverables!$C134)</f>
        <v/>
      </c>
      <c r="C156" s="227" t="str">
        <f>IF($A156="","",Deliverables!$D134)</f>
        <v/>
      </c>
      <c r="D156" s="227" t="str">
        <f>IF($A156="","",Deliverables!$G134)</f>
        <v/>
      </c>
      <c r="E156" s="227" t="str">
        <f>IF($A156="","",IFERROR(INDEX(Inputs!$F$6:$F$85,MATCH($A156,Inputs!$A$6:$A$85,0)),"not in register"))</f>
        <v/>
      </c>
      <c r="F156" s="264" t="str">
        <f>IF($A156="","",IF(Deliverables!$H134="",0,Deliverables!$H134))</f>
        <v/>
      </c>
      <c r="G156" s="264" t="str">
        <f t="shared" ref="G156:G219" si="30">IF($A156="","",1-$F156)</f>
        <v/>
      </c>
      <c r="H156" s="265" t="str">
        <f>IF($A156="","",IFERROR(Deliverables!$E134*INDEX(Inputs!$C$6:$C$85,MATCH($A156,Inputs!$A$6:$A$85,0)),0))</f>
        <v/>
      </c>
      <c r="I156" s="265" t="str">
        <f t="shared" ref="I156:I219" si="31">IF($A156="","",$H156*$F156)</f>
        <v/>
      </c>
      <c r="J156" s="265" t="str">
        <f t="shared" ref="J156:J219" si="32">IF($A156="","",$H156*$G156)</f>
        <v/>
      </c>
      <c r="K156" s="332"/>
      <c r="L156" s="266" t="str">
        <f t="shared" ref="L156:L219" si="33">IF($A156="","",IF($K156&lt;&gt;"",$K156/$B$5,IF($W156=0,$J156,$J156/$W156)))</f>
        <v/>
      </c>
      <c r="M156" s="267" t="str">
        <f t="shared" ref="M156:M219" si="34">IF($A156="","",$L156*$B$5)</f>
        <v/>
      </c>
      <c r="N156" s="268" t="str">
        <f t="shared" ref="N156:N219" si="35">IF(OR($A156="",$L156=0),"",$J156/$L156)</f>
        <v/>
      </c>
      <c r="O156" s="269" t="str">
        <f t="shared" ref="O156:O219" si="36">IF(OR($A156="",$J156&lt;=0.0001,AND($E156&lt;&gt;"Active",$E156&lt;&gt;"Not Started")),"",$N156-ROW()/1000000)</f>
        <v/>
      </c>
      <c r="P156" s="270" t="str">
        <f t="shared" ref="P156:P219" si="37">IF($O156="","",COUNTIF($O$27:$O$226,"&gt;"&amp;$O156)+1)</f>
        <v/>
      </c>
      <c r="Q156" s="271" t="str">
        <f t="shared" ref="Q156:Q219" si="38">IF($P156="","",SUMIFS($L$27:$L$226,$P$27:$P$226,"&lt;="&amp;$P156))</f>
        <v/>
      </c>
      <c r="R156" s="272" t="str">
        <f t="shared" ref="R156:R219" si="39">IF($A156="","",IF($O156="",IF($J156&lt;=0.0001,"complete","not in scope"),IF($Q156&lt;=$B$11,"DO","DEFER")))</f>
        <v/>
      </c>
      <c r="S156" s="265" t="str">
        <f t="shared" ref="S156:S219" si="40">IF($R156="DO",$J156-$L156,"")</f>
        <v/>
      </c>
      <c r="T156" s="267" t="str">
        <f>IF($R156="DO",$M156*Deliverables!K134,"")</f>
        <v/>
      </c>
      <c r="U156" s="267" t="str">
        <f>IF($R156="DO",$M156*Deliverables!L134,"")</f>
        <v/>
      </c>
      <c r="V156" s="267" t="str">
        <f>IF($R156="DO",$M156*Deliverables!M134,"")</f>
        <v/>
      </c>
      <c r="W156" s="286" t="str">
        <f>IF($A156="","",MEDIAN($B$15,$B$16,IFERROR(IF(INDEX(Inputs!$U$6:$U$85,MATCH($A156,Inputs!$A$6:$A$85,0))="",$B$13,INDEX(Inputs!$U$6:$U$85,MATCH($A156,Inputs!$A$6:$A$85,0))),$B$13)))</f>
        <v/>
      </c>
      <c r="X156" s="288" t="str">
        <f t="shared" si="29"/>
        <v/>
      </c>
      <c r="Y156" s="288" t="str">
        <f t="shared" si="29"/>
        <v/>
      </c>
      <c r="Z156" s="288" t="str">
        <f t="shared" si="29"/>
        <v/>
      </c>
      <c r="AA156" s="288" t="str">
        <f t="shared" si="29"/>
        <v/>
      </c>
    </row>
    <row r="157" spans="1:27" x14ac:dyDescent="0.3">
      <c r="A157" s="224" t="str">
        <f>IF(Deliverables!$A135="","",Deliverables!$A135)</f>
        <v/>
      </c>
      <c r="B157" s="227" t="str">
        <f>IF($A157="","",Deliverables!$C135)</f>
        <v/>
      </c>
      <c r="C157" s="227" t="str">
        <f>IF($A157="","",Deliverables!$D135)</f>
        <v/>
      </c>
      <c r="D157" s="227" t="str">
        <f>IF($A157="","",Deliverables!$G135)</f>
        <v/>
      </c>
      <c r="E157" s="227" t="str">
        <f>IF($A157="","",IFERROR(INDEX(Inputs!$F$6:$F$85,MATCH($A157,Inputs!$A$6:$A$85,0)),"not in register"))</f>
        <v/>
      </c>
      <c r="F157" s="264" t="str">
        <f>IF($A157="","",IF(Deliverables!$H135="",0,Deliverables!$H135))</f>
        <v/>
      </c>
      <c r="G157" s="264" t="str">
        <f t="shared" si="30"/>
        <v/>
      </c>
      <c r="H157" s="265" t="str">
        <f>IF($A157="","",IFERROR(Deliverables!$E135*INDEX(Inputs!$C$6:$C$85,MATCH($A157,Inputs!$A$6:$A$85,0)),0))</f>
        <v/>
      </c>
      <c r="I157" s="265" t="str">
        <f t="shared" si="31"/>
        <v/>
      </c>
      <c r="J157" s="265" t="str">
        <f t="shared" si="32"/>
        <v/>
      </c>
      <c r="K157" s="332"/>
      <c r="L157" s="266" t="str">
        <f t="shared" si="33"/>
        <v/>
      </c>
      <c r="M157" s="267" t="str">
        <f t="shared" si="34"/>
        <v/>
      </c>
      <c r="N157" s="268" t="str">
        <f t="shared" si="35"/>
        <v/>
      </c>
      <c r="O157" s="269" t="str">
        <f t="shared" si="36"/>
        <v/>
      </c>
      <c r="P157" s="270" t="str">
        <f t="shared" si="37"/>
        <v/>
      </c>
      <c r="Q157" s="271" t="str">
        <f t="shared" si="38"/>
        <v/>
      </c>
      <c r="R157" s="272" t="str">
        <f t="shared" si="39"/>
        <v/>
      </c>
      <c r="S157" s="265" t="str">
        <f t="shared" si="40"/>
        <v/>
      </c>
      <c r="T157" s="267" t="str">
        <f>IF($R157="DO",$M157*Deliverables!K135,"")</f>
        <v/>
      </c>
      <c r="U157" s="267" t="str">
        <f>IF($R157="DO",$M157*Deliverables!L135,"")</f>
        <v/>
      </c>
      <c r="V157" s="267" t="str">
        <f>IF($R157="DO",$M157*Deliverables!M135,"")</f>
        <v/>
      </c>
      <c r="W157" s="286" t="str">
        <f>IF($A157="","",MEDIAN($B$15,$B$16,IFERROR(IF(INDEX(Inputs!$U$6:$U$85,MATCH($A157,Inputs!$A$6:$A$85,0))="",$B$13,INDEX(Inputs!$U$6:$U$85,MATCH($A157,Inputs!$A$6:$A$85,0))),$B$13)))</f>
        <v/>
      </c>
      <c r="X157" s="288" t="str">
        <f t="shared" si="29"/>
        <v/>
      </c>
      <c r="Y157" s="288" t="str">
        <f t="shared" si="29"/>
        <v/>
      </c>
      <c r="Z157" s="288" t="str">
        <f t="shared" si="29"/>
        <v/>
      </c>
      <c r="AA157" s="288" t="str">
        <f t="shared" si="29"/>
        <v/>
      </c>
    </row>
    <row r="158" spans="1:27" x14ac:dyDescent="0.3">
      <c r="A158" s="224" t="str">
        <f>IF(Deliverables!$A136="","",Deliverables!$A136)</f>
        <v/>
      </c>
      <c r="B158" s="227" t="str">
        <f>IF($A158="","",Deliverables!$C136)</f>
        <v/>
      </c>
      <c r="C158" s="227" t="str">
        <f>IF($A158="","",Deliverables!$D136)</f>
        <v/>
      </c>
      <c r="D158" s="227" t="str">
        <f>IF($A158="","",Deliverables!$G136)</f>
        <v/>
      </c>
      <c r="E158" s="227" t="str">
        <f>IF($A158="","",IFERROR(INDEX(Inputs!$F$6:$F$85,MATCH($A158,Inputs!$A$6:$A$85,0)),"not in register"))</f>
        <v/>
      </c>
      <c r="F158" s="264" t="str">
        <f>IF($A158="","",IF(Deliverables!$H136="",0,Deliverables!$H136))</f>
        <v/>
      </c>
      <c r="G158" s="264" t="str">
        <f t="shared" si="30"/>
        <v/>
      </c>
      <c r="H158" s="265" t="str">
        <f>IF($A158="","",IFERROR(Deliverables!$E136*INDEX(Inputs!$C$6:$C$85,MATCH($A158,Inputs!$A$6:$A$85,0)),0))</f>
        <v/>
      </c>
      <c r="I158" s="265" t="str">
        <f t="shared" si="31"/>
        <v/>
      </c>
      <c r="J158" s="265" t="str">
        <f t="shared" si="32"/>
        <v/>
      </c>
      <c r="K158" s="332"/>
      <c r="L158" s="266" t="str">
        <f t="shared" si="33"/>
        <v/>
      </c>
      <c r="M158" s="267" t="str">
        <f t="shared" si="34"/>
        <v/>
      </c>
      <c r="N158" s="268" t="str">
        <f t="shared" si="35"/>
        <v/>
      </c>
      <c r="O158" s="269" t="str">
        <f t="shared" si="36"/>
        <v/>
      </c>
      <c r="P158" s="270" t="str">
        <f t="shared" si="37"/>
        <v/>
      </c>
      <c r="Q158" s="271" t="str">
        <f t="shared" si="38"/>
        <v/>
      </c>
      <c r="R158" s="272" t="str">
        <f t="shared" si="39"/>
        <v/>
      </c>
      <c r="S158" s="265" t="str">
        <f t="shared" si="40"/>
        <v/>
      </c>
      <c r="T158" s="267" t="str">
        <f>IF($R158="DO",$M158*Deliverables!K136,"")</f>
        <v/>
      </c>
      <c r="U158" s="267" t="str">
        <f>IF($R158="DO",$M158*Deliverables!L136,"")</f>
        <v/>
      </c>
      <c r="V158" s="267" t="str">
        <f>IF($R158="DO",$M158*Deliverables!M136,"")</f>
        <v/>
      </c>
      <c r="W158" s="286" t="str">
        <f>IF($A158="","",MEDIAN($B$15,$B$16,IFERROR(IF(INDEX(Inputs!$U$6:$U$85,MATCH($A158,Inputs!$A$6:$A$85,0))="",$B$13,INDEX(Inputs!$U$6:$U$85,MATCH($A158,Inputs!$A$6:$A$85,0))),$B$13)))</f>
        <v/>
      </c>
      <c r="X158" s="288" t="str">
        <f t="shared" si="29"/>
        <v/>
      </c>
      <c r="Y158" s="288" t="str">
        <f t="shared" si="29"/>
        <v/>
      </c>
      <c r="Z158" s="288" t="str">
        <f t="shared" si="29"/>
        <v/>
      </c>
      <c r="AA158" s="288" t="str">
        <f t="shared" si="29"/>
        <v/>
      </c>
    </row>
    <row r="159" spans="1:27" x14ac:dyDescent="0.3">
      <c r="A159" s="224" t="str">
        <f>IF(Deliverables!$A137="","",Deliverables!$A137)</f>
        <v/>
      </c>
      <c r="B159" s="227" t="str">
        <f>IF($A159="","",Deliverables!$C137)</f>
        <v/>
      </c>
      <c r="C159" s="227" t="str">
        <f>IF($A159="","",Deliverables!$D137)</f>
        <v/>
      </c>
      <c r="D159" s="227" t="str">
        <f>IF($A159="","",Deliverables!$G137)</f>
        <v/>
      </c>
      <c r="E159" s="227" t="str">
        <f>IF($A159="","",IFERROR(INDEX(Inputs!$F$6:$F$85,MATCH($A159,Inputs!$A$6:$A$85,0)),"not in register"))</f>
        <v/>
      </c>
      <c r="F159" s="264" t="str">
        <f>IF($A159="","",IF(Deliverables!$H137="",0,Deliverables!$H137))</f>
        <v/>
      </c>
      <c r="G159" s="264" t="str">
        <f t="shared" si="30"/>
        <v/>
      </c>
      <c r="H159" s="265" t="str">
        <f>IF($A159="","",IFERROR(Deliverables!$E137*INDEX(Inputs!$C$6:$C$85,MATCH($A159,Inputs!$A$6:$A$85,0)),0))</f>
        <v/>
      </c>
      <c r="I159" s="265" t="str">
        <f t="shared" si="31"/>
        <v/>
      </c>
      <c r="J159" s="265" t="str">
        <f t="shared" si="32"/>
        <v/>
      </c>
      <c r="K159" s="332"/>
      <c r="L159" s="266" t="str">
        <f t="shared" si="33"/>
        <v/>
      </c>
      <c r="M159" s="267" t="str">
        <f t="shared" si="34"/>
        <v/>
      </c>
      <c r="N159" s="268" t="str">
        <f t="shared" si="35"/>
        <v/>
      </c>
      <c r="O159" s="269" t="str">
        <f t="shared" si="36"/>
        <v/>
      </c>
      <c r="P159" s="270" t="str">
        <f t="shared" si="37"/>
        <v/>
      </c>
      <c r="Q159" s="271" t="str">
        <f t="shared" si="38"/>
        <v/>
      </c>
      <c r="R159" s="272" t="str">
        <f t="shared" si="39"/>
        <v/>
      </c>
      <c r="S159" s="265" t="str">
        <f t="shared" si="40"/>
        <v/>
      </c>
      <c r="T159" s="267" t="str">
        <f>IF($R159="DO",$M159*Deliverables!K137,"")</f>
        <v/>
      </c>
      <c r="U159" s="267" t="str">
        <f>IF($R159="DO",$M159*Deliverables!L137,"")</f>
        <v/>
      </c>
      <c r="V159" s="267" t="str">
        <f>IF($R159="DO",$M159*Deliverables!M137,"")</f>
        <v/>
      </c>
      <c r="W159" s="286" t="str">
        <f>IF($A159="","",MEDIAN($B$15,$B$16,IFERROR(IF(INDEX(Inputs!$U$6:$U$85,MATCH($A159,Inputs!$A$6:$A$85,0))="",$B$13,INDEX(Inputs!$U$6:$U$85,MATCH($A159,Inputs!$A$6:$A$85,0))),$B$13)))</f>
        <v/>
      </c>
      <c r="X159" s="288" t="str">
        <f t="shared" si="29"/>
        <v/>
      </c>
      <c r="Y159" s="288" t="str">
        <f t="shared" si="29"/>
        <v/>
      </c>
      <c r="Z159" s="288" t="str">
        <f t="shared" si="29"/>
        <v/>
      </c>
      <c r="AA159" s="288" t="str">
        <f t="shared" si="29"/>
        <v/>
      </c>
    </row>
    <row r="160" spans="1:27" x14ac:dyDescent="0.3">
      <c r="A160" s="224" t="str">
        <f>IF(Deliverables!$A138="","",Deliverables!$A138)</f>
        <v/>
      </c>
      <c r="B160" s="227" t="str">
        <f>IF($A160="","",Deliverables!$C138)</f>
        <v/>
      </c>
      <c r="C160" s="227" t="str">
        <f>IF($A160="","",Deliverables!$D138)</f>
        <v/>
      </c>
      <c r="D160" s="227" t="str">
        <f>IF($A160="","",Deliverables!$G138)</f>
        <v/>
      </c>
      <c r="E160" s="227" t="str">
        <f>IF($A160="","",IFERROR(INDEX(Inputs!$F$6:$F$85,MATCH($A160,Inputs!$A$6:$A$85,0)),"not in register"))</f>
        <v/>
      </c>
      <c r="F160" s="264" t="str">
        <f>IF($A160="","",IF(Deliverables!$H138="",0,Deliverables!$H138))</f>
        <v/>
      </c>
      <c r="G160" s="264" t="str">
        <f t="shared" si="30"/>
        <v/>
      </c>
      <c r="H160" s="265" t="str">
        <f>IF($A160="","",IFERROR(Deliverables!$E138*INDEX(Inputs!$C$6:$C$85,MATCH($A160,Inputs!$A$6:$A$85,0)),0))</f>
        <v/>
      </c>
      <c r="I160" s="265" t="str">
        <f t="shared" si="31"/>
        <v/>
      </c>
      <c r="J160" s="265" t="str">
        <f t="shared" si="32"/>
        <v/>
      </c>
      <c r="K160" s="332"/>
      <c r="L160" s="266" t="str">
        <f t="shared" si="33"/>
        <v/>
      </c>
      <c r="M160" s="267" t="str">
        <f t="shared" si="34"/>
        <v/>
      </c>
      <c r="N160" s="268" t="str">
        <f t="shared" si="35"/>
        <v/>
      </c>
      <c r="O160" s="269" t="str">
        <f t="shared" si="36"/>
        <v/>
      </c>
      <c r="P160" s="270" t="str">
        <f t="shared" si="37"/>
        <v/>
      </c>
      <c r="Q160" s="271" t="str">
        <f t="shared" si="38"/>
        <v/>
      </c>
      <c r="R160" s="272" t="str">
        <f t="shared" si="39"/>
        <v/>
      </c>
      <c r="S160" s="265" t="str">
        <f t="shared" si="40"/>
        <v/>
      </c>
      <c r="T160" s="267" t="str">
        <f>IF($R160="DO",$M160*Deliverables!K138,"")</f>
        <v/>
      </c>
      <c r="U160" s="267" t="str">
        <f>IF($R160="DO",$M160*Deliverables!L138,"")</f>
        <v/>
      </c>
      <c r="V160" s="267" t="str">
        <f>IF($R160="DO",$M160*Deliverables!M138,"")</f>
        <v/>
      </c>
      <c r="W160" s="286" t="str">
        <f>IF($A160="","",MEDIAN($B$15,$B$16,IFERROR(IF(INDEX(Inputs!$U$6:$U$85,MATCH($A160,Inputs!$A$6:$A$85,0))="",$B$13,INDEX(Inputs!$U$6:$U$85,MATCH($A160,Inputs!$A$6:$A$85,0))),$B$13)))</f>
        <v/>
      </c>
      <c r="X160" s="288" t="str">
        <f t="shared" si="29"/>
        <v/>
      </c>
      <c r="Y160" s="288" t="str">
        <f t="shared" si="29"/>
        <v/>
      </c>
      <c r="Z160" s="288" t="str">
        <f t="shared" si="29"/>
        <v/>
      </c>
      <c r="AA160" s="288" t="str">
        <f t="shared" si="29"/>
        <v/>
      </c>
    </row>
    <row r="161" spans="1:27" x14ac:dyDescent="0.3">
      <c r="A161" s="224" t="str">
        <f>IF(Deliverables!$A139="","",Deliverables!$A139)</f>
        <v/>
      </c>
      <c r="B161" s="227" t="str">
        <f>IF($A161="","",Deliverables!$C139)</f>
        <v/>
      </c>
      <c r="C161" s="227" t="str">
        <f>IF($A161="","",Deliverables!$D139)</f>
        <v/>
      </c>
      <c r="D161" s="227" t="str">
        <f>IF($A161="","",Deliverables!$G139)</f>
        <v/>
      </c>
      <c r="E161" s="227" t="str">
        <f>IF($A161="","",IFERROR(INDEX(Inputs!$F$6:$F$85,MATCH($A161,Inputs!$A$6:$A$85,0)),"not in register"))</f>
        <v/>
      </c>
      <c r="F161" s="264" t="str">
        <f>IF($A161="","",IF(Deliverables!$H139="",0,Deliverables!$H139))</f>
        <v/>
      </c>
      <c r="G161" s="264" t="str">
        <f t="shared" si="30"/>
        <v/>
      </c>
      <c r="H161" s="265" t="str">
        <f>IF($A161="","",IFERROR(Deliverables!$E139*INDEX(Inputs!$C$6:$C$85,MATCH($A161,Inputs!$A$6:$A$85,0)),0))</f>
        <v/>
      </c>
      <c r="I161" s="265" t="str">
        <f t="shared" si="31"/>
        <v/>
      </c>
      <c r="J161" s="265" t="str">
        <f t="shared" si="32"/>
        <v/>
      </c>
      <c r="K161" s="332"/>
      <c r="L161" s="266" t="str">
        <f t="shared" si="33"/>
        <v/>
      </c>
      <c r="M161" s="267" t="str">
        <f t="shared" si="34"/>
        <v/>
      </c>
      <c r="N161" s="268" t="str">
        <f t="shared" si="35"/>
        <v/>
      </c>
      <c r="O161" s="269" t="str">
        <f t="shared" si="36"/>
        <v/>
      </c>
      <c r="P161" s="270" t="str">
        <f t="shared" si="37"/>
        <v/>
      </c>
      <c r="Q161" s="271" t="str">
        <f t="shared" si="38"/>
        <v/>
      </c>
      <c r="R161" s="272" t="str">
        <f t="shared" si="39"/>
        <v/>
      </c>
      <c r="S161" s="265" t="str">
        <f t="shared" si="40"/>
        <v/>
      </c>
      <c r="T161" s="267" t="str">
        <f>IF($R161="DO",$M161*Deliverables!K139,"")</f>
        <v/>
      </c>
      <c r="U161" s="267" t="str">
        <f>IF($R161="DO",$M161*Deliverables!L139,"")</f>
        <v/>
      </c>
      <c r="V161" s="267" t="str">
        <f>IF($R161="DO",$M161*Deliverables!M139,"")</f>
        <v/>
      </c>
      <c r="W161" s="286" t="str">
        <f>IF($A161="","",MEDIAN($B$15,$B$16,IFERROR(IF(INDEX(Inputs!$U$6:$U$85,MATCH($A161,Inputs!$A$6:$A$85,0))="",$B$13,INDEX(Inputs!$U$6:$U$85,MATCH($A161,Inputs!$A$6:$A$85,0))),$B$13)))</f>
        <v/>
      </c>
      <c r="X161" s="288" t="str">
        <f t="shared" si="29"/>
        <v/>
      </c>
      <c r="Y161" s="288" t="str">
        <f t="shared" si="29"/>
        <v/>
      </c>
      <c r="Z161" s="288" t="str">
        <f t="shared" si="29"/>
        <v/>
      </c>
      <c r="AA161" s="288" t="str">
        <f t="shared" si="29"/>
        <v/>
      </c>
    </row>
    <row r="162" spans="1:27" x14ac:dyDescent="0.3">
      <c r="A162" s="224" t="str">
        <f>IF(Deliverables!$A140="","",Deliverables!$A140)</f>
        <v/>
      </c>
      <c r="B162" s="227" t="str">
        <f>IF($A162="","",Deliverables!$C140)</f>
        <v/>
      </c>
      <c r="C162" s="227" t="str">
        <f>IF($A162="","",Deliverables!$D140)</f>
        <v/>
      </c>
      <c r="D162" s="227" t="str">
        <f>IF($A162="","",Deliverables!$G140)</f>
        <v/>
      </c>
      <c r="E162" s="227" t="str">
        <f>IF($A162="","",IFERROR(INDEX(Inputs!$F$6:$F$85,MATCH($A162,Inputs!$A$6:$A$85,0)),"not in register"))</f>
        <v/>
      </c>
      <c r="F162" s="264" t="str">
        <f>IF($A162="","",IF(Deliverables!$H140="",0,Deliverables!$H140))</f>
        <v/>
      </c>
      <c r="G162" s="264" t="str">
        <f t="shared" si="30"/>
        <v/>
      </c>
      <c r="H162" s="265" t="str">
        <f>IF($A162="","",IFERROR(Deliverables!$E140*INDEX(Inputs!$C$6:$C$85,MATCH($A162,Inputs!$A$6:$A$85,0)),0))</f>
        <v/>
      </c>
      <c r="I162" s="265" t="str">
        <f t="shared" si="31"/>
        <v/>
      </c>
      <c r="J162" s="265" t="str">
        <f t="shared" si="32"/>
        <v/>
      </c>
      <c r="K162" s="332"/>
      <c r="L162" s="266" t="str">
        <f t="shared" si="33"/>
        <v/>
      </c>
      <c r="M162" s="267" t="str">
        <f t="shared" si="34"/>
        <v/>
      </c>
      <c r="N162" s="268" t="str">
        <f t="shared" si="35"/>
        <v/>
      </c>
      <c r="O162" s="269" t="str">
        <f t="shared" si="36"/>
        <v/>
      </c>
      <c r="P162" s="270" t="str">
        <f t="shared" si="37"/>
        <v/>
      </c>
      <c r="Q162" s="271" t="str">
        <f t="shared" si="38"/>
        <v/>
      </c>
      <c r="R162" s="272" t="str">
        <f t="shared" si="39"/>
        <v/>
      </c>
      <c r="S162" s="265" t="str">
        <f t="shared" si="40"/>
        <v/>
      </c>
      <c r="T162" s="267" t="str">
        <f>IF($R162="DO",$M162*Deliverables!K140,"")</f>
        <v/>
      </c>
      <c r="U162" s="267" t="str">
        <f>IF($R162="DO",$M162*Deliverables!L140,"")</f>
        <v/>
      </c>
      <c r="V162" s="267" t="str">
        <f>IF($R162="DO",$M162*Deliverables!M140,"")</f>
        <v/>
      </c>
      <c r="W162" s="286" t="str">
        <f>IF($A162="","",MEDIAN($B$15,$B$16,IFERROR(IF(INDEX(Inputs!$U$6:$U$85,MATCH($A162,Inputs!$A$6:$A$85,0))="",$B$13,INDEX(Inputs!$U$6:$U$85,MATCH($A162,Inputs!$A$6:$A$85,0))),$B$13)))</f>
        <v/>
      </c>
      <c r="X162" s="288" t="str">
        <f t="shared" si="29"/>
        <v/>
      </c>
      <c r="Y162" s="288" t="str">
        <f t="shared" si="29"/>
        <v/>
      </c>
      <c r="Z162" s="288" t="str">
        <f t="shared" si="29"/>
        <v/>
      </c>
      <c r="AA162" s="288" t="str">
        <f t="shared" si="29"/>
        <v/>
      </c>
    </row>
    <row r="163" spans="1:27" x14ac:dyDescent="0.3">
      <c r="A163" s="224" t="str">
        <f>IF(Deliverables!$A141="","",Deliverables!$A141)</f>
        <v/>
      </c>
      <c r="B163" s="227" t="str">
        <f>IF($A163="","",Deliverables!$C141)</f>
        <v/>
      </c>
      <c r="C163" s="227" t="str">
        <f>IF($A163="","",Deliverables!$D141)</f>
        <v/>
      </c>
      <c r="D163" s="227" t="str">
        <f>IF($A163="","",Deliverables!$G141)</f>
        <v/>
      </c>
      <c r="E163" s="227" t="str">
        <f>IF($A163="","",IFERROR(INDEX(Inputs!$F$6:$F$85,MATCH($A163,Inputs!$A$6:$A$85,0)),"not in register"))</f>
        <v/>
      </c>
      <c r="F163" s="264" t="str">
        <f>IF($A163="","",IF(Deliverables!$H141="",0,Deliverables!$H141))</f>
        <v/>
      </c>
      <c r="G163" s="264" t="str">
        <f t="shared" si="30"/>
        <v/>
      </c>
      <c r="H163" s="265" t="str">
        <f>IF($A163="","",IFERROR(Deliverables!$E141*INDEX(Inputs!$C$6:$C$85,MATCH($A163,Inputs!$A$6:$A$85,0)),0))</f>
        <v/>
      </c>
      <c r="I163" s="265" t="str">
        <f t="shared" si="31"/>
        <v/>
      </c>
      <c r="J163" s="265" t="str">
        <f t="shared" si="32"/>
        <v/>
      </c>
      <c r="K163" s="332"/>
      <c r="L163" s="266" t="str">
        <f t="shared" si="33"/>
        <v/>
      </c>
      <c r="M163" s="267" t="str">
        <f t="shared" si="34"/>
        <v/>
      </c>
      <c r="N163" s="268" t="str">
        <f t="shared" si="35"/>
        <v/>
      </c>
      <c r="O163" s="269" t="str">
        <f t="shared" si="36"/>
        <v/>
      </c>
      <c r="P163" s="270" t="str">
        <f t="shared" si="37"/>
        <v/>
      </c>
      <c r="Q163" s="271" t="str">
        <f t="shared" si="38"/>
        <v/>
      </c>
      <c r="R163" s="272" t="str">
        <f t="shared" si="39"/>
        <v/>
      </c>
      <c r="S163" s="265" t="str">
        <f t="shared" si="40"/>
        <v/>
      </c>
      <c r="T163" s="267" t="str">
        <f>IF($R163="DO",$M163*Deliverables!K141,"")</f>
        <v/>
      </c>
      <c r="U163" s="267" t="str">
        <f>IF($R163="DO",$M163*Deliverables!L141,"")</f>
        <v/>
      </c>
      <c r="V163" s="267" t="str">
        <f>IF($R163="DO",$M163*Deliverables!M141,"")</f>
        <v/>
      </c>
      <c r="W163" s="286" t="str">
        <f>IF($A163="","",MEDIAN($B$15,$B$16,IFERROR(IF(INDEX(Inputs!$U$6:$U$85,MATCH($A163,Inputs!$A$6:$A$85,0))="",$B$13,INDEX(Inputs!$U$6:$U$85,MATCH($A163,Inputs!$A$6:$A$85,0))),$B$13)))</f>
        <v/>
      </c>
      <c r="X163" s="288" t="str">
        <f t="shared" si="29"/>
        <v/>
      </c>
      <c r="Y163" s="288" t="str">
        <f t="shared" si="29"/>
        <v/>
      </c>
      <c r="Z163" s="288" t="str">
        <f t="shared" si="29"/>
        <v/>
      </c>
      <c r="AA163" s="288" t="str">
        <f t="shared" si="29"/>
        <v/>
      </c>
    </row>
    <row r="164" spans="1:27" x14ac:dyDescent="0.3">
      <c r="A164" s="224" t="str">
        <f>IF(Deliverables!$A142="","",Deliverables!$A142)</f>
        <v/>
      </c>
      <c r="B164" s="227" t="str">
        <f>IF($A164="","",Deliverables!$C142)</f>
        <v/>
      </c>
      <c r="C164" s="227" t="str">
        <f>IF($A164="","",Deliverables!$D142)</f>
        <v/>
      </c>
      <c r="D164" s="227" t="str">
        <f>IF($A164="","",Deliverables!$G142)</f>
        <v/>
      </c>
      <c r="E164" s="227" t="str">
        <f>IF($A164="","",IFERROR(INDEX(Inputs!$F$6:$F$85,MATCH($A164,Inputs!$A$6:$A$85,0)),"not in register"))</f>
        <v/>
      </c>
      <c r="F164" s="264" t="str">
        <f>IF($A164="","",IF(Deliverables!$H142="",0,Deliverables!$H142))</f>
        <v/>
      </c>
      <c r="G164" s="264" t="str">
        <f t="shared" si="30"/>
        <v/>
      </c>
      <c r="H164" s="265" t="str">
        <f>IF($A164="","",IFERROR(Deliverables!$E142*INDEX(Inputs!$C$6:$C$85,MATCH($A164,Inputs!$A$6:$A$85,0)),0))</f>
        <v/>
      </c>
      <c r="I164" s="265" t="str">
        <f t="shared" si="31"/>
        <v/>
      </c>
      <c r="J164" s="265" t="str">
        <f t="shared" si="32"/>
        <v/>
      </c>
      <c r="K164" s="332"/>
      <c r="L164" s="266" t="str">
        <f t="shared" si="33"/>
        <v/>
      </c>
      <c r="M164" s="267" t="str">
        <f t="shared" si="34"/>
        <v/>
      </c>
      <c r="N164" s="268" t="str">
        <f t="shared" si="35"/>
        <v/>
      </c>
      <c r="O164" s="269" t="str">
        <f t="shared" si="36"/>
        <v/>
      </c>
      <c r="P164" s="270" t="str">
        <f t="shared" si="37"/>
        <v/>
      </c>
      <c r="Q164" s="271" t="str">
        <f t="shared" si="38"/>
        <v/>
      </c>
      <c r="R164" s="272" t="str">
        <f t="shared" si="39"/>
        <v/>
      </c>
      <c r="S164" s="265" t="str">
        <f t="shared" si="40"/>
        <v/>
      </c>
      <c r="T164" s="267" t="str">
        <f>IF($R164="DO",$M164*Deliverables!K142,"")</f>
        <v/>
      </c>
      <c r="U164" s="267" t="str">
        <f>IF($R164="DO",$M164*Deliverables!L142,"")</f>
        <v/>
      </c>
      <c r="V164" s="267" t="str">
        <f>IF($R164="DO",$M164*Deliverables!M142,"")</f>
        <v/>
      </c>
      <c r="W164" s="286" t="str">
        <f>IF($A164="","",MEDIAN($B$15,$B$16,IFERROR(IF(INDEX(Inputs!$U$6:$U$85,MATCH($A164,Inputs!$A$6:$A$85,0))="",$B$13,INDEX(Inputs!$U$6:$U$85,MATCH($A164,Inputs!$A$6:$A$85,0))),$B$13)))</f>
        <v/>
      </c>
      <c r="X164" s="288" t="str">
        <f t="shared" si="29"/>
        <v/>
      </c>
      <c r="Y164" s="288" t="str">
        <f t="shared" si="29"/>
        <v/>
      </c>
      <c r="Z164" s="288" t="str">
        <f t="shared" si="29"/>
        <v/>
      </c>
      <c r="AA164" s="288" t="str">
        <f t="shared" si="29"/>
        <v/>
      </c>
    </row>
    <row r="165" spans="1:27" x14ac:dyDescent="0.3">
      <c r="A165" s="224" t="str">
        <f>IF(Deliverables!$A143="","",Deliverables!$A143)</f>
        <v/>
      </c>
      <c r="B165" s="227" t="str">
        <f>IF($A165="","",Deliverables!$C143)</f>
        <v/>
      </c>
      <c r="C165" s="227" t="str">
        <f>IF($A165="","",Deliverables!$D143)</f>
        <v/>
      </c>
      <c r="D165" s="227" t="str">
        <f>IF($A165="","",Deliverables!$G143)</f>
        <v/>
      </c>
      <c r="E165" s="227" t="str">
        <f>IF($A165="","",IFERROR(INDEX(Inputs!$F$6:$F$85,MATCH($A165,Inputs!$A$6:$A$85,0)),"not in register"))</f>
        <v/>
      </c>
      <c r="F165" s="264" t="str">
        <f>IF($A165="","",IF(Deliverables!$H143="",0,Deliverables!$H143))</f>
        <v/>
      </c>
      <c r="G165" s="264" t="str">
        <f t="shared" si="30"/>
        <v/>
      </c>
      <c r="H165" s="265" t="str">
        <f>IF($A165="","",IFERROR(Deliverables!$E143*INDEX(Inputs!$C$6:$C$85,MATCH($A165,Inputs!$A$6:$A$85,0)),0))</f>
        <v/>
      </c>
      <c r="I165" s="265" t="str">
        <f t="shared" si="31"/>
        <v/>
      </c>
      <c r="J165" s="265" t="str">
        <f t="shared" si="32"/>
        <v/>
      </c>
      <c r="K165" s="332"/>
      <c r="L165" s="266" t="str">
        <f t="shared" si="33"/>
        <v/>
      </c>
      <c r="M165" s="267" t="str">
        <f t="shared" si="34"/>
        <v/>
      </c>
      <c r="N165" s="268" t="str">
        <f t="shared" si="35"/>
        <v/>
      </c>
      <c r="O165" s="269" t="str">
        <f t="shared" si="36"/>
        <v/>
      </c>
      <c r="P165" s="270" t="str">
        <f t="shared" si="37"/>
        <v/>
      </c>
      <c r="Q165" s="271" t="str">
        <f t="shared" si="38"/>
        <v/>
      </c>
      <c r="R165" s="272" t="str">
        <f t="shared" si="39"/>
        <v/>
      </c>
      <c r="S165" s="265" t="str">
        <f t="shared" si="40"/>
        <v/>
      </c>
      <c r="T165" s="267" t="str">
        <f>IF($R165="DO",$M165*Deliverables!K143,"")</f>
        <v/>
      </c>
      <c r="U165" s="267" t="str">
        <f>IF($R165="DO",$M165*Deliverables!L143,"")</f>
        <v/>
      </c>
      <c r="V165" s="267" t="str">
        <f>IF($R165="DO",$M165*Deliverables!M143,"")</f>
        <v/>
      </c>
      <c r="W165" s="286" t="str">
        <f>IF($A165="","",MEDIAN($B$15,$B$16,IFERROR(IF(INDEX(Inputs!$U$6:$U$85,MATCH($A165,Inputs!$A$6:$A$85,0))="",$B$13,INDEX(Inputs!$U$6:$U$85,MATCH($A165,Inputs!$A$6:$A$85,0))),$B$13)))</f>
        <v/>
      </c>
      <c r="X165" s="288" t="str">
        <f t="shared" si="29"/>
        <v/>
      </c>
      <c r="Y165" s="288" t="str">
        <f t="shared" si="29"/>
        <v/>
      </c>
      <c r="Z165" s="288" t="str">
        <f t="shared" si="29"/>
        <v/>
      </c>
      <c r="AA165" s="288" t="str">
        <f t="shared" si="29"/>
        <v/>
      </c>
    </row>
    <row r="166" spans="1:27" x14ac:dyDescent="0.3">
      <c r="A166" s="224" t="str">
        <f>IF(Deliverables!$A144="","",Deliverables!$A144)</f>
        <v/>
      </c>
      <c r="B166" s="227" t="str">
        <f>IF($A166="","",Deliverables!$C144)</f>
        <v/>
      </c>
      <c r="C166" s="227" t="str">
        <f>IF($A166="","",Deliverables!$D144)</f>
        <v/>
      </c>
      <c r="D166" s="227" t="str">
        <f>IF($A166="","",Deliverables!$G144)</f>
        <v/>
      </c>
      <c r="E166" s="227" t="str">
        <f>IF($A166="","",IFERROR(INDEX(Inputs!$F$6:$F$85,MATCH($A166,Inputs!$A$6:$A$85,0)),"not in register"))</f>
        <v/>
      </c>
      <c r="F166" s="264" t="str">
        <f>IF($A166="","",IF(Deliverables!$H144="",0,Deliverables!$H144))</f>
        <v/>
      </c>
      <c r="G166" s="264" t="str">
        <f t="shared" si="30"/>
        <v/>
      </c>
      <c r="H166" s="265" t="str">
        <f>IF($A166="","",IFERROR(Deliverables!$E144*INDEX(Inputs!$C$6:$C$85,MATCH($A166,Inputs!$A$6:$A$85,0)),0))</f>
        <v/>
      </c>
      <c r="I166" s="265" t="str">
        <f t="shared" si="31"/>
        <v/>
      </c>
      <c r="J166" s="265" t="str">
        <f t="shared" si="32"/>
        <v/>
      </c>
      <c r="K166" s="332"/>
      <c r="L166" s="266" t="str">
        <f t="shared" si="33"/>
        <v/>
      </c>
      <c r="M166" s="267" t="str">
        <f t="shared" si="34"/>
        <v/>
      </c>
      <c r="N166" s="268" t="str">
        <f t="shared" si="35"/>
        <v/>
      </c>
      <c r="O166" s="269" t="str">
        <f t="shared" si="36"/>
        <v/>
      </c>
      <c r="P166" s="270" t="str">
        <f t="shared" si="37"/>
        <v/>
      </c>
      <c r="Q166" s="271" t="str">
        <f t="shared" si="38"/>
        <v/>
      </c>
      <c r="R166" s="272" t="str">
        <f t="shared" si="39"/>
        <v/>
      </c>
      <c r="S166" s="265" t="str">
        <f t="shared" si="40"/>
        <v/>
      </c>
      <c r="T166" s="267" t="str">
        <f>IF($R166="DO",$M166*Deliverables!K144,"")</f>
        <v/>
      </c>
      <c r="U166" s="267" t="str">
        <f>IF($R166="DO",$M166*Deliverables!L144,"")</f>
        <v/>
      </c>
      <c r="V166" s="267" t="str">
        <f>IF($R166="DO",$M166*Deliverables!M144,"")</f>
        <v/>
      </c>
      <c r="W166" s="286" t="str">
        <f>IF($A166="","",MEDIAN($B$15,$B$16,IFERROR(IF(INDEX(Inputs!$U$6:$U$85,MATCH($A166,Inputs!$A$6:$A$85,0))="",$B$13,INDEX(Inputs!$U$6:$U$85,MATCH($A166,Inputs!$A$6:$A$85,0))),$B$13)))</f>
        <v/>
      </c>
      <c r="X166" s="288" t="str">
        <f t="shared" si="29"/>
        <v/>
      </c>
      <c r="Y166" s="288" t="str">
        <f t="shared" si="29"/>
        <v/>
      </c>
      <c r="Z166" s="288" t="str">
        <f t="shared" si="29"/>
        <v/>
      </c>
      <c r="AA166" s="288" t="str">
        <f t="shared" si="29"/>
        <v/>
      </c>
    </row>
    <row r="167" spans="1:27" x14ac:dyDescent="0.3">
      <c r="A167" s="224" t="str">
        <f>IF(Deliverables!$A145="","",Deliverables!$A145)</f>
        <v/>
      </c>
      <c r="B167" s="227" t="str">
        <f>IF($A167="","",Deliverables!$C145)</f>
        <v/>
      </c>
      <c r="C167" s="227" t="str">
        <f>IF($A167="","",Deliverables!$D145)</f>
        <v/>
      </c>
      <c r="D167" s="227" t="str">
        <f>IF($A167="","",Deliverables!$G145)</f>
        <v/>
      </c>
      <c r="E167" s="227" t="str">
        <f>IF($A167="","",IFERROR(INDEX(Inputs!$F$6:$F$85,MATCH($A167,Inputs!$A$6:$A$85,0)),"not in register"))</f>
        <v/>
      </c>
      <c r="F167" s="264" t="str">
        <f>IF($A167="","",IF(Deliverables!$H145="",0,Deliverables!$H145))</f>
        <v/>
      </c>
      <c r="G167" s="264" t="str">
        <f t="shared" si="30"/>
        <v/>
      </c>
      <c r="H167" s="265" t="str">
        <f>IF($A167="","",IFERROR(Deliverables!$E145*INDEX(Inputs!$C$6:$C$85,MATCH($A167,Inputs!$A$6:$A$85,0)),0))</f>
        <v/>
      </c>
      <c r="I167" s="265" t="str">
        <f t="shared" si="31"/>
        <v/>
      </c>
      <c r="J167" s="265" t="str">
        <f t="shared" si="32"/>
        <v/>
      </c>
      <c r="K167" s="332"/>
      <c r="L167" s="266" t="str">
        <f t="shared" si="33"/>
        <v/>
      </c>
      <c r="M167" s="267" t="str">
        <f t="shared" si="34"/>
        <v/>
      </c>
      <c r="N167" s="268" t="str">
        <f t="shared" si="35"/>
        <v/>
      </c>
      <c r="O167" s="269" t="str">
        <f t="shared" si="36"/>
        <v/>
      </c>
      <c r="P167" s="270" t="str">
        <f t="shared" si="37"/>
        <v/>
      </c>
      <c r="Q167" s="271" t="str">
        <f t="shared" si="38"/>
        <v/>
      </c>
      <c r="R167" s="272" t="str">
        <f t="shared" si="39"/>
        <v/>
      </c>
      <c r="S167" s="265" t="str">
        <f t="shared" si="40"/>
        <v/>
      </c>
      <c r="T167" s="267" t="str">
        <f>IF($R167="DO",$M167*Deliverables!K145,"")</f>
        <v/>
      </c>
      <c r="U167" s="267" t="str">
        <f>IF($R167="DO",$M167*Deliverables!L145,"")</f>
        <v/>
      </c>
      <c r="V167" s="267" t="str">
        <f>IF($R167="DO",$M167*Deliverables!M145,"")</f>
        <v/>
      </c>
      <c r="W167" s="286" t="str">
        <f>IF($A167="","",MEDIAN($B$15,$B$16,IFERROR(IF(INDEX(Inputs!$U$6:$U$85,MATCH($A167,Inputs!$A$6:$A$85,0))="",$B$13,INDEX(Inputs!$U$6:$U$85,MATCH($A167,Inputs!$A$6:$A$85,0))),$B$13)))</f>
        <v/>
      </c>
      <c r="X167" s="288" t="str">
        <f t="shared" si="29"/>
        <v/>
      </c>
      <c r="Y167" s="288" t="str">
        <f t="shared" si="29"/>
        <v/>
      </c>
      <c r="Z167" s="288" t="str">
        <f t="shared" si="29"/>
        <v/>
      </c>
      <c r="AA167" s="288" t="str">
        <f t="shared" si="29"/>
        <v/>
      </c>
    </row>
    <row r="168" spans="1:27" x14ac:dyDescent="0.3">
      <c r="A168" s="224" t="str">
        <f>IF(Deliverables!$A146="","",Deliverables!$A146)</f>
        <v/>
      </c>
      <c r="B168" s="227" t="str">
        <f>IF($A168="","",Deliverables!$C146)</f>
        <v/>
      </c>
      <c r="C168" s="227" t="str">
        <f>IF($A168="","",Deliverables!$D146)</f>
        <v/>
      </c>
      <c r="D168" s="227" t="str">
        <f>IF($A168="","",Deliverables!$G146)</f>
        <v/>
      </c>
      <c r="E168" s="227" t="str">
        <f>IF($A168="","",IFERROR(INDEX(Inputs!$F$6:$F$85,MATCH($A168,Inputs!$A$6:$A$85,0)),"not in register"))</f>
        <v/>
      </c>
      <c r="F168" s="264" t="str">
        <f>IF($A168="","",IF(Deliverables!$H146="",0,Deliverables!$H146))</f>
        <v/>
      </c>
      <c r="G168" s="264" t="str">
        <f t="shared" si="30"/>
        <v/>
      </c>
      <c r="H168" s="265" t="str">
        <f>IF($A168="","",IFERROR(Deliverables!$E146*INDEX(Inputs!$C$6:$C$85,MATCH($A168,Inputs!$A$6:$A$85,0)),0))</f>
        <v/>
      </c>
      <c r="I168" s="265" t="str">
        <f t="shared" si="31"/>
        <v/>
      </c>
      <c r="J168" s="265" t="str">
        <f t="shared" si="32"/>
        <v/>
      </c>
      <c r="K168" s="332"/>
      <c r="L168" s="266" t="str">
        <f t="shared" si="33"/>
        <v/>
      </c>
      <c r="M168" s="267" t="str">
        <f t="shared" si="34"/>
        <v/>
      </c>
      <c r="N168" s="268" t="str">
        <f t="shared" si="35"/>
        <v/>
      </c>
      <c r="O168" s="269" t="str">
        <f t="shared" si="36"/>
        <v/>
      </c>
      <c r="P168" s="270" t="str">
        <f t="shared" si="37"/>
        <v/>
      </c>
      <c r="Q168" s="271" t="str">
        <f t="shared" si="38"/>
        <v/>
      </c>
      <c r="R168" s="272" t="str">
        <f t="shared" si="39"/>
        <v/>
      </c>
      <c r="S168" s="265" t="str">
        <f t="shared" si="40"/>
        <v/>
      </c>
      <c r="T168" s="267" t="str">
        <f>IF($R168="DO",$M168*Deliverables!K146,"")</f>
        <v/>
      </c>
      <c r="U168" s="267" t="str">
        <f>IF($R168="DO",$M168*Deliverables!L146,"")</f>
        <v/>
      </c>
      <c r="V168" s="267" t="str">
        <f>IF($R168="DO",$M168*Deliverables!M146,"")</f>
        <v/>
      </c>
      <c r="W168" s="286" t="str">
        <f>IF($A168="","",MEDIAN($B$15,$B$16,IFERROR(IF(INDEX(Inputs!$U$6:$U$85,MATCH($A168,Inputs!$A$6:$A$85,0))="",$B$13,INDEX(Inputs!$U$6:$U$85,MATCH($A168,Inputs!$A$6:$A$85,0))),$B$13)))</f>
        <v/>
      </c>
      <c r="X168" s="288" t="str">
        <f t="shared" ref="X168:AA187" si="41">IF($R168&lt;&gt;"DO","",MAX(0,MIN($Q168,X$25*$B$8)-MAX($Q168-$L168,(X$25-1)*$B$8))*$B$5)</f>
        <v/>
      </c>
      <c r="Y168" s="288" t="str">
        <f t="shared" si="41"/>
        <v/>
      </c>
      <c r="Z168" s="288" t="str">
        <f t="shared" si="41"/>
        <v/>
      </c>
      <c r="AA168" s="288" t="str">
        <f t="shared" si="41"/>
        <v/>
      </c>
    </row>
    <row r="169" spans="1:27" x14ac:dyDescent="0.3">
      <c r="A169" s="224" t="str">
        <f>IF(Deliverables!$A147="","",Deliverables!$A147)</f>
        <v/>
      </c>
      <c r="B169" s="227" t="str">
        <f>IF($A169="","",Deliverables!$C147)</f>
        <v/>
      </c>
      <c r="C169" s="227" t="str">
        <f>IF($A169="","",Deliverables!$D147)</f>
        <v/>
      </c>
      <c r="D169" s="227" t="str">
        <f>IF($A169="","",Deliverables!$G147)</f>
        <v/>
      </c>
      <c r="E169" s="227" t="str">
        <f>IF($A169="","",IFERROR(INDEX(Inputs!$F$6:$F$85,MATCH($A169,Inputs!$A$6:$A$85,0)),"not in register"))</f>
        <v/>
      </c>
      <c r="F169" s="264" t="str">
        <f>IF($A169="","",IF(Deliverables!$H147="",0,Deliverables!$H147))</f>
        <v/>
      </c>
      <c r="G169" s="264" t="str">
        <f t="shared" si="30"/>
        <v/>
      </c>
      <c r="H169" s="265" t="str">
        <f>IF($A169="","",IFERROR(Deliverables!$E147*INDEX(Inputs!$C$6:$C$85,MATCH($A169,Inputs!$A$6:$A$85,0)),0))</f>
        <v/>
      </c>
      <c r="I169" s="265" t="str">
        <f t="shared" si="31"/>
        <v/>
      </c>
      <c r="J169" s="265" t="str">
        <f t="shared" si="32"/>
        <v/>
      </c>
      <c r="K169" s="332"/>
      <c r="L169" s="266" t="str">
        <f t="shared" si="33"/>
        <v/>
      </c>
      <c r="M169" s="267" t="str">
        <f t="shared" si="34"/>
        <v/>
      </c>
      <c r="N169" s="268" t="str">
        <f t="shared" si="35"/>
        <v/>
      </c>
      <c r="O169" s="269" t="str">
        <f t="shared" si="36"/>
        <v/>
      </c>
      <c r="P169" s="270" t="str">
        <f t="shared" si="37"/>
        <v/>
      </c>
      <c r="Q169" s="271" t="str">
        <f t="shared" si="38"/>
        <v/>
      </c>
      <c r="R169" s="272" t="str">
        <f t="shared" si="39"/>
        <v/>
      </c>
      <c r="S169" s="265" t="str">
        <f t="shared" si="40"/>
        <v/>
      </c>
      <c r="T169" s="267" t="str">
        <f>IF($R169="DO",$M169*Deliverables!K147,"")</f>
        <v/>
      </c>
      <c r="U169" s="267" t="str">
        <f>IF($R169="DO",$M169*Deliverables!L147,"")</f>
        <v/>
      </c>
      <c r="V169" s="267" t="str">
        <f>IF($R169="DO",$M169*Deliverables!M147,"")</f>
        <v/>
      </c>
      <c r="W169" s="286" t="str">
        <f>IF($A169="","",MEDIAN($B$15,$B$16,IFERROR(IF(INDEX(Inputs!$U$6:$U$85,MATCH($A169,Inputs!$A$6:$A$85,0))="",$B$13,INDEX(Inputs!$U$6:$U$85,MATCH($A169,Inputs!$A$6:$A$85,0))),$B$13)))</f>
        <v/>
      </c>
      <c r="X169" s="288" t="str">
        <f t="shared" si="41"/>
        <v/>
      </c>
      <c r="Y169" s="288" t="str">
        <f t="shared" si="41"/>
        <v/>
      </c>
      <c r="Z169" s="288" t="str">
        <f t="shared" si="41"/>
        <v/>
      </c>
      <c r="AA169" s="288" t="str">
        <f t="shared" si="41"/>
        <v/>
      </c>
    </row>
    <row r="170" spans="1:27" x14ac:dyDescent="0.3">
      <c r="A170" s="224" t="str">
        <f>IF(Deliverables!$A148="","",Deliverables!$A148)</f>
        <v/>
      </c>
      <c r="B170" s="227" t="str">
        <f>IF($A170="","",Deliverables!$C148)</f>
        <v/>
      </c>
      <c r="C170" s="227" t="str">
        <f>IF($A170="","",Deliverables!$D148)</f>
        <v/>
      </c>
      <c r="D170" s="227" t="str">
        <f>IF($A170="","",Deliverables!$G148)</f>
        <v/>
      </c>
      <c r="E170" s="227" t="str">
        <f>IF($A170="","",IFERROR(INDEX(Inputs!$F$6:$F$85,MATCH($A170,Inputs!$A$6:$A$85,0)),"not in register"))</f>
        <v/>
      </c>
      <c r="F170" s="264" t="str">
        <f>IF($A170="","",IF(Deliverables!$H148="",0,Deliverables!$H148))</f>
        <v/>
      </c>
      <c r="G170" s="264" t="str">
        <f t="shared" si="30"/>
        <v/>
      </c>
      <c r="H170" s="265" t="str">
        <f>IF($A170="","",IFERROR(Deliverables!$E148*INDEX(Inputs!$C$6:$C$85,MATCH($A170,Inputs!$A$6:$A$85,0)),0))</f>
        <v/>
      </c>
      <c r="I170" s="265" t="str">
        <f t="shared" si="31"/>
        <v/>
      </c>
      <c r="J170" s="265" t="str">
        <f t="shared" si="32"/>
        <v/>
      </c>
      <c r="K170" s="332"/>
      <c r="L170" s="266" t="str">
        <f t="shared" si="33"/>
        <v/>
      </c>
      <c r="M170" s="267" t="str">
        <f t="shared" si="34"/>
        <v/>
      </c>
      <c r="N170" s="268" t="str">
        <f t="shared" si="35"/>
        <v/>
      </c>
      <c r="O170" s="269" t="str">
        <f t="shared" si="36"/>
        <v/>
      </c>
      <c r="P170" s="270" t="str">
        <f t="shared" si="37"/>
        <v/>
      </c>
      <c r="Q170" s="271" t="str">
        <f t="shared" si="38"/>
        <v/>
      </c>
      <c r="R170" s="272" t="str">
        <f t="shared" si="39"/>
        <v/>
      </c>
      <c r="S170" s="265" t="str">
        <f t="shared" si="40"/>
        <v/>
      </c>
      <c r="T170" s="267" t="str">
        <f>IF($R170="DO",$M170*Deliverables!K148,"")</f>
        <v/>
      </c>
      <c r="U170" s="267" t="str">
        <f>IF($R170="DO",$M170*Deliverables!L148,"")</f>
        <v/>
      </c>
      <c r="V170" s="267" t="str">
        <f>IF($R170="DO",$M170*Deliverables!M148,"")</f>
        <v/>
      </c>
      <c r="W170" s="286" t="str">
        <f>IF($A170="","",MEDIAN($B$15,$B$16,IFERROR(IF(INDEX(Inputs!$U$6:$U$85,MATCH($A170,Inputs!$A$6:$A$85,0))="",$B$13,INDEX(Inputs!$U$6:$U$85,MATCH($A170,Inputs!$A$6:$A$85,0))),$B$13)))</f>
        <v/>
      </c>
      <c r="X170" s="288" t="str">
        <f t="shared" si="41"/>
        <v/>
      </c>
      <c r="Y170" s="288" t="str">
        <f t="shared" si="41"/>
        <v/>
      </c>
      <c r="Z170" s="288" t="str">
        <f t="shared" si="41"/>
        <v/>
      </c>
      <c r="AA170" s="288" t="str">
        <f t="shared" si="41"/>
        <v/>
      </c>
    </row>
    <row r="171" spans="1:27" x14ac:dyDescent="0.3">
      <c r="A171" s="224" t="str">
        <f>IF(Deliverables!$A149="","",Deliverables!$A149)</f>
        <v/>
      </c>
      <c r="B171" s="227" t="str">
        <f>IF($A171="","",Deliverables!$C149)</f>
        <v/>
      </c>
      <c r="C171" s="227" t="str">
        <f>IF($A171="","",Deliverables!$D149)</f>
        <v/>
      </c>
      <c r="D171" s="227" t="str">
        <f>IF($A171="","",Deliverables!$G149)</f>
        <v/>
      </c>
      <c r="E171" s="227" t="str">
        <f>IF($A171="","",IFERROR(INDEX(Inputs!$F$6:$F$85,MATCH($A171,Inputs!$A$6:$A$85,0)),"not in register"))</f>
        <v/>
      </c>
      <c r="F171" s="264" t="str">
        <f>IF($A171="","",IF(Deliverables!$H149="",0,Deliverables!$H149))</f>
        <v/>
      </c>
      <c r="G171" s="264" t="str">
        <f t="shared" si="30"/>
        <v/>
      </c>
      <c r="H171" s="265" t="str">
        <f>IF($A171="","",IFERROR(Deliverables!$E149*INDEX(Inputs!$C$6:$C$85,MATCH($A171,Inputs!$A$6:$A$85,0)),0))</f>
        <v/>
      </c>
      <c r="I171" s="265" t="str">
        <f t="shared" si="31"/>
        <v/>
      </c>
      <c r="J171" s="265" t="str">
        <f t="shared" si="32"/>
        <v/>
      </c>
      <c r="K171" s="332"/>
      <c r="L171" s="266" t="str">
        <f t="shared" si="33"/>
        <v/>
      </c>
      <c r="M171" s="267" t="str">
        <f t="shared" si="34"/>
        <v/>
      </c>
      <c r="N171" s="268" t="str">
        <f t="shared" si="35"/>
        <v/>
      </c>
      <c r="O171" s="269" t="str">
        <f t="shared" si="36"/>
        <v/>
      </c>
      <c r="P171" s="270" t="str">
        <f t="shared" si="37"/>
        <v/>
      </c>
      <c r="Q171" s="271" t="str">
        <f t="shared" si="38"/>
        <v/>
      </c>
      <c r="R171" s="272" t="str">
        <f t="shared" si="39"/>
        <v/>
      </c>
      <c r="S171" s="265" t="str">
        <f t="shared" si="40"/>
        <v/>
      </c>
      <c r="T171" s="267" t="str">
        <f>IF($R171="DO",$M171*Deliverables!K149,"")</f>
        <v/>
      </c>
      <c r="U171" s="267" t="str">
        <f>IF($R171="DO",$M171*Deliverables!L149,"")</f>
        <v/>
      </c>
      <c r="V171" s="267" t="str">
        <f>IF($R171="DO",$M171*Deliverables!M149,"")</f>
        <v/>
      </c>
      <c r="W171" s="286" t="str">
        <f>IF($A171="","",MEDIAN($B$15,$B$16,IFERROR(IF(INDEX(Inputs!$U$6:$U$85,MATCH($A171,Inputs!$A$6:$A$85,0))="",$B$13,INDEX(Inputs!$U$6:$U$85,MATCH($A171,Inputs!$A$6:$A$85,0))),$B$13)))</f>
        <v/>
      </c>
      <c r="X171" s="288" t="str">
        <f t="shared" si="41"/>
        <v/>
      </c>
      <c r="Y171" s="288" t="str">
        <f t="shared" si="41"/>
        <v/>
      </c>
      <c r="Z171" s="288" t="str">
        <f t="shared" si="41"/>
        <v/>
      </c>
      <c r="AA171" s="288" t="str">
        <f t="shared" si="41"/>
        <v/>
      </c>
    </row>
    <row r="172" spans="1:27" x14ac:dyDescent="0.3">
      <c r="A172" s="224" t="str">
        <f>IF(Deliverables!$A150="","",Deliverables!$A150)</f>
        <v/>
      </c>
      <c r="B172" s="227" t="str">
        <f>IF($A172="","",Deliverables!$C150)</f>
        <v/>
      </c>
      <c r="C172" s="227" t="str">
        <f>IF($A172="","",Deliverables!$D150)</f>
        <v/>
      </c>
      <c r="D172" s="227" t="str">
        <f>IF($A172="","",Deliverables!$G150)</f>
        <v/>
      </c>
      <c r="E172" s="227" t="str">
        <f>IF($A172="","",IFERROR(INDEX(Inputs!$F$6:$F$85,MATCH($A172,Inputs!$A$6:$A$85,0)),"not in register"))</f>
        <v/>
      </c>
      <c r="F172" s="264" t="str">
        <f>IF($A172="","",IF(Deliverables!$H150="",0,Deliverables!$H150))</f>
        <v/>
      </c>
      <c r="G172" s="264" t="str">
        <f t="shared" si="30"/>
        <v/>
      </c>
      <c r="H172" s="265" t="str">
        <f>IF($A172="","",IFERROR(Deliverables!$E150*INDEX(Inputs!$C$6:$C$85,MATCH($A172,Inputs!$A$6:$A$85,0)),0))</f>
        <v/>
      </c>
      <c r="I172" s="265" t="str">
        <f t="shared" si="31"/>
        <v/>
      </c>
      <c r="J172" s="265" t="str">
        <f t="shared" si="32"/>
        <v/>
      </c>
      <c r="K172" s="332"/>
      <c r="L172" s="266" t="str">
        <f t="shared" si="33"/>
        <v/>
      </c>
      <c r="M172" s="267" t="str">
        <f t="shared" si="34"/>
        <v/>
      </c>
      <c r="N172" s="268" t="str">
        <f t="shared" si="35"/>
        <v/>
      </c>
      <c r="O172" s="269" t="str">
        <f t="shared" si="36"/>
        <v/>
      </c>
      <c r="P172" s="270" t="str">
        <f t="shared" si="37"/>
        <v/>
      </c>
      <c r="Q172" s="271" t="str">
        <f t="shared" si="38"/>
        <v/>
      </c>
      <c r="R172" s="272" t="str">
        <f t="shared" si="39"/>
        <v/>
      </c>
      <c r="S172" s="265" t="str">
        <f t="shared" si="40"/>
        <v/>
      </c>
      <c r="T172" s="267" t="str">
        <f>IF($R172="DO",$M172*Deliverables!K150,"")</f>
        <v/>
      </c>
      <c r="U172" s="267" t="str">
        <f>IF($R172="DO",$M172*Deliverables!L150,"")</f>
        <v/>
      </c>
      <c r="V172" s="267" t="str">
        <f>IF($R172="DO",$M172*Deliverables!M150,"")</f>
        <v/>
      </c>
      <c r="W172" s="286" t="str">
        <f>IF($A172="","",MEDIAN($B$15,$B$16,IFERROR(IF(INDEX(Inputs!$U$6:$U$85,MATCH($A172,Inputs!$A$6:$A$85,0))="",$B$13,INDEX(Inputs!$U$6:$U$85,MATCH($A172,Inputs!$A$6:$A$85,0))),$B$13)))</f>
        <v/>
      </c>
      <c r="X172" s="288" t="str">
        <f t="shared" si="41"/>
        <v/>
      </c>
      <c r="Y172" s="288" t="str">
        <f t="shared" si="41"/>
        <v/>
      </c>
      <c r="Z172" s="288" t="str">
        <f t="shared" si="41"/>
        <v/>
      </c>
      <c r="AA172" s="288" t="str">
        <f t="shared" si="41"/>
        <v/>
      </c>
    </row>
    <row r="173" spans="1:27" x14ac:dyDescent="0.3">
      <c r="A173" s="224" t="str">
        <f>IF(Deliverables!$A151="","",Deliverables!$A151)</f>
        <v/>
      </c>
      <c r="B173" s="227" t="str">
        <f>IF($A173="","",Deliverables!$C151)</f>
        <v/>
      </c>
      <c r="C173" s="227" t="str">
        <f>IF($A173="","",Deliverables!$D151)</f>
        <v/>
      </c>
      <c r="D173" s="227" t="str">
        <f>IF($A173="","",Deliverables!$G151)</f>
        <v/>
      </c>
      <c r="E173" s="227" t="str">
        <f>IF($A173="","",IFERROR(INDEX(Inputs!$F$6:$F$85,MATCH($A173,Inputs!$A$6:$A$85,0)),"not in register"))</f>
        <v/>
      </c>
      <c r="F173" s="264" t="str">
        <f>IF($A173="","",IF(Deliverables!$H151="",0,Deliverables!$H151))</f>
        <v/>
      </c>
      <c r="G173" s="264" t="str">
        <f t="shared" si="30"/>
        <v/>
      </c>
      <c r="H173" s="265" t="str">
        <f>IF($A173="","",IFERROR(Deliverables!$E151*INDEX(Inputs!$C$6:$C$85,MATCH($A173,Inputs!$A$6:$A$85,0)),0))</f>
        <v/>
      </c>
      <c r="I173" s="265" t="str">
        <f t="shared" si="31"/>
        <v/>
      </c>
      <c r="J173" s="265" t="str">
        <f t="shared" si="32"/>
        <v/>
      </c>
      <c r="K173" s="332"/>
      <c r="L173" s="266" t="str">
        <f t="shared" si="33"/>
        <v/>
      </c>
      <c r="M173" s="267" t="str">
        <f t="shared" si="34"/>
        <v/>
      </c>
      <c r="N173" s="268" t="str">
        <f t="shared" si="35"/>
        <v/>
      </c>
      <c r="O173" s="269" t="str">
        <f t="shared" si="36"/>
        <v/>
      </c>
      <c r="P173" s="270" t="str">
        <f t="shared" si="37"/>
        <v/>
      </c>
      <c r="Q173" s="271" t="str">
        <f t="shared" si="38"/>
        <v/>
      </c>
      <c r="R173" s="272" t="str">
        <f t="shared" si="39"/>
        <v/>
      </c>
      <c r="S173" s="265" t="str">
        <f t="shared" si="40"/>
        <v/>
      </c>
      <c r="T173" s="267" t="str">
        <f>IF($R173="DO",$M173*Deliverables!K151,"")</f>
        <v/>
      </c>
      <c r="U173" s="267" t="str">
        <f>IF($R173="DO",$M173*Deliverables!L151,"")</f>
        <v/>
      </c>
      <c r="V173" s="267" t="str">
        <f>IF($R173="DO",$M173*Deliverables!M151,"")</f>
        <v/>
      </c>
      <c r="W173" s="286" t="str">
        <f>IF($A173="","",MEDIAN($B$15,$B$16,IFERROR(IF(INDEX(Inputs!$U$6:$U$85,MATCH($A173,Inputs!$A$6:$A$85,0))="",$B$13,INDEX(Inputs!$U$6:$U$85,MATCH($A173,Inputs!$A$6:$A$85,0))),$B$13)))</f>
        <v/>
      </c>
      <c r="X173" s="288" t="str">
        <f t="shared" si="41"/>
        <v/>
      </c>
      <c r="Y173" s="288" t="str">
        <f t="shared" si="41"/>
        <v/>
      </c>
      <c r="Z173" s="288" t="str">
        <f t="shared" si="41"/>
        <v/>
      </c>
      <c r="AA173" s="288" t="str">
        <f t="shared" si="41"/>
        <v/>
      </c>
    </row>
    <row r="174" spans="1:27" x14ac:dyDescent="0.3">
      <c r="A174" s="224" t="str">
        <f>IF(Deliverables!$A152="","",Deliverables!$A152)</f>
        <v/>
      </c>
      <c r="B174" s="227" t="str">
        <f>IF($A174="","",Deliverables!$C152)</f>
        <v/>
      </c>
      <c r="C174" s="227" t="str">
        <f>IF($A174="","",Deliverables!$D152)</f>
        <v/>
      </c>
      <c r="D174" s="227" t="str">
        <f>IF($A174="","",Deliverables!$G152)</f>
        <v/>
      </c>
      <c r="E174" s="227" t="str">
        <f>IF($A174="","",IFERROR(INDEX(Inputs!$F$6:$F$85,MATCH($A174,Inputs!$A$6:$A$85,0)),"not in register"))</f>
        <v/>
      </c>
      <c r="F174" s="264" t="str">
        <f>IF($A174="","",IF(Deliverables!$H152="",0,Deliverables!$H152))</f>
        <v/>
      </c>
      <c r="G174" s="264" t="str">
        <f t="shared" si="30"/>
        <v/>
      </c>
      <c r="H174" s="265" t="str">
        <f>IF($A174="","",IFERROR(Deliverables!$E152*INDEX(Inputs!$C$6:$C$85,MATCH($A174,Inputs!$A$6:$A$85,0)),0))</f>
        <v/>
      </c>
      <c r="I174" s="265" t="str">
        <f t="shared" si="31"/>
        <v/>
      </c>
      <c r="J174" s="265" t="str">
        <f t="shared" si="32"/>
        <v/>
      </c>
      <c r="K174" s="332"/>
      <c r="L174" s="266" t="str">
        <f t="shared" si="33"/>
        <v/>
      </c>
      <c r="M174" s="267" t="str">
        <f t="shared" si="34"/>
        <v/>
      </c>
      <c r="N174" s="268" t="str">
        <f t="shared" si="35"/>
        <v/>
      </c>
      <c r="O174" s="269" t="str">
        <f t="shared" si="36"/>
        <v/>
      </c>
      <c r="P174" s="270" t="str">
        <f t="shared" si="37"/>
        <v/>
      </c>
      <c r="Q174" s="271" t="str">
        <f t="shared" si="38"/>
        <v/>
      </c>
      <c r="R174" s="272" t="str">
        <f t="shared" si="39"/>
        <v/>
      </c>
      <c r="S174" s="265" t="str">
        <f t="shared" si="40"/>
        <v/>
      </c>
      <c r="T174" s="267" t="str">
        <f>IF($R174="DO",$M174*Deliverables!K152,"")</f>
        <v/>
      </c>
      <c r="U174" s="267" t="str">
        <f>IF($R174="DO",$M174*Deliverables!L152,"")</f>
        <v/>
      </c>
      <c r="V174" s="267" t="str">
        <f>IF($R174="DO",$M174*Deliverables!M152,"")</f>
        <v/>
      </c>
      <c r="W174" s="286" t="str">
        <f>IF($A174="","",MEDIAN($B$15,$B$16,IFERROR(IF(INDEX(Inputs!$U$6:$U$85,MATCH($A174,Inputs!$A$6:$A$85,0))="",$B$13,INDEX(Inputs!$U$6:$U$85,MATCH($A174,Inputs!$A$6:$A$85,0))),$B$13)))</f>
        <v/>
      </c>
      <c r="X174" s="288" t="str">
        <f t="shared" si="41"/>
        <v/>
      </c>
      <c r="Y174" s="288" t="str">
        <f t="shared" si="41"/>
        <v/>
      </c>
      <c r="Z174" s="288" t="str">
        <f t="shared" si="41"/>
        <v/>
      </c>
      <c r="AA174" s="288" t="str">
        <f t="shared" si="41"/>
        <v/>
      </c>
    </row>
    <row r="175" spans="1:27" x14ac:dyDescent="0.3">
      <c r="A175" s="224" t="str">
        <f>IF(Deliverables!$A153="","",Deliverables!$A153)</f>
        <v/>
      </c>
      <c r="B175" s="227" t="str">
        <f>IF($A175="","",Deliverables!$C153)</f>
        <v/>
      </c>
      <c r="C175" s="227" t="str">
        <f>IF($A175="","",Deliverables!$D153)</f>
        <v/>
      </c>
      <c r="D175" s="227" t="str">
        <f>IF($A175="","",Deliverables!$G153)</f>
        <v/>
      </c>
      <c r="E175" s="227" t="str">
        <f>IF($A175="","",IFERROR(INDEX(Inputs!$F$6:$F$85,MATCH($A175,Inputs!$A$6:$A$85,0)),"not in register"))</f>
        <v/>
      </c>
      <c r="F175" s="264" t="str">
        <f>IF($A175="","",IF(Deliverables!$H153="",0,Deliverables!$H153))</f>
        <v/>
      </c>
      <c r="G175" s="264" t="str">
        <f t="shared" si="30"/>
        <v/>
      </c>
      <c r="H175" s="265" t="str">
        <f>IF($A175="","",IFERROR(Deliverables!$E153*INDEX(Inputs!$C$6:$C$85,MATCH($A175,Inputs!$A$6:$A$85,0)),0))</f>
        <v/>
      </c>
      <c r="I175" s="265" t="str">
        <f t="shared" si="31"/>
        <v/>
      </c>
      <c r="J175" s="265" t="str">
        <f t="shared" si="32"/>
        <v/>
      </c>
      <c r="K175" s="332"/>
      <c r="L175" s="266" t="str">
        <f t="shared" si="33"/>
        <v/>
      </c>
      <c r="M175" s="267" t="str">
        <f t="shared" si="34"/>
        <v/>
      </c>
      <c r="N175" s="268" t="str">
        <f t="shared" si="35"/>
        <v/>
      </c>
      <c r="O175" s="269" t="str">
        <f t="shared" si="36"/>
        <v/>
      </c>
      <c r="P175" s="270" t="str">
        <f t="shared" si="37"/>
        <v/>
      </c>
      <c r="Q175" s="271" t="str">
        <f t="shared" si="38"/>
        <v/>
      </c>
      <c r="R175" s="272" t="str">
        <f t="shared" si="39"/>
        <v/>
      </c>
      <c r="S175" s="265" t="str">
        <f t="shared" si="40"/>
        <v/>
      </c>
      <c r="T175" s="267" t="str">
        <f>IF($R175="DO",$M175*Deliverables!K153,"")</f>
        <v/>
      </c>
      <c r="U175" s="267" t="str">
        <f>IF($R175="DO",$M175*Deliverables!L153,"")</f>
        <v/>
      </c>
      <c r="V175" s="267" t="str">
        <f>IF($R175="DO",$M175*Deliverables!M153,"")</f>
        <v/>
      </c>
      <c r="W175" s="286" t="str">
        <f>IF($A175="","",MEDIAN($B$15,$B$16,IFERROR(IF(INDEX(Inputs!$U$6:$U$85,MATCH($A175,Inputs!$A$6:$A$85,0))="",$B$13,INDEX(Inputs!$U$6:$U$85,MATCH($A175,Inputs!$A$6:$A$85,0))),$B$13)))</f>
        <v/>
      </c>
      <c r="X175" s="288" t="str">
        <f t="shared" si="41"/>
        <v/>
      </c>
      <c r="Y175" s="288" t="str">
        <f t="shared" si="41"/>
        <v/>
      </c>
      <c r="Z175" s="288" t="str">
        <f t="shared" si="41"/>
        <v/>
      </c>
      <c r="AA175" s="288" t="str">
        <f t="shared" si="41"/>
        <v/>
      </c>
    </row>
    <row r="176" spans="1:27" x14ac:dyDescent="0.3">
      <c r="A176" s="224" t="str">
        <f>IF(Deliverables!$A154="","",Deliverables!$A154)</f>
        <v/>
      </c>
      <c r="B176" s="227" t="str">
        <f>IF($A176="","",Deliverables!$C154)</f>
        <v/>
      </c>
      <c r="C176" s="227" t="str">
        <f>IF($A176="","",Deliverables!$D154)</f>
        <v/>
      </c>
      <c r="D176" s="227" t="str">
        <f>IF($A176="","",Deliverables!$G154)</f>
        <v/>
      </c>
      <c r="E176" s="227" t="str">
        <f>IF($A176="","",IFERROR(INDEX(Inputs!$F$6:$F$85,MATCH($A176,Inputs!$A$6:$A$85,0)),"not in register"))</f>
        <v/>
      </c>
      <c r="F176" s="264" t="str">
        <f>IF($A176="","",IF(Deliverables!$H154="",0,Deliverables!$H154))</f>
        <v/>
      </c>
      <c r="G176" s="264" t="str">
        <f t="shared" si="30"/>
        <v/>
      </c>
      <c r="H176" s="265" t="str">
        <f>IF($A176="","",IFERROR(Deliverables!$E154*INDEX(Inputs!$C$6:$C$85,MATCH($A176,Inputs!$A$6:$A$85,0)),0))</f>
        <v/>
      </c>
      <c r="I176" s="265" t="str">
        <f t="shared" si="31"/>
        <v/>
      </c>
      <c r="J176" s="265" t="str">
        <f t="shared" si="32"/>
        <v/>
      </c>
      <c r="K176" s="332"/>
      <c r="L176" s="266" t="str">
        <f t="shared" si="33"/>
        <v/>
      </c>
      <c r="M176" s="267" t="str">
        <f t="shared" si="34"/>
        <v/>
      </c>
      <c r="N176" s="268" t="str">
        <f t="shared" si="35"/>
        <v/>
      </c>
      <c r="O176" s="269" t="str">
        <f t="shared" si="36"/>
        <v/>
      </c>
      <c r="P176" s="270" t="str">
        <f t="shared" si="37"/>
        <v/>
      </c>
      <c r="Q176" s="271" t="str">
        <f t="shared" si="38"/>
        <v/>
      </c>
      <c r="R176" s="272" t="str">
        <f t="shared" si="39"/>
        <v/>
      </c>
      <c r="S176" s="265" t="str">
        <f t="shared" si="40"/>
        <v/>
      </c>
      <c r="T176" s="267" t="str">
        <f>IF($R176="DO",$M176*Deliverables!K154,"")</f>
        <v/>
      </c>
      <c r="U176" s="267" t="str">
        <f>IF($R176="DO",$M176*Deliverables!L154,"")</f>
        <v/>
      </c>
      <c r="V176" s="267" t="str">
        <f>IF($R176="DO",$M176*Deliverables!M154,"")</f>
        <v/>
      </c>
      <c r="W176" s="286" t="str">
        <f>IF($A176="","",MEDIAN($B$15,$B$16,IFERROR(IF(INDEX(Inputs!$U$6:$U$85,MATCH($A176,Inputs!$A$6:$A$85,0))="",$B$13,INDEX(Inputs!$U$6:$U$85,MATCH($A176,Inputs!$A$6:$A$85,0))),$B$13)))</f>
        <v/>
      </c>
      <c r="X176" s="288" t="str">
        <f t="shared" si="41"/>
        <v/>
      </c>
      <c r="Y176" s="288" t="str">
        <f t="shared" si="41"/>
        <v/>
      </c>
      <c r="Z176" s="288" t="str">
        <f t="shared" si="41"/>
        <v/>
      </c>
      <c r="AA176" s="288" t="str">
        <f t="shared" si="41"/>
        <v/>
      </c>
    </row>
    <row r="177" spans="1:27" x14ac:dyDescent="0.3">
      <c r="A177" s="224" t="str">
        <f>IF(Deliverables!$A155="","",Deliverables!$A155)</f>
        <v/>
      </c>
      <c r="B177" s="227" t="str">
        <f>IF($A177="","",Deliverables!$C155)</f>
        <v/>
      </c>
      <c r="C177" s="227" t="str">
        <f>IF($A177="","",Deliverables!$D155)</f>
        <v/>
      </c>
      <c r="D177" s="227" t="str">
        <f>IF($A177="","",Deliverables!$G155)</f>
        <v/>
      </c>
      <c r="E177" s="227" t="str">
        <f>IF($A177="","",IFERROR(INDEX(Inputs!$F$6:$F$85,MATCH($A177,Inputs!$A$6:$A$85,0)),"not in register"))</f>
        <v/>
      </c>
      <c r="F177" s="264" t="str">
        <f>IF($A177="","",IF(Deliverables!$H155="",0,Deliverables!$H155))</f>
        <v/>
      </c>
      <c r="G177" s="264" t="str">
        <f t="shared" si="30"/>
        <v/>
      </c>
      <c r="H177" s="265" t="str">
        <f>IF($A177="","",IFERROR(Deliverables!$E155*INDEX(Inputs!$C$6:$C$85,MATCH($A177,Inputs!$A$6:$A$85,0)),0))</f>
        <v/>
      </c>
      <c r="I177" s="265" t="str">
        <f t="shared" si="31"/>
        <v/>
      </c>
      <c r="J177" s="265" t="str">
        <f t="shared" si="32"/>
        <v/>
      </c>
      <c r="K177" s="332"/>
      <c r="L177" s="266" t="str">
        <f t="shared" si="33"/>
        <v/>
      </c>
      <c r="M177" s="267" t="str">
        <f t="shared" si="34"/>
        <v/>
      </c>
      <c r="N177" s="268" t="str">
        <f t="shared" si="35"/>
        <v/>
      </c>
      <c r="O177" s="269" t="str">
        <f t="shared" si="36"/>
        <v/>
      </c>
      <c r="P177" s="270" t="str">
        <f t="shared" si="37"/>
        <v/>
      </c>
      <c r="Q177" s="271" t="str">
        <f t="shared" si="38"/>
        <v/>
      </c>
      <c r="R177" s="272" t="str">
        <f t="shared" si="39"/>
        <v/>
      </c>
      <c r="S177" s="265" t="str">
        <f t="shared" si="40"/>
        <v/>
      </c>
      <c r="T177" s="267" t="str">
        <f>IF($R177="DO",$M177*Deliverables!K155,"")</f>
        <v/>
      </c>
      <c r="U177" s="267" t="str">
        <f>IF($R177="DO",$M177*Deliverables!L155,"")</f>
        <v/>
      </c>
      <c r="V177" s="267" t="str">
        <f>IF($R177="DO",$M177*Deliverables!M155,"")</f>
        <v/>
      </c>
      <c r="W177" s="286" t="str">
        <f>IF($A177="","",MEDIAN($B$15,$B$16,IFERROR(IF(INDEX(Inputs!$U$6:$U$85,MATCH($A177,Inputs!$A$6:$A$85,0))="",$B$13,INDEX(Inputs!$U$6:$U$85,MATCH($A177,Inputs!$A$6:$A$85,0))),$B$13)))</f>
        <v/>
      </c>
      <c r="X177" s="288" t="str">
        <f t="shared" si="41"/>
        <v/>
      </c>
      <c r="Y177" s="288" t="str">
        <f t="shared" si="41"/>
        <v/>
      </c>
      <c r="Z177" s="288" t="str">
        <f t="shared" si="41"/>
        <v/>
      </c>
      <c r="AA177" s="288" t="str">
        <f t="shared" si="41"/>
        <v/>
      </c>
    </row>
    <row r="178" spans="1:27" x14ac:dyDescent="0.3">
      <c r="A178" s="224" t="str">
        <f>IF(Deliverables!$A156="","",Deliverables!$A156)</f>
        <v/>
      </c>
      <c r="B178" s="227" t="str">
        <f>IF($A178="","",Deliverables!$C156)</f>
        <v/>
      </c>
      <c r="C178" s="227" t="str">
        <f>IF($A178="","",Deliverables!$D156)</f>
        <v/>
      </c>
      <c r="D178" s="227" t="str">
        <f>IF($A178="","",Deliverables!$G156)</f>
        <v/>
      </c>
      <c r="E178" s="227" t="str">
        <f>IF($A178="","",IFERROR(INDEX(Inputs!$F$6:$F$85,MATCH($A178,Inputs!$A$6:$A$85,0)),"not in register"))</f>
        <v/>
      </c>
      <c r="F178" s="264" t="str">
        <f>IF($A178="","",IF(Deliverables!$H156="",0,Deliverables!$H156))</f>
        <v/>
      </c>
      <c r="G178" s="264" t="str">
        <f t="shared" si="30"/>
        <v/>
      </c>
      <c r="H178" s="265" t="str">
        <f>IF($A178="","",IFERROR(Deliverables!$E156*INDEX(Inputs!$C$6:$C$85,MATCH($A178,Inputs!$A$6:$A$85,0)),0))</f>
        <v/>
      </c>
      <c r="I178" s="265" t="str">
        <f t="shared" si="31"/>
        <v/>
      </c>
      <c r="J178" s="265" t="str">
        <f t="shared" si="32"/>
        <v/>
      </c>
      <c r="K178" s="332"/>
      <c r="L178" s="266" t="str">
        <f t="shared" si="33"/>
        <v/>
      </c>
      <c r="M178" s="267" t="str">
        <f t="shared" si="34"/>
        <v/>
      </c>
      <c r="N178" s="268" t="str">
        <f t="shared" si="35"/>
        <v/>
      </c>
      <c r="O178" s="269" t="str">
        <f t="shared" si="36"/>
        <v/>
      </c>
      <c r="P178" s="270" t="str">
        <f t="shared" si="37"/>
        <v/>
      </c>
      <c r="Q178" s="271" t="str">
        <f t="shared" si="38"/>
        <v/>
      </c>
      <c r="R178" s="272" t="str">
        <f t="shared" si="39"/>
        <v/>
      </c>
      <c r="S178" s="265" t="str">
        <f t="shared" si="40"/>
        <v/>
      </c>
      <c r="T178" s="267" t="str">
        <f>IF($R178="DO",$M178*Deliverables!K156,"")</f>
        <v/>
      </c>
      <c r="U178" s="267" t="str">
        <f>IF($R178="DO",$M178*Deliverables!L156,"")</f>
        <v/>
      </c>
      <c r="V178" s="267" t="str">
        <f>IF($R178="DO",$M178*Deliverables!M156,"")</f>
        <v/>
      </c>
      <c r="W178" s="286" t="str">
        <f>IF($A178="","",MEDIAN($B$15,$B$16,IFERROR(IF(INDEX(Inputs!$U$6:$U$85,MATCH($A178,Inputs!$A$6:$A$85,0))="",$B$13,INDEX(Inputs!$U$6:$U$85,MATCH($A178,Inputs!$A$6:$A$85,0))),$B$13)))</f>
        <v/>
      </c>
      <c r="X178" s="288" t="str">
        <f t="shared" si="41"/>
        <v/>
      </c>
      <c r="Y178" s="288" t="str">
        <f t="shared" si="41"/>
        <v/>
      </c>
      <c r="Z178" s="288" t="str">
        <f t="shared" si="41"/>
        <v/>
      </c>
      <c r="AA178" s="288" t="str">
        <f t="shared" si="41"/>
        <v/>
      </c>
    </row>
    <row r="179" spans="1:27" x14ac:dyDescent="0.3">
      <c r="A179" s="224" t="str">
        <f>IF(Deliverables!$A157="","",Deliverables!$A157)</f>
        <v/>
      </c>
      <c r="B179" s="227" t="str">
        <f>IF($A179="","",Deliverables!$C157)</f>
        <v/>
      </c>
      <c r="C179" s="227" t="str">
        <f>IF($A179="","",Deliverables!$D157)</f>
        <v/>
      </c>
      <c r="D179" s="227" t="str">
        <f>IF($A179="","",Deliverables!$G157)</f>
        <v/>
      </c>
      <c r="E179" s="227" t="str">
        <f>IF($A179="","",IFERROR(INDEX(Inputs!$F$6:$F$85,MATCH($A179,Inputs!$A$6:$A$85,0)),"not in register"))</f>
        <v/>
      </c>
      <c r="F179" s="264" t="str">
        <f>IF($A179="","",IF(Deliverables!$H157="",0,Deliverables!$H157))</f>
        <v/>
      </c>
      <c r="G179" s="264" t="str">
        <f t="shared" si="30"/>
        <v/>
      </c>
      <c r="H179" s="265" t="str">
        <f>IF($A179="","",IFERROR(Deliverables!$E157*INDEX(Inputs!$C$6:$C$85,MATCH($A179,Inputs!$A$6:$A$85,0)),0))</f>
        <v/>
      </c>
      <c r="I179" s="265" t="str">
        <f t="shared" si="31"/>
        <v/>
      </c>
      <c r="J179" s="265" t="str">
        <f t="shared" si="32"/>
        <v/>
      </c>
      <c r="K179" s="332"/>
      <c r="L179" s="266" t="str">
        <f t="shared" si="33"/>
        <v/>
      </c>
      <c r="M179" s="267" t="str">
        <f t="shared" si="34"/>
        <v/>
      </c>
      <c r="N179" s="268" t="str">
        <f t="shared" si="35"/>
        <v/>
      </c>
      <c r="O179" s="269" t="str">
        <f t="shared" si="36"/>
        <v/>
      </c>
      <c r="P179" s="270" t="str">
        <f t="shared" si="37"/>
        <v/>
      </c>
      <c r="Q179" s="271" t="str">
        <f t="shared" si="38"/>
        <v/>
      </c>
      <c r="R179" s="272" t="str">
        <f t="shared" si="39"/>
        <v/>
      </c>
      <c r="S179" s="265" t="str">
        <f t="shared" si="40"/>
        <v/>
      </c>
      <c r="T179" s="267" t="str">
        <f>IF($R179="DO",$M179*Deliverables!K157,"")</f>
        <v/>
      </c>
      <c r="U179" s="267" t="str">
        <f>IF($R179="DO",$M179*Deliverables!L157,"")</f>
        <v/>
      </c>
      <c r="V179" s="267" t="str">
        <f>IF($R179="DO",$M179*Deliverables!M157,"")</f>
        <v/>
      </c>
      <c r="W179" s="286" t="str">
        <f>IF($A179="","",MEDIAN($B$15,$B$16,IFERROR(IF(INDEX(Inputs!$U$6:$U$85,MATCH($A179,Inputs!$A$6:$A$85,0))="",$B$13,INDEX(Inputs!$U$6:$U$85,MATCH($A179,Inputs!$A$6:$A$85,0))),$B$13)))</f>
        <v/>
      </c>
      <c r="X179" s="288" t="str">
        <f t="shared" si="41"/>
        <v/>
      </c>
      <c r="Y179" s="288" t="str">
        <f t="shared" si="41"/>
        <v/>
      </c>
      <c r="Z179" s="288" t="str">
        <f t="shared" si="41"/>
        <v/>
      </c>
      <c r="AA179" s="288" t="str">
        <f t="shared" si="41"/>
        <v/>
      </c>
    </row>
    <row r="180" spans="1:27" x14ac:dyDescent="0.3">
      <c r="A180" s="224" t="str">
        <f>IF(Deliverables!$A158="","",Deliverables!$A158)</f>
        <v/>
      </c>
      <c r="B180" s="227" t="str">
        <f>IF($A180="","",Deliverables!$C158)</f>
        <v/>
      </c>
      <c r="C180" s="227" t="str">
        <f>IF($A180="","",Deliverables!$D158)</f>
        <v/>
      </c>
      <c r="D180" s="227" t="str">
        <f>IF($A180="","",Deliverables!$G158)</f>
        <v/>
      </c>
      <c r="E180" s="227" t="str">
        <f>IF($A180="","",IFERROR(INDEX(Inputs!$F$6:$F$85,MATCH($A180,Inputs!$A$6:$A$85,0)),"not in register"))</f>
        <v/>
      </c>
      <c r="F180" s="264" t="str">
        <f>IF($A180="","",IF(Deliverables!$H158="",0,Deliverables!$H158))</f>
        <v/>
      </c>
      <c r="G180" s="264" t="str">
        <f t="shared" si="30"/>
        <v/>
      </c>
      <c r="H180" s="265" t="str">
        <f>IF($A180="","",IFERROR(Deliverables!$E158*INDEX(Inputs!$C$6:$C$85,MATCH($A180,Inputs!$A$6:$A$85,0)),0))</f>
        <v/>
      </c>
      <c r="I180" s="265" t="str">
        <f t="shared" si="31"/>
        <v/>
      </c>
      <c r="J180" s="265" t="str">
        <f t="shared" si="32"/>
        <v/>
      </c>
      <c r="K180" s="332"/>
      <c r="L180" s="266" t="str">
        <f t="shared" si="33"/>
        <v/>
      </c>
      <c r="M180" s="267" t="str">
        <f t="shared" si="34"/>
        <v/>
      </c>
      <c r="N180" s="268" t="str">
        <f t="shared" si="35"/>
        <v/>
      </c>
      <c r="O180" s="269" t="str">
        <f t="shared" si="36"/>
        <v/>
      </c>
      <c r="P180" s="270" t="str">
        <f t="shared" si="37"/>
        <v/>
      </c>
      <c r="Q180" s="271" t="str">
        <f t="shared" si="38"/>
        <v/>
      </c>
      <c r="R180" s="272" t="str">
        <f t="shared" si="39"/>
        <v/>
      </c>
      <c r="S180" s="265" t="str">
        <f t="shared" si="40"/>
        <v/>
      </c>
      <c r="T180" s="267" t="str">
        <f>IF($R180="DO",$M180*Deliverables!K158,"")</f>
        <v/>
      </c>
      <c r="U180" s="267" t="str">
        <f>IF($R180="DO",$M180*Deliverables!L158,"")</f>
        <v/>
      </c>
      <c r="V180" s="267" t="str">
        <f>IF($R180="DO",$M180*Deliverables!M158,"")</f>
        <v/>
      </c>
      <c r="W180" s="286" t="str">
        <f>IF($A180="","",MEDIAN($B$15,$B$16,IFERROR(IF(INDEX(Inputs!$U$6:$U$85,MATCH($A180,Inputs!$A$6:$A$85,0))="",$B$13,INDEX(Inputs!$U$6:$U$85,MATCH($A180,Inputs!$A$6:$A$85,0))),$B$13)))</f>
        <v/>
      </c>
      <c r="X180" s="288" t="str">
        <f t="shared" si="41"/>
        <v/>
      </c>
      <c r="Y180" s="288" t="str">
        <f t="shared" si="41"/>
        <v/>
      </c>
      <c r="Z180" s="288" t="str">
        <f t="shared" si="41"/>
        <v/>
      </c>
      <c r="AA180" s="288" t="str">
        <f t="shared" si="41"/>
        <v/>
      </c>
    </row>
    <row r="181" spans="1:27" x14ac:dyDescent="0.3">
      <c r="A181" s="224" t="str">
        <f>IF(Deliverables!$A159="","",Deliverables!$A159)</f>
        <v/>
      </c>
      <c r="B181" s="227" t="str">
        <f>IF($A181="","",Deliverables!$C159)</f>
        <v/>
      </c>
      <c r="C181" s="227" t="str">
        <f>IF($A181="","",Deliverables!$D159)</f>
        <v/>
      </c>
      <c r="D181" s="227" t="str">
        <f>IF($A181="","",Deliverables!$G159)</f>
        <v/>
      </c>
      <c r="E181" s="227" t="str">
        <f>IF($A181="","",IFERROR(INDEX(Inputs!$F$6:$F$85,MATCH($A181,Inputs!$A$6:$A$85,0)),"not in register"))</f>
        <v/>
      </c>
      <c r="F181" s="264" t="str">
        <f>IF($A181="","",IF(Deliverables!$H159="",0,Deliverables!$H159))</f>
        <v/>
      </c>
      <c r="G181" s="264" t="str">
        <f t="shared" si="30"/>
        <v/>
      </c>
      <c r="H181" s="265" t="str">
        <f>IF($A181="","",IFERROR(Deliverables!$E159*INDEX(Inputs!$C$6:$C$85,MATCH($A181,Inputs!$A$6:$A$85,0)),0))</f>
        <v/>
      </c>
      <c r="I181" s="265" t="str">
        <f t="shared" si="31"/>
        <v/>
      </c>
      <c r="J181" s="265" t="str">
        <f t="shared" si="32"/>
        <v/>
      </c>
      <c r="K181" s="332"/>
      <c r="L181" s="266" t="str">
        <f t="shared" si="33"/>
        <v/>
      </c>
      <c r="M181" s="267" t="str">
        <f t="shared" si="34"/>
        <v/>
      </c>
      <c r="N181" s="268" t="str">
        <f t="shared" si="35"/>
        <v/>
      </c>
      <c r="O181" s="269" t="str">
        <f t="shared" si="36"/>
        <v/>
      </c>
      <c r="P181" s="270" t="str">
        <f t="shared" si="37"/>
        <v/>
      </c>
      <c r="Q181" s="271" t="str">
        <f t="shared" si="38"/>
        <v/>
      </c>
      <c r="R181" s="272" t="str">
        <f t="shared" si="39"/>
        <v/>
      </c>
      <c r="S181" s="265" t="str">
        <f t="shared" si="40"/>
        <v/>
      </c>
      <c r="T181" s="267" t="str">
        <f>IF($R181="DO",$M181*Deliverables!K159,"")</f>
        <v/>
      </c>
      <c r="U181" s="267" t="str">
        <f>IF($R181="DO",$M181*Deliverables!L159,"")</f>
        <v/>
      </c>
      <c r="V181" s="267" t="str">
        <f>IF($R181="DO",$M181*Deliverables!M159,"")</f>
        <v/>
      </c>
      <c r="W181" s="286" t="str">
        <f>IF($A181="","",MEDIAN($B$15,$B$16,IFERROR(IF(INDEX(Inputs!$U$6:$U$85,MATCH($A181,Inputs!$A$6:$A$85,0))="",$B$13,INDEX(Inputs!$U$6:$U$85,MATCH($A181,Inputs!$A$6:$A$85,0))),$B$13)))</f>
        <v/>
      </c>
      <c r="X181" s="288" t="str">
        <f t="shared" si="41"/>
        <v/>
      </c>
      <c r="Y181" s="288" t="str">
        <f t="shared" si="41"/>
        <v/>
      </c>
      <c r="Z181" s="288" t="str">
        <f t="shared" si="41"/>
        <v/>
      </c>
      <c r="AA181" s="288" t="str">
        <f t="shared" si="41"/>
        <v/>
      </c>
    </row>
    <row r="182" spans="1:27" x14ac:dyDescent="0.3">
      <c r="A182" s="224" t="str">
        <f>IF(Deliverables!$A160="","",Deliverables!$A160)</f>
        <v/>
      </c>
      <c r="B182" s="227" t="str">
        <f>IF($A182="","",Deliverables!$C160)</f>
        <v/>
      </c>
      <c r="C182" s="227" t="str">
        <f>IF($A182="","",Deliverables!$D160)</f>
        <v/>
      </c>
      <c r="D182" s="227" t="str">
        <f>IF($A182="","",Deliverables!$G160)</f>
        <v/>
      </c>
      <c r="E182" s="227" t="str">
        <f>IF($A182="","",IFERROR(INDEX(Inputs!$F$6:$F$85,MATCH($A182,Inputs!$A$6:$A$85,0)),"not in register"))</f>
        <v/>
      </c>
      <c r="F182" s="264" t="str">
        <f>IF($A182="","",IF(Deliverables!$H160="",0,Deliverables!$H160))</f>
        <v/>
      </c>
      <c r="G182" s="264" t="str">
        <f t="shared" si="30"/>
        <v/>
      </c>
      <c r="H182" s="265" t="str">
        <f>IF($A182="","",IFERROR(Deliverables!$E160*INDEX(Inputs!$C$6:$C$85,MATCH($A182,Inputs!$A$6:$A$85,0)),0))</f>
        <v/>
      </c>
      <c r="I182" s="265" t="str">
        <f t="shared" si="31"/>
        <v/>
      </c>
      <c r="J182" s="265" t="str">
        <f t="shared" si="32"/>
        <v/>
      </c>
      <c r="K182" s="332"/>
      <c r="L182" s="266" t="str">
        <f t="shared" si="33"/>
        <v/>
      </c>
      <c r="M182" s="267" t="str">
        <f t="shared" si="34"/>
        <v/>
      </c>
      <c r="N182" s="268" t="str">
        <f t="shared" si="35"/>
        <v/>
      </c>
      <c r="O182" s="269" t="str">
        <f t="shared" si="36"/>
        <v/>
      </c>
      <c r="P182" s="270" t="str">
        <f t="shared" si="37"/>
        <v/>
      </c>
      <c r="Q182" s="271" t="str">
        <f t="shared" si="38"/>
        <v/>
      </c>
      <c r="R182" s="272" t="str">
        <f t="shared" si="39"/>
        <v/>
      </c>
      <c r="S182" s="265" t="str">
        <f t="shared" si="40"/>
        <v/>
      </c>
      <c r="T182" s="267" t="str">
        <f>IF($R182="DO",$M182*Deliverables!K160,"")</f>
        <v/>
      </c>
      <c r="U182" s="267" t="str">
        <f>IF($R182="DO",$M182*Deliverables!L160,"")</f>
        <v/>
      </c>
      <c r="V182" s="267" t="str">
        <f>IF($R182="DO",$M182*Deliverables!M160,"")</f>
        <v/>
      </c>
      <c r="W182" s="286" t="str">
        <f>IF($A182="","",MEDIAN($B$15,$B$16,IFERROR(IF(INDEX(Inputs!$U$6:$U$85,MATCH($A182,Inputs!$A$6:$A$85,0))="",$B$13,INDEX(Inputs!$U$6:$U$85,MATCH($A182,Inputs!$A$6:$A$85,0))),$B$13)))</f>
        <v/>
      </c>
      <c r="X182" s="288" t="str">
        <f t="shared" si="41"/>
        <v/>
      </c>
      <c r="Y182" s="288" t="str">
        <f t="shared" si="41"/>
        <v/>
      </c>
      <c r="Z182" s="288" t="str">
        <f t="shared" si="41"/>
        <v/>
      </c>
      <c r="AA182" s="288" t="str">
        <f t="shared" si="41"/>
        <v/>
      </c>
    </row>
    <row r="183" spans="1:27" x14ac:dyDescent="0.3">
      <c r="A183" s="224" t="str">
        <f>IF(Deliverables!$A161="","",Deliverables!$A161)</f>
        <v/>
      </c>
      <c r="B183" s="227" t="str">
        <f>IF($A183="","",Deliverables!$C161)</f>
        <v/>
      </c>
      <c r="C183" s="227" t="str">
        <f>IF($A183="","",Deliverables!$D161)</f>
        <v/>
      </c>
      <c r="D183" s="227" t="str">
        <f>IF($A183="","",Deliverables!$G161)</f>
        <v/>
      </c>
      <c r="E183" s="227" t="str">
        <f>IF($A183="","",IFERROR(INDEX(Inputs!$F$6:$F$85,MATCH($A183,Inputs!$A$6:$A$85,0)),"not in register"))</f>
        <v/>
      </c>
      <c r="F183" s="264" t="str">
        <f>IF($A183="","",IF(Deliverables!$H161="",0,Deliverables!$H161))</f>
        <v/>
      </c>
      <c r="G183" s="264" t="str">
        <f t="shared" si="30"/>
        <v/>
      </c>
      <c r="H183" s="265" t="str">
        <f>IF($A183="","",IFERROR(Deliverables!$E161*INDEX(Inputs!$C$6:$C$85,MATCH($A183,Inputs!$A$6:$A$85,0)),0))</f>
        <v/>
      </c>
      <c r="I183" s="265" t="str">
        <f t="shared" si="31"/>
        <v/>
      </c>
      <c r="J183" s="265" t="str">
        <f t="shared" si="32"/>
        <v/>
      </c>
      <c r="K183" s="332"/>
      <c r="L183" s="266" t="str">
        <f t="shared" si="33"/>
        <v/>
      </c>
      <c r="M183" s="267" t="str">
        <f t="shared" si="34"/>
        <v/>
      </c>
      <c r="N183" s="268" t="str">
        <f t="shared" si="35"/>
        <v/>
      </c>
      <c r="O183" s="269" t="str">
        <f t="shared" si="36"/>
        <v/>
      </c>
      <c r="P183" s="270" t="str">
        <f t="shared" si="37"/>
        <v/>
      </c>
      <c r="Q183" s="271" t="str">
        <f t="shared" si="38"/>
        <v/>
      </c>
      <c r="R183" s="272" t="str">
        <f t="shared" si="39"/>
        <v/>
      </c>
      <c r="S183" s="265" t="str">
        <f t="shared" si="40"/>
        <v/>
      </c>
      <c r="T183" s="267" t="str">
        <f>IF($R183="DO",$M183*Deliverables!K161,"")</f>
        <v/>
      </c>
      <c r="U183" s="267" t="str">
        <f>IF($R183="DO",$M183*Deliverables!L161,"")</f>
        <v/>
      </c>
      <c r="V183" s="267" t="str">
        <f>IF($R183="DO",$M183*Deliverables!M161,"")</f>
        <v/>
      </c>
      <c r="W183" s="286" t="str">
        <f>IF($A183="","",MEDIAN($B$15,$B$16,IFERROR(IF(INDEX(Inputs!$U$6:$U$85,MATCH($A183,Inputs!$A$6:$A$85,0))="",$B$13,INDEX(Inputs!$U$6:$U$85,MATCH($A183,Inputs!$A$6:$A$85,0))),$B$13)))</f>
        <v/>
      </c>
      <c r="X183" s="288" t="str">
        <f t="shared" si="41"/>
        <v/>
      </c>
      <c r="Y183" s="288" t="str">
        <f t="shared" si="41"/>
        <v/>
      </c>
      <c r="Z183" s="288" t="str">
        <f t="shared" si="41"/>
        <v/>
      </c>
      <c r="AA183" s="288" t="str">
        <f t="shared" si="41"/>
        <v/>
      </c>
    </row>
    <row r="184" spans="1:27" x14ac:dyDescent="0.3">
      <c r="A184" s="224" t="str">
        <f>IF(Deliverables!$A162="","",Deliverables!$A162)</f>
        <v/>
      </c>
      <c r="B184" s="227" t="str">
        <f>IF($A184="","",Deliverables!$C162)</f>
        <v/>
      </c>
      <c r="C184" s="227" t="str">
        <f>IF($A184="","",Deliverables!$D162)</f>
        <v/>
      </c>
      <c r="D184" s="227" t="str">
        <f>IF($A184="","",Deliverables!$G162)</f>
        <v/>
      </c>
      <c r="E184" s="227" t="str">
        <f>IF($A184="","",IFERROR(INDEX(Inputs!$F$6:$F$85,MATCH($A184,Inputs!$A$6:$A$85,0)),"not in register"))</f>
        <v/>
      </c>
      <c r="F184" s="264" t="str">
        <f>IF($A184="","",IF(Deliverables!$H162="",0,Deliverables!$H162))</f>
        <v/>
      </c>
      <c r="G184" s="264" t="str">
        <f t="shared" si="30"/>
        <v/>
      </c>
      <c r="H184" s="265" t="str">
        <f>IF($A184="","",IFERROR(Deliverables!$E162*INDEX(Inputs!$C$6:$C$85,MATCH($A184,Inputs!$A$6:$A$85,0)),0))</f>
        <v/>
      </c>
      <c r="I184" s="265" t="str">
        <f t="shared" si="31"/>
        <v/>
      </c>
      <c r="J184" s="265" t="str">
        <f t="shared" si="32"/>
        <v/>
      </c>
      <c r="K184" s="332"/>
      <c r="L184" s="266" t="str">
        <f t="shared" si="33"/>
        <v/>
      </c>
      <c r="M184" s="267" t="str">
        <f t="shared" si="34"/>
        <v/>
      </c>
      <c r="N184" s="268" t="str">
        <f t="shared" si="35"/>
        <v/>
      </c>
      <c r="O184" s="269" t="str">
        <f t="shared" si="36"/>
        <v/>
      </c>
      <c r="P184" s="270" t="str">
        <f t="shared" si="37"/>
        <v/>
      </c>
      <c r="Q184" s="271" t="str">
        <f t="shared" si="38"/>
        <v/>
      </c>
      <c r="R184" s="272" t="str">
        <f t="shared" si="39"/>
        <v/>
      </c>
      <c r="S184" s="265" t="str">
        <f t="shared" si="40"/>
        <v/>
      </c>
      <c r="T184" s="267" t="str">
        <f>IF($R184="DO",$M184*Deliverables!K162,"")</f>
        <v/>
      </c>
      <c r="U184" s="267" t="str">
        <f>IF($R184="DO",$M184*Deliverables!L162,"")</f>
        <v/>
      </c>
      <c r="V184" s="267" t="str">
        <f>IF($R184="DO",$M184*Deliverables!M162,"")</f>
        <v/>
      </c>
      <c r="W184" s="286" t="str">
        <f>IF($A184="","",MEDIAN($B$15,$B$16,IFERROR(IF(INDEX(Inputs!$U$6:$U$85,MATCH($A184,Inputs!$A$6:$A$85,0))="",$B$13,INDEX(Inputs!$U$6:$U$85,MATCH($A184,Inputs!$A$6:$A$85,0))),$B$13)))</f>
        <v/>
      </c>
      <c r="X184" s="288" t="str">
        <f t="shared" si="41"/>
        <v/>
      </c>
      <c r="Y184" s="288" t="str">
        <f t="shared" si="41"/>
        <v/>
      </c>
      <c r="Z184" s="288" t="str">
        <f t="shared" si="41"/>
        <v/>
      </c>
      <c r="AA184" s="288" t="str">
        <f t="shared" si="41"/>
        <v/>
      </c>
    </row>
    <row r="185" spans="1:27" x14ac:dyDescent="0.3">
      <c r="A185" s="224" t="str">
        <f>IF(Deliverables!$A163="","",Deliverables!$A163)</f>
        <v/>
      </c>
      <c r="B185" s="227" t="str">
        <f>IF($A185="","",Deliverables!$C163)</f>
        <v/>
      </c>
      <c r="C185" s="227" t="str">
        <f>IF($A185="","",Deliverables!$D163)</f>
        <v/>
      </c>
      <c r="D185" s="227" t="str">
        <f>IF($A185="","",Deliverables!$G163)</f>
        <v/>
      </c>
      <c r="E185" s="227" t="str">
        <f>IF($A185="","",IFERROR(INDEX(Inputs!$F$6:$F$85,MATCH($A185,Inputs!$A$6:$A$85,0)),"not in register"))</f>
        <v/>
      </c>
      <c r="F185" s="264" t="str">
        <f>IF($A185="","",IF(Deliverables!$H163="",0,Deliverables!$H163))</f>
        <v/>
      </c>
      <c r="G185" s="264" t="str">
        <f t="shared" si="30"/>
        <v/>
      </c>
      <c r="H185" s="265" t="str">
        <f>IF($A185="","",IFERROR(Deliverables!$E163*INDEX(Inputs!$C$6:$C$85,MATCH($A185,Inputs!$A$6:$A$85,0)),0))</f>
        <v/>
      </c>
      <c r="I185" s="265" t="str">
        <f t="shared" si="31"/>
        <v/>
      </c>
      <c r="J185" s="265" t="str">
        <f t="shared" si="32"/>
        <v/>
      </c>
      <c r="K185" s="332"/>
      <c r="L185" s="266" t="str">
        <f t="shared" si="33"/>
        <v/>
      </c>
      <c r="M185" s="267" t="str">
        <f t="shared" si="34"/>
        <v/>
      </c>
      <c r="N185" s="268" t="str">
        <f t="shared" si="35"/>
        <v/>
      </c>
      <c r="O185" s="269" t="str">
        <f t="shared" si="36"/>
        <v/>
      </c>
      <c r="P185" s="270" t="str">
        <f t="shared" si="37"/>
        <v/>
      </c>
      <c r="Q185" s="271" t="str">
        <f t="shared" si="38"/>
        <v/>
      </c>
      <c r="R185" s="272" t="str">
        <f t="shared" si="39"/>
        <v/>
      </c>
      <c r="S185" s="265" t="str">
        <f t="shared" si="40"/>
        <v/>
      </c>
      <c r="T185" s="267" t="str">
        <f>IF($R185="DO",$M185*Deliverables!K163,"")</f>
        <v/>
      </c>
      <c r="U185" s="267" t="str">
        <f>IF($R185="DO",$M185*Deliverables!L163,"")</f>
        <v/>
      </c>
      <c r="V185" s="267" t="str">
        <f>IF($R185="DO",$M185*Deliverables!M163,"")</f>
        <v/>
      </c>
      <c r="W185" s="286" t="str">
        <f>IF($A185="","",MEDIAN($B$15,$B$16,IFERROR(IF(INDEX(Inputs!$U$6:$U$85,MATCH($A185,Inputs!$A$6:$A$85,0))="",$B$13,INDEX(Inputs!$U$6:$U$85,MATCH($A185,Inputs!$A$6:$A$85,0))),$B$13)))</f>
        <v/>
      </c>
      <c r="X185" s="288" t="str">
        <f t="shared" si="41"/>
        <v/>
      </c>
      <c r="Y185" s="288" t="str">
        <f t="shared" si="41"/>
        <v/>
      </c>
      <c r="Z185" s="288" t="str">
        <f t="shared" si="41"/>
        <v/>
      </c>
      <c r="AA185" s="288" t="str">
        <f t="shared" si="41"/>
        <v/>
      </c>
    </row>
    <row r="186" spans="1:27" x14ac:dyDescent="0.3">
      <c r="A186" s="224" t="str">
        <f>IF(Deliverables!$A164="","",Deliverables!$A164)</f>
        <v/>
      </c>
      <c r="B186" s="227" t="str">
        <f>IF($A186="","",Deliverables!$C164)</f>
        <v/>
      </c>
      <c r="C186" s="227" t="str">
        <f>IF($A186="","",Deliverables!$D164)</f>
        <v/>
      </c>
      <c r="D186" s="227" t="str">
        <f>IF($A186="","",Deliverables!$G164)</f>
        <v/>
      </c>
      <c r="E186" s="227" t="str">
        <f>IF($A186="","",IFERROR(INDEX(Inputs!$F$6:$F$85,MATCH($A186,Inputs!$A$6:$A$85,0)),"not in register"))</f>
        <v/>
      </c>
      <c r="F186" s="264" t="str">
        <f>IF($A186="","",IF(Deliverables!$H164="",0,Deliverables!$H164))</f>
        <v/>
      </c>
      <c r="G186" s="264" t="str">
        <f t="shared" si="30"/>
        <v/>
      </c>
      <c r="H186" s="265" t="str">
        <f>IF($A186="","",IFERROR(Deliverables!$E164*INDEX(Inputs!$C$6:$C$85,MATCH($A186,Inputs!$A$6:$A$85,0)),0))</f>
        <v/>
      </c>
      <c r="I186" s="265" t="str">
        <f t="shared" si="31"/>
        <v/>
      </c>
      <c r="J186" s="265" t="str">
        <f t="shared" si="32"/>
        <v/>
      </c>
      <c r="K186" s="332"/>
      <c r="L186" s="266" t="str">
        <f t="shared" si="33"/>
        <v/>
      </c>
      <c r="M186" s="267" t="str">
        <f t="shared" si="34"/>
        <v/>
      </c>
      <c r="N186" s="268" t="str">
        <f t="shared" si="35"/>
        <v/>
      </c>
      <c r="O186" s="269" t="str">
        <f t="shared" si="36"/>
        <v/>
      </c>
      <c r="P186" s="270" t="str">
        <f t="shared" si="37"/>
        <v/>
      </c>
      <c r="Q186" s="271" t="str">
        <f t="shared" si="38"/>
        <v/>
      </c>
      <c r="R186" s="272" t="str">
        <f t="shared" si="39"/>
        <v/>
      </c>
      <c r="S186" s="265" t="str">
        <f t="shared" si="40"/>
        <v/>
      </c>
      <c r="T186" s="267" t="str">
        <f>IF($R186="DO",$M186*Deliverables!K164,"")</f>
        <v/>
      </c>
      <c r="U186" s="267" t="str">
        <f>IF($R186="DO",$M186*Deliverables!L164,"")</f>
        <v/>
      </c>
      <c r="V186" s="267" t="str">
        <f>IF($R186="DO",$M186*Deliverables!M164,"")</f>
        <v/>
      </c>
      <c r="W186" s="286" t="str">
        <f>IF($A186="","",MEDIAN($B$15,$B$16,IFERROR(IF(INDEX(Inputs!$U$6:$U$85,MATCH($A186,Inputs!$A$6:$A$85,0))="",$B$13,INDEX(Inputs!$U$6:$U$85,MATCH($A186,Inputs!$A$6:$A$85,0))),$B$13)))</f>
        <v/>
      </c>
      <c r="X186" s="288" t="str">
        <f t="shared" si="41"/>
        <v/>
      </c>
      <c r="Y186" s="288" t="str">
        <f t="shared" si="41"/>
        <v/>
      </c>
      <c r="Z186" s="288" t="str">
        <f t="shared" si="41"/>
        <v/>
      </c>
      <c r="AA186" s="288" t="str">
        <f t="shared" si="41"/>
        <v/>
      </c>
    </row>
    <row r="187" spans="1:27" x14ac:dyDescent="0.3">
      <c r="A187" s="224" t="str">
        <f>IF(Deliverables!$A165="","",Deliverables!$A165)</f>
        <v/>
      </c>
      <c r="B187" s="227" t="str">
        <f>IF($A187="","",Deliverables!$C165)</f>
        <v/>
      </c>
      <c r="C187" s="227" t="str">
        <f>IF($A187="","",Deliverables!$D165)</f>
        <v/>
      </c>
      <c r="D187" s="227" t="str">
        <f>IF($A187="","",Deliverables!$G165)</f>
        <v/>
      </c>
      <c r="E187" s="227" t="str">
        <f>IF($A187="","",IFERROR(INDEX(Inputs!$F$6:$F$85,MATCH($A187,Inputs!$A$6:$A$85,0)),"not in register"))</f>
        <v/>
      </c>
      <c r="F187" s="264" t="str">
        <f>IF($A187="","",IF(Deliverables!$H165="",0,Deliverables!$H165))</f>
        <v/>
      </c>
      <c r="G187" s="264" t="str">
        <f t="shared" si="30"/>
        <v/>
      </c>
      <c r="H187" s="265" t="str">
        <f>IF($A187="","",IFERROR(Deliverables!$E165*INDEX(Inputs!$C$6:$C$85,MATCH($A187,Inputs!$A$6:$A$85,0)),0))</f>
        <v/>
      </c>
      <c r="I187" s="265" t="str">
        <f t="shared" si="31"/>
        <v/>
      </c>
      <c r="J187" s="265" t="str">
        <f t="shared" si="32"/>
        <v/>
      </c>
      <c r="K187" s="332"/>
      <c r="L187" s="266" t="str">
        <f t="shared" si="33"/>
        <v/>
      </c>
      <c r="M187" s="267" t="str">
        <f t="shared" si="34"/>
        <v/>
      </c>
      <c r="N187" s="268" t="str">
        <f t="shared" si="35"/>
        <v/>
      </c>
      <c r="O187" s="269" t="str">
        <f t="shared" si="36"/>
        <v/>
      </c>
      <c r="P187" s="270" t="str">
        <f t="shared" si="37"/>
        <v/>
      </c>
      <c r="Q187" s="271" t="str">
        <f t="shared" si="38"/>
        <v/>
      </c>
      <c r="R187" s="272" t="str">
        <f t="shared" si="39"/>
        <v/>
      </c>
      <c r="S187" s="265" t="str">
        <f t="shared" si="40"/>
        <v/>
      </c>
      <c r="T187" s="267" t="str">
        <f>IF($R187="DO",$M187*Deliverables!K165,"")</f>
        <v/>
      </c>
      <c r="U187" s="267" t="str">
        <f>IF($R187="DO",$M187*Deliverables!L165,"")</f>
        <v/>
      </c>
      <c r="V187" s="267" t="str">
        <f>IF($R187="DO",$M187*Deliverables!M165,"")</f>
        <v/>
      </c>
      <c r="W187" s="286" t="str">
        <f>IF($A187="","",MEDIAN($B$15,$B$16,IFERROR(IF(INDEX(Inputs!$U$6:$U$85,MATCH($A187,Inputs!$A$6:$A$85,0))="",$B$13,INDEX(Inputs!$U$6:$U$85,MATCH($A187,Inputs!$A$6:$A$85,0))),$B$13)))</f>
        <v/>
      </c>
      <c r="X187" s="288" t="str">
        <f t="shared" si="41"/>
        <v/>
      </c>
      <c r="Y187" s="288" t="str">
        <f t="shared" si="41"/>
        <v/>
      </c>
      <c r="Z187" s="288" t="str">
        <f t="shared" si="41"/>
        <v/>
      </c>
      <c r="AA187" s="288" t="str">
        <f t="shared" si="41"/>
        <v/>
      </c>
    </row>
    <row r="188" spans="1:27" x14ac:dyDescent="0.3">
      <c r="A188" s="224" t="str">
        <f>IF(Deliverables!$A166="","",Deliverables!$A166)</f>
        <v/>
      </c>
      <c r="B188" s="227" t="str">
        <f>IF($A188="","",Deliverables!$C166)</f>
        <v/>
      </c>
      <c r="C188" s="227" t="str">
        <f>IF($A188="","",Deliverables!$D166)</f>
        <v/>
      </c>
      <c r="D188" s="227" t="str">
        <f>IF($A188="","",Deliverables!$G166)</f>
        <v/>
      </c>
      <c r="E188" s="227" t="str">
        <f>IF($A188="","",IFERROR(INDEX(Inputs!$F$6:$F$85,MATCH($A188,Inputs!$A$6:$A$85,0)),"not in register"))</f>
        <v/>
      </c>
      <c r="F188" s="264" t="str">
        <f>IF($A188="","",IF(Deliverables!$H166="",0,Deliverables!$H166))</f>
        <v/>
      </c>
      <c r="G188" s="264" t="str">
        <f t="shared" si="30"/>
        <v/>
      </c>
      <c r="H188" s="265" t="str">
        <f>IF($A188="","",IFERROR(Deliverables!$E166*INDEX(Inputs!$C$6:$C$85,MATCH($A188,Inputs!$A$6:$A$85,0)),0))</f>
        <v/>
      </c>
      <c r="I188" s="265" t="str">
        <f t="shared" si="31"/>
        <v/>
      </c>
      <c r="J188" s="265" t="str">
        <f t="shared" si="32"/>
        <v/>
      </c>
      <c r="K188" s="332"/>
      <c r="L188" s="266" t="str">
        <f t="shared" si="33"/>
        <v/>
      </c>
      <c r="M188" s="267" t="str">
        <f t="shared" si="34"/>
        <v/>
      </c>
      <c r="N188" s="268" t="str">
        <f t="shared" si="35"/>
        <v/>
      </c>
      <c r="O188" s="269" t="str">
        <f t="shared" si="36"/>
        <v/>
      </c>
      <c r="P188" s="270" t="str">
        <f t="shared" si="37"/>
        <v/>
      </c>
      <c r="Q188" s="271" t="str">
        <f t="shared" si="38"/>
        <v/>
      </c>
      <c r="R188" s="272" t="str">
        <f t="shared" si="39"/>
        <v/>
      </c>
      <c r="S188" s="265" t="str">
        <f t="shared" si="40"/>
        <v/>
      </c>
      <c r="T188" s="267" t="str">
        <f>IF($R188="DO",$M188*Deliverables!K166,"")</f>
        <v/>
      </c>
      <c r="U188" s="267" t="str">
        <f>IF($R188="DO",$M188*Deliverables!L166,"")</f>
        <v/>
      </c>
      <c r="V188" s="267" t="str">
        <f>IF($R188="DO",$M188*Deliverables!M166,"")</f>
        <v/>
      </c>
      <c r="W188" s="286" t="str">
        <f>IF($A188="","",MEDIAN($B$15,$B$16,IFERROR(IF(INDEX(Inputs!$U$6:$U$85,MATCH($A188,Inputs!$A$6:$A$85,0))="",$B$13,INDEX(Inputs!$U$6:$U$85,MATCH($A188,Inputs!$A$6:$A$85,0))),$B$13)))</f>
        <v/>
      </c>
      <c r="X188" s="288" t="str">
        <f t="shared" ref="X188:AA207" si="42">IF($R188&lt;&gt;"DO","",MAX(0,MIN($Q188,X$25*$B$8)-MAX($Q188-$L188,(X$25-1)*$B$8))*$B$5)</f>
        <v/>
      </c>
      <c r="Y188" s="288" t="str">
        <f t="shared" si="42"/>
        <v/>
      </c>
      <c r="Z188" s="288" t="str">
        <f t="shared" si="42"/>
        <v/>
      </c>
      <c r="AA188" s="288" t="str">
        <f t="shared" si="42"/>
        <v/>
      </c>
    </row>
    <row r="189" spans="1:27" x14ac:dyDescent="0.3">
      <c r="A189" s="224" t="str">
        <f>IF(Deliverables!$A167="","",Deliverables!$A167)</f>
        <v/>
      </c>
      <c r="B189" s="227" t="str">
        <f>IF($A189="","",Deliverables!$C167)</f>
        <v/>
      </c>
      <c r="C189" s="227" t="str">
        <f>IF($A189="","",Deliverables!$D167)</f>
        <v/>
      </c>
      <c r="D189" s="227" t="str">
        <f>IF($A189="","",Deliverables!$G167)</f>
        <v/>
      </c>
      <c r="E189" s="227" t="str">
        <f>IF($A189="","",IFERROR(INDEX(Inputs!$F$6:$F$85,MATCH($A189,Inputs!$A$6:$A$85,0)),"not in register"))</f>
        <v/>
      </c>
      <c r="F189" s="264" t="str">
        <f>IF($A189="","",IF(Deliverables!$H167="",0,Deliverables!$H167))</f>
        <v/>
      </c>
      <c r="G189" s="264" t="str">
        <f t="shared" si="30"/>
        <v/>
      </c>
      <c r="H189" s="265" t="str">
        <f>IF($A189="","",IFERROR(Deliverables!$E167*INDEX(Inputs!$C$6:$C$85,MATCH($A189,Inputs!$A$6:$A$85,0)),0))</f>
        <v/>
      </c>
      <c r="I189" s="265" t="str">
        <f t="shared" si="31"/>
        <v/>
      </c>
      <c r="J189" s="265" t="str">
        <f t="shared" si="32"/>
        <v/>
      </c>
      <c r="K189" s="332"/>
      <c r="L189" s="266" t="str">
        <f t="shared" si="33"/>
        <v/>
      </c>
      <c r="M189" s="267" t="str">
        <f t="shared" si="34"/>
        <v/>
      </c>
      <c r="N189" s="268" t="str">
        <f t="shared" si="35"/>
        <v/>
      </c>
      <c r="O189" s="269" t="str">
        <f t="shared" si="36"/>
        <v/>
      </c>
      <c r="P189" s="270" t="str">
        <f t="shared" si="37"/>
        <v/>
      </c>
      <c r="Q189" s="271" t="str">
        <f t="shared" si="38"/>
        <v/>
      </c>
      <c r="R189" s="272" t="str">
        <f t="shared" si="39"/>
        <v/>
      </c>
      <c r="S189" s="265" t="str">
        <f t="shared" si="40"/>
        <v/>
      </c>
      <c r="T189" s="267" t="str">
        <f>IF($R189="DO",$M189*Deliverables!K167,"")</f>
        <v/>
      </c>
      <c r="U189" s="267" t="str">
        <f>IF($R189="DO",$M189*Deliverables!L167,"")</f>
        <v/>
      </c>
      <c r="V189" s="267" t="str">
        <f>IF($R189="DO",$M189*Deliverables!M167,"")</f>
        <v/>
      </c>
      <c r="W189" s="286" t="str">
        <f>IF($A189="","",MEDIAN($B$15,$B$16,IFERROR(IF(INDEX(Inputs!$U$6:$U$85,MATCH($A189,Inputs!$A$6:$A$85,0))="",$B$13,INDEX(Inputs!$U$6:$U$85,MATCH($A189,Inputs!$A$6:$A$85,0))),$B$13)))</f>
        <v/>
      </c>
      <c r="X189" s="288" t="str">
        <f t="shared" si="42"/>
        <v/>
      </c>
      <c r="Y189" s="288" t="str">
        <f t="shared" si="42"/>
        <v/>
      </c>
      <c r="Z189" s="288" t="str">
        <f t="shared" si="42"/>
        <v/>
      </c>
      <c r="AA189" s="288" t="str">
        <f t="shared" si="42"/>
        <v/>
      </c>
    </row>
    <row r="190" spans="1:27" x14ac:dyDescent="0.3">
      <c r="A190" s="224" t="str">
        <f>IF(Deliverables!$A168="","",Deliverables!$A168)</f>
        <v/>
      </c>
      <c r="B190" s="227" t="str">
        <f>IF($A190="","",Deliverables!$C168)</f>
        <v/>
      </c>
      <c r="C190" s="227" t="str">
        <f>IF($A190="","",Deliverables!$D168)</f>
        <v/>
      </c>
      <c r="D190" s="227" t="str">
        <f>IF($A190="","",Deliverables!$G168)</f>
        <v/>
      </c>
      <c r="E190" s="227" t="str">
        <f>IF($A190="","",IFERROR(INDEX(Inputs!$F$6:$F$85,MATCH($A190,Inputs!$A$6:$A$85,0)),"not in register"))</f>
        <v/>
      </c>
      <c r="F190" s="264" t="str">
        <f>IF($A190="","",IF(Deliverables!$H168="",0,Deliverables!$H168))</f>
        <v/>
      </c>
      <c r="G190" s="264" t="str">
        <f t="shared" si="30"/>
        <v/>
      </c>
      <c r="H190" s="265" t="str">
        <f>IF($A190="","",IFERROR(Deliverables!$E168*INDEX(Inputs!$C$6:$C$85,MATCH($A190,Inputs!$A$6:$A$85,0)),0))</f>
        <v/>
      </c>
      <c r="I190" s="265" t="str">
        <f t="shared" si="31"/>
        <v/>
      </c>
      <c r="J190" s="265" t="str">
        <f t="shared" si="32"/>
        <v/>
      </c>
      <c r="K190" s="332"/>
      <c r="L190" s="266" t="str">
        <f t="shared" si="33"/>
        <v/>
      </c>
      <c r="M190" s="267" t="str">
        <f t="shared" si="34"/>
        <v/>
      </c>
      <c r="N190" s="268" t="str">
        <f t="shared" si="35"/>
        <v/>
      </c>
      <c r="O190" s="269" t="str">
        <f t="shared" si="36"/>
        <v/>
      </c>
      <c r="P190" s="270" t="str">
        <f t="shared" si="37"/>
        <v/>
      </c>
      <c r="Q190" s="271" t="str">
        <f t="shared" si="38"/>
        <v/>
      </c>
      <c r="R190" s="272" t="str">
        <f t="shared" si="39"/>
        <v/>
      </c>
      <c r="S190" s="265" t="str">
        <f t="shared" si="40"/>
        <v/>
      </c>
      <c r="T190" s="267" t="str">
        <f>IF($R190="DO",$M190*Deliverables!K168,"")</f>
        <v/>
      </c>
      <c r="U190" s="267" t="str">
        <f>IF($R190="DO",$M190*Deliverables!L168,"")</f>
        <v/>
      </c>
      <c r="V190" s="267" t="str">
        <f>IF($R190="DO",$M190*Deliverables!M168,"")</f>
        <v/>
      </c>
      <c r="W190" s="286" t="str">
        <f>IF($A190="","",MEDIAN($B$15,$B$16,IFERROR(IF(INDEX(Inputs!$U$6:$U$85,MATCH($A190,Inputs!$A$6:$A$85,0))="",$B$13,INDEX(Inputs!$U$6:$U$85,MATCH($A190,Inputs!$A$6:$A$85,0))),$B$13)))</f>
        <v/>
      </c>
      <c r="X190" s="288" t="str">
        <f t="shared" si="42"/>
        <v/>
      </c>
      <c r="Y190" s="288" t="str">
        <f t="shared" si="42"/>
        <v/>
      </c>
      <c r="Z190" s="288" t="str">
        <f t="shared" si="42"/>
        <v/>
      </c>
      <c r="AA190" s="288" t="str">
        <f t="shared" si="42"/>
        <v/>
      </c>
    </row>
    <row r="191" spans="1:27" x14ac:dyDescent="0.3">
      <c r="A191" s="224" t="str">
        <f>IF(Deliverables!$A169="","",Deliverables!$A169)</f>
        <v/>
      </c>
      <c r="B191" s="227" t="str">
        <f>IF($A191="","",Deliverables!$C169)</f>
        <v/>
      </c>
      <c r="C191" s="227" t="str">
        <f>IF($A191="","",Deliverables!$D169)</f>
        <v/>
      </c>
      <c r="D191" s="227" t="str">
        <f>IF($A191="","",Deliverables!$G169)</f>
        <v/>
      </c>
      <c r="E191" s="227" t="str">
        <f>IF($A191="","",IFERROR(INDEX(Inputs!$F$6:$F$85,MATCH($A191,Inputs!$A$6:$A$85,0)),"not in register"))</f>
        <v/>
      </c>
      <c r="F191" s="264" t="str">
        <f>IF($A191="","",IF(Deliverables!$H169="",0,Deliverables!$H169))</f>
        <v/>
      </c>
      <c r="G191" s="264" t="str">
        <f t="shared" si="30"/>
        <v/>
      </c>
      <c r="H191" s="265" t="str">
        <f>IF($A191="","",IFERROR(Deliverables!$E169*INDEX(Inputs!$C$6:$C$85,MATCH($A191,Inputs!$A$6:$A$85,0)),0))</f>
        <v/>
      </c>
      <c r="I191" s="265" t="str">
        <f t="shared" si="31"/>
        <v/>
      </c>
      <c r="J191" s="265" t="str">
        <f t="shared" si="32"/>
        <v/>
      </c>
      <c r="K191" s="332"/>
      <c r="L191" s="266" t="str">
        <f t="shared" si="33"/>
        <v/>
      </c>
      <c r="M191" s="267" t="str">
        <f t="shared" si="34"/>
        <v/>
      </c>
      <c r="N191" s="268" t="str">
        <f t="shared" si="35"/>
        <v/>
      </c>
      <c r="O191" s="269" t="str">
        <f t="shared" si="36"/>
        <v/>
      </c>
      <c r="P191" s="270" t="str">
        <f t="shared" si="37"/>
        <v/>
      </c>
      <c r="Q191" s="271" t="str">
        <f t="shared" si="38"/>
        <v/>
      </c>
      <c r="R191" s="272" t="str">
        <f t="shared" si="39"/>
        <v/>
      </c>
      <c r="S191" s="265" t="str">
        <f t="shared" si="40"/>
        <v/>
      </c>
      <c r="T191" s="267" t="str">
        <f>IF($R191="DO",$M191*Deliverables!K169,"")</f>
        <v/>
      </c>
      <c r="U191" s="267" t="str">
        <f>IF($R191="DO",$M191*Deliverables!L169,"")</f>
        <v/>
      </c>
      <c r="V191" s="267" t="str">
        <f>IF($R191="DO",$M191*Deliverables!M169,"")</f>
        <v/>
      </c>
      <c r="W191" s="286" t="str">
        <f>IF($A191="","",MEDIAN($B$15,$B$16,IFERROR(IF(INDEX(Inputs!$U$6:$U$85,MATCH($A191,Inputs!$A$6:$A$85,0))="",$B$13,INDEX(Inputs!$U$6:$U$85,MATCH($A191,Inputs!$A$6:$A$85,0))),$B$13)))</f>
        <v/>
      </c>
      <c r="X191" s="288" t="str">
        <f t="shared" si="42"/>
        <v/>
      </c>
      <c r="Y191" s="288" t="str">
        <f t="shared" si="42"/>
        <v/>
      </c>
      <c r="Z191" s="288" t="str">
        <f t="shared" si="42"/>
        <v/>
      </c>
      <c r="AA191" s="288" t="str">
        <f t="shared" si="42"/>
        <v/>
      </c>
    </row>
    <row r="192" spans="1:27" x14ac:dyDescent="0.3">
      <c r="A192" s="224" t="str">
        <f>IF(Deliverables!$A170="","",Deliverables!$A170)</f>
        <v/>
      </c>
      <c r="B192" s="227" t="str">
        <f>IF($A192="","",Deliverables!$C170)</f>
        <v/>
      </c>
      <c r="C192" s="227" t="str">
        <f>IF($A192="","",Deliverables!$D170)</f>
        <v/>
      </c>
      <c r="D192" s="227" t="str">
        <f>IF($A192="","",Deliverables!$G170)</f>
        <v/>
      </c>
      <c r="E192" s="227" t="str">
        <f>IF($A192="","",IFERROR(INDEX(Inputs!$F$6:$F$85,MATCH($A192,Inputs!$A$6:$A$85,0)),"not in register"))</f>
        <v/>
      </c>
      <c r="F192" s="264" t="str">
        <f>IF($A192="","",IF(Deliverables!$H170="",0,Deliverables!$H170))</f>
        <v/>
      </c>
      <c r="G192" s="264" t="str">
        <f t="shared" si="30"/>
        <v/>
      </c>
      <c r="H192" s="265" t="str">
        <f>IF($A192="","",IFERROR(Deliverables!$E170*INDEX(Inputs!$C$6:$C$85,MATCH($A192,Inputs!$A$6:$A$85,0)),0))</f>
        <v/>
      </c>
      <c r="I192" s="265" t="str">
        <f t="shared" si="31"/>
        <v/>
      </c>
      <c r="J192" s="265" t="str">
        <f t="shared" si="32"/>
        <v/>
      </c>
      <c r="K192" s="332"/>
      <c r="L192" s="266" t="str">
        <f t="shared" si="33"/>
        <v/>
      </c>
      <c r="M192" s="267" t="str">
        <f t="shared" si="34"/>
        <v/>
      </c>
      <c r="N192" s="268" t="str">
        <f t="shared" si="35"/>
        <v/>
      </c>
      <c r="O192" s="269" t="str">
        <f t="shared" si="36"/>
        <v/>
      </c>
      <c r="P192" s="270" t="str">
        <f t="shared" si="37"/>
        <v/>
      </c>
      <c r="Q192" s="271" t="str">
        <f t="shared" si="38"/>
        <v/>
      </c>
      <c r="R192" s="272" t="str">
        <f t="shared" si="39"/>
        <v/>
      </c>
      <c r="S192" s="265" t="str">
        <f t="shared" si="40"/>
        <v/>
      </c>
      <c r="T192" s="267" t="str">
        <f>IF($R192="DO",$M192*Deliverables!K170,"")</f>
        <v/>
      </c>
      <c r="U192" s="267" t="str">
        <f>IF($R192="DO",$M192*Deliverables!L170,"")</f>
        <v/>
      </c>
      <c r="V192" s="267" t="str">
        <f>IF($R192="DO",$M192*Deliverables!M170,"")</f>
        <v/>
      </c>
      <c r="W192" s="286" t="str">
        <f>IF($A192="","",MEDIAN($B$15,$B$16,IFERROR(IF(INDEX(Inputs!$U$6:$U$85,MATCH($A192,Inputs!$A$6:$A$85,0))="",$B$13,INDEX(Inputs!$U$6:$U$85,MATCH($A192,Inputs!$A$6:$A$85,0))),$B$13)))</f>
        <v/>
      </c>
      <c r="X192" s="288" t="str">
        <f t="shared" si="42"/>
        <v/>
      </c>
      <c r="Y192" s="288" t="str">
        <f t="shared" si="42"/>
        <v/>
      </c>
      <c r="Z192" s="288" t="str">
        <f t="shared" si="42"/>
        <v/>
      </c>
      <c r="AA192" s="288" t="str">
        <f t="shared" si="42"/>
        <v/>
      </c>
    </row>
    <row r="193" spans="1:27" x14ac:dyDescent="0.3">
      <c r="A193" s="224" t="str">
        <f>IF(Deliverables!$A171="","",Deliverables!$A171)</f>
        <v/>
      </c>
      <c r="B193" s="227" t="str">
        <f>IF($A193="","",Deliverables!$C171)</f>
        <v/>
      </c>
      <c r="C193" s="227" t="str">
        <f>IF($A193="","",Deliverables!$D171)</f>
        <v/>
      </c>
      <c r="D193" s="227" t="str">
        <f>IF($A193="","",Deliverables!$G171)</f>
        <v/>
      </c>
      <c r="E193" s="227" t="str">
        <f>IF($A193="","",IFERROR(INDEX(Inputs!$F$6:$F$85,MATCH($A193,Inputs!$A$6:$A$85,0)),"not in register"))</f>
        <v/>
      </c>
      <c r="F193" s="264" t="str">
        <f>IF($A193="","",IF(Deliverables!$H171="",0,Deliverables!$H171))</f>
        <v/>
      </c>
      <c r="G193" s="264" t="str">
        <f t="shared" si="30"/>
        <v/>
      </c>
      <c r="H193" s="265" t="str">
        <f>IF($A193="","",IFERROR(Deliverables!$E171*INDEX(Inputs!$C$6:$C$85,MATCH($A193,Inputs!$A$6:$A$85,0)),0))</f>
        <v/>
      </c>
      <c r="I193" s="265" t="str">
        <f t="shared" si="31"/>
        <v/>
      </c>
      <c r="J193" s="265" t="str">
        <f t="shared" si="32"/>
        <v/>
      </c>
      <c r="K193" s="332"/>
      <c r="L193" s="266" t="str">
        <f t="shared" si="33"/>
        <v/>
      </c>
      <c r="M193" s="267" t="str">
        <f t="shared" si="34"/>
        <v/>
      </c>
      <c r="N193" s="268" t="str">
        <f t="shared" si="35"/>
        <v/>
      </c>
      <c r="O193" s="269" t="str">
        <f t="shared" si="36"/>
        <v/>
      </c>
      <c r="P193" s="270" t="str">
        <f t="shared" si="37"/>
        <v/>
      </c>
      <c r="Q193" s="271" t="str">
        <f t="shared" si="38"/>
        <v/>
      </c>
      <c r="R193" s="272" t="str">
        <f t="shared" si="39"/>
        <v/>
      </c>
      <c r="S193" s="265" t="str">
        <f t="shared" si="40"/>
        <v/>
      </c>
      <c r="T193" s="267" t="str">
        <f>IF($R193="DO",$M193*Deliverables!K171,"")</f>
        <v/>
      </c>
      <c r="U193" s="267" t="str">
        <f>IF($R193="DO",$M193*Deliverables!L171,"")</f>
        <v/>
      </c>
      <c r="V193" s="267" t="str">
        <f>IF($R193="DO",$M193*Deliverables!M171,"")</f>
        <v/>
      </c>
      <c r="W193" s="286" t="str">
        <f>IF($A193="","",MEDIAN($B$15,$B$16,IFERROR(IF(INDEX(Inputs!$U$6:$U$85,MATCH($A193,Inputs!$A$6:$A$85,0))="",$B$13,INDEX(Inputs!$U$6:$U$85,MATCH($A193,Inputs!$A$6:$A$85,0))),$B$13)))</f>
        <v/>
      </c>
      <c r="X193" s="288" t="str">
        <f t="shared" si="42"/>
        <v/>
      </c>
      <c r="Y193" s="288" t="str">
        <f t="shared" si="42"/>
        <v/>
      </c>
      <c r="Z193" s="288" t="str">
        <f t="shared" si="42"/>
        <v/>
      </c>
      <c r="AA193" s="288" t="str">
        <f t="shared" si="42"/>
        <v/>
      </c>
    </row>
    <row r="194" spans="1:27" x14ac:dyDescent="0.3">
      <c r="A194" s="224" t="str">
        <f>IF(Deliverables!$A172="","",Deliverables!$A172)</f>
        <v/>
      </c>
      <c r="B194" s="227" t="str">
        <f>IF($A194="","",Deliverables!$C172)</f>
        <v/>
      </c>
      <c r="C194" s="227" t="str">
        <f>IF($A194="","",Deliverables!$D172)</f>
        <v/>
      </c>
      <c r="D194" s="227" t="str">
        <f>IF($A194="","",Deliverables!$G172)</f>
        <v/>
      </c>
      <c r="E194" s="227" t="str">
        <f>IF($A194="","",IFERROR(INDEX(Inputs!$F$6:$F$85,MATCH($A194,Inputs!$A$6:$A$85,0)),"not in register"))</f>
        <v/>
      </c>
      <c r="F194" s="264" t="str">
        <f>IF($A194="","",IF(Deliverables!$H172="",0,Deliverables!$H172))</f>
        <v/>
      </c>
      <c r="G194" s="264" t="str">
        <f t="shared" si="30"/>
        <v/>
      </c>
      <c r="H194" s="265" t="str">
        <f>IF($A194="","",IFERROR(Deliverables!$E172*INDEX(Inputs!$C$6:$C$85,MATCH($A194,Inputs!$A$6:$A$85,0)),0))</f>
        <v/>
      </c>
      <c r="I194" s="265" t="str">
        <f t="shared" si="31"/>
        <v/>
      </c>
      <c r="J194" s="265" t="str">
        <f t="shared" si="32"/>
        <v/>
      </c>
      <c r="K194" s="332"/>
      <c r="L194" s="266" t="str">
        <f t="shared" si="33"/>
        <v/>
      </c>
      <c r="M194" s="267" t="str">
        <f t="shared" si="34"/>
        <v/>
      </c>
      <c r="N194" s="268" t="str">
        <f t="shared" si="35"/>
        <v/>
      </c>
      <c r="O194" s="269" t="str">
        <f t="shared" si="36"/>
        <v/>
      </c>
      <c r="P194" s="270" t="str">
        <f t="shared" si="37"/>
        <v/>
      </c>
      <c r="Q194" s="271" t="str">
        <f t="shared" si="38"/>
        <v/>
      </c>
      <c r="R194" s="272" t="str">
        <f t="shared" si="39"/>
        <v/>
      </c>
      <c r="S194" s="265" t="str">
        <f t="shared" si="40"/>
        <v/>
      </c>
      <c r="T194" s="267" t="str">
        <f>IF($R194="DO",$M194*Deliverables!K172,"")</f>
        <v/>
      </c>
      <c r="U194" s="267" t="str">
        <f>IF($R194="DO",$M194*Deliverables!L172,"")</f>
        <v/>
      </c>
      <c r="V194" s="267" t="str">
        <f>IF($R194="DO",$M194*Deliverables!M172,"")</f>
        <v/>
      </c>
      <c r="W194" s="286" t="str">
        <f>IF($A194="","",MEDIAN($B$15,$B$16,IFERROR(IF(INDEX(Inputs!$U$6:$U$85,MATCH($A194,Inputs!$A$6:$A$85,0))="",$B$13,INDEX(Inputs!$U$6:$U$85,MATCH($A194,Inputs!$A$6:$A$85,0))),$B$13)))</f>
        <v/>
      </c>
      <c r="X194" s="288" t="str">
        <f t="shared" si="42"/>
        <v/>
      </c>
      <c r="Y194" s="288" t="str">
        <f t="shared" si="42"/>
        <v/>
      </c>
      <c r="Z194" s="288" t="str">
        <f t="shared" si="42"/>
        <v/>
      </c>
      <c r="AA194" s="288" t="str">
        <f t="shared" si="42"/>
        <v/>
      </c>
    </row>
    <row r="195" spans="1:27" x14ac:dyDescent="0.3">
      <c r="A195" s="224" t="str">
        <f>IF(Deliverables!$A173="","",Deliverables!$A173)</f>
        <v/>
      </c>
      <c r="B195" s="227" t="str">
        <f>IF($A195="","",Deliverables!$C173)</f>
        <v/>
      </c>
      <c r="C195" s="227" t="str">
        <f>IF($A195="","",Deliverables!$D173)</f>
        <v/>
      </c>
      <c r="D195" s="227" t="str">
        <f>IF($A195="","",Deliverables!$G173)</f>
        <v/>
      </c>
      <c r="E195" s="227" t="str">
        <f>IF($A195="","",IFERROR(INDEX(Inputs!$F$6:$F$85,MATCH($A195,Inputs!$A$6:$A$85,0)),"not in register"))</f>
        <v/>
      </c>
      <c r="F195" s="264" t="str">
        <f>IF($A195="","",IF(Deliverables!$H173="",0,Deliverables!$H173))</f>
        <v/>
      </c>
      <c r="G195" s="264" t="str">
        <f t="shared" si="30"/>
        <v/>
      </c>
      <c r="H195" s="265" t="str">
        <f>IF($A195="","",IFERROR(Deliverables!$E173*INDEX(Inputs!$C$6:$C$85,MATCH($A195,Inputs!$A$6:$A$85,0)),0))</f>
        <v/>
      </c>
      <c r="I195" s="265" t="str">
        <f t="shared" si="31"/>
        <v/>
      </c>
      <c r="J195" s="265" t="str">
        <f t="shared" si="32"/>
        <v/>
      </c>
      <c r="K195" s="332"/>
      <c r="L195" s="266" t="str">
        <f t="shared" si="33"/>
        <v/>
      </c>
      <c r="M195" s="267" t="str">
        <f t="shared" si="34"/>
        <v/>
      </c>
      <c r="N195" s="268" t="str">
        <f t="shared" si="35"/>
        <v/>
      </c>
      <c r="O195" s="269" t="str">
        <f t="shared" si="36"/>
        <v/>
      </c>
      <c r="P195" s="270" t="str">
        <f t="shared" si="37"/>
        <v/>
      </c>
      <c r="Q195" s="271" t="str">
        <f t="shared" si="38"/>
        <v/>
      </c>
      <c r="R195" s="272" t="str">
        <f t="shared" si="39"/>
        <v/>
      </c>
      <c r="S195" s="265" t="str">
        <f t="shared" si="40"/>
        <v/>
      </c>
      <c r="T195" s="267" t="str">
        <f>IF($R195="DO",$M195*Deliverables!K173,"")</f>
        <v/>
      </c>
      <c r="U195" s="267" t="str">
        <f>IF($R195="DO",$M195*Deliverables!L173,"")</f>
        <v/>
      </c>
      <c r="V195" s="267" t="str">
        <f>IF($R195="DO",$M195*Deliverables!M173,"")</f>
        <v/>
      </c>
      <c r="W195" s="286" t="str">
        <f>IF($A195="","",MEDIAN($B$15,$B$16,IFERROR(IF(INDEX(Inputs!$U$6:$U$85,MATCH($A195,Inputs!$A$6:$A$85,0))="",$B$13,INDEX(Inputs!$U$6:$U$85,MATCH($A195,Inputs!$A$6:$A$85,0))),$B$13)))</f>
        <v/>
      </c>
      <c r="X195" s="288" t="str">
        <f t="shared" si="42"/>
        <v/>
      </c>
      <c r="Y195" s="288" t="str">
        <f t="shared" si="42"/>
        <v/>
      </c>
      <c r="Z195" s="288" t="str">
        <f t="shared" si="42"/>
        <v/>
      </c>
      <c r="AA195" s="288" t="str">
        <f t="shared" si="42"/>
        <v/>
      </c>
    </row>
    <row r="196" spans="1:27" x14ac:dyDescent="0.3">
      <c r="A196" s="224" t="str">
        <f>IF(Deliverables!$A174="","",Deliverables!$A174)</f>
        <v/>
      </c>
      <c r="B196" s="227" t="str">
        <f>IF($A196="","",Deliverables!$C174)</f>
        <v/>
      </c>
      <c r="C196" s="227" t="str">
        <f>IF($A196="","",Deliverables!$D174)</f>
        <v/>
      </c>
      <c r="D196" s="227" t="str">
        <f>IF($A196="","",Deliverables!$G174)</f>
        <v/>
      </c>
      <c r="E196" s="227" t="str">
        <f>IF($A196="","",IFERROR(INDEX(Inputs!$F$6:$F$85,MATCH($A196,Inputs!$A$6:$A$85,0)),"not in register"))</f>
        <v/>
      </c>
      <c r="F196" s="264" t="str">
        <f>IF($A196="","",IF(Deliverables!$H174="",0,Deliverables!$H174))</f>
        <v/>
      </c>
      <c r="G196" s="264" t="str">
        <f t="shared" si="30"/>
        <v/>
      </c>
      <c r="H196" s="265" t="str">
        <f>IF($A196="","",IFERROR(Deliverables!$E174*INDEX(Inputs!$C$6:$C$85,MATCH($A196,Inputs!$A$6:$A$85,0)),0))</f>
        <v/>
      </c>
      <c r="I196" s="265" t="str">
        <f t="shared" si="31"/>
        <v/>
      </c>
      <c r="J196" s="265" t="str">
        <f t="shared" si="32"/>
        <v/>
      </c>
      <c r="K196" s="332"/>
      <c r="L196" s="266" t="str">
        <f t="shared" si="33"/>
        <v/>
      </c>
      <c r="M196" s="267" t="str">
        <f t="shared" si="34"/>
        <v/>
      </c>
      <c r="N196" s="268" t="str">
        <f t="shared" si="35"/>
        <v/>
      </c>
      <c r="O196" s="269" t="str">
        <f t="shared" si="36"/>
        <v/>
      </c>
      <c r="P196" s="270" t="str">
        <f t="shared" si="37"/>
        <v/>
      </c>
      <c r="Q196" s="271" t="str">
        <f t="shared" si="38"/>
        <v/>
      </c>
      <c r="R196" s="272" t="str">
        <f t="shared" si="39"/>
        <v/>
      </c>
      <c r="S196" s="265" t="str">
        <f t="shared" si="40"/>
        <v/>
      </c>
      <c r="T196" s="267" t="str">
        <f>IF($R196="DO",$M196*Deliverables!K174,"")</f>
        <v/>
      </c>
      <c r="U196" s="267" t="str">
        <f>IF($R196="DO",$M196*Deliverables!L174,"")</f>
        <v/>
      </c>
      <c r="V196" s="267" t="str">
        <f>IF($R196="DO",$M196*Deliverables!M174,"")</f>
        <v/>
      </c>
      <c r="W196" s="286" t="str">
        <f>IF($A196="","",MEDIAN($B$15,$B$16,IFERROR(IF(INDEX(Inputs!$U$6:$U$85,MATCH($A196,Inputs!$A$6:$A$85,0))="",$B$13,INDEX(Inputs!$U$6:$U$85,MATCH($A196,Inputs!$A$6:$A$85,0))),$B$13)))</f>
        <v/>
      </c>
      <c r="X196" s="288" t="str">
        <f t="shared" si="42"/>
        <v/>
      </c>
      <c r="Y196" s="288" t="str">
        <f t="shared" si="42"/>
        <v/>
      </c>
      <c r="Z196" s="288" t="str">
        <f t="shared" si="42"/>
        <v/>
      </c>
      <c r="AA196" s="288" t="str">
        <f t="shared" si="42"/>
        <v/>
      </c>
    </row>
    <row r="197" spans="1:27" x14ac:dyDescent="0.3">
      <c r="A197" s="224" t="str">
        <f>IF(Deliverables!$A175="","",Deliverables!$A175)</f>
        <v/>
      </c>
      <c r="B197" s="227" t="str">
        <f>IF($A197="","",Deliverables!$C175)</f>
        <v/>
      </c>
      <c r="C197" s="227" t="str">
        <f>IF($A197="","",Deliverables!$D175)</f>
        <v/>
      </c>
      <c r="D197" s="227" t="str">
        <f>IF($A197="","",Deliverables!$G175)</f>
        <v/>
      </c>
      <c r="E197" s="227" t="str">
        <f>IF($A197="","",IFERROR(INDEX(Inputs!$F$6:$F$85,MATCH($A197,Inputs!$A$6:$A$85,0)),"not in register"))</f>
        <v/>
      </c>
      <c r="F197" s="264" t="str">
        <f>IF($A197="","",IF(Deliverables!$H175="",0,Deliverables!$H175))</f>
        <v/>
      </c>
      <c r="G197" s="264" t="str">
        <f t="shared" si="30"/>
        <v/>
      </c>
      <c r="H197" s="265" t="str">
        <f>IF($A197="","",IFERROR(Deliverables!$E175*INDEX(Inputs!$C$6:$C$85,MATCH($A197,Inputs!$A$6:$A$85,0)),0))</f>
        <v/>
      </c>
      <c r="I197" s="265" t="str">
        <f t="shared" si="31"/>
        <v/>
      </c>
      <c r="J197" s="265" t="str">
        <f t="shared" si="32"/>
        <v/>
      </c>
      <c r="K197" s="332"/>
      <c r="L197" s="266" t="str">
        <f t="shared" si="33"/>
        <v/>
      </c>
      <c r="M197" s="267" t="str">
        <f t="shared" si="34"/>
        <v/>
      </c>
      <c r="N197" s="268" t="str">
        <f t="shared" si="35"/>
        <v/>
      </c>
      <c r="O197" s="269" t="str">
        <f t="shared" si="36"/>
        <v/>
      </c>
      <c r="P197" s="270" t="str">
        <f t="shared" si="37"/>
        <v/>
      </c>
      <c r="Q197" s="271" t="str">
        <f t="shared" si="38"/>
        <v/>
      </c>
      <c r="R197" s="272" t="str">
        <f t="shared" si="39"/>
        <v/>
      </c>
      <c r="S197" s="265" t="str">
        <f t="shared" si="40"/>
        <v/>
      </c>
      <c r="T197" s="267" t="str">
        <f>IF($R197="DO",$M197*Deliverables!K175,"")</f>
        <v/>
      </c>
      <c r="U197" s="267" t="str">
        <f>IF($R197="DO",$M197*Deliverables!L175,"")</f>
        <v/>
      </c>
      <c r="V197" s="267" t="str">
        <f>IF($R197="DO",$M197*Deliverables!M175,"")</f>
        <v/>
      </c>
      <c r="W197" s="286" t="str">
        <f>IF($A197="","",MEDIAN($B$15,$B$16,IFERROR(IF(INDEX(Inputs!$U$6:$U$85,MATCH($A197,Inputs!$A$6:$A$85,0))="",$B$13,INDEX(Inputs!$U$6:$U$85,MATCH($A197,Inputs!$A$6:$A$85,0))),$B$13)))</f>
        <v/>
      </c>
      <c r="X197" s="288" t="str">
        <f t="shared" si="42"/>
        <v/>
      </c>
      <c r="Y197" s="288" t="str">
        <f t="shared" si="42"/>
        <v/>
      </c>
      <c r="Z197" s="288" t="str">
        <f t="shared" si="42"/>
        <v/>
      </c>
      <c r="AA197" s="288" t="str">
        <f t="shared" si="42"/>
        <v/>
      </c>
    </row>
    <row r="198" spans="1:27" x14ac:dyDescent="0.3">
      <c r="A198" s="224" t="str">
        <f>IF(Deliverables!$A176="","",Deliverables!$A176)</f>
        <v/>
      </c>
      <c r="B198" s="227" t="str">
        <f>IF($A198="","",Deliverables!$C176)</f>
        <v/>
      </c>
      <c r="C198" s="227" t="str">
        <f>IF($A198="","",Deliverables!$D176)</f>
        <v/>
      </c>
      <c r="D198" s="227" t="str">
        <f>IF($A198="","",Deliverables!$G176)</f>
        <v/>
      </c>
      <c r="E198" s="227" t="str">
        <f>IF($A198="","",IFERROR(INDEX(Inputs!$F$6:$F$85,MATCH($A198,Inputs!$A$6:$A$85,0)),"not in register"))</f>
        <v/>
      </c>
      <c r="F198" s="264" t="str">
        <f>IF($A198="","",IF(Deliverables!$H176="",0,Deliverables!$H176))</f>
        <v/>
      </c>
      <c r="G198" s="264" t="str">
        <f t="shared" si="30"/>
        <v/>
      </c>
      <c r="H198" s="265" t="str">
        <f>IF($A198="","",IFERROR(Deliverables!$E176*INDEX(Inputs!$C$6:$C$85,MATCH($A198,Inputs!$A$6:$A$85,0)),0))</f>
        <v/>
      </c>
      <c r="I198" s="265" t="str">
        <f t="shared" si="31"/>
        <v/>
      </c>
      <c r="J198" s="265" t="str">
        <f t="shared" si="32"/>
        <v/>
      </c>
      <c r="K198" s="332"/>
      <c r="L198" s="266" t="str">
        <f t="shared" si="33"/>
        <v/>
      </c>
      <c r="M198" s="267" t="str">
        <f t="shared" si="34"/>
        <v/>
      </c>
      <c r="N198" s="268" t="str">
        <f t="shared" si="35"/>
        <v/>
      </c>
      <c r="O198" s="269" t="str">
        <f t="shared" si="36"/>
        <v/>
      </c>
      <c r="P198" s="270" t="str">
        <f t="shared" si="37"/>
        <v/>
      </c>
      <c r="Q198" s="271" t="str">
        <f t="shared" si="38"/>
        <v/>
      </c>
      <c r="R198" s="272" t="str">
        <f t="shared" si="39"/>
        <v/>
      </c>
      <c r="S198" s="265" t="str">
        <f t="shared" si="40"/>
        <v/>
      </c>
      <c r="T198" s="267" t="str">
        <f>IF($R198="DO",$M198*Deliverables!K176,"")</f>
        <v/>
      </c>
      <c r="U198" s="267" t="str">
        <f>IF($R198="DO",$M198*Deliverables!L176,"")</f>
        <v/>
      </c>
      <c r="V198" s="267" t="str">
        <f>IF($R198="DO",$M198*Deliverables!M176,"")</f>
        <v/>
      </c>
      <c r="W198" s="286" t="str">
        <f>IF($A198="","",MEDIAN($B$15,$B$16,IFERROR(IF(INDEX(Inputs!$U$6:$U$85,MATCH($A198,Inputs!$A$6:$A$85,0))="",$B$13,INDEX(Inputs!$U$6:$U$85,MATCH($A198,Inputs!$A$6:$A$85,0))),$B$13)))</f>
        <v/>
      </c>
      <c r="X198" s="288" t="str">
        <f t="shared" si="42"/>
        <v/>
      </c>
      <c r="Y198" s="288" t="str">
        <f t="shared" si="42"/>
        <v/>
      </c>
      <c r="Z198" s="288" t="str">
        <f t="shared" si="42"/>
        <v/>
      </c>
      <c r="AA198" s="288" t="str">
        <f t="shared" si="42"/>
        <v/>
      </c>
    </row>
    <row r="199" spans="1:27" x14ac:dyDescent="0.3">
      <c r="A199" s="224" t="str">
        <f>IF(Deliverables!$A177="","",Deliverables!$A177)</f>
        <v/>
      </c>
      <c r="B199" s="227" t="str">
        <f>IF($A199="","",Deliverables!$C177)</f>
        <v/>
      </c>
      <c r="C199" s="227" t="str">
        <f>IF($A199="","",Deliverables!$D177)</f>
        <v/>
      </c>
      <c r="D199" s="227" t="str">
        <f>IF($A199="","",Deliverables!$G177)</f>
        <v/>
      </c>
      <c r="E199" s="227" t="str">
        <f>IF($A199="","",IFERROR(INDEX(Inputs!$F$6:$F$85,MATCH($A199,Inputs!$A$6:$A$85,0)),"not in register"))</f>
        <v/>
      </c>
      <c r="F199" s="264" t="str">
        <f>IF($A199="","",IF(Deliverables!$H177="",0,Deliverables!$H177))</f>
        <v/>
      </c>
      <c r="G199" s="264" t="str">
        <f t="shared" si="30"/>
        <v/>
      </c>
      <c r="H199" s="265" t="str">
        <f>IF($A199="","",IFERROR(Deliverables!$E177*INDEX(Inputs!$C$6:$C$85,MATCH($A199,Inputs!$A$6:$A$85,0)),0))</f>
        <v/>
      </c>
      <c r="I199" s="265" t="str">
        <f t="shared" si="31"/>
        <v/>
      </c>
      <c r="J199" s="265" t="str">
        <f t="shared" si="32"/>
        <v/>
      </c>
      <c r="K199" s="332"/>
      <c r="L199" s="266" t="str">
        <f t="shared" si="33"/>
        <v/>
      </c>
      <c r="M199" s="267" t="str">
        <f t="shared" si="34"/>
        <v/>
      </c>
      <c r="N199" s="268" t="str">
        <f t="shared" si="35"/>
        <v/>
      </c>
      <c r="O199" s="269" t="str">
        <f t="shared" si="36"/>
        <v/>
      </c>
      <c r="P199" s="270" t="str">
        <f t="shared" si="37"/>
        <v/>
      </c>
      <c r="Q199" s="271" t="str">
        <f t="shared" si="38"/>
        <v/>
      </c>
      <c r="R199" s="272" t="str">
        <f t="shared" si="39"/>
        <v/>
      </c>
      <c r="S199" s="265" t="str">
        <f t="shared" si="40"/>
        <v/>
      </c>
      <c r="T199" s="267" t="str">
        <f>IF($R199="DO",$M199*Deliverables!K177,"")</f>
        <v/>
      </c>
      <c r="U199" s="267" t="str">
        <f>IF($R199="DO",$M199*Deliverables!L177,"")</f>
        <v/>
      </c>
      <c r="V199" s="267" t="str">
        <f>IF($R199="DO",$M199*Deliverables!M177,"")</f>
        <v/>
      </c>
      <c r="W199" s="286" t="str">
        <f>IF($A199="","",MEDIAN($B$15,$B$16,IFERROR(IF(INDEX(Inputs!$U$6:$U$85,MATCH($A199,Inputs!$A$6:$A$85,0))="",$B$13,INDEX(Inputs!$U$6:$U$85,MATCH($A199,Inputs!$A$6:$A$85,0))),$B$13)))</f>
        <v/>
      </c>
      <c r="X199" s="288" t="str">
        <f t="shared" si="42"/>
        <v/>
      </c>
      <c r="Y199" s="288" t="str">
        <f t="shared" si="42"/>
        <v/>
      </c>
      <c r="Z199" s="288" t="str">
        <f t="shared" si="42"/>
        <v/>
      </c>
      <c r="AA199" s="288" t="str">
        <f t="shared" si="42"/>
        <v/>
      </c>
    </row>
    <row r="200" spans="1:27" x14ac:dyDescent="0.3">
      <c r="A200" s="224" t="str">
        <f>IF(Deliverables!$A178="","",Deliverables!$A178)</f>
        <v/>
      </c>
      <c r="B200" s="227" t="str">
        <f>IF($A200="","",Deliverables!$C178)</f>
        <v/>
      </c>
      <c r="C200" s="227" t="str">
        <f>IF($A200="","",Deliverables!$D178)</f>
        <v/>
      </c>
      <c r="D200" s="227" t="str">
        <f>IF($A200="","",Deliverables!$G178)</f>
        <v/>
      </c>
      <c r="E200" s="227" t="str">
        <f>IF($A200="","",IFERROR(INDEX(Inputs!$F$6:$F$85,MATCH($A200,Inputs!$A$6:$A$85,0)),"not in register"))</f>
        <v/>
      </c>
      <c r="F200" s="264" t="str">
        <f>IF($A200="","",IF(Deliverables!$H178="",0,Deliverables!$H178))</f>
        <v/>
      </c>
      <c r="G200" s="264" t="str">
        <f t="shared" si="30"/>
        <v/>
      </c>
      <c r="H200" s="265" t="str">
        <f>IF($A200="","",IFERROR(Deliverables!$E178*INDEX(Inputs!$C$6:$C$85,MATCH($A200,Inputs!$A$6:$A$85,0)),0))</f>
        <v/>
      </c>
      <c r="I200" s="265" t="str">
        <f t="shared" si="31"/>
        <v/>
      </c>
      <c r="J200" s="265" t="str">
        <f t="shared" si="32"/>
        <v/>
      </c>
      <c r="K200" s="332"/>
      <c r="L200" s="266" t="str">
        <f t="shared" si="33"/>
        <v/>
      </c>
      <c r="M200" s="267" t="str">
        <f t="shared" si="34"/>
        <v/>
      </c>
      <c r="N200" s="268" t="str">
        <f t="shared" si="35"/>
        <v/>
      </c>
      <c r="O200" s="269" t="str">
        <f t="shared" si="36"/>
        <v/>
      </c>
      <c r="P200" s="270" t="str">
        <f t="shared" si="37"/>
        <v/>
      </c>
      <c r="Q200" s="271" t="str">
        <f t="shared" si="38"/>
        <v/>
      </c>
      <c r="R200" s="272" t="str">
        <f t="shared" si="39"/>
        <v/>
      </c>
      <c r="S200" s="265" t="str">
        <f t="shared" si="40"/>
        <v/>
      </c>
      <c r="T200" s="267" t="str">
        <f>IF($R200="DO",$M200*Deliverables!K178,"")</f>
        <v/>
      </c>
      <c r="U200" s="267" t="str">
        <f>IF($R200="DO",$M200*Deliverables!L178,"")</f>
        <v/>
      </c>
      <c r="V200" s="267" t="str">
        <f>IF($R200="DO",$M200*Deliverables!M178,"")</f>
        <v/>
      </c>
      <c r="W200" s="286" t="str">
        <f>IF($A200="","",MEDIAN($B$15,$B$16,IFERROR(IF(INDEX(Inputs!$U$6:$U$85,MATCH($A200,Inputs!$A$6:$A$85,0))="",$B$13,INDEX(Inputs!$U$6:$U$85,MATCH($A200,Inputs!$A$6:$A$85,0))),$B$13)))</f>
        <v/>
      </c>
      <c r="X200" s="288" t="str">
        <f t="shared" si="42"/>
        <v/>
      </c>
      <c r="Y200" s="288" t="str">
        <f t="shared" si="42"/>
        <v/>
      </c>
      <c r="Z200" s="288" t="str">
        <f t="shared" si="42"/>
        <v/>
      </c>
      <c r="AA200" s="288" t="str">
        <f t="shared" si="42"/>
        <v/>
      </c>
    </row>
    <row r="201" spans="1:27" x14ac:dyDescent="0.3">
      <c r="A201" s="224" t="str">
        <f>IF(Deliverables!$A179="","",Deliverables!$A179)</f>
        <v/>
      </c>
      <c r="B201" s="227" t="str">
        <f>IF($A201="","",Deliverables!$C179)</f>
        <v/>
      </c>
      <c r="C201" s="227" t="str">
        <f>IF($A201="","",Deliverables!$D179)</f>
        <v/>
      </c>
      <c r="D201" s="227" t="str">
        <f>IF($A201="","",Deliverables!$G179)</f>
        <v/>
      </c>
      <c r="E201" s="227" t="str">
        <f>IF($A201="","",IFERROR(INDEX(Inputs!$F$6:$F$85,MATCH($A201,Inputs!$A$6:$A$85,0)),"not in register"))</f>
        <v/>
      </c>
      <c r="F201" s="264" t="str">
        <f>IF($A201="","",IF(Deliverables!$H179="",0,Deliverables!$H179))</f>
        <v/>
      </c>
      <c r="G201" s="264" t="str">
        <f t="shared" si="30"/>
        <v/>
      </c>
      <c r="H201" s="265" t="str">
        <f>IF($A201="","",IFERROR(Deliverables!$E179*INDEX(Inputs!$C$6:$C$85,MATCH($A201,Inputs!$A$6:$A$85,0)),0))</f>
        <v/>
      </c>
      <c r="I201" s="265" t="str">
        <f t="shared" si="31"/>
        <v/>
      </c>
      <c r="J201" s="265" t="str">
        <f t="shared" si="32"/>
        <v/>
      </c>
      <c r="K201" s="332"/>
      <c r="L201" s="266" t="str">
        <f t="shared" si="33"/>
        <v/>
      </c>
      <c r="M201" s="267" t="str">
        <f t="shared" si="34"/>
        <v/>
      </c>
      <c r="N201" s="268" t="str">
        <f t="shared" si="35"/>
        <v/>
      </c>
      <c r="O201" s="269" t="str">
        <f t="shared" si="36"/>
        <v/>
      </c>
      <c r="P201" s="270" t="str">
        <f t="shared" si="37"/>
        <v/>
      </c>
      <c r="Q201" s="271" t="str">
        <f t="shared" si="38"/>
        <v/>
      </c>
      <c r="R201" s="272" t="str">
        <f t="shared" si="39"/>
        <v/>
      </c>
      <c r="S201" s="265" t="str">
        <f t="shared" si="40"/>
        <v/>
      </c>
      <c r="T201" s="267" t="str">
        <f>IF($R201="DO",$M201*Deliverables!K179,"")</f>
        <v/>
      </c>
      <c r="U201" s="267" t="str">
        <f>IF($R201="DO",$M201*Deliverables!L179,"")</f>
        <v/>
      </c>
      <c r="V201" s="267" t="str">
        <f>IF($R201="DO",$M201*Deliverables!M179,"")</f>
        <v/>
      </c>
      <c r="W201" s="286" t="str">
        <f>IF($A201="","",MEDIAN($B$15,$B$16,IFERROR(IF(INDEX(Inputs!$U$6:$U$85,MATCH($A201,Inputs!$A$6:$A$85,0))="",$B$13,INDEX(Inputs!$U$6:$U$85,MATCH($A201,Inputs!$A$6:$A$85,0))),$B$13)))</f>
        <v/>
      </c>
      <c r="X201" s="288" t="str">
        <f t="shared" si="42"/>
        <v/>
      </c>
      <c r="Y201" s="288" t="str">
        <f t="shared" si="42"/>
        <v/>
      </c>
      <c r="Z201" s="288" t="str">
        <f t="shared" si="42"/>
        <v/>
      </c>
      <c r="AA201" s="288" t="str">
        <f t="shared" si="42"/>
        <v/>
      </c>
    </row>
    <row r="202" spans="1:27" x14ac:dyDescent="0.3">
      <c r="A202" s="224" t="str">
        <f>IF(Deliverables!$A180="","",Deliverables!$A180)</f>
        <v/>
      </c>
      <c r="B202" s="227" t="str">
        <f>IF($A202="","",Deliverables!$C180)</f>
        <v/>
      </c>
      <c r="C202" s="227" t="str">
        <f>IF($A202="","",Deliverables!$D180)</f>
        <v/>
      </c>
      <c r="D202" s="227" t="str">
        <f>IF($A202="","",Deliverables!$G180)</f>
        <v/>
      </c>
      <c r="E202" s="227" t="str">
        <f>IF($A202="","",IFERROR(INDEX(Inputs!$F$6:$F$85,MATCH($A202,Inputs!$A$6:$A$85,0)),"not in register"))</f>
        <v/>
      </c>
      <c r="F202" s="264" t="str">
        <f>IF($A202="","",IF(Deliverables!$H180="",0,Deliverables!$H180))</f>
        <v/>
      </c>
      <c r="G202" s="264" t="str">
        <f t="shared" si="30"/>
        <v/>
      </c>
      <c r="H202" s="265" t="str">
        <f>IF($A202="","",IFERROR(Deliverables!$E180*INDEX(Inputs!$C$6:$C$85,MATCH($A202,Inputs!$A$6:$A$85,0)),0))</f>
        <v/>
      </c>
      <c r="I202" s="265" t="str">
        <f t="shared" si="31"/>
        <v/>
      </c>
      <c r="J202" s="265" t="str">
        <f t="shared" si="32"/>
        <v/>
      </c>
      <c r="K202" s="332"/>
      <c r="L202" s="266" t="str">
        <f t="shared" si="33"/>
        <v/>
      </c>
      <c r="M202" s="267" t="str">
        <f t="shared" si="34"/>
        <v/>
      </c>
      <c r="N202" s="268" t="str">
        <f t="shared" si="35"/>
        <v/>
      </c>
      <c r="O202" s="269" t="str">
        <f t="shared" si="36"/>
        <v/>
      </c>
      <c r="P202" s="270" t="str">
        <f t="shared" si="37"/>
        <v/>
      </c>
      <c r="Q202" s="271" t="str">
        <f t="shared" si="38"/>
        <v/>
      </c>
      <c r="R202" s="272" t="str">
        <f t="shared" si="39"/>
        <v/>
      </c>
      <c r="S202" s="265" t="str">
        <f t="shared" si="40"/>
        <v/>
      </c>
      <c r="T202" s="267" t="str">
        <f>IF($R202="DO",$M202*Deliverables!K180,"")</f>
        <v/>
      </c>
      <c r="U202" s="267" t="str">
        <f>IF($R202="DO",$M202*Deliverables!L180,"")</f>
        <v/>
      </c>
      <c r="V202" s="267" t="str">
        <f>IF($R202="DO",$M202*Deliverables!M180,"")</f>
        <v/>
      </c>
      <c r="W202" s="286" t="str">
        <f>IF($A202="","",MEDIAN($B$15,$B$16,IFERROR(IF(INDEX(Inputs!$U$6:$U$85,MATCH($A202,Inputs!$A$6:$A$85,0))="",$B$13,INDEX(Inputs!$U$6:$U$85,MATCH($A202,Inputs!$A$6:$A$85,0))),$B$13)))</f>
        <v/>
      </c>
      <c r="X202" s="288" t="str">
        <f t="shared" si="42"/>
        <v/>
      </c>
      <c r="Y202" s="288" t="str">
        <f t="shared" si="42"/>
        <v/>
      </c>
      <c r="Z202" s="288" t="str">
        <f t="shared" si="42"/>
        <v/>
      </c>
      <c r="AA202" s="288" t="str">
        <f t="shared" si="42"/>
        <v/>
      </c>
    </row>
    <row r="203" spans="1:27" x14ac:dyDescent="0.3">
      <c r="A203" s="224" t="str">
        <f>IF(Deliverables!$A181="","",Deliverables!$A181)</f>
        <v/>
      </c>
      <c r="B203" s="227" t="str">
        <f>IF($A203="","",Deliverables!$C181)</f>
        <v/>
      </c>
      <c r="C203" s="227" t="str">
        <f>IF($A203="","",Deliverables!$D181)</f>
        <v/>
      </c>
      <c r="D203" s="227" t="str">
        <f>IF($A203="","",Deliverables!$G181)</f>
        <v/>
      </c>
      <c r="E203" s="227" t="str">
        <f>IF($A203="","",IFERROR(INDEX(Inputs!$F$6:$F$85,MATCH($A203,Inputs!$A$6:$A$85,0)),"not in register"))</f>
        <v/>
      </c>
      <c r="F203" s="264" t="str">
        <f>IF($A203="","",IF(Deliverables!$H181="",0,Deliverables!$H181))</f>
        <v/>
      </c>
      <c r="G203" s="264" t="str">
        <f t="shared" si="30"/>
        <v/>
      </c>
      <c r="H203" s="265" t="str">
        <f>IF($A203="","",IFERROR(Deliverables!$E181*INDEX(Inputs!$C$6:$C$85,MATCH($A203,Inputs!$A$6:$A$85,0)),0))</f>
        <v/>
      </c>
      <c r="I203" s="265" t="str">
        <f t="shared" si="31"/>
        <v/>
      </c>
      <c r="J203" s="265" t="str">
        <f t="shared" si="32"/>
        <v/>
      </c>
      <c r="K203" s="332"/>
      <c r="L203" s="266" t="str">
        <f t="shared" si="33"/>
        <v/>
      </c>
      <c r="M203" s="267" t="str">
        <f t="shared" si="34"/>
        <v/>
      </c>
      <c r="N203" s="268" t="str">
        <f t="shared" si="35"/>
        <v/>
      </c>
      <c r="O203" s="269" t="str">
        <f t="shared" si="36"/>
        <v/>
      </c>
      <c r="P203" s="270" t="str">
        <f t="shared" si="37"/>
        <v/>
      </c>
      <c r="Q203" s="271" t="str">
        <f t="shared" si="38"/>
        <v/>
      </c>
      <c r="R203" s="272" t="str">
        <f t="shared" si="39"/>
        <v/>
      </c>
      <c r="S203" s="265" t="str">
        <f t="shared" si="40"/>
        <v/>
      </c>
      <c r="T203" s="267" t="str">
        <f>IF($R203="DO",$M203*Deliverables!K181,"")</f>
        <v/>
      </c>
      <c r="U203" s="267" t="str">
        <f>IF($R203="DO",$M203*Deliverables!L181,"")</f>
        <v/>
      </c>
      <c r="V203" s="267" t="str">
        <f>IF($R203="DO",$M203*Deliverables!M181,"")</f>
        <v/>
      </c>
      <c r="W203" s="286" t="str">
        <f>IF($A203="","",MEDIAN($B$15,$B$16,IFERROR(IF(INDEX(Inputs!$U$6:$U$85,MATCH($A203,Inputs!$A$6:$A$85,0))="",$B$13,INDEX(Inputs!$U$6:$U$85,MATCH($A203,Inputs!$A$6:$A$85,0))),$B$13)))</f>
        <v/>
      </c>
      <c r="X203" s="288" t="str">
        <f t="shared" si="42"/>
        <v/>
      </c>
      <c r="Y203" s="288" t="str">
        <f t="shared" si="42"/>
        <v/>
      </c>
      <c r="Z203" s="288" t="str">
        <f t="shared" si="42"/>
        <v/>
      </c>
      <c r="AA203" s="288" t="str">
        <f t="shared" si="42"/>
        <v/>
      </c>
    </row>
    <row r="204" spans="1:27" x14ac:dyDescent="0.3">
      <c r="A204" s="224" t="str">
        <f>IF(Deliverables!$A182="","",Deliverables!$A182)</f>
        <v/>
      </c>
      <c r="B204" s="227" t="str">
        <f>IF($A204="","",Deliverables!$C182)</f>
        <v/>
      </c>
      <c r="C204" s="227" t="str">
        <f>IF($A204="","",Deliverables!$D182)</f>
        <v/>
      </c>
      <c r="D204" s="227" t="str">
        <f>IF($A204="","",Deliverables!$G182)</f>
        <v/>
      </c>
      <c r="E204" s="227" t="str">
        <f>IF($A204="","",IFERROR(INDEX(Inputs!$F$6:$F$85,MATCH($A204,Inputs!$A$6:$A$85,0)),"not in register"))</f>
        <v/>
      </c>
      <c r="F204" s="264" t="str">
        <f>IF($A204="","",IF(Deliverables!$H182="",0,Deliverables!$H182))</f>
        <v/>
      </c>
      <c r="G204" s="264" t="str">
        <f t="shared" si="30"/>
        <v/>
      </c>
      <c r="H204" s="265" t="str">
        <f>IF($A204="","",IFERROR(Deliverables!$E182*INDEX(Inputs!$C$6:$C$85,MATCH($A204,Inputs!$A$6:$A$85,0)),0))</f>
        <v/>
      </c>
      <c r="I204" s="265" t="str">
        <f t="shared" si="31"/>
        <v/>
      </c>
      <c r="J204" s="265" t="str">
        <f t="shared" si="32"/>
        <v/>
      </c>
      <c r="K204" s="332"/>
      <c r="L204" s="266" t="str">
        <f t="shared" si="33"/>
        <v/>
      </c>
      <c r="M204" s="267" t="str">
        <f t="shared" si="34"/>
        <v/>
      </c>
      <c r="N204" s="268" t="str">
        <f t="shared" si="35"/>
        <v/>
      </c>
      <c r="O204" s="269" t="str">
        <f t="shared" si="36"/>
        <v/>
      </c>
      <c r="P204" s="270" t="str">
        <f t="shared" si="37"/>
        <v/>
      </c>
      <c r="Q204" s="271" t="str">
        <f t="shared" si="38"/>
        <v/>
      </c>
      <c r="R204" s="272" t="str">
        <f t="shared" si="39"/>
        <v/>
      </c>
      <c r="S204" s="265" t="str">
        <f t="shared" si="40"/>
        <v/>
      </c>
      <c r="T204" s="267" t="str">
        <f>IF($R204="DO",$M204*Deliverables!K182,"")</f>
        <v/>
      </c>
      <c r="U204" s="267" t="str">
        <f>IF($R204="DO",$M204*Deliverables!L182,"")</f>
        <v/>
      </c>
      <c r="V204" s="267" t="str">
        <f>IF($R204="DO",$M204*Deliverables!M182,"")</f>
        <v/>
      </c>
      <c r="W204" s="286" t="str">
        <f>IF($A204="","",MEDIAN($B$15,$B$16,IFERROR(IF(INDEX(Inputs!$U$6:$U$85,MATCH($A204,Inputs!$A$6:$A$85,0))="",$B$13,INDEX(Inputs!$U$6:$U$85,MATCH($A204,Inputs!$A$6:$A$85,0))),$B$13)))</f>
        <v/>
      </c>
      <c r="X204" s="288" t="str">
        <f t="shared" si="42"/>
        <v/>
      </c>
      <c r="Y204" s="288" t="str">
        <f t="shared" si="42"/>
        <v/>
      </c>
      <c r="Z204" s="288" t="str">
        <f t="shared" si="42"/>
        <v/>
      </c>
      <c r="AA204" s="288" t="str">
        <f t="shared" si="42"/>
        <v/>
      </c>
    </row>
    <row r="205" spans="1:27" x14ac:dyDescent="0.3">
      <c r="A205" s="224" t="str">
        <f>IF(Deliverables!$A183="","",Deliverables!$A183)</f>
        <v/>
      </c>
      <c r="B205" s="227" t="str">
        <f>IF($A205="","",Deliverables!$C183)</f>
        <v/>
      </c>
      <c r="C205" s="227" t="str">
        <f>IF($A205="","",Deliverables!$D183)</f>
        <v/>
      </c>
      <c r="D205" s="227" t="str">
        <f>IF($A205="","",Deliverables!$G183)</f>
        <v/>
      </c>
      <c r="E205" s="227" t="str">
        <f>IF($A205="","",IFERROR(INDEX(Inputs!$F$6:$F$85,MATCH($A205,Inputs!$A$6:$A$85,0)),"not in register"))</f>
        <v/>
      </c>
      <c r="F205" s="264" t="str">
        <f>IF($A205="","",IF(Deliverables!$H183="",0,Deliverables!$H183))</f>
        <v/>
      </c>
      <c r="G205" s="264" t="str">
        <f t="shared" si="30"/>
        <v/>
      </c>
      <c r="H205" s="265" t="str">
        <f>IF($A205="","",IFERROR(Deliverables!$E183*INDEX(Inputs!$C$6:$C$85,MATCH($A205,Inputs!$A$6:$A$85,0)),0))</f>
        <v/>
      </c>
      <c r="I205" s="265" t="str">
        <f t="shared" si="31"/>
        <v/>
      </c>
      <c r="J205" s="265" t="str">
        <f t="shared" si="32"/>
        <v/>
      </c>
      <c r="K205" s="332"/>
      <c r="L205" s="266" t="str">
        <f t="shared" si="33"/>
        <v/>
      </c>
      <c r="M205" s="267" t="str">
        <f t="shared" si="34"/>
        <v/>
      </c>
      <c r="N205" s="268" t="str">
        <f t="shared" si="35"/>
        <v/>
      </c>
      <c r="O205" s="269" t="str">
        <f t="shared" si="36"/>
        <v/>
      </c>
      <c r="P205" s="270" t="str">
        <f t="shared" si="37"/>
        <v/>
      </c>
      <c r="Q205" s="271" t="str">
        <f t="shared" si="38"/>
        <v/>
      </c>
      <c r="R205" s="272" t="str">
        <f t="shared" si="39"/>
        <v/>
      </c>
      <c r="S205" s="265" t="str">
        <f t="shared" si="40"/>
        <v/>
      </c>
      <c r="T205" s="267" t="str">
        <f>IF($R205="DO",$M205*Deliverables!K183,"")</f>
        <v/>
      </c>
      <c r="U205" s="267" t="str">
        <f>IF($R205="DO",$M205*Deliverables!L183,"")</f>
        <v/>
      </c>
      <c r="V205" s="267" t="str">
        <f>IF($R205="DO",$M205*Deliverables!M183,"")</f>
        <v/>
      </c>
      <c r="W205" s="286" t="str">
        <f>IF($A205="","",MEDIAN($B$15,$B$16,IFERROR(IF(INDEX(Inputs!$U$6:$U$85,MATCH($A205,Inputs!$A$6:$A$85,0))="",$B$13,INDEX(Inputs!$U$6:$U$85,MATCH($A205,Inputs!$A$6:$A$85,0))),$B$13)))</f>
        <v/>
      </c>
      <c r="X205" s="288" t="str">
        <f t="shared" si="42"/>
        <v/>
      </c>
      <c r="Y205" s="288" t="str">
        <f t="shared" si="42"/>
        <v/>
      </c>
      <c r="Z205" s="288" t="str">
        <f t="shared" si="42"/>
        <v/>
      </c>
      <c r="AA205" s="288" t="str">
        <f t="shared" si="42"/>
        <v/>
      </c>
    </row>
    <row r="206" spans="1:27" x14ac:dyDescent="0.3">
      <c r="A206" s="224" t="str">
        <f>IF(Deliverables!$A184="","",Deliverables!$A184)</f>
        <v/>
      </c>
      <c r="B206" s="227" t="str">
        <f>IF($A206="","",Deliverables!$C184)</f>
        <v/>
      </c>
      <c r="C206" s="227" t="str">
        <f>IF($A206="","",Deliverables!$D184)</f>
        <v/>
      </c>
      <c r="D206" s="227" t="str">
        <f>IF($A206="","",Deliverables!$G184)</f>
        <v/>
      </c>
      <c r="E206" s="227" t="str">
        <f>IF($A206="","",IFERROR(INDEX(Inputs!$F$6:$F$85,MATCH($A206,Inputs!$A$6:$A$85,0)),"not in register"))</f>
        <v/>
      </c>
      <c r="F206" s="264" t="str">
        <f>IF($A206="","",IF(Deliverables!$H184="",0,Deliverables!$H184))</f>
        <v/>
      </c>
      <c r="G206" s="264" t="str">
        <f t="shared" si="30"/>
        <v/>
      </c>
      <c r="H206" s="265" t="str">
        <f>IF($A206="","",IFERROR(Deliverables!$E184*INDEX(Inputs!$C$6:$C$85,MATCH($A206,Inputs!$A$6:$A$85,0)),0))</f>
        <v/>
      </c>
      <c r="I206" s="265" t="str">
        <f t="shared" si="31"/>
        <v/>
      </c>
      <c r="J206" s="265" t="str">
        <f t="shared" si="32"/>
        <v/>
      </c>
      <c r="K206" s="332"/>
      <c r="L206" s="266" t="str">
        <f t="shared" si="33"/>
        <v/>
      </c>
      <c r="M206" s="267" t="str">
        <f t="shared" si="34"/>
        <v/>
      </c>
      <c r="N206" s="268" t="str">
        <f t="shared" si="35"/>
        <v/>
      </c>
      <c r="O206" s="269" t="str">
        <f t="shared" si="36"/>
        <v/>
      </c>
      <c r="P206" s="270" t="str">
        <f t="shared" si="37"/>
        <v/>
      </c>
      <c r="Q206" s="271" t="str">
        <f t="shared" si="38"/>
        <v/>
      </c>
      <c r="R206" s="272" t="str">
        <f t="shared" si="39"/>
        <v/>
      </c>
      <c r="S206" s="265" t="str">
        <f t="shared" si="40"/>
        <v/>
      </c>
      <c r="T206" s="267" t="str">
        <f>IF($R206="DO",$M206*Deliverables!K184,"")</f>
        <v/>
      </c>
      <c r="U206" s="267" t="str">
        <f>IF($R206="DO",$M206*Deliverables!L184,"")</f>
        <v/>
      </c>
      <c r="V206" s="267" t="str">
        <f>IF($R206="DO",$M206*Deliverables!M184,"")</f>
        <v/>
      </c>
      <c r="W206" s="286" t="str">
        <f>IF($A206="","",MEDIAN($B$15,$B$16,IFERROR(IF(INDEX(Inputs!$U$6:$U$85,MATCH($A206,Inputs!$A$6:$A$85,0))="",$B$13,INDEX(Inputs!$U$6:$U$85,MATCH($A206,Inputs!$A$6:$A$85,0))),$B$13)))</f>
        <v/>
      </c>
      <c r="X206" s="288" t="str">
        <f t="shared" si="42"/>
        <v/>
      </c>
      <c r="Y206" s="288" t="str">
        <f t="shared" si="42"/>
        <v/>
      </c>
      <c r="Z206" s="288" t="str">
        <f t="shared" si="42"/>
        <v/>
      </c>
      <c r="AA206" s="288" t="str">
        <f t="shared" si="42"/>
        <v/>
      </c>
    </row>
    <row r="207" spans="1:27" x14ac:dyDescent="0.3">
      <c r="A207" s="224" t="str">
        <f>IF(Deliverables!$A185="","",Deliverables!$A185)</f>
        <v/>
      </c>
      <c r="B207" s="227" t="str">
        <f>IF($A207="","",Deliverables!$C185)</f>
        <v/>
      </c>
      <c r="C207" s="227" t="str">
        <f>IF($A207="","",Deliverables!$D185)</f>
        <v/>
      </c>
      <c r="D207" s="227" t="str">
        <f>IF($A207="","",Deliverables!$G185)</f>
        <v/>
      </c>
      <c r="E207" s="227" t="str">
        <f>IF($A207="","",IFERROR(INDEX(Inputs!$F$6:$F$85,MATCH($A207,Inputs!$A$6:$A$85,0)),"not in register"))</f>
        <v/>
      </c>
      <c r="F207" s="264" t="str">
        <f>IF($A207="","",IF(Deliverables!$H185="",0,Deliverables!$H185))</f>
        <v/>
      </c>
      <c r="G207" s="264" t="str">
        <f t="shared" si="30"/>
        <v/>
      </c>
      <c r="H207" s="265" t="str">
        <f>IF($A207="","",IFERROR(Deliverables!$E185*INDEX(Inputs!$C$6:$C$85,MATCH($A207,Inputs!$A$6:$A$85,0)),0))</f>
        <v/>
      </c>
      <c r="I207" s="265" t="str">
        <f t="shared" si="31"/>
        <v/>
      </c>
      <c r="J207" s="265" t="str">
        <f t="shared" si="32"/>
        <v/>
      </c>
      <c r="K207" s="332"/>
      <c r="L207" s="266" t="str">
        <f t="shared" si="33"/>
        <v/>
      </c>
      <c r="M207" s="267" t="str">
        <f t="shared" si="34"/>
        <v/>
      </c>
      <c r="N207" s="268" t="str">
        <f t="shared" si="35"/>
        <v/>
      </c>
      <c r="O207" s="269" t="str">
        <f t="shared" si="36"/>
        <v/>
      </c>
      <c r="P207" s="270" t="str">
        <f t="shared" si="37"/>
        <v/>
      </c>
      <c r="Q207" s="271" t="str">
        <f t="shared" si="38"/>
        <v/>
      </c>
      <c r="R207" s="272" t="str">
        <f t="shared" si="39"/>
        <v/>
      </c>
      <c r="S207" s="265" t="str">
        <f t="shared" si="40"/>
        <v/>
      </c>
      <c r="T207" s="267" t="str">
        <f>IF($R207="DO",$M207*Deliverables!K185,"")</f>
        <v/>
      </c>
      <c r="U207" s="267" t="str">
        <f>IF($R207="DO",$M207*Deliverables!L185,"")</f>
        <v/>
      </c>
      <c r="V207" s="267" t="str">
        <f>IF($R207="DO",$M207*Deliverables!M185,"")</f>
        <v/>
      </c>
      <c r="W207" s="286" t="str">
        <f>IF($A207="","",MEDIAN($B$15,$B$16,IFERROR(IF(INDEX(Inputs!$U$6:$U$85,MATCH($A207,Inputs!$A$6:$A$85,0))="",$B$13,INDEX(Inputs!$U$6:$U$85,MATCH($A207,Inputs!$A$6:$A$85,0))),$B$13)))</f>
        <v/>
      </c>
      <c r="X207" s="288" t="str">
        <f t="shared" si="42"/>
        <v/>
      </c>
      <c r="Y207" s="288" t="str">
        <f t="shared" si="42"/>
        <v/>
      </c>
      <c r="Z207" s="288" t="str">
        <f t="shared" si="42"/>
        <v/>
      </c>
      <c r="AA207" s="288" t="str">
        <f t="shared" si="42"/>
        <v/>
      </c>
    </row>
    <row r="208" spans="1:27" x14ac:dyDescent="0.3">
      <c r="A208" s="224" t="str">
        <f>IF(Deliverables!$A186="","",Deliverables!$A186)</f>
        <v/>
      </c>
      <c r="B208" s="227" t="str">
        <f>IF($A208="","",Deliverables!$C186)</f>
        <v/>
      </c>
      <c r="C208" s="227" t="str">
        <f>IF($A208="","",Deliverables!$D186)</f>
        <v/>
      </c>
      <c r="D208" s="227" t="str">
        <f>IF($A208="","",Deliverables!$G186)</f>
        <v/>
      </c>
      <c r="E208" s="227" t="str">
        <f>IF($A208="","",IFERROR(INDEX(Inputs!$F$6:$F$85,MATCH($A208,Inputs!$A$6:$A$85,0)),"not in register"))</f>
        <v/>
      </c>
      <c r="F208" s="264" t="str">
        <f>IF($A208="","",IF(Deliverables!$H186="",0,Deliverables!$H186))</f>
        <v/>
      </c>
      <c r="G208" s="264" t="str">
        <f t="shared" si="30"/>
        <v/>
      </c>
      <c r="H208" s="265" t="str">
        <f>IF($A208="","",IFERROR(Deliverables!$E186*INDEX(Inputs!$C$6:$C$85,MATCH($A208,Inputs!$A$6:$A$85,0)),0))</f>
        <v/>
      </c>
      <c r="I208" s="265" t="str">
        <f t="shared" si="31"/>
        <v/>
      </c>
      <c r="J208" s="265" t="str">
        <f t="shared" si="32"/>
        <v/>
      </c>
      <c r="K208" s="332"/>
      <c r="L208" s="266" t="str">
        <f t="shared" si="33"/>
        <v/>
      </c>
      <c r="M208" s="267" t="str">
        <f t="shared" si="34"/>
        <v/>
      </c>
      <c r="N208" s="268" t="str">
        <f t="shared" si="35"/>
        <v/>
      </c>
      <c r="O208" s="269" t="str">
        <f t="shared" si="36"/>
        <v/>
      </c>
      <c r="P208" s="270" t="str">
        <f t="shared" si="37"/>
        <v/>
      </c>
      <c r="Q208" s="271" t="str">
        <f t="shared" si="38"/>
        <v/>
      </c>
      <c r="R208" s="272" t="str">
        <f t="shared" si="39"/>
        <v/>
      </c>
      <c r="S208" s="265" t="str">
        <f t="shared" si="40"/>
        <v/>
      </c>
      <c r="T208" s="267" t="str">
        <f>IF($R208="DO",$M208*Deliverables!K186,"")</f>
        <v/>
      </c>
      <c r="U208" s="267" t="str">
        <f>IF($R208="DO",$M208*Deliverables!L186,"")</f>
        <v/>
      </c>
      <c r="V208" s="267" t="str">
        <f>IF($R208="DO",$M208*Deliverables!M186,"")</f>
        <v/>
      </c>
      <c r="W208" s="286" t="str">
        <f>IF($A208="","",MEDIAN($B$15,$B$16,IFERROR(IF(INDEX(Inputs!$U$6:$U$85,MATCH($A208,Inputs!$A$6:$A$85,0))="",$B$13,INDEX(Inputs!$U$6:$U$85,MATCH($A208,Inputs!$A$6:$A$85,0))),$B$13)))</f>
        <v/>
      </c>
      <c r="X208" s="288" t="str">
        <f t="shared" ref="X208:AA226" si="43">IF($R208&lt;&gt;"DO","",MAX(0,MIN($Q208,X$25*$B$8)-MAX($Q208-$L208,(X$25-1)*$B$8))*$B$5)</f>
        <v/>
      </c>
      <c r="Y208" s="288" t="str">
        <f t="shared" si="43"/>
        <v/>
      </c>
      <c r="Z208" s="288" t="str">
        <f t="shared" si="43"/>
        <v/>
      </c>
      <c r="AA208" s="288" t="str">
        <f t="shared" si="43"/>
        <v/>
      </c>
    </row>
    <row r="209" spans="1:27" x14ac:dyDescent="0.3">
      <c r="A209" s="224" t="str">
        <f>IF(Deliverables!$A187="","",Deliverables!$A187)</f>
        <v/>
      </c>
      <c r="B209" s="227" t="str">
        <f>IF($A209="","",Deliverables!$C187)</f>
        <v/>
      </c>
      <c r="C209" s="227" t="str">
        <f>IF($A209="","",Deliverables!$D187)</f>
        <v/>
      </c>
      <c r="D209" s="227" t="str">
        <f>IF($A209="","",Deliverables!$G187)</f>
        <v/>
      </c>
      <c r="E209" s="227" t="str">
        <f>IF($A209="","",IFERROR(INDEX(Inputs!$F$6:$F$85,MATCH($A209,Inputs!$A$6:$A$85,0)),"not in register"))</f>
        <v/>
      </c>
      <c r="F209" s="264" t="str">
        <f>IF($A209="","",IF(Deliverables!$H187="",0,Deliverables!$H187))</f>
        <v/>
      </c>
      <c r="G209" s="264" t="str">
        <f t="shared" si="30"/>
        <v/>
      </c>
      <c r="H209" s="265" t="str">
        <f>IF($A209="","",IFERROR(Deliverables!$E187*INDEX(Inputs!$C$6:$C$85,MATCH($A209,Inputs!$A$6:$A$85,0)),0))</f>
        <v/>
      </c>
      <c r="I209" s="265" t="str">
        <f t="shared" si="31"/>
        <v/>
      </c>
      <c r="J209" s="265" t="str">
        <f t="shared" si="32"/>
        <v/>
      </c>
      <c r="K209" s="332"/>
      <c r="L209" s="266" t="str">
        <f t="shared" si="33"/>
        <v/>
      </c>
      <c r="M209" s="267" t="str">
        <f t="shared" si="34"/>
        <v/>
      </c>
      <c r="N209" s="268" t="str">
        <f t="shared" si="35"/>
        <v/>
      </c>
      <c r="O209" s="269" t="str">
        <f t="shared" si="36"/>
        <v/>
      </c>
      <c r="P209" s="270" t="str">
        <f t="shared" si="37"/>
        <v/>
      </c>
      <c r="Q209" s="271" t="str">
        <f t="shared" si="38"/>
        <v/>
      </c>
      <c r="R209" s="272" t="str">
        <f t="shared" si="39"/>
        <v/>
      </c>
      <c r="S209" s="265" t="str">
        <f t="shared" si="40"/>
        <v/>
      </c>
      <c r="T209" s="267" t="str">
        <f>IF($R209="DO",$M209*Deliverables!K187,"")</f>
        <v/>
      </c>
      <c r="U209" s="267" t="str">
        <f>IF($R209="DO",$M209*Deliverables!L187,"")</f>
        <v/>
      </c>
      <c r="V209" s="267" t="str">
        <f>IF($R209="DO",$M209*Deliverables!M187,"")</f>
        <v/>
      </c>
      <c r="W209" s="286" t="str">
        <f>IF($A209="","",MEDIAN($B$15,$B$16,IFERROR(IF(INDEX(Inputs!$U$6:$U$85,MATCH($A209,Inputs!$A$6:$A$85,0))="",$B$13,INDEX(Inputs!$U$6:$U$85,MATCH($A209,Inputs!$A$6:$A$85,0))),$B$13)))</f>
        <v/>
      </c>
      <c r="X209" s="288" t="str">
        <f t="shared" si="43"/>
        <v/>
      </c>
      <c r="Y209" s="288" t="str">
        <f t="shared" si="43"/>
        <v/>
      </c>
      <c r="Z209" s="288" t="str">
        <f t="shared" si="43"/>
        <v/>
      </c>
      <c r="AA209" s="288" t="str">
        <f t="shared" si="43"/>
        <v/>
      </c>
    </row>
    <row r="210" spans="1:27" x14ac:dyDescent="0.3">
      <c r="A210" s="224" t="str">
        <f>IF(Deliverables!$A188="","",Deliverables!$A188)</f>
        <v/>
      </c>
      <c r="B210" s="227" t="str">
        <f>IF($A210="","",Deliverables!$C188)</f>
        <v/>
      </c>
      <c r="C210" s="227" t="str">
        <f>IF($A210="","",Deliverables!$D188)</f>
        <v/>
      </c>
      <c r="D210" s="227" t="str">
        <f>IF($A210="","",Deliverables!$G188)</f>
        <v/>
      </c>
      <c r="E210" s="227" t="str">
        <f>IF($A210="","",IFERROR(INDEX(Inputs!$F$6:$F$85,MATCH($A210,Inputs!$A$6:$A$85,0)),"not in register"))</f>
        <v/>
      </c>
      <c r="F210" s="264" t="str">
        <f>IF($A210="","",IF(Deliverables!$H188="",0,Deliverables!$H188))</f>
        <v/>
      </c>
      <c r="G210" s="264" t="str">
        <f t="shared" si="30"/>
        <v/>
      </c>
      <c r="H210" s="265" t="str">
        <f>IF($A210="","",IFERROR(Deliverables!$E188*INDEX(Inputs!$C$6:$C$85,MATCH($A210,Inputs!$A$6:$A$85,0)),0))</f>
        <v/>
      </c>
      <c r="I210" s="265" t="str">
        <f t="shared" si="31"/>
        <v/>
      </c>
      <c r="J210" s="265" t="str">
        <f t="shared" si="32"/>
        <v/>
      </c>
      <c r="K210" s="332"/>
      <c r="L210" s="266" t="str">
        <f t="shared" si="33"/>
        <v/>
      </c>
      <c r="M210" s="267" t="str">
        <f t="shared" si="34"/>
        <v/>
      </c>
      <c r="N210" s="268" t="str">
        <f t="shared" si="35"/>
        <v/>
      </c>
      <c r="O210" s="269" t="str">
        <f t="shared" si="36"/>
        <v/>
      </c>
      <c r="P210" s="270" t="str">
        <f t="shared" si="37"/>
        <v/>
      </c>
      <c r="Q210" s="271" t="str">
        <f t="shared" si="38"/>
        <v/>
      </c>
      <c r="R210" s="272" t="str">
        <f t="shared" si="39"/>
        <v/>
      </c>
      <c r="S210" s="265" t="str">
        <f t="shared" si="40"/>
        <v/>
      </c>
      <c r="T210" s="267" t="str">
        <f>IF($R210="DO",$M210*Deliverables!K188,"")</f>
        <v/>
      </c>
      <c r="U210" s="267" t="str">
        <f>IF($R210="DO",$M210*Deliverables!L188,"")</f>
        <v/>
      </c>
      <c r="V210" s="267" t="str">
        <f>IF($R210="DO",$M210*Deliverables!M188,"")</f>
        <v/>
      </c>
      <c r="W210" s="286" t="str">
        <f>IF($A210="","",MEDIAN($B$15,$B$16,IFERROR(IF(INDEX(Inputs!$U$6:$U$85,MATCH($A210,Inputs!$A$6:$A$85,0))="",$B$13,INDEX(Inputs!$U$6:$U$85,MATCH($A210,Inputs!$A$6:$A$85,0))),$B$13)))</f>
        <v/>
      </c>
      <c r="X210" s="288" t="str">
        <f t="shared" si="43"/>
        <v/>
      </c>
      <c r="Y210" s="288" t="str">
        <f t="shared" si="43"/>
        <v/>
      </c>
      <c r="Z210" s="288" t="str">
        <f t="shared" si="43"/>
        <v/>
      </c>
      <c r="AA210" s="288" t="str">
        <f t="shared" si="43"/>
        <v/>
      </c>
    </row>
    <row r="211" spans="1:27" x14ac:dyDescent="0.3">
      <c r="A211" s="224" t="str">
        <f>IF(Deliverables!$A189="","",Deliverables!$A189)</f>
        <v/>
      </c>
      <c r="B211" s="227" t="str">
        <f>IF($A211="","",Deliverables!$C189)</f>
        <v/>
      </c>
      <c r="C211" s="227" t="str">
        <f>IF($A211="","",Deliverables!$D189)</f>
        <v/>
      </c>
      <c r="D211" s="227" t="str">
        <f>IF($A211="","",Deliverables!$G189)</f>
        <v/>
      </c>
      <c r="E211" s="227" t="str">
        <f>IF($A211="","",IFERROR(INDEX(Inputs!$F$6:$F$85,MATCH($A211,Inputs!$A$6:$A$85,0)),"not in register"))</f>
        <v/>
      </c>
      <c r="F211" s="264" t="str">
        <f>IF($A211="","",IF(Deliverables!$H189="",0,Deliverables!$H189))</f>
        <v/>
      </c>
      <c r="G211" s="264" t="str">
        <f t="shared" si="30"/>
        <v/>
      </c>
      <c r="H211" s="265" t="str">
        <f>IF($A211="","",IFERROR(Deliverables!$E189*INDEX(Inputs!$C$6:$C$85,MATCH($A211,Inputs!$A$6:$A$85,0)),0))</f>
        <v/>
      </c>
      <c r="I211" s="265" t="str">
        <f t="shared" si="31"/>
        <v/>
      </c>
      <c r="J211" s="265" t="str">
        <f t="shared" si="32"/>
        <v/>
      </c>
      <c r="K211" s="332"/>
      <c r="L211" s="266" t="str">
        <f t="shared" si="33"/>
        <v/>
      </c>
      <c r="M211" s="267" t="str">
        <f t="shared" si="34"/>
        <v/>
      </c>
      <c r="N211" s="268" t="str">
        <f t="shared" si="35"/>
        <v/>
      </c>
      <c r="O211" s="269" t="str">
        <f t="shared" si="36"/>
        <v/>
      </c>
      <c r="P211" s="270" t="str">
        <f t="shared" si="37"/>
        <v/>
      </c>
      <c r="Q211" s="271" t="str">
        <f t="shared" si="38"/>
        <v/>
      </c>
      <c r="R211" s="272" t="str">
        <f t="shared" si="39"/>
        <v/>
      </c>
      <c r="S211" s="265" t="str">
        <f t="shared" si="40"/>
        <v/>
      </c>
      <c r="T211" s="267" t="str">
        <f>IF($R211="DO",$M211*Deliverables!K189,"")</f>
        <v/>
      </c>
      <c r="U211" s="267" t="str">
        <f>IF($R211="DO",$M211*Deliverables!L189,"")</f>
        <v/>
      </c>
      <c r="V211" s="267" t="str">
        <f>IF($R211="DO",$M211*Deliverables!M189,"")</f>
        <v/>
      </c>
      <c r="W211" s="286" t="str">
        <f>IF($A211="","",MEDIAN($B$15,$B$16,IFERROR(IF(INDEX(Inputs!$U$6:$U$85,MATCH($A211,Inputs!$A$6:$A$85,0))="",$B$13,INDEX(Inputs!$U$6:$U$85,MATCH($A211,Inputs!$A$6:$A$85,0))),$B$13)))</f>
        <v/>
      </c>
      <c r="X211" s="288" t="str">
        <f t="shared" si="43"/>
        <v/>
      </c>
      <c r="Y211" s="288" t="str">
        <f t="shared" si="43"/>
        <v/>
      </c>
      <c r="Z211" s="288" t="str">
        <f t="shared" si="43"/>
        <v/>
      </c>
      <c r="AA211" s="288" t="str">
        <f t="shared" si="43"/>
        <v/>
      </c>
    </row>
    <row r="212" spans="1:27" x14ac:dyDescent="0.3">
      <c r="A212" s="224" t="str">
        <f>IF(Deliverables!$A190="","",Deliverables!$A190)</f>
        <v/>
      </c>
      <c r="B212" s="227" t="str">
        <f>IF($A212="","",Deliverables!$C190)</f>
        <v/>
      </c>
      <c r="C212" s="227" t="str">
        <f>IF($A212="","",Deliverables!$D190)</f>
        <v/>
      </c>
      <c r="D212" s="227" t="str">
        <f>IF($A212="","",Deliverables!$G190)</f>
        <v/>
      </c>
      <c r="E212" s="227" t="str">
        <f>IF($A212="","",IFERROR(INDEX(Inputs!$F$6:$F$85,MATCH($A212,Inputs!$A$6:$A$85,0)),"not in register"))</f>
        <v/>
      </c>
      <c r="F212" s="264" t="str">
        <f>IF($A212="","",IF(Deliverables!$H190="",0,Deliverables!$H190))</f>
        <v/>
      </c>
      <c r="G212" s="264" t="str">
        <f t="shared" si="30"/>
        <v/>
      </c>
      <c r="H212" s="265" t="str">
        <f>IF($A212="","",IFERROR(Deliverables!$E190*INDEX(Inputs!$C$6:$C$85,MATCH($A212,Inputs!$A$6:$A$85,0)),0))</f>
        <v/>
      </c>
      <c r="I212" s="265" t="str">
        <f t="shared" si="31"/>
        <v/>
      </c>
      <c r="J212" s="265" t="str">
        <f t="shared" si="32"/>
        <v/>
      </c>
      <c r="K212" s="332"/>
      <c r="L212" s="266" t="str">
        <f t="shared" si="33"/>
        <v/>
      </c>
      <c r="M212" s="267" t="str">
        <f t="shared" si="34"/>
        <v/>
      </c>
      <c r="N212" s="268" t="str">
        <f t="shared" si="35"/>
        <v/>
      </c>
      <c r="O212" s="269" t="str">
        <f t="shared" si="36"/>
        <v/>
      </c>
      <c r="P212" s="270" t="str">
        <f t="shared" si="37"/>
        <v/>
      </c>
      <c r="Q212" s="271" t="str">
        <f t="shared" si="38"/>
        <v/>
      </c>
      <c r="R212" s="272" t="str">
        <f t="shared" si="39"/>
        <v/>
      </c>
      <c r="S212" s="265" t="str">
        <f t="shared" si="40"/>
        <v/>
      </c>
      <c r="T212" s="267" t="str">
        <f>IF($R212="DO",$M212*Deliverables!K190,"")</f>
        <v/>
      </c>
      <c r="U212" s="267" t="str">
        <f>IF($R212="DO",$M212*Deliverables!L190,"")</f>
        <v/>
      </c>
      <c r="V212" s="267" t="str">
        <f>IF($R212="DO",$M212*Deliverables!M190,"")</f>
        <v/>
      </c>
      <c r="W212" s="286" t="str">
        <f>IF($A212="","",MEDIAN($B$15,$B$16,IFERROR(IF(INDEX(Inputs!$U$6:$U$85,MATCH($A212,Inputs!$A$6:$A$85,0))="",$B$13,INDEX(Inputs!$U$6:$U$85,MATCH($A212,Inputs!$A$6:$A$85,0))),$B$13)))</f>
        <v/>
      </c>
      <c r="X212" s="288" t="str">
        <f t="shared" si="43"/>
        <v/>
      </c>
      <c r="Y212" s="288" t="str">
        <f t="shared" si="43"/>
        <v/>
      </c>
      <c r="Z212" s="288" t="str">
        <f t="shared" si="43"/>
        <v/>
      </c>
      <c r="AA212" s="288" t="str">
        <f t="shared" si="43"/>
        <v/>
      </c>
    </row>
    <row r="213" spans="1:27" x14ac:dyDescent="0.3">
      <c r="A213" s="224" t="str">
        <f>IF(Deliverables!$A191="","",Deliverables!$A191)</f>
        <v/>
      </c>
      <c r="B213" s="227" t="str">
        <f>IF($A213="","",Deliverables!$C191)</f>
        <v/>
      </c>
      <c r="C213" s="227" t="str">
        <f>IF($A213="","",Deliverables!$D191)</f>
        <v/>
      </c>
      <c r="D213" s="227" t="str">
        <f>IF($A213="","",Deliverables!$G191)</f>
        <v/>
      </c>
      <c r="E213" s="227" t="str">
        <f>IF($A213="","",IFERROR(INDEX(Inputs!$F$6:$F$85,MATCH($A213,Inputs!$A$6:$A$85,0)),"not in register"))</f>
        <v/>
      </c>
      <c r="F213" s="264" t="str">
        <f>IF($A213="","",IF(Deliverables!$H191="",0,Deliverables!$H191))</f>
        <v/>
      </c>
      <c r="G213" s="264" t="str">
        <f t="shared" si="30"/>
        <v/>
      </c>
      <c r="H213" s="265" t="str">
        <f>IF($A213="","",IFERROR(Deliverables!$E191*INDEX(Inputs!$C$6:$C$85,MATCH($A213,Inputs!$A$6:$A$85,0)),0))</f>
        <v/>
      </c>
      <c r="I213" s="265" t="str">
        <f t="shared" si="31"/>
        <v/>
      </c>
      <c r="J213" s="265" t="str">
        <f t="shared" si="32"/>
        <v/>
      </c>
      <c r="K213" s="332"/>
      <c r="L213" s="266" t="str">
        <f t="shared" si="33"/>
        <v/>
      </c>
      <c r="M213" s="267" t="str">
        <f t="shared" si="34"/>
        <v/>
      </c>
      <c r="N213" s="268" t="str">
        <f t="shared" si="35"/>
        <v/>
      </c>
      <c r="O213" s="269" t="str">
        <f t="shared" si="36"/>
        <v/>
      </c>
      <c r="P213" s="270" t="str">
        <f t="shared" si="37"/>
        <v/>
      </c>
      <c r="Q213" s="271" t="str">
        <f t="shared" si="38"/>
        <v/>
      </c>
      <c r="R213" s="272" t="str">
        <f t="shared" si="39"/>
        <v/>
      </c>
      <c r="S213" s="265" t="str">
        <f t="shared" si="40"/>
        <v/>
      </c>
      <c r="T213" s="267" t="str">
        <f>IF($R213="DO",$M213*Deliverables!K191,"")</f>
        <v/>
      </c>
      <c r="U213" s="267" t="str">
        <f>IF($R213="DO",$M213*Deliverables!L191,"")</f>
        <v/>
      </c>
      <c r="V213" s="267" t="str">
        <f>IF($R213="DO",$M213*Deliverables!M191,"")</f>
        <v/>
      </c>
      <c r="W213" s="286" t="str">
        <f>IF($A213="","",MEDIAN($B$15,$B$16,IFERROR(IF(INDEX(Inputs!$U$6:$U$85,MATCH($A213,Inputs!$A$6:$A$85,0))="",$B$13,INDEX(Inputs!$U$6:$U$85,MATCH($A213,Inputs!$A$6:$A$85,0))),$B$13)))</f>
        <v/>
      </c>
      <c r="X213" s="288" t="str">
        <f t="shared" si="43"/>
        <v/>
      </c>
      <c r="Y213" s="288" t="str">
        <f t="shared" si="43"/>
        <v/>
      </c>
      <c r="Z213" s="288" t="str">
        <f t="shared" si="43"/>
        <v/>
      </c>
      <c r="AA213" s="288" t="str">
        <f t="shared" si="43"/>
        <v/>
      </c>
    </row>
    <row r="214" spans="1:27" x14ac:dyDescent="0.3">
      <c r="A214" s="224" t="str">
        <f>IF(Deliverables!$A192="","",Deliverables!$A192)</f>
        <v/>
      </c>
      <c r="B214" s="227" t="str">
        <f>IF($A214="","",Deliverables!$C192)</f>
        <v/>
      </c>
      <c r="C214" s="227" t="str">
        <f>IF($A214="","",Deliverables!$D192)</f>
        <v/>
      </c>
      <c r="D214" s="227" t="str">
        <f>IF($A214="","",Deliverables!$G192)</f>
        <v/>
      </c>
      <c r="E214" s="227" t="str">
        <f>IF($A214="","",IFERROR(INDEX(Inputs!$F$6:$F$85,MATCH($A214,Inputs!$A$6:$A$85,0)),"not in register"))</f>
        <v/>
      </c>
      <c r="F214" s="264" t="str">
        <f>IF($A214="","",IF(Deliverables!$H192="",0,Deliverables!$H192))</f>
        <v/>
      </c>
      <c r="G214" s="264" t="str">
        <f t="shared" si="30"/>
        <v/>
      </c>
      <c r="H214" s="265" t="str">
        <f>IF($A214="","",IFERROR(Deliverables!$E192*INDEX(Inputs!$C$6:$C$85,MATCH($A214,Inputs!$A$6:$A$85,0)),0))</f>
        <v/>
      </c>
      <c r="I214" s="265" t="str">
        <f t="shared" si="31"/>
        <v/>
      </c>
      <c r="J214" s="265" t="str">
        <f t="shared" si="32"/>
        <v/>
      </c>
      <c r="K214" s="332"/>
      <c r="L214" s="266" t="str">
        <f t="shared" si="33"/>
        <v/>
      </c>
      <c r="M214" s="267" t="str">
        <f t="shared" si="34"/>
        <v/>
      </c>
      <c r="N214" s="268" t="str">
        <f t="shared" si="35"/>
        <v/>
      </c>
      <c r="O214" s="269" t="str">
        <f t="shared" si="36"/>
        <v/>
      </c>
      <c r="P214" s="270" t="str">
        <f t="shared" si="37"/>
        <v/>
      </c>
      <c r="Q214" s="271" t="str">
        <f t="shared" si="38"/>
        <v/>
      </c>
      <c r="R214" s="272" t="str">
        <f t="shared" si="39"/>
        <v/>
      </c>
      <c r="S214" s="265" t="str">
        <f t="shared" si="40"/>
        <v/>
      </c>
      <c r="T214" s="267" t="str">
        <f>IF($R214="DO",$M214*Deliverables!K192,"")</f>
        <v/>
      </c>
      <c r="U214" s="267" t="str">
        <f>IF($R214="DO",$M214*Deliverables!L192,"")</f>
        <v/>
      </c>
      <c r="V214" s="267" t="str">
        <f>IF($R214="DO",$M214*Deliverables!M192,"")</f>
        <v/>
      </c>
      <c r="W214" s="286" t="str">
        <f>IF($A214="","",MEDIAN($B$15,$B$16,IFERROR(IF(INDEX(Inputs!$U$6:$U$85,MATCH($A214,Inputs!$A$6:$A$85,0))="",$B$13,INDEX(Inputs!$U$6:$U$85,MATCH($A214,Inputs!$A$6:$A$85,0))),$B$13)))</f>
        <v/>
      </c>
      <c r="X214" s="288" t="str">
        <f t="shared" si="43"/>
        <v/>
      </c>
      <c r="Y214" s="288" t="str">
        <f t="shared" si="43"/>
        <v/>
      </c>
      <c r="Z214" s="288" t="str">
        <f t="shared" si="43"/>
        <v/>
      </c>
      <c r="AA214" s="288" t="str">
        <f t="shared" si="43"/>
        <v/>
      </c>
    </row>
    <row r="215" spans="1:27" x14ac:dyDescent="0.3">
      <c r="A215" s="224" t="str">
        <f>IF(Deliverables!$A193="","",Deliverables!$A193)</f>
        <v/>
      </c>
      <c r="B215" s="227" t="str">
        <f>IF($A215="","",Deliverables!$C193)</f>
        <v/>
      </c>
      <c r="C215" s="227" t="str">
        <f>IF($A215="","",Deliverables!$D193)</f>
        <v/>
      </c>
      <c r="D215" s="227" t="str">
        <f>IF($A215="","",Deliverables!$G193)</f>
        <v/>
      </c>
      <c r="E215" s="227" t="str">
        <f>IF($A215="","",IFERROR(INDEX(Inputs!$F$6:$F$85,MATCH($A215,Inputs!$A$6:$A$85,0)),"not in register"))</f>
        <v/>
      </c>
      <c r="F215" s="264" t="str">
        <f>IF($A215="","",IF(Deliverables!$H193="",0,Deliverables!$H193))</f>
        <v/>
      </c>
      <c r="G215" s="264" t="str">
        <f t="shared" si="30"/>
        <v/>
      </c>
      <c r="H215" s="265" t="str">
        <f>IF($A215="","",IFERROR(Deliverables!$E193*INDEX(Inputs!$C$6:$C$85,MATCH($A215,Inputs!$A$6:$A$85,0)),0))</f>
        <v/>
      </c>
      <c r="I215" s="265" t="str">
        <f t="shared" si="31"/>
        <v/>
      </c>
      <c r="J215" s="265" t="str">
        <f t="shared" si="32"/>
        <v/>
      </c>
      <c r="K215" s="332"/>
      <c r="L215" s="266" t="str">
        <f t="shared" si="33"/>
        <v/>
      </c>
      <c r="M215" s="267" t="str">
        <f t="shared" si="34"/>
        <v/>
      </c>
      <c r="N215" s="268" t="str">
        <f t="shared" si="35"/>
        <v/>
      </c>
      <c r="O215" s="269" t="str">
        <f t="shared" si="36"/>
        <v/>
      </c>
      <c r="P215" s="270" t="str">
        <f t="shared" si="37"/>
        <v/>
      </c>
      <c r="Q215" s="271" t="str">
        <f t="shared" si="38"/>
        <v/>
      </c>
      <c r="R215" s="272" t="str">
        <f t="shared" si="39"/>
        <v/>
      </c>
      <c r="S215" s="265" t="str">
        <f t="shared" si="40"/>
        <v/>
      </c>
      <c r="T215" s="267" t="str">
        <f>IF($R215="DO",$M215*Deliverables!K193,"")</f>
        <v/>
      </c>
      <c r="U215" s="267" t="str">
        <f>IF($R215="DO",$M215*Deliverables!L193,"")</f>
        <v/>
      </c>
      <c r="V215" s="267" t="str">
        <f>IF($R215="DO",$M215*Deliverables!M193,"")</f>
        <v/>
      </c>
      <c r="W215" s="286" t="str">
        <f>IF($A215="","",MEDIAN($B$15,$B$16,IFERROR(IF(INDEX(Inputs!$U$6:$U$85,MATCH($A215,Inputs!$A$6:$A$85,0))="",$B$13,INDEX(Inputs!$U$6:$U$85,MATCH($A215,Inputs!$A$6:$A$85,0))),$B$13)))</f>
        <v/>
      </c>
      <c r="X215" s="288" t="str">
        <f t="shared" si="43"/>
        <v/>
      </c>
      <c r="Y215" s="288" t="str">
        <f t="shared" si="43"/>
        <v/>
      </c>
      <c r="Z215" s="288" t="str">
        <f t="shared" si="43"/>
        <v/>
      </c>
      <c r="AA215" s="288" t="str">
        <f t="shared" si="43"/>
        <v/>
      </c>
    </row>
    <row r="216" spans="1:27" x14ac:dyDescent="0.3">
      <c r="A216" s="224" t="str">
        <f>IF(Deliverables!$A194="","",Deliverables!$A194)</f>
        <v/>
      </c>
      <c r="B216" s="227" t="str">
        <f>IF($A216="","",Deliverables!$C194)</f>
        <v/>
      </c>
      <c r="C216" s="227" t="str">
        <f>IF($A216="","",Deliverables!$D194)</f>
        <v/>
      </c>
      <c r="D216" s="227" t="str">
        <f>IF($A216="","",Deliverables!$G194)</f>
        <v/>
      </c>
      <c r="E216" s="227" t="str">
        <f>IF($A216="","",IFERROR(INDEX(Inputs!$F$6:$F$85,MATCH($A216,Inputs!$A$6:$A$85,0)),"not in register"))</f>
        <v/>
      </c>
      <c r="F216" s="264" t="str">
        <f>IF($A216="","",IF(Deliverables!$H194="",0,Deliverables!$H194))</f>
        <v/>
      </c>
      <c r="G216" s="264" t="str">
        <f t="shared" si="30"/>
        <v/>
      </c>
      <c r="H216" s="265" t="str">
        <f>IF($A216="","",IFERROR(Deliverables!$E194*INDEX(Inputs!$C$6:$C$85,MATCH($A216,Inputs!$A$6:$A$85,0)),0))</f>
        <v/>
      </c>
      <c r="I216" s="265" t="str">
        <f t="shared" si="31"/>
        <v/>
      </c>
      <c r="J216" s="265" t="str">
        <f t="shared" si="32"/>
        <v/>
      </c>
      <c r="K216" s="332"/>
      <c r="L216" s="266" t="str">
        <f t="shared" si="33"/>
        <v/>
      </c>
      <c r="M216" s="267" t="str">
        <f t="shared" si="34"/>
        <v/>
      </c>
      <c r="N216" s="268" t="str">
        <f t="shared" si="35"/>
        <v/>
      </c>
      <c r="O216" s="269" t="str">
        <f t="shared" si="36"/>
        <v/>
      </c>
      <c r="P216" s="270" t="str">
        <f t="shared" si="37"/>
        <v/>
      </c>
      <c r="Q216" s="271" t="str">
        <f t="shared" si="38"/>
        <v/>
      </c>
      <c r="R216" s="272" t="str">
        <f t="shared" si="39"/>
        <v/>
      </c>
      <c r="S216" s="265" t="str">
        <f t="shared" si="40"/>
        <v/>
      </c>
      <c r="T216" s="267" t="str">
        <f>IF($R216="DO",$M216*Deliverables!K194,"")</f>
        <v/>
      </c>
      <c r="U216" s="267" t="str">
        <f>IF($R216="DO",$M216*Deliverables!L194,"")</f>
        <v/>
      </c>
      <c r="V216" s="267" t="str">
        <f>IF($R216="DO",$M216*Deliverables!M194,"")</f>
        <v/>
      </c>
      <c r="W216" s="286" t="str">
        <f>IF($A216="","",MEDIAN($B$15,$B$16,IFERROR(IF(INDEX(Inputs!$U$6:$U$85,MATCH($A216,Inputs!$A$6:$A$85,0))="",$B$13,INDEX(Inputs!$U$6:$U$85,MATCH($A216,Inputs!$A$6:$A$85,0))),$B$13)))</f>
        <v/>
      </c>
      <c r="X216" s="288" t="str">
        <f t="shared" si="43"/>
        <v/>
      </c>
      <c r="Y216" s="288" t="str">
        <f t="shared" si="43"/>
        <v/>
      </c>
      <c r="Z216" s="288" t="str">
        <f t="shared" si="43"/>
        <v/>
      </c>
      <c r="AA216" s="288" t="str">
        <f t="shared" si="43"/>
        <v/>
      </c>
    </row>
    <row r="217" spans="1:27" x14ac:dyDescent="0.3">
      <c r="A217" s="224" t="str">
        <f>IF(Deliverables!$A195="","",Deliverables!$A195)</f>
        <v/>
      </c>
      <c r="B217" s="227" t="str">
        <f>IF($A217="","",Deliverables!$C195)</f>
        <v/>
      </c>
      <c r="C217" s="227" t="str">
        <f>IF($A217="","",Deliverables!$D195)</f>
        <v/>
      </c>
      <c r="D217" s="227" t="str">
        <f>IF($A217="","",Deliverables!$G195)</f>
        <v/>
      </c>
      <c r="E217" s="227" t="str">
        <f>IF($A217="","",IFERROR(INDEX(Inputs!$F$6:$F$85,MATCH($A217,Inputs!$A$6:$A$85,0)),"not in register"))</f>
        <v/>
      </c>
      <c r="F217" s="264" t="str">
        <f>IF($A217="","",IF(Deliverables!$H195="",0,Deliverables!$H195))</f>
        <v/>
      </c>
      <c r="G217" s="264" t="str">
        <f t="shared" si="30"/>
        <v/>
      </c>
      <c r="H217" s="265" t="str">
        <f>IF($A217="","",IFERROR(Deliverables!$E195*INDEX(Inputs!$C$6:$C$85,MATCH($A217,Inputs!$A$6:$A$85,0)),0))</f>
        <v/>
      </c>
      <c r="I217" s="265" t="str">
        <f t="shared" si="31"/>
        <v/>
      </c>
      <c r="J217" s="265" t="str">
        <f t="shared" si="32"/>
        <v/>
      </c>
      <c r="K217" s="332"/>
      <c r="L217" s="266" t="str">
        <f t="shared" si="33"/>
        <v/>
      </c>
      <c r="M217" s="267" t="str">
        <f t="shared" si="34"/>
        <v/>
      </c>
      <c r="N217" s="268" t="str">
        <f t="shared" si="35"/>
        <v/>
      </c>
      <c r="O217" s="269" t="str">
        <f t="shared" si="36"/>
        <v/>
      </c>
      <c r="P217" s="270" t="str">
        <f t="shared" si="37"/>
        <v/>
      </c>
      <c r="Q217" s="271" t="str">
        <f t="shared" si="38"/>
        <v/>
      </c>
      <c r="R217" s="272" t="str">
        <f t="shared" si="39"/>
        <v/>
      </c>
      <c r="S217" s="265" t="str">
        <f t="shared" si="40"/>
        <v/>
      </c>
      <c r="T217" s="267" t="str">
        <f>IF($R217="DO",$M217*Deliverables!K195,"")</f>
        <v/>
      </c>
      <c r="U217" s="267" t="str">
        <f>IF($R217="DO",$M217*Deliverables!L195,"")</f>
        <v/>
      </c>
      <c r="V217" s="267" t="str">
        <f>IF($R217="DO",$M217*Deliverables!M195,"")</f>
        <v/>
      </c>
      <c r="W217" s="286" t="str">
        <f>IF($A217="","",MEDIAN($B$15,$B$16,IFERROR(IF(INDEX(Inputs!$U$6:$U$85,MATCH($A217,Inputs!$A$6:$A$85,0))="",$B$13,INDEX(Inputs!$U$6:$U$85,MATCH($A217,Inputs!$A$6:$A$85,0))),$B$13)))</f>
        <v/>
      </c>
      <c r="X217" s="288" t="str">
        <f t="shared" si="43"/>
        <v/>
      </c>
      <c r="Y217" s="288" t="str">
        <f t="shared" si="43"/>
        <v/>
      </c>
      <c r="Z217" s="288" t="str">
        <f t="shared" si="43"/>
        <v/>
      </c>
      <c r="AA217" s="288" t="str">
        <f t="shared" si="43"/>
        <v/>
      </c>
    </row>
    <row r="218" spans="1:27" x14ac:dyDescent="0.3">
      <c r="A218" s="224" t="str">
        <f>IF(Deliverables!$A196="","",Deliverables!$A196)</f>
        <v/>
      </c>
      <c r="B218" s="227" t="str">
        <f>IF($A218="","",Deliverables!$C196)</f>
        <v/>
      </c>
      <c r="C218" s="227" t="str">
        <f>IF($A218="","",Deliverables!$D196)</f>
        <v/>
      </c>
      <c r="D218" s="227" t="str">
        <f>IF($A218="","",Deliverables!$G196)</f>
        <v/>
      </c>
      <c r="E218" s="227" t="str">
        <f>IF($A218="","",IFERROR(INDEX(Inputs!$F$6:$F$85,MATCH($A218,Inputs!$A$6:$A$85,0)),"not in register"))</f>
        <v/>
      </c>
      <c r="F218" s="264" t="str">
        <f>IF($A218="","",IF(Deliverables!$H196="",0,Deliverables!$H196))</f>
        <v/>
      </c>
      <c r="G218" s="264" t="str">
        <f t="shared" si="30"/>
        <v/>
      </c>
      <c r="H218" s="265" t="str">
        <f>IF($A218="","",IFERROR(Deliverables!$E196*INDEX(Inputs!$C$6:$C$85,MATCH($A218,Inputs!$A$6:$A$85,0)),0))</f>
        <v/>
      </c>
      <c r="I218" s="265" t="str">
        <f t="shared" si="31"/>
        <v/>
      </c>
      <c r="J218" s="265" t="str">
        <f t="shared" si="32"/>
        <v/>
      </c>
      <c r="K218" s="332"/>
      <c r="L218" s="266" t="str">
        <f t="shared" si="33"/>
        <v/>
      </c>
      <c r="M218" s="267" t="str">
        <f t="shared" si="34"/>
        <v/>
      </c>
      <c r="N218" s="268" t="str">
        <f t="shared" si="35"/>
        <v/>
      </c>
      <c r="O218" s="269" t="str">
        <f t="shared" si="36"/>
        <v/>
      </c>
      <c r="P218" s="270" t="str">
        <f t="shared" si="37"/>
        <v/>
      </c>
      <c r="Q218" s="271" t="str">
        <f t="shared" si="38"/>
        <v/>
      </c>
      <c r="R218" s="272" t="str">
        <f t="shared" si="39"/>
        <v/>
      </c>
      <c r="S218" s="265" t="str">
        <f t="shared" si="40"/>
        <v/>
      </c>
      <c r="T218" s="267" t="str">
        <f>IF($R218="DO",$M218*Deliverables!K196,"")</f>
        <v/>
      </c>
      <c r="U218" s="267" t="str">
        <f>IF($R218="DO",$M218*Deliverables!L196,"")</f>
        <v/>
      </c>
      <c r="V218" s="267" t="str">
        <f>IF($R218="DO",$M218*Deliverables!M196,"")</f>
        <v/>
      </c>
      <c r="W218" s="286" t="str">
        <f>IF($A218="","",MEDIAN($B$15,$B$16,IFERROR(IF(INDEX(Inputs!$U$6:$U$85,MATCH($A218,Inputs!$A$6:$A$85,0))="",$B$13,INDEX(Inputs!$U$6:$U$85,MATCH($A218,Inputs!$A$6:$A$85,0))),$B$13)))</f>
        <v/>
      </c>
      <c r="X218" s="288" t="str">
        <f t="shared" si="43"/>
        <v/>
      </c>
      <c r="Y218" s="288" t="str">
        <f t="shared" si="43"/>
        <v/>
      </c>
      <c r="Z218" s="288" t="str">
        <f t="shared" si="43"/>
        <v/>
      </c>
      <c r="AA218" s="288" t="str">
        <f t="shared" si="43"/>
        <v/>
      </c>
    </row>
    <row r="219" spans="1:27" x14ac:dyDescent="0.3">
      <c r="A219" s="224" t="str">
        <f>IF(Deliverables!$A197="","",Deliverables!$A197)</f>
        <v/>
      </c>
      <c r="B219" s="227" t="str">
        <f>IF($A219="","",Deliverables!$C197)</f>
        <v/>
      </c>
      <c r="C219" s="227" t="str">
        <f>IF($A219="","",Deliverables!$D197)</f>
        <v/>
      </c>
      <c r="D219" s="227" t="str">
        <f>IF($A219="","",Deliverables!$G197)</f>
        <v/>
      </c>
      <c r="E219" s="227" t="str">
        <f>IF($A219="","",IFERROR(INDEX(Inputs!$F$6:$F$85,MATCH($A219,Inputs!$A$6:$A$85,0)),"not in register"))</f>
        <v/>
      </c>
      <c r="F219" s="264" t="str">
        <f>IF($A219="","",IF(Deliverables!$H197="",0,Deliverables!$H197))</f>
        <v/>
      </c>
      <c r="G219" s="264" t="str">
        <f t="shared" si="30"/>
        <v/>
      </c>
      <c r="H219" s="265" t="str">
        <f>IF($A219="","",IFERROR(Deliverables!$E197*INDEX(Inputs!$C$6:$C$85,MATCH($A219,Inputs!$A$6:$A$85,0)),0))</f>
        <v/>
      </c>
      <c r="I219" s="265" t="str">
        <f t="shared" si="31"/>
        <v/>
      </c>
      <c r="J219" s="265" t="str">
        <f t="shared" si="32"/>
        <v/>
      </c>
      <c r="K219" s="332"/>
      <c r="L219" s="266" t="str">
        <f t="shared" si="33"/>
        <v/>
      </c>
      <c r="M219" s="267" t="str">
        <f t="shared" si="34"/>
        <v/>
      </c>
      <c r="N219" s="268" t="str">
        <f t="shared" si="35"/>
        <v/>
      </c>
      <c r="O219" s="269" t="str">
        <f t="shared" si="36"/>
        <v/>
      </c>
      <c r="P219" s="270" t="str">
        <f t="shared" si="37"/>
        <v/>
      </c>
      <c r="Q219" s="271" t="str">
        <f t="shared" si="38"/>
        <v/>
      </c>
      <c r="R219" s="272" t="str">
        <f t="shared" si="39"/>
        <v/>
      </c>
      <c r="S219" s="265" t="str">
        <f t="shared" si="40"/>
        <v/>
      </c>
      <c r="T219" s="267" t="str">
        <f>IF($R219="DO",$M219*Deliverables!K197,"")</f>
        <v/>
      </c>
      <c r="U219" s="267" t="str">
        <f>IF($R219="DO",$M219*Deliverables!L197,"")</f>
        <v/>
      </c>
      <c r="V219" s="267" t="str">
        <f>IF($R219="DO",$M219*Deliverables!M197,"")</f>
        <v/>
      </c>
      <c r="W219" s="286" t="str">
        <f>IF($A219="","",MEDIAN($B$15,$B$16,IFERROR(IF(INDEX(Inputs!$U$6:$U$85,MATCH($A219,Inputs!$A$6:$A$85,0))="",$B$13,INDEX(Inputs!$U$6:$U$85,MATCH($A219,Inputs!$A$6:$A$85,0))),$B$13)))</f>
        <v/>
      </c>
      <c r="X219" s="288" t="str">
        <f t="shared" si="43"/>
        <v/>
      </c>
      <c r="Y219" s="288" t="str">
        <f t="shared" si="43"/>
        <v/>
      </c>
      <c r="Z219" s="288" t="str">
        <f t="shared" si="43"/>
        <v/>
      </c>
      <c r="AA219" s="288" t="str">
        <f t="shared" si="43"/>
        <v/>
      </c>
    </row>
    <row r="220" spans="1:27" x14ac:dyDescent="0.3">
      <c r="A220" s="224" t="str">
        <f>IF(Deliverables!$A198="","",Deliverables!$A198)</f>
        <v/>
      </c>
      <c r="B220" s="227" t="str">
        <f>IF($A220="","",Deliverables!$C198)</f>
        <v/>
      </c>
      <c r="C220" s="227" t="str">
        <f>IF($A220="","",Deliverables!$D198)</f>
        <v/>
      </c>
      <c r="D220" s="227" t="str">
        <f>IF($A220="","",Deliverables!$G198)</f>
        <v/>
      </c>
      <c r="E220" s="227" t="str">
        <f>IF($A220="","",IFERROR(INDEX(Inputs!$F$6:$F$85,MATCH($A220,Inputs!$A$6:$A$85,0)),"not in register"))</f>
        <v/>
      </c>
      <c r="F220" s="264" t="str">
        <f>IF($A220="","",IF(Deliverables!$H198="",0,Deliverables!$H198))</f>
        <v/>
      </c>
      <c r="G220" s="264" t="str">
        <f t="shared" ref="G220:G226" si="44">IF($A220="","",1-$F220)</f>
        <v/>
      </c>
      <c r="H220" s="265" t="str">
        <f>IF($A220="","",IFERROR(Deliverables!$E198*INDEX(Inputs!$C$6:$C$85,MATCH($A220,Inputs!$A$6:$A$85,0)),0))</f>
        <v/>
      </c>
      <c r="I220" s="265" t="str">
        <f t="shared" ref="I220:I226" si="45">IF($A220="","",$H220*$F220)</f>
        <v/>
      </c>
      <c r="J220" s="265" t="str">
        <f t="shared" ref="J220:J226" si="46">IF($A220="","",$H220*$G220)</f>
        <v/>
      </c>
      <c r="K220" s="332"/>
      <c r="L220" s="266" t="str">
        <f t="shared" ref="L220:L226" si="47">IF($A220="","",IF($K220&lt;&gt;"",$K220/$B$5,IF($W220=0,$J220,$J220/$W220)))</f>
        <v/>
      </c>
      <c r="M220" s="267" t="str">
        <f t="shared" ref="M220:M226" si="48">IF($A220="","",$L220*$B$5)</f>
        <v/>
      </c>
      <c r="N220" s="268" t="str">
        <f t="shared" ref="N220:N226" si="49">IF(OR($A220="",$L220=0),"",$J220/$L220)</f>
        <v/>
      </c>
      <c r="O220" s="269" t="str">
        <f t="shared" ref="O220:O226" si="50">IF(OR($A220="",$J220&lt;=0.0001,AND($E220&lt;&gt;"Active",$E220&lt;&gt;"Not Started")),"",$N220-ROW()/1000000)</f>
        <v/>
      </c>
      <c r="P220" s="270" t="str">
        <f t="shared" ref="P220:P226" si="51">IF($O220="","",COUNTIF($O$27:$O$226,"&gt;"&amp;$O220)+1)</f>
        <v/>
      </c>
      <c r="Q220" s="271" t="str">
        <f t="shared" ref="Q220:Q226" si="52">IF($P220="","",SUMIFS($L$27:$L$226,$P$27:$P$226,"&lt;="&amp;$P220))</f>
        <v/>
      </c>
      <c r="R220" s="272" t="str">
        <f t="shared" ref="R220:R226" si="53">IF($A220="","",IF($O220="",IF($J220&lt;=0.0001,"complete","not in scope"),IF($Q220&lt;=$B$11,"DO","DEFER")))</f>
        <v/>
      </c>
      <c r="S220" s="265" t="str">
        <f t="shared" ref="S220:S226" si="54">IF($R220="DO",$J220-$L220,"")</f>
        <v/>
      </c>
      <c r="T220" s="267" t="str">
        <f>IF($R220="DO",$M220*Deliverables!K198,"")</f>
        <v/>
      </c>
      <c r="U220" s="267" t="str">
        <f>IF($R220="DO",$M220*Deliverables!L198,"")</f>
        <v/>
      </c>
      <c r="V220" s="267" t="str">
        <f>IF($R220="DO",$M220*Deliverables!M198,"")</f>
        <v/>
      </c>
      <c r="W220" s="286" t="str">
        <f>IF($A220="","",MEDIAN($B$15,$B$16,IFERROR(IF(INDEX(Inputs!$U$6:$U$85,MATCH($A220,Inputs!$A$6:$A$85,0))="",$B$13,INDEX(Inputs!$U$6:$U$85,MATCH($A220,Inputs!$A$6:$A$85,0))),$B$13)))</f>
        <v/>
      </c>
      <c r="X220" s="288" t="str">
        <f t="shared" si="43"/>
        <v/>
      </c>
      <c r="Y220" s="288" t="str">
        <f t="shared" si="43"/>
        <v/>
      </c>
      <c r="Z220" s="288" t="str">
        <f t="shared" si="43"/>
        <v/>
      </c>
      <c r="AA220" s="288" t="str">
        <f t="shared" si="43"/>
        <v/>
      </c>
    </row>
    <row r="221" spans="1:27" x14ac:dyDescent="0.3">
      <c r="A221" s="224" t="str">
        <f>IF(Deliverables!$A199="","",Deliverables!$A199)</f>
        <v/>
      </c>
      <c r="B221" s="227" t="str">
        <f>IF($A221="","",Deliverables!$C199)</f>
        <v/>
      </c>
      <c r="C221" s="227" t="str">
        <f>IF($A221="","",Deliverables!$D199)</f>
        <v/>
      </c>
      <c r="D221" s="227" t="str">
        <f>IF($A221="","",Deliverables!$G199)</f>
        <v/>
      </c>
      <c r="E221" s="227" t="str">
        <f>IF($A221="","",IFERROR(INDEX(Inputs!$F$6:$F$85,MATCH($A221,Inputs!$A$6:$A$85,0)),"not in register"))</f>
        <v/>
      </c>
      <c r="F221" s="264" t="str">
        <f>IF($A221="","",IF(Deliverables!$H199="",0,Deliverables!$H199))</f>
        <v/>
      </c>
      <c r="G221" s="264" t="str">
        <f t="shared" si="44"/>
        <v/>
      </c>
      <c r="H221" s="265" t="str">
        <f>IF($A221="","",IFERROR(Deliverables!$E199*INDEX(Inputs!$C$6:$C$85,MATCH($A221,Inputs!$A$6:$A$85,0)),0))</f>
        <v/>
      </c>
      <c r="I221" s="265" t="str">
        <f t="shared" si="45"/>
        <v/>
      </c>
      <c r="J221" s="265" t="str">
        <f t="shared" si="46"/>
        <v/>
      </c>
      <c r="K221" s="332"/>
      <c r="L221" s="266" t="str">
        <f t="shared" si="47"/>
        <v/>
      </c>
      <c r="M221" s="267" t="str">
        <f t="shared" si="48"/>
        <v/>
      </c>
      <c r="N221" s="268" t="str">
        <f t="shared" si="49"/>
        <v/>
      </c>
      <c r="O221" s="269" t="str">
        <f t="shared" si="50"/>
        <v/>
      </c>
      <c r="P221" s="270" t="str">
        <f t="shared" si="51"/>
        <v/>
      </c>
      <c r="Q221" s="271" t="str">
        <f t="shared" si="52"/>
        <v/>
      </c>
      <c r="R221" s="272" t="str">
        <f t="shared" si="53"/>
        <v/>
      </c>
      <c r="S221" s="265" t="str">
        <f t="shared" si="54"/>
        <v/>
      </c>
      <c r="T221" s="267" t="str">
        <f>IF($R221="DO",$M221*Deliverables!K199,"")</f>
        <v/>
      </c>
      <c r="U221" s="267" t="str">
        <f>IF($R221="DO",$M221*Deliverables!L199,"")</f>
        <v/>
      </c>
      <c r="V221" s="267" t="str">
        <f>IF($R221="DO",$M221*Deliverables!M199,"")</f>
        <v/>
      </c>
      <c r="W221" s="286" t="str">
        <f>IF($A221="","",MEDIAN($B$15,$B$16,IFERROR(IF(INDEX(Inputs!$U$6:$U$85,MATCH($A221,Inputs!$A$6:$A$85,0))="",$B$13,INDEX(Inputs!$U$6:$U$85,MATCH($A221,Inputs!$A$6:$A$85,0))),$B$13)))</f>
        <v/>
      </c>
      <c r="X221" s="288" t="str">
        <f t="shared" si="43"/>
        <v/>
      </c>
      <c r="Y221" s="288" t="str">
        <f t="shared" si="43"/>
        <v/>
      </c>
      <c r="Z221" s="288" t="str">
        <f t="shared" si="43"/>
        <v/>
      </c>
      <c r="AA221" s="288" t="str">
        <f t="shared" si="43"/>
        <v/>
      </c>
    </row>
    <row r="222" spans="1:27" x14ac:dyDescent="0.3">
      <c r="A222" s="224" t="str">
        <f>IF(Deliverables!$A200="","",Deliverables!$A200)</f>
        <v/>
      </c>
      <c r="B222" s="227" t="str">
        <f>IF($A222="","",Deliverables!$C200)</f>
        <v/>
      </c>
      <c r="C222" s="227" t="str">
        <f>IF($A222="","",Deliverables!$D200)</f>
        <v/>
      </c>
      <c r="D222" s="227" t="str">
        <f>IF($A222="","",Deliverables!$G200)</f>
        <v/>
      </c>
      <c r="E222" s="227" t="str">
        <f>IF($A222="","",IFERROR(INDEX(Inputs!$F$6:$F$85,MATCH($A222,Inputs!$A$6:$A$85,0)),"not in register"))</f>
        <v/>
      </c>
      <c r="F222" s="264" t="str">
        <f>IF($A222="","",IF(Deliverables!$H200="",0,Deliverables!$H200))</f>
        <v/>
      </c>
      <c r="G222" s="264" t="str">
        <f t="shared" si="44"/>
        <v/>
      </c>
      <c r="H222" s="265" t="str">
        <f>IF($A222="","",IFERROR(Deliverables!$E200*INDEX(Inputs!$C$6:$C$85,MATCH($A222,Inputs!$A$6:$A$85,0)),0))</f>
        <v/>
      </c>
      <c r="I222" s="265" t="str">
        <f t="shared" si="45"/>
        <v/>
      </c>
      <c r="J222" s="265" t="str">
        <f t="shared" si="46"/>
        <v/>
      </c>
      <c r="K222" s="332"/>
      <c r="L222" s="266" t="str">
        <f t="shared" si="47"/>
        <v/>
      </c>
      <c r="M222" s="267" t="str">
        <f t="shared" si="48"/>
        <v/>
      </c>
      <c r="N222" s="268" t="str">
        <f t="shared" si="49"/>
        <v/>
      </c>
      <c r="O222" s="269" t="str">
        <f t="shared" si="50"/>
        <v/>
      </c>
      <c r="P222" s="270" t="str">
        <f t="shared" si="51"/>
        <v/>
      </c>
      <c r="Q222" s="271" t="str">
        <f t="shared" si="52"/>
        <v/>
      </c>
      <c r="R222" s="272" t="str">
        <f t="shared" si="53"/>
        <v/>
      </c>
      <c r="S222" s="265" t="str">
        <f t="shared" si="54"/>
        <v/>
      </c>
      <c r="T222" s="267" t="str">
        <f>IF($R222="DO",$M222*Deliverables!K200,"")</f>
        <v/>
      </c>
      <c r="U222" s="267" t="str">
        <f>IF($R222="DO",$M222*Deliverables!L200,"")</f>
        <v/>
      </c>
      <c r="V222" s="267" t="str">
        <f>IF($R222="DO",$M222*Deliverables!M200,"")</f>
        <v/>
      </c>
      <c r="W222" s="286" t="str">
        <f>IF($A222="","",MEDIAN($B$15,$B$16,IFERROR(IF(INDEX(Inputs!$U$6:$U$85,MATCH($A222,Inputs!$A$6:$A$85,0))="",$B$13,INDEX(Inputs!$U$6:$U$85,MATCH($A222,Inputs!$A$6:$A$85,0))),$B$13)))</f>
        <v/>
      </c>
      <c r="X222" s="288" t="str">
        <f t="shared" si="43"/>
        <v/>
      </c>
      <c r="Y222" s="288" t="str">
        <f t="shared" si="43"/>
        <v/>
      </c>
      <c r="Z222" s="288" t="str">
        <f t="shared" si="43"/>
        <v/>
      </c>
      <c r="AA222" s="288" t="str">
        <f t="shared" si="43"/>
        <v/>
      </c>
    </row>
    <row r="223" spans="1:27" x14ac:dyDescent="0.3">
      <c r="A223" s="224" t="str">
        <f>IF(Deliverables!$A201="","",Deliverables!$A201)</f>
        <v/>
      </c>
      <c r="B223" s="227" t="str">
        <f>IF($A223="","",Deliverables!$C201)</f>
        <v/>
      </c>
      <c r="C223" s="227" t="str">
        <f>IF($A223="","",Deliverables!$D201)</f>
        <v/>
      </c>
      <c r="D223" s="227" t="str">
        <f>IF($A223="","",Deliverables!$G201)</f>
        <v/>
      </c>
      <c r="E223" s="227" t="str">
        <f>IF($A223="","",IFERROR(INDEX(Inputs!$F$6:$F$85,MATCH($A223,Inputs!$A$6:$A$85,0)),"not in register"))</f>
        <v/>
      </c>
      <c r="F223" s="264" t="str">
        <f>IF($A223="","",IF(Deliverables!$H201="",0,Deliverables!$H201))</f>
        <v/>
      </c>
      <c r="G223" s="264" t="str">
        <f t="shared" si="44"/>
        <v/>
      </c>
      <c r="H223" s="265" t="str">
        <f>IF($A223="","",IFERROR(Deliverables!$E201*INDEX(Inputs!$C$6:$C$85,MATCH($A223,Inputs!$A$6:$A$85,0)),0))</f>
        <v/>
      </c>
      <c r="I223" s="265" t="str">
        <f t="shared" si="45"/>
        <v/>
      </c>
      <c r="J223" s="265" t="str">
        <f t="shared" si="46"/>
        <v/>
      </c>
      <c r="K223" s="332"/>
      <c r="L223" s="266" t="str">
        <f t="shared" si="47"/>
        <v/>
      </c>
      <c r="M223" s="267" t="str">
        <f t="shared" si="48"/>
        <v/>
      </c>
      <c r="N223" s="268" t="str">
        <f t="shared" si="49"/>
        <v/>
      </c>
      <c r="O223" s="269" t="str">
        <f t="shared" si="50"/>
        <v/>
      </c>
      <c r="P223" s="270" t="str">
        <f t="shared" si="51"/>
        <v/>
      </c>
      <c r="Q223" s="271" t="str">
        <f t="shared" si="52"/>
        <v/>
      </c>
      <c r="R223" s="272" t="str">
        <f t="shared" si="53"/>
        <v/>
      </c>
      <c r="S223" s="265" t="str">
        <f t="shared" si="54"/>
        <v/>
      </c>
      <c r="T223" s="267" t="str">
        <f>IF($R223="DO",$M223*Deliverables!K201,"")</f>
        <v/>
      </c>
      <c r="U223" s="267" t="str">
        <f>IF($R223="DO",$M223*Deliverables!L201,"")</f>
        <v/>
      </c>
      <c r="V223" s="267" t="str">
        <f>IF($R223="DO",$M223*Deliverables!M201,"")</f>
        <v/>
      </c>
      <c r="W223" s="286" t="str">
        <f>IF($A223="","",MEDIAN($B$15,$B$16,IFERROR(IF(INDEX(Inputs!$U$6:$U$85,MATCH($A223,Inputs!$A$6:$A$85,0))="",$B$13,INDEX(Inputs!$U$6:$U$85,MATCH($A223,Inputs!$A$6:$A$85,0))),$B$13)))</f>
        <v/>
      </c>
      <c r="X223" s="288" t="str">
        <f t="shared" si="43"/>
        <v/>
      </c>
      <c r="Y223" s="288" t="str">
        <f t="shared" si="43"/>
        <v/>
      </c>
      <c r="Z223" s="288" t="str">
        <f t="shared" si="43"/>
        <v/>
      </c>
      <c r="AA223" s="288" t="str">
        <f t="shared" si="43"/>
        <v/>
      </c>
    </row>
    <row r="224" spans="1:27" x14ac:dyDescent="0.3">
      <c r="A224" s="224" t="str">
        <f>IF(Deliverables!$A202="","",Deliverables!$A202)</f>
        <v/>
      </c>
      <c r="B224" s="227" t="str">
        <f>IF($A224="","",Deliverables!$C202)</f>
        <v/>
      </c>
      <c r="C224" s="227" t="str">
        <f>IF($A224="","",Deliverables!$D202)</f>
        <v/>
      </c>
      <c r="D224" s="227" t="str">
        <f>IF($A224="","",Deliverables!$G202)</f>
        <v/>
      </c>
      <c r="E224" s="227" t="str">
        <f>IF($A224="","",IFERROR(INDEX(Inputs!$F$6:$F$85,MATCH($A224,Inputs!$A$6:$A$85,0)),"not in register"))</f>
        <v/>
      </c>
      <c r="F224" s="264" t="str">
        <f>IF($A224="","",IF(Deliverables!$H202="",0,Deliverables!$H202))</f>
        <v/>
      </c>
      <c r="G224" s="264" t="str">
        <f t="shared" si="44"/>
        <v/>
      </c>
      <c r="H224" s="265" t="str">
        <f>IF($A224="","",IFERROR(Deliverables!$E202*INDEX(Inputs!$C$6:$C$85,MATCH($A224,Inputs!$A$6:$A$85,0)),0))</f>
        <v/>
      </c>
      <c r="I224" s="265" t="str">
        <f t="shared" si="45"/>
        <v/>
      </c>
      <c r="J224" s="265" t="str">
        <f t="shared" si="46"/>
        <v/>
      </c>
      <c r="K224" s="332"/>
      <c r="L224" s="266" t="str">
        <f t="shared" si="47"/>
        <v/>
      </c>
      <c r="M224" s="267" t="str">
        <f t="shared" si="48"/>
        <v/>
      </c>
      <c r="N224" s="268" t="str">
        <f t="shared" si="49"/>
        <v/>
      </c>
      <c r="O224" s="269" t="str">
        <f t="shared" si="50"/>
        <v/>
      </c>
      <c r="P224" s="270" t="str">
        <f t="shared" si="51"/>
        <v/>
      </c>
      <c r="Q224" s="271" t="str">
        <f t="shared" si="52"/>
        <v/>
      </c>
      <c r="R224" s="272" t="str">
        <f t="shared" si="53"/>
        <v/>
      </c>
      <c r="S224" s="265" t="str">
        <f t="shared" si="54"/>
        <v/>
      </c>
      <c r="T224" s="267" t="str">
        <f>IF($R224="DO",$M224*Deliverables!K202,"")</f>
        <v/>
      </c>
      <c r="U224" s="267" t="str">
        <f>IF($R224="DO",$M224*Deliverables!L202,"")</f>
        <v/>
      </c>
      <c r="V224" s="267" t="str">
        <f>IF($R224="DO",$M224*Deliverables!M202,"")</f>
        <v/>
      </c>
      <c r="W224" s="286" t="str">
        <f>IF($A224="","",MEDIAN($B$15,$B$16,IFERROR(IF(INDEX(Inputs!$U$6:$U$85,MATCH($A224,Inputs!$A$6:$A$85,0))="",$B$13,INDEX(Inputs!$U$6:$U$85,MATCH($A224,Inputs!$A$6:$A$85,0))),$B$13)))</f>
        <v/>
      </c>
      <c r="X224" s="288" t="str">
        <f t="shared" si="43"/>
        <v/>
      </c>
      <c r="Y224" s="288" t="str">
        <f t="shared" si="43"/>
        <v/>
      </c>
      <c r="Z224" s="288" t="str">
        <f t="shared" si="43"/>
        <v/>
      </c>
      <c r="AA224" s="288" t="str">
        <f t="shared" si="43"/>
        <v/>
      </c>
    </row>
    <row r="225" spans="1:27" x14ac:dyDescent="0.3">
      <c r="A225" s="224" t="str">
        <f>IF(Deliverables!$A203="","",Deliverables!$A203)</f>
        <v/>
      </c>
      <c r="B225" s="227" t="str">
        <f>IF($A225="","",Deliverables!$C203)</f>
        <v/>
      </c>
      <c r="C225" s="227" t="str">
        <f>IF($A225="","",Deliverables!$D203)</f>
        <v/>
      </c>
      <c r="D225" s="227" t="str">
        <f>IF($A225="","",Deliverables!$G203)</f>
        <v/>
      </c>
      <c r="E225" s="227" t="str">
        <f>IF($A225="","",IFERROR(INDEX(Inputs!$F$6:$F$85,MATCH($A225,Inputs!$A$6:$A$85,0)),"not in register"))</f>
        <v/>
      </c>
      <c r="F225" s="264" t="str">
        <f>IF($A225="","",IF(Deliverables!$H203="",0,Deliverables!$H203))</f>
        <v/>
      </c>
      <c r="G225" s="264" t="str">
        <f t="shared" si="44"/>
        <v/>
      </c>
      <c r="H225" s="265" t="str">
        <f>IF($A225="","",IFERROR(Deliverables!$E203*INDEX(Inputs!$C$6:$C$85,MATCH($A225,Inputs!$A$6:$A$85,0)),0))</f>
        <v/>
      </c>
      <c r="I225" s="265" t="str">
        <f t="shared" si="45"/>
        <v/>
      </c>
      <c r="J225" s="265" t="str">
        <f t="shared" si="46"/>
        <v/>
      </c>
      <c r="K225" s="332"/>
      <c r="L225" s="266" t="str">
        <f t="shared" si="47"/>
        <v/>
      </c>
      <c r="M225" s="267" t="str">
        <f t="shared" si="48"/>
        <v/>
      </c>
      <c r="N225" s="268" t="str">
        <f t="shared" si="49"/>
        <v/>
      </c>
      <c r="O225" s="269" t="str">
        <f t="shared" si="50"/>
        <v/>
      </c>
      <c r="P225" s="270" t="str">
        <f t="shared" si="51"/>
        <v/>
      </c>
      <c r="Q225" s="271" t="str">
        <f t="shared" si="52"/>
        <v/>
      </c>
      <c r="R225" s="272" t="str">
        <f t="shared" si="53"/>
        <v/>
      </c>
      <c r="S225" s="265" t="str">
        <f t="shared" si="54"/>
        <v/>
      </c>
      <c r="T225" s="267" t="str">
        <f>IF($R225="DO",$M225*Deliverables!K203,"")</f>
        <v/>
      </c>
      <c r="U225" s="267" t="str">
        <f>IF($R225="DO",$M225*Deliverables!L203,"")</f>
        <v/>
      </c>
      <c r="V225" s="267" t="str">
        <f>IF($R225="DO",$M225*Deliverables!M203,"")</f>
        <v/>
      </c>
      <c r="W225" s="286" t="str">
        <f>IF($A225="","",MEDIAN($B$15,$B$16,IFERROR(IF(INDEX(Inputs!$U$6:$U$85,MATCH($A225,Inputs!$A$6:$A$85,0))="",$B$13,INDEX(Inputs!$U$6:$U$85,MATCH($A225,Inputs!$A$6:$A$85,0))),$B$13)))</f>
        <v/>
      </c>
      <c r="X225" s="288" t="str">
        <f t="shared" si="43"/>
        <v/>
      </c>
      <c r="Y225" s="288" t="str">
        <f t="shared" si="43"/>
        <v/>
      </c>
      <c r="Z225" s="288" t="str">
        <f t="shared" si="43"/>
        <v/>
      </c>
      <c r="AA225" s="288" t="str">
        <f t="shared" si="43"/>
        <v/>
      </c>
    </row>
    <row r="226" spans="1:27" x14ac:dyDescent="0.3">
      <c r="A226" s="224" t="str">
        <f>IF(Deliverables!$A204="","",Deliverables!$A204)</f>
        <v/>
      </c>
      <c r="B226" s="227" t="str">
        <f>IF($A226="","",Deliverables!$C204)</f>
        <v/>
      </c>
      <c r="C226" s="227" t="str">
        <f>IF($A226="","",Deliverables!$D204)</f>
        <v/>
      </c>
      <c r="D226" s="227" t="str">
        <f>IF($A226="","",Deliverables!$G204)</f>
        <v/>
      </c>
      <c r="E226" s="227" t="str">
        <f>IF($A226="","",IFERROR(INDEX(Inputs!$F$6:$F$85,MATCH($A226,Inputs!$A$6:$A$85,0)),"not in register"))</f>
        <v/>
      </c>
      <c r="F226" s="264" t="str">
        <f>IF($A226="","",IF(Deliverables!$H204="",0,Deliverables!$H204))</f>
        <v/>
      </c>
      <c r="G226" s="264" t="str">
        <f t="shared" si="44"/>
        <v/>
      </c>
      <c r="H226" s="265" t="str">
        <f>IF($A226="","",IFERROR(Deliverables!$E204*INDEX(Inputs!$C$6:$C$85,MATCH($A226,Inputs!$A$6:$A$85,0)),0))</f>
        <v/>
      </c>
      <c r="I226" s="265" t="str">
        <f t="shared" si="45"/>
        <v/>
      </c>
      <c r="J226" s="265" t="str">
        <f t="shared" si="46"/>
        <v/>
      </c>
      <c r="K226" s="332"/>
      <c r="L226" s="266" t="str">
        <f t="shared" si="47"/>
        <v/>
      </c>
      <c r="M226" s="267" t="str">
        <f t="shared" si="48"/>
        <v/>
      </c>
      <c r="N226" s="268" t="str">
        <f t="shared" si="49"/>
        <v/>
      </c>
      <c r="O226" s="269" t="str">
        <f t="shared" si="50"/>
        <v/>
      </c>
      <c r="P226" s="270" t="str">
        <f t="shared" si="51"/>
        <v/>
      </c>
      <c r="Q226" s="271" t="str">
        <f t="shared" si="52"/>
        <v/>
      </c>
      <c r="R226" s="272" t="str">
        <f t="shared" si="53"/>
        <v/>
      </c>
      <c r="S226" s="265" t="str">
        <f t="shared" si="54"/>
        <v/>
      </c>
      <c r="T226" s="267" t="str">
        <f>IF($R226="DO",$M226*Deliverables!K204,"")</f>
        <v/>
      </c>
      <c r="U226" s="267" t="str">
        <f>IF($R226="DO",$M226*Deliverables!L204,"")</f>
        <v/>
      </c>
      <c r="V226" s="267" t="str">
        <f>IF($R226="DO",$M226*Deliverables!M204,"")</f>
        <v/>
      </c>
      <c r="W226" s="286" t="str">
        <f>IF($A226="","",MEDIAN($B$15,$B$16,IFERROR(IF(INDEX(Inputs!$U$6:$U$85,MATCH($A226,Inputs!$A$6:$A$85,0))="",$B$13,INDEX(Inputs!$U$6:$U$85,MATCH($A226,Inputs!$A$6:$A$85,0))),$B$13)))</f>
        <v/>
      </c>
      <c r="X226" s="288" t="str">
        <f t="shared" si="43"/>
        <v/>
      </c>
      <c r="Y226" s="288" t="str">
        <f t="shared" si="43"/>
        <v/>
      </c>
      <c r="Z226" s="288" t="str">
        <f t="shared" si="43"/>
        <v/>
      </c>
      <c r="AA226" s="288" t="str">
        <f t="shared" si="43"/>
        <v/>
      </c>
    </row>
  </sheetData>
  <mergeCells count="5">
    <mergeCell ref="A4:B4"/>
    <mergeCell ref="D4:F4"/>
    <mergeCell ref="H4:I4"/>
    <mergeCell ref="A25:W25"/>
    <mergeCell ref="K4:P4"/>
  </mergeCells>
  <conditionalFormatting sqref="L7:O7">
    <cfRule type="dataBar" priority="3">
      <dataBar>
        <cfvo type="min"/>
        <cfvo type="max"/>
        <color rgb="FF638EC6"/>
      </dataBar>
      <extLst>
        <ext xmlns:x14="http://schemas.microsoft.com/office/spreadsheetml/2009/9/main" uri="{B025F937-C7B1-47D3-B67F-A62EFF666E3E}">
          <x14:id>{5C772BE5-F96B-41AA-BF5B-9DCBA7DE5374}</x14:id>
        </ext>
      </extLst>
    </cfRule>
  </conditionalFormatting>
  <conditionalFormatting sqref="L22:O22">
    <cfRule type="containsText" dxfId="94" priority="4" operator="containsText" text="OVER">
      <formula>NOT(ISERROR(SEARCH("OVER",L22)))</formula>
    </cfRule>
  </conditionalFormatting>
  <conditionalFormatting sqref="R27:R226">
    <cfRule type="containsText" dxfId="93" priority="1" operator="containsText" text="DO">
      <formula>NOT(ISERROR(SEARCH("DO",R27)))</formula>
    </cfRule>
    <cfRule type="containsText" dxfId="92" priority="2" operator="containsText" text="DEFER">
      <formula>NOT(ISERROR(SEARCH("DEFER",R27)))</formula>
    </cfRule>
  </conditionalFormatting>
  <dataValidations count="1">
    <dataValidation type="decimal" allowBlank="1" showInputMessage="1" showErrorMessage="1" errorTitle="Invalid estimate" error="Enter your own estimate of man-months to finish this deliverable, or leave blank to use value divided by the project's CPI." sqref="K27:K226" xr:uid="{58D704BF-E12B-4D68-A734-3A4B550E228A}">
      <formula1>0</formula1>
      <formula2>500</formula2>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5C772BE5-F96B-41AA-BF5B-9DCBA7DE5374}">
            <x14:dataBar minLength="0" maxLength="100" direction="leftToRight" negativeBarColorSameAsPositive="1" axisPosition="none">
              <x14:cfvo type="min"/>
              <x14:cfvo type="max"/>
            </x14:dataBar>
          </x14:cfRule>
          <xm:sqref>L7:O7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78B70-BDC6-4D7E-8B82-5A35ADEC00A7}">
  <sheetPr>
    <tabColor rgb="FF2E9B57"/>
  </sheetPr>
  <dimension ref="A1:T68"/>
  <sheetViews>
    <sheetView workbookViewId="0">
      <pane ySplit="4" topLeftCell="A8" activePane="bottomLeft" state="frozen"/>
      <selection pane="bottomLeft" activeCell="C5" sqref="C5"/>
    </sheetView>
  </sheetViews>
  <sheetFormatPr defaultRowHeight="14.4" x14ac:dyDescent="0.3"/>
  <cols>
    <col min="1" max="1" width="20.33203125" customWidth="1"/>
    <col min="2" max="2" width="37" customWidth="1"/>
    <col min="3" max="10" width="17.5546875" customWidth="1"/>
    <col min="11" max="16" width="16.6640625" customWidth="1"/>
    <col min="17" max="17" width="40.77734375" customWidth="1"/>
    <col min="19" max="19" width="46.33203125" customWidth="1"/>
    <col min="20" max="20" width="18.5546875" customWidth="1"/>
  </cols>
  <sheetData>
    <row r="1" spans="1:20" ht="18" x14ac:dyDescent="0.35">
      <c r="A1" s="372" t="s">
        <v>871</v>
      </c>
    </row>
    <row r="2" spans="1:20" x14ac:dyDescent="0.3">
      <c r="A2" s="355" t="s">
        <v>872</v>
      </c>
    </row>
    <row r="4" spans="1:20" ht="43.2" x14ac:dyDescent="0.3">
      <c r="A4" s="381" t="s">
        <v>5</v>
      </c>
      <c r="B4" s="381" t="s">
        <v>463</v>
      </c>
      <c r="C4" s="397" t="s">
        <v>873</v>
      </c>
      <c r="D4" s="397" t="s">
        <v>874</v>
      </c>
      <c r="E4" s="397" t="s">
        <v>875</v>
      </c>
      <c r="F4" s="397" t="s">
        <v>876</v>
      </c>
      <c r="G4" s="397" t="s">
        <v>877</v>
      </c>
      <c r="H4" s="397" t="s">
        <v>878</v>
      </c>
      <c r="I4" s="397" t="s">
        <v>879</v>
      </c>
      <c r="J4" s="397" t="s">
        <v>880</v>
      </c>
      <c r="K4" s="381" t="s">
        <v>881</v>
      </c>
      <c r="L4" s="381" t="s">
        <v>882</v>
      </c>
      <c r="M4" s="381" t="s">
        <v>883</v>
      </c>
      <c r="N4" s="381" t="s">
        <v>884</v>
      </c>
      <c r="O4" s="381" t="s">
        <v>885</v>
      </c>
      <c r="P4" s="381" t="s">
        <v>886</v>
      </c>
      <c r="Q4" s="381" t="s">
        <v>887</v>
      </c>
      <c r="S4" s="393" t="s">
        <v>888</v>
      </c>
    </row>
    <row r="5" spans="1:20" x14ac:dyDescent="0.3">
      <c r="A5" s="335" t="str">
        <f>IF(Deliverables!$A5="","",TRIM(Deliverables!$A5))</f>
        <v>N25178-0100D</v>
      </c>
      <c r="B5" s="335" t="str">
        <f>IF($A5="","",Deliverables!$C5)</f>
        <v>Concept Design</v>
      </c>
      <c r="C5" s="375"/>
      <c r="D5" s="400"/>
      <c r="E5" s="400"/>
      <c r="F5" s="375"/>
      <c r="G5" s="376"/>
      <c r="H5" s="375"/>
      <c r="I5" s="400"/>
      <c r="J5" s="400"/>
      <c r="K5" s="389">
        <f>IF($A5="","",IFERROR('Deliverable Actuals'!$I5,0))</f>
        <v>0</v>
      </c>
      <c r="L5" s="394">
        <f>IF($A5="","",N($I5)+N($J5)+N($K5))</f>
        <v>0</v>
      </c>
      <c r="M5" s="386" t="str">
        <f>IF(OR($A5="",$L5=0),"",N($K5)/$L5)</f>
        <v/>
      </c>
      <c r="N5" s="386" t="str">
        <f>IF(OR($A5="",$L5=0),"",N($I5)/$L5)</f>
        <v/>
      </c>
      <c r="O5" s="386" t="str">
        <f>IF(OR($A5="",$L5=0),"",N($J5)/$L5)</f>
        <v/>
      </c>
      <c r="P5" s="394">
        <f>IF($A5="","",MAX(0,N($D5)-N($I5)))</f>
        <v>0</v>
      </c>
      <c r="Q5" t="str">
        <f>IF($A5="","",IF(OR($C5="",$F5=""),"not set",IF($C5=$F5,"as planned","SHIFTED "&amp;$C5&amp;" to "&amp;$F5&amp;IF($G5="",""," on "&amp;TEXT($G5,"yyyy-mm-dd")))))</f>
        <v>not set</v>
      </c>
      <c r="S5" t="s">
        <v>889</v>
      </c>
      <c r="T5" s="391">
        <f>COUNTIF($C$5:$C$68,"?*")</f>
        <v>0</v>
      </c>
    </row>
    <row r="6" spans="1:20" x14ac:dyDescent="0.3">
      <c r="A6" s="335" t="str">
        <f>IF(Deliverables!$A6="","",TRIM(Deliverables!$A6))</f>
        <v>E26084-0100D</v>
      </c>
      <c r="B6" s="335" t="str">
        <f>IF($A6="","",Deliverables!$C6)</f>
        <v>Schematic Design</v>
      </c>
      <c r="C6" s="375"/>
      <c r="D6" s="400"/>
      <c r="E6" s="400"/>
      <c r="F6" s="375"/>
      <c r="G6" s="376"/>
      <c r="H6" s="375"/>
      <c r="I6" s="400"/>
      <c r="J6" s="400"/>
      <c r="K6" s="389">
        <f>IF($A6="","",IFERROR('Deliverable Actuals'!$I6,0))</f>
        <v>0</v>
      </c>
      <c r="L6" s="394">
        <f t="shared" ref="L6:L68" si="0">IF($A6="","",N($I6)+N($J6)+N($K6))</f>
        <v>0</v>
      </c>
      <c r="M6" s="386" t="str">
        <f t="shared" ref="M6:M68" si="1">IF(OR($A6="",$L6=0),"",N($K6)/$L6)</f>
        <v/>
      </c>
      <c r="N6" s="386" t="str">
        <f t="shared" ref="N6:N68" si="2">IF(OR($A6="",$L6=0),"",N($I6)/$L6)</f>
        <v/>
      </c>
      <c r="O6" s="386" t="str">
        <f t="shared" ref="O6:O68" si="3">IF(OR($A6="",$L6=0),"",N($J6)/$L6)</f>
        <v/>
      </c>
      <c r="P6" s="394">
        <f t="shared" ref="P6:P68" si="4">IF($A6="","",MAX(0,N($D6)-N($I6)))</f>
        <v>0</v>
      </c>
      <c r="Q6" t="str">
        <f t="shared" ref="Q6:Q68" si="5">IF($A6="","",IF(OR($C6="",$F6=""),"not set",IF($C6=$F6,"as planned","SHIFTED "&amp;$C6&amp;" to "&amp;$F6&amp;IF($G6="",""," on "&amp;TEXT($G6,"yyyy-mm-dd")))))</f>
        <v>not set</v>
      </c>
      <c r="S6" t="s">
        <v>890</v>
      </c>
      <c r="T6" s="391">
        <f>COUNTIF($Q$5:$Q$68,"SHIFTED*")</f>
        <v>0</v>
      </c>
    </row>
    <row r="7" spans="1:20" x14ac:dyDescent="0.3">
      <c r="A7" s="335" t="str">
        <f>IF(Deliverables!$A7="","",TRIM(Deliverables!$A7))</f>
        <v>E26084-0100D</v>
      </c>
      <c r="B7" s="335" t="str">
        <f>IF($A7="","",Deliverables!$C7)</f>
        <v>Final Design</v>
      </c>
      <c r="C7" s="375"/>
      <c r="D7" s="400"/>
      <c r="E7" s="400"/>
      <c r="F7" s="375"/>
      <c r="G7" s="376"/>
      <c r="H7" s="375"/>
      <c r="I7" s="400"/>
      <c r="J7" s="400"/>
      <c r="K7" s="389">
        <f>IF($A7="","",IFERROR('Deliverable Actuals'!$I7,0))</f>
        <v>0</v>
      </c>
      <c r="L7" s="394">
        <f t="shared" si="0"/>
        <v>0</v>
      </c>
      <c r="M7" s="386" t="str">
        <f t="shared" si="1"/>
        <v/>
      </c>
      <c r="N7" s="386" t="str">
        <f t="shared" si="2"/>
        <v/>
      </c>
      <c r="O7" s="386" t="str">
        <f t="shared" si="3"/>
        <v/>
      </c>
      <c r="P7" s="394">
        <f t="shared" si="4"/>
        <v>0</v>
      </c>
      <c r="Q7" t="str">
        <f t="shared" si="5"/>
        <v>not set</v>
      </c>
      <c r="S7" t="s">
        <v>874</v>
      </c>
      <c r="T7" s="394">
        <f>SUM($D$5:$D$68)</f>
        <v>0</v>
      </c>
    </row>
    <row r="8" spans="1:20" x14ac:dyDescent="0.3">
      <c r="A8" s="335" t="str">
        <f>IF(Deliverables!$A8="","",TRIM(Deliverables!$A8))</f>
        <v>N25185-0100D</v>
      </c>
      <c r="B8" s="335" t="str">
        <f>IF($A8="","",Deliverables!$C8)</f>
        <v>Concept Design</v>
      </c>
      <c r="C8" s="375"/>
      <c r="D8" s="400"/>
      <c r="E8" s="400"/>
      <c r="F8" s="375"/>
      <c r="G8" s="376"/>
      <c r="H8" s="375"/>
      <c r="I8" s="400"/>
      <c r="J8" s="400"/>
      <c r="K8" s="389">
        <f>IF($A8="","",IFERROR('Deliverable Actuals'!$I8,0))</f>
        <v>1650.75</v>
      </c>
      <c r="L8" s="394">
        <f t="shared" si="0"/>
        <v>1650.75</v>
      </c>
      <c r="M8" s="386">
        <f t="shared" si="1"/>
        <v>1</v>
      </c>
      <c r="N8" s="386">
        <f t="shared" si="2"/>
        <v>0</v>
      </c>
      <c r="O8" s="386">
        <f t="shared" si="3"/>
        <v>0</v>
      </c>
      <c r="P8" s="394">
        <f t="shared" si="4"/>
        <v>0</v>
      </c>
      <c r="Q8" t="str">
        <f t="shared" si="5"/>
        <v>not set</v>
      </c>
      <c r="S8" t="s">
        <v>879</v>
      </c>
      <c r="T8" s="394">
        <f>SUM($I$5:$I$68)</f>
        <v>0</v>
      </c>
    </row>
    <row r="9" spans="1:20" x14ac:dyDescent="0.3">
      <c r="A9" s="335" t="str">
        <f>IF(Deliverables!$A9="","",TRIM(Deliverables!$A9))</f>
        <v>N25185-0100D</v>
      </c>
      <c r="B9" s="335" t="str">
        <f>IF($A9="","",Deliverables!$C9)</f>
        <v>Final Design - Tin Can Berth 1</v>
      </c>
      <c r="C9" s="375"/>
      <c r="D9" s="400"/>
      <c r="E9" s="400"/>
      <c r="F9" s="375"/>
      <c r="G9" s="376"/>
      <c r="H9" s="375"/>
      <c r="I9" s="400"/>
      <c r="J9" s="400"/>
      <c r="K9" s="389">
        <f>IF($A9="","",IFERROR('Deliverable Actuals'!$I9,0))</f>
        <v>0</v>
      </c>
      <c r="L9" s="394">
        <f t="shared" si="0"/>
        <v>0</v>
      </c>
      <c r="M9" s="386" t="str">
        <f t="shared" si="1"/>
        <v/>
      </c>
      <c r="N9" s="386" t="str">
        <f t="shared" si="2"/>
        <v/>
      </c>
      <c r="O9" s="386" t="str">
        <f t="shared" si="3"/>
        <v/>
      </c>
      <c r="P9" s="394">
        <f t="shared" si="4"/>
        <v>0</v>
      </c>
      <c r="Q9" t="str">
        <f t="shared" si="5"/>
        <v>not set</v>
      </c>
      <c r="S9" t="s">
        <v>891</v>
      </c>
      <c r="T9" s="394">
        <f>SUM($P$5:$P$68)</f>
        <v>0</v>
      </c>
    </row>
    <row r="10" spans="1:20" x14ac:dyDescent="0.3">
      <c r="A10" s="335" t="str">
        <f>IF(Deliverables!$A10="","",TRIM(Deliverables!$A10))</f>
        <v>N25185-0100D</v>
      </c>
      <c r="B10" s="335" t="str">
        <f>IF($A10="","",Deliverables!$C10)</f>
        <v>Final Design - Tin Can Berth 2</v>
      </c>
      <c r="C10" s="375"/>
      <c r="D10" s="400"/>
      <c r="E10" s="400"/>
      <c r="F10" s="375"/>
      <c r="G10" s="376"/>
      <c r="H10" s="375"/>
      <c r="I10" s="400"/>
      <c r="J10" s="400"/>
      <c r="K10" s="389">
        <f>IF($A10="","",IFERROR('Deliverable Actuals'!$I10,0))</f>
        <v>0</v>
      </c>
      <c r="L10" s="394">
        <f t="shared" si="0"/>
        <v>0</v>
      </c>
      <c r="M10" s="386" t="str">
        <f t="shared" si="1"/>
        <v/>
      </c>
      <c r="N10" s="386" t="str">
        <f t="shared" si="2"/>
        <v/>
      </c>
      <c r="O10" s="386" t="str">
        <f t="shared" si="3"/>
        <v/>
      </c>
      <c r="P10" s="394">
        <f t="shared" si="4"/>
        <v>0</v>
      </c>
      <c r="Q10" t="str">
        <f t="shared" si="5"/>
        <v>not set</v>
      </c>
      <c r="S10" t="s">
        <v>892</v>
      </c>
      <c r="T10" s="345">
        <f>$T9/'Profit Plan'!$B$5</f>
        <v>0</v>
      </c>
    </row>
    <row r="11" spans="1:20" x14ac:dyDescent="0.3">
      <c r="A11" s="335" t="str">
        <f>IF(Deliverables!$A11="","",TRIM(Deliverables!$A11))</f>
        <v>N25185-0100D</v>
      </c>
      <c r="B11" s="335" t="str">
        <f>IF($A11="","",Deliverables!$C11)</f>
        <v>Final Design - Tin Can Berth 3</v>
      </c>
      <c r="C11" s="375"/>
      <c r="D11" s="400"/>
      <c r="E11" s="400"/>
      <c r="F11" s="375"/>
      <c r="G11" s="376"/>
      <c r="H11" s="375"/>
      <c r="I11" s="400"/>
      <c r="J11" s="400"/>
      <c r="K11" s="389">
        <f>IF($A11="","",IFERROR('Deliverable Actuals'!$I11,0))</f>
        <v>0</v>
      </c>
      <c r="L11" s="394">
        <f t="shared" si="0"/>
        <v>0</v>
      </c>
      <c r="M11" s="386" t="str">
        <f t="shared" si="1"/>
        <v/>
      </c>
      <c r="N11" s="386" t="str">
        <f t="shared" si="2"/>
        <v/>
      </c>
      <c r="O11" s="386" t="str">
        <f t="shared" si="3"/>
        <v/>
      </c>
      <c r="P11" s="394">
        <f t="shared" si="4"/>
        <v>0</v>
      </c>
      <c r="Q11" t="str">
        <f t="shared" si="5"/>
        <v>not set</v>
      </c>
      <c r="S11" t="s">
        <v>875</v>
      </c>
      <c r="T11" s="394">
        <f>SUM($E$5:$E$68)</f>
        <v>0</v>
      </c>
    </row>
    <row r="12" spans="1:20" x14ac:dyDescent="0.3">
      <c r="A12" s="335" t="str">
        <f>IF(Deliverables!$A12="","",TRIM(Deliverables!$A12))</f>
        <v>N25185-0100D</v>
      </c>
      <c r="B12" s="335" t="str">
        <f>IF($A12="","",Deliverables!$C12)</f>
        <v>Final Design - Tin Can Berth 4</v>
      </c>
      <c r="C12" s="375"/>
      <c r="D12" s="400"/>
      <c r="E12" s="400"/>
      <c r="F12" s="375"/>
      <c r="G12" s="376"/>
      <c r="H12" s="375"/>
      <c r="I12" s="400"/>
      <c r="J12" s="400"/>
      <c r="K12" s="389">
        <f>IF($A12="","",IFERROR('Deliverable Actuals'!$I12,0))</f>
        <v>0</v>
      </c>
      <c r="L12" s="394">
        <f t="shared" si="0"/>
        <v>0</v>
      </c>
      <c r="M12" s="386" t="str">
        <f t="shared" si="1"/>
        <v/>
      </c>
      <c r="N12" s="386" t="str">
        <f t="shared" si="2"/>
        <v/>
      </c>
      <c r="O12" s="386" t="str">
        <f t="shared" si="3"/>
        <v/>
      </c>
      <c r="P12" s="394">
        <f t="shared" si="4"/>
        <v>0</v>
      </c>
      <c r="Q12" t="str">
        <f t="shared" si="5"/>
        <v>not set</v>
      </c>
      <c r="S12" t="s">
        <v>880</v>
      </c>
      <c r="T12" s="394">
        <f>SUM($J$5:$J$68)</f>
        <v>0</v>
      </c>
    </row>
    <row r="13" spans="1:20" x14ac:dyDescent="0.3">
      <c r="A13" s="335" t="str">
        <f>IF(Deliverables!$A13="","",TRIM(Deliverables!$A13))</f>
        <v>N25185-0100D</v>
      </c>
      <c r="B13" s="335" t="str">
        <f>IF($A13="","",Deliverables!$C13)</f>
        <v>Final Design - Tin Can Berth 5</v>
      </c>
      <c r="C13" s="375"/>
      <c r="D13" s="400"/>
      <c r="E13" s="400"/>
      <c r="F13" s="375"/>
      <c r="G13" s="376"/>
      <c r="H13" s="375"/>
      <c r="I13" s="400"/>
      <c r="J13" s="400"/>
      <c r="K13" s="389">
        <f>IF($A13="","",IFERROR('Deliverable Actuals'!$I13,0))</f>
        <v>197.19444444444446</v>
      </c>
      <c r="L13" s="394">
        <f t="shared" si="0"/>
        <v>197.19444444444446</v>
      </c>
      <c r="M13" s="386">
        <f t="shared" si="1"/>
        <v>1</v>
      </c>
      <c r="N13" s="386">
        <f t="shared" si="2"/>
        <v>0</v>
      </c>
      <c r="O13" s="386">
        <f t="shared" si="3"/>
        <v>0</v>
      </c>
      <c r="P13" s="394">
        <f t="shared" si="4"/>
        <v>0</v>
      </c>
      <c r="Q13" t="str">
        <f t="shared" si="5"/>
        <v>not set</v>
      </c>
      <c r="S13" t="s">
        <v>882</v>
      </c>
      <c r="T13" s="394">
        <f>SUM($L$5:$L$68)</f>
        <v>11970</v>
      </c>
    </row>
    <row r="14" spans="1:20" x14ac:dyDescent="0.3">
      <c r="A14" s="335" t="str">
        <f>IF(Deliverables!$A14="","",TRIM(Deliverables!$A14))</f>
        <v>N25185-0100D</v>
      </c>
      <c r="B14" s="335" t="str">
        <f>IF($A14="","",Deliverables!$C14)</f>
        <v>Final Design - Tin Can Berth 6</v>
      </c>
      <c r="C14" s="375"/>
      <c r="D14" s="400"/>
      <c r="E14" s="400"/>
      <c r="F14" s="375"/>
      <c r="G14" s="376"/>
      <c r="H14" s="375"/>
      <c r="I14" s="400"/>
      <c r="J14" s="400"/>
      <c r="K14" s="389">
        <f>IF($A14="","",IFERROR('Deliverable Actuals'!$I14,0))</f>
        <v>197.19444444444446</v>
      </c>
      <c r="L14" s="394">
        <f t="shared" si="0"/>
        <v>197.19444444444446</v>
      </c>
      <c r="M14" s="386">
        <f t="shared" si="1"/>
        <v>1</v>
      </c>
      <c r="N14" s="386">
        <f t="shared" si="2"/>
        <v>0</v>
      </c>
      <c r="O14" s="386">
        <f t="shared" si="3"/>
        <v>0</v>
      </c>
      <c r="P14" s="394">
        <f t="shared" si="4"/>
        <v>0</v>
      </c>
      <c r="Q14" t="str">
        <f t="shared" si="5"/>
        <v>not set</v>
      </c>
      <c r="S14" t="s">
        <v>893</v>
      </c>
      <c r="T14" s="401">
        <f>IF($T13=0,"",SUM($K$5:$K$68)/$T13)</f>
        <v>1</v>
      </c>
    </row>
    <row r="15" spans="1:20" x14ac:dyDescent="0.3">
      <c r="A15" s="335" t="str">
        <f>IF(Deliverables!$A15="","",TRIM(Deliverables!$A15))</f>
        <v>N25185-0100D</v>
      </c>
      <c r="B15" s="335" t="str">
        <f>IF($A15="","",Deliverables!$C15)</f>
        <v>Final Design - Tin Can Berth 7</v>
      </c>
      <c r="C15" s="375"/>
      <c r="D15" s="400"/>
      <c r="E15" s="400"/>
      <c r="F15" s="375"/>
      <c r="G15" s="376"/>
      <c r="H15" s="375"/>
      <c r="I15" s="400"/>
      <c r="J15" s="400"/>
      <c r="K15" s="389">
        <f>IF($A15="","",IFERROR('Deliverable Actuals'!$I15,0))</f>
        <v>197.19444444444446</v>
      </c>
      <c r="L15" s="394">
        <f t="shared" si="0"/>
        <v>197.19444444444446</v>
      </c>
      <c r="M15" s="386">
        <f t="shared" si="1"/>
        <v>1</v>
      </c>
      <c r="N15" s="386">
        <f t="shared" si="2"/>
        <v>0</v>
      </c>
      <c r="O15" s="386">
        <f t="shared" si="3"/>
        <v>0</v>
      </c>
      <c r="P15" s="394">
        <f t="shared" si="4"/>
        <v>0</v>
      </c>
      <c r="Q15" t="str">
        <f t="shared" si="5"/>
        <v>not set</v>
      </c>
      <c r="S15" t="s">
        <v>894</v>
      </c>
      <c r="T15" s="401">
        <f>IF($T13=0,"",SUM($I$5:$I$68)/$T13)</f>
        <v>0</v>
      </c>
    </row>
    <row r="16" spans="1:20" x14ac:dyDescent="0.3">
      <c r="A16" s="335" t="str">
        <f>IF(Deliverables!$A16="","",TRIM(Deliverables!$A16))</f>
        <v>N25185-0100D</v>
      </c>
      <c r="B16" s="335" t="str">
        <f>IF($A16="","",Deliverables!$C16)</f>
        <v>Final Design - Tin Can Berth 8</v>
      </c>
      <c r="C16" s="375"/>
      <c r="D16" s="400"/>
      <c r="E16" s="400"/>
      <c r="F16" s="375"/>
      <c r="G16" s="376"/>
      <c r="H16" s="375"/>
      <c r="I16" s="400"/>
      <c r="J16" s="400"/>
      <c r="K16" s="389">
        <f>IF($A16="","",IFERROR('Deliverable Actuals'!$I16,0))</f>
        <v>197.19444444444446</v>
      </c>
      <c r="L16" s="394">
        <f t="shared" si="0"/>
        <v>197.19444444444446</v>
      </c>
      <c r="M16" s="386">
        <f t="shared" si="1"/>
        <v>1</v>
      </c>
      <c r="N16" s="386">
        <f t="shared" si="2"/>
        <v>0</v>
      </c>
      <c r="O16" s="386">
        <f t="shared" si="3"/>
        <v>0</v>
      </c>
      <c r="P16" s="394">
        <f t="shared" si="4"/>
        <v>0</v>
      </c>
      <c r="Q16" t="str">
        <f t="shared" si="5"/>
        <v>not set</v>
      </c>
      <c r="S16" t="s">
        <v>895</v>
      </c>
      <c r="T16" s="401">
        <f>IF($T13=0,"",SUM($J$5:$J$68)/$T13)</f>
        <v>0</v>
      </c>
    </row>
    <row r="17" spans="1:17" x14ac:dyDescent="0.3">
      <c r="A17" s="335" t="str">
        <f>IF(Deliverables!$A17="","",TRIM(Deliverables!$A17))</f>
        <v>N25185-0100D</v>
      </c>
      <c r="B17" s="335" t="str">
        <f>IF($A17="","",Deliverables!$C17)</f>
        <v>Final Design - Tin Can Berth 9</v>
      </c>
      <c r="C17" s="375"/>
      <c r="D17" s="400"/>
      <c r="E17" s="400"/>
      <c r="F17" s="375"/>
      <c r="G17" s="376"/>
      <c r="H17" s="375"/>
      <c r="I17" s="400"/>
      <c r="J17" s="400"/>
      <c r="K17" s="389">
        <f>IF($A17="","",IFERROR('Deliverable Actuals'!$I17,0))</f>
        <v>197.19444444444446</v>
      </c>
      <c r="L17" s="394">
        <f t="shared" si="0"/>
        <v>197.19444444444446</v>
      </c>
      <c r="M17" s="386">
        <f t="shared" si="1"/>
        <v>1</v>
      </c>
      <c r="N17" s="386">
        <f t="shared" si="2"/>
        <v>0</v>
      </c>
      <c r="O17" s="386">
        <f t="shared" si="3"/>
        <v>0</v>
      </c>
      <c r="P17" s="394">
        <f t="shared" si="4"/>
        <v>0</v>
      </c>
      <c r="Q17" t="str">
        <f t="shared" si="5"/>
        <v>not set</v>
      </c>
    </row>
    <row r="18" spans="1:17" x14ac:dyDescent="0.3">
      <c r="A18" s="335" t="str">
        <f>IF(Deliverables!$A18="","",TRIM(Deliverables!$A18))</f>
        <v>N25185-0100D</v>
      </c>
      <c r="B18" s="335" t="str">
        <f>IF($A18="","",Deliverables!$C18)</f>
        <v>Final Design - Tin Can Berth 10</v>
      </c>
      <c r="C18" s="375"/>
      <c r="D18" s="400"/>
      <c r="E18" s="400"/>
      <c r="F18" s="375"/>
      <c r="G18" s="376"/>
      <c r="H18" s="375"/>
      <c r="I18" s="400"/>
      <c r="J18" s="400"/>
      <c r="K18" s="389">
        <f>IF($A18="","",IFERROR('Deliverable Actuals'!$I18,0))</f>
        <v>197.19444444444446</v>
      </c>
      <c r="L18" s="394">
        <f t="shared" si="0"/>
        <v>197.19444444444446</v>
      </c>
      <c r="M18" s="386">
        <f t="shared" si="1"/>
        <v>1</v>
      </c>
      <c r="N18" s="386">
        <f t="shared" si="2"/>
        <v>0</v>
      </c>
      <c r="O18" s="386">
        <f t="shared" si="3"/>
        <v>0</v>
      </c>
      <c r="P18" s="394">
        <f t="shared" si="4"/>
        <v>0</v>
      </c>
      <c r="Q18" t="str">
        <f t="shared" si="5"/>
        <v>not set</v>
      </c>
    </row>
    <row r="19" spans="1:17" x14ac:dyDescent="0.3">
      <c r="A19" s="335" t="str">
        <f>IF(Deliverables!$A19="","",TRIM(Deliverables!$A19))</f>
        <v>N25185-0100D</v>
      </c>
      <c r="B19" s="335" t="str">
        <f>IF($A19="","",Deliverables!$C19)</f>
        <v>Final Design - Apapa Berth 4</v>
      </c>
      <c r="C19" s="375"/>
      <c r="D19" s="400"/>
      <c r="E19" s="400"/>
      <c r="F19" s="375"/>
      <c r="G19" s="376"/>
      <c r="H19" s="375"/>
      <c r="I19" s="400"/>
      <c r="J19" s="400"/>
      <c r="K19" s="389">
        <f>IF($A19="","",IFERROR('Deliverable Actuals'!$I19,0))</f>
        <v>0</v>
      </c>
      <c r="L19" s="394">
        <f t="shared" si="0"/>
        <v>0</v>
      </c>
      <c r="M19" s="386" t="str">
        <f t="shared" si="1"/>
        <v/>
      </c>
      <c r="N19" s="386" t="str">
        <f t="shared" si="2"/>
        <v/>
      </c>
      <c r="O19" s="386" t="str">
        <f t="shared" si="3"/>
        <v/>
      </c>
      <c r="P19" s="394">
        <f t="shared" si="4"/>
        <v>0</v>
      </c>
      <c r="Q19" t="str">
        <f t="shared" si="5"/>
        <v>not set</v>
      </c>
    </row>
    <row r="20" spans="1:17" x14ac:dyDescent="0.3">
      <c r="A20" s="335" t="str">
        <f>IF(Deliverables!$A20="","",TRIM(Deliverables!$A20))</f>
        <v>N25185-0100D</v>
      </c>
      <c r="B20" s="335" t="str">
        <f>IF($A20="","",Deliverables!$C20)</f>
        <v>Final Design - Apapa Berth 5</v>
      </c>
      <c r="C20" s="375"/>
      <c r="D20" s="400"/>
      <c r="E20" s="400"/>
      <c r="F20" s="375"/>
      <c r="G20" s="376"/>
      <c r="H20" s="375"/>
      <c r="I20" s="400"/>
      <c r="J20" s="400"/>
      <c r="K20" s="389">
        <f>IF($A20="","",IFERROR('Deliverable Actuals'!$I20,0))</f>
        <v>0</v>
      </c>
      <c r="L20" s="394">
        <f t="shared" si="0"/>
        <v>0</v>
      </c>
      <c r="M20" s="386" t="str">
        <f t="shared" si="1"/>
        <v/>
      </c>
      <c r="N20" s="386" t="str">
        <f t="shared" si="2"/>
        <v/>
      </c>
      <c r="O20" s="386" t="str">
        <f t="shared" si="3"/>
        <v/>
      </c>
      <c r="P20" s="394">
        <f t="shared" si="4"/>
        <v>0</v>
      </c>
      <c r="Q20" t="str">
        <f t="shared" si="5"/>
        <v>not set</v>
      </c>
    </row>
    <row r="21" spans="1:17" x14ac:dyDescent="0.3">
      <c r="A21" s="335" t="str">
        <f>IF(Deliverables!$A21="","",TRIM(Deliverables!$A21))</f>
        <v>N25185-0100D</v>
      </c>
      <c r="B21" s="335" t="str">
        <f>IF($A21="","",Deliverables!$C21)</f>
        <v>Final Design - Apapa Berth 6</v>
      </c>
      <c r="C21" s="375"/>
      <c r="D21" s="400"/>
      <c r="E21" s="400"/>
      <c r="F21" s="375"/>
      <c r="G21" s="376"/>
      <c r="H21" s="375"/>
      <c r="I21" s="400"/>
      <c r="J21" s="400"/>
      <c r="K21" s="389">
        <f>IF($A21="","",IFERROR('Deliverable Actuals'!$I21,0))</f>
        <v>0</v>
      </c>
      <c r="L21" s="394">
        <f t="shared" si="0"/>
        <v>0</v>
      </c>
      <c r="M21" s="386" t="str">
        <f t="shared" si="1"/>
        <v/>
      </c>
      <c r="N21" s="386" t="str">
        <f t="shared" si="2"/>
        <v/>
      </c>
      <c r="O21" s="386" t="str">
        <f t="shared" si="3"/>
        <v/>
      </c>
      <c r="P21" s="394">
        <f t="shared" si="4"/>
        <v>0</v>
      </c>
      <c r="Q21" t="str">
        <f t="shared" si="5"/>
        <v>not set</v>
      </c>
    </row>
    <row r="22" spans="1:17" x14ac:dyDescent="0.3">
      <c r="A22" s="335" t="str">
        <f>IF(Deliverables!$A22="","",TRIM(Deliverables!$A22))</f>
        <v>N25185-0100D</v>
      </c>
      <c r="B22" s="335" t="str">
        <f>IF($A22="","",Deliverables!$C22)</f>
        <v>Final Design - Apapa Berth 7</v>
      </c>
      <c r="C22" s="375"/>
      <c r="D22" s="400"/>
      <c r="E22" s="400"/>
      <c r="F22" s="375"/>
      <c r="G22" s="376"/>
      <c r="H22" s="375"/>
      <c r="I22" s="400"/>
      <c r="J22" s="400"/>
      <c r="K22" s="389">
        <f>IF($A22="","",IFERROR('Deliverable Actuals'!$I22,0))</f>
        <v>0</v>
      </c>
      <c r="L22" s="394">
        <f t="shared" si="0"/>
        <v>0</v>
      </c>
      <c r="M22" s="386" t="str">
        <f t="shared" si="1"/>
        <v/>
      </c>
      <c r="N22" s="386" t="str">
        <f t="shared" si="2"/>
        <v/>
      </c>
      <c r="O22" s="386" t="str">
        <f t="shared" si="3"/>
        <v/>
      </c>
      <c r="P22" s="394">
        <f t="shared" si="4"/>
        <v>0</v>
      </c>
      <c r="Q22" t="str">
        <f t="shared" si="5"/>
        <v>not set</v>
      </c>
    </row>
    <row r="23" spans="1:17" x14ac:dyDescent="0.3">
      <c r="A23" s="335" t="str">
        <f>IF(Deliverables!$A23="","",TRIM(Deliverables!$A23))</f>
        <v>N25185-0100D</v>
      </c>
      <c r="B23" s="335" t="str">
        <f>IF($A23="","",Deliverables!$C23)</f>
        <v>Final Design - Apapa Berth 8</v>
      </c>
      <c r="C23" s="375"/>
      <c r="D23" s="400"/>
      <c r="E23" s="400"/>
      <c r="F23" s="375"/>
      <c r="G23" s="376"/>
      <c r="H23" s="375"/>
      <c r="I23" s="400"/>
      <c r="J23" s="400"/>
      <c r="K23" s="389">
        <f>IF($A23="","",IFERROR('Deliverable Actuals'!$I23,0))</f>
        <v>0</v>
      </c>
      <c r="L23" s="394">
        <f t="shared" si="0"/>
        <v>0</v>
      </c>
      <c r="M23" s="386" t="str">
        <f t="shared" si="1"/>
        <v/>
      </c>
      <c r="N23" s="386" t="str">
        <f t="shared" si="2"/>
        <v/>
      </c>
      <c r="O23" s="386" t="str">
        <f t="shared" si="3"/>
        <v/>
      </c>
      <c r="P23" s="394">
        <f t="shared" si="4"/>
        <v>0</v>
      </c>
      <c r="Q23" t="str">
        <f t="shared" si="5"/>
        <v>not set</v>
      </c>
    </row>
    <row r="24" spans="1:17" x14ac:dyDescent="0.3">
      <c r="A24" s="335" t="str">
        <f>IF(Deliverables!$A24="","",TRIM(Deliverables!$A24))</f>
        <v>N25185-0100D</v>
      </c>
      <c r="B24" s="335" t="str">
        <f>IF($A24="","",Deliverables!$C24)</f>
        <v>Final Design - Apapa Berth 9</v>
      </c>
      <c r="C24" s="375"/>
      <c r="D24" s="400"/>
      <c r="E24" s="400"/>
      <c r="F24" s="375"/>
      <c r="G24" s="376"/>
      <c r="H24" s="375"/>
      <c r="I24" s="400"/>
      <c r="J24" s="400"/>
      <c r="K24" s="389">
        <f>IF($A24="","",IFERROR('Deliverable Actuals'!$I24,0))</f>
        <v>0</v>
      </c>
      <c r="L24" s="394">
        <f t="shared" si="0"/>
        <v>0</v>
      </c>
      <c r="M24" s="386" t="str">
        <f t="shared" si="1"/>
        <v/>
      </c>
      <c r="N24" s="386" t="str">
        <f t="shared" si="2"/>
        <v/>
      </c>
      <c r="O24" s="386" t="str">
        <f t="shared" si="3"/>
        <v/>
      </c>
      <c r="P24" s="394">
        <f t="shared" si="4"/>
        <v>0</v>
      </c>
      <c r="Q24" t="str">
        <f t="shared" si="5"/>
        <v>not set</v>
      </c>
    </row>
    <row r="25" spans="1:17" x14ac:dyDescent="0.3">
      <c r="A25" s="335" t="str">
        <f>IF(Deliverables!$A25="","",TRIM(Deliverables!$A25))</f>
        <v>N25185-0100D</v>
      </c>
      <c r="B25" s="335" t="str">
        <f>IF($A25="","",Deliverables!$C25)</f>
        <v>Final Design - Apapa Berth 10</v>
      </c>
      <c r="C25" s="375"/>
      <c r="D25" s="400"/>
      <c r="E25" s="400"/>
      <c r="F25" s="375"/>
      <c r="G25" s="376"/>
      <c r="H25" s="375"/>
      <c r="I25" s="400"/>
      <c r="J25" s="400"/>
      <c r="K25" s="389">
        <f>IF($A25="","",IFERROR('Deliverable Actuals'!$I25,0))</f>
        <v>0</v>
      </c>
      <c r="L25" s="394">
        <f t="shared" si="0"/>
        <v>0</v>
      </c>
      <c r="M25" s="386" t="str">
        <f t="shared" si="1"/>
        <v/>
      </c>
      <c r="N25" s="386" t="str">
        <f t="shared" si="2"/>
        <v/>
      </c>
      <c r="O25" s="386" t="str">
        <f t="shared" si="3"/>
        <v/>
      </c>
      <c r="P25" s="394">
        <f t="shared" si="4"/>
        <v>0</v>
      </c>
      <c r="Q25" t="str">
        <f t="shared" si="5"/>
        <v>not set</v>
      </c>
    </row>
    <row r="26" spans="1:17" x14ac:dyDescent="0.3">
      <c r="A26" s="335" t="str">
        <f>IF(Deliverables!$A26="","",TRIM(Deliverables!$A26))</f>
        <v>N25185-0100D</v>
      </c>
      <c r="B26" s="335" t="str">
        <f>IF($A26="","",Deliverables!$C26)</f>
        <v>Final Design - Apapa Berth 11</v>
      </c>
      <c r="C26" s="375"/>
      <c r="D26" s="400"/>
      <c r="E26" s="400"/>
      <c r="F26" s="375"/>
      <c r="G26" s="376"/>
      <c r="H26" s="375"/>
      <c r="I26" s="400"/>
      <c r="J26" s="400"/>
      <c r="K26" s="389">
        <f>IF($A26="","",IFERROR('Deliverable Actuals'!$I26,0))</f>
        <v>0</v>
      </c>
      <c r="L26" s="394">
        <f t="shared" si="0"/>
        <v>0</v>
      </c>
      <c r="M26" s="386" t="str">
        <f t="shared" si="1"/>
        <v/>
      </c>
      <c r="N26" s="386" t="str">
        <f t="shared" si="2"/>
        <v/>
      </c>
      <c r="O26" s="386" t="str">
        <f t="shared" si="3"/>
        <v/>
      </c>
      <c r="P26" s="394">
        <f t="shared" si="4"/>
        <v>0</v>
      </c>
      <c r="Q26" t="str">
        <f t="shared" si="5"/>
        <v>not set</v>
      </c>
    </row>
    <row r="27" spans="1:17" x14ac:dyDescent="0.3">
      <c r="A27" s="335" t="str">
        <f>IF(Deliverables!$A27="","",TRIM(Deliverables!$A27))</f>
        <v>N25185-0100D</v>
      </c>
      <c r="B27" s="335" t="str">
        <f>IF($A27="","",Deliverables!$C27)</f>
        <v>Final Design - Apapa Berth 12</v>
      </c>
      <c r="C27" s="375"/>
      <c r="D27" s="400"/>
      <c r="E27" s="400"/>
      <c r="F27" s="375"/>
      <c r="G27" s="376"/>
      <c r="H27" s="375"/>
      <c r="I27" s="400"/>
      <c r="J27" s="400"/>
      <c r="K27" s="389">
        <f>IF($A27="","",IFERROR('Deliverable Actuals'!$I27,0))</f>
        <v>197.19444444444446</v>
      </c>
      <c r="L27" s="394">
        <f t="shared" si="0"/>
        <v>197.19444444444446</v>
      </c>
      <c r="M27" s="386">
        <f t="shared" si="1"/>
        <v>1</v>
      </c>
      <c r="N27" s="386">
        <f t="shared" si="2"/>
        <v>0</v>
      </c>
      <c r="O27" s="386">
        <f t="shared" si="3"/>
        <v>0</v>
      </c>
      <c r="P27" s="394">
        <f t="shared" si="4"/>
        <v>0</v>
      </c>
      <c r="Q27" t="str">
        <f t="shared" si="5"/>
        <v>not set</v>
      </c>
    </row>
    <row r="28" spans="1:17" x14ac:dyDescent="0.3">
      <c r="A28" s="335" t="str">
        <f>IF(Deliverables!$A28="","",TRIM(Deliverables!$A28))</f>
        <v>N25185-0100D</v>
      </c>
      <c r="B28" s="335" t="str">
        <f>IF($A28="","",Deliverables!$C28)</f>
        <v>Final Design - Apapa Berth 13</v>
      </c>
      <c r="C28" s="375"/>
      <c r="D28" s="400"/>
      <c r="E28" s="400"/>
      <c r="F28" s="375"/>
      <c r="G28" s="376"/>
      <c r="H28" s="375"/>
      <c r="I28" s="400"/>
      <c r="J28" s="400"/>
      <c r="K28" s="389">
        <f>IF($A28="","",IFERROR('Deliverable Actuals'!$I28,0))</f>
        <v>197.19444444444446</v>
      </c>
      <c r="L28" s="394">
        <f t="shared" si="0"/>
        <v>197.19444444444446</v>
      </c>
      <c r="M28" s="386">
        <f t="shared" si="1"/>
        <v>1</v>
      </c>
      <c r="N28" s="386">
        <f t="shared" si="2"/>
        <v>0</v>
      </c>
      <c r="O28" s="386">
        <f t="shared" si="3"/>
        <v>0</v>
      </c>
      <c r="P28" s="394">
        <f t="shared" si="4"/>
        <v>0</v>
      </c>
      <c r="Q28" t="str">
        <f t="shared" si="5"/>
        <v>not set</v>
      </c>
    </row>
    <row r="29" spans="1:17" x14ac:dyDescent="0.3">
      <c r="A29" s="335" t="str">
        <f>IF(Deliverables!$A29="","",TRIM(Deliverables!$A29))</f>
        <v>N25185-0100D</v>
      </c>
      <c r="B29" s="335" t="str">
        <f>IF($A29="","",Deliverables!$C29)</f>
        <v>Final Design - Apapa Berth 14</v>
      </c>
      <c r="C29" s="375"/>
      <c r="D29" s="400"/>
      <c r="E29" s="400"/>
      <c r="F29" s="375"/>
      <c r="G29" s="376"/>
      <c r="H29" s="375"/>
      <c r="I29" s="400"/>
      <c r="J29" s="400"/>
      <c r="K29" s="389">
        <f>IF($A29="","",IFERROR('Deliverable Actuals'!$I29,0))</f>
        <v>197.19444444444446</v>
      </c>
      <c r="L29" s="394">
        <f t="shared" si="0"/>
        <v>197.19444444444446</v>
      </c>
      <c r="M29" s="386">
        <f t="shared" si="1"/>
        <v>1</v>
      </c>
      <c r="N29" s="386">
        <f t="shared" si="2"/>
        <v>0</v>
      </c>
      <c r="O29" s="386">
        <f t="shared" si="3"/>
        <v>0</v>
      </c>
      <c r="P29" s="394">
        <f t="shared" si="4"/>
        <v>0</v>
      </c>
      <c r="Q29" t="str">
        <f t="shared" si="5"/>
        <v>not set</v>
      </c>
    </row>
    <row r="30" spans="1:17" x14ac:dyDescent="0.3">
      <c r="A30" s="335" t="str">
        <f>IF(Deliverables!$A30="","",TRIM(Deliverables!$A30))</f>
        <v>AN22137-0100D</v>
      </c>
      <c r="B30" s="335" t="str">
        <f>IF($A30="","",Deliverables!$C30)</f>
        <v>Schematic Design</v>
      </c>
      <c r="C30" s="375"/>
      <c r="D30" s="400"/>
      <c r="E30" s="400"/>
      <c r="F30" s="375"/>
      <c r="G30" s="376"/>
      <c r="H30" s="375"/>
      <c r="I30" s="400"/>
      <c r="J30" s="400"/>
      <c r="K30" s="389">
        <f>IF($A30="","",IFERROR('Deliverable Actuals'!$I30,0))</f>
        <v>0</v>
      </c>
      <c r="L30" s="394">
        <f t="shared" si="0"/>
        <v>0</v>
      </c>
      <c r="M30" s="386" t="str">
        <f t="shared" si="1"/>
        <v/>
      </c>
      <c r="N30" s="386" t="str">
        <f t="shared" si="2"/>
        <v/>
      </c>
      <c r="O30" s="386" t="str">
        <f t="shared" si="3"/>
        <v/>
      </c>
      <c r="P30" s="394">
        <f t="shared" si="4"/>
        <v>0</v>
      </c>
      <c r="Q30" t="str">
        <f t="shared" si="5"/>
        <v>not set</v>
      </c>
    </row>
    <row r="31" spans="1:17" x14ac:dyDescent="0.3">
      <c r="A31" s="335" t="str">
        <f>IF(Deliverables!$A31="","",TRIM(Deliverables!$A31))</f>
        <v>D26058-0100D</v>
      </c>
      <c r="B31" s="335" t="str">
        <f>IF($A31="","",Deliverables!$C31)</f>
        <v>Concept Design</v>
      </c>
      <c r="C31" s="375"/>
      <c r="D31" s="400"/>
      <c r="E31" s="400"/>
      <c r="F31" s="375"/>
      <c r="G31" s="376"/>
      <c r="H31" s="375"/>
      <c r="I31" s="400"/>
      <c r="J31" s="400"/>
      <c r="K31" s="389">
        <f>IF($A31="","",IFERROR('Deliverable Actuals'!$I31,0))</f>
        <v>0</v>
      </c>
      <c r="L31" s="394">
        <f t="shared" si="0"/>
        <v>0</v>
      </c>
      <c r="M31" s="386" t="str">
        <f t="shared" si="1"/>
        <v/>
      </c>
      <c r="N31" s="386" t="str">
        <f t="shared" si="2"/>
        <v/>
      </c>
      <c r="O31" s="386" t="str">
        <f t="shared" si="3"/>
        <v/>
      </c>
      <c r="P31" s="394">
        <f t="shared" si="4"/>
        <v>0</v>
      </c>
      <c r="Q31" t="str">
        <f t="shared" si="5"/>
        <v>not set</v>
      </c>
    </row>
    <row r="32" spans="1:17" x14ac:dyDescent="0.3">
      <c r="A32" s="335" t="str">
        <f>IF(Deliverables!$A32="","",TRIM(Deliverables!$A32))</f>
        <v>D26058-0100D</v>
      </c>
      <c r="B32" s="335" t="str">
        <f>IF($A32="","",Deliverables!$C32)</f>
        <v>Schematic Design</v>
      </c>
      <c r="C32" s="375"/>
      <c r="D32" s="400"/>
      <c r="E32" s="400"/>
      <c r="F32" s="375"/>
      <c r="G32" s="376"/>
      <c r="H32" s="375"/>
      <c r="I32" s="400"/>
      <c r="J32" s="400"/>
      <c r="K32" s="389">
        <f>IF($A32="","",IFERROR('Deliverable Actuals'!$I32,0))</f>
        <v>0</v>
      </c>
      <c r="L32" s="394">
        <f t="shared" si="0"/>
        <v>0</v>
      </c>
      <c r="M32" s="386" t="str">
        <f t="shared" si="1"/>
        <v/>
      </c>
      <c r="N32" s="386" t="str">
        <f t="shared" si="2"/>
        <v/>
      </c>
      <c r="O32" s="386" t="str">
        <f t="shared" si="3"/>
        <v/>
      </c>
      <c r="P32" s="394">
        <f t="shared" si="4"/>
        <v>0</v>
      </c>
      <c r="Q32" t="str">
        <f t="shared" si="5"/>
        <v>not set</v>
      </c>
    </row>
    <row r="33" spans="1:17" x14ac:dyDescent="0.3">
      <c r="A33" s="335" t="str">
        <f>IF(Deliverables!$A33="","",TRIM(Deliverables!$A33))</f>
        <v>D26058-0100D</v>
      </c>
      <c r="B33" s="335" t="str">
        <f>IF($A33="","",Deliverables!$C33)</f>
        <v>Final Design</v>
      </c>
      <c r="C33" s="375"/>
      <c r="D33" s="400"/>
      <c r="E33" s="400"/>
      <c r="F33" s="375"/>
      <c r="G33" s="376"/>
      <c r="H33" s="375"/>
      <c r="I33" s="400"/>
      <c r="J33" s="400"/>
      <c r="K33" s="389">
        <f>IF($A33="","",IFERROR('Deliverable Actuals'!$I33,0))</f>
        <v>0</v>
      </c>
      <c r="L33" s="394">
        <f t="shared" si="0"/>
        <v>0</v>
      </c>
      <c r="M33" s="386" t="str">
        <f t="shared" si="1"/>
        <v/>
      </c>
      <c r="N33" s="386" t="str">
        <f t="shared" si="2"/>
        <v/>
      </c>
      <c r="O33" s="386" t="str">
        <f t="shared" si="3"/>
        <v/>
      </c>
      <c r="P33" s="394">
        <f t="shared" si="4"/>
        <v>0</v>
      </c>
      <c r="Q33" t="str">
        <f t="shared" si="5"/>
        <v>not set</v>
      </c>
    </row>
    <row r="34" spans="1:17" x14ac:dyDescent="0.3">
      <c r="A34" s="335" t="str">
        <f>IF(Deliverables!$A34="","",TRIM(Deliverables!$A34))</f>
        <v>AD24217-0100D</v>
      </c>
      <c r="B34" s="335" t="str">
        <f>IF($A34="","",Deliverables!$C34)</f>
        <v>Concept Design</v>
      </c>
      <c r="C34" s="375"/>
      <c r="D34" s="400"/>
      <c r="E34" s="400"/>
      <c r="F34" s="375"/>
      <c r="G34" s="376"/>
      <c r="H34" s="375"/>
      <c r="I34" s="400"/>
      <c r="J34" s="400"/>
      <c r="K34" s="389">
        <f>IF($A34="","",IFERROR('Deliverable Actuals'!$I34,0))</f>
        <v>363.75</v>
      </c>
      <c r="L34" s="394">
        <f t="shared" si="0"/>
        <v>363.75</v>
      </c>
      <c r="M34" s="386">
        <f t="shared" si="1"/>
        <v>1</v>
      </c>
      <c r="N34" s="386">
        <f t="shared" si="2"/>
        <v>0</v>
      </c>
      <c r="O34" s="386">
        <f t="shared" si="3"/>
        <v>0</v>
      </c>
      <c r="P34" s="394">
        <f t="shared" si="4"/>
        <v>0</v>
      </c>
      <c r="Q34" t="str">
        <f t="shared" si="5"/>
        <v>not set</v>
      </c>
    </row>
    <row r="35" spans="1:17" x14ac:dyDescent="0.3">
      <c r="A35" s="335" t="str">
        <f>IF(Deliverables!$A35="","",TRIM(Deliverables!$A35))</f>
        <v>E24181-0100D</v>
      </c>
      <c r="B35" s="335" t="str">
        <f>IF($A35="","",Deliverables!$C35)</f>
        <v>Report</v>
      </c>
      <c r="C35" s="375"/>
      <c r="D35" s="400"/>
      <c r="E35" s="400"/>
      <c r="F35" s="375"/>
      <c r="G35" s="376"/>
      <c r="H35" s="375"/>
      <c r="I35" s="400"/>
      <c r="J35" s="400"/>
      <c r="K35" s="389">
        <f>IF($A35="","",IFERROR('Deliverable Actuals'!$I35,0))</f>
        <v>0</v>
      </c>
      <c r="L35" s="394">
        <f t="shared" si="0"/>
        <v>0</v>
      </c>
      <c r="M35" s="386" t="str">
        <f t="shared" si="1"/>
        <v/>
      </c>
      <c r="N35" s="386" t="str">
        <f t="shared" si="2"/>
        <v/>
      </c>
      <c r="O35" s="386" t="str">
        <f t="shared" si="3"/>
        <v/>
      </c>
      <c r="P35" s="394">
        <f t="shared" si="4"/>
        <v>0</v>
      </c>
      <c r="Q35" t="str">
        <f t="shared" si="5"/>
        <v>not set</v>
      </c>
    </row>
    <row r="36" spans="1:17" x14ac:dyDescent="0.3">
      <c r="A36" s="335" t="str">
        <f>IF(Deliverables!$A36="","",TRIM(Deliverables!$A36))</f>
        <v>J23152-0100D</v>
      </c>
      <c r="B36" s="335" t="str">
        <f>IF($A36="","",Deliverables!$C36)</f>
        <v>Specifications</v>
      </c>
      <c r="C36" s="375"/>
      <c r="D36" s="400"/>
      <c r="E36" s="400"/>
      <c r="F36" s="375"/>
      <c r="G36" s="376"/>
      <c r="H36" s="375"/>
      <c r="I36" s="400"/>
      <c r="J36" s="400"/>
      <c r="K36" s="389">
        <f>IF($A36="","",IFERROR('Deliverable Actuals'!$I36,0))</f>
        <v>17.5</v>
      </c>
      <c r="L36" s="394">
        <f t="shared" si="0"/>
        <v>17.5</v>
      </c>
      <c r="M36" s="386">
        <f t="shared" si="1"/>
        <v>1</v>
      </c>
      <c r="N36" s="386">
        <f t="shared" si="2"/>
        <v>0</v>
      </c>
      <c r="O36" s="386">
        <f t="shared" si="3"/>
        <v>0</v>
      </c>
      <c r="P36" s="394">
        <f t="shared" si="4"/>
        <v>0</v>
      </c>
      <c r="Q36" t="str">
        <f t="shared" si="5"/>
        <v>not set</v>
      </c>
    </row>
    <row r="37" spans="1:17" x14ac:dyDescent="0.3">
      <c r="A37" s="335" t="str">
        <f>IF(Deliverables!$A37="","",TRIM(Deliverables!$A37))</f>
        <v>Q25008-0100D</v>
      </c>
      <c r="B37" s="335" t="str">
        <f>IF($A37="","",Deliverables!$C37)</f>
        <v>Tender Design</v>
      </c>
      <c r="C37" s="375"/>
      <c r="D37" s="400"/>
      <c r="E37" s="400"/>
      <c r="F37" s="375"/>
      <c r="G37" s="376"/>
      <c r="H37" s="375"/>
      <c r="I37" s="400"/>
      <c r="J37" s="400"/>
      <c r="K37" s="389">
        <f>IF($A37="","",IFERROR('Deliverable Actuals'!$I37,0))</f>
        <v>357</v>
      </c>
      <c r="L37" s="394">
        <f t="shared" si="0"/>
        <v>357</v>
      </c>
      <c r="M37" s="386">
        <f t="shared" si="1"/>
        <v>1</v>
      </c>
      <c r="N37" s="386">
        <f t="shared" si="2"/>
        <v>0</v>
      </c>
      <c r="O37" s="386">
        <f t="shared" si="3"/>
        <v>0</v>
      </c>
      <c r="P37" s="394">
        <f t="shared" si="4"/>
        <v>0</v>
      </c>
      <c r="Q37" t="str">
        <f t="shared" si="5"/>
        <v>not set</v>
      </c>
    </row>
    <row r="38" spans="1:17" x14ac:dyDescent="0.3">
      <c r="A38" s="335" t="str">
        <f>IF(Deliverables!$A38="","",TRIM(Deliverables!$A38))</f>
        <v>S24014-0101D</v>
      </c>
      <c r="B38" s="335" t="str">
        <f>IF($A38="","",Deliverables!$C38)</f>
        <v>Report</v>
      </c>
      <c r="C38" s="375"/>
      <c r="D38" s="400"/>
      <c r="E38" s="400"/>
      <c r="F38" s="375"/>
      <c r="G38" s="376"/>
      <c r="H38" s="375"/>
      <c r="I38" s="400"/>
      <c r="J38" s="400"/>
      <c r="K38" s="389">
        <f>IF($A38="","",IFERROR('Deliverable Actuals'!$I38,0))</f>
        <v>451.75</v>
      </c>
      <c r="L38" s="394">
        <f t="shared" si="0"/>
        <v>451.75</v>
      </c>
      <c r="M38" s="386">
        <f t="shared" si="1"/>
        <v>1</v>
      </c>
      <c r="N38" s="386">
        <f t="shared" si="2"/>
        <v>0</v>
      </c>
      <c r="O38" s="386">
        <f t="shared" si="3"/>
        <v>0</v>
      </c>
      <c r="P38" s="394">
        <f t="shared" si="4"/>
        <v>0</v>
      </c>
      <c r="Q38" t="str">
        <f t="shared" si="5"/>
        <v>not set</v>
      </c>
    </row>
    <row r="39" spans="1:17" x14ac:dyDescent="0.3">
      <c r="A39" s="335" t="str">
        <f>IF(Deliverables!$A39="","",TRIM(Deliverables!$A39))</f>
        <v>S24014-0102D</v>
      </c>
      <c r="B39" s="335" t="str">
        <f>IF($A39="","",Deliverables!$C39)</f>
        <v>Concept Design</v>
      </c>
      <c r="C39" s="375"/>
      <c r="D39" s="400"/>
      <c r="E39" s="400"/>
      <c r="F39" s="375"/>
      <c r="G39" s="376"/>
      <c r="H39" s="375"/>
      <c r="I39" s="400"/>
      <c r="J39" s="400"/>
      <c r="K39" s="389">
        <f>IF($A39="","",IFERROR('Deliverable Actuals'!$I39,0))</f>
        <v>491.25</v>
      </c>
      <c r="L39" s="394">
        <f t="shared" si="0"/>
        <v>491.25</v>
      </c>
      <c r="M39" s="386">
        <f t="shared" si="1"/>
        <v>1</v>
      </c>
      <c r="N39" s="386">
        <f t="shared" si="2"/>
        <v>0</v>
      </c>
      <c r="O39" s="386">
        <f t="shared" si="3"/>
        <v>0</v>
      </c>
      <c r="P39" s="394">
        <f t="shared" si="4"/>
        <v>0</v>
      </c>
      <c r="Q39" t="str">
        <f t="shared" si="5"/>
        <v>not set</v>
      </c>
    </row>
    <row r="40" spans="1:17" x14ac:dyDescent="0.3">
      <c r="A40" s="335" t="str">
        <f>IF(Deliverables!$A40="","",TRIM(Deliverables!$A40))</f>
        <v>S24014-0103D</v>
      </c>
      <c r="B40" s="335" t="str">
        <f>IF($A40="","",Deliverables!$C40)</f>
        <v>Concept Design</v>
      </c>
      <c r="C40" s="375"/>
      <c r="D40" s="400"/>
      <c r="E40" s="400"/>
      <c r="F40" s="375"/>
      <c r="G40" s="376"/>
      <c r="H40" s="375"/>
      <c r="I40" s="400"/>
      <c r="J40" s="400"/>
      <c r="K40" s="389">
        <f>IF($A40="","",IFERROR('Deliverable Actuals'!$I40,0))</f>
        <v>804.75</v>
      </c>
      <c r="L40" s="394">
        <f t="shared" si="0"/>
        <v>804.75</v>
      </c>
      <c r="M40" s="386">
        <f t="shared" si="1"/>
        <v>1</v>
      </c>
      <c r="N40" s="386">
        <f t="shared" si="2"/>
        <v>0</v>
      </c>
      <c r="O40" s="386">
        <f t="shared" si="3"/>
        <v>0</v>
      </c>
      <c r="P40" s="394">
        <f t="shared" si="4"/>
        <v>0</v>
      </c>
      <c r="Q40" t="str">
        <f t="shared" si="5"/>
        <v>not set</v>
      </c>
    </row>
    <row r="41" spans="1:17" x14ac:dyDescent="0.3">
      <c r="A41" s="335" t="str">
        <f>IF(Deliverables!$A41="","",TRIM(Deliverables!$A41))</f>
        <v>S24014-0104D</v>
      </c>
      <c r="B41" s="335" t="str">
        <f>IF($A41="","",Deliverables!$C41)</f>
        <v>Report</v>
      </c>
      <c r="C41" s="375"/>
      <c r="D41" s="400"/>
      <c r="E41" s="400"/>
      <c r="F41" s="375"/>
      <c r="G41" s="376"/>
      <c r="H41" s="375"/>
      <c r="I41" s="400"/>
      <c r="J41" s="400"/>
      <c r="K41" s="389">
        <f>IF($A41="","",IFERROR('Deliverable Actuals'!$I41,0))</f>
        <v>225</v>
      </c>
      <c r="L41" s="394">
        <f t="shared" si="0"/>
        <v>225</v>
      </c>
      <c r="M41" s="386">
        <f t="shared" si="1"/>
        <v>1</v>
      </c>
      <c r="N41" s="386">
        <f t="shared" si="2"/>
        <v>0</v>
      </c>
      <c r="O41" s="386">
        <f t="shared" si="3"/>
        <v>0</v>
      </c>
      <c r="P41" s="394">
        <f t="shared" si="4"/>
        <v>0</v>
      </c>
      <c r="Q41" t="str">
        <f t="shared" si="5"/>
        <v>not set</v>
      </c>
    </row>
    <row r="42" spans="1:17" x14ac:dyDescent="0.3">
      <c r="A42" s="335" t="str">
        <f>IF(Deliverables!$A42="","",TRIM(Deliverables!$A42))</f>
        <v>S22058-0700D</v>
      </c>
      <c r="B42" s="335" t="str">
        <f>IF($A42="","",Deliverables!$C42)</f>
        <v>Concept Design</v>
      </c>
      <c r="C42" s="375"/>
      <c r="D42" s="400"/>
      <c r="E42" s="400"/>
      <c r="F42" s="375"/>
      <c r="G42" s="376"/>
      <c r="H42" s="375"/>
      <c r="I42" s="400"/>
      <c r="J42" s="400"/>
      <c r="K42" s="389">
        <f>IF($A42="","",IFERROR('Deliverable Actuals'!$I42,0))</f>
        <v>946.5</v>
      </c>
      <c r="L42" s="394">
        <f t="shared" si="0"/>
        <v>946.5</v>
      </c>
      <c r="M42" s="386">
        <f t="shared" si="1"/>
        <v>1</v>
      </c>
      <c r="N42" s="386">
        <f t="shared" si="2"/>
        <v>0</v>
      </c>
      <c r="O42" s="386">
        <f t="shared" si="3"/>
        <v>0</v>
      </c>
      <c r="P42" s="394">
        <f t="shared" si="4"/>
        <v>0</v>
      </c>
      <c r="Q42" t="str">
        <f t="shared" si="5"/>
        <v>not set</v>
      </c>
    </row>
    <row r="43" spans="1:17" x14ac:dyDescent="0.3">
      <c r="A43" s="335" t="str">
        <f>IF(Deliverables!$A43="","",TRIM(Deliverables!$A43))</f>
        <v>AN24185-0100R</v>
      </c>
      <c r="B43" s="335" t="str">
        <f>IF($A43="","",Deliverables!$C43)</f>
        <v>Design Review</v>
      </c>
      <c r="C43" s="375"/>
      <c r="D43" s="400"/>
      <c r="E43" s="400"/>
      <c r="F43" s="375"/>
      <c r="G43" s="376"/>
      <c r="H43" s="375"/>
      <c r="I43" s="400"/>
      <c r="J43" s="400"/>
      <c r="K43" s="389">
        <f>IF($A43="","",IFERROR('Deliverable Actuals'!$I43,0))</f>
        <v>547.75</v>
      </c>
      <c r="L43" s="394">
        <f t="shared" si="0"/>
        <v>547.75</v>
      </c>
      <c r="M43" s="386">
        <f t="shared" si="1"/>
        <v>1</v>
      </c>
      <c r="N43" s="386">
        <f t="shared" si="2"/>
        <v>0</v>
      </c>
      <c r="O43" s="386">
        <f t="shared" si="3"/>
        <v>0</v>
      </c>
      <c r="P43" s="394">
        <f t="shared" si="4"/>
        <v>0</v>
      </c>
      <c r="Q43" t="str">
        <f t="shared" si="5"/>
        <v>not set</v>
      </c>
    </row>
    <row r="44" spans="1:17" x14ac:dyDescent="0.3">
      <c r="A44" s="335" t="str">
        <f>IF(Deliverables!$A44="","",TRIM(Deliverables!$A44))</f>
        <v>AN23232-0100D</v>
      </c>
      <c r="B44" s="335" t="str">
        <f>IF($A44="","",Deliverables!$C44)</f>
        <v>Concept Design</v>
      </c>
      <c r="C44" s="375"/>
      <c r="D44" s="400"/>
      <c r="E44" s="400"/>
      <c r="F44" s="375"/>
      <c r="G44" s="376"/>
      <c r="H44" s="375"/>
      <c r="I44" s="400"/>
      <c r="J44" s="400"/>
      <c r="K44" s="389">
        <f>IF($A44="","",IFERROR('Deliverable Actuals'!$I44,0))</f>
        <v>403.75</v>
      </c>
      <c r="L44" s="394">
        <f t="shared" si="0"/>
        <v>403.75</v>
      </c>
      <c r="M44" s="386">
        <f t="shared" si="1"/>
        <v>1</v>
      </c>
      <c r="N44" s="386">
        <f t="shared" si="2"/>
        <v>0</v>
      </c>
      <c r="O44" s="386">
        <f t="shared" si="3"/>
        <v>0</v>
      </c>
      <c r="P44" s="394">
        <f t="shared" si="4"/>
        <v>0</v>
      </c>
      <c r="Q44" t="str">
        <f t="shared" si="5"/>
        <v>not set</v>
      </c>
    </row>
    <row r="45" spans="1:17" x14ac:dyDescent="0.3">
      <c r="A45" s="335" t="str">
        <f>IF(Deliverables!$A45="","",TRIM(Deliverables!$A45))</f>
        <v>S22058-0400D</v>
      </c>
      <c r="B45" s="335" t="str">
        <f>IF($A45="","",Deliverables!$C45)</f>
        <v>Concept Design</v>
      </c>
      <c r="C45" s="375"/>
      <c r="D45" s="400"/>
      <c r="E45" s="400"/>
      <c r="F45" s="375"/>
      <c r="G45" s="376"/>
      <c r="H45" s="375"/>
      <c r="I45" s="400"/>
      <c r="J45" s="400"/>
      <c r="K45" s="389">
        <f>IF($A45="","",IFERROR('Deliverable Actuals'!$I45,0))</f>
        <v>7.5</v>
      </c>
      <c r="L45" s="394">
        <f t="shared" si="0"/>
        <v>7.5</v>
      </c>
      <c r="M45" s="386">
        <f t="shared" si="1"/>
        <v>1</v>
      </c>
      <c r="N45" s="386">
        <f t="shared" si="2"/>
        <v>0</v>
      </c>
      <c r="O45" s="386">
        <f t="shared" si="3"/>
        <v>0</v>
      </c>
      <c r="P45" s="394">
        <f t="shared" si="4"/>
        <v>0</v>
      </c>
      <c r="Q45" t="str">
        <f t="shared" si="5"/>
        <v>not set</v>
      </c>
    </row>
    <row r="46" spans="1:17" x14ac:dyDescent="0.3">
      <c r="A46" s="335" t="str">
        <f>IF(Deliverables!$A46="","",TRIM(Deliverables!$A46))</f>
        <v>Proposals 25</v>
      </c>
      <c r="B46" s="335" t="str">
        <f>IF($A46="","",Deliverables!$C46)</f>
        <v>Proposals</v>
      </c>
      <c r="C46" s="375"/>
      <c r="D46" s="400"/>
      <c r="E46" s="400"/>
      <c r="F46" s="375"/>
      <c r="G46" s="376"/>
      <c r="H46" s="375"/>
      <c r="I46" s="400"/>
      <c r="J46" s="400"/>
      <c r="K46" s="389">
        <f>IF($A46="","",IFERROR('Deliverable Actuals'!$I46,0))</f>
        <v>385.5</v>
      </c>
      <c r="L46" s="394">
        <f t="shared" si="0"/>
        <v>385.5</v>
      </c>
      <c r="M46" s="386">
        <f t="shared" si="1"/>
        <v>1</v>
      </c>
      <c r="N46" s="386">
        <f t="shared" si="2"/>
        <v>0</v>
      </c>
      <c r="O46" s="386">
        <f t="shared" si="3"/>
        <v>0</v>
      </c>
      <c r="P46" s="394">
        <f t="shared" si="4"/>
        <v>0</v>
      </c>
      <c r="Q46" t="str">
        <f t="shared" si="5"/>
        <v>not set</v>
      </c>
    </row>
    <row r="47" spans="1:17" x14ac:dyDescent="0.3">
      <c r="A47" s="335" t="str">
        <f>IF(Deliverables!$A47="","",TRIM(Deliverables!$A47))</f>
        <v>Chargable Proposals 25</v>
      </c>
      <c r="B47" s="335" t="str">
        <f>IF($A47="","",Deliverables!$C47)</f>
        <v>Proposals</v>
      </c>
      <c r="C47" s="375"/>
      <c r="D47" s="400"/>
      <c r="E47" s="400"/>
      <c r="F47" s="375"/>
      <c r="G47" s="376"/>
      <c r="H47" s="375"/>
      <c r="I47" s="400"/>
      <c r="J47" s="400"/>
      <c r="K47" s="389">
        <f>IF($A47="","",IFERROR('Deliverable Actuals'!$I47,0))</f>
        <v>729.5</v>
      </c>
      <c r="L47" s="394">
        <f t="shared" si="0"/>
        <v>729.5</v>
      </c>
      <c r="M47" s="386">
        <f t="shared" si="1"/>
        <v>1</v>
      </c>
      <c r="N47" s="386">
        <f t="shared" si="2"/>
        <v>0</v>
      </c>
      <c r="O47" s="386">
        <f t="shared" si="3"/>
        <v>0</v>
      </c>
      <c r="P47" s="394">
        <f t="shared" si="4"/>
        <v>0</v>
      </c>
      <c r="Q47" t="str">
        <f t="shared" si="5"/>
        <v>not set</v>
      </c>
    </row>
    <row r="48" spans="1:17" x14ac:dyDescent="0.3">
      <c r="A48" s="335" t="str">
        <f>IF(Deliverables!$A48="","",TRIM(Deliverables!$A48))</f>
        <v>AN21146-0100R</v>
      </c>
      <c r="B48" s="335" t="str">
        <f>IF($A48="","",Deliverables!$C48)</f>
        <v>Design Review</v>
      </c>
      <c r="C48" s="375"/>
      <c r="D48" s="400"/>
      <c r="E48" s="400"/>
      <c r="F48" s="375"/>
      <c r="G48" s="376"/>
      <c r="H48" s="375"/>
      <c r="I48" s="400"/>
      <c r="J48" s="400"/>
      <c r="K48" s="389">
        <f>IF($A48="","",IFERROR('Deliverable Actuals'!$I48,0))</f>
        <v>96</v>
      </c>
      <c r="L48" s="394">
        <f t="shared" si="0"/>
        <v>96</v>
      </c>
      <c r="M48" s="386">
        <f t="shared" si="1"/>
        <v>1</v>
      </c>
      <c r="N48" s="386">
        <f t="shared" si="2"/>
        <v>0</v>
      </c>
      <c r="O48" s="386">
        <f t="shared" si="3"/>
        <v>0</v>
      </c>
      <c r="P48" s="394">
        <f t="shared" si="4"/>
        <v>0</v>
      </c>
      <c r="Q48" t="str">
        <f t="shared" si="5"/>
        <v>not set</v>
      </c>
    </row>
    <row r="49" spans="1:17" x14ac:dyDescent="0.3">
      <c r="A49" s="335" t="str">
        <f>IF(Deliverables!$A49="","",TRIM(Deliverables!$A49))</f>
        <v>N23106-0100D</v>
      </c>
      <c r="B49" s="335" t="str">
        <f>IF($A49="","",Deliverables!$C49)</f>
        <v>Concept Design</v>
      </c>
      <c r="C49" s="375"/>
      <c r="D49" s="400"/>
      <c r="E49" s="400"/>
      <c r="F49" s="375"/>
      <c r="G49" s="376"/>
      <c r="H49" s="375"/>
      <c r="I49" s="400"/>
      <c r="J49" s="400"/>
      <c r="K49" s="389">
        <f>IF($A49="","",IFERROR('Deliverable Actuals'!$I49,0))</f>
        <v>217.75</v>
      </c>
      <c r="L49" s="394">
        <f t="shared" si="0"/>
        <v>217.75</v>
      </c>
      <c r="M49" s="386">
        <f t="shared" si="1"/>
        <v>1</v>
      </c>
      <c r="N49" s="386">
        <f t="shared" si="2"/>
        <v>0</v>
      </c>
      <c r="O49" s="386">
        <f t="shared" si="3"/>
        <v>0</v>
      </c>
      <c r="P49" s="394">
        <f t="shared" si="4"/>
        <v>0</v>
      </c>
      <c r="Q49" t="str">
        <f t="shared" si="5"/>
        <v>not set</v>
      </c>
    </row>
    <row r="50" spans="1:17" x14ac:dyDescent="0.3">
      <c r="A50" s="335" t="str">
        <f>IF(Deliverables!$A50="","",TRIM(Deliverables!$A50))</f>
        <v>OM23030-0100D</v>
      </c>
      <c r="B50" s="335" t="str">
        <f>IF($A50="","",Deliverables!$C50)</f>
        <v>Tender Design</v>
      </c>
      <c r="C50" s="375"/>
      <c r="D50" s="400"/>
      <c r="E50" s="400"/>
      <c r="F50" s="375"/>
      <c r="G50" s="376"/>
      <c r="H50" s="375"/>
      <c r="I50" s="400"/>
      <c r="J50" s="400"/>
      <c r="K50" s="389">
        <f>IF($A50="","",IFERROR('Deliverable Actuals'!$I50,0))</f>
        <v>27.25</v>
      </c>
      <c r="L50" s="394">
        <f t="shared" si="0"/>
        <v>27.25</v>
      </c>
      <c r="M50" s="386">
        <f t="shared" si="1"/>
        <v>1</v>
      </c>
      <c r="N50" s="386">
        <f t="shared" si="2"/>
        <v>0</v>
      </c>
      <c r="O50" s="386">
        <f t="shared" si="3"/>
        <v>0</v>
      </c>
      <c r="P50" s="394">
        <f t="shared" si="4"/>
        <v>0</v>
      </c>
      <c r="Q50" t="str">
        <f t="shared" si="5"/>
        <v>not set</v>
      </c>
    </row>
    <row r="51" spans="1:17" x14ac:dyDescent="0.3">
      <c r="A51" s="335" t="str">
        <f>IF(Deliverables!$A51="","",TRIM(Deliverables!$A51))</f>
        <v>Chargable Proposals 24</v>
      </c>
      <c r="B51" s="335" t="str">
        <f>IF($A51="","",Deliverables!$C51)</f>
        <v>Proposals</v>
      </c>
      <c r="C51" s="375"/>
      <c r="D51" s="400"/>
      <c r="E51" s="400"/>
      <c r="F51" s="375"/>
      <c r="G51" s="376"/>
      <c r="H51" s="375"/>
      <c r="I51" s="400"/>
      <c r="J51" s="400"/>
      <c r="K51" s="389">
        <f>IF($A51="","",IFERROR('Deliverable Actuals'!$I51,0))</f>
        <v>343</v>
      </c>
      <c r="L51" s="394">
        <f t="shared" si="0"/>
        <v>343</v>
      </c>
      <c r="M51" s="386">
        <f t="shared" si="1"/>
        <v>1</v>
      </c>
      <c r="N51" s="386">
        <f t="shared" si="2"/>
        <v>0</v>
      </c>
      <c r="O51" s="386">
        <f t="shared" si="3"/>
        <v>0</v>
      </c>
      <c r="P51" s="394">
        <f t="shared" si="4"/>
        <v>0</v>
      </c>
      <c r="Q51" t="str">
        <f t="shared" si="5"/>
        <v>not set</v>
      </c>
    </row>
    <row r="52" spans="1:17" x14ac:dyDescent="0.3">
      <c r="A52" s="335" t="str">
        <f>IF(Deliverables!$A52="","",TRIM(Deliverables!$A52))</f>
        <v>Proposals 24</v>
      </c>
      <c r="B52" s="335" t="str">
        <f>IF($A52="","",Deliverables!$C52)</f>
        <v>Proposals</v>
      </c>
      <c r="C52" s="375"/>
      <c r="D52" s="400"/>
      <c r="E52" s="400"/>
      <c r="F52" s="375"/>
      <c r="G52" s="376"/>
      <c r="H52" s="375"/>
      <c r="I52" s="400"/>
      <c r="J52" s="400"/>
      <c r="K52" s="389">
        <f>IF($A52="","",IFERROR('Deliverable Actuals'!$I52,0))</f>
        <v>99.25</v>
      </c>
      <c r="L52" s="394">
        <f t="shared" si="0"/>
        <v>99.25</v>
      </c>
      <c r="M52" s="386">
        <f t="shared" si="1"/>
        <v>1</v>
      </c>
      <c r="N52" s="386">
        <f t="shared" si="2"/>
        <v>0</v>
      </c>
      <c r="O52" s="386">
        <f t="shared" si="3"/>
        <v>0</v>
      </c>
      <c r="P52" s="394">
        <f t="shared" si="4"/>
        <v>0</v>
      </c>
      <c r="Q52" t="str">
        <f t="shared" si="5"/>
        <v>not set</v>
      </c>
    </row>
    <row r="53" spans="1:17" x14ac:dyDescent="0.3">
      <c r="A53" s="335" t="str">
        <f>IF(Deliverables!$A53="","",TRIM(Deliverables!$A53))</f>
        <v>S23204-0100D</v>
      </c>
      <c r="B53" s="335" t="str">
        <f>IF($A53="","",Deliverables!$C53)</f>
        <v>Concept Design</v>
      </c>
      <c r="C53" s="375"/>
      <c r="D53" s="400"/>
      <c r="E53" s="400"/>
      <c r="F53" s="375"/>
      <c r="G53" s="376"/>
      <c r="H53" s="375"/>
      <c r="I53" s="400"/>
      <c r="J53" s="400"/>
      <c r="K53" s="389">
        <f>IF($A53="","",IFERROR('Deliverable Actuals'!$I53,0))</f>
        <v>8.5</v>
      </c>
      <c r="L53" s="394">
        <f t="shared" si="0"/>
        <v>8.5</v>
      </c>
      <c r="M53" s="386">
        <f t="shared" si="1"/>
        <v>1</v>
      </c>
      <c r="N53" s="386">
        <f t="shared" si="2"/>
        <v>0</v>
      </c>
      <c r="O53" s="386">
        <f t="shared" si="3"/>
        <v>0</v>
      </c>
      <c r="P53" s="394">
        <f t="shared" si="4"/>
        <v>0</v>
      </c>
      <c r="Q53" t="str">
        <f t="shared" si="5"/>
        <v>not set</v>
      </c>
    </row>
    <row r="54" spans="1:17" x14ac:dyDescent="0.3">
      <c r="A54" s="335" t="str">
        <f>IF(Deliverables!$A54="","",TRIM(Deliverables!$A54))</f>
        <v>S24100-0100D</v>
      </c>
      <c r="B54" s="335" t="str">
        <f>IF($A54="","",Deliverables!$C54)</f>
        <v>Concept Design</v>
      </c>
      <c r="C54" s="375"/>
      <c r="D54" s="400"/>
      <c r="E54" s="400"/>
      <c r="F54" s="375"/>
      <c r="G54" s="376"/>
      <c r="H54" s="375"/>
      <c r="I54" s="400"/>
      <c r="J54" s="400"/>
      <c r="K54" s="389">
        <f>IF($A54="","",IFERROR('Deliverable Actuals'!$I54,0))</f>
        <v>186</v>
      </c>
      <c r="L54" s="394">
        <f t="shared" si="0"/>
        <v>186</v>
      </c>
      <c r="M54" s="386">
        <f t="shared" si="1"/>
        <v>1</v>
      </c>
      <c r="N54" s="386">
        <f t="shared" si="2"/>
        <v>0</v>
      </c>
      <c r="O54" s="386">
        <f t="shared" si="3"/>
        <v>0</v>
      </c>
      <c r="P54" s="394">
        <f t="shared" si="4"/>
        <v>0</v>
      </c>
      <c r="Q54" t="str">
        <f t="shared" si="5"/>
        <v>not set</v>
      </c>
    </row>
    <row r="55" spans="1:17" x14ac:dyDescent="0.3">
      <c r="A55" s="335" t="str">
        <f>IF(Deliverables!$A55="","",TRIM(Deliverables!$A55))</f>
        <v>TA23011-0100R</v>
      </c>
      <c r="B55" s="335" t="str">
        <f>IF($A55="","",Deliverables!$C55)</f>
        <v>Design Review</v>
      </c>
      <c r="C55" s="375"/>
      <c r="D55" s="400"/>
      <c r="E55" s="400"/>
      <c r="F55" s="375"/>
      <c r="G55" s="376"/>
      <c r="H55" s="375"/>
      <c r="I55" s="400"/>
      <c r="J55" s="400"/>
      <c r="K55" s="389">
        <f>IF($A55="","",IFERROR('Deliverable Actuals'!$I55,0))</f>
        <v>10</v>
      </c>
      <c r="L55" s="394">
        <f t="shared" si="0"/>
        <v>10</v>
      </c>
      <c r="M55" s="386">
        <f t="shared" si="1"/>
        <v>1</v>
      </c>
      <c r="N55" s="386">
        <f t="shared" si="2"/>
        <v>0</v>
      </c>
      <c r="O55" s="386">
        <f t="shared" si="3"/>
        <v>0</v>
      </c>
      <c r="P55" s="394">
        <f t="shared" si="4"/>
        <v>0</v>
      </c>
      <c r="Q55" t="str">
        <f t="shared" si="5"/>
        <v>not set</v>
      </c>
    </row>
    <row r="56" spans="1:17" x14ac:dyDescent="0.3">
      <c r="A56" s="335" t="str">
        <f>IF(Deliverables!$A56="","",TRIM(Deliverables!$A56))</f>
        <v>AN23207-0500D</v>
      </c>
      <c r="B56" s="335" t="str">
        <f>IF($A56="","",Deliverables!$C56)</f>
        <v>Concept Design</v>
      </c>
      <c r="C56" s="375"/>
      <c r="D56" s="400"/>
      <c r="E56" s="400"/>
      <c r="F56" s="375"/>
      <c r="G56" s="376"/>
      <c r="H56" s="375"/>
      <c r="I56" s="400"/>
      <c r="J56" s="400"/>
      <c r="K56" s="389">
        <f>IF($A56="","",IFERROR('Deliverable Actuals'!$I56,0))</f>
        <v>0</v>
      </c>
      <c r="L56" s="394">
        <f t="shared" si="0"/>
        <v>0</v>
      </c>
      <c r="M56" s="386" t="str">
        <f t="shared" si="1"/>
        <v/>
      </c>
      <c r="N56" s="386" t="str">
        <f t="shared" si="2"/>
        <v/>
      </c>
      <c r="O56" s="386" t="str">
        <f t="shared" si="3"/>
        <v/>
      </c>
      <c r="P56" s="394">
        <f t="shared" si="4"/>
        <v>0</v>
      </c>
      <c r="Q56" t="str">
        <f t="shared" si="5"/>
        <v>not set</v>
      </c>
    </row>
    <row r="57" spans="1:17" x14ac:dyDescent="0.3">
      <c r="A57" s="335" t="str">
        <f>IF(Deliverables!$A57="","",TRIM(Deliverables!$A57))</f>
        <v>AN23276-0100D</v>
      </c>
      <c r="B57" s="335" t="str">
        <f>IF($A57="","",Deliverables!$C57)</f>
        <v>Concept Design</v>
      </c>
      <c r="C57" s="375"/>
      <c r="D57" s="400"/>
      <c r="E57" s="400"/>
      <c r="F57" s="375"/>
      <c r="G57" s="376"/>
      <c r="H57" s="375"/>
      <c r="I57" s="400"/>
      <c r="J57" s="400"/>
      <c r="K57" s="389">
        <f>IF($A57="","",IFERROR('Deliverable Actuals'!$I57,0))</f>
        <v>164.5</v>
      </c>
      <c r="L57" s="394">
        <f t="shared" si="0"/>
        <v>164.5</v>
      </c>
      <c r="M57" s="386">
        <f t="shared" si="1"/>
        <v>1</v>
      </c>
      <c r="N57" s="386">
        <f t="shared" si="2"/>
        <v>0</v>
      </c>
      <c r="O57" s="386">
        <f t="shared" si="3"/>
        <v>0</v>
      </c>
      <c r="P57" s="394">
        <f t="shared" si="4"/>
        <v>0</v>
      </c>
      <c r="Q57" t="str">
        <f t="shared" si="5"/>
        <v>not set</v>
      </c>
    </row>
    <row r="58" spans="1:17" x14ac:dyDescent="0.3">
      <c r="A58" s="335" t="str">
        <f>IF(Deliverables!$A58="","",TRIM(Deliverables!$A58))</f>
        <v>AN24073-0100D</v>
      </c>
      <c r="B58" s="335" t="str">
        <f>IF($A58="","",Deliverables!$C58)</f>
        <v>Concept Design</v>
      </c>
      <c r="C58" s="375"/>
      <c r="D58" s="400"/>
      <c r="E58" s="400"/>
      <c r="F58" s="375"/>
      <c r="G58" s="376"/>
      <c r="H58" s="375"/>
      <c r="I58" s="400"/>
      <c r="J58" s="400"/>
      <c r="K58" s="389">
        <f>IF($A58="","",IFERROR('Deliverable Actuals'!$I58,0))</f>
        <v>171</v>
      </c>
      <c r="L58" s="394">
        <f t="shared" si="0"/>
        <v>171</v>
      </c>
      <c r="M58" s="386">
        <f t="shared" si="1"/>
        <v>1</v>
      </c>
      <c r="N58" s="386">
        <f t="shared" si="2"/>
        <v>0</v>
      </c>
      <c r="O58" s="386">
        <f t="shared" si="3"/>
        <v>0</v>
      </c>
      <c r="P58" s="394">
        <f t="shared" si="4"/>
        <v>0</v>
      </c>
      <c r="Q58" t="str">
        <f t="shared" si="5"/>
        <v>not set</v>
      </c>
    </row>
    <row r="59" spans="1:17" x14ac:dyDescent="0.3">
      <c r="A59" s="335" t="str">
        <f>IF(Deliverables!$A59="","",TRIM(Deliverables!$A59))</f>
        <v>AN24140-0100R</v>
      </c>
      <c r="B59" s="335" t="str">
        <f>IF($A59="","",Deliverables!$C59)</f>
        <v>Design Review</v>
      </c>
      <c r="C59" s="375"/>
      <c r="D59" s="400"/>
      <c r="E59" s="400"/>
      <c r="F59" s="375"/>
      <c r="G59" s="376"/>
      <c r="H59" s="375"/>
      <c r="I59" s="400"/>
      <c r="J59" s="400"/>
      <c r="K59" s="389">
        <f>IF($A59="","",IFERROR('Deliverable Actuals'!$I59,0))</f>
        <v>93</v>
      </c>
      <c r="L59" s="394">
        <f t="shared" si="0"/>
        <v>93</v>
      </c>
      <c r="M59" s="386">
        <f t="shared" si="1"/>
        <v>1</v>
      </c>
      <c r="N59" s="386">
        <f t="shared" si="2"/>
        <v>0</v>
      </c>
      <c r="O59" s="386">
        <f t="shared" si="3"/>
        <v>0</v>
      </c>
      <c r="P59" s="394">
        <f t="shared" si="4"/>
        <v>0</v>
      </c>
      <c r="Q59" t="str">
        <f t="shared" si="5"/>
        <v>not set</v>
      </c>
    </row>
    <row r="60" spans="1:17" x14ac:dyDescent="0.3">
      <c r="A60" s="335" t="str">
        <f>IF(Deliverables!$A60="","",TRIM(Deliverables!$A60))</f>
        <v>CS24035-0100D</v>
      </c>
      <c r="B60" s="335" t="str">
        <f>IF($A60="","",Deliverables!$C60)</f>
        <v>Detailed Design</v>
      </c>
      <c r="C60" s="375"/>
      <c r="D60" s="400"/>
      <c r="E60" s="400"/>
      <c r="F60" s="375"/>
      <c r="G60" s="376"/>
      <c r="H60" s="375"/>
      <c r="I60" s="400"/>
      <c r="J60" s="400"/>
      <c r="K60" s="389">
        <f>IF($A60="","",IFERROR('Deliverable Actuals'!$I60,0))</f>
        <v>568.5</v>
      </c>
      <c r="L60" s="394">
        <f t="shared" si="0"/>
        <v>568.5</v>
      </c>
      <c r="M60" s="386">
        <f t="shared" si="1"/>
        <v>1</v>
      </c>
      <c r="N60" s="386">
        <f t="shared" si="2"/>
        <v>0</v>
      </c>
      <c r="O60" s="386">
        <f t="shared" si="3"/>
        <v>0</v>
      </c>
      <c r="P60" s="394">
        <f t="shared" si="4"/>
        <v>0</v>
      </c>
      <c r="Q60" t="str">
        <f t="shared" si="5"/>
        <v>not set</v>
      </c>
    </row>
    <row r="61" spans="1:17" x14ac:dyDescent="0.3">
      <c r="A61" s="335" t="str">
        <f>IF(Deliverables!$A61="","",TRIM(Deliverables!$A61))</f>
        <v>AN24135-0100R</v>
      </c>
      <c r="B61" s="335" t="str">
        <f>IF($A61="","",Deliverables!$C61)</f>
        <v>Design Review</v>
      </c>
      <c r="C61" s="375"/>
      <c r="D61" s="400"/>
      <c r="E61" s="400"/>
      <c r="F61" s="375"/>
      <c r="G61" s="376"/>
      <c r="H61" s="375"/>
      <c r="I61" s="400"/>
      <c r="J61" s="400"/>
      <c r="K61" s="389">
        <f>IF($A61="","",IFERROR('Deliverable Actuals'!$I61,0))</f>
        <v>338.75</v>
      </c>
      <c r="L61" s="394">
        <f t="shared" si="0"/>
        <v>338.75</v>
      </c>
      <c r="M61" s="386">
        <f t="shared" si="1"/>
        <v>1</v>
      </c>
      <c r="N61" s="386">
        <f t="shared" si="2"/>
        <v>0</v>
      </c>
      <c r="O61" s="386">
        <f t="shared" si="3"/>
        <v>0</v>
      </c>
      <c r="P61" s="394">
        <f t="shared" si="4"/>
        <v>0</v>
      </c>
      <c r="Q61" t="str">
        <f t="shared" si="5"/>
        <v>not set</v>
      </c>
    </row>
    <row r="62" spans="1:17" x14ac:dyDescent="0.3">
      <c r="A62" s="335" t="str">
        <f>IF(Deliverables!$A62="","",TRIM(Deliverables!$A62))</f>
        <v>AN23108-0100R</v>
      </c>
      <c r="B62" s="335" t="str">
        <f>IF($A62="","",Deliverables!$C62)</f>
        <v>Design Review</v>
      </c>
      <c r="C62" s="375"/>
      <c r="D62" s="400"/>
      <c r="E62" s="400"/>
      <c r="F62" s="375"/>
      <c r="G62" s="376"/>
      <c r="H62" s="375"/>
      <c r="I62" s="400"/>
      <c r="J62" s="400"/>
      <c r="K62" s="389">
        <f>IF($A62="","",IFERROR('Deliverable Actuals'!$I62,0))</f>
        <v>153</v>
      </c>
      <c r="L62" s="394">
        <f t="shared" si="0"/>
        <v>153</v>
      </c>
      <c r="M62" s="386">
        <f t="shared" si="1"/>
        <v>1</v>
      </c>
      <c r="N62" s="386">
        <f t="shared" si="2"/>
        <v>0</v>
      </c>
      <c r="O62" s="386">
        <f t="shared" si="3"/>
        <v>0</v>
      </c>
      <c r="P62" s="394">
        <f t="shared" si="4"/>
        <v>0</v>
      </c>
      <c r="Q62" t="str">
        <f t="shared" si="5"/>
        <v>not set</v>
      </c>
    </row>
    <row r="63" spans="1:17" x14ac:dyDescent="0.3">
      <c r="A63" s="335" t="str">
        <f>IF(Deliverables!$A63="","",TRIM(Deliverables!$A63))</f>
        <v>TA24246-0200R</v>
      </c>
      <c r="B63" s="335" t="str">
        <f>IF($A63="","",Deliverables!$C63)</f>
        <v>Design Review</v>
      </c>
      <c r="C63" s="375"/>
      <c r="D63" s="400"/>
      <c r="E63" s="400"/>
      <c r="F63" s="375"/>
      <c r="G63" s="376"/>
      <c r="H63" s="375"/>
      <c r="I63" s="400"/>
      <c r="J63" s="400"/>
      <c r="K63" s="389">
        <f>IF($A63="","",IFERROR('Deliverable Actuals'!$I63,0))</f>
        <v>262.25</v>
      </c>
      <c r="L63" s="394">
        <f t="shared" si="0"/>
        <v>262.25</v>
      </c>
      <c r="M63" s="386">
        <f t="shared" si="1"/>
        <v>1</v>
      </c>
      <c r="N63" s="386">
        <f t="shared" si="2"/>
        <v>0</v>
      </c>
      <c r="O63" s="386">
        <f t="shared" si="3"/>
        <v>0</v>
      </c>
      <c r="P63" s="394">
        <f t="shared" si="4"/>
        <v>0</v>
      </c>
      <c r="Q63" t="str">
        <f t="shared" si="5"/>
        <v>not set</v>
      </c>
    </row>
    <row r="64" spans="1:17" x14ac:dyDescent="0.3">
      <c r="A64" s="335" t="str">
        <f>IF(Deliverables!$A64="","",TRIM(Deliverables!$A64))</f>
        <v>S22058-0900D</v>
      </c>
      <c r="B64" s="335" t="str">
        <f>IF($A64="","",Deliverables!$C64)</f>
        <v>Concept Design</v>
      </c>
      <c r="C64" s="375"/>
      <c r="D64" s="400"/>
      <c r="E64" s="400"/>
      <c r="F64" s="375"/>
      <c r="G64" s="376"/>
      <c r="H64" s="375"/>
      <c r="I64" s="400"/>
      <c r="J64" s="400"/>
      <c r="K64" s="389">
        <f>IF($A64="","",IFERROR('Deliverable Actuals'!$I64,0))</f>
        <v>0</v>
      </c>
      <c r="L64" s="394">
        <f t="shared" si="0"/>
        <v>0</v>
      </c>
      <c r="M64" s="386" t="str">
        <f t="shared" si="1"/>
        <v/>
      </c>
      <c r="N64" s="386" t="str">
        <f t="shared" si="2"/>
        <v/>
      </c>
      <c r="O64" s="386" t="str">
        <f t="shared" si="3"/>
        <v/>
      </c>
      <c r="P64" s="394">
        <f t="shared" si="4"/>
        <v>0</v>
      </c>
      <c r="Q64" t="str">
        <f t="shared" si="5"/>
        <v>not set</v>
      </c>
    </row>
    <row r="65" spans="1:17" x14ac:dyDescent="0.3">
      <c r="A65" s="335" t="str">
        <f>IF(Deliverables!$A65="","",TRIM(Deliverables!$A65))</f>
        <v>AD23051-0101D</v>
      </c>
      <c r="B65" s="335" t="str">
        <f>IF($A65="","",Deliverables!$C65)</f>
        <v>Concept Design</v>
      </c>
      <c r="C65" s="375"/>
      <c r="D65" s="400"/>
      <c r="E65" s="400"/>
      <c r="F65" s="375"/>
      <c r="G65" s="376"/>
      <c r="H65" s="375"/>
      <c r="I65" s="400"/>
      <c r="J65" s="400"/>
      <c r="K65" s="389">
        <f>IF($A65="","",IFERROR('Deliverable Actuals'!$I65,0))</f>
        <v>0</v>
      </c>
      <c r="L65" s="394">
        <f t="shared" si="0"/>
        <v>0</v>
      </c>
      <c r="M65" s="386" t="str">
        <f t="shared" si="1"/>
        <v/>
      </c>
      <c r="N65" s="386" t="str">
        <f t="shared" si="2"/>
        <v/>
      </c>
      <c r="O65" s="386" t="str">
        <f t="shared" si="3"/>
        <v/>
      </c>
      <c r="P65" s="394">
        <f t="shared" si="4"/>
        <v>0</v>
      </c>
      <c r="Q65" t="str">
        <f t="shared" si="5"/>
        <v>not set</v>
      </c>
    </row>
    <row r="66" spans="1:17" x14ac:dyDescent="0.3">
      <c r="A66" s="335" t="str">
        <f>IF(Deliverables!$A66="","",TRIM(Deliverables!$A66))</f>
        <v>AL25148-0100D</v>
      </c>
      <c r="B66" s="335" t="str">
        <f>IF($A66="","",Deliverables!$C66)</f>
        <v>Concept Design</v>
      </c>
      <c r="C66" s="375"/>
      <c r="D66" s="400"/>
      <c r="E66" s="400"/>
      <c r="F66" s="375"/>
      <c r="G66" s="376"/>
      <c r="H66" s="375"/>
      <c r="I66" s="400"/>
      <c r="J66" s="400"/>
      <c r="K66" s="389">
        <f>IF($A66="","",IFERROR('Deliverable Actuals'!$I66,0))</f>
        <v>0</v>
      </c>
      <c r="L66" s="394">
        <f t="shared" si="0"/>
        <v>0</v>
      </c>
      <c r="M66" s="386" t="str">
        <f t="shared" si="1"/>
        <v/>
      </c>
      <c r="N66" s="386" t="str">
        <f t="shared" si="2"/>
        <v/>
      </c>
      <c r="O66" s="386" t="str">
        <f t="shared" si="3"/>
        <v/>
      </c>
      <c r="P66" s="394">
        <f t="shared" si="4"/>
        <v>0</v>
      </c>
      <c r="Q66" t="str">
        <f t="shared" si="5"/>
        <v>not set</v>
      </c>
    </row>
    <row r="67" spans="1:17" x14ac:dyDescent="0.3">
      <c r="A67" s="335" t="str">
        <f>IF(Deliverables!$A67="","",TRIM(Deliverables!$A67))</f>
        <v>Chargable Proposals 26</v>
      </c>
      <c r="B67" s="335" t="str">
        <f>IF($A67="","",Deliverables!$C67)</f>
        <v>Proposals</v>
      </c>
      <c r="C67" s="375"/>
      <c r="D67" s="400"/>
      <c r="E67" s="400"/>
      <c r="F67" s="375"/>
      <c r="G67" s="376"/>
      <c r="H67" s="375"/>
      <c r="I67" s="400"/>
      <c r="J67" s="400"/>
      <c r="K67" s="389">
        <f>IF($A67="","",IFERROR('Deliverable Actuals'!$I67,0))</f>
        <v>61.25</v>
      </c>
      <c r="L67" s="394">
        <f t="shared" si="0"/>
        <v>61.25</v>
      </c>
      <c r="M67" s="386">
        <f t="shared" si="1"/>
        <v>1</v>
      </c>
      <c r="N67" s="386">
        <f t="shared" si="2"/>
        <v>0</v>
      </c>
      <c r="O67" s="386">
        <f t="shared" si="3"/>
        <v>0</v>
      </c>
      <c r="P67" s="394">
        <f t="shared" si="4"/>
        <v>0</v>
      </c>
      <c r="Q67" t="str">
        <f t="shared" si="5"/>
        <v>not set</v>
      </c>
    </row>
    <row r="68" spans="1:17" x14ac:dyDescent="0.3">
      <c r="A68" s="335" t="str">
        <f>IF(Deliverables!$A68="","",TRIM(Deliverables!$A68))</f>
        <v>Proposals 26</v>
      </c>
      <c r="B68" s="335" t="str">
        <f>IF($A68="","",Deliverables!$C68)</f>
        <v>Proposals</v>
      </c>
      <c r="C68" s="375"/>
      <c r="D68" s="400"/>
      <c r="E68" s="400"/>
      <c r="F68" s="375"/>
      <c r="G68" s="376"/>
      <c r="H68" s="375"/>
      <c r="I68" s="400"/>
      <c r="J68" s="400"/>
      <c r="K68" s="389">
        <f>IF($A68="","",IFERROR('Deliverable Actuals'!$I68,0))</f>
        <v>13</v>
      </c>
      <c r="L68" s="394">
        <f t="shared" si="0"/>
        <v>13</v>
      </c>
      <c r="M68" s="386">
        <f t="shared" si="1"/>
        <v>1</v>
      </c>
      <c r="N68" s="386">
        <f t="shared" si="2"/>
        <v>0</v>
      </c>
      <c r="O68" s="386">
        <f t="shared" si="3"/>
        <v>0</v>
      </c>
      <c r="P68" s="394">
        <f t="shared" si="4"/>
        <v>0</v>
      </c>
      <c r="Q68" t="str">
        <f t="shared" si="5"/>
        <v>not set</v>
      </c>
    </row>
  </sheetData>
  <conditionalFormatting sqref="Q5:Q68">
    <cfRule type="containsText" dxfId="2" priority="1" operator="containsText" text="SHIFTED">
      <formula>NOT(ISERROR(SEARCH("SHIFTED",Q5)))</formula>
    </cfRule>
  </conditionalFormatting>
  <conditionalFormatting sqref="Q5:Q68">
    <cfRule type="containsText" dxfId="1" priority="2" operator="containsText" text="as planned">
      <formula>NOT(ISERROR(SEARCH("as planned",Q5)))</formula>
    </cfRule>
  </conditionalFormatting>
  <conditionalFormatting sqref="Q5:Q68">
    <cfRule type="containsText" dxfId="0" priority="3" operator="containsText" text="not set">
      <formula>NOT(ISERROR(SEARCH("not set",Q5)))</formula>
    </cfRule>
  </conditionalFormatting>
  <dataValidations count="1">
    <dataValidation type="list" allowBlank="1" showInputMessage="1" showErrorMessage="1" sqref="C5:C68 F5:F68" xr:uid="{37F4CEC5-1FDA-4BFC-9EA6-88DACDA7D72C}">
      <formula1>"Bengaluru,Cairo,Split"</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BE350-5F83-4FAF-BEA2-D2DA89F31FDD}">
  <sheetPr>
    <tabColor rgb="FF2E9B57"/>
  </sheetPr>
  <dimension ref="A1:S47"/>
  <sheetViews>
    <sheetView workbookViewId="0">
      <pane ySplit="4" topLeftCell="A26" activePane="bottomLeft" state="frozen"/>
      <selection pane="bottomLeft" activeCell="G5" sqref="G5"/>
    </sheetView>
  </sheetViews>
  <sheetFormatPr defaultRowHeight="14.4" x14ac:dyDescent="0.3"/>
  <cols>
    <col min="1" max="1" width="24.109375" customWidth="1"/>
    <col min="2" max="2" width="27.77734375" customWidth="1"/>
    <col min="14" max="14" width="11.109375" customWidth="1"/>
    <col min="15" max="18" width="20.33203125" customWidth="1"/>
  </cols>
  <sheetData>
    <row r="1" spans="1:19" ht="18" x14ac:dyDescent="0.35">
      <c r="A1" s="372" t="s">
        <v>860</v>
      </c>
    </row>
    <row r="2" spans="1:19" x14ac:dyDescent="0.3">
      <c r="A2" s="355" t="s">
        <v>861</v>
      </c>
    </row>
    <row r="4" spans="1:19" ht="28.8" x14ac:dyDescent="0.3">
      <c r="A4" s="381" t="s">
        <v>862</v>
      </c>
      <c r="B4" s="381" t="s">
        <v>544</v>
      </c>
      <c r="C4" s="381">
        <v>2024</v>
      </c>
      <c r="D4" s="381">
        <v>2025</v>
      </c>
      <c r="E4" s="381">
        <v>2026</v>
      </c>
      <c r="F4" s="381" t="s">
        <v>863</v>
      </c>
      <c r="G4" s="381" t="s">
        <v>635</v>
      </c>
      <c r="H4" s="381" t="s">
        <v>558</v>
      </c>
      <c r="I4" s="381" t="s">
        <v>559</v>
      </c>
      <c r="J4" s="381" t="s">
        <v>560</v>
      </c>
      <c r="K4" s="381" t="s">
        <v>794</v>
      </c>
      <c r="L4" s="381" t="s">
        <v>795</v>
      </c>
      <c r="N4" s="393" t="s">
        <v>864</v>
      </c>
    </row>
    <row r="5" spans="1:19" x14ac:dyDescent="0.3">
      <c r="A5" t="str" cm="1">
        <f t="array" ref="A5:A47">IFERROR(_xlfn._xlws.SORT(_xlfn.UNIQUE(_xlfn._xlws.FILTER('Timesheet Raw'!$B$4:$B$8000,(('Timesheet Raw'!$A$4:$A$8000="2-Proposals Chargeable")+('Timesheet Raw'!$A$4:$A$8000="3-Proposals Regular"))*('Timesheet Raw'!$B$4:$B$8000&lt;&gt;"")&gt;0))),"")</f>
        <v>PAL251195C</v>
      </c>
      <c r="B5" t="str">
        <f>IF($A5="","",IFERROR(INDEX('Timesheet Raw'!$A$4:$A$8000,MATCH($A5,'Timesheet Raw'!$B$4:$B$8000,0)),""))</f>
        <v>2-Proposals Chargeable</v>
      </c>
      <c r="C5" s="385">
        <f>IF($A5="","",SUMIFS('Timesheet Raw'!$P$4:$P$8000,'Timesheet Raw'!$B$4:$B$8000,$A5,'Timesheet Raw'!$L$4:$L$8000,"&gt;="&amp;DATE(C$4,1,1),'Timesheet Raw'!$L$4:$L$8000,"&lt;="&amp;DATE(C$4,12,31)))</f>
        <v>0</v>
      </c>
      <c r="D5" s="385">
        <f>IF($A5="","",SUMIFS('Timesheet Raw'!$P$4:$P$8000,'Timesheet Raw'!$B$4:$B$8000,$A5,'Timesheet Raw'!$L$4:$L$8000,"&gt;="&amp;DATE(D$4,1,1),'Timesheet Raw'!$L$4:$L$8000,"&lt;="&amp;DATE(D$4,12,31)))</f>
        <v>0</v>
      </c>
      <c r="E5" s="385">
        <f>IF($A5="","",SUMIFS('Timesheet Raw'!$P$4:$P$8000,'Timesheet Raw'!$B$4:$B$8000,$A5,'Timesheet Raw'!$L$4:$L$8000,"&gt;="&amp;DATE(E$4,1,1),'Timesheet Raw'!$L$4:$L$8000,"&lt;="&amp;DATE(E$4,12,31)))</f>
        <v>20</v>
      </c>
      <c r="F5" s="394">
        <f>IF($A5="","",SUM($C5:$E5))</f>
        <v>20</v>
      </c>
      <c r="G5" s="341">
        <f>IF($A5="","",$F5/'Profit Plan'!$B$5)</f>
        <v>0.10810810810810811</v>
      </c>
      <c r="H5" s="385">
        <f>IF($A5="","",SUMIFS('Timesheet Raw'!$P$4:$P$8000,'Timesheet Raw'!$B$4:$B$8000,$A5,'Timesheet Raw'!$C$4:$C$8000,'Work Calendar'!$B$20))</f>
        <v>6.5</v>
      </c>
      <c r="I5" s="385">
        <f>IF($A5="","",SUMIFS('Timesheet Raw'!$P$4:$P$8000,'Timesheet Raw'!$B$4:$B$8000,$A5,'Timesheet Raw'!$C$4:$C$8000,'Work Calendar'!$B$21))</f>
        <v>0</v>
      </c>
      <c r="J5" s="385">
        <f>IF($A5="","",SUMIFS('Timesheet Raw'!$P$4:$P$8000,'Timesheet Raw'!$B$4:$B$8000,$A5,'Timesheet Raw'!$C$4:$C$8000,'Work Calendar'!$B$22))</f>
        <v>13.5</v>
      </c>
      <c r="K5" s="371">
        <f>IF($A5="","",IFERROR(_xlfn.MINIFS('Timesheet Raw'!$L$4:$L$8000,'Timesheet Raw'!$B$4:$B$8000,$A5),""))</f>
        <v>46078</v>
      </c>
      <c r="L5" s="371">
        <f>IF($A5="","",IFERROR(_xlfn.MAXIFS('Timesheet Raw'!$L$4:$L$8000,'Timesheet Raw'!$B$4:$B$8000,$A5),""))</f>
        <v>46079</v>
      </c>
      <c r="N5" s="339" t="s">
        <v>50</v>
      </c>
      <c r="O5" s="339" t="s">
        <v>865</v>
      </c>
      <c r="P5" s="339" t="s">
        <v>863</v>
      </c>
      <c r="Q5" s="339" t="s">
        <v>635</v>
      </c>
      <c r="R5" s="339" t="s">
        <v>866</v>
      </c>
    </row>
    <row r="6" spans="1:19" x14ac:dyDescent="0.3">
      <c r="A6" t="str">
        <v>PAN221498C</v>
      </c>
      <c r="B6" t="str">
        <f>IF($A6="","",IFERROR(INDEX('Timesheet Raw'!$A$4:$A$8000,MATCH($A6,'Timesheet Raw'!$B$4:$B$8000,0)),""))</f>
        <v>2-Proposals Chargeable</v>
      </c>
      <c r="C6" s="385">
        <f>IF($A6="","",SUMIFS('Timesheet Raw'!$P$4:$P$8000,'Timesheet Raw'!$B$4:$B$8000,$A6,'Timesheet Raw'!$L$4:$L$8000,"&gt;="&amp;DATE(C$4,1,1),'Timesheet Raw'!$L$4:$L$8000,"&lt;="&amp;DATE(C$4,12,31)))</f>
        <v>0</v>
      </c>
      <c r="D6" s="385">
        <f>IF($A6="","",SUMIFS('Timesheet Raw'!$P$4:$P$8000,'Timesheet Raw'!$B$4:$B$8000,$A6,'Timesheet Raw'!$L$4:$L$8000,"&gt;="&amp;DATE(D$4,1,1),'Timesheet Raw'!$L$4:$L$8000,"&lt;="&amp;DATE(D$4,12,31)))</f>
        <v>2</v>
      </c>
      <c r="E6" s="385">
        <f>IF($A6="","",SUMIFS('Timesheet Raw'!$P$4:$P$8000,'Timesheet Raw'!$B$4:$B$8000,$A6,'Timesheet Raw'!$L$4:$L$8000,"&gt;="&amp;DATE(E$4,1,1),'Timesheet Raw'!$L$4:$L$8000,"&lt;="&amp;DATE(E$4,12,31)))</f>
        <v>0</v>
      </c>
      <c r="F6" s="394">
        <f t="shared" ref="F6:F40" si="0">IF($A6="","",SUM($C6:$E6))</f>
        <v>2</v>
      </c>
      <c r="G6" s="341">
        <f>IF($A6="","",$F6/'Profit Plan'!$B$5)</f>
        <v>1.0810810810810811E-2</v>
      </c>
      <c r="H6" s="385">
        <f>IF($A6="","",SUMIFS('Timesheet Raw'!$P$4:$P$8000,'Timesheet Raw'!$B$4:$B$8000,$A6,'Timesheet Raw'!$C$4:$C$8000,'Work Calendar'!$B$20))</f>
        <v>2</v>
      </c>
      <c r="I6" s="385">
        <f>IF($A6="","",SUMIFS('Timesheet Raw'!$P$4:$P$8000,'Timesheet Raw'!$B$4:$B$8000,$A6,'Timesheet Raw'!$C$4:$C$8000,'Work Calendar'!$B$21))</f>
        <v>0</v>
      </c>
      <c r="J6" s="385">
        <f>IF($A6="","",SUMIFS('Timesheet Raw'!$P$4:$P$8000,'Timesheet Raw'!$B$4:$B$8000,$A6,'Timesheet Raw'!$C$4:$C$8000,'Work Calendar'!$B$22))</f>
        <v>0</v>
      </c>
      <c r="K6" s="371">
        <f>IF($A6="","",IFERROR(_xlfn.MINIFS('Timesheet Raw'!$L$4:$L$8000,'Timesheet Raw'!$B$4:$B$8000,$A6),""))</f>
        <v>45761</v>
      </c>
      <c r="L6" s="371">
        <f>IF($A6="","",IFERROR(_xlfn.MAXIFS('Timesheet Raw'!$L$4:$L$8000,'Timesheet Raw'!$B$4:$B$8000,$A6),""))</f>
        <v>45761</v>
      </c>
      <c r="N6">
        <v>2024</v>
      </c>
      <c r="O6">
        <f>COUNTIFS($A$5:$A$40,"?*",INDEX($C$5:$E$40,0,MATCH($N6,$C$4:$E$4,0)),"&gt;0")</f>
        <v>10</v>
      </c>
      <c r="P6" s="385">
        <f>SUMIFS('Timesheet Raw'!$P$4:$P$8000,'Timesheet Raw'!$A$4:$A$8000,"2-Proposals Chargeable",'Timesheet Raw'!$L$4:$L$8000,"&gt;="&amp;DATE($N6,1,1),'Timesheet Raw'!$L$4:$L$8000,"&lt;="&amp;DATE($N6,12,31))+SUMIFS('Timesheet Raw'!$P$4:$P$8000,'Timesheet Raw'!$A$4:$A$8000,"3-Proposals Regular",'Timesheet Raw'!$L$4:$L$8000,"&gt;="&amp;DATE($N6,1,1),'Timesheet Raw'!$L$4:$L$8000,"&lt;="&amp;DATE($N6,12,31))</f>
        <v>442.25</v>
      </c>
      <c r="Q6" s="341">
        <f>$P6/'Profit Plan'!$B$5</f>
        <v>2.3905405405405404</v>
      </c>
      <c r="R6" s="385">
        <f>SUMIFS('Timesheet Raw'!$P$4:$P$8000,'Timesheet Raw'!$A$4:$A$8000,"2-Proposals Chargeable",'Timesheet Raw'!$L$4:$L$8000,"&gt;="&amp;DATE($N6,1,1),'Timesheet Raw'!$L$4:$L$8000,"&lt;="&amp;DATE($N6,12,31))</f>
        <v>343</v>
      </c>
    </row>
    <row r="7" spans="1:19" x14ac:dyDescent="0.3">
      <c r="A7" t="str">
        <v>PAN260617C</v>
      </c>
      <c r="B7" t="str">
        <f>IF($A7="","",IFERROR(INDEX('Timesheet Raw'!$A$4:$A$8000,MATCH($A7,'Timesheet Raw'!$B$4:$B$8000,0)),""))</f>
        <v>2-Proposals Chargeable</v>
      </c>
      <c r="C7" s="385">
        <f>IF($A7="","",SUMIFS('Timesheet Raw'!$P$4:$P$8000,'Timesheet Raw'!$B$4:$B$8000,$A7,'Timesheet Raw'!$L$4:$L$8000,"&gt;="&amp;DATE(C$4,1,1),'Timesheet Raw'!$L$4:$L$8000,"&lt;="&amp;DATE(C$4,12,31)))</f>
        <v>0</v>
      </c>
      <c r="D7" s="385">
        <f>IF($A7="","",SUMIFS('Timesheet Raw'!$P$4:$P$8000,'Timesheet Raw'!$B$4:$B$8000,$A7,'Timesheet Raw'!$L$4:$L$8000,"&gt;="&amp;DATE(D$4,1,1),'Timesheet Raw'!$L$4:$L$8000,"&lt;="&amp;DATE(D$4,12,31)))</f>
        <v>0</v>
      </c>
      <c r="E7" s="385">
        <f>IF($A7="","",SUMIFS('Timesheet Raw'!$P$4:$P$8000,'Timesheet Raw'!$B$4:$B$8000,$A7,'Timesheet Raw'!$L$4:$L$8000,"&gt;="&amp;DATE(E$4,1,1),'Timesheet Raw'!$L$4:$L$8000,"&lt;="&amp;DATE(E$4,12,31)))</f>
        <v>34.25</v>
      </c>
      <c r="F7" s="394">
        <f t="shared" si="0"/>
        <v>34.25</v>
      </c>
      <c r="G7" s="341">
        <f>IF($A7="","",$F7/'Profit Plan'!$B$5)</f>
        <v>0.18513513513513513</v>
      </c>
      <c r="H7" s="385">
        <f>IF($A7="","",SUMIFS('Timesheet Raw'!$P$4:$P$8000,'Timesheet Raw'!$B$4:$B$8000,$A7,'Timesheet Raw'!$C$4:$C$8000,'Work Calendar'!$B$20))</f>
        <v>6.75</v>
      </c>
      <c r="I7" s="385">
        <f>IF($A7="","",SUMIFS('Timesheet Raw'!$P$4:$P$8000,'Timesheet Raw'!$B$4:$B$8000,$A7,'Timesheet Raw'!$C$4:$C$8000,'Work Calendar'!$B$21))</f>
        <v>0</v>
      </c>
      <c r="J7" s="385">
        <f>IF($A7="","",SUMIFS('Timesheet Raw'!$P$4:$P$8000,'Timesheet Raw'!$B$4:$B$8000,$A7,'Timesheet Raw'!$C$4:$C$8000,'Work Calendar'!$B$22))</f>
        <v>27.5</v>
      </c>
      <c r="K7" s="371">
        <f>IF($A7="","",IFERROR(_xlfn.MINIFS('Timesheet Raw'!$L$4:$L$8000,'Timesheet Raw'!$B$4:$B$8000,$A7),""))</f>
        <v>46154</v>
      </c>
      <c r="L7" s="371">
        <f>IF($A7="","",IFERROR(_xlfn.MAXIFS('Timesheet Raw'!$L$4:$L$8000,'Timesheet Raw'!$B$4:$B$8000,$A7),""))</f>
        <v>46156</v>
      </c>
      <c r="N7">
        <v>2025</v>
      </c>
      <c r="O7">
        <f t="shared" ref="O7:O8" si="1">COUNTIFS($A$5:$A$40,"?*",INDEX($C$5:$E$40,0,MATCH($N7,$C$4:$E$4,0)),"&gt;0")</f>
        <v>19</v>
      </c>
      <c r="P7" s="385">
        <f>SUMIFS('Timesheet Raw'!$P$4:$P$8000,'Timesheet Raw'!$A$4:$A$8000,"2-Proposals Chargeable",'Timesheet Raw'!$L$4:$L$8000,"&gt;="&amp;DATE($N7,1,1),'Timesheet Raw'!$L$4:$L$8000,"&lt;="&amp;DATE($N7,12,31))+SUMIFS('Timesheet Raw'!$P$4:$P$8000,'Timesheet Raw'!$A$4:$A$8000,"3-Proposals Regular",'Timesheet Raw'!$L$4:$L$8000,"&gt;="&amp;DATE($N7,1,1),'Timesheet Raw'!$L$4:$L$8000,"&lt;="&amp;DATE($N7,12,31))</f>
        <v>1115</v>
      </c>
      <c r="Q7" s="341">
        <f>$P7/'Profit Plan'!$B$5</f>
        <v>6.0270270270270272</v>
      </c>
      <c r="R7" s="385">
        <f>SUMIFS('Timesheet Raw'!$P$4:$P$8000,'Timesheet Raw'!$A$4:$A$8000,"2-Proposals Chargeable",'Timesheet Raw'!$L$4:$L$8000,"&gt;="&amp;DATE($N7,1,1),'Timesheet Raw'!$L$4:$L$8000,"&lt;="&amp;DATE($N7,12,31))</f>
        <v>729.5</v>
      </c>
    </row>
    <row r="8" spans="1:19" x14ac:dyDescent="0.3">
      <c r="A8" t="str">
        <v>PBZ250409</v>
      </c>
      <c r="B8" t="str">
        <f>IF($A8="","",IFERROR(INDEX('Timesheet Raw'!$A$4:$A$8000,MATCH($A8,'Timesheet Raw'!$B$4:$B$8000,0)),""))</f>
        <v>3-Proposals Regular</v>
      </c>
      <c r="C8" s="385">
        <f>IF($A8="","",SUMIFS('Timesheet Raw'!$P$4:$P$8000,'Timesheet Raw'!$B$4:$B$8000,$A8,'Timesheet Raw'!$L$4:$L$8000,"&gt;="&amp;DATE(C$4,1,1),'Timesheet Raw'!$L$4:$L$8000,"&lt;="&amp;DATE(C$4,12,31)))</f>
        <v>0</v>
      </c>
      <c r="D8" s="385">
        <f>IF($A8="","",SUMIFS('Timesheet Raw'!$P$4:$P$8000,'Timesheet Raw'!$B$4:$B$8000,$A8,'Timesheet Raw'!$L$4:$L$8000,"&gt;="&amp;DATE(D$4,1,1),'Timesheet Raw'!$L$4:$L$8000,"&lt;="&amp;DATE(D$4,12,31)))</f>
        <v>3</v>
      </c>
      <c r="E8" s="385">
        <f>IF($A8="","",SUMIFS('Timesheet Raw'!$P$4:$P$8000,'Timesheet Raw'!$B$4:$B$8000,$A8,'Timesheet Raw'!$L$4:$L$8000,"&gt;="&amp;DATE(E$4,1,1),'Timesheet Raw'!$L$4:$L$8000,"&lt;="&amp;DATE(E$4,12,31)))</f>
        <v>0</v>
      </c>
      <c r="F8" s="394">
        <f t="shared" si="0"/>
        <v>3</v>
      </c>
      <c r="G8" s="341">
        <f>IF($A8="","",$F8/'Profit Plan'!$B$5)</f>
        <v>1.6216216216216217E-2</v>
      </c>
      <c r="H8" s="385">
        <f>IF($A8="","",SUMIFS('Timesheet Raw'!$P$4:$P$8000,'Timesheet Raw'!$B$4:$B$8000,$A8,'Timesheet Raw'!$C$4:$C$8000,'Work Calendar'!$B$20))</f>
        <v>3</v>
      </c>
      <c r="I8" s="385">
        <f>IF($A8="","",SUMIFS('Timesheet Raw'!$P$4:$P$8000,'Timesheet Raw'!$B$4:$B$8000,$A8,'Timesheet Raw'!$C$4:$C$8000,'Work Calendar'!$B$21))</f>
        <v>0</v>
      </c>
      <c r="J8" s="385">
        <f>IF($A8="","",SUMIFS('Timesheet Raw'!$P$4:$P$8000,'Timesheet Raw'!$B$4:$B$8000,$A8,'Timesheet Raw'!$C$4:$C$8000,'Work Calendar'!$B$22))</f>
        <v>0</v>
      </c>
      <c r="K8" s="371">
        <f>IF($A8="","",IFERROR(_xlfn.MINIFS('Timesheet Raw'!$L$4:$L$8000,'Timesheet Raw'!$B$4:$B$8000,$A8),""))</f>
        <v>45753</v>
      </c>
      <c r="L8" s="371">
        <f>IF($A8="","",IFERROR(_xlfn.MAXIFS('Timesheet Raw'!$L$4:$L$8000,'Timesheet Raw'!$B$4:$B$8000,$A8),""))</f>
        <v>45754</v>
      </c>
      <c r="N8">
        <v>2026</v>
      </c>
      <c r="O8">
        <f t="shared" si="1"/>
        <v>6</v>
      </c>
      <c r="P8" s="385">
        <f>SUMIFS('Timesheet Raw'!$P$4:$P$8000,'Timesheet Raw'!$A$4:$A$8000,"2-Proposals Chargeable",'Timesheet Raw'!$L$4:$L$8000,"&gt;="&amp;DATE($N8,1,1),'Timesheet Raw'!$L$4:$L$8000,"&lt;="&amp;DATE($N8,12,31))+SUMIFS('Timesheet Raw'!$P$4:$P$8000,'Timesheet Raw'!$A$4:$A$8000,"3-Proposals Regular",'Timesheet Raw'!$L$4:$L$8000,"&gt;="&amp;DATE($N8,1,1),'Timesheet Raw'!$L$4:$L$8000,"&lt;="&amp;DATE($N8,12,31))</f>
        <v>74.25</v>
      </c>
      <c r="Q8" s="341">
        <f>$P8/'Profit Plan'!$B$5</f>
        <v>0.40135135135135136</v>
      </c>
      <c r="R8" s="385">
        <f>SUMIFS('Timesheet Raw'!$P$4:$P$8000,'Timesheet Raw'!$A$4:$A$8000,"2-Proposals Chargeable",'Timesheet Raw'!$L$4:$L$8000,"&gt;="&amp;DATE($N8,1,1),'Timesheet Raw'!$L$4:$L$8000,"&lt;="&amp;DATE($N8,12,31))</f>
        <v>61.25</v>
      </c>
    </row>
    <row r="9" spans="1:19" x14ac:dyDescent="0.3">
      <c r="A9" t="str">
        <v>PD17045</v>
      </c>
      <c r="B9" t="str">
        <f>IF($A9="","",IFERROR(INDEX('Timesheet Raw'!$A$4:$A$8000,MATCH($A9,'Timesheet Raw'!$B$4:$B$8000,0)),""))</f>
        <v>3-Proposals Regular</v>
      </c>
      <c r="C9" s="385">
        <f>IF($A9="","",SUMIFS('Timesheet Raw'!$P$4:$P$8000,'Timesheet Raw'!$B$4:$B$8000,$A9,'Timesheet Raw'!$L$4:$L$8000,"&gt;="&amp;DATE(C$4,1,1),'Timesheet Raw'!$L$4:$L$8000,"&lt;="&amp;DATE(C$4,12,31)))</f>
        <v>0</v>
      </c>
      <c r="D9" s="385">
        <f>IF($A9="","",SUMIFS('Timesheet Raw'!$P$4:$P$8000,'Timesheet Raw'!$B$4:$B$8000,$A9,'Timesheet Raw'!$L$4:$L$8000,"&gt;="&amp;DATE(D$4,1,1),'Timesheet Raw'!$L$4:$L$8000,"&lt;="&amp;DATE(D$4,12,31)))</f>
        <v>0</v>
      </c>
      <c r="E9" s="385">
        <f>IF($A9="","",SUMIFS('Timesheet Raw'!$P$4:$P$8000,'Timesheet Raw'!$B$4:$B$8000,$A9,'Timesheet Raw'!$L$4:$L$8000,"&gt;="&amp;DATE(E$4,1,1),'Timesheet Raw'!$L$4:$L$8000,"&lt;="&amp;DATE(E$4,12,31)))</f>
        <v>0</v>
      </c>
      <c r="F9" s="394">
        <f t="shared" si="0"/>
        <v>0</v>
      </c>
      <c r="G9" s="341">
        <f>IF($A9="","",$F9/'Profit Plan'!$B$5)</f>
        <v>0</v>
      </c>
      <c r="H9" s="385">
        <f>IF($A9="","",SUMIFS('Timesheet Raw'!$P$4:$P$8000,'Timesheet Raw'!$B$4:$B$8000,$A9,'Timesheet Raw'!$C$4:$C$8000,'Work Calendar'!$B$20))</f>
        <v>8.5</v>
      </c>
      <c r="I9" s="385">
        <f>IF($A9="","",SUMIFS('Timesheet Raw'!$P$4:$P$8000,'Timesheet Raw'!$B$4:$B$8000,$A9,'Timesheet Raw'!$C$4:$C$8000,'Work Calendar'!$B$21))</f>
        <v>0</v>
      </c>
      <c r="J9" s="385">
        <f>IF($A9="","",SUMIFS('Timesheet Raw'!$P$4:$P$8000,'Timesheet Raw'!$B$4:$B$8000,$A9,'Timesheet Raw'!$C$4:$C$8000,'Work Calendar'!$B$22))</f>
        <v>0</v>
      </c>
      <c r="K9" s="371">
        <f>IF($A9="","",IFERROR(_xlfn.MINIFS('Timesheet Raw'!$L$4:$L$8000,'Timesheet Raw'!$B$4:$B$8000,$A9),""))</f>
        <v>42857</v>
      </c>
      <c r="L9" s="371">
        <f>IF($A9="","",IFERROR(_xlfn.MAXIFS('Timesheet Raw'!$L$4:$L$8000,'Timesheet Raw'!$B$4:$B$8000,$A9),""))</f>
        <v>42857</v>
      </c>
    </row>
    <row r="10" spans="1:19" x14ac:dyDescent="0.3">
      <c r="A10" t="str">
        <v>PE17262</v>
      </c>
      <c r="B10" t="str">
        <f>IF($A10="","",IFERROR(INDEX('Timesheet Raw'!$A$4:$A$8000,MATCH($A10,'Timesheet Raw'!$B$4:$B$8000,0)),""))</f>
        <v>2-Proposals Chargeable</v>
      </c>
      <c r="C10" s="385">
        <f>IF($A10="","",SUMIFS('Timesheet Raw'!$P$4:$P$8000,'Timesheet Raw'!$B$4:$B$8000,$A10,'Timesheet Raw'!$L$4:$L$8000,"&gt;="&amp;DATE(C$4,1,1),'Timesheet Raw'!$L$4:$L$8000,"&lt;="&amp;DATE(C$4,12,31)))</f>
        <v>0</v>
      </c>
      <c r="D10" s="385">
        <f>IF($A10="","",SUMIFS('Timesheet Raw'!$P$4:$P$8000,'Timesheet Raw'!$B$4:$B$8000,$A10,'Timesheet Raw'!$L$4:$L$8000,"&gt;="&amp;DATE(D$4,1,1),'Timesheet Raw'!$L$4:$L$8000,"&lt;="&amp;DATE(D$4,12,31)))</f>
        <v>0</v>
      </c>
      <c r="E10" s="385">
        <f>IF($A10="","",SUMIFS('Timesheet Raw'!$P$4:$P$8000,'Timesheet Raw'!$B$4:$B$8000,$A10,'Timesheet Raw'!$L$4:$L$8000,"&gt;="&amp;DATE(E$4,1,1),'Timesheet Raw'!$L$4:$L$8000,"&lt;="&amp;DATE(E$4,12,31)))</f>
        <v>0</v>
      </c>
      <c r="F10" s="394">
        <f t="shared" si="0"/>
        <v>0</v>
      </c>
      <c r="G10" s="341">
        <f>IF($A10="","",$F10/'Profit Plan'!$B$5)</f>
        <v>0</v>
      </c>
      <c r="H10" s="385">
        <f>IF($A10="","",SUMIFS('Timesheet Raw'!$P$4:$P$8000,'Timesheet Raw'!$B$4:$B$8000,$A10,'Timesheet Raw'!$C$4:$C$8000,'Work Calendar'!$B$20))</f>
        <v>152.75</v>
      </c>
      <c r="I10" s="385">
        <f>IF($A10="","",SUMIFS('Timesheet Raw'!$P$4:$P$8000,'Timesheet Raw'!$B$4:$B$8000,$A10,'Timesheet Raw'!$C$4:$C$8000,'Work Calendar'!$B$21))</f>
        <v>0</v>
      </c>
      <c r="J10" s="385">
        <f>IF($A10="","",SUMIFS('Timesheet Raw'!$P$4:$P$8000,'Timesheet Raw'!$B$4:$B$8000,$A10,'Timesheet Raw'!$C$4:$C$8000,'Work Calendar'!$B$22))</f>
        <v>0</v>
      </c>
      <c r="K10" s="371">
        <f>IF($A10="","",IFERROR(_xlfn.MINIFS('Timesheet Raw'!$L$4:$L$8000,'Timesheet Raw'!$B$4:$B$8000,$A10),""))</f>
        <v>43654</v>
      </c>
      <c r="L10" s="371">
        <f>IF($A10="","",IFERROR(_xlfn.MAXIFS('Timesheet Raw'!$L$4:$L$8000,'Timesheet Raw'!$B$4:$B$8000,$A10),""))</f>
        <v>43702</v>
      </c>
    </row>
    <row r="11" spans="1:19" x14ac:dyDescent="0.3">
      <c r="A11" t="str">
        <v>PE240049C</v>
      </c>
      <c r="B11" t="str">
        <f>IF($A11="","",IFERROR(INDEX('Timesheet Raw'!$A$4:$A$8000,MATCH($A11,'Timesheet Raw'!$B$4:$B$8000,0)),""))</f>
        <v>2-Proposals Chargeable</v>
      </c>
      <c r="C11" s="385">
        <f>IF($A11="","",SUMIFS('Timesheet Raw'!$P$4:$P$8000,'Timesheet Raw'!$B$4:$B$8000,$A11,'Timesheet Raw'!$L$4:$L$8000,"&gt;="&amp;DATE(C$4,1,1),'Timesheet Raw'!$L$4:$L$8000,"&lt;="&amp;DATE(C$4,12,31)))</f>
        <v>44.75</v>
      </c>
      <c r="D11" s="385">
        <f>IF($A11="","",SUMIFS('Timesheet Raw'!$P$4:$P$8000,'Timesheet Raw'!$B$4:$B$8000,$A11,'Timesheet Raw'!$L$4:$L$8000,"&gt;="&amp;DATE(D$4,1,1),'Timesheet Raw'!$L$4:$L$8000,"&lt;="&amp;DATE(D$4,12,31)))</f>
        <v>0</v>
      </c>
      <c r="E11" s="385">
        <f>IF($A11="","",SUMIFS('Timesheet Raw'!$P$4:$P$8000,'Timesheet Raw'!$B$4:$B$8000,$A11,'Timesheet Raw'!$L$4:$L$8000,"&gt;="&amp;DATE(E$4,1,1),'Timesheet Raw'!$L$4:$L$8000,"&lt;="&amp;DATE(E$4,12,31)))</f>
        <v>0</v>
      </c>
      <c r="F11" s="394">
        <f t="shared" si="0"/>
        <v>44.75</v>
      </c>
      <c r="G11" s="341">
        <f>IF($A11="","",$F11/'Profit Plan'!$B$5)</f>
        <v>0.24189189189189189</v>
      </c>
      <c r="H11" s="385">
        <f>IF($A11="","",SUMIFS('Timesheet Raw'!$P$4:$P$8000,'Timesheet Raw'!$B$4:$B$8000,$A11,'Timesheet Raw'!$C$4:$C$8000,'Work Calendar'!$B$20))</f>
        <v>5</v>
      </c>
      <c r="I11" s="385">
        <f>IF($A11="","",SUMIFS('Timesheet Raw'!$P$4:$P$8000,'Timesheet Raw'!$B$4:$B$8000,$A11,'Timesheet Raw'!$C$4:$C$8000,'Work Calendar'!$B$21))</f>
        <v>39.75</v>
      </c>
      <c r="J11" s="385">
        <f>IF($A11="","",SUMIFS('Timesheet Raw'!$P$4:$P$8000,'Timesheet Raw'!$B$4:$B$8000,$A11,'Timesheet Raw'!$C$4:$C$8000,'Work Calendar'!$B$22))</f>
        <v>0</v>
      </c>
      <c r="K11" s="371">
        <f>IF($A11="","",IFERROR(_xlfn.MINIFS('Timesheet Raw'!$L$4:$L$8000,'Timesheet Raw'!$B$4:$B$8000,$A11),""))</f>
        <v>45397</v>
      </c>
      <c r="L11" s="371">
        <f>IF($A11="","",IFERROR(_xlfn.MAXIFS('Timesheet Raw'!$L$4:$L$8000,'Timesheet Raw'!$B$4:$B$8000,$A11),""))</f>
        <v>45449</v>
      </c>
      <c r="N11" s="373" t="s">
        <v>867</v>
      </c>
    </row>
    <row r="12" spans="1:19" x14ac:dyDescent="0.3">
      <c r="A12" t="str">
        <v>PE241280C-04</v>
      </c>
      <c r="B12" t="str">
        <f>IF($A12="","",IFERROR(INDEX('Timesheet Raw'!$A$4:$A$8000,MATCH($A12,'Timesheet Raw'!$B$4:$B$8000,0)),""))</f>
        <v>2-Proposals Chargeable</v>
      </c>
      <c r="C12" s="385">
        <f>IF($A12="","",SUMIFS('Timesheet Raw'!$P$4:$P$8000,'Timesheet Raw'!$B$4:$B$8000,$A12,'Timesheet Raw'!$L$4:$L$8000,"&gt;="&amp;DATE(C$4,1,1),'Timesheet Raw'!$L$4:$L$8000,"&lt;="&amp;DATE(C$4,12,31)))</f>
        <v>45.5</v>
      </c>
      <c r="D12" s="385">
        <f>IF($A12="","",SUMIFS('Timesheet Raw'!$P$4:$P$8000,'Timesheet Raw'!$B$4:$B$8000,$A12,'Timesheet Raw'!$L$4:$L$8000,"&gt;="&amp;DATE(D$4,1,1),'Timesheet Raw'!$L$4:$L$8000,"&lt;="&amp;DATE(D$4,12,31)))</f>
        <v>0</v>
      </c>
      <c r="E12" s="385">
        <f>IF($A12="","",SUMIFS('Timesheet Raw'!$P$4:$P$8000,'Timesheet Raw'!$B$4:$B$8000,$A12,'Timesheet Raw'!$L$4:$L$8000,"&gt;="&amp;DATE(E$4,1,1),'Timesheet Raw'!$L$4:$L$8000,"&lt;="&amp;DATE(E$4,12,31)))</f>
        <v>0</v>
      </c>
      <c r="F12" s="394">
        <f t="shared" si="0"/>
        <v>45.5</v>
      </c>
      <c r="G12" s="341">
        <f>IF($A12="","",$F12/'Profit Plan'!$B$5)</f>
        <v>0.24594594594594596</v>
      </c>
      <c r="H12" s="385">
        <f>IF($A12="","",SUMIFS('Timesheet Raw'!$P$4:$P$8000,'Timesheet Raw'!$B$4:$B$8000,$A12,'Timesheet Raw'!$C$4:$C$8000,'Work Calendar'!$B$20))</f>
        <v>0</v>
      </c>
      <c r="I12" s="385">
        <f>IF($A12="","",SUMIFS('Timesheet Raw'!$P$4:$P$8000,'Timesheet Raw'!$B$4:$B$8000,$A12,'Timesheet Raw'!$C$4:$C$8000,'Work Calendar'!$B$21))</f>
        <v>8.75</v>
      </c>
      <c r="J12" s="385">
        <f>IF($A12="","",SUMIFS('Timesheet Raw'!$P$4:$P$8000,'Timesheet Raw'!$B$4:$B$8000,$A12,'Timesheet Raw'!$C$4:$C$8000,'Work Calendar'!$B$22))</f>
        <v>36.75</v>
      </c>
      <c r="K12" s="371">
        <f>IF($A12="","",IFERROR(_xlfn.MINIFS('Timesheet Raw'!$L$4:$L$8000,'Timesheet Raw'!$B$4:$B$8000,$A12),""))</f>
        <v>45637</v>
      </c>
      <c r="L12" s="371">
        <f>IF($A12="","",IFERROR(_xlfn.MAXIFS('Timesheet Raw'!$L$4:$L$8000,'Timesheet Raw'!$B$4:$B$8000,$A12),""))</f>
        <v>45652</v>
      </c>
      <c r="N12" s="339" t="s">
        <v>868</v>
      </c>
      <c r="O12" s="339" t="s">
        <v>50</v>
      </c>
      <c r="P12" s="339" t="s">
        <v>869</v>
      </c>
      <c r="Q12" s="339" t="s">
        <v>870</v>
      </c>
      <c r="R12" s="339" t="s">
        <v>794</v>
      </c>
      <c r="S12" s="339" t="s">
        <v>795</v>
      </c>
    </row>
    <row r="13" spans="1:19" x14ac:dyDescent="0.3">
      <c r="A13" t="str">
        <v>PE241280C-09</v>
      </c>
      <c r="B13" t="str">
        <f>IF($A13="","",IFERROR(INDEX('Timesheet Raw'!$A$4:$A$8000,MATCH($A13,'Timesheet Raw'!$B$4:$B$8000,0)),""))</f>
        <v>2-Proposals Chargeable</v>
      </c>
      <c r="C13" s="385">
        <f>IF($A13="","",SUMIFS('Timesheet Raw'!$P$4:$P$8000,'Timesheet Raw'!$B$4:$B$8000,$A13,'Timesheet Raw'!$L$4:$L$8000,"&gt;="&amp;DATE(C$4,1,1),'Timesheet Raw'!$L$4:$L$8000,"&lt;="&amp;DATE(C$4,12,31)))</f>
        <v>34.5</v>
      </c>
      <c r="D13" s="385">
        <f>IF($A13="","",SUMIFS('Timesheet Raw'!$P$4:$P$8000,'Timesheet Raw'!$B$4:$B$8000,$A13,'Timesheet Raw'!$L$4:$L$8000,"&gt;="&amp;DATE(D$4,1,1),'Timesheet Raw'!$L$4:$L$8000,"&lt;="&amp;DATE(D$4,12,31)))</f>
        <v>164.75</v>
      </c>
      <c r="E13" s="385">
        <f>IF($A13="","",SUMIFS('Timesheet Raw'!$P$4:$P$8000,'Timesheet Raw'!$B$4:$B$8000,$A13,'Timesheet Raw'!$L$4:$L$8000,"&gt;="&amp;DATE(E$4,1,1),'Timesheet Raw'!$L$4:$L$8000,"&lt;="&amp;DATE(E$4,12,31)))</f>
        <v>0</v>
      </c>
      <c r="F13" s="394">
        <f t="shared" si="0"/>
        <v>199.25</v>
      </c>
      <c r="G13" s="341">
        <f>IF($A13="","",$F13/'Profit Plan'!$B$5)</f>
        <v>1.077027027027027</v>
      </c>
      <c r="H13" s="385">
        <f>IF($A13="","",SUMIFS('Timesheet Raw'!$P$4:$P$8000,'Timesheet Raw'!$B$4:$B$8000,$A13,'Timesheet Raw'!$C$4:$C$8000,'Work Calendar'!$B$20))</f>
        <v>73.25</v>
      </c>
      <c r="I13" s="385">
        <f>IF($A13="","",SUMIFS('Timesheet Raw'!$P$4:$P$8000,'Timesheet Raw'!$B$4:$B$8000,$A13,'Timesheet Raw'!$C$4:$C$8000,'Work Calendar'!$B$21))</f>
        <v>68.25</v>
      </c>
      <c r="J13" s="385">
        <f>IF($A13="","",SUMIFS('Timesheet Raw'!$P$4:$P$8000,'Timesheet Raw'!$B$4:$B$8000,$A13,'Timesheet Raw'!$C$4:$C$8000,'Work Calendar'!$B$22))</f>
        <v>57.75</v>
      </c>
      <c r="K13" s="371">
        <f>IF($A13="","",IFERROR(_xlfn.MINIFS('Timesheet Raw'!$L$4:$L$8000,'Timesheet Raw'!$B$4:$B$8000,$A13),""))</f>
        <v>45649</v>
      </c>
      <c r="L13" s="371">
        <f>IF($A13="","",IFERROR(_xlfn.MAXIFS('Timesheet Raw'!$L$4:$L$8000,'Timesheet Raw'!$B$4:$B$8000,$A13),""))</f>
        <v>45676</v>
      </c>
      <c r="N13" t="s">
        <v>254</v>
      </c>
      <c r="O13">
        <v>2024</v>
      </c>
      <c r="P13" t="s">
        <v>703</v>
      </c>
      <c r="Q13" s="385">
        <f>SUMIFS('Timesheet Raw'!$P$4:$P$8000,'Timesheet Raw'!$A$4:$A$8000,$P13,'Timesheet Raw'!$L$4:$L$8000,"&gt;="&amp;DATE($O13,1,1),'Timesheet Raw'!$L$4:$L$8000,"&lt;="&amp;DATE($O13,12,31))</f>
        <v>99.25</v>
      </c>
      <c r="R13" s="371">
        <f>IFERROR(_xlfn.MINIFS('Timesheet Raw'!$L$4:$L$8000,'Timesheet Raw'!$A$4:$A$8000,$P13,'Timesheet Raw'!$L$4:$L$8000,"&gt;="&amp;DATE($O13,1,1),'Timesheet Raw'!$L$4:$L$8000,"&lt;="&amp;DATE($O13,12,31)),"")</f>
        <v>45327</v>
      </c>
      <c r="S13" s="371">
        <f>IFERROR(_xlfn.MAXIFS('Timesheet Raw'!$L$4:$L$8000,'Timesheet Raw'!$A$4:$A$8000,$P13,'Timesheet Raw'!$L$4:$L$8000,"&gt;="&amp;DATE($O13,1,1),'Timesheet Raw'!$L$4:$L$8000,"&lt;="&amp;DATE($O13,12,31)),"")</f>
        <v>45644</v>
      </c>
    </row>
    <row r="14" spans="1:19" x14ac:dyDescent="0.3">
      <c r="A14" t="str">
        <v>PE241280C-12</v>
      </c>
      <c r="B14" t="str">
        <f>IF($A14="","",IFERROR(INDEX('Timesheet Raw'!$A$4:$A$8000,MATCH($A14,'Timesheet Raw'!$B$4:$B$8000,0)),""))</f>
        <v>2-Proposals Chargeable</v>
      </c>
      <c r="C14" s="385">
        <f>IF($A14="","",SUMIFS('Timesheet Raw'!$P$4:$P$8000,'Timesheet Raw'!$B$4:$B$8000,$A14,'Timesheet Raw'!$L$4:$L$8000,"&gt;="&amp;DATE(C$4,1,1),'Timesheet Raw'!$L$4:$L$8000,"&lt;="&amp;DATE(C$4,12,31)))</f>
        <v>0</v>
      </c>
      <c r="D14" s="385">
        <f>IF($A14="","",SUMIFS('Timesheet Raw'!$P$4:$P$8000,'Timesheet Raw'!$B$4:$B$8000,$A14,'Timesheet Raw'!$L$4:$L$8000,"&gt;="&amp;DATE(D$4,1,1),'Timesheet Raw'!$L$4:$L$8000,"&lt;="&amp;DATE(D$4,12,31)))</f>
        <v>7.25</v>
      </c>
      <c r="E14" s="385">
        <f>IF($A14="","",SUMIFS('Timesheet Raw'!$P$4:$P$8000,'Timesheet Raw'!$B$4:$B$8000,$A14,'Timesheet Raw'!$L$4:$L$8000,"&gt;="&amp;DATE(E$4,1,1),'Timesheet Raw'!$L$4:$L$8000,"&lt;="&amp;DATE(E$4,12,31)))</f>
        <v>0</v>
      </c>
      <c r="F14" s="394">
        <f t="shared" si="0"/>
        <v>7.25</v>
      </c>
      <c r="G14" s="341">
        <f>IF($A14="","",$F14/'Profit Plan'!$B$5)</f>
        <v>3.9189189189189191E-2</v>
      </c>
      <c r="H14" s="385">
        <f>IF($A14="","",SUMIFS('Timesheet Raw'!$P$4:$P$8000,'Timesheet Raw'!$B$4:$B$8000,$A14,'Timesheet Raw'!$C$4:$C$8000,'Work Calendar'!$B$20))</f>
        <v>7.25</v>
      </c>
      <c r="I14" s="385">
        <f>IF($A14="","",SUMIFS('Timesheet Raw'!$P$4:$P$8000,'Timesheet Raw'!$B$4:$B$8000,$A14,'Timesheet Raw'!$C$4:$C$8000,'Work Calendar'!$B$21))</f>
        <v>0</v>
      </c>
      <c r="J14" s="385">
        <f>IF($A14="","",SUMIFS('Timesheet Raw'!$P$4:$P$8000,'Timesheet Raw'!$B$4:$B$8000,$A14,'Timesheet Raw'!$C$4:$C$8000,'Work Calendar'!$B$22))</f>
        <v>0</v>
      </c>
      <c r="K14" s="371">
        <f>IF($A14="","",IFERROR(_xlfn.MINIFS('Timesheet Raw'!$L$4:$L$8000,'Timesheet Raw'!$B$4:$B$8000,$A14),""))</f>
        <v>45735</v>
      </c>
      <c r="L14" s="371">
        <f>IF($A14="","",IFERROR(_xlfn.MAXIFS('Timesheet Raw'!$L$4:$L$8000,'Timesheet Raw'!$B$4:$B$8000,$A14),""))</f>
        <v>45735</v>
      </c>
      <c r="N14" t="s">
        <v>253</v>
      </c>
      <c r="O14">
        <v>2024</v>
      </c>
      <c r="P14" t="s">
        <v>710</v>
      </c>
      <c r="Q14" s="385">
        <f>SUMIFS('Timesheet Raw'!$P$4:$P$8000,'Timesheet Raw'!$A$4:$A$8000,$P14,'Timesheet Raw'!$L$4:$L$8000,"&gt;="&amp;DATE($O14,1,1),'Timesheet Raw'!$L$4:$L$8000,"&lt;="&amp;DATE($O14,12,31))</f>
        <v>343</v>
      </c>
      <c r="R14" s="371">
        <f>IFERROR(_xlfn.MINIFS('Timesheet Raw'!$L$4:$L$8000,'Timesheet Raw'!$A$4:$A$8000,$P14,'Timesheet Raw'!$L$4:$L$8000,"&gt;="&amp;DATE($O14,1,1),'Timesheet Raw'!$L$4:$L$8000,"&lt;="&amp;DATE($O14,12,31)),"")</f>
        <v>45323</v>
      </c>
      <c r="S14" s="371">
        <f>IFERROR(_xlfn.MAXIFS('Timesheet Raw'!$L$4:$L$8000,'Timesheet Raw'!$A$4:$A$8000,$P14,'Timesheet Raw'!$L$4:$L$8000,"&gt;="&amp;DATE($O14,1,1),'Timesheet Raw'!$L$4:$L$8000,"&lt;="&amp;DATE($O14,12,31)),"")</f>
        <v>45656</v>
      </c>
    </row>
    <row r="15" spans="1:19" x14ac:dyDescent="0.3">
      <c r="A15" t="str">
        <v>PECO231523C</v>
      </c>
      <c r="B15" t="str">
        <f>IF($A15="","",IFERROR(INDEX('Timesheet Raw'!$A$4:$A$8000,MATCH($A15,'Timesheet Raw'!$B$4:$B$8000,0)),""))</f>
        <v>2-Proposals Chargeable</v>
      </c>
      <c r="C15" s="385">
        <f>IF($A15="","",SUMIFS('Timesheet Raw'!$P$4:$P$8000,'Timesheet Raw'!$B$4:$B$8000,$A15,'Timesheet Raw'!$L$4:$L$8000,"&gt;="&amp;DATE(C$4,1,1),'Timesheet Raw'!$L$4:$L$8000,"&lt;="&amp;DATE(C$4,12,31)))</f>
        <v>0</v>
      </c>
      <c r="D15" s="385">
        <f>IF($A15="","",SUMIFS('Timesheet Raw'!$P$4:$P$8000,'Timesheet Raw'!$B$4:$B$8000,$A15,'Timesheet Raw'!$L$4:$L$8000,"&gt;="&amp;DATE(D$4,1,1),'Timesheet Raw'!$L$4:$L$8000,"&lt;="&amp;DATE(D$4,12,31)))</f>
        <v>31.5</v>
      </c>
      <c r="E15" s="385">
        <f>IF($A15="","",SUMIFS('Timesheet Raw'!$P$4:$P$8000,'Timesheet Raw'!$B$4:$B$8000,$A15,'Timesheet Raw'!$L$4:$L$8000,"&gt;="&amp;DATE(E$4,1,1),'Timesheet Raw'!$L$4:$L$8000,"&lt;="&amp;DATE(E$4,12,31)))</f>
        <v>7</v>
      </c>
      <c r="F15" s="394">
        <f t="shared" si="0"/>
        <v>38.5</v>
      </c>
      <c r="G15" s="341">
        <f>IF($A15="","",$F15/'Profit Plan'!$B$5)</f>
        <v>0.20810810810810812</v>
      </c>
      <c r="H15" s="385">
        <f>IF($A15="","",SUMIFS('Timesheet Raw'!$P$4:$P$8000,'Timesheet Raw'!$B$4:$B$8000,$A15,'Timesheet Raw'!$C$4:$C$8000,'Work Calendar'!$B$20))</f>
        <v>144.75</v>
      </c>
      <c r="I15" s="385">
        <f>IF($A15="","",SUMIFS('Timesheet Raw'!$P$4:$P$8000,'Timesheet Raw'!$B$4:$B$8000,$A15,'Timesheet Raw'!$C$4:$C$8000,'Work Calendar'!$B$21))</f>
        <v>22.75</v>
      </c>
      <c r="J15" s="385">
        <f>IF($A15="","",SUMIFS('Timesheet Raw'!$P$4:$P$8000,'Timesheet Raw'!$B$4:$B$8000,$A15,'Timesheet Raw'!$C$4:$C$8000,'Work Calendar'!$B$22))</f>
        <v>0</v>
      </c>
      <c r="K15" s="371">
        <f>IF($A15="","",IFERROR(_xlfn.MINIFS('Timesheet Raw'!$L$4:$L$8000,'Timesheet Raw'!$B$4:$B$8000,$A15),""))</f>
        <v>45223</v>
      </c>
      <c r="L15" s="371">
        <f>IF($A15="","",IFERROR(_xlfn.MAXIFS('Timesheet Raw'!$L$4:$L$8000,'Timesheet Raw'!$B$4:$B$8000,$A15),""))</f>
        <v>46106</v>
      </c>
      <c r="N15" t="s">
        <v>255</v>
      </c>
      <c r="O15">
        <v>2025</v>
      </c>
      <c r="P15" t="s">
        <v>703</v>
      </c>
      <c r="Q15" s="385">
        <f>SUMIFS('Timesheet Raw'!$P$4:$P$8000,'Timesheet Raw'!$A$4:$A$8000,$P15,'Timesheet Raw'!$L$4:$L$8000,"&gt;="&amp;DATE($O15,1,1),'Timesheet Raw'!$L$4:$L$8000,"&lt;="&amp;DATE($O15,12,31))</f>
        <v>385.5</v>
      </c>
      <c r="R15" s="371">
        <f>IFERROR(_xlfn.MINIFS('Timesheet Raw'!$L$4:$L$8000,'Timesheet Raw'!$A$4:$A$8000,$P15,'Timesheet Raw'!$L$4:$L$8000,"&gt;="&amp;DATE($O15,1,1),'Timesheet Raw'!$L$4:$L$8000,"&lt;="&amp;DATE($O15,12,31)),"")</f>
        <v>45707</v>
      </c>
      <c r="S15" s="371">
        <f>IFERROR(_xlfn.MAXIFS('Timesheet Raw'!$L$4:$L$8000,'Timesheet Raw'!$A$4:$A$8000,$P15,'Timesheet Raw'!$L$4:$L$8000,"&gt;="&amp;DATE($O15,1,1),'Timesheet Raw'!$L$4:$L$8000,"&lt;="&amp;DATE($O15,12,31)),"")</f>
        <v>46002</v>
      </c>
    </row>
    <row r="16" spans="1:19" x14ac:dyDescent="0.3">
      <c r="A16" t="str">
        <v>PIN250656</v>
      </c>
      <c r="B16" t="str">
        <f>IF($A16="","",IFERROR(INDEX('Timesheet Raw'!$A$4:$A$8000,MATCH($A16,'Timesheet Raw'!$B$4:$B$8000,0)),""))</f>
        <v>3-Proposals Regular</v>
      </c>
      <c r="C16" s="385">
        <f>IF($A16="","",SUMIFS('Timesheet Raw'!$P$4:$P$8000,'Timesheet Raw'!$B$4:$B$8000,$A16,'Timesheet Raw'!$L$4:$L$8000,"&gt;="&amp;DATE(C$4,1,1),'Timesheet Raw'!$L$4:$L$8000,"&lt;="&amp;DATE(C$4,12,31)))</f>
        <v>0</v>
      </c>
      <c r="D16" s="385">
        <f>IF($A16="","",SUMIFS('Timesheet Raw'!$P$4:$P$8000,'Timesheet Raw'!$B$4:$B$8000,$A16,'Timesheet Raw'!$L$4:$L$8000,"&gt;="&amp;DATE(D$4,1,1),'Timesheet Raw'!$L$4:$L$8000,"&lt;="&amp;DATE(D$4,12,31)))</f>
        <v>2</v>
      </c>
      <c r="E16" s="385">
        <f>IF($A16="","",SUMIFS('Timesheet Raw'!$P$4:$P$8000,'Timesheet Raw'!$B$4:$B$8000,$A16,'Timesheet Raw'!$L$4:$L$8000,"&gt;="&amp;DATE(E$4,1,1),'Timesheet Raw'!$L$4:$L$8000,"&lt;="&amp;DATE(E$4,12,31)))</f>
        <v>0</v>
      </c>
      <c r="F16" s="394">
        <f t="shared" si="0"/>
        <v>2</v>
      </c>
      <c r="G16" s="341">
        <f>IF($A16="","",$F16/'Profit Plan'!$B$5)</f>
        <v>1.0810810810810811E-2</v>
      </c>
      <c r="H16" s="385">
        <f>IF($A16="","",SUMIFS('Timesheet Raw'!$P$4:$P$8000,'Timesheet Raw'!$B$4:$B$8000,$A16,'Timesheet Raw'!$C$4:$C$8000,'Work Calendar'!$B$20))</f>
        <v>2</v>
      </c>
      <c r="I16" s="385">
        <f>IF($A16="","",SUMIFS('Timesheet Raw'!$P$4:$P$8000,'Timesheet Raw'!$B$4:$B$8000,$A16,'Timesheet Raw'!$C$4:$C$8000,'Work Calendar'!$B$21))</f>
        <v>0</v>
      </c>
      <c r="J16" s="385">
        <f>IF($A16="","",SUMIFS('Timesheet Raw'!$P$4:$P$8000,'Timesheet Raw'!$B$4:$B$8000,$A16,'Timesheet Raw'!$C$4:$C$8000,'Work Calendar'!$B$22))</f>
        <v>0</v>
      </c>
      <c r="K16" s="371">
        <f>IF($A16="","",IFERROR(_xlfn.MINIFS('Timesheet Raw'!$L$4:$L$8000,'Timesheet Raw'!$B$4:$B$8000,$A16),""))</f>
        <v>45804</v>
      </c>
      <c r="L16" s="371">
        <f>IF($A16="","",IFERROR(_xlfn.MAXIFS('Timesheet Raw'!$L$4:$L$8000,'Timesheet Raw'!$B$4:$B$8000,$A16),""))</f>
        <v>45804</v>
      </c>
      <c r="N16" t="s">
        <v>256</v>
      </c>
      <c r="O16">
        <v>2025</v>
      </c>
      <c r="P16" t="s">
        <v>710</v>
      </c>
      <c r="Q16" s="385">
        <f>SUMIFS('Timesheet Raw'!$P$4:$P$8000,'Timesheet Raw'!$A$4:$A$8000,$P16,'Timesheet Raw'!$L$4:$L$8000,"&gt;="&amp;DATE($O16,1,1),'Timesheet Raw'!$L$4:$L$8000,"&lt;="&amp;DATE($O16,12,31))</f>
        <v>729.5</v>
      </c>
      <c r="R16" s="371">
        <f>IFERROR(_xlfn.MINIFS('Timesheet Raw'!$L$4:$L$8000,'Timesheet Raw'!$A$4:$A$8000,$P16,'Timesheet Raw'!$L$4:$L$8000,"&gt;="&amp;DATE($O16,1,1),'Timesheet Raw'!$L$4:$L$8000,"&lt;="&amp;DATE($O16,12,31)),"")</f>
        <v>45659</v>
      </c>
      <c r="S16" s="371">
        <f>IFERROR(_xlfn.MAXIFS('Timesheet Raw'!$L$4:$L$8000,'Timesheet Raw'!$A$4:$A$8000,$P16,'Timesheet Raw'!$L$4:$L$8000,"&gt;="&amp;DATE($O16,1,1),'Timesheet Raw'!$L$4:$L$8000,"&lt;="&amp;DATE($O16,12,31)),"")</f>
        <v>45908</v>
      </c>
    </row>
    <row r="17" spans="1:19" x14ac:dyDescent="0.3">
      <c r="A17" t="str">
        <v>PJ240530</v>
      </c>
      <c r="B17" t="str">
        <f>IF($A17="","",IFERROR(INDEX('Timesheet Raw'!$A$4:$A$8000,MATCH($A17,'Timesheet Raw'!$B$4:$B$8000,0)),""))</f>
        <v>3-Proposals Regular</v>
      </c>
      <c r="C17" s="385">
        <f>IF($A17="","",SUMIFS('Timesheet Raw'!$P$4:$P$8000,'Timesheet Raw'!$B$4:$B$8000,$A17,'Timesheet Raw'!$L$4:$L$8000,"&gt;="&amp;DATE(C$4,1,1),'Timesheet Raw'!$L$4:$L$8000,"&lt;="&amp;DATE(C$4,12,31)))</f>
        <v>3</v>
      </c>
      <c r="D17" s="385">
        <f>IF($A17="","",SUMIFS('Timesheet Raw'!$P$4:$P$8000,'Timesheet Raw'!$B$4:$B$8000,$A17,'Timesheet Raw'!$L$4:$L$8000,"&gt;="&amp;DATE(D$4,1,1),'Timesheet Raw'!$L$4:$L$8000,"&lt;="&amp;DATE(D$4,12,31)))</f>
        <v>0</v>
      </c>
      <c r="E17" s="385">
        <f>IF($A17="","",SUMIFS('Timesheet Raw'!$P$4:$P$8000,'Timesheet Raw'!$B$4:$B$8000,$A17,'Timesheet Raw'!$L$4:$L$8000,"&gt;="&amp;DATE(E$4,1,1),'Timesheet Raw'!$L$4:$L$8000,"&lt;="&amp;DATE(E$4,12,31)))</f>
        <v>0</v>
      </c>
      <c r="F17" s="394">
        <f t="shared" si="0"/>
        <v>3</v>
      </c>
      <c r="G17" s="341">
        <f>IF($A17="","",$F17/'Profit Plan'!$B$5)</f>
        <v>1.6216216216216217E-2</v>
      </c>
      <c r="H17" s="385">
        <f>IF($A17="","",SUMIFS('Timesheet Raw'!$P$4:$P$8000,'Timesheet Raw'!$B$4:$B$8000,$A17,'Timesheet Raw'!$C$4:$C$8000,'Work Calendar'!$B$20))</f>
        <v>3</v>
      </c>
      <c r="I17" s="385">
        <f>IF($A17="","",SUMIFS('Timesheet Raw'!$P$4:$P$8000,'Timesheet Raw'!$B$4:$B$8000,$A17,'Timesheet Raw'!$C$4:$C$8000,'Work Calendar'!$B$21))</f>
        <v>0</v>
      </c>
      <c r="J17" s="385">
        <f>IF($A17="","",SUMIFS('Timesheet Raw'!$P$4:$P$8000,'Timesheet Raw'!$B$4:$B$8000,$A17,'Timesheet Raw'!$C$4:$C$8000,'Work Calendar'!$B$22))</f>
        <v>0</v>
      </c>
      <c r="K17" s="371">
        <f>IF($A17="","",IFERROR(_xlfn.MINIFS('Timesheet Raw'!$L$4:$L$8000,'Timesheet Raw'!$B$4:$B$8000,$A17),""))</f>
        <v>45431</v>
      </c>
      <c r="L17" s="371">
        <f>IF($A17="","",IFERROR(_xlfn.MAXIFS('Timesheet Raw'!$L$4:$L$8000,'Timesheet Raw'!$B$4:$B$8000,$A17),""))</f>
        <v>45449</v>
      </c>
      <c r="N17" t="s">
        <v>257</v>
      </c>
      <c r="O17">
        <v>2026</v>
      </c>
      <c r="P17" t="s">
        <v>703</v>
      </c>
      <c r="Q17" s="385">
        <f>SUMIFS('Timesheet Raw'!$P$4:$P$8000,'Timesheet Raw'!$A$4:$A$8000,$P17,'Timesheet Raw'!$L$4:$L$8000,"&gt;="&amp;DATE($O17,1,1),'Timesheet Raw'!$L$4:$L$8000,"&lt;="&amp;DATE($O17,12,31))</f>
        <v>13</v>
      </c>
      <c r="R17" s="371">
        <f>IFERROR(_xlfn.MINIFS('Timesheet Raw'!$L$4:$L$8000,'Timesheet Raw'!$A$4:$A$8000,$P17,'Timesheet Raw'!$L$4:$L$8000,"&gt;="&amp;DATE($O17,1,1),'Timesheet Raw'!$L$4:$L$8000,"&lt;="&amp;DATE($O17,12,31)),"")</f>
        <v>46041</v>
      </c>
      <c r="S17" s="371">
        <f>IFERROR(_xlfn.MAXIFS('Timesheet Raw'!$L$4:$L$8000,'Timesheet Raw'!$A$4:$A$8000,$P17,'Timesheet Raw'!$L$4:$L$8000,"&gt;="&amp;DATE($O17,1,1),'Timesheet Raw'!$L$4:$L$8000,"&lt;="&amp;DATE($O17,12,31)),"")</f>
        <v>46093</v>
      </c>
    </row>
    <row r="18" spans="1:19" x14ac:dyDescent="0.3">
      <c r="A18" t="str">
        <v>PJ260118</v>
      </c>
      <c r="B18" t="str">
        <f>IF($A18="","",IFERROR(INDEX('Timesheet Raw'!$A$4:$A$8000,MATCH($A18,'Timesheet Raw'!$B$4:$B$8000,0)),""))</f>
        <v>3-Proposals Regular</v>
      </c>
      <c r="C18" s="385">
        <f>IF($A18="","",SUMIFS('Timesheet Raw'!$P$4:$P$8000,'Timesheet Raw'!$B$4:$B$8000,$A18,'Timesheet Raw'!$L$4:$L$8000,"&gt;="&amp;DATE(C$4,1,1),'Timesheet Raw'!$L$4:$L$8000,"&lt;="&amp;DATE(C$4,12,31)))</f>
        <v>0</v>
      </c>
      <c r="D18" s="385">
        <f>IF($A18="","",SUMIFS('Timesheet Raw'!$P$4:$P$8000,'Timesheet Raw'!$B$4:$B$8000,$A18,'Timesheet Raw'!$L$4:$L$8000,"&gt;="&amp;DATE(D$4,1,1),'Timesheet Raw'!$L$4:$L$8000,"&lt;="&amp;DATE(D$4,12,31)))</f>
        <v>0</v>
      </c>
      <c r="E18" s="385">
        <f>IF($A18="","",SUMIFS('Timesheet Raw'!$P$4:$P$8000,'Timesheet Raw'!$B$4:$B$8000,$A18,'Timesheet Raw'!$L$4:$L$8000,"&gt;="&amp;DATE(E$4,1,1),'Timesheet Raw'!$L$4:$L$8000,"&lt;="&amp;DATE(E$4,12,31)))</f>
        <v>1</v>
      </c>
      <c r="F18" s="394">
        <f t="shared" si="0"/>
        <v>1</v>
      </c>
      <c r="G18" s="341">
        <f>IF($A18="","",$F18/'Profit Plan'!$B$5)</f>
        <v>5.4054054054054057E-3</v>
      </c>
      <c r="H18" s="385">
        <f>IF($A18="","",SUMIFS('Timesheet Raw'!$P$4:$P$8000,'Timesheet Raw'!$B$4:$B$8000,$A18,'Timesheet Raw'!$C$4:$C$8000,'Work Calendar'!$B$20))</f>
        <v>1</v>
      </c>
      <c r="I18" s="385">
        <f>IF($A18="","",SUMIFS('Timesheet Raw'!$P$4:$P$8000,'Timesheet Raw'!$B$4:$B$8000,$A18,'Timesheet Raw'!$C$4:$C$8000,'Work Calendar'!$B$21))</f>
        <v>0</v>
      </c>
      <c r="J18" s="385">
        <f>IF($A18="","",SUMIFS('Timesheet Raw'!$P$4:$P$8000,'Timesheet Raw'!$B$4:$B$8000,$A18,'Timesheet Raw'!$C$4:$C$8000,'Work Calendar'!$B$22))</f>
        <v>0</v>
      </c>
      <c r="K18" s="371">
        <f>IF($A18="","",IFERROR(_xlfn.MINIFS('Timesheet Raw'!$L$4:$L$8000,'Timesheet Raw'!$B$4:$B$8000,$A18),""))</f>
        <v>46041</v>
      </c>
      <c r="L18" s="371">
        <f>IF($A18="","",IFERROR(_xlfn.MAXIFS('Timesheet Raw'!$L$4:$L$8000,'Timesheet Raw'!$B$4:$B$8000,$A18),""))</f>
        <v>46041</v>
      </c>
      <c r="N18" t="s">
        <v>252</v>
      </c>
      <c r="O18">
        <v>2026</v>
      </c>
      <c r="P18" t="s">
        <v>710</v>
      </c>
      <c r="Q18" s="385">
        <f>SUMIFS('Timesheet Raw'!$P$4:$P$8000,'Timesheet Raw'!$A$4:$A$8000,$P18,'Timesheet Raw'!$L$4:$L$8000,"&gt;="&amp;DATE($O18,1,1),'Timesheet Raw'!$L$4:$L$8000,"&lt;="&amp;DATE($O18,12,31))</f>
        <v>61.25</v>
      </c>
      <c r="R18" s="371">
        <f>IFERROR(_xlfn.MINIFS('Timesheet Raw'!$L$4:$L$8000,'Timesheet Raw'!$A$4:$A$8000,$P18,'Timesheet Raw'!$L$4:$L$8000,"&gt;="&amp;DATE($O18,1,1),'Timesheet Raw'!$L$4:$L$8000,"&lt;="&amp;DATE($O18,12,31)),"")</f>
        <v>46078</v>
      </c>
      <c r="S18" s="371">
        <f>IFERROR(_xlfn.MAXIFS('Timesheet Raw'!$L$4:$L$8000,'Timesheet Raw'!$A$4:$A$8000,$P18,'Timesheet Raw'!$L$4:$L$8000,"&gt;="&amp;DATE($O18,1,1),'Timesheet Raw'!$L$4:$L$8000,"&lt;="&amp;DATE($O18,12,31)),"")</f>
        <v>46156</v>
      </c>
    </row>
    <row r="19" spans="1:19" x14ac:dyDescent="0.3">
      <c r="A19" t="str">
        <v>PN230795C</v>
      </c>
      <c r="B19" t="str">
        <f>IF($A19="","",IFERROR(INDEX('Timesheet Raw'!$A$4:$A$8000,MATCH($A19,'Timesheet Raw'!$B$4:$B$8000,0)),""))</f>
        <v>2-Proposals Chargeable</v>
      </c>
      <c r="C19" s="385">
        <f>IF($A19="","",SUMIFS('Timesheet Raw'!$P$4:$P$8000,'Timesheet Raw'!$B$4:$B$8000,$A19,'Timesheet Raw'!$L$4:$L$8000,"&gt;="&amp;DATE(C$4,1,1),'Timesheet Raw'!$L$4:$L$8000,"&lt;="&amp;DATE(C$4,12,31)))</f>
        <v>218.25</v>
      </c>
      <c r="D19" s="385">
        <f>IF($A19="","",SUMIFS('Timesheet Raw'!$P$4:$P$8000,'Timesheet Raw'!$B$4:$B$8000,$A19,'Timesheet Raw'!$L$4:$L$8000,"&gt;="&amp;DATE(D$4,1,1),'Timesheet Raw'!$L$4:$L$8000,"&lt;="&amp;DATE(D$4,12,31)))</f>
        <v>507</v>
      </c>
      <c r="E19" s="385">
        <f>IF($A19="","",SUMIFS('Timesheet Raw'!$P$4:$P$8000,'Timesheet Raw'!$B$4:$B$8000,$A19,'Timesheet Raw'!$L$4:$L$8000,"&gt;="&amp;DATE(E$4,1,1),'Timesheet Raw'!$L$4:$L$8000,"&lt;="&amp;DATE(E$4,12,31)))</f>
        <v>0</v>
      </c>
      <c r="F19" s="394">
        <f t="shared" si="0"/>
        <v>725.25</v>
      </c>
      <c r="G19" s="341">
        <f>IF($A19="","",$F19/'Profit Plan'!$B$5)</f>
        <v>3.9202702702702701</v>
      </c>
      <c r="H19" s="385">
        <f>IF($A19="","",SUMIFS('Timesheet Raw'!$P$4:$P$8000,'Timesheet Raw'!$B$4:$B$8000,$A19,'Timesheet Raw'!$C$4:$C$8000,'Work Calendar'!$B$20))</f>
        <v>221.25</v>
      </c>
      <c r="I19" s="385">
        <f>IF($A19="","",SUMIFS('Timesheet Raw'!$P$4:$P$8000,'Timesheet Raw'!$B$4:$B$8000,$A19,'Timesheet Raw'!$C$4:$C$8000,'Work Calendar'!$B$21))</f>
        <v>504</v>
      </c>
      <c r="J19" s="385">
        <f>IF($A19="","",SUMIFS('Timesheet Raw'!$P$4:$P$8000,'Timesheet Raw'!$B$4:$B$8000,$A19,'Timesheet Raw'!$C$4:$C$8000,'Work Calendar'!$B$22))</f>
        <v>0</v>
      </c>
      <c r="K19" s="371">
        <f>IF($A19="","",IFERROR(_xlfn.MINIFS('Timesheet Raw'!$L$4:$L$8000,'Timesheet Raw'!$B$4:$B$8000,$A19),""))</f>
        <v>45323</v>
      </c>
      <c r="L19" s="371">
        <f>IF($A19="","",IFERROR(_xlfn.MAXIFS('Timesheet Raw'!$L$4:$L$8000,'Timesheet Raw'!$B$4:$B$8000,$A19),""))</f>
        <v>45908</v>
      </c>
    </row>
    <row r="20" spans="1:19" x14ac:dyDescent="0.3">
      <c r="A20" t="str">
        <v>PN250010C</v>
      </c>
      <c r="B20" t="str">
        <f>IF($A20="","",IFERROR(INDEX('Timesheet Raw'!$A$4:$A$8000,MATCH($A20,'Timesheet Raw'!$B$4:$B$8000,0)),""))</f>
        <v>2-Proposals Chargeable</v>
      </c>
      <c r="C20" s="385">
        <f>IF($A20="","",SUMIFS('Timesheet Raw'!$P$4:$P$8000,'Timesheet Raw'!$B$4:$B$8000,$A20,'Timesheet Raw'!$L$4:$L$8000,"&gt;="&amp;DATE(C$4,1,1),'Timesheet Raw'!$L$4:$L$8000,"&lt;="&amp;DATE(C$4,12,31)))</f>
        <v>0</v>
      </c>
      <c r="D20" s="385">
        <f>IF($A20="","",SUMIFS('Timesheet Raw'!$P$4:$P$8000,'Timesheet Raw'!$B$4:$B$8000,$A20,'Timesheet Raw'!$L$4:$L$8000,"&gt;="&amp;DATE(D$4,1,1),'Timesheet Raw'!$L$4:$L$8000,"&lt;="&amp;DATE(D$4,12,31)))</f>
        <v>17</v>
      </c>
      <c r="E20" s="385">
        <f>IF($A20="","",SUMIFS('Timesheet Raw'!$P$4:$P$8000,'Timesheet Raw'!$B$4:$B$8000,$A20,'Timesheet Raw'!$L$4:$L$8000,"&gt;="&amp;DATE(E$4,1,1),'Timesheet Raw'!$L$4:$L$8000,"&lt;="&amp;DATE(E$4,12,31)))</f>
        <v>0</v>
      </c>
      <c r="F20" s="394">
        <f t="shared" si="0"/>
        <v>17</v>
      </c>
      <c r="G20" s="341">
        <f>IF($A20="","",$F20/'Profit Plan'!$B$5)</f>
        <v>9.1891891891891897E-2</v>
      </c>
      <c r="H20" s="385">
        <f>IF($A20="","",SUMIFS('Timesheet Raw'!$P$4:$P$8000,'Timesheet Raw'!$B$4:$B$8000,$A20,'Timesheet Raw'!$C$4:$C$8000,'Work Calendar'!$B$20))</f>
        <v>0</v>
      </c>
      <c r="I20" s="385">
        <f>IF($A20="","",SUMIFS('Timesheet Raw'!$P$4:$P$8000,'Timesheet Raw'!$B$4:$B$8000,$A20,'Timesheet Raw'!$C$4:$C$8000,'Work Calendar'!$B$21))</f>
        <v>17</v>
      </c>
      <c r="J20" s="385">
        <f>IF($A20="","",SUMIFS('Timesheet Raw'!$P$4:$P$8000,'Timesheet Raw'!$B$4:$B$8000,$A20,'Timesheet Raw'!$C$4:$C$8000,'Work Calendar'!$B$22))</f>
        <v>0</v>
      </c>
      <c r="K20" s="371">
        <f>IF($A20="","",IFERROR(_xlfn.MINIFS('Timesheet Raw'!$L$4:$L$8000,'Timesheet Raw'!$B$4:$B$8000,$A20),""))</f>
        <v>45665</v>
      </c>
      <c r="L20" s="371">
        <f>IF($A20="","",IFERROR(_xlfn.MAXIFS('Timesheet Raw'!$L$4:$L$8000,'Timesheet Raw'!$B$4:$B$8000,$A20),""))</f>
        <v>45666</v>
      </c>
    </row>
    <row r="21" spans="1:19" x14ac:dyDescent="0.3">
      <c r="A21" t="str">
        <v>PPY250473</v>
      </c>
      <c r="B21" t="str">
        <f>IF($A21="","",IFERROR(INDEX('Timesheet Raw'!$A$4:$A$8000,MATCH($A21,'Timesheet Raw'!$B$4:$B$8000,0)),""))</f>
        <v>3-Proposals Regular</v>
      </c>
      <c r="C21" s="385">
        <f>IF($A21="","",SUMIFS('Timesheet Raw'!$P$4:$P$8000,'Timesheet Raw'!$B$4:$B$8000,$A21,'Timesheet Raw'!$L$4:$L$8000,"&gt;="&amp;DATE(C$4,1,1),'Timesheet Raw'!$L$4:$L$8000,"&lt;="&amp;DATE(C$4,12,31)))</f>
        <v>0</v>
      </c>
      <c r="D21" s="385">
        <f>IF($A21="","",SUMIFS('Timesheet Raw'!$P$4:$P$8000,'Timesheet Raw'!$B$4:$B$8000,$A21,'Timesheet Raw'!$L$4:$L$8000,"&gt;="&amp;DATE(D$4,1,1),'Timesheet Raw'!$L$4:$L$8000,"&lt;="&amp;DATE(D$4,12,31)))</f>
        <v>3</v>
      </c>
      <c r="E21" s="385">
        <f>IF($A21="","",SUMIFS('Timesheet Raw'!$P$4:$P$8000,'Timesheet Raw'!$B$4:$B$8000,$A21,'Timesheet Raw'!$L$4:$L$8000,"&gt;="&amp;DATE(E$4,1,1),'Timesheet Raw'!$L$4:$L$8000,"&lt;="&amp;DATE(E$4,12,31)))</f>
        <v>0</v>
      </c>
      <c r="F21" s="394">
        <f t="shared" si="0"/>
        <v>3</v>
      </c>
      <c r="G21" s="341">
        <f>IF($A21="","",$F21/'Profit Plan'!$B$5)</f>
        <v>1.6216216216216217E-2</v>
      </c>
      <c r="H21" s="385">
        <f>IF($A21="","",SUMIFS('Timesheet Raw'!$P$4:$P$8000,'Timesheet Raw'!$B$4:$B$8000,$A21,'Timesheet Raw'!$C$4:$C$8000,'Work Calendar'!$B$20))</f>
        <v>3</v>
      </c>
      <c r="I21" s="385">
        <f>IF($A21="","",SUMIFS('Timesheet Raw'!$P$4:$P$8000,'Timesheet Raw'!$B$4:$B$8000,$A21,'Timesheet Raw'!$C$4:$C$8000,'Work Calendar'!$B$21))</f>
        <v>0</v>
      </c>
      <c r="J21" s="385">
        <f>IF($A21="","",SUMIFS('Timesheet Raw'!$P$4:$P$8000,'Timesheet Raw'!$B$4:$B$8000,$A21,'Timesheet Raw'!$C$4:$C$8000,'Work Calendar'!$B$22))</f>
        <v>0</v>
      </c>
      <c r="K21" s="371">
        <f>IF($A21="","",IFERROR(_xlfn.MINIFS('Timesheet Raw'!$L$4:$L$8000,'Timesheet Raw'!$B$4:$B$8000,$A21),""))</f>
        <v>45799</v>
      </c>
      <c r="L21" s="371">
        <f>IF($A21="","",IFERROR(_xlfn.MAXIFS('Timesheet Raw'!$L$4:$L$8000,'Timesheet Raw'!$B$4:$B$8000,$A21),""))</f>
        <v>45802</v>
      </c>
    </row>
    <row r="22" spans="1:19" x14ac:dyDescent="0.3">
      <c r="A22" t="str">
        <v>PQ240548</v>
      </c>
      <c r="B22" t="str">
        <f>IF($A22="","",IFERROR(INDEX('Timesheet Raw'!$A$4:$A$8000,MATCH($A22,'Timesheet Raw'!$B$4:$B$8000,0)),""))</f>
        <v>3-Proposals Regular</v>
      </c>
      <c r="C22" s="385">
        <f>IF($A22="","",SUMIFS('Timesheet Raw'!$P$4:$P$8000,'Timesheet Raw'!$B$4:$B$8000,$A22,'Timesheet Raw'!$L$4:$L$8000,"&gt;="&amp;DATE(C$4,1,1),'Timesheet Raw'!$L$4:$L$8000,"&lt;="&amp;DATE(C$4,12,31)))</f>
        <v>1</v>
      </c>
      <c r="D22" s="385">
        <f>IF($A22="","",SUMIFS('Timesheet Raw'!$P$4:$P$8000,'Timesheet Raw'!$B$4:$B$8000,$A22,'Timesheet Raw'!$L$4:$L$8000,"&gt;="&amp;DATE(D$4,1,1),'Timesheet Raw'!$L$4:$L$8000,"&lt;="&amp;DATE(D$4,12,31)))</f>
        <v>0</v>
      </c>
      <c r="E22" s="385">
        <f>IF($A22="","",SUMIFS('Timesheet Raw'!$P$4:$P$8000,'Timesheet Raw'!$B$4:$B$8000,$A22,'Timesheet Raw'!$L$4:$L$8000,"&gt;="&amp;DATE(E$4,1,1),'Timesheet Raw'!$L$4:$L$8000,"&lt;="&amp;DATE(E$4,12,31)))</f>
        <v>0</v>
      </c>
      <c r="F22" s="394">
        <f t="shared" si="0"/>
        <v>1</v>
      </c>
      <c r="G22" s="341">
        <f>IF($A22="","",$F22/'Profit Plan'!$B$5)</f>
        <v>5.4054054054054057E-3</v>
      </c>
      <c r="H22" s="385">
        <f>IF($A22="","",SUMIFS('Timesheet Raw'!$P$4:$P$8000,'Timesheet Raw'!$B$4:$B$8000,$A22,'Timesheet Raw'!$C$4:$C$8000,'Work Calendar'!$B$20))</f>
        <v>1</v>
      </c>
      <c r="I22" s="385">
        <f>IF($A22="","",SUMIFS('Timesheet Raw'!$P$4:$P$8000,'Timesheet Raw'!$B$4:$B$8000,$A22,'Timesheet Raw'!$C$4:$C$8000,'Work Calendar'!$B$21))</f>
        <v>0</v>
      </c>
      <c r="J22" s="385">
        <f>IF($A22="","",SUMIFS('Timesheet Raw'!$P$4:$P$8000,'Timesheet Raw'!$B$4:$B$8000,$A22,'Timesheet Raw'!$C$4:$C$8000,'Work Calendar'!$B$22))</f>
        <v>0</v>
      </c>
      <c r="K22" s="371">
        <f>IF($A22="","",IFERROR(_xlfn.MINIFS('Timesheet Raw'!$L$4:$L$8000,'Timesheet Raw'!$B$4:$B$8000,$A22),""))</f>
        <v>45426</v>
      </c>
      <c r="L22" s="371">
        <f>IF($A22="","",IFERROR(_xlfn.MAXIFS('Timesheet Raw'!$L$4:$L$8000,'Timesheet Raw'!$B$4:$B$8000,$A22),""))</f>
        <v>45426</v>
      </c>
    </row>
    <row r="23" spans="1:19" x14ac:dyDescent="0.3">
      <c r="A23" t="str">
        <v>PS20450C</v>
      </c>
      <c r="B23" t="str">
        <f>IF($A23="","",IFERROR(INDEX('Timesheet Raw'!$A$4:$A$8000,MATCH($A23,'Timesheet Raw'!$B$4:$B$8000,0)),""))</f>
        <v>2-Proposals Chargeable</v>
      </c>
      <c r="C23" s="385">
        <f>IF($A23="","",SUMIFS('Timesheet Raw'!$P$4:$P$8000,'Timesheet Raw'!$B$4:$B$8000,$A23,'Timesheet Raw'!$L$4:$L$8000,"&gt;="&amp;DATE(C$4,1,1),'Timesheet Raw'!$L$4:$L$8000,"&lt;="&amp;DATE(C$4,12,31)))</f>
        <v>0</v>
      </c>
      <c r="D23" s="385">
        <f>IF($A23="","",SUMIFS('Timesheet Raw'!$P$4:$P$8000,'Timesheet Raw'!$B$4:$B$8000,$A23,'Timesheet Raw'!$L$4:$L$8000,"&gt;="&amp;DATE(D$4,1,1),'Timesheet Raw'!$L$4:$L$8000,"&lt;="&amp;DATE(D$4,12,31)))</f>
        <v>0</v>
      </c>
      <c r="E23" s="385">
        <f>IF($A23="","",SUMIFS('Timesheet Raw'!$P$4:$P$8000,'Timesheet Raw'!$B$4:$B$8000,$A23,'Timesheet Raw'!$L$4:$L$8000,"&gt;="&amp;DATE(E$4,1,1),'Timesheet Raw'!$L$4:$L$8000,"&lt;="&amp;DATE(E$4,12,31)))</f>
        <v>0</v>
      </c>
      <c r="F23" s="394">
        <f t="shared" si="0"/>
        <v>0</v>
      </c>
      <c r="G23" s="341">
        <f>IF($A23="","",$F23/'Profit Plan'!$B$5)</f>
        <v>0</v>
      </c>
      <c r="H23" s="385">
        <f>IF($A23="","",SUMIFS('Timesheet Raw'!$P$4:$P$8000,'Timesheet Raw'!$B$4:$B$8000,$A23,'Timesheet Raw'!$C$4:$C$8000,'Work Calendar'!$B$20))</f>
        <v>744.75</v>
      </c>
      <c r="I23" s="385">
        <f>IF($A23="","",SUMIFS('Timesheet Raw'!$P$4:$P$8000,'Timesheet Raw'!$B$4:$B$8000,$A23,'Timesheet Raw'!$C$4:$C$8000,'Work Calendar'!$B$21))</f>
        <v>0</v>
      </c>
      <c r="J23" s="385">
        <f>IF($A23="","",SUMIFS('Timesheet Raw'!$P$4:$P$8000,'Timesheet Raw'!$B$4:$B$8000,$A23,'Timesheet Raw'!$C$4:$C$8000,'Work Calendar'!$B$22))</f>
        <v>0</v>
      </c>
      <c r="K23" s="371">
        <f>IF($A23="","",IFERROR(_xlfn.MINIFS('Timesheet Raw'!$L$4:$L$8000,'Timesheet Raw'!$B$4:$B$8000,$A23),""))</f>
        <v>44033</v>
      </c>
      <c r="L23" s="371">
        <f>IF($A23="","",IFERROR(_xlfn.MAXIFS('Timesheet Raw'!$L$4:$L$8000,'Timesheet Raw'!$B$4:$B$8000,$A23),""))</f>
        <v>44507</v>
      </c>
    </row>
    <row r="24" spans="1:19" x14ac:dyDescent="0.3">
      <c r="A24" t="str">
        <v>PS221394</v>
      </c>
      <c r="B24" t="str">
        <f>IF($A24="","",IFERROR(INDEX('Timesheet Raw'!$A$4:$A$8000,MATCH($A24,'Timesheet Raw'!$B$4:$B$8000,0)),""))</f>
        <v>3-Proposals Regular</v>
      </c>
      <c r="C24" s="385">
        <f>IF($A24="","",SUMIFS('Timesheet Raw'!$P$4:$P$8000,'Timesheet Raw'!$B$4:$B$8000,$A24,'Timesheet Raw'!$L$4:$L$8000,"&gt;="&amp;DATE(C$4,1,1),'Timesheet Raw'!$L$4:$L$8000,"&lt;="&amp;DATE(C$4,12,31)))</f>
        <v>9.25</v>
      </c>
      <c r="D24" s="385">
        <f>IF($A24="","",SUMIFS('Timesheet Raw'!$P$4:$P$8000,'Timesheet Raw'!$B$4:$B$8000,$A24,'Timesheet Raw'!$L$4:$L$8000,"&gt;="&amp;DATE(D$4,1,1),'Timesheet Raw'!$L$4:$L$8000,"&lt;="&amp;DATE(D$4,12,31)))</f>
        <v>0</v>
      </c>
      <c r="E24" s="385">
        <f>IF($A24="","",SUMIFS('Timesheet Raw'!$P$4:$P$8000,'Timesheet Raw'!$B$4:$B$8000,$A24,'Timesheet Raw'!$L$4:$L$8000,"&gt;="&amp;DATE(E$4,1,1),'Timesheet Raw'!$L$4:$L$8000,"&lt;="&amp;DATE(E$4,12,31)))</f>
        <v>0</v>
      </c>
      <c r="F24" s="394">
        <f t="shared" si="0"/>
        <v>9.25</v>
      </c>
      <c r="G24" s="341">
        <f>IF($A24="","",$F24/'Profit Plan'!$B$5)</f>
        <v>0.05</v>
      </c>
      <c r="H24" s="385">
        <f>IF($A24="","",SUMIFS('Timesheet Raw'!$P$4:$P$8000,'Timesheet Raw'!$B$4:$B$8000,$A24,'Timesheet Raw'!$C$4:$C$8000,'Work Calendar'!$B$20))</f>
        <v>0</v>
      </c>
      <c r="I24" s="385">
        <f>IF($A24="","",SUMIFS('Timesheet Raw'!$P$4:$P$8000,'Timesheet Raw'!$B$4:$B$8000,$A24,'Timesheet Raw'!$C$4:$C$8000,'Work Calendar'!$B$21))</f>
        <v>9.25</v>
      </c>
      <c r="J24" s="385">
        <f>IF($A24="","",SUMIFS('Timesheet Raw'!$P$4:$P$8000,'Timesheet Raw'!$B$4:$B$8000,$A24,'Timesheet Raw'!$C$4:$C$8000,'Work Calendar'!$B$22))</f>
        <v>0</v>
      </c>
      <c r="K24" s="371">
        <f>IF($A24="","",IFERROR(_xlfn.MINIFS('Timesheet Raw'!$L$4:$L$8000,'Timesheet Raw'!$B$4:$B$8000,$A24),""))</f>
        <v>45375</v>
      </c>
      <c r="L24" s="371">
        <f>IF($A24="","",IFERROR(_xlfn.MAXIFS('Timesheet Raw'!$L$4:$L$8000,'Timesheet Raw'!$B$4:$B$8000,$A24),""))</f>
        <v>45375</v>
      </c>
    </row>
    <row r="25" spans="1:19" x14ac:dyDescent="0.3">
      <c r="A25" t="str">
        <v>PS231531</v>
      </c>
      <c r="B25" t="str">
        <f>IF($A25="","",IFERROR(INDEX('Timesheet Raw'!$A$4:$A$8000,MATCH($A25,'Timesheet Raw'!$B$4:$B$8000,0)),""))</f>
        <v>3-Proposals Regular</v>
      </c>
      <c r="C25" s="385">
        <f>IF($A25="","",SUMIFS('Timesheet Raw'!$P$4:$P$8000,'Timesheet Raw'!$B$4:$B$8000,$A25,'Timesheet Raw'!$L$4:$L$8000,"&gt;="&amp;DATE(C$4,1,1),'Timesheet Raw'!$L$4:$L$8000,"&lt;="&amp;DATE(C$4,12,31)))</f>
        <v>0</v>
      </c>
      <c r="D25" s="385">
        <f>IF($A25="","",SUMIFS('Timesheet Raw'!$P$4:$P$8000,'Timesheet Raw'!$B$4:$B$8000,$A25,'Timesheet Raw'!$L$4:$L$8000,"&gt;="&amp;DATE(D$4,1,1),'Timesheet Raw'!$L$4:$L$8000,"&lt;="&amp;DATE(D$4,12,31)))</f>
        <v>0</v>
      </c>
      <c r="E25" s="385">
        <f>IF($A25="","",SUMIFS('Timesheet Raw'!$P$4:$P$8000,'Timesheet Raw'!$B$4:$B$8000,$A25,'Timesheet Raw'!$L$4:$L$8000,"&gt;="&amp;DATE(E$4,1,1),'Timesheet Raw'!$L$4:$L$8000,"&lt;="&amp;DATE(E$4,12,31)))</f>
        <v>0</v>
      </c>
      <c r="F25" s="394">
        <f t="shared" si="0"/>
        <v>0</v>
      </c>
      <c r="G25" s="341">
        <f>IF($A25="","",$F25/'Profit Plan'!$B$5)</f>
        <v>0</v>
      </c>
      <c r="H25" s="385">
        <f>IF($A25="","",SUMIFS('Timesheet Raw'!$P$4:$P$8000,'Timesheet Raw'!$B$4:$B$8000,$A25,'Timesheet Raw'!$C$4:$C$8000,'Work Calendar'!$B$20))</f>
        <v>2</v>
      </c>
      <c r="I25" s="385">
        <f>IF($A25="","",SUMIFS('Timesheet Raw'!$P$4:$P$8000,'Timesheet Raw'!$B$4:$B$8000,$A25,'Timesheet Raw'!$C$4:$C$8000,'Work Calendar'!$B$21))</f>
        <v>0</v>
      </c>
      <c r="J25" s="385">
        <f>IF($A25="","",SUMIFS('Timesheet Raw'!$P$4:$P$8000,'Timesheet Raw'!$B$4:$B$8000,$A25,'Timesheet Raw'!$C$4:$C$8000,'Work Calendar'!$B$22))</f>
        <v>0</v>
      </c>
      <c r="K25" s="371">
        <f>IF($A25="","",IFERROR(_xlfn.MINIFS('Timesheet Raw'!$L$4:$L$8000,'Timesheet Raw'!$B$4:$B$8000,$A25),""))</f>
        <v>45243</v>
      </c>
      <c r="L25" s="371">
        <f>IF($A25="","",IFERROR(_xlfn.MAXIFS('Timesheet Raw'!$L$4:$L$8000,'Timesheet Raw'!$B$4:$B$8000,$A25),""))</f>
        <v>45243</v>
      </c>
    </row>
    <row r="26" spans="1:19" x14ac:dyDescent="0.3">
      <c r="A26" t="str">
        <v>PS240458</v>
      </c>
      <c r="B26" t="str">
        <f>IF($A26="","",IFERROR(INDEX('Timesheet Raw'!$A$4:$A$8000,MATCH($A26,'Timesheet Raw'!$B$4:$B$8000,0)),""))</f>
        <v>3-Proposals Regular</v>
      </c>
      <c r="C26" s="385">
        <f>IF($A26="","",SUMIFS('Timesheet Raw'!$P$4:$P$8000,'Timesheet Raw'!$B$4:$B$8000,$A26,'Timesheet Raw'!$L$4:$L$8000,"&gt;="&amp;DATE(C$4,1,1),'Timesheet Raw'!$L$4:$L$8000,"&lt;="&amp;DATE(C$4,12,31)))</f>
        <v>66.25</v>
      </c>
      <c r="D26" s="385">
        <f>IF($A26="","",SUMIFS('Timesheet Raw'!$P$4:$P$8000,'Timesheet Raw'!$B$4:$B$8000,$A26,'Timesheet Raw'!$L$4:$L$8000,"&gt;="&amp;DATE(D$4,1,1),'Timesheet Raw'!$L$4:$L$8000,"&lt;="&amp;DATE(D$4,12,31)))</f>
        <v>0</v>
      </c>
      <c r="E26" s="385">
        <f>IF($A26="","",SUMIFS('Timesheet Raw'!$P$4:$P$8000,'Timesheet Raw'!$B$4:$B$8000,$A26,'Timesheet Raw'!$L$4:$L$8000,"&gt;="&amp;DATE(E$4,1,1),'Timesheet Raw'!$L$4:$L$8000,"&lt;="&amp;DATE(E$4,12,31)))</f>
        <v>0</v>
      </c>
      <c r="F26" s="394">
        <f t="shared" si="0"/>
        <v>66.25</v>
      </c>
      <c r="G26" s="341">
        <f>IF($A26="","",$F26/'Profit Plan'!$B$5)</f>
        <v>0.35810810810810811</v>
      </c>
      <c r="H26" s="385">
        <f>IF($A26="","",SUMIFS('Timesheet Raw'!$P$4:$P$8000,'Timesheet Raw'!$B$4:$B$8000,$A26,'Timesheet Raw'!$C$4:$C$8000,'Work Calendar'!$B$20))</f>
        <v>7</v>
      </c>
      <c r="I26" s="385">
        <f>IF($A26="","",SUMIFS('Timesheet Raw'!$P$4:$P$8000,'Timesheet Raw'!$B$4:$B$8000,$A26,'Timesheet Raw'!$C$4:$C$8000,'Work Calendar'!$B$21))</f>
        <v>0</v>
      </c>
      <c r="J26" s="385">
        <f>IF($A26="","",SUMIFS('Timesheet Raw'!$P$4:$P$8000,'Timesheet Raw'!$B$4:$B$8000,$A26,'Timesheet Raw'!$C$4:$C$8000,'Work Calendar'!$B$22))</f>
        <v>59.25</v>
      </c>
      <c r="K26" s="371">
        <f>IF($A26="","",IFERROR(_xlfn.MINIFS('Timesheet Raw'!$L$4:$L$8000,'Timesheet Raw'!$B$4:$B$8000,$A26),""))</f>
        <v>45579</v>
      </c>
      <c r="L26" s="371">
        <f>IF($A26="","",IFERROR(_xlfn.MAXIFS('Timesheet Raw'!$L$4:$L$8000,'Timesheet Raw'!$B$4:$B$8000,$A26),""))</f>
        <v>45644</v>
      </c>
    </row>
    <row r="27" spans="1:19" x14ac:dyDescent="0.3">
      <c r="A27" t="str">
        <v>PS250346</v>
      </c>
      <c r="B27" t="str">
        <f>IF($A27="","",IFERROR(INDEX('Timesheet Raw'!$A$4:$A$8000,MATCH($A27,'Timesheet Raw'!$B$4:$B$8000,0)),""))</f>
        <v>3-Proposals Regular</v>
      </c>
      <c r="C27" s="385">
        <f>IF($A27="","",SUMIFS('Timesheet Raw'!$P$4:$P$8000,'Timesheet Raw'!$B$4:$B$8000,$A27,'Timesheet Raw'!$L$4:$L$8000,"&gt;="&amp;DATE(C$4,1,1),'Timesheet Raw'!$L$4:$L$8000,"&lt;="&amp;DATE(C$4,12,31)))</f>
        <v>0</v>
      </c>
      <c r="D27" s="385">
        <f>IF($A27="","",SUMIFS('Timesheet Raw'!$P$4:$P$8000,'Timesheet Raw'!$B$4:$B$8000,$A27,'Timesheet Raw'!$L$4:$L$8000,"&gt;="&amp;DATE(D$4,1,1),'Timesheet Raw'!$L$4:$L$8000,"&lt;="&amp;DATE(D$4,12,31)))</f>
        <v>76</v>
      </c>
      <c r="E27" s="385">
        <f>IF($A27="","",SUMIFS('Timesheet Raw'!$P$4:$P$8000,'Timesheet Raw'!$B$4:$B$8000,$A27,'Timesheet Raw'!$L$4:$L$8000,"&gt;="&amp;DATE(E$4,1,1),'Timesheet Raw'!$L$4:$L$8000,"&lt;="&amp;DATE(E$4,12,31)))</f>
        <v>0</v>
      </c>
      <c r="F27" s="394">
        <f t="shared" si="0"/>
        <v>76</v>
      </c>
      <c r="G27" s="341">
        <f>IF($A27="","",$F27/'Profit Plan'!$B$5)</f>
        <v>0.41081081081081083</v>
      </c>
      <c r="H27" s="385">
        <f>IF($A27="","",SUMIFS('Timesheet Raw'!$P$4:$P$8000,'Timesheet Raw'!$B$4:$B$8000,$A27,'Timesheet Raw'!$C$4:$C$8000,'Work Calendar'!$B$20))</f>
        <v>76</v>
      </c>
      <c r="I27" s="385">
        <f>IF($A27="","",SUMIFS('Timesheet Raw'!$P$4:$P$8000,'Timesheet Raw'!$B$4:$B$8000,$A27,'Timesheet Raw'!$C$4:$C$8000,'Work Calendar'!$B$21))</f>
        <v>0</v>
      </c>
      <c r="J27" s="385">
        <f>IF($A27="","",SUMIFS('Timesheet Raw'!$P$4:$P$8000,'Timesheet Raw'!$B$4:$B$8000,$A27,'Timesheet Raw'!$C$4:$C$8000,'Work Calendar'!$B$22))</f>
        <v>0</v>
      </c>
      <c r="K27" s="371">
        <f>IF($A27="","",IFERROR(_xlfn.MINIFS('Timesheet Raw'!$L$4:$L$8000,'Timesheet Raw'!$B$4:$B$8000,$A27),""))</f>
        <v>45712</v>
      </c>
      <c r="L27" s="371">
        <f>IF($A27="","",IFERROR(_xlfn.MAXIFS('Timesheet Raw'!$L$4:$L$8000,'Timesheet Raw'!$B$4:$B$8000,$A27),""))</f>
        <v>45740</v>
      </c>
    </row>
    <row r="28" spans="1:19" x14ac:dyDescent="0.3">
      <c r="A28" t="str">
        <v>QL251243</v>
      </c>
      <c r="B28" t="str">
        <f>IF($A28="","",IFERROR(INDEX('Timesheet Raw'!$A$4:$A$8000,MATCH($A28,'Timesheet Raw'!$B$4:$B$8000,0)),""))</f>
        <v>3-Proposals Regular</v>
      </c>
      <c r="C28" s="385">
        <f>IF($A28="","",SUMIFS('Timesheet Raw'!$P$4:$P$8000,'Timesheet Raw'!$B$4:$B$8000,$A28,'Timesheet Raw'!$L$4:$L$8000,"&gt;="&amp;DATE(C$4,1,1),'Timesheet Raw'!$L$4:$L$8000,"&lt;="&amp;DATE(C$4,12,31)))</f>
        <v>0</v>
      </c>
      <c r="D28" s="385">
        <f>IF($A28="","",SUMIFS('Timesheet Raw'!$P$4:$P$8000,'Timesheet Raw'!$B$4:$B$8000,$A28,'Timesheet Raw'!$L$4:$L$8000,"&gt;="&amp;DATE(D$4,1,1),'Timesheet Raw'!$L$4:$L$8000,"&lt;="&amp;DATE(D$4,12,31)))</f>
        <v>20.5</v>
      </c>
      <c r="E28" s="385">
        <f>IF($A28="","",SUMIFS('Timesheet Raw'!$P$4:$P$8000,'Timesheet Raw'!$B$4:$B$8000,$A28,'Timesheet Raw'!$L$4:$L$8000,"&gt;="&amp;DATE(E$4,1,1),'Timesheet Raw'!$L$4:$L$8000,"&lt;="&amp;DATE(E$4,12,31)))</f>
        <v>0</v>
      </c>
      <c r="F28" s="394">
        <f t="shared" si="0"/>
        <v>20.5</v>
      </c>
      <c r="G28" s="341">
        <f>IF($A28="","",$F28/'Profit Plan'!$B$5)</f>
        <v>0.11081081081081082</v>
      </c>
      <c r="H28" s="385">
        <f>IF($A28="","",SUMIFS('Timesheet Raw'!$P$4:$P$8000,'Timesheet Raw'!$B$4:$B$8000,$A28,'Timesheet Raw'!$C$4:$C$8000,'Work Calendar'!$B$20))</f>
        <v>16.25</v>
      </c>
      <c r="I28" s="385">
        <f>IF($A28="","",SUMIFS('Timesheet Raw'!$P$4:$P$8000,'Timesheet Raw'!$B$4:$B$8000,$A28,'Timesheet Raw'!$C$4:$C$8000,'Work Calendar'!$B$21))</f>
        <v>4.25</v>
      </c>
      <c r="J28" s="385">
        <f>IF($A28="","",SUMIFS('Timesheet Raw'!$P$4:$P$8000,'Timesheet Raw'!$B$4:$B$8000,$A28,'Timesheet Raw'!$C$4:$C$8000,'Work Calendar'!$B$22))</f>
        <v>0</v>
      </c>
      <c r="K28" s="371">
        <f>IF($A28="","",IFERROR(_xlfn.MINIFS('Timesheet Raw'!$L$4:$L$8000,'Timesheet Raw'!$B$4:$B$8000,$A28),""))</f>
        <v>45929</v>
      </c>
      <c r="L28" s="371">
        <f>IF($A28="","",IFERROR(_xlfn.MAXIFS('Timesheet Raw'!$L$4:$L$8000,'Timesheet Raw'!$B$4:$B$8000,$A28),""))</f>
        <v>45930</v>
      </c>
    </row>
    <row r="29" spans="1:19" x14ac:dyDescent="0.3">
      <c r="A29" t="str">
        <v>WWCG250041</v>
      </c>
      <c r="B29" t="str">
        <f>IF($A29="","",IFERROR(INDEX('Timesheet Raw'!$A$4:$A$8000,MATCH($A29,'Timesheet Raw'!$B$4:$B$8000,0)),""))</f>
        <v>3-Proposals Regular</v>
      </c>
      <c r="C29" s="385">
        <f>IF($A29="","",SUMIFS('Timesheet Raw'!$P$4:$P$8000,'Timesheet Raw'!$B$4:$B$8000,$A29,'Timesheet Raw'!$L$4:$L$8000,"&gt;="&amp;DATE(C$4,1,1),'Timesheet Raw'!$L$4:$L$8000,"&lt;="&amp;DATE(C$4,12,31)))</f>
        <v>0</v>
      </c>
      <c r="D29" s="385">
        <f>IF($A29="","",SUMIFS('Timesheet Raw'!$P$4:$P$8000,'Timesheet Raw'!$B$4:$B$8000,$A29,'Timesheet Raw'!$L$4:$L$8000,"&gt;="&amp;DATE(D$4,1,1),'Timesheet Raw'!$L$4:$L$8000,"&lt;="&amp;DATE(D$4,12,31)))</f>
        <v>1</v>
      </c>
      <c r="E29" s="385">
        <f>IF($A29="","",SUMIFS('Timesheet Raw'!$P$4:$P$8000,'Timesheet Raw'!$B$4:$B$8000,$A29,'Timesheet Raw'!$L$4:$L$8000,"&gt;="&amp;DATE(E$4,1,1),'Timesheet Raw'!$L$4:$L$8000,"&lt;="&amp;DATE(E$4,12,31)))</f>
        <v>0</v>
      </c>
      <c r="F29" s="394">
        <f t="shared" si="0"/>
        <v>1</v>
      </c>
      <c r="G29" s="341">
        <f>IF($A29="","",$F29/'Profit Plan'!$B$5)</f>
        <v>5.4054054054054057E-3</v>
      </c>
      <c r="H29" s="385">
        <f>IF($A29="","",SUMIFS('Timesheet Raw'!$P$4:$P$8000,'Timesheet Raw'!$B$4:$B$8000,$A29,'Timesheet Raw'!$C$4:$C$8000,'Work Calendar'!$B$20))</f>
        <v>1</v>
      </c>
      <c r="I29" s="385">
        <f>IF($A29="","",SUMIFS('Timesheet Raw'!$P$4:$P$8000,'Timesheet Raw'!$B$4:$B$8000,$A29,'Timesheet Raw'!$C$4:$C$8000,'Work Calendar'!$B$21))</f>
        <v>0</v>
      </c>
      <c r="J29" s="385">
        <f>IF($A29="","",SUMIFS('Timesheet Raw'!$P$4:$P$8000,'Timesheet Raw'!$B$4:$B$8000,$A29,'Timesheet Raw'!$C$4:$C$8000,'Work Calendar'!$B$22))</f>
        <v>0</v>
      </c>
      <c r="K29" s="371">
        <f>IF($A29="","",IFERROR(_xlfn.MINIFS('Timesheet Raw'!$L$4:$L$8000,'Timesheet Raw'!$B$4:$B$8000,$A29),""))</f>
        <v>45707</v>
      </c>
      <c r="L29" s="371">
        <f>IF($A29="","",IFERROR(_xlfn.MAXIFS('Timesheet Raw'!$L$4:$L$8000,'Timesheet Raw'!$B$4:$B$8000,$A29),""))</f>
        <v>45707</v>
      </c>
    </row>
    <row r="30" spans="1:19" x14ac:dyDescent="0.3">
      <c r="A30" t="str">
        <v>WWIQ240673</v>
      </c>
      <c r="B30" t="str">
        <f>IF($A30="","",IFERROR(INDEX('Timesheet Raw'!$A$4:$A$8000,MATCH($A30,'Timesheet Raw'!$B$4:$B$8000,0)),""))</f>
        <v>3-Proposals Regular</v>
      </c>
      <c r="C30" s="385">
        <f>IF($A30="","",SUMIFS('Timesheet Raw'!$P$4:$P$8000,'Timesheet Raw'!$B$4:$B$8000,$A30,'Timesheet Raw'!$L$4:$L$8000,"&gt;="&amp;DATE(C$4,1,1),'Timesheet Raw'!$L$4:$L$8000,"&lt;="&amp;DATE(C$4,12,31)))</f>
        <v>7.75</v>
      </c>
      <c r="D30" s="385">
        <f>IF($A30="","",SUMIFS('Timesheet Raw'!$P$4:$P$8000,'Timesheet Raw'!$B$4:$B$8000,$A30,'Timesheet Raw'!$L$4:$L$8000,"&gt;="&amp;DATE(D$4,1,1),'Timesheet Raw'!$L$4:$L$8000,"&lt;="&amp;DATE(D$4,12,31)))</f>
        <v>0</v>
      </c>
      <c r="E30" s="385">
        <f>IF($A30="","",SUMIFS('Timesheet Raw'!$P$4:$P$8000,'Timesheet Raw'!$B$4:$B$8000,$A30,'Timesheet Raw'!$L$4:$L$8000,"&gt;="&amp;DATE(E$4,1,1),'Timesheet Raw'!$L$4:$L$8000,"&lt;="&amp;DATE(E$4,12,31)))</f>
        <v>0</v>
      </c>
      <c r="F30" s="394">
        <f t="shared" si="0"/>
        <v>7.75</v>
      </c>
      <c r="G30" s="341">
        <f>IF($A30="","",$F30/'Profit Plan'!$B$5)</f>
        <v>4.1891891891891894E-2</v>
      </c>
      <c r="H30" s="385">
        <f>IF($A30="","",SUMIFS('Timesheet Raw'!$P$4:$P$8000,'Timesheet Raw'!$B$4:$B$8000,$A30,'Timesheet Raw'!$C$4:$C$8000,'Work Calendar'!$B$20))</f>
        <v>7.75</v>
      </c>
      <c r="I30" s="385">
        <f>IF($A30="","",SUMIFS('Timesheet Raw'!$P$4:$P$8000,'Timesheet Raw'!$B$4:$B$8000,$A30,'Timesheet Raw'!$C$4:$C$8000,'Work Calendar'!$B$21))</f>
        <v>0</v>
      </c>
      <c r="J30" s="385">
        <f>IF($A30="","",SUMIFS('Timesheet Raw'!$P$4:$P$8000,'Timesheet Raw'!$B$4:$B$8000,$A30,'Timesheet Raw'!$C$4:$C$8000,'Work Calendar'!$B$22))</f>
        <v>0</v>
      </c>
      <c r="K30" s="371">
        <f>IF($A30="","",IFERROR(_xlfn.MINIFS('Timesheet Raw'!$L$4:$L$8000,'Timesheet Raw'!$B$4:$B$8000,$A30),""))</f>
        <v>45449</v>
      </c>
      <c r="L30" s="371">
        <f>IF($A30="","",IFERROR(_xlfn.MAXIFS('Timesheet Raw'!$L$4:$L$8000,'Timesheet Raw'!$B$4:$B$8000,$A30),""))</f>
        <v>45468</v>
      </c>
    </row>
    <row r="31" spans="1:19" x14ac:dyDescent="0.3">
      <c r="A31" t="str">
        <v>WWL260195</v>
      </c>
      <c r="B31" t="str">
        <f>IF($A31="","",IFERROR(INDEX('Timesheet Raw'!$A$4:$A$8000,MATCH($A31,'Timesheet Raw'!$B$4:$B$8000,0)),""))</f>
        <v>3-Proposals Regular</v>
      </c>
      <c r="C31" s="385">
        <f>IF($A31="","",SUMIFS('Timesheet Raw'!$P$4:$P$8000,'Timesheet Raw'!$B$4:$B$8000,$A31,'Timesheet Raw'!$L$4:$L$8000,"&gt;="&amp;DATE(C$4,1,1),'Timesheet Raw'!$L$4:$L$8000,"&lt;="&amp;DATE(C$4,12,31)))</f>
        <v>0</v>
      </c>
      <c r="D31" s="385">
        <f>IF($A31="","",SUMIFS('Timesheet Raw'!$P$4:$P$8000,'Timesheet Raw'!$B$4:$B$8000,$A31,'Timesheet Raw'!$L$4:$L$8000,"&gt;="&amp;DATE(D$4,1,1),'Timesheet Raw'!$L$4:$L$8000,"&lt;="&amp;DATE(D$4,12,31)))</f>
        <v>0</v>
      </c>
      <c r="E31" s="385">
        <f>IF($A31="","",SUMIFS('Timesheet Raw'!$P$4:$P$8000,'Timesheet Raw'!$B$4:$B$8000,$A31,'Timesheet Raw'!$L$4:$L$8000,"&gt;="&amp;DATE(E$4,1,1),'Timesheet Raw'!$L$4:$L$8000,"&lt;="&amp;DATE(E$4,12,31)))</f>
        <v>5</v>
      </c>
      <c r="F31" s="394">
        <f t="shared" si="0"/>
        <v>5</v>
      </c>
      <c r="G31" s="341">
        <f>IF($A31="","",$F31/'Profit Plan'!$B$5)</f>
        <v>2.7027027027027029E-2</v>
      </c>
      <c r="H31" s="385">
        <f>IF($A31="","",SUMIFS('Timesheet Raw'!$P$4:$P$8000,'Timesheet Raw'!$B$4:$B$8000,$A31,'Timesheet Raw'!$C$4:$C$8000,'Work Calendar'!$B$20))</f>
        <v>5</v>
      </c>
      <c r="I31" s="385">
        <f>IF($A31="","",SUMIFS('Timesheet Raw'!$P$4:$P$8000,'Timesheet Raw'!$B$4:$B$8000,$A31,'Timesheet Raw'!$C$4:$C$8000,'Work Calendar'!$B$21))</f>
        <v>0</v>
      </c>
      <c r="J31" s="385">
        <f>IF($A31="","",SUMIFS('Timesheet Raw'!$P$4:$P$8000,'Timesheet Raw'!$B$4:$B$8000,$A31,'Timesheet Raw'!$C$4:$C$8000,'Work Calendar'!$B$22))</f>
        <v>0</v>
      </c>
      <c r="K31" s="371">
        <f>IF($A31="","",IFERROR(_xlfn.MINIFS('Timesheet Raw'!$L$4:$L$8000,'Timesheet Raw'!$B$4:$B$8000,$A31),""))</f>
        <v>46077</v>
      </c>
      <c r="L31" s="371">
        <f>IF($A31="","",IFERROR(_xlfn.MAXIFS('Timesheet Raw'!$L$4:$L$8000,'Timesheet Raw'!$B$4:$B$8000,$A31),""))</f>
        <v>46086</v>
      </c>
    </row>
    <row r="32" spans="1:19" x14ac:dyDescent="0.3">
      <c r="A32" t="str">
        <v>WWMZ250249</v>
      </c>
      <c r="B32" t="str">
        <f>IF($A32="","",IFERROR(INDEX('Timesheet Raw'!$A$4:$A$8000,MATCH($A32,'Timesheet Raw'!$B$4:$B$8000,0)),""))</f>
        <v>3-Proposals Regular</v>
      </c>
      <c r="C32" s="385">
        <f>IF($A32="","",SUMIFS('Timesheet Raw'!$P$4:$P$8000,'Timesheet Raw'!$B$4:$B$8000,$A32,'Timesheet Raw'!$L$4:$L$8000,"&gt;="&amp;DATE(C$4,1,1),'Timesheet Raw'!$L$4:$L$8000,"&lt;="&amp;DATE(C$4,12,31)))</f>
        <v>0</v>
      </c>
      <c r="D32" s="385">
        <f>IF($A32="","",SUMIFS('Timesheet Raw'!$P$4:$P$8000,'Timesheet Raw'!$B$4:$B$8000,$A32,'Timesheet Raw'!$L$4:$L$8000,"&gt;="&amp;DATE(D$4,1,1),'Timesheet Raw'!$L$4:$L$8000,"&lt;="&amp;DATE(D$4,12,31)))</f>
        <v>3</v>
      </c>
      <c r="E32" s="385">
        <f>IF($A32="","",SUMIFS('Timesheet Raw'!$P$4:$P$8000,'Timesheet Raw'!$B$4:$B$8000,$A32,'Timesheet Raw'!$L$4:$L$8000,"&gt;="&amp;DATE(E$4,1,1),'Timesheet Raw'!$L$4:$L$8000,"&lt;="&amp;DATE(E$4,12,31)))</f>
        <v>0</v>
      </c>
      <c r="F32" s="394">
        <f t="shared" si="0"/>
        <v>3</v>
      </c>
      <c r="G32" s="341">
        <f>IF($A32="","",$F32/'Profit Plan'!$B$5)</f>
        <v>1.6216216216216217E-2</v>
      </c>
      <c r="H32" s="385">
        <f>IF($A32="","",SUMIFS('Timesheet Raw'!$P$4:$P$8000,'Timesheet Raw'!$B$4:$B$8000,$A32,'Timesheet Raw'!$C$4:$C$8000,'Work Calendar'!$B$20))</f>
        <v>3</v>
      </c>
      <c r="I32" s="385">
        <f>IF($A32="","",SUMIFS('Timesheet Raw'!$P$4:$P$8000,'Timesheet Raw'!$B$4:$B$8000,$A32,'Timesheet Raw'!$C$4:$C$8000,'Work Calendar'!$B$21))</f>
        <v>0</v>
      </c>
      <c r="J32" s="385">
        <f>IF($A32="","",SUMIFS('Timesheet Raw'!$P$4:$P$8000,'Timesheet Raw'!$B$4:$B$8000,$A32,'Timesheet Raw'!$C$4:$C$8000,'Work Calendar'!$B$22))</f>
        <v>0</v>
      </c>
      <c r="K32" s="371">
        <f>IF($A32="","",IFERROR(_xlfn.MINIFS('Timesheet Raw'!$L$4:$L$8000,'Timesheet Raw'!$B$4:$B$8000,$A32),""))</f>
        <v>45736</v>
      </c>
      <c r="L32" s="371">
        <f>IF($A32="","",IFERROR(_xlfn.MAXIFS('Timesheet Raw'!$L$4:$L$8000,'Timesheet Raw'!$B$4:$B$8000,$A32),""))</f>
        <v>45860</v>
      </c>
    </row>
    <row r="33" spans="1:12" x14ac:dyDescent="0.3">
      <c r="A33" t="str">
        <v>WWMZ251598</v>
      </c>
      <c r="B33" t="str">
        <f>IF($A33="","",IFERROR(INDEX('Timesheet Raw'!$A$4:$A$8000,MATCH($A33,'Timesheet Raw'!$B$4:$B$8000,0)),""))</f>
        <v>3-Proposals Regular</v>
      </c>
      <c r="C33" s="385">
        <f>IF($A33="","",SUMIFS('Timesheet Raw'!$P$4:$P$8000,'Timesheet Raw'!$B$4:$B$8000,$A33,'Timesheet Raw'!$L$4:$L$8000,"&gt;="&amp;DATE(C$4,1,1),'Timesheet Raw'!$L$4:$L$8000,"&lt;="&amp;DATE(C$4,12,31)))</f>
        <v>0</v>
      </c>
      <c r="D33" s="385">
        <f>IF($A33="","",SUMIFS('Timesheet Raw'!$P$4:$P$8000,'Timesheet Raw'!$B$4:$B$8000,$A33,'Timesheet Raw'!$L$4:$L$8000,"&gt;="&amp;DATE(D$4,1,1),'Timesheet Raw'!$L$4:$L$8000,"&lt;="&amp;DATE(D$4,12,31)))</f>
        <v>5</v>
      </c>
      <c r="E33" s="385">
        <f>IF($A33="","",SUMIFS('Timesheet Raw'!$P$4:$P$8000,'Timesheet Raw'!$B$4:$B$8000,$A33,'Timesheet Raw'!$L$4:$L$8000,"&gt;="&amp;DATE(E$4,1,1),'Timesheet Raw'!$L$4:$L$8000,"&lt;="&amp;DATE(E$4,12,31)))</f>
        <v>0</v>
      </c>
      <c r="F33" s="394">
        <f t="shared" si="0"/>
        <v>5</v>
      </c>
      <c r="G33" s="341">
        <f>IF($A33="","",$F33/'Profit Plan'!$B$5)</f>
        <v>2.7027027027027029E-2</v>
      </c>
      <c r="H33" s="385">
        <f>IF($A33="","",SUMIFS('Timesheet Raw'!$P$4:$P$8000,'Timesheet Raw'!$B$4:$B$8000,$A33,'Timesheet Raw'!$C$4:$C$8000,'Work Calendar'!$B$20))</f>
        <v>5</v>
      </c>
      <c r="I33" s="385">
        <f>IF($A33="","",SUMIFS('Timesheet Raw'!$P$4:$P$8000,'Timesheet Raw'!$B$4:$B$8000,$A33,'Timesheet Raw'!$C$4:$C$8000,'Work Calendar'!$B$21))</f>
        <v>0</v>
      </c>
      <c r="J33" s="385">
        <f>IF($A33="","",SUMIFS('Timesheet Raw'!$P$4:$P$8000,'Timesheet Raw'!$B$4:$B$8000,$A33,'Timesheet Raw'!$C$4:$C$8000,'Work Calendar'!$B$22))</f>
        <v>0</v>
      </c>
      <c r="K33" s="371">
        <f>IF($A33="","",IFERROR(_xlfn.MINIFS('Timesheet Raw'!$L$4:$L$8000,'Timesheet Raw'!$B$4:$B$8000,$A33),""))</f>
        <v>46002</v>
      </c>
      <c r="L33" s="371">
        <f>IF($A33="","",IFERROR(_xlfn.MAXIFS('Timesheet Raw'!$L$4:$L$8000,'Timesheet Raw'!$B$4:$B$8000,$A33),""))</f>
        <v>46002</v>
      </c>
    </row>
    <row r="34" spans="1:12" x14ac:dyDescent="0.3">
      <c r="A34" t="str">
        <v>WWN260200</v>
      </c>
      <c r="B34" t="str">
        <f>IF($A34="","",IFERROR(INDEX('Timesheet Raw'!$A$4:$A$8000,MATCH($A34,'Timesheet Raw'!$B$4:$B$8000,0)),""))</f>
        <v>3-Proposals Regular</v>
      </c>
      <c r="C34" s="385">
        <f>IF($A34="","",SUMIFS('Timesheet Raw'!$P$4:$P$8000,'Timesheet Raw'!$B$4:$B$8000,$A34,'Timesheet Raw'!$L$4:$L$8000,"&gt;="&amp;DATE(C$4,1,1),'Timesheet Raw'!$L$4:$L$8000,"&lt;="&amp;DATE(C$4,12,31)))</f>
        <v>0</v>
      </c>
      <c r="D34" s="385">
        <f>IF($A34="","",SUMIFS('Timesheet Raw'!$P$4:$P$8000,'Timesheet Raw'!$B$4:$B$8000,$A34,'Timesheet Raw'!$L$4:$L$8000,"&gt;="&amp;DATE(D$4,1,1),'Timesheet Raw'!$L$4:$L$8000,"&lt;="&amp;DATE(D$4,12,31)))</f>
        <v>0</v>
      </c>
      <c r="E34" s="385">
        <f>IF($A34="","",SUMIFS('Timesheet Raw'!$P$4:$P$8000,'Timesheet Raw'!$B$4:$B$8000,$A34,'Timesheet Raw'!$L$4:$L$8000,"&gt;="&amp;DATE(E$4,1,1),'Timesheet Raw'!$L$4:$L$8000,"&lt;="&amp;DATE(E$4,12,31)))</f>
        <v>6</v>
      </c>
      <c r="F34" s="394">
        <f t="shared" si="0"/>
        <v>6</v>
      </c>
      <c r="G34" s="341">
        <f>IF($A34="","",$F34/'Profit Plan'!$B$5)</f>
        <v>3.2432432432432434E-2</v>
      </c>
      <c r="H34" s="385">
        <f>IF($A34="","",SUMIFS('Timesheet Raw'!$P$4:$P$8000,'Timesheet Raw'!$B$4:$B$8000,$A34,'Timesheet Raw'!$C$4:$C$8000,'Work Calendar'!$B$20))</f>
        <v>6</v>
      </c>
      <c r="I34" s="385">
        <f>IF($A34="","",SUMIFS('Timesheet Raw'!$P$4:$P$8000,'Timesheet Raw'!$B$4:$B$8000,$A34,'Timesheet Raw'!$C$4:$C$8000,'Work Calendar'!$B$21))</f>
        <v>0</v>
      </c>
      <c r="J34" s="385">
        <f>IF($A34="","",SUMIFS('Timesheet Raw'!$P$4:$P$8000,'Timesheet Raw'!$B$4:$B$8000,$A34,'Timesheet Raw'!$C$4:$C$8000,'Work Calendar'!$B$22))</f>
        <v>0</v>
      </c>
      <c r="K34" s="371">
        <f>IF($A34="","",IFERROR(_xlfn.MINIFS('Timesheet Raw'!$L$4:$L$8000,'Timesheet Raw'!$B$4:$B$8000,$A34),""))</f>
        <v>46083</v>
      </c>
      <c r="L34" s="371">
        <f>IF($A34="","",IFERROR(_xlfn.MAXIFS('Timesheet Raw'!$L$4:$L$8000,'Timesheet Raw'!$B$4:$B$8000,$A34),""))</f>
        <v>46093</v>
      </c>
    </row>
    <row r="35" spans="1:12" x14ac:dyDescent="0.3">
      <c r="A35" t="str">
        <v>WWOM241095</v>
      </c>
      <c r="B35" t="str">
        <f>IF($A35="","",IFERROR(INDEX('Timesheet Raw'!$A$4:$A$8000,MATCH($A35,'Timesheet Raw'!$B$4:$B$8000,0)),""))</f>
        <v>3-Proposals Regular</v>
      </c>
      <c r="C35" s="385">
        <f>IF($A35="","",SUMIFS('Timesheet Raw'!$P$4:$P$8000,'Timesheet Raw'!$B$4:$B$8000,$A35,'Timesheet Raw'!$L$4:$L$8000,"&gt;="&amp;DATE(C$4,1,1),'Timesheet Raw'!$L$4:$L$8000,"&lt;="&amp;DATE(C$4,12,31)))</f>
        <v>0</v>
      </c>
      <c r="D35" s="385">
        <f>IF($A35="","",SUMIFS('Timesheet Raw'!$P$4:$P$8000,'Timesheet Raw'!$B$4:$B$8000,$A35,'Timesheet Raw'!$L$4:$L$8000,"&gt;="&amp;DATE(D$4,1,1),'Timesheet Raw'!$L$4:$L$8000,"&lt;="&amp;DATE(D$4,12,31)))</f>
        <v>2.5</v>
      </c>
      <c r="E35" s="385">
        <f>IF($A35="","",SUMIFS('Timesheet Raw'!$P$4:$P$8000,'Timesheet Raw'!$B$4:$B$8000,$A35,'Timesheet Raw'!$L$4:$L$8000,"&gt;="&amp;DATE(E$4,1,1),'Timesheet Raw'!$L$4:$L$8000,"&lt;="&amp;DATE(E$4,12,31)))</f>
        <v>0</v>
      </c>
      <c r="F35" s="394">
        <f t="shared" si="0"/>
        <v>2.5</v>
      </c>
      <c r="G35" s="341">
        <f>IF($A35="","",$F35/'Profit Plan'!$B$5)</f>
        <v>1.3513513513513514E-2</v>
      </c>
      <c r="H35" s="385">
        <f>IF($A35="","",SUMIFS('Timesheet Raw'!$P$4:$P$8000,'Timesheet Raw'!$B$4:$B$8000,$A35,'Timesheet Raw'!$C$4:$C$8000,'Work Calendar'!$B$20))</f>
        <v>2.5</v>
      </c>
      <c r="I35" s="385">
        <f>IF($A35="","",SUMIFS('Timesheet Raw'!$P$4:$P$8000,'Timesheet Raw'!$B$4:$B$8000,$A35,'Timesheet Raw'!$C$4:$C$8000,'Work Calendar'!$B$21))</f>
        <v>0</v>
      </c>
      <c r="J35" s="385">
        <f>IF($A35="","",SUMIFS('Timesheet Raw'!$P$4:$P$8000,'Timesheet Raw'!$B$4:$B$8000,$A35,'Timesheet Raw'!$C$4:$C$8000,'Work Calendar'!$B$22))</f>
        <v>0</v>
      </c>
      <c r="K35" s="371">
        <f>IF($A35="","",IFERROR(_xlfn.MINIFS('Timesheet Raw'!$L$4:$L$8000,'Timesheet Raw'!$B$4:$B$8000,$A35),""))</f>
        <v>45782</v>
      </c>
      <c r="L35" s="371">
        <f>IF($A35="","",IFERROR(_xlfn.MAXIFS('Timesheet Raw'!$L$4:$L$8000,'Timesheet Raw'!$B$4:$B$8000,$A35),""))</f>
        <v>45782</v>
      </c>
    </row>
    <row r="36" spans="1:12" x14ac:dyDescent="0.3">
      <c r="A36" t="str">
        <v>WWOM250578</v>
      </c>
      <c r="B36" t="str">
        <f>IF($A36="","",IFERROR(INDEX('Timesheet Raw'!$A$4:$A$8000,MATCH($A36,'Timesheet Raw'!$B$4:$B$8000,0)),""))</f>
        <v>3-Proposals Regular</v>
      </c>
      <c r="C36" s="385">
        <f>IF($A36="","",SUMIFS('Timesheet Raw'!$P$4:$P$8000,'Timesheet Raw'!$B$4:$B$8000,$A36,'Timesheet Raw'!$L$4:$L$8000,"&gt;="&amp;DATE(C$4,1,1),'Timesheet Raw'!$L$4:$L$8000,"&lt;="&amp;DATE(C$4,12,31)))</f>
        <v>0</v>
      </c>
      <c r="D36" s="385">
        <f>IF($A36="","",SUMIFS('Timesheet Raw'!$P$4:$P$8000,'Timesheet Raw'!$B$4:$B$8000,$A36,'Timesheet Raw'!$L$4:$L$8000,"&gt;="&amp;DATE(D$4,1,1),'Timesheet Raw'!$L$4:$L$8000,"&lt;="&amp;DATE(D$4,12,31)))</f>
        <v>1</v>
      </c>
      <c r="E36" s="385">
        <f>IF($A36="","",SUMIFS('Timesheet Raw'!$P$4:$P$8000,'Timesheet Raw'!$B$4:$B$8000,$A36,'Timesheet Raw'!$L$4:$L$8000,"&gt;="&amp;DATE(E$4,1,1),'Timesheet Raw'!$L$4:$L$8000,"&lt;="&amp;DATE(E$4,12,31)))</f>
        <v>0</v>
      </c>
      <c r="F36" s="394">
        <f t="shared" si="0"/>
        <v>1</v>
      </c>
      <c r="G36" s="341">
        <f>IF($A36="","",$F36/'Profit Plan'!$B$5)</f>
        <v>5.4054054054054057E-3</v>
      </c>
      <c r="H36" s="385">
        <f>IF($A36="","",SUMIFS('Timesheet Raw'!$P$4:$P$8000,'Timesheet Raw'!$B$4:$B$8000,$A36,'Timesheet Raw'!$C$4:$C$8000,'Work Calendar'!$B$20))</f>
        <v>1</v>
      </c>
      <c r="I36" s="385">
        <f>IF($A36="","",SUMIFS('Timesheet Raw'!$P$4:$P$8000,'Timesheet Raw'!$B$4:$B$8000,$A36,'Timesheet Raw'!$C$4:$C$8000,'Work Calendar'!$B$21))</f>
        <v>0</v>
      </c>
      <c r="J36" s="385">
        <f>IF($A36="","",SUMIFS('Timesheet Raw'!$P$4:$P$8000,'Timesheet Raw'!$B$4:$B$8000,$A36,'Timesheet Raw'!$C$4:$C$8000,'Work Calendar'!$B$22))</f>
        <v>0</v>
      </c>
      <c r="K36" s="371">
        <f>IF($A36="","",IFERROR(_xlfn.MINIFS('Timesheet Raw'!$L$4:$L$8000,'Timesheet Raw'!$B$4:$B$8000,$A36),""))</f>
        <v>45791</v>
      </c>
      <c r="L36" s="371">
        <f>IF($A36="","",IFERROR(_xlfn.MAXIFS('Timesheet Raw'!$L$4:$L$8000,'Timesheet Raw'!$B$4:$B$8000,$A36),""))</f>
        <v>45791</v>
      </c>
    </row>
    <row r="37" spans="1:12" x14ac:dyDescent="0.3">
      <c r="A37" t="str">
        <v>WWOM250731</v>
      </c>
      <c r="B37" t="str">
        <f>IF($A37="","",IFERROR(INDEX('Timesheet Raw'!$A$4:$A$8000,MATCH($A37,'Timesheet Raw'!$B$4:$B$8000,0)),""))</f>
        <v>3-Proposals Regular</v>
      </c>
      <c r="C37" s="385">
        <f>IF($A37="","",SUMIFS('Timesheet Raw'!$P$4:$P$8000,'Timesheet Raw'!$B$4:$B$8000,$A37,'Timesheet Raw'!$L$4:$L$8000,"&gt;="&amp;DATE(C$4,1,1),'Timesheet Raw'!$L$4:$L$8000,"&lt;="&amp;DATE(C$4,12,31)))</f>
        <v>0</v>
      </c>
      <c r="D37" s="385">
        <f>IF($A37="","",SUMIFS('Timesheet Raw'!$P$4:$P$8000,'Timesheet Raw'!$B$4:$B$8000,$A37,'Timesheet Raw'!$L$4:$L$8000,"&gt;="&amp;DATE(D$4,1,1),'Timesheet Raw'!$L$4:$L$8000,"&lt;="&amp;DATE(D$4,12,31)))</f>
        <v>202.25</v>
      </c>
      <c r="E37" s="385">
        <f>IF($A37="","",SUMIFS('Timesheet Raw'!$P$4:$P$8000,'Timesheet Raw'!$B$4:$B$8000,$A37,'Timesheet Raw'!$L$4:$L$8000,"&gt;="&amp;DATE(E$4,1,1),'Timesheet Raw'!$L$4:$L$8000,"&lt;="&amp;DATE(E$4,12,31)))</f>
        <v>0</v>
      </c>
      <c r="F37" s="394">
        <f t="shared" si="0"/>
        <v>202.25</v>
      </c>
      <c r="G37" s="341">
        <f>IF($A37="","",$F37/'Profit Plan'!$B$5)</f>
        <v>1.0932432432432433</v>
      </c>
      <c r="H37" s="385">
        <f>IF($A37="","",SUMIFS('Timesheet Raw'!$P$4:$P$8000,'Timesheet Raw'!$B$4:$B$8000,$A37,'Timesheet Raw'!$C$4:$C$8000,'Work Calendar'!$B$20))</f>
        <v>25.75</v>
      </c>
      <c r="I37" s="385">
        <f>IF($A37="","",SUMIFS('Timesheet Raw'!$P$4:$P$8000,'Timesheet Raw'!$B$4:$B$8000,$A37,'Timesheet Raw'!$C$4:$C$8000,'Work Calendar'!$B$21))</f>
        <v>52.25</v>
      </c>
      <c r="J37" s="385">
        <f>IF($A37="","",SUMIFS('Timesheet Raw'!$P$4:$P$8000,'Timesheet Raw'!$B$4:$B$8000,$A37,'Timesheet Raw'!$C$4:$C$8000,'Work Calendar'!$B$22))</f>
        <v>124.25</v>
      </c>
      <c r="K37" s="371">
        <f>IF($A37="","",IFERROR(_xlfn.MINIFS('Timesheet Raw'!$L$4:$L$8000,'Timesheet Raw'!$B$4:$B$8000,$A37),""))</f>
        <v>45833</v>
      </c>
      <c r="L37" s="371">
        <f>IF($A37="","",IFERROR(_xlfn.MAXIFS('Timesheet Raw'!$L$4:$L$8000,'Timesheet Raw'!$B$4:$B$8000,$A37),""))</f>
        <v>45918</v>
      </c>
    </row>
    <row r="38" spans="1:12" x14ac:dyDescent="0.3">
      <c r="A38" t="str">
        <v>WWOM250791</v>
      </c>
      <c r="B38" t="str">
        <f>IF($A38="","",IFERROR(INDEX('Timesheet Raw'!$A$4:$A$8000,MATCH($A38,'Timesheet Raw'!$B$4:$B$8000,0)),""))</f>
        <v>3-Proposals Regular</v>
      </c>
      <c r="C38" s="385">
        <f>IF($A38="","",SUMIFS('Timesheet Raw'!$P$4:$P$8000,'Timesheet Raw'!$B$4:$B$8000,$A38,'Timesheet Raw'!$L$4:$L$8000,"&gt;="&amp;DATE(C$4,1,1),'Timesheet Raw'!$L$4:$L$8000,"&lt;="&amp;DATE(C$4,12,31)))</f>
        <v>0</v>
      </c>
      <c r="D38" s="385">
        <f>IF($A38="","",SUMIFS('Timesheet Raw'!$P$4:$P$8000,'Timesheet Raw'!$B$4:$B$8000,$A38,'Timesheet Raw'!$L$4:$L$8000,"&gt;="&amp;DATE(D$4,1,1),'Timesheet Raw'!$L$4:$L$8000,"&lt;="&amp;DATE(D$4,12,31)))</f>
        <v>59.25</v>
      </c>
      <c r="E38" s="385">
        <f>IF($A38="","",SUMIFS('Timesheet Raw'!$P$4:$P$8000,'Timesheet Raw'!$B$4:$B$8000,$A38,'Timesheet Raw'!$L$4:$L$8000,"&gt;="&amp;DATE(E$4,1,1),'Timesheet Raw'!$L$4:$L$8000,"&lt;="&amp;DATE(E$4,12,31)))</f>
        <v>0</v>
      </c>
      <c r="F38" s="394">
        <f t="shared" si="0"/>
        <v>59.25</v>
      </c>
      <c r="G38" s="341">
        <f>IF($A38="","",$F38/'Profit Plan'!$B$5)</f>
        <v>0.32027027027027027</v>
      </c>
      <c r="H38" s="385">
        <f>IF($A38="","",SUMIFS('Timesheet Raw'!$P$4:$P$8000,'Timesheet Raw'!$B$4:$B$8000,$A38,'Timesheet Raw'!$C$4:$C$8000,'Work Calendar'!$B$20))</f>
        <v>52.75</v>
      </c>
      <c r="I38" s="385">
        <f>IF($A38="","",SUMIFS('Timesheet Raw'!$P$4:$P$8000,'Timesheet Raw'!$B$4:$B$8000,$A38,'Timesheet Raw'!$C$4:$C$8000,'Work Calendar'!$B$21))</f>
        <v>6.5</v>
      </c>
      <c r="J38" s="385">
        <f>IF($A38="","",SUMIFS('Timesheet Raw'!$P$4:$P$8000,'Timesheet Raw'!$B$4:$B$8000,$A38,'Timesheet Raw'!$C$4:$C$8000,'Work Calendar'!$B$22))</f>
        <v>0</v>
      </c>
      <c r="K38" s="371">
        <f>IF($A38="","",IFERROR(_xlfn.MINIFS('Timesheet Raw'!$L$4:$L$8000,'Timesheet Raw'!$B$4:$B$8000,$A38),""))</f>
        <v>45873</v>
      </c>
      <c r="L38" s="371">
        <f>IF($A38="","",IFERROR(_xlfn.MAXIFS('Timesheet Raw'!$L$4:$L$8000,'Timesheet Raw'!$B$4:$B$8000,$A38),""))</f>
        <v>45886</v>
      </c>
    </row>
    <row r="39" spans="1:12" x14ac:dyDescent="0.3">
      <c r="A39" t="str">
        <v>WWQ240828</v>
      </c>
      <c r="B39" t="str">
        <f>IF($A39="","",IFERROR(INDEX('Timesheet Raw'!$A$4:$A$8000,MATCH($A39,'Timesheet Raw'!$B$4:$B$8000,0)),""))</f>
        <v>3-Proposals Regular</v>
      </c>
      <c r="C39" s="385">
        <f>IF($A39="","",SUMIFS('Timesheet Raw'!$P$4:$P$8000,'Timesheet Raw'!$B$4:$B$8000,$A39,'Timesheet Raw'!$L$4:$L$8000,"&gt;="&amp;DATE(C$4,1,1),'Timesheet Raw'!$L$4:$L$8000,"&lt;="&amp;DATE(C$4,12,31)))</f>
        <v>1</v>
      </c>
      <c r="D39" s="385">
        <f>IF($A39="","",SUMIFS('Timesheet Raw'!$P$4:$P$8000,'Timesheet Raw'!$B$4:$B$8000,$A39,'Timesheet Raw'!$L$4:$L$8000,"&gt;="&amp;DATE(D$4,1,1),'Timesheet Raw'!$L$4:$L$8000,"&lt;="&amp;DATE(D$4,12,31)))</f>
        <v>0</v>
      </c>
      <c r="E39" s="385">
        <f>IF($A39="","",SUMIFS('Timesheet Raw'!$P$4:$P$8000,'Timesheet Raw'!$B$4:$B$8000,$A39,'Timesheet Raw'!$L$4:$L$8000,"&gt;="&amp;DATE(E$4,1,1),'Timesheet Raw'!$L$4:$L$8000,"&lt;="&amp;DATE(E$4,12,31)))</f>
        <v>0</v>
      </c>
      <c r="F39" s="394">
        <f t="shared" si="0"/>
        <v>1</v>
      </c>
      <c r="G39" s="341">
        <f>IF($A39="","",$F39/'Profit Plan'!$B$5)</f>
        <v>5.4054054054054057E-3</v>
      </c>
      <c r="H39" s="385">
        <f>IF($A39="","",SUMIFS('Timesheet Raw'!$P$4:$P$8000,'Timesheet Raw'!$B$4:$B$8000,$A39,'Timesheet Raw'!$C$4:$C$8000,'Work Calendar'!$B$20))</f>
        <v>1</v>
      </c>
      <c r="I39" s="385">
        <f>IF($A39="","",SUMIFS('Timesheet Raw'!$P$4:$P$8000,'Timesheet Raw'!$B$4:$B$8000,$A39,'Timesheet Raw'!$C$4:$C$8000,'Work Calendar'!$B$21))</f>
        <v>0</v>
      </c>
      <c r="J39" s="385">
        <f>IF($A39="","",SUMIFS('Timesheet Raw'!$P$4:$P$8000,'Timesheet Raw'!$B$4:$B$8000,$A39,'Timesheet Raw'!$C$4:$C$8000,'Work Calendar'!$B$22))</f>
        <v>0</v>
      </c>
      <c r="K39" s="371">
        <f>IF($A39="","",IFERROR(_xlfn.MINIFS('Timesheet Raw'!$L$4:$L$8000,'Timesheet Raw'!$B$4:$B$8000,$A39),""))</f>
        <v>45511</v>
      </c>
      <c r="L39" s="371">
        <f>IF($A39="","",IFERROR(_xlfn.MAXIFS('Timesheet Raw'!$L$4:$L$8000,'Timesheet Raw'!$B$4:$B$8000,$A39),""))</f>
        <v>45511</v>
      </c>
    </row>
    <row r="40" spans="1:12" x14ac:dyDescent="0.3">
      <c r="A40" t="str">
        <v>WWQ250337</v>
      </c>
      <c r="B40" t="str">
        <f>IF($A40="","",IFERROR(INDEX('Timesheet Raw'!$A$4:$A$8000,MATCH($A40,'Timesheet Raw'!$B$4:$B$8000,0)),""))</f>
        <v>3-Proposals Regular</v>
      </c>
      <c r="C40" s="385">
        <f>IF($A40="","",SUMIFS('Timesheet Raw'!$P$4:$P$8000,'Timesheet Raw'!$B$4:$B$8000,$A40,'Timesheet Raw'!$L$4:$L$8000,"&gt;="&amp;DATE(C$4,1,1),'Timesheet Raw'!$L$4:$L$8000,"&lt;="&amp;DATE(C$4,12,31)))</f>
        <v>0</v>
      </c>
      <c r="D40" s="385">
        <f>IF($A40="","",SUMIFS('Timesheet Raw'!$P$4:$P$8000,'Timesheet Raw'!$B$4:$B$8000,$A40,'Timesheet Raw'!$L$4:$L$8000,"&gt;="&amp;DATE(D$4,1,1),'Timesheet Raw'!$L$4:$L$8000,"&lt;="&amp;DATE(D$4,12,31)))</f>
        <v>2</v>
      </c>
      <c r="E40" s="385">
        <f>IF($A40="","",SUMIFS('Timesheet Raw'!$P$4:$P$8000,'Timesheet Raw'!$B$4:$B$8000,$A40,'Timesheet Raw'!$L$4:$L$8000,"&gt;="&amp;DATE(E$4,1,1),'Timesheet Raw'!$L$4:$L$8000,"&lt;="&amp;DATE(E$4,12,31)))</f>
        <v>0</v>
      </c>
      <c r="F40" s="394">
        <f t="shared" si="0"/>
        <v>2</v>
      </c>
      <c r="G40" s="341">
        <f>IF($A40="","",$F40/'Profit Plan'!$B$5)</f>
        <v>1.0810810810810811E-2</v>
      </c>
      <c r="H40" s="385">
        <f>IF($A40="","",SUMIFS('Timesheet Raw'!$P$4:$P$8000,'Timesheet Raw'!$B$4:$B$8000,$A40,'Timesheet Raw'!$C$4:$C$8000,'Work Calendar'!$B$20))</f>
        <v>2</v>
      </c>
      <c r="I40" s="385">
        <f>IF($A40="","",SUMIFS('Timesheet Raw'!$P$4:$P$8000,'Timesheet Raw'!$B$4:$B$8000,$A40,'Timesheet Raw'!$C$4:$C$8000,'Work Calendar'!$B$21))</f>
        <v>0</v>
      </c>
      <c r="J40" s="385">
        <f>IF($A40="","",SUMIFS('Timesheet Raw'!$P$4:$P$8000,'Timesheet Raw'!$B$4:$B$8000,$A40,'Timesheet Raw'!$C$4:$C$8000,'Work Calendar'!$B$22))</f>
        <v>0</v>
      </c>
      <c r="K40" s="371">
        <f>IF($A40="","",IFERROR(_xlfn.MINIFS('Timesheet Raw'!$L$4:$L$8000,'Timesheet Raw'!$B$4:$B$8000,$A40),""))</f>
        <v>45743</v>
      </c>
      <c r="L40" s="371">
        <f>IF($A40="","",IFERROR(_xlfn.MAXIFS('Timesheet Raw'!$L$4:$L$8000,'Timesheet Raw'!$B$4:$B$8000,$A40),""))</f>
        <v>45743</v>
      </c>
    </row>
    <row r="41" spans="1:12" x14ac:dyDescent="0.3">
      <c r="A41" t="str">
        <v>WWS240119</v>
      </c>
    </row>
    <row r="42" spans="1:12" x14ac:dyDescent="0.3">
      <c r="A42" t="str">
        <v>WWS240344</v>
      </c>
    </row>
    <row r="43" spans="1:12" x14ac:dyDescent="0.3">
      <c r="A43" t="str">
        <v>WWS240426</v>
      </c>
    </row>
    <row r="44" spans="1:12" x14ac:dyDescent="0.3">
      <c r="A44" t="str">
        <v>WWS240976</v>
      </c>
    </row>
    <row r="45" spans="1:12" x14ac:dyDescent="0.3">
      <c r="A45" t="str">
        <v>WWS250088</v>
      </c>
    </row>
    <row r="46" spans="1:12" x14ac:dyDescent="0.3">
      <c r="A46" t="str">
        <v>WWS250396</v>
      </c>
    </row>
    <row r="47" spans="1:12" x14ac:dyDescent="0.3">
      <c r="A47" t="str">
        <v>WWS260269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23A49-CA14-4106-8578-5CD978E617EF}">
  <sheetPr>
    <tabColor rgb="FF2E9B57"/>
    <pageSetUpPr fitToPage="1"/>
  </sheetPr>
  <dimension ref="A1:Y683"/>
  <sheetViews>
    <sheetView showGridLines="0" zoomScale="85" zoomScaleNormal="85" workbookViewId="0">
      <pane xSplit="3" topLeftCell="D1" activePane="topRight" state="frozen"/>
      <selection pane="topRight" activeCell="D301" sqref="D301"/>
    </sheetView>
  </sheetViews>
  <sheetFormatPr defaultRowHeight="14.4" x14ac:dyDescent="0.3"/>
  <cols>
    <col min="1" max="1" width="24.33203125" customWidth="1"/>
    <col min="2" max="3" width="16.33203125" customWidth="1"/>
    <col min="4" max="4" width="14.77734375" customWidth="1"/>
    <col min="5" max="24" width="13.33203125" customWidth="1"/>
    <col min="25" max="25" width="16.33203125" customWidth="1"/>
  </cols>
  <sheetData>
    <row r="1" spans="1:25" ht="30" customHeight="1" x14ac:dyDescent="0.3">
      <c r="A1" s="295" t="s">
        <v>49</v>
      </c>
      <c r="B1" s="294"/>
      <c r="C1" s="294"/>
      <c r="D1" s="294"/>
      <c r="E1" s="294"/>
      <c r="F1" s="294"/>
      <c r="G1" s="294"/>
      <c r="H1" s="294"/>
      <c r="I1" s="294"/>
      <c r="J1" s="294"/>
      <c r="K1" s="294"/>
      <c r="L1" s="294"/>
      <c r="M1" s="294"/>
      <c r="N1" s="294"/>
      <c r="O1" s="294"/>
      <c r="P1" s="294"/>
      <c r="Q1" s="294"/>
      <c r="R1" s="294"/>
      <c r="S1" s="294"/>
      <c r="T1" s="294"/>
      <c r="U1" s="294"/>
      <c r="V1" s="294"/>
      <c r="W1" s="294"/>
      <c r="X1" s="294"/>
      <c r="Y1" s="294"/>
    </row>
    <row r="2" spans="1:25" x14ac:dyDescent="0.3">
      <c r="A2" s="1"/>
      <c r="B2" s="1"/>
      <c r="C2" s="1"/>
      <c r="D2" s="1"/>
      <c r="E2" s="1"/>
      <c r="F2" s="1"/>
      <c r="G2" s="1"/>
      <c r="H2" s="1"/>
      <c r="I2" s="1"/>
      <c r="J2" s="1"/>
      <c r="K2" s="1"/>
      <c r="L2" s="1"/>
      <c r="M2" s="1"/>
      <c r="N2" s="1"/>
      <c r="O2" s="1"/>
      <c r="P2" s="1"/>
      <c r="Q2" s="1"/>
      <c r="R2" s="1"/>
      <c r="S2" s="1"/>
      <c r="T2" s="1"/>
      <c r="U2" s="1"/>
      <c r="V2" s="1"/>
      <c r="W2" s="1"/>
      <c r="X2" s="1"/>
      <c r="Y2" s="1"/>
    </row>
    <row r="3" spans="1:25" x14ac:dyDescent="0.3">
      <c r="A3" s="49" t="s">
        <v>50</v>
      </c>
      <c r="B3" s="49"/>
      <c r="C3" s="49"/>
      <c r="D3" s="50">
        <f>2023</f>
        <v>2023</v>
      </c>
      <c r="E3" s="50">
        <f t="shared" ref="E3:X3" si="0">YEAR(E5)</f>
        <v>2024</v>
      </c>
      <c r="F3" s="50">
        <f t="shared" si="0"/>
        <v>2024</v>
      </c>
      <c r="G3" s="50">
        <f t="shared" si="0"/>
        <v>2024</v>
      </c>
      <c r="H3" s="50">
        <f t="shared" si="0"/>
        <v>2024</v>
      </c>
      <c r="I3" s="50">
        <f t="shared" si="0"/>
        <v>2025</v>
      </c>
      <c r="J3" s="50">
        <f t="shared" si="0"/>
        <v>2025</v>
      </c>
      <c r="K3" s="50">
        <f t="shared" si="0"/>
        <v>2025</v>
      </c>
      <c r="L3" s="50">
        <f t="shared" si="0"/>
        <v>2025</v>
      </c>
      <c r="M3" s="50">
        <f t="shared" si="0"/>
        <v>2026</v>
      </c>
      <c r="N3" s="50">
        <f t="shared" si="0"/>
        <v>2026</v>
      </c>
      <c r="O3" s="50">
        <f t="shared" si="0"/>
        <v>2026</v>
      </c>
      <c r="P3" s="50">
        <f t="shared" si="0"/>
        <v>2026</v>
      </c>
      <c r="Q3" s="50">
        <f t="shared" si="0"/>
        <v>2027</v>
      </c>
      <c r="R3" s="50">
        <f t="shared" si="0"/>
        <v>2027</v>
      </c>
      <c r="S3" s="50">
        <f t="shared" si="0"/>
        <v>2027</v>
      </c>
      <c r="T3" s="50">
        <f t="shared" si="0"/>
        <v>2027</v>
      </c>
      <c r="U3" s="50">
        <f t="shared" si="0"/>
        <v>2028</v>
      </c>
      <c r="V3" s="50">
        <f t="shared" si="0"/>
        <v>2028</v>
      </c>
      <c r="W3" s="50">
        <f t="shared" si="0"/>
        <v>2028</v>
      </c>
      <c r="X3" s="50">
        <f t="shared" si="0"/>
        <v>2028</v>
      </c>
      <c r="Y3" s="51"/>
    </row>
    <row r="4" spans="1:25" x14ac:dyDescent="0.3">
      <c r="A4" s="49" t="s">
        <v>51</v>
      </c>
      <c r="B4" s="49"/>
      <c r="C4" s="49"/>
      <c r="D4" s="51" t="s">
        <v>54</v>
      </c>
      <c r="E4" s="51" t="str">
        <f t="shared" ref="E4:X4" si="1">"Q"&amp;ROUNDUP(MONTH(E5)/3,0)&amp;"-"&amp;TEXT(E5,"yy")</f>
        <v>Q1-24</v>
      </c>
      <c r="F4" s="51" t="str">
        <f t="shared" si="1"/>
        <v>Q2-24</v>
      </c>
      <c r="G4" s="51" t="str">
        <f t="shared" si="1"/>
        <v>Q3-24</v>
      </c>
      <c r="H4" s="51" t="str">
        <f t="shared" si="1"/>
        <v>Q4-24</v>
      </c>
      <c r="I4" s="51" t="str">
        <f t="shared" si="1"/>
        <v>Q1-25</v>
      </c>
      <c r="J4" s="51" t="str">
        <f t="shared" si="1"/>
        <v>Q2-25</v>
      </c>
      <c r="K4" s="51" t="str">
        <f t="shared" si="1"/>
        <v>Q3-25</v>
      </c>
      <c r="L4" s="51" t="str">
        <f t="shared" si="1"/>
        <v>Q4-25</v>
      </c>
      <c r="M4" s="51" t="str">
        <f t="shared" si="1"/>
        <v>Q1-26</v>
      </c>
      <c r="N4" s="51" t="str">
        <f t="shared" si="1"/>
        <v>Q2-26</v>
      </c>
      <c r="O4" s="51" t="str">
        <f t="shared" si="1"/>
        <v>Q3-26</v>
      </c>
      <c r="P4" s="51" t="str">
        <f t="shared" si="1"/>
        <v>Q4-26</v>
      </c>
      <c r="Q4" s="51" t="str">
        <f t="shared" si="1"/>
        <v>Q1-27</v>
      </c>
      <c r="R4" s="51" t="str">
        <f t="shared" si="1"/>
        <v>Q2-27</v>
      </c>
      <c r="S4" s="51" t="str">
        <f t="shared" si="1"/>
        <v>Q3-27</v>
      </c>
      <c r="T4" s="51" t="str">
        <f t="shared" si="1"/>
        <v>Q4-27</v>
      </c>
      <c r="U4" s="51" t="str">
        <f t="shared" si="1"/>
        <v>Q1-28</v>
      </c>
      <c r="V4" s="51" t="str">
        <f t="shared" si="1"/>
        <v>Q2-28</v>
      </c>
      <c r="W4" s="51" t="str">
        <f t="shared" si="1"/>
        <v>Q3-28</v>
      </c>
      <c r="X4" s="51" t="str">
        <f t="shared" si="1"/>
        <v>Q4-28</v>
      </c>
      <c r="Y4" s="51" t="s">
        <v>4</v>
      </c>
    </row>
    <row r="5" spans="1:25" x14ac:dyDescent="0.3">
      <c r="A5" s="47" t="s">
        <v>52</v>
      </c>
      <c r="B5" s="47"/>
      <c r="C5" s="47"/>
      <c r="D5" s="48">
        <f>DATE(1900,1,1)</f>
        <v>1</v>
      </c>
      <c r="E5" s="48">
        <f>DATE(2024,1,1)</f>
        <v>45292</v>
      </c>
      <c r="F5" s="48">
        <f t="shared" ref="F5:X5" si="2">EDATE(E5,3)</f>
        <v>45383</v>
      </c>
      <c r="G5" s="48">
        <f t="shared" si="2"/>
        <v>45474</v>
      </c>
      <c r="H5" s="48">
        <f t="shared" si="2"/>
        <v>45566</v>
      </c>
      <c r="I5" s="48">
        <f t="shared" si="2"/>
        <v>45658</v>
      </c>
      <c r="J5" s="48">
        <f t="shared" si="2"/>
        <v>45748</v>
      </c>
      <c r="K5" s="48">
        <f t="shared" si="2"/>
        <v>45839</v>
      </c>
      <c r="L5" s="48">
        <f t="shared" si="2"/>
        <v>45931</v>
      </c>
      <c r="M5" s="48">
        <f t="shared" si="2"/>
        <v>46023</v>
      </c>
      <c r="N5" s="48">
        <f t="shared" si="2"/>
        <v>46113</v>
      </c>
      <c r="O5" s="48">
        <f t="shared" si="2"/>
        <v>46204</v>
      </c>
      <c r="P5" s="48">
        <f t="shared" si="2"/>
        <v>46296</v>
      </c>
      <c r="Q5" s="48">
        <f t="shared" si="2"/>
        <v>46388</v>
      </c>
      <c r="R5" s="48">
        <f t="shared" si="2"/>
        <v>46478</v>
      </c>
      <c r="S5" s="48">
        <f t="shared" si="2"/>
        <v>46569</v>
      </c>
      <c r="T5" s="48">
        <f t="shared" si="2"/>
        <v>46661</v>
      </c>
      <c r="U5" s="48">
        <f t="shared" si="2"/>
        <v>46753</v>
      </c>
      <c r="V5" s="48">
        <f t="shared" si="2"/>
        <v>46844</v>
      </c>
      <c r="W5" s="48">
        <f t="shared" si="2"/>
        <v>46935</v>
      </c>
      <c r="X5" s="48">
        <f t="shared" si="2"/>
        <v>47027</v>
      </c>
      <c r="Y5" s="2"/>
    </row>
    <row r="6" spans="1:25" x14ac:dyDescent="0.3">
      <c r="A6" s="47" t="s">
        <v>53</v>
      </c>
      <c r="B6" s="47"/>
      <c r="C6" s="47"/>
      <c r="D6" s="48">
        <f>DATE(2023,12,31)</f>
        <v>45291</v>
      </c>
      <c r="E6" s="48">
        <f t="shared" ref="E6:X6" si="3">EDATE(E5,3)-1</f>
        <v>45382</v>
      </c>
      <c r="F6" s="48">
        <f t="shared" si="3"/>
        <v>45473</v>
      </c>
      <c r="G6" s="48">
        <f t="shared" si="3"/>
        <v>45565</v>
      </c>
      <c r="H6" s="48">
        <f t="shared" si="3"/>
        <v>45657</v>
      </c>
      <c r="I6" s="48">
        <f t="shared" si="3"/>
        <v>45747</v>
      </c>
      <c r="J6" s="48">
        <f t="shared" si="3"/>
        <v>45838</v>
      </c>
      <c r="K6" s="48">
        <f t="shared" si="3"/>
        <v>45930</v>
      </c>
      <c r="L6" s="48">
        <f t="shared" si="3"/>
        <v>46022</v>
      </c>
      <c r="M6" s="48">
        <f t="shared" si="3"/>
        <v>46112</v>
      </c>
      <c r="N6" s="48">
        <f t="shared" si="3"/>
        <v>46203</v>
      </c>
      <c r="O6" s="48">
        <f t="shared" si="3"/>
        <v>46295</v>
      </c>
      <c r="P6" s="48">
        <f t="shared" si="3"/>
        <v>46387</v>
      </c>
      <c r="Q6" s="48">
        <f t="shared" si="3"/>
        <v>46477</v>
      </c>
      <c r="R6" s="48">
        <f t="shared" si="3"/>
        <v>46568</v>
      </c>
      <c r="S6" s="48">
        <f t="shared" si="3"/>
        <v>46660</v>
      </c>
      <c r="T6" s="48">
        <f t="shared" si="3"/>
        <v>46752</v>
      </c>
      <c r="U6" s="48">
        <f t="shared" si="3"/>
        <v>46843</v>
      </c>
      <c r="V6" s="48">
        <f t="shared" si="3"/>
        <v>46934</v>
      </c>
      <c r="W6" s="48">
        <f t="shared" si="3"/>
        <v>47026</v>
      </c>
      <c r="X6" s="48">
        <f t="shared" si="3"/>
        <v>47118</v>
      </c>
      <c r="Y6" s="2"/>
    </row>
    <row r="7" spans="1:25" x14ac:dyDescent="0.3">
      <c r="A7" s="1"/>
      <c r="B7" s="1"/>
      <c r="C7" s="1"/>
      <c r="D7" s="1"/>
      <c r="E7" s="1"/>
      <c r="F7" s="1"/>
      <c r="G7" s="1"/>
      <c r="H7" s="1"/>
      <c r="I7" s="1"/>
      <c r="J7" s="1"/>
      <c r="K7" s="1"/>
      <c r="L7" s="1"/>
      <c r="M7" s="1"/>
      <c r="N7" s="1"/>
      <c r="O7" s="1"/>
      <c r="P7" s="1"/>
      <c r="Q7" s="1"/>
      <c r="R7" s="1"/>
      <c r="S7" s="1"/>
      <c r="T7" s="1"/>
      <c r="U7" s="1"/>
      <c r="V7" s="1"/>
      <c r="W7" s="1"/>
      <c r="X7" s="1"/>
      <c r="Y7" s="1"/>
    </row>
    <row r="8" spans="1:25" ht="19.95" customHeight="1" x14ac:dyDescent="0.3">
      <c r="A8" s="300" t="s">
        <v>55</v>
      </c>
      <c r="B8" s="300"/>
      <c r="C8" s="300"/>
      <c r="D8" s="300"/>
      <c r="E8" s="300"/>
      <c r="F8" s="300"/>
      <c r="G8" s="300"/>
      <c r="H8" s="300"/>
      <c r="I8" s="300"/>
      <c r="J8" s="300"/>
      <c r="K8" s="300"/>
      <c r="L8" s="300"/>
      <c r="M8" s="300"/>
      <c r="N8" s="300"/>
      <c r="O8" s="300"/>
      <c r="P8" s="300"/>
      <c r="Q8" s="300"/>
      <c r="R8" s="300"/>
      <c r="S8" s="300"/>
      <c r="T8" s="300"/>
      <c r="U8" s="300"/>
      <c r="V8" s="300"/>
      <c r="W8" s="300"/>
      <c r="X8" s="300"/>
      <c r="Y8" s="300"/>
    </row>
    <row r="9" spans="1:25" x14ac:dyDescent="0.3">
      <c r="A9" s="114" t="s">
        <v>35</v>
      </c>
      <c r="B9" s="114" t="s">
        <v>37</v>
      </c>
      <c r="C9" s="114" t="s">
        <v>38</v>
      </c>
      <c r="D9" s="115" t="str">
        <f t="shared" ref="D9:X9" si="4">D$4</f>
        <v>Opening</v>
      </c>
      <c r="E9" s="115" t="str">
        <f t="shared" si="4"/>
        <v>Q1-24</v>
      </c>
      <c r="F9" s="115" t="str">
        <f t="shared" si="4"/>
        <v>Q2-24</v>
      </c>
      <c r="G9" s="115" t="str">
        <f t="shared" si="4"/>
        <v>Q3-24</v>
      </c>
      <c r="H9" s="115" t="str">
        <f t="shared" si="4"/>
        <v>Q4-24</v>
      </c>
      <c r="I9" s="115" t="str">
        <f t="shared" si="4"/>
        <v>Q1-25</v>
      </c>
      <c r="J9" s="115" t="str">
        <f t="shared" si="4"/>
        <v>Q2-25</v>
      </c>
      <c r="K9" s="115" t="str">
        <f t="shared" si="4"/>
        <v>Q3-25</v>
      </c>
      <c r="L9" s="115" t="str">
        <f t="shared" si="4"/>
        <v>Q4-25</v>
      </c>
      <c r="M9" s="115" t="str">
        <f t="shared" si="4"/>
        <v>Q1-26</v>
      </c>
      <c r="N9" s="115" t="str">
        <f t="shared" si="4"/>
        <v>Q2-26</v>
      </c>
      <c r="O9" s="115" t="str">
        <f t="shared" si="4"/>
        <v>Q3-26</v>
      </c>
      <c r="P9" s="115" t="str">
        <f t="shared" si="4"/>
        <v>Q4-26</v>
      </c>
      <c r="Q9" s="115" t="str">
        <f t="shared" si="4"/>
        <v>Q1-27</v>
      </c>
      <c r="R9" s="115" t="str">
        <f t="shared" si="4"/>
        <v>Q2-27</v>
      </c>
      <c r="S9" s="115" t="str">
        <f t="shared" si="4"/>
        <v>Q3-27</v>
      </c>
      <c r="T9" s="115" t="str">
        <f t="shared" si="4"/>
        <v>Q4-27</v>
      </c>
      <c r="U9" s="115" t="str">
        <f t="shared" si="4"/>
        <v>Q1-28</v>
      </c>
      <c r="V9" s="115" t="str">
        <f t="shared" si="4"/>
        <v>Q2-28</v>
      </c>
      <c r="W9" s="115" t="str">
        <f t="shared" si="4"/>
        <v>Q3-28</v>
      </c>
      <c r="X9" s="115" t="str">
        <f t="shared" si="4"/>
        <v>Q4-28</v>
      </c>
      <c r="Y9" s="115" t="s">
        <v>4</v>
      </c>
    </row>
    <row r="10" spans="1:25" x14ac:dyDescent="0.3">
      <c r="A10" s="116" t="str">
        <f>IF(Inputs!$A6="","",Inputs!$A6)</f>
        <v>N25178-0100D</v>
      </c>
      <c r="B10" s="117">
        <f>IF(Inputs!$A6="","",Inputs!$D6)</f>
        <v>46204</v>
      </c>
      <c r="C10" s="117">
        <f>IF(Inputs!$A6="","",Inputs!$E6)</f>
        <v>46295</v>
      </c>
      <c r="D10" s="118">
        <f>IF(OR(Inputs!$C6="",Inputs!$D6="",Inputs!$E6=""),0,Inputs!$C6*MAX(0,MIN(Inputs!$E6,D$6)-MAX(Inputs!$D6,D$5)+1)/(Inputs!$E6-Inputs!$D6+1))</f>
        <v>0</v>
      </c>
      <c r="E10" s="118">
        <f>IF(OR(Inputs!$C6="",Inputs!$D6="",Inputs!$E6=""),0,Inputs!$C6*MAX(0,MIN(Inputs!$E6,E$6)-MAX(Inputs!$D6,E$5)+1)/(Inputs!$E6-Inputs!$D6+1))</f>
        <v>0</v>
      </c>
      <c r="F10" s="118">
        <f>IF(OR(Inputs!$C6="",Inputs!$D6="",Inputs!$E6=""),0,Inputs!$C6*MAX(0,MIN(Inputs!$E6,F$6)-MAX(Inputs!$D6,F$5)+1)/(Inputs!$E6-Inputs!$D6+1))</f>
        <v>0</v>
      </c>
      <c r="G10" s="118">
        <f>IF(OR(Inputs!$C6="",Inputs!$D6="",Inputs!$E6=""),0,Inputs!$C6*MAX(0,MIN(Inputs!$E6,G$6)-MAX(Inputs!$D6,G$5)+1)/(Inputs!$E6-Inputs!$D6+1))</f>
        <v>0</v>
      </c>
      <c r="H10" s="118">
        <f>IF(OR(Inputs!$C6="",Inputs!$D6="",Inputs!$E6=""),0,Inputs!$C6*MAX(0,MIN(Inputs!$E6,H$6)-MAX(Inputs!$D6,H$5)+1)/(Inputs!$E6-Inputs!$D6+1))</f>
        <v>0</v>
      </c>
      <c r="I10" s="118">
        <f>IF(OR(Inputs!$C6="",Inputs!$D6="",Inputs!$E6=""),0,Inputs!$C6*MAX(0,MIN(Inputs!$E6,I$6)-MAX(Inputs!$D6,I$5)+1)/(Inputs!$E6-Inputs!$D6+1))</f>
        <v>0</v>
      </c>
      <c r="J10" s="118">
        <f>IF(OR(Inputs!$C6="",Inputs!$D6="",Inputs!$E6=""),0,Inputs!$C6*MAX(0,MIN(Inputs!$E6,J$6)-MAX(Inputs!$D6,J$5)+1)/(Inputs!$E6-Inputs!$D6+1))</f>
        <v>0</v>
      </c>
      <c r="K10" s="118">
        <f>IF(OR(Inputs!$C6="",Inputs!$D6="",Inputs!$E6=""),0,Inputs!$C6*MAX(0,MIN(Inputs!$E6,K$6)-MAX(Inputs!$D6,K$5)+1)/(Inputs!$E6-Inputs!$D6+1))</f>
        <v>0</v>
      </c>
      <c r="L10" s="118">
        <f>IF(OR(Inputs!$C6="",Inputs!$D6="",Inputs!$E6=""),0,Inputs!$C6*MAX(0,MIN(Inputs!$E6,L$6)-MAX(Inputs!$D6,L$5)+1)/(Inputs!$E6-Inputs!$D6+1))</f>
        <v>0</v>
      </c>
      <c r="M10" s="118">
        <f>IF(OR(Inputs!$C6="",Inputs!$D6="",Inputs!$E6=""),0,Inputs!$C6*MAX(0,MIN(Inputs!$E6,M$6)-MAX(Inputs!$D6,M$5)+1)/(Inputs!$E6-Inputs!$D6+1))</f>
        <v>0</v>
      </c>
      <c r="N10" s="118">
        <f>IF(OR(Inputs!$C6="",Inputs!$D6="",Inputs!$E6=""),0,Inputs!$C6*MAX(0,MIN(Inputs!$E6,N$6)-MAX(Inputs!$D6,N$5)+1)/(Inputs!$E6-Inputs!$D6+1))</f>
        <v>0</v>
      </c>
      <c r="O10" s="118">
        <f>IF(OR(Inputs!$C6="",Inputs!$D6="",Inputs!$E6=""),0,Inputs!$C6*MAX(0,MIN(Inputs!$E6,O$6)-MAX(Inputs!$D6,O$5)+1)/(Inputs!$E6-Inputs!$D6+1))</f>
        <v>2.4</v>
      </c>
      <c r="P10" s="118">
        <f>IF(OR(Inputs!$C6="",Inputs!$D6="",Inputs!$E6=""),0,Inputs!$C6*MAX(0,MIN(Inputs!$E6,P$6)-MAX(Inputs!$D6,P$5)+1)/(Inputs!$E6-Inputs!$D6+1))</f>
        <v>0</v>
      </c>
      <c r="Q10" s="118">
        <f>IF(OR(Inputs!$C6="",Inputs!$D6="",Inputs!$E6=""),0,Inputs!$C6*MAX(0,MIN(Inputs!$E6,Q$6)-MAX(Inputs!$D6,Q$5)+1)/(Inputs!$E6-Inputs!$D6+1))</f>
        <v>0</v>
      </c>
      <c r="R10" s="118">
        <f>IF(OR(Inputs!$C6="",Inputs!$D6="",Inputs!$E6=""),0,Inputs!$C6*MAX(0,MIN(Inputs!$E6,R$6)-MAX(Inputs!$D6,R$5)+1)/(Inputs!$E6-Inputs!$D6+1))</f>
        <v>0</v>
      </c>
      <c r="S10" s="118">
        <f>IF(OR(Inputs!$C6="",Inputs!$D6="",Inputs!$E6=""),0,Inputs!$C6*MAX(0,MIN(Inputs!$E6,S$6)-MAX(Inputs!$D6,S$5)+1)/(Inputs!$E6-Inputs!$D6+1))</f>
        <v>0</v>
      </c>
      <c r="T10" s="118">
        <f>IF(OR(Inputs!$C6="",Inputs!$D6="",Inputs!$E6=""),0,Inputs!$C6*MAX(0,MIN(Inputs!$E6,T$6)-MAX(Inputs!$D6,T$5)+1)/(Inputs!$E6-Inputs!$D6+1))</f>
        <v>0</v>
      </c>
      <c r="U10" s="118">
        <f>IF(OR(Inputs!$C6="",Inputs!$D6="",Inputs!$E6=""),0,Inputs!$C6*MAX(0,MIN(Inputs!$E6,U$6)-MAX(Inputs!$D6,U$5)+1)/(Inputs!$E6-Inputs!$D6+1))</f>
        <v>0</v>
      </c>
      <c r="V10" s="118">
        <f>IF(OR(Inputs!$C6="",Inputs!$D6="",Inputs!$E6=""),0,Inputs!$C6*MAX(0,MIN(Inputs!$E6,V$6)-MAX(Inputs!$D6,V$5)+1)/(Inputs!$E6-Inputs!$D6+1))</f>
        <v>0</v>
      </c>
      <c r="W10" s="118">
        <f>IF(OR(Inputs!$C6="",Inputs!$D6="",Inputs!$E6=""),0,Inputs!$C6*MAX(0,MIN(Inputs!$E6,W$6)-MAX(Inputs!$D6,W$5)+1)/(Inputs!$E6-Inputs!$D6+1))</f>
        <v>0</v>
      </c>
      <c r="X10" s="118">
        <f>IF(OR(Inputs!$C6="",Inputs!$D6="",Inputs!$E6=""),0,Inputs!$C6*MAX(0,MIN(Inputs!$E6,X$6)-MAX(Inputs!$D6,X$5)+1)/(Inputs!$E6-Inputs!$D6+1))</f>
        <v>0</v>
      </c>
      <c r="Y10" s="118">
        <f t="shared" ref="Y10:Y41" si="5">SUM(D10:X10)</f>
        <v>2.4</v>
      </c>
    </row>
    <row r="11" spans="1:25" x14ac:dyDescent="0.3">
      <c r="A11" s="116" t="str">
        <f>IF(Inputs!$A7="","",Inputs!$A7)</f>
        <v>E26084-0100D</v>
      </c>
      <c r="B11" s="117">
        <f>IF(Inputs!$A7="","",Inputs!$D7)</f>
        <v>45839</v>
      </c>
      <c r="C11" s="117">
        <f>IF(Inputs!$A7="","",Inputs!$E7)</f>
        <v>46295</v>
      </c>
      <c r="D11" s="118">
        <f>IF(OR(Inputs!$C7="",Inputs!$D7="",Inputs!$E7=""),0,Inputs!$C7*MAX(0,MIN(Inputs!$E7,D$6)-MAX(Inputs!$D7,D$5)+1)/(Inputs!$E7-Inputs!$D7+1))</f>
        <v>0</v>
      </c>
      <c r="E11" s="118">
        <f>IF(OR(Inputs!$C7="",Inputs!$D7="",Inputs!$E7=""),0,Inputs!$C7*MAX(0,MIN(Inputs!$E7,E$6)-MAX(Inputs!$D7,E$5)+1)/(Inputs!$E7-Inputs!$D7+1))</f>
        <v>0</v>
      </c>
      <c r="F11" s="118">
        <f>IF(OR(Inputs!$C7="",Inputs!$D7="",Inputs!$E7=""),0,Inputs!$C7*MAX(0,MIN(Inputs!$E7,F$6)-MAX(Inputs!$D7,F$5)+1)/(Inputs!$E7-Inputs!$D7+1))</f>
        <v>0</v>
      </c>
      <c r="G11" s="118">
        <f>IF(OR(Inputs!$C7="",Inputs!$D7="",Inputs!$E7=""),0,Inputs!$C7*MAX(0,MIN(Inputs!$E7,G$6)-MAX(Inputs!$D7,G$5)+1)/(Inputs!$E7-Inputs!$D7+1))</f>
        <v>0</v>
      </c>
      <c r="H11" s="118">
        <f>IF(OR(Inputs!$C7="",Inputs!$D7="",Inputs!$E7=""),0,Inputs!$C7*MAX(0,MIN(Inputs!$E7,H$6)-MAX(Inputs!$D7,H$5)+1)/(Inputs!$E7-Inputs!$D7+1))</f>
        <v>0</v>
      </c>
      <c r="I11" s="118">
        <f>IF(OR(Inputs!$C7="",Inputs!$D7="",Inputs!$E7=""),0,Inputs!$C7*MAX(0,MIN(Inputs!$E7,I$6)-MAX(Inputs!$D7,I$5)+1)/(Inputs!$E7-Inputs!$D7+1))</f>
        <v>0</v>
      </c>
      <c r="J11" s="118">
        <f>IF(OR(Inputs!$C7="",Inputs!$D7="",Inputs!$E7=""),0,Inputs!$C7*MAX(0,MIN(Inputs!$E7,J$6)-MAX(Inputs!$D7,J$5)+1)/(Inputs!$E7-Inputs!$D7+1))</f>
        <v>0</v>
      </c>
      <c r="K11" s="118">
        <f>IF(OR(Inputs!$C7="",Inputs!$D7="",Inputs!$E7=""),0,Inputs!$C7*MAX(0,MIN(Inputs!$E7,K$6)-MAX(Inputs!$D7,K$5)+1)/(Inputs!$E7-Inputs!$D7+1))</f>
        <v>0.60393873085339167</v>
      </c>
      <c r="L11" s="118">
        <f>IF(OR(Inputs!$C7="",Inputs!$D7="",Inputs!$E7=""),0,Inputs!$C7*MAX(0,MIN(Inputs!$E7,L$6)-MAX(Inputs!$D7,L$5)+1)/(Inputs!$E7-Inputs!$D7+1))</f>
        <v>0.60393873085339167</v>
      </c>
      <c r="M11" s="118">
        <f>IF(OR(Inputs!$C7="",Inputs!$D7="",Inputs!$E7=""),0,Inputs!$C7*MAX(0,MIN(Inputs!$E7,M$6)-MAX(Inputs!$D7,M$5)+1)/(Inputs!$E7-Inputs!$D7+1))</f>
        <v>0.5908096280087527</v>
      </c>
      <c r="N11" s="118">
        <f>IF(OR(Inputs!$C7="",Inputs!$D7="",Inputs!$E7=""),0,Inputs!$C7*MAX(0,MIN(Inputs!$E7,N$6)-MAX(Inputs!$D7,N$5)+1)/(Inputs!$E7-Inputs!$D7+1))</f>
        <v>0.59737417943107218</v>
      </c>
      <c r="O11" s="118">
        <f>IF(OR(Inputs!$C7="",Inputs!$D7="",Inputs!$E7=""),0,Inputs!$C7*MAX(0,MIN(Inputs!$E7,O$6)-MAX(Inputs!$D7,O$5)+1)/(Inputs!$E7-Inputs!$D7+1))</f>
        <v>0.60393873085339167</v>
      </c>
      <c r="P11" s="118">
        <f>IF(OR(Inputs!$C7="",Inputs!$D7="",Inputs!$E7=""),0,Inputs!$C7*MAX(0,MIN(Inputs!$E7,P$6)-MAX(Inputs!$D7,P$5)+1)/(Inputs!$E7-Inputs!$D7+1))</f>
        <v>0</v>
      </c>
      <c r="Q11" s="118">
        <f>IF(OR(Inputs!$C7="",Inputs!$D7="",Inputs!$E7=""),0,Inputs!$C7*MAX(0,MIN(Inputs!$E7,Q$6)-MAX(Inputs!$D7,Q$5)+1)/(Inputs!$E7-Inputs!$D7+1))</f>
        <v>0</v>
      </c>
      <c r="R11" s="118">
        <f>IF(OR(Inputs!$C7="",Inputs!$D7="",Inputs!$E7=""),0,Inputs!$C7*MAX(0,MIN(Inputs!$E7,R$6)-MAX(Inputs!$D7,R$5)+1)/(Inputs!$E7-Inputs!$D7+1))</f>
        <v>0</v>
      </c>
      <c r="S11" s="118">
        <f>IF(OR(Inputs!$C7="",Inputs!$D7="",Inputs!$E7=""),0,Inputs!$C7*MAX(0,MIN(Inputs!$E7,S$6)-MAX(Inputs!$D7,S$5)+1)/(Inputs!$E7-Inputs!$D7+1))</f>
        <v>0</v>
      </c>
      <c r="T11" s="118">
        <f>IF(OR(Inputs!$C7="",Inputs!$D7="",Inputs!$E7=""),0,Inputs!$C7*MAX(0,MIN(Inputs!$E7,T$6)-MAX(Inputs!$D7,T$5)+1)/(Inputs!$E7-Inputs!$D7+1))</f>
        <v>0</v>
      </c>
      <c r="U11" s="118">
        <f>IF(OR(Inputs!$C7="",Inputs!$D7="",Inputs!$E7=""),0,Inputs!$C7*MAX(0,MIN(Inputs!$E7,U$6)-MAX(Inputs!$D7,U$5)+1)/(Inputs!$E7-Inputs!$D7+1))</f>
        <v>0</v>
      </c>
      <c r="V11" s="118">
        <f>IF(OR(Inputs!$C7="",Inputs!$D7="",Inputs!$E7=""),0,Inputs!$C7*MAX(0,MIN(Inputs!$E7,V$6)-MAX(Inputs!$D7,V$5)+1)/(Inputs!$E7-Inputs!$D7+1))</f>
        <v>0</v>
      </c>
      <c r="W11" s="118">
        <f>IF(OR(Inputs!$C7="",Inputs!$D7="",Inputs!$E7=""),0,Inputs!$C7*MAX(0,MIN(Inputs!$E7,W$6)-MAX(Inputs!$D7,W$5)+1)/(Inputs!$E7-Inputs!$D7+1))</f>
        <v>0</v>
      </c>
      <c r="X11" s="118">
        <f>IF(OR(Inputs!$C7="",Inputs!$D7="",Inputs!$E7=""),0,Inputs!$C7*MAX(0,MIN(Inputs!$E7,X$6)-MAX(Inputs!$D7,X$5)+1)/(Inputs!$E7-Inputs!$D7+1))</f>
        <v>0</v>
      </c>
      <c r="Y11" s="118">
        <f t="shared" si="5"/>
        <v>3</v>
      </c>
    </row>
    <row r="12" spans="1:25" x14ac:dyDescent="0.3">
      <c r="A12" s="116" t="str">
        <f>IF(Inputs!$A8="","",Inputs!$A8)</f>
        <v>N25185-0100D</v>
      </c>
      <c r="B12" s="117">
        <f>IF(Inputs!$A8="","",Inputs!$D8)</f>
        <v>45931</v>
      </c>
      <c r="C12" s="117">
        <f>IF(Inputs!$A8="","",Inputs!$E8)</f>
        <v>46387</v>
      </c>
      <c r="D12" s="118">
        <f>IF(OR(Inputs!$C8="",Inputs!$D8="",Inputs!$E8=""),0,Inputs!$C8*MAX(0,MIN(Inputs!$E8,D$6)-MAX(Inputs!$D8,D$5)+1)/(Inputs!$E8-Inputs!$D8+1))</f>
        <v>0</v>
      </c>
      <c r="E12" s="118">
        <f>IF(OR(Inputs!$C8="",Inputs!$D8="",Inputs!$E8=""),0,Inputs!$C8*MAX(0,MIN(Inputs!$E8,E$6)-MAX(Inputs!$D8,E$5)+1)/(Inputs!$E8-Inputs!$D8+1))</f>
        <v>0</v>
      </c>
      <c r="F12" s="118">
        <f>IF(OR(Inputs!$C8="",Inputs!$D8="",Inputs!$E8=""),0,Inputs!$C8*MAX(0,MIN(Inputs!$E8,F$6)-MAX(Inputs!$D8,F$5)+1)/(Inputs!$E8-Inputs!$D8+1))</f>
        <v>0</v>
      </c>
      <c r="G12" s="118">
        <f>IF(OR(Inputs!$C8="",Inputs!$D8="",Inputs!$E8=""),0,Inputs!$C8*MAX(0,MIN(Inputs!$E8,G$6)-MAX(Inputs!$D8,G$5)+1)/(Inputs!$E8-Inputs!$D8+1))</f>
        <v>0</v>
      </c>
      <c r="H12" s="118">
        <f>IF(OR(Inputs!$C8="",Inputs!$D8="",Inputs!$E8=""),0,Inputs!$C8*MAX(0,MIN(Inputs!$E8,H$6)-MAX(Inputs!$D8,H$5)+1)/(Inputs!$E8-Inputs!$D8+1))</f>
        <v>0</v>
      </c>
      <c r="I12" s="118">
        <f>IF(OR(Inputs!$C8="",Inputs!$D8="",Inputs!$E8=""),0,Inputs!$C8*MAX(0,MIN(Inputs!$E8,I$6)-MAX(Inputs!$D8,I$5)+1)/(Inputs!$E8-Inputs!$D8+1))</f>
        <v>0</v>
      </c>
      <c r="J12" s="118">
        <f>IF(OR(Inputs!$C8="",Inputs!$D8="",Inputs!$E8=""),0,Inputs!$C8*MAX(0,MIN(Inputs!$E8,J$6)-MAX(Inputs!$D8,J$5)+1)/(Inputs!$E8-Inputs!$D8+1))</f>
        <v>0</v>
      </c>
      <c r="K12" s="118">
        <f>IF(OR(Inputs!$C8="",Inputs!$D8="",Inputs!$E8=""),0,Inputs!$C8*MAX(0,MIN(Inputs!$E8,K$6)-MAX(Inputs!$D8,K$5)+1)/(Inputs!$E8-Inputs!$D8+1))</f>
        <v>0</v>
      </c>
      <c r="L12" s="118">
        <f>IF(OR(Inputs!$C8="",Inputs!$D8="",Inputs!$E8=""),0,Inputs!$C8*MAX(0,MIN(Inputs!$E8,L$6)-MAX(Inputs!$D8,L$5)+1)/(Inputs!$E8-Inputs!$D8+1))</f>
        <v>5.2341356673960613</v>
      </c>
      <c r="M12" s="118">
        <f>IF(OR(Inputs!$C8="",Inputs!$D8="",Inputs!$E8=""),0,Inputs!$C8*MAX(0,MIN(Inputs!$E8,M$6)-MAX(Inputs!$D8,M$5)+1)/(Inputs!$E8-Inputs!$D8+1))</f>
        <v>5.1203501094091903</v>
      </c>
      <c r="N12" s="118">
        <f>IF(OR(Inputs!$C8="",Inputs!$D8="",Inputs!$E8=""),0,Inputs!$C8*MAX(0,MIN(Inputs!$E8,N$6)-MAX(Inputs!$D8,N$5)+1)/(Inputs!$E8-Inputs!$D8+1))</f>
        <v>5.1772428884026258</v>
      </c>
      <c r="O12" s="118">
        <f>IF(OR(Inputs!$C8="",Inputs!$D8="",Inputs!$E8=""),0,Inputs!$C8*MAX(0,MIN(Inputs!$E8,O$6)-MAX(Inputs!$D8,O$5)+1)/(Inputs!$E8-Inputs!$D8+1))</f>
        <v>5.2341356673960613</v>
      </c>
      <c r="P12" s="118">
        <f>IF(OR(Inputs!$C8="",Inputs!$D8="",Inputs!$E8=""),0,Inputs!$C8*MAX(0,MIN(Inputs!$E8,P$6)-MAX(Inputs!$D8,P$5)+1)/(Inputs!$E8-Inputs!$D8+1))</f>
        <v>5.2341356673960613</v>
      </c>
      <c r="Q12" s="118">
        <f>IF(OR(Inputs!$C8="",Inputs!$D8="",Inputs!$E8=""),0,Inputs!$C8*MAX(0,MIN(Inputs!$E8,Q$6)-MAX(Inputs!$D8,Q$5)+1)/(Inputs!$E8-Inputs!$D8+1))</f>
        <v>0</v>
      </c>
      <c r="R12" s="118">
        <f>IF(OR(Inputs!$C8="",Inputs!$D8="",Inputs!$E8=""),0,Inputs!$C8*MAX(0,MIN(Inputs!$E8,R$6)-MAX(Inputs!$D8,R$5)+1)/(Inputs!$E8-Inputs!$D8+1))</f>
        <v>0</v>
      </c>
      <c r="S12" s="118">
        <f>IF(OR(Inputs!$C8="",Inputs!$D8="",Inputs!$E8=""),0,Inputs!$C8*MAX(0,MIN(Inputs!$E8,S$6)-MAX(Inputs!$D8,S$5)+1)/(Inputs!$E8-Inputs!$D8+1))</f>
        <v>0</v>
      </c>
      <c r="T12" s="118">
        <f>IF(OR(Inputs!$C8="",Inputs!$D8="",Inputs!$E8=""),0,Inputs!$C8*MAX(0,MIN(Inputs!$E8,T$6)-MAX(Inputs!$D8,T$5)+1)/(Inputs!$E8-Inputs!$D8+1))</f>
        <v>0</v>
      </c>
      <c r="U12" s="118">
        <f>IF(OR(Inputs!$C8="",Inputs!$D8="",Inputs!$E8=""),0,Inputs!$C8*MAX(0,MIN(Inputs!$E8,U$6)-MAX(Inputs!$D8,U$5)+1)/(Inputs!$E8-Inputs!$D8+1))</f>
        <v>0</v>
      </c>
      <c r="V12" s="118">
        <f>IF(OR(Inputs!$C8="",Inputs!$D8="",Inputs!$E8=""),0,Inputs!$C8*MAX(0,MIN(Inputs!$E8,V$6)-MAX(Inputs!$D8,V$5)+1)/(Inputs!$E8-Inputs!$D8+1))</f>
        <v>0</v>
      </c>
      <c r="W12" s="118">
        <f>IF(OR(Inputs!$C8="",Inputs!$D8="",Inputs!$E8=""),0,Inputs!$C8*MAX(0,MIN(Inputs!$E8,W$6)-MAX(Inputs!$D8,W$5)+1)/(Inputs!$E8-Inputs!$D8+1))</f>
        <v>0</v>
      </c>
      <c r="X12" s="118">
        <f>IF(OR(Inputs!$C8="",Inputs!$D8="",Inputs!$E8=""),0,Inputs!$C8*MAX(0,MIN(Inputs!$E8,X$6)-MAX(Inputs!$D8,X$5)+1)/(Inputs!$E8-Inputs!$D8+1))</f>
        <v>0</v>
      </c>
      <c r="Y12" s="118">
        <f t="shared" si="5"/>
        <v>26</v>
      </c>
    </row>
    <row r="13" spans="1:25" x14ac:dyDescent="0.3">
      <c r="A13" s="116" t="str">
        <f>IF(Inputs!$A9="","",Inputs!$A9)</f>
        <v>AN22137-0100D</v>
      </c>
      <c r="B13" s="117">
        <f>IF(Inputs!$A9="","",Inputs!$D9)</f>
        <v>46388</v>
      </c>
      <c r="C13" s="117">
        <f>IF(Inputs!$A9="","",Inputs!$E9)</f>
        <v>47118</v>
      </c>
      <c r="D13" s="118">
        <f>IF(OR(Inputs!$C9="",Inputs!$D9="",Inputs!$E9=""),0,Inputs!$C9*MAX(0,MIN(Inputs!$E9,D$6)-MAX(Inputs!$D9,D$5)+1)/(Inputs!$E9-Inputs!$D9+1))</f>
        <v>0</v>
      </c>
      <c r="E13" s="118">
        <f>IF(OR(Inputs!$C9="",Inputs!$D9="",Inputs!$E9=""),0,Inputs!$C9*MAX(0,MIN(Inputs!$E9,E$6)-MAX(Inputs!$D9,E$5)+1)/(Inputs!$E9-Inputs!$D9+1))</f>
        <v>0</v>
      </c>
      <c r="F13" s="118">
        <f>IF(OR(Inputs!$C9="",Inputs!$D9="",Inputs!$E9=""),0,Inputs!$C9*MAX(0,MIN(Inputs!$E9,F$6)-MAX(Inputs!$D9,F$5)+1)/(Inputs!$E9-Inputs!$D9+1))</f>
        <v>0</v>
      </c>
      <c r="G13" s="118">
        <f>IF(OR(Inputs!$C9="",Inputs!$D9="",Inputs!$E9=""),0,Inputs!$C9*MAX(0,MIN(Inputs!$E9,G$6)-MAX(Inputs!$D9,G$5)+1)/(Inputs!$E9-Inputs!$D9+1))</f>
        <v>0</v>
      </c>
      <c r="H13" s="118">
        <f>IF(OR(Inputs!$C9="",Inputs!$D9="",Inputs!$E9=""),0,Inputs!$C9*MAX(0,MIN(Inputs!$E9,H$6)-MAX(Inputs!$D9,H$5)+1)/(Inputs!$E9-Inputs!$D9+1))</f>
        <v>0</v>
      </c>
      <c r="I13" s="118">
        <f>IF(OR(Inputs!$C9="",Inputs!$D9="",Inputs!$E9=""),0,Inputs!$C9*MAX(0,MIN(Inputs!$E9,I$6)-MAX(Inputs!$D9,I$5)+1)/(Inputs!$E9-Inputs!$D9+1))</f>
        <v>0</v>
      </c>
      <c r="J13" s="118">
        <f>IF(OR(Inputs!$C9="",Inputs!$D9="",Inputs!$E9=""),0,Inputs!$C9*MAX(0,MIN(Inputs!$E9,J$6)-MAX(Inputs!$D9,J$5)+1)/(Inputs!$E9-Inputs!$D9+1))</f>
        <v>0</v>
      </c>
      <c r="K13" s="118">
        <f>IF(OR(Inputs!$C9="",Inputs!$D9="",Inputs!$E9=""),0,Inputs!$C9*MAX(0,MIN(Inputs!$E9,K$6)-MAX(Inputs!$D9,K$5)+1)/(Inputs!$E9-Inputs!$D9+1))</f>
        <v>0</v>
      </c>
      <c r="L13" s="118">
        <f>IF(OR(Inputs!$C9="",Inputs!$D9="",Inputs!$E9=""),0,Inputs!$C9*MAX(0,MIN(Inputs!$E9,L$6)-MAX(Inputs!$D9,L$5)+1)/(Inputs!$E9-Inputs!$D9+1))</f>
        <v>0</v>
      </c>
      <c r="M13" s="118">
        <f>IF(OR(Inputs!$C9="",Inputs!$D9="",Inputs!$E9=""),0,Inputs!$C9*MAX(0,MIN(Inputs!$E9,M$6)-MAX(Inputs!$D9,M$5)+1)/(Inputs!$E9-Inputs!$D9+1))</f>
        <v>0</v>
      </c>
      <c r="N13" s="118">
        <f>IF(OR(Inputs!$C9="",Inputs!$D9="",Inputs!$E9=""),0,Inputs!$C9*MAX(0,MIN(Inputs!$E9,N$6)-MAX(Inputs!$D9,N$5)+1)/(Inputs!$E9-Inputs!$D9+1))</f>
        <v>0</v>
      </c>
      <c r="O13" s="118">
        <f>IF(OR(Inputs!$C9="",Inputs!$D9="",Inputs!$E9=""),0,Inputs!$C9*MAX(0,MIN(Inputs!$E9,O$6)-MAX(Inputs!$D9,O$5)+1)/(Inputs!$E9-Inputs!$D9+1))</f>
        <v>0</v>
      </c>
      <c r="P13" s="118">
        <f>IF(OR(Inputs!$C9="",Inputs!$D9="",Inputs!$E9=""),0,Inputs!$C9*MAX(0,MIN(Inputs!$E9,P$6)-MAX(Inputs!$D9,P$5)+1)/(Inputs!$E9-Inputs!$D9+1))</f>
        <v>0</v>
      </c>
      <c r="Q13" s="118">
        <f>IF(OR(Inputs!$C9="",Inputs!$D9="",Inputs!$E9=""),0,Inputs!$C9*MAX(0,MIN(Inputs!$E9,Q$6)-MAX(Inputs!$D9,Q$5)+1)/(Inputs!$E9-Inputs!$D9+1))</f>
        <v>0.61559507523939805</v>
      </c>
      <c r="R13" s="118">
        <f>IF(OR(Inputs!$C9="",Inputs!$D9="",Inputs!$E9=""),0,Inputs!$C9*MAX(0,MIN(Inputs!$E9,R$6)-MAX(Inputs!$D9,R$5)+1)/(Inputs!$E9-Inputs!$D9+1))</f>
        <v>0.62243502051983579</v>
      </c>
      <c r="S13" s="118">
        <f>IF(OR(Inputs!$C9="",Inputs!$D9="",Inputs!$E9=""),0,Inputs!$C9*MAX(0,MIN(Inputs!$E9,S$6)-MAX(Inputs!$D9,S$5)+1)/(Inputs!$E9-Inputs!$D9+1))</f>
        <v>0.62927496580027364</v>
      </c>
      <c r="T13" s="118">
        <f>IF(OR(Inputs!$C9="",Inputs!$D9="",Inputs!$E9=""),0,Inputs!$C9*MAX(0,MIN(Inputs!$E9,T$6)-MAX(Inputs!$D9,T$5)+1)/(Inputs!$E9-Inputs!$D9+1))</f>
        <v>0.62927496580027364</v>
      </c>
      <c r="U13" s="118">
        <f>IF(OR(Inputs!$C9="",Inputs!$D9="",Inputs!$E9=""),0,Inputs!$C9*MAX(0,MIN(Inputs!$E9,U$6)-MAX(Inputs!$D9,U$5)+1)/(Inputs!$E9-Inputs!$D9+1))</f>
        <v>0.62243502051983579</v>
      </c>
      <c r="V13" s="118">
        <f>IF(OR(Inputs!$C9="",Inputs!$D9="",Inputs!$E9=""),0,Inputs!$C9*MAX(0,MIN(Inputs!$E9,V$6)-MAX(Inputs!$D9,V$5)+1)/(Inputs!$E9-Inputs!$D9+1))</f>
        <v>0.62243502051983579</v>
      </c>
      <c r="W13" s="118">
        <f>IF(OR(Inputs!$C9="",Inputs!$D9="",Inputs!$E9=""),0,Inputs!$C9*MAX(0,MIN(Inputs!$E9,W$6)-MAX(Inputs!$D9,W$5)+1)/(Inputs!$E9-Inputs!$D9+1))</f>
        <v>0.62927496580027364</v>
      </c>
      <c r="X13" s="118">
        <f>IF(OR(Inputs!$C9="",Inputs!$D9="",Inputs!$E9=""),0,Inputs!$C9*MAX(0,MIN(Inputs!$E9,X$6)-MAX(Inputs!$D9,X$5)+1)/(Inputs!$E9-Inputs!$D9+1))</f>
        <v>0.62927496580027364</v>
      </c>
      <c r="Y13" s="118">
        <f t="shared" si="5"/>
        <v>5</v>
      </c>
    </row>
    <row r="14" spans="1:25" x14ac:dyDescent="0.3">
      <c r="A14" s="116" t="str">
        <f>IF(Inputs!$A10="","",Inputs!$A10)</f>
        <v>D26058-0100D</v>
      </c>
      <c r="B14" s="117">
        <f>IF(Inputs!$A10="","",Inputs!$D10)</f>
        <v>46204</v>
      </c>
      <c r="C14" s="117">
        <f>IF(Inputs!$A10="","",Inputs!$E10)</f>
        <v>46934</v>
      </c>
      <c r="D14" s="118">
        <f>IF(OR(Inputs!$C10="",Inputs!$D10="",Inputs!$E10=""),0,Inputs!$C10*MAX(0,MIN(Inputs!$E10,D$6)-MAX(Inputs!$D10,D$5)+1)/(Inputs!$E10-Inputs!$D10+1))</f>
        <v>0</v>
      </c>
      <c r="E14" s="118">
        <f>IF(OR(Inputs!$C10="",Inputs!$D10="",Inputs!$E10=""),0,Inputs!$C10*MAX(0,MIN(Inputs!$E10,E$6)-MAX(Inputs!$D10,E$5)+1)/(Inputs!$E10-Inputs!$D10+1))</f>
        <v>0</v>
      </c>
      <c r="F14" s="118">
        <f>IF(OR(Inputs!$C10="",Inputs!$D10="",Inputs!$E10=""),0,Inputs!$C10*MAX(0,MIN(Inputs!$E10,F$6)-MAX(Inputs!$D10,F$5)+1)/(Inputs!$E10-Inputs!$D10+1))</f>
        <v>0</v>
      </c>
      <c r="G14" s="118">
        <f>IF(OR(Inputs!$C10="",Inputs!$D10="",Inputs!$E10=""),0,Inputs!$C10*MAX(0,MIN(Inputs!$E10,G$6)-MAX(Inputs!$D10,G$5)+1)/(Inputs!$E10-Inputs!$D10+1))</f>
        <v>0</v>
      </c>
      <c r="H14" s="118">
        <f>IF(OR(Inputs!$C10="",Inputs!$D10="",Inputs!$E10=""),0,Inputs!$C10*MAX(0,MIN(Inputs!$E10,H$6)-MAX(Inputs!$D10,H$5)+1)/(Inputs!$E10-Inputs!$D10+1))</f>
        <v>0</v>
      </c>
      <c r="I14" s="118">
        <f>IF(OR(Inputs!$C10="",Inputs!$D10="",Inputs!$E10=""),0,Inputs!$C10*MAX(0,MIN(Inputs!$E10,I$6)-MAX(Inputs!$D10,I$5)+1)/(Inputs!$E10-Inputs!$D10+1))</f>
        <v>0</v>
      </c>
      <c r="J14" s="118">
        <f>IF(OR(Inputs!$C10="",Inputs!$D10="",Inputs!$E10=""),0,Inputs!$C10*MAX(0,MIN(Inputs!$E10,J$6)-MAX(Inputs!$D10,J$5)+1)/(Inputs!$E10-Inputs!$D10+1))</f>
        <v>0</v>
      </c>
      <c r="K14" s="118">
        <f>IF(OR(Inputs!$C10="",Inputs!$D10="",Inputs!$E10=""),0,Inputs!$C10*MAX(0,MIN(Inputs!$E10,K$6)-MAX(Inputs!$D10,K$5)+1)/(Inputs!$E10-Inputs!$D10+1))</f>
        <v>0</v>
      </c>
      <c r="L14" s="118">
        <f>IF(OR(Inputs!$C10="",Inputs!$D10="",Inputs!$E10=""),0,Inputs!$C10*MAX(0,MIN(Inputs!$E10,L$6)-MAX(Inputs!$D10,L$5)+1)/(Inputs!$E10-Inputs!$D10+1))</f>
        <v>0</v>
      </c>
      <c r="M14" s="118">
        <f>IF(OR(Inputs!$C10="",Inputs!$D10="",Inputs!$E10=""),0,Inputs!$C10*MAX(0,MIN(Inputs!$E10,M$6)-MAX(Inputs!$D10,M$5)+1)/(Inputs!$E10-Inputs!$D10+1))</f>
        <v>0</v>
      </c>
      <c r="N14" s="118">
        <f>IF(OR(Inputs!$C10="",Inputs!$D10="",Inputs!$E10=""),0,Inputs!$C10*MAX(0,MIN(Inputs!$E10,N$6)-MAX(Inputs!$D10,N$5)+1)/(Inputs!$E10-Inputs!$D10+1))</f>
        <v>0</v>
      </c>
      <c r="O14" s="118">
        <f>IF(OR(Inputs!$C10="",Inputs!$D10="",Inputs!$E10=""),0,Inputs!$C10*MAX(0,MIN(Inputs!$E10,O$6)-MAX(Inputs!$D10,O$5)+1)/(Inputs!$E10-Inputs!$D10+1))</f>
        <v>0.62927496580027364</v>
      </c>
      <c r="P14" s="118">
        <f>IF(OR(Inputs!$C10="",Inputs!$D10="",Inputs!$E10=""),0,Inputs!$C10*MAX(0,MIN(Inputs!$E10,P$6)-MAX(Inputs!$D10,P$5)+1)/(Inputs!$E10-Inputs!$D10+1))</f>
        <v>0.62927496580027364</v>
      </c>
      <c r="Q14" s="118">
        <f>IF(OR(Inputs!$C10="",Inputs!$D10="",Inputs!$E10=""),0,Inputs!$C10*MAX(0,MIN(Inputs!$E10,Q$6)-MAX(Inputs!$D10,Q$5)+1)/(Inputs!$E10-Inputs!$D10+1))</f>
        <v>0.61559507523939805</v>
      </c>
      <c r="R14" s="118">
        <f>IF(OR(Inputs!$C10="",Inputs!$D10="",Inputs!$E10=""),0,Inputs!$C10*MAX(0,MIN(Inputs!$E10,R$6)-MAX(Inputs!$D10,R$5)+1)/(Inputs!$E10-Inputs!$D10+1))</f>
        <v>0.62243502051983579</v>
      </c>
      <c r="S14" s="118">
        <f>IF(OR(Inputs!$C10="",Inputs!$D10="",Inputs!$E10=""),0,Inputs!$C10*MAX(0,MIN(Inputs!$E10,S$6)-MAX(Inputs!$D10,S$5)+1)/(Inputs!$E10-Inputs!$D10+1))</f>
        <v>0.62927496580027364</v>
      </c>
      <c r="T14" s="118">
        <f>IF(OR(Inputs!$C10="",Inputs!$D10="",Inputs!$E10=""),0,Inputs!$C10*MAX(0,MIN(Inputs!$E10,T$6)-MAX(Inputs!$D10,T$5)+1)/(Inputs!$E10-Inputs!$D10+1))</f>
        <v>0.62927496580027364</v>
      </c>
      <c r="U14" s="118">
        <f>IF(OR(Inputs!$C10="",Inputs!$D10="",Inputs!$E10=""),0,Inputs!$C10*MAX(0,MIN(Inputs!$E10,U$6)-MAX(Inputs!$D10,U$5)+1)/(Inputs!$E10-Inputs!$D10+1))</f>
        <v>0.62243502051983579</v>
      </c>
      <c r="V14" s="118">
        <f>IF(OR(Inputs!$C10="",Inputs!$D10="",Inputs!$E10=""),0,Inputs!$C10*MAX(0,MIN(Inputs!$E10,V$6)-MAX(Inputs!$D10,V$5)+1)/(Inputs!$E10-Inputs!$D10+1))</f>
        <v>0.62243502051983579</v>
      </c>
      <c r="W14" s="118">
        <f>IF(OR(Inputs!$C10="",Inputs!$D10="",Inputs!$E10=""),0,Inputs!$C10*MAX(0,MIN(Inputs!$E10,W$6)-MAX(Inputs!$D10,W$5)+1)/(Inputs!$E10-Inputs!$D10+1))</f>
        <v>0</v>
      </c>
      <c r="X14" s="118">
        <f>IF(OR(Inputs!$C10="",Inputs!$D10="",Inputs!$E10=""),0,Inputs!$C10*MAX(0,MIN(Inputs!$E10,X$6)-MAX(Inputs!$D10,X$5)+1)/(Inputs!$E10-Inputs!$D10+1))</f>
        <v>0</v>
      </c>
      <c r="Y14" s="118">
        <f t="shared" si="5"/>
        <v>5</v>
      </c>
    </row>
    <row r="15" spans="1:25" x14ac:dyDescent="0.3">
      <c r="A15" s="116" t="str">
        <f>IF(Inputs!$A11="","",Inputs!$A11)</f>
        <v xml:space="preserve">AD24217-0100D </v>
      </c>
      <c r="B15" s="117">
        <f>IF(Inputs!$A11="","",Inputs!$D11)</f>
        <v>45809</v>
      </c>
      <c r="C15" s="117">
        <f>IF(Inputs!$A11="","",Inputs!$E11)</f>
        <v>45870</v>
      </c>
      <c r="D15" s="118">
        <f>IF(OR(Inputs!$C11="",Inputs!$D11="",Inputs!$E11=""),0,Inputs!$C11*MAX(0,MIN(Inputs!$E11,D$6)-MAX(Inputs!$D11,D$5)+1)/(Inputs!$E11-Inputs!$D11+1))</f>
        <v>0</v>
      </c>
      <c r="E15" s="118">
        <f>IF(OR(Inputs!$C11="",Inputs!$D11="",Inputs!$E11=""),0,Inputs!$C11*MAX(0,MIN(Inputs!$E11,E$6)-MAX(Inputs!$D11,E$5)+1)/(Inputs!$E11-Inputs!$D11+1))</f>
        <v>0</v>
      </c>
      <c r="F15" s="118">
        <f>IF(OR(Inputs!$C11="",Inputs!$D11="",Inputs!$E11=""),0,Inputs!$C11*MAX(0,MIN(Inputs!$E11,F$6)-MAX(Inputs!$D11,F$5)+1)/(Inputs!$E11-Inputs!$D11+1))</f>
        <v>0</v>
      </c>
      <c r="G15" s="118">
        <f>IF(OR(Inputs!$C11="",Inputs!$D11="",Inputs!$E11=""),0,Inputs!$C11*MAX(0,MIN(Inputs!$E11,G$6)-MAX(Inputs!$D11,G$5)+1)/(Inputs!$E11-Inputs!$D11+1))</f>
        <v>0</v>
      </c>
      <c r="H15" s="118">
        <f>IF(OR(Inputs!$C11="",Inputs!$D11="",Inputs!$E11=""),0,Inputs!$C11*MAX(0,MIN(Inputs!$E11,H$6)-MAX(Inputs!$D11,H$5)+1)/(Inputs!$E11-Inputs!$D11+1))</f>
        <v>0</v>
      </c>
      <c r="I15" s="118">
        <f>IF(OR(Inputs!$C11="",Inputs!$D11="",Inputs!$E11=""),0,Inputs!$C11*MAX(0,MIN(Inputs!$E11,I$6)-MAX(Inputs!$D11,I$5)+1)/(Inputs!$E11-Inputs!$D11+1))</f>
        <v>0</v>
      </c>
      <c r="J15" s="118">
        <f>IF(OR(Inputs!$C11="",Inputs!$D11="",Inputs!$E11=""),0,Inputs!$C11*MAX(0,MIN(Inputs!$E11,J$6)-MAX(Inputs!$D11,J$5)+1)/(Inputs!$E11-Inputs!$D11+1))</f>
        <v>1.4516129032258065</v>
      </c>
      <c r="K15" s="118">
        <f>IF(OR(Inputs!$C11="",Inputs!$D11="",Inputs!$E11=""),0,Inputs!$C11*MAX(0,MIN(Inputs!$E11,K$6)-MAX(Inputs!$D11,K$5)+1)/(Inputs!$E11-Inputs!$D11+1))</f>
        <v>1.5483870967741935</v>
      </c>
      <c r="L15" s="118">
        <f>IF(OR(Inputs!$C11="",Inputs!$D11="",Inputs!$E11=""),0,Inputs!$C11*MAX(0,MIN(Inputs!$E11,L$6)-MAX(Inputs!$D11,L$5)+1)/(Inputs!$E11-Inputs!$D11+1))</f>
        <v>0</v>
      </c>
      <c r="M15" s="118">
        <f>IF(OR(Inputs!$C11="",Inputs!$D11="",Inputs!$E11=""),0,Inputs!$C11*MAX(0,MIN(Inputs!$E11,M$6)-MAX(Inputs!$D11,M$5)+1)/(Inputs!$E11-Inputs!$D11+1))</f>
        <v>0</v>
      </c>
      <c r="N15" s="118">
        <f>IF(OR(Inputs!$C11="",Inputs!$D11="",Inputs!$E11=""),0,Inputs!$C11*MAX(0,MIN(Inputs!$E11,N$6)-MAX(Inputs!$D11,N$5)+1)/(Inputs!$E11-Inputs!$D11+1))</f>
        <v>0</v>
      </c>
      <c r="O15" s="118">
        <f>IF(OR(Inputs!$C11="",Inputs!$D11="",Inputs!$E11=""),0,Inputs!$C11*MAX(0,MIN(Inputs!$E11,O$6)-MAX(Inputs!$D11,O$5)+1)/(Inputs!$E11-Inputs!$D11+1))</f>
        <v>0</v>
      </c>
      <c r="P15" s="118">
        <f>IF(OR(Inputs!$C11="",Inputs!$D11="",Inputs!$E11=""),0,Inputs!$C11*MAX(0,MIN(Inputs!$E11,P$6)-MAX(Inputs!$D11,P$5)+1)/(Inputs!$E11-Inputs!$D11+1))</f>
        <v>0</v>
      </c>
      <c r="Q15" s="118">
        <f>IF(OR(Inputs!$C11="",Inputs!$D11="",Inputs!$E11=""),0,Inputs!$C11*MAX(0,MIN(Inputs!$E11,Q$6)-MAX(Inputs!$D11,Q$5)+1)/(Inputs!$E11-Inputs!$D11+1))</f>
        <v>0</v>
      </c>
      <c r="R15" s="118">
        <f>IF(OR(Inputs!$C11="",Inputs!$D11="",Inputs!$E11=""),0,Inputs!$C11*MAX(0,MIN(Inputs!$E11,R$6)-MAX(Inputs!$D11,R$5)+1)/(Inputs!$E11-Inputs!$D11+1))</f>
        <v>0</v>
      </c>
      <c r="S15" s="118">
        <f>IF(OR(Inputs!$C11="",Inputs!$D11="",Inputs!$E11=""),0,Inputs!$C11*MAX(0,MIN(Inputs!$E11,S$6)-MAX(Inputs!$D11,S$5)+1)/(Inputs!$E11-Inputs!$D11+1))</f>
        <v>0</v>
      </c>
      <c r="T15" s="118">
        <f>IF(OR(Inputs!$C11="",Inputs!$D11="",Inputs!$E11=""),0,Inputs!$C11*MAX(0,MIN(Inputs!$E11,T$6)-MAX(Inputs!$D11,T$5)+1)/(Inputs!$E11-Inputs!$D11+1))</f>
        <v>0</v>
      </c>
      <c r="U15" s="118">
        <f>IF(OR(Inputs!$C11="",Inputs!$D11="",Inputs!$E11=""),0,Inputs!$C11*MAX(0,MIN(Inputs!$E11,U$6)-MAX(Inputs!$D11,U$5)+1)/(Inputs!$E11-Inputs!$D11+1))</f>
        <v>0</v>
      </c>
      <c r="V15" s="118">
        <f>IF(OR(Inputs!$C11="",Inputs!$D11="",Inputs!$E11=""),0,Inputs!$C11*MAX(0,MIN(Inputs!$E11,V$6)-MAX(Inputs!$D11,V$5)+1)/(Inputs!$E11-Inputs!$D11+1))</f>
        <v>0</v>
      </c>
      <c r="W15" s="118">
        <f>IF(OR(Inputs!$C11="",Inputs!$D11="",Inputs!$E11=""),0,Inputs!$C11*MAX(0,MIN(Inputs!$E11,W$6)-MAX(Inputs!$D11,W$5)+1)/(Inputs!$E11-Inputs!$D11+1))</f>
        <v>0</v>
      </c>
      <c r="X15" s="118">
        <f>IF(OR(Inputs!$C11="",Inputs!$D11="",Inputs!$E11=""),0,Inputs!$C11*MAX(0,MIN(Inputs!$E11,X$6)-MAX(Inputs!$D11,X$5)+1)/(Inputs!$E11-Inputs!$D11+1))</f>
        <v>0</v>
      </c>
      <c r="Y15" s="118">
        <f t="shared" si="5"/>
        <v>3</v>
      </c>
    </row>
    <row r="16" spans="1:25" x14ac:dyDescent="0.3">
      <c r="A16" s="116" t="str">
        <f>IF(Inputs!$A12="","",Inputs!$A12)</f>
        <v>AN23207-0500D</v>
      </c>
      <c r="B16" s="117">
        <f>IF(Inputs!$A12="","",Inputs!$D12)</f>
        <v>46023</v>
      </c>
      <c r="C16" s="117">
        <f>IF(Inputs!$A12="","",Inputs!$E12)</f>
        <v>46112</v>
      </c>
      <c r="D16" s="118">
        <f>IF(OR(Inputs!$C12="",Inputs!$D12="",Inputs!$E12=""),0,Inputs!$C12*MAX(0,MIN(Inputs!$E12,D$6)-MAX(Inputs!$D12,D$5)+1)/(Inputs!$E12-Inputs!$D12+1))</f>
        <v>0</v>
      </c>
      <c r="E16" s="118">
        <f>IF(OR(Inputs!$C12="",Inputs!$D12="",Inputs!$E12=""),0,Inputs!$C12*MAX(0,MIN(Inputs!$E12,E$6)-MAX(Inputs!$D12,E$5)+1)/(Inputs!$E12-Inputs!$D12+1))</f>
        <v>0</v>
      </c>
      <c r="F16" s="118">
        <f>IF(OR(Inputs!$C12="",Inputs!$D12="",Inputs!$E12=""),0,Inputs!$C12*MAX(0,MIN(Inputs!$E12,F$6)-MAX(Inputs!$D12,F$5)+1)/(Inputs!$E12-Inputs!$D12+1))</f>
        <v>0</v>
      </c>
      <c r="G16" s="118">
        <f>IF(OR(Inputs!$C12="",Inputs!$D12="",Inputs!$E12=""),0,Inputs!$C12*MAX(0,MIN(Inputs!$E12,G$6)-MAX(Inputs!$D12,G$5)+1)/(Inputs!$E12-Inputs!$D12+1))</f>
        <v>0</v>
      </c>
      <c r="H16" s="118">
        <f>IF(OR(Inputs!$C12="",Inputs!$D12="",Inputs!$E12=""),0,Inputs!$C12*MAX(0,MIN(Inputs!$E12,H$6)-MAX(Inputs!$D12,H$5)+1)/(Inputs!$E12-Inputs!$D12+1))</f>
        <v>0</v>
      </c>
      <c r="I16" s="118">
        <f>IF(OR(Inputs!$C12="",Inputs!$D12="",Inputs!$E12=""),0,Inputs!$C12*MAX(0,MIN(Inputs!$E12,I$6)-MAX(Inputs!$D12,I$5)+1)/(Inputs!$E12-Inputs!$D12+1))</f>
        <v>0</v>
      </c>
      <c r="J16" s="118">
        <f>IF(OR(Inputs!$C12="",Inputs!$D12="",Inputs!$E12=""),0,Inputs!$C12*MAX(0,MIN(Inputs!$E12,J$6)-MAX(Inputs!$D12,J$5)+1)/(Inputs!$E12-Inputs!$D12+1))</f>
        <v>0</v>
      </c>
      <c r="K16" s="118">
        <f>IF(OR(Inputs!$C12="",Inputs!$D12="",Inputs!$E12=""),0,Inputs!$C12*MAX(0,MIN(Inputs!$E12,K$6)-MAX(Inputs!$D12,K$5)+1)/(Inputs!$E12-Inputs!$D12+1))</f>
        <v>0</v>
      </c>
      <c r="L16" s="118">
        <f>IF(OR(Inputs!$C12="",Inputs!$D12="",Inputs!$E12=""),0,Inputs!$C12*MAX(0,MIN(Inputs!$E12,L$6)-MAX(Inputs!$D12,L$5)+1)/(Inputs!$E12-Inputs!$D12+1))</f>
        <v>0</v>
      </c>
      <c r="M16" s="118">
        <f>IF(OR(Inputs!$C12="",Inputs!$D12="",Inputs!$E12=""),0,Inputs!$C12*MAX(0,MIN(Inputs!$E12,M$6)-MAX(Inputs!$D12,M$5)+1)/(Inputs!$E12-Inputs!$D12+1))</f>
        <v>1.1499999999999999</v>
      </c>
      <c r="N16" s="118">
        <f>IF(OR(Inputs!$C12="",Inputs!$D12="",Inputs!$E12=""),0,Inputs!$C12*MAX(0,MIN(Inputs!$E12,N$6)-MAX(Inputs!$D12,N$5)+1)/(Inputs!$E12-Inputs!$D12+1))</f>
        <v>0</v>
      </c>
      <c r="O16" s="118">
        <f>IF(OR(Inputs!$C12="",Inputs!$D12="",Inputs!$E12=""),0,Inputs!$C12*MAX(0,MIN(Inputs!$E12,O$6)-MAX(Inputs!$D12,O$5)+1)/(Inputs!$E12-Inputs!$D12+1))</f>
        <v>0</v>
      </c>
      <c r="P16" s="118">
        <f>IF(OR(Inputs!$C12="",Inputs!$D12="",Inputs!$E12=""),0,Inputs!$C12*MAX(0,MIN(Inputs!$E12,P$6)-MAX(Inputs!$D12,P$5)+1)/(Inputs!$E12-Inputs!$D12+1))</f>
        <v>0</v>
      </c>
      <c r="Q16" s="118">
        <f>IF(OR(Inputs!$C12="",Inputs!$D12="",Inputs!$E12=""),0,Inputs!$C12*MAX(0,MIN(Inputs!$E12,Q$6)-MAX(Inputs!$D12,Q$5)+1)/(Inputs!$E12-Inputs!$D12+1))</f>
        <v>0</v>
      </c>
      <c r="R16" s="118">
        <f>IF(OR(Inputs!$C12="",Inputs!$D12="",Inputs!$E12=""),0,Inputs!$C12*MAX(0,MIN(Inputs!$E12,R$6)-MAX(Inputs!$D12,R$5)+1)/(Inputs!$E12-Inputs!$D12+1))</f>
        <v>0</v>
      </c>
      <c r="S16" s="118">
        <f>IF(OR(Inputs!$C12="",Inputs!$D12="",Inputs!$E12=""),0,Inputs!$C12*MAX(0,MIN(Inputs!$E12,S$6)-MAX(Inputs!$D12,S$5)+1)/(Inputs!$E12-Inputs!$D12+1))</f>
        <v>0</v>
      </c>
      <c r="T16" s="118">
        <f>IF(OR(Inputs!$C12="",Inputs!$D12="",Inputs!$E12=""),0,Inputs!$C12*MAX(0,MIN(Inputs!$E12,T$6)-MAX(Inputs!$D12,T$5)+1)/(Inputs!$E12-Inputs!$D12+1))</f>
        <v>0</v>
      </c>
      <c r="U16" s="118">
        <f>IF(OR(Inputs!$C12="",Inputs!$D12="",Inputs!$E12=""),0,Inputs!$C12*MAX(0,MIN(Inputs!$E12,U$6)-MAX(Inputs!$D12,U$5)+1)/(Inputs!$E12-Inputs!$D12+1))</f>
        <v>0</v>
      </c>
      <c r="V16" s="118">
        <f>IF(OR(Inputs!$C12="",Inputs!$D12="",Inputs!$E12=""),0,Inputs!$C12*MAX(0,MIN(Inputs!$E12,V$6)-MAX(Inputs!$D12,V$5)+1)/(Inputs!$E12-Inputs!$D12+1))</f>
        <v>0</v>
      </c>
      <c r="W16" s="118">
        <f>IF(OR(Inputs!$C12="",Inputs!$D12="",Inputs!$E12=""),0,Inputs!$C12*MAX(0,MIN(Inputs!$E12,W$6)-MAX(Inputs!$D12,W$5)+1)/(Inputs!$E12-Inputs!$D12+1))</f>
        <v>0</v>
      </c>
      <c r="X16" s="118">
        <f>IF(OR(Inputs!$C12="",Inputs!$D12="",Inputs!$E12=""),0,Inputs!$C12*MAX(0,MIN(Inputs!$E12,X$6)-MAX(Inputs!$D12,X$5)+1)/(Inputs!$E12-Inputs!$D12+1))</f>
        <v>0</v>
      </c>
      <c r="Y16" s="118">
        <f t="shared" si="5"/>
        <v>1.1499999999999999</v>
      </c>
    </row>
    <row r="17" spans="1:25" x14ac:dyDescent="0.3">
      <c r="A17" s="116" t="str">
        <f>IF(Inputs!$A13="","",Inputs!$A13)</f>
        <v>AN23276-0100D</v>
      </c>
      <c r="B17" s="117">
        <f>IF(Inputs!$A13="","",Inputs!$D13)</f>
        <v>45474</v>
      </c>
      <c r="C17" s="117">
        <f>IF(Inputs!$A13="","",Inputs!$E13)</f>
        <v>46295</v>
      </c>
      <c r="D17" s="118">
        <f>IF(OR(Inputs!$C13="",Inputs!$D13="",Inputs!$E13=""),0,Inputs!$C13*MAX(0,MIN(Inputs!$E13,D$6)-MAX(Inputs!$D13,D$5)+1)/(Inputs!$E13-Inputs!$D13+1))</f>
        <v>0</v>
      </c>
      <c r="E17" s="118">
        <f>IF(OR(Inputs!$C13="",Inputs!$D13="",Inputs!$E13=""),0,Inputs!$C13*MAX(0,MIN(Inputs!$E13,E$6)-MAX(Inputs!$D13,E$5)+1)/(Inputs!$E13-Inputs!$D13+1))</f>
        <v>0</v>
      </c>
      <c r="F17" s="118">
        <f>IF(OR(Inputs!$C13="",Inputs!$D13="",Inputs!$E13=""),0,Inputs!$C13*MAX(0,MIN(Inputs!$E13,F$6)-MAX(Inputs!$D13,F$5)+1)/(Inputs!$E13-Inputs!$D13+1))</f>
        <v>0</v>
      </c>
      <c r="G17" s="118">
        <f>IF(OR(Inputs!$C13="",Inputs!$D13="",Inputs!$E13=""),0,Inputs!$C13*MAX(0,MIN(Inputs!$E13,G$6)-MAX(Inputs!$D13,G$5)+1)/(Inputs!$E13-Inputs!$D13+1))</f>
        <v>0.55961070559610704</v>
      </c>
      <c r="H17" s="118">
        <f>IF(OR(Inputs!$C13="",Inputs!$D13="",Inputs!$E13=""),0,Inputs!$C13*MAX(0,MIN(Inputs!$E13,H$6)-MAX(Inputs!$D13,H$5)+1)/(Inputs!$E13-Inputs!$D13+1))</f>
        <v>0.55961070559610704</v>
      </c>
      <c r="I17" s="118">
        <f>IF(OR(Inputs!$C13="",Inputs!$D13="",Inputs!$E13=""),0,Inputs!$C13*MAX(0,MIN(Inputs!$E13,I$6)-MAX(Inputs!$D13,I$5)+1)/(Inputs!$E13-Inputs!$D13+1))</f>
        <v>0.54744525547445255</v>
      </c>
      <c r="J17" s="118">
        <f>IF(OR(Inputs!$C13="",Inputs!$D13="",Inputs!$E13=""),0,Inputs!$C13*MAX(0,MIN(Inputs!$E13,J$6)-MAX(Inputs!$D13,J$5)+1)/(Inputs!$E13-Inputs!$D13+1))</f>
        <v>0.55352798053527985</v>
      </c>
      <c r="K17" s="118">
        <f>IF(OR(Inputs!$C13="",Inputs!$D13="",Inputs!$E13=""),0,Inputs!$C13*MAX(0,MIN(Inputs!$E13,K$6)-MAX(Inputs!$D13,K$5)+1)/(Inputs!$E13-Inputs!$D13+1))</f>
        <v>0.55961070559610704</v>
      </c>
      <c r="L17" s="118">
        <f>IF(OR(Inputs!$C13="",Inputs!$D13="",Inputs!$E13=""),0,Inputs!$C13*MAX(0,MIN(Inputs!$E13,L$6)-MAX(Inputs!$D13,L$5)+1)/(Inputs!$E13-Inputs!$D13+1))</f>
        <v>0.55961070559610704</v>
      </c>
      <c r="M17" s="118">
        <f>IF(OR(Inputs!$C13="",Inputs!$D13="",Inputs!$E13=""),0,Inputs!$C13*MAX(0,MIN(Inputs!$E13,M$6)-MAX(Inputs!$D13,M$5)+1)/(Inputs!$E13-Inputs!$D13+1))</f>
        <v>0.54744525547445255</v>
      </c>
      <c r="N17" s="118">
        <f>IF(OR(Inputs!$C13="",Inputs!$D13="",Inputs!$E13=""),0,Inputs!$C13*MAX(0,MIN(Inputs!$E13,N$6)-MAX(Inputs!$D13,N$5)+1)/(Inputs!$E13-Inputs!$D13+1))</f>
        <v>0.55352798053527985</v>
      </c>
      <c r="O17" s="118">
        <f>IF(OR(Inputs!$C13="",Inputs!$D13="",Inputs!$E13=""),0,Inputs!$C13*MAX(0,MIN(Inputs!$E13,O$6)-MAX(Inputs!$D13,O$5)+1)/(Inputs!$E13-Inputs!$D13+1))</f>
        <v>0.55961070559610704</v>
      </c>
      <c r="P17" s="118">
        <f>IF(OR(Inputs!$C13="",Inputs!$D13="",Inputs!$E13=""),0,Inputs!$C13*MAX(0,MIN(Inputs!$E13,P$6)-MAX(Inputs!$D13,P$5)+1)/(Inputs!$E13-Inputs!$D13+1))</f>
        <v>0</v>
      </c>
      <c r="Q17" s="118">
        <f>IF(OR(Inputs!$C13="",Inputs!$D13="",Inputs!$E13=""),0,Inputs!$C13*MAX(0,MIN(Inputs!$E13,Q$6)-MAX(Inputs!$D13,Q$5)+1)/(Inputs!$E13-Inputs!$D13+1))</f>
        <v>0</v>
      </c>
      <c r="R17" s="118">
        <f>IF(OR(Inputs!$C13="",Inputs!$D13="",Inputs!$E13=""),0,Inputs!$C13*MAX(0,MIN(Inputs!$E13,R$6)-MAX(Inputs!$D13,R$5)+1)/(Inputs!$E13-Inputs!$D13+1))</f>
        <v>0</v>
      </c>
      <c r="S17" s="118">
        <f>IF(OR(Inputs!$C13="",Inputs!$D13="",Inputs!$E13=""),0,Inputs!$C13*MAX(0,MIN(Inputs!$E13,S$6)-MAX(Inputs!$D13,S$5)+1)/(Inputs!$E13-Inputs!$D13+1))</f>
        <v>0</v>
      </c>
      <c r="T17" s="118">
        <f>IF(OR(Inputs!$C13="",Inputs!$D13="",Inputs!$E13=""),0,Inputs!$C13*MAX(0,MIN(Inputs!$E13,T$6)-MAX(Inputs!$D13,T$5)+1)/(Inputs!$E13-Inputs!$D13+1))</f>
        <v>0</v>
      </c>
      <c r="U17" s="118">
        <f>IF(OR(Inputs!$C13="",Inputs!$D13="",Inputs!$E13=""),0,Inputs!$C13*MAX(0,MIN(Inputs!$E13,U$6)-MAX(Inputs!$D13,U$5)+1)/(Inputs!$E13-Inputs!$D13+1))</f>
        <v>0</v>
      </c>
      <c r="V17" s="118">
        <f>IF(OR(Inputs!$C13="",Inputs!$D13="",Inputs!$E13=""),0,Inputs!$C13*MAX(0,MIN(Inputs!$E13,V$6)-MAX(Inputs!$D13,V$5)+1)/(Inputs!$E13-Inputs!$D13+1))</f>
        <v>0</v>
      </c>
      <c r="W17" s="118">
        <f>IF(OR(Inputs!$C13="",Inputs!$D13="",Inputs!$E13=""),0,Inputs!$C13*MAX(0,MIN(Inputs!$E13,W$6)-MAX(Inputs!$D13,W$5)+1)/(Inputs!$E13-Inputs!$D13+1))</f>
        <v>0</v>
      </c>
      <c r="X17" s="118">
        <f>IF(OR(Inputs!$C13="",Inputs!$D13="",Inputs!$E13=""),0,Inputs!$C13*MAX(0,MIN(Inputs!$E13,X$6)-MAX(Inputs!$D13,X$5)+1)/(Inputs!$E13-Inputs!$D13+1))</f>
        <v>0</v>
      </c>
      <c r="Y17" s="118">
        <f t="shared" si="5"/>
        <v>5</v>
      </c>
    </row>
    <row r="18" spans="1:25" x14ac:dyDescent="0.3">
      <c r="A18" s="116" t="str">
        <f>IF(Inputs!$A14="","",Inputs!$A14)</f>
        <v>AN24073-0100D</v>
      </c>
      <c r="B18" s="117">
        <f>IF(Inputs!$A14="","",Inputs!$D14)</f>
        <v>45839</v>
      </c>
      <c r="C18" s="117">
        <f>IF(Inputs!$A14="","",Inputs!$E14)</f>
        <v>46295</v>
      </c>
      <c r="D18" s="118">
        <f>IF(OR(Inputs!$C14="",Inputs!$D14="",Inputs!$E14=""),0,Inputs!$C14*MAX(0,MIN(Inputs!$E14,D$6)-MAX(Inputs!$D14,D$5)+1)/(Inputs!$E14-Inputs!$D14+1))</f>
        <v>0</v>
      </c>
      <c r="E18" s="118">
        <f>IF(OR(Inputs!$C14="",Inputs!$D14="",Inputs!$E14=""),0,Inputs!$C14*MAX(0,MIN(Inputs!$E14,E$6)-MAX(Inputs!$D14,E$5)+1)/(Inputs!$E14-Inputs!$D14+1))</f>
        <v>0</v>
      </c>
      <c r="F18" s="118">
        <f>IF(OR(Inputs!$C14="",Inputs!$D14="",Inputs!$E14=""),0,Inputs!$C14*MAX(0,MIN(Inputs!$E14,F$6)-MAX(Inputs!$D14,F$5)+1)/(Inputs!$E14-Inputs!$D14+1))</f>
        <v>0</v>
      </c>
      <c r="G18" s="118">
        <f>IF(OR(Inputs!$C14="",Inputs!$D14="",Inputs!$E14=""),0,Inputs!$C14*MAX(0,MIN(Inputs!$E14,G$6)-MAX(Inputs!$D14,G$5)+1)/(Inputs!$E14-Inputs!$D14+1))</f>
        <v>0</v>
      </c>
      <c r="H18" s="118">
        <f>IF(OR(Inputs!$C14="",Inputs!$D14="",Inputs!$E14=""),0,Inputs!$C14*MAX(0,MIN(Inputs!$E14,H$6)-MAX(Inputs!$D14,H$5)+1)/(Inputs!$E14-Inputs!$D14+1))</f>
        <v>0</v>
      </c>
      <c r="I18" s="118">
        <f>IF(OR(Inputs!$C14="",Inputs!$D14="",Inputs!$E14=""),0,Inputs!$C14*MAX(0,MIN(Inputs!$E14,I$6)-MAX(Inputs!$D14,I$5)+1)/(Inputs!$E14-Inputs!$D14+1))</f>
        <v>0</v>
      </c>
      <c r="J18" s="118">
        <f>IF(OR(Inputs!$C14="",Inputs!$D14="",Inputs!$E14=""),0,Inputs!$C14*MAX(0,MIN(Inputs!$E14,J$6)-MAX(Inputs!$D14,J$5)+1)/(Inputs!$E14-Inputs!$D14+1))</f>
        <v>0</v>
      </c>
      <c r="K18" s="118">
        <f>IF(OR(Inputs!$C14="",Inputs!$D14="",Inputs!$E14=""),0,Inputs!$C14*MAX(0,MIN(Inputs!$E14,K$6)-MAX(Inputs!$D14,K$5)+1)/(Inputs!$E14-Inputs!$D14+1))</f>
        <v>0.25164113785557984</v>
      </c>
      <c r="L18" s="118">
        <f>IF(OR(Inputs!$C14="",Inputs!$D14="",Inputs!$E14=""),0,Inputs!$C14*MAX(0,MIN(Inputs!$E14,L$6)-MAX(Inputs!$D14,L$5)+1)/(Inputs!$E14-Inputs!$D14+1))</f>
        <v>0.25164113785557984</v>
      </c>
      <c r="M18" s="118">
        <f>IF(OR(Inputs!$C14="",Inputs!$D14="",Inputs!$E14=""),0,Inputs!$C14*MAX(0,MIN(Inputs!$E14,M$6)-MAX(Inputs!$D14,M$5)+1)/(Inputs!$E14-Inputs!$D14+1))</f>
        <v>0.24617067833698031</v>
      </c>
      <c r="N18" s="118">
        <f>IF(OR(Inputs!$C14="",Inputs!$D14="",Inputs!$E14=""),0,Inputs!$C14*MAX(0,MIN(Inputs!$E14,N$6)-MAX(Inputs!$D14,N$5)+1)/(Inputs!$E14-Inputs!$D14+1))</f>
        <v>0.24890590809628008</v>
      </c>
      <c r="O18" s="118">
        <f>IF(OR(Inputs!$C14="",Inputs!$D14="",Inputs!$E14=""),0,Inputs!$C14*MAX(0,MIN(Inputs!$E14,O$6)-MAX(Inputs!$D14,O$5)+1)/(Inputs!$E14-Inputs!$D14+1))</f>
        <v>0.25164113785557984</v>
      </c>
      <c r="P18" s="118">
        <f>IF(OR(Inputs!$C14="",Inputs!$D14="",Inputs!$E14=""),0,Inputs!$C14*MAX(0,MIN(Inputs!$E14,P$6)-MAX(Inputs!$D14,P$5)+1)/(Inputs!$E14-Inputs!$D14+1))</f>
        <v>0</v>
      </c>
      <c r="Q18" s="118">
        <f>IF(OR(Inputs!$C14="",Inputs!$D14="",Inputs!$E14=""),0,Inputs!$C14*MAX(0,MIN(Inputs!$E14,Q$6)-MAX(Inputs!$D14,Q$5)+1)/(Inputs!$E14-Inputs!$D14+1))</f>
        <v>0</v>
      </c>
      <c r="R18" s="118">
        <f>IF(OR(Inputs!$C14="",Inputs!$D14="",Inputs!$E14=""),0,Inputs!$C14*MAX(0,MIN(Inputs!$E14,R$6)-MAX(Inputs!$D14,R$5)+1)/(Inputs!$E14-Inputs!$D14+1))</f>
        <v>0</v>
      </c>
      <c r="S18" s="118">
        <f>IF(OR(Inputs!$C14="",Inputs!$D14="",Inputs!$E14=""),0,Inputs!$C14*MAX(0,MIN(Inputs!$E14,S$6)-MAX(Inputs!$D14,S$5)+1)/(Inputs!$E14-Inputs!$D14+1))</f>
        <v>0</v>
      </c>
      <c r="T18" s="118">
        <f>IF(OR(Inputs!$C14="",Inputs!$D14="",Inputs!$E14=""),0,Inputs!$C14*MAX(0,MIN(Inputs!$E14,T$6)-MAX(Inputs!$D14,T$5)+1)/(Inputs!$E14-Inputs!$D14+1))</f>
        <v>0</v>
      </c>
      <c r="U18" s="118">
        <f>IF(OR(Inputs!$C14="",Inputs!$D14="",Inputs!$E14=""),0,Inputs!$C14*MAX(0,MIN(Inputs!$E14,U$6)-MAX(Inputs!$D14,U$5)+1)/(Inputs!$E14-Inputs!$D14+1))</f>
        <v>0</v>
      </c>
      <c r="V18" s="118">
        <f>IF(OR(Inputs!$C14="",Inputs!$D14="",Inputs!$E14=""),0,Inputs!$C14*MAX(0,MIN(Inputs!$E14,V$6)-MAX(Inputs!$D14,V$5)+1)/(Inputs!$E14-Inputs!$D14+1))</f>
        <v>0</v>
      </c>
      <c r="W18" s="118">
        <f>IF(OR(Inputs!$C14="",Inputs!$D14="",Inputs!$E14=""),0,Inputs!$C14*MAX(0,MIN(Inputs!$E14,W$6)-MAX(Inputs!$D14,W$5)+1)/(Inputs!$E14-Inputs!$D14+1))</f>
        <v>0</v>
      </c>
      <c r="X18" s="118">
        <f>IF(OR(Inputs!$C14="",Inputs!$D14="",Inputs!$E14=""),0,Inputs!$C14*MAX(0,MIN(Inputs!$E14,X$6)-MAX(Inputs!$D14,X$5)+1)/(Inputs!$E14-Inputs!$D14+1))</f>
        <v>0</v>
      </c>
      <c r="Y18" s="118">
        <f t="shared" si="5"/>
        <v>1.25</v>
      </c>
    </row>
    <row r="19" spans="1:25" x14ac:dyDescent="0.3">
      <c r="A19" s="116" t="str">
        <f>IF(Inputs!$A15="","",Inputs!$A15)</f>
        <v>AN24140-0100R</v>
      </c>
      <c r="B19" s="117">
        <f>IF(Inputs!$A15="","",Inputs!$D15)</f>
        <v>45717</v>
      </c>
      <c r="C19" s="117">
        <f>IF(Inputs!$A15="","",Inputs!$E15)</f>
        <v>46295</v>
      </c>
      <c r="D19" s="118">
        <f>IF(OR(Inputs!$C15="",Inputs!$D15="",Inputs!$E15=""),0,Inputs!$C15*MAX(0,MIN(Inputs!$E15,D$6)-MAX(Inputs!$D15,D$5)+1)/(Inputs!$E15-Inputs!$D15+1))</f>
        <v>0</v>
      </c>
      <c r="E19" s="118">
        <f>IF(OR(Inputs!$C15="",Inputs!$D15="",Inputs!$E15=""),0,Inputs!$C15*MAX(0,MIN(Inputs!$E15,E$6)-MAX(Inputs!$D15,E$5)+1)/(Inputs!$E15-Inputs!$D15+1))</f>
        <v>0</v>
      </c>
      <c r="F19" s="118">
        <f>IF(OR(Inputs!$C15="",Inputs!$D15="",Inputs!$E15=""),0,Inputs!$C15*MAX(0,MIN(Inputs!$E15,F$6)-MAX(Inputs!$D15,F$5)+1)/(Inputs!$E15-Inputs!$D15+1))</f>
        <v>0</v>
      </c>
      <c r="G19" s="118">
        <f>IF(OR(Inputs!$C15="",Inputs!$D15="",Inputs!$E15=""),0,Inputs!$C15*MAX(0,MIN(Inputs!$E15,G$6)-MAX(Inputs!$D15,G$5)+1)/(Inputs!$E15-Inputs!$D15+1))</f>
        <v>0</v>
      </c>
      <c r="H19" s="118">
        <f>IF(OR(Inputs!$C15="",Inputs!$D15="",Inputs!$E15=""),0,Inputs!$C15*MAX(0,MIN(Inputs!$E15,H$6)-MAX(Inputs!$D15,H$5)+1)/(Inputs!$E15-Inputs!$D15+1))</f>
        <v>0</v>
      </c>
      <c r="I19" s="118">
        <f>IF(OR(Inputs!$C15="",Inputs!$D15="",Inputs!$E15=""),0,Inputs!$C15*MAX(0,MIN(Inputs!$E15,I$6)-MAX(Inputs!$D15,I$5)+1)/(Inputs!$E15-Inputs!$D15+1))</f>
        <v>8.0310880829015538E-2</v>
      </c>
      <c r="J19" s="118">
        <f>IF(OR(Inputs!$C15="",Inputs!$D15="",Inputs!$E15=""),0,Inputs!$C15*MAX(0,MIN(Inputs!$E15,J$6)-MAX(Inputs!$D15,J$5)+1)/(Inputs!$E15-Inputs!$D15+1))</f>
        <v>0.23575129533678757</v>
      </c>
      <c r="K19" s="118">
        <f>IF(OR(Inputs!$C15="",Inputs!$D15="",Inputs!$E15=""),0,Inputs!$C15*MAX(0,MIN(Inputs!$E15,K$6)-MAX(Inputs!$D15,K$5)+1)/(Inputs!$E15-Inputs!$D15+1))</f>
        <v>0.23834196891191708</v>
      </c>
      <c r="L19" s="118">
        <f>IF(OR(Inputs!$C15="",Inputs!$D15="",Inputs!$E15=""),0,Inputs!$C15*MAX(0,MIN(Inputs!$E15,L$6)-MAX(Inputs!$D15,L$5)+1)/(Inputs!$E15-Inputs!$D15+1))</f>
        <v>0.23834196891191708</v>
      </c>
      <c r="M19" s="118">
        <f>IF(OR(Inputs!$C15="",Inputs!$D15="",Inputs!$E15=""),0,Inputs!$C15*MAX(0,MIN(Inputs!$E15,M$6)-MAX(Inputs!$D15,M$5)+1)/(Inputs!$E15-Inputs!$D15+1))</f>
        <v>0.23316062176165803</v>
      </c>
      <c r="N19" s="118">
        <f>IF(OR(Inputs!$C15="",Inputs!$D15="",Inputs!$E15=""),0,Inputs!$C15*MAX(0,MIN(Inputs!$E15,N$6)-MAX(Inputs!$D15,N$5)+1)/(Inputs!$E15-Inputs!$D15+1))</f>
        <v>0.23575129533678757</v>
      </c>
      <c r="O19" s="118">
        <f>IF(OR(Inputs!$C15="",Inputs!$D15="",Inputs!$E15=""),0,Inputs!$C15*MAX(0,MIN(Inputs!$E15,O$6)-MAX(Inputs!$D15,O$5)+1)/(Inputs!$E15-Inputs!$D15+1))</f>
        <v>0.23834196891191708</v>
      </c>
      <c r="P19" s="118">
        <f>IF(OR(Inputs!$C15="",Inputs!$D15="",Inputs!$E15=""),0,Inputs!$C15*MAX(0,MIN(Inputs!$E15,P$6)-MAX(Inputs!$D15,P$5)+1)/(Inputs!$E15-Inputs!$D15+1))</f>
        <v>0</v>
      </c>
      <c r="Q19" s="118">
        <f>IF(OR(Inputs!$C15="",Inputs!$D15="",Inputs!$E15=""),0,Inputs!$C15*MAX(0,MIN(Inputs!$E15,Q$6)-MAX(Inputs!$D15,Q$5)+1)/(Inputs!$E15-Inputs!$D15+1))</f>
        <v>0</v>
      </c>
      <c r="R19" s="118">
        <f>IF(OR(Inputs!$C15="",Inputs!$D15="",Inputs!$E15=""),0,Inputs!$C15*MAX(0,MIN(Inputs!$E15,R$6)-MAX(Inputs!$D15,R$5)+1)/(Inputs!$E15-Inputs!$D15+1))</f>
        <v>0</v>
      </c>
      <c r="S19" s="118">
        <f>IF(OR(Inputs!$C15="",Inputs!$D15="",Inputs!$E15=""),0,Inputs!$C15*MAX(0,MIN(Inputs!$E15,S$6)-MAX(Inputs!$D15,S$5)+1)/(Inputs!$E15-Inputs!$D15+1))</f>
        <v>0</v>
      </c>
      <c r="T19" s="118">
        <f>IF(OR(Inputs!$C15="",Inputs!$D15="",Inputs!$E15=""),0,Inputs!$C15*MAX(0,MIN(Inputs!$E15,T$6)-MAX(Inputs!$D15,T$5)+1)/(Inputs!$E15-Inputs!$D15+1))</f>
        <v>0</v>
      </c>
      <c r="U19" s="118">
        <f>IF(OR(Inputs!$C15="",Inputs!$D15="",Inputs!$E15=""),0,Inputs!$C15*MAX(0,MIN(Inputs!$E15,U$6)-MAX(Inputs!$D15,U$5)+1)/(Inputs!$E15-Inputs!$D15+1))</f>
        <v>0</v>
      </c>
      <c r="V19" s="118">
        <f>IF(OR(Inputs!$C15="",Inputs!$D15="",Inputs!$E15=""),0,Inputs!$C15*MAX(0,MIN(Inputs!$E15,V$6)-MAX(Inputs!$D15,V$5)+1)/(Inputs!$E15-Inputs!$D15+1))</f>
        <v>0</v>
      </c>
      <c r="W19" s="118">
        <f>IF(OR(Inputs!$C15="",Inputs!$D15="",Inputs!$E15=""),0,Inputs!$C15*MAX(0,MIN(Inputs!$E15,W$6)-MAX(Inputs!$D15,W$5)+1)/(Inputs!$E15-Inputs!$D15+1))</f>
        <v>0</v>
      </c>
      <c r="X19" s="118">
        <f>IF(OR(Inputs!$C15="",Inputs!$D15="",Inputs!$E15=""),0,Inputs!$C15*MAX(0,MIN(Inputs!$E15,X$6)-MAX(Inputs!$D15,X$5)+1)/(Inputs!$E15-Inputs!$D15+1))</f>
        <v>0</v>
      </c>
      <c r="Y19" s="118">
        <f t="shared" si="5"/>
        <v>1.4999999999999998</v>
      </c>
    </row>
    <row r="20" spans="1:25" x14ac:dyDescent="0.3">
      <c r="A20" s="116" t="str">
        <f>IF(Inputs!$A16="","",Inputs!$A16)</f>
        <v>CS24035-0100D</v>
      </c>
      <c r="B20" s="117">
        <f>IF(Inputs!$A16="","",Inputs!$D16)</f>
        <v>45931</v>
      </c>
      <c r="C20" s="117">
        <f>IF(Inputs!$A16="","",Inputs!$E16)</f>
        <v>46387</v>
      </c>
      <c r="D20" s="118">
        <f>IF(OR(Inputs!$C16="",Inputs!$D16="",Inputs!$E16=""),0,Inputs!$C16*MAX(0,MIN(Inputs!$E16,D$6)-MAX(Inputs!$D16,D$5)+1)/(Inputs!$E16-Inputs!$D16+1))</f>
        <v>0</v>
      </c>
      <c r="E20" s="118">
        <f>IF(OR(Inputs!$C16="",Inputs!$D16="",Inputs!$E16=""),0,Inputs!$C16*MAX(0,MIN(Inputs!$E16,E$6)-MAX(Inputs!$D16,E$5)+1)/(Inputs!$E16-Inputs!$D16+1))</f>
        <v>0</v>
      </c>
      <c r="F20" s="118">
        <f>IF(OR(Inputs!$C16="",Inputs!$D16="",Inputs!$E16=""),0,Inputs!$C16*MAX(0,MIN(Inputs!$E16,F$6)-MAX(Inputs!$D16,F$5)+1)/(Inputs!$E16-Inputs!$D16+1))</f>
        <v>0</v>
      </c>
      <c r="G20" s="118">
        <f>IF(OR(Inputs!$C16="",Inputs!$D16="",Inputs!$E16=""),0,Inputs!$C16*MAX(0,MIN(Inputs!$E16,G$6)-MAX(Inputs!$D16,G$5)+1)/(Inputs!$E16-Inputs!$D16+1))</f>
        <v>0</v>
      </c>
      <c r="H20" s="118">
        <f>IF(OR(Inputs!$C16="",Inputs!$D16="",Inputs!$E16=""),0,Inputs!$C16*MAX(0,MIN(Inputs!$E16,H$6)-MAX(Inputs!$D16,H$5)+1)/(Inputs!$E16-Inputs!$D16+1))</f>
        <v>0</v>
      </c>
      <c r="I20" s="118">
        <f>IF(OR(Inputs!$C16="",Inputs!$D16="",Inputs!$E16=""),0,Inputs!$C16*MAX(0,MIN(Inputs!$E16,I$6)-MAX(Inputs!$D16,I$5)+1)/(Inputs!$E16-Inputs!$D16+1))</f>
        <v>0</v>
      </c>
      <c r="J20" s="118">
        <f>IF(OR(Inputs!$C16="",Inputs!$D16="",Inputs!$E16=""),0,Inputs!$C16*MAX(0,MIN(Inputs!$E16,J$6)-MAX(Inputs!$D16,J$5)+1)/(Inputs!$E16-Inputs!$D16+1))</f>
        <v>0</v>
      </c>
      <c r="K20" s="118">
        <f>IF(OR(Inputs!$C16="",Inputs!$D16="",Inputs!$E16=""),0,Inputs!$C16*MAX(0,MIN(Inputs!$E16,K$6)-MAX(Inputs!$D16,K$5)+1)/(Inputs!$E16-Inputs!$D16+1))</f>
        <v>0</v>
      </c>
      <c r="L20" s="118">
        <f>IF(OR(Inputs!$C16="",Inputs!$D16="",Inputs!$E16=""),0,Inputs!$C16*MAX(0,MIN(Inputs!$E16,L$6)-MAX(Inputs!$D16,L$5)+1)/(Inputs!$E16-Inputs!$D16+1))</f>
        <v>0.80525164113785563</v>
      </c>
      <c r="M20" s="118">
        <f>IF(OR(Inputs!$C16="",Inputs!$D16="",Inputs!$E16=""),0,Inputs!$C16*MAX(0,MIN(Inputs!$E16,M$6)-MAX(Inputs!$D16,M$5)+1)/(Inputs!$E16-Inputs!$D16+1))</f>
        <v>0.78774617067833697</v>
      </c>
      <c r="N20" s="118">
        <f>IF(OR(Inputs!$C16="",Inputs!$D16="",Inputs!$E16=""),0,Inputs!$C16*MAX(0,MIN(Inputs!$E16,N$6)-MAX(Inputs!$D16,N$5)+1)/(Inputs!$E16-Inputs!$D16+1))</f>
        <v>0.79649890590809624</v>
      </c>
      <c r="O20" s="118">
        <f>IF(OR(Inputs!$C16="",Inputs!$D16="",Inputs!$E16=""),0,Inputs!$C16*MAX(0,MIN(Inputs!$E16,O$6)-MAX(Inputs!$D16,O$5)+1)/(Inputs!$E16-Inputs!$D16+1))</f>
        <v>0.80525164113785563</v>
      </c>
      <c r="P20" s="118">
        <f>IF(OR(Inputs!$C16="",Inputs!$D16="",Inputs!$E16=""),0,Inputs!$C16*MAX(0,MIN(Inputs!$E16,P$6)-MAX(Inputs!$D16,P$5)+1)/(Inputs!$E16-Inputs!$D16+1))</f>
        <v>0.80525164113785563</v>
      </c>
      <c r="Q20" s="118">
        <f>IF(OR(Inputs!$C16="",Inputs!$D16="",Inputs!$E16=""),0,Inputs!$C16*MAX(0,MIN(Inputs!$E16,Q$6)-MAX(Inputs!$D16,Q$5)+1)/(Inputs!$E16-Inputs!$D16+1))</f>
        <v>0</v>
      </c>
      <c r="R20" s="118">
        <f>IF(OR(Inputs!$C16="",Inputs!$D16="",Inputs!$E16=""),0,Inputs!$C16*MAX(0,MIN(Inputs!$E16,R$6)-MAX(Inputs!$D16,R$5)+1)/(Inputs!$E16-Inputs!$D16+1))</f>
        <v>0</v>
      </c>
      <c r="S20" s="118">
        <f>IF(OR(Inputs!$C16="",Inputs!$D16="",Inputs!$E16=""),0,Inputs!$C16*MAX(0,MIN(Inputs!$E16,S$6)-MAX(Inputs!$D16,S$5)+1)/(Inputs!$E16-Inputs!$D16+1))</f>
        <v>0</v>
      </c>
      <c r="T20" s="118">
        <f>IF(OR(Inputs!$C16="",Inputs!$D16="",Inputs!$E16=""),0,Inputs!$C16*MAX(0,MIN(Inputs!$E16,T$6)-MAX(Inputs!$D16,T$5)+1)/(Inputs!$E16-Inputs!$D16+1))</f>
        <v>0</v>
      </c>
      <c r="U20" s="118">
        <f>IF(OR(Inputs!$C16="",Inputs!$D16="",Inputs!$E16=""),0,Inputs!$C16*MAX(0,MIN(Inputs!$E16,U$6)-MAX(Inputs!$D16,U$5)+1)/(Inputs!$E16-Inputs!$D16+1))</f>
        <v>0</v>
      </c>
      <c r="V20" s="118">
        <f>IF(OR(Inputs!$C16="",Inputs!$D16="",Inputs!$E16=""),0,Inputs!$C16*MAX(0,MIN(Inputs!$E16,V$6)-MAX(Inputs!$D16,V$5)+1)/(Inputs!$E16-Inputs!$D16+1))</f>
        <v>0</v>
      </c>
      <c r="W20" s="118">
        <f>IF(OR(Inputs!$C16="",Inputs!$D16="",Inputs!$E16=""),0,Inputs!$C16*MAX(0,MIN(Inputs!$E16,W$6)-MAX(Inputs!$D16,W$5)+1)/(Inputs!$E16-Inputs!$D16+1))</f>
        <v>0</v>
      </c>
      <c r="X20" s="118">
        <f>IF(OR(Inputs!$C16="",Inputs!$D16="",Inputs!$E16=""),0,Inputs!$C16*MAX(0,MIN(Inputs!$E16,X$6)-MAX(Inputs!$D16,X$5)+1)/(Inputs!$E16-Inputs!$D16+1))</f>
        <v>0</v>
      </c>
      <c r="Y20" s="118">
        <f t="shared" si="5"/>
        <v>4</v>
      </c>
    </row>
    <row r="21" spans="1:25" x14ac:dyDescent="0.3">
      <c r="A21" s="116" t="str">
        <f>IF(Inputs!$A17="","",Inputs!$A17)</f>
        <v>E24181-0100D</v>
      </c>
      <c r="B21" s="117">
        <f>IF(Inputs!$A17="","",Inputs!$D17)</f>
        <v>45505</v>
      </c>
      <c r="C21" s="117">
        <f>IF(Inputs!$A17="","",Inputs!$E17)</f>
        <v>45505</v>
      </c>
      <c r="D21" s="118">
        <f>IF(OR(Inputs!$C17="",Inputs!$D17="",Inputs!$E17=""),0,Inputs!$C17*MAX(0,MIN(Inputs!$E17,D$6)-MAX(Inputs!$D17,D$5)+1)/(Inputs!$E17-Inputs!$D17+1))</f>
        <v>0</v>
      </c>
      <c r="E21" s="118">
        <f>IF(OR(Inputs!$C17="",Inputs!$D17="",Inputs!$E17=""),0,Inputs!$C17*MAX(0,MIN(Inputs!$E17,E$6)-MAX(Inputs!$D17,E$5)+1)/(Inputs!$E17-Inputs!$D17+1))</f>
        <v>0</v>
      </c>
      <c r="F21" s="118">
        <f>IF(OR(Inputs!$C17="",Inputs!$D17="",Inputs!$E17=""),0,Inputs!$C17*MAX(0,MIN(Inputs!$E17,F$6)-MAX(Inputs!$D17,F$5)+1)/(Inputs!$E17-Inputs!$D17+1))</f>
        <v>0</v>
      </c>
      <c r="G21" s="118">
        <f>IF(OR(Inputs!$C17="",Inputs!$D17="",Inputs!$E17=""),0,Inputs!$C17*MAX(0,MIN(Inputs!$E17,G$6)-MAX(Inputs!$D17,G$5)+1)/(Inputs!$E17-Inputs!$D17+1))</f>
        <v>0.5</v>
      </c>
      <c r="H21" s="118">
        <f>IF(OR(Inputs!$C17="",Inputs!$D17="",Inputs!$E17=""),0,Inputs!$C17*MAX(0,MIN(Inputs!$E17,H$6)-MAX(Inputs!$D17,H$5)+1)/(Inputs!$E17-Inputs!$D17+1))</f>
        <v>0</v>
      </c>
      <c r="I21" s="118">
        <f>IF(OR(Inputs!$C17="",Inputs!$D17="",Inputs!$E17=""),0,Inputs!$C17*MAX(0,MIN(Inputs!$E17,I$6)-MAX(Inputs!$D17,I$5)+1)/(Inputs!$E17-Inputs!$D17+1))</f>
        <v>0</v>
      </c>
      <c r="J21" s="118">
        <f>IF(OR(Inputs!$C17="",Inputs!$D17="",Inputs!$E17=""),0,Inputs!$C17*MAX(0,MIN(Inputs!$E17,J$6)-MAX(Inputs!$D17,J$5)+1)/(Inputs!$E17-Inputs!$D17+1))</f>
        <v>0</v>
      </c>
      <c r="K21" s="118">
        <f>IF(OR(Inputs!$C17="",Inputs!$D17="",Inputs!$E17=""),0,Inputs!$C17*MAX(0,MIN(Inputs!$E17,K$6)-MAX(Inputs!$D17,K$5)+1)/(Inputs!$E17-Inputs!$D17+1))</f>
        <v>0</v>
      </c>
      <c r="L21" s="118">
        <f>IF(OR(Inputs!$C17="",Inputs!$D17="",Inputs!$E17=""),0,Inputs!$C17*MAX(0,MIN(Inputs!$E17,L$6)-MAX(Inputs!$D17,L$5)+1)/(Inputs!$E17-Inputs!$D17+1))</f>
        <v>0</v>
      </c>
      <c r="M21" s="118">
        <f>IF(OR(Inputs!$C17="",Inputs!$D17="",Inputs!$E17=""),0,Inputs!$C17*MAX(0,MIN(Inputs!$E17,M$6)-MAX(Inputs!$D17,M$5)+1)/(Inputs!$E17-Inputs!$D17+1))</f>
        <v>0</v>
      </c>
      <c r="N21" s="118">
        <f>IF(OR(Inputs!$C17="",Inputs!$D17="",Inputs!$E17=""),0,Inputs!$C17*MAX(0,MIN(Inputs!$E17,N$6)-MAX(Inputs!$D17,N$5)+1)/(Inputs!$E17-Inputs!$D17+1))</f>
        <v>0</v>
      </c>
      <c r="O21" s="118">
        <f>IF(OR(Inputs!$C17="",Inputs!$D17="",Inputs!$E17=""),0,Inputs!$C17*MAX(0,MIN(Inputs!$E17,O$6)-MAX(Inputs!$D17,O$5)+1)/(Inputs!$E17-Inputs!$D17+1))</f>
        <v>0</v>
      </c>
      <c r="P21" s="118">
        <f>IF(OR(Inputs!$C17="",Inputs!$D17="",Inputs!$E17=""),0,Inputs!$C17*MAX(0,MIN(Inputs!$E17,P$6)-MAX(Inputs!$D17,P$5)+1)/(Inputs!$E17-Inputs!$D17+1))</f>
        <v>0</v>
      </c>
      <c r="Q21" s="118">
        <f>IF(OR(Inputs!$C17="",Inputs!$D17="",Inputs!$E17=""),0,Inputs!$C17*MAX(0,MIN(Inputs!$E17,Q$6)-MAX(Inputs!$D17,Q$5)+1)/(Inputs!$E17-Inputs!$D17+1))</f>
        <v>0</v>
      </c>
      <c r="R21" s="118">
        <f>IF(OR(Inputs!$C17="",Inputs!$D17="",Inputs!$E17=""),0,Inputs!$C17*MAX(0,MIN(Inputs!$E17,R$6)-MAX(Inputs!$D17,R$5)+1)/(Inputs!$E17-Inputs!$D17+1))</f>
        <v>0</v>
      </c>
      <c r="S21" s="118">
        <f>IF(OR(Inputs!$C17="",Inputs!$D17="",Inputs!$E17=""),0,Inputs!$C17*MAX(0,MIN(Inputs!$E17,S$6)-MAX(Inputs!$D17,S$5)+1)/(Inputs!$E17-Inputs!$D17+1))</f>
        <v>0</v>
      </c>
      <c r="T21" s="118">
        <f>IF(OR(Inputs!$C17="",Inputs!$D17="",Inputs!$E17=""),0,Inputs!$C17*MAX(0,MIN(Inputs!$E17,T$6)-MAX(Inputs!$D17,T$5)+1)/(Inputs!$E17-Inputs!$D17+1))</f>
        <v>0</v>
      </c>
      <c r="U21" s="118">
        <f>IF(OR(Inputs!$C17="",Inputs!$D17="",Inputs!$E17=""),0,Inputs!$C17*MAX(0,MIN(Inputs!$E17,U$6)-MAX(Inputs!$D17,U$5)+1)/(Inputs!$E17-Inputs!$D17+1))</f>
        <v>0</v>
      </c>
      <c r="V21" s="118">
        <f>IF(OR(Inputs!$C17="",Inputs!$D17="",Inputs!$E17=""),0,Inputs!$C17*MAX(0,MIN(Inputs!$E17,V$6)-MAX(Inputs!$D17,V$5)+1)/(Inputs!$E17-Inputs!$D17+1))</f>
        <v>0</v>
      </c>
      <c r="W21" s="118">
        <f>IF(OR(Inputs!$C17="",Inputs!$D17="",Inputs!$E17=""),0,Inputs!$C17*MAX(0,MIN(Inputs!$E17,W$6)-MAX(Inputs!$D17,W$5)+1)/(Inputs!$E17-Inputs!$D17+1))</f>
        <v>0</v>
      </c>
      <c r="X21" s="118">
        <f>IF(OR(Inputs!$C17="",Inputs!$D17="",Inputs!$E17=""),0,Inputs!$C17*MAX(0,MIN(Inputs!$E17,X$6)-MAX(Inputs!$D17,X$5)+1)/(Inputs!$E17-Inputs!$D17+1))</f>
        <v>0</v>
      </c>
      <c r="Y21" s="118">
        <f t="shared" si="5"/>
        <v>0.5</v>
      </c>
    </row>
    <row r="22" spans="1:25" x14ac:dyDescent="0.3">
      <c r="A22" s="116" t="str">
        <f>IF(Inputs!$A18="","",Inputs!$A18)</f>
        <v>J23152-0100D</v>
      </c>
      <c r="B22" s="117">
        <f>IF(Inputs!$A18="","",Inputs!$D18)</f>
        <v>45292</v>
      </c>
      <c r="C22" s="117">
        <f>IF(Inputs!$A18="","",Inputs!$E18)</f>
        <v>45382</v>
      </c>
      <c r="D22" s="118">
        <f>IF(OR(Inputs!$C18="",Inputs!$D18="",Inputs!$E18=""),0,Inputs!$C18*MAX(0,MIN(Inputs!$E18,D$6)-MAX(Inputs!$D18,D$5)+1)/(Inputs!$E18-Inputs!$D18+1))</f>
        <v>0</v>
      </c>
      <c r="E22" s="118">
        <f>IF(OR(Inputs!$C18="",Inputs!$D18="",Inputs!$E18=""),0,Inputs!$C18*MAX(0,MIN(Inputs!$E18,E$6)-MAX(Inputs!$D18,E$5)+1)/(Inputs!$E18-Inputs!$D18+1))</f>
        <v>0.5</v>
      </c>
      <c r="F22" s="118">
        <f>IF(OR(Inputs!$C18="",Inputs!$D18="",Inputs!$E18=""),0,Inputs!$C18*MAX(0,MIN(Inputs!$E18,F$6)-MAX(Inputs!$D18,F$5)+1)/(Inputs!$E18-Inputs!$D18+1))</f>
        <v>0</v>
      </c>
      <c r="G22" s="118">
        <f>IF(OR(Inputs!$C18="",Inputs!$D18="",Inputs!$E18=""),0,Inputs!$C18*MAX(0,MIN(Inputs!$E18,G$6)-MAX(Inputs!$D18,G$5)+1)/(Inputs!$E18-Inputs!$D18+1))</f>
        <v>0</v>
      </c>
      <c r="H22" s="118">
        <f>IF(OR(Inputs!$C18="",Inputs!$D18="",Inputs!$E18=""),0,Inputs!$C18*MAX(0,MIN(Inputs!$E18,H$6)-MAX(Inputs!$D18,H$5)+1)/(Inputs!$E18-Inputs!$D18+1))</f>
        <v>0</v>
      </c>
      <c r="I22" s="118">
        <f>IF(OR(Inputs!$C18="",Inputs!$D18="",Inputs!$E18=""),0,Inputs!$C18*MAX(0,MIN(Inputs!$E18,I$6)-MAX(Inputs!$D18,I$5)+1)/(Inputs!$E18-Inputs!$D18+1))</f>
        <v>0</v>
      </c>
      <c r="J22" s="118">
        <f>IF(OR(Inputs!$C18="",Inputs!$D18="",Inputs!$E18=""),0,Inputs!$C18*MAX(0,MIN(Inputs!$E18,J$6)-MAX(Inputs!$D18,J$5)+1)/(Inputs!$E18-Inputs!$D18+1))</f>
        <v>0</v>
      </c>
      <c r="K22" s="118">
        <f>IF(OR(Inputs!$C18="",Inputs!$D18="",Inputs!$E18=""),0,Inputs!$C18*MAX(0,MIN(Inputs!$E18,K$6)-MAX(Inputs!$D18,K$5)+1)/(Inputs!$E18-Inputs!$D18+1))</f>
        <v>0</v>
      </c>
      <c r="L22" s="118">
        <f>IF(OR(Inputs!$C18="",Inputs!$D18="",Inputs!$E18=""),0,Inputs!$C18*MAX(0,MIN(Inputs!$E18,L$6)-MAX(Inputs!$D18,L$5)+1)/(Inputs!$E18-Inputs!$D18+1))</f>
        <v>0</v>
      </c>
      <c r="M22" s="118">
        <f>IF(OR(Inputs!$C18="",Inputs!$D18="",Inputs!$E18=""),0,Inputs!$C18*MAX(0,MIN(Inputs!$E18,M$6)-MAX(Inputs!$D18,M$5)+1)/(Inputs!$E18-Inputs!$D18+1))</f>
        <v>0</v>
      </c>
      <c r="N22" s="118">
        <f>IF(OR(Inputs!$C18="",Inputs!$D18="",Inputs!$E18=""),0,Inputs!$C18*MAX(0,MIN(Inputs!$E18,N$6)-MAX(Inputs!$D18,N$5)+1)/(Inputs!$E18-Inputs!$D18+1))</f>
        <v>0</v>
      </c>
      <c r="O22" s="118">
        <f>IF(OR(Inputs!$C18="",Inputs!$D18="",Inputs!$E18=""),0,Inputs!$C18*MAX(0,MIN(Inputs!$E18,O$6)-MAX(Inputs!$D18,O$5)+1)/(Inputs!$E18-Inputs!$D18+1))</f>
        <v>0</v>
      </c>
      <c r="P22" s="118">
        <f>IF(OR(Inputs!$C18="",Inputs!$D18="",Inputs!$E18=""),0,Inputs!$C18*MAX(0,MIN(Inputs!$E18,P$6)-MAX(Inputs!$D18,P$5)+1)/(Inputs!$E18-Inputs!$D18+1))</f>
        <v>0</v>
      </c>
      <c r="Q22" s="118">
        <f>IF(OR(Inputs!$C18="",Inputs!$D18="",Inputs!$E18=""),0,Inputs!$C18*MAX(0,MIN(Inputs!$E18,Q$6)-MAX(Inputs!$D18,Q$5)+1)/(Inputs!$E18-Inputs!$D18+1))</f>
        <v>0</v>
      </c>
      <c r="R22" s="118">
        <f>IF(OR(Inputs!$C18="",Inputs!$D18="",Inputs!$E18=""),0,Inputs!$C18*MAX(0,MIN(Inputs!$E18,R$6)-MAX(Inputs!$D18,R$5)+1)/(Inputs!$E18-Inputs!$D18+1))</f>
        <v>0</v>
      </c>
      <c r="S22" s="118">
        <f>IF(OR(Inputs!$C18="",Inputs!$D18="",Inputs!$E18=""),0,Inputs!$C18*MAX(0,MIN(Inputs!$E18,S$6)-MAX(Inputs!$D18,S$5)+1)/(Inputs!$E18-Inputs!$D18+1))</f>
        <v>0</v>
      </c>
      <c r="T22" s="118">
        <f>IF(OR(Inputs!$C18="",Inputs!$D18="",Inputs!$E18=""),0,Inputs!$C18*MAX(0,MIN(Inputs!$E18,T$6)-MAX(Inputs!$D18,T$5)+1)/(Inputs!$E18-Inputs!$D18+1))</f>
        <v>0</v>
      </c>
      <c r="U22" s="118">
        <f>IF(OR(Inputs!$C18="",Inputs!$D18="",Inputs!$E18=""),0,Inputs!$C18*MAX(0,MIN(Inputs!$E18,U$6)-MAX(Inputs!$D18,U$5)+1)/(Inputs!$E18-Inputs!$D18+1))</f>
        <v>0</v>
      </c>
      <c r="V22" s="118">
        <f>IF(OR(Inputs!$C18="",Inputs!$D18="",Inputs!$E18=""),0,Inputs!$C18*MAX(0,MIN(Inputs!$E18,V$6)-MAX(Inputs!$D18,V$5)+1)/(Inputs!$E18-Inputs!$D18+1))</f>
        <v>0</v>
      </c>
      <c r="W22" s="118">
        <f>IF(OR(Inputs!$C18="",Inputs!$D18="",Inputs!$E18=""),0,Inputs!$C18*MAX(0,MIN(Inputs!$E18,W$6)-MAX(Inputs!$D18,W$5)+1)/(Inputs!$E18-Inputs!$D18+1))</f>
        <v>0</v>
      </c>
      <c r="X22" s="118">
        <f>IF(OR(Inputs!$C18="",Inputs!$D18="",Inputs!$E18=""),0,Inputs!$C18*MAX(0,MIN(Inputs!$E18,X$6)-MAX(Inputs!$D18,X$5)+1)/(Inputs!$E18-Inputs!$D18+1))</f>
        <v>0</v>
      </c>
      <c r="Y22" s="118">
        <f t="shared" si="5"/>
        <v>0.5</v>
      </c>
    </row>
    <row r="23" spans="1:25" x14ac:dyDescent="0.3">
      <c r="A23" s="116" t="str">
        <f>IF(Inputs!$A19="","",Inputs!$A19)</f>
        <v>Q25008-0100D</v>
      </c>
      <c r="B23" s="117">
        <f>IF(Inputs!$A19="","",Inputs!$D19)</f>
        <v>46023</v>
      </c>
      <c r="C23" s="117">
        <f>IF(Inputs!$A19="","",Inputs!$E19)</f>
        <v>46235</v>
      </c>
      <c r="D23" s="118">
        <f>IF(OR(Inputs!$C19="",Inputs!$D19="",Inputs!$E19=""),0,Inputs!$C19*MAX(0,MIN(Inputs!$E19,D$6)-MAX(Inputs!$D19,D$5)+1)/(Inputs!$E19-Inputs!$D19+1))</f>
        <v>0</v>
      </c>
      <c r="E23" s="118">
        <f>IF(OR(Inputs!$C19="",Inputs!$D19="",Inputs!$E19=""),0,Inputs!$C19*MAX(0,MIN(Inputs!$E19,E$6)-MAX(Inputs!$D19,E$5)+1)/(Inputs!$E19-Inputs!$D19+1))</f>
        <v>0</v>
      </c>
      <c r="F23" s="118">
        <f>IF(OR(Inputs!$C19="",Inputs!$D19="",Inputs!$E19=""),0,Inputs!$C19*MAX(0,MIN(Inputs!$E19,F$6)-MAX(Inputs!$D19,F$5)+1)/(Inputs!$E19-Inputs!$D19+1))</f>
        <v>0</v>
      </c>
      <c r="G23" s="118">
        <f>IF(OR(Inputs!$C19="",Inputs!$D19="",Inputs!$E19=""),0,Inputs!$C19*MAX(0,MIN(Inputs!$E19,G$6)-MAX(Inputs!$D19,G$5)+1)/(Inputs!$E19-Inputs!$D19+1))</f>
        <v>0</v>
      </c>
      <c r="H23" s="118">
        <f>IF(OR(Inputs!$C19="",Inputs!$D19="",Inputs!$E19=""),0,Inputs!$C19*MAX(0,MIN(Inputs!$E19,H$6)-MAX(Inputs!$D19,H$5)+1)/(Inputs!$E19-Inputs!$D19+1))</f>
        <v>0</v>
      </c>
      <c r="I23" s="118">
        <f>IF(OR(Inputs!$C19="",Inputs!$D19="",Inputs!$E19=""),0,Inputs!$C19*MAX(0,MIN(Inputs!$E19,I$6)-MAX(Inputs!$D19,I$5)+1)/(Inputs!$E19-Inputs!$D19+1))</f>
        <v>0</v>
      </c>
      <c r="J23" s="118">
        <f>IF(OR(Inputs!$C19="",Inputs!$D19="",Inputs!$E19=""),0,Inputs!$C19*MAX(0,MIN(Inputs!$E19,J$6)-MAX(Inputs!$D19,J$5)+1)/(Inputs!$E19-Inputs!$D19+1))</f>
        <v>0</v>
      </c>
      <c r="K23" s="118">
        <f>IF(OR(Inputs!$C19="",Inputs!$D19="",Inputs!$E19=""),0,Inputs!$C19*MAX(0,MIN(Inputs!$E19,K$6)-MAX(Inputs!$D19,K$5)+1)/(Inputs!$E19-Inputs!$D19+1))</f>
        <v>0</v>
      </c>
      <c r="L23" s="118">
        <f>IF(OR(Inputs!$C19="",Inputs!$D19="",Inputs!$E19=""),0,Inputs!$C19*MAX(0,MIN(Inputs!$E19,L$6)-MAX(Inputs!$D19,L$5)+1)/(Inputs!$E19-Inputs!$D19+1))</f>
        <v>0</v>
      </c>
      <c r="M23" s="118">
        <f>IF(OR(Inputs!$C19="",Inputs!$D19="",Inputs!$E19=""),0,Inputs!$C19*MAX(0,MIN(Inputs!$E19,M$6)-MAX(Inputs!$D19,M$5)+1)/(Inputs!$E19-Inputs!$D19+1))</f>
        <v>2.112676056338028</v>
      </c>
      <c r="N23" s="118">
        <f>IF(OR(Inputs!$C19="",Inputs!$D19="",Inputs!$E19=""),0,Inputs!$C19*MAX(0,MIN(Inputs!$E19,N$6)-MAX(Inputs!$D19,N$5)+1)/(Inputs!$E19-Inputs!$D19+1))</f>
        <v>2.136150234741784</v>
      </c>
      <c r="O23" s="118">
        <f>IF(OR(Inputs!$C19="",Inputs!$D19="",Inputs!$E19=""),0,Inputs!$C19*MAX(0,MIN(Inputs!$E19,O$6)-MAX(Inputs!$D19,O$5)+1)/(Inputs!$E19-Inputs!$D19+1))</f>
        <v>0.75117370892018775</v>
      </c>
      <c r="P23" s="118">
        <f>IF(OR(Inputs!$C19="",Inputs!$D19="",Inputs!$E19=""),0,Inputs!$C19*MAX(0,MIN(Inputs!$E19,P$6)-MAX(Inputs!$D19,P$5)+1)/(Inputs!$E19-Inputs!$D19+1))</f>
        <v>0</v>
      </c>
      <c r="Q23" s="118">
        <f>IF(OR(Inputs!$C19="",Inputs!$D19="",Inputs!$E19=""),0,Inputs!$C19*MAX(0,MIN(Inputs!$E19,Q$6)-MAX(Inputs!$D19,Q$5)+1)/(Inputs!$E19-Inputs!$D19+1))</f>
        <v>0</v>
      </c>
      <c r="R23" s="118">
        <f>IF(OR(Inputs!$C19="",Inputs!$D19="",Inputs!$E19=""),0,Inputs!$C19*MAX(0,MIN(Inputs!$E19,R$6)-MAX(Inputs!$D19,R$5)+1)/(Inputs!$E19-Inputs!$D19+1))</f>
        <v>0</v>
      </c>
      <c r="S23" s="118">
        <f>IF(OR(Inputs!$C19="",Inputs!$D19="",Inputs!$E19=""),0,Inputs!$C19*MAX(0,MIN(Inputs!$E19,S$6)-MAX(Inputs!$D19,S$5)+1)/(Inputs!$E19-Inputs!$D19+1))</f>
        <v>0</v>
      </c>
      <c r="T23" s="118">
        <f>IF(OR(Inputs!$C19="",Inputs!$D19="",Inputs!$E19=""),0,Inputs!$C19*MAX(0,MIN(Inputs!$E19,T$6)-MAX(Inputs!$D19,T$5)+1)/(Inputs!$E19-Inputs!$D19+1))</f>
        <v>0</v>
      </c>
      <c r="U23" s="118">
        <f>IF(OR(Inputs!$C19="",Inputs!$D19="",Inputs!$E19=""),0,Inputs!$C19*MAX(0,MIN(Inputs!$E19,U$6)-MAX(Inputs!$D19,U$5)+1)/(Inputs!$E19-Inputs!$D19+1))</f>
        <v>0</v>
      </c>
      <c r="V23" s="118">
        <f>IF(OR(Inputs!$C19="",Inputs!$D19="",Inputs!$E19=""),0,Inputs!$C19*MAX(0,MIN(Inputs!$E19,V$6)-MAX(Inputs!$D19,V$5)+1)/(Inputs!$E19-Inputs!$D19+1))</f>
        <v>0</v>
      </c>
      <c r="W23" s="118">
        <f>IF(OR(Inputs!$C19="",Inputs!$D19="",Inputs!$E19=""),0,Inputs!$C19*MAX(0,MIN(Inputs!$E19,W$6)-MAX(Inputs!$D19,W$5)+1)/(Inputs!$E19-Inputs!$D19+1))</f>
        <v>0</v>
      </c>
      <c r="X23" s="118">
        <f>IF(OR(Inputs!$C19="",Inputs!$D19="",Inputs!$E19=""),0,Inputs!$C19*MAX(0,MIN(Inputs!$E19,X$6)-MAX(Inputs!$D19,X$5)+1)/(Inputs!$E19-Inputs!$D19+1))</f>
        <v>0</v>
      </c>
      <c r="Y23" s="118">
        <f t="shared" si="5"/>
        <v>5</v>
      </c>
    </row>
    <row r="24" spans="1:25" x14ac:dyDescent="0.3">
      <c r="A24" s="116" t="str">
        <f>IF(Inputs!$A20="","",Inputs!$A20)</f>
        <v>S24014-0101D</v>
      </c>
      <c r="B24" s="117">
        <f>IF(Inputs!$A20="","",Inputs!$D20)</f>
        <v>45383</v>
      </c>
      <c r="C24" s="117">
        <f>IF(Inputs!$A20="","",Inputs!$E20)</f>
        <v>45505</v>
      </c>
      <c r="D24" s="118">
        <f>IF(OR(Inputs!$C20="",Inputs!$D20="",Inputs!$E20=""),0,Inputs!$C20*MAX(0,MIN(Inputs!$E20,D$6)-MAX(Inputs!$D20,D$5)+1)/(Inputs!$E20-Inputs!$D20+1))</f>
        <v>0</v>
      </c>
      <c r="E24" s="118">
        <f>IF(OR(Inputs!$C20="",Inputs!$D20="",Inputs!$E20=""),0,Inputs!$C20*MAX(0,MIN(Inputs!$E20,E$6)-MAX(Inputs!$D20,E$5)+1)/(Inputs!$E20-Inputs!$D20+1))</f>
        <v>0</v>
      </c>
      <c r="F24" s="118">
        <f>IF(OR(Inputs!$C20="",Inputs!$D20="",Inputs!$E20=""),0,Inputs!$C20*MAX(0,MIN(Inputs!$E20,F$6)-MAX(Inputs!$D20,F$5)+1)/(Inputs!$E20-Inputs!$D20+1))</f>
        <v>15.736341463414634</v>
      </c>
      <c r="G24" s="118">
        <f>IF(OR(Inputs!$C20="",Inputs!$D20="",Inputs!$E20=""),0,Inputs!$C20*MAX(0,MIN(Inputs!$E20,G$6)-MAX(Inputs!$D20,G$5)+1)/(Inputs!$E20-Inputs!$D20+1))</f>
        <v>5.5336585365853654</v>
      </c>
      <c r="H24" s="118">
        <f>IF(OR(Inputs!$C20="",Inputs!$D20="",Inputs!$E20=""),0,Inputs!$C20*MAX(0,MIN(Inputs!$E20,H$6)-MAX(Inputs!$D20,H$5)+1)/(Inputs!$E20-Inputs!$D20+1))</f>
        <v>0</v>
      </c>
      <c r="I24" s="118">
        <f>IF(OR(Inputs!$C20="",Inputs!$D20="",Inputs!$E20=""),0,Inputs!$C20*MAX(0,MIN(Inputs!$E20,I$6)-MAX(Inputs!$D20,I$5)+1)/(Inputs!$E20-Inputs!$D20+1))</f>
        <v>0</v>
      </c>
      <c r="J24" s="118">
        <f>IF(OR(Inputs!$C20="",Inputs!$D20="",Inputs!$E20=""),0,Inputs!$C20*MAX(0,MIN(Inputs!$E20,J$6)-MAX(Inputs!$D20,J$5)+1)/(Inputs!$E20-Inputs!$D20+1))</f>
        <v>0</v>
      </c>
      <c r="K24" s="118">
        <f>IF(OR(Inputs!$C20="",Inputs!$D20="",Inputs!$E20=""),0,Inputs!$C20*MAX(0,MIN(Inputs!$E20,K$6)-MAX(Inputs!$D20,K$5)+1)/(Inputs!$E20-Inputs!$D20+1))</f>
        <v>0</v>
      </c>
      <c r="L24" s="118">
        <f>IF(OR(Inputs!$C20="",Inputs!$D20="",Inputs!$E20=""),0,Inputs!$C20*MAX(0,MIN(Inputs!$E20,L$6)-MAX(Inputs!$D20,L$5)+1)/(Inputs!$E20-Inputs!$D20+1))</f>
        <v>0</v>
      </c>
      <c r="M24" s="118">
        <f>IF(OR(Inputs!$C20="",Inputs!$D20="",Inputs!$E20=""),0,Inputs!$C20*MAX(0,MIN(Inputs!$E20,M$6)-MAX(Inputs!$D20,M$5)+1)/(Inputs!$E20-Inputs!$D20+1))</f>
        <v>0</v>
      </c>
      <c r="N24" s="118">
        <f>IF(OR(Inputs!$C20="",Inputs!$D20="",Inputs!$E20=""),0,Inputs!$C20*MAX(0,MIN(Inputs!$E20,N$6)-MAX(Inputs!$D20,N$5)+1)/(Inputs!$E20-Inputs!$D20+1))</f>
        <v>0</v>
      </c>
      <c r="O24" s="118">
        <f>IF(OR(Inputs!$C20="",Inputs!$D20="",Inputs!$E20=""),0,Inputs!$C20*MAX(0,MIN(Inputs!$E20,O$6)-MAX(Inputs!$D20,O$5)+1)/(Inputs!$E20-Inputs!$D20+1))</f>
        <v>0</v>
      </c>
      <c r="P24" s="118">
        <f>IF(OR(Inputs!$C20="",Inputs!$D20="",Inputs!$E20=""),0,Inputs!$C20*MAX(0,MIN(Inputs!$E20,P$6)-MAX(Inputs!$D20,P$5)+1)/(Inputs!$E20-Inputs!$D20+1))</f>
        <v>0</v>
      </c>
      <c r="Q24" s="118">
        <f>IF(OR(Inputs!$C20="",Inputs!$D20="",Inputs!$E20=""),0,Inputs!$C20*MAX(0,MIN(Inputs!$E20,Q$6)-MAX(Inputs!$D20,Q$5)+1)/(Inputs!$E20-Inputs!$D20+1))</f>
        <v>0</v>
      </c>
      <c r="R24" s="118">
        <f>IF(OR(Inputs!$C20="",Inputs!$D20="",Inputs!$E20=""),0,Inputs!$C20*MAX(0,MIN(Inputs!$E20,R$6)-MAX(Inputs!$D20,R$5)+1)/(Inputs!$E20-Inputs!$D20+1))</f>
        <v>0</v>
      </c>
      <c r="S24" s="118">
        <f>IF(OR(Inputs!$C20="",Inputs!$D20="",Inputs!$E20=""),0,Inputs!$C20*MAX(0,MIN(Inputs!$E20,S$6)-MAX(Inputs!$D20,S$5)+1)/(Inputs!$E20-Inputs!$D20+1))</f>
        <v>0</v>
      </c>
      <c r="T24" s="118">
        <f>IF(OR(Inputs!$C20="",Inputs!$D20="",Inputs!$E20=""),0,Inputs!$C20*MAX(0,MIN(Inputs!$E20,T$6)-MAX(Inputs!$D20,T$5)+1)/(Inputs!$E20-Inputs!$D20+1))</f>
        <v>0</v>
      </c>
      <c r="U24" s="118">
        <f>IF(OR(Inputs!$C20="",Inputs!$D20="",Inputs!$E20=""),0,Inputs!$C20*MAX(0,MIN(Inputs!$E20,U$6)-MAX(Inputs!$D20,U$5)+1)/(Inputs!$E20-Inputs!$D20+1))</f>
        <v>0</v>
      </c>
      <c r="V24" s="118">
        <f>IF(OR(Inputs!$C20="",Inputs!$D20="",Inputs!$E20=""),0,Inputs!$C20*MAX(0,MIN(Inputs!$E20,V$6)-MAX(Inputs!$D20,V$5)+1)/(Inputs!$E20-Inputs!$D20+1))</f>
        <v>0</v>
      </c>
      <c r="W24" s="118">
        <f>IF(OR(Inputs!$C20="",Inputs!$D20="",Inputs!$E20=""),0,Inputs!$C20*MAX(0,MIN(Inputs!$E20,W$6)-MAX(Inputs!$D20,W$5)+1)/(Inputs!$E20-Inputs!$D20+1))</f>
        <v>0</v>
      </c>
      <c r="X24" s="118">
        <f>IF(OR(Inputs!$C20="",Inputs!$D20="",Inputs!$E20=""),0,Inputs!$C20*MAX(0,MIN(Inputs!$E20,X$6)-MAX(Inputs!$D20,X$5)+1)/(Inputs!$E20-Inputs!$D20+1))</f>
        <v>0</v>
      </c>
      <c r="Y24" s="118">
        <f t="shared" si="5"/>
        <v>21.27</v>
      </c>
    </row>
    <row r="25" spans="1:25" x14ac:dyDescent="0.3">
      <c r="A25" s="116" t="str">
        <f>IF(Inputs!$A21="","",Inputs!$A21)</f>
        <v>S24014-0102D</v>
      </c>
      <c r="B25" s="117">
        <f>IF(Inputs!$A21="","",Inputs!$D21)</f>
        <v>45536</v>
      </c>
      <c r="C25" s="117">
        <f>IF(Inputs!$A21="","",Inputs!$E21)</f>
        <v>45930</v>
      </c>
      <c r="D25" s="118">
        <f>IF(OR(Inputs!$C21="",Inputs!$D21="",Inputs!$E21=""),0,Inputs!$C21*MAX(0,MIN(Inputs!$E21,D$6)-MAX(Inputs!$D21,D$5)+1)/(Inputs!$E21-Inputs!$D21+1))</f>
        <v>0</v>
      </c>
      <c r="E25" s="118">
        <f>IF(OR(Inputs!$C21="",Inputs!$D21="",Inputs!$E21=""),0,Inputs!$C21*MAX(0,MIN(Inputs!$E21,E$6)-MAX(Inputs!$D21,E$5)+1)/(Inputs!$E21-Inputs!$D21+1))</f>
        <v>0</v>
      </c>
      <c r="F25" s="118">
        <f>IF(OR(Inputs!$C21="",Inputs!$D21="",Inputs!$E21=""),0,Inputs!$C21*MAX(0,MIN(Inputs!$E21,F$6)-MAX(Inputs!$D21,F$5)+1)/(Inputs!$E21-Inputs!$D21+1))</f>
        <v>0</v>
      </c>
      <c r="G25" s="118">
        <f>IF(OR(Inputs!$C21="",Inputs!$D21="",Inputs!$E21=""),0,Inputs!$C21*MAX(0,MIN(Inputs!$E21,G$6)-MAX(Inputs!$D21,G$5)+1)/(Inputs!$E21-Inputs!$D21+1))</f>
        <v>0.57873417721518983</v>
      </c>
      <c r="H25" s="118">
        <f>IF(OR(Inputs!$C21="",Inputs!$D21="",Inputs!$E21=""),0,Inputs!$C21*MAX(0,MIN(Inputs!$E21,H$6)-MAX(Inputs!$D21,H$5)+1)/(Inputs!$E21-Inputs!$D21+1))</f>
        <v>1.7747848101265822</v>
      </c>
      <c r="I25" s="118">
        <f>IF(OR(Inputs!$C21="",Inputs!$D21="",Inputs!$E21=""),0,Inputs!$C21*MAX(0,MIN(Inputs!$E21,I$6)-MAX(Inputs!$D21,I$5)+1)/(Inputs!$E21-Inputs!$D21+1))</f>
        <v>1.7362025316455696</v>
      </c>
      <c r="J25" s="118">
        <f>IF(OR(Inputs!$C21="",Inputs!$D21="",Inputs!$E21=""),0,Inputs!$C21*MAX(0,MIN(Inputs!$E21,J$6)-MAX(Inputs!$D21,J$5)+1)/(Inputs!$E21-Inputs!$D21+1))</f>
        <v>1.7554936708860758</v>
      </c>
      <c r="K25" s="118">
        <f>IF(OR(Inputs!$C21="",Inputs!$D21="",Inputs!$E21=""),0,Inputs!$C21*MAX(0,MIN(Inputs!$E21,K$6)-MAX(Inputs!$D21,K$5)+1)/(Inputs!$E21-Inputs!$D21+1))</f>
        <v>1.7747848101265822</v>
      </c>
      <c r="L25" s="118">
        <f>IF(OR(Inputs!$C21="",Inputs!$D21="",Inputs!$E21=""),0,Inputs!$C21*MAX(0,MIN(Inputs!$E21,L$6)-MAX(Inputs!$D21,L$5)+1)/(Inputs!$E21-Inputs!$D21+1))</f>
        <v>0</v>
      </c>
      <c r="M25" s="118">
        <f>IF(OR(Inputs!$C21="",Inputs!$D21="",Inputs!$E21=""),0,Inputs!$C21*MAX(0,MIN(Inputs!$E21,M$6)-MAX(Inputs!$D21,M$5)+1)/(Inputs!$E21-Inputs!$D21+1))</f>
        <v>0</v>
      </c>
      <c r="N25" s="118">
        <f>IF(OR(Inputs!$C21="",Inputs!$D21="",Inputs!$E21=""),0,Inputs!$C21*MAX(0,MIN(Inputs!$E21,N$6)-MAX(Inputs!$D21,N$5)+1)/(Inputs!$E21-Inputs!$D21+1))</f>
        <v>0</v>
      </c>
      <c r="O25" s="118">
        <f>IF(OR(Inputs!$C21="",Inputs!$D21="",Inputs!$E21=""),0,Inputs!$C21*MAX(0,MIN(Inputs!$E21,O$6)-MAX(Inputs!$D21,O$5)+1)/(Inputs!$E21-Inputs!$D21+1))</f>
        <v>0</v>
      </c>
      <c r="P25" s="118">
        <f>IF(OR(Inputs!$C21="",Inputs!$D21="",Inputs!$E21=""),0,Inputs!$C21*MAX(0,MIN(Inputs!$E21,P$6)-MAX(Inputs!$D21,P$5)+1)/(Inputs!$E21-Inputs!$D21+1))</f>
        <v>0</v>
      </c>
      <c r="Q25" s="118">
        <f>IF(OR(Inputs!$C21="",Inputs!$D21="",Inputs!$E21=""),0,Inputs!$C21*MAX(0,MIN(Inputs!$E21,Q$6)-MAX(Inputs!$D21,Q$5)+1)/(Inputs!$E21-Inputs!$D21+1))</f>
        <v>0</v>
      </c>
      <c r="R25" s="118">
        <f>IF(OR(Inputs!$C21="",Inputs!$D21="",Inputs!$E21=""),0,Inputs!$C21*MAX(0,MIN(Inputs!$E21,R$6)-MAX(Inputs!$D21,R$5)+1)/(Inputs!$E21-Inputs!$D21+1))</f>
        <v>0</v>
      </c>
      <c r="S25" s="118">
        <f>IF(OR(Inputs!$C21="",Inputs!$D21="",Inputs!$E21=""),0,Inputs!$C21*MAX(0,MIN(Inputs!$E21,S$6)-MAX(Inputs!$D21,S$5)+1)/(Inputs!$E21-Inputs!$D21+1))</f>
        <v>0</v>
      </c>
      <c r="T25" s="118">
        <f>IF(OR(Inputs!$C21="",Inputs!$D21="",Inputs!$E21=""),0,Inputs!$C21*MAX(0,MIN(Inputs!$E21,T$6)-MAX(Inputs!$D21,T$5)+1)/(Inputs!$E21-Inputs!$D21+1))</f>
        <v>0</v>
      </c>
      <c r="U25" s="118">
        <f>IF(OR(Inputs!$C21="",Inputs!$D21="",Inputs!$E21=""),0,Inputs!$C21*MAX(0,MIN(Inputs!$E21,U$6)-MAX(Inputs!$D21,U$5)+1)/(Inputs!$E21-Inputs!$D21+1))</f>
        <v>0</v>
      </c>
      <c r="V25" s="118">
        <f>IF(OR(Inputs!$C21="",Inputs!$D21="",Inputs!$E21=""),0,Inputs!$C21*MAX(0,MIN(Inputs!$E21,V$6)-MAX(Inputs!$D21,V$5)+1)/(Inputs!$E21-Inputs!$D21+1))</f>
        <v>0</v>
      </c>
      <c r="W25" s="118">
        <f>IF(OR(Inputs!$C21="",Inputs!$D21="",Inputs!$E21=""),0,Inputs!$C21*MAX(0,MIN(Inputs!$E21,W$6)-MAX(Inputs!$D21,W$5)+1)/(Inputs!$E21-Inputs!$D21+1))</f>
        <v>0</v>
      </c>
      <c r="X25" s="118">
        <f>IF(OR(Inputs!$C21="",Inputs!$D21="",Inputs!$E21=""),0,Inputs!$C21*MAX(0,MIN(Inputs!$E21,X$6)-MAX(Inputs!$D21,X$5)+1)/(Inputs!$E21-Inputs!$D21+1))</f>
        <v>0</v>
      </c>
      <c r="Y25" s="118">
        <f t="shared" si="5"/>
        <v>7.62</v>
      </c>
    </row>
    <row r="26" spans="1:25" x14ac:dyDescent="0.3">
      <c r="A26" s="116" t="str">
        <f>IF(Inputs!$A22="","",Inputs!$A22)</f>
        <v>S24014-0103D</v>
      </c>
      <c r="B26" s="117">
        <f>IF(Inputs!$A22="","",Inputs!$D22)</f>
        <v>45536</v>
      </c>
      <c r="C26" s="117">
        <f>IF(Inputs!$A22="","",Inputs!$E22)</f>
        <v>45930</v>
      </c>
      <c r="D26" s="118">
        <f>IF(OR(Inputs!$C22="",Inputs!$D22="",Inputs!$E22=""),0,Inputs!$C22*MAX(0,MIN(Inputs!$E22,D$6)-MAX(Inputs!$D22,D$5)+1)/(Inputs!$E22-Inputs!$D22+1))</f>
        <v>0</v>
      </c>
      <c r="E26" s="118">
        <f>IF(OR(Inputs!$C22="",Inputs!$D22="",Inputs!$E22=""),0,Inputs!$C22*MAX(0,MIN(Inputs!$E22,E$6)-MAX(Inputs!$D22,E$5)+1)/(Inputs!$E22-Inputs!$D22+1))</f>
        <v>0</v>
      </c>
      <c r="F26" s="118">
        <f>IF(OR(Inputs!$C22="",Inputs!$D22="",Inputs!$E22=""),0,Inputs!$C22*MAX(0,MIN(Inputs!$E22,F$6)-MAX(Inputs!$D22,F$5)+1)/(Inputs!$E22-Inputs!$D22+1))</f>
        <v>0</v>
      </c>
      <c r="G26" s="118">
        <f>IF(OR(Inputs!$C22="",Inputs!$D22="",Inputs!$E22=""),0,Inputs!$C22*MAX(0,MIN(Inputs!$E22,G$6)-MAX(Inputs!$D22,G$5)+1)/(Inputs!$E22-Inputs!$D22+1))</f>
        <v>0.48303797468354431</v>
      </c>
      <c r="H26" s="118">
        <f>IF(OR(Inputs!$C22="",Inputs!$D22="",Inputs!$E22=""),0,Inputs!$C22*MAX(0,MIN(Inputs!$E22,H$6)-MAX(Inputs!$D22,H$5)+1)/(Inputs!$E22-Inputs!$D22+1))</f>
        <v>1.4813164556962026</v>
      </c>
      <c r="I26" s="118">
        <f>IF(OR(Inputs!$C22="",Inputs!$D22="",Inputs!$E22=""),0,Inputs!$C22*MAX(0,MIN(Inputs!$E22,I$6)-MAX(Inputs!$D22,I$5)+1)/(Inputs!$E22-Inputs!$D22+1))</f>
        <v>1.4491139240506328</v>
      </c>
      <c r="J26" s="118">
        <f>IF(OR(Inputs!$C22="",Inputs!$D22="",Inputs!$E22=""),0,Inputs!$C22*MAX(0,MIN(Inputs!$E22,J$6)-MAX(Inputs!$D22,J$5)+1)/(Inputs!$E22-Inputs!$D22+1))</f>
        <v>1.4652151898734176</v>
      </c>
      <c r="K26" s="118">
        <f>IF(OR(Inputs!$C22="",Inputs!$D22="",Inputs!$E22=""),0,Inputs!$C22*MAX(0,MIN(Inputs!$E22,K$6)-MAX(Inputs!$D22,K$5)+1)/(Inputs!$E22-Inputs!$D22+1))</f>
        <v>1.4813164556962026</v>
      </c>
      <c r="L26" s="118">
        <f>IF(OR(Inputs!$C22="",Inputs!$D22="",Inputs!$E22=""),0,Inputs!$C22*MAX(0,MIN(Inputs!$E22,L$6)-MAX(Inputs!$D22,L$5)+1)/(Inputs!$E22-Inputs!$D22+1))</f>
        <v>0</v>
      </c>
      <c r="M26" s="118">
        <f>IF(OR(Inputs!$C22="",Inputs!$D22="",Inputs!$E22=""),0,Inputs!$C22*MAX(0,MIN(Inputs!$E22,M$6)-MAX(Inputs!$D22,M$5)+1)/(Inputs!$E22-Inputs!$D22+1))</f>
        <v>0</v>
      </c>
      <c r="N26" s="118">
        <f>IF(OR(Inputs!$C22="",Inputs!$D22="",Inputs!$E22=""),0,Inputs!$C22*MAX(0,MIN(Inputs!$E22,N$6)-MAX(Inputs!$D22,N$5)+1)/(Inputs!$E22-Inputs!$D22+1))</f>
        <v>0</v>
      </c>
      <c r="O26" s="118">
        <f>IF(OR(Inputs!$C22="",Inputs!$D22="",Inputs!$E22=""),0,Inputs!$C22*MAX(0,MIN(Inputs!$E22,O$6)-MAX(Inputs!$D22,O$5)+1)/(Inputs!$E22-Inputs!$D22+1))</f>
        <v>0</v>
      </c>
      <c r="P26" s="118">
        <f>IF(OR(Inputs!$C22="",Inputs!$D22="",Inputs!$E22=""),0,Inputs!$C22*MAX(0,MIN(Inputs!$E22,P$6)-MAX(Inputs!$D22,P$5)+1)/(Inputs!$E22-Inputs!$D22+1))</f>
        <v>0</v>
      </c>
      <c r="Q26" s="118">
        <f>IF(OR(Inputs!$C22="",Inputs!$D22="",Inputs!$E22=""),0,Inputs!$C22*MAX(0,MIN(Inputs!$E22,Q$6)-MAX(Inputs!$D22,Q$5)+1)/(Inputs!$E22-Inputs!$D22+1))</f>
        <v>0</v>
      </c>
      <c r="R26" s="118">
        <f>IF(OR(Inputs!$C22="",Inputs!$D22="",Inputs!$E22=""),0,Inputs!$C22*MAX(0,MIN(Inputs!$E22,R$6)-MAX(Inputs!$D22,R$5)+1)/(Inputs!$E22-Inputs!$D22+1))</f>
        <v>0</v>
      </c>
      <c r="S26" s="118">
        <f>IF(OR(Inputs!$C22="",Inputs!$D22="",Inputs!$E22=""),0,Inputs!$C22*MAX(0,MIN(Inputs!$E22,S$6)-MAX(Inputs!$D22,S$5)+1)/(Inputs!$E22-Inputs!$D22+1))</f>
        <v>0</v>
      </c>
      <c r="T26" s="118">
        <f>IF(OR(Inputs!$C22="",Inputs!$D22="",Inputs!$E22=""),0,Inputs!$C22*MAX(0,MIN(Inputs!$E22,T$6)-MAX(Inputs!$D22,T$5)+1)/(Inputs!$E22-Inputs!$D22+1))</f>
        <v>0</v>
      </c>
      <c r="U26" s="118">
        <f>IF(OR(Inputs!$C22="",Inputs!$D22="",Inputs!$E22=""),0,Inputs!$C22*MAX(0,MIN(Inputs!$E22,U$6)-MAX(Inputs!$D22,U$5)+1)/(Inputs!$E22-Inputs!$D22+1))</f>
        <v>0</v>
      </c>
      <c r="V26" s="118">
        <f>IF(OR(Inputs!$C22="",Inputs!$D22="",Inputs!$E22=""),0,Inputs!$C22*MAX(0,MIN(Inputs!$E22,V$6)-MAX(Inputs!$D22,V$5)+1)/(Inputs!$E22-Inputs!$D22+1))</f>
        <v>0</v>
      </c>
      <c r="W26" s="118">
        <f>IF(OR(Inputs!$C22="",Inputs!$D22="",Inputs!$E22=""),0,Inputs!$C22*MAX(0,MIN(Inputs!$E22,W$6)-MAX(Inputs!$D22,W$5)+1)/(Inputs!$E22-Inputs!$D22+1))</f>
        <v>0</v>
      </c>
      <c r="X26" s="118">
        <f>IF(OR(Inputs!$C22="",Inputs!$D22="",Inputs!$E22=""),0,Inputs!$C22*MAX(0,MIN(Inputs!$E22,X$6)-MAX(Inputs!$D22,X$5)+1)/(Inputs!$E22-Inputs!$D22+1))</f>
        <v>0</v>
      </c>
      <c r="Y26" s="118">
        <f t="shared" si="5"/>
        <v>6.3599999999999994</v>
      </c>
    </row>
    <row r="27" spans="1:25" x14ac:dyDescent="0.3">
      <c r="A27" s="116" t="str">
        <f>IF(Inputs!$A23="","",Inputs!$A23)</f>
        <v>S24014-0104D</v>
      </c>
      <c r="B27" s="117">
        <f>IF(Inputs!$A23="","",Inputs!$D23)</f>
        <v>45536</v>
      </c>
      <c r="C27" s="117">
        <f>IF(Inputs!$A23="","",Inputs!$E23)</f>
        <v>45930</v>
      </c>
      <c r="D27" s="118">
        <f>IF(OR(Inputs!$C23="",Inputs!$D23="",Inputs!$E23=""),0,Inputs!$C23*MAX(0,MIN(Inputs!$E23,D$6)-MAX(Inputs!$D23,D$5)+1)/(Inputs!$E23-Inputs!$D23+1))</f>
        <v>0</v>
      </c>
      <c r="E27" s="118">
        <f>IF(OR(Inputs!$C23="",Inputs!$D23="",Inputs!$E23=""),0,Inputs!$C23*MAX(0,MIN(Inputs!$E23,E$6)-MAX(Inputs!$D23,E$5)+1)/(Inputs!$E23-Inputs!$D23+1))</f>
        <v>0</v>
      </c>
      <c r="F27" s="118">
        <f>IF(OR(Inputs!$C23="",Inputs!$D23="",Inputs!$E23=""),0,Inputs!$C23*MAX(0,MIN(Inputs!$E23,F$6)-MAX(Inputs!$D23,F$5)+1)/(Inputs!$E23-Inputs!$D23+1))</f>
        <v>0</v>
      </c>
      <c r="G27" s="118">
        <f>IF(OR(Inputs!$C23="",Inputs!$D23="",Inputs!$E23=""),0,Inputs!$C23*MAX(0,MIN(Inputs!$E23,G$6)-MAX(Inputs!$D23,G$5)+1)/(Inputs!$E23-Inputs!$D23+1))</f>
        <v>0.91367088607594926</v>
      </c>
      <c r="H27" s="118">
        <f>IF(OR(Inputs!$C23="",Inputs!$D23="",Inputs!$E23=""),0,Inputs!$C23*MAX(0,MIN(Inputs!$E23,H$6)-MAX(Inputs!$D23,H$5)+1)/(Inputs!$E23-Inputs!$D23+1))</f>
        <v>2.8019240506329113</v>
      </c>
      <c r="I27" s="118">
        <f>IF(OR(Inputs!$C23="",Inputs!$D23="",Inputs!$E23=""),0,Inputs!$C23*MAX(0,MIN(Inputs!$E23,I$6)-MAX(Inputs!$D23,I$5)+1)/(Inputs!$E23-Inputs!$D23+1))</f>
        <v>2.7410126582278482</v>
      </c>
      <c r="J27" s="118">
        <f>IF(OR(Inputs!$C23="",Inputs!$D23="",Inputs!$E23=""),0,Inputs!$C23*MAX(0,MIN(Inputs!$E23,J$6)-MAX(Inputs!$D23,J$5)+1)/(Inputs!$E23-Inputs!$D23+1))</f>
        <v>2.7714683544303798</v>
      </c>
      <c r="K27" s="118">
        <f>IF(OR(Inputs!$C23="",Inputs!$D23="",Inputs!$E23=""),0,Inputs!$C23*MAX(0,MIN(Inputs!$E23,K$6)-MAX(Inputs!$D23,K$5)+1)/(Inputs!$E23-Inputs!$D23+1))</f>
        <v>2.8019240506329113</v>
      </c>
      <c r="L27" s="118">
        <f>IF(OR(Inputs!$C23="",Inputs!$D23="",Inputs!$E23=""),0,Inputs!$C23*MAX(0,MIN(Inputs!$E23,L$6)-MAX(Inputs!$D23,L$5)+1)/(Inputs!$E23-Inputs!$D23+1))</f>
        <v>0</v>
      </c>
      <c r="M27" s="118">
        <f>IF(OR(Inputs!$C23="",Inputs!$D23="",Inputs!$E23=""),0,Inputs!$C23*MAX(0,MIN(Inputs!$E23,M$6)-MAX(Inputs!$D23,M$5)+1)/(Inputs!$E23-Inputs!$D23+1))</f>
        <v>0</v>
      </c>
      <c r="N27" s="118">
        <f>IF(OR(Inputs!$C23="",Inputs!$D23="",Inputs!$E23=""),0,Inputs!$C23*MAX(0,MIN(Inputs!$E23,N$6)-MAX(Inputs!$D23,N$5)+1)/(Inputs!$E23-Inputs!$D23+1))</f>
        <v>0</v>
      </c>
      <c r="O27" s="118">
        <f>IF(OR(Inputs!$C23="",Inputs!$D23="",Inputs!$E23=""),0,Inputs!$C23*MAX(0,MIN(Inputs!$E23,O$6)-MAX(Inputs!$D23,O$5)+1)/(Inputs!$E23-Inputs!$D23+1))</f>
        <v>0</v>
      </c>
      <c r="P27" s="118">
        <f>IF(OR(Inputs!$C23="",Inputs!$D23="",Inputs!$E23=""),0,Inputs!$C23*MAX(0,MIN(Inputs!$E23,P$6)-MAX(Inputs!$D23,P$5)+1)/(Inputs!$E23-Inputs!$D23+1))</f>
        <v>0</v>
      </c>
      <c r="Q27" s="118">
        <f>IF(OR(Inputs!$C23="",Inputs!$D23="",Inputs!$E23=""),0,Inputs!$C23*MAX(0,MIN(Inputs!$E23,Q$6)-MAX(Inputs!$D23,Q$5)+1)/(Inputs!$E23-Inputs!$D23+1))</f>
        <v>0</v>
      </c>
      <c r="R27" s="118">
        <f>IF(OR(Inputs!$C23="",Inputs!$D23="",Inputs!$E23=""),0,Inputs!$C23*MAX(0,MIN(Inputs!$E23,R$6)-MAX(Inputs!$D23,R$5)+1)/(Inputs!$E23-Inputs!$D23+1))</f>
        <v>0</v>
      </c>
      <c r="S27" s="118">
        <f>IF(OR(Inputs!$C23="",Inputs!$D23="",Inputs!$E23=""),0,Inputs!$C23*MAX(0,MIN(Inputs!$E23,S$6)-MAX(Inputs!$D23,S$5)+1)/(Inputs!$E23-Inputs!$D23+1))</f>
        <v>0</v>
      </c>
      <c r="T27" s="118">
        <f>IF(OR(Inputs!$C23="",Inputs!$D23="",Inputs!$E23=""),0,Inputs!$C23*MAX(0,MIN(Inputs!$E23,T$6)-MAX(Inputs!$D23,T$5)+1)/(Inputs!$E23-Inputs!$D23+1))</f>
        <v>0</v>
      </c>
      <c r="U27" s="118">
        <f>IF(OR(Inputs!$C23="",Inputs!$D23="",Inputs!$E23=""),0,Inputs!$C23*MAX(0,MIN(Inputs!$E23,U$6)-MAX(Inputs!$D23,U$5)+1)/(Inputs!$E23-Inputs!$D23+1))</f>
        <v>0</v>
      </c>
      <c r="V27" s="118">
        <f>IF(OR(Inputs!$C23="",Inputs!$D23="",Inputs!$E23=""),0,Inputs!$C23*MAX(0,MIN(Inputs!$E23,V$6)-MAX(Inputs!$D23,V$5)+1)/(Inputs!$E23-Inputs!$D23+1))</f>
        <v>0</v>
      </c>
      <c r="W27" s="118">
        <f>IF(OR(Inputs!$C23="",Inputs!$D23="",Inputs!$E23=""),0,Inputs!$C23*MAX(0,MIN(Inputs!$E23,W$6)-MAX(Inputs!$D23,W$5)+1)/(Inputs!$E23-Inputs!$D23+1))</f>
        <v>0</v>
      </c>
      <c r="X27" s="118">
        <f>IF(OR(Inputs!$C23="",Inputs!$D23="",Inputs!$E23=""),0,Inputs!$C23*MAX(0,MIN(Inputs!$E23,X$6)-MAX(Inputs!$D23,X$5)+1)/(Inputs!$E23-Inputs!$D23+1))</f>
        <v>0</v>
      </c>
      <c r="Y27" s="118">
        <f t="shared" si="5"/>
        <v>12.03</v>
      </c>
    </row>
    <row r="28" spans="1:25" x14ac:dyDescent="0.3">
      <c r="A28" s="116" t="str">
        <f>IF(Inputs!$A24="","",Inputs!$A24)</f>
        <v>S22058-0700D</v>
      </c>
      <c r="B28" s="117">
        <f>IF(Inputs!$A24="","",Inputs!$D24)</f>
        <v>45474</v>
      </c>
      <c r="C28" s="117">
        <f>IF(Inputs!$A24="","",Inputs!$E24)</f>
        <v>45930</v>
      </c>
      <c r="D28" s="118">
        <f>IF(OR(Inputs!$C24="",Inputs!$D24="",Inputs!$E24=""),0,Inputs!$C24*MAX(0,MIN(Inputs!$E24,D$6)-MAX(Inputs!$D24,D$5)+1)/(Inputs!$E24-Inputs!$D24+1))</f>
        <v>0</v>
      </c>
      <c r="E28" s="118">
        <f>IF(OR(Inputs!$C24="",Inputs!$D24="",Inputs!$E24=""),0,Inputs!$C24*MAX(0,MIN(Inputs!$E24,E$6)-MAX(Inputs!$D24,E$5)+1)/(Inputs!$E24-Inputs!$D24+1))</f>
        <v>0</v>
      </c>
      <c r="F28" s="118">
        <f>IF(OR(Inputs!$C24="",Inputs!$D24="",Inputs!$E24=""),0,Inputs!$C24*MAX(0,MIN(Inputs!$E24,F$6)-MAX(Inputs!$D24,F$5)+1)/(Inputs!$E24-Inputs!$D24+1))</f>
        <v>0</v>
      </c>
      <c r="G28" s="118">
        <f>IF(OR(Inputs!$C24="",Inputs!$D24="",Inputs!$E24=""),0,Inputs!$C24*MAX(0,MIN(Inputs!$E24,G$6)-MAX(Inputs!$D24,G$5)+1)/(Inputs!$E24-Inputs!$D24+1))</f>
        <v>1.2078774617067833</v>
      </c>
      <c r="H28" s="118">
        <f>IF(OR(Inputs!$C24="",Inputs!$D24="",Inputs!$E24=""),0,Inputs!$C24*MAX(0,MIN(Inputs!$E24,H$6)-MAX(Inputs!$D24,H$5)+1)/(Inputs!$E24-Inputs!$D24+1))</f>
        <v>1.2078774617067833</v>
      </c>
      <c r="I28" s="118">
        <f>IF(OR(Inputs!$C24="",Inputs!$D24="",Inputs!$E24=""),0,Inputs!$C24*MAX(0,MIN(Inputs!$E24,I$6)-MAX(Inputs!$D24,I$5)+1)/(Inputs!$E24-Inputs!$D24+1))</f>
        <v>1.1816192560175054</v>
      </c>
      <c r="J28" s="118">
        <f>IF(OR(Inputs!$C24="",Inputs!$D24="",Inputs!$E24=""),0,Inputs!$C24*MAX(0,MIN(Inputs!$E24,J$6)-MAX(Inputs!$D24,J$5)+1)/(Inputs!$E24-Inputs!$D24+1))</f>
        <v>1.1947483588621444</v>
      </c>
      <c r="K28" s="118">
        <f>IF(OR(Inputs!$C24="",Inputs!$D24="",Inputs!$E24=""),0,Inputs!$C24*MAX(0,MIN(Inputs!$E24,K$6)-MAX(Inputs!$D24,K$5)+1)/(Inputs!$E24-Inputs!$D24+1))</f>
        <v>1.2078774617067833</v>
      </c>
      <c r="L28" s="118">
        <f>IF(OR(Inputs!$C24="",Inputs!$D24="",Inputs!$E24=""),0,Inputs!$C24*MAX(0,MIN(Inputs!$E24,L$6)-MAX(Inputs!$D24,L$5)+1)/(Inputs!$E24-Inputs!$D24+1))</f>
        <v>0</v>
      </c>
      <c r="M28" s="118">
        <f>IF(OR(Inputs!$C24="",Inputs!$D24="",Inputs!$E24=""),0,Inputs!$C24*MAX(0,MIN(Inputs!$E24,M$6)-MAX(Inputs!$D24,M$5)+1)/(Inputs!$E24-Inputs!$D24+1))</f>
        <v>0</v>
      </c>
      <c r="N28" s="118">
        <f>IF(OR(Inputs!$C24="",Inputs!$D24="",Inputs!$E24=""),0,Inputs!$C24*MAX(0,MIN(Inputs!$E24,N$6)-MAX(Inputs!$D24,N$5)+1)/(Inputs!$E24-Inputs!$D24+1))</f>
        <v>0</v>
      </c>
      <c r="O28" s="118">
        <f>IF(OR(Inputs!$C24="",Inputs!$D24="",Inputs!$E24=""),0,Inputs!$C24*MAX(0,MIN(Inputs!$E24,O$6)-MAX(Inputs!$D24,O$5)+1)/(Inputs!$E24-Inputs!$D24+1))</f>
        <v>0</v>
      </c>
      <c r="P28" s="118">
        <f>IF(OR(Inputs!$C24="",Inputs!$D24="",Inputs!$E24=""),0,Inputs!$C24*MAX(0,MIN(Inputs!$E24,P$6)-MAX(Inputs!$D24,P$5)+1)/(Inputs!$E24-Inputs!$D24+1))</f>
        <v>0</v>
      </c>
      <c r="Q28" s="118">
        <f>IF(OR(Inputs!$C24="",Inputs!$D24="",Inputs!$E24=""),0,Inputs!$C24*MAX(0,MIN(Inputs!$E24,Q$6)-MAX(Inputs!$D24,Q$5)+1)/(Inputs!$E24-Inputs!$D24+1))</f>
        <v>0</v>
      </c>
      <c r="R28" s="118">
        <f>IF(OR(Inputs!$C24="",Inputs!$D24="",Inputs!$E24=""),0,Inputs!$C24*MAX(0,MIN(Inputs!$E24,R$6)-MAX(Inputs!$D24,R$5)+1)/(Inputs!$E24-Inputs!$D24+1))</f>
        <v>0</v>
      </c>
      <c r="S28" s="118">
        <f>IF(OR(Inputs!$C24="",Inputs!$D24="",Inputs!$E24=""),0,Inputs!$C24*MAX(0,MIN(Inputs!$E24,S$6)-MAX(Inputs!$D24,S$5)+1)/(Inputs!$E24-Inputs!$D24+1))</f>
        <v>0</v>
      </c>
      <c r="T28" s="118">
        <f>IF(OR(Inputs!$C24="",Inputs!$D24="",Inputs!$E24=""),0,Inputs!$C24*MAX(0,MIN(Inputs!$E24,T$6)-MAX(Inputs!$D24,T$5)+1)/(Inputs!$E24-Inputs!$D24+1))</f>
        <v>0</v>
      </c>
      <c r="U28" s="118">
        <f>IF(OR(Inputs!$C24="",Inputs!$D24="",Inputs!$E24=""),0,Inputs!$C24*MAX(0,MIN(Inputs!$E24,U$6)-MAX(Inputs!$D24,U$5)+1)/(Inputs!$E24-Inputs!$D24+1))</f>
        <v>0</v>
      </c>
      <c r="V28" s="118">
        <f>IF(OR(Inputs!$C24="",Inputs!$D24="",Inputs!$E24=""),0,Inputs!$C24*MAX(0,MIN(Inputs!$E24,V$6)-MAX(Inputs!$D24,V$5)+1)/(Inputs!$E24-Inputs!$D24+1))</f>
        <v>0</v>
      </c>
      <c r="W28" s="118">
        <f>IF(OR(Inputs!$C24="",Inputs!$D24="",Inputs!$E24=""),0,Inputs!$C24*MAX(0,MIN(Inputs!$E24,W$6)-MAX(Inputs!$D24,W$5)+1)/(Inputs!$E24-Inputs!$D24+1))</f>
        <v>0</v>
      </c>
      <c r="X28" s="118">
        <f>IF(OR(Inputs!$C24="",Inputs!$D24="",Inputs!$E24=""),0,Inputs!$C24*MAX(0,MIN(Inputs!$E24,X$6)-MAX(Inputs!$D24,X$5)+1)/(Inputs!$E24-Inputs!$D24+1))</f>
        <v>0</v>
      </c>
      <c r="Y28" s="118">
        <f t="shared" si="5"/>
        <v>6</v>
      </c>
    </row>
    <row r="29" spans="1:25" x14ac:dyDescent="0.3">
      <c r="A29" s="116" t="str">
        <f>IF(Inputs!$A25="","",Inputs!$A25)</f>
        <v>AN24185-0100R</v>
      </c>
      <c r="B29" s="117">
        <f>IF(Inputs!$A25="","",Inputs!$D25)</f>
        <v>45566</v>
      </c>
      <c r="C29" s="117">
        <f>IF(Inputs!$A25="","",Inputs!$E25)</f>
        <v>46112</v>
      </c>
      <c r="D29" s="118">
        <f>IF(OR(Inputs!$C25="",Inputs!$D25="",Inputs!$E25=""),0,Inputs!$C25*MAX(0,MIN(Inputs!$E25,D$6)-MAX(Inputs!$D25,D$5)+1)/(Inputs!$E25-Inputs!$D25+1))</f>
        <v>0</v>
      </c>
      <c r="E29" s="118">
        <f>IF(OR(Inputs!$C25="",Inputs!$D25="",Inputs!$E25=""),0,Inputs!$C25*MAX(0,MIN(Inputs!$E25,E$6)-MAX(Inputs!$D25,E$5)+1)/(Inputs!$E25-Inputs!$D25+1))</f>
        <v>0</v>
      </c>
      <c r="F29" s="118">
        <f>IF(OR(Inputs!$C25="",Inputs!$D25="",Inputs!$E25=""),0,Inputs!$C25*MAX(0,MIN(Inputs!$E25,F$6)-MAX(Inputs!$D25,F$5)+1)/(Inputs!$E25-Inputs!$D25+1))</f>
        <v>0</v>
      </c>
      <c r="G29" s="118">
        <f>IF(OR(Inputs!$C25="",Inputs!$D25="",Inputs!$E25=""),0,Inputs!$C25*MAX(0,MIN(Inputs!$E25,G$6)-MAX(Inputs!$D25,G$5)+1)/(Inputs!$E25-Inputs!$D25+1))</f>
        <v>0</v>
      </c>
      <c r="H29" s="118">
        <f>IF(OR(Inputs!$C25="",Inputs!$D25="",Inputs!$E25=""),0,Inputs!$C25*MAX(0,MIN(Inputs!$E25,H$6)-MAX(Inputs!$D25,H$5)+1)/(Inputs!$E25-Inputs!$D25+1))</f>
        <v>0.67276051188299812</v>
      </c>
      <c r="I29" s="118">
        <f>IF(OR(Inputs!$C25="",Inputs!$D25="",Inputs!$E25=""),0,Inputs!$C25*MAX(0,MIN(Inputs!$E25,I$6)-MAX(Inputs!$D25,I$5)+1)/(Inputs!$E25-Inputs!$D25+1))</f>
        <v>0.65813528336380256</v>
      </c>
      <c r="J29" s="118">
        <f>IF(OR(Inputs!$C25="",Inputs!$D25="",Inputs!$E25=""),0,Inputs!$C25*MAX(0,MIN(Inputs!$E25,J$6)-MAX(Inputs!$D25,J$5)+1)/(Inputs!$E25-Inputs!$D25+1))</f>
        <v>0.6654478976234004</v>
      </c>
      <c r="K29" s="118">
        <f>IF(OR(Inputs!$C25="",Inputs!$D25="",Inputs!$E25=""),0,Inputs!$C25*MAX(0,MIN(Inputs!$E25,K$6)-MAX(Inputs!$D25,K$5)+1)/(Inputs!$E25-Inputs!$D25+1))</f>
        <v>0.67276051188299812</v>
      </c>
      <c r="L29" s="118">
        <f>IF(OR(Inputs!$C25="",Inputs!$D25="",Inputs!$E25=""),0,Inputs!$C25*MAX(0,MIN(Inputs!$E25,L$6)-MAX(Inputs!$D25,L$5)+1)/(Inputs!$E25-Inputs!$D25+1))</f>
        <v>0.67276051188299812</v>
      </c>
      <c r="M29" s="118">
        <f>IF(OR(Inputs!$C25="",Inputs!$D25="",Inputs!$E25=""),0,Inputs!$C25*MAX(0,MIN(Inputs!$E25,M$6)-MAX(Inputs!$D25,M$5)+1)/(Inputs!$E25-Inputs!$D25+1))</f>
        <v>0.65813528336380256</v>
      </c>
      <c r="N29" s="118">
        <f>IF(OR(Inputs!$C25="",Inputs!$D25="",Inputs!$E25=""),0,Inputs!$C25*MAX(0,MIN(Inputs!$E25,N$6)-MAX(Inputs!$D25,N$5)+1)/(Inputs!$E25-Inputs!$D25+1))</f>
        <v>0</v>
      </c>
      <c r="O29" s="118">
        <f>IF(OR(Inputs!$C25="",Inputs!$D25="",Inputs!$E25=""),0,Inputs!$C25*MAX(0,MIN(Inputs!$E25,O$6)-MAX(Inputs!$D25,O$5)+1)/(Inputs!$E25-Inputs!$D25+1))</f>
        <v>0</v>
      </c>
      <c r="P29" s="118">
        <f>IF(OR(Inputs!$C25="",Inputs!$D25="",Inputs!$E25=""),0,Inputs!$C25*MAX(0,MIN(Inputs!$E25,P$6)-MAX(Inputs!$D25,P$5)+1)/(Inputs!$E25-Inputs!$D25+1))</f>
        <v>0</v>
      </c>
      <c r="Q29" s="118">
        <f>IF(OR(Inputs!$C25="",Inputs!$D25="",Inputs!$E25=""),0,Inputs!$C25*MAX(0,MIN(Inputs!$E25,Q$6)-MAX(Inputs!$D25,Q$5)+1)/(Inputs!$E25-Inputs!$D25+1))</f>
        <v>0</v>
      </c>
      <c r="R29" s="118">
        <f>IF(OR(Inputs!$C25="",Inputs!$D25="",Inputs!$E25=""),0,Inputs!$C25*MAX(0,MIN(Inputs!$E25,R$6)-MAX(Inputs!$D25,R$5)+1)/(Inputs!$E25-Inputs!$D25+1))</f>
        <v>0</v>
      </c>
      <c r="S29" s="118">
        <f>IF(OR(Inputs!$C25="",Inputs!$D25="",Inputs!$E25=""),0,Inputs!$C25*MAX(0,MIN(Inputs!$E25,S$6)-MAX(Inputs!$D25,S$5)+1)/(Inputs!$E25-Inputs!$D25+1))</f>
        <v>0</v>
      </c>
      <c r="T29" s="118">
        <f>IF(OR(Inputs!$C25="",Inputs!$D25="",Inputs!$E25=""),0,Inputs!$C25*MAX(0,MIN(Inputs!$E25,T$6)-MAX(Inputs!$D25,T$5)+1)/(Inputs!$E25-Inputs!$D25+1))</f>
        <v>0</v>
      </c>
      <c r="U29" s="118">
        <f>IF(OR(Inputs!$C25="",Inputs!$D25="",Inputs!$E25=""),0,Inputs!$C25*MAX(0,MIN(Inputs!$E25,U$6)-MAX(Inputs!$D25,U$5)+1)/(Inputs!$E25-Inputs!$D25+1))</f>
        <v>0</v>
      </c>
      <c r="V29" s="118">
        <f>IF(OR(Inputs!$C25="",Inputs!$D25="",Inputs!$E25=""),0,Inputs!$C25*MAX(0,MIN(Inputs!$E25,V$6)-MAX(Inputs!$D25,V$5)+1)/(Inputs!$E25-Inputs!$D25+1))</f>
        <v>0</v>
      </c>
      <c r="W29" s="118">
        <f>IF(OR(Inputs!$C25="",Inputs!$D25="",Inputs!$E25=""),0,Inputs!$C25*MAX(0,MIN(Inputs!$E25,W$6)-MAX(Inputs!$D25,W$5)+1)/(Inputs!$E25-Inputs!$D25+1))</f>
        <v>0</v>
      </c>
      <c r="X29" s="118">
        <f>IF(OR(Inputs!$C25="",Inputs!$D25="",Inputs!$E25=""),0,Inputs!$C25*MAX(0,MIN(Inputs!$E25,X$6)-MAX(Inputs!$D25,X$5)+1)/(Inputs!$E25-Inputs!$D25+1))</f>
        <v>0</v>
      </c>
      <c r="Y29" s="118">
        <f t="shared" si="5"/>
        <v>4</v>
      </c>
    </row>
    <row r="30" spans="1:25" x14ac:dyDescent="0.3">
      <c r="A30" s="116" t="str">
        <f>IF(Inputs!$A26="","",Inputs!$A26)</f>
        <v>AN24135-0100R</v>
      </c>
      <c r="B30" s="117">
        <f>IF(Inputs!$A26="","",Inputs!$D26)</f>
        <v>45566</v>
      </c>
      <c r="C30" s="117">
        <f>IF(Inputs!$A26="","",Inputs!$E26)</f>
        <v>46477</v>
      </c>
      <c r="D30" s="118">
        <f>IF(OR(Inputs!$C26="",Inputs!$D26="",Inputs!$E26=""),0,Inputs!$C26*MAX(0,MIN(Inputs!$E26,D$6)-MAX(Inputs!$D26,D$5)+1)/(Inputs!$E26-Inputs!$D26+1))</f>
        <v>0</v>
      </c>
      <c r="E30" s="118">
        <f>IF(OR(Inputs!$C26="",Inputs!$D26="",Inputs!$E26=""),0,Inputs!$C26*MAX(0,MIN(Inputs!$E26,E$6)-MAX(Inputs!$D26,E$5)+1)/(Inputs!$E26-Inputs!$D26+1))</f>
        <v>0</v>
      </c>
      <c r="F30" s="118">
        <f>IF(OR(Inputs!$C26="",Inputs!$D26="",Inputs!$E26=""),0,Inputs!$C26*MAX(0,MIN(Inputs!$E26,F$6)-MAX(Inputs!$D26,F$5)+1)/(Inputs!$E26-Inputs!$D26+1))</f>
        <v>0</v>
      </c>
      <c r="G30" s="118">
        <f>IF(OR(Inputs!$C26="",Inputs!$D26="",Inputs!$E26=""),0,Inputs!$C26*MAX(0,MIN(Inputs!$E26,G$6)-MAX(Inputs!$D26,G$5)+1)/(Inputs!$E26-Inputs!$D26+1))</f>
        <v>0</v>
      </c>
      <c r="H30" s="118">
        <f>IF(OR(Inputs!$C26="",Inputs!$D26="",Inputs!$E26=""),0,Inputs!$C26*MAX(0,MIN(Inputs!$E26,H$6)-MAX(Inputs!$D26,H$5)+1)/(Inputs!$E26-Inputs!$D26+1))</f>
        <v>0.40350877192982454</v>
      </c>
      <c r="I30" s="118">
        <f>IF(OR(Inputs!$C26="",Inputs!$D26="",Inputs!$E26=""),0,Inputs!$C26*MAX(0,MIN(Inputs!$E26,I$6)-MAX(Inputs!$D26,I$5)+1)/(Inputs!$E26-Inputs!$D26+1))</f>
        <v>0.39473684210526316</v>
      </c>
      <c r="J30" s="118">
        <f>IF(OR(Inputs!$C26="",Inputs!$D26="",Inputs!$E26=""),0,Inputs!$C26*MAX(0,MIN(Inputs!$E26,J$6)-MAX(Inputs!$D26,J$5)+1)/(Inputs!$E26-Inputs!$D26+1))</f>
        <v>0.39912280701754388</v>
      </c>
      <c r="K30" s="118">
        <f>IF(OR(Inputs!$C26="",Inputs!$D26="",Inputs!$E26=""),0,Inputs!$C26*MAX(0,MIN(Inputs!$E26,K$6)-MAX(Inputs!$D26,K$5)+1)/(Inputs!$E26-Inputs!$D26+1))</f>
        <v>0.40350877192982454</v>
      </c>
      <c r="L30" s="118">
        <f>IF(OR(Inputs!$C26="",Inputs!$D26="",Inputs!$E26=""),0,Inputs!$C26*MAX(0,MIN(Inputs!$E26,L$6)-MAX(Inputs!$D26,L$5)+1)/(Inputs!$E26-Inputs!$D26+1))</f>
        <v>0.40350877192982454</v>
      </c>
      <c r="M30" s="118">
        <f>IF(OR(Inputs!$C26="",Inputs!$D26="",Inputs!$E26=""),0,Inputs!$C26*MAX(0,MIN(Inputs!$E26,M$6)-MAX(Inputs!$D26,M$5)+1)/(Inputs!$E26-Inputs!$D26+1))</f>
        <v>0.39473684210526316</v>
      </c>
      <c r="N30" s="118">
        <f>IF(OR(Inputs!$C26="",Inputs!$D26="",Inputs!$E26=""),0,Inputs!$C26*MAX(0,MIN(Inputs!$E26,N$6)-MAX(Inputs!$D26,N$5)+1)/(Inputs!$E26-Inputs!$D26+1))</f>
        <v>0.39912280701754388</v>
      </c>
      <c r="O30" s="118">
        <f>IF(OR(Inputs!$C26="",Inputs!$D26="",Inputs!$E26=""),0,Inputs!$C26*MAX(0,MIN(Inputs!$E26,O$6)-MAX(Inputs!$D26,O$5)+1)/(Inputs!$E26-Inputs!$D26+1))</f>
        <v>0.40350877192982454</v>
      </c>
      <c r="P30" s="118">
        <f>IF(OR(Inputs!$C26="",Inputs!$D26="",Inputs!$E26=""),0,Inputs!$C26*MAX(0,MIN(Inputs!$E26,P$6)-MAX(Inputs!$D26,P$5)+1)/(Inputs!$E26-Inputs!$D26+1))</f>
        <v>0.40350877192982454</v>
      </c>
      <c r="Q30" s="118">
        <f>IF(OR(Inputs!$C26="",Inputs!$D26="",Inputs!$E26=""),0,Inputs!$C26*MAX(0,MIN(Inputs!$E26,Q$6)-MAX(Inputs!$D26,Q$5)+1)/(Inputs!$E26-Inputs!$D26+1))</f>
        <v>0.39473684210526316</v>
      </c>
      <c r="R30" s="118">
        <f>IF(OR(Inputs!$C26="",Inputs!$D26="",Inputs!$E26=""),0,Inputs!$C26*MAX(0,MIN(Inputs!$E26,R$6)-MAX(Inputs!$D26,R$5)+1)/(Inputs!$E26-Inputs!$D26+1))</f>
        <v>0</v>
      </c>
      <c r="S30" s="118">
        <f>IF(OR(Inputs!$C26="",Inputs!$D26="",Inputs!$E26=""),0,Inputs!$C26*MAX(0,MIN(Inputs!$E26,S$6)-MAX(Inputs!$D26,S$5)+1)/(Inputs!$E26-Inputs!$D26+1))</f>
        <v>0</v>
      </c>
      <c r="T30" s="118">
        <f>IF(OR(Inputs!$C26="",Inputs!$D26="",Inputs!$E26=""),0,Inputs!$C26*MAX(0,MIN(Inputs!$E26,T$6)-MAX(Inputs!$D26,T$5)+1)/(Inputs!$E26-Inputs!$D26+1))</f>
        <v>0</v>
      </c>
      <c r="U30" s="118">
        <f>IF(OR(Inputs!$C26="",Inputs!$D26="",Inputs!$E26=""),0,Inputs!$C26*MAX(0,MIN(Inputs!$E26,U$6)-MAX(Inputs!$D26,U$5)+1)/(Inputs!$E26-Inputs!$D26+1))</f>
        <v>0</v>
      </c>
      <c r="V30" s="118">
        <f>IF(OR(Inputs!$C26="",Inputs!$D26="",Inputs!$E26=""),0,Inputs!$C26*MAX(0,MIN(Inputs!$E26,V$6)-MAX(Inputs!$D26,V$5)+1)/(Inputs!$E26-Inputs!$D26+1))</f>
        <v>0</v>
      </c>
      <c r="W30" s="118">
        <f>IF(OR(Inputs!$C26="",Inputs!$D26="",Inputs!$E26=""),0,Inputs!$C26*MAX(0,MIN(Inputs!$E26,W$6)-MAX(Inputs!$D26,W$5)+1)/(Inputs!$E26-Inputs!$D26+1))</f>
        <v>0</v>
      </c>
      <c r="X30" s="118">
        <f>IF(OR(Inputs!$C26="",Inputs!$D26="",Inputs!$E26=""),0,Inputs!$C26*MAX(0,MIN(Inputs!$E26,X$6)-MAX(Inputs!$D26,X$5)+1)/(Inputs!$E26-Inputs!$D26+1))</f>
        <v>0</v>
      </c>
      <c r="Y30" s="118">
        <f t="shared" si="5"/>
        <v>4</v>
      </c>
    </row>
    <row r="31" spans="1:25" x14ac:dyDescent="0.3">
      <c r="A31" s="116" t="str">
        <f>IF(Inputs!$A27="","",Inputs!$A27)</f>
        <v>AN23232-0100D</v>
      </c>
      <c r="B31" s="117">
        <f>IF(Inputs!$A27="","",Inputs!$D27)</f>
        <v>45292</v>
      </c>
      <c r="C31" s="117">
        <f>IF(Inputs!$A27="","",Inputs!$E27)</f>
        <v>45565</v>
      </c>
      <c r="D31" s="118">
        <f>IF(OR(Inputs!$C27="",Inputs!$D27="",Inputs!$E27=""),0,Inputs!$C27*MAX(0,MIN(Inputs!$E27,D$6)-MAX(Inputs!$D27,D$5)+1)/(Inputs!$E27-Inputs!$D27+1))</f>
        <v>0</v>
      </c>
      <c r="E31" s="118">
        <f>IF(OR(Inputs!$C27="",Inputs!$D27="",Inputs!$E27=""),0,Inputs!$C27*MAX(0,MIN(Inputs!$E27,E$6)-MAX(Inputs!$D27,E$5)+1)/(Inputs!$E27-Inputs!$D27+1))</f>
        <v>0.9963503649635036</v>
      </c>
      <c r="F31" s="118">
        <f>IF(OR(Inputs!$C27="",Inputs!$D27="",Inputs!$E27=""),0,Inputs!$C27*MAX(0,MIN(Inputs!$E27,F$6)-MAX(Inputs!$D27,F$5)+1)/(Inputs!$E27-Inputs!$D27+1))</f>
        <v>0.9963503649635036</v>
      </c>
      <c r="G31" s="118">
        <f>IF(OR(Inputs!$C27="",Inputs!$D27="",Inputs!$E27=""),0,Inputs!$C27*MAX(0,MIN(Inputs!$E27,G$6)-MAX(Inputs!$D27,G$5)+1)/(Inputs!$E27-Inputs!$D27+1))</f>
        <v>1.0072992700729928</v>
      </c>
      <c r="H31" s="118">
        <f>IF(OR(Inputs!$C27="",Inputs!$D27="",Inputs!$E27=""),0,Inputs!$C27*MAX(0,MIN(Inputs!$E27,H$6)-MAX(Inputs!$D27,H$5)+1)/(Inputs!$E27-Inputs!$D27+1))</f>
        <v>0</v>
      </c>
      <c r="I31" s="118">
        <f>IF(OR(Inputs!$C27="",Inputs!$D27="",Inputs!$E27=""),0,Inputs!$C27*MAX(0,MIN(Inputs!$E27,I$6)-MAX(Inputs!$D27,I$5)+1)/(Inputs!$E27-Inputs!$D27+1))</f>
        <v>0</v>
      </c>
      <c r="J31" s="118">
        <f>IF(OR(Inputs!$C27="",Inputs!$D27="",Inputs!$E27=""),0,Inputs!$C27*MAX(0,MIN(Inputs!$E27,J$6)-MAX(Inputs!$D27,J$5)+1)/(Inputs!$E27-Inputs!$D27+1))</f>
        <v>0</v>
      </c>
      <c r="K31" s="118">
        <f>IF(OR(Inputs!$C27="",Inputs!$D27="",Inputs!$E27=""),0,Inputs!$C27*MAX(0,MIN(Inputs!$E27,K$6)-MAX(Inputs!$D27,K$5)+1)/(Inputs!$E27-Inputs!$D27+1))</f>
        <v>0</v>
      </c>
      <c r="L31" s="118">
        <f>IF(OR(Inputs!$C27="",Inputs!$D27="",Inputs!$E27=""),0,Inputs!$C27*MAX(0,MIN(Inputs!$E27,L$6)-MAX(Inputs!$D27,L$5)+1)/(Inputs!$E27-Inputs!$D27+1))</f>
        <v>0</v>
      </c>
      <c r="M31" s="118">
        <f>IF(OR(Inputs!$C27="",Inputs!$D27="",Inputs!$E27=""),0,Inputs!$C27*MAX(0,MIN(Inputs!$E27,M$6)-MAX(Inputs!$D27,M$5)+1)/(Inputs!$E27-Inputs!$D27+1))</f>
        <v>0</v>
      </c>
      <c r="N31" s="118">
        <f>IF(OR(Inputs!$C27="",Inputs!$D27="",Inputs!$E27=""),0,Inputs!$C27*MAX(0,MIN(Inputs!$E27,N$6)-MAX(Inputs!$D27,N$5)+1)/(Inputs!$E27-Inputs!$D27+1))</f>
        <v>0</v>
      </c>
      <c r="O31" s="118">
        <f>IF(OR(Inputs!$C27="",Inputs!$D27="",Inputs!$E27=""),0,Inputs!$C27*MAX(0,MIN(Inputs!$E27,O$6)-MAX(Inputs!$D27,O$5)+1)/(Inputs!$E27-Inputs!$D27+1))</f>
        <v>0</v>
      </c>
      <c r="P31" s="118">
        <f>IF(OR(Inputs!$C27="",Inputs!$D27="",Inputs!$E27=""),0,Inputs!$C27*MAX(0,MIN(Inputs!$E27,P$6)-MAX(Inputs!$D27,P$5)+1)/(Inputs!$E27-Inputs!$D27+1))</f>
        <v>0</v>
      </c>
      <c r="Q31" s="118">
        <f>IF(OR(Inputs!$C27="",Inputs!$D27="",Inputs!$E27=""),0,Inputs!$C27*MAX(0,MIN(Inputs!$E27,Q$6)-MAX(Inputs!$D27,Q$5)+1)/(Inputs!$E27-Inputs!$D27+1))</f>
        <v>0</v>
      </c>
      <c r="R31" s="118">
        <f>IF(OR(Inputs!$C27="",Inputs!$D27="",Inputs!$E27=""),0,Inputs!$C27*MAX(0,MIN(Inputs!$E27,R$6)-MAX(Inputs!$D27,R$5)+1)/(Inputs!$E27-Inputs!$D27+1))</f>
        <v>0</v>
      </c>
      <c r="S31" s="118">
        <f>IF(OR(Inputs!$C27="",Inputs!$D27="",Inputs!$E27=""),0,Inputs!$C27*MAX(0,MIN(Inputs!$E27,S$6)-MAX(Inputs!$D27,S$5)+1)/(Inputs!$E27-Inputs!$D27+1))</f>
        <v>0</v>
      </c>
      <c r="T31" s="118">
        <f>IF(OR(Inputs!$C27="",Inputs!$D27="",Inputs!$E27=""),0,Inputs!$C27*MAX(0,MIN(Inputs!$E27,T$6)-MAX(Inputs!$D27,T$5)+1)/(Inputs!$E27-Inputs!$D27+1))</f>
        <v>0</v>
      </c>
      <c r="U31" s="118">
        <f>IF(OR(Inputs!$C27="",Inputs!$D27="",Inputs!$E27=""),0,Inputs!$C27*MAX(0,MIN(Inputs!$E27,U$6)-MAX(Inputs!$D27,U$5)+1)/(Inputs!$E27-Inputs!$D27+1))</f>
        <v>0</v>
      </c>
      <c r="V31" s="118">
        <f>IF(OR(Inputs!$C27="",Inputs!$D27="",Inputs!$E27=""),0,Inputs!$C27*MAX(0,MIN(Inputs!$E27,V$6)-MAX(Inputs!$D27,V$5)+1)/(Inputs!$E27-Inputs!$D27+1))</f>
        <v>0</v>
      </c>
      <c r="W31" s="118">
        <f>IF(OR(Inputs!$C27="",Inputs!$D27="",Inputs!$E27=""),0,Inputs!$C27*MAX(0,MIN(Inputs!$E27,W$6)-MAX(Inputs!$D27,W$5)+1)/(Inputs!$E27-Inputs!$D27+1))</f>
        <v>0</v>
      </c>
      <c r="X31" s="118">
        <f>IF(OR(Inputs!$C27="",Inputs!$D27="",Inputs!$E27=""),0,Inputs!$C27*MAX(0,MIN(Inputs!$E27,X$6)-MAX(Inputs!$D27,X$5)+1)/(Inputs!$E27-Inputs!$D27+1))</f>
        <v>0</v>
      </c>
      <c r="Y31" s="118">
        <f t="shared" si="5"/>
        <v>3</v>
      </c>
    </row>
    <row r="32" spans="1:25" x14ac:dyDescent="0.3">
      <c r="A32" s="116" t="str">
        <f>IF(Inputs!$A28="","",Inputs!$A28)</f>
        <v>AN23108-0100R</v>
      </c>
      <c r="B32" s="117">
        <f>IF(Inputs!$A28="","",Inputs!$D28)</f>
        <v>45689</v>
      </c>
      <c r="C32" s="117">
        <f>IF(Inputs!$A28="","",Inputs!$E28)</f>
        <v>46568</v>
      </c>
      <c r="D32" s="118">
        <f>IF(OR(Inputs!$C28="",Inputs!$D28="",Inputs!$E28=""),0,Inputs!$C28*MAX(0,MIN(Inputs!$E28,D$6)-MAX(Inputs!$D28,D$5)+1)/(Inputs!$E28-Inputs!$D28+1))</f>
        <v>0</v>
      </c>
      <c r="E32" s="118">
        <f>IF(OR(Inputs!$C28="",Inputs!$D28="",Inputs!$E28=""),0,Inputs!$C28*MAX(0,MIN(Inputs!$E28,E$6)-MAX(Inputs!$D28,E$5)+1)/(Inputs!$E28-Inputs!$D28+1))</f>
        <v>0</v>
      </c>
      <c r="F32" s="118">
        <f>IF(OR(Inputs!$C28="",Inputs!$D28="",Inputs!$E28=""),0,Inputs!$C28*MAX(0,MIN(Inputs!$E28,F$6)-MAX(Inputs!$D28,F$5)+1)/(Inputs!$E28-Inputs!$D28+1))</f>
        <v>0</v>
      </c>
      <c r="G32" s="118">
        <f>IF(OR(Inputs!$C28="",Inputs!$D28="",Inputs!$E28=""),0,Inputs!$C28*MAX(0,MIN(Inputs!$E28,G$6)-MAX(Inputs!$D28,G$5)+1)/(Inputs!$E28-Inputs!$D28+1))</f>
        <v>0</v>
      </c>
      <c r="H32" s="118">
        <f>IF(OR(Inputs!$C28="",Inputs!$D28="",Inputs!$E28=""),0,Inputs!$C28*MAX(0,MIN(Inputs!$E28,H$6)-MAX(Inputs!$D28,H$5)+1)/(Inputs!$E28-Inputs!$D28+1))</f>
        <v>0</v>
      </c>
      <c r="I32" s="118">
        <f>IF(OR(Inputs!$C28="",Inputs!$D28="",Inputs!$E28=""),0,Inputs!$C28*MAX(0,MIN(Inputs!$E28,I$6)-MAX(Inputs!$D28,I$5)+1)/(Inputs!$E28-Inputs!$D28+1))</f>
        <v>0.13409090909090909</v>
      </c>
      <c r="J32" s="118">
        <f>IF(OR(Inputs!$C28="",Inputs!$D28="",Inputs!$E28=""),0,Inputs!$C28*MAX(0,MIN(Inputs!$E28,J$6)-MAX(Inputs!$D28,J$5)+1)/(Inputs!$E28-Inputs!$D28+1))</f>
        <v>0.20681818181818182</v>
      </c>
      <c r="K32" s="118">
        <f>IF(OR(Inputs!$C28="",Inputs!$D28="",Inputs!$E28=""),0,Inputs!$C28*MAX(0,MIN(Inputs!$E28,K$6)-MAX(Inputs!$D28,K$5)+1)/(Inputs!$E28-Inputs!$D28+1))</f>
        <v>0.20909090909090908</v>
      </c>
      <c r="L32" s="118">
        <f>IF(OR(Inputs!$C28="",Inputs!$D28="",Inputs!$E28=""),0,Inputs!$C28*MAX(0,MIN(Inputs!$E28,L$6)-MAX(Inputs!$D28,L$5)+1)/(Inputs!$E28-Inputs!$D28+1))</f>
        <v>0.20909090909090908</v>
      </c>
      <c r="M32" s="118">
        <f>IF(OR(Inputs!$C28="",Inputs!$D28="",Inputs!$E28=""),0,Inputs!$C28*MAX(0,MIN(Inputs!$E28,M$6)-MAX(Inputs!$D28,M$5)+1)/(Inputs!$E28-Inputs!$D28+1))</f>
        <v>0.20454545454545456</v>
      </c>
      <c r="N32" s="118">
        <f>IF(OR(Inputs!$C28="",Inputs!$D28="",Inputs!$E28=""),0,Inputs!$C28*MAX(0,MIN(Inputs!$E28,N$6)-MAX(Inputs!$D28,N$5)+1)/(Inputs!$E28-Inputs!$D28+1))</f>
        <v>0.20681818181818182</v>
      </c>
      <c r="O32" s="118">
        <f>IF(OR(Inputs!$C28="",Inputs!$D28="",Inputs!$E28=""),0,Inputs!$C28*MAX(0,MIN(Inputs!$E28,O$6)-MAX(Inputs!$D28,O$5)+1)/(Inputs!$E28-Inputs!$D28+1))</f>
        <v>0.20909090909090908</v>
      </c>
      <c r="P32" s="118">
        <f>IF(OR(Inputs!$C28="",Inputs!$D28="",Inputs!$E28=""),0,Inputs!$C28*MAX(0,MIN(Inputs!$E28,P$6)-MAX(Inputs!$D28,P$5)+1)/(Inputs!$E28-Inputs!$D28+1))</f>
        <v>0.20909090909090908</v>
      </c>
      <c r="Q32" s="118">
        <f>IF(OR(Inputs!$C28="",Inputs!$D28="",Inputs!$E28=""),0,Inputs!$C28*MAX(0,MIN(Inputs!$E28,Q$6)-MAX(Inputs!$D28,Q$5)+1)/(Inputs!$E28-Inputs!$D28+1))</f>
        <v>0.20454545454545456</v>
      </c>
      <c r="R32" s="118">
        <f>IF(OR(Inputs!$C28="",Inputs!$D28="",Inputs!$E28=""),0,Inputs!$C28*MAX(0,MIN(Inputs!$E28,R$6)-MAX(Inputs!$D28,R$5)+1)/(Inputs!$E28-Inputs!$D28+1))</f>
        <v>0.20681818181818182</v>
      </c>
      <c r="S32" s="118">
        <f>IF(OR(Inputs!$C28="",Inputs!$D28="",Inputs!$E28=""),0,Inputs!$C28*MAX(0,MIN(Inputs!$E28,S$6)-MAX(Inputs!$D28,S$5)+1)/(Inputs!$E28-Inputs!$D28+1))</f>
        <v>0</v>
      </c>
      <c r="T32" s="118">
        <f>IF(OR(Inputs!$C28="",Inputs!$D28="",Inputs!$E28=""),0,Inputs!$C28*MAX(0,MIN(Inputs!$E28,T$6)-MAX(Inputs!$D28,T$5)+1)/(Inputs!$E28-Inputs!$D28+1))</f>
        <v>0</v>
      </c>
      <c r="U32" s="118">
        <f>IF(OR(Inputs!$C28="",Inputs!$D28="",Inputs!$E28=""),0,Inputs!$C28*MAX(0,MIN(Inputs!$E28,U$6)-MAX(Inputs!$D28,U$5)+1)/(Inputs!$E28-Inputs!$D28+1))</f>
        <v>0</v>
      </c>
      <c r="V32" s="118">
        <f>IF(OR(Inputs!$C28="",Inputs!$D28="",Inputs!$E28=""),0,Inputs!$C28*MAX(0,MIN(Inputs!$E28,V$6)-MAX(Inputs!$D28,V$5)+1)/(Inputs!$E28-Inputs!$D28+1))</f>
        <v>0</v>
      </c>
      <c r="W32" s="118">
        <f>IF(OR(Inputs!$C28="",Inputs!$D28="",Inputs!$E28=""),0,Inputs!$C28*MAX(0,MIN(Inputs!$E28,W$6)-MAX(Inputs!$D28,W$5)+1)/(Inputs!$E28-Inputs!$D28+1))</f>
        <v>0</v>
      </c>
      <c r="X32" s="118">
        <f>IF(OR(Inputs!$C28="",Inputs!$D28="",Inputs!$E28=""),0,Inputs!$C28*MAX(0,MIN(Inputs!$E28,X$6)-MAX(Inputs!$D28,X$5)+1)/(Inputs!$E28-Inputs!$D28+1))</f>
        <v>0</v>
      </c>
      <c r="Y32" s="118">
        <f t="shared" si="5"/>
        <v>2</v>
      </c>
    </row>
    <row r="33" spans="1:25" ht="19.95" customHeight="1" x14ac:dyDescent="0.3">
      <c r="A33" s="116" t="str">
        <f>IF(Inputs!$A29="","",Inputs!$A29)</f>
        <v>TA24246-0200R</v>
      </c>
      <c r="B33" s="117">
        <f>IF(Inputs!$A29="","",Inputs!$D29)</f>
        <v>45689</v>
      </c>
      <c r="C33" s="117">
        <f>IF(Inputs!$A29="","",Inputs!$E29)</f>
        <v>46568</v>
      </c>
      <c r="D33" s="118">
        <f>IF(OR(Inputs!$C29="",Inputs!$D29="",Inputs!$E29=""),0,Inputs!$C29*MAX(0,MIN(Inputs!$E29,D$6)-MAX(Inputs!$D29,D$5)+1)/(Inputs!$E29-Inputs!$D29+1))</f>
        <v>0</v>
      </c>
      <c r="E33" s="118">
        <f>IF(OR(Inputs!$C29="",Inputs!$D29="",Inputs!$E29=""),0,Inputs!$C29*MAX(0,MIN(Inputs!$E29,E$6)-MAX(Inputs!$D29,E$5)+1)/(Inputs!$E29-Inputs!$D29+1))</f>
        <v>0</v>
      </c>
      <c r="F33" s="118">
        <f>IF(OR(Inputs!$C29="",Inputs!$D29="",Inputs!$E29=""),0,Inputs!$C29*MAX(0,MIN(Inputs!$E29,F$6)-MAX(Inputs!$D29,F$5)+1)/(Inputs!$E29-Inputs!$D29+1))</f>
        <v>0</v>
      </c>
      <c r="G33" s="118">
        <f>IF(OR(Inputs!$C29="",Inputs!$D29="",Inputs!$E29=""),0,Inputs!$C29*MAX(0,MIN(Inputs!$E29,G$6)-MAX(Inputs!$D29,G$5)+1)/(Inputs!$E29-Inputs!$D29+1))</f>
        <v>0</v>
      </c>
      <c r="H33" s="118">
        <f>IF(OR(Inputs!$C29="",Inputs!$D29="",Inputs!$E29=""),0,Inputs!$C29*MAX(0,MIN(Inputs!$E29,H$6)-MAX(Inputs!$D29,H$5)+1)/(Inputs!$E29-Inputs!$D29+1))</f>
        <v>0</v>
      </c>
      <c r="I33" s="118">
        <f>IF(OR(Inputs!$C29="",Inputs!$D29="",Inputs!$E29=""),0,Inputs!$C29*MAX(0,MIN(Inputs!$E29,I$6)-MAX(Inputs!$D29,I$5)+1)/(Inputs!$E29-Inputs!$D29+1))</f>
        <v>6.7045454545454547E-2</v>
      </c>
      <c r="J33" s="118">
        <f>IF(OR(Inputs!$C29="",Inputs!$D29="",Inputs!$E29=""),0,Inputs!$C29*MAX(0,MIN(Inputs!$E29,J$6)-MAX(Inputs!$D29,J$5)+1)/(Inputs!$E29-Inputs!$D29+1))</f>
        <v>0.10340909090909091</v>
      </c>
      <c r="K33" s="118">
        <f>IF(OR(Inputs!$C29="",Inputs!$D29="",Inputs!$E29=""),0,Inputs!$C29*MAX(0,MIN(Inputs!$E29,K$6)-MAX(Inputs!$D29,K$5)+1)/(Inputs!$E29-Inputs!$D29+1))</f>
        <v>0.10454545454545454</v>
      </c>
      <c r="L33" s="118">
        <f>IF(OR(Inputs!$C29="",Inputs!$D29="",Inputs!$E29=""),0,Inputs!$C29*MAX(0,MIN(Inputs!$E29,L$6)-MAX(Inputs!$D29,L$5)+1)/(Inputs!$E29-Inputs!$D29+1))</f>
        <v>0.10454545454545454</v>
      </c>
      <c r="M33" s="118">
        <f>IF(OR(Inputs!$C29="",Inputs!$D29="",Inputs!$E29=""),0,Inputs!$C29*MAX(0,MIN(Inputs!$E29,M$6)-MAX(Inputs!$D29,M$5)+1)/(Inputs!$E29-Inputs!$D29+1))</f>
        <v>0.10227272727272728</v>
      </c>
      <c r="N33" s="118">
        <f>IF(OR(Inputs!$C29="",Inputs!$D29="",Inputs!$E29=""),0,Inputs!$C29*MAX(0,MIN(Inputs!$E29,N$6)-MAX(Inputs!$D29,N$5)+1)/(Inputs!$E29-Inputs!$D29+1))</f>
        <v>0.10340909090909091</v>
      </c>
      <c r="O33" s="118">
        <f>IF(OR(Inputs!$C29="",Inputs!$D29="",Inputs!$E29=""),0,Inputs!$C29*MAX(0,MIN(Inputs!$E29,O$6)-MAX(Inputs!$D29,O$5)+1)/(Inputs!$E29-Inputs!$D29+1))</f>
        <v>0.10454545454545454</v>
      </c>
      <c r="P33" s="118">
        <f>IF(OR(Inputs!$C29="",Inputs!$D29="",Inputs!$E29=""),0,Inputs!$C29*MAX(0,MIN(Inputs!$E29,P$6)-MAX(Inputs!$D29,P$5)+1)/(Inputs!$E29-Inputs!$D29+1))</f>
        <v>0.10454545454545454</v>
      </c>
      <c r="Q33" s="118">
        <f>IF(OR(Inputs!$C29="",Inputs!$D29="",Inputs!$E29=""),0,Inputs!$C29*MAX(0,MIN(Inputs!$E29,Q$6)-MAX(Inputs!$D29,Q$5)+1)/(Inputs!$E29-Inputs!$D29+1))</f>
        <v>0.10227272727272728</v>
      </c>
      <c r="R33" s="118">
        <f>IF(OR(Inputs!$C29="",Inputs!$D29="",Inputs!$E29=""),0,Inputs!$C29*MAX(0,MIN(Inputs!$E29,R$6)-MAX(Inputs!$D29,R$5)+1)/(Inputs!$E29-Inputs!$D29+1))</f>
        <v>0.10340909090909091</v>
      </c>
      <c r="S33" s="118">
        <f>IF(OR(Inputs!$C29="",Inputs!$D29="",Inputs!$E29=""),0,Inputs!$C29*MAX(0,MIN(Inputs!$E29,S$6)-MAX(Inputs!$D29,S$5)+1)/(Inputs!$E29-Inputs!$D29+1))</f>
        <v>0</v>
      </c>
      <c r="T33" s="118">
        <f>IF(OR(Inputs!$C29="",Inputs!$D29="",Inputs!$E29=""),0,Inputs!$C29*MAX(0,MIN(Inputs!$E29,T$6)-MAX(Inputs!$D29,T$5)+1)/(Inputs!$E29-Inputs!$D29+1))</f>
        <v>0</v>
      </c>
      <c r="U33" s="118">
        <f>IF(OR(Inputs!$C29="",Inputs!$D29="",Inputs!$E29=""),0,Inputs!$C29*MAX(0,MIN(Inputs!$E29,U$6)-MAX(Inputs!$D29,U$5)+1)/(Inputs!$E29-Inputs!$D29+1))</f>
        <v>0</v>
      </c>
      <c r="V33" s="118">
        <f>IF(OR(Inputs!$C29="",Inputs!$D29="",Inputs!$E29=""),0,Inputs!$C29*MAX(0,MIN(Inputs!$E29,V$6)-MAX(Inputs!$D29,V$5)+1)/(Inputs!$E29-Inputs!$D29+1))</f>
        <v>0</v>
      </c>
      <c r="W33" s="118">
        <f>IF(OR(Inputs!$C29="",Inputs!$D29="",Inputs!$E29=""),0,Inputs!$C29*MAX(0,MIN(Inputs!$E29,W$6)-MAX(Inputs!$D29,W$5)+1)/(Inputs!$E29-Inputs!$D29+1))</f>
        <v>0</v>
      </c>
      <c r="X33" s="118">
        <f>IF(OR(Inputs!$C29="",Inputs!$D29="",Inputs!$E29=""),0,Inputs!$C29*MAX(0,MIN(Inputs!$E29,X$6)-MAX(Inputs!$D29,X$5)+1)/(Inputs!$E29-Inputs!$D29+1))</f>
        <v>0</v>
      </c>
      <c r="Y33" s="118">
        <f t="shared" si="5"/>
        <v>1</v>
      </c>
    </row>
    <row r="34" spans="1:25" x14ac:dyDescent="0.3">
      <c r="A34" s="116" t="str">
        <f>IF(Inputs!$A30="","",Inputs!$A30)</f>
        <v>S22058-0900D</v>
      </c>
      <c r="B34" s="117">
        <f>IF(Inputs!$A30="","",Inputs!$D30)</f>
        <v>45383</v>
      </c>
      <c r="C34" s="117">
        <f>IF(Inputs!$A30="","",Inputs!$E30)</f>
        <v>45565</v>
      </c>
      <c r="D34" s="118">
        <f>IF(OR(Inputs!$C30="",Inputs!$D30="",Inputs!$E30=""),0,Inputs!$C30*MAX(0,MIN(Inputs!$E30,D$6)-MAX(Inputs!$D30,D$5)+1)/(Inputs!$E30-Inputs!$D30+1))</f>
        <v>0</v>
      </c>
      <c r="E34" s="118">
        <f>IF(OR(Inputs!$C30="",Inputs!$D30="",Inputs!$E30=""),0,Inputs!$C30*MAX(0,MIN(Inputs!$E30,E$6)-MAX(Inputs!$D30,E$5)+1)/(Inputs!$E30-Inputs!$D30+1))</f>
        <v>0</v>
      </c>
      <c r="F34" s="118">
        <f>IF(OR(Inputs!$C30="",Inputs!$D30="",Inputs!$E30=""),0,Inputs!$C30*MAX(0,MIN(Inputs!$E30,F$6)-MAX(Inputs!$D30,F$5)+1)/(Inputs!$E30-Inputs!$D30+1))</f>
        <v>0.12431693989071038</v>
      </c>
      <c r="G34" s="118">
        <f>IF(OR(Inputs!$C30="",Inputs!$D30="",Inputs!$E30=""),0,Inputs!$C30*MAX(0,MIN(Inputs!$E30,G$6)-MAX(Inputs!$D30,G$5)+1)/(Inputs!$E30-Inputs!$D30+1))</f>
        <v>0.12568306010928962</v>
      </c>
      <c r="H34" s="118">
        <f>IF(OR(Inputs!$C30="",Inputs!$D30="",Inputs!$E30=""),0,Inputs!$C30*MAX(0,MIN(Inputs!$E30,H$6)-MAX(Inputs!$D30,H$5)+1)/(Inputs!$E30-Inputs!$D30+1))</f>
        <v>0</v>
      </c>
      <c r="I34" s="118">
        <f>IF(OR(Inputs!$C30="",Inputs!$D30="",Inputs!$E30=""),0,Inputs!$C30*MAX(0,MIN(Inputs!$E30,I$6)-MAX(Inputs!$D30,I$5)+1)/(Inputs!$E30-Inputs!$D30+1))</f>
        <v>0</v>
      </c>
      <c r="J34" s="118">
        <f>IF(OR(Inputs!$C30="",Inputs!$D30="",Inputs!$E30=""),0,Inputs!$C30*MAX(0,MIN(Inputs!$E30,J$6)-MAX(Inputs!$D30,J$5)+1)/(Inputs!$E30-Inputs!$D30+1))</f>
        <v>0</v>
      </c>
      <c r="K34" s="118">
        <f>IF(OR(Inputs!$C30="",Inputs!$D30="",Inputs!$E30=""),0,Inputs!$C30*MAX(0,MIN(Inputs!$E30,K$6)-MAX(Inputs!$D30,K$5)+1)/(Inputs!$E30-Inputs!$D30+1))</f>
        <v>0</v>
      </c>
      <c r="L34" s="118">
        <f>IF(OR(Inputs!$C30="",Inputs!$D30="",Inputs!$E30=""),0,Inputs!$C30*MAX(0,MIN(Inputs!$E30,L$6)-MAX(Inputs!$D30,L$5)+1)/(Inputs!$E30-Inputs!$D30+1))</f>
        <v>0</v>
      </c>
      <c r="M34" s="118">
        <f>IF(OR(Inputs!$C30="",Inputs!$D30="",Inputs!$E30=""),0,Inputs!$C30*MAX(0,MIN(Inputs!$E30,M$6)-MAX(Inputs!$D30,M$5)+1)/(Inputs!$E30-Inputs!$D30+1))</f>
        <v>0</v>
      </c>
      <c r="N34" s="118">
        <f>IF(OR(Inputs!$C30="",Inputs!$D30="",Inputs!$E30=""),0,Inputs!$C30*MAX(0,MIN(Inputs!$E30,N$6)-MAX(Inputs!$D30,N$5)+1)/(Inputs!$E30-Inputs!$D30+1))</f>
        <v>0</v>
      </c>
      <c r="O34" s="118">
        <f>IF(OR(Inputs!$C30="",Inputs!$D30="",Inputs!$E30=""),0,Inputs!$C30*MAX(0,MIN(Inputs!$E30,O$6)-MAX(Inputs!$D30,O$5)+1)/(Inputs!$E30-Inputs!$D30+1))</f>
        <v>0</v>
      </c>
      <c r="P34" s="118">
        <f>IF(OR(Inputs!$C30="",Inputs!$D30="",Inputs!$E30=""),0,Inputs!$C30*MAX(0,MIN(Inputs!$E30,P$6)-MAX(Inputs!$D30,P$5)+1)/(Inputs!$E30-Inputs!$D30+1))</f>
        <v>0</v>
      </c>
      <c r="Q34" s="118">
        <f>IF(OR(Inputs!$C30="",Inputs!$D30="",Inputs!$E30=""),0,Inputs!$C30*MAX(0,MIN(Inputs!$E30,Q$6)-MAX(Inputs!$D30,Q$5)+1)/(Inputs!$E30-Inputs!$D30+1))</f>
        <v>0</v>
      </c>
      <c r="R34" s="118">
        <f>IF(OR(Inputs!$C30="",Inputs!$D30="",Inputs!$E30=""),0,Inputs!$C30*MAX(0,MIN(Inputs!$E30,R$6)-MAX(Inputs!$D30,R$5)+1)/(Inputs!$E30-Inputs!$D30+1))</f>
        <v>0</v>
      </c>
      <c r="S34" s="118">
        <f>IF(OR(Inputs!$C30="",Inputs!$D30="",Inputs!$E30=""),0,Inputs!$C30*MAX(0,MIN(Inputs!$E30,S$6)-MAX(Inputs!$D30,S$5)+1)/(Inputs!$E30-Inputs!$D30+1))</f>
        <v>0</v>
      </c>
      <c r="T34" s="118">
        <f>IF(OR(Inputs!$C30="",Inputs!$D30="",Inputs!$E30=""),0,Inputs!$C30*MAX(0,MIN(Inputs!$E30,T$6)-MAX(Inputs!$D30,T$5)+1)/(Inputs!$E30-Inputs!$D30+1))</f>
        <v>0</v>
      </c>
      <c r="U34" s="118">
        <f>IF(OR(Inputs!$C30="",Inputs!$D30="",Inputs!$E30=""),0,Inputs!$C30*MAX(0,MIN(Inputs!$E30,U$6)-MAX(Inputs!$D30,U$5)+1)/(Inputs!$E30-Inputs!$D30+1))</f>
        <v>0</v>
      </c>
      <c r="V34" s="118">
        <f>IF(OR(Inputs!$C30="",Inputs!$D30="",Inputs!$E30=""),0,Inputs!$C30*MAX(0,MIN(Inputs!$E30,V$6)-MAX(Inputs!$D30,V$5)+1)/(Inputs!$E30-Inputs!$D30+1))</f>
        <v>0</v>
      </c>
      <c r="W34" s="118">
        <f>IF(OR(Inputs!$C30="",Inputs!$D30="",Inputs!$E30=""),0,Inputs!$C30*MAX(0,MIN(Inputs!$E30,W$6)-MAX(Inputs!$D30,W$5)+1)/(Inputs!$E30-Inputs!$D30+1))</f>
        <v>0</v>
      </c>
      <c r="X34" s="118">
        <f>IF(OR(Inputs!$C30="",Inputs!$D30="",Inputs!$E30=""),0,Inputs!$C30*MAX(0,MIN(Inputs!$E30,X$6)-MAX(Inputs!$D30,X$5)+1)/(Inputs!$E30-Inputs!$D30+1))</f>
        <v>0</v>
      </c>
      <c r="Y34" s="118">
        <f t="shared" si="5"/>
        <v>0.25</v>
      </c>
    </row>
    <row r="35" spans="1:25" x14ac:dyDescent="0.3">
      <c r="A35" s="116" t="str">
        <f>IF(Inputs!$A31="","",Inputs!$A31)</f>
        <v>S22058-0400D</v>
      </c>
      <c r="B35" s="117">
        <f>IF(Inputs!$A31="","",Inputs!$D31)</f>
        <v>45292</v>
      </c>
      <c r="C35" s="117">
        <f>IF(Inputs!$A31="","",Inputs!$E31)</f>
        <v>45382</v>
      </c>
      <c r="D35" s="118">
        <f>IF(OR(Inputs!$C31="",Inputs!$D31="",Inputs!$E31=""),0,Inputs!$C31*MAX(0,MIN(Inputs!$E31,D$6)-MAX(Inputs!$D31,D$5)+1)/(Inputs!$E31-Inputs!$D31+1))</f>
        <v>0</v>
      </c>
      <c r="E35" s="118">
        <f>IF(OR(Inputs!$C31="",Inputs!$D31="",Inputs!$E31=""),0,Inputs!$C31*MAX(0,MIN(Inputs!$E31,E$6)-MAX(Inputs!$D31,E$5)+1)/(Inputs!$E31-Inputs!$D31+1))</f>
        <v>0.5</v>
      </c>
      <c r="F35" s="118">
        <f>IF(OR(Inputs!$C31="",Inputs!$D31="",Inputs!$E31=""),0,Inputs!$C31*MAX(0,MIN(Inputs!$E31,F$6)-MAX(Inputs!$D31,F$5)+1)/(Inputs!$E31-Inputs!$D31+1))</f>
        <v>0</v>
      </c>
      <c r="G35" s="118">
        <f>IF(OR(Inputs!$C31="",Inputs!$D31="",Inputs!$E31=""),0,Inputs!$C31*MAX(0,MIN(Inputs!$E31,G$6)-MAX(Inputs!$D31,G$5)+1)/(Inputs!$E31-Inputs!$D31+1))</f>
        <v>0</v>
      </c>
      <c r="H35" s="118">
        <f>IF(OR(Inputs!$C31="",Inputs!$D31="",Inputs!$E31=""),0,Inputs!$C31*MAX(0,MIN(Inputs!$E31,H$6)-MAX(Inputs!$D31,H$5)+1)/(Inputs!$E31-Inputs!$D31+1))</f>
        <v>0</v>
      </c>
      <c r="I35" s="118">
        <f>IF(OR(Inputs!$C31="",Inputs!$D31="",Inputs!$E31=""),0,Inputs!$C31*MAX(0,MIN(Inputs!$E31,I$6)-MAX(Inputs!$D31,I$5)+1)/(Inputs!$E31-Inputs!$D31+1))</f>
        <v>0</v>
      </c>
      <c r="J35" s="118">
        <f>IF(OR(Inputs!$C31="",Inputs!$D31="",Inputs!$E31=""),0,Inputs!$C31*MAX(0,MIN(Inputs!$E31,J$6)-MAX(Inputs!$D31,J$5)+1)/(Inputs!$E31-Inputs!$D31+1))</f>
        <v>0</v>
      </c>
      <c r="K35" s="118">
        <f>IF(OR(Inputs!$C31="",Inputs!$D31="",Inputs!$E31=""),0,Inputs!$C31*MAX(0,MIN(Inputs!$E31,K$6)-MAX(Inputs!$D31,K$5)+1)/(Inputs!$E31-Inputs!$D31+1))</f>
        <v>0</v>
      </c>
      <c r="L35" s="118">
        <f>IF(OR(Inputs!$C31="",Inputs!$D31="",Inputs!$E31=""),0,Inputs!$C31*MAX(0,MIN(Inputs!$E31,L$6)-MAX(Inputs!$D31,L$5)+1)/(Inputs!$E31-Inputs!$D31+1))</f>
        <v>0</v>
      </c>
      <c r="M35" s="118">
        <f>IF(OR(Inputs!$C31="",Inputs!$D31="",Inputs!$E31=""),0,Inputs!$C31*MAX(0,MIN(Inputs!$E31,M$6)-MAX(Inputs!$D31,M$5)+1)/(Inputs!$E31-Inputs!$D31+1))</f>
        <v>0</v>
      </c>
      <c r="N35" s="118">
        <f>IF(OR(Inputs!$C31="",Inputs!$D31="",Inputs!$E31=""),0,Inputs!$C31*MAX(0,MIN(Inputs!$E31,N$6)-MAX(Inputs!$D31,N$5)+1)/(Inputs!$E31-Inputs!$D31+1))</f>
        <v>0</v>
      </c>
      <c r="O35" s="118">
        <f>IF(OR(Inputs!$C31="",Inputs!$D31="",Inputs!$E31=""),0,Inputs!$C31*MAX(0,MIN(Inputs!$E31,O$6)-MAX(Inputs!$D31,O$5)+1)/(Inputs!$E31-Inputs!$D31+1))</f>
        <v>0</v>
      </c>
      <c r="P35" s="118">
        <f>IF(OR(Inputs!$C31="",Inputs!$D31="",Inputs!$E31=""),0,Inputs!$C31*MAX(0,MIN(Inputs!$E31,P$6)-MAX(Inputs!$D31,P$5)+1)/(Inputs!$E31-Inputs!$D31+1))</f>
        <v>0</v>
      </c>
      <c r="Q35" s="118">
        <f>IF(OR(Inputs!$C31="",Inputs!$D31="",Inputs!$E31=""),0,Inputs!$C31*MAX(0,MIN(Inputs!$E31,Q$6)-MAX(Inputs!$D31,Q$5)+1)/(Inputs!$E31-Inputs!$D31+1))</f>
        <v>0</v>
      </c>
      <c r="R35" s="118">
        <f>IF(OR(Inputs!$C31="",Inputs!$D31="",Inputs!$E31=""),0,Inputs!$C31*MAX(0,MIN(Inputs!$E31,R$6)-MAX(Inputs!$D31,R$5)+1)/(Inputs!$E31-Inputs!$D31+1))</f>
        <v>0</v>
      </c>
      <c r="S35" s="118">
        <f>IF(OR(Inputs!$C31="",Inputs!$D31="",Inputs!$E31=""),0,Inputs!$C31*MAX(0,MIN(Inputs!$E31,S$6)-MAX(Inputs!$D31,S$5)+1)/(Inputs!$E31-Inputs!$D31+1))</f>
        <v>0</v>
      </c>
      <c r="T35" s="118">
        <f>IF(OR(Inputs!$C31="",Inputs!$D31="",Inputs!$E31=""),0,Inputs!$C31*MAX(0,MIN(Inputs!$E31,T$6)-MAX(Inputs!$D31,T$5)+1)/(Inputs!$E31-Inputs!$D31+1))</f>
        <v>0</v>
      </c>
      <c r="U35" s="118">
        <f>IF(OR(Inputs!$C31="",Inputs!$D31="",Inputs!$E31=""),0,Inputs!$C31*MAX(0,MIN(Inputs!$E31,U$6)-MAX(Inputs!$D31,U$5)+1)/(Inputs!$E31-Inputs!$D31+1))</f>
        <v>0</v>
      </c>
      <c r="V35" s="118">
        <f>IF(OR(Inputs!$C31="",Inputs!$D31="",Inputs!$E31=""),0,Inputs!$C31*MAX(0,MIN(Inputs!$E31,V$6)-MAX(Inputs!$D31,V$5)+1)/(Inputs!$E31-Inputs!$D31+1))</f>
        <v>0</v>
      </c>
      <c r="W35" s="118">
        <f>IF(OR(Inputs!$C31="",Inputs!$D31="",Inputs!$E31=""),0,Inputs!$C31*MAX(0,MIN(Inputs!$E31,W$6)-MAX(Inputs!$D31,W$5)+1)/(Inputs!$E31-Inputs!$D31+1))</f>
        <v>0</v>
      </c>
      <c r="X35" s="118">
        <f>IF(OR(Inputs!$C31="",Inputs!$D31="",Inputs!$E31=""),0,Inputs!$C31*MAX(0,MIN(Inputs!$E31,X$6)-MAX(Inputs!$D31,X$5)+1)/(Inputs!$E31-Inputs!$D31+1))</f>
        <v>0</v>
      </c>
      <c r="Y35" s="118">
        <f t="shared" si="5"/>
        <v>0.5</v>
      </c>
    </row>
    <row r="36" spans="1:25" x14ac:dyDescent="0.3">
      <c r="A36" s="116" t="str">
        <f>IF(Inputs!$A32="","",Inputs!$A32)</f>
        <v>Proposals 25</v>
      </c>
      <c r="B36" s="117">
        <f>IF(Inputs!$A32="","",Inputs!$D32)</f>
        <v>45658</v>
      </c>
      <c r="C36" s="117">
        <f>IF(Inputs!$A32="","",Inputs!$E32)</f>
        <v>46022</v>
      </c>
      <c r="D36" s="118">
        <f>IF(OR(Inputs!$C32="",Inputs!$D32="",Inputs!$E32=""),0,Inputs!$C32*MAX(0,MIN(Inputs!$E32,D$6)-MAX(Inputs!$D32,D$5)+1)/(Inputs!$E32-Inputs!$D32+1))</f>
        <v>0</v>
      </c>
      <c r="E36" s="118">
        <f>IF(OR(Inputs!$C32="",Inputs!$D32="",Inputs!$E32=""),0,Inputs!$C32*MAX(0,MIN(Inputs!$E32,E$6)-MAX(Inputs!$D32,E$5)+1)/(Inputs!$E32-Inputs!$D32+1))</f>
        <v>0</v>
      </c>
      <c r="F36" s="118">
        <f>IF(OR(Inputs!$C32="",Inputs!$D32="",Inputs!$E32=""),0,Inputs!$C32*MAX(0,MIN(Inputs!$E32,F$6)-MAX(Inputs!$D32,F$5)+1)/(Inputs!$E32-Inputs!$D32+1))</f>
        <v>0</v>
      </c>
      <c r="G36" s="118">
        <f>IF(OR(Inputs!$C32="",Inputs!$D32="",Inputs!$E32=""),0,Inputs!$C32*MAX(0,MIN(Inputs!$E32,G$6)-MAX(Inputs!$D32,G$5)+1)/(Inputs!$E32-Inputs!$D32+1))</f>
        <v>0</v>
      </c>
      <c r="H36" s="118">
        <f>IF(OR(Inputs!$C32="",Inputs!$D32="",Inputs!$E32=""),0,Inputs!$C32*MAX(0,MIN(Inputs!$E32,H$6)-MAX(Inputs!$D32,H$5)+1)/(Inputs!$E32-Inputs!$D32+1))</f>
        <v>0</v>
      </c>
      <c r="I36" s="118">
        <f>IF(OR(Inputs!$C32="",Inputs!$D32="",Inputs!$E32=""),0,Inputs!$C32*MAX(0,MIN(Inputs!$E32,I$6)-MAX(Inputs!$D32,I$5)+1)/(Inputs!$E32-Inputs!$D32+1))</f>
        <v>0.46849315068493153</v>
      </c>
      <c r="J36" s="118">
        <f>IF(OR(Inputs!$C32="",Inputs!$D32="",Inputs!$E32=""),0,Inputs!$C32*MAX(0,MIN(Inputs!$E32,J$6)-MAX(Inputs!$D32,J$5)+1)/(Inputs!$E32-Inputs!$D32+1))</f>
        <v>0.47369863013698632</v>
      </c>
      <c r="K36" s="118">
        <f>IF(OR(Inputs!$C32="",Inputs!$D32="",Inputs!$E32=""),0,Inputs!$C32*MAX(0,MIN(Inputs!$E32,K$6)-MAX(Inputs!$D32,K$5)+1)/(Inputs!$E32-Inputs!$D32+1))</f>
        <v>0.47890410958904106</v>
      </c>
      <c r="L36" s="118">
        <f>IF(OR(Inputs!$C32="",Inputs!$D32="",Inputs!$E32=""),0,Inputs!$C32*MAX(0,MIN(Inputs!$E32,L$6)-MAX(Inputs!$D32,L$5)+1)/(Inputs!$E32-Inputs!$D32+1))</f>
        <v>0.47890410958904106</v>
      </c>
      <c r="M36" s="118">
        <f>IF(OR(Inputs!$C32="",Inputs!$D32="",Inputs!$E32=""),0,Inputs!$C32*MAX(0,MIN(Inputs!$E32,M$6)-MAX(Inputs!$D32,M$5)+1)/(Inputs!$E32-Inputs!$D32+1))</f>
        <v>0</v>
      </c>
      <c r="N36" s="118">
        <f>IF(OR(Inputs!$C32="",Inputs!$D32="",Inputs!$E32=""),0,Inputs!$C32*MAX(0,MIN(Inputs!$E32,N$6)-MAX(Inputs!$D32,N$5)+1)/(Inputs!$E32-Inputs!$D32+1))</f>
        <v>0</v>
      </c>
      <c r="O36" s="118">
        <f>IF(OR(Inputs!$C32="",Inputs!$D32="",Inputs!$E32=""),0,Inputs!$C32*MAX(0,MIN(Inputs!$E32,O$6)-MAX(Inputs!$D32,O$5)+1)/(Inputs!$E32-Inputs!$D32+1))</f>
        <v>0</v>
      </c>
      <c r="P36" s="118">
        <f>IF(OR(Inputs!$C32="",Inputs!$D32="",Inputs!$E32=""),0,Inputs!$C32*MAX(0,MIN(Inputs!$E32,P$6)-MAX(Inputs!$D32,P$5)+1)/(Inputs!$E32-Inputs!$D32+1))</f>
        <v>0</v>
      </c>
      <c r="Q36" s="118">
        <f>IF(OR(Inputs!$C32="",Inputs!$D32="",Inputs!$E32=""),0,Inputs!$C32*MAX(0,MIN(Inputs!$E32,Q$6)-MAX(Inputs!$D32,Q$5)+1)/(Inputs!$E32-Inputs!$D32+1))</f>
        <v>0</v>
      </c>
      <c r="R36" s="118">
        <f>IF(OR(Inputs!$C32="",Inputs!$D32="",Inputs!$E32=""),0,Inputs!$C32*MAX(0,MIN(Inputs!$E32,R$6)-MAX(Inputs!$D32,R$5)+1)/(Inputs!$E32-Inputs!$D32+1))</f>
        <v>0</v>
      </c>
      <c r="S36" s="118">
        <f>IF(OR(Inputs!$C32="",Inputs!$D32="",Inputs!$E32=""),0,Inputs!$C32*MAX(0,MIN(Inputs!$E32,S$6)-MAX(Inputs!$D32,S$5)+1)/(Inputs!$E32-Inputs!$D32+1))</f>
        <v>0</v>
      </c>
      <c r="T36" s="118">
        <f>IF(OR(Inputs!$C32="",Inputs!$D32="",Inputs!$E32=""),0,Inputs!$C32*MAX(0,MIN(Inputs!$E32,T$6)-MAX(Inputs!$D32,T$5)+1)/(Inputs!$E32-Inputs!$D32+1))</f>
        <v>0</v>
      </c>
      <c r="U36" s="118">
        <f>IF(OR(Inputs!$C32="",Inputs!$D32="",Inputs!$E32=""),0,Inputs!$C32*MAX(0,MIN(Inputs!$E32,U$6)-MAX(Inputs!$D32,U$5)+1)/(Inputs!$E32-Inputs!$D32+1))</f>
        <v>0</v>
      </c>
      <c r="V36" s="118">
        <f>IF(OR(Inputs!$C32="",Inputs!$D32="",Inputs!$E32=""),0,Inputs!$C32*MAX(0,MIN(Inputs!$E32,V$6)-MAX(Inputs!$D32,V$5)+1)/(Inputs!$E32-Inputs!$D32+1))</f>
        <v>0</v>
      </c>
      <c r="W36" s="118">
        <f>IF(OR(Inputs!$C32="",Inputs!$D32="",Inputs!$E32=""),0,Inputs!$C32*MAX(0,MIN(Inputs!$E32,W$6)-MAX(Inputs!$D32,W$5)+1)/(Inputs!$E32-Inputs!$D32+1))</f>
        <v>0</v>
      </c>
      <c r="X36" s="118">
        <f>IF(OR(Inputs!$C32="",Inputs!$D32="",Inputs!$E32=""),0,Inputs!$C32*MAX(0,MIN(Inputs!$E32,X$6)-MAX(Inputs!$D32,X$5)+1)/(Inputs!$E32-Inputs!$D32+1))</f>
        <v>0</v>
      </c>
      <c r="Y36" s="118">
        <f t="shared" si="5"/>
        <v>1.9</v>
      </c>
    </row>
    <row r="37" spans="1:25" x14ac:dyDescent="0.3">
      <c r="A37" s="116" t="str">
        <f>IF(Inputs!$A33="","",Inputs!$A33)</f>
        <v>Chargable Proposals 25</v>
      </c>
      <c r="B37" s="117">
        <f>IF(Inputs!$A33="","",Inputs!$D33)</f>
        <v>45839</v>
      </c>
      <c r="C37" s="117">
        <f>IF(Inputs!$A33="","",Inputs!$E33)</f>
        <v>45930</v>
      </c>
      <c r="D37" s="118">
        <f>IF(OR(Inputs!$C33="",Inputs!$D33="",Inputs!$E33=""),0,Inputs!$C33*MAX(0,MIN(Inputs!$E33,D$6)-MAX(Inputs!$D33,D$5)+1)/(Inputs!$E33-Inputs!$D33+1))</f>
        <v>0</v>
      </c>
      <c r="E37" s="118">
        <f>IF(OR(Inputs!$C33="",Inputs!$D33="",Inputs!$E33=""),0,Inputs!$C33*MAX(0,MIN(Inputs!$E33,E$6)-MAX(Inputs!$D33,E$5)+1)/(Inputs!$E33-Inputs!$D33+1))</f>
        <v>0</v>
      </c>
      <c r="F37" s="118">
        <f>IF(OR(Inputs!$C33="",Inputs!$D33="",Inputs!$E33=""),0,Inputs!$C33*MAX(0,MIN(Inputs!$E33,F$6)-MAX(Inputs!$D33,F$5)+1)/(Inputs!$E33-Inputs!$D33+1))</f>
        <v>0</v>
      </c>
      <c r="G37" s="118">
        <f>IF(OR(Inputs!$C33="",Inputs!$D33="",Inputs!$E33=""),0,Inputs!$C33*MAX(0,MIN(Inputs!$E33,G$6)-MAX(Inputs!$D33,G$5)+1)/(Inputs!$E33-Inputs!$D33+1))</f>
        <v>0</v>
      </c>
      <c r="H37" s="118">
        <f>IF(OR(Inputs!$C33="",Inputs!$D33="",Inputs!$E33=""),0,Inputs!$C33*MAX(0,MIN(Inputs!$E33,H$6)-MAX(Inputs!$D33,H$5)+1)/(Inputs!$E33-Inputs!$D33+1))</f>
        <v>0</v>
      </c>
      <c r="I37" s="118">
        <f>IF(OR(Inputs!$C33="",Inputs!$D33="",Inputs!$E33=""),0,Inputs!$C33*MAX(0,MIN(Inputs!$E33,I$6)-MAX(Inputs!$D33,I$5)+1)/(Inputs!$E33-Inputs!$D33+1))</f>
        <v>0</v>
      </c>
      <c r="J37" s="118">
        <f>IF(OR(Inputs!$C33="",Inputs!$D33="",Inputs!$E33=""),0,Inputs!$C33*MAX(0,MIN(Inputs!$E33,J$6)-MAX(Inputs!$D33,J$5)+1)/(Inputs!$E33-Inputs!$D33+1))</f>
        <v>0</v>
      </c>
      <c r="K37" s="118">
        <f>IF(OR(Inputs!$C33="",Inputs!$D33="",Inputs!$E33=""),0,Inputs!$C33*MAX(0,MIN(Inputs!$E33,K$6)-MAX(Inputs!$D33,K$5)+1)/(Inputs!$E33-Inputs!$D33+1))</f>
        <v>3</v>
      </c>
      <c r="L37" s="118">
        <f>IF(OR(Inputs!$C33="",Inputs!$D33="",Inputs!$E33=""),0,Inputs!$C33*MAX(0,MIN(Inputs!$E33,L$6)-MAX(Inputs!$D33,L$5)+1)/(Inputs!$E33-Inputs!$D33+1))</f>
        <v>0</v>
      </c>
      <c r="M37" s="118">
        <f>IF(OR(Inputs!$C33="",Inputs!$D33="",Inputs!$E33=""),0,Inputs!$C33*MAX(0,MIN(Inputs!$E33,M$6)-MAX(Inputs!$D33,M$5)+1)/(Inputs!$E33-Inputs!$D33+1))</f>
        <v>0</v>
      </c>
      <c r="N37" s="118">
        <f>IF(OR(Inputs!$C33="",Inputs!$D33="",Inputs!$E33=""),0,Inputs!$C33*MAX(0,MIN(Inputs!$E33,N$6)-MAX(Inputs!$D33,N$5)+1)/(Inputs!$E33-Inputs!$D33+1))</f>
        <v>0</v>
      </c>
      <c r="O37" s="118">
        <f>IF(OR(Inputs!$C33="",Inputs!$D33="",Inputs!$E33=""),0,Inputs!$C33*MAX(0,MIN(Inputs!$E33,O$6)-MAX(Inputs!$D33,O$5)+1)/(Inputs!$E33-Inputs!$D33+1))</f>
        <v>0</v>
      </c>
      <c r="P37" s="118">
        <f>IF(OR(Inputs!$C33="",Inputs!$D33="",Inputs!$E33=""),0,Inputs!$C33*MAX(0,MIN(Inputs!$E33,P$6)-MAX(Inputs!$D33,P$5)+1)/(Inputs!$E33-Inputs!$D33+1))</f>
        <v>0</v>
      </c>
      <c r="Q37" s="118">
        <f>IF(OR(Inputs!$C33="",Inputs!$D33="",Inputs!$E33=""),0,Inputs!$C33*MAX(0,MIN(Inputs!$E33,Q$6)-MAX(Inputs!$D33,Q$5)+1)/(Inputs!$E33-Inputs!$D33+1))</f>
        <v>0</v>
      </c>
      <c r="R37" s="118">
        <f>IF(OR(Inputs!$C33="",Inputs!$D33="",Inputs!$E33=""),0,Inputs!$C33*MAX(0,MIN(Inputs!$E33,R$6)-MAX(Inputs!$D33,R$5)+1)/(Inputs!$E33-Inputs!$D33+1))</f>
        <v>0</v>
      </c>
      <c r="S37" s="118">
        <f>IF(OR(Inputs!$C33="",Inputs!$D33="",Inputs!$E33=""),0,Inputs!$C33*MAX(0,MIN(Inputs!$E33,S$6)-MAX(Inputs!$D33,S$5)+1)/(Inputs!$E33-Inputs!$D33+1))</f>
        <v>0</v>
      </c>
      <c r="T37" s="118">
        <f>IF(OR(Inputs!$C33="",Inputs!$D33="",Inputs!$E33=""),0,Inputs!$C33*MAX(0,MIN(Inputs!$E33,T$6)-MAX(Inputs!$D33,T$5)+1)/(Inputs!$E33-Inputs!$D33+1))</f>
        <v>0</v>
      </c>
      <c r="U37" s="118">
        <f>IF(OR(Inputs!$C33="",Inputs!$D33="",Inputs!$E33=""),0,Inputs!$C33*MAX(0,MIN(Inputs!$E33,U$6)-MAX(Inputs!$D33,U$5)+1)/(Inputs!$E33-Inputs!$D33+1))</f>
        <v>0</v>
      </c>
      <c r="V37" s="118">
        <f>IF(OR(Inputs!$C33="",Inputs!$D33="",Inputs!$E33=""),0,Inputs!$C33*MAX(0,MIN(Inputs!$E33,V$6)-MAX(Inputs!$D33,V$5)+1)/(Inputs!$E33-Inputs!$D33+1))</f>
        <v>0</v>
      </c>
      <c r="W37" s="118">
        <f>IF(OR(Inputs!$C33="",Inputs!$D33="",Inputs!$E33=""),0,Inputs!$C33*MAX(0,MIN(Inputs!$E33,W$6)-MAX(Inputs!$D33,W$5)+1)/(Inputs!$E33-Inputs!$D33+1))</f>
        <v>0</v>
      </c>
      <c r="X37" s="118">
        <f>IF(OR(Inputs!$C33="",Inputs!$D33="",Inputs!$E33=""),0,Inputs!$C33*MAX(0,MIN(Inputs!$E33,X$6)-MAX(Inputs!$D33,X$5)+1)/(Inputs!$E33-Inputs!$D33+1))</f>
        <v>0</v>
      </c>
      <c r="Y37" s="118">
        <f t="shared" si="5"/>
        <v>3</v>
      </c>
    </row>
    <row r="38" spans="1:25" x14ac:dyDescent="0.3">
      <c r="A38" s="116" t="str">
        <f>IF(Inputs!$A34="","",Inputs!$A34)</f>
        <v>AD23051-0101D</v>
      </c>
      <c r="B38" s="117">
        <f>IF(Inputs!$A34="","",Inputs!$D34)</f>
        <v>45292</v>
      </c>
      <c r="C38" s="117">
        <f>IF(Inputs!$A34="","",Inputs!$E34)</f>
        <v>45382</v>
      </c>
      <c r="D38" s="118">
        <f>IF(OR(Inputs!$C34="",Inputs!$D34="",Inputs!$E34=""),0,Inputs!$C34*MAX(0,MIN(Inputs!$E34,D$6)-MAX(Inputs!$D34,D$5)+1)/(Inputs!$E34-Inputs!$D34+1))</f>
        <v>0</v>
      </c>
      <c r="E38" s="118">
        <f>IF(OR(Inputs!$C34="",Inputs!$D34="",Inputs!$E34=""),0,Inputs!$C34*MAX(0,MIN(Inputs!$E34,E$6)-MAX(Inputs!$D34,E$5)+1)/(Inputs!$E34-Inputs!$D34+1))</f>
        <v>0.5</v>
      </c>
      <c r="F38" s="118">
        <f>IF(OR(Inputs!$C34="",Inputs!$D34="",Inputs!$E34=""),0,Inputs!$C34*MAX(0,MIN(Inputs!$E34,F$6)-MAX(Inputs!$D34,F$5)+1)/(Inputs!$E34-Inputs!$D34+1))</f>
        <v>0</v>
      </c>
      <c r="G38" s="118">
        <f>IF(OR(Inputs!$C34="",Inputs!$D34="",Inputs!$E34=""),0,Inputs!$C34*MAX(0,MIN(Inputs!$E34,G$6)-MAX(Inputs!$D34,G$5)+1)/(Inputs!$E34-Inputs!$D34+1))</f>
        <v>0</v>
      </c>
      <c r="H38" s="118">
        <f>IF(OR(Inputs!$C34="",Inputs!$D34="",Inputs!$E34=""),0,Inputs!$C34*MAX(0,MIN(Inputs!$E34,H$6)-MAX(Inputs!$D34,H$5)+1)/(Inputs!$E34-Inputs!$D34+1))</f>
        <v>0</v>
      </c>
      <c r="I38" s="118">
        <f>IF(OR(Inputs!$C34="",Inputs!$D34="",Inputs!$E34=""),0,Inputs!$C34*MAX(0,MIN(Inputs!$E34,I$6)-MAX(Inputs!$D34,I$5)+1)/(Inputs!$E34-Inputs!$D34+1))</f>
        <v>0</v>
      </c>
      <c r="J38" s="118">
        <f>IF(OR(Inputs!$C34="",Inputs!$D34="",Inputs!$E34=""),0,Inputs!$C34*MAX(0,MIN(Inputs!$E34,J$6)-MAX(Inputs!$D34,J$5)+1)/(Inputs!$E34-Inputs!$D34+1))</f>
        <v>0</v>
      </c>
      <c r="K38" s="118">
        <f>IF(OR(Inputs!$C34="",Inputs!$D34="",Inputs!$E34=""),0,Inputs!$C34*MAX(0,MIN(Inputs!$E34,K$6)-MAX(Inputs!$D34,K$5)+1)/(Inputs!$E34-Inputs!$D34+1))</f>
        <v>0</v>
      </c>
      <c r="L38" s="118">
        <f>IF(OR(Inputs!$C34="",Inputs!$D34="",Inputs!$E34=""),0,Inputs!$C34*MAX(0,MIN(Inputs!$E34,L$6)-MAX(Inputs!$D34,L$5)+1)/(Inputs!$E34-Inputs!$D34+1))</f>
        <v>0</v>
      </c>
      <c r="M38" s="118">
        <f>IF(OR(Inputs!$C34="",Inputs!$D34="",Inputs!$E34=""),0,Inputs!$C34*MAX(0,MIN(Inputs!$E34,M$6)-MAX(Inputs!$D34,M$5)+1)/(Inputs!$E34-Inputs!$D34+1))</f>
        <v>0</v>
      </c>
      <c r="N38" s="118">
        <f>IF(OR(Inputs!$C34="",Inputs!$D34="",Inputs!$E34=""),0,Inputs!$C34*MAX(0,MIN(Inputs!$E34,N$6)-MAX(Inputs!$D34,N$5)+1)/(Inputs!$E34-Inputs!$D34+1))</f>
        <v>0</v>
      </c>
      <c r="O38" s="118">
        <f>IF(OR(Inputs!$C34="",Inputs!$D34="",Inputs!$E34=""),0,Inputs!$C34*MAX(0,MIN(Inputs!$E34,O$6)-MAX(Inputs!$D34,O$5)+1)/(Inputs!$E34-Inputs!$D34+1))</f>
        <v>0</v>
      </c>
      <c r="P38" s="118">
        <f>IF(OR(Inputs!$C34="",Inputs!$D34="",Inputs!$E34=""),0,Inputs!$C34*MAX(0,MIN(Inputs!$E34,P$6)-MAX(Inputs!$D34,P$5)+1)/(Inputs!$E34-Inputs!$D34+1))</f>
        <v>0</v>
      </c>
      <c r="Q38" s="118">
        <f>IF(OR(Inputs!$C34="",Inputs!$D34="",Inputs!$E34=""),0,Inputs!$C34*MAX(0,MIN(Inputs!$E34,Q$6)-MAX(Inputs!$D34,Q$5)+1)/(Inputs!$E34-Inputs!$D34+1))</f>
        <v>0</v>
      </c>
      <c r="R38" s="118">
        <f>IF(OR(Inputs!$C34="",Inputs!$D34="",Inputs!$E34=""),0,Inputs!$C34*MAX(0,MIN(Inputs!$E34,R$6)-MAX(Inputs!$D34,R$5)+1)/(Inputs!$E34-Inputs!$D34+1))</f>
        <v>0</v>
      </c>
      <c r="S38" s="118">
        <f>IF(OR(Inputs!$C34="",Inputs!$D34="",Inputs!$E34=""),0,Inputs!$C34*MAX(0,MIN(Inputs!$E34,S$6)-MAX(Inputs!$D34,S$5)+1)/(Inputs!$E34-Inputs!$D34+1))</f>
        <v>0</v>
      </c>
      <c r="T38" s="118">
        <f>IF(OR(Inputs!$C34="",Inputs!$D34="",Inputs!$E34=""),0,Inputs!$C34*MAX(0,MIN(Inputs!$E34,T$6)-MAX(Inputs!$D34,T$5)+1)/(Inputs!$E34-Inputs!$D34+1))</f>
        <v>0</v>
      </c>
      <c r="U38" s="118">
        <f>IF(OR(Inputs!$C34="",Inputs!$D34="",Inputs!$E34=""),0,Inputs!$C34*MAX(0,MIN(Inputs!$E34,U$6)-MAX(Inputs!$D34,U$5)+1)/(Inputs!$E34-Inputs!$D34+1))</f>
        <v>0</v>
      </c>
      <c r="V38" s="118">
        <f>IF(OR(Inputs!$C34="",Inputs!$D34="",Inputs!$E34=""),0,Inputs!$C34*MAX(0,MIN(Inputs!$E34,V$6)-MAX(Inputs!$D34,V$5)+1)/(Inputs!$E34-Inputs!$D34+1))</f>
        <v>0</v>
      </c>
      <c r="W38" s="118">
        <f>IF(OR(Inputs!$C34="",Inputs!$D34="",Inputs!$E34=""),0,Inputs!$C34*MAX(0,MIN(Inputs!$E34,W$6)-MAX(Inputs!$D34,W$5)+1)/(Inputs!$E34-Inputs!$D34+1))</f>
        <v>0</v>
      </c>
      <c r="X38" s="118">
        <f>IF(OR(Inputs!$C34="",Inputs!$D34="",Inputs!$E34=""),0,Inputs!$C34*MAX(0,MIN(Inputs!$E34,X$6)-MAX(Inputs!$D34,X$5)+1)/(Inputs!$E34-Inputs!$D34+1))</f>
        <v>0</v>
      </c>
      <c r="Y38" s="118">
        <f t="shared" si="5"/>
        <v>0.5</v>
      </c>
    </row>
    <row r="39" spans="1:25" x14ac:dyDescent="0.3">
      <c r="A39" s="116" t="str">
        <f>IF(Inputs!$A35="","",Inputs!$A35)</f>
        <v>AN21146-0100R</v>
      </c>
      <c r="B39" s="117">
        <f>IF(Inputs!$A35="","",Inputs!$D35)</f>
        <v>45352</v>
      </c>
      <c r="C39" s="117">
        <f>IF(Inputs!$A35="","",Inputs!$E35)</f>
        <v>45565</v>
      </c>
      <c r="D39" s="118">
        <f>IF(OR(Inputs!$C35="",Inputs!$D35="",Inputs!$E35=""),0,Inputs!$C35*MAX(0,MIN(Inputs!$E35,D$6)-MAX(Inputs!$D35,D$5)+1)/(Inputs!$E35-Inputs!$D35+1))</f>
        <v>0</v>
      </c>
      <c r="E39" s="118">
        <f>IF(OR(Inputs!$C35="",Inputs!$D35="",Inputs!$E35=""),0,Inputs!$C35*MAX(0,MIN(Inputs!$E35,E$6)-MAX(Inputs!$D35,E$5)+1)/(Inputs!$E35-Inputs!$D35+1))</f>
        <v>0.43457943925233644</v>
      </c>
      <c r="F39" s="118">
        <f>IF(OR(Inputs!$C35="",Inputs!$D35="",Inputs!$E35=""),0,Inputs!$C35*MAX(0,MIN(Inputs!$E35,F$6)-MAX(Inputs!$D35,F$5)+1)/(Inputs!$E35-Inputs!$D35+1))</f>
        <v>1.2757009345794392</v>
      </c>
      <c r="G39" s="118">
        <f>IF(OR(Inputs!$C35="",Inputs!$D35="",Inputs!$E35=""),0,Inputs!$C35*MAX(0,MIN(Inputs!$E35,G$6)-MAX(Inputs!$D35,G$5)+1)/(Inputs!$E35-Inputs!$D35+1))</f>
        <v>1.2897196261682242</v>
      </c>
      <c r="H39" s="118">
        <f>IF(OR(Inputs!$C35="",Inputs!$D35="",Inputs!$E35=""),0,Inputs!$C35*MAX(0,MIN(Inputs!$E35,H$6)-MAX(Inputs!$D35,H$5)+1)/(Inputs!$E35-Inputs!$D35+1))</f>
        <v>0</v>
      </c>
      <c r="I39" s="118">
        <f>IF(OR(Inputs!$C35="",Inputs!$D35="",Inputs!$E35=""),0,Inputs!$C35*MAX(0,MIN(Inputs!$E35,I$6)-MAX(Inputs!$D35,I$5)+1)/(Inputs!$E35-Inputs!$D35+1))</f>
        <v>0</v>
      </c>
      <c r="J39" s="118">
        <f>IF(OR(Inputs!$C35="",Inputs!$D35="",Inputs!$E35=""),0,Inputs!$C35*MAX(0,MIN(Inputs!$E35,J$6)-MAX(Inputs!$D35,J$5)+1)/(Inputs!$E35-Inputs!$D35+1))</f>
        <v>0</v>
      </c>
      <c r="K39" s="118">
        <f>IF(OR(Inputs!$C35="",Inputs!$D35="",Inputs!$E35=""),0,Inputs!$C35*MAX(0,MIN(Inputs!$E35,K$6)-MAX(Inputs!$D35,K$5)+1)/(Inputs!$E35-Inputs!$D35+1))</f>
        <v>0</v>
      </c>
      <c r="L39" s="118">
        <f>IF(OR(Inputs!$C35="",Inputs!$D35="",Inputs!$E35=""),0,Inputs!$C35*MAX(0,MIN(Inputs!$E35,L$6)-MAX(Inputs!$D35,L$5)+1)/(Inputs!$E35-Inputs!$D35+1))</f>
        <v>0</v>
      </c>
      <c r="M39" s="118">
        <f>IF(OR(Inputs!$C35="",Inputs!$D35="",Inputs!$E35=""),0,Inputs!$C35*MAX(0,MIN(Inputs!$E35,M$6)-MAX(Inputs!$D35,M$5)+1)/(Inputs!$E35-Inputs!$D35+1))</f>
        <v>0</v>
      </c>
      <c r="N39" s="118">
        <f>IF(OR(Inputs!$C35="",Inputs!$D35="",Inputs!$E35=""),0,Inputs!$C35*MAX(0,MIN(Inputs!$E35,N$6)-MAX(Inputs!$D35,N$5)+1)/(Inputs!$E35-Inputs!$D35+1))</f>
        <v>0</v>
      </c>
      <c r="O39" s="118">
        <f>IF(OR(Inputs!$C35="",Inputs!$D35="",Inputs!$E35=""),0,Inputs!$C35*MAX(0,MIN(Inputs!$E35,O$6)-MAX(Inputs!$D35,O$5)+1)/(Inputs!$E35-Inputs!$D35+1))</f>
        <v>0</v>
      </c>
      <c r="P39" s="118">
        <f>IF(OR(Inputs!$C35="",Inputs!$D35="",Inputs!$E35=""),0,Inputs!$C35*MAX(0,MIN(Inputs!$E35,P$6)-MAX(Inputs!$D35,P$5)+1)/(Inputs!$E35-Inputs!$D35+1))</f>
        <v>0</v>
      </c>
      <c r="Q39" s="118">
        <f>IF(OR(Inputs!$C35="",Inputs!$D35="",Inputs!$E35=""),0,Inputs!$C35*MAX(0,MIN(Inputs!$E35,Q$6)-MAX(Inputs!$D35,Q$5)+1)/(Inputs!$E35-Inputs!$D35+1))</f>
        <v>0</v>
      </c>
      <c r="R39" s="118">
        <f>IF(OR(Inputs!$C35="",Inputs!$D35="",Inputs!$E35=""),0,Inputs!$C35*MAX(0,MIN(Inputs!$E35,R$6)-MAX(Inputs!$D35,R$5)+1)/(Inputs!$E35-Inputs!$D35+1))</f>
        <v>0</v>
      </c>
      <c r="S39" s="118">
        <f>IF(OR(Inputs!$C35="",Inputs!$D35="",Inputs!$E35=""),0,Inputs!$C35*MAX(0,MIN(Inputs!$E35,S$6)-MAX(Inputs!$D35,S$5)+1)/(Inputs!$E35-Inputs!$D35+1))</f>
        <v>0</v>
      </c>
      <c r="T39" s="118">
        <f>IF(OR(Inputs!$C35="",Inputs!$D35="",Inputs!$E35=""),0,Inputs!$C35*MAX(0,MIN(Inputs!$E35,T$6)-MAX(Inputs!$D35,T$5)+1)/(Inputs!$E35-Inputs!$D35+1))</f>
        <v>0</v>
      </c>
      <c r="U39" s="118">
        <f>IF(OR(Inputs!$C35="",Inputs!$D35="",Inputs!$E35=""),0,Inputs!$C35*MAX(0,MIN(Inputs!$E35,U$6)-MAX(Inputs!$D35,U$5)+1)/(Inputs!$E35-Inputs!$D35+1))</f>
        <v>0</v>
      </c>
      <c r="V39" s="118">
        <f>IF(OR(Inputs!$C35="",Inputs!$D35="",Inputs!$E35=""),0,Inputs!$C35*MAX(0,MIN(Inputs!$E35,V$6)-MAX(Inputs!$D35,V$5)+1)/(Inputs!$E35-Inputs!$D35+1))</f>
        <v>0</v>
      </c>
      <c r="W39" s="118">
        <f>IF(OR(Inputs!$C35="",Inputs!$D35="",Inputs!$E35=""),0,Inputs!$C35*MAX(0,MIN(Inputs!$E35,W$6)-MAX(Inputs!$D35,W$5)+1)/(Inputs!$E35-Inputs!$D35+1))</f>
        <v>0</v>
      </c>
      <c r="X39" s="118">
        <f>IF(OR(Inputs!$C35="",Inputs!$D35="",Inputs!$E35=""),0,Inputs!$C35*MAX(0,MIN(Inputs!$E35,X$6)-MAX(Inputs!$D35,X$5)+1)/(Inputs!$E35-Inputs!$D35+1))</f>
        <v>0</v>
      </c>
      <c r="Y39" s="118">
        <f t="shared" si="5"/>
        <v>3</v>
      </c>
    </row>
    <row r="40" spans="1:25" x14ac:dyDescent="0.3">
      <c r="A40" s="116" t="str">
        <f>IF(Inputs!$A36="","",Inputs!$A36)</f>
        <v>N23106-0100D</v>
      </c>
      <c r="B40" s="117">
        <f>IF(Inputs!$A36="","",Inputs!$D36)</f>
        <v>45352</v>
      </c>
      <c r="C40" s="117">
        <f>IF(Inputs!$A36="","",Inputs!$E36)</f>
        <v>45565</v>
      </c>
      <c r="D40" s="118">
        <f>IF(OR(Inputs!$C36="",Inputs!$D36="",Inputs!$E36=""),0,Inputs!$C36*MAX(0,MIN(Inputs!$E36,D$6)-MAX(Inputs!$D36,D$5)+1)/(Inputs!$E36-Inputs!$D36+1))</f>
        <v>0</v>
      </c>
      <c r="E40" s="118">
        <f>IF(OR(Inputs!$C36="",Inputs!$D36="",Inputs!$E36=""),0,Inputs!$C36*MAX(0,MIN(Inputs!$E36,E$6)-MAX(Inputs!$D36,E$5)+1)/(Inputs!$E36-Inputs!$D36+1))</f>
        <v>0.72429906542056077</v>
      </c>
      <c r="F40" s="118">
        <f>IF(OR(Inputs!$C36="",Inputs!$D36="",Inputs!$E36=""),0,Inputs!$C36*MAX(0,MIN(Inputs!$E36,F$6)-MAX(Inputs!$D36,F$5)+1)/(Inputs!$E36-Inputs!$D36+1))</f>
        <v>2.1261682242990654</v>
      </c>
      <c r="G40" s="118">
        <f>IF(OR(Inputs!$C36="",Inputs!$D36="",Inputs!$E36=""),0,Inputs!$C36*MAX(0,MIN(Inputs!$E36,G$6)-MAX(Inputs!$D36,G$5)+1)/(Inputs!$E36-Inputs!$D36+1))</f>
        <v>2.1495327102803738</v>
      </c>
      <c r="H40" s="118">
        <f>IF(OR(Inputs!$C36="",Inputs!$D36="",Inputs!$E36=""),0,Inputs!$C36*MAX(0,MIN(Inputs!$E36,H$6)-MAX(Inputs!$D36,H$5)+1)/(Inputs!$E36-Inputs!$D36+1))</f>
        <v>0</v>
      </c>
      <c r="I40" s="118">
        <f>IF(OR(Inputs!$C36="",Inputs!$D36="",Inputs!$E36=""),0,Inputs!$C36*MAX(0,MIN(Inputs!$E36,I$6)-MAX(Inputs!$D36,I$5)+1)/(Inputs!$E36-Inputs!$D36+1))</f>
        <v>0</v>
      </c>
      <c r="J40" s="118">
        <f>IF(OR(Inputs!$C36="",Inputs!$D36="",Inputs!$E36=""),0,Inputs!$C36*MAX(0,MIN(Inputs!$E36,J$6)-MAX(Inputs!$D36,J$5)+1)/(Inputs!$E36-Inputs!$D36+1))</f>
        <v>0</v>
      </c>
      <c r="K40" s="118">
        <f>IF(OR(Inputs!$C36="",Inputs!$D36="",Inputs!$E36=""),0,Inputs!$C36*MAX(0,MIN(Inputs!$E36,K$6)-MAX(Inputs!$D36,K$5)+1)/(Inputs!$E36-Inputs!$D36+1))</f>
        <v>0</v>
      </c>
      <c r="L40" s="118">
        <f>IF(OR(Inputs!$C36="",Inputs!$D36="",Inputs!$E36=""),0,Inputs!$C36*MAX(0,MIN(Inputs!$E36,L$6)-MAX(Inputs!$D36,L$5)+1)/(Inputs!$E36-Inputs!$D36+1))</f>
        <v>0</v>
      </c>
      <c r="M40" s="118">
        <f>IF(OR(Inputs!$C36="",Inputs!$D36="",Inputs!$E36=""),0,Inputs!$C36*MAX(0,MIN(Inputs!$E36,M$6)-MAX(Inputs!$D36,M$5)+1)/(Inputs!$E36-Inputs!$D36+1))</f>
        <v>0</v>
      </c>
      <c r="N40" s="118">
        <f>IF(OR(Inputs!$C36="",Inputs!$D36="",Inputs!$E36=""),0,Inputs!$C36*MAX(0,MIN(Inputs!$E36,N$6)-MAX(Inputs!$D36,N$5)+1)/(Inputs!$E36-Inputs!$D36+1))</f>
        <v>0</v>
      </c>
      <c r="O40" s="118">
        <f>IF(OR(Inputs!$C36="",Inputs!$D36="",Inputs!$E36=""),0,Inputs!$C36*MAX(0,MIN(Inputs!$E36,O$6)-MAX(Inputs!$D36,O$5)+1)/(Inputs!$E36-Inputs!$D36+1))</f>
        <v>0</v>
      </c>
      <c r="P40" s="118">
        <f>IF(OR(Inputs!$C36="",Inputs!$D36="",Inputs!$E36=""),0,Inputs!$C36*MAX(0,MIN(Inputs!$E36,P$6)-MAX(Inputs!$D36,P$5)+1)/(Inputs!$E36-Inputs!$D36+1))</f>
        <v>0</v>
      </c>
      <c r="Q40" s="118">
        <f>IF(OR(Inputs!$C36="",Inputs!$D36="",Inputs!$E36=""),0,Inputs!$C36*MAX(0,MIN(Inputs!$E36,Q$6)-MAX(Inputs!$D36,Q$5)+1)/(Inputs!$E36-Inputs!$D36+1))</f>
        <v>0</v>
      </c>
      <c r="R40" s="118">
        <f>IF(OR(Inputs!$C36="",Inputs!$D36="",Inputs!$E36=""),0,Inputs!$C36*MAX(0,MIN(Inputs!$E36,R$6)-MAX(Inputs!$D36,R$5)+1)/(Inputs!$E36-Inputs!$D36+1))</f>
        <v>0</v>
      </c>
      <c r="S40" s="118">
        <f>IF(OR(Inputs!$C36="",Inputs!$D36="",Inputs!$E36=""),0,Inputs!$C36*MAX(0,MIN(Inputs!$E36,S$6)-MAX(Inputs!$D36,S$5)+1)/(Inputs!$E36-Inputs!$D36+1))</f>
        <v>0</v>
      </c>
      <c r="T40" s="118">
        <f>IF(OR(Inputs!$C36="",Inputs!$D36="",Inputs!$E36=""),0,Inputs!$C36*MAX(0,MIN(Inputs!$E36,T$6)-MAX(Inputs!$D36,T$5)+1)/(Inputs!$E36-Inputs!$D36+1))</f>
        <v>0</v>
      </c>
      <c r="U40" s="118">
        <f>IF(OR(Inputs!$C36="",Inputs!$D36="",Inputs!$E36=""),0,Inputs!$C36*MAX(0,MIN(Inputs!$E36,U$6)-MAX(Inputs!$D36,U$5)+1)/(Inputs!$E36-Inputs!$D36+1))</f>
        <v>0</v>
      </c>
      <c r="V40" s="118">
        <f>IF(OR(Inputs!$C36="",Inputs!$D36="",Inputs!$E36=""),0,Inputs!$C36*MAX(0,MIN(Inputs!$E36,V$6)-MAX(Inputs!$D36,V$5)+1)/(Inputs!$E36-Inputs!$D36+1))</f>
        <v>0</v>
      </c>
      <c r="W40" s="118">
        <f>IF(OR(Inputs!$C36="",Inputs!$D36="",Inputs!$E36=""),0,Inputs!$C36*MAX(0,MIN(Inputs!$E36,W$6)-MAX(Inputs!$D36,W$5)+1)/(Inputs!$E36-Inputs!$D36+1))</f>
        <v>0</v>
      </c>
      <c r="X40" s="118">
        <f>IF(OR(Inputs!$C36="",Inputs!$D36="",Inputs!$E36=""),0,Inputs!$C36*MAX(0,MIN(Inputs!$E36,X$6)-MAX(Inputs!$D36,X$5)+1)/(Inputs!$E36-Inputs!$D36+1))</f>
        <v>0</v>
      </c>
      <c r="Y40" s="118">
        <f t="shared" si="5"/>
        <v>5</v>
      </c>
    </row>
    <row r="41" spans="1:25" x14ac:dyDescent="0.3">
      <c r="A41" s="116" t="str">
        <f>IF(Inputs!$A37="","",Inputs!$A37)</f>
        <v>OM23030-0100D</v>
      </c>
      <c r="B41" s="117">
        <f>IF(Inputs!$A37="","",Inputs!$D37)</f>
        <v>45352</v>
      </c>
      <c r="C41" s="117">
        <f>IF(Inputs!$A37="","",Inputs!$E37)</f>
        <v>45473</v>
      </c>
      <c r="D41" s="118">
        <f>IF(OR(Inputs!$C37="",Inputs!$D37="",Inputs!$E37=""),0,Inputs!$C37*MAX(0,MIN(Inputs!$E37,D$6)-MAX(Inputs!$D37,D$5)+1)/(Inputs!$E37-Inputs!$D37+1))</f>
        <v>0</v>
      </c>
      <c r="E41" s="118">
        <f>IF(OR(Inputs!$C37="",Inputs!$D37="",Inputs!$E37=""),0,Inputs!$C37*MAX(0,MIN(Inputs!$E37,E$6)-MAX(Inputs!$D37,E$5)+1)/(Inputs!$E37-Inputs!$D37+1))</f>
        <v>6.3524590163934427E-2</v>
      </c>
      <c r="F41" s="118">
        <f>IF(OR(Inputs!$C37="",Inputs!$D37="",Inputs!$E37=""),0,Inputs!$C37*MAX(0,MIN(Inputs!$E37,F$6)-MAX(Inputs!$D37,F$5)+1)/(Inputs!$E37-Inputs!$D37+1))</f>
        <v>0.18647540983606559</v>
      </c>
      <c r="G41" s="118">
        <f>IF(OR(Inputs!$C37="",Inputs!$D37="",Inputs!$E37=""),0,Inputs!$C37*MAX(0,MIN(Inputs!$E37,G$6)-MAX(Inputs!$D37,G$5)+1)/(Inputs!$E37-Inputs!$D37+1))</f>
        <v>0</v>
      </c>
      <c r="H41" s="118">
        <f>IF(OR(Inputs!$C37="",Inputs!$D37="",Inputs!$E37=""),0,Inputs!$C37*MAX(0,MIN(Inputs!$E37,H$6)-MAX(Inputs!$D37,H$5)+1)/(Inputs!$E37-Inputs!$D37+1))</f>
        <v>0</v>
      </c>
      <c r="I41" s="118">
        <f>IF(OR(Inputs!$C37="",Inputs!$D37="",Inputs!$E37=""),0,Inputs!$C37*MAX(0,MIN(Inputs!$E37,I$6)-MAX(Inputs!$D37,I$5)+1)/(Inputs!$E37-Inputs!$D37+1))</f>
        <v>0</v>
      </c>
      <c r="J41" s="118">
        <f>IF(OR(Inputs!$C37="",Inputs!$D37="",Inputs!$E37=""),0,Inputs!$C37*MAX(0,MIN(Inputs!$E37,J$6)-MAX(Inputs!$D37,J$5)+1)/(Inputs!$E37-Inputs!$D37+1))</f>
        <v>0</v>
      </c>
      <c r="K41" s="118">
        <f>IF(OR(Inputs!$C37="",Inputs!$D37="",Inputs!$E37=""),0,Inputs!$C37*MAX(0,MIN(Inputs!$E37,K$6)-MAX(Inputs!$D37,K$5)+1)/(Inputs!$E37-Inputs!$D37+1))</f>
        <v>0</v>
      </c>
      <c r="L41" s="118">
        <f>IF(OR(Inputs!$C37="",Inputs!$D37="",Inputs!$E37=""),0,Inputs!$C37*MAX(0,MIN(Inputs!$E37,L$6)-MAX(Inputs!$D37,L$5)+1)/(Inputs!$E37-Inputs!$D37+1))</f>
        <v>0</v>
      </c>
      <c r="M41" s="118">
        <f>IF(OR(Inputs!$C37="",Inputs!$D37="",Inputs!$E37=""),0,Inputs!$C37*MAX(0,MIN(Inputs!$E37,M$6)-MAX(Inputs!$D37,M$5)+1)/(Inputs!$E37-Inputs!$D37+1))</f>
        <v>0</v>
      </c>
      <c r="N41" s="118">
        <f>IF(OR(Inputs!$C37="",Inputs!$D37="",Inputs!$E37=""),0,Inputs!$C37*MAX(0,MIN(Inputs!$E37,N$6)-MAX(Inputs!$D37,N$5)+1)/(Inputs!$E37-Inputs!$D37+1))</f>
        <v>0</v>
      </c>
      <c r="O41" s="118">
        <f>IF(OR(Inputs!$C37="",Inputs!$D37="",Inputs!$E37=""),0,Inputs!$C37*MAX(0,MIN(Inputs!$E37,O$6)-MAX(Inputs!$D37,O$5)+1)/(Inputs!$E37-Inputs!$D37+1))</f>
        <v>0</v>
      </c>
      <c r="P41" s="118">
        <f>IF(OR(Inputs!$C37="",Inputs!$D37="",Inputs!$E37=""),0,Inputs!$C37*MAX(0,MIN(Inputs!$E37,P$6)-MAX(Inputs!$D37,P$5)+1)/(Inputs!$E37-Inputs!$D37+1))</f>
        <v>0</v>
      </c>
      <c r="Q41" s="118">
        <f>IF(OR(Inputs!$C37="",Inputs!$D37="",Inputs!$E37=""),0,Inputs!$C37*MAX(0,MIN(Inputs!$E37,Q$6)-MAX(Inputs!$D37,Q$5)+1)/(Inputs!$E37-Inputs!$D37+1))</f>
        <v>0</v>
      </c>
      <c r="R41" s="118">
        <f>IF(OR(Inputs!$C37="",Inputs!$D37="",Inputs!$E37=""),0,Inputs!$C37*MAX(0,MIN(Inputs!$E37,R$6)-MAX(Inputs!$D37,R$5)+1)/(Inputs!$E37-Inputs!$D37+1))</f>
        <v>0</v>
      </c>
      <c r="S41" s="118">
        <f>IF(OR(Inputs!$C37="",Inputs!$D37="",Inputs!$E37=""),0,Inputs!$C37*MAX(0,MIN(Inputs!$E37,S$6)-MAX(Inputs!$D37,S$5)+1)/(Inputs!$E37-Inputs!$D37+1))</f>
        <v>0</v>
      </c>
      <c r="T41" s="118">
        <f>IF(OR(Inputs!$C37="",Inputs!$D37="",Inputs!$E37=""),0,Inputs!$C37*MAX(0,MIN(Inputs!$E37,T$6)-MAX(Inputs!$D37,T$5)+1)/(Inputs!$E37-Inputs!$D37+1))</f>
        <v>0</v>
      </c>
      <c r="U41" s="118">
        <f>IF(OR(Inputs!$C37="",Inputs!$D37="",Inputs!$E37=""),0,Inputs!$C37*MAX(0,MIN(Inputs!$E37,U$6)-MAX(Inputs!$D37,U$5)+1)/(Inputs!$E37-Inputs!$D37+1))</f>
        <v>0</v>
      </c>
      <c r="V41" s="118">
        <f>IF(OR(Inputs!$C37="",Inputs!$D37="",Inputs!$E37=""),0,Inputs!$C37*MAX(0,MIN(Inputs!$E37,V$6)-MAX(Inputs!$D37,V$5)+1)/(Inputs!$E37-Inputs!$D37+1))</f>
        <v>0</v>
      </c>
      <c r="W41" s="118">
        <f>IF(OR(Inputs!$C37="",Inputs!$D37="",Inputs!$E37=""),0,Inputs!$C37*MAX(0,MIN(Inputs!$E37,W$6)-MAX(Inputs!$D37,W$5)+1)/(Inputs!$E37-Inputs!$D37+1))</f>
        <v>0</v>
      </c>
      <c r="X41" s="118">
        <f>IF(OR(Inputs!$C37="",Inputs!$D37="",Inputs!$E37=""),0,Inputs!$C37*MAX(0,MIN(Inputs!$E37,X$6)-MAX(Inputs!$D37,X$5)+1)/(Inputs!$E37-Inputs!$D37+1))</f>
        <v>0</v>
      </c>
      <c r="Y41" s="118">
        <f t="shared" si="5"/>
        <v>0.25</v>
      </c>
    </row>
    <row r="42" spans="1:25" x14ac:dyDescent="0.3">
      <c r="A42" s="116" t="str">
        <f>IF(Inputs!$A38="","",Inputs!$A38)</f>
        <v>Chargable Proposals 24</v>
      </c>
      <c r="B42" s="117">
        <f>IF(Inputs!$A38="","",Inputs!$D38)</f>
        <v>45292</v>
      </c>
      <c r="C42" s="117">
        <f>IF(Inputs!$A38="","",Inputs!$E38)</f>
        <v>45657</v>
      </c>
      <c r="D42" s="118">
        <f>IF(OR(Inputs!$C38="",Inputs!$D38="",Inputs!$E38=""),0,Inputs!$C38*MAX(0,MIN(Inputs!$E38,D$6)-MAX(Inputs!$D38,D$5)+1)/(Inputs!$E38-Inputs!$D38+1))</f>
        <v>0</v>
      </c>
      <c r="E42" s="118">
        <f>IF(OR(Inputs!$C38="",Inputs!$D38="",Inputs!$E38=""),0,Inputs!$C38*MAX(0,MIN(Inputs!$E38,E$6)-MAX(Inputs!$D38,E$5)+1)/(Inputs!$E38-Inputs!$D38+1))</f>
        <v>0.55942622950819676</v>
      </c>
      <c r="F42" s="118">
        <f>IF(OR(Inputs!$C38="",Inputs!$D38="",Inputs!$E38=""),0,Inputs!$C38*MAX(0,MIN(Inputs!$E38,F$6)-MAX(Inputs!$D38,F$5)+1)/(Inputs!$E38-Inputs!$D38+1))</f>
        <v>0.55942622950819676</v>
      </c>
      <c r="G42" s="118">
        <f>IF(OR(Inputs!$C38="",Inputs!$D38="",Inputs!$E38=""),0,Inputs!$C38*MAX(0,MIN(Inputs!$E38,G$6)-MAX(Inputs!$D38,G$5)+1)/(Inputs!$E38-Inputs!$D38+1))</f>
        <v>0.56557377049180324</v>
      </c>
      <c r="H42" s="118">
        <f>IF(OR(Inputs!$C38="",Inputs!$D38="",Inputs!$E38=""),0,Inputs!$C38*MAX(0,MIN(Inputs!$E38,H$6)-MAX(Inputs!$D38,H$5)+1)/(Inputs!$E38-Inputs!$D38+1))</f>
        <v>0.56557377049180324</v>
      </c>
      <c r="I42" s="118">
        <f>IF(OR(Inputs!$C38="",Inputs!$D38="",Inputs!$E38=""),0,Inputs!$C38*MAX(0,MIN(Inputs!$E38,I$6)-MAX(Inputs!$D38,I$5)+1)/(Inputs!$E38-Inputs!$D38+1))</f>
        <v>0</v>
      </c>
      <c r="J42" s="118">
        <f>IF(OR(Inputs!$C38="",Inputs!$D38="",Inputs!$E38=""),0,Inputs!$C38*MAX(0,MIN(Inputs!$E38,J$6)-MAX(Inputs!$D38,J$5)+1)/(Inputs!$E38-Inputs!$D38+1))</f>
        <v>0</v>
      </c>
      <c r="K42" s="118">
        <f>IF(OR(Inputs!$C38="",Inputs!$D38="",Inputs!$E38=""),0,Inputs!$C38*MAX(0,MIN(Inputs!$E38,K$6)-MAX(Inputs!$D38,K$5)+1)/(Inputs!$E38-Inputs!$D38+1))</f>
        <v>0</v>
      </c>
      <c r="L42" s="118">
        <f>IF(OR(Inputs!$C38="",Inputs!$D38="",Inputs!$E38=""),0,Inputs!$C38*MAX(0,MIN(Inputs!$E38,L$6)-MAX(Inputs!$D38,L$5)+1)/(Inputs!$E38-Inputs!$D38+1))</f>
        <v>0</v>
      </c>
      <c r="M42" s="118">
        <f>IF(OR(Inputs!$C38="",Inputs!$D38="",Inputs!$E38=""),0,Inputs!$C38*MAX(0,MIN(Inputs!$E38,M$6)-MAX(Inputs!$D38,M$5)+1)/(Inputs!$E38-Inputs!$D38+1))</f>
        <v>0</v>
      </c>
      <c r="N42" s="118">
        <f>IF(OR(Inputs!$C38="",Inputs!$D38="",Inputs!$E38=""),0,Inputs!$C38*MAX(0,MIN(Inputs!$E38,N$6)-MAX(Inputs!$D38,N$5)+1)/(Inputs!$E38-Inputs!$D38+1))</f>
        <v>0</v>
      </c>
      <c r="O42" s="118">
        <f>IF(OR(Inputs!$C38="",Inputs!$D38="",Inputs!$E38=""),0,Inputs!$C38*MAX(0,MIN(Inputs!$E38,O$6)-MAX(Inputs!$D38,O$5)+1)/(Inputs!$E38-Inputs!$D38+1))</f>
        <v>0</v>
      </c>
      <c r="P42" s="118">
        <f>IF(OR(Inputs!$C38="",Inputs!$D38="",Inputs!$E38=""),0,Inputs!$C38*MAX(0,MIN(Inputs!$E38,P$6)-MAX(Inputs!$D38,P$5)+1)/(Inputs!$E38-Inputs!$D38+1))</f>
        <v>0</v>
      </c>
      <c r="Q42" s="118">
        <f>IF(OR(Inputs!$C38="",Inputs!$D38="",Inputs!$E38=""),0,Inputs!$C38*MAX(0,MIN(Inputs!$E38,Q$6)-MAX(Inputs!$D38,Q$5)+1)/(Inputs!$E38-Inputs!$D38+1))</f>
        <v>0</v>
      </c>
      <c r="R42" s="118">
        <f>IF(OR(Inputs!$C38="",Inputs!$D38="",Inputs!$E38=""),0,Inputs!$C38*MAX(0,MIN(Inputs!$E38,R$6)-MAX(Inputs!$D38,R$5)+1)/(Inputs!$E38-Inputs!$D38+1))</f>
        <v>0</v>
      </c>
      <c r="S42" s="118">
        <f>IF(OR(Inputs!$C38="",Inputs!$D38="",Inputs!$E38=""),0,Inputs!$C38*MAX(0,MIN(Inputs!$E38,S$6)-MAX(Inputs!$D38,S$5)+1)/(Inputs!$E38-Inputs!$D38+1))</f>
        <v>0</v>
      </c>
      <c r="T42" s="118">
        <f>IF(OR(Inputs!$C38="",Inputs!$D38="",Inputs!$E38=""),0,Inputs!$C38*MAX(0,MIN(Inputs!$E38,T$6)-MAX(Inputs!$D38,T$5)+1)/(Inputs!$E38-Inputs!$D38+1))</f>
        <v>0</v>
      </c>
      <c r="U42" s="118">
        <f>IF(OR(Inputs!$C38="",Inputs!$D38="",Inputs!$E38=""),0,Inputs!$C38*MAX(0,MIN(Inputs!$E38,U$6)-MAX(Inputs!$D38,U$5)+1)/(Inputs!$E38-Inputs!$D38+1))</f>
        <v>0</v>
      </c>
      <c r="V42" s="118">
        <f>IF(OR(Inputs!$C38="",Inputs!$D38="",Inputs!$E38=""),0,Inputs!$C38*MAX(0,MIN(Inputs!$E38,V$6)-MAX(Inputs!$D38,V$5)+1)/(Inputs!$E38-Inputs!$D38+1))</f>
        <v>0</v>
      </c>
      <c r="W42" s="118">
        <f>IF(OR(Inputs!$C38="",Inputs!$D38="",Inputs!$E38=""),0,Inputs!$C38*MAX(0,MIN(Inputs!$E38,W$6)-MAX(Inputs!$D38,W$5)+1)/(Inputs!$E38-Inputs!$D38+1))</f>
        <v>0</v>
      </c>
      <c r="X42" s="118">
        <f>IF(OR(Inputs!$C38="",Inputs!$D38="",Inputs!$E38=""),0,Inputs!$C38*MAX(0,MIN(Inputs!$E38,X$6)-MAX(Inputs!$D38,X$5)+1)/(Inputs!$E38-Inputs!$D38+1))</f>
        <v>0</v>
      </c>
      <c r="Y42" s="118">
        <f t="shared" ref="Y42:Y73" si="6">SUM(D42:X42)</f>
        <v>2.25</v>
      </c>
    </row>
    <row r="43" spans="1:25" x14ac:dyDescent="0.3">
      <c r="A43" s="116" t="str">
        <f>IF(Inputs!$A39="","",Inputs!$A39)</f>
        <v>Proposals 24</v>
      </c>
      <c r="B43" s="117">
        <f>IF(Inputs!$A39="","",Inputs!$D39)</f>
        <v>45292</v>
      </c>
      <c r="C43" s="117">
        <f>IF(Inputs!$A39="","",Inputs!$E39)</f>
        <v>45657</v>
      </c>
      <c r="D43" s="118">
        <f>IF(OR(Inputs!$C39="",Inputs!$D39="",Inputs!$E39=""),0,Inputs!$C39*MAX(0,MIN(Inputs!$E39,D$6)-MAX(Inputs!$D39,D$5)+1)/(Inputs!$E39-Inputs!$D39+1))</f>
        <v>0</v>
      </c>
      <c r="E43" s="118">
        <f>IF(OR(Inputs!$C39="",Inputs!$D39="",Inputs!$E39=""),0,Inputs!$C39*MAX(0,MIN(Inputs!$E39,E$6)-MAX(Inputs!$D39,E$5)+1)/(Inputs!$E39-Inputs!$D39+1))</f>
        <v>0.27349726775956285</v>
      </c>
      <c r="F43" s="118">
        <f>IF(OR(Inputs!$C39="",Inputs!$D39="",Inputs!$E39=""),0,Inputs!$C39*MAX(0,MIN(Inputs!$E39,F$6)-MAX(Inputs!$D39,F$5)+1)/(Inputs!$E39-Inputs!$D39+1))</f>
        <v>0.27349726775956285</v>
      </c>
      <c r="G43" s="118">
        <f>IF(OR(Inputs!$C39="",Inputs!$D39="",Inputs!$E39=""),0,Inputs!$C39*MAX(0,MIN(Inputs!$E39,G$6)-MAX(Inputs!$D39,G$5)+1)/(Inputs!$E39-Inputs!$D39+1))</f>
        <v>0.27650273224043714</v>
      </c>
      <c r="H43" s="118">
        <f>IF(OR(Inputs!$C39="",Inputs!$D39="",Inputs!$E39=""),0,Inputs!$C39*MAX(0,MIN(Inputs!$E39,H$6)-MAX(Inputs!$D39,H$5)+1)/(Inputs!$E39-Inputs!$D39+1))</f>
        <v>0.27650273224043714</v>
      </c>
      <c r="I43" s="118">
        <f>IF(OR(Inputs!$C39="",Inputs!$D39="",Inputs!$E39=""),0,Inputs!$C39*MAX(0,MIN(Inputs!$E39,I$6)-MAX(Inputs!$D39,I$5)+1)/(Inputs!$E39-Inputs!$D39+1))</f>
        <v>0</v>
      </c>
      <c r="J43" s="118">
        <f>IF(OR(Inputs!$C39="",Inputs!$D39="",Inputs!$E39=""),0,Inputs!$C39*MAX(0,MIN(Inputs!$E39,J$6)-MAX(Inputs!$D39,J$5)+1)/(Inputs!$E39-Inputs!$D39+1))</f>
        <v>0</v>
      </c>
      <c r="K43" s="118">
        <f>IF(OR(Inputs!$C39="",Inputs!$D39="",Inputs!$E39=""),0,Inputs!$C39*MAX(0,MIN(Inputs!$E39,K$6)-MAX(Inputs!$D39,K$5)+1)/(Inputs!$E39-Inputs!$D39+1))</f>
        <v>0</v>
      </c>
      <c r="L43" s="118">
        <f>IF(OR(Inputs!$C39="",Inputs!$D39="",Inputs!$E39=""),0,Inputs!$C39*MAX(0,MIN(Inputs!$E39,L$6)-MAX(Inputs!$D39,L$5)+1)/(Inputs!$E39-Inputs!$D39+1))</f>
        <v>0</v>
      </c>
      <c r="M43" s="118">
        <f>IF(OR(Inputs!$C39="",Inputs!$D39="",Inputs!$E39=""),0,Inputs!$C39*MAX(0,MIN(Inputs!$E39,M$6)-MAX(Inputs!$D39,M$5)+1)/(Inputs!$E39-Inputs!$D39+1))</f>
        <v>0</v>
      </c>
      <c r="N43" s="118">
        <f>IF(OR(Inputs!$C39="",Inputs!$D39="",Inputs!$E39=""),0,Inputs!$C39*MAX(0,MIN(Inputs!$E39,N$6)-MAX(Inputs!$D39,N$5)+1)/(Inputs!$E39-Inputs!$D39+1))</f>
        <v>0</v>
      </c>
      <c r="O43" s="118">
        <f>IF(OR(Inputs!$C39="",Inputs!$D39="",Inputs!$E39=""),0,Inputs!$C39*MAX(0,MIN(Inputs!$E39,O$6)-MAX(Inputs!$D39,O$5)+1)/(Inputs!$E39-Inputs!$D39+1))</f>
        <v>0</v>
      </c>
      <c r="P43" s="118">
        <f>IF(OR(Inputs!$C39="",Inputs!$D39="",Inputs!$E39=""),0,Inputs!$C39*MAX(0,MIN(Inputs!$E39,P$6)-MAX(Inputs!$D39,P$5)+1)/(Inputs!$E39-Inputs!$D39+1))</f>
        <v>0</v>
      </c>
      <c r="Q43" s="118">
        <f>IF(OR(Inputs!$C39="",Inputs!$D39="",Inputs!$E39=""),0,Inputs!$C39*MAX(0,MIN(Inputs!$E39,Q$6)-MAX(Inputs!$D39,Q$5)+1)/(Inputs!$E39-Inputs!$D39+1))</f>
        <v>0</v>
      </c>
      <c r="R43" s="118">
        <f>IF(OR(Inputs!$C39="",Inputs!$D39="",Inputs!$E39=""),0,Inputs!$C39*MAX(0,MIN(Inputs!$E39,R$6)-MAX(Inputs!$D39,R$5)+1)/(Inputs!$E39-Inputs!$D39+1))</f>
        <v>0</v>
      </c>
      <c r="S43" s="118">
        <f>IF(OR(Inputs!$C39="",Inputs!$D39="",Inputs!$E39=""),0,Inputs!$C39*MAX(0,MIN(Inputs!$E39,S$6)-MAX(Inputs!$D39,S$5)+1)/(Inputs!$E39-Inputs!$D39+1))</f>
        <v>0</v>
      </c>
      <c r="T43" s="118">
        <f>IF(OR(Inputs!$C39="",Inputs!$D39="",Inputs!$E39=""),0,Inputs!$C39*MAX(0,MIN(Inputs!$E39,T$6)-MAX(Inputs!$D39,T$5)+1)/(Inputs!$E39-Inputs!$D39+1))</f>
        <v>0</v>
      </c>
      <c r="U43" s="118">
        <f>IF(OR(Inputs!$C39="",Inputs!$D39="",Inputs!$E39=""),0,Inputs!$C39*MAX(0,MIN(Inputs!$E39,U$6)-MAX(Inputs!$D39,U$5)+1)/(Inputs!$E39-Inputs!$D39+1))</f>
        <v>0</v>
      </c>
      <c r="V43" s="118">
        <f>IF(OR(Inputs!$C39="",Inputs!$D39="",Inputs!$E39=""),0,Inputs!$C39*MAX(0,MIN(Inputs!$E39,V$6)-MAX(Inputs!$D39,V$5)+1)/(Inputs!$E39-Inputs!$D39+1))</f>
        <v>0</v>
      </c>
      <c r="W43" s="118">
        <f>IF(OR(Inputs!$C39="",Inputs!$D39="",Inputs!$E39=""),0,Inputs!$C39*MAX(0,MIN(Inputs!$E39,W$6)-MAX(Inputs!$D39,W$5)+1)/(Inputs!$E39-Inputs!$D39+1))</f>
        <v>0</v>
      </c>
      <c r="X43" s="118">
        <f>IF(OR(Inputs!$C39="",Inputs!$D39="",Inputs!$E39=""),0,Inputs!$C39*MAX(0,MIN(Inputs!$E39,X$6)-MAX(Inputs!$D39,X$5)+1)/(Inputs!$E39-Inputs!$D39+1))</f>
        <v>0</v>
      </c>
      <c r="Y43" s="118">
        <f t="shared" si="6"/>
        <v>1.1000000000000001</v>
      </c>
    </row>
    <row r="44" spans="1:25" x14ac:dyDescent="0.3">
      <c r="A44" s="116" t="str">
        <f>IF(Inputs!$A40="","",Inputs!$A40)</f>
        <v>S23204-0100D</v>
      </c>
      <c r="B44" s="117">
        <f>IF(Inputs!$A40="","",Inputs!$D40)</f>
        <v>45292</v>
      </c>
      <c r="C44" s="117">
        <f>IF(Inputs!$A40="","",Inputs!$E40)</f>
        <v>45382</v>
      </c>
      <c r="D44" s="118">
        <f>IF(OR(Inputs!$C40="",Inputs!$D40="",Inputs!$E40=""),0,Inputs!$C40*MAX(0,MIN(Inputs!$E40,D$6)-MAX(Inputs!$D40,D$5)+1)/(Inputs!$E40-Inputs!$D40+1))</f>
        <v>0</v>
      </c>
      <c r="E44" s="118">
        <f>IF(OR(Inputs!$C40="",Inputs!$D40="",Inputs!$E40=""),0,Inputs!$C40*MAX(0,MIN(Inputs!$E40,E$6)-MAX(Inputs!$D40,E$5)+1)/(Inputs!$E40-Inputs!$D40+1))</f>
        <v>1.5</v>
      </c>
      <c r="F44" s="118">
        <f>IF(OR(Inputs!$C40="",Inputs!$D40="",Inputs!$E40=""),0,Inputs!$C40*MAX(0,MIN(Inputs!$E40,F$6)-MAX(Inputs!$D40,F$5)+1)/(Inputs!$E40-Inputs!$D40+1))</f>
        <v>0</v>
      </c>
      <c r="G44" s="118">
        <f>IF(OR(Inputs!$C40="",Inputs!$D40="",Inputs!$E40=""),0,Inputs!$C40*MAX(0,MIN(Inputs!$E40,G$6)-MAX(Inputs!$D40,G$5)+1)/(Inputs!$E40-Inputs!$D40+1))</f>
        <v>0</v>
      </c>
      <c r="H44" s="118">
        <f>IF(OR(Inputs!$C40="",Inputs!$D40="",Inputs!$E40=""),0,Inputs!$C40*MAX(0,MIN(Inputs!$E40,H$6)-MAX(Inputs!$D40,H$5)+1)/(Inputs!$E40-Inputs!$D40+1))</f>
        <v>0</v>
      </c>
      <c r="I44" s="118">
        <f>IF(OR(Inputs!$C40="",Inputs!$D40="",Inputs!$E40=""),0,Inputs!$C40*MAX(0,MIN(Inputs!$E40,I$6)-MAX(Inputs!$D40,I$5)+1)/(Inputs!$E40-Inputs!$D40+1))</f>
        <v>0</v>
      </c>
      <c r="J44" s="118">
        <f>IF(OR(Inputs!$C40="",Inputs!$D40="",Inputs!$E40=""),0,Inputs!$C40*MAX(0,MIN(Inputs!$E40,J$6)-MAX(Inputs!$D40,J$5)+1)/(Inputs!$E40-Inputs!$D40+1))</f>
        <v>0</v>
      </c>
      <c r="K44" s="118">
        <f>IF(OR(Inputs!$C40="",Inputs!$D40="",Inputs!$E40=""),0,Inputs!$C40*MAX(0,MIN(Inputs!$E40,K$6)-MAX(Inputs!$D40,K$5)+1)/(Inputs!$E40-Inputs!$D40+1))</f>
        <v>0</v>
      </c>
      <c r="L44" s="118">
        <f>IF(OR(Inputs!$C40="",Inputs!$D40="",Inputs!$E40=""),0,Inputs!$C40*MAX(0,MIN(Inputs!$E40,L$6)-MAX(Inputs!$D40,L$5)+1)/(Inputs!$E40-Inputs!$D40+1))</f>
        <v>0</v>
      </c>
      <c r="M44" s="118">
        <f>IF(OR(Inputs!$C40="",Inputs!$D40="",Inputs!$E40=""),0,Inputs!$C40*MAX(0,MIN(Inputs!$E40,M$6)-MAX(Inputs!$D40,M$5)+1)/(Inputs!$E40-Inputs!$D40+1))</f>
        <v>0</v>
      </c>
      <c r="N44" s="118">
        <f>IF(OR(Inputs!$C40="",Inputs!$D40="",Inputs!$E40=""),0,Inputs!$C40*MAX(0,MIN(Inputs!$E40,N$6)-MAX(Inputs!$D40,N$5)+1)/(Inputs!$E40-Inputs!$D40+1))</f>
        <v>0</v>
      </c>
      <c r="O44" s="118">
        <f>IF(OR(Inputs!$C40="",Inputs!$D40="",Inputs!$E40=""),0,Inputs!$C40*MAX(0,MIN(Inputs!$E40,O$6)-MAX(Inputs!$D40,O$5)+1)/(Inputs!$E40-Inputs!$D40+1))</f>
        <v>0</v>
      </c>
      <c r="P44" s="118">
        <f>IF(OR(Inputs!$C40="",Inputs!$D40="",Inputs!$E40=""),0,Inputs!$C40*MAX(0,MIN(Inputs!$E40,P$6)-MAX(Inputs!$D40,P$5)+1)/(Inputs!$E40-Inputs!$D40+1))</f>
        <v>0</v>
      </c>
      <c r="Q44" s="118">
        <f>IF(OR(Inputs!$C40="",Inputs!$D40="",Inputs!$E40=""),0,Inputs!$C40*MAX(0,MIN(Inputs!$E40,Q$6)-MAX(Inputs!$D40,Q$5)+1)/(Inputs!$E40-Inputs!$D40+1))</f>
        <v>0</v>
      </c>
      <c r="R44" s="118">
        <f>IF(OR(Inputs!$C40="",Inputs!$D40="",Inputs!$E40=""),0,Inputs!$C40*MAX(0,MIN(Inputs!$E40,R$6)-MAX(Inputs!$D40,R$5)+1)/(Inputs!$E40-Inputs!$D40+1))</f>
        <v>0</v>
      </c>
      <c r="S44" s="118">
        <f>IF(OR(Inputs!$C40="",Inputs!$D40="",Inputs!$E40=""),0,Inputs!$C40*MAX(0,MIN(Inputs!$E40,S$6)-MAX(Inputs!$D40,S$5)+1)/(Inputs!$E40-Inputs!$D40+1))</f>
        <v>0</v>
      </c>
      <c r="T44" s="118">
        <f>IF(OR(Inputs!$C40="",Inputs!$D40="",Inputs!$E40=""),0,Inputs!$C40*MAX(0,MIN(Inputs!$E40,T$6)-MAX(Inputs!$D40,T$5)+1)/(Inputs!$E40-Inputs!$D40+1))</f>
        <v>0</v>
      </c>
      <c r="U44" s="118">
        <f>IF(OR(Inputs!$C40="",Inputs!$D40="",Inputs!$E40=""),0,Inputs!$C40*MAX(0,MIN(Inputs!$E40,U$6)-MAX(Inputs!$D40,U$5)+1)/(Inputs!$E40-Inputs!$D40+1))</f>
        <v>0</v>
      </c>
      <c r="V44" s="118">
        <f>IF(OR(Inputs!$C40="",Inputs!$D40="",Inputs!$E40=""),0,Inputs!$C40*MAX(0,MIN(Inputs!$E40,V$6)-MAX(Inputs!$D40,V$5)+1)/(Inputs!$E40-Inputs!$D40+1))</f>
        <v>0</v>
      </c>
      <c r="W44" s="118">
        <f>IF(OR(Inputs!$C40="",Inputs!$D40="",Inputs!$E40=""),0,Inputs!$C40*MAX(0,MIN(Inputs!$E40,W$6)-MAX(Inputs!$D40,W$5)+1)/(Inputs!$E40-Inputs!$D40+1))</f>
        <v>0</v>
      </c>
      <c r="X44" s="118">
        <f>IF(OR(Inputs!$C40="",Inputs!$D40="",Inputs!$E40=""),0,Inputs!$C40*MAX(0,MIN(Inputs!$E40,X$6)-MAX(Inputs!$D40,X$5)+1)/(Inputs!$E40-Inputs!$D40+1))</f>
        <v>0</v>
      </c>
      <c r="Y44" s="118">
        <f t="shared" si="6"/>
        <v>1.5</v>
      </c>
    </row>
    <row r="45" spans="1:25" x14ac:dyDescent="0.3">
      <c r="A45" s="116" t="str">
        <f>IF(Inputs!$A41="","",Inputs!$A41)</f>
        <v>S24100-0100D</v>
      </c>
      <c r="B45" s="117">
        <f>IF(Inputs!$A41="","",Inputs!$D41)</f>
        <v>45474</v>
      </c>
      <c r="C45" s="117">
        <f>IF(Inputs!$A41="","",Inputs!$E41)</f>
        <v>45657</v>
      </c>
      <c r="D45" s="118">
        <f>IF(OR(Inputs!$C41="",Inputs!$D41="",Inputs!$E41=""),0,Inputs!$C41*MAX(0,MIN(Inputs!$E41,D$6)-MAX(Inputs!$D41,D$5)+1)/(Inputs!$E41-Inputs!$D41+1))</f>
        <v>0</v>
      </c>
      <c r="E45" s="118">
        <f>IF(OR(Inputs!$C41="",Inputs!$D41="",Inputs!$E41=""),0,Inputs!$C41*MAX(0,MIN(Inputs!$E41,E$6)-MAX(Inputs!$D41,E$5)+1)/(Inputs!$E41-Inputs!$D41+1))</f>
        <v>0</v>
      </c>
      <c r="F45" s="118">
        <f>IF(OR(Inputs!$C41="",Inputs!$D41="",Inputs!$E41=""),0,Inputs!$C41*MAX(0,MIN(Inputs!$E41,F$6)-MAX(Inputs!$D41,F$5)+1)/(Inputs!$E41-Inputs!$D41+1))</f>
        <v>0</v>
      </c>
      <c r="G45" s="118">
        <f>IF(OR(Inputs!$C41="",Inputs!$D41="",Inputs!$E41=""),0,Inputs!$C41*MAX(0,MIN(Inputs!$E41,G$6)-MAX(Inputs!$D41,G$5)+1)/(Inputs!$E41-Inputs!$D41+1))</f>
        <v>1.5</v>
      </c>
      <c r="H45" s="118">
        <f>IF(OR(Inputs!$C41="",Inputs!$D41="",Inputs!$E41=""),0,Inputs!$C41*MAX(0,MIN(Inputs!$E41,H$6)-MAX(Inputs!$D41,H$5)+1)/(Inputs!$E41-Inputs!$D41+1))</f>
        <v>1.5</v>
      </c>
      <c r="I45" s="118">
        <f>IF(OR(Inputs!$C41="",Inputs!$D41="",Inputs!$E41=""),0,Inputs!$C41*MAX(0,MIN(Inputs!$E41,I$6)-MAX(Inputs!$D41,I$5)+1)/(Inputs!$E41-Inputs!$D41+1))</f>
        <v>0</v>
      </c>
      <c r="J45" s="118">
        <f>IF(OR(Inputs!$C41="",Inputs!$D41="",Inputs!$E41=""),0,Inputs!$C41*MAX(0,MIN(Inputs!$E41,J$6)-MAX(Inputs!$D41,J$5)+1)/(Inputs!$E41-Inputs!$D41+1))</f>
        <v>0</v>
      </c>
      <c r="K45" s="118">
        <f>IF(OR(Inputs!$C41="",Inputs!$D41="",Inputs!$E41=""),0,Inputs!$C41*MAX(0,MIN(Inputs!$E41,K$6)-MAX(Inputs!$D41,K$5)+1)/(Inputs!$E41-Inputs!$D41+1))</f>
        <v>0</v>
      </c>
      <c r="L45" s="118">
        <f>IF(OR(Inputs!$C41="",Inputs!$D41="",Inputs!$E41=""),0,Inputs!$C41*MAX(0,MIN(Inputs!$E41,L$6)-MAX(Inputs!$D41,L$5)+1)/(Inputs!$E41-Inputs!$D41+1))</f>
        <v>0</v>
      </c>
      <c r="M45" s="118">
        <f>IF(OR(Inputs!$C41="",Inputs!$D41="",Inputs!$E41=""),0,Inputs!$C41*MAX(0,MIN(Inputs!$E41,M$6)-MAX(Inputs!$D41,M$5)+1)/(Inputs!$E41-Inputs!$D41+1))</f>
        <v>0</v>
      </c>
      <c r="N45" s="118">
        <f>IF(OR(Inputs!$C41="",Inputs!$D41="",Inputs!$E41=""),0,Inputs!$C41*MAX(0,MIN(Inputs!$E41,N$6)-MAX(Inputs!$D41,N$5)+1)/(Inputs!$E41-Inputs!$D41+1))</f>
        <v>0</v>
      </c>
      <c r="O45" s="118">
        <f>IF(OR(Inputs!$C41="",Inputs!$D41="",Inputs!$E41=""),0,Inputs!$C41*MAX(0,MIN(Inputs!$E41,O$6)-MAX(Inputs!$D41,O$5)+1)/(Inputs!$E41-Inputs!$D41+1))</f>
        <v>0</v>
      </c>
      <c r="P45" s="118">
        <f>IF(OR(Inputs!$C41="",Inputs!$D41="",Inputs!$E41=""),0,Inputs!$C41*MAX(0,MIN(Inputs!$E41,P$6)-MAX(Inputs!$D41,P$5)+1)/(Inputs!$E41-Inputs!$D41+1))</f>
        <v>0</v>
      </c>
      <c r="Q45" s="118">
        <f>IF(OR(Inputs!$C41="",Inputs!$D41="",Inputs!$E41=""),0,Inputs!$C41*MAX(0,MIN(Inputs!$E41,Q$6)-MAX(Inputs!$D41,Q$5)+1)/(Inputs!$E41-Inputs!$D41+1))</f>
        <v>0</v>
      </c>
      <c r="R45" s="118">
        <f>IF(OR(Inputs!$C41="",Inputs!$D41="",Inputs!$E41=""),0,Inputs!$C41*MAX(0,MIN(Inputs!$E41,R$6)-MAX(Inputs!$D41,R$5)+1)/(Inputs!$E41-Inputs!$D41+1))</f>
        <v>0</v>
      </c>
      <c r="S45" s="118">
        <f>IF(OR(Inputs!$C41="",Inputs!$D41="",Inputs!$E41=""),0,Inputs!$C41*MAX(0,MIN(Inputs!$E41,S$6)-MAX(Inputs!$D41,S$5)+1)/(Inputs!$E41-Inputs!$D41+1))</f>
        <v>0</v>
      </c>
      <c r="T45" s="118">
        <f>IF(OR(Inputs!$C41="",Inputs!$D41="",Inputs!$E41=""),0,Inputs!$C41*MAX(0,MIN(Inputs!$E41,T$6)-MAX(Inputs!$D41,T$5)+1)/(Inputs!$E41-Inputs!$D41+1))</f>
        <v>0</v>
      </c>
      <c r="U45" s="118">
        <f>IF(OR(Inputs!$C41="",Inputs!$D41="",Inputs!$E41=""),0,Inputs!$C41*MAX(0,MIN(Inputs!$E41,U$6)-MAX(Inputs!$D41,U$5)+1)/(Inputs!$E41-Inputs!$D41+1))</f>
        <v>0</v>
      </c>
      <c r="V45" s="118">
        <f>IF(OR(Inputs!$C41="",Inputs!$D41="",Inputs!$E41=""),0,Inputs!$C41*MAX(0,MIN(Inputs!$E41,V$6)-MAX(Inputs!$D41,V$5)+1)/(Inputs!$E41-Inputs!$D41+1))</f>
        <v>0</v>
      </c>
      <c r="W45" s="118">
        <f>IF(OR(Inputs!$C41="",Inputs!$D41="",Inputs!$E41=""),0,Inputs!$C41*MAX(0,MIN(Inputs!$E41,W$6)-MAX(Inputs!$D41,W$5)+1)/(Inputs!$E41-Inputs!$D41+1))</f>
        <v>0</v>
      </c>
      <c r="X45" s="118">
        <f>IF(OR(Inputs!$C41="",Inputs!$D41="",Inputs!$E41=""),0,Inputs!$C41*MAX(0,MIN(Inputs!$E41,X$6)-MAX(Inputs!$D41,X$5)+1)/(Inputs!$E41-Inputs!$D41+1))</f>
        <v>0</v>
      </c>
      <c r="Y45" s="118">
        <f t="shared" si="6"/>
        <v>3</v>
      </c>
    </row>
    <row r="46" spans="1:25" x14ac:dyDescent="0.3">
      <c r="A46" s="116" t="str">
        <f>IF(Inputs!$A42="","",Inputs!$A42)</f>
        <v>TA23011-0100R</v>
      </c>
      <c r="B46" s="117">
        <f>IF(Inputs!$A42="","",Inputs!$D42)</f>
        <v>45292</v>
      </c>
      <c r="C46" s="117">
        <f>IF(Inputs!$A42="","",Inputs!$E42)</f>
        <v>45382</v>
      </c>
      <c r="D46" s="118">
        <f>IF(OR(Inputs!$C42="",Inputs!$D42="",Inputs!$E42=""),0,Inputs!$C42*MAX(0,MIN(Inputs!$E42,D$6)-MAX(Inputs!$D42,D$5)+1)/(Inputs!$E42-Inputs!$D42+1))</f>
        <v>0</v>
      </c>
      <c r="E46" s="118">
        <f>IF(OR(Inputs!$C42="",Inputs!$D42="",Inputs!$E42=""),0,Inputs!$C42*MAX(0,MIN(Inputs!$E42,E$6)-MAX(Inputs!$D42,E$5)+1)/(Inputs!$E42-Inputs!$D42+1))</f>
        <v>9.9999999999999992E-2</v>
      </c>
      <c r="F46" s="118">
        <f>IF(OR(Inputs!$C42="",Inputs!$D42="",Inputs!$E42=""),0,Inputs!$C42*MAX(0,MIN(Inputs!$E42,F$6)-MAX(Inputs!$D42,F$5)+1)/(Inputs!$E42-Inputs!$D42+1))</f>
        <v>0</v>
      </c>
      <c r="G46" s="118">
        <f>IF(OR(Inputs!$C42="",Inputs!$D42="",Inputs!$E42=""),0,Inputs!$C42*MAX(0,MIN(Inputs!$E42,G$6)-MAX(Inputs!$D42,G$5)+1)/(Inputs!$E42-Inputs!$D42+1))</f>
        <v>0</v>
      </c>
      <c r="H46" s="118">
        <f>IF(OR(Inputs!$C42="",Inputs!$D42="",Inputs!$E42=""),0,Inputs!$C42*MAX(0,MIN(Inputs!$E42,H$6)-MAX(Inputs!$D42,H$5)+1)/(Inputs!$E42-Inputs!$D42+1))</f>
        <v>0</v>
      </c>
      <c r="I46" s="118">
        <f>IF(OR(Inputs!$C42="",Inputs!$D42="",Inputs!$E42=""),0,Inputs!$C42*MAX(0,MIN(Inputs!$E42,I$6)-MAX(Inputs!$D42,I$5)+1)/(Inputs!$E42-Inputs!$D42+1))</f>
        <v>0</v>
      </c>
      <c r="J46" s="118">
        <f>IF(OR(Inputs!$C42="",Inputs!$D42="",Inputs!$E42=""),0,Inputs!$C42*MAX(0,MIN(Inputs!$E42,J$6)-MAX(Inputs!$D42,J$5)+1)/(Inputs!$E42-Inputs!$D42+1))</f>
        <v>0</v>
      </c>
      <c r="K46" s="118">
        <f>IF(OR(Inputs!$C42="",Inputs!$D42="",Inputs!$E42=""),0,Inputs!$C42*MAX(0,MIN(Inputs!$E42,K$6)-MAX(Inputs!$D42,K$5)+1)/(Inputs!$E42-Inputs!$D42+1))</f>
        <v>0</v>
      </c>
      <c r="L46" s="118">
        <f>IF(OR(Inputs!$C42="",Inputs!$D42="",Inputs!$E42=""),0,Inputs!$C42*MAX(0,MIN(Inputs!$E42,L$6)-MAX(Inputs!$D42,L$5)+1)/(Inputs!$E42-Inputs!$D42+1))</f>
        <v>0</v>
      </c>
      <c r="M46" s="118">
        <f>IF(OR(Inputs!$C42="",Inputs!$D42="",Inputs!$E42=""),0,Inputs!$C42*MAX(0,MIN(Inputs!$E42,M$6)-MAX(Inputs!$D42,M$5)+1)/(Inputs!$E42-Inputs!$D42+1))</f>
        <v>0</v>
      </c>
      <c r="N46" s="118">
        <f>IF(OR(Inputs!$C42="",Inputs!$D42="",Inputs!$E42=""),0,Inputs!$C42*MAX(0,MIN(Inputs!$E42,N$6)-MAX(Inputs!$D42,N$5)+1)/(Inputs!$E42-Inputs!$D42+1))</f>
        <v>0</v>
      </c>
      <c r="O46" s="118">
        <f>IF(OR(Inputs!$C42="",Inputs!$D42="",Inputs!$E42=""),0,Inputs!$C42*MAX(0,MIN(Inputs!$E42,O$6)-MAX(Inputs!$D42,O$5)+1)/(Inputs!$E42-Inputs!$D42+1))</f>
        <v>0</v>
      </c>
      <c r="P46" s="118">
        <f>IF(OR(Inputs!$C42="",Inputs!$D42="",Inputs!$E42=""),0,Inputs!$C42*MAX(0,MIN(Inputs!$E42,P$6)-MAX(Inputs!$D42,P$5)+1)/(Inputs!$E42-Inputs!$D42+1))</f>
        <v>0</v>
      </c>
      <c r="Q46" s="118">
        <f>IF(OR(Inputs!$C42="",Inputs!$D42="",Inputs!$E42=""),0,Inputs!$C42*MAX(0,MIN(Inputs!$E42,Q$6)-MAX(Inputs!$D42,Q$5)+1)/(Inputs!$E42-Inputs!$D42+1))</f>
        <v>0</v>
      </c>
      <c r="R46" s="118">
        <f>IF(OR(Inputs!$C42="",Inputs!$D42="",Inputs!$E42=""),0,Inputs!$C42*MAX(0,MIN(Inputs!$E42,R$6)-MAX(Inputs!$D42,R$5)+1)/(Inputs!$E42-Inputs!$D42+1))</f>
        <v>0</v>
      </c>
      <c r="S46" s="118">
        <f>IF(OR(Inputs!$C42="",Inputs!$D42="",Inputs!$E42=""),0,Inputs!$C42*MAX(0,MIN(Inputs!$E42,S$6)-MAX(Inputs!$D42,S$5)+1)/(Inputs!$E42-Inputs!$D42+1))</f>
        <v>0</v>
      </c>
      <c r="T46" s="118">
        <f>IF(OR(Inputs!$C42="",Inputs!$D42="",Inputs!$E42=""),0,Inputs!$C42*MAX(0,MIN(Inputs!$E42,T$6)-MAX(Inputs!$D42,T$5)+1)/(Inputs!$E42-Inputs!$D42+1))</f>
        <v>0</v>
      </c>
      <c r="U46" s="118">
        <f>IF(OR(Inputs!$C42="",Inputs!$D42="",Inputs!$E42=""),0,Inputs!$C42*MAX(0,MIN(Inputs!$E42,U$6)-MAX(Inputs!$D42,U$5)+1)/(Inputs!$E42-Inputs!$D42+1))</f>
        <v>0</v>
      </c>
      <c r="V46" s="118">
        <f>IF(OR(Inputs!$C42="",Inputs!$D42="",Inputs!$E42=""),0,Inputs!$C42*MAX(0,MIN(Inputs!$E42,V$6)-MAX(Inputs!$D42,V$5)+1)/(Inputs!$E42-Inputs!$D42+1))</f>
        <v>0</v>
      </c>
      <c r="W46" s="118">
        <f>IF(OR(Inputs!$C42="",Inputs!$D42="",Inputs!$E42=""),0,Inputs!$C42*MAX(0,MIN(Inputs!$E42,W$6)-MAX(Inputs!$D42,W$5)+1)/(Inputs!$E42-Inputs!$D42+1))</f>
        <v>0</v>
      </c>
      <c r="X46" s="118">
        <f>IF(OR(Inputs!$C42="",Inputs!$D42="",Inputs!$E42=""),0,Inputs!$C42*MAX(0,MIN(Inputs!$E42,X$6)-MAX(Inputs!$D42,X$5)+1)/(Inputs!$E42-Inputs!$D42+1))</f>
        <v>0</v>
      </c>
      <c r="Y46" s="118">
        <f t="shared" si="6"/>
        <v>9.9999999999999992E-2</v>
      </c>
    </row>
    <row r="47" spans="1:25" x14ac:dyDescent="0.3">
      <c r="A47" s="116" t="str">
        <f>IF(Inputs!$A43="","",Inputs!$A43)</f>
        <v>AL25148-0100D</v>
      </c>
      <c r="B47" s="117">
        <f>IF(Inputs!$A43="","",Inputs!$D43)</f>
        <v>46388</v>
      </c>
      <c r="C47" s="117">
        <f>IF(Inputs!$A43="","",Inputs!$E43)</f>
        <v>46752</v>
      </c>
      <c r="D47" s="118">
        <f>IF(OR(Inputs!$C43="",Inputs!$D43="",Inputs!$E43=""),0,Inputs!$C43*MAX(0,MIN(Inputs!$E43,D$6)-MAX(Inputs!$D43,D$5)+1)/(Inputs!$E43-Inputs!$D43+1))</f>
        <v>0</v>
      </c>
      <c r="E47" s="118">
        <f>IF(OR(Inputs!$C43="",Inputs!$D43="",Inputs!$E43=""),0,Inputs!$C43*MAX(0,MIN(Inputs!$E43,E$6)-MAX(Inputs!$D43,E$5)+1)/(Inputs!$E43-Inputs!$D43+1))</f>
        <v>0</v>
      </c>
      <c r="F47" s="118">
        <f>IF(OR(Inputs!$C43="",Inputs!$D43="",Inputs!$E43=""),0,Inputs!$C43*MAX(0,MIN(Inputs!$E43,F$6)-MAX(Inputs!$D43,F$5)+1)/(Inputs!$E43-Inputs!$D43+1))</f>
        <v>0</v>
      </c>
      <c r="G47" s="118">
        <f>IF(OR(Inputs!$C43="",Inputs!$D43="",Inputs!$E43=""),0,Inputs!$C43*MAX(0,MIN(Inputs!$E43,G$6)-MAX(Inputs!$D43,G$5)+1)/(Inputs!$E43-Inputs!$D43+1))</f>
        <v>0</v>
      </c>
      <c r="H47" s="118">
        <f>IF(OR(Inputs!$C43="",Inputs!$D43="",Inputs!$E43=""),0,Inputs!$C43*MAX(0,MIN(Inputs!$E43,H$6)-MAX(Inputs!$D43,H$5)+1)/(Inputs!$E43-Inputs!$D43+1))</f>
        <v>0</v>
      </c>
      <c r="I47" s="118">
        <f>IF(OR(Inputs!$C43="",Inputs!$D43="",Inputs!$E43=""),0,Inputs!$C43*MAX(0,MIN(Inputs!$E43,I$6)-MAX(Inputs!$D43,I$5)+1)/(Inputs!$E43-Inputs!$D43+1))</f>
        <v>0</v>
      </c>
      <c r="J47" s="118">
        <f>IF(OR(Inputs!$C43="",Inputs!$D43="",Inputs!$E43=""),0,Inputs!$C43*MAX(0,MIN(Inputs!$E43,J$6)-MAX(Inputs!$D43,J$5)+1)/(Inputs!$E43-Inputs!$D43+1))</f>
        <v>0</v>
      </c>
      <c r="K47" s="118">
        <f>IF(OR(Inputs!$C43="",Inputs!$D43="",Inputs!$E43=""),0,Inputs!$C43*MAX(0,MIN(Inputs!$E43,K$6)-MAX(Inputs!$D43,K$5)+1)/(Inputs!$E43-Inputs!$D43+1))</f>
        <v>0</v>
      </c>
      <c r="L47" s="118">
        <f>IF(OR(Inputs!$C43="",Inputs!$D43="",Inputs!$E43=""),0,Inputs!$C43*MAX(0,MIN(Inputs!$E43,L$6)-MAX(Inputs!$D43,L$5)+1)/(Inputs!$E43-Inputs!$D43+1))</f>
        <v>0</v>
      </c>
      <c r="M47" s="118">
        <f>IF(OR(Inputs!$C43="",Inputs!$D43="",Inputs!$E43=""),0,Inputs!$C43*MAX(0,MIN(Inputs!$E43,M$6)-MAX(Inputs!$D43,M$5)+1)/(Inputs!$E43-Inputs!$D43+1))</f>
        <v>0</v>
      </c>
      <c r="N47" s="118">
        <f>IF(OR(Inputs!$C43="",Inputs!$D43="",Inputs!$E43=""),0,Inputs!$C43*MAX(0,MIN(Inputs!$E43,N$6)-MAX(Inputs!$D43,N$5)+1)/(Inputs!$E43-Inputs!$D43+1))</f>
        <v>0</v>
      </c>
      <c r="O47" s="118">
        <f>IF(OR(Inputs!$C43="",Inputs!$D43="",Inputs!$E43=""),0,Inputs!$C43*MAX(0,MIN(Inputs!$E43,O$6)-MAX(Inputs!$D43,O$5)+1)/(Inputs!$E43-Inputs!$D43+1))</f>
        <v>0</v>
      </c>
      <c r="P47" s="118">
        <f>IF(OR(Inputs!$C43="",Inputs!$D43="",Inputs!$E43=""),0,Inputs!$C43*MAX(0,MIN(Inputs!$E43,P$6)-MAX(Inputs!$D43,P$5)+1)/(Inputs!$E43-Inputs!$D43+1))</f>
        <v>0</v>
      </c>
      <c r="Q47" s="118">
        <f>IF(OR(Inputs!$C43="",Inputs!$D43="",Inputs!$E43=""),0,Inputs!$C43*MAX(0,MIN(Inputs!$E43,Q$6)-MAX(Inputs!$D43,Q$5)+1)/(Inputs!$E43-Inputs!$D43+1))</f>
        <v>2.4657534246575343</v>
      </c>
      <c r="R47" s="118">
        <f>IF(OR(Inputs!$C43="",Inputs!$D43="",Inputs!$E43=""),0,Inputs!$C43*MAX(0,MIN(Inputs!$E43,R$6)-MAX(Inputs!$D43,R$5)+1)/(Inputs!$E43-Inputs!$D43+1))</f>
        <v>2.493150684931507</v>
      </c>
      <c r="S47" s="118">
        <f>IF(OR(Inputs!$C43="",Inputs!$D43="",Inputs!$E43=""),0,Inputs!$C43*MAX(0,MIN(Inputs!$E43,S$6)-MAX(Inputs!$D43,S$5)+1)/(Inputs!$E43-Inputs!$D43+1))</f>
        <v>2.5205479452054793</v>
      </c>
      <c r="T47" s="118">
        <f>IF(OR(Inputs!$C43="",Inputs!$D43="",Inputs!$E43=""),0,Inputs!$C43*MAX(0,MIN(Inputs!$E43,T$6)-MAX(Inputs!$D43,T$5)+1)/(Inputs!$E43-Inputs!$D43+1))</f>
        <v>2.5205479452054793</v>
      </c>
      <c r="U47" s="118">
        <f>IF(OR(Inputs!$C43="",Inputs!$D43="",Inputs!$E43=""),0,Inputs!$C43*MAX(0,MIN(Inputs!$E43,U$6)-MAX(Inputs!$D43,U$5)+1)/(Inputs!$E43-Inputs!$D43+1))</f>
        <v>0</v>
      </c>
      <c r="V47" s="118">
        <f>IF(OR(Inputs!$C43="",Inputs!$D43="",Inputs!$E43=""),0,Inputs!$C43*MAX(0,MIN(Inputs!$E43,V$6)-MAX(Inputs!$D43,V$5)+1)/(Inputs!$E43-Inputs!$D43+1))</f>
        <v>0</v>
      </c>
      <c r="W47" s="118">
        <f>IF(OR(Inputs!$C43="",Inputs!$D43="",Inputs!$E43=""),0,Inputs!$C43*MAX(0,MIN(Inputs!$E43,W$6)-MAX(Inputs!$D43,W$5)+1)/(Inputs!$E43-Inputs!$D43+1))</f>
        <v>0</v>
      </c>
      <c r="X47" s="118">
        <f>IF(OR(Inputs!$C43="",Inputs!$D43="",Inputs!$E43=""),0,Inputs!$C43*MAX(0,MIN(Inputs!$E43,X$6)-MAX(Inputs!$D43,X$5)+1)/(Inputs!$E43-Inputs!$D43+1))</f>
        <v>0</v>
      </c>
      <c r="Y47" s="118">
        <f t="shared" si="6"/>
        <v>10</v>
      </c>
    </row>
    <row r="48" spans="1:25" x14ac:dyDescent="0.3">
      <c r="A48" s="116" t="str">
        <f>IF(Inputs!$A44="","",Inputs!$A44)</f>
        <v>Chargable Proposals 26</v>
      </c>
      <c r="B48" s="117">
        <f>IF(Inputs!$A44="","",Inputs!$D44)</f>
        <v>46023</v>
      </c>
      <c r="C48" s="117">
        <f>IF(Inputs!$A44="","",Inputs!$E44)</f>
        <v>46387</v>
      </c>
      <c r="D48" s="118">
        <f>IF(OR(Inputs!$C44="",Inputs!$D44="",Inputs!$E44=""),0,Inputs!$C44*MAX(0,MIN(Inputs!$E44,D$6)-MAX(Inputs!$D44,D$5)+1)/(Inputs!$E44-Inputs!$D44+1))</f>
        <v>0</v>
      </c>
      <c r="E48" s="118">
        <f>IF(OR(Inputs!$C44="",Inputs!$D44="",Inputs!$E44=""),0,Inputs!$C44*MAX(0,MIN(Inputs!$E44,E$6)-MAX(Inputs!$D44,E$5)+1)/(Inputs!$E44-Inputs!$D44+1))</f>
        <v>0</v>
      </c>
      <c r="F48" s="118">
        <f>IF(OR(Inputs!$C44="",Inputs!$D44="",Inputs!$E44=""),0,Inputs!$C44*MAX(0,MIN(Inputs!$E44,F$6)-MAX(Inputs!$D44,F$5)+1)/(Inputs!$E44-Inputs!$D44+1))</f>
        <v>0</v>
      </c>
      <c r="G48" s="118">
        <f>IF(OR(Inputs!$C44="",Inputs!$D44="",Inputs!$E44=""),0,Inputs!$C44*MAX(0,MIN(Inputs!$E44,G$6)-MAX(Inputs!$D44,G$5)+1)/(Inputs!$E44-Inputs!$D44+1))</f>
        <v>0</v>
      </c>
      <c r="H48" s="118">
        <f>IF(OR(Inputs!$C44="",Inputs!$D44="",Inputs!$E44=""),0,Inputs!$C44*MAX(0,MIN(Inputs!$E44,H$6)-MAX(Inputs!$D44,H$5)+1)/(Inputs!$E44-Inputs!$D44+1))</f>
        <v>0</v>
      </c>
      <c r="I48" s="118">
        <f>IF(OR(Inputs!$C44="",Inputs!$D44="",Inputs!$E44=""),0,Inputs!$C44*MAX(0,MIN(Inputs!$E44,I$6)-MAX(Inputs!$D44,I$5)+1)/(Inputs!$E44-Inputs!$D44+1))</f>
        <v>0</v>
      </c>
      <c r="J48" s="118">
        <f>IF(OR(Inputs!$C44="",Inputs!$D44="",Inputs!$E44=""),0,Inputs!$C44*MAX(0,MIN(Inputs!$E44,J$6)-MAX(Inputs!$D44,J$5)+1)/(Inputs!$E44-Inputs!$D44+1))</f>
        <v>0</v>
      </c>
      <c r="K48" s="118">
        <f>IF(OR(Inputs!$C44="",Inputs!$D44="",Inputs!$E44=""),0,Inputs!$C44*MAX(0,MIN(Inputs!$E44,K$6)-MAX(Inputs!$D44,K$5)+1)/(Inputs!$E44-Inputs!$D44+1))</f>
        <v>0</v>
      </c>
      <c r="L48" s="118">
        <f>IF(OR(Inputs!$C44="",Inputs!$D44="",Inputs!$E44=""),0,Inputs!$C44*MAX(0,MIN(Inputs!$E44,L$6)-MAX(Inputs!$D44,L$5)+1)/(Inputs!$E44-Inputs!$D44+1))</f>
        <v>0</v>
      </c>
      <c r="M48" s="118">
        <f>IF(OR(Inputs!$C44="",Inputs!$D44="",Inputs!$E44=""),0,Inputs!$C44*MAX(0,MIN(Inputs!$E44,M$6)-MAX(Inputs!$D44,M$5)+1)/(Inputs!$E44-Inputs!$D44+1))</f>
        <v>0.5547945205479452</v>
      </c>
      <c r="N48" s="118">
        <f>IF(OR(Inputs!$C44="",Inputs!$D44="",Inputs!$E44=""),0,Inputs!$C44*MAX(0,MIN(Inputs!$E44,N$6)-MAX(Inputs!$D44,N$5)+1)/(Inputs!$E44-Inputs!$D44+1))</f>
        <v>0.56095890410958904</v>
      </c>
      <c r="O48" s="118">
        <f>IF(OR(Inputs!$C44="",Inputs!$D44="",Inputs!$E44=""),0,Inputs!$C44*MAX(0,MIN(Inputs!$E44,O$6)-MAX(Inputs!$D44,O$5)+1)/(Inputs!$E44-Inputs!$D44+1))</f>
        <v>0.56712328767123288</v>
      </c>
      <c r="P48" s="118">
        <f>IF(OR(Inputs!$C44="",Inputs!$D44="",Inputs!$E44=""),0,Inputs!$C44*MAX(0,MIN(Inputs!$E44,P$6)-MAX(Inputs!$D44,P$5)+1)/(Inputs!$E44-Inputs!$D44+1))</f>
        <v>0.56712328767123288</v>
      </c>
      <c r="Q48" s="118">
        <f>IF(OR(Inputs!$C44="",Inputs!$D44="",Inputs!$E44=""),0,Inputs!$C44*MAX(0,MIN(Inputs!$E44,Q$6)-MAX(Inputs!$D44,Q$5)+1)/(Inputs!$E44-Inputs!$D44+1))</f>
        <v>0</v>
      </c>
      <c r="R48" s="118">
        <f>IF(OR(Inputs!$C44="",Inputs!$D44="",Inputs!$E44=""),0,Inputs!$C44*MAX(0,MIN(Inputs!$E44,R$6)-MAX(Inputs!$D44,R$5)+1)/(Inputs!$E44-Inputs!$D44+1))</f>
        <v>0</v>
      </c>
      <c r="S48" s="118">
        <f>IF(OR(Inputs!$C44="",Inputs!$D44="",Inputs!$E44=""),0,Inputs!$C44*MAX(0,MIN(Inputs!$E44,S$6)-MAX(Inputs!$D44,S$5)+1)/(Inputs!$E44-Inputs!$D44+1))</f>
        <v>0</v>
      </c>
      <c r="T48" s="118">
        <f>IF(OR(Inputs!$C44="",Inputs!$D44="",Inputs!$E44=""),0,Inputs!$C44*MAX(0,MIN(Inputs!$E44,T$6)-MAX(Inputs!$D44,T$5)+1)/(Inputs!$E44-Inputs!$D44+1))</f>
        <v>0</v>
      </c>
      <c r="U48" s="118">
        <f>IF(OR(Inputs!$C44="",Inputs!$D44="",Inputs!$E44=""),0,Inputs!$C44*MAX(0,MIN(Inputs!$E44,U$6)-MAX(Inputs!$D44,U$5)+1)/(Inputs!$E44-Inputs!$D44+1))</f>
        <v>0</v>
      </c>
      <c r="V48" s="118">
        <f>IF(OR(Inputs!$C44="",Inputs!$D44="",Inputs!$E44=""),0,Inputs!$C44*MAX(0,MIN(Inputs!$E44,V$6)-MAX(Inputs!$D44,V$5)+1)/(Inputs!$E44-Inputs!$D44+1))</f>
        <v>0</v>
      </c>
      <c r="W48" s="118">
        <f>IF(OR(Inputs!$C44="",Inputs!$D44="",Inputs!$E44=""),0,Inputs!$C44*MAX(0,MIN(Inputs!$E44,W$6)-MAX(Inputs!$D44,W$5)+1)/(Inputs!$E44-Inputs!$D44+1))</f>
        <v>0</v>
      </c>
      <c r="X48" s="118">
        <f>IF(OR(Inputs!$C44="",Inputs!$D44="",Inputs!$E44=""),0,Inputs!$C44*MAX(0,MIN(Inputs!$E44,X$6)-MAX(Inputs!$D44,X$5)+1)/(Inputs!$E44-Inputs!$D44+1))</f>
        <v>0</v>
      </c>
      <c r="Y48" s="118">
        <f t="shared" si="6"/>
        <v>2.25</v>
      </c>
    </row>
    <row r="49" spans="1:25" x14ac:dyDescent="0.3">
      <c r="A49" s="116" t="str">
        <f>IF(Inputs!$A45="","",Inputs!$A45)</f>
        <v/>
      </c>
      <c r="B49" s="117" t="str">
        <f>IF(Inputs!$A45="","",Inputs!$D45)</f>
        <v/>
      </c>
      <c r="C49" s="117" t="str">
        <f>IF(Inputs!$A45="","",Inputs!$E45)</f>
        <v/>
      </c>
      <c r="D49" s="118">
        <f>IF(OR(Inputs!$C45="",Inputs!$D45="",Inputs!$E45=""),0,Inputs!$C45*MAX(0,MIN(Inputs!$E45,D$6)-MAX(Inputs!$D45,D$5)+1)/(Inputs!$E45-Inputs!$D45+1))</f>
        <v>0</v>
      </c>
      <c r="E49" s="118">
        <f>IF(OR(Inputs!$C45="",Inputs!$D45="",Inputs!$E45=""),0,Inputs!$C45*MAX(0,MIN(Inputs!$E45,E$6)-MAX(Inputs!$D45,E$5)+1)/(Inputs!$E45-Inputs!$D45+1))</f>
        <v>0</v>
      </c>
      <c r="F49" s="118">
        <f>IF(OR(Inputs!$C45="",Inputs!$D45="",Inputs!$E45=""),0,Inputs!$C45*MAX(0,MIN(Inputs!$E45,F$6)-MAX(Inputs!$D45,F$5)+1)/(Inputs!$E45-Inputs!$D45+1))</f>
        <v>0</v>
      </c>
      <c r="G49" s="118">
        <f>IF(OR(Inputs!$C45="",Inputs!$D45="",Inputs!$E45=""),0,Inputs!$C45*MAX(0,MIN(Inputs!$E45,G$6)-MAX(Inputs!$D45,G$5)+1)/(Inputs!$E45-Inputs!$D45+1))</f>
        <v>0</v>
      </c>
      <c r="H49" s="118">
        <f>IF(OR(Inputs!$C45="",Inputs!$D45="",Inputs!$E45=""),0,Inputs!$C45*MAX(0,MIN(Inputs!$E45,H$6)-MAX(Inputs!$D45,H$5)+1)/(Inputs!$E45-Inputs!$D45+1))</f>
        <v>0</v>
      </c>
      <c r="I49" s="118">
        <f>IF(OR(Inputs!$C45="",Inputs!$D45="",Inputs!$E45=""),0,Inputs!$C45*MAX(0,MIN(Inputs!$E45,I$6)-MAX(Inputs!$D45,I$5)+1)/(Inputs!$E45-Inputs!$D45+1))</f>
        <v>0</v>
      </c>
      <c r="J49" s="118">
        <f>IF(OR(Inputs!$C45="",Inputs!$D45="",Inputs!$E45=""),0,Inputs!$C45*MAX(0,MIN(Inputs!$E45,J$6)-MAX(Inputs!$D45,J$5)+1)/(Inputs!$E45-Inputs!$D45+1))</f>
        <v>0</v>
      </c>
      <c r="K49" s="118">
        <f>IF(OR(Inputs!$C45="",Inputs!$D45="",Inputs!$E45=""),0,Inputs!$C45*MAX(0,MIN(Inputs!$E45,K$6)-MAX(Inputs!$D45,K$5)+1)/(Inputs!$E45-Inputs!$D45+1))</f>
        <v>0</v>
      </c>
      <c r="L49" s="118">
        <f>IF(OR(Inputs!$C45="",Inputs!$D45="",Inputs!$E45=""),0,Inputs!$C45*MAX(0,MIN(Inputs!$E45,L$6)-MAX(Inputs!$D45,L$5)+1)/(Inputs!$E45-Inputs!$D45+1))</f>
        <v>0</v>
      </c>
      <c r="M49" s="118">
        <f>IF(OR(Inputs!$C45="",Inputs!$D45="",Inputs!$E45=""),0,Inputs!$C45*MAX(0,MIN(Inputs!$E45,M$6)-MAX(Inputs!$D45,M$5)+1)/(Inputs!$E45-Inputs!$D45+1))</f>
        <v>0</v>
      </c>
      <c r="N49" s="118">
        <f>IF(OR(Inputs!$C45="",Inputs!$D45="",Inputs!$E45=""),0,Inputs!$C45*MAX(0,MIN(Inputs!$E45,N$6)-MAX(Inputs!$D45,N$5)+1)/(Inputs!$E45-Inputs!$D45+1))</f>
        <v>0</v>
      </c>
      <c r="O49" s="118">
        <f>IF(OR(Inputs!$C45="",Inputs!$D45="",Inputs!$E45=""),0,Inputs!$C45*MAX(0,MIN(Inputs!$E45,O$6)-MAX(Inputs!$D45,O$5)+1)/(Inputs!$E45-Inputs!$D45+1))</f>
        <v>0</v>
      </c>
      <c r="P49" s="118">
        <f>IF(OR(Inputs!$C45="",Inputs!$D45="",Inputs!$E45=""),0,Inputs!$C45*MAX(0,MIN(Inputs!$E45,P$6)-MAX(Inputs!$D45,P$5)+1)/(Inputs!$E45-Inputs!$D45+1))</f>
        <v>0</v>
      </c>
      <c r="Q49" s="118">
        <f>IF(OR(Inputs!$C45="",Inputs!$D45="",Inputs!$E45=""),0,Inputs!$C45*MAX(0,MIN(Inputs!$E45,Q$6)-MAX(Inputs!$D45,Q$5)+1)/(Inputs!$E45-Inputs!$D45+1))</f>
        <v>0</v>
      </c>
      <c r="R49" s="118">
        <f>IF(OR(Inputs!$C45="",Inputs!$D45="",Inputs!$E45=""),0,Inputs!$C45*MAX(0,MIN(Inputs!$E45,R$6)-MAX(Inputs!$D45,R$5)+1)/(Inputs!$E45-Inputs!$D45+1))</f>
        <v>0</v>
      </c>
      <c r="S49" s="118">
        <f>IF(OR(Inputs!$C45="",Inputs!$D45="",Inputs!$E45=""),0,Inputs!$C45*MAX(0,MIN(Inputs!$E45,S$6)-MAX(Inputs!$D45,S$5)+1)/(Inputs!$E45-Inputs!$D45+1))</f>
        <v>0</v>
      </c>
      <c r="T49" s="118">
        <f>IF(OR(Inputs!$C45="",Inputs!$D45="",Inputs!$E45=""),0,Inputs!$C45*MAX(0,MIN(Inputs!$E45,T$6)-MAX(Inputs!$D45,T$5)+1)/(Inputs!$E45-Inputs!$D45+1))</f>
        <v>0</v>
      </c>
      <c r="U49" s="118">
        <f>IF(OR(Inputs!$C45="",Inputs!$D45="",Inputs!$E45=""),0,Inputs!$C45*MAX(0,MIN(Inputs!$E45,U$6)-MAX(Inputs!$D45,U$5)+1)/(Inputs!$E45-Inputs!$D45+1))</f>
        <v>0</v>
      </c>
      <c r="V49" s="118">
        <f>IF(OR(Inputs!$C45="",Inputs!$D45="",Inputs!$E45=""),0,Inputs!$C45*MAX(0,MIN(Inputs!$E45,V$6)-MAX(Inputs!$D45,V$5)+1)/(Inputs!$E45-Inputs!$D45+1))</f>
        <v>0</v>
      </c>
      <c r="W49" s="118">
        <f>IF(OR(Inputs!$C45="",Inputs!$D45="",Inputs!$E45=""),0,Inputs!$C45*MAX(0,MIN(Inputs!$E45,W$6)-MAX(Inputs!$D45,W$5)+1)/(Inputs!$E45-Inputs!$D45+1))</f>
        <v>0</v>
      </c>
      <c r="X49" s="118">
        <f>IF(OR(Inputs!$C45="",Inputs!$D45="",Inputs!$E45=""),0,Inputs!$C45*MAX(0,MIN(Inputs!$E45,X$6)-MAX(Inputs!$D45,X$5)+1)/(Inputs!$E45-Inputs!$D45+1))</f>
        <v>0</v>
      </c>
      <c r="Y49" s="118">
        <f t="shared" si="6"/>
        <v>0</v>
      </c>
    </row>
    <row r="50" spans="1:25" x14ac:dyDescent="0.3">
      <c r="A50" s="116" t="str">
        <f>IF(Inputs!$A46="","",Inputs!$A46)</f>
        <v>Proposals 26</v>
      </c>
      <c r="B50" s="117">
        <f>IF(Inputs!$A46="","",Inputs!$D46)</f>
        <v>46023</v>
      </c>
      <c r="C50" s="117">
        <f>IF(Inputs!$A46="","",Inputs!$E46)</f>
        <v>46387</v>
      </c>
      <c r="D50" s="118">
        <f>IF(OR(Inputs!$C46="",Inputs!$D46="",Inputs!$E46=""),0,Inputs!$C46*MAX(0,MIN(Inputs!$E46,D$6)-MAX(Inputs!$D46,D$5)+1)/(Inputs!$E46-Inputs!$D46+1))</f>
        <v>0</v>
      </c>
      <c r="E50" s="118">
        <f>IF(OR(Inputs!$C46="",Inputs!$D46="",Inputs!$E46=""),0,Inputs!$C46*MAX(0,MIN(Inputs!$E46,E$6)-MAX(Inputs!$D46,E$5)+1)/(Inputs!$E46-Inputs!$D46+1))</f>
        <v>0</v>
      </c>
      <c r="F50" s="118">
        <f>IF(OR(Inputs!$C46="",Inputs!$D46="",Inputs!$E46=""),0,Inputs!$C46*MAX(0,MIN(Inputs!$E46,F$6)-MAX(Inputs!$D46,F$5)+1)/(Inputs!$E46-Inputs!$D46+1))</f>
        <v>0</v>
      </c>
      <c r="G50" s="118">
        <f>IF(OR(Inputs!$C46="",Inputs!$D46="",Inputs!$E46=""),0,Inputs!$C46*MAX(0,MIN(Inputs!$E46,G$6)-MAX(Inputs!$D46,G$5)+1)/(Inputs!$E46-Inputs!$D46+1))</f>
        <v>0</v>
      </c>
      <c r="H50" s="118">
        <f>IF(OR(Inputs!$C46="",Inputs!$D46="",Inputs!$E46=""),0,Inputs!$C46*MAX(0,MIN(Inputs!$E46,H$6)-MAX(Inputs!$D46,H$5)+1)/(Inputs!$E46-Inputs!$D46+1))</f>
        <v>0</v>
      </c>
      <c r="I50" s="118">
        <f>IF(OR(Inputs!$C46="",Inputs!$D46="",Inputs!$E46=""),0,Inputs!$C46*MAX(0,MIN(Inputs!$E46,I$6)-MAX(Inputs!$D46,I$5)+1)/(Inputs!$E46-Inputs!$D46+1))</f>
        <v>0</v>
      </c>
      <c r="J50" s="118">
        <f>IF(OR(Inputs!$C46="",Inputs!$D46="",Inputs!$E46=""),0,Inputs!$C46*MAX(0,MIN(Inputs!$E46,J$6)-MAX(Inputs!$D46,J$5)+1)/(Inputs!$E46-Inputs!$D46+1))</f>
        <v>0</v>
      </c>
      <c r="K50" s="118">
        <f>IF(OR(Inputs!$C46="",Inputs!$D46="",Inputs!$E46=""),0,Inputs!$C46*MAX(0,MIN(Inputs!$E46,K$6)-MAX(Inputs!$D46,K$5)+1)/(Inputs!$E46-Inputs!$D46+1))</f>
        <v>0</v>
      </c>
      <c r="L50" s="118">
        <f>IF(OR(Inputs!$C46="",Inputs!$D46="",Inputs!$E46=""),0,Inputs!$C46*MAX(0,MIN(Inputs!$E46,L$6)-MAX(Inputs!$D46,L$5)+1)/(Inputs!$E46-Inputs!$D46+1))</f>
        <v>0</v>
      </c>
      <c r="M50" s="118">
        <f>IF(OR(Inputs!$C46="",Inputs!$D46="",Inputs!$E46=""),0,Inputs!$C46*MAX(0,MIN(Inputs!$E46,M$6)-MAX(Inputs!$D46,M$5)+1)/(Inputs!$E46-Inputs!$D46+1))</f>
        <v>9.8630136986301367E-2</v>
      </c>
      <c r="N50" s="118">
        <f>IF(OR(Inputs!$C46="",Inputs!$D46="",Inputs!$E46=""),0,Inputs!$C46*MAX(0,MIN(Inputs!$E46,N$6)-MAX(Inputs!$D46,N$5)+1)/(Inputs!$E46-Inputs!$D46+1))</f>
        <v>9.9726027397260275E-2</v>
      </c>
      <c r="O50" s="118">
        <f>IF(OR(Inputs!$C46="",Inputs!$D46="",Inputs!$E46=""),0,Inputs!$C46*MAX(0,MIN(Inputs!$E46,O$6)-MAX(Inputs!$D46,O$5)+1)/(Inputs!$E46-Inputs!$D46+1))</f>
        <v>0.10082191780821918</v>
      </c>
      <c r="P50" s="118">
        <f>IF(OR(Inputs!$C46="",Inputs!$D46="",Inputs!$E46=""),0,Inputs!$C46*MAX(0,MIN(Inputs!$E46,P$6)-MAX(Inputs!$D46,P$5)+1)/(Inputs!$E46-Inputs!$D46+1))</f>
        <v>0.10082191780821918</v>
      </c>
      <c r="Q50" s="118">
        <f>IF(OR(Inputs!$C46="",Inputs!$D46="",Inputs!$E46=""),0,Inputs!$C46*MAX(0,MIN(Inputs!$E46,Q$6)-MAX(Inputs!$D46,Q$5)+1)/(Inputs!$E46-Inputs!$D46+1))</f>
        <v>0</v>
      </c>
      <c r="R50" s="118">
        <f>IF(OR(Inputs!$C46="",Inputs!$D46="",Inputs!$E46=""),0,Inputs!$C46*MAX(0,MIN(Inputs!$E46,R$6)-MAX(Inputs!$D46,R$5)+1)/(Inputs!$E46-Inputs!$D46+1))</f>
        <v>0</v>
      </c>
      <c r="S50" s="118">
        <f>IF(OR(Inputs!$C46="",Inputs!$D46="",Inputs!$E46=""),0,Inputs!$C46*MAX(0,MIN(Inputs!$E46,S$6)-MAX(Inputs!$D46,S$5)+1)/(Inputs!$E46-Inputs!$D46+1))</f>
        <v>0</v>
      </c>
      <c r="T50" s="118">
        <f>IF(OR(Inputs!$C46="",Inputs!$D46="",Inputs!$E46=""),0,Inputs!$C46*MAX(0,MIN(Inputs!$E46,T$6)-MAX(Inputs!$D46,T$5)+1)/(Inputs!$E46-Inputs!$D46+1))</f>
        <v>0</v>
      </c>
      <c r="U50" s="118">
        <f>IF(OR(Inputs!$C46="",Inputs!$D46="",Inputs!$E46=""),0,Inputs!$C46*MAX(0,MIN(Inputs!$E46,U$6)-MAX(Inputs!$D46,U$5)+1)/(Inputs!$E46-Inputs!$D46+1))</f>
        <v>0</v>
      </c>
      <c r="V50" s="118">
        <f>IF(OR(Inputs!$C46="",Inputs!$D46="",Inputs!$E46=""),0,Inputs!$C46*MAX(0,MIN(Inputs!$E46,V$6)-MAX(Inputs!$D46,V$5)+1)/(Inputs!$E46-Inputs!$D46+1))</f>
        <v>0</v>
      </c>
      <c r="W50" s="118">
        <f>IF(OR(Inputs!$C46="",Inputs!$D46="",Inputs!$E46=""),0,Inputs!$C46*MAX(0,MIN(Inputs!$E46,W$6)-MAX(Inputs!$D46,W$5)+1)/(Inputs!$E46-Inputs!$D46+1))</f>
        <v>0</v>
      </c>
      <c r="X50" s="118">
        <f>IF(OR(Inputs!$C46="",Inputs!$D46="",Inputs!$E46=""),0,Inputs!$C46*MAX(0,MIN(Inputs!$E46,X$6)-MAX(Inputs!$D46,X$5)+1)/(Inputs!$E46-Inputs!$D46+1))</f>
        <v>0</v>
      </c>
      <c r="Y50" s="118">
        <f t="shared" si="6"/>
        <v>0.4</v>
      </c>
    </row>
    <row r="51" spans="1:25" x14ac:dyDescent="0.3">
      <c r="A51" s="116" t="str">
        <f>IF(Inputs!$A47="","",Inputs!$A47)</f>
        <v/>
      </c>
      <c r="B51" s="117" t="str">
        <f>IF(Inputs!$A47="","",Inputs!$D47)</f>
        <v/>
      </c>
      <c r="C51" s="117" t="str">
        <f>IF(Inputs!$A47="","",Inputs!$E47)</f>
        <v/>
      </c>
      <c r="D51" s="118">
        <f>IF(OR(Inputs!$C47="",Inputs!$D47="",Inputs!$E47=""),0,Inputs!$C47*MAX(0,MIN(Inputs!$E47,D$6)-MAX(Inputs!$D47,D$5)+1)/(Inputs!$E47-Inputs!$D47+1))</f>
        <v>0</v>
      </c>
      <c r="E51" s="118">
        <f>IF(OR(Inputs!$C47="",Inputs!$D47="",Inputs!$E47=""),0,Inputs!$C47*MAX(0,MIN(Inputs!$E47,E$6)-MAX(Inputs!$D47,E$5)+1)/(Inputs!$E47-Inputs!$D47+1))</f>
        <v>0</v>
      </c>
      <c r="F51" s="118">
        <f>IF(OR(Inputs!$C47="",Inputs!$D47="",Inputs!$E47=""),0,Inputs!$C47*MAX(0,MIN(Inputs!$E47,F$6)-MAX(Inputs!$D47,F$5)+1)/(Inputs!$E47-Inputs!$D47+1))</f>
        <v>0</v>
      </c>
      <c r="G51" s="118">
        <f>IF(OR(Inputs!$C47="",Inputs!$D47="",Inputs!$E47=""),0,Inputs!$C47*MAX(0,MIN(Inputs!$E47,G$6)-MAX(Inputs!$D47,G$5)+1)/(Inputs!$E47-Inputs!$D47+1))</f>
        <v>0</v>
      </c>
      <c r="H51" s="118">
        <f>IF(OR(Inputs!$C47="",Inputs!$D47="",Inputs!$E47=""),0,Inputs!$C47*MAX(0,MIN(Inputs!$E47,H$6)-MAX(Inputs!$D47,H$5)+1)/(Inputs!$E47-Inputs!$D47+1))</f>
        <v>0</v>
      </c>
      <c r="I51" s="118">
        <f>IF(OR(Inputs!$C47="",Inputs!$D47="",Inputs!$E47=""),0,Inputs!$C47*MAX(0,MIN(Inputs!$E47,I$6)-MAX(Inputs!$D47,I$5)+1)/(Inputs!$E47-Inputs!$D47+1))</f>
        <v>0</v>
      </c>
      <c r="J51" s="118">
        <f>IF(OR(Inputs!$C47="",Inputs!$D47="",Inputs!$E47=""),0,Inputs!$C47*MAX(0,MIN(Inputs!$E47,J$6)-MAX(Inputs!$D47,J$5)+1)/(Inputs!$E47-Inputs!$D47+1))</f>
        <v>0</v>
      </c>
      <c r="K51" s="118">
        <f>IF(OR(Inputs!$C47="",Inputs!$D47="",Inputs!$E47=""),0,Inputs!$C47*MAX(0,MIN(Inputs!$E47,K$6)-MAX(Inputs!$D47,K$5)+1)/(Inputs!$E47-Inputs!$D47+1))</f>
        <v>0</v>
      </c>
      <c r="L51" s="118">
        <f>IF(OR(Inputs!$C47="",Inputs!$D47="",Inputs!$E47=""),0,Inputs!$C47*MAX(0,MIN(Inputs!$E47,L$6)-MAX(Inputs!$D47,L$5)+1)/(Inputs!$E47-Inputs!$D47+1))</f>
        <v>0</v>
      </c>
      <c r="M51" s="118">
        <f>IF(OR(Inputs!$C47="",Inputs!$D47="",Inputs!$E47=""),0,Inputs!$C47*MAX(0,MIN(Inputs!$E47,M$6)-MAX(Inputs!$D47,M$5)+1)/(Inputs!$E47-Inputs!$D47+1))</f>
        <v>0</v>
      </c>
      <c r="N51" s="118">
        <f>IF(OR(Inputs!$C47="",Inputs!$D47="",Inputs!$E47=""),0,Inputs!$C47*MAX(0,MIN(Inputs!$E47,N$6)-MAX(Inputs!$D47,N$5)+1)/(Inputs!$E47-Inputs!$D47+1))</f>
        <v>0</v>
      </c>
      <c r="O51" s="118">
        <f>IF(OR(Inputs!$C47="",Inputs!$D47="",Inputs!$E47=""),0,Inputs!$C47*MAX(0,MIN(Inputs!$E47,O$6)-MAX(Inputs!$D47,O$5)+1)/(Inputs!$E47-Inputs!$D47+1))</f>
        <v>0</v>
      </c>
      <c r="P51" s="118">
        <f>IF(OR(Inputs!$C47="",Inputs!$D47="",Inputs!$E47=""),0,Inputs!$C47*MAX(0,MIN(Inputs!$E47,P$6)-MAX(Inputs!$D47,P$5)+1)/(Inputs!$E47-Inputs!$D47+1))</f>
        <v>0</v>
      </c>
      <c r="Q51" s="118">
        <f>IF(OR(Inputs!$C47="",Inputs!$D47="",Inputs!$E47=""),0,Inputs!$C47*MAX(0,MIN(Inputs!$E47,Q$6)-MAX(Inputs!$D47,Q$5)+1)/(Inputs!$E47-Inputs!$D47+1))</f>
        <v>0</v>
      </c>
      <c r="R51" s="118">
        <f>IF(OR(Inputs!$C47="",Inputs!$D47="",Inputs!$E47=""),0,Inputs!$C47*MAX(0,MIN(Inputs!$E47,R$6)-MAX(Inputs!$D47,R$5)+1)/(Inputs!$E47-Inputs!$D47+1))</f>
        <v>0</v>
      </c>
      <c r="S51" s="118">
        <f>IF(OR(Inputs!$C47="",Inputs!$D47="",Inputs!$E47=""),0,Inputs!$C47*MAX(0,MIN(Inputs!$E47,S$6)-MAX(Inputs!$D47,S$5)+1)/(Inputs!$E47-Inputs!$D47+1))</f>
        <v>0</v>
      </c>
      <c r="T51" s="118">
        <f>IF(OR(Inputs!$C47="",Inputs!$D47="",Inputs!$E47=""),0,Inputs!$C47*MAX(0,MIN(Inputs!$E47,T$6)-MAX(Inputs!$D47,T$5)+1)/(Inputs!$E47-Inputs!$D47+1))</f>
        <v>0</v>
      </c>
      <c r="U51" s="118">
        <f>IF(OR(Inputs!$C47="",Inputs!$D47="",Inputs!$E47=""),0,Inputs!$C47*MAX(0,MIN(Inputs!$E47,U$6)-MAX(Inputs!$D47,U$5)+1)/(Inputs!$E47-Inputs!$D47+1))</f>
        <v>0</v>
      </c>
      <c r="V51" s="118">
        <f>IF(OR(Inputs!$C47="",Inputs!$D47="",Inputs!$E47=""),0,Inputs!$C47*MAX(0,MIN(Inputs!$E47,V$6)-MAX(Inputs!$D47,V$5)+1)/(Inputs!$E47-Inputs!$D47+1))</f>
        <v>0</v>
      </c>
      <c r="W51" s="118">
        <f>IF(OR(Inputs!$C47="",Inputs!$D47="",Inputs!$E47=""),0,Inputs!$C47*MAX(0,MIN(Inputs!$E47,W$6)-MAX(Inputs!$D47,W$5)+1)/(Inputs!$E47-Inputs!$D47+1))</f>
        <v>0</v>
      </c>
      <c r="X51" s="118">
        <f>IF(OR(Inputs!$C47="",Inputs!$D47="",Inputs!$E47=""),0,Inputs!$C47*MAX(0,MIN(Inputs!$E47,X$6)-MAX(Inputs!$D47,X$5)+1)/(Inputs!$E47-Inputs!$D47+1))</f>
        <v>0</v>
      </c>
      <c r="Y51" s="118">
        <f t="shared" si="6"/>
        <v>0</v>
      </c>
    </row>
    <row r="52" spans="1:25" x14ac:dyDescent="0.3">
      <c r="A52" s="116" t="str">
        <f>IF(Inputs!$A48="","",Inputs!$A48)</f>
        <v/>
      </c>
      <c r="B52" s="117" t="str">
        <f>IF(Inputs!$A48="","",Inputs!$D48)</f>
        <v/>
      </c>
      <c r="C52" s="117" t="str">
        <f>IF(Inputs!$A48="","",Inputs!$E48)</f>
        <v/>
      </c>
      <c r="D52" s="118">
        <f>IF(OR(Inputs!$C48="",Inputs!$D48="",Inputs!$E48=""),0,Inputs!$C48*MAX(0,MIN(Inputs!$E48,D$6)-MAX(Inputs!$D48,D$5)+1)/(Inputs!$E48-Inputs!$D48+1))</f>
        <v>0</v>
      </c>
      <c r="E52" s="118">
        <f>IF(OR(Inputs!$C48="",Inputs!$D48="",Inputs!$E48=""),0,Inputs!$C48*MAX(0,MIN(Inputs!$E48,E$6)-MAX(Inputs!$D48,E$5)+1)/(Inputs!$E48-Inputs!$D48+1))</f>
        <v>0</v>
      </c>
      <c r="F52" s="118">
        <f>IF(OR(Inputs!$C48="",Inputs!$D48="",Inputs!$E48=""),0,Inputs!$C48*MAX(0,MIN(Inputs!$E48,F$6)-MAX(Inputs!$D48,F$5)+1)/(Inputs!$E48-Inputs!$D48+1))</f>
        <v>0</v>
      </c>
      <c r="G52" s="118">
        <f>IF(OR(Inputs!$C48="",Inputs!$D48="",Inputs!$E48=""),0,Inputs!$C48*MAX(0,MIN(Inputs!$E48,G$6)-MAX(Inputs!$D48,G$5)+1)/(Inputs!$E48-Inputs!$D48+1))</f>
        <v>0</v>
      </c>
      <c r="H52" s="118">
        <f>IF(OR(Inputs!$C48="",Inputs!$D48="",Inputs!$E48=""),0,Inputs!$C48*MAX(0,MIN(Inputs!$E48,H$6)-MAX(Inputs!$D48,H$5)+1)/(Inputs!$E48-Inputs!$D48+1))</f>
        <v>0</v>
      </c>
      <c r="I52" s="118">
        <f>IF(OR(Inputs!$C48="",Inputs!$D48="",Inputs!$E48=""),0,Inputs!$C48*MAX(0,MIN(Inputs!$E48,I$6)-MAX(Inputs!$D48,I$5)+1)/(Inputs!$E48-Inputs!$D48+1))</f>
        <v>0</v>
      </c>
      <c r="J52" s="118">
        <f>IF(OR(Inputs!$C48="",Inputs!$D48="",Inputs!$E48=""),0,Inputs!$C48*MAX(0,MIN(Inputs!$E48,J$6)-MAX(Inputs!$D48,J$5)+1)/(Inputs!$E48-Inputs!$D48+1))</f>
        <v>0</v>
      </c>
      <c r="K52" s="118">
        <f>IF(OR(Inputs!$C48="",Inputs!$D48="",Inputs!$E48=""),0,Inputs!$C48*MAX(0,MIN(Inputs!$E48,K$6)-MAX(Inputs!$D48,K$5)+1)/(Inputs!$E48-Inputs!$D48+1))</f>
        <v>0</v>
      </c>
      <c r="L52" s="118">
        <f>IF(OR(Inputs!$C48="",Inputs!$D48="",Inputs!$E48=""),0,Inputs!$C48*MAX(0,MIN(Inputs!$E48,L$6)-MAX(Inputs!$D48,L$5)+1)/(Inputs!$E48-Inputs!$D48+1))</f>
        <v>0</v>
      </c>
      <c r="M52" s="118">
        <f>IF(OR(Inputs!$C48="",Inputs!$D48="",Inputs!$E48=""),0,Inputs!$C48*MAX(0,MIN(Inputs!$E48,M$6)-MAX(Inputs!$D48,M$5)+1)/(Inputs!$E48-Inputs!$D48+1))</f>
        <v>0</v>
      </c>
      <c r="N52" s="118">
        <f>IF(OR(Inputs!$C48="",Inputs!$D48="",Inputs!$E48=""),0,Inputs!$C48*MAX(0,MIN(Inputs!$E48,N$6)-MAX(Inputs!$D48,N$5)+1)/(Inputs!$E48-Inputs!$D48+1))</f>
        <v>0</v>
      </c>
      <c r="O52" s="118">
        <f>IF(OR(Inputs!$C48="",Inputs!$D48="",Inputs!$E48=""),0,Inputs!$C48*MAX(0,MIN(Inputs!$E48,O$6)-MAX(Inputs!$D48,O$5)+1)/(Inputs!$E48-Inputs!$D48+1))</f>
        <v>0</v>
      </c>
      <c r="P52" s="118">
        <f>IF(OR(Inputs!$C48="",Inputs!$D48="",Inputs!$E48=""),0,Inputs!$C48*MAX(0,MIN(Inputs!$E48,P$6)-MAX(Inputs!$D48,P$5)+1)/(Inputs!$E48-Inputs!$D48+1))</f>
        <v>0</v>
      </c>
      <c r="Q52" s="118">
        <f>IF(OR(Inputs!$C48="",Inputs!$D48="",Inputs!$E48=""),0,Inputs!$C48*MAX(0,MIN(Inputs!$E48,Q$6)-MAX(Inputs!$D48,Q$5)+1)/(Inputs!$E48-Inputs!$D48+1))</f>
        <v>0</v>
      </c>
      <c r="R52" s="118">
        <f>IF(OR(Inputs!$C48="",Inputs!$D48="",Inputs!$E48=""),0,Inputs!$C48*MAX(0,MIN(Inputs!$E48,R$6)-MAX(Inputs!$D48,R$5)+1)/(Inputs!$E48-Inputs!$D48+1))</f>
        <v>0</v>
      </c>
      <c r="S52" s="118">
        <f>IF(OR(Inputs!$C48="",Inputs!$D48="",Inputs!$E48=""),0,Inputs!$C48*MAX(0,MIN(Inputs!$E48,S$6)-MAX(Inputs!$D48,S$5)+1)/(Inputs!$E48-Inputs!$D48+1))</f>
        <v>0</v>
      </c>
      <c r="T52" s="118">
        <f>IF(OR(Inputs!$C48="",Inputs!$D48="",Inputs!$E48=""),0,Inputs!$C48*MAX(0,MIN(Inputs!$E48,T$6)-MAX(Inputs!$D48,T$5)+1)/(Inputs!$E48-Inputs!$D48+1))</f>
        <v>0</v>
      </c>
      <c r="U52" s="118">
        <f>IF(OR(Inputs!$C48="",Inputs!$D48="",Inputs!$E48=""),0,Inputs!$C48*MAX(0,MIN(Inputs!$E48,U$6)-MAX(Inputs!$D48,U$5)+1)/(Inputs!$E48-Inputs!$D48+1))</f>
        <v>0</v>
      </c>
      <c r="V52" s="118">
        <f>IF(OR(Inputs!$C48="",Inputs!$D48="",Inputs!$E48=""),0,Inputs!$C48*MAX(0,MIN(Inputs!$E48,V$6)-MAX(Inputs!$D48,V$5)+1)/(Inputs!$E48-Inputs!$D48+1))</f>
        <v>0</v>
      </c>
      <c r="W52" s="118">
        <f>IF(OR(Inputs!$C48="",Inputs!$D48="",Inputs!$E48=""),0,Inputs!$C48*MAX(0,MIN(Inputs!$E48,W$6)-MAX(Inputs!$D48,W$5)+1)/(Inputs!$E48-Inputs!$D48+1))</f>
        <v>0</v>
      </c>
      <c r="X52" s="118">
        <f>IF(OR(Inputs!$C48="",Inputs!$D48="",Inputs!$E48=""),0,Inputs!$C48*MAX(0,MIN(Inputs!$E48,X$6)-MAX(Inputs!$D48,X$5)+1)/(Inputs!$E48-Inputs!$D48+1))</f>
        <v>0</v>
      </c>
      <c r="Y52" s="118">
        <f t="shared" si="6"/>
        <v>0</v>
      </c>
    </row>
    <row r="53" spans="1:25" x14ac:dyDescent="0.3">
      <c r="A53" s="116" t="str">
        <f>IF(Inputs!$A49="","",Inputs!$A49)</f>
        <v/>
      </c>
      <c r="B53" s="117" t="str">
        <f>IF(Inputs!$A49="","",Inputs!$D49)</f>
        <v/>
      </c>
      <c r="C53" s="117" t="str">
        <f>IF(Inputs!$A49="","",Inputs!$E49)</f>
        <v/>
      </c>
      <c r="D53" s="118">
        <f>IF(OR(Inputs!$C49="",Inputs!$D49="",Inputs!$E49=""),0,Inputs!$C49*MAX(0,MIN(Inputs!$E49,D$6)-MAX(Inputs!$D49,D$5)+1)/(Inputs!$E49-Inputs!$D49+1))</f>
        <v>0</v>
      </c>
      <c r="E53" s="118">
        <f>IF(OR(Inputs!$C49="",Inputs!$D49="",Inputs!$E49=""),0,Inputs!$C49*MAX(0,MIN(Inputs!$E49,E$6)-MAX(Inputs!$D49,E$5)+1)/(Inputs!$E49-Inputs!$D49+1))</f>
        <v>0</v>
      </c>
      <c r="F53" s="118">
        <f>IF(OR(Inputs!$C49="",Inputs!$D49="",Inputs!$E49=""),0,Inputs!$C49*MAX(0,MIN(Inputs!$E49,F$6)-MAX(Inputs!$D49,F$5)+1)/(Inputs!$E49-Inputs!$D49+1))</f>
        <v>0</v>
      </c>
      <c r="G53" s="118">
        <f>IF(OR(Inputs!$C49="",Inputs!$D49="",Inputs!$E49=""),0,Inputs!$C49*MAX(0,MIN(Inputs!$E49,G$6)-MAX(Inputs!$D49,G$5)+1)/(Inputs!$E49-Inputs!$D49+1))</f>
        <v>0</v>
      </c>
      <c r="H53" s="118">
        <f>IF(OR(Inputs!$C49="",Inputs!$D49="",Inputs!$E49=""),0,Inputs!$C49*MAX(0,MIN(Inputs!$E49,H$6)-MAX(Inputs!$D49,H$5)+1)/(Inputs!$E49-Inputs!$D49+1))</f>
        <v>0</v>
      </c>
      <c r="I53" s="118">
        <f>IF(OR(Inputs!$C49="",Inputs!$D49="",Inputs!$E49=""),0,Inputs!$C49*MAX(0,MIN(Inputs!$E49,I$6)-MAX(Inputs!$D49,I$5)+1)/(Inputs!$E49-Inputs!$D49+1))</f>
        <v>0</v>
      </c>
      <c r="J53" s="118">
        <f>IF(OR(Inputs!$C49="",Inputs!$D49="",Inputs!$E49=""),0,Inputs!$C49*MAX(0,MIN(Inputs!$E49,J$6)-MAX(Inputs!$D49,J$5)+1)/(Inputs!$E49-Inputs!$D49+1))</f>
        <v>0</v>
      </c>
      <c r="K53" s="118">
        <f>IF(OR(Inputs!$C49="",Inputs!$D49="",Inputs!$E49=""),0,Inputs!$C49*MAX(0,MIN(Inputs!$E49,K$6)-MAX(Inputs!$D49,K$5)+1)/(Inputs!$E49-Inputs!$D49+1))</f>
        <v>0</v>
      </c>
      <c r="L53" s="118">
        <f>IF(OR(Inputs!$C49="",Inputs!$D49="",Inputs!$E49=""),0,Inputs!$C49*MAX(0,MIN(Inputs!$E49,L$6)-MAX(Inputs!$D49,L$5)+1)/(Inputs!$E49-Inputs!$D49+1))</f>
        <v>0</v>
      </c>
      <c r="M53" s="118">
        <f>IF(OR(Inputs!$C49="",Inputs!$D49="",Inputs!$E49=""),0,Inputs!$C49*MAX(0,MIN(Inputs!$E49,M$6)-MAX(Inputs!$D49,M$5)+1)/(Inputs!$E49-Inputs!$D49+1))</f>
        <v>0</v>
      </c>
      <c r="N53" s="118">
        <f>IF(OR(Inputs!$C49="",Inputs!$D49="",Inputs!$E49=""),0,Inputs!$C49*MAX(0,MIN(Inputs!$E49,N$6)-MAX(Inputs!$D49,N$5)+1)/(Inputs!$E49-Inputs!$D49+1))</f>
        <v>0</v>
      </c>
      <c r="O53" s="118">
        <f>IF(OR(Inputs!$C49="",Inputs!$D49="",Inputs!$E49=""),0,Inputs!$C49*MAX(0,MIN(Inputs!$E49,O$6)-MAX(Inputs!$D49,O$5)+1)/(Inputs!$E49-Inputs!$D49+1))</f>
        <v>0</v>
      </c>
      <c r="P53" s="118">
        <f>IF(OR(Inputs!$C49="",Inputs!$D49="",Inputs!$E49=""),0,Inputs!$C49*MAX(0,MIN(Inputs!$E49,P$6)-MAX(Inputs!$D49,P$5)+1)/(Inputs!$E49-Inputs!$D49+1))</f>
        <v>0</v>
      </c>
      <c r="Q53" s="118">
        <f>IF(OR(Inputs!$C49="",Inputs!$D49="",Inputs!$E49=""),0,Inputs!$C49*MAX(0,MIN(Inputs!$E49,Q$6)-MAX(Inputs!$D49,Q$5)+1)/(Inputs!$E49-Inputs!$D49+1))</f>
        <v>0</v>
      </c>
      <c r="R53" s="118">
        <f>IF(OR(Inputs!$C49="",Inputs!$D49="",Inputs!$E49=""),0,Inputs!$C49*MAX(0,MIN(Inputs!$E49,R$6)-MAX(Inputs!$D49,R$5)+1)/(Inputs!$E49-Inputs!$D49+1))</f>
        <v>0</v>
      </c>
      <c r="S53" s="118">
        <f>IF(OR(Inputs!$C49="",Inputs!$D49="",Inputs!$E49=""),0,Inputs!$C49*MAX(0,MIN(Inputs!$E49,S$6)-MAX(Inputs!$D49,S$5)+1)/(Inputs!$E49-Inputs!$D49+1))</f>
        <v>0</v>
      </c>
      <c r="T53" s="118">
        <f>IF(OR(Inputs!$C49="",Inputs!$D49="",Inputs!$E49=""),0,Inputs!$C49*MAX(0,MIN(Inputs!$E49,T$6)-MAX(Inputs!$D49,T$5)+1)/(Inputs!$E49-Inputs!$D49+1))</f>
        <v>0</v>
      </c>
      <c r="U53" s="118">
        <f>IF(OR(Inputs!$C49="",Inputs!$D49="",Inputs!$E49=""),0,Inputs!$C49*MAX(0,MIN(Inputs!$E49,U$6)-MAX(Inputs!$D49,U$5)+1)/(Inputs!$E49-Inputs!$D49+1))</f>
        <v>0</v>
      </c>
      <c r="V53" s="118">
        <f>IF(OR(Inputs!$C49="",Inputs!$D49="",Inputs!$E49=""),0,Inputs!$C49*MAX(0,MIN(Inputs!$E49,V$6)-MAX(Inputs!$D49,V$5)+1)/(Inputs!$E49-Inputs!$D49+1))</f>
        <v>0</v>
      </c>
      <c r="W53" s="118">
        <f>IF(OR(Inputs!$C49="",Inputs!$D49="",Inputs!$E49=""),0,Inputs!$C49*MAX(0,MIN(Inputs!$E49,W$6)-MAX(Inputs!$D49,W$5)+1)/(Inputs!$E49-Inputs!$D49+1))</f>
        <v>0</v>
      </c>
      <c r="X53" s="118">
        <f>IF(OR(Inputs!$C49="",Inputs!$D49="",Inputs!$E49=""),0,Inputs!$C49*MAX(0,MIN(Inputs!$E49,X$6)-MAX(Inputs!$D49,X$5)+1)/(Inputs!$E49-Inputs!$D49+1))</f>
        <v>0</v>
      </c>
      <c r="Y53" s="118">
        <f t="shared" si="6"/>
        <v>0</v>
      </c>
    </row>
    <row r="54" spans="1:25" x14ac:dyDescent="0.3">
      <c r="A54" s="116" t="str">
        <f>IF(Inputs!$A50="","",Inputs!$A50)</f>
        <v/>
      </c>
      <c r="B54" s="117" t="str">
        <f>IF(Inputs!$A50="","",Inputs!$D50)</f>
        <v/>
      </c>
      <c r="C54" s="117" t="str">
        <f>IF(Inputs!$A50="","",Inputs!$E50)</f>
        <v/>
      </c>
      <c r="D54" s="118">
        <f>IF(OR(Inputs!$C50="",Inputs!$D50="",Inputs!$E50=""),0,Inputs!$C50*MAX(0,MIN(Inputs!$E50,D$6)-MAX(Inputs!$D50,D$5)+1)/(Inputs!$E50-Inputs!$D50+1))</f>
        <v>0</v>
      </c>
      <c r="E54" s="118">
        <f>IF(OR(Inputs!$C50="",Inputs!$D50="",Inputs!$E50=""),0,Inputs!$C50*MAX(0,MIN(Inputs!$E50,E$6)-MAX(Inputs!$D50,E$5)+1)/(Inputs!$E50-Inputs!$D50+1))</f>
        <v>0</v>
      </c>
      <c r="F54" s="118">
        <f>IF(OR(Inputs!$C50="",Inputs!$D50="",Inputs!$E50=""),0,Inputs!$C50*MAX(0,MIN(Inputs!$E50,F$6)-MAX(Inputs!$D50,F$5)+1)/(Inputs!$E50-Inputs!$D50+1))</f>
        <v>0</v>
      </c>
      <c r="G54" s="118">
        <f>IF(OR(Inputs!$C50="",Inputs!$D50="",Inputs!$E50=""),0,Inputs!$C50*MAX(0,MIN(Inputs!$E50,G$6)-MAX(Inputs!$D50,G$5)+1)/(Inputs!$E50-Inputs!$D50+1))</f>
        <v>0</v>
      </c>
      <c r="H54" s="118">
        <f>IF(OR(Inputs!$C50="",Inputs!$D50="",Inputs!$E50=""),0,Inputs!$C50*MAX(0,MIN(Inputs!$E50,H$6)-MAX(Inputs!$D50,H$5)+1)/(Inputs!$E50-Inputs!$D50+1))</f>
        <v>0</v>
      </c>
      <c r="I54" s="118">
        <f>IF(OR(Inputs!$C50="",Inputs!$D50="",Inputs!$E50=""),0,Inputs!$C50*MAX(0,MIN(Inputs!$E50,I$6)-MAX(Inputs!$D50,I$5)+1)/(Inputs!$E50-Inputs!$D50+1))</f>
        <v>0</v>
      </c>
      <c r="J54" s="118">
        <f>IF(OR(Inputs!$C50="",Inputs!$D50="",Inputs!$E50=""),0,Inputs!$C50*MAX(0,MIN(Inputs!$E50,J$6)-MAX(Inputs!$D50,J$5)+1)/(Inputs!$E50-Inputs!$D50+1))</f>
        <v>0</v>
      </c>
      <c r="K54" s="118">
        <f>IF(OR(Inputs!$C50="",Inputs!$D50="",Inputs!$E50=""),0,Inputs!$C50*MAX(0,MIN(Inputs!$E50,K$6)-MAX(Inputs!$D50,K$5)+1)/(Inputs!$E50-Inputs!$D50+1))</f>
        <v>0</v>
      </c>
      <c r="L54" s="118">
        <f>IF(OR(Inputs!$C50="",Inputs!$D50="",Inputs!$E50=""),0,Inputs!$C50*MAX(0,MIN(Inputs!$E50,L$6)-MAX(Inputs!$D50,L$5)+1)/(Inputs!$E50-Inputs!$D50+1))</f>
        <v>0</v>
      </c>
      <c r="M54" s="118">
        <f>IF(OR(Inputs!$C50="",Inputs!$D50="",Inputs!$E50=""),0,Inputs!$C50*MAX(0,MIN(Inputs!$E50,M$6)-MAX(Inputs!$D50,M$5)+1)/(Inputs!$E50-Inputs!$D50+1))</f>
        <v>0</v>
      </c>
      <c r="N54" s="118">
        <f>IF(OR(Inputs!$C50="",Inputs!$D50="",Inputs!$E50=""),0,Inputs!$C50*MAX(0,MIN(Inputs!$E50,N$6)-MAX(Inputs!$D50,N$5)+1)/(Inputs!$E50-Inputs!$D50+1))</f>
        <v>0</v>
      </c>
      <c r="O54" s="118">
        <f>IF(OR(Inputs!$C50="",Inputs!$D50="",Inputs!$E50=""),0,Inputs!$C50*MAX(0,MIN(Inputs!$E50,O$6)-MAX(Inputs!$D50,O$5)+1)/(Inputs!$E50-Inputs!$D50+1))</f>
        <v>0</v>
      </c>
      <c r="P54" s="118">
        <f>IF(OR(Inputs!$C50="",Inputs!$D50="",Inputs!$E50=""),0,Inputs!$C50*MAX(0,MIN(Inputs!$E50,P$6)-MAX(Inputs!$D50,P$5)+1)/(Inputs!$E50-Inputs!$D50+1))</f>
        <v>0</v>
      </c>
      <c r="Q54" s="118">
        <f>IF(OR(Inputs!$C50="",Inputs!$D50="",Inputs!$E50=""),0,Inputs!$C50*MAX(0,MIN(Inputs!$E50,Q$6)-MAX(Inputs!$D50,Q$5)+1)/(Inputs!$E50-Inputs!$D50+1))</f>
        <v>0</v>
      </c>
      <c r="R54" s="118">
        <f>IF(OR(Inputs!$C50="",Inputs!$D50="",Inputs!$E50=""),0,Inputs!$C50*MAX(0,MIN(Inputs!$E50,R$6)-MAX(Inputs!$D50,R$5)+1)/(Inputs!$E50-Inputs!$D50+1))</f>
        <v>0</v>
      </c>
      <c r="S54" s="118">
        <f>IF(OR(Inputs!$C50="",Inputs!$D50="",Inputs!$E50=""),0,Inputs!$C50*MAX(0,MIN(Inputs!$E50,S$6)-MAX(Inputs!$D50,S$5)+1)/(Inputs!$E50-Inputs!$D50+1))</f>
        <v>0</v>
      </c>
      <c r="T54" s="118">
        <f>IF(OR(Inputs!$C50="",Inputs!$D50="",Inputs!$E50=""),0,Inputs!$C50*MAX(0,MIN(Inputs!$E50,T$6)-MAX(Inputs!$D50,T$5)+1)/(Inputs!$E50-Inputs!$D50+1))</f>
        <v>0</v>
      </c>
      <c r="U54" s="118">
        <f>IF(OR(Inputs!$C50="",Inputs!$D50="",Inputs!$E50=""),0,Inputs!$C50*MAX(0,MIN(Inputs!$E50,U$6)-MAX(Inputs!$D50,U$5)+1)/(Inputs!$E50-Inputs!$D50+1))</f>
        <v>0</v>
      </c>
      <c r="V54" s="118">
        <f>IF(OR(Inputs!$C50="",Inputs!$D50="",Inputs!$E50=""),0,Inputs!$C50*MAX(0,MIN(Inputs!$E50,V$6)-MAX(Inputs!$D50,V$5)+1)/(Inputs!$E50-Inputs!$D50+1))</f>
        <v>0</v>
      </c>
      <c r="W54" s="118">
        <f>IF(OR(Inputs!$C50="",Inputs!$D50="",Inputs!$E50=""),0,Inputs!$C50*MAX(0,MIN(Inputs!$E50,W$6)-MAX(Inputs!$D50,W$5)+1)/(Inputs!$E50-Inputs!$D50+1))</f>
        <v>0</v>
      </c>
      <c r="X54" s="118">
        <f>IF(OR(Inputs!$C50="",Inputs!$D50="",Inputs!$E50=""),0,Inputs!$C50*MAX(0,MIN(Inputs!$E50,X$6)-MAX(Inputs!$D50,X$5)+1)/(Inputs!$E50-Inputs!$D50+1))</f>
        <v>0</v>
      </c>
      <c r="Y54" s="118">
        <f t="shared" si="6"/>
        <v>0</v>
      </c>
    </row>
    <row r="55" spans="1:25" x14ac:dyDescent="0.3">
      <c r="A55" s="116" t="str">
        <f>IF(Inputs!$A51="","",Inputs!$A51)</f>
        <v/>
      </c>
      <c r="B55" s="117" t="str">
        <f>IF(Inputs!$A51="","",Inputs!$D51)</f>
        <v/>
      </c>
      <c r="C55" s="117" t="str">
        <f>IF(Inputs!$A51="","",Inputs!$E51)</f>
        <v/>
      </c>
      <c r="D55" s="118">
        <f>IF(OR(Inputs!$C51="",Inputs!$D51="",Inputs!$E51=""),0,Inputs!$C51*MAX(0,MIN(Inputs!$E51,D$6)-MAX(Inputs!$D51,D$5)+1)/(Inputs!$E51-Inputs!$D51+1))</f>
        <v>0</v>
      </c>
      <c r="E55" s="118">
        <f>IF(OR(Inputs!$C51="",Inputs!$D51="",Inputs!$E51=""),0,Inputs!$C51*MAX(0,MIN(Inputs!$E51,E$6)-MAX(Inputs!$D51,E$5)+1)/(Inputs!$E51-Inputs!$D51+1))</f>
        <v>0</v>
      </c>
      <c r="F55" s="118">
        <f>IF(OR(Inputs!$C51="",Inputs!$D51="",Inputs!$E51=""),0,Inputs!$C51*MAX(0,MIN(Inputs!$E51,F$6)-MAX(Inputs!$D51,F$5)+1)/(Inputs!$E51-Inputs!$D51+1))</f>
        <v>0</v>
      </c>
      <c r="G55" s="118">
        <f>IF(OR(Inputs!$C51="",Inputs!$D51="",Inputs!$E51=""),0,Inputs!$C51*MAX(0,MIN(Inputs!$E51,G$6)-MAX(Inputs!$D51,G$5)+1)/(Inputs!$E51-Inputs!$D51+1))</f>
        <v>0</v>
      </c>
      <c r="H55" s="118">
        <f>IF(OR(Inputs!$C51="",Inputs!$D51="",Inputs!$E51=""),0,Inputs!$C51*MAX(0,MIN(Inputs!$E51,H$6)-MAX(Inputs!$D51,H$5)+1)/(Inputs!$E51-Inputs!$D51+1))</f>
        <v>0</v>
      </c>
      <c r="I55" s="118">
        <f>IF(OR(Inputs!$C51="",Inputs!$D51="",Inputs!$E51=""),0,Inputs!$C51*MAX(0,MIN(Inputs!$E51,I$6)-MAX(Inputs!$D51,I$5)+1)/(Inputs!$E51-Inputs!$D51+1))</f>
        <v>0</v>
      </c>
      <c r="J55" s="118">
        <f>IF(OR(Inputs!$C51="",Inputs!$D51="",Inputs!$E51=""),0,Inputs!$C51*MAX(0,MIN(Inputs!$E51,J$6)-MAX(Inputs!$D51,J$5)+1)/(Inputs!$E51-Inputs!$D51+1))</f>
        <v>0</v>
      </c>
      <c r="K55" s="118">
        <f>IF(OR(Inputs!$C51="",Inputs!$D51="",Inputs!$E51=""),0,Inputs!$C51*MAX(0,MIN(Inputs!$E51,K$6)-MAX(Inputs!$D51,K$5)+1)/(Inputs!$E51-Inputs!$D51+1))</f>
        <v>0</v>
      </c>
      <c r="L55" s="118">
        <f>IF(OR(Inputs!$C51="",Inputs!$D51="",Inputs!$E51=""),0,Inputs!$C51*MAX(0,MIN(Inputs!$E51,L$6)-MAX(Inputs!$D51,L$5)+1)/(Inputs!$E51-Inputs!$D51+1))</f>
        <v>0</v>
      </c>
      <c r="M55" s="118">
        <f>IF(OR(Inputs!$C51="",Inputs!$D51="",Inputs!$E51=""),0,Inputs!$C51*MAX(0,MIN(Inputs!$E51,M$6)-MAX(Inputs!$D51,M$5)+1)/(Inputs!$E51-Inputs!$D51+1))</f>
        <v>0</v>
      </c>
      <c r="N55" s="118">
        <f>IF(OR(Inputs!$C51="",Inputs!$D51="",Inputs!$E51=""),0,Inputs!$C51*MAX(0,MIN(Inputs!$E51,N$6)-MAX(Inputs!$D51,N$5)+1)/(Inputs!$E51-Inputs!$D51+1))</f>
        <v>0</v>
      </c>
      <c r="O55" s="118">
        <f>IF(OR(Inputs!$C51="",Inputs!$D51="",Inputs!$E51=""),0,Inputs!$C51*MAX(0,MIN(Inputs!$E51,O$6)-MAX(Inputs!$D51,O$5)+1)/(Inputs!$E51-Inputs!$D51+1))</f>
        <v>0</v>
      </c>
      <c r="P55" s="118">
        <f>IF(OR(Inputs!$C51="",Inputs!$D51="",Inputs!$E51=""),0,Inputs!$C51*MAX(0,MIN(Inputs!$E51,P$6)-MAX(Inputs!$D51,P$5)+1)/(Inputs!$E51-Inputs!$D51+1))</f>
        <v>0</v>
      </c>
      <c r="Q55" s="118">
        <f>IF(OR(Inputs!$C51="",Inputs!$D51="",Inputs!$E51=""),0,Inputs!$C51*MAX(0,MIN(Inputs!$E51,Q$6)-MAX(Inputs!$D51,Q$5)+1)/(Inputs!$E51-Inputs!$D51+1))</f>
        <v>0</v>
      </c>
      <c r="R55" s="118">
        <f>IF(OR(Inputs!$C51="",Inputs!$D51="",Inputs!$E51=""),0,Inputs!$C51*MAX(0,MIN(Inputs!$E51,R$6)-MAX(Inputs!$D51,R$5)+1)/(Inputs!$E51-Inputs!$D51+1))</f>
        <v>0</v>
      </c>
      <c r="S55" s="118">
        <f>IF(OR(Inputs!$C51="",Inputs!$D51="",Inputs!$E51=""),0,Inputs!$C51*MAX(0,MIN(Inputs!$E51,S$6)-MAX(Inputs!$D51,S$5)+1)/(Inputs!$E51-Inputs!$D51+1))</f>
        <v>0</v>
      </c>
      <c r="T55" s="118">
        <f>IF(OR(Inputs!$C51="",Inputs!$D51="",Inputs!$E51=""),0,Inputs!$C51*MAX(0,MIN(Inputs!$E51,T$6)-MAX(Inputs!$D51,T$5)+1)/(Inputs!$E51-Inputs!$D51+1))</f>
        <v>0</v>
      </c>
      <c r="U55" s="118">
        <f>IF(OR(Inputs!$C51="",Inputs!$D51="",Inputs!$E51=""),0,Inputs!$C51*MAX(0,MIN(Inputs!$E51,U$6)-MAX(Inputs!$D51,U$5)+1)/(Inputs!$E51-Inputs!$D51+1))</f>
        <v>0</v>
      </c>
      <c r="V55" s="118">
        <f>IF(OR(Inputs!$C51="",Inputs!$D51="",Inputs!$E51=""),0,Inputs!$C51*MAX(0,MIN(Inputs!$E51,V$6)-MAX(Inputs!$D51,V$5)+1)/(Inputs!$E51-Inputs!$D51+1))</f>
        <v>0</v>
      </c>
      <c r="W55" s="118">
        <f>IF(OR(Inputs!$C51="",Inputs!$D51="",Inputs!$E51=""),0,Inputs!$C51*MAX(0,MIN(Inputs!$E51,W$6)-MAX(Inputs!$D51,W$5)+1)/(Inputs!$E51-Inputs!$D51+1))</f>
        <v>0</v>
      </c>
      <c r="X55" s="118">
        <f>IF(OR(Inputs!$C51="",Inputs!$D51="",Inputs!$E51=""),0,Inputs!$C51*MAX(0,MIN(Inputs!$E51,X$6)-MAX(Inputs!$D51,X$5)+1)/(Inputs!$E51-Inputs!$D51+1))</f>
        <v>0</v>
      </c>
      <c r="Y55" s="118">
        <f t="shared" si="6"/>
        <v>0</v>
      </c>
    </row>
    <row r="56" spans="1:25" x14ac:dyDescent="0.3">
      <c r="A56" s="116" t="str">
        <f>IF(Inputs!$A52="","",Inputs!$A52)</f>
        <v/>
      </c>
      <c r="B56" s="117" t="str">
        <f>IF(Inputs!$A52="","",Inputs!$D52)</f>
        <v/>
      </c>
      <c r="C56" s="117" t="str">
        <f>IF(Inputs!$A52="","",Inputs!$E52)</f>
        <v/>
      </c>
      <c r="D56" s="118">
        <f>IF(OR(Inputs!$C52="",Inputs!$D52="",Inputs!$E52=""),0,Inputs!$C52*MAX(0,MIN(Inputs!$E52,D$6)-MAX(Inputs!$D52,D$5)+1)/(Inputs!$E52-Inputs!$D52+1))</f>
        <v>0</v>
      </c>
      <c r="E56" s="118">
        <f>IF(OR(Inputs!$C52="",Inputs!$D52="",Inputs!$E52=""),0,Inputs!$C52*MAX(0,MIN(Inputs!$E52,E$6)-MAX(Inputs!$D52,E$5)+1)/(Inputs!$E52-Inputs!$D52+1))</f>
        <v>0</v>
      </c>
      <c r="F56" s="118">
        <f>IF(OR(Inputs!$C52="",Inputs!$D52="",Inputs!$E52=""),0,Inputs!$C52*MAX(0,MIN(Inputs!$E52,F$6)-MAX(Inputs!$D52,F$5)+1)/(Inputs!$E52-Inputs!$D52+1))</f>
        <v>0</v>
      </c>
      <c r="G56" s="118">
        <f>IF(OR(Inputs!$C52="",Inputs!$D52="",Inputs!$E52=""),0,Inputs!$C52*MAX(0,MIN(Inputs!$E52,G$6)-MAX(Inputs!$D52,G$5)+1)/(Inputs!$E52-Inputs!$D52+1))</f>
        <v>0</v>
      </c>
      <c r="H56" s="118">
        <f>IF(OR(Inputs!$C52="",Inputs!$D52="",Inputs!$E52=""),0,Inputs!$C52*MAX(0,MIN(Inputs!$E52,H$6)-MAX(Inputs!$D52,H$5)+1)/(Inputs!$E52-Inputs!$D52+1))</f>
        <v>0</v>
      </c>
      <c r="I56" s="118">
        <f>IF(OR(Inputs!$C52="",Inputs!$D52="",Inputs!$E52=""),0,Inputs!$C52*MAX(0,MIN(Inputs!$E52,I$6)-MAX(Inputs!$D52,I$5)+1)/(Inputs!$E52-Inputs!$D52+1))</f>
        <v>0</v>
      </c>
      <c r="J56" s="118">
        <f>IF(OR(Inputs!$C52="",Inputs!$D52="",Inputs!$E52=""),0,Inputs!$C52*MAX(0,MIN(Inputs!$E52,J$6)-MAX(Inputs!$D52,J$5)+1)/(Inputs!$E52-Inputs!$D52+1))</f>
        <v>0</v>
      </c>
      <c r="K56" s="118">
        <f>IF(OR(Inputs!$C52="",Inputs!$D52="",Inputs!$E52=""),0,Inputs!$C52*MAX(0,MIN(Inputs!$E52,K$6)-MAX(Inputs!$D52,K$5)+1)/(Inputs!$E52-Inputs!$D52+1))</f>
        <v>0</v>
      </c>
      <c r="L56" s="118">
        <f>IF(OR(Inputs!$C52="",Inputs!$D52="",Inputs!$E52=""),0,Inputs!$C52*MAX(0,MIN(Inputs!$E52,L$6)-MAX(Inputs!$D52,L$5)+1)/(Inputs!$E52-Inputs!$D52+1))</f>
        <v>0</v>
      </c>
      <c r="M56" s="118">
        <f>IF(OR(Inputs!$C52="",Inputs!$D52="",Inputs!$E52=""),0,Inputs!$C52*MAX(0,MIN(Inputs!$E52,M$6)-MAX(Inputs!$D52,M$5)+1)/(Inputs!$E52-Inputs!$D52+1))</f>
        <v>0</v>
      </c>
      <c r="N56" s="118">
        <f>IF(OR(Inputs!$C52="",Inputs!$D52="",Inputs!$E52=""),0,Inputs!$C52*MAX(0,MIN(Inputs!$E52,N$6)-MAX(Inputs!$D52,N$5)+1)/(Inputs!$E52-Inputs!$D52+1))</f>
        <v>0</v>
      </c>
      <c r="O56" s="118">
        <f>IF(OR(Inputs!$C52="",Inputs!$D52="",Inputs!$E52=""),0,Inputs!$C52*MAX(0,MIN(Inputs!$E52,O$6)-MAX(Inputs!$D52,O$5)+1)/(Inputs!$E52-Inputs!$D52+1))</f>
        <v>0</v>
      </c>
      <c r="P56" s="118">
        <f>IF(OR(Inputs!$C52="",Inputs!$D52="",Inputs!$E52=""),0,Inputs!$C52*MAX(0,MIN(Inputs!$E52,P$6)-MAX(Inputs!$D52,P$5)+1)/(Inputs!$E52-Inputs!$D52+1))</f>
        <v>0</v>
      </c>
      <c r="Q56" s="118">
        <f>IF(OR(Inputs!$C52="",Inputs!$D52="",Inputs!$E52=""),0,Inputs!$C52*MAX(0,MIN(Inputs!$E52,Q$6)-MAX(Inputs!$D52,Q$5)+1)/(Inputs!$E52-Inputs!$D52+1))</f>
        <v>0</v>
      </c>
      <c r="R56" s="118">
        <f>IF(OR(Inputs!$C52="",Inputs!$D52="",Inputs!$E52=""),0,Inputs!$C52*MAX(0,MIN(Inputs!$E52,R$6)-MAX(Inputs!$D52,R$5)+1)/(Inputs!$E52-Inputs!$D52+1))</f>
        <v>0</v>
      </c>
      <c r="S56" s="118">
        <f>IF(OR(Inputs!$C52="",Inputs!$D52="",Inputs!$E52=""),0,Inputs!$C52*MAX(0,MIN(Inputs!$E52,S$6)-MAX(Inputs!$D52,S$5)+1)/(Inputs!$E52-Inputs!$D52+1))</f>
        <v>0</v>
      </c>
      <c r="T56" s="118">
        <f>IF(OR(Inputs!$C52="",Inputs!$D52="",Inputs!$E52=""),0,Inputs!$C52*MAX(0,MIN(Inputs!$E52,T$6)-MAX(Inputs!$D52,T$5)+1)/(Inputs!$E52-Inputs!$D52+1))</f>
        <v>0</v>
      </c>
      <c r="U56" s="118">
        <f>IF(OR(Inputs!$C52="",Inputs!$D52="",Inputs!$E52=""),0,Inputs!$C52*MAX(0,MIN(Inputs!$E52,U$6)-MAX(Inputs!$D52,U$5)+1)/(Inputs!$E52-Inputs!$D52+1))</f>
        <v>0</v>
      </c>
      <c r="V56" s="118">
        <f>IF(OR(Inputs!$C52="",Inputs!$D52="",Inputs!$E52=""),0,Inputs!$C52*MAX(0,MIN(Inputs!$E52,V$6)-MAX(Inputs!$D52,V$5)+1)/(Inputs!$E52-Inputs!$D52+1))</f>
        <v>0</v>
      </c>
      <c r="W56" s="118">
        <f>IF(OR(Inputs!$C52="",Inputs!$D52="",Inputs!$E52=""),0,Inputs!$C52*MAX(0,MIN(Inputs!$E52,W$6)-MAX(Inputs!$D52,W$5)+1)/(Inputs!$E52-Inputs!$D52+1))</f>
        <v>0</v>
      </c>
      <c r="X56" s="118">
        <f>IF(OR(Inputs!$C52="",Inputs!$D52="",Inputs!$E52=""),0,Inputs!$C52*MAX(0,MIN(Inputs!$E52,X$6)-MAX(Inputs!$D52,X$5)+1)/(Inputs!$E52-Inputs!$D52+1))</f>
        <v>0</v>
      </c>
      <c r="Y56" s="118">
        <f t="shared" si="6"/>
        <v>0</v>
      </c>
    </row>
    <row r="57" spans="1:25" x14ac:dyDescent="0.3">
      <c r="A57" s="116" t="str">
        <f>IF(Inputs!$A53="","",Inputs!$A53)</f>
        <v/>
      </c>
      <c r="B57" s="117" t="str">
        <f>IF(Inputs!$A53="","",Inputs!$D53)</f>
        <v/>
      </c>
      <c r="C57" s="117" t="str">
        <f>IF(Inputs!$A53="","",Inputs!$E53)</f>
        <v/>
      </c>
      <c r="D57" s="118">
        <f>IF(OR(Inputs!$C53="",Inputs!$D53="",Inputs!$E53=""),0,Inputs!$C53*MAX(0,MIN(Inputs!$E53,D$6)-MAX(Inputs!$D53,D$5)+1)/(Inputs!$E53-Inputs!$D53+1))</f>
        <v>0</v>
      </c>
      <c r="E57" s="118">
        <f>IF(OR(Inputs!$C53="",Inputs!$D53="",Inputs!$E53=""),0,Inputs!$C53*MAX(0,MIN(Inputs!$E53,E$6)-MAX(Inputs!$D53,E$5)+1)/(Inputs!$E53-Inputs!$D53+1))</f>
        <v>0</v>
      </c>
      <c r="F57" s="118">
        <f>IF(OR(Inputs!$C53="",Inputs!$D53="",Inputs!$E53=""),0,Inputs!$C53*MAX(0,MIN(Inputs!$E53,F$6)-MAX(Inputs!$D53,F$5)+1)/(Inputs!$E53-Inputs!$D53+1))</f>
        <v>0</v>
      </c>
      <c r="G57" s="118">
        <f>IF(OR(Inputs!$C53="",Inputs!$D53="",Inputs!$E53=""),0,Inputs!$C53*MAX(0,MIN(Inputs!$E53,G$6)-MAX(Inputs!$D53,G$5)+1)/(Inputs!$E53-Inputs!$D53+1))</f>
        <v>0</v>
      </c>
      <c r="H57" s="118">
        <f>IF(OR(Inputs!$C53="",Inputs!$D53="",Inputs!$E53=""),0,Inputs!$C53*MAX(0,MIN(Inputs!$E53,H$6)-MAX(Inputs!$D53,H$5)+1)/(Inputs!$E53-Inputs!$D53+1))</f>
        <v>0</v>
      </c>
      <c r="I57" s="118">
        <f>IF(OR(Inputs!$C53="",Inputs!$D53="",Inputs!$E53=""),0,Inputs!$C53*MAX(0,MIN(Inputs!$E53,I$6)-MAX(Inputs!$D53,I$5)+1)/(Inputs!$E53-Inputs!$D53+1))</f>
        <v>0</v>
      </c>
      <c r="J57" s="118">
        <f>IF(OR(Inputs!$C53="",Inputs!$D53="",Inputs!$E53=""),0,Inputs!$C53*MAX(0,MIN(Inputs!$E53,J$6)-MAX(Inputs!$D53,J$5)+1)/(Inputs!$E53-Inputs!$D53+1))</f>
        <v>0</v>
      </c>
      <c r="K57" s="118">
        <f>IF(OR(Inputs!$C53="",Inputs!$D53="",Inputs!$E53=""),0,Inputs!$C53*MAX(0,MIN(Inputs!$E53,K$6)-MAX(Inputs!$D53,K$5)+1)/(Inputs!$E53-Inputs!$D53+1))</f>
        <v>0</v>
      </c>
      <c r="L57" s="118">
        <f>IF(OR(Inputs!$C53="",Inputs!$D53="",Inputs!$E53=""),0,Inputs!$C53*MAX(0,MIN(Inputs!$E53,L$6)-MAX(Inputs!$D53,L$5)+1)/(Inputs!$E53-Inputs!$D53+1))</f>
        <v>0</v>
      </c>
      <c r="M57" s="118">
        <f>IF(OR(Inputs!$C53="",Inputs!$D53="",Inputs!$E53=""),0,Inputs!$C53*MAX(0,MIN(Inputs!$E53,M$6)-MAX(Inputs!$D53,M$5)+1)/(Inputs!$E53-Inputs!$D53+1))</f>
        <v>0</v>
      </c>
      <c r="N57" s="118">
        <f>IF(OR(Inputs!$C53="",Inputs!$D53="",Inputs!$E53=""),0,Inputs!$C53*MAX(0,MIN(Inputs!$E53,N$6)-MAX(Inputs!$D53,N$5)+1)/(Inputs!$E53-Inputs!$D53+1))</f>
        <v>0</v>
      </c>
      <c r="O57" s="118">
        <f>IF(OR(Inputs!$C53="",Inputs!$D53="",Inputs!$E53=""),0,Inputs!$C53*MAX(0,MIN(Inputs!$E53,O$6)-MAX(Inputs!$D53,O$5)+1)/(Inputs!$E53-Inputs!$D53+1))</f>
        <v>0</v>
      </c>
      <c r="P57" s="118">
        <f>IF(OR(Inputs!$C53="",Inputs!$D53="",Inputs!$E53=""),0,Inputs!$C53*MAX(0,MIN(Inputs!$E53,P$6)-MAX(Inputs!$D53,P$5)+1)/(Inputs!$E53-Inputs!$D53+1))</f>
        <v>0</v>
      </c>
      <c r="Q57" s="118">
        <f>IF(OR(Inputs!$C53="",Inputs!$D53="",Inputs!$E53=""),0,Inputs!$C53*MAX(0,MIN(Inputs!$E53,Q$6)-MAX(Inputs!$D53,Q$5)+1)/(Inputs!$E53-Inputs!$D53+1))</f>
        <v>0</v>
      </c>
      <c r="R57" s="118">
        <f>IF(OR(Inputs!$C53="",Inputs!$D53="",Inputs!$E53=""),0,Inputs!$C53*MAX(0,MIN(Inputs!$E53,R$6)-MAX(Inputs!$D53,R$5)+1)/(Inputs!$E53-Inputs!$D53+1))</f>
        <v>0</v>
      </c>
      <c r="S57" s="118">
        <f>IF(OR(Inputs!$C53="",Inputs!$D53="",Inputs!$E53=""),0,Inputs!$C53*MAX(0,MIN(Inputs!$E53,S$6)-MAX(Inputs!$D53,S$5)+1)/(Inputs!$E53-Inputs!$D53+1))</f>
        <v>0</v>
      </c>
      <c r="T57" s="118">
        <f>IF(OR(Inputs!$C53="",Inputs!$D53="",Inputs!$E53=""),0,Inputs!$C53*MAX(0,MIN(Inputs!$E53,T$6)-MAX(Inputs!$D53,T$5)+1)/(Inputs!$E53-Inputs!$D53+1))</f>
        <v>0</v>
      </c>
      <c r="U57" s="118">
        <f>IF(OR(Inputs!$C53="",Inputs!$D53="",Inputs!$E53=""),0,Inputs!$C53*MAX(0,MIN(Inputs!$E53,U$6)-MAX(Inputs!$D53,U$5)+1)/(Inputs!$E53-Inputs!$D53+1))</f>
        <v>0</v>
      </c>
      <c r="V57" s="118">
        <f>IF(OR(Inputs!$C53="",Inputs!$D53="",Inputs!$E53=""),0,Inputs!$C53*MAX(0,MIN(Inputs!$E53,V$6)-MAX(Inputs!$D53,V$5)+1)/(Inputs!$E53-Inputs!$D53+1))</f>
        <v>0</v>
      </c>
      <c r="W57" s="118">
        <f>IF(OR(Inputs!$C53="",Inputs!$D53="",Inputs!$E53=""),0,Inputs!$C53*MAX(0,MIN(Inputs!$E53,W$6)-MAX(Inputs!$D53,W$5)+1)/(Inputs!$E53-Inputs!$D53+1))</f>
        <v>0</v>
      </c>
      <c r="X57" s="118">
        <f>IF(OR(Inputs!$C53="",Inputs!$D53="",Inputs!$E53=""),0,Inputs!$C53*MAX(0,MIN(Inputs!$E53,X$6)-MAX(Inputs!$D53,X$5)+1)/(Inputs!$E53-Inputs!$D53+1))</f>
        <v>0</v>
      </c>
      <c r="Y57" s="118">
        <f t="shared" si="6"/>
        <v>0</v>
      </c>
    </row>
    <row r="58" spans="1:25" ht="19.95" customHeight="1" x14ac:dyDescent="0.3">
      <c r="A58" s="116" t="str">
        <f>IF(Inputs!$A54="","",Inputs!$A54)</f>
        <v/>
      </c>
      <c r="B58" s="117" t="str">
        <f>IF(Inputs!$A54="","",Inputs!$D54)</f>
        <v/>
      </c>
      <c r="C58" s="117" t="str">
        <f>IF(Inputs!$A54="","",Inputs!$E54)</f>
        <v/>
      </c>
      <c r="D58" s="118">
        <f>IF(OR(Inputs!$C54="",Inputs!$D54="",Inputs!$E54=""),0,Inputs!$C54*MAX(0,MIN(Inputs!$E54,D$6)-MAX(Inputs!$D54,D$5)+1)/(Inputs!$E54-Inputs!$D54+1))</f>
        <v>0</v>
      </c>
      <c r="E58" s="118">
        <f>IF(OR(Inputs!$C54="",Inputs!$D54="",Inputs!$E54=""),0,Inputs!$C54*MAX(0,MIN(Inputs!$E54,E$6)-MAX(Inputs!$D54,E$5)+1)/(Inputs!$E54-Inputs!$D54+1))</f>
        <v>0</v>
      </c>
      <c r="F58" s="118">
        <f>IF(OR(Inputs!$C54="",Inputs!$D54="",Inputs!$E54=""),0,Inputs!$C54*MAX(0,MIN(Inputs!$E54,F$6)-MAX(Inputs!$D54,F$5)+1)/(Inputs!$E54-Inputs!$D54+1))</f>
        <v>0</v>
      </c>
      <c r="G58" s="118">
        <f>IF(OR(Inputs!$C54="",Inputs!$D54="",Inputs!$E54=""),0,Inputs!$C54*MAX(0,MIN(Inputs!$E54,G$6)-MAX(Inputs!$D54,G$5)+1)/(Inputs!$E54-Inputs!$D54+1))</f>
        <v>0</v>
      </c>
      <c r="H58" s="118">
        <f>IF(OR(Inputs!$C54="",Inputs!$D54="",Inputs!$E54=""),0,Inputs!$C54*MAX(0,MIN(Inputs!$E54,H$6)-MAX(Inputs!$D54,H$5)+1)/(Inputs!$E54-Inputs!$D54+1))</f>
        <v>0</v>
      </c>
      <c r="I58" s="118">
        <f>IF(OR(Inputs!$C54="",Inputs!$D54="",Inputs!$E54=""),0,Inputs!$C54*MAX(0,MIN(Inputs!$E54,I$6)-MAX(Inputs!$D54,I$5)+1)/(Inputs!$E54-Inputs!$D54+1))</f>
        <v>0</v>
      </c>
      <c r="J58" s="118">
        <f>IF(OR(Inputs!$C54="",Inputs!$D54="",Inputs!$E54=""),0,Inputs!$C54*MAX(0,MIN(Inputs!$E54,J$6)-MAX(Inputs!$D54,J$5)+1)/(Inputs!$E54-Inputs!$D54+1))</f>
        <v>0</v>
      </c>
      <c r="K58" s="118">
        <f>IF(OR(Inputs!$C54="",Inputs!$D54="",Inputs!$E54=""),0,Inputs!$C54*MAX(0,MIN(Inputs!$E54,K$6)-MAX(Inputs!$D54,K$5)+1)/(Inputs!$E54-Inputs!$D54+1))</f>
        <v>0</v>
      </c>
      <c r="L58" s="118">
        <f>IF(OR(Inputs!$C54="",Inputs!$D54="",Inputs!$E54=""),0,Inputs!$C54*MAX(0,MIN(Inputs!$E54,L$6)-MAX(Inputs!$D54,L$5)+1)/(Inputs!$E54-Inputs!$D54+1))</f>
        <v>0</v>
      </c>
      <c r="M58" s="118">
        <f>IF(OR(Inputs!$C54="",Inputs!$D54="",Inputs!$E54=""),0,Inputs!$C54*MAX(0,MIN(Inputs!$E54,M$6)-MAX(Inputs!$D54,M$5)+1)/(Inputs!$E54-Inputs!$D54+1))</f>
        <v>0</v>
      </c>
      <c r="N58" s="118">
        <f>IF(OR(Inputs!$C54="",Inputs!$D54="",Inputs!$E54=""),0,Inputs!$C54*MAX(0,MIN(Inputs!$E54,N$6)-MAX(Inputs!$D54,N$5)+1)/(Inputs!$E54-Inputs!$D54+1))</f>
        <v>0</v>
      </c>
      <c r="O58" s="118">
        <f>IF(OR(Inputs!$C54="",Inputs!$D54="",Inputs!$E54=""),0,Inputs!$C54*MAX(0,MIN(Inputs!$E54,O$6)-MAX(Inputs!$D54,O$5)+1)/(Inputs!$E54-Inputs!$D54+1))</f>
        <v>0</v>
      </c>
      <c r="P58" s="118">
        <f>IF(OR(Inputs!$C54="",Inputs!$D54="",Inputs!$E54=""),0,Inputs!$C54*MAX(0,MIN(Inputs!$E54,P$6)-MAX(Inputs!$D54,P$5)+1)/(Inputs!$E54-Inputs!$D54+1))</f>
        <v>0</v>
      </c>
      <c r="Q58" s="118">
        <f>IF(OR(Inputs!$C54="",Inputs!$D54="",Inputs!$E54=""),0,Inputs!$C54*MAX(0,MIN(Inputs!$E54,Q$6)-MAX(Inputs!$D54,Q$5)+1)/(Inputs!$E54-Inputs!$D54+1))</f>
        <v>0</v>
      </c>
      <c r="R58" s="118">
        <f>IF(OR(Inputs!$C54="",Inputs!$D54="",Inputs!$E54=""),0,Inputs!$C54*MAX(0,MIN(Inputs!$E54,R$6)-MAX(Inputs!$D54,R$5)+1)/(Inputs!$E54-Inputs!$D54+1))</f>
        <v>0</v>
      </c>
      <c r="S58" s="118">
        <f>IF(OR(Inputs!$C54="",Inputs!$D54="",Inputs!$E54=""),0,Inputs!$C54*MAX(0,MIN(Inputs!$E54,S$6)-MAX(Inputs!$D54,S$5)+1)/(Inputs!$E54-Inputs!$D54+1))</f>
        <v>0</v>
      </c>
      <c r="T58" s="118">
        <f>IF(OR(Inputs!$C54="",Inputs!$D54="",Inputs!$E54=""),0,Inputs!$C54*MAX(0,MIN(Inputs!$E54,T$6)-MAX(Inputs!$D54,T$5)+1)/(Inputs!$E54-Inputs!$D54+1))</f>
        <v>0</v>
      </c>
      <c r="U58" s="118">
        <f>IF(OR(Inputs!$C54="",Inputs!$D54="",Inputs!$E54=""),0,Inputs!$C54*MAX(0,MIN(Inputs!$E54,U$6)-MAX(Inputs!$D54,U$5)+1)/(Inputs!$E54-Inputs!$D54+1))</f>
        <v>0</v>
      </c>
      <c r="V58" s="118">
        <f>IF(OR(Inputs!$C54="",Inputs!$D54="",Inputs!$E54=""),0,Inputs!$C54*MAX(0,MIN(Inputs!$E54,V$6)-MAX(Inputs!$D54,V$5)+1)/(Inputs!$E54-Inputs!$D54+1))</f>
        <v>0</v>
      </c>
      <c r="W58" s="118">
        <f>IF(OR(Inputs!$C54="",Inputs!$D54="",Inputs!$E54=""),0,Inputs!$C54*MAX(0,MIN(Inputs!$E54,W$6)-MAX(Inputs!$D54,W$5)+1)/(Inputs!$E54-Inputs!$D54+1))</f>
        <v>0</v>
      </c>
      <c r="X58" s="118">
        <f>IF(OR(Inputs!$C54="",Inputs!$D54="",Inputs!$E54=""),0,Inputs!$C54*MAX(0,MIN(Inputs!$E54,X$6)-MAX(Inputs!$D54,X$5)+1)/(Inputs!$E54-Inputs!$D54+1))</f>
        <v>0</v>
      </c>
      <c r="Y58" s="118">
        <f t="shared" si="6"/>
        <v>0</v>
      </c>
    </row>
    <row r="59" spans="1:25" x14ac:dyDescent="0.3">
      <c r="A59" s="116" t="str">
        <f>IF(Inputs!$A55="","",Inputs!$A55)</f>
        <v/>
      </c>
      <c r="B59" s="117" t="str">
        <f>IF(Inputs!$A55="","",Inputs!$D55)</f>
        <v/>
      </c>
      <c r="C59" s="117" t="str">
        <f>IF(Inputs!$A55="","",Inputs!$E55)</f>
        <v/>
      </c>
      <c r="D59" s="118">
        <f>IF(OR(Inputs!$C55="",Inputs!$D55="",Inputs!$E55=""),0,Inputs!$C55*MAX(0,MIN(Inputs!$E55,D$6)-MAX(Inputs!$D55,D$5)+1)/(Inputs!$E55-Inputs!$D55+1))</f>
        <v>0</v>
      </c>
      <c r="E59" s="118">
        <f>IF(OR(Inputs!$C55="",Inputs!$D55="",Inputs!$E55=""),0,Inputs!$C55*MAX(0,MIN(Inputs!$E55,E$6)-MAX(Inputs!$D55,E$5)+1)/(Inputs!$E55-Inputs!$D55+1))</f>
        <v>0</v>
      </c>
      <c r="F59" s="118">
        <f>IF(OR(Inputs!$C55="",Inputs!$D55="",Inputs!$E55=""),0,Inputs!$C55*MAX(0,MIN(Inputs!$E55,F$6)-MAX(Inputs!$D55,F$5)+1)/(Inputs!$E55-Inputs!$D55+1))</f>
        <v>0</v>
      </c>
      <c r="G59" s="118">
        <f>IF(OR(Inputs!$C55="",Inputs!$D55="",Inputs!$E55=""),0,Inputs!$C55*MAX(0,MIN(Inputs!$E55,G$6)-MAX(Inputs!$D55,G$5)+1)/(Inputs!$E55-Inputs!$D55+1))</f>
        <v>0</v>
      </c>
      <c r="H59" s="118">
        <f>IF(OR(Inputs!$C55="",Inputs!$D55="",Inputs!$E55=""),0,Inputs!$C55*MAX(0,MIN(Inputs!$E55,H$6)-MAX(Inputs!$D55,H$5)+1)/(Inputs!$E55-Inputs!$D55+1))</f>
        <v>0</v>
      </c>
      <c r="I59" s="118">
        <f>IF(OR(Inputs!$C55="",Inputs!$D55="",Inputs!$E55=""),0,Inputs!$C55*MAX(0,MIN(Inputs!$E55,I$6)-MAX(Inputs!$D55,I$5)+1)/(Inputs!$E55-Inputs!$D55+1))</f>
        <v>0</v>
      </c>
      <c r="J59" s="118">
        <f>IF(OR(Inputs!$C55="",Inputs!$D55="",Inputs!$E55=""),0,Inputs!$C55*MAX(0,MIN(Inputs!$E55,J$6)-MAX(Inputs!$D55,J$5)+1)/(Inputs!$E55-Inputs!$D55+1))</f>
        <v>0</v>
      </c>
      <c r="K59" s="118">
        <f>IF(OR(Inputs!$C55="",Inputs!$D55="",Inputs!$E55=""),0,Inputs!$C55*MAX(0,MIN(Inputs!$E55,K$6)-MAX(Inputs!$D55,K$5)+1)/(Inputs!$E55-Inputs!$D55+1))</f>
        <v>0</v>
      </c>
      <c r="L59" s="118">
        <f>IF(OR(Inputs!$C55="",Inputs!$D55="",Inputs!$E55=""),0,Inputs!$C55*MAX(0,MIN(Inputs!$E55,L$6)-MAX(Inputs!$D55,L$5)+1)/(Inputs!$E55-Inputs!$D55+1))</f>
        <v>0</v>
      </c>
      <c r="M59" s="118">
        <f>IF(OR(Inputs!$C55="",Inputs!$D55="",Inputs!$E55=""),0,Inputs!$C55*MAX(0,MIN(Inputs!$E55,M$6)-MAX(Inputs!$D55,M$5)+1)/(Inputs!$E55-Inputs!$D55+1))</f>
        <v>0</v>
      </c>
      <c r="N59" s="118">
        <f>IF(OR(Inputs!$C55="",Inputs!$D55="",Inputs!$E55=""),0,Inputs!$C55*MAX(0,MIN(Inputs!$E55,N$6)-MAX(Inputs!$D55,N$5)+1)/(Inputs!$E55-Inputs!$D55+1))</f>
        <v>0</v>
      </c>
      <c r="O59" s="118">
        <f>IF(OR(Inputs!$C55="",Inputs!$D55="",Inputs!$E55=""),0,Inputs!$C55*MAX(0,MIN(Inputs!$E55,O$6)-MAX(Inputs!$D55,O$5)+1)/(Inputs!$E55-Inputs!$D55+1))</f>
        <v>0</v>
      </c>
      <c r="P59" s="118">
        <f>IF(OR(Inputs!$C55="",Inputs!$D55="",Inputs!$E55=""),0,Inputs!$C55*MAX(0,MIN(Inputs!$E55,P$6)-MAX(Inputs!$D55,P$5)+1)/(Inputs!$E55-Inputs!$D55+1))</f>
        <v>0</v>
      </c>
      <c r="Q59" s="118">
        <f>IF(OR(Inputs!$C55="",Inputs!$D55="",Inputs!$E55=""),0,Inputs!$C55*MAX(0,MIN(Inputs!$E55,Q$6)-MAX(Inputs!$D55,Q$5)+1)/(Inputs!$E55-Inputs!$D55+1))</f>
        <v>0</v>
      </c>
      <c r="R59" s="118">
        <f>IF(OR(Inputs!$C55="",Inputs!$D55="",Inputs!$E55=""),0,Inputs!$C55*MAX(0,MIN(Inputs!$E55,R$6)-MAX(Inputs!$D55,R$5)+1)/(Inputs!$E55-Inputs!$D55+1))</f>
        <v>0</v>
      </c>
      <c r="S59" s="118">
        <f>IF(OR(Inputs!$C55="",Inputs!$D55="",Inputs!$E55=""),0,Inputs!$C55*MAX(0,MIN(Inputs!$E55,S$6)-MAX(Inputs!$D55,S$5)+1)/(Inputs!$E55-Inputs!$D55+1))</f>
        <v>0</v>
      </c>
      <c r="T59" s="118">
        <f>IF(OR(Inputs!$C55="",Inputs!$D55="",Inputs!$E55=""),0,Inputs!$C55*MAX(0,MIN(Inputs!$E55,T$6)-MAX(Inputs!$D55,T$5)+1)/(Inputs!$E55-Inputs!$D55+1))</f>
        <v>0</v>
      </c>
      <c r="U59" s="118">
        <f>IF(OR(Inputs!$C55="",Inputs!$D55="",Inputs!$E55=""),0,Inputs!$C55*MAX(0,MIN(Inputs!$E55,U$6)-MAX(Inputs!$D55,U$5)+1)/(Inputs!$E55-Inputs!$D55+1))</f>
        <v>0</v>
      </c>
      <c r="V59" s="118">
        <f>IF(OR(Inputs!$C55="",Inputs!$D55="",Inputs!$E55=""),0,Inputs!$C55*MAX(0,MIN(Inputs!$E55,V$6)-MAX(Inputs!$D55,V$5)+1)/(Inputs!$E55-Inputs!$D55+1))</f>
        <v>0</v>
      </c>
      <c r="W59" s="118">
        <f>IF(OR(Inputs!$C55="",Inputs!$D55="",Inputs!$E55=""),0,Inputs!$C55*MAX(0,MIN(Inputs!$E55,W$6)-MAX(Inputs!$D55,W$5)+1)/(Inputs!$E55-Inputs!$D55+1))</f>
        <v>0</v>
      </c>
      <c r="X59" s="118">
        <f>IF(OR(Inputs!$C55="",Inputs!$D55="",Inputs!$E55=""),0,Inputs!$C55*MAX(0,MIN(Inputs!$E55,X$6)-MAX(Inputs!$D55,X$5)+1)/(Inputs!$E55-Inputs!$D55+1))</f>
        <v>0</v>
      </c>
      <c r="Y59" s="118">
        <f t="shared" si="6"/>
        <v>0</v>
      </c>
    </row>
    <row r="60" spans="1:25" x14ac:dyDescent="0.3">
      <c r="A60" s="116" t="str">
        <f>IF(Inputs!$A56="","",Inputs!$A56)</f>
        <v/>
      </c>
      <c r="B60" s="117" t="str">
        <f>IF(Inputs!$A56="","",Inputs!$D56)</f>
        <v/>
      </c>
      <c r="C60" s="117" t="str">
        <f>IF(Inputs!$A56="","",Inputs!$E56)</f>
        <v/>
      </c>
      <c r="D60" s="118">
        <f>IF(OR(Inputs!$C56="",Inputs!$D56="",Inputs!$E56=""),0,Inputs!$C56*MAX(0,MIN(Inputs!$E56,D$6)-MAX(Inputs!$D56,D$5)+1)/(Inputs!$E56-Inputs!$D56+1))</f>
        <v>0</v>
      </c>
      <c r="E60" s="118">
        <f>IF(OR(Inputs!$C56="",Inputs!$D56="",Inputs!$E56=""),0,Inputs!$C56*MAX(0,MIN(Inputs!$E56,E$6)-MAX(Inputs!$D56,E$5)+1)/(Inputs!$E56-Inputs!$D56+1))</f>
        <v>0</v>
      </c>
      <c r="F60" s="118">
        <f>IF(OR(Inputs!$C56="",Inputs!$D56="",Inputs!$E56=""),0,Inputs!$C56*MAX(0,MIN(Inputs!$E56,F$6)-MAX(Inputs!$D56,F$5)+1)/(Inputs!$E56-Inputs!$D56+1))</f>
        <v>0</v>
      </c>
      <c r="G60" s="118">
        <f>IF(OR(Inputs!$C56="",Inputs!$D56="",Inputs!$E56=""),0,Inputs!$C56*MAX(0,MIN(Inputs!$E56,G$6)-MAX(Inputs!$D56,G$5)+1)/(Inputs!$E56-Inputs!$D56+1))</f>
        <v>0</v>
      </c>
      <c r="H60" s="118">
        <f>IF(OR(Inputs!$C56="",Inputs!$D56="",Inputs!$E56=""),0,Inputs!$C56*MAX(0,MIN(Inputs!$E56,H$6)-MAX(Inputs!$D56,H$5)+1)/(Inputs!$E56-Inputs!$D56+1))</f>
        <v>0</v>
      </c>
      <c r="I60" s="118">
        <f>IF(OR(Inputs!$C56="",Inputs!$D56="",Inputs!$E56=""),0,Inputs!$C56*MAX(0,MIN(Inputs!$E56,I$6)-MAX(Inputs!$D56,I$5)+1)/(Inputs!$E56-Inputs!$D56+1))</f>
        <v>0</v>
      </c>
      <c r="J60" s="118">
        <f>IF(OR(Inputs!$C56="",Inputs!$D56="",Inputs!$E56=""),0,Inputs!$C56*MAX(0,MIN(Inputs!$E56,J$6)-MAX(Inputs!$D56,J$5)+1)/(Inputs!$E56-Inputs!$D56+1))</f>
        <v>0</v>
      </c>
      <c r="K60" s="118">
        <f>IF(OR(Inputs!$C56="",Inputs!$D56="",Inputs!$E56=""),0,Inputs!$C56*MAX(0,MIN(Inputs!$E56,K$6)-MAX(Inputs!$D56,K$5)+1)/(Inputs!$E56-Inputs!$D56+1))</f>
        <v>0</v>
      </c>
      <c r="L60" s="118">
        <f>IF(OR(Inputs!$C56="",Inputs!$D56="",Inputs!$E56=""),0,Inputs!$C56*MAX(0,MIN(Inputs!$E56,L$6)-MAX(Inputs!$D56,L$5)+1)/(Inputs!$E56-Inputs!$D56+1))</f>
        <v>0</v>
      </c>
      <c r="M60" s="118">
        <f>IF(OR(Inputs!$C56="",Inputs!$D56="",Inputs!$E56=""),0,Inputs!$C56*MAX(0,MIN(Inputs!$E56,M$6)-MAX(Inputs!$D56,M$5)+1)/(Inputs!$E56-Inputs!$D56+1))</f>
        <v>0</v>
      </c>
      <c r="N60" s="118">
        <f>IF(OR(Inputs!$C56="",Inputs!$D56="",Inputs!$E56=""),0,Inputs!$C56*MAX(0,MIN(Inputs!$E56,N$6)-MAX(Inputs!$D56,N$5)+1)/(Inputs!$E56-Inputs!$D56+1))</f>
        <v>0</v>
      </c>
      <c r="O60" s="118">
        <f>IF(OR(Inputs!$C56="",Inputs!$D56="",Inputs!$E56=""),0,Inputs!$C56*MAX(0,MIN(Inputs!$E56,O$6)-MAX(Inputs!$D56,O$5)+1)/(Inputs!$E56-Inputs!$D56+1))</f>
        <v>0</v>
      </c>
      <c r="P60" s="118">
        <f>IF(OR(Inputs!$C56="",Inputs!$D56="",Inputs!$E56=""),0,Inputs!$C56*MAX(0,MIN(Inputs!$E56,P$6)-MAX(Inputs!$D56,P$5)+1)/(Inputs!$E56-Inputs!$D56+1))</f>
        <v>0</v>
      </c>
      <c r="Q60" s="118">
        <f>IF(OR(Inputs!$C56="",Inputs!$D56="",Inputs!$E56=""),0,Inputs!$C56*MAX(0,MIN(Inputs!$E56,Q$6)-MAX(Inputs!$D56,Q$5)+1)/(Inputs!$E56-Inputs!$D56+1))</f>
        <v>0</v>
      </c>
      <c r="R60" s="118">
        <f>IF(OR(Inputs!$C56="",Inputs!$D56="",Inputs!$E56=""),0,Inputs!$C56*MAX(0,MIN(Inputs!$E56,R$6)-MAX(Inputs!$D56,R$5)+1)/(Inputs!$E56-Inputs!$D56+1))</f>
        <v>0</v>
      </c>
      <c r="S60" s="118">
        <f>IF(OR(Inputs!$C56="",Inputs!$D56="",Inputs!$E56=""),0,Inputs!$C56*MAX(0,MIN(Inputs!$E56,S$6)-MAX(Inputs!$D56,S$5)+1)/(Inputs!$E56-Inputs!$D56+1))</f>
        <v>0</v>
      </c>
      <c r="T60" s="118">
        <f>IF(OR(Inputs!$C56="",Inputs!$D56="",Inputs!$E56=""),0,Inputs!$C56*MAX(0,MIN(Inputs!$E56,T$6)-MAX(Inputs!$D56,T$5)+1)/(Inputs!$E56-Inputs!$D56+1))</f>
        <v>0</v>
      </c>
      <c r="U60" s="118">
        <f>IF(OR(Inputs!$C56="",Inputs!$D56="",Inputs!$E56=""),0,Inputs!$C56*MAX(0,MIN(Inputs!$E56,U$6)-MAX(Inputs!$D56,U$5)+1)/(Inputs!$E56-Inputs!$D56+1))</f>
        <v>0</v>
      </c>
      <c r="V60" s="118">
        <f>IF(OR(Inputs!$C56="",Inputs!$D56="",Inputs!$E56=""),0,Inputs!$C56*MAX(0,MIN(Inputs!$E56,V$6)-MAX(Inputs!$D56,V$5)+1)/(Inputs!$E56-Inputs!$D56+1))</f>
        <v>0</v>
      </c>
      <c r="W60" s="118">
        <f>IF(OR(Inputs!$C56="",Inputs!$D56="",Inputs!$E56=""),0,Inputs!$C56*MAX(0,MIN(Inputs!$E56,W$6)-MAX(Inputs!$D56,W$5)+1)/(Inputs!$E56-Inputs!$D56+1))</f>
        <v>0</v>
      </c>
      <c r="X60" s="118">
        <f>IF(OR(Inputs!$C56="",Inputs!$D56="",Inputs!$E56=""),0,Inputs!$C56*MAX(0,MIN(Inputs!$E56,X$6)-MAX(Inputs!$D56,X$5)+1)/(Inputs!$E56-Inputs!$D56+1))</f>
        <v>0</v>
      </c>
      <c r="Y60" s="118">
        <f t="shared" si="6"/>
        <v>0</v>
      </c>
    </row>
    <row r="61" spans="1:25" x14ac:dyDescent="0.3">
      <c r="A61" s="116" t="str">
        <f>IF(Inputs!$A57="","",Inputs!$A57)</f>
        <v/>
      </c>
      <c r="B61" s="117" t="str">
        <f>IF(Inputs!$A57="","",Inputs!$D57)</f>
        <v/>
      </c>
      <c r="C61" s="117" t="str">
        <f>IF(Inputs!$A57="","",Inputs!$E57)</f>
        <v/>
      </c>
      <c r="D61" s="118">
        <f>IF(OR(Inputs!$C57="",Inputs!$D57="",Inputs!$E57=""),0,Inputs!$C57*MAX(0,MIN(Inputs!$E57,D$6)-MAX(Inputs!$D57,D$5)+1)/(Inputs!$E57-Inputs!$D57+1))</f>
        <v>0</v>
      </c>
      <c r="E61" s="118">
        <f>IF(OR(Inputs!$C57="",Inputs!$D57="",Inputs!$E57=""),0,Inputs!$C57*MAX(0,MIN(Inputs!$E57,E$6)-MAX(Inputs!$D57,E$5)+1)/(Inputs!$E57-Inputs!$D57+1))</f>
        <v>0</v>
      </c>
      <c r="F61" s="118">
        <f>IF(OR(Inputs!$C57="",Inputs!$D57="",Inputs!$E57=""),0,Inputs!$C57*MAX(0,MIN(Inputs!$E57,F$6)-MAX(Inputs!$D57,F$5)+1)/(Inputs!$E57-Inputs!$D57+1))</f>
        <v>0</v>
      </c>
      <c r="G61" s="118">
        <f>IF(OR(Inputs!$C57="",Inputs!$D57="",Inputs!$E57=""),0,Inputs!$C57*MAX(0,MIN(Inputs!$E57,G$6)-MAX(Inputs!$D57,G$5)+1)/(Inputs!$E57-Inputs!$D57+1))</f>
        <v>0</v>
      </c>
      <c r="H61" s="118">
        <f>IF(OR(Inputs!$C57="",Inputs!$D57="",Inputs!$E57=""),0,Inputs!$C57*MAX(0,MIN(Inputs!$E57,H$6)-MAX(Inputs!$D57,H$5)+1)/(Inputs!$E57-Inputs!$D57+1))</f>
        <v>0</v>
      </c>
      <c r="I61" s="118">
        <f>IF(OR(Inputs!$C57="",Inputs!$D57="",Inputs!$E57=""),0,Inputs!$C57*MAX(0,MIN(Inputs!$E57,I$6)-MAX(Inputs!$D57,I$5)+1)/(Inputs!$E57-Inputs!$D57+1))</f>
        <v>0</v>
      </c>
      <c r="J61" s="118">
        <f>IF(OR(Inputs!$C57="",Inputs!$D57="",Inputs!$E57=""),0,Inputs!$C57*MAX(0,MIN(Inputs!$E57,J$6)-MAX(Inputs!$D57,J$5)+1)/(Inputs!$E57-Inputs!$D57+1))</f>
        <v>0</v>
      </c>
      <c r="K61" s="118">
        <f>IF(OR(Inputs!$C57="",Inputs!$D57="",Inputs!$E57=""),0,Inputs!$C57*MAX(0,MIN(Inputs!$E57,K$6)-MAX(Inputs!$D57,K$5)+1)/(Inputs!$E57-Inputs!$D57+1))</f>
        <v>0</v>
      </c>
      <c r="L61" s="118">
        <f>IF(OR(Inputs!$C57="",Inputs!$D57="",Inputs!$E57=""),0,Inputs!$C57*MAX(0,MIN(Inputs!$E57,L$6)-MAX(Inputs!$D57,L$5)+1)/(Inputs!$E57-Inputs!$D57+1))</f>
        <v>0</v>
      </c>
      <c r="M61" s="118">
        <f>IF(OR(Inputs!$C57="",Inputs!$D57="",Inputs!$E57=""),0,Inputs!$C57*MAX(0,MIN(Inputs!$E57,M$6)-MAX(Inputs!$D57,M$5)+1)/(Inputs!$E57-Inputs!$D57+1))</f>
        <v>0</v>
      </c>
      <c r="N61" s="118">
        <f>IF(OR(Inputs!$C57="",Inputs!$D57="",Inputs!$E57=""),0,Inputs!$C57*MAX(0,MIN(Inputs!$E57,N$6)-MAX(Inputs!$D57,N$5)+1)/(Inputs!$E57-Inputs!$D57+1))</f>
        <v>0</v>
      </c>
      <c r="O61" s="118">
        <f>IF(OR(Inputs!$C57="",Inputs!$D57="",Inputs!$E57=""),0,Inputs!$C57*MAX(0,MIN(Inputs!$E57,O$6)-MAX(Inputs!$D57,O$5)+1)/(Inputs!$E57-Inputs!$D57+1))</f>
        <v>0</v>
      </c>
      <c r="P61" s="118">
        <f>IF(OR(Inputs!$C57="",Inputs!$D57="",Inputs!$E57=""),0,Inputs!$C57*MAX(0,MIN(Inputs!$E57,P$6)-MAX(Inputs!$D57,P$5)+1)/(Inputs!$E57-Inputs!$D57+1))</f>
        <v>0</v>
      </c>
      <c r="Q61" s="118">
        <f>IF(OR(Inputs!$C57="",Inputs!$D57="",Inputs!$E57=""),0,Inputs!$C57*MAX(0,MIN(Inputs!$E57,Q$6)-MAX(Inputs!$D57,Q$5)+1)/(Inputs!$E57-Inputs!$D57+1))</f>
        <v>0</v>
      </c>
      <c r="R61" s="118">
        <f>IF(OR(Inputs!$C57="",Inputs!$D57="",Inputs!$E57=""),0,Inputs!$C57*MAX(0,MIN(Inputs!$E57,R$6)-MAX(Inputs!$D57,R$5)+1)/(Inputs!$E57-Inputs!$D57+1))</f>
        <v>0</v>
      </c>
      <c r="S61" s="118">
        <f>IF(OR(Inputs!$C57="",Inputs!$D57="",Inputs!$E57=""),0,Inputs!$C57*MAX(0,MIN(Inputs!$E57,S$6)-MAX(Inputs!$D57,S$5)+1)/(Inputs!$E57-Inputs!$D57+1))</f>
        <v>0</v>
      </c>
      <c r="T61" s="118">
        <f>IF(OR(Inputs!$C57="",Inputs!$D57="",Inputs!$E57=""),0,Inputs!$C57*MAX(0,MIN(Inputs!$E57,T$6)-MAX(Inputs!$D57,T$5)+1)/(Inputs!$E57-Inputs!$D57+1))</f>
        <v>0</v>
      </c>
      <c r="U61" s="118">
        <f>IF(OR(Inputs!$C57="",Inputs!$D57="",Inputs!$E57=""),0,Inputs!$C57*MAX(0,MIN(Inputs!$E57,U$6)-MAX(Inputs!$D57,U$5)+1)/(Inputs!$E57-Inputs!$D57+1))</f>
        <v>0</v>
      </c>
      <c r="V61" s="118">
        <f>IF(OR(Inputs!$C57="",Inputs!$D57="",Inputs!$E57=""),0,Inputs!$C57*MAX(0,MIN(Inputs!$E57,V$6)-MAX(Inputs!$D57,V$5)+1)/(Inputs!$E57-Inputs!$D57+1))</f>
        <v>0</v>
      </c>
      <c r="W61" s="118">
        <f>IF(OR(Inputs!$C57="",Inputs!$D57="",Inputs!$E57=""),0,Inputs!$C57*MAX(0,MIN(Inputs!$E57,W$6)-MAX(Inputs!$D57,W$5)+1)/(Inputs!$E57-Inputs!$D57+1))</f>
        <v>0</v>
      </c>
      <c r="X61" s="118">
        <f>IF(OR(Inputs!$C57="",Inputs!$D57="",Inputs!$E57=""),0,Inputs!$C57*MAX(0,MIN(Inputs!$E57,X$6)-MAX(Inputs!$D57,X$5)+1)/(Inputs!$E57-Inputs!$D57+1))</f>
        <v>0</v>
      </c>
      <c r="Y61" s="118">
        <f t="shared" si="6"/>
        <v>0</v>
      </c>
    </row>
    <row r="62" spans="1:25" x14ac:dyDescent="0.3">
      <c r="A62" s="116" t="str">
        <f>IF(Inputs!$A58="","",Inputs!$A58)</f>
        <v/>
      </c>
      <c r="B62" s="117" t="str">
        <f>IF(Inputs!$A58="","",Inputs!$D58)</f>
        <v/>
      </c>
      <c r="C62" s="117" t="str">
        <f>IF(Inputs!$A58="","",Inputs!$E58)</f>
        <v/>
      </c>
      <c r="D62" s="118">
        <f>IF(OR(Inputs!$C58="",Inputs!$D58="",Inputs!$E58=""),0,Inputs!$C58*MAX(0,MIN(Inputs!$E58,D$6)-MAX(Inputs!$D58,D$5)+1)/(Inputs!$E58-Inputs!$D58+1))</f>
        <v>0</v>
      </c>
      <c r="E62" s="118">
        <f>IF(OR(Inputs!$C58="",Inputs!$D58="",Inputs!$E58=""),0,Inputs!$C58*MAX(0,MIN(Inputs!$E58,E$6)-MAX(Inputs!$D58,E$5)+1)/(Inputs!$E58-Inputs!$D58+1))</f>
        <v>0</v>
      </c>
      <c r="F62" s="118">
        <f>IF(OR(Inputs!$C58="",Inputs!$D58="",Inputs!$E58=""),0,Inputs!$C58*MAX(0,MIN(Inputs!$E58,F$6)-MAX(Inputs!$D58,F$5)+1)/(Inputs!$E58-Inputs!$D58+1))</f>
        <v>0</v>
      </c>
      <c r="G62" s="118">
        <f>IF(OR(Inputs!$C58="",Inputs!$D58="",Inputs!$E58=""),0,Inputs!$C58*MAX(0,MIN(Inputs!$E58,G$6)-MAX(Inputs!$D58,G$5)+1)/(Inputs!$E58-Inputs!$D58+1))</f>
        <v>0</v>
      </c>
      <c r="H62" s="118">
        <f>IF(OR(Inputs!$C58="",Inputs!$D58="",Inputs!$E58=""),0,Inputs!$C58*MAX(0,MIN(Inputs!$E58,H$6)-MAX(Inputs!$D58,H$5)+1)/(Inputs!$E58-Inputs!$D58+1))</f>
        <v>0</v>
      </c>
      <c r="I62" s="118">
        <f>IF(OR(Inputs!$C58="",Inputs!$D58="",Inputs!$E58=""),0,Inputs!$C58*MAX(0,MIN(Inputs!$E58,I$6)-MAX(Inputs!$D58,I$5)+1)/(Inputs!$E58-Inputs!$D58+1))</f>
        <v>0</v>
      </c>
      <c r="J62" s="118">
        <f>IF(OR(Inputs!$C58="",Inputs!$D58="",Inputs!$E58=""),0,Inputs!$C58*MAX(0,MIN(Inputs!$E58,J$6)-MAX(Inputs!$D58,J$5)+1)/(Inputs!$E58-Inputs!$D58+1))</f>
        <v>0</v>
      </c>
      <c r="K62" s="118">
        <f>IF(OR(Inputs!$C58="",Inputs!$D58="",Inputs!$E58=""),0,Inputs!$C58*MAX(0,MIN(Inputs!$E58,K$6)-MAX(Inputs!$D58,K$5)+1)/(Inputs!$E58-Inputs!$D58+1))</f>
        <v>0</v>
      </c>
      <c r="L62" s="118">
        <f>IF(OR(Inputs!$C58="",Inputs!$D58="",Inputs!$E58=""),0,Inputs!$C58*MAX(0,MIN(Inputs!$E58,L$6)-MAX(Inputs!$D58,L$5)+1)/(Inputs!$E58-Inputs!$D58+1))</f>
        <v>0</v>
      </c>
      <c r="M62" s="118">
        <f>IF(OR(Inputs!$C58="",Inputs!$D58="",Inputs!$E58=""),0,Inputs!$C58*MAX(0,MIN(Inputs!$E58,M$6)-MAX(Inputs!$D58,M$5)+1)/(Inputs!$E58-Inputs!$D58+1))</f>
        <v>0</v>
      </c>
      <c r="N62" s="118">
        <f>IF(OR(Inputs!$C58="",Inputs!$D58="",Inputs!$E58=""),0,Inputs!$C58*MAX(0,MIN(Inputs!$E58,N$6)-MAX(Inputs!$D58,N$5)+1)/(Inputs!$E58-Inputs!$D58+1))</f>
        <v>0</v>
      </c>
      <c r="O62" s="118">
        <f>IF(OR(Inputs!$C58="",Inputs!$D58="",Inputs!$E58=""),0,Inputs!$C58*MAX(0,MIN(Inputs!$E58,O$6)-MAX(Inputs!$D58,O$5)+1)/(Inputs!$E58-Inputs!$D58+1))</f>
        <v>0</v>
      </c>
      <c r="P62" s="118">
        <f>IF(OR(Inputs!$C58="",Inputs!$D58="",Inputs!$E58=""),0,Inputs!$C58*MAX(0,MIN(Inputs!$E58,P$6)-MAX(Inputs!$D58,P$5)+1)/(Inputs!$E58-Inputs!$D58+1))</f>
        <v>0</v>
      </c>
      <c r="Q62" s="118">
        <f>IF(OR(Inputs!$C58="",Inputs!$D58="",Inputs!$E58=""),0,Inputs!$C58*MAX(0,MIN(Inputs!$E58,Q$6)-MAX(Inputs!$D58,Q$5)+1)/(Inputs!$E58-Inputs!$D58+1))</f>
        <v>0</v>
      </c>
      <c r="R62" s="118">
        <f>IF(OR(Inputs!$C58="",Inputs!$D58="",Inputs!$E58=""),0,Inputs!$C58*MAX(0,MIN(Inputs!$E58,R$6)-MAX(Inputs!$D58,R$5)+1)/(Inputs!$E58-Inputs!$D58+1))</f>
        <v>0</v>
      </c>
      <c r="S62" s="118">
        <f>IF(OR(Inputs!$C58="",Inputs!$D58="",Inputs!$E58=""),0,Inputs!$C58*MAX(0,MIN(Inputs!$E58,S$6)-MAX(Inputs!$D58,S$5)+1)/(Inputs!$E58-Inputs!$D58+1))</f>
        <v>0</v>
      </c>
      <c r="T62" s="118">
        <f>IF(OR(Inputs!$C58="",Inputs!$D58="",Inputs!$E58=""),0,Inputs!$C58*MAX(0,MIN(Inputs!$E58,T$6)-MAX(Inputs!$D58,T$5)+1)/(Inputs!$E58-Inputs!$D58+1))</f>
        <v>0</v>
      </c>
      <c r="U62" s="118">
        <f>IF(OR(Inputs!$C58="",Inputs!$D58="",Inputs!$E58=""),0,Inputs!$C58*MAX(0,MIN(Inputs!$E58,U$6)-MAX(Inputs!$D58,U$5)+1)/(Inputs!$E58-Inputs!$D58+1))</f>
        <v>0</v>
      </c>
      <c r="V62" s="118">
        <f>IF(OR(Inputs!$C58="",Inputs!$D58="",Inputs!$E58=""),0,Inputs!$C58*MAX(0,MIN(Inputs!$E58,V$6)-MAX(Inputs!$D58,V$5)+1)/(Inputs!$E58-Inputs!$D58+1))</f>
        <v>0</v>
      </c>
      <c r="W62" s="118">
        <f>IF(OR(Inputs!$C58="",Inputs!$D58="",Inputs!$E58=""),0,Inputs!$C58*MAX(0,MIN(Inputs!$E58,W$6)-MAX(Inputs!$D58,W$5)+1)/(Inputs!$E58-Inputs!$D58+1))</f>
        <v>0</v>
      </c>
      <c r="X62" s="118">
        <f>IF(OR(Inputs!$C58="",Inputs!$D58="",Inputs!$E58=""),0,Inputs!$C58*MAX(0,MIN(Inputs!$E58,X$6)-MAX(Inputs!$D58,X$5)+1)/(Inputs!$E58-Inputs!$D58+1))</f>
        <v>0</v>
      </c>
      <c r="Y62" s="118">
        <f t="shared" si="6"/>
        <v>0</v>
      </c>
    </row>
    <row r="63" spans="1:25" x14ac:dyDescent="0.3">
      <c r="A63" s="116" t="str">
        <f>IF(Inputs!$A59="","",Inputs!$A59)</f>
        <v/>
      </c>
      <c r="B63" s="117" t="str">
        <f>IF(Inputs!$A59="","",Inputs!$D59)</f>
        <v/>
      </c>
      <c r="C63" s="117" t="str">
        <f>IF(Inputs!$A59="","",Inputs!$E59)</f>
        <v/>
      </c>
      <c r="D63" s="118">
        <f>IF(OR(Inputs!$C59="",Inputs!$D59="",Inputs!$E59=""),0,Inputs!$C59*MAX(0,MIN(Inputs!$E59,D$6)-MAX(Inputs!$D59,D$5)+1)/(Inputs!$E59-Inputs!$D59+1))</f>
        <v>0</v>
      </c>
      <c r="E63" s="118">
        <f>IF(OR(Inputs!$C59="",Inputs!$D59="",Inputs!$E59=""),0,Inputs!$C59*MAX(0,MIN(Inputs!$E59,E$6)-MAX(Inputs!$D59,E$5)+1)/(Inputs!$E59-Inputs!$D59+1))</f>
        <v>0</v>
      </c>
      <c r="F63" s="118">
        <f>IF(OR(Inputs!$C59="",Inputs!$D59="",Inputs!$E59=""),0,Inputs!$C59*MAX(0,MIN(Inputs!$E59,F$6)-MAX(Inputs!$D59,F$5)+1)/(Inputs!$E59-Inputs!$D59+1))</f>
        <v>0</v>
      </c>
      <c r="G63" s="118">
        <f>IF(OR(Inputs!$C59="",Inputs!$D59="",Inputs!$E59=""),0,Inputs!$C59*MAX(0,MIN(Inputs!$E59,G$6)-MAX(Inputs!$D59,G$5)+1)/(Inputs!$E59-Inputs!$D59+1))</f>
        <v>0</v>
      </c>
      <c r="H63" s="118">
        <f>IF(OR(Inputs!$C59="",Inputs!$D59="",Inputs!$E59=""),0,Inputs!$C59*MAX(0,MIN(Inputs!$E59,H$6)-MAX(Inputs!$D59,H$5)+1)/(Inputs!$E59-Inputs!$D59+1))</f>
        <v>0</v>
      </c>
      <c r="I63" s="118">
        <f>IF(OR(Inputs!$C59="",Inputs!$D59="",Inputs!$E59=""),0,Inputs!$C59*MAX(0,MIN(Inputs!$E59,I$6)-MAX(Inputs!$D59,I$5)+1)/(Inputs!$E59-Inputs!$D59+1))</f>
        <v>0</v>
      </c>
      <c r="J63" s="118">
        <f>IF(OR(Inputs!$C59="",Inputs!$D59="",Inputs!$E59=""),0,Inputs!$C59*MAX(0,MIN(Inputs!$E59,J$6)-MAX(Inputs!$D59,J$5)+1)/(Inputs!$E59-Inputs!$D59+1))</f>
        <v>0</v>
      </c>
      <c r="K63" s="118">
        <f>IF(OR(Inputs!$C59="",Inputs!$D59="",Inputs!$E59=""),0,Inputs!$C59*MAX(0,MIN(Inputs!$E59,K$6)-MAX(Inputs!$D59,K$5)+1)/(Inputs!$E59-Inputs!$D59+1))</f>
        <v>0</v>
      </c>
      <c r="L63" s="118">
        <f>IF(OR(Inputs!$C59="",Inputs!$D59="",Inputs!$E59=""),0,Inputs!$C59*MAX(0,MIN(Inputs!$E59,L$6)-MAX(Inputs!$D59,L$5)+1)/(Inputs!$E59-Inputs!$D59+1))</f>
        <v>0</v>
      </c>
      <c r="M63" s="118">
        <f>IF(OR(Inputs!$C59="",Inputs!$D59="",Inputs!$E59=""),0,Inputs!$C59*MAX(0,MIN(Inputs!$E59,M$6)-MAX(Inputs!$D59,M$5)+1)/(Inputs!$E59-Inputs!$D59+1))</f>
        <v>0</v>
      </c>
      <c r="N63" s="118">
        <f>IF(OR(Inputs!$C59="",Inputs!$D59="",Inputs!$E59=""),0,Inputs!$C59*MAX(0,MIN(Inputs!$E59,N$6)-MAX(Inputs!$D59,N$5)+1)/(Inputs!$E59-Inputs!$D59+1))</f>
        <v>0</v>
      </c>
      <c r="O63" s="118">
        <f>IF(OR(Inputs!$C59="",Inputs!$D59="",Inputs!$E59=""),0,Inputs!$C59*MAX(0,MIN(Inputs!$E59,O$6)-MAX(Inputs!$D59,O$5)+1)/(Inputs!$E59-Inputs!$D59+1))</f>
        <v>0</v>
      </c>
      <c r="P63" s="118">
        <f>IF(OR(Inputs!$C59="",Inputs!$D59="",Inputs!$E59=""),0,Inputs!$C59*MAX(0,MIN(Inputs!$E59,P$6)-MAX(Inputs!$D59,P$5)+1)/(Inputs!$E59-Inputs!$D59+1))</f>
        <v>0</v>
      </c>
      <c r="Q63" s="118">
        <f>IF(OR(Inputs!$C59="",Inputs!$D59="",Inputs!$E59=""),0,Inputs!$C59*MAX(0,MIN(Inputs!$E59,Q$6)-MAX(Inputs!$D59,Q$5)+1)/(Inputs!$E59-Inputs!$D59+1))</f>
        <v>0</v>
      </c>
      <c r="R63" s="118">
        <f>IF(OR(Inputs!$C59="",Inputs!$D59="",Inputs!$E59=""),0,Inputs!$C59*MAX(0,MIN(Inputs!$E59,R$6)-MAX(Inputs!$D59,R$5)+1)/(Inputs!$E59-Inputs!$D59+1))</f>
        <v>0</v>
      </c>
      <c r="S63" s="118">
        <f>IF(OR(Inputs!$C59="",Inputs!$D59="",Inputs!$E59=""),0,Inputs!$C59*MAX(0,MIN(Inputs!$E59,S$6)-MAX(Inputs!$D59,S$5)+1)/(Inputs!$E59-Inputs!$D59+1))</f>
        <v>0</v>
      </c>
      <c r="T63" s="118">
        <f>IF(OR(Inputs!$C59="",Inputs!$D59="",Inputs!$E59=""),0,Inputs!$C59*MAX(0,MIN(Inputs!$E59,T$6)-MAX(Inputs!$D59,T$5)+1)/(Inputs!$E59-Inputs!$D59+1))</f>
        <v>0</v>
      </c>
      <c r="U63" s="118">
        <f>IF(OR(Inputs!$C59="",Inputs!$D59="",Inputs!$E59=""),0,Inputs!$C59*MAX(0,MIN(Inputs!$E59,U$6)-MAX(Inputs!$D59,U$5)+1)/(Inputs!$E59-Inputs!$D59+1))</f>
        <v>0</v>
      </c>
      <c r="V63" s="118">
        <f>IF(OR(Inputs!$C59="",Inputs!$D59="",Inputs!$E59=""),0,Inputs!$C59*MAX(0,MIN(Inputs!$E59,V$6)-MAX(Inputs!$D59,V$5)+1)/(Inputs!$E59-Inputs!$D59+1))</f>
        <v>0</v>
      </c>
      <c r="W63" s="118">
        <f>IF(OR(Inputs!$C59="",Inputs!$D59="",Inputs!$E59=""),0,Inputs!$C59*MAX(0,MIN(Inputs!$E59,W$6)-MAX(Inputs!$D59,W$5)+1)/(Inputs!$E59-Inputs!$D59+1))</f>
        <v>0</v>
      </c>
      <c r="X63" s="118">
        <f>IF(OR(Inputs!$C59="",Inputs!$D59="",Inputs!$E59=""),0,Inputs!$C59*MAX(0,MIN(Inputs!$E59,X$6)-MAX(Inputs!$D59,X$5)+1)/(Inputs!$E59-Inputs!$D59+1))</f>
        <v>0</v>
      </c>
      <c r="Y63" s="118">
        <f t="shared" si="6"/>
        <v>0</v>
      </c>
    </row>
    <row r="64" spans="1:25" x14ac:dyDescent="0.3">
      <c r="A64" s="116" t="str">
        <f>IF(Inputs!$A60="","",Inputs!$A60)</f>
        <v/>
      </c>
      <c r="B64" s="117" t="str">
        <f>IF(Inputs!$A60="","",Inputs!$D60)</f>
        <v/>
      </c>
      <c r="C64" s="117" t="str">
        <f>IF(Inputs!$A60="","",Inputs!$E60)</f>
        <v/>
      </c>
      <c r="D64" s="118">
        <f>IF(OR(Inputs!$C60="",Inputs!$D60="",Inputs!$E60=""),0,Inputs!$C60*MAX(0,MIN(Inputs!$E60,D$6)-MAX(Inputs!$D60,D$5)+1)/(Inputs!$E60-Inputs!$D60+1))</f>
        <v>0</v>
      </c>
      <c r="E64" s="118">
        <f>IF(OR(Inputs!$C60="",Inputs!$D60="",Inputs!$E60=""),0,Inputs!$C60*MAX(0,MIN(Inputs!$E60,E$6)-MAX(Inputs!$D60,E$5)+1)/(Inputs!$E60-Inputs!$D60+1))</f>
        <v>0</v>
      </c>
      <c r="F64" s="118">
        <f>IF(OR(Inputs!$C60="",Inputs!$D60="",Inputs!$E60=""),0,Inputs!$C60*MAX(0,MIN(Inputs!$E60,F$6)-MAX(Inputs!$D60,F$5)+1)/(Inputs!$E60-Inputs!$D60+1))</f>
        <v>0</v>
      </c>
      <c r="G64" s="118">
        <f>IF(OR(Inputs!$C60="",Inputs!$D60="",Inputs!$E60=""),0,Inputs!$C60*MAX(0,MIN(Inputs!$E60,G$6)-MAX(Inputs!$D60,G$5)+1)/(Inputs!$E60-Inputs!$D60+1))</f>
        <v>0</v>
      </c>
      <c r="H64" s="118">
        <f>IF(OR(Inputs!$C60="",Inputs!$D60="",Inputs!$E60=""),0,Inputs!$C60*MAX(0,MIN(Inputs!$E60,H$6)-MAX(Inputs!$D60,H$5)+1)/(Inputs!$E60-Inputs!$D60+1))</f>
        <v>0</v>
      </c>
      <c r="I64" s="118">
        <f>IF(OR(Inputs!$C60="",Inputs!$D60="",Inputs!$E60=""),0,Inputs!$C60*MAX(0,MIN(Inputs!$E60,I$6)-MAX(Inputs!$D60,I$5)+1)/(Inputs!$E60-Inputs!$D60+1))</f>
        <v>0</v>
      </c>
      <c r="J64" s="118">
        <f>IF(OR(Inputs!$C60="",Inputs!$D60="",Inputs!$E60=""),0,Inputs!$C60*MAX(0,MIN(Inputs!$E60,J$6)-MAX(Inputs!$D60,J$5)+1)/(Inputs!$E60-Inputs!$D60+1))</f>
        <v>0</v>
      </c>
      <c r="K64" s="118">
        <f>IF(OR(Inputs!$C60="",Inputs!$D60="",Inputs!$E60=""),0,Inputs!$C60*MAX(0,MIN(Inputs!$E60,K$6)-MAX(Inputs!$D60,K$5)+1)/(Inputs!$E60-Inputs!$D60+1))</f>
        <v>0</v>
      </c>
      <c r="L64" s="118">
        <f>IF(OR(Inputs!$C60="",Inputs!$D60="",Inputs!$E60=""),0,Inputs!$C60*MAX(0,MIN(Inputs!$E60,L$6)-MAX(Inputs!$D60,L$5)+1)/(Inputs!$E60-Inputs!$D60+1))</f>
        <v>0</v>
      </c>
      <c r="M64" s="118">
        <f>IF(OR(Inputs!$C60="",Inputs!$D60="",Inputs!$E60=""),0,Inputs!$C60*MAX(0,MIN(Inputs!$E60,M$6)-MAX(Inputs!$D60,M$5)+1)/(Inputs!$E60-Inputs!$D60+1))</f>
        <v>0</v>
      </c>
      <c r="N64" s="118">
        <f>IF(OR(Inputs!$C60="",Inputs!$D60="",Inputs!$E60=""),0,Inputs!$C60*MAX(0,MIN(Inputs!$E60,N$6)-MAX(Inputs!$D60,N$5)+1)/(Inputs!$E60-Inputs!$D60+1))</f>
        <v>0</v>
      </c>
      <c r="O64" s="118">
        <f>IF(OR(Inputs!$C60="",Inputs!$D60="",Inputs!$E60=""),0,Inputs!$C60*MAX(0,MIN(Inputs!$E60,O$6)-MAX(Inputs!$D60,O$5)+1)/(Inputs!$E60-Inputs!$D60+1))</f>
        <v>0</v>
      </c>
      <c r="P64" s="118">
        <f>IF(OR(Inputs!$C60="",Inputs!$D60="",Inputs!$E60=""),0,Inputs!$C60*MAX(0,MIN(Inputs!$E60,P$6)-MAX(Inputs!$D60,P$5)+1)/(Inputs!$E60-Inputs!$D60+1))</f>
        <v>0</v>
      </c>
      <c r="Q64" s="118">
        <f>IF(OR(Inputs!$C60="",Inputs!$D60="",Inputs!$E60=""),0,Inputs!$C60*MAX(0,MIN(Inputs!$E60,Q$6)-MAX(Inputs!$D60,Q$5)+1)/(Inputs!$E60-Inputs!$D60+1))</f>
        <v>0</v>
      </c>
      <c r="R64" s="118">
        <f>IF(OR(Inputs!$C60="",Inputs!$D60="",Inputs!$E60=""),0,Inputs!$C60*MAX(0,MIN(Inputs!$E60,R$6)-MAX(Inputs!$D60,R$5)+1)/(Inputs!$E60-Inputs!$D60+1))</f>
        <v>0</v>
      </c>
      <c r="S64" s="118">
        <f>IF(OR(Inputs!$C60="",Inputs!$D60="",Inputs!$E60=""),0,Inputs!$C60*MAX(0,MIN(Inputs!$E60,S$6)-MAX(Inputs!$D60,S$5)+1)/(Inputs!$E60-Inputs!$D60+1))</f>
        <v>0</v>
      </c>
      <c r="T64" s="118">
        <f>IF(OR(Inputs!$C60="",Inputs!$D60="",Inputs!$E60=""),0,Inputs!$C60*MAX(0,MIN(Inputs!$E60,T$6)-MAX(Inputs!$D60,T$5)+1)/(Inputs!$E60-Inputs!$D60+1))</f>
        <v>0</v>
      </c>
      <c r="U64" s="118">
        <f>IF(OR(Inputs!$C60="",Inputs!$D60="",Inputs!$E60=""),0,Inputs!$C60*MAX(0,MIN(Inputs!$E60,U$6)-MAX(Inputs!$D60,U$5)+1)/(Inputs!$E60-Inputs!$D60+1))</f>
        <v>0</v>
      </c>
      <c r="V64" s="118">
        <f>IF(OR(Inputs!$C60="",Inputs!$D60="",Inputs!$E60=""),0,Inputs!$C60*MAX(0,MIN(Inputs!$E60,V$6)-MAX(Inputs!$D60,V$5)+1)/(Inputs!$E60-Inputs!$D60+1))</f>
        <v>0</v>
      </c>
      <c r="W64" s="118">
        <f>IF(OR(Inputs!$C60="",Inputs!$D60="",Inputs!$E60=""),0,Inputs!$C60*MAX(0,MIN(Inputs!$E60,W$6)-MAX(Inputs!$D60,W$5)+1)/(Inputs!$E60-Inputs!$D60+1))</f>
        <v>0</v>
      </c>
      <c r="X64" s="118">
        <f>IF(OR(Inputs!$C60="",Inputs!$D60="",Inputs!$E60=""),0,Inputs!$C60*MAX(0,MIN(Inputs!$E60,X$6)-MAX(Inputs!$D60,X$5)+1)/(Inputs!$E60-Inputs!$D60+1))</f>
        <v>0</v>
      </c>
      <c r="Y64" s="118">
        <f t="shared" si="6"/>
        <v>0</v>
      </c>
    </row>
    <row r="65" spans="1:25" x14ac:dyDescent="0.3">
      <c r="A65" s="116" t="str">
        <f>IF(Inputs!$A61="","",Inputs!$A61)</f>
        <v/>
      </c>
      <c r="B65" s="117" t="str">
        <f>IF(Inputs!$A61="","",Inputs!$D61)</f>
        <v/>
      </c>
      <c r="C65" s="117" t="str">
        <f>IF(Inputs!$A61="","",Inputs!$E61)</f>
        <v/>
      </c>
      <c r="D65" s="118">
        <f>IF(OR(Inputs!$C61="",Inputs!$D61="",Inputs!$E61=""),0,Inputs!$C61*MAX(0,MIN(Inputs!$E61,D$6)-MAX(Inputs!$D61,D$5)+1)/(Inputs!$E61-Inputs!$D61+1))</f>
        <v>0</v>
      </c>
      <c r="E65" s="118">
        <f>IF(OR(Inputs!$C61="",Inputs!$D61="",Inputs!$E61=""),0,Inputs!$C61*MAX(0,MIN(Inputs!$E61,E$6)-MAX(Inputs!$D61,E$5)+1)/(Inputs!$E61-Inputs!$D61+1))</f>
        <v>0</v>
      </c>
      <c r="F65" s="118">
        <f>IF(OR(Inputs!$C61="",Inputs!$D61="",Inputs!$E61=""),0,Inputs!$C61*MAX(0,MIN(Inputs!$E61,F$6)-MAX(Inputs!$D61,F$5)+1)/(Inputs!$E61-Inputs!$D61+1))</f>
        <v>0</v>
      </c>
      <c r="G65" s="118">
        <f>IF(OR(Inputs!$C61="",Inputs!$D61="",Inputs!$E61=""),0,Inputs!$C61*MAX(0,MIN(Inputs!$E61,G$6)-MAX(Inputs!$D61,G$5)+1)/(Inputs!$E61-Inputs!$D61+1))</f>
        <v>0</v>
      </c>
      <c r="H65" s="118">
        <f>IF(OR(Inputs!$C61="",Inputs!$D61="",Inputs!$E61=""),0,Inputs!$C61*MAX(0,MIN(Inputs!$E61,H$6)-MAX(Inputs!$D61,H$5)+1)/(Inputs!$E61-Inputs!$D61+1))</f>
        <v>0</v>
      </c>
      <c r="I65" s="118">
        <f>IF(OR(Inputs!$C61="",Inputs!$D61="",Inputs!$E61=""),0,Inputs!$C61*MAX(0,MIN(Inputs!$E61,I$6)-MAX(Inputs!$D61,I$5)+1)/(Inputs!$E61-Inputs!$D61+1))</f>
        <v>0</v>
      </c>
      <c r="J65" s="118">
        <f>IF(OR(Inputs!$C61="",Inputs!$D61="",Inputs!$E61=""),0,Inputs!$C61*MAX(0,MIN(Inputs!$E61,J$6)-MAX(Inputs!$D61,J$5)+1)/(Inputs!$E61-Inputs!$D61+1))</f>
        <v>0</v>
      </c>
      <c r="K65" s="118">
        <f>IF(OR(Inputs!$C61="",Inputs!$D61="",Inputs!$E61=""),0,Inputs!$C61*MAX(0,MIN(Inputs!$E61,K$6)-MAX(Inputs!$D61,K$5)+1)/(Inputs!$E61-Inputs!$D61+1))</f>
        <v>0</v>
      </c>
      <c r="L65" s="118">
        <f>IF(OR(Inputs!$C61="",Inputs!$D61="",Inputs!$E61=""),0,Inputs!$C61*MAX(0,MIN(Inputs!$E61,L$6)-MAX(Inputs!$D61,L$5)+1)/(Inputs!$E61-Inputs!$D61+1))</f>
        <v>0</v>
      </c>
      <c r="M65" s="118">
        <f>IF(OR(Inputs!$C61="",Inputs!$D61="",Inputs!$E61=""),0,Inputs!$C61*MAX(0,MIN(Inputs!$E61,M$6)-MAX(Inputs!$D61,M$5)+1)/(Inputs!$E61-Inputs!$D61+1))</f>
        <v>0</v>
      </c>
      <c r="N65" s="118">
        <f>IF(OR(Inputs!$C61="",Inputs!$D61="",Inputs!$E61=""),0,Inputs!$C61*MAX(0,MIN(Inputs!$E61,N$6)-MAX(Inputs!$D61,N$5)+1)/(Inputs!$E61-Inputs!$D61+1))</f>
        <v>0</v>
      </c>
      <c r="O65" s="118">
        <f>IF(OR(Inputs!$C61="",Inputs!$D61="",Inputs!$E61=""),0,Inputs!$C61*MAX(0,MIN(Inputs!$E61,O$6)-MAX(Inputs!$D61,O$5)+1)/(Inputs!$E61-Inputs!$D61+1))</f>
        <v>0</v>
      </c>
      <c r="P65" s="118">
        <f>IF(OR(Inputs!$C61="",Inputs!$D61="",Inputs!$E61=""),0,Inputs!$C61*MAX(0,MIN(Inputs!$E61,P$6)-MAX(Inputs!$D61,P$5)+1)/(Inputs!$E61-Inputs!$D61+1))</f>
        <v>0</v>
      </c>
      <c r="Q65" s="118">
        <f>IF(OR(Inputs!$C61="",Inputs!$D61="",Inputs!$E61=""),0,Inputs!$C61*MAX(0,MIN(Inputs!$E61,Q$6)-MAX(Inputs!$D61,Q$5)+1)/(Inputs!$E61-Inputs!$D61+1))</f>
        <v>0</v>
      </c>
      <c r="R65" s="118">
        <f>IF(OR(Inputs!$C61="",Inputs!$D61="",Inputs!$E61=""),0,Inputs!$C61*MAX(0,MIN(Inputs!$E61,R$6)-MAX(Inputs!$D61,R$5)+1)/(Inputs!$E61-Inputs!$D61+1))</f>
        <v>0</v>
      </c>
      <c r="S65" s="118">
        <f>IF(OR(Inputs!$C61="",Inputs!$D61="",Inputs!$E61=""),0,Inputs!$C61*MAX(0,MIN(Inputs!$E61,S$6)-MAX(Inputs!$D61,S$5)+1)/(Inputs!$E61-Inputs!$D61+1))</f>
        <v>0</v>
      </c>
      <c r="T65" s="118">
        <f>IF(OR(Inputs!$C61="",Inputs!$D61="",Inputs!$E61=""),0,Inputs!$C61*MAX(0,MIN(Inputs!$E61,T$6)-MAX(Inputs!$D61,T$5)+1)/(Inputs!$E61-Inputs!$D61+1))</f>
        <v>0</v>
      </c>
      <c r="U65" s="118">
        <f>IF(OR(Inputs!$C61="",Inputs!$D61="",Inputs!$E61=""),0,Inputs!$C61*MAX(0,MIN(Inputs!$E61,U$6)-MAX(Inputs!$D61,U$5)+1)/(Inputs!$E61-Inputs!$D61+1))</f>
        <v>0</v>
      </c>
      <c r="V65" s="118">
        <f>IF(OR(Inputs!$C61="",Inputs!$D61="",Inputs!$E61=""),0,Inputs!$C61*MAX(0,MIN(Inputs!$E61,V$6)-MAX(Inputs!$D61,V$5)+1)/(Inputs!$E61-Inputs!$D61+1))</f>
        <v>0</v>
      </c>
      <c r="W65" s="118">
        <f>IF(OR(Inputs!$C61="",Inputs!$D61="",Inputs!$E61=""),0,Inputs!$C61*MAX(0,MIN(Inputs!$E61,W$6)-MAX(Inputs!$D61,W$5)+1)/(Inputs!$E61-Inputs!$D61+1))</f>
        <v>0</v>
      </c>
      <c r="X65" s="118">
        <f>IF(OR(Inputs!$C61="",Inputs!$D61="",Inputs!$E61=""),0,Inputs!$C61*MAX(0,MIN(Inputs!$E61,X$6)-MAX(Inputs!$D61,X$5)+1)/(Inputs!$E61-Inputs!$D61+1))</f>
        <v>0</v>
      </c>
      <c r="Y65" s="118">
        <f t="shared" si="6"/>
        <v>0</v>
      </c>
    </row>
    <row r="66" spans="1:25" x14ac:dyDescent="0.3">
      <c r="A66" s="116" t="str">
        <f>IF(Inputs!$A62="","",Inputs!$A62)</f>
        <v/>
      </c>
      <c r="B66" s="117" t="str">
        <f>IF(Inputs!$A62="","",Inputs!$D62)</f>
        <v/>
      </c>
      <c r="C66" s="117" t="str">
        <f>IF(Inputs!$A62="","",Inputs!$E62)</f>
        <v/>
      </c>
      <c r="D66" s="118">
        <f>IF(OR(Inputs!$C62="",Inputs!$D62="",Inputs!$E62=""),0,Inputs!$C62*MAX(0,MIN(Inputs!$E62,D$6)-MAX(Inputs!$D62,D$5)+1)/(Inputs!$E62-Inputs!$D62+1))</f>
        <v>0</v>
      </c>
      <c r="E66" s="118">
        <f>IF(OR(Inputs!$C62="",Inputs!$D62="",Inputs!$E62=""),0,Inputs!$C62*MAX(0,MIN(Inputs!$E62,E$6)-MAX(Inputs!$D62,E$5)+1)/(Inputs!$E62-Inputs!$D62+1))</f>
        <v>0</v>
      </c>
      <c r="F66" s="118">
        <f>IF(OR(Inputs!$C62="",Inputs!$D62="",Inputs!$E62=""),0,Inputs!$C62*MAX(0,MIN(Inputs!$E62,F$6)-MAX(Inputs!$D62,F$5)+1)/(Inputs!$E62-Inputs!$D62+1))</f>
        <v>0</v>
      </c>
      <c r="G66" s="118">
        <f>IF(OR(Inputs!$C62="",Inputs!$D62="",Inputs!$E62=""),0,Inputs!$C62*MAX(0,MIN(Inputs!$E62,G$6)-MAX(Inputs!$D62,G$5)+1)/(Inputs!$E62-Inputs!$D62+1))</f>
        <v>0</v>
      </c>
      <c r="H66" s="118">
        <f>IF(OR(Inputs!$C62="",Inputs!$D62="",Inputs!$E62=""),0,Inputs!$C62*MAX(0,MIN(Inputs!$E62,H$6)-MAX(Inputs!$D62,H$5)+1)/(Inputs!$E62-Inputs!$D62+1))</f>
        <v>0</v>
      </c>
      <c r="I66" s="118">
        <f>IF(OR(Inputs!$C62="",Inputs!$D62="",Inputs!$E62=""),0,Inputs!$C62*MAX(0,MIN(Inputs!$E62,I$6)-MAX(Inputs!$D62,I$5)+1)/(Inputs!$E62-Inputs!$D62+1))</f>
        <v>0</v>
      </c>
      <c r="J66" s="118">
        <f>IF(OR(Inputs!$C62="",Inputs!$D62="",Inputs!$E62=""),0,Inputs!$C62*MAX(0,MIN(Inputs!$E62,J$6)-MAX(Inputs!$D62,J$5)+1)/(Inputs!$E62-Inputs!$D62+1))</f>
        <v>0</v>
      </c>
      <c r="K66" s="118">
        <f>IF(OR(Inputs!$C62="",Inputs!$D62="",Inputs!$E62=""),0,Inputs!$C62*MAX(0,MIN(Inputs!$E62,K$6)-MAX(Inputs!$D62,K$5)+1)/(Inputs!$E62-Inputs!$D62+1))</f>
        <v>0</v>
      </c>
      <c r="L66" s="118">
        <f>IF(OR(Inputs!$C62="",Inputs!$D62="",Inputs!$E62=""),0,Inputs!$C62*MAX(0,MIN(Inputs!$E62,L$6)-MAX(Inputs!$D62,L$5)+1)/(Inputs!$E62-Inputs!$D62+1))</f>
        <v>0</v>
      </c>
      <c r="M66" s="118">
        <f>IF(OR(Inputs!$C62="",Inputs!$D62="",Inputs!$E62=""),0,Inputs!$C62*MAX(0,MIN(Inputs!$E62,M$6)-MAX(Inputs!$D62,M$5)+1)/(Inputs!$E62-Inputs!$D62+1))</f>
        <v>0</v>
      </c>
      <c r="N66" s="118">
        <f>IF(OR(Inputs!$C62="",Inputs!$D62="",Inputs!$E62=""),0,Inputs!$C62*MAX(0,MIN(Inputs!$E62,N$6)-MAX(Inputs!$D62,N$5)+1)/(Inputs!$E62-Inputs!$D62+1))</f>
        <v>0</v>
      </c>
      <c r="O66" s="118">
        <f>IF(OR(Inputs!$C62="",Inputs!$D62="",Inputs!$E62=""),0,Inputs!$C62*MAX(0,MIN(Inputs!$E62,O$6)-MAX(Inputs!$D62,O$5)+1)/(Inputs!$E62-Inputs!$D62+1))</f>
        <v>0</v>
      </c>
      <c r="P66" s="118">
        <f>IF(OR(Inputs!$C62="",Inputs!$D62="",Inputs!$E62=""),0,Inputs!$C62*MAX(0,MIN(Inputs!$E62,P$6)-MAX(Inputs!$D62,P$5)+1)/(Inputs!$E62-Inputs!$D62+1))</f>
        <v>0</v>
      </c>
      <c r="Q66" s="118">
        <f>IF(OR(Inputs!$C62="",Inputs!$D62="",Inputs!$E62=""),0,Inputs!$C62*MAX(0,MIN(Inputs!$E62,Q$6)-MAX(Inputs!$D62,Q$5)+1)/(Inputs!$E62-Inputs!$D62+1))</f>
        <v>0</v>
      </c>
      <c r="R66" s="118">
        <f>IF(OR(Inputs!$C62="",Inputs!$D62="",Inputs!$E62=""),0,Inputs!$C62*MAX(0,MIN(Inputs!$E62,R$6)-MAX(Inputs!$D62,R$5)+1)/(Inputs!$E62-Inputs!$D62+1))</f>
        <v>0</v>
      </c>
      <c r="S66" s="118">
        <f>IF(OR(Inputs!$C62="",Inputs!$D62="",Inputs!$E62=""),0,Inputs!$C62*MAX(0,MIN(Inputs!$E62,S$6)-MAX(Inputs!$D62,S$5)+1)/(Inputs!$E62-Inputs!$D62+1))</f>
        <v>0</v>
      </c>
      <c r="T66" s="118">
        <f>IF(OR(Inputs!$C62="",Inputs!$D62="",Inputs!$E62=""),0,Inputs!$C62*MAX(0,MIN(Inputs!$E62,T$6)-MAX(Inputs!$D62,T$5)+1)/(Inputs!$E62-Inputs!$D62+1))</f>
        <v>0</v>
      </c>
      <c r="U66" s="118">
        <f>IF(OR(Inputs!$C62="",Inputs!$D62="",Inputs!$E62=""),0,Inputs!$C62*MAX(0,MIN(Inputs!$E62,U$6)-MAX(Inputs!$D62,U$5)+1)/(Inputs!$E62-Inputs!$D62+1))</f>
        <v>0</v>
      </c>
      <c r="V66" s="118">
        <f>IF(OR(Inputs!$C62="",Inputs!$D62="",Inputs!$E62=""),0,Inputs!$C62*MAX(0,MIN(Inputs!$E62,V$6)-MAX(Inputs!$D62,V$5)+1)/(Inputs!$E62-Inputs!$D62+1))</f>
        <v>0</v>
      </c>
      <c r="W66" s="118">
        <f>IF(OR(Inputs!$C62="",Inputs!$D62="",Inputs!$E62=""),0,Inputs!$C62*MAX(0,MIN(Inputs!$E62,W$6)-MAX(Inputs!$D62,W$5)+1)/(Inputs!$E62-Inputs!$D62+1))</f>
        <v>0</v>
      </c>
      <c r="X66" s="118">
        <f>IF(OR(Inputs!$C62="",Inputs!$D62="",Inputs!$E62=""),0,Inputs!$C62*MAX(0,MIN(Inputs!$E62,X$6)-MAX(Inputs!$D62,X$5)+1)/(Inputs!$E62-Inputs!$D62+1))</f>
        <v>0</v>
      </c>
      <c r="Y66" s="118">
        <f t="shared" si="6"/>
        <v>0</v>
      </c>
    </row>
    <row r="67" spans="1:25" x14ac:dyDescent="0.3">
      <c r="A67" s="116" t="str">
        <f>IF(Inputs!$A63="","",Inputs!$A63)</f>
        <v/>
      </c>
      <c r="B67" s="117" t="str">
        <f>IF(Inputs!$A63="","",Inputs!$D63)</f>
        <v/>
      </c>
      <c r="C67" s="117" t="str">
        <f>IF(Inputs!$A63="","",Inputs!$E63)</f>
        <v/>
      </c>
      <c r="D67" s="118">
        <f>IF(OR(Inputs!$C63="",Inputs!$D63="",Inputs!$E63=""),0,Inputs!$C63*MAX(0,MIN(Inputs!$E63,D$6)-MAX(Inputs!$D63,D$5)+1)/(Inputs!$E63-Inputs!$D63+1))</f>
        <v>0</v>
      </c>
      <c r="E67" s="118">
        <f>IF(OR(Inputs!$C63="",Inputs!$D63="",Inputs!$E63=""),0,Inputs!$C63*MAX(0,MIN(Inputs!$E63,E$6)-MAX(Inputs!$D63,E$5)+1)/(Inputs!$E63-Inputs!$D63+1))</f>
        <v>0</v>
      </c>
      <c r="F67" s="118">
        <f>IF(OR(Inputs!$C63="",Inputs!$D63="",Inputs!$E63=""),0,Inputs!$C63*MAX(0,MIN(Inputs!$E63,F$6)-MAX(Inputs!$D63,F$5)+1)/(Inputs!$E63-Inputs!$D63+1))</f>
        <v>0</v>
      </c>
      <c r="G67" s="118">
        <f>IF(OR(Inputs!$C63="",Inputs!$D63="",Inputs!$E63=""),0,Inputs!$C63*MAX(0,MIN(Inputs!$E63,G$6)-MAX(Inputs!$D63,G$5)+1)/(Inputs!$E63-Inputs!$D63+1))</f>
        <v>0</v>
      </c>
      <c r="H67" s="118">
        <f>IF(OR(Inputs!$C63="",Inputs!$D63="",Inputs!$E63=""),0,Inputs!$C63*MAX(0,MIN(Inputs!$E63,H$6)-MAX(Inputs!$D63,H$5)+1)/(Inputs!$E63-Inputs!$D63+1))</f>
        <v>0</v>
      </c>
      <c r="I67" s="118">
        <f>IF(OR(Inputs!$C63="",Inputs!$D63="",Inputs!$E63=""),0,Inputs!$C63*MAX(0,MIN(Inputs!$E63,I$6)-MAX(Inputs!$D63,I$5)+1)/(Inputs!$E63-Inputs!$D63+1))</f>
        <v>0</v>
      </c>
      <c r="J67" s="118">
        <f>IF(OR(Inputs!$C63="",Inputs!$D63="",Inputs!$E63=""),0,Inputs!$C63*MAX(0,MIN(Inputs!$E63,J$6)-MAX(Inputs!$D63,J$5)+1)/(Inputs!$E63-Inputs!$D63+1))</f>
        <v>0</v>
      </c>
      <c r="K67" s="118">
        <f>IF(OR(Inputs!$C63="",Inputs!$D63="",Inputs!$E63=""),0,Inputs!$C63*MAX(0,MIN(Inputs!$E63,K$6)-MAX(Inputs!$D63,K$5)+1)/(Inputs!$E63-Inputs!$D63+1))</f>
        <v>0</v>
      </c>
      <c r="L67" s="118">
        <f>IF(OR(Inputs!$C63="",Inputs!$D63="",Inputs!$E63=""),0,Inputs!$C63*MAX(0,MIN(Inputs!$E63,L$6)-MAX(Inputs!$D63,L$5)+1)/(Inputs!$E63-Inputs!$D63+1))</f>
        <v>0</v>
      </c>
      <c r="M67" s="118">
        <f>IF(OR(Inputs!$C63="",Inputs!$D63="",Inputs!$E63=""),0,Inputs!$C63*MAX(0,MIN(Inputs!$E63,M$6)-MAX(Inputs!$D63,M$5)+1)/(Inputs!$E63-Inputs!$D63+1))</f>
        <v>0</v>
      </c>
      <c r="N67" s="118">
        <f>IF(OR(Inputs!$C63="",Inputs!$D63="",Inputs!$E63=""),0,Inputs!$C63*MAX(0,MIN(Inputs!$E63,N$6)-MAX(Inputs!$D63,N$5)+1)/(Inputs!$E63-Inputs!$D63+1))</f>
        <v>0</v>
      </c>
      <c r="O67" s="118">
        <f>IF(OR(Inputs!$C63="",Inputs!$D63="",Inputs!$E63=""),0,Inputs!$C63*MAX(0,MIN(Inputs!$E63,O$6)-MAX(Inputs!$D63,O$5)+1)/(Inputs!$E63-Inputs!$D63+1))</f>
        <v>0</v>
      </c>
      <c r="P67" s="118">
        <f>IF(OR(Inputs!$C63="",Inputs!$D63="",Inputs!$E63=""),0,Inputs!$C63*MAX(0,MIN(Inputs!$E63,P$6)-MAX(Inputs!$D63,P$5)+1)/(Inputs!$E63-Inputs!$D63+1))</f>
        <v>0</v>
      </c>
      <c r="Q67" s="118">
        <f>IF(OR(Inputs!$C63="",Inputs!$D63="",Inputs!$E63=""),0,Inputs!$C63*MAX(0,MIN(Inputs!$E63,Q$6)-MAX(Inputs!$D63,Q$5)+1)/(Inputs!$E63-Inputs!$D63+1))</f>
        <v>0</v>
      </c>
      <c r="R67" s="118">
        <f>IF(OR(Inputs!$C63="",Inputs!$D63="",Inputs!$E63=""),0,Inputs!$C63*MAX(0,MIN(Inputs!$E63,R$6)-MAX(Inputs!$D63,R$5)+1)/(Inputs!$E63-Inputs!$D63+1))</f>
        <v>0</v>
      </c>
      <c r="S67" s="118">
        <f>IF(OR(Inputs!$C63="",Inputs!$D63="",Inputs!$E63=""),0,Inputs!$C63*MAX(0,MIN(Inputs!$E63,S$6)-MAX(Inputs!$D63,S$5)+1)/(Inputs!$E63-Inputs!$D63+1))</f>
        <v>0</v>
      </c>
      <c r="T67" s="118">
        <f>IF(OR(Inputs!$C63="",Inputs!$D63="",Inputs!$E63=""),0,Inputs!$C63*MAX(0,MIN(Inputs!$E63,T$6)-MAX(Inputs!$D63,T$5)+1)/(Inputs!$E63-Inputs!$D63+1))</f>
        <v>0</v>
      </c>
      <c r="U67" s="118">
        <f>IF(OR(Inputs!$C63="",Inputs!$D63="",Inputs!$E63=""),0,Inputs!$C63*MAX(0,MIN(Inputs!$E63,U$6)-MAX(Inputs!$D63,U$5)+1)/(Inputs!$E63-Inputs!$D63+1))</f>
        <v>0</v>
      </c>
      <c r="V67" s="118">
        <f>IF(OR(Inputs!$C63="",Inputs!$D63="",Inputs!$E63=""),0,Inputs!$C63*MAX(0,MIN(Inputs!$E63,V$6)-MAX(Inputs!$D63,V$5)+1)/(Inputs!$E63-Inputs!$D63+1))</f>
        <v>0</v>
      </c>
      <c r="W67" s="118">
        <f>IF(OR(Inputs!$C63="",Inputs!$D63="",Inputs!$E63=""),0,Inputs!$C63*MAX(0,MIN(Inputs!$E63,W$6)-MAX(Inputs!$D63,W$5)+1)/(Inputs!$E63-Inputs!$D63+1))</f>
        <v>0</v>
      </c>
      <c r="X67" s="118">
        <f>IF(OR(Inputs!$C63="",Inputs!$D63="",Inputs!$E63=""),0,Inputs!$C63*MAX(0,MIN(Inputs!$E63,X$6)-MAX(Inputs!$D63,X$5)+1)/(Inputs!$E63-Inputs!$D63+1))</f>
        <v>0</v>
      </c>
      <c r="Y67" s="118">
        <f t="shared" si="6"/>
        <v>0</v>
      </c>
    </row>
    <row r="68" spans="1:25" x14ac:dyDescent="0.3">
      <c r="A68" s="116" t="str">
        <f>IF(Inputs!$A64="","",Inputs!$A64)</f>
        <v/>
      </c>
      <c r="B68" s="117" t="str">
        <f>IF(Inputs!$A64="","",Inputs!$D64)</f>
        <v/>
      </c>
      <c r="C68" s="117" t="str">
        <f>IF(Inputs!$A64="","",Inputs!$E64)</f>
        <v/>
      </c>
      <c r="D68" s="118">
        <f>IF(OR(Inputs!$C64="",Inputs!$D64="",Inputs!$E64=""),0,Inputs!$C64*MAX(0,MIN(Inputs!$E64,D$6)-MAX(Inputs!$D64,D$5)+1)/(Inputs!$E64-Inputs!$D64+1))</f>
        <v>0</v>
      </c>
      <c r="E68" s="118">
        <f>IF(OR(Inputs!$C64="",Inputs!$D64="",Inputs!$E64=""),0,Inputs!$C64*MAX(0,MIN(Inputs!$E64,E$6)-MAX(Inputs!$D64,E$5)+1)/(Inputs!$E64-Inputs!$D64+1))</f>
        <v>0</v>
      </c>
      <c r="F68" s="118">
        <f>IF(OR(Inputs!$C64="",Inputs!$D64="",Inputs!$E64=""),0,Inputs!$C64*MAX(0,MIN(Inputs!$E64,F$6)-MAX(Inputs!$D64,F$5)+1)/(Inputs!$E64-Inputs!$D64+1))</f>
        <v>0</v>
      </c>
      <c r="G68" s="118">
        <f>IF(OR(Inputs!$C64="",Inputs!$D64="",Inputs!$E64=""),0,Inputs!$C64*MAX(0,MIN(Inputs!$E64,G$6)-MAX(Inputs!$D64,G$5)+1)/(Inputs!$E64-Inputs!$D64+1))</f>
        <v>0</v>
      </c>
      <c r="H68" s="118">
        <f>IF(OR(Inputs!$C64="",Inputs!$D64="",Inputs!$E64=""),0,Inputs!$C64*MAX(0,MIN(Inputs!$E64,H$6)-MAX(Inputs!$D64,H$5)+1)/(Inputs!$E64-Inputs!$D64+1))</f>
        <v>0</v>
      </c>
      <c r="I68" s="118">
        <f>IF(OR(Inputs!$C64="",Inputs!$D64="",Inputs!$E64=""),0,Inputs!$C64*MAX(0,MIN(Inputs!$E64,I$6)-MAX(Inputs!$D64,I$5)+1)/(Inputs!$E64-Inputs!$D64+1))</f>
        <v>0</v>
      </c>
      <c r="J68" s="118">
        <f>IF(OR(Inputs!$C64="",Inputs!$D64="",Inputs!$E64=""),0,Inputs!$C64*MAX(0,MIN(Inputs!$E64,J$6)-MAX(Inputs!$D64,J$5)+1)/(Inputs!$E64-Inputs!$D64+1))</f>
        <v>0</v>
      </c>
      <c r="K68" s="118">
        <f>IF(OR(Inputs!$C64="",Inputs!$D64="",Inputs!$E64=""),0,Inputs!$C64*MAX(0,MIN(Inputs!$E64,K$6)-MAX(Inputs!$D64,K$5)+1)/(Inputs!$E64-Inputs!$D64+1))</f>
        <v>0</v>
      </c>
      <c r="L68" s="118">
        <f>IF(OR(Inputs!$C64="",Inputs!$D64="",Inputs!$E64=""),0,Inputs!$C64*MAX(0,MIN(Inputs!$E64,L$6)-MAX(Inputs!$D64,L$5)+1)/(Inputs!$E64-Inputs!$D64+1))</f>
        <v>0</v>
      </c>
      <c r="M68" s="118">
        <f>IF(OR(Inputs!$C64="",Inputs!$D64="",Inputs!$E64=""),0,Inputs!$C64*MAX(0,MIN(Inputs!$E64,M$6)-MAX(Inputs!$D64,M$5)+1)/(Inputs!$E64-Inputs!$D64+1))</f>
        <v>0</v>
      </c>
      <c r="N68" s="118">
        <f>IF(OR(Inputs!$C64="",Inputs!$D64="",Inputs!$E64=""),0,Inputs!$C64*MAX(0,MIN(Inputs!$E64,N$6)-MAX(Inputs!$D64,N$5)+1)/(Inputs!$E64-Inputs!$D64+1))</f>
        <v>0</v>
      </c>
      <c r="O68" s="118">
        <f>IF(OR(Inputs!$C64="",Inputs!$D64="",Inputs!$E64=""),0,Inputs!$C64*MAX(0,MIN(Inputs!$E64,O$6)-MAX(Inputs!$D64,O$5)+1)/(Inputs!$E64-Inputs!$D64+1))</f>
        <v>0</v>
      </c>
      <c r="P68" s="118">
        <f>IF(OR(Inputs!$C64="",Inputs!$D64="",Inputs!$E64=""),0,Inputs!$C64*MAX(0,MIN(Inputs!$E64,P$6)-MAX(Inputs!$D64,P$5)+1)/(Inputs!$E64-Inputs!$D64+1))</f>
        <v>0</v>
      </c>
      <c r="Q68" s="118">
        <f>IF(OR(Inputs!$C64="",Inputs!$D64="",Inputs!$E64=""),0,Inputs!$C64*MAX(0,MIN(Inputs!$E64,Q$6)-MAX(Inputs!$D64,Q$5)+1)/(Inputs!$E64-Inputs!$D64+1))</f>
        <v>0</v>
      </c>
      <c r="R68" s="118">
        <f>IF(OR(Inputs!$C64="",Inputs!$D64="",Inputs!$E64=""),0,Inputs!$C64*MAX(0,MIN(Inputs!$E64,R$6)-MAX(Inputs!$D64,R$5)+1)/(Inputs!$E64-Inputs!$D64+1))</f>
        <v>0</v>
      </c>
      <c r="S68" s="118">
        <f>IF(OR(Inputs!$C64="",Inputs!$D64="",Inputs!$E64=""),0,Inputs!$C64*MAX(0,MIN(Inputs!$E64,S$6)-MAX(Inputs!$D64,S$5)+1)/(Inputs!$E64-Inputs!$D64+1))</f>
        <v>0</v>
      </c>
      <c r="T68" s="118">
        <f>IF(OR(Inputs!$C64="",Inputs!$D64="",Inputs!$E64=""),0,Inputs!$C64*MAX(0,MIN(Inputs!$E64,T$6)-MAX(Inputs!$D64,T$5)+1)/(Inputs!$E64-Inputs!$D64+1))</f>
        <v>0</v>
      </c>
      <c r="U68" s="118">
        <f>IF(OR(Inputs!$C64="",Inputs!$D64="",Inputs!$E64=""),0,Inputs!$C64*MAX(0,MIN(Inputs!$E64,U$6)-MAX(Inputs!$D64,U$5)+1)/(Inputs!$E64-Inputs!$D64+1))</f>
        <v>0</v>
      </c>
      <c r="V68" s="118">
        <f>IF(OR(Inputs!$C64="",Inputs!$D64="",Inputs!$E64=""),0,Inputs!$C64*MAX(0,MIN(Inputs!$E64,V$6)-MAX(Inputs!$D64,V$5)+1)/(Inputs!$E64-Inputs!$D64+1))</f>
        <v>0</v>
      </c>
      <c r="W68" s="118">
        <f>IF(OR(Inputs!$C64="",Inputs!$D64="",Inputs!$E64=""),0,Inputs!$C64*MAX(0,MIN(Inputs!$E64,W$6)-MAX(Inputs!$D64,W$5)+1)/(Inputs!$E64-Inputs!$D64+1))</f>
        <v>0</v>
      </c>
      <c r="X68" s="118">
        <f>IF(OR(Inputs!$C64="",Inputs!$D64="",Inputs!$E64=""),0,Inputs!$C64*MAX(0,MIN(Inputs!$E64,X$6)-MAX(Inputs!$D64,X$5)+1)/(Inputs!$E64-Inputs!$D64+1))</f>
        <v>0</v>
      </c>
      <c r="Y68" s="118">
        <f t="shared" si="6"/>
        <v>0</v>
      </c>
    </row>
    <row r="69" spans="1:25" x14ac:dyDescent="0.3">
      <c r="A69" s="116" t="str">
        <f>IF(Inputs!$A65="","",Inputs!$A65)</f>
        <v/>
      </c>
      <c r="B69" s="117" t="str">
        <f>IF(Inputs!$A65="","",Inputs!$D65)</f>
        <v/>
      </c>
      <c r="C69" s="117" t="str">
        <f>IF(Inputs!$A65="","",Inputs!$E65)</f>
        <v/>
      </c>
      <c r="D69" s="118">
        <f>IF(OR(Inputs!$C65="",Inputs!$D65="",Inputs!$E65=""),0,Inputs!$C65*MAX(0,MIN(Inputs!$E65,D$6)-MAX(Inputs!$D65,D$5)+1)/(Inputs!$E65-Inputs!$D65+1))</f>
        <v>0</v>
      </c>
      <c r="E69" s="118">
        <f>IF(OR(Inputs!$C65="",Inputs!$D65="",Inputs!$E65=""),0,Inputs!$C65*MAX(0,MIN(Inputs!$E65,E$6)-MAX(Inputs!$D65,E$5)+1)/(Inputs!$E65-Inputs!$D65+1))</f>
        <v>0</v>
      </c>
      <c r="F69" s="118">
        <f>IF(OR(Inputs!$C65="",Inputs!$D65="",Inputs!$E65=""),0,Inputs!$C65*MAX(0,MIN(Inputs!$E65,F$6)-MAX(Inputs!$D65,F$5)+1)/(Inputs!$E65-Inputs!$D65+1))</f>
        <v>0</v>
      </c>
      <c r="G69" s="118">
        <f>IF(OR(Inputs!$C65="",Inputs!$D65="",Inputs!$E65=""),0,Inputs!$C65*MAX(0,MIN(Inputs!$E65,G$6)-MAX(Inputs!$D65,G$5)+1)/(Inputs!$E65-Inputs!$D65+1))</f>
        <v>0</v>
      </c>
      <c r="H69" s="118">
        <f>IF(OR(Inputs!$C65="",Inputs!$D65="",Inputs!$E65=""),0,Inputs!$C65*MAX(0,MIN(Inputs!$E65,H$6)-MAX(Inputs!$D65,H$5)+1)/(Inputs!$E65-Inputs!$D65+1))</f>
        <v>0</v>
      </c>
      <c r="I69" s="118">
        <f>IF(OR(Inputs!$C65="",Inputs!$D65="",Inputs!$E65=""),0,Inputs!$C65*MAX(0,MIN(Inputs!$E65,I$6)-MAX(Inputs!$D65,I$5)+1)/(Inputs!$E65-Inputs!$D65+1))</f>
        <v>0</v>
      </c>
      <c r="J69" s="118">
        <f>IF(OR(Inputs!$C65="",Inputs!$D65="",Inputs!$E65=""),0,Inputs!$C65*MAX(0,MIN(Inputs!$E65,J$6)-MAX(Inputs!$D65,J$5)+1)/(Inputs!$E65-Inputs!$D65+1))</f>
        <v>0</v>
      </c>
      <c r="K69" s="118">
        <f>IF(OR(Inputs!$C65="",Inputs!$D65="",Inputs!$E65=""),0,Inputs!$C65*MAX(0,MIN(Inputs!$E65,K$6)-MAX(Inputs!$D65,K$5)+1)/(Inputs!$E65-Inputs!$D65+1))</f>
        <v>0</v>
      </c>
      <c r="L69" s="118">
        <f>IF(OR(Inputs!$C65="",Inputs!$D65="",Inputs!$E65=""),0,Inputs!$C65*MAX(0,MIN(Inputs!$E65,L$6)-MAX(Inputs!$D65,L$5)+1)/(Inputs!$E65-Inputs!$D65+1))</f>
        <v>0</v>
      </c>
      <c r="M69" s="118">
        <f>IF(OR(Inputs!$C65="",Inputs!$D65="",Inputs!$E65=""),0,Inputs!$C65*MAX(0,MIN(Inputs!$E65,M$6)-MAX(Inputs!$D65,M$5)+1)/(Inputs!$E65-Inputs!$D65+1))</f>
        <v>0</v>
      </c>
      <c r="N69" s="118">
        <f>IF(OR(Inputs!$C65="",Inputs!$D65="",Inputs!$E65=""),0,Inputs!$C65*MAX(0,MIN(Inputs!$E65,N$6)-MAX(Inputs!$D65,N$5)+1)/(Inputs!$E65-Inputs!$D65+1))</f>
        <v>0</v>
      </c>
      <c r="O69" s="118">
        <f>IF(OR(Inputs!$C65="",Inputs!$D65="",Inputs!$E65=""),0,Inputs!$C65*MAX(0,MIN(Inputs!$E65,O$6)-MAX(Inputs!$D65,O$5)+1)/(Inputs!$E65-Inputs!$D65+1))</f>
        <v>0</v>
      </c>
      <c r="P69" s="118">
        <f>IF(OR(Inputs!$C65="",Inputs!$D65="",Inputs!$E65=""),0,Inputs!$C65*MAX(0,MIN(Inputs!$E65,P$6)-MAX(Inputs!$D65,P$5)+1)/(Inputs!$E65-Inputs!$D65+1))</f>
        <v>0</v>
      </c>
      <c r="Q69" s="118">
        <f>IF(OR(Inputs!$C65="",Inputs!$D65="",Inputs!$E65=""),0,Inputs!$C65*MAX(0,MIN(Inputs!$E65,Q$6)-MAX(Inputs!$D65,Q$5)+1)/(Inputs!$E65-Inputs!$D65+1))</f>
        <v>0</v>
      </c>
      <c r="R69" s="118">
        <f>IF(OR(Inputs!$C65="",Inputs!$D65="",Inputs!$E65=""),0,Inputs!$C65*MAX(0,MIN(Inputs!$E65,R$6)-MAX(Inputs!$D65,R$5)+1)/(Inputs!$E65-Inputs!$D65+1))</f>
        <v>0</v>
      </c>
      <c r="S69" s="118">
        <f>IF(OR(Inputs!$C65="",Inputs!$D65="",Inputs!$E65=""),0,Inputs!$C65*MAX(0,MIN(Inputs!$E65,S$6)-MAX(Inputs!$D65,S$5)+1)/(Inputs!$E65-Inputs!$D65+1))</f>
        <v>0</v>
      </c>
      <c r="T69" s="118">
        <f>IF(OR(Inputs!$C65="",Inputs!$D65="",Inputs!$E65=""),0,Inputs!$C65*MAX(0,MIN(Inputs!$E65,T$6)-MAX(Inputs!$D65,T$5)+1)/(Inputs!$E65-Inputs!$D65+1))</f>
        <v>0</v>
      </c>
      <c r="U69" s="118">
        <f>IF(OR(Inputs!$C65="",Inputs!$D65="",Inputs!$E65=""),0,Inputs!$C65*MAX(0,MIN(Inputs!$E65,U$6)-MAX(Inputs!$D65,U$5)+1)/(Inputs!$E65-Inputs!$D65+1))</f>
        <v>0</v>
      </c>
      <c r="V69" s="118">
        <f>IF(OR(Inputs!$C65="",Inputs!$D65="",Inputs!$E65=""),0,Inputs!$C65*MAX(0,MIN(Inputs!$E65,V$6)-MAX(Inputs!$D65,V$5)+1)/(Inputs!$E65-Inputs!$D65+1))</f>
        <v>0</v>
      </c>
      <c r="W69" s="118">
        <f>IF(OR(Inputs!$C65="",Inputs!$D65="",Inputs!$E65=""),0,Inputs!$C65*MAX(0,MIN(Inputs!$E65,W$6)-MAX(Inputs!$D65,W$5)+1)/(Inputs!$E65-Inputs!$D65+1))</f>
        <v>0</v>
      </c>
      <c r="X69" s="118">
        <f>IF(OR(Inputs!$C65="",Inputs!$D65="",Inputs!$E65=""),0,Inputs!$C65*MAX(0,MIN(Inputs!$E65,X$6)-MAX(Inputs!$D65,X$5)+1)/(Inputs!$E65-Inputs!$D65+1))</f>
        <v>0</v>
      </c>
      <c r="Y69" s="118">
        <f t="shared" si="6"/>
        <v>0</v>
      </c>
    </row>
    <row r="70" spans="1:25" x14ac:dyDescent="0.3">
      <c r="A70" s="116" t="str">
        <f>IF(Inputs!$A66="","",Inputs!$A66)</f>
        <v/>
      </c>
      <c r="B70" s="117" t="str">
        <f>IF(Inputs!$A66="","",Inputs!$D66)</f>
        <v/>
      </c>
      <c r="C70" s="117" t="str">
        <f>IF(Inputs!$A66="","",Inputs!$E66)</f>
        <v/>
      </c>
      <c r="D70" s="118">
        <f>IF(OR(Inputs!$C66="",Inputs!$D66="",Inputs!$E66=""),0,Inputs!$C66*MAX(0,MIN(Inputs!$E66,D$6)-MAX(Inputs!$D66,D$5)+1)/(Inputs!$E66-Inputs!$D66+1))</f>
        <v>0</v>
      </c>
      <c r="E70" s="118">
        <f>IF(OR(Inputs!$C66="",Inputs!$D66="",Inputs!$E66=""),0,Inputs!$C66*MAX(0,MIN(Inputs!$E66,E$6)-MAX(Inputs!$D66,E$5)+1)/(Inputs!$E66-Inputs!$D66+1))</f>
        <v>0</v>
      </c>
      <c r="F70" s="118">
        <f>IF(OR(Inputs!$C66="",Inputs!$D66="",Inputs!$E66=""),0,Inputs!$C66*MAX(0,MIN(Inputs!$E66,F$6)-MAX(Inputs!$D66,F$5)+1)/(Inputs!$E66-Inputs!$D66+1))</f>
        <v>0</v>
      </c>
      <c r="G70" s="118">
        <f>IF(OR(Inputs!$C66="",Inputs!$D66="",Inputs!$E66=""),0,Inputs!$C66*MAX(0,MIN(Inputs!$E66,G$6)-MAX(Inputs!$D66,G$5)+1)/(Inputs!$E66-Inputs!$D66+1))</f>
        <v>0</v>
      </c>
      <c r="H70" s="118">
        <f>IF(OR(Inputs!$C66="",Inputs!$D66="",Inputs!$E66=""),0,Inputs!$C66*MAX(0,MIN(Inputs!$E66,H$6)-MAX(Inputs!$D66,H$5)+1)/(Inputs!$E66-Inputs!$D66+1))</f>
        <v>0</v>
      </c>
      <c r="I70" s="118">
        <f>IF(OR(Inputs!$C66="",Inputs!$D66="",Inputs!$E66=""),0,Inputs!$C66*MAX(0,MIN(Inputs!$E66,I$6)-MAX(Inputs!$D66,I$5)+1)/(Inputs!$E66-Inputs!$D66+1))</f>
        <v>0</v>
      </c>
      <c r="J70" s="118">
        <f>IF(OR(Inputs!$C66="",Inputs!$D66="",Inputs!$E66=""),0,Inputs!$C66*MAX(0,MIN(Inputs!$E66,J$6)-MAX(Inputs!$D66,J$5)+1)/(Inputs!$E66-Inputs!$D66+1))</f>
        <v>0</v>
      </c>
      <c r="K70" s="118">
        <f>IF(OR(Inputs!$C66="",Inputs!$D66="",Inputs!$E66=""),0,Inputs!$C66*MAX(0,MIN(Inputs!$E66,K$6)-MAX(Inputs!$D66,K$5)+1)/(Inputs!$E66-Inputs!$D66+1))</f>
        <v>0</v>
      </c>
      <c r="L70" s="118">
        <f>IF(OR(Inputs!$C66="",Inputs!$D66="",Inputs!$E66=""),0,Inputs!$C66*MAX(0,MIN(Inputs!$E66,L$6)-MAX(Inputs!$D66,L$5)+1)/(Inputs!$E66-Inputs!$D66+1))</f>
        <v>0</v>
      </c>
      <c r="M70" s="118">
        <f>IF(OR(Inputs!$C66="",Inputs!$D66="",Inputs!$E66=""),0,Inputs!$C66*MAX(0,MIN(Inputs!$E66,M$6)-MAX(Inputs!$D66,M$5)+1)/(Inputs!$E66-Inputs!$D66+1))</f>
        <v>0</v>
      </c>
      <c r="N70" s="118">
        <f>IF(OR(Inputs!$C66="",Inputs!$D66="",Inputs!$E66=""),0,Inputs!$C66*MAX(0,MIN(Inputs!$E66,N$6)-MAX(Inputs!$D66,N$5)+1)/(Inputs!$E66-Inputs!$D66+1))</f>
        <v>0</v>
      </c>
      <c r="O70" s="118">
        <f>IF(OR(Inputs!$C66="",Inputs!$D66="",Inputs!$E66=""),0,Inputs!$C66*MAX(0,MIN(Inputs!$E66,O$6)-MAX(Inputs!$D66,O$5)+1)/(Inputs!$E66-Inputs!$D66+1))</f>
        <v>0</v>
      </c>
      <c r="P70" s="118">
        <f>IF(OR(Inputs!$C66="",Inputs!$D66="",Inputs!$E66=""),0,Inputs!$C66*MAX(0,MIN(Inputs!$E66,P$6)-MAX(Inputs!$D66,P$5)+1)/(Inputs!$E66-Inputs!$D66+1))</f>
        <v>0</v>
      </c>
      <c r="Q70" s="118">
        <f>IF(OR(Inputs!$C66="",Inputs!$D66="",Inputs!$E66=""),0,Inputs!$C66*MAX(0,MIN(Inputs!$E66,Q$6)-MAX(Inputs!$D66,Q$5)+1)/(Inputs!$E66-Inputs!$D66+1))</f>
        <v>0</v>
      </c>
      <c r="R70" s="118">
        <f>IF(OR(Inputs!$C66="",Inputs!$D66="",Inputs!$E66=""),0,Inputs!$C66*MAX(0,MIN(Inputs!$E66,R$6)-MAX(Inputs!$D66,R$5)+1)/(Inputs!$E66-Inputs!$D66+1))</f>
        <v>0</v>
      </c>
      <c r="S70" s="118">
        <f>IF(OR(Inputs!$C66="",Inputs!$D66="",Inputs!$E66=""),0,Inputs!$C66*MAX(0,MIN(Inputs!$E66,S$6)-MAX(Inputs!$D66,S$5)+1)/(Inputs!$E66-Inputs!$D66+1))</f>
        <v>0</v>
      </c>
      <c r="T70" s="118">
        <f>IF(OR(Inputs!$C66="",Inputs!$D66="",Inputs!$E66=""),0,Inputs!$C66*MAX(0,MIN(Inputs!$E66,T$6)-MAX(Inputs!$D66,T$5)+1)/(Inputs!$E66-Inputs!$D66+1))</f>
        <v>0</v>
      </c>
      <c r="U70" s="118">
        <f>IF(OR(Inputs!$C66="",Inputs!$D66="",Inputs!$E66=""),0,Inputs!$C66*MAX(0,MIN(Inputs!$E66,U$6)-MAX(Inputs!$D66,U$5)+1)/(Inputs!$E66-Inputs!$D66+1))</f>
        <v>0</v>
      </c>
      <c r="V70" s="118">
        <f>IF(OR(Inputs!$C66="",Inputs!$D66="",Inputs!$E66=""),0,Inputs!$C66*MAX(0,MIN(Inputs!$E66,V$6)-MAX(Inputs!$D66,V$5)+1)/(Inputs!$E66-Inputs!$D66+1))</f>
        <v>0</v>
      </c>
      <c r="W70" s="118">
        <f>IF(OR(Inputs!$C66="",Inputs!$D66="",Inputs!$E66=""),0,Inputs!$C66*MAX(0,MIN(Inputs!$E66,W$6)-MAX(Inputs!$D66,W$5)+1)/(Inputs!$E66-Inputs!$D66+1))</f>
        <v>0</v>
      </c>
      <c r="X70" s="118">
        <f>IF(OR(Inputs!$C66="",Inputs!$D66="",Inputs!$E66=""),0,Inputs!$C66*MAX(0,MIN(Inputs!$E66,X$6)-MAX(Inputs!$D66,X$5)+1)/(Inputs!$E66-Inputs!$D66+1))</f>
        <v>0</v>
      </c>
      <c r="Y70" s="118">
        <f t="shared" si="6"/>
        <v>0</v>
      </c>
    </row>
    <row r="71" spans="1:25" x14ac:dyDescent="0.3">
      <c r="A71" s="116" t="str">
        <f>IF(Inputs!$A67="","",Inputs!$A67)</f>
        <v/>
      </c>
      <c r="B71" s="117" t="str">
        <f>IF(Inputs!$A67="","",Inputs!$D67)</f>
        <v/>
      </c>
      <c r="C71" s="117" t="str">
        <f>IF(Inputs!$A67="","",Inputs!$E67)</f>
        <v/>
      </c>
      <c r="D71" s="118">
        <f>IF(OR(Inputs!$C67="",Inputs!$D67="",Inputs!$E67=""),0,Inputs!$C67*MAX(0,MIN(Inputs!$E67,D$6)-MAX(Inputs!$D67,D$5)+1)/(Inputs!$E67-Inputs!$D67+1))</f>
        <v>0</v>
      </c>
      <c r="E71" s="118">
        <f>IF(OR(Inputs!$C67="",Inputs!$D67="",Inputs!$E67=""),0,Inputs!$C67*MAX(0,MIN(Inputs!$E67,E$6)-MAX(Inputs!$D67,E$5)+1)/(Inputs!$E67-Inputs!$D67+1))</f>
        <v>0</v>
      </c>
      <c r="F71" s="118">
        <f>IF(OR(Inputs!$C67="",Inputs!$D67="",Inputs!$E67=""),0,Inputs!$C67*MAX(0,MIN(Inputs!$E67,F$6)-MAX(Inputs!$D67,F$5)+1)/(Inputs!$E67-Inputs!$D67+1))</f>
        <v>0</v>
      </c>
      <c r="G71" s="118">
        <f>IF(OR(Inputs!$C67="",Inputs!$D67="",Inputs!$E67=""),0,Inputs!$C67*MAX(0,MIN(Inputs!$E67,G$6)-MAX(Inputs!$D67,G$5)+1)/(Inputs!$E67-Inputs!$D67+1))</f>
        <v>0</v>
      </c>
      <c r="H71" s="118">
        <f>IF(OR(Inputs!$C67="",Inputs!$D67="",Inputs!$E67=""),0,Inputs!$C67*MAX(0,MIN(Inputs!$E67,H$6)-MAX(Inputs!$D67,H$5)+1)/(Inputs!$E67-Inputs!$D67+1))</f>
        <v>0</v>
      </c>
      <c r="I71" s="118">
        <f>IF(OR(Inputs!$C67="",Inputs!$D67="",Inputs!$E67=""),0,Inputs!$C67*MAX(0,MIN(Inputs!$E67,I$6)-MAX(Inputs!$D67,I$5)+1)/(Inputs!$E67-Inputs!$D67+1))</f>
        <v>0</v>
      </c>
      <c r="J71" s="118">
        <f>IF(OR(Inputs!$C67="",Inputs!$D67="",Inputs!$E67=""),0,Inputs!$C67*MAX(0,MIN(Inputs!$E67,J$6)-MAX(Inputs!$D67,J$5)+1)/(Inputs!$E67-Inputs!$D67+1))</f>
        <v>0</v>
      </c>
      <c r="K71" s="118">
        <f>IF(OR(Inputs!$C67="",Inputs!$D67="",Inputs!$E67=""),0,Inputs!$C67*MAX(0,MIN(Inputs!$E67,K$6)-MAX(Inputs!$D67,K$5)+1)/(Inputs!$E67-Inputs!$D67+1))</f>
        <v>0</v>
      </c>
      <c r="L71" s="118">
        <f>IF(OR(Inputs!$C67="",Inputs!$D67="",Inputs!$E67=""),0,Inputs!$C67*MAX(0,MIN(Inputs!$E67,L$6)-MAX(Inputs!$D67,L$5)+1)/(Inputs!$E67-Inputs!$D67+1))</f>
        <v>0</v>
      </c>
      <c r="M71" s="118">
        <f>IF(OR(Inputs!$C67="",Inputs!$D67="",Inputs!$E67=""),0,Inputs!$C67*MAX(0,MIN(Inputs!$E67,M$6)-MAX(Inputs!$D67,M$5)+1)/(Inputs!$E67-Inputs!$D67+1))</f>
        <v>0</v>
      </c>
      <c r="N71" s="118">
        <f>IF(OR(Inputs!$C67="",Inputs!$D67="",Inputs!$E67=""),0,Inputs!$C67*MAX(0,MIN(Inputs!$E67,N$6)-MAX(Inputs!$D67,N$5)+1)/(Inputs!$E67-Inputs!$D67+1))</f>
        <v>0</v>
      </c>
      <c r="O71" s="118">
        <f>IF(OR(Inputs!$C67="",Inputs!$D67="",Inputs!$E67=""),0,Inputs!$C67*MAX(0,MIN(Inputs!$E67,O$6)-MAX(Inputs!$D67,O$5)+1)/(Inputs!$E67-Inputs!$D67+1))</f>
        <v>0</v>
      </c>
      <c r="P71" s="118">
        <f>IF(OR(Inputs!$C67="",Inputs!$D67="",Inputs!$E67=""),0,Inputs!$C67*MAX(0,MIN(Inputs!$E67,P$6)-MAX(Inputs!$D67,P$5)+1)/(Inputs!$E67-Inputs!$D67+1))</f>
        <v>0</v>
      </c>
      <c r="Q71" s="118">
        <f>IF(OR(Inputs!$C67="",Inputs!$D67="",Inputs!$E67=""),0,Inputs!$C67*MAX(0,MIN(Inputs!$E67,Q$6)-MAX(Inputs!$D67,Q$5)+1)/(Inputs!$E67-Inputs!$D67+1))</f>
        <v>0</v>
      </c>
      <c r="R71" s="118">
        <f>IF(OR(Inputs!$C67="",Inputs!$D67="",Inputs!$E67=""),0,Inputs!$C67*MAX(0,MIN(Inputs!$E67,R$6)-MAX(Inputs!$D67,R$5)+1)/(Inputs!$E67-Inputs!$D67+1))</f>
        <v>0</v>
      </c>
      <c r="S71" s="118">
        <f>IF(OR(Inputs!$C67="",Inputs!$D67="",Inputs!$E67=""),0,Inputs!$C67*MAX(0,MIN(Inputs!$E67,S$6)-MAX(Inputs!$D67,S$5)+1)/(Inputs!$E67-Inputs!$D67+1))</f>
        <v>0</v>
      </c>
      <c r="T71" s="118">
        <f>IF(OR(Inputs!$C67="",Inputs!$D67="",Inputs!$E67=""),0,Inputs!$C67*MAX(0,MIN(Inputs!$E67,T$6)-MAX(Inputs!$D67,T$5)+1)/(Inputs!$E67-Inputs!$D67+1))</f>
        <v>0</v>
      </c>
      <c r="U71" s="118">
        <f>IF(OR(Inputs!$C67="",Inputs!$D67="",Inputs!$E67=""),0,Inputs!$C67*MAX(0,MIN(Inputs!$E67,U$6)-MAX(Inputs!$D67,U$5)+1)/(Inputs!$E67-Inputs!$D67+1))</f>
        <v>0</v>
      </c>
      <c r="V71" s="118">
        <f>IF(OR(Inputs!$C67="",Inputs!$D67="",Inputs!$E67=""),0,Inputs!$C67*MAX(0,MIN(Inputs!$E67,V$6)-MAX(Inputs!$D67,V$5)+1)/(Inputs!$E67-Inputs!$D67+1))</f>
        <v>0</v>
      </c>
      <c r="W71" s="118">
        <f>IF(OR(Inputs!$C67="",Inputs!$D67="",Inputs!$E67=""),0,Inputs!$C67*MAX(0,MIN(Inputs!$E67,W$6)-MAX(Inputs!$D67,W$5)+1)/(Inputs!$E67-Inputs!$D67+1))</f>
        <v>0</v>
      </c>
      <c r="X71" s="118">
        <f>IF(OR(Inputs!$C67="",Inputs!$D67="",Inputs!$E67=""),0,Inputs!$C67*MAX(0,MIN(Inputs!$E67,X$6)-MAX(Inputs!$D67,X$5)+1)/(Inputs!$E67-Inputs!$D67+1))</f>
        <v>0</v>
      </c>
      <c r="Y71" s="118">
        <f t="shared" si="6"/>
        <v>0</v>
      </c>
    </row>
    <row r="72" spans="1:25" x14ac:dyDescent="0.3">
      <c r="A72" s="116" t="str">
        <f>IF(Inputs!$A68="","",Inputs!$A68)</f>
        <v/>
      </c>
      <c r="B72" s="117" t="str">
        <f>IF(Inputs!$A68="","",Inputs!$D68)</f>
        <v/>
      </c>
      <c r="C72" s="117" t="str">
        <f>IF(Inputs!$A68="","",Inputs!$E68)</f>
        <v/>
      </c>
      <c r="D72" s="118">
        <f>IF(OR(Inputs!$C68="",Inputs!$D68="",Inputs!$E68=""),0,Inputs!$C68*MAX(0,MIN(Inputs!$E68,D$6)-MAX(Inputs!$D68,D$5)+1)/(Inputs!$E68-Inputs!$D68+1))</f>
        <v>0</v>
      </c>
      <c r="E72" s="118">
        <f>IF(OR(Inputs!$C68="",Inputs!$D68="",Inputs!$E68=""),0,Inputs!$C68*MAX(0,MIN(Inputs!$E68,E$6)-MAX(Inputs!$D68,E$5)+1)/(Inputs!$E68-Inputs!$D68+1))</f>
        <v>0</v>
      </c>
      <c r="F72" s="118">
        <f>IF(OR(Inputs!$C68="",Inputs!$D68="",Inputs!$E68=""),0,Inputs!$C68*MAX(0,MIN(Inputs!$E68,F$6)-MAX(Inputs!$D68,F$5)+1)/(Inputs!$E68-Inputs!$D68+1))</f>
        <v>0</v>
      </c>
      <c r="G72" s="118">
        <f>IF(OR(Inputs!$C68="",Inputs!$D68="",Inputs!$E68=""),0,Inputs!$C68*MAX(0,MIN(Inputs!$E68,G$6)-MAX(Inputs!$D68,G$5)+1)/(Inputs!$E68-Inputs!$D68+1))</f>
        <v>0</v>
      </c>
      <c r="H72" s="118">
        <f>IF(OR(Inputs!$C68="",Inputs!$D68="",Inputs!$E68=""),0,Inputs!$C68*MAX(0,MIN(Inputs!$E68,H$6)-MAX(Inputs!$D68,H$5)+1)/(Inputs!$E68-Inputs!$D68+1))</f>
        <v>0</v>
      </c>
      <c r="I72" s="118">
        <f>IF(OR(Inputs!$C68="",Inputs!$D68="",Inputs!$E68=""),0,Inputs!$C68*MAX(0,MIN(Inputs!$E68,I$6)-MAX(Inputs!$D68,I$5)+1)/(Inputs!$E68-Inputs!$D68+1))</f>
        <v>0</v>
      </c>
      <c r="J72" s="118">
        <f>IF(OR(Inputs!$C68="",Inputs!$D68="",Inputs!$E68=""),0,Inputs!$C68*MAX(0,MIN(Inputs!$E68,J$6)-MAX(Inputs!$D68,J$5)+1)/(Inputs!$E68-Inputs!$D68+1))</f>
        <v>0</v>
      </c>
      <c r="K72" s="118">
        <f>IF(OR(Inputs!$C68="",Inputs!$D68="",Inputs!$E68=""),0,Inputs!$C68*MAX(0,MIN(Inputs!$E68,K$6)-MAX(Inputs!$D68,K$5)+1)/(Inputs!$E68-Inputs!$D68+1))</f>
        <v>0</v>
      </c>
      <c r="L72" s="118">
        <f>IF(OR(Inputs!$C68="",Inputs!$D68="",Inputs!$E68=""),0,Inputs!$C68*MAX(0,MIN(Inputs!$E68,L$6)-MAX(Inputs!$D68,L$5)+1)/(Inputs!$E68-Inputs!$D68+1))</f>
        <v>0</v>
      </c>
      <c r="M72" s="118">
        <f>IF(OR(Inputs!$C68="",Inputs!$D68="",Inputs!$E68=""),0,Inputs!$C68*MAX(0,MIN(Inputs!$E68,M$6)-MAX(Inputs!$D68,M$5)+1)/(Inputs!$E68-Inputs!$D68+1))</f>
        <v>0</v>
      </c>
      <c r="N72" s="118">
        <f>IF(OR(Inputs!$C68="",Inputs!$D68="",Inputs!$E68=""),0,Inputs!$C68*MAX(0,MIN(Inputs!$E68,N$6)-MAX(Inputs!$D68,N$5)+1)/(Inputs!$E68-Inputs!$D68+1))</f>
        <v>0</v>
      </c>
      <c r="O72" s="118">
        <f>IF(OR(Inputs!$C68="",Inputs!$D68="",Inputs!$E68=""),0,Inputs!$C68*MAX(0,MIN(Inputs!$E68,O$6)-MAX(Inputs!$D68,O$5)+1)/(Inputs!$E68-Inputs!$D68+1))</f>
        <v>0</v>
      </c>
      <c r="P72" s="118">
        <f>IF(OR(Inputs!$C68="",Inputs!$D68="",Inputs!$E68=""),0,Inputs!$C68*MAX(0,MIN(Inputs!$E68,P$6)-MAX(Inputs!$D68,P$5)+1)/(Inputs!$E68-Inputs!$D68+1))</f>
        <v>0</v>
      </c>
      <c r="Q72" s="118">
        <f>IF(OR(Inputs!$C68="",Inputs!$D68="",Inputs!$E68=""),0,Inputs!$C68*MAX(0,MIN(Inputs!$E68,Q$6)-MAX(Inputs!$D68,Q$5)+1)/(Inputs!$E68-Inputs!$D68+1))</f>
        <v>0</v>
      </c>
      <c r="R72" s="118">
        <f>IF(OR(Inputs!$C68="",Inputs!$D68="",Inputs!$E68=""),0,Inputs!$C68*MAX(0,MIN(Inputs!$E68,R$6)-MAX(Inputs!$D68,R$5)+1)/(Inputs!$E68-Inputs!$D68+1))</f>
        <v>0</v>
      </c>
      <c r="S72" s="118">
        <f>IF(OR(Inputs!$C68="",Inputs!$D68="",Inputs!$E68=""),0,Inputs!$C68*MAX(0,MIN(Inputs!$E68,S$6)-MAX(Inputs!$D68,S$5)+1)/(Inputs!$E68-Inputs!$D68+1))</f>
        <v>0</v>
      </c>
      <c r="T72" s="118">
        <f>IF(OR(Inputs!$C68="",Inputs!$D68="",Inputs!$E68=""),0,Inputs!$C68*MAX(0,MIN(Inputs!$E68,T$6)-MAX(Inputs!$D68,T$5)+1)/(Inputs!$E68-Inputs!$D68+1))</f>
        <v>0</v>
      </c>
      <c r="U72" s="118">
        <f>IF(OR(Inputs!$C68="",Inputs!$D68="",Inputs!$E68=""),0,Inputs!$C68*MAX(0,MIN(Inputs!$E68,U$6)-MAX(Inputs!$D68,U$5)+1)/(Inputs!$E68-Inputs!$D68+1))</f>
        <v>0</v>
      </c>
      <c r="V72" s="118">
        <f>IF(OR(Inputs!$C68="",Inputs!$D68="",Inputs!$E68=""),0,Inputs!$C68*MAX(0,MIN(Inputs!$E68,V$6)-MAX(Inputs!$D68,V$5)+1)/(Inputs!$E68-Inputs!$D68+1))</f>
        <v>0</v>
      </c>
      <c r="W72" s="118">
        <f>IF(OR(Inputs!$C68="",Inputs!$D68="",Inputs!$E68=""),0,Inputs!$C68*MAX(0,MIN(Inputs!$E68,W$6)-MAX(Inputs!$D68,W$5)+1)/(Inputs!$E68-Inputs!$D68+1))</f>
        <v>0</v>
      </c>
      <c r="X72" s="118">
        <f>IF(OR(Inputs!$C68="",Inputs!$D68="",Inputs!$E68=""),0,Inputs!$C68*MAX(0,MIN(Inputs!$E68,X$6)-MAX(Inputs!$D68,X$5)+1)/(Inputs!$E68-Inputs!$D68+1))</f>
        <v>0</v>
      </c>
      <c r="Y72" s="118">
        <f t="shared" si="6"/>
        <v>0</v>
      </c>
    </row>
    <row r="73" spans="1:25" x14ac:dyDescent="0.3">
      <c r="A73" s="116" t="str">
        <f>IF(Inputs!$A69="","",Inputs!$A69)</f>
        <v/>
      </c>
      <c r="B73" s="117" t="str">
        <f>IF(Inputs!$A69="","",Inputs!$D69)</f>
        <v/>
      </c>
      <c r="C73" s="117" t="str">
        <f>IF(Inputs!$A69="","",Inputs!$E69)</f>
        <v/>
      </c>
      <c r="D73" s="118">
        <f>IF(OR(Inputs!$C69="",Inputs!$D69="",Inputs!$E69=""),0,Inputs!$C69*MAX(0,MIN(Inputs!$E69,D$6)-MAX(Inputs!$D69,D$5)+1)/(Inputs!$E69-Inputs!$D69+1))</f>
        <v>0</v>
      </c>
      <c r="E73" s="118">
        <f>IF(OR(Inputs!$C69="",Inputs!$D69="",Inputs!$E69=""),0,Inputs!$C69*MAX(0,MIN(Inputs!$E69,E$6)-MAX(Inputs!$D69,E$5)+1)/(Inputs!$E69-Inputs!$D69+1))</f>
        <v>0</v>
      </c>
      <c r="F73" s="118">
        <f>IF(OR(Inputs!$C69="",Inputs!$D69="",Inputs!$E69=""),0,Inputs!$C69*MAX(0,MIN(Inputs!$E69,F$6)-MAX(Inputs!$D69,F$5)+1)/(Inputs!$E69-Inputs!$D69+1))</f>
        <v>0</v>
      </c>
      <c r="G73" s="118">
        <f>IF(OR(Inputs!$C69="",Inputs!$D69="",Inputs!$E69=""),0,Inputs!$C69*MAX(0,MIN(Inputs!$E69,G$6)-MAX(Inputs!$D69,G$5)+1)/(Inputs!$E69-Inputs!$D69+1))</f>
        <v>0</v>
      </c>
      <c r="H73" s="118">
        <f>IF(OR(Inputs!$C69="",Inputs!$D69="",Inputs!$E69=""),0,Inputs!$C69*MAX(0,MIN(Inputs!$E69,H$6)-MAX(Inputs!$D69,H$5)+1)/(Inputs!$E69-Inputs!$D69+1))</f>
        <v>0</v>
      </c>
      <c r="I73" s="118">
        <f>IF(OR(Inputs!$C69="",Inputs!$D69="",Inputs!$E69=""),0,Inputs!$C69*MAX(0,MIN(Inputs!$E69,I$6)-MAX(Inputs!$D69,I$5)+1)/(Inputs!$E69-Inputs!$D69+1))</f>
        <v>0</v>
      </c>
      <c r="J73" s="118">
        <f>IF(OR(Inputs!$C69="",Inputs!$D69="",Inputs!$E69=""),0,Inputs!$C69*MAX(0,MIN(Inputs!$E69,J$6)-MAX(Inputs!$D69,J$5)+1)/(Inputs!$E69-Inputs!$D69+1))</f>
        <v>0</v>
      </c>
      <c r="K73" s="118">
        <f>IF(OR(Inputs!$C69="",Inputs!$D69="",Inputs!$E69=""),0,Inputs!$C69*MAX(0,MIN(Inputs!$E69,K$6)-MAX(Inputs!$D69,K$5)+1)/(Inputs!$E69-Inputs!$D69+1))</f>
        <v>0</v>
      </c>
      <c r="L73" s="118">
        <f>IF(OR(Inputs!$C69="",Inputs!$D69="",Inputs!$E69=""),0,Inputs!$C69*MAX(0,MIN(Inputs!$E69,L$6)-MAX(Inputs!$D69,L$5)+1)/(Inputs!$E69-Inputs!$D69+1))</f>
        <v>0</v>
      </c>
      <c r="M73" s="118">
        <f>IF(OR(Inputs!$C69="",Inputs!$D69="",Inputs!$E69=""),0,Inputs!$C69*MAX(0,MIN(Inputs!$E69,M$6)-MAX(Inputs!$D69,M$5)+1)/(Inputs!$E69-Inputs!$D69+1))</f>
        <v>0</v>
      </c>
      <c r="N73" s="118">
        <f>IF(OR(Inputs!$C69="",Inputs!$D69="",Inputs!$E69=""),0,Inputs!$C69*MAX(0,MIN(Inputs!$E69,N$6)-MAX(Inputs!$D69,N$5)+1)/(Inputs!$E69-Inputs!$D69+1))</f>
        <v>0</v>
      </c>
      <c r="O73" s="118">
        <f>IF(OR(Inputs!$C69="",Inputs!$D69="",Inputs!$E69=""),0,Inputs!$C69*MAX(0,MIN(Inputs!$E69,O$6)-MAX(Inputs!$D69,O$5)+1)/(Inputs!$E69-Inputs!$D69+1))</f>
        <v>0</v>
      </c>
      <c r="P73" s="118">
        <f>IF(OR(Inputs!$C69="",Inputs!$D69="",Inputs!$E69=""),0,Inputs!$C69*MAX(0,MIN(Inputs!$E69,P$6)-MAX(Inputs!$D69,P$5)+1)/(Inputs!$E69-Inputs!$D69+1))</f>
        <v>0</v>
      </c>
      <c r="Q73" s="118">
        <f>IF(OR(Inputs!$C69="",Inputs!$D69="",Inputs!$E69=""),0,Inputs!$C69*MAX(0,MIN(Inputs!$E69,Q$6)-MAX(Inputs!$D69,Q$5)+1)/(Inputs!$E69-Inputs!$D69+1))</f>
        <v>0</v>
      </c>
      <c r="R73" s="118">
        <f>IF(OR(Inputs!$C69="",Inputs!$D69="",Inputs!$E69=""),0,Inputs!$C69*MAX(0,MIN(Inputs!$E69,R$6)-MAX(Inputs!$D69,R$5)+1)/(Inputs!$E69-Inputs!$D69+1))</f>
        <v>0</v>
      </c>
      <c r="S73" s="118">
        <f>IF(OR(Inputs!$C69="",Inputs!$D69="",Inputs!$E69=""),0,Inputs!$C69*MAX(0,MIN(Inputs!$E69,S$6)-MAX(Inputs!$D69,S$5)+1)/(Inputs!$E69-Inputs!$D69+1))</f>
        <v>0</v>
      </c>
      <c r="T73" s="118">
        <f>IF(OR(Inputs!$C69="",Inputs!$D69="",Inputs!$E69=""),0,Inputs!$C69*MAX(0,MIN(Inputs!$E69,T$6)-MAX(Inputs!$D69,T$5)+1)/(Inputs!$E69-Inputs!$D69+1))</f>
        <v>0</v>
      </c>
      <c r="U73" s="118">
        <f>IF(OR(Inputs!$C69="",Inputs!$D69="",Inputs!$E69=""),0,Inputs!$C69*MAX(0,MIN(Inputs!$E69,U$6)-MAX(Inputs!$D69,U$5)+1)/(Inputs!$E69-Inputs!$D69+1))</f>
        <v>0</v>
      </c>
      <c r="V73" s="118">
        <f>IF(OR(Inputs!$C69="",Inputs!$D69="",Inputs!$E69=""),0,Inputs!$C69*MAX(0,MIN(Inputs!$E69,V$6)-MAX(Inputs!$D69,V$5)+1)/(Inputs!$E69-Inputs!$D69+1))</f>
        <v>0</v>
      </c>
      <c r="W73" s="118">
        <f>IF(OR(Inputs!$C69="",Inputs!$D69="",Inputs!$E69=""),0,Inputs!$C69*MAX(0,MIN(Inputs!$E69,W$6)-MAX(Inputs!$D69,W$5)+1)/(Inputs!$E69-Inputs!$D69+1))</f>
        <v>0</v>
      </c>
      <c r="X73" s="118">
        <f>IF(OR(Inputs!$C69="",Inputs!$D69="",Inputs!$E69=""),0,Inputs!$C69*MAX(0,MIN(Inputs!$E69,X$6)-MAX(Inputs!$D69,X$5)+1)/(Inputs!$E69-Inputs!$D69+1))</f>
        <v>0</v>
      </c>
      <c r="Y73" s="118">
        <f t="shared" si="6"/>
        <v>0</v>
      </c>
    </row>
    <row r="74" spans="1:25" x14ac:dyDescent="0.3">
      <c r="A74" s="116" t="str">
        <f>IF(Inputs!$A70="","",Inputs!$A70)</f>
        <v/>
      </c>
      <c r="B74" s="117" t="str">
        <f>IF(Inputs!$A70="","",Inputs!$D70)</f>
        <v/>
      </c>
      <c r="C74" s="117" t="str">
        <f>IF(Inputs!$A70="","",Inputs!$E70)</f>
        <v/>
      </c>
      <c r="D74" s="118">
        <f>IF(OR(Inputs!$C70="",Inputs!$D70="",Inputs!$E70=""),0,Inputs!$C70*MAX(0,MIN(Inputs!$E70,D$6)-MAX(Inputs!$D70,D$5)+1)/(Inputs!$E70-Inputs!$D70+1))</f>
        <v>0</v>
      </c>
      <c r="E74" s="118">
        <f>IF(OR(Inputs!$C70="",Inputs!$D70="",Inputs!$E70=""),0,Inputs!$C70*MAX(0,MIN(Inputs!$E70,E$6)-MAX(Inputs!$D70,E$5)+1)/(Inputs!$E70-Inputs!$D70+1))</f>
        <v>0</v>
      </c>
      <c r="F74" s="118">
        <f>IF(OR(Inputs!$C70="",Inputs!$D70="",Inputs!$E70=""),0,Inputs!$C70*MAX(0,MIN(Inputs!$E70,F$6)-MAX(Inputs!$D70,F$5)+1)/(Inputs!$E70-Inputs!$D70+1))</f>
        <v>0</v>
      </c>
      <c r="G74" s="118">
        <f>IF(OR(Inputs!$C70="",Inputs!$D70="",Inputs!$E70=""),0,Inputs!$C70*MAX(0,MIN(Inputs!$E70,G$6)-MAX(Inputs!$D70,G$5)+1)/(Inputs!$E70-Inputs!$D70+1))</f>
        <v>0</v>
      </c>
      <c r="H74" s="118">
        <f>IF(OR(Inputs!$C70="",Inputs!$D70="",Inputs!$E70=""),0,Inputs!$C70*MAX(0,MIN(Inputs!$E70,H$6)-MAX(Inputs!$D70,H$5)+1)/(Inputs!$E70-Inputs!$D70+1))</f>
        <v>0</v>
      </c>
      <c r="I74" s="118">
        <f>IF(OR(Inputs!$C70="",Inputs!$D70="",Inputs!$E70=""),0,Inputs!$C70*MAX(0,MIN(Inputs!$E70,I$6)-MAX(Inputs!$D70,I$5)+1)/(Inputs!$E70-Inputs!$D70+1))</f>
        <v>0</v>
      </c>
      <c r="J74" s="118">
        <f>IF(OR(Inputs!$C70="",Inputs!$D70="",Inputs!$E70=""),0,Inputs!$C70*MAX(0,MIN(Inputs!$E70,J$6)-MAX(Inputs!$D70,J$5)+1)/(Inputs!$E70-Inputs!$D70+1))</f>
        <v>0</v>
      </c>
      <c r="K74" s="118">
        <f>IF(OR(Inputs!$C70="",Inputs!$D70="",Inputs!$E70=""),0,Inputs!$C70*MAX(0,MIN(Inputs!$E70,K$6)-MAX(Inputs!$D70,K$5)+1)/(Inputs!$E70-Inputs!$D70+1))</f>
        <v>0</v>
      </c>
      <c r="L74" s="118">
        <f>IF(OR(Inputs!$C70="",Inputs!$D70="",Inputs!$E70=""),0,Inputs!$C70*MAX(0,MIN(Inputs!$E70,L$6)-MAX(Inputs!$D70,L$5)+1)/(Inputs!$E70-Inputs!$D70+1))</f>
        <v>0</v>
      </c>
      <c r="M74" s="118">
        <f>IF(OR(Inputs!$C70="",Inputs!$D70="",Inputs!$E70=""),0,Inputs!$C70*MAX(0,MIN(Inputs!$E70,M$6)-MAX(Inputs!$D70,M$5)+1)/(Inputs!$E70-Inputs!$D70+1))</f>
        <v>0</v>
      </c>
      <c r="N74" s="118">
        <f>IF(OR(Inputs!$C70="",Inputs!$D70="",Inputs!$E70=""),0,Inputs!$C70*MAX(0,MIN(Inputs!$E70,N$6)-MAX(Inputs!$D70,N$5)+1)/(Inputs!$E70-Inputs!$D70+1))</f>
        <v>0</v>
      </c>
      <c r="O74" s="118">
        <f>IF(OR(Inputs!$C70="",Inputs!$D70="",Inputs!$E70=""),0,Inputs!$C70*MAX(0,MIN(Inputs!$E70,O$6)-MAX(Inputs!$D70,O$5)+1)/(Inputs!$E70-Inputs!$D70+1))</f>
        <v>0</v>
      </c>
      <c r="P74" s="118">
        <f>IF(OR(Inputs!$C70="",Inputs!$D70="",Inputs!$E70=""),0,Inputs!$C70*MAX(0,MIN(Inputs!$E70,P$6)-MAX(Inputs!$D70,P$5)+1)/(Inputs!$E70-Inputs!$D70+1))</f>
        <v>0</v>
      </c>
      <c r="Q74" s="118">
        <f>IF(OR(Inputs!$C70="",Inputs!$D70="",Inputs!$E70=""),0,Inputs!$C70*MAX(0,MIN(Inputs!$E70,Q$6)-MAX(Inputs!$D70,Q$5)+1)/(Inputs!$E70-Inputs!$D70+1))</f>
        <v>0</v>
      </c>
      <c r="R74" s="118">
        <f>IF(OR(Inputs!$C70="",Inputs!$D70="",Inputs!$E70=""),0,Inputs!$C70*MAX(0,MIN(Inputs!$E70,R$6)-MAX(Inputs!$D70,R$5)+1)/(Inputs!$E70-Inputs!$D70+1))</f>
        <v>0</v>
      </c>
      <c r="S74" s="118">
        <f>IF(OR(Inputs!$C70="",Inputs!$D70="",Inputs!$E70=""),0,Inputs!$C70*MAX(0,MIN(Inputs!$E70,S$6)-MAX(Inputs!$D70,S$5)+1)/(Inputs!$E70-Inputs!$D70+1))</f>
        <v>0</v>
      </c>
      <c r="T74" s="118">
        <f>IF(OR(Inputs!$C70="",Inputs!$D70="",Inputs!$E70=""),0,Inputs!$C70*MAX(0,MIN(Inputs!$E70,T$6)-MAX(Inputs!$D70,T$5)+1)/(Inputs!$E70-Inputs!$D70+1))</f>
        <v>0</v>
      </c>
      <c r="U74" s="118">
        <f>IF(OR(Inputs!$C70="",Inputs!$D70="",Inputs!$E70=""),0,Inputs!$C70*MAX(0,MIN(Inputs!$E70,U$6)-MAX(Inputs!$D70,U$5)+1)/(Inputs!$E70-Inputs!$D70+1))</f>
        <v>0</v>
      </c>
      <c r="V74" s="118">
        <f>IF(OR(Inputs!$C70="",Inputs!$D70="",Inputs!$E70=""),0,Inputs!$C70*MAX(0,MIN(Inputs!$E70,V$6)-MAX(Inputs!$D70,V$5)+1)/(Inputs!$E70-Inputs!$D70+1))</f>
        <v>0</v>
      </c>
      <c r="W74" s="118">
        <f>IF(OR(Inputs!$C70="",Inputs!$D70="",Inputs!$E70=""),0,Inputs!$C70*MAX(0,MIN(Inputs!$E70,W$6)-MAX(Inputs!$D70,W$5)+1)/(Inputs!$E70-Inputs!$D70+1))</f>
        <v>0</v>
      </c>
      <c r="X74" s="118">
        <f>IF(OR(Inputs!$C70="",Inputs!$D70="",Inputs!$E70=""),0,Inputs!$C70*MAX(0,MIN(Inputs!$E70,X$6)-MAX(Inputs!$D70,X$5)+1)/(Inputs!$E70-Inputs!$D70+1))</f>
        <v>0</v>
      </c>
      <c r="Y74" s="118">
        <f t="shared" ref="Y74:Y89" si="7">SUM(D74:X74)</f>
        <v>0</v>
      </c>
    </row>
    <row r="75" spans="1:25" x14ac:dyDescent="0.3">
      <c r="A75" s="116" t="str">
        <f>IF(Inputs!$A71="","",Inputs!$A71)</f>
        <v/>
      </c>
      <c r="B75" s="117" t="str">
        <f>IF(Inputs!$A71="","",Inputs!$D71)</f>
        <v/>
      </c>
      <c r="C75" s="117" t="str">
        <f>IF(Inputs!$A71="","",Inputs!$E71)</f>
        <v/>
      </c>
      <c r="D75" s="118">
        <f>IF(OR(Inputs!$C71="",Inputs!$D71="",Inputs!$E71=""),0,Inputs!$C71*MAX(0,MIN(Inputs!$E71,D$6)-MAX(Inputs!$D71,D$5)+1)/(Inputs!$E71-Inputs!$D71+1))</f>
        <v>0</v>
      </c>
      <c r="E75" s="118">
        <f>IF(OR(Inputs!$C71="",Inputs!$D71="",Inputs!$E71=""),0,Inputs!$C71*MAX(0,MIN(Inputs!$E71,E$6)-MAX(Inputs!$D71,E$5)+1)/(Inputs!$E71-Inputs!$D71+1))</f>
        <v>0</v>
      </c>
      <c r="F75" s="118">
        <f>IF(OR(Inputs!$C71="",Inputs!$D71="",Inputs!$E71=""),0,Inputs!$C71*MAX(0,MIN(Inputs!$E71,F$6)-MAX(Inputs!$D71,F$5)+1)/(Inputs!$E71-Inputs!$D71+1))</f>
        <v>0</v>
      </c>
      <c r="G75" s="118">
        <f>IF(OR(Inputs!$C71="",Inputs!$D71="",Inputs!$E71=""),0,Inputs!$C71*MAX(0,MIN(Inputs!$E71,G$6)-MAX(Inputs!$D71,G$5)+1)/(Inputs!$E71-Inputs!$D71+1))</f>
        <v>0</v>
      </c>
      <c r="H75" s="118">
        <f>IF(OR(Inputs!$C71="",Inputs!$D71="",Inputs!$E71=""),0,Inputs!$C71*MAX(0,MIN(Inputs!$E71,H$6)-MAX(Inputs!$D71,H$5)+1)/(Inputs!$E71-Inputs!$D71+1))</f>
        <v>0</v>
      </c>
      <c r="I75" s="118">
        <f>IF(OR(Inputs!$C71="",Inputs!$D71="",Inputs!$E71=""),0,Inputs!$C71*MAX(0,MIN(Inputs!$E71,I$6)-MAX(Inputs!$D71,I$5)+1)/(Inputs!$E71-Inputs!$D71+1))</f>
        <v>0</v>
      </c>
      <c r="J75" s="118">
        <f>IF(OR(Inputs!$C71="",Inputs!$D71="",Inputs!$E71=""),0,Inputs!$C71*MAX(0,MIN(Inputs!$E71,J$6)-MAX(Inputs!$D71,J$5)+1)/(Inputs!$E71-Inputs!$D71+1))</f>
        <v>0</v>
      </c>
      <c r="K75" s="118">
        <f>IF(OR(Inputs!$C71="",Inputs!$D71="",Inputs!$E71=""),0,Inputs!$C71*MAX(0,MIN(Inputs!$E71,K$6)-MAX(Inputs!$D71,K$5)+1)/(Inputs!$E71-Inputs!$D71+1))</f>
        <v>0</v>
      </c>
      <c r="L75" s="118">
        <f>IF(OR(Inputs!$C71="",Inputs!$D71="",Inputs!$E71=""),0,Inputs!$C71*MAX(0,MIN(Inputs!$E71,L$6)-MAX(Inputs!$D71,L$5)+1)/(Inputs!$E71-Inputs!$D71+1))</f>
        <v>0</v>
      </c>
      <c r="M75" s="118">
        <f>IF(OR(Inputs!$C71="",Inputs!$D71="",Inputs!$E71=""),0,Inputs!$C71*MAX(0,MIN(Inputs!$E71,M$6)-MAX(Inputs!$D71,M$5)+1)/(Inputs!$E71-Inputs!$D71+1))</f>
        <v>0</v>
      </c>
      <c r="N75" s="118">
        <f>IF(OR(Inputs!$C71="",Inputs!$D71="",Inputs!$E71=""),0,Inputs!$C71*MAX(0,MIN(Inputs!$E71,N$6)-MAX(Inputs!$D71,N$5)+1)/(Inputs!$E71-Inputs!$D71+1))</f>
        <v>0</v>
      </c>
      <c r="O75" s="118">
        <f>IF(OR(Inputs!$C71="",Inputs!$D71="",Inputs!$E71=""),0,Inputs!$C71*MAX(0,MIN(Inputs!$E71,O$6)-MAX(Inputs!$D71,O$5)+1)/(Inputs!$E71-Inputs!$D71+1))</f>
        <v>0</v>
      </c>
      <c r="P75" s="118">
        <f>IF(OR(Inputs!$C71="",Inputs!$D71="",Inputs!$E71=""),0,Inputs!$C71*MAX(0,MIN(Inputs!$E71,P$6)-MAX(Inputs!$D71,P$5)+1)/(Inputs!$E71-Inputs!$D71+1))</f>
        <v>0</v>
      </c>
      <c r="Q75" s="118">
        <f>IF(OR(Inputs!$C71="",Inputs!$D71="",Inputs!$E71=""),0,Inputs!$C71*MAX(0,MIN(Inputs!$E71,Q$6)-MAX(Inputs!$D71,Q$5)+1)/(Inputs!$E71-Inputs!$D71+1))</f>
        <v>0</v>
      </c>
      <c r="R75" s="118">
        <f>IF(OR(Inputs!$C71="",Inputs!$D71="",Inputs!$E71=""),0,Inputs!$C71*MAX(0,MIN(Inputs!$E71,R$6)-MAX(Inputs!$D71,R$5)+1)/(Inputs!$E71-Inputs!$D71+1))</f>
        <v>0</v>
      </c>
      <c r="S75" s="118">
        <f>IF(OR(Inputs!$C71="",Inputs!$D71="",Inputs!$E71=""),0,Inputs!$C71*MAX(0,MIN(Inputs!$E71,S$6)-MAX(Inputs!$D71,S$5)+1)/(Inputs!$E71-Inputs!$D71+1))</f>
        <v>0</v>
      </c>
      <c r="T75" s="118">
        <f>IF(OR(Inputs!$C71="",Inputs!$D71="",Inputs!$E71=""),0,Inputs!$C71*MAX(0,MIN(Inputs!$E71,T$6)-MAX(Inputs!$D71,T$5)+1)/(Inputs!$E71-Inputs!$D71+1))</f>
        <v>0</v>
      </c>
      <c r="U75" s="118">
        <f>IF(OR(Inputs!$C71="",Inputs!$D71="",Inputs!$E71=""),0,Inputs!$C71*MAX(0,MIN(Inputs!$E71,U$6)-MAX(Inputs!$D71,U$5)+1)/(Inputs!$E71-Inputs!$D71+1))</f>
        <v>0</v>
      </c>
      <c r="V75" s="118">
        <f>IF(OR(Inputs!$C71="",Inputs!$D71="",Inputs!$E71=""),0,Inputs!$C71*MAX(0,MIN(Inputs!$E71,V$6)-MAX(Inputs!$D71,V$5)+1)/(Inputs!$E71-Inputs!$D71+1))</f>
        <v>0</v>
      </c>
      <c r="W75" s="118">
        <f>IF(OR(Inputs!$C71="",Inputs!$D71="",Inputs!$E71=""),0,Inputs!$C71*MAX(0,MIN(Inputs!$E71,W$6)-MAX(Inputs!$D71,W$5)+1)/(Inputs!$E71-Inputs!$D71+1))</f>
        <v>0</v>
      </c>
      <c r="X75" s="118">
        <f>IF(OR(Inputs!$C71="",Inputs!$D71="",Inputs!$E71=""),0,Inputs!$C71*MAX(0,MIN(Inputs!$E71,X$6)-MAX(Inputs!$D71,X$5)+1)/(Inputs!$E71-Inputs!$D71+1))</f>
        <v>0</v>
      </c>
      <c r="Y75" s="118">
        <f t="shared" si="7"/>
        <v>0</v>
      </c>
    </row>
    <row r="76" spans="1:25" x14ac:dyDescent="0.3">
      <c r="A76" s="116" t="str">
        <f>IF(Inputs!$A72="","",Inputs!$A72)</f>
        <v/>
      </c>
      <c r="B76" s="117" t="str">
        <f>IF(Inputs!$A72="","",Inputs!$D72)</f>
        <v/>
      </c>
      <c r="C76" s="117" t="str">
        <f>IF(Inputs!$A72="","",Inputs!$E72)</f>
        <v/>
      </c>
      <c r="D76" s="118">
        <f>IF(OR(Inputs!$C72="",Inputs!$D72="",Inputs!$E72=""),0,Inputs!$C72*MAX(0,MIN(Inputs!$E72,D$6)-MAX(Inputs!$D72,D$5)+1)/(Inputs!$E72-Inputs!$D72+1))</f>
        <v>0</v>
      </c>
      <c r="E76" s="118">
        <f>IF(OR(Inputs!$C72="",Inputs!$D72="",Inputs!$E72=""),0,Inputs!$C72*MAX(0,MIN(Inputs!$E72,E$6)-MAX(Inputs!$D72,E$5)+1)/(Inputs!$E72-Inputs!$D72+1))</f>
        <v>0</v>
      </c>
      <c r="F76" s="118">
        <f>IF(OR(Inputs!$C72="",Inputs!$D72="",Inputs!$E72=""),0,Inputs!$C72*MAX(0,MIN(Inputs!$E72,F$6)-MAX(Inputs!$D72,F$5)+1)/(Inputs!$E72-Inputs!$D72+1))</f>
        <v>0</v>
      </c>
      <c r="G76" s="118">
        <f>IF(OR(Inputs!$C72="",Inputs!$D72="",Inputs!$E72=""),0,Inputs!$C72*MAX(0,MIN(Inputs!$E72,G$6)-MAX(Inputs!$D72,G$5)+1)/(Inputs!$E72-Inputs!$D72+1))</f>
        <v>0</v>
      </c>
      <c r="H76" s="118">
        <f>IF(OR(Inputs!$C72="",Inputs!$D72="",Inputs!$E72=""),0,Inputs!$C72*MAX(0,MIN(Inputs!$E72,H$6)-MAX(Inputs!$D72,H$5)+1)/(Inputs!$E72-Inputs!$D72+1))</f>
        <v>0</v>
      </c>
      <c r="I76" s="118">
        <f>IF(OR(Inputs!$C72="",Inputs!$D72="",Inputs!$E72=""),0,Inputs!$C72*MAX(0,MIN(Inputs!$E72,I$6)-MAX(Inputs!$D72,I$5)+1)/(Inputs!$E72-Inputs!$D72+1))</f>
        <v>0</v>
      </c>
      <c r="J76" s="118">
        <f>IF(OR(Inputs!$C72="",Inputs!$D72="",Inputs!$E72=""),0,Inputs!$C72*MAX(0,MIN(Inputs!$E72,J$6)-MAX(Inputs!$D72,J$5)+1)/(Inputs!$E72-Inputs!$D72+1))</f>
        <v>0</v>
      </c>
      <c r="K76" s="118">
        <f>IF(OR(Inputs!$C72="",Inputs!$D72="",Inputs!$E72=""),0,Inputs!$C72*MAX(0,MIN(Inputs!$E72,K$6)-MAX(Inputs!$D72,K$5)+1)/(Inputs!$E72-Inputs!$D72+1))</f>
        <v>0</v>
      </c>
      <c r="L76" s="118">
        <f>IF(OR(Inputs!$C72="",Inputs!$D72="",Inputs!$E72=""),0,Inputs!$C72*MAX(0,MIN(Inputs!$E72,L$6)-MAX(Inputs!$D72,L$5)+1)/(Inputs!$E72-Inputs!$D72+1))</f>
        <v>0</v>
      </c>
      <c r="M76" s="118">
        <f>IF(OR(Inputs!$C72="",Inputs!$D72="",Inputs!$E72=""),0,Inputs!$C72*MAX(0,MIN(Inputs!$E72,M$6)-MAX(Inputs!$D72,M$5)+1)/(Inputs!$E72-Inputs!$D72+1))</f>
        <v>0</v>
      </c>
      <c r="N76" s="118">
        <f>IF(OR(Inputs!$C72="",Inputs!$D72="",Inputs!$E72=""),0,Inputs!$C72*MAX(0,MIN(Inputs!$E72,N$6)-MAX(Inputs!$D72,N$5)+1)/(Inputs!$E72-Inputs!$D72+1))</f>
        <v>0</v>
      </c>
      <c r="O76" s="118">
        <f>IF(OR(Inputs!$C72="",Inputs!$D72="",Inputs!$E72=""),0,Inputs!$C72*MAX(0,MIN(Inputs!$E72,O$6)-MAX(Inputs!$D72,O$5)+1)/(Inputs!$E72-Inputs!$D72+1))</f>
        <v>0</v>
      </c>
      <c r="P76" s="118">
        <f>IF(OR(Inputs!$C72="",Inputs!$D72="",Inputs!$E72=""),0,Inputs!$C72*MAX(0,MIN(Inputs!$E72,P$6)-MAX(Inputs!$D72,P$5)+1)/(Inputs!$E72-Inputs!$D72+1))</f>
        <v>0</v>
      </c>
      <c r="Q76" s="118">
        <f>IF(OR(Inputs!$C72="",Inputs!$D72="",Inputs!$E72=""),0,Inputs!$C72*MAX(0,MIN(Inputs!$E72,Q$6)-MAX(Inputs!$D72,Q$5)+1)/(Inputs!$E72-Inputs!$D72+1))</f>
        <v>0</v>
      </c>
      <c r="R76" s="118">
        <f>IF(OR(Inputs!$C72="",Inputs!$D72="",Inputs!$E72=""),0,Inputs!$C72*MAX(0,MIN(Inputs!$E72,R$6)-MAX(Inputs!$D72,R$5)+1)/(Inputs!$E72-Inputs!$D72+1))</f>
        <v>0</v>
      </c>
      <c r="S76" s="118">
        <f>IF(OR(Inputs!$C72="",Inputs!$D72="",Inputs!$E72=""),0,Inputs!$C72*MAX(0,MIN(Inputs!$E72,S$6)-MAX(Inputs!$D72,S$5)+1)/(Inputs!$E72-Inputs!$D72+1))</f>
        <v>0</v>
      </c>
      <c r="T76" s="118">
        <f>IF(OR(Inputs!$C72="",Inputs!$D72="",Inputs!$E72=""),0,Inputs!$C72*MAX(0,MIN(Inputs!$E72,T$6)-MAX(Inputs!$D72,T$5)+1)/(Inputs!$E72-Inputs!$D72+1))</f>
        <v>0</v>
      </c>
      <c r="U76" s="118">
        <f>IF(OR(Inputs!$C72="",Inputs!$D72="",Inputs!$E72=""),0,Inputs!$C72*MAX(0,MIN(Inputs!$E72,U$6)-MAX(Inputs!$D72,U$5)+1)/(Inputs!$E72-Inputs!$D72+1))</f>
        <v>0</v>
      </c>
      <c r="V76" s="118">
        <f>IF(OR(Inputs!$C72="",Inputs!$D72="",Inputs!$E72=""),0,Inputs!$C72*MAX(0,MIN(Inputs!$E72,V$6)-MAX(Inputs!$D72,V$5)+1)/(Inputs!$E72-Inputs!$D72+1))</f>
        <v>0</v>
      </c>
      <c r="W76" s="118">
        <f>IF(OR(Inputs!$C72="",Inputs!$D72="",Inputs!$E72=""),0,Inputs!$C72*MAX(0,MIN(Inputs!$E72,W$6)-MAX(Inputs!$D72,W$5)+1)/(Inputs!$E72-Inputs!$D72+1))</f>
        <v>0</v>
      </c>
      <c r="X76" s="118">
        <f>IF(OR(Inputs!$C72="",Inputs!$D72="",Inputs!$E72=""),0,Inputs!$C72*MAX(0,MIN(Inputs!$E72,X$6)-MAX(Inputs!$D72,X$5)+1)/(Inputs!$E72-Inputs!$D72+1))</f>
        <v>0</v>
      </c>
      <c r="Y76" s="118">
        <f t="shared" si="7"/>
        <v>0</v>
      </c>
    </row>
    <row r="77" spans="1:25" x14ac:dyDescent="0.3">
      <c r="A77" s="116" t="str">
        <f>IF(Inputs!$A73="","",Inputs!$A73)</f>
        <v/>
      </c>
      <c r="B77" s="117" t="str">
        <f>IF(Inputs!$A73="","",Inputs!$D73)</f>
        <v/>
      </c>
      <c r="C77" s="117" t="str">
        <f>IF(Inputs!$A73="","",Inputs!$E73)</f>
        <v/>
      </c>
      <c r="D77" s="118">
        <f>IF(OR(Inputs!$C73="",Inputs!$D73="",Inputs!$E73=""),0,Inputs!$C73*MAX(0,MIN(Inputs!$E73,D$6)-MAX(Inputs!$D73,D$5)+1)/(Inputs!$E73-Inputs!$D73+1))</f>
        <v>0</v>
      </c>
      <c r="E77" s="118">
        <f>IF(OR(Inputs!$C73="",Inputs!$D73="",Inputs!$E73=""),0,Inputs!$C73*MAX(0,MIN(Inputs!$E73,E$6)-MAX(Inputs!$D73,E$5)+1)/(Inputs!$E73-Inputs!$D73+1))</f>
        <v>0</v>
      </c>
      <c r="F77" s="118">
        <f>IF(OR(Inputs!$C73="",Inputs!$D73="",Inputs!$E73=""),0,Inputs!$C73*MAX(0,MIN(Inputs!$E73,F$6)-MAX(Inputs!$D73,F$5)+1)/(Inputs!$E73-Inputs!$D73+1))</f>
        <v>0</v>
      </c>
      <c r="G77" s="118">
        <f>IF(OR(Inputs!$C73="",Inputs!$D73="",Inputs!$E73=""),0,Inputs!$C73*MAX(0,MIN(Inputs!$E73,G$6)-MAX(Inputs!$D73,G$5)+1)/(Inputs!$E73-Inputs!$D73+1))</f>
        <v>0</v>
      </c>
      <c r="H77" s="118">
        <f>IF(OR(Inputs!$C73="",Inputs!$D73="",Inputs!$E73=""),0,Inputs!$C73*MAX(0,MIN(Inputs!$E73,H$6)-MAX(Inputs!$D73,H$5)+1)/(Inputs!$E73-Inputs!$D73+1))</f>
        <v>0</v>
      </c>
      <c r="I77" s="118">
        <f>IF(OR(Inputs!$C73="",Inputs!$D73="",Inputs!$E73=""),0,Inputs!$C73*MAX(0,MIN(Inputs!$E73,I$6)-MAX(Inputs!$D73,I$5)+1)/(Inputs!$E73-Inputs!$D73+1))</f>
        <v>0</v>
      </c>
      <c r="J77" s="118">
        <f>IF(OR(Inputs!$C73="",Inputs!$D73="",Inputs!$E73=""),0,Inputs!$C73*MAX(0,MIN(Inputs!$E73,J$6)-MAX(Inputs!$D73,J$5)+1)/(Inputs!$E73-Inputs!$D73+1))</f>
        <v>0</v>
      </c>
      <c r="K77" s="118">
        <f>IF(OR(Inputs!$C73="",Inputs!$D73="",Inputs!$E73=""),0,Inputs!$C73*MAX(0,MIN(Inputs!$E73,K$6)-MAX(Inputs!$D73,K$5)+1)/(Inputs!$E73-Inputs!$D73+1))</f>
        <v>0</v>
      </c>
      <c r="L77" s="118">
        <f>IF(OR(Inputs!$C73="",Inputs!$D73="",Inputs!$E73=""),0,Inputs!$C73*MAX(0,MIN(Inputs!$E73,L$6)-MAX(Inputs!$D73,L$5)+1)/(Inputs!$E73-Inputs!$D73+1))</f>
        <v>0</v>
      </c>
      <c r="M77" s="118">
        <f>IF(OR(Inputs!$C73="",Inputs!$D73="",Inputs!$E73=""),0,Inputs!$C73*MAX(0,MIN(Inputs!$E73,M$6)-MAX(Inputs!$D73,M$5)+1)/(Inputs!$E73-Inputs!$D73+1))</f>
        <v>0</v>
      </c>
      <c r="N77" s="118">
        <f>IF(OR(Inputs!$C73="",Inputs!$D73="",Inputs!$E73=""),0,Inputs!$C73*MAX(0,MIN(Inputs!$E73,N$6)-MAX(Inputs!$D73,N$5)+1)/(Inputs!$E73-Inputs!$D73+1))</f>
        <v>0</v>
      </c>
      <c r="O77" s="118">
        <f>IF(OR(Inputs!$C73="",Inputs!$D73="",Inputs!$E73=""),0,Inputs!$C73*MAX(0,MIN(Inputs!$E73,O$6)-MAX(Inputs!$D73,O$5)+1)/(Inputs!$E73-Inputs!$D73+1))</f>
        <v>0</v>
      </c>
      <c r="P77" s="118">
        <f>IF(OR(Inputs!$C73="",Inputs!$D73="",Inputs!$E73=""),0,Inputs!$C73*MAX(0,MIN(Inputs!$E73,P$6)-MAX(Inputs!$D73,P$5)+1)/(Inputs!$E73-Inputs!$D73+1))</f>
        <v>0</v>
      </c>
      <c r="Q77" s="118">
        <f>IF(OR(Inputs!$C73="",Inputs!$D73="",Inputs!$E73=""),0,Inputs!$C73*MAX(0,MIN(Inputs!$E73,Q$6)-MAX(Inputs!$D73,Q$5)+1)/(Inputs!$E73-Inputs!$D73+1))</f>
        <v>0</v>
      </c>
      <c r="R77" s="118">
        <f>IF(OR(Inputs!$C73="",Inputs!$D73="",Inputs!$E73=""),0,Inputs!$C73*MAX(0,MIN(Inputs!$E73,R$6)-MAX(Inputs!$D73,R$5)+1)/(Inputs!$E73-Inputs!$D73+1))</f>
        <v>0</v>
      </c>
      <c r="S77" s="118">
        <f>IF(OR(Inputs!$C73="",Inputs!$D73="",Inputs!$E73=""),0,Inputs!$C73*MAX(0,MIN(Inputs!$E73,S$6)-MAX(Inputs!$D73,S$5)+1)/(Inputs!$E73-Inputs!$D73+1))</f>
        <v>0</v>
      </c>
      <c r="T77" s="118">
        <f>IF(OR(Inputs!$C73="",Inputs!$D73="",Inputs!$E73=""),0,Inputs!$C73*MAX(0,MIN(Inputs!$E73,T$6)-MAX(Inputs!$D73,T$5)+1)/(Inputs!$E73-Inputs!$D73+1))</f>
        <v>0</v>
      </c>
      <c r="U77" s="118">
        <f>IF(OR(Inputs!$C73="",Inputs!$D73="",Inputs!$E73=""),0,Inputs!$C73*MAX(0,MIN(Inputs!$E73,U$6)-MAX(Inputs!$D73,U$5)+1)/(Inputs!$E73-Inputs!$D73+1))</f>
        <v>0</v>
      </c>
      <c r="V77" s="118">
        <f>IF(OR(Inputs!$C73="",Inputs!$D73="",Inputs!$E73=""),0,Inputs!$C73*MAX(0,MIN(Inputs!$E73,V$6)-MAX(Inputs!$D73,V$5)+1)/(Inputs!$E73-Inputs!$D73+1))</f>
        <v>0</v>
      </c>
      <c r="W77" s="118">
        <f>IF(OR(Inputs!$C73="",Inputs!$D73="",Inputs!$E73=""),0,Inputs!$C73*MAX(0,MIN(Inputs!$E73,W$6)-MAX(Inputs!$D73,W$5)+1)/(Inputs!$E73-Inputs!$D73+1))</f>
        <v>0</v>
      </c>
      <c r="X77" s="118">
        <f>IF(OR(Inputs!$C73="",Inputs!$D73="",Inputs!$E73=""),0,Inputs!$C73*MAX(0,MIN(Inputs!$E73,X$6)-MAX(Inputs!$D73,X$5)+1)/(Inputs!$E73-Inputs!$D73+1))</f>
        <v>0</v>
      </c>
      <c r="Y77" s="118">
        <f t="shared" si="7"/>
        <v>0</v>
      </c>
    </row>
    <row r="78" spans="1:25" x14ac:dyDescent="0.3">
      <c r="A78" s="116" t="str">
        <f>IF(Inputs!$A74="","",Inputs!$A74)</f>
        <v/>
      </c>
      <c r="B78" s="117" t="str">
        <f>IF(Inputs!$A74="","",Inputs!$D74)</f>
        <v/>
      </c>
      <c r="C78" s="117" t="str">
        <f>IF(Inputs!$A74="","",Inputs!$E74)</f>
        <v/>
      </c>
      <c r="D78" s="118">
        <f>IF(OR(Inputs!$C74="",Inputs!$D74="",Inputs!$E74=""),0,Inputs!$C74*MAX(0,MIN(Inputs!$E74,D$6)-MAX(Inputs!$D74,D$5)+1)/(Inputs!$E74-Inputs!$D74+1))</f>
        <v>0</v>
      </c>
      <c r="E78" s="118">
        <f>IF(OR(Inputs!$C74="",Inputs!$D74="",Inputs!$E74=""),0,Inputs!$C74*MAX(0,MIN(Inputs!$E74,E$6)-MAX(Inputs!$D74,E$5)+1)/(Inputs!$E74-Inputs!$D74+1))</f>
        <v>0</v>
      </c>
      <c r="F78" s="118">
        <f>IF(OR(Inputs!$C74="",Inputs!$D74="",Inputs!$E74=""),0,Inputs!$C74*MAX(0,MIN(Inputs!$E74,F$6)-MAX(Inputs!$D74,F$5)+1)/(Inputs!$E74-Inputs!$D74+1))</f>
        <v>0</v>
      </c>
      <c r="G78" s="118">
        <f>IF(OR(Inputs!$C74="",Inputs!$D74="",Inputs!$E74=""),0,Inputs!$C74*MAX(0,MIN(Inputs!$E74,G$6)-MAX(Inputs!$D74,G$5)+1)/(Inputs!$E74-Inputs!$D74+1))</f>
        <v>0</v>
      </c>
      <c r="H78" s="118">
        <f>IF(OR(Inputs!$C74="",Inputs!$D74="",Inputs!$E74=""),0,Inputs!$C74*MAX(0,MIN(Inputs!$E74,H$6)-MAX(Inputs!$D74,H$5)+1)/(Inputs!$E74-Inputs!$D74+1))</f>
        <v>0</v>
      </c>
      <c r="I78" s="118">
        <f>IF(OR(Inputs!$C74="",Inputs!$D74="",Inputs!$E74=""),0,Inputs!$C74*MAX(0,MIN(Inputs!$E74,I$6)-MAX(Inputs!$D74,I$5)+1)/(Inputs!$E74-Inputs!$D74+1))</f>
        <v>0</v>
      </c>
      <c r="J78" s="118">
        <f>IF(OR(Inputs!$C74="",Inputs!$D74="",Inputs!$E74=""),0,Inputs!$C74*MAX(0,MIN(Inputs!$E74,J$6)-MAX(Inputs!$D74,J$5)+1)/(Inputs!$E74-Inputs!$D74+1))</f>
        <v>0</v>
      </c>
      <c r="K78" s="118">
        <f>IF(OR(Inputs!$C74="",Inputs!$D74="",Inputs!$E74=""),0,Inputs!$C74*MAX(0,MIN(Inputs!$E74,K$6)-MAX(Inputs!$D74,K$5)+1)/(Inputs!$E74-Inputs!$D74+1))</f>
        <v>0</v>
      </c>
      <c r="L78" s="118">
        <f>IF(OR(Inputs!$C74="",Inputs!$D74="",Inputs!$E74=""),0,Inputs!$C74*MAX(0,MIN(Inputs!$E74,L$6)-MAX(Inputs!$D74,L$5)+1)/(Inputs!$E74-Inputs!$D74+1))</f>
        <v>0</v>
      </c>
      <c r="M78" s="118">
        <f>IF(OR(Inputs!$C74="",Inputs!$D74="",Inputs!$E74=""),0,Inputs!$C74*MAX(0,MIN(Inputs!$E74,M$6)-MAX(Inputs!$D74,M$5)+1)/(Inputs!$E74-Inputs!$D74+1))</f>
        <v>0</v>
      </c>
      <c r="N78" s="118">
        <f>IF(OR(Inputs!$C74="",Inputs!$D74="",Inputs!$E74=""),0,Inputs!$C74*MAX(0,MIN(Inputs!$E74,N$6)-MAX(Inputs!$D74,N$5)+1)/(Inputs!$E74-Inputs!$D74+1))</f>
        <v>0</v>
      </c>
      <c r="O78" s="118">
        <f>IF(OR(Inputs!$C74="",Inputs!$D74="",Inputs!$E74=""),0,Inputs!$C74*MAX(0,MIN(Inputs!$E74,O$6)-MAX(Inputs!$D74,O$5)+1)/(Inputs!$E74-Inputs!$D74+1))</f>
        <v>0</v>
      </c>
      <c r="P78" s="118">
        <f>IF(OR(Inputs!$C74="",Inputs!$D74="",Inputs!$E74=""),0,Inputs!$C74*MAX(0,MIN(Inputs!$E74,P$6)-MAX(Inputs!$D74,P$5)+1)/(Inputs!$E74-Inputs!$D74+1))</f>
        <v>0</v>
      </c>
      <c r="Q78" s="118">
        <f>IF(OR(Inputs!$C74="",Inputs!$D74="",Inputs!$E74=""),0,Inputs!$C74*MAX(0,MIN(Inputs!$E74,Q$6)-MAX(Inputs!$D74,Q$5)+1)/(Inputs!$E74-Inputs!$D74+1))</f>
        <v>0</v>
      </c>
      <c r="R78" s="118">
        <f>IF(OR(Inputs!$C74="",Inputs!$D74="",Inputs!$E74=""),0,Inputs!$C74*MAX(0,MIN(Inputs!$E74,R$6)-MAX(Inputs!$D74,R$5)+1)/(Inputs!$E74-Inputs!$D74+1))</f>
        <v>0</v>
      </c>
      <c r="S78" s="118">
        <f>IF(OR(Inputs!$C74="",Inputs!$D74="",Inputs!$E74=""),0,Inputs!$C74*MAX(0,MIN(Inputs!$E74,S$6)-MAX(Inputs!$D74,S$5)+1)/(Inputs!$E74-Inputs!$D74+1))</f>
        <v>0</v>
      </c>
      <c r="T78" s="118">
        <f>IF(OR(Inputs!$C74="",Inputs!$D74="",Inputs!$E74=""),0,Inputs!$C74*MAX(0,MIN(Inputs!$E74,T$6)-MAX(Inputs!$D74,T$5)+1)/(Inputs!$E74-Inputs!$D74+1))</f>
        <v>0</v>
      </c>
      <c r="U78" s="118">
        <f>IF(OR(Inputs!$C74="",Inputs!$D74="",Inputs!$E74=""),0,Inputs!$C74*MAX(0,MIN(Inputs!$E74,U$6)-MAX(Inputs!$D74,U$5)+1)/(Inputs!$E74-Inputs!$D74+1))</f>
        <v>0</v>
      </c>
      <c r="V78" s="118">
        <f>IF(OR(Inputs!$C74="",Inputs!$D74="",Inputs!$E74=""),0,Inputs!$C74*MAX(0,MIN(Inputs!$E74,V$6)-MAX(Inputs!$D74,V$5)+1)/(Inputs!$E74-Inputs!$D74+1))</f>
        <v>0</v>
      </c>
      <c r="W78" s="118">
        <f>IF(OR(Inputs!$C74="",Inputs!$D74="",Inputs!$E74=""),0,Inputs!$C74*MAX(0,MIN(Inputs!$E74,W$6)-MAX(Inputs!$D74,W$5)+1)/(Inputs!$E74-Inputs!$D74+1))</f>
        <v>0</v>
      </c>
      <c r="X78" s="118">
        <f>IF(OR(Inputs!$C74="",Inputs!$D74="",Inputs!$E74=""),0,Inputs!$C74*MAX(0,MIN(Inputs!$E74,X$6)-MAX(Inputs!$D74,X$5)+1)/(Inputs!$E74-Inputs!$D74+1))</f>
        <v>0</v>
      </c>
      <c r="Y78" s="118">
        <f t="shared" si="7"/>
        <v>0</v>
      </c>
    </row>
    <row r="79" spans="1:25" x14ac:dyDescent="0.3">
      <c r="A79" s="116" t="str">
        <f>IF(Inputs!$A75="","",Inputs!$A75)</f>
        <v/>
      </c>
      <c r="B79" s="117" t="str">
        <f>IF(Inputs!$A75="","",Inputs!$D75)</f>
        <v/>
      </c>
      <c r="C79" s="117" t="str">
        <f>IF(Inputs!$A75="","",Inputs!$E75)</f>
        <v/>
      </c>
      <c r="D79" s="118">
        <f>IF(OR(Inputs!$C75="",Inputs!$D75="",Inputs!$E75=""),0,Inputs!$C75*MAX(0,MIN(Inputs!$E75,D$6)-MAX(Inputs!$D75,D$5)+1)/(Inputs!$E75-Inputs!$D75+1))</f>
        <v>0</v>
      </c>
      <c r="E79" s="118">
        <f>IF(OR(Inputs!$C75="",Inputs!$D75="",Inputs!$E75=""),0,Inputs!$C75*MAX(0,MIN(Inputs!$E75,E$6)-MAX(Inputs!$D75,E$5)+1)/(Inputs!$E75-Inputs!$D75+1))</f>
        <v>0</v>
      </c>
      <c r="F79" s="118">
        <f>IF(OR(Inputs!$C75="",Inputs!$D75="",Inputs!$E75=""),0,Inputs!$C75*MAX(0,MIN(Inputs!$E75,F$6)-MAX(Inputs!$D75,F$5)+1)/(Inputs!$E75-Inputs!$D75+1))</f>
        <v>0</v>
      </c>
      <c r="G79" s="118">
        <f>IF(OR(Inputs!$C75="",Inputs!$D75="",Inputs!$E75=""),0,Inputs!$C75*MAX(0,MIN(Inputs!$E75,G$6)-MAX(Inputs!$D75,G$5)+1)/(Inputs!$E75-Inputs!$D75+1))</f>
        <v>0</v>
      </c>
      <c r="H79" s="118">
        <f>IF(OR(Inputs!$C75="",Inputs!$D75="",Inputs!$E75=""),0,Inputs!$C75*MAX(0,MIN(Inputs!$E75,H$6)-MAX(Inputs!$D75,H$5)+1)/(Inputs!$E75-Inputs!$D75+1))</f>
        <v>0</v>
      </c>
      <c r="I79" s="118">
        <f>IF(OR(Inputs!$C75="",Inputs!$D75="",Inputs!$E75=""),0,Inputs!$C75*MAX(0,MIN(Inputs!$E75,I$6)-MAX(Inputs!$D75,I$5)+1)/(Inputs!$E75-Inputs!$D75+1))</f>
        <v>0</v>
      </c>
      <c r="J79" s="118">
        <f>IF(OR(Inputs!$C75="",Inputs!$D75="",Inputs!$E75=""),0,Inputs!$C75*MAX(0,MIN(Inputs!$E75,J$6)-MAX(Inputs!$D75,J$5)+1)/(Inputs!$E75-Inputs!$D75+1))</f>
        <v>0</v>
      </c>
      <c r="K79" s="118">
        <f>IF(OR(Inputs!$C75="",Inputs!$D75="",Inputs!$E75=""),0,Inputs!$C75*MAX(0,MIN(Inputs!$E75,K$6)-MAX(Inputs!$D75,K$5)+1)/(Inputs!$E75-Inputs!$D75+1))</f>
        <v>0</v>
      </c>
      <c r="L79" s="118">
        <f>IF(OR(Inputs!$C75="",Inputs!$D75="",Inputs!$E75=""),0,Inputs!$C75*MAX(0,MIN(Inputs!$E75,L$6)-MAX(Inputs!$D75,L$5)+1)/(Inputs!$E75-Inputs!$D75+1))</f>
        <v>0</v>
      </c>
      <c r="M79" s="118">
        <f>IF(OR(Inputs!$C75="",Inputs!$D75="",Inputs!$E75=""),0,Inputs!$C75*MAX(0,MIN(Inputs!$E75,M$6)-MAX(Inputs!$D75,M$5)+1)/(Inputs!$E75-Inputs!$D75+1))</f>
        <v>0</v>
      </c>
      <c r="N79" s="118">
        <f>IF(OR(Inputs!$C75="",Inputs!$D75="",Inputs!$E75=""),0,Inputs!$C75*MAX(0,MIN(Inputs!$E75,N$6)-MAX(Inputs!$D75,N$5)+1)/(Inputs!$E75-Inputs!$D75+1))</f>
        <v>0</v>
      </c>
      <c r="O79" s="118">
        <f>IF(OR(Inputs!$C75="",Inputs!$D75="",Inputs!$E75=""),0,Inputs!$C75*MAX(0,MIN(Inputs!$E75,O$6)-MAX(Inputs!$D75,O$5)+1)/(Inputs!$E75-Inputs!$D75+1))</f>
        <v>0</v>
      </c>
      <c r="P79" s="118">
        <f>IF(OR(Inputs!$C75="",Inputs!$D75="",Inputs!$E75=""),0,Inputs!$C75*MAX(0,MIN(Inputs!$E75,P$6)-MAX(Inputs!$D75,P$5)+1)/(Inputs!$E75-Inputs!$D75+1))</f>
        <v>0</v>
      </c>
      <c r="Q79" s="118">
        <f>IF(OR(Inputs!$C75="",Inputs!$D75="",Inputs!$E75=""),0,Inputs!$C75*MAX(0,MIN(Inputs!$E75,Q$6)-MAX(Inputs!$D75,Q$5)+1)/(Inputs!$E75-Inputs!$D75+1))</f>
        <v>0</v>
      </c>
      <c r="R79" s="118">
        <f>IF(OR(Inputs!$C75="",Inputs!$D75="",Inputs!$E75=""),0,Inputs!$C75*MAX(0,MIN(Inputs!$E75,R$6)-MAX(Inputs!$D75,R$5)+1)/(Inputs!$E75-Inputs!$D75+1))</f>
        <v>0</v>
      </c>
      <c r="S79" s="118">
        <f>IF(OR(Inputs!$C75="",Inputs!$D75="",Inputs!$E75=""),0,Inputs!$C75*MAX(0,MIN(Inputs!$E75,S$6)-MAX(Inputs!$D75,S$5)+1)/(Inputs!$E75-Inputs!$D75+1))</f>
        <v>0</v>
      </c>
      <c r="T79" s="118">
        <f>IF(OR(Inputs!$C75="",Inputs!$D75="",Inputs!$E75=""),0,Inputs!$C75*MAX(0,MIN(Inputs!$E75,T$6)-MAX(Inputs!$D75,T$5)+1)/(Inputs!$E75-Inputs!$D75+1))</f>
        <v>0</v>
      </c>
      <c r="U79" s="118">
        <f>IF(OR(Inputs!$C75="",Inputs!$D75="",Inputs!$E75=""),0,Inputs!$C75*MAX(0,MIN(Inputs!$E75,U$6)-MAX(Inputs!$D75,U$5)+1)/(Inputs!$E75-Inputs!$D75+1))</f>
        <v>0</v>
      </c>
      <c r="V79" s="118">
        <f>IF(OR(Inputs!$C75="",Inputs!$D75="",Inputs!$E75=""),0,Inputs!$C75*MAX(0,MIN(Inputs!$E75,V$6)-MAX(Inputs!$D75,V$5)+1)/(Inputs!$E75-Inputs!$D75+1))</f>
        <v>0</v>
      </c>
      <c r="W79" s="118">
        <f>IF(OR(Inputs!$C75="",Inputs!$D75="",Inputs!$E75=""),0,Inputs!$C75*MAX(0,MIN(Inputs!$E75,W$6)-MAX(Inputs!$D75,W$5)+1)/(Inputs!$E75-Inputs!$D75+1))</f>
        <v>0</v>
      </c>
      <c r="X79" s="118">
        <f>IF(OR(Inputs!$C75="",Inputs!$D75="",Inputs!$E75=""),0,Inputs!$C75*MAX(0,MIN(Inputs!$E75,X$6)-MAX(Inputs!$D75,X$5)+1)/(Inputs!$E75-Inputs!$D75+1))</f>
        <v>0</v>
      </c>
      <c r="Y79" s="118">
        <f t="shared" si="7"/>
        <v>0</v>
      </c>
    </row>
    <row r="80" spans="1:25" x14ac:dyDescent="0.3">
      <c r="A80" s="116" t="str">
        <f>IF(Inputs!$A76="","",Inputs!$A76)</f>
        <v/>
      </c>
      <c r="B80" s="117" t="str">
        <f>IF(Inputs!$A76="","",Inputs!$D76)</f>
        <v/>
      </c>
      <c r="C80" s="117" t="str">
        <f>IF(Inputs!$A76="","",Inputs!$E76)</f>
        <v/>
      </c>
      <c r="D80" s="118">
        <f>IF(OR(Inputs!$C76="",Inputs!$D76="",Inputs!$E76=""),0,Inputs!$C76*MAX(0,MIN(Inputs!$E76,D$6)-MAX(Inputs!$D76,D$5)+1)/(Inputs!$E76-Inputs!$D76+1))</f>
        <v>0</v>
      </c>
      <c r="E80" s="118">
        <f>IF(OR(Inputs!$C76="",Inputs!$D76="",Inputs!$E76=""),0,Inputs!$C76*MAX(0,MIN(Inputs!$E76,E$6)-MAX(Inputs!$D76,E$5)+1)/(Inputs!$E76-Inputs!$D76+1))</f>
        <v>0</v>
      </c>
      <c r="F80" s="118">
        <f>IF(OR(Inputs!$C76="",Inputs!$D76="",Inputs!$E76=""),0,Inputs!$C76*MAX(0,MIN(Inputs!$E76,F$6)-MAX(Inputs!$D76,F$5)+1)/(Inputs!$E76-Inputs!$D76+1))</f>
        <v>0</v>
      </c>
      <c r="G80" s="118">
        <f>IF(OR(Inputs!$C76="",Inputs!$D76="",Inputs!$E76=""),0,Inputs!$C76*MAX(0,MIN(Inputs!$E76,G$6)-MAX(Inputs!$D76,G$5)+1)/(Inputs!$E76-Inputs!$D76+1))</f>
        <v>0</v>
      </c>
      <c r="H80" s="118">
        <f>IF(OR(Inputs!$C76="",Inputs!$D76="",Inputs!$E76=""),0,Inputs!$C76*MAX(0,MIN(Inputs!$E76,H$6)-MAX(Inputs!$D76,H$5)+1)/(Inputs!$E76-Inputs!$D76+1))</f>
        <v>0</v>
      </c>
      <c r="I80" s="118">
        <f>IF(OR(Inputs!$C76="",Inputs!$D76="",Inputs!$E76=""),0,Inputs!$C76*MAX(0,MIN(Inputs!$E76,I$6)-MAX(Inputs!$D76,I$5)+1)/(Inputs!$E76-Inputs!$D76+1))</f>
        <v>0</v>
      </c>
      <c r="J80" s="118">
        <f>IF(OR(Inputs!$C76="",Inputs!$D76="",Inputs!$E76=""),0,Inputs!$C76*MAX(0,MIN(Inputs!$E76,J$6)-MAX(Inputs!$D76,J$5)+1)/(Inputs!$E76-Inputs!$D76+1))</f>
        <v>0</v>
      </c>
      <c r="K80" s="118">
        <f>IF(OR(Inputs!$C76="",Inputs!$D76="",Inputs!$E76=""),0,Inputs!$C76*MAX(0,MIN(Inputs!$E76,K$6)-MAX(Inputs!$D76,K$5)+1)/(Inputs!$E76-Inputs!$D76+1))</f>
        <v>0</v>
      </c>
      <c r="L80" s="118">
        <f>IF(OR(Inputs!$C76="",Inputs!$D76="",Inputs!$E76=""),0,Inputs!$C76*MAX(0,MIN(Inputs!$E76,L$6)-MAX(Inputs!$D76,L$5)+1)/(Inputs!$E76-Inputs!$D76+1))</f>
        <v>0</v>
      </c>
      <c r="M80" s="118">
        <f>IF(OR(Inputs!$C76="",Inputs!$D76="",Inputs!$E76=""),0,Inputs!$C76*MAX(0,MIN(Inputs!$E76,M$6)-MAX(Inputs!$D76,M$5)+1)/(Inputs!$E76-Inputs!$D76+1))</f>
        <v>0</v>
      </c>
      <c r="N80" s="118">
        <f>IF(OR(Inputs!$C76="",Inputs!$D76="",Inputs!$E76=""),0,Inputs!$C76*MAX(0,MIN(Inputs!$E76,N$6)-MAX(Inputs!$D76,N$5)+1)/(Inputs!$E76-Inputs!$D76+1))</f>
        <v>0</v>
      </c>
      <c r="O80" s="118">
        <f>IF(OR(Inputs!$C76="",Inputs!$D76="",Inputs!$E76=""),0,Inputs!$C76*MAX(0,MIN(Inputs!$E76,O$6)-MAX(Inputs!$D76,O$5)+1)/(Inputs!$E76-Inputs!$D76+1))</f>
        <v>0</v>
      </c>
      <c r="P80" s="118">
        <f>IF(OR(Inputs!$C76="",Inputs!$D76="",Inputs!$E76=""),0,Inputs!$C76*MAX(0,MIN(Inputs!$E76,P$6)-MAX(Inputs!$D76,P$5)+1)/(Inputs!$E76-Inputs!$D76+1))</f>
        <v>0</v>
      </c>
      <c r="Q80" s="118">
        <f>IF(OR(Inputs!$C76="",Inputs!$D76="",Inputs!$E76=""),0,Inputs!$C76*MAX(0,MIN(Inputs!$E76,Q$6)-MAX(Inputs!$D76,Q$5)+1)/(Inputs!$E76-Inputs!$D76+1))</f>
        <v>0</v>
      </c>
      <c r="R80" s="118">
        <f>IF(OR(Inputs!$C76="",Inputs!$D76="",Inputs!$E76=""),0,Inputs!$C76*MAX(0,MIN(Inputs!$E76,R$6)-MAX(Inputs!$D76,R$5)+1)/(Inputs!$E76-Inputs!$D76+1))</f>
        <v>0</v>
      </c>
      <c r="S80" s="118">
        <f>IF(OR(Inputs!$C76="",Inputs!$D76="",Inputs!$E76=""),0,Inputs!$C76*MAX(0,MIN(Inputs!$E76,S$6)-MAX(Inputs!$D76,S$5)+1)/(Inputs!$E76-Inputs!$D76+1))</f>
        <v>0</v>
      </c>
      <c r="T80" s="118">
        <f>IF(OR(Inputs!$C76="",Inputs!$D76="",Inputs!$E76=""),0,Inputs!$C76*MAX(0,MIN(Inputs!$E76,T$6)-MAX(Inputs!$D76,T$5)+1)/(Inputs!$E76-Inputs!$D76+1))</f>
        <v>0</v>
      </c>
      <c r="U80" s="118">
        <f>IF(OR(Inputs!$C76="",Inputs!$D76="",Inputs!$E76=""),0,Inputs!$C76*MAX(0,MIN(Inputs!$E76,U$6)-MAX(Inputs!$D76,U$5)+1)/(Inputs!$E76-Inputs!$D76+1))</f>
        <v>0</v>
      </c>
      <c r="V80" s="118">
        <f>IF(OR(Inputs!$C76="",Inputs!$D76="",Inputs!$E76=""),0,Inputs!$C76*MAX(0,MIN(Inputs!$E76,V$6)-MAX(Inputs!$D76,V$5)+1)/(Inputs!$E76-Inputs!$D76+1))</f>
        <v>0</v>
      </c>
      <c r="W80" s="118">
        <f>IF(OR(Inputs!$C76="",Inputs!$D76="",Inputs!$E76=""),0,Inputs!$C76*MAX(0,MIN(Inputs!$E76,W$6)-MAX(Inputs!$D76,W$5)+1)/(Inputs!$E76-Inputs!$D76+1))</f>
        <v>0</v>
      </c>
      <c r="X80" s="118">
        <f>IF(OR(Inputs!$C76="",Inputs!$D76="",Inputs!$E76=""),0,Inputs!$C76*MAX(0,MIN(Inputs!$E76,X$6)-MAX(Inputs!$D76,X$5)+1)/(Inputs!$E76-Inputs!$D76+1))</f>
        <v>0</v>
      </c>
      <c r="Y80" s="118">
        <f t="shared" si="7"/>
        <v>0</v>
      </c>
    </row>
    <row r="81" spans="1:25" x14ac:dyDescent="0.3">
      <c r="A81" s="116" t="str">
        <f>IF(Inputs!$A77="","",Inputs!$A77)</f>
        <v/>
      </c>
      <c r="B81" s="117" t="str">
        <f>IF(Inputs!$A77="","",Inputs!$D77)</f>
        <v/>
      </c>
      <c r="C81" s="117" t="str">
        <f>IF(Inputs!$A77="","",Inputs!$E77)</f>
        <v/>
      </c>
      <c r="D81" s="118">
        <f>IF(OR(Inputs!$C77="",Inputs!$D77="",Inputs!$E77=""),0,Inputs!$C77*MAX(0,MIN(Inputs!$E77,D$6)-MAX(Inputs!$D77,D$5)+1)/(Inputs!$E77-Inputs!$D77+1))</f>
        <v>0</v>
      </c>
      <c r="E81" s="118">
        <f>IF(OR(Inputs!$C77="",Inputs!$D77="",Inputs!$E77=""),0,Inputs!$C77*MAX(0,MIN(Inputs!$E77,E$6)-MAX(Inputs!$D77,E$5)+1)/(Inputs!$E77-Inputs!$D77+1))</f>
        <v>0</v>
      </c>
      <c r="F81" s="118">
        <f>IF(OR(Inputs!$C77="",Inputs!$D77="",Inputs!$E77=""),0,Inputs!$C77*MAX(0,MIN(Inputs!$E77,F$6)-MAX(Inputs!$D77,F$5)+1)/(Inputs!$E77-Inputs!$D77+1))</f>
        <v>0</v>
      </c>
      <c r="G81" s="118">
        <f>IF(OR(Inputs!$C77="",Inputs!$D77="",Inputs!$E77=""),0,Inputs!$C77*MAX(0,MIN(Inputs!$E77,G$6)-MAX(Inputs!$D77,G$5)+1)/(Inputs!$E77-Inputs!$D77+1))</f>
        <v>0</v>
      </c>
      <c r="H81" s="118">
        <f>IF(OR(Inputs!$C77="",Inputs!$D77="",Inputs!$E77=""),0,Inputs!$C77*MAX(0,MIN(Inputs!$E77,H$6)-MAX(Inputs!$D77,H$5)+1)/(Inputs!$E77-Inputs!$D77+1))</f>
        <v>0</v>
      </c>
      <c r="I81" s="118">
        <f>IF(OR(Inputs!$C77="",Inputs!$D77="",Inputs!$E77=""),0,Inputs!$C77*MAX(0,MIN(Inputs!$E77,I$6)-MAX(Inputs!$D77,I$5)+1)/(Inputs!$E77-Inputs!$D77+1))</f>
        <v>0</v>
      </c>
      <c r="J81" s="118">
        <f>IF(OR(Inputs!$C77="",Inputs!$D77="",Inputs!$E77=""),0,Inputs!$C77*MAX(0,MIN(Inputs!$E77,J$6)-MAX(Inputs!$D77,J$5)+1)/(Inputs!$E77-Inputs!$D77+1))</f>
        <v>0</v>
      </c>
      <c r="K81" s="118">
        <f>IF(OR(Inputs!$C77="",Inputs!$D77="",Inputs!$E77=""),0,Inputs!$C77*MAX(0,MIN(Inputs!$E77,K$6)-MAX(Inputs!$D77,K$5)+1)/(Inputs!$E77-Inputs!$D77+1))</f>
        <v>0</v>
      </c>
      <c r="L81" s="118">
        <f>IF(OR(Inputs!$C77="",Inputs!$D77="",Inputs!$E77=""),0,Inputs!$C77*MAX(0,MIN(Inputs!$E77,L$6)-MAX(Inputs!$D77,L$5)+1)/(Inputs!$E77-Inputs!$D77+1))</f>
        <v>0</v>
      </c>
      <c r="M81" s="118">
        <f>IF(OR(Inputs!$C77="",Inputs!$D77="",Inputs!$E77=""),0,Inputs!$C77*MAX(0,MIN(Inputs!$E77,M$6)-MAX(Inputs!$D77,M$5)+1)/(Inputs!$E77-Inputs!$D77+1))</f>
        <v>0</v>
      </c>
      <c r="N81" s="118">
        <f>IF(OR(Inputs!$C77="",Inputs!$D77="",Inputs!$E77=""),0,Inputs!$C77*MAX(0,MIN(Inputs!$E77,N$6)-MAX(Inputs!$D77,N$5)+1)/(Inputs!$E77-Inputs!$D77+1))</f>
        <v>0</v>
      </c>
      <c r="O81" s="118">
        <f>IF(OR(Inputs!$C77="",Inputs!$D77="",Inputs!$E77=""),0,Inputs!$C77*MAX(0,MIN(Inputs!$E77,O$6)-MAX(Inputs!$D77,O$5)+1)/(Inputs!$E77-Inputs!$D77+1))</f>
        <v>0</v>
      </c>
      <c r="P81" s="118">
        <f>IF(OR(Inputs!$C77="",Inputs!$D77="",Inputs!$E77=""),0,Inputs!$C77*MAX(0,MIN(Inputs!$E77,P$6)-MAX(Inputs!$D77,P$5)+1)/(Inputs!$E77-Inputs!$D77+1))</f>
        <v>0</v>
      </c>
      <c r="Q81" s="118">
        <f>IF(OR(Inputs!$C77="",Inputs!$D77="",Inputs!$E77=""),0,Inputs!$C77*MAX(0,MIN(Inputs!$E77,Q$6)-MAX(Inputs!$D77,Q$5)+1)/(Inputs!$E77-Inputs!$D77+1))</f>
        <v>0</v>
      </c>
      <c r="R81" s="118">
        <f>IF(OR(Inputs!$C77="",Inputs!$D77="",Inputs!$E77=""),0,Inputs!$C77*MAX(0,MIN(Inputs!$E77,R$6)-MAX(Inputs!$D77,R$5)+1)/(Inputs!$E77-Inputs!$D77+1))</f>
        <v>0</v>
      </c>
      <c r="S81" s="118">
        <f>IF(OR(Inputs!$C77="",Inputs!$D77="",Inputs!$E77=""),0,Inputs!$C77*MAX(0,MIN(Inputs!$E77,S$6)-MAX(Inputs!$D77,S$5)+1)/(Inputs!$E77-Inputs!$D77+1))</f>
        <v>0</v>
      </c>
      <c r="T81" s="118">
        <f>IF(OR(Inputs!$C77="",Inputs!$D77="",Inputs!$E77=""),0,Inputs!$C77*MAX(0,MIN(Inputs!$E77,T$6)-MAX(Inputs!$D77,T$5)+1)/(Inputs!$E77-Inputs!$D77+1))</f>
        <v>0</v>
      </c>
      <c r="U81" s="118">
        <f>IF(OR(Inputs!$C77="",Inputs!$D77="",Inputs!$E77=""),0,Inputs!$C77*MAX(0,MIN(Inputs!$E77,U$6)-MAX(Inputs!$D77,U$5)+1)/(Inputs!$E77-Inputs!$D77+1))</f>
        <v>0</v>
      </c>
      <c r="V81" s="118">
        <f>IF(OR(Inputs!$C77="",Inputs!$D77="",Inputs!$E77=""),0,Inputs!$C77*MAX(0,MIN(Inputs!$E77,V$6)-MAX(Inputs!$D77,V$5)+1)/(Inputs!$E77-Inputs!$D77+1))</f>
        <v>0</v>
      </c>
      <c r="W81" s="118">
        <f>IF(OR(Inputs!$C77="",Inputs!$D77="",Inputs!$E77=""),0,Inputs!$C77*MAX(0,MIN(Inputs!$E77,W$6)-MAX(Inputs!$D77,W$5)+1)/(Inputs!$E77-Inputs!$D77+1))</f>
        <v>0</v>
      </c>
      <c r="X81" s="118">
        <f>IF(OR(Inputs!$C77="",Inputs!$D77="",Inputs!$E77=""),0,Inputs!$C77*MAX(0,MIN(Inputs!$E77,X$6)-MAX(Inputs!$D77,X$5)+1)/(Inputs!$E77-Inputs!$D77+1))</f>
        <v>0</v>
      </c>
      <c r="Y81" s="118">
        <f t="shared" si="7"/>
        <v>0</v>
      </c>
    </row>
    <row r="82" spans="1:25" x14ac:dyDescent="0.3">
      <c r="A82" s="116" t="str">
        <f>IF(Inputs!$A78="","",Inputs!$A78)</f>
        <v/>
      </c>
      <c r="B82" s="117" t="str">
        <f>IF(Inputs!$A78="","",Inputs!$D78)</f>
        <v/>
      </c>
      <c r="C82" s="117" t="str">
        <f>IF(Inputs!$A78="","",Inputs!$E78)</f>
        <v/>
      </c>
      <c r="D82" s="118">
        <f>IF(OR(Inputs!$C78="",Inputs!$D78="",Inputs!$E78=""),0,Inputs!$C78*MAX(0,MIN(Inputs!$E78,D$6)-MAX(Inputs!$D78,D$5)+1)/(Inputs!$E78-Inputs!$D78+1))</f>
        <v>0</v>
      </c>
      <c r="E82" s="118">
        <f>IF(OR(Inputs!$C78="",Inputs!$D78="",Inputs!$E78=""),0,Inputs!$C78*MAX(0,MIN(Inputs!$E78,E$6)-MAX(Inputs!$D78,E$5)+1)/(Inputs!$E78-Inputs!$D78+1))</f>
        <v>0</v>
      </c>
      <c r="F82" s="118">
        <f>IF(OR(Inputs!$C78="",Inputs!$D78="",Inputs!$E78=""),0,Inputs!$C78*MAX(0,MIN(Inputs!$E78,F$6)-MAX(Inputs!$D78,F$5)+1)/(Inputs!$E78-Inputs!$D78+1))</f>
        <v>0</v>
      </c>
      <c r="G82" s="118">
        <f>IF(OR(Inputs!$C78="",Inputs!$D78="",Inputs!$E78=""),0,Inputs!$C78*MAX(0,MIN(Inputs!$E78,G$6)-MAX(Inputs!$D78,G$5)+1)/(Inputs!$E78-Inputs!$D78+1))</f>
        <v>0</v>
      </c>
      <c r="H82" s="118">
        <f>IF(OR(Inputs!$C78="",Inputs!$D78="",Inputs!$E78=""),0,Inputs!$C78*MAX(0,MIN(Inputs!$E78,H$6)-MAX(Inputs!$D78,H$5)+1)/(Inputs!$E78-Inputs!$D78+1))</f>
        <v>0</v>
      </c>
      <c r="I82" s="118">
        <f>IF(OR(Inputs!$C78="",Inputs!$D78="",Inputs!$E78=""),0,Inputs!$C78*MAX(0,MIN(Inputs!$E78,I$6)-MAX(Inputs!$D78,I$5)+1)/(Inputs!$E78-Inputs!$D78+1))</f>
        <v>0</v>
      </c>
      <c r="J82" s="118">
        <f>IF(OR(Inputs!$C78="",Inputs!$D78="",Inputs!$E78=""),0,Inputs!$C78*MAX(0,MIN(Inputs!$E78,J$6)-MAX(Inputs!$D78,J$5)+1)/(Inputs!$E78-Inputs!$D78+1))</f>
        <v>0</v>
      </c>
      <c r="K82" s="118">
        <f>IF(OR(Inputs!$C78="",Inputs!$D78="",Inputs!$E78=""),0,Inputs!$C78*MAX(0,MIN(Inputs!$E78,K$6)-MAX(Inputs!$D78,K$5)+1)/(Inputs!$E78-Inputs!$D78+1))</f>
        <v>0</v>
      </c>
      <c r="L82" s="118">
        <f>IF(OR(Inputs!$C78="",Inputs!$D78="",Inputs!$E78=""),0,Inputs!$C78*MAX(0,MIN(Inputs!$E78,L$6)-MAX(Inputs!$D78,L$5)+1)/(Inputs!$E78-Inputs!$D78+1))</f>
        <v>0</v>
      </c>
      <c r="M82" s="118">
        <f>IF(OR(Inputs!$C78="",Inputs!$D78="",Inputs!$E78=""),0,Inputs!$C78*MAX(0,MIN(Inputs!$E78,M$6)-MAX(Inputs!$D78,M$5)+1)/(Inputs!$E78-Inputs!$D78+1))</f>
        <v>0</v>
      </c>
      <c r="N82" s="118">
        <f>IF(OR(Inputs!$C78="",Inputs!$D78="",Inputs!$E78=""),0,Inputs!$C78*MAX(0,MIN(Inputs!$E78,N$6)-MAX(Inputs!$D78,N$5)+1)/(Inputs!$E78-Inputs!$D78+1))</f>
        <v>0</v>
      </c>
      <c r="O82" s="118">
        <f>IF(OR(Inputs!$C78="",Inputs!$D78="",Inputs!$E78=""),0,Inputs!$C78*MAX(0,MIN(Inputs!$E78,O$6)-MAX(Inputs!$D78,O$5)+1)/(Inputs!$E78-Inputs!$D78+1))</f>
        <v>0</v>
      </c>
      <c r="P82" s="118">
        <f>IF(OR(Inputs!$C78="",Inputs!$D78="",Inputs!$E78=""),0,Inputs!$C78*MAX(0,MIN(Inputs!$E78,P$6)-MAX(Inputs!$D78,P$5)+1)/(Inputs!$E78-Inputs!$D78+1))</f>
        <v>0</v>
      </c>
      <c r="Q82" s="118">
        <f>IF(OR(Inputs!$C78="",Inputs!$D78="",Inputs!$E78=""),0,Inputs!$C78*MAX(0,MIN(Inputs!$E78,Q$6)-MAX(Inputs!$D78,Q$5)+1)/(Inputs!$E78-Inputs!$D78+1))</f>
        <v>0</v>
      </c>
      <c r="R82" s="118">
        <f>IF(OR(Inputs!$C78="",Inputs!$D78="",Inputs!$E78=""),0,Inputs!$C78*MAX(0,MIN(Inputs!$E78,R$6)-MAX(Inputs!$D78,R$5)+1)/(Inputs!$E78-Inputs!$D78+1))</f>
        <v>0</v>
      </c>
      <c r="S82" s="118">
        <f>IF(OR(Inputs!$C78="",Inputs!$D78="",Inputs!$E78=""),0,Inputs!$C78*MAX(0,MIN(Inputs!$E78,S$6)-MAX(Inputs!$D78,S$5)+1)/(Inputs!$E78-Inputs!$D78+1))</f>
        <v>0</v>
      </c>
      <c r="T82" s="118">
        <f>IF(OR(Inputs!$C78="",Inputs!$D78="",Inputs!$E78=""),0,Inputs!$C78*MAX(0,MIN(Inputs!$E78,T$6)-MAX(Inputs!$D78,T$5)+1)/(Inputs!$E78-Inputs!$D78+1))</f>
        <v>0</v>
      </c>
      <c r="U82" s="118">
        <f>IF(OR(Inputs!$C78="",Inputs!$D78="",Inputs!$E78=""),0,Inputs!$C78*MAX(0,MIN(Inputs!$E78,U$6)-MAX(Inputs!$D78,U$5)+1)/(Inputs!$E78-Inputs!$D78+1))</f>
        <v>0</v>
      </c>
      <c r="V82" s="118">
        <f>IF(OR(Inputs!$C78="",Inputs!$D78="",Inputs!$E78=""),0,Inputs!$C78*MAX(0,MIN(Inputs!$E78,V$6)-MAX(Inputs!$D78,V$5)+1)/(Inputs!$E78-Inputs!$D78+1))</f>
        <v>0</v>
      </c>
      <c r="W82" s="118">
        <f>IF(OR(Inputs!$C78="",Inputs!$D78="",Inputs!$E78=""),0,Inputs!$C78*MAX(0,MIN(Inputs!$E78,W$6)-MAX(Inputs!$D78,W$5)+1)/(Inputs!$E78-Inputs!$D78+1))</f>
        <v>0</v>
      </c>
      <c r="X82" s="118">
        <f>IF(OR(Inputs!$C78="",Inputs!$D78="",Inputs!$E78=""),0,Inputs!$C78*MAX(0,MIN(Inputs!$E78,X$6)-MAX(Inputs!$D78,X$5)+1)/(Inputs!$E78-Inputs!$D78+1))</f>
        <v>0</v>
      </c>
      <c r="Y82" s="118">
        <f t="shared" si="7"/>
        <v>0</v>
      </c>
    </row>
    <row r="83" spans="1:25" ht="19.95" customHeight="1" x14ac:dyDescent="0.3">
      <c r="A83" s="116" t="str">
        <f>IF(Inputs!$A79="","",Inputs!$A79)</f>
        <v/>
      </c>
      <c r="B83" s="117" t="str">
        <f>IF(Inputs!$A79="","",Inputs!$D79)</f>
        <v/>
      </c>
      <c r="C83" s="117" t="str">
        <f>IF(Inputs!$A79="","",Inputs!$E79)</f>
        <v/>
      </c>
      <c r="D83" s="118">
        <f>IF(OR(Inputs!$C79="",Inputs!$D79="",Inputs!$E79=""),0,Inputs!$C79*MAX(0,MIN(Inputs!$E79,D$6)-MAX(Inputs!$D79,D$5)+1)/(Inputs!$E79-Inputs!$D79+1))</f>
        <v>0</v>
      </c>
      <c r="E83" s="118">
        <f>IF(OR(Inputs!$C79="",Inputs!$D79="",Inputs!$E79=""),0,Inputs!$C79*MAX(0,MIN(Inputs!$E79,E$6)-MAX(Inputs!$D79,E$5)+1)/(Inputs!$E79-Inputs!$D79+1))</f>
        <v>0</v>
      </c>
      <c r="F83" s="118">
        <f>IF(OR(Inputs!$C79="",Inputs!$D79="",Inputs!$E79=""),0,Inputs!$C79*MAX(0,MIN(Inputs!$E79,F$6)-MAX(Inputs!$D79,F$5)+1)/(Inputs!$E79-Inputs!$D79+1))</f>
        <v>0</v>
      </c>
      <c r="G83" s="118">
        <f>IF(OR(Inputs!$C79="",Inputs!$D79="",Inputs!$E79=""),0,Inputs!$C79*MAX(0,MIN(Inputs!$E79,G$6)-MAX(Inputs!$D79,G$5)+1)/(Inputs!$E79-Inputs!$D79+1))</f>
        <v>0</v>
      </c>
      <c r="H83" s="118">
        <f>IF(OR(Inputs!$C79="",Inputs!$D79="",Inputs!$E79=""),0,Inputs!$C79*MAX(0,MIN(Inputs!$E79,H$6)-MAX(Inputs!$D79,H$5)+1)/(Inputs!$E79-Inputs!$D79+1))</f>
        <v>0</v>
      </c>
      <c r="I83" s="118">
        <f>IF(OR(Inputs!$C79="",Inputs!$D79="",Inputs!$E79=""),0,Inputs!$C79*MAX(0,MIN(Inputs!$E79,I$6)-MAX(Inputs!$D79,I$5)+1)/(Inputs!$E79-Inputs!$D79+1))</f>
        <v>0</v>
      </c>
      <c r="J83" s="118">
        <f>IF(OR(Inputs!$C79="",Inputs!$D79="",Inputs!$E79=""),0,Inputs!$C79*MAX(0,MIN(Inputs!$E79,J$6)-MAX(Inputs!$D79,J$5)+1)/(Inputs!$E79-Inputs!$D79+1))</f>
        <v>0</v>
      </c>
      <c r="K83" s="118">
        <f>IF(OR(Inputs!$C79="",Inputs!$D79="",Inputs!$E79=""),0,Inputs!$C79*MAX(0,MIN(Inputs!$E79,K$6)-MAX(Inputs!$D79,K$5)+1)/(Inputs!$E79-Inputs!$D79+1))</f>
        <v>0</v>
      </c>
      <c r="L83" s="118">
        <f>IF(OR(Inputs!$C79="",Inputs!$D79="",Inputs!$E79=""),0,Inputs!$C79*MAX(0,MIN(Inputs!$E79,L$6)-MAX(Inputs!$D79,L$5)+1)/(Inputs!$E79-Inputs!$D79+1))</f>
        <v>0</v>
      </c>
      <c r="M83" s="118">
        <f>IF(OR(Inputs!$C79="",Inputs!$D79="",Inputs!$E79=""),0,Inputs!$C79*MAX(0,MIN(Inputs!$E79,M$6)-MAX(Inputs!$D79,M$5)+1)/(Inputs!$E79-Inputs!$D79+1))</f>
        <v>0</v>
      </c>
      <c r="N83" s="118">
        <f>IF(OR(Inputs!$C79="",Inputs!$D79="",Inputs!$E79=""),0,Inputs!$C79*MAX(0,MIN(Inputs!$E79,N$6)-MAX(Inputs!$D79,N$5)+1)/(Inputs!$E79-Inputs!$D79+1))</f>
        <v>0</v>
      </c>
      <c r="O83" s="118">
        <f>IF(OR(Inputs!$C79="",Inputs!$D79="",Inputs!$E79=""),0,Inputs!$C79*MAX(0,MIN(Inputs!$E79,O$6)-MAX(Inputs!$D79,O$5)+1)/(Inputs!$E79-Inputs!$D79+1))</f>
        <v>0</v>
      </c>
      <c r="P83" s="118">
        <f>IF(OR(Inputs!$C79="",Inputs!$D79="",Inputs!$E79=""),0,Inputs!$C79*MAX(0,MIN(Inputs!$E79,P$6)-MAX(Inputs!$D79,P$5)+1)/(Inputs!$E79-Inputs!$D79+1))</f>
        <v>0</v>
      </c>
      <c r="Q83" s="118">
        <f>IF(OR(Inputs!$C79="",Inputs!$D79="",Inputs!$E79=""),0,Inputs!$C79*MAX(0,MIN(Inputs!$E79,Q$6)-MAX(Inputs!$D79,Q$5)+1)/(Inputs!$E79-Inputs!$D79+1))</f>
        <v>0</v>
      </c>
      <c r="R83" s="118">
        <f>IF(OR(Inputs!$C79="",Inputs!$D79="",Inputs!$E79=""),0,Inputs!$C79*MAX(0,MIN(Inputs!$E79,R$6)-MAX(Inputs!$D79,R$5)+1)/(Inputs!$E79-Inputs!$D79+1))</f>
        <v>0</v>
      </c>
      <c r="S83" s="118">
        <f>IF(OR(Inputs!$C79="",Inputs!$D79="",Inputs!$E79=""),0,Inputs!$C79*MAX(0,MIN(Inputs!$E79,S$6)-MAX(Inputs!$D79,S$5)+1)/(Inputs!$E79-Inputs!$D79+1))</f>
        <v>0</v>
      </c>
      <c r="T83" s="118">
        <f>IF(OR(Inputs!$C79="",Inputs!$D79="",Inputs!$E79=""),0,Inputs!$C79*MAX(0,MIN(Inputs!$E79,T$6)-MAX(Inputs!$D79,T$5)+1)/(Inputs!$E79-Inputs!$D79+1))</f>
        <v>0</v>
      </c>
      <c r="U83" s="118">
        <f>IF(OR(Inputs!$C79="",Inputs!$D79="",Inputs!$E79=""),0,Inputs!$C79*MAX(0,MIN(Inputs!$E79,U$6)-MAX(Inputs!$D79,U$5)+1)/(Inputs!$E79-Inputs!$D79+1))</f>
        <v>0</v>
      </c>
      <c r="V83" s="118">
        <f>IF(OR(Inputs!$C79="",Inputs!$D79="",Inputs!$E79=""),0,Inputs!$C79*MAX(0,MIN(Inputs!$E79,V$6)-MAX(Inputs!$D79,V$5)+1)/(Inputs!$E79-Inputs!$D79+1))</f>
        <v>0</v>
      </c>
      <c r="W83" s="118">
        <f>IF(OR(Inputs!$C79="",Inputs!$D79="",Inputs!$E79=""),0,Inputs!$C79*MAX(0,MIN(Inputs!$E79,W$6)-MAX(Inputs!$D79,W$5)+1)/(Inputs!$E79-Inputs!$D79+1))</f>
        <v>0</v>
      </c>
      <c r="X83" s="118">
        <f>IF(OR(Inputs!$C79="",Inputs!$D79="",Inputs!$E79=""),0,Inputs!$C79*MAX(0,MIN(Inputs!$E79,X$6)-MAX(Inputs!$D79,X$5)+1)/(Inputs!$E79-Inputs!$D79+1))</f>
        <v>0</v>
      </c>
      <c r="Y83" s="118">
        <f t="shared" si="7"/>
        <v>0</v>
      </c>
    </row>
    <row r="84" spans="1:25" x14ac:dyDescent="0.3">
      <c r="A84" s="116" t="str">
        <f>IF(Inputs!$A80="","",Inputs!$A80)</f>
        <v/>
      </c>
      <c r="B84" s="117" t="str">
        <f>IF(Inputs!$A80="","",Inputs!$D80)</f>
        <v/>
      </c>
      <c r="C84" s="117" t="str">
        <f>IF(Inputs!$A80="","",Inputs!$E80)</f>
        <v/>
      </c>
      <c r="D84" s="118">
        <f>IF(OR(Inputs!$C80="",Inputs!$D80="",Inputs!$E80=""),0,Inputs!$C80*MAX(0,MIN(Inputs!$E80,D$6)-MAX(Inputs!$D80,D$5)+1)/(Inputs!$E80-Inputs!$D80+1))</f>
        <v>0</v>
      </c>
      <c r="E84" s="118">
        <f>IF(OR(Inputs!$C80="",Inputs!$D80="",Inputs!$E80=""),0,Inputs!$C80*MAX(0,MIN(Inputs!$E80,E$6)-MAX(Inputs!$D80,E$5)+1)/(Inputs!$E80-Inputs!$D80+1))</f>
        <v>0</v>
      </c>
      <c r="F84" s="118">
        <f>IF(OR(Inputs!$C80="",Inputs!$D80="",Inputs!$E80=""),0,Inputs!$C80*MAX(0,MIN(Inputs!$E80,F$6)-MAX(Inputs!$D80,F$5)+1)/(Inputs!$E80-Inputs!$D80+1))</f>
        <v>0</v>
      </c>
      <c r="G84" s="118">
        <f>IF(OR(Inputs!$C80="",Inputs!$D80="",Inputs!$E80=""),0,Inputs!$C80*MAX(0,MIN(Inputs!$E80,G$6)-MAX(Inputs!$D80,G$5)+1)/(Inputs!$E80-Inputs!$D80+1))</f>
        <v>0</v>
      </c>
      <c r="H84" s="118">
        <f>IF(OR(Inputs!$C80="",Inputs!$D80="",Inputs!$E80=""),0,Inputs!$C80*MAX(0,MIN(Inputs!$E80,H$6)-MAX(Inputs!$D80,H$5)+1)/(Inputs!$E80-Inputs!$D80+1))</f>
        <v>0</v>
      </c>
      <c r="I84" s="118">
        <f>IF(OR(Inputs!$C80="",Inputs!$D80="",Inputs!$E80=""),0,Inputs!$C80*MAX(0,MIN(Inputs!$E80,I$6)-MAX(Inputs!$D80,I$5)+1)/(Inputs!$E80-Inputs!$D80+1))</f>
        <v>0</v>
      </c>
      <c r="J84" s="118">
        <f>IF(OR(Inputs!$C80="",Inputs!$D80="",Inputs!$E80=""),0,Inputs!$C80*MAX(0,MIN(Inputs!$E80,J$6)-MAX(Inputs!$D80,J$5)+1)/(Inputs!$E80-Inputs!$D80+1))</f>
        <v>0</v>
      </c>
      <c r="K84" s="118">
        <f>IF(OR(Inputs!$C80="",Inputs!$D80="",Inputs!$E80=""),0,Inputs!$C80*MAX(0,MIN(Inputs!$E80,K$6)-MAX(Inputs!$D80,K$5)+1)/(Inputs!$E80-Inputs!$D80+1))</f>
        <v>0</v>
      </c>
      <c r="L84" s="118">
        <f>IF(OR(Inputs!$C80="",Inputs!$D80="",Inputs!$E80=""),0,Inputs!$C80*MAX(0,MIN(Inputs!$E80,L$6)-MAX(Inputs!$D80,L$5)+1)/(Inputs!$E80-Inputs!$D80+1))</f>
        <v>0</v>
      </c>
      <c r="M84" s="118">
        <f>IF(OR(Inputs!$C80="",Inputs!$D80="",Inputs!$E80=""),0,Inputs!$C80*MAX(0,MIN(Inputs!$E80,M$6)-MAX(Inputs!$D80,M$5)+1)/(Inputs!$E80-Inputs!$D80+1))</f>
        <v>0</v>
      </c>
      <c r="N84" s="118">
        <f>IF(OR(Inputs!$C80="",Inputs!$D80="",Inputs!$E80=""),0,Inputs!$C80*MAX(0,MIN(Inputs!$E80,N$6)-MAX(Inputs!$D80,N$5)+1)/(Inputs!$E80-Inputs!$D80+1))</f>
        <v>0</v>
      </c>
      <c r="O84" s="118">
        <f>IF(OR(Inputs!$C80="",Inputs!$D80="",Inputs!$E80=""),0,Inputs!$C80*MAX(0,MIN(Inputs!$E80,O$6)-MAX(Inputs!$D80,O$5)+1)/(Inputs!$E80-Inputs!$D80+1))</f>
        <v>0</v>
      </c>
      <c r="P84" s="118">
        <f>IF(OR(Inputs!$C80="",Inputs!$D80="",Inputs!$E80=""),0,Inputs!$C80*MAX(0,MIN(Inputs!$E80,P$6)-MAX(Inputs!$D80,P$5)+1)/(Inputs!$E80-Inputs!$D80+1))</f>
        <v>0</v>
      </c>
      <c r="Q84" s="118">
        <f>IF(OR(Inputs!$C80="",Inputs!$D80="",Inputs!$E80=""),0,Inputs!$C80*MAX(0,MIN(Inputs!$E80,Q$6)-MAX(Inputs!$D80,Q$5)+1)/(Inputs!$E80-Inputs!$D80+1))</f>
        <v>0</v>
      </c>
      <c r="R84" s="118">
        <f>IF(OR(Inputs!$C80="",Inputs!$D80="",Inputs!$E80=""),0,Inputs!$C80*MAX(0,MIN(Inputs!$E80,R$6)-MAX(Inputs!$D80,R$5)+1)/(Inputs!$E80-Inputs!$D80+1))</f>
        <v>0</v>
      </c>
      <c r="S84" s="118">
        <f>IF(OR(Inputs!$C80="",Inputs!$D80="",Inputs!$E80=""),0,Inputs!$C80*MAX(0,MIN(Inputs!$E80,S$6)-MAX(Inputs!$D80,S$5)+1)/(Inputs!$E80-Inputs!$D80+1))</f>
        <v>0</v>
      </c>
      <c r="T84" s="118">
        <f>IF(OR(Inputs!$C80="",Inputs!$D80="",Inputs!$E80=""),0,Inputs!$C80*MAX(0,MIN(Inputs!$E80,T$6)-MAX(Inputs!$D80,T$5)+1)/(Inputs!$E80-Inputs!$D80+1))</f>
        <v>0</v>
      </c>
      <c r="U84" s="118">
        <f>IF(OR(Inputs!$C80="",Inputs!$D80="",Inputs!$E80=""),0,Inputs!$C80*MAX(0,MIN(Inputs!$E80,U$6)-MAX(Inputs!$D80,U$5)+1)/(Inputs!$E80-Inputs!$D80+1))</f>
        <v>0</v>
      </c>
      <c r="V84" s="118">
        <f>IF(OR(Inputs!$C80="",Inputs!$D80="",Inputs!$E80=""),0,Inputs!$C80*MAX(0,MIN(Inputs!$E80,V$6)-MAX(Inputs!$D80,V$5)+1)/(Inputs!$E80-Inputs!$D80+1))</f>
        <v>0</v>
      </c>
      <c r="W84" s="118">
        <f>IF(OR(Inputs!$C80="",Inputs!$D80="",Inputs!$E80=""),0,Inputs!$C80*MAX(0,MIN(Inputs!$E80,W$6)-MAX(Inputs!$D80,W$5)+1)/(Inputs!$E80-Inputs!$D80+1))</f>
        <v>0</v>
      </c>
      <c r="X84" s="118">
        <f>IF(OR(Inputs!$C80="",Inputs!$D80="",Inputs!$E80=""),0,Inputs!$C80*MAX(0,MIN(Inputs!$E80,X$6)-MAX(Inputs!$D80,X$5)+1)/(Inputs!$E80-Inputs!$D80+1))</f>
        <v>0</v>
      </c>
      <c r="Y84" s="118">
        <f t="shared" si="7"/>
        <v>0</v>
      </c>
    </row>
    <row r="85" spans="1:25" x14ac:dyDescent="0.3">
      <c r="A85" s="116" t="str">
        <f>IF(Inputs!$A81="","",Inputs!$A81)</f>
        <v/>
      </c>
      <c r="B85" s="117" t="str">
        <f>IF(Inputs!$A81="","",Inputs!$D81)</f>
        <v/>
      </c>
      <c r="C85" s="117" t="str">
        <f>IF(Inputs!$A81="","",Inputs!$E81)</f>
        <v/>
      </c>
      <c r="D85" s="118">
        <f>IF(OR(Inputs!$C81="",Inputs!$D81="",Inputs!$E81=""),0,Inputs!$C81*MAX(0,MIN(Inputs!$E81,D$6)-MAX(Inputs!$D81,D$5)+1)/(Inputs!$E81-Inputs!$D81+1))</f>
        <v>0</v>
      </c>
      <c r="E85" s="118">
        <f>IF(OR(Inputs!$C81="",Inputs!$D81="",Inputs!$E81=""),0,Inputs!$C81*MAX(0,MIN(Inputs!$E81,E$6)-MAX(Inputs!$D81,E$5)+1)/(Inputs!$E81-Inputs!$D81+1))</f>
        <v>0</v>
      </c>
      <c r="F85" s="118">
        <f>IF(OR(Inputs!$C81="",Inputs!$D81="",Inputs!$E81=""),0,Inputs!$C81*MAX(0,MIN(Inputs!$E81,F$6)-MAX(Inputs!$D81,F$5)+1)/(Inputs!$E81-Inputs!$D81+1))</f>
        <v>0</v>
      </c>
      <c r="G85" s="118">
        <f>IF(OR(Inputs!$C81="",Inputs!$D81="",Inputs!$E81=""),0,Inputs!$C81*MAX(0,MIN(Inputs!$E81,G$6)-MAX(Inputs!$D81,G$5)+1)/(Inputs!$E81-Inputs!$D81+1))</f>
        <v>0</v>
      </c>
      <c r="H85" s="118">
        <f>IF(OR(Inputs!$C81="",Inputs!$D81="",Inputs!$E81=""),0,Inputs!$C81*MAX(0,MIN(Inputs!$E81,H$6)-MAX(Inputs!$D81,H$5)+1)/(Inputs!$E81-Inputs!$D81+1))</f>
        <v>0</v>
      </c>
      <c r="I85" s="118">
        <f>IF(OR(Inputs!$C81="",Inputs!$D81="",Inputs!$E81=""),0,Inputs!$C81*MAX(0,MIN(Inputs!$E81,I$6)-MAX(Inputs!$D81,I$5)+1)/(Inputs!$E81-Inputs!$D81+1))</f>
        <v>0</v>
      </c>
      <c r="J85" s="118">
        <f>IF(OR(Inputs!$C81="",Inputs!$D81="",Inputs!$E81=""),0,Inputs!$C81*MAX(0,MIN(Inputs!$E81,J$6)-MAX(Inputs!$D81,J$5)+1)/(Inputs!$E81-Inputs!$D81+1))</f>
        <v>0</v>
      </c>
      <c r="K85" s="118">
        <f>IF(OR(Inputs!$C81="",Inputs!$D81="",Inputs!$E81=""),0,Inputs!$C81*MAX(0,MIN(Inputs!$E81,K$6)-MAX(Inputs!$D81,K$5)+1)/(Inputs!$E81-Inputs!$D81+1))</f>
        <v>0</v>
      </c>
      <c r="L85" s="118">
        <f>IF(OR(Inputs!$C81="",Inputs!$D81="",Inputs!$E81=""),0,Inputs!$C81*MAX(0,MIN(Inputs!$E81,L$6)-MAX(Inputs!$D81,L$5)+1)/(Inputs!$E81-Inputs!$D81+1))</f>
        <v>0</v>
      </c>
      <c r="M85" s="118">
        <f>IF(OR(Inputs!$C81="",Inputs!$D81="",Inputs!$E81=""),0,Inputs!$C81*MAX(0,MIN(Inputs!$E81,M$6)-MAX(Inputs!$D81,M$5)+1)/(Inputs!$E81-Inputs!$D81+1))</f>
        <v>0</v>
      </c>
      <c r="N85" s="118">
        <f>IF(OR(Inputs!$C81="",Inputs!$D81="",Inputs!$E81=""),0,Inputs!$C81*MAX(0,MIN(Inputs!$E81,N$6)-MAX(Inputs!$D81,N$5)+1)/(Inputs!$E81-Inputs!$D81+1))</f>
        <v>0</v>
      </c>
      <c r="O85" s="118">
        <f>IF(OR(Inputs!$C81="",Inputs!$D81="",Inputs!$E81=""),0,Inputs!$C81*MAX(0,MIN(Inputs!$E81,O$6)-MAX(Inputs!$D81,O$5)+1)/(Inputs!$E81-Inputs!$D81+1))</f>
        <v>0</v>
      </c>
      <c r="P85" s="118">
        <f>IF(OR(Inputs!$C81="",Inputs!$D81="",Inputs!$E81=""),0,Inputs!$C81*MAX(0,MIN(Inputs!$E81,P$6)-MAX(Inputs!$D81,P$5)+1)/(Inputs!$E81-Inputs!$D81+1))</f>
        <v>0</v>
      </c>
      <c r="Q85" s="118">
        <f>IF(OR(Inputs!$C81="",Inputs!$D81="",Inputs!$E81=""),0,Inputs!$C81*MAX(0,MIN(Inputs!$E81,Q$6)-MAX(Inputs!$D81,Q$5)+1)/(Inputs!$E81-Inputs!$D81+1))</f>
        <v>0</v>
      </c>
      <c r="R85" s="118">
        <f>IF(OR(Inputs!$C81="",Inputs!$D81="",Inputs!$E81=""),0,Inputs!$C81*MAX(0,MIN(Inputs!$E81,R$6)-MAX(Inputs!$D81,R$5)+1)/(Inputs!$E81-Inputs!$D81+1))</f>
        <v>0</v>
      </c>
      <c r="S85" s="118">
        <f>IF(OR(Inputs!$C81="",Inputs!$D81="",Inputs!$E81=""),0,Inputs!$C81*MAX(0,MIN(Inputs!$E81,S$6)-MAX(Inputs!$D81,S$5)+1)/(Inputs!$E81-Inputs!$D81+1))</f>
        <v>0</v>
      </c>
      <c r="T85" s="118">
        <f>IF(OR(Inputs!$C81="",Inputs!$D81="",Inputs!$E81=""),0,Inputs!$C81*MAX(0,MIN(Inputs!$E81,T$6)-MAX(Inputs!$D81,T$5)+1)/(Inputs!$E81-Inputs!$D81+1))</f>
        <v>0</v>
      </c>
      <c r="U85" s="118">
        <f>IF(OR(Inputs!$C81="",Inputs!$D81="",Inputs!$E81=""),0,Inputs!$C81*MAX(0,MIN(Inputs!$E81,U$6)-MAX(Inputs!$D81,U$5)+1)/(Inputs!$E81-Inputs!$D81+1))</f>
        <v>0</v>
      </c>
      <c r="V85" s="118">
        <f>IF(OR(Inputs!$C81="",Inputs!$D81="",Inputs!$E81=""),0,Inputs!$C81*MAX(0,MIN(Inputs!$E81,V$6)-MAX(Inputs!$D81,V$5)+1)/(Inputs!$E81-Inputs!$D81+1))</f>
        <v>0</v>
      </c>
      <c r="W85" s="118">
        <f>IF(OR(Inputs!$C81="",Inputs!$D81="",Inputs!$E81=""),0,Inputs!$C81*MAX(0,MIN(Inputs!$E81,W$6)-MAX(Inputs!$D81,W$5)+1)/(Inputs!$E81-Inputs!$D81+1))</f>
        <v>0</v>
      </c>
      <c r="X85" s="118">
        <f>IF(OR(Inputs!$C81="",Inputs!$D81="",Inputs!$E81=""),0,Inputs!$C81*MAX(0,MIN(Inputs!$E81,X$6)-MAX(Inputs!$D81,X$5)+1)/(Inputs!$E81-Inputs!$D81+1))</f>
        <v>0</v>
      </c>
      <c r="Y85" s="118">
        <f t="shared" si="7"/>
        <v>0</v>
      </c>
    </row>
    <row r="86" spans="1:25" x14ac:dyDescent="0.3">
      <c r="A86" s="116" t="str">
        <f>IF(Inputs!$A82="","",Inputs!$A82)</f>
        <v/>
      </c>
      <c r="B86" s="117" t="str">
        <f>IF(Inputs!$A82="","",Inputs!$D82)</f>
        <v/>
      </c>
      <c r="C86" s="117" t="str">
        <f>IF(Inputs!$A82="","",Inputs!$E82)</f>
        <v/>
      </c>
      <c r="D86" s="118">
        <f>IF(OR(Inputs!$C82="",Inputs!$D82="",Inputs!$E82=""),0,Inputs!$C82*MAX(0,MIN(Inputs!$E82,D$6)-MAX(Inputs!$D82,D$5)+1)/(Inputs!$E82-Inputs!$D82+1))</f>
        <v>0</v>
      </c>
      <c r="E86" s="118">
        <f>IF(OR(Inputs!$C82="",Inputs!$D82="",Inputs!$E82=""),0,Inputs!$C82*MAX(0,MIN(Inputs!$E82,E$6)-MAX(Inputs!$D82,E$5)+1)/(Inputs!$E82-Inputs!$D82+1))</f>
        <v>0</v>
      </c>
      <c r="F86" s="118">
        <f>IF(OR(Inputs!$C82="",Inputs!$D82="",Inputs!$E82=""),0,Inputs!$C82*MAX(0,MIN(Inputs!$E82,F$6)-MAX(Inputs!$D82,F$5)+1)/(Inputs!$E82-Inputs!$D82+1))</f>
        <v>0</v>
      </c>
      <c r="G86" s="118">
        <f>IF(OR(Inputs!$C82="",Inputs!$D82="",Inputs!$E82=""),0,Inputs!$C82*MAX(0,MIN(Inputs!$E82,G$6)-MAX(Inputs!$D82,G$5)+1)/(Inputs!$E82-Inputs!$D82+1))</f>
        <v>0</v>
      </c>
      <c r="H86" s="118">
        <f>IF(OR(Inputs!$C82="",Inputs!$D82="",Inputs!$E82=""),0,Inputs!$C82*MAX(0,MIN(Inputs!$E82,H$6)-MAX(Inputs!$D82,H$5)+1)/(Inputs!$E82-Inputs!$D82+1))</f>
        <v>0</v>
      </c>
      <c r="I86" s="118">
        <f>IF(OR(Inputs!$C82="",Inputs!$D82="",Inputs!$E82=""),0,Inputs!$C82*MAX(0,MIN(Inputs!$E82,I$6)-MAX(Inputs!$D82,I$5)+1)/(Inputs!$E82-Inputs!$D82+1))</f>
        <v>0</v>
      </c>
      <c r="J86" s="118">
        <f>IF(OR(Inputs!$C82="",Inputs!$D82="",Inputs!$E82=""),0,Inputs!$C82*MAX(0,MIN(Inputs!$E82,J$6)-MAX(Inputs!$D82,J$5)+1)/(Inputs!$E82-Inputs!$D82+1))</f>
        <v>0</v>
      </c>
      <c r="K86" s="118">
        <f>IF(OR(Inputs!$C82="",Inputs!$D82="",Inputs!$E82=""),0,Inputs!$C82*MAX(0,MIN(Inputs!$E82,K$6)-MAX(Inputs!$D82,K$5)+1)/(Inputs!$E82-Inputs!$D82+1))</f>
        <v>0</v>
      </c>
      <c r="L86" s="118">
        <f>IF(OR(Inputs!$C82="",Inputs!$D82="",Inputs!$E82=""),0,Inputs!$C82*MAX(0,MIN(Inputs!$E82,L$6)-MAX(Inputs!$D82,L$5)+1)/(Inputs!$E82-Inputs!$D82+1))</f>
        <v>0</v>
      </c>
      <c r="M86" s="118">
        <f>IF(OR(Inputs!$C82="",Inputs!$D82="",Inputs!$E82=""),0,Inputs!$C82*MAX(0,MIN(Inputs!$E82,M$6)-MAX(Inputs!$D82,M$5)+1)/(Inputs!$E82-Inputs!$D82+1))</f>
        <v>0</v>
      </c>
      <c r="N86" s="118">
        <f>IF(OR(Inputs!$C82="",Inputs!$D82="",Inputs!$E82=""),0,Inputs!$C82*MAX(0,MIN(Inputs!$E82,N$6)-MAX(Inputs!$D82,N$5)+1)/(Inputs!$E82-Inputs!$D82+1))</f>
        <v>0</v>
      </c>
      <c r="O86" s="118">
        <f>IF(OR(Inputs!$C82="",Inputs!$D82="",Inputs!$E82=""),0,Inputs!$C82*MAX(0,MIN(Inputs!$E82,O$6)-MAX(Inputs!$D82,O$5)+1)/(Inputs!$E82-Inputs!$D82+1))</f>
        <v>0</v>
      </c>
      <c r="P86" s="118">
        <f>IF(OR(Inputs!$C82="",Inputs!$D82="",Inputs!$E82=""),0,Inputs!$C82*MAX(0,MIN(Inputs!$E82,P$6)-MAX(Inputs!$D82,P$5)+1)/(Inputs!$E82-Inputs!$D82+1))</f>
        <v>0</v>
      </c>
      <c r="Q86" s="118">
        <f>IF(OR(Inputs!$C82="",Inputs!$D82="",Inputs!$E82=""),0,Inputs!$C82*MAX(0,MIN(Inputs!$E82,Q$6)-MAX(Inputs!$D82,Q$5)+1)/(Inputs!$E82-Inputs!$D82+1))</f>
        <v>0</v>
      </c>
      <c r="R86" s="118">
        <f>IF(OR(Inputs!$C82="",Inputs!$D82="",Inputs!$E82=""),0,Inputs!$C82*MAX(0,MIN(Inputs!$E82,R$6)-MAX(Inputs!$D82,R$5)+1)/(Inputs!$E82-Inputs!$D82+1))</f>
        <v>0</v>
      </c>
      <c r="S86" s="118">
        <f>IF(OR(Inputs!$C82="",Inputs!$D82="",Inputs!$E82=""),0,Inputs!$C82*MAX(0,MIN(Inputs!$E82,S$6)-MAX(Inputs!$D82,S$5)+1)/(Inputs!$E82-Inputs!$D82+1))</f>
        <v>0</v>
      </c>
      <c r="T86" s="118">
        <f>IF(OR(Inputs!$C82="",Inputs!$D82="",Inputs!$E82=""),0,Inputs!$C82*MAX(0,MIN(Inputs!$E82,T$6)-MAX(Inputs!$D82,T$5)+1)/(Inputs!$E82-Inputs!$D82+1))</f>
        <v>0</v>
      </c>
      <c r="U86" s="118">
        <f>IF(OR(Inputs!$C82="",Inputs!$D82="",Inputs!$E82=""),0,Inputs!$C82*MAX(0,MIN(Inputs!$E82,U$6)-MAX(Inputs!$D82,U$5)+1)/(Inputs!$E82-Inputs!$D82+1))</f>
        <v>0</v>
      </c>
      <c r="V86" s="118">
        <f>IF(OR(Inputs!$C82="",Inputs!$D82="",Inputs!$E82=""),0,Inputs!$C82*MAX(0,MIN(Inputs!$E82,V$6)-MAX(Inputs!$D82,V$5)+1)/(Inputs!$E82-Inputs!$D82+1))</f>
        <v>0</v>
      </c>
      <c r="W86" s="118">
        <f>IF(OR(Inputs!$C82="",Inputs!$D82="",Inputs!$E82=""),0,Inputs!$C82*MAX(0,MIN(Inputs!$E82,W$6)-MAX(Inputs!$D82,W$5)+1)/(Inputs!$E82-Inputs!$D82+1))</f>
        <v>0</v>
      </c>
      <c r="X86" s="118">
        <f>IF(OR(Inputs!$C82="",Inputs!$D82="",Inputs!$E82=""),0,Inputs!$C82*MAX(0,MIN(Inputs!$E82,X$6)-MAX(Inputs!$D82,X$5)+1)/(Inputs!$E82-Inputs!$D82+1))</f>
        <v>0</v>
      </c>
      <c r="Y86" s="118">
        <f t="shared" si="7"/>
        <v>0</v>
      </c>
    </row>
    <row r="87" spans="1:25" x14ac:dyDescent="0.3">
      <c r="A87" s="116" t="str">
        <f>IF(Inputs!$A83="","",Inputs!$A83)</f>
        <v/>
      </c>
      <c r="B87" s="117" t="str">
        <f>IF(Inputs!$A83="","",Inputs!$D83)</f>
        <v/>
      </c>
      <c r="C87" s="117" t="str">
        <f>IF(Inputs!$A83="","",Inputs!$E83)</f>
        <v/>
      </c>
      <c r="D87" s="118">
        <f>IF(OR(Inputs!$C83="",Inputs!$D83="",Inputs!$E83=""),0,Inputs!$C83*MAX(0,MIN(Inputs!$E83,D$6)-MAX(Inputs!$D83,D$5)+1)/(Inputs!$E83-Inputs!$D83+1))</f>
        <v>0</v>
      </c>
      <c r="E87" s="118">
        <f>IF(OR(Inputs!$C83="",Inputs!$D83="",Inputs!$E83=""),0,Inputs!$C83*MAX(0,MIN(Inputs!$E83,E$6)-MAX(Inputs!$D83,E$5)+1)/(Inputs!$E83-Inputs!$D83+1))</f>
        <v>0</v>
      </c>
      <c r="F87" s="118">
        <f>IF(OR(Inputs!$C83="",Inputs!$D83="",Inputs!$E83=""),0,Inputs!$C83*MAX(0,MIN(Inputs!$E83,F$6)-MAX(Inputs!$D83,F$5)+1)/(Inputs!$E83-Inputs!$D83+1))</f>
        <v>0</v>
      </c>
      <c r="G87" s="118">
        <f>IF(OR(Inputs!$C83="",Inputs!$D83="",Inputs!$E83=""),0,Inputs!$C83*MAX(0,MIN(Inputs!$E83,G$6)-MAX(Inputs!$D83,G$5)+1)/(Inputs!$E83-Inputs!$D83+1))</f>
        <v>0</v>
      </c>
      <c r="H87" s="118">
        <f>IF(OR(Inputs!$C83="",Inputs!$D83="",Inputs!$E83=""),0,Inputs!$C83*MAX(0,MIN(Inputs!$E83,H$6)-MAX(Inputs!$D83,H$5)+1)/(Inputs!$E83-Inputs!$D83+1))</f>
        <v>0</v>
      </c>
      <c r="I87" s="118">
        <f>IF(OR(Inputs!$C83="",Inputs!$D83="",Inputs!$E83=""),0,Inputs!$C83*MAX(0,MIN(Inputs!$E83,I$6)-MAX(Inputs!$D83,I$5)+1)/(Inputs!$E83-Inputs!$D83+1))</f>
        <v>0</v>
      </c>
      <c r="J87" s="118">
        <f>IF(OR(Inputs!$C83="",Inputs!$D83="",Inputs!$E83=""),0,Inputs!$C83*MAX(0,MIN(Inputs!$E83,J$6)-MAX(Inputs!$D83,J$5)+1)/(Inputs!$E83-Inputs!$D83+1))</f>
        <v>0</v>
      </c>
      <c r="K87" s="118">
        <f>IF(OR(Inputs!$C83="",Inputs!$D83="",Inputs!$E83=""),0,Inputs!$C83*MAX(0,MIN(Inputs!$E83,K$6)-MAX(Inputs!$D83,K$5)+1)/(Inputs!$E83-Inputs!$D83+1))</f>
        <v>0</v>
      </c>
      <c r="L87" s="118">
        <f>IF(OR(Inputs!$C83="",Inputs!$D83="",Inputs!$E83=""),0,Inputs!$C83*MAX(0,MIN(Inputs!$E83,L$6)-MAX(Inputs!$D83,L$5)+1)/(Inputs!$E83-Inputs!$D83+1))</f>
        <v>0</v>
      </c>
      <c r="M87" s="118">
        <f>IF(OR(Inputs!$C83="",Inputs!$D83="",Inputs!$E83=""),0,Inputs!$C83*MAX(0,MIN(Inputs!$E83,M$6)-MAX(Inputs!$D83,M$5)+1)/(Inputs!$E83-Inputs!$D83+1))</f>
        <v>0</v>
      </c>
      <c r="N87" s="118">
        <f>IF(OR(Inputs!$C83="",Inputs!$D83="",Inputs!$E83=""),0,Inputs!$C83*MAX(0,MIN(Inputs!$E83,N$6)-MAX(Inputs!$D83,N$5)+1)/(Inputs!$E83-Inputs!$D83+1))</f>
        <v>0</v>
      </c>
      <c r="O87" s="118">
        <f>IF(OR(Inputs!$C83="",Inputs!$D83="",Inputs!$E83=""),0,Inputs!$C83*MAX(0,MIN(Inputs!$E83,O$6)-MAX(Inputs!$D83,O$5)+1)/(Inputs!$E83-Inputs!$D83+1))</f>
        <v>0</v>
      </c>
      <c r="P87" s="118">
        <f>IF(OR(Inputs!$C83="",Inputs!$D83="",Inputs!$E83=""),0,Inputs!$C83*MAX(0,MIN(Inputs!$E83,P$6)-MAX(Inputs!$D83,P$5)+1)/(Inputs!$E83-Inputs!$D83+1))</f>
        <v>0</v>
      </c>
      <c r="Q87" s="118">
        <f>IF(OR(Inputs!$C83="",Inputs!$D83="",Inputs!$E83=""),0,Inputs!$C83*MAX(0,MIN(Inputs!$E83,Q$6)-MAX(Inputs!$D83,Q$5)+1)/(Inputs!$E83-Inputs!$D83+1))</f>
        <v>0</v>
      </c>
      <c r="R87" s="118">
        <f>IF(OR(Inputs!$C83="",Inputs!$D83="",Inputs!$E83=""),0,Inputs!$C83*MAX(0,MIN(Inputs!$E83,R$6)-MAX(Inputs!$D83,R$5)+1)/(Inputs!$E83-Inputs!$D83+1))</f>
        <v>0</v>
      </c>
      <c r="S87" s="118">
        <f>IF(OR(Inputs!$C83="",Inputs!$D83="",Inputs!$E83=""),0,Inputs!$C83*MAX(0,MIN(Inputs!$E83,S$6)-MAX(Inputs!$D83,S$5)+1)/(Inputs!$E83-Inputs!$D83+1))</f>
        <v>0</v>
      </c>
      <c r="T87" s="118">
        <f>IF(OR(Inputs!$C83="",Inputs!$D83="",Inputs!$E83=""),0,Inputs!$C83*MAX(0,MIN(Inputs!$E83,T$6)-MAX(Inputs!$D83,T$5)+1)/(Inputs!$E83-Inputs!$D83+1))</f>
        <v>0</v>
      </c>
      <c r="U87" s="118">
        <f>IF(OR(Inputs!$C83="",Inputs!$D83="",Inputs!$E83=""),0,Inputs!$C83*MAX(0,MIN(Inputs!$E83,U$6)-MAX(Inputs!$D83,U$5)+1)/(Inputs!$E83-Inputs!$D83+1))</f>
        <v>0</v>
      </c>
      <c r="V87" s="118">
        <f>IF(OR(Inputs!$C83="",Inputs!$D83="",Inputs!$E83=""),0,Inputs!$C83*MAX(0,MIN(Inputs!$E83,V$6)-MAX(Inputs!$D83,V$5)+1)/(Inputs!$E83-Inputs!$D83+1))</f>
        <v>0</v>
      </c>
      <c r="W87" s="118">
        <f>IF(OR(Inputs!$C83="",Inputs!$D83="",Inputs!$E83=""),0,Inputs!$C83*MAX(0,MIN(Inputs!$E83,W$6)-MAX(Inputs!$D83,W$5)+1)/(Inputs!$E83-Inputs!$D83+1))</f>
        <v>0</v>
      </c>
      <c r="X87" s="118">
        <f>IF(OR(Inputs!$C83="",Inputs!$D83="",Inputs!$E83=""),0,Inputs!$C83*MAX(0,MIN(Inputs!$E83,X$6)-MAX(Inputs!$D83,X$5)+1)/(Inputs!$E83-Inputs!$D83+1))</f>
        <v>0</v>
      </c>
      <c r="Y87" s="118">
        <f t="shared" si="7"/>
        <v>0</v>
      </c>
    </row>
    <row r="88" spans="1:25" x14ac:dyDescent="0.3">
      <c r="A88" s="116" t="str">
        <f>IF(Inputs!$A84="","",Inputs!$A84)</f>
        <v/>
      </c>
      <c r="B88" s="117" t="str">
        <f>IF(Inputs!$A84="","",Inputs!$D84)</f>
        <v/>
      </c>
      <c r="C88" s="117" t="str">
        <f>IF(Inputs!$A84="","",Inputs!$E84)</f>
        <v/>
      </c>
      <c r="D88" s="118">
        <f>IF(OR(Inputs!$C84="",Inputs!$D84="",Inputs!$E84=""),0,Inputs!$C84*MAX(0,MIN(Inputs!$E84,D$6)-MAX(Inputs!$D84,D$5)+1)/(Inputs!$E84-Inputs!$D84+1))</f>
        <v>0</v>
      </c>
      <c r="E88" s="118">
        <f>IF(OR(Inputs!$C84="",Inputs!$D84="",Inputs!$E84=""),0,Inputs!$C84*MAX(0,MIN(Inputs!$E84,E$6)-MAX(Inputs!$D84,E$5)+1)/(Inputs!$E84-Inputs!$D84+1))</f>
        <v>0</v>
      </c>
      <c r="F88" s="118">
        <f>IF(OR(Inputs!$C84="",Inputs!$D84="",Inputs!$E84=""),0,Inputs!$C84*MAX(0,MIN(Inputs!$E84,F$6)-MAX(Inputs!$D84,F$5)+1)/(Inputs!$E84-Inputs!$D84+1))</f>
        <v>0</v>
      </c>
      <c r="G88" s="118">
        <f>IF(OR(Inputs!$C84="",Inputs!$D84="",Inputs!$E84=""),0,Inputs!$C84*MAX(0,MIN(Inputs!$E84,G$6)-MAX(Inputs!$D84,G$5)+1)/(Inputs!$E84-Inputs!$D84+1))</f>
        <v>0</v>
      </c>
      <c r="H88" s="118">
        <f>IF(OR(Inputs!$C84="",Inputs!$D84="",Inputs!$E84=""),0,Inputs!$C84*MAX(0,MIN(Inputs!$E84,H$6)-MAX(Inputs!$D84,H$5)+1)/(Inputs!$E84-Inputs!$D84+1))</f>
        <v>0</v>
      </c>
      <c r="I88" s="118">
        <f>IF(OR(Inputs!$C84="",Inputs!$D84="",Inputs!$E84=""),0,Inputs!$C84*MAX(0,MIN(Inputs!$E84,I$6)-MAX(Inputs!$D84,I$5)+1)/(Inputs!$E84-Inputs!$D84+1))</f>
        <v>0</v>
      </c>
      <c r="J88" s="118">
        <f>IF(OR(Inputs!$C84="",Inputs!$D84="",Inputs!$E84=""),0,Inputs!$C84*MAX(0,MIN(Inputs!$E84,J$6)-MAX(Inputs!$D84,J$5)+1)/(Inputs!$E84-Inputs!$D84+1))</f>
        <v>0</v>
      </c>
      <c r="K88" s="118">
        <f>IF(OR(Inputs!$C84="",Inputs!$D84="",Inputs!$E84=""),0,Inputs!$C84*MAX(0,MIN(Inputs!$E84,K$6)-MAX(Inputs!$D84,K$5)+1)/(Inputs!$E84-Inputs!$D84+1))</f>
        <v>0</v>
      </c>
      <c r="L88" s="118">
        <f>IF(OR(Inputs!$C84="",Inputs!$D84="",Inputs!$E84=""),0,Inputs!$C84*MAX(0,MIN(Inputs!$E84,L$6)-MAX(Inputs!$D84,L$5)+1)/(Inputs!$E84-Inputs!$D84+1))</f>
        <v>0</v>
      </c>
      <c r="M88" s="118">
        <f>IF(OR(Inputs!$C84="",Inputs!$D84="",Inputs!$E84=""),0,Inputs!$C84*MAX(0,MIN(Inputs!$E84,M$6)-MAX(Inputs!$D84,M$5)+1)/(Inputs!$E84-Inputs!$D84+1))</f>
        <v>0</v>
      </c>
      <c r="N88" s="118">
        <f>IF(OR(Inputs!$C84="",Inputs!$D84="",Inputs!$E84=""),0,Inputs!$C84*MAX(0,MIN(Inputs!$E84,N$6)-MAX(Inputs!$D84,N$5)+1)/(Inputs!$E84-Inputs!$D84+1))</f>
        <v>0</v>
      </c>
      <c r="O88" s="118">
        <f>IF(OR(Inputs!$C84="",Inputs!$D84="",Inputs!$E84=""),0,Inputs!$C84*MAX(0,MIN(Inputs!$E84,O$6)-MAX(Inputs!$D84,O$5)+1)/(Inputs!$E84-Inputs!$D84+1))</f>
        <v>0</v>
      </c>
      <c r="P88" s="118">
        <f>IF(OR(Inputs!$C84="",Inputs!$D84="",Inputs!$E84=""),0,Inputs!$C84*MAX(0,MIN(Inputs!$E84,P$6)-MAX(Inputs!$D84,P$5)+1)/(Inputs!$E84-Inputs!$D84+1))</f>
        <v>0</v>
      </c>
      <c r="Q88" s="118">
        <f>IF(OR(Inputs!$C84="",Inputs!$D84="",Inputs!$E84=""),0,Inputs!$C84*MAX(0,MIN(Inputs!$E84,Q$6)-MAX(Inputs!$D84,Q$5)+1)/(Inputs!$E84-Inputs!$D84+1))</f>
        <v>0</v>
      </c>
      <c r="R88" s="118">
        <f>IF(OR(Inputs!$C84="",Inputs!$D84="",Inputs!$E84=""),0,Inputs!$C84*MAX(0,MIN(Inputs!$E84,R$6)-MAX(Inputs!$D84,R$5)+1)/(Inputs!$E84-Inputs!$D84+1))</f>
        <v>0</v>
      </c>
      <c r="S88" s="118">
        <f>IF(OR(Inputs!$C84="",Inputs!$D84="",Inputs!$E84=""),0,Inputs!$C84*MAX(0,MIN(Inputs!$E84,S$6)-MAX(Inputs!$D84,S$5)+1)/(Inputs!$E84-Inputs!$D84+1))</f>
        <v>0</v>
      </c>
      <c r="T88" s="118">
        <f>IF(OR(Inputs!$C84="",Inputs!$D84="",Inputs!$E84=""),0,Inputs!$C84*MAX(0,MIN(Inputs!$E84,T$6)-MAX(Inputs!$D84,T$5)+1)/(Inputs!$E84-Inputs!$D84+1))</f>
        <v>0</v>
      </c>
      <c r="U88" s="118">
        <f>IF(OR(Inputs!$C84="",Inputs!$D84="",Inputs!$E84=""),0,Inputs!$C84*MAX(0,MIN(Inputs!$E84,U$6)-MAX(Inputs!$D84,U$5)+1)/(Inputs!$E84-Inputs!$D84+1))</f>
        <v>0</v>
      </c>
      <c r="V88" s="118">
        <f>IF(OR(Inputs!$C84="",Inputs!$D84="",Inputs!$E84=""),0,Inputs!$C84*MAX(0,MIN(Inputs!$E84,V$6)-MAX(Inputs!$D84,V$5)+1)/(Inputs!$E84-Inputs!$D84+1))</f>
        <v>0</v>
      </c>
      <c r="W88" s="118">
        <f>IF(OR(Inputs!$C84="",Inputs!$D84="",Inputs!$E84=""),0,Inputs!$C84*MAX(0,MIN(Inputs!$E84,W$6)-MAX(Inputs!$D84,W$5)+1)/(Inputs!$E84-Inputs!$D84+1))</f>
        <v>0</v>
      </c>
      <c r="X88" s="118">
        <f>IF(OR(Inputs!$C84="",Inputs!$D84="",Inputs!$E84=""),0,Inputs!$C84*MAX(0,MIN(Inputs!$E84,X$6)-MAX(Inputs!$D84,X$5)+1)/(Inputs!$E84-Inputs!$D84+1))</f>
        <v>0</v>
      </c>
      <c r="Y88" s="118">
        <f t="shared" si="7"/>
        <v>0</v>
      </c>
    </row>
    <row r="89" spans="1:25" x14ac:dyDescent="0.3">
      <c r="A89" s="116" t="str">
        <f>IF(Inputs!$A85="","",Inputs!$A85)</f>
        <v/>
      </c>
      <c r="B89" s="117" t="str">
        <f>IF(Inputs!$A85="","",Inputs!$D85)</f>
        <v/>
      </c>
      <c r="C89" s="117" t="str">
        <f>IF(Inputs!$A85="","",Inputs!$E85)</f>
        <v/>
      </c>
      <c r="D89" s="118">
        <f>IF(OR(Inputs!$C85="",Inputs!$D85="",Inputs!$E85=""),0,Inputs!$C85*MAX(0,MIN(Inputs!$E85,D$6)-MAX(Inputs!$D85,D$5)+1)/(Inputs!$E85-Inputs!$D85+1))</f>
        <v>0</v>
      </c>
      <c r="E89" s="118">
        <f>IF(OR(Inputs!$C85="",Inputs!$D85="",Inputs!$E85=""),0,Inputs!$C85*MAX(0,MIN(Inputs!$E85,E$6)-MAX(Inputs!$D85,E$5)+1)/(Inputs!$E85-Inputs!$D85+1))</f>
        <v>0</v>
      </c>
      <c r="F89" s="118">
        <f>IF(OR(Inputs!$C85="",Inputs!$D85="",Inputs!$E85=""),0,Inputs!$C85*MAX(0,MIN(Inputs!$E85,F$6)-MAX(Inputs!$D85,F$5)+1)/(Inputs!$E85-Inputs!$D85+1))</f>
        <v>0</v>
      </c>
      <c r="G89" s="118">
        <f>IF(OR(Inputs!$C85="",Inputs!$D85="",Inputs!$E85=""),0,Inputs!$C85*MAX(0,MIN(Inputs!$E85,G$6)-MAX(Inputs!$D85,G$5)+1)/(Inputs!$E85-Inputs!$D85+1))</f>
        <v>0</v>
      </c>
      <c r="H89" s="118">
        <f>IF(OR(Inputs!$C85="",Inputs!$D85="",Inputs!$E85=""),0,Inputs!$C85*MAX(0,MIN(Inputs!$E85,H$6)-MAX(Inputs!$D85,H$5)+1)/(Inputs!$E85-Inputs!$D85+1))</f>
        <v>0</v>
      </c>
      <c r="I89" s="118">
        <f>IF(OR(Inputs!$C85="",Inputs!$D85="",Inputs!$E85=""),0,Inputs!$C85*MAX(0,MIN(Inputs!$E85,I$6)-MAX(Inputs!$D85,I$5)+1)/(Inputs!$E85-Inputs!$D85+1))</f>
        <v>0</v>
      </c>
      <c r="J89" s="118">
        <f>IF(OR(Inputs!$C85="",Inputs!$D85="",Inputs!$E85=""),0,Inputs!$C85*MAX(0,MIN(Inputs!$E85,J$6)-MAX(Inputs!$D85,J$5)+1)/(Inputs!$E85-Inputs!$D85+1))</f>
        <v>0</v>
      </c>
      <c r="K89" s="118">
        <f>IF(OR(Inputs!$C85="",Inputs!$D85="",Inputs!$E85=""),0,Inputs!$C85*MAX(0,MIN(Inputs!$E85,K$6)-MAX(Inputs!$D85,K$5)+1)/(Inputs!$E85-Inputs!$D85+1))</f>
        <v>0</v>
      </c>
      <c r="L89" s="118">
        <f>IF(OR(Inputs!$C85="",Inputs!$D85="",Inputs!$E85=""),0,Inputs!$C85*MAX(0,MIN(Inputs!$E85,L$6)-MAX(Inputs!$D85,L$5)+1)/(Inputs!$E85-Inputs!$D85+1))</f>
        <v>0</v>
      </c>
      <c r="M89" s="118">
        <f>IF(OR(Inputs!$C85="",Inputs!$D85="",Inputs!$E85=""),0,Inputs!$C85*MAX(0,MIN(Inputs!$E85,M$6)-MAX(Inputs!$D85,M$5)+1)/(Inputs!$E85-Inputs!$D85+1))</f>
        <v>0</v>
      </c>
      <c r="N89" s="118">
        <f>IF(OR(Inputs!$C85="",Inputs!$D85="",Inputs!$E85=""),0,Inputs!$C85*MAX(0,MIN(Inputs!$E85,N$6)-MAX(Inputs!$D85,N$5)+1)/(Inputs!$E85-Inputs!$D85+1))</f>
        <v>0</v>
      </c>
      <c r="O89" s="118">
        <f>IF(OR(Inputs!$C85="",Inputs!$D85="",Inputs!$E85=""),0,Inputs!$C85*MAX(0,MIN(Inputs!$E85,O$6)-MAX(Inputs!$D85,O$5)+1)/(Inputs!$E85-Inputs!$D85+1))</f>
        <v>0</v>
      </c>
      <c r="P89" s="118">
        <f>IF(OR(Inputs!$C85="",Inputs!$D85="",Inputs!$E85=""),0,Inputs!$C85*MAX(0,MIN(Inputs!$E85,P$6)-MAX(Inputs!$D85,P$5)+1)/(Inputs!$E85-Inputs!$D85+1))</f>
        <v>0</v>
      </c>
      <c r="Q89" s="118">
        <f>IF(OR(Inputs!$C85="",Inputs!$D85="",Inputs!$E85=""),0,Inputs!$C85*MAX(0,MIN(Inputs!$E85,Q$6)-MAX(Inputs!$D85,Q$5)+1)/(Inputs!$E85-Inputs!$D85+1))</f>
        <v>0</v>
      </c>
      <c r="R89" s="118">
        <f>IF(OR(Inputs!$C85="",Inputs!$D85="",Inputs!$E85=""),0,Inputs!$C85*MAX(0,MIN(Inputs!$E85,R$6)-MAX(Inputs!$D85,R$5)+1)/(Inputs!$E85-Inputs!$D85+1))</f>
        <v>0</v>
      </c>
      <c r="S89" s="118">
        <f>IF(OR(Inputs!$C85="",Inputs!$D85="",Inputs!$E85=""),0,Inputs!$C85*MAX(0,MIN(Inputs!$E85,S$6)-MAX(Inputs!$D85,S$5)+1)/(Inputs!$E85-Inputs!$D85+1))</f>
        <v>0</v>
      </c>
      <c r="T89" s="118">
        <f>IF(OR(Inputs!$C85="",Inputs!$D85="",Inputs!$E85=""),0,Inputs!$C85*MAX(0,MIN(Inputs!$E85,T$6)-MAX(Inputs!$D85,T$5)+1)/(Inputs!$E85-Inputs!$D85+1))</f>
        <v>0</v>
      </c>
      <c r="U89" s="118">
        <f>IF(OR(Inputs!$C85="",Inputs!$D85="",Inputs!$E85=""),0,Inputs!$C85*MAX(0,MIN(Inputs!$E85,U$6)-MAX(Inputs!$D85,U$5)+1)/(Inputs!$E85-Inputs!$D85+1))</f>
        <v>0</v>
      </c>
      <c r="V89" s="118">
        <f>IF(OR(Inputs!$C85="",Inputs!$D85="",Inputs!$E85=""),0,Inputs!$C85*MAX(0,MIN(Inputs!$E85,V$6)-MAX(Inputs!$D85,V$5)+1)/(Inputs!$E85-Inputs!$D85+1))</f>
        <v>0</v>
      </c>
      <c r="W89" s="118">
        <f>IF(OR(Inputs!$C85="",Inputs!$D85="",Inputs!$E85=""),0,Inputs!$C85*MAX(0,MIN(Inputs!$E85,W$6)-MAX(Inputs!$D85,W$5)+1)/(Inputs!$E85-Inputs!$D85+1))</f>
        <v>0</v>
      </c>
      <c r="X89" s="118">
        <f>IF(OR(Inputs!$C85="",Inputs!$D85="",Inputs!$E85=""),0,Inputs!$C85*MAX(0,MIN(Inputs!$E85,X$6)-MAX(Inputs!$D85,X$5)+1)/(Inputs!$E85-Inputs!$D85+1))</f>
        <v>0</v>
      </c>
      <c r="Y89" s="118">
        <f t="shared" si="7"/>
        <v>0</v>
      </c>
    </row>
    <row r="90" spans="1:25" x14ac:dyDescent="0.3">
      <c r="A90" s="119" t="s">
        <v>45</v>
      </c>
      <c r="B90" s="119"/>
      <c r="C90" s="119"/>
      <c r="D90" s="120">
        <f t="shared" ref="D90:Y90" si="8">SUM(D10:D89)</f>
        <v>0</v>
      </c>
      <c r="E90" s="120">
        <f t="shared" si="8"/>
        <v>6.1516769570680943</v>
      </c>
      <c r="F90" s="120">
        <f t="shared" si="8"/>
        <v>21.27827683425118</v>
      </c>
      <c r="G90" s="120">
        <f t="shared" si="8"/>
        <v>16.690900911226059</v>
      </c>
      <c r="H90" s="120">
        <f t="shared" si="8"/>
        <v>11.24385927030365</v>
      </c>
      <c r="I90" s="120">
        <f t="shared" si="8"/>
        <v>9.458206146035387</v>
      </c>
      <c r="J90" s="120">
        <f t="shared" si="8"/>
        <v>11.276314360655094</v>
      </c>
      <c r="K90" s="120">
        <f t="shared" si="8"/>
        <v>15.336632175191898</v>
      </c>
      <c r="L90" s="120">
        <f t="shared" si="8"/>
        <v>9.5617296087891415</v>
      </c>
      <c r="M90" s="120">
        <f t="shared" si="8"/>
        <v>12.801473484828895</v>
      </c>
      <c r="N90" s="120">
        <f t="shared" si="8"/>
        <v>11.11548640370359</v>
      </c>
      <c r="O90" s="120">
        <f t="shared" si="8"/>
        <v>12.858458867517017</v>
      </c>
      <c r="P90" s="120">
        <f t="shared" si="8"/>
        <v>8.05375261537983</v>
      </c>
      <c r="Q90" s="120">
        <f t="shared" si="8"/>
        <v>4.3984985990597751</v>
      </c>
      <c r="R90" s="120">
        <f t="shared" si="8"/>
        <v>4.0482479986984519</v>
      </c>
      <c r="S90" s="120">
        <f t="shared" si="8"/>
        <v>3.7790978768060266</v>
      </c>
      <c r="T90" s="120">
        <f t="shared" si="8"/>
        <v>3.7790978768060266</v>
      </c>
      <c r="U90" s="120">
        <f t="shared" si="8"/>
        <v>1.2448700410396716</v>
      </c>
      <c r="V90" s="120">
        <f t="shared" si="8"/>
        <v>1.2448700410396716</v>
      </c>
      <c r="W90" s="120">
        <f t="shared" si="8"/>
        <v>0.62927496580027364</v>
      </c>
      <c r="X90" s="120">
        <f t="shared" si="8"/>
        <v>0.62927496580027364</v>
      </c>
      <c r="Y90" s="120">
        <f t="shared" si="8"/>
        <v>165.57999999999998</v>
      </c>
    </row>
    <row r="93" spans="1:25" ht="19.95" customHeight="1" x14ac:dyDescent="0.3">
      <c r="A93" s="300" t="s">
        <v>56</v>
      </c>
      <c r="B93" s="300"/>
      <c r="C93" s="300"/>
      <c r="D93" s="300"/>
      <c r="E93" s="300"/>
      <c r="F93" s="300"/>
      <c r="G93" s="300"/>
      <c r="H93" s="300"/>
      <c r="I93" s="300"/>
      <c r="J93" s="300"/>
      <c r="K93" s="300"/>
      <c r="L93" s="300"/>
      <c r="M93" s="300"/>
      <c r="N93" s="300"/>
      <c r="O93" s="300"/>
      <c r="P93" s="300"/>
      <c r="Q93" s="300"/>
      <c r="R93" s="300"/>
      <c r="S93" s="300"/>
      <c r="T93" s="300"/>
      <c r="U93" s="300"/>
      <c r="V93" s="300"/>
      <c r="W93" s="300"/>
      <c r="X93" s="300"/>
      <c r="Y93" s="300"/>
    </row>
    <row r="94" spans="1:25" x14ac:dyDescent="0.3">
      <c r="A94" s="114" t="s">
        <v>35</v>
      </c>
      <c r="B94" s="115"/>
      <c r="C94" s="115"/>
      <c r="D94" s="115" t="str">
        <f t="shared" ref="D94:X94" si="9">D$4</f>
        <v>Opening</v>
      </c>
      <c r="E94" s="115" t="str">
        <f t="shared" si="9"/>
        <v>Q1-24</v>
      </c>
      <c r="F94" s="115" t="str">
        <f t="shared" si="9"/>
        <v>Q2-24</v>
      </c>
      <c r="G94" s="115" t="str">
        <f t="shared" si="9"/>
        <v>Q3-24</v>
      </c>
      <c r="H94" s="115" t="str">
        <f t="shared" si="9"/>
        <v>Q4-24</v>
      </c>
      <c r="I94" s="115" t="str">
        <f t="shared" si="9"/>
        <v>Q1-25</v>
      </c>
      <c r="J94" s="115" t="str">
        <f t="shared" si="9"/>
        <v>Q2-25</v>
      </c>
      <c r="K94" s="115" t="str">
        <f t="shared" si="9"/>
        <v>Q3-25</v>
      </c>
      <c r="L94" s="115" t="str">
        <f t="shared" si="9"/>
        <v>Q4-25</v>
      </c>
      <c r="M94" s="115" t="str">
        <f t="shared" si="9"/>
        <v>Q1-26</v>
      </c>
      <c r="N94" s="115" t="str">
        <f t="shared" si="9"/>
        <v>Q2-26</v>
      </c>
      <c r="O94" s="115" t="str">
        <f t="shared" si="9"/>
        <v>Q3-26</v>
      </c>
      <c r="P94" s="115" t="str">
        <f t="shared" si="9"/>
        <v>Q4-26</v>
      </c>
      <c r="Q94" s="115" t="str">
        <f t="shared" si="9"/>
        <v>Q1-27</v>
      </c>
      <c r="R94" s="115" t="str">
        <f t="shared" si="9"/>
        <v>Q2-27</v>
      </c>
      <c r="S94" s="115" t="str">
        <f t="shared" si="9"/>
        <v>Q3-27</v>
      </c>
      <c r="T94" s="115" t="str">
        <f t="shared" si="9"/>
        <v>Q4-27</v>
      </c>
      <c r="U94" s="115" t="str">
        <f t="shared" si="9"/>
        <v>Q1-28</v>
      </c>
      <c r="V94" s="115" t="str">
        <f t="shared" si="9"/>
        <v>Q2-28</v>
      </c>
      <c r="W94" s="115" t="str">
        <f t="shared" si="9"/>
        <v>Q3-28</v>
      </c>
      <c r="X94" s="115" t="str">
        <f t="shared" si="9"/>
        <v>Q4-28</v>
      </c>
      <c r="Y94" s="115" t="s">
        <v>4</v>
      </c>
    </row>
    <row r="95" spans="1:25" x14ac:dyDescent="0.3">
      <c r="A95" s="116" t="str">
        <f>IF(Inputs!$A6="","",Inputs!$A6)</f>
        <v>N25178-0100D</v>
      </c>
      <c r="B95" s="116"/>
      <c r="C95" s="116"/>
      <c r="D95" s="121"/>
      <c r="E95" s="121"/>
      <c r="F95" s="121"/>
      <c r="G95" s="121"/>
      <c r="H95" s="121"/>
      <c r="I95" s="121"/>
      <c r="J95" s="121"/>
      <c r="K95" s="121"/>
      <c r="L95" s="121"/>
      <c r="M95" s="121"/>
      <c r="N95" s="121"/>
      <c r="O95" s="121"/>
      <c r="P95" s="121"/>
      <c r="Q95" s="121"/>
      <c r="R95" s="121"/>
      <c r="S95" s="121"/>
      <c r="T95" s="121"/>
      <c r="U95" s="121"/>
      <c r="V95" s="121"/>
      <c r="W95" s="121"/>
      <c r="X95" s="121"/>
      <c r="Y95" s="118">
        <f t="shared" ref="Y95:Y126" si="10">SUM(D95:X95)</f>
        <v>0</v>
      </c>
    </row>
    <row r="96" spans="1:25" x14ac:dyDescent="0.3">
      <c r="A96" s="116" t="str">
        <f>IF(Inputs!$A7="","",Inputs!$A7)</f>
        <v>E26084-0100D</v>
      </c>
      <c r="B96" s="116"/>
      <c r="C96" s="116"/>
      <c r="D96" s="121"/>
      <c r="E96" s="121"/>
      <c r="F96" s="121"/>
      <c r="G96" s="121"/>
      <c r="H96" s="121"/>
      <c r="I96" s="121"/>
      <c r="J96" s="121"/>
      <c r="K96" s="121"/>
      <c r="L96" s="121"/>
      <c r="M96" s="121"/>
      <c r="N96" s="121"/>
      <c r="O96" s="121"/>
      <c r="P96" s="121"/>
      <c r="Q96" s="121"/>
      <c r="R96" s="121"/>
      <c r="S96" s="121"/>
      <c r="T96" s="121"/>
      <c r="U96" s="121"/>
      <c r="V96" s="121"/>
      <c r="W96" s="121"/>
      <c r="X96" s="121"/>
      <c r="Y96" s="118">
        <f t="shared" si="10"/>
        <v>0</v>
      </c>
    </row>
    <row r="97" spans="1:25" x14ac:dyDescent="0.3">
      <c r="A97" s="116" t="str">
        <f>IF(Inputs!$A8="","",Inputs!$A8)</f>
        <v>N25185-0100D</v>
      </c>
      <c r="B97" s="116"/>
      <c r="C97" s="116"/>
      <c r="D97" s="121"/>
      <c r="E97" s="121"/>
      <c r="F97" s="121"/>
      <c r="G97" s="121"/>
      <c r="H97" s="121"/>
      <c r="I97" s="121"/>
      <c r="J97" s="121"/>
      <c r="K97" s="121"/>
      <c r="L97" s="121"/>
      <c r="M97" s="121"/>
      <c r="N97" s="121"/>
      <c r="O97" s="121"/>
      <c r="P97" s="121"/>
      <c r="Q97" s="121"/>
      <c r="R97" s="121"/>
      <c r="S97" s="121"/>
      <c r="T97" s="121"/>
      <c r="U97" s="121"/>
      <c r="V97" s="121"/>
      <c r="W97" s="121"/>
      <c r="X97" s="121"/>
      <c r="Y97" s="118">
        <f t="shared" si="10"/>
        <v>0</v>
      </c>
    </row>
    <row r="98" spans="1:25" x14ac:dyDescent="0.3">
      <c r="A98" s="116" t="str">
        <f>IF(Inputs!$A9="","",Inputs!$A9)</f>
        <v>AN22137-0100D</v>
      </c>
      <c r="B98" s="116"/>
      <c r="C98" s="116"/>
      <c r="D98" s="121"/>
      <c r="E98" s="121"/>
      <c r="F98" s="121"/>
      <c r="G98" s="121"/>
      <c r="H98" s="121"/>
      <c r="I98" s="121"/>
      <c r="J98" s="121"/>
      <c r="K98" s="121"/>
      <c r="L98" s="121"/>
      <c r="M98" s="121"/>
      <c r="N98" s="121"/>
      <c r="O98" s="121"/>
      <c r="P98" s="121"/>
      <c r="Q98" s="121"/>
      <c r="R98" s="121"/>
      <c r="S98" s="121"/>
      <c r="T98" s="121"/>
      <c r="U98" s="121"/>
      <c r="V98" s="121"/>
      <c r="W98" s="121"/>
      <c r="X98" s="121"/>
      <c r="Y98" s="118">
        <f t="shared" si="10"/>
        <v>0</v>
      </c>
    </row>
    <row r="99" spans="1:25" x14ac:dyDescent="0.3">
      <c r="A99" s="116" t="str">
        <f>IF(Inputs!$A10="","",Inputs!$A10)</f>
        <v>D26058-0100D</v>
      </c>
      <c r="B99" s="116"/>
      <c r="C99" s="116"/>
      <c r="D99" s="121"/>
      <c r="E99" s="121"/>
      <c r="F99" s="121"/>
      <c r="G99" s="121"/>
      <c r="H99" s="121"/>
      <c r="I99" s="121"/>
      <c r="J99" s="121"/>
      <c r="K99" s="121"/>
      <c r="L99" s="121"/>
      <c r="M99" s="121"/>
      <c r="N99" s="121"/>
      <c r="O99" s="121"/>
      <c r="P99" s="121"/>
      <c r="Q99" s="121"/>
      <c r="R99" s="121"/>
      <c r="S99" s="121"/>
      <c r="T99" s="121"/>
      <c r="U99" s="121"/>
      <c r="V99" s="121"/>
      <c r="W99" s="121"/>
      <c r="X99" s="121"/>
      <c r="Y99" s="118">
        <f t="shared" si="10"/>
        <v>0</v>
      </c>
    </row>
    <row r="100" spans="1:25" x14ac:dyDescent="0.3">
      <c r="A100" s="116" t="str">
        <f>IF(Inputs!$A11="","",Inputs!$A11)</f>
        <v xml:space="preserve">AD24217-0100D </v>
      </c>
      <c r="B100" s="116"/>
      <c r="C100" s="116"/>
      <c r="D100" s="121"/>
      <c r="E100" s="121"/>
      <c r="F100" s="121"/>
      <c r="G100" s="121"/>
      <c r="H100" s="121"/>
      <c r="I100" s="121"/>
      <c r="J100" s="121"/>
      <c r="K100" s="121"/>
      <c r="L100" s="121"/>
      <c r="M100" s="121"/>
      <c r="N100" s="121"/>
      <c r="O100" s="121"/>
      <c r="P100" s="121"/>
      <c r="Q100" s="121"/>
      <c r="R100" s="121"/>
      <c r="S100" s="121"/>
      <c r="T100" s="121"/>
      <c r="U100" s="121"/>
      <c r="V100" s="121"/>
      <c r="W100" s="121"/>
      <c r="X100" s="121"/>
      <c r="Y100" s="118">
        <f t="shared" si="10"/>
        <v>0</v>
      </c>
    </row>
    <row r="101" spans="1:25" x14ac:dyDescent="0.3">
      <c r="A101" s="116" t="str">
        <f>IF(Inputs!$A12="","",Inputs!$A12)</f>
        <v>AN23207-0500D</v>
      </c>
      <c r="B101" s="116"/>
      <c r="C101" s="116"/>
      <c r="D101" s="121"/>
      <c r="E101" s="121"/>
      <c r="F101" s="121"/>
      <c r="G101" s="121"/>
      <c r="H101" s="121"/>
      <c r="I101" s="121"/>
      <c r="J101" s="121"/>
      <c r="K101" s="121"/>
      <c r="L101" s="121"/>
      <c r="M101" s="121"/>
      <c r="N101" s="121"/>
      <c r="O101" s="121"/>
      <c r="P101" s="121"/>
      <c r="Q101" s="121"/>
      <c r="R101" s="121"/>
      <c r="S101" s="121"/>
      <c r="T101" s="121"/>
      <c r="U101" s="121"/>
      <c r="V101" s="121"/>
      <c r="W101" s="121"/>
      <c r="X101" s="121"/>
      <c r="Y101" s="118">
        <f t="shared" si="10"/>
        <v>0</v>
      </c>
    </row>
    <row r="102" spans="1:25" x14ac:dyDescent="0.3">
      <c r="A102" s="116" t="str">
        <f>IF(Inputs!$A13="","",Inputs!$A13)</f>
        <v>AN23276-0100D</v>
      </c>
      <c r="B102" s="116"/>
      <c r="C102" s="116"/>
      <c r="D102" s="121"/>
      <c r="E102" s="121"/>
      <c r="F102" s="121"/>
      <c r="G102" s="121"/>
      <c r="H102" s="121"/>
      <c r="I102" s="121"/>
      <c r="J102" s="121"/>
      <c r="K102" s="121"/>
      <c r="L102" s="121"/>
      <c r="M102" s="121"/>
      <c r="N102" s="121"/>
      <c r="O102" s="121"/>
      <c r="P102" s="121"/>
      <c r="Q102" s="121"/>
      <c r="R102" s="121"/>
      <c r="S102" s="121"/>
      <c r="T102" s="121"/>
      <c r="U102" s="121"/>
      <c r="V102" s="121"/>
      <c r="W102" s="121"/>
      <c r="X102" s="121"/>
      <c r="Y102" s="118">
        <f t="shared" si="10"/>
        <v>0</v>
      </c>
    </row>
    <row r="103" spans="1:25" x14ac:dyDescent="0.3">
      <c r="A103" s="116" t="str">
        <f>IF(Inputs!$A14="","",Inputs!$A14)</f>
        <v>AN24073-0100D</v>
      </c>
      <c r="B103" s="116"/>
      <c r="C103" s="116"/>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18">
        <f t="shared" si="10"/>
        <v>0</v>
      </c>
    </row>
    <row r="104" spans="1:25" x14ac:dyDescent="0.3">
      <c r="A104" s="116" t="str">
        <f>IF(Inputs!$A15="","",Inputs!$A15)</f>
        <v>AN24140-0100R</v>
      </c>
      <c r="B104" s="116"/>
      <c r="C104" s="116"/>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18">
        <f t="shared" si="10"/>
        <v>0</v>
      </c>
    </row>
    <row r="105" spans="1:25" x14ac:dyDescent="0.3">
      <c r="A105" s="116" t="str">
        <f>IF(Inputs!$A16="","",Inputs!$A16)</f>
        <v>CS24035-0100D</v>
      </c>
      <c r="B105" s="116"/>
      <c r="C105" s="116"/>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18">
        <f t="shared" si="10"/>
        <v>0</v>
      </c>
    </row>
    <row r="106" spans="1:25" x14ac:dyDescent="0.3">
      <c r="A106" s="116" t="str">
        <f>IF(Inputs!$A17="","",Inputs!$A17)</f>
        <v>E24181-0100D</v>
      </c>
      <c r="B106" s="116"/>
      <c r="C106" s="116"/>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18">
        <f t="shared" si="10"/>
        <v>0</v>
      </c>
    </row>
    <row r="107" spans="1:25" x14ac:dyDescent="0.3">
      <c r="A107" s="116" t="str">
        <f>IF(Inputs!$A18="","",Inputs!$A18)</f>
        <v>J23152-0100D</v>
      </c>
      <c r="B107" s="116"/>
      <c r="C107" s="116"/>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18">
        <f t="shared" si="10"/>
        <v>0</v>
      </c>
    </row>
    <row r="108" spans="1:25" x14ac:dyDescent="0.3">
      <c r="A108" s="116" t="str">
        <f>IF(Inputs!$A19="","",Inputs!$A19)</f>
        <v>Q25008-0100D</v>
      </c>
      <c r="B108" s="116"/>
      <c r="C108" s="116"/>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18">
        <f t="shared" si="10"/>
        <v>0</v>
      </c>
    </row>
    <row r="109" spans="1:25" x14ac:dyDescent="0.3">
      <c r="A109" s="116" t="str">
        <f>IF(Inputs!$A20="","",Inputs!$A20)</f>
        <v>S24014-0101D</v>
      </c>
      <c r="B109" s="116"/>
      <c r="C109" s="116"/>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18">
        <f t="shared" si="10"/>
        <v>0</v>
      </c>
    </row>
    <row r="110" spans="1:25" x14ac:dyDescent="0.3">
      <c r="A110" s="116" t="str">
        <f>IF(Inputs!$A21="","",Inputs!$A21)</f>
        <v>S24014-0102D</v>
      </c>
      <c r="B110" s="116"/>
      <c r="C110" s="116"/>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18">
        <f t="shared" si="10"/>
        <v>0</v>
      </c>
    </row>
    <row r="111" spans="1:25" x14ac:dyDescent="0.3">
      <c r="A111" s="116" t="str">
        <f>IF(Inputs!$A22="","",Inputs!$A22)</f>
        <v>S24014-0103D</v>
      </c>
      <c r="B111" s="116"/>
      <c r="C111" s="116"/>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18">
        <f t="shared" si="10"/>
        <v>0</v>
      </c>
    </row>
    <row r="112" spans="1:25" x14ac:dyDescent="0.3">
      <c r="A112" s="116" t="str">
        <f>IF(Inputs!$A23="","",Inputs!$A23)</f>
        <v>S24014-0104D</v>
      </c>
      <c r="B112" s="116"/>
      <c r="C112" s="116"/>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18">
        <f t="shared" si="10"/>
        <v>0</v>
      </c>
    </row>
    <row r="113" spans="1:25" x14ac:dyDescent="0.3">
      <c r="A113" s="116" t="str">
        <f>IF(Inputs!$A24="","",Inputs!$A24)</f>
        <v>S22058-0700D</v>
      </c>
      <c r="B113" s="116"/>
      <c r="C113" s="116"/>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18">
        <f t="shared" si="10"/>
        <v>0</v>
      </c>
    </row>
    <row r="114" spans="1:25" x14ac:dyDescent="0.3">
      <c r="A114" s="116" t="str">
        <f>IF(Inputs!$A25="","",Inputs!$A25)</f>
        <v>AN24185-0100R</v>
      </c>
      <c r="B114" s="116"/>
      <c r="C114" s="116"/>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18">
        <f t="shared" si="10"/>
        <v>0</v>
      </c>
    </row>
    <row r="115" spans="1:25" x14ac:dyDescent="0.3">
      <c r="A115" s="116" t="str">
        <f>IF(Inputs!$A26="","",Inputs!$A26)</f>
        <v>AN24135-0100R</v>
      </c>
      <c r="B115" s="116"/>
      <c r="C115" s="116"/>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18">
        <f t="shared" si="10"/>
        <v>0</v>
      </c>
    </row>
    <row r="116" spans="1:25" x14ac:dyDescent="0.3">
      <c r="A116" s="116" t="str">
        <f>IF(Inputs!$A27="","",Inputs!$A27)</f>
        <v>AN23232-0100D</v>
      </c>
      <c r="B116" s="116"/>
      <c r="C116" s="116"/>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18">
        <f t="shared" si="10"/>
        <v>0</v>
      </c>
    </row>
    <row r="117" spans="1:25" x14ac:dyDescent="0.3">
      <c r="A117" s="116" t="str">
        <f>IF(Inputs!$A28="","",Inputs!$A28)</f>
        <v>AN23108-0100R</v>
      </c>
      <c r="B117" s="116"/>
      <c r="C117" s="116"/>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18">
        <f t="shared" si="10"/>
        <v>0</v>
      </c>
    </row>
    <row r="118" spans="1:25" x14ac:dyDescent="0.3">
      <c r="A118" s="116" t="str">
        <f>IF(Inputs!$A29="","",Inputs!$A29)</f>
        <v>TA24246-0200R</v>
      </c>
      <c r="B118" s="116"/>
      <c r="C118" s="116"/>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18">
        <f t="shared" si="10"/>
        <v>0</v>
      </c>
    </row>
    <row r="119" spans="1:25" x14ac:dyDescent="0.3">
      <c r="A119" s="116" t="str">
        <f>IF(Inputs!$A30="","",Inputs!$A30)</f>
        <v>S22058-0900D</v>
      </c>
      <c r="B119" s="116"/>
      <c r="C119" s="116"/>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18">
        <f t="shared" si="10"/>
        <v>0</v>
      </c>
    </row>
    <row r="120" spans="1:25" x14ac:dyDescent="0.3">
      <c r="A120" s="116" t="str">
        <f>IF(Inputs!$A31="","",Inputs!$A31)</f>
        <v>S22058-0400D</v>
      </c>
      <c r="B120" s="116"/>
      <c r="C120" s="116"/>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18">
        <f t="shared" si="10"/>
        <v>0</v>
      </c>
    </row>
    <row r="121" spans="1:25" x14ac:dyDescent="0.3">
      <c r="A121" s="116" t="str">
        <f>IF(Inputs!$A32="","",Inputs!$A32)</f>
        <v>Proposals 25</v>
      </c>
      <c r="B121" s="116"/>
      <c r="C121" s="116"/>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18">
        <f t="shared" si="10"/>
        <v>0</v>
      </c>
    </row>
    <row r="122" spans="1:25" x14ac:dyDescent="0.3">
      <c r="A122" s="116" t="str">
        <f>IF(Inputs!$A33="","",Inputs!$A33)</f>
        <v>Chargable Proposals 25</v>
      </c>
      <c r="B122" s="116"/>
      <c r="C122" s="116"/>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18">
        <f t="shared" si="10"/>
        <v>0</v>
      </c>
    </row>
    <row r="123" spans="1:25" x14ac:dyDescent="0.3">
      <c r="A123" s="116" t="str">
        <f>IF(Inputs!$A34="","",Inputs!$A34)</f>
        <v>AD23051-0101D</v>
      </c>
      <c r="B123" s="116"/>
      <c r="C123" s="116"/>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18">
        <f t="shared" si="10"/>
        <v>0</v>
      </c>
    </row>
    <row r="124" spans="1:25" x14ac:dyDescent="0.3">
      <c r="A124" s="116" t="str">
        <f>IF(Inputs!$A35="","",Inputs!$A35)</f>
        <v>AN21146-0100R</v>
      </c>
      <c r="B124" s="116"/>
      <c r="C124" s="116"/>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18">
        <f t="shared" si="10"/>
        <v>0</v>
      </c>
    </row>
    <row r="125" spans="1:25" x14ac:dyDescent="0.3">
      <c r="A125" s="116" t="str">
        <f>IF(Inputs!$A36="","",Inputs!$A36)</f>
        <v>N23106-0100D</v>
      </c>
      <c r="B125" s="116"/>
      <c r="C125" s="116"/>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18">
        <f t="shared" si="10"/>
        <v>0</v>
      </c>
    </row>
    <row r="126" spans="1:25" x14ac:dyDescent="0.3">
      <c r="A126" s="116" t="str">
        <f>IF(Inputs!$A37="","",Inputs!$A37)</f>
        <v>OM23030-0100D</v>
      </c>
      <c r="B126" s="116"/>
      <c r="C126" s="116"/>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18">
        <f t="shared" si="10"/>
        <v>0</v>
      </c>
    </row>
    <row r="127" spans="1:25" x14ac:dyDescent="0.3">
      <c r="A127" s="116" t="str">
        <f>IF(Inputs!$A38="","",Inputs!$A38)</f>
        <v>Chargable Proposals 24</v>
      </c>
      <c r="B127" s="116"/>
      <c r="C127" s="116"/>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18">
        <f t="shared" ref="Y127:Y158" si="11">SUM(D127:X127)</f>
        <v>0</v>
      </c>
    </row>
    <row r="128" spans="1:25" x14ac:dyDescent="0.3">
      <c r="A128" s="116" t="str">
        <f>IF(Inputs!$A39="","",Inputs!$A39)</f>
        <v>Proposals 24</v>
      </c>
      <c r="B128" s="116"/>
      <c r="C128" s="116"/>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18">
        <f t="shared" si="11"/>
        <v>0</v>
      </c>
    </row>
    <row r="129" spans="1:25" x14ac:dyDescent="0.3">
      <c r="A129" s="116" t="str">
        <f>IF(Inputs!$A40="","",Inputs!$A40)</f>
        <v>S23204-0100D</v>
      </c>
      <c r="B129" s="116"/>
      <c r="C129" s="116"/>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18">
        <f t="shared" si="11"/>
        <v>0</v>
      </c>
    </row>
    <row r="130" spans="1:25" x14ac:dyDescent="0.3">
      <c r="A130" s="116" t="str">
        <f>IF(Inputs!$A41="","",Inputs!$A41)</f>
        <v>S24100-0100D</v>
      </c>
      <c r="B130" s="116"/>
      <c r="C130" s="116"/>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18">
        <f t="shared" si="11"/>
        <v>0</v>
      </c>
    </row>
    <row r="131" spans="1:25" x14ac:dyDescent="0.3">
      <c r="A131" s="116" t="str">
        <f>IF(Inputs!$A42="","",Inputs!$A42)</f>
        <v>TA23011-0100R</v>
      </c>
      <c r="B131" s="116"/>
      <c r="C131" s="116"/>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18">
        <f t="shared" si="11"/>
        <v>0</v>
      </c>
    </row>
    <row r="132" spans="1:25" x14ac:dyDescent="0.3">
      <c r="A132" s="116" t="str">
        <f>IF(Inputs!$A43="","",Inputs!$A43)</f>
        <v>AL25148-0100D</v>
      </c>
      <c r="B132" s="116"/>
      <c r="C132" s="116"/>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18">
        <f t="shared" si="11"/>
        <v>0</v>
      </c>
    </row>
    <row r="133" spans="1:25" x14ac:dyDescent="0.3">
      <c r="A133" s="116" t="str">
        <f>IF(Inputs!$A44="","",Inputs!$A44)</f>
        <v>Chargable Proposals 26</v>
      </c>
      <c r="B133" s="116"/>
      <c r="C133" s="116"/>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18">
        <f t="shared" si="11"/>
        <v>0</v>
      </c>
    </row>
    <row r="134" spans="1:25" x14ac:dyDescent="0.3">
      <c r="A134" s="116" t="str">
        <f>IF(Inputs!$A45="","",Inputs!$A45)</f>
        <v/>
      </c>
      <c r="B134" s="116"/>
      <c r="C134" s="116"/>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18">
        <f t="shared" si="11"/>
        <v>0</v>
      </c>
    </row>
    <row r="135" spans="1:25" x14ac:dyDescent="0.3">
      <c r="A135" s="116" t="str">
        <f>IF(Inputs!$A46="","",Inputs!$A46)</f>
        <v>Proposals 26</v>
      </c>
      <c r="B135" s="116"/>
      <c r="C135" s="116"/>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18">
        <f t="shared" si="11"/>
        <v>0</v>
      </c>
    </row>
    <row r="136" spans="1:25" x14ac:dyDescent="0.3">
      <c r="A136" s="116" t="str">
        <f>IF(Inputs!$A47="","",Inputs!$A47)</f>
        <v/>
      </c>
      <c r="B136" s="116"/>
      <c r="C136" s="116"/>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18">
        <f t="shared" si="11"/>
        <v>0</v>
      </c>
    </row>
    <row r="137" spans="1:25" x14ac:dyDescent="0.3">
      <c r="A137" s="116" t="str">
        <f>IF(Inputs!$A48="","",Inputs!$A48)</f>
        <v/>
      </c>
      <c r="B137" s="116"/>
      <c r="C137" s="116"/>
      <c r="D137" s="121"/>
      <c r="E137" s="121"/>
      <c r="F137" s="121"/>
      <c r="G137" s="121"/>
      <c r="H137" s="121"/>
      <c r="I137" s="121"/>
      <c r="J137" s="121"/>
      <c r="K137" s="121"/>
      <c r="L137" s="121"/>
      <c r="M137" s="121"/>
      <c r="N137" s="121"/>
      <c r="O137" s="121"/>
      <c r="P137" s="121"/>
      <c r="Q137" s="121"/>
      <c r="R137" s="121"/>
      <c r="S137" s="121"/>
      <c r="T137" s="121"/>
      <c r="U137" s="121"/>
      <c r="V137" s="121"/>
      <c r="W137" s="121"/>
      <c r="X137" s="121"/>
      <c r="Y137" s="118">
        <f t="shared" si="11"/>
        <v>0</v>
      </c>
    </row>
    <row r="138" spans="1:25" x14ac:dyDescent="0.3">
      <c r="A138" s="116" t="str">
        <f>IF(Inputs!$A49="","",Inputs!$A49)</f>
        <v/>
      </c>
      <c r="B138" s="116"/>
      <c r="C138" s="116"/>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18">
        <f t="shared" si="11"/>
        <v>0</v>
      </c>
    </row>
    <row r="139" spans="1:25" x14ac:dyDescent="0.3">
      <c r="A139" s="116" t="str">
        <f>IF(Inputs!$A50="","",Inputs!$A50)</f>
        <v/>
      </c>
      <c r="B139" s="116"/>
      <c r="C139" s="116"/>
      <c r="D139" s="121"/>
      <c r="E139" s="121"/>
      <c r="F139" s="121"/>
      <c r="G139" s="121"/>
      <c r="H139" s="121"/>
      <c r="I139" s="121"/>
      <c r="J139" s="121"/>
      <c r="K139" s="121"/>
      <c r="L139" s="121"/>
      <c r="M139" s="121"/>
      <c r="N139" s="121"/>
      <c r="O139" s="121"/>
      <c r="P139" s="121"/>
      <c r="Q139" s="121"/>
      <c r="R139" s="121"/>
      <c r="S139" s="121"/>
      <c r="T139" s="121"/>
      <c r="U139" s="121"/>
      <c r="V139" s="121"/>
      <c r="W139" s="121"/>
      <c r="X139" s="121"/>
      <c r="Y139" s="118">
        <f t="shared" si="11"/>
        <v>0</v>
      </c>
    </row>
    <row r="140" spans="1:25" x14ac:dyDescent="0.3">
      <c r="A140" s="116" t="str">
        <f>IF(Inputs!$A51="","",Inputs!$A51)</f>
        <v/>
      </c>
      <c r="B140" s="116"/>
      <c r="C140" s="116"/>
      <c r="D140" s="121"/>
      <c r="E140" s="121"/>
      <c r="F140" s="121"/>
      <c r="G140" s="121"/>
      <c r="H140" s="121"/>
      <c r="I140" s="121"/>
      <c r="J140" s="121"/>
      <c r="K140" s="121"/>
      <c r="L140" s="121"/>
      <c r="M140" s="121"/>
      <c r="N140" s="121"/>
      <c r="O140" s="121"/>
      <c r="P140" s="121"/>
      <c r="Q140" s="121"/>
      <c r="R140" s="121"/>
      <c r="S140" s="121"/>
      <c r="T140" s="121"/>
      <c r="U140" s="121"/>
      <c r="V140" s="121"/>
      <c r="W140" s="121"/>
      <c r="X140" s="121"/>
      <c r="Y140" s="118">
        <f t="shared" si="11"/>
        <v>0</v>
      </c>
    </row>
    <row r="141" spans="1:25" x14ac:dyDescent="0.3">
      <c r="A141" s="116" t="str">
        <f>IF(Inputs!$A52="","",Inputs!$A52)</f>
        <v/>
      </c>
      <c r="B141" s="116"/>
      <c r="C141" s="116"/>
      <c r="D141" s="121"/>
      <c r="E141" s="121"/>
      <c r="F141" s="121"/>
      <c r="G141" s="121"/>
      <c r="H141" s="121"/>
      <c r="I141" s="121"/>
      <c r="J141" s="121"/>
      <c r="K141" s="121"/>
      <c r="L141" s="121"/>
      <c r="M141" s="121"/>
      <c r="N141" s="121"/>
      <c r="O141" s="121"/>
      <c r="P141" s="121"/>
      <c r="Q141" s="121"/>
      <c r="R141" s="121"/>
      <c r="S141" s="121"/>
      <c r="T141" s="121"/>
      <c r="U141" s="121"/>
      <c r="V141" s="121"/>
      <c r="W141" s="121"/>
      <c r="X141" s="121"/>
      <c r="Y141" s="118">
        <f t="shared" si="11"/>
        <v>0</v>
      </c>
    </row>
    <row r="142" spans="1:25" x14ac:dyDescent="0.3">
      <c r="A142" s="116" t="str">
        <f>IF(Inputs!$A53="","",Inputs!$A53)</f>
        <v/>
      </c>
      <c r="B142" s="116"/>
      <c r="C142" s="116"/>
      <c r="D142" s="121"/>
      <c r="E142" s="121"/>
      <c r="F142" s="121"/>
      <c r="G142" s="121"/>
      <c r="H142" s="121"/>
      <c r="I142" s="121"/>
      <c r="J142" s="121"/>
      <c r="K142" s="121"/>
      <c r="L142" s="121"/>
      <c r="M142" s="121"/>
      <c r="N142" s="121"/>
      <c r="O142" s="121"/>
      <c r="P142" s="121"/>
      <c r="Q142" s="121"/>
      <c r="R142" s="121"/>
      <c r="S142" s="121"/>
      <c r="T142" s="121"/>
      <c r="U142" s="121"/>
      <c r="V142" s="121"/>
      <c r="W142" s="121"/>
      <c r="X142" s="121"/>
      <c r="Y142" s="118">
        <f t="shared" si="11"/>
        <v>0</v>
      </c>
    </row>
    <row r="143" spans="1:25" x14ac:dyDescent="0.3">
      <c r="A143" s="116" t="str">
        <f>IF(Inputs!$A54="","",Inputs!$A54)</f>
        <v/>
      </c>
      <c r="B143" s="116"/>
      <c r="C143" s="116"/>
      <c r="D143" s="121"/>
      <c r="E143" s="121"/>
      <c r="F143" s="121"/>
      <c r="G143" s="121"/>
      <c r="H143" s="121"/>
      <c r="I143" s="121"/>
      <c r="J143" s="121"/>
      <c r="K143" s="121"/>
      <c r="L143" s="121"/>
      <c r="M143" s="121"/>
      <c r="N143" s="121"/>
      <c r="O143" s="121"/>
      <c r="P143" s="121"/>
      <c r="Q143" s="121"/>
      <c r="R143" s="121"/>
      <c r="S143" s="121"/>
      <c r="T143" s="121"/>
      <c r="U143" s="121"/>
      <c r="V143" s="121"/>
      <c r="W143" s="121"/>
      <c r="X143" s="121"/>
      <c r="Y143" s="118">
        <f t="shared" si="11"/>
        <v>0</v>
      </c>
    </row>
    <row r="144" spans="1:25" x14ac:dyDescent="0.3">
      <c r="A144" s="116" t="str">
        <f>IF(Inputs!$A55="","",Inputs!$A55)</f>
        <v/>
      </c>
      <c r="B144" s="116"/>
      <c r="C144" s="116"/>
      <c r="D144" s="121"/>
      <c r="E144" s="121"/>
      <c r="F144" s="121"/>
      <c r="G144" s="121"/>
      <c r="H144" s="121"/>
      <c r="I144" s="121"/>
      <c r="J144" s="121"/>
      <c r="K144" s="121"/>
      <c r="L144" s="121"/>
      <c r="M144" s="121"/>
      <c r="N144" s="121"/>
      <c r="O144" s="121"/>
      <c r="P144" s="121"/>
      <c r="Q144" s="121"/>
      <c r="R144" s="121"/>
      <c r="S144" s="121"/>
      <c r="T144" s="121"/>
      <c r="U144" s="121"/>
      <c r="V144" s="121"/>
      <c r="W144" s="121"/>
      <c r="X144" s="121"/>
      <c r="Y144" s="118">
        <f t="shared" si="11"/>
        <v>0</v>
      </c>
    </row>
    <row r="145" spans="1:25" x14ac:dyDescent="0.3">
      <c r="A145" s="116" t="str">
        <f>IF(Inputs!$A56="","",Inputs!$A56)</f>
        <v/>
      </c>
      <c r="B145" s="116"/>
      <c r="C145" s="116"/>
      <c r="D145" s="121"/>
      <c r="E145" s="121"/>
      <c r="F145" s="121"/>
      <c r="G145" s="121"/>
      <c r="H145" s="121"/>
      <c r="I145" s="121"/>
      <c r="J145" s="121"/>
      <c r="K145" s="121"/>
      <c r="L145" s="121"/>
      <c r="M145" s="121"/>
      <c r="N145" s="121"/>
      <c r="O145" s="121"/>
      <c r="P145" s="121"/>
      <c r="Q145" s="121"/>
      <c r="R145" s="121"/>
      <c r="S145" s="121"/>
      <c r="T145" s="121"/>
      <c r="U145" s="121"/>
      <c r="V145" s="121"/>
      <c r="W145" s="121"/>
      <c r="X145" s="121"/>
      <c r="Y145" s="118">
        <f t="shared" si="11"/>
        <v>0</v>
      </c>
    </row>
    <row r="146" spans="1:25" x14ac:dyDescent="0.3">
      <c r="A146" s="116" t="str">
        <f>IF(Inputs!$A57="","",Inputs!$A57)</f>
        <v/>
      </c>
      <c r="B146" s="116"/>
      <c r="C146" s="116"/>
      <c r="D146" s="121"/>
      <c r="E146" s="121"/>
      <c r="F146" s="121"/>
      <c r="G146" s="121"/>
      <c r="H146" s="121"/>
      <c r="I146" s="121"/>
      <c r="J146" s="121"/>
      <c r="K146" s="121"/>
      <c r="L146" s="121"/>
      <c r="M146" s="121"/>
      <c r="N146" s="121"/>
      <c r="O146" s="121"/>
      <c r="P146" s="121"/>
      <c r="Q146" s="121"/>
      <c r="R146" s="121"/>
      <c r="S146" s="121"/>
      <c r="T146" s="121"/>
      <c r="U146" s="121"/>
      <c r="V146" s="121"/>
      <c r="W146" s="121"/>
      <c r="X146" s="121"/>
      <c r="Y146" s="118">
        <f t="shared" si="11"/>
        <v>0</v>
      </c>
    </row>
    <row r="147" spans="1:25" x14ac:dyDescent="0.3">
      <c r="A147" s="116" t="str">
        <f>IF(Inputs!$A58="","",Inputs!$A58)</f>
        <v/>
      </c>
      <c r="B147" s="116"/>
      <c r="C147" s="116"/>
      <c r="D147" s="121"/>
      <c r="E147" s="121"/>
      <c r="F147" s="121"/>
      <c r="G147" s="121"/>
      <c r="H147" s="121"/>
      <c r="I147" s="121"/>
      <c r="J147" s="121"/>
      <c r="K147" s="121"/>
      <c r="L147" s="121"/>
      <c r="M147" s="121"/>
      <c r="N147" s="121"/>
      <c r="O147" s="121"/>
      <c r="P147" s="121"/>
      <c r="Q147" s="121"/>
      <c r="R147" s="121"/>
      <c r="S147" s="121"/>
      <c r="T147" s="121"/>
      <c r="U147" s="121"/>
      <c r="V147" s="121"/>
      <c r="W147" s="121"/>
      <c r="X147" s="121"/>
      <c r="Y147" s="118">
        <f t="shared" si="11"/>
        <v>0</v>
      </c>
    </row>
    <row r="148" spans="1:25" ht="19.95" customHeight="1" x14ac:dyDescent="0.3">
      <c r="A148" s="116" t="str">
        <f>IF(Inputs!$A59="","",Inputs!$A59)</f>
        <v/>
      </c>
      <c r="B148" s="116"/>
      <c r="C148" s="116"/>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18">
        <f t="shared" si="11"/>
        <v>0</v>
      </c>
    </row>
    <row r="149" spans="1:25" x14ac:dyDescent="0.3">
      <c r="A149" s="116" t="str">
        <f>IF(Inputs!$A60="","",Inputs!$A60)</f>
        <v/>
      </c>
      <c r="B149" s="116"/>
      <c r="C149" s="116"/>
      <c r="D149" s="121"/>
      <c r="E149" s="121"/>
      <c r="F149" s="121"/>
      <c r="G149" s="121"/>
      <c r="H149" s="121"/>
      <c r="I149" s="121"/>
      <c r="J149" s="121"/>
      <c r="K149" s="121"/>
      <c r="L149" s="121"/>
      <c r="M149" s="121"/>
      <c r="N149" s="121"/>
      <c r="O149" s="121"/>
      <c r="P149" s="121"/>
      <c r="Q149" s="121"/>
      <c r="R149" s="121"/>
      <c r="S149" s="121"/>
      <c r="T149" s="121"/>
      <c r="U149" s="121"/>
      <c r="V149" s="121"/>
      <c r="W149" s="121"/>
      <c r="X149" s="121"/>
      <c r="Y149" s="118">
        <f t="shared" si="11"/>
        <v>0</v>
      </c>
    </row>
    <row r="150" spans="1:25" x14ac:dyDescent="0.3">
      <c r="A150" s="116" t="str">
        <f>IF(Inputs!$A61="","",Inputs!$A61)</f>
        <v/>
      </c>
      <c r="B150" s="116"/>
      <c r="C150" s="116"/>
      <c r="D150" s="121"/>
      <c r="E150" s="121"/>
      <c r="F150" s="121"/>
      <c r="G150" s="121"/>
      <c r="H150" s="121"/>
      <c r="I150" s="121"/>
      <c r="J150" s="121"/>
      <c r="K150" s="121"/>
      <c r="L150" s="121"/>
      <c r="M150" s="121"/>
      <c r="N150" s="121"/>
      <c r="O150" s="121"/>
      <c r="P150" s="121"/>
      <c r="Q150" s="121"/>
      <c r="R150" s="121"/>
      <c r="S150" s="121"/>
      <c r="T150" s="121"/>
      <c r="U150" s="121"/>
      <c r="V150" s="121"/>
      <c r="W150" s="121"/>
      <c r="X150" s="121"/>
      <c r="Y150" s="118">
        <f t="shared" si="11"/>
        <v>0</v>
      </c>
    </row>
    <row r="151" spans="1:25" x14ac:dyDescent="0.3">
      <c r="A151" s="116" t="str">
        <f>IF(Inputs!$A62="","",Inputs!$A62)</f>
        <v/>
      </c>
      <c r="B151" s="116"/>
      <c r="C151" s="116"/>
      <c r="D151" s="121"/>
      <c r="E151" s="121"/>
      <c r="F151" s="121"/>
      <c r="G151" s="121"/>
      <c r="H151" s="121"/>
      <c r="I151" s="121"/>
      <c r="J151" s="121"/>
      <c r="K151" s="121"/>
      <c r="L151" s="121"/>
      <c r="M151" s="121"/>
      <c r="N151" s="121"/>
      <c r="O151" s="121"/>
      <c r="P151" s="121"/>
      <c r="Q151" s="121"/>
      <c r="R151" s="121"/>
      <c r="S151" s="121"/>
      <c r="T151" s="121"/>
      <c r="U151" s="121"/>
      <c r="V151" s="121"/>
      <c r="W151" s="121"/>
      <c r="X151" s="121"/>
      <c r="Y151" s="118">
        <f t="shared" si="11"/>
        <v>0</v>
      </c>
    </row>
    <row r="152" spans="1:25" x14ac:dyDescent="0.3">
      <c r="A152" s="116" t="str">
        <f>IF(Inputs!$A63="","",Inputs!$A63)</f>
        <v/>
      </c>
      <c r="B152" s="116"/>
      <c r="C152" s="116"/>
      <c r="D152" s="121"/>
      <c r="E152" s="121"/>
      <c r="F152" s="121"/>
      <c r="G152" s="121"/>
      <c r="H152" s="121"/>
      <c r="I152" s="121"/>
      <c r="J152" s="121"/>
      <c r="K152" s="121"/>
      <c r="L152" s="121"/>
      <c r="M152" s="121"/>
      <c r="N152" s="121"/>
      <c r="O152" s="121"/>
      <c r="P152" s="121"/>
      <c r="Q152" s="121"/>
      <c r="R152" s="121"/>
      <c r="S152" s="121"/>
      <c r="T152" s="121"/>
      <c r="U152" s="121"/>
      <c r="V152" s="121"/>
      <c r="W152" s="121"/>
      <c r="X152" s="121"/>
      <c r="Y152" s="118">
        <f t="shared" si="11"/>
        <v>0</v>
      </c>
    </row>
    <row r="153" spans="1:25" x14ac:dyDescent="0.3">
      <c r="A153" s="116" t="str">
        <f>IF(Inputs!$A64="","",Inputs!$A64)</f>
        <v/>
      </c>
      <c r="B153" s="116"/>
      <c r="C153" s="116"/>
      <c r="D153" s="121"/>
      <c r="E153" s="121"/>
      <c r="F153" s="121"/>
      <c r="G153" s="121"/>
      <c r="H153" s="121"/>
      <c r="I153" s="121"/>
      <c r="J153" s="121"/>
      <c r="K153" s="121"/>
      <c r="L153" s="121"/>
      <c r="M153" s="121"/>
      <c r="N153" s="121"/>
      <c r="O153" s="121"/>
      <c r="P153" s="121"/>
      <c r="Q153" s="121"/>
      <c r="R153" s="121"/>
      <c r="S153" s="121"/>
      <c r="T153" s="121"/>
      <c r="U153" s="121"/>
      <c r="V153" s="121"/>
      <c r="W153" s="121"/>
      <c r="X153" s="121"/>
      <c r="Y153" s="118">
        <f t="shared" si="11"/>
        <v>0</v>
      </c>
    </row>
    <row r="154" spans="1:25" x14ac:dyDescent="0.3">
      <c r="A154" s="116" t="str">
        <f>IF(Inputs!$A65="","",Inputs!$A65)</f>
        <v/>
      </c>
      <c r="B154" s="116"/>
      <c r="C154" s="116"/>
      <c r="D154" s="121"/>
      <c r="E154" s="121"/>
      <c r="F154" s="121"/>
      <c r="G154" s="121"/>
      <c r="H154" s="121"/>
      <c r="I154" s="121"/>
      <c r="J154" s="121"/>
      <c r="K154" s="121"/>
      <c r="L154" s="121"/>
      <c r="M154" s="121"/>
      <c r="N154" s="121"/>
      <c r="O154" s="121"/>
      <c r="P154" s="121"/>
      <c r="Q154" s="121"/>
      <c r="R154" s="121"/>
      <c r="S154" s="121"/>
      <c r="T154" s="121"/>
      <c r="U154" s="121"/>
      <c r="V154" s="121"/>
      <c r="W154" s="121"/>
      <c r="X154" s="121"/>
      <c r="Y154" s="118">
        <f t="shared" si="11"/>
        <v>0</v>
      </c>
    </row>
    <row r="155" spans="1:25" x14ac:dyDescent="0.3">
      <c r="A155" s="116" t="str">
        <f>IF(Inputs!$A66="","",Inputs!$A66)</f>
        <v/>
      </c>
      <c r="B155" s="116"/>
      <c r="C155" s="116"/>
      <c r="D155" s="121"/>
      <c r="E155" s="121"/>
      <c r="F155" s="121"/>
      <c r="G155" s="121"/>
      <c r="H155" s="121"/>
      <c r="I155" s="121"/>
      <c r="J155" s="121"/>
      <c r="K155" s="121"/>
      <c r="L155" s="121"/>
      <c r="M155" s="121"/>
      <c r="N155" s="121"/>
      <c r="O155" s="121"/>
      <c r="P155" s="121"/>
      <c r="Q155" s="121"/>
      <c r="R155" s="121"/>
      <c r="S155" s="121"/>
      <c r="T155" s="121"/>
      <c r="U155" s="121"/>
      <c r="V155" s="121"/>
      <c r="W155" s="121"/>
      <c r="X155" s="121"/>
      <c r="Y155" s="118">
        <f t="shared" si="11"/>
        <v>0</v>
      </c>
    </row>
    <row r="156" spans="1:25" x14ac:dyDescent="0.3">
      <c r="A156" s="116" t="str">
        <f>IF(Inputs!$A67="","",Inputs!$A67)</f>
        <v/>
      </c>
      <c r="B156" s="116"/>
      <c r="C156" s="116"/>
      <c r="D156" s="121"/>
      <c r="E156" s="121"/>
      <c r="F156" s="121"/>
      <c r="G156" s="121"/>
      <c r="H156" s="121"/>
      <c r="I156" s="121"/>
      <c r="J156" s="121"/>
      <c r="K156" s="121"/>
      <c r="L156" s="121"/>
      <c r="M156" s="121"/>
      <c r="N156" s="121"/>
      <c r="O156" s="121"/>
      <c r="P156" s="121"/>
      <c r="Q156" s="121"/>
      <c r="R156" s="121"/>
      <c r="S156" s="121"/>
      <c r="T156" s="121"/>
      <c r="U156" s="121"/>
      <c r="V156" s="121"/>
      <c r="W156" s="121"/>
      <c r="X156" s="121"/>
      <c r="Y156" s="118">
        <f t="shared" si="11"/>
        <v>0</v>
      </c>
    </row>
    <row r="157" spans="1:25" x14ac:dyDescent="0.3">
      <c r="A157" s="116" t="str">
        <f>IF(Inputs!$A68="","",Inputs!$A68)</f>
        <v/>
      </c>
      <c r="B157" s="116"/>
      <c r="C157" s="116"/>
      <c r="D157" s="121"/>
      <c r="E157" s="121"/>
      <c r="F157" s="121"/>
      <c r="G157" s="121"/>
      <c r="H157" s="121"/>
      <c r="I157" s="121"/>
      <c r="J157" s="121"/>
      <c r="K157" s="121"/>
      <c r="L157" s="121"/>
      <c r="M157" s="121"/>
      <c r="N157" s="121"/>
      <c r="O157" s="121"/>
      <c r="P157" s="121"/>
      <c r="Q157" s="121"/>
      <c r="R157" s="121"/>
      <c r="S157" s="121"/>
      <c r="T157" s="121"/>
      <c r="U157" s="121"/>
      <c r="V157" s="121"/>
      <c r="W157" s="121"/>
      <c r="X157" s="121"/>
      <c r="Y157" s="118">
        <f t="shared" si="11"/>
        <v>0</v>
      </c>
    </row>
    <row r="158" spans="1:25" x14ac:dyDescent="0.3">
      <c r="A158" s="116" t="str">
        <f>IF(Inputs!$A69="","",Inputs!$A69)</f>
        <v/>
      </c>
      <c r="B158" s="116"/>
      <c r="C158" s="116"/>
      <c r="D158" s="121"/>
      <c r="E158" s="121"/>
      <c r="F158" s="121"/>
      <c r="G158" s="121"/>
      <c r="H158" s="121"/>
      <c r="I158" s="121"/>
      <c r="J158" s="121"/>
      <c r="K158" s="121"/>
      <c r="L158" s="121"/>
      <c r="M158" s="121"/>
      <c r="N158" s="121"/>
      <c r="O158" s="121"/>
      <c r="P158" s="121"/>
      <c r="Q158" s="121"/>
      <c r="R158" s="121"/>
      <c r="S158" s="121"/>
      <c r="T158" s="121"/>
      <c r="U158" s="121"/>
      <c r="V158" s="121"/>
      <c r="W158" s="121"/>
      <c r="X158" s="121"/>
      <c r="Y158" s="118">
        <f t="shared" si="11"/>
        <v>0</v>
      </c>
    </row>
    <row r="159" spans="1:25" x14ac:dyDescent="0.3">
      <c r="A159" s="116" t="str">
        <f>IF(Inputs!$A70="","",Inputs!$A70)</f>
        <v/>
      </c>
      <c r="B159" s="116"/>
      <c r="C159" s="116"/>
      <c r="D159" s="121"/>
      <c r="E159" s="121"/>
      <c r="F159" s="121"/>
      <c r="G159" s="121"/>
      <c r="H159" s="121"/>
      <c r="I159" s="121"/>
      <c r="J159" s="121"/>
      <c r="K159" s="121"/>
      <c r="L159" s="121"/>
      <c r="M159" s="121"/>
      <c r="N159" s="121"/>
      <c r="O159" s="121"/>
      <c r="P159" s="121"/>
      <c r="Q159" s="121"/>
      <c r="R159" s="121"/>
      <c r="S159" s="121"/>
      <c r="T159" s="121"/>
      <c r="U159" s="121"/>
      <c r="V159" s="121"/>
      <c r="W159" s="121"/>
      <c r="X159" s="121"/>
      <c r="Y159" s="118">
        <f t="shared" ref="Y159:Y174" si="12">SUM(D159:X159)</f>
        <v>0</v>
      </c>
    </row>
    <row r="160" spans="1:25" x14ac:dyDescent="0.3">
      <c r="A160" s="116" t="str">
        <f>IF(Inputs!$A71="","",Inputs!$A71)</f>
        <v/>
      </c>
      <c r="B160" s="116"/>
      <c r="C160" s="116"/>
      <c r="D160" s="121"/>
      <c r="E160" s="121"/>
      <c r="F160" s="121"/>
      <c r="G160" s="121"/>
      <c r="H160" s="121"/>
      <c r="I160" s="121"/>
      <c r="J160" s="121"/>
      <c r="K160" s="121"/>
      <c r="L160" s="121"/>
      <c r="M160" s="121"/>
      <c r="N160" s="121"/>
      <c r="O160" s="121"/>
      <c r="P160" s="121"/>
      <c r="Q160" s="121"/>
      <c r="R160" s="121"/>
      <c r="S160" s="121"/>
      <c r="T160" s="121"/>
      <c r="U160" s="121"/>
      <c r="V160" s="121"/>
      <c r="W160" s="121"/>
      <c r="X160" s="121"/>
      <c r="Y160" s="118">
        <f t="shared" si="12"/>
        <v>0</v>
      </c>
    </row>
    <row r="161" spans="1:25" x14ac:dyDescent="0.3">
      <c r="A161" s="116" t="str">
        <f>IF(Inputs!$A72="","",Inputs!$A72)</f>
        <v/>
      </c>
      <c r="B161" s="116"/>
      <c r="C161" s="116"/>
      <c r="D161" s="121"/>
      <c r="E161" s="121"/>
      <c r="F161" s="121"/>
      <c r="G161" s="121"/>
      <c r="H161" s="121"/>
      <c r="I161" s="121"/>
      <c r="J161" s="121"/>
      <c r="K161" s="121"/>
      <c r="L161" s="121"/>
      <c r="M161" s="121"/>
      <c r="N161" s="121"/>
      <c r="O161" s="121"/>
      <c r="P161" s="121"/>
      <c r="Q161" s="121"/>
      <c r="R161" s="121"/>
      <c r="S161" s="121"/>
      <c r="T161" s="121"/>
      <c r="U161" s="121"/>
      <c r="V161" s="121"/>
      <c r="W161" s="121"/>
      <c r="X161" s="121"/>
      <c r="Y161" s="118">
        <f t="shared" si="12"/>
        <v>0</v>
      </c>
    </row>
    <row r="162" spans="1:25" x14ac:dyDescent="0.3">
      <c r="A162" s="116" t="str">
        <f>IF(Inputs!$A73="","",Inputs!$A73)</f>
        <v/>
      </c>
      <c r="B162" s="116"/>
      <c r="C162" s="116"/>
      <c r="D162" s="121"/>
      <c r="E162" s="121"/>
      <c r="F162" s="121"/>
      <c r="G162" s="121"/>
      <c r="H162" s="121"/>
      <c r="I162" s="121"/>
      <c r="J162" s="121"/>
      <c r="K162" s="121"/>
      <c r="L162" s="121"/>
      <c r="M162" s="121"/>
      <c r="N162" s="121"/>
      <c r="O162" s="121"/>
      <c r="P162" s="121"/>
      <c r="Q162" s="121"/>
      <c r="R162" s="121"/>
      <c r="S162" s="121"/>
      <c r="T162" s="121"/>
      <c r="U162" s="121"/>
      <c r="V162" s="121"/>
      <c r="W162" s="121"/>
      <c r="X162" s="121"/>
      <c r="Y162" s="118">
        <f t="shared" si="12"/>
        <v>0</v>
      </c>
    </row>
    <row r="163" spans="1:25" x14ac:dyDescent="0.3">
      <c r="A163" s="116" t="str">
        <f>IF(Inputs!$A74="","",Inputs!$A74)</f>
        <v/>
      </c>
      <c r="B163" s="116"/>
      <c r="C163" s="116"/>
      <c r="D163" s="121"/>
      <c r="E163" s="121"/>
      <c r="F163" s="121"/>
      <c r="G163" s="121"/>
      <c r="H163" s="121"/>
      <c r="I163" s="121"/>
      <c r="J163" s="121"/>
      <c r="K163" s="121"/>
      <c r="L163" s="121"/>
      <c r="M163" s="121"/>
      <c r="N163" s="121"/>
      <c r="O163" s="121"/>
      <c r="P163" s="121"/>
      <c r="Q163" s="121"/>
      <c r="R163" s="121"/>
      <c r="S163" s="121"/>
      <c r="T163" s="121"/>
      <c r="U163" s="121"/>
      <c r="V163" s="121"/>
      <c r="W163" s="121"/>
      <c r="X163" s="121"/>
      <c r="Y163" s="118">
        <f t="shared" si="12"/>
        <v>0</v>
      </c>
    </row>
    <row r="164" spans="1:25" x14ac:dyDescent="0.3">
      <c r="A164" s="116" t="str">
        <f>IF(Inputs!$A75="","",Inputs!$A75)</f>
        <v/>
      </c>
      <c r="B164" s="116"/>
      <c r="C164" s="116"/>
      <c r="D164" s="121"/>
      <c r="E164" s="121"/>
      <c r="F164" s="121"/>
      <c r="G164" s="121"/>
      <c r="H164" s="121"/>
      <c r="I164" s="121"/>
      <c r="J164" s="121"/>
      <c r="K164" s="121"/>
      <c r="L164" s="121"/>
      <c r="M164" s="121"/>
      <c r="N164" s="121"/>
      <c r="O164" s="121"/>
      <c r="P164" s="121"/>
      <c r="Q164" s="121"/>
      <c r="R164" s="121"/>
      <c r="S164" s="121"/>
      <c r="T164" s="121"/>
      <c r="U164" s="121"/>
      <c r="V164" s="121"/>
      <c r="W164" s="121"/>
      <c r="X164" s="121"/>
      <c r="Y164" s="118">
        <f t="shared" si="12"/>
        <v>0</v>
      </c>
    </row>
    <row r="165" spans="1:25" x14ac:dyDescent="0.3">
      <c r="A165" s="116" t="str">
        <f>IF(Inputs!$A76="","",Inputs!$A76)</f>
        <v/>
      </c>
      <c r="B165" s="116"/>
      <c r="C165" s="116"/>
      <c r="D165" s="121"/>
      <c r="E165" s="121"/>
      <c r="F165" s="121"/>
      <c r="G165" s="121"/>
      <c r="H165" s="121"/>
      <c r="I165" s="121"/>
      <c r="J165" s="121"/>
      <c r="K165" s="121"/>
      <c r="L165" s="121"/>
      <c r="M165" s="121"/>
      <c r="N165" s="121"/>
      <c r="O165" s="121"/>
      <c r="P165" s="121"/>
      <c r="Q165" s="121"/>
      <c r="R165" s="121"/>
      <c r="S165" s="121"/>
      <c r="T165" s="121"/>
      <c r="U165" s="121"/>
      <c r="V165" s="121"/>
      <c r="W165" s="121"/>
      <c r="X165" s="121"/>
      <c r="Y165" s="118">
        <f t="shared" si="12"/>
        <v>0</v>
      </c>
    </row>
    <row r="166" spans="1:25" x14ac:dyDescent="0.3">
      <c r="A166" s="116" t="str">
        <f>IF(Inputs!$A77="","",Inputs!$A77)</f>
        <v/>
      </c>
      <c r="B166" s="116"/>
      <c r="C166" s="116"/>
      <c r="D166" s="121"/>
      <c r="E166" s="121"/>
      <c r="F166" s="121"/>
      <c r="G166" s="121"/>
      <c r="H166" s="121"/>
      <c r="I166" s="121"/>
      <c r="J166" s="121"/>
      <c r="K166" s="121"/>
      <c r="L166" s="121"/>
      <c r="M166" s="121"/>
      <c r="N166" s="121"/>
      <c r="O166" s="121"/>
      <c r="P166" s="121"/>
      <c r="Q166" s="121"/>
      <c r="R166" s="121"/>
      <c r="S166" s="121"/>
      <c r="T166" s="121"/>
      <c r="U166" s="121"/>
      <c r="V166" s="121"/>
      <c r="W166" s="121"/>
      <c r="X166" s="121"/>
      <c r="Y166" s="118">
        <f t="shared" si="12"/>
        <v>0</v>
      </c>
    </row>
    <row r="167" spans="1:25" x14ac:dyDescent="0.3">
      <c r="A167" s="116" t="str">
        <f>IF(Inputs!$A78="","",Inputs!$A78)</f>
        <v/>
      </c>
      <c r="B167" s="116"/>
      <c r="C167" s="116"/>
      <c r="D167" s="121"/>
      <c r="E167" s="121"/>
      <c r="F167" s="121"/>
      <c r="G167" s="121"/>
      <c r="H167" s="121"/>
      <c r="I167" s="121"/>
      <c r="J167" s="121"/>
      <c r="K167" s="121"/>
      <c r="L167" s="121"/>
      <c r="M167" s="121"/>
      <c r="N167" s="121"/>
      <c r="O167" s="121"/>
      <c r="P167" s="121"/>
      <c r="Q167" s="121"/>
      <c r="R167" s="121"/>
      <c r="S167" s="121"/>
      <c r="T167" s="121"/>
      <c r="U167" s="121"/>
      <c r="V167" s="121"/>
      <c r="W167" s="121"/>
      <c r="X167" s="121"/>
      <c r="Y167" s="118">
        <f t="shared" si="12"/>
        <v>0</v>
      </c>
    </row>
    <row r="168" spans="1:25" x14ac:dyDescent="0.3">
      <c r="A168" s="116" t="str">
        <f>IF(Inputs!$A79="","",Inputs!$A79)</f>
        <v/>
      </c>
      <c r="B168" s="116"/>
      <c r="C168" s="116"/>
      <c r="D168" s="121"/>
      <c r="E168" s="121"/>
      <c r="F168" s="121"/>
      <c r="G168" s="121"/>
      <c r="H168" s="121"/>
      <c r="I168" s="121"/>
      <c r="J168" s="121"/>
      <c r="K168" s="121"/>
      <c r="L168" s="121"/>
      <c r="M168" s="121"/>
      <c r="N168" s="121"/>
      <c r="O168" s="121"/>
      <c r="P168" s="121"/>
      <c r="Q168" s="121"/>
      <c r="R168" s="121"/>
      <c r="S168" s="121"/>
      <c r="T168" s="121"/>
      <c r="U168" s="121"/>
      <c r="V168" s="121"/>
      <c r="W168" s="121"/>
      <c r="X168" s="121"/>
      <c r="Y168" s="118">
        <f t="shared" si="12"/>
        <v>0</v>
      </c>
    </row>
    <row r="169" spans="1:25" x14ac:dyDescent="0.3">
      <c r="A169" s="116" t="str">
        <f>IF(Inputs!$A80="","",Inputs!$A80)</f>
        <v/>
      </c>
      <c r="B169" s="116"/>
      <c r="C169" s="116"/>
      <c r="D169" s="121"/>
      <c r="E169" s="121"/>
      <c r="F169" s="121"/>
      <c r="G169" s="121"/>
      <c r="H169" s="121"/>
      <c r="I169" s="121"/>
      <c r="J169" s="121"/>
      <c r="K169" s="121"/>
      <c r="L169" s="121"/>
      <c r="M169" s="121"/>
      <c r="N169" s="121"/>
      <c r="O169" s="121"/>
      <c r="P169" s="121"/>
      <c r="Q169" s="121"/>
      <c r="R169" s="121"/>
      <c r="S169" s="121"/>
      <c r="T169" s="121"/>
      <c r="U169" s="121"/>
      <c r="V169" s="121"/>
      <c r="W169" s="121"/>
      <c r="X169" s="121"/>
      <c r="Y169" s="118">
        <f t="shared" si="12"/>
        <v>0</v>
      </c>
    </row>
    <row r="170" spans="1:25" x14ac:dyDescent="0.3">
      <c r="A170" s="116" t="str">
        <f>IF(Inputs!$A81="","",Inputs!$A81)</f>
        <v/>
      </c>
      <c r="B170" s="116"/>
      <c r="C170" s="116"/>
      <c r="D170" s="121"/>
      <c r="E170" s="121"/>
      <c r="F170" s="121"/>
      <c r="G170" s="121"/>
      <c r="H170" s="121"/>
      <c r="I170" s="121"/>
      <c r="J170" s="121"/>
      <c r="K170" s="121"/>
      <c r="L170" s="121"/>
      <c r="M170" s="121"/>
      <c r="N170" s="121"/>
      <c r="O170" s="121"/>
      <c r="P170" s="121"/>
      <c r="Q170" s="121"/>
      <c r="R170" s="121"/>
      <c r="S170" s="121"/>
      <c r="T170" s="121"/>
      <c r="U170" s="121"/>
      <c r="V170" s="121"/>
      <c r="W170" s="121"/>
      <c r="X170" s="121"/>
      <c r="Y170" s="118">
        <f t="shared" si="12"/>
        <v>0</v>
      </c>
    </row>
    <row r="171" spans="1:25" x14ac:dyDescent="0.3">
      <c r="A171" s="116" t="str">
        <f>IF(Inputs!$A82="","",Inputs!$A82)</f>
        <v/>
      </c>
      <c r="B171" s="116"/>
      <c r="C171" s="116"/>
      <c r="D171" s="121"/>
      <c r="E171" s="121"/>
      <c r="F171" s="121"/>
      <c r="G171" s="121"/>
      <c r="H171" s="121"/>
      <c r="I171" s="121"/>
      <c r="J171" s="121"/>
      <c r="K171" s="121"/>
      <c r="L171" s="121"/>
      <c r="M171" s="121"/>
      <c r="N171" s="121"/>
      <c r="O171" s="121"/>
      <c r="P171" s="121"/>
      <c r="Q171" s="121"/>
      <c r="R171" s="121"/>
      <c r="S171" s="121"/>
      <c r="T171" s="121"/>
      <c r="U171" s="121"/>
      <c r="V171" s="121"/>
      <c r="W171" s="121"/>
      <c r="X171" s="121"/>
      <c r="Y171" s="118">
        <f t="shared" si="12"/>
        <v>0</v>
      </c>
    </row>
    <row r="172" spans="1:25" x14ac:dyDescent="0.3">
      <c r="A172" s="116" t="str">
        <f>IF(Inputs!$A83="","",Inputs!$A83)</f>
        <v/>
      </c>
      <c r="B172" s="116"/>
      <c r="C172" s="116"/>
      <c r="D172" s="121"/>
      <c r="E172" s="121"/>
      <c r="F172" s="121"/>
      <c r="G172" s="121"/>
      <c r="H172" s="121"/>
      <c r="I172" s="121"/>
      <c r="J172" s="121"/>
      <c r="K172" s="121"/>
      <c r="L172" s="121"/>
      <c r="M172" s="121"/>
      <c r="N172" s="121"/>
      <c r="O172" s="121"/>
      <c r="P172" s="121"/>
      <c r="Q172" s="121"/>
      <c r="R172" s="121"/>
      <c r="S172" s="121"/>
      <c r="T172" s="121"/>
      <c r="U172" s="121"/>
      <c r="V172" s="121"/>
      <c r="W172" s="121"/>
      <c r="X172" s="121"/>
      <c r="Y172" s="118">
        <f t="shared" si="12"/>
        <v>0</v>
      </c>
    </row>
    <row r="173" spans="1:25" ht="19.95" customHeight="1" x14ac:dyDescent="0.3">
      <c r="A173" s="116" t="str">
        <f>IF(Inputs!$A84="","",Inputs!$A84)</f>
        <v/>
      </c>
      <c r="B173" s="116"/>
      <c r="C173" s="116"/>
      <c r="D173" s="121"/>
      <c r="E173" s="121"/>
      <c r="F173" s="121"/>
      <c r="G173" s="121"/>
      <c r="H173" s="121"/>
      <c r="I173" s="121"/>
      <c r="J173" s="121"/>
      <c r="K173" s="121"/>
      <c r="L173" s="121"/>
      <c r="M173" s="121"/>
      <c r="N173" s="121"/>
      <c r="O173" s="121"/>
      <c r="P173" s="121"/>
      <c r="Q173" s="121"/>
      <c r="R173" s="121"/>
      <c r="S173" s="121"/>
      <c r="T173" s="121"/>
      <c r="U173" s="121"/>
      <c r="V173" s="121"/>
      <c r="W173" s="121"/>
      <c r="X173" s="121"/>
      <c r="Y173" s="118">
        <f t="shared" si="12"/>
        <v>0</v>
      </c>
    </row>
    <row r="174" spans="1:25" x14ac:dyDescent="0.3">
      <c r="A174" s="116" t="str">
        <f>IF(Inputs!$A85="","",Inputs!$A85)</f>
        <v/>
      </c>
      <c r="B174" s="116"/>
      <c r="C174" s="116"/>
      <c r="D174" s="121"/>
      <c r="E174" s="121"/>
      <c r="F174" s="121"/>
      <c r="G174" s="121"/>
      <c r="H174" s="121"/>
      <c r="I174" s="121"/>
      <c r="J174" s="121"/>
      <c r="K174" s="121"/>
      <c r="L174" s="121"/>
      <c r="M174" s="121"/>
      <c r="N174" s="121"/>
      <c r="O174" s="121"/>
      <c r="P174" s="121"/>
      <c r="Q174" s="121"/>
      <c r="R174" s="121"/>
      <c r="S174" s="121"/>
      <c r="T174" s="121"/>
      <c r="U174" s="121"/>
      <c r="V174" s="121"/>
      <c r="W174" s="121"/>
      <c r="X174" s="121"/>
      <c r="Y174" s="118">
        <f t="shared" si="12"/>
        <v>0</v>
      </c>
    </row>
    <row r="175" spans="1:25" x14ac:dyDescent="0.3">
      <c r="A175" s="119" t="s">
        <v>45</v>
      </c>
      <c r="B175" s="119"/>
      <c r="C175" s="119"/>
      <c r="D175" s="120">
        <f t="shared" ref="D175:Y175" si="13">SUM(D95:D174)</f>
        <v>0</v>
      </c>
      <c r="E175" s="120">
        <f t="shared" si="13"/>
        <v>0</v>
      </c>
      <c r="F175" s="120">
        <f t="shared" si="13"/>
        <v>0</v>
      </c>
      <c r="G175" s="120">
        <f t="shared" si="13"/>
        <v>0</v>
      </c>
      <c r="H175" s="120">
        <f t="shared" si="13"/>
        <v>0</v>
      </c>
      <c r="I175" s="120">
        <f t="shared" si="13"/>
        <v>0</v>
      </c>
      <c r="J175" s="120">
        <f t="shared" si="13"/>
        <v>0</v>
      </c>
      <c r="K175" s="120">
        <f t="shared" si="13"/>
        <v>0</v>
      </c>
      <c r="L175" s="120">
        <f t="shared" si="13"/>
        <v>0</v>
      </c>
      <c r="M175" s="120">
        <f t="shared" si="13"/>
        <v>0</v>
      </c>
      <c r="N175" s="120">
        <f t="shared" si="13"/>
        <v>0</v>
      </c>
      <c r="O175" s="120">
        <f t="shared" si="13"/>
        <v>0</v>
      </c>
      <c r="P175" s="120">
        <f t="shared" si="13"/>
        <v>0</v>
      </c>
      <c r="Q175" s="120">
        <f t="shared" si="13"/>
        <v>0</v>
      </c>
      <c r="R175" s="120">
        <f t="shared" si="13"/>
        <v>0</v>
      </c>
      <c r="S175" s="120">
        <f t="shared" si="13"/>
        <v>0</v>
      </c>
      <c r="T175" s="120">
        <f t="shared" si="13"/>
        <v>0</v>
      </c>
      <c r="U175" s="120">
        <f t="shared" si="13"/>
        <v>0</v>
      </c>
      <c r="V175" s="120">
        <f t="shared" si="13"/>
        <v>0</v>
      </c>
      <c r="W175" s="120">
        <f t="shared" si="13"/>
        <v>0</v>
      </c>
      <c r="X175" s="120">
        <f t="shared" si="13"/>
        <v>0</v>
      </c>
      <c r="Y175" s="120">
        <f t="shared" si="13"/>
        <v>0</v>
      </c>
    </row>
    <row r="178" spans="1:25" ht="19.95" customHeight="1" x14ac:dyDescent="0.3">
      <c r="A178" s="300" t="s">
        <v>57</v>
      </c>
      <c r="B178" s="300"/>
      <c r="C178" s="300"/>
      <c r="D178" s="300"/>
      <c r="E178" s="300"/>
      <c r="F178" s="300"/>
      <c r="G178" s="300"/>
      <c r="H178" s="300"/>
      <c r="I178" s="300"/>
      <c r="J178" s="300"/>
      <c r="K178" s="300"/>
      <c r="L178" s="300"/>
      <c r="M178" s="300"/>
      <c r="N178" s="300"/>
      <c r="O178" s="300"/>
      <c r="P178" s="300"/>
      <c r="Q178" s="300"/>
      <c r="R178" s="300"/>
      <c r="S178" s="300"/>
      <c r="T178" s="300"/>
      <c r="U178" s="300"/>
      <c r="V178" s="300"/>
      <c r="W178" s="300"/>
      <c r="X178" s="300"/>
      <c r="Y178" s="300"/>
    </row>
    <row r="179" spans="1:25" x14ac:dyDescent="0.3">
      <c r="A179" s="114" t="s">
        <v>35</v>
      </c>
      <c r="B179" s="115"/>
      <c r="C179" s="115"/>
      <c r="D179" s="115" t="str">
        <f t="shared" ref="D179:X179" si="14">D$4</f>
        <v>Opening</v>
      </c>
      <c r="E179" s="115" t="str">
        <f t="shared" si="14"/>
        <v>Q1-24</v>
      </c>
      <c r="F179" s="115" t="str">
        <f t="shared" si="14"/>
        <v>Q2-24</v>
      </c>
      <c r="G179" s="115" t="str">
        <f t="shared" si="14"/>
        <v>Q3-24</v>
      </c>
      <c r="H179" s="115" t="str">
        <f t="shared" si="14"/>
        <v>Q4-24</v>
      </c>
      <c r="I179" s="115" t="str">
        <f t="shared" si="14"/>
        <v>Q1-25</v>
      </c>
      <c r="J179" s="115" t="str">
        <f t="shared" si="14"/>
        <v>Q2-25</v>
      </c>
      <c r="K179" s="115" t="str">
        <f t="shared" si="14"/>
        <v>Q3-25</v>
      </c>
      <c r="L179" s="115" t="str">
        <f t="shared" si="14"/>
        <v>Q4-25</v>
      </c>
      <c r="M179" s="115" t="str">
        <f t="shared" si="14"/>
        <v>Q1-26</v>
      </c>
      <c r="N179" s="115" t="str">
        <f t="shared" si="14"/>
        <v>Q2-26</v>
      </c>
      <c r="O179" s="115" t="str">
        <f t="shared" si="14"/>
        <v>Q3-26</v>
      </c>
      <c r="P179" s="115" t="str">
        <f t="shared" si="14"/>
        <v>Q4-26</v>
      </c>
      <c r="Q179" s="115" t="str">
        <f t="shared" si="14"/>
        <v>Q1-27</v>
      </c>
      <c r="R179" s="115" t="str">
        <f t="shared" si="14"/>
        <v>Q2-27</v>
      </c>
      <c r="S179" s="115" t="str">
        <f t="shared" si="14"/>
        <v>Q3-27</v>
      </c>
      <c r="T179" s="115" t="str">
        <f t="shared" si="14"/>
        <v>Q4-27</v>
      </c>
      <c r="U179" s="115" t="str">
        <f t="shared" si="14"/>
        <v>Q1-28</v>
      </c>
      <c r="V179" s="115" t="str">
        <f t="shared" si="14"/>
        <v>Q2-28</v>
      </c>
      <c r="W179" s="115" t="str">
        <f t="shared" si="14"/>
        <v>Q3-28</v>
      </c>
      <c r="X179" s="115" t="str">
        <f t="shared" si="14"/>
        <v>Q4-28</v>
      </c>
      <c r="Y179" s="115" t="s">
        <v>4</v>
      </c>
    </row>
    <row r="180" spans="1:25" x14ac:dyDescent="0.3">
      <c r="A180" s="116" t="str">
        <f>IF(Inputs!$A6="","",Inputs!$A6)</f>
        <v>N25178-0100D</v>
      </c>
      <c r="B180" s="116"/>
      <c r="C180" s="116"/>
      <c r="D180" s="118">
        <f t="shared" ref="D180:X180" si="15">IF(D95="",D10,D95)</f>
        <v>0</v>
      </c>
      <c r="E180" s="118">
        <f t="shared" si="15"/>
        <v>0</v>
      </c>
      <c r="F180" s="118">
        <f t="shared" si="15"/>
        <v>0</v>
      </c>
      <c r="G180" s="118">
        <f t="shared" si="15"/>
        <v>0</v>
      </c>
      <c r="H180" s="118">
        <f t="shared" si="15"/>
        <v>0</v>
      </c>
      <c r="I180" s="118">
        <f t="shared" si="15"/>
        <v>0</v>
      </c>
      <c r="J180" s="118">
        <f t="shared" si="15"/>
        <v>0</v>
      </c>
      <c r="K180" s="118">
        <f t="shared" si="15"/>
        <v>0</v>
      </c>
      <c r="L180" s="118">
        <f t="shared" si="15"/>
        <v>0</v>
      </c>
      <c r="M180" s="118">
        <f t="shared" si="15"/>
        <v>0</v>
      </c>
      <c r="N180" s="118">
        <f t="shared" si="15"/>
        <v>0</v>
      </c>
      <c r="O180" s="118">
        <f t="shared" si="15"/>
        <v>2.4</v>
      </c>
      <c r="P180" s="118">
        <f t="shared" si="15"/>
        <v>0</v>
      </c>
      <c r="Q180" s="118">
        <f t="shared" si="15"/>
        <v>0</v>
      </c>
      <c r="R180" s="118">
        <f t="shared" si="15"/>
        <v>0</v>
      </c>
      <c r="S180" s="118">
        <f t="shared" si="15"/>
        <v>0</v>
      </c>
      <c r="T180" s="118">
        <f t="shared" si="15"/>
        <v>0</v>
      </c>
      <c r="U180" s="118">
        <f t="shared" si="15"/>
        <v>0</v>
      </c>
      <c r="V180" s="118">
        <f t="shared" si="15"/>
        <v>0</v>
      </c>
      <c r="W180" s="118">
        <f t="shared" si="15"/>
        <v>0</v>
      </c>
      <c r="X180" s="118">
        <f t="shared" si="15"/>
        <v>0</v>
      </c>
      <c r="Y180" s="118">
        <f t="shared" ref="Y180:Y211" si="16">SUM(D180:X180)</f>
        <v>2.4</v>
      </c>
    </row>
    <row r="181" spans="1:25" x14ac:dyDescent="0.3">
      <c r="A181" s="116" t="str">
        <f>IF(Inputs!$A7="","",Inputs!$A7)</f>
        <v>E26084-0100D</v>
      </c>
      <c r="B181" s="116"/>
      <c r="C181" s="116"/>
      <c r="D181" s="118">
        <f t="shared" ref="D181:X181" si="17">IF(D96="",D11,D96)</f>
        <v>0</v>
      </c>
      <c r="E181" s="118">
        <f t="shared" si="17"/>
        <v>0</v>
      </c>
      <c r="F181" s="118">
        <f t="shared" si="17"/>
        <v>0</v>
      </c>
      <c r="G181" s="118">
        <f t="shared" si="17"/>
        <v>0</v>
      </c>
      <c r="H181" s="118">
        <f t="shared" si="17"/>
        <v>0</v>
      </c>
      <c r="I181" s="118">
        <f t="shared" si="17"/>
        <v>0</v>
      </c>
      <c r="J181" s="118">
        <f t="shared" si="17"/>
        <v>0</v>
      </c>
      <c r="K181" s="118">
        <f t="shared" si="17"/>
        <v>0.60393873085339167</v>
      </c>
      <c r="L181" s="118">
        <f t="shared" si="17"/>
        <v>0.60393873085339167</v>
      </c>
      <c r="M181" s="118">
        <f t="shared" si="17"/>
        <v>0.5908096280087527</v>
      </c>
      <c r="N181" s="118">
        <f t="shared" si="17"/>
        <v>0.59737417943107218</v>
      </c>
      <c r="O181" s="118">
        <f t="shared" si="17"/>
        <v>0.60393873085339167</v>
      </c>
      <c r="P181" s="118">
        <f t="shared" si="17"/>
        <v>0</v>
      </c>
      <c r="Q181" s="118">
        <f t="shared" si="17"/>
        <v>0</v>
      </c>
      <c r="R181" s="118">
        <f t="shared" si="17"/>
        <v>0</v>
      </c>
      <c r="S181" s="118">
        <f t="shared" si="17"/>
        <v>0</v>
      </c>
      <c r="T181" s="118">
        <f t="shared" si="17"/>
        <v>0</v>
      </c>
      <c r="U181" s="118">
        <f t="shared" si="17"/>
        <v>0</v>
      </c>
      <c r="V181" s="118">
        <f t="shared" si="17"/>
        <v>0</v>
      </c>
      <c r="W181" s="118">
        <f t="shared" si="17"/>
        <v>0</v>
      </c>
      <c r="X181" s="118">
        <f t="shared" si="17"/>
        <v>0</v>
      </c>
      <c r="Y181" s="118">
        <f t="shared" si="16"/>
        <v>3</v>
      </c>
    </row>
    <row r="182" spans="1:25" x14ac:dyDescent="0.3">
      <c r="A182" s="116" t="str">
        <f>IF(Inputs!$A8="","",Inputs!$A8)</f>
        <v>N25185-0100D</v>
      </c>
      <c r="B182" s="116"/>
      <c r="C182" s="116"/>
      <c r="D182" s="118">
        <f t="shared" ref="D182:X182" si="18">IF(D97="",D12,D97)</f>
        <v>0</v>
      </c>
      <c r="E182" s="118">
        <f t="shared" si="18"/>
        <v>0</v>
      </c>
      <c r="F182" s="118">
        <f t="shared" si="18"/>
        <v>0</v>
      </c>
      <c r="G182" s="118">
        <f t="shared" si="18"/>
        <v>0</v>
      </c>
      <c r="H182" s="118">
        <f t="shared" si="18"/>
        <v>0</v>
      </c>
      <c r="I182" s="118">
        <f t="shared" si="18"/>
        <v>0</v>
      </c>
      <c r="J182" s="118">
        <f t="shared" si="18"/>
        <v>0</v>
      </c>
      <c r="K182" s="118">
        <f t="shared" si="18"/>
        <v>0</v>
      </c>
      <c r="L182" s="118">
        <f t="shared" si="18"/>
        <v>5.2341356673960613</v>
      </c>
      <c r="M182" s="118">
        <f t="shared" si="18"/>
        <v>5.1203501094091903</v>
      </c>
      <c r="N182" s="118">
        <f t="shared" si="18"/>
        <v>5.1772428884026258</v>
      </c>
      <c r="O182" s="118">
        <f t="shared" si="18"/>
        <v>5.2341356673960613</v>
      </c>
      <c r="P182" s="118">
        <f t="shared" si="18"/>
        <v>5.2341356673960613</v>
      </c>
      <c r="Q182" s="118">
        <f t="shared" si="18"/>
        <v>0</v>
      </c>
      <c r="R182" s="118">
        <f t="shared" si="18"/>
        <v>0</v>
      </c>
      <c r="S182" s="118">
        <f t="shared" si="18"/>
        <v>0</v>
      </c>
      <c r="T182" s="118">
        <f t="shared" si="18"/>
        <v>0</v>
      </c>
      <c r="U182" s="118">
        <f t="shared" si="18"/>
        <v>0</v>
      </c>
      <c r="V182" s="118">
        <f t="shared" si="18"/>
        <v>0</v>
      </c>
      <c r="W182" s="118">
        <f t="shared" si="18"/>
        <v>0</v>
      </c>
      <c r="X182" s="118">
        <f t="shared" si="18"/>
        <v>0</v>
      </c>
      <c r="Y182" s="118">
        <f t="shared" si="16"/>
        <v>26</v>
      </c>
    </row>
    <row r="183" spans="1:25" x14ac:dyDescent="0.3">
      <c r="A183" s="116" t="str">
        <f>IF(Inputs!$A9="","",Inputs!$A9)</f>
        <v>AN22137-0100D</v>
      </c>
      <c r="B183" s="116"/>
      <c r="C183" s="116"/>
      <c r="D183" s="118">
        <f t="shared" ref="D183:X183" si="19">IF(D98="",D13,D98)</f>
        <v>0</v>
      </c>
      <c r="E183" s="118">
        <f t="shared" si="19"/>
        <v>0</v>
      </c>
      <c r="F183" s="118">
        <f t="shared" si="19"/>
        <v>0</v>
      </c>
      <c r="G183" s="118">
        <f t="shared" si="19"/>
        <v>0</v>
      </c>
      <c r="H183" s="118">
        <f t="shared" si="19"/>
        <v>0</v>
      </c>
      <c r="I183" s="118">
        <f t="shared" si="19"/>
        <v>0</v>
      </c>
      <c r="J183" s="118">
        <f t="shared" si="19"/>
        <v>0</v>
      </c>
      <c r="K183" s="118">
        <f t="shared" si="19"/>
        <v>0</v>
      </c>
      <c r="L183" s="118">
        <f t="shared" si="19"/>
        <v>0</v>
      </c>
      <c r="M183" s="118">
        <f t="shared" si="19"/>
        <v>0</v>
      </c>
      <c r="N183" s="118">
        <f t="shared" si="19"/>
        <v>0</v>
      </c>
      <c r="O183" s="118">
        <f t="shared" si="19"/>
        <v>0</v>
      </c>
      <c r="P183" s="118">
        <f t="shared" si="19"/>
        <v>0</v>
      </c>
      <c r="Q183" s="118">
        <f t="shared" si="19"/>
        <v>0.61559507523939805</v>
      </c>
      <c r="R183" s="118">
        <f t="shared" si="19"/>
        <v>0.62243502051983579</v>
      </c>
      <c r="S183" s="118">
        <f t="shared" si="19"/>
        <v>0.62927496580027364</v>
      </c>
      <c r="T183" s="118">
        <f t="shared" si="19"/>
        <v>0.62927496580027364</v>
      </c>
      <c r="U183" s="118">
        <f t="shared" si="19"/>
        <v>0.62243502051983579</v>
      </c>
      <c r="V183" s="118">
        <f t="shared" si="19"/>
        <v>0.62243502051983579</v>
      </c>
      <c r="W183" s="118">
        <f t="shared" si="19"/>
        <v>0.62927496580027364</v>
      </c>
      <c r="X183" s="118">
        <f t="shared" si="19"/>
        <v>0.62927496580027364</v>
      </c>
      <c r="Y183" s="118">
        <f t="shared" si="16"/>
        <v>5</v>
      </c>
    </row>
    <row r="184" spans="1:25" x14ac:dyDescent="0.3">
      <c r="A184" s="116" t="str">
        <f>IF(Inputs!$A10="","",Inputs!$A10)</f>
        <v>D26058-0100D</v>
      </c>
      <c r="B184" s="116"/>
      <c r="C184" s="116"/>
      <c r="D184" s="118">
        <f t="shared" ref="D184:X184" si="20">IF(D99="",D14,D99)</f>
        <v>0</v>
      </c>
      <c r="E184" s="118">
        <f t="shared" si="20"/>
        <v>0</v>
      </c>
      <c r="F184" s="118">
        <f t="shared" si="20"/>
        <v>0</v>
      </c>
      <c r="G184" s="118">
        <f t="shared" si="20"/>
        <v>0</v>
      </c>
      <c r="H184" s="118">
        <f t="shared" si="20"/>
        <v>0</v>
      </c>
      <c r="I184" s="118">
        <f t="shared" si="20"/>
        <v>0</v>
      </c>
      <c r="J184" s="118">
        <f t="shared" si="20"/>
        <v>0</v>
      </c>
      <c r="K184" s="118">
        <f t="shared" si="20"/>
        <v>0</v>
      </c>
      <c r="L184" s="118">
        <f t="shared" si="20"/>
        <v>0</v>
      </c>
      <c r="M184" s="118">
        <f t="shared" si="20"/>
        <v>0</v>
      </c>
      <c r="N184" s="118">
        <f t="shared" si="20"/>
        <v>0</v>
      </c>
      <c r="O184" s="118">
        <f t="shared" si="20"/>
        <v>0.62927496580027364</v>
      </c>
      <c r="P184" s="118">
        <f t="shared" si="20"/>
        <v>0.62927496580027364</v>
      </c>
      <c r="Q184" s="118">
        <f t="shared" si="20"/>
        <v>0.61559507523939805</v>
      </c>
      <c r="R184" s="118">
        <f t="shared" si="20"/>
        <v>0.62243502051983579</v>
      </c>
      <c r="S184" s="118">
        <f t="shared" si="20"/>
        <v>0.62927496580027364</v>
      </c>
      <c r="T184" s="118">
        <f t="shared" si="20"/>
        <v>0.62927496580027364</v>
      </c>
      <c r="U184" s="118">
        <f t="shared" si="20"/>
        <v>0.62243502051983579</v>
      </c>
      <c r="V184" s="118">
        <f t="shared" si="20"/>
        <v>0.62243502051983579</v>
      </c>
      <c r="W184" s="118">
        <f t="shared" si="20"/>
        <v>0</v>
      </c>
      <c r="X184" s="118">
        <f t="shared" si="20"/>
        <v>0</v>
      </c>
      <c r="Y184" s="118">
        <f t="shared" si="16"/>
        <v>5</v>
      </c>
    </row>
    <row r="185" spans="1:25" x14ac:dyDescent="0.3">
      <c r="A185" s="116" t="str">
        <f>IF(Inputs!$A11="","",Inputs!$A11)</f>
        <v xml:space="preserve">AD24217-0100D </v>
      </c>
      <c r="B185" s="116"/>
      <c r="C185" s="116"/>
      <c r="D185" s="118">
        <f t="shared" ref="D185:X185" si="21">IF(D100="",D15,D100)</f>
        <v>0</v>
      </c>
      <c r="E185" s="118">
        <f t="shared" si="21"/>
        <v>0</v>
      </c>
      <c r="F185" s="118">
        <f t="shared" si="21"/>
        <v>0</v>
      </c>
      <c r="G185" s="118">
        <f t="shared" si="21"/>
        <v>0</v>
      </c>
      <c r="H185" s="118">
        <f t="shared" si="21"/>
        <v>0</v>
      </c>
      <c r="I185" s="118">
        <f t="shared" si="21"/>
        <v>0</v>
      </c>
      <c r="J185" s="118">
        <f t="shared" si="21"/>
        <v>1.4516129032258065</v>
      </c>
      <c r="K185" s="118">
        <f t="shared" si="21"/>
        <v>1.5483870967741935</v>
      </c>
      <c r="L185" s="118">
        <f t="shared" si="21"/>
        <v>0</v>
      </c>
      <c r="M185" s="118">
        <f t="shared" si="21"/>
        <v>0</v>
      </c>
      <c r="N185" s="118">
        <f t="shared" si="21"/>
        <v>0</v>
      </c>
      <c r="O185" s="118">
        <f t="shared" si="21"/>
        <v>0</v>
      </c>
      <c r="P185" s="118">
        <f t="shared" si="21"/>
        <v>0</v>
      </c>
      <c r="Q185" s="118">
        <f t="shared" si="21"/>
        <v>0</v>
      </c>
      <c r="R185" s="118">
        <f t="shared" si="21"/>
        <v>0</v>
      </c>
      <c r="S185" s="118">
        <f t="shared" si="21"/>
        <v>0</v>
      </c>
      <c r="T185" s="118">
        <f t="shared" si="21"/>
        <v>0</v>
      </c>
      <c r="U185" s="118">
        <f t="shared" si="21"/>
        <v>0</v>
      </c>
      <c r="V185" s="118">
        <f t="shared" si="21"/>
        <v>0</v>
      </c>
      <c r="W185" s="118">
        <f t="shared" si="21"/>
        <v>0</v>
      </c>
      <c r="X185" s="118">
        <f t="shared" si="21"/>
        <v>0</v>
      </c>
      <c r="Y185" s="118">
        <f t="shared" si="16"/>
        <v>3</v>
      </c>
    </row>
    <row r="186" spans="1:25" x14ac:dyDescent="0.3">
      <c r="A186" s="116" t="str">
        <f>IF(Inputs!$A12="","",Inputs!$A12)</f>
        <v>AN23207-0500D</v>
      </c>
      <c r="B186" s="116"/>
      <c r="C186" s="116"/>
      <c r="D186" s="118">
        <f t="shared" ref="D186:X186" si="22">IF(D101="",D16,D101)</f>
        <v>0</v>
      </c>
      <c r="E186" s="118">
        <f t="shared" si="22"/>
        <v>0</v>
      </c>
      <c r="F186" s="118">
        <f t="shared" si="22"/>
        <v>0</v>
      </c>
      <c r="G186" s="118">
        <f t="shared" si="22"/>
        <v>0</v>
      </c>
      <c r="H186" s="118">
        <f t="shared" si="22"/>
        <v>0</v>
      </c>
      <c r="I186" s="118">
        <f t="shared" si="22"/>
        <v>0</v>
      </c>
      <c r="J186" s="118">
        <f t="shared" si="22"/>
        <v>0</v>
      </c>
      <c r="K186" s="118">
        <f t="shared" si="22"/>
        <v>0</v>
      </c>
      <c r="L186" s="118">
        <f t="shared" si="22"/>
        <v>0</v>
      </c>
      <c r="M186" s="118">
        <f t="shared" si="22"/>
        <v>1.1499999999999999</v>
      </c>
      <c r="N186" s="118">
        <f t="shared" si="22"/>
        <v>0</v>
      </c>
      <c r="O186" s="118">
        <f t="shared" si="22"/>
        <v>0</v>
      </c>
      <c r="P186" s="118">
        <f t="shared" si="22"/>
        <v>0</v>
      </c>
      <c r="Q186" s="118">
        <f t="shared" si="22"/>
        <v>0</v>
      </c>
      <c r="R186" s="118">
        <f t="shared" si="22"/>
        <v>0</v>
      </c>
      <c r="S186" s="118">
        <f t="shared" si="22"/>
        <v>0</v>
      </c>
      <c r="T186" s="118">
        <f t="shared" si="22"/>
        <v>0</v>
      </c>
      <c r="U186" s="118">
        <f t="shared" si="22"/>
        <v>0</v>
      </c>
      <c r="V186" s="118">
        <f t="shared" si="22"/>
        <v>0</v>
      </c>
      <c r="W186" s="118">
        <f t="shared" si="22"/>
        <v>0</v>
      </c>
      <c r="X186" s="118">
        <f t="shared" si="22"/>
        <v>0</v>
      </c>
      <c r="Y186" s="118">
        <f t="shared" si="16"/>
        <v>1.1499999999999999</v>
      </c>
    </row>
    <row r="187" spans="1:25" x14ac:dyDescent="0.3">
      <c r="A187" s="116" t="str">
        <f>IF(Inputs!$A13="","",Inputs!$A13)</f>
        <v>AN23276-0100D</v>
      </c>
      <c r="B187" s="116"/>
      <c r="C187" s="116"/>
      <c r="D187" s="118">
        <f t="shared" ref="D187:X187" si="23">IF(D102="",D17,D102)</f>
        <v>0</v>
      </c>
      <c r="E187" s="118">
        <f t="shared" si="23"/>
        <v>0</v>
      </c>
      <c r="F187" s="118">
        <f t="shared" si="23"/>
        <v>0</v>
      </c>
      <c r="G187" s="118">
        <f t="shared" si="23"/>
        <v>0.55961070559610704</v>
      </c>
      <c r="H187" s="118">
        <f t="shared" si="23"/>
        <v>0.55961070559610704</v>
      </c>
      <c r="I187" s="118">
        <f t="shared" si="23"/>
        <v>0.54744525547445255</v>
      </c>
      <c r="J187" s="118">
        <f t="shared" si="23"/>
        <v>0.55352798053527985</v>
      </c>
      <c r="K187" s="118">
        <f t="shared" si="23"/>
        <v>0.55961070559610704</v>
      </c>
      <c r="L187" s="118">
        <f t="shared" si="23"/>
        <v>0.55961070559610704</v>
      </c>
      <c r="M187" s="118">
        <f t="shared" si="23"/>
        <v>0.54744525547445255</v>
      </c>
      <c r="N187" s="118">
        <f t="shared" si="23"/>
        <v>0.55352798053527985</v>
      </c>
      <c r="O187" s="118">
        <f t="shared" si="23"/>
        <v>0.55961070559610704</v>
      </c>
      <c r="P187" s="118">
        <f t="shared" si="23"/>
        <v>0</v>
      </c>
      <c r="Q187" s="118">
        <f t="shared" si="23"/>
        <v>0</v>
      </c>
      <c r="R187" s="118">
        <f t="shared" si="23"/>
        <v>0</v>
      </c>
      <c r="S187" s="118">
        <f t="shared" si="23"/>
        <v>0</v>
      </c>
      <c r="T187" s="118">
        <f t="shared" si="23"/>
        <v>0</v>
      </c>
      <c r="U187" s="118">
        <f t="shared" si="23"/>
        <v>0</v>
      </c>
      <c r="V187" s="118">
        <f t="shared" si="23"/>
        <v>0</v>
      </c>
      <c r="W187" s="118">
        <f t="shared" si="23"/>
        <v>0</v>
      </c>
      <c r="X187" s="118">
        <f t="shared" si="23"/>
        <v>0</v>
      </c>
      <c r="Y187" s="118">
        <f t="shared" si="16"/>
        <v>5</v>
      </c>
    </row>
    <row r="188" spans="1:25" x14ac:dyDescent="0.3">
      <c r="A188" s="116" t="str">
        <f>IF(Inputs!$A14="","",Inputs!$A14)</f>
        <v>AN24073-0100D</v>
      </c>
      <c r="B188" s="116"/>
      <c r="C188" s="116"/>
      <c r="D188" s="118">
        <f t="shared" ref="D188:X188" si="24">IF(D103="",D18,D103)</f>
        <v>0</v>
      </c>
      <c r="E188" s="118">
        <f t="shared" si="24"/>
        <v>0</v>
      </c>
      <c r="F188" s="118">
        <f t="shared" si="24"/>
        <v>0</v>
      </c>
      <c r="G188" s="118">
        <f t="shared" si="24"/>
        <v>0</v>
      </c>
      <c r="H188" s="118">
        <f t="shared" si="24"/>
        <v>0</v>
      </c>
      <c r="I188" s="118">
        <f t="shared" si="24"/>
        <v>0</v>
      </c>
      <c r="J188" s="118">
        <f t="shared" si="24"/>
        <v>0</v>
      </c>
      <c r="K188" s="118">
        <f t="shared" si="24"/>
        <v>0.25164113785557984</v>
      </c>
      <c r="L188" s="118">
        <f t="shared" si="24"/>
        <v>0.25164113785557984</v>
      </c>
      <c r="M188" s="118">
        <f t="shared" si="24"/>
        <v>0.24617067833698031</v>
      </c>
      <c r="N188" s="118">
        <f t="shared" si="24"/>
        <v>0.24890590809628008</v>
      </c>
      <c r="O188" s="118">
        <f t="shared" si="24"/>
        <v>0.25164113785557984</v>
      </c>
      <c r="P188" s="118">
        <f t="shared" si="24"/>
        <v>0</v>
      </c>
      <c r="Q188" s="118">
        <f t="shared" si="24"/>
        <v>0</v>
      </c>
      <c r="R188" s="118">
        <f t="shared" si="24"/>
        <v>0</v>
      </c>
      <c r="S188" s="118">
        <f t="shared" si="24"/>
        <v>0</v>
      </c>
      <c r="T188" s="118">
        <f t="shared" si="24"/>
        <v>0</v>
      </c>
      <c r="U188" s="118">
        <f t="shared" si="24"/>
        <v>0</v>
      </c>
      <c r="V188" s="118">
        <f t="shared" si="24"/>
        <v>0</v>
      </c>
      <c r="W188" s="118">
        <f t="shared" si="24"/>
        <v>0</v>
      </c>
      <c r="X188" s="118">
        <f t="shared" si="24"/>
        <v>0</v>
      </c>
      <c r="Y188" s="118">
        <f t="shared" si="16"/>
        <v>1.25</v>
      </c>
    </row>
    <row r="189" spans="1:25" x14ac:dyDescent="0.3">
      <c r="A189" s="116" t="str">
        <f>IF(Inputs!$A15="","",Inputs!$A15)</f>
        <v>AN24140-0100R</v>
      </c>
      <c r="B189" s="116"/>
      <c r="C189" s="116"/>
      <c r="D189" s="118">
        <f t="shared" ref="D189:X189" si="25">IF(D104="",D19,D104)</f>
        <v>0</v>
      </c>
      <c r="E189" s="118">
        <f t="shared" si="25"/>
        <v>0</v>
      </c>
      <c r="F189" s="118">
        <f t="shared" si="25"/>
        <v>0</v>
      </c>
      <c r="G189" s="118">
        <f t="shared" si="25"/>
        <v>0</v>
      </c>
      <c r="H189" s="118">
        <f t="shared" si="25"/>
        <v>0</v>
      </c>
      <c r="I189" s="118">
        <f t="shared" si="25"/>
        <v>8.0310880829015538E-2</v>
      </c>
      <c r="J189" s="118">
        <f t="shared" si="25"/>
        <v>0.23575129533678757</v>
      </c>
      <c r="K189" s="118">
        <f t="shared" si="25"/>
        <v>0.23834196891191708</v>
      </c>
      <c r="L189" s="118">
        <f t="shared" si="25"/>
        <v>0.23834196891191708</v>
      </c>
      <c r="M189" s="118">
        <f t="shared" si="25"/>
        <v>0.23316062176165803</v>
      </c>
      <c r="N189" s="118">
        <f t="shared" si="25"/>
        <v>0.23575129533678757</v>
      </c>
      <c r="O189" s="118">
        <f t="shared" si="25"/>
        <v>0.23834196891191708</v>
      </c>
      <c r="P189" s="118">
        <f t="shared" si="25"/>
        <v>0</v>
      </c>
      <c r="Q189" s="118">
        <f t="shared" si="25"/>
        <v>0</v>
      </c>
      <c r="R189" s="118">
        <f t="shared" si="25"/>
        <v>0</v>
      </c>
      <c r="S189" s="118">
        <f t="shared" si="25"/>
        <v>0</v>
      </c>
      <c r="T189" s="118">
        <f t="shared" si="25"/>
        <v>0</v>
      </c>
      <c r="U189" s="118">
        <f t="shared" si="25"/>
        <v>0</v>
      </c>
      <c r="V189" s="118">
        <f t="shared" si="25"/>
        <v>0</v>
      </c>
      <c r="W189" s="118">
        <f t="shared" si="25"/>
        <v>0</v>
      </c>
      <c r="X189" s="118">
        <f t="shared" si="25"/>
        <v>0</v>
      </c>
      <c r="Y189" s="118">
        <f t="shared" si="16"/>
        <v>1.4999999999999998</v>
      </c>
    </row>
    <row r="190" spans="1:25" x14ac:dyDescent="0.3">
      <c r="A190" s="116" t="str">
        <f>IF(Inputs!$A16="","",Inputs!$A16)</f>
        <v>CS24035-0100D</v>
      </c>
      <c r="B190" s="116"/>
      <c r="C190" s="116"/>
      <c r="D190" s="118">
        <f t="shared" ref="D190:X190" si="26">IF(D105="",D20,D105)</f>
        <v>0</v>
      </c>
      <c r="E190" s="118">
        <f t="shared" si="26"/>
        <v>0</v>
      </c>
      <c r="F190" s="118">
        <f t="shared" si="26"/>
        <v>0</v>
      </c>
      <c r="G190" s="118">
        <f t="shared" si="26"/>
        <v>0</v>
      </c>
      <c r="H190" s="118">
        <f t="shared" si="26"/>
        <v>0</v>
      </c>
      <c r="I190" s="118">
        <f t="shared" si="26"/>
        <v>0</v>
      </c>
      <c r="J190" s="118">
        <f t="shared" si="26"/>
        <v>0</v>
      </c>
      <c r="K190" s="118">
        <f t="shared" si="26"/>
        <v>0</v>
      </c>
      <c r="L190" s="118">
        <f t="shared" si="26"/>
        <v>0.80525164113785563</v>
      </c>
      <c r="M190" s="118">
        <f t="shared" si="26"/>
        <v>0.78774617067833697</v>
      </c>
      <c r="N190" s="118">
        <f t="shared" si="26"/>
        <v>0.79649890590809624</v>
      </c>
      <c r="O190" s="118">
        <f t="shared" si="26"/>
        <v>0.80525164113785563</v>
      </c>
      <c r="P190" s="118">
        <f t="shared" si="26"/>
        <v>0.80525164113785563</v>
      </c>
      <c r="Q190" s="118">
        <f t="shared" si="26"/>
        <v>0</v>
      </c>
      <c r="R190" s="118">
        <f t="shared" si="26"/>
        <v>0</v>
      </c>
      <c r="S190" s="118">
        <f t="shared" si="26"/>
        <v>0</v>
      </c>
      <c r="T190" s="118">
        <f t="shared" si="26"/>
        <v>0</v>
      </c>
      <c r="U190" s="118">
        <f t="shared" si="26"/>
        <v>0</v>
      </c>
      <c r="V190" s="118">
        <f t="shared" si="26"/>
        <v>0</v>
      </c>
      <c r="W190" s="118">
        <f t="shared" si="26"/>
        <v>0</v>
      </c>
      <c r="X190" s="118">
        <f t="shared" si="26"/>
        <v>0</v>
      </c>
      <c r="Y190" s="118">
        <f t="shared" si="16"/>
        <v>4</v>
      </c>
    </row>
    <row r="191" spans="1:25" x14ac:dyDescent="0.3">
      <c r="A191" s="116" t="str">
        <f>IF(Inputs!$A17="","",Inputs!$A17)</f>
        <v>E24181-0100D</v>
      </c>
      <c r="B191" s="116"/>
      <c r="C191" s="116"/>
      <c r="D191" s="118">
        <f t="shared" ref="D191:X191" si="27">IF(D106="",D21,D106)</f>
        <v>0</v>
      </c>
      <c r="E191" s="118">
        <f t="shared" si="27"/>
        <v>0</v>
      </c>
      <c r="F191" s="118">
        <f t="shared" si="27"/>
        <v>0</v>
      </c>
      <c r="G191" s="118">
        <f t="shared" si="27"/>
        <v>0.5</v>
      </c>
      <c r="H191" s="118">
        <f t="shared" si="27"/>
        <v>0</v>
      </c>
      <c r="I191" s="118">
        <f t="shared" si="27"/>
        <v>0</v>
      </c>
      <c r="J191" s="118">
        <f t="shared" si="27"/>
        <v>0</v>
      </c>
      <c r="K191" s="118">
        <f t="shared" si="27"/>
        <v>0</v>
      </c>
      <c r="L191" s="118">
        <f t="shared" si="27"/>
        <v>0</v>
      </c>
      <c r="M191" s="118">
        <f t="shared" si="27"/>
        <v>0</v>
      </c>
      <c r="N191" s="118">
        <f t="shared" si="27"/>
        <v>0</v>
      </c>
      <c r="O191" s="118">
        <f t="shared" si="27"/>
        <v>0</v>
      </c>
      <c r="P191" s="118">
        <f t="shared" si="27"/>
        <v>0</v>
      </c>
      <c r="Q191" s="118">
        <f t="shared" si="27"/>
        <v>0</v>
      </c>
      <c r="R191" s="118">
        <f t="shared" si="27"/>
        <v>0</v>
      </c>
      <c r="S191" s="118">
        <f t="shared" si="27"/>
        <v>0</v>
      </c>
      <c r="T191" s="118">
        <f t="shared" si="27"/>
        <v>0</v>
      </c>
      <c r="U191" s="118">
        <f t="shared" si="27"/>
        <v>0</v>
      </c>
      <c r="V191" s="118">
        <f t="shared" si="27"/>
        <v>0</v>
      </c>
      <c r="W191" s="118">
        <f t="shared" si="27"/>
        <v>0</v>
      </c>
      <c r="X191" s="118">
        <f t="shared" si="27"/>
        <v>0</v>
      </c>
      <c r="Y191" s="118">
        <f t="shared" si="16"/>
        <v>0.5</v>
      </c>
    </row>
    <row r="192" spans="1:25" x14ac:dyDescent="0.3">
      <c r="A192" s="116" t="str">
        <f>IF(Inputs!$A18="","",Inputs!$A18)</f>
        <v>J23152-0100D</v>
      </c>
      <c r="B192" s="116"/>
      <c r="C192" s="116"/>
      <c r="D192" s="118">
        <f t="shared" ref="D192:X192" si="28">IF(D107="",D22,D107)</f>
        <v>0</v>
      </c>
      <c r="E192" s="118">
        <f t="shared" si="28"/>
        <v>0.5</v>
      </c>
      <c r="F192" s="118">
        <f t="shared" si="28"/>
        <v>0</v>
      </c>
      <c r="G192" s="118">
        <f t="shared" si="28"/>
        <v>0</v>
      </c>
      <c r="H192" s="118">
        <f t="shared" si="28"/>
        <v>0</v>
      </c>
      <c r="I192" s="118">
        <f t="shared" si="28"/>
        <v>0</v>
      </c>
      <c r="J192" s="118">
        <f t="shared" si="28"/>
        <v>0</v>
      </c>
      <c r="K192" s="118">
        <f t="shared" si="28"/>
        <v>0</v>
      </c>
      <c r="L192" s="118">
        <f t="shared" si="28"/>
        <v>0</v>
      </c>
      <c r="M192" s="118">
        <f t="shared" si="28"/>
        <v>0</v>
      </c>
      <c r="N192" s="118">
        <f t="shared" si="28"/>
        <v>0</v>
      </c>
      <c r="O192" s="118">
        <f t="shared" si="28"/>
        <v>0</v>
      </c>
      <c r="P192" s="118">
        <f t="shared" si="28"/>
        <v>0</v>
      </c>
      <c r="Q192" s="118">
        <f t="shared" si="28"/>
        <v>0</v>
      </c>
      <c r="R192" s="118">
        <f t="shared" si="28"/>
        <v>0</v>
      </c>
      <c r="S192" s="118">
        <f t="shared" si="28"/>
        <v>0</v>
      </c>
      <c r="T192" s="118">
        <f t="shared" si="28"/>
        <v>0</v>
      </c>
      <c r="U192" s="118">
        <f t="shared" si="28"/>
        <v>0</v>
      </c>
      <c r="V192" s="118">
        <f t="shared" si="28"/>
        <v>0</v>
      </c>
      <c r="W192" s="118">
        <f t="shared" si="28"/>
        <v>0</v>
      </c>
      <c r="X192" s="118">
        <f t="shared" si="28"/>
        <v>0</v>
      </c>
      <c r="Y192" s="118">
        <f t="shared" si="16"/>
        <v>0.5</v>
      </c>
    </row>
    <row r="193" spans="1:25" x14ac:dyDescent="0.3">
      <c r="A193" s="116" t="str">
        <f>IF(Inputs!$A19="","",Inputs!$A19)</f>
        <v>Q25008-0100D</v>
      </c>
      <c r="B193" s="116"/>
      <c r="C193" s="116"/>
      <c r="D193" s="118">
        <f t="shared" ref="D193:X193" si="29">IF(D108="",D23,D108)</f>
        <v>0</v>
      </c>
      <c r="E193" s="118">
        <f t="shared" si="29"/>
        <v>0</v>
      </c>
      <c r="F193" s="118">
        <f t="shared" si="29"/>
        <v>0</v>
      </c>
      <c r="G193" s="118">
        <f t="shared" si="29"/>
        <v>0</v>
      </c>
      <c r="H193" s="118">
        <f t="shared" si="29"/>
        <v>0</v>
      </c>
      <c r="I193" s="118">
        <f t="shared" si="29"/>
        <v>0</v>
      </c>
      <c r="J193" s="118">
        <f t="shared" si="29"/>
        <v>0</v>
      </c>
      <c r="K193" s="118">
        <f t="shared" si="29"/>
        <v>0</v>
      </c>
      <c r="L193" s="118">
        <f t="shared" si="29"/>
        <v>0</v>
      </c>
      <c r="M193" s="118">
        <f t="shared" si="29"/>
        <v>2.112676056338028</v>
      </c>
      <c r="N193" s="118">
        <f t="shared" si="29"/>
        <v>2.136150234741784</v>
      </c>
      <c r="O193" s="118">
        <f t="shared" si="29"/>
        <v>0.75117370892018775</v>
      </c>
      <c r="P193" s="118">
        <f t="shared" si="29"/>
        <v>0</v>
      </c>
      <c r="Q193" s="118">
        <f t="shared" si="29"/>
        <v>0</v>
      </c>
      <c r="R193" s="118">
        <f t="shared" si="29"/>
        <v>0</v>
      </c>
      <c r="S193" s="118">
        <f t="shared" si="29"/>
        <v>0</v>
      </c>
      <c r="T193" s="118">
        <f t="shared" si="29"/>
        <v>0</v>
      </c>
      <c r="U193" s="118">
        <f t="shared" si="29"/>
        <v>0</v>
      </c>
      <c r="V193" s="118">
        <f t="shared" si="29"/>
        <v>0</v>
      </c>
      <c r="W193" s="118">
        <f t="shared" si="29"/>
        <v>0</v>
      </c>
      <c r="X193" s="118">
        <f t="shared" si="29"/>
        <v>0</v>
      </c>
      <c r="Y193" s="118">
        <f t="shared" si="16"/>
        <v>5</v>
      </c>
    </row>
    <row r="194" spans="1:25" x14ac:dyDescent="0.3">
      <c r="A194" s="116" t="str">
        <f>IF(Inputs!$A20="","",Inputs!$A20)</f>
        <v>S24014-0101D</v>
      </c>
      <c r="B194" s="116"/>
      <c r="C194" s="116"/>
      <c r="D194" s="118">
        <f t="shared" ref="D194:X194" si="30">IF(D109="",D24,D109)</f>
        <v>0</v>
      </c>
      <c r="E194" s="118">
        <f t="shared" si="30"/>
        <v>0</v>
      </c>
      <c r="F194" s="118">
        <f t="shared" si="30"/>
        <v>15.736341463414634</v>
      </c>
      <c r="G194" s="118">
        <f t="shared" si="30"/>
        <v>5.5336585365853654</v>
      </c>
      <c r="H194" s="118">
        <f t="shared" si="30"/>
        <v>0</v>
      </c>
      <c r="I194" s="118">
        <f t="shared" si="30"/>
        <v>0</v>
      </c>
      <c r="J194" s="118">
        <f t="shared" si="30"/>
        <v>0</v>
      </c>
      <c r="K194" s="118">
        <f t="shared" si="30"/>
        <v>0</v>
      </c>
      <c r="L194" s="118">
        <f t="shared" si="30"/>
        <v>0</v>
      </c>
      <c r="M194" s="118">
        <f t="shared" si="30"/>
        <v>0</v>
      </c>
      <c r="N194" s="118">
        <f t="shared" si="30"/>
        <v>0</v>
      </c>
      <c r="O194" s="118">
        <f t="shared" si="30"/>
        <v>0</v>
      </c>
      <c r="P194" s="118">
        <f t="shared" si="30"/>
        <v>0</v>
      </c>
      <c r="Q194" s="118">
        <f t="shared" si="30"/>
        <v>0</v>
      </c>
      <c r="R194" s="118">
        <f t="shared" si="30"/>
        <v>0</v>
      </c>
      <c r="S194" s="118">
        <f t="shared" si="30"/>
        <v>0</v>
      </c>
      <c r="T194" s="118">
        <f t="shared" si="30"/>
        <v>0</v>
      </c>
      <c r="U194" s="118">
        <f t="shared" si="30"/>
        <v>0</v>
      </c>
      <c r="V194" s="118">
        <f t="shared" si="30"/>
        <v>0</v>
      </c>
      <c r="W194" s="118">
        <f t="shared" si="30"/>
        <v>0</v>
      </c>
      <c r="X194" s="118">
        <f t="shared" si="30"/>
        <v>0</v>
      </c>
      <c r="Y194" s="118">
        <f t="shared" si="16"/>
        <v>21.27</v>
      </c>
    </row>
    <row r="195" spans="1:25" x14ac:dyDescent="0.3">
      <c r="A195" s="116" t="str">
        <f>IF(Inputs!$A21="","",Inputs!$A21)</f>
        <v>S24014-0102D</v>
      </c>
      <c r="B195" s="116"/>
      <c r="C195" s="116"/>
      <c r="D195" s="118">
        <f t="shared" ref="D195:X195" si="31">IF(D110="",D25,D110)</f>
        <v>0</v>
      </c>
      <c r="E195" s="118">
        <f t="shared" si="31"/>
        <v>0</v>
      </c>
      <c r="F195" s="118">
        <f t="shared" si="31"/>
        <v>0</v>
      </c>
      <c r="G195" s="118">
        <f t="shared" si="31"/>
        <v>0.57873417721518983</v>
      </c>
      <c r="H195" s="118">
        <f t="shared" si="31"/>
        <v>1.7747848101265822</v>
      </c>
      <c r="I195" s="118">
        <f t="shared" si="31"/>
        <v>1.7362025316455696</v>
      </c>
      <c r="J195" s="118">
        <f t="shared" si="31"/>
        <v>1.7554936708860758</v>
      </c>
      <c r="K195" s="118">
        <f t="shared" si="31"/>
        <v>1.7747848101265822</v>
      </c>
      <c r="L195" s="118">
        <f t="shared" si="31"/>
        <v>0</v>
      </c>
      <c r="M195" s="118">
        <f t="shared" si="31"/>
        <v>0</v>
      </c>
      <c r="N195" s="118">
        <f t="shared" si="31"/>
        <v>0</v>
      </c>
      <c r="O195" s="118">
        <f t="shared" si="31"/>
        <v>0</v>
      </c>
      <c r="P195" s="118">
        <f t="shared" si="31"/>
        <v>0</v>
      </c>
      <c r="Q195" s="118">
        <f t="shared" si="31"/>
        <v>0</v>
      </c>
      <c r="R195" s="118">
        <f t="shared" si="31"/>
        <v>0</v>
      </c>
      <c r="S195" s="118">
        <f t="shared" si="31"/>
        <v>0</v>
      </c>
      <c r="T195" s="118">
        <f t="shared" si="31"/>
        <v>0</v>
      </c>
      <c r="U195" s="118">
        <f t="shared" si="31"/>
        <v>0</v>
      </c>
      <c r="V195" s="118">
        <f t="shared" si="31"/>
        <v>0</v>
      </c>
      <c r="W195" s="118">
        <f t="shared" si="31"/>
        <v>0</v>
      </c>
      <c r="X195" s="118">
        <f t="shared" si="31"/>
        <v>0</v>
      </c>
      <c r="Y195" s="118">
        <f t="shared" si="16"/>
        <v>7.62</v>
      </c>
    </row>
    <row r="196" spans="1:25" x14ac:dyDescent="0.3">
      <c r="A196" s="116" t="str">
        <f>IF(Inputs!$A22="","",Inputs!$A22)</f>
        <v>S24014-0103D</v>
      </c>
      <c r="B196" s="116"/>
      <c r="C196" s="116"/>
      <c r="D196" s="118">
        <f t="shared" ref="D196:X196" si="32">IF(D111="",D26,D111)</f>
        <v>0</v>
      </c>
      <c r="E196" s="118">
        <f t="shared" si="32"/>
        <v>0</v>
      </c>
      <c r="F196" s="118">
        <f t="shared" si="32"/>
        <v>0</v>
      </c>
      <c r="G196" s="118">
        <f t="shared" si="32"/>
        <v>0.48303797468354431</v>
      </c>
      <c r="H196" s="118">
        <f t="shared" si="32"/>
        <v>1.4813164556962026</v>
      </c>
      <c r="I196" s="118">
        <f t="shared" si="32"/>
        <v>1.4491139240506328</v>
      </c>
      <c r="J196" s="118">
        <f t="shared" si="32"/>
        <v>1.4652151898734176</v>
      </c>
      <c r="K196" s="118">
        <f t="shared" si="32"/>
        <v>1.4813164556962026</v>
      </c>
      <c r="L196" s="118">
        <f t="shared" si="32"/>
        <v>0</v>
      </c>
      <c r="M196" s="118">
        <f t="shared" si="32"/>
        <v>0</v>
      </c>
      <c r="N196" s="118">
        <f t="shared" si="32"/>
        <v>0</v>
      </c>
      <c r="O196" s="118">
        <f t="shared" si="32"/>
        <v>0</v>
      </c>
      <c r="P196" s="118">
        <f t="shared" si="32"/>
        <v>0</v>
      </c>
      <c r="Q196" s="118">
        <f t="shared" si="32"/>
        <v>0</v>
      </c>
      <c r="R196" s="118">
        <f t="shared" si="32"/>
        <v>0</v>
      </c>
      <c r="S196" s="118">
        <f t="shared" si="32"/>
        <v>0</v>
      </c>
      <c r="T196" s="118">
        <f t="shared" si="32"/>
        <v>0</v>
      </c>
      <c r="U196" s="118">
        <f t="shared" si="32"/>
        <v>0</v>
      </c>
      <c r="V196" s="118">
        <f t="shared" si="32"/>
        <v>0</v>
      </c>
      <c r="W196" s="118">
        <f t="shared" si="32"/>
        <v>0</v>
      </c>
      <c r="X196" s="118">
        <f t="shared" si="32"/>
        <v>0</v>
      </c>
      <c r="Y196" s="118">
        <f t="shared" si="16"/>
        <v>6.3599999999999994</v>
      </c>
    </row>
    <row r="197" spans="1:25" x14ac:dyDescent="0.3">
      <c r="A197" s="116" t="str">
        <f>IF(Inputs!$A23="","",Inputs!$A23)</f>
        <v>S24014-0104D</v>
      </c>
      <c r="B197" s="116"/>
      <c r="C197" s="116"/>
      <c r="D197" s="118">
        <f t="shared" ref="D197:X197" si="33">IF(D112="",D27,D112)</f>
        <v>0</v>
      </c>
      <c r="E197" s="118">
        <f t="shared" si="33"/>
        <v>0</v>
      </c>
      <c r="F197" s="118">
        <f t="shared" si="33"/>
        <v>0</v>
      </c>
      <c r="G197" s="118">
        <f t="shared" si="33"/>
        <v>0.91367088607594926</v>
      </c>
      <c r="H197" s="118">
        <f t="shared" si="33"/>
        <v>2.8019240506329113</v>
      </c>
      <c r="I197" s="118">
        <f t="shared" si="33"/>
        <v>2.7410126582278482</v>
      </c>
      <c r="J197" s="118">
        <f t="shared" si="33"/>
        <v>2.7714683544303798</v>
      </c>
      <c r="K197" s="118">
        <f t="shared" si="33"/>
        <v>2.8019240506329113</v>
      </c>
      <c r="L197" s="118">
        <f t="shared" si="33"/>
        <v>0</v>
      </c>
      <c r="M197" s="118">
        <f t="shared" si="33"/>
        <v>0</v>
      </c>
      <c r="N197" s="118">
        <f t="shared" si="33"/>
        <v>0</v>
      </c>
      <c r="O197" s="118">
        <f t="shared" si="33"/>
        <v>0</v>
      </c>
      <c r="P197" s="118">
        <f t="shared" si="33"/>
        <v>0</v>
      </c>
      <c r="Q197" s="118">
        <f t="shared" si="33"/>
        <v>0</v>
      </c>
      <c r="R197" s="118">
        <f t="shared" si="33"/>
        <v>0</v>
      </c>
      <c r="S197" s="118">
        <f t="shared" si="33"/>
        <v>0</v>
      </c>
      <c r="T197" s="118">
        <f t="shared" si="33"/>
        <v>0</v>
      </c>
      <c r="U197" s="118">
        <f t="shared" si="33"/>
        <v>0</v>
      </c>
      <c r="V197" s="118">
        <f t="shared" si="33"/>
        <v>0</v>
      </c>
      <c r="W197" s="118">
        <f t="shared" si="33"/>
        <v>0</v>
      </c>
      <c r="X197" s="118">
        <f t="shared" si="33"/>
        <v>0</v>
      </c>
      <c r="Y197" s="118">
        <f t="shared" si="16"/>
        <v>12.03</v>
      </c>
    </row>
    <row r="198" spans="1:25" ht="19.95" customHeight="1" x14ac:dyDescent="0.3">
      <c r="A198" s="116" t="str">
        <f>IF(Inputs!$A24="","",Inputs!$A24)</f>
        <v>S22058-0700D</v>
      </c>
      <c r="B198" s="116"/>
      <c r="C198" s="116"/>
      <c r="D198" s="118">
        <f t="shared" ref="D198:X198" si="34">IF(D113="",D28,D113)</f>
        <v>0</v>
      </c>
      <c r="E198" s="118">
        <f t="shared" si="34"/>
        <v>0</v>
      </c>
      <c r="F198" s="118">
        <f t="shared" si="34"/>
        <v>0</v>
      </c>
      <c r="G198" s="118">
        <f t="shared" si="34"/>
        <v>1.2078774617067833</v>
      </c>
      <c r="H198" s="118">
        <f t="shared" si="34"/>
        <v>1.2078774617067833</v>
      </c>
      <c r="I198" s="118">
        <f t="shared" si="34"/>
        <v>1.1816192560175054</v>
      </c>
      <c r="J198" s="118">
        <f t="shared" si="34"/>
        <v>1.1947483588621444</v>
      </c>
      <c r="K198" s="118">
        <f t="shared" si="34"/>
        <v>1.2078774617067833</v>
      </c>
      <c r="L198" s="118">
        <f t="shared" si="34"/>
        <v>0</v>
      </c>
      <c r="M198" s="118">
        <f t="shared" si="34"/>
        <v>0</v>
      </c>
      <c r="N198" s="118">
        <f t="shared" si="34"/>
        <v>0</v>
      </c>
      <c r="O198" s="118">
        <f t="shared" si="34"/>
        <v>0</v>
      </c>
      <c r="P198" s="118">
        <f t="shared" si="34"/>
        <v>0</v>
      </c>
      <c r="Q198" s="118">
        <f t="shared" si="34"/>
        <v>0</v>
      </c>
      <c r="R198" s="118">
        <f t="shared" si="34"/>
        <v>0</v>
      </c>
      <c r="S198" s="118">
        <f t="shared" si="34"/>
        <v>0</v>
      </c>
      <c r="T198" s="118">
        <f t="shared" si="34"/>
        <v>0</v>
      </c>
      <c r="U198" s="118">
        <f t="shared" si="34"/>
        <v>0</v>
      </c>
      <c r="V198" s="118">
        <f t="shared" si="34"/>
        <v>0</v>
      </c>
      <c r="W198" s="118">
        <f t="shared" si="34"/>
        <v>0</v>
      </c>
      <c r="X198" s="118">
        <f t="shared" si="34"/>
        <v>0</v>
      </c>
      <c r="Y198" s="118">
        <f t="shared" si="16"/>
        <v>6</v>
      </c>
    </row>
    <row r="199" spans="1:25" x14ac:dyDescent="0.3">
      <c r="A199" s="116" t="str">
        <f>IF(Inputs!$A25="","",Inputs!$A25)</f>
        <v>AN24185-0100R</v>
      </c>
      <c r="B199" s="116"/>
      <c r="C199" s="116"/>
      <c r="D199" s="118">
        <f t="shared" ref="D199:X199" si="35">IF(D114="",D29,D114)</f>
        <v>0</v>
      </c>
      <c r="E199" s="118">
        <f t="shared" si="35"/>
        <v>0</v>
      </c>
      <c r="F199" s="118">
        <f t="shared" si="35"/>
        <v>0</v>
      </c>
      <c r="G199" s="118">
        <f t="shared" si="35"/>
        <v>0</v>
      </c>
      <c r="H199" s="118">
        <f t="shared" si="35"/>
        <v>0.67276051188299812</v>
      </c>
      <c r="I199" s="118">
        <f t="shared" si="35"/>
        <v>0.65813528336380256</v>
      </c>
      <c r="J199" s="118">
        <f t="shared" si="35"/>
        <v>0.6654478976234004</v>
      </c>
      <c r="K199" s="118">
        <f t="shared" si="35"/>
        <v>0.67276051188299812</v>
      </c>
      <c r="L199" s="118">
        <f t="shared" si="35"/>
        <v>0.67276051188299812</v>
      </c>
      <c r="M199" s="118">
        <f t="shared" si="35"/>
        <v>0.65813528336380256</v>
      </c>
      <c r="N199" s="118">
        <f t="shared" si="35"/>
        <v>0</v>
      </c>
      <c r="O199" s="118">
        <f t="shared" si="35"/>
        <v>0</v>
      </c>
      <c r="P199" s="118">
        <f t="shared" si="35"/>
        <v>0</v>
      </c>
      <c r="Q199" s="118">
        <f t="shared" si="35"/>
        <v>0</v>
      </c>
      <c r="R199" s="118">
        <f t="shared" si="35"/>
        <v>0</v>
      </c>
      <c r="S199" s="118">
        <f t="shared" si="35"/>
        <v>0</v>
      </c>
      <c r="T199" s="118">
        <f t="shared" si="35"/>
        <v>0</v>
      </c>
      <c r="U199" s="118">
        <f t="shared" si="35"/>
        <v>0</v>
      </c>
      <c r="V199" s="118">
        <f t="shared" si="35"/>
        <v>0</v>
      </c>
      <c r="W199" s="118">
        <f t="shared" si="35"/>
        <v>0</v>
      </c>
      <c r="X199" s="118">
        <f t="shared" si="35"/>
        <v>0</v>
      </c>
      <c r="Y199" s="118">
        <f t="shared" si="16"/>
        <v>4</v>
      </c>
    </row>
    <row r="200" spans="1:25" x14ac:dyDescent="0.3">
      <c r="A200" s="116" t="str">
        <f>IF(Inputs!$A26="","",Inputs!$A26)</f>
        <v>AN24135-0100R</v>
      </c>
      <c r="B200" s="116"/>
      <c r="C200" s="116"/>
      <c r="D200" s="118">
        <f t="shared" ref="D200:X200" si="36">IF(D115="",D30,D115)</f>
        <v>0</v>
      </c>
      <c r="E200" s="118">
        <f t="shared" si="36"/>
        <v>0</v>
      </c>
      <c r="F200" s="118">
        <f t="shared" si="36"/>
        <v>0</v>
      </c>
      <c r="G200" s="118">
        <f t="shared" si="36"/>
        <v>0</v>
      </c>
      <c r="H200" s="118">
        <f t="shared" si="36"/>
        <v>0.40350877192982454</v>
      </c>
      <c r="I200" s="118">
        <f t="shared" si="36"/>
        <v>0.39473684210526316</v>
      </c>
      <c r="J200" s="118">
        <f t="shared" si="36"/>
        <v>0.39912280701754388</v>
      </c>
      <c r="K200" s="118">
        <f t="shared" si="36"/>
        <v>0.40350877192982454</v>
      </c>
      <c r="L200" s="118">
        <f t="shared" si="36"/>
        <v>0.40350877192982454</v>
      </c>
      <c r="M200" s="118">
        <f t="shared" si="36"/>
        <v>0.39473684210526316</v>
      </c>
      <c r="N200" s="118">
        <f t="shared" si="36"/>
        <v>0.39912280701754388</v>
      </c>
      <c r="O200" s="118">
        <f t="shared" si="36"/>
        <v>0.40350877192982454</v>
      </c>
      <c r="P200" s="118">
        <f t="shared" si="36"/>
        <v>0.40350877192982454</v>
      </c>
      <c r="Q200" s="118">
        <f t="shared" si="36"/>
        <v>0.39473684210526316</v>
      </c>
      <c r="R200" s="118">
        <f t="shared" si="36"/>
        <v>0</v>
      </c>
      <c r="S200" s="118">
        <f t="shared" si="36"/>
        <v>0</v>
      </c>
      <c r="T200" s="118">
        <f t="shared" si="36"/>
        <v>0</v>
      </c>
      <c r="U200" s="118">
        <f t="shared" si="36"/>
        <v>0</v>
      </c>
      <c r="V200" s="118">
        <f t="shared" si="36"/>
        <v>0</v>
      </c>
      <c r="W200" s="118">
        <f t="shared" si="36"/>
        <v>0</v>
      </c>
      <c r="X200" s="118">
        <f t="shared" si="36"/>
        <v>0</v>
      </c>
      <c r="Y200" s="118">
        <f t="shared" si="16"/>
        <v>4</v>
      </c>
    </row>
    <row r="201" spans="1:25" x14ac:dyDescent="0.3">
      <c r="A201" s="116" t="str">
        <f>IF(Inputs!$A27="","",Inputs!$A27)</f>
        <v>AN23232-0100D</v>
      </c>
      <c r="B201" s="116"/>
      <c r="C201" s="116"/>
      <c r="D201" s="118">
        <f t="shared" ref="D201:X201" si="37">IF(D116="",D31,D116)</f>
        <v>0</v>
      </c>
      <c r="E201" s="118">
        <f t="shared" si="37"/>
        <v>0.9963503649635036</v>
      </c>
      <c r="F201" s="118">
        <f t="shared" si="37"/>
        <v>0.9963503649635036</v>
      </c>
      <c r="G201" s="118">
        <f t="shared" si="37"/>
        <v>1.0072992700729928</v>
      </c>
      <c r="H201" s="118">
        <f t="shared" si="37"/>
        <v>0</v>
      </c>
      <c r="I201" s="118">
        <f t="shared" si="37"/>
        <v>0</v>
      </c>
      <c r="J201" s="118">
        <f t="shared" si="37"/>
        <v>0</v>
      </c>
      <c r="K201" s="118">
        <f t="shared" si="37"/>
        <v>0</v>
      </c>
      <c r="L201" s="118">
        <f t="shared" si="37"/>
        <v>0</v>
      </c>
      <c r="M201" s="118">
        <f t="shared" si="37"/>
        <v>0</v>
      </c>
      <c r="N201" s="118">
        <f t="shared" si="37"/>
        <v>0</v>
      </c>
      <c r="O201" s="118">
        <f t="shared" si="37"/>
        <v>0</v>
      </c>
      <c r="P201" s="118">
        <f t="shared" si="37"/>
        <v>0</v>
      </c>
      <c r="Q201" s="118">
        <f t="shared" si="37"/>
        <v>0</v>
      </c>
      <c r="R201" s="118">
        <f t="shared" si="37"/>
        <v>0</v>
      </c>
      <c r="S201" s="118">
        <f t="shared" si="37"/>
        <v>0</v>
      </c>
      <c r="T201" s="118">
        <f t="shared" si="37"/>
        <v>0</v>
      </c>
      <c r="U201" s="118">
        <f t="shared" si="37"/>
        <v>0</v>
      </c>
      <c r="V201" s="118">
        <f t="shared" si="37"/>
        <v>0</v>
      </c>
      <c r="W201" s="118">
        <f t="shared" si="37"/>
        <v>0</v>
      </c>
      <c r="X201" s="118">
        <f t="shared" si="37"/>
        <v>0</v>
      </c>
      <c r="Y201" s="118">
        <f t="shared" si="16"/>
        <v>3</v>
      </c>
    </row>
    <row r="202" spans="1:25" x14ac:dyDescent="0.3">
      <c r="A202" s="116" t="str">
        <f>IF(Inputs!$A28="","",Inputs!$A28)</f>
        <v>AN23108-0100R</v>
      </c>
      <c r="B202" s="116"/>
      <c r="C202" s="116"/>
      <c r="D202" s="118">
        <f t="shared" ref="D202:X202" si="38">IF(D117="",D32,D117)</f>
        <v>0</v>
      </c>
      <c r="E202" s="118">
        <f t="shared" si="38"/>
        <v>0</v>
      </c>
      <c r="F202" s="118">
        <f t="shared" si="38"/>
        <v>0</v>
      </c>
      <c r="G202" s="118">
        <f t="shared" si="38"/>
        <v>0</v>
      </c>
      <c r="H202" s="118">
        <f t="shared" si="38"/>
        <v>0</v>
      </c>
      <c r="I202" s="118">
        <f t="shared" si="38"/>
        <v>0.13409090909090909</v>
      </c>
      <c r="J202" s="118">
        <f t="shared" si="38"/>
        <v>0.20681818181818182</v>
      </c>
      <c r="K202" s="118">
        <f t="shared" si="38"/>
        <v>0.20909090909090908</v>
      </c>
      <c r="L202" s="118">
        <f t="shared" si="38"/>
        <v>0.20909090909090908</v>
      </c>
      <c r="M202" s="118">
        <f t="shared" si="38"/>
        <v>0.20454545454545456</v>
      </c>
      <c r="N202" s="118">
        <f t="shared" si="38"/>
        <v>0.20681818181818182</v>
      </c>
      <c r="O202" s="118">
        <f t="shared" si="38"/>
        <v>0.20909090909090908</v>
      </c>
      <c r="P202" s="118">
        <f t="shared" si="38"/>
        <v>0.20909090909090908</v>
      </c>
      <c r="Q202" s="118">
        <f t="shared" si="38"/>
        <v>0.20454545454545456</v>
      </c>
      <c r="R202" s="118">
        <f t="shared" si="38"/>
        <v>0.20681818181818182</v>
      </c>
      <c r="S202" s="118">
        <f t="shared" si="38"/>
        <v>0</v>
      </c>
      <c r="T202" s="118">
        <f t="shared" si="38"/>
        <v>0</v>
      </c>
      <c r="U202" s="118">
        <f t="shared" si="38"/>
        <v>0</v>
      </c>
      <c r="V202" s="118">
        <f t="shared" si="38"/>
        <v>0</v>
      </c>
      <c r="W202" s="118">
        <f t="shared" si="38"/>
        <v>0</v>
      </c>
      <c r="X202" s="118">
        <f t="shared" si="38"/>
        <v>0</v>
      </c>
      <c r="Y202" s="118">
        <f t="shared" si="16"/>
        <v>2</v>
      </c>
    </row>
    <row r="203" spans="1:25" x14ac:dyDescent="0.3">
      <c r="A203" s="116" t="str">
        <f>IF(Inputs!$A29="","",Inputs!$A29)</f>
        <v>TA24246-0200R</v>
      </c>
      <c r="B203" s="116"/>
      <c r="C203" s="116"/>
      <c r="D203" s="118">
        <f t="shared" ref="D203:X203" si="39">IF(D118="",D33,D118)</f>
        <v>0</v>
      </c>
      <c r="E203" s="118">
        <f t="shared" si="39"/>
        <v>0</v>
      </c>
      <c r="F203" s="118">
        <f t="shared" si="39"/>
        <v>0</v>
      </c>
      <c r="G203" s="118">
        <f t="shared" si="39"/>
        <v>0</v>
      </c>
      <c r="H203" s="118">
        <f t="shared" si="39"/>
        <v>0</v>
      </c>
      <c r="I203" s="118">
        <f t="shared" si="39"/>
        <v>6.7045454545454547E-2</v>
      </c>
      <c r="J203" s="118">
        <f t="shared" si="39"/>
        <v>0.10340909090909091</v>
      </c>
      <c r="K203" s="118">
        <f t="shared" si="39"/>
        <v>0.10454545454545454</v>
      </c>
      <c r="L203" s="118">
        <f t="shared" si="39"/>
        <v>0.10454545454545454</v>
      </c>
      <c r="M203" s="118">
        <f t="shared" si="39"/>
        <v>0.10227272727272728</v>
      </c>
      <c r="N203" s="118">
        <f t="shared" si="39"/>
        <v>0.10340909090909091</v>
      </c>
      <c r="O203" s="118">
        <f t="shared" si="39"/>
        <v>0.10454545454545454</v>
      </c>
      <c r="P203" s="118">
        <f t="shared" si="39"/>
        <v>0.10454545454545454</v>
      </c>
      <c r="Q203" s="118">
        <f t="shared" si="39"/>
        <v>0.10227272727272728</v>
      </c>
      <c r="R203" s="118">
        <f t="shared" si="39"/>
        <v>0.10340909090909091</v>
      </c>
      <c r="S203" s="118">
        <f t="shared" si="39"/>
        <v>0</v>
      </c>
      <c r="T203" s="118">
        <f t="shared" si="39"/>
        <v>0</v>
      </c>
      <c r="U203" s="118">
        <f t="shared" si="39"/>
        <v>0</v>
      </c>
      <c r="V203" s="118">
        <f t="shared" si="39"/>
        <v>0</v>
      </c>
      <c r="W203" s="118">
        <f t="shared" si="39"/>
        <v>0</v>
      </c>
      <c r="X203" s="118">
        <f t="shared" si="39"/>
        <v>0</v>
      </c>
      <c r="Y203" s="118">
        <f t="shared" si="16"/>
        <v>1</v>
      </c>
    </row>
    <row r="204" spans="1:25" x14ac:dyDescent="0.3">
      <c r="A204" s="116" t="str">
        <f>IF(Inputs!$A30="","",Inputs!$A30)</f>
        <v>S22058-0900D</v>
      </c>
      <c r="B204" s="116"/>
      <c r="C204" s="116"/>
      <c r="D204" s="118">
        <f t="shared" ref="D204:X204" si="40">IF(D119="",D34,D119)</f>
        <v>0</v>
      </c>
      <c r="E204" s="118">
        <f t="shared" si="40"/>
        <v>0</v>
      </c>
      <c r="F204" s="118">
        <f t="shared" si="40"/>
        <v>0.12431693989071038</v>
      </c>
      <c r="G204" s="118">
        <f t="shared" si="40"/>
        <v>0.12568306010928962</v>
      </c>
      <c r="H204" s="118">
        <f t="shared" si="40"/>
        <v>0</v>
      </c>
      <c r="I204" s="118">
        <f t="shared" si="40"/>
        <v>0</v>
      </c>
      <c r="J204" s="118">
        <f t="shared" si="40"/>
        <v>0</v>
      </c>
      <c r="K204" s="118">
        <f t="shared" si="40"/>
        <v>0</v>
      </c>
      <c r="L204" s="118">
        <f t="shared" si="40"/>
        <v>0</v>
      </c>
      <c r="M204" s="118">
        <f t="shared" si="40"/>
        <v>0</v>
      </c>
      <c r="N204" s="118">
        <f t="shared" si="40"/>
        <v>0</v>
      </c>
      <c r="O204" s="118">
        <f t="shared" si="40"/>
        <v>0</v>
      </c>
      <c r="P204" s="118">
        <f t="shared" si="40"/>
        <v>0</v>
      </c>
      <c r="Q204" s="118">
        <f t="shared" si="40"/>
        <v>0</v>
      </c>
      <c r="R204" s="118">
        <f t="shared" si="40"/>
        <v>0</v>
      </c>
      <c r="S204" s="118">
        <f t="shared" si="40"/>
        <v>0</v>
      </c>
      <c r="T204" s="118">
        <f t="shared" si="40"/>
        <v>0</v>
      </c>
      <c r="U204" s="118">
        <f t="shared" si="40"/>
        <v>0</v>
      </c>
      <c r="V204" s="118">
        <f t="shared" si="40"/>
        <v>0</v>
      </c>
      <c r="W204" s="118">
        <f t="shared" si="40"/>
        <v>0</v>
      </c>
      <c r="X204" s="118">
        <f t="shared" si="40"/>
        <v>0</v>
      </c>
      <c r="Y204" s="118">
        <f t="shared" si="16"/>
        <v>0.25</v>
      </c>
    </row>
    <row r="205" spans="1:25" x14ac:dyDescent="0.3">
      <c r="A205" s="116" t="str">
        <f>IF(Inputs!$A31="","",Inputs!$A31)</f>
        <v>S22058-0400D</v>
      </c>
      <c r="B205" s="116"/>
      <c r="C205" s="116"/>
      <c r="D205" s="118">
        <f t="shared" ref="D205:X205" si="41">IF(D120="",D35,D120)</f>
        <v>0</v>
      </c>
      <c r="E205" s="118">
        <f t="shared" si="41"/>
        <v>0.5</v>
      </c>
      <c r="F205" s="118">
        <f t="shared" si="41"/>
        <v>0</v>
      </c>
      <c r="G205" s="118">
        <f t="shared" si="41"/>
        <v>0</v>
      </c>
      <c r="H205" s="118">
        <f t="shared" si="41"/>
        <v>0</v>
      </c>
      <c r="I205" s="118">
        <f t="shared" si="41"/>
        <v>0</v>
      </c>
      <c r="J205" s="118">
        <f t="shared" si="41"/>
        <v>0</v>
      </c>
      <c r="K205" s="118">
        <f t="shared" si="41"/>
        <v>0</v>
      </c>
      <c r="L205" s="118">
        <f t="shared" si="41"/>
        <v>0</v>
      </c>
      <c r="M205" s="118">
        <f t="shared" si="41"/>
        <v>0</v>
      </c>
      <c r="N205" s="118">
        <f t="shared" si="41"/>
        <v>0</v>
      </c>
      <c r="O205" s="118">
        <f t="shared" si="41"/>
        <v>0</v>
      </c>
      <c r="P205" s="118">
        <f t="shared" si="41"/>
        <v>0</v>
      </c>
      <c r="Q205" s="118">
        <f t="shared" si="41"/>
        <v>0</v>
      </c>
      <c r="R205" s="118">
        <f t="shared" si="41"/>
        <v>0</v>
      </c>
      <c r="S205" s="118">
        <f t="shared" si="41"/>
        <v>0</v>
      </c>
      <c r="T205" s="118">
        <f t="shared" si="41"/>
        <v>0</v>
      </c>
      <c r="U205" s="118">
        <f t="shared" si="41"/>
        <v>0</v>
      </c>
      <c r="V205" s="118">
        <f t="shared" si="41"/>
        <v>0</v>
      </c>
      <c r="W205" s="118">
        <f t="shared" si="41"/>
        <v>0</v>
      </c>
      <c r="X205" s="118">
        <f t="shared" si="41"/>
        <v>0</v>
      </c>
      <c r="Y205" s="118">
        <f t="shared" si="16"/>
        <v>0.5</v>
      </c>
    </row>
    <row r="206" spans="1:25" x14ac:dyDescent="0.3">
      <c r="A206" s="116" t="str">
        <f>IF(Inputs!$A32="","",Inputs!$A32)</f>
        <v>Proposals 25</v>
      </c>
      <c r="B206" s="116"/>
      <c r="C206" s="116"/>
      <c r="D206" s="118">
        <f t="shared" ref="D206:X206" si="42">IF(D121="",D36,D121)</f>
        <v>0</v>
      </c>
      <c r="E206" s="118">
        <f t="shared" si="42"/>
        <v>0</v>
      </c>
      <c r="F206" s="118">
        <f t="shared" si="42"/>
        <v>0</v>
      </c>
      <c r="G206" s="118">
        <f t="shared" si="42"/>
        <v>0</v>
      </c>
      <c r="H206" s="118">
        <f t="shared" si="42"/>
        <v>0</v>
      </c>
      <c r="I206" s="118">
        <f t="shared" si="42"/>
        <v>0.46849315068493153</v>
      </c>
      <c r="J206" s="118">
        <f t="shared" si="42"/>
        <v>0.47369863013698632</v>
      </c>
      <c r="K206" s="118">
        <f t="shared" si="42"/>
        <v>0.47890410958904106</v>
      </c>
      <c r="L206" s="118">
        <f t="shared" si="42"/>
        <v>0.47890410958904106</v>
      </c>
      <c r="M206" s="118">
        <f t="shared" si="42"/>
        <v>0</v>
      </c>
      <c r="N206" s="118">
        <f t="shared" si="42"/>
        <v>0</v>
      </c>
      <c r="O206" s="118">
        <f t="shared" si="42"/>
        <v>0</v>
      </c>
      <c r="P206" s="118">
        <f t="shared" si="42"/>
        <v>0</v>
      </c>
      <c r="Q206" s="118">
        <f t="shared" si="42"/>
        <v>0</v>
      </c>
      <c r="R206" s="118">
        <f t="shared" si="42"/>
        <v>0</v>
      </c>
      <c r="S206" s="118">
        <f t="shared" si="42"/>
        <v>0</v>
      </c>
      <c r="T206" s="118">
        <f t="shared" si="42"/>
        <v>0</v>
      </c>
      <c r="U206" s="118">
        <f t="shared" si="42"/>
        <v>0</v>
      </c>
      <c r="V206" s="118">
        <f t="shared" si="42"/>
        <v>0</v>
      </c>
      <c r="W206" s="118">
        <f t="shared" si="42"/>
        <v>0</v>
      </c>
      <c r="X206" s="118">
        <f t="shared" si="42"/>
        <v>0</v>
      </c>
      <c r="Y206" s="118">
        <f t="shared" si="16"/>
        <v>1.9</v>
      </c>
    </row>
    <row r="207" spans="1:25" x14ac:dyDescent="0.3">
      <c r="A207" s="116" t="str">
        <f>IF(Inputs!$A33="","",Inputs!$A33)</f>
        <v>Chargable Proposals 25</v>
      </c>
      <c r="B207" s="116"/>
      <c r="C207" s="116"/>
      <c r="D207" s="118">
        <f t="shared" ref="D207:X207" si="43">IF(D122="",D37,D122)</f>
        <v>0</v>
      </c>
      <c r="E207" s="118">
        <f t="shared" si="43"/>
        <v>0</v>
      </c>
      <c r="F207" s="118">
        <f t="shared" si="43"/>
        <v>0</v>
      </c>
      <c r="G207" s="118">
        <f t="shared" si="43"/>
        <v>0</v>
      </c>
      <c r="H207" s="118">
        <f t="shared" si="43"/>
        <v>0</v>
      </c>
      <c r="I207" s="118">
        <f t="shared" si="43"/>
        <v>0</v>
      </c>
      <c r="J207" s="118">
        <f t="shared" si="43"/>
        <v>0</v>
      </c>
      <c r="K207" s="118">
        <f t="shared" si="43"/>
        <v>3</v>
      </c>
      <c r="L207" s="118">
        <f t="shared" si="43"/>
        <v>0</v>
      </c>
      <c r="M207" s="118">
        <f t="shared" si="43"/>
        <v>0</v>
      </c>
      <c r="N207" s="118">
        <f t="shared" si="43"/>
        <v>0</v>
      </c>
      <c r="O207" s="118">
        <f t="shared" si="43"/>
        <v>0</v>
      </c>
      <c r="P207" s="118">
        <f t="shared" si="43"/>
        <v>0</v>
      </c>
      <c r="Q207" s="118">
        <f t="shared" si="43"/>
        <v>0</v>
      </c>
      <c r="R207" s="118">
        <f t="shared" si="43"/>
        <v>0</v>
      </c>
      <c r="S207" s="118">
        <f t="shared" si="43"/>
        <v>0</v>
      </c>
      <c r="T207" s="118">
        <f t="shared" si="43"/>
        <v>0</v>
      </c>
      <c r="U207" s="118">
        <f t="shared" si="43"/>
        <v>0</v>
      </c>
      <c r="V207" s="118">
        <f t="shared" si="43"/>
        <v>0</v>
      </c>
      <c r="W207" s="118">
        <f t="shared" si="43"/>
        <v>0</v>
      </c>
      <c r="X207" s="118">
        <f t="shared" si="43"/>
        <v>0</v>
      </c>
      <c r="Y207" s="118">
        <f t="shared" si="16"/>
        <v>3</v>
      </c>
    </row>
    <row r="208" spans="1:25" x14ac:dyDescent="0.3">
      <c r="A208" s="116" t="str">
        <f>IF(Inputs!$A34="","",Inputs!$A34)</f>
        <v>AD23051-0101D</v>
      </c>
      <c r="B208" s="116"/>
      <c r="C208" s="116"/>
      <c r="D208" s="118">
        <f t="shared" ref="D208:X208" si="44">IF(D123="",D38,D123)</f>
        <v>0</v>
      </c>
      <c r="E208" s="118">
        <f t="shared" si="44"/>
        <v>0.5</v>
      </c>
      <c r="F208" s="118">
        <f t="shared" si="44"/>
        <v>0</v>
      </c>
      <c r="G208" s="118">
        <f t="shared" si="44"/>
        <v>0</v>
      </c>
      <c r="H208" s="118">
        <f t="shared" si="44"/>
        <v>0</v>
      </c>
      <c r="I208" s="118">
        <f t="shared" si="44"/>
        <v>0</v>
      </c>
      <c r="J208" s="118">
        <f t="shared" si="44"/>
        <v>0</v>
      </c>
      <c r="K208" s="118">
        <f t="shared" si="44"/>
        <v>0</v>
      </c>
      <c r="L208" s="118">
        <f t="shared" si="44"/>
        <v>0</v>
      </c>
      <c r="M208" s="118">
        <f t="shared" si="44"/>
        <v>0</v>
      </c>
      <c r="N208" s="118">
        <f t="shared" si="44"/>
        <v>0</v>
      </c>
      <c r="O208" s="118">
        <f t="shared" si="44"/>
        <v>0</v>
      </c>
      <c r="P208" s="118">
        <f t="shared" si="44"/>
        <v>0</v>
      </c>
      <c r="Q208" s="118">
        <f t="shared" si="44"/>
        <v>0</v>
      </c>
      <c r="R208" s="118">
        <f t="shared" si="44"/>
        <v>0</v>
      </c>
      <c r="S208" s="118">
        <f t="shared" si="44"/>
        <v>0</v>
      </c>
      <c r="T208" s="118">
        <f t="shared" si="44"/>
        <v>0</v>
      </c>
      <c r="U208" s="118">
        <f t="shared" si="44"/>
        <v>0</v>
      </c>
      <c r="V208" s="118">
        <f t="shared" si="44"/>
        <v>0</v>
      </c>
      <c r="W208" s="118">
        <f t="shared" si="44"/>
        <v>0</v>
      </c>
      <c r="X208" s="118">
        <f t="shared" si="44"/>
        <v>0</v>
      </c>
      <c r="Y208" s="118">
        <f t="shared" si="16"/>
        <v>0.5</v>
      </c>
    </row>
    <row r="209" spans="1:25" x14ac:dyDescent="0.3">
      <c r="A209" s="116" t="str">
        <f>IF(Inputs!$A35="","",Inputs!$A35)</f>
        <v>AN21146-0100R</v>
      </c>
      <c r="B209" s="116"/>
      <c r="C209" s="116"/>
      <c r="D209" s="118">
        <f t="shared" ref="D209:X209" si="45">IF(D124="",D39,D124)</f>
        <v>0</v>
      </c>
      <c r="E209" s="118">
        <f t="shared" si="45"/>
        <v>0.43457943925233644</v>
      </c>
      <c r="F209" s="118">
        <f t="shared" si="45"/>
        <v>1.2757009345794392</v>
      </c>
      <c r="G209" s="118">
        <f t="shared" si="45"/>
        <v>1.2897196261682242</v>
      </c>
      <c r="H209" s="118">
        <f t="shared" si="45"/>
        <v>0</v>
      </c>
      <c r="I209" s="118">
        <f t="shared" si="45"/>
        <v>0</v>
      </c>
      <c r="J209" s="118">
        <f t="shared" si="45"/>
        <v>0</v>
      </c>
      <c r="K209" s="118">
        <f t="shared" si="45"/>
        <v>0</v>
      </c>
      <c r="L209" s="118">
        <f t="shared" si="45"/>
        <v>0</v>
      </c>
      <c r="M209" s="118">
        <f t="shared" si="45"/>
        <v>0</v>
      </c>
      <c r="N209" s="118">
        <f t="shared" si="45"/>
        <v>0</v>
      </c>
      <c r="O209" s="118">
        <f t="shared" si="45"/>
        <v>0</v>
      </c>
      <c r="P209" s="118">
        <f t="shared" si="45"/>
        <v>0</v>
      </c>
      <c r="Q209" s="118">
        <f t="shared" si="45"/>
        <v>0</v>
      </c>
      <c r="R209" s="118">
        <f t="shared" si="45"/>
        <v>0</v>
      </c>
      <c r="S209" s="118">
        <f t="shared" si="45"/>
        <v>0</v>
      </c>
      <c r="T209" s="118">
        <f t="shared" si="45"/>
        <v>0</v>
      </c>
      <c r="U209" s="118">
        <f t="shared" si="45"/>
        <v>0</v>
      </c>
      <c r="V209" s="118">
        <f t="shared" si="45"/>
        <v>0</v>
      </c>
      <c r="W209" s="118">
        <f t="shared" si="45"/>
        <v>0</v>
      </c>
      <c r="X209" s="118">
        <f t="shared" si="45"/>
        <v>0</v>
      </c>
      <c r="Y209" s="118">
        <f t="shared" si="16"/>
        <v>3</v>
      </c>
    </row>
    <row r="210" spans="1:25" x14ac:dyDescent="0.3">
      <c r="A210" s="116" t="str">
        <f>IF(Inputs!$A36="","",Inputs!$A36)</f>
        <v>N23106-0100D</v>
      </c>
      <c r="B210" s="116"/>
      <c r="C210" s="116"/>
      <c r="D210" s="118">
        <f t="shared" ref="D210:X210" si="46">IF(D125="",D40,D125)</f>
        <v>0</v>
      </c>
      <c r="E210" s="118">
        <f t="shared" si="46"/>
        <v>0.72429906542056077</v>
      </c>
      <c r="F210" s="118">
        <f t="shared" si="46"/>
        <v>2.1261682242990654</v>
      </c>
      <c r="G210" s="118">
        <f t="shared" si="46"/>
        <v>2.1495327102803738</v>
      </c>
      <c r="H210" s="118">
        <f t="shared" si="46"/>
        <v>0</v>
      </c>
      <c r="I210" s="118">
        <f t="shared" si="46"/>
        <v>0</v>
      </c>
      <c r="J210" s="118">
        <f t="shared" si="46"/>
        <v>0</v>
      </c>
      <c r="K210" s="118">
        <f t="shared" si="46"/>
        <v>0</v>
      </c>
      <c r="L210" s="118">
        <f t="shared" si="46"/>
        <v>0</v>
      </c>
      <c r="M210" s="118">
        <f t="shared" si="46"/>
        <v>0</v>
      </c>
      <c r="N210" s="118">
        <f t="shared" si="46"/>
        <v>0</v>
      </c>
      <c r="O210" s="118">
        <f t="shared" si="46"/>
        <v>0</v>
      </c>
      <c r="P210" s="118">
        <f t="shared" si="46"/>
        <v>0</v>
      </c>
      <c r="Q210" s="118">
        <f t="shared" si="46"/>
        <v>0</v>
      </c>
      <c r="R210" s="118">
        <f t="shared" si="46"/>
        <v>0</v>
      </c>
      <c r="S210" s="118">
        <f t="shared" si="46"/>
        <v>0</v>
      </c>
      <c r="T210" s="118">
        <f t="shared" si="46"/>
        <v>0</v>
      </c>
      <c r="U210" s="118">
        <f t="shared" si="46"/>
        <v>0</v>
      </c>
      <c r="V210" s="118">
        <f t="shared" si="46"/>
        <v>0</v>
      </c>
      <c r="W210" s="118">
        <f t="shared" si="46"/>
        <v>0</v>
      </c>
      <c r="X210" s="118">
        <f t="shared" si="46"/>
        <v>0</v>
      </c>
      <c r="Y210" s="118">
        <f t="shared" si="16"/>
        <v>5</v>
      </c>
    </row>
    <row r="211" spans="1:25" x14ac:dyDescent="0.3">
      <c r="A211" s="116" t="str">
        <f>IF(Inputs!$A37="","",Inputs!$A37)</f>
        <v>OM23030-0100D</v>
      </c>
      <c r="B211" s="116"/>
      <c r="C211" s="116"/>
      <c r="D211" s="118">
        <f t="shared" ref="D211:X211" si="47">IF(D126="",D41,D126)</f>
        <v>0</v>
      </c>
      <c r="E211" s="118">
        <f t="shared" si="47"/>
        <v>6.3524590163934427E-2</v>
      </c>
      <c r="F211" s="118">
        <f t="shared" si="47"/>
        <v>0.18647540983606559</v>
      </c>
      <c r="G211" s="118">
        <f t="shared" si="47"/>
        <v>0</v>
      </c>
      <c r="H211" s="118">
        <f t="shared" si="47"/>
        <v>0</v>
      </c>
      <c r="I211" s="118">
        <f t="shared" si="47"/>
        <v>0</v>
      </c>
      <c r="J211" s="118">
        <f t="shared" si="47"/>
        <v>0</v>
      </c>
      <c r="K211" s="118">
        <f t="shared" si="47"/>
        <v>0</v>
      </c>
      <c r="L211" s="118">
        <f t="shared" si="47"/>
        <v>0</v>
      </c>
      <c r="M211" s="118">
        <f t="shared" si="47"/>
        <v>0</v>
      </c>
      <c r="N211" s="118">
        <f t="shared" si="47"/>
        <v>0</v>
      </c>
      <c r="O211" s="118">
        <f t="shared" si="47"/>
        <v>0</v>
      </c>
      <c r="P211" s="118">
        <f t="shared" si="47"/>
        <v>0</v>
      </c>
      <c r="Q211" s="118">
        <f t="shared" si="47"/>
        <v>0</v>
      </c>
      <c r="R211" s="118">
        <f t="shared" si="47"/>
        <v>0</v>
      </c>
      <c r="S211" s="118">
        <f t="shared" si="47"/>
        <v>0</v>
      </c>
      <c r="T211" s="118">
        <f t="shared" si="47"/>
        <v>0</v>
      </c>
      <c r="U211" s="118">
        <f t="shared" si="47"/>
        <v>0</v>
      </c>
      <c r="V211" s="118">
        <f t="shared" si="47"/>
        <v>0</v>
      </c>
      <c r="W211" s="118">
        <f t="shared" si="47"/>
        <v>0</v>
      </c>
      <c r="X211" s="118">
        <f t="shared" si="47"/>
        <v>0</v>
      </c>
      <c r="Y211" s="118">
        <f t="shared" si="16"/>
        <v>0.25</v>
      </c>
    </row>
    <row r="212" spans="1:25" x14ac:dyDescent="0.3">
      <c r="A212" s="116" t="str">
        <f>IF(Inputs!$A38="","",Inputs!$A38)</f>
        <v>Chargable Proposals 24</v>
      </c>
      <c r="B212" s="116"/>
      <c r="C212" s="116"/>
      <c r="D212" s="118">
        <f t="shared" ref="D212:X212" si="48">IF(D127="",D42,D127)</f>
        <v>0</v>
      </c>
      <c r="E212" s="118">
        <f t="shared" si="48"/>
        <v>0.55942622950819676</v>
      </c>
      <c r="F212" s="118">
        <f t="shared" si="48"/>
        <v>0.55942622950819676</v>
      </c>
      <c r="G212" s="118">
        <f t="shared" si="48"/>
        <v>0.56557377049180324</v>
      </c>
      <c r="H212" s="118">
        <f t="shared" si="48"/>
        <v>0.56557377049180324</v>
      </c>
      <c r="I212" s="118">
        <f t="shared" si="48"/>
        <v>0</v>
      </c>
      <c r="J212" s="118">
        <f t="shared" si="48"/>
        <v>0</v>
      </c>
      <c r="K212" s="118">
        <f t="shared" si="48"/>
        <v>0</v>
      </c>
      <c r="L212" s="118">
        <f t="shared" si="48"/>
        <v>0</v>
      </c>
      <c r="M212" s="118">
        <f t="shared" si="48"/>
        <v>0</v>
      </c>
      <c r="N212" s="118">
        <f t="shared" si="48"/>
        <v>0</v>
      </c>
      <c r="O212" s="118">
        <f t="shared" si="48"/>
        <v>0</v>
      </c>
      <c r="P212" s="118">
        <f t="shared" si="48"/>
        <v>0</v>
      </c>
      <c r="Q212" s="118">
        <f t="shared" si="48"/>
        <v>0</v>
      </c>
      <c r="R212" s="118">
        <f t="shared" si="48"/>
        <v>0</v>
      </c>
      <c r="S212" s="118">
        <f t="shared" si="48"/>
        <v>0</v>
      </c>
      <c r="T212" s="118">
        <f t="shared" si="48"/>
        <v>0</v>
      </c>
      <c r="U212" s="118">
        <f t="shared" si="48"/>
        <v>0</v>
      </c>
      <c r="V212" s="118">
        <f t="shared" si="48"/>
        <v>0</v>
      </c>
      <c r="W212" s="118">
        <f t="shared" si="48"/>
        <v>0</v>
      </c>
      <c r="X212" s="118">
        <f t="shared" si="48"/>
        <v>0</v>
      </c>
      <c r="Y212" s="118">
        <f t="shared" ref="Y212:Y243" si="49">SUM(D212:X212)</f>
        <v>2.25</v>
      </c>
    </row>
    <row r="213" spans="1:25" x14ac:dyDescent="0.3">
      <c r="A213" s="116" t="str">
        <f>IF(Inputs!$A39="","",Inputs!$A39)</f>
        <v>Proposals 24</v>
      </c>
      <c r="B213" s="116"/>
      <c r="C213" s="116"/>
      <c r="D213" s="118">
        <f t="shared" ref="D213:X213" si="50">IF(D128="",D43,D128)</f>
        <v>0</v>
      </c>
      <c r="E213" s="118">
        <f t="shared" si="50"/>
        <v>0.27349726775956285</v>
      </c>
      <c r="F213" s="118">
        <f t="shared" si="50"/>
        <v>0.27349726775956285</v>
      </c>
      <c r="G213" s="118">
        <f t="shared" si="50"/>
        <v>0.27650273224043714</v>
      </c>
      <c r="H213" s="118">
        <f t="shared" si="50"/>
        <v>0.27650273224043714</v>
      </c>
      <c r="I213" s="118">
        <f t="shared" si="50"/>
        <v>0</v>
      </c>
      <c r="J213" s="118">
        <f t="shared" si="50"/>
        <v>0</v>
      </c>
      <c r="K213" s="118">
        <f t="shared" si="50"/>
        <v>0</v>
      </c>
      <c r="L213" s="118">
        <f t="shared" si="50"/>
        <v>0</v>
      </c>
      <c r="M213" s="118">
        <f t="shared" si="50"/>
        <v>0</v>
      </c>
      <c r="N213" s="118">
        <f t="shared" si="50"/>
        <v>0</v>
      </c>
      <c r="O213" s="118">
        <f t="shared" si="50"/>
        <v>0</v>
      </c>
      <c r="P213" s="118">
        <f t="shared" si="50"/>
        <v>0</v>
      </c>
      <c r="Q213" s="118">
        <f t="shared" si="50"/>
        <v>0</v>
      </c>
      <c r="R213" s="118">
        <f t="shared" si="50"/>
        <v>0</v>
      </c>
      <c r="S213" s="118">
        <f t="shared" si="50"/>
        <v>0</v>
      </c>
      <c r="T213" s="118">
        <f t="shared" si="50"/>
        <v>0</v>
      </c>
      <c r="U213" s="118">
        <f t="shared" si="50"/>
        <v>0</v>
      </c>
      <c r="V213" s="118">
        <f t="shared" si="50"/>
        <v>0</v>
      </c>
      <c r="W213" s="118">
        <f t="shared" si="50"/>
        <v>0</v>
      </c>
      <c r="X213" s="118">
        <f t="shared" si="50"/>
        <v>0</v>
      </c>
      <c r="Y213" s="118">
        <f t="shared" si="49"/>
        <v>1.1000000000000001</v>
      </c>
    </row>
    <row r="214" spans="1:25" x14ac:dyDescent="0.3">
      <c r="A214" s="116" t="str">
        <f>IF(Inputs!$A40="","",Inputs!$A40)</f>
        <v>S23204-0100D</v>
      </c>
      <c r="B214" s="116"/>
      <c r="C214" s="116"/>
      <c r="D214" s="118">
        <f t="shared" ref="D214:X214" si="51">IF(D129="",D44,D129)</f>
        <v>0</v>
      </c>
      <c r="E214" s="118">
        <f t="shared" si="51"/>
        <v>1.5</v>
      </c>
      <c r="F214" s="118">
        <f t="shared" si="51"/>
        <v>0</v>
      </c>
      <c r="G214" s="118">
        <f t="shared" si="51"/>
        <v>0</v>
      </c>
      <c r="H214" s="118">
        <f t="shared" si="51"/>
        <v>0</v>
      </c>
      <c r="I214" s="118">
        <f t="shared" si="51"/>
        <v>0</v>
      </c>
      <c r="J214" s="118">
        <f t="shared" si="51"/>
        <v>0</v>
      </c>
      <c r="K214" s="118">
        <f t="shared" si="51"/>
        <v>0</v>
      </c>
      <c r="L214" s="118">
        <f t="shared" si="51"/>
        <v>0</v>
      </c>
      <c r="M214" s="118">
        <f t="shared" si="51"/>
        <v>0</v>
      </c>
      <c r="N214" s="118">
        <f t="shared" si="51"/>
        <v>0</v>
      </c>
      <c r="O214" s="118">
        <f t="shared" si="51"/>
        <v>0</v>
      </c>
      <c r="P214" s="118">
        <f t="shared" si="51"/>
        <v>0</v>
      </c>
      <c r="Q214" s="118">
        <f t="shared" si="51"/>
        <v>0</v>
      </c>
      <c r="R214" s="118">
        <f t="shared" si="51"/>
        <v>0</v>
      </c>
      <c r="S214" s="118">
        <f t="shared" si="51"/>
        <v>0</v>
      </c>
      <c r="T214" s="118">
        <f t="shared" si="51"/>
        <v>0</v>
      </c>
      <c r="U214" s="118">
        <f t="shared" si="51"/>
        <v>0</v>
      </c>
      <c r="V214" s="118">
        <f t="shared" si="51"/>
        <v>0</v>
      </c>
      <c r="W214" s="118">
        <f t="shared" si="51"/>
        <v>0</v>
      </c>
      <c r="X214" s="118">
        <f t="shared" si="51"/>
        <v>0</v>
      </c>
      <c r="Y214" s="118">
        <f t="shared" si="49"/>
        <v>1.5</v>
      </c>
    </row>
    <row r="215" spans="1:25" x14ac:dyDescent="0.3">
      <c r="A215" s="116" t="str">
        <f>IF(Inputs!$A41="","",Inputs!$A41)</f>
        <v>S24100-0100D</v>
      </c>
      <c r="B215" s="116"/>
      <c r="C215" s="116"/>
      <c r="D215" s="118">
        <f t="shared" ref="D215:X215" si="52">IF(D130="",D45,D130)</f>
        <v>0</v>
      </c>
      <c r="E215" s="118">
        <f t="shared" si="52"/>
        <v>0</v>
      </c>
      <c r="F215" s="118">
        <f t="shared" si="52"/>
        <v>0</v>
      </c>
      <c r="G215" s="118">
        <f t="shared" si="52"/>
        <v>1.5</v>
      </c>
      <c r="H215" s="118">
        <f t="shared" si="52"/>
        <v>1.5</v>
      </c>
      <c r="I215" s="118">
        <f t="shared" si="52"/>
        <v>0</v>
      </c>
      <c r="J215" s="118">
        <f t="shared" si="52"/>
        <v>0</v>
      </c>
      <c r="K215" s="118">
        <f t="shared" si="52"/>
        <v>0</v>
      </c>
      <c r="L215" s="118">
        <f t="shared" si="52"/>
        <v>0</v>
      </c>
      <c r="M215" s="118">
        <f t="shared" si="52"/>
        <v>0</v>
      </c>
      <c r="N215" s="118">
        <f t="shared" si="52"/>
        <v>0</v>
      </c>
      <c r="O215" s="118">
        <f t="shared" si="52"/>
        <v>0</v>
      </c>
      <c r="P215" s="118">
        <f t="shared" si="52"/>
        <v>0</v>
      </c>
      <c r="Q215" s="118">
        <f t="shared" si="52"/>
        <v>0</v>
      </c>
      <c r="R215" s="118">
        <f t="shared" si="52"/>
        <v>0</v>
      </c>
      <c r="S215" s="118">
        <f t="shared" si="52"/>
        <v>0</v>
      </c>
      <c r="T215" s="118">
        <f t="shared" si="52"/>
        <v>0</v>
      </c>
      <c r="U215" s="118">
        <f t="shared" si="52"/>
        <v>0</v>
      </c>
      <c r="V215" s="118">
        <f t="shared" si="52"/>
        <v>0</v>
      </c>
      <c r="W215" s="118">
        <f t="shared" si="52"/>
        <v>0</v>
      </c>
      <c r="X215" s="118">
        <f t="shared" si="52"/>
        <v>0</v>
      </c>
      <c r="Y215" s="118">
        <f t="shared" si="49"/>
        <v>3</v>
      </c>
    </row>
    <row r="216" spans="1:25" x14ac:dyDescent="0.3">
      <c r="A216" s="116" t="str">
        <f>IF(Inputs!$A42="","",Inputs!$A42)</f>
        <v>TA23011-0100R</v>
      </c>
      <c r="B216" s="116"/>
      <c r="C216" s="116"/>
      <c r="D216" s="118">
        <f t="shared" ref="D216:X216" si="53">IF(D131="",D46,D131)</f>
        <v>0</v>
      </c>
      <c r="E216" s="118">
        <f t="shared" si="53"/>
        <v>9.9999999999999992E-2</v>
      </c>
      <c r="F216" s="118">
        <f t="shared" si="53"/>
        <v>0</v>
      </c>
      <c r="G216" s="118">
        <f t="shared" si="53"/>
        <v>0</v>
      </c>
      <c r="H216" s="118">
        <f t="shared" si="53"/>
        <v>0</v>
      </c>
      <c r="I216" s="118">
        <f t="shared" si="53"/>
        <v>0</v>
      </c>
      <c r="J216" s="118">
        <f t="shared" si="53"/>
        <v>0</v>
      </c>
      <c r="K216" s="118">
        <f t="shared" si="53"/>
        <v>0</v>
      </c>
      <c r="L216" s="118">
        <f t="shared" si="53"/>
        <v>0</v>
      </c>
      <c r="M216" s="118">
        <f t="shared" si="53"/>
        <v>0</v>
      </c>
      <c r="N216" s="118">
        <f t="shared" si="53"/>
        <v>0</v>
      </c>
      <c r="O216" s="118">
        <f t="shared" si="53"/>
        <v>0</v>
      </c>
      <c r="P216" s="118">
        <f t="shared" si="53"/>
        <v>0</v>
      </c>
      <c r="Q216" s="118">
        <f t="shared" si="53"/>
        <v>0</v>
      </c>
      <c r="R216" s="118">
        <f t="shared" si="53"/>
        <v>0</v>
      </c>
      <c r="S216" s="118">
        <f t="shared" si="53"/>
        <v>0</v>
      </c>
      <c r="T216" s="118">
        <f t="shared" si="53"/>
        <v>0</v>
      </c>
      <c r="U216" s="118">
        <f t="shared" si="53"/>
        <v>0</v>
      </c>
      <c r="V216" s="118">
        <f t="shared" si="53"/>
        <v>0</v>
      </c>
      <c r="W216" s="118">
        <f t="shared" si="53"/>
        <v>0</v>
      </c>
      <c r="X216" s="118">
        <f t="shared" si="53"/>
        <v>0</v>
      </c>
      <c r="Y216" s="118">
        <f t="shared" si="49"/>
        <v>9.9999999999999992E-2</v>
      </c>
    </row>
    <row r="217" spans="1:25" x14ac:dyDescent="0.3">
      <c r="A217" s="116" t="str">
        <f>IF(Inputs!$A43="","",Inputs!$A43)</f>
        <v>AL25148-0100D</v>
      </c>
      <c r="B217" s="116"/>
      <c r="C217" s="116"/>
      <c r="D217" s="118">
        <f t="shared" ref="D217:X217" si="54">IF(D132="",D47,D132)</f>
        <v>0</v>
      </c>
      <c r="E217" s="118">
        <f t="shared" si="54"/>
        <v>0</v>
      </c>
      <c r="F217" s="118">
        <f t="shared" si="54"/>
        <v>0</v>
      </c>
      <c r="G217" s="118">
        <f t="shared" si="54"/>
        <v>0</v>
      </c>
      <c r="H217" s="118">
        <f t="shared" si="54"/>
        <v>0</v>
      </c>
      <c r="I217" s="118">
        <f t="shared" si="54"/>
        <v>0</v>
      </c>
      <c r="J217" s="118">
        <f t="shared" si="54"/>
        <v>0</v>
      </c>
      <c r="K217" s="118">
        <f t="shared" si="54"/>
        <v>0</v>
      </c>
      <c r="L217" s="118">
        <f t="shared" si="54"/>
        <v>0</v>
      </c>
      <c r="M217" s="118">
        <f t="shared" si="54"/>
        <v>0</v>
      </c>
      <c r="N217" s="118">
        <f t="shared" si="54"/>
        <v>0</v>
      </c>
      <c r="O217" s="118">
        <f t="shared" si="54"/>
        <v>0</v>
      </c>
      <c r="P217" s="118">
        <f t="shared" si="54"/>
        <v>0</v>
      </c>
      <c r="Q217" s="118">
        <f t="shared" si="54"/>
        <v>2.4657534246575343</v>
      </c>
      <c r="R217" s="118">
        <f t="shared" si="54"/>
        <v>2.493150684931507</v>
      </c>
      <c r="S217" s="118">
        <f t="shared" si="54"/>
        <v>2.5205479452054793</v>
      </c>
      <c r="T217" s="118">
        <f t="shared" si="54"/>
        <v>2.5205479452054793</v>
      </c>
      <c r="U217" s="118">
        <f t="shared" si="54"/>
        <v>0</v>
      </c>
      <c r="V217" s="118">
        <f t="shared" si="54"/>
        <v>0</v>
      </c>
      <c r="W217" s="118">
        <f t="shared" si="54"/>
        <v>0</v>
      </c>
      <c r="X217" s="118">
        <f t="shared" si="54"/>
        <v>0</v>
      </c>
      <c r="Y217" s="118">
        <f t="shared" si="49"/>
        <v>10</v>
      </c>
    </row>
    <row r="218" spans="1:25" x14ac:dyDescent="0.3">
      <c r="A218" s="116" t="str">
        <f>IF(Inputs!$A44="","",Inputs!$A44)</f>
        <v>Chargable Proposals 26</v>
      </c>
      <c r="B218" s="116"/>
      <c r="C218" s="116"/>
      <c r="D218" s="118">
        <f t="shared" ref="D218:X218" si="55">IF(D133="",D48,D133)</f>
        <v>0</v>
      </c>
      <c r="E218" s="118">
        <f t="shared" si="55"/>
        <v>0</v>
      </c>
      <c r="F218" s="118">
        <f t="shared" si="55"/>
        <v>0</v>
      </c>
      <c r="G218" s="118">
        <f t="shared" si="55"/>
        <v>0</v>
      </c>
      <c r="H218" s="118">
        <f t="shared" si="55"/>
        <v>0</v>
      </c>
      <c r="I218" s="118">
        <f t="shared" si="55"/>
        <v>0</v>
      </c>
      <c r="J218" s="118">
        <f t="shared" si="55"/>
        <v>0</v>
      </c>
      <c r="K218" s="118">
        <f t="shared" si="55"/>
        <v>0</v>
      </c>
      <c r="L218" s="118">
        <f t="shared" si="55"/>
        <v>0</v>
      </c>
      <c r="M218" s="118">
        <f t="shared" si="55"/>
        <v>0.5547945205479452</v>
      </c>
      <c r="N218" s="118">
        <f t="shared" si="55"/>
        <v>0.56095890410958904</v>
      </c>
      <c r="O218" s="118">
        <f t="shared" si="55"/>
        <v>0.56712328767123288</v>
      </c>
      <c r="P218" s="118">
        <f t="shared" si="55"/>
        <v>0.56712328767123288</v>
      </c>
      <c r="Q218" s="118">
        <f t="shared" si="55"/>
        <v>0</v>
      </c>
      <c r="R218" s="118">
        <f t="shared" si="55"/>
        <v>0</v>
      </c>
      <c r="S218" s="118">
        <f t="shared" si="55"/>
        <v>0</v>
      </c>
      <c r="T218" s="118">
        <f t="shared" si="55"/>
        <v>0</v>
      </c>
      <c r="U218" s="118">
        <f t="shared" si="55"/>
        <v>0</v>
      </c>
      <c r="V218" s="118">
        <f t="shared" si="55"/>
        <v>0</v>
      </c>
      <c r="W218" s="118">
        <f t="shared" si="55"/>
        <v>0</v>
      </c>
      <c r="X218" s="118">
        <f t="shared" si="55"/>
        <v>0</v>
      </c>
      <c r="Y218" s="118">
        <f t="shared" si="49"/>
        <v>2.25</v>
      </c>
    </row>
    <row r="219" spans="1:25" x14ac:dyDescent="0.3">
      <c r="A219" s="116" t="str">
        <f>IF(Inputs!$A45="","",Inputs!$A45)</f>
        <v/>
      </c>
      <c r="B219" s="116"/>
      <c r="C219" s="116"/>
      <c r="D219" s="118">
        <f t="shared" ref="D219:X219" si="56">IF(D134="",D49,D134)</f>
        <v>0</v>
      </c>
      <c r="E219" s="118">
        <f t="shared" si="56"/>
        <v>0</v>
      </c>
      <c r="F219" s="118">
        <f t="shared" si="56"/>
        <v>0</v>
      </c>
      <c r="G219" s="118">
        <f t="shared" si="56"/>
        <v>0</v>
      </c>
      <c r="H219" s="118">
        <f t="shared" si="56"/>
        <v>0</v>
      </c>
      <c r="I219" s="118">
        <f t="shared" si="56"/>
        <v>0</v>
      </c>
      <c r="J219" s="118">
        <f t="shared" si="56"/>
        <v>0</v>
      </c>
      <c r="K219" s="118">
        <f t="shared" si="56"/>
        <v>0</v>
      </c>
      <c r="L219" s="118">
        <f t="shared" si="56"/>
        <v>0</v>
      </c>
      <c r="M219" s="118">
        <f t="shared" si="56"/>
        <v>0</v>
      </c>
      <c r="N219" s="118">
        <f t="shared" si="56"/>
        <v>0</v>
      </c>
      <c r="O219" s="118">
        <f t="shared" si="56"/>
        <v>0</v>
      </c>
      <c r="P219" s="118">
        <f t="shared" si="56"/>
        <v>0</v>
      </c>
      <c r="Q219" s="118">
        <f t="shared" si="56"/>
        <v>0</v>
      </c>
      <c r="R219" s="118">
        <f t="shared" si="56"/>
        <v>0</v>
      </c>
      <c r="S219" s="118">
        <f t="shared" si="56"/>
        <v>0</v>
      </c>
      <c r="T219" s="118">
        <f t="shared" si="56"/>
        <v>0</v>
      </c>
      <c r="U219" s="118">
        <f t="shared" si="56"/>
        <v>0</v>
      </c>
      <c r="V219" s="118">
        <f t="shared" si="56"/>
        <v>0</v>
      </c>
      <c r="W219" s="118">
        <f t="shared" si="56"/>
        <v>0</v>
      </c>
      <c r="X219" s="118">
        <f t="shared" si="56"/>
        <v>0</v>
      </c>
      <c r="Y219" s="118">
        <f t="shared" si="49"/>
        <v>0</v>
      </c>
    </row>
    <row r="220" spans="1:25" x14ac:dyDescent="0.3">
      <c r="A220" s="116" t="str">
        <f>IF(Inputs!$A46="","",Inputs!$A46)</f>
        <v>Proposals 26</v>
      </c>
      <c r="B220" s="116"/>
      <c r="C220" s="116"/>
      <c r="D220" s="118">
        <f t="shared" ref="D220:X220" si="57">IF(D135="",D50,D135)</f>
        <v>0</v>
      </c>
      <c r="E220" s="118">
        <f t="shared" si="57"/>
        <v>0</v>
      </c>
      <c r="F220" s="118">
        <f t="shared" si="57"/>
        <v>0</v>
      </c>
      <c r="G220" s="118">
        <f t="shared" si="57"/>
        <v>0</v>
      </c>
      <c r="H220" s="118">
        <f t="shared" si="57"/>
        <v>0</v>
      </c>
      <c r="I220" s="118">
        <f t="shared" si="57"/>
        <v>0</v>
      </c>
      <c r="J220" s="118">
        <f t="shared" si="57"/>
        <v>0</v>
      </c>
      <c r="K220" s="118">
        <f t="shared" si="57"/>
        <v>0</v>
      </c>
      <c r="L220" s="118">
        <f t="shared" si="57"/>
        <v>0</v>
      </c>
      <c r="M220" s="118">
        <f t="shared" si="57"/>
        <v>9.8630136986301367E-2</v>
      </c>
      <c r="N220" s="118">
        <f t="shared" si="57"/>
        <v>9.9726027397260275E-2</v>
      </c>
      <c r="O220" s="118">
        <f t="shared" si="57"/>
        <v>0.10082191780821918</v>
      </c>
      <c r="P220" s="118">
        <f t="shared" si="57"/>
        <v>0.10082191780821918</v>
      </c>
      <c r="Q220" s="118">
        <f t="shared" si="57"/>
        <v>0</v>
      </c>
      <c r="R220" s="118">
        <f t="shared" si="57"/>
        <v>0</v>
      </c>
      <c r="S220" s="118">
        <f t="shared" si="57"/>
        <v>0</v>
      </c>
      <c r="T220" s="118">
        <f t="shared" si="57"/>
        <v>0</v>
      </c>
      <c r="U220" s="118">
        <f t="shared" si="57"/>
        <v>0</v>
      </c>
      <c r="V220" s="118">
        <f t="shared" si="57"/>
        <v>0</v>
      </c>
      <c r="W220" s="118">
        <f t="shared" si="57"/>
        <v>0</v>
      </c>
      <c r="X220" s="118">
        <f t="shared" si="57"/>
        <v>0</v>
      </c>
      <c r="Y220" s="118">
        <f t="shared" si="49"/>
        <v>0.4</v>
      </c>
    </row>
    <row r="221" spans="1:25" x14ac:dyDescent="0.3">
      <c r="A221" s="116" t="str">
        <f>IF(Inputs!$A47="","",Inputs!$A47)</f>
        <v/>
      </c>
      <c r="B221" s="116"/>
      <c r="C221" s="116"/>
      <c r="D221" s="118">
        <f t="shared" ref="D221:X221" si="58">IF(D136="",D51,D136)</f>
        <v>0</v>
      </c>
      <c r="E221" s="118">
        <f t="shared" si="58"/>
        <v>0</v>
      </c>
      <c r="F221" s="118">
        <f t="shared" si="58"/>
        <v>0</v>
      </c>
      <c r="G221" s="118">
        <f t="shared" si="58"/>
        <v>0</v>
      </c>
      <c r="H221" s="118">
        <f t="shared" si="58"/>
        <v>0</v>
      </c>
      <c r="I221" s="118">
        <f t="shared" si="58"/>
        <v>0</v>
      </c>
      <c r="J221" s="118">
        <f t="shared" si="58"/>
        <v>0</v>
      </c>
      <c r="K221" s="118">
        <f t="shared" si="58"/>
        <v>0</v>
      </c>
      <c r="L221" s="118">
        <f t="shared" si="58"/>
        <v>0</v>
      </c>
      <c r="M221" s="118">
        <f t="shared" si="58"/>
        <v>0</v>
      </c>
      <c r="N221" s="118">
        <f t="shared" si="58"/>
        <v>0</v>
      </c>
      <c r="O221" s="118">
        <f t="shared" si="58"/>
        <v>0</v>
      </c>
      <c r="P221" s="118">
        <f t="shared" si="58"/>
        <v>0</v>
      </c>
      <c r="Q221" s="118">
        <f t="shared" si="58"/>
        <v>0</v>
      </c>
      <c r="R221" s="118">
        <f t="shared" si="58"/>
        <v>0</v>
      </c>
      <c r="S221" s="118">
        <f t="shared" si="58"/>
        <v>0</v>
      </c>
      <c r="T221" s="118">
        <f t="shared" si="58"/>
        <v>0</v>
      </c>
      <c r="U221" s="118">
        <f t="shared" si="58"/>
        <v>0</v>
      </c>
      <c r="V221" s="118">
        <f t="shared" si="58"/>
        <v>0</v>
      </c>
      <c r="W221" s="118">
        <f t="shared" si="58"/>
        <v>0</v>
      </c>
      <c r="X221" s="118">
        <f t="shared" si="58"/>
        <v>0</v>
      </c>
      <c r="Y221" s="118">
        <f t="shared" si="49"/>
        <v>0</v>
      </c>
    </row>
    <row r="222" spans="1:25" x14ac:dyDescent="0.3">
      <c r="A222" s="116" t="str">
        <f>IF(Inputs!$A48="","",Inputs!$A48)</f>
        <v/>
      </c>
      <c r="B222" s="116"/>
      <c r="C222" s="116"/>
      <c r="D222" s="118">
        <f t="shared" ref="D222:X222" si="59">IF(D137="",D52,D137)</f>
        <v>0</v>
      </c>
      <c r="E222" s="118">
        <f t="shared" si="59"/>
        <v>0</v>
      </c>
      <c r="F222" s="118">
        <f t="shared" si="59"/>
        <v>0</v>
      </c>
      <c r="G222" s="118">
        <f t="shared" si="59"/>
        <v>0</v>
      </c>
      <c r="H222" s="118">
        <f t="shared" si="59"/>
        <v>0</v>
      </c>
      <c r="I222" s="118">
        <f t="shared" si="59"/>
        <v>0</v>
      </c>
      <c r="J222" s="118">
        <f t="shared" si="59"/>
        <v>0</v>
      </c>
      <c r="K222" s="118">
        <f t="shared" si="59"/>
        <v>0</v>
      </c>
      <c r="L222" s="118">
        <f t="shared" si="59"/>
        <v>0</v>
      </c>
      <c r="M222" s="118">
        <f t="shared" si="59"/>
        <v>0</v>
      </c>
      <c r="N222" s="118">
        <f t="shared" si="59"/>
        <v>0</v>
      </c>
      <c r="O222" s="118">
        <f t="shared" si="59"/>
        <v>0</v>
      </c>
      <c r="P222" s="118">
        <f t="shared" si="59"/>
        <v>0</v>
      </c>
      <c r="Q222" s="118">
        <f t="shared" si="59"/>
        <v>0</v>
      </c>
      <c r="R222" s="118">
        <f t="shared" si="59"/>
        <v>0</v>
      </c>
      <c r="S222" s="118">
        <f t="shared" si="59"/>
        <v>0</v>
      </c>
      <c r="T222" s="118">
        <f t="shared" si="59"/>
        <v>0</v>
      </c>
      <c r="U222" s="118">
        <f t="shared" si="59"/>
        <v>0</v>
      </c>
      <c r="V222" s="118">
        <f t="shared" si="59"/>
        <v>0</v>
      </c>
      <c r="W222" s="118">
        <f t="shared" si="59"/>
        <v>0</v>
      </c>
      <c r="X222" s="118">
        <f t="shared" si="59"/>
        <v>0</v>
      </c>
      <c r="Y222" s="118">
        <f t="shared" si="49"/>
        <v>0</v>
      </c>
    </row>
    <row r="223" spans="1:25" x14ac:dyDescent="0.3">
      <c r="A223" s="116" t="str">
        <f>IF(Inputs!$A49="","",Inputs!$A49)</f>
        <v/>
      </c>
      <c r="B223" s="116"/>
      <c r="C223" s="116"/>
      <c r="D223" s="118">
        <f t="shared" ref="D223:X223" si="60">IF(D138="",D53,D138)</f>
        <v>0</v>
      </c>
      <c r="E223" s="118">
        <f t="shared" si="60"/>
        <v>0</v>
      </c>
      <c r="F223" s="118">
        <f t="shared" si="60"/>
        <v>0</v>
      </c>
      <c r="G223" s="118">
        <f t="shared" si="60"/>
        <v>0</v>
      </c>
      <c r="H223" s="118">
        <f t="shared" si="60"/>
        <v>0</v>
      </c>
      <c r="I223" s="118">
        <f t="shared" si="60"/>
        <v>0</v>
      </c>
      <c r="J223" s="118">
        <f t="shared" si="60"/>
        <v>0</v>
      </c>
      <c r="K223" s="118">
        <f t="shared" si="60"/>
        <v>0</v>
      </c>
      <c r="L223" s="118">
        <f t="shared" si="60"/>
        <v>0</v>
      </c>
      <c r="M223" s="118">
        <f t="shared" si="60"/>
        <v>0</v>
      </c>
      <c r="N223" s="118">
        <f t="shared" si="60"/>
        <v>0</v>
      </c>
      <c r="O223" s="118">
        <f t="shared" si="60"/>
        <v>0</v>
      </c>
      <c r="P223" s="118">
        <f t="shared" si="60"/>
        <v>0</v>
      </c>
      <c r="Q223" s="118">
        <f t="shared" si="60"/>
        <v>0</v>
      </c>
      <c r="R223" s="118">
        <f t="shared" si="60"/>
        <v>0</v>
      </c>
      <c r="S223" s="118">
        <f t="shared" si="60"/>
        <v>0</v>
      </c>
      <c r="T223" s="118">
        <f t="shared" si="60"/>
        <v>0</v>
      </c>
      <c r="U223" s="118">
        <f t="shared" si="60"/>
        <v>0</v>
      </c>
      <c r="V223" s="118">
        <f t="shared" si="60"/>
        <v>0</v>
      </c>
      <c r="W223" s="118">
        <f t="shared" si="60"/>
        <v>0</v>
      </c>
      <c r="X223" s="118">
        <f t="shared" si="60"/>
        <v>0</v>
      </c>
      <c r="Y223" s="118">
        <f t="shared" si="49"/>
        <v>0</v>
      </c>
    </row>
    <row r="224" spans="1:25" x14ac:dyDescent="0.3">
      <c r="A224" s="116" t="str">
        <f>IF(Inputs!$A50="","",Inputs!$A50)</f>
        <v/>
      </c>
      <c r="B224" s="116"/>
      <c r="C224" s="116"/>
      <c r="D224" s="118">
        <f t="shared" ref="D224:X224" si="61">IF(D139="",D54,D139)</f>
        <v>0</v>
      </c>
      <c r="E224" s="118">
        <f t="shared" si="61"/>
        <v>0</v>
      </c>
      <c r="F224" s="118">
        <f t="shared" si="61"/>
        <v>0</v>
      </c>
      <c r="G224" s="118">
        <f t="shared" si="61"/>
        <v>0</v>
      </c>
      <c r="H224" s="118">
        <f t="shared" si="61"/>
        <v>0</v>
      </c>
      <c r="I224" s="118">
        <f t="shared" si="61"/>
        <v>0</v>
      </c>
      <c r="J224" s="118">
        <f t="shared" si="61"/>
        <v>0</v>
      </c>
      <c r="K224" s="118">
        <f t="shared" si="61"/>
        <v>0</v>
      </c>
      <c r="L224" s="118">
        <f t="shared" si="61"/>
        <v>0</v>
      </c>
      <c r="M224" s="118">
        <f t="shared" si="61"/>
        <v>0</v>
      </c>
      <c r="N224" s="118">
        <f t="shared" si="61"/>
        <v>0</v>
      </c>
      <c r="O224" s="118">
        <f t="shared" si="61"/>
        <v>0</v>
      </c>
      <c r="P224" s="118">
        <f t="shared" si="61"/>
        <v>0</v>
      </c>
      <c r="Q224" s="118">
        <f t="shared" si="61"/>
        <v>0</v>
      </c>
      <c r="R224" s="118">
        <f t="shared" si="61"/>
        <v>0</v>
      </c>
      <c r="S224" s="118">
        <f t="shared" si="61"/>
        <v>0</v>
      </c>
      <c r="T224" s="118">
        <f t="shared" si="61"/>
        <v>0</v>
      </c>
      <c r="U224" s="118">
        <f t="shared" si="61"/>
        <v>0</v>
      </c>
      <c r="V224" s="118">
        <f t="shared" si="61"/>
        <v>0</v>
      </c>
      <c r="W224" s="118">
        <f t="shared" si="61"/>
        <v>0</v>
      </c>
      <c r="X224" s="118">
        <f t="shared" si="61"/>
        <v>0</v>
      </c>
      <c r="Y224" s="118">
        <f t="shared" si="49"/>
        <v>0</v>
      </c>
    </row>
    <row r="225" spans="1:25" x14ac:dyDescent="0.3">
      <c r="A225" s="116" t="str">
        <f>IF(Inputs!$A51="","",Inputs!$A51)</f>
        <v/>
      </c>
      <c r="B225" s="116"/>
      <c r="C225" s="116"/>
      <c r="D225" s="118">
        <f t="shared" ref="D225:X225" si="62">IF(D140="",D55,D140)</f>
        <v>0</v>
      </c>
      <c r="E225" s="118">
        <f t="shared" si="62"/>
        <v>0</v>
      </c>
      <c r="F225" s="118">
        <f t="shared" si="62"/>
        <v>0</v>
      </c>
      <c r="G225" s="118">
        <f t="shared" si="62"/>
        <v>0</v>
      </c>
      <c r="H225" s="118">
        <f t="shared" si="62"/>
        <v>0</v>
      </c>
      <c r="I225" s="118">
        <f t="shared" si="62"/>
        <v>0</v>
      </c>
      <c r="J225" s="118">
        <f t="shared" si="62"/>
        <v>0</v>
      </c>
      <c r="K225" s="118">
        <f t="shared" si="62"/>
        <v>0</v>
      </c>
      <c r="L225" s="118">
        <f t="shared" si="62"/>
        <v>0</v>
      </c>
      <c r="M225" s="118">
        <f t="shared" si="62"/>
        <v>0</v>
      </c>
      <c r="N225" s="118">
        <f t="shared" si="62"/>
        <v>0</v>
      </c>
      <c r="O225" s="118">
        <f t="shared" si="62"/>
        <v>0</v>
      </c>
      <c r="P225" s="118">
        <f t="shared" si="62"/>
        <v>0</v>
      </c>
      <c r="Q225" s="118">
        <f t="shared" si="62"/>
        <v>0</v>
      </c>
      <c r="R225" s="118">
        <f t="shared" si="62"/>
        <v>0</v>
      </c>
      <c r="S225" s="118">
        <f t="shared" si="62"/>
        <v>0</v>
      </c>
      <c r="T225" s="118">
        <f t="shared" si="62"/>
        <v>0</v>
      </c>
      <c r="U225" s="118">
        <f t="shared" si="62"/>
        <v>0</v>
      </c>
      <c r="V225" s="118">
        <f t="shared" si="62"/>
        <v>0</v>
      </c>
      <c r="W225" s="118">
        <f t="shared" si="62"/>
        <v>0</v>
      </c>
      <c r="X225" s="118">
        <f t="shared" si="62"/>
        <v>0</v>
      </c>
      <c r="Y225" s="118">
        <f t="shared" si="49"/>
        <v>0</v>
      </c>
    </row>
    <row r="226" spans="1:25" x14ac:dyDescent="0.3">
      <c r="A226" s="116" t="str">
        <f>IF(Inputs!$A52="","",Inputs!$A52)</f>
        <v/>
      </c>
      <c r="B226" s="116"/>
      <c r="C226" s="116"/>
      <c r="D226" s="118">
        <f t="shared" ref="D226:X226" si="63">IF(D141="",D56,D141)</f>
        <v>0</v>
      </c>
      <c r="E226" s="118">
        <f t="shared" si="63"/>
        <v>0</v>
      </c>
      <c r="F226" s="118">
        <f t="shared" si="63"/>
        <v>0</v>
      </c>
      <c r="G226" s="118">
        <f t="shared" si="63"/>
        <v>0</v>
      </c>
      <c r="H226" s="118">
        <f t="shared" si="63"/>
        <v>0</v>
      </c>
      <c r="I226" s="118">
        <f t="shared" si="63"/>
        <v>0</v>
      </c>
      <c r="J226" s="118">
        <f t="shared" si="63"/>
        <v>0</v>
      </c>
      <c r="K226" s="118">
        <f t="shared" si="63"/>
        <v>0</v>
      </c>
      <c r="L226" s="118">
        <f t="shared" si="63"/>
        <v>0</v>
      </c>
      <c r="M226" s="118">
        <f t="shared" si="63"/>
        <v>0</v>
      </c>
      <c r="N226" s="118">
        <f t="shared" si="63"/>
        <v>0</v>
      </c>
      <c r="O226" s="118">
        <f t="shared" si="63"/>
        <v>0</v>
      </c>
      <c r="P226" s="118">
        <f t="shared" si="63"/>
        <v>0</v>
      </c>
      <c r="Q226" s="118">
        <f t="shared" si="63"/>
        <v>0</v>
      </c>
      <c r="R226" s="118">
        <f t="shared" si="63"/>
        <v>0</v>
      </c>
      <c r="S226" s="118">
        <f t="shared" si="63"/>
        <v>0</v>
      </c>
      <c r="T226" s="118">
        <f t="shared" si="63"/>
        <v>0</v>
      </c>
      <c r="U226" s="118">
        <f t="shared" si="63"/>
        <v>0</v>
      </c>
      <c r="V226" s="118">
        <f t="shared" si="63"/>
        <v>0</v>
      </c>
      <c r="W226" s="118">
        <f t="shared" si="63"/>
        <v>0</v>
      </c>
      <c r="X226" s="118">
        <f t="shared" si="63"/>
        <v>0</v>
      </c>
      <c r="Y226" s="118">
        <f t="shared" si="49"/>
        <v>0</v>
      </c>
    </row>
    <row r="227" spans="1:25" x14ac:dyDescent="0.3">
      <c r="A227" s="116" t="str">
        <f>IF(Inputs!$A53="","",Inputs!$A53)</f>
        <v/>
      </c>
      <c r="B227" s="116"/>
      <c r="C227" s="116"/>
      <c r="D227" s="118">
        <f t="shared" ref="D227:X227" si="64">IF(D142="",D57,D142)</f>
        <v>0</v>
      </c>
      <c r="E227" s="118">
        <f t="shared" si="64"/>
        <v>0</v>
      </c>
      <c r="F227" s="118">
        <f t="shared" si="64"/>
        <v>0</v>
      </c>
      <c r="G227" s="118">
        <f t="shared" si="64"/>
        <v>0</v>
      </c>
      <c r="H227" s="118">
        <f t="shared" si="64"/>
        <v>0</v>
      </c>
      <c r="I227" s="118">
        <f t="shared" si="64"/>
        <v>0</v>
      </c>
      <c r="J227" s="118">
        <f t="shared" si="64"/>
        <v>0</v>
      </c>
      <c r="K227" s="118">
        <f t="shared" si="64"/>
        <v>0</v>
      </c>
      <c r="L227" s="118">
        <f t="shared" si="64"/>
        <v>0</v>
      </c>
      <c r="M227" s="118">
        <f t="shared" si="64"/>
        <v>0</v>
      </c>
      <c r="N227" s="118">
        <f t="shared" si="64"/>
        <v>0</v>
      </c>
      <c r="O227" s="118">
        <f t="shared" si="64"/>
        <v>0</v>
      </c>
      <c r="P227" s="118">
        <f t="shared" si="64"/>
        <v>0</v>
      </c>
      <c r="Q227" s="118">
        <f t="shared" si="64"/>
        <v>0</v>
      </c>
      <c r="R227" s="118">
        <f t="shared" si="64"/>
        <v>0</v>
      </c>
      <c r="S227" s="118">
        <f t="shared" si="64"/>
        <v>0</v>
      </c>
      <c r="T227" s="118">
        <f t="shared" si="64"/>
        <v>0</v>
      </c>
      <c r="U227" s="118">
        <f t="shared" si="64"/>
        <v>0</v>
      </c>
      <c r="V227" s="118">
        <f t="shared" si="64"/>
        <v>0</v>
      </c>
      <c r="W227" s="118">
        <f t="shared" si="64"/>
        <v>0</v>
      </c>
      <c r="X227" s="118">
        <f t="shared" si="64"/>
        <v>0</v>
      </c>
      <c r="Y227" s="118">
        <f t="shared" si="49"/>
        <v>0</v>
      </c>
    </row>
    <row r="228" spans="1:25" x14ac:dyDescent="0.3">
      <c r="A228" s="116" t="str">
        <f>IF(Inputs!$A54="","",Inputs!$A54)</f>
        <v/>
      </c>
      <c r="B228" s="116"/>
      <c r="C228" s="116"/>
      <c r="D228" s="118">
        <f t="shared" ref="D228:X228" si="65">IF(D143="",D58,D143)</f>
        <v>0</v>
      </c>
      <c r="E228" s="118">
        <f t="shared" si="65"/>
        <v>0</v>
      </c>
      <c r="F228" s="118">
        <f t="shared" si="65"/>
        <v>0</v>
      </c>
      <c r="G228" s="118">
        <f t="shared" si="65"/>
        <v>0</v>
      </c>
      <c r="H228" s="118">
        <f t="shared" si="65"/>
        <v>0</v>
      </c>
      <c r="I228" s="118">
        <f t="shared" si="65"/>
        <v>0</v>
      </c>
      <c r="J228" s="118">
        <f t="shared" si="65"/>
        <v>0</v>
      </c>
      <c r="K228" s="118">
        <f t="shared" si="65"/>
        <v>0</v>
      </c>
      <c r="L228" s="118">
        <f t="shared" si="65"/>
        <v>0</v>
      </c>
      <c r="M228" s="118">
        <f t="shared" si="65"/>
        <v>0</v>
      </c>
      <c r="N228" s="118">
        <f t="shared" si="65"/>
        <v>0</v>
      </c>
      <c r="O228" s="118">
        <f t="shared" si="65"/>
        <v>0</v>
      </c>
      <c r="P228" s="118">
        <f t="shared" si="65"/>
        <v>0</v>
      </c>
      <c r="Q228" s="118">
        <f t="shared" si="65"/>
        <v>0</v>
      </c>
      <c r="R228" s="118">
        <f t="shared" si="65"/>
        <v>0</v>
      </c>
      <c r="S228" s="118">
        <f t="shared" si="65"/>
        <v>0</v>
      </c>
      <c r="T228" s="118">
        <f t="shared" si="65"/>
        <v>0</v>
      </c>
      <c r="U228" s="118">
        <f t="shared" si="65"/>
        <v>0</v>
      </c>
      <c r="V228" s="118">
        <f t="shared" si="65"/>
        <v>0</v>
      </c>
      <c r="W228" s="118">
        <f t="shared" si="65"/>
        <v>0</v>
      </c>
      <c r="X228" s="118">
        <f t="shared" si="65"/>
        <v>0</v>
      </c>
      <c r="Y228" s="118">
        <f t="shared" si="49"/>
        <v>0</v>
      </c>
    </row>
    <row r="229" spans="1:25" x14ac:dyDescent="0.3">
      <c r="A229" s="116" t="str">
        <f>IF(Inputs!$A55="","",Inputs!$A55)</f>
        <v/>
      </c>
      <c r="B229" s="116"/>
      <c r="C229" s="116"/>
      <c r="D229" s="118">
        <f t="shared" ref="D229:X229" si="66">IF(D144="",D59,D144)</f>
        <v>0</v>
      </c>
      <c r="E229" s="118">
        <f t="shared" si="66"/>
        <v>0</v>
      </c>
      <c r="F229" s="118">
        <f t="shared" si="66"/>
        <v>0</v>
      </c>
      <c r="G229" s="118">
        <f t="shared" si="66"/>
        <v>0</v>
      </c>
      <c r="H229" s="118">
        <f t="shared" si="66"/>
        <v>0</v>
      </c>
      <c r="I229" s="118">
        <f t="shared" si="66"/>
        <v>0</v>
      </c>
      <c r="J229" s="118">
        <f t="shared" si="66"/>
        <v>0</v>
      </c>
      <c r="K229" s="118">
        <f t="shared" si="66"/>
        <v>0</v>
      </c>
      <c r="L229" s="118">
        <f t="shared" si="66"/>
        <v>0</v>
      </c>
      <c r="M229" s="118">
        <f t="shared" si="66"/>
        <v>0</v>
      </c>
      <c r="N229" s="118">
        <f t="shared" si="66"/>
        <v>0</v>
      </c>
      <c r="O229" s="118">
        <f t="shared" si="66"/>
        <v>0</v>
      </c>
      <c r="P229" s="118">
        <f t="shared" si="66"/>
        <v>0</v>
      </c>
      <c r="Q229" s="118">
        <f t="shared" si="66"/>
        <v>0</v>
      </c>
      <c r="R229" s="118">
        <f t="shared" si="66"/>
        <v>0</v>
      </c>
      <c r="S229" s="118">
        <f t="shared" si="66"/>
        <v>0</v>
      </c>
      <c r="T229" s="118">
        <f t="shared" si="66"/>
        <v>0</v>
      </c>
      <c r="U229" s="118">
        <f t="shared" si="66"/>
        <v>0</v>
      </c>
      <c r="V229" s="118">
        <f t="shared" si="66"/>
        <v>0</v>
      </c>
      <c r="W229" s="118">
        <f t="shared" si="66"/>
        <v>0</v>
      </c>
      <c r="X229" s="118">
        <f t="shared" si="66"/>
        <v>0</v>
      </c>
      <c r="Y229" s="118">
        <f t="shared" si="49"/>
        <v>0</v>
      </c>
    </row>
    <row r="230" spans="1:25" x14ac:dyDescent="0.3">
      <c r="A230" s="116" t="str">
        <f>IF(Inputs!$A56="","",Inputs!$A56)</f>
        <v/>
      </c>
      <c r="B230" s="116"/>
      <c r="C230" s="116"/>
      <c r="D230" s="118">
        <f t="shared" ref="D230:X230" si="67">IF(D145="",D60,D145)</f>
        <v>0</v>
      </c>
      <c r="E230" s="118">
        <f t="shared" si="67"/>
        <v>0</v>
      </c>
      <c r="F230" s="118">
        <f t="shared" si="67"/>
        <v>0</v>
      </c>
      <c r="G230" s="118">
        <f t="shared" si="67"/>
        <v>0</v>
      </c>
      <c r="H230" s="118">
        <f t="shared" si="67"/>
        <v>0</v>
      </c>
      <c r="I230" s="118">
        <f t="shared" si="67"/>
        <v>0</v>
      </c>
      <c r="J230" s="118">
        <f t="shared" si="67"/>
        <v>0</v>
      </c>
      <c r="K230" s="118">
        <f t="shared" si="67"/>
        <v>0</v>
      </c>
      <c r="L230" s="118">
        <f t="shared" si="67"/>
        <v>0</v>
      </c>
      <c r="M230" s="118">
        <f t="shared" si="67"/>
        <v>0</v>
      </c>
      <c r="N230" s="118">
        <f t="shared" si="67"/>
        <v>0</v>
      </c>
      <c r="O230" s="118">
        <f t="shared" si="67"/>
        <v>0</v>
      </c>
      <c r="P230" s="118">
        <f t="shared" si="67"/>
        <v>0</v>
      </c>
      <c r="Q230" s="118">
        <f t="shared" si="67"/>
        <v>0</v>
      </c>
      <c r="R230" s="118">
        <f t="shared" si="67"/>
        <v>0</v>
      </c>
      <c r="S230" s="118">
        <f t="shared" si="67"/>
        <v>0</v>
      </c>
      <c r="T230" s="118">
        <f t="shared" si="67"/>
        <v>0</v>
      </c>
      <c r="U230" s="118">
        <f t="shared" si="67"/>
        <v>0</v>
      </c>
      <c r="V230" s="118">
        <f t="shared" si="67"/>
        <v>0</v>
      </c>
      <c r="W230" s="118">
        <f t="shared" si="67"/>
        <v>0</v>
      </c>
      <c r="X230" s="118">
        <f t="shared" si="67"/>
        <v>0</v>
      </c>
      <c r="Y230" s="118">
        <f t="shared" si="49"/>
        <v>0</v>
      </c>
    </row>
    <row r="231" spans="1:25" x14ac:dyDescent="0.3">
      <c r="A231" s="116" t="str">
        <f>IF(Inputs!$A57="","",Inputs!$A57)</f>
        <v/>
      </c>
      <c r="B231" s="116"/>
      <c r="C231" s="116"/>
      <c r="D231" s="118">
        <f t="shared" ref="D231:X231" si="68">IF(D146="",D61,D146)</f>
        <v>0</v>
      </c>
      <c r="E231" s="118">
        <f t="shared" si="68"/>
        <v>0</v>
      </c>
      <c r="F231" s="118">
        <f t="shared" si="68"/>
        <v>0</v>
      </c>
      <c r="G231" s="118">
        <f t="shared" si="68"/>
        <v>0</v>
      </c>
      <c r="H231" s="118">
        <f t="shared" si="68"/>
        <v>0</v>
      </c>
      <c r="I231" s="118">
        <f t="shared" si="68"/>
        <v>0</v>
      </c>
      <c r="J231" s="118">
        <f t="shared" si="68"/>
        <v>0</v>
      </c>
      <c r="K231" s="118">
        <f t="shared" si="68"/>
        <v>0</v>
      </c>
      <c r="L231" s="118">
        <f t="shared" si="68"/>
        <v>0</v>
      </c>
      <c r="M231" s="118">
        <f t="shared" si="68"/>
        <v>0</v>
      </c>
      <c r="N231" s="118">
        <f t="shared" si="68"/>
        <v>0</v>
      </c>
      <c r="O231" s="118">
        <f t="shared" si="68"/>
        <v>0</v>
      </c>
      <c r="P231" s="118">
        <f t="shared" si="68"/>
        <v>0</v>
      </c>
      <c r="Q231" s="118">
        <f t="shared" si="68"/>
        <v>0</v>
      </c>
      <c r="R231" s="118">
        <f t="shared" si="68"/>
        <v>0</v>
      </c>
      <c r="S231" s="118">
        <f t="shared" si="68"/>
        <v>0</v>
      </c>
      <c r="T231" s="118">
        <f t="shared" si="68"/>
        <v>0</v>
      </c>
      <c r="U231" s="118">
        <f t="shared" si="68"/>
        <v>0</v>
      </c>
      <c r="V231" s="118">
        <f t="shared" si="68"/>
        <v>0</v>
      </c>
      <c r="W231" s="118">
        <f t="shared" si="68"/>
        <v>0</v>
      </c>
      <c r="X231" s="118">
        <f t="shared" si="68"/>
        <v>0</v>
      </c>
      <c r="Y231" s="118">
        <f t="shared" si="49"/>
        <v>0</v>
      </c>
    </row>
    <row r="232" spans="1:25" x14ac:dyDescent="0.3">
      <c r="A232" s="116" t="str">
        <f>IF(Inputs!$A58="","",Inputs!$A58)</f>
        <v/>
      </c>
      <c r="B232" s="116"/>
      <c r="C232" s="116"/>
      <c r="D232" s="118">
        <f t="shared" ref="D232:X232" si="69">IF(D147="",D62,D147)</f>
        <v>0</v>
      </c>
      <c r="E232" s="118">
        <f t="shared" si="69"/>
        <v>0</v>
      </c>
      <c r="F232" s="118">
        <f t="shared" si="69"/>
        <v>0</v>
      </c>
      <c r="G232" s="118">
        <f t="shared" si="69"/>
        <v>0</v>
      </c>
      <c r="H232" s="118">
        <f t="shared" si="69"/>
        <v>0</v>
      </c>
      <c r="I232" s="118">
        <f t="shared" si="69"/>
        <v>0</v>
      </c>
      <c r="J232" s="118">
        <f t="shared" si="69"/>
        <v>0</v>
      </c>
      <c r="K232" s="118">
        <f t="shared" si="69"/>
        <v>0</v>
      </c>
      <c r="L232" s="118">
        <f t="shared" si="69"/>
        <v>0</v>
      </c>
      <c r="M232" s="118">
        <f t="shared" si="69"/>
        <v>0</v>
      </c>
      <c r="N232" s="118">
        <f t="shared" si="69"/>
        <v>0</v>
      </c>
      <c r="O232" s="118">
        <f t="shared" si="69"/>
        <v>0</v>
      </c>
      <c r="P232" s="118">
        <f t="shared" si="69"/>
        <v>0</v>
      </c>
      <c r="Q232" s="118">
        <f t="shared" si="69"/>
        <v>0</v>
      </c>
      <c r="R232" s="118">
        <f t="shared" si="69"/>
        <v>0</v>
      </c>
      <c r="S232" s="118">
        <f t="shared" si="69"/>
        <v>0</v>
      </c>
      <c r="T232" s="118">
        <f t="shared" si="69"/>
        <v>0</v>
      </c>
      <c r="U232" s="118">
        <f t="shared" si="69"/>
        <v>0</v>
      </c>
      <c r="V232" s="118">
        <f t="shared" si="69"/>
        <v>0</v>
      </c>
      <c r="W232" s="118">
        <f t="shared" si="69"/>
        <v>0</v>
      </c>
      <c r="X232" s="118">
        <f t="shared" si="69"/>
        <v>0</v>
      </c>
      <c r="Y232" s="118">
        <f t="shared" si="49"/>
        <v>0</v>
      </c>
    </row>
    <row r="233" spans="1:25" x14ac:dyDescent="0.3">
      <c r="A233" s="116" t="str">
        <f>IF(Inputs!$A59="","",Inputs!$A59)</f>
        <v/>
      </c>
      <c r="B233" s="116"/>
      <c r="C233" s="116"/>
      <c r="D233" s="118">
        <f t="shared" ref="D233:X233" si="70">IF(D148="",D63,D148)</f>
        <v>0</v>
      </c>
      <c r="E233" s="118">
        <f t="shared" si="70"/>
        <v>0</v>
      </c>
      <c r="F233" s="118">
        <f t="shared" si="70"/>
        <v>0</v>
      </c>
      <c r="G233" s="118">
        <f t="shared" si="70"/>
        <v>0</v>
      </c>
      <c r="H233" s="118">
        <f t="shared" si="70"/>
        <v>0</v>
      </c>
      <c r="I233" s="118">
        <f t="shared" si="70"/>
        <v>0</v>
      </c>
      <c r="J233" s="118">
        <f t="shared" si="70"/>
        <v>0</v>
      </c>
      <c r="K233" s="118">
        <f t="shared" si="70"/>
        <v>0</v>
      </c>
      <c r="L233" s="118">
        <f t="shared" si="70"/>
        <v>0</v>
      </c>
      <c r="M233" s="118">
        <f t="shared" si="70"/>
        <v>0</v>
      </c>
      <c r="N233" s="118">
        <f t="shared" si="70"/>
        <v>0</v>
      </c>
      <c r="O233" s="118">
        <f t="shared" si="70"/>
        <v>0</v>
      </c>
      <c r="P233" s="118">
        <f t="shared" si="70"/>
        <v>0</v>
      </c>
      <c r="Q233" s="118">
        <f t="shared" si="70"/>
        <v>0</v>
      </c>
      <c r="R233" s="118">
        <f t="shared" si="70"/>
        <v>0</v>
      </c>
      <c r="S233" s="118">
        <f t="shared" si="70"/>
        <v>0</v>
      </c>
      <c r="T233" s="118">
        <f t="shared" si="70"/>
        <v>0</v>
      </c>
      <c r="U233" s="118">
        <f t="shared" si="70"/>
        <v>0</v>
      </c>
      <c r="V233" s="118">
        <f t="shared" si="70"/>
        <v>0</v>
      </c>
      <c r="W233" s="118">
        <f t="shared" si="70"/>
        <v>0</v>
      </c>
      <c r="X233" s="118">
        <f t="shared" si="70"/>
        <v>0</v>
      </c>
      <c r="Y233" s="118">
        <f t="shared" si="49"/>
        <v>0</v>
      </c>
    </row>
    <row r="234" spans="1:25" x14ac:dyDescent="0.3">
      <c r="A234" s="116" t="str">
        <f>IF(Inputs!$A60="","",Inputs!$A60)</f>
        <v/>
      </c>
      <c r="B234" s="116"/>
      <c r="C234" s="116"/>
      <c r="D234" s="118">
        <f t="shared" ref="D234:X234" si="71">IF(D149="",D64,D149)</f>
        <v>0</v>
      </c>
      <c r="E234" s="118">
        <f t="shared" si="71"/>
        <v>0</v>
      </c>
      <c r="F234" s="118">
        <f t="shared" si="71"/>
        <v>0</v>
      </c>
      <c r="G234" s="118">
        <f t="shared" si="71"/>
        <v>0</v>
      </c>
      <c r="H234" s="118">
        <f t="shared" si="71"/>
        <v>0</v>
      </c>
      <c r="I234" s="118">
        <f t="shared" si="71"/>
        <v>0</v>
      </c>
      <c r="J234" s="118">
        <f t="shared" si="71"/>
        <v>0</v>
      </c>
      <c r="K234" s="118">
        <f t="shared" si="71"/>
        <v>0</v>
      </c>
      <c r="L234" s="118">
        <f t="shared" si="71"/>
        <v>0</v>
      </c>
      <c r="M234" s="118">
        <f t="shared" si="71"/>
        <v>0</v>
      </c>
      <c r="N234" s="118">
        <f t="shared" si="71"/>
        <v>0</v>
      </c>
      <c r="O234" s="118">
        <f t="shared" si="71"/>
        <v>0</v>
      </c>
      <c r="P234" s="118">
        <f t="shared" si="71"/>
        <v>0</v>
      </c>
      <c r="Q234" s="118">
        <f t="shared" si="71"/>
        <v>0</v>
      </c>
      <c r="R234" s="118">
        <f t="shared" si="71"/>
        <v>0</v>
      </c>
      <c r="S234" s="118">
        <f t="shared" si="71"/>
        <v>0</v>
      </c>
      <c r="T234" s="118">
        <f t="shared" si="71"/>
        <v>0</v>
      </c>
      <c r="U234" s="118">
        <f t="shared" si="71"/>
        <v>0</v>
      </c>
      <c r="V234" s="118">
        <f t="shared" si="71"/>
        <v>0</v>
      </c>
      <c r="W234" s="118">
        <f t="shared" si="71"/>
        <v>0</v>
      </c>
      <c r="X234" s="118">
        <f t="shared" si="71"/>
        <v>0</v>
      </c>
      <c r="Y234" s="118">
        <f t="shared" si="49"/>
        <v>0</v>
      </c>
    </row>
    <row r="235" spans="1:25" x14ac:dyDescent="0.3">
      <c r="A235" s="116" t="str">
        <f>IF(Inputs!$A61="","",Inputs!$A61)</f>
        <v/>
      </c>
      <c r="B235" s="116"/>
      <c r="C235" s="116"/>
      <c r="D235" s="118">
        <f t="shared" ref="D235:X235" si="72">IF(D150="",D65,D150)</f>
        <v>0</v>
      </c>
      <c r="E235" s="118">
        <f t="shared" si="72"/>
        <v>0</v>
      </c>
      <c r="F235" s="118">
        <f t="shared" si="72"/>
        <v>0</v>
      </c>
      <c r="G235" s="118">
        <f t="shared" si="72"/>
        <v>0</v>
      </c>
      <c r="H235" s="118">
        <f t="shared" si="72"/>
        <v>0</v>
      </c>
      <c r="I235" s="118">
        <f t="shared" si="72"/>
        <v>0</v>
      </c>
      <c r="J235" s="118">
        <f t="shared" si="72"/>
        <v>0</v>
      </c>
      <c r="K235" s="118">
        <f t="shared" si="72"/>
        <v>0</v>
      </c>
      <c r="L235" s="118">
        <f t="shared" si="72"/>
        <v>0</v>
      </c>
      <c r="M235" s="118">
        <f t="shared" si="72"/>
        <v>0</v>
      </c>
      <c r="N235" s="118">
        <f t="shared" si="72"/>
        <v>0</v>
      </c>
      <c r="O235" s="118">
        <f t="shared" si="72"/>
        <v>0</v>
      </c>
      <c r="P235" s="118">
        <f t="shared" si="72"/>
        <v>0</v>
      </c>
      <c r="Q235" s="118">
        <f t="shared" si="72"/>
        <v>0</v>
      </c>
      <c r="R235" s="118">
        <f t="shared" si="72"/>
        <v>0</v>
      </c>
      <c r="S235" s="118">
        <f t="shared" si="72"/>
        <v>0</v>
      </c>
      <c r="T235" s="118">
        <f t="shared" si="72"/>
        <v>0</v>
      </c>
      <c r="U235" s="118">
        <f t="shared" si="72"/>
        <v>0</v>
      </c>
      <c r="V235" s="118">
        <f t="shared" si="72"/>
        <v>0</v>
      </c>
      <c r="W235" s="118">
        <f t="shared" si="72"/>
        <v>0</v>
      </c>
      <c r="X235" s="118">
        <f t="shared" si="72"/>
        <v>0</v>
      </c>
      <c r="Y235" s="118">
        <f t="shared" si="49"/>
        <v>0</v>
      </c>
    </row>
    <row r="236" spans="1:25" x14ac:dyDescent="0.3">
      <c r="A236" s="116" t="str">
        <f>IF(Inputs!$A62="","",Inputs!$A62)</f>
        <v/>
      </c>
      <c r="B236" s="116"/>
      <c r="C236" s="116"/>
      <c r="D236" s="118">
        <f t="shared" ref="D236:X236" si="73">IF(D151="",D66,D151)</f>
        <v>0</v>
      </c>
      <c r="E236" s="118">
        <f t="shared" si="73"/>
        <v>0</v>
      </c>
      <c r="F236" s="118">
        <f t="shared" si="73"/>
        <v>0</v>
      </c>
      <c r="G236" s="118">
        <f t="shared" si="73"/>
        <v>0</v>
      </c>
      <c r="H236" s="118">
        <f t="shared" si="73"/>
        <v>0</v>
      </c>
      <c r="I236" s="118">
        <f t="shared" si="73"/>
        <v>0</v>
      </c>
      <c r="J236" s="118">
        <f t="shared" si="73"/>
        <v>0</v>
      </c>
      <c r="K236" s="118">
        <f t="shared" si="73"/>
        <v>0</v>
      </c>
      <c r="L236" s="118">
        <f t="shared" si="73"/>
        <v>0</v>
      </c>
      <c r="M236" s="118">
        <f t="shared" si="73"/>
        <v>0</v>
      </c>
      <c r="N236" s="118">
        <f t="shared" si="73"/>
        <v>0</v>
      </c>
      <c r="O236" s="118">
        <f t="shared" si="73"/>
        <v>0</v>
      </c>
      <c r="P236" s="118">
        <f t="shared" si="73"/>
        <v>0</v>
      </c>
      <c r="Q236" s="118">
        <f t="shared" si="73"/>
        <v>0</v>
      </c>
      <c r="R236" s="118">
        <f t="shared" si="73"/>
        <v>0</v>
      </c>
      <c r="S236" s="118">
        <f t="shared" si="73"/>
        <v>0</v>
      </c>
      <c r="T236" s="118">
        <f t="shared" si="73"/>
        <v>0</v>
      </c>
      <c r="U236" s="118">
        <f t="shared" si="73"/>
        <v>0</v>
      </c>
      <c r="V236" s="118">
        <f t="shared" si="73"/>
        <v>0</v>
      </c>
      <c r="W236" s="118">
        <f t="shared" si="73"/>
        <v>0</v>
      </c>
      <c r="X236" s="118">
        <f t="shared" si="73"/>
        <v>0</v>
      </c>
      <c r="Y236" s="118">
        <f t="shared" si="49"/>
        <v>0</v>
      </c>
    </row>
    <row r="237" spans="1:25" x14ac:dyDescent="0.3">
      <c r="A237" s="116" t="str">
        <f>IF(Inputs!$A63="","",Inputs!$A63)</f>
        <v/>
      </c>
      <c r="B237" s="116"/>
      <c r="C237" s="116"/>
      <c r="D237" s="118">
        <f t="shared" ref="D237:X237" si="74">IF(D152="",D67,D152)</f>
        <v>0</v>
      </c>
      <c r="E237" s="118">
        <f t="shared" si="74"/>
        <v>0</v>
      </c>
      <c r="F237" s="118">
        <f t="shared" si="74"/>
        <v>0</v>
      </c>
      <c r="G237" s="118">
        <f t="shared" si="74"/>
        <v>0</v>
      </c>
      <c r="H237" s="118">
        <f t="shared" si="74"/>
        <v>0</v>
      </c>
      <c r="I237" s="118">
        <f t="shared" si="74"/>
        <v>0</v>
      </c>
      <c r="J237" s="118">
        <f t="shared" si="74"/>
        <v>0</v>
      </c>
      <c r="K237" s="118">
        <f t="shared" si="74"/>
        <v>0</v>
      </c>
      <c r="L237" s="118">
        <f t="shared" si="74"/>
        <v>0</v>
      </c>
      <c r="M237" s="118">
        <f t="shared" si="74"/>
        <v>0</v>
      </c>
      <c r="N237" s="118">
        <f t="shared" si="74"/>
        <v>0</v>
      </c>
      <c r="O237" s="118">
        <f t="shared" si="74"/>
        <v>0</v>
      </c>
      <c r="P237" s="118">
        <f t="shared" si="74"/>
        <v>0</v>
      </c>
      <c r="Q237" s="118">
        <f t="shared" si="74"/>
        <v>0</v>
      </c>
      <c r="R237" s="118">
        <f t="shared" si="74"/>
        <v>0</v>
      </c>
      <c r="S237" s="118">
        <f t="shared" si="74"/>
        <v>0</v>
      </c>
      <c r="T237" s="118">
        <f t="shared" si="74"/>
        <v>0</v>
      </c>
      <c r="U237" s="118">
        <f t="shared" si="74"/>
        <v>0</v>
      </c>
      <c r="V237" s="118">
        <f t="shared" si="74"/>
        <v>0</v>
      </c>
      <c r="W237" s="118">
        <f t="shared" si="74"/>
        <v>0</v>
      </c>
      <c r="X237" s="118">
        <f t="shared" si="74"/>
        <v>0</v>
      </c>
      <c r="Y237" s="118">
        <f t="shared" si="49"/>
        <v>0</v>
      </c>
    </row>
    <row r="238" spans="1:25" x14ac:dyDescent="0.3">
      <c r="A238" s="116" t="str">
        <f>IF(Inputs!$A64="","",Inputs!$A64)</f>
        <v/>
      </c>
      <c r="B238" s="116"/>
      <c r="C238" s="116"/>
      <c r="D238" s="118">
        <f t="shared" ref="D238:X238" si="75">IF(D153="",D68,D153)</f>
        <v>0</v>
      </c>
      <c r="E238" s="118">
        <f t="shared" si="75"/>
        <v>0</v>
      </c>
      <c r="F238" s="118">
        <f t="shared" si="75"/>
        <v>0</v>
      </c>
      <c r="G238" s="118">
        <f t="shared" si="75"/>
        <v>0</v>
      </c>
      <c r="H238" s="118">
        <f t="shared" si="75"/>
        <v>0</v>
      </c>
      <c r="I238" s="118">
        <f t="shared" si="75"/>
        <v>0</v>
      </c>
      <c r="J238" s="118">
        <f t="shared" si="75"/>
        <v>0</v>
      </c>
      <c r="K238" s="118">
        <f t="shared" si="75"/>
        <v>0</v>
      </c>
      <c r="L238" s="118">
        <f t="shared" si="75"/>
        <v>0</v>
      </c>
      <c r="M238" s="118">
        <f t="shared" si="75"/>
        <v>0</v>
      </c>
      <c r="N238" s="118">
        <f t="shared" si="75"/>
        <v>0</v>
      </c>
      <c r="O238" s="118">
        <f t="shared" si="75"/>
        <v>0</v>
      </c>
      <c r="P238" s="118">
        <f t="shared" si="75"/>
        <v>0</v>
      </c>
      <c r="Q238" s="118">
        <f t="shared" si="75"/>
        <v>0</v>
      </c>
      <c r="R238" s="118">
        <f t="shared" si="75"/>
        <v>0</v>
      </c>
      <c r="S238" s="118">
        <f t="shared" si="75"/>
        <v>0</v>
      </c>
      <c r="T238" s="118">
        <f t="shared" si="75"/>
        <v>0</v>
      </c>
      <c r="U238" s="118">
        <f t="shared" si="75"/>
        <v>0</v>
      </c>
      <c r="V238" s="118">
        <f t="shared" si="75"/>
        <v>0</v>
      </c>
      <c r="W238" s="118">
        <f t="shared" si="75"/>
        <v>0</v>
      </c>
      <c r="X238" s="118">
        <f t="shared" si="75"/>
        <v>0</v>
      </c>
      <c r="Y238" s="118">
        <f t="shared" si="49"/>
        <v>0</v>
      </c>
    </row>
    <row r="239" spans="1:25" x14ac:dyDescent="0.3">
      <c r="A239" s="116" t="str">
        <f>IF(Inputs!$A65="","",Inputs!$A65)</f>
        <v/>
      </c>
      <c r="B239" s="116"/>
      <c r="C239" s="116"/>
      <c r="D239" s="118">
        <f t="shared" ref="D239:X239" si="76">IF(D154="",D69,D154)</f>
        <v>0</v>
      </c>
      <c r="E239" s="118">
        <f t="shared" si="76"/>
        <v>0</v>
      </c>
      <c r="F239" s="118">
        <f t="shared" si="76"/>
        <v>0</v>
      </c>
      <c r="G239" s="118">
        <f t="shared" si="76"/>
        <v>0</v>
      </c>
      <c r="H239" s="118">
        <f t="shared" si="76"/>
        <v>0</v>
      </c>
      <c r="I239" s="118">
        <f t="shared" si="76"/>
        <v>0</v>
      </c>
      <c r="J239" s="118">
        <f t="shared" si="76"/>
        <v>0</v>
      </c>
      <c r="K239" s="118">
        <f t="shared" si="76"/>
        <v>0</v>
      </c>
      <c r="L239" s="118">
        <f t="shared" si="76"/>
        <v>0</v>
      </c>
      <c r="M239" s="118">
        <f t="shared" si="76"/>
        <v>0</v>
      </c>
      <c r="N239" s="118">
        <f t="shared" si="76"/>
        <v>0</v>
      </c>
      <c r="O239" s="118">
        <f t="shared" si="76"/>
        <v>0</v>
      </c>
      <c r="P239" s="118">
        <f t="shared" si="76"/>
        <v>0</v>
      </c>
      <c r="Q239" s="118">
        <f t="shared" si="76"/>
        <v>0</v>
      </c>
      <c r="R239" s="118">
        <f t="shared" si="76"/>
        <v>0</v>
      </c>
      <c r="S239" s="118">
        <f t="shared" si="76"/>
        <v>0</v>
      </c>
      <c r="T239" s="118">
        <f t="shared" si="76"/>
        <v>0</v>
      </c>
      <c r="U239" s="118">
        <f t="shared" si="76"/>
        <v>0</v>
      </c>
      <c r="V239" s="118">
        <f t="shared" si="76"/>
        <v>0</v>
      </c>
      <c r="W239" s="118">
        <f t="shared" si="76"/>
        <v>0</v>
      </c>
      <c r="X239" s="118">
        <f t="shared" si="76"/>
        <v>0</v>
      </c>
      <c r="Y239" s="118">
        <f t="shared" si="49"/>
        <v>0</v>
      </c>
    </row>
    <row r="240" spans="1:25" x14ac:dyDescent="0.3">
      <c r="A240" s="116" t="str">
        <f>IF(Inputs!$A66="","",Inputs!$A66)</f>
        <v/>
      </c>
      <c r="B240" s="116"/>
      <c r="C240" s="116"/>
      <c r="D240" s="118">
        <f t="shared" ref="D240:X240" si="77">IF(D155="",D70,D155)</f>
        <v>0</v>
      </c>
      <c r="E240" s="118">
        <f t="shared" si="77"/>
        <v>0</v>
      </c>
      <c r="F240" s="118">
        <f t="shared" si="77"/>
        <v>0</v>
      </c>
      <c r="G240" s="118">
        <f t="shared" si="77"/>
        <v>0</v>
      </c>
      <c r="H240" s="118">
        <f t="shared" si="77"/>
        <v>0</v>
      </c>
      <c r="I240" s="118">
        <f t="shared" si="77"/>
        <v>0</v>
      </c>
      <c r="J240" s="118">
        <f t="shared" si="77"/>
        <v>0</v>
      </c>
      <c r="K240" s="118">
        <f t="shared" si="77"/>
        <v>0</v>
      </c>
      <c r="L240" s="118">
        <f t="shared" si="77"/>
        <v>0</v>
      </c>
      <c r="M240" s="118">
        <f t="shared" si="77"/>
        <v>0</v>
      </c>
      <c r="N240" s="118">
        <f t="shared" si="77"/>
        <v>0</v>
      </c>
      <c r="O240" s="118">
        <f t="shared" si="77"/>
        <v>0</v>
      </c>
      <c r="P240" s="118">
        <f t="shared" si="77"/>
        <v>0</v>
      </c>
      <c r="Q240" s="118">
        <f t="shared" si="77"/>
        <v>0</v>
      </c>
      <c r="R240" s="118">
        <f t="shared" si="77"/>
        <v>0</v>
      </c>
      <c r="S240" s="118">
        <f t="shared" si="77"/>
        <v>0</v>
      </c>
      <c r="T240" s="118">
        <f t="shared" si="77"/>
        <v>0</v>
      </c>
      <c r="U240" s="118">
        <f t="shared" si="77"/>
        <v>0</v>
      </c>
      <c r="V240" s="118">
        <f t="shared" si="77"/>
        <v>0</v>
      </c>
      <c r="W240" s="118">
        <f t="shared" si="77"/>
        <v>0</v>
      </c>
      <c r="X240" s="118">
        <f t="shared" si="77"/>
        <v>0</v>
      </c>
      <c r="Y240" s="118">
        <f t="shared" si="49"/>
        <v>0</v>
      </c>
    </row>
    <row r="241" spans="1:25" x14ac:dyDescent="0.3">
      <c r="A241" s="116" t="str">
        <f>IF(Inputs!$A67="","",Inputs!$A67)</f>
        <v/>
      </c>
      <c r="B241" s="116"/>
      <c r="C241" s="116"/>
      <c r="D241" s="118">
        <f t="shared" ref="D241:X241" si="78">IF(D156="",D71,D156)</f>
        <v>0</v>
      </c>
      <c r="E241" s="118">
        <f t="shared" si="78"/>
        <v>0</v>
      </c>
      <c r="F241" s="118">
        <f t="shared" si="78"/>
        <v>0</v>
      </c>
      <c r="G241" s="118">
        <f t="shared" si="78"/>
        <v>0</v>
      </c>
      <c r="H241" s="118">
        <f t="shared" si="78"/>
        <v>0</v>
      </c>
      <c r="I241" s="118">
        <f t="shared" si="78"/>
        <v>0</v>
      </c>
      <c r="J241" s="118">
        <f t="shared" si="78"/>
        <v>0</v>
      </c>
      <c r="K241" s="118">
        <f t="shared" si="78"/>
        <v>0</v>
      </c>
      <c r="L241" s="118">
        <f t="shared" si="78"/>
        <v>0</v>
      </c>
      <c r="M241" s="118">
        <f t="shared" si="78"/>
        <v>0</v>
      </c>
      <c r="N241" s="118">
        <f t="shared" si="78"/>
        <v>0</v>
      </c>
      <c r="O241" s="118">
        <f t="shared" si="78"/>
        <v>0</v>
      </c>
      <c r="P241" s="118">
        <f t="shared" si="78"/>
        <v>0</v>
      </c>
      <c r="Q241" s="118">
        <f t="shared" si="78"/>
        <v>0</v>
      </c>
      <c r="R241" s="118">
        <f t="shared" si="78"/>
        <v>0</v>
      </c>
      <c r="S241" s="118">
        <f t="shared" si="78"/>
        <v>0</v>
      </c>
      <c r="T241" s="118">
        <f t="shared" si="78"/>
        <v>0</v>
      </c>
      <c r="U241" s="118">
        <f t="shared" si="78"/>
        <v>0</v>
      </c>
      <c r="V241" s="118">
        <f t="shared" si="78"/>
        <v>0</v>
      </c>
      <c r="W241" s="118">
        <f t="shared" si="78"/>
        <v>0</v>
      </c>
      <c r="X241" s="118">
        <f t="shared" si="78"/>
        <v>0</v>
      </c>
      <c r="Y241" s="118">
        <f t="shared" si="49"/>
        <v>0</v>
      </c>
    </row>
    <row r="242" spans="1:25" x14ac:dyDescent="0.3">
      <c r="A242" s="116" t="str">
        <f>IF(Inputs!$A68="","",Inputs!$A68)</f>
        <v/>
      </c>
      <c r="B242" s="116"/>
      <c r="C242" s="116"/>
      <c r="D242" s="118">
        <f t="shared" ref="D242:X242" si="79">IF(D157="",D72,D157)</f>
        <v>0</v>
      </c>
      <c r="E242" s="118">
        <f t="shared" si="79"/>
        <v>0</v>
      </c>
      <c r="F242" s="118">
        <f t="shared" si="79"/>
        <v>0</v>
      </c>
      <c r="G242" s="118">
        <f t="shared" si="79"/>
        <v>0</v>
      </c>
      <c r="H242" s="118">
        <f t="shared" si="79"/>
        <v>0</v>
      </c>
      <c r="I242" s="118">
        <f t="shared" si="79"/>
        <v>0</v>
      </c>
      <c r="J242" s="118">
        <f t="shared" si="79"/>
        <v>0</v>
      </c>
      <c r="K242" s="118">
        <f t="shared" si="79"/>
        <v>0</v>
      </c>
      <c r="L242" s="118">
        <f t="shared" si="79"/>
        <v>0</v>
      </c>
      <c r="M242" s="118">
        <f t="shared" si="79"/>
        <v>0</v>
      </c>
      <c r="N242" s="118">
        <f t="shared" si="79"/>
        <v>0</v>
      </c>
      <c r="O242" s="118">
        <f t="shared" si="79"/>
        <v>0</v>
      </c>
      <c r="P242" s="118">
        <f t="shared" si="79"/>
        <v>0</v>
      </c>
      <c r="Q242" s="118">
        <f t="shared" si="79"/>
        <v>0</v>
      </c>
      <c r="R242" s="118">
        <f t="shared" si="79"/>
        <v>0</v>
      </c>
      <c r="S242" s="118">
        <f t="shared" si="79"/>
        <v>0</v>
      </c>
      <c r="T242" s="118">
        <f t="shared" si="79"/>
        <v>0</v>
      </c>
      <c r="U242" s="118">
        <f t="shared" si="79"/>
        <v>0</v>
      </c>
      <c r="V242" s="118">
        <f t="shared" si="79"/>
        <v>0</v>
      </c>
      <c r="W242" s="118">
        <f t="shared" si="79"/>
        <v>0</v>
      </c>
      <c r="X242" s="118">
        <f t="shared" si="79"/>
        <v>0</v>
      </c>
      <c r="Y242" s="118">
        <f t="shared" si="49"/>
        <v>0</v>
      </c>
    </row>
    <row r="243" spans="1:25" x14ac:dyDescent="0.3">
      <c r="A243" s="116" t="str">
        <f>IF(Inputs!$A69="","",Inputs!$A69)</f>
        <v/>
      </c>
      <c r="B243" s="116"/>
      <c r="C243" s="116"/>
      <c r="D243" s="118">
        <f t="shared" ref="D243:X243" si="80">IF(D158="",D73,D158)</f>
        <v>0</v>
      </c>
      <c r="E243" s="118">
        <f t="shared" si="80"/>
        <v>0</v>
      </c>
      <c r="F243" s="118">
        <f t="shared" si="80"/>
        <v>0</v>
      </c>
      <c r="G243" s="118">
        <f t="shared" si="80"/>
        <v>0</v>
      </c>
      <c r="H243" s="118">
        <f t="shared" si="80"/>
        <v>0</v>
      </c>
      <c r="I243" s="118">
        <f t="shared" si="80"/>
        <v>0</v>
      </c>
      <c r="J243" s="118">
        <f t="shared" si="80"/>
        <v>0</v>
      </c>
      <c r="K243" s="118">
        <f t="shared" si="80"/>
        <v>0</v>
      </c>
      <c r="L243" s="118">
        <f t="shared" si="80"/>
        <v>0</v>
      </c>
      <c r="M243" s="118">
        <f t="shared" si="80"/>
        <v>0</v>
      </c>
      <c r="N243" s="118">
        <f t="shared" si="80"/>
        <v>0</v>
      </c>
      <c r="O243" s="118">
        <f t="shared" si="80"/>
        <v>0</v>
      </c>
      <c r="P243" s="118">
        <f t="shared" si="80"/>
        <v>0</v>
      </c>
      <c r="Q243" s="118">
        <f t="shared" si="80"/>
        <v>0</v>
      </c>
      <c r="R243" s="118">
        <f t="shared" si="80"/>
        <v>0</v>
      </c>
      <c r="S243" s="118">
        <f t="shared" si="80"/>
        <v>0</v>
      </c>
      <c r="T243" s="118">
        <f t="shared" si="80"/>
        <v>0</v>
      </c>
      <c r="U243" s="118">
        <f t="shared" si="80"/>
        <v>0</v>
      </c>
      <c r="V243" s="118">
        <f t="shared" si="80"/>
        <v>0</v>
      </c>
      <c r="W243" s="118">
        <f t="shared" si="80"/>
        <v>0</v>
      </c>
      <c r="X243" s="118">
        <f t="shared" si="80"/>
        <v>0</v>
      </c>
      <c r="Y243" s="118">
        <f t="shared" si="49"/>
        <v>0</v>
      </c>
    </row>
    <row r="244" spans="1:25" x14ac:dyDescent="0.3">
      <c r="A244" s="116" t="str">
        <f>IF(Inputs!$A70="","",Inputs!$A70)</f>
        <v/>
      </c>
      <c r="B244" s="116"/>
      <c r="C244" s="116"/>
      <c r="D244" s="118">
        <f t="shared" ref="D244:X244" si="81">IF(D159="",D74,D159)</f>
        <v>0</v>
      </c>
      <c r="E244" s="118">
        <f t="shared" si="81"/>
        <v>0</v>
      </c>
      <c r="F244" s="118">
        <f t="shared" si="81"/>
        <v>0</v>
      </c>
      <c r="G244" s="118">
        <f t="shared" si="81"/>
        <v>0</v>
      </c>
      <c r="H244" s="118">
        <f t="shared" si="81"/>
        <v>0</v>
      </c>
      <c r="I244" s="118">
        <f t="shared" si="81"/>
        <v>0</v>
      </c>
      <c r="J244" s="118">
        <f t="shared" si="81"/>
        <v>0</v>
      </c>
      <c r="K244" s="118">
        <f t="shared" si="81"/>
        <v>0</v>
      </c>
      <c r="L244" s="118">
        <f t="shared" si="81"/>
        <v>0</v>
      </c>
      <c r="M244" s="118">
        <f t="shared" si="81"/>
        <v>0</v>
      </c>
      <c r="N244" s="118">
        <f t="shared" si="81"/>
        <v>0</v>
      </c>
      <c r="O244" s="118">
        <f t="shared" si="81"/>
        <v>0</v>
      </c>
      <c r="P244" s="118">
        <f t="shared" si="81"/>
        <v>0</v>
      </c>
      <c r="Q244" s="118">
        <f t="shared" si="81"/>
        <v>0</v>
      </c>
      <c r="R244" s="118">
        <f t="shared" si="81"/>
        <v>0</v>
      </c>
      <c r="S244" s="118">
        <f t="shared" si="81"/>
        <v>0</v>
      </c>
      <c r="T244" s="118">
        <f t="shared" si="81"/>
        <v>0</v>
      </c>
      <c r="U244" s="118">
        <f t="shared" si="81"/>
        <v>0</v>
      </c>
      <c r="V244" s="118">
        <f t="shared" si="81"/>
        <v>0</v>
      </c>
      <c r="W244" s="118">
        <f t="shared" si="81"/>
        <v>0</v>
      </c>
      <c r="X244" s="118">
        <f t="shared" si="81"/>
        <v>0</v>
      </c>
      <c r="Y244" s="118">
        <f t="shared" ref="Y244:Y259" si="82">SUM(D244:X244)</f>
        <v>0</v>
      </c>
    </row>
    <row r="245" spans="1:25" x14ac:dyDescent="0.3">
      <c r="A245" s="116" t="str">
        <f>IF(Inputs!$A71="","",Inputs!$A71)</f>
        <v/>
      </c>
      <c r="B245" s="116"/>
      <c r="C245" s="116"/>
      <c r="D245" s="118">
        <f t="shared" ref="D245:X245" si="83">IF(D160="",D75,D160)</f>
        <v>0</v>
      </c>
      <c r="E245" s="118">
        <f t="shared" si="83"/>
        <v>0</v>
      </c>
      <c r="F245" s="118">
        <f t="shared" si="83"/>
        <v>0</v>
      </c>
      <c r="G245" s="118">
        <f t="shared" si="83"/>
        <v>0</v>
      </c>
      <c r="H245" s="118">
        <f t="shared" si="83"/>
        <v>0</v>
      </c>
      <c r="I245" s="118">
        <f t="shared" si="83"/>
        <v>0</v>
      </c>
      <c r="J245" s="118">
        <f t="shared" si="83"/>
        <v>0</v>
      </c>
      <c r="K245" s="118">
        <f t="shared" si="83"/>
        <v>0</v>
      </c>
      <c r="L245" s="118">
        <f t="shared" si="83"/>
        <v>0</v>
      </c>
      <c r="M245" s="118">
        <f t="shared" si="83"/>
        <v>0</v>
      </c>
      <c r="N245" s="118">
        <f t="shared" si="83"/>
        <v>0</v>
      </c>
      <c r="O245" s="118">
        <f t="shared" si="83"/>
        <v>0</v>
      </c>
      <c r="P245" s="118">
        <f t="shared" si="83"/>
        <v>0</v>
      </c>
      <c r="Q245" s="118">
        <f t="shared" si="83"/>
        <v>0</v>
      </c>
      <c r="R245" s="118">
        <f t="shared" si="83"/>
        <v>0</v>
      </c>
      <c r="S245" s="118">
        <f t="shared" si="83"/>
        <v>0</v>
      </c>
      <c r="T245" s="118">
        <f t="shared" si="83"/>
        <v>0</v>
      </c>
      <c r="U245" s="118">
        <f t="shared" si="83"/>
        <v>0</v>
      </c>
      <c r="V245" s="118">
        <f t="shared" si="83"/>
        <v>0</v>
      </c>
      <c r="W245" s="118">
        <f t="shared" si="83"/>
        <v>0</v>
      </c>
      <c r="X245" s="118">
        <f t="shared" si="83"/>
        <v>0</v>
      </c>
      <c r="Y245" s="118">
        <f t="shared" si="82"/>
        <v>0</v>
      </c>
    </row>
    <row r="246" spans="1:25" x14ac:dyDescent="0.3">
      <c r="A246" s="116" t="str">
        <f>IF(Inputs!$A72="","",Inputs!$A72)</f>
        <v/>
      </c>
      <c r="B246" s="116"/>
      <c r="C246" s="116"/>
      <c r="D246" s="118">
        <f t="shared" ref="D246:X246" si="84">IF(D161="",D76,D161)</f>
        <v>0</v>
      </c>
      <c r="E246" s="118">
        <f t="shared" si="84"/>
        <v>0</v>
      </c>
      <c r="F246" s="118">
        <f t="shared" si="84"/>
        <v>0</v>
      </c>
      <c r="G246" s="118">
        <f t="shared" si="84"/>
        <v>0</v>
      </c>
      <c r="H246" s="118">
        <f t="shared" si="84"/>
        <v>0</v>
      </c>
      <c r="I246" s="118">
        <f t="shared" si="84"/>
        <v>0</v>
      </c>
      <c r="J246" s="118">
        <f t="shared" si="84"/>
        <v>0</v>
      </c>
      <c r="K246" s="118">
        <f t="shared" si="84"/>
        <v>0</v>
      </c>
      <c r="L246" s="118">
        <f t="shared" si="84"/>
        <v>0</v>
      </c>
      <c r="M246" s="118">
        <f t="shared" si="84"/>
        <v>0</v>
      </c>
      <c r="N246" s="118">
        <f t="shared" si="84"/>
        <v>0</v>
      </c>
      <c r="O246" s="118">
        <f t="shared" si="84"/>
        <v>0</v>
      </c>
      <c r="P246" s="118">
        <f t="shared" si="84"/>
        <v>0</v>
      </c>
      <c r="Q246" s="118">
        <f t="shared" si="84"/>
        <v>0</v>
      </c>
      <c r="R246" s="118">
        <f t="shared" si="84"/>
        <v>0</v>
      </c>
      <c r="S246" s="118">
        <f t="shared" si="84"/>
        <v>0</v>
      </c>
      <c r="T246" s="118">
        <f t="shared" si="84"/>
        <v>0</v>
      </c>
      <c r="U246" s="118">
        <f t="shared" si="84"/>
        <v>0</v>
      </c>
      <c r="V246" s="118">
        <f t="shared" si="84"/>
        <v>0</v>
      </c>
      <c r="W246" s="118">
        <f t="shared" si="84"/>
        <v>0</v>
      </c>
      <c r="X246" s="118">
        <f t="shared" si="84"/>
        <v>0</v>
      </c>
      <c r="Y246" s="118">
        <f t="shared" si="82"/>
        <v>0</v>
      </c>
    </row>
    <row r="247" spans="1:25" x14ac:dyDescent="0.3">
      <c r="A247" s="116" t="str">
        <f>IF(Inputs!$A73="","",Inputs!$A73)</f>
        <v/>
      </c>
      <c r="B247" s="116"/>
      <c r="C247" s="116"/>
      <c r="D247" s="118">
        <f t="shared" ref="D247:X247" si="85">IF(D162="",D77,D162)</f>
        <v>0</v>
      </c>
      <c r="E247" s="118">
        <f t="shared" si="85"/>
        <v>0</v>
      </c>
      <c r="F247" s="118">
        <f t="shared" si="85"/>
        <v>0</v>
      </c>
      <c r="G247" s="118">
        <f t="shared" si="85"/>
        <v>0</v>
      </c>
      <c r="H247" s="118">
        <f t="shared" si="85"/>
        <v>0</v>
      </c>
      <c r="I247" s="118">
        <f t="shared" si="85"/>
        <v>0</v>
      </c>
      <c r="J247" s="118">
        <f t="shared" si="85"/>
        <v>0</v>
      </c>
      <c r="K247" s="118">
        <f t="shared" si="85"/>
        <v>0</v>
      </c>
      <c r="L247" s="118">
        <f t="shared" si="85"/>
        <v>0</v>
      </c>
      <c r="M247" s="118">
        <f t="shared" si="85"/>
        <v>0</v>
      </c>
      <c r="N247" s="118">
        <f t="shared" si="85"/>
        <v>0</v>
      </c>
      <c r="O247" s="118">
        <f t="shared" si="85"/>
        <v>0</v>
      </c>
      <c r="P247" s="118">
        <f t="shared" si="85"/>
        <v>0</v>
      </c>
      <c r="Q247" s="118">
        <f t="shared" si="85"/>
        <v>0</v>
      </c>
      <c r="R247" s="118">
        <f t="shared" si="85"/>
        <v>0</v>
      </c>
      <c r="S247" s="118">
        <f t="shared" si="85"/>
        <v>0</v>
      </c>
      <c r="T247" s="118">
        <f t="shared" si="85"/>
        <v>0</v>
      </c>
      <c r="U247" s="118">
        <f t="shared" si="85"/>
        <v>0</v>
      </c>
      <c r="V247" s="118">
        <f t="shared" si="85"/>
        <v>0</v>
      </c>
      <c r="W247" s="118">
        <f t="shared" si="85"/>
        <v>0</v>
      </c>
      <c r="X247" s="118">
        <f t="shared" si="85"/>
        <v>0</v>
      </c>
      <c r="Y247" s="118">
        <f t="shared" si="82"/>
        <v>0</v>
      </c>
    </row>
    <row r="248" spans="1:25" x14ac:dyDescent="0.3">
      <c r="A248" s="116" t="str">
        <f>IF(Inputs!$A74="","",Inputs!$A74)</f>
        <v/>
      </c>
      <c r="B248" s="116"/>
      <c r="C248" s="116"/>
      <c r="D248" s="118">
        <f t="shared" ref="D248:X248" si="86">IF(D163="",D78,D163)</f>
        <v>0</v>
      </c>
      <c r="E248" s="118">
        <f t="shared" si="86"/>
        <v>0</v>
      </c>
      <c r="F248" s="118">
        <f t="shared" si="86"/>
        <v>0</v>
      </c>
      <c r="G248" s="118">
        <f t="shared" si="86"/>
        <v>0</v>
      </c>
      <c r="H248" s="118">
        <f t="shared" si="86"/>
        <v>0</v>
      </c>
      <c r="I248" s="118">
        <f t="shared" si="86"/>
        <v>0</v>
      </c>
      <c r="J248" s="118">
        <f t="shared" si="86"/>
        <v>0</v>
      </c>
      <c r="K248" s="118">
        <f t="shared" si="86"/>
        <v>0</v>
      </c>
      <c r="L248" s="118">
        <f t="shared" si="86"/>
        <v>0</v>
      </c>
      <c r="M248" s="118">
        <f t="shared" si="86"/>
        <v>0</v>
      </c>
      <c r="N248" s="118">
        <f t="shared" si="86"/>
        <v>0</v>
      </c>
      <c r="O248" s="118">
        <f t="shared" si="86"/>
        <v>0</v>
      </c>
      <c r="P248" s="118">
        <f t="shared" si="86"/>
        <v>0</v>
      </c>
      <c r="Q248" s="118">
        <f t="shared" si="86"/>
        <v>0</v>
      </c>
      <c r="R248" s="118">
        <f t="shared" si="86"/>
        <v>0</v>
      </c>
      <c r="S248" s="118">
        <f t="shared" si="86"/>
        <v>0</v>
      </c>
      <c r="T248" s="118">
        <f t="shared" si="86"/>
        <v>0</v>
      </c>
      <c r="U248" s="118">
        <f t="shared" si="86"/>
        <v>0</v>
      </c>
      <c r="V248" s="118">
        <f t="shared" si="86"/>
        <v>0</v>
      </c>
      <c r="W248" s="118">
        <f t="shared" si="86"/>
        <v>0</v>
      </c>
      <c r="X248" s="118">
        <f t="shared" si="86"/>
        <v>0</v>
      </c>
      <c r="Y248" s="118">
        <f t="shared" si="82"/>
        <v>0</v>
      </c>
    </row>
    <row r="249" spans="1:25" x14ac:dyDescent="0.3">
      <c r="A249" s="116" t="str">
        <f>IF(Inputs!$A75="","",Inputs!$A75)</f>
        <v/>
      </c>
      <c r="B249" s="116"/>
      <c r="C249" s="116"/>
      <c r="D249" s="118">
        <f t="shared" ref="D249:X249" si="87">IF(D164="",D79,D164)</f>
        <v>0</v>
      </c>
      <c r="E249" s="118">
        <f t="shared" si="87"/>
        <v>0</v>
      </c>
      <c r="F249" s="118">
        <f t="shared" si="87"/>
        <v>0</v>
      </c>
      <c r="G249" s="118">
        <f t="shared" si="87"/>
        <v>0</v>
      </c>
      <c r="H249" s="118">
        <f t="shared" si="87"/>
        <v>0</v>
      </c>
      <c r="I249" s="118">
        <f t="shared" si="87"/>
        <v>0</v>
      </c>
      <c r="J249" s="118">
        <f t="shared" si="87"/>
        <v>0</v>
      </c>
      <c r="K249" s="118">
        <f t="shared" si="87"/>
        <v>0</v>
      </c>
      <c r="L249" s="118">
        <f t="shared" si="87"/>
        <v>0</v>
      </c>
      <c r="M249" s="118">
        <f t="shared" si="87"/>
        <v>0</v>
      </c>
      <c r="N249" s="118">
        <f t="shared" si="87"/>
        <v>0</v>
      </c>
      <c r="O249" s="118">
        <f t="shared" si="87"/>
        <v>0</v>
      </c>
      <c r="P249" s="118">
        <f t="shared" si="87"/>
        <v>0</v>
      </c>
      <c r="Q249" s="118">
        <f t="shared" si="87"/>
        <v>0</v>
      </c>
      <c r="R249" s="118">
        <f t="shared" si="87"/>
        <v>0</v>
      </c>
      <c r="S249" s="118">
        <f t="shared" si="87"/>
        <v>0</v>
      </c>
      <c r="T249" s="118">
        <f t="shared" si="87"/>
        <v>0</v>
      </c>
      <c r="U249" s="118">
        <f t="shared" si="87"/>
        <v>0</v>
      </c>
      <c r="V249" s="118">
        <f t="shared" si="87"/>
        <v>0</v>
      </c>
      <c r="W249" s="118">
        <f t="shared" si="87"/>
        <v>0</v>
      </c>
      <c r="X249" s="118">
        <f t="shared" si="87"/>
        <v>0</v>
      </c>
      <c r="Y249" s="118">
        <f t="shared" si="82"/>
        <v>0</v>
      </c>
    </row>
    <row r="250" spans="1:25" x14ac:dyDescent="0.3">
      <c r="A250" s="116" t="str">
        <f>IF(Inputs!$A76="","",Inputs!$A76)</f>
        <v/>
      </c>
      <c r="B250" s="116"/>
      <c r="C250" s="116"/>
      <c r="D250" s="118">
        <f t="shared" ref="D250:X250" si="88">IF(D165="",D80,D165)</f>
        <v>0</v>
      </c>
      <c r="E250" s="118">
        <f t="shared" si="88"/>
        <v>0</v>
      </c>
      <c r="F250" s="118">
        <f t="shared" si="88"/>
        <v>0</v>
      </c>
      <c r="G250" s="118">
        <f t="shared" si="88"/>
        <v>0</v>
      </c>
      <c r="H250" s="118">
        <f t="shared" si="88"/>
        <v>0</v>
      </c>
      <c r="I250" s="118">
        <f t="shared" si="88"/>
        <v>0</v>
      </c>
      <c r="J250" s="118">
        <f t="shared" si="88"/>
        <v>0</v>
      </c>
      <c r="K250" s="118">
        <f t="shared" si="88"/>
        <v>0</v>
      </c>
      <c r="L250" s="118">
        <f t="shared" si="88"/>
        <v>0</v>
      </c>
      <c r="M250" s="118">
        <f t="shared" si="88"/>
        <v>0</v>
      </c>
      <c r="N250" s="118">
        <f t="shared" si="88"/>
        <v>0</v>
      </c>
      <c r="O250" s="118">
        <f t="shared" si="88"/>
        <v>0</v>
      </c>
      <c r="P250" s="118">
        <f t="shared" si="88"/>
        <v>0</v>
      </c>
      <c r="Q250" s="118">
        <f t="shared" si="88"/>
        <v>0</v>
      </c>
      <c r="R250" s="118">
        <f t="shared" si="88"/>
        <v>0</v>
      </c>
      <c r="S250" s="118">
        <f t="shared" si="88"/>
        <v>0</v>
      </c>
      <c r="T250" s="118">
        <f t="shared" si="88"/>
        <v>0</v>
      </c>
      <c r="U250" s="118">
        <f t="shared" si="88"/>
        <v>0</v>
      </c>
      <c r="V250" s="118">
        <f t="shared" si="88"/>
        <v>0</v>
      </c>
      <c r="W250" s="118">
        <f t="shared" si="88"/>
        <v>0</v>
      </c>
      <c r="X250" s="118">
        <f t="shared" si="88"/>
        <v>0</v>
      </c>
      <c r="Y250" s="118">
        <f t="shared" si="82"/>
        <v>0</v>
      </c>
    </row>
    <row r="251" spans="1:25" x14ac:dyDescent="0.3">
      <c r="A251" s="116" t="str">
        <f>IF(Inputs!$A77="","",Inputs!$A77)</f>
        <v/>
      </c>
      <c r="B251" s="116"/>
      <c r="C251" s="116"/>
      <c r="D251" s="118">
        <f t="shared" ref="D251:X251" si="89">IF(D166="",D81,D166)</f>
        <v>0</v>
      </c>
      <c r="E251" s="118">
        <f t="shared" si="89"/>
        <v>0</v>
      </c>
      <c r="F251" s="118">
        <f t="shared" si="89"/>
        <v>0</v>
      </c>
      <c r="G251" s="118">
        <f t="shared" si="89"/>
        <v>0</v>
      </c>
      <c r="H251" s="118">
        <f t="shared" si="89"/>
        <v>0</v>
      </c>
      <c r="I251" s="118">
        <f t="shared" si="89"/>
        <v>0</v>
      </c>
      <c r="J251" s="118">
        <f t="shared" si="89"/>
        <v>0</v>
      </c>
      <c r="K251" s="118">
        <f t="shared" si="89"/>
        <v>0</v>
      </c>
      <c r="L251" s="118">
        <f t="shared" si="89"/>
        <v>0</v>
      </c>
      <c r="M251" s="118">
        <f t="shared" si="89"/>
        <v>0</v>
      </c>
      <c r="N251" s="118">
        <f t="shared" si="89"/>
        <v>0</v>
      </c>
      <c r="O251" s="118">
        <f t="shared" si="89"/>
        <v>0</v>
      </c>
      <c r="P251" s="118">
        <f t="shared" si="89"/>
        <v>0</v>
      </c>
      <c r="Q251" s="118">
        <f t="shared" si="89"/>
        <v>0</v>
      </c>
      <c r="R251" s="118">
        <f t="shared" si="89"/>
        <v>0</v>
      </c>
      <c r="S251" s="118">
        <f t="shared" si="89"/>
        <v>0</v>
      </c>
      <c r="T251" s="118">
        <f t="shared" si="89"/>
        <v>0</v>
      </c>
      <c r="U251" s="118">
        <f t="shared" si="89"/>
        <v>0</v>
      </c>
      <c r="V251" s="118">
        <f t="shared" si="89"/>
        <v>0</v>
      </c>
      <c r="W251" s="118">
        <f t="shared" si="89"/>
        <v>0</v>
      </c>
      <c r="X251" s="118">
        <f t="shared" si="89"/>
        <v>0</v>
      </c>
      <c r="Y251" s="118">
        <f t="shared" si="82"/>
        <v>0</v>
      </c>
    </row>
    <row r="252" spans="1:25" x14ac:dyDescent="0.3">
      <c r="A252" s="116" t="str">
        <f>IF(Inputs!$A78="","",Inputs!$A78)</f>
        <v/>
      </c>
      <c r="B252" s="116"/>
      <c r="C252" s="116"/>
      <c r="D252" s="118">
        <f t="shared" ref="D252:X252" si="90">IF(D167="",D82,D167)</f>
        <v>0</v>
      </c>
      <c r="E252" s="118">
        <f t="shared" si="90"/>
        <v>0</v>
      </c>
      <c r="F252" s="118">
        <f t="shared" si="90"/>
        <v>0</v>
      </c>
      <c r="G252" s="118">
        <f t="shared" si="90"/>
        <v>0</v>
      </c>
      <c r="H252" s="118">
        <f t="shared" si="90"/>
        <v>0</v>
      </c>
      <c r="I252" s="118">
        <f t="shared" si="90"/>
        <v>0</v>
      </c>
      <c r="J252" s="118">
        <f t="shared" si="90"/>
        <v>0</v>
      </c>
      <c r="K252" s="118">
        <f t="shared" si="90"/>
        <v>0</v>
      </c>
      <c r="L252" s="118">
        <f t="shared" si="90"/>
        <v>0</v>
      </c>
      <c r="M252" s="118">
        <f t="shared" si="90"/>
        <v>0</v>
      </c>
      <c r="N252" s="118">
        <f t="shared" si="90"/>
        <v>0</v>
      </c>
      <c r="O252" s="118">
        <f t="shared" si="90"/>
        <v>0</v>
      </c>
      <c r="P252" s="118">
        <f t="shared" si="90"/>
        <v>0</v>
      </c>
      <c r="Q252" s="118">
        <f t="shared" si="90"/>
        <v>0</v>
      </c>
      <c r="R252" s="118">
        <f t="shared" si="90"/>
        <v>0</v>
      </c>
      <c r="S252" s="118">
        <f t="shared" si="90"/>
        <v>0</v>
      </c>
      <c r="T252" s="118">
        <f t="shared" si="90"/>
        <v>0</v>
      </c>
      <c r="U252" s="118">
        <f t="shared" si="90"/>
        <v>0</v>
      </c>
      <c r="V252" s="118">
        <f t="shared" si="90"/>
        <v>0</v>
      </c>
      <c r="W252" s="118">
        <f t="shared" si="90"/>
        <v>0</v>
      </c>
      <c r="X252" s="118">
        <f t="shared" si="90"/>
        <v>0</v>
      </c>
      <c r="Y252" s="118">
        <f t="shared" si="82"/>
        <v>0</v>
      </c>
    </row>
    <row r="253" spans="1:25" x14ac:dyDescent="0.3">
      <c r="A253" s="116" t="str">
        <f>IF(Inputs!$A79="","",Inputs!$A79)</f>
        <v/>
      </c>
      <c r="B253" s="116"/>
      <c r="C253" s="116"/>
      <c r="D253" s="118">
        <f t="shared" ref="D253:X253" si="91">IF(D168="",D83,D168)</f>
        <v>0</v>
      </c>
      <c r="E253" s="118">
        <f t="shared" si="91"/>
        <v>0</v>
      </c>
      <c r="F253" s="118">
        <f t="shared" si="91"/>
        <v>0</v>
      </c>
      <c r="G253" s="118">
        <f t="shared" si="91"/>
        <v>0</v>
      </c>
      <c r="H253" s="118">
        <f t="shared" si="91"/>
        <v>0</v>
      </c>
      <c r="I253" s="118">
        <f t="shared" si="91"/>
        <v>0</v>
      </c>
      <c r="J253" s="118">
        <f t="shared" si="91"/>
        <v>0</v>
      </c>
      <c r="K253" s="118">
        <f t="shared" si="91"/>
        <v>0</v>
      </c>
      <c r="L253" s="118">
        <f t="shared" si="91"/>
        <v>0</v>
      </c>
      <c r="M253" s="118">
        <f t="shared" si="91"/>
        <v>0</v>
      </c>
      <c r="N253" s="118">
        <f t="shared" si="91"/>
        <v>0</v>
      </c>
      <c r="O253" s="118">
        <f t="shared" si="91"/>
        <v>0</v>
      </c>
      <c r="P253" s="118">
        <f t="shared" si="91"/>
        <v>0</v>
      </c>
      <c r="Q253" s="118">
        <f t="shared" si="91"/>
        <v>0</v>
      </c>
      <c r="R253" s="118">
        <f t="shared" si="91"/>
        <v>0</v>
      </c>
      <c r="S253" s="118">
        <f t="shared" si="91"/>
        <v>0</v>
      </c>
      <c r="T253" s="118">
        <f t="shared" si="91"/>
        <v>0</v>
      </c>
      <c r="U253" s="118">
        <f t="shared" si="91"/>
        <v>0</v>
      </c>
      <c r="V253" s="118">
        <f t="shared" si="91"/>
        <v>0</v>
      </c>
      <c r="W253" s="118">
        <f t="shared" si="91"/>
        <v>0</v>
      </c>
      <c r="X253" s="118">
        <f t="shared" si="91"/>
        <v>0</v>
      </c>
      <c r="Y253" s="118">
        <f t="shared" si="82"/>
        <v>0</v>
      </c>
    </row>
    <row r="254" spans="1:25" x14ac:dyDescent="0.3">
      <c r="A254" s="116" t="str">
        <f>IF(Inputs!$A80="","",Inputs!$A80)</f>
        <v/>
      </c>
      <c r="B254" s="116"/>
      <c r="C254" s="116"/>
      <c r="D254" s="118">
        <f t="shared" ref="D254:X254" si="92">IF(D169="",D84,D169)</f>
        <v>0</v>
      </c>
      <c r="E254" s="118">
        <f t="shared" si="92"/>
        <v>0</v>
      </c>
      <c r="F254" s="118">
        <f t="shared" si="92"/>
        <v>0</v>
      </c>
      <c r="G254" s="118">
        <f t="shared" si="92"/>
        <v>0</v>
      </c>
      <c r="H254" s="118">
        <f t="shared" si="92"/>
        <v>0</v>
      </c>
      <c r="I254" s="118">
        <f t="shared" si="92"/>
        <v>0</v>
      </c>
      <c r="J254" s="118">
        <f t="shared" si="92"/>
        <v>0</v>
      </c>
      <c r="K254" s="118">
        <f t="shared" si="92"/>
        <v>0</v>
      </c>
      <c r="L254" s="118">
        <f t="shared" si="92"/>
        <v>0</v>
      </c>
      <c r="M254" s="118">
        <f t="shared" si="92"/>
        <v>0</v>
      </c>
      <c r="N254" s="118">
        <f t="shared" si="92"/>
        <v>0</v>
      </c>
      <c r="O254" s="118">
        <f t="shared" si="92"/>
        <v>0</v>
      </c>
      <c r="P254" s="118">
        <f t="shared" si="92"/>
        <v>0</v>
      </c>
      <c r="Q254" s="118">
        <f t="shared" si="92"/>
        <v>0</v>
      </c>
      <c r="R254" s="118">
        <f t="shared" si="92"/>
        <v>0</v>
      </c>
      <c r="S254" s="118">
        <f t="shared" si="92"/>
        <v>0</v>
      </c>
      <c r="T254" s="118">
        <f t="shared" si="92"/>
        <v>0</v>
      </c>
      <c r="U254" s="118">
        <f t="shared" si="92"/>
        <v>0</v>
      </c>
      <c r="V254" s="118">
        <f t="shared" si="92"/>
        <v>0</v>
      </c>
      <c r="W254" s="118">
        <f t="shared" si="92"/>
        <v>0</v>
      </c>
      <c r="X254" s="118">
        <f t="shared" si="92"/>
        <v>0</v>
      </c>
      <c r="Y254" s="118">
        <f t="shared" si="82"/>
        <v>0</v>
      </c>
    </row>
    <row r="255" spans="1:25" x14ac:dyDescent="0.3">
      <c r="A255" s="116" t="str">
        <f>IF(Inputs!$A81="","",Inputs!$A81)</f>
        <v/>
      </c>
      <c r="B255" s="116"/>
      <c r="C255" s="116"/>
      <c r="D255" s="118">
        <f t="shared" ref="D255:X255" si="93">IF(D170="",D85,D170)</f>
        <v>0</v>
      </c>
      <c r="E255" s="118">
        <f t="shared" si="93"/>
        <v>0</v>
      </c>
      <c r="F255" s="118">
        <f t="shared" si="93"/>
        <v>0</v>
      </c>
      <c r="G255" s="118">
        <f t="shared" si="93"/>
        <v>0</v>
      </c>
      <c r="H255" s="118">
        <f t="shared" si="93"/>
        <v>0</v>
      </c>
      <c r="I255" s="118">
        <f t="shared" si="93"/>
        <v>0</v>
      </c>
      <c r="J255" s="118">
        <f t="shared" si="93"/>
        <v>0</v>
      </c>
      <c r="K255" s="118">
        <f t="shared" si="93"/>
        <v>0</v>
      </c>
      <c r="L255" s="118">
        <f t="shared" si="93"/>
        <v>0</v>
      </c>
      <c r="M255" s="118">
        <f t="shared" si="93"/>
        <v>0</v>
      </c>
      <c r="N255" s="118">
        <f t="shared" si="93"/>
        <v>0</v>
      </c>
      <c r="O255" s="118">
        <f t="shared" si="93"/>
        <v>0</v>
      </c>
      <c r="P255" s="118">
        <f t="shared" si="93"/>
        <v>0</v>
      </c>
      <c r="Q255" s="118">
        <f t="shared" si="93"/>
        <v>0</v>
      </c>
      <c r="R255" s="118">
        <f t="shared" si="93"/>
        <v>0</v>
      </c>
      <c r="S255" s="118">
        <f t="shared" si="93"/>
        <v>0</v>
      </c>
      <c r="T255" s="118">
        <f t="shared" si="93"/>
        <v>0</v>
      </c>
      <c r="U255" s="118">
        <f t="shared" si="93"/>
        <v>0</v>
      </c>
      <c r="V255" s="118">
        <f t="shared" si="93"/>
        <v>0</v>
      </c>
      <c r="W255" s="118">
        <f t="shared" si="93"/>
        <v>0</v>
      </c>
      <c r="X255" s="118">
        <f t="shared" si="93"/>
        <v>0</v>
      </c>
      <c r="Y255" s="118">
        <f t="shared" si="82"/>
        <v>0</v>
      </c>
    </row>
    <row r="256" spans="1:25" x14ac:dyDescent="0.3">
      <c r="A256" s="116" t="str">
        <f>IF(Inputs!$A82="","",Inputs!$A82)</f>
        <v/>
      </c>
      <c r="B256" s="116"/>
      <c r="C256" s="116"/>
      <c r="D256" s="118">
        <f t="shared" ref="D256:X256" si="94">IF(D171="",D86,D171)</f>
        <v>0</v>
      </c>
      <c r="E256" s="118">
        <f t="shared" si="94"/>
        <v>0</v>
      </c>
      <c r="F256" s="118">
        <f t="shared" si="94"/>
        <v>0</v>
      </c>
      <c r="G256" s="118">
        <f t="shared" si="94"/>
        <v>0</v>
      </c>
      <c r="H256" s="118">
        <f t="shared" si="94"/>
        <v>0</v>
      </c>
      <c r="I256" s="118">
        <f t="shared" si="94"/>
        <v>0</v>
      </c>
      <c r="J256" s="118">
        <f t="shared" si="94"/>
        <v>0</v>
      </c>
      <c r="K256" s="118">
        <f t="shared" si="94"/>
        <v>0</v>
      </c>
      <c r="L256" s="118">
        <f t="shared" si="94"/>
        <v>0</v>
      </c>
      <c r="M256" s="118">
        <f t="shared" si="94"/>
        <v>0</v>
      </c>
      <c r="N256" s="118">
        <f t="shared" si="94"/>
        <v>0</v>
      </c>
      <c r="O256" s="118">
        <f t="shared" si="94"/>
        <v>0</v>
      </c>
      <c r="P256" s="118">
        <f t="shared" si="94"/>
        <v>0</v>
      </c>
      <c r="Q256" s="118">
        <f t="shared" si="94"/>
        <v>0</v>
      </c>
      <c r="R256" s="118">
        <f t="shared" si="94"/>
        <v>0</v>
      </c>
      <c r="S256" s="118">
        <f t="shared" si="94"/>
        <v>0</v>
      </c>
      <c r="T256" s="118">
        <f t="shared" si="94"/>
        <v>0</v>
      </c>
      <c r="U256" s="118">
        <f t="shared" si="94"/>
        <v>0</v>
      </c>
      <c r="V256" s="118">
        <f t="shared" si="94"/>
        <v>0</v>
      </c>
      <c r="W256" s="118">
        <f t="shared" si="94"/>
        <v>0</v>
      </c>
      <c r="X256" s="118">
        <f t="shared" si="94"/>
        <v>0</v>
      </c>
      <c r="Y256" s="118">
        <f t="shared" si="82"/>
        <v>0</v>
      </c>
    </row>
    <row r="257" spans="1:25" x14ac:dyDescent="0.3">
      <c r="A257" s="116" t="str">
        <f>IF(Inputs!$A83="","",Inputs!$A83)</f>
        <v/>
      </c>
      <c r="B257" s="116"/>
      <c r="C257" s="116"/>
      <c r="D257" s="118">
        <f t="shared" ref="D257:X257" si="95">IF(D172="",D87,D172)</f>
        <v>0</v>
      </c>
      <c r="E257" s="118">
        <f t="shared" si="95"/>
        <v>0</v>
      </c>
      <c r="F257" s="118">
        <f t="shared" si="95"/>
        <v>0</v>
      </c>
      <c r="G257" s="118">
        <f t="shared" si="95"/>
        <v>0</v>
      </c>
      <c r="H257" s="118">
        <f t="shared" si="95"/>
        <v>0</v>
      </c>
      <c r="I257" s="118">
        <f t="shared" si="95"/>
        <v>0</v>
      </c>
      <c r="J257" s="118">
        <f t="shared" si="95"/>
        <v>0</v>
      </c>
      <c r="K257" s="118">
        <f t="shared" si="95"/>
        <v>0</v>
      </c>
      <c r="L257" s="118">
        <f t="shared" si="95"/>
        <v>0</v>
      </c>
      <c r="M257" s="118">
        <f t="shared" si="95"/>
        <v>0</v>
      </c>
      <c r="N257" s="118">
        <f t="shared" si="95"/>
        <v>0</v>
      </c>
      <c r="O257" s="118">
        <f t="shared" si="95"/>
        <v>0</v>
      </c>
      <c r="P257" s="118">
        <f t="shared" si="95"/>
        <v>0</v>
      </c>
      <c r="Q257" s="118">
        <f t="shared" si="95"/>
        <v>0</v>
      </c>
      <c r="R257" s="118">
        <f t="shared" si="95"/>
        <v>0</v>
      </c>
      <c r="S257" s="118">
        <f t="shared" si="95"/>
        <v>0</v>
      </c>
      <c r="T257" s="118">
        <f t="shared" si="95"/>
        <v>0</v>
      </c>
      <c r="U257" s="118">
        <f t="shared" si="95"/>
        <v>0</v>
      </c>
      <c r="V257" s="118">
        <f t="shared" si="95"/>
        <v>0</v>
      </c>
      <c r="W257" s="118">
        <f t="shared" si="95"/>
        <v>0</v>
      </c>
      <c r="X257" s="118">
        <f t="shared" si="95"/>
        <v>0</v>
      </c>
      <c r="Y257" s="118">
        <f t="shared" si="82"/>
        <v>0</v>
      </c>
    </row>
    <row r="258" spans="1:25" x14ac:dyDescent="0.3">
      <c r="A258" s="116" t="str">
        <f>IF(Inputs!$A84="","",Inputs!$A84)</f>
        <v/>
      </c>
      <c r="B258" s="116"/>
      <c r="C258" s="116"/>
      <c r="D258" s="118">
        <f t="shared" ref="D258:X258" si="96">IF(D173="",D88,D173)</f>
        <v>0</v>
      </c>
      <c r="E258" s="118">
        <f t="shared" si="96"/>
        <v>0</v>
      </c>
      <c r="F258" s="118">
        <f t="shared" si="96"/>
        <v>0</v>
      </c>
      <c r="G258" s="118">
        <f t="shared" si="96"/>
        <v>0</v>
      </c>
      <c r="H258" s="118">
        <f t="shared" si="96"/>
        <v>0</v>
      </c>
      <c r="I258" s="118">
        <f t="shared" si="96"/>
        <v>0</v>
      </c>
      <c r="J258" s="118">
        <f t="shared" si="96"/>
        <v>0</v>
      </c>
      <c r="K258" s="118">
        <f t="shared" si="96"/>
        <v>0</v>
      </c>
      <c r="L258" s="118">
        <f t="shared" si="96"/>
        <v>0</v>
      </c>
      <c r="M258" s="118">
        <f t="shared" si="96"/>
        <v>0</v>
      </c>
      <c r="N258" s="118">
        <f t="shared" si="96"/>
        <v>0</v>
      </c>
      <c r="O258" s="118">
        <f t="shared" si="96"/>
        <v>0</v>
      </c>
      <c r="P258" s="118">
        <f t="shared" si="96"/>
        <v>0</v>
      </c>
      <c r="Q258" s="118">
        <f t="shared" si="96"/>
        <v>0</v>
      </c>
      <c r="R258" s="118">
        <f t="shared" si="96"/>
        <v>0</v>
      </c>
      <c r="S258" s="118">
        <f t="shared" si="96"/>
        <v>0</v>
      </c>
      <c r="T258" s="118">
        <f t="shared" si="96"/>
        <v>0</v>
      </c>
      <c r="U258" s="118">
        <f t="shared" si="96"/>
        <v>0</v>
      </c>
      <c r="V258" s="118">
        <f t="shared" si="96"/>
        <v>0</v>
      </c>
      <c r="W258" s="118">
        <f t="shared" si="96"/>
        <v>0</v>
      </c>
      <c r="X258" s="118">
        <f t="shared" si="96"/>
        <v>0</v>
      </c>
      <c r="Y258" s="118">
        <f t="shared" si="82"/>
        <v>0</v>
      </c>
    </row>
    <row r="259" spans="1:25" x14ac:dyDescent="0.3">
      <c r="A259" s="116" t="str">
        <f>IF(Inputs!$A85="","",Inputs!$A85)</f>
        <v/>
      </c>
      <c r="B259" s="116"/>
      <c r="C259" s="116"/>
      <c r="D259" s="118">
        <f t="shared" ref="D259:X259" si="97">IF(D174="",D89,D174)</f>
        <v>0</v>
      </c>
      <c r="E259" s="118">
        <f t="shared" si="97"/>
        <v>0</v>
      </c>
      <c r="F259" s="118">
        <f t="shared" si="97"/>
        <v>0</v>
      </c>
      <c r="G259" s="118">
        <f t="shared" si="97"/>
        <v>0</v>
      </c>
      <c r="H259" s="118">
        <f t="shared" si="97"/>
        <v>0</v>
      </c>
      <c r="I259" s="118">
        <f t="shared" si="97"/>
        <v>0</v>
      </c>
      <c r="J259" s="118">
        <f t="shared" si="97"/>
        <v>0</v>
      </c>
      <c r="K259" s="118">
        <f t="shared" si="97"/>
        <v>0</v>
      </c>
      <c r="L259" s="118">
        <f t="shared" si="97"/>
        <v>0</v>
      </c>
      <c r="M259" s="118">
        <f t="shared" si="97"/>
        <v>0</v>
      </c>
      <c r="N259" s="118">
        <f t="shared" si="97"/>
        <v>0</v>
      </c>
      <c r="O259" s="118">
        <f t="shared" si="97"/>
        <v>0</v>
      </c>
      <c r="P259" s="118">
        <f t="shared" si="97"/>
        <v>0</v>
      </c>
      <c r="Q259" s="118">
        <f t="shared" si="97"/>
        <v>0</v>
      </c>
      <c r="R259" s="118">
        <f t="shared" si="97"/>
        <v>0</v>
      </c>
      <c r="S259" s="118">
        <f t="shared" si="97"/>
        <v>0</v>
      </c>
      <c r="T259" s="118">
        <f t="shared" si="97"/>
        <v>0</v>
      </c>
      <c r="U259" s="118">
        <f t="shared" si="97"/>
        <v>0</v>
      </c>
      <c r="V259" s="118">
        <f t="shared" si="97"/>
        <v>0</v>
      </c>
      <c r="W259" s="118">
        <f t="shared" si="97"/>
        <v>0</v>
      </c>
      <c r="X259" s="118">
        <f t="shared" si="97"/>
        <v>0</v>
      </c>
      <c r="Y259" s="118">
        <f t="shared" si="82"/>
        <v>0</v>
      </c>
    </row>
    <row r="260" spans="1:25" x14ac:dyDescent="0.3">
      <c r="A260" s="119" t="s">
        <v>45</v>
      </c>
      <c r="B260" s="119"/>
      <c r="C260" s="119"/>
      <c r="D260" s="120">
        <f t="shared" ref="D260:Y260" si="98">SUM(D180:D259)</f>
        <v>0</v>
      </c>
      <c r="E260" s="120">
        <f t="shared" si="98"/>
        <v>6.1516769570680943</v>
      </c>
      <c r="F260" s="120">
        <f t="shared" si="98"/>
        <v>21.27827683425118</v>
      </c>
      <c r="G260" s="120">
        <f t="shared" si="98"/>
        <v>16.690900911226059</v>
      </c>
      <c r="H260" s="120">
        <f t="shared" si="98"/>
        <v>11.24385927030365</v>
      </c>
      <c r="I260" s="120">
        <f t="shared" si="98"/>
        <v>9.458206146035387</v>
      </c>
      <c r="J260" s="120">
        <f t="shared" si="98"/>
        <v>11.276314360655094</v>
      </c>
      <c r="K260" s="120">
        <f t="shared" si="98"/>
        <v>15.336632175191898</v>
      </c>
      <c r="L260" s="120">
        <f t="shared" si="98"/>
        <v>9.5617296087891415</v>
      </c>
      <c r="M260" s="120">
        <f t="shared" si="98"/>
        <v>12.801473484828895</v>
      </c>
      <c r="N260" s="120">
        <f t="shared" si="98"/>
        <v>11.11548640370359</v>
      </c>
      <c r="O260" s="120">
        <f t="shared" si="98"/>
        <v>12.858458867517017</v>
      </c>
      <c r="P260" s="120">
        <f t="shared" si="98"/>
        <v>8.05375261537983</v>
      </c>
      <c r="Q260" s="120">
        <f t="shared" si="98"/>
        <v>4.3984985990597751</v>
      </c>
      <c r="R260" s="120">
        <f t="shared" si="98"/>
        <v>4.0482479986984519</v>
      </c>
      <c r="S260" s="120">
        <f t="shared" si="98"/>
        <v>3.7790978768060266</v>
      </c>
      <c r="T260" s="120">
        <f t="shared" si="98"/>
        <v>3.7790978768060266</v>
      </c>
      <c r="U260" s="120">
        <f t="shared" si="98"/>
        <v>1.2448700410396716</v>
      </c>
      <c r="V260" s="120">
        <f t="shared" si="98"/>
        <v>1.2448700410396716</v>
      </c>
      <c r="W260" s="120">
        <f t="shared" si="98"/>
        <v>0.62927496580027364</v>
      </c>
      <c r="X260" s="120">
        <f t="shared" si="98"/>
        <v>0.62927496580027364</v>
      </c>
      <c r="Y260" s="120">
        <f t="shared" si="98"/>
        <v>165.57999999999998</v>
      </c>
    </row>
    <row r="261" spans="1:25" x14ac:dyDescent="0.3">
      <c r="A261" s="370" t="s">
        <v>989</v>
      </c>
    </row>
    <row r="262" spans="1:25" x14ac:dyDescent="0.3">
      <c r="A262" s="355" t="s">
        <v>990</v>
      </c>
    </row>
    <row r="263" spans="1:25" ht="19.95" customHeight="1" x14ac:dyDescent="0.3">
      <c r="A263" s="300" t="s">
        <v>991</v>
      </c>
      <c r="B263" s="300"/>
      <c r="C263" s="300"/>
      <c r="D263" s="300"/>
      <c r="E263" s="300"/>
      <c r="F263" s="300"/>
      <c r="G263" s="300"/>
      <c r="H263" s="300"/>
      <c r="I263" s="300"/>
      <c r="J263" s="300"/>
      <c r="K263" s="300"/>
      <c r="L263" s="300"/>
      <c r="M263" s="300"/>
      <c r="N263" s="300"/>
      <c r="O263" s="300"/>
      <c r="P263" s="300"/>
      <c r="Q263" s="300"/>
      <c r="R263" s="300"/>
      <c r="S263" s="300"/>
      <c r="T263" s="300"/>
      <c r="U263" s="300"/>
      <c r="V263" s="300"/>
      <c r="W263" s="300"/>
      <c r="X263" s="300"/>
      <c r="Y263" s="300"/>
    </row>
    <row r="264" spans="1:25" x14ac:dyDescent="0.3">
      <c r="A264" s="114" t="s">
        <v>35</v>
      </c>
      <c r="B264" s="114" t="s">
        <v>9</v>
      </c>
      <c r="C264" s="115"/>
      <c r="D264" s="115" t="str">
        <f t="shared" ref="D264:X264" si="99">D$4</f>
        <v>Opening</v>
      </c>
      <c r="E264" s="115" t="str">
        <f t="shared" si="99"/>
        <v>Q1-24</v>
      </c>
      <c r="F264" s="115" t="str">
        <f t="shared" si="99"/>
        <v>Q2-24</v>
      </c>
      <c r="G264" s="115" t="str">
        <f t="shared" si="99"/>
        <v>Q3-24</v>
      </c>
      <c r="H264" s="115" t="str">
        <f t="shared" si="99"/>
        <v>Q4-24</v>
      </c>
      <c r="I264" s="115" t="str">
        <f t="shared" si="99"/>
        <v>Q1-25</v>
      </c>
      <c r="J264" s="115" t="str">
        <f t="shared" si="99"/>
        <v>Q2-25</v>
      </c>
      <c r="K264" s="115" t="str">
        <f t="shared" si="99"/>
        <v>Q3-25</v>
      </c>
      <c r="L264" s="115" t="str">
        <f t="shared" si="99"/>
        <v>Q4-25</v>
      </c>
      <c r="M264" s="115" t="str">
        <f t="shared" si="99"/>
        <v>Q1-26</v>
      </c>
      <c r="N264" s="115" t="str">
        <f t="shared" si="99"/>
        <v>Q2-26</v>
      </c>
      <c r="O264" s="115" t="str">
        <f t="shared" si="99"/>
        <v>Q3-26</v>
      </c>
      <c r="P264" s="115" t="str">
        <f t="shared" si="99"/>
        <v>Q4-26</v>
      </c>
      <c r="Q264" s="115" t="str">
        <f t="shared" si="99"/>
        <v>Q1-27</v>
      </c>
      <c r="R264" s="115" t="str">
        <f t="shared" si="99"/>
        <v>Q2-27</v>
      </c>
      <c r="S264" s="115" t="str">
        <f t="shared" si="99"/>
        <v>Q3-27</v>
      </c>
      <c r="T264" s="115" t="str">
        <f t="shared" si="99"/>
        <v>Q4-27</v>
      </c>
      <c r="U264" s="115" t="str">
        <f t="shared" si="99"/>
        <v>Q1-28</v>
      </c>
      <c r="V264" s="115" t="str">
        <f t="shared" si="99"/>
        <v>Q2-28</v>
      </c>
      <c r="W264" s="115" t="str">
        <f t="shared" si="99"/>
        <v>Q3-28</v>
      </c>
      <c r="X264" s="115" t="str">
        <f t="shared" si="99"/>
        <v>Q4-28</v>
      </c>
      <c r="Y264" s="115" t="s">
        <v>4</v>
      </c>
    </row>
    <row r="265" spans="1:25" x14ac:dyDescent="0.3">
      <c r="A265" s="116" t="str">
        <f>IF(Inputs!$A6="","",Inputs!$A6)</f>
        <v>N25178-0100D</v>
      </c>
      <c r="B265" s="116" t="str">
        <f>IF(Inputs!$A6="","",Inputs!$A$91)</f>
        <v>Ahmed</v>
      </c>
      <c r="C265" s="116"/>
      <c r="D265" s="122">
        <f>IF($A265="","",(IF(ISNUMBER(SEARCH("Proposal",$A265)),SUMIFS('Timesheet Raw'!$P$4:$P$8000,'Timesheet Raw'!$A$4:$A$8000,IF(ISNUMBER(SEARCH("Chargable",$A265)),"2-Proposals Chargeable","3-Proposals Regular"),'Timesheet Raw'!$C$4:$C$8000,"*"&amp;$B265&amp;"*",'Timesheet Raw'!$L$4:$L$8000,"&gt;="&amp;MAX(D$5,DATE(2000+VALUE(RIGHT(TRIM($A265),2)),1,1)),'Timesheet Raw'!$L$4:$L$8000,"&lt;="&amp;MIN(D$6,DATE(2000+VALUE(RIGHT(TRIM($A265),2)),12,31))),SUMIFS('Timesheet Raw'!$P$4:$P$8000,'Timesheet Raw'!$B$4:$B$8000,TRIM($A265),'Timesheet Raw'!$C$4:$C$8000,"*"&amp;$B265&amp;"*",'Timesheet Raw'!$L$4:$L$8000,"&gt;="&amp;D$5,'Timesheet Raw'!$L$4:$L$8000,"&lt;="&amp;D$6)))/'Profit Plan'!$B$5)</f>
        <v>0</v>
      </c>
      <c r="E265" s="122">
        <f>IF($A265="","",(IF(ISNUMBER(SEARCH("Proposal",$A265)),SUMIFS('Timesheet Raw'!$P$4:$P$8000,'Timesheet Raw'!$A$4:$A$8000,IF(ISNUMBER(SEARCH("Chargable",$A265)),"2-Proposals Chargeable","3-Proposals Regular"),'Timesheet Raw'!$C$4:$C$8000,"*"&amp;$B265&amp;"*",'Timesheet Raw'!$L$4:$L$8000,"&gt;="&amp;MAX(E$5,DATE(2000+VALUE(RIGHT(TRIM($A265),2)),1,1)),'Timesheet Raw'!$L$4:$L$8000,"&lt;="&amp;MIN(E$6,DATE(2000+VALUE(RIGHT(TRIM($A265),2)),12,31))),SUMIFS('Timesheet Raw'!$P$4:$P$8000,'Timesheet Raw'!$B$4:$B$8000,TRIM($A265),'Timesheet Raw'!$C$4:$C$8000,"*"&amp;$B265&amp;"*",'Timesheet Raw'!$L$4:$L$8000,"&gt;="&amp;E$5,'Timesheet Raw'!$L$4:$L$8000,"&lt;="&amp;E$6)))/'Profit Plan'!$B$5)</f>
        <v>0</v>
      </c>
      <c r="F265" s="122">
        <f>IF($A265="","",(IF(ISNUMBER(SEARCH("Proposal",$A265)),SUMIFS('Timesheet Raw'!$P$4:$P$8000,'Timesheet Raw'!$A$4:$A$8000,IF(ISNUMBER(SEARCH("Chargable",$A265)),"2-Proposals Chargeable","3-Proposals Regular"),'Timesheet Raw'!$C$4:$C$8000,"*"&amp;$B265&amp;"*",'Timesheet Raw'!$L$4:$L$8000,"&gt;="&amp;MAX(F$5,DATE(2000+VALUE(RIGHT(TRIM($A265),2)),1,1)),'Timesheet Raw'!$L$4:$L$8000,"&lt;="&amp;MIN(F$6,DATE(2000+VALUE(RIGHT(TRIM($A265),2)),12,31))),SUMIFS('Timesheet Raw'!$P$4:$P$8000,'Timesheet Raw'!$B$4:$B$8000,TRIM($A265),'Timesheet Raw'!$C$4:$C$8000,"*"&amp;$B265&amp;"*",'Timesheet Raw'!$L$4:$L$8000,"&gt;="&amp;F$5,'Timesheet Raw'!$L$4:$L$8000,"&lt;="&amp;F$6)))/'Profit Plan'!$B$5)</f>
        <v>0</v>
      </c>
      <c r="G265" s="122">
        <f>IF($A265="","",(IF(ISNUMBER(SEARCH("Proposal",$A265)),SUMIFS('Timesheet Raw'!$P$4:$P$8000,'Timesheet Raw'!$A$4:$A$8000,IF(ISNUMBER(SEARCH("Chargable",$A265)),"2-Proposals Chargeable","3-Proposals Regular"),'Timesheet Raw'!$C$4:$C$8000,"*"&amp;$B265&amp;"*",'Timesheet Raw'!$L$4:$L$8000,"&gt;="&amp;MAX(G$5,DATE(2000+VALUE(RIGHT(TRIM($A265),2)),1,1)),'Timesheet Raw'!$L$4:$L$8000,"&lt;="&amp;MIN(G$6,DATE(2000+VALUE(RIGHT(TRIM($A265),2)),12,31))),SUMIFS('Timesheet Raw'!$P$4:$P$8000,'Timesheet Raw'!$B$4:$B$8000,TRIM($A265),'Timesheet Raw'!$C$4:$C$8000,"*"&amp;$B265&amp;"*",'Timesheet Raw'!$L$4:$L$8000,"&gt;="&amp;G$5,'Timesheet Raw'!$L$4:$L$8000,"&lt;="&amp;G$6)))/'Profit Plan'!$B$5)</f>
        <v>0</v>
      </c>
      <c r="H265" s="122">
        <f>IF($A265="","",(IF(ISNUMBER(SEARCH("Proposal",$A265)),SUMIFS('Timesheet Raw'!$P$4:$P$8000,'Timesheet Raw'!$A$4:$A$8000,IF(ISNUMBER(SEARCH("Chargable",$A265)),"2-Proposals Chargeable","3-Proposals Regular"),'Timesheet Raw'!$C$4:$C$8000,"*"&amp;$B265&amp;"*",'Timesheet Raw'!$L$4:$L$8000,"&gt;="&amp;MAX(H$5,DATE(2000+VALUE(RIGHT(TRIM($A265),2)),1,1)),'Timesheet Raw'!$L$4:$L$8000,"&lt;="&amp;MIN(H$6,DATE(2000+VALUE(RIGHT(TRIM($A265),2)),12,31))),SUMIFS('Timesheet Raw'!$P$4:$P$8000,'Timesheet Raw'!$B$4:$B$8000,TRIM($A265),'Timesheet Raw'!$C$4:$C$8000,"*"&amp;$B265&amp;"*",'Timesheet Raw'!$L$4:$L$8000,"&gt;="&amp;H$5,'Timesheet Raw'!$L$4:$L$8000,"&lt;="&amp;H$6)))/'Profit Plan'!$B$5)</f>
        <v>0</v>
      </c>
      <c r="I265" s="122">
        <f>IF($A265="","",(IF(ISNUMBER(SEARCH("Proposal",$A265)),SUMIFS('Timesheet Raw'!$P$4:$P$8000,'Timesheet Raw'!$A$4:$A$8000,IF(ISNUMBER(SEARCH("Chargable",$A265)),"2-Proposals Chargeable","3-Proposals Regular"),'Timesheet Raw'!$C$4:$C$8000,"*"&amp;$B265&amp;"*",'Timesheet Raw'!$L$4:$L$8000,"&gt;="&amp;MAX(I$5,DATE(2000+VALUE(RIGHT(TRIM($A265),2)),1,1)),'Timesheet Raw'!$L$4:$L$8000,"&lt;="&amp;MIN(I$6,DATE(2000+VALUE(RIGHT(TRIM($A265),2)),12,31))),SUMIFS('Timesheet Raw'!$P$4:$P$8000,'Timesheet Raw'!$B$4:$B$8000,TRIM($A265),'Timesheet Raw'!$C$4:$C$8000,"*"&amp;$B265&amp;"*",'Timesheet Raw'!$L$4:$L$8000,"&gt;="&amp;I$5,'Timesheet Raw'!$L$4:$L$8000,"&lt;="&amp;I$6)))/'Profit Plan'!$B$5)</f>
        <v>0</v>
      </c>
      <c r="J265" s="122">
        <f>IF($A265="","",(IF(ISNUMBER(SEARCH("Proposal",$A265)),SUMIFS('Timesheet Raw'!$P$4:$P$8000,'Timesheet Raw'!$A$4:$A$8000,IF(ISNUMBER(SEARCH("Chargable",$A265)),"2-Proposals Chargeable","3-Proposals Regular"),'Timesheet Raw'!$C$4:$C$8000,"*"&amp;$B265&amp;"*",'Timesheet Raw'!$L$4:$L$8000,"&gt;="&amp;MAX(J$5,DATE(2000+VALUE(RIGHT(TRIM($A265),2)),1,1)),'Timesheet Raw'!$L$4:$L$8000,"&lt;="&amp;MIN(J$6,DATE(2000+VALUE(RIGHT(TRIM($A265),2)),12,31))),SUMIFS('Timesheet Raw'!$P$4:$P$8000,'Timesheet Raw'!$B$4:$B$8000,TRIM($A265),'Timesheet Raw'!$C$4:$C$8000,"*"&amp;$B265&amp;"*",'Timesheet Raw'!$L$4:$L$8000,"&gt;="&amp;J$5,'Timesheet Raw'!$L$4:$L$8000,"&lt;="&amp;J$6)))/'Profit Plan'!$B$5)</f>
        <v>0</v>
      </c>
      <c r="K265" s="122">
        <f>IF($A265="","",(IF(ISNUMBER(SEARCH("Proposal",$A265)),SUMIFS('Timesheet Raw'!$P$4:$P$8000,'Timesheet Raw'!$A$4:$A$8000,IF(ISNUMBER(SEARCH("Chargable",$A265)),"2-Proposals Chargeable","3-Proposals Regular"),'Timesheet Raw'!$C$4:$C$8000,"*"&amp;$B265&amp;"*",'Timesheet Raw'!$L$4:$L$8000,"&gt;="&amp;MAX(K$5,DATE(2000+VALUE(RIGHT(TRIM($A265),2)),1,1)),'Timesheet Raw'!$L$4:$L$8000,"&lt;="&amp;MIN(K$6,DATE(2000+VALUE(RIGHT(TRIM($A265),2)),12,31))),SUMIFS('Timesheet Raw'!$P$4:$P$8000,'Timesheet Raw'!$B$4:$B$8000,TRIM($A265),'Timesheet Raw'!$C$4:$C$8000,"*"&amp;$B265&amp;"*",'Timesheet Raw'!$L$4:$L$8000,"&gt;="&amp;K$5,'Timesheet Raw'!$L$4:$L$8000,"&lt;="&amp;K$6)))/'Profit Plan'!$B$5)</f>
        <v>0</v>
      </c>
      <c r="L265" s="122">
        <f>IF($A265="","",(IF(ISNUMBER(SEARCH("Proposal",$A265)),SUMIFS('Timesheet Raw'!$P$4:$P$8000,'Timesheet Raw'!$A$4:$A$8000,IF(ISNUMBER(SEARCH("Chargable",$A265)),"2-Proposals Chargeable","3-Proposals Regular"),'Timesheet Raw'!$C$4:$C$8000,"*"&amp;$B265&amp;"*",'Timesheet Raw'!$L$4:$L$8000,"&gt;="&amp;MAX(L$5,DATE(2000+VALUE(RIGHT(TRIM($A265),2)),1,1)),'Timesheet Raw'!$L$4:$L$8000,"&lt;="&amp;MIN(L$6,DATE(2000+VALUE(RIGHT(TRIM($A265),2)),12,31))),SUMIFS('Timesheet Raw'!$P$4:$P$8000,'Timesheet Raw'!$B$4:$B$8000,TRIM($A265),'Timesheet Raw'!$C$4:$C$8000,"*"&amp;$B265&amp;"*",'Timesheet Raw'!$L$4:$L$8000,"&gt;="&amp;L$5,'Timesheet Raw'!$L$4:$L$8000,"&lt;="&amp;L$6)))/'Profit Plan'!$B$5)</f>
        <v>0</v>
      </c>
      <c r="M265" s="122">
        <f>IF($A265="","",(IF(ISNUMBER(SEARCH("Proposal",$A265)),SUMIFS('Timesheet Raw'!$P$4:$P$8000,'Timesheet Raw'!$A$4:$A$8000,IF(ISNUMBER(SEARCH("Chargable",$A265)),"2-Proposals Chargeable","3-Proposals Regular"),'Timesheet Raw'!$C$4:$C$8000,"*"&amp;$B265&amp;"*",'Timesheet Raw'!$L$4:$L$8000,"&gt;="&amp;MAX(M$5,DATE(2000+VALUE(RIGHT(TRIM($A265),2)),1,1)),'Timesheet Raw'!$L$4:$L$8000,"&lt;="&amp;MIN(M$6,DATE(2000+VALUE(RIGHT(TRIM($A265),2)),12,31))),SUMIFS('Timesheet Raw'!$P$4:$P$8000,'Timesheet Raw'!$B$4:$B$8000,TRIM($A265),'Timesheet Raw'!$C$4:$C$8000,"*"&amp;$B265&amp;"*",'Timesheet Raw'!$L$4:$L$8000,"&gt;="&amp;M$5,'Timesheet Raw'!$L$4:$L$8000,"&lt;="&amp;M$6)))/'Profit Plan'!$B$5)</f>
        <v>0</v>
      </c>
      <c r="N265" s="122">
        <f>IF($A265="","",(IF(ISNUMBER(SEARCH("Proposal",$A265)),SUMIFS('Timesheet Raw'!$P$4:$P$8000,'Timesheet Raw'!$A$4:$A$8000,IF(ISNUMBER(SEARCH("Chargable",$A265)),"2-Proposals Chargeable","3-Proposals Regular"),'Timesheet Raw'!$C$4:$C$8000,"*"&amp;$B265&amp;"*",'Timesheet Raw'!$L$4:$L$8000,"&gt;="&amp;MAX(N$5,DATE(2000+VALUE(RIGHT(TRIM($A265),2)),1,1)),'Timesheet Raw'!$L$4:$L$8000,"&lt;="&amp;MIN(N$6,DATE(2000+VALUE(RIGHT(TRIM($A265),2)),12,31))),SUMIFS('Timesheet Raw'!$P$4:$P$8000,'Timesheet Raw'!$B$4:$B$8000,TRIM($A265),'Timesheet Raw'!$C$4:$C$8000,"*"&amp;$B265&amp;"*",'Timesheet Raw'!$L$4:$L$8000,"&gt;="&amp;N$5,'Timesheet Raw'!$L$4:$L$8000,"&lt;="&amp;N$6)))/'Profit Plan'!$B$5)</f>
        <v>0</v>
      </c>
      <c r="O265" s="122">
        <f>IF($A265="","",(IF(ISNUMBER(SEARCH("Proposal",$A265)),SUMIFS('Timesheet Raw'!$P$4:$P$8000,'Timesheet Raw'!$A$4:$A$8000,IF(ISNUMBER(SEARCH("Chargable",$A265)),"2-Proposals Chargeable","3-Proposals Regular"),'Timesheet Raw'!$C$4:$C$8000,"*"&amp;$B265&amp;"*",'Timesheet Raw'!$L$4:$L$8000,"&gt;="&amp;MAX(O$5,DATE(2000+VALUE(RIGHT(TRIM($A265),2)),1,1)),'Timesheet Raw'!$L$4:$L$8000,"&lt;="&amp;MIN(O$6,DATE(2000+VALUE(RIGHT(TRIM($A265),2)),12,31))),SUMIFS('Timesheet Raw'!$P$4:$P$8000,'Timesheet Raw'!$B$4:$B$8000,TRIM($A265),'Timesheet Raw'!$C$4:$C$8000,"*"&amp;$B265&amp;"*",'Timesheet Raw'!$L$4:$L$8000,"&gt;="&amp;O$5,'Timesheet Raw'!$L$4:$L$8000,"&lt;="&amp;O$6)))/'Profit Plan'!$B$5)</f>
        <v>0</v>
      </c>
      <c r="P265" s="122">
        <f>IF($A265="","",(IF(ISNUMBER(SEARCH("Proposal",$A265)),SUMIFS('Timesheet Raw'!$P$4:$P$8000,'Timesheet Raw'!$A$4:$A$8000,IF(ISNUMBER(SEARCH("Chargable",$A265)),"2-Proposals Chargeable","3-Proposals Regular"),'Timesheet Raw'!$C$4:$C$8000,"*"&amp;$B265&amp;"*",'Timesheet Raw'!$L$4:$L$8000,"&gt;="&amp;MAX(P$5,DATE(2000+VALUE(RIGHT(TRIM($A265),2)),1,1)),'Timesheet Raw'!$L$4:$L$8000,"&lt;="&amp;MIN(P$6,DATE(2000+VALUE(RIGHT(TRIM($A265),2)),12,31))),SUMIFS('Timesheet Raw'!$P$4:$P$8000,'Timesheet Raw'!$B$4:$B$8000,TRIM($A265),'Timesheet Raw'!$C$4:$C$8000,"*"&amp;$B265&amp;"*",'Timesheet Raw'!$L$4:$L$8000,"&gt;="&amp;P$5,'Timesheet Raw'!$L$4:$L$8000,"&lt;="&amp;P$6)))/'Profit Plan'!$B$5)</f>
        <v>0</v>
      </c>
      <c r="Q265" s="122">
        <f>IF($A265="","",(IF(ISNUMBER(SEARCH("Proposal",$A265)),SUMIFS('Timesheet Raw'!$P$4:$P$8000,'Timesheet Raw'!$A$4:$A$8000,IF(ISNUMBER(SEARCH("Chargable",$A265)),"2-Proposals Chargeable","3-Proposals Regular"),'Timesheet Raw'!$C$4:$C$8000,"*"&amp;$B265&amp;"*",'Timesheet Raw'!$L$4:$L$8000,"&gt;="&amp;MAX(Q$5,DATE(2000+VALUE(RIGHT(TRIM($A265),2)),1,1)),'Timesheet Raw'!$L$4:$L$8000,"&lt;="&amp;MIN(Q$6,DATE(2000+VALUE(RIGHT(TRIM($A265),2)),12,31))),SUMIFS('Timesheet Raw'!$P$4:$P$8000,'Timesheet Raw'!$B$4:$B$8000,TRIM($A265),'Timesheet Raw'!$C$4:$C$8000,"*"&amp;$B265&amp;"*",'Timesheet Raw'!$L$4:$L$8000,"&gt;="&amp;Q$5,'Timesheet Raw'!$L$4:$L$8000,"&lt;="&amp;Q$6)))/'Profit Plan'!$B$5)</f>
        <v>0</v>
      </c>
      <c r="R265" s="122">
        <f>IF($A265="","",(IF(ISNUMBER(SEARCH("Proposal",$A265)),SUMIFS('Timesheet Raw'!$P$4:$P$8000,'Timesheet Raw'!$A$4:$A$8000,IF(ISNUMBER(SEARCH("Chargable",$A265)),"2-Proposals Chargeable","3-Proposals Regular"),'Timesheet Raw'!$C$4:$C$8000,"*"&amp;$B265&amp;"*",'Timesheet Raw'!$L$4:$L$8000,"&gt;="&amp;MAX(R$5,DATE(2000+VALUE(RIGHT(TRIM($A265),2)),1,1)),'Timesheet Raw'!$L$4:$L$8000,"&lt;="&amp;MIN(R$6,DATE(2000+VALUE(RIGHT(TRIM($A265),2)),12,31))),SUMIFS('Timesheet Raw'!$P$4:$P$8000,'Timesheet Raw'!$B$4:$B$8000,TRIM($A265),'Timesheet Raw'!$C$4:$C$8000,"*"&amp;$B265&amp;"*",'Timesheet Raw'!$L$4:$L$8000,"&gt;="&amp;R$5,'Timesheet Raw'!$L$4:$L$8000,"&lt;="&amp;R$6)))/'Profit Plan'!$B$5)</f>
        <v>0</v>
      </c>
      <c r="S265" s="122">
        <f>IF($A265="","",(IF(ISNUMBER(SEARCH("Proposal",$A265)),SUMIFS('Timesheet Raw'!$P$4:$P$8000,'Timesheet Raw'!$A$4:$A$8000,IF(ISNUMBER(SEARCH("Chargable",$A265)),"2-Proposals Chargeable","3-Proposals Regular"),'Timesheet Raw'!$C$4:$C$8000,"*"&amp;$B265&amp;"*",'Timesheet Raw'!$L$4:$L$8000,"&gt;="&amp;MAX(S$5,DATE(2000+VALUE(RIGHT(TRIM($A265),2)),1,1)),'Timesheet Raw'!$L$4:$L$8000,"&lt;="&amp;MIN(S$6,DATE(2000+VALUE(RIGHT(TRIM($A265),2)),12,31))),SUMIFS('Timesheet Raw'!$P$4:$P$8000,'Timesheet Raw'!$B$4:$B$8000,TRIM($A265),'Timesheet Raw'!$C$4:$C$8000,"*"&amp;$B265&amp;"*",'Timesheet Raw'!$L$4:$L$8000,"&gt;="&amp;S$5,'Timesheet Raw'!$L$4:$L$8000,"&lt;="&amp;S$6)))/'Profit Plan'!$B$5)</f>
        <v>0</v>
      </c>
      <c r="T265" s="122">
        <f>IF($A265="","",(IF(ISNUMBER(SEARCH("Proposal",$A265)),SUMIFS('Timesheet Raw'!$P$4:$P$8000,'Timesheet Raw'!$A$4:$A$8000,IF(ISNUMBER(SEARCH("Chargable",$A265)),"2-Proposals Chargeable","3-Proposals Regular"),'Timesheet Raw'!$C$4:$C$8000,"*"&amp;$B265&amp;"*",'Timesheet Raw'!$L$4:$L$8000,"&gt;="&amp;MAX(T$5,DATE(2000+VALUE(RIGHT(TRIM($A265),2)),1,1)),'Timesheet Raw'!$L$4:$L$8000,"&lt;="&amp;MIN(T$6,DATE(2000+VALUE(RIGHT(TRIM($A265),2)),12,31))),SUMIFS('Timesheet Raw'!$P$4:$P$8000,'Timesheet Raw'!$B$4:$B$8000,TRIM($A265),'Timesheet Raw'!$C$4:$C$8000,"*"&amp;$B265&amp;"*",'Timesheet Raw'!$L$4:$L$8000,"&gt;="&amp;T$5,'Timesheet Raw'!$L$4:$L$8000,"&lt;="&amp;T$6)))/'Profit Plan'!$B$5)</f>
        <v>0</v>
      </c>
      <c r="U265" s="122">
        <f>IF($A265="","",(IF(ISNUMBER(SEARCH("Proposal",$A265)),SUMIFS('Timesheet Raw'!$P$4:$P$8000,'Timesheet Raw'!$A$4:$A$8000,IF(ISNUMBER(SEARCH("Chargable",$A265)),"2-Proposals Chargeable","3-Proposals Regular"),'Timesheet Raw'!$C$4:$C$8000,"*"&amp;$B265&amp;"*",'Timesheet Raw'!$L$4:$L$8000,"&gt;="&amp;MAX(U$5,DATE(2000+VALUE(RIGHT(TRIM($A265),2)),1,1)),'Timesheet Raw'!$L$4:$L$8000,"&lt;="&amp;MIN(U$6,DATE(2000+VALUE(RIGHT(TRIM($A265),2)),12,31))),SUMIFS('Timesheet Raw'!$P$4:$P$8000,'Timesheet Raw'!$B$4:$B$8000,TRIM($A265),'Timesheet Raw'!$C$4:$C$8000,"*"&amp;$B265&amp;"*",'Timesheet Raw'!$L$4:$L$8000,"&gt;="&amp;U$5,'Timesheet Raw'!$L$4:$L$8000,"&lt;="&amp;U$6)))/'Profit Plan'!$B$5)</f>
        <v>0</v>
      </c>
      <c r="V265" s="122">
        <f>IF($A265="","",(IF(ISNUMBER(SEARCH("Proposal",$A265)),SUMIFS('Timesheet Raw'!$P$4:$P$8000,'Timesheet Raw'!$A$4:$A$8000,IF(ISNUMBER(SEARCH("Chargable",$A265)),"2-Proposals Chargeable","3-Proposals Regular"),'Timesheet Raw'!$C$4:$C$8000,"*"&amp;$B265&amp;"*",'Timesheet Raw'!$L$4:$L$8000,"&gt;="&amp;MAX(V$5,DATE(2000+VALUE(RIGHT(TRIM($A265),2)),1,1)),'Timesheet Raw'!$L$4:$L$8000,"&lt;="&amp;MIN(V$6,DATE(2000+VALUE(RIGHT(TRIM($A265),2)),12,31))),SUMIFS('Timesheet Raw'!$P$4:$P$8000,'Timesheet Raw'!$B$4:$B$8000,TRIM($A265),'Timesheet Raw'!$C$4:$C$8000,"*"&amp;$B265&amp;"*",'Timesheet Raw'!$L$4:$L$8000,"&gt;="&amp;V$5,'Timesheet Raw'!$L$4:$L$8000,"&lt;="&amp;V$6)))/'Profit Plan'!$B$5)</f>
        <v>0</v>
      </c>
      <c r="W265" s="122">
        <f>IF($A265="","",(IF(ISNUMBER(SEARCH("Proposal",$A265)),SUMIFS('Timesheet Raw'!$P$4:$P$8000,'Timesheet Raw'!$A$4:$A$8000,IF(ISNUMBER(SEARCH("Chargable",$A265)),"2-Proposals Chargeable","3-Proposals Regular"),'Timesheet Raw'!$C$4:$C$8000,"*"&amp;$B265&amp;"*",'Timesheet Raw'!$L$4:$L$8000,"&gt;="&amp;MAX(W$5,DATE(2000+VALUE(RIGHT(TRIM($A265),2)),1,1)),'Timesheet Raw'!$L$4:$L$8000,"&lt;="&amp;MIN(W$6,DATE(2000+VALUE(RIGHT(TRIM($A265),2)),12,31))),SUMIFS('Timesheet Raw'!$P$4:$P$8000,'Timesheet Raw'!$B$4:$B$8000,TRIM($A265),'Timesheet Raw'!$C$4:$C$8000,"*"&amp;$B265&amp;"*",'Timesheet Raw'!$L$4:$L$8000,"&gt;="&amp;W$5,'Timesheet Raw'!$L$4:$L$8000,"&lt;="&amp;W$6)))/'Profit Plan'!$B$5)</f>
        <v>0</v>
      </c>
      <c r="X265" s="122">
        <f>IF($A265="","",(IF(ISNUMBER(SEARCH("Proposal",$A265)),SUMIFS('Timesheet Raw'!$P$4:$P$8000,'Timesheet Raw'!$A$4:$A$8000,IF(ISNUMBER(SEARCH("Chargable",$A265)),"2-Proposals Chargeable","3-Proposals Regular"),'Timesheet Raw'!$C$4:$C$8000,"*"&amp;$B265&amp;"*",'Timesheet Raw'!$L$4:$L$8000,"&gt;="&amp;MAX(X$5,DATE(2000+VALUE(RIGHT(TRIM($A265),2)),1,1)),'Timesheet Raw'!$L$4:$L$8000,"&lt;="&amp;MIN(X$6,DATE(2000+VALUE(RIGHT(TRIM($A265),2)),12,31))),SUMIFS('Timesheet Raw'!$P$4:$P$8000,'Timesheet Raw'!$B$4:$B$8000,TRIM($A265),'Timesheet Raw'!$C$4:$C$8000,"*"&amp;$B265&amp;"*",'Timesheet Raw'!$L$4:$L$8000,"&gt;="&amp;X$5,'Timesheet Raw'!$L$4:$L$8000,"&lt;="&amp;X$6)))/'Profit Plan'!$B$5)</f>
        <v>0</v>
      </c>
      <c r="Y265" s="118">
        <f t="shared" ref="Y265:Y328" si="100">SUM(D265:X265)</f>
        <v>0</v>
      </c>
    </row>
    <row r="266" spans="1:25" x14ac:dyDescent="0.3">
      <c r="A266" s="116" t="str">
        <f>IF(Inputs!$A6="","",Inputs!$A6)</f>
        <v>N25178-0100D</v>
      </c>
      <c r="B266" s="116" t="str">
        <f>IF(Inputs!$A6="","",Inputs!$A$92)</f>
        <v>Osama</v>
      </c>
      <c r="C266" s="116"/>
      <c r="D266" s="122">
        <f>IF($A266="","",(IF(ISNUMBER(SEARCH("Proposal",$A266)),SUMIFS('Timesheet Raw'!$P$4:$P$8000,'Timesheet Raw'!$A$4:$A$8000,IF(ISNUMBER(SEARCH("Chargable",$A266)),"2-Proposals Chargeable","3-Proposals Regular"),'Timesheet Raw'!$C$4:$C$8000,"*"&amp;$B266&amp;"*",'Timesheet Raw'!$L$4:$L$8000,"&gt;="&amp;MAX(D$5,DATE(2000+VALUE(RIGHT(TRIM($A266),2)),1,1)),'Timesheet Raw'!$L$4:$L$8000,"&lt;="&amp;MIN(D$6,DATE(2000+VALUE(RIGHT(TRIM($A266),2)),12,31))),SUMIFS('Timesheet Raw'!$P$4:$P$8000,'Timesheet Raw'!$B$4:$B$8000,TRIM($A266),'Timesheet Raw'!$C$4:$C$8000,"*"&amp;$B266&amp;"*",'Timesheet Raw'!$L$4:$L$8000,"&gt;="&amp;D$5,'Timesheet Raw'!$L$4:$L$8000,"&lt;="&amp;D$6)))/'Profit Plan'!$B$5)</f>
        <v>0</v>
      </c>
      <c r="E266" s="122">
        <f>IF($A266="","",(IF(ISNUMBER(SEARCH("Proposal",$A266)),SUMIFS('Timesheet Raw'!$P$4:$P$8000,'Timesheet Raw'!$A$4:$A$8000,IF(ISNUMBER(SEARCH("Chargable",$A266)),"2-Proposals Chargeable","3-Proposals Regular"),'Timesheet Raw'!$C$4:$C$8000,"*"&amp;$B266&amp;"*",'Timesheet Raw'!$L$4:$L$8000,"&gt;="&amp;MAX(E$5,DATE(2000+VALUE(RIGHT(TRIM($A266),2)),1,1)),'Timesheet Raw'!$L$4:$L$8000,"&lt;="&amp;MIN(E$6,DATE(2000+VALUE(RIGHT(TRIM($A266),2)),12,31))),SUMIFS('Timesheet Raw'!$P$4:$P$8000,'Timesheet Raw'!$B$4:$B$8000,TRIM($A266),'Timesheet Raw'!$C$4:$C$8000,"*"&amp;$B266&amp;"*",'Timesheet Raw'!$L$4:$L$8000,"&gt;="&amp;E$5,'Timesheet Raw'!$L$4:$L$8000,"&lt;="&amp;E$6)))/'Profit Plan'!$B$5)</f>
        <v>0</v>
      </c>
      <c r="F266" s="122">
        <f>IF($A266="","",(IF(ISNUMBER(SEARCH("Proposal",$A266)),SUMIFS('Timesheet Raw'!$P$4:$P$8000,'Timesheet Raw'!$A$4:$A$8000,IF(ISNUMBER(SEARCH("Chargable",$A266)),"2-Proposals Chargeable","3-Proposals Regular"),'Timesheet Raw'!$C$4:$C$8000,"*"&amp;$B266&amp;"*",'Timesheet Raw'!$L$4:$L$8000,"&gt;="&amp;MAX(F$5,DATE(2000+VALUE(RIGHT(TRIM($A266),2)),1,1)),'Timesheet Raw'!$L$4:$L$8000,"&lt;="&amp;MIN(F$6,DATE(2000+VALUE(RIGHT(TRIM($A266),2)),12,31))),SUMIFS('Timesheet Raw'!$P$4:$P$8000,'Timesheet Raw'!$B$4:$B$8000,TRIM($A266),'Timesheet Raw'!$C$4:$C$8000,"*"&amp;$B266&amp;"*",'Timesheet Raw'!$L$4:$L$8000,"&gt;="&amp;F$5,'Timesheet Raw'!$L$4:$L$8000,"&lt;="&amp;F$6)))/'Profit Plan'!$B$5)</f>
        <v>0</v>
      </c>
      <c r="G266" s="122">
        <f>IF($A266="","",(IF(ISNUMBER(SEARCH("Proposal",$A266)),SUMIFS('Timesheet Raw'!$P$4:$P$8000,'Timesheet Raw'!$A$4:$A$8000,IF(ISNUMBER(SEARCH("Chargable",$A266)),"2-Proposals Chargeable","3-Proposals Regular"),'Timesheet Raw'!$C$4:$C$8000,"*"&amp;$B266&amp;"*",'Timesheet Raw'!$L$4:$L$8000,"&gt;="&amp;MAX(G$5,DATE(2000+VALUE(RIGHT(TRIM($A266),2)),1,1)),'Timesheet Raw'!$L$4:$L$8000,"&lt;="&amp;MIN(G$6,DATE(2000+VALUE(RIGHT(TRIM($A266),2)),12,31))),SUMIFS('Timesheet Raw'!$P$4:$P$8000,'Timesheet Raw'!$B$4:$B$8000,TRIM($A266),'Timesheet Raw'!$C$4:$C$8000,"*"&amp;$B266&amp;"*",'Timesheet Raw'!$L$4:$L$8000,"&gt;="&amp;G$5,'Timesheet Raw'!$L$4:$L$8000,"&lt;="&amp;G$6)))/'Profit Plan'!$B$5)</f>
        <v>0</v>
      </c>
      <c r="H266" s="122">
        <f>IF($A266="","",(IF(ISNUMBER(SEARCH("Proposal",$A266)),SUMIFS('Timesheet Raw'!$P$4:$P$8000,'Timesheet Raw'!$A$4:$A$8000,IF(ISNUMBER(SEARCH("Chargable",$A266)),"2-Proposals Chargeable","3-Proposals Regular"),'Timesheet Raw'!$C$4:$C$8000,"*"&amp;$B266&amp;"*",'Timesheet Raw'!$L$4:$L$8000,"&gt;="&amp;MAX(H$5,DATE(2000+VALUE(RIGHT(TRIM($A266),2)),1,1)),'Timesheet Raw'!$L$4:$L$8000,"&lt;="&amp;MIN(H$6,DATE(2000+VALUE(RIGHT(TRIM($A266),2)),12,31))),SUMIFS('Timesheet Raw'!$P$4:$P$8000,'Timesheet Raw'!$B$4:$B$8000,TRIM($A266),'Timesheet Raw'!$C$4:$C$8000,"*"&amp;$B266&amp;"*",'Timesheet Raw'!$L$4:$L$8000,"&gt;="&amp;H$5,'Timesheet Raw'!$L$4:$L$8000,"&lt;="&amp;H$6)))/'Profit Plan'!$B$5)</f>
        <v>0</v>
      </c>
      <c r="I266" s="122">
        <f>IF($A266="","",(IF(ISNUMBER(SEARCH("Proposal",$A266)),SUMIFS('Timesheet Raw'!$P$4:$P$8000,'Timesheet Raw'!$A$4:$A$8000,IF(ISNUMBER(SEARCH("Chargable",$A266)),"2-Proposals Chargeable","3-Proposals Regular"),'Timesheet Raw'!$C$4:$C$8000,"*"&amp;$B266&amp;"*",'Timesheet Raw'!$L$4:$L$8000,"&gt;="&amp;MAX(I$5,DATE(2000+VALUE(RIGHT(TRIM($A266),2)),1,1)),'Timesheet Raw'!$L$4:$L$8000,"&lt;="&amp;MIN(I$6,DATE(2000+VALUE(RIGHT(TRIM($A266),2)),12,31))),SUMIFS('Timesheet Raw'!$P$4:$P$8000,'Timesheet Raw'!$B$4:$B$8000,TRIM($A266),'Timesheet Raw'!$C$4:$C$8000,"*"&amp;$B266&amp;"*",'Timesheet Raw'!$L$4:$L$8000,"&gt;="&amp;I$5,'Timesheet Raw'!$L$4:$L$8000,"&lt;="&amp;I$6)))/'Profit Plan'!$B$5)</f>
        <v>0</v>
      </c>
      <c r="J266" s="122">
        <f>IF($A266="","",(IF(ISNUMBER(SEARCH("Proposal",$A266)),SUMIFS('Timesheet Raw'!$P$4:$P$8000,'Timesheet Raw'!$A$4:$A$8000,IF(ISNUMBER(SEARCH("Chargable",$A266)),"2-Proposals Chargeable","3-Proposals Regular"),'Timesheet Raw'!$C$4:$C$8000,"*"&amp;$B266&amp;"*",'Timesheet Raw'!$L$4:$L$8000,"&gt;="&amp;MAX(J$5,DATE(2000+VALUE(RIGHT(TRIM($A266),2)),1,1)),'Timesheet Raw'!$L$4:$L$8000,"&lt;="&amp;MIN(J$6,DATE(2000+VALUE(RIGHT(TRIM($A266),2)),12,31))),SUMIFS('Timesheet Raw'!$P$4:$P$8000,'Timesheet Raw'!$B$4:$B$8000,TRIM($A266),'Timesheet Raw'!$C$4:$C$8000,"*"&amp;$B266&amp;"*",'Timesheet Raw'!$L$4:$L$8000,"&gt;="&amp;J$5,'Timesheet Raw'!$L$4:$L$8000,"&lt;="&amp;J$6)))/'Profit Plan'!$B$5)</f>
        <v>0</v>
      </c>
      <c r="K266" s="122">
        <f>IF($A266="","",(IF(ISNUMBER(SEARCH("Proposal",$A266)),SUMIFS('Timesheet Raw'!$P$4:$P$8000,'Timesheet Raw'!$A$4:$A$8000,IF(ISNUMBER(SEARCH("Chargable",$A266)),"2-Proposals Chargeable","3-Proposals Regular"),'Timesheet Raw'!$C$4:$C$8000,"*"&amp;$B266&amp;"*",'Timesheet Raw'!$L$4:$L$8000,"&gt;="&amp;MAX(K$5,DATE(2000+VALUE(RIGHT(TRIM($A266),2)),1,1)),'Timesheet Raw'!$L$4:$L$8000,"&lt;="&amp;MIN(K$6,DATE(2000+VALUE(RIGHT(TRIM($A266),2)),12,31))),SUMIFS('Timesheet Raw'!$P$4:$P$8000,'Timesheet Raw'!$B$4:$B$8000,TRIM($A266),'Timesheet Raw'!$C$4:$C$8000,"*"&amp;$B266&amp;"*",'Timesheet Raw'!$L$4:$L$8000,"&gt;="&amp;K$5,'Timesheet Raw'!$L$4:$L$8000,"&lt;="&amp;K$6)))/'Profit Plan'!$B$5)</f>
        <v>0</v>
      </c>
      <c r="L266" s="122">
        <f>IF($A266="","",(IF(ISNUMBER(SEARCH("Proposal",$A266)),SUMIFS('Timesheet Raw'!$P$4:$P$8000,'Timesheet Raw'!$A$4:$A$8000,IF(ISNUMBER(SEARCH("Chargable",$A266)),"2-Proposals Chargeable","3-Proposals Regular"),'Timesheet Raw'!$C$4:$C$8000,"*"&amp;$B266&amp;"*",'Timesheet Raw'!$L$4:$L$8000,"&gt;="&amp;MAX(L$5,DATE(2000+VALUE(RIGHT(TRIM($A266),2)),1,1)),'Timesheet Raw'!$L$4:$L$8000,"&lt;="&amp;MIN(L$6,DATE(2000+VALUE(RIGHT(TRIM($A266),2)),12,31))),SUMIFS('Timesheet Raw'!$P$4:$P$8000,'Timesheet Raw'!$B$4:$B$8000,TRIM($A266),'Timesheet Raw'!$C$4:$C$8000,"*"&amp;$B266&amp;"*",'Timesheet Raw'!$L$4:$L$8000,"&gt;="&amp;L$5,'Timesheet Raw'!$L$4:$L$8000,"&lt;="&amp;L$6)))/'Profit Plan'!$B$5)</f>
        <v>0</v>
      </c>
      <c r="M266" s="122">
        <f>IF($A266="","",(IF(ISNUMBER(SEARCH("Proposal",$A266)),SUMIFS('Timesheet Raw'!$P$4:$P$8000,'Timesheet Raw'!$A$4:$A$8000,IF(ISNUMBER(SEARCH("Chargable",$A266)),"2-Proposals Chargeable","3-Proposals Regular"),'Timesheet Raw'!$C$4:$C$8000,"*"&amp;$B266&amp;"*",'Timesheet Raw'!$L$4:$L$8000,"&gt;="&amp;MAX(M$5,DATE(2000+VALUE(RIGHT(TRIM($A266),2)),1,1)),'Timesheet Raw'!$L$4:$L$8000,"&lt;="&amp;MIN(M$6,DATE(2000+VALUE(RIGHT(TRIM($A266),2)),12,31))),SUMIFS('Timesheet Raw'!$P$4:$P$8000,'Timesheet Raw'!$B$4:$B$8000,TRIM($A266),'Timesheet Raw'!$C$4:$C$8000,"*"&amp;$B266&amp;"*",'Timesheet Raw'!$L$4:$L$8000,"&gt;="&amp;M$5,'Timesheet Raw'!$L$4:$L$8000,"&lt;="&amp;M$6)))/'Profit Plan'!$B$5)</f>
        <v>0</v>
      </c>
      <c r="N266" s="122">
        <f>IF($A266="","",(IF(ISNUMBER(SEARCH("Proposal",$A266)),SUMIFS('Timesheet Raw'!$P$4:$P$8000,'Timesheet Raw'!$A$4:$A$8000,IF(ISNUMBER(SEARCH("Chargable",$A266)),"2-Proposals Chargeable","3-Proposals Regular"),'Timesheet Raw'!$C$4:$C$8000,"*"&amp;$B266&amp;"*",'Timesheet Raw'!$L$4:$L$8000,"&gt;="&amp;MAX(N$5,DATE(2000+VALUE(RIGHT(TRIM($A266),2)),1,1)),'Timesheet Raw'!$L$4:$L$8000,"&lt;="&amp;MIN(N$6,DATE(2000+VALUE(RIGHT(TRIM($A266),2)),12,31))),SUMIFS('Timesheet Raw'!$P$4:$P$8000,'Timesheet Raw'!$B$4:$B$8000,TRIM($A266),'Timesheet Raw'!$C$4:$C$8000,"*"&amp;$B266&amp;"*",'Timesheet Raw'!$L$4:$L$8000,"&gt;="&amp;N$5,'Timesheet Raw'!$L$4:$L$8000,"&lt;="&amp;N$6)))/'Profit Plan'!$B$5)</f>
        <v>0</v>
      </c>
      <c r="O266" s="122">
        <f>IF($A266="","",(IF(ISNUMBER(SEARCH("Proposal",$A266)),SUMIFS('Timesheet Raw'!$P$4:$P$8000,'Timesheet Raw'!$A$4:$A$8000,IF(ISNUMBER(SEARCH("Chargable",$A266)),"2-Proposals Chargeable","3-Proposals Regular"),'Timesheet Raw'!$C$4:$C$8000,"*"&amp;$B266&amp;"*",'Timesheet Raw'!$L$4:$L$8000,"&gt;="&amp;MAX(O$5,DATE(2000+VALUE(RIGHT(TRIM($A266),2)),1,1)),'Timesheet Raw'!$L$4:$L$8000,"&lt;="&amp;MIN(O$6,DATE(2000+VALUE(RIGHT(TRIM($A266),2)),12,31))),SUMIFS('Timesheet Raw'!$P$4:$P$8000,'Timesheet Raw'!$B$4:$B$8000,TRIM($A266),'Timesheet Raw'!$C$4:$C$8000,"*"&amp;$B266&amp;"*",'Timesheet Raw'!$L$4:$L$8000,"&gt;="&amp;O$5,'Timesheet Raw'!$L$4:$L$8000,"&lt;="&amp;O$6)))/'Profit Plan'!$B$5)</f>
        <v>0</v>
      </c>
      <c r="P266" s="122">
        <f>IF($A266="","",(IF(ISNUMBER(SEARCH("Proposal",$A266)),SUMIFS('Timesheet Raw'!$P$4:$P$8000,'Timesheet Raw'!$A$4:$A$8000,IF(ISNUMBER(SEARCH("Chargable",$A266)),"2-Proposals Chargeable","3-Proposals Regular"),'Timesheet Raw'!$C$4:$C$8000,"*"&amp;$B266&amp;"*",'Timesheet Raw'!$L$4:$L$8000,"&gt;="&amp;MAX(P$5,DATE(2000+VALUE(RIGHT(TRIM($A266),2)),1,1)),'Timesheet Raw'!$L$4:$L$8000,"&lt;="&amp;MIN(P$6,DATE(2000+VALUE(RIGHT(TRIM($A266),2)),12,31))),SUMIFS('Timesheet Raw'!$P$4:$P$8000,'Timesheet Raw'!$B$4:$B$8000,TRIM($A266),'Timesheet Raw'!$C$4:$C$8000,"*"&amp;$B266&amp;"*",'Timesheet Raw'!$L$4:$L$8000,"&gt;="&amp;P$5,'Timesheet Raw'!$L$4:$L$8000,"&lt;="&amp;P$6)))/'Profit Plan'!$B$5)</f>
        <v>0</v>
      </c>
      <c r="Q266" s="122">
        <f>IF($A266="","",(IF(ISNUMBER(SEARCH("Proposal",$A266)),SUMIFS('Timesheet Raw'!$P$4:$P$8000,'Timesheet Raw'!$A$4:$A$8000,IF(ISNUMBER(SEARCH("Chargable",$A266)),"2-Proposals Chargeable","3-Proposals Regular"),'Timesheet Raw'!$C$4:$C$8000,"*"&amp;$B266&amp;"*",'Timesheet Raw'!$L$4:$L$8000,"&gt;="&amp;MAX(Q$5,DATE(2000+VALUE(RIGHT(TRIM($A266),2)),1,1)),'Timesheet Raw'!$L$4:$L$8000,"&lt;="&amp;MIN(Q$6,DATE(2000+VALUE(RIGHT(TRIM($A266),2)),12,31))),SUMIFS('Timesheet Raw'!$P$4:$P$8000,'Timesheet Raw'!$B$4:$B$8000,TRIM($A266),'Timesheet Raw'!$C$4:$C$8000,"*"&amp;$B266&amp;"*",'Timesheet Raw'!$L$4:$L$8000,"&gt;="&amp;Q$5,'Timesheet Raw'!$L$4:$L$8000,"&lt;="&amp;Q$6)))/'Profit Plan'!$B$5)</f>
        <v>0</v>
      </c>
      <c r="R266" s="122">
        <f>IF($A266="","",(IF(ISNUMBER(SEARCH("Proposal",$A266)),SUMIFS('Timesheet Raw'!$P$4:$P$8000,'Timesheet Raw'!$A$4:$A$8000,IF(ISNUMBER(SEARCH("Chargable",$A266)),"2-Proposals Chargeable","3-Proposals Regular"),'Timesheet Raw'!$C$4:$C$8000,"*"&amp;$B266&amp;"*",'Timesheet Raw'!$L$4:$L$8000,"&gt;="&amp;MAX(R$5,DATE(2000+VALUE(RIGHT(TRIM($A266),2)),1,1)),'Timesheet Raw'!$L$4:$L$8000,"&lt;="&amp;MIN(R$6,DATE(2000+VALUE(RIGHT(TRIM($A266),2)),12,31))),SUMIFS('Timesheet Raw'!$P$4:$P$8000,'Timesheet Raw'!$B$4:$B$8000,TRIM($A266),'Timesheet Raw'!$C$4:$C$8000,"*"&amp;$B266&amp;"*",'Timesheet Raw'!$L$4:$L$8000,"&gt;="&amp;R$5,'Timesheet Raw'!$L$4:$L$8000,"&lt;="&amp;R$6)))/'Profit Plan'!$B$5)</f>
        <v>0</v>
      </c>
      <c r="S266" s="122">
        <f>IF($A266="","",(IF(ISNUMBER(SEARCH("Proposal",$A266)),SUMIFS('Timesheet Raw'!$P$4:$P$8000,'Timesheet Raw'!$A$4:$A$8000,IF(ISNUMBER(SEARCH("Chargable",$A266)),"2-Proposals Chargeable","3-Proposals Regular"),'Timesheet Raw'!$C$4:$C$8000,"*"&amp;$B266&amp;"*",'Timesheet Raw'!$L$4:$L$8000,"&gt;="&amp;MAX(S$5,DATE(2000+VALUE(RIGHT(TRIM($A266),2)),1,1)),'Timesheet Raw'!$L$4:$L$8000,"&lt;="&amp;MIN(S$6,DATE(2000+VALUE(RIGHT(TRIM($A266),2)),12,31))),SUMIFS('Timesheet Raw'!$P$4:$P$8000,'Timesheet Raw'!$B$4:$B$8000,TRIM($A266),'Timesheet Raw'!$C$4:$C$8000,"*"&amp;$B266&amp;"*",'Timesheet Raw'!$L$4:$L$8000,"&gt;="&amp;S$5,'Timesheet Raw'!$L$4:$L$8000,"&lt;="&amp;S$6)))/'Profit Plan'!$B$5)</f>
        <v>0</v>
      </c>
      <c r="T266" s="122">
        <f>IF($A266="","",(IF(ISNUMBER(SEARCH("Proposal",$A266)),SUMIFS('Timesheet Raw'!$P$4:$P$8000,'Timesheet Raw'!$A$4:$A$8000,IF(ISNUMBER(SEARCH("Chargable",$A266)),"2-Proposals Chargeable","3-Proposals Regular"),'Timesheet Raw'!$C$4:$C$8000,"*"&amp;$B266&amp;"*",'Timesheet Raw'!$L$4:$L$8000,"&gt;="&amp;MAX(T$5,DATE(2000+VALUE(RIGHT(TRIM($A266),2)),1,1)),'Timesheet Raw'!$L$4:$L$8000,"&lt;="&amp;MIN(T$6,DATE(2000+VALUE(RIGHT(TRIM($A266),2)),12,31))),SUMIFS('Timesheet Raw'!$P$4:$P$8000,'Timesheet Raw'!$B$4:$B$8000,TRIM($A266),'Timesheet Raw'!$C$4:$C$8000,"*"&amp;$B266&amp;"*",'Timesheet Raw'!$L$4:$L$8000,"&gt;="&amp;T$5,'Timesheet Raw'!$L$4:$L$8000,"&lt;="&amp;T$6)))/'Profit Plan'!$B$5)</f>
        <v>0</v>
      </c>
      <c r="U266" s="122">
        <f>IF($A266="","",(IF(ISNUMBER(SEARCH("Proposal",$A266)),SUMIFS('Timesheet Raw'!$P$4:$P$8000,'Timesheet Raw'!$A$4:$A$8000,IF(ISNUMBER(SEARCH("Chargable",$A266)),"2-Proposals Chargeable","3-Proposals Regular"),'Timesheet Raw'!$C$4:$C$8000,"*"&amp;$B266&amp;"*",'Timesheet Raw'!$L$4:$L$8000,"&gt;="&amp;MAX(U$5,DATE(2000+VALUE(RIGHT(TRIM($A266),2)),1,1)),'Timesheet Raw'!$L$4:$L$8000,"&lt;="&amp;MIN(U$6,DATE(2000+VALUE(RIGHT(TRIM($A266),2)),12,31))),SUMIFS('Timesheet Raw'!$P$4:$P$8000,'Timesheet Raw'!$B$4:$B$8000,TRIM($A266),'Timesheet Raw'!$C$4:$C$8000,"*"&amp;$B266&amp;"*",'Timesheet Raw'!$L$4:$L$8000,"&gt;="&amp;U$5,'Timesheet Raw'!$L$4:$L$8000,"&lt;="&amp;U$6)))/'Profit Plan'!$B$5)</f>
        <v>0</v>
      </c>
      <c r="V266" s="122">
        <f>IF($A266="","",(IF(ISNUMBER(SEARCH("Proposal",$A266)),SUMIFS('Timesheet Raw'!$P$4:$P$8000,'Timesheet Raw'!$A$4:$A$8000,IF(ISNUMBER(SEARCH("Chargable",$A266)),"2-Proposals Chargeable","3-Proposals Regular"),'Timesheet Raw'!$C$4:$C$8000,"*"&amp;$B266&amp;"*",'Timesheet Raw'!$L$4:$L$8000,"&gt;="&amp;MAX(V$5,DATE(2000+VALUE(RIGHT(TRIM($A266),2)),1,1)),'Timesheet Raw'!$L$4:$L$8000,"&lt;="&amp;MIN(V$6,DATE(2000+VALUE(RIGHT(TRIM($A266),2)),12,31))),SUMIFS('Timesheet Raw'!$P$4:$P$8000,'Timesheet Raw'!$B$4:$B$8000,TRIM($A266),'Timesheet Raw'!$C$4:$C$8000,"*"&amp;$B266&amp;"*",'Timesheet Raw'!$L$4:$L$8000,"&gt;="&amp;V$5,'Timesheet Raw'!$L$4:$L$8000,"&lt;="&amp;V$6)))/'Profit Plan'!$B$5)</f>
        <v>0</v>
      </c>
      <c r="W266" s="122">
        <f>IF($A266="","",(IF(ISNUMBER(SEARCH("Proposal",$A266)),SUMIFS('Timesheet Raw'!$P$4:$P$8000,'Timesheet Raw'!$A$4:$A$8000,IF(ISNUMBER(SEARCH("Chargable",$A266)),"2-Proposals Chargeable","3-Proposals Regular"),'Timesheet Raw'!$C$4:$C$8000,"*"&amp;$B266&amp;"*",'Timesheet Raw'!$L$4:$L$8000,"&gt;="&amp;MAX(W$5,DATE(2000+VALUE(RIGHT(TRIM($A266),2)),1,1)),'Timesheet Raw'!$L$4:$L$8000,"&lt;="&amp;MIN(W$6,DATE(2000+VALUE(RIGHT(TRIM($A266),2)),12,31))),SUMIFS('Timesheet Raw'!$P$4:$P$8000,'Timesheet Raw'!$B$4:$B$8000,TRIM($A266),'Timesheet Raw'!$C$4:$C$8000,"*"&amp;$B266&amp;"*",'Timesheet Raw'!$L$4:$L$8000,"&gt;="&amp;W$5,'Timesheet Raw'!$L$4:$L$8000,"&lt;="&amp;W$6)))/'Profit Plan'!$B$5)</f>
        <v>0</v>
      </c>
      <c r="X266" s="122">
        <f>IF($A266="","",(IF(ISNUMBER(SEARCH("Proposal",$A266)),SUMIFS('Timesheet Raw'!$P$4:$P$8000,'Timesheet Raw'!$A$4:$A$8000,IF(ISNUMBER(SEARCH("Chargable",$A266)),"2-Proposals Chargeable","3-Proposals Regular"),'Timesheet Raw'!$C$4:$C$8000,"*"&amp;$B266&amp;"*",'Timesheet Raw'!$L$4:$L$8000,"&gt;="&amp;MAX(X$5,DATE(2000+VALUE(RIGHT(TRIM($A266),2)),1,1)),'Timesheet Raw'!$L$4:$L$8000,"&lt;="&amp;MIN(X$6,DATE(2000+VALUE(RIGHT(TRIM($A266),2)),12,31))),SUMIFS('Timesheet Raw'!$P$4:$P$8000,'Timesheet Raw'!$B$4:$B$8000,TRIM($A266),'Timesheet Raw'!$C$4:$C$8000,"*"&amp;$B266&amp;"*",'Timesheet Raw'!$L$4:$L$8000,"&gt;="&amp;X$5,'Timesheet Raw'!$L$4:$L$8000,"&lt;="&amp;X$6)))/'Profit Plan'!$B$5)</f>
        <v>0</v>
      </c>
      <c r="Y266" s="118">
        <f t="shared" si="100"/>
        <v>0</v>
      </c>
    </row>
    <row r="267" spans="1:25" x14ac:dyDescent="0.3">
      <c r="A267" s="116" t="str">
        <f>IF(Inputs!$A6="","",Inputs!$A6)</f>
        <v>N25178-0100D</v>
      </c>
      <c r="B267" s="116" t="str">
        <f>IF(Inputs!$A6="","",Inputs!$A$93)</f>
        <v>Kirolos</v>
      </c>
      <c r="C267" s="116"/>
      <c r="D267" s="122">
        <f>IF($A267="","",(IF(ISNUMBER(SEARCH("Proposal",$A267)),SUMIFS('Timesheet Raw'!$P$4:$P$8000,'Timesheet Raw'!$A$4:$A$8000,IF(ISNUMBER(SEARCH("Chargable",$A267)),"2-Proposals Chargeable","3-Proposals Regular"),'Timesheet Raw'!$C$4:$C$8000,"*"&amp;$B267&amp;"*",'Timesheet Raw'!$L$4:$L$8000,"&gt;="&amp;MAX(D$5,DATE(2000+VALUE(RIGHT(TRIM($A267),2)),1,1)),'Timesheet Raw'!$L$4:$L$8000,"&lt;="&amp;MIN(D$6,DATE(2000+VALUE(RIGHT(TRIM($A267),2)),12,31))),SUMIFS('Timesheet Raw'!$P$4:$P$8000,'Timesheet Raw'!$B$4:$B$8000,TRIM($A267),'Timesheet Raw'!$C$4:$C$8000,"*"&amp;$B267&amp;"*",'Timesheet Raw'!$L$4:$L$8000,"&gt;="&amp;D$5,'Timesheet Raw'!$L$4:$L$8000,"&lt;="&amp;D$6)))/'Profit Plan'!$B$5)</f>
        <v>0</v>
      </c>
      <c r="E267" s="122">
        <f>IF($A267="","",(IF(ISNUMBER(SEARCH("Proposal",$A267)),SUMIFS('Timesheet Raw'!$P$4:$P$8000,'Timesheet Raw'!$A$4:$A$8000,IF(ISNUMBER(SEARCH("Chargable",$A267)),"2-Proposals Chargeable","3-Proposals Regular"),'Timesheet Raw'!$C$4:$C$8000,"*"&amp;$B267&amp;"*",'Timesheet Raw'!$L$4:$L$8000,"&gt;="&amp;MAX(E$5,DATE(2000+VALUE(RIGHT(TRIM($A267),2)),1,1)),'Timesheet Raw'!$L$4:$L$8000,"&lt;="&amp;MIN(E$6,DATE(2000+VALUE(RIGHT(TRIM($A267),2)),12,31))),SUMIFS('Timesheet Raw'!$P$4:$P$8000,'Timesheet Raw'!$B$4:$B$8000,TRIM($A267),'Timesheet Raw'!$C$4:$C$8000,"*"&amp;$B267&amp;"*",'Timesheet Raw'!$L$4:$L$8000,"&gt;="&amp;E$5,'Timesheet Raw'!$L$4:$L$8000,"&lt;="&amp;E$6)))/'Profit Plan'!$B$5)</f>
        <v>0</v>
      </c>
      <c r="F267" s="122">
        <f>IF($A267="","",(IF(ISNUMBER(SEARCH("Proposal",$A267)),SUMIFS('Timesheet Raw'!$P$4:$P$8000,'Timesheet Raw'!$A$4:$A$8000,IF(ISNUMBER(SEARCH("Chargable",$A267)),"2-Proposals Chargeable","3-Proposals Regular"),'Timesheet Raw'!$C$4:$C$8000,"*"&amp;$B267&amp;"*",'Timesheet Raw'!$L$4:$L$8000,"&gt;="&amp;MAX(F$5,DATE(2000+VALUE(RIGHT(TRIM($A267),2)),1,1)),'Timesheet Raw'!$L$4:$L$8000,"&lt;="&amp;MIN(F$6,DATE(2000+VALUE(RIGHT(TRIM($A267),2)),12,31))),SUMIFS('Timesheet Raw'!$P$4:$P$8000,'Timesheet Raw'!$B$4:$B$8000,TRIM($A267),'Timesheet Raw'!$C$4:$C$8000,"*"&amp;$B267&amp;"*",'Timesheet Raw'!$L$4:$L$8000,"&gt;="&amp;F$5,'Timesheet Raw'!$L$4:$L$8000,"&lt;="&amp;F$6)))/'Profit Plan'!$B$5)</f>
        <v>0</v>
      </c>
      <c r="G267" s="122">
        <f>IF($A267="","",(IF(ISNUMBER(SEARCH("Proposal",$A267)),SUMIFS('Timesheet Raw'!$P$4:$P$8000,'Timesheet Raw'!$A$4:$A$8000,IF(ISNUMBER(SEARCH("Chargable",$A267)),"2-Proposals Chargeable","3-Proposals Regular"),'Timesheet Raw'!$C$4:$C$8000,"*"&amp;$B267&amp;"*",'Timesheet Raw'!$L$4:$L$8000,"&gt;="&amp;MAX(G$5,DATE(2000+VALUE(RIGHT(TRIM($A267),2)),1,1)),'Timesheet Raw'!$L$4:$L$8000,"&lt;="&amp;MIN(G$6,DATE(2000+VALUE(RIGHT(TRIM($A267),2)),12,31))),SUMIFS('Timesheet Raw'!$P$4:$P$8000,'Timesheet Raw'!$B$4:$B$8000,TRIM($A267),'Timesheet Raw'!$C$4:$C$8000,"*"&amp;$B267&amp;"*",'Timesheet Raw'!$L$4:$L$8000,"&gt;="&amp;G$5,'Timesheet Raw'!$L$4:$L$8000,"&lt;="&amp;G$6)))/'Profit Plan'!$B$5)</f>
        <v>0</v>
      </c>
      <c r="H267" s="122">
        <f>IF($A267="","",(IF(ISNUMBER(SEARCH("Proposal",$A267)),SUMIFS('Timesheet Raw'!$P$4:$P$8000,'Timesheet Raw'!$A$4:$A$8000,IF(ISNUMBER(SEARCH("Chargable",$A267)),"2-Proposals Chargeable","3-Proposals Regular"),'Timesheet Raw'!$C$4:$C$8000,"*"&amp;$B267&amp;"*",'Timesheet Raw'!$L$4:$L$8000,"&gt;="&amp;MAX(H$5,DATE(2000+VALUE(RIGHT(TRIM($A267),2)),1,1)),'Timesheet Raw'!$L$4:$L$8000,"&lt;="&amp;MIN(H$6,DATE(2000+VALUE(RIGHT(TRIM($A267),2)),12,31))),SUMIFS('Timesheet Raw'!$P$4:$P$8000,'Timesheet Raw'!$B$4:$B$8000,TRIM($A267),'Timesheet Raw'!$C$4:$C$8000,"*"&amp;$B267&amp;"*",'Timesheet Raw'!$L$4:$L$8000,"&gt;="&amp;H$5,'Timesheet Raw'!$L$4:$L$8000,"&lt;="&amp;H$6)))/'Profit Plan'!$B$5)</f>
        <v>0</v>
      </c>
      <c r="I267" s="122">
        <f>IF($A267="","",(IF(ISNUMBER(SEARCH("Proposal",$A267)),SUMIFS('Timesheet Raw'!$P$4:$P$8000,'Timesheet Raw'!$A$4:$A$8000,IF(ISNUMBER(SEARCH("Chargable",$A267)),"2-Proposals Chargeable","3-Proposals Regular"),'Timesheet Raw'!$C$4:$C$8000,"*"&amp;$B267&amp;"*",'Timesheet Raw'!$L$4:$L$8000,"&gt;="&amp;MAX(I$5,DATE(2000+VALUE(RIGHT(TRIM($A267),2)),1,1)),'Timesheet Raw'!$L$4:$L$8000,"&lt;="&amp;MIN(I$6,DATE(2000+VALUE(RIGHT(TRIM($A267),2)),12,31))),SUMIFS('Timesheet Raw'!$P$4:$P$8000,'Timesheet Raw'!$B$4:$B$8000,TRIM($A267),'Timesheet Raw'!$C$4:$C$8000,"*"&amp;$B267&amp;"*",'Timesheet Raw'!$L$4:$L$8000,"&gt;="&amp;I$5,'Timesheet Raw'!$L$4:$L$8000,"&lt;="&amp;I$6)))/'Profit Plan'!$B$5)</f>
        <v>0</v>
      </c>
      <c r="J267" s="122">
        <f>IF($A267="","",(IF(ISNUMBER(SEARCH("Proposal",$A267)),SUMIFS('Timesheet Raw'!$P$4:$P$8000,'Timesheet Raw'!$A$4:$A$8000,IF(ISNUMBER(SEARCH("Chargable",$A267)),"2-Proposals Chargeable","3-Proposals Regular"),'Timesheet Raw'!$C$4:$C$8000,"*"&amp;$B267&amp;"*",'Timesheet Raw'!$L$4:$L$8000,"&gt;="&amp;MAX(J$5,DATE(2000+VALUE(RIGHT(TRIM($A267),2)),1,1)),'Timesheet Raw'!$L$4:$L$8000,"&lt;="&amp;MIN(J$6,DATE(2000+VALUE(RIGHT(TRIM($A267),2)),12,31))),SUMIFS('Timesheet Raw'!$P$4:$P$8000,'Timesheet Raw'!$B$4:$B$8000,TRIM($A267),'Timesheet Raw'!$C$4:$C$8000,"*"&amp;$B267&amp;"*",'Timesheet Raw'!$L$4:$L$8000,"&gt;="&amp;J$5,'Timesheet Raw'!$L$4:$L$8000,"&lt;="&amp;J$6)))/'Profit Plan'!$B$5)</f>
        <v>0</v>
      </c>
      <c r="K267" s="122">
        <f>IF($A267="","",(IF(ISNUMBER(SEARCH("Proposal",$A267)),SUMIFS('Timesheet Raw'!$P$4:$P$8000,'Timesheet Raw'!$A$4:$A$8000,IF(ISNUMBER(SEARCH("Chargable",$A267)),"2-Proposals Chargeable","3-Proposals Regular"),'Timesheet Raw'!$C$4:$C$8000,"*"&amp;$B267&amp;"*",'Timesheet Raw'!$L$4:$L$8000,"&gt;="&amp;MAX(K$5,DATE(2000+VALUE(RIGHT(TRIM($A267),2)),1,1)),'Timesheet Raw'!$L$4:$L$8000,"&lt;="&amp;MIN(K$6,DATE(2000+VALUE(RIGHT(TRIM($A267),2)),12,31))),SUMIFS('Timesheet Raw'!$P$4:$P$8000,'Timesheet Raw'!$B$4:$B$8000,TRIM($A267),'Timesheet Raw'!$C$4:$C$8000,"*"&amp;$B267&amp;"*",'Timesheet Raw'!$L$4:$L$8000,"&gt;="&amp;K$5,'Timesheet Raw'!$L$4:$L$8000,"&lt;="&amp;K$6)))/'Profit Plan'!$B$5)</f>
        <v>0</v>
      </c>
      <c r="L267" s="122">
        <f>IF($A267="","",(IF(ISNUMBER(SEARCH("Proposal",$A267)),SUMIFS('Timesheet Raw'!$P$4:$P$8000,'Timesheet Raw'!$A$4:$A$8000,IF(ISNUMBER(SEARCH("Chargable",$A267)),"2-Proposals Chargeable","3-Proposals Regular"),'Timesheet Raw'!$C$4:$C$8000,"*"&amp;$B267&amp;"*",'Timesheet Raw'!$L$4:$L$8000,"&gt;="&amp;MAX(L$5,DATE(2000+VALUE(RIGHT(TRIM($A267),2)),1,1)),'Timesheet Raw'!$L$4:$L$8000,"&lt;="&amp;MIN(L$6,DATE(2000+VALUE(RIGHT(TRIM($A267),2)),12,31))),SUMIFS('Timesheet Raw'!$P$4:$P$8000,'Timesheet Raw'!$B$4:$B$8000,TRIM($A267),'Timesheet Raw'!$C$4:$C$8000,"*"&amp;$B267&amp;"*",'Timesheet Raw'!$L$4:$L$8000,"&gt;="&amp;L$5,'Timesheet Raw'!$L$4:$L$8000,"&lt;="&amp;L$6)))/'Profit Plan'!$B$5)</f>
        <v>0</v>
      </c>
      <c r="M267" s="122">
        <f>IF($A267="","",(IF(ISNUMBER(SEARCH("Proposal",$A267)),SUMIFS('Timesheet Raw'!$P$4:$P$8000,'Timesheet Raw'!$A$4:$A$8000,IF(ISNUMBER(SEARCH("Chargable",$A267)),"2-Proposals Chargeable","3-Proposals Regular"),'Timesheet Raw'!$C$4:$C$8000,"*"&amp;$B267&amp;"*",'Timesheet Raw'!$L$4:$L$8000,"&gt;="&amp;MAX(M$5,DATE(2000+VALUE(RIGHT(TRIM($A267),2)),1,1)),'Timesheet Raw'!$L$4:$L$8000,"&lt;="&amp;MIN(M$6,DATE(2000+VALUE(RIGHT(TRIM($A267),2)),12,31))),SUMIFS('Timesheet Raw'!$P$4:$P$8000,'Timesheet Raw'!$B$4:$B$8000,TRIM($A267),'Timesheet Raw'!$C$4:$C$8000,"*"&amp;$B267&amp;"*",'Timesheet Raw'!$L$4:$L$8000,"&gt;="&amp;M$5,'Timesheet Raw'!$L$4:$L$8000,"&lt;="&amp;M$6)))/'Profit Plan'!$B$5)</f>
        <v>0</v>
      </c>
      <c r="N267" s="122">
        <f>IF($A267="","",(IF(ISNUMBER(SEARCH("Proposal",$A267)),SUMIFS('Timesheet Raw'!$P$4:$P$8000,'Timesheet Raw'!$A$4:$A$8000,IF(ISNUMBER(SEARCH("Chargable",$A267)),"2-Proposals Chargeable","3-Proposals Regular"),'Timesheet Raw'!$C$4:$C$8000,"*"&amp;$B267&amp;"*",'Timesheet Raw'!$L$4:$L$8000,"&gt;="&amp;MAX(N$5,DATE(2000+VALUE(RIGHT(TRIM($A267),2)),1,1)),'Timesheet Raw'!$L$4:$L$8000,"&lt;="&amp;MIN(N$6,DATE(2000+VALUE(RIGHT(TRIM($A267),2)),12,31))),SUMIFS('Timesheet Raw'!$P$4:$P$8000,'Timesheet Raw'!$B$4:$B$8000,TRIM($A267),'Timesheet Raw'!$C$4:$C$8000,"*"&amp;$B267&amp;"*",'Timesheet Raw'!$L$4:$L$8000,"&gt;="&amp;N$5,'Timesheet Raw'!$L$4:$L$8000,"&lt;="&amp;N$6)))/'Profit Plan'!$B$5)</f>
        <v>0</v>
      </c>
      <c r="O267" s="122">
        <f>IF($A267="","",(IF(ISNUMBER(SEARCH("Proposal",$A267)),SUMIFS('Timesheet Raw'!$P$4:$P$8000,'Timesheet Raw'!$A$4:$A$8000,IF(ISNUMBER(SEARCH("Chargable",$A267)),"2-Proposals Chargeable","3-Proposals Regular"),'Timesheet Raw'!$C$4:$C$8000,"*"&amp;$B267&amp;"*",'Timesheet Raw'!$L$4:$L$8000,"&gt;="&amp;MAX(O$5,DATE(2000+VALUE(RIGHT(TRIM($A267),2)),1,1)),'Timesheet Raw'!$L$4:$L$8000,"&lt;="&amp;MIN(O$6,DATE(2000+VALUE(RIGHT(TRIM($A267),2)),12,31))),SUMIFS('Timesheet Raw'!$P$4:$P$8000,'Timesheet Raw'!$B$4:$B$8000,TRIM($A267),'Timesheet Raw'!$C$4:$C$8000,"*"&amp;$B267&amp;"*",'Timesheet Raw'!$L$4:$L$8000,"&gt;="&amp;O$5,'Timesheet Raw'!$L$4:$L$8000,"&lt;="&amp;O$6)))/'Profit Plan'!$B$5)</f>
        <v>0</v>
      </c>
      <c r="P267" s="122">
        <f>IF($A267="","",(IF(ISNUMBER(SEARCH("Proposal",$A267)),SUMIFS('Timesheet Raw'!$P$4:$P$8000,'Timesheet Raw'!$A$4:$A$8000,IF(ISNUMBER(SEARCH("Chargable",$A267)),"2-Proposals Chargeable","3-Proposals Regular"),'Timesheet Raw'!$C$4:$C$8000,"*"&amp;$B267&amp;"*",'Timesheet Raw'!$L$4:$L$8000,"&gt;="&amp;MAX(P$5,DATE(2000+VALUE(RIGHT(TRIM($A267),2)),1,1)),'Timesheet Raw'!$L$4:$L$8000,"&lt;="&amp;MIN(P$6,DATE(2000+VALUE(RIGHT(TRIM($A267),2)),12,31))),SUMIFS('Timesheet Raw'!$P$4:$P$8000,'Timesheet Raw'!$B$4:$B$8000,TRIM($A267),'Timesheet Raw'!$C$4:$C$8000,"*"&amp;$B267&amp;"*",'Timesheet Raw'!$L$4:$L$8000,"&gt;="&amp;P$5,'Timesheet Raw'!$L$4:$L$8000,"&lt;="&amp;P$6)))/'Profit Plan'!$B$5)</f>
        <v>0</v>
      </c>
      <c r="Q267" s="122">
        <f>IF($A267="","",(IF(ISNUMBER(SEARCH("Proposal",$A267)),SUMIFS('Timesheet Raw'!$P$4:$P$8000,'Timesheet Raw'!$A$4:$A$8000,IF(ISNUMBER(SEARCH("Chargable",$A267)),"2-Proposals Chargeable","3-Proposals Regular"),'Timesheet Raw'!$C$4:$C$8000,"*"&amp;$B267&amp;"*",'Timesheet Raw'!$L$4:$L$8000,"&gt;="&amp;MAX(Q$5,DATE(2000+VALUE(RIGHT(TRIM($A267),2)),1,1)),'Timesheet Raw'!$L$4:$L$8000,"&lt;="&amp;MIN(Q$6,DATE(2000+VALUE(RIGHT(TRIM($A267),2)),12,31))),SUMIFS('Timesheet Raw'!$P$4:$P$8000,'Timesheet Raw'!$B$4:$B$8000,TRIM($A267),'Timesheet Raw'!$C$4:$C$8000,"*"&amp;$B267&amp;"*",'Timesheet Raw'!$L$4:$L$8000,"&gt;="&amp;Q$5,'Timesheet Raw'!$L$4:$L$8000,"&lt;="&amp;Q$6)))/'Profit Plan'!$B$5)</f>
        <v>0</v>
      </c>
      <c r="R267" s="122">
        <f>IF($A267="","",(IF(ISNUMBER(SEARCH("Proposal",$A267)),SUMIFS('Timesheet Raw'!$P$4:$P$8000,'Timesheet Raw'!$A$4:$A$8000,IF(ISNUMBER(SEARCH("Chargable",$A267)),"2-Proposals Chargeable","3-Proposals Regular"),'Timesheet Raw'!$C$4:$C$8000,"*"&amp;$B267&amp;"*",'Timesheet Raw'!$L$4:$L$8000,"&gt;="&amp;MAX(R$5,DATE(2000+VALUE(RIGHT(TRIM($A267),2)),1,1)),'Timesheet Raw'!$L$4:$L$8000,"&lt;="&amp;MIN(R$6,DATE(2000+VALUE(RIGHT(TRIM($A267),2)),12,31))),SUMIFS('Timesheet Raw'!$P$4:$P$8000,'Timesheet Raw'!$B$4:$B$8000,TRIM($A267),'Timesheet Raw'!$C$4:$C$8000,"*"&amp;$B267&amp;"*",'Timesheet Raw'!$L$4:$L$8000,"&gt;="&amp;R$5,'Timesheet Raw'!$L$4:$L$8000,"&lt;="&amp;R$6)))/'Profit Plan'!$B$5)</f>
        <v>0</v>
      </c>
      <c r="S267" s="122">
        <f>IF($A267="","",(IF(ISNUMBER(SEARCH("Proposal",$A267)),SUMIFS('Timesheet Raw'!$P$4:$P$8000,'Timesheet Raw'!$A$4:$A$8000,IF(ISNUMBER(SEARCH("Chargable",$A267)),"2-Proposals Chargeable","3-Proposals Regular"),'Timesheet Raw'!$C$4:$C$8000,"*"&amp;$B267&amp;"*",'Timesheet Raw'!$L$4:$L$8000,"&gt;="&amp;MAX(S$5,DATE(2000+VALUE(RIGHT(TRIM($A267),2)),1,1)),'Timesheet Raw'!$L$4:$L$8000,"&lt;="&amp;MIN(S$6,DATE(2000+VALUE(RIGHT(TRIM($A267),2)),12,31))),SUMIFS('Timesheet Raw'!$P$4:$P$8000,'Timesheet Raw'!$B$4:$B$8000,TRIM($A267),'Timesheet Raw'!$C$4:$C$8000,"*"&amp;$B267&amp;"*",'Timesheet Raw'!$L$4:$L$8000,"&gt;="&amp;S$5,'Timesheet Raw'!$L$4:$L$8000,"&lt;="&amp;S$6)))/'Profit Plan'!$B$5)</f>
        <v>0</v>
      </c>
      <c r="T267" s="122">
        <f>IF($A267="","",(IF(ISNUMBER(SEARCH("Proposal",$A267)),SUMIFS('Timesheet Raw'!$P$4:$P$8000,'Timesheet Raw'!$A$4:$A$8000,IF(ISNUMBER(SEARCH("Chargable",$A267)),"2-Proposals Chargeable","3-Proposals Regular"),'Timesheet Raw'!$C$4:$C$8000,"*"&amp;$B267&amp;"*",'Timesheet Raw'!$L$4:$L$8000,"&gt;="&amp;MAX(T$5,DATE(2000+VALUE(RIGHT(TRIM($A267),2)),1,1)),'Timesheet Raw'!$L$4:$L$8000,"&lt;="&amp;MIN(T$6,DATE(2000+VALUE(RIGHT(TRIM($A267),2)),12,31))),SUMIFS('Timesheet Raw'!$P$4:$P$8000,'Timesheet Raw'!$B$4:$B$8000,TRIM($A267),'Timesheet Raw'!$C$4:$C$8000,"*"&amp;$B267&amp;"*",'Timesheet Raw'!$L$4:$L$8000,"&gt;="&amp;T$5,'Timesheet Raw'!$L$4:$L$8000,"&lt;="&amp;T$6)))/'Profit Plan'!$B$5)</f>
        <v>0</v>
      </c>
      <c r="U267" s="122">
        <f>IF($A267="","",(IF(ISNUMBER(SEARCH("Proposal",$A267)),SUMIFS('Timesheet Raw'!$P$4:$P$8000,'Timesheet Raw'!$A$4:$A$8000,IF(ISNUMBER(SEARCH("Chargable",$A267)),"2-Proposals Chargeable","3-Proposals Regular"),'Timesheet Raw'!$C$4:$C$8000,"*"&amp;$B267&amp;"*",'Timesheet Raw'!$L$4:$L$8000,"&gt;="&amp;MAX(U$5,DATE(2000+VALUE(RIGHT(TRIM($A267),2)),1,1)),'Timesheet Raw'!$L$4:$L$8000,"&lt;="&amp;MIN(U$6,DATE(2000+VALUE(RIGHT(TRIM($A267),2)),12,31))),SUMIFS('Timesheet Raw'!$P$4:$P$8000,'Timesheet Raw'!$B$4:$B$8000,TRIM($A267),'Timesheet Raw'!$C$4:$C$8000,"*"&amp;$B267&amp;"*",'Timesheet Raw'!$L$4:$L$8000,"&gt;="&amp;U$5,'Timesheet Raw'!$L$4:$L$8000,"&lt;="&amp;U$6)))/'Profit Plan'!$B$5)</f>
        <v>0</v>
      </c>
      <c r="V267" s="122">
        <f>IF($A267="","",(IF(ISNUMBER(SEARCH("Proposal",$A267)),SUMIFS('Timesheet Raw'!$P$4:$P$8000,'Timesheet Raw'!$A$4:$A$8000,IF(ISNUMBER(SEARCH("Chargable",$A267)),"2-Proposals Chargeable","3-Proposals Regular"),'Timesheet Raw'!$C$4:$C$8000,"*"&amp;$B267&amp;"*",'Timesheet Raw'!$L$4:$L$8000,"&gt;="&amp;MAX(V$5,DATE(2000+VALUE(RIGHT(TRIM($A267),2)),1,1)),'Timesheet Raw'!$L$4:$L$8000,"&lt;="&amp;MIN(V$6,DATE(2000+VALUE(RIGHT(TRIM($A267),2)),12,31))),SUMIFS('Timesheet Raw'!$P$4:$P$8000,'Timesheet Raw'!$B$4:$B$8000,TRIM($A267),'Timesheet Raw'!$C$4:$C$8000,"*"&amp;$B267&amp;"*",'Timesheet Raw'!$L$4:$L$8000,"&gt;="&amp;V$5,'Timesheet Raw'!$L$4:$L$8000,"&lt;="&amp;V$6)))/'Profit Plan'!$B$5)</f>
        <v>0</v>
      </c>
      <c r="W267" s="122">
        <f>IF($A267="","",(IF(ISNUMBER(SEARCH("Proposal",$A267)),SUMIFS('Timesheet Raw'!$P$4:$P$8000,'Timesheet Raw'!$A$4:$A$8000,IF(ISNUMBER(SEARCH("Chargable",$A267)),"2-Proposals Chargeable","3-Proposals Regular"),'Timesheet Raw'!$C$4:$C$8000,"*"&amp;$B267&amp;"*",'Timesheet Raw'!$L$4:$L$8000,"&gt;="&amp;MAX(W$5,DATE(2000+VALUE(RIGHT(TRIM($A267),2)),1,1)),'Timesheet Raw'!$L$4:$L$8000,"&lt;="&amp;MIN(W$6,DATE(2000+VALUE(RIGHT(TRIM($A267),2)),12,31))),SUMIFS('Timesheet Raw'!$P$4:$P$8000,'Timesheet Raw'!$B$4:$B$8000,TRIM($A267),'Timesheet Raw'!$C$4:$C$8000,"*"&amp;$B267&amp;"*",'Timesheet Raw'!$L$4:$L$8000,"&gt;="&amp;W$5,'Timesheet Raw'!$L$4:$L$8000,"&lt;="&amp;W$6)))/'Profit Plan'!$B$5)</f>
        <v>0</v>
      </c>
      <c r="X267" s="122">
        <f>IF($A267="","",(IF(ISNUMBER(SEARCH("Proposal",$A267)),SUMIFS('Timesheet Raw'!$P$4:$P$8000,'Timesheet Raw'!$A$4:$A$8000,IF(ISNUMBER(SEARCH("Chargable",$A267)),"2-Proposals Chargeable","3-Proposals Regular"),'Timesheet Raw'!$C$4:$C$8000,"*"&amp;$B267&amp;"*",'Timesheet Raw'!$L$4:$L$8000,"&gt;="&amp;MAX(X$5,DATE(2000+VALUE(RIGHT(TRIM($A267),2)),1,1)),'Timesheet Raw'!$L$4:$L$8000,"&lt;="&amp;MIN(X$6,DATE(2000+VALUE(RIGHT(TRIM($A267),2)),12,31))),SUMIFS('Timesheet Raw'!$P$4:$P$8000,'Timesheet Raw'!$B$4:$B$8000,TRIM($A267),'Timesheet Raw'!$C$4:$C$8000,"*"&amp;$B267&amp;"*",'Timesheet Raw'!$L$4:$L$8000,"&gt;="&amp;X$5,'Timesheet Raw'!$L$4:$L$8000,"&lt;="&amp;X$6)))/'Profit Plan'!$B$5)</f>
        <v>0</v>
      </c>
      <c r="Y267" s="118">
        <f t="shared" si="100"/>
        <v>0</v>
      </c>
    </row>
    <row r="268" spans="1:25" x14ac:dyDescent="0.3">
      <c r="A268" s="116" t="str">
        <f>IF(Inputs!$A7="","",Inputs!$A7)</f>
        <v>E26084-0100D</v>
      </c>
      <c r="B268" s="116" t="str">
        <f>IF(Inputs!$A7="","",Inputs!$A$91)</f>
        <v>Ahmed</v>
      </c>
      <c r="C268" s="116"/>
      <c r="D268" s="122">
        <f>IF($A268="","",(IF(ISNUMBER(SEARCH("Proposal",$A268)),SUMIFS('Timesheet Raw'!$P$4:$P$8000,'Timesheet Raw'!$A$4:$A$8000,IF(ISNUMBER(SEARCH("Chargable",$A268)),"2-Proposals Chargeable","3-Proposals Regular"),'Timesheet Raw'!$C$4:$C$8000,"*"&amp;$B268&amp;"*",'Timesheet Raw'!$L$4:$L$8000,"&gt;="&amp;MAX(D$5,DATE(2000+VALUE(RIGHT(TRIM($A268),2)),1,1)),'Timesheet Raw'!$L$4:$L$8000,"&lt;="&amp;MIN(D$6,DATE(2000+VALUE(RIGHT(TRIM($A268),2)),12,31))),SUMIFS('Timesheet Raw'!$P$4:$P$8000,'Timesheet Raw'!$B$4:$B$8000,TRIM($A268),'Timesheet Raw'!$C$4:$C$8000,"*"&amp;$B268&amp;"*",'Timesheet Raw'!$L$4:$L$8000,"&gt;="&amp;D$5,'Timesheet Raw'!$L$4:$L$8000,"&lt;="&amp;D$6)))/'Profit Plan'!$B$5)</f>
        <v>0</v>
      </c>
      <c r="E268" s="122">
        <f>IF($A268="","",(IF(ISNUMBER(SEARCH("Proposal",$A268)),SUMIFS('Timesheet Raw'!$P$4:$P$8000,'Timesheet Raw'!$A$4:$A$8000,IF(ISNUMBER(SEARCH("Chargable",$A268)),"2-Proposals Chargeable","3-Proposals Regular"),'Timesheet Raw'!$C$4:$C$8000,"*"&amp;$B268&amp;"*",'Timesheet Raw'!$L$4:$L$8000,"&gt;="&amp;MAX(E$5,DATE(2000+VALUE(RIGHT(TRIM($A268),2)),1,1)),'Timesheet Raw'!$L$4:$L$8000,"&lt;="&amp;MIN(E$6,DATE(2000+VALUE(RIGHT(TRIM($A268),2)),12,31))),SUMIFS('Timesheet Raw'!$P$4:$P$8000,'Timesheet Raw'!$B$4:$B$8000,TRIM($A268),'Timesheet Raw'!$C$4:$C$8000,"*"&amp;$B268&amp;"*",'Timesheet Raw'!$L$4:$L$8000,"&gt;="&amp;E$5,'Timesheet Raw'!$L$4:$L$8000,"&lt;="&amp;E$6)))/'Profit Plan'!$B$5)</f>
        <v>0</v>
      </c>
      <c r="F268" s="122">
        <f>IF($A268="","",(IF(ISNUMBER(SEARCH("Proposal",$A268)),SUMIFS('Timesheet Raw'!$P$4:$P$8000,'Timesheet Raw'!$A$4:$A$8000,IF(ISNUMBER(SEARCH("Chargable",$A268)),"2-Proposals Chargeable","3-Proposals Regular"),'Timesheet Raw'!$C$4:$C$8000,"*"&amp;$B268&amp;"*",'Timesheet Raw'!$L$4:$L$8000,"&gt;="&amp;MAX(F$5,DATE(2000+VALUE(RIGHT(TRIM($A268),2)),1,1)),'Timesheet Raw'!$L$4:$L$8000,"&lt;="&amp;MIN(F$6,DATE(2000+VALUE(RIGHT(TRIM($A268),2)),12,31))),SUMIFS('Timesheet Raw'!$P$4:$P$8000,'Timesheet Raw'!$B$4:$B$8000,TRIM($A268),'Timesheet Raw'!$C$4:$C$8000,"*"&amp;$B268&amp;"*",'Timesheet Raw'!$L$4:$L$8000,"&gt;="&amp;F$5,'Timesheet Raw'!$L$4:$L$8000,"&lt;="&amp;F$6)))/'Profit Plan'!$B$5)</f>
        <v>0</v>
      </c>
      <c r="G268" s="122">
        <f>IF($A268="","",(IF(ISNUMBER(SEARCH("Proposal",$A268)),SUMIFS('Timesheet Raw'!$P$4:$P$8000,'Timesheet Raw'!$A$4:$A$8000,IF(ISNUMBER(SEARCH("Chargable",$A268)),"2-Proposals Chargeable","3-Proposals Regular"),'Timesheet Raw'!$C$4:$C$8000,"*"&amp;$B268&amp;"*",'Timesheet Raw'!$L$4:$L$8000,"&gt;="&amp;MAX(G$5,DATE(2000+VALUE(RIGHT(TRIM($A268),2)),1,1)),'Timesheet Raw'!$L$4:$L$8000,"&lt;="&amp;MIN(G$6,DATE(2000+VALUE(RIGHT(TRIM($A268),2)),12,31))),SUMIFS('Timesheet Raw'!$P$4:$P$8000,'Timesheet Raw'!$B$4:$B$8000,TRIM($A268),'Timesheet Raw'!$C$4:$C$8000,"*"&amp;$B268&amp;"*",'Timesheet Raw'!$L$4:$L$8000,"&gt;="&amp;G$5,'Timesheet Raw'!$L$4:$L$8000,"&lt;="&amp;G$6)))/'Profit Plan'!$B$5)</f>
        <v>0</v>
      </c>
      <c r="H268" s="122">
        <f>IF($A268="","",(IF(ISNUMBER(SEARCH("Proposal",$A268)),SUMIFS('Timesheet Raw'!$P$4:$P$8000,'Timesheet Raw'!$A$4:$A$8000,IF(ISNUMBER(SEARCH("Chargable",$A268)),"2-Proposals Chargeable","3-Proposals Regular"),'Timesheet Raw'!$C$4:$C$8000,"*"&amp;$B268&amp;"*",'Timesheet Raw'!$L$4:$L$8000,"&gt;="&amp;MAX(H$5,DATE(2000+VALUE(RIGHT(TRIM($A268),2)),1,1)),'Timesheet Raw'!$L$4:$L$8000,"&lt;="&amp;MIN(H$6,DATE(2000+VALUE(RIGHT(TRIM($A268),2)),12,31))),SUMIFS('Timesheet Raw'!$P$4:$P$8000,'Timesheet Raw'!$B$4:$B$8000,TRIM($A268),'Timesheet Raw'!$C$4:$C$8000,"*"&amp;$B268&amp;"*",'Timesheet Raw'!$L$4:$L$8000,"&gt;="&amp;H$5,'Timesheet Raw'!$L$4:$L$8000,"&lt;="&amp;H$6)))/'Profit Plan'!$B$5)</f>
        <v>0</v>
      </c>
      <c r="I268" s="122">
        <f>IF($A268="","",(IF(ISNUMBER(SEARCH("Proposal",$A268)),SUMIFS('Timesheet Raw'!$P$4:$P$8000,'Timesheet Raw'!$A$4:$A$8000,IF(ISNUMBER(SEARCH("Chargable",$A268)),"2-Proposals Chargeable","3-Proposals Regular"),'Timesheet Raw'!$C$4:$C$8000,"*"&amp;$B268&amp;"*",'Timesheet Raw'!$L$4:$L$8000,"&gt;="&amp;MAX(I$5,DATE(2000+VALUE(RIGHT(TRIM($A268),2)),1,1)),'Timesheet Raw'!$L$4:$L$8000,"&lt;="&amp;MIN(I$6,DATE(2000+VALUE(RIGHT(TRIM($A268),2)),12,31))),SUMIFS('Timesheet Raw'!$P$4:$P$8000,'Timesheet Raw'!$B$4:$B$8000,TRIM($A268),'Timesheet Raw'!$C$4:$C$8000,"*"&amp;$B268&amp;"*",'Timesheet Raw'!$L$4:$L$8000,"&gt;="&amp;I$5,'Timesheet Raw'!$L$4:$L$8000,"&lt;="&amp;I$6)))/'Profit Plan'!$B$5)</f>
        <v>0</v>
      </c>
      <c r="J268" s="122">
        <f>IF($A268="","",(IF(ISNUMBER(SEARCH("Proposal",$A268)),SUMIFS('Timesheet Raw'!$P$4:$P$8000,'Timesheet Raw'!$A$4:$A$8000,IF(ISNUMBER(SEARCH("Chargable",$A268)),"2-Proposals Chargeable","3-Proposals Regular"),'Timesheet Raw'!$C$4:$C$8000,"*"&amp;$B268&amp;"*",'Timesheet Raw'!$L$4:$L$8000,"&gt;="&amp;MAX(J$5,DATE(2000+VALUE(RIGHT(TRIM($A268),2)),1,1)),'Timesheet Raw'!$L$4:$L$8000,"&lt;="&amp;MIN(J$6,DATE(2000+VALUE(RIGHT(TRIM($A268),2)),12,31))),SUMIFS('Timesheet Raw'!$P$4:$P$8000,'Timesheet Raw'!$B$4:$B$8000,TRIM($A268),'Timesheet Raw'!$C$4:$C$8000,"*"&amp;$B268&amp;"*",'Timesheet Raw'!$L$4:$L$8000,"&gt;="&amp;J$5,'Timesheet Raw'!$L$4:$L$8000,"&lt;="&amp;J$6)))/'Profit Plan'!$B$5)</f>
        <v>0</v>
      </c>
      <c r="K268" s="122">
        <f>IF($A268="","",(IF(ISNUMBER(SEARCH("Proposal",$A268)),SUMIFS('Timesheet Raw'!$P$4:$P$8000,'Timesheet Raw'!$A$4:$A$8000,IF(ISNUMBER(SEARCH("Chargable",$A268)),"2-Proposals Chargeable","3-Proposals Regular"),'Timesheet Raw'!$C$4:$C$8000,"*"&amp;$B268&amp;"*",'Timesheet Raw'!$L$4:$L$8000,"&gt;="&amp;MAX(K$5,DATE(2000+VALUE(RIGHT(TRIM($A268),2)),1,1)),'Timesheet Raw'!$L$4:$L$8000,"&lt;="&amp;MIN(K$6,DATE(2000+VALUE(RIGHT(TRIM($A268),2)),12,31))),SUMIFS('Timesheet Raw'!$P$4:$P$8000,'Timesheet Raw'!$B$4:$B$8000,TRIM($A268),'Timesheet Raw'!$C$4:$C$8000,"*"&amp;$B268&amp;"*",'Timesheet Raw'!$L$4:$L$8000,"&gt;="&amp;K$5,'Timesheet Raw'!$L$4:$L$8000,"&lt;="&amp;K$6)))/'Profit Plan'!$B$5)</f>
        <v>0</v>
      </c>
      <c r="L268" s="122">
        <f>IF($A268="","",(IF(ISNUMBER(SEARCH("Proposal",$A268)),SUMIFS('Timesheet Raw'!$P$4:$P$8000,'Timesheet Raw'!$A$4:$A$8000,IF(ISNUMBER(SEARCH("Chargable",$A268)),"2-Proposals Chargeable","3-Proposals Regular"),'Timesheet Raw'!$C$4:$C$8000,"*"&amp;$B268&amp;"*",'Timesheet Raw'!$L$4:$L$8000,"&gt;="&amp;MAX(L$5,DATE(2000+VALUE(RIGHT(TRIM($A268),2)),1,1)),'Timesheet Raw'!$L$4:$L$8000,"&lt;="&amp;MIN(L$6,DATE(2000+VALUE(RIGHT(TRIM($A268),2)),12,31))),SUMIFS('Timesheet Raw'!$P$4:$P$8000,'Timesheet Raw'!$B$4:$B$8000,TRIM($A268),'Timesheet Raw'!$C$4:$C$8000,"*"&amp;$B268&amp;"*",'Timesheet Raw'!$L$4:$L$8000,"&gt;="&amp;L$5,'Timesheet Raw'!$L$4:$L$8000,"&lt;="&amp;L$6)))/'Profit Plan'!$B$5)</f>
        <v>0</v>
      </c>
      <c r="M268" s="122">
        <f>IF($A268="","",(IF(ISNUMBER(SEARCH("Proposal",$A268)),SUMIFS('Timesheet Raw'!$P$4:$P$8000,'Timesheet Raw'!$A$4:$A$8000,IF(ISNUMBER(SEARCH("Chargable",$A268)),"2-Proposals Chargeable","3-Proposals Regular"),'Timesheet Raw'!$C$4:$C$8000,"*"&amp;$B268&amp;"*",'Timesheet Raw'!$L$4:$L$8000,"&gt;="&amp;MAX(M$5,DATE(2000+VALUE(RIGHT(TRIM($A268),2)),1,1)),'Timesheet Raw'!$L$4:$L$8000,"&lt;="&amp;MIN(M$6,DATE(2000+VALUE(RIGHT(TRIM($A268),2)),12,31))),SUMIFS('Timesheet Raw'!$P$4:$P$8000,'Timesheet Raw'!$B$4:$B$8000,TRIM($A268),'Timesheet Raw'!$C$4:$C$8000,"*"&amp;$B268&amp;"*",'Timesheet Raw'!$L$4:$L$8000,"&gt;="&amp;M$5,'Timesheet Raw'!$L$4:$L$8000,"&lt;="&amp;M$6)))/'Profit Plan'!$B$5)</f>
        <v>0</v>
      </c>
      <c r="N268" s="122">
        <f>IF($A268="","",(IF(ISNUMBER(SEARCH("Proposal",$A268)),SUMIFS('Timesheet Raw'!$P$4:$P$8000,'Timesheet Raw'!$A$4:$A$8000,IF(ISNUMBER(SEARCH("Chargable",$A268)),"2-Proposals Chargeable","3-Proposals Regular"),'Timesheet Raw'!$C$4:$C$8000,"*"&amp;$B268&amp;"*",'Timesheet Raw'!$L$4:$L$8000,"&gt;="&amp;MAX(N$5,DATE(2000+VALUE(RIGHT(TRIM($A268),2)),1,1)),'Timesheet Raw'!$L$4:$L$8000,"&lt;="&amp;MIN(N$6,DATE(2000+VALUE(RIGHT(TRIM($A268),2)),12,31))),SUMIFS('Timesheet Raw'!$P$4:$P$8000,'Timesheet Raw'!$B$4:$B$8000,TRIM($A268),'Timesheet Raw'!$C$4:$C$8000,"*"&amp;$B268&amp;"*",'Timesheet Raw'!$L$4:$L$8000,"&gt;="&amp;N$5,'Timesheet Raw'!$L$4:$L$8000,"&lt;="&amp;N$6)))/'Profit Plan'!$B$5)</f>
        <v>0</v>
      </c>
      <c r="O268" s="122">
        <f>IF($A268="","",(IF(ISNUMBER(SEARCH("Proposal",$A268)),SUMIFS('Timesheet Raw'!$P$4:$P$8000,'Timesheet Raw'!$A$4:$A$8000,IF(ISNUMBER(SEARCH("Chargable",$A268)),"2-Proposals Chargeable","3-Proposals Regular"),'Timesheet Raw'!$C$4:$C$8000,"*"&amp;$B268&amp;"*",'Timesheet Raw'!$L$4:$L$8000,"&gt;="&amp;MAX(O$5,DATE(2000+VALUE(RIGHT(TRIM($A268),2)),1,1)),'Timesheet Raw'!$L$4:$L$8000,"&lt;="&amp;MIN(O$6,DATE(2000+VALUE(RIGHT(TRIM($A268),2)),12,31))),SUMIFS('Timesheet Raw'!$P$4:$P$8000,'Timesheet Raw'!$B$4:$B$8000,TRIM($A268),'Timesheet Raw'!$C$4:$C$8000,"*"&amp;$B268&amp;"*",'Timesheet Raw'!$L$4:$L$8000,"&gt;="&amp;O$5,'Timesheet Raw'!$L$4:$L$8000,"&lt;="&amp;O$6)))/'Profit Plan'!$B$5)</f>
        <v>0</v>
      </c>
      <c r="P268" s="122">
        <f>IF($A268="","",(IF(ISNUMBER(SEARCH("Proposal",$A268)),SUMIFS('Timesheet Raw'!$P$4:$P$8000,'Timesheet Raw'!$A$4:$A$8000,IF(ISNUMBER(SEARCH("Chargable",$A268)),"2-Proposals Chargeable","3-Proposals Regular"),'Timesheet Raw'!$C$4:$C$8000,"*"&amp;$B268&amp;"*",'Timesheet Raw'!$L$4:$L$8000,"&gt;="&amp;MAX(P$5,DATE(2000+VALUE(RIGHT(TRIM($A268),2)),1,1)),'Timesheet Raw'!$L$4:$L$8000,"&lt;="&amp;MIN(P$6,DATE(2000+VALUE(RIGHT(TRIM($A268),2)),12,31))),SUMIFS('Timesheet Raw'!$P$4:$P$8000,'Timesheet Raw'!$B$4:$B$8000,TRIM($A268),'Timesheet Raw'!$C$4:$C$8000,"*"&amp;$B268&amp;"*",'Timesheet Raw'!$L$4:$L$8000,"&gt;="&amp;P$5,'Timesheet Raw'!$L$4:$L$8000,"&lt;="&amp;P$6)))/'Profit Plan'!$B$5)</f>
        <v>0</v>
      </c>
      <c r="Q268" s="122">
        <f>IF($A268="","",(IF(ISNUMBER(SEARCH("Proposal",$A268)),SUMIFS('Timesheet Raw'!$P$4:$P$8000,'Timesheet Raw'!$A$4:$A$8000,IF(ISNUMBER(SEARCH("Chargable",$A268)),"2-Proposals Chargeable","3-Proposals Regular"),'Timesheet Raw'!$C$4:$C$8000,"*"&amp;$B268&amp;"*",'Timesheet Raw'!$L$4:$L$8000,"&gt;="&amp;MAX(Q$5,DATE(2000+VALUE(RIGHT(TRIM($A268),2)),1,1)),'Timesheet Raw'!$L$4:$L$8000,"&lt;="&amp;MIN(Q$6,DATE(2000+VALUE(RIGHT(TRIM($A268),2)),12,31))),SUMIFS('Timesheet Raw'!$P$4:$P$8000,'Timesheet Raw'!$B$4:$B$8000,TRIM($A268),'Timesheet Raw'!$C$4:$C$8000,"*"&amp;$B268&amp;"*",'Timesheet Raw'!$L$4:$L$8000,"&gt;="&amp;Q$5,'Timesheet Raw'!$L$4:$L$8000,"&lt;="&amp;Q$6)))/'Profit Plan'!$B$5)</f>
        <v>0</v>
      </c>
      <c r="R268" s="122">
        <f>IF($A268="","",(IF(ISNUMBER(SEARCH("Proposal",$A268)),SUMIFS('Timesheet Raw'!$P$4:$P$8000,'Timesheet Raw'!$A$4:$A$8000,IF(ISNUMBER(SEARCH("Chargable",$A268)),"2-Proposals Chargeable","3-Proposals Regular"),'Timesheet Raw'!$C$4:$C$8000,"*"&amp;$B268&amp;"*",'Timesheet Raw'!$L$4:$L$8000,"&gt;="&amp;MAX(R$5,DATE(2000+VALUE(RIGHT(TRIM($A268),2)),1,1)),'Timesheet Raw'!$L$4:$L$8000,"&lt;="&amp;MIN(R$6,DATE(2000+VALUE(RIGHT(TRIM($A268),2)),12,31))),SUMIFS('Timesheet Raw'!$P$4:$P$8000,'Timesheet Raw'!$B$4:$B$8000,TRIM($A268),'Timesheet Raw'!$C$4:$C$8000,"*"&amp;$B268&amp;"*",'Timesheet Raw'!$L$4:$L$8000,"&gt;="&amp;R$5,'Timesheet Raw'!$L$4:$L$8000,"&lt;="&amp;R$6)))/'Profit Plan'!$B$5)</f>
        <v>0</v>
      </c>
      <c r="S268" s="122">
        <f>IF($A268="","",(IF(ISNUMBER(SEARCH("Proposal",$A268)),SUMIFS('Timesheet Raw'!$P$4:$P$8000,'Timesheet Raw'!$A$4:$A$8000,IF(ISNUMBER(SEARCH("Chargable",$A268)),"2-Proposals Chargeable","3-Proposals Regular"),'Timesheet Raw'!$C$4:$C$8000,"*"&amp;$B268&amp;"*",'Timesheet Raw'!$L$4:$L$8000,"&gt;="&amp;MAX(S$5,DATE(2000+VALUE(RIGHT(TRIM($A268),2)),1,1)),'Timesheet Raw'!$L$4:$L$8000,"&lt;="&amp;MIN(S$6,DATE(2000+VALUE(RIGHT(TRIM($A268),2)),12,31))),SUMIFS('Timesheet Raw'!$P$4:$P$8000,'Timesheet Raw'!$B$4:$B$8000,TRIM($A268),'Timesheet Raw'!$C$4:$C$8000,"*"&amp;$B268&amp;"*",'Timesheet Raw'!$L$4:$L$8000,"&gt;="&amp;S$5,'Timesheet Raw'!$L$4:$L$8000,"&lt;="&amp;S$6)))/'Profit Plan'!$B$5)</f>
        <v>0</v>
      </c>
      <c r="T268" s="122">
        <f>IF($A268="","",(IF(ISNUMBER(SEARCH("Proposal",$A268)),SUMIFS('Timesheet Raw'!$P$4:$P$8000,'Timesheet Raw'!$A$4:$A$8000,IF(ISNUMBER(SEARCH("Chargable",$A268)),"2-Proposals Chargeable","3-Proposals Regular"),'Timesheet Raw'!$C$4:$C$8000,"*"&amp;$B268&amp;"*",'Timesheet Raw'!$L$4:$L$8000,"&gt;="&amp;MAX(T$5,DATE(2000+VALUE(RIGHT(TRIM($A268),2)),1,1)),'Timesheet Raw'!$L$4:$L$8000,"&lt;="&amp;MIN(T$6,DATE(2000+VALUE(RIGHT(TRIM($A268),2)),12,31))),SUMIFS('Timesheet Raw'!$P$4:$P$8000,'Timesheet Raw'!$B$4:$B$8000,TRIM($A268),'Timesheet Raw'!$C$4:$C$8000,"*"&amp;$B268&amp;"*",'Timesheet Raw'!$L$4:$L$8000,"&gt;="&amp;T$5,'Timesheet Raw'!$L$4:$L$8000,"&lt;="&amp;T$6)))/'Profit Plan'!$B$5)</f>
        <v>0</v>
      </c>
      <c r="U268" s="122">
        <f>IF($A268="","",(IF(ISNUMBER(SEARCH("Proposal",$A268)),SUMIFS('Timesheet Raw'!$P$4:$P$8000,'Timesheet Raw'!$A$4:$A$8000,IF(ISNUMBER(SEARCH("Chargable",$A268)),"2-Proposals Chargeable","3-Proposals Regular"),'Timesheet Raw'!$C$4:$C$8000,"*"&amp;$B268&amp;"*",'Timesheet Raw'!$L$4:$L$8000,"&gt;="&amp;MAX(U$5,DATE(2000+VALUE(RIGHT(TRIM($A268),2)),1,1)),'Timesheet Raw'!$L$4:$L$8000,"&lt;="&amp;MIN(U$6,DATE(2000+VALUE(RIGHT(TRIM($A268),2)),12,31))),SUMIFS('Timesheet Raw'!$P$4:$P$8000,'Timesheet Raw'!$B$4:$B$8000,TRIM($A268),'Timesheet Raw'!$C$4:$C$8000,"*"&amp;$B268&amp;"*",'Timesheet Raw'!$L$4:$L$8000,"&gt;="&amp;U$5,'Timesheet Raw'!$L$4:$L$8000,"&lt;="&amp;U$6)))/'Profit Plan'!$B$5)</f>
        <v>0</v>
      </c>
      <c r="V268" s="122">
        <f>IF($A268="","",(IF(ISNUMBER(SEARCH("Proposal",$A268)),SUMIFS('Timesheet Raw'!$P$4:$P$8000,'Timesheet Raw'!$A$4:$A$8000,IF(ISNUMBER(SEARCH("Chargable",$A268)),"2-Proposals Chargeable","3-Proposals Regular"),'Timesheet Raw'!$C$4:$C$8000,"*"&amp;$B268&amp;"*",'Timesheet Raw'!$L$4:$L$8000,"&gt;="&amp;MAX(V$5,DATE(2000+VALUE(RIGHT(TRIM($A268),2)),1,1)),'Timesheet Raw'!$L$4:$L$8000,"&lt;="&amp;MIN(V$6,DATE(2000+VALUE(RIGHT(TRIM($A268),2)),12,31))),SUMIFS('Timesheet Raw'!$P$4:$P$8000,'Timesheet Raw'!$B$4:$B$8000,TRIM($A268),'Timesheet Raw'!$C$4:$C$8000,"*"&amp;$B268&amp;"*",'Timesheet Raw'!$L$4:$L$8000,"&gt;="&amp;V$5,'Timesheet Raw'!$L$4:$L$8000,"&lt;="&amp;V$6)))/'Profit Plan'!$B$5)</f>
        <v>0</v>
      </c>
      <c r="W268" s="122">
        <f>IF($A268="","",(IF(ISNUMBER(SEARCH("Proposal",$A268)),SUMIFS('Timesheet Raw'!$P$4:$P$8000,'Timesheet Raw'!$A$4:$A$8000,IF(ISNUMBER(SEARCH("Chargable",$A268)),"2-Proposals Chargeable","3-Proposals Regular"),'Timesheet Raw'!$C$4:$C$8000,"*"&amp;$B268&amp;"*",'Timesheet Raw'!$L$4:$L$8000,"&gt;="&amp;MAX(W$5,DATE(2000+VALUE(RIGHT(TRIM($A268),2)),1,1)),'Timesheet Raw'!$L$4:$L$8000,"&lt;="&amp;MIN(W$6,DATE(2000+VALUE(RIGHT(TRIM($A268),2)),12,31))),SUMIFS('Timesheet Raw'!$P$4:$P$8000,'Timesheet Raw'!$B$4:$B$8000,TRIM($A268),'Timesheet Raw'!$C$4:$C$8000,"*"&amp;$B268&amp;"*",'Timesheet Raw'!$L$4:$L$8000,"&gt;="&amp;W$5,'Timesheet Raw'!$L$4:$L$8000,"&lt;="&amp;W$6)))/'Profit Plan'!$B$5)</f>
        <v>0</v>
      </c>
      <c r="X268" s="122">
        <f>IF($A268="","",(IF(ISNUMBER(SEARCH("Proposal",$A268)),SUMIFS('Timesheet Raw'!$P$4:$P$8000,'Timesheet Raw'!$A$4:$A$8000,IF(ISNUMBER(SEARCH("Chargable",$A268)),"2-Proposals Chargeable","3-Proposals Regular"),'Timesheet Raw'!$C$4:$C$8000,"*"&amp;$B268&amp;"*",'Timesheet Raw'!$L$4:$L$8000,"&gt;="&amp;MAX(X$5,DATE(2000+VALUE(RIGHT(TRIM($A268),2)),1,1)),'Timesheet Raw'!$L$4:$L$8000,"&lt;="&amp;MIN(X$6,DATE(2000+VALUE(RIGHT(TRIM($A268),2)),12,31))),SUMIFS('Timesheet Raw'!$P$4:$P$8000,'Timesheet Raw'!$B$4:$B$8000,TRIM($A268),'Timesheet Raw'!$C$4:$C$8000,"*"&amp;$B268&amp;"*",'Timesheet Raw'!$L$4:$L$8000,"&gt;="&amp;X$5,'Timesheet Raw'!$L$4:$L$8000,"&lt;="&amp;X$6)))/'Profit Plan'!$B$5)</f>
        <v>0</v>
      </c>
      <c r="Y268" s="118">
        <f t="shared" si="100"/>
        <v>0</v>
      </c>
    </row>
    <row r="269" spans="1:25" x14ac:dyDescent="0.3">
      <c r="A269" s="116" t="str">
        <f>IF(Inputs!$A7="","",Inputs!$A7)</f>
        <v>E26084-0100D</v>
      </c>
      <c r="B269" s="116" t="str">
        <f>IF(Inputs!$A7="","",Inputs!$A$92)</f>
        <v>Osama</v>
      </c>
      <c r="C269" s="116"/>
      <c r="D269" s="122">
        <f>IF($A269="","",(IF(ISNUMBER(SEARCH("Proposal",$A269)),SUMIFS('Timesheet Raw'!$P$4:$P$8000,'Timesheet Raw'!$A$4:$A$8000,IF(ISNUMBER(SEARCH("Chargable",$A269)),"2-Proposals Chargeable","3-Proposals Regular"),'Timesheet Raw'!$C$4:$C$8000,"*"&amp;$B269&amp;"*",'Timesheet Raw'!$L$4:$L$8000,"&gt;="&amp;MAX(D$5,DATE(2000+VALUE(RIGHT(TRIM($A269),2)),1,1)),'Timesheet Raw'!$L$4:$L$8000,"&lt;="&amp;MIN(D$6,DATE(2000+VALUE(RIGHT(TRIM($A269),2)),12,31))),SUMIFS('Timesheet Raw'!$P$4:$P$8000,'Timesheet Raw'!$B$4:$B$8000,TRIM($A269),'Timesheet Raw'!$C$4:$C$8000,"*"&amp;$B269&amp;"*",'Timesheet Raw'!$L$4:$L$8000,"&gt;="&amp;D$5,'Timesheet Raw'!$L$4:$L$8000,"&lt;="&amp;D$6)))/'Profit Plan'!$B$5)</f>
        <v>0</v>
      </c>
      <c r="E269" s="122">
        <f>IF($A269="","",(IF(ISNUMBER(SEARCH("Proposal",$A269)),SUMIFS('Timesheet Raw'!$P$4:$P$8000,'Timesheet Raw'!$A$4:$A$8000,IF(ISNUMBER(SEARCH("Chargable",$A269)),"2-Proposals Chargeable","3-Proposals Regular"),'Timesheet Raw'!$C$4:$C$8000,"*"&amp;$B269&amp;"*",'Timesheet Raw'!$L$4:$L$8000,"&gt;="&amp;MAX(E$5,DATE(2000+VALUE(RIGHT(TRIM($A269),2)),1,1)),'Timesheet Raw'!$L$4:$L$8000,"&lt;="&amp;MIN(E$6,DATE(2000+VALUE(RIGHT(TRIM($A269),2)),12,31))),SUMIFS('Timesheet Raw'!$P$4:$P$8000,'Timesheet Raw'!$B$4:$B$8000,TRIM($A269),'Timesheet Raw'!$C$4:$C$8000,"*"&amp;$B269&amp;"*",'Timesheet Raw'!$L$4:$L$8000,"&gt;="&amp;E$5,'Timesheet Raw'!$L$4:$L$8000,"&lt;="&amp;E$6)))/'Profit Plan'!$B$5)</f>
        <v>0</v>
      </c>
      <c r="F269" s="122">
        <f>IF($A269="","",(IF(ISNUMBER(SEARCH("Proposal",$A269)),SUMIFS('Timesheet Raw'!$P$4:$P$8000,'Timesheet Raw'!$A$4:$A$8000,IF(ISNUMBER(SEARCH("Chargable",$A269)),"2-Proposals Chargeable","3-Proposals Regular"),'Timesheet Raw'!$C$4:$C$8000,"*"&amp;$B269&amp;"*",'Timesheet Raw'!$L$4:$L$8000,"&gt;="&amp;MAX(F$5,DATE(2000+VALUE(RIGHT(TRIM($A269),2)),1,1)),'Timesheet Raw'!$L$4:$L$8000,"&lt;="&amp;MIN(F$6,DATE(2000+VALUE(RIGHT(TRIM($A269),2)),12,31))),SUMIFS('Timesheet Raw'!$P$4:$P$8000,'Timesheet Raw'!$B$4:$B$8000,TRIM($A269),'Timesheet Raw'!$C$4:$C$8000,"*"&amp;$B269&amp;"*",'Timesheet Raw'!$L$4:$L$8000,"&gt;="&amp;F$5,'Timesheet Raw'!$L$4:$L$8000,"&lt;="&amp;F$6)))/'Profit Plan'!$B$5)</f>
        <v>0</v>
      </c>
      <c r="G269" s="122">
        <f>IF($A269="","",(IF(ISNUMBER(SEARCH("Proposal",$A269)),SUMIFS('Timesheet Raw'!$P$4:$P$8000,'Timesheet Raw'!$A$4:$A$8000,IF(ISNUMBER(SEARCH("Chargable",$A269)),"2-Proposals Chargeable","3-Proposals Regular"),'Timesheet Raw'!$C$4:$C$8000,"*"&amp;$B269&amp;"*",'Timesheet Raw'!$L$4:$L$8000,"&gt;="&amp;MAX(G$5,DATE(2000+VALUE(RIGHT(TRIM($A269),2)),1,1)),'Timesheet Raw'!$L$4:$L$8000,"&lt;="&amp;MIN(G$6,DATE(2000+VALUE(RIGHT(TRIM($A269),2)),12,31))),SUMIFS('Timesheet Raw'!$P$4:$P$8000,'Timesheet Raw'!$B$4:$B$8000,TRIM($A269),'Timesheet Raw'!$C$4:$C$8000,"*"&amp;$B269&amp;"*",'Timesheet Raw'!$L$4:$L$8000,"&gt;="&amp;G$5,'Timesheet Raw'!$L$4:$L$8000,"&lt;="&amp;G$6)))/'Profit Plan'!$B$5)</f>
        <v>0</v>
      </c>
      <c r="H269" s="122">
        <f>IF($A269="","",(IF(ISNUMBER(SEARCH("Proposal",$A269)),SUMIFS('Timesheet Raw'!$P$4:$P$8000,'Timesheet Raw'!$A$4:$A$8000,IF(ISNUMBER(SEARCH("Chargable",$A269)),"2-Proposals Chargeable","3-Proposals Regular"),'Timesheet Raw'!$C$4:$C$8000,"*"&amp;$B269&amp;"*",'Timesheet Raw'!$L$4:$L$8000,"&gt;="&amp;MAX(H$5,DATE(2000+VALUE(RIGHT(TRIM($A269),2)),1,1)),'Timesheet Raw'!$L$4:$L$8000,"&lt;="&amp;MIN(H$6,DATE(2000+VALUE(RIGHT(TRIM($A269),2)),12,31))),SUMIFS('Timesheet Raw'!$P$4:$P$8000,'Timesheet Raw'!$B$4:$B$8000,TRIM($A269),'Timesheet Raw'!$C$4:$C$8000,"*"&amp;$B269&amp;"*",'Timesheet Raw'!$L$4:$L$8000,"&gt;="&amp;H$5,'Timesheet Raw'!$L$4:$L$8000,"&lt;="&amp;H$6)))/'Profit Plan'!$B$5)</f>
        <v>0</v>
      </c>
      <c r="I269" s="122">
        <f>IF($A269="","",(IF(ISNUMBER(SEARCH("Proposal",$A269)),SUMIFS('Timesheet Raw'!$P$4:$P$8000,'Timesheet Raw'!$A$4:$A$8000,IF(ISNUMBER(SEARCH("Chargable",$A269)),"2-Proposals Chargeable","3-Proposals Regular"),'Timesheet Raw'!$C$4:$C$8000,"*"&amp;$B269&amp;"*",'Timesheet Raw'!$L$4:$L$8000,"&gt;="&amp;MAX(I$5,DATE(2000+VALUE(RIGHT(TRIM($A269),2)),1,1)),'Timesheet Raw'!$L$4:$L$8000,"&lt;="&amp;MIN(I$6,DATE(2000+VALUE(RIGHT(TRIM($A269),2)),12,31))),SUMIFS('Timesheet Raw'!$P$4:$P$8000,'Timesheet Raw'!$B$4:$B$8000,TRIM($A269),'Timesheet Raw'!$C$4:$C$8000,"*"&amp;$B269&amp;"*",'Timesheet Raw'!$L$4:$L$8000,"&gt;="&amp;I$5,'Timesheet Raw'!$L$4:$L$8000,"&lt;="&amp;I$6)))/'Profit Plan'!$B$5)</f>
        <v>0</v>
      </c>
      <c r="J269" s="122">
        <f>IF($A269="","",(IF(ISNUMBER(SEARCH("Proposal",$A269)),SUMIFS('Timesheet Raw'!$P$4:$P$8000,'Timesheet Raw'!$A$4:$A$8000,IF(ISNUMBER(SEARCH("Chargable",$A269)),"2-Proposals Chargeable","3-Proposals Regular"),'Timesheet Raw'!$C$4:$C$8000,"*"&amp;$B269&amp;"*",'Timesheet Raw'!$L$4:$L$8000,"&gt;="&amp;MAX(J$5,DATE(2000+VALUE(RIGHT(TRIM($A269),2)),1,1)),'Timesheet Raw'!$L$4:$L$8000,"&lt;="&amp;MIN(J$6,DATE(2000+VALUE(RIGHT(TRIM($A269),2)),12,31))),SUMIFS('Timesheet Raw'!$P$4:$P$8000,'Timesheet Raw'!$B$4:$B$8000,TRIM($A269),'Timesheet Raw'!$C$4:$C$8000,"*"&amp;$B269&amp;"*",'Timesheet Raw'!$L$4:$L$8000,"&gt;="&amp;J$5,'Timesheet Raw'!$L$4:$L$8000,"&lt;="&amp;J$6)))/'Profit Plan'!$B$5)</f>
        <v>0</v>
      </c>
      <c r="K269" s="122">
        <f>IF($A269="","",(IF(ISNUMBER(SEARCH("Proposal",$A269)),SUMIFS('Timesheet Raw'!$P$4:$P$8000,'Timesheet Raw'!$A$4:$A$8000,IF(ISNUMBER(SEARCH("Chargable",$A269)),"2-Proposals Chargeable","3-Proposals Regular"),'Timesheet Raw'!$C$4:$C$8000,"*"&amp;$B269&amp;"*",'Timesheet Raw'!$L$4:$L$8000,"&gt;="&amp;MAX(K$5,DATE(2000+VALUE(RIGHT(TRIM($A269),2)),1,1)),'Timesheet Raw'!$L$4:$L$8000,"&lt;="&amp;MIN(K$6,DATE(2000+VALUE(RIGHT(TRIM($A269),2)),12,31))),SUMIFS('Timesheet Raw'!$P$4:$P$8000,'Timesheet Raw'!$B$4:$B$8000,TRIM($A269),'Timesheet Raw'!$C$4:$C$8000,"*"&amp;$B269&amp;"*",'Timesheet Raw'!$L$4:$L$8000,"&gt;="&amp;K$5,'Timesheet Raw'!$L$4:$L$8000,"&lt;="&amp;K$6)))/'Profit Plan'!$B$5)</f>
        <v>0</v>
      </c>
      <c r="L269" s="122">
        <f>IF($A269="","",(IF(ISNUMBER(SEARCH("Proposal",$A269)),SUMIFS('Timesheet Raw'!$P$4:$P$8000,'Timesheet Raw'!$A$4:$A$8000,IF(ISNUMBER(SEARCH("Chargable",$A269)),"2-Proposals Chargeable","3-Proposals Regular"),'Timesheet Raw'!$C$4:$C$8000,"*"&amp;$B269&amp;"*",'Timesheet Raw'!$L$4:$L$8000,"&gt;="&amp;MAX(L$5,DATE(2000+VALUE(RIGHT(TRIM($A269),2)),1,1)),'Timesheet Raw'!$L$4:$L$8000,"&lt;="&amp;MIN(L$6,DATE(2000+VALUE(RIGHT(TRIM($A269),2)),12,31))),SUMIFS('Timesheet Raw'!$P$4:$P$8000,'Timesheet Raw'!$B$4:$B$8000,TRIM($A269),'Timesheet Raw'!$C$4:$C$8000,"*"&amp;$B269&amp;"*",'Timesheet Raw'!$L$4:$L$8000,"&gt;="&amp;L$5,'Timesheet Raw'!$L$4:$L$8000,"&lt;="&amp;L$6)))/'Profit Plan'!$B$5)</f>
        <v>0</v>
      </c>
      <c r="M269" s="122">
        <f>IF($A269="","",(IF(ISNUMBER(SEARCH("Proposal",$A269)),SUMIFS('Timesheet Raw'!$P$4:$P$8000,'Timesheet Raw'!$A$4:$A$8000,IF(ISNUMBER(SEARCH("Chargable",$A269)),"2-Proposals Chargeable","3-Proposals Regular"),'Timesheet Raw'!$C$4:$C$8000,"*"&amp;$B269&amp;"*",'Timesheet Raw'!$L$4:$L$8000,"&gt;="&amp;MAX(M$5,DATE(2000+VALUE(RIGHT(TRIM($A269),2)),1,1)),'Timesheet Raw'!$L$4:$L$8000,"&lt;="&amp;MIN(M$6,DATE(2000+VALUE(RIGHT(TRIM($A269),2)),12,31))),SUMIFS('Timesheet Raw'!$P$4:$P$8000,'Timesheet Raw'!$B$4:$B$8000,TRIM($A269),'Timesheet Raw'!$C$4:$C$8000,"*"&amp;$B269&amp;"*",'Timesheet Raw'!$L$4:$L$8000,"&gt;="&amp;M$5,'Timesheet Raw'!$L$4:$L$8000,"&lt;="&amp;M$6)))/'Profit Plan'!$B$5)</f>
        <v>0</v>
      </c>
      <c r="N269" s="122">
        <f>IF($A269="","",(IF(ISNUMBER(SEARCH("Proposal",$A269)),SUMIFS('Timesheet Raw'!$P$4:$P$8000,'Timesheet Raw'!$A$4:$A$8000,IF(ISNUMBER(SEARCH("Chargable",$A269)),"2-Proposals Chargeable","3-Proposals Regular"),'Timesheet Raw'!$C$4:$C$8000,"*"&amp;$B269&amp;"*",'Timesheet Raw'!$L$4:$L$8000,"&gt;="&amp;MAX(N$5,DATE(2000+VALUE(RIGHT(TRIM($A269),2)),1,1)),'Timesheet Raw'!$L$4:$L$8000,"&lt;="&amp;MIN(N$6,DATE(2000+VALUE(RIGHT(TRIM($A269),2)),12,31))),SUMIFS('Timesheet Raw'!$P$4:$P$8000,'Timesheet Raw'!$B$4:$B$8000,TRIM($A269),'Timesheet Raw'!$C$4:$C$8000,"*"&amp;$B269&amp;"*",'Timesheet Raw'!$L$4:$L$8000,"&gt;="&amp;N$5,'Timesheet Raw'!$L$4:$L$8000,"&lt;="&amp;N$6)))/'Profit Plan'!$B$5)</f>
        <v>0</v>
      </c>
      <c r="O269" s="122">
        <f>IF($A269="","",(IF(ISNUMBER(SEARCH("Proposal",$A269)),SUMIFS('Timesheet Raw'!$P$4:$P$8000,'Timesheet Raw'!$A$4:$A$8000,IF(ISNUMBER(SEARCH("Chargable",$A269)),"2-Proposals Chargeable","3-Proposals Regular"),'Timesheet Raw'!$C$4:$C$8000,"*"&amp;$B269&amp;"*",'Timesheet Raw'!$L$4:$L$8000,"&gt;="&amp;MAX(O$5,DATE(2000+VALUE(RIGHT(TRIM($A269),2)),1,1)),'Timesheet Raw'!$L$4:$L$8000,"&lt;="&amp;MIN(O$6,DATE(2000+VALUE(RIGHT(TRIM($A269),2)),12,31))),SUMIFS('Timesheet Raw'!$P$4:$P$8000,'Timesheet Raw'!$B$4:$B$8000,TRIM($A269),'Timesheet Raw'!$C$4:$C$8000,"*"&amp;$B269&amp;"*",'Timesheet Raw'!$L$4:$L$8000,"&gt;="&amp;O$5,'Timesheet Raw'!$L$4:$L$8000,"&lt;="&amp;O$6)))/'Profit Plan'!$B$5)</f>
        <v>0.22567567567567567</v>
      </c>
      <c r="P269" s="122">
        <f>IF($A269="","",(IF(ISNUMBER(SEARCH("Proposal",$A269)),SUMIFS('Timesheet Raw'!$P$4:$P$8000,'Timesheet Raw'!$A$4:$A$8000,IF(ISNUMBER(SEARCH("Chargable",$A269)),"2-Proposals Chargeable","3-Proposals Regular"),'Timesheet Raw'!$C$4:$C$8000,"*"&amp;$B269&amp;"*",'Timesheet Raw'!$L$4:$L$8000,"&gt;="&amp;MAX(P$5,DATE(2000+VALUE(RIGHT(TRIM($A269),2)),1,1)),'Timesheet Raw'!$L$4:$L$8000,"&lt;="&amp;MIN(P$6,DATE(2000+VALUE(RIGHT(TRIM($A269),2)),12,31))),SUMIFS('Timesheet Raw'!$P$4:$P$8000,'Timesheet Raw'!$B$4:$B$8000,TRIM($A269),'Timesheet Raw'!$C$4:$C$8000,"*"&amp;$B269&amp;"*",'Timesheet Raw'!$L$4:$L$8000,"&gt;="&amp;P$5,'Timesheet Raw'!$L$4:$L$8000,"&lt;="&amp;P$6)))/'Profit Plan'!$B$5)</f>
        <v>0</v>
      </c>
      <c r="Q269" s="122">
        <f>IF($A269="","",(IF(ISNUMBER(SEARCH("Proposal",$A269)),SUMIFS('Timesheet Raw'!$P$4:$P$8000,'Timesheet Raw'!$A$4:$A$8000,IF(ISNUMBER(SEARCH("Chargable",$A269)),"2-Proposals Chargeable","3-Proposals Regular"),'Timesheet Raw'!$C$4:$C$8000,"*"&amp;$B269&amp;"*",'Timesheet Raw'!$L$4:$L$8000,"&gt;="&amp;MAX(Q$5,DATE(2000+VALUE(RIGHT(TRIM($A269),2)),1,1)),'Timesheet Raw'!$L$4:$L$8000,"&lt;="&amp;MIN(Q$6,DATE(2000+VALUE(RIGHT(TRIM($A269),2)),12,31))),SUMIFS('Timesheet Raw'!$P$4:$P$8000,'Timesheet Raw'!$B$4:$B$8000,TRIM($A269),'Timesheet Raw'!$C$4:$C$8000,"*"&amp;$B269&amp;"*",'Timesheet Raw'!$L$4:$L$8000,"&gt;="&amp;Q$5,'Timesheet Raw'!$L$4:$L$8000,"&lt;="&amp;Q$6)))/'Profit Plan'!$B$5)</f>
        <v>0</v>
      </c>
      <c r="R269" s="122">
        <f>IF($A269="","",(IF(ISNUMBER(SEARCH("Proposal",$A269)),SUMIFS('Timesheet Raw'!$P$4:$P$8000,'Timesheet Raw'!$A$4:$A$8000,IF(ISNUMBER(SEARCH("Chargable",$A269)),"2-Proposals Chargeable","3-Proposals Regular"),'Timesheet Raw'!$C$4:$C$8000,"*"&amp;$B269&amp;"*",'Timesheet Raw'!$L$4:$L$8000,"&gt;="&amp;MAX(R$5,DATE(2000+VALUE(RIGHT(TRIM($A269),2)),1,1)),'Timesheet Raw'!$L$4:$L$8000,"&lt;="&amp;MIN(R$6,DATE(2000+VALUE(RIGHT(TRIM($A269),2)),12,31))),SUMIFS('Timesheet Raw'!$P$4:$P$8000,'Timesheet Raw'!$B$4:$B$8000,TRIM($A269),'Timesheet Raw'!$C$4:$C$8000,"*"&amp;$B269&amp;"*",'Timesheet Raw'!$L$4:$L$8000,"&gt;="&amp;R$5,'Timesheet Raw'!$L$4:$L$8000,"&lt;="&amp;R$6)))/'Profit Plan'!$B$5)</f>
        <v>0</v>
      </c>
      <c r="S269" s="122">
        <f>IF($A269="","",(IF(ISNUMBER(SEARCH("Proposal",$A269)),SUMIFS('Timesheet Raw'!$P$4:$P$8000,'Timesheet Raw'!$A$4:$A$8000,IF(ISNUMBER(SEARCH("Chargable",$A269)),"2-Proposals Chargeable","3-Proposals Regular"),'Timesheet Raw'!$C$4:$C$8000,"*"&amp;$B269&amp;"*",'Timesheet Raw'!$L$4:$L$8000,"&gt;="&amp;MAX(S$5,DATE(2000+VALUE(RIGHT(TRIM($A269),2)),1,1)),'Timesheet Raw'!$L$4:$L$8000,"&lt;="&amp;MIN(S$6,DATE(2000+VALUE(RIGHT(TRIM($A269),2)),12,31))),SUMIFS('Timesheet Raw'!$P$4:$P$8000,'Timesheet Raw'!$B$4:$B$8000,TRIM($A269),'Timesheet Raw'!$C$4:$C$8000,"*"&amp;$B269&amp;"*",'Timesheet Raw'!$L$4:$L$8000,"&gt;="&amp;S$5,'Timesheet Raw'!$L$4:$L$8000,"&lt;="&amp;S$6)))/'Profit Plan'!$B$5)</f>
        <v>0</v>
      </c>
      <c r="T269" s="122">
        <f>IF($A269="","",(IF(ISNUMBER(SEARCH("Proposal",$A269)),SUMIFS('Timesheet Raw'!$P$4:$P$8000,'Timesheet Raw'!$A$4:$A$8000,IF(ISNUMBER(SEARCH("Chargable",$A269)),"2-Proposals Chargeable","3-Proposals Regular"),'Timesheet Raw'!$C$4:$C$8000,"*"&amp;$B269&amp;"*",'Timesheet Raw'!$L$4:$L$8000,"&gt;="&amp;MAX(T$5,DATE(2000+VALUE(RIGHT(TRIM($A269),2)),1,1)),'Timesheet Raw'!$L$4:$L$8000,"&lt;="&amp;MIN(T$6,DATE(2000+VALUE(RIGHT(TRIM($A269),2)),12,31))),SUMIFS('Timesheet Raw'!$P$4:$P$8000,'Timesheet Raw'!$B$4:$B$8000,TRIM($A269),'Timesheet Raw'!$C$4:$C$8000,"*"&amp;$B269&amp;"*",'Timesheet Raw'!$L$4:$L$8000,"&gt;="&amp;T$5,'Timesheet Raw'!$L$4:$L$8000,"&lt;="&amp;T$6)))/'Profit Plan'!$B$5)</f>
        <v>0</v>
      </c>
      <c r="U269" s="122">
        <f>IF($A269="","",(IF(ISNUMBER(SEARCH("Proposal",$A269)),SUMIFS('Timesheet Raw'!$P$4:$P$8000,'Timesheet Raw'!$A$4:$A$8000,IF(ISNUMBER(SEARCH("Chargable",$A269)),"2-Proposals Chargeable","3-Proposals Regular"),'Timesheet Raw'!$C$4:$C$8000,"*"&amp;$B269&amp;"*",'Timesheet Raw'!$L$4:$L$8000,"&gt;="&amp;MAX(U$5,DATE(2000+VALUE(RIGHT(TRIM($A269),2)),1,1)),'Timesheet Raw'!$L$4:$L$8000,"&lt;="&amp;MIN(U$6,DATE(2000+VALUE(RIGHT(TRIM($A269),2)),12,31))),SUMIFS('Timesheet Raw'!$P$4:$P$8000,'Timesheet Raw'!$B$4:$B$8000,TRIM($A269),'Timesheet Raw'!$C$4:$C$8000,"*"&amp;$B269&amp;"*",'Timesheet Raw'!$L$4:$L$8000,"&gt;="&amp;U$5,'Timesheet Raw'!$L$4:$L$8000,"&lt;="&amp;U$6)))/'Profit Plan'!$B$5)</f>
        <v>0</v>
      </c>
      <c r="V269" s="122">
        <f>IF($A269="","",(IF(ISNUMBER(SEARCH("Proposal",$A269)),SUMIFS('Timesheet Raw'!$P$4:$P$8000,'Timesheet Raw'!$A$4:$A$8000,IF(ISNUMBER(SEARCH("Chargable",$A269)),"2-Proposals Chargeable","3-Proposals Regular"),'Timesheet Raw'!$C$4:$C$8000,"*"&amp;$B269&amp;"*",'Timesheet Raw'!$L$4:$L$8000,"&gt;="&amp;MAX(V$5,DATE(2000+VALUE(RIGHT(TRIM($A269),2)),1,1)),'Timesheet Raw'!$L$4:$L$8000,"&lt;="&amp;MIN(V$6,DATE(2000+VALUE(RIGHT(TRIM($A269),2)),12,31))),SUMIFS('Timesheet Raw'!$P$4:$P$8000,'Timesheet Raw'!$B$4:$B$8000,TRIM($A269),'Timesheet Raw'!$C$4:$C$8000,"*"&amp;$B269&amp;"*",'Timesheet Raw'!$L$4:$L$8000,"&gt;="&amp;V$5,'Timesheet Raw'!$L$4:$L$8000,"&lt;="&amp;V$6)))/'Profit Plan'!$B$5)</f>
        <v>0</v>
      </c>
      <c r="W269" s="122">
        <f>IF($A269="","",(IF(ISNUMBER(SEARCH("Proposal",$A269)),SUMIFS('Timesheet Raw'!$P$4:$P$8000,'Timesheet Raw'!$A$4:$A$8000,IF(ISNUMBER(SEARCH("Chargable",$A269)),"2-Proposals Chargeable","3-Proposals Regular"),'Timesheet Raw'!$C$4:$C$8000,"*"&amp;$B269&amp;"*",'Timesheet Raw'!$L$4:$L$8000,"&gt;="&amp;MAX(W$5,DATE(2000+VALUE(RIGHT(TRIM($A269),2)),1,1)),'Timesheet Raw'!$L$4:$L$8000,"&lt;="&amp;MIN(W$6,DATE(2000+VALUE(RIGHT(TRIM($A269),2)),12,31))),SUMIFS('Timesheet Raw'!$P$4:$P$8000,'Timesheet Raw'!$B$4:$B$8000,TRIM($A269),'Timesheet Raw'!$C$4:$C$8000,"*"&amp;$B269&amp;"*",'Timesheet Raw'!$L$4:$L$8000,"&gt;="&amp;W$5,'Timesheet Raw'!$L$4:$L$8000,"&lt;="&amp;W$6)))/'Profit Plan'!$B$5)</f>
        <v>0</v>
      </c>
      <c r="X269" s="122">
        <f>IF($A269="","",(IF(ISNUMBER(SEARCH("Proposal",$A269)),SUMIFS('Timesheet Raw'!$P$4:$P$8000,'Timesheet Raw'!$A$4:$A$8000,IF(ISNUMBER(SEARCH("Chargable",$A269)),"2-Proposals Chargeable","3-Proposals Regular"),'Timesheet Raw'!$C$4:$C$8000,"*"&amp;$B269&amp;"*",'Timesheet Raw'!$L$4:$L$8000,"&gt;="&amp;MAX(X$5,DATE(2000+VALUE(RIGHT(TRIM($A269),2)),1,1)),'Timesheet Raw'!$L$4:$L$8000,"&lt;="&amp;MIN(X$6,DATE(2000+VALUE(RIGHT(TRIM($A269),2)),12,31))),SUMIFS('Timesheet Raw'!$P$4:$P$8000,'Timesheet Raw'!$B$4:$B$8000,TRIM($A269),'Timesheet Raw'!$C$4:$C$8000,"*"&amp;$B269&amp;"*",'Timesheet Raw'!$L$4:$L$8000,"&gt;="&amp;X$5,'Timesheet Raw'!$L$4:$L$8000,"&lt;="&amp;X$6)))/'Profit Plan'!$B$5)</f>
        <v>0</v>
      </c>
      <c r="Y269" s="118">
        <f t="shared" si="100"/>
        <v>0.22567567567567567</v>
      </c>
    </row>
    <row r="270" spans="1:25" x14ac:dyDescent="0.3">
      <c r="A270" s="116" t="str">
        <f>IF(Inputs!$A7="","",Inputs!$A7)</f>
        <v>E26084-0100D</v>
      </c>
      <c r="B270" s="116" t="str">
        <f>IF(Inputs!$A7="","",Inputs!$A$93)</f>
        <v>Kirolos</v>
      </c>
      <c r="C270" s="116"/>
      <c r="D270" s="122">
        <f>IF($A270="","",(IF(ISNUMBER(SEARCH("Proposal",$A270)),SUMIFS('Timesheet Raw'!$P$4:$P$8000,'Timesheet Raw'!$A$4:$A$8000,IF(ISNUMBER(SEARCH("Chargable",$A270)),"2-Proposals Chargeable","3-Proposals Regular"),'Timesheet Raw'!$C$4:$C$8000,"*"&amp;$B270&amp;"*",'Timesheet Raw'!$L$4:$L$8000,"&gt;="&amp;MAX(D$5,DATE(2000+VALUE(RIGHT(TRIM($A270),2)),1,1)),'Timesheet Raw'!$L$4:$L$8000,"&lt;="&amp;MIN(D$6,DATE(2000+VALUE(RIGHT(TRIM($A270),2)),12,31))),SUMIFS('Timesheet Raw'!$P$4:$P$8000,'Timesheet Raw'!$B$4:$B$8000,TRIM($A270),'Timesheet Raw'!$C$4:$C$8000,"*"&amp;$B270&amp;"*",'Timesheet Raw'!$L$4:$L$8000,"&gt;="&amp;D$5,'Timesheet Raw'!$L$4:$L$8000,"&lt;="&amp;D$6)))/'Profit Plan'!$B$5)</f>
        <v>0</v>
      </c>
      <c r="E270" s="122">
        <f>IF($A270="","",(IF(ISNUMBER(SEARCH("Proposal",$A270)),SUMIFS('Timesheet Raw'!$P$4:$P$8000,'Timesheet Raw'!$A$4:$A$8000,IF(ISNUMBER(SEARCH("Chargable",$A270)),"2-Proposals Chargeable","3-Proposals Regular"),'Timesheet Raw'!$C$4:$C$8000,"*"&amp;$B270&amp;"*",'Timesheet Raw'!$L$4:$L$8000,"&gt;="&amp;MAX(E$5,DATE(2000+VALUE(RIGHT(TRIM($A270),2)),1,1)),'Timesheet Raw'!$L$4:$L$8000,"&lt;="&amp;MIN(E$6,DATE(2000+VALUE(RIGHT(TRIM($A270),2)),12,31))),SUMIFS('Timesheet Raw'!$P$4:$P$8000,'Timesheet Raw'!$B$4:$B$8000,TRIM($A270),'Timesheet Raw'!$C$4:$C$8000,"*"&amp;$B270&amp;"*",'Timesheet Raw'!$L$4:$L$8000,"&gt;="&amp;E$5,'Timesheet Raw'!$L$4:$L$8000,"&lt;="&amp;E$6)))/'Profit Plan'!$B$5)</f>
        <v>0</v>
      </c>
      <c r="F270" s="122">
        <f>IF($A270="","",(IF(ISNUMBER(SEARCH("Proposal",$A270)),SUMIFS('Timesheet Raw'!$P$4:$P$8000,'Timesheet Raw'!$A$4:$A$8000,IF(ISNUMBER(SEARCH("Chargable",$A270)),"2-Proposals Chargeable","3-Proposals Regular"),'Timesheet Raw'!$C$4:$C$8000,"*"&amp;$B270&amp;"*",'Timesheet Raw'!$L$4:$L$8000,"&gt;="&amp;MAX(F$5,DATE(2000+VALUE(RIGHT(TRIM($A270),2)),1,1)),'Timesheet Raw'!$L$4:$L$8000,"&lt;="&amp;MIN(F$6,DATE(2000+VALUE(RIGHT(TRIM($A270),2)),12,31))),SUMIFS('Timesheet Raw'!$P$4:$P$8000,'Timesheet Raw'!$B$4:$B$8000,TRIM($A270),'Timesheet Raw'!$C$4:$C$8000,"*"&amp;$B270&amp;"*",'Timesheet Raw'!$L$4:$L$8000,"&gt;="&amp;F$5,'Timesheet Raw'!$L$4:$L$8000,"&lt;="&amp;F$6)))/'Profit Plan'!$B$5)</f>
        <v>0</v>
      </c>
      <c r="G270" s="122">
        <f>IF($A270="","",(IF(ISNUMBER(SEARCH("Proposal",$A270)),SUMIFS('Timesheet Raw'!$P$4:$P$8000,'Timesheet Raw'!$A$4:$A$8000,IF(ISNUMBER(SEARCH("Chargable",$A270)),"2-Proposals Chargeable","3-Proposals Regular"),'Timesheet Raw'!$C$4:$C$8000,"*"&amp;$B270&amp;"*",'Timesheet Raw'!$L$4:$L$8000,"&gt;="&amp;MAX(G$5,DATE(2000+VALUE(RIGHT(TRIM($A270),2)),1,1)),'Timesheet Raw'!$L$4:$L$8000,"&lt;="&amp;MIN(G$6,DATE(2000+VALUE(RIGHT(TRIM($A270),2)),12,31))),SUMIFS('Timesheet Raw'!$P$4:$P$8000,'Timesheet Raw'!$B$4:$B$8000,TRIM($A270),'Timesheet Raw'!$C$4:$C$8000,"*"&amp;$B270&amp;"*",'Timesheet Raw'!$L$4:$L$8000,"&gt;="&amp;G$5,'Timesheet Raw'!$L$4:$L$8000,"&lt;="&amp;G$6)))/'Profit Plan'!$B$5)</f>
        <v>0</v>
      </c>
      <c r="H270" s="122">
        <f>IF($A270="","",(IF(ISNUMBER(SEARCH("Proposal",$A270)),SUMIFS('Timesheet Raw'!$P$4:$P$8000,'Timesheet Raw'!$A$4:$A$8000,IF(ISNUMBER(SEARCH("Chargable",$A270)),"2-Proposals Chargeable","3-Proposals Regular"),'Timesheet Raw'!$C$4:$C$8000,"*"&amp;$B270&amp;"*",'Timesheet Raw'!$L$4:$L$8000,"&gt;="&amp;MAX(H$5,DATE(2000+VALUE(RIGHT(TRIM($A270),2)),1,1)),'Timesheet Raw'!$L$4:$L$8000,"&lt;="&amp;MIN(H$6,DATE(2000+VALUE(RIGHT(TRIM($A270),2)),12,31))),SUMIFS('Timesheet Raw'!$P$4:$P$8000,'Timesheet Raw'!$B$4:$B$8000,TRIM($A270),'Timesheet Raw'!$C$4:$C$8000,"*"&amp;$B270&amp;"*",'Timesheet Raw'!$L$4:$L$8000,"&gt;="&amp;H$5,'Timesheet Raw'!$L$4:$L$8000,"&lt;="&amp;H$6)))/'Profit Plan'!$B$5)</f>
        <v>0</v>
      </c>
      <c r="I270" s="122">
        <f>IF($A270="","",(IF(ISNUMBER(SEARCH("Proposal",$A270)),SUMIFS('Timesheet Raw'!$P$4:$P$8000,'Timesheet Raw'!$A$4:$A$8000,IF(ISNUMBER(SEARCH("Chargable",$A270)),"2-Proposals Chargeable","3-Proposals Regular"),'Timesheet Raw'!$C$4:$C$8000,"*"&amp;$B270&amp;"*",'Timesheet Raw'!$L$4:$L$8000,"&gt;="&amp;MAX(I$5,DATE(2000+VALUE(RIGHT(TRIM($A270),2)),1,1)),'Timesheet Raw'!$L$4:$L$8000,"&lt;="&amp;MIN(I$6,DATE(2000+VALUE(RIGHT(TRIM($A270),2)),12,31))),SUMIFS('Timesheet Raw'!$P$4:$P$8000,'Timesheet Raw'!$B$4:$B$8000,TRIM($A270),'Timesheet Raw'!$C$4:$C$8000,"*"&amp;$B270&amp;"*",'Timesheet Raw'!$L$4:$L$8000,"&gt;="&amp;I$5,'Timesheet Raw'!$L$4:$L$8000,"&lt;="&amp;I$6)))/'Profit Plan'!$B$5)</f>
        <v>0</v>
      </c>
      <c r="J270" s="122">
        <f>IF($A270="","",(IF(ISNUMBER(SEARCH("Proposal",$A270)),SUMIFS('Timesheet Raw'!$P$4:$P$8000,'Timesheet Raw'!$A$4:$A$8000,IF(ISNUMBER(SEARCH("Chargable",$A270)),"2-Proposals Chargeable","3-Proposals Regular"),'Timesheet Raw'!$C$4:$C$8000,"*"&amp;$B270&amp;"*",'Timesheet Raw'!$L$4:$L$8000,"&gt;="&amp;MAX(J$5,DATE(2000+VALUE(RIGHT(TRIM($A270),2)),1,1)),'Timesheet Raw'!$L$4:$L$8000,"&lt;="&amp;MIN(J$6,DATE(2000+VALUE(RIGHT(TRIM($A270),2)),12,31))),SUMIFS('Timesheet Raw'!$P$4:$P$8000,'Timesheet Raw'!$B$4:$B$8000,TRIM($A270),'Timesheet Raw'!$C$4:$C$8000,"*"&amp;$B270&amp;"*",'Timesheet Raw'!$L$4:$L$8000,"&gt;="&amp;J$5,'Timesheet Raw'!$L$4:$L$8000,"&lt;="&amp;J$6)))/'Profit Plan'!$B$5)</f>
        <v>0</v>
      </c>
      <c r="K270" s="122">
        <f>IF($A270="","",(IF(ISNUMBER(SEARCH("Proposal",$A270)),SUMIFS('Timesheet Raw'!$P$4:$P$8000,'Timesheet Raw'!$A$4:$A$8000,IF(ISNUMBER(SEARCH("Chargable",$A270)),"2-Proposals Chargeable","3-Proposals Regular"),'Timesheet Raw'!$C$4:$C$8000,"*"&amp;$B270&amp;"*",'Timesheet Raw'!$L$4:$L$8000,"&gt;="&amp;MAX(K$5,DATE(2000+VALUE(RIGHT(TRIM($A270),2)),1,1)),'Timesheet Raw'!$L$4:$L$8000,"&lt;="&amp;MIN(K$6,DATE(2000+VALUE(RIGHT(TRIM($A270),2)),12,31))),SUMIFS('Timesheet Raw'!$P$4:$P$8000,'Timesheet Raw'!$B$4:$B$8000,TRIM($A270),'Timesheet Raw'!$C$4:$C$8000,"*"&amp;$B270&amp;"*",'Timesheet Raw'!$L$4:$L$8000,"&gt;="&amp;K$5,'Timesheet Raw'!$L$4:$L$8000,"&lt;="&amp;K$6)))/'Profit Plan'!$B$5)</f>
        <v>0</v>
      </c>
      <c r="L270" s="122">
        <f>IF($A270="","",(IF(ISNUMBER(SEARCH("Proposal",$A270)),SUMIFS('Timesheet Raw'!$P$4:$P$8000,'Timesheet Raw'!$A$4:$A$8000,IF(ISNUMBER(SEARCH("Chargable",$A270)),"2-Proposals Chargeable","3-Proposals Regular"),'Timesheet Raw'!$C$4:$C$8000,"*"&amp;$B270&amp;"*",'Timesheet Raw'!$L$4:$L$8000,"&gt;="&amp;MAX(L$5,DATE(2000+VALUE(RIGHT(TRIM($A270),2)),1,1)),'Timesheet Raw'!$L$4:$L$8000,"&lt;="&amp;MIN(L$6,DATE(2000+VALUE(RIGHT(TRIM($A270),2)),12,31))),SUMIFS('Timesheet Raw'!$P$4:$P$8000,'Timesheet Raw'!$B$4:$B$8000,TRIM($A270),'Timesheet Raw'!$C$4:$C$8000,"*"&amp;$B270&amp;"*",'Timesheet Raw'!$L$4:$L$8000,"&gt;="&amp;L$5,'Timesheet Raw'!$L$4:$L$8000,"&lt;="&amp;L$6)))/'Profit Plan'!$B$5)</f>
        <v>0</v>
      </c>
      <c r="M270" s="122">
        <f>IF($A270="","",(IF(ISNUMBER(SEARCH("Proposal",$A270)),SUMIFS('Timesheet Raw'!$P$4:$P$8000,'Timesheet Raw'!$A$4:$A$8000,IF(ISNUMBER(SEARCH("Chargable",$A270)),"2-Proposals Chargeable","3-Proposals Regular"),'Timesheet Raw'!$C$4:$C$8000,"*"&amp;$B270&amp;"*",'Timesheet Raw'!$L$4:$L$8000,"&gt;="&amp;MAX(M$5,DATE(2000+VALUE(RIGHT(TRIM($A270),2)),1,1)),'Timesheet Raw'!$L$4:$L$8000,"&lt;="&amp;MIN(M$6,DATE(2000+VALUE(RIGHT(TRIM($A270),2)),12,31))),SUMIFS('Timesheet Raw'!$P$4:$P$8000,'Timesheet Raw'!$B$4:$B$8000,TRIM($A270),'Timesheet Raw'!$C$4:$C$8000,"*"&amp;$B270&amp;"*",'Timesheet Raw'!$L$4:$L$8000,"&gt;="&amp;M$5,'Timesheet Raw'!$L$4:$L$8000,"&lt;="&amp;M$6)))/'Profit Plan'!$B$5)</f>
        <v>0</v>
      </c>
      <c r="N270" s="122">
        <f>IF($A270="","",(IF(ISNUMBER(SEARCH("Proposal",$A270)),SUMIFS('Timesheet Raw'!$P$4:$P$8000,'Timesheet Raw'!$A$4:$A$8000,IF(ISNUMBER(SEARCH("Chargable",$A270)),"2-Proposals Chargeable","3-Proposals Regular"),'Timesheet Raw'!$C$4:$C$8000,"*"&amp;$B270&amp;"*",'Timesheet Raw'!$L$4:$L$8000,"&gt;="&amp;MAX(N$5,DATE(2000+VALUE(RIGHT(TRIM($A270),2)),1,1)),'Timesheet Raw'!$L$4:$L$8000,"&lt;="&amp;MIN(N$6,DATE(2000+VALUE(RIGHT(TRIM($A270),2)),12,31))),SUMIFS('Timesheet Raw'!$P$4:$P$8000,'Timesheet Raw'!$B$4:$B$8000,TRIM($A270),'Timesheet Raw'!$C$4:$C$8000,"*"&amp;$B270&amp;"*",'Timesheet Raw'!$L$4:$L$8000,"&gt;="&amp;N$5,'Timesheet Raw'!$L$4:$L$8000,"&lt;="&amp;N$6)))/'Profit Plan'!$B$5)</f>
        <v>0</v>
      </c>
      <c r="O270" s="122">
        <f>IF($A270="","",(IF(ISNUMBER(SEARCH("Proposal",$A270)),SUMIFS('Timesheet Raw'!$P$4:$P$8000,'Timesheet Raw'!$A$4:$A$8000,IF(ISNUMBER(SEARCH("Chargable",$A270)),"2-Proposals Chargeable","3-Proposals Regular"),'Timesheet Raw'!$C$4:$C$8000,"*"&amp;$B270&amp;"*",'Timesheet Raw'!$L$4:$L$8000,"&gt;="&amp;MAX(O$5,DATE(2000+VALUE(RIGHT(TRIM($A270),2)),1,1)),'Timesheet Raw'!$L$4:$L$8000,"&lt;="&amp;MIN(O$6,DATE(2000+VALUE(RIGHT(TRIM($A270),2)),12,31))),SUMIFS('Timesheet Raw'!$P$4:$P$8000,'Timesheet Raw'!$B$4:$B$8000,TRIM($A270),'Timesheet Raw'!$C$4:$C$8000,"*"&amp;$B270&amp;"*",'Timesheet Raw'!$L$4:$L$8000,"&gt;="&amp;O$5,'Timesheet Raw'!$L$4:$L$8000,"&lt;="&amp;O$6)))/'Profit Plan'!$B$5)</f>
        <v>0</v>
      </c>
      <c r="P270" s="122">
        <f>IF($A270="","",(IF(ISNUMBER(SEARCH("Proposal",$A270)),SUMIFS('Timesheet Raw'!$P$4:$P$8000,'Timesheet Raw'!$A$4:$A$8000,IF(ISNUMBER(SEARCH("Chargable",$A270)),"2-Proposals Chargeable","3-Proposals Regular"),'Timesheet Raw'!$C$4:$C$8000,"*"&amp;$B270&amp;"*",'Timesheet Raw'!$L$4:$L$8000,"&gt;="&amp;MAX(P$5,DATE(2000+VALUE(RIGHT(TRIM($A270),2)),1,1)),'Timesheet Raw'!$L$4:$L$8000,"&lt;="&amp;MIN(P$6,DATE(2000+VALUE(RIGHT(TRIM($A270),2)),12,31))),SUMIFS('Timesheet Raw'!$P$4:$P$8000,'Timesheet Raw'!$B$4:$B$8000,TRIM($A270),'Timesheet Raw'!$C$4:$C$8000,"*"&amp;$B270&amp;"*",'Timesheet Raw'!$L$4:$L$8000,"&gt;="&amp;P$5,'Timesheet Raw'!$L$4:$L$8000,"&lt;="&amp;P$6)))/'Profit Plan'!$B$5)</f>
        <v>0</v>
      </c>
      <c r="Q270" s="122">
        <f>IF($A270="","",(IF(ISNUMBER(SEARCH("Proposal",$A270)),SUMIFS('Timesheet Raw'!$P$4:$P$8000,'Timesheet Raw'!$A$4:$A$8000,IF(ISNUMBER(SEARCH("Chargable",$A270)),"2-Proposals Chargeable","3-Proposals Regular"),'Timesheet Raw'!$C$4:$C$8000,"*"&amp;$B270&amp;"*",'Timesheet Raw'!$L$4:$L$8000,"&gt;="&amp;MAX(Q$5,DATE(2000+VALUE(RIGHT(TRIM($A270),2)),1,1)),'Timesheet Raw'!$L$4:$L$8000,"&lt;="&amp;MIN(Q$6,DATE(2000+VALUE(RIGHT(TRIM($A270),2)),12,31))),SUMIFS('Timesheet Raw'!$P$4:$P$8000,'Timesheet Raw'!$B$4:$B$8000,TRIM($A270),'Timesheet Raw'!$C$4:$C$8000,"*"&amp;$B270&amp;"*",'Timesheet Raw'!$L$4:$L$8000,"&gt;="&amp;Q$5,'Timesheet Raw'!$L$4:$L$8000,"&lt;="&amp;Q$6)))/'Profit Plan'!$B$5)</f>
        <v>0</v>
      </c>
      <c r="R270" s="122">
        <f>IF($A270="","",(IF(ISNUMBER(SEARCH("Proposal",$A270)),SUMIFS('Timesheet Raw'!$P$4:$P$8000,'Timesheet Raw'!$A$4:$A$8000,IF(ISNUMBER(SEARCH("Chargable",$A270)),"2-Proposals Chargeable","3-Proposals Regular"),'Timesheet Raw'!$C$4:$C$8000,"*"&amp;$B270&amp;"*",'Timesheet Raw'!$L$4:$L$8000,"&gt;="&amp;MAX(R$5,DATE(2000+VALUE(RIGHT(TRIM($A270),2)),1,1)),'Timesheet Raw'!$L$4:$L$8000,"&lt;="&amp;MIN(R$6,DATE(2000+VALUE(RIGHT(TRIM($A270),2)),12,31))),SUMIFS('Timesheet Raw'!$P$4:$P$8000,'Timesheet Raw'!$B$4:$B$8000,TRIM($A270),'Timesheet Raw'!$C$4:$C$8000,"*"&amp;$B270&amp;"*",'Timesheet Raw'!$L$4:$L$8000,"&gt;="&amp;R$5,'Timesheet Raw'!$L$4:$L$8000,"&lt;="&amp;R$6)))/'Profit Plan'!$B$5)</f>
        <v>0</v>
      </c>
      <c r="S270" s="122">
        <f>IF($A270="","",(IF(ISNUMBER(SEARCH("Proposal",$A270)),SUMIFS('Timesheet Raw'!$P$4:$P$8000,'Timesheet Raw'!$A$4:$A$8000,IF(ISNUMBER(SEARCH("Chargable",$A270)),"2-Proposals Chargeable","3-Proposals Regular"),'Timesheet Raw'!$C$4:$C$8000,"*"&amp;$B270&amp;"*",'Timesheet Raw'!$L$4:$L$8000,"&gt;="&amp;MAX(S$5,DATE(2000+VALUE(RIGHT(TRIM($A270),2)),1,1)),'Timesheet Raw'!$L$4:$L$8000,"&lt;="&amp;MIN(S$6,DATE(2000+VALUE(RIGHT(TRIM($A270),2)),12,31))),SUMIFS('Timesheet Raw'!$P$4:$P$8000,'Timesheet Raw'!$B$4:$B$8000,TRIM($A270),'Timesheet Raw'!$C$4:$C$8000,"*"&amp;$B270&amp;"*",'Timesheet Raw'!$L$4:$L$8000,"&gt;="&amp;S$5,'Timesheet Raw'!$L$4:$L$8000,"&lt;="&amp;S$6)))/'Profit Plan'!$B$5)</f>
        <v>0</v>
      </c>
      <c r="T270" s="122">
        <f>IF($A270="","",(IF(ISNUMBER(SEARCH("Proposal",$A270)),SUMIFS('Timesheet Raw'!$P$4:$P$8000,'Timesheet Raw'!$A$4:$A$8000,IF(ISNUMBER(SEARCH("Chargable",$A270)),"2-Proposals Chargeable","3-Proposals Regular"),'Timesheet Raw'!$C$4:$C$8000,"*"&amp;$B270&amp;"*",'Timesheet Raw'!$L$4:$L$8000,"&gt;="&amp;MAX(T$5,DATE(2000+VALUE(RIGHT(TRIM($A270),2)),1,1)),'Timesheet Raw'!$L$4:$L$8000,"&lt;="&amp;MIN(T$6,DATE(2000+VALUE(RIGHT(TRIM($A270),2)),12,31))),SUMIFS('Timesheet Raw'!$P$4:$P$8000,'Timesheet Raw'!$B$4:$B$8000,TRIM($A270),'Timesheet Raw'!$C$4:$C$8000,"*"&amp;$B270&amp;"*",'Timesheet Raw'!$L$4:$L$8000,"&gt;="&amp;T$5,'Timesheet Raw'!$L$4:$L$8000,"&lt;="&amp;T$6)))/'Profit Plan'!$B$5)</f>
        <v>0</v>
      </c>
      <c r="U270" s="122">
        <f>IF($A270="","",(IF(ISNUMBER(SEARCH("Proposal",$A270)),SUMIFS('Timesheet Raw'!$P$4:$P$8000,'Timesheet Raw'!$A$4:$A$8000,IF(ISNUMBER(SEARCH("Chargable",$A270)),"2-Proposals Chargeable","3-Proposals Regular"),'Timesheet Raw'!$C$4:$C$8000,"*"&amp;$B270&amp;"*",'Timesheet Raw'!$L$4:$L$8000,"&gt;="&amp;MAX(U$5,DATE(2000+VALUE(RIGHT(TRIM($A270),2)),1,1)),'Timesheet Raw'!$L$4:$L$8000,"&lt;="&amp;MIN(U$6,DATE(2000+VALUE(RIGHT(TRIM($A270),2)),12,31))),SUMIFS('Timesheet Raw'!$P$4:$P$8000,'Timesheet Raw'!$B$4:$B$8000,TRIM($A270),'Timesheet Raw'!$C$4:$C$8000,"*"&amp;$B270&amp;"*",'Timesheet Raw'!$L$4:$L$8000,"&gt;="&amp;U$5,'Timesheet Raw'!$L$4:$L$8000,"&lt;="&amp;U$6)))/'Profit Plan'!$B$5)</f>
        <v>0</v>
      </c>
      <c r="V270" s="122">
        <f>IF($A270="","",(IF(ISNUMBER(SEARCH("Proposal",$A270)),SUMIFS('Timesheet Raw'!$P$4:$P$8000,'Timesheet Raw'!$A$4:$A$8000,IF(ISNUMBER(SEARCH("Chargable",$A270)),"2-Proposals Chargeable","3-Proposals Regular"),'Timesheet Raw'!$C$4:$C$8000,"*"&amp;$B270&amp;"*",'Timesheet Raw'!$L$4:$L$8000,"&gt;="&amp;MAX(V$5,DATE(2000+VALUE(RIGHT(TRIM($A270),2)),1,1)),'Timesheet Raw'!$L$4:$L$8000,"&lt;="&amp;MIN(V$6,DATE(2000+VALUE(RIGHT(TRIM($A270),2)),12,31))),SUMIFS('Timesheet Raw'!$P$4:$P$8000,'Timesheet Raw'!$B$4:$B$8000,TRIM($A270),'Timesheet Raw'!$C$4:$C$8000,"*"&amp;$B270&amp;"*",'Timesheet Raw'!$L$4:$L$8000,"&gt;="&amp;V$5,'Timesheet Raw'!$L$4:$L$8000,"&lt;="&amp;V$6)))/'Profit Plan'!$B$5)</f>
        <v>0</v>
      </c>
      <c r="W270" s="122">
        <f>IF($A270="","",(IF(ISNUMBER(SEARCH("Proposal",$A270)),SUMIFS('Timesheet Raw'!$P$4:$P$8000,'Timesheet Raw'!$A$4:$A$8000,IF(ISNUMBER(SEARCH("Chargable",$A270)),"2-Proposals Chargeable","3-Proposals Regular"),'Timesheet Raw'!$C$4:$C$8000,"*"&amp;$B270&amp;"*",'Timesheet Raw'!$L$4:$L$8000,"&gt;="&amp;MAX(W$5,DATE(2000+VALUE(RIGHT(TRIM($A270),2)),1,1)),'Timesheet Raw'!$L$4:$L$8000,"&lt;="&amp;MIN(W$6,DATE(2000+VALUE(RIGHT(TRIM($A270),2)),12,31))),SUMIFS('Timesheet Raw'!$P$4:$P$8000,'Timesheet Raw'!$B$4:$B$8000,TRIM($A270),'Timesheet Raw'!$C$4:$C$8000,"*"&amp;$B270&amp;"*",'Timesheet Raw'!$L$4:$L$8000,"&gt;="&amp;W$5,'Timesheet Raw'!$L$4:$L$8000,"&lt;="&amp;W$6)))/'Profit Plan'!$B$5)</f>
        <v>0</v>
      </c>
      <c r="X270" s="122">
        <f>IF($A270="","",(IF(ISNUMBER(SEARCH("Proposal",$A270)),SUMIFS('Timesheet Raw'!$P$4:$P$8000,'Timesheet Raw'!$A$4:$A$8000,IF(ISNUMBER(SEARCH("Chargable",$A270)),"2-Proposals Chargeable","3-Proposals Regular"),'Timesheet Raw'!$C$4:$C$8000,"*"&amp;$B270&amp;"*",'Timesheet Raw'!$L$4:$L$8000,"&gt;="&amp;MAX(X$5,DATE(2000+VALUE(RIGHT(TRIM($A270),2)),1,1)),'Timesheet Raw'!$L$4:$L$8000,"&lt;="&amp;MIN(X$6,DATE(2000+VALUE(RIGHT(TRIM($A270),2)),12,31))),SUMIFS('Timesheet Raw'!$P$4:$P$8000,'Timesheet Raw'!$B$4:$B$8000,TRIM($A270),'Timesheet Raw'!$C$4:$C$8000,"*"&amp;$B270&amp;"*",'Timesheet Raw'!$L$4:$L$8000,"&gt;="&amp;X$5,'Timesheet Raw'!$L$4:$L$8000,"&lt;="&amp;X$6)))/'Profit Plan'!$B$5)</f>
        <v>0</v>
      </c>
      <c r="Y270" s="118">
        <f t="shared" si="100"/>
        <v>0</v>
      </c>
    </row>
    <row r="271" spans="1:25" x14ac:dyDescent="0.3">
      <c r="A271" s="116" t="str">
        <f>IF(Inputs!$A8="","",Inputs!$A8)</f>
        <v>N25185-0100D</v>
      </c>
      <c r="B271" s="116" t="str">
        <f>IF(Inputs!$A8="","",Inputs!$A$91)</f>
        <v>Ahmed</v>
      </c>
      <c r="C271" s="116"/>
      <c r="D271" s="122">
        <f>IF($A271="","",(IF(ISNUMBER(SEARCH("Proposal",$A271)),SUMIFS('Timesheet Raw'!$P$4:$P$8000,'Timesheet Raw'!$A$4:$A$8000,IF(ISNUMBER(SEARCH("Chargable",$A271)),"2-Proposals Chargeable","3-Proposals Regular"),'Timesheet Raw'!$C$4:$C$8000,"*"&amp;$B271&amp;"*",'Timesheet Raw'!$L$4:$L$8000,"&gt;="&amp;MAX(D$5,DATE(2000+VALUE(RIGHT(TRIM($A271),2)),1,1)),'Timesheet Raw'!$L$4:$L$8000,"&lt;="&amp;MIN(D$6,DATE(2000+VALUE(RIGHT(TRIM($A271),2)),12,31))),SUMIFS('Timesheet Raw'!$P$4:$P$8000,'Timesheet Raw'!$B$4:$B$8000,TRIM($A271),'Timesheet Raw'!$C$4:$C$8000,"*"&amp;$B271&amp;"*",'Timesheet Raw'!$L$4:$L$8000,"&gt;="&amp;D$5,'Timesheet Raw'!$L$4:$L$8000,"&lt;="&amp;D$6)))/'Profit Plan'!$B$5)</f>
        <v>0</v>
      </c>
      <c r="E271" s="122">
        <f>IF($A271="","",(IF(ISNUMBER(SEARCH("Proposal",$A271)),SUMIFS('Timesheet Raw'!$P$4:$P$8000,'Timesheet Raw'!$A$4:$A$8000,IF(ISNUMBER(SEARCH("Chargable",$A271)),"2-Proposals Chargeable","3-Proposals Regular"),'Timesheet Raw'!$C$4:$C$8000,"*"&amp;$B271&amp;"*",'Timesheet Raw'!$L$4:$L$8000,"&gt;="&amp;MAX(E$5,DATE(2000+VALUE(RIGHT(TRIM($A271),2)),1,1)),'Timesheet Raw'!$L$4:$L$8000,"&lt;="&amp;MIN(E$6,DATE(2000+VALUE(RIGHT(TRIM($A271),2)),12,31))),SUMIFS('Timesheet Raw'!$P$4:$P$8000,'Timesheet Raw'!$B$4:$B$8000,TRIM($A271),'Timesheet Raw'!$C$4:$C$8000,"*"&amp;$B271&amp;"*",'Timesheet Raw'!$L$4:$L$8000,"&gt;="&amp;E$5,'Timesheet Raw'!$L$4:$L$8000,"&lt;="&amp;E$6)))/'Profit Plan'!$B$5)</f>
        <v>0</v>
      </c>
      <c r="F271" s="122">
        <f>IF($A271="","",(IF(ISNUMBER(SEARCH("Proposal",$A271)),SUMIFS('Timesheet Raw'!$P$4:$P$8000,'Timesheet Raw'!$A$4:$A$8000,IF(ISNUMBER(SEARCH("Chargable",$A271)),"2-Proposals Chargeable","3-Proposals Regular"),'Timesheet Raw'!$C$4:$C$8000,"*"&amp;$B271&amp;"*",'Timesheet Raw'!$L$4:$L$8000,"&gt;="&amp;MAX(F$5,DATE(2000+VALUE(RIGHT(TRIM($A271),2)),1,1)),'Timesheet Raw'!$L$4:$L$8000,"&lt;="&amp;MIN(F$6,DATE(2000+VALUE(RIGHT(TRIM($A271),2)),12,31))),SUMIFS('Timesheet Raw'!$P$4:$P$8000,'Timesheet Raw'!$B$4:$B$8000,TRIM($A271),'Timesheet Raw'!$C$4:$C$8000,"*"&amp;$B271&amp;"*",'Timesheet Raw'!$L$4:$L$8000,"&gt;="&amp;F$5,'Timesheet Raw'!$L$4:$L$8000,"&lt;="&amp;F$6)))/'Profit Plan'!$B$5)</f>
        <v>0</v>
      </c>
      <c r="G271" s="122">
        <f>IF($A271="","",(IF(ISNUMBER(SEARCH("Proposal",$A271)),SUMIFS('Timesheet Raw'!$P$4:$P$8000,'Timesheet Raw'!$A$4:$A$8000,IF(ISNUMBER(SEARCH("Chargable",$A271)),"2-Proposals Chargeable","3-Proposals Regular"),'Timesheet Raw'!$C$4:$C$8000,"*"&amp;$B271&amp;"*",'Timesheet Raw'!$L$4:$L$8000,"&gt;="&amp;MAX(G$5,DATE(2000+VALUE(RIGHT(TRIM($A271),2)),1,1)),'Timesheet Raw'!$L$4:$L$8000,"&lt;="&amp;MIN(G$6,DATE(2000+VALUE(RIGHT(TRIM($A271),2)),12,31))),SUMIFS('Timesheet Raw'!$P$4:$P$8000,'Timesheet Raw'!$B$4:$B$8000,TRIM($A271),'Timesheet Raw'!$C$4:$C$8000,"*"&amp;$B271&amp;"*",'Timesheet Raw'!$L$4:$L$8000,"&gt;="&amp;G$5,'Timesheet Raw'!$L$4:$L$8000,"&lt;="&amp;G$6)))/'Profit Plan'!$B$5)</f>
        <v>0</v>
      </c>
      <c r="H271" s="122">
        <f>IF($A271="","",(IF(ISNUMBER(SEARCH("Proposal",$A271)),SUMIFS('Timesheet Raw'!$P$4:$P$8000,'Timesheet Raw'!$A$4:$A$8000,IF(ISNUMBER(SEARCH("Chargable",$A271)),"2-Proposals Chargeable","3-Proposals Regular"),'Timesheet Raw'!$C$4:$C$8000,"*"&amp;$B271&amp;"*",'Timesheet Raw'!$L$4:$L$8000,"&gt;="&amp;MAX(H$5,DATE(2000+VALUE(RIGHT(TRIM($A271),2)),1,1)),'Timesheet Raw'!$L$4:$L$8000,"&lt;="&amp;MIN(H$6,DATE(2000+VALUE(RIGHT(TRIM($A271),2)),12,31))),SUMIFS('Timesheet Raw'!$P$4:$P$8000,'Timesheet Raw'!$B$4:$B$8000,TRIM($A271),'Timesheet Raw'!$C$4:$C$8000,"*"&amp;$B271&amp;"*",'Timesheet Raw'!$L$4:$L$8000,"&gt;="&amp;H$5,'Timesheet Raw'!$L$4:$L$8000,"&lt;="&amp;H$6)))/'Profit Plan'!$B$5)</f>
        <v>0</v>
      </c>
      <c r="I271" s="122">
        <f>IF($A271="","",(IF(ISNUMBER(SEARCH("Proposal",$A271)),SUMIFS('Timesheet Raw'!$P$4:$P$8000,'Timesheet Raw'!$A$4:$A$8000,IF(ISNUMBER(SEARCH("Chargable",$A271)),"2-Proposals Chargeable","3-Proposals Regular"),'Timesheet Raw'!$C$4:$C$8000,"*"&amp;$B271&amp;"*",'Timesheet Raw'!$L$4:$L$8000,"&gt;="&amp;MAX(I$5,DATE(2000+VALUE(RIGHT(TRIM($A271),2)),1,1)),'Timesheet Raw'!$L$4:$L$8000,"&lt;="&amp;MIN(I$6,DATE(2000+VALUE(RIGHT(TRIM($A271),2)),12,31))),SUMIFS('Timesheet Raw'!$P$4:$P$8000,'Timesheet Raw'!$B$4:$B$8000,TRIM($A271),'Timesheet Raw'!$C$4:$C$8000,"*"&amp;$B271&amp;"*",'Timesheet Raw'!$L$4:$L$8000,"&gt;="&amp;I$5,'Timesheet Raw'!$L$4:$L$8000,"&lt;="&amp;I$6)))/'Profit Plan'!$B$5)</f>
        <v>0</v>
      </c>
      <c r="J271" s="122">
        <f>IF($A271="","",(IF(ISNUMBER(SEARCH("Proposal",$A271)),SUMIFS('Timesheet Raw'!$P$4:$P$8000,'Timesheet Raw'!$A$4:$A$8000,IF(ISNUMBER(SEARCH("Chargable",$A271)),"2-Proposals Chargeable","3-Proposals Regular"),'Timesheet Raw'!$C$4:$C$8000,"*"&amp;$B271&amp;"*",'Timesheet Raw'!$L$4:$L$8000,"&gt;="&amp;MAX(J$5,DATE(2000+VALUE(RIGHT(TRIM($A271),2)),1,1)),'Timesheet Raw'!$L$4:$L$8000,"&lt;="&amp;MIN(J$6,DATE(2000+VALUE(RIGHT(TRIM($A271),2)),12,31))),SUMIFS('Timesheet Raw'!$P$4:$P$8000,'Timesheet Raw'!$B$4:$B$8000,TRIM($A271),'Timesheet Raw'!$C$4:$C$8000,"*"&amp;$B271&amp;"*",'Timesheet Raw'!$L$4:$L$8000,"&gt;="&amp;J$5,'Timesheet Raw'!$L$4:$L$8000,"&lt;="&amp;J$6)))/'Profit Plan'!$B$5)</f>
        <v>0</v>
      </c>
      <c r="K271" s="122">
        <f>IF($A271="","",(IF(ISNUMBER(SEARCH("Proposal",$A271)),SUMIFS('Timesheet Raw'!$P$4:$P$8000,'Timesheet Raw'!$A$4:$A$8000,IF(ISNUMBER(SEARCH("Chargable",$A271)),"2-Proposals Chargeable","3-Proposals Regular"),'Timesheet Raw'!$C$4:$C$8000,"*"&amp;$B271&amp;"*",'Timesheet Raw'!$L$4:$L$8000,"&gt;="&amp;MAX(K$5,DATE(2000+VALUE(RIGHT(TRIM($A271),2)),1,1)),'Timesheet Raw'!$L$4:$L$8000,"&lt;="&amp;MIN(K$6,DATE(2000+VALUE(RIGHT(TRIM($A271),2)),12,31))),SUMIFS('Timesheet Raw'!$P$4:$P$8000,'Timesheet Raw'!$B$4:$B$8000,TRIM($A271),'Timesheet Raw'!$C$4:$C$8000,"*"&amp;$B271&amp;"*",'Timesheet Raw'!$L$4:$L$8000,"&gt;="&amp;K$5,'Timesheet Raw'!$L$4:$L$8000,"&lt;="&amp;K$6)))/'Profit Plan'!$B$5)</f>
        <v>0</v>
      </c>
      <c r="L271" s="122">
        <f>IF($A271="","",(IF(ISNUMBER(SEARCH("Proposal",$A271)),SUMIFS('Timesheet Raw'!$P$4:$P$8000,'Timesheet Raw'!$A$4:$A$8000,IF(ISNUMBER(SEARCH("Chargable",$A271)),"2-Proposals Chargeable","3-Proposals Regular"),'Timesheet Raw'!$C$4:$C$8000,"*"&amp;$B271&amp;"*",'Timesheet Raw'!$L$4:$L$8000,"&gt;="&amp;MAX(L$5,DATE(2000+VALUE(RIGHT(TRIM($A271),2)),1,1)),'Timesheet Raw'!$L$4:$L$8000,"&lt;="&amp;MIN(L$6,DATE(2000+VALUE(RIGHT(TRIM($A271),2)),12,31))),SUMIFS('Timesheet Raw'!$P$4:$P$8000,'Timesheet Raw'!$B$4:$B$8000,TRIM($A271),'Timesheet Raw'!$C$4:$C$8000,"*"&amp;$B271&amp;"*",'Timesheet Raw'!$L$4:$L$8000,"&gt;="&amp;L$5,'Timesheet Raw'!$L$4:$L$8000,"&lt;="&amp;L$6)))/'Profit Plan'!$B$5)</f>
        <v>1.6283783783783783</v>
      </c>
      <c r="M271" s="122">
        <f>IF($A271="","",(IF(ISNUMBER(SEARCH("Proposal",$A271)),SUMIFS('Timesheet Raw'!$P$4:$P$8000,'Timesheet Raw'!$A$4:$A$8000,IF(ISNUMBER(SEARCH("Chargable",$A271)),"2-Proposals Chargeable","3-Proposals Regular"),'Timesheet Raw'!$C$4:$C$8000,"*"&amp;$B271&amp;"*",'Timesheet Raw'!$L$4:$L$8000,"&gt;="&amp;MAX(M$5,DATE(2000+VALUE(RIGHT(TRIM($A271),2)),1,1)),'Timesheet Raw'!$L$4:$L$8000,"&lt;="&amp;MIN(M$6,DATE(2000+VALUE(RIGHT(TRIM($A271),2)),12,31))),SUMIFS('Timesheet Raw'!$P$4:$P$8000,'Timesheet Raw'!$B$4:$B$8000,TRIM($A271),'Timesheet Raw'!$C$4:$C$8000,"*"&amp;$B271&amp;"*",'Timesheet Raw'!$L$4:$L$8000,"&gt;="&amp;M$5,'Timesheet Raw'!$L$4:$L$8000,"&lt;="&amp;M$6)))/'Profit Plan'!$B$5)</f>
        <v>1.6837837837837837</v>
      </c>
      <c r="N271" s="122">
        <f>IF($A271="","",(IF(ISNUMBER(SEARCH("Proposal",$A271)),SUMIFS('Timesheet Raw'!$P$4:$P$8000,'Timesheet Raw'!$A$4:$A$8000,IF(ISNUMBER(SEARCH("Chargable",$A271)),"2-Proposals Chargeable","3-Proposals Regular"),'Timesheet Raw'!$C$4:$C$8000,"*"&amp;$B271&amp;"*",'Timesheet Raw'!$L$4:$L$8000,"&gt;="&amp;MAX(N$5,DATE(2000+VALUE(RIGHT(TRIM($A271),2)),1,1)),'Timesheet Raw'!$L$4:$L$8000,"&lt;="&amp;MIN(N$6,DATE(2000+VALUE(RIGHT(TRIM($A271),2)),12,31))),SUMIFS('Timesheet Raw'!$P$4:$P$8000,'Timesheet Raw'!$B$4:$B$8000,TRIM($A271),'Timesheet Raw'!$C$4:$C$8000,"*"&amp;$B271&amp;"*",'Timesheet Raw'!$L$4:$L$8000,"&gt;="&amp;N$5,'Timesheet Raw'!$L$4:$L$8000,"&lt;="&amp;N$6)))/'Profit Plan'!$B$5)</f>
        <v>2.7189189189189191</v>
      </c>
      <c r="O271" s="122">
        <f>IF($A271="","",(IF(ISNUMBER(SEARCH("Proposal",$A271)),SUMIFS('Timesheet Raw'!$P$4:$P$8000,'Timesheet Raw'!$A$4:$A$8000,IF(ISNUMBER(SEARCH("Chargable",$A271)),"2-Proposals Chargeable","3-Proposals Regular"),'Timesheet Raw'!$C$4:$C$8000,"*"&amp;$B271&amp;"*",'Timesheet Raw'!$L$4:$L$8000,"&gt;="&amp;MAX(O$5,DATE(2000+VALUE(RIGHT(TRIM($A271),2)),1,1)),'Timesheet Raw'!$L$4:$L$8000,"&lt;="&amp;MIN(O$6,DATE(2000+VALUE(RIGHT(TRIM($A271),2)),12,31))),SUMIFS('Timesheet Raw'!$P$4:$P$8000,'Timesheet Raw'!$B$4:$B$8000,TRIM($A271),'Timesheet Raw'!$C$4:$C$8000,"*"&amp;$B271&amp;"*",'Timesheet Raw'!$L$4:$L$8000,"&gt;="&amp;O$5,'Timesheet Raw'!$L$4:$L$8000,"&lt;="&amp;O$6)))/'Profit Plan'!$B$5)</f>
        <v>0.69729729729729728</v>
      </c>
      <c r="P271" s="122">
        <f>IF($A271="","",(IF(ISNUMBER(SEARCH("Proposal",$A271)),SUMIFS('Timesheet Raw'!$P$4:$P$8000,'Timesheet Raw'!$A$4:$A$8000,IF(ISNUMBER(SEARCH("Chargable",$A271)),"2-Proposals Chargeable","3-Proposals Regular"),'Timesheet Raw'!$C$4:$C$8000,"*"&amp;$B271&amp;"*",'Timesheet Raw'!$L$4:$L$8000,"&gt;="&amp;MAX(P$5,DATE(2000+VALUE(RIGHT(TRIM($A271),2)),1,1)),'Timesheet Raw'!$L$4:$L$8000,"&lt;="&amp;MIN(P$6,DATE(2000+VALUE(RIGHT(TRIM($A271),2)),12,31))),SUMIFS('Timesheet Raw'!$P$4:$P$8000,'Timesheet Raw'!$B$4:$B$8000,TRIM($A271),'Timesheet Raw'!$C$4:$C$8000,"*"&amp;$B271&amp;"*",'Timesheet Raw'!$L$4:$L$8000,"&gt;="&amp;P$5,'Timesheet Raw'!$L$4:$L$8000,"&lt;="&amp;P$6)))/'Profit Plan'!$B$5)</f>
        <v>0</v>
      </c>
      <c r="Q271" s="122">
        <f>IF($A271="","",(IF(ISNUMBER(SEARCH("Proposal",$A271)),SUMIFS('Timesheet Raw'!$P$4:$P$8000,'Timesheet Raw'!$A$4:$A$8000,IF(ISNUMBER(SEARCH("Chargable",$A271)),"2-Proposals Chargeable","3-Proposals Regular"),'Timesheet Raw'!$C$4:$C$8000,"*"&amp;$B271&amp;"*",'Timesheet Raw'!$L$4:$L$8000,"&gt;="&amp;MAX(Q$5,DATE(2000+VALUE(RIGHT(TRIM($A271),2)),1,1)),'Timesheet Raw'!$L$4:$L$8000,"&lt;="&amp;MIN(Q$6,DATE(2000+VALUE(RIGHT(TRIM($A271),2)),12,31))),SUMIFS('Timesheet Raw'!$P$4:$P$8000,'Timesheet Raw'!$B$4:$B$8000,TRIM($A271),'Timesheet Raw'!$C$4:$C$8000,"*"&amp;$B271&amp;"*",'Timesheet Raw'!$L$4:$L$8000,"&gt;="&amp;Q$5,'Timesheet Raw'!$L$4:$L$8000,"&lt;="&amp;Q$6)))/'Profit Plan'!$B$5)</f>
        <v>0</v>
      </c>
      <c r="R271" s="122">
        <f>IF($A271="","",(IF(ISNUMBER(SEARCH("Proposal",$A271)),SUMIFS('Timesheet Raw'!$P$4:$P$8000,'Timesheet Raw'!$A$4:$A$8000,IF(ISNUMBER(SEARCH("Chargable",$A271)),"2-Proposals Chargeable","3-Proposals Regular"),'Timesheet Raw'!$C$4:$C$8000,"*"&amp;$B271&amp;"*",'Timesheet Raw'!$L$4:$L$8000,"&gt;="&amp;MAX(R$5,DATE(2000+VALUE(RIGHT(TRIM($A271),2)),1,1)),'Timesheet Raw'!$L$4:$L$8000,"&lt;="&amp;MIN(R$6,DATE(2000+VALUE(RIGHT(TRIM($A271),2)),12,31))),SUMIFS('Timesheet Raw'!$P$4:$P$8000,'Timesheet Raw'!$B$4:$B$8000,TRIM($A271),'Timesheet Raw'!$C$4:$C$8000,"*"&amp;$B271&amp;"*",'Timesheet Raw'!$L$4:$L$8000,"&gt;="&amp;R$5,'Timesheet Raw'!$L$4:$L$8000,"&lt;="&amp;R$6)))/'Profit Plan'!$B$5)</f>
        <v>0</v>
      </c>
      <c r="S271" s="122">
        <f>IF($A271="","",(IF(ISNUMBER(SEARCH("Proposal",$A271)),SUMIFS('Timesheet Raw'!$P$4:$P$8000,'Timesheet Raw'!$A$4:$A$8000,IF(ISNUMBER(SEARCH("Chargable",$A271)),"2-Proposals Chargeable","3-Proposals Regular"),'Timesheet Raw'!$C$4:$C$8000,"*"&amp;$B271&amp;"*",'Timesheet Raw'!$L$4:$L$8000,"&gt;="&amp;MAX(S$5,DATE(2000+VALUE(RIGHT(TRIM($A271),2)),1,1)),'Timesheet Raw'!$L$4:$L$8000,"&lt;="&amp;MIN(S$6,DATE(2000+VALUE(RIGHT(TRIM($A271),2)),12,31))),SUMIFS('Timesheet Raw'!$P$4:$P$8000,'Timesheet Raw'!$B$4:$B$8000,TRIM($A271),'Timesheet Raw'!$C$4:$C$8000,"*"&amp;$B271&amp;"*",'Timesheet Raw'!$L$4:$L$8000,"&gt;="&amp;S$5,'Timesheet Raw'!$L$4:$L$8000,"&lt;="&amp;S$6)))/'Profit Plan'!$B$5)</f>
        <v>0</v>
      </c>
      <c r="T271" s="122">
        <f>IF($A271="","",(IF(ISNUMBER(SEARCH("Proposal",$A271)),SUMIFS('Timesheet Raw'!$P$4:$P$8000,'Timesheet Raw'!$A$4:$A$8000,IF(ISNUMBER(SEARCH("Chargable",$A271)),"2-Proposals Chargeable","3-Proposals Regular"),'Timesheet Raw'!$C$4:$C$8000,"*"&amp;$B271&amp;"*",'Timesheet Raw'!$L$4:$L$8000,"&gt;="&amp;MAX(T$5,DATE(2000+VALUE(RIGHT(TRIM($A271),2)),1,1)),'Timesheet Raw'!$L$4:$L$8000,"&lt;="&amp;MIN(T$6,DATE(2000+VALUE(RIGHT(TRIM($A271),2)),12,31))),SUMIFS('Timesheet Raw'!$P$4:$P$8000,'Timesheet Raw'!$B$4:$B$8000,TRIM($A271),'Timesheet Raw'!$C$4:$C$8000,"*"&amp;$B271&amp;"*",'Timesheet Raw'!$L$4:$L$8000,"&gt;="&amp;T$5,'Timesheet Raw'!$L$4:$L$8000,"&lt;="&amp;T$6)))/'Profit Plan'!$B$5)</f>
        <v>0</v>
      </c>
      <c r="U271" s="122">
        <f>IF($A271="","",(IF(ISNUMBER(SEARCH("Proposal",$A271)),SUMIFS('Timesheet Raw'!$P$4:$P$8000,'Timesheet Raw'!$A$4:$A$8000,IF(ISNUMBER(SEARCH("Chargable",$A271)),"2-Proposals Chargeable","3-Proposals Regular"),'Timesheet Raw'!$C$4:$C$8000,"*"&amp;$B271&amp;"*",'Timesheet Raw'!$L$4:$L$8000,"&gt;="&amp;MAX(U$5,DATE(2000+VALUE(RIGHT(TRIM($A271),2)),1,1)),'Timesheet Raw'!$L$4:$L$8000,"&lt;="&amp;MIN(U$6,DATE(2000+VALUE(RIGHT(TRIM($A271),2)),12,31))),SUMIFS('Timesheet Raw'!$P$4:$P$8000,'Timesheet Raw'!$B$4:$B$8000,TRIM($A271),'Timesheet Raw'!$C$4:$C$8000,"*"&amp;$B271&amp;"*",'Timesheet Raw'!$L$4:$L$8000,"&gt;="&amp;U$5,'Timesheet Raw'!$L$4:$L$8000,"&lt;="&amp;U$6)))/'Profit Plan'!$B$5)</f>
        <v>0</v>
      </c>
      <c r="V271" s="122">
        <f>IF($A271="","",(IF(ISNUMBER(SEARCH("Proposal",$A271)),SUMIFS('Timesheet Raw'!$P$4:$P$8000,'Timesheet Raw'!$A$4:$A$8000,IF(ISNUMBER(SEARCH("Chargable",$A271)),"2-Proposals Chargeable","3-Proposals Regular"),'Timesheet Raw'!$C$4:$C$8000,"*"&amp;$B271&amp;"*",'Timesheet Raw'!$L$4:$L$8000,"&gt;="&amp;MAX(V$5,DATE(2000+VALUE(RIGHT(TRIM($A271),2)),1,1)),'Timesheet Raw'!$L$4:$L$8000,"&lt;="&amp;MIN(V$6,DATE(2000+VALUE(RIGHT(TRIM($A271),2)),12,31))),SUMIFS('Timesheet Raw'!$P$4:$P$8000,'Timesheet Raw'!$B$4:$B$8000,TRIM($A271),'Timesheet Raw'!$C$4:$C$8000,"*"&amp;$B271&amp;"*",'Timesheet Raw'!$L$4:$L$8000,"&gt;="&amp;V$5,'Timesheet Raw'!$L$4:$L$8000,"&lt;="&amp;V$6)))/'Profit Plan'!$B$5)</f>
        <v>0</v>
      </c>
      <c r="W271" s="122">
        <f>IF($A271="","",(IF(ISNUMBER(SEARCH("Proposal",$A271)),SUMIFS('Timesheet Raw'!$P$4:$P$8000,'Timesheet Raw'!$A$4:$A$8000,IF(ISNUMBER(SEARCH("Chargable",$A271)),"2-Proposals Chargeable","3-Proposals Regular"),'Timesheet Raw'!$C$4:$C$8000,"*"&amp;$B271&amp;"*",'Timesheet Raw'!$L$4:$L$8000,"&gt;="&amp;MAX(W$5,DATE(2000+VALUE(RIGHT(TRIM($A271),2)),1,1)),'Timesheet Raw'!$L$4:$L$8000,"&lt;="&amp;MIN(W$6,DATE(2000+VALUE(RIGHT(TRIM($A271),2)),12,31))),SUMIFS('Timesheet Raw'!$P$4:$P$8000,'Timesheet Raw'!$B$4:$B$8000,TRIM($A271),'Timesheet Raw'!$C$4:$C$8000,"*"&amp;$B271&amp;"*",'Timesheet Raw'!$L$4:$L$8000,"&gt;="&amp;W$5,'Timesheet Raw'!$L$4:$L$8000,"&lt;="&amp;W$6)))/'Profit Plan'!$B$5)</f>
        <v>0</v>
      </c>
      <c r="X271" s="122">
        <f>IF($A271="","",(IF(ISNUMBER(SEARCH("Proposal",$A271)),SUMIFS('Timesheet Raw'!$P$4:$P$8000,'Timesheet Raw'!$A$4:$A$8000,IF(ISNUMBER(SEARCH("Chargable",$A271)),"2-Proposals Chargeable","3-Proposals Regular"),'Timesheet Raw'!$C$4:$C$8000,"*"&amp;$B271&amp;"*",'Timesheet Raw'!$L$4:$L$8000,"&gt;="&amp;MAX(X$5,DATE(2000+VALUE(RIGHT(TRIM($A271),2)),1,1)),'Timesheet Raw'!$L$4:$L$8000,"&lt;="&amp;MIN(X$6,DATE(2000+VALUE(RIGHT(TRIM($A271),2)),12,31))),SUMIFS('Timesheet Raw'!$P$4:$P$8000,'Timesheet Raw'!$B$4:$B$8000,TRIM($A271),'Timesheet Raw'!$C$4:$C$8000,"*"&amp;$B271&amp;"*",'Timesheet Raw'!$L$4:$L$8000,"&gt;="&amp;X$5,'Timesheet Raw'!$L$4:$L$8000,"&lt;="&amp;X$6)))/'Profit Plan'!$B$5)</f>
        <v>0</v>
      </c>
      <c r="Y271" s="118">
        <f t="shared" si="100"/>
        <v>6.7283783783783786</v>
      </c>
    </row>
    <row r="272" spans="1:25" x14ac:dyDescent="0.3">
      <c r="A272" s="116" t="str">
        <f>IF(Inputs!$A8="","",Inputs!$A8)</f>
        <v>N25185-0100D</v>
      </c>
      <c r="B272" s="116" t="str">
        <f>IF(Inputs!$A8="","",Inputs!$A$92)</f>
        <v>Osama</v>
      </c>
      <c r="C272" s="116"/>
      <c r="D272" s="122">
        <f>IF($A272="","",(IF(ISNUMBER(SEARCH("Proposal",$A272)),SUMIFS('Timesheet Raw'!$P$4:$P$8000,'Timesheet Raw'!$A$4:$A$8000,IF(ISNUMBER(SEARCH("Chargable",$A272)),"2-Proposals Chargeable","3-Proposals Regular"),'Timesheet Raw'!$C$4:$C$8000,"*"&amp;$B272&amp;"*",'Timesheet Raw'!$L$4:$L$8000,"&gt;="&amp;MAX(D$5,DATE(2000+VALUE(RIGHT(TRIM($A272),2)),1,1)),'Timesheet Raw'!$L$4:$L$8000,"&lt;="&amp;MIN(D$6,DATE(2000+VALUE(RIGHT(TRIM($A272),2)),12,31))),SUMIFS('Timesheet Raw'!$P$4:$P$8000,'Timesheet Raw'!$B$4:$B$8000,TRIM($A272),'Timesheet Raw'!$C$4:$C$8000,"*"&amp;$B272&amp;"*",'Timesheet Raw'!$L$4:$L$8000,"&gt;="&amp;D$5,'Timesheet Raw'!$L$4:$L$8000,"&lt;="&amp;D$6)))/'Profit Plan'!$B$5)</f>
        <v>0</v>
      </c>
      <c r="E272" s="122">
        <f>IF($A272="","",(IF(ISNUMBER(SEARCH("Proposal",$A272)),SUMIFS('Timesheet Raw'!$P$4:$P$8000,'Timesheet Raw'!$A$4:$A$8000,IF(ISNUMBER(SEARCH("Chargable",$A272)),"2-Proposals Chargeable","3-Proposals Regular"),'Timesheet Raw'!$C$4:$C$8000,"*"&amp;$B272&amp;"*",'Timesheet Raw'!$L$4:$L$8000,"&gt;="&amp;MAX(E$5,DATE(2000+VALUE(RIGHT(TRIM($A272),2)),1,1)),'Timesheet Raw'!$L$4:$L$8000,"&lt;="&amp;MIN(E$6,DATE(2000+VALUE(RIGHT(TRIM($A272),2)),12,31))),SUMIFS('Timesheet Raw'!$P$4:$P$8000,'Timesheet Raw'!$B$4:$B$8000,TRIM($A272),'Timesheet Raw'!$C$4:$C$8000,"*"&amp;$B272&amp;"*",'Timesheet Raw'!$L$4:$L$8000,"&gt;="&amp;E$5,'Timesheet Raw'!$L$4:$L$8000,"&lt;="&amp;E$6)))/'Profit Plan'!$B$5)</f>
        <v>0</v>
      </c>
      <c r="F272" s="122">
        <f>IF($A272="","",(IF(ISNUMBER(SEARCH("Proposal",$A272)),SUMIFS('Timesheet Raw'!$P$4:$P$8000,'Timesheet Raw'!$A$4:$A$8000,IF(ISNUMBER(SEARCH("Chargable",$A272)),"2-Proposals Chargeable","3-Proposals Regular"),'Timesheet Raw'!$C$4:$C$8000,"*"&amp;$B272&amp;"*",'Timesheet Raw'!$L$4:$L$8000,"&gt;="&amp;MAX(F$5,DATE(2000+VALUE(RIGHT(TRIM($A272),2)),1,1)),'Timesheet Raw'!$L$4:$L$8000,"&lt;="&amp;MIN(F$6,DATE(2000+VALUE(RIGHT(TRIM($A272),2)),12,31))),SUMIFS('Timesheet Raw'!$P$4:$P$8000,'Timesheet Raw'!$B$4:$B$8000,TRIM($A272),'Timesheet Raw'!$C$4:$C$8000,"*"&amp;$B272&amp;"*",'Timesheet Raw'!$L$4:$L$8000,"&gt;="&amp;F$5,'Timesheet Raw'!$L$4:$L$8000,"&lt;="&amp;F$6)))/'Profit Plan'!$B$5)</f>
        <v>0</v>
      </c>
      <c r="G272" s="122">
        <f>IF($A272="","",(IF(ISNUMBER(SEARCH("Proposal",$A272)),SUMIFS('Timesheet Raw'!$P$4:$P$8000,'Timesheet Raw'!$A$4:$A$8000,IF(ISNUMBER(SEARCH("Chargable",$A272)),"2-Proposals Chargeable","3-Proposals Regular"),'Timesheet Raw'!$C$4:$C$8000,"*"&amp;$B272&amp;"*",'Timesheet Raw'!$L$4:$L$8000,"&gt;="&amp;MAX(G$5,DATE(2000+VALUE(RIGHT(TRIM($A272),2)),1,1)),'Timesheet Raw'!$L$4:$L$8000,"&lt;="&amp;MIN(G$6,DATE(2000+VALUE(RIGHT(TRIM($A272),2)),12,31))),SUMIFS('Timesheet Raw'!$P$4:$P$8000,'Timesheet Raw'!$B$4:$B$8000,TRIM($A272),'Timesheet Raw'!$C$4:$C$8000,"*"&amp;$B272&amp;"*",'Timesheet Raw'!$L$4:$L$8000,"&gt;="&amp;G$5,'Timesheet Raw'!$L$4:$L$8000,"&lt;="&amp;G$6)))/'Profit Plan'!$B$5)</f>
        <v>0</v>
      </c>
      <c r="H272" s="122">
        <f>IF($A272="","",(IF(ISNUMBER(SEARCH("Proposal",$A272)),SUMIFS('Timesheet Raw'!$P$4:$P$8000,'Timesheet Raw'!$A$4:$A$8000,IF(ISNUMBER(SEARCH("Chargable",$A272)),"2-Proposals Chargeable","3-Proposals Regular"),'Timesheet Raw'!$C$4:$C$8000,"*"&amp;$B272&amp;"*",'Timesheet Raw'!$L$4:$L$8000,"&gt;="&amp;MAX(H$5,DATE(2000+VALUE(RIGHT(TRIM($A272),2)),1,1)),'Timesheet Raw'!$L$4:$L$8000,"&lt;="&amp;MIN(H$6,DATE(2000+VALUE(RIGHT(TRIM($A272),2)),12,31))),SUMIFS('Timesheet Raw'!$P$4:$P$8000,'Timesheet Raw'!$B$4:$B$8000,TRIM($A272),'Timesheet Raw'!$C$4:$C$8000,"*"&amp;$B272&amp;"*",'Timesheet Raw'!$L$4:$L$8000,"&gt;="&amp;H$5,'Timesheet Raw'!$L$4:$L$8000,"&lt;="&amp;H$6)))/'Profit Plan'!$B$5)</f>
        <v>0</v>
      </c>
      <c r="I272" s="122">
        <f>IF($A272="","",(IF(ISNUMBER(SEARCH("Proposal",$A272)),SUMIFS('Timesheet Raw'!$P$4:$P$8000,'Timesheet Raw'!$A$4:$A$8000,IF(ISNUMBER(SEARCH("Chargable",$A272)),"2-Proposals Chargeable","3-Proposals Regular"),'Timesheet Raw'!$C$4:$C$8000,"*"&amp;$B272&amp;"*",'Timesheet Raw'!$L$4:$L$8000,"&gt;="&amp;MAX(I$5,DATE(2000+VALUE(RIGHT(TRIM($A272),2)),1,1)),'Timesheet Raw'!$L$4:$L$8000,"&lt;="&amp;MIN(I$6,DATE(2000+VALUE(RIGHT(TRIM($A272),2)),12,31))),SUMIFS('Timesheet Raw'!$P$4:$P$8000,'Timesheet Raw'!$B$4:$B$8000,TRIM($A272),'Timesheet Raw'!$C$4:$C$8000,"*"&amp;$B272&amp;"*",'Timesheet Raw'!$L$4:$L$8000,"&gt;="&amp;I$5,'Timesheet Raw'!$L$4:$L$8000,"&lt;="&amp;I$6)))/'Profit Plan'!$B$5)</f>
        <v>0</v>
      </c>
      <c r="J272" s="122">
        <f>IF($A272="","",(IF(ISNUMBER(SEARCH("Proposal",$A272)),SUMIFS('Timesheet Raw'!$P$4:$P$8000,'Timesheet Raw'!$A$4:$A$8000,IF(ISNUMBER(SEARCH("Chargable",$A272)),"2-Proposals Chargeable","3-Proposals Regular"),'Timesheet Raw'!$C$4:$C$8000,"*"&amp;$B272&amp;"*",'Timesheet Raw'!$L$4:$L$8000,"&gt;="&amp;MAX(J$5,DATE(2000+VALUE(RIGHT(TRIM($A272),2)),1,1)),'Timesheet Raw'!$L$4:$L$8000,"&lt;="&amp;MIN(J$6,DATE(2000+VALUE(RIGHT(TRIM($A272),2)),12,31))),SUMIFS('Timesheet Raw'!$P$4:$P$8000,'Timesheet Raw'!$B$4:$B$8000,TRIM($A272),'Timesheet Raw'!$C$4:$C$8000,"*"&amp;$B272&amp;"*",'Timesheet Raw'!$L$4:$L$8000,"&gt;="&amp;J$5,'Timesheet Raw'!$L$4:$L$8000,"&lt;="&amp;J$6)))/'Profit Plan'!$B$5)</f>
        <v>0</v>
      </c>
      <c r="K272" s="122">
        <f>IF($A272="","",(IF(ISNUMBER(SEARCH("Proposal",$A272)),SUMIFS('Timesheet Raw'!$P$4:$P$8000,'Timesheet Raw'!$A$4:$A$8000,IF(ISNUMBER(SEARCH("Chargable",$A272)),"2-Proposals Chargeable","3-Proposals Regular"),'Timesheet Raw'!$C$4:$C$8000,"*"&amp;$B272&amp;"*",'Timesheet Raw'!$L$4:$L$8000,"&gt;="&amp;MAX(K$5,DATE(2000+VALUE(RIGHT(TRIM($A272),2)),1,1)),'Timesheet Raw'!$L$4:$L$8000,"&lt;="&amp;MIN(K$6,DATE(2000+VALUE(RIGHT(TRIM($A272),2)),12,31))),SUMIFS('Timesheet Raw'!$P$4:$P$8000,'Timesheet Raw'!$B$4:$B$8000,TRIM($A272),'Timesheet Raw'!$C$4:$C$8000,"*"&amp;$B272&amp;"*",'Timesheet Raw'!$L$4:$L$8000,"&gt;="&amp;K$5,'Timesheet Raw'!$L$4:$L$8000,"&lt;="&amp;K$6)))/'Profit Plan'!$B$5)</f>
        <v>0</v>
      </c>
      <c r="L272" s="122">
        <f>IF($A272="","",(IF(ISNUMBER(SEARCH("Proposal",$A272)),SUMIFS('Timesheet Raw'!$P$4:$P$8000,'Timesheet Raw'!$A$4:$A$8000,IF(ISNUMBER(SEARCH("Chargable",$A272)),"2-Proposals Chargeable","3-Proposals Regular"),'Timesheet Raw'!$C$4:$C$8000,"*"&amp;$B272&amp;"*",'Timesheet Raw'!$L$4:$L$8000,"&gt;="&amp;MAX(L$5,DATE(2000+VALUE(RIGHT(TRIM($A272),2)),1,1)),'Timesheet Raw'!$L$4:$L$8000,"&lt;="&amp;MIN(L$6,DATE(2000+VALUE(RIGHT(TRIM($A272),2)),12,31))),SUMIFS('Timesheet Raw'!$P$4:$P$8000,'Timesheet Raw'!$B$4:$B$8000,TRIM($A272),'Timesheet Raw'!$C$4:$C$8000,"*"&amp;$B272&amp;"*",'Timesheet Raw'!$L$4:$L$8000,"&gt;="&amp;L$5,'Timesheet Raw'!$L$4:$L$8000,"&lt;="&amp;L$6)))/'Profit Plan'!$B$5)</f>
        <v>2.654054054054054</v>
      </c>
      <c r="M272" s="122">
        <f>IF($A272="","",(IF(ISNUMBER(SEARCH("Proposal",$A272)),SUMIFS('Timesheet Raw'!$P$4:$P$8000,'Timesheet Raw'!$A$4:$A$8000,IF(ISNUMBER(SEARCH("Chargable",$A272)),"2-Proposals Chargeable","3-Proposals Regular"),'Timesheet Raw'!$C$4:$C$8000,"*"&amp;$B272&amp;"*",'Timesheet Raw'!$L$4:$L$8000,"&gt;="&amp;MAX(M$5,DATE(2000+VALUE(RIGHT(TRIM($A272),2)),1,1)),'Timesheet Raw'!$L$4:$L$8000,"&lt;="&amp;MIN(M$6,DATE(2000+VALUE(RIGHT(TRIM($A272),2)),12,31))),SUMIFS('Timesheet Raw'!$P$4:$P$8000,'Timesheet Raw'!$B$4:$B$8000,TRIM($A272),'Timesheet Raw'!$C$4:$C$8000,"*"&amp;$B272&amp;"*",'Timesheet Raw'!$L$4:$L$8000,"&gt;="&amp;M$5,'Timesheet Raw'!$L$4:$L$8000,"&lt;="&amp;M$6)))/'Profit Plan'!$B$5)</f>
        <v>1.8094594594594595</v>
      </c>
      <c r="N272" s="122">
        <f>IF($A272="","",(IF(ISNUMBER(SEARCH("Proposal",$A272)),SUMIFS('Timesheet Raw'!$P$4:$P$8000,'Timesheet Raw'!$A$4:$A$8000,IF(ISNUMBER(SEARCH("Chargable",$A272)),"2-Proposals Chargeable","3-Proposals Regular"),'Timesheet Raw'!$C$4:$C$8000,"*"&amp;$B272&amp;"*",'Timesheet Raw'!$L$4:$L$8000,"&gt;="&amp;MAX(N$5,DATE(2000+VALUE(RIGHT(TRIM($A272),2)),1,1)),'Timesheet Raw'!$L$4:$L$8000,"&lt;="&amp;MIN(N$6,DATE(2000+VALUE(RIGHT(TRIM($A272),2)),12,31))),SUMIFS('Timesheet Raw'!$P$4:$P$8000,'Timesheet Raw'!$B$4:$B$8000,TRIM($A272),'Timesheet Raw'!$C$4:$C$8000,"*"&amp;$B272&amp;"*",'Timesheet Raw'!$L$4:$L$8000,"&gt;="&amp;N$5,'Timesheet Raw'!$L$4:$L$8000,"&lt;="&amp;N$6)))/'Profit Plan'!$B$5)</f>
        <v>2.5162162162162161</v>
      </c>
      <c r="O272" s="122">
        <f>IF($A272="","",(IF(ISNUMBER(SEARCH("Proposal",$A272)),SUMIFS('Timesheet Raw'!$P$4:$P$8000,'Timesheet Raw'!$A$4:$A$8000,IF(ISNUMBER(SEARCH("Chargable",$A272)),"2-Proposals Chargeable","3-Proposals Regular"),'Timesheet Raw'!$C$4:$C$8000,"*"&amp;$B272&amp;"*",'Timesheet Raw'!$L$4:$L$8000,"&gt;="&amp;MAX(O$5,DATE(2000+VALUE(RIGHT(TRIM($A272),2)),1,1)),'Timesheet Raw'!$L$4:$L$8000,"&lt;="&amp;MIN(O$6,DATE(2000+VALUE(RIGHT(TRIM($A272),2)),12,31))),SUMIFS('Timesheet Raw'!$P$4:$P$8000,'Timesheet Raw'!$B$4:$B$8000,TRIM($A272),'Timesheet Raw'!$C$4:$C$8000,"*"&amp;$B272&amp;"*",'Timesheet Raw'!$L$4:$L$8000,"&gt;="&amp;O$5,'Timesheet Raw'!$L$4:$L$8000,"&lt;="&amp;O$6)))/'Profit Plan'!$B$5)</f>
        <v>1.0932432432432433</v>
      </c>
      <c r="P272" s="122">
        <f>IF($A272="","",(IF(ISNUMBER(SEARCH("Proposal",$A272)),SUMIFS('Timesheet Raw'!$P$4:$P$8000,'Timesheet Raw'!$A$4:$A$8000,IF(ISNUMBER(SEARCH("Chargable",$A272)),"2-Proposals Chargeable","3-Proposals Regular"),'Timesheet Raw'!$C$4:$C$8000,"*"&amp;$B272&amp;"*",'Timesheet Raw'!$L$4:$L$8000,"&gt;="&amp;MAX(P$5,DATE(2000+VALUE(RIGHT(TRIM($A272),2)),1,1)),'Timesheet Raw'!$L$4:$L$8000,"&lt;="&amp;MIN(P$6,DATE(2000+VALUE(RIGHT(TRIM($A272),2)),12,31))),SUMIFS('Timesheet Raw'!$P$4:$P$8000,'Timesheet Raw'!$B$4:$B$8000,TRIM($A272),'Timesheet Raw'!$C$4:$C$8000,"*"&amp;$B272&amp;"*",'Timesheet Raw'!$L$4:$L$8000,"&gt;="&amp;P$5,'Timesheet Raw'!$L$4:$L$8000,"&lt;="&amp;P$6)))/'Profit Plan'!$B$5)</f>
        <v>0</v>
      </c>
      <c r="Q272" s="122">
        <f>IF($A272="","",(IF(ISNUMBER(SEARCH("Proposal",$A272)),SUMIFS('Timesheet Raw'!$P$4:$P$8000,'Timesheet Raw'!$A$4:$A$8000,IF(ISNUMBER(SEARCH("Chargable",$A272)),"2-Proposals Chargeable","3-Proposals Regular"),'Timesheet Raw'!$C$4:$C$8000,"*"&amp;$B272&amp;"*",'Timesheet Raw'!$L$4:$L$8000,"&gt;="&amp;MAX(Q$5,DATE(2000+VALUE(RIGHT(TRIM($A272),2)),1,1)),'Timesheet Raw'!$L$4:$L$8000,"&lt;="&amp;MIN(Q$6,DATE(2000+VALUE(RIGHT(TRIM($A272),2)),12,31))),SUMIFS('Timesheet Raw'!$P$4:$P$8000,'Timesheet Raw'!$B$4:$B$8000,TRIM($A272),'Timesheet Raw'!$C$4:$C$8000,"*"&amp;$B272&amp;"*",'Timesheet Raw'!$L$4:$L$8000,"&gt;="&amp;Q$5,'Timesheet Raw'!$L$4:$L$8000,"&lt;="&amp;Q$6)))/'Profit Plan'!$B$5)</f>
        <v>0</v>
      </c>
      <c r="R272" s="122">
        <f>IF($A272="","",(IF(ISNUMBER(SEARCH("Proposal",$A272)),SUMIFS('Timesheet Raw'!$P$4:$P$8000,'Timesheet Raw'!$A$4:$A$8000,IF(ISNUMBER(SEARCH("Chargable",$A272)),"2-Proposals Chargeable","3-Proposals Regular"),'Timesheet Raw'!$C$4:$C$8000,"*"&amp;$B272&amp;"*",'Timesheet Raw'!$L$4:$L$8000,"&gt;="&amp;MAX(R$5,DATE(2000+VALUE(RIGHT(TRIM($A272),2)),1,1)),'Timesheet Raw'!$L$4:$L$8000,"&lt;="&amp;MIN(R$6,DATE(2000+VALUE(RIGHT(TRIM($A272),2)),12,31))),SUMIFS('Timesheet Raw'!$P$4:$P$8000,'Timesheet Raw'!$B$4:$B$8000,TRIM($A272),'Timesheet Raw'!$C$4:$C$8000,"*"&amp;$B272&amp;"*",'Timesheet Raw'!$L$4:$L$8000,"&gt;="&amp;R$5,'Timesheet Raw'!$L$4:$L$8000,"&lt;="&amp;R$6)))/'Profit Plan'!$B$5)</f>
        <v>0</v>
      </c>
      <c r="S272" s="122">
        <f>IF($A272="","",(IF(ISNUMBER(SEARCH("Proposal",$A272)),SUMIFS('Timesheet Raw'!$P$4:$P$8000,'Timesheet Raw'!$A$4:$A$8000,IF(ISNUMBER(SEARCH("Chargable",$A272)),"2-Proposals Chargeable","3-Proposals Regular"),'Timesheet Raw'!$C$4:$C$8000,"*"&amp;$B272&amp;"*",'Timesheet Raw'!$L$4:$L$8000,"&gt;="&amp;MAX(S$5,DATE(2000+VALUE(RIGHT(TRIM($A272),2)),1,1)),'Timesheet Raw'!$L$4:$L$8000,"&lt;="&amp;MIN(S$6,DATE(2000+VALUE(RIGHT(TRIM($A272),2)),12,31))),SUMIFS('Timesheet Raw'!$P$4:$P$8000,'Timesheet Raw'!$B$4:$B$8000,TRIM($A272),'Timesheet Raw'!$C$4:$C$8000,"*"&amp;$B272&amp;"*",'Timesheet Raw'!$L$4:$L$8000,"&gt;="&amp;S$5,'Timesheet Raw'!$L$4:$L$8000,"&lt;="&amp;S$6)))/'Profit Plan'!$B$5)</f>
        <v>0</v>
      </c>
      <c r="T272" s="122">
        <f>IF($A272="","",(IF(ISNUMBER(SEARCH("Proposal",$A272)),SUMIFS('Timesheet Raw'!$P$4:$P$8000,'Timesheet Raw'!$A$4:$A$8000,IF(ISNUMBER(SEARCH("Chargable",$A272)),"2-Proposals Chargeable","3-Proposals Regular"),'Timesheet Raw'!$C$4:$C$8000,"*"&amp;$B272&amp;"*",'Timesheet Raw'!$L$4:$L$8000,"&gt;="&amp;MAX(T$5,DATE(2000+VALUE(RIGHT(TRIM($A272),2)),1,1)),'Timesheet Raw'!$L$4:$L$8000,"&lt;="&amp;MIN(T$6,DATE(2000+VALUE(RIGHT(TRIM($A272),2)),12,31))),SUMIFS('Timesheet Raw'!$P$4:$P$8000,'Timesheet Raw'!$B$4:$B$8000,TRIM($A272),'Timesheet Raw'!$C$4:$C$8000,"*"&amp;$B272&amp;"*",'Timesheet Raw'!$L$4:$L$8000,"&gt;="&amp;T$5,'Timesheet Raw'!$L$4:$L$8000,"&lt;="&amp;T$6)))/'Profit Plan'!$B$5)</f>
        <v>0</v>
      </c>
      <c r="U272" s="122">
        <f>IF($A272="","",(IF(ISNUMBER(SEARCH("Proposal",$A272)),SUMIFS('Timesheet Raw'!$P$4:$P$8000,'Timesheet Raw'!$A$4:$A$8000,IF(ISNUMBER(SEARCH("Chargable",$A272)),"2-Proposals Chargeable","3-Proposals Regular"),'Timesheet Raw'!$C$4:$C$8000,"*"&amp;$B272&amp;"*",'Timesheet Raw'!$L$4:$L$8000,"&gt;="&amp;MAX(U$5,DATE(2000+VALUE(RIGHT(TRIM($A272),2)),1,1)),'Timesheet Raw'!$L$4:$L$8000,"&lt;="&amp;MIN(U$6,DATE(2000+VALUE(RIGHT(TRIM($A272),2)),12,31))),SUMIFS('Timesheet Raw'!$P$4:$P$8000,'Timesheet Raw'!$B$4:$B$8000,TRIM($A272),'Timesheet Raw'!$C$4:$C$8000,"*"&amp;$B272&amp;"*",'Timesheet Raw'!$L$4:$L$8000,"&gt;="&amp;U$5,'Timesheet Raw'!$L$4:$L$8000,"&lt;="&amp;U$6)))/'Profit Plan'!$B$5)</f>
        <v>0</v>
      </c>
      <c r="V272" s="122">
        <f>IF($A272="","",(IF(ISNUMBER(SEARCH("Proposal",$A272)),SUMIFS('Timesheet Raw'!$P$4:$P$8000,'Timesheet Raw'!$A$4:$A$8000,IF(ISNUMBER(SEARCH("Chargable",$A272)),"2-Proposals Chargeable","3-Proposals Regular"),'Timesheet Raw'!$C$4:$C$8000,"*"&amp;$B272&amp;"*",'Timesheet Raw'!$L$4:$L$8000,"&gt;="&amp;MAX(V$5,DATE(2000+VALUE(RIGHT(TRIM($A272),2)),1,1)),'Timesheet Raw'!$L$4:$L$8000,"&lt;="&amp;MIN(V$6,DATE(2000+VALUE(RIGHT(TRIM($A272),2)),12,31))),SUMIFS('Timesheet Raw'!$P$4:$P$8000,'Timesheet Raw'!$B$4:$B$8000,TRIM($A272),'Timesheet Raw'!$C$4:$C$8000,"*"&amp;$B272&amp;"*",'Timesheet Raw'!$L$4:$L$8000,"&gt;="&amp;V$5,'Timesheet Raw'!$L$4:$L$8000,"&lt;="&amp;V$6)))/'Profit Plan'!$B$5)</f>
        <v>0</v>
      </c>
      <c r="W272" s="122">
        <f>IF($A272="","",(IF(ISNUMBER(SEARCH("Proposal",$A272)),SUMIFS('Timesheet Raw'!$P$4:$P$8000,'Timesheet Raw'!$A$4:$A$8000,IF(ISNUMBER(SEARCH("Chargable",$A272)),"2-Proposals Chargeable","3-Proposals Regular"),'Timesheet Raw'!$C$4:$C$8000,"*"&amp;$B272&amp;"*",'Timesheet Raw'!$L$4:$L$8000,"&gt;="&amp;MAX(W$5,DATE(2000+VALUE(RIGHT(TRIM($A272),2)),1,1)),'Timesheet Raw'!$L$4:$L$8000,"&lt;="&amp;MIN(W$6,DATE(2000+VALUE(RIGHT(TRIM($A272),2)),12,31))),SUMIFS('Timesheet Raw'!$P$4:$P$8000,'Timesheet Raw'!$B$4:$B$8000,TRIM($A272),'Timesheet Raw'!$C$4:$C$8000,"*"&amp;$B272&amp;"*",'Timesheet Raw'!$L$4:$L$8000,"&gt;="&amp;W$5,'Timesheet Raw'!$L$4:$L$8000,"&lt;="&amp;W$6)))/'Profit Plan'!$B$5)</f>
        <v>0</v>
      </c>
      <c r="X272" s="122">
        <f>IF($A272="","",(IF(ISNUMBER(SEARCH("Proposal",$A272)),SUMIFS('Timesheet Raw'!$P$4:$P$8000,'Timesheet Raw'!$A$4:$A$8000,IF(ISNUMBER(SEARCH("Chargable",$A272)),"2-Proposals Chargeable","3-Proposals Regular"),'Timesheet Raw'!$C$4:$C$8000,"*"&amp;$B272&amp;"*",'Timesheet Raw'!$L$4:$L$8000,"&gt;="&amp;MAX(X$5,DATE(2000+VALUE(RIGHT(TRIM($A272),2)),1,1)),'Timesheet Raw'!$L$4:$L$8000,"&lt;="&amp;MIN(X$6,DATE(2000+VALUE(RIGHT(TRIM($A272),2)),12,31))),SUMIFS('Timesheet Raw'!$P$4:$P$8000,'Timesheet Raw'!$B$4:$B$8000,TRIM($A272),'Timesheet Raw'!$C$4:$C$8000,"*"&amp;$B272&amp;"*",'Timesheet Raw'!$L$4:$L$8000,"&gt;="&amp;X$5,'Timesheet Raw'!$L$4:$L$8000,"&lt;="&amp;X$6)))/'Profit Plan'!$B$5)</f>
        <v>0</v>
      </c>
      <c r="Y272" s="118">
        <f t="shared" si="100"/>
        <v>8.0729729729729733</v>
      </c>
    </row>
    <row r="273" spans="1:25" x14ac:dyDescent="0.3">
      <c r="A273" s="116" t="str">
        <f>IF(Inputs!$A8="","",Inputs!$A8)</f>
        <v>N25185-0100D</v>
      </c>
      <c r="B273" s="116" t="str">
        <f>IF(Inputs!$A8="","",Inputs!$A$93)</f>
        <v>Kirolos</v>
      </c>
      <c r="C273" s="116"/>
      <c r="D273" s="122">
        <f>IF($A273="","",(IF(ISNUMBER(SEARCH("Proposal",$A273)),SUMIFS('Timesheet Raw'!$P$4:$P$8000,'Timesheet Raw'!$A$4:$A$8000,IF(ISNUMBER(SEARCH("Chargable",$A273)),"2-Proposals Chargeable","3-Proposals Regular"),'Timesheet Raw'!$C$4:$C$8000,"*"&amp;$B273&amp;"*",'Timesheet Raw'!$L$4:$L$8000,"&gt;="&amp;MAX(D$5,DATE(2000+VALUE(RIGHT(TRIM($A273),2)),1,1)),'Timesheet Raw'!$L$4:$L$8000,"&lt;="&amp;MIN(D$6,DATE(2000+VALUE(RIGHT(TRIM($A273),2)),12,31))),SUMIFS('Timesheet Raw'!$P$4:$P$8000,'Timesheet Raw'!$B$4:$B$8000,TRIM($A273),'Timesheet Raw'!$C$4:$C$8000,"*"&amp;$B273&amp;"*",'Timesheet Raw'!$L$4:$L$8000,"&gt;="&amp;D$5,'Timesheet Raw'!$L$4:$L$8000,"&lt;="&amp;D$6)))/'Profit Plan'!$B$5)</f>
        <v>0</v>
      </c>
      <c r="E273" s="122">
        <f>IF($A273="","",(IF(ISNUMBER(SEARCH("Proposal",$A273)),SUMIFS('Timesheet Raw'!$P$4:$P$8000,'Timesheet Raw'!$A$4:$A$8000,IF(ISNUMBER(SEARCH("Chargable",$A273)),"2-Proposals Chargeable","3-Proposals Regular"),'Timesheet Raw'!$C$4:$C$8000,"*"&amp;$B273&amp;"*",'Timesheet Raw'!$L$4:$L$8000,"&gt;="&amp;MAX(E$5,DATE(2000+VALUE(RIGHT(TRIM($A273),2)),1,1)),'Timesheet Raw'!$L$4:$L$8000,"&lt;="&amp;MIN(E$6,DATE(2000+VALUE(RIGHT(TRIM($A273),2)),12,31))),SUMIFS('Timesheet Raw'!$P$4:$P$8000,'Timesheet Raw'!$B$4:$B$8000,TRIM($A273),'Timesheet Raw'!$C$4:$C$8000,"*"&amp;$B273&amp;"*",'Timesheet Raw'!$L$4:$L$8000,"&gt;="&amp;E$5,'Timesheet Raw'!$L$4:$L$8000,"&lt;="&amp;E$6)))/'Profit Plan'!$B$5)</f>
        <v>0</v>
      </c>
      <c r="F273" s="122">
        <f>IF($A273="","",(IF(ISNUMBER(SEARCH("Proposal",$A273)),SUMIFS('Timesheet Raw'!$P$4:$P$8000,'Timesheet Raw'!$A$4:$A$8000,IF(ISNUMBER(SEARCH("Chargable",$A273)),"2-Proposals Chargeable","3-Proposals Regular"),'Timesheet Raw'!$C$4:$C$8000,"*"&amp;$B273&amp;"*",'Timesheet Raw'!$L$4:$L$8000,"&gt;="&amp;MAX(F$5,DATE(2000+VALUE(RIGHT(TRIM($A273),2)),1,1)),'Timesheet Raw'!$L$4:$L$8000,"&lt;="&amp;MIN(F$6,DATE(2000+VALUE(RIGHT(TRIM($A273),2)),12,31))),SUMIFS('Timesheet Raw'!$P$4:$P$8000,'Timesheet Raw'!$B$4:$B$8000,TRIM($A273),'Timesheet Raw'!$C$4:$C$8000,"*"&amp;$B273&amp;"*",'Timesheet Raw'!$L$4:$L$8000,"&gt;="&amp;F$5,'Timesheet Raw'!$L$4:$L$8000,"&lt;="&amp;F$6)))/'Profit Plan'!$B$5)</f>
        <v>0</v>
      </c>
      <c r="G273" s="122">
        <f>IF($A273="","",(IF(ISNUMBER(SEARCH("Proposal",$A273)),SUMIFS('Timesheet Raw'!$P$4:$P$8000,'Timesheet Raw'!$A$4:$A$8000,IF(ISNUMBER(SEARCH("Chargable",$A273)),"2-Proposals Chargeable","3-Proposals Regular"),'Timesheet Raw'!$C$4:$C$8000,"*"&amp;$B273&amp;"*",'Timesheet Raw'!$L$4:$L$8000,"&gt;="&amp;MAX(G$5,DATE(2000+VALUE(RIGHT(TRIM($A273),2)),1,1)),'Timesheet Raw'!$L$4:$L$8000,"&lt;="&amp;MIN(G$6,DATE(2000+VALUE(RIGHT(TRIM($A273),2)),12,31))),SUMIFS('Timesheet Raw'!$P$4:$P$8000,'Timesheet Raw'!$B$4:$B$8000,TRIM($A273),'Timesheet Raw'!$C$4:$C$8000,"*"&amp;$B273&amp;"*",'Timesheet Raw'!$L$4:$L$8000,"&gt;="&amp;G$5,'Timesheet Raw'!$L$4:$L$8000,"&lt;="&amp;G$6)))/'Profit Plan'!$B$5)</f>
        <v>0</v>
      </c>
      <c r="H273" s="122">
        <f>IF($A273="","",(IF(ISNUMBER(SEARCH("Proposal",$A273)),SUMIFS('Timesheet Raw'!$P$4:$P$8000,'Timesheet Raw'!$A$4:$A$8000,IF(ISNUMBER(SEARCH("Chargable",$A273)),"2-Proposals Chargeable","3-Proposals Regular"),'Timesheet Raw'!$C$4:$C$8000,"*"&amp;$B273&amp;"*",'Timesheet Raw'!$L$4:$L$8000,"&gt;="&amp;MAX(H$5,DATE(2000+VALUE(RIGHT(TRIM($A273),2)),1,1)),'Timesheet Raw'!$L$4:$L$8000,"&lt;="&amp;MIN(H$6,DATE(2000+VALUE(RIGHT(TRIM($A273),2)),12,31))),SUMIFS('Timesheet Raw'!$P$4:$P$8000,'Timesheet Raw'!$B$4:$B$8000,TRIM($A273),'Timesheet Raw'!$C$4:$C$8000,"*"&amp;$B273&amp;"*",'Timesheet Raw'!$L$4:$L$8000,"&gt;="&amp;H$5,'Timesheet Raw'!$L$4:$L$8000,"&lt;="&amp;H$6)))/'Profit Plan'!$B$5)</f>
        <v>0</v>
      </c>
      <c r="I273" s="122">
        <f>IF($A273="","",(IF(ISNUMBER(SEARCH("Proposal",$A273)),SUMIFS('Timesheet Raw'!$P$4:$P$8000,'Timesheet Raw'!$A$4:$A$8000,IF(ISNUMBER(SEARCH("Chargable",$A273)),"2-Proposals Chargeable","3-Proposals Regular"),'Timesheet Raw'!$C$4:$C$8000,"*"&amp;$B273&amp;"*",'Timesheet Raw'!$L$4:$L$8000,"&gt;="&amp;MAX(I$5,DATE(2000+VALUE(RIGHT(TRIM($A273),2)),1,1)),'Timesheet Raw'!$L$4:$L$8000,"&lt;="&amp;MIN(I$6,DATE(2000+VALUE(RIGHT(TRIM($A273),2)),12,31))),SUMIFS('Timesheet Raw'!$P$4:$P$8000,'Timesheet Raw'!$B$4:$B$8000,TRIM($A273),'Timesheet Raw'!$C$4:$C$8000,"*"&amp;$B273&amp;"*",'Timesheet Raw'!$L$4:$L$8000,"&gt;="&amp;I$5,'Timesheet Raw'!$L$4:$L$8000,"&lt;="&amp;I$6)))/'Profit Plan'!$B$5)</f>
        <v>0</v>
      </c>
      <c r="J273" s="122">
        <f>IF($A273="","",(IF(ISNUMBER(SEARCH("Proposal",$A273)),SUMIFS('Timesheet Raw'!$P$4:$P$8000,'Timesheet Raw'!$A$4:$A$8000,IF(ISNUMBER(SEARCH("Chargable",$A273)),"2-Proposals Chargeable","3-Proposals Regular"),'Timesheet Raw'!$C$4:$C$8000,"*"&amp;$B273&amp;"*",'Timesheet Raw'!$L$4:$L$8000,"&gt;="&amp;MAX(J$5,DATE(2000+VALUE(RIGHT(TRIM($A273),2)),1,1)),'Timesheet Raw'!$L$4:$L$8000,"&lt;="&amp;MIN(J$6,DATE(2000+VALUE(RIGHT(TRIM($A273),2)),12,31))),SUMIFS('Timesheet Raw'!$P$4:$P$8000,'Timesheet Raw'!$B$4:$B$8000,TRIM($A273),'Timesheet Raw'!$C$4:$C$8000,"*"&amp;$B273&amp;"*",'Timesheet Raw'!$L$4:$L$8000,"&gt;="&amp;J$5,'Timesheet Raw'!$L$4:$L$8000,"&lt;="&amp;J$6)))/'Profit Plan'!$B$5)</f>
        <v>0</v>
      </c>
      <c r="K273" s="122">
        <f>IF($A273="","",(IF(ISNUMBER(SEARCH("Proposal",$A273)),SUMIFS('Timesheet Raw'!$P$4:$P$8000,'Timesheet Raw'!$A$4:$A$8000,IF(ISNUMBER(SEARCH("Chargable",$A273)),"2-Proposals Chargeable","3-Proposals Regular"),'Timesheet Raw'!$C$4:$C$8000,"*"&amp;$B273&amp;"*",'Timesheet Raw'!$L$4:$L$8000,"&gt;="&amp;MAX(K$5,DATE(2000+VALUE(RIGHT(TRIM($A273),2)),1,1)),'Timesheet Raw'!$L$4:$L$8000,"&lt;="&amp;MIN(K$6,DATE(2000+VALUE(RIGHT(TRIM($A273),2)),12,31))),SUMIFS('Timesheet Raw'!$P$4:$P$8000,'Timesheet Raw'!$B$4:$B$8000,TRIM($A273),'Timesheet Raw'!$C$4:$C$8000,"*"&amp;$B273&amp;"*",'Timesheet Raw'!$L$4:$L$8000,"&gt;="&amp;K$5,'Timesheet Raw'!$L$4:$L$8000,"&lt;="&amp;K$6)))/'Profit Plan'!$B$5)</f>
        <v>0</v>
      </c>
      <c r="L273" s="122">
        <f>IF($A273="","",(IF(ISNUMBER(SEARCH("Proposal",$A273)),SUMIFS('Timesheet Raw'!$P$4:$P$8000,'Timesheet Raw'!$A$4:$A$8000,IF(ISNUMBER(SEARCH("Chargable",$A273)),"2-Proposals Chargeable","3-Proposals Regular"),'Timesheet Raw'!$C$4:$C$8000,"*"&amp;$B273&amp;"*",'Timesheet Raw'!$L$4:$L$8000,"&gt;="&amp;MAX(L$5,DATE(2000+VALUE(RIGHT(TRIM($A273),2)),1,1)),'Timesheet Raw'!$L$4:$L$8000,"&lt;="&amp;MIN(L$6,DATE(2000+VALUE(RIGHT(TRIM($A273),2)),12,31))),SUMIFS('Timesheet Raw'!$P$4:$P$8000,'Timesheet Raw'!$B$4:$B$8000,TRIM($A273),'Timesheet Raw'!$C$4:$C$8000,"*"&amp;$B273&amp;"*",'Timesheet Raw'!$L$4:$L$8000,"&gt;="&amp;L$5,'Timesheet Raw'!$L$4:$L$8000,"&lt;="&amp;L$6)))/'Profit Plan'!$B$5)</f>
        <v>0.71621621621621623</v>
      </c>
      <c r="M273" s="122">
        <f>IF($A273="","",(IF(ISNUMBER(SEARCH("Proposal",$A273)),SUMIFS('Timesheet Raw'!$P$4:$P$8000,'Timesheet Raw'!$A$4:$A$8000,IF(ISNUMBER(SEARCH("Chargable",$A273)),"2-Proposals Chargeable","3-Proposals Regular"),'Timesheet Raw'!$C$4:$C$8000,"*"&amp;$B273&amp;"*",'Timesheet Raw'!$L$4:$L$8000,"&gt;="&amp;MAX(M$5,DATE(2000+VALUE(RIGHT(TRIM($A273),2)),1,1)),'Timesheet Raw'!$L$4:$L$8000,"&lt;="&amp;MIN(M$6,DATE(2000+VALUE(RIGHT(TRIM($A273),2)),12,31))),SUMIFS('Timesheet Raw'!$P$4:$P$8000,'Timesheet Raw'!$B$4:$B$8000,TRIM($A273),'Timesheet Raw'!$C$4:$C$8000,"*"&amp;$B273&amp;"*",'Timesheet Raw'!$L$4:$L$8000,"&gt;="&amp;M$5,'Timesheet Raw'!$L$4:$L$8000,"&lt;="&amp;M$6)))/'Profit Plan'!$B$5)</f>
        <v>0.79729729729729726</v>
      </c>
      <c r="N273" s="122">
        <f>IF($A273="","",(IF(ISNUMBER(SEARCH("Proposal",$A273)),SUMIFS('Timesheet Raw'!$P$4:$P$8000,'Timesheet Raw'!$A$4:$A$8000,IF(ISNUMBER(SEARCH("Chargable",$A273)),"2-Proposals Chargeable","3-Proposals Regular"),'Timesheet Raw'!$C$4:$C$8000,"*"&amp;$B273&amp;"*",'Timesheet Raw'!$L$4:$L$8000,"&gt;="&amp;MAX(N$5,DATE(2000+VALUE(RIGHT(TRIM($A273),2)),1,1)),'Timesheet Raw'!$L$4:$L$8000,"&lt;="&amp;MIN(N$6,DATE(2000+VALUE(RIGHT(TRIM($A273),2)),12,31))),SUMIFS('Timesheet Raw'!$P$4:$P$8000,'Timesheet Raw'!$B$4:$B$8000,TRIM($A273),'Timesheet Raw'!$C$4:$C$8000,"*"&amp;$B273&amp;"*",'Timesheet Raw'!$L$4:$L$8000,"&gt;="&amp;N$5,'Timesheet Raw'!$L$4:$L$8000,"&lt;="&amp;N$6)))/'Profit Plan'!$B$5)</f>
        <v>0.9932432432432432</v>
      </c>
      <c r="O273" s="122">
        <f>IF($A273="","",(IF(ISNUMBER(SEARCH("Proposal",$A273)),SUMIFS('Timesheet Raw'!$P$4:$P$8000,'Timesheet Raw'!$A$4:$A$8000,IF(ISNUMBER(SEARCH("Chargable",$A273)),"2-Proposals Chargeable","3-Proposals Regular"),'Timesheet Raw'!$C$4:$C$8000,"*"&amp;$B273&amp;"*",'Timesheet Raw'!$L$4:$L$8000,"&gt;="&amp;MAX(O$5,DATE(2000+VALUE(RIGHT(TRIM($A273),2)),1,1)),'Timesheet Raw'!$L$4:$L$8000,"&lt;="&amp;MIN(O$6,DATE(2000+VALUE(RIGHT(TRIM($A273),2)),12,31))),SUMIFS('Timesheet Raw'!$P$4:$P$8000,'Timesheet Raw'!$B$4:$B$8000,TRIM($A273),'Timesheet Raw'!$C$4:$C$8000,"*"&amp;$B273&amp;"*",'Timesheet Raw'!$L$4:$L$8000,"&gt;="&amp;O$5,'Timesheet Raw'!$L$4:$L$8000,"&lt;="&amp;O$6)))/'Profit Plan'!$B$5)</f>
        <v>1.2081081081081082</v>
      </c>
      <c r="P273" s="122">
        <f>IF($A273="","",(IF(ISNUMBER(SEARCH("Proposal",$A273)),SUMIFS('Timesheet Raw'!$P$4:$P$8000,'Timesheet Raw'!$A$4:$A$8000,IF(ISNUMBER(SEARCH("Chargable",$A273)),"2-Proposals Chargeable","3-Proposals Regular"),'Timesheet Raw'!$C$4:$C$8000,"*"&amp;$B273&amp;"*",'Timesheet Raw'!$L$4:$L$8000,"&gt;="&amp;MAX(P$5,DATE(2000+VALUE(RIGHT(TRIM($A273),2)),1,1)),'Timesheet Raw'!$L$4:$L$8000,"&lt;="&amp;MIN(P$6,DATE(2000+VALUE(RIGHT(TRIM($A273),2)),12,31))),SUMIFS('Timesheet Raw'!$P$4:$P$8000,'Timesheet Raw'!$B$4:$B$8000,TRIM($A273),'Timesheet Raw'!$C$4:$C$8000,"*"&amp;$B273&amp;"*",'Timesheet Raw'!$L$4:$L$8000,"&gt;="&amp;P$5,'Timesheet Raw'!$L$4:$L$8000,"&lt;="&amp;P$6)))/'Profit Plan'!$B$5)</f>
        <v>0</v>
      </c>
      <c r="Q273" s="122">
        <f>IF($A273="","",(IF(ISNUMBER(SEARCH("Proposal",$A273)),SUMIFS('Timesheet Raw'!$P$4:$P$8000,'Timesheet Raw'!$A$4:$A$8000,IF(ISNUMBER(SEARCH("Chargable",$A273)),"2-Proposals Chargeable","3-Proposals Regular"),'Timesheet Raw'!$C$4:$C$8000,"*"&amp;$B273&amp;"*",'Timesheet Raw'!$L$4:$L$8000,"&gt;="&amp;MAX(Q$5,DATE(2000+VALUE(RIGHT(TRIM($A273),2)),1,1)),'Timesheet Raw'!$L$4:$L$8000,"&lt;="&amp;MIN(Q$6,DATE(2000+VALUE(RIGHT(TRIM($A273),2)),12,31))),SUMIFS('Timesheet Raw'!$P$4:$P$8000,'Timesheet Raw'!$B$4:$B$8000,TRIM($A273),'Timesheet Raw'!$C$4:$C$8000,"*"&amp;$B273&amp;"*",'Timesheet Raw'!$L$4:$L$8000,"&gt;="&amp;Q$5,'Timesheet Raw'!$L$4:$L$8000,"&lt;="&amp;Q$6)))/'Profit Plan'!$B$5)</f>
        <v>0</v>
      </c>
      <c r="R273" s="122">
        <f>IF($A273="","",(IF(ISNUMBER(SEARCH("Proposal",$A273)),SUMIFS('Timesheet Raw'!$P$4:$P$8000,'Timesheet Raw'!$A$4:$A$8000,IF(ISNUMBER(SEARCH("Chargable",$A273)),"2-Proposals Chargeable","3-Proposals Regular"),'Timesheet Raw'!$C$4:$C$8000,"*"&amp;$B273&amp;"*",'Timesheet Raw'!$L$4:$L$8000,"&gt;="&amp;MAX(R$5,DATE(2000+VALUE(RIGHT(TRIM($A273),2)),1,1)),'Timesheet Raw'!$L$4:$L$8000,"&lt;="&amp;MIN(R$6,DATE(2000+VALUE(RIGHT(TRIM($A273),2)),12,31))),SUMIFS('Timesheet Raw'!$P$4:$P$8000,'Timesheet Raw'!$B$4:$B$8000,TRIM($A273),'Timesheet Raw'!$C$4:$C$8000,"*"&amp;$B273&amp;"*",'Timesheet Raw'!$L$4:$L$8000,"&gt;="&amp;R$5,'Timesheet Raw'!$L$4:$L$8000,"&lt;="&amp;R$6)))/'Profit Plan'!$B$5)</f>
        <v>0</v>
      </c>
      <c r="S273" s="122">
        <f>IF($A273="","",(IF(ISNUMBER(SEARCH("Proposal",$A273)),SUMIFS('Timesheet Raw'!$P$4:$P$8000,'Timesheet Raw'!$A$4:$A$8000,IF(ISNUMBER(SEARCH("Chargable",$A273)),"2-Proposals Chargeable","3-Proposals Regular"),'Timesheet Raw'!$C$4:$C$8000,"*"&amp;$B273&amp;"*",'Timesheet Raw'!$L$4:$L$8000,"&gt;="&amp;MAX(S$5,DATE(2000+VALUE(RIGHT(TRIM($A273),2)),1,1)),'Timesheet Raw'!$L$4:$L$8000,"&lt;="&amp;MIN(S$6,DATE(2000+VALUE(RIGHT(TRIM($A273),2)),12,31))),SUMIFS('Timesheet Raw'!$P$4:$P$8000,'Timesheet Raw'!$B$4:$B$8000,TRIM($A273),'Timesheet Raw'!$C$4:$C$8000,"*"&amp;$B273&amp;"*",'Timesheet Raw'!$L$4:$L$8000,"&gt;="&amp;S$5,'Timesheet Raw'!$L$4:$L$8000,"&lt;="&amp;S$6)))/'Profit Plan'!$B$5)</f>
        <v>0</v>
      </c>
      <c r="T273" s="122">
        <f>IF($A273="","",(IF(ISNUMBER(SEARCH("Proposal",$A273)),SUMIFS('Timesheet Raw'!$P$4:$P$8000,'Timesheet Raw'!$A$4:$A$8000,IF(ISNUMBER(SEARCH("Chargable",$A273)),"2-Proposals Chargeable","3-Proposals Regular"),'Timesheet Raw'!$C$4:$C$8000,"*"&amp;$B273&amp;"*",'Timesheet Raw'!$L$4:$L$8000,"&gt;="&amp;MAX(T$5,DATE(2000+VALUE(RIGHT(TRIM($A273),2)),1,1)),'Timesheet Raw'!$L$4:$L$8000,"&lt;="&amp;MIN(T$6,DATE(2000+VALUE(RIGHT(TRIM($A273),2)),12,31))),SUMIFS('Timesheet Raw'!$P$4:$P$8000,'Timesheet Raw'!$B$4:$B$8000,TRIM($A273),'Timesheet Raw'!$C$4:$C$8000,"*"&amp;$B273&amp;"*",'Timesheet Raw'!$L$4:$L$8000,"&gt;="&amp;T$5,'Timesheet Raw'!$L$4:$L$8000,"&lt;="&amp;T$6)))/'Profit Plan'!$B$5)</f>
        <v>0</v>
      </c>
      <c r="U273" s="122">
        <f>IF($A273="","",(IF(ISNUMBER(SEARCH("Proposal",$A273)),SUMIFS('Timesheet Raw'!$P$4:$P$8000,'Timesheet Raw'!$A$4:$A$8000,IF(ISNUMBER(SEARCH("Chargable",$A273)),"2-Proposals Chargeable","3-Proposals Regular"),'Timesheet Raw'!$C$4:$C$8000,"*"&amp;$B273&amp;"*",'Timesheet Raw'!$L$4:$L$8000,"&gt;="&amp;MAX(U$5,DATE(2000+VALUE(RIGHT(TRIM($A273),2)),1,1)),'Timesheet Raw'!$L$4:$L$8000,"&lt;="&amp;MIN(U$6,DATE(2000+VALUE(RIGHT(TRIM($A273),2)),12,31))),SUMIFS('Timesheet Raw'!$P$4:$P$8000,'Timesheet Raw'!$B$4:$B$8000,TRIM($A273),'Timesheet Raw'!$C$4:$C$8000,"*"&amp;$B273&amp;"*",'Timesheet Raw'!$L$4:$L$8000,"&gt;="&amp;U$5,'Timesheet Raw'!$L$4:$L$8000,"&lt;="&amp;U$6)))/'Profit Plan'!$B$5)</f>
        <v>0</v>
      </c>
      <c r="V273" s="122">
        <f>IF($A273="","",(IF(ISNUMBER(SEARCH("Proposal",$A273)),SUMIFS('Timesheet Raw'!$P$4:$P$8000,'Timesheet Raw'!$A$4:$A$8000,IF(ISNUMBER(SEARCH("Chargable",$A273)),"2-Proposals Chargeable","3-Proposals Regular"),'Timesheet Raw'!$C$4:$C$8000,"*"&amp;$B273&amp;"*",'Timesheet Raw'!$L$4:$L$8000,"&gt;="&amp;MAX(V$5,DATE(2000+VALUE(RIGHT(TRIM($A273),2)),1,1)),'Timesheet Raw'!$L$4:$L$8000,"&lt;="&amp;MIN(V$6,DATE(2000+VALUE(RIGHT(TRIM($A273),2)),12,31))),SUMIFS('Timesheet Raw'!$P$4:$P$8000,'Timesheet Raw'!$B$4:$B$8000,TRIM($A273),'Timesheet Raw'!$C$4:$C$8000,"*"&amp;$B273&amp;"*",'Timesheet Raw'!$L$4:$L$8000,"&gt;="&amp;V$5,'Timesheet Raw'!$L$4:$L$8000,"&lt;="&amp;V$6)))/'Profit Plan'!$B$5)</f>
        <v>0</v>
      </c>
      <c r="W273" s="122">
        <f>IF($A273="","",(IF(ISNUMBER(SEARCH("Proposal",$A273)),SUMIFS('Timesheet Raw'!$P$4:$P$8000,'Timesheet Raw'!$A$4:$A$8000,IF(ISNUMBER(SEARCH("Chargable",$A273)),"2-Proposals Chargeable","3-Proposals Regular"),'Timesheet Raw'!$C$4:$C$8000,"*"&amp;$B273&amp;"*",'Timesheet Raw'!$L$4:$L$8000,"&gt;="&amp;MAX(W$5,DATE(2000+VALUE(RIGHT(TRIM($A273),2)),1,1)),'Timesheet Raw'!$L$4:$L$8000,"&lt;="&amp;MIN(W$6,DATE(2000+VALUE(RIGHT(TRIM($A273),2)),12,31))),SUMIFS('Timesheet Raw'!$P$4:$P$8000,'Timesheet Raw'!$B$4:$B$8000,TRIM($A273),'Timesheet Raw'!$C$4:$C$8000,"*"&amp;$B273&amp;"*",'Timesheet Raw'!$L$4:$L$8000,"&gt;="&amp;W$5,'Timesheet Raw'!$L$4:$L$8000,"&lt;="&amp;W$6)))/'Profit Plan'!$B$5)</f>
        <v>0</v>
      </c>
      <c r="X273" s="122">
        <f>IF($A273="","",(IF(ISNUMBER(SEARCH("Proposal",$A273)),SUMIFS('Timesheet Raw'!$P$4:$P$8000,'Timesheet Raw'!$A$4:$A$8000,IF(ISNUMBER(SEARCH("Chargable",$A273)),"2-Proposals Chargeable","3-Proposals Regular"),'Timesheet Raw'!$C$4:$C$8000,"*"&amp;$B273&amp;"*",'Timesheet Raw'!$L$4:$L$8000,"&gt;="&amp;MAX(X$5,DATE(2000+VALUE(RIGHT(TRIM($A273),2)),1,1)),'Timesheet Raw'!$L$4:$L$8000,"&lt;="&amp;MIN(X$6,DATE(2000+VALUE(RIGHT(TRIM($A273),2)),12,31))),SUMIFS('Timesheet Raw'!$P$4:$P$8000,'Timesheet Raw'!$B$4:$B$8000,TRIM($A273),'Timesheet Raw'!$C$4:$C$8000,"*"&amp;$B273&amp;"*",'Timesheet Raw'!$L$4:$L$8000,"&gt;="&amp;X$5,'Timesheet Raw'!$L$4:$L$8000,"&lt;="&amp;X$6)))/'Profit Plan'!$B$5)</f>
        <v>0</v>
      </c>
      <c r="Y273" s="118">
        <f t="shared" si="100"/>
        <v>3.7148648648648654</v>
      </c>
    </row>
    <row r="274" spans="1:25" x14ac:dyDescent="0.3">
      <c r="A274" s="116" t="str">
        <f>IF(Inputs!$A9="","",Inputs!$A9)</f>
        <v>AN22137-0100D</v>
      </c>
      <c r="B274" s="116" t="str">
        <f>IF(Inputs!$A9="","",Inputs!$A$91)</f>
        <v>Ahmed</v>
      </c>
      <c r="C274" s="116"/>
      <c r="D274" s="122">
        <f>IF($A274="","",(IF(ISNUMBER(SEARCH("Proposal",$A274)),SUMIFS('Timesheet Raw'!$P$4:$P$8000,'Timesheet Raw'!$A$4:$A$8000,IF(ISNUMBER(SEARCH("Chargable",$A274)),"2-Proposals Chargeable","3-Proposals Regular"),'Timesheet Raw'!$C$4:$C$8000,"*"&amp;$B274&amp;"*",'Timesheet Raw'!$L$4:$L$8000,"&gt;="&amp;MAX(D$5,DATE(2000+VALUE(RIGHT(TRIM($A274),2)),1,1)),'Timesheet Raw'!$L$4:$L$8000,"&lt;="&amp;MIN(D$6,DATE(2000+VALUE(RIGHT(TRIM($A274),2)),12,31))),SUMIFS('Timesheet Raw'!$P$4:$P$8000,'Timesheet Raw'!$B$4:$B$8000,TRIM($A274),'Timesheet Raw'!$C$4:$C$8000,"*"&amp;$B274&amp;"*",'Timesheet Raw'!$L$4:$L$8000,"&gt;="&amp;D$5,'Timesheet Raw'!$L$4:$L$8000,"&lt;="&amp;D$6)))/'Profit Plan'!$B$5)</f>
        <v>0</v>
      </c>
      <c r="E274" s="122">
        <f>IF($A274="","",(IF(ISNUMBER(SEARCH("Proposal",$A274)),SUMIFS('Timesheet Raw'!$P$4:$P$8000,'Timesheet Raw'!$A$4:$A$8000,IF(ISNUMBER(SEARCH("Chargable",$A274)),"2-Proposals Chargeable","3-Proposals Regular"),'Timesheet Raw'!$C$4:$C$8000,"*"&amp;$B274&amp;"*",'Timesheet Raw'!$L$4:$L$8000,"&gt;="&amp;MAX(E$5,DATE(2000+VALUE(RIGHT(TRIM($A274),2)),1,1)),'Timesheet Raw'!$L$4:$L$8000,"&lt;="&amp;MIN(E$6,DATE(2000+VALUE(RIGHT(TRIM($A274),2)),12,31))),SUMIFS('Timesheet Raw'!$P$4:$P$8000,'Timesheet Raw'!$B$4:$B$8000,TRIM($A274),'Timesheet Raw'!$C$4:$C$8000,"*"&amp;$B274&amp;"*",'Timesheet Raw'!$L$4:$L$8000,"&gt;="&amp;E$5,'Timesheet Raw'!$L$4:$L$8000,"&lt;="&amp;E$6)))/'Profit Plan'!$B$5)</f>
        <v>0</v>
      </c>
      <c r="F274" s="122">
        <f>IF($A274="","",(IF(ISNUMBER(SEARCH("Proposal",$A274)),SUMIFS('Timesheet Raw'!$P$4:$P$8000,'Timesheet Raw'!$A$4:$A$8000,IF(ISNUMBER(SEARCH("Chargable",$A274)),"2-Proposals Chargeable","3-Proposals Regular"),'Timesheet Raw'!$C$4:$C$8000,"*"&amp;$B274&amp;"*",'Timesheet Raw'!$L$4:$L$8000,"&gt;="&amp;MAX(F$5,DATE(2000+VALUE(RIGHT(TRIM($A274),2)),1,1)),'Timesheet Raw'!$L$4:$L$8000,"&lt;="&amp;MIN(F$6,DATE(2000+VALUE(RIGHT(TRIM($A274),2)),12,31))),SUMIFS('Timesheet Raw'!$P$4:$P$8000,'Timesheet Raw'!$B$4:$B$8000,TRIM($A274),'Timesheet Raw'!$C$4:$C$8000,"*"&amp;$B274&amp;"*",'Timesheet Raw'!$L$4:$L$8000,"&gt;="&amp;F$5,'Timesheet Raw'!$L$4:$L$8000,"&lt;="&amp;F$6)))/'Profit Plan'!$B$5)</f>
        <v>0.17162162162162162</v>
      </c>
      <c r="G274" s="122">
        <f>IF($A274="","",(IF(ISNUMBER(SEARCH("Proposal",$A274)),SUMIFS('Timesheet Raw'!$P$4:$P$8000,'Timesheet Raw'!$A$4:$A$8000,IF(ISNUMBER(SEARCH("Chargable",$A274)),"2-Proposals Chargeable","3-Proposals Regular"),'Timesheet Raw'!$C$4:$C$8000,"*"&amp;$B274&amp;"*",'Timesheet Raw'!$L$4:$L$8000,"&gt;="&amp;MAX(G$5,DATE(2000+VALUE(RIGHT(TRIM($A274),2)),1,1)),'Timesheet Raw'!$L$4:$L$8000,"&lt;="&amp;MIN(G$6,DATE(2000+VALUE(RIGHT(TRIM($A274),2)),12,31))),SUMIFS('Timesheet Raw'!$P$4:$P$8000,'Timesheet Raw'!$B$4:$B$8000,TRIM($A274),'Timesheet Raw'!$C$4:$C$8000,"*"&amp;$B274&amp;"*",'Timesheet Raw'!$L$4:$L$8000,"&gt;="&amp;G$5,'Timesheet Raw'!$L$4:$L$8000,"&lt;="&amp;G$6)))/'Profit Plan'!$B$5)</f>
        <v>0.50945945945945947</v>
      </c>
      <c r="H274" s="122">
        <f>IF($A274="","",(IF(ISNUMBER(SEARCH("Proposal",$A274)),SUMIFS('Timesheet Raw'!$P$4:$P$8000,'Timesheet Raw'!$A$4:$A$8000,IF(ISNUMBER(SEARCH("Chargable",$A274)),"2-Proposals Chargeable","3-Proposals Regular"),'Timesheet Raw'!$C$4:$C$8000,"*"&amp;$B274&amp;"*",'Timesheet Raw'!$L$4:$L$8000,"&gt;="&amp;MAX(H$5,DATE(2000+VALUE(RIGHT(TRIM($A274),2)),1,1)),'Timesheet Raw'!$L$4:$L$8000,"&lt;="&amp;MIN(H$6,DATE(2000+VALUE(RIGHT(TRIM($A274),2)),12,31))),SUMIFS('Timesheet Raw'!$P$4:$P$8000,'Timesheet Raw'!$B$4:$B$8000,TRIM($A274),'Timesheet Raw'!$C$4:$C$8000,"*"&amp;$B274&amp;"*",'Timesheet Raw'!$L$4:$L$8000,"&gt;="&amp;H$5,'Timesheet Raw'!$L$4:$L$8000,"&lt;="&amp;H$6)))/'Profit Plan'!$B$5)</f>
        <v>0</v>
      </c>
      <c r="I274" s="122">
        <f>IF($A274="","",(IF(ISNUMBER(SEARCH("Proposal",$A274)),SUMIFS('Timesheet Raw'!$P$4:$P$8000,'Timesheet Raw'!$A$4:$A$8000,IF(ISNUMBER(SEARCH("Chargable",$A274)),"2-Proposals Chargeable","3-Proposals Regular"),'Timesheet Raw'!$C$4:$C$8000,"*"&amp;$B274&amp;"*",'Timesheet Raw'!$L$4:$L$8000,"&gt;="&amp;MAX(I$5,DATE(2000+VALUE(RIGHT(TRIM($A274),2)),1,1)),'Timesheet Raw'!$L$4:$L$8000,"&lt;="&amp;MIN(I$6,DATE(2000+VALUE(RIGHT(TRIM($A274),2)),12,31))),SUMIFS('Timesheet Raw'!$P$4:$P$8000,'Timesheet Raw'!$B$4:$B$8000,TRIM($A274),'Timesheet Raw'!$C$4:$C$8000,"*"&amp;$B274&amp;"*",'Timesheet Raw'!$L$4:$L$8000,"&gt;="&amp;I$5,'Timesheet Raw'!$L$4:$L$8000,"&lt;="&amp;I$6)))/'Profit Plan'!$B$5)</f>
        <v>0</v>
      </c>
      <c r="J274" s="122">
        <f>IF($A274="","",(IF(ISNUMBER(SEARCH("Proposal",$A274)),SUMIFS('Timesheet Raw'!$P$4:$P$8000,'Timesheet Raw'!$A$4:$A$8000,IF(ISNUMBER(SEARCH("Chargable",$A274)),"2-Proposals Chargeable","3-Proposals Regular"),'Timesheet Raw'!$C$4:$C$8000,"*"&amp;$B274&amp;"*",'Timesheet Raw'!$L$4:$L$8000,"&gt;="&amp;MAX(J$5,DATE(2000+VALUE(RIGHT(TRIM($A274),2)),1,1)),'Timesheet Raw'!$L$4:$L$8000,"&lt;="&amp;MIN(J$6,DATE(2000+VALUE(RIGHT(TRIM($A274),2)),12,31))),SUMIFS('Timesheet Raw'!$P$4:$P$8000,'Timesheet Raw'!$B$4:$B$8000,TRIM($A274),'Timesheet Raw'!$C$4:$C$8000,"*"&amp;$B274&amp;"*",'Timesheet Raw'!$L$4:$L$8000,"&gt;="&amp;J$5,'Timesheet Raw'!$L$4:$L$8000,"&lt;="&amp;J$6)))/'Profit Plan'!$B$5)</f>
        <v>0</v>
      </c>
      <c r="K274" s="122">
        <f>IF($A274="","",(IF(ISNUMBER(SEARCH("Proposal",$A274)),SUMIFS('Timesheet Raw'!$P$4:$P$8000,'Timesheet Raw'!$A$4:$A$8000,IF(ISNUMBER(SEARCH("Chargable",$A274)),"2-Proposals Chargeable","3-Proposals Regular"),'Timesheet Raw'!$C$4:$C$8000,"*"&amp;$B274&amp;"*",'Timesheet Raw'!$L$4:$L$8000,"&gt;="&amp;MAX(K$5,DATE(2000+VALUE(RIGHT(TRIM($A274),2)),1,1)),'Timesheet Raw'!$L$4:$L$8000,"&lt;="&amp;MIN(K$6,DATE(2000+VALUE(RIGHT(TRIM($A274),2)),12,31))),SUMIFS('Timesheet Raw'!$P$4:$P$8000,'Timesheet Raw'!$B$4:$B$8000,TRIM($A274),'Timesheet Raw'!$C$4:$C$8000,"*"&amp;$B274&amp;"*",'Timesheet Raw'!$L$4:$L$8000,"&gt;="&amp;K$5,'Timesheet Raw'!$L$4:$L$8000,"&lt;="&amp;K$6)))/'Profit Plan'!$B$5)</f>
        <v>0</v>
      </c>
      <c r="L274" s="122">
        <f>IF($A274="","",(IF(ISNUMBER(SEARCH("Proposal",$A274)),SUMIFS('Timesheet Raw'!$P$4:$P$8000,'Timesheet Raw'!$A$4:$A$8000,IF(ISNUMBER(SEARCH("Chargable",$A274)),"2-Proposals Chargeable","3-Proposals Regular"),'Timesheet Raw'!$C$4:$C$8000,"*"&amp;$B274&amp;"*",'Timesheet Raw'!$L$4:$L$8000,"&gt;="&amp;MAX(L$5,DATE(2000+VALUE(RIGHT(TRIM($A274),2)),1,1)),'Timesheet Raw'!$L$4:$L$8000,"&lt;="&amp;MIN(L$6,DATE(2000+VALUE(RIGHT(TRIM($A274),2)),12,31))),SUMIFS('Timesheet Raw'!$P$4:$P$8000,'Timesheet Raw'!$B$4:$B$8000,TRIM($A274),'Timesheet Raw'!$C$4:$C$8000,"*"&amp;$B274&amp;"*",'Timesheet Raw'!$L$4:$L$8000,"&gt;="&amp;L$5,'Timesheet Raw'!$L$4:$L$8000,"&lt;="&amp;L$6)))/'Profit Plan'!$B$5)</f>
        <v>0</v>
      </c>
      <c r="M274" s="122">
        <f>IF($A274="","",(IF(ISNUMBER(SEARCH("Proposal",$A274)),SUMIFS('Timesheet Raw'!$P$4:$P$8000,'Timesheet Raw'!$A$4:$A$8000,IF(ISNUMBER(SEARCH("Chargable",$A274)),"2-Proposals Chargeable","3-Proposals Regular"),'Timesheet Raw'!$C$4:$C$8000,"*"&amp;$B274&amp;"*",'Timesheet Raw'!$L$4:$L$8000,"&gt;="&amp;MAX(M$5,DATE(2000+VALUE(RIGHT(TRIM($A274),2)),1,1)),'Timesheet Raw'!$L$4:$L$8000,"&lt;="&amp;MIN(M$6,DATE(2000+VALUE(RIGHT(TRIM($A274),2)),12,31))),SUMIFS('Timesheet Raw'!$P$4:$P$8000,'Timesheet Raw'!$B$4:$B$8000,TRIM($A274),'Timesheet Raw'!$C$4:$C$8000,"*"&amp;$B274&amp;"*",'Timesheet Raw'!$L$4:$L$8000,"&gt;="&amp;M$5,'Timesheet Raw'!$L$4:$L$8000,"&lt;="&amp;M$6)))/'Profit Plan'!$B$5)</f>
        <v>0</v>
      </c>
      <c r="N274" s="122">
        <f>IF($A274="","",(IF(ISNUMBER(SEARCH("Proposal",$A274)),SUMIFS('Timesheet Raw'!$P$4:$P$8000,'Timesheet Raw'!$A$4:$A$8000,IF(ISNUMBER(SEARCH("Chargable",$A274)),"2-Proposals Chargeable","3-Proposals Regular"),'Timesheet Raw'!$C$4:$C$8000,"*"&amp;$B274&amp;"*",'Timesheet Raw'!$L$4:$L$8000,"&gt;="&amp;MAX(N$5,DATE(2000+VALUE(RIGHT(TRIM($A274),2)),1,1)),'Timesheet Raw'!$L$4:$L$8000,"&lt;="&amp;MIN(N$6,DATE(2000+VALUE(RIGHT(TRIM($A274),2)),12,31))),SUMIFS('Timesheet Raw'!$P$4:$P$8000,'Timesheet Raw'!$B$4:$B$8000,TRIM($A274),'Timesheet Raw'!$C$4:$C$8000,"*"&amp;$B274&amp;"*",'Timesheet Raw'!$L$4:$L$8000,"&gt;="&amp;N$5,'Timesheet Raw'!$L$4:$L$8000,"&lt;="&amp;N$6)))/'Profit Plan'!$B$5)</f>
        <v>0</v>
      </c>
      <c r="O274" s="122">
        <f>IF($A274="","",(IF(ISNUMBER(SEARCH("Proposal",$A274)),SUMIFS('Timesheet Raw'!$P$4:$P$8000,'Timesheet Raw'!$A$4:$A$8000,IF(ISNUMBER(SEARCH("Chargable",$A274)),"2-Proposals Chargeable","3-Proposals Regular"),'Timesheet Raw'!$C$4:$C$8000,"*"&amp;$B274&amp;"*",'Timesheet Raw'!$L$4:$L$8000,"&gt;="&amp;MAX(O$5,DATE(2000+VALUE(RIGHT(TRIM($A274),2)),1,1)),'Timesheet Raw'!$L$4:$L$8000,"&lt;="&amp;MIN(O$6,DATE(2000+VALUE(RIGHT(TRIM($A274),2)),12,31))),SUMIFS('Timesheet Raw'!$P$4:$P$8000,'Timesheet Raw'!$B$4:$B$8000,TRIM($A274),'Timesheet Raw'!$C$4:$C$8000,"*"&amp;$B274&amp;"*",'Timesheet Raw'!$L$4:$L$8000,"&gt;="&amp;O$5,'Timesheet Raw'!$L$4:$L$8000,"&lt;="&amp;O$6)))/'Profit Plan'!$B$5)</f>
        <v>0</v>
      </c>
      <c r="P274" s="122">
        <f>IF($A274="","",(IF(ISNUMBER(SEARCH("Proposal",$A274)),SUMIFS('Timesheet Raw'!$P$4:$P$8000,'Timesheet Raw'!$A$4:$A$8000,IF(ISNUMBER(SEARCH("Chargable",$A274)),"2-Proposals Chargeable","3-Proposals Regular"),'Timesheet Raw'!$C$4:$C$8000,"*"&amp;$B274&amp;"*",'Timesheet Raw'!$L$4:$L$8000,"&gt;="&amp;MAX(P$5,DATE(2000+VALUE(RIGHT(TRIM($A274),2)),1,1)),'Timesheet Raw'!$L$4:$L$8000,"&lt;="&amp;MIN(P$6,DATE(2000+VALUE(RIGHT(TRIM($A274),2)),12,31))),SUMIFS('Timesheet Raw'!$P$4:$P$8000,'Timesheet Raw'!$B$4:$B$8000,TRIM($A274),'Timesheet Raw'!$C$4:$C$8000,"*"&amp;$B274&amp;"*",'Timesheet Raw'!$L$4:$L$8000,"&gt;="&amp;P$5,'Timesheet Raw'!$L$4:$L$8000,"&lt;="&amp;P$6)))/'Profit Plan'!$B$5)</f>
        <v>0</v>
      </c>
      <c r="Q274" s="122">
        <f>IF($A274="","",(IF(ISNUMBER(SEARCH("Proposal",$A274)),SUMIFS('Timesheet Raw'!$P$4:$P$8000,'Timesheet Raw'!$A$4:$A$8000,IF(ISNUMBER(SEARCH("Chargable",$A274)),"2-Proposals Chargeable","3-Proposals Regular"),'Timesheet Raw'!$C$4:$C$8000,"*"&amp;$B274&amp;"*",'Timesheet Raw'!$L$4:$L$8000,"&gt;="&amp;MAX(Q$5,DATE(2000+VALUE(RIGHT(TRIM($A274),2)),1,1)),'Timesheet Raw'!$L$4:$L$8000,"&lt;="&amp;MIN(Q$6,DATE(2000+VALUE(RIGHT(TRIM($A274),2)),12,31))),SUMIFS('Timesheet Raw'!$P$4:$P$8000,'Timesheet Raw'!$B$4:$B$8000,TRIM($A274),'Timesheet Raw'!$C$4:$C$8000,"*"&amp;$B274&amp;"*",'Timesheet Raw'!$L$4:$L$8000,"&gt;="&amp;Q$5,'Timesheet Raw'!$L$4:$L$8000,"&lt;="&amp;Q$6)))/'Profit Plan'!$B$5)</f>
        <v>0</v>
      </c>
      <c r="R274" s="122">
        <f>IF($A274="","",(IF(ISNUMBER(SEARCH("Proposal",$A274)),SUMIFS('Timesheet Raw'!$P$4:$P$8000,'Timesheet Raw'!$A$4:$A$8000,IF(ISNUMBER(SEARCH("Chargable",$A274)),"2-Proposals Chargeable","3-Proposals Regular"),'Timesheet Raw'!$C$4:$C$8000,"*"&amp;$B274&amp;"*",'Timesheet Raw'!$L$4:$L$8000,"&gt;="&amp;MAX(R$5,DATE(2000+VALUE(RIGHT(TRIM($A274),2)),1,1)),'Timesheet Raw'!$L$4:$L$8000,"&lt;="&amp;MIN(R$6,DATE(2000+VALUE(RIGHT(TRIM($A274),2)),12,31))),SUMIFS('Timesheet Raw'!$P$4:$P$8000,'Timesheet Raw'!$B$4:$B$8000,TRIM($A274),'Timesheet Raw'!$C$4:$C$8000,"*"&amp;$B274&amp;"*",'Timesheet Raw'!$L$4:$L$8000,"&gt;="&amp;R$5,'Timesheet Raw'!$L$4:$L$8000,"&lt;="&amp;R$6)))/'Profit Plan'!$B$5)</f>
        <v>0</v>
      </c>
      <c r="S274" s="122">
        <f>IF($A274="","",(IF(ISNUMBER(SEARCH("Proposal",$A274)),SUMIFS('Timesheet Raw'!$P$4:$P$8000,'Timesheet Raw'!$A$4:$A$8000,IF(ISNUMBER(SEARCH("Chargable",$A274)),"2-Proposals Chargeable","3-Proposals Regular"),'Timesheet Raw'!$C$4:$C$8000,"*"&amp;$B274&amp;"*",'Timesheet Raw'!$L$4:$L$8000,"&gt;="&amp;MAX(S$5,DATE(2000+VALUE(RIGHT(TRIM($A274),2)),1,1)),'Timesheet Raw'!$L$4:$L$8000,"&lt;="&amp;MIN(S$6,DATE(2000+VALUE(RIGHT(TRIM($A274),2)),12,31))),SUMIFS('Timesheet Raw'!$P$4:$P$8000,'Timesheet Raw'!$B$4:$B$8000,TRIM($A274),'Timesheet Raw'!$C$4:$C$8000,"*"&amp;$B274&amp;"*",'Timesheet Raw'!$L$4:$L$8000,"&gt;="&amp;S$5,'Timesheet Raw'!$L$4:$L$8000,"&lt;="&amp;S$6)))/'Profit Plan'!$B$5)</f>
        <v>0</v>
      </c>
      <c r="T274" s="122">
        <f>IF($A274="","",(IF(ISNUMBER(SEARCH("Proposal",$A274)),SUMIFS('Timesheet Raw'!$P$4:$P$8000,'Timesheet Raw'!$A$4:$A$8000,IF(ISNUMBER(SEARCH("Chargable",$A274)),"2-Proposals Chargeable","3-Proposals Regular"),'Timesheet Raw'!$C$4:$C$8000,"*"&amp;$B274&amp;"*",'Timesheet Raw'!$L$4:$L$8000,"&gt;="&amp;MAX(T$5,DATE(2000+VALUE(RIGHT(TRIM($A274),2)),1,1)),'Timesheet Raw'!$L$4:$L$8000,"&lt;="&amp;MIN(T$6,DATE(2000+VALUE(RIGHT(TRIM($A274),2)),12,31))),SUMIFS('Timesheet Raw'!$P$4:$P$8000,'Timesheet Raw'!$B$4:$B$8000,TRIM($A274),'Timesheet Raw'!$C$4:$C$8000,"*"&amp;$B274&amp;"*",'Timesheet Raw'!$L$4:$L$8000,"&gt;="&amp;T$5,'Timesheet Raw'!$L$4:$L$8000,"&lt;="&amp;T$6)))/'Profit Plan'!$B$5)</f>
        <v>0</v>
      </c>
      <c r="U274" s="122">
        <f>IF($A274="","",(IF(ISNUMBER(SEARCH("Proposal",$A274)),SUMIFS('Timesheet Raw'!$P$4:$P$8000,'Timesheet Raw'!$A$4:$A$8000,IF(ISNUMBER(SEARCH("Chargable",$A274)),"2-Proposals Chargeable","3-Proposals Regular"),'Timesheet Raw'!$C$4:$C$8000,"*"&amp;$B274&amp;"*",'Timesheet Raw'!$L$4:$L$8000,"&gt;="&amp;MAX(U$5,DATE(2000+VALUE(RIGHT(TRIM($A274),2)),1,1)),'Timesheet Raw'!$L$4:$L$8000,"&lt;="&amp;MIN(U$6,DATE(2000+VALUE(RIGHT(TRIM($A274),2)),12,31))),SUMIFS('Timesheet Raw'!$P$4:$P$8000,'Timesheet Raw'!$B$4:$B$8000,TRIM($A274),'Timesheet Raw'!$C$4:$C$8000,"*"&amp;$B274&amp;"*",'Timesheet Raw'!$L$4:$L$8000,"&gt;="&amp;U$5,'Timesheet Raw'!$L$4:$L$8000,"&lt;="&amp;U$6)))/'Profit Plan'!$B$5)</f>
        <v>0</v>
      </c>
      <c r="V274" s="122">
        <f>IF($A274="","",(IF(ISNUMBER(SEARCH("Proposal",$A274)),SUMIFS('Timesheet Raw'!$P$4:$P$8000,'Timesheet Raw'!$A$4:$A$8000,IF(ISNUMBER(SEARCH("Chargable",$A274)),"2-Proposals Chargeable","3-Proposals Regular"),'Timesheet Raw'!$C$4:$C$8000,"*"&amp;$B274&amp;"*",'Timesheet Raw'!$L$4:$L$8000,"&gt;="&amp;MAX(V$5,DATE(2000+VALUE(RIGHT(TRIM($A274),2)),1,1)),'Timesheet Raw'!$L$4:$L$8000,"&lt;="&amp;MIN(V$6,DATE(2000+VALUE(RIGHT(TRIM($A274),2)),12,31))),SUMIFS('Timesheet Raw'!$P$4:$P$8000,'Timesheet Raw'!$B$4:$B$8000,TRIM($A274),'Timesheet Raw'!$C$4:$C$8000,"*"&amp;$B274&amp;"*",'Timesheet Raw'!$L$4:$L$8000,"&gt;="&amp;V$5,'Timesheet Raw'!$L$4:$L$8000,"&lt;="&amp;V$6)))/'Profit Plan'!$B$5)</f>
        <v>0</v>
      </c>
      <c r="W274" s="122">
        <f>IF($A274="","",(IF(ISNUMBER(SEARCH("Proposal",$A274)),SUMIFS('Timesheet Raw'!$P$4:$P$8000,'Timesheet Raw'!$A$4:$A$8000,IF(ISNUMBER(SEARCH("Chargable",$A274)),"2-Proposals Chargeable","3-Proposals Regular"),'Timesheet Raw'!$C$4:$C$8000,"*"&amp;$B274&amp;"*",'Timesheet Raw'!$L$4:$L$8000,"&gt;="&amp;MAX(W$5,DATE(2000+VALUE(RIGHT(TRIM($A274),2)),1,1)),'Timesheet Raw'!$L$4:$L$8000,"&lt;="&amp;MIN(W$6,DATE(2000+VALUE(RIGHT(TRIM($A274),2)),12,31))),SUMIFS('Timesheet Raw'!$P$4:$P$8000,'Timesheet Raw'!$B$4:$B$8000,TRIM($A274),'Timesheet Raw'!$C$4:$C$8000,"*"&amp;$B274&amp;"*",'Timesheet Raw'!$L$4:$L$8000,"&gt;="&amp;W$5,'Timesheet Raw'!$L$4:$L$8000,"&lt;="&amp;W$6)))/'Profit Plan'!$B$5)</f>
        <v>0</v>
      </c>
      <c r="X274" s="122">
        <f>IF($A274="","",(IF(ISNUMBER(SEARCH("Proposal",$A274)),SUMIFS('Timesheet Raw'!$P$4:$P$8000,'Timesheet Raw'!$A$4:$A$8000,IF(ISNUMBER(SEARCH("Chargable",$A274)),"2-Proposals Chargeable","3-Proposals Regular"),'Timesheet Raw'!$C$4:$C$8000,"*"&amp;$B274&amp;"*",'Timesheet Raw'!$L$4:$L$8000,"&gt;="&amp;MAX(X$5,DATE(2000+VALUE(RIGHT(TRIM($A274),2)),1,1)),'Timesheet Raw'!$L$4:$L$8000,"&lt;="&amp;MIN(X$6,DATE(2000+VALUE(RIGHT(TRIM($A274),2)),12,31))),SUMIFS('Timesheet Raw'!$P$4:$P$8000,'Timesheet Raw'!$B$4:$B$8000,TRIM($A274),'Timesheet Raw'!$C$4:$C$8000,"*"&amp;$B274&amp;"*",'Timesheet Raw'!$L$4:$L$8000,"&gt;="&amp;X$5,'Timesheet Raw'!$L$4:$L$8000,"&lt;="&amp;X$6)))/'Profit Plan'!$B$5)</f>
        <v>0</v>
      </c>
      <c r="Y274" s="118">
        <f t="shared" si="100"/>
        <v>0.68108108108108112</v>
      </c>
    </row>
    <row r="275" spans="1:25" x14ac:dyDescent="0.3">
      <c r="A275" s="116" t="str">
        <f>IF(Inputs!$A9="","",Inputs!$A9)</f>
        <v>AN22137-0100D</v>
      </c>
      <c r="B275" s="116" t="str">
        <f>IF(Inputs!$A9="","",Inputs!$A$92)</f>
        <v>Osama</v>
      </c>
      <c r="C275" s="116"/>
      <c r="D275" s="122">
        <f>IF($A275="","",(IF(ISNUMBER(SEARCH("Proposal",$A275)),SUMIFS('Timesheet Raw'!$P$4:$P$8000,'Timesheet Raw'!$A$4:$A$8000,IF(ISNUMBER(SEARCH("Chargable",$A275)),"2-Proposals Chargeable","3-Proposals Regular"),'Timesheet Raw'!$C$4:$C$8000,"*"&amp;$B275&amp;"*",'Timesheet Raw'!$L$4:$L$8000,"&gt;="&amp;MAX(D$5,DATE(2000+VALUE(RIGHT(TRIM($A275),2)),1,1)),'Timesheet Raw'!$L$4:$L$8000,"&lt;="&amp;MIN(D$6,DATE(2000+VALUE(RIGHT(TRIM($A275),2)),12,31))),SUMIFS('Timesheet Raw'!$P$4:$P$8000,'Timesheet Raw'!$B$4:$B$8000,TRIM($A275),'Timesheet Raw'!$C$4:$C$8000,"*"&amp;$B275&amp;"*",'Timesheet Raw'!$L$4:$L$8000,"&gt;="&amp;D$5,'Timesheet Raw'!$L$4:$L$8000,"&lt;="&amp;D$6)))/'Profit Plan'!$B$5)</f>
        <v>0</v>
      </c>
      <c r="E275" s="122">
        <f>IF($A275="","",(IF(ISNUMBER(SEARCH("Proposal",$A275)),SUMIFS('Timesheet Raw'!$P$4:$P$8000,'Timesheet Raw'!$A$4:$A$8000,IF(ISNUMBER(SEARCH("Chargable",$A275)),"2-Proposals Chargeable","3-Proposals Regular"),'Timesheet Raw'!$C$4:$C$8000,"*"&amp;$B275&amp;"*",'Timesheet Raw'!$L$4:$L$8000,"&gt;="&amp;MAX(E$5,DATE(2000+VALUE(RIGHT(TRIM($A275),2)),1,1)),'Timesheet Raw'!$L$4:$L$8000,"&lt;="&amp;MIN(E$6,DATE(2000+VALUE(RIGHT(TRIM($A275),2)),12,31))),SUMIFS('Timesheet Raw'!$P$4:$P$8000,'Timesheet Raw'!$B$4:$B$8000,TRIM($A275),'Timesheet Raw'!$C$4:$C$8000,"*"&amp;$B275&amp;"*",'Timesheet Raw'!$L$4:$L$8000,"&gt;="&amp;E$5,'Timesheet Raw'!$L$4:$L$8000,"&lt;="&amp;E$6)))/'Profit Plan'!$B$5)</f>
        <v>0</v>
      </c>
      <c r="F275" s="122">
        <f>IF($A275="","",(IF(ISNUMBER(SEARCH("Proposal",$A275)),SUMIFS('Timesheet Raw'!$P$4:$P$8000,'Timesheet Raw'!$A$4:$A$8000,IF(ISNUMBER(SEARCH("Chargable",$A275)),"2-Proposals Chargeable","3-Proposals Regular"),'Timesheet Raw'!$C$4:$C$8000,"*"&amp;$B275&amp;"*",'Timesheet Raw'!$L$4:$L$8000,"&gt;="&amp;MAX(F$5,DATE(2000+VALUE(RIGHT(TRIM($A275),2)),1,1)),'Timesheet Raw'!$L$4:$L$8000,"&lt;="&amp;MIN(F$6,DATE(2000+VALUE(RIGHT(TRIM($A275),2)),12,31))),SUMIFS('Timesheet Raw'!$P$4:$P$8000,'Timesheet Raw'!$B$4:$B$8000,TRIM($A275),'Timesheet Raw'!$C$4:$C$8000,"*"&amp;$B275&amp;"*",'Timesheet Raw'!$L$4:$L$8000,"&gt;="&amp;F$5,'Timesheet Raw'!$L$4:$L$8000,"&lt;="&amp;F$6)))/'Profit Plan'!$B$5)</f>
        <v>0.23513513513513515</v>
      </c>
      <c r="G275" s="122">
        <f>IF($A275="","",(IF(ISNUMBER(SEARCH("Proposal",$A275)),SUMIFS('Timesheet Raw'!$P$4:$P$8000,'Timesheet Raw'!$A$4:$A$8000,IF(ISNUMBER(SEARCH("Chargable",$A275)),"2-Proposals Chargeable","3-Proposals Regular"),'Timesheet Raw'!$C$4:$C$8000,"*"&amp;$B275&amp;"*",'Timesheet Raw'!$L$4:$L$8000,"&gt;="&amp;MAX(G$5,DATE(2000+VALUE(RIGHT(TRIM($A275),2)),1,1)),'Timesheet Raw'!$L$4:$L$8000,"&lt;="&amp;MIN(G$6,DATE(2000+VALUE(RIGHT(TRIM($A275),2)),12,31))),SUMIFS('Timesheet Raw'!$P$4:$P$8000,'Timesheet Raw'!$B$4:$B$8000,TRIM($A275),'Timesheet Raw'!$C$4:$C$8000,"*"&amp;$B275&amp;"*",'Timesheet Raw'!$L$4:$L$8000,"&gt;="&amp;G$5,'Timesheet Raw'!$L$4:$L$8000,"&lt;="&amp;G$6)))/'Profit Plan'!$B$5)</f>
        <v>0.25270270270270268</v>
      </c>
      <c r="H275" s="122">
        <f>IF($A275="","",(IF(ISNUMBER(SEARCH("Proposal",$A275)),SUMIFS('Timesheet Raw'!$P$4:$P$8000,'Timesheet Raw'!$A$4:$A$8000,IF(ISNUMBER(SEARCH("Chargable",$A275)),"2-Proposals Chargeable","3-Proposals Regular"),'Timesheet Raw'!$C$4:$C$8000,"*"&amp;$B275&amp;"*",'Timesheet Raw'!$L$4:$L$8000,"&gt;="&amp;MAX(H$5,DATE(2000+VALUE(RIGHT(TRIM($A275),2)),1,1)),'Timesheet Raw'!$L$4:$L$8000,"&lt;="&amp;MIN(H$6,DATE(2000+VALUE(RIGHT(TRIM($A275),2)),12,31))),SUMIFS('Timesheet Raw'!$P$4:$P$8000,'Timesheet Raw'!$B$4:$B$8000,TRIM($A275),'Timesheet Raw'!$C$4:$C$8000,"*"&amp;$B275&amp;"*",'Timesheet Raw'!$L$4:$L$8000,"&gt;="&amp;H$5,'Timesheet Raw'!$L$4:$L$8000,"&lt;="&amp;H$6)))/'Profit Plan'!$B$5)</f>
        <v>0</v>
      </c>
      <c r="I275" s="122">
        <f>IF($A275="","",(IF(ISNUMBER(SEARCH("Proposal",$A275)),SUMIFS('Timesheet Raw'!$P$4:$P$8000,'Timesheet Raw'!$A$4:$A$8000,IF(ISNUMBER(SEARCH("Chargable",$A275)),"2-Proposals Chargeable","3-Proposals Regular"),'Timesheet Raw'!$C$4:$C$8000,"*"&amp;$B275&amp;"*",'Timesheet Raw'!$L$4:$L$8000,"&gt;="&amp;MAX(I$5,DATE(2000+VALUE(RIGHT(TRIM($A275),2)),1,1)),'Timesheet Raw'!$L$4:$L$8000,"&lt;="&amp;MIN(I$6,DATE(2000+VALUE(RIGHT(TRIM($A275),2)),12,31))),SUMIFS('Timesheet Raw'!$P$4:$P$8000,'Timesheet Raw'!$B$4:$B$8000,TRIM($A275),'Timesheet Raw'!$C$4:$C$8000,"*"&amp;$B275&amp;"*",'Timesheet Raw'!$L$4:$L$8000,"&gt;="&amp;I$5,'Timesheet Raw'!$L$4:$L$8000,"&lt;="&amp;I$6)))/'Profit Plan'!$B$5)</f>
        <v>0</v>
      </c>
      <c r="J275" s="122">
        <f>IF($A275="","",(IF(ISNUMBER(SEARCH("Proposal",$A275)),SUMIFS('Timesheet Raw'!$P$4:$P$8000,'Timesheet Raw'!$A$4:$A$8000,IF(ISNUMBER(SEARCH("Chargable",$A275)),"2-Proposals Chargeable","3-Proposals Regular"),'Timesheet Raw'!$C$4:$C$8000,"*"&amp;$B275&amp;"*",'Timesheet Raw'!$L$4:$L$8000,"&gt;="&amp;MAX(J$5,DATE(2000+VALUE(RIGHT(TRIM($A275),2)),1,1)),'Timesheet Raw'!$L$4:$L$8000,"&lt;="&amp;MIN(J$6,DATE(2000+VALUE(RIGHT(TRIM($A275),2)),12,31))),SUMIFS('Timesheet Raw'!$P$4:$P$8000,'Timesheet Raw'!$B$4:$B$8000,TRIM($A275),'Timesheet Raw'!$C$4:$C$8000,"*"&amp;$B275&amp;"*",'Timesheet Raw'!$L$4:$L$8000,"&gt;="&amp;J$5,'Timesheet Raw'!$L$4:$L$8000,"&lt;="&amp;J$6)))/'Profit Plan'!$B$5)</f>
        <v>0</v>
      </c>
      <c r="K275" s="122">
        <f>IF($A275="","",(IF(ISNUMBER(SEARCH("Proposal",$A275)),SUMIFS('Timesheet Raw'!$P$4:$P$8000,'Timesheet Raw'!$A$4:$A$8000,IF(ISNUMBER(SEARCH("Chargable",$A275)),"2-Proposals Chargeable","3-Proposals Regular"),'Timesheet Raw'!$C$4:$C$8000,"*"&amp;$B275&amp;"*",'Timesheet Raw'!$L$4:$L$8000,"&gt;="&amp;MAX(K$5,DATE(2000+VALUE(RIGHT(TRIM($A275),2)),1,1)),'Timesheet Raw'!$L$4:$L$8000,"&lt;="&amp;MIN(K$6,DATE(2000+VALUE(RIGHT(TRIM($A275),2)),12,31))),SUMIFS('Timesheet Raw'!$P$4:$P$8000,'Timesheet Raw'!$B$4:$B$8000,TRIM($A275),'Timesheet Raw'!$C$4:$C$8000,"*"&amp;$B275&amp;"*",'Timesheet Raw'!$L$4:$L$8000,"&gt;="&amp;K$5,'Timesheet Raw'!$L$4:$L$8000,"&lt;="&amp;K$6)))/'Profit Plan'!$B$5)</f>
        <v>0</v>
      </c>
      <c r="L275" s="122">
        <f>IF($A275="","",(IF(ISNUMBER(SEARCH("Proposal",$A275)),SUMIFS('Timesheet Raw'!$P$4:$P$8000,'Timesheet Raw'!$A$4:$A$8000,IF(ISNUMBER(SEARCH("Chargable",$A275)),"2-Proposals Chargeable","3-Proposals Regular"),'Timesheet Raw'!$C$4:$C$8000,"*"&amp;$B275&amp;"*",'Timesheet Raw'!$L$4:$L$8000,"&gt;="&amp;MAX(L$5,DATE(2000+VALUE(RIGHT(TRIM($A275),2)),1,1)),'Timesheet Raw'!$L$4:$L$8000,"&lt;="&amp;MIN(L$6,DATE(2000+VALUE(RIGHT(TRIM($A275),2)),12,31))),SUMIFS('Timesheet Raw'!$P$4:$P$8000,'Timesheet Raw'!$B$4:$B$8000,TRIM($A275),'Timesheet Raw'!$C$4:$C$8000,"*"&amp;$B275&amp;"*",'Timesheet Raw'!$L$4:$L$8000,"&gt;="&amp;L$5,'Timesheet Raw'!$L$4:$L$8000,"&lt;="&amp;L$6)))/'Profit Plan'!$B$5)</f>
        <v>0</v>
      </c>
      <c r="M275" s="122">
        <f>IF($A275="","",(IF(ISNUMBER(SEARCH("Proposal",$A275)),SUMIFS('Timesheet Raw'!$P$4:$P$8000,'Timesheet Raw'!$A$4:$A$8000,IF(ISNUMBER(SEARCH("Chargable",$A275)),"2-Proposals Chargeable","3-Proposals Regular"),'Timesheet Raw'!$C$4:$C$8000,"*"&amp;$B275&amp;"*",'Timesheet Raw'!$L$4:$L$8000,"&gt;="&amp;MAX(M$5,DATE(2000+VALUE(RIGHT(TRIM($A275),2)),1,1)),'Timesheet Raw'!$L$4:$L$8000,"&lt;="&amp;MIN(M$6,DATE(2000+VALUE(RIGHT(TRIM($A275),2)),12,31))),SUMIFS('Timesheet Raw'!$P$4:$P$8000,'Timesheet Raw'!$B$4:$B$8000,TRIM($A275),'Timesheet Raw'!$C$4:$C$8000,"*"&amp;$B275&amp;"*",'Timesheet Raw'!$L$4:$L$8000,"&gt;="&amp;M$5,'Timesheet Raw'!$L$4:$L$8000,"&lt;="&amp;M$6)))/'Profit Plan'!$B$5)</f>
        <v>0</v>
      </c>
      <c r="N275" s="122">
        <f>IF($A275="","",(IF(ISNUMBER(SEARCH("Proposal",$A275)),SUMIFS('Timesheet Raw'!$P$4:$P$8000,'Timesheet Raw'!$A$4:$A$8000,IF(ISNUMBER(SEARCH("Chargable",$A275)),"2-Proposals Chargeable","3-Proposals Regular"),'Timesheet Raw'!$C$4:$C$8000,"*"&amp;$B275&amp;"*",'Timesheet Raw'!$L$4:$L$8000,"&gt;="&amp;MAX(N$5,DATE(2000+VALUE(RIGHT(TRIM($A275),2)),1,1)),'Timesheet Raw'!$L$4:$L$8000,"&lt;="&amp;MIN(N$6,DATE(2000+VALUE(RIGHT(TRIM($A275),2)),12,31))),SUMIFS('Timesheet Raw'!$P$4:$P$8000,'Timesheet Raw'!$B$4:$B$8000,TRIM($A275),'Timesheet Raw'!$C$4:$C$8000,"*"&amp;$B275&amp;"*",'Timesheet Raw'!$L$4:$L$8000,"&gt;="&amp;N$5,'Timesheet Raw'!$L$4:$L$8000,"&lt;="&amp;N$6)))/'Profit Plan'!$B$5)</f>
        <v>0</v>
      </c>
      <c r="O275" s="122">
        <f>IF($A275="","",(IF(ISNUMBER(SEARCH("Proposal",$A275)),SUMIFS('Timesheet Raw'!$P$4:$P$8000,'Timesheet Raw'!$A$4:$A$8000,IF(ISNUMBER(SEARCH("Chargable",$A275)),"2-Proposals Chargeable","3-Proposals Regular"),'Timesheet Raw'!$C$4:$C$8000,"*"&amp;$B275&amp;"*",'Timesheet Raw'!$L$4:$L$8000,"&gt;="&amp;MAX(O$5,DATE(2000+VALUE(RIGHT(TRIM($A275),2)),1,1)),'Timesheet Raw'!$L$4:$L$8000,"&lt;="&amp;MIN(O$6,DATE(2000+VALUE(RIGHT(TRIM($A275),2)),12,31))),SUMIFS('Timesheet Raw'!$P$4:$P$8000,'Timesheet Raw'!$B$4:$B$8000,TRIM($A275),'Timesheet Raw'!$C$4:$C$8000,"*"&amp;$B275&amp;"*",'Timesheet Raw'!$L$4:$L$8000,"&gt;="&amp;O$5,'Timesheet Raw'!$L$4:$L$8000,"&lt;="&amp;O$6)))/'Profit Plan'!$B$5)</f>
        <v>0</v>
      </c>
      <c r="P275" s="122">
        <f>IF($A275="","",(IF(ISNUMBER(SEARCH("Proposal",$A275)),SUMIFS('Timesheet Raw'!$P$4:$P$8000,'Timesheet Raw'!$A$4:$A$8000,IF(ISNUMBER(SEARCH("Chargable",$A275)),"2-Proposals Chargeable","3-Proposals Regular"),'Timesheet Raw'!$C$4:$C$8000,"*"&amp;$B275&amp;"*",'Timesheet Raw'!$L$4:$L$8000,"&gt;="&amp;MAX(P$5,DATE(2000+VALUE(RIGHT(TRIM($A275),2)),1,1)),'Timesheet Raw'!$L$4:$L$8000,"&lt;="&amp;MIN(P$6,DATE(2000+VALUE(RIGHT(TRIM($A275),2)),12,31))),SUMIFS('Timesheet Raw'!$P$4:$P$8000,'Timesheet Raw'!$B$4:$B$8000,TRIM($A275),'Timesheet Raw'!$C$4:$C$8000,"*"&amp;$B275&amp;"*",'Timesheet Raw'!$L$4:$L$8000,"&gt;="&amp;P$5,'Timesheet Raw'!$L$4:$L$8000,"&lt;="&amp;P$6)))/'Profit Plan'!$B$5)</f>
        <v>0</v>
      </c>
      <c r="Q275" s="122">
        <f>IF($A275="","",(IF(ISNUMBER(SEARCH("Proposal",$A275)),SUMIFS('Timesheet Raw'!$P$4:$P$8000,'Timesheet Raw'!$A$4:$A$8000,IF(ISNUMBER(SEARCH("Chargable",$A275)),"2-Proposals Chargeable","3-Proposals Regular"),'Timesheet Raw'!$C$4:$C$8000,"*"&amp;$B275&amp;"*",'Timesheet Raw'!$L$4:$L$8000,"&gt;="&amp;MAX(Q$5,DATE(2000+VALUE(RIGHT(TRIM($A275),2)),1,1)),'Timesheet Raw'!$L$4:$L$8000,"&lt;="&amp;MIN(Q$6,DATE(2000+VALUE(RIGHT(TRIM($A275),2)),12,31))),SUMIFS('Timesheet Raw'!$P$4:$P$8000,'Timesheet Raw'!$B$4:$B$8000,TRIM($A275),'Timesheet Raw'!$C$4:$C$8000,"*"&amp;$B275&amp;"*",'Timesheet Raw'!$L$4:$L$8000,"&gt;="&amp;Q$5,'Timesheet Raw'!$L$4:$L$8000,"&lt;="&amp;Q$6)))/'Profit Plan'!$B$5)</f>
        <v>0</v>
      </c>
      <c r="R275" s="122">
        <f>IF($A275="","",(IF(ISNUMBER(SEARCH("Proposal",$A275)),SUMIFS('Timesheet Raw'!$P$4:$P$8000,'Timesheet Raw'!$A$4:$A$8000,IF(ISNUMBER(SEARCH("Chargable",$A275)),"2-Proposals Chargeable","3-Proposals Regular"),'Timesheet Raw'!$C$4:$C$8000,"*"&amp;$B275&amp;"*",'Timesheet Raw'!$L$4:$L$8000,"&gt;="&amp;MAX(R$5,DATE(2000+VALUE(RIGHT(TRIM($A275),2)),1,1)),'Timesheet Raw'!$L$4:$L$8000,"&lt;="&amp;MIN(R$6,DATE(2000+VALUE(RIGHT(TRIM($A275),2)),12,31))),SUMIFS('Timesheet Raw'!$P$4:$P$8000,'Timesheet Raw'!$B$4:$B$8000,TRIM($A275),'Timesheet Raw'!$C$4:$C$8000,"*"&amp;$B275&amp;"*",'Timesheet Raw'!$L$4:$L$8000,"&gt;="&amp;R$5,'Timesheet Raw'!$L$4:$L$8000,"&lt;="&amp;R$6)))/'Profit Plan'!$B$5)</f>
        <v>0</v>
      </c>
      <c r="S275" s="122">
        <f>IF($A275="","",(IF(ISNUMBER(SEARCH("Proposal",$A275)),SUMIFS('Timesheet Raw'!$P$4:$P$8000,'Timesheet Raw'!$A$4:$A$8000,IF(ISNUMBER(SEARCH("Chargable",$A275)),"2-Proposals Chargeable","3-Proposals Regular"),'Timesheet Raw'!$C$4:$C$8000,"*"&amp;$B275&amp;"*",'Timesheet Raw'!$L$4:$L$8000,"&gt;="&amp;MAX(S$5,DATE(2000+VALUE(RIGHT(TRIM($A275),2)),1,1)),'Timesheet Raw'!$L$4:$L$8000,"&lt;="&amp;MIN(S$6,DATE(2000+VALUE(RIGHT(TRIM($A275),2)),12,31))),SUMIFS('Timesheet Raw'!$P$4:$P$8000,'Timesheet Raw'!$B$4:$B$8000,TRIM($A275),'Timesheet Raw'!$C$4:$C$8000,"*"&amp;$B275&amp;"*",'Timesheet Raw'!$L$4:$L$8000,"&gt;="&amp;S$5,'Timesheet Raw'!$L$4:$L$8000,"&lt;="&amp;S$6)))/'Profit Plan'!$B$5)</f>
        <v>0</v>
      </c>
      <c r="T275" s="122">
        <f>IF($A275="","",(IF(ISNUMBER(SEARCH("Proposal",$A275)),SUMIFS('Timesheet Raw'!$P$4:$P$8000,'Timesheet Raw'!$A$4:$A$8000,IF(ISNUMBER(SEARCH("Chargable",$A275)),"2-Proposals Chargeable","3-Proposals Regular"),'Timesheet Raw'!$C$4:$C$8000,"*"&amp;$B275&amp;"*",'Timesheet Raw'!$L$4:$L$8000,"&gt;="&amp;MAX(T$5,DATE(2000+VALUE(RIGHT(TRIM($A275),2)),1,1)),'Timesheet Raw'!$L$4:$L$8000,"&lt;="&amp;MIN(T$6,DATE(2000+VALUE(RIGHT(TRIM($A275),2)),12,31))),SUMIFS('Timesheet Raw'!$P$4:$P$8000,'Timesheet Raw'!$B$4:$B$8000,TRIM($A275),'Timesheet Raw'!$C$4:$C$8000,"*"&amp;$B275&amp;"*",'Timesheet Raw'!$L$4:$L$8000,"&gt;="&amp;T$5,'Timesheet Raw'!$L$4:$L$8000,"&lt;="&amp;T$6)))/'Profit Plan'!$B$5)</f>
        <v>0</v>
      </c>
      <c r="U275" s="122">
        <f>IF($A275="","",(IF(ISNUMBER(SEARCH("Proposal",$A275)),SUMIFS('Timesheet Raw'!$P$4:$P$8000,'Timesheet Raw'!$A$4:$A$8000,IF(ISNUMBER(SEARCH("Chargable",$A275)),"2-Proposals Chargeable","3-Proposals Regular"),'Timesheet Raw'!$C$4:$C$8000,"*"&amp;$B275&amp;"*",'Timesheet Raw'!$L$4:$L$8000,"&gt;="&amp;MAX(U$5,DATE(2000+VALUE(RIGHT(TRIM($A275),2)),1,1)),'Timesheet Raw'!$L$4:$L$8000,"&lt;="&amp;MIN(U$6,DATE(2000+VALUE(RIGHT(TRIM($A275),2)),12,31))),SUMIFS('Timesheet Raw'!$P$4:$P$8000,'Timesheet Raw'!$B$4:$B$8000,TRIM($A275),'Timesheet Raw'!$C$4:$C$8000,"*"&amp;$B275&amp;"*",'Timesheet Raw'!$L$4:$L$8000,"&gt;="&amp;U$5,'Timesheet Raw'!$L$4:$L$8000,"&lt;="&amp;U$6)))/'Profit Plan'!$B$5)</f>
        <v>0</v>
      </c>
      <c r="V275" s="122">
        <f>IF($A275="","",(IF(ISNUMBER(SEARCH("Proposal",$A275)),SUMIFS('Timesheet Raw'!$P$4:$P$8000,'Timesheet Raw'!$A$4:$A$8000,IF(ISNUMBER(SEARCH("Chargable",$A275)),"2-Proposals Chargeable","3-Proposals Regular"),'Timesheet Raw'!$C$4:$C$8000,"*"&amp;$B275&amp;"*",'Timesheet Raw'!$L$4:$L$8000,"&gt;="&amp;MAX(V$5,DATE(2000+VALUE(RIGHT(TRIM($A275),2)),1,1)),'Timesheet Raw'!$L$4:$L$8000,"&lt;="&amp;MIN(V$6,DATE(2000+VALUE(RIGHT(TRIM($A275),2)),12,31))),SUMIFS('Timesheet Raw'!$P$4:$P$8000,'Timesheet Raw'!$B$4:$B$8000,TRIM($A275),'Timesheet Raw'!$C$4:$C$8000,"*"&amp;$B275&amp;"*",'Timesheet Raw'!$L$4:$L$8000,"&gt;="&amp;V$5,'Timesheet Raw'!$L$4:$L$8000,"&lt;="&amp;V$6)))/'Profit Plan'!$B$5)</f>
        <v>0</v>
      </c>
      <c r="W275" s="122">
        <f>IF($A275="","",(IF(ISNUMBER(SEARCH("Proposal",$A275)),SUMIFS('Timesheet Raw'!$P$4:$P$8000,'Timesheet Raw'!$A$4:$A$8000,IF(ISNUMBER(SEARCH("Chargable",$A275)),"2-Proposals Chargeable","3-Proposals Regular"),'Timesheet Raw'!$C$4:$C$8000,"*"&amp;$B275&amp;"*",'Timesheet Raw'!$L$4:$L$8000,"&gt;="&amp;MAX(W$5,DATE(2000+VALUE(RIGHT(TRIM($A275),2)),1,1)),'Timesheet Raw'!$L$4:$L$8000,"&lt;="&amp;MIN(W$6,DATE(2000+VALUE(RIGHT(TRIM($A275),2)),12,31))),SUMIFS('Timesheet Raw'!$P$4:$P$8000,'Timesheet Raw'!$B$4:$B$8000,TRIM($A275),'Timesheet Raw'!$C$4:$C$8000,"*"&amp;$B275&amp;"*",'Timesheet Raw'!$L$4:$L$8000,"&gt;="&amp;W$5,'Timesheet Raw'!$L$4:$L$8000,"&lt;="&amp;W$6)))/'Profit Plan'!$B$5)</f>
        <v>0</v>
      </c>
      <c r="X275" s="122">
        <f>IF($A275="","",(IF(ISNUMBER(SEARCH("Proposal",$A275)),SUMIFS('Timesheet Raw'!$P$4:$P$8000,'Timesheet Raw'!$A$4:$A$8000,IF(ISNUMBER(SEARCH("Chargable",$A275)),"2-Proposals Chargeable","3-Proposals Regular"),'Timesheet Raw'!$C$4:$C$8000,"*"&amp;$B275&amp;"*",'Timesheet Raw'!$L$4:$L$8000,"&gt;="&amp;MAX(X$5,DATE(2000+VALUE(RIGHT(TRIM($A275),2)),1,1)),'Timesheet Raw'!$L$4:$L$8000,"&lt;="&amp;MIN(X$6,DATE(2000+VALUE(RIGHT(TRIM($A275),2)),12,31))),SUMIFS('Timesheet Raw'!$P$4:$P$8000,'Timesheet Raw'!$B$4:$B$8000,TRIM($A275),'Timesheet Raw'!$C$4:$C$8000,"*"&amp;$B275&amp;"*",'Timesheet Raw'!$L$4:$L$8000,"&gt;="&amp;X$5,'Timesheet Raw'!$L$4:$L$8000,"&lt;="&amp;X$6)))/'Profit Plan'!$B$5)</f>
        <v>0</v>
      </c>
      <c r="Y275" s="118">
        <f t="shared" si="100"/>
        <v>0.48783783783783785</v>
      </c>
    </row>
    <row r="276" spans="1:25" x14ac:dyDescent="0.3">
      <c r="A276" s="116" t="str">
        <f>IF(Inputs!$A9="","",Inputs!$A9)</f>
        <v>AN22137-0100D</v>
      </c>
      <c r="B276" s="116" t="str">
        <f>IF(Inputs!$A9="","",Inputs!$A$93)</f>
        <v>Kirolos</v>
      </c>
      <c r="C276" s="116"/>
      <c r="D276" s="122">
        <f>IF($A276="","",(IF(ISNUMBER(SEARCH("Proposal",$A276)),SUMIFS('Timesheet Raw'!$P$4:$P$8000,'Timesheet Raw'!$A$4:$A$8000,IF(ISNUMBER(SEARCH("Chargable",$A276)),"2-Proposals Chargeable","3-Proposals Regular"),'Timesheet Raw'!$C$4:$C$8000,"*"&amp;$B276&amp;"*",'Timesheet Raw'!$L$4:$L$8000,"&gt;="&amp;MAX(D$5,DATE(2000+VALUE(RIGHT(TRIM($A276),2)),1,1)),'Timesheet Raw'!$L$4:$L$8000,"&lt;="&amp;MIN(D$6,DATE(2000+VALUE(RIGHT(TRIM($A276),2)),12,31))),SUMIFS('Timesheet Raw'!$P$4:$P$8000,'Timesheet Raw'!$B$4:$B$8000,TRIM($A276),'Timesheet Raw'!$C$4:$C$8000,"*"&amp;$B276&amp;"*",'Timesheet Raw'!$L$4:$L$8000,"&gt;="&amp;D$5,'Timesheet Raw'!$L$4:$L$8000,"&lt;="&amp;D$6)))/'Profit Plan'!$B$5)</f>
        <v>0</v>
      </c>
      <c r="E276" s="122">
        <f>IF($A276="","",(IF(ISNUMBER(SEARCH("Proposal",$A276)),SUMIFS('Timesheet Raw'!$P$4:$P$8000,'Timesheet Raw'!$A$4:$A$8000,IF(ISNUMBER(SEARCH("Chargable",$A276)),"2-Proposals Chargeable","3-Proposals Regular"),'Timesheet Raw'!$C$4:$C$8000,"*"&amp;$B276&amp;"*",'Timesheet Raw'!$L$4:$L$8000,"&gt;="&amp;MAX(E$5,DATE(2000+VALUE(RIGHT(TRIM($A276),2)),1,1)),'Timesheet Raw'!$L$4:$L$8000,"&lt;="&amp;MIN(E$6,DATE(2000+VALUE(RIGHT(TRIM($A276),2)),12,31))),SUMIFS('Timesheet Raw'!$P$4:$P$8000,'Timesheet Raw'!$B$4:$B$8000,TRIM($A276),'Timesheet Raw'!$C$4:$C$8000,"*"&amp;$B276&amp;"*",'Timesheet Raw'!$L$4:$L$8000,"&gt;="&amp;E$5,'Timesheet Raw'!$L$4:$L$8000,"&lt;="&amp;E$6)))/'Profit Plan'!$B$5)</f>
        <v>0</v>
      </c>
      <c r="F276" s="122">
        <f>IF($A276="","",(IF(ISNUMBER(SEARCH("Proposal",$A276)),SUMIFS('Timesheet Raw'!$P$4:$P$8000,'Timesheet Raw'!$A$4:$A$8000,IF(ISNUMBER(SEARCH("Chargable",$A276)),"2-Proposals Chargeable","3-Proposals Regular"),'Timesheet Raw'!$C$4:$C$8000,"*"&amp;$B276&amp;"*",'Timesheet Raw'!$L$4:$L$8000,"&gt;="&amp;MAX(F$5,DATE(2000+VALUE(RIGHT(TRIM($A276),2)),1,1)),'Timesheet Raw'!$L$4:$L$8000,"&lt;="&amp;MIN(F$6,DATE(2000+VALUE(RIGHT(TRIM($A276),2)),12,31))),SUMIFS('Timesheet Raw'!$P$4:$P$8000,'Timesheet Raw'!$B$4:$B$8000,TRIM($A276),'Timesheet Raw'!$C$4:$C$8000,"*"&amp;$B276&amp;"*",'Timesheet Raw'!$L$4:$L$8000,"&gt;="&amp;F$5,'Timesheet Raw'!$L$4:$L$8000,"&lt;="&amp;F$6)))/'Profit Plan'!$B$5)</f>
        <v>0</v>
      </c>
      <c r="G276" s="122">
        <f>IF($A276="","",(IF(ISNUMBER(SEARCH("Proposal",$A276)),SUMIFS('Timesheet Raw'!$P$4:$P$8000,'Timesheet Raw'!$A$4:$A$8000,IF(ISNUMBER(SEARCH("Chargable",$A276)),"2-Proposals Chargeable","3-Proposals Regular"),'Timesheet Raw'!$C$4:$C$8000,"*"&amp;$B276&amp;"*",'Timesheet Raw'!$L$4:$L$8000,"&gt;="&amp;MAX(G$5,DATE(2000+VALUE(RIGHT(TRIM($A276),2)),1,1)),'Timesheet Raw'!$L$4:$L$8000,"&lt;="&amp;MIN(G$6,DATE(2000+VALUE(RIGHT(TRIM($A276),2)),12,31))),SUMIFS('Timesheet Raw'!$P$4:$P$8000,'Timesheet Raw'!$B$4:$B$8000,TRIM($A276),'Timesheet Raw'!$C$4:$C$8000,"*"&amp;$B276&amp;"*",'Timesheet Raw'!$L$4:$L$8000,"&gt;="&amp;G$5,'Timesheet Raw'!$L$4:$L$8000,"&lt;="&amp;G$6)))/'Profit Plan'!$B$5)</f>
        <v>0.23243243243243245</v>
      </c>
      <c r="H276" s="122">
        <f>IF($A276="","",(IF(ISNUMBER(SEARCH("Proposal",$A276)),SUMIFS('Timesheet Raw'!$P$4:$P$8000,'Timesheet Raw'!$A$4:$A$8000,IF(ISNUMBER(SEARCH("Chargable",$A276)),"2-Proposals Chargeable","3-Proposals Regular"),'Timesheet Raw'!$C$4:$C$8000,"*"&amp;$B276&amp;"*",'Timesheet Raw'!$L$4:$L$8000,"&gt;="&amp;MAX(H$5,DATE(2000+VALUE(RIGHT(TRIM($A276),2)),1,1)),'Timesheet Raw'!$L$4:$L$8000,"&lt;="&amp;MIN(H$6,DATE(2000+VALUE(RIGHT(TRIM($A276),2)),12,31))),SUMIFS('Timesheet Raw'!$P$4:$P$8000,'Timesheet Raw'!$B$4:$B$8000,TRIM($A276),'Timesheet Raw'!$C$4:$C$8000,"*"&amp;$B276&amp;"*",'Timesheet Raw'!$L$4:$L$8000,"&gt;="&amp;H$5,'Timesheet Raw'!$L$4:$L$8000,"&lt;="&amp;H$6)))/'Profit Plan'!$B$5)</f>
        <v>0</v>
      </c>
      <c r="I276" s="122">
        <f>IF($A276="","",(IF(ISNUMBER(SEARCH("Proposal",$A276)),SUMIFS('Timesheet Raw'!$P$4:$P$8000,'Timesheet Raw'!$A$4:$A$8000,IF(ISNUMBER(SEARCH("Chargable",$A276)),"2-Proposals Chargeable","3-Proposals Regular"),'Timesheet Raw'!$C$4:$C$8000,"*"&amp;$B276&amp;"*",'Timesheet Raw'!$L$4:$L$8000,"&gt;="&amp;MAX(I$5,DATE(2000+VALUE(RIGHT(TRIM($A276),2)),1,1)),'Timesheet Raw'!$L$4:$L$8000,"&lt;="&amp;MIN(I$6,DATE(2000+VALUE(RIGHT(TRIM($A276),2)),12,31))),SUMIFS('Timesheet Raw'!$P$4:$P$8000,'Timesheet Raw'!$B$4:$B$8000,TRIM($A276),'Timesheet Raw'!$C$4:$C$8000,"*"&amp;$B276&amp;"*",'Timesheet Raw'!$L$4:$L$8000,"&gt;="&amp;I$5,'Timesheet Raw'!$L$4:$L$8000,"&lt;="&amp;I$6)))/'Profit Plan'!$B$5)</f>
        <v>0</v>
      </c>
      <c r="J276" s="122">
        <f>IF($A276="","",(IF(ISNUMBER(SEARCH("Proposal",$A276)),SUMIFS('Timesheet Raw'!$P$4:$P$8000,'Timesheet Raw'!$A$4:$A$8000,IF(ISNUMBER(SEARCH("Chargable",$A276)),"2-Proposals Chargeable","3-Proposals Regular"),'Timesheet Raw'!$C$4:$C$8000,"*"&amp;$B276&amp;"*",'Timesheet Raw'!$L$4:$L$8000,"&gt;="&amp;MAX(J$5,DATE(2000+VALUE(RIGHT(TRIM($A276),2)),1,1)),'Timesheet Raw'!$L$4:$L$8000,"&lt;="&amp;MIN(J$6,DATE(2000+VALUE(RIGHT(TRIM($A276),2)),12,31))),SUMIFS('Timesheet Raw'!$P$4:$P$8000,'Timesheet Raw'!$B$4:$B$8000,TRIM($A276),'Timesheet Raw'!$C$4:$C$8000,"*"&amp;$B276&amp;"*",'Timesheet Raw'!$L$4:$L$8000,"&gt;="&amp;J$5,'Timesheet Raw'!$L$4:$L$8000,"&lt;="&amp;J$6)))/'Profit Plan'!$B$5)</f>
        <v>0</v>
      </c>
      <c r="K276" s="122">
        <f>IF($A276="","",(IF(ISNUMBER(SEARCH("Proposal",$A276)),SUMIFS('Timesheet Raw'!$P$4:$P$8000,'Timesheet Raw'!$A$4:$A$8000,IF(ISNUMBER(SEARCH("Chargable",$A276)),"2-Proposals Chargeable","3-Proposals Regular"),'Timesheet Raw'!$C$4:$C$8000,"*"&amp;$B276&amp;"*",'Timesheet Raw'!$L$4:$L$8000,"&gt;="&amp;MAX(K$5,DATE(2000+VALUE(RIGHT(TRIM($A276),2)),1,1)),'Timesheet Raw'!$L$4:$L$8000,"&lt;="&amp;MIN(K$6,DATE(2000+VALUE(RIGHT(TRIM($A276),2)),12,31))),SUMIFS('Timesheet Raw'!$P$4:$P$8000,'Timesheet Raw'!$B$4:$B$8000,TRIM($A276),'Timesheet Raw'!$C$4:$C$8000,"*"&amp;$B276&amp;"*",'Timesheet Raw'!$L$4:$L$8000,"&gt;="&amp;K$5,'Timesheet Raw'!$L$4:$L$8000,"&lt;="&amp;K$6)))/'Profit Plan'!$B$5)</f>
        <v>0</v>
      </c>
      <c r="L276" s="122">
        <f>IF($A276="","",(IF(ISNUMBER(SEARCH("Proposal",$A276)),SUMIFS('Timesheet Raw'!$P$4:$P$8000,'Timesheet Raw'!$A$4:$A$8000,IF(ISNUMBER(SEARCH("Chargable",$A276)),"2-Proposals Chargeable","3-Proposals Regular"),'Timesheet Raw'!$C$4:$C$8000,"*"&amp;$B276&amp;"*",'Timesheet Raw'!$L$4:$L$8000,"&gt;="&amp;MAX(L$5,DATE(2000+VALUE(RIGHT(TRIM($A276),2)),1,1)),'Timesheet Raw'!$L$4:$L$8000,"&lt;="&amp;MIN(L$6,DATE(2000+VALUE(RIGHT(TRIM($A276),2)),12,31))),SUMIFS('Timesheet Raw'!$P$4:$P$8000,'Timesheet Raw'!$B$4:$B$8000,TRIM($A276),'Timesheet Raw'!$C$4:$C$8000,"*"&amp;$B276&amp;"*",'Timesheet Raw'!$L$4:$L$8000,"&gt;="&amp;L$5,'Timesheet Raw'!$L$4:$L$8000,"&lt;="&amp;L$6)))/'Profit Plan'!$B$5)</f>
        <v>0</v>
      </c>
      <c r="M276" s="122">
        <f>IF($A276="","",(IF(ISNUMBER(SEARCH("Proposal",$A276)),SUMIFS('Timesheet Raw'!$P$4:$P$8000,'Timesheet Raw'!$A$4:$A$8000,IF(ISNUMBER(SEARCH("Chargable",$A276)),"2-Proposals Chargeable","3-Proposals Regular"),'Timesheet Raw'!$C$4:$C$8000,"*"&amp;$B276&amp;"*",'Timesheet Raw'!$L$4:$L$8000,"&gt;="&amp;MAX(M$5,DATE(2000+VALUE(RIGHT(TRIM($A276),2)),1,1)),'Timesheet Raw'!$L$4:$L$8000,"&lt;="&amp;MIN(M$6,DATE(2000+VALUE(RIGHT(TRIM($A276),2)),12,31))),SUMIFS('Timesheet Raw'!$P$4:$P$8000,'Timesheet Raw'!$B$4:$B$8000,TRIM($A276),'Timesheet Raw'!$C$4:$C$8000,"*"&amp;$B276&amp;"*",'Timesheet Raw'!$L$4:$L$8000,"&gt;="&amp;M$5,'Timesheet Raw'!$L$4:$L$8000,"&lt;="&amp;M$6)))/'Profit Plan'!$B$5)</f>
        <v>0</v>
      </c>
      <c r="N276" s="122">
        <f>IF($A276="","",(IF(ISNUMBER(SEARCH("Proposal",$A276)),SUMIFS('Timesheet Raw'!$P$4:$P$8000,'Timesheet Raw'!$A$4:$A$8000,IF(ISNUMBER(SEARCH("Chargable",$A276)),"2-Proposals Chargeable","3-Proposals Regular"),'Timesheet Raw'!$C$4:$C$8000,"*"&amp;$B276&amp;"*",'Timesheet Raw'!$L$4:$L$8000,"&gt;="&amp;MAX(N$5,DATE(2000+VALUE(RIGHT(TRIM($A276),2)),1,1)),'Timesheet Raw'!$L$4:$L$8000,"&lt;="&amp;MIN(N$6,DATE(2000+VALUE(RIGHT(TRIM($A276),2)),12,31))),SUMIFS('Timesheet Raw'!$P$4:$P$8000,'Timesheet Raw'!$B$4:$B$8000,TRIM($A276),'Timesheet Raw'!$C$4:$C$8000,"*"&amp;$B276&amp;"*",'Timesheet Raw'!$L$4:$L$8000,"&gt;="&amp;N$5,'Timesheet Raw'!$L$4:$L$8000,"&lt;="&amp;N$6)))/'Profit Plan'!$B$5)</f>
        <v>0</v>
      </c>
      <c r="O276" s="122">
        <f>IF($A276="","",(IF(ISNUMBER(SEARCH("Proposal",$A276)),SUMIFS('Timesheet Raw'!$P$4:$P$8000,'Timesheet Raw'!$A$4:$A$8000,IF(ISNUMBER(SEARCH("Chargable",$A276)),"2-Proposals Chargeable","3-Proposals Regular"),'Timesheet Raw'!$C$4:$C$8000,"*"&amp;$B276&amp;"*",'Timesheet Raw'!$L$4:$L$8000,"&gt;="&amp;MAX(O$5,DATE(2000+VALUE(RIGHT(TRIM($A276),2)),1,1)),'Timesheet Raw'!$L$4:$L$8000,"&lt;="&amp;MIN(O$6,DATE(2000+VALUE(RIGHT(TRIM($A276),2)),12,31))),SUMIFS('Timesheet Raw'!$P$4:$P$8000,'Timesheet Raw'!$B$4:$B$8000,TRIM($A276),'Timesheet Raw'!$C$4:$C$8000,"*"&amp;$B276&amp;"*",'Timesheet Raw'!$L$4:$L$8000,"&gt;="&amp;O$5,'Timesheet Raw'!$L$4:$L$8000,"&lt;="&amp;O$6)))/'Profit Plan'!$B$5)</f>
        <v>0</v>
      </c>
      <c r="P276" s="122">
        <f>IF($A276="","",(IF(ISNUMBER(SEARCH("Proposal",$A276)),SUMIFS('Timesheet Raw'!$P$4:$P$8000,'Timesheet Raw'!$A$4:$A$8000,IF(ISNUMBER(SEARCH("Chargable",$A276)),"2-Proposals Chargeable","3-Proposals Regular"),'Timesheet Raw'!$C$4:$C$8000,"*"&amp;$B276&amp;"*",'Timesheet Raw'!$L$4:$L$8000,"&gt;="&amp;MAX(P$5,DATE(2000+VALUE(RIGHT(TRIM($A276),2)),1,1)),'Timesheet Raw'!$L$4:$L$8000,"&lt;="&amp;MIN(P$6,DATE(2000+VALUE(RIGHT(TRIM($A276),2)),12,31))),SUMIFS('Timesheet Raw'!$P$4:$P$8000,'Timesheet Raw'!$B$4:$B$8000,TRIM($A276),'Timesheet Raw'!$C$4:$C$8000,"*"&amp;$B276&amp;"*",'Timesheet Raw'!$L$4:$L$8000,"&gt;="&amp;P$5,'Timesheet Raw'!$L$4:$L$8000,"&lt;="&amp;P$6)))/'Profit Plan'!$B$5)</f>
        <v>0</v>
      </c>
      <c r="Q276" s="122">
        <f>IF($A276="","",(IF(ISNUMBER(SEARCH("Proposal",$A276)),SUMIFS('Timesheet Raw'!$P$4:$P$8000,'Timesheet Raw'!$A$4:$A$8000,IF(ISNUMBER(SEARCH("Chargable",$A276)),"2-Proposals Chargeable","3-Proposals Regular"),'Timesheet Raw'!$C$4:$C$8000,"*"&amp;$B276&amp;"*",'Timesheet Raw'!$L$4:$L$8000,"&gt;="&amp;MAX(Q$5,DATE(2000+VALUE(RIGHT(TRIM($A276),2)),1,1)),'Timesheet Raw'!$L$4:$L$8000,"&lt;="&amp;MIN(Q$6,DATE(2000+VALUE(RIGHT(TRIM($A276),2)),12,31))),SUMIFS('Timesheet Raw'!$P$4:$P$8000,'Timesheet Raw'!$B$4:$B$8000,TRIM($A276),'Timesheet Raw'!$C$4:$C$8000,"*"&amp;$B276&amp;"*",'Timesheet Raw'!$L$4:$L$8000,"&gt;="&amp;Q$5,'Timesheet Raw'!$L$4:$L$8000,"&lt;="&amp;Q$6)))/'Profit Plan'!$B$5)</f>
        <v>0</v>
      </c>
      <c r="R276" s="122">
        <f>IF($A276="","",(IF(ISNUMBER(SEARCH("Proposal",$A276)),SUMIFS('Timesheet Raw'!$P$4:$P$8000,'Timesheet Raw'!$A$4:$A$8000,IF(ISNUMBER(SEARCH("Chargable",$A276)),"2-Proposals Chargeable","3-Proposals Regular"),'Timesheet Raw'!$C$4:$C$8000,"*"&amp;$B276&amp;"*",'Timesheet Raw'!$L$4:$L$8000,"&gt;="&amp;MAX(R$5,DATE(2000+VALUE(RIGHT(TRIM($A276),2)),1,1)),'Timesheet Raw'!$L$4:$L$8000,"&lt;="&amp;MIN(R$6,DATE(2000+VALUE(RIGHT(TRIM($A276),2)),12,31))),SUMIFS('Timesheet Raw'!$P$4:$P$8000,'Timesheet Raw'!$B$4:$B$8000,TRIM($A276),'Timesheet Raw'!$C$4:$C$8000,"*"&amp;$B276&amp;"*",'Timesheet Raw'!$L$4:$L$8000,"&gt;="&amp;R$5,'Timesheet Raw'!$L$4:$L$8000,"&lt;="&amp;R$6)))/'Profit Plan'!$B$5)</f>
        <v>0</v>
      </c>
      <c r="S276" s="122">
        <f>IF($A276="","",(IF(ISNUMBER(SEARCH("Proposal",$A276)),SUMIFS('Timesheet Raw'!$P$4:$P$8000,'Timesheet Raw'!$A$4:$A$8000,IF(ISNUMBER(SEARCH("Chargable",$A276)),"2-Proposals Chargeable","3-Proposals Regular"),'Timesheet Raw'!$C$4:$C$8000,"*"&amp;$B276&amp;"*",'Timesheet Raw'!$L$4:$L$8000,"&gt;="&amp;MAX(S$5,DATE(2000+VALUE(RIGHT(TRIM($A276),2)),1,1)),'Timesheet Raw'!$L$4:$L$8000,"&lt;="&amp;MIN(S$6,DATE(2000+VALUE(RIGHT(TRIM($A276),2)),12,31))),SUMIFS('Timesheet Raw'!$P$4:$P$8000,'Timesheet Raw'!$B$4:$B$8000,TRIM($A276),'Timesheet Raw'!$C$4:$C$8000,"*"&amp;$B276&amp;"*",'Timesheet Raw'!$L$4:$L$8000,"&gt;="&amp;S$5,'Timesheet Raw'!$L$4:$L$8000,"&lt;="&amp;S$6)))/'Profit Plan'!$B$5)</f>
        <v>0</v>
      </c>
      <c r="T276" s="122">
        <f>IF($A276="","",(IF(ISNUMBER(SEARCH("Proposal",$A276)),SUMIFS('Timesheet Raw'!$P$4:$P$8000,'Timesheet Raw'!$A$4:$A$8000,IF(ISNUMBER(SEARCH("Chargable",$A276)),"2-Proposals Chargeable","3-Proposals Regular"),'Timesheet Raw'!$C$4:$C$8000,"*"&amp;$B276&amp;"*",'Timesheet Raw'!$L$4:$L$8000,"&gt;="&amp;MAX(T$5,DATE(2000+VALUE(RIGHT(TRIM($A276),2)),1,1)),'Timesheet Raw'!$L$4:$L$8000,"&lt;="&amp;MIN(T$6,DATE(2000+VALUE(RIGHT(TRIM($A276),2)),12,31))),SUMIFS('Timesheet Raw'!$P$4:$P$8000,'Timesheet Raw'!$B$4:$B$8000,TRIM($A276),'Timesheet Raw'!$C$4:$C$8000,"*"&amp;$B276&amp;"*",'Timesheet Raw'!$L$4:$L$8000,"&gt;="&amp;T$5,'Timesheet Raw'!$L$4:$L$8000,"&lt;="&amp;T$6)))/'Profit Plan'!$B$5)</f>
        <v>0</v>
      </c>
      <c r="U276" s="122">
        <f>IF($A276="","",(IF(ISNUMBER(SEARCH("Proposal",$A276)),SUMIFS('Timesheet Raw'!$P$4:$P$8000,'Timesheet Raw'!$A$4:$A$8000,IF(ISNUMBER(SEARCH("Chargable",$A276)),"2-Proposals Chargeable","3-Proposals Regular"),'Timesheet Raw'!$C$4:$C$8000,"*"&amp;$B276&amp;"*",'Timesheet Raw'!$L$4:$L$8000,"&gt;="&amp;MAX(U$5,DATE(2000+VALUE(RIGHT(TRIM($A276),2)),1,1)),'Timesheet Raw'!$L$4:$L$8000,"&lt;="&amp;MIN(U$6,DATE(2000+VALUE(RIGHT(TRIM($A276),2)),12,31))),SUMIFS('Timesheet Raw'!$P$4:$P$8000,'Timesheet Raw'!$B$4:$B$8000,TRIM($A276),'Timesheet Raw'!$C$4:$C$8000,"*"&amp;$B276&amp;"*",'Timesheet Raw'!$L$4:$L$8000,"&gt;="&amp;U$5,'Timesheet Raw'!$L$4:$L$8000,"&lt;="&amp;U$6)))/'Profit Plan'!$B$5)</f>
        <v>0</v>
      </c>
      <c r="V276" s="122">
        <f>IF($A276="","",(IF(ISNUMBER(SEARCH("Proposal",$A276)),SUMIFS('Timesheet Raw'!$P$4:$P$8000,'Timesheet Raw'!$A$4:$A$8000,IF(ISNUMBER(SEARCH("Chargable",$A276)),"2-Proposals Chargeable","3-Proposals Regular"),'Timesheet Raw'!$C$4:$C$8000,"*"&amp;$B276&amp;"*",'Timesheet Raw'!$L$4:$L$8000,"&gt;="&amp;MAX(V$5,DATE(2000+VALUE(RIGHT(TRIM($A276),2)),1,1)),'Timesheet Raw'!$L$4:$L$8000,"&lt;="&amp;MIN(V$6,DATE(2000+VALUE(RIGHT(TRIM($A276),2)),12,31))),SUMIFS('Timesheet Raw'!$P$4:$P$8000,'Timesheet Raw'!$B$4:$B$8000,TRIM($A276),'Timesheet Raw'!$C$4:$C$8000,"*"&amp;$B276&amp;"*",'Timesheet Raw'!$L$4:$L$8000,"&gt;="&amp;V$5,'Timesheet Raw'!$L$4:$L$8000,"&lt;="&amp;V$6)))/'Profit Plan'!$B$5)</f>
        <v>0</v>
      </c>
      <c r="W276" s="122">
        <f>IF($A276="","",(IF(ISNUMBER(SEARCH("Proposal",$A276)),SUMIFS('Timesheet Raw'!$P$4:$P$8000,'Timesheet Raw'!$A$4:$A$8000,IF(ISNUMBER(SEARCH("Chargable",$A276)),"2-Proposals Chargeable","3-Proposals Regular"),'Timesheet Raw'!$C$4:$C$8000,"*"&amp;$B276&amp;"*",'Timesheet Raw'!$L$4:$L$8000,"&gt;="&amp;MAX(W$5,DATE(2000+VALUE(RIGHT(TRIM($A276),2)),1,1)),'Timesheet Raw'!$L$4:$L$8000,"&lt;="&amp;MIN(W$6,DATE(2000+VALUE(RIGHT(TRIM($A276),2)),12,31))),SUMIFS('Timesheet Raw'!$P$4:$P$8000,'Timesheet Raw'!$B$4:$B$8000,TRIM($A276),'Timesheet Raw'!$C$4:$C$8000,"*"&amp;$B276&amp;"*",'Timesheet Raw'!$L$4:$L$8000,"&gt;="&amp;W$5,'Timesheet Raw'!$L$4:$L$8000,"&lt;="&amp;W$6)))/'Profit Plan'!$B$5)</f>
        <v>0</v>
      </c>
      <c r="X276" s="122">
        <f>IF($A276="","",(IF(ISNUMBER(SEARCH("Proposal",$A276)),SUMIFS('Timesheet Raw'!$P$4:$P$8000,'Timesheet Raw'!$A$4:$A$8000,IF(ISNUMBER(SEARCH("Chargable",$A276)),"2-Proposals Chargeable","3-Proposals Regular"),'Timesheet Raw'!$C$4:$C$8000,"*"&amp;$B276&amp;"*",'Timesheet Raw'!$L$4:$L$8000,"&gt;="&amp;MAX(X$5,DATE(2000+VALUE(RIGHT(TRIM($A276),2)),1,1)),'Timesheet Raw'!$L$4:$L$8000,"&lt;="&amp;MIN(X$6,DATE(2000+VALUE(RIGHT(TRIM($A276),2)),12,31))),SUMIFS('Timesheet Raw'!$P$4:$P$8000,'Timesheet Raw'!$B$4:$B$8000,TRIM($A276),'Timesheet Raw'!$C$4:$C$8000,"*"&amp;$B276&amp;"*",'Timesheet Raw'!$L$4:$L$8000,"&gt;="&amp;X$5,'Timesheet Raw'!$L$4:$L$8000,"&lt;="&amp;X$6)))/'Profit Plan'!$B$5)</f>
        <v>0</v>
      </c>
      <c r="Y276" s="118">
        <f t="shared" si="100"/>
        <v>0.23243243243243245</v>
      </c>
    </row>
    <row r="277" spans="1:25" x14ac:dyDescent="0.3">
      <c r="A277" s="116" t="str">
        <f>IF(Inputs!$A10="","",Inputs!$A10)</f>
        <v>D26058-0100D</v>
      </c>
      <c r="B277" s="116" t="str">
        <f>IF(Inputs!$A10="","",Inputs!$A$91)</f>
        <v>Ahmed</v>
      </c>
      <c r="C277" s="116"/>
      <c r="D277" s="122">
        <f>IF($A277="","",(IF(ISNUMBER(SEARCH("Proposal",$A277)),SUMIFS('Timesheet Raw'!$P$4:$P$8000,'Timesheet Raw'!$A$4:$A$8000,IF(ISNUMBER(SEARCH("Chargable",$A277)),"2-Proposals Chargeable","3-Proposals Regular"),'Timesheet Raw'!$C$4:$C$8000,"*"&amp;$B277&amp;"*",'Timesheet Raw'!$L$4:$L$8000,"&gt;="&amp;MAX(D$5,DATE(2000+VALUE(RIGHT(TRIM($A277),2)),1,1)),'Timesheet Raw'!$L$4:$L$8000,"&lt;="&amp;MIN(D$6,DATE(2000+VALUE(RIGHT(TRIM($A277),2)),12,31))),SUMIFS('Timesheet Raw'!$P$4:$P$8000,'Timesheet Raw'!$B$4:$B$8000,TRIM($A277),'Timesheet Raw'!$C$4:$C$8000,"*"&amp;$B277&amp;"*",'Timesheet Raw'!$L$4:$L$8000,"&gt;="&amp;D$5,'Timesheet Raw'!$L$4:$L$8000,"&lt;="&amp;D$6)))/'Profit Plan'!$B$5)</f>
        <v>0</v>
      </c>
      <c r="E277" s="122">
        <f>IF($A277="","",(IF(ISNUMBER(SEARCH("Proposal",$A277)),SUMIFS('Timesheet Raw'!$P$4:$P$8000,'Timesheet Raw'!$A$4:$A$8000,IF(ISNUMBER(SEARCH("Chargable",$A277)),"2-Proposals Chargeable","3-Proposals Regular"),'Timesheet Raw'!$C$4:$C$8000,"*"&amp;$B277&amp;"*",'Timesheet Raw'!$L$4:$L$8000,"&gt;="&amp;MAX(E$5,DATE(2000+VALUE(RIGHT(TRIM($A277),2)),1,1)),'Timesheet Raw'!$L$4:$L$8000,"&lt;="&amp;MIN(E$6,DATE(2000+VALUE(RIGHT(TRIM($A277),2)),12,31))),SUMIFS('Timesheet Raw'!$P$4:$P$8000,'Timesheet Raw'!$B$4:$B$8000,TRIM($A277),'Timesheet Raw'!$C$4:$C$8000,"*"&amp;$B277&amp;"*",'Timesheet Raw'!$L$4:$L$8000,"&gt;="&amp;E$5,'Timesheet Raw'!$L$4:$L$8000,"&lt;="&amp;E$6)))/'Profit Plan'!$B$5)</f>
        <v>0</v>
      </c>
      <c r="F277" s="122">
        <f>IF($A277="","",(IF(ISNUMBER(SEARCH("Proposal",$A277)),SUMIFS('Timesheet Raw'!$P$4:$P$8000,'Timesheet Raw'!$A$4:$A$8000,IF(ISNUMBER(SEARCH("Chargable",$A277)),"2-Proposals Chargeable","3-Proposals Regular"),'Timesheet Raw'!$C$4:$C$8000,"*"&amp;$B277&amp;"*",'Timesheet Raw'!$L$4:$L$8000,"&gt;="&amp;MAX(F$5,DATE(2000+VALUE(RIGHT(TRIM($A277),2)),1,1)),'Timesheet Raw'!$L$4:$L$8000,"&lt;="&amp;MIN(F$6,DATE(2000+VALUE(RIGHT(TRIM($A277),2)),12,31))),SUMIFS('Timesheet Raw'!$P$4:$P$8000,'Timesheet Raw'!$B$4:$B$8000,TRIM($A277),'Timesheet Raw'!$C$4:$C$8000,"*"&amp;$B277&amp;"*",'Timesheet Raw'!$L$4:$L$8000,"&gt;="&amp;F$5,'Timesheet Raw'!$L$4:$L$8000,"&lt;="&amp;F$6)))/'Profit Plan'!$B$5)</f>
        <v>0</v>
      </c>
      <c r="G277" s="122">
        <f>IF($A277="","",(IF(ISNUMBER(SEARCH("Proposal",$A277)),SUMIFS('Timesheet Raw'!$P$4:$P$8000,'Timesheet Raw'!$A$4:$A$8000,IF(ISNUMBER(SEARCH("Chargable",$A277)),"2-Proposals Chargeable","3-Proposals Regular"),'Timesheet Raw'!$C$4:$C$8000,"*"&amp;$B277&amp;"*",'Timesheet Raw'!$L$4:$L$8000,"&gt;="&amp;MAX(G$5,DATE(2000+VALUE(RIGHT(TRIM($A277),2)),1,1)),'Timesheet Raw'!$L$4:$L$8000,"&lt;="&amp;MIN(G$6,DATE(2000+VALUE(RIGHT(TRIM($A277),2)),12,31))),SUMIFS('Timesheet Raw'!$P$4:$P$8000,'Timesheet Raw'!$B$4:$B$8000,TRIM($A277),'Timesheet Raw'!$C$4:$C$8000,"*"&amp;$B277&amp;"*",'Timesheet Raw'!$L$4:$L$8000,"&gt;="&amp;G$5,'Timesheet Raw'!$L$4:$L$8000,"&lt;="&amp;G$6)))/'Profit Plan'!$B$5)</f>
        <v>0</v>
      </c>
      <c r="H277" s="122">
        <f>IF($A277="","",(IF(ISNUMBER(SEARCH("Proposal",$A277)),SUMIFS('Timesheet Raw'!$P$4:$P$8000,'Timesheet Raw'!$A$4:$A$8000,IF(ISNUMBER(SEARCH("Chargable",$A277)),"2-Proposals Chargeable","3-Proposals Regular"),'Timesheet Raw'!$C$4:$C$8000,"*"&amp;$B277&amp;"*",'Timesheet Raw'!$L$4:$L$8000,"&gt;="&amp;MAX(H$5,DATE(2000+VALUE(RIGHT(TRIM($A277),2)),1,1)),'Timesheet Raw'!$L$4:$L$8000,"&lt;="&amp;MIN(H$6,DATE(2000+VALUE(RIGHT(TRIM($A277),2)),12,31))),SUMIFS('Timesheet Raw'!$P$4:$P$8000,'Timesheet Raw'!$B$4:$B$8000,TRIM($A277),'Timesheet Raw'!$C$4:$C$8000,"*"&amp;$B277&amp;"*",'Timesheet Raw'!$L$4:$L$8000,"&gt;="&amp;H$5,'Timesheet Raw'!$L$4:$L$8000,"&lt;="&amp;H$6)))/'Profit Plan'!$B$5)</f>
        <v>0</v>
      </c>
      <c r="I277" s="122">
        <f>IF($A277="","",(IF(ISNUMBER(SEARCH("Proposal",$A277)),SUMIFS('Timesheet Raw'!$P$4:$P$8000,'Timesheet Raw'!$A$4:$A$8000,IF(ISNUMBER(SEARCH("Chargable",$A277)),"2-Proposals Chargeable","3-Proposals Regular"),'Timesheet Raw'!$C$4:$C$8000,"*"&amp;$B277&amp;"*",'Timesheet Raw'!$L$4:$L$8000,"&gt;="&amp;MAX(I$5,DATE(2000+VALUE(RIGHT(TRIM($A277),2)),1,1)),'Timesheet Raw'!$L$4:$L$8000,"&lt;="&amp;MIN(I$6,DATE(2000+VALUE(RIGHT(TRIM($A277),2)),12,31))),SUMIFS('Timesheet Raw'!$P$4:$P$8000,'Timesheet Raw'!$B$4:$B$8000,TRIM($A277),'Timesheet Raw'!$C$4:$C$8000,"*"&amp;$B277&amp;"*",'Timesheet Raw'!$L$4:$L$8000,"&gt;="&amp;I$5,'Timesheet Raw'!$L$4:$L$8000,"&lt;="&amp;I$6)))/'Profit Plan'!$B$5)</f>
        <v>0</v>
      </c>
      <c r="J277" s="122">
        <f>IF($A277="","",(IF(ISNUMBER(SEARCH("Proposal",$A277)),SUMIFS('Timesheet Raw'!$P$4:$P$8000,'Timesheet Raw'!$A$4:$A$8000,IF(ISNUMBER(SEARCH("Chargable",$A277)),"2-Proposals Chargeable","3-Proposals Regular"),'Timesheet Raw'!$C$4:$C$8000,"*"&amp;$B277&amp;"*",'Timesheet Raw'!$L$4:$L$8000,"&gt;="&amp;MAX(J$5,DATE(2000+VALUE(RIGHT(TRIM($A277),2)),1,1)),'Timesheet Raw'!$L$4:$L$8000,"&lt;="&amp;MIN(J$6,DATE(2000+VALUE(RIGHT(TRIM($A277),2)),12,31))),SUMIFS('Timesheet Raw'!$P$4:$P$8000,'Timesheet Raw'!$B$4:$B$8000,TRIM($A277),'Timesheet Raw'!$C$4:$C$8000,"*"&amp;$B277&amp;"*",'Timesheet Raw'!$L$4:$L$8000,"&gt;="&amp;J$5,'Timesheet Raw'!$L$4:$L$8000,"&lt;="&amp;J$6)))/'Profit Plan'!$B$5)</f>
        <v>0</v>
      </c>
      <c r="K277" s="122">
        <f>IF($A277="","",(IF(ISNUMBER(SEARCH("Proposal",$A277)),SUMIFS('Timesheet Raw'!$P$4:$P$8000,'Timesheet Raw'!$A$4:$A$8000,IF(ISNUMBER(SEARCH("Chargable",$A277)),"2-Proposals Chargeable","3-Proposals Regular"),'Timesheet Raw'!$C$4:$C$8000,"*"&amp;$B277&amp;"*",'Timesheet Raw'!$L$4:$L$8000,"&gt;="&amp;MAX(K$5,DATE(2000+VALUE(RIGHT(TRIM($A277),2)),1,1)),'Timesheet Raw'!$L$4:$L$8000,"&lt;="&amp;MIN(K$6,DATE(2000+VALUE(RIGHT(TRIM($A277),2)),12,31))),SUMIFS('Timesheet Raw'!$P$4:$P$8000,'Timesheet Raw'!$B$4:$B$8000,TRIM($A277),'Timesheet Raw'!$C$4:$C$8000,"*"&amp;$B277&amp;"*",'Timesheet Raw'!$L$4:$L$8000,"&gt;="&amp;K$5,'Timesheet Raw'!$L$4:$L$8000,"&lt;="&amp;K$6)))/'Profit Plan'!$B$5)</f>
        <v>0</v>
      </c>
      <c r="L277" s="122">
        <f>IF($A277="","",(IF(ISNUMBER(SEARCH("Proposal",$A277)),SUMIFS('Timesheet Raw'!$P$4:$P$8000,'Timesheet Raw'!$A$4:$A$8000,IF(ISNUMBER(SEARCH("Chargable",$A277)),"2-Proposals Chargeable","3-Proposals Regular"),'Timesheet Raw'!$C$4:$C$8000,"*"&amp;$B277&amp;"*",'Timesheet Raw'!$L$4:$L$8000,"&gt;="&amp;MAX(L$5,DATE(2000+VALUE(RIGHT(TRIM($A277),2)),1,1)),'Timesheet Raw'!$L$4:$L$8000,"&lt;="&amp;MIN(L$6,DATE(2000+VALUE(RIGHT(TRIM($A277),2)),12,31))),SUMIFS('Timesheet Raw'!$P$4:$P$8000,'Timesheet Raw'!$B$4:$B$8000,TRIM($A277),'Timesheet Raw'!$C$4:$C$8000,"*"&amp;$B277&amp;"*",'Timesheet Raw'!$L$4:$L$8000,"&gt;="&amp;L$5,'Timesheet Raw'!$L$4:$L$8000,"&lt;="&amp;L$6)))/'Profit Plan'!$B$5)</f>
        <v>0</v>
      </c>
      <c r="M277" s="122">
        <f>IF($A277="","",(IF(ISNUMBER(SEARCH("Proposal",$A277)),SUMIFS('Timesheet Raw'!$P$4:$P$8000,'Timesheet Raw'!$A$4:$A$8000,IF(ISNUMBER(SEARCH("Chargable",$A277)),"2-Proposals Chargeable","3-Proposals Regular"),'Timesheet Raw'!$C$4:$C$8000,"*"&amp;$B277&amp;"*",'Timesheet Raw'!$L$4:$L$8000,"&gt;="&amp;MAX(M$5,DATE(2000+VALUE(RIGHT(TRIM($A277),2)),1,1)),'Timesheet Raw'!$L$4:$L$8000,"&lt;="&amp;MIN(M$6,DATE(2000+VALUE(RIGHT(TRIM($A277),2)),12,31))),SUMIFS('Timesheet Raw'!$P$4:$P$8000,'Timesheet Raw'!$B$4:$B$8000,TRIM($A277),'Timesheet Raw'!$C$4:$C$8000,"*"&amp;$B277&amp;"*",'Timesheet Raw'!$L$4:$L$8000,"&gt;="&amp;M$5,'Timesheet Raw'!$L$4:$L$8000,"&lt;="&amp;M$6)))/'Profit Plan'!$B$5)</f>
        <v>0</v>
      </c>
      <c r="N277" s="122">
        <f>IF($A277="","",(IF(ISNUMBER(SEARCH("Proposal",$A277)),SUMIFS('Timesheet Raw'!$P$4:$P$8000,'Timesheet Raw'!$A$4:$A$8000,IF(ISNUMBER(SEARCH("Chargable",$A277)),"2-Proposals Chargeable","3-Proposals Regular"),'Timesheet Raw'!$C$4:$C$8000,"*"&amp;$B277&amp;"*",'Timesheet Raw'!$L$4:$L$8000,"&gt;="&amp;MAX(N$5,DATE(2000+VALUE(RIGHT(TRIM($A277),2)),1,1)),'Timesheet Raw'!$L$4:$L$8000,"&lt;="&amp;MIN(N$6,DATE(2000+VALUE(RIGHT(TRIM($A277),2)),12,31))),SUMIFS('Timesheet Raw'!$P$4:$P$8000,'Timesheet Raw'!$B$4:$B$8000,TRIM($A277),'Timesheet Raw'!$C$4:$C$8000,"*"&amp;$B277&amp;"*",'Timesheet Raw'!$L$4:$L$8000,"&gt;="&amp;N$5,'Timesheet Raw'!$L$4:$L$8000,"&lt;="&amp;N$6)))/'Profit Plan'!$B$5)</f>
        <v>0</v>
      </c>
      <c r="O277" s="122">
        <f>IF($A277="","",(IF(ISNUMBER(SEARCH("Proposal",$A277)),SUMIFS('Timesheet Raw'!$P$4:$P$8000,'Timesheet Raw'!$A$4:$A$8000,IF(ISNUMBER(SEARCH("Chargable",$A277)),"2-Proposals Chargeable","3-Proposals Regular"),'Timesheet Raw'!$C$4:$C$8000,"*"&amp;$B277&amp;"*",'Timesheet Raw'!$L$4:$L$8000,"&gt;="&amp;MAX(O$5,DATE(2000+VALUE(RIGHT(TRIM($A277),2)),1,1)),'Timesheet Raw'!$L$4:$L$8000,"&lt;="&amp;MIN(O$6,DATE(2000+VALUE(RIGHT(TRIM($A277),2)),12,31))),SUMIFS('Timesheet Raw'!$P$4:$P$8000,'Timesheet Raw'!$B$4:$B$8000,TRIM($A277),'Timesheet Raw'!$C$4:$C$8000,"*"&amp;$B277&amp;"*",'Timesheet Raw'!$L$4:$L$8000,"&gt;="&amp;O$5,'Timesheet Raw'!$L$4:$L$8000,"&lt;="&amp;O$6)))/'Profit Plan'!$B$5)</f>
        <v>0</v>
      </c>
      <c r="P277" s="122">
        <f>IF($A277="","",(IF(ISNUMBER(SEARCH("Proposal",$A277)),SUMIFS('Timesheet Raw'!$P$4:$P$8000,'Timesheet Raw'!$A$4:$A$8000,IF(ISNUMBER(SEARCH("Chargable",$A277)),"2-Proposals Chargeable","3-Proposals Regular"),'Timesheet Raw'!$C$4:$C$8000,"*"&amp;$B277&amp;"*",'Timesheet Raw'!$L$4:$L$8000,"&gt;="&amp;MAX(P$5,DATE(2000+VALUE(RIGHT(TRIM($A277),2)),1,1)),'Timesheet Raw'!$L$4:$L$8000,"&lt;="&amp;MIN(P$6,DATE(2000+VALUE(RIGHT(TRIM($A277),2)),12,31))),SUMIFS('Timesheet Raw'!$P$4:$P$8000,'Timesheet Raw'!$B$4:$B$8000,TRIM($A277),'Timesheet Raw'!$C$4:$C$8000,"*"&amp;$B277&amp;"*",'Timesheet Raw'!$L$4:$L$8000,"&gt;="&amp;P$5,'Timesheet Raw'!$L$4:$L$8000,"&lt;="&amp;P$6)))/'Profit Plan'!$B$5)</f>
        <v>0</v>
      </c>
      <c r="Q277" s="122">
        <f>IF($A277="","",(IF(ISNUMBER(SEARCH("Proposal",$A277)),SUMIFS('Timesheet Raw'!$P$4:$P$8000,'Timesheet Raw'!$A$4:$A$8000,IF(ISNUMBER(SEARCH("Chargable",$A277)),"2-Proposals Chargeable","3-Proposals Regular"),'Timesheet Raw'!$C$4:$C$8000,"*"&amp;$B277&amp;"*",'Timesheet Raw'!$L$4:$L$8000,"&gt;="&amp;MAX(Q$5,DATE(2000+VALUE(RIGHT(TRIM($A277),2)),1,1)),'Timesheet Raw'!$L$4:$L$8000,"&lt;="&amp;MIN(Q$6,DATE(2000+VALUE(RIGHT(TRIM($A277),2)),12,31))),SUMIFS('Timesheet Raw'!$P$4:$P$8000,'Timesheet Raw'!$B$4:$B$8000,TRIM($A277),'Timesheet Raw'!$C$4:$C$8000,"*"&amp;$B277&amp;"*",'Timesheet Raw'!$L$4:$L$8000,"&gt;="&amp;Q$5,'Timesheet Raw'!$L$4:$L$8000,"&lt;="&amp;Q$6)))/'Profit Plan'!$B$5)</f>
        <v>0</v>
      </c>
      <c r="R277" s="122">
        <f>IF($A277="","",(IF(ISNUMBER(SEARCH("Proposal",$A277)),SUMIFS('Timesheet Raw'!$P$4:$P$8000,'Timesheet Raw'!$A$4:$A$8000,IF(ISNUMBER(SEARCH("Chargable",$A277)),"2-Proposals Chargeable","3-Proposals Regular"),'Timesheet Raw'!$C$4:$C$8000,"*"&amp;$B277&amp;"*",'Timesheet Raw'!$L$4:$L$8000,"&gt;="&amp;MAX(R$5,DATE(2000+VALUE(RIGHT(TRIM($A277),2)),1,1)),'Timesheet Raw'!$L$4:$L$8000,"&lt;="&amp;MIN(R$6,DATE(2000+VALUE(RIGHT(TRIM($A277),2)),12,31))),SUMIFS('Timesheet Raw'!$P$4:$P$8000,'Timesheet Raw'!$B$4:$B$8000,TRIM($A277),'Timesheet Raw'!$C$4:$C$8000,"*"&amp;$B277&amp;"*",'Timesheet Raw'!$L$4:$L$8000,"&gt;="&amp;R$5,'Timesheet Raw'!$L$4:$L$8000,"&lt;="&amp;R$6)))/'Profit Plan'!$B$5)</f>
        <v>0</v>
      </c>
      <c r="S277" s="122">
        <f>IF($A277="","",(IF(ISNUMBER(SEARCH("Proposal",$A277)),SUMIFS('Timesheet Raw'!$P$4:$P$8000,'Timesheet Raw'!$A$4:$A$8000,IF(ISNUMBER(SEARCH("Chargable",$A277)),"2-Proposals Chargeable","3-Proposals Regular"),'Timesheet Raw'!$C$4:$C$8000,"*"&amp;$B277&amp;"*",'Timesheet Raw'!$L$4:$L$8000,"&gt;="&amp;MAX(S$5,DATE(2000+VALUE(RIGHT(TRIM($A277),2)),1,1)),'Timesheet Raw'!$L$4:$L$8000,"&lt;="&amp;MIN(S$6,DATE(2000+VALUE(RIGHT(TRIM($A277),2)),12,31))),SUMIFS('Timesheet Raw'!$P$4:$P$8000,'Timesheet Raw'!$B$4:$B$8000,TRIM($A277),'Timesheet Raw'!$C$4:$C$8000,"*"&amp;$B277&amp;"*",'Timesheet Raw'!$L$4:$L$8000,"&gt;="&amp;S$5,'Timesheet Raw'!$L$4:$L$8000,"&lt;="&amp;S$6)))/'Profit Plan'!$B$5)</f>
        <v>0</v>
      </c>
      <c r="T277" s="122">
        <f>IF($A277="","",(IF(ISNUMBER(SEARCH("Proposal",$A277)),SUMIFS('Timesheet Raw'!$P$4:$P$8000,'Timesheet Raw'!$A$4:$A$8000,IF(ISNUMBER(SEARCH("Chargable",$A277)),"2-Proposals Chargeable","3-Proposals Regular"),'Timesheet Raw'!$C$4:$C$8000,"*"&amp;$B277&amp;"*",'Timesheet Raw'!$L$4:$L$8000,"&gt;="&amp;MAX(T$5,DATE(2000+VALUE(RIGHT(TRIM($A277),2)),1,1)),'Timesheet Raw'!$L$4:$L$8000,"&lt;="&amp;MIN(T$6,DATE(2000+VALUE(RIGHT(TRIM($A277),2)),12,31))),SUMIFS('Timesheet Raw'!$P$4:$P$8000,'Timesheet Raw'!$B$4:$B$8000,TRIM($A277),'Timesheet Raw'!$C$4:$C$8000,"*"&amp;$B277&amp;"*",'Timesheet Raw'!$L$4:$L$8000,"&gt;="&amp;T$5,'Timesheet Raw'!$L$4:$L$8000,"&lt;="&amp;T$6)))/'Profit Plan'!$B$5)</f>
        <v>0</v>
      </c>
      <c r="U277" s="122">
        <f>IF($A277="","",(IF(ISNUMBER(SEARCH("Proposal",$A277)),SUMIFS('Timesheet Raw'!$P$4:$P$8000,'Timesheet Raw'!$A$4:$A$8000,IF(ISNUMBER(SEARCH("Chargable",$A277)),"2-Proposals Chargeable","3-Proposals Regular"),'Timesheet Raw'!$C$4:$C$8000,"*"&amp;$B277&amp;"*",'Timesheet Raw'!$L$4:$L$8000,"&gt;="&amp;MAX(U$5,DATE(2000+VALUE(RIGHT(TRIM($A277),2)),1,1)),'Timesheet Raw'!$L$4:$L$8000,"&lt;="&amp;MIN(U$6,DATE(2000+VALUE(RIGHT(TRIM($A277),2)),12,31))),SUMIFS('Timesheet Raw'!$P$4:$P$8000,'Timesheet Raw'!$B$4:$B$8000,TRIM($A277),'Timesheet Raw'!$C$4:$C$8000,"*"&amp;$B277&amp;"*",'Timesheet Raw'!$L$4:$L$8000,"&gt;="&amp;U$5,'Timesheet Raw'!$L$4:$L$8000,"&lt;="&amp;U$6)))/'Profit Plan'!$B$5)</f>
        <v>0</v>
      </c>
      <c r="V277" s="122">
        <f>IF($A277="","",(IF(ISNUMBER(SEARCH("Proposal",$A277)),SUMIFS('Timesheet Raw'!$P$4:$P$8000,'Timesheet Raw'!$A$4:$A$8000,IF(ISNUMBER(SEARCH("Chargable",$A277)),"2-Proposals Chargeable","3-Proposals Regular"),'Timesheet Raw'!$C$4:$C$8000,"*"&amp;$B277&amp;"*",'Timesheet Raw'!$L$4:$L$8000,"&gt;="&amp;MAX(V$5,DATE(2000+VALUE(RIGHT(TRIM($A277),2)),1,1)),'Timesheet Raw'!$L$4:$L$8000,"&lt;="&amp;MIN(V$6,DATE(2000+VALUE(RIGHT(TRIM($A277),2)),12,31))),SUMIFS('Timesheet Raw'!$P$4:$P$8000,'Timesheet Raw'!$B$4:$B$8000,TRIM($A277),'Timesheet Raw'!$C$4:$C$8000,"*"&amp;$B277&amp;"*",'Timesheet Raw'!$L$4:$L$8000,"&gt;="&amp;V$5,'Timesheet Raw'!$L$4:$L$8000,"&lt;="&amp;V$6)))/'Profit Plan'!$B$5)</f>
        <v>0</v>
      </c>
      <c r="W277" s="122">
        <f>IF($A277="","",(IF(ISNUMBER(SEARCH("Proposal",$A277)),SUMIFS('Timesheet Raw'!$P$4:$P$8000,'Timesheet Raw'!$A$4:$A$8000,IF(ISNUMBER(SEARCH("Chargable",$A277)),"2-Proposals Chargeable","3-Proposals Regular"),'Timesheet Raw'!$C$4:$C$8000,"*"&amp;$B277&amp;"*",'Timesheet Raw'!$L$4:$L$8000,"&gt;="&amp;MAX(W$5,DATE(2000+VALUE(RIGHT(TRIM($A277),2)),1,1)),'Timesheet Raw'!$L$4:$L$8000,"&lt;="&amp;MIN(W$6,DATE(2000+VALUE(RIGHT(TRIM($A277),2)),12,31))),SUMIFS('Timesheet Raw'!$P$4:$P$8000,'Timesheet Raw'!$B$4:$B$8000,TRIM($A277),'Timesheet Raw'!$C$4:$C$8000,"*"&amp;$B277&amp;"*",'Timesheet Raw'!$L$4:$L$8000,"&gt;="&amp;W$5,'Timesheet Raw'!$L$4:$L$8000,"&lt;="&amp;W$6)))/'Profit Plan'!$B$5)</f>
        <v>0</v>
      </c>
      <c r="X277" s="122">
        <f>IF($A277="","",(IF(ISNUMBER(SEARCH("Proposal",$A277)),SUMIFS('Timesheet Raw'!$P$4:$P$8000,'Timesheet Raw'!$A$4:$A$8000,IF(ISNUMBER(SEARCH("Chargable",$A277)),"2-Proposals Chargeable","3-Proposals Regular"),'Timesheet Raw'!$C$4:$C$8000,"*"&amp;$B277&amp;"*",'Timesheet Raw'!$L$4:$L$8000,"&gt;="&amp;MAX(X$5,DATE(2000+VALUE(RIGHT(TRIM($A277),2)),1,1)),'Timesheet Raw'!$L$4:$L$8000,"&lt;="&amp;MIN(X$6,DATE(2000+VALUE(RIGHT(TRIM($A277),2)),12,31))),SUMIFS('Timesheet Raw'!$P$4:$P$8000,'Timesheet Raw'!$B$4:$B$8000,TRIM($A277),'Timesheet Raw'!$C$4:$C$8000,"*"&amp;$B277&amp;"*",'Timesheet Raw'!$L$4:$L$8000,"&gt;="&amp;X$5,'Timesheet Raw'!$L$4:$L$8000,"&lt;="&amp;X$6)))/'Profit Plan'!$B$5)</f>
        <v>0</v>
      </c>
      <c r="Y277" s="118">
        <f t="shared" si="100"/>
        <v>0</v>
      </c>
    </row>
    <row r="278" spans="1:25" x14ac:dyDescent="0.3">
      <c r="A278" s="116" t="str">
        <f>IF(Inputs!$A10="","",Inputs!$A10)</f>
        <v>D26058-0100D</v>
      </c>
      <c r="B278" s="116" t="str">
        <f>IF(Inputs!$A10="","",Inputs!$A$92)</f>
        <v>Osama</v>
      </c>
      <c r="C278" s="116"/>
      <c r="D278" s="122">
        <f>IF($A278="","",(IF(ISNUMBER(SEARCH("Proposal",$A278)),SUMIFS('Timesheet Raw'!$P$4:$P$8000,'Timesheet Raw'!$A$4:$A$8000,IF(ISNUMBER(SEARCH("Chargable",$A278)),"2-Proposals Chargeable","3-Proposals Regular"),'Timesheet Raw'!$C$4:$C$8000,"*"&amp;$B278&amp;"*",'Timesheet Raw'!$L$4:$L$8000,"&gt;="&amp;MAX(D$5,DATE(2000+VALUE(RIGHT(TRIM($A278),2)),1,1)),'Timesheet Raw'!$L$4:$L$8000,"&lt;="&amp;MIN(D$6,DATE(2000+VALUE(RIGHT(TRIM($A278),2)),12,31))),SUMIFS('Timesheet Raw'!$P$4:$P$8000,'Timesheet Raw'!$B$4:$B$8000,TRIM($A278),'Timesheet Raw'!$C$4:$C$8000,"*"&amp;$B278&amp;"*",'Timesheet Raw'!$L$4:$L$8000,"&gt;="&amp;D$5,'Timesheet Raw'!$L$4:$L$8000,"&lt;="&amp;D$6)))/'Profit Plan'!$B$5)</f>
        <v>0</v>
      </c>
      <c r="E278" s="122">
        <f>IF($A278="","",(IF(ISNUMBER(SEARCH("Proposal",$A278)),SUMIFS('Timesheet Raw'!$P$4:$P$8000,'Timesheet Raw'!$A$4:$A$8000,IF(ISNUMBER(SEARCH("Chargable",$A278)),"2-Proposals Chargeable","3-Proposals Regular"),'Timesheet Raw'!$C$4:$C$8000,"*"&amp;$B278&amp;"*",'Timesheet Raw'!$L$4:$L$8000,"&gt;="&amp;MAX(E$5,DATE(2000+VALUE(RIGHT(TRIM($A278),2)),1,1)),'Timesheet Raw'!$L$4:$L$8000,"&lt;="&amp;MIN(E$6,DATE(2000+VALUE(RIGHT(TRIM($A278),2)),12,31))),SUMIFS('Timesheet Raw'!$P$4:$P$8000,'Timesheet Raw'!$B$4:$B$8000,TRIM($A278),'Timesheet Raw'!$C$4:$C$8000,"*"&amp;$B278&amp;"*",'Timesheet Raw'!$L$4:$L$8000,"&gt;="&amp;E$5,'Timesheet Raw'!$L$4:$L$8000,"&lt;="&amp;E$6)))/'Profit Plan'!$B$5)</f>
        <v>0</v>
      </c>
      <c r="F278" s="122">
        <f>IF($A278="","",(IF(ISNUMBER(SEARCH("Proposal",$A278)),SUMIFS('Timesheet Raw'!$P$4:$P$8000,'Timesheet Raw'!$A$4:$A$8000,IF(ISNUMBER(SEARCH("Chargable",$A278)),"2-Proposals Chargeable","3-Proposals Regular"),'Timesheet Raw'!$C$4:$C$8000,"*"&amp;$B278&amp;"*",'Timesheet Raw'!$L$4:$L$8000,"&gt;="&amp;MAX(F$5,DATE(2000+VALUE(RIGHT(TRIM($A278),2)),1,1)),'Timesheet Raw'!$L$4:$L$8000,"&lt;="&amp;MIN(F$6,DATE(2000+VALUE(RIGHT(TRIM($A278),2)),12,31))),SUMIFS('Timesheet Raw'!$P$4:$P$8000,'Timesheet Raw'!$B$4:$B$8000,TRIM($A278),'Timesheet Raw'!$C$4:$C$8000,"*"&amp;$B278&amp;"*",'Timesheet Raw'!$L$4:$L$8000,"&gt;="&amp;F$5,'Timesheet Raw'!$L$4:$L$8000,"&lt;="&amp;F$6)))/'Profit Plan'!$B$5)</f>
        <v>0</v>
      </c>
      <c r="G278" s="122">
        <f>IF($A278="","",(IF(ISNUMBER(SEARCH("Proposal",$A278)),SUMIFS('Timesheet Raw'!$P$4:$P$8000,'Timesheet Raw'!$A$4:$A$8000,IF(ISNUMBER(SEARCH("Chargable",$A278)),"2-Proposals Chargeable","3-Proposals Regular"),'Timesheet Raw'!$C$4:$C$8000,"*"&amp;$B278&amp;"*",'Timesheet Raw'!$L$4:$L$8000,"&gt;="&amp;MAX(G$5,DATE(2000+VALUE(RIGHT(TRIM($A278),2)),1,1)),'Timesheet Raw'!$L$4:$L$8000,"&lt;="&amp;MIN(G$6,DATE(2000+VALUE(RIGHT(TRIM($A278),2)),12,31))),SUMIFS('Timesheet Raw'!$P$4:$P$8000,'Timesheet Raw'!$B$4:$B$8000,TRIM($A278),'Timesheet Raw'!$C$4:$C$8000,"*"&amp;$B278&amp;"*",'Timesheet Raw'!$L$4:$L$8000,"&gt;="&amp;G$5,'Timesheet Raw'!$L$4:$L$8000,"&lt;="&amp;G$6)))/'Profit Plan'!$B$5)</f>
        <v>0</v>
      </c>
      <c r="H278" s="122">
        <f>IF($A278="","",(IF(ISNUMBER(SEARCH("Proposal",$A278)),SUMIFS('Timesheet Raw'!$P$4:$P$8000,'Timesheet Raw'!$A$4:$A$8000,IF(ISNUMBER(SEARCH("Chargable",$A278)),"2-Proposals Chargeable","3-Proposals Regular"),'Timesheet Raw'!$C$4:$C$8000,"*"&amp;$B278&amp;"*",'Timesheet Raw'!$L$4:$L$8000,"&gt;="&amp;MAX(H$5,DATE(2000+VALUE(RIGHT(TRIM($A278),2)),1,1)),'Timesheet Raw'!$L$4:$L$8000,"&lt;="&amp;MIN(H$6,DATE(2000+VALUE(RIGHT(TRIM($A278),2)),12,31))),SUMIFS('Timesheet Raw'!$P$4:$P$8000,'Timesheet Raw'!$B$4:$B$8000,TRIM($A278),'Timesheet Raw'!$C$4:$C$8000,"*"&amp;$B278&amp;"*",'Timesheet Raw'!$L$4:$L$8000,"&gt;="&amp;H$5,'Timesheet Raw'!$L$4:$L$8000,"&lt;="&amp;H$6)))/'Profit Plan'!$B$5)</f>
        <v>0</v>
      </c>
      <c r="I278" s="122">
        <f>IF($A278="","",(IF(ISNUMBER(SEARCH("Proposal",$A278)),SUMIFS('Timesheet Raw'!$P$4:$P$8000,'Timesheet Raw'!$A$4:$A$8000,IF(ISNUMBER(SEARCH("Chargable",$A278)),"2-Proposals Chargeable","3-Proposals Regular"),'Timesheet Raw'!$C$4:$C$8000,"*"&amp;$B278&amp;"*",'Timesheet Raw'!$L$4:$L$8000,"&gt;="&amp;MAX(I$5,DATE(2000+VALUE(RIGHT(TRIM($A278),2)),1,1)),'Timesheet Raw'!$L$4:$L$8000,"&lt;="&amp;MIN(I$6,DATE(2000+VALUE(RIGHT(TRIM($A278),2)),12,31))),SUMIFS('Timesheet Raw'!$P$4:$P$8000,'Timesheet Raw'!$B$4:$B$8000,TRIM($A278),'Timesheet Raw'!$C$4:$C$8000,"*"&amp;$B278&amp;"*",'Timesheet Raw'!$L$4:$L$8000,"&gt;="&amp;I$5,'Timesheet Raw'!$L$4:$L$8000,"&lt;="&amp;I$6)))/'Profit Plan'!$B$5)</f>
        <v>0</v>
      </c>
      <c r="J278" s="122">
        <f>IF($A278="","",(IF(ISNUMBER(SEARCH("Proposal",$A278)),SUMIFS('Timesheet Raw'!$P$4:$P$8000,'Timesheet Raw'!$A$4:$A$8000,IF(ISNUMBER(SEARCH("Chargable",$A278)),"2-Proposals Chargeable","3-Proposals Regular"),'Timesheet Raw'!$C$4:$C$8000,"*"&amp;$B278&amp;"*",'Timesheet Raw'!$L$4:$L$8000,"&gt;="&amp;MAX(J$5,DATE(2000+VALUE(RIGHT(TRIM($A278),2)),1,1)),'Timesheet Raw'!$L$4:$L$8000,"&lt;="&amp;MIN(J$6,DATE(2000+VALUE(RIGHT(TRIM($A278),2)),12,31))),SUMIFS('Timesheet Raw'!$P$4:$P$8000,'Timesheet Raw'!$B$4:$B$8000,TRIM($A278),'Timesheet Raw'!$C$4:$C$8000,"*"&amp;$B278&amp;"*",'Timesheet Raw'!$L$4:$L$8000,"&gt;="&amp;J$5,'Timesheet Raw'!$L$4:$L$8000,"&lt;="&amp;J$6)))/'Profit Plan'!$B$5)</f>
        <v>0</v>
      </c>
      <c r="K278" s="122">
        <f>IF($A278="","",(IF(ISNUMBER(SEARCH("Proposal",$A278)),SUMIFS('Timesheet Raw'!$P$4:$P$8000,'Timesheet Raw'!$A$4:$A$8000,IF(ISNUMBER(SEARCH("Chargable",$A278)),"2-Proposals Chargeable","3-Proposals Regular"),'Timesheet Raw'!$C$4:$C$8000,"*"&amp;$B278&amp;"*",'Timesheet Raw'!$L$4:$L$8000,"&gt;="&amp;MAX(K$5,DATE(2000+VALUE(RIGHT(TRIM($A278),2)),1,1)),'Timesheet Raw'!$L$4:$L$8000,"&lt;="&amp;MIN(K$6,DATE(2000+VALUE(RIGHT(TRIM($A278),2)),12,31))),SUMIFS('Timesheet Raw'!$P$4:$P$8000,'Timesheet Raw'!$B$4:$B$8000,TRIM($A278),'Timesheet Raw'!$C$4:$C$8000,"*"&amp;$B278&amp;"*",'Timesheet Raw'!$L$4:$L$8000,"&gt;="&amp;K$5,'Timesheet Raw'!$L$4:$L$8000,"&lt;="&amp;K$6)))/'Profit Plan'!$B$5)</f>
        <v>0</v>
      </c>
      <c r="L278" s="122">
        <f>IF($A278="","",(IF(ISNUMBER(SEARCH("Proposal",$A278)),SUMIFS('Timesheet Raw'!$P$4:$P$8000,'Timesheet Raw'!$A$4:$A$8000,IF(ISNUMBER(SEARCH("Chargable",$A278)),"2-Proposals Chargeable","3-Proposals Regular"),'Timesheet Raw'!$C$4:$C$8000,"*"&amp;$B278&amp;"*",'Timesheet Raw'!$L$4:$L$8000,"&gt;="&amp;MAX(L$5,DATE(2000+VALUE(RIGHT(TRIM($A278),2)),1,1)),'Timesheet Raw'!$L$4:$L$8000,"&lt;="&amp;MIN(L$6,DATE(2000+VALUE(RIGHT(TRIM($A278),2)),12,31))),SUMIFS('Timesheet Raw'!$P$4:$P$8000,'Timesheet Raw'!$B$4:$B$8000,TRIM($A278),'Timesheet Raw'!$C$4:$C$8000,"*"&amp;$B278&amp;"*",'Timesheet Raw'!$L$4:$L$8000,"&gt;="&amp;L$5,'Timesheet Raw'!$L$4:$L$8000,"&lt;="&amp;L$6)))/'Profit Plan'!$B$5)</f>
        <v>0</v>
      </c>
      <c r="M278" s="122">
        <f>IF($A278="","",(IF(ISNUMBER(SEARCH("Proposal",$A278)),SUMIFS('Timesheet Raw'!$P$4:$P$8000,'Timesheet Raw'!$A$4:$A$8000,IF(ISNUMBER(SEARCH("Chargable",$A278)),"2-Proposals Chargeable","3-Proposals Regular"),'Timesheet Raw'!$C$4:$C$8000,"*"&amp;$B278&amp;"*",'Timesheet Raw'!$L$4:$L$8000,"&gt;="&amp;MAX(M$5,DATE(2000+VALUE(RIGHT(TRIM($A278),2)),1,1)),'Timesheet Raw'!$L$4:$L$8000,"&lt;="&amp;MIN(M$6,DATE(2000+VALUE(RIGHT(TRIM($A278),2)),12,31))),SUMIFS('Timesheet Raw'!$P$4:$P$8000,'Timesheet Raw'!$B$4:$B$8000,TRIM($A278),'Timesheet Raw'!$C$4:$C$8000,"*"&amp;$B278&amp;"*",'Timesheet Raw'!$L$4:$L$8000,"&gt;="&amp;M$5,'Timesheet Raw'!$L$4:$L$8000,"&lt;="&amp;M$6)))/'Profit Plan'!$B$5)</f>
        <v>0</v>
      </c>
      <c r="N278" s="122">
        <f>IF($A278="","",(IF(ISNUMBER(SEARCH("Proposal",$A278)),SUMIFS('Timesheet Raw'!$P$4:$P$8000,'Timesheet Raw'!$A$4:$A$8000,IF(ISNUMBER(SEARCH("Chargable",$A278)),"2-Proposals Chargeable","3-Proposals Regular"),'Timesheet Raw'!$C$4:$C$8000,"*"&amp;$B278&amp;"*",'Timesheet Raw'!$L$4:$L$8000,"&gt;="&amp;MAX(N$5,DATE(2000+VALUE(RIGHT(TRIM($A278),2)),1,1)),'Timesheet Raw'!$L$4:$L$8000,"&lt;="&amp;MIN(N$6,DATE(2000+VALUE(RIGHT(TRIM($A278),2)),12,31))),SUMIFS('Timesheet Raw'!$P$4:$P$8000,'Timesheet Raw'!$B$4:$B$8000,TRIM($A278),'Timesheet Raw'!$C$4:$C$8000,"*"&amp;$B278&amp;"*",'Timesheet Raw'!$L$4:$L$8000,"&gt;="&amp;N$5,'Timesheet Raw'!$L$4:$L$8000,"&lt;="&amp;N$6)))/'Profit Plan'!$B$5)</f>
        <v>0</v>
      </c>
      <c r="O278" s="122">
        <f>IF($A278="","",(IF(ISNUMBER(SEARCH("Proposal",$A278)),SUMIFS('Timesheet Raw'!$P$4:$P$8000,'Timesheet Raw'!$A$4:$A$8000,IF(ISNUMBER(SEARCH("Chargable",$A278)),"2-Proposals Chargeable","3-Proposals Regular"),'Timesheet Raw'!$C$4:$C$8000,"*"&amp;$B278&amp;"*",'Timesheet Raw'!$L$4:$L$8000,"&gt;="&amp;MAX(O$5,DATE(2000+VALUE(RIGHT(TRIM($A278),2)),1,1)),'Timesheet Raw'!$L$4:$L$8000,"&lt;="&amp;MIN(O$6,DATE(2000+VALUE(RIGHT(TRIM($A278),2)),12,31))),SUMIFS('Timesheet Raw'!$P$4:$P$8000,'Timesheet Raw'!$B$4:$B$8000,TRIM($A278),'Timesheet Raw'!$C$4:$C$8000,"*"&amp;$B278&amp;"*",'Timesheet Raw'!$L$4:$L$8000,"&gt;="&amp;O$5,'Timesheet Raw'!$L$4:$L$8000,"&lt;="&amp;O$6)))/'Profit Plan'!$B$5)</f>
        <v>0</v>
      </c>
      <c r="P278" s="122">
        <f>IF($A278="","",(IF(ISNUMBER(SEARCH("Proposal",$A278)),SUMIFS('Timesheet Raw'!$P$4:$P$8000,'Timesheet Raw'!$A$4:$A$8000,IF(ISNUMBER(SEARCH("Chargable",$A278)),"2-Proposals Chargeable","3-Proposals Regular"),'Timesheet Raw'!$C$4:$C$8000,"*"&amp;$B278&amp;"*",'Timesheet Raw'!$L$4:$L$8000,"&gt;="&amp;MAX(P$5,DATE(2000+VALUE(RIGHT(TRIM($A278),2)),1,1)),'Timesheet Raw'!$L$4:$L$8000,"&lt;="&amp;MIN(P$6,DATE(2000+VALUE(RIGHT(TRIM($A278),2)),12,31))),SUMIFS('Timesheet Raw'!$P$4:$P$8000,'Timesheet Raw'!$B$4:$B$8000,TRIM($A278),'Timesheet Raw'!$C$4:$C$8000,"*"&amp;$B278&amp;"*",'Timesheet Raw'!$L$4:$L$8000,"&gt;="&amp;P$5,'Timesheet Raw'!$L$4:$L$8000,"&lt;="&amp;P$6)))/'Profit Plan'!$B$5)</f>
        <v>0</v>
      </c>
      <c r="Q278" s="122">
        <f>IF($A278="","",(IF(ISNUMBER(SEARCH("Proposal",$A278)),SUMIFS('Timesheet Raw'!$P$4:$P$8000,'Timesheet Raw'!$A$4:$A$8000,IF(ISNUMBER(SEARCH("Chargable",$A278)),"2-Proposals Chargeable","3-Proposals Regular"),'Timesheet Raw'!$C$4:$C$8000,"*"&amp;$B278&amp;"*",'Timesheet Raw'!$L$4:$L$8000,"&gt;="&amp;MAX(Q$5,DATE(2000+VALUE(RIGHT(TRIM($A278),2)),1,1)),'Timesheet Raw'!$L$4:$L$8000,"&lt;="&amp;MIN(Q$6,DATE(2000+VALUE(RIGHT(TRIM($A278),2)),12,31))),SUMIFS('Timesheet Raw'!$P$4:$P$8000,'Timesheet Raw'!$B$4:$B$8000,TRIM($A278),'Timesheet Raw'!$C$4:$C$8000,"*"&amp;$B278&amp;"*",'Timesheet Raw'!$L$4:$L$8000,"&gt;="&amp;Q$5,'Timesheet Raw'!$L$4:$L$8000,"&lt;="&amp;Q$6)))/'Profit Plan'!$B$5)</f>
        <v>0</v>
      </c>
      <c r="R278" s="122">
        <f>IF($A278="","",(IF(ISNUMBER(SEARCH("Proposal",$A278)),SUMIFS('Timesheet Raw'!$P$4:$P$8000,'Timesheet Raw'!$A$4:$A$8000,IF(ISNUMBER(SEARCH("Chargable",$A278)),"2-Proposals Chargeable","3-Proposals Regular"),'Timesheet Raw'!$C$4:$C$8000,"*"&amp;$B278&amp;"*",'Timesheet Raw'!$L$4:$L$8000,"&gt;="&amp;MAX(R$5,DATE(2000+VALUE(RIGHT(TRIM($A278),2)),1,1)),'Timesheet Raw'!$L$4:$L$8000,"&lt;="&amp;MIN(R$6,DATE(2000+VALUE(RIGHT(TRIM($A278),2)),12,31))),SUMIFS('Timesheet Raw'!$P$4:$P$8000,'Timesheet Raw'!$B$4:$B$8000,TRIM($A278),'Timesheet Raw'!$C$4:$C$8000,"*"&amp;$B278&amp;"*",'Timesheet Raw'!$L$4:$L$8000,"&gt;="&amp;R$5,'Timesheet Raw'!$L$4:$L$8000,"&lt;="&amp;R$6)))/'Profit Plan'!$B$5)</f>
        <v>0</v>
      </c>
      <c r="S278" s="122">
        <f>IF($A278="","",(IF(ISNUMBER(SEARCH("Proposal",$A278)),SUMIFS('Timesheet Raw'!$P$4:$P$8000,'Timesheet Raw'!$A$4:$A$8000,IF(ISNUMBER(SEARCH("Chargable",$A278)),"2-Proposals Chargeable","3-Proposals Regular"),'Timesheet Raw'!$C$4:$C$8000,"*"&amp;$B278&amp;"*",'Timesheet Raw'!$L$4:$L$8000,"&gt;="&amp;MAX(S$5,DATE(2000+VALUE(RIGHT(TRIM($A278),2)),1,1)),'Timesheet Raw'!$L$4:$L$8000,"&lt;="&amp;MIN(S$6,DATE(2000+VALUE(RIGHT(TRIM($A278),2)),12,31))),SUMIFS('Timesheet Raw'!$P$4:$P$8000,'Timesheet Raw'!$B$4:$B$8000,TRIM($A278),'Timesheet Raw'!$C$4:$C$8000,"*"&amp;$B278&amp;"*",'Timesheet Raw'!$L$4:$L$8000,"&gt;="&amp;S$5,'Timesheet Raw'!$L$4:$L$8000,"&lt;="&amp;S$6)))/'Profit Plan'!$B$5)</f>
        <v>0</v>
      </c>
      <c r="T278" s="122">
        <f>IF($A278="","",(IF(ISNUMBER(SEARCH("Proposal",$A278)),SUMIFS('Timesheet Raw'!$P$4:$P$8000,'Timesheet Raw'!$A$4:$A$8000,IF(ISNUMBER(SEARCH("Chargable",$A278)),"2-Proposals Chargeable","3-Proposals Regular"),'Timesheet Raw'!$C$4:$C$8000,"*"&amp;$B278&amp;"*",'Timesheet Raw'!$L$4:$L$8000,"&gt;="&amp;MAX(T$5,DATE(2000+VALUE(RIGHT(TRIM($A278),2)),1,1)),'Timesheet Raw'!$L$4:$L$8000,"&lt;="&amp;MIN(T$6,DATE(2000+VALUE(RIGHT(TRIM($A278),2)),12,31))),SUMIFS('Timesheet Raw'!$P$4:$P$8000,'Timesheet Raw'!$B$4:$B$8000,TRIM($A278),'Timesheet Raw'!$C$4:$C$8000,"*"&amp;$B278&amp;"*",'Timesheet Raw'!$L$4:$L$8000,"&gt;="&amp;T$5,'Timesheet Raw'!$L$4:$L$8000,"&lt;="&amp;T$6)))/'Profit Plan'!$B$5)</f>
        <v>0</v>
      </c>
      <c r="U278" s="122">
        <f>IF($A278="","",(IF(ISNUMBER(SEARCH("Proposal",$A278)),SUMIFS('Timesheet Raw'!$P$4:$P$8000,'Timesheet Raw'!$A$4:$A$8000,IF(ISNUMBER(SEARCH("Chargable",$A278)),"2-Proposals Chargeable","3-Proposals Regular"),'Timesheet Raw'!$C$4:$C$8000,"*"&amp;$B278&amp;"*",'Timesheet Raw'!$L$4:$L$8000,"&gt;="&amp;MAX(U$5,DATE(2000+VALUE(RIGHT(TRIM($A278),2)),1,1)),'Timesheet Raw'!$L$4:$L$8000,"&lt;="&amp;MIN(U$6,DATE(2000+VALUE(RIGHT(TRIM($A278),2)),12,31))),SUMIFS('Timesheet Raw'!$P$4:$P$8000,'Timesheet Raw'!$B$4:$B$8000,TRIM($A278),'Timesheet Raw'!$C$4:$C$8000,"*"&amp;$B278&amp;"*",'Timesheet Raw'!$L$4:$L$8000,"&gt;="&amp;U$5,'Timesheet Raw'!$L$4:$L$8000,"&lt;="&amp;U$6)))/'Profit Plan'!$B$5)</f>
        <v>0</v>
      </c>
      <c r="V278" s="122">
        <f>IF($A278="","",(IF(ISNUMBER(SEARCH("Proposal",$A278)),SUMIFS('Timesheet Raw'!$P$4:$P$8000,'Timesheet Raw'!$A$4:$A$8000,IF(ISNUMBER(SEARCH("Chargable",$A278)),"2-Proposals Chargeable","3-Proposals Regular"),'Timesheet Raw'!$C$4:$C$8000,"*"&amp;$B278&amp;"*",'Timesheet Raw'!$L$4:$L$8000,"&gt;="&amp;MAX(V$5,DATE(2000+VALUE(RIGHT(TRIM($A278),2)),1,1)),'Timesheet Raw'!$L$4:$L$8000,"&lt;="&amp;MIN(V$6,DATE(2000+VALUE(RIGHT(TRIM($A278),2)),12,31))),SUMIFS('Timesheet Raw'!$P$4:$P$8000,'Timesheet Raw'!$B$4:$B$8000,TRIM($A278),'Timesheet Raw'!$C$4:$C$8000,"*"&amp;$B278&amp;"*",'Timesheet Raw'!$L$4:$L$8000,"&gt;="&amp;V$5,'Timesheet Raw'!$L$4:$L$8000,"&lt;="&amp;V$6)))/'Profit Plan'!$B$5)</f>
        <v>0</v>
      </c>
      <c r="W278" s="122">
        <f>IF($A278="","",(IF(ISNUMBER(SEARCH("Proposal",$A278)),SUMIFS('Timesheet Raw'!$P$4:$P$8000,'Timesheet Raw'!$A$4:$A$8000,IF(ISNUMBER(SEARCH("Chargable",$A278)),"2-Proposals Chargeable","3-Proposals Regular"),'Timesheet Raw'!$C$4:$C$8000,"*"&amp;$B278&amp;"*",'Timesheet Raw'!$L$4:$L$8000,"&gt;="&amp;MAX(W$5,DATE(2000+VALUE(RIGHT(TRIM($A278),2)),1,1)),'Timesheet Raw'!$L$4:$L$8000,"&lt;="&amp;MIN(W$6,DATE(2000+VALUE(RIGHT(TRIM($A278),2)),12,31))),SUMIFS('Timesheet Raw'!$P$4:$P$8000,'Timesheet Raw'!$B$4:$B$8000,TRIM($A278),'Timesheet Raw'!$C$4:$C$8000,"*"&amp;$B278&amp;"*",'Timesheet Raw'!$L$4:$L$8000,"&gt;="&amp;W$5,'Timesheet Raw'!$L$4:$L$8000,"&lt;="&amp;W$6)))/'Profit Plan'!$B$5)</f>
        <v>0</v>
      </c>
      <c r="X278" s="122">
        <f>IF($A278="","",(IF(ISNUMBER(SEARCH("Proposal",$A278)),SUMIFS('Timesheet Raw'!$P$4:$P$8000,'Timesheet Raw'!$A$4:$A$8000,IF(ISNUMBER(SEARCH("Chargable",$A278)),"2-Proposals Chargeable","3-Proposals Regular"),'Timesheet Raw'!$C$4:$C$8000,"*"&amp;$B278&amp;"*",'Timesheet Raw'!$L$4:$L$8000,"&gt;="&amp;MAX(X$5,DATE(2000+VALUE(RIGHT(TRIM($A278),2)),1,1)),'Timesheet Raw'!$L$4:$L$8000,"&lt;="&amp;MIN(X$6,DATE(2000+VALUE(RIGHT(TRIM($A278),2)),12,31))),SUMIFS('Timesheet Raw'!$P$4:$P$8000,'Timesheet Raw'!$B$4:$B$8000,TRIM($A278),'Timesheet Raw'!$C$4:$C$8000,"*"&amp;$B278&amp;"*",'Timesheet Raw'!$L$4:$L$8000,"&gt;="&amp;X$5,'Timesheet Raw'!$L$4:$L$8000,"&lt;="&amp;X$6)))/'Profit Plan'!$B$5)</f>
        <v>0</v>
      </c>
      <c r="Y278" s="118">
        <f t="shared" si="100"/>
        <v>0</v>
      </c>
    </row>
    <row r="279" spans="1:25" x14ac:dyDescent="0.3">
      <c r="A279" s="116" t="str">
        <f>IF(Inputs!$A10="","",Inputs!$A10)</f>
        <v>D26058-0100D</v>
      </c>
      <c r="B279" s="116" t="str">
        <f>IF(Inputs!$A10="","",Inputs!$A$93)</f>
        <v>Kirolos</v>
      </c>
      <c r="C279" s="116"/>
      <c r="D279" s="122">
        <f>IF($A279="","",(IF(ISNUMBER(SEARCH("Proposal",$A279)),SUMIFS('Timesheet Raw'!$P$4:$P$8000,'Timesheet Raw'!$A$4:$A$8000,IF(ISNUMBER(SEARCH("Chargable",$A279)),"2-Proposals Chargeable","3-Proposals Regular"),'Timesheet Raw'!$C$4:$C$8000,"*"&amp;$B279&amp;"*",'Timesheet Raw'!$L$4:$L$8000,"&gt;="&amp;MAX(D$5,DATE(2000+VALUE(RIGHT(TRIM($A279),2)),1,1)),'Timesheet Raw'!$L$4:$L$8000,"&lt;="&amp;MIN(D$6,DATE(2000+VALUE(RIGHT(TRIM($A279),2)),12,31))),SUMIFS('Timesheet Raw'!$P$4:$P$8000,'Timesheet Raw'!$B$4:$B$8000,TRIM($A279),'Timesheet Raw'!$C$4:$C$8000,"*"&amp;$B279&amp;"*",'Timesheet Raw'!$L$4:$L$8000,"&gt;="&amp;D$5,'Timesheet Raw'!$L$4:$L$8000,"&lt;="&amp;D$6)))/'Profit Plan'!$B$5)</f>
        <v>0</v>
      </c>
      <c r="E279" s="122">
        <f>IF($A279="","",(IF(ISNUMBER(SEARCH("Proposal",$A279)),SUMIFS('Timesheet Raw'!$P$4:$P$8000,'Timesheet Raw'!$A$4:$A$8000,IF(ISNUMBER(SEARCH("Chargable",$A279)),"2-Proposals Chargeable","3-Proposals Regular"),'Timesheet Raw'!$C$4:$C$8000,"*"&amp;$B279&amp;"*",'Timesheet Raw'!$L$4:$L$8000,"&gt;="&amp;MAX(E$5,DATE(2000+VALUE(RIGHT(TRIM($A279),2)),1,1)),'Timesheet Raw'!$L$4:$L$8000,"&lt;="&amp;MIN(E$6,DATE(2000+VALUE(RIGHT(TRIM($A279),2)),12,31))),SUMIFS('Timesheet Raw'!$P$4:$P$8000,'Timesheet Raw'!$B$4:$B$8000,TRIM($A279),'Timesheet Raw'!$C$4:$C$8000,"*"&amp;$B279&amp;"*",'Timesheet Raw'!$L$4:$L$8000,"&gt;="&amp;E$5,'Timesheet Raw'!$L$4:$L$8000,"&lt;="&amp;E$6)))/'Profit Plan'!$B$5)</f>
        <v>0</v>
      </c>
      <c r="F279" s="122">
        <f>IF($A279="","",(IF(ISNUMBER(SEARCH("Proposal",$A279)),SUMIFS('Timesheet Raw'!$P$4:$P$8000,'Timesheet Raw'!$A$4:$A$8000,IF(ISNUMBER(SEARCH("Chargable",$A279)),"2-Proposals Chargeable","3-Proposals Regular"),'Timesheet Raw'!$C$4:$C$8000,"*"&amp;$B279&amp;"*",'Timesheet Raw'!$L$4:$L$8000,"&gt;="&amp;MAX(F$5,DATE(2000+VALUE(RIGHT(TRIM($A279),2)),1,1)),'Timesheet Raw'!$L$4:$L$8000,"&lt;="&amp;MIN(F$6,DATE(2000+VALUE(RIGHT(TRIM($A279),2)),12,31))),SUMIFS('Timesheet Raw'!$P$4:$P$8000,'Timesheet Raw'!$B$4:$B$8000,TRIM($A279),'Timesheet Raw'!$C$4:$C$8000,"*"&amp;$B279&amp;"*",'Timesheet Raw'!$L$4:$L$8000,"&gt;="&amp;F$5,'Timesheet Raw'!$L$4:$L$8000,"&lt;="&amp;F$6)))/'Profit Plan'!$B$5)</f>
        <v>0</v>
      </c>
      <c r="G279" s="122">
        <f>IF($A279="","",(IF(ISNUMBER(SEARCH("Proposal",$A279)),SUMIFS('Timesheet Raw'!$P$4:$P$8000,'Timesheet Raw'!$A$4:$A$8000,IF(ISNUMBER(SEARCH("Chargable",$A279)),"2-Proposals Chargeable","3-Proposals Regular"),'Timesheet Raw'!$C$4:$C$8000,"*"&amp;$B279&amp;"*",'Timesheet Raw'!$L$4:$L$8000,"&gt;="&amp;MAX(G$5,DATE(2000+VALUE(RIGHT(TRIM($A279),2)),1,1)),'Timesheet Raw'!$L$4:$L$8000,"&lt;="&amp;MIN(G$6,DATE(2000+VALUE(RIGHT(TRIM($A279),2)),12,31))),SUMIFS('Timesheet Raw'!$P$4:$P$8000,'Timesheet Raw'!$B$4:$B$8000,TRIM($A279),'Timesheet Raw'!$C$4:$C$8000,"*"&amp;$B279&amp;"*",'Timesheet Raw'!$L$4:$L$8000,"&gt;="&amp;G$5,'Timesheet Raw'!$L$4:$L$8000,"&lt;="&amp;G$6)))/'Profit Plan'!$B$5)</f>
        <v>0</v>
      </c>
      <c r="H279" s="122">
        <f>IF($A279="","",(IF(ISNUMBER(SEARCH("Proposal",$A279)),SUMIFS('Timesheet Raw'!$P$4:$P$8000,'Timesheet Raw'!$A$4:$A$8000,IF(ISNUMBER(SEARCH("Chargable",$A279)),"2-Proposals Chargeable","3-Proposals Regular"),'Timesheet Raw'!$C$4:$C$8000,"*"&amp;$B279&amp;"*",'Timesheet Raw'!$L$4:$L$8000,"&gt;="&amp;MAX(H$5,DATE(2000+VALUE(RIGHT(TRIM($A279),2)),1,1)),'Timesheet Raw'!$L$4:$L$8000,"&lt;="&amp;MIN(H$6,DATE(2000+VALUE(RIGHT(TRIM($A279),2)),12,31))),SUMIFS('Timesheet Raw'!$P$4:$P$8000,'Timesheet Raw'!$B$4:$B$8000,TRIM($A279),'Timesheet Raw'!$C$4:$C$8000,"*"&amp;$B279&amp;"*",'Timesheet Raw'!$L$4:$L$8000,"&gt;="&amp;H$5,'Timesheet Raw'!$L$4:$L$8000,"&lt;="&amp;H$6)))/'Profit Plan'!$B$5)</f>
        <v>0</v>
      </c>
      <c r="I279" s="122">
        <f>IF($A279="","",(IF(ISNUMBER(SEARCH("Proposal",$A279)),SUMIFS('Timesheet Raw'!$P$4:$P$8000,'Timesheet Raw'!$A$4:$A$8000,IF(ISNUMBER(SEARCH("Chargable",$A279)),"2-Proposals Chargeable","3-Proposals Regular"),'Timesheet Raw'!$C$4:$C$8000,"*"&amp;$B279&amp;"*",'Timesheet Raw'!$L$4:$L$8000,"&gt;="&amp;MAX(I$5,DATE(2000+VALUE(RIGHT(TRIM($A279),2)),1,1)),'Timesheet Raw'!$L$4:$L$8000,"&lt;="&amp;MIN(I$6,DATE(2000+VALUE(RIGHT(TRIM($A279),2)),12,31))),SUMIFS('Timesheet Raw'!$P$4:$P$8000,'Timesheet Raw'!$B$4:$B$8000,TRIM($A279),'Timesheet Raw'!$C$4:$C$8000,"*"&amp;$B279&amp;"*",'Timesheet Raw'!$L$4:$L$8000,"&gt;="&amp;I$5,'Timesheet Raw'!$L$4:$L$8000,"&lt;="&amp;I$6)))/'Profit Plan'!$B$5)</f>
        <v>0</v>
      </c>
      <c r="J279" s="122">
        <f>IF($A279="","",(IF(ISNUMBER(SEARCH("Proposal",$A279)),SUMIFS('Timesheet Raw'!$P$4:$P$8000,'Timesheet Raw'!$A$4:$A$8000,IF(ISNUMBER(SEARCH("Chargable",$A279)),"2-Proposals Chargeable","3-Proposals Regular"),'Timesheet Raw'!$C$4:$C$8000,"*"&amp;$B279&amp;"*",'Timesheet Raw'!$L$4:$L$8000,"&gt;="&amp;MAX(J$5,DATE(2000+VALUE(RIGHT(TRIM($A279),2)),1,1)),'Timesheet Raw'!$L$4:$L$8000,"&lt;="&amp;MIN(J$6,DATE(2000+VALUE(RIGHT(TRIM($A279),2)),12,31))),SUMIFS('Timesheet Raw'!$P$4:$P$8000,'Timesheet Raw'!$B$4:$B$8000,TRIM($A279),'Timesheet Raw'!$C$4:$C$8000,"*"&amp;$B279&amp;"*",'Timesheet Raw'!$L$4:$L$8000,"&gt;="&amp;J$5,'Timesheet Raw'!$L$4:$L$8000,"&lt;="&amp;J$6)))/'Profit Plan'!$B$5)</f>
        <v>0</v>
      </c>
      <c r="K279" s="122">
        <f>IF($A279="","",(IF(ISNUMBER(SEARCH("Proposal",$A279)),SUMIFS('Timesheet Raw'!$P$4:$P$8000,'Timesheet Raw'!$A$4:$A$8000,IF(ISNUMBER(SEARCH("Chargable",$A279)),"2-Proposals Chargeable","3-Proposals Regular"),'Timesheet Raw'!$C$4:$C$8000,"*"&amp;$B279&amp;"*",'Timesheet Raw'!$L$4:$L$8000,"&gt;="&amp;MAX(K$5,DATE(2000+VALUE(RIGHT(TRIM($A279),2)),1,1)),'Timesheet Raw'!$L$4:$L$8000,"&lt;="&amp;MIN(K$6,DATE(2000+VALUE(RIGHT(TRIM($A279),2)),12,31))),SUMIFS('Timesheet Raw'!$P$4:$P$8000,'Timesheet Raw'!$B$4:$B$8000,TRIM($A279),'Timesheet Raw'!$C$4:$C$8000,"*"&amp;$B279&amp;"*",'Timesheet Raw'!$L$4:$L$8000,"&gt;="&amp;K$5,'Timesheet Raw'!$L$4:$L$8000,"&lt;="&amp;K$6)))/'Profit Plan'!$B$5)</f>
        <v>0</v>
      </c>
      <c r="L279" s="122">
        <f>IF($A279="","",(IF(ISNUMBER(SEARCH("Proposal",$A279)),SUMIFS('Timesheet Raw'!$P$4:$P$8000,'Timesheet Raw'!$A$4:$A$8000,IF(ISNUMBER(SEARCH("Chargable",$A279)),"2-Proposals Chargeable","3-Proposals Regular"),'Timesheet Raw'!$C$4:$C$8000,"*"&amp;$B279&amp;"*",'Timesheet Raw'!$L$4:$L$8000,"&gt;="&amp;MAX(L$5,DATE(2000+VALUE(RIGHT(TRIM($A279),2)),1,1)),'Timesheet Raw'!$L$4:$L$8000,"&lt;="&amp;MIN(L$6,DATE(2000+VALUE(RIGHT(TRIM($A279),2)),12,31))),SUMIFS('Timesheet Raw'!$P$4:$P$8000,'Timesheet Raw'!$B$4:$B$8000,TRIM($A279),'Timesheet Raw'!$C$4:$C$8000,"*"&amp;$B279&amp;"*",'Timesheet Raw'!$L$4:$L$8000,"&gt;="&amp;L$5,'Timesheet Raw'!$L$4:$L$8000,"&lt;="&amp;L$6)))/'Profit Plan'!$B$5)</f>
        <v>0</v>
      </c>
      <c r="M279" s="122">
        <f>IF($A279="","",(IF(ISNUMBER(SEARCH("Proposal",$A279)),SUMIFS('Timesheet Raw'!$P$4:$P$8000,'Timesheet Raw'!$A$4:$A$8000,IF(ISNUMBER(SEARCH("Chargable",$A279)),"2-Proposals Chargeable","3-Proposals Regular"),'Timesheet Raw'!$C$4:$C$8000,"*"&amp;$B279&amp;"*",'Timesheet Raw'!$L$4:$L$8000,"&gt;="&amp;MAX(M$5,DATE(2000+VALUE(RIGHT(TRIM($A279),2)),1,1)),'Timesheet Raw'!$L$4:$L$8000,"&lt;="&amp;MIN(M$6,DATE(2000+VALUE(RIGHT(TRIM($A279),2)),12,31))),SUMIFS('Timesheet Raw'!$P$4:$P$8000,'Timesheet Raw'!$B$4:$B$8000,TRIM($A279),'Timesheet Raw'!$C$4:$C$8000,"*"&amp;$B279&amp;"*",'Timesheet Raw'!$L$4:$L$8000,"&gt;="&amp;M$5,'Timesheet Raw'!$L$4:$L$8000,"&lt;="&amp;M$6)))/'Profit Plan'!$B$5)</f>
        <v>0</v>
      </c>
      <c r="N279" s="122">
        <f>IF($A279="","",(IF(ISNUMBER(SEARCH("Proposal",$A279)),SUMIFS('Timesheet Raw'!$P$4:$P$8000,'Timesheet Raw'!$A$4:$A$8000,IF(ISNUMBER(SEARCH("Chargable",$A279)),"2-Proposals Chargeable","3-Proposals Regular"),'Timesheet Raw'!$C$4:$C$8000,"*"&amp;$B279&amp;"*",'Timesheet Raw'!$L$4:$L$8000,"&gt;="&amp;MAX(N$5,DATE(2000+VALUE(RIGHT(TRIM($A279),2)),1,1)),'Timesheet Raw'!$L$4:$L$8000,"&lt;="&amp;MIN(N$6,DATE(2000+VALUE(RIGHT(TRIM($A279),2)),12,31))),SUMIFS('Timesheet Raw'!$P$4:$P$8000,'Timesheet Raw'!$B$4:$B$8000,TRIM($A279),'Timesheet Raw'!$C$4:$C$8000,"*"&amp;$B279&amp;"*",'Timesheet Raw'!$L$4:$L$8000,"&gt;="&amp;N$5,'Timesheet Raw'!$L$4:$L$8000,"&lt;="&amp;N$6)))/'Profit Plan'!$B$5)</f>
        <v>0</v>
      </c>
      <c r="O279" s="122">
        <f>IF($A279="","",(IF(ISNUMBER(SEARCH("Proposal",$A279)),SUMIFS('Timesheet Raw'!$P$4:$P$8000,'Timesheet Raw'!$A$4:$A$8000,IF(ISNUMBER(SEARCH("Chargable",$A279)),"2-Proposals Chargeable","3-Proposals Regular"),'Timesheet Raw'!$C$4:$C$8000,"*"&amp;$B279&amp;"*",'Timesheet Raw'!$L$4:$L$8000,"&gt;="&amp;MAX(O$5,DATE(2000+VALUE(RIGHT(TRIM($A279),2)),1,1)),'Timesheet Raw'!$L$4:$L$8000,"&lt;="&amp;MIN(O$6,DATE(2000+VALUE(RIGHT(TRIM($A279),2)),12,31))),SUMIFS('Timesheet Raw'!$P$4:$P$8000,'Timesheet Raw'!$B$4:$B$8000,TRIM($A279),'Timesheet Raw'!$C$4:$C$8000,"*"&amp;$B279&amp;"*",'Timesheet Raw'!$L$4:$L$8000,"&gt;="&amp;O$5,'Timesheet Raw'!$L$4:$L$8000,"&lt;="&amp;O$6)))/'Profit Plan'!$B$5)</f>
        <v>0</v>
      </c>
      <c r="P279" s="122">
        <f>IF($A279="","",(IF(ISNUMBER(SEARCH("Proposal",$A279)),SUMIFS('Timesheet Raw'!$P$4:$P$8000,'Timesheet Raw'!$A$4:$A$8000,IF(ISNUMBER(SEARCH("Chargable",$A279)),"2-Proposals Chargeable","3-Proposals Regular"),'Timesheet Raw'!$C$4:$C$8000,"*"&amp;$B279&amp;"*",'Timesheet Raw'!$L$4:$L$8000,"&gt;="&amp;MAX(P$5,DATE(2000+VALUE(RIGHT(TRIM($A279),2)),1,1)),'Timesheet Raw'!$L$4:$L$8000,"&lt;="&amp;MIN(P$6,DATE(2000+VALUE(RIGHT(TRIM($A279),2)),12,31))),SUMIFS('Timesheet Raw'!$P$4:$P$8000,'Timesheet Raw'!$B$4:$B$8000,TRIM($A279),'Timesheet Raw'!$C$4:$C$8000,"*"&amp;$B279&amp;"*",'Timesheet Raw'!$L$4:$L$8000,"&gt;="&amp;P$5,'Timesheet Raw'!$L$4:$L$8000,"&lt;="&amp;P$6)))/'Profit Plan'!$B$5)</f>
        <v>0</v>
      </c>
      <c r="Q279" s="122">
        <f>IF($A279="","",(IF(ISNUMBER(SEARCH("Proposal",$A279)),SUMIFS('Timesheet Raw'!$P$4:$P$8000,'Timesheet Raw'!$A$4:$A$8000,IF(ISNUMBER(SEARCH("Chargable",$A279)),"2-Proposals Chargeable","3-Proposals Regular"),'Timesheet Raw'!$C$4:$C$8000,"*"&amp;$B279&amp;"*",'Timesheet Raw'!$L$4:$L$8000,"&gt;="&amp;MAX(Q$5,DATE(2000+VALUE(RIGHT(TRIM($A279),2)),1,1)),'Timesheet Raw'!$L$4:$L$8000,"&lt;="&amp;MIN(Q$6,DATE(2000+VALUE(RIGHT(TRIM($A279),2)),12,31))),SUMIFS('Timesheet Raw'!$P$4:$P$8000,'Timesheet Raw'!$B$4:$B$8000,TRIM($A279),'Timesheet Raw'!$C$4:$C$8000,"*"&amp;$B279&amp;"*",'Timesheet Raw'!$L$4:$L$8000,"&gt;="&amp;Q$5,'Timesheet Raw'!$L$4:$L$8000,"&lt;="&amp;Q$6)))/'Profit Plan'!$B$5)</f>
        <v>0</v>
      </c>
      <c r="R279" s="122">
        <f>IF($A279="","",(IF(ISNUMBER(SEARCH("Proposal",$A279)),SUMIFS('Timesheet Raw'!$P$4:$P$8000,'Timesheet Raw'!$A$4:$A$8000,IF(ISNUMBER(SEARCH("Chargable",$A279)),"2-Proposals Chargeable","3-Proposals Regular"),'Timesheet Raw'!$C$4:$C$8000,"*"&amp;$B279&amp;"*",'Timesheet Raw'!$L$4:$L$8000,"&gt;="&amp;MAX(R$5,DATE(2000+VALUE(RIGHT(TRIM($A279),2)),1,1)),'Timesheet Raw'!$L$4:$L$8000,"&lt;="&amp;MIN(R$6,DATE(2000+VALUE(RIGHT(TRIM($A279),2)),12,31))),SUMIFS('Timesheet Raw'!$P$4:$P$8000,'Timesheet Raw'!$B$4:$B$8000,TRIM($A279),'Timesheet Raw'!$C$4:$C$8000,"*"&amp;$B279&amp;"*",'Timesheet Raw'!$L$4:$L$8000,"&gt;="&amp;R$5,'Timesheet Raw'!$L$4:$L$8000,"&lt;="&amp;R$6)))/'Profit Plan'!$B$5)</f>
        <v>0</v>
      </c>
      <c r="S279" s="122">
        <f>IF($A279="","",(IF(ISNUMBER(SEARCH("Proposal",$A279)),SUMIFS('Timesheet Raw'!$P$4:$P$8000,'Timesheet Raw'!$A$4:$A$8000,IF(ISNUMBER(SEARCH("Chargable",$A279)),"2-Proposals Chargeable","3-Proposals Regular"),'Timesheet Raw'!$C$4:$C$8000,"*"&amp;$B279&amp;"*",'Timesheet Raw'!$L$4:$L$8000,"&gt;="&amp;MAX(S$5,DATE(2000+VALUE(RIGHT(TRIM($A279),2)),1,1)),'Timesheet Raw'!$L$4:$L$8000,"&lt;="&amp;MIN(S$6,DATE(2000+VALUE(RIGHT(TRIM($A279),2)),12,31))),SUMIFS('Timesheet Raw'!$P$4:$P$8000,'Timesheet Raw'!$B$4:$B$8000,TRIM($A279),'Timesheet Raw'!$C$4:$C$8000,"*"&amp;$B279&amp;"*",'Timesheet Raw'!$L$4:$L$8000,"&gt;="&amp;S$5,'Timesheet Raw'!$L$4:$L$8000,"&lt;="&amp;S$6)))/'Profit Plan'!$B$5)</f>
        <v>0</v>
      </c>
      <c r="T279" s="122">
        <f>IF($A279="","",(IF(ISNUMBER(SEARCH("Proposal",$A279)),SUMIFS('Timesheet Raw'!$P$4:$P$8000,'Timesheet Raw'!$A$4:$A$8000,IF(ISNUMBER(SEARCH("Chargable",$A279)),"2-Proposals Chargeable","3-Proposals Regular"),'Timesheet Raw'!$C$4:$C$8000,"*"&amp;$B279&amp;"*",'Timesheet Raw'!$L$4:$L$8000,"&gt;="&amp;MAX(T$5,DATE(2000+VALUE(RIGHT(TRIM($A279),2)),1,1)),'Timesheet Raw'!$L$4:$L$8000,"&lt;="&amp;MIN(T$6,DATE(2000+VALUE(RIGHT(TRIM($A279),2)),12,31))),SUMIFS('Timesheet Raw'!$P$4:$P$8000,'Timesheet Raw'!$B$4:$B$8000,TRIM($A279),'Timesheet Raw'!$C$4:$C$8000,"*"&amp;$B279&amp;"*",'Timesheet Raw'!$L$4:$L$8000,"&gt;="&amp;T$5,'Timesheet Raw'!$L$4:$L$8000,"&lt;="&amp;T$6)))/'Profit Plan'!$B$5)</f>
        <v>0</v>
      </c>
      <c r="U279" s="122">
        <f>IF($A279="","",(IF(ISNUMBER(SEARCH("Proposal",$A279)),SUMIFS('Timesheet Raw'!$P$4:$P$8000,'Timesheet Raw'!$A$4:$A$8000,IF(ISNUMBER(SEARCH("Chargable",$A279)),"2-Proposals Chargeable","3-Proposals Regular"),'Timesheet Raw'!$C$4:$C$8000,"*"&amp;$B279&amp;"*",'Timesheet Raw'!$L$4:$L$8000,"&gt;="&amp;MAX(U$5,DATE(2000+VALUE(RIGHT(TRIM($A279),2)),1,1)),'Timesheet Raw'!$L$4:$L$8000,"&lt;="&amp;MIN(U$6,DATE(2000+VALUE(RIGHT(TRIM($A279),2)),12,31))),SUMIFS('Timesheet Raw'!$P$4:$P$8000,'Timesheet Raw'!$B$4:$B$8000,TRIM($A279),'Timesheet Raw'!$C$4:$C$8000,"*"&amp;$B279&amp;"*",'Timesheet Raw'!$L$4:$L$8000,"&gt;="&amp;U$5,'Timesheet Raw'!$L$4:$L$8000,"&lt;="&amp;U$6)))/'Profit Plan'!$B$5)</f>
        <v>0</v>
      </c>
      <c r="V279" s="122">
        <f>IF($A279="","",(IF(ISNUMBER(SEARCH("Proposal",$A279)),SUMIFS('Timesheet Raw'!$P$4:$P$8000,'Timesheet Raw'!$A$4:$A$8000,IF(ISNUMBER(SEARCH("Chargable",$A279)),"2-Proposals Chargeable","3-Proposals Regular"),'Timesheet Raw'!$C$4:$C$8000,"*"&amp;$B279&amp;"*",'Timesheet Raw'!$L$4:$L$8000,"&gt;="&amp;MAX(V$5,DATE(2000+VALUE(RIGHT(TRIM($A279),2)),1,1)),'Timesheet Raw'!$L$4:$L$8000,"&lt;="&amp;MIN(V$6,DATE(2000+VALUE(RIGHT(TRIM($A279),2)),12,31))),SUMIFS('Timesheet Raw'!$P$4:$P$8000,'Timesheet Raw'!$B$4:$B$8000,TRIM($A279),'Timesheet Raw'!$C$4:$C$8000,"*"&amp;$B279&amp;"*",'Timesheet Raw'!$L$4:$L$8000,"&gt;="&amp;V$5,'Timesheet Raw'!$L$4:$L$8000,"&lt;="&amp;V$6)))/'Profit Plan'!$B$5)</f>
        <v>0</v>
      </c>
      <c r="W279" s="122">
        <f>IF($A279="","",(IF(ISNUMBER(SEARCH("Proposal",$A279)),SUMIFS('Timesheet Raw'!$P$4:$P$8000,'Timesheet Raw'!$A$4:$A$8000,IF(ISNUMBER(SEARCH("Chargable",$A279)),"2-Proposals Chargeable","3-Proposals Regular"),'Timesheet Raw'!$C$4:$C$8000,"*"&amp;$B279&amp;"*",'Timesheet Raw'!$L$4:$L$8000,"&gt;="&amp;MAX(W$5,DATE(2000+VALUE(RIGHT(TRIM($A279),2)),1,1)),'Timesheet Raw'!$L$4:$L$8000,"&lt;="&amp;MIN(W$6,DATE(2000+VALUE(RIGHT(TRIM($A279),2)),12,31))),SUMIFS('Timesheet Raw'!$P$4:$P$8000,'Timesheet Raw'!$B$4:$B$8000,TRIM($A279),'Timesheet Raw'!$C$4:$C$8000,"*"&amp;$B279&amp;"*",'Timesheet Raw'!$L$4:$L$8000,"&gt;="&amp;W$5,'Timesheet Raw'!$L$4:$L$8000,"&lt;="&amp;W$6)))/'Profit Plan'!$B$5)</f>
        <v>0</v>
      </c>
      <c r="X279" s="122">
        <f>IF($A279="","",(IF(ISNUMBER(SEARCH("Proposal",$A279)),SUMIFS('Timesheet Raw'!$P$4:$P$8000,'Timesheet Raw'!$A$4:$A$8000,IF(ISNUMBER(SEARCH("Chargable",$A279)),"2-Proposals Chargeable","3-Proposals Regular"),'Timesheet Raw'!$C$4:$C$8000,"*"&amp;$B279&amp;"*",'Timesheet Raw'!$L$4:$L$8000,"&gt;="&amp;MAX(X$5,DATE(2000+VALUE(RIGHT(TRIM($A279),2)),1,1)),'Timesheet Raw'!$L$4:$L$8000,"&lt;="&amp;MIN(X$6,DATE(2000+VALUE(RIGHT(TRIM($A279),2)),12,31))),SUMIFS('Timesheet Raw'!$P$4:$P$8000,'Timesheet Raw'!$B$4:$B$8000,TRIM($A279),'Timesheet Raw'!$C$4:$C$8000,"*"&amp;$B279&amp;"*",'Timesheet Raw'!$L$4:$L$8000,"&gt;="&amp;X$5,'Timesheet Raw'!$L$4:$L$8000,"&lt;="&amp;X$6)))/'Profit Plan'!$B$5)</f>
        <v>0</v>
      </c>
      <c r="Y279" s="118">
        <f t="shared" si="100"/>
        <v>0</v>
      </c>
    </row>
    <row r="280" spans="1:25" x14ac:dyDescent="0.3">
      <c r="A280" s="116" t="str">
        <f>IF(Inputs!$A11="","",Inputs!$A11)</f>
        <v xml:space="preserve">AD24217-0100D </v>
      </c>
      <c r="B280" s="116" t="str">
        <f>IF(Inputs!$A11="","",Inputs!$A$91)</f>
        <v>Ahmed</v>
      </c>
      <c r="C280" s="116"/>
      <c r="D280" s="122">
        <f>IF($A280="","",(IF(ISNUMBER(SEARCH("Proposal",$A280)),SUMIFS('Timesheet Raw'!$P$4:$P$8000,'Timesheet Raw'!$A$4:$A$8000,IF(ISNUMBER(SEARCH("Chargable",$A280)),"2-Proposals Chargeable","3-Proposals Regular"),'Timesheet Raw'!$C$4:$C$8000,"*"&amp;$B280&amp;"*",'Timesheet Raw'!$L$4:$L$8000,"&gt;="&amp;MAX(D$5,DATE(2000+VALUE(RIGHT(TRIM($A280),2)),1,1)),'Timesheet Raw'!$L$4:$L$8000,"&lt;="&amp;MIN(D$6,DATE(2000+VALUE(RIGHT(TRIM($A280),2)),12,31))),SUMIFS('Timesheet Raw'!$P$4:$P$8000,'Timesheet Raw'!$B$4:$B$8000,TRIM($A280),'Timesheet Raw'!$C$4:$C$8000,"*"&amp;$B280&amp;"*",'Timesheet Raw'!$L$4:$L$8000,"&gt;="&amp;D$5,'Timesheet Raw'!$L$4:$L$8000,"&lt;="&amp;D$6)))/'Profit Plan'!$B$5)</f>
        <v>0</v>
      </c>
      <c r="E280" s="122">
        <f>IF($A280="","",(IF(ISNUMBER(SEARCH("Proposal",$A280)),SUMIFS('Timesheet Raw'!$P$4:$P$8000,'Timesheet Raw'!$A$4:$A$8000,IF(ISNUMBER(SEARCH("Chargable",$A280)),"2-Proposals Chargeable","3-Proposals Regular"),'Timesheet Raw'!$C$4:$C$8000,"*"&amp;$B280&amp;"*",'Timesheet Raw'!$L$4:$L$8000,"&gt;="&amp;MAX(E$5,DATE(2000+VALUE(RIGHT(TRIM($A280),2)),1,1)),'Timesheet Raw'!$L$4:$L$8000,"&lt;="&amp;MIN(E$6,DATE(2000+VALUE(RIGHT(TRIM($A280),2)),12,31))),SUMIFS('Timesheet Raw'!$P$4:$P$8000,'Timesheet Raw'!$B$4:$B$8000,TRIM($A280),'Timesheet Raw'!$C$4:$C$8000,"*"&amp;$B280&amp;"*",'Timesheet Raw'!$L$4:$L$8000,"&gt;="&amp;E$5,'Timesheet Raw'!$L$4:$L$8000,"&lt;="&amp;E$6)))/'Profit Plan'!$B$5)</f>
        <v>0</v>
      </c>
      <c r="F280" s="122">
        <f>IF($A280="","",(IF(ISNUMBER(SEARCH("Proposal",$A280)),SUMIFS('Timesheet Raw'!$P$4:$P$8000,'Timesheet Raw'!$A$4:$A$8000,IF(ISNUMBER(SEARCH("Chargable",$A280)),"2-Proposals Chargeable","3-Proposals Regular"),'Timesheet Raw'!$C$4:$C$8000,"*"&amp;$B280&amp;"*",'Timesheet Raw'!$L$4:$L$8000,"&gt;="&amp;MAX(F$5,DATE(2000+VALUE(RIGHT(TRIM($A280),2)),1,1)),'Timesheet Raw'!$L$4:$L$8000,"&lt;="&amp;MIN(F$6,DATE(2000+VALUE(RIGHT(TRIM($A280),2)),12,31))),SUMIFS('Timesheet Raw'!$P$4:$P$8000,'Timesheet Raw'!$B$4:$B$8000,TRIM($A280),'Timesheet Raw'!$C$4:$C$8000,"*"&amp;$B280&amp;"*",'Timesheet Raw'!$L$4:$L$8000,"&gt;="&amp;F$5,'Timesheet Raw'!$L$4:$L$8000,"&lt;="&amp;F$6)))/'Profit Plan'!$B$5)</f>
        <v>0</v>
      </c>
      <c r="G280" s="122">
        <f>IF($A280="","",(IF(ISNUMBER(SEARCH("Proposal",$A280)),SUMIFS('Timesheet Raw'!$P$4:$P$8000,'Timesheet Raw'!$A$4:$A$8000,IF(ISNUMBER(SEARCH("Chargable",$A280)),"2-Proposals Chargeable","3-Proposals Regular"),'Timesheet Raw'!$C$4:$C$8000,"*"&amp;$B280&amp;"*",'Timesheet Raw'!$L$4:$L$8000,"&gt;="&amp;MAX(G$5,DATE(2000+VALUE(RIGHT(TRIM($A280),2)),1,1)),'Timesheet Raw'!$L$4:$L$8000,"&lt;="&amp;MIN(G$6,DATE(2000+VALUE(RIGHT(TRIM($A280),2)),12,31))),SUMIFS('Timesheet Raw'!$P$4:$P$8000,'Timesheet Raw'!$B$4:$B$8000,TRIM($A280),'Timesheet Raw'!$C$4:$C$8000,"*"&amp;$B280&amp;"*",'Timesheet Raw'!$L$4:$L$8000,"&gt;="&amp;G$5,'Timesheet Raw'!$L$4:$L$8000,"&lt;="&amp;G$6)))/'Profit Plan'!$B$5)</f>
        <v>0</v>
      </c>
      <c r="H280" s="122">
        <f>IF($A280="","",(IF(ISNUMBER(SEARCH("Proposal",$A280)),SUMIFS('Timesheet Raw'!$P$4:$P$8000,'Timesheet Raw'!$A$4:$A$8000,IF(ISNUMBER(SEARCH("Chargable",$A280)),"2-Proposals Chargeable","3-Proposals Regular"),'Timesheet Raw'!$C$4:$C$8000,"*"&amp;$B280&amp;"*",'Timesheet Raw'!$L$4:$L$8000,"&gt;="&amp;MAX(H$5,DATE(2000+VALUE(RIGHT(TRIM($A280),2)),1,1)),'Timesheet Raw'!$L$4:$L$8000,"&lt;="&amp;MIN(H$6,DATE(2000+VALUE(RIGHT(TRIM($A280),2)),12,31))),SUMIFS('Timesheet Raw'!$P$4:$P$8000,'Timesheet Raw'!$B$4:$B$8000,TRIM($A280),'Timesheet Raw'!$C$4:$C$8000,"*"&amp;$B280&amp;"*",'Timesheet Raw'!$L$4:$L$8000,"&gt;="&amp;H$5,'Timesheet Raw'!$L$4:$L$8000,"&lt;="&amp;H$6)))/'Profit Plan'!$B$5)</f>
        <v>0</v>
      </c>
      <c r="I280" s="122">
        <f>IF($A280="","",(IF(ISNUMBER(SEARCH("Proposal",$A280)),SUMIFS('Timesheet Raw'!$P$4:$P$8000,'Timesheet Raw'!$A$4:$A$8000,IF(ISNUMBER(SEARCH("Chargable",$A280)),"2-Proposals Chargeable","3-Proposals Regular"),'Timesheet Raw'!$C$4:$C$8000,"*"&amp;$B280&amp;"*",'Timesheet Raw'!$L$4:$L$8000,"&gt;="&amp;MAX(I$5,DATE(2000+VALUE(RIGHT(TRIM($A280),2)),1,1)),'Timesheet Raw'!$L$4:$L$8000,"&lt;="&amp;MIN(I$6,DATE(2000+VALUE(RIGHT(TRIM($A280),2)),12,31))),SUMIFS('Timesheet Raw'!$P$4:$P$8000,'Timesheet Raw'!$B$4:$B$8000,TRIM($A280),'Timesheet Raw'!$C$4:$C$8000,"*"&amp;$B280&amp;"*",'Timesheet Raw'!$L$4:$L$8000,"&gt;="&amp;I$5,'Timesheet Raw'!$L$4:$L$8000,"&lt;="&amp;I$6)))/'Profit Plan'!$B$5)</f>
        <v>0</v>
      </c>
      <c r="J280" s="122">
        <f>IF($A280="","",(IF(ISNUMBER(SEARCH("Proposal",$A280)),SUMIFS('Timesheet Raw'!$P$4:$P$8000,'Timesheet Raw'!$A$4:$A$8000,IF(ISNUMBER(SEARCH("Chargable",$A280)),"2-Proposals Chargeable","3-Proposals Regular"),'Timesheet Raw'!$C$4:$C$8000,"*"&amp;$B280&amp;"*",'Timesheet Raw'!$L$4:$L$8000,"&gt;="&amp;MAX(J$5,DATE(2000+VALUE(RIGHT(TRIM($A280),2)),1,1)),'Timesheet Raw'!$L$4:$L$8000,"&lt;="&amp;MIN(J$6,DATE(2000+VALUE(RIGHT(TRIM($A280),2)),12,31))),SUMIFS('Timesheet Raw'!$P$4:$P$8000,'Timesheet Raw'!$B$4:$B$8000,TRIM($A280),'Timesheet Raw'!$C$4:$C$8000,"*"&amp;$B280&amp;"*",'Timesheet Raw'!$L$4:$L$8000,"&gt;="&amp;J$5,'Timesheet Raw'!$L$4:$L$8000,"&lt;="&amp;J$6)))/'Profit Plan'!$B$5)</f>
        <v>0.24864864864864866</v>
      </c>
      <c r="K280" s="122">
        <f>IF($A280="","",(IF(ISNUMBER(SEARCH("Proposal",$A280)),SUMIFS('Timesheet Raw'!$P$4:$P$8000,'Timesheet Raw'!$A$4:$A$8000,IF(ISNUMBER(SEARCH("Chargable",$A280)),"2-Proposals Chargeable","3-Proposals Regular"),'Timesheet Raw'!$C$4:$C$8000,"*"&amp;$B280&amp;"*",'Timesheet Raw'!$L$4:$L$8000,"&gt;="&amp;MAX(K$5,DATE(2000+VALUE(RIGHT(TRIM($A280),2)),1,1)),'Timesheet Raw'!$L$4:$L$8000,"&lt;="&amp;MIN(K$6,DATE(2000+VALUE(RIGHT(TRIM($A280),2)),12,31))),SUMIFS('Timesheet Raw'!$P$4:$P$8000,'Timesheet Raw'!$B$4:$B$8000,TRIM($A280),'Timesheet Raw'!$C$4:$C$8000,"*"&amp;$B280&amp;"*",'Timesheet Raw'!$L$4:$L$8000,"&gt;="&amp;K$5,'Timesheet Raw'!$L$4:$L$8000,"&lt;="&amp;K$6)))/'Profit Plan'!$B$5)</f>
        <v>1.0810810810810811E-2</v>
      </c>
      <c r="L280" s="122">
        <f>IF($A280="","",(IF(ISNUMBER(SEARCH("Proposal",$A280)),SUMIFS('Timesheet Raw'!$P$4:$P$8000,'Timesheet Raw'!$A$4:$A$8000,IF(ISNUMBER(SEARCH("Chargable",$A280)),"2-Proposals Chargeable","3-Proposals Regular"),'Timesheet Raw'!$C$4:$C$8000,"*"&amp;$B280&amp;"*",'Timesheet Raw'!$L$4:$L$8000,"&gt;="&amp;MAX(L$5,DATE(2000+VALUE(RIGHT(TRIM($A280),2)),1,1)),'Timesheet Raw'!$L$4:$L$8000,"&lt;="&amp;MIN(L$6,DATE(2000+VALUE(RIGHT(TRIM($A280),2)),12,31))),SUMIFS('Timesheet Raw'!$P$4:$P$8000,'Timesheet Raw'!$B$4:$B$8000,TRIM($A280),'Timesheet Raw'!$C$4:$C$8000,"*"&amp;$B280&amp;"*",'Timesheet Raw'!$L$4:$L$8000,"&gt;="&amp;L$5,'Timesheet Raw'!$L$4:$L$8000,"&lt;="&amp;L$6)))/'Profit Plan'!$B$5)</f>
        <v>0</v>
      </c>
      <c r="M280" s="122">
        <f>IF($A280="","",(IF(ISNUMBER(SEARCH("Proposal",$A280)),SUMIFS('Timesheet Raw'!$P$4:$P$8000,'Timesheet Raw'!$A$4:$A$8000,IF(ISNUMBER(SEARCH("Chargable",$A280)),"2-Proposals Chargeable","3-Proposals Regular"),'Timesheet Raw'!$C$4:$C$8000,"*"&amp;$B280&amp;"*",'Timesheet Raw'!$L$4:$L$8000,"&gt;="&amp;MAX(M$5,DATE(2000+VALUE(RIGHT(TRIM($A280),2)),1,1)),'Timesheet Raw'!$L$4:$L$8000,"&lt;="&amp;MIN(M$6,DATE(2000+VALUE(RIGHT(TRIM($A280),2)),12,31))),SUMIFS('Timesheet Raw'!$P$4:$P$8000,'Timesheet Raw'!$B$4:$B$8000,TRIM($A280),'Timesheet Raw'!$C$4:$C$8000,"*"&amp;$B280&amp;"*",'Timesheet Raw'!$L$4:$L$8000,"&gt;="&amp;M$5,'Timesheet Raw'!$L$4:$L$8000,"&lt;="&amp;M$6)))/'Profit Plan'!$B$5)</f>
        <v>0</v>
      </c>
      <c r="N280" s="122">
        <f>IF($A280="","",(IF(ISNUMBER(SEARCH("Proposal",$A280)),SUMIFS('Timesheet Raw'!$P$4:$P$8000,'Timesheet Raw'!$A$4:$A$8000,IF(ISNUMBER(SEARCH("Chargable",$A280)),"2-Proposals Chargeable","3-Proposals Regular"),'Timesheet Raw'!$C$4:$C$8000,"*"&amp;$B280&amp;"*",'Timesheet Raw'!$L$4:$L$8000,"&gt;="&amp;MAX(N$5,DATE(2000+VALUE(RIGHT(TRIM($A280),2)),1,1)),'Timesheet Raw'!$L$4:$L$8000,"&lt;="&amp;MIN(N$6,DATE(2000+VALUE(RIGHT(TRIM($A280),2)),12,31))),SUMIFS('Timesheet Raw'!$P$4:$P$8000,'Timesheet Raw'!$B$4:$B$8000,TRIM($A280),'Timesheet Raw'!$C$4:$C$8000,"*"&amp;$B280&amp;"*",'Timesheet Raw'!$L$4:$L$8000,"&gt;="&amp;N$5,'Timesheet Raw'!$L$4:$L$8000,"&lt;="&amp;N$6)))/'Profit Plan'!$B$5)</f>
        <v>0</v>
      </c>
      <c r="O280" s="122">
        <f>IF($A280="","",(IF(ISNUMBER(SEARCH("Proposal",$A280)),SUMIFS('Timesheet Raw'!$P$4:$P$8000,'Timesheet Raw'!$A$4:$A$8000,IF(ISNUMBER(SEARCH("Chargable",$A280)),"2-Proposals Chargeable","3-Proposals Regular"),'Timesheet Raw'!$C$4:$C$8000,"*"&amp;$B280&amp;"*",'Timesheet Raw'!$L$4:$L$8000,"&gt;="&amp;MAX(O$5,DATE(2000+VALUE(RIGHT(TRIM($A280),2)),1,1)),'Timesheet Raw'!$L$4:$L$8000,"&lt;="&amp;MIN(O$6,DATE(2000+VALUE(RIGHT(TRIM($A280),2)),12,31))),SUMIFS('Timesheet Raw'!$P$4:$P$8000,'Timesheet Raw'!$B$4:$B$8000,TRIM($A280),'Timesheet Raw'!$C$4:$C$8000,"*"&amp;$B280&amp;"*",'Timesheet Raw'!$L$4:$L$8000,"&gt;="&amp;O$5,'Timesheet Raw'!$L$4:$L$8000,"&lt;="&amp;O$6)))/'Profit Plan'!$B$5)</f>
        <v>0</v>
      </c>
      <c r="P280" s="122">
        <f>IF($A280="","",(IF(ISNUMBER(SEARCH("Proposal",$A280)),SUMIFS('Timesheet Raw'!$P$4:$P$8000,'Timesheet Raw'!$A$4:$A$8000,IF(ISNUMBER(SEARCH("Chargable",$A280)),"2-Proposals Chargeable","3-Proposals Regular"),'Timesheet Raw'!$C$4:$C$8000,"*"&amp;$B280&amp;"*",'Timesheet Raw'!$L$4:$L$8000,"&gt;="&amp;MAX(P$5,DATE(2000+VALUE(RIGHT(TRIM($A280),2)),1,1)),'Timesheet Raw'!$L$4:$L$8000,"&lt;="&amp;MIN(P$6,DATE(2000+VALUE(RIGHT(TRIM($A280),2)),12,31))),SUMIFS('Timesheet Raw'!$P$4:$P$8000,'Timesheet Raw'!$B$4:$B$8000,TRIM($A280),'Timesheet Raw'!$C$4:$C$8000,"*"&amp;$B280&amp;"*",'Timesheet Raw'!$L$4:$L$8000,"&gt;="&amp;P$5,'Timesheet Raw'!$L$4:$L$8000,"&lt;="&amp;P$6)))/'Profit Plan'!$B$5)</f>
        <v>0</v>
      </c>
      <c r="Q280" s="122">
        <f>IF($A280="","",(IF(ISNUMBER(SEARCH("Proposal",$A280)),SUMIFS('Timesheet Raw'!$P$4:$P$8000,'Timesheet Raw'!$A$4:$A$8000,IF(ISNUMBER(SEARCH("Chargable",$A280)),"2-Proposals Chargeable","3-Proposals Regular"),'Timesheet Raw'!$C$4:$C$8000,"*"&amp;$B280&amp;"*",'Timesheet Raw'!$L$4:$L$8000,"&gt;="&amp;MAX(Q$5,DATE(2000+VALUE(RIGHT(TRIM($A280),2)),1,1)),'Timesheet Raw'!$L$4:$L$8000,"&lt;="&amp;MIN(Q$6,DATE(2000+VALUE(RIGHT(TRIM($A280),2)),12,31))),SUMIFS('Timesheet Raw'!$P$4:$P$8000,'Timesheet Raw'!$B$4:$B$8000,TRIM($A280),'Timesheet Raw'!$C$4:$C$8000,"*"&amp;$B280&amp;"*",'Timesheet Raw'!$L$4:$L$8000,"&gt;="&amp;Q$5,'Timesheet Raw'!$L$4:$L$8000,"&lt;="&amp;Q$6)))/'Profit Plan'!$B$5)</f>
        <v>0</v>
      </c>
      <c r="R280" s="122">
        <f>IF($A280="","",(IF(ISNUMBER(SEARCH("Proposal",$A280)),SUMIFS('Timesheet Raw'!$P$4:$P$8000,'Timesheet Raw'!$A$4:$A$8000,IF(ISNUMBER(SEARCH("Chargable",$A280)),"2-Proposals Chargeable","3-Proposals Regular"),'Timesheet Raw'!$C$4:$C$8000,"*"&amp;$B280&amp;"*",'Timesheet Raw'!$L$4:$L$8000,"&gt;="&amp;MAX(R$5,DATE(2000+VALUE(RIGHT(TRIM($A280),2)),1,1)),'Timesheet Raw'!$L$4:$L$8000,"&lt;="&amp;MIN(R$6,DATE(2000+VALUE(RIGHT(TRIM($A280),2)),12,31))),SUMIFS('Timesheet Raw'!$P$4:$P$8000,'Timesheet Raw'!$B$4:$B$8000,TRIM($A280),'Timesheet Raw'!$C$4:$C$8000,"*"&amp;$B280&amp;"*",'Timesheet Raw'!$L$4:$L$8000,"&gt;="&amp;R$5,'Timesheet Raw'!$L$4:$L$8000,"&lt;="&amp;R$6)))/'Profit Plan'!$B$5)</f>
        <v>0</v>
      </c>
      <c r="S280" s="122">
        <f>IF($A280="","",(IF(ISNUMBER(SEARCH("Proposal",$A280)),SUMIFS('Timesheet Raw'!$P$4:$P$8000,'Timesheet Raw'!$A$4:$A$8000,IF(ISNUMBER(SEARCH("Chargable",$A280)),"2-Proposals Chargeable","3-Proposals Regular"),'Timesheet Raw'!$C$4:$C$8000,"*"&amp;$B280&amp;"*",'Timesheet Raw'!$L$4:$L$8000,"&gt;="&amp;MAX(S$5,DATE(2000+VALUE(RIGHT(TRIM($A280),2)),1,1)),'Timesheet Raw'!$L$4:$L$8000,"&lt;="&amp;MIN(S$6,DATE(2000+VALUE(RIGHT(TRIM($A280),2)),12,31))),SUMIFS('Timesheet Raw'!$P$4:$P$8000,'Timesheet Raw'!$B$4:$B$8000,TRIM($A280),'Timesheet Raw'!$C$4:$C$8000,"*"&amp;$B280&amp;"*",'Timesheet Raw'!$L$4:$L$8000,"&gt;="&amp;S$5,'Timesheet Raw'!$L$4:$L$8000,"&lt;="&amp;S$6)))/'Profit Plan'!$B$5)</f>
        <v>0</v>
      </c>
      <c r="T280" s="122">
        <f>IF($A280="","",(IF(ISNUMBER(SEARCH("Proposal",$A280)),SUMIFS('Timesheet Raw'!$P$4:$P$8000,'Timesheet Raw'!$A$4:$A$8000,IF(ISNUMBER(SEARCH("Chargable",$A280)),"2-Proposals Chargeable","3-Proposals Regular"),'Timesheet Raw'!$C$4:$C$8000,"*"&amp;$B280&amp;"*",'Timesheet Raw'!$L$4:$L$8000,"&gt;="&amp;MAX(T$5,DATE(2000+VALUE(RIGHT(TRIM($A280),2)),1,1)),'Timesheet Raw'!$L$4:$L$8000,"&lt;="&amp;MIN(T$6,DATE(2000+VALUE(RIGHT(TRIM($A280),2)),12,31))),SUMIFS('Timesheet Raw'!$P$4:$P$8000,'Timesheet Raw'!$B$4:$B$8000,TRIM($A280),'Timesheet Raw'!$C$4:$C$8000,"*"&amp;$B280&amp;"*",'Timesheet Raw'!$L$4:$L$8000,"&gt;="&amp;T$5,'Timesheet Raw'!$L$4:$L$8000,"&lt;="&amp;T$6)))/'Profit Plan'!$B$5)</f>
        <v>0</v>
      </c>
      <c r="U280" s="122">
        <f>IF($A280="","",(IF(ISNUMBER(SEARCH("Proposal",$A280)),SUMIFS('Timesheet Raw'!$P$4:$P$8000,'Timesheet Raw'!$A$4:$A$8000,IF(ISNUMBER(SEARCH("Chargable",$A280)),"2-Proposals Chargeable","3-Proposals Regular"),'Timesheet Raw'!$C$4:$C$8000,"*"&amp;$B280&amp;"*",'Timesheet Raw'!$L$4:$L$8000,"&gt;="&amp;MAX(U$5,DATE(2000+VALUE(RIGHT(TRIM($A280),2)),1,1)),'Timesheet Raw'!$L$4:$L$8000,"&lt;="&amp;MIN(U$6,DATE(2000+VALUE(RIGHT(TRIM($A280),2)),12,31))),SUMIFS('Timesheet Raw'!$P$4:$P$8000,'Timesheet Raw'!$B$4:$B$8000,TRIM($A280),'Timesheet Raw'!$C$4:$C$8000,"*"&amp;$B280&amp;"*",'Timesheet Raw'!$L$4:$L$8000,"&gt;="&amp;U$5,'Timesheet Raw'!$L$4:$L$8000,"&lt;="&amp;U$6)))/'Profit Plan'!$B$5)</f>
        <v>0</v>
      </c>
      <c r="V280" s="122">
        <f>IF($A280="","",(IF(ISNUMBER(SEARCH("Proposal",$A280)),SUMIFS('Timesheet Raw'!$P$4:$P$8000,'Timesheet Raw'!$A$4:$A$8000,IF(ISNUMBER(SEARCH("Chargable",$A280)),"2-Proposals Chargeable","3-Proposals Regular"),'Timesheet Raw'!$C$4:$C$8000,"*"&amp;$B280&amp;"*",'Timesheet Raw'!$L$4:$L$8000,"&gt;="&amp;MAX(V$5,DATE(2000+VALUE(RIGHT(TRIM($A280),2)),1,1)),'Timesheet Raw'!$L$4:$L$8000,"&lt;="&amp;MIN(V$6,DATE(2000+VALUE(RIGHT(TRIM($A280),2)),12,31))),SUMIFS('Timesheet Raw'!$P$4:$P$8000,'Timesheet Raw'!$B$4:$B$8000,TRIM($A280),'Timesheet Raw'!$C$4:$C$8000,"*"&amp;$B280&amp;"*",'Timesheet Raw'!$L$4:$L$8000,"&gt;="&amp;V$5,'Timesheet Raw'!$L$4:$L$8000,"&lt;="&amp;V$6)))/'Profit Plan'!$B$5)</f>
        <v>0</v>
      </c>
      <c r="W280" s="122">
        <f>IF($A280="","",(IF(ISNUMBER(SEARCH("Proposal",$A280)),SUMIFS('Timesheet Raw'!$P$4:$P$8000,'Timesheet Raw'!$A$4:$A$8000,IF(ISNUMBER(SEARCH("Chargable",$A280)),"2-Proposals Chargeable","3-Proposals Regular"),'Timesheet Raw'!$C$4:$C$8000,"*"&amp;$B280&amp;"*",'Timesheet Raw'!$L$4:$L$8000,"&gt;="&amp;MAX(W$5,DATE(2000+VALUE(RIGHT(TRIM($A280),2)),1,1)),'Timesheet Raw'!$L$4:$L$8000,"&lt;="&amp;MIN(W$6,DATE(2000+VALUE(RIGHT(TRIM($A280),2)),12,31))),SUMIFS('Timesheet Raw'!$P$4:$P$8000,'Timesheet Raw'!$B$4:$B$8000,TRIM($A280),'Timesheet Raw'!$C$4:$C$8000,"*"&amp;$B280&amp;"*",'Timesheet Raw'!$L$4:$L$8000,"&gt;="&amp;W$5,'Timesheet Raw'!$L$4:$L$8000,"&lt;="&amp;W$6)))/'Profit Plan'!$B$5)</f>
        <v>0</v>
      </c>
      <c r="X280" s="122">
        <f>IF($A280="","",(IF(ISNUMBER(SEARCH("Proposal",$A280)),SUMIFS('Timesheet Raw'!$P$4:$P$8000,'Timesheet Raw'!$A$4:$A$8000,IF(ISNUMBER(SEARCH("Chargable",$A280)),"2-Proposals Chargeable","3-Proposals Regular"),'Timesheet Raw'!$C$4:$C$8000,"*"&amp;$B280&amp;"*",'Timesheet Raw'!$L$4:$L$8000,"&gt;="&amp;MAX(X$5,DATE(2000+VALUE(RIGHT(TRIM($A280),2)),1,1)),'Timesheet Raw'!$L$4:$L$8000,"&lt;="&amp;MIN(X$6,DATE(2000+VALUE(RIGHT(TRIM($A280),2)),12,31))),SUMIFS('Timesheet Raw'!$P$4:$P$8000,'Timesheet Raw'!$B$4:$B$8000,TRIM($A280),'Timesheet Raw'!$C$4:$C$8000,"*"&amp;$B280&amp;"*",'Timesheet Raw'!$L$4:$L$8000,"&gt;="&amp;X$5,'Timesheet Raw'!$L$4:$L$8000,"&lt;="&amp;X$6)))/'Profit Plan'!$B$5)</f>
        <v>0</v>
      </c>
      <c r="Y280" s="118">
        <f t="shared" si="100"/>
        <v>0.25945945945945947</v>
      </c>
    </row>
    <row r="281" spans="1:25" x14ac:dyDescent="0.3">
      <c r="A281" s="116" t="str">
        <f>IF(Inputs!$A11="","",Inputs!$A11)</f>
        <v xml:space="preserve">AD24217-0100D </v>
      </c>
      <c r="B281" s="116" t="str">
        <f>IF(Inputs!$A11="","",Inputs!$A$92)</f>
        <v>Osama</v>
      </c>
      <c r="C281" s="116"/>
      <c r="D281" s="122">
        <f>IF($A281="","",(IF(ISNUMBER(SEARCH("Proposal",$A281)),SUMIFS('Timesheet Raw'!$P$4:$P$8000,'Timesheet Raw'!$A$4:$A$8000,IF(ISNUMBER(SEARCH("Chargable",$A281)),"2-Proposals Chargeable","3-Proposals Regular"),'Timesheet Raw'!$C$4:$C$8000,"*"&amp;$B281&amp;"*",'Timesheet Raw'!$L$4:$L$8000,"&gt;="&amp;MAX(D$5,DATE(2000+VALUE(RIGHT(TRIM($A281),2)),1,1)),'Timesheet Raw'!$L$4:$L$8000,"&lt;="&amp;MIN(D$6,DATE(2000+VALUE(RIGHT(TRIM($A281),2)),12,31))),SUMIFS('Timesheet Raw'!$P$4:$P$8000,'Timesheet Raw'!$B$4:$B$8000,TRIM($A281),'Timesheet Raw'!$C$4:$C$8000,"*"&amp;$B281&amp;"*",'Timesheet Raw'!$L$4:$L$8000,"&gt;="&amp;D$5,'Timesheet Raw'!$L$4:$L$8000,"&lt;="&amp;D$6)))/'Profit Plan'!$B$5)</f>
        <v>0</v>
      </c>
      <c r="E281" s="122">
        <f>IF($A281="","",(IF(ISNUMBER(SEARCH("Proposal",$A281)),SUMIFS('Timesheet Raw'!$P$4:$P$8000,'Timesheet Raw'!$A$4:$A$8000,IF(ISNUMBER(SEARCH("Chargable",$A281)),"2-Proposals Chargeable","3-Proposals Regular"),'Timesheet Raw'!$C$4:$C$8000,"*"&amp;$B281&amp;"*",'Timesheet Raw'!$L$4:$L$8000,"&gt;="&amp;MAX(E$5,DATE(2000+VALUE(RIGHT(TRIM($A281),2)),1,1)),'Timesheet Raw'!$L$4:$L$8000,"&lt;="&amp;MIN(E$6,DATE(2000+VALUE(RIGHT(TRIM($A281),2)),12,31))),SUMIFS('Timesheet Raw'!$P$4:$P$8000,'Timesheet Raw'!$B$4:$B$8000,TRIM($A281),'Timesheet Raw'!$C$4:$C$8000,"*"&amp;$B281&amp;"*",'Timesheet Raw'!$L$4:$L$8000,"&gt;="&amp;E$5,'Timesheet Raw'!$L$4:$L$8000,"&lt;="&amp;E$6)))/'Profit Plan'!$B$5)</f>
        <v>0</v>
      </c>
      <c r="F281" s="122">
        <f>IF($A281="","",(IF(ISNUMBER(SEARCH("Proposal",$A281)),SUMIFS('Timesheet Raw'!$P$4:$P$8000,'Timesheet Raw'!$A$4:$A$8000,IF(ISNUMBER(SEARCH("Chargable",$A281)),"2-Proposals Chargeable","3-Proposals Regular"),'Timesheet Raw'!$C$4:$C$8000,"*"&amp;$B281&amp;"*",'Timesheet Raw'!$L$4:$L$8000,"&gt;="&amp;MAX(F$5,DATE(2000+VALUE(RIGHT(TRIM($A281),2)),1,1)),'Timesheet Raw'!$L$4:$L$8000,"&lt;="&amp;MIN(F$6,DATE(2000+VALUE(RIGHT(TRIM($A281),2)),12,31))),SUMIFS('Timesheet Raw'!$P$4:$P$8000,'Timesheet Raw'!$B$4:$B$8000,TRIM($A281),'Timesheet Raw'!$C$4:$C$8000,"*"&amp;$B281&amp;"*",'Timesheet Raw'!$L$4:$L$8000,"&gt;="&amp;F$5,'Timesheet Raw'!$L$4:$L$8000,"&lt;="&amp;F$6)))/'Profit Plan'!$B$5)</f>
        <v>0</v>
      </c>
      <c r="G281" s="122">
        <f>IF($A281="","",(IF(ISNUMBER(SEARCH("Proposal",$A281)),SUMIFS('Timesheet Raw'!$P$4:$P$8000,'Timesheet Raw'!$A$4:$A$8000,IF(ISNUMBER(SEARCH("Chargable",$A281)),"2-Proposals Chargeable","3-Proposals Regular"),'Timesheet Raw'!$C$4:$C$8000,"*"&amp;$B281&amp;"*",'Timesheet Raw'!$L$4:$L$8000,"&gt;="&amp;MAX(G$5,DATE(2000+VALUE(RIGHT(TRIM($A281),2)),1,1)),'Timesheet Raw'!$L$4:$L$8000,"&lt;="&amp;MIN(G$6,DATE(2000+VALUE(RIGHT(TRIM($A281),2)),12,31))),SUMIFS('Timesheet Raw'!$P$4:$P$8000,'Timesheet Raw'!$B$4:$B$8000,TRIM($A281),'Timesheet Raw'!$C$4:$C$8000,"*"&amp;$B281&amp;"*",'Timesheet Raw'!$L$4:$L$8000,"&gt;="&amp;G$5,'Timesheet Raw'!$L$4:$L$8000,"&lt;="&amp;G$6)))/'Profit Plan'!$B$5)</f>
        <v>0</v>
      </c>
      <c r="H281" s="122">
        <f>IF($A281="","",(IF(ISNUMBER(SEARCH("Proposal",$A281)),SUMIFS('Timesheet Raw'!$P$4:$P$8000,'Timesheet Raw'!$A$4:$A$8000,IF(ISNUMBER(SEARCH("Chargable",$A281)),"2-Proposals Chargeable","3-Proposals Regular"),'Timesheet Raw'!$C$4:$C$8000,"*"&amp;$B281&amp;"*",'Timesheet Raw'!$L$4:$L$8000,"&gt;="&amp;MAX(H$5,DATE(2000+VALUE(RIGHT(TRIM($A281),2)),1,1)),'Timesheet Raw'!$L$4:$L$8000,"&lt;="&amp;MIN(H$6,DATE(2000+VALUE(RIGHT(TRIM($A281),2)),12,31))),SUMIFS('Timesheet Raw'!$P$4:$P$8000,'Timesheet Raw'!$B$4:$B$8000,TRIM($A281),'Timesheet Raw'!$C$4:$C$8000,"*"&amp;$B281&amp;"*",'Timesheet Raw'!$L$4:$L$8000,"&gt;="&amp;H$5,'Timesheet Raw'!$L$4:$L$8000,"&lt;="&amp;H$6)))/'Profit Plan'!$B$5)</f>
        <v>0</v>
      </c>
      <c r="I281" s="122">
        <f>IF($A281="","",(IF(ISNUMBER(SEARCH("Proposal",$A281)),SUMIFS('Timesheet Raw'!$P$4:$P$8000,'Timesheet Raw'!$A$4:$A$8000,IF(ISNUMBER(SEARCH("Chargable",$A281)),"2-Proposals Chargeable","3-Proposals Regular"),'Timesheet Raw'!$C$4:$C$8000,"*"&amp;$B281&amp;"*",'Timesheet Raw'!$L$4:$L$8000,"&gt;="&amp;MAX(I$5,DATE(2000+VALUE(RIGHT(TRIM($A281),2)),1,1)),'Timesheet Raw'!$L$4:$L$8000,"&lt;="&amp;MIN(I$6,DATE(2000+VALUE(RIGHT(TRIM($A281),2)),12,31))),SUMIFS('Timesheet Raw'!$P$4:$P$8000,'Timesheet Raw'!$B$4:$B$8000,TRIM($A281),'Timesheet Raw'!$C$4:$C$8000,"*"&amp;$B281&amp;"*",'Timesheet Raw'!$L$4:$L$8000,"&gt;="&amp;I$5,'Timesheet Raw'!$L$4:$L$8000,"&lt;="&amp;I$6)))/'Profit Plan'!$B$5)</f>
        <v>0</v>
      </c>
      <c r="J281" s="122">
        <f>IF($A281="","",(IF(ISNUMBER(SEARCH("Proposal",$A281)),SUMIFS('Timesheet Raw'!$P$4:$P$8000,'Timesheet Raw'!$A$4:$A$8000,IF(ISNUMBER(SEARCH("Chargable",$A281)),"2-Proposals Chargeable","3-Proposals Regular"),'Timesheet Raw'!$C$4:$C$8000,"*"&amp;$B281&amp;"*",'Timesheet Raw'!$L$4:$L$8000,"&gt;="&amp;MAX(J$5,DATE(2000+VALUE(RIGHT(TRIM($A281),2)),1,1)),'Timesheet Raw'!$L$4:$L$8000,"&lt;="&amp;MIN(J$6,DATE(2000+VALUE(RIGHT(TRIM($A281),2)),12,31))),SUMIFS('Timesheet Raw'!$P$4:$P$8000,'Timesheet Raw'!$B$4:$B$8000,TRIM($A281),'Timesheet Raw'!$C$4:$C$8000,"*"&amp;$B281&amp;"*",'Timesheet Raw'!$L$4:$L$8000,"&gt;="&amp;J$5,'Timesheet Raw'!$L$4:$L$8000,"&lt;="&amp;J$6)))/'Profit Plan'!$B$5)</f>
        <v>0.30135135135135133</v>
      </c>
      <c r="K281" s="122">
        <f>IF($A281="","",(IF(ISNUMBER(SEARCH("Proposal",$A281)),SUMIFS('Timesheet Raw'!$P$4:$P$8000,'Timesheet Raw'!$A$4:$A$8000,IF(ISNUMBER(SEARCH("Chargable",$A281)),"2-Proposals Chargeable","3-Proposals Regular"),'Timesheet Raw'!$C$4:$C$8000,"*"&amp;$B281&amp;"*",'Timesheet Raw'!$L$4:$L$8000,"&gt;="&amp;MAX(K$5,DATE(2000+VALUE(RIGHT(TRIM($A281),2)),1,1)),'Timesheet Raw'!$L$4:$L$8000,"&lt;="&amp;MIN(K$6,DATE(2000+VALUE(RIGHT(TRIM($A281),2)),12,31))),SUMIFS('Timesheet Raw'!$P$4:$P$8000,'Timesheet Raw'!$B$4:$B$8000,TRIM($A281),'Timesheet Raw'!$C$4:$C$8000,"*"&amp;$B281&amp;"*",'Timesheet Raw'!$L$4:$L$8000,"&gt;="&amp;K$5,'Timesheet Raw'!$L$4:$L$8000,"&lt;="&amp;K$6)))/'Profit Plan'!$B$5)</f>
        <v>0</v>
      </c>
      <c r="L281" s="122">
        <f>IF($A281="","",(IF(ISNUMBER(SEARCH("Proposal",$A281)),SUMIFS('Timesheet Raw'!$P$4:$P$8000,'Timesheet Raw'!$A$4:$A$8000,IF(ISNUMBER(SEARCH("Chargable",$A281)),"2-Proposals Chargeable","3-Proposals Regular"),'Timesheet Raw'!$C$4:$C$8000,"*"&amp;$B281&amp;"*",'Timesheet Raw'!$L$4:$L$8000,"&gt;="&amp;MAX(L$5,DATE(2000+VALUE(RIGHT(TRIM($A281),2)),1,1)),'Timesheet Raw'!$L$4:$L$8000,"&lt;="&amp;MIN(L$6,DATE(2000+VALUE(RIGHT(TRIM($A281),2)),12,31))),SUMIFS('Timesheet Raw'!$P$4:$P$8000,'Timesheet Raw'!$B$4:$B$8000,TRIM($A281),'Timesheet Raw'!$C$4:$C$8000,"*"&amp;$B281&amp;"*",'Timesheet Raw'!$L$4:$L$8000,"&gt;="&amp;L$5,'Timesheet Raw'!$L$4:$L$8000,"&lt;="&amp;L$6)))/'Profit Plan'!$B$5)</f>
        <v>0</v>
      </c>
      <c r="M281" s="122">
        <f>IF($A281="","",(IF(ISNUMBER(SEARCH("Proposal",$A281)),SUMIFS('Timesheet Raw'!$P$4:$P$8000,'Timesheet Raw'!$A$4:$A$8000,IF(ISNUMBER(SEARCH("Chargable",$A281)),"2-Proposals Chargeable","3-Proposals Regular"),'Timesheet Raw'!$C$4:$C$8000,"*"&amp;$B281&amp;"*",'Timesheet Raw'!$L$4:$L$8000,"&gt;="&amp;MAX(M$5,DATE(2000+VALUE(RIGHT(TRIM($A281),2)),1,1)),'Timesheet Raw'!$L$4:$L$8000,"&lt;="&amp;MIN(M$6,DATE(2000+VALUE(RIGHT(TRIM($A281),2)),12,31))),SUMIFS('Timesheet Raw'!$P$4:$P$8000,'Timesheet Raw'!$B$4:$B$8000,TRIM($A281),'Timesheet Raw'!$C$4:$C$8000,"*"&amp;$B281&amp;"*",'Timesheet Raw'!$L$4:$L$8000,"&gt;="&amp;M$5,'Timesheet Raw'!$L$4:$L$8000,"&lt;="&amp;M$6)))/'Profit Plan'!$B$5)</f>
        <v>0</v>
      </c>
      <c r="N281" s="122">
        <f>IF($A281="","",(IF(ISNUMBER(SEARCH("Proposal",$A281)),SUMIFS('Timesheet Raw'!$P$4:$P$8000,'Timesheet Raw'!$A$4:$A$8000,IF(ISNUMBER(SEARCH("Chargable",$A281)),"2-Proposals Chargeable","3-Proposals Regular"),'Timesheet Raw'!$C$4:$C$8000,"*"&amp;$B281&amp;"*",'Timesheet Raw'!$L$4:$L$8000,"&gt;="&amp;MAX(N$5,DATE(2000+VALUE(RIGHT(TRIM($A281),2)),1,1)),'Timesheet Raw'!$L$4:$L$8000,"&lt;="&amp;MIN(N$6,DATE(2000+VALUE(RIGHT(TRIM($A281),2)),12,31))),SUMIFS('Timesheet Raw'!$P$4:$P$8000,'Timesheet Raw'!$B$4:$B$8000,TRIM($A281),'Timesheet Raw'!$C$4:$C$8000,"*"&amp;$B281&amp;"*",'Timesheet Raw'!$L$4:$L$8000,"&gt;="&amp;N$5,'Timesheet Raw'!$L$4:$L$8000,"&lt;="&amp;N$6)))/'Profit Plan'!$B$5)</f>
        <v>0</v>
      </c>
      <c r="O281" s="122">
        <f>IF($A281="","",(IF(ISNUMBER(SEARCH("Proposal",$A281)),SUMIFS('Timesheet Raw'!$P$4:$P$8000,'Timesheet Raw'!$A$4:$A$8000,IF(ISNUMBER(SEARCH("Chargable",$A281)),"2-Proposals Chargeable","3-Proposals Regular"),'Timesheet Raw'!$C$4:$C$8000,"*"&amp;$B281&amp;"*",'Timesheet Raw'!$L$4:$L$8000,"&gt;="&amp;MAX(O$5,DATE(2000+VALUE(RIGHT(TRIM($A281),2)),1,1)),'Timesheet Raw'!$L$4:$L$8000,"&lt;="&amp;MIN(O$6,DATE(2000+VALUE(RIGHT(TRIM($A281),2)),12,31))),SUMIFS('Timesheet Raw'!$P$4:$P$8000,'Timesheet Raw'!$B$4:$B$8000,TRIM($A281),'Timesheet Raw'!$C$4:$C$8000,"*"&amp;$B281&amp;"*",'Timesheet Raw'!$L$4:$L$8000,"&gt;="&amp;O$5,'Timesheet Raw'!$L$4:$L$8000,"&lt;="&amp;O$6)))/'Profit Plan'!$B$5)</f>
        <v>0</v>
      </c>
      <c r="P281" s="122">
        <f>IF($A281="","",(IF(ISNUMBER(SEARCH("Proposal",$A281)),SUMIFS('Timesheet Raw'!$P$4:$P$8000,'Timesheet Raw'!$A$4:$A$8000,IF(ISNUMBER(SEARCH("Chargable",$A281)),"2-Proposals Chargeable","3-Proposals Regular"),'Timesheet Raw'!$C$4:$C$8000,"*"&amp;$B281&amp;"*",'Timesheet Raw'!$L$4:$L$8000,"&gt;="&amp;MAX(P$5,DATE(2000+VALUE(RIGHT(TRIM($A281),2)),1,1)),'Timesheet Raw'!$L$4:$L$8000,"&lt;="&amp;MIN(P$6,DATE(2000+VALUE(RIGHT(TRIM($A281),2)),12,31))),SUMIFS('Timesheet Raw'!$P$4:$P$8000,'Timesheet Raw'!$B$4:$B$8000,TRIM($A281),'Timesheet Raw'!$C$4:$C$8000,"*"&amp;$B281&amp;"*",'Timesheet Raw'!$L$4:$L$8000,"&gt;="&amp;P$5,'Timesheet Raw'!$L$4:$L$8000,"&lt;="&amp;P$6)))/'Profit Plan'!$B$5)</f>
        <v>0</v>
      </c>
      <c r="Q281" s="122">
        <f>IF($A281="","",(IF(ISNUMBER(SEARCH("Proposal",$A281)),SUMIFS('Timesheet Raw'!$P$4:$P$8000,'Timesheet Raw'!$A$4:$A$8000,IF(ISNUMBER(SEARCH("Chargable",$A281)),"2-Proposals Chargeable","3-Proposals Regular"),'Timesheet Raw'!$C$4:$C$8000,"*"&amp;$B281&amp;"*",'Timesheet Raw'!$L$4:$L$8000,"&gt;="&amp;MAX(Q$5,DATE(2000+VALUE(RIGHT(TRIM($A281),2)),1,1)),'Timesheet Raw'!$L$4:$L$8000,"&lt;="&amp;MIN(Q$6,DATE(2000+VALUE(RIGHT(TRIM($A281),2)),12,31))),SUMIFS('Timesheet Raw'!$P$4:$P$8000,'Timesheet Raw'!$B$4:$B$8000,TRIM($A281),'Timesheet Raw'!$C$4:$C$8000,"*"&amp;$B281&amp;"*",'Timesheet Raw'!$L$4:$L$8000,"&gt;="&amp;Q$5,'Timesheet Raw'!$L$4:$L$8000,"&lt;="&amp;Q$6)))/'Profit Plan'!$B$5)</f>
        <v>0</v>
      </c>
      <c r="R281" s="122">
        <f>IF($A281="","",(IF(ISNUMBER(SEARCH("Proposal",$A281)),SUMIFS('Timesheet Raw'!$P$4:$P$8000,'Timesheet Raw'!$A$4:$A$8000,IF(ISNUMBER(SEARCH("Chargable",$A281)),"2-Proposals Chargeable","3-Proposals Regular"),'Timesheet Raw'!$C$4:$C$8000,"*"&amp;$B281&amp;"*",'Timesheet Raw'!$L$4:$L$8000,"&gt;="&amp;MAX(R$5,DATE(2000+VALUE(RIGHT(TRIM($A281),2)),1,1)),'Timesheet Raw'!$L$4:$L$8000,"&lt;="&amp;MIN(R$6,DATE(2000+VALUE(RIGHT(TRIM($A281),2)),12,31))),SUMIFS('Timesheet Raw'!$P$4:$P$8000,'Timesheet Raw'!$B$4:$B$8000,TRIM($A281),'Timesheet Raw'!$C$4:$C$8000,"*"&amp;$B281&amp;"*",'Timesheet Raw'!$L$4:$L$8000,"&gt;="&amp;R$5,'Timesheet Raw'!$L$4:$L$8000,"&lt;="&amp;R$6)))/'Profit Plan'!$B$5)</f>
        <v>0</v>
      </c>
      <c r="S281" s="122">
        <f>IF($A281="","",(IF(ISNUMBER(SEARCH("Proposal",$A281)),SUMIFS('Timesheet Raw'!$P$4:$P$8000,'Timesheet Raw'!$A$4:$A$8000,IF(ISNUMBER(SEARCH("Chargable",$A281)),"2-Proposals Chargeable","3-Proposals Regular"),'Timesheet Raw'!$C$4:$C$8000,"*"&amp;$B281&amp;"*",'Timesheet Raw'!$L$4:$L$8000,"&gt;="&amp;MAX(S$5,DATE(2000+VALUE(RIGHT(TRIM($A281),2)),1,1)),'Timesheet Raw'!$L$4:$L$8000,"&lt;="&amp;MIN(S$6,DATE(2000+VALUE(RIGHT(TRIM($A281),2)),12,31))),SUMIFS('Timesheet Raw'!$P$4:$P$8000,'Timesheet Raw'!$B$4:$B$8000,TRIM($A281),'Timesheet Raw'!$C$4:$C$8000,"*"&amp;$B281&amp;"*",'Timesheet Raw'!$L$4:$L$8000,"&gt;="&amp;S$5,'Timesheet Raw'!$L$4:$L$8000,"&lt;="&amp;S$6)))/'Profit Plan'!$B$5)</f>
        <v>0</v>
      </c>
      <c r="T281" s="122">
        <f>IF($A281="","",(IF(ISNUMBER(SEARCH("Proposal",$A281)),SUMIFS('Timesheet Raw'!$P$4:$P$8000,'Timesheet Raw'!$A$4:$A$8000,IF(ISNUMBER(SEARCH("Chargable",$A281)),"2-Proposals Chargeable","3-Proposals Regular"),'Timesheet Raw'!$C$4:$C$8000,"*"&amp;$B281&amp;"*",'Timesheet Raw'!$L$4:$L$8000,"&gt;="&amp;MAX(T$5,DATE(2000+VALUE(RIGHT(TRIM($A281),2)),1,1)),'Timesheet Raw'!$L$4:$L$8000,"&lt;="&amp;MIN(T$6,DATE(2000+VALUE(RIGHT(TRIM($A281),2)),12,31))),SUMIFS('Timesheet Raw'!$P$4:$P$8000,'Timesheet Raw'!$B$4:$B$8000,TRIM($A281),'Timesheet Raw'!$C$4:$C$8000,"*"&amp;$B281&amp;"*",'Timesheet Raw'!$L$4:$L$8000,"&gt;="&amp;T$5,'Timesheet Raw'!$L$4:$L$8000,"&lt;="&amp;T$6)))/'Profit Plan'!$B$5)</f>
        <v>0</v>
      </c>
      <c r="U281" s="122">
        <f>IF($A281="","",(IF(ISNUMBER(SEARCH("Proposal",$A281)),SUMIFS('Timesheet Raw'!$P$4:$P$8000,'Timesheet Raw'!$A$4:$A$8000,IF(ISNUMBER(SEARCH("Chargable",$A281)),"2-Proposals Chargeable","3-Proposals Regular"),'Timesheet Raw'!$C$4:$C$8000,"*"&amp;$B281&amp;"*",'Timesheet Raw'!$L$4:$L$8000,"&gt;="&amp;MAX(U$5,DATE(2000+VALUE(RIGHT(TRIM($A281),2)),1,1)),'Timesheet Raw'!$L$4:$L$8000,"&lt;="&amp;MIN(U$6,DATE(2000+VALUE(RIGHT(TRIM($A281),2)),12,31))),SUMIFS('Timesheet Raw'!$P$4:$P$8000,'Timesheet Raw'!$B$4:$B$8000,TRIM($A281),'Timesheet Raw'!$C$4:$C$8000,"*"&amp;$B281&amp;"*",'Timesheet Raw'!$L$4:$L$8000,"&gt;="&amp;U$5,'Timesheet Raw'!$L$4:$L$8000,"&lt;="&amp;U$6)))/'Profit Plan'!$B$5)</f>
        <v>0</v>
      </c>
      <c r="V281" s="122">
        <f>IF($A281="","",(IF(ISNUMBER(SEARCH("Proposal",$A281)),SUMIFS('Timesheet Raw'!$P$4:$P$8000,'Timesheet Raw'!$A$4:$A$8000,IF(ISNUMBER(SEARCH("Chargable",$A281)),"2-Proposals Chargeable","3-Proposals Regular"),'Timesheet Raw'!$C$4:$C$8000,"*"&amp;$B281&amp;"*",'Timesheet Raw'!$L$4:$L$8000,"&gt;="&amp;MAX(V$5,DATE(2000+VALUE(RIGHT(TRIM($A281),2)),1,1)),'Timesheet Raw'!$L$4:$L$8000,"&lt;="&amp;MIN(V$6,DATE(2000+VALUE(RIGHT(TRIM($A281),2)),12,31))),SUMIFS('Timesheet Raw'!$P$4:$P$8000,'Timesheet Raw'!$B$4:$B$8000,TRIM($A281),'Timesheet Raw'!$C$4:$C$8000,"*"&amp;$B281&amp;"*",'Timesheet Raw'!$L$4:$L$8000,"&gt;="&amp;V$5,'Timesheet Raw'!$L$4:$L$8000,"&lt;="&amp;V$6)))/'Profit Plan'!$B$5)</f>
        <v>0</v>
      </c>
      <c r="W281" s="122">
        <f>IF($A281="","",(IF(ISNUMBER(SEARCH("Proposal",$A281)),SUMIFS('Timesheet Raw'!$P$4:$P$8000,'Timesheet Raw'!$A$4:$A$8000,IF(ISNUMBER(SEARCH("Chargable",$A281)),"2-Proposals Chargeable","3-Proposals Regular"),'Timesheet Raw'!$C$4:$C$8000,"*"&amp;$B281&amp;"*",'Timesheet Raw'!$L$4:$L$8000,"&gt;="&amp;MAX(W$5,DATE(2000+VALUE(RIGHT(TRIM($A281),2)),1,1)),'Timesheet Raw'!$L$4:$L$8000,"&lt;="&amp;MIN(W$6,DATE(2000+VALUE(RIGHT(TRIM($A281),2)),12,31))),SUMIFS('Timesheet Raw'!$P$4:$P$8000,'Timesheet Raw'!$B$4:$B$8000,TRIM($A281),'Timesheet Raw'!$C$4:$C$8000,"*"&amp;$B281&amp;"*",'Timesheet Raw'!$L$4:$L$8000,"&gt;="&amp;W$5,'Timesheet Raw'!$L$4:$L$8000,"&lt;="&amp;W$6)))/'Profit Plan'!$B$5)</f>
        <v>0</v>
      </c>
      <c r="X281" s="122">
        <f>IF($A281="","",(IF(ISNUMBER(SEARCH("Proposal",$A281)),SUMIFS('Timesheet Raw'!$P$4:$P$8000,'Timesheet Raw'!$A$4:$A$8000,IF(ISNUMBER(SEARCH("Chargable",$A281)),"2-Proposals Chargeable","3-Proposals Regular"),'Timesheet Raw'!$C$4:$C$8000,"*"&amp;$B281&amp;"*",'Timesheet Raw'!$L$4:$L$8000,"&gt;="&amp;MAX(X$5,DATE(2000+VALUE(RIGHT(TRIM($A281),2)),1,1)),'Timesheet Raw'!$L$4:$L$8000,"&lt;="&amp;MIN(X$6,DATE(2000+VALUE(RIGHT(TRIM($A281),2)),12,31))),SUMIFS('Timesheet Raw'!$P$4:$P$8000,'Timesheet Raw'!$B$4:$B$8000,TRIM($A281),'Timesheet Raw'!$C$4:$C$8000,"*"&amp;$B281&amp;"*",'Timesheet Raw'!$L$4:$L$8000,"&gt;="&amp;X$5,'Timesheet Raw'!$L$4:$L$8000,"&lt;="&amp;X$6)))/'Profit Plan'!$B$5)</f>
        <v>0</v>
      </c>
      <c r="Y281" s="118">
        <f t="shared" si="100"/>
        <v>0.30135135135135133</v>
      </c>
    </row>
    <row r="282" spans="1:25" x14ac:dyDescent="0.3">
      <c r="A282" s="116" t="str">
        <f>IF(Inputs!$A11="","",Inputs!$A11)</f>
        <v xml:space="preserve">AD24217-0100D </v>
      </c>
      <c r="B282" s="116" t="str">
        <f>IF(Inputs!$A11="","",Inputs!$A$93)</f>
        <v>Kirolos</v>
      </c>
      <c r="C282" s="116"/>
      <c r="D282" s="122">
        <f>IF($A282="","",(IF(ISNUMBER(SEARCH("Proposal",$A282)),SUMIFS('Timesheet Raw'!$P$4:$P$8000,'Timesheet Raw'!$A$4:$A$8000,IF(ISNUMBER(SEARCH("Chargable",$A282)),"2-Proposals Chargeable","3-Proposals Regular"),'Timesheet Raw'!$C$4:$C$8000,"*"&amp;$B282&amp;"*",'Timesheet Raw'!$L$4:$L$8000,"&gt;="&amp;MAX(D$5,DATE(2000+VALUE(RIGHT(TRIM($A282),2)),1,1)),'Timesheet Raw'!$L$4:$L$8000,"&lt;="&amp;MIN(D$6,DATE(2000+VALUE(RIGHT(TRIM($A282),2)),12,31))),SUMIFS('Timesheet Raw'!$P$4:$P$8000,'Timesheet Raw'!$B$4:$B$8000,TRIM($A282),'Timesheet Raw'!$C$4:$C$8000,"*"&amp;$B282&amp;"*",'Timesheet Raw'!$L$4:$L$8000,"&gt;="&amp;D$5,'Timesheet Raw'!$L$4:$L$8000,"&lt;="&amp;D$6)))/'Profit Plan'!$B$5)</f>
        <v>0</v>
      </c>
      <c r="E282" s="122">
        <f>IF($A282="","",(IF(ISNUMBER(SEARCH("Proposal",$A282)),SUMIFS('Timesheet Raw'!$P$4:$P$8000,'Timesheet Raw'!$A$4:$A$8000,IF(ISNUMBER(SEARCH("Chargable",$A282)),"2-Proposals Chargeable","3-Proposals Regular"),'Timesheet Raw'!$C$4:$C$8000,"*"&amp;$B282&amp;"*",'Timesheet Raw'!$L$4:$L$8000,"&gt;="&amp;MAX(E$5,DATE(2000+VALUE(RIGHT(TRIM($A282),2)),1,1)),'Timesheet Raw'!$L$4:$L$8000,"&lt;="&amp;MIN(E$6,DATE(2000+VALUE(RIGHT(TRIM($A282),2)),12,31))),SUMIFS('Timesheet Raw'!$P$4:$P$8000,'Timesheet Raw'!$B$4:$B$8000,TRIM($A282),'Timesheet Raw'!$C$4:$C$8000,"*"&amp;$B282&amp;"*",'Timesheet Raw'!$L$4:$L$8000,"&gt;="&amp;E$5,'Timesheet Raw'!$L$4:$L$8000,"&lt;="&amp;E$6)))/'Profit Plan'!$B$5)</f>
        <v>0</v>
      </c>
      <c r="F282" s="122">
        <f>IF($A282="","",(IF(ISNUMBER(SEARCH("Proposal",$A282)),SUMIFS('Timesheet Raw'!$P$4:$P$8000,'Timesheet Raw'!$A$4:$A$8000,IF(ISNUMBER(SEARCH("Chargable",$A282)),"2-Proposals Chargeable","3-Proposals Regular"),'Timesheet Raw'!$C$4:$C$8000,"*"&amp;$B282&amp;"*",'Timesheet Raw'!$L$4:$L$8000,"&gt;="&amp;MAX(F$5,DATE(2000+VALUE(RIGHT(TRIM($A282),2)),1,1)),'Timesheet Raw'!$L$4:$L$8000,"&lt;="&amp;MIN(F$6,DATE(2000+VALUE(RIGHT(TRIM($A282),2)),12,31))),SUMIFS('Timesheet Raw'!$P$4:$P$8000,'Timesheet Raw'!$B$4:$B$8000,TRIM($A282),'Timesheet Raw'!$C$4:$C$8000,"*"&amp;$B282&amp;"*",'Timesheet Raw'!$L$4:$L$8000,"&gt;="&amp;F$5,'Timesheet Raw'!$L$4:$L$8000,"&lt;="&amp;F$6)))/'Profit Plan'!$B$5)</f>
        <v>0</v>
      </c>
      <c r="G282" s="122">
        <f>IF($A282="","",(IF(ISNUMBER(SEARCH("Proposal",$A282)),SUMIFS('Timesheet Raw'!$P$4:$P$8000,'Timesheet Raw'!$A$4:$A$8000,IF(ISNUMBER(SEARCH("Chargable",$A282)),"2-Proposals Chargeable","3-Proposals Regular"),'Timesheet Raw'!$C$4:$C$8000,"*"&amp;$B282&amp;"*",'Timesheet Raw'!$L$4:$L$8000,"&gt;="&amp;MAX(G$5,DATE(2000+VALUE(RIGHT(TRIM($A282),2)),1,1)),'Timesheet Raw'!$L$4:$L$8000,"&lt;="&amp;MIN(G$6,DATE(2000+VALUE(RIGHT(TRIM($A282),2)),12,31))),SUMIFS('Timesheet Raw'!$P$4:$P$8000,'Timesheet Raw'!$B$4:$B$8000,TRIM($A282),'Timesheet Raw'!$C$4:$C$8000,"*"&amp;$B282&amp;"*",'Timesheet Raw'!$L$4:$L$8000,"&gt;="&amp;G$5,'Timesheet Raw'!$L$4:$L$8000,"&lt;="&amp;G$6)))/'Profit Plan'!$B$5)</f>
        <v>0</v>
      </c>
      <c r="H282" s="122">
        <f>IF($A282="","",(IF(ISNUMBER(SEARCH("Proposal",$A282)),SUMIFS('Timesheet Raw'!$P$4:$P$8000,'Timesheet Raw'!$A$4:$A$8000,IF(ISNUMBER(SEARCH("Chargable",$A282)),"2-Proposals Chargeable","3-Proposals Regular"),'Timesheet Raw'!$C$4:$C$8000,"*"&amp;$B282&amp;"*",'Timesheet Raw'!$L$4:$L$8000,"&gt;="&amp;MAX(H$5,DATE(2000+VALUE(RIGHT(TRIM($A282),2)),1,1)),'Timesheet Raw'!$L$4:$L$8000,"&lt;="&amp;MIN(H$6,DATE(2000+VALUE(RIGHT(TRIM($A282),2)),12,31))),SUMIFS('Timesheet Raw'!$P$4:$P$8000,'Timesheet Raw'!$B$4:$B$8000,TRIM($A282),'Timesheet Raw'!$C$4:$C$8000,"*"&amp;$B282&amp;"*",'Timesheet Raw'!$L$4:$L$8000,"&gt;="&amp;H$5,'Timesheet Raw'!$L$4:$L$8000,"&lt;="&amp;H$6)))/'Profit Plan'!$B$5)</f>
        <v>0</v>
      </c>
      <c r="I282" s="122">
        <f>IF($A282="","",(IF(ISNUMBER(SEARCH("Proposal",$A282)),SUMIFS('Timesheet Raw'!$P$4:$P$8000,'Timesheet Raw'!$A$4:$A$8000,IF(ISNUMBER(SEARCH("Chargable",$A282)),"2-Proposals Chargeable","3-Proposals Regular"),'Timesheet Raw'!$C$4:$C$8000,"*"&amp;$B282&amp;"*",'Timesheet Raw'!$L$4:$L$8000,"&gt;="&amp;MAX(I$5,DATE(2000+VALUE(RIGHT(TRIM($A282),2)),1,1)),'Timesheet Raw'!$L$4:$L$8000,"&lt;="&amp;MIN(I$6,DATE(2000+VALUE(RIGHT(TRIM($A282),2)),12,31))),SUMIFS('Timesheet Raw'!$P$4:$P$8000,'Timesheet Raw'!$B$4:$B$8000,TRIM($A282),'Timesheet Raw'!$C$4:$C$8000,"*"&amp;$B282&amp;"*",'Timesheet Raw'!$L$4:$L$8000,"&gt;="&amp;I$5,'Timesheet Raw'!$L$4:$L$8000,"&lt;="&amp;I$6)))/'Profit Plan'!$B$5)</f>
        <v>0.11621621621621622</v>
      </c>
      <c r="J282" s="122">
        <f>IF($A282="","",(IF(ISNUMBER(SEARCH("Proposal",$A282)),SUMIFS('Timesheet Raw'!$P$4:$P$8000,'Timesheet Raw'!$A$4:$A$8000,IF(ISNUMBER(SEARCH("Chargable",$A282)),"2-Proposals Chargeable","3-Proposals Regular"),'Timesheet Raw'!$C$4:$C$8000,"*"&amp;$B282&amp;"*",'Timesheet Raw'!$L$4:$L$8000,"&gt;="&amp;MAX(J$5,DATE(2000+VALUE(RIGHT(TRIM($A282),2)),1,1)),'Timesheet Raw'!$L$4:$L$8000,"&lt;="&amp;MIN(J$6,DATE(2000+VALUE(RIGHT(TRIM($A282),2)),12,31))),SUMIFS('Timesheet Raw'!$P$4:$P$8000,'Timesheet Raw'!$B$4:$B$8000,TRIM($A282),'Timesheet Raw'!$C$4:$C$8000,"*"&amp;$B282&amp;"*",'Timesheet Raw'!$L$4:$L$8000,"&gt;="&amp;J$5,'Timesheet Raw'!$L$4:$L$8000,"&lt;="&amp;J$6)))/'Profit Plan'!$B$5)</f>
        <v>1.2391891891891893</v>
      </c>
      <c r="K282" s="122">
        <f>IF($A282="","",(IF(ISNUMBER(SEARCH("Proposal",$A282)),SUMIFS('Timesheet Raw'!$P$4:$P$8000,'Timesheet Raw'!$A$4:$A$8000,IF(ISNUMBER(SEARCH("Chargable",$A282)),"2-Proposals Chargeable","3-Proposals Regular"),'Timesheet Raw'!$C$4:$C$8000,"*"&amp;$B282&amp;"*",'Timesheet Raw'!$L$4:$L$8000,"&gt;="&amp;MAX(K$5,DATE(2000+VALUE(RIGHT(TRIM($A282),2)),1,1)),'Timesheet Raw'!$L$4:$L$8000,"&lt;="&amp;MIN(K$6,DATE(2000+VALUE(RIGHT(TRIM($A282),2)),12,31))),SUMIFS('Timesheet Raw'!$P$4:$P$8000,'Timesheet Raw'!$B$4:$B$8000,TRIM($A282),'Timesheet Raw'!$C$4:$C$8000,"*"&amp;$B282&amp;"*",'Timesheet Raw'!$L$4:$L$8000,"&gt;="&amp;K$5,'Timesheet Raw'!$L$4:$L$8000,"&lt;="&amp;K$6)))/'Profit Plan'!$B$5)</f>
        <v>0.58243243243243248</v>
      </c>
      <c r="L282" s="122">
        <f>IF($A282="","",(IF(ISNUMBER(SEARCH("Proposal",$A282)),SUMIFS('Timesheet Raw'!$P$4:$P$8000,'Timesheet Raw'!$A$4:$A$8000,IF(ISNUMBER(SEARCH("Chargable",$A282)),"2-Proposals Chargeable","3-Proposals Regular"),'Timesheet Raw'!$C$4:$C$8000,"*"&amp;$B282&amp;"*",'Timesheet Raw'!$L$4:$L$8000,"&gt;="&amp;MAX(L$5,DATE(2000+VALUE(RIGHT(TRIM($A282),2)),1,1)),'Timesheet Raw'!$L$4:$L$8000,"&lt;="&amp;MIN(L$6,DATE(2000+VALUE(RIGHT(TRIM($A282),2)),12,31))),SUMIFS('Timesheet Raw'!$P$4:$P$8000,'Timesheet Raw'!$B$4:$B$8000,TRIM($A282),'Timesheet Raw'!$C$4:$C$8000,"*"&amp;$B282&amp;"*",'Timesheet Raw'!$L$4:$L$8000,"&gt;="&amp;L$5,'Timesheet Raw'!$L$4:$L$8000,"&lt;="&amp;L$6)))/'Profit Plan'!$B$5)</f>
        <v>0.10135135135135136</v>
      </c>
      <c r="M282" s="122">
        <f>IF($A282="","",(IF(ISNUMBER(SEARCH("Proposal",$A282)),SUMIFS('Timesheet Raw'!$P$4:$P$8000,'Timesheet Raw'!$A$4:$A$8000,IF(ISNUMBER(SEARCH("Chargable",$A282)),"2-Proposals Chargeable","3-Proposals Regular"),'Timesheet Raw'!$C$4:$C$8000,"*"&amp;$B282&amp;"*",'Timesheet Raw'!$L$4:$L$8000,"&gt;="&amp;MAX(M$5,DATE(2000+VALUE(RIGHT(TRIM($A282),2)),1,1)),'Timesheet Raw'!$L$4:$L$8000,"&lt;="&amp;MIN(M$6,DATE(2000+VALUE(RIGHT(TRIM($A282),2)),12,31))),SUMIFS('Timesheet Raw'!$P$4:$P$8000,'Timesheet Raw'!$B$4:$B$8000,TRIM($A282),'Timesheet Raw'!$C$4:$C$8000,"*"&amp;$B282&amp;"*",'Timesheet Raw'!$L$4:$L$8000,"&gt;="&amp;M$5,'Timesheet Raw'!$L$4:$L$8000,"&lt;="&amp;M$6)))/'Profit Plan'!$B$5)</f>
        <v>0</v>
      </c>
      <c r="N282" s="122">
        <f>IF($A282="","",(IF(ISNUMBER(SEARCH("Proposal",$A282)),SUMIFS('Timesheet Raw'!$P$4:$P$8000,'Timesheet Raw'!$A$4:$A$8000,IF(ISNUMBER(SEARCH("Chargable",$A282)),"2-Proposals Chargeable","3-Proposals Regular"),'Timesheet Raw'!$C$4:$C$8000,"*"&amp;$B282&amp;"*",'Timesheet Raw'!$L$4:$L$8000,"&gt;="&amp;MAX(N$5,DATE(2000+VALUE(RIGHT(TRIM($A282),2)),1,1)),'Timesheet Raw'!$L$4:$L$8000,"&lt;="&amp;MIN(N$6,DATE(2000+VALUE(RIGHT(TRIM($A282),2)),12,31))),SUMIFS('Timesheet Raw'!$P$4:$P$8000,'Timesheet Raw'!$B$4:$B$8000,TRIM($A282),'Timesheet Raw'!$C$4:$C$8000,"*"&amp;$B282&amp;"*",'Timesheet Raw'!$L$4:$L$8000,"&gt;="&amp;N$5,'Timesheet Raw'!$L$4:$L$8000,"&lt;="&amp;N$6)))/'Profit Plan'!$B$5)</f>
        <v>0</v>
      </c>
      <c r="O282" s="122">
        <f>IF($A282="","",(IF(ISNUMBER(SEARCH("Proposal",$A282)),SUMIFS('Timesheet Raw'!$P$4:$P$8000,'Timesheet Raw'!$A$4:$A$8000,IF(ISNUMBER(SEARCH("Chargable",$A282)),"2-Proposals Chargeable","3-Proposals Regular"),'Timesheet Raw'!$C$4:$C$8000,"*"&amp;$B282&amp;"*",'Timesheet Raw'!$L$4:$L$8000,"&gt;="&amp;MAX(O$5,DATE(2000+VALUE(RIGHT(TRIM($A282),2)),1,1)),'Timesheet Raw'!$L$4:$L$8000,"&lt;="&amp;MIN(O$6,DATE(2000+VALUE(RIGHT(TRIM($A282),2)),12,31))),SUMIFS('Timesheet Raw'!$P$4:$P$8000,'Timesheet Raw'!$B$4:$B$8000,TRIM($A282),'Timesheet Raw'!$C$4:$C$8000,"*"&amp;$B282&amp;"*",'Timesheet Raw'!$L$4:$L$8000,"&gt;="&amp;O$5,'Timesheet Raw'!$L$4:$L$8000,"&lt;="&amp;O$6)))/'Profit Plan'!$B$5)</f>
        <v>0</v>
      </c>
      <c r="P282" s="122">
        <f>IF($A282="","",(IF(ISNUMBER(SEARCH("Proposal",$A282)),SUMIFS('Timesheet Raw'!$P$4:$P$8000,'Timesheet Raw'!$A$4:$A$8000,IF(ISNUMBER(SEARCH("Chargable",$A282)),"2-Proposals Chargeable","3-Proposals Regular"),'Timesheet Raw'!$C$4:$C$8000,"*"&amp;$B282&amp;"*",'Timesheet Raw'!$L$4:$L$8000,"&gt;="&amp;MAX(P$5,DATE(2000+VALUE(RIGHT(TRIM($A282),2)),1,1)),'Timesheet Raw'!$L$4:$L$8000,"&lt;="&amp;MIN(P$6,DATE(2000+VALUE(RIGHT(TRIM($A282),2)),12,31))),SUMIFS('Timesheet Raw'!$P$4:$P$8000,'Timesheet Raw'!$B$4:$B$8000,TRIM($A282),'Timesheet Raw'!$C$4:$C$8000,"*"&amp;$B282&amp;"*",'Timesheet Raw'!$L$4:$L$8000,"&gt;="&amp;P$5,'Timesheet Raw'!$L$4:$L$8000,"&lt;="&amp;P$6)))/'Profit Plan'!$B$5)</f>
        <v>0</v>
      </c>
      <c r="Q282" s="122">
        <f>IF($A282="","",(IF(ISNUMBER(SEARCH("Proposal",$A282)),SUMIFS('Timesheet Raw'!$P$4:$P$8000,'Timesheet Raw'!$A$4:$A$8000,IF(ISNUMBER(SEARCH("Chargable",$A282)),"2-Proposals Chargeable","3-Proposals Regular"),'Timesheet Raw'!$C$4:$C$8000,"*"&amp;$B282&amp;"*",'Timesheet Raw'!$L$4:$L$8000,"&gt;="&amp;MAX(Q$5,DATE(2000+VALUE(RIGHT(TRIM($A282),2)),1,1)),'Timesheet Raw'!$L$4:$L$8000,"&lt;="&amp;MIN(Q$6,DATE(2000+VALUE(RIGHT(TRIM($A282),2)),12,31))),SUMIFS('Timesheet Raw'!$P$4:$P$8000,'Timesheet Raw'!$B$4:$B$8000,TRIM($A282),'Timesheet Raw'!$C$4:$C$8000,"*"&amp;$B282&amp;"*",'Timesheet Raw'!$L$4:$L$8000,"&gt;="&amp;Q$5,'Timesheet Raw'!$L$4:$L$8000,"&lt;="&amp;Q$6)))/'Profit Plan'!$B$5)</f>
        <v>0</v>
      </c>
      <c r="R282" s="122">
        <f>IF($A282="","",(IF(ISNUMBER(SEARCH("Proposal",$A282)),SUMIFS('Timesheet Raw'!$P$4:$P$8000,'Timesheet Raw'!$A$4:$A$8000,IF(ISNUMBER(SEARCH("Chargable",$A282)),"2-Proposals Chargeable","3-Proposals Regular"),'Timesheet Raw'!$C$4:$C$8000,"*"&amp;$B282&amp;"*",'Timesheet Raw'!$L$4:$L$8000,"&gt;="&amp;MAX(R$5,DATE(2000+VALUE(RIGHT(TRIM($A282),2)),1,1)),'Timesheet Raw'!$L$4:$L$8000,"&lt;="&amp;MIN(R$6,DATE(2000+VALUE(RIGHT(TRIM($A282),2)),12,31))),SUMIFS('Timesheet Raw'!$P$4:$P$8000,'Timesheet Raw'!$B$4:$B$8000,TRIM($A282),'Timesheet Raw'!$C$4:$C$8000,"*"&amp;$B282&amp;"*",'Timesheet Raw'!$L$4:$L$8000,"&gt;="&amp;R$5,'Timesheet Raw'!$L$4:$L$8000,"&lt;="&amp;R$6)))/'Profit Plan'!$B$5)</f>
        <v>0</v>
      </c>
      <c r="S282" s="122">
        <f>IF($A282="","",(IF(ISNUMBER(SEARCH("Proposal",$A282)),SUMIFS('Timesheet Raw'!$P$4:$P$8000,'Timesheet Raw'!$A$4:$A$8000,IF(ISNUMBER(SEARCH("Chargable",$A282)),"2-Proposals Chargeable","3-Proposals Regular"),'Timesheet Raw'!$C$4:$C$8000,"*"&amp;$B282&amp;"*",'Timesheet Raw'!$L$4:$L$8000,"&gt;="&amp;MAX(S$5,DATE(2000+VALUE(RIGHT(TRIM($A282),2)),1,1)),'Timesheet Raw'!$L$4:$L$8000,"&lt;="&amp;MIN(S$6,DATE(2000+VALUE(RIGHT(TRIM($A282),2)),12,31))),SUMIFS('Timesheet Raw'!$P$4:$P$8000,'Timesheet Raw'!$B$4:$B$8000,TRIM($A282),'Timesheet Raw'!$C$4:$C$8000,"*"&amp;$B282&amp;"*",'Timesheet Raw'!$L$4:$L$8000,"&gt;="&amp;S$5,'Timesheet Raw'!$L$4:$L$8000,"&lt;="&amp;S$6)))/'Profit Plan'!$B$5)</f>
        <v>0</v>
      </c>
      <c r="T282" s="122">
        <f>IF($A282="","",(IF(ISNUMBER(SEARCH("Proposal",$A282)),SUMIFS('Timesheet Raw'!$P$4:$P$8000,'Timesheet Raw'!$A$4:$A$8000,IF(ISNUMBER(SEARCH("Chargable",$A282)),"2-Proposals Chargeable","3-Proposals Regular"),'Timesheet Raw'!$C$4:$C$8000,"*"&amp;$B282&amp;"*",'Timesheet Raw'!$L$4:$L$8000,"&gt;="&amp;MAX(T$5,DATE(2000+VALUE(RIGHT(TRIM($A282),2)),1,1)),'Timesheet Raw'!$L$4:$L$8000,"&lt;="&amp;MIN(T$6,DATE(2000+VALUE(RIGHT(TRIM($A282),2)),12,31))),SUMIFS('Timesheet Raw'!$P$4:$P$8000,'Timesheet Raw'!$B$4:$B$8000,TRIM($A282),'Timesheet Raw'!$C$4:$C$8000,"*"&amp;$B282&amp;"*",'Timesheet Raw'!$L$4:$L$8000,"&gt;="&amp;T$5,'Timesheet Raw'!$L$4:$L$8000,"&lt;="&amp;T$6)))/'Profit Plan'!$B$5)</f>
        <v>0</v>
      </c>
      <c r="U282" s="122">
        <f>IF($A282="","",(IF(ISNUMBER(SEARCH("Proposal",$A282)),SUMIFS('Timesheet Raw'!$P$4:$P$8000,'Timesheet Raw'!$A$4:$A$8000,IF(ISNUMBER(SEARCH("Chargable",$A282)),"2-Proposals Chargeable","3-Proposals Regular"),'Timesheet Raw'!$C$4:$C$8000,"*"&amp;$B282&amp;"*",'Timesheet Raw'!$L$4:$L$8000,"&gt;="&amp;MAX(U$5,DATE(2000+VALUE(RIGHT(TRIM($A282),2)),1,1)),'Timesheet Raw'!$L$4:$L$8000,"&lt;="&amp;MIN(U$6,DATE(2000+VALUE(RIGHT(TRIM($A282),2)),12,31))),SUMIFS('Timesheet Raw'!$P$4:$P$8000,'Timesheet Raw'!$B$4:$B$8000,TRIM($A282),'Timesheet Raw'!$C$4:$C$8000,"*"&amp;$B282&amp;"*",'Timesheet Raw'!$L$4:$L$8000,"&gt;="&amp;U$5,'Timesheet Raw'!$L$4:$L$8000,"&lt;="&amp;U$6)))/'Profit Plan'!$B$5)</f>
        <v>0</v>
      </c>
      <c r="V282" s="122">
        <f>IF($A282="","",(IF(ISNUMBER(SEARCH("Proposal",$A282)),SUMIFS('Timesheet Raw'!$P$4:$P$8000,'Timesheet Raw'!$A$4:$A$8000,IF(ISNUMBER(SEARCH("Chargable",$A282)),"2-Proposals Chargeable","3-Proposals Regular"),'Timesheet Raw'!$C$4:$C$8000,"*"&amp;$B282&amp;"*",'Timesheet Raw'!$L$4:$L$8000,"&gt;="&amp;MAX(V$5,DATE(2000+VALUE(RIGHT(TRIM($A282),2)),1,1)),'Timesheet Raw'!$L$4:$L$8000,"&lt;="&amp;MIN(V$6,DATE(2000+VALUE(RIGHT(TRIM($A282),2)),12,31))),SUMIFS('Timesheet Raw'!$P$4:$P$8000,'Timesheet Raw'!$B$4:$B$8000,TRIM($A282),'Timesheet Raw'!$C$4:$C$8000,"*"&amp;$B282&amp;"*",'Timesheet Raw'!$L$4:$L$8000,"&gt;="&amp;V$5,'Timesheet Raw'!$L$4:$L$8000,"&lt;="&amp;V$6)))/'Profit Plan'!$B$5)</f>
        <v>0</v>
      </c>
      <c r="W282" s="122">
        <f>IF($A282="","",(IF(ISNUMBER(SEARCH("Proposal",$A282)),SUMIFS('Timesheet Raw'!$P$4:$P$8000,'Timesheet Raw'!$A$4:$A$8000,IF(ISNUMBER(SEARCH("Chargable",$A282)),"2-Proposals Chargeable","3-Proposals Regular"),'Timesheet Raw'!$C$4:$C$8000,"*"&amp;$B282&amp;"*",'Timesheet Raw'!$L$4:$L$8000,"&gt;="&amp;MAX(W$5,DATE(2000+VALUE(RIGHT(TRIM($A282),2)),1,1)),'Timesheet Raw'!$L$4:$L$8000,"&lt;="&amp;MIN(W$6,DATE(2000+VALUE(RIGHT(TRIM($A282),2)),12,31))),SUMIFS('Timesheet Raw'!$P$4:$P$8000,'Timesheet Raw'!$B$4:$B$8000,TRIM($A282),'Timesheet Raw'!$C$4:$C$8000,"*"&amp;$B282&amp;"*",'Timesheet Raw'!$L$4:$L$8000,"&gt;="&amp;W$5,'Timesheet Raw'!$L$4:$L$8000,"&lt;="&amp;W$6)))/'Profit Plan'!$B$5)</f>
        <v>0</v>
      </c>
      <c r="X282" s="122">
        <f>IF($A282="","",(IF(ISNUMBER(SEARCH("Proposal",$A282)),SUMIFS('Timesheet Raw'!$P$4:$P$8000,'Timesheet Raw'!$A$4:$A$8000,IF(ISNUMBER(SEARCH("Chargable",$A282)),"2-Proposals Chargeable","3-Proposals Regular"),'Timesheet Raw'!$C$4:$C$8000,"*"&amp;$B282&amp;"*",'Timesheet Raw'!$L$4:$L$8000,"&gt;="&amp;MAX(X$5,DATE(2000+VALUE(RIGHT(TRIM($A282),2)),1,1)),'Timesheet Raw'!$L$4:$L$8000,"&lt;="&amp;MIN(X$6,DATE(2000+VALUE(RIGHT(TRIM($A282),2)),12,31))),SUMIFS('Timesheet Raw'!$P$4:$P$8000,'Timesheet Raw'!$B$4:$B$8000,TRIM($A282),'Timesheet Raw'!$C$4:$C$8000,"*"&amp;$B282&amp;"*",'Timesheet Raw'!$L$4:$L$8000,"&gt;="&amp;X$5,'Timesheet Raw'!$L$4:$L$8000,"&lt;="&amp;X$6)))/'Profit Plan'!$B$5)</f>
        <v>0</v>
      </c>
      <c r="Y282" s="118">
        <f t="shared" si="100"/>
        <v>2.0391891891891891</v>
      </c>
    </row>
    <row r="283" spans="1:25" x14ac:dyDescent="0.3">
      <c r="A283" s="116" t="str">
        <f>IF(Inputs!$A12="","",Inputs!$A12)</f>
        <v>AN23207-0500D</v>
      </c>
      <c r="B283" s="116" t="str">
        <f>IF(Inputs!$A12="","",Inputs!$A$91)</f>
        <v>Ahmed</v>
      </c>
      <c r="C283" s="116"/>
      <c r="D283" s="122">
        <f>IF($A283="","",(IF(ISNUMBER(SEARCH("Proposal",$A283)),SUMIFS('Timesheet Raw'!$P$4:$P$8000,'Timesheet Raw'!$A$4:$A$8000,IF(ISNUMBER(SEARCH("Chargable",$A283)),"2-Proposals Chargeable","3-Proposals Regular"),'Timesheet Raw'!$C$4:$C$8000,"*"&amp;$B283&amp;"*",'Timesheet Raw'!$L$4:$L$8000,"&gt;="&amp;MAX(D$5,DATE(2000+VALUE(RIGHT(TRIM($A283),2)),1,1)),'Timesheet Raw'!$L$4:$L$8000,"&lt;="&amp;MIN(D$6,DATE(2000+VALUE(RIGHT(TRIM($A283),2)),12,31))),SUMIFS('Timesheet Raw'!$P$4:$P$8000,'Timesheet Raw'!$B$4:$B$8000,TRIM($A283),'Timesheet Raw'!$C$4:$C$8000,"*"&amp;$B283&amp;"*",'Timesheet Raw'!$L$4:$L$8000,"&gt;="&amp;D$5,'Timesheet Raw'!$L$4:$L$8000,"&lt;="&amp;D$6)))/'Profit Plan'!$B$5)</f>
        <v>0</v>
      </c>
      <c r="E283" s="122">
        <f>IF($A283="","",(IF(ISNUMBER(SEARCH("Proposal",$A283)),SUMIFS('Timesheet Raw'!$P$4:$P$8000,'Timesheet Raw'!$A$4:$A$8000,IF(ISNUMBER(SEARCH("Chargable",$A283)),"2-Proposals Chargeable","3-Proposals Regular"),'Timesheet Raw'!$C$4:$C$8000,"*"&amp;$B283&amp;"*",'Timesheet Raw'!$L$4:$L$8000,"&gt;="&amp;MAX(E$5,DATE(2000+VALUE(RIGHT(TRIM($A283),2)),1,1)),'Timesheet Raw'!$L$4:$L$8000,"&lt;="&amp;MIN(E$6,DATE(2000+VALUE(RIGHT(TRIM($A283),2)),12,31))),SUMIFS('Timesheet Raw'!$P$4:$P$8000,'Timesheet Raw'!$B$4:$B$8000,TRIM($A283),'Timesheet Raw'!$C$4:$C$8000,"*"&amp;$B283&amp;"*",'Timesheet Raw'!$L$4:$L$8000,"&gt;="&amp;E$5,'Timesheet Raw'!$L$4:$L$8000,"&lt;="&amp;E$6)))/'Profit Plan'!$B$5)</f>
        <v>0</v>
      </c>
      <c r="F283" s="122">
        <f>IF($A283="","",(IF(ISNUMBER(SEARCH("Proposal",$A283)),SUMIFS('Timesheet Raw'!$P$4:$P$8000,'Timesheet Raw'!$A$4:$A$8000,IF(ISNUMBER(SEARCH("Chargable",$A283)),"2-Proposals Chargeable","3-Proposals Regular"),'Timesheet Raw'!$C$4:$C$8000,"*"&amp;$B283&amp;"*",'Timesheet Raw'!$L$4:$L$8000,"&gt;="&amp;MAX(F$5,DATE(2000+VALUE(RIGHT(TRIM($A283),2)),1,1)),'Timesheet Raw'!$L$4:$L$8000,"&lt;="&amp;MIN(F$6,DATE(2000+VALUE(RIGHT(TRIM($A283),2)),12,31))),SUMIFS('Timesheet Raw'!$P$4:$P$8000,'Timesheet Raw'!$B$4:$B$8000,TRIM($A283),'Timesheet Raw'!$C$4:$C$8000,"*"&amp;$B283&amp;"*",'Timesheet Raw'!$L$4:$L$8000,"&gt;="&amp;F$5,'Timesheet Raw'!$L$4:$L$8000,"&lt;="&amp;F$6)))/'Profit Plan'!$B$5)</f>
        <v>0</v>
      </c>
      <c r="G283" s="122">
        <f>IF($A283="","",(IF(ISNUMBER(SEARCH("Proposal",$A283)),SUMIFS('Timesheet Raw'!$P$4:$P$8000,'Timesheet Raw'!$A$4:$A$8000,IF(ISNUMBER(SEARCH("Chargable",$A283)),"2-Proposals Chargeable","3-Proposals Regular"),'Timesheet Raw'!$C$4:$C$8000,"*"&amp;$B283&amp;"*",'Timesheet Raw'!$L$4:$L$8000,"&gt;="&amp;MAX(G$5,DATE(2000+VALUE(RIGHT(TRIM($A283),2)),1,1)),'Timesheet Raw'!$L$4:$L$8000,"&lt;="&amp;MIN(G$6,DATE(2000+VALUE(RIGHT(TRIM($A283),2)),12,31))),SUMIFS('Timesheet Raw'!$P$4:$P$8000,'Timesheet Raw'!$B$4:$B$8000,TRIM($A283),'Timesheet Raw'!$C$4:$C$8000,"*"&amp;$B283&amp;"*",'Timesheet Raw'!$L$4:$L$8000,"&gt;="&amp;G$5,'Timesheet Raw'!$L$4:$L$8000,"&lt;="&amp;G$6)))/'Profit Plan'!$B$5)</f>
        <v>0</v>
      </c>
      <c r="H283" s="122">
        <f>IF($A283="","",(IF(ISNUMBER(SEARCH("Proposal",$A283)),SUMIFS('Timesheet Raw'!$P$4:$P$8000,'Timesheet Raw'!$A$4:$A$8000,IF(ISNUMBER(SEARCH("Chargable",$A283)),"2-Proposals Chargeable","3-Proposals Regular"),'Timesheet Raw'!$C$4:$C$8000,"*"&amp;$B283&amp;"*",'Timesheet Raw'!$L$4:$L$8000,"&gt;="&amp;MAX(H$5,DATE(2000+VALUE(RIGHT(TRIM($A283),2)),1,1)),'Timesheet Raw'!$L$4:$L$8000,"&lt;="&amp;MIN(H$6,DATE(2000+VALUE(RIGHT(TRIM($A283),2)),12,31))),SUMIFS('Timesheet Raw'!$P$4:$P$8000,'Timesheet Raw'!$B$4:$B$8000,TRIM($A283),'Timesheet Raw'!$C$4:$C$8000,"*"&amp;$B283&amp;"*",'Timesheet Raw'!$L$4:$L$8000,"&gt;="&amp;H$5,'Timesheet Raw'!$L$4:$L$8000,"&lt;="&amp;H$6)))/'Profit Plan'!$B$5)</f>
        <v>0</v>
      </c>
      <c r="I283" s="122">
        <f>IF($A283="","",(IF(ISNUMBER(SEARCH("Proposal",$A283)),SUMIFS('Timesheet Raw'!$P$4:$P$8000,'Timesheet Raw'!$A$4:$A$8000,IF(ISNUMBER(SEARCH("Chargable",$A283)),"2-Proposals Chargeable","3-Proposals Regular"),'Timesheet Raw'!$C$4:$C$8000,"*"&amp;$B283&amp;"*",'Timesheet Raw'!$L$4:$L$8000,"&gt;="&amp;MAX(I$5,DATE(2000+VALUE(RIGHT(TRIM($A283),2)),1,1)),'Timesheet Raw'!$L$4:$L$8000,"&lt;="&amp;MIN(I$6,DATE(2000+VALUE(RIGHT(TRIM($A283),2)),12,31))),SUMIFS('Timesheet Raw'!$P$4:$P$8000,'Timesheet Raw'!$B$4:$B$8000,TRIM($A283),'Timesheet Raw'!$C$4:$C$8000,"*"&amp;$B283&amp;"*",'Timesheet Raw'!$L$4:$L$8000,"&gt;="&amp;I$5,'Timesheet Raw'!$L$4:$L$8000,"&lt;="&amp;I$6)))/'Profit Plan'!$B$5)</f>
        <v>0</v>
      </c>
      <c r="J283" s="122">
        <f>IF($A283="","",(IF(ISNUMBER(SEARCH("Proposal",$A283)),SUMIFS('Timesheet Raw'!$P$4:$P$8000,'Timesheet Raw'!$A$4:$A$8000,IF(ISNUMBER(SEARCH("Chargable",$A283)),"2-Proposals Chargeable","3-Proposals Regular"),'Timesheet Raw'!$C$4:$C$8000,"*"&amp;$B283&amp;"*",'Timesheet Raw'!$L$4:$L$8000,"&gt;="&amp;MAX(J$5,DATE(2000+VALUE(RIGHT(TRIM($A283),2)),1,1)),'Timesheet Raw'!$L$4:$L$8000,"&lt;="&amp;MIN(J$6,DATE(2000+VALUE(RIGHT(TRIM($A283),2)),12,31))),SUMIFS('Timesheet Raw'!$P$4:$P$8000,'Timesheet Raw'!$B$4:$B$8000,TRIM($A283),'Timesheet Raw'!$C$4:$C$8000,"*"&amp;$B283&amp;"*",'Timesheet Raw'!$L$4:$L$8000,"&gt;="&amp;J$5,'Timesheet Raw'!$L$4:$L$8000,"&lt;="&amp;J$6)))/'Profit Plan'!$B$5)</f>
        <v>0</v>
      </c>
      <c r="K283" s="122">
        <f>IF($A283="","",(IF(ISNUMBER(SEARCH("Proposal",$A283)),SUMIFS('Timesheet Raw'!$P$4:$P$8000,'Timesheet Raw'!$A$4:$A$8000,IF(ISNUMBER(SEARCH("Chargable",$A283)),"2-Proposals Chargeable","3-Proposals Regular"),'Timesheet Raw'!$C$4:$C$8000,"*"&amp;$B283&amp;"*",'Timesheet Raw'!$L$4:$L$8000,"&gt;="&amp;MAX(K$5,DATE(2000+VALUE(RIGHT(TRIM($A283),2)),1,1)),'Timesheet Raw'!$L$4:$L$8000,"&lt;="&amp;MIN(K$6,DATE(2000+VALUE(RIGHT(TRIM($A283),2)),12,31))),SUMIFS('Timesheet Raw'!$P$4:$P$8000,'Timesheet Raw'!$B$4:$B$8000,TRIM($A283),'Timesheet Raw'!$C$4:$C$8000,"*"&amp;$B283&amp;"*",'Timesheet Raw'!$L$4:$L$8000,"&gt;="&amp;K$5,'Timesheet Raw'!$L$4:$L$8000,"&lt;="&amp;K$6)))/'Profit Plan'!$B$5)</f>
        <v>0</v>
      </c>
      <c r="L283" s="122">
        <f>IF($A283="","",(IF(ISNUMBER(SEARCH("Proposal",$A283)),SUMIFS('Timesheet Raw'!$P$4:$P$8000,'Timesheet Raw'!$A$4:$A$8000,IF(ISNUMBER(SEARCH("Chargable",$A283)),"2-Proposals Chargeable","3-Proposals Regular"),'Timesheet Raw'!$C$4:$C$8000,"*"&amp;$B283&amp;"*",'Timesheet Raw'!$L$4:$L$8000,"&gt;="&amp;MAX(L$5,DATE(2000+VALUE(RIGHT(TRIM($A283),2)),1,1)),'Timesheet Raw'!$L$4:$L$8000,"&lt;="&amp;MIN(L$6,DATE(2000+VALUE(RIGHT(TRIM($A283),2)),12,31))),SUMIFS('Timesheet Raw'!$P$4:$P$8000,'Timesheet Raw'!$B$4:$B$8000,TRIM($A283),'Timesheet Raw'!$C$4:$C$8000,"*"&amp;$B283&amp;"*",'Timesheet Raw'!$L$4:$L$8000,"&gt;="&amp;L$5,'Timesheet Raw'!$L$4:$L$8000,"&lt;="&amp;L$6)))/'Profit Plan'!$B$5)</f>
        <v>0</v>
      </c>
      <c r="M283" s="122">
        <f>IF($A283="","",(IF(ISNUMBER(SEARCH("Proposal",$A283)),SUMIFS('Timesheet Raw'!$P$4:$P$8000,'Timesheet Raw'!$A$4:$A$8000,IF(ISNUMBER(SEARCH("Chargable",$A283)),"2-Proposals Chargeable","3-Proposals Regular"),'Timesheet Raw'!$C$4:$C$8000,"*"&amp;$B283&amp;"*",'Timesheet Raw'!$L$4:$L$8000,"&gt;="&amp;MAX(M$5,DATE(2000+VALUE(RIGHT(TRIM($A283),2)),1,1)),'Timesheet Raw'!$L$4:$L$8000,"&lt;="&amp;MIN(M$6,DATE(2000+VALUE(RIGHT(TRIM($A283),2)),12,31))),SUMIFS('Timesheet Raw'!$P$4:$P$8000,'Timesheet Raw'!$B$4:$B$8000,TRIM($A283),'Timesheet Raw'!$C$4:$C$8000,"*"&amp;$B283&amp;"*",'Timesheet Raw'!$L$4:$L$8000,"&gt;="&amp;M$5,'Timesheet Raw'!$L$4:$L$8000,"&lt;="&amp;M$6)))/'Profit Plan'!$B$5)</f>
        <v>0</v>
      </c>
      <c r="N283" s="122">
        <f>IF($A283="","",(IF(ISNUMBER(SEARCH("Proposal",$A283)),SUMIFS('Timesheet Raw'!$P$4:$P$8000,'Timesheet Raw'!$A$4:$A$8000,IF(ISNUMBER(SEARCH("Chargable",$A283)),"2-Proposals Chargeable","3-Proposals Regular"),'Timesheet Raw'!$C$4:$C$8000,"*"&amp;$B283&amp;"*",'Timesheet Raw'!$L$4:$L$8000,"&gt;="&amp;MAX(N$5,DATE(2000+VALUE(RIGHT(TRIM($A283),2)),1,1)),'Timesheet Raw'!$L$4:$L$8000,"&lt;="&amp;MIN(N$6,DATE(2000+VALUE(RIGHT(TRIM($A283),2)),12,31))),SUMIFS('Timesheet Raw'!$P$4:$P$8000,'Timesheet Raw'!$B$4:$B$8000,TRIM($A283),'Timesheet Raw'!$C$4:$C$8000,"*"&amp;$B283&amp;"*",'Timesheet Raw'!$L$4:$L$8000,"&gt;="&amp;N$5,'Timesheet Raw'!$L$4:$L$8000,"&lt;="&amp;N$6)))/'Profit Plan'!$B$5)</f>
        <v>0</v>
      </c>
      <c r="O283" s="122">
        <f>IF($A283="","",(IF(ISNUMBER(SEARCH("Proposal",$A283)),SUMIFS('Timesheet Raw'!$P$4:$P$8000,'Timesheet Raw'!$A$4:$A$8000,IF(ISNUMBER(SEARCH("Chargable",$A283)),"2-Proposals Chargeable","3-Proposals Regular"),'Timesheet Raw'!$C$4:$C$8000,"*"&amp;$B283&amp;"*",'Timesheet Raw'!$L$4:$L$8000,"&gt;="&amp;MAX(O$5,DATE(2000+VALUE(RIGHT(TRIM($A283),2)),1,1)),'Timesheet Raw'!$L$4:$L$8000,"&lt;="&amp;MIN(O$6,DATE(2000+VALUE(RIGHT(TRIM($A283),2)),12,31))),SUMIFS('Timesheet Raw'!$P$4:$P$8000,'Timesheet Raw'!$B$4:$B$8000,TRIM($A283),'Timesheet Raw'!$C$4:$C$8000,"*"&amp;$B283&amp;"*",'Timesheet Raw'!$L$4:$L$8000,"&gt;="&amp;O$5,'Timesheet Raw'!$L$4:$L$8000,"&lt;="&amp;O$6)))/'Profit Plan'!$B$5)</f>
        <v>0</v>
      </c>
      <c r="P283" s="122">
        <f>IF($A283="","",(IF(ISNUMBER(SEARCH("Proposal",$A283)),SUMIFS('Timesheet Raw'!$P$4:$P$8000,'Timesheet Raw'!$A$4:$A$8000,IF(ISNUMBER(SEARCH("Chargable",$A283)),"2-Proposals Chargeable","3-Proposals Regular"),'Timesheet Raw'!$C$4:$C$8000,"*"&amp;$B283&amp;"*",'Timesheet Raw'!$L$4:$L$8000,"&gt;="&amp;MAX(P$5,DATE(2000+VALUE(RIGHT(TRIM($A283),2)),1,1)),'Timesheet Raw'!$L$4:$L$8000,"&lt;="&amp;MIN(P$6,DATE(2000+VALUE(RIGHT(TRIM($A283),2)),12,31))),SUMIFS('Timesheet Raw'!$P$4:$P$8000,'Timesheet Raw'!$B$4:$B$8000,TRIM($A283),'Timesheet Raw'!$C$4:$C$8000,"*"&amp;$B283&amp;"*",'Timesheet Raw'!$L$4:$L$8000,"&gt;="&amp;P$5,'Timesheet Raw'!$L$4:$L$8000,"&lt;="&amp;P$6)))/'Profit Plan'!$B$5)</f>
        <v>0</v>
      </c>
      <c r="Q283" s="122">
        <f>IF($A283="","",(IF(ISNUMBER(SEARCH("Proposal",$A283)),SUMIFS('Timesheet Raw'!$P$4:$P$8000,'Timesheet Raw'!$A$4:$A$8000,IF(ISNUMBER(SEARCH("Chargable",$A283)),"2-Proposals Chargeable","3-Proposals Regular"),'Timesheet Raw'!$C$4:$C$8000,"*"&amp;$B283&amp;"*",'Timesheet Raw'!$L$4:$L$8000,"&gt;="&amp;MAX(Q$5,DATE(2000+VALUE(RIGHT(TRIM($A283),2)),1,1)),'Timesheet Raw'!$L$4:$L$8000,"&lt;="&amp;MIN(Q$6,DATE(2000+VALUE(RIGHT(TRIM($A283),2)),12,31))),SUMIFS('Timesheet Raw'!$P$4:$P$8000,'Timesheet Raw'!$B$4:$B$8000,TRIM($A283),'Timesheet Raw'!$C$4:$C$8000,"*"&amp;$B283&amp;"*",'Timesheet Raw'!$L$4:$L$8000,"&gt;="&amp;Q$5,'Timesheet Raw'!$L$4:$L$8000,"&lt;="&amp;Q$6)))/'Profit Plan'!$B$5)</f>
        <v>0</v>
      </c>
      <c r="R283" s="122">
        <f>IF($A283="","",(IF(ISNUMBER(SEARCH("Proposal",$A283)),SUMIFS('Timesheet Raw'!$P$4:$P$8000,'Timesheet Raw'!$A$4:$A$8000,IF(ISNUMBER(SEARCH("Chargable",$A283)),"2-Proposals Chargeable","3-Proposals Regular"),'Timesheet Raw'!$C$4:$C$8000,"*"&amp;$B283&amp;"*",'Timesheet Raw'!$L$4:$L$8000,"&gt;="&amp;MAX(R$5,DATE(2000+VALUE(RIGHT(TRIM($A283),2)),1,1)),'Timesheet Raw'!$L$4:$L$8000,"&lt;="&amp;MIN(R$6,DATE(2000+VALUE(RIGHT(TRIM($A283),2)),12,31))),SUMIFS('Timesheet Raw'!$P$4:$P$8000,'Timesheet Raw'!$B$4:$B$8000,TRIM($A283),'Timesheet Raw'!$C$4:$C$8000,"*"&amp;$B283&amp;"*",'Timesheet Raw'!$L$4:$L$8000,"&gt;="&amp;R$5,'Timesheet Raw'!$L$4:$L$8000,"&lt;="&amp;R$6)))/'Profit Plan'!$B$5)</f>
        <v>0</v>
      </c>
      <c r="S283" s="122">
        <f>IF($A283="","",(IF(ISNUMBER(SEARCH("Proposal",$A283)),SUMIFS('Timesheet Raw'!$P$4:$P$8000,'Timesheet Raw'!$A$4:$A$8000,IF(ISNUMBER(SEARCH("Chargable",$A283)),"2-Proposals Chargeable","3-Proposals Regular"),'Timesheet Raw'!$C$4:$C$8000,"*"&amp;$B283&amp;"*",'Timesheet Raw'!$L$4:$L$8000,"&gt;="&amp;MAX(S$5,DATE(2000+VALUE(RIGHT(TRIM($A283),2)),1,1)),'Timesheet Raw'!$L$4:$L$8000,"&lt;="&amp;MIN(S$6,DATE(2000+VALUE(RIGHT(TRIM($A283),2)),12,31))),SUMIFS('Timesheet Raw'!$P$4:$P$8000,'Timesheet Raw'!$B$4:$B$8000,TRIM($A283),'Timesheet Raw'!$C$4:$C$8000,"*"&amp;$B283&amp;"*",'Timesheet Raw'!$L$4:$L$8000,"&gt;="&amp;S$5,'Timesheet Raw'!$L$4:$L$8000,"&lt;="&amp;S$6)))/'Profit Plan'!$B$5)</f>
        <v>0</v>
      </c>
      <c r="T283" s="122">
        <f>IF($A283="","",(IF(ISNUMBER(SEARCH("Proposal",$A283)),SUMIFS('Timesheet Raw'!$P$4:$P$8000,'Timesheet Raw'!$A$4:$A$8000,IF(ISNUMBER(SEARCH("Chargable",$A283)),"2-Proposals Chargeable","3-Proposals Regular"),'Timesheet Raw'!$C$4:$C$8000,"*"&amp;$B283&amp;"*",'Timesheet Raw'!$L$4:$L$8000,"&gt;="&amp;MAX(T$5,DATE(2000+VALUE(RIGHT(TRIM($A283),2)),1,1)),'Timesheet Raw'!$L$4:$L$8000,"&lt;="&amp;MIN(T$6,DATE(2000+VALUE(RIGHT(TRIM($A283),2)),12,31))),SUMIFS('Timesheet Raw'!$P$4:$P$8000,'Timesheet Raw'!$B$4:$B$8000,TRIM($A283),'Timesheet Raw'!$C$4:$C$8000,"*"&amp;$B283&amp;"*",'Timesheet Raw'!$L$4:$L$8000,"&gt;="&amp;T$5,'Timesheet Raw'!$L$4:$L$8000,"&lt;="&amp;T$6)))/'Profit Plan'!$B$5)</f>
        <v>0</v>
      </c>
      <c r="U283" s="122">
        <f>IF($A283="","",(IF(ISNUMBER(SEARCH("Proposal",$A283)),SUMIFS('Timesheet Raw'!$P$4:$P$8000,'Timesheet Raw'!$A$4:$A$8000,IF(ISNUMBER(SEARCH("Chargable",$A283)),"2-Proposals Chargeable","3-Proposals Regular"),'Timesheet Raw'!$C$4:$C$8000,"*"&amp;$B283&amp;"*",'Timesheet Raw'!$L$4:$L$8000,"&gt;="&amp;MAX(U$5,DATE(2000+VALUE(RIGHT(TRIM($A283),2)),1,1)),'Timesheet Raw'!$L$4:$L$8000,"&lt;="&amp;MIN(U$6,DATE(2000+VALUE(RIGHT(TRIM($A283),2)),12,31))),SUMIFS('Timesheet Raw'!$P$4:$P$8000,'Timesheet Raw'!$B$4:$B$8000,TRIM($A283),'Timesheet Raw'!$C$4:$C$8000,"*"&amp;$B283&amp;"*",'Timesheet Raw'!$L$4:$L$8000,"&gt;="&amp;U$5,'Timesheet Raw'!$L$4:$L$8000,"&lt;="&amp;U$6)))/'Profit Plan'!$B$5)</f>
        <v>0</v>
      </c>
      <c r="V283" s="122">
        <f>IF($A283="","",(IF(ISNUMBER(SEARCH("Proposal",$A283)),SUMIFS('Timesheet Raw'!$P$4:$P$8000,'Timesheet Raw'!$A$4:$A$8000,IF(ISNUMBER(SEARCH("Chargable",$A283)),"2-Proposals Chargeable","3-Proposals Regular"),'Timesheet Raw'!$C$4:$C$8000,"*"&amp;$B283&amp;"*",'Timesheet Raw'!$L$4:$L$8000,"&gt;="&amp;MAX(V$5,DATE(2000+VALUE(RIGHT(TRIM($A283),2)),1,1)),'Timesheet Raw'!$L$4:$L$8000,"&lt;="&amp;MIN(V$6,DATE(2000+VALUE(RIGHT(TRIM($A283),2)),12,31))),SUMIFS('Timesheet Raw'!$P$4:$P$8000,'Timesheet Raw'!$B$4:$B$8000,TRIM($A283),'Timesheet Raw'!$C$4:$C$8000,"*"&amp;$B283&amp;"*",'Timesheet Raw'!$L$4:$L$8000,"&gt;="&amp;V$5,'Timesheet Raw'!$L$4:$L$8000,"&lt;="&amp;V$6)))/'Profit Plan'!$B$5)</f>
        <v>0</v>
      </c>
      <c r="W283" s="122">
        <f>IF($A283="","",(IF(ISNUMBER(SEARCH("Proposal",$A283)),SUMIFS('Timesheet Raw'!$P$4:$P$8000,'Timesheet Raw'!$A$4:$A$8000,IF(ISNUMBER(SEARCH("Chargable",$A283)),"2-Proposals Chargeable","3-Proposals Regular"),'Timesheet Raw'!$C$4:$C$8000,"*"&amp;$B283&amp;"*",'Timesheet Raw'!$L$4:$L$8000,"&gt;="&amp;MAX(W$5,DATE(2000+VALUE(RIGHT(TRIM($A283),2)),1,1)),'Timesheet Raw'!$L$4:$L$8000,"&lt;="&amp;MIN(W$6,DATE(2000+VALUE(RIGHT(TRIM($A283),2)),12,31))),SUMIFS('Timesheet Raw'!$P$4:$P$8000,'Timesheet Raw'!$B$4:$B$8000,TRIM($A283),'Timesheet Raw'!$C$4:$C$8000,"*"&amp;$B283&amp;"*",'Timesheet Raw'!$L$4:$L$8000,"&gt;="&amp;W$5,'Timesheet Raw'!$L$4:$L$8000,"&lt;="&amp;W$6)))/'Profit Plan'!$B$5)</f>
        <v>0</v>
      </c>
      <c r="X283" s="122">
        <f>IF($A283="","",(IF(ISNUMBER(SEARCH("Proposal",$A283)),SUMIFS('Timesheet Raw'!$P$4:$P$8000,'Timesheet Raw'!$A$4:$A$8000,IF(ISNUMBER(SEARCH("Chargable",$A283)),"2-Proposals Chargeable","3-Proposals Regular"),'Timesheet Raw'!$C$4:$C$8000,"*"&amp;$B283&amp;"*",'Timesheet Raw'!$L$4:$L$8000,"&gt;="&amp;MAX(X$5,DATE(2000+VALUE(RIGHT(TRIM($A283),2)),1,1)),'Timesheet Raw'!$L$4:$L$8000,"&lt;="&amp;MIN(X$6,DATE(2000+VALUE(RIGHT(TRIM($A283),2)),12,31))),SUMIFS('Timesheet Raw'!$P$4:$P$8000,'Timesheet Raw'!$B$4:$B$8000,TRIM($A283),'Timesheet Raw'!$C$4:$C$8000,"*"&amp;$B283&amp;"*",'Timesheet Raw'!$L$4:$L$8000,"&gt;="&amp;X$5,'Timesheet Raw'!$L$4:$L$8000,"&lt;="&amp;X$6)))/'Profit Plan'!$B$5)</f>
        <v>0</v>
      </c>
      <c r="Y283" s="118">
        <f t="shared" si="100"/>
        <v>0</v>
      </c>
    </row>
    <row r="284" spans="1:25" x14ac:dyDescent="0.3">
      <c r="A284" s="116" t="str">
        <f>IF(Inputs!$A12="","",Inputs!$A12)</f>
        <v>AN23207-0500D</v>
      </c>
      <c r="B284" s="116" t="str">
        <f>IF(Inputs!$A12="","",Inputs!$A$92)</f>
        <v>Osama</v>
      </c>
      <c r="C284" s="116"/>
      <c r="D284" s="122">
        <f>IF($A284="","",(IF(ISNUMBER(SEARCH("Proposal",$A284)),SUMIFS('Timesheet Raw'!$P$4:$P$8000,'Timesheet Raw'!$A$4:$A$8000,IF(ISNUMBER(SEARCH("Chargable",$A284)),"2-Proposals Chargeable","3-Proposals Regular"),'Timesheet Raw'!$C$4:$C$8000,"*"&amp;$B284&amp;"*",'Timesheet Raw'!$L$4:$L$8000,"&gt;="&amp;MAX(D$5,DATE(2000+VALUE(RIGHT(TRIM($A284),2)),1,1)),'Timesheet Raw'!$L$4:$L$8000,"&lt;="&amp;MIN(D$6,DATE(2000+VALUE(RIGHT(TRIM($A284),2)),12,31))),SUMIFS('Timesheet Raw'!$P$4:$P$8000,'Timesheet Raw'!$B$4:$B$8000,TRIM($A284),'Timesheet Raw'!$C$4:$C$8000,"*"&amp;$B284&amp;"*",'Timesheet Raw'!$L$4:$L$8000,"&gt;="&amp;D$5,'Timesheet Raw'!$L$4:$L$8000,"&lt;="&amp;D$6)))/'Profit Plan'!$B$5)</f>
        <v>0</v>
      </c>
      <c r="E284" s="122">
        <f>IF($A284="","",(IF(ISNUMBER(SEARCH("Proposal",$A284)),SUMIFS('Timesheet Raw'!$P$4:$P$8000,'Timesheet Raw'!$A$4:$A$8000,IF(ISNUMBER(SEARCH("Chargable",$A284)),"2-Proposals Chargeable","3-Proposals Regular"),'Timesheet Raw'!$C$4:$C$8000,"*"&amp;$B284&amp;"*",'Timesheet Raw'!$L$4:$L$8000,"&gt;="&amp;MAX(E$5,DATE(2000+VALUE(RIGHT(TRIM($A284),2)),1,1)),'Timesheet Raw'!$L$4:$L$8000,"&lt;="&amp;MIN(E$6,DATE(2000+VALUE(RIGHT(TRIM($A284),2)),12,31))),SUMIFS('Timesheet Raw'!$P$4:$P$8000,'Timesheet Raw'!$B$4:$B$8000,TRIM($A284),'Timesheet Raw'!$C$4:$C$8000,"*"&amp;$B284&amp;"*",'Timesheet Raw'!$L$4:$L$8000,"&gt;="&amp;E$5,'Timesheet Raw'!$L$4:$L$8000,"&lt;="&amp;E$6)))/'Profit Plan'!$B$5)</f>
        <v>0</v>
      </c>
      <c r="F284" s="122">
        <f>IF($A284="","",(IF(ISNUMBER(SEARCH("Proposal",$A284)),SUMIFS('Timesheet Raw'!$P$4:$P$8000,'Timesheet Raw'!$A$4:$A$8000,IF(ISNUMBER(SEARCH("Chargable",$A284)),"2-Proposals Chargeable","3-Proposals Regular"),'Timesheet Raw'!$C$4:$C$8000,"*"&amp;$B284&amp;"*",'Timesheet Raw'!$L$4:$L$8000,"&gt;="&amp;MAX(F$5,DATE(2000+VALUE(RIGHT(TRIM($A284),2)),1,1)),'Timesheet Raw'!$L$4:$L$8000,"&lt;="&amp;MIN(F$6,DATE(2000+VALUE(RIGHT(TRIM($A284),2)),12,31))),SUMIFS('Timesheet Raw'!$P$4:$P$8000,'Timesheet Raw'!$B$4:$B$8000,TRIM($A284),'Timesheet Raw'!$C$4:$C$8000,"*"&amp;$B284&amp;"*",'Timesheet Raw'!$L$4:$L$8000,"&gt;="&amp;F$5,'Timesheet Raw'!$L$4:$L$8000,"&lt;="&amp;F$6)))/'Profit Plan'!$B$5)</f>
        <v>0</v>
      </c>
      <c r="G284" s="122">
        <f>IF($A284="","",(IF(ISNUMBER(SEARCH("Proposal",$A284)),SUMIFS('Timesheet Raw'!$P$4:$P$8000,'Timesheet Raw'!$A$4:$A$8000,IF(ISNUMBER(SEARCH("Chargable",$A284)),"2-Proposals Chargeable","3-Proposals Regular"),'Timesheet Raw'!$C$4:$C$8000,"*"&amp;$B284&amp;"*",'Timesheet Raw'!$L$4:$L$8000,"&gt;="&amp;MAX(G$5,DATE(2000+VALUE(RIGHT(TRIM($A284),2)),1,1)),'Timesheet Raw'!$L$4:$L$8000,"&lt;="&amp;MIN(G$6,DATE(2000+VALUE(RIGHT(TRIM($A284),2)),12,31))),SUMIFS('Timesheet Raw'!$P$4:$P$8000,'Timesheet Raw'!$B$4:$B$8000,TRIM($A284),'Timesheet Raw'!$C$4:$C$8000,"*"&amp;$B284&amp;"*",'Timesheet Raw'!$L$4:$L$8000,"&gt;="&amp;G$5,'Timesheet Raw'!$L$4:$L$8000,"&lt;="&amp;G$6)))/'Profit Plan'!$B$5)</f>
        <v>0</v>
      </c>
      <c r="H284" s="122">
        <f>IF($A284="","",(IF(ISNUMBER(SEARCH("Proposal",$A284)),SUMIFS('Timesheet Raw'!$P$4:$P$8000,'Timesheet Raw'!$A$4:$A$8000,IF(ISNUMBER(SEARCH("Chargable",$A284)),"2-Proposals Chargeable","3-Proposals Regular"),'Timesheet Raw'!$C$4:$C$8000,"*"&amp;$B284&amp;"*",'Timesheet Raw'!$L$4:$L$8000,"&gt;="&amp;MAX(H$5,DATE(2000+VALUE(RIGHT(TRIM($A284),2)),1,1)),'Timesheet Raw'!$L$4:$L$8000,"&lt;="&amp;MIN(H$6,DATE(2000+VALUE(RIGHT(TRIM($A284),2)),12,31))),SUMIFS('Timesheet Raw'!$P$4:$P$8000,'Timesheet Raw'!$B$4:$B$8000,TRIM($A284),'Timesheet Raw'!$C$4:$C$8000,"*"&amp;$B284&amp;"*",'Timesheet Raw'!$L$4:$L$8000,"&gt;="&amp;H$5,'Timesheet Raw'!$L$4:$L$8000,"&lt;="&amp;H$6)))/'Profit Plan'!$B$5)</f>
        <v>0</v>
      </c>
      <c r="I284" s="122">
        <f>IF($A284="","",(IF(ISNUMBER(SEARCH("Proposal",$A284)),SUMIFS('Timesheet Raw'!$P$4:$P$8000,'Timesheet Raw'!$A$4:$A$8000,IF(ISNUMBER(SEARCH("Chargable",$A284)),"2-Proposals Chargeable","3-Proposals Regular"),'Timesheet Raw'!$C$4:$C$8000,"*"&amp;$B284&amp;"*",'Timesheet Raw'!$L$4:$L$8000,"&gt;="&amp;MAX(I$5,DATE(2000+VALUE(RIGHT(TRIM($A284),2)),1,1)),'Timesheet Raw'!$L$4:$L$8000,"&lt;="&amp;MIN(I$6,DATE(2000+VALUE(RIGHT(TRIM($A284),2)),12,31))),SUMIFS('Timesheet Raw'!$P$4:$P$8000,'Timesheet Raw'!$B$4:$B$8000,TRIM($A284),'Timesheet Raw'!$C$4:$C$8000,"*"&amp;$B284&amp;"*",'Timesheet Raw'!$L$4:$L$8000,"&gt;="&amp;I$5,'Timesheet Raw'!$L$4:$L$8000,"&lt;="&amp;I$6)))/'Profit Plan'!$B$5)</f>
        <v>0</v>
      </c>
      <c r="J284" s="122">
        <f>IF($A284="","",(IF(ISNUMBER(SEARCH("Proposal",$A284)),SUMIFS('Timesheet Raw'!$P$4:$P$8000,'Timesheet Raw'!$A$4:$A$8000,IF(ISNUMBER(SEARCH("Chargable",$A284)),"2-Proposals Chargeable","3-Proposals Regular"),'Timesheet Raw'!$C$4:$C$8000,"*"&amp;$B284&amp;"*",'Timesheet Raw'!$L$4:$L$8000,"&gt;="&amp;MAX(J$5,DATE(2000+VALUE(RIGHT(TRIM($A284),2)),1,1)),'Timesheet Raw'!$L$4:$L$8000,"&lt;="&amp;MIN(J$6,DATE(2000+VALUE(RIGHT(TRIM($A284),2)),12,31))),SUMIFS('Timesheet Raw'!$P$4:$P$8000,'Timesheet Raw'!$B$4:$B$8000,TRIM($A284),'Timesheet Raw'!$C$4:$C$8000,"*"&amp;$B284&amp;"*",'Timesheet Raw'!$L$4:$L$8000,"&gt;="&amp;J$5,'Timesheet Raw'!$L$4:$L$8000,"&lt;="&amp;J$6)))/'Profit Plan'!$B$5)</f>
        <v>0</v>
      </c>
      <c r="K284" s="122">
        <f>IF($A284="","",(IF(ISNUMBER(SEARCH("Proposal",$A284)),SUMIFS('Timesheet Raw'!$P$4:$P$8000,'Timesheet Raw'!$A$4:$A$8000,IF(ISNUMBER(SEARCH("Chargable",$A284)),"2-Proposals Chargeable","3-Proposals Regular"),'Timesheet Raw'!$C$4:$C$8000,"*"&amp;$B284&amp;"*",'Timesheet Raw'!$L$4:$L$8000,"&gt;="&amp;MAX(K$5,DATE(2000+VALUE(RIGHT(TRIM($A284),2)),1,1)),'Timesheet Raw'!$L$4:$L$8000,"&lt;="&amp;MIN(K$6,DATE(2000+VALUE(RIGHT(TRIM($A284),2)),12,31))),SUMIFS('Timesheet Raw'!$P$4:$P$8000,'Timesheet Raw'!$B$4:$B$8000,TRIM($A284),'Timesheet Raw'!$C$4:$C$8000,"*"&amp;$B284&amp;"*",'Timesheet Raw'!$L$4:$L$8000,"&gt;="&amp;K$5,'Timesheet Raw'!$L$4:$L$8000,"&lt;="&amp;K$6)))/'Profit Plan'!$B$5)</f>
        <v>0</v>
      </c>
      <c r="L284" s="122">
        <f>IF($A284="","",(IF(ISNUMBER(SEARCH("Proposal",$A284)),SUMIFS('Timesheet Raw'!$P$4:$P$8000,'Timesheet Raw'!$A$4:$A$8000,IF(ISNUMBER(SEARCH("Chargable",$A284)),"2-Proposals Chargeable","3-Proposals Regular"),'Timesheet Raw'!$C$4:$C$8000,"*"&amp;$B284&amp;"*",'Timesheet Raw'!$L$4:$L$8000,"&gt;="&amp;MAX(L$5,DATE(2000+VALUE(RIGHT(TRIM($A284),2)),1,1)),'Timesheet Raw'!$L$4:$L$8000,"&lt;="&amp;MIN(L$6,DATE(2000+VALUE(RIGHT(TRIM($A284),2)),12,31))),SUMIFS('Timesheet Raw'!$P$4:$P$8000,'Timesheet Raw'!$B$4:$B$8000,TRIM($A284),'Timesheet Raw'!$C$4:$C$8000,"*"&amp;$B284&amp;"*",'Timesheet Raw'!$L$4:$L$8000,"&gt;="&amp;L$5,'Timesheet Raw'!$L$4:$L$8000,"&lt;="&amp;L$6)))/'Profit Plan'!$B$5)</f>
        <v>0</v>
      </c>
      <c r="M284" s="122">
        <f>IF($A284="","",(IF(ISNUMBER(SEARCH("Proposal",$A284)),SUMIFS('Timesheet Raw'!$P$4:$P$8000,'Timesheet Raw'!$A$4:$A$8000,IF(ISNUMBER(SEARCH("Chargable",$A284)),"2-Proposals Chargeable","3-Proposals Regular"),'Timesheet Raw'!$C$4:$C$8000,"*"&amp;$B284&amp;"*",'Timesheet Raw'!$L$4:$L$8000,"&gt;="&amp;MAX(M$5,DATE(2000+VALUE(RIGHT(TRIM($A284),2)),1,1)),'Timesheet Raw'!$L$4:$L$8000,"&lt;="&amp;MIN(M$6,DATE(2000+VALUE(RIGHT(TRIM($A284),2)),12,31))),SUMIFS('Timesheet Raw'!$P$4:$P$8000,'Timesheet Raw'!$B$4:$B$8000,TRIM($A284),'Timesheet Raw'!$C$4:$C$8000,"*"&amp;$B284&amp;"*",'Timesheet Raw'!$L$4:$L$8000,"&gt;="&amp;M$5,'Timesheet Raw'!$L$4:$L$8000,"&lt;="&amp;M$6)))/'Profit Plan'!$B$5)</f>
        <v>0</v>
      </c>
      <c r="N284" s="122">
        <f>IF($A284="","",(IF(ISNUMBER(SEARCH("Proposal",$A284)),SUMIFS('Timesheet Raw'!$P$4:$P$8000,'Timesheet Raw'!$A$4:$A$8000,IF(ISNUMBER(SEARCH("Chargable",$A284)),"2-Proposals Chargeable","3-Proposals Regular"),'Timesheet Raw'!$C$4:$C$8000,"*"&amp;$B284&amp;"*",'Timesheet Raw'!$L$4:$L$8000,"&gt;="&amp;MAX(N$5,DATE(2000+VALUE(RIGHT(TRIM($A284),2)),1,1)),'Timesheet Raw'!$L$4:$L$8000,"&lt;="&amp;MIN(N$6,DATE(2000+VALUE(RIGHT(TRIM($A284),2)),12,31))),SUMIFS('Timesheet Raw'!$P$4:$P$8000,'Timesheet Raw'!$B$4:$B$8000,TRIM($A284),'Timesheet Raw'!$C$4:$C$8000,"*"&amp;$B284&amp;"*",'Timesheet Raw'!$L$4:$L$8000,"&gt;="&amp;N$5,'Timesheet Raw'!$L$4:$L$8000,"&lt;="&amp;N$6)))/'Profit Plan'!$B$5)</f>
        <v>0</v>
      </c>
      <c r="O284" s="122">
        <f>IF($A284="","",(IF(ISNUMBER(SEARCH("Proposal",$A284)),SUMIFS('Timesheet Raw'!$P$4:$P$8000,'Timesheet Raw'!$A$4:$A$8000,IF(ISNUMBER(SEARCH("Chargable",$A284)),"2-Proposals Chargeable","3-Proposals Regular"),'Timesheet Raw'!$C$4:$C$8000,"*"&amp;$B284&amp;"*",'Timesheet Raw'!$L$4:$L$8000,"&gt;="&amp;MAX(O$5,DATE(2000+VALUE(RIGHT(TRIM($A284),2)),1,1)),'Timesheet Raw'!$L$4:$L$8000,"&lt;="&amp;MIN(O$6,DATE(2000+VALUE(RIGHT(TRIM($A284),2)),12,31))),SUMIFS('Timesheet Raw'!$P$4:$P$8000,'Timesheet Raw'!$B$4:$B$8000,TRIM($A284),'Timesheet Raw'!$C$4:$C$8000,"*"&amp;$B284&amp;"*",'Timesheet Raw'!$L$4:$L$8000,"&gt;="&amp;O$5,'Timesheet Raw'!$L$4:$L$8000,"&lt;="&amp;O$6)))/'Profit Plan'!$B$5)</f>
        <v>0</v>
      </c>
      <c r="P284" s="122">
        <f>IF($A284="","",(IF(ISNUMBER(SEARCH("Proposal",$A284)),SUMIFS('Timesheet Raw'!$P$4:$P$8000,'Timesheet Raw'!$A$4:$A$8000,IF(ISNUMBER(SEARCH("Chargable",$A284)),"2-Proposals Chargeable","3-Proposals Regular"),'Timesheet Raw'!$C$4:$C$8000,"*"&amp;$B284&amp;"*",'Timesheet Raw'!$L$4:$L$8000,"&gt;="&amp;MAX(P$5,DATE(2000+VALUE(RIGHT(TRIM($A284),2)),1,1)),'Timesheet Raw'!$L$4:$L$8000,"&lt;="&amp;MIN(P$6,DATE(2000+VALUE(RIGHT(TRIM($A284),2)),12,31))),SUMIFS('Timesheet Raw'!$P$4:$P$8000,'Timesheet Raw'!$B$4:$B$8000,TRIM($A284),'Timesheet Raw'!$C$4:$C$8000,"*"&amp;$B284&amp;"*",'Timesheet Raw'!$L$4:$L$8000,"&gt;="&amp;P$5,'Timesheet Raw'!$L$4:$L$8000,"&lt;="&amp;P$6)))/'Profit Plan'!$B$5)</f>
        <v>0</v>
      </c>
      <c r="Q284" s="122">
        <f>IF($A284="","",(IF(ISNUMBER(SEARCH("Proposal",$A284)),SUMIFS('Timesheet Raw'!$P$4:$P$8000,'Timesheet Raw'!$A$4:$A$8000,IF(ISNUMBER(SEARCH("Chargable",$A284)),"2-Proposals Chargeable","3-Proposals Regular"),'Timesheet Raw'!$C$4:$C$8000,"*"&amp;$B284&amp;"*",'Timesheet Raw'!$L$4:$L$8000,"&gt;="&amp;MAX(Q$5,DATE(2000+VALUE(RIGHT(TRIM($A284),2)),1,1)),'Timesheet Raw'!$L$4:$L$8000,"&lt;="&amp;MIN(Q$6,DATE(2000+VALUE(RIGHT(TRIM($A284),2)),12,31))),SUMIFS('Timesheet Raw'!$P$4:$P$8000,'Timesheet Raw'!$B$4:$B$8000,TRIM($A284),'Timesheet Raw'!$C$4:$C$8000,"*"&amp;$B284&amp;"*",'Timesheet Raw'!$L$4:$L$8000,"&gt;="&amp;Q$5,'Timesheet Raw'!$L$4:$L$8000,"&lt;="&amp;Q$6)))/'Profit Plan'!$B$5)</f>
        <v>0</v>
      </c>
      <c r="R284" s="122">
        <f>IF($A284="","",(IF(ISNUMBER(SEARCH("Proposal",$A284)),SUMIFS('Timesheet Raw'!$P$4:$P$8000,'Timesheet Raw'!$A$4:$A$8000,IF(ISNUMBER(SEARCH("Chargable",$A284)),"2-Proposals Chargeable","3-Proposals Regular"),'Timesheet Raw'!$C$4:$C$8000,"*"&amp;$B284&amp;"*",'Timesheet Raw'!$L$4:$L$8000,"&gt;="&amp;MAX(R$5,DATE(2000+VALUE(RIGHT(TRIM($A284),2)),1,1)),'Timesheet Raw'!$L$4:$L$8000,"&lt;="&amp;MIN(R$6,DATE(2000+VALUE(RIGHT(TRIM($A284),2)),12,31))),SUMIFS('Timesheet Raw'!$P$4:$P$8000,'Timesheet Raw'!$B$4:$B$8000,TRIM($A284),'Timesheet Raw'!$C$4:$C$8000,"*"&amp;$B284&amp;"*",'Timesheet Raw'!$L$4:$L$8000,"&gt;="&amp;R$5,'Timesheet Raw'!$L$4:$L$8000,"&lt;="&amp;R$6)))/'Profit Plan'!$B$5)</f>
        <v>0</v>
      </c>
      <c r="S284" s="122">
        <f>IF($A284="","",(IF(ISNUMBER(SEARCH("Proposal",$A284)),SUMIFS('Timesheet Raw'!$P$4:$P$8000,'Timesheet Raw'!$A$4:$A$8000,IF(ISNUMBER(SEARCH("Chargable",$A284)),"2-Proposals Chargeable","3-Proposals Regular"),'Timesheet Raw'!$C$4:$C$8000,"*"&amp;$B284&amp;"*",'Timesheet Raw'!$L$4:$L$8000,"&gt;="&amp;MAX(S$5,DATE(2000+VALUE(RIGHT(TRIM($A284),2)),1,1)),'Timesheet Raw'!$L$4:$L$8000,"&lt;="&amp;MIN(S$6,DATE(2000+VALUE(RIGHT(TRIM($A284),2)),12,31))),SUMIFS('Timesheet Raw'!$P$4:$P$8000,'Timesheet Raw'!$B$4:$B$8000,TRIM($A284),'Timesheet Raw'!$C$4:$C$8000,"*"&amp;$B284&amp;"*",'Timesheet Raw'!$L$4:$L$8000,"&gt;="&amp;S$5,'Timesheet Raw'!$L$4:$L$8000,"&lt;="&amp;S$6)))/'Profit Plan'!$B$5)</f>
        <v>0</v>
      </c>
      <c r="T284" s="122">
        <f>IF($A284="","",(IF(ISNUMBER(SEARCH("Proposal",$A284)),SUMIFS('Timesheet Raw'!$P$4:$P$8000,'Timesheet Raw'!$A$4:$A$8000,IF(ISNUMBER(SEARCH("Chargable",$A284)),"2-Proposals Chargeable","3-Proposals Regular"),'Timesheet Raw'!$C$4:$C$8000,"*"&amp;$B284&amp;"*",'Timesheet Raw'!$L$4:$L$8000,"&gt;="&amp;MAX(T$5,DATE(2000+VALUE(RIGHT(TRIM($A284),2)),1,1)),'Timesheet Raw'!$L$4:$L$8000,"&lt;="&amp;MIN(T$6,DATE(2000+VALUE(RIGHT(TRIM($A284),2)),12,31))),SUMIFS('Timesheet Raw'!$P$4:$P$8000,'Timesheet Raw'!$B$4:$B$8000,TRIM($A284),'Timesheet Raw'!$C$4:$C$8000,"*"&amp;$B284&amp;"*",'Timesheet Raw'!$L$4:$L$8000,"&gt;="&amp;T$5,'Timesheet Raw'!$L$4:$L$8000,"&lt;="&amp;T$6)))/'Profit Plan'!$B$5)</f>
        <v>0</v>
      </c>
      <c r="U284" s="122">
        <f>IF($A284="","",(IF(ISNUMBER(SEARCH("Proposal",$A284)),SUMIFS('Timesheet Raw'!$P$4:$P$8000,'Timesheet Raw'!$A$4:$A$8000,IF(ISNUMBER(SEARCH("Chargable",$A284)),"2-Proposals Chargeable","3-Proposals Regular"),'Timesheet Raw'!$C$4:$C$8000,"*"&amp;$B284&amp;"*",'Timesheet Raw'!$L$4:$L$8000,"&gt;="&amp;MAX(U$5,DATE(2000+VALUE(RIGHT(TRIM($A284),2)),1,1)),'Timesheet Raw'!$L$4:$L$8000,"&lt;="&amp;MIN(U$6,DATE(2000+VALUE(RIGHT(TRIM($A284),2)),12,31))),SUMIFS('Timesheet Raw'!$P$4:$P$8000,'Timesheet Raw'!$B$4:$B$8000,TRIM($A284),'Timesheet Raw'!$C$4:$C$8000,"*"&amp;$B284&amp;"*",'Timesheet Raw'!$L$4:$L$8000,"&gt;="&amp;U$5,'Timesheet Raw'!$L$4:$L$8000,"&lt;="&amp;U$6)))/'Profit Plan'!$B$5)</f>
        <v>0</v>
      </c>
      <c r="V284" s="122">
        <f>IF($A284="","",(IF(ISNUMBER(SEARCH("Proposal",$A284)),SUMIFS('Timesheet Raw'!$P$4:$P$8000,'Timesheet Raw'!$A$4:$A$8000,IF(ISNUMBER(SEARCH("Chargable",$A284)),"2-Proposals Chargeable","3-Proposals Regular"),'Timesheet Raw'!$C$4:$C$8000,"*"&amp;$B284&amp;"*",'Timesheet Raw'!$L$4:$L$8000,"&gt;="&amp;MAX(V$5,DATE(2000+VALUE(RIGHT(TRIM($A284),2)),1,1)),'Timesheet Raw'!$L$4:$L$8000,"&lt;="&amp;MIN(V$6,DATE(2000+VALUE(RIGHT(TRIM($A284),2)),12,31))),SUMIFS('Timesheet Raw'!$P$4:$P$8000,'Timesheet Raw'!$B$4:$B$8000,TRIM($A284),'Timesheet Raw'!$C$4:$C$8000,"*"&amp;$B284&amp;"*",'Timesheet Raw'!$L$4:$L$8000,"&gt;="&amp;V$5,'Timesheet Raw'!$L$4:$L$8000,"&lt;="&amp;V$6)))/'Profit Plan'!$B$5)</f>
        <v>0</v>
      </c>
      <c r="W284" s="122">
        <f>IF($A284="","",(IF(ISNUMBER(SEARCH("Proposal",$A284)),SUMIFS('Timesheet Raw'!$P$4:$P$8000,'Timesheet Raw'!$A$4:$A$8000,IF(ISNUMBER(SEARCH("Chargable",$A284)),"2-Proposals Chargeable","3-Proposals Regular"),'Timesheet Raw'!$C$4:$C$8000,"*"&amp;$B284&amp;"*",'Timesheet Raw'!$L$4:$L$8000,"&gt;="&amp;MAX(W$5,DATE(2000+VALUE(RIGHT(TRIM($A284),2)),1,1)),'Timesheet Raw'!$L$4:$L$8000,"&lt;="&amp;MIN(W$6,DATE(2000+VALUE(RIGHT(TRIM($A284),2)),12,31))),SUMIFS('Timesheet Raw'!$P$4:$P$8000,'Timesheet Raw'!$B$4:$B$8000,TRIM($A284),'Timesheet Raw'!$C$4:$C$8000,"*"&amp;$B284&amp;"*",'Timesheet Raw'!$L$4:$L$8000,"&gt;="&amp;W$5,'Timesheet Raw'!$L$4:$L$8000,"&lt;="&amp;W$6)))/'Profit Plan'!$B$5)</f>
        <v>0</v>
      </c>
      <c r="X284" s="122">
        <f>IF($A284="","",(IF(ISNUMBER(SEARCH("Proposal",$A284)),SUMIFS('Timesheet Raw'!$P$4:$P$8000,'Timesheet Raw'!$A$4:$A$8000,IF(ISNUMBER(SEARCH("Chargable",$A284)),"2-Proposals Chargeable","3-Proposals Regular"),'Timesheet Raw'!$C$4:$C$8000,"*"&amp;$B284&amp;"*",'Timesheet Raw'!$L$4:$L$8000,"&gt;="&amp;MAX(X$5,DATE(2000+VALUE(RIGHT(TRIM($A284),2)),1,1)),'Timesheet Raw'!$L$4:$L$8000,"&lt;="&amp;MIN(X$6,DATE(2000+VALUE(RIGHT(TRIM($A284),2)),12,31))),SUMIFS('Timesheet Raw'!$P$4:$P$8000,'Timesheet Raw'!$B$4:$B$8000,TRIM($A284),'Timesheet Raw'!$C$4:$C$8000,"*"&amp;$B284&amp;"*",'Timesheet Raw'!$L$4:$L$8000,"&gt;="&amp;X$5,'Timesheet Raw'!$L$4:$L$8000,"&lt;="&amp;X$6)))/'Profit Plan'!$B$5)</f>
        <v>0</v>
      </c>
      <c r="Y284" s="118">
        <f t="shared" si="100"/>
        <v>0</v>
      </c>
    </row>
    <row r="285" spans="1:25" x14ac:dyDescent="0.3">
      <c r="A285" s="116" t="str">
        <f>IF(Inputs!$A12="","",Inputs!$A12)</f>
        <v>AN23207-0500D</v>
      </c>
      <c r="B285" s="116" t="str">
        <f>IF(Inputs!$A12="","",Inputs!$A$93)</f>
        <v>Kirolos</v>
      </c>
      <c r="C285" s="116"/>
      <c r="D285" s="122">
        <f>IF($A285="","",(IF(ISNUMBER(SEARCH("Proposal",$A285)),SUMIFS('Timesheet Raw'!$P$4:$P$8000,'Timesheet Raw'!$A$4:$A$8000,IF(ISNUMBER(SEARCH("Chargable",$A285)),"2-Proposals Chargeable","3-Proposals Regular"),'Timesheet Raw'!$C$4:$C$8000,"*"&amp;$B285&amp;"*",'Timesheet Raw'!$L$4:$L$8000,"&gt;="&amp;MAX(D$5,DATE(2000+VALUE(RIGHT(TRIM($A285),2)),1,1)),'Timesheet Raw'!$L$4:$L$8000,"&lt;="&amp;MIN(D$6,DATE(2000+VALUE(RIGHT(TRIM($A285),2)),12,31))),SUMIFS('Timesheet Raw'!$P$4:$P$8000,'Timesheet Raw'!$B$4:$B$8000,TRIM($A285),'Timesheet Raw'!$C$4:$C$8000,"*"&amp;$B285&amp;"*",'Timesheet Raw'!$L$4:$L$8000,"&gt;="&amp;D$5,'Timesheet Raw'!$L$4:$L$8000,"&lt;="&amp;D$6)))/'Profit Plan'!$B$5)</f>
        <v>0</v>
      </c>
      <c r="E285" s="122">
        <f>IF($A285="","",(IF(ISNUMBER(SEARCH("Proposal",$A285)),SUMIFS('Timesheet Raw'!$P$4:$P$8000,'Timesheet Raw'!$A$4:$A$8000,IF(ISNUMBER(SEARCH("Chargable",$A285)),"2-Proposals Chargeable","3-Proposals Regular"),'Timesheet Raw'!$C$4:$C$8000,"*"&amp;$B285&amp;"*",'Timesheet Raw'!$L$4:$L$8000,"&gt;="&amp;MAX(E$5,DATE(2000+VALUE(RIGHT(TRIM($A285),2)),1,1)),'Timesheet Raw'!$L$4:$L$8000,"&lt;="&amp;MIN(E$6,DATE(2000+VALUE(RIGHT(TRIM($A285),2)),12,31))),SUMIFS('Timesheet Raw'!$P$4:$P$8000,'Timesheet Raw'!$B$4:$B$8000,TRIM($A285),'Timesheet Raw'!$C$4:$C$8000,"*"&amp;$B285&amp;"*",'Timesheet Raw'!$L$4:$L$8000,"&gt;="&amp;E$5,'Timesheet Raw'!$L$4:$L$8000,"&lt;="&amp;E$6)))/'Profit Plan'!$B$5)</f>
        <v>0</v>
      </c>
      <c r="F285" s="122">
        <f>IF($A285="","",(IF(ISNUMBER(SEARCH("Proposal",$A285)),SUMIFS('Timesheet Raw'!$P$4:$P$8000,'Timesheet Raw'!$A$4:$A$8000,IF(ISNUMBER(SEARCH("Chargable",$A285)),"2-Proposals Chargeable","3-Proposals Regular"),'Timesheet Raw'!$C$4:$C$8000,"*"&amp;$B285&amp;"*",'Timesheet Raw'!$L$4:$L$8000,"&gt;="&amp;MAX(F$5,DATE(2000+VALUE(RIGHT(TRIM($A285),2)),1,1)),'Timesheet Raw'!$L$4:$L$8000,"&lt;="&amp;MIN(F$6,DATE(2000+VALUE(RIGHT(TRIM($A285),2)),12,31))),SUMIFS('Timesheet Raw'!$P$4:$P$8000,'Timesheet Raw'!$B$4:$B$8000,TRIM($A285),'Timesheet Raw'!$C$4:$C$8000,"*"&amp;$B285&amp;"*",'Timesheet Raw'!$L$4:$L$8000,"&gt;="&amp;F$5,'Timesheet Raw'!$L$4:$L$8000,"&lt;="&amp;F$6)))/'Profit Plan'!$B$5)</f>
        <v>0</v>
      </c>
      <c r="G285" s="122">
        <f>IF($A285="","",(IF(ISNUMBER(SEARCH("Proposal",$A285)),SUMIFS('Timesheet Raw'!$P$4:$P$8000,'Timesheet Raw'!$A$4:$A$8000,IF(ISNUMBER(SEARCH("Chargable",$A285)),"2-Proposals Chargeable","3-Proposals Regular"),'Timesheet Raw'!$C$4:$C$8000,"*"&amp;$B285&amp;"*",'Timesheet Raw'!$L$4:$L$8000,"&gt;="&amp;MAX(G$5,DATE(2000+VALUE(RIGHT(TRIM($A285),2)),1,1)),'Timesheet Raw'!$L$4:$L$8000,"&lt;="&amp;MIN(G$6,DATE(2000+VALUE(RIGHT(TRIM($A285),2)),12,31))),SUMIFS('Timesheet Raw'!$P$4:$P$8000,'Timesheet Raw'!$B$4:$B$8000,TRIM($A285),'Timesheet Raw'!$C$4:$C$8000,"*"&amp;$B285&amp;"*",'Timesheet Raw'!$L$4:$L$8000,"&gt;="&amp;G$5,'Timesheet Raw'!$L$4:$L$8000,"&lt;="&amp;G$6)))/'Profit Plan'!$B$5)</f>
        <v>0</v>
      </c>
      <c r="H285" s="122">
        <f>IF($A285="","",(IF(ISNUMBER(SEARCH("Proposal",$A285)),SUMIFS('Timesheet Raw'!$P$4:$P$8000,'Timesheet Raw'!$A$4:$A$8000,IF(ISNUMBER(SEARCH("Chargable",$A285)),"2-Proposals Chargeable","3-Proposals Regular"),'Timesheet Raw'!$C$4:$C$8000,"*"&amp;$B285&amp;"*",'Timesheet Raw'!$L$4:$L$8000,"&gt;="&amp;MAX(H$5,DATE(2000+VALUE(RIGHT(TRIM($A285),2)),1,1)),'Timesheet Raw'!$L$4:$L$8000,"&lt;="&amp;MIN(H$6,DATE(2000+VALUE(RIGHT(TRIM($A285),2)),12,31))),SUMIFS('Timesheet Raw'!$P$4:$P$8000,'Timesheet Raw'!$B$4:$B$8000,TRIM($A285),'Timesheet Raw'!$C$4:$C$8000,"*"&amp;$B285&amp;"*",'Timesheet Raw'!$L$4:$L$8000,"&gt;="&amp;H$5,'Timesheet Raw'!$L$4:$L$8000,"&lt;="&amp;H$6)))/'Profit Plan'!$B$5)</f>
        <v>0</v>
      </c>
      <c r="I285" s="122">
        <f>IF($A285="","",(IF(ISNUMBER(SEARCH("Proposal",$A285)),SUMIFS('Timesheet Raw'!$P$4:$P$8000,'Timesheet Raw'!$A$4:$A$8000,IF(ISNUMBER(SEARCH("Chargable",$A285)),"2-Proposals Chargeable","3-Proposals Regular"),'Timesheet Raw'!$C$4:$C$8000,"*"&amp;$B285&amp;"*",'Timesheet Raw'!$L$4:$L$8000,"&gt;="&amp;MAX(I$5,DATE(2000+VALUE(RIGHT(TRIM($A285),2)),1,1)),'Timesheet Raw'!$L$4:$L$8000,"&lt;="&amp;MIN(I$6,DATE(2000+VALUE(RIGHT(TRIM($A285),2)),12,31))),SUMIFS('Timesheet Raw'!$P$4:$P$8000,'Timesheet Raw'!$B$4:$B$8000,TRIM($A285),'Timesheet Raw'!$C$4:$C$8000,"*"&amp;$B285&amp;"*",'Timesheet Raw'!$L$4:$L$8000,"&gt;="&amp;I$5,'Timesheet Raw'!$L$4:$L$8000,"&lt;="&amp;I$6)))/'Profit Plan'!$B$5)</f>
        <v>0</v>
      </c>
      <c r="J285" s="122">
        <f>IF($A285="","",(IF(ISNUMBER(SEARCH("Proposal",$A285)),SUMIFS('Timesheet Raw'!$P$4:$P$8000,'Timesheet Raw'!$A$4:$A$8000,IF(ISNUMBER(SEARCH("Chargable",$A285)),"2-Proposals Chargeable","3-Proposals Regular"),'Timesheet Raw'!$C$4:$C$8000,"*"&amp;$B285&amp;"*",'Timesheet Raw'!$L$4:$L$8000,"&gt;="&amp;MAX(J$5,DATE(2000+VALUE(RIGHT(TRIM($A285),2)),1,1)),'Timesheet Raw'!$L$4:$L$8000,"&lt;="&amp;MIN(J$6,DATE(2000+VALUE(RIGHT(TRIM($A285),2)),12,31))),SUMIFS('Timesheet Raw'!$P$4:$P$8000,'Timesheet Raw'!$B$4:$B$8000,TRIM($A285),'Timesheet Raw'!$C$4:$C$8000,"*"&amp;$B285&amp;"*",'Timesheet Raw'!$L$4:$L$8000,"&gt;="&amp;J$5,'Timesheet Raw'!$L$4:$L$8000,"&lt;="&amp;J$6)))/'Profit Plan'!$B$5)</f>
        <v>0</v>
      </c>
      <c r="K285" s="122">
        <f>IF($A285="","",(IF(ISNUMBER(SEARCH("Proposal",$A285)),SUMIFS('Timesheet Raw'!$P$4:$P$8000,'Timesheet Raw'!$A$4:$A$8000,IF(ISNUMBER(SEARCH("Chargable",$A285)),"2-Proposals Chargeable","3-Proposals Regular"),'Timesheet Raw'!$C$4:$C$8000,"*"&amp;$B285&amp;"*",'Timesheet Raw'!$L$4:$L$8000,"&gt;="&amp;MAX(K$5,DATE(2000+VALUE(RIGHT(TRIM($A285),2)),1,1)),'Timesheet Raw'!$L$4:$L$8000,"&lt;="&amp;MIN(K$6,DATE(2000+VALUE(RIGHT(TRIM($A285),2)),12,31))),SUMIFS('Timesheet Raw'!$P$4:$P$8000,'Timesheet Raw'!$B$4:$B$8000,TRIM($A285),'Timesheet Raw'!$C$4:$C$8000,"*"&amp;$B285&amp;"*",'Timesheet Raw'!$L$4:$L$8000,"&gt;="&amp;K$5,'Timesheet Raw'!$L$4:$L$8000,"&lt;="&amp;K$6)))/'Profit Plan'!$B$5)</f>
        <v>0</v>
      </c>
      <c r="L285" s="122">
        <f>IF($A285="","",(IF(ISNUMBER(SEARCH("Proposal",$A285)),SUMIFS('Timesheet Raw'!$P$4:$P$8000,'Timesheet Raw'!$A$4:$A$8000,IF(ISNUMBER(SEARCH("Chargable",$A285)),"2-Proposals Chargeable","3-Proposals Regular"),'Timesheet Raw'!$C$4:$C$8000,"*"&amp;$B285&amp;"*",'Timesheet Raw'!$L$4:$L$8000,"&gt;="&amp;MAX(L$5,DATE(2000+VALUE(RIGHT(TRIM($A285),2)),1,1)),'Timesheet Raw'!$L$4:$L$8000,"&lt;="&amp;MIN(L$6,DATE(2000+VALUE(RIGHT(TRIM($A285),2)),12,31))),SUMIFS('Timesheet Raw'!$P$4:$P$8000,'Timesheet Raw'!$B$4:$B$8000,TRIM($A285),'Timesheet Raw'!$C$4:$C$8000,"*"&amp;$B285&amp;"*",'Timesheet Raw'!$L$4:$L$8000,"&gt;="&amp;L$5,'Timesheet Raw'!$L$4:$L$8000,"&lt;="&amp;L$6)))/'Profit Plan'!$B$5)</f>
        <v>0</v>
      </c>
      <c r="M285" s="122">
        <f>IF($A285="","",(IF(ISNUMBER(SEARCH("Proposal",$A285)),SUMIFS('Timesheet Raw'!$P$4:$P$8000,'Timesheet Raw'!$A$4:$A$8000,IF(ISNUMBER(SEARCH("Chargable",$A285)),"2-Proposals Chargeable","3-Proposals Regular"),'Timesheet Raw'!$C$4:$C$8000,"*"&amp;$B285&amp;"*",'Timesheet Raw'!$L$4:$L$8000,"&gt;="&amp;MAX(M$5,DATE(2000+VALUE(RIGHT(TRIM($A285),2)),1,1)),'Timesheet Raw'!$L$4:$L$8000,"&lt;="&amp;MIN(M$6,DATE(2000+VALUE(RIGHT(TRIM($A285),2)),12,31))),SUMIFS('Timesheet Raw'!$P$4:$P$8000,'Timesheet Raw'!$B$4:$B$8000,TRIM($A285),'Timesheet Raw'!$C$4:$C$8000,"*"&amp;$B285&amp;"*",'Timesheet Raw'!$L$4:$L$8000,"&gt;="&amp;M$5,'Timesheet Raw'!$L$4:$L$8000,"&lt;="&amp;M$6)))/'Profit Plan'!$B$5)</f>
        <v>0</v>
      </c>
      <c r="N285" s="122">
        <f>IF($A285="","",(IF(ISNUMBER(SEARCH("Proposal",$A285)),SUMIFS('Timesheet Raw'!$P$4:$P$8000,'Timesheet Raw'!$A$4:$A$8000,IF(ISNUMBER(SEARCH("Chargable",$A285)),"2-Proposals Chargeable","3-Proposals Regular"),'Timesheet Raw'!$C$4:$C$8000,"*"&amp;$B285&amp;"*",'Timesheet Raw'!$L$4:$L$8000,"&gt;="&amp;MAX(N$5,DATE(2000+VALUE(RIGHT(TRIM($A285),2)),1,1)),'Timesheet Raw'!$L$4:$L$8000,"&lt;="&amp;MIN(N$6,DATE(2000+VALUE(RIGHT(TRIM($A285),2)),12,31))),SUMIFS('Timesheet Raw'!$P$4:$P$8000,'Timesheet Raw'!$B$4:$B$8000,TRIM($A285),'Timesheet Raw'!$C$4:$C$8000,"*"&amp;$B285&amp;"*",'Timesheet Raw'!$L$4:$L$8000,"&gt;="&amp;N$5,'Timesheet Raw'!$L$4:$L$8000,"&lt;="&amp;N$6)))/'Profit Plan'!$B$5)</f>
        <v>0</v>
      </c>
      <c r="O285" s="122">
        <f>IF($A285="","",(IF(ISNUMBER(SEARCH("Proposal",$A285)),SUMIFS('Timesheet Raw'!$P$4:$P$8000,'Timesheet Raw'!$A$4:$A$8000,IF(ISNUMBER(SEARCH("Chargable",$A285)),"2-Proposals Chargeable","3-Proposals Regular"),'Timesheet Raw'!$C$4:$C$8000,"*"&amp;$B285&amp;"*",'Timesheet Raw'!$L$4:$L$8000,"&gt;="&amp;MAX(O$5,DATE(2000+VALUE(RIGHT(TRIM($A285),2)),1,1)),'Timesheet Raw'!$L$4:$L$8000,"&lt;="&amp;MIN(O$6,DATE(2000+VALUE(RIGHT(TRIM($A285),2)),12,31))),SUMIFS('Timesheet Raw'!$P$4:$P$8000,'Timesheet Raw'!$B$4:$B$8000,TRIM($A285),'Timesheet Raw'!$C$4:$C$8000,"*"&amp;$B285&amp;"*",'Timesheet Raw'!$L$4:$L$8000,"&gt;="&amp;O$5,'Timesheet Raw'!$L$4:$L$8000,"&lt;="&amp;O$6)))/'Profit Plan'!$B$5)</f>
        <v>0</v>
      </c>
      <c r="P285" s="122">
        <f>IF($A285="","",(IF(ISNUMBER(SEARCH("Proposal",$A285)),SUMIFS('Timesheet Raw'!$P$4:$P$8000,'Timesheet Raw'!$A$4:$A$8000,IF(ISNUMBER(SEARCH("Chargable",$A285)),"2-Proposals Chargeable","3-Proposals Regular"),'Timesheet Raw'!$C$4:$C$8000,"*"&amp;$B285&amp;"*",'Timesheet Raw'!$L$4:$L$8000,"&gt;="&amp;MAX(P$5,DATE(2000+VALUE(RIGHT(TRIM($A285),2)),1,1)),'Timesheet Raw'!$L$4:$L$8000,"&lt;="&amp;MIN(P$6,DATE(2000+VALUE(RIGHT(TRIM($A285),2)),12,31))),SUMIFS('Timesheet Raw'!$P$4:$P$8000,'Timesheet Raw'!$B$4:$B$8000,TRIM($A285),'Timesheet Raw'!$C$4:$C$8000,"*"&amp;$B285&amp;"*",'Timesheet Raw'!$L$4:$L$8000,"&gt;="&amp;P$5,'Timesheet Raw'!$L$4:$L$8000,"&lt;="&amp;P$6)))/'Profit Plan'!$B$5)</f>
        <v>0</v>
      </c>
      <c r="Q285" s="122">
        <f>IF($A285="","",(IF(ISNUMBER(SEARCH("Proposal",$A285)),SUMIFS('Timesheet Raw'!$P$4:$P$8000,'Timesheet Raw'!$A$4:$A$8000,IF(ISNUMBER(SEARCH("Chargable",$A285)),"2-Proposals Chargeable","3-Proposals Regular"),'Timesheet Raw'!$C$4:$C$8000,"*"&amp;$B285&amp;"*",'Timesheet Raw'!$L$4:$L$8000,"&gt;="&amp;MAX(Q$5,DATE(2000+VALUE(RIGHT(TRIM($A285),2)),1,1)),'Timesheet Raw'!$L$4:$L$8000,"&lt;="&amp;MIN(Q$6,DATE(2000+VALUE(RIGHT(TRIM($A285),2)),12,31))),SUMIFS('Timesheet Raw'!$P$4:$P$8000,'Timesheet Raw'!$B$4:$B$8000,TRIM($A285),'Timesheet Raw'!$C$4:$C$8000,"*"&amp;$B285&amp;"*",'Timesheet Raw'!$L$4:$L$8000,"&gt;="&amp;Q$5,'Timesheet Raw'!$L$4:$L$8000,"&lt;="&amp;Q$6)))/'Profit Plan'!$B$5)</f>
        <v>0</v>
      </c>
      <c r="R285" s="122">
        <f>IF($A285="","",(IF(ISNUMBER(SEARCH("Proposal",$A285)),SUMIFS('Timesheet Raw'!$P$4:$P$8000,'Timesheet Raw'!$A$4:$A$8000,IF(ISNUMBER(SEARCH("Chargable",$A285)),"2-Proposals Chargeable","3-Proposals Regular"),'Timesheet Raw'!$C$4:$C$8000,"*"&amp;$B285&amp;"*",'Timesheet Raw'!$L$4:$L$8000,"&gt;="&amp;MAX(R$5,DATE(2000+VALUE(RIGHT(TRIM($A285),2)),1,1)),'Timesheet Raw'!$L$4:$L$8000,"&lt;="&amp;MIN(R$6,DATE(2000+VALUE(RIGHT(TRIM($A285),2)),12,31))),SUMIFS('Timesheet Raw'!$P$4:$P$8000,'Timesheet Raw'!$B$4:$B$8000,TRIM($A285),'Timesheet Raw'!$C$4:$C$8000,"*"&amp;$B285&amp;"*",'Timesheet Raw'!$L$4:$L$8000,"&gt;="&amp;R$5,'Timesheet Raw'!$L$4:$L$8000,"&lt;="&amp;R$6)))/'Profit Plan'!$B$5)</f>
        <v>0</v>
      </c>
      <c r="S285" s="122">
        <f>IF($A285="","",(IF(ISNUMBER(SEARCH("Proposal",$A285)),SUMIFS('Timesheet Raw'!$P$4:$P$8000,'Timesheet Raw'!$A$4:$A$8000,IF(ISNUMBER(SEARCH("Chargable",$A285)),"2-Proposals Chargeable","3-Proposals Regular"),'Timesheet Raw'!$C$4:$C$8000,"*"&amp;$B285&amp;"*",'Timesheet Raw'!$L$4:$L$8000,"&gt;="&amp;MAX(S$5,DATE(2000+VALUE(RIGHT(TRIM($A285),2)),1,1)),'Timesheet Raw'!$L$4:$L$8000,"&lt;="&amp;MIN(S$6,DATE(2000+VALUE(RIGHT(TRIM($A285),2)),12,31))),SUMIFS('Timesheet Raw'!$P$4:$P$8000,'Timesheet Raw'!$B$4:$B$8000,TRIM($A285),'Timesheet Raw'!$C$4:$C$8000,"*"&amp;$B285&amp;"*",'Timesheet Raw'!$L$4:$L$8000,"&gt;="&amp;S$5,'Timesheet Raw'!$L$4:$L$8000,"&lt;="&amp;S$6)))/'Profit Plan'!$B$5)</f>
        <v>0</v>
      </c>
      <c r="T285" s="122">
        <f>IF($A285="","",(IF(ISNUMBER(SEARCH("Proposal",$A285)),SUMIFS('Timesheet Raw'!$P$4:$P$8000,'Timesheet Raw'!$A$4:$A$8000,IF(ISNUMBER(SEARCH("Chargable",$A285)),"2-Proposals Chargeable","3-Proposals Regular"),'Timesheet Raw'!$C$4:$C$8000,"*"&amp;$B285&amp;"*",'Timesheet Raw'!$L$4:$L$8000,"&gt;="&amp;MAX(T$5,DATE(2000+VALUE(RIGHT(TRIM($A285),2)),1,1)),'Timesheet Raw'!$L$4:$L$8000,"&lt;="&amp;MIN(T$6,DATE(2000+VALUE(RIGHT(TRIM($A285),2)),12,31))),SUMIFS('Timesheet Raw'!$P$4:$P$8000,'Timesheet Raw'!$B$4:$B$8000,TRIM($A285),'Timesheet Raw'!$C$4:$C$8000,"*"&amp;$B285&amp;"*",'Timesheet Raw'!$L$4:$L$8000,"&gt;="&amp;T$5,'Timesheet Raw'!$L$4:$L$8000,"&lt;="&amp;T$6)))/'Profit Plan'!$B$5)</f>
        <v>0</v>
      </c>
      <c r="U285" s="122">
        <f>IF($A285="","",(IF(ISNUMBER(SEARCH("Proposal",$A285)),SUMIFS('Timesheet Raw'!$P$4:$P$8000,'Timesheet Raw'!$A$4:$A$8000,IF(ISNUMBER(SEARCH("Chargable",$A285)),"2-Proposals Chargeable","3-Proposals Regular"),'Timesheet Raw'!$C$4:$C$8000,"*"&amp;$B285&amp;"*",'Timesheet Raw'!$L$4:$L$8000,"&gt;="&amp;MAX(U$5,DATE(2000+VALUE(RIGHT(TRIM($A285),2)),1,1)),'Timesheet Raw'!$L$4:$L$8000,"&lt;="&amp;MIN(U$6,DATE(2000+VALUE(RIGHT(TRIM($A285),2)),12,31))),SUMIFS('Timesheet Raw'!$P$4:$P$8000,'Timesheet Raw'!$B$4:$B$8000,TRIM($A285),'Timesheet Raw'!$C$4:$C$8000,"*"&amp;$B285&amp;"*",'Timesheet Raw'!$L$4:$L$8000,"&gt;="&amp;U$5,'Timesheet Raw'!$L$4:$L$8000,"&lt;="&amp;U$6)))/'Profit Plan'!$B$5)</f>
        <v>0</v>
      </c>
      <c r="V285" s="122">
        <f>IF($A285="","",(IF(ISNUMBER(SEARCH("Proposal",$A285)),SUMIFS('Timesheet Raw'!$P$4:$P$8000,'Timesheet Raw'!$A$4:$A$8000,IF(ISNUMBER(SEARCH("Chargable",$A285)),"2-Proposals Chargeable","3-Proposals Regular"),'Timesheet Raw'!$C$4:$C$8000,"*"&amp;$B285&amp;"*",'Timesheet Raw'!$L$4:$L$8000,"&gt;="&amp;MAX(V$5,DATE(2000+VALUE(RIGHT(TRIM($A285),2)),1,1)),'Timesheet Raw'!$L$4:$L$8000,"&lt;="&amp;MIN(V$6,DATE(2000+VALUE(RIGHT(TRIM($A285),2)),12,31))),SUMIFS('Timesheet Raw'!$P$4:$P$8000,'Timesheet Raw'!$B$4:$B$8000,TRIM($A285),'Timesheet Raw'!$C$4:$C$8000,"*"&amp;$B285&amp;"*",'Timesheet Raw'!$L$4:$L$8000,"&gt;="&amp;V$5,'Timesheet Raw'!$L$4:$L$8000,"&lt;="&amp;V$6)))/'Profit Plan'!$B$5)</f>
        <v>0</v>
      </c>
      <c r="W285" s="122">
        <f>IF($A285="","",(IF(ISNUMBER(SEARCH("Proposal",$A285)),SUMIFS('Timesheet Raw'!$P$4:$P$8000,'Timesheet Raw'!$A$4:$A$8000,IF(ISNUMBER(SEARCH("Chargable",$A285)),"2-Proposals Chargeable","3-Proposals Regular"),'Timesheet Raw'!$C$4:$C$8000,"*"&amp;$B285&amp;"*",'Timesheet Raw'!$L$4:$L$8000,"&gt;="&amp;MAX(W$5,DATE(2000+VALUE(RIGHT(TRIM($A285),2)),1,1)),'Timesheet Raw'!$L$4:$L$8000,"&lt;="&amp;MIN(W$6,DATE(2000+VALUE(RIGHT(TRIM($A285),2)),12,31))),SUMIFS('Timesheet Raw'!$P$4:$P$8000,'Timesheet Raw'!$B$4:$B$8000,TRIM($A285),'Timesheet Raw'!$C$4:$C$8000,"*"&amp;$B285&amp;"*",'Timesheet Raw'!$L$4:$L$8000,"&gt;="&amp;W$5,'Timesheet Raw'!$L$4:$L$8000,"&lt;="&amp;W$6)))/'Profit Plan'!$B$5)</f>
        <v>0</v>
      </c>
      <c r="X285" s="122">
        <f>IF($A285="","",(IF(ISNUMBER(SEARCH("Proposal",$A285)),SUMIFS('Timesheet Raw'!$P$4:$P$8000,'Timesheet Raw'!$A$4:$A$8000,IF(ISNUMBER(SEARCH("Chargable",$A285)),"2-Proposals Chargeable","3-Proposals Regular"),'Timesheet Raw'!$C$4:$C$8000,"*"&amp;$B285&amp;"*",'Timesheet Raw'!$L$4:$L$8000,"&gt;="&amp;MAX(X$5,DATE(2000+VALUE(RIGHT(TRIM($A285),2)),1,1)),'Timesheet Raw'!$L$4:$L$8000,"&lt;="&amp;MIN(X$6,DATE(2000+VALUE(RIGHT(TRIM($A285),2)),12,31))),SUMIFS('Timesheet Raw'!$P$4:$P$8000,'Timesheet Raw'!$B$4:$B$8000,TRIM($A285),'Timesheet Raw'!$C$4:$C$8000,"*"&amp;$B285&amp;"*",'Timesheet Raw'!$L$4:$L$8000,"&gt;="&amp;X$5,'Timesheet Raw'!$L$4:$L$8000,"&lt;="&amp;X$6)))/'Profit Plan'!$B$5)</f>
        <v>0</v>
      </c>
      <c r="Y285" s="118">
        <f t="shared" si="100"/>
        <v>0</v>
      </c>
    </row>
    <row r="286" spans="1:25" x14ac:dyDescent="0.3">
      <c r="A286" s="116" t="str">
        <f>IF(Inputs!$A13="","",Inputs!$A13)</f>
        <v>AN23276-0100D</v>
      </c>
      <c r="B286" s="116" t="str">
        <f>IF(Inputs!$A13="","",Inputs!$A$91)</f>
        <v>Ahmed</v>
      </c>
      <c r="C286" s="116"/>
      <c r="D286" s="122">
        <f>IF($A286="","",(IF(ISNUMBER(SEARCH("Proposal",$A286)),SUMIFS('Timesheet Raw'!$P$4:$P$8000,'Timesheet Raw'!$A$4:$A$8000,IF(ISNUMBER(SEARCH("Chargable",$A286)),"2-Proposals Chargeable","3-Proposals Regular"),'Timesheet Raw'!$C$4:$C$8000,"*"&amp;$B286&amp;"*",'Timesheet Raw'!$L$4:$L$8000,"&gt;="&amp;MAX(D$5,DATE(2000+VALUE(RIGHT(TRIM($A286),2)),1,1)),'Timesheet Raw'!$L$4:$L$8000,"&lt;="&amp;MIN(D$6,DATE(2000+VALUE(RIGHT(TRIM($A286),2)),12,31))),SUMIFS('Timesheet Raw'!$P$4:$P$8000,'Timesheet Raw'!$B$4:$B$8000,TRIM($A286),'Timesheet Raw'!$C$4:$C$8000,"*"&amp;$B286&amp;"*",'Timesheet Raw'!$L$4:$L$8000,"&gt;="&amp;D$5,'Timesheet Raw'!$L$4:$L$8000,"&lt;="&amp;D$6)))/'Profit Plan'!$B$5)</f>
        <v>0</v>
      </c>
      <c r="E286" s="122">
        <f>IF($A286="","",(IF(ISNUMBER(SEARCH("Proposal",$A286)),SUMIFS('Timesheet Raw'!$P$4:$P$8000,'Timesheet Raw'!$A$4:$A$8000,IF(ISNUMBER(SEARCH("Chargable",$A286)),"2-Proposals Chargeable","3-Proposals Regular"),'Timesheet Raw'!$C$4:$C$8000,"*"&amp;$B286&amp;"*",'Timesheet Raw'!$L$4:$L$8000,"&gt;="&amp;MAX(E$5,DATE(2000+VALUE(RIGHT(TRIM($A286),2)),1,1)),'Timesheet Raw'!$L$4:$L$8000,"&lt;="&amp;MIN(E$6,DATE(2000+VALUE(RIGHT(TRIM($A286),2)),12,31))),SUMIFS('Timesheet Raw'!$P$4:$P$8000,'Timesheet Raw'!$B$4:$B$8000,TRIM($A286),'Timesheet Raw'!$C$4:$C$8000,"*"&amp;$B286&amp;"*",'Timesheet Raw'!$L$4:$L$8000,"&gt;="&amp;E$5,'Timesheet Raw'!$L$4:$L$8000,"&lt;="&amp;E$6)))/'Profit Plan'!$B$5)</f>
        <v>0</v>
      </c>
      <c r="F286" s="122">
        <f>IF($A286="","",(IF(ISNUMBER(SEARCH("Proposal",$A286)),SUMIFS('Timesheet Raw'!$P$4:$P$8000,'Timesheet Raw'!$A$4:$A$8000,IF(ISNUMBER(SEARCH("Chargable",$A286)),"2-Proposals Chargeable","3-Proposals Regular"),'Timesheet Raw'!$C$4:$C$8000,"*"&amp;$B286&amp;"*",'Timesheet Raw'!$L$4:$L$8000,"&gt;="&amp;MAX(F$5,DATE(2000+VALUE(RIGHT(TRIM($A286),2)),1,1)),'Timesheet Raw'!$L$4:$L$8000,"&lt;="&amp;MIN(F$6,DATE(2000+VALUE(RIGHT(TRIM($A286),2)),12,31))),SUMIFS('Timesheet Raw'!$P$4:$P$8000,'Timesheet Raw'!$B$4:$B$8000,TRIM($A286),'Timesheet Raw'!$C$4:$C$8000,"*"&amp;$B286&amp;"*",'Timesheet Raw'!$L$4:$L$8000,"&gt;="&amp;F$5,'Timesheet Raw'!$L$4:$L$8000,"&lt;="&amp;F$6)))/'Profit Plan'!$B$5)</f>
        <v>3.783783783783784E-2</v>
      </c>
      <c r="G286" s="122">
        <f>IF($A286="","",(IF(ISNUMBER(SEARCH("Proposal",$A286)),SUMIFS('Timesheet Raw'!$P$4:$P$8000,'Timesheet Raw'!$A$4:$A$8000,IF(ISNUMBER(SEARCH("Chargable",$A286)),"2-Proposals Chargeable","3-Proposals Regular"),'Timesheet Raw'!$C$4:$C$8000,"*"&amp;$B286&amp;"*",'Timesheet Raw'!$L$4:$L$8000,"&gt;="&amp;MAX(G$5,DATE(2000+VALUE(RIGHT(TRIM($A286),2)),1,1)),'Timesheet Raw'!$L$4:$L$8000,"&lt;="&amp;MIN(G$6,DATE(2000+VALUE(RIGHT(TRIM($A286),2)),12,31))),SUMIFS('Timesheet Raw'!$P$4:$P$8000,'Timesheet Raw'!$B$4:$B$8000,TRIM($A286),'Timesheet Raw'!$C$4:$C$8000,"*"&amp;$B286&amp;"*",'Timesheet Raw'!$L$4:$L$8000,"&gt;="&amp;G$5,'Timesheet Raw'!$L$4:$L$8000,"&lt;="&amp;G$6)))/'Profit Plan'!$B$5)</f>
        <v>0.20270270270270271</v>
      </c>
      <c r="H286" s="122">
        <f>IF($A286="","",(IF(ISNUMBER(SEARCH("Proposal",$A286)),SUMIFS('Timesheet Raw'!$P$4:$P$8000,'Timesheet Raw'!$A$4:$A$8000,IF(ISNUMBER(SEARCH("Chargable",$A286)),"2-Proposals Chargeable","3-Proposals Regular"),'Timesheet Raw'!$C$4:$C$8000,"*"&amp;$B286&amp;"*",'Timesheet Raw'!$L$4:$L$8000,"&gt;="&amp;MAX(H$5,DATE(2000+VALUE(RIGHT(TRIM($A286),2)),1,1)),'Timesheet Raw'!$L$4:$L$8000,"&lt;="&amp;MIN(H$6,DATE(2000+VALUE(RIGHT(TRIM($A286),2)),12,31))),SUMIFS('Timesheet Raw'!$P$4:$P$8000,'Timesheet Raw'!$B$4:$B$8000,TRIM($A286),'Timesheet Raw'!$C$4:$C$8000,"*"&amp;$B286&amp;"*",'Timesheet Raw'!$L$4:$L$8000,"&gt;="&amp;H$5,'Timesheet Raw'!$L$4:$L$8000,"&lt;="&amp;H$6)))/'Profit Plan'!$B$5)</f>
        <v>0</v>
      </c>
      <c r="I286" s="122">
        <f>IF($A286="","",(IF(ISNUMBER(SEARCH("Proposal",$A286)),SUMIFS('Timesheet Raw'!$P$4:$P$8000,'Timesheet Raw'!$A$4:$A$8000,IF(ISNUMBER(SEARCH("Chargable",$A286)),"2-Proposals Chargeable","3-Proposals Regular"),'Timesheet Raw'!$C$4:$C$8000,"*"&amp;$B286&amp;"*",'Timesheet Raw'!$L$4:$L$8000,"&gt;="&amp;MAX(I$5,DATE(2000+VALUE(RIGHT(TRIM($A286),2)),1,1)),'Timesheet Raw'!$L$4:$L$8000,"&lt;="&amp;MIN(I$6,DATE(2000+VALUE(RIGHT(TRIM($A286),2)),12,31))),SUMIFS('Timesheet Raw'!$P$4:$P$8000,'Timesheet Raw'!$B$4:$B$8000,TRIM($A286),'Timesheet Raw'!$C$4:$C$8000,"*"&amp;$B286&amp;"*",'Timesheet Raw'!$L$4:$L$8000,"&gt;="&amp;I$5,'Timesheet Raw'!$L$4:$L$8000,"&lt;="&amp;I$6)))/'Profit Plan'!$B$5)</f>
        <v>0</v>
      </c>
      <c r="J286" s="122">
        <f>IF($A286="","",(IF(ISNUMBER(SEARCH("Proposal",$A286)),SUMIFS('Timesheet Raw'!$P$4:$P$8000,'Timesheet Raw'!$A$4:$A$8000,IF(ISNUMBER(SEARCH("Chargable",$A286)),"2-Proposals Chargeable","3-Proposals Regular"),'Timesheet Raw'!$C$4:$C$8000,"*"&amp;$B286&amp;"*",'Timesheet Raw'!$L$4:$L$8000,"&gt;="&amp;MAX(J$5,DATE(2000+VALUE(RIGHT(TRIM($A286),2)),1,1)),'Timesheet Raw'!$L$4:$L$8000,"&lt;="&amp;MIN(J$6,DATE(2000+VALUE(RIGHT(TRIM($A286),2)),12,31))),SUMIFS('Timesheet Raw'!$P$4:$P$8000,'Timesheet Raw'!$B$4:$B$8000,TRIM($A286),'Timesheet Raw'!$C$4:$C$8000,"*"&amp;$B286&amp;"*",'Timesheet Raw'!$L$4:$L$8000,"&gt;="&amp;J$5,'Timesheet Raw'!$L$4:$L$8000,"&lt;="&amp;J$6)))/'Profit Plan'!$B$5)</f>
        <v>1.0810810810810811E-2</v>
      </c>
      <c r="K286" s="122">
        <f>IF($A286="","",(IF(ISNUMBER(SEARCH("Proposal",$A286)),SUMIFS('Timesheet Raw'!$P$4:$P$8000,'Timesheet Raw'!$A$4:$A$8000,IF(ISNUMBER(SEARCH("Chargable",$A286)),"2-Proposals Chargeable","3-Proposals Regular"),'Timesheet Raw'!$C$4:$C$8000,"*"&amp;$B286&amp;"*",'Timesheet Raw'!$L$4:$L$8000,"&gt;="&amp;MAX(K$5,DATE(2000+VALUE(RIGHT(TRIM($A286),2)),1,1)),'Timesheet Raw'!$L$4:$L$8000,"&lt;="&amp;MIN(K$6,DATE(2000+VALUE(RIGHT(TRIM($A286),2)),12,31))),SUMIFS('Timesheet Raw'!$P$4:$P$8000,'Timesheet Raw'!$B$4:$B$8000,TRIM($A286),'Timesheet Raw'!$C$4:$C$8000,"*"&amp;$B286&amp;"*",'Timesheet Raw'!$L$4:$L$8000,"&gt;="&amp;K$5,'Timesheet Raw'!$L$4:$L$8000,"&lt;="&amp;K$6)))/'Profit Plan'!$B$5)</f>
        <v>0</v>
      </c>
      <c r="L286" s="122">
        <f>IF($A286="","",(IF(ISNUMBER(SEARCH("Proposal",$A286)),SUMIFS('Timesheet Raw'!$P$4:$P$8000,'Timesheet Raw'!$A$4:$A$8000,IF(ISNUMBER(SEARCH("Chargable",$A286)),"2-Proposals Chargeable","3-Proposals Regular"),'Timesheet Raw'!$C$4:$C$8000,"*"&amp;$B286&amp;"*",'Timesheet Raw'!$L$4:$L$8000,"&gt;="&amp;MAX(L$5,DATE(2000+VALUE(RIGHT(TRIM($A286),2)),1,1)),'Timesheet Raw'!$L$4:$L$8000,"&lt;="&amp;MIN(L$6,DATE(2000+VALUE(RIGHT(TRIM($A286),2)),12,31))),SUMIFS('Timesheet Raw'!$P$4:$P$8000,'Timesheet Raw'!$B$4:$B$8000,TRIM($A286),'Timesheet Raw'!$C$4:$C$8000,"*"&amp;$B286&amp;"*",'Timesheet Raw'!$L$4:$L$8000,"&gt;="&amp;L$5,'Timesheet Raw'!$L$4:$L$8000,"&lt;="&amp;L$6)))/'Profit Plan'!$B$5)</f>
        <v>0</v>
      </c>
      <c r="M286" s="122">
        <f>IF($A286="","",(IF(ISNUMBER(SEARCH("Proposal",$A286)),SUMIFS('Timesheet Raw'!$P$4:$P$8000,'Timesheet Raw'!$A$4:$A$8000,IF(ISNUMBER(SEARCH("Chargable",$A286)),"2-Proposals Chargeable","3-Proposals Regular"),'Timesheet Raw'!$C$4:$C$8000,"*"&amp;$B286&amp;"*",'Timesheet Raw'!$L$4:$L$8000,"&gt;="&amp;MAX(M$5,DATE(2000+VALUE(RIGHT(TRIM($A286),2)),1,1)),'Timesheet Raw'!$L$4:$L$8000,"&lt;="&amp;MIN(M$6,DATE(2000+VALUE(RIGHT(TRIM($A286),2)),12,31))),SUMIFS('Timesheet Raw'!$P$4:$P$8000,'Timesheet Raw'!$B$4:$B$8000,TRIM($A286),'Timesheet Raw'!$C$4:$C$8000,"*"&amp;$B286&amp;"*",'Timesheet Raw'!$L$4:$L$8000,"&gt;="&amp;M$5,'Timesheet Raw'!$L$4:$L$8000,"&lt;="&amp;M$6)))/'Profit Plan'!$B$5)</f>
        <v>0</v>
      </c>
      <c r="N286" s="122">
        <f>IF($A286="","",(IF(ISNUMBER(SEARCH("Proposal",$A286)),SUMIFS('Timesheet Raw'!$P$4:$P$8000,'Timesheet Raw'!$A$4:$A$8000,IF(ISNUMBER(SEARCH("Chargable",$A286)),"2-Proposals Chargeable","3-Proposals Regular"),'Timesheet Raw'!$C$4:$C$8000,"*"&amp;$B286&amp;"*",'Timesheet Raw'!$L$4:$L$8000,"&gt;="&amp;MAX(N$5,DATE(2000+VALUE(RIGHT(TRIM($A286),2)),1,1)),'Timesheet Raw'!$L$4:$L$8000,"&lt;="&amp;MIN(N$6,DATE(2000+VALUE(RIGHT(TRIM($A286),2)),12,31))),SUMIFS('Timesheet Raw'!$P$4:$P$8000,'Timesheet Raw'!$B$4:$B$8000,TRIM($A286),'Timesheet Raw'!$C$4:$C$8000,"*"&amp;$B286&amp;"*",'Timesheet Raw'!$L$4:$L$8000,"&gt;="&amp;N$5,'Timesheet Raw'!$L$4:$L$8000,"&lt;="&amp;N$6)))/'Profit Plan'!$B$5)</f>
        <v>0</v>
      </c>
      <c r="O286" s="122">
        <f>IF($A286="","",(IF(ISNUMBER(SEARCH("Proposal",$A286)),SUMIFS('Timesheet Raw'!$P$4:$P$8000,'Timesheet Raw'!$A$4:$A$8000,IF(ISNUMBER(SEARCH("Chargable",$A286)),"2-Proposals Chargeable","3-Proposals Regular"),'Timesheet Raw'!$C$4:$C$8000,"*"&amp;$B286&amp;"*",'Timesheet Raw'!$L$4:$L$8000,"&gt;="&amp;MAX(O$5,DATE(2000+VALUE(RIGHT(TRIM($A286),2)),1,1)),'Timesheet Raw'!$L$4:$L$8000,"&lt;="&amp;MIN(O$6,DATE(2000+VALUE(RIGHT(TRIM($A286),2)),12,31))),SUMIFS('Timesheet Raw'!$P$4:$P$8000,'Timesheet Raw'!$B$4:$B$8000,TRIM($A286),'Timesheet Raw'!$C$4:$C$8000,"*"&amp;$B286&amp;"*",'Timesheet Raw'!$L$4:$L$8000,"&gt;="&amp;O$5,'Timesheet Raw'!$L$4:$L$8000,"&lt;="&amp;O$6)))/'Profit Plan'!$B$5)</f>
        <v>0</v>
      </c>
      <c r="P286" s="122">
        <f>IF($A286="","",(IF(ISNUMBER(SEARCH("Proposal",$A286)),SUMIFS('Timesheet Raw'!$P$4:$P$8000,'Timesheet Raw'!$A$4:$A$8000,IF(ISNUMBER(SEARCH("Chargable",$A286)),"2-Proposals Chargeable","3-Proposals Regular"),'Timesheet Raw'!$C$4:$C$8000,"*"&amp;$B286&amp;"*",'Timesheet Raw'!$L$4:$L$8000,"&gt;="&amp;MAX(P$5,DATE(2000+VALUE(RIGHT(TRIM($A286),2)),1,1)),'Timesheet Raw'!$L$4:$L$8000,"&lt;="&amp;MIN(P$6,DATE(2000+VALUE(RIGHT(TRIM($A286),2)),12,31))),SUMIFS('Timesheet Raw'!$P$4:$P$8000,'Timesheet Raw'!$B$4:$B$8000,TRIM($A286),'Timesheet Raw'!$C$4:$C$8000,"*"&amp;$B286&amp;"*",'Timesheet Raw'!$L$4:$L$8000,"&gt;="&amp;P$5,'Timesheet Raw'!$L$4:$L$8000,"&lt;="&amp;P$6)))/'Profit Plan'!$B$5)</f>
        <v>0</v>
      </c>
      <c r="Q286" s="122">
        <f>IF($A286="","",(IF(ISNUMBER(SEARCH("Proposal",$A286)),SUMIFS('Timesheet Raw'!$P$4:$P$8000,'Timesheet Raw'!$A$4:$A$8000,IF(ISNUMBER(SEARCH("Chargable",$A286)),"2-Proposals Chargeable","3-Proposals Regular"),'Timesheet Raw'!$C$4:$C$8000,"*"&amp;$B286&amp;"*",'Timesheet Raw'!$L$4:$L$8000,"&gt;="&amp;MAX(Q$5,DATE(2000+VALUE(RIGHT(TRIM($A286),2)),1,1)),'Timesheet Raw'!$L$4:$L$8000,"&lt;="&amp;MIN(Q$6,DATE(2000+VALUE(RIGHT(TRIM($A286),2)),12,31))),SUMIFS('Timesheet Raw'!$P$4:$P$8000,'Timesheet Raw'!$B$4:$B$8000,TRIM($A286),'Timesheet Raw'!$C$4:$C$8000,"*"&amp;$B286&amp;"*",'Timesheet Raw'!$L$4:$L$8000,"&gt;="&amp;Q$5,'Timesheet Raw'!$L$4:$L$8000,"&lt;="&amp;Q$6)))/'Profit Plan'!$B$5)</f>
        <v>0</v>
      </c>
      <c r="R286" s="122">
        <f>IF($A286="","",(IF(ISNUMBER(SEARCH("Proposal",$A286)),SUMIFS('Timesheet Raw'!$P$4:$P$8000,'Timesheet Raw'!$A$4:$A$8000,IF(ISNUMBER(SEARCH("Chargable",$A286)),"2-Proposals Chargeable","3-Proposals Regular"),'Timesheet Raw'!$C$4:$C$8000,"*"&amp;$B286&amp;"*",'Timesheet Raw'!$L$4:$L$8000,"&gt;="&amp;MAX(R$5,DATE(2000+VALUE(RIGHT(TRIM($A286),2)),1,1)),'Timesheet Raw'!$L$4:$L$8000,"&lt;="&amp;MIN(R$6,DATE(2000+VALUE(RIGHT(TRIM($A286),2)),12,31))),SUMIFS('Timesheet Raw'!$P$4:$P$8000,'Timesheet Raw'!$B$4:$B$8000,TRIM($A286),'Timesheet Raw'!$C$4:$C$8000,"*"&amp;$B286&amp;"*",'Timesheet Raw'!$L$4:$L$8000,"&gt;="&amp;R$5,'Timesheet Raw'!$L$4:$L$8000,"&lt;="&amp;R$6)))/'Profit Plan'!$B$5)</f>
        <v>0</v>
      </c>
      <c r="S286" s="122">
        <f>IF($A286="","",(IF(ISNUMBER(SEARCH("Proposal",$A286)),SUMIFS('Timesheet Raw'!$P$4:$P$8000,'Timesheet Raw'!$A$4:$A$8000,IF(ISNUMBER(SEARCH("Chargable",$A286)),"2-Proposals Chargeable","3-Proposals Regular"),'Timesheet Raw'!$C$4:$C$8000,"*"&amp;$B286&amp;"*",'Timesheet Raw'!$L$4:$L$8000,"&gt;="&amp;MAX(S$5,DATE(2000+VALUE(RIGHT(TRIM($A286),2)),1,1)),'Timesheet Raw'!$L$4:$L$8000,"&lt;="&amp;MIN(S$6,DATE(2000+VALUE(RIGHT(TRIM($A286),2)),12,31))),SUMIFS('Timesheet Raw'!$P$4:$P$8000,'Timesheet Raw'!$B$4:$B$8000,TRIM($A286),'Timesheet Raw'!$C$4:$C$8000,"*"&amp;$B286&amp;"*",'Timesheet Raw'!$L$4:$L$8000,"&gt;="&amp;S$5,'Timesheet Raw'!$L$4:$L$8000,"&lt;="&amp;S$6)))/'Profit Plan'!$B$5)</f>
        <v>0</v>
      </c>
      <c r="T286" s="122">
        <f>IF($A286="","",(IF(ISNUMBER(SEARCH("Proposal",$A286)),SUMIFS('Timesheet Raw'!$P$4:$P$8000,'Timesheet Raw'!$A$4:$A$8000,IF(ISNUMBER(SEARCH("Chargable",$A286)),"2-Proposals Chargeable","3-Proposals Regular"),'Timesheet Raw'!$C$4:$C$8000,"*"&amp;$B286&amp;"*",'Timesheet Raw'!$L$4:$L$8000,"&gt;="&amp;MAX(T$5,DATE(2000+VALUE(RIGHT(TRIM($A286),2)),1,1)),'Timesheet Raw'!$L$4:$L$8000,"&lt;="&amp;MIN(T$6,DATE(2000+VALUE(RIGHT(TRIM($A286),2)),12,31))),SUMIFS('Timesheet Raw'!$P$4:$P$8000,'Timesheet Raw'!$B$4:$B$8000,TRIM($A286),'Timesheet Raw'!$C$4:$C$8000,"*"&amp;$B286&amp;"*",'Timesheet Raw'!$L$4:$L$8000,"&gt;="&amp;T$5,'Timesheet Raw'!$L$4:$L$8000,"&lt;="&amp;T$6)))/'Profit Plan'!$B$5)</f>
        <v>0</v>
      </c>
      <c r="U286" s="122">
        <f>IF($A286="","",(IF(ISNUMBER(SEARCH("Proposal",$A286)),SUMIFS('Timesheet Raw'!$P$4:$P$8000,'Timesheet Raw'!$A$4:$A$8000,IF(ISNUMBER(SEARCH("Chargable",$A286)),"2-Proposals Chargeable","3-Proposals Regular"),'Timesheet Raw'!$C$4:$C$8000,"*"&amp;$B286&amp;"*",'Timesheet Raw'!$L$4:$L$8000,"&gt;="&amp;MAX(U$5,DATE(2000+VALUE(RIGHT(TRIM($A286),2)),1,1)),'Timesheet Raw'!$L$4:$L$8000,"&lt;="&amp;MIN(U$6,DATE(2000+VALUE(RIGHT(TRIM($A286),2)),12,31))),SUMIFS('Timesheet Raw'!$P$4:$P$8000,'Timesheet Raw'!$B$4:$B$8000,TRIM($A286),'Timesheet Raw'!$C$4:$C$8000,"*"&amp;$B286&amp;"*",'Timesheet Raw'!$L$4:$L$8000,"&gt;="&amp;U$5,'Timesheet Raw'!$L$4:$L$8000,"&lt;="&amp;U$6)))/'Profit Plan'!$B$5)</f>
        <v>0</v>
      </c>
      <c r="V286" s="122">
        <f>IF($A286="","",(IF(ISNUMBER(SEARCH("Proposal",$A286)),SUMIFS('Timesheet Raw'!$P$4:$P$8000,'Timesheet Raw'!$A$4:$A$8000,IF(ISNUMBER(SEARCH("Chargable",$A286)),"2-Proposals Chargeable","3-Proposals Regular"),'Timesheet Raw'!$C$4:$C$8000,"*"&amp;$B286&amp;"*",'Timesheet Raw'!$L$4:$L$8000,"&gt;="&amp;MAX(V$5,DATE(2000+VALUE(RIGHT(TRIM($A286),2)),1,1)),'Timesheet Raw'!$L$4:$L$8000,"&lt;="&amp;MIN(V$6,DATE(2000+VALUE(RIGHT(TRIM($A286),2)),12,31))),SUMIFS('Timesheet Raw'!$P$4:$P$8000,'Timesheet Raw'!$B$4:$B$8000,TRIM($A286),'Timesheet Raw'!$C$4:$C$8000,"*"&amp;$B286&amp;"*",'Timesheet Raw'!$L$4:$L$8000,"&gt;="&amp;V$5,'Timesheet Raw'!$L$4:$L$8000,"&lt;="&amp;V$6)))/'Profit Plan'!$B$5)</f>
        <v>0</v>
      </c>
      <c r="W286" s="122">
        <f>IF($A286="","",(IF(ISNUMBER(SEARCH("Proposal",$A286)),SUMIFS('Timesheet Raw'!$P$4:$P$8000,'Timesheet Raw'!$A$4:$A$8000,IF(ISNUMBER(SEARCH("Chargable",$A286)),"2-Proposals Chargeable","3-Proposals Regular"),'Timesheet Raw'!$C$4:$C$8000,"*"&amp;$B286&amp;"*",'Timesheet Raw'!$L$4:$L$8000,"&gt;="&amp;MAX(W$5,DATE(2000+VALUE(RIGHT(TRIM($A286),2)),1,1)),'Timesheet Raw'!$L$4:$L$8000,"&lt;="&amp;MIN(W$6,DATE(2000+VALUE(RIGHT(TRIM($A286),2)),12,31))),SUMIFS('Timesheet Raw'!$P$4:$P$8000,'Timesheet Raw'!$B$4:$B$8000,TRIM($A286),'Timesheet Raw'!$C$4:$C$8000,"*"&amp;$B286&amp;"*",'Timesheet Raw'!$L$4:$L$8000,"&gt;="&amp;W$5,'Timesheet Raw'!$L$4:$L$8000,"&lt;="&amp;W$6)))/'Profit Plan'!$B$5)</f>
        <v>0</v>
      </c>
      <c r="X286" s="122">
        <f>IF($A286="","",(IF(ISNUMBER(SEARCH("Proposal",$A286)),SUMIFS('Timesheet Raw'!$P$4:$P$8000,'Timesheet Raw'!$A$4:$A$8000,IF(ISNUMBER(SEARCH("Chargable",$A286)),"2-Proposals Chargeable","3-Proposals Regular"),'Timesheet Raw'!$C$4:$C$8000,"*"&amp;$B286&amp;"*",'Timesheet Raw'!$L$4:$L$8000,"&gt;="&amp;MAX(X$5,DATE(2000+VALUE(RIGHT(TRIM($A286),2)),1,1)),'Timesheet Raw'!$L$4:$L$8000,"&lt;="&amp;MIN(X$6,DATE(2000+VALUE(RIGHT(TRIM($A286),2)),12,31))),SUMIFS('Timesheet Raw'!$P$4:$P$8000,'Timesheet Raw'!$B$4:$B$8000,TRIM($A286),'Timesheet Raw'!$C$4:$C$8000,"*"&amp;$B286&amp;"*",'Timesheet Raw'!$L$4:$L$8000,"&gt;="&amp;X$5,'Timesheet Raw'!$L$4:$L$8000,"&lt;="&amp;X$6)))/'Profit Plan'!$B$5)</f>
        <v>0</v>
      </c>
      <c r="Y286" s="118">
        <f t="shared" si="100"/>
        <v>0.25135135135135134</v>
      </c>
    </row>
    <row r="287" spans="1:25" x14ac:dyDescent="0.3">
      <c r="A287" s="116" t="str">
        <f>IF(Inputs!$A13="","",Inputs!$A13)</f>
        <v>AN23276-0100D</v>
      </c>
      <c r="B287" s="116" t="str">
        <f>IF(Inputs!$A13="","",Inputs!$A$92)</f>
        <v>Osama</v>
      </c>
      <c r="C287" s="116"/>
      <c r="D287" s="122">
        <f>IF($A287="","",(IF(ISNUMBER(SEARCH("Proposal",$A287)),SUMIFS('Timesheet Raw'!$P$4:$P$8000,'Timesheet Raw'!$A$4:$A$8000,IF(ISNUMBER(SEARCH("Chargable",$A287)),"2-Proposals Chargeable","3-Proposals Regular"),'Timesheet Raw'!$C$4:$C$8000,"*"&amp;$B287&amp;"*",'Timesheet Raw'!$L$4:$L$8000,"&gt;="&amp;MAX(D$5,DATE(2000+VALUE(RIGHT(TRIM($A287),2)),1,1)),'Timesheet Raw'!$L$4:$L$8000,"&lt;="&amp;MIN(D$6,DATE(2000+VALUE(RIGHT(TRIM($A287),2)),12,31))),SUMIFS('Timesheet Raw'!$P$4:$P$8000,'Timesheet Raw'!$B$4:$B$8000,TRIM($A287),'Timesheet Raw'!$C$4:$C$8000,"*"&amp;$B287&amp;"*",'Timesheet Raw'!$L$4:$L$8000,"&gt;="&amp;D$5,'Timesheet Raw'!$L$4:$L$8000,"&lt;="&amp;D$6)))/'Profit Plan'!$B$5)</f>
        <v>0</v>
      </c>
      <c r="E287" s="122">
        <f>IF($A287="","",(IF(ISNUMBER(SEARCH("Proposal",$A287)),SUMIFS('Timesheet Raw'!$P$4:$P$8000,'Timesheet Raw'!$A$4:$A$8000,IF(ISNUMBER(SEARCH("Chargable",$A287)),"2-Proposals Chargeable","3-Proposals Regular"),'Timesheet Raw'!$C$4:$C$8000,"*"&amp;$B287&amp;"*",'Timesheet Raw'!$L$4:$L$8000,"&gt;="&amp;MAX(E$5,DATE(2000+VALUE(RIGHT(TRIM($A287),2)),1,1)),'Timesheet Raw'!$L$4:$L$8000,"&lt;="&amp;MIN(E$6,DATE(2000+VALUE(RIGHT(TRIM($A287),2)),12,31))),SUMIFS('Timesheet Raw'!$P$4:$P$8000,'Timesheet Raw'!$B$4:$B$8000,TRIM($A287),'Timesheet Raw'!$C$4:$C$8000,"*"&amp;$B287&amp;"*",'Timesheet Raw'!$L$4:$L$8000,"&gt;="&amp;E$5,'Timesheet Raw'!$L$4:$L$8000,"&lt;="&amp;E$6)))/'Profit Plan'!$B$5)</f>
        <v>0</v>
      </c>
      <c r="F287" s="122">
        <f>IF($A287="","",(IF(ISNUMBER(SEARCH("Proposal",$A287)),SUMIFS('Timesheet Raw'!$P$4:$P$8000,'Timesheet Raw'!$A$4:$A$8000,IF(ISNUMBER(SEARCH("Chargable",$A287)),"2-Proposals Chargeable","3-Proposals Regular"),'Timesheet Raw'!$C$4:$C$8000,"*"&amp;$B287&amp;"*",'Timesheet Raw'!$L$4:$L$8000,"&gt;="&amp;MAX(F$5,DATE(2000+VALUE(RIGHT(TRIM($A287),2)),1,1)),'Timesheet Raw'!$L$4:$L$8000,"&lt;="&amp;MIN(F$6,DATE(2000+VALUE(RIGHT(TRIM($A287),2)),12,31))),SUMIFS('Timesheet Raw'!$P$4:$P$8000,'Timesheet Raw'!$B$4:$B$8000,TRIM($A287),'Timesheet Raw'!$C$4:$C$8000,"*"&amp;$B287&amp;"*",'Timesheet Raw'!$L$4:$L$8000,"&gt;="&amp;F$5,'Timesheet Raw'!$L$4:$L$8000,"&lt;="&amp;F$6)))/'Profit Plan'!$B$5)</f>
        <v>0</v>
      </c>
      <c r="G287" s="122">
        <f>IF($A287="","",(IF(ISNUMBER(SEARCH("Proposal",$A287)),SUMIFS('Timesheet Raw'!$P$4:$P$8000,'Timesheet Raw'!$A$4:$A$8000,IF(ISNUMBER(SEARCH("Chargable",$A287)),"2-Proposals Chargeable","3-Proposals Regular"),'Timesheet Raw'!$C$4:$C$8000,"*"&amp;$B287&amp;"*",'Timesheet Raw'!$L$4:$L$8000,"&gt;="&amp;MAX(G$5,DATE(2000+VALUE(RIGHT(TRIM($A287),2)),1,1)),'Timesheet Raw'!$L$4:$L$8000,"&lt;="&amp;MIN(G$6,DATE(2000+VALUE(RIGHT(TRIM($A287),2)),12,31))),SUMIFS('Timesheet Raw'!$P$4:$P$8000,'Timesheet Raw'!$B$4:$B$8000,TRIM($A287),'Timesheet Raw'!$C$4:$C$8000,"*"&amp;$B287&amp;"*",'Timesheet Raw'!$L$4:$L$8000,"&gt;="&amp;G$5,'Timesheet Raw'!$L$4:$L$8000,"&lt;="&amp;G$6)))/'Profit Plan'!$B$5)</f>
        <v>0.54324324324324325</v>
      </c>
      <c r="H287" s="122">
        <f>IF($A287="","",(IF(ISNUMBER(SEARCH("Proposal",$A287)),SUMIFS('Timesheet Raw'!$P$4:$P$8000,'Timesheet Raw'!$A$4:$A$8000,IF(ISNUMBER(SEARCH("Chargable",$A287)),"2-Proposals Chargeable","3-Proposals Regular"),'Timesheet Raw'!$C$4:$C$8000,"*"&amp;$B287&amp;"*",'Timesheet Raw'!$L$4:$L$8000,"&gt;="&amp;MAX(H$5,DATE(2000+VALUE(RIGHT(TRIM($A287),2)),1,1)),'Timesheet Raw'!$L$4:$L$8000,"&lt;="&amp;MIN(H$6,DATE(2000+VALUE(RIGHT(TRIM($A287),2)),12,31))),SUMIFS('Timesheet Raw'!$P$4:$P$8000,'Timesheet Raw'!$B$4:$B$8000,TRIM($A287),'Timesheet Raw'!$C$4:$C$8000,"*"&amp;$B287&amp;"*",'Timesheet Raw'!$L$4:$L$8000,"&gt;="&amp;H$5,'Timesheet Raw'!$L$4:$L$8000,"&lt;="&amp;H$6)))/'Profit Plan'!$B$5)</f>
        <v>0</v>
      </c>
      <c r="I287" s="122">
        <f>IF($A287="","",(IF(ISNUMBER(SEARCH("Proposal",$A287)),SUMIFS('Timesheet Raw'!$P$4:$P$8000,'Timesheet Raw'!$A$4:$A$8000,IF(ISNUMBER(SEARCH("Chargable",$A287)),"2-Proposals Chargeable","3-Proposals Regular"),'Timesheet Raw'!$C$4:$C$8000,"*"&amp;$B287&amp;"*",'Timesheet Raw'!$L$4:$L$8000,"&gt;="&amp;MAX(I$5,DATE(2000+VALUE(RIGHT(TRIM($A287),2)),1,1)),'Timesheet Raw'!$L$4:$L$8000,"&lt;="&amp;MIN(I$6,DATE(2000+VALUE(RIGHT(TRIM($A287),2)),12,31))),SUMIFS('Timesheet Raw'!$P$4:$P$8000,'Timesheet Raw'!$B$4:$B$8000,TRIM($A287),'Timesheet Raw'!$C$4:$C$8000,"*"&amp;$B287&amp;"*",'Timesheet Raw'!$L$4:$L$8000,"&gt;="&amp;I$5,'Timesheet Raw'!$L$4:$L$8000,"&lt;="&amp;I$6)))/'Profit Plan'!$B$5)</f>
        <v>0</v>
      </c>
      <c r="J287" s="122">
        <f>IF($A287="","",(IF(ISNUMBER(SEARCH("Proposal",$A287)),SUMIFS('Timesheet Raw'!$P$4:$P$8000,'Timesheet Raw'!$A$4:$A$8000,IF(ISNUMBER(SEARCH("Chargable",$A287)),"2-Proposals Chargeable","3-Proposals Regular"),'Timesheet Raw'!$C$4:$C$8000,"*"&amp;$B287&amp;"*",'Timesheet Raw'!$L$4:$L$8000,"&gt;="&amp;MAX(J$5,DATE(2000+VALUE(RIGHT(TRIM($A287),2)),1,1)),'Timesheet Raw'!$L$4:$L$8000,"&lt;="&amp;MIN(J$6,DATE(2000+VALUE(RIGHT(TRIM($A287),2)),12,31))),SUMIFS('Timesheet Raw'!$P$4:$P$8000,'Timesheet Raw'!$B$4:$B$8000,TRIM($A287),'Timesheet Raw'!$C$4:$C$8000,"*"&amp;$B287&amp;"*",'Timesheet Raw'!$L$4:$L$8000,"&gt;="&amp;J$5,'Timesheet Raw'!$L$4:$L$8000,"&lt;="&amp;J$6)))/'Profit Plan'!$B$5)</f>
        <v>9.45945945945946E-2</v>
      </c>
      <c r="K287" s="122">
        <f>IF($A287="","",(IF(ISNUMBER(SEARCH("Proposal",$A287)),SUMIFS('Timesheet Raw'!$P$4:$P$8000,'Timesheet Raw'!$A$4:$A$8000,IF(ISNUMBER(SEARCH("Chargable",$A287)),"2-Proposals Chargeable","3-Proposals Regular"),'Timesheet Raw'!$C$4:$C$8000,"*"&amp;$B287&amp;"*",'Timesheet Raw'!$L$4:$L$8000,"&gt;="&amp;MAX(K$5,DATE(2000+VALUE(RIGHT(TRIM($A287),2)),1,1)),'Timesheet Raw'!$L$4:$L$8000,"&lt;="&amp;MIN(K$6,DATE(2000+VALUE(RIGHT(TRIM($A287),2)),12,31))),SUMIFS('Timesheet Raw'!$P$4:$P$8000,'Timesheet Raw'!$B$4:$B$8000,TRIM($A287),'Timesheet Raw'!$C$4:$C$8000,"*"&amp;$B287&amp;"*",'Timesheet Raw'!$L$4:$L$8000,"&gt;="&amp;K$5,'Timesheet Raw'!$L$4:$L$8000,"&lt;="&amp;K$6)))/'Profit Plan'!$B$5)</f>
        <v>0</v>
      </c>
      <c r="L287" s="122">
        <f>IF($A287="","",(IF(ISNUMBER(SEARCH("Proposal",$A287)),SUMIFS('Timesheet Raw'!$P$4:$P$8000,'Timesheet Raw'!$A$4:$A$8000,IF(ISNUMBER(SEARCH("Chargable",$A287)),"2-Proposals Chargeable","3-Proposals Regular"),'Timesheet Raw'!$C$4:$C$8000,"*"&amp;$B287&amp;"*",'Timesheet Raw'!$L$4:$L$8000,"&gt;="&amp;MAX(L$5,DATE(2000+VALUE(RIGHT(TRIM($A287),2)),1,1)),'Timesheet Raw'!$L$4:$L$8000,"&lt;="&amp;MIN(L$6,DATE(2000+VALUE(RIGHT(TRIM($A287),2)),12,31))),SUMIFS('Timesheet Raw'!$P$4:$P$8000,'Timesheet Raw'!$B$4:$B$8000,TRIM($A287),'Timesheet Raw'!$C$4:$C$8000,"*"&amp;$B287&amp;"*",'Timesheet Raw'!$L$4:$L$8000,"&gt;="&amp;L$5,'Timesheet Raw'!$L$4:$L$8000,"&lt;="&amp;L$6)))/'Profit Plan'!$B$5)</f>
        <v>0</v>
      </c>
      <c r="M287" s="122">
        <f>IF($A287="","",(IF(ISNUMBER(SEARCH("Proposal",$A287)),SUMIFS('Timesheet Raw'!$P$4:$P$8000,'Timesheet Raw'!$A$4:$A$8000,IF(ISNUMBER(SEARCH("Chargable",$A287)),"2-Proposals Chargeable","3-Proposals Regular"),'Timesheet Raw'!$C$4:$C$8000,"*"&amp;$B287&amp;"*",'Timesheet Raw'!$L$4:$L$8000,"&gt;="&amp;MAX(M$5,DATE(2000+VALUE(RIGHT(TRIM($A287),2)),1,1)),'Timesheet Raw'!$L$4:$L$8000,"&lt;="&amp;MIN(M$6,DATE(2000+VALUE(RIGHT(TRIM($A287),2)),12,31))),SUMIFS('Timesheet Raw'!$P$4:$P$8000,'Timesheet Raw'!$B$4:$B$8000,TRIM($A287),'Timesheet Raw'!$C$4:$C$8000,"*"&amp;$B287&amp;"*",'Timesheet Raw'!$L$4:$L$8000,"&gt;="&amp;M$5,'Timesheet Raw'!$L$4:$L$8000,"&lt;="&amp;M$6)))/'Profit Plan'!$B$5)</f>
        <v>0</v>
      </c>
      <c r="N287" s="122">
        <f>IF($A287="","",(IF(ISNUMBER(SEARCH("Proposal",$A287)),SUMIFS('Timesheet Raw'!$P$4:$P$8000,'Timesheet Raw'!$A$4:$A$8000,IF(ISNUMBER(SEARCH("Chargable",$A287)),"2-Proposals Chargeable","3-Proposals Regular"),'Timesheet Raw'!$C$4:$C$8000,"*"&amp;$B287&amp;"*",'Timesheet Raw'!$L$4:$L$8000,"&gt;="&amp;MAX(N$5,DATE(2000+VALUE(RIGHT(TRIM($A287),2)),1,1)),'Timesheet Raw'!$L$4:$L$8000,"&lt;="&amp;MIN(N$6,DATE(2000+VALUE(RIGHT(TRIM($A287),2)),12,31))),SUMIFS('Timesheet Raw'!$P$4:$P$8000,'Timesheet Raw'!$B$4:$B$8000,TRIM($A287),'Timesheet Raw'!$C$4:$C$8000,"*"&amp;$B287&amp;"*",'Timesheet Raw'!$L$4:$L$8000,"&gt;="&amp;N$5,'Timesheet Raw'!$L$4:$L$8000,"&lt;="&amp;N$6)))/'Profit Plan'!$B$5)</f>
        <v>0</v>
      </c>
      <c r="O287" s="122">
        <f>IF($A287="","",(IF(ISNUMBER(SEARCH("Proposal",$A287)),SUMIFS('Timesheet Raw'!$P$4:$P$8000,'Timesheet Raw'!$A$4:$A$8000,IF(ISNUMBER(SEARCH("Chargable",$A287)),"2-Proposals Chargeable","3-Proposals Regular"),'Timesheet Raw'!$C$4:$C$8000,"*"&amp;$B287&amp;"*",'Timesheet Raw'!$L$4:$L$8000,"&gt;="&amp;MAX(O$5,DATE(2000+VALUE(RIGHT(TRIM($A287),2)),1,1)),'Timesheet Raw'!$L$4:$L$8000,"&lt;="&amp;MIN(O$6,DATE(2000+VALUE(RIGHT(TRIM($A287),2)),12,31))),SUMIFS('Timesheet Raw'!$P$4:$P$8000,'Timesheet Raw'!$B$4:$B$8000,TRIM($A287),'Timesheet Raw'!$C$4:$C$8000,"*"&amp;$B287&amp;"*",'Timesheet Raw'!$L$4:$L$8000,"&gt;="&amp;O$5,'Timesheet Raw'!$L$4:$L$8000,"&lt;="&amp;O$6)))/'Profit Plan'!$B$5)</f>
        <v>0</v>
      </c>
      <c r="P287" s="122">
        <f>IF($A287="","",(IF(ISNUMBER(SEARCH("Proposal",$A287)),SUMIFS('Timesheet Raw'!$P$4:$P$8000,'Timesheet Raw'!$A$4:$A$8000,IF(ISNUMBER(SEARCH("Chargable",$A287)),"2-Proposals Chargeable","3-Proposals Regular"),'Timesheet Raw'!$C$4:$C$8000,"*"&amp;$B287&amp;"*",'Timesheet Raw'!$L$4:$L$8000,"&gt;="&amp;MAX(P$5,DATE(2000+VALUE(RIGHT(TRIM($A287),2)),1,1)),'Timesheet Raw'!$L$4:$L$8000,"&lt;="&amp;MIN(P$6,DATE(2000+VALUE(RIGHT(TRIM($A287),2)),12,31))),SUMIFS('Timesheet Raw'!$P$4:$P$8000,'Timesheet Raw'!$B$4:$B$8000,TRIM($A287),'Timesheet Raw'!$C$4:$C$8000,"*"&amp;$B287&amp;"*",'Timesheet Raw'!$L$4:$L$8000,"&gt;="&amp;P$5,'Timesheet Raw'!$L$4:$L$8000,"&lt;="&amp;P$6)))/'Profit Plan'!$B$5)</f>
        <v>0</v>
      </c>
      <c r="Q287" s="122">
        <f>IF($A287="","",(IF(ISNUMBER(SEARCH("Proposal",$A287)),SUMIFS('Timesheet Raw'!$P$4:$P$8000,'Timesheet Raw'!$A$4:$A$8000,IF(ISNUMBER(SEARCH("Chargable",$A287)),"2-Proposals Chargeable","3-Proposals Regular"),'Timesheet Raw'!$C$4:$C$8000,"*"&amp;$B287&amp;"*",'Timesheet Raw'!$L$4:$L$8000,"&gt;="&amp;MAX(Q$5,DATE(2000+VALUE(RIGHT(TRIM($A287),2)),1,1)),'Timesheet Raw'!$L$4:$L$8000,"&lt;="&amp;MIN(Q$6,DATE(2000+VALUE(RIGHT(TRIM($A287),2)),12,31))),SUMIFS('Timesheet Raw'!$P$4:$P$8000,'Timesheet Raw'!$B$4:$B$8000,TRIM($A287),'Timesheet Raw'!$C$4:$C$8000,"*"&amp;$B287&amp;"*",'Timesheet Raw'!$L$4:$L$8000,"&gt;="&amp;Q$5,'Timesheet Raw'!$L$4:$L$8000,"&lt;="&amp;Q$6)))/'Profit Plan'!$B$5)</f>
        <v>0</v>
      </c>
      <c r="R287" s="122">
        <f>IF($A287="","",(IF(ISNUMBER(SEARCH("Proposal",$A287)),SUMIFS('Timesheet Raw'!$P$4:$P$8000,'Timesheet Raw'!$A$4:$A$8000,IF(ISNUMBER(SEARCH("Chargable",$A287)),"2-Proposals Chargeable","3-Proposals Regular"),'Timesheet Raw'!$C$4:$C$8000,"*"&amp;$B287&amp;"*",'Timesheet Raw'!$L$4:$L$8000,"&gt;="&amp;MAX(R$5,DATE(2000+VALUE(RIGHT(TRIM($A287),2)),1,1)),'Timesheet Raw'!$L$4:$L$8000,"&lt;="&amp;MIN(R$6,DATE(2000+VALUE(RIGHT(TRIM($A287),2)),12,31))),SUMIFS('Timesheet Raw'!$P$4:$P$8000,'Timesheet Raw'!$B$4:$B$8000,TRIM($A287),'Timesheet Raw'!$C$4:$C$8000,"*"&amp;$B287&amp;"*",'Timesheet Raw'!$L$4:$L$8000,"&gt;="&amp;R$5,'Timesheet Raw'!$L$4:$L$8000,"&lt;="&amp;R$6)))/'Profit Plan'!$B$5)</f>
        <v>0</v>
      </c>
      <c r="S287" s="122">
        <f>IF($A287="","",(IF(ISNUMBER(SEARCH("Proposal",$A287)),SUMIFS('Timesheet Raw'!$P$4:$P$8000,'Timesheet Raw'!$A$4:$A$8000,IF(ISNUMBER(SEARCH("Chargable",$A287)),"2-Proposals Chargeable","3-Proposals Regular"),'Timesheet Raw'!$C$4:$C$8000,"*"&amp;$B287&amp;"*",'Timesheet Raw'!$L$4:$L$8000,"&gt;="&amp;MAX(S$5,DATE(2000+VALUE(RIGHT(TRIM($A287),2)),1,1)),'Timesheet Raw'!$L$4:$L$8000,"&lt;="&amp;MIN(S$6,DATE(2000+VALUE(RIGHT(TRIM($A287),2)),12,31))),SUMIFS('Timesheet Raw'!$P$4:$P$8000,'Timesheet Raw'!$B$4:$B$8000,TRIM($A287),'Timesheet Raw'!$C$4:$C$8000,"*"&amp;$B287&amp;"*",'Timesheet Raw'!$L$4:$L$8000,"&gt;="&amp;S$5,'Timesheet Raw'!$L$4:$L$8000,"&lt;="&amp;S$6)))/'Profit Plan'!$B$5)</f>
        <v>0</v>
      </c>
      <c r="T287" s="122">
        <f>IF($A287="","",(IF(ISNUMBER(SEARCH("Proposal",$A287)),SUMIFS('Timesheet Raw'!$P$4:$P$8000,'Timesheet Raw'!$A$4:$A$8000,IF(ISNUMBER(SEARCH("Chargable",$A287)),"2-Proposals Chargeable","3-Proposals Regular"),'Timesheet Raw'!$C$4:$C$8000,"*"&amp;$B287&amp;"*",'Timesheet Raw'!$L$4:$L$8000,"&gt;="&amp;MAX(T$5,DATE(2000+VALUE(RIGHT(TRIM($A287),2)),1,1)),'Timesheet Raw'!$L$4:$L$8000,"&lt;="&amp;MIN(T$6,DATE(2000+VALUE(RIGHT(TRIM($A287),2)),12,31))),SUMIFS('Timesheet Raw'!$P$4:$P$8000,'Timesheet Raw'!$B$4:$B$8000,TRIM($A287),'Timesheet Raw'!$C$4:$C$8000,"*"&amp;$B287&amp;"*",'Timesheet Raw'!$L$4:$L$8000,"&gt;="&amp;T$5,'Timesheet Raw'!$L$4:$L$8000,"&lt;="&amp;T$6)))/'Profit Plan'!$B$5)</f>
        <v>0</v>
      </c>
      <c r="U287" s="122">
        <f>IF($A287="","",(IF(ISNUMBER(SEARCH("Proposal",$A287)),SUMIFS('Timesheet Raw'!$P$4:$P$8000,'Timesheet Raw'!$A$4:$A$8000,IF(ISNUMBER(SEARCH("Chargable",$A287)),"2-Proposals Chargeable","3-Proposals Regular"),'Timesheet Raw'!$C$4:$C$8000,"*"&amp;$B287&amp;"*",'Timesheet Raw'!$L$4:$L$8000,"&gt;="&amp;MAX(U$5,DATE(2000+VALUE(RIGHT(TRIM($A287),2)),1,1)),'Timesheet Raw'!$L$4:$L$8000,"&lt;="&amp;MIN(U$6,DATE(2000+VALUE(RIGHT(TRIM($A287),2)),12,31))),SUMIFS('Timesheet Raw'!$P$4:$P$8000,'Timesheet Raw'!$B$4:$B$8000,TRIM($A287),'Timesheet Raw'!$C$4:$C$8000,"*"&amp;$B287&amp;"*",'Timesheet Raw'!$L$4:$L$8000,"&gt;="&amp;U$5,'Timesheet Raw'!$L$4:$L$8000,"&lt;="&amp;U$6)))/'Profit Plan'!$B$5)</f>
        <v>0</v>
      </c>
      <c r="V287" s="122">
        <f>IF($A287="","",(IF(ISNUMBER(SEARCH("Proposal",$A287)),SUMIFS('Timesheet Raw'!$P$4:$P$8000,'Timesheet Raw'!$A$4:$A$8000,IF(ISNUMBER(SEARCH("Chargable",$A287)),"2-Proposals Chargeable","3-Proposals Regular"),'Timesheet Raw'!$C$4:$C$8000,"*"&amp;$B287&amp;"*",'Timesheet Raw'!$L$4:$L$8000,"&gt;="&amp;MAX(V$5,DATE(2000+VALUE(RIGHT(TRIM($A287),2)),1,1)),'Timesheet Raw'!$L$4:$L$8000,"&lt;="&amp;MIN(V$6,DATE(2000+VALUE(RIGHT(TRIM($A287),2)),12,31))),SUMIFS('Timesheet Raw'!$P$4:$P$8000,'Timesheet Raw'!$B$4:$B$8000,TRIM($A287),'Timesheet Raw'!$C$4:$C$8000,"*"&amp;$B287&amp;"*",'Timesheet Raw'!$L$4:$L$8000,"&gt;="&amp;V$5,'Timesheet Raw'!$L$4:$L$8000,"&lt;="&amp;V$6)))/'Profit Plan'!$B$5)</f>
        <v>0</v>
      </c>
      <c r="W287" s="122">
        <f>IF($A287="","",(IF(ISNUMBER(SEARCH("Proposal",$A287)),SUMIFS('Timesheet Raw'!$P$4:$P$8000,'Timesheet Raw'!$A$4:$A$8000,IF(ISNUMBER(SEARCH("Chargable",$A287)),"2-Proposals Chargeable","3-Proposals Regular"),'Timesheet Raw'!$C$4:$C$8000,"*"&amp;$B287&amp;"*",'Timesheet Raw'!$L$4:$L$8000,"&gt;="&amp;MAX(W$5,DATE(2000+VALUE(RIGHT(TRIM($A287),2)),1,1)),'Timesheet Raw'!$L$4:$L$8000,"&lt;="&amp;MIN(W$6,DATE(2000+VALUE(RIGHT(TRIM($A287),2)),12,31))),SUMIFS('Timesheet Raw'!$P$4:$P$8000,'Timesheet Raw'!$B$4:$B$8000,TRIM($A287),'Timesheet Raw'!$C$4:$C$8000,"*"&amp;$B287&amp;"*",'Timesheet Raw'!$L$4:$L$8000,"&gt;="&amp;W$5,'Timesheet Raw'!$L$4:$L$8000,"&lt;="&amp;W$6)))/'Profit Plan'!$B$5)</f>
        <v>0</v>
      </c>
      <c r="X287" s="122">
        <f>IF($A287="","",(IF(ISNUMBER(SEARCH("Proposal",$A287)),SUMIFS('Timesheet Raw'!$P$4:$P$8000,'Timesheet Raw'!$A$4:$A$8000,IF(ISNUMBER(SEARCH("Chargable",$A287)),"2-Proposals Chargeable","3-Proposals Regular"),'Timesheet Raw'!$C$4:$C$8000,"*"&amp;$B287&amp;"*",'Timesheet Raw'!$L$4:$L$8000,"&gt;="&amp;MAX(X$5,DATE(2000+VALUE(RIGHT(TRIM($A287),2)),1,1)),'Timesheet Raw'!$L$4:$L$8000,"&lt;="&amp;MIN(X$6,DATE(2000+VALUE(RIGHT(TRIM($A287),2)),12,31))),SUMIFS('Timesheet Raw'!$P$4:$P$8000,'Timesheet Raw'!$B$4:$B$8000,TRIM($A287),'Timesheet Raw'!$C$4:$C$8000,"*"&amp;$B287&amp;"*",'Timesheet Raw'!$L$4:$L$8000,"&gt;="&amp;X$5,'Timesheet Raw'!$L$4:$L$8000,"&lt;="&amp;X$6)))/'Profit Plan'!$B$5)</f>
        <v>0</v>
      </c>
      <c r="Y287" s="118">
        <f t="shared" si="100"/>
        <v>0.63783783783783787</v>
      </c>
    </row>
    <row r="288" spans="1:25" x14ac:dyDescent="0.3">
      <c r="A288" s="116" t="str">
        <f>IF(Inputs!$A13="","",Inputs!$A13)</f>
        <v>AN23276-0100D</v>
      </c>
      <c r="B288" s="116" t="str">
        <f>IF(Inputs!$A13="","",Inputs!$A$93)</f>
        <v>Kirolos</v>
      </c>
      <c r="C288" s="116"/>
      <c r="D288" s="122">
        <f>IF($A288="","",(IF(ISNUMBER(SEARCH("Proposal",$A288)),SUMIFS('Timesheet Raw'!$P$4:$P$8000,'Timesheet Raw'!$A$4:$A$8000,IF(ISNUMBER(SEARCH("Chargable",$A288)),"2-Proposals Chargeable","3-Proposals Regular"),'Timesheet Raw'!$C$4:$C$8000,"*"&amp;$B288&amp;"*",'Timesheet Raw'!$L$4:$L$8000,"&gt;="&amp;MAX(D$5,DATE(2000+VALUE(RIGHT(TRIM($A288),2)),1,1)),'Timesheet Raw'!$L$4:$L$8000,"&lt;="&amp;MIN(D$6,DATE(2000+VALUE(RIGHT(TRIM($A288),2)),12,31))),SUMIFS('Timesheet Raw'!$P$4:$P$8000,'Timesheet Raw'!$B$4:$B$8000,TRIM($A288),'Timesheet Raw'!$C$4:$C$8000,"*"&amp;$B288&amp;"*",'Timesheet Raw'!$L$4:$L$8000,"&gt;="&amp;D$5,'Timesheet Raw'!$L$4:$L$8000,"&lt;="&amp;D$6)))/'Profit Plan'!$B$5)</f>
        <v>0</v>
      </c>
      <c r="E288" s="122">
        <f>IF($A288="","",(IF(ISNUMBER(SEARCH("Proposal",$A288)),SUMIFS('Timesheet Raw'!$P$4:$P$8000,'Timesheet Raw'!$A$4:$A$8000,IF(ISNUMBER(SEARCH("Chargable",$A288)),"2-Proposals Chargeable","3-Proposals Regular"),'Timesheet Raw'!$C$4:$C$8000,"*"&amp;$B288&amp;"*",'Timesheet Raw'!$L$4:$L$8000,"&gt;="&amp;MAX(E$5,DATE(2000+VALUE(RIGHT(TRIM($A288),2)),1,1)),'Timesheet Raw'!$L$4:$L$8000,"&lt;="&amp;MIN(E$6,DATE(2000+VALUE(RIGHT(TRIM($A288),2)),12,31))),SUMIFS('Timesheet Raw'!$P$4:$P$8000,'Timesheet Raw'!$B$4:$B$8000,TRIM($A288),'Timesheet Raw'!$C$4:$C$8000,"*"&amp;$B288&amp;"*",'Timesheet Raw'!$L$4:$L$8000,"&gt;="&amp;E$5,'Timesheet Raw'!$L$4:$L$8000,"&lt;="&amp;E$6)))/'Profit Plan'!$B$5)</f>
        <v>0</v>
      </c>
      <c r="F288" s="122">
        <f>IF($A288="","",(IF(ISNUMBER(SEARCH("Proposal",$A288)),SUMIFS('Timesheet Raw'!$P$4:$P$8000,'Timesheet Raw'!$A$4:$A$8000,IF(ISNUMBER(SEARCH("Chargable",$A288)),"2-Proposals Chargeable","3-Proposals Regular"),'Timesheet Raw'!$C$4:$C$8000,"*"&amp;$B288&amp;"*",'Timesheet Raw'!$L$4:$L$8000,"&gt;="&amp;MAX(F$5,DATE(2000+VALUE(RIGHT(TRIM($A288),2)),1,1)),'Timesheet Raw'!$L$4:$L$8000,"&lt;="&amp;MIN(F$6,DATE(2000+VALUE(RIGHT(TRIM($A288),2)),12,31))),SUMIFS('Timesheet Raw'!$P$4:$P$8000,'Timesheet Raw'!$B$4:$B$8000,TRIM($A288),'Timesheet Raw'!$C$4:$C$8000,"*"&amp;$B288&amp;"*",'Timesheet Raw'!$L$4:$L$8000,"&gt;="&amp;F$5,'Timesheet Raw'!$L$4:$L$8000,"&lt;="&amp;F$6)))/'Profit Plan'!$B$5)</f>
        <v>0</v>
      </c>
      <c r="G288" s="122">
        <f>IF($A288="","",(IF(ISNUMBER(SEARCH("Proposal",$A288)),SUMIFS('Timesheet Raw'!$P$4:$P$8000,'Timesheet Raw'!$A$4:$A$8000,IF(ISNUMBER(SEARCH("Chargable",$A288)),"2-Proposals Chargeable","3-Proposals Regular"),'Timesheet Raw'!$C$4:$C$8000,"*"&amp;$B288&amp;"*",'Timesheet Raw'!$L$4:$L$8000,"&gt;="&amp;MAX(G$5,DATE(2000+VALUE(RIGHT(TRIM($A288),2)),1,1)),'Timesheet Raw'!$L$4:$L$8000,"&lt;="&amp;MIN(G$6,DATE(2000+VALUE(RIGHT(TRIM($A288),2)),12,31))),SUMIFS('Timesheet Raw'!$P$4:$P$8000,'Timesheet Raw'!$B$4:$B$8000,TRIM($A288),'Timesheet Raw'!$C$4:$C$8000,"*"&amp;$B288&amp;"*",'Timesheet Raw'!$L$4:$L$8000,"&gt;="&amp;G$5,'Timesheet Raw'!$L$4:$L$8000,"&lt;="&amp;G$6)))/'Profit Plan'!$B$5)</f>
        <v>0</v>
      </c>
      <c r="H288" s="122">
        <f>IF($A288="","",(IF(ISNUMBER(SEARCH("Proposal",$A288)),SUMIFS('Timesheet Raw'!$P$4:$P$8000,'Timesheet Raw'!$A$4:$A$8000,IF(ISNUMBER(SEARCH("Chargable",$A288)),"2-Proposals Chargeable","3-Proposals Regular"),'Timesheet Raw'!$C$4:$C$8000,"*"&amp;$B288&amp;"*",'Timesheet Raw'!$L$4:$L$8000,"&gt;="&amp;MAX(H$5,DATE(2000+VALUE(RIGHT(TRIM($A288),2)),1,1)),'Timesheet Raw'!$L$4:$L$8000,"&lt;="&amp;MIN(H$6,DATE(2000+VALUE(RIGHT(TRIM($A288),2)),12,31))),SUMIFS('Timesheet Raw'!$P$4:$P$8000,'Timesheet Raw'!$B$4:$B$8000,TRIM($A288),'Timesheet Raw'!$C$4:$C$8000,"*"&amp;$B288&amp;"*",'Timesheet Raw'!$L$4:$L$8000,"&gt;="&amp;H$5,'Timesheet Raw'!$L$4:$L$8000,"&lt;="&amp;H$6)))/'Profit Plan'!$B$5)</f>
        <v>0</v>
      </c>
      <c r="I288" s="122">
        <f>IF($A288="","",(IF(ISNUMBER(SEARCH("Proposal",$A288)),SUMIFS('Timesheet Raw'!$P$4:$P$8000,'Timesheet Raw'!$A$4:$A$8000,IF(ISNUMBER(SEARCH("Chargable",$A288)),"2-Proposals Chargeable","3-Proposals Regular"),'Timesheet Raw'!$C$4:$C$8000,"*"&amp;$B288&amp;"*",'Timesheet Raw'!$L$4:$L$8000,"&gt;="&amp;MAX(I$5,DATE(2000+VALUE(RIGHT(TRIM($A288),2)),1,1)),'Timesheet Raw'!$L$4:$L$8000,"&lt;="&amp;MIN(I$6,DATE(2000+VALUE(RIGHT(TRIM($A288),2)),12,31))),SUMIFS('Timesheet Raw'!$P$4:$P$8000,'Timesheet Raw'!$B$4:$B$8000,TRIM($A288),'Timesheet Raw'!$C$4:$C$8000,"*"&amp;$B288&amp;"*",'Timesheet Raw'!$L$4:$L$8000,"&gt;="&amp;I$5,'Timesheet Raw'!$L$4:$L$8000,"&lt;="&amp;I$6)))/'Profit Plan'!$B$5)</f>
        <v>0</v>
      </c>
      <c r="J288" s="122">
        <f>IF($A288="","",(IF(ISNUMBER(SEARCH("Proposal",$A288)),SUMIFS('Timesheet Raw'!$P$4:$P$8000,'Timesheet Raw'!$A$4:$A$8000,IF(ISNUMBER(SEARCH("Chargable",$A288)),"2-Proposals Chargeable","3-Proposals Regular"),'Timesheet Raw'!$C$4:$C$8000,"*"&amp;$B288&amp;"*",'Timesheet Raw'!$L$4:$L$8000,"&gt;="&amp;MAX(J$5,DATE(2000+VALUE(RIGHT(TRIM($A288),2)),1,1)),'Timesheet Raw'!$L$4:$L$8000,"&lt;="&amp;MIN(J$6,DATE(2000+VALUE(RIGHT(TRIM($A288),2)),12,31))),SUMIFS('Timesheet Raw'!$P$4:$P$8000,'Timesheet Raw'!$B$4:$B$8000,TRIM($A288),'Timesheet Raw'!$C$4:$C$8000,"*"&amp;$B288&amp;"*",'Timesheet Raw'!$L$4:$L$8000,"&gt;="&amp;J$5,'Timesheet Raw'!$L$4:$L$8000,"&lt;="&amp;J$6)))/'Profit Plan'!$B$5)</f>
        <v>0</v>
      </c>
      <c r="K288" s="122">
        <f>IF($A288="","",(IF(ISNUMBER(SEARCH("Proposal",$A288)),SUMIFS('Timesheet Raw'!$P$4:$P$8000,'Timesheet Raw'!$A$4:$A$8000,IF(ISNUMBER(SEARCH("Chargable",$A288)),"2-Proposals Chargeable","3-Proposals Regular"),'Timesheet Raw'!$C$4:$C$8000,"*"&amp;$B288&amp;"*",'Timesheet Raw'!$L$4:$L$8000,"&gt;="&amp;MAX(K$5,DATE(2000+VALUE(RIGHT(TRIM($A288),2)),1,1)),'Timesheet Raw'!$L$4:$L$8000,"&lt;="&amp;MIN(K$6,DATE(2000+VALUE(RIGHT(TRIM($A288),2)),12,31))),SUMIFS('Timesheet Raw'!$P$4:$P$8000,'Timesheet Raw'!$B$4:$B$8000,TRIM($A288),'Timesheet Raw'!$C$4:$C$8000,"*"&amp;$B288&amp;"*",'Timesheet Raw'!$L$4:$L$8000,"&gt;="&amp;K$5,'Timesheet Raw'!$L$4:$L$8000,"&lt;="&amp;K$6)))/'Profit Plan'!$B$5)</f>
        <v>0</v>
      </c>
      <c r="L288" s="122">
        <f>IF($A288="","",(IF(ISNUMBER(SEARCH("Proposal",$A288)),SUMIFS('Timesheet Raw'!$P$4:$P$8000,'Timesheet Raw'!$A$4:$A$8000,IF(ISNUMBER(SEARCH("Chargable",$A288)),"2-Proposals Chargeable","3-Proposals Regular"),'Timesheet Raw'!$C$4:$C$8000,"*"&amp;$B288&amp;"*",'Timesheet Raw'!$L$4:$L$8000,"&gt;="&amp;MAX(L$5,DATE(2000+VALUE(RIGHT(TRIM($A288),2)),1,1)),'Timesheet Raw'!$L$4:$L$8000,"&lt;="&amp;MIN(L$6,DATE(2000+VALUE(RIGHT(TRIM($A288),2)),12,31))),SUMIFS('Timesheet Raw'!$P$4:$P$8000,'Timesheet Raw'!$B$4:$B$8000,TRIM($A288),'Timesheet Raw'!$C$4:$C$8000,"*"&amp;$B288&amp;"*",'Timesheet Raw'!$L$4:$L$8000,"&gt;="&amp;L$5,'Timesheet Raw'!$L$4:$L$8000,"&lt;="&amp;L$6)))/'Profit Plan'!$B$5)</f>
        <v>0</v>
      </c>
      <c r="M288" s="122">
        <f>IF($A288="","",(IF(ISNUMBER(SEARCH("Proposal",$A288)),SUMIFS('Timesheet Raw'!$P$4:$P$8000,'Timesheet Raw'!$A$4:$A$8000,IF(ISNUMBER(SEARCH("Chargable",$A288)),"2-Proposals Chargeable","3-Proposals Regular"),'Timesheet Raw'!$C$4:$C$8000,"*"&amp;$B288&amp;"*",'Timesheet Raw'!$L$4:$L$8000,"&gt;="&amp;MAX(M$5,DATE(2000+VALUE(RIGHT(TRIM($A288),2)),1,1)),'Timesheet Raw'!$L$4:$L$8000,"&lt;="&amp;MIN(M$6,DATE(2000+VALUE(RIGHT(TRIM($A288),2)),12,31))),SUMIFS('Timesheet Raw'!$P$4:$P$8000,'Timesheet Raw'!$B$4:$B$8000,TRIM($A288),'Timesheet Raw'!$C$4:$C$8000,"*"&amp;$B288&amp;"*",'Timesheet Raw'!$L$4:$L$8000,"&gt;="&amp;M$5,'Timesheet Raw'!$L$4:$L$8000,"&lt;="&amp;M$6)))/'Profit Plan'!$B$5)</f>
        <v>0</v>
      </c>
      <c r="N288" s="122">
        <f>IF($A288="","",(IF(ISNUMBER(SEARCH("Proposal",$A288)),SUMIFS('Timesheet Raw'!$P$4:$P$8000,'Timesheet Raw'!$A$4:$A$8000,IF(ISNUMBER(SEARCH("Chargable",$A288)),"2-Proposals Chargeable","3-Proposals Regular"),'Timesheet Raw'!$C$4:$C$8000,"*"&amp;$B288&amp;"*",'Timesheet Raw'!$L$4:$L$8000,"&gt;="&amp;MAX(N$5,DATE(2000+VALUE(RIGHT(TRIM($A288),2)),1,1)),'Timesheet Raw'!$L$4:$L$8000,"&lt;="&amp;MIN(N$6,DATE(2000+VALUE(RIGHT(TRIM($A288),2)),12,31))),SUMIFS('Timesheet Raw'!$P$4:$P$8000,'Timesheet Raw'!$B$4:$B$8000,TRIM($A288),'Timesheet Raw'!$C$4:$C$8000,"*"&amp;$B288&amp;"*",'Timesheet Raw'!$L$4:$L$8000,"&gt;="&amp;N$5,'Timesheet Raw'!$L$4:$L$8000,"&lt;="&amp;N$6)))/'Profit Plan'!$B$5)</f>
        <v>0</v>
      </c>
      <c r="O288" s="122">
        <f>IF($A288="","",(IF(ISNUMBER(SEARCH("Proposal",$A288)),SUMIFS('Timesheet Raw'!$P$4:$P$8000,'Timesheet Raw'!$A$4:$A$8000,IF(ISNUMBER(SEARCH("Chargable",$A288)),"2-Proposals Chargeable","3-Proposals Regular"),'Timesheet Raw'!$C$4:$C$8000,"*"&amp;$B288&amp;"*",'Timesheet Raw'!$L$4:$L$8000,"&gt;="&amp;MAX(O$5,DATE(2000+VALUE(RIGHT(TRIM($A288),2)),1,1)),'Timesheet Raw'!$L$4:$L$8000,"&lt;="&amp;MIN(O$6,DATE(2000+VALUE(RIGHT(TRIM($A288),2)),12,31))),SUMIFS('Timesheet Raw'!$P$4:$P$8000,'Timesheet Raw'!$B$4:$B$8000,TRIM($A288),'Timesheet Raw'!$C$4:$C$8000,"*"&amp;$B288&amp;"*",'Timesheet Raw'!$L$4:$L$8000,"&gt;="&amp;O$5,'Timesheet Raw'!$L$4:$L$8000,"&lt;="&amp;O$6)))/'Profit Plan'!$B$5)</f>
        <v>0</v>
      </c>
      <c r="P288" s="122">
        <f>IF($A288="","",(IF(ISNUMBER(SEARCH("Proposal",$A288)),SUMIFS('Timesheet Raw'!$P$4:$P$8000,'Timesheet Raw'!$A$4:$A$8000,IF(ISNUMBER(SEARCH("Chargable",$A288)),"2-Proposals Chargeable","3-Proposals Regular"),'Timesheet Raw'!$C$4:$C$8000,"*"&amp;$B288&amp;"*",'Timesheet Raw'!$L$4:$L$8000,"&gt;="&amp;MAX(P$5,DATE(2000+VALUE(RIGHT(TRIM($A288),2)),1,1)),'Timesheet Raw'!$L$4:$L$8000,"&lt;="&amp;MIN(P$6,DATE(2000+VALUE(RIGHT(TRIM($A288),2)),12,31))),SUMIFS('Timesheet Raw'!$P$4:$P$8000,'Timesheet Raw'!$B$4:$B$8000,TRIM($A288),'Timesheet Raw'!$C$4:$C$8000,"*"&amp;$B288&amp;"*",'Timesheet Raw'!$L$4:$L$8000,"&gt;="&amp;P$5,'Timesheet Raw'!$L$4:$L$8000,"&lt;="&amp;P$6)))/'Profit Plan'!$B$5)</f>
        <v>0</v>
      </c>
      <c r="Q288" s="122">
        <f>IF($A288="","",(IF(ISNUMBER(SEARCH("Proposal",$A288)),SUMIFS('Timesheet Raw'!$P$4:$P$8000,'Timesheet Raw'!$A$4:$A$8000,IF(ISNUMBER(SEARCH("Chargable",$A288)),"2-Proposals Chargeable","3-Proposals Regular"),'Timesheet Raw'!$C$4:$C$8000,"*"&amp;$B288&amp;"*",'Timesheet Raw'!$L$4:$L$8000,"&gt;="&amp;MAX(Q$5,DATE(2000+VALUE(RIGHT(TRIM($A288),2)),1,1)),'Timesheet Raw'!$L$4:$L$8000,"&lt;="&amp;MIN(Q$6,DATE(2000+VALUE(RIGHT(TRIM($A288),2)),12,31))),SUMIFS('Timesheet Raw'!$P$4:$P$8000,'Timesheet Raw'!$B$4:$B$8000,TRIM($A288),'Timesheet Raw'!$C$4:$C$8000,"*"&amp;$B288&amp;"*",'Timesheet Raw'!$L$4:$L$8000,"&gt;="&amp;Q$5,'Timesheet Raw'!$L$4:$L$8000,"&lt;="&amp;Q$6)))/'Profit Plan'!$B$5)</f>
        <v>0</v>
      </c>
      <c r="R288" s="122">
        <f>IF($A288="","",(IF(ISNUMBER(SEARCH("Proposal",$A288)),SUMIFS('Timesheet Raw'!$P$4:$P$8000,'Timesheet Raw'!$A$4:$A$8000,IF(ISNUMBER(SEARCH("Chargable",$A288)),"2-Proposals Chargeable","3-Proposals Regular"),'Timesheet Raw'!$C$4:$C$8000,"*"&amp;$B288&amp;"*",'Timesheet Raw'!$L$4:$L$8000,"&gt;="&amp;MAX(R$5,DATE(2000+VALUE(RIGHT(TRIM($A288),2)),1,1)),'Timesheet Raw'!$L$4:$L$8000,"&lt;="&amp;MIN(R$6,DATE(2000+VALUE(RIGHT(TRIM($A288),2)),12,31))),SUMIFS('Timesheet Raw'!$P$4:$P$8000,'Timesheet Raw'!$B$4:$B$8000,TRIM($A288),'Timesheet Raw'!$C$4:$C$8000,"*"&amp;$B288&amp;"*",'Timesheet Raw'!$L$4:$L$8000,"&gt;="&amp;R$5,'Timesheet Raw'!$L$4:$L$8000,"&lt;="&amp;R$6)))/'Profit Plan'!$B$5)</f>
        <v>0</v>
      </c>
      <c r="S288" s="122">
        <f>IF($A288="","",(IF(ISNUMBER(SEARCH("Proposal",$A288)),SUMIFS('Timesheet Raw'!$P$4:$P$8000,'Timesheet Raw'!$A$4:$A$8000,IF(ISNUMBER(SEARCH("Chargable",$A288)),"2-Proposals Chargeable","3-Proposals Regular"),'Timesheet Raw'!$C$4:$C$8000,"*"&amp;$B288&amp;"*",'Timesheet Raw'!$L$4:$L$8000,"&gt;="&amp;MAX(S$5,DATE(2000+VALUE(RIGHT(TRIM($A288),2)),1,1)),'Timesheet Raw'!$L$4:$L$8000,"&lt;="&amp;MIN(S$6,DATE(2000+VALUE(RIGHT(TRIM($A288),2)),12,31))),SUMIFS('Timesheet Raw'!$P$4:$P$8000,'Timesheet Raw'!$B$4:$B$8000,TRIM($A288),'Timesheet Raw'!$C$4:$C$8000,"*"&amp;$B288&amp;"*",'Timesheet Raw'!$L$4:$L$8000,"&gt;="&amp;S$5,'Timesheet Raw'!$L$4:$L$8000,"&lt;="&amp;S$6)))/'Profit Plan'!$B$5)</f>
        <v>0</v>
      </c>
      <c r="T288" s="122">
        <f>IF($A288="","",(IF(ISNUMBER(SEARCH("Proposal",$A288)),SUMIFS('Timesheet Raw'!$P$4:$P$8000,'Timesheet Raw'!$A$4:$A$8000,IF(ISNUMBER(SEARCH("Chargable",$A288)),"2-Proposals Chargeable","3-Proposals Regular"),'Timesheet Raw'!$C$4:$C$8000,"*"&amp;$B288&amp;"*",'Timesheet Raw'!$L$4:$L$8000,"&gt;="&amp;MAX(T$5,DATE(2000+VALUE(RIGHT(TRIM($A288),2)),1,1)),'Timesheet Raw'!$L$4:$L$8000,"&lt;="&amp;MIN(T$6,DATE(2000+VALUE(RIGHT(TRIM($A288),2)),12,31))),SUMIFS('Timesheet Raw'!$P$4:$P$8000,'Timesheet Raw'!$B$4:$B$8000,TRIM($A288),'Timesheet Raw'!$C$4:$C$8000,"*"&amp;$B288&amp;"*",'Timesheet Raw'!$L$4:$L$8000,"&gt;="&amp;T$5,'Timesheet Raw'!$L$4:$L$8000,"&lt;="&amp;T$6)))/'Profit Plan'!$B$5)</f>
        <v>0</v>
      </c>
      <c r="U288" s="122">
        <f>IF($A288="","",(IF(ISNUMBER(SEARCH("Proposal",$A288)),SUMIFS('Timesheet Raw'!$P$4:$P$8000,'Timesheet Raw'!$A$4:$A$8000,IF(ISNUMBER(SEARCH("Chargable",$A288)),"2-Proposals Chargeable","3-Proposals Regular"),'Timesheet Raw'!$C$4:$C$8000,"*"&amp;$B288&amp;"*",'Timesheet Raw'!$L$4:$L$8000,"&gt;="&amp;MAX(U$5,DATE(2000+VALUE(RIGHT(TRIM($A288),2)),1,1)),'Timesheet Raw'!$L$4:$L$8000,"&lt;="&amp;MIN(U$6,DATE(2000+VALUE(RIGHT(TRIM($A288),2)),12,31))),SUMIFS('Timesheet Raw'!$P$4:$P$8000,'Timesheet Raw'!$B$4:$B$8000,TRIM($A288),'Timesheet Raw'!$C$4:$C$8000,"*"&amp;$B288&amp;"*",'Timesheet Raw'!$L$4:$L$8000,"&gt;="&amp;U$5,'Timesheet Raw'!$L$4:$L$8000,"&lt;="&amp;U$6)))/'Profit Plan'!$B$5)</f>
        <v>0</v>
      </c>
      <c r="V288" s="122">
        <f>IF($A288="","",(IF(ISNUMBER(SEARCH("Proposal",$A288)),SUMIFS('Timesheet Raw'!$P$4:$P$8000,'Timesheet Raw'!$A$4:$A$8000,IF(ISNUMBER(SEARCH("Chargable",$A288)),"2-Proposals Chargeable","3-Proposals Regular"),'Timesheet Raw'!$C$4:$C$8000,"*"&amp;$B288&amp;"*",'Timesheet Raw'!$L$4:$L$8000,"&gt;="&amp;MAX(V$5,DATE(2000+VALUE(RIGHT(TRIM($A288),2)),1,1)),'Timesheet Raw'!$L$4:$L$8000,"&lt;="&amp;MIN(V$6,DATE(2000+VALUE(RIGHT(TRIM($A288),2)),12,31))),SUMIFS('Timesheet Raw'!$P$4:$P$8000,'Timesheet Raw'!$B$4:$B$8000,TRIM($A288),'Timesheet Raw'!$C$4:$C$8000,"*"&amp;$B288&amp;"*",'Timesheet Raw'!$L$4:$L$8000,"&gt;="&amp;V$5,'Timesheet Raw'!$L$4:$L$8000,"&lt;="&amp;V$6)))/'Profit Plan'!$B$5)</f>
        <v>0</v>
      </c>
      <c r="W288" s="122">
        <f>IF($A288="","",(IF(ISNUMBER(SEARCH("Proposal",$A288)),SUMIFS('Timesheet Raw'!$P$4:$P$8000,'Timesheet Raw'!$A$4:$A$8000,IF(ISNUMBER(SEARCH("Chargable",$A288)),"2-Proposals Chargeable","3-Proposals Regular"),'Timesheet Raw'!$C$4:$C$8000,"*"&amp;$B288&amp;"*",'Timesheet Raw'!$L$4:$L$8000,"&gt;="&amp;MAX(W$5,DATE(2000+VALUE(RIGHT(TRIM($A288),2)),1,1)),'Timesheet Raw'!$L$4:$L$8000,"&lt;="&amp;MIN(W$6,DATE(2000+VALUE(RIGHT(TRIM($A288),2)),12,31))),SUMIFS('Timesheet Raw'!$P$4:$P$8000,'Timesheet Raw'!$B$4:$B$8000,TRIM($A288),'Timesheet Raw'!$C$4:$C$8000,"*"&amp;$B288&amp;"*",'Timesheet Raw'!$L$4:$L$8000,"&gt;="&amp;W$5,'Timesheet Raw'!$L$4:$L$8000,"&lt;="&amp;W$6)))/'Profit Plan'!$B$5)</f>
        <v>0</v>
      </c>
      <c r="X288" s="122">
        <f>IF($A288="","",(IF(ISNUMBER(SEARCH("Proposal",$A288)),SUMIFS('Timesheet Raw'!$P$4:$P$8000,'Timesheet Raw'!$A$4:$A$8000,IF(ISNUMBER(SEARCH("Chargable",$A288)),"2-Proposals Chargeable","3-Proposals Regular"),'Timesheet Raw'!$C$4:$C$8000,"*"&amp;$B288&amp;"*",'Timesheet Raw'!$L$4:$L$8000,"&gt;="&amp;MAX(X$5,DATE(2000+VALUE(RIGHT(TRIM($A288),2)),1,1)),'Timesheet Raw'!$L$4:$L$8000,"&lt;="&amp;MIN(X$6,DATE(2000+VALUE(RIGHT(TRIM($A288),2)),12,31))),SUMIFS('Timesheet Raw'!$P$4:$P$8000,'Timesheet Raw'!$B$4:$B$8000,TRIM($A288),'Timesheet Raw'!$C$4:$C$8000,"*"&amp;$B288&amp;"*",'Timesheet Raw'!$L$4:$L$8000,"&gt;="&amp;X$5,'Timesheet Raw'!$L$4:$L$8000,"&lt;="&amp;X$6)))/'Profit Plan'!$B$5)</f>
        <v>0</v>
      </c>
      <c r="Y288" s="118">
        <f t="shared" si="100"/>
        <v>0</v>
      </c>
    </row>
    <row r="289" spans="1:25" x14ac:dyDescent="0.3">
      <c r="A289" s="116" t="str">
        <f>IF(Inputs!$A14="","",Inputs!$A14)</f>
        <v>AN24073-0100D</v>
      </c>
      <c r="B289" s="116" t="str">
        <f>IF(Inputs!$A14="","",Inputs!$A$91)</f>
        <v>Ahmed</v>
      </c>
      <c r="C289" s="116"/>
      <c r="D289" s="122">
        <f>IF($A289="","",(IF(ISNUMBER(SEARCH("Proposal",$A289)),SUMIFS('Timesheet Raw'!$P$4:$P$8000,'Timesheet Raw'!$A$4:$A$8000,IF(ISNUMBER(SEARCH("Chargable",$A289)),"2-Proposals Chargeable","3-Proposals Regular"),'Timesheet Raw'!$C$4:$C$8000,"*"&amp;$B289&amp;"*",'Timesheet Raw'!$L$4:$L$8000,"&gt;="&amp;MAX(D$5,DATE(2000+VALUE(RIGHT(TRIM($A289),2)),1,1)),'Timesheet Raw'!$L$4:$L$8000,"&lt;="&amp;MIN(D$6,DATE(2000+VALUE(RIGHT(TRIM($A289),2)),12,31))),SUMIFS('Timesheet Raw'!$P$4:$P$8000,'Timesheet Raw'!$B$4:$B$8000,TRIM($A289),'Timesheet Raw'!$C$4:$C$8000,"*"&amp;$B289&amp;"*",'Timesheet Raw'!$L$4:$L$8000,"&gt;="&amp;D$5,'Timesheet Raw'!$L$4:$L$8000,"&lt;="&amp;D$6)))/'Profit Plan'!$B$5)</f>
        <v>0</v>
      </c>
      <c r="E289" s="122">
        <f>IF($A289="","",(IF(ISNUMBER(SEARCH("Proposal",$A289)),SUMIFS('Timesheet Raw'!$P$4:$P$8000,'Timesheet Raw'!$A$4:$A$8000,IF(ISNUMBER(SEARCH("Chargable",$A289)),"2-Proposals Chargeable","3-Proposals Regular"),'Timesheet Raw'!$C$4:$C$8000,"*"&amp;$B289&amp;"*",'Timesheet Raw'!$L$4:$L$8000,"&gt;="&amp;MAX(E$5,DATE(2000+VALUE(RIGHT(TRIM($A289),2)),1,1)),'Timesheet Raw'!$L$4:$L$8000,"&lt;="&amp;MIN(E$6,DATE(2000+VALUE(RIGHT(TRIM($A289),2)),12,31))),SUMIFS('Timesheet Raw'!$P$4:$P$8000,'Timesheet Raw'!$B$4:$B$8000,TRIM($A289),'Timesheet Raw'!$C$4:$C$8000,"*"&amp;$B289&amp;"*",'Timesheet Raw'!$L$4:$L$8000,"&gt;="&amp;E$5,'Timesheet Raw'!$L$4:$L$8000,"&lt;="&amp;E$6)))/'Profit Plan'!$B$5)</f>
        <v>0</v>
      </c>
      <c r="F289" s="122">
        <f>IF($A289="","",(IF(ISNUMBER(SEARCH("Proposal",$A289)),SUMIFS('Timesheet Raw'!$P$4:$P$8000,'Timesheet Raw'!$A$4:$A$8000,IF(ISNUMBER(SEARCH("Chargable",$A289)),"2-Proposals Chargeable","3-Proposals Regular"),'Timesheet Raw'!$C$4:$C$8000,"*"&amp;$B289&amp;"*",'Timesheet Raw'!$L$4:$L$8000,"&gt;="&amp;MAX(F$5,DATE(2000+VALUE(RIGHT(TRIM($A289),2)),1,1)),'Timesheet Raw'!$L$4:$L$8000,"&lt;="&amp;MIN(F$6,DATE(2000+VALUE(RIGHT(TRIM($A289),2)),12,31))),SUMIFS('Timesheet Raw'!$P$4:$P$8000,'Timesheet Raw'!$B$4:$B$8000,TRIM($A289),'Timesheet Raw'!$C$4:$C$8000,"*"&amp;$B289&amp;"*",'Timesheet Raw'!$L$4:$L$8000,"&gt;="&amp;F$5,'Timesheet Raw'!$L$4:$L$8000,"&lt;="&amp;F$6)))/'Profit Plan'!$B$5)</f>
        <v>0</v>
      </c>
      <c r="G289" s="122">
        <f>IF($A289="","",(IF(ISNUMBER(SEARCH("Proposal",$A289)),SUMIFS('Timesheet Raw'!$P$4:$P$8000,'Timesheet Raw'!$A$4:$A$8000,IF(ISNUMBER(SEARCH("Chargable",$A289)),"2-Proposals Chargeable","3-Proposals Regular"),'Timesheet Raw'!$C$4:$C$8000,"*"&amp;$B289&amp;"*",'Timesheet Raw'!$L$4:$L$8000,"&gt;="&amp;MAX(G$5,DATE(2000+VALUE(RIGHT(TRIM($A289),2)),1,1)),'Timesheet Raw'!$L$4:$L$8000,"&lt;="&amp;MIN(G$6,DATE(2000+VALUE(RIGHT(TRIM($A289),2)),12,31))),SUMIFS('Timesheet Raw'!$P$4:$P$8000,'Timesheet Raw'!$B$4:$B$8000,TRIM($A289),'Timesheet Raw'!$C$4:$C$8000,"*"&amp;$B289&amp;"*",'Timesheet Raw'!$L$4:$L$8000,"&gt;="&amp;G$5,'Timesheet Raw'!$L$4:$L$8000,"&lt;="&amp;G$6)))/'Profit Plan'!$B$5)</f>
        <v>0</v>
      </c>
      <c r="H289" s="122">
        <f>IF($A289="","",(IF(ISNUMBER(SEARCH("Proposal",$A289)),SUMIFS('Timesheet Raw'!$P$4:$P$8000,'Timesheet Raw'!$A$4:$A$8000,IF(ISNUMBER(SEARCH("Chargable",$A289)),"2-Proposals Chargeable","3-Proposals Regular"),'Timesheet Raw'!$C$4:$C$8000,"*"&amp;$B289&amp;"*",'Timesheet Raw'!$L$4:$L$8000,"&gt;="&amp;MAX(H$5,DATE(2000+VALUE(RIGHT(TRIM($A289),2)),1,1)),'Timesheet Raw'!$L$4:$L$8000,"&lt;="&amp;MIN(H$6,DATE(2000+VALUE(RIGHT(TRIM($A289),2)),12,31))),SUMIFS('Timesheet Raw'!$P$4:$P$8000,'Timesheet Raw'!$B$4:$B$8000,TRIM($A289),'Timesheet Raw'!$C$4:$C$8000,"*"&amp;$B289&amp;"*",'Timesheet Raw'!$L$4:$L$8000,"&gt;="&amp;H$5,'Timesheet Raw'!$L$4:$L$8000,"&lt;="&amp;H$6)))/'Profit Plan'!$B$5)</f>
        <v>0</v>
      </c>
      <c r="I289" s="122">
        <f>IF($A289="","",(IF(ISNUMBER(SEARCH("Proposal",$A289)),SUMIFS('Timesheet Raw'!$P$4:$P$8000,'Timesheet Raw'!$A$4:$A$8000,IF(ISNUMBER(SEARCH("Chargable",$A289)),"2-Proposals Chargeable","3-Proposals Regular"),'Timesheet Raw'!$C$4:$C$8000,"*"&amp;$B289&amp;"*",'Timesheet Raw'!$L$4:$L$8000,"&gt;="&amp;MAX(I$5,DATE(2000+VALUE(RIGHT(TRIM($A289),2)),1,1)),'Timesheet Raw'!$L$4:$L$8000,"&lt;="&amp;MIN(I$6,DATE(2000+VALUE(RIGHT(TRIM($A289),2)),12,31))),SUMIFS('Timesheet Raw'!$P$4:$P$8000,'Timesheet Raw'!$B$4:$B$8000,TRIM($A289),'Timesheet Raw'!$C$4:$C$8000,"*"&amp;$B289&amp;"*",'Timesheet Raw'!$L$4:$L$8000,"&gt;="&amp;I$5,'Timesheet Raw'!$L$4:$L$8000,"&lt;="&amp;I$6)))/'Profit Plan'!$B$5)</f>
        <v>0</v>
      </c>
      <c r="J289" s="122">
        <f>IF($A289="","",(IF(ISNUMBER(SEARCH("Proposal",$A289)),SUMIFS('Timesheet Raw'!$P$4:$P$8000,'Timesheet Raw'!$A$4:$A$8000,IF(ISNUMBER(SEARCH("Chargable",$A289)),"2-Proposals Chargeable","3-Proposals Regular"),'Timesheet Raw'!$C$4:$C$8000,"*"&amp;$B289&amp;"*",'Timesheet Raw'!$L$4:$L$8000,"&gt;="&amp;MAX(J$5,DATE(2000+VALUE(RIGHT(TRIM($A289),2)),1,1)),'Timesheet Raw'!$L$4:$L$8000,"&lt;="&amp;MIN(J$6,DATE(2000+VALUE(RIGHT(TRIM($A289),2)),12,31))),SUMIFS('Timesheet Raw'!$P$4:$P$8000,'Timesheet Raw'!$B$4:$B$8000,TRIM($A289),'Timesheet Raw'!$C$4:$C$8000,"*"&amp;$B289&amp;"*",'Timesheet Raw'!$L$4:$L$8000,"&gt;="&amp;J$5,'Timesheet Raw'!$L$4:$L$8000,"&lt;="&amp;J$6)))/'Profit Plan'!$B$5)</f>
        <v>0</v>
      </c>
      <c r="K289" s="122">
        <f>IF($A289="","",(IF(ISNUMBER(SEARCH("Proposal",$A289)),SUMIFS('Timesheet Raw'!$P$4:$P$8000,'Timesheet Raw'!$A$4:$A$8000,IF(ISNUMBER(SEARCH("Chargable",$A289)),"2-Proposals Chargeable","3-Proposals Regular"),'Timesheet Raw'!$C$4:$C$8000,"*"&amp;$B289&amp;"*",'Timesheet Raw'!$L$4:$L$8000,"&gt;="&amp;MAX(K$5,DATE(2000+VALUE(RIGHT(TRIM($A289),2)),1,1)),'Timesheet Raw'!$L$4:$L$8000,"&lt;="&amp;MIN(K$6,DATE(2000+VALUE(RIGHT(TRIM($A289),2)),12,31))),SUMIFS('Timesheet Raw'!$P$4:$P$8000,'Timesheet Raw'!$B$4:$B$8000,TRIM($A289),'Timesheet Raw'!$C$4:$C$8000,"*"&amp;$B289&amp;"*",'Timesheet Raw'!$L$4:$L$8000,"&gt;="&amp;K$5,'Timesheet Raw'!$L$4:$L$8000,"&lt;="&amp;K$6)))/'Profit Plan'!$B$5)</f>
        <v>1.0810810810810811E-2</v>
      </c>
      <c r="L289" s="122">
        <f>IF($A289="","",(IF(ISNUMBER(SEARCH("Proposal",$A289)),SUMIFS('Timesheet Raw'!$P$4:$P$8000,'Timesheet Raw'!$A$4:$A$8000,IF(ISNUMBER(SEARCH("Chargable",$A289)),"2-Proposals Chargeable","3-Proposals Regular"),'Timesheet Raw'!$C$4:$C$8000,"*"&amp;$B289&amp;"*",'Timesheet Raw'!$L$4:$L$8000,"&gt;="&amp;MAX(L$5,DATE(2000+VALUE(RIGHT(TRIM($A289),2)),1,1)),'Timesheet Raw'!$L$4:$L$8000,"&lt;="&amp;MIN(L$6,DATE(2000+VALUE(RIGHT(TRIM($A289),2)),12,31))),SUMIFS('Timesheet Raw'!$P$4:$P$8000,'Timesheet Raw'!$B$4:$B$8000,TRIM($A289),'Timesheet Raw'!$C$4:$C$8000,"*"&amp;$B289&amp;"*",'Timesheet Raw'!$L$4:$L$8000,"&gt;="&amp;L$5,'Timesheet Raw'!$L$4:$L$8000,"&lt;="&amp;L$6)))/'Profit Plan'!$B$5)</f>
        <v>0</v>
      </c>
      <c r="M289" s="122">
        <f>IF($A289="","",(IF(ISNUMBER(SEARCH("Proposal",$A289)),SUMIFS('Timesheet Raw'!$P$4:$P$8000,'Timesheet Raw'!$A$4:$A$8000,IF(ISNUMBER(SEARCH("Chargable",$A289)),"2-Proposals Chargeable","3-Proposals Regular"),'Timesheet Raw'!$C$4:$C$8000,"*"&amp;$B289&amp;"*",'Timesheet Raw'!$L$4:$L$8000,"&gt;="&amp;MAX(M$5,DATE(2000+VALUE(RIGHT(TRIM($A289),2)),1,1)),'Timesheet Raw'!$L$4:$L$8000,"&lt;="&amp;MIN(M$6,DATE(2000+VALUE(RIGHT(TRIM($A289),2)),12,31))),SUMIFS('Timesheet Raw'!$P$4:$P$8000,'Timesheet Raw'!$B$4:$B$8000,TRIM($A289),'Timesheet Raw'!$C$4:$C$8000,"*"&amp;$B289&amp;"*",'Timesheet Raw'!$L$4:$L$8000,"&gt;="&amp;M$5,'Timesheet Raw'!$L$4:$L$8000,"&lt;="&amp;M$6)))/'Profit Plan'!$B$5)</f>
        <v>0</v>
      </c>
      <c r="N289" s="122">
        <f>IF($A289="","",(IF(ISNUMBER(SEARCH("Proposal",$A289)),SUMIFS('Timesheet Raw'!$P$4:$P$8000,'Timesheet Raw'!$A$4:$A$8000,IF(ISNUMBER(SEARCH("Chargable",$A289)),"2-Proposals Chargeable","3-Proposals Regular"),'Timesheet Raw'!$C$4:$C$8000,"*"&amp;$B289&amp;"*",'Timesheet Raw'!$L$4:$L$8000,"&gt;="&amp;MAX(N$5,DATE(2000+VALUE(RIGHT(TRIM($A289),2)),1,1)),'Timesheet Raw'!$L$4:$L$8000,"&lt;="&amp;MIN(N$6,DATE(2000+VALUE(RIGHT(TRIM($A289),2)),12,31))),SUMIFS('Timesheet Raw'!$P$4:$P$8000,'Timesheet Raw'!$B$4:$B$8000,TRIM($A289),'Timesheet Raw'!$C$4:$C$8000,"*"&amp;$B289&amp;"*",'Timesheet Raw'!$L$4:$L$8000,"&gt;="&amp;N$5,'Timesheet Raw'!$L$4:$L$8000,"&lt;="&amp;N$6)))/'Profit Plan'!$B$5)</f>
        <v>0</v>
      </c>
      <c r="O289" s="122">
        <f>IF($A289="","",(IF(ISNUMBER(SEARCH("Proposal",$A289)),SUMIFS('Timesheet Raw'!$P$4:$P$8000,'Timesheet Raw'!$A$4:$A$8000,IF(ISNUMBER(SEARCH("Chargable",$A289)),"2-Proposals Chargeable","3-Proposals Regular"),'Timesheet Raw'!$C$4:$C$8000,"*"&amp;$B289&amp;"*",'Timesheet Raw'!$L$4:$L$8000,"&gt;="&amp;MAX(O$5,DATE(2000+VALUE(RIGHT(TRIM($A289),2)),1,1)),'Timesheet Raw'!$L$4:$L$8000,"&lt;="&amp;MIN(O$6,DATE(2000+VALUE(RIGHT(TRIM($A289),2)),12,31))),SUMIFS('Timesheet Raw'!$P$4:$P$8000,'Timesheet Raw'!$B$4:$B$8000,TRIM($A289),'Timesheet Raw'!$C$4:$C$8000,"*"&amp;$B289&amp;"*",'Timesheet Raw'!$L$4:$L$8000,"&gt;="&amp;O$5,'Timesheet Raw'!$L$4:$L$8000,"&lt;="&amp;O$6)))/'Profit Plan'!$B$5)</f>
        <v>0</v>
      </c>
      <c r="P289" s="122">
        <f>IF($A289="","",(IF(ISNUMBER(SEARCH("Proposal",$A289)),SUMIFS('Timesheet Raw'!$P$4:$P$8000,'Timesheet Raw'!$A$4:$A$8000,IF(ISNUMBER(SEARCH("Chargable",$A289)),"2-Proposals Chargeable","3-Proposals Regular"),'Timesheet Raw'!$C$4:$C$8000,"*"&amp;$B289&amp;"*",'Timesheet Raw'!$L$4:$L$8000,"&gt;="&amp;MAX(P$5,DATE(2000+VALUE(RIGHT(TRIM($A289),2)),1,1)),'Timesheet Raw'!$L$4:$L$8000,"&lt;="&amp;MIN(P$6,DATE(2000+VALUE(RIGHT(TRIM($A289),2)),12,31))),SUMIFS('Timesheet Raw'!$P$4:$P$8000,'Timesheet Raw'!$B$4:$B$8000,TRIM($A289),'Timesheet Raw'!$C$4:$C$8000,"*"&amp;$B289&amp;"*",'Timesheet Raw'!$L$4:$L$8000,"&gt;="&amp;P$5,'Timesheet Raw'!$L$4:$L$8000,"&lt;="&amp;P$6)))/'Profit Plan'!$B$5)</f>
        <v>0</v>
      </c>
      <c r="Q289" s="122">
        <f>IF($A289="","",(IF(ISNUMBER(SEARCH("Proposal",$A289)),SUMIFS('Timesheet Raw'!$P$4:$P$8000,'Timesheet Raw'!$A$4:$A$8000,IF(ISNUMBER(SEARCH("Chargable",$A289)),"2-Proposals Chargeable","3-Proposals Regular"),'Timesheet Raw'!$C$4:$C$8000,"*"&amp;$B289&amp;"*",'Timesheet Raw'!$L$4:$L$8000,"&gt;="&amp;MAX(Q$5,DATE(2000+VALUE(RIGHT(TRIM($A289),2)),1,1)),'Timesheet Raw'!$L$4:$L$8000,"&lt;="&amp;MIN(Q$6,DATE(2000+VALUE(RIGHT(TRIM($A289),2)),12,31))),SUMIFS('Timesheet Raw'!$P$4:$P$8000,'Timesheet Raw'!$B$4:$B$8000,TRIM($A289),'Timesheet Raw'!$C$4:$C$8000,"*"&amp;$B289&amp;"*",'Timesheet Raw'!$L$4:$L$8000,"&gt;="&amp;Q$5,'Timesheet Raw'!$L$4:$L$8000,"&lt;="&amp;Q$6)))/'Profit Plan'!$B$5)</f>
        <v>0</v>
      </c>
      <c r="R289" s="122">
        <f>IF($A289="","",(IF(ISNUMBER(SEARCH("Proposal",$A289)),SUMIFS('Timesheet Raw'!$P$4:$P$8000,'Timesheet Raw'!$A$4:$A$8000,IF(ISNUMBER(SEARCH("Chargable",$A289)),"2-Proposals Chargeable","3-Proposals Regular"),'Timesheet Raw'!$C$4:$C$8000,"*"&amp;$B289&amp;"*",'Timesheet Raw'!$L$4:$L$8000,"&gt;="&amp;MAX(R$5,DATE(2000+VALUE(RIGHT(TRIM($A289),2)),1,1)),'Timesheet Raw'!$L$4:$L$8000,"&lt;="&amp;MIN(R$6,DATE(2000+VALUE(RIGHT(TRIM($A289),2)),12,31))),SUMIFS('Timesheet Raw'!$P$4:$P$8000,'Timesheet Raw'!$B$4:$B$8000,TRIM($A289),'Timesheet Raw'!$C$4:$C$8000,"*"&amp;$B289&amp;"*",'Timesheet Raw'!$L$4:$L$8000,"&gt;="&amp;R$5,'Timesheet Raw'!$L$4:$L$8000,"&lt;="&amp;R$6)))/'Profit Plan'!$B$5)</f>
        <v>0</v>
      </c>
      <c r="S289" s="122">
        <f>IF($A289="","",(IF(ISNUMBER(SEARCH("Proposal",$A289)),SUMIFS('Timesheet Raw'!$P$4:$P$8000,'Timesheet Raw'!$A$4:$A$8000,IF(ISNUMBER(SEARCH("Chargable",$A289)),"2-Proposals Chargeable","3-Proposals Regular"),'Timesheet Raw'!$C$4:$C$8000,"*"&amp;$B289&amp;"*",'Timesheet Raw'!$L$4:$L$8000,"&gt;="&amp;MAX(S$5,DATE(2000+VALUE(RIGHT(TRIM($A289),2)),1,1)),'Timesheet Raw'!$L$4:$L$8000,"&lt;="&amp;MIN(S$6,DATE(2000+VALUE(RIGHT(TRIM($A289),2)),12,31))),SUMIFS('Timesheet Raw'!$P$4:$P$8000,'Timesheet Raw'!$B$4:$B$8000,TRIM($A289),'Timesheet Raw'!$C$4:$C$8000,"*"&amp;$B289&amp;"*",'Timesheet Raw'!$L$4:$L$8000,"&gt;="&amp;S$5,'Timesheet Raw'!$L$4:$L$8000,"&lt;="&amp;S$6)))/'Profit Plan'!$B$5)</f>
        <v>0</v>
      </c>
      <c r="T289" s="122">
        <f>IF($A289="","",(IF(ISNUMBER(SEARCH("Proposal",$A289)),SUMIFS('Timesheet Raw'!$P$4:$P$8000,'Timesheet Raw'!$A$4:$A$8000,IF(ISNUMBER(SEARCH("Chargable",$A289)),"2-Proposals Chargeable","3-Proposals Regular"),'Timesheet Raw'!$C$4:$C$8000,"*"&amp;$B289&amp;"*",'Timesheet Raw'!$L$4:$L$8000,"&gt;="&amp;MAX(T$5,DATE(2000+VALUE(RIGHT(TRIM($A289),2)),1,1)),'Timesheet Raw'!$L$4:$L$8000,"&lt;="&amp;MIN(T$6,DATE(2000+VALUE(RIGHT(TRIM($A289),2)),12,31))),SUMIFS('Timesheet Raw'!$P$4:$P$8000,'Timesheet Raw'!$B$4:$B$8000,TRIM($A289),'Timesheet Raw'!$C$4:$C$8000,"*"&amp;$B289&amp;"*",'Timesheet Raw'!$L$4:$L$8000,"&gt;="&amp;T$5,'Timesheet Raw'!$L$4:$L$8000,"&lt;="&amp;T$6)))/'Profit Plan'!$B$5)</f>
        <v>0</v>
      </c>
      <c r="U289" s="122">
        <f>IF($A289="","",(IF(ISNUMBER(SEARCH("Proposal",$A289)),SUMIFS('Timesheet Raw'!$P$4:$P$8000,'Timesheet Raw'!$A$4:$A$8000,IF(ISNUMBER(SEARCH("Chargable",$A289)),"2-Proposals Chargeable","3-Proposals Regular"),'Timesheet Raw'!$C$4:$C$8000,"*"&amp;$B289&amp;"*",'Timesheet Raw'!$L$4:$L$8000,"&gt;="&amp;MAX(U$5,DATE(2000+VALUE(RIGHT(TRIM($A289),2)),1,1)),'Timesheet Raw'!$L$4:$L$8000,"&lt;="&amp;MIN(U$6,DATE(2000+VALUE(RIGHT(TRIM($A289),2)),12,31))),SUMIFS('Timesheet Raw'!$P$4:$P$8000,'Timesheet Raw'!$B$4:$B$8000,TRIM($A289),'Timesheet Raw'!$C$4:$C$8000,"*"&amp;$B289&amp;"*",'Timesheet Raw'!$L$4:$L$8000,"&gt;="&amp;U$5,'Timesheet Raw'!$L$4:$L$8000,"&lt;="&amp;U$6)))/'Profit Plan'!$B$5)</f>
        <v>0</v>
      </c>
      <c r="V289" s="122">
        <f>IF($A289="","",(IF(ISNUMBER(SEARCH("Proposal",$A289)),SUMIFS('Timesheet Raw'!$P$4:$P$8000,'Timesheet Raw'!$A$4:$A$8000,IF(ISNUMBER(SEARCH("Chargable",$A289)),"2-Proposals Chargeable","3-Proposals Regular"),'Timesheet Raw'!$C$4:$C$8000,"*"&amp;$B289&amp;"*",'Timesheet Raw'!$L$4:$L$8000,"&gt;="&amp;MAX(V$5,DATE(2000+VALUE(RIGHT(TRIM($A289),2)),1,1)),'Timesheet Raw'!$L$4:$L$8000,"&lt;="&amp;MIN(V$6,DATE(2000+VALUE(RIGHT(TRIM($A289),2)),12,31))),SUMIFS('Timesheet Raw'!$P$4:$P$8000,'Timesheet Raw'!$B$4:$B$8000,TRIM($A289),'Timesheet Raw'!$C$4:$C$8000,"*"&amp;$B289&amp;"*",'Timesheet Raw'!$L$4:$L$8000,"&gt;="&amp;V$5,'Timesheet Raw'!$L$4:$L$8000,"&lt;="&amp;V$6)))/'Profit Plan'!$B$5)</f>
        <v>0</v>
      </c>
      <c r="W289" s="122">
        <f>IF($A289="","",(IF(ISNUMBER(SEARCH("Proposal",$A289)),SUMIFS('Timesheet Raw'!$P$4:$P$8000,'Timesheet Raw'!$A$4:$A$8000,IF(ISNUMBER(SEARCH("Chargable",$A289)),"2-Proposals Chargeable","3-Proposals Regular"),'Timesheet Raw'!$C$4:$C$8000,"*"&amp;$B289&amp;"*",'Timesheet Raw'!$L$4:$L$8000,"&gt;="&amp;MAX(W$5,DATE(2000+VALUE(RIGHT(TRIM($A289),2)),1,1)),'Timesheet Raw'!$L$4:$L$8000,"&lt;="&amp;MIN(W$6,DATE(2000+VALUE(RIGHT(TRIM($A289),2)),12,31))),SUMIFS('Timesheet Raw'!$P$4:$P$8000,'Timesheet Raw'!$B$4:$B$8000,TRIM($A289),'Timesheet Raw'!$C$4:$C$8000,"*"&amp;$B289&amp;"*",'Timesheet Raw'!$L$4:$L$8000,"&gt;="&amp;W$5,'Timesheet Raw'!$L$4:$L$8000,"&lt;="&amp;W$6)))/'Profit Plan'!$B$5)</f>
        <v>0</v>
      </c>
      <c r="X289" s="122">
        <f>IF($A289="","",(IF(ISNUMBER(SEARCH("Proposal",$A289)),SUMIFS('Timesheet Raw'!$P$4:$P$8000,'Timesheet Raw'!$A$4:$A$8000,IF(ISNUMBER(SEARCH("Chargable",$A289)),"2-Proposals Chargeable","3-Proposals Regular"),'Timesheet Raw'!$C$4:$C$8000,"*"&amp;$B289&amp;"*",'Timesheet Raw'!$L$4:$L$8000,"&gt;="&amp;MAX(X$5,DATE(2000+VALUE(RIGHT(TRIM($A289),2)),1,1)),'Timesheet Raw'!$L$4:$L$8000,"&lt;="&amp;MIN(X$6,DATE(2000+VALUE(RIGHT(TRIM($A289),2)),12,31))),SUMIFS('Timesheet Raw'!$P$4:$P$8000,'Timesheet Raw'!$B$4:$B$8000,TRIM($A289),'Timesheet Raw'!$C$4:$C$8000,"*"&amp;$B289&amp;"*",'Timesheet Raw'!$L$4:$L$8000,"&gt;="&amp;X$5,'Timesheet Raw'!$L$4:$L$8000,"&lt;="&amp;X$6)))/'Profit Plan'!$B$5)</f>
        <v>0</v>
      </c>
      <c r="Y289" s="118">
        <f t="shared" si="100"/>
        <v>1.0810810810810811E-2</v>
      </c>
    </row>
    <row r="290" spans="1:25" x14ac:dyDescent="0.3">
      <c r="A290" s="116" t="str">
        <f>IF(Inputs!$A14="","",Inputs!$A14)</f>
        <v>AN24073-0100D</v>
      </c>
      <c r="B290" s="116" t="str">
        <f>IF(Inputs!$A14="","",Inputs!$A$92)</f>
        <v>Osama</v>
      </c>
      <c r="C290" s="116"/>
      <c r="D290" s="122">
        <f>IF($A290="","",(IF(ISNUMBER(SEARCH("Proposal",$A290)),SUMIFS('Timesheet Raw'!$P$4:$P$8000,'Timesheet Raw'!$A$4:$A$8000,IF(ISNUMBER(SEARCH("Chargable",$A290)),"2-Proposals Chargeable","3-Proposals Regular"),'Timesheet Raw'!$C$4:$C$8000,"*"&amp;$B290&amp;"*",'Timesheet Raw'!$L$4:$L$8000,"&gt;="&amp;MAX(D$5,DATE(2000+VALUE(RIGHT(TRIM($A290),2)),1,1)),'Timesheet Raw'!$L$4:$L$8000,"&lt;="&amp;MIN(D$6,DATE(2000+VALUE(RIGHT(TRIM($A290),2)),12,31))),SUMIFS('Timesheet Raw'!$P$4:$P$8000,'Timesheet Raw'!$B$4:$B$8000,TRIM($A290),'Timesheet Raw'!$C$4:$C$8000,"*"&amp;$B290&amp;"*",'Timesheet Raw'!$L$4:$L$8000,"&gt;="&amp;D$5,'Timesheet Raw'!$L$4:$L$8000,"&lt;="&amp;D$6)))/'Profit Plan'!$B$5)</f>
        <v>0</v>
      </c>
      <c r="E290" s="122">
        <f>IF($A290="","",(IF(ISNUMBER(SEARCH("Proposal",$A290)),SUMIFS('Timesheet Raw'!$P$4:$P$8000,'Timesheet Raw'!$A$4:$A$8000,IF(ISNUMBER(SEARCH("Chargable",$A290)),"2-Proposals Chargeable","3-Proposals Regular"),'Timesheet Raw'!$C$4:$C$8000,"*"&amp;$B290&amp;"*",'Timesheet Raw'!$L$4:$L$8000,"&gt;="&amp;MAX(E$5,DATE(2000+VALUE(RIGHT(TRIM($A290),2)),1,1)),'Timesheet Raw'!$L$4:$L$8000,"&lt;="&amp;MIN(E$6,DATE(2000+VALUE(RIGHT(TRIM($A290),2)),12,31))),SUMIFS('Timesheet Raw'!$P$4:$P$8000,'Timesheet Raw'!$B$4:$B$8000,TRIM($A290),'Timesheet Raw'!$C$4:$C$8000,"*"&amp;$B290&amp;"*",'Timesheet Raw'!$L$4:$L$8000,"&gt;="&amp;E$5,'Timesheet Raw'!$L$4:$L$8000,"&lt;="&amp;E$6)))/'Profit Plan'!$B$5)</f>
        <v>0</v>
      </c>
      <c r="F290" s="122">
        <f>IF($A290="","",(IF(ISNUMBER(SEARCH("Proposal",$A290)),SUMIFS('Timesheet Raw'!$P$4:$P$8000,'Timesheet Raw'!$A$4:$A$8000,IF(ISNUMBER(SEARCH("Chargable",$A290)),"2-Proposals Chargeable","3-Proposals Regular"),'Timesheet Raw'!$C$4:$C$8000,"*"&amp;$B290&amp;"*",'Timesheet Raw'!$L$4:$L$8000,"&gt;="&amp;MAX(F$5,DATE(2000+VALUE(RIGHT(TRIM($A290),2)),1,1)),'Timesheet Raw'!$L$4:$L$8000,"&lt;="&amp;MIN(F$6,DATE(2000+VALUE(RIGHT(TRIM($A290),2)),12,31))),SUMIFS('Timesheet Raw'!$P$4:$P$8000,'Timesheet Raw'!$B$4:$B$8000,TRIM($A290),'Timesheet Raw'!$C$4:$C$8000,"*"&amp;$B290&amp;"*",'Timesheet Raw'!$L$4:$L$8000,"&gt;="&amp;F$5,'Timesheet Raw'!$L$4:$L$8000,"&lt;="&amp;F$6)))/'Profit Plan'!$B$5)</f>
        <v>0</v>
      </c>
      <c r="G290" s="122">
        <f>IF($A290="","",(IF(ISNUMBER(SEARCH("Proposal",$A290)),SUMIFS('Timesheet Raw'!$P$4:$P$8000,'Timesheet Raw'!$A$4:$A$8000,IF(ISNUMBER(SEARCH("Chargable",$A290)),"2-Proposals Chargeable","3-Proposals Regular"),'Timesheet Raw'!$C$4:$C$8000,"*"&amp;$B290&amp;"*",'Timesheet Raw'!$L$4:$L$8000,"&gt;="&amp;MAX(G$5,DATE(2000+VALUE(RIGHT(TRIM($A290),2)),1,1)),'Timesheet Raw'!$L$4:$L$8000,"&lt;="&amp;MIN(G$6,DATE(2000+VALUE(RIGHT(TRIM($A290),2)),12,31))),SUMIFS('Timesheet Raw'!$P$4:$P$8000,'Timesheet Raw'!$B$4:$B$8000,TRIM($A290),'Timesheet Raw'!$C$4:$C$8000,"*"&amp;$B290&amp;"*",'Timesheet Raw'!$L$4:$L$8000,"&gt;="&amp;G$5,'Timesheet Raw'!$L$4:$L$8000,"&lt;="&amp;G$6)))/'Profit Plan'!$B$5)</f>
        <v>0</v>
      </c>
      <c r="H290" s="122">
        <f>IF($A290="","",(IF(ISNUMBER(SEARCH("Proposal",$A290)),SUMIFS('Timesheet Raw'!$P$4:$P$8000,'Timesheet Raw'!$A$4:$A$8000,IF(ISNUMBER(SEARCH("Chargable",$A290)),"2-Proposals Chargeable","3-Proposals Regular"),'Timesheet Raw'!$C$4:$C$8000,"*"&amp;$B290&amp;"*",'Timesheet Raw'!$L$4:$L$8000,"&gt;="&amp;MAX(H$5,DATE(2000+VALUE(RIGHT(TRIM($A290),2)),1,1)),'Timesheet Raw'!$L$4:$L$8000,"&lt;="&amp;MIN(H$6,DATE(2000+VALUE(RIGHT(TRIM($A290),2)),12,31))),SUMIFS('Timesheet Raw'!$P$4:$P$8000,'Timesheet Raw'!$B$4:$B$8000,TRIM($A290),'Timesheet Raw'!$C$4:$C$8000,"*"&amp;$B290&amp;"*",'Timesheet Raw'!$L$4:$L$8000,"&gt;="&amp;H$5,'Timesheet Raw'!$L$4:$L$8000,"&lt;="&amp;H$6)))/'Profit Plan'!$B$5)</f>
        <v>0</v>
      </c>
      <c r="I290" s="122">
        <f>IF($A290="","",(IF(ISNUMBER(SEARCH("Proposal",$A290)),SUMIFS('Timesheet Raw'!$P$4:$P$8000,'Timesheet Raw'!$A$4:$A$8000,IF(ISNUMBER(SEARCH("Chargable",$A290)),"2-Proposals Chargeable","3-Proposals Regular"),'Timesheet Raw'!$C$4:$C$8000,"*"&amp;$B290&amp;"*",'Timesheet Raw'!$L$4:$L$8000,"&gt;="&amp;MAX(I$5,DATE(2000+VALUE(RIGHT(TRIM($A290),2)),1,1)),'Timesheet Raw'!$L$4:$L$8000,"&lt;="&amp;MIN(I$6,DATE(2000+VALUE(RIGHT(TRIM($A290),2)),12,31))),SUMIFS('Timesheet Raw'!$P$4:$P$8000,'Timesheet Raw'!$B$4:$B$8000,TRIM($A290),'Timesheet Raw'!$C$4:$C$8000,"*"&amp;$B290&amp;"*",'Timesheet Raw'!$L$4:$L$8000,"&gt;="&amp;I$5,'Timesheet Raw'!$L$4:$L$8000,"&lt;="&amp;I$6)))/'Profit Plan'!$B$5)</f>
        <v>0</v>
      </c>
      <c r="J290" s="122">
        <f>IF($A290="","",(IF(ISNUMBER(SEARCH("Proposal",$A290)),SUMIFS('Timesheet Raw'!$P$4:$P$8000,'Timesheet Raw'!$A$4:$A$8000,IF(ISNUMBER(SEARCH("Chargable",$A290)),"2-Proposals Chargeable","3-Proposals Regular"),'Timesheet Raw'!$C$4:$C$8000,"*"&amp;$B290&amp;"*",'Timesheet Raw'!$L$4:$L$8000,"&gt;="&amp;MAX(J$5,DATE(2000+VALUE(RIGHT(TRIM($A290),2)),1,1)),'Timesheet Raw'!$L$4:$L$8000,"&lt;="&amp;MIN(J$6,DATE(2000+VALUE(RIGHT(TRIM($A290),2)),12,31))),SUMIFS('Timesheet Raw'!$P$4:$P$8000,'Timesheet Raw'!$B$4:$B$8000,TRIM($A290),'Timesheet Raw'!$C$4:$C$8000,"*"&amp;$B290&amp;"*",'Timesheet Raw'!$L$4:$L$8000,"&gt;="&amp;J$5,'Timesheet Raw'!$L$4:$L$8000,"&lt;="&amp;J$6)))/'Profit Plan'!$B$5)</f>
        <v>0</v>
      </c>
      <c r="K290" s="122">
        <f>IF($A290="","",(IF(ISNUMBER(SEARCH("Proposal",$A290)),SUMIFS('Timesheet Raw'!$P$4:$P$8000,'Timesheet Raw'!$A$4:$A$8000,IF(ISNUMBER(SEARCH("Chargable",$A290)),"2-Proposals Chargeable","3-Proposals Regular"),'Timesheet Raw'!$C$4:$C$8000,"*"&amp;$B290&amp;"*",'Timesheet Raw'!$L$4:$L$8000,"&gt;="&amp;MAX(K$5,DATE(2000+VALUE(RIGHT(TRIM($A290),2)),1,1)),'Timesheet Raw'!$L$4:$L$8000,"&lt;="&amp;MIN(K$6,DATE(2000+VALUE(RIGHT(TRIM($A290),2)),12,31))),SUMIFS('Timesheet Raw'!$P$4:$P$8000,'Timesheet Raw'!$B$4:$B$8000,TRIM($A290),'Timesheet Raw'!$C$4:$C$8000,"*"&amp;$B290&amp;"*",'Timesheet Raw'!$L$4:$L$8000,"&gt;="&amp;K$5,'Timesheet Raw'!$L$4:$L$8000,"&lt;="&amp;K$6)))/'Profit Plan'!$B$5)</f>
        <v>6.7567567567567571E-2</v>
      </c>
      <c r="L290" s="122">
        <f>IF($A290="","",(IF(ISNUMBER(SEARCH("Proposal",$A290)),SUMIFS('Timesheet Raw'!$P$4:$P$8000,'Timesheet Raw'!$A$4:$A$8000,IF(ISNUMBER(SEARCH("Chargable",$A290)),"2-Proposals Chargeable","3-Proposals Regular"),'Timesheet Raw'!$C$4:$C$8000,"*"&amp;$B290&amp;"*",'Timesheet Raw'!$L$4:$L$8000,"&gt;="&amp;MAX(L$5,DATE(2000+VALUE(RIGHT(TRIM($A290),2)),1,1)),'Timesheet Raw'!$L$4:$L$8000,"&lt;="&amp;MIN(L$6,DATE(2000+VALUE(RIGHT(TRIM($A290),2)),12,31))),SUMIFS('Timesheet Raw'!$P$4:$P$8000,'Timesheet Raw'!$B$4:$B$8000,TRIM($A290),'Timesheet Raw'!$C$4:$C$8000,"*"&amp;$B290&amp;"*",'Timesheet Raw'!$L$4:$L$8000,"&gt;="&amp;L$5,'Timesheet Raw'!$L$4:$L$8000,"&lt;="&amp;L$6)))/'Profit Plan'!$B$5)</f>
        <v>0</v>
      </c>
      <c r="M290" s="122">
        <f>IF($A290="","",(IF(ISNUMBER(SEARCH("Proposal",$A290)),SUMIFS('Timesheet Raw'!$P$4:$P$8000,'Timesheet Raw'!$A$4:$A$8000,IF(ISNUMBER(SEARCH("Chargable",$A290)),"2-Proposals Chargeable","3-Proposals Regular"),'Timesheet Raw'!$C$4:$C$8000,"*"&amp;$B290&amp;"*",'Timesheet Raw'!$L$4:$L$8000,"&gt;="&amp;MAX(M$5,DATE(2000+VALUE(RIGHT(TRIM($A290),2)),1,1)),'Timesheet Raw'!$L$4:$L$8000,"&lt;="&amp;MIN(M$6,DATE(2000+VALUE(RIGHT(TRIM($A290),2)),12,31))),SUMIFS('Timesheet Raw'!$P$4:$P$8000,'Timesheet Raw'!$B$4:$B$8000,TRIM($A290),'Timesheet Raw'!$C$4:$C$8000,"*"&amp;$B290&amp;"*",'Timesheet Raw'!$L$4:$L$8000,"&gt;="&amp;M$5,'Timesheet Raw'!$L$4:$L$8000,"&lt;="&amp;M$6)))/'Profit Plan'!$B$5)</f>
        <v>0</v>
      </c>
      <c r="N290" s="122">
        <f>IF($A290="","",(IF(ISNUMBER(SEARCH("Proposal",$A290)),SUMIFS('Timesheet Raw'!$P$4:$P$8000,'Timesheet Raw'!$A$4:$A$8000,IF(ISNUMBER(SEARCH("Chargable",$A290)),"2-Proposals Chargeable","3-Proposals Regular"),'Timesheet Raw'!$C$4:$C$8000,"*"&amp;$B290&amp;"*",'Timesheet Raw'!$L$4:$L$8000,"&gt;="&amp;MAX(N$5,DATE(2000+VALUE(RIGHT(TRIM($A290),2)),1,1)),'Timesheet Raw'!$L$4:$L$8000,"&lt;="&amp;MIN(N$6,DATE(2000+VALUE(RIGHT(TRIM($A290),2)),12,31))),SUMIFS('Timesheet Raw'!$P$4:$P$8000,'Timesheet Raw'!$B$4:$B$8000,TRIM($A290),'Timesheet Raw'!$C$4:$C$8000,"*"&amp;$B290&amp;"*",'Timesheet Raw'!$L$4:$L$8000,"&gt;="&amp;N$5,'Timesheet Raw'!$L$4:$L$8000,"&lt;="&amp;N$6)))/'Profit Plan'!$B$5)</f>
        <v>0</v>
      </c>
      <c r="O290" s="122">
        <f>IF($A290="","",(IF(ISNUMBER(SEARCH("Proposal",$A290)),SUMIFS('Timesheet Raw'!$P$4:$P$8000,'Timesheet Raw'!$A$4:$A$8000,IF(ISNUMBER(SEARCH("Chargable",$A290)),"2-Proposals Chargeable","3-Proposals Regular"),'Timesheet Raw'!$C$4:$C$8000,"*"&amp;$B290&amp;"*",'Timesheet Raw'!$L$4:$L$8000,"&gt;="&amp;MAX(O$5,DATE(2000+VALUE(RIGHT(TRIM($A290),2)),1,1)),'Timesheet Raw'!$L$4:$L$8000,"&lt;="&amp;MIN(O$6,DATE(2000+VALUE(RIGHT(TRIM($A290),2)),12,31))),SUMIFS('Timesheet Raw'!$P$4:$P$8000,'Timesheet Raw'!$B$4:$B$8000,TRIM($A290),'Timesheet Raw'!$C$4:$C$8000,"*"&amp;$B290&amp;"*",'Timesheet Raw'!$L$4:$L$8000,"&gt;="&amp;O$5,'Timesheet Raw'!$L$4:$L$8000,"&lt;="&amp;O$6)))/'Profit Plan'!$B$5)</f>
        <v>0</v>
      </c>
      <c r="P290" s="122">
        <f>IF($A290="","",(IF(ISNUMBER(SEARCH("Proposal",$A290)),SUMIFS('Timesheet Raw'!$P$4:$P$8000,'Timesheet Raw'!$A$4:$A$8000,IF(ISNUMBER(SEARCH("Chargable",$A290)),"2-Proposals Chargeable","3-Proposals Regular"),'Timesheet Raw'!$C$4:$C$8000,"*"&amp;$B290&amp;"*",'Timesheet Raw'!$L$4:$L$8000,"&gt;="&amp;MAX(P$5,DATE(2000+VALUE(RIGHT(TRIM($A290),2)),1,1)),'Timesheet Raw'!$L$4:$L$8000,"&lt;="&amp;MIN(P$6,DATE(2000+VALUE(RIGHT(TRIM($A290),2)),12,31))),SUMIFS('Timesheet Raw'!$P$4:$P$8000,'Timesheet Raw'!$B$4:$B$8000,TRIM($A290),'Timesheet Raw'!$C$4:$C$8000,"*"&amp;$B290&amp;"*",'Timesheet Raw'!$L$4:$L$8000,"&gt;="&amp;P$5,'Timesheet Raw'!$L$4:$L$8000,"&lt;="&amp;P$6)))/'Profit Plan'!$B$5)</f>
        <v>0</v>
      </c>
      <c r="Q290" s="122">
        <f>IF($A290="","",(IF(ISNUMBER(SEARCH("Proposal",$A290)),SUMIFS('Timesheet Raw'!$P$4:$P$8000,'Timesheet Raw'!$A$4:$A$8000,IF(ISNUMBER(SEARCH("Chargable",$A290)),"2-Proposals Chargeable","3-Proposals Regular"),'Timesheet Raw'!$C$4:$C$8000,"*"&amp;$B290&amp;"*",'Timesheet Raw'!$L$4:$L$8000,"&gt;="&amp;MAX(Q$5,DATE(2000+VALUE(RIGHT(TRIM($A290),2)),1,1)),'Timesheet Raw'!$L$4:$L$8000,"&lt;="&amp;MIN(Q$6,DATE(2000+VALUE(RIGHT(TRIM($A290),2)),12,31))),SUMIFS('Timesheet Raw'!$P$4:$P$8000,'Timesheet Raw'!$B$4:$B$8000,TRIM($A290),'Timesheet Raw'!$C$4:$C$8000,"*"&amp;$B290&amp;"*",'Timesheet Raw'!$L$4:$L$8000,"&gt;="&amp;Q$5,'Timesheet Raw'!$L$4:$L$8000,"&lt;="&amp;Q$6)))/'Profit Plan'!$B$5)</f>
        <v>0</v>
      </c>
      <c r="R290" s="122">
        <f>IF($A290="","",(IF(ISNUMBER(SEARCH("Proposal",$A290)),SUMIFS('Timesheet Raw'!$P$4:$P$8000,'Timesheet Raw'!$A$4:$A$8000,IF(ISNUMBER(SEARCH("Chargable",$A290)),"2-Proposals Chargeable","3-Proposals Regular"),'Timesheet Raw'!$C$4:$C$8000,"*"&amp;$B290&amp;"*",'Timesheet Raw'!$L$4:$L$8000,"&gt;="&amp;MAX(R$5,DATE(2000+VALUE(RIGHT(TRIM($A290),2)),1,1)),'Timesheet Raw'!$L$4:$L$8000,"&lt;="&amp;MIN(R$6,DATE(2000+VALUE(RIGHT(TRIM($A290),2)),12,31))),SUMIFS('Timesheet Raw'!$P$4:$P$8000,'Timesheet Raw'!$B$4:$B$8000,TRIM($A290),'Timesheet Raw'!$C$4:$C$8000,"*"&amp;$B290&amp;"*",'Timesheet Raw'!$L$4:$L$8000,"&gt;="&amp;R$5,'Timesheet Raw'!$L$4:$L$8000,"&lt;="&amp;R$6)))/'Profit Plan'!$B$5)</f>
        <v>0</v>
      </c>
      <c r="S290" s="122">
        <f>IF($A290="","",(IF(ISNUMBER(SEARCH("Proposal",$A290)),SUMIFS('Timesheet Raw'!$P$4:$P$8000,'Timesheet Raw'!$A$4:$A$8000,IF(ISNUMBER(SEARCH("Chargable",$A290)),"2-Proposals Chargeable","3-Proposals Regular"),'Timesheet Raw'!$C$4:$C$8000,"*"&amp;$B290&amp;"*",'Timesheet Raw'!$L$4:$L$8000,"&gt;="&amp;MAX(S$5,DATE(2000+VALUE(RIGHT(TRIM($A290),2)),1,1)),'Timesheet Raw'!$L$4:$L$8000,"&lt;="&amp;MIN(S$6,DATE(2000+VALUE(RIGHT(TRIM($A290),2)),12,31))),SUMIFS('Timesheet Raw'!$P$4:$P$8000,'Timesheet Raw'!$B$4:$B$8000,TRIM($A290),'Timesheet Raw'!$C$4:$C$8000,"*"&amp;$B290&amp;"*",'Timesheet Raw'!$L$4:$L$8000,"&gt;="&amp;S$5,'Timesheet Raw'!$L$4:$L$8000,"&lt;="&amp;S$6)))/'Profit Plan'!$B$5)</f>
        <v>0</v>
      </c>
      <c r="T290" s="122">
        <f>IF($A290="","",(IF(ISNUMBER(SEARCH("Proposal",$A290)),SUMIFS('Timesheet Raw'!$P$4:$P$8000,'Timesheet Raw'!$A$4:$A$8000,IF(ISNUMBER(SEARCH("Chargable",$A290)),"2-Proposals Chargeable","3-Proposals Regular"),'Timesheet Raw'!$C$4:$C$8000,"*"&amp;$B290&amp;"*",'Timesheet Raw'!$L$4:$L$8000,"&gt;="&amp;MAX(T$5,DATE(2000+VALUE(RIGHT(TRIM($A290),2)),1,1)),'Timesheet Raw'!$L$4:$L$8000,"&lt;="&amp;MIN(T$6,DATE(2000+VALUE(RIGHT(TRIM($A290),2)),12,31))),SUMIFS('Timesheet Raw'!$P$4:$P$8000,'Timesheet Raw'!$B$4:$B$8000,TRIM($A290),'Timesheet Raw'!$C$4:$C$8000,"*"&amp;$B290&amp;"*",'Timesheet Raw'!$L$4:$L$8000,"&gt;="&amp;T$5,'Timesheet Raw'!$L$4:$L$8000,"&lt;="&amp;T$6)))/'Profit Plan'!$B$5)</f>
        <v>0</v>
      </c>
      <c r="U290" s="122">
        <f>IF($A290="","",(IF(ISNUMBER(SEARCH("Proposal",$A290)),SUMIFS('Timesheet Raw'!$P$4:$P$8000,'Timesheet Raw'!$A$4:$A$8000,IF(ISNUMBER(SEARCH("Chargable",$A290)),"2-Proposals Chargeable","3-Proposals Regular"),'Timesheet Raw'!$C$4:$C$8000,"*"&amp;$B290&amp;"*",'Timesheet Raw'!$L$4:$L$8000,"&gt;="&amp;MAX(U$5,DATE(2000+VALUE(RIGHT(TRIM($A290),2)),1,1)),'Timesheet Raw'!$L$4:$L$8000,"&lt;="&amp;MIN(U$6,DATE(2000+VALUE(RIGHT(TRIM($A290),2)),12,31))),SUMIFS('Timesheet Raw'!$P$4:$P$8000,'Timesheet Raw'!$B$4:$B$8000,TRIM($A290),'Timesheet Raw'!$C$4:$C$8000,"*"&amp;$B290&amp;"*",'Timesheet Raw'!$L$4:$L$8000,"&gt;="&amp;U$5,'Timesheet Raw'!$L$4:$L$8000,"&lt;="&amp;U$6)))/'Profit Plan'!$B$5)</f>
        <v>0</v>
      </c>
      <c r="V290" s="122">
        <f>IF($A290="","",(IF(ISNUMBER(SEARCH("Proposal",$A290)),SUMIFS('Timesheet Raw'!$P$4:$P$8000,'Timesheet Raw'!$A$4:$A$8000,IF(ISNUMBER(SEARCH("Chargable",$A290)),"2-Proposals Chargeable","3-Proposals Regular"),'Timesheet Raw'!$C$4:$C$8000,"*"&amp;$B290&amp;"*",'Timesheet Raw'!$L$4:$L$8000,"&gt;="&amp;MAX(V$5,DATE(2000+VALUE(RIGHT(TRIM($A290),2)),1,1)),'Timesheet Raw'!$L$4:$L$8000,"&lt;="&amp;MIN(V$6,DATE(2000+VALUE(RIGHT(TRIM($A290),2)),12,31))),SUMIFS('Timesheet Raw'!$P$4:$P$8000,'Timesheet Raw'!$B$4:$B$8000,TRIM($A290),'Timesheet Raw'!$C$4:$C$8000,"*"&amp;$B290&amp;"*",'Timesheet Raw'!$L$4:$L$8000,"&gt;="&amp;V$5,'Timesheet Raw'!$L$4:$L$8000,"&lt;="&amp;V$6)))/'Profit Plan'!$B$5)</f>
        <v>0</v>
      </c>
      <c r="W290" s="122">
        <f>IF($A290="","",(IF(ISNUMBER(SEARCH("Proposal",$A290)),SUMIFS('Timesheet Raw'!$P$4:$P$8000,'Timesheet Raw'!$A$4:$A$8000,IF(ISNUMBER(SEARCH("Chargable",$A290)),"2-Proposals Chargeable","3-Proposals Regular"),'Timesheet Raw'!$C$4:$C$8000,"*"&amp;$B290&amp;"*",'Timesheet Raw'!$L$4:$L$8000,"&gt;="&amp;MAX(W$5,DATE(2000+VALUE(RIGHT(TRIM($A290),2)),1,1)),'Timesheet Raw'!$L$4:$L$8000,"&lt;="&amp;MIN(W$6,DATE(2000+VALUE(RIGHT(TRIM($A290),2)),12,31))),SUMIFS('Timesheet Raw'!$P$4:$P$8000,'Timesheet Raw'!$B$4:$B$8000,TRIM($A290),'Timesheet Raw'!$C$4:$C$8000,"*"&amp;$B290&amp;"*",'Timesheet Raw'!$L$4:$L$8000,"&gt;="&amp;W$5,'Timesheet Raw'!$L$4:$L$8000,"&lt;="&amp;W$6)))/'Profit Plan'!$B$5)</f>
        <v>0</v>
      </c>
      <c r="X290" s="122">
        <f>IF($A290="","",(IF(ISNUMBER(SEARCH("Proposal",$A290)),SUMIFS('Timesheet Raw'!$P$4:$P$8000,'Timesheet Raw'!$A$4:$A$8000,IF(ISNUMBER(SEARCH("Chargable",$A290)),"2-Proposals Chargeable","3-Proposals Regular"),'Timesheet Raw'!$C$4:$C$8000,"*"&amp;$B290&amp;"*",'Timesheet Raw'!$L$4:$L$8000,"&gt;="&amp;MAX(X$5,DATE(2000+VALUE(RIGHT(TRIM($A290),2)),1,1)),'Timesheet Raw'!$L$4:$L$8000,"&lt;="&amp;MIN(X$6,DATE(2000+VALUE(RIGHT(TRIM($A290),2)),12,31))),SUMIFS('Timesheet Raw'!$P$4:$P$8000,'Timesheet Raw'!$B$4:$B$8000,TRIM($A290),'Timesheet Raw'!$C$4:$C$8000,"*"&amp;$B290&amp;"*",'Timesheet Raw'!$L$4:$L$8000,"&gt;="&amp;X$5,'Timesheet Raw'!$L$4:$L$8000,"&lt;="&amp;X$6)))/'Profit Plan'!$B$5)</f>
        <v>0</v>
      </c>
      <c r="Y290" s="118">
        <f t="shared" si="100"/>
        <v>6.7567567567567571E-2</v>
      </c>
    </row>
    <row r="291" spans="1:25" x14ac:dyDescent="0.3">
      <c r="A291" s="116" t="str">
        <f>IF(Inputs!$A14="","",Inputs!$A14)</f>
        <v>AN24073-0100D</v>
      </c>
      <c r="B291" s="116" t="str">
        <f>IF(Inputs!$A14="","",Inputs!$A$93)</f>
        <v>Kirolos</v>
      </c>
      <c r="C291" s="116"/>
      <c r="D291" s="122">
        <f>IF($A291="","",(IF(ISNUMBER(SEARCH("Proposal",$A291)),SUMIFS('Timesheet Raw'!$P$4:$P$8000,'Timesheet Raw'!$A$4:$A$8000,IF(ISNUMBER(SEARCH("Chargable",$A291)),"2-Proposals Chargeable","3-Proposals Regular"),'Timesheet Raw'!$C$4:$C$8000,"*"&amp;$B291&amp;"*",'Timesheet Raw'!$L$4:$L$8000,"&gt;="&amp;MAX(D$5,DATE(2000+VALUE(RIGHT(TRIM($A291),2)),1,1)),'Timesheet Raw'!$L$4:$L$8000,"&lt;="&amp;MIN(D$6,DATE(2000+VALUE(RIGHT(TRIM($A291),2)),12,31))),SUMIFS('Timesheet Raw'!$P$4:$P$8000,'Timesheet Raw'!$B$4:$B$8000,TRIM($A291),'Timesheet Raw'!$C$4:$C$8000,"*"&amp;$B291&amp;"*",'Timesheet Raw'!$L$4:$L$8000,"&gt;="&amp;D$5,'Timesheet Raw'!$L$4:$L$8000,"&lt;="&amp;D$6)))/'Profit Plan'!$B$5)</f>
        <v>0</v>
      </c>
      <c r="E291" s="122">
        <f>IF($A291="","",(IF(ISNUMBER(SEARCH("Proposal",$A291)),SUMIFS('Timesheet Raw'!$P$4:$P$8000,'Timesheet Raw'!$A$4:$A$8000,IF(ISNUMBER(SEARCH("Chargable",$A291)),"2-Proposals Chargeable","3-Proposals Regular"),'Timesheet Raw'!$C$4:$C$8000,"*"&amp;$B291&amp;"*",'Timesheet Raw'!$L$4:$L$8000,"&gt;="&amp;MAX(E$5,DATE(2000+VALUE(RIGHT(TRIM($A291),2)),1,1)),'Timesheet Raw'!$L$4:$L$8000,"&lt;="&amp;MIN(E$6,DATE(2000+VALUE(RIGHT(TRIM($A291),2)),12,31))),SUMIFS('Timesheet Raw'!$P$4:$P$8000,'Timesheet Raw'!$B$4:$B$8000,TRIM($A291),'Timesheet Raw'!$C$4:$C$8000,"*"&amp;$B291&amp;"*",'Timesheet Raw'!$L$4:$L$8000,"&gt;="&amp;E$5,'Timesheet Raw'!$L$4:$L$8000,"&lt;="&amp;E$6)))/'Profit Plan'!$B$5)</f>
        <v>0</v>
      </c>
      <c r="F291" s="122">
        <f>IF($A291="","",(IF(ISNUMBER(SEARCH("Proposal",$A291)),SUMIFS('Timesheet Raw'!$P$4:$P$8000,'Timesheet Raw'!$A$4:$A$8000,IF(ISNUMBER(SEARCH("Chargable",$A291)),"2-Proposals Chargeable","3-Proposals Regular"),'Timesheet Raw'!$C$4:$C$8000,"*"&amp;$B291&amp;"*",'Timesheet Raw'!$L$4:$L$8000,"&gt;="&amp;MAX(F$5,DATE(2000+VALUE(RIGHT(TRIM($A291),2)),1,1)),'Timesheet Raw'!$L$4:$L$8000,"&lt;="&amp;MIN(F$6,DATE(2000+VALUE(RIGHT(TRIM($A291),2)),12,31))),SUMIFS('Timesheet Raw'!$P$4:$P$8000,'Timesheet Raw'!$B$4:$B$8000,TRIM($A291),'Timesheet Raw'!$C$4:$C$8000,"*"&amp;$B291&amp;"*",'Timesheet Raw'!$L$4:$L$8000,"&gt;="&amp;F$5,'Timesheet Raw'!$L$4:$L$8000,"&lt;="&amp;F$6)))/'Profit Plan'!$B$5)</f>
        <v>0</v>
      </c>
      <c r="G291" s="122">
        <f>IF($A291="","",(IF(ISNUMBER(SEARCH("Proposal",$A291)),SUMIFS('Timesheet Raw'!$P$4:$P$8000,'Timesheet Raw'!$A$4:$A$8000,IF(ISNUMBER(SEARCH("Chargable",$A291)),"2-Proposals Chargeable","3-Proposals Regular"),'Timesheet Raw'!$C$4:$C$8000,"*"&amp;$B291&amp;"*",'Timesheet Raw'!$L$4:$L$8000,"&gt;="&amp;MAX(G$5,DATE(2000+VALUE(RIGHT(TRIM($A291),2)),1,1)),'Timesheet Raw'!$L$4:$L$8000,"&lt;="&amp;MIN(G$6,DATE(2000+VALUE(RIGHT(TRIM($A291),2)),12,31))),SUMIFS('Timesheet Raw'!$P$4:$P$8000,'Timesheet Raw'!$B$4:$B$8000,TRIM($A291),'Timesheet Raw'!$C$4:$C$8000,"*"&amp;$B291&amp;"*",'Timesheet Raw'!$L$4:$L$8000,"&gt;="&amp;G$5,'Timesheet Raw'!$L$4:$L$8000,"&lt;="&amp;G$6)))/'Profit Plan'!$B$5)</f>
        <v>0</v>
      </c>
      <c r="H291" s="122">
        <f>IF($A291="","",(IF(ISNUMBER(SEARCH("Proposal",$A291)),SUMIFS('Timesheet Raw'!$P$4:$P$8000,'Timesheet Raw'!$A$4:$A$8000,IF(ISNUMBER(SEARCH("Chargable",$A291)),"2-Proposals Chargeable","3-Proposals Regular"),'Timesheet Raw'!$C$4:$C$8000,"*"&amp;$B291&amp;"*",'Timesheet Raw'!$L$4:$L$8000,"&gt;="&amp;MAX(H$5,DATE(2000+VALUE(RIGHT(TRIM($A291),2)),1,1)),'Timesheet Raw'!$L$4:$L$8000,"&lt;="&amp;MIN(H$6,DATE(2000+VALUE(RIGHT(TRIM($A291),2)),12,31))),SUMIFS('Timesheet Raw'!$P$4:$P$8000,'Timesheet Raw'!$B$4:$B$8000,TRIM($A291),'Timesheet Raw'!$C$4:$C$8000,"*"&amp;$B291&amp;"*",'Timesheet Raw'!$L$4:$L$8000,"&gt;="&amp;H$5,'Timesheet Raw'!$L$4:$L$8000,"&lt;="&amp;H$6)))/'Profit Plan'!$B$5)</f>
        <v>0</v>
      </c>
      <c r="I291" s="122">
        <f>IF($A291="","",(IF(ISNUMBER(SEARCH("Proposal",$A291)),SUMIFS('Timesheet Raw'!$P$4:$P$8000,'Timesheet Raw'!$A$4:$A$8000,IF(ISNUMBER(SEARCH("Chargable",$A291)),"2-Proposals Chargeable","3-Proposals Regular"),'Timesheet Raw'!$C$4:$C$8000,"*"&amp;$B291&amp;"*",'Timesheet Raw'!$L$4:$L$8000,"&gt;="&amp;MAX(I$5,DATE(2000+VALUE(RIGHT(TRIM($A291),2)),1,1)),'Timesheet Raw'!$L$4:$L$8000,"&lt;="&amp;MIN(I$6,DATE(2000+VALUE(RIGHT(TRIM($A291),2)),12,31))),SUMIFS('Timesheet Raw'!$P$4:$P$8000,'Timesheet Raw'!$B$4:$B$8000,TRIM($A291),'Timesheet Raw'!$C$4:$C$8000,"*"&amp;$B291&amp;"*",'Timesheet Raw'!$L$4:$L$8000,"&gt;="&amp;I$5,'Timesheet Raw'!$L$4:$L$8000,"&lt;="&amp;I$6)))/'Profit Plan'!$B$5)</f>
        <v>0</v>
      </c>
      <c r="J291" s="122">
        <f>IF($A291="","",(IF(ISNUMBER(SEARCH("Proposal",$A291)),SUMIFS('Timesheet Raw'!$P$4:$P$8000,'Timesheet Raw'!$A$4:$A$8000,IF(ISNUMBER(SEARCH("Chargable",$A291)),"2-Proposals Chargeable","3-Proposals Regular"),'Timesheet Raw'!$C$4:$C$8000,"*"&amp;$B291&amp;"*",'Timesheet Raw'!$L$4:$L$8000,"&gt;="&amp;MAX(J$5,DATE(2000+VALUE(RIGHT(TRIM($A291),2)),1,1)),'Timesheet Raw'!$L$4:$L$8000,"&lt;="&amp;MIN(J$6,DATE(2000+VALUE(RIGHT(TRIM($A291),2)),12,31))),SUMIFS('Timesheet Raw'!$P$4:$P$8000,'Timesheet Raw'!$B$4:$B$8000,TRIM($A291),'Timesheet Raw'!$C$4:$C$8000,"*"&amp;$B291&amp;"*",'Timesheet Raw'!$L$4:$L$8000,"&gt;="&amp;J$5,'Timesheet Raw'!$L$4:$L$8000,"&lt;="&amp;J$6)))/'Profit Plan'!$B$5)</f>
        <v>0</v>
      </c>
      <c r="K291" s="122">
        <f>IF($A291="","",(IF(ISNUMBER(SEARCH("Proposal",$A291)),SUMIFS('Timesheet Raw'!$P$4:$P$8000,'Timesheet Raw'!$A$4:$A$8000,IF(ISNUMBER(SEARCH("Chargable",$A291)),"2-Proposals Chargeable","3-Proposals Regular"),'Timesheet Raw'!$C$4:$C$8000,"*"&amp;$B291&amp;"*",'Timesheet Raw'!$L$4:$L$8000,"&gt;="&amp;MAX(K$5,DATE(2000+VALUE(RIGHT(TRIM($A291),2)),1,1)),'Timesheet Raw'!$L$4:$L$8000,"&lt;="&amp;MIN(K$6,DATE(2000+VALUE(RIGHT(TRIM($A291),2)),12,31))),SUMIFS('Timesheet Raw'!$P$4:$P$8000,'Timesheet Raw'!$B$4:$B$8000,TRIM($A291),'Timesheet Raw'!$C$4:$C$8000,"*"&amp;$B291&amp;"*",'Timesheet Raw'!$L$4:$L$8000,"&gt;="&amp;K$5,'Timesheet Raw'!$L$4:$L$8000,"&lt;="&amp;K$6)))/'Profit Plan'!$B$5)</f>
        <v>0.83243243243243248</v>
      </c>
      <c r="L291" s="122">
        <f>IF($A291="","",(IF(ISNUMBER(SEARCH("Proposal",$A291)),SUMIFS('Timesheet Raw'!$P$4:$P$8000,'Timesheet Raw'!$A$4:$A$8000,IF(ISNUMBER(SEARCH("Chargable",$A291)),"2-Proposals Chargeable","3-Proposals Regular"),'Timesheet Raw'!$C$4:$C$8000,"*"&amp;$B291&amp;"*",'Timesheet Raw'!$L$4:$L$8000,"&gt;="&amp;MAX(L$5,DATE(2000+VALUE(RIGHT(TRIM($A291),2)),1,1)),'Timesheet Raw'!$L$4:$L$8000,"&lt;="&amp;MIN(L$6,DATE(2000+VALUE(RIGHT(TRIM($A291),2)),12,31))),SUMIFS('Timesheet Raw'!$P$4:$P$8000,'Timesheet Raw'!$B$4:$B$8000,TRIM($A291),'Timesheet Raw'!$C$4:$C$8000,"*"&amp;$B291&amp;"*",'Timesheet Raw'!$L$4:$L$8000,"&gt;="&amp;L$5,'Timesheet Raw'!$L$4:$L$8000,"&lt;="&amp;L$6)))/'Profit Plan'!$B$5)</f>
        <v>1.3513513513513514E-2</v>
      </c>
      <c r="M291" s="122">
        <f>IF($A291="","",(IF(ISNUMBER(SEARCH("Proposal",$A291)),SUMIFS('Timesheet Raw'!$P$4:$P$8000,'Timesheet Raw'!$A$4:$A$8000,IF(ISNUMBER(SEARCH("Chargable",$A291)),"2-Proposals Chargeable","3-Proposals Regular"),'Timesheet Raw'!$C$4:$C$8000,"*"&amp;$B291&amp;"*",'Timesheet Raw'!$L$4:$L$8000,"&gt;="&amp;MAX(M$5,DATE(2000+VALUE(RIGHT(TRIM($A291),2)),1,1)),'Timesheet Raw'!$L$4:$L$8000,"&lt;="&amp;MIN(M$6,DATE(2000+VALUE(RIGHT(TRIM($A291),2)),12,31))),SUMIFS('Timesheet Raw'!$P$4:$P$8000,'Timesheet Raw'!$B$4:$B$8000,TRIM($A291),'Timesheet Raw'!$C$4:$C$8000,"*"&amp;$B291&amp;"*",'Timesheet Raw'!$L$4:$L$8000,"&gt;="&amp;M$5,'Timesheet Raw'!$L$4:$L$8000,"&lt;="&amp;M$6)))/'Profit Plan'!$B$5)</f>
        <v>0</v>
      </c>
      <c r="N291" s="122">
        <f>IF($A291="","",(IF(ISNUMBER(SEARCH("Proposal",$A291)),SUMIFS('Timesheet Raw'!$P$4:$P$8000,'Timesheet Raw'!$A$4:$A$8000,IF(ISNUMBER(SEARCH("Chargable",$A291)),"2-Proposals Chargeable","3-Proposals Regular"),'Timesheet Raw'!$C$4:$C$8000,"*"&amp;$B291&amp;"*",'Timesheet Raw'!$L$4:$L$8000,"&gt;="&amp;MAX(N$5,DATE(2000+VALUE(RIGHT(TRIM($A291),2)),1,1)),'Timesheet Raw'!$L$4:$L$8000,"&lt;="&amp;MIN(N$6,DATE(2000+VALUE(RIGHT(TRIM($A291),2)),12,31))),SUMIFS('Timesheet Raw'!$P$4:$P$8000,'Timesheet Raw'!$B$4:$B$8000,TRIM($A291),'Timesheet Raw'!$C$4:$C$8000,"*"&amp;$B291&amp;"*",'Timesheet Raw'!$L$4:$L$8000,"&gt;="&amp;N$5,'Timesheet Raw'!$L$4:$L$8000,"&lt;="&amp;N$6)))/'Profit Plan'!$B$5)</f>
        <v>0</v>
      </c>
      <c r="O291" s="122">
        <f>IF($A291="","",(IF(ISNUMBER(SEARCH("Proposal",$A291)),SUMIFS('Timesheet Raw'!$P$4:$P$8000,'Timesheet Raw'!$A$4:$A$8000,IF(ISNUMBER(SEARCH("Chargable",$A291)),"2-Proposals Chargeable","3-Proposals Regular"),'Timesheet Raw'!$C$4:$C$8000,"*"&amp;$B291&amp;"*",'Timesheet Raw'!$L$4:$L$8000,"&gt;="&amp;MAX(O$5,DATE(2000+VALUE(RIGHT(TRIM($A291),2)),1,1)),'Timesheet Raw'!$L$4:$L$8000,"&lt;="&amp;MIN(O$6,DATE(2000+VALUE(RIGHT(TRIM($A291),2)),12,31))),SUMIFS('Timesheet Raw'!$P$4:$P$8000,'Timesheet Raw'!$B$4:$B$8000,TRIM($A291),'Timesheet Raw'!$C$4:$C$8000,"*"&amp;$B291&amp;"*",'Timesheet Raw'!$L$4:$L$8000,"&gt;="&amp;O$5,'Timesheet Raw'!$L$4:$L$8000,"&lt;="&amp;O$6)))/'Profit Plan'!$B$5)</f>
        <v>0</v>
      </c>
      <c r="P291" s="122">
        <f>IF($A291="","",(IF(ISNUMBER(SEARCH("Proposal",$A291)),SUMIFS('Timesheet Raw'!$P$4:$P$8000,'Timesheet Raw'!$A$4:$A$8000,IF(ISNUMBER(SEARCH("Chargable",$A291)),"2-Proposals Chargeable","3-Proposals Regular"),'Timesheet Raw'!$C$4:$C$8000,"*"&amp;$B291&amp;"*",'Timesheet Raw'!$L$4:$L$8000,"&gt;="&amp;MAX(P$5,DATE(2000+VALUE(RIGHT(TRIM($A291),2)),1,1)),'Timesheet Raw'!$L$4:$L$8000,"&lt;="&amp;MIN(P$6,DATE(2000+VALUE(RIGHT(TRIM($A291),2)),12,31))),SUMIFS('Timesheet Raw'!$P$4:$P$8000,'Timesheet Raw'!$B$4:$B$8000,TRIM($A291),'Timesheet Raw'!$C$4:$C$8000,"*"&amp;$B291&amp;"*",'Timesheet Raw'!$L$4:$L$8000,"&gt;="&amp;P$5,'Timesheet Raw'!$L$4:$L$8000,"&lt;="&amp;P$6)))/'Profit Plan'!$B$5)</f>
        <v>0</v>
      </c>
      <c r="Q291" s="122">
        <f>IF($A291="","",(IF(ISNUMBER(SEARCH("Proposal",$A291)),SUMIFS('Timesheet Raw'!$P$4:$P$8000,'Timesheet Raw'!$A$4:$A$8000,IF(ISNUMBER(SEARCH("Chargable",$A291)),"2-Proposals Chargeable","3-Proposals Regular"),'Timesheet Raw'!$C$4:$C$8000,"*"&amp;$B291&amp;"*",'Timesheet Raw'!$L$4:$L$8000,"&gt;="&amp;MAX(Q$5,DATE(2000+VALUE(RIGHT(TRIM($A291),2)),1,1)),'Timesheet Raw'!$L$4:$L$8000,"&lt;="&amp;MIN(Q$6,DATE(2000+VALUE(RIGHT(TRIM($A291),2)),12,31))),SUMIFS('Timesheet Raw'!$P$4:$P$8000,'Timesheet Raw'!$B$4:$B$8000,TRIM($A291),'Timesheet Raw'!$C$4:$C$8000,"*"&amp;$B291&amp;"*",'Timesheet Raw'!$L$4:$L$8000,"&gt;="&amp;Q$5,'Timesheet Raw'!$L$4:$L$8000,"&lt;="&amp;Q$6)))/'Profit Plan'!$B$5)</f>
        <v>0</v>
      </c>
      <c r="R291" s="122">
        <f>IF($A291="","",(IF(ISNUMBER(SEARCH("Proposal",$A291)),SUMIFS('Timesheet Raw'!$P$4:$P$8000,'Timesheet Raw'!$A$4:$A$8000,IF(ISNUMBER(SEARCH("Chargable",$A291)),"2-Proposals Chargeable","3-Proposals Regular"),'Timesheet Raw'!$C$4:$C$8000,"*"&amp;$B291&amp;"*",'Timesheet Raw'!$L$4:$L$8000,"&gt;="&amp;MAX(R$5,DATE(2000+VALUE(RIGHT(TRIM($A291),2)),1,1)),'Timesheet Raw'!$L$4:$L$8000,"&lt;="&amp;MIN(R$6,DATE(2000+VALUE(RIGHT(TRIM($A291),2)),12,31))),SUMIFS('Timesheet Raw'!$P$4:$P$8000,'Timesheet Raw'!$B$4:$B$8000,TRIM($A291),'Timesheet Raw'!$C$4:$C$8000,"*"&amp;$B291&amp;"*",'Timesheet Raw'!$L$4:$L$8000,"&gt;="&amp;R$5,'Timesheet Raw'!$L$4:$L$8000,"&lt;="&amp;R$6)))/'Profit Plan'!$B$5)</f>
        <v>0</v>
      </c>
      <c r="S291" s="122">
        <f>IF($A291="","",(IF(ISNUMBER(SEARCH("Proposal",$A291)),SUMIFS('Timesheet Raw'!$P$4:$P$8000,'Timesheet Raw'!$A$4:$A$8000,IF(ISNUMBER(SEARCH("Chargable",$A291)),"2-Proposals Chargeable","3-Proposals Regular"),'Timesheet Raw'!$C$4:$C$8000,"*"&amp;$B291&amp;"*",'Timesheet Raw'!$L$4:$L$8000,"&gt;="&amp;MAX(S$5,DATE(2000+VALUE(RIGHT(TRIM($A291),2)),1,1)),'Timesheet Raw'!$L$4:$L$8000,"&lt;="&amp;MIN(S$6,DATE(2000+VALUE(RIGHT(TRIM($A291),2)),12,31))),SUMIFS('Timesheet Raw'!$P$4:$P$8000,'Timesheet Raw'!$B$4:$B$8000,TRIM($A291),'Timesheet Raw'!$C$4:$C$8000,"*"&amp;$B291&amp;"*",'Timesheet Raw'!$L$4:$L$8000,"&gt;="&amp;S$5,'Timesheet Raw'!$L$4:$L$8000,"&lt;="&amp;S$6)))/'Profit Plan'!$B$5)</f>
        <v>0</v>
      </c>
      <c r="T291" s="122">
        <f>IF($A291="","",(IF(ISNUMBER(SEARCH("Proposal",$A291)),SUMIFS('Timesheet Raw'!$P$4:$P$8000,'Timesheet Raw'!$A$4:$A$8000,IF(ISNUMBER(SEARCH("Chargable",$A291)),"2-Proposals Chargeable","3-Proposals Regular"),'Timesheet Raw'!$C$4:$C$8000,"*"&amp;$B291&amp;"*",'Timesheet Raw'!$L$4:$L$8000,"&gt;="&amp;MAX(T$5,DATE(2000+VALUE(RIGHT(TRIM($A291),2)),1,1)),'Timesheet Raw'!$L$4:$L$8000,"&lt;="&amp;MIN(T$6,DATE(2000+VALUE(RIGHT(TRIM($A291),2)),12,31))),SUMIFS('Timesheet Raw'!$P$4:$P$8000,'Timesheet Raw'!$B$4:$B$8000,TRIM($A291),'Timesheet Raw'!$C$4:$C$8000,"*"&amp;$B291&amp;"*",'Timesheet Raw'!$L$4:$L$8000,"&gt;="&amp;T$5,'Timesheet Raw'!$L$4:$L$8000,"&lt;="&amp;T$6)))/'Profit Plan'!$B$5)</f>
        <v>0</v>
      </c>
      <c r="U291" s="122">
        <f>IF($A291="","",(IF(ISNUMBER(SEARCH("Proposal",$A291)),SUMIFS('Timesheet Raw'!$P$4:$P$8000,'Timesheet Raw'!$A$4:$A$8000,IF(ISNUMBER(SEARCH("Chargable",$A291)),"2-Proposals Chargeable","3-Proposals Regular"),'Timesheet Raw'!$C$4:$C$8000,"*"&amp;$B291&amp;"*",'Timesheet Raw'!$L$4:$L$8000,"&gt;="&amp;MAX(U$5,DATE(2000+VALUE(RIGHT(TRIM($A291),2)),1,1)),'Timesheet Raw'!$L$4:$L$8000,"&lt;="&amp;MIN(U$6,DATE(2000+VALUE(RIGHT(TRIM($A291),2)),12,31))),SUMIFS('Timesheet Raw'!$P$4:$P$8000,'Timesheet Raw'!$B$4:$B$8000,TRIM($A291),'Timesheet Raw'!$C$4:$C$8000,"*"&amp;$B291&amp;"*",'Timesheet Raw'!$L$4:$L$8000,"&gt;="&amp;U$5,'Timesheet Raw'!$L$4:$L$8000,"&lt;="&amp;U$6)))/'Profit Plan'!$B$5)</f>
        <v>0</v>
      </c>
      <c r="V291" s="122">
        <f>IF($A291="","",(IF(ISNUMBER(SEARCH("Proposal",$A291)),SUMIFS('Timesheet Raw'!$P$4:$P$8000,'Timesheet Raw'!$A$4:$A$8000,IF(ISNUMBER(SEARCH("Chargable",$A291)),"2-Proposals Chargeable","3-Proposals Regular"),'Timesheet Raw'!$C$4:$C$8000,"*"&amp;$B291&amp;"*",'Timesheet Raw'!$L$4:$L$8000,"&gt;="&amp;MAX(V$5,DATE(2000+VALUE(RIGHT(TRIM($A291),2)),1,1)),'Timesheet Raw'!$L$4:$L$8000,"&lt;="&amp;MIN(V$6,DATE(2000+VALUE(RIGHT(TRIM($A291),2)),12,31))),SUMIFS('Timesheet Raw'!$P$4:$P$8000,'Timesheet Raw'!$B$4:$B$8000,TRIM($A291),'Timesheet Raw'!$C$4:$C$8000,"*"&amp;$B291&amp;"*",'Timesheet Raw'!$L$4:$L$8000,"&gt;="&amp;V$5,'Timesheet Raw'!$L$4:$L$8000,"&lt;="&amp;V$6)))/'Profit Plan'!$B$5)</f>
        <v>0</v>
      </c>
      <c r="W291" s="122">
        <f>IF($A291="","",(IF(ISNUMBER(SEARCH("Proposal",$A291)),SUMIFS('Timesheet Raw'!$P$4:$P$8000,'Timesheet Raw'!$A$4:$A$8000,IF(ISNUMBER(SEARCH("Chargable",$A291)),"2-Proposals Chargeable","3-Proposals Regular"),'Timesheet Raw'!$C$4:$C$8000,"*"&amp;$B291&amp;"*",'Timesheet Raw'!$L$4:$L$8000,"&gt;="&amp;MAX(W$5,DATE(2000+VALUE(RIGHT(TRIM($A291),2)),1,1)),'Timesheet Raw'!$L$4:$L$8000,"&lt;="&amp;MIN(W$6,DATE(2000+VALUE(RIGHT(TRIM($A291),2)),12,31))),SUMIFS('Timesheet Raw'!$P$4:$P$8000,'Timesheet Raw'!$B$4:$B$8000,TRIM($A291),'Timesheet Raw'!$C$4:$C$8000,"*"&amp;$B291&amp;"*",'Timesheet Raw'!$L$4:$L$8000,"&gt;="&amp;W$5,'Timesheet Raw'!$L$4:$L$8000,"&lt;="&amp;W$6)))/'Profit Plan'!$B$5)</f>
        <v>0</v>
      </c>
      <c r="X291" s="122">
        <f>IF($A291="","",(IF(ISNUMBER(SEARCH("Proposal",$A291)),SUMIFS('Timesheet Raw'!$P$4:$P$8000,'Timesheet Raw'!$A$4:$A$8000,IF(ISNUMBER(SEARCH("Chargable",$A291)),"2-Proposals Chargeable","3-Proposals Regular"),'Timesheet Raw'!$C$4:$C$8000,"*"&amp;$B291&amp;"*",'Timesheet Raw'!$L$4:$L$8000,"&gt;="&amp;MAX(X$5,DATE(2000+VALUE(RIGHT(TRIM($A291),2)),1,1)),'Timesheet Raw'!$L$4:$L$8000,"&lt;="&amp;MIN(X$6,DATE(2000+VALUE(RIGHT(TRIM($A291),2)),12,31))),SUMIFS('Timesheet Raw'!$P$4:$P$8000,'Timesheet Raw'!$B$4:$B$8000,TRIM($A291),'Timesheet Raw'!$C$4:$C$8000,"*"&amp;$B291&amp;"*",'Timesheet Raw'!$L$4:$L$8000,"&gt;="&amp;X$5,'Timesheet Raw'!$L$4:$L$8000,"&lt;="&amp;X$6)))/'Profit Plan'!$B$5)</f>
        <v>0</v>
      </c>
      <c r="Y291" s="118">
        <f t="shared" si="100"/>
        <v>0.84594594594594597</v>
      </c>
    </row>
    <row r="292" spans="1:25" x14ac:dyDescent="0.3">
      <c r="A292" s="116" t="str">
        <f>IF(Inputs!$A15="","",Inputs!$A15)</f>
        <v>AN24140-0100R</v>
      </c>
      <c r="B292" s="116" t="str">
        <f>IF(Inputs!$A15="","",Inputs!$A$91)</f>
        <v>Ahmed</v>
      </c>
      <c r="C292" s="116"/>
      <c r="D292" s="122">
        <f>IF($A292="","",(IF(ISNUMBER(SEARCH("Proposal",$A292)),SUMIFS('Timesheet Raw'!$P$4:$P$8000,'Timesheet Raw'!$A$4:$A$8000,IF(ISNUMBER(SEARCH("Chargable",$A292)),"2-Proposals Chargeable","3-Proposals Regular"),'Timesheet Raw'!$C$4:$C$8000,"*"&amp;$B292&amp;"*",'Timesheet Raw'!$L$4:$L$8000,"&gt;="&amp;MAX(D$5,DATE(2000+VALUE(RIGHT(TRIM($A292),2)),1,1)),'Timesheet Raw'!$L$4:$L$8000,"&lt;="&amp;MIN(D$6,DATE(2000+VALUE(RIGHT(TRIM($A292),2)),12,31))),SUMIFS('Timesheet Raw'!$P$4:$P$8000,'Timesheet Raw'!$B$4:$B$8000,TRIM($A292),'Timesheet Raw'!$C$4:$C$8000,"*"&amp;$B292&amp;"*",'Timesheet Raw'!$L$4:$L$8000,"&gt;="&amp;D$5,'Timesheet Raw'!$L$4:$L$8000,"&lt;="&amp;D$6)))/'Profit Plan'!$B$5)</f>
        <v>0</v>
      </c>
      <c r="E292" s="122">
        <f>IF($A292="","",(IF(ISNUMBER(SEARCH("Proposal",$A292)),SUMIFS('Timesheet Raw'!$P$4:$P$8000,'Timesheet Raw'!$A$4:$A$8000,IF(ISNUMBER(SEARCH("Chargable",$A292)),"2-Proposals Chargeable","3-Proposals Regular"),'Timesheet Raw'!$C$4:$C$8000,"*"&amp;$B292&amp;"*",'Timesheet Raw'!$L$4:$L$8000,"&gt;="&amp;MAX(E$5,DATE(2000+VALUE(RIGHT(TRIM($A292),2)),1,1)),'Timesheet Raw'!$L$4:$L$8000,"&lt;="&amp;MIN(E$6,DATE(2000+VALUE(RIGHT(TRIM($A292),2)),12,31))),SUMIFS('Timesheet Raw'!$P$4:$P$8000,'Timesheet Raw'!$B$4:$B$8000,TRIM($A292),'Timesheet Raw'!$C$4:$C$8000,"*"&amp;$B292&amp;"*",'Timesheet Raw'!$L$4:$L$8000,"&gt;="&amp;E$5,'Timesheet Raw'!$L$4:$L$8000,"&lt;="&amp;E$6)))/'Profit Plan'!$B$5)</f>
        <v>0</v>
      </c>
      <c r="F292" s="122">
        <f>IF($A292="","",(IF(ISNUMBER(SEARCH("Proposal",$A292)),SUMIFS('Timesheet Raw'!$P$4:$P$8000,'Timesheet Raw'!$A$4:$A$8000,IF(ISNUMBER(SEARCH("Chargable",$A292)),"2-Proposals Chargeable","3-Proposals Regular"),'Timesheet Raw'!$C$4:$C$8000,"*"&amp;$B292&amp;"*",'Timesheet Raw'!$L$4:$L$8000,"&gt;="&amp;MAX(F$5,DATE(2000+VALUE(RIGHT(TRIM($A292),2)),1,1)),'Timesheet Raw'!$L$4:$L$8000,"&lt;="&amp;MIN(F$6,DATE(2000+VALUE(RIGHT(TRIM($A292),2)),12,31))),SUMIFS('Timesheet Raw'!$P$4:$P$8000,'Timesheet Raw'!$B$4:$B$8000,TRIM($A292),'Timesheet Raw'!$C$4:$C$8000,"*"&amp;$B292&amp;"*",'Timesheet Raw'!$L$4:$L$8000,"&gt;="&amp;F$5,'Timesheet Raw'!$L$4:$L$8000,"&lt;="&amp;F$6)))/'Profit Plan'!$B$5)</f>
        <v>0</v>
      </c>
      <c r="G292" s="122">
        <f>IF($A292="","",(IF(ISNUMBER(SEARCH("Proposal",$A292)),SUMIFS('Timesheet Raw'!$P$4:$P$8000,'Timesheet Raw'!$A$4:$A$8000,IF(ISNUMBER(SEARCH("Chargable",$A292)),"2-Proposals Chargeable","3-Proposals Regular"),'Timesheet Raw'!$C$4:$C$8000,"*"&amp;$B292&amp;"*",'Timesheet Raw'!$L$4:$L$8000,"&gt;="&amp;MAX(G$5,DATE(2000+VALUE(RIGHT(TRIM($A292),2)),1,1)),'Timesheet Raw'!$L$4:$L$8000,"&lt;="&amp;MIN(G$6,DATE(2000+VALUE(RIGHT(TRIM($A292),2)),12,31))),SUMIFS('Timesheet Raw'!$P$4:$P$8000,'Timesheet Raw'!$B$4:$B$8000,TRIM($A292),'Timesheet Raw'!$C$4:$C$8000,"*"&amp;$B292&amp;"*",'Timesheet Raw'!$L$4:$L$8000,"&gt;="&amp;G$5,'Timesheet Raw'!$L$4:$L$8000,"&lt;="&amp;G$6)))/'Profit Plan'!$B$5)</f>
        <v>0</v>
      </c>
      <c r="H292" s="122">
        <f>IF($A292="","",(IF(ISNUMBER(SEARCH("Proposal",$A292)),SUMIFS('Timesheet Raw'!$P$4:$P$8000,'Timesheet Raw'!$A$4:$A$8000,IF(ISNUMBER(SEARCH("Chargable",$A292)),"2-Proposals Chargeable","3-Proposals Regular"),'Timesheet Raw'!$C$4:$C$8000,"*"&amp;$B292&amp;"*",'Timesheet Raw'!$L$4:$L$8000,"&gt;="&amp;MAX(H$5,DATE(2000+VALUE(RIGHT(TRIM($A292),2)),1,1)),'Timesheet Raw'!$L$4:$L$8000,"&lt;="&amp;MIN(H$6,DATE(2000+VALUE(RIGHT(TRIM($A292),2)),12,31))),SUMIFS('Timesheet Raw'!$P$4:$P$8000,'Timesheet Raw'!$B$4:$B$8000,TRIM($A292),'Timesheet Raw'!$C$4:$C$8000,"*"&amp;$B292&amp;"*",'Timesheet Raw'!$L$4:$L$8000,"&gt;="&amp;H$5,'Timesheet Raw'!$L$4:$L$8000,"&lt;="&amp;H$6)))/'Profit Plan'!$B$5)</f>
        <v>0</v>
      </c>
      <c r="I292" s="122">
        <f>IF($A292="","",(IF(ISNUMBER(SEARCH("Proposal",$A292)),SUMIFS('Timesheet Raw'!$P$4:$P$8000,'Timesheet Raw'!$A$4:$A$8000,IF(ISNUMBER(SEARCH("Chargable",$A292)),"2-Proposals Chargeable","3-Proposals Regular"),'Timesheet Raw'!$C$4:$C$8000,"*"&amp;$B292&amp;"*",'Timesheet Raw'!$L$4:$L$8000,"&gt;="&amp;MAX(I$5,DATE(2000+VALUE(RIGHT(TRIM($A292),2)),1,1)),'Timesheet Raw'!$L$4:$L$8000,"&lt;="&amp;MIN(I$6,DATE(2000+VALUE(RIGHT(TRIM($A292),2)),12,31))),SUMIFS('Timesheet Raw'!$P$4:$P$8000,'Timesheet Raw'!$B$4:$B$8000,TRIM($A292),'Timesheet Raw'!$C$4:$C$8000,"*"&amp;$B292&amp;"*",'Timesheet Raw'!$L$4:$L$8000,"&gt;="&amp;I$5,'Timesheet Raw'!$L$4:$L$8000,"&lt;="&amp;I$6)))/'Profit Plan'!$B$5)</f>
        <v>0</v>
      </c>
      <c r="J292" s="122">
        <f>IF($A292="","",(IF(ISNUMBER(SEARCH("Proposal",$A292)),SUMIFS('Timesheet Raw'!$P$4:$P$8000,'Timesheet Raw'!$A$4:$A$8000,IF(ISNUMBER(SEARCH("Chargable",$A292)),"2-Proposals Chargeable","3-Proposals Regular"),'Timesheet Raw'!$C$4:$C$8000,"*"&amp;$B292&amp;"*",'Timesheet Raw'!$L$4:$L$8000,"&gt;="&amp;MAX(J$5,DATE(2000+VALUE(RIGHT(TRIM($A292),2)),1,1)),'Timesheet Raw'!$L$4:$L$8000,"&lt;="&amp;MIN(J$6,DATE(2000+VALUE(RIGHT(TRIM($A292),2)),12,31))),SUMIFS('Timesheet Raw'!$P$4:$P$8000,'Timesheet Raw'!$B$4:$B$8000,TRIM($A292),'Timesheet Raw'!$C$4:$C$8000,"*"&amp;$B292&amp;"*",'Timesheet Raw'!$L$4:$L$8000,"&gt;="&amp;J$5,'Timesheet Raw'!$L$4:$L$8000,"&lt;="&amp;J$6)))/'Profit Plan'!$B$5)</f>
        <v>0</v>
      </c>
      <c r="K292" s="122">
        <f>IF($A292="","",(IF(ISNUMBER(SEARCH("Proposal",$A292)),SUMIFS('Timesheet Raw'!$P$4:$P$8000,'Timesheet Raw'!$A$4:$A$8000,IF(ISNUMBER(SEARCH("Chargable",$A292)),"2-Proposals Chargeable","3-Proposals Regular"),'Timesheet Raw'!$C$4:$C$8000,"*"&amp;$B292&amp;"*",'Timesheet Raw'!$L$4:$L$8000,"&gt;="&amp;MAX(K$5,DATE(2000+VALUE(RIGHT(TRIM($A292),2)),1,1)),'Timesheet Raw'!$L$4:$L$8000,"&lt;="&amp;MIN(K$6,DATE(2000+VALUE(RIGHT(TRIM($A292),2)),12,31))),SUMIFS('Timesheet Raw'!$P$4:$P$8000,'Timesheet Raw'!$B$4:$B$8000,TRIM($A292),'Timesheet Raw'!$C$4:$C$8000,"*"&amp;$B292&amp;"*",'Timesheet Raw'!$L$4:$L$8000,"&gt;="&amp;K$5,'Timesheet Raw'!$L$4:$L$8000,"&lt;="&amp;K$6)))/'Profit Plan'!$B$5)</f>
        <v>5.4054054054054057E-3</v>
      </c>
      <c r="L292" s="122">
        <f>IF($A292="","",(IF(ISNUMBER(SEARCH("Proposal",$A292)),SUMIFS('Timesheet Raw'!$P$4:$P$8000,'Timesheet Raw'!$A$4:$A$8000,IF(ISNUMBER(SEARCH("Chargable",$A292)),"2-Proposals Chargeable","3-Proposals Regular"),'Timesheet Raw'!$C$4:$C$8000,"*"&amp;$B292&amp;"*",'Timesheet Raw'!$L$4:$L$8000,"&gt;="&amp;MAX(L$5,DATE(2000+VALUE(RIGHT(TRIM($A292),2)),1,1)),'Timesheet Raw'!$L$4:$L$8000,"&lt;="&amp;MIN(L$6,DATE(2000+VALUE(RIGHT(TRIM($A292),2)),12,31))),SUMIFS('Timesheet Raw'!$P$4:$P$8000,'Timesheet Raw'!$B$4:$B$8000,TRIM($A292),'Timesheet Raw'!$C$4:$C$8000,"*"&amp;$B292&amp;"*",'Timesheet Raw'!$L$4:$L$8000,"&gt;="&amp;L$5,'Timesheet Raw'!$L$4:$L$8000,"&lt;="&amp;L$6)))/'Profit Plan'!$B$5)</f>
        <v>0</v>
      </c>
      <c r="M292" s="122">
        <f>IF($A292="","",(IF(ISNUMBER(SEARCH("Proposal",$A292)),SUMIFS('Timesheet Raw'!$P$4:$P$8000,'Timesheet Raw'!$A$4:$A$8000,IF(ISNUMBER(SEARCH("Chargable",$A292)),"2-Proposals Chargeable","3-Proposals Regular"),'Timesheet Raw'!$C$4:$C$8000,"*"&amp;$B292&amp;"*",'Timesheet Raw'!$L$4:$L$8000,"&gt;="&amp;MAX(M$5,DATE(2000+VALUE(RIGHT(TRIM($A292),2)),1,1)),'Timesheet Raw'!$L$4:$L$8000,"&lt;="&amp;MIN(M$6,DATE(2000+VALUE(RIGHT(TRIM($A292),2)),12,31))),SUMIFS('Timesheet Raw'!$P$4:$P$8000,'Timesheet Raw'!$B$4:$B$8000,TRIM($A292),'Timesheet Raw'!$C$4:$C$8000,"*"&amp;$B292&amp;"*",'Timesheet Raw'!$L$4:$L$8000,"&gt;="&amp;M$5,'Timesheet Raw'!$L$4:$L$8000,"&lt;="&amp;M$6)))/'Profit Plan'!$B$5)</f>
        <v>0</v>
      </c>
      <c r="N292" s="122">
        <f>IF($A292="","",(IF(ISNUMBER(SEARCH("Proposal",$A292)),SUMIFS('Timesheet Raw'!$P$4:$P$8000,'Timesheet Raw'!$A$4:$A$8000,IF(ISNUMBER(SEARCH("Chargable",$A292)),"2-Proposals Chargeable","3-Proposals Regular"),'Timesheet Raw'!$C$4:$C$8000,"*"&amp;$B292&amp;"*",'Timesheet Raw'!$L$4:$L$8000,"&gt;="&amp;MAX(N$5,DATE(2000+VALUE(RIGHT(TRIM($A292),2)),1,1)),'Timesheet Raw'!$L$4:$L$8000,"&lt;="&amp;MIN(N$6,DATE(2000+VALUE(RIGHT(TRIM($A292),2)),12,31))),SUMIFS('Timesheet Raw'!$P$4:$P$8000,'Timesheet Raw'!$B$4:$B$8000,TRIM($A292),'Timesheet Raw'!$C$4:$C$8000,"*"&amp;$B292&amp;"*",'Timesheet Raw'!$L$4:$L$8000,"&gt;="&amp;N$5,'Timesheet Raw'!$L$4:$L$8000,"&lt;="&amp;N$6)))/'Profit Plan'!$B$5)</f>
        <v>0</v>
      </c>
      <c r="O292" s="122">
        <f>IF($A292="","",(IF(ISNUMBER(SEARCH("Proposal",$A292)),SUMIFS('Timesheet Raw'!$P$4:$P$8000,'Timesheet Raw'!$A$4:$A$8000,IF(ISNUMBER(SEARCH("Chargable",$A292)),"2-Proposals Chargeable","3-Proposals Regular"),'Timesheet Raw'!$C$4:$C$8000,"*"&amp;$B292&amp;"*",'Timesheet Raw'!$L$4:$L$8000,"&gt;="&amp;MAX(O$5,DATE(2000+VALUE(RIGHT(TRIM($A292),2)),1,1)),'Timesheet Raw'!$L$4:$L$8000,"&lt;="&amp;MIN(O$6,DATE(2000+VALUE(RIGHT(TRIM($A292),2)),12,31))),SUMIFS('Timesheet Raw'!$P$4:$P$8000,'Timesheet Raw'!$B$4:$B$8000,TRIM($A292),'Timesheet Raw'!$C$4:$C$8000,"*"&amp;$B292&amp;"*",'Timesheet Raw'!$L$4:$L$8000,"&gt;="&amp;O$5,'Timesheet Raw'!$L$4:$L$8000,"&lt;="&amp;O$6)))/'Profit Plan'!$B$5)</f>
        <v>0</v>
      </c>
      <c r="P292" s="122">
        <f>IF($A292="","",(IF(ISNUMBER(SEARCH("Proposal",$A292)),SUMIFS('Timesheet Raw'!$P$4:$P$8000,'Timesheet Raw'!$A$4:$A$8000,IF(ISNUMBER(SEARCH("Chargable",$A292)),"2-Proposals Chargeable","3-Proposals Regular"),'Timesheet Raw'!$C$4:$C$8000,"*"&amp;$B292&amp;"*",'Timesheet Raw'!$L$4:$L$8000,"&gt;="&amp;MAX(P$5,DATE(2000+VALUE(RIGHT(TRIM($A292),2)),1,1)),'Timesheet Raw'!$L$4:$L$8000,"&lt;="&amp;MIN(P$6,DATE(2000+VALUE(RIGHT(TRIM($A292),2)),12,31))),SUMIFS('Timesheet Raw'!$P$4:$P$8000,'Timesheet Raw'!$B$4:$B$8000,TRIM($A292),'Timesheet Raw'!$C$4:$C$8000,"*"&amp;$B292&amp;"*",'Timesheet Raw'!$L$4:$L$8000,"&gt;="&amp;P$5,'Timesheet Raw'!$L$4:$L$8000,"&lt;="&amp;P$6)))/'Profit Plan'!$B$5)</f>
        <v>0</v>
      </c>
      <c r="Q292" s="122">
        <f>IF($A292="","",(IF(ISNUMBER(SEARCH("Proposal",$A292)),SUMIFS('Timesheet Raw'!$P$4:$P$8000,'Timesheet Raw'!$A$4:$A$8000,IF(ISNUMBER(SEARCH("Chargable",$A292)),"2-Proposals Chargeable","3-Proposals Regular"),'Timesheet Raw'!$C$4:$C$8000,"*"&amp;$B292&amp;"*",'Timesheet Raw'!$L$4:$L$8000,"&gt;="&amp;MAX(Q$5,DATE(2000+VALUE(RIGHT(TRIM($A292),2)),1,1)),'Timesheet Raw'!$L$4:$L$8000,"&lt;="&amp;MIN(Q$6,DATE(2000+VALUE(RIGHT(TRIM($A292),2)),12,31))),SUMIFS('Timesheet Raw'!$P$4:$P$8000,'Timesheet Raw'!$B$4:$B$8000,TRIM($A292),'Timesheet Raw'!$C$4:$C$8000,"*"&amp;$B292&amp;"*",'Timesheet Raw'!$L$4:$L$8000,"&gt;="&amp;Q$5,'Timesheet Raw'!$L$4:$L$8000,"&lt;="&amp;Q$6)))/'Profit Plan'!$B$5)</f>
        <v>0</v>
      </c>
      <c r="R292" s="122">
        <f>IF($A292="","",(IF(ISNUMBER(SEARCH("Proposal",$A292)),SUMIFS('Timesheet Raw'!$P$4:$P$8000,'Timesheet Raw'!$A$4:$A$8000,IF(ISNUMBER(SEARCH("Chargable",$A292)),"2-Proposals Chargeable","3-Proposals Regular"),'Timesheet Raw'!$C$4:$C$8000,"*"&amp;$B292&amp;"*",'Timesheet Raw'!$L$4:$L$8000,"&gt;="&amp;MAX(R$5,DATE(2000+VALUE(RIGHT(TRIM($A292),2)),1,1)),'Timesheet Raw'!$L$4:$L$8000,"&lt;="&amp;MIN(R$6,DATE(2000+VALUE(RIGHT(TRIM($A292),2)),12,31))),SUMIFS('Timesheet Raw'!$P$4:$P$8000,'Timesheet Raw'!$B$4:$B$8000,TRIM($A292),'Timesheet Raw'!$C$4:$C$8000,"*"&amp;$B292&amp;"*",'Timesheet Raw'!$L$4:$L$8000,"&gt;="&amp;R$5,'Timesheet Raw'!$L$4:$L$8000,"&lt;="&amp;R$6)))/'Profit Plan'!$B$5)</f>
        <v>0</v>
      </c>
      <c r="S292" s="122">
        <f>IF($A292="","",(IF(ISNUMBER(SEARCH("Proposal",$A292)),SUMIFS('Timesheet Raw'!$P$4:$P$8000,'Timesheet Raw'!$A$4:$A$8000,IF(ISNUMBER(SEARCH("Chargable",$A292)),"2-Proposals Chargeable","3-Proposals Regular"),'Timesheet Raw'!$C$4:$C$8000,"*"&amp;$B292&amp;"*",'Timesheet Raw'!$L$4:$L$8000,"&gt;="&amp;MAX(S$5,DATE(2000+VALUE(RIGHT(TRIM($A292),2)),1,1)),'Timesheet Raw'!$L$4:$L$8000,"&lt;="&amp;MIN(S$6,DATE(2000+VALUE(RIGHT(TRIM($A292),2)),12,31))),SUMIFS('Timesheet Raw'!$P$4:$P$8000,'Timesheet Raw'!$B$4:$B$8000,TRIM($A292),'Timesheet Raw'!$C$4:$C$8000,"*"&amp;$B292&amp;"*",'Timesheet Raw'!$L$4:$L$8000,"&gt;="&amp;S$5,'Timesheet Raw'!$L$4:$L$8000,"&lt;="&amp;S$6)))/'Profit Plan'!$B$5)</f>
        <v>0</v>
      </c>
      <c r="T292" s="122">
        <f>IF($A292="","",(IF(ISNUMBER(SEARCH("Proposal",$A292)),SUMIFS('Timesheet Raw'!$P$4:$P$8000,'Timesheet Raw'!$A$4:$A$8000,IF(ISNUMBER(SEARCH("Chargable",$A292)),"2-Proposals Chargeable","3-Proposals Regular"),'Timesheet Raw'!$C$4:$C$8000,"*"&amp;$B292&amp;"*",'Timesheet Raw'!$L$4:$L$8000,"&gt;="&amp;MAX(T$5,DATE(2000+VALUE(RIGHT(TRIM($A292),2)),1,1)),'Timesheet Raw'!$L$4:$L$8000,"&lt;="&amp;MIN(T$6,DATE(2000+VALUE(RIGHT(TRIM($A292),2)),12,31))),SUMIFS('Timesheet Raw'!$P$4:$P$8000,'Timesheet Raw'!$B$4:$B$8000,TRIM($A292),'Timesheet Raw'!$C$4:$C$8000,"*"&amp;$B292&amp;"*",'Timesheet Raw'!$L$4:$L$8000,"&gt;="&amp;T$5,'Timesheet Raw'!$L$4:$L$8000,"&lt;="&amp;T$6)))/'Profit Plan'!$B$5)</f>
        <v>0</v>
      </c>
      <c r="U292" s="122">
        <f>IF($A292="","",(IF(ISNUMBER(SEARCH("Proposal",$A292)),SUMIFS('Timesheet Raw'!$P$4:$P$8000,'Timesheet Raw'!$A$4:$A$8000,IF(ISNUMBER(SEARCH("Chargable",$A292)),"2-Proposals Chargeable","3-Proposals Regular"),'Timesheet Raw'!$C$4:$C$8000,"*"&amp;$B292&amp;"*",'Timesheet Raw'!$L$4:$L$8000,"&gt;="&amp;MAX(U$5,DATE(2000+VALUE(RIGHT(TRIM($A292),2)),1,1)),'Timesheet Raw'!$L$4:$L$8000,"&lt;="&amp;MIN(U$6,DATE(2000+VALUE(RIGHT(TRIM($A292),2)),12,31))),SUMIFS('Timesheet Raw'!$P$4:$P$8000,'Timesheet Raw'!$B$4:$B$8000,TRIM($A292),'Timesheet Raw'!$C$4:$C$8000,"*"&amp;$B292&amp;"*",'Timesheet Raw'!$L$4:$L$8000,"&gt;="&amp;U$5,'Timesheet Raw'!$L$4:$L$8000,"&lt;="&amp;U$6)))/'Profit Plan'!$B$5)</f>
        <v>0</v>
      </c>
      <c r="V292" s="122">
        <f>IF($A292="","",(IF(ISNUMBER(SEARCH("Proposal",$A292)),SUMIFS('Timesheet Raw'!$P$4:$P$8000,'Timesheet Raw'!$A$4:$A$8000,IF(ISNUMBER(SEARCH("Chargable",$A292)),"2-Proposals Chargeable","3-Proposals Regular"),'Timesheet Raw'!$C$4:$C$8000,"*"&amp;$B292&amp;"*",'Timesheet Raw'!$L$4:$L$8000,"&gt;="&amp;MAX(V$5,DATE(2000+VALUE(RIGHT(TRIM($A292),2)),1,1)),'Timesheet Raw'!$L$4:$L$8000,"&lt;="&amp;MIN(V$6,DATE(2000+VALUE(RIGHT(TRIM($A292),2)),12,31))),SUMIFS('Timesheet Raw'!$P$4:$P$8000,'Timesheet Raw'!$B$4:$B$8000,TRIM($A292),'Timesheet Raw'!$C$4:$C$8000,"*"&amp;$B292&amp;"*",'Timesheet Raw'!$L$4:$L$8000,"&gt;="&amp;V$5,'Timesheet Raw'!$L$4:$L$8000,"&lt;="&amp;V$6)))/'Profit Plan'!$B$5)</f>
        <v>0</v>
      </c>
      <c r="W292" s="122">
        <f>IF($A292="","",(IF(ISNUMBER(SEARCH("Proposal",$A292)),SUMIFS('Timesheet Raw'!$P$4:$P$8000,'Timesheet Raw'!$A$4:$A$8000,IF(ISNUMBER(SEARCH("Chargable",$A292)),"2-Proposals Chargeable","3-Proposals Regular"),'Timesheet Raw'!$C$4:$C$8000,"*"&amp;$B292&amp;"*",'Timesheet Raw'!$L$4:$L$8000,"&gt;="&amp;MAX(W$5,DATE(2000+VALUE(RIGHT(TRIM($A292),2)),1,1)),'Timesheet Raw'!$L$4:$L$8000,"&lt;="&amp;MIN(W$6,DATE(2000+VALUE(RIGHT(TRIM($A292),2)),12,31))),SUMIFS('Timesheet Raw'!$P$4:$P$8000,'Timesheet Raw'!$B$4:$B$8000,TRIM($A292),'Timesheet Raw'!$C$4:$C$8000,"*"&amp;$B292&amp;"*",'Timesheet Raw'!$L$4:$L$8000,"&gt;="&amp;W$5,'Timesheet Raw'!$L$4:$L$8000,"&lt;="&amp;W$6)))/'Profit Plan'!$B$5)</f>
        <v>0</v>
      </c>
      <c r="X292" s="122">
        <f>IF($A292="","",(IF(ISNUMBER(SEARCH("Proposal",$A292)),SUMIFS('Timesheet Raw'!$P$4:$P$8000,'Timesheet Raw'!$A$4:$A$8000,IF(ISNUMBER(SEARCH("Chargable",$A292)),"2-Proposals Chargeable","3-Proposals Regular"),'Timesheet Raw'!$C$4:$C$8000,"*"&amp;$B292&amp;"*",'Timesheet Raw'!$L$4:$L$8000,"&gt;="&amp;MAX(X$5,DATE(2000+VALUE(RIGHT(TRIM($A292),2)),1,1)),'Timesheet Raw'!$L$4:$L$8000,"&lt;="&amp;MIN(X$6,DATE(2000+VALUE(RIGHT(TRIM($A292),2)),12,31))),SUMIFS('Timesheet Raw'!$P$4:$P$8000,'Timesheet Raw'!$B$4:$B$8000,TRIM($A292),'Timesheet Raw'!$C$4:$C$8000,"*"&amp;$B292&amp;"*",'Timesheet Raw'!$L$4:$L$8000,"&gt;="&amp;X$5,'Timesheet Raw'!$L$4:$L$8000,"&lt;="&amp;X$6)))/'Profit Plan'!$B$5)</f>
        <v>0</v>
      </c>
      <c r="Y292" s="118">
        <f t="shared" si="100"/>
        <v>5.4054054054054057E-3</v>
      </c>
    </row>
    <row r="293" spans="1:25" x14ac:dyDescent="0.3">
      <c r="A293" s="116" t="str">
        <f>IF(Inputs!$A15="","",Inputs!$A15)</f>
        <v>AN24140-0100R</v>
      </c>
      <c r="B293" s="116" t="str">
        <f>IF(Inputs!$A15="","",Inputs!$A$92)</f>
        <v>Osama</v>
      </c>
      <c r="C293" s="116"/>
      <c r="D293" s="122">
        <f>IF($A293="","",(IF(ISNUMBER(SEARCH("Proposal",$A293)),SUMIFS('Timesheet Raw'!$P$4:$P$8000,'Timesheet Raw'!$A$4:$A$8000,IF(ISNUMBER(SEARCH("Chargable",$A293)),"2-Proposals Chargeable","3-Proposals Regular"),'Timesheet Raw'!$C$4:$C$8000,"*"&amp;$B293&amp;"*",'Timesheet Raw'!$L$4:$L$8000,"&gt;="&amp;MAX(D$5,DATE(2000+VALUE(RIGHT(TRIM($A293),2)),1,1)),'Timesheet Raw'!$L$4:$L$8000,"&lt;="&amp;MIN(D$6,DATE(2000+VALUE(RIGHT(TRIM($A293),2)),12,31))),SUMIFS('Timesheet Raw'!$P$4:$P$8000,'Timesheet Raw'!$B$4:$B$8000,TRIM($A293),'Timesheet Raw'!$C$4:$C$8000,"*"&amp;$B293&amp;"*",'Timesheet Raw'!$L$4:$L$8000,"&gt;="&amp;D$5,'Timesheet Raw'!$L$4:$L$8000,"&lt;="&amp;D$6)))/'Profit Plan'!$B$5)</f>
        <v>0</v>
      </c>
      <c r="E293" s="122">
        <f>IF($A293="","",(IF(ISNUMBER(SEARCH("Proposal",$A293)),SUMIFS('Timesheet Raw'!$P$4:$P$8000,'Timesheet Raw'!$A$4:$A$8000,IF(ISNUMBER(SEARCH("Chargable",$A293)),"2-Proposals Chargeable","3-Proposals Regular"),'Timesheet Raw'!$C$4:$C$8000,"*"&amp;$B293&amp;"*",'Timesheet Raw'!$L$4:$L$8000,"&gt;="&amp;MAX(E$5,DATE(2000+VALUE(RIGHT(TRIM($A293),2)),1,1)),'Timesheet Raw'!$L$4:$L$8000,"&lt;="&amp;MIN(E$6,DATE(2000+VALUE(RIGHT(TRIM($A293),2)),12,31))),SUMIFS('Timesheet Raw'!$P$4:$P$8000,'Timesheet Raw'!$B$4:$B$8000,TRIM($A293),'Timesheet Raw'!$C$4:$C$8000,"*"&amp;$B293&amp;"*",'Timesheet Raw'!$L$4:$L$8000,"&gt;="&amp;E$5,'Timesheet Raw'!$L$4:$L$8000,"&lt;="&amp;E$6)))/'Profit Plan'!$B$5)</f>
        <v>0</v>
      </c>
      <c r="F293" s="122">
        <f>IF($A293="","",(IF(ISNUMBER(SEARCH("Proposal",$A293)),SUMIFS('Timesheet Raw'!$P$4:$P$8000,'Timesheet Raw'!$A$4:$A$8000,IF(ISNUMBER(SEARCH("Chargable",$A293)),"2-Proposals Chargeable","3-Proposals Regular"),'Timesheet Raw'!$C$4:$C$8000,"*"&amp;$B293&amp;"*",'Timesheet Raw'!$L$4:$L$8000,"&gt;="&amp;MAX(F$5,DATE(2000+VALUE(RIGHT(TRIM($A293),2)),1,1)),'Timesheet Raw'!$L$4:$L$8000,"&lt;="&amp;MIN(F$6,DATE(2000+VALUE(RIGHT(TRIM($A293),2)),12,31))),SUMIFS('Timesheet Raw'!$P$4:$P$8000,'Timesheet Raw'!$B$4:$B$8000,TRIM($A293),'Timesheet Raw'!$C$4:$C$8000,"*"&amp;$B293&amp;"*",'Timesheet Raw'!$L$4:$L$8000,"&gt;="&amp;F$5,'Timesheet Raw'!$L$4:$L$8000,"&lt;="&amp;F$6)))/'Profit Plan'!$B$5)</f>
        <v>0</v>
      </c>
      <c r="G293" s="122">
        <f>IF($A293="","",(IF(ISNUMBER(SEARCH("Proposal",$A293)),SUMIFS('Timesheet Raw'!$P$4:$P$8000,'Timesheet Raw'!$A$4:$A$8000,IF(ISNUMBER(SEARCH("Chargable",$A293)),"2-Proposals Chargeable","3-Proposals Regular"),'Timesheet Raw'!$C$4:$C$8000,"*"&amp;$B293&amp;"*",'Timesheet Raw'!$L$4:$L$8000,"&gt;="&amp;MAX(G$5,DATE(2000+VALUE(RIGHT(TRIM($A293),2)),1,1)),'Timesheet Raw'!$L$4:$L$8000,"&lt;="&amp;MIN(G$6,DATE(2000+VALUE(RIGHT(TRIM($A293),2)),12,31))),SUMIFS('Timesheet Raw'!$P$4:$P$8000,'Timesheet Raw'!$B$4:$B$8000,TRIM($A293),'Timesheet Raw'!$C$4:$C$8000,"*"&amp;$B293&amp;"*",'Timesheet Raw'!$L$4:$L$8000,"&gt;="&amp;G$5,'Timesheet Raw'!$L$4:$L$8000,"&lt;="&amp;G$6)))/'Profit Plan'!$B$5)</f>
        <v>0</v>
      </c>
      <c r="H293" s="122">
        <f>IF($A293="","",(IF(ISNUMBER(SEARCH("Proposal",$A293)),SUMIFS('Timesheet Raw'!$P$4:$P$8000,'Timesheet Raw'!$A$4:$A$8000,IF(ISNUMBER(SEARCH("Chargable",$A293)),"2-Proposals Chargeable","3-Proposals Regular"),'Timesheet Raw'!$C$4:$C$8000,"*"&amp;$B293&amp;"*",'Timesheet Raw'!$L$4:$L$8000,"&gt;="&amp;MAX(H$5,DATE(2000+VALUE(RIGHT(TRIM($A293),2)),1,1)),'Timesheet Raw'!$L$4:$L$8000,"&lt;="&amp;MIN(H$6,DATE(2000+VALUE(RIGHT(TRIM($A293),2)),12,31))),SUMIFS('Timesheet Raw'!$P$4:$P$8000,'Timesheet Raw'!$B$4:$B$8000,TRIM($A293),'Timesheet Raw'!$C$4:$C$8000,"*"&amp;$B293&amp;"*",'Timesheet Raw'!$L$4:$L$8000,"&gt;="&amp;H$5,'Timesheet Raw'!$L$4:$L$8000,"&lt;="&amp;H$6)))/'Profit Plan'!$B$5)</f>
        <v>0</v>
      </c>
      <c r="I293" s="122">
        <f>IF($A293="","",(IF(ISNUMBER(SEARCH("Proposal",$A293)),SUMIFS('Timesheet Raw'!$P$4:$P$8000,'Timesheet Raw'!$A$4:$A$8000,IF(ISNUMBER(SEARCH("Chargable",$A293)),"2-Proposals Chargeable","3-Proposals Regular"),'Timesheet Raw'!$C$4:$C$8000,"*"&amp;$B293&amp;"*",'Timesheet Raw'!$L$4:$L$8000,"&gt;="&amp;MAX(I$5,DATE(2000+VALUE(RIGHT(TRIM($A293),2)),1,1)),'Timesheet Raw'!$L$4:$L$8000,"&lt;="&amp;MIN(I$6,DATE(2000+VALUE(RIGHT(TRIM($A293),2)),12,31))),SUMIFS('Timesheet Raw'!$P$4:$P$8000,'Timesheet Raw'!$B$4:$B$8000,TRIM($A293),'Timesheet Raw'!$C$4:$C$8000,"*"&amp;$B293&amp;"*",'Timesheet Raw'!$L$4:$L$8000,"&gt;="&amp;I$5,'Timesheet Raw'!$L$4:$L$8000,"&lt;="&amp;I$6)))/'Profit Plan'!$B$5)</f>
        <v>0.17567567567567569</v>
      </c>
      <c r="J293" s="122">
        <f>IF($A293="","",(IF(ISNUMBER(SEARCH("Proposal",$A293)),SUMIFS('Timesheet Raw'!$P$4:$P$8000,'Timesheet Raw'!$A$4:$A$8000,IF(ISNUMBER(SEARCH("Chargable",$A293)),"2-Proposals Chargeable","3-Proposals Regular"),'Timesheet Raw'!$C$4:$C$8000,"*"&amp;$B293&amp;"*",'Timesheet Raw'!$L$4:$L$8000,"&gt;="&amp;MAX(J$5,DATE(2000+VALUE(RIGHT(TRIM($A293),2)),1,1)),'Timesheet Raw'!$L$4:$L$8000,"&lt;="&amp;MIN(J$6,DATE(2000+VALUE(RIGHT(TRIM($A293),2)),12,31))),SUMIFS('Timesheet Raw'!$P$4:$P$8000,'Timesheet Raw'!$B$4:$B$8000,TRIM($A293),'Timesheet Raw'!$C$4:$C$8000,"*"&amp;$B293&amp;"*",'Timesheet Raw'!$L$4:$L$8000,"&gt;="&amp;J$5,'Timesheet Raw'!$L$4:$L$8000,"&lt;="&amp;J$6)))/'Profit Plan'!$B$5)</f>
        <v>5.5405405405405408E-2</v>
      </c>
      <c r="K293" s="122">
        <f>IF($A293="","",(IF(ISNUMBER(SEARCH("Proposal",$A293)),SUMIFS('Timesheet Raw'!$P$4:$P$8000,'Timesheet Raw'!$A$4:$A$8000,IF(ISNUMBER(SEARCH("Chargable",$A293)),"2-Proposals Chargeable","3-Proposals Regular"),'Timesheet Raw'!$C$4:$C$8000,"*"&amp;$B293&amp;"*",'Timesheet Raw'!$L$4:$L$8000,"&gt;="&amp;MAX(K$5,DATE(2000+VALUE(RIGHT(TRIM($A293),2)),1,1)),'Timesheet Raw'!$L$4:$L$8000,"&lt;="&amp;MIN(K$6,DATE(2000+VALUE(RIGHT(TRIM($A293),2)),12,31))),SUMIFS('Timesheet Raw'!$P$4:$P$8000,'Timesheet Raw'!$B$4:$B$8000,TRIM($A293),'Timesheet Raw'!$C$4:$C$8000,"*"&amp;$B293&amp;"*",'Timesheet Raw'!$L$4:$L$8000,"&gt;="&amp;K$5,'Timesheet Raw'!$L$4:$L$8000,"&lt;="&amp;K$6)))/'Profit Plan'!$B$5)</f>
        <v>0</v>
      </c>
      <c r="L293" s="122">
        <f>IF($A293="","",(IF(ISNUMBER(SEARCH("Proposal",$A293)),SUMIFS('Timesheet Raw'!$P$4:$P$8000,'Timesheet Raw'!$A$4:$A$8000,IF(ISNUMBER(SEARCH("Chargable",$A293)),"2-Proposals Chargeable","3-Proposals Regular"),'Timesheet Raw'!$C$4:$C$8000,"*"&amp;$B293&amp;"*",'Timesheet Raw'!$L$4:$L$8000,"&gt;="&amp;MAX(L$5,DATE(2000+VALUE(RIGHT(TRIM($A293),2)),1,1)),'Timesheet Raw'!$L$4:$L$8000,"&lt;="&amp;MIN(L$6,DATE(2000+VALUE(RIGHT(TRIM($A293),2)),12,31))),SUMIFS('Timesheet Raw'!$P$4:$P$8000,'Timesheet Raw'!$B$4:$B$8000,TRIM($A293),'Timesheet Raw'!$C$4:$C$8000,"*"&amp;$B293&amp;"*",'Timesheet Raw'!$L$4:$L$8000,"&gt;="&amp;L$5,'Timesheet Raw'!$L$4:$L$8000,"&lt;="&amp;L$6)))/'Profit Plan'!$B$5)</f>
        <v>0</v>
      </c>
      <c r="M293" s="122">
        <f>IF($A293="","",(IF(ISNUMBER(SEARCH("Proposal",$A293)),SUMIFS('Timesheet Raw'!$P$4:$P$8000,'Timesheet Raw'!$A$4:$A$8000,IF(ISNUMBER(SEARCH("Chargable",$A293)),"2-Proposals Chargeable","3-Proposals Regular"),'Timesheet Raw'!$C$4:$C$8000,"*"&amp;$B293&amp;"*",'Timesheet Raw'!$L$4:$L$8000,"&gt;="&amp;MAX(M$5,DATE(2000+VALUE(RIGHT(TRIM($A293),2)),1,1)),'Timesheet Raw'!$L$4:$L$8000,"&lt;="&amp;MIN(M$6,DATE(2000+VALUE(RIGHT(TRIM($A293),2)),12,31))),SUMIFS('Timesheet Raw'!$P$4:$P$8000,'Timesheet Raw'!$B$4:$B$8000,TRIM($A293),'Timesheet Raw'!$C$4:$C$8000,"*"&amp;$B293&amp;"*",'Timesheet Raw'!$L$4:$L$8000,"&gt;="&amp;M$5,'Timesheet Raw'!$L$4:$L$8000,"&lt;="&amp;M$6)))/'Profit Plan'!$B$5)</f>
        <v>0</v>
      </c>
      <c r="N293" s="122">
        <f>IF($A293="","",(IF(ISNUMBER(SEARCH("Proposal",$A293)),SUMIFS('Timesheet Raw'!$P$4:$P$8000,'Timesheet Raw'!$A$4:$A$8000,IF(ISNUMBER(SEARCH("Chargable",$A293)),"2-Proposals Chargeable","3-Proposals Regular"),'Timesheet Raw'!$C$4:$C$8000,"*"&amp;$B293&amp;"*",'Timesheet Raw'!$L$4:$L$8000,"&gt;="&amp;MAX(N$5,DATE(2000+VALUE(RIGHT(TRIM($A293),2)),1,1)),'Timesheet Raw'!$L$4:$L$8000,"&lt;="&amp;MIN(N$6,DATE(2000+VALUE(RIGHT(TRIM($A293),2)),12,31))),SUMIFS('Timesheet Raw'!$P$4:$P$8000,'Timesheet Raw'!$B$4:$B$8000,TRIM($A293),'Timesheet Raw'!$C$4:$C$8000,"*"&amp;$B293&amp;"*",'Timesheet Raw'!$L$4:$L$8000,"&gt;="&amp;N$5,'Timesheet Raw'!$L$4:$L$8000,"&lt;="&amp;N$6)))/'Profit Plan'!$B$5)</f>
        <v>0</v>
      </c>
      <c r="O293" s="122">
        <f>IF($A293="","",(IF(ISNUMBER(SEARCH("Proposal",$A293)),SUMIFS('Timesheet Raw'!$P$4:$P$8000,'Timesheet Raw'!$A$4:$A$8000,IF(ISNUMBER(SEARCH("Chargable",$A293)),"2-Proposals Chargeable","3-Proposals Regular"),'Timesheet Raw'!$C$4:$C$8000,"*"&amp;$B293&amp;"*",'Timesheet Raw'!$L$4:$L$8000,"&gt;="&amp;MAX(O$5,DATE(2000+VALUE(RIGHT(TRIM($A293),2)),1,1)),'Timesheet Raw'!$L$4:$L$8000,"&lt;="&amp;MIN(O$6,DATE(2000+VALUE(RIGHT(TRIM($A293),2)),12,31))),SUMIFS('Timesheet Raw'!$P$4:$P$8000,'Timesheet Raw'!$B$4:$B$8000,TRIM($A293),'Timesheet Raw'!$C$4:$C$8000,"*"&amp;$B293&amp;"*",'Timesheet Raw'!$L$4:$L$8000,"&gt;="&amp;O$5,'Timesheet Raw'!$L$4:$L$8000,"&lt;="&amp;O$6)))/'Profit Plan'!$B$5)</f>
        <v>0</v>
      </c>
      <c r="P293" s="122">
        <f>IF($A293="","",(IF(ISNUMBER(SEARCH("Proposal",$A293)),SUMIFS('Timesheet Raw'!$P$4:$P$8000,'Timesheet Raw'!$A$4:$A$8000,IF(ISNUMBER(SEARCH("Chargable",$A293)),"2-Proposals Chargeable","3-Proposals Regular"),'Timesheet Raw'!$C$4:$C$8000,"*"&amp;$B293&amp;"*",'Timesheet Raw'!$L$4:$L$8000,"&gt;="&amp;MAX(P$5,DATE(2000+VALUE(RIGHT(TRIM($A293),2)),1,1)),'Timesheet Raw'!$L$4:$L$8000,"&lt;="&amp;MIN(P$6,DATE(2000+VALUE(RIGHT(TRIM($A293),2)),12,31))),SUMIFS('Timesheet Raw'!$P$4:$P$8000,'Timesheet Raw'!$B$4:$B$8000,TRIM($A293),'Timesheet Raw'!$C$4:$C$8000,"*"&amp;$B293&amp;"*",'Timesheet Raw'!$L$4:$L$8000,"&gt;="&amp;P$5,'Timesheet Raw'!$L$4:$L$8000,"&lt;="&amp;P$6)))/'Profit Plan'!$B$5)</f>
        <v>0</v>
      </c>
      <c r="Q293" s="122">
        <f>IF($A293="","",(IF(ISNUMBER(SEARCH("Proposal",$A293)),SUMIFS('Timesheet Raw'!$P$4:$P$8000,'Timesheet Raw'!$A$4:$A$8000,IF(ISNUMBER(SEARCH("Chargable",$A293)),"2-Proposals Chargeable","3-Proposals Regular"),'Timesheet Raw'!$C$4:$C$8000,"*"&amp;$B293&amp;"*",'Timesheet Raw'!$L$4:$L$8000,"&gt;="&amp;MAX(Q$5,DATE(2000+VALUE(RIGHT(TRIM($A293),2)),1,1)),'Timesheet Raw'!$L$4:$L$8000,"&lt;="&amp;MIN(Q$6,DATE(2000+VALUE(RIGHT(TRIM($A293),2)),12,31))),SUMIFS('Timesheet Raw'!$P$4:$P$8000,'Timesheet Raw'!$B$4:$B$8000,TRIM($A293),'Timesheet Raw'!$C$4:$C$8000,"*"&amp;$B293&amp;"*",'Timesheet Raw'!$L$4:$L$8000,"&gt;="&amp;Q$5,'Timesheet Raw'!$L$4:$L$8000,"&lt;="&amp;Q$6)))/'Profit Plan'!$B$5)</f>
        <v>0</v>
      </c>
      <c r="R293" s="122">
        <f>IF($A293="","",(IF(ISNUMBER(SEARCH("Proposal",$A293)),SUMIFS('Timesheet Raw'!$P$4:$P$8000,'Timesheet Raw'!$A$4:$A$8000,IF(ISNUMBER(SEARCH("Chargable",$A293)),"2-Proposals Chargeable","3-Proposals Regular"),'Timesheet Raw'!$C$4:$C$8000,"*"&amp;$B293&amp;"*",'Timesheet Raw'!$L$4:$L$8000,"&gt;="&amp;MAX(R$5,DATE(2000+VALUE(RIGHT(TRIM($A293),2)),1,1)),'Timesheet Raw'!$L$4:$L$8000,"&lt;="&amp;MIN(R$6,DATE(2000+VALUE(RIGHT(TRIM($A293),2)),12,31))),SUMIFS('Timesheet Raw'!$P$4:$P$8000,'Timesheet Raw'!$B$4:$B$8000,TRIM($A293),'Timesheet Raw'!$C$4:$C$8000,"*"&amp;$B293&amp;"*",'Timesheet Raw'!$L$4:$L$8000,"&gt;="&amp;R$5,'Timesheet Raw'!$L$4:$L$8000,"&lt;="&amp;R$6)))/'Profit Plan'!$B$5)</f>
        <v>0</v>
      </c>
      <c r="S293" s="122">
        <f>IF($A293="","",(IF(ISNUMBER(SEARCH("Proposal",$A293)),SUMIFS('Timesheet Raw'!$P$4:$P$8000,'Timesheet Raw'!$A$4:$A$8000,IF(ISNUMBER(SEARCH("Chargable",$A293)),"2-Proposals Chargeable","3-Proposals Regular"),'Timesheet Raw'!$C$4:$C$8000,"*"&amp;$B293&amp;"*",'Timesheet Raw'!$L$4:$L$8000,"&gt;="&amp;MAX(S$5,DATE(2000+VALUE(RIGHT(TRIM($A293),2)),1,1)),'Timesheet Raw'!$L$4:$L$8000,"&lt;="&amp;MIN(S$6,DATE(2000+VALUE(RIGHT(TRIM($A293),2)),12,31))),SUMIFS('Timesheet Raw'!$P$4:$P$8000,'Timesheet Raw'!$B$4:$B$8000,TRIM($A293),'Timesheet Raw'!$C$4:$C$8000,"*"&amp;$B293&amp;"*",'Timesheet Raw'!$L$4:$L$8000,"&gt;="&amp;S$5,'Timesheet Raw'!$L$4:$L$8000,"&lt;="&amp;S$6)))/'Profit Plan'!$B$5)</f>
        <v>0</v>
      </c>
      <c r="T293" s="122">
        <f>IF($A293="","",(IF(ISNUMBER(SEARCH("Proposal",$A293)),SUMIFS('Timesheet Raw'!$P$4:$P$8000,'Timesheet Raw'!$A$4:$A$8000,IF(ISNUMBER(SEARCH("Chargable",$A293)),"2-Proposals Chargeable","3-Proposals Regular"),'Timesheet Raw'!$C$4:$C$8000,"*"&amp;$B293&amp;"*",'Timesheet Raw'!$L$4:$L$8000,"&gt;="&amp;MAX(T$5,DATE(2000+VALUE(RIGHT(TRIM($A293),2)),1,1)),'Timesheet Raw'!$L$4:$L$8000,"&lt;="&amp;MIN(T$6,DATE(2000+VALUE(RIGHT(TRIM($A293),2)),12,31))),SUMIFS('Timesheet Raw'!$P$4:$P$8000,'Timesheet Raw'!$B$4:$B$8000,TRIM($A293),'Timesheet Raw'!$C$4:$C$8000,"*"&amp;$B293&amp;"*",'Timesheet Raw'!$L$4:$L$8000,"&gt;="&amp;T$5,'Timesheet Raw'!$L$4:$L$8000,"&lt;="&amp;T$6)))/'Profit Plan'!$B$5)</f>
        <v>0</v>
      </c>
      <c r="U293" s="122">
        <f>IF($A293="","",(IF(ISNUMBER(SEARCH("Proposal",$A293)),SUMIFS('Timesheet Raw'!$P$4:$P$8000,'Timesheet Raw'!$A$4:$A$8000,IF(ISNUMBER(SEARCH("Chargable",$A293)),"2-Proposals Chargeable","3-Proposals Regular"),'Timesheet Raw'!$C$4:$C$8000,"*"&amp;$B293&amp;"*",'Timesheet Raw'!$L$4:$L$8000,"&gt;="&amp;MAX(U$5,DATE(2000+VALUE(RIGHT(TRIM($A293),2)),1,1)),'Timesheet Raw'!$L$4:$L$8000,"&lt;="&amp;MIN(U$6,DATE(2000+VALUE(RIGHT(TRIM($A293),2)),12,31))),SUMIFS('Timesheet Raw'!$P$4:$P$8000,'Timesheet Raw'!$B$4:$B$8000,TRIM($A293),'Timesheet Raw'!$C$4:$C$8000,"*"&amp;$B293&amp;"*",'Timesheet Raw'!$L$4:$L$8000,"&gt;="&amp;U$5,'Timesheet Raw'!$L$4:$L$8000,"&lt;="&amp;U$6)))/'Profit Plan'!$B$5)</f>
        <v>0</v>
      </c>
      <c r="V293" s="122">
        <f>IF($A293="","",(IF(ISNUMBER(SEARCH("Proposal",$A293)),SUMIFS('Timesheet Raw'!$P$4:$P$8000,'Timesheet Raw'!$A$4:$A$8000,IF(ISNUMBER(SEARCH("Chargable",$A293)),"2-Proposals Chargeable","3-Proposals Regular"),'Timesheet Raw'!$C$4:$C$8000,"*"&amp;$B293&amp;"*",'Timesheet Raw'!$L$4:$L$8000,"&gt;="&amp;MAX(V$5,DATE(2000+VALUE(RIGHT(TRIM($A293),2)),1,1)),'Timesheet Raw'!$L$4:$L$8000,"&lt;="&amp;MIN(V$6,DATE(2000+VALUE(RIGHT(TRIM($A293),2)),12,31))),SUMIFS('Timesheet Raw'!$P$4:$P$8000,'Timesheet Raw'!$B$4:$B$8000,TRIM($A293),'Timesheet Raw'!$C$4:$C$8000,"*"&amp;$B293&amp;"*",'Timesheet Raw'!$L$4:$L$8000,"&gt;="&amp;V$5,'Timesheet Raw'!$L$4:$L$8000,"&lt;="&amp;V$6)))/'Profit Plan'!$B$5)</f>
        <v>0</v>
      </c>
      <c r="W293" s="122">
        <f>IF($A293="","",(IF(ISNUMBER(SEARCH("Proposal",$A293)),SUMIFS('Timesheet Raw'!$P$4:$P$8000,'Timesheet Raw'!$A$4:$A$8000,IF(ISNUMBER(SEARCH("Chargable",$A293)),"2-Proposals Chargeable","3-Proposals Regular"),'Timesheet Raw'!$C$4:$C$8000,"*"&amp;$B293&amp;"*",'Timesheet Raw'!$L$4:$L$8000,"&gt;="&amp;MAX(W$5,DATE(2000+VALUE(RIGHT(TRIM($A293),2)),1,1)),'Timesheet Raw'!$L$4:$L$8000,"&lt;="&amp;MIN(W$6,DATE(2000+VALUE(RIGHT(TRIM($A293),2)),12,31))),SUMIFS('Timesheet Raw'!$P$4:$P$8000,'Timesheet Raw'!$B$4:$B$8000,TRIM($A293),'Timesheet Raw'!$C$4:$C$8000,"*"&amp;$B293&amp;"*",'Timesheet Raw'!$L$4:$L$8000,"&gt;="&amp;W$5,'Timesheet Raw'!$L$4:$L$8000,"&lt;="&amp;W$6)))/'Profit Plan'!$B$5)</f>
        <v>0</v>
      </c>
      <c r="X293" s="122">
        <f>IF($A293="","",(IF(ISNUMBER(SEARCH("Proposal",$A293)),SUMIFS('Timesheet Raw'!$P$4:$P$8000,'Timesheet Raw'!$A$4:$A$8000,IF(ISNUMBER(SEARCH("Chargable",$A293)),"2-Proposals Chargeable","3-Proposals Regular"),'Timesheet Raw'!$C$4:$C$8000,"*"&amp;$B293&amp;"*",'Timesheet Raw'!$L$4:$L$8000,"&gt;="&amp;MAX(X$5,DATE(2000+VALUE(RIGHT(TRIM($A293),2)),1,1)),'Timesheet Raw'!$L$4:$L$8000,"&lt;="&amp;MIN(X$6,DATE(2000+VALUE(RIGHT(TRIM($A293),2)),12,31))),SUMIFS('Timesheet Raw'!$P$4:$P$8000,'Timesheet Raw'!$B$4:$B$8000,TRIM($A293),'Timesheet Raw'!$C$4:$C$8000,"*"&amp;$B293&amp;"*",'Timesheet Raw'!$L$4:$L$8000,"&gt;="&amp;X$5,'Timesheet Raw'!$L$4:$L$8000,"&lt;="&amp;X$6)))/'Profit Plan'!$B$5)</f>
        <v>0</v>
      </c>
      <c r="Y293" s="118">
        <f t="shared" si="100"/>
        <v>0.23108108108108111</v>
      </c>
    </row>
    <row r="294" spans="1:25" x14ac:dyDescent="0.3">
      <c r="A294" s="116" t="str">
        <f>IF(Inputs!$A15="","",Inputs!$A15)</f>
        <v>AN24140-0100R</v>
      </c>
      <c r="B294" s="116" t="str">
        <f>IF(Inputs!$A15="","",Inputs!$A$93)</f>
        <v>Kirolos</v>
      </c>
      <c r="C294" s="116"/>
      <c r="D294" s="122">
        <f>IF($A294="","",(IF(ISNUMBER(SEARCH("Proposal",$A294)),SUMIFS('Timesheet Raw'!$P$4:$P$8000,'Timesheet Raw'!$A$4:$A$8000,IF(ISNUMBER(SEARCH("Chargable",$A294)),"2-Proposals Chargeable","3-Proposals Regular"),'Timesheet Raw'!$C$4:$C$8000,"*"&amp;$B294&amp;"*",'Timesheet Raw'!$L$4:$L$8000,"&gt;="&amp;MAX(D$5,DATE(2000+VALUE(RIGHT(TRIM($A294),2)),1,1)),'Timesheet Raw'!$L$4:$L$8000,"&lt;="&amp;MIN(D$6,DATE(2000+VALUE(RIGHT(TRIM($A294),2)),12,31))),SUMIFS('Timesheet Raw'!$P$4:$P$8000,'Timesheet Raw'!$B$4:$B$8000,TRIM($A294),'Timesheet Raw'!$C$4:$C$8000,"*"&amp;$B294&amp;"*",'Timesheet Raw'!$L$4:$L$8000,"&gt;="&amp;D$5,'Timesheet Raw'!$L$4:$L$8000,"&lt;="&amp;D$6)))/'Profit Plan'!$B$5)</f>
        <v>0</v>
      </c>
      <c r="E294" s="122">
        <f>IF($A294="","",(IF(ISNUMBER(SEARCH("Proposal",$A294)),SUMIFS('Timesheet Raw'!$P$4:$P$8000,'Timesheet Raw'!$A$4:$A$8000,IF(ISNUMBER(SEARCH("Chargable",$A294)),"2-Proposals Chargeable","3-Proposals Regular"),'Timesheet Raw'!$C$4:$C$8000,"*"&amp;$B294&amp;"*",'Timesheet Raw'!$L$4:$L$8000,"&gt;="&amp;MAX(E$5,DATE(2000+VALUE(RIGHT(TRIM($A294),2)),1,1)),'Timesheet Raw'!$L$4:$L$8000,"&lt;="&amp;MIN(E$6,DATE(2000+VALUE(RIGHT(TRIM($A294),2)),12,31))),SUMIFS('Timesheet Raw'!$P$4:$P$8000,'Timesheet Raw'!$B$4:$B$8000,TRIM($A294),'Timesheet Raw'!$C$4:$C$8000,"*"&amp;$B294&amp;"*",'Timesheet Raw'!$L$4:$L$8000,"&gt;="&amp;E$5,'Timesheet Raw'!$L$4:$L$8000,"&lt;="&amp;E$6)))/'Profit Plan'!$B$5)</f>
        <v>0</v>
      </c>
      <c r="F294" s="122">
        <f>IF($A294="","",(IF(ISNUMBER(SEARCH("Proposal",$A294)),SUMIFS('Timesheet Raw'!$P$4:$P$8000,'Timesheet Raw'!$A$4:$A$8000,IF(ISNUMBER(SEARCH("Chargable",$A294)),"2-Proposals Chargeable","3-Proposals Regular"),'Timesheet Raw'!$C$4:$C$8000,"*"&amp;$B294&amp;"*",'Timesheet Raw'!$L$4:$L$8000,"&gt;="&amp;MAX(F$5,DATE(2000+VALUE(RIGHT(TRIM($A294),2)),1,1)),'Timesheet Raw'!$L$4:$L$8000,"&lt;="&amp;MIN(F$6,DATE(2000+VALUE(RIGHT(TRIM($A294),2)),12,31))),SUMIFS('Timesheet Raw'!$P$4:$P$8000,'Timesheet Raw'!$B$4:$B$8000,TRIM($A294),'Timesheet Raw'!$C$4:$C$8000,"*"&amp;$B294&amp;"*",'Timesheet Raw'!$L$4:$L$8000,"&gt;="&amp;F$5,'Timesheet Raw'!$L$4:$L$8000,"&lt;="&amp;F$6)))/'Profit Plan'!$B$5)</f>
        <v>0</v>
      </c>
      <c r="G294" s="122">
        <f>IF($A294="","",(IF(ISNUMBER(SEARCH("Proposal",$A294)),SUMIFS('Timesheet Raw'!$P$4:$P$8000,'Timesheet Raw'!$A$4:$A$8000,IF(ISNUMBER(SEARCH("Chargable",$A294)),"2-Proposals Chargeable","3-Proposals Regular"),'Timesheet Raw'!$C$4:$C$8000,"*"&amp;$B294&amp;"*",'Timesheet Raw'!$L$4:$L$8000,"&gt;="&amp;MAX(G$5,DATE(2000+VALUE(RIGHT(TRIM($A294),2)),1,1)),'Timesheet Raw'!$L$4:$L$8000,"&lt;="&amp;MIN(G$6,DATE(2000+VALUE(RIGHT(TRIM($A294),2)),12,31))),SUMIFS('Timesheet Raw'!$P$4:$P$8000,'Timesheet Raw'!$B$4:$B$8000,TRIM($A294),'Timesheet Raw'!$C$4:$C$8000,"*"&amp;$B294&amp;"*",'Timesheet Raw'!$L$4:$L$8000,"&gt;="&amp;G$5,'Timesheet Raw'!$L$4:$L$8000,"&lt;="&amp;G$6)))/'Profit Plan'!$B$5)</f>
        <v>0</v>
      </c>
      <c r="H294" s="122">
        <f>IF($A294="","",(IF(ISNUMBER(SEARCH("Proposal",$A294)),SUMIFS('Timesheet Raw'!$P$4:$P$8000,'Timesheet Raw'!$A$4:$A$8000,IF(ISNUMBER(SEARCH("Chargable",$A294)),"2-Proposals Chargeable","3-Proposals Regular"),'Timesheet Raw'!$C$4:$C$8000,"*"&amp;$B294&amp;"*",'Timesheet Raw'!$L$4:$L$8000,"&gt;="&amp;MAX(H$5,DATE(2000+VALUE(RIGHT(TRIM($A294),2)),1,1)),'Timesheet Raw'!$L$4:$L$8000,"&lt;="&amp;MIN(H$6,DATE(2000+VALUE(RIGHT(TRIM($A294),2)),12,31))),SUMIFS('Timesheet Raw'!$P$4:$P$8000,'Timesheet Raw'!$B$4:$B$8000,TRIM($A294),'Timesheet Raw'!$C$4:$C$8000,"*"&amp;$B294&amp;"*",'Timesheet Raw'!$L$4:$L$8000,"&gt;="&amp;H$5,'Timesheet Raw'!$L$4:$L$8000,"&lt;="&amp;H$6)))/'Profit Plan'!$B$5)</f>
        <v>6.7567567567567571E-2</v>
      </c>
      <c r="I294" s="122">
        <f>IF($A294="","",(IF(ISNUMBER(SEARCH("Proposal",$A294)),SUMIFS('Timesheet Raw'!$P$4:$P$8000,'Timesheet Raw'!$A$4:$A$8000,IF(ISNUMBER(SEARCH("Chargable",$A294)),"2-Proposals Chargeable","3-Proposals Regular"),'Timesheet Raw'!$C$4:$C$8000,"*"&amp;$B294&amp;"*",'Timesheet Raw'!$L$4:$L$8000,"&gt;="&amp;MAX(I$5,DATE(2000+VALUE(RIGHT(TRIM($A294),2)),1,1)),'Timesheet Raw'!$L$4:$L$8000,"&lt;="&amp;MIN(I$6,DATE(2000+VALUE(RIGHT(TRIM($A294),2)),12,31))),SUMIFS('Timesheet Raw'!$P$4:$P$8000,'Timesheet Raw'!$B$4:$B$8000,TRIM($A294),'Timesheet Raw'!$C$4:$C$8000,"*"&amp;$B294&amp;"*",'Timesheet Raw'!$L$4:$L$8000,"&gt;="&amp;I$5,'Timesheet Raw'!$L$4:$L$8000,"&lt;="&amp;I$6)))/'Profit Plan'!$B$5)</f>
        <v>8.2432432432432437E-2</v>
      </c>
      <c r="J294" s="122">
        <f>IF($A294="","",(IF(ISNUMBER(SEARCH("Proposal",$A294)),SUMIFS('Timesheet Raw'!$P$4:$P$8000,'Timesheet Raw'!$A$4:$A$8000,IF(ISNUMBER(SEARCH("Chargable",$A294)),"2-Proposals Chargeable","3-Proposals Regular"),'Timesheet Raw'!$C$4:$C$8000,"*"&amp;$B294&amp;"*",'Timesheet Raw'!$L$4:$L$8000,"&gt;="&amp;MAX(J$5,DATE(2000+VALUE(RIGHT(TRIM($A294),2)),1,1)),'Timesheet Raw'!$L$4:$L$8000,"&lt;="&amp;MIN(J$6,DATE(2000+VALUE(RIGHT(TRIM($A294),2)),12,31))),SUMIFS('Timesheet Raw'!$P$4:$P$8000,'Timesheet Raw'!$B$4:$B$8000,TRIM($A294),'Timesheet Raw'!$C$4:$C$8000,"*"&amp;$B294&amp;"*",'Timesheet Raw'!$L$4:$L$8000,"&gt;="&amp;J$5,'Timesheet Raw'!$L$4:$L$8000,"&lt;="&amp;J$6)))/'Profit Plan'!$B$5)</f>
        <v>9.45945945945946E-2</v>
      </c>
      <c r="K294" s="122">
        <f>IF($A294="","",(IF(ISNUMBER(SEARCH("Proposal",$A294)),SUMIFS('Timesheet Raw'!$P$4:$P$8000,'Timesheet Raw'!$A$4:$A$8000,IF(ISNUMBER(SEARCH("Chargable",$A294)),"2-Proposals Chargeable","3-Proposals Regular"),'Timesheet Raw'!$C$4:$C$8000,"*"&amp;$B294&amp;"*",'Timesheet Raw'!$L$4:$L$8000,"&gt;="&amp;MAX(K$5,DATE(2000+VALUE(RIGHT(TRIM($A294),2)),1,1)),'Timesheet Raw'!$L$4:$L$8000,"&lt;="&amp;MIN(K$6,DATE(2000+VALUE(RIGHT(TRIM($A294),2)),12,31))),SUMIFS('Timesheet Raw'!$P$4:$P$8000,'Timesheet Raw'!$B$4:$B$8000,TRIM($A294),'Timesheet Raw'!$C$4:$C$8000,"*"&amp;$B294&amp;"*",'Timesheet Raw'!$L$4:$L$8000,"&gt;="&amp;K$5,'Timesheet Raw'!$L$4:$L$8000,"&lt;="&amp;K$6)))/'Profit Plan'!$B$5)</f>
        <v>0</v>
      </c>
      <c r="L294" s="122">
        <f>IF($A294="","",(IF(ISNUMBER(SEARCH("Proposal",$A294)),SUMIFS('Timesheet Raw'!$P$4:$P$8000,'Timesheet Raw'!$A$4:$A$8000,IF(ISNUMBER(SEARCH("Chargable",$A294)),"2-Proposals Chargeable","3-Proposals Regular"),'Timesheet Raw'!$C$4:$C$8000,"*"&amp;$B294&amp;"*",'Timesheet Raw'!$L$4:$L$8000,"&gt;="&amp;MAX(L$5,DATE(2000+VALUE(RIGHT(TRIM($A294),2)),1,1)),'Timesheet Raw'!$L$4:$L$8000,"&lt;="&amp;MIN(L$6,DATE(2000+VALUE(RIGHT(TRIM($A294),2)),12,31))),SUMIFS('Timesheet Raw'!$P$4:$P$8000,'Timesheet Raw'!$B$4:$B$8000,TRIM($A294),'Timesheet Raw'!$C$4:$C$8000,"*"&amp;$B294&amp;"*",'Timesheet Raw'!$L$4:$L$8000,"&gt;="&amp;L$5,'Timesheet Raw'!$L$4:$L$8000,"&lt;="&amp;L$6)))/'Profit Plan'!$B$5)</f>
        <v>0</v>
      </c>
      <c r="M294" s="122">
        <f>IF($A294="","",(IF(ISNUMBER(SEARCH("Proposal",$A294)),SUMIFS('Timesheet Raw'!$P$4:$P$8000,'Timesheet Raw'!$A$4:$A$8000,IF(ISNUMBER(SEARCH("Chargable",$A294)),"2-Proposals Chargeable","3-Proposals Regular"),'Timesheet Raw'!$C$4:$C$8000,"*"&amp;$B294&amp;"*",'Timesheet Raw'!$L$4:$L$8000,"&gt;="&amp;MAX(M$5,DATE(2000+VALUE(RIGHT(TRIM($A294),2)),1,1)),'Timesheet Raw'!$L$4:$L$8000,"&lt;="&amp;MIN(M$6,DATE(2000+VALUE(RIGHT(TRIM($A294),2)),12,31))),SUMIFS('Timesheet Raw'!$P$4:$P$8000,'Timesheet Raw'!$B$4:$B$8000,TRIM($A294),'Timesheet Raw'!$C$4:$C$8000,"*"&amp;$B294&amp;"*",'Timesheet Raw'!$L$4:$L$8000,"&gt;="&amp;M$5,'Timesheet Raw'!$L$4:$L$8000,"&lt;="&amp;M$6)))/'Profit Plan'!$B$5)</f>
        <v>2.1621621621621623E-2</v>
      </c>
      <c r="N294" s="122">
        <f>IF($A294="","",(IF(ISNUMBER(SEARCH("Proposal",$A294)),SUMIFS('Timesheet Raw'!$P$4:$P$8000,'Timesheet Raw'!$A$4:$A$8000,IF(ISNUMBER(SEARCH("Chargable",$A294)),"2-Proposals Chargeable","3-Proposals Regular"),'Timesheet Raw'!$C$4:$C$8000,"*"&amp;$B294&amp;"*",'Timesheet Raw'!$L$4:$L$8000,"&gt;="&amp;MAX(N$5,DATE(2000+VALUE(RIGHT(TRIM($A294),2)),1,1)),'Timesheet Raw'!$L$4:$L$8000,"&lt;="&amp;MIN(N$6,DATE(2000+VALUE(RIGHT(TRIM($A294),2)),12,31))),SUMIFS('Timesheet Raw'!$P$4:$P$8000,'Timesheet Raw'!$B$4:$B$8000,TRIM($A294),'Timesheet Raw'!$C$4:$C$8000,"*"&amp;$B294&amp;"*",'Timesheet Raw'!$L$4:$L$8000,"&gt;="&amp;N$5,'Timesheet Raw'!$L$4:$L$8000,"&lt;="&amp;N$6)))/'Profit Plan'!$B$5)</f>
        <v>0</v>
      </c>
      <c r="O294" s="122">
        <f>IF($A294="","",(IF(ISNUMBER(SEARCH("Proposal",$A294)),SUMIFS('Timesheet Raw'!$P$4:$P$8000,'Timesheet Raw'!$A$4:$A$8000,IF(ISNUMBER(SEARCH("Chargable",$A294)),"2-Proposals Chargeable","3-Proposals Regular"),'Timesheet Raw'!$C$4:$C$8000,"*"&amp;$B294&amp;"*",'Timesheet Raw'!$L$4:$L$8000,"&gt;="&amp;MAX(O$5,DATE(2000+VALUE(RIGHT(TRIM($A294),2)),1,1)),'Timesheet Raw'!$L$4:$L$8000,"&lt;="&amp;MIN(O$6,DATE(2000+VALUE(RIGHT(TRIM($A294),2)),12,31))),SUMIFS('Timesheet Raw'!$P$4:$P$8000,'Timesheet Raw'!$B$4:$B$8000,TRIM($A294),'Timesheet Raw'!$C$4:$C$8000,"*"&amp;$B294&amp;"*",'Timesheet Raw'!$L$4:$L$8000,"&gt;="&amp;O$5,'Timesheet Raw'!$L$4:$L$8000,"&lt;="&amp;O$6)))/'Profit Plan'!$B$5)</f>
        <v>0</v>
      </c>
      <c r="P294" s="122">
        <f>IF($A294="","",(IF(ISNUMBER(SEARCH("Proposal",$A294)),SUMIFS('Timesheet Raw'!$P$4:$P$8000,'Timesheet Raw'!$A$4:$A$8000,IF(ISNUMBER(SEARCH("Chargable",$A294)),"2-Proposals Chargeable","3-Proposals Regular"),'Timesheet Raw'!$C$4:$C$8000,"*"&amp;$B294&amp;"*",'Timesheet Raw'!$L$4:$L$8000,"&gt;="&amp;MAX(P$5,DATE(2000+VALUE(RIGHT(TRIM($A294),2)),1,1)),'Timesheet Raw'!$L$4:$L$8000,"&lt;="&amp;MIN(P$6,DATE(2000+VALUE(RIGHT(TRIM($A294),2)),12,31))),SUMIFS('Timesheet Raw'!$P$4:$P$8000,'Timesheet Raw'!$B$4:$B$8000,TRIM($A294),'Timesheet Raw'!$C$4:$C$8000,"*"&amp;$B294&amp;"*",'Timesheet Raw'!$L$4:$L$8000,"&gt;="&amp;P$5,'Timesheet Raw'!$L$4:$L$8000,"&lt;="&amp;P$6)))/'Profit Plan'!$B$5)</f>
        <v>0</v>
      </c>
      <c r="Q294" s="122">
        <f>IF($A294="","",(IF(ISNUMBER(SEARCH("Proposal",$A294)),SUMIFS('Timesheet Raw'!$P$4:$P$8000,'Timesheet Raw'!$A$4:$A$8000,IF(ISNUMBER(SEARCH("Chargable",$A294)),"2-Proposals Chargeable","3-Proposals Regular"),'Timesheet Raw'!$C$4:$C$8000,"*"&amp;$B294&amp;"*",'Timesheet Raw'!$L$4:$L$8000,"&gt;="&amp;MAX(Q$5,DATE(2000+VALUE(RIGHT(TRIM($A294),2)),1,1)),'Timesheet Raw'!$L$4:$L$8000,"&lt;="&amp;MIN(Q$6,DATE(2000+VALUE(RIGHT(TRIM($A294),2)),12,31))),SUMIFS('Timesheet Raw'!$P$4:$P$8000,'Timesheet Raw'!$B$4:$B$8000,TRIM($A294),'Timesheet Raw'!$C$4:$C$8000,"*"&amp;$B294&amp;"*",'Timesheet Raw'!$L$4:$L$8000,"&gt;="&amp;Q$5,'Timesheet Raw'!$L$4:$L$8000,"&lt;="&amp;Q$6)))/'Profit Plan'!$B$5)</f>
        <v>0</v>
      </c>
      <c r="R294" s="122">
        <f>IF($A294="","",(IF(ISNUMBER(SEARCH("Proposal",$A294)),SUMIFS('Timesheet Raw'!$P$4:$P$8000,'Timesheet Raw'!$A$4:$A$8000,IF(ISNUMBER(SEARCH("Chargable",$A294)),"2-Proposals Chargeable","3-Proposals Regular"),'Timesheet Raw'!$C$4:$C$8000,"*"&amp;$B294&amp;"*",'Timesheet Raw'!$L$4:$L$8000,"&gt;="&amp;MAX(R$5,DATE(2000+VALUE(RIGHT(TRIM($A294),2)),1,1)),'Timesheet Raw'!$L$4:$L$8000,"&lt;="&amp;MIN(R$6,DATE(2000+VALUE(RIGHT(TRIM($A294),2)),12,31))),SUMIFS('Timesheet Raw'!$P$4:$P$8000,'Timesheet Raw'!$B$4:$B$8000,TRIM($A294),'Timesheet Raw'!$C$4:$C$8000,"*"&amp;$B294&amp;"*",'Timesheet Raw'!$L$4:$L$8000,"&gt;="&amp;R$5,'Timesheet Raw'!$L$4:$L$8000,"&lt;="&amp;R$6)))/'Profit Plan'!$B$5)</f>
        <v>0</v>
      </c>
      <c r="S294" s="122">
        <f>IF($A294="","",(IF(ISNUMBER(SEARCH("Proposal",$A294)),SUMIFS('Timesheet Raw'!$P$4:$P$8000,'Timesheet Raw'!$A$4:$A$8000,IF(ISNUMBER(SEARCH("Chargable",$A294)),"2-Proposals Chargeable","3-Proposals Regular"),'Timesheet Raw'!$C$4:$C$8000,"*"&amp;$B294&amp;"*",'Timesheet Raw'!$L$4:$L$8000,"&gt;="&amp;MAX(S$5,DATE(2000+VALUE(RIGHT(TRIM($A294),2)),1,1)),'Timesheet Raw'!$L$4:$L$8000,"&lt;="&amp;MIN(S$6,DATE(2000+VALUE(RIGHT(TRIM($A294),2)),12,31))),SUMIFS('Timesheet Raw'!$P$4:$P$8000,'Timesheet Raw'!$B$4:$B$8000,TRIM($A294),'Timesheet Raw'!$C$4:$C$8000,"*"&amp;$B294&amp;"*",'Timesheet Raw'!$L$4:$L$8000,"&gt;="&amp;S$5,'Timesheet Raw'!$L$4:$L$8000,"&lt;="&amp;S$6)))/'Profit Plan'!$B$5)</f>
        <v>0</v>
      </c>
      <c r="T294" s="122">
        <f>IF($A294="","",(IF(ISNUMBER(SEARCH("Proposal",$A294)),SUMIFS('Timesheet Raw'!$P$4:$P$8000,'Timesheet Raw'!$A$4:$A$8000,IF(ISNUMBER(SEARCH("Chargable",$A294)),"2-Proposals Chargeable","3-Proposals Regular"),'Timesheet Raw'!$C$4:$C$8000,"*"&amp;$B294&amp;"*",'Timesheet Raw'!$L$4:$L$8000,"&gt;="&amp;MAX(T$5,DATE(2000+VALUE(RIGHT(TRIM($A294),2)),1,1)),'Timesheet Raw'!$L$4:$L$8000,"&lt;="&amp;MIN(T$6,DATE(2000+VALUE(RIGHT(TRIM($A294),2)),12,31))),SUMIFS('Timesheet Raw'!$P$4:$P$8000,'Timesheet Raw'!$B$4:$B$8000,TRIM($A294),'Timesheet Raw'!$C$4:$C$8000,"*"&amp;$B294&amp;"*",'Timesheet Raw'!$L$4:$L$8000,"&gt;="&amp;T$5,'Timesheet Raw'!$L$4:$L$8000,"&lt;="&amp;T$6)))/'Profit Plan'!$B$5)</f>
        <v>0</v>
      </c>
      <c r="U294" s="122">
        <f>IF($A294="","",(IF(ISNUMBER(SEARCH("Proposal",$A294)),SUMIFS('Timesheet Raw'!$P$4:$P$8000,'Timesheet Raw'!$A$4:$A$8000,IF(ISNUMBER(SEARCH("Chargable",$A294)),"2-Proposals Chargeable","3-Proposals Regular"),'Timesheet Raw'!$C$4:$C$8000,"*"&amp;$B294&amp;"*",'Timesheet Raw'!$L$4:$L$8000,"&gt;="&amp;MAX(U$5,DATE(2000+VALUE(RIGHT(TRIM($A294),2)),1,1)),'Timesheet Raw'!$L$4:$L$8000,"&lt;="&amp;MIN(U$6,DATE(2000+VALUE(RIGHT(TRIM($A294),2)),12,31))),SUMIFS('Timesheet Raw'!$P$4:$P$8000,'Timesheet Raw'!$B$4:$B$8000,TRIM($A294),'Timesheet Raw'!$C$4:$C$8000,"*"&amp;$B294&amp;"*",'Timesheet Raw'!$L$4:$L$8000,"&gt;="&amp;U$5,'Timesheet Raw'!$L$4:$L$8000,"&lt;="&amp;U$6)))/'Profit Plan'!$B$5)</f>
        <v>0</v>
      </c>
      <c r="V294" s="122">
        <f>IF($A294="","",(IF(ISNUMBER(SEARCH("Proposal",$A294)),SUMIFS('Timesheet Raw'!$P$4:$P$8000,'Timesheet Raw'!$A$4:$A$8000,IF(ISNUMBER(SEARCH("Chargable",$A294)),"2-Proposals Chargeable","3-Proposals Regular"),'Timesheet Raw'!$C$4:$C$8000,"*"&amp;$B294&amp;"*",'Timesheet Raw'!$L$4:$L$8000,"&gt;="&amp;MAX(V$5,DATE(2000+VALUE(RIGHT(TRIM($A294),2)),1,1)),'Timesheet Raw'!$L$4:$L$8000,"&lt;="&amp;MIN(V$6,DATE(2000+VALUE(RIGHT(TRIM($A294),2)),12,31))),SUMIFS('Timesheet Raw'!$P$4:$P$8000,'Timesheet Raw'!$B$4:$B$8000,TRIM($A294),'Timesheet Raw'!$C$4:$C$8000,"*"&amp;$B294&amp;"*",'Timesheet Raw'!$L$4:$L$8000,"&gt;="&amp;V$5,'Timesheet Raw'!$L$4:$L$8000,"&lt;="&amp;V$6)))/'Profit Plan'!$B$5)</f>
        <v>0</v>
      </c>
      <c r="W294" s="122">
        <f>IF($A294="","",(IF(ISNUMBER(SEARCH("Proposal",$A294)),SUMIFS('Timesheet Raw'!$P$4:$P$8000,'Timesheet Raw'!$A$4:$A$8000,IF(ISNUMBER(SEARCH("Chargable",$A294)),"2-Proposals Chargeable","3-Proposals Regular"),'Timesheet Raw'!$C$4:$C$8000,"*"&amp;$B294&amp;"*",'Timesheet Raw'!$L$4:$L$8000,"&gt;="&amp;MAX(W$5,DATE(2000+VALUE(RIGHT(TRIM($A294),2)),1,1)),'Timesheet Raw'!$L$4:$L$8000,"&lt;="&amp;MIN(W$6,DATE(2000+VALUE(RIGHT(TRIM($A294),2)),12,31))),SUMIFS('Timesheet Raw'!$P$4:$P$8000,'Timesheet Raw'!$B$4:$B$8000,TRIM($A294),'Timesheet Raw'!$C$4:$C$8000,"*"&amp;$B294&amp;"*",'Timesheet Raw'!$L$4:$L$8000,"&gt;="&amp;W$5,'Timesheet Raw'!$L$4:$L$8000,"&lt;="&amp;W$6)))/'Profit Plan'!$B$5)</f>
        <v>0</v>
      </c>
      <c r="X294" s="122">
        <f>IF($A294="","",(IF(ISNUMBER(SEARCH("Proposal",$A294)),SUMIFS('Timesheet Raw'!$P$4:$P$8000,'Timesheet Raw'!$A$4:$A$8000,IF(ISNUMBER(SEARCH("Chargable",$A294)),"2-Proposals Chargeable","3-Proposals Regular"),'Timesheet Raw'!$C$4:$C$8000,"*"&amp;$B294&amp;"*",'Timesheet Raw'!$L$4:$L$8000,"&gt;="&amp;MAX(X$5,DATE(2000+VALUE(RIGHT(TRIM($A294),2)),1,1)),'Timesheet Raw'!$L$4:$L$8000,"&lt;="&amp;MIN(X$6,DATE(2000+VALUE(RIGHT(TRIM($A294),2)),12,31))),SUMIFS('Timesheet Raw'!$P$4:$P$8000,'Timesheet Raw'!$B$4:$B$8000,TRIM($A294),'Timesheet Raw'!$C$4:$C$8000,"*"&amp;$B294&amp;"*",'Timesheet Raw'!$L$4:$L$8000,"&gt;="&amp;X$5,'Timesheet Raw'!$L$4:$L$8000,"&lt;="&amp;X$6)))/'Profit Plan'!$B$5)</f>
        <v>0</v>
      </c>
      <c r="Y294" s="118">
        <f t="shared" si="100"/>
        <v>0.26621621621621627</v>
      </c>
    </row>
    <row r="295" spans="1:25" x14ac:dyDescent="0.3">
      <c r="A295" s="116" t="str">
        <f>IF(Inputs!$A16="","",Inputs!$A16)</f>
        <v>CS24035-0100D</v>
      </c>
      <c r="B295" s="116" t="str">
        <f>IF(Inputs!$A16="","",Inputs!$A$91)</f>
        <v>Ahmed</v>
      </c>
      <c r="C295" s="116"/>
      <c r="D295" s="122">
        <f>IF($A295="","",(IF(ISNUMBER(SEARCH("Proposal",$A295)),SUMIFS('Timesheet Raw'!$P$4:$P$8000,'Timesheet Raw'!$A$4:$A$8000,IF(ISNUMBER(SEARCH("Chargable",$A295)),"2-Proposals Chargeable","3-Proposals Regular"),'Timesheet Raw'!$C$4:$C$8000,"*"&amp;$B295&amp;"*",'Timesheet Raw'!$L$4:$L$8000,"&gt;="&amp;MAX(D$5,DATE(2000+VALUE(RIGHT(TRIM($A295),2)),1,1)),'Timesheet Raw'!$L$4:$L$8000,"&lt;="&amp;MIN(D$6,DATE(2000+VALUE(RIGHT(TRIM($A295),2)),12,31))),SUMIFS('Timesheet Raw'!$P$4:$P$8000,'Timesheet Raw'!$B$4:$B$8000,TRIM($A295),'Timesheet Raw'!$C$4:$C$8000,"*"&amp;$B295&amp;"*",'Timesheet Raw'!$L$4:$L$8000,"&gt;="&amp;D$5,'Timesheet Raw'!$L$4:$L$8000,"&lt;="&amp;D$6)))/'Profit Plan'!$B$5)</f>
        <v>0</v>
      </c>
      <c r="E295" s="122">
        <f>IF($A295="","",(IF(ISNUMBER(SEARCH("Proposal",$A295)),SUMIFS('Timesheet Raw'!$P$4:$P$8000,'Timesheet Raw'!$A$4:$A$8000,IF(ISNUMBER(SEARCH("Chargable",$A295)),"2-Proposals Chargeable","3-Proposals Regular"),'Timesheet Raw'!$C$4:$C$8000,"*"&amp;$B295&amp;"*",'Timesheet Raw'!$L$4:$L$8000,"&gt;="&amp;MAX(E$5,DATE(2000+VALUE(RIGHT(TRIM($A295),2)),1,1)),'Timesheet Raw'!$L$4:$L$8000,"&lt;="&amp;MIN(E$6,DATE(2000+VALUE(RIGHT(TRIM($A295),2)),12,31))),SUMIFS('Timesheet Raw'!$P$4:$P$8000,'Timesheet Raw'!$B$4:$B$8000,TRIM($A295),'Timesheet Raw'!$C$4:$C$8000,"*"&amp;$B295&amp;"*",'Timesheet Raw'!$L$4:$L$8000,"&gt;="&amp;E$5,'Timesheet Raw'!$L$4:$L$8000,"&lt;="&amp;E$6)))/'Profit Plan'!$B$5)</f>
        <v>3.2432432432432434E-2</v>
      </c>
      <c r="F295" s="122">
        <f>IF($A295="","",(IF(ISNUMBER(SEARCH("Proposal",$A295)),SUMIFS('Timesheet Raw'!$P$4:$P$8000,'Timesheet Raw'!$A$4:$A$8000,IF(ISNUMBER(SEARCH("Chargable",$A295)),"2-Proposals Chargeable","3-Proposals Regular"),'Timesheet Raw'!$C$4:$C$8000,"*"&amp;$B295&amp;"*",'Timesheet Raw'!$L$4:$L$8000,"&gt;="&amp;MAX(F$5,DATE(2000+VALUE(RIGHT(TRIM($A295),2)),1,1)),'Timesheet Raw'!$L$4:$L$8000,"&lt;="&amp;MIN(F$6,DATE(2000+VALUE(RIGHT(TRIM($A295),2)),12,31))),SUMIFS('Timesheet Raw'!$P$4:$P$8000,'Timesheet Raw'!$B$4:$B$8000,TRIM($A295),'Timesheet Raw'!$C$4:$C$8000,"*"&amp;$B295&amp;"*",'Timesheet Raw'!$L$4:$L$8000,"&gt;="&amp;F$5,'Timesheet Raw'!$L$4:$L$8000,"&lt;="&amp;F$6)))/'Profit Plan'!$B$5)</f>
        <v>0</v>
      </c>
      <c r="G295" s="122">
        <f>IF($A295="","",(IF(ISNUMBER(SEARCH("Proposal",$A295)),SUMIFS('Timesheet Raw'!$P$4:$P$8000,'Timesheet Raw'!$A$4:$A$8000,IF(ISNUMBER(SEARCH("Chargable",$A295)),"2-Proposals Chargeable","3-Proposals Regular"),'Timesheet Raw'!$C$4:$C$8000,"*"&amp;$B295&amp;"*",'Timesheet Raw'!$L$4:$L$8000,"&gt;="&amp;MAX(G$5,DATE(2000+VALUE(RIGHT(TRIM($A295),2)),1,1)),'Timesheet Raw'!$L$4:$L$8000,"&lt;="&amp;MIN(G$6,DATE(2000+VALUE(RIGHT(TRIM($A295),2)),12,31))),SUMIFS('Timesheet Raw'!$P$4:$P$8000,'Timesheet Raw'!$B$4:$B$8000,TRIM($A295),'Timesheet Raw'!$C$4:$C$8000,"*"&amp;$B295&amp;"*",'Timesheet Raw'!$L$4:$L$8000,"&gt;="&amp;G$5,'Timesheet Raw'!$L$4:$L$8000,"&lt;="&amp;G$6)))/'Profit Plan'!$B$5)</f>
        <v>0</v>
      </c>
      <c r="H295" s="122">
        <f>IF($A295="","",(IF(ISNUMBER(SEARCH("Proposal",$A295)),SUMIFS('Timesheet Raw'!$P$4:$P$8000,'Timesheet Raw'!$A$4:$A$8000,IF(ISNUMBER(SEARCH("Chargable",$A295)),"2-Proposals Chargeable","3-Proposals Regular"),'Timesheet Raw'!$C$4:$C$8000,"*"&amp;$B295&amp;"*",'Timesheet Raw'!$L$4:$L$8000,"&gt;="&amp;MAX(H$5,DATE(2000+VALUE(RIGHT(TRIM($A295),2)),1,1)),'Timesheet Raw'!$L$4:$L$8000,"&lt;="&amp;MIN(H$6,DATE(2000+VALUE(RIGHT(TRIM($A295),2)),12,31))),SUMIFS('Timesheet Raw'!$P$4:$P$8000,'Timesheet Raw'!$B$4:$B$8000,TRIM($A295),'Timesheet Raw'!$C$4:$C$8000,"*"&amp;$B295&amp;"*",'Timesheet Raw'!$L$4:$L$8000,"&gt;="&amp;H$5,'Timesheet Raw'!$L$4:$L$8000,"&lt;="&amp;H$6)))/'Profit Plan'!$B$5)</f>
        <v>0</v>
      </c>
      <c r="I295" s="122">
        <f>IF($A295="","",(IF(ISNUMBER(SEARCH("Proposal",$A295)),SUMIFS('Timesheet Raw'!$P$4:$P$8000,'Timesheet Raw'!$A$4:$A$8000,IF(ISNUMBER(SEARCH("Chargable",$A295)),"2-Proposals Chargeable","3-Proposals Regular"),'Timesheet Raw'!$C$4:$C$8000,"*"&amp;$B295&amp;"*",'Timesheet Raw'!$L$4:$L$8000,"&gt;="&amp;MAX(I$5,DATE(2000+VALUE(RIGHT(TRIM($A295),2)),1,1)),'Timesheet Raw'!$L$4:$L$8000,"&lt;="&amp;MIN(I$6,DATE(2000+VALUE(RIGHT(TRIM($A295),2)),12,31))),SUMIFS('Timesheet Raw'!$P$4:$P$8000,'Timesheet Raw'!$B$4:$B$8000,TRIM($A295),'Timesheet Raw'!$C$4:$C$8000,"*"&amp;$B295&amp;"*",'Timesheet Raw'!$L$4:$L$8000,"&gt;="&amp;I$5,'Timesheet Raw'!$L$4:$L$8000,"&lt;="&amp;I$6)))/'Profit Plan'!$B$5)</f>
        <v>2.7027027027027029E-2</v>
      </c>
      <c r="J295" s="122">
        <f>IF($A295="","",(IF(ISNUMBER(SEARCH("Proposal",$A295)),SUMIFS('Timesheet Raw'!$P$4:$P$8000,'Timesheet Raw'!$A$4:$A$8000,IF(ISNUMBER(SEARCH("Chargable",$A295)),"2-Proposals Chargeable","3-Proposals Regular"),'Timesheet Raw'!$C$4:$C$8000,"*"&amp;$B295&amp;"*",'Timesheet Raw'!$L$4:$L$8000,"&gt;="&amp;MAX(J$5,DATE(2000+VALUE(RIGHT(TRIM($A295),2)),1,1)),'Timesheet Raw'!$L$4:$L$8000,"&lt;="&amp;MIN(J$6,DATE(2000+VALUE(RIGHT(TRIM($A295),2)),12,31))),SUMIFS('Timesheet Raw'!$P$4:$P$8000,'Timesheet Raw'!$B$4:$B$8000,TRIM($A295),'Timesheet Raw'!$C$4:$C$8000,"*"&amp;$B295&amp;"*",'Timesheet Raw'!$L$4:$L$8000,"&gt;="&amp;J$5,'Timesheet Raw'!$L$4:$L$8000,"&lt;="&amp;J$6)))/'Profit Plan'!$B$5)</f>
        <v>0</v>
      </c>
      <c r="K295" s="122">
        <f>IF($A295="","",(IF(ISNUMBER(SEARCH("Proposal",$A295)),SUMIFS('Timesheet Raw'!$P$4:$P$8000,'Timesheet Raw'!$A$4:$A$8000,IF(ISNUMBER(SEARCH("Chargable",$A295)),"2-Proposals Chargeable","3-Proposals Regular"),'Timesheet Raw'!$C$4:$C$8000,"*"&amp;$B295&amp;"*",'Timesheet Raw'!$L$4:$L$8000,"&gt;="&amp;MAX(K$5,DATE(2000+VALUE(RIGHT(TRIM($A295),2)),1,1)),'Timesheet Raw'!$L$4:$L$8000,"&lt;="&amp;MIN(K$6,DATE(2000+VALUE(RIGHT(TRIM($A295),2)),12,31))),SUMIFS('Timesheet Raw'!$P$4:$P$8000,'Timesheet Raw'!$B$4:$B$8000,TRIM($A295),'Timesheet Raw'!$C$4:$C$8000,"*"&amp;$B295&amp;"*",'Timesheet Raw'!$L$4:$L$8000,"&gt;="&amp;K$5,'Timesheet Raw'!$L$4:$L$8000,"&lt;="&amp;K$6)))/'Profit Plan'!$B$5)</f>
        <v>0</v>
      </c>
      <c r="L295" s="122">
        <f>IF($A295="","",(IF(ISNUMBER(SEARCH("Proposal",$A295)),SUMIFS('Timesheet Raw'!$P$4:$P$8000,'Timesheet Raw'!$A$4:$A$8000,IF(ISNUMBER(SEARCH("Chargable",$A295)),"2-Proposals Chargeable","3-Proposals Regular"),'Timesheet Raw'!$C$4:$C$8000,"*"&amp;$B295&amp;"*",'Timesheet Raw'!$L$4:$L$8000,"&gt;="&amp;MAX(L$5,DATE(2000+VALUE(RIGHT(TRIM($A295),2)),1,1)),'Timesheet Raw'!$L$4:$L$8000,"&lt;="&amp;MIN(L$6,DATE(2000+VALUE(RIGHT(TRIM($A295),2)),12,31))),SUMIFS('Timesheet Raw'!$P$4:$P$8000,'Timesheet Raw'!$B$4:$B$8000,TRIM($A295),'Timesheet Raw'!$C$4:$C$8000,"*"&amp;$B295&amp;"*",'Timesheet Raw'!$L$4:$L$8000,"&gt;="&amp;L$5,'Timesheet Raw'!$L$4:$L$8000,"&lt;="&amp;L$6)))/'Profit Plan'!$B$5)</f>
        <v>1.0067567567567568</v>
      </c>
      <c r="M295" s="122">
        <f>IF($A295="","",(IF(ISNUMBER(SEARCH("Proposal",$A295)),SUMIFS('Timesheet Raw'!$P$4:$P$8000,'Timesheet Raw'!$A$4:$A$8000,IF(ISNUMBER(SEARCH("Chargable",$A295)),"2-Proposals Chargeable","3-Proposals Regular"),'Timesheet Raw'!$C$4:$C$8000,"*"&amp;$B295&amp;"*",'Timesheet Raw'!$L$4:$L$8000,"&gt;="&amp;MAX(M$5,DATE(2000+VALUE(RIGHT(TRIM($A295),2)),1,1)),'Timesheet Raw'!$L$4:$L$8000,"&lt;="&amp;MIN(M$6,DATE(2000+VALUE(RIGHT(TRIM($A295),2)),12,31))),SUMIFS('Timesheet Raw'!$P$4:$P$8000,'Timesheet Raw'!$B$4:$B$8000,TRIM($A295),'Timesheet Raw'!$C$4:$C$8000,"*"&amp;$B295&amp;"*",'Timesheet Raw'!$L$4:$L$8000,"&gt;="&amp;M$5,'Timesheet Raw'!$L$4:$L$8000,"&lt;="&amp;M$6)))/'Profit Plan'!$B$5)</f>
        <v>0.10675675675675676</v>
      </c>
      <c r="N295" s="122">
        <f>IF($A295="","",(IF(ISNUMBER(SEARCH("Proposal",$A295)),SUMIFS('Timesheet Raw'!$P$4:$P$8000,'Timesheet Raw'!$A$4:$A$8000,IF(ISNUMBER(SEARCH("Chargable",$A295)),"2-Proposals Chargeable","3-Proposals Regular"),'Timesheet Raw'!$C$4:$C$8000,"*"&amp;$B295&amp;"*",'Timesheet Raw'!$L$4:$L$8000,"&gt;="&amp;MAX(N$5,DATE(2000+VALUE(RIGHT(TRIM($A295),2)),1,1)),'Timesheet Raw'!$L$4:$L$8000,"&lt;="&amp;MIN(N$6,DATE(2000+VALUE(RIGHT(TRIM($A295),2)),12,31))),SUMIFS('Timesheet Raw'!$P$4:$P$8000,'Timesheet Raw'!$B$4:$B$8000,TRIM($A295),'Timesheet Raw'!$C$4:$C$8000,"*"&amp;$B295&amp;"*",'Timesheet Raw'!$L$4:$L$8000,"&gt;="&amp;N$5,'Timesheet Raw'!$L$4:$L$8000,"&lt;="&amp;N$6)))/'Profit Plan'!$B$5)</f>
        <v>0</v>
      </c>
      <c r="O295" s="122">
        <f>IF($A295="","",(IF(ISNUMBER(SEARCH("Proposal",$A295)),SUMIFS('Timesheet Raw'!$P$4:$P$8000,'Timesheet Raw'!$A$4:$A$8000,IF(ISNUMBER(SEARCH("Chargable",$A295)),"2-Proposals Chargeable","3-Proposals Regular"),'Timesheet Raw'!$C$4:$C$8000,"*"&amp;$B295&amp;"*",'Timesheet Raw'!$L$4:$L$8000,"&gt;="&amp;MAX(O$5,DATE(2000+VALUE(RIGHT(TRIM($A295),2)),1,1)),'Timesheet Raw'!$L$4:$L$8000,"&lt;="&amp;MIN(O$6,DATE(2000+VALUE(RIGHT(TRIM($A295),2)),12,31))),SUMIFS('Timesheet Raw'!$P$4:$P$8000,'Timesheet Raw'!$B$4:$B$8000,TRIM($A295),'Timesheet Raw'!$C$4:$C$8000,"*"&amp;$B295&amp;"*",'Timesheet Raw'!$L$4:$L$8000,"&gt;="&amp;O$5,'Timesheet Raw'!$L$4:$L$8000,"&lt;="&amp;O$6)))/'Profit Plan'!$B$5)</f>
        <v>0</v>
      </c>
      <c r="P295" s="122">
        <f>IF($A295="","",(IF(ISNUMBER(SEARCH("Proposal",$A295)),SUMIFS('Timesheet Raw'!$P$4:$P$8000,'Timesheet Raw'!$A$4:$A$8000,IF(ISNUMBER(SEARCH("Chargable",$A295)),"2-Proposals Chargeable","3-Proposals Regular"),'Timesheet Raw'!$C$4:$C$8000,"*"&amp;$B295&amp;"*",'Timesheet Raw'!$L$4:$L$8000,"&gt;="&amp;MAX(P$5,DATE(2000+VALUE(RIGHT(TRIM($A295),2)),1,1)),'Timesheet Raw'!$L$4:$L$8000,"&lt;="&amp;MIN(P$6,DATE(2000+VALUE(RIGHT(TRIM($A295),2)),12,31))),SUMIFS('Timesheet Raw'!$P$4:$P$8000,'Timesheet Raw'!$B$4:$B$8000,TRIM($A295),'Timesheet Raw'!$C$4:$C$8000,"*"&amp;$B295&amp;"*",'Timesheet Raw'!$L$4:$L$8000,"&gt;="&amp;P$5,'Timesheet Raw'!$L$4:$L$8000,"&lt;="&amp;P$6)))/'Profit Plan'!$B$5)</f>
        <v>0</v>
      </c>
      <c r="Q295" s="122">
        <f>IF($A295="","",(IF(ISNUMBER(SEARCH("Proposal",$A295)),SUMIFS('Timesheet Raw'!$P$4:$P$8000,'Timesheet Raw'!$A$4:$A$8000,IF(ISNUMBER(SEARCH("Chargable",$A295)),"2-Proposals Chargeable","3-Proposals Regular"),'Timesheet Raw'!$C$4:$C$8000,"*"&amp;$B295&amp;"*",'Timesheet Raw'!$L$4:$L$8000,"&gt;="&amp;MAX(Q$5,DATE(2000+VALUE(RIGHT(TRIM($A295),2)),1,1)),'Timesheet Raw'!$L$4:$L$8000,"&lt;="&amp;MIN(Q$6,DATE(2000+VALUE(RIGHT(TRIM($A295),2)),12,31))),SUMIFS('Timesheet Raw'!$P$4:$P$8000,'Timesheet Raw'!$B$4:$B$8000,TRIM($A295),'Timesheet Raw'!$C$4:$C$8000,"*"&amp;$B295&amp;"*",'Timesheet Raw'!$L$4:$L$8000,"&gt;="&amp;Q$5,'Timesheet Raw'!$L$4:$L$8000,"&lt;="&amp;Q$6)))/'Profit Plan'!$B$5)</f>
        <v>0</v>
      </c>
      <c r="R295" s="122">
        <f>IF($A295="","",(IF(ISNUMBER(SEARCH("Proposal",$A295)),SUMIFS('Timesheet Raw'!$P$4:$P$8000,'Timesheet Raw'!$A$4:$A$8000,IF(ISNUMBER(SEARCH("Chargable",$A295)),"2-Proposals Chargeable","3-Proposals Regular"),'Timesheet Raw'!$C$4:$C$8000,"*"&amp;$B295&amp;"*",'Timesheet Raw'!$L$4:$L$8000,"&gt;="&amp;MAX(R$5,DATE(2000+VALUE(RIGHT(TRIM($A295),2)),1,1)),'Timesheet Raw'!$L$4:$L$8000,"&lt;="&amp;MIN(R$6,DATE(2000+VALUE(RIGHT(TRIM($A295),2)),12,31))),SUMIFS('Timesheet Raw'!$P$4:$P$8000,'Timesheet Raw'!$B$4:$B$8000,TRIM($A295),'Timesheet Raw'!$C$4:$C$8000,"*"&amp;$B295&amp;"*",'Timesheet Raw'!$L$4:$L$8000,"&gt;="&amp;R$5,'Timesheet Raw'!$L$4:$L$8000,"&lt;="&amp;R$6)))/'Profit Plan'!$B$5)</f>
        <v>0</v>
      </c>
      <c r="S295" s="122">
        <f>IF($A295="","",(IF(ISNUMBER(SEARCH("Proposal",$A295)),SUMIFS('Timesheet Raw'!$P$4:$P$8000,'Timesheet Raw'!$A$4:$A$8000,IF(ISNUMBER(SEARCH("Chargable",$A295)),"2-Proposals Chargeable","3-Proposals Regular"),'Timesheet Raw'!$C$4:$C$8000,"*"&amp;$B295&amp;"*",'Timesheet Raw'!$L$4:$L$8000,"&gt;="&amp;MAX(S$5,DATE(2000+VALUE(RIGHT(TRIM($A295),2)),1,1)),'Timesheet Raw'!$L$4:$L$8000,"&lt;="&amp;MIN(S$6,DATE(2000+VALUE(RIGHT(TRIM($A295),2)),12,31))),SUMIFS('Timesheet Raw'!$P$4:$P$8000,'Timesheet Raw'!$B$4:$B$8000,TRIM($A295),'Timesheet Raw'!$C$4:$C$8000,"*"&amp;$B295&amp;"*",'Timesheet Raw'!$L$4:$L$8000,"&gt;="&amp;S$5,'Timesheet Raw'!$L$4:$L$8000,"&lt;="&amp;S$6)))/'Profit Plan'!$B$5)</f>
        <v>0</v>
      </c>
      <c r="T295" s="122">
        <f>IF($A295="","",(IF(ISNUMBER(SEARCH("Proposal",$A295)),SUMIFS('Timesheet Raw'!$P$4:$P$8000,'Timesheet Raw'!$A$4:$A$8000,IF(ISNUMBER(SEARCH("Chargable",$A295)),"2-Proposals Chargeable","3-Proposals Regular"),'Timesheet Raw'!$C$4:$C$8000,"*"&amp;$B295&amp;"*",'Timesheet Raw'!$L$4:$L$8000,"&gt;="&amp;MAX(T$5,DATE(2000+VALUE(RIGHT(TRIM($A295),2)),1,1)),'Timesheet Raw'!$L$4:$L$8000,"&lt;="&amp;MIN(T$6,DATE(2000+VALUE(RIGHT(TRIM($A295),2)),12,31))),SUMIFS('Timesheet Raw'!$P$4:$P$8000,'Timesheet Raw'!$B$4:$B$8000,TRIM($A295),'Timesheet Raw'!$C$4:$C$8000,"*"&amp;$B295&amp;"*",'Timesheet Raw'!$L$4:$L$8000,"&gt;="&amp;T$5,'Timesheet Raw'!$L$4:$L$8000,"&lt;="&amp;T$6)))/'Profit Plan'!$B$5)</f>
        <v>0</v>
      </c>
      <c r="U295" s="122">
        <f>IF($A295="","",(IF(ISNUMBER(SEARCH("Proposal",$A295)),SUMIFS('Timesheet Raw'!$P$4:$P$8000,'Timesheet Raw'!$A$4:$A$8000,IF(ISNUMBER(SEARCH("Chargable",$A295)),"2-Proposals Chargeable","3-Proposals Regular"),'Timesheet Raw'!$C$4:$C$8000,"*"&amp;$B295&amp;"*",'Timesheet Raw'!$L$4:$L$8000,"&gt;="&amp;MAX(U$5,DATE(2000+VALUE(RIGHT(TRIM($A295),2)),1,1)),'Timesheet Raw'!$L$4:$L$8000,"&lt;="&amp;MIN(U$6,DATE(2000+VALUE(RIGHT(TRIM($A295),2)),12,31))),SUMIFS('Timesheet Raw'!$P$4:$P$8000,'Timesheet Raw'!$B$4:$B$8000,TRIM($A295),'Timesheet Raw'!$C$4:$C$8000,"*"&amp;$B295&amp;"*",'Timesheet Raw'!$L$4:$L$8000,"&gt;="&amp;U$5,'Timesheet Raw'!$L$4:$L$8000,"&lt;="&amp;U$6)))/'Profit Plan'!$B$5)</f>
        <v>0</v>
      </c>
      <c r="V295" s="122">
        <f>IF($A295="","",(IF(ISNUMBER(SEARCH("Proposal",$A295)),SUMIFS('Timesheet Raw'!$P$4:$P$8000,'Timesheet Raw'!$A$4:$A$8000,IF(ISNUMBER(SEARCH("Chargable",$A295)),"2-Proposals Chargeable","3-Proposals Regular"),'Timesheet Raw'!$C$4:$C$8000,"*"&amp;$B295&amp;"*",'Timesheet Raw'!$L$4:$L$8000,"&gt;="&amp;MAX(V$5,DATE(2000+VALUE(RIGHT(TRIM($A295),2)),1,1)),'Timesheet Raw'!$L$4:$L$8000,"&lt;="&amp;MIN(V$6,DATE(2000+VALUE(RIGHT(TRIM($A295),2)),12,31))),SUMIFS('Timesheet Raw'!$P$4:$P$8000,'Timesheet Raw'!$B$4:$B$8000,TRIM($A295),'Timesheet Raw'!$C$4:$C$8000,"*"&amp;$B295&amp;"*",'Timesheet Raw'!$L$4:$L$8000,"&gt;="&amp;V$5,'Timesheet Raw'!$L$4:$L$8000,"&lt;="&amp;V$6)))/'Profit Plan'!$B$5)</f>
        <v>0</v>
      </c>
      <c r="W295" s="122">
        <f>IF($A295="","",(IF(ISNUMBER(SEARCH("Proposal",$A295)),SUMIFS('Timesheet Raw'!$P$4:$P$8000,'Timesheet Raw'!$A$4:$A$8000,IF(ISNUMBER(SEARCH("Chargable",$A295)),"2-Proposals Chargeable","3-Proposals Regular"),'Timesheet Raw'!$C$4:$C$8000,"*"&amp;$B295&amp;"*",'Timesheet Raw'!$L$4:$L$8000,"&gt;="&amp;MAX(W$5,DATE(2000+VALUE(RIGHT(TRIM($A295),2)),1,1)),'Timesheet Raw'!$L$4:$L$8000,"&lt;="&amp;MIN(W$6,DATE(2000+VALUE(RIGHT(TRIM($A295),2)),12,31))),SUMIFS('Timesheet Raw'!$P$4:$P$8000,'Timesheet Raw'!$B$4:$B$8000,TRIM($A295),'Timesheet Raw'!$C$4:$C$8000,"*"&amp;$B295&amp;"*",'Timesheet Raw'!$L$4:$L$8000,"&gt;="&amp;W$5,'Timesheet Raw'!$L$4:$L$8000,"&lt;="&amp;W$6)))/'Profit Plan'!$B$5)</f>
        <v>0</v>
      </c>
      <c r="X295" s="122">
        <f>IF($A295="","",(IF(ISNUMBER(SEARCH("Proposal",$A295)),SUMIFS('Timesheet Raw'!$P$4:$P$8000,'Timesheet Raw'!$A$4:$A$8000,IF(ISNUMBER(SEARCH("Chargable",$A295)),"2-Proposals Chargeable","3-Proposals Regular"),'Timesheet Raw'!$C$4:$C$8000,"*"&amp;$B295&amp;"*",'Timesheet Raw'!$L$4:$L$8000,"&gt;="&amp;MAX(X$5,DATE(2000+VALUE(RIGHT(TRIM($A295),2)),1,1)),'Timesheet Raw'!$L$4:$L$8000,"&lt;="&amp;MIN(X$6,DATE(2000+VALUE(RIGHT(TRIM($A295),2)),12,31))),SUMIFS('Timesheet Raw'!$P$4:$P$8000,'Timesheet Raw'!$B$4:$B$8000,TRIM($A295),'Timesheet Raw'!$C$4:$C$8000,"*"&amp;$B295&amp;"*",'Timesheet Raw'!$L$4:$L$8000,"&gt;="&amp;X$5,'Timesheet Raw'!$L$4:$L$8000,"&lt;="&amp;X$6)))/'Profit Plan'!$B$5)</f>
        <v>0</v>
      </c>
      <c r="Y295" s="118">
        <f t="shared" si="100"/>
        <v>1.172972972972973</v>
      </c>
    </row>
    <row r="296" spans="1:25" x14ac:dyDescent="0.3">
      <c r="A296" s="116" t="str">
        <f>IF(Inputs!$A16="","",Inputs!$A16)</f>
        <v>CS24035-0100D</v>
      </c>
      <c r="B296" s="116" t="str">
        <f>IF(Inputs!$A16="","",Inputs!$A$92)</f>
        <v>Osama</v>
      </c>
      <c r="C296" s="116"/>
      <c r="D296" s="122">
        <f>IF($A296="","",(IF(ISNUMBER(SEARCH("Proposal",$A296)),SUMIFS('Timesheet Raw'!$P$4:$P$8000,'Timesheet Raw'!$A$4:$A$8000,IF(ISNUMBER(SEARCH("Chargable",$A296)),"2-Proposals Chargeable","3-Proposals Regular"),'Timesheet Raw'!$C$4:$C$8000,"*"&amp;$B296&amp;"*",'Timesheet Raw'!$L$4:$L$8000,"&gt;="&amp;MAX(D$5,DATE(2000+VALUE(RIGHT(TRIM($A296),2)),1,1)),'Timesheet Raw'!$L$4:$L$8000,"&lt;="&amp;MIN(D$6,DATE(2000+VALUE(RIGHT(TRIM($A296),2)),12,31))),SUMIFS('Timesheet Raw'!$P$4:$P$8000,'Timesheet Raw'!$B$4:$B$8000,TRIM($A296),'Timesheet Raw'!$C$4:$C$8000,"*"&amp;$B296&amp;"*",'Timesheet Raw'!$L$4:$L$8000,"&gt;="&amp;D$5,'Timesheet Raw'!$L$4:$L$8000,"&lt;="&amp;D$6)))/'Profit Plan'!$B$5)</f>
        <v>0</v>
      </c>
      <c r="E296" s="122">
        <f>IF($A296="","",(IF(ISNUMBER(SEARCH("Proposal",$A296)),SUMIFS('Timesheet Raw'!$P$4:$P$8000,'Timesheet Raw'!$A$4:$A$8000,IF(ISNUMBER(SEARCH("Chargable",$A296)),"2-Proposals Chargeable","3-Proposals Regular"),'Timesheet Raw'!$C$4:$C$8000,"*"&amp;$B296&amp;"*",'Timesheet Raw'!$L$4:$L$8000,"&gt;="&amp;MAX(E$5,DATE(2000+VALUE(RIGHT(TRIM($A296),2)),1,1)),'Timesheet Raw'!$L$4:$L$8000,"&lt;="&amp;MIN(E$6,DATE(2000+VALUE(RIGHT(TRIM($A296),2)),12,31))),SUMIFS('Timesheet Raw'!$P$4:$P$8000,'Timesheet Raw'!$B$4:$B$8000,TRIM($A296),'Timesheet Raw'!$C$4:$C$8000,"*"&amp;$B296&amp;"*",'Timesheet Raw'!$L$4:$L$8000,"&gt;="&amp;E$5,'Timesheet Raw'!$L$4:$L$8000,"&lt;="&amp;E$6)))/'Profit Plan'!$B$5)</f>
        <v>0</v>
      </c>
      <c r="F296" s="122">
        <f>IF($A296="","",(IF(ISNUMBER(SEARCH("Proposal",$A296)),SUMIFS('Timesheet Raw'!$P$4:$P$8000,'Timesheet Raw'!$A$4:$A$8000,IF(ISNUMBER(SEARCH("Chargable",$A296)),"2-Proposals Chargeable","3-Proposals Regular"),'Timesheet Raw'!$C$4:$C$8000,"*"&amp;$B296&amp;"*",'Timesheet Raw'!$L$4:$L$8000,"&gt;="&amp;MAX(F$5,DATE(2000+VALUE(RIGHT(TRIM($A296),2)),1,1)),'Timesheet Raw'!$L$4:$L$8000,"&lt;="&amp;MIN(F$6,DATE(2000+VALUE(RIGHT(TRIM($A296),2)),12,31))),SUMIFS('Timesheet Raw'!$P$4:$P$8000,'Timesheet Raw'!$B$4:$B$8000,TRIM($A296),'Timesheet Raw'!$C$4:$C$8000,"*"&amp;$B296&amp;"*",'Timesheet Raw'!$L$4:$L$8000,"&gt;="&amp;F$5,'Timesheet Raw'!$L$4:$L$8000,"&lt;="&amp;F$6)))/'Profit Plan'!$B$5)</f>
        <v>0</v>
      </c>
      <c r="G296" s="122">
        <f>IF($A296="","",(IF(ISNUMBER(SEARCH("Proposal",$A296)),SUMIFS('Timesheet Raw'!$P$4:$P$8000,'Timesheet Raw'!$A$4:$A$8000,IF(ISNUMBER(SEARCH("Chargable",$A296)),"2-Proposals Chargeable","3-Proposals Regular"),'Timesheet Raw'!$C$4:$C$8000,"*"&amp;$B296&amp;"*",'Timesheet Raw'!$L$4:$L$8000,"&gt;="&amp;MAX(G$5,DATE(2000+VALUE(RIGHT(TRIM($A296),2)),1,1)),'Timesheet Raw'!$L$4:$L$8000,"&lt;="&amp;MIN(G$6,DATE(2000+VALUE(RIGHT(TRIM($A296),2)),12,31))),SUMIFS('Timesheet Raw'!$P$4:$P$8000,'Timesheet Raw'!$B$4:$B$8000,TRIM($A296),'Timesheet Raw'!$C$4:$C$8000,"*"&amp;$B296&amp;"*",'Timesheet Raw'!$L$4:$L$8000,"&gt;="&amp;G$5,'Timesheet Raw'!$L$4:$L$8000,"&lt;="&amp;G$6)))/'Profit Plan'!$B$5)</f>
        <v>0</v>
      </c>
      <c r="H296" s="122">
        <f>IF($A296="","",(IF(ISNUMBER(SEARCH("Proposal",$A296)),SUMIFS('Timesheet Raw'!$P$4:$P$8000,'Timesheet Raw'!$A$4:$A$8000,IF(ISNUMBER(SEARCH("Chargable",$A296)),"2-Proposals Chargeable","3-Proposals Regular"),'Timesheet Raw'!$C$4:$C$8000,"*"&amp;$B296&amp;"*",'Timesheet Raw'!$L$4:$L$8000,"&gt;="&amp;MAX(H$5,DATE(2000+VALUE(RIGHT(TRIM($A296),2)),1,1)),'Timesheet Raw'!$L$4:$L$8000,"&lt;="&amp;MIN(H$6,DATE(2000+VALUE(RIGHT(TRIM($A296),2)),12,31))),SUMIFS('Timesheet Raw'!$P$4:$P$8000,'Timesheet Raw'!$B$4:$B$8000,TRIM($A296),'Timesheet Raw'!$C$4:$C$8000,"*"&amp;$B296&amp;"*",'Timesheet Raw'!$L$4:$L$8000,"&gt;="&amp;H$5,'Timesheet Raw'!$L$4:$L$8000,"&lt;="&amp;H$6)))/'Profit Plan'!$B$5)</f>
        <v>0</v>
      </c>
      <c r="I296" s="122">
        <f>IF($A296="","",(IF(ISNUMBER(SEARCH("Proposal",$A296)),SUMIFS('Timesheet Raw'!$P$4:$P$8000,'Timesheet Raw'!$A$4:$A$8000,IF(ISNUMBER(SEARCH("Chargable",$A296)),"2-Proposals Chargeable","3-Proposals Regular"),'Timesheet Raw'!$C$4:$C$8000,"*"&amp;$B296&amp;"*",'Timesheet Raw'!$L$4:$L$8000,"&gt;="&amp;MAX(I$5,DATE(2000+VALUE(RIGHT(TRIM($A296),2)),1,1)),'Timesheet Raw'!$L$4:$L$8000,"&lt;="&amp;MIN(I$6,DATE(2000+VALUE(RIGHT(TRIM($A296),2)),12,31))),SUMIFS('Timesheet Raw'!$P$4:$P$8000,'Timesheet Raw'!$B$4:$B$8000,TRIM($A296),'Timesheet Raw'!$C$4:$C$8000,"*"&amp;$B296&amp;"*",'Timesheet Raw'!$L$4:$L$8000,"&gt;="&amp;I$5,'Timesheet Raw'!$L$4:$L$8000,"&lt;="&amp;I$6)))/'Profit Plan'!$B$5)</f>
        <v>0</v>
      </c>
      <c r="J296" s="122">
        <f>IF($A296="","",(IF(ISNUMBER(SEARCH("Proposal",$A296)),SUMIFS('Timesheet Raw'!$P$4:$P$8000,'Timesheet Raw'!$A$4:$A$8000,IF(ISNUMBER(SEARCH("Chargable",$A296)),"2-Proposals Chargeable","3-Proposals Regular"),'Timesheet Raw'!$C$4:$C$8000,"*"&amp;$B296&amp;"*",'Timesheet Raw'!$L$4:$L$8000,"&gt;="&amp;MAX(J$5,DATE(2000+VALUE(RIGHT(TRIM($A296),2)),1,1)),'Timesheet Raw'!$L$4:$L$8000,"&lt;="&amp;MIN(J$6,DATE(2000+VALUE(RIGHT(TRIM($A296),2)),12,31))),SUMIFS('Timesheet Raw'!$P$4:$P$8000,'Timesheet Raw'!$B$4:$B$8000,TRIM($A296),'Timesheet Raw'!$C$4:$C$8000,"*"&amp;$B296&amp;"*",'Timesheet Raw'!$L$4:$L$8000,"&gt;="&amp;J$5,'Timesheet Raw'!$L$4:$L$8000,"&lt;="&amp;J$6)))/'Profit Plan'!$B$5)</f>
        <v>0</v>
      </c>
      <c r="K296" s="122">
        <f>IF($A296="","",(IF(ISNUMBER(SEARCH("Proposal",$A296)),SUMIFS('Timesheet Raw'!$P$4:$P$8000,'Timesheet Raw'!$A$4:$A$8000,IF(ISNUMBER(SEARCH("Chargable",$A296)),"2-Proposals Chargeable","3-Proposals Regular"),'Timesheet Raw'!$C$4:$C$8000,"*"&amp;$B296&amp;"*",'Timesheet Raw'!$L$4:$L$8000,"&gt;="&amp;MAX(K$5,DATE(2000+VALUE(RIGHT(TRIM($A296),2)),1,1)),'Timesheet Raw'!$L$4:$L$8000,"&lt;="&amp;MIN(K$6,DATE(2000+VALUE(RIGHT(TRIM($A296),2)),12,31))),SUMIFS('Timesheet Raw'!$P$4:$P$8000,'Timesheet Raw'!$B$4:$B$8000,TRIM($A296),'Timesheet Raw'!$C$4:$C$8000,"*"&amp;$B296&amp;"*",'Timesheet Raw'!$L$4:$L$8000,"&gt;="&amp;K$5,'Timesheet Raw'!$L$4:$L$8000,"&lt;="&amp;K$6)))/'Profit Plan'!$B$5)</f>
        <v>0</v>
      </c>
      <c r="L296" s="122">
        <f>IF($A296="","",(IF(ISNUMBER(SEARCH("Proposal",$A296)),SUMIFS('Timesheet Raw'!$P$4:$P$8000,'Timesheet Raw'!$A$4:$A$8000,IF(ISNUMBER(SEARCH("Chargable",$A296)),"2-Proposals Chargeable","3-Proposals Regular"),'Timesheet Raw'!$C$4:$C$8000,"*"&amp;$B296&amp;"*",'Timesheet Raw'!$L$4:$L$8000,"&gt;="&amp;MAX(L$5,DATE(2000+VALUE(RIGHT(TRIM($A296),2)),1,1)),'Timesheet Raw'!$L$4:$L$8000,"&lt;="&amp;MIN(L$6,DATE(2000+VALUE(RIGHT(TRIM($A296),2)),12,31))),SUMIFS('Timesheet Raw'!$P$4:$P$8000,'Timesheet Raw'!$B$4:$B$8000,TRIM($A296),'Timesheet Raw'!$C$4:$C$8000,"*"&amp;$B296&amp;"*",'Timesheet Raw'!$L$4:$L$8000,"&gt;="&amp;L$5,'Timesheet Raw'!$L$4:$L$8000,"&lt;="&amp;L$6)))/'Profit Plan'!$B$5)</f>
        <v>0</v>
      </c>
      <c r="M296" s="122">
        <f>IF($A296="","",(IF(ISNUMBER(SEARCH("Proposal",$A296)),SUMIFS('Timesheet Raw'!$P$4:$P$8000,'Timesheet Raw'!$A$4:$A$8000,IF(ISNUMBER(SEARCH("Chargable",$A296)),"2-Proposals Chargeable","3-Proposals Regular"),'Timesheet Raw'!$C$4:$C$8000,"*"&amp;$B296&amp;"*",'Timesheet Raw'!$L$4:$L$8000,"&gt;="&amp;MAX(M$5,DATE(2000+VALUE(RIGHT(TRIM($A296),2)),1,1)),'Timesheet Raw'!$L$4:$L$8000,"&lt;="&amp;MIN(M$6,DATE(2000+VALUE(RIGHT(TRIM($A296),2)),12,31))),SUMIFS('Timesheet Raw'!$P$4:$P$8000,'Timesheet Raw'!$B$4:$B$8000,TRIM($A296),'Timesheet Raw'!$C$4:$C$8000,"*"&amp;$B296&amp;"*",'Timesheet Raw'!$L$4:$L$8000,"&gt;="&amp;M$5,'Timesheet Raw'!$L$4:$L$8000,"&lt;="&amp;M$6)))/'Profit Plan'!$B$5)</f>
        <v>0</v>
      </c>
      <c r="N296" s="122">
        <f>IF($A296="","",(IF(ISNUMBER(SEARCH("Proposal",$A296)),SUMIFS('Timesheet Raw'!$P$4:$P$8000,'Timesheet Raw'!$A$4:$A$8000,IF(ISNUMBER(SEARCH("Chargable",$A296)),"2-Proposals Chargeable","3-Proposals Regular"),'Timesheet Raw'!$C$4:$C$8000,"*"&amp;$B296&amp;"*",'Timesheet Raw'!$L$4:$L$8000,"&gt;="&amp;MAX(N$5,DATE(2000+VALUE(RIGHT(TRIM($A296),2)),1,1)),'Timesheet Raw'!$L$4:$L$8000,"&lt;="&amp;MIN(N$6,DATE(2000+VALUE(RIGHT(TRIM($A296),2)),12,31))),SUMIFS('Timesheet Raw'!$P$4:$P$8000,'Timesheet Raw'!$B$4:$B$8000,TRIM($A296),'Timesheet Raw'!$C$4:$C$8000,"*"&amp;$B296&amp;"*",'Timesheet Raw'!$L$4:$L$8000,"&gt;="&amp;N$5,'Timesheet Raw'!$L$4:$L$8000,"&lt;="&amp;N$6)))/'Profit Plan'!$B$5)</f>
        <v>0</v>
      </c>
      <c r="O296" s="122">
        <f>IF($A296="","",(IF(ISNUMBER(SEARCH("Proposal",$A296)),SUMIFS('Timesheet Raw'!$P$4:$P$8000,'Timesheet Raw'!$A$4:$A$8000,IF(ISNUMBER(SEARCH("Chargable",$A296)),"2-Proposals Chargeable","3-Proposals Regular"),'Timesheet Raw'!$C$4:$C$8000,"*"&amp;$B296&amp;"*",'Timesheet Raw'!$L$4:$L$8000,"&gt;="&amp;MAX(O$5,DATE(2000+VALUE(RIGHT(TRIM($A296),2)),1,1)),'Timesheet Raw'!$L$4:$L$8000,"&lt;="&amp;MIN(O$6,DATE(2000+VALUE(RIGHT(TRIM($A296),2)),12,31))),SUMIFS('Timesheet Raw'!$P$4:$P$8000,'Timesheet Raw'!$B$4:$B$8000,TRIM($A296),'Timesheet Raw'!$C$4:$C$8000,"*"&amp;$B296&amp;"*",'Timesheet Raw'!$L$4:$L$8000,"&gt;="&amp;O$5,'Timesheet Raw'!$L$4:$L$8000,"&lt;="&amp;O$6)))/'Profit Plan'!$B$5)</f>
        <v>0</v>
      </c>
      <c r="P296" s="122">
        <f>IF($A296="","",(IF(ISNUMBER(SEARCH("Proposal",$A296)),SUMIFS('Timesheet Raw'!$P$4:$P$8000,'Timesheet Raw'!$A$4:$A$8000,IF(ISNUMBER(SEARCH("Chargable",$A296)),"2-Proposals Chargeable","3-Proposals Regular"),'Timesheet Raw'!$C$4:$C$8000,"*"&amp;$B296&amp;"*",'Timesheet Raw'!$L$4:$L$8000,"&gt;="&amp;MAX(P$5,DATE(2000+VALUE(RIGHT(TRIM($A296),2)),1,1)),'Timesheet Raw'!$L$4:$L$8000,"&lt;="&amp;MIN(P$6,DATE(2000+VALUE(RIGHT(TRIM($A296),2)),12,31))),SUMIFS('Timesheet Raw'!$P$4:$P$8000,'Timesheet Raw'!$B$4:$B$8000,TRIM($A296),'Timesheet Raw'!$C$4:$C$8000,"*"&amp;$B296&amp;"*",'Timesheet Raw'!$L$4:$L$8000,"&gt;="&amp;P$5,'Timesheet Raw'!$L$4:$L$8000,"&lt;="&amp;P$6)))/'Profit Plan'!$B$5)</f>
        <v>0</v>
      </c>
      <c r="Q296" s="122">
        <f>IF($A296="","",(IF(ISNUMBER(SEARCH("Proposal",$A296)),SUMIFS('Timesheet Raw'!$P$4:$P$8000,'Timesheet Raw'!$A$4:$A$8000,IF(ISNUMBER(SEARCH("Chargable",$A296)),"2-Proposals Chargeable","3-Proposals Regular"),'Timesheet Raw'!$C$4:$C$8000,"*"&amp;$B296&amp;"*",'Timesheet Raw'!$L$4:$L$8000,"&gt;="&amp;MAX(Q$5,DATE(2000+VALUE(RIGHT(TRIM($A296),2)),1,1)),'Timesheet Raw'!$L$4:$L$8000,"&lt;="&amp;MIN(Q$6,DATE(2000+VALUE(RIGHT(TRIM($A296),2)),12,31))),SUMIFS('Timesheet Raw'!$P$4:$P$8000,'Timesheet Raw'!$B$4:$B$8000,TRIM($A296),'Timesheet Raw'!$C$4:$C$8000,"*"&amp;$B296&amp;"*",'Timesheet Raw'!$L$4:$L$8000,"&gt;="&amp;Q$5,'Timesheet Raw'!$L$4:$L$8000,"&lt;="&amp;Q$6)))/'Profit Plan'!$B$5)</f>
        <v>0</v>
      </c>
      <c r="R296" s="122">
        <f>IF($A296="","",(IF(ISNUMBER(SEARCH("Proposal",$A296)),SUMIFS('Timesheet Raw'!$P$4:$P$8000,'Timesheet Raw'!$A$4:$A$8000,IF(ISNUMBER(SEARCH("Chargable",$A296)),"2-Proposals Chargeable","3-Proposals Regular"),'Timesheet Raw'!$C$4:$C$8000,"*"&amp;$B296&amp;"*",'Timesheet Raw'!$L$4:$L$8000,"&gt;="&amp;MAX(R$5,DATE(2000+VALUE(RIGHT(TRIM($A296),2)),1,1)),'Timesheet Raw'!$L$4:$L$8000,"&lt;="&amp;MIN(R$6,DATE(2000+VALUE(RIGHT(TRIM($A296),2)),12,31))),SUMIFS('Timesheet Raw'!$P$4:$P$8000,'Timesheet Raw'!$B$4:$B$8000,TRIM($A296),'Timesheet Raw'!$C$4:$C$8000,"*"&amp;$B296&amp;"*",'Timesheet Raw'!$L$4:$L$8000,"&gt;="&amp;R$5,'Timesheet Raw'!$L$4:$L$8000,"&lt;="&amp;R$6)))/'Profit Plan'!$B$5)</f>
        <v>0</v>
      </c>
      <c r="S296" s="122">
        <f>IF($A296="","",(IF(ISNUMBER(SEARCH("Proposal",$A296)),SUMIFS('Timesheet Raw'!$P$4:$P$8000,'Timesheet Raw'!$A$4:$A$8000,IF(ISNUMBER(SEARCH("Chargable",$A296)),"2-Proposals Chargeable","3-Proposals Regular"),'Timesheet Raw'!$C$4:$C$8000,"*"&amp;$B296&amp;"*",'Timesheet Raw'!$L$4:$L$8000,"&gt;="&amp;MAX(S$5,DATE(2000+VALUE(RIGHT(TRIM($A296),2)),1,1)),'Timesheet Raw'!$L$4:$L$8000,"&lt;="&amp;MIN(S$6,DATE(2000+VALUE(RIGHT(TRIM($A296),2)),12,31))),SUMIFS('Timesheet Raw'!$P$4:$P$8000,'Timesheet Raw'!$B$4:$B$8000,TRIM($A296),'Timesheet Raw'!$C$4:$C$8000,"*"&amp;$B296&amp;"*",'Timesheet Raw'!$L$4:$L$8000,"&gt;="&amp;S$5,'Timesheet Raw'!$L$4:$L$8000,"&lt;="&amp;S$6)))/'Profit Plan'!$B$5)</f>
        <v>0</v>
      </c>
      <c r="T296" s="122">
        <f>IF($A296="","",(IF(ISNUMBER(SEARCH("Proposal",$A296)),SUMIFS('Timesheet Raw'!$P$4:$P$8000,'Timesheet Raw'!$A$4:$A$8000,IF(ISNUMBER(SEARCH("Chargable",$A296)),"2-Proposals Chargeable","3-Proposals Regular"),'Timesheet Raw'!$C$4:$C$8000,"*"&amp;$B296&amp;"*",'Timesheet Raw'!$L$4:$L$8000,"&gt;="&amp;MAX(T$5,DATE(2000+VALUE(RIGHT(TRIM($A296),2)),1,1)),'Timesheet Raw'!$L$4:$L$8000,"&lt;="&amp;MIN(T$6,DATE(2000+VALUE(RIGHT(TRIM($A296),2)),12,31))),SUMIFS('Timesheet Raw'!$P$4:$P$8000,'Timesheet Raw'!$B$4:$B$8000,TRIM($A296),'Timesheet Raw'!$C$4:$C$8000,"*"&amp;$B296&amp;"*",'Timesheet Raw'!$L$4:$L$8000,"&gt;="&amp;T$5,'Timesheet Raw'!$L$4:$L$8000,"&lt;="&amp;T$6)))/'Profit Plan'!$B$5)</f>
        <v>0</v>
      </c>
      <c r="U296" s="122">
        <f>IF($A296="","",(IF(ISNUMBER(SEARCH("Proposal",$A296)),SUMIFS('Timesheet Raw'!$P$4:$P$8000,'Timesheet Raw'!$A$4:$A$8000,IF(ISNUMBER(SEARCH("Chargable",$A296)),"2-Proposals Chargeable","3-Proposals Regular"),'Timesheet Raw'!$C$4:$C$8000,"*"&amp;$B296&amp;"*",'Timesheet Raw'!$L$4:$L$8000,"&gt;="&amp;MAX(U$5,DATE(2000+VALUE(RIGHT(TRIM($A296),2)),1,1)),'Timesheet Raw'!$L$4:$L$8000,"&lt;="&amp;MIN(U$6,DATE(2000+VALUE(RIGHT(TRIM($A296),2)),12,31))),SUMIFS('Timesheet Raw'!$P$4:$P$8000,'Timesheet Raw'!$B$4:$B$8000,TRIM($A296),'Timesheet Raw'!$C$4:$C$8000,"*"&amp;$B296&amp;"*",'Timesheet Raw'!$L$4:$L$8000,"&gt;="&amp;U$5,'Timesheet Raw'!$L$4:$L$8000,"&lt;="&amp;U$6)))/'Profit Plan'!$B$5)</f>
        <v>0</v>
      </c>
      <c r="V296" s="122">
        <f>IF($A296="","",(IF(ISNUMBER(SEARCH("Proposal",$A296)),SUMIFS('Timesheet Raw'!$P$4:$P$8000,'Timesheet Raw'!$A$4:$A$8000,IF(ISNUMBER(SEARCH("Chargable",$A296)),"2-Proposals Chargeable","3-Proposals Regular"),'Timesheet Raw'!$C$4:$C$8000,"*"&amp;$B296&amp;"*",'Timesheet Raw'!$L$4:$L$8000,"&gt;="&amp;MAX(V$5,DATE(2000+VALUE(RIGHT(TRIM($A296),2)),1,1)),'Timesheet Raw'!$L$4:$L$8000,"&lt;="&amp;MIN(V$6,DATE(2000+VALUE(RIGHT(TRIM($A296),2)),12,31))),SUMIFS('Timesheet Raw'!$P$4:$P$8000,'Timesheet Raw'!$B$4:$B$8000,TRIM($A296),'Timesheet Raw'!$C$4:$C$8000,"*"&amp;$B296&amp;"*",'Timesheet Raw'!$L$4:$L$8000,"&gt;="&amp;V$5,'Timesheet Raw'!$L$4:$L$8000,"&lt;="&amp;V$6)))/'Profit Plan'!$B$5)</f>
        <v>0</v>
      </c>
      <c r="W296" s="122">
        <f>IF($A296="","",(IF(ISNUMBER(SEARCH("Proposal",$A296)),SUMIFS('Timesheet Raw'!$P$4:$P$8000,'Timesheet Raw'!$A$4:$A$8000,IF(ISNUMBER(SEARCH("Chargable",$A296)),"2-Proposals Chargeable","3-Proposals Regular"),'Timesheet Raw'!$C$4:$C$8000,"*"&amp;$B296&amp;"*",'Timesheet Raw'!$L$4:$L$8000,"&gt;="&amp;MAX(W$5,DATE(2000+VALUE(RIGHT(TRIM($A296),2)),1,1)),'Timesheet Raw'!$L$4:$L$8000,"&lt;="&amp;MIN(W$6,DATE(2000+VALUE(RIGHT(TRIM($A296),2)),12,31))),SUMIFS('Timesheet Raw'!$P$4:$P$8000,'Timesheet Raw'!$B$4:$B$8000,TRIM($A296),'Timesheet Raw'!$C$4:$C$8000,"*"&amp;$B296&amp;"*",'Timesheet Raw'!$L$4:$L$8000,"&gt;="&amp;W$5,'Timesheet Raw'!$L$4:$L$8000,"&lt;="&amp;W$6)))/'Profit Plan'!$B$5)</f>
        <v>0</v>
      </c>
      <c r="X296" s="122">
        <f>IF($A296="","",(IF(ISNUMBER(SEARCH("Proposal",$A296)),SUMIFS('Timesheet Raw'!$P$4:$P$8000,'Timesheet Raw'!$A$4:$A$8000,IF(ISNUMBER(SEARCH("Chargable",$A296)),"2-Proposals Chargeable","3-Proposals Regular"),'Timesheet Raw'!$C$4:$C$8000,"*"&amp;$B296&amp;"*",'Timesheet Raw'!$L$4:$L$8000,"&gt;="&amp;MAX(X$5,DATE(2000+VALUE(RIGHT(TRIM($A296),2)),1,1)),'Timesheet Raw'!$L$4:$L$8000,"&lt;="&amp;MIN(X$6,DATE(2000+VALUE(RIGHT(TRIM($A296),2)),12,31))),SUMIFS('Timesheet Raw'!$P$4:$P$8000,'Timesheet Raw'!$B$4:$B$8000,TRIM($A296),'Timesheet Raw'!$C$4:$C$8000,"*"&amp;$B296&amp;"*",'Timesheet Raw'!$L$4:$L$8000,"&gt;="&amp;X$5,'Timesheet Raw'!$L$4:$L$8000,"&lt;="&amp;X$6)))/'Profit Plan'!$B$5)</f>
        <v>0</v>
      </c>
      <c r="Y296" s="118">
        <f t="shared" si="100"/>
        <v>0</v>
      </c>
    </row>
    <row r="297" spans="1:25" x14ac:dyDescent="0.3">
      <c r="A297" s="116" t="str">
        <f>IF(Inputs!$A16="","",Inputs!$A16)</f>
        <v>CS24035-0100D</v>
      </c>
      <c r="B297" s="116" t="str">
        <f>IF(Inputs!$A16="","",Inputs!$A$93)</f>
        <v>Kirolos</v>
      </c>
      <c r="C297" s="116"/>
      <c r="D297" s="122">
        <f>IF($A297="","",(IF(ISNUMBER(SEARCH("Proposal",$A297)),SUMIFS('Timesheet Raw'!$P$4:$P$8000,'Timesheet Raw'!$A$4:$A$8000,IF(ISNUMBER(SEARCH("Chargable",$A297)),"2-Proposals Chargeable","3-Proposals Regular"),'Timesheet Raw'!$C$4:$C$8000,"*"&amp;$B297&amp;"*",'Timesheet Raw'!$L$4:$L$8000,"&gt;="&amp;MAX(D$5,DATE(2000+VALUE(RIGHT(TRIM($A297),2)),1,1)),'Timesheet Raw'!$L$4:$L$8000,"&lt;="&amp;MIN(D$6,DATE(2000+VALUE(RIGHT(TRIM($A297),2)),12,31))),SUMIFS('Timesheet Raw'!$P$4:$P$8000,'Timesheet Raw'!$B$4:$B$8000,TRIM($A297),'Timesheet Raw'!$C$4:$C$8000,"*"&amp;$B297&amp;"*",'Timesheet Raw'!$L$4:$L$8000,"&gt;="&amp;D$5,'Timesheet Raw'!$L$4:$L$8000,"&lt;="&amp;D$6)))/'Profit Plan'!$B$5)</f>
        <v>0</v>
      </c>
      <c r="E297" s="122">
        <f>IF($A297="","",(IF(ISNUMBER(SEARCH("Proposal",$A297)),SUMIFS('Timesheet Raw'!$P$4:$P$8000,'Timesheet Raw'!$A$4:$A$8000,IF(ISNUMBER(SEARCH("Chargable",$A297)),"2-Proposals Chargeable","3-Proposals Regular"),'Timesheet Raw'!$C$4:$C$8000,"*"&amp;$B297&amp;"*",'Timesheet Raw'!$L$4:$L$8000,"&gt;="&amp;MAX(E$5,DATE(2000+VALUE(RIGHT(TRIM($A297),2)),1,1)),'Timesheet Raw'!$L$4:$L$8000,"&lt;="&amp;MIN(E$6,DATE(2000+VALUE(RIGHT(TRIM($A297),2)),12,31))),SUMIFS('Timesheet Raw'!$P$4:$P$8000,'Timesheet Raw'!$B$4:$B$8000,TRIM($A297),'Timesheet Raw'!$C$4:$C$8000,"*"&amp;$B297&amp;"*",'Timesheet Raw'!$L$4:$L$8000,"&gt;="&amp;E$5,'Timesheet Raw'!$L$4:$L$8000,"&lt;="&amp;E$6)))/'Profit Plan'!$B$5)</f>
        <v>0</v>
      </c>
      <c r="F297" s="122">
        <f>IF($A297="","",(IF(ISNUMBER(SEARCH("Proposal",$A297)),SUMIFS('Timesheet Raw'!$P$4:$P$8000,'Timesheet Raw'!$A$4:$A$8000,IF(ISNUMBER(SEARCH("Chargable",$A297)),"2-Proposals Chargeable","3-Proposals Regular"),'Timesheet Raw'!$C$4:$C$8000,"*"&amp;$B297&amp;"*",'Timesheet Raw'!$L$4:$L$8000,"&gt;="&amp;MAX(F$5,DATE(2000+VALUE(RIGHT(TRIM($A297),2)),1,1)),'Timesheet Raw'!$L$4:$L$8000,"&lt;="&amp;MIN(F$6,DATE(2000+VALUE(RIGHT(TRIM($A297),2)),12,31))),SUMIFS('Timesheet Raw'!$P$4:$P$8000,'Timesheet Raw'!$B$4:$B$8000,TRIM($A297),'Timesheet Raw'!$C$4:$C$8000,"*"&amp;$B297&amp;"*",'Timesheet Raw'!$L$4:$L$8000,"&gt;="&amp;F$5,'Timesheet Raw'!$L$4:$L$8000,"&lt;="&amp;F$6)))/'Profit Plan'!$B$5)</f>
        <v>0</v>
      </c>
      <c r="G297" s="122">
        <f>IF($A297="","",(IF(ISNUMBER(SEARCH("Proposal",$A297)),SUMIFS('Timesheet Raw'!$P$4:$P$8000,'Timesheet Raw'!$A$4:$A$8000,IF(ISNUMBER(SEARCH("Chargable",$A297)),"2-Proposals Chargeable","3-Proposals Regular"),'Timesheet Raw'!$C$4:$C$8000,"*"&amp;$B297&amp;"*",'Timesheet Raw'!$L$4:$L$8000,"&gt;="&amp;MAX(G$5,DATE(2000+VALUE(RIGHT(TRIM($A297),2)),1,1)),'Timesheet Raw'!$L$4:$L$8000,"&lt;="&amp;MIN(G$6,DATE(2000+VALUE(RIGHT(TRIM($A297),2)),12,31))),SUMIFS('Timesheet Raw'!$P$4:$P$8000,'Timesheet Raw'!$B$4:$B$8000,TRIM($A297),'Timesheet Raw'!$C$4:$C$8000,"*"&amp;$B297&amp;"*",'Timesheet Raw'!$L$4:$L$8000,"&gt;="&amp;G$5,'Timesheet Raw'!$L$4:$L$8000,"&lt;="&amp;G$6)))/'Profit Plan'!$B$5)</f>
        <v>0</v>
      </c>
      <c r="H297" s="122">
        <f>IF($A297="","",(IF(ISNUMBER(SEARCH("Proposal",$A297)),SUMIFS('Timesheet Raw'!$P$4:$P$8000,'Timesheet Raw'!$A$4:$A$8000,IF(ISNUMBER(SEARCH("Chargable",$A297)),"2-Proposals Chargeable","3-Proposals Regular"),'Timesheet Raw'!$C$4:$C$8000,"*"&amp;$B297&amp;"*",'Timesheet Raw'!$L$4:$L$8000,"&gt;="&amp;MAX(H$5,DATE(2000+VALUE(RIGHT(TRIM($A297),2)),1,1)),'Timesheet Raw'!$L$4:$L$8000,"&lt;="&amp;MIN(H$6,DATE(2000+VALUE(RIGHT(TRIM($A297),2)),12,31))),SUMIFS('Timesheet Raw'!$P$4:$P$8000,'Timesheet Raw'!$B$4:$B$8000,TRIM($A297),'Timesheet Raw'!$C$4:$C$8000,"*"&amp;$B297&amp;"*",'Timesheet Raw'!$L$4:$L$8000,"&gt;="&amp;H$5,'Timesheet Raw'!$L$4:$L$8000,"&lt;="&amp;H$6)))/'Profit Plan'!$B$5)</f>
        <v>0</v>
      </c>
      <c r="I297" s="122">
        <f>IF($A297="","",(IF(ISNUMBER(SEARCH("Proposal",$A297)),SUMIFS('Timesheet Raw'!$P$4:$P$8000,'Timesheet Raw'!$A$4:$A$8000,IF(ISNUMBER(SEARCH("Chargable",$A297)),"2-Proposals Chargeable","3-Proposals Regular"),'Timesheet Raw'!$C$4:$C$8000,"*"&amp;$B297&amp;"*",'Timesheet Raw'!$L$4:$L$8000,"&gt;="&amp;MAX(I$5,DATE(2000+VALUE(RIGHT(TRIM($A297),2)),1,1)),'Timesheet Raw'!$L$4:$L$8000,"&lt;="&amp;MIN(I$6,DATE(2000+VALUE(RIGHT(TRIM($A297),2)),12,31))),SUMIFS('Timesheet Raw'!$P$4:$P$8000,'Timesheet Raw'!$B$4:$B$8000,TRIM($A297),'Timesheet Raw'!$C$4:$C$8000,"*"&amp;$B297&amp;"*",'Timesheet Raw'!$L$4:$L$8000,"&gt;="&amp;I$5,'Timesheet Raw'!$L$4:$L$8000,"&lt;="&amp;I$6)))/'Profit Plan'!$B$5)</f>
        <v>0</v>
      </c>
      <c r="J297" s="122">
        <f>IF($A297="","",(IF(ISNUMBER(SEARCH("Proposal",$A297)),SUMIFS('Timesheet Raw'!$P$4:$P$8000,'Timesheet Raw'!$A$4:$A$8000,IF(ISNUMBER(SEARCH("Chargable",$A297)),"2-Proposals Chargeable","3-Proposals Regular"),'Timesheet Raw'!$C$4:$C$8000,"*"&amp;$B297&amp;"*",'Timesheet Raw'!$L$4:$L$8000,"&gt;="&amp;MAX(J$5,DATE(2000+VALUE(RIGHT(TRIM($A297),2)),1,1)),'Timesheet Raw'!$L$4:$L$8000,"&lt;="&amp;MIN(J$6,DATE(2000+VALUE(RIGHT(TRIM($A297),2)),12,31))),SUMIFS('Timesheet Raw'!$P$4:$P$8000,'Timesheet Raw'!$B$4:$B$8000,TRIM($A297),'Timesheet Raw'!$C$4:$C$8000,"*"&amp;$B297&amp;"*",'Timesheet Raw'!$L$4:$L$8000,"&gt;="&amp;J$5,'Timesheet Raw'!$L$4:$L$8000,"&lt;="&amp;J$6)))/'Profit Plan'!$B$5)</f>
        <v>0</v>
      </c>
      <c r="K297" s="122">
        <f>IF($A297="","",(IF(ISNUMBER(SEARCH("Proposal",$A297)),SUMIFS('Timesheet Raw'!$P$4:$P$8000,'Timesheet Raw'!$A$4:$A$8000,IF(ISNUMBER(SEARCH("Chargable",$A297)),"2-Proposals Chargeable","3-Proposals Regular"),'Timesheet Raw'!$C$4:$C$8000,"*"&amp;$B297&amp;"*",'Timesheet Raw'!$L$4:$L$8000,"&gt;="&amp;MAX(K$5,DATE(2000+VALUE(RIGHT(TRIM($A297),2)),1,1)),'Timesheet Raw'!$L$4:$L$8000,"&lt;="&amp;MIN(K$6,DATE(2000+VALUE(RIGHT(TRIM($A297),2)),12,31))),SUMIFS('Timesheet Raw'!$P$4:$P$8000,'Timesheet Raw'!$B$4:$B$8000,TRIM($A297),'Timesheet Raw'!$C$4:$C$8000,"*"&amp;$B297&amp;"*",'Timesheet Raw'!$L$4:$L$8000,"&gt;="&amp;K$5,'Timesheet Raw'!$L$4:$L$8000,"&lt;="&amp;K$6)))/'Profit Plan'!$B$5)</f>
        <v>0</v>
      </c>
      <c r="L297" s="122">
        <f>IF($A297="","",(IF(ISNUMBER(SEARCH("Proposal",$A297)),SUMIFS('Timesheet Raw'!$P$4:$P$8000,'Timesheet Raw'!$A$4:$A$8000,IF(ISNUMBER(SEARCH("Chargable",$A297)),"2-Proposals Chargeable","3-Proposals Regular"),'Timesheet Raw'!$C$4:$C$8000,"*"&amp;$B297&amp;"*",'Timesheet Raw'!$L$4:$L$8000,"&gt;="&amp;MAX(L$5,DATE(2000+VALUE(RIGHT(TRIM($A297),2)),1,1)),'Timesheet Raw'!$L$4:$L$8000,"&lt;="&amp;MIN(L$6,DATE(2000+VALUE(RIGHT(TRIM($A297),2)),12,31))),SUMIFS('Timesheet Raw'!$P$4:$P$8000,'Timesheet Raw'!$B$4:$B$8000,TRIM($A297),'Timesheet Raw'!$C$4:$C$8000,"*"&amp;$B297&amp;"*",'Timesheet Raw'!$L$4:$L$8000,"&gt;="&amp;L$5,'Timesheet Raw'!$L$4:$L$8000,"&lt;="&amp;L$6)))/'Profit Plan'!$B$5)</f>
        <v>1.4959459459459459</v>
      </c>
      <c r="M297" s="122">
        <f>IF($A297="","",(IF(ISNUMBER(SEARCH("Proposal",$A297)),SUMIFS('Timesheet Raw'!$P$4:$P$8000,'Timesheet Raw'!$A$4:$A$8000,IF(ISNUMBER(SEARCH("Chargable",$A297)),"2-Proposals Chargeable","3-Proposals Regular"),'Timesheet Raw'!$C$4:$C$8000,"*"&amp;$B297&amp;"*",'Timesheet Raw'!$L$4:$L$8000,"&gt;="&amp;MAX(M$5,DATE(2000+VALUE(RIGHT(TRIM($A297),2)),1,1)),'Timesheet Raw'!$L$4:$L$8000,"&lt;="&amp;MIN(M$6,DATE(2000+VALUE(RIGHT(TRIM($A297),2)),12,31))),SUMIFS('Timesheet Raw'!$P$4:$P$8000,'Timesheet Raw'!$B$4:$B$8000,TRIM($A297),'Timesheet Raw'!$C$4:$C$8000,"*"&amp;$B297&amp;"*",'Timesheet Raw'!$L$4:$L$8000,"&gt;="&amp;M$5,'Timesheet Raw'!$L$4:$L$8000,"&lt;="&amp;M$6)))/'Profit Plan'!$B$5)</f>
        <v>0.10405405405405406</v>
      </c>
      <c r="N297" s="122">
        <f>IF($A297="","",(IF(ISNUMBER(SEARCH("Proposal",$A297)),SUMIFS('Timesheet Raw'!$P$4:$P$8000,'Timesheet Raw'!$A$4:$A$8000,IF(ISNUMBER(SEARCH("Chargable",$A297)),"2-Proposals Chargeable","3-Proposals Regular"),'Timesheet Raw'!$C$4:$C$8000,"*"&amp;$B297&amp;"*",'Timesheet Raw'!$L$4:$L$8000,"&gt;="&amp;MAX(N$5,DATE(2000+VALUE(RIGHT(TRIM($A297),2)),1,1)),'Timesheet Raw'!$L$4:$L$8000,"&lt;="&amp;MIN(N$6,DATE(2000+VALUE(RIGHT(TRIM($A297),2)),12,31))),SUMIFS('Timesheet Raw'!$P$4:$P$8000,'Timesheet Raw'!$B$4:$B$8000,TRIM($A297),'Timesheet Raw'!$C$4:$C$8000,"*"&amp;$B297&amp;"*",'Timesheet Raw'!$L$4:$L$8000,"&gt;="&amp;N$5,'Timesheet Raw'!$L$4:$L$8000,"&lt;="&amp;N$6)))/'Profit Plan'!$B$5)</f>
        <v>0.35945945945945945</v>
      </c>
      <c r="O297" s="122">
        <f>IF($A297="","",(IF(ISNUMBER(SEARCH("Proposal",$A297)),SUMIFS('Timesheet Raw'!$P$4:$P$8000,'Timesheet Raw'!$A$4:$A$8000,IF(ISNUMBER(SEARCH("Chargable",$A297)),"2-Proposals Chargeable","3-Proposals Regular"),'Timesheet Raw'!$C$4:$C$8000,"*"&amp;$B297&amp;"*",'Timesheet Raw'!$L$4:$L$8000,"&gt;="&amp;MAX(O$5,DATE(2000+VALUE(RIGHT(TRIM($A297),2)),1,1)),'Timesheet Raw'!$L$4:$L$8000,"&lt;="&amp;MIN(O$6,DATE(2000+VALUE(RIGHT(TRIM($A297),2)),12,31))),SUMIFS('Timesheet Raw'!$P$4:$P$8000,'Timesheet Raw'!$B$4:$B$8000,TRIM($A297),'Timesheet Raw'!$C$4:$C$8000,"*"&amp;$B297&amp;"*",'Timesheet Raw'!$L$4:$L$8000,"&gt;="&amp;O$5,'Timesheet Raw'!$L$4:$L$8000,"&lt;="&amp;O$6)))/'Profit Plan'!$B$5)</f>
        <v>0</v>
      </c>
      <c r="P297" s="122">
        <f>IF($A297="","",(IF(ISNUMBER(SEARCH("Proposal",$A297)),SUMIFS('Timesheet Raw'!$P$4:$P$8000,'Timesheet Raw'!$A$4:$A$8000,IF(ISNUMBER(SEARCH("Chargable",$A297)),"2-Proposals Chargeable","3-Proposals Regular"),'Timesheet Raw'!$C$4:$C$8000,"*"&amp;$B297&amp;"*",'Timesheet Raw'!$L$4:$L$8000,"&gt;="&amp;MAX(P$5,DATE(2000+VALUE(RIGHT(TRIM($A297),2)),1,1)),'Timesheet Raw'!$L$4:$L$8000,"&lt;="&amp;MIN(P$6,DATE(2000+VALUE(RIGHT(TRIM($A297),2)),12,31))),SUMIFS('Timesheet Raw'!$P$4:$P$8000,'Timesheet Raw'!$B$4:$B$8000,TRIM($A297),'Timesheet Raw'!$C$4:$C$8000,"*"&amp;$B297&amp;"*",'Timesheet Raw'!$L$4:$L$8000,"&gt;="&amp;P$5,'Timesheet Raw'!$L$4:$L$8000,"&lt;="&amp;P$6)))/'Profit Plan'!$B$5)</f>
        <v>0</v>
      </c>
      <c r="Q297" s="122">
        <f>IF($A297="","",(IF(ISNUMBER(SEARCH("Proposal",$A297)),SUMIFS('Timesheet Raw'!$P$4:$P$8000,'Timesheet Raw'!$A$4:$A$8000,IF(ISNUMBER(SEARCH("Chargable",$A297)),"2-Proposals Chargeable","3-Proposals Regular"),'Timesheet Raw'!$C$4:$C$8000,"*"&amp;$B297&amp;"*",'Timesheet Raw'!$L$4:$L$8000,"&gt;="&amp;MAX(Q$5,DATE(2000+VALUE(RIGHT(TRIM($A297),2)),1,1)),'Timesheet Raw'!$L$4:$L$8000,"&lt;="&amp;MIN(Q$6,DATE(2000+VALUE(RIGHT(TRIM($A297),2)),12,31))),SUMIFS('Timesheet Raw'!$P$4:$P$8000,'Timesheet Raw'!$B$4:$B$8000,TRIM($A297),'Timesheet Raw'!$C$4:$C$8000,"*"&amp;$B297&amp;"*",'Timesheet Raw'!$L$4:$L$8000,"&gt;="&amp;Q$5,'Timesheet Raw'!$L$4:$L$8000,"&lt;="&amp;Q$6)))/'Profit Plan'!$B$5)</f>
        <v>0</v>
      </c>
      <c r="R297" s="122">
        <f>IF($A297="","",(IF(ISNUMBER(SEARCH("Proposal",$A297)),SUMIFS('Timesheet Raw'!$P$4:$P$8000,'Timesheet Raw'!$A$4:$A$8000,IF(ISNUMBER(SEARCH("Chargable",$A297)),"2-Proposals Chargeable","3-Proposals Regular"),'Timesheet Raw'!$C$4:$C$8000,"*"&amp;$B297&amp;"*",'Timesheet Raw'!$L$4:$L$8000,"&gt;="&amp;MAX(R$5,DATE(2000+VALUE(RIGHT(TRIM($A297),2)),1,1)),'Timesheet Raw'!$L$4:$L$8000,"&lt;="&amp;MIN(R$6,DATE(2000+VALUE(RIGHT(TRIM($A297),2)),12,31))),SUMIFS('Timesheet Raw'!$P$4:$P$8000,'Timesheet Raw'!$B$4:$B$8000,TRIM($A297),'Timesheet Raw'!$C$4:$C$8000,"*"&amp;$B297&amp;"*",'Timesheet Raw'!$L$4:$L$8000,"&gt;="&amp;R$5,'Timesheet Raw'!$L$4:$L$8000,"&lt;="&amp;R$6)))/'Profit Plan'!$B$5)</f>
        <v>0</v>
      </c>
      <c r="S297" s="122">
        <f>IF($A297="","",(IF(ISNUMBER(SEARCH("Proposal",$A297)),SUMIFS('Timesheet Raw'!$P$4:$P$8000,'Timesheet Raw'!$A$4:$A$8000,IF(ISNUMBER(SEARCH("Chargable",$A297)),"2-Proposals Chargeable","3-Proposals Regular"),'Timesheet Raw'!$C$4:$C$8000,"*"&amp;$B297&amp;"*",'Timesheet Raw'!$L$4:$L$8000,"&gt;="&amp;MAX(S$5,DATE(2000+VALUE(RIGHT(TRIM($A297),2)),1,1)),'Timesheet Raw'!$L$4:$L$8000,"&lt;="&amp;MIN(S$6,DATE(2000+VALUE(RIGHT(TRIM($A297),2)),12,31))),SUMIFS('Timesheet Raw'!$P$4:$P$8000,'Timesheet Raw'!$B$4:$B$8000,TRIM($A297),'Timesheet Raw'!$C$4:$C$8000,"*"&amp;$B297&amp;"*",'Timesheet Raw'!$L$4:$L$8000,"&gt;="&amp;S$5,'Timesheet Raw'!$L$4:$L$8000,"&lt;="&amp;S$6)))/'Profit Plan'!$B$5)</f>
        <v>0</v>
      </c>
      <c r="T297" s="122">
        <f>IF($A297="","",(IF(ISNUMBER(SEARCH("Proposal",$A297)),SUMIFS('Timesheet Raw'!$P$4:$P$8000,'Timesheet Raw'!$A$4:$A$8000,IF(ISNUMBER(SEARCH("Chargable",$A297)),"2-Proposals Chargeable","3-Proposals Regular"),'Timesheet Raw'!$C$4:$C$8000,"*"&amp;$B297&amp;"*",'Timesheet Raw'!$L$4:$L$8000,"&gt;="&amp;MAX(T$5,DATE(2000+VALUE(RIGHT(TRIM($A297),2)),1,1)),'Timesheet Raw'!$L$4:$L$8000,"&lt;="&amp;MIN(T$6,DATE(2000+VALUE(RIGHT(TRIM($A297),2)),12,31))),SUMIFS('Timesheet Raw'!$P$4:$P$8000,'Timesheet Raw'!$B$4:$B$8000,TRIM($A297),'Timesheet Raw'!$C$4:$C$8000,"*"&amp;$B297&amp;"*",'Timesheet Raw'!$L$4:$L$8000,"&gt;="&amp;T$5,'Timesheet Raw'!$L$4:$L$8000,"&lt;="&amp;T$6)))/'Profit Plan'!$B$5)</f>
        <v>0</v>
      </c>
      <c r="U297" s="122">
        <f>IF($A297="","",(IF(ISNUMBER(SEARCH("Proposal",$A297)),SUMIFS('Timesheet Raw'!$P$4:$P$8000,'Timesheet Raw'!$A$4:$A$8000,IF(ISNUMBER(SEARCH("Chargable",$A297)),"2-Proposals Chargeable","3-Proposals Regular"),'Timesheet Raw'!$C$4:$C$8000,"*"&amp;$B297&amp;"*",'Timesheet Raw'!$L$4:$L$8000,"&gt;="&amp;MAX(U$5,DATE(2000+VALUE(RIGHT(TRIM($A297),2)),1,1)),'Timesheet Raw'!$L$4:$L$8000,"&lt;="&amp;MIN(U$6,DATE(2000+VALUE(RIGHT(TRIM($A297),2)),12,31))),SUMIFS('Timesheet Raw'!$P$4:$P$8000,'Timesheet Raw'!$B$4:$B$8000,TRIM($A297),'Timesheet Raw'!$C$4:$C$8000,"*"&amp;$B297&amp;"*",'Timesheet Raw'!$L$4:$L$8000,"&gt;="&amp;U$5,'Timesheet Raw'!$L$4:$L$8000,"&lt;="&amp;U$6)))/'Profit Plan'!$B$5)</f>
        <v>0</v>
      </c>
      <c r="V297" s="122">
        <f>IF($A297="","",(IF(ISNUMBER(SEARCH("Proposal",$A297)),SUMIFS('Timesheet Raw'!$P$4:$P$8000,'Timesheet Raw'!$A$4:$A$8000,IF(ISNUMBER(SEARCH("Chargable",$A297)),"2-Proposals Chargeable","3-Proposals Regular"),'Timesheet Raw'!$C$4:$C$8000,"*"&amp;$B297&amp;"*",'Timesheet Raw'!$L$4:$L$8000,"&gt;="&amp;MAX(V$5,DATE(2000+VALUE(RIGHT(TRIM($A297),2)),1,1)),'Timesheet Raw'!$L$4:$L$8000,"&lt;="&amp;MIN(V$6,DATE(2000+VALUE(RIGHT(TRIM($A297),2)),12,31))),SUMIFS('Timesheet Raw'!$P$4:$P$8000,'Timesheet Raw'!$B$4:$B$8000,TRIM($A297),'Timesheet Raw'!$C$4:$C$8000,"*"&amp;$B297&amp;"*",'Timesheet Raw'!$L$4:$L$8000,"&gt;="&amp;V$5,'Timesheet Raw'!$L$4:$L$8000,"&lt;="&amp;V$6)))/'Profit Plan'!$B$5)</f>
        <v>0</v>
      </c>
      <c r="W297" s="122">
        <f>IF($A297="","",(IF(ISNUMBER(SEARCH("Proposal",$A297)),SUMIFS('Timesheet Raw'!$P$4:$P$8000,'Timesheet Raw'!$A$4:$A$8000,IF(ISNUMBER(SEARCH("Chargable",$A297)),"2-Proposals Chargeable","3-Proposals Regular"),'Timesheet Raw'!$C$4:$C$8000,"*"&amp;$B297&amp;"*",'Timesheet Raw'!$L$4:$L$8000,"&gt;="&amp;MAX(W$5,DATE(2000+VALUE(RIGHT(TRIM($A297),2)),1,1)),'Timesheet Raw'!$L$4:$L$8000,"&lt;="&amp;MIN(W$6,DATE(2000+VALUE(RIGHT(TRIM($A297),2)),12,31))),SUMIFS('Timesheet Raw'!$P$4:$P$8000,'Timesheet Raw'!$B$4:$B$8000,TRIM($A297),'Timesheet Raw'!$C$4:$C$8000,"*"&amp;$B297&amp;"*",'Timesheet Raw'!$L$4:$L$8000,"&gt;="&amp;W$5,'Timesheet Raw'!$L$4:$L$8000,"&lt;="&amp;W$6)))/'Profit Plan'!$B$5)</f>
        <v>0</v>
      </c>
      <c r="X297" s="122">
        <f>IF($A297="","",(IF(ISNUMBER(SEARCH("Proposal",$A297)),SUMIFS('Timesheet Raw'!$P$4:$P$8000,'Timesheet Raw'!$A$4:$A$8000,IF(ISNUMBER(SEARCH("Chargable",$A297)),"2-Proposals Chargeable","3-Proposals Regular"),'Timesheet Raw'!$C$4:$C$8000,"*"&amp;$B297&amp;"*",'Timesheet Raw'!$L$4:$L$8000,"&gt;="&amp;MAX(X$5,DATE(2000+VALUE(RIGHT(TRIM($A297),2)),1,1)),'Timesheet Raw'!$L$4:$L$8000,"&lt;="&amp;MIN(X$6,DATE(2000+VALUE(RIGHT(TRIM($A297),2)),12,31))),SUMIFS('Timesheet Raw'!$P$4:$P$8000,'Timesheet Raw'!$B$4:$B$8000,TRIM($A297),'Timesheet Raw'!$C$4:$C$8000,"*"&amp;$B297&amp;"*",'Timesheet Raw'!$L$4:$L$8000,"&gt;="&amp;X$5,'Timesheet Raw'!$L$4:$L$8000,"&lt;="&amp;X$6)))/'Profit Plan'!$B$5)</f>
        <v>0</v>
      </c>
      <c r="Y297" s="118">
        <f t="shared" si="100"/>
        <v>1.9594594594594592</v>
      </c>
    </row>
    <row r="298" spans="1:25" x14ac:dyDescent="0.3">
      <c r="A298" s="116" t="str">
        <f>IF(Inputs!$A17="","",Inputs!$A17)</f>
        <v>E24181-0100D</v>
      </c>
      <c r="B298" s="116" t="str">
        <f>IF(Inputs!$A17="","",Inputs!$A$91)</f>
        <v>Ahmed</v>
      </c>
      <c r="C298" s="116"/>
      <c r="D298" s="122">
        <f>IF($A298="","",(IF(ISNUMBER(SEARCH("Proposal",$A298)),SUMIFS('Timesheet Raw'!$P$4:$P$8000,'Timesheet Raw'!$A$4:$A$8000,IF(ISNUMBER(SEARCH("Chargable",$A298)),"2-Proposals Chargeable","3-Proposals Regular"),'Timesheet Raw'!$C$4:$C$8000,"*"&amp;$B298&amp;"*",'Timesheet Raw'!$L$4:$L$8000,"&gt;="&amp;MAX(D$5,DATE(2000+VALUE(RIGHT(TRIM($A298),2)),1,1)),'Timesheet Raw'!$L$4:$L$8000,"&lt;="&amp;MIN(D$6,DATE(2000+VALUE(RIGHT(TRIM($A298),2)),12,31))),SUMIFS('Timesheet Raw'!$P$4:$P$8000,'Timesheet Raw'!$B$4:$B$8000,TRIM($A298),'Timesheet Raw'!$C$4:$C$8000,"*"&amp;$B298&amp;"*",'Timesheet Raw'!$L$4:$L$8000,"&gt;="&amp;D$5,'Timesheet Raw'!$L$4:$L$8000,"&lt;="&amp;D$6)))/'Profit Plan'!$B$5)</f>
        <v>0</v>
      </c>
      <c r="E298" s="122">
        <f>IF($A298="","",(IF(ISNUMBER(SEARCH("Proposal",$A298)),SUMIFS('Timesheet Raw'!$P$4:$P$8000,'Timesheet Raw'!$A$4:$A$8000,IF(ISNUMBER(SEARCH("Chargable",$A298)),"2-Proposals Chargeable","3-Proposals Regular"),'Timesheet Raw'!$C$4:$C$8000,"*"&amp;$B298&amp;"*",'Timesheet Raw'!$L$4:$L$8000,"&gt;="&amp;MAX(E$5,DATE(2000+VALUE(RIGHT(TRIM($A298),2)),1,1)),'Timesheet Raw'!$L$4:$L$8000,"&lt;="&amp;MIN(E$6,DATE(2000+VALUE(RIGHT(TRIM($A298),2)),12,31))),SUMIFS('Timesheet Raw'!$P$4:$P$8000,'Timesheet Raw'!$B$4:$B$8000,TRIM($A298),'Timesheet Raw'!$C$4:$C$8000,"*"&amp;$B298&amp;"*",'Timesheet Raw'!$L$4:$L$8000,"&gt;="&amp;E$5,'Timesheet Raw'!$L$4:$L$8000,"&lt;="&amp;E$6)))/'Profit Plan'!$B$5)</f>
        <v>0</v>
      </c>
      <c r="F298" s="122">
        <f>IF($A298="","",(IF(ISNUMBER(SEARCH("Proposal",$A298)),SUMIFS('Timesheet Raw'!$P$4:$P$8000,'Timesheet Raw'!$A$4:$A$8000,IF(ISNUMBER(SEARCH("Chargable",$A298)),"2-Proposals Chargeable","3-Proposals Regular"),'Timesheet Raw'!$C$4:$C$8000,"*"&amp;$B298&amp;"*",'Timesheet Raw'!$L$4:$L$8000,"&gt;="&amp;MAX(F$5,DATE(2000+VALUE(RIGHT(TRIM($A298),2)),1,1)),'Timesheet Raw'!$L$4:$L$8000,"&lt;="&amp;MIN(F$6,DATE(2000+VALUE(RIGHT(TRIM($A298),2)),12,31))),SUMIFS('Timesheet Raw'!$P$4:$P$8000,'Timesheet Raw'!$B$4:$B$8000,TRIM($A298),'Timesheet Raw'!$C$4:$C$8000,"*"&amp;$B298&amp;"*",'Timesheet Raw'!$L$4:$L$8000,"&gt;="&amp;F$5,'Timesheet Raw'!$L$4:$L$8000,"&lt;="&amp;F$6)))/'Profit Plan'!$B$5)</f>
        <v>0</v>
      </c>
      <c r="G298" s="122">
        <f>IF($A298="","",(IF(ISNUMBER(SEARCH("Proposal",$A298)),SUMIFS('Timesheet Raw'!$P$4:$P$8000,'Timesheet Raw'!$A$4:$A$8000,IF(ISNUMBER(SEARCH("Chargable",$A298)),"2-Proposals Chargeable","3-Proposals Regular"),'Timesheet Raw'!$C$4:$C$8000,"*"&amp;$B298&amp;"*",'Timesheet Raw'!$L$4:$L$8000,"&gt;="&amp;MAX(G$5,DATE(2000+VALUE(RIGHT(TRIM($A298),2)),1,1)),'Timesheet Raw'!$L$4:$L$8000,"&lt;="&amp;MIN(G$6,DATE(2000+VALUE(RIGHT(TRIM($A298),2)),12,31))),SUMIFS('Timesheet Raw'!$P$4:$P$8000,'Timesheet Raw'!$B$4:$B$8000,TRIM($A298),'Timesheet Raw'!$C$4:$C$8000,"*"&amp;$B298&amp;"*",'Timesheet Raw'!$L$4:$L$8000,"&gt;="&amp;G$5,'Timesheet Raw'!$L$4:$L$8000,"&lt;="&amp;G$6)))/'Profit Plan'!$B$5)</f>
        <v>0</v>
      </c>
      <c r="H298" s="122">
        <f>IF($A298="","",(IF(ISNUMBER(SEARCH("Proposal",$A298)),SUMIFS('Timesheet Raw'!$P$4:$P$8000,'Timesheet Raw'!$A$4:$A$8000,IF(ISNUMBER(SEARCH("Chargable",$A298)),"2-Proposals Chargeable","3-Proposals Regular"),'Timesheet Raw'!$C$4:$C$8000,"*"&amp;$B298&amp;"*",'Timesheet Raw'!$L$4:$L$8000,"&gt;="&amp;MAX(H$5,DATE(2000+VALUE(RIGHT(TRIM($A298),2)),1,1)),'Timesheet Raw'!$L$4:$L$8000,"&lt;="&amp;MIN(H$6,DATE(2000+VALUE(RIGHT(TRIM($A298),2)),12,31))),SUMIFS('Timesheet Raw'!$P$4:$P$8000,'Timesheet Raw'!$B$4:$B$8000,TRIM($A298),'Timesheet Raw'!$C$4:$C$8000,"*"&amp;$B298&amp;"*",'Timesheet Raw'!$L$4:$L$8000,"&gt;="&amp;H$5,'Timesheet Raw'!$L$4:$L$8000,"&lt;="&amp;H$6)))/'Profit Plan'!$B$5)</f>
        <v>0</v>
      </c>
      <c r="I298" s="122">
        <f>IF($A298="","",(IF(ISNUMBER(SEARCH("Proposal",$A298)),SUMIFS('Timesheet Raw'!$P$4:$P$8000,'Timesheet Raw'!$A$4:$A$8000,IF(ISNUMBER(SEARCH("Chargable",$A298)),"2-Proposals Chargeable","3-Proposals Regular"),'Timesheet Raw'!$C$4:$C$8000,"*"&amp;$B298&amp;"*",'Timesheet Raw'!$L$4:$L$8000,"&gt;="&amp;MAX(I$5,DATE(2000+VALUE(RIGHT(TRIM($A298),2)),1,1)),'Timesheet Raw'!$L$4:$L$8000,"&lt;="&amp;MIN(I$6,DATE(2000+VALUE(RIGHT(TRIM($A298),2)),12,31))),SUMIFS('Timesheet Raw'!$P$4:$P$8000,'Timesheet Raw'!$B$4:$B$8000,TRIM($A298),'Timesheet Raw'!$C$4:$C$8000,"*"&amp;$B298&amp;"*",'Timesheet Raw'!$L$4:$L$8000,"&gt;="&amp;I$5,'Timesheet Raw'!$L$4:$L$8000,"&lt;="&amp;I$6)))/'Profit Plan'!$B$5)</f>
        <v>0</v>
      </c>
      <c r="J298" s="122">
        <f>IF($A298="","",(IF(ISNUMBER(SEARCH("Proposal",$A298)),SUMIFS('Timesheet Raw'!$P$4:$P$8000,'Timesheet Raw'!$A$4:$A$8000,IF(ISNUMBER(SEARCH("Chargable",$A298)),"2-Proposals Chargeable","3-Proposals Regular"),'Timesheet Raw'!$C$4:$C$8000,"*"&amp;$B298&amp;"*",'Timesheet Raw'!$L$4:$L$8000,"&gt;="&amp;MAX(J$5,DATE(2000+VALUE(RIGHT(TRIM($A298),2)),1,1)),'Timesheet Raw'!$L$4:$L$8000,"&lt;="&amp;MIN(J$6,DATE(2000+VALUE(RIGHT(TRIM($A298),2)),12,31))),SUMIFS('Timesheet Raw'!$P$4:$P$8000,'Timesheet Raw'!$B$4:$B$8000,TRIM($A298),'Timesheet Raw'!$C$4:$C$8000,"*"&amp;$B298&amp;"*",'Timesheet Raw'!$L$4:$L$8000,"&gt;="&amp;J$5,'Timesheet Raw'!$L$4:$L$8000,"&lt;="&amp;J$6)))/'Profit Plan'!$B$5)</f>
        <v>0</v>
      </c>
      <c r="K298" s="122">
        <f>IF($A298="","",(IF(ISNUMBER(SEARCH("Proposal",$A298)),SUMIFS('Timesheet Raw'!$P$4:$P$8000,'Timesheet Raw'!$A$4:$A$8000,IF(ISNUMBER(SEARCH("Chargable",$A298)),"2-Proposals Chargeable","3-Proposals Regular"),'Timesheet Raw'!$C$4:$C$8000,"*"&amp;$B298&amp;"*",'Timesheet Raw'!$L$4:$L$8000,"&gt;="&amp;MAX(K$5,DATE(2000+VALUE(RIGHT(TRIM($A298),2)),1,1)),'Timesheet Raw'!$L$4:$L$8000,"&lt;="&amp;MIN(K$6,DATE(2000+VALUE(RIGHT(TRIM($A298),2)),12,31))),SUMIFS('Timesheet Raw'!$P$4:$P$8000,'Timesheet Raw'!$B$4:$B$8000,TRIM($A298),'Timesheet Raw'!$C$4:$C$8000,"*"&amp;$B298&amp;"*",'Timesheet Raw'!$L$4:$L$8000,"&gt;="&amp;K$5,'Timesheet Raw'!$L$4:$L$8000,"&lt;="&amp;K$6)))/'Profit Plan'!$B$5)</f>
        <v>0</v>
      </c>
      <c r="L298" s="122">
        <f>IF($A298="","",(IF(ISNUMBER(SEARCH("Proposal",$A298)),SUMIFS('Timesheet Raw'!$P$4:$P$8000,'Timesheet Raw'!$A$4:$A$8000,IF(ISNUMBER(SEARCH("Chargable",$A298)),"2-Proposals Chargeable","3-Proposals Regular"),'Timesheet Raw'!$C$4:$C$8000,"*"&amp;$B298&amp;"*",'Timesheet Raw'!$L$4:$L$8000,"&gt;="&amp;MAX(L$5,DATE(2000+VALUE(RIGHT(TRIM($A298),2)),1,1)),'Timesheet Raw'!$L$4:$L$8000,"&lt;="&amp;MIN(L$6,DATE(2000+VALUE(RIGHT(TRIM($A298),2)),12,31))),SUMIFS('Timesheet Raw'!$P$4:$P$8000,'Timesheet Raw'!$B$4:$B$8000,TRIM($A298),'Timesheet Raw'!$C$4:$C$8000,"*"&amp;$B298&amp;"*",'Timesheet Raw'!$L$4:$L$8000,"&gt;="&amp;L$5,'Timesheet Raw'!$L$4:$L$8000,"&lt;="&amp;L$6)))/'Profit Plan'!$B$5)</f>
        <v>0</v>
      </c>
      <c r="M298" s="122">
        <f>IF($A298="","",(IF(ISNUMBER(SEARCH("Proposal",$A298)),SUMIFS('Timesheet Raw'!$P$4:$P$8000,'Timesheet Raw'!$A$4:$A$8000,IF(ISNUMBER(SEARCH("Chargable",$A298)),"2-Proposals Chargeable","3-Proposals Regular"),'Timesheet Raw'!$C$4:$C$8000,"*"&amp;$B298&amp;"*",'Timesheet Raw'!$L$4:$L$8000,"&gt;="&amp;MAX(M$5,DATE(2000+VALUE(RIGHT(TRIM($A298),2)),1,1)),'Timesheet Raw'!$L$4:$L$8000,"&lt;="&amp;MIN(M$6,DATE(2000+VALUE(RIGHT(TRIM($A298),2)),12,31))),SUMIFS('Timesheet Raw'!$P$4:$P$8000,'Timesheet Raw'!$B$4:$B$8000,TRIM($A298),'Timesheet Raw'!$C$4:$C$8000,"*"&amp;$B298&amp;"*",'Timesheet Raw'!$L$4:$L$8000,"&gt;="&amp;M$5,'Timesheet Raw'!$L$4:$L$8000,"&lt;="&amp;M$6)))/'Profit Plan'!$B$5)</f>
        <v>0</v>
      </c>
      <c r="N298" s="122">
        <f>IF($A298="","",(IF(ISNUMBER(SEARCH("Proposal",$A298)),SUMIFS('Timesheet Raw'!$P$4:$P$8000,'Timesheet Raw'!$A$4:$A$8000,IF(ISNUMBER(SEARCH("Chargable",$A298)),"2-Proposals Chargeable","3-Proposals Regular"),'Timesheet Raw'!$C$4:$C$8000,"*"&amp;$B298&amp;"*",'Timesheet Raw'!$L$4:$L$8000,"&gt;="&amp;MAX(N$5,DATE(2000+VALUE(RIGHT(TRIM($A298),2)),1,1)),'Timesheet Raw'!$L$4:$L$8000,"&lt;="&amp;MIN(N$6,DATE(2000+VALUE(RIGHT(TRIM($A298),2)),12,31))),SUMIFS('Timesheet Raw'!$P$4:$P$8000,'Timesheet Raw'!$B$4:$B$8000,TRIM($A298),'Timesheet Raw'!$C$4:$C$8000,"*"&amp;$B298&amp;"*",'Timesheet Raw'!$L$4:$L$8000,"&gt;="&amp;N$5,'Timesheet Raw'!$L$4:$L$8000,"&lt;="&amp;N$6)))/'Profit Plan'!$B$5)</f>
        <v>0</v>
      </c>
      <c r="O298" s="122">
        <f>IF($A298="","",(IF(ISNUMBER(SEARCH("Proposal",$A298)),SUMIFS('Timesheet Raw'!$P$4:$P$8000,'Timesheet Raw'!$A$4:$A$8000,IF(ISNUMBER(SEARCH("Chargable",$A298)),"2-Proposals Chargeable","3-Proposals Regular"),'Timesheet Raw'!$C$4:$C$8000,"*"&amp;$B298&amp;"*",'Timesheet Raw'!$L$4:$L$8000,"&gt;="&amp;MAX(O$5,DATE(2000+VALUE(RIGHT(TRIM($A298),2)),1,1)),'Timesheet Raw'!$L$4:$L$8000,"&lt;="&amp;MIN(O$6,DATE(2000+VALUE(RIGHT(TRIM($A298),2)),12,31))),SUMIFS('Timesheet Raw'!$P$4:$P$8000,'Timesheet Raw'!$B$4:$B$8000,TRIM($A298),'Timesheet Raw'!$C$4:$C$8000,"*"&amp;$B298&amp;"*",'Timesheet Raw'!$L$4:$L$8000,"&gt;="&amp;O$5,'Timesheet Raw'!$L$4:$L$8000,"&lt;="&amp;O$6)))/'Profit Plan'!$B$5)</f>
        <v>0</v>
      </c>
      <c r="P298" s="122">
        <f>IF($A298="","",(IF(ISNUMBER(SEARCH("Proposal",$A298)),SUMIFS('Timesheet Raw'!$P$4:$P$8000,'Timesheet Raw'!$A$4:$A$8000,IF(ISNUMBER(SEARCH("Chargable",$A298)),"2-Proposals Chargeable","3-Proposals Regular"),'Timesheet Raw'!$C$4:$C$8000,"*"&amp;$B298&amp;"*",'Timesheet Raw'!$L$4:$L$8000,"&gt;="&amp;MAX(P$5,DATE(2000+VALUE(RIGHT(TRIM($A298),2)),1,1)),'Timesheet Raw'!$L$4:$L$8000,"&lt;="&amp;MIN(P$6,DATE(2000+VALUE(RIGHT(TRIM($A298),2)),12,31))),SUMIFS('Timesheet Raw'!$P$4:$P$8000,'Timesheet Raw'!$B$4:$B$8000,TRIM($A298),'Timesheet Raw'!$C$4:$C$8000,"*"&amp;$B298&amp;"*",'Timesheet Raw'!$L$4:$L$8000,"&gt;="&amp;P$5,'Timesheet Raw'!$L$4:$L$8000,"&lt;="&amp;P$6)))/'Profit Plan'!$B$5)</f>
        <v>0</v>
      </c>
      <c r="Q298" s="122">
        <f>IF($A298="","",(IF(ISNUMBER(SEARCH("Proposal",$A298)),SUMIFS('Timesheet Raw'!$P$4:$P$8000,'Timesheet Raw'!$A$4:$A$8000,IF(ISNUMBER(SEARCH("Chargable",$A298)),"2-Proposals Chargeable","3-Proposals Regular"),'Timesheet Raw'!$C$4:$C$8000,"*"&amp;$B298&amp;"*",'Timesheet Raw'!$L$4:$L$8000,"&gt;="&amp;MAX(Q$5,DATE(2000+VALUE(RIGHT(TRIM($A298),2)),1,1)),'Timesheet Raw'!$L$4:$L$8000,"&lt;="&amp;MIN(Q$6,DATE(2000+VALUE(RIGHT(TRIM($A298),2)),12,31))),SUMIFS('Timesheet Raw'!$P$4:$P$8000,'Timesheet Raw'!$B$4:$B$8000,TRIM($A298),'Timesheet Raw'!$C$4:$C$8000,"*"&amp;$B298&amp;"*",'Timesheet Raw'!$L$4:$L$8000,"&gt;="&amp;Q$5,'Timesheet Raw'!$L$4:$L$8000,"&lt;="&amp;Q$6)))/'Profit Plan'!$B$5)</f>
        <v>0</v>
      </c>
      <c r="R298" s="122">
        <f>IF($A298="","",(IF(ISNUMBER(SEARCH("Proposal",$A298)),SUMIFS('Timesheet Raw'!$P$4:$P$8000,'Timesheet Raw'!$A$4:$A$8000,IF(ISNUMBER(SEARCH("Chargable",$A298)),"2-Proposals Chargeable","3-Proposals Regular"),'Timesheet Raw'!$C$4:$C$8000,"*"&amp;$B298&amp;"*",'Timesheet Raw'!$L$4:$L$8000,"&gt;="&amp;MAX(R$5,DATE(2000+VALUE(RIGHT(TRIM($A298),2)),1,1)),'Timesheet Raw'!$L$4:$L$8000,"&lt;="&amp;MIN(R$6,DATE(2000+VALUE(RIGHT(TRIM($A298),2)),12,31))),SUMIFS('Timesheet Raw'!$P$4:$P$8000,'Timesheet Raw'!$B$4:$B$8000,TRIM($A298),'Timesheet Raw'!$C$4:$C$8000,"*"&amp;$B298&amp;"*",'Timesheet Raw'!$L$4:$L$8000,"&gt;="&amp;R$5,'Timesheet Raw'!$L$4:$L$8000,"&lt;="&amp;R$6)))/'Profit Plan'!$B$5)</f>
        <v>0</v>
      </c>
      <c r="S298" s="122">
        <f>IF($A298="","",(IF(ISNUMBER(SEARCH("Proposal",$A298)),SUMIFS('Timesheet Raw'!$P$4:$P$8000,'Timesheet Raw'!$A$4:$A$8000,IF(ISNUMBER(SEARCH("Chargable",$A298)),"2-Proposals Chargeable","3-Proposals Regular"),'Timesheet Raw'!$C$4:$C$8000,"*"&amp;$B298&amp;"*",'Timesheet Raw'!$L$4:$L$8000,"&gt;="&amp;MAX(S$5,DATE(2000+VALUE(RIGHT(TRIM($A298),2)),1,1)),'Timesheet Raw'!$L$4:$L$8000,"&lt;="&amp;MIN(S$6,DATE(2000+VALUE(RIGHT(TRIM($A298),2)),12,31))),SUMIFS('Timesheet Raw'!$P$4:$P$8000,'Timesheet Raw'!$B$4:$B$8000,TRIM($A298),'Timesheet Raw'!$C$4:$C$8000,"*"&amp;$B298&amp;"*",'Timesheet Raw'!$L$4:$L$8000,"&gt;="&amp;S$5,'Timesheet Raw'!$L$4:$L$8000,"&lt;="&amp;S$6)))/'Profit Plan'!$B$5)</f>
        <v>0</v>
      </c>
      <c r="T298" s="122">
        <f>IF($A298="","",(IF(ISNUMBER(SEARCH("Proposal",$A298)),SUMIFS('Timesheet Raw'!$P$4:$P$8000,'Timesheet Raw'!$A$4:$A$8000,IF(ISNUMBER(SEARCH("Chargable",$A298)),"2-Proposals Chargeable","3-Proposals Regular"),'Timesheet Raw'!$C$4:$C$8000,"*"&amp;$B298&amp;"*",'Timesheet Raw'!$L$4:$L$8000,"&gt;="&amp;MAX(T$5,DATE(2000+VALUE(RIGHT(TRIM($A298),2)),1,1)),'Timesheet Raw'!$L$4:$L$8000,"&lt;="&amp;MIN(T$6,DATE(2000+VALUE(RIGHT(TRIM($A298),2)),12,31))),SUMIFS('Timesheet Raw'!$P$4:$P$8000,'Timesheet Raw'!$B$4:$B$8000,TRIM($A298),'Timesheet Raw'!$C$4:$C$8000,"*"&amp;$B298&amp;"*",'Timesheet Raw'!$L$4:$L$8000,"&gt;="&amp;T$5,'Timesheet Raw'!$L$4:$L$8000,"&lt;="&amp;T$6)))/'Profit Plan'!$B$5)</f>
        <v>0</v>
      </c>
      <c r="U298" s="122">
        <f>IF($A298="","",(IF(ISNUMBER(SEARCH("Proposal",$A298)),SUMIFS('Timesheet Raw'!$P$4:$P$8000,'Timesheet Raw'!$A$4:$A$8000,IF(ISNUMBER(SEARCH("Chargable",$A298)),"2-Proposals Chargeable","3-Proposals Regular"),'Timesheet Raw'!$C$4:$C$8000,"*"&amp;$B298&amp;"*",'Timesheet Raw'!$L$4:$L$8000,"&gt;="&amp;MAX(U$5,DATE(2000+VALUE(RIGHT(TRIM($A298),2)),1,1)),'Timesheet Raw'!$L$4:$L$8000,"&lt;="&amp;MIN(U$6,DATE(2000+VALUE(RIGHT(TRIM($A298),2)),12,31))),SUMIFS('Timesheet Raw'!$P$4:$P$8000,'Timesheet Raw'!$B$4:$B$8000,TRIM($A298),'Timesheet Raw'!$C$4:$C$8000,"*"&amp;$B298&amp;"*",'Timesheet Raw'!$L$4:$L$8000,"&gt;="&amp;U$5,'Timesheet Raw'!$L$4:$L$8000,"&lt;="&amp;U$6)))/'Profit Plan'!$B$5)</f>
        <v>0</v>
      </c>
      <c r="V298" s="122">
        <f>IF($A298="","",(IF(ISNUMBER(SEARCH("Proposal",$A298)),SUMIFS('Timesheet Raw'!$P$4:$P$8000,'Timesheet Raw'!$A$4:$A$8000,IF(ISNUMBER(SEARCH("Chargable",$A298)),"2-Proposals Chargeable","3-Proposals Regular"),'Timesheet Raw'!$C$4:$C$8000,"*"&amp;$B298&amp;"*",'Timesheet Raw'!$L$4:$L$8000,"&gt;="&amp;MAX(V$5,DATE(2000+VALUE(RIGHT(TRIM($A298),2)),1,1)),'Timesheet Raw'!$L$4:$L$8000,"&lt;="&amp;MIN(V$6,DATE(2000+VALUE(RIGHT(TRIM($A298),2)),12,31))),SUMIFS('Timesheet Raw'!$P$4:$P$8000,'Timesheet Raw'!$B$4:$B$8000,TRIM($A298),'Timesheet Raw'!$C$4:$C$8000,"*"&amp;$B298&amp;"*",'Timesheet Raw'!$L$4:$L$8000,"&gt;="&amp;V$5,'Timesheet Raw'!$L$4:$L$8000,"&lt;="&amp;V$6)))/'Profit Plan'!$B$5)</f>
        <v>0</v>
      </c>
      <c r="W298" s="122">
        <f>IF($A298="","",(IF(ISNUMBER(SEARCH("Proposal",$A298)),SUMIFS('Timesheet Raw'!$P$4:$P$8000,'Timesheet Raw'!$A$4:$A$8000,IF(ISNUMBER(SEARCH("Chargable",$A298)),"2-Proposals Chargeable","3-Proposals Regular"),'Timesheet Raw'!$C$4:$C$8000,"*"&amp;$B298&amp;"*",'Timesheet Raw'!$L$4:$L$8000,"&gt;="&amp;MAX(W$5,DATE(2000+VALUE(RIGHT(TRIM($A298),2)),1,1)),'Timesheet Raw'!$L$4:$L$8000,"&lt;="&amp;MIN(W$6,DATE(2000+VALUE(RIGHT(TRIM($A298),2)),12,31))),SUMIFS('Timesheet Raw'!$P$4:$P$8000,'Timesheet Raw'!$B$4:$B$8000,TRIM($A298),'Timesheet Raw'!$C$4:$C$8000,"*"&amp;$B298&amp;"*",'Timesheet Raw'!$L$4:$L$8000,"&gt;="&amp;W$5,'Timesheet Raw'!$L$4:$L$8000,"&lt;="&amp;W$6)))/'Profit Plan'!$B$5)</f>
        <v>0</v>
      </c>
      <c r="X298" s="122">
        <f>IF($A298="","",(IF(ISNUMBER(SEARCH("Proposal",$A298)),SUMIFS('Timesheet Raw'!$P$4:$P$8000,'Timesheet Raw'!$A$4:$A$8000,IF(ISNUMBER(SEARCH("Chargable",$A298)),"2-Proposals Chargeable","3-Proposals Regular"),'Timesheet Raw'!$C$4:$C$8000,"*"&amp;$B298&amp;"*",'Timesheet Raw'!$L$4:$L$8000,"&gt;="&amp;MAX(X$5,DATE(2000+VALUE(RIGHT(TRIM($A298),2)),1,1)),'Timesheet Raw'!$L$4:$L$8000,"&lt;="&amp;MIN(X$6,DATE(2000+VALUE(RIGHT(TRIM($A298),2)),12,31))),SUMIFS('Timesheet Raw'!$P$4:$P$8000,'Timesheet Raw'!$B$4:$B$8000,TRIM($A298),'Timesheet Raw'!$C$4:$C$8000,"*"&amp;$B298&amp;"*",'Timesheet Raw'!$L$4:$L$8000,"&gt;="&amp;X$5,'Timesheet Raw'!$L$4:$L$8000,"&lt;="&amp;X$6)))/'Profit Plan'!$B$5)</f>
        <v>0</v>
      </c>
      <c r="Y298" s="118">
        <f t="shared" si="100"/>
        <v>0</v>
      </c>
    </row>
    <row r="299" spans="1:25" x14ac:dyDescent="0.3">
      <c r="A299" s="116" t="str">
        <f>IF(Inputs!$A17="","",Inputs!$A17)</f>
        <v>E24181-0100D</v>
      </c>
      <c r="B299" s="116" t="str">
        <f>IF(Inputs!$A17="","",Inputs!$A$92)</f>
        <v>Osama</v>
      </c>
      <c r="C299" s="116"/>
      <c r="D299" s="122">
        <f>IF($A299="","",(IF(ISNUMBER(SEARCH("Proposal",$A299)),SUMIFS('Timesheet Raw'!$P$4:$P$8000,'Timesheet Raw'!$A$4:$A$8000,IF(ISNUMBER(SEARCH("Chargable",$A299)),"2-Proposals Chargeable","3-Proposals Regular"),'Timesheet Raw'!$C$4:$C$8000,"*"&amp;$B299&amp;"*",'Timesheet Raw'!$L$4:$L$8000,"&gt;="&amp;MAX(D$5,DATE(2000+VALUE(RIGHT(TRIM($A299),2)),1,1)),'Timesheet Raw'!$L$4:$L$8000,"&lt;="&amp;MIN(D$6,DATE(2000+VALUE(RIGHT(TRIM($A299),2)),12,31))),SUMIFS('Timesheet Raw'!$P$4:$P$8000,'Timesheet Raw'!$B$4:$B$8000,TRIM($A299),'Timesheet Raw'!$C$4:$C$8000,"*"&amp;$B299&amp;"*",'Timesheet Raw'!$L$4:$L$8000,"&gt;="&amp;D$5,'Timesheet Raw'!$L$4:$L$8000,"&lt;="&amp;D$6)))/'Profit Plan'!$B$5)</f>
        <v>0</v>
      </c>
      <c r="E299" s="122">
        <f>IF($A299="","",(IF(ISNUMBER(SEARCH("Proposal",$A299)),SUMIFS('Timesheet Raw'!$P$4:$P$8000,'Timesheet Raw'!$A$4:$A$8000,IF(ISNUMBER(SEARCH("Chargable",$A299)),"2-Proposals Chargeable","3-Proposals Regular"),'Timesheet Raw'!$C$4:$C$8000,"*"&amp;$B299&amp;"*",'Timesheet Raw'!$L$4:$L$8000,"&gt;="&amp;MAX(E$5,DATE(2000+VALUE(RIGHT(TRIM($A299),2)),1,1)),'Timesheet Raw'!$L$4:$L$8000,"&lt;="&amp;MIN(E$6,DATE(2000+VALUE(RIGHT(TRIM($A299),2)),12,31))),SUMIFS('Timesheet Raw'!$P$4:$P$8000,'Timesheet Raw'!$B$4:$B$8000,TRIM($A299),'Timesheet Raw'!$C$4:$C$8000,"*"&amp;$B299&amp;"*",'Timesheet Raw'!$L$4:$L$8000,"&gt;="&amp;E$5,'Timesheet Raw'!$L$4:$L$8000,"&lt;="&amp;E$6)))/'Profit Plan'!$B$5)</f>
        <v>0</v>
      </c>
      <c r="F299" s="122">
        <f>IF($A299="","",(IF(ISNUMBER(SEARCH("Proposal",$A299)),SUMIFS('Timesheet Raw'!$P$4:$P$8000,'Timesheet Raw'!$A$4:$A$8000,IF(ISNUMBER(SEARCH("Chargable",$A299)),"2-Proposals Chargeable","3-Proposals Regular"),'Timesheet Raw'!$C$4:$C$8000,"*"&amp;$B299&amp;"*",'Timesheet Raw'!$L$4:$L$8000,"&gt;="&amp;MAX(F$5,DATE(2000+VALUE(RIGHT(TRIM($A299),2)),1,1)),'Timesheet Raw'!$L$4:$L$8000,"&lt;="&amp;MIN(F$6,DATE(2000+VALUE(RIGHT(TRIM($A299),2)),12,31))),SUMIFS('Timesheet Raw'!$P$4:$P$8000,'Timesheet Raw'!$B$4:$B$8000,TRIM($A299),'Timesheet Raw'!$C$4:$C$8000,"*"&amp;$B299&amp;"*",'Timesheet Raw'!$L$4:$L$8000,"&gt;="&amp;F$5,'Timesheet Raw'!$L$4:$L$8000,"&lt;="&amp;F$6)))/'Profit Plan'!$B$5)</f>
        <v>0</v>
      </c>
      <c r="G299" s="122">
        <f>IF($A299="","",(IF(ISNUMBER(SEARCH("Proposal",$A299)),SUMIFS('Timesheet Raw'!$P$4:$P$8000,'Timesheet Raw'!$A$4:$A$8000,IF(ISNUMBER(SEARCH("Chargable",$A299)),"2-Proposals Chargeable","3-Proposals Regular"),'Timesheet Raw'!$C$4:$C$8000,"*"&amp;$B299&amp;"*",'Timesheet Raw'!$L$4:$L$8000,"&gt;="&amp;MAX(G$5,DATE(2000+VALUE(RIGHT(TRIM($A299),2)),1,1)),'Timesheet Raw'!$L$4:$L$8000,"&lt;="&amp;MIN(G$6,DATE(2000+VALUE(RIGHT(TRIM($A299),2)),12,31))),SUMIFS('Timesheet Raw'!$P$4:$P$8000,'Timesheet Raw'!$B$4:$B$8000,TRIM($A299),'Timesheet Raw'!$C$4:$C$8000,"*"&amp;$B299&amp;"*",'Timesheet Raw'!$L$4:$L$8000,"&gt;="&amp;G$5,'Timesheet Raw'!$L$4:$L$8000,"&lt;="&amp;G$6)))/'Profit Plan'!$B$5)</f>
        <v>0</v>
      </c>
      <c r="H299" s="122">
        <f>IF($A299="","",(IF(ISNUMBER(SEARCH("Proposal",$A299)),SUMIFS('Timesheet Raw'!$P$4:$P$8000,'Timesheet Raw'!$A$4:$A$8000,IF(ISNUMBER(SEARCH("Chargable",$A299)),"2-Proposals Chargeable","3-Proposals Regular"),'Timesheet Raw'!$C$4:$C$8000,"*"&amp;$B299&amp;"*",'Timesheet Raw'!$L$4:$L$8000,"&gt;="&amp;MAX(H$5,DATE(2000+VALUE(RIGHT(TRIM($A299),2)),1,1)),'Timesheet Raw'!$L$4:$L$8000,"&lt;="&amp;MIN(H$6,DATE(2000+VALUE(RIGHT(TRIM($A299),2)),12,31))),SUMIFS('Timesheet Raw'!$P$4:$P$8000,'Timesheet Raw'!$B$4:$B$8000,TRIM($A299),'Timesheet Raw'!$C$4:$C$8000,"*"&amp;$B299&amp;"*",'Timesheet Raw'!$L$4:$L$8000,"&gt;="&amp;H$5,'Timesheet Raw'!$L$4:$L$8000,"&lt;="&amp;H$6)))/'Profit Plan'!$B$5)</f>
        <v>0</v>
      </c>
      <c r="I299" s="122">
        <f>IF($A299="","",(IF(ISNUMBER(SEARCH("Proposal",$A299)),SUMIFS('Timesheet Raw'!$P$4:$P$8000,'Timesheet Raw'!$A$4:$A$8000,IF(ISNUMBER(SEARCH("Chargable",$A299)),"2-Proposals Chargeable","3-Proposals Regular"),'Timesheet Raw'!$C$4:$C$8000,"*"&amp;$B299&amp;"*",'Timesheet Raw'!$L$4:$L$8000,"&gt;="&amp;MAX(I$5,DATE(2000+VALUE(RIGHT(TRIM($A299),2)),1,1)),'Timesheet Raw'!$L$4:$L$8000,"&lt;="&amp;MIN(I$6,DATE(2000+VALUE(RIGHT(TRIM($A299),2)),12,31))),SUMIFS('Timesheet Raw'!$P$4:$P$8000,'Timesheet Raw'!$B$4:$B$8000,TRIM($A299),'Timesheet Raw'!$C$4:$C$8000,"*"&amp;$B299&amp;"*",'Timesheet Raw'!$L$4:$L$8000,"&gt;="&amp;I$5,'Timesheet Raw'!$L$4:$L$8000,"&lt;="&amp;I$6)))/'Profit Plan'!$B$5)</f>
        <v>0</v>
      </c>
      <c r="J299" s="122">
        <f>IF($A299="","",(IF(ISNUMBER(SEARCH("Proposal",$A299)),SUMIFS('Timesheet Raw'!$P$4:$P$8000,'Timesheet Raw'!$A$4:$A$8000,IF(ISNUMBER(SEARCH("Chargable",$A299)),"2-Proposals Chargeable","3-Proposals Regular"),'Timesheet Raw'!$C$4:$C$8000,"*"&amp;$B299&amp;"*",'Timesheet Raw'!$L$4:$L$8000,"&gt;="&amp;MAX(J$5,DATE(2000+VALUE(RIGHT(TRIM($A299),2)),1,1)),'Timesheet Raw'!$L$4:$L$8000,"&lt;="&amp;MIN(J$6,DATE(2000+VALUE(RIGHT(TRIM($A299),2)),12,31))),SUMIFS('Timesheet Raw'!$P$4:$P$8000,'Timesheet Raw'!$B$4:$B$8000,TRIM($A299),'Timesheet Raw'!$C$4:$C$8000,"*"&amp;$B299&amp;"*",'Timesheet Raw'!$L$4:$L$8000,"&gt;="&amp;J$5,'Timesheet Raw'!$L$4:$L$8000,"&lt;="&amp;J$6)))/'Profit Plan'!$B$5)</f>
        <v>0</v>
      </c>
      <c r="K299" s="122">
        <f>IF($A299="","",(IF(ISNUMBER(SEARCH("Proposal",$A299)),SUMIFS('Timesheet Raw'!$P$4:$P$8000,'Timesheet Raw'!$A$4:$A$8000,IF(ISNUMBER(SEARCH("Chargable",$A299)),"2-Proposals Chargeable","3-Proposals Regular"),'Timesheet Raw'!$C$4:$C$8000,"*"&amp;$B299&amp;"*",'Timesheet Raw'!$L$4:$L$8000,"&gt;="&amp;MAX(K$5,DATE(2000+VALUE(RIGHT(TRIM($A299),2)),1,1)),'Timesheet Raw'!$L$4:$L$8000,"&lt;="&amp;MIN(K$6,DATE(2000+VALUE(RIGHT(TRIM($A299),2)),12,31))),SUMIFS('Timesheet Raw'!$P$4:$P$8000,'Timesheet Raw'!$B$4:$B$8000,TRIM($A299),'Timesheet Raw'!$C$4:$C$8000,"*"&amp;$B299&amp;"*",'Timesheet Raw'!$L$4:$L$8000,"&gt;="&amp;K$5,'Timesheet Raw'!$L$4:$L$8000,"&lt;="&amp;K$6)))/'Profit Plan'!$B$5)</f>
        <v>0</v>
      </c>
      <c r="L299" s="122">
        <f>IF($A299="","",(IF(ISNUMBER(SEARCH("Proposal",$A299)),SUMIFS('Timesheet Raw'!$P$4:$P$8000,'Timesheet Raw'!$A$4:$A$8000,IF(ISNUMBER(SEARCH("Chargable",$A299)),"2-Proposals Chargeable","3-Proposals Regular"),'Timesheet Raw'!$C$4:$C$8000,"*"&amp;$B299&amp;"*",'Timesheet Raw'!$L$4:$L$8000,"&gt;="&amp;MAX(L$5,DATE(2000+VALUE(RIGHT(TRIM($A299),2)),1,1)),'Timesheet Raw'!$L$4:$L$8000,"&lt;="&amp;MIN(L$6,DATE(2000+VALUE(RIGHT(TRIM($A299),2)),12,31))),SUMIFS('Timesheet Raw'!$P$4:$P$8000,'Timesheet Raw'!$B$4:$B$8000,TRIM($A299),'Timesheet Raw'!$C$4:$C$8000,"*"&amp;$B299&amp;"*",'Timesheet Raw'!$L$4:$L$8000,"&gt;="&amp;L$5,'Timesheet Raw'!$L$4:$L$8000,"&lt;="&amp;L$6)))/'Profit Plan'!$B$5)</f>
        <v>0</v>
      </c>
      <c r="M299" s="122">
        <f>IF($A299="","",(IF(ISNUMBER(SEARCH("Proposal",$A299)),SUMIFS('Timesheet Raw'!$P$4:$P$8000,'Timesheet Raw'!$A$4:$A$8000,IF(ISNUMBER(SEARCH("Chargable",$A299)),"2-Proposals Chargeable","3-Proposals Regular"),'Timesheet Raw'!$C$4:$C$8000,"*"&amp;$B299&amp;"*",'Timesheet Raw'!$L$4:$L$8000,"&gt;="&amp;MAX(M$5,DATE(2000+VALUE(RIGHT(TRIM($A299),2)),1,1)),'Timesheet Raw'!$L$4:$L$8000,"&lt;="&amp;MIN(M$6,DATE(2000+VALUE(RIGHT(TRIM($A299),2)),12,31))),SUMIFS('Timesheet Raw'!$P$4:$P$8000,'Timesheet Raw'!$B$4:$B$8000,TRIM($A299),'Timesheet Raw'!$C$4:$C$8000,"*"&amp;$B299&amp;"*",'Timesheet Raw'!$L$4:$L$8000,"&gt;="&amp;M$5,'Timesheet Raw'!$L$4:$L$8000,"&lt;="&amp;M$6)))/'Profit Plan'!$B$5)</f>
        <v>0</v>
      </c>
      <c r="N299" s="122">
        <f>IF($A299="","",(IF(ISNUMBER(SEARCH("Proposal",$A299)),SUMIFS('Timesheet Raw'!$P$4:$P$8000,'Timesheet Raw'!$A$4:$A$8000,IF(ISNUMBER(SEARCH("Chargable",$A299)),"2-Proposals Chargeable","3-Proposals Regular"),'Timesheet Raw'!$C$4:$C$8000,"*"&amp;$B299&amp;"*",'Timesheet Raw'!$L$4:$L$8000,"&gt;="&amp;MAX(N$5,DATE(2000+VALUE(RIGHT(TRIM($A299),2)),1,1)),'Timesheet Raw'!$L$4:$L$8000,"&lt;="&amp;MIN(N$6,DATE(2000+VALUE(RIGHT(TRIM($A299),2)),12,31))),SUMIFS('Timesheet Raw'!$P$4:$P$8000,'Timesheet Raw'!$B$4:$B$8000,TRIM($A299),'Timesheet Raw'!$C$4:$C$8000,"*"&amp;$B299&amp;"*",'Timesheet Raw'!$L$4:$L$8000,"&gt;="&amp;N$5,'Timesheet Raw'!$L$4:$L$8000,"&lt;="&amp;N$6)))/'Profit Plan'!$B$5)</f>
        <v>0</v>
      </c>
      <c r="O299" s="122">
        <f>IF($A299="","",(IF(ISNUMBER(SEARCH("Proposal",$A299)),SUMIFS('Timesheet Raw'!$P$4:$P$8000,'Timesheet Raw'!$A$4:$A$8000,IF(ISNUMBER(SEARCH("Chargable",$A299)),"2-Proposals Chargeable","3-Proposals Regular"),'Timesheet Raw'!$C$4:$C$8000,"*"&amp;$B299&amp;"*",'Timesheet Raw'!$L$4:$L$8000,"&gt;="&amp;MAX(O$5,DATE(2000+VALUE(RIGHT(TRIM($A299),2)),1,1)),'Timesheet Raw'!$L$4:$L$8000,"&lt;="&amp;MIN(O$6,DATE(2000+VALUE(RIGHT(TRIM($A299),2)),12,31))),SUMIFS('Timesheet Raw'!$P$4:$P$8000,'Timesheet Raw'!$B$4:$B$8000,TRIM($A299),'Timesheet Raw'!$C$4:$C$8000,"*"&amp;$B299&amp;"*",'Timesheet Raw'!$L$4:$L$8000,"&gt;="&amp;O$5,'Timesheet Raw'!$L$4:$L$8000,"&lt;="&amp;O$6)))/'Profit Plan'!$B$5)</f>
        <v>0</v>
      </c>
      <c r="P299" s="122">
        <f>IF($A299="","",(IF(ISNUMBER(SEARCH("Proposal",$A299)),SUMIFS('Timesheet Raw'!$P$4:$P$8000,'Timesheet Raw'!$A$4:$A$8000,IF(ISNUMBER(SEARCH("Chargable",$A299)),"2-Proposals Chargeable","3-Proposals Regular"),'Timesheet Raw'!$C$4:$C$8000,"*"&amp;$B299&amp;"*",'Timesheet Raw'!$L$4:$L$8000,"&gt;="&amp;MAX(P$5,DATE(2000+VALUE(RIGHT(TRIM($A299),2)),1,1)),'Timesheet Raw'!$L$4:$L$8000,"&lt;="&amp;MIN(P$6,DATE(2000+VALUE(RIGHT(TRIM($A299),2)),12,31))),SUMIFS('Timesheet Raw'!$P$4:$P$8000,'Timesheet Raw'!$B$4:$B$8000,TRIM($A299),'Timesheet Raw'!$C$4:$C$8000,"*"&amp;$B299&amp;"*",'Timesheet Raw'!$L$4:$L$8000,"&gt;="&amp;P$5,'Timesheet Raw'!$L$4:$L$8000,"&lt;="&amp;P$6)))/'Profit Plan'!$B$5)</f>
        <v>0</v>
      </c>
      <c r="Q299" s="122">
        <f>IF($A299="","",(IF(ISNUMBER(SEARCH("Proposal",$A299)),SUMIFS('Timesheet Raw'!$P$4:$P$8000,'Timesheet Raw'!$A$4:$A$8000,IF(ISNUMBER(SEARCH("Chargable",$A299)),"2-Proposals Chargeable","3-Proposals Regular"),'Timesheet Raw'!$C$4:$C$8000,"*"&amp;$B299&amp;"*",'Timesheet Raw'!$L$4:$L$8000,"&gt;="&amp;MAX(Q$5,DATE(2000+VALUE(RIGHT(TRIM($A299),2)),1,1)),'Timesheet Raw'!$L$4:$L$8000,"&lt;="&amp;MIN(Q$6,DATE(2000+VALUE(RIGHT(TRIM($A299),2)),12,31))),SUMIFS('Timesheet Raw'!$P$4:$P$8000,'Timesheet Raw'!$B$4:$B$8000,TRIM($A299),'Timesheet Raw'!$C$4:$C$8000,"*"&amp;$B299&amp;"*",'Timesheet Raw'!$L$4:$L$8000,"&gt;="&amp;Q$5,'Timesheet Raw'!$L$4:$L$8000,"&lt;="&amp;Q$6)))/'Profit Plan'!$B$5)</f>
        <v>0</v>
      </c>
      <c r="R299" s="122">
        <f>IF($A299="","",(IF(ISNUMBER(SEARCH("Proposal",$A299)),SUMIFS('Timesheet Raw'!$P$4:$P$8000,'Timesheet Raw'!$A$4:$A$8000,IF(ISNUMBER(SEARCH("Chargable",$A299)),"2-Proposals Chargeable","3-Proposals Regular"),'Timesheet Raw'!$C$4:$C$8000,"*"&amp;$B299&amp;"*",'Timesheet Raw'!$L$4:$L$8000,"&gt;="&amp;MAX(R$5,DATE(2000+VALUE(RIGHT(TRIM($A299),2)),1,1)),'Timesheet Raw'!$L$4:$L$8000,"&lt;="&amp;MIN(R$6,DATE(2000+VALUE(RIGHT(TRIM($A299),2)),12,31))),SUMIFS('Timesheet Raw'!$P$4:$P$8000,'Timesheet Raw'!$B$4:$B$8000,TRIM($A299),'Timesheet Raw'!$C$4:$C$8000,"*"&amp;$B299&amp;"*",'Timesheet Raw'!$L$4:$L$8000,"&gt;="&amp;R$5,'Timesheet Raw'!$L$4:$L$8000,"&lt;="&amp;R$6)))/'Profit Plan'!$B$5)</f>
        <v>0</v>
      </c>
      <c r="S299" s="122">
        <f>IF($A299="","",(IF(ISNUMBER(SEARCH("Proposal",$A299)),SUMIFS('Timesheet Raw'!$P$4:$P$8000,'Timesheet Raw'!$A$4:$A$8000,IF(ISNUMBER(SEARCH("Chargable",$A299)),"2-Proposals Chargeable","3-Proposals Regular"),'Timesheet Raw'!$C$4:$C$8000,"*"&amp;$B299&amp;"*",'Timesheet Raw'!$L$4:$L$8000,"&gt;="&amp;MAX(S$5,DATE(2000+VALUE(RIGHT(TRIM($A299),2)),1,1)),'Timesheet Raw'!$L$4:$L$8000,"&lt;="&amp;MIN(S$6,DATE(2000+VALUE(RIGHT(TRIM($A299),2)),12,31))),SUMIFS('Timesheet Raw'!$P$4:$P$8000,'Timesheet Raw'!$B$4:$B$8000,TRIM($A299),'Timesheet Raw'!$C$4:$C$8000,"*"&amp;$B299&amp;"*",'Timesheet Raw'!$L$4:$L$8000,"&gt;="&amp;S$5,'Timesheet Raw'!$L$4:$L$8000,"&lt;="&amp;S$6)))/'Profit Plan'!$B$5)</f>
        <v>0</v>
      </c>
      <c r="T299" s="122">
        <f>IF($A299="","",(IF(ISNUMBER(SEARCH("Proposal",$A299)),SUMIFS('Timesheet Raw'!$P$4:$P$8000,'Timesheet Raw'!$A$4:$A$8000,IF(ISNUMBER(SEARCH("Chargable",$A299)),"2-Proposals Chargeable","3-Proposals Regular"),'Timesheet Raw'!$C$4:$C$8000,"*"&amp;$B299&amp;"*",'Timesheet Raw'!$L$4:$L$8000,"&gt;="&amp;MAX(T$5,DATE(2000+VALUE(RIGHT(TRIM($A299),2)),1,1)),'Timesheet Raw'!$L$4:$L$8000,"&lt;="&amp;MIN(T$6,DATE(2000+VALUE(RIGHT(TRIM($A299),2)),12,31))),SUMIFS('Timesheet Raw'!$P$4:$P$8000,'Timesheet Raw'!$B$4:$B$8000,TRIM($A299),'Timesheet Raw'!$C$4:$C$8000,"*"&amp;$B299&amp;"*",'Timesheet Raw'!$L$4:$L$8000,"&gt;="&amp;T$5,'Timesheet Raw'!$L$4:$L$8000,"&lt;="&amp;T$6)))/'Profit Plan'!$B$5)</f>
        <v>0</v>
      </c>
      <c r="U299" s="122">
        <f>IF($A299="","",(IF(ISNUMBER(SEARCH("Proposal",$A299)),SUMIFS('Timesheet Raw'!$P$4:$P$8000,'Timesheet Raw'!$A$4:$A$8000,IF(ISNUMBER(SEARCH("Chargable",$A299)),"2-Proposals Chargeable","3-Proposals Regular"),'Timesheet Raw'!$C$4:$C$8000,"*"&amp;$B299&amp;"*",'Timesheet Raw'!$L$4:$L$8000,"&gt;="&amp;MAX(U$5,DATE(2000+VALUE(RIGHT(TRIM($A299),2)),1,1)),'Timesheet Raw'!$L$4:$L$8000,"&lt;="&amp;MIN(U$6,DATE(2000+VALUE(RIGHT(TRIM($A299),2)),12,31))),SUMIFS('Timesheet Raw'!$P$4:$P$8000,'Timesheet Raw'!$B$4:$B$8000,TRIM($A299),'Timesheet Raw'!$C$4:$C$8000,"*"&amp;$B299&amp;"*",'Timesheet Raw'!$L$4:$L$8000,"&gt;="&amp;U$5,'Timesheet Raw'!$L$4:$L$8000,"&lt;="&amp;U$6)))/'Profit Plan'!$B$5)</f>
        <v>0</v>
      </c>
      <c r="V299" s="122">
        <f>IF($A299="","",(IF(ISNUMBER(SEARCH("Proposal",$A299)),SUMIFS('Timesheet Raw'!$P$4:$P$8000,'Timesheet Raw'!$A$4:$A$8000,IF(ISNUMBER(SEARCH("Chargable",$A299)),"2-Proposals Chargeable","3-Proposals Regular"),'Timesheet Raw'!$C$4:$C$8000,"*"&amp;$B299&amp;"*",'Timesheet Raw'!$L$4:$L$8000,"&gt;="&amp;MAX(V$5,DATE(2000+VALUE(RIGHT(TRIM($A299),2)),1,1)),'Timesheet Raw'!$L$4:$L$8000,"&lt;="&amp;MIN(V$6,DATE(2000+VALUE(RIGHT(TRIM($A299),2)),12,31))),SUMIFS('Timesheet Raw'!$P$4:$P$8000,'Timesheet Raw'!$B$4:$B$8000,TRIM($A299),'Timesheet Raw'!$C$4:$C$8000,"*"&amp;$B299&amp;"*",'Timesheet Raw'!$L$4:$L$8000,"&gt;="&amp;V$5,'Timesheet Raw'!$L$4:$L$8000,"&lt;="&amp;V$6)))/'Profit Plan'!$B$5)</f>
        <v>0</v>
      </c>
      <c r="W299" s="122">
        <f>IF($A299="","",(IF(ISNUMBER(SEARCH("Proposal",$A299)),SUMIFS('Timesheet Raw'!$P$4:$P$8000,'Timesheet Raw'!$A$4:$A$8000,IF(ISNUMBER(SEARCH("Chargable",$A299)),"2-Proposals Chargeable","3-Proposals Regular"),'Timesheet Raw'!$C$4:$C$8000,"*"&amp;$B299&amp;"*",'Timesheet Raw'!$L$4:$L$8000,"&gt;="&amp;MAX(W$5,DATE(2000+VALUE(RIGHT(TRIM($A299),2)),1,1)),'Timesheet Raw'!$L$4:$L$8000,"&lt;="&amp;MIN(W$6,DATE(2000+VALUE(RIGHT(TRIM($A299),2)),12,31))),SUMIFS('Timesheet Raw'!$P$4:$P$8000,'Timesheet Raw'!$B$4:$B$8000,TRIM($A299),'Timesheet Raw'!$C$4:$C$8000,"*"&amp;$B299&amp;"*",'Timesheet Raw'!$L$4:$L$8000,"&gt;="&amp;W$5,'Timesheet Raw'!$L$4:$L$8000,"&lt;="&amp;W$6)))/'Profit Plan'!$B$5)</f>
        <v>0</v>
      </c>
      <c r="X299" s="122">
        <f>IF($A299="","",(IF(ISNUMBER(SEARCH("Proposal",$A299)),SUMIFS('Timesheet Raw'!$P$4:$P$8000,'Timesheet Raw'!$A$4:$A$8000,IF(ISNUMBER(SEARCH("Chargable",$A299)),"2-Proposals Chargeable","3-Proposals Regular"),'Timesheet Raw'!$C$4:$C$8000,"*"&amp;$B299&amp;"*",'Timesheet Raw'!$L$4:$L$8000,"&gt;="&amp;MAX(X$5,DATE(2000+VALUE(RIGHT(TRIM($A299),2)),1,1)),'Timesheet Raw'!$L$4:$L$8000,"&lt;="&amp;MIN(X$6,DATE(2000+VALUE(RIGHT(TRIM($A299),2)),12,31))),SUMIFS('Timesheet Raw'!$P$4:$P$8000,'Timesheet Raw'!$B$4:$B$8000,TRIM($A299),'Timesheet Raw'!$C$4:$C$8000,"*"&amp;$B299&amp;"*",'Timesheet Raw'!$L$4:$L$8000,"&gt;="&amp;X$5,'Timesheet Raw'!$L$4:$L$8000,"&lt;="&amp;X$6)))/'Profit Plan'!$B$5)</f>
        <v>0</v>
      </c>
      <c r="Y299" s="118">
        <f t="shared" si="100"/>
        <v>0</v>
      </c>
    </row>
    <row r="300" spans="1:25" x14ac:dyDescent="0.3">
      <c r="A300" s="116" t="str">
        <f>IF(Inputs!$A17="","",Inputs!$A17)</f>
        <v>E24181-0100D</v>
      </c>
      <c r="B300" s="116" t="str">
        <f>IF(Inputs!$A17="","",Inputs!$A$93)</f>
        <v>Kirolos</v>
      </c>
      <c r="C300" s="116"/>
      <c r="D300" s="122">
        <f>IF($A300="","",(IF(ISNUMBER(SEARCH("Proposal",$A300)),SUMIFS('Timesheet Raw'!$P$4:$P$8000,'Timesheet Raw'!$A$4:$A$8000,IF(ISNUMBER(SEARCH("Chargable",$A300)),"2-Proposals Chargeable","3-Proposals Regular"),'Timesheet Raw'!$C$4:$C$8000,"*"&amp;$B300&amp;"*",'Timesheet Raw'!$L$4:$L$8000,"&gt;="&amp;MAX(D$5,DATE(2000+VALUE(RIGHT(TRIM($A300),2)),1,1)),'Timesheet Raw'!$L$4:$L$8000,"&lt;="&amp;MIN(D$6,DATE(2000+VALUE(RIGHT(TRIM($A300),2)),12,31))),SUMIFS('Timesheet Raw'!$P$4:$P$8000,'Timesheet Raw'!$B$4:$B$8000,TRIM($A300),'Timesheet Raw'!$C$4:$C$8000,"*"&amp;$B300&amp;"*",'Timesheet Raw'!$L$4:$L$8000,"&gt;="&amp;D$5,'Timesheet Raw'!$L$4:$L$8000,"&lt;="&amp;D$6)))/'Profit Plan'!$B$5)</f>
        <v>0</v>
      </c>
      <c r="E300" s="122">
        <f>IF($A300="","",(IF(ISNUMBER(SEARCH("Proposal",$A300)),SUMIFS('Timesheet Raw'!$P$4:$P$8000,'Timesheet Raw'!$A$4:$A$8000,IF(ISNUMBER(SEARCH("Chargable",$A300)),"2-Proposals Chargeable","3-Proposals Regular"),'Timesheet Raw'!$C$4:$C$8000,"*"&amp;$B300&amp;"*",'Timesheet Raw'!$L$4:$L$8000,"&gt;="&amp;MAX(E$5,DATE(2000+VALUE(RIGHT(TRIM($A300),2)),1,1)),'Timesheet Raw'!$L$4:$L$8000,"&lt;="&amp;MIN(E$6,DATE(2000+VALUE(RIGHT(TRIM($A300),2)),12,31))),SUMIFS('Timesheet Raw'!$P$4:$P$8000,'Timesheet Raw'!$B$4:$B$8000,TRIM($A300),'Timesheet Raw'!$C$4:$C$8000,"*"&amp;$B300&amp;"*",'Timesheet Raw'!$L$4:$L$8000,"&gt;="&amp;E$5,'Timesheet Raw'!$L$4:$L$8000,"&lt;="&amp;E$6)))/'Profit Plan'!$B$5)</f>
        <v>0</v>
      </c>
      <c r="F300" s="122">
        <f>IF($A300="","",(IF(ISNUMBER(SEARCH("Proposal",$A300)),SUMIFS('Timesheet Raw'!$P$4:$P$8000,'Timesheet Raw'!$A$4:$A$8000,IF(ISNUMBER(SEARCH("Chargable",$A300)),"2-Proposals Chargeable","3-Proposals Regular"),'Timesheet Raw'!$C$4:$C$8000,"*"&amp;$B300&amp;"*",'Timesheet Raw'!$L$4:$L$8000,"&gt;="&amp;MAX(F$5,DATE(2000+VALUE(RIGHT(TRIM($A300),2)),1,1)),'Timesheet Raw'!$L$4:$L$8000,"&lt;="&amp;MIN(F$6,DATE(2000+VALUE(RIGHT(TRIM($A300),2)),12,31))),SUMIFS('Timesheet Raw'!$P$4:$P$8000,'Timesheet Raw'!$B$4:$B$8000,TRIM($A300),'Timesheet Raw'!$C$4:$C$8000,"*"&amp;$B300&amp;"*",'Timesheet Raw'!$L$4:$L$8000,"&gt;="&amp;F$5,'Timesheet Raw'!$L$4:$L$8000,"&lt;="&amp;F$6)))/'Profit Plan'!$B$5)</f>
        <v>0</v>
      </c>
      <c r="G300" s="122">
        <f>IF($A300="","",(IF(ISNUMBER(SEARCH("Proposal",$A300)),SUMIFS('Timesheet Raw'!$P$4:$P$8000,'Timesheet Raw'!$A$4:$A$8000,IF(ISNUMBER(SEARCH("Chargable",$A300)),"2-Proposals Chargeable","3-Proposals Regular"),'Timesheet Raw'!$C$4:$C$8000,"*"&amp;$B300&amp;"*",'Timesheet Raw'!$L$4:$L$8000,"&gt;="&amp;MAX(G$5,DATE(2000+VALUE(RIGHT(TRIM($A300),2)),1,1)),'Timesheet Raw'!$L$4:$L$8000,"&lt;="&amp;MIN(G$6,DATE(2000+VALUE(RIGHT(TRIM($A300),2)),12,31))),SUMIFS('Timesheet Raw'!$P$4:$P$8000,'Timesheet Raw'!$B$4:$B$8000,TRIM($A300),'Timesheet Raw'!$C$4:$C$8000,"*"&amp;$B300&amp;"*",'Timesheet Raw'!$L$4:$L$8000,"&gt;="&amp;G$5,'Timesheet Raw'!$L$4:$L$8000,"&lt;="&amp;G$6)))/'Profit Plan'!$B$5)</f>
        <v>0</v>
      </c>
      <c r="H300" s="122">
        <f>IF($A300="","",(IF(ISNUMBER(SEARCH("Proposal",$A300)),SUMIFS('Timesheet Raw'!$P$4:$P$8000,'Timesheet Raw'!$A$4:$A$8000,IF(ISNUMBER(SEARCH("Chargable",$A300)),"2-Proposals Chargeable","3-Proposals Regular"),'Timesheet Raw'!$C$4:$C$8000,"*"&amp;$B300&amp;"*",'Timesheet Raw'!$L$4:$L$8000,"&gt;="&amp;MAX(H$5,DATE(2000+VALUE(RIGHT(TRIM($A300),2)),1,1)),'Timesheet Raw'!$L$4:$L$8000,"&lt;="&amp;MIN(H$6,DATE(2000+VALUE(RIGHT(TRIM($A300),2)),12,31))),SUMIFS('Timesheet Raw'!$P$4:$P$8000,'Timesheet Raw'!$B$4:$B$8000,TRIM($A300),'Timesheet Raw'!$C$4:$C$8000,"*"&amp;$B300&amp;"*",'Timesheet Raw'!$L$4:$L$8000,"&gt;="&amp;H$5,'Timesheet Raw'!$L$4:$L$8000,"&lt;="&amp;H$6)))/'Profit Plan'!$B$5)</f>
        <v>0</v>
      </c>
      <c r="I300" s="122">
        <f>IF($A300="","",(IF(ISNUMBER(SEARCH("Proposal",$A300)),SUMIFS('Timesheet Raw'!$P$4:$P$8000,'Timesheet Raw'!$A$4:$A$8000,IF(ISNUMBER(SEARCH("Chargable",$A300)),"2-Proposals Chargeable","3-Proposals Regular"),'Timesheet Raw'!$C$4:$C$8000,"*"&amp;$B300&amp;"*",'Timesheet Raw'!$L$4:$L$8000,"&gt;="&amp;MAX(I$5,DATE(2000+VALUE(RIGHT(TRIM($A300),2)),1,1)),'Timesheet Raw'!$L$4:$L$8000,"&lt;="&amp;MIN(I$6,DATE(2000+VALUE(RIGHT(TRIM($A300),2)),12,31))),SUMIFS('Timesheet Raw'!$P$4:$P$8000,'Timesheet Raw'!$B$4:$B$8000,TRIM($A300),'Timesheet Raw'!$C$4:$C$8000,"*"&amp;$B300&amp;"*",'Timesheet Raw'!$L$4:$L$8000,"&gt;="&amp;I$5,'Timesheet Raw'!$L$4:$L$8000,"&lt;="&amp;I$6)))/'Profit Plan'!$B$5)</f>
        <v>0</v>
      </c>
      <c r="J300" s="122">
        <f>IF($A300="","",(IF(ISNUMBER(SEARCH("Proposal",$A300)),SUMIFS('Timesheet Raw'!$P$4:$P$8000,'Timesheet Raw'!$A$4:$A$8000,IF(ISNUMBER(SEARCH("Chargable",$A300)),"2-Proposals Chargeable","3-Proposals Regular"),'Timesheet Raw'!$C$4:$C$8000,"*"&amp;$B300&amp;"*",'Timesheet Raw'!$L$4:$L$8000,"&gt;="&amp;MAX(J$5,DATE(2000+VALUE(RIGHT(TRIM($A300),2)),1,1)),'Timesheet Raw'!$L$4:$L$8000,"&lt;="&amp;MIN(J$6,DATE(2000+VALUE(RIGHT(TRIM($A300),2)),12,31))),SUMIFS('Timesheet Raw'!$P$4:$P$8000,'Timesheet Raw'!$B$4:$B$8000,TRIM($A300),'Timesheet Raw'!$C$4:$C$8000,"*"&amp;$B300&amp;"*",'Timesheet Raw'!$L$4:$L$8000,"&gt;="&amp;J$5,'Timesheet Raw'!$L$4:$L$8000,"&lt;="&amp;J$6)))/'Profit Plan'!$B$5)</f>
        <v>0</v>
      </c>
      <c r="K300" s="122">
        <f>IF($A300="","",(IF(ISNUMBER(SEARCH("Proposal",$A300)),SUMIFS('Timesheet Raw'!$P$4:$P$8000,'Timesheet Raw'!$A$4:$A$8000,IF(ISNUMBER(SEARCH("Chargable",$A300)),"2-Proposals Chargeable","3-Proposals Regular"),'Timesheet Raw'!$C$4:$C$8000,"*"&amp;$B300&amp;"*",'Timesheet Raw'!$L$4:$L$8000,"&gt;="&amp;MAX(K$5,DATE(2000+VALUE(RIGHT(TRIM($A300),2)),1,1)),'Timesheet Raw'!$L$4:$L$8000,"&lt;="&amp;MIN(K$6,DATE(2000+VALUE(RIGHT(TRIM($A300),2)),12,31))),SUMIFS('Timesheet Raw'!$P$4:$P$8000,'Timesheet Raw'!$B$4:$B$8000,TRIM($A300),'Timesheet Raw'!$C$4:$C$8000,"*"&amp;$B300&amp;"*",'Timesheet Raw'!$L$4:$L$8000,"&gt;="&amp;K$5,'Timesheet Raw'!$L$4:$L$8000,"&lt;="&amp;K$6)))/'Profit Plan'!$B$5)</f>
        <v>0</v>
      </c>
      <c r="L300" s="122">
        <f>IF($A300="","",(IF(ISNUMBER(SEARCH("Proposal",$A300)),SUMIFS('Timesheet Raw'!$P$4:$P$8000,'Timesheet Raw'!$A$4:$A$8000,IF(ISNUMBER(SEARCH("Chargable",$A300)),"2-Proposals Chargeable","3-Proposals Regular"),'Timesheet Raw'!$C$4:$C$8000,"*"&amp;$B300&amp;"*",'Timesheet Raw'!$L$4:$L$8000,"&gt;="&amp;MAX(L$5,DATE(2000+VALUE(RIGHT(TRIM($A300),2)),1,1)),'Timesheet Raw'!$L$4:$L$8000,"&lt;="&amp;MIN(L$6,DATE(2000+VALUE(RIGHT(TRIM($A300),2)),12,31))),SUMIFS('Timesheet Raw'!$P$4:$P$8000,'Timesheet Raw'!$B$4:$B$8000,TRIM($A300),'Timesheet Raw'!$C$4:$C$8000,"*"&amp;$B300&amp;"*",'Timesheet Raw'!$L$4:$L$8000,"&gt;="&amp;L$5,'Timesheet Raw'!$L$4:$L$8000,"&lt;="&amp;L$6)))/'Profit Plan'!$B$5)</f>
        <v>0</v>
      </c>
      <c r="M300" s="122">
        <f>IF($A300="","",(IF(ISNUMBER(SEARCH("Proposal",$A300)),SUMIFS('Timesheet Raw'!$P$4:$P$8000,'Timesheet Raw'!$A$4:$A$8000,IF(ISNUMBER(SEARCH("Chargable",$A300)),"2-Proposals Chargeable","3-Proposals Regular"),'Timesheet Raw'!$C$4:$C$8000,"*"&amp;$B300&amp;"*",'Timesheet Raw'!$L$4:$L$8000,"&gt;="&amp;MAX(M$5,DATE(2000+VALUE(RIGHT(TRIM($A300),2)),1,1)),'Timesheet Raw'!$L$4:$L$8000,"&lt;="&amp;MIN(M$6,DATE(2000+VALUE(RIGHT(TRIM($A300),2)),12,31))),SUMIFS('Timesheet Raw'!$P$4:$P$8000,'Timesheet Raw'!$B$4:$B$8000,TRIM($A300),'Timesheet Raw'!$C$4:$C$8000,"*"&amp;$B300&amp;"*",'Timesheet Raw'!$L$4:$L$8000,"&gt;="&amp;M$5,'Timesheet Raw'!$L$4:$L$8000,"&lt;="&amp;M$6)))/'Profit Plan'!$B$5)</f>
        <v>0</v>
      </c>
      <c r="N300" s="122">
        <f>IF($A300="","",(IF(ISNUMBER(SEARCH("Proposal",$A300)),SUMIFS('Timesheet Raw'!$P$4:$P$8000,'Timesheet Raw'!$A$4:$A$8000,IF(ISNUMBER(SEARCH("Chargable",$A300)),"2-Proposals Chargeable","3-Proposals Regular"),'Timesheet Raw'!$C$4:$C$8000,"*"&amp;$B300&amp;"*",'Timesheet Raw'!$L$4:$L$8000,"&gt;="&amp;MAX(N$5,DATE(2000+VALUE(RIGHT(TRIM($A300),2)),1,1)),'Timesheet Raw'!$L$4:$L$8000,"&lt;="&amp;MIN(N$6,DATE(2000+VALUE(RIGHT(TRIM($A300),2)),12,31))),SUMIFS('Timesheet Raw'!$P$4:$P$8000,'Timesheet Raw'!$B$4:$B$8000,TRIM($A300),'Timesheet Raw'!$C$4:$C$8000,"*"&amp;$B300&amp;"*",'Timesheet Raw'!$L$4:$L$8000,"&gt;="&amp;N$5,'Timesheet Raw'!$L$4:$L$8000,"&lt;="&amp;N$6)))/'Profit Plan'!$B$5)</f>
        <v>0</v>
      </c>
      <c r="O300" s="122">
        <f>IF($A300="","",(IF(ISNUMBER(SEARCH("Proposal",$A300)),SUMIFS('Timesheet Raw'!$P$4:$P$8000,'Timesheet Raw'!$A$4:$A$8000,IF(ISNUMBER(SEARCH("Chargable",$A300)),"2-Proposals Chargeable","3-Proposals Regular"),'Timesheet Raw'!$C$4:$C$8000,"*"&amp;$B300&amp;"*",'Timesheet Raw'!$L$4:$L$8000,"&gt;="&amp;MAX(O$5,DATE(2000+VALUE(RIGHT(TRIM($A300),2)),1,1)),'Timesheet Raw'!$L$4:$L$8000,"&lt;="&amp;MIN(O$6,DATE(2000+VALUE(RIGHT(TRIM($A300),2)),12,31))),SUMIFS('Timesheet Raw'!$P$4:$P$8000,'Timesheet Raw'!$B$4:$B$8000,TRIM($A300),'Timesheet Raw'!$C$4:$C$8000,"*"&amp;$B300&amp;"*",'Timesheet Raw'!$L$4:$L$8000,"&gt;="&amp;O$5,'Timesheet Raw'!$L$4:$L$8000,"&lt;="&amp;O$6)))/'Profit Plan'!$B$5)</f>
        <v>0</v>
      </c>
      <c r="P300" s="122">
        <f>IF($A300="","",(IF(ISNUMBER(SEARCH("Proposal",$A300)),SUMIFS('Timesheet Raw'!$P$4:$P$8000,'Timesheet Raw'!$A$4:$A$8000,IF(ISNUMBER(SEARCH("Chargable",$A300)),"2-Proposals Chargeable","3-Proposals Regular"),'Timesheet Raw'!$C$4:$C$8000,"*"&amp;$B300&amp;"*",'Timesheet Raw'!$L$4:$L$8000,"&gt;="&amp;MAX(P$5,DATE(2000+VALUE(RIGHT(TRIM($A300),2)),1,1)),'Timesheet Raw'!$L$4:$L$8000,"&lt;="&amp;MIN(P$6,DATE(2000+VALUE(RIGHT(TRIM($A300),2)),12,31))),SUMIFS('Timesheet Raw'!$P$4:$P$8000,'Timesheet Raw'!$B$4:$B$8000,TRIM($A300),'Timesheet Raw'!$C$4:$C$8000,"*"&amp;$B300&amp;"*",'Timesheet Raw'!$L$4:$L$8000,"&gt;="&amp;P$5,'Timesheet Raw'!$L$4:$L$8000,"&lt;="&amp;P$6)))/'Profit Plan'!$B$5)</f>
        <v>0</v>
      </c>
      <c r="Q300" s="122">
        <f>IF($A300="","",(IF(ISNUMBER(SEARCH("Proposal",$A300)),SUMIFS('Timesheet Raw'!$P$4:$P$8000,'Timesheet Raw'!$A$4:$A$8000,IF(ISNUMBER(SEARCH("Chargable",$A300)),"2-Proposals Chargeable","3-Proposals Regular"),'Timesheet Raw'!$C$4:$C$8000,"*"&amp;$B300&amp;"*",'Timesheet Raw'!$L$4:$L$8000,"&gt;="&amp;MAX(Q$5,DATE(2000+VALUE(RIGHT(TRIM($A300),2)),1,1)),'Timesheet Raw'!$L$4:$L$8000,"&lt;="&amp;MIN(Q$6,DATE(2000+VALUE(RIGHT(TRIM($A300),2)),12,31))),SUMIFS('Timesheet Raw'!$P$4:$P$8000,'Timesheet Raw'!$B$4:$B$8000,TRIM($A300),'Timesheet Raw'!$C$4:$C$8000,"*"&amp;$B300&amp;"*",'Timesheet Raw'!$L$4:$L$8000,"&gt;="&amp;Q$5,'Timesheet Raw'!$L$4:$L$8000,"&lt;="&amp;Q$6)))/'Profit Plan'!$B$5)</f>
        <v>0</v>
      </c>
      <c r="R300" s="122">
        <f>IF($A300="","",(IF(ISNUMBER(SEARCH("Proposal",$A300)),SUMIFS('Timesheet Raw'!$P$4:$P$8000,'Timesheet Raw'!$A$4:$A$8000,IF(ISNUMBER(SEARCH("Chargable",$A300)),"2-Proposals Chargeable","3-Proposals Regular"),'Timesheet Raw'!$C$4:$C$8000,"*"&amp;$B300&amp;"*",'Timesheet Raw'!$L$4:$L$8000,"&gt;="&amp;MAX(R$5,DATE(2000+VALUE(RIGHT(TRIM($A300),2)),1,1)),'Timesheet Raw'!$L$4:$L$8000,"&lt;="&amp;MIN(R$6,DATE(2000+VALUE(RIGHT(TRIM($A300),2)),12,31))),SUMIFS('Timesheet Raw'!$P$4:$P$8000,'Timesheet Raw'!$B$4:$B$8000,TRIM($A300),'Timesheet Raw'!$C$4:$C$8000,"*"&amp;$B300&amp;"*",'Timesheet Raw'!$L$4:$L$8000,"&gt;="&amp;R$5,'Timesheet Raw'!$L$4:$L$8000,"&lt;="&amp;R$6)))/'Profit Plan'!$B$5)</f>
        <v>0</v>
      </c>
      <c r="S300" s="122">
        <f>IF($A300="","",(IF(ISNUMBER(SEARCH("Proposal",$A300)),SUMIFS('Timesheet Raw'!$P$4:$P$8000,'Timesheet Raw'!$A$4:$A$8000,IF(ISNUMBER(SEARCH("Chargable",$A300)),"2-Proposals Chargeable","3-Proposals Regular"),'Timesheet Raw'!$C$4:$C$8000,"*"&amp;$B300&amp;"*",'Timesheet Raw'!$L$4:$L$8000,"&gt;="&amp;MAX(S$5,DATE(2000+VALUE(RIGHT(TRIM($A300),2)),1,1)),'Timesheet Raw'!$L$4:$L$8000,"&lt;="&amp;MIN(S$6,DATE(2000+VALUE(RIGHT(TRIM($A300),2)),12,31))),SUMIFS('Timesheet Raw'!$P$4:$P$8000,'Timesheet Raw'!$B$4:$B$8000,TRIM($A300),'Timesheet Raw'!$C$4:$C$8000,"*"&amp;$B300&amp;"*",'Timesheet Raw'!$L$4:$L$8000,"&gt;="&amp;S$5,'Timesheet Raw'!$L$4:$L$8000,"&lt;="&amp;S$6)))/'Profit Plan'!$B$5)</f>
        <v>0</v>
      </c>
      <c r="T300" s="122">
        <f>IF($A300="","",(IF(ISNUMBER(SEARCH("Proposal",$A300)),SUMIFS('Timesheet Raw'!$P$4:$P$8000,'Timesheet Raw'!$A$4:$A$8000,IF(ISNUMBER(SEARCH("Chargable",$A300)),"2-Proposals Chargeable","3-Proposals Regular"),'Timesheet Raw'!$C$4:$C$8000,"*"&amp;$B300&amp;"*",'Timesheet Raw'!$L$4:$L$8000,"&gt;="&amp;MAX(T$5,DATE(2000+VALUE(RIGHT(TRIM($A300),2)),1,1)),'Timesheet Raw'!$L$4:$L$8000,"&lt;="&amp;MIN(T$6,DATE(2000+VALUE(RIGHT(TRIM($A300),2)),12,31))),SUMIFS('Timesheet Raw'!$P$4:$P$8000,'Timesheet Raw'!$B$4:$B$8000,TRIM($A300),'Timesheet Raw'!$C$4:$C$8000,"*"&amp;$B300&amp;"*",'Timesheet Raw'!$L$4:$L$8000,"&gt;="&amp;T$5,'Timesheet Raw'!$L$4:$L$8000,"&lt;="&amp;T$6)))/'Profit Plan'!$B$5)</f>
        <v>0</v>
      </c>
      <c r="U300" s="122">
        <f>IF($A300="","",(IF(ISNUMBER(SEARCH("Proposal",$A300)),SUMIFS('Timesheet Raw'!$P$4:$P$8000,'Timesheet Raw'!$A$4:$A$8000,IF(ISNUMBER(SEARCH("Chargable",$A300)),"2-Proposals Chargeable","3-Proposals Regular"),'Timesheet Raw'!$C$4:$C$8000,"*"&amp;$B300&amp;"*",'Timesheet Raw'!$L$4:$L$8000,"&gt;="&amp;MAX(U$5,DATE(2000+VALUE(RIGHT(TRIM($A300),2)),1,1)),'Timesheet Raw'!$L$4:$L$8000,"&lt;="&amp;MIN(U$6,DATE(2000+VALUE(RIGHT(TRIM($A300),2)),12,31))),SUMIFS('Timesheet Raw'!$P$4:$P$8000,'Timesheet Raw'!$B$4:$B$8000,TRIM($A300),'Timesheet Raw'!$C$4:$C$8000,"*"&amp;$B300&amp;"*",'Timesheet Raw'!$L$4:$L$8000,"&gt;="&amp;U$5,'Timesheet Raw'!$L$4:$L$8000,"&lt;="&amp;U$6)))/'Profit Plan'!$B$5)</f>
        <v>0</v>
      </c>
      <c r="V300" s="122">
        <f>IF($A300="","",(IF(ISNUMBER(SEARCH("Proposal",$A300)),SUMIFS('Timesheet Raw'!$P$4:$P$8000,'Timesheet Raw'!$A$4:$A$8000,IF(ISNUMBER(SEARCH("Chargable",$A300)),"2-Proposals Chargeable","3-Proposals Regular"),'Timesheet Raw'!$C$4:$C$8000,"*"&amp;$B300&amp;"*",'Timesheet Raw'!$L$4:$L$8000,"&gt;="&amp;MAX(V$5,DATE(2000+VALUE(RIGHT(TRIM($A300),2)),1,1)),'Timesheet Raw'!$L$4:$L$8000,"&lt;="&amp;MIN(V$6,DATE(2000+VALUE(RIGHT(TRIM($A300),2)),12,31))),SUMIFS('Timesheet Raw'!$P$4:$P$8000,'Timesheet Raw'!$B$4:$B$8000,TRIM($A300),'Timesheet Raw'!$C$4:$C$8000,"*"&amp;$B300&amp;"*",'Timesheet Raw'!$L$4:$L$8000,"&gt;="&amp;V$5,'Timesheet Raw'!$L$4:$L$8000,"&lt;="&amp;V$6)))/'Profit Plan'!$B$5)</f>
        <v>0</v>
      </c>
      <c r="W300" s="122">
        <f>IF($A300="","",(IF(ISNUMBER(SEARCH("Proposal",$A300)),SUMIFS('Timesheet Raw'!$P$4:$P$8000,'Timesheet Raw'!$A$4:$A$8000,IF(ISNUMBER(SEARCH("Chargable",$A300)),"2-Proposals Chargeable","3-Proposals Regular"),'Timesheet Raw'!$C$4:$C$8000,"*"&amp;$B300&amp;"*",'Timesheet Raw'!$L$4:$L$8000,"&gt;="&amp;MAX(W$5,DATE(2000+VALUE(RIGHT(TRIM($A300),2)),1,1)),'Timesheet Raw'!$L$4:$L$8000,"&lt;="&amp;MIN(W$6,DATE(2000+VALUE(RIGHT(TRIM($A300),2)),12,31))),SUMIFS('Timesheet Raw'!$P$4:$P$8000,'Timesheet Raw'!$B$4:$B$8000,TRIM($A300),'Timesheet Raw'!$C$4:$C$8000,"*"&amp;$B300&amp;"*",'Timesheet Raw'!$L$4:$L$8000,"&gt;="&amp;W$5,'Timesheet Raw'!$L$4:$L$8000,"&lt;="&amp;W$6)))/'Profit Plan'!$B$5)</f>
        <v>0</v>
      </c>
      <c r="X300" s="122">
        <f>IF($A300="","",(IF(ISNUMBER(SEARCH("Proposal",$A300)),SUMIFS('Timesheet Raw'!$P$4:$P$8000,'Timesheet Raw'!$A$4:$A$8000,IF(ISNUMBER(SEARCH("Chargable",$A300)),"2-Proposals Chargeable","3-Proposals Regular"),'Timesheet Raw'!$C$4:$C$8000,"*"&amp;$B300&amp;"*",'Timesheet Raw'!$L$4:$L$8000,"&gt;="&amp;MAX(X$5,DATE(2000+VALUE(RIGHT(TRIM($A300),2)),1,1)),'Timesheet Raw'!$L$4:$L$8000,"&lt;="&amp;MIN(X$6,DATE(2000+VALUE(RIGHT(TRIM($A300),2)),12,31))),SUMIFS('Timesheet Raw'!$P$4:$P$8000,'Timesheet Raw'!$B$4:$B$8000,TRIM($A300),'Timesheet Raw'!$C$4:$C$8000,"*"&amp;$B300&amp;"*",'Timesheet Raw'!$L$4:$L$8000,"&gt;="&amp;X$5,'Timesheet Raw'!$L$4:$L$8000,"&lt;="&amp;X$6)))/'Profit Plan'!$B$5)</f>
        <v>0</v>
      </c>
      <c r="Y300" s="118">
        <f t="shared" si="100"/>
        <v>0</v>
      </c>
    </row>
    <row r="301" spans="1:25" x14ac:dyDescent="0.3">
      <c r="A301" s="116" t="str">
        <f>IF(Inputs!$A18="","",Inputs!$A18)</f>
        <v>J23152-0100D</v>
      </c>
      <c r="B301" s="116" t="str">
        <f>IF(Inputs!$A18="","",Inputs!$A$91)</f>
        <v>Ahmed</v>
      </c>
      <c r="C301" s="116"/>
      <c r="D301" s="122">
        <f>IF($A301="","",(IF(ISNUMBER(SEARCH("Proposal",$A301)),SUMIFS('Timesheet Raw'!$P$4:$P$8000,'Timesheet Raw'!$A$4:$A$8000,IF(ISNUMBER(SEARCH("Chargable",$A301)),"2-Proposals Chargeable","3-Proposals Regular"),'Timesheet Raw'!$C$4:$C$8000,"*"&amp;$B301&amp;"*",'Timesheet Raw'!$L$4:$L$8000,"&gt;="&amp;MAX(D$5,DATE(2000+VALUE(RIGHT(TRIM($A301),2)),1,1)),'Timesheet Raw'!$L$4:$L$8000,"&lt;="&amp;MIN(D$6,DATE(2000+VALUE(RIGHT(TRIM($A301),2)),12,31))),SUMIFS('Timesheet Raw'!$P$4:$P$8000,'Timesheet Raw'!$B$4:$B$8000,TRIM($A301),'Timesheet Raw'!$C$4:$C$8000,"*"&amp;$B301&amp;"*",'Timesheet Raw'!$L$4:$L$8000,"&gt;="&amp;D$5,'Timesheet Raw'!$L$4:$L$8000,"&lt;="&amp;D$6)))/'Profit Plan'!$B$5)</f>
        <v>9.45945945945946E-2</v>
      </c>
      <c r="E301" s="122">
        <f>IF($A301="","",(IF(ISNUMBER(SEARCH("Proposal",$A301)),SUMIFS('Timesheet Raw'!$P$4:$P$8000,'Timesheet Raw'!$A$4:$A$8000,IF(ISNUMBER(SEARCH("Chargable",$A301)),"2-Proposals Chargeable","3-Proposals Regular"),'Timesheet Raw'!$C$4:$C$8000,"*"&amp;$B301&amp;"*",'Timesheet Raw'!$L$4:$L$8000,"&gt;="&amp;MAX(E$5,DATE(2000+VALUE(RIGHT(TRIM($A301),2)),1,1)),'Timesheet Raw'!$L$4:$L$8000,"&lt;="&amp;MIN(E$6,DATE(2000+VALUE(RIGHT(TRIM($A301),2)),12,31))),SUMIFS('Timesheet Raw'!$P$4:$P$8000,'Timesheet Raw'!$B$4:$B$8000,TRIM($A301),'Timesheet Raw'!$C$4:$C$8000,"*"&amp;$B301&amp;"*",'Timesheet Raw'!$L$4:$L$8000,"&gt;="&amp;E$5,'Timesheet Raw'!$L$4:$L$8000,"&lt;="&amp;E$6)))/'Profit Plan'!$B$5)</f>
        <v>0</v>
      </c>
      <c r="F301" s="122">
        <f>IF($A301="","",(IF(ISNUMBER(SEARCH("Proposal",$A301)),SUMIFS('Timesheet Raw'!$P$4:$P$8000,'Timesheet Raw'!$A$4:$A$8000,IF(ISNUMBER(SEARCH("Chargable",$A301)),"2-Proposals Chargeable","3-Proposals Regular"),'Timesheet Raw'!$C$4:$C$8000,"*"&amp;$B301&amp;"*",'Timesheet Raw'!$L$4:$L$8000,"&gt;="&amp;MAX(F$5,DATE(2000+VALUE(RIGHT(TRIM($A301),2)),1,1)),'Timesheet Raw'!$L$4:$L$8000,"&lt;="&amp;MIN(F$6,DATE(2000+VALUE(RIGHT(TRIM($A301),2)),12,31))),SUMIFS('Timesheet Raw'!$P$4:$P$8000,'Timesheet Raw'!$B$4:$B$8000,TRIM($A301),'Timesheet Raw'!$C$4:$C$8000,"*"&amp;$B301&amp;"*",'Timesheet Raw'!$L$4:$L$8000,"&gt;="&amp;F$5,'Timesheet Raw'!$L$4:$L$8000,"&lt;="&amp;F$6)))/'Profit Plan'!$B$5)</f>
        <v>0</v>
      </c>
      <c r="G301" s="122">
        <f>IF($A301="","",(IF(ISNUMBER(SEARCH("Proposal",$A301)),SUMIFS('Timesheet Raw'!$P$4:$P$8000,'Timesheet Raw'!$A$4:$A$8000,IF(ISNUMBER(SEARCH("Chargable",$A301)),"2-Proposals Chargeable","3-Proposals Regular"),'Timesheet Raw'!$C$4:$C$8000,"*"&amp;$B301&amp;"*",'Timesheet Raw'!$L$4:$L$8000,"&gt;="&amp;MAX(G$5,DATE(2000+VALUE(RIGHT(TRIM($A301),2)),1,1)),'Timesheet Raw'!$L$4:$L$8000,"&lt;="&amp;MIN(G$6,DATE(2000+VALUE(RIGHT(TRIM($A301),2)),12,31))),SUMIFS('Timesheet Raw'!$P$4:$P$8000,'Timesheet Raw'!$B$4:$B$8000,TRIM($A301),'Timesheet Raw'!$C$4:$C$8000,"*"&amp;$B301&amp;"*",'Timesheet Raw'!$L$4:$L$8000,"&gt;="&amp;G$5,'Timesheet Raw'!$L$4:$L$8000,"&lt;="&amp;G$6)))/'Profit Plan'!$B$5)</f>
        <v>0</v>
      </c>
      <c r="H301" s="122">
        <f>IF($A301="","",(IF(ISNUMBER(SEARCH("Proposal",$A301)),SUMIFS('Timesheet Raw'!$P$4:$P$8000,'Timesheet Raw'!$A$4:$A$8000,IF(ISNUMBER(SEARCH("Chargable",$A301)),"2-Proposals Chargeable","3-Proposals Regular"),'Timesheet Raw'!$C$4:$C$8000,"*"&amp;$B301&amp;"*",'Timesheet Raw'!$L$4:$L$8000,"&gt;="&amp;MAX(H$5,DATE(2000+VALUE(RIGHT(TRIM($A301),2)),1,1)),'Timesheet Raw'!$L$4:$L$8000,"&lt;="&amp;MIN(H$6,DATE(2000+VALUE(RIGHT(TRIM($A301),2)),12,31))),SUMIFS('Timesheet Raw'!$P$4:$P$8000,'Timesheet Raw'!$B$4:$B$8000,TRIM($A301),'Timesheet Raw'!$C$4:$C$8000,"*"&amp;$B301&amp;"*",'Timesheet Raw'!$L$4:$L$8000,"&gt;="&amp;H$5,'Timesheet Raw'!$L$4:$L$8000,"&lt;="&amp;H$6)))/'Profit Plan'!$B$5)</f>
        <v>0</v>
      </c>
      <c r="I301" s="122">
        <f>IF($A301="","",(IF(ISNUMBER(SEARCH("Proposal",$A301)),SUMIFS('Timesheet Raw'!$P$4:$P$8000,'Timesheet Raw'!$A$4:$A$8000,IF(ISNUMBER(SEARCH("Chargable",$A301)),"2-Proposals Chargeable","3-Proposals Regular"),'Timesheet Raw'!$C$4:$C$8000,"*"&amp;$B301&amp;"*",'Timesheet Raw'!$L$4:$L$8000,"&gt;="&amp;MAX(I$5,DATE(2000+VALUE(RIGHT(TRIM($A301),2)),1,1)),'Timesheet Raw'!$L$4:$L$8000,"&lt;="&amp;MIN(I$6,DATE(2000+VALUE(RIGHT(TRIM($A301),2)),12,31))),SUMIFS('Timesheet Raw'!$P$4:$P$8000,'Timesheet Raw'!$B$4:$B$8000,TRIM($A301),'Timesheet Raw'!$C$4:$C$8000,"*"&amp;$B301&amp;"*",'Timesheet Raw'!$L$4:$L$8000,"&gt;="&amp;I$5,'Timesheet Raw'!$L$4:$L$8000,"&lt;="&amp;I$6)))/'Profit Plan'!$B$5)</f>
        <v>0</v>
      </c>
      <c r="J301" s="122">
        <f>IF($A301="","",(IF(ISNUMBER(SEARCH("Proposal",$A301)),SUMIFS('Timesheet Raw'!$P$4:$P$8000,'Timesheet Raw'!$A$4:$A$8000,IF(ISNUMBER(SEARCH("Chargable",$A301)),"2-Proposals Chargeable","3-Proposals Regular"),'Timesheet Raw'!$C$4:$C$8000,"*"&amp;$B301&amp;"*",'Timesheet Raw'!$L$4:$L$8000,"&gt;="&amp;MAX(J$5,DATE(2000+VALUE(RIGHT(TRIM($A301),2)),1,1)),'Timesheet Raw'!$L$4:$L$8000,"&lt;="&amp;MIN(J$6,DATE(2000+VALUE(RIGHT(TRIM($A301),2)),12,31))),SUMIFS('Timesheet Raw'!$P$4:$P$8000,'Timesheet Raw'!$B$4:$B$8000,TRIM($A301),'Timesheet Raw'!$C$4:$C$8000,"*"&amp;$B301&amp;"*",'Timesheet Raw'!$L$4:$L$8000,"&gt;="&amp;J$5,'Timesheet Raw'!$L$4:$L$8000,"&lt;="&amp;J$6)))/'Profit Plan'!$B$5)</f>
        <v>0</v>
      </c>
      <c r="K301" s="122">
        <f>IF($A301="","",(IF(ISNUMBER(SEARCH("Proposal",$A301)),SUMIFS('Timesheet Raw'!$P$4:$P$8000,'Timesheet Raw'!$A$4:$A$8000,IF(ISNUMBER(SEARCH("Chargable",$A301)),"2-Proposals Chargeable","3-Proposals Regular"),'Timesheet Raw'!$C$4:$C$8000,"*"&amp;$B301&amp;"*",'Timesheet Raw'!$L$4:$L$8000,"&gt;="&amp;MAX(K$5,DATE(2000+VALUE(RIGHT(TRIM($A301),2)),1,1)),'Timesheet Raw'!$L$4:$L$8000,"&lt;="&amp;MIN(K$6,DATE(2000+VALUE(RIGHT(TRIM($A301),2)),12,31))),SUMIFS('Timesheet Raw'!$P$4:$P$8000,'Timesheet Raw'!$B$4:$B$8000,TRIM($A301),'Timesheet Raw'!$C$4:$C$8000,"*"&amp;$B301&amp;"*",'Timesheet Raw'!$L$4:$L$8000,"&gt;="&amp;K$5,'Timesheet Raw'!$L$4:$L$8000,"&lt;="&amp;K$6)))/'Profit Plan'!$B$5)</f>
        <v>1.6216216216216217E-2</v>
      </c>
      <c r="L301" s="122">
        <f>IF($A301="","",(IF(ISNUMBER(SEARCH("Proposal",$A301)),SUMIFS('Timesheet Raw'!$P$4:$P$8000,'Timesheet Raw'!$A$4:$A$8000,IF(ISNUMBER(SEARCH("Chargable",$A301)),"2-Proposals Chargeable","3-Proposals Regular"),'Timesheet Raw'!$C$4:$C$8000,"*"&amp;$B301&amp;"*",'Timesheet Raw'!$L$4:$L$8000,"&gt;="&amp;MAX(L$5,DATE(2000+VALUE(RIGHT(TRIM($A301),2)),1,1)),'Timesheet Raw'!$L$4:$L$8000,"&lt;="&amp;MIN(L$6,DATE(2000+VALUE(RIGHT(TRIM($A301),2)),12,31))),SUMIFS('Timesheet Raw'!$P$4:$P$8000,'Timesheet Raw'!$B$4:$B$8000,TRIM($A301),'Timesheet Raw'!$C$4:$C$8000,"*"&amp;$B301&amp;"*",'Timesheet Raw'!$L$4:$L$8000,"&gt;="&amp;L$5,'Timesheet Raw'!$L$4:$L$8000,"&lt;="&amp;L$6)))/'Profit Plan'!$B$5)</f>
        <v>0</v>
      </c>
      <c r="M301" s="122">
        <f>IF($A301="","",(IF(ISNUMBER(SEARCH("Proposal",$A301)),SUMIFS('Timesheet Raw'!$P$4:$P$8000,'Timesheet Raw'!$A$4:$A$8000,IF(ISNUMBER(SEARCH("Chargable",$A301)),"2-Proposals Chargeable","3-Proposals Regular"),'Timesheet Raw'!$C$4:$C$8000,"*"&amp;$B301&amp;"*",'Timesheet Raw'!$L$4:$L$8000,"&gt;="&amp;MAX(M$5,DATE(2000+VALUE(RIGHT(TRIM($A301),2)),1,1)),'Timesheet Raw'!$L$4:$L$8000,"&lt;="&amp;MIN(M$6,DATE(2000+VALUE(RIGHT(TRIM($A301),2)),12,31))),SUMIFS('Timesheet Raw'!$P$4:$P$8000,'Timesheet Raw'!$B$4:$B$8000,TRIM($A301),'Timesheet Raw'!$C$4:$C$8000,"*"&amp;$B301&amp;"*",'Timesheet Raw'!$L$4:$L$8000,"&gt;="&amp;M$5,'Timesheet Raw'!$L$4:$L$8000,"&lt;="&amp;M$6)))/'Profit Plan'!$B$5)</f>
        <v>0</v>
      </c>
      <c r="N301" s="122">
        <f>IF($A301="","",(IF(ISNUMBER(SEARCH("Proposal",$A301)),SUMIFS('Timesheet Raw'!$P$4:$P$8000,'Timesheet Raw'!$A$4:$A$8000,IF(ISNUMBER(SEARCH("Chargable",$A301)),"2-Proposals Chargeable","3-Proposals Regular"),'Timesheet Raw'!$C$4:$C$8000,"*"&amp;$B301&amp;"*",'Timesheet Raw'!$L$4:$L$8000,"&gt;="&amp;MAX(N$5,DATE(2000+VALUE(RIGHT(TRIM($A301),2)),1,1)),'Timesheet Raw'!$L$4:$L$8000,"&lt;="&amp;MIN(N$6,DATE(2000+VALUE(RIGHT(TRIM($A301),2)),12,31))),SUMIFS('Timesheet Raw'!$P$4:$P$8000,'Timesheet Raw'!$B$4:$B$8000,TRIM($A301),'Timesheet Raw'!$C$4:$C$8000,"*"&amp;$B301&amp;"*",'Timesheet Raw'!$L$4:$L$8000,"&gt;="&amp;N$5,'Timesheet Raw'!$L$4:$L$8000,"&lt;="&amp;N$6)))/'Profit Plan'!$B$5)</f>
        <v>0</v>
      </c>
      <c r="O301" s="122">
        <f>IF($A301="","",(IF(ISNUMBER(SEARCH("Proposal",$A301)),SUMIFS('Timesheet Raw'!$P$4:$P$8000,'Timesheet Raw'!$A$4:$A$8000,IF(ISNUMBER(SEARCH("Chargable",$A301)),"2-Proposals Chargeable","3-Proposals Regular"),'Timesheet Raw'!$C$4:$C$8000,"*"&amp;$B301&amp;"*",'Timesheet Raw'!$L$4:$L$8000,"&gt;="&amp;MAX(O$5,DATE(2000+VALUE(RIGHT(TRIM($A301),2)),1,1)),'Timesheet Raw'!$L$4:$L$8000,"&lt;="&amp;MIN(O$6,DATE(2000+VALUE(RIGHT(TRIM($A301),2)),12,31))),SUMIFS('Timesheet Raw'!$P$4:$P$8000,'Timesheet Raw'!$B$4:$B$8000,TRIM($A301),'Timesheet Raw'!$C$4:$C$8000,"*"&amp;$B301&amp;"*",'Timesheet Raw'!$L$4:$L$8000,"&gt;="&amp;O$5,'Timesheet Raw'!$L$4:$L$8000,"&lt;="&amp;O$6)))/'Profit Plan'!$B$5)</f>
        <v>0</v>
      </c>
      <c r="P301" s="122">
        <f>IF($A301="","",(IF(ISNUMBER(SEARCH("Proposal",$A301)),SUMIFS('Timesheet Raw'!$P$4:$P$8000,'Timesheet Raw'!$A$4:$A$8000,IF(ISNUMBER(SEARCH("Chargable",$A301)),"2-Proposals Chargeable","3-Proposals Regular"),'Timesheet Raw'!$C$4:$C$8000,"*"&amp;$B301&amp;"*",'Timesheet Raw'!$L$4:$L$8000,"&gt;="&amp;MAX(P$5,DATE(2000+VALUE(RIGHT(TRIM($A301),2)),1,1)),'Timesheet Raw'!$L$4:$L$8000,"&lt;="&amp;MIN(P$6,DATE(2000+VALUE(RIGHT(TRIM($A301),2)),12,31))),SUMIFS('Timesheet Raw'!$P$4:$P$8000,'Timesheet Raw'!$B$4:$B$8000,TRIM($A301),'Timesheet Raw'!$C$4:$C$8000,"*"&amp;$B301&amp;"*",'Timesheet Raw'!$L$4:$L$8000,"&gt;="&amp;P$5,'Timesheet Raw'!$L$4:$L$8000,"&lt;="&amp;P$6)))/'Profit Plan'!$B$5)</f>
        <v>0</v>
      </c>
      <c r="Q301" s="122">
        <f>IF($A301="","",(IF(ISNUMBER(SEARCH("Proposal",$A301)),SUMIFS('Timesheet Raw'!$P$4:$P$8000,'Timesheet Raw'!$A$4:$A$8000,IF(ISNUMBER(SEARCH("Chargable",$A301)),"2-Proposals Chargeable","3-Proposals Regular"),'Timesheet Raw'!$C$4:$C$8000,"*"&amp;$B301&amp;"*",'Timesheet Raw'!$L$4:$L$8000,"&gt;="&amp;MAX(Q$5,DATE(2000+VALUE(RIGHT(TRIM($A301),2)),1,1)),'Timesheet Raw'!$L$4:$L$8000,"&lt;="&amp;MIN(Q$6,DATE(2000+VALUE(RIGHT(TRIM($A301),2)),12,31))),SUMIFS('Timesheet Raw'!$P$4:$P$8000,'Timesheet Raw'!$B$4:$B$8000,TRIM($A301),'Timesheet Raw'!$C$4:$C$8000,"*"&amp;$B301&amp;"*",'Timesheet Raw'!$L$4:$L$8000,"&gt;="&amp;Q$5,'Timesheet Raw'!$L$4:$L$8000,"&lt;="&amp;Q$6)))/'Profit Plan'!$B$5)</f>
        <v>0</v>
      </c>
      <c r="R301" s="122">
        <f>IF($A301="","",(IF(ISNUMBER(SEARCH("Proposal",$A301)),SUMIFS('Timesheet Raw'!$P$4:$P$8000,'Timesheet Raw'!$A$4:$A$8000,IF(ISNUMBER(SEARCH("Chargable",$A301)),"2-Proposals Chargeable","3-Proposals Regular"),'Timesheet Raw'!$C$4:$C$8000,"*"&amp;$B301&amp;"*",'Timesheet Raw'!$L$4:$L$8000,"&gt;="&amp;MAX(R$5,DATE(2000+VALUE(RIGHT(TRIM($A301),2)),1,1)),'Timesheet Raw'!$L$4:$L$8000,"&lt;="&amp;MIN(R$6,DATE(2000+VALUE(RIGHT(TRIM($A301),2)),12,31))),SUMIFS('Timesheet Raw'!$P$4:$P$8000,'Timesheet Raw'!$B$4:$B$8000,TRIM($A301),'Timesheet Raw'!$C$4:$C$8000,"*"&amp;$B301&amp;"*",'Timesheet Raw'!$L$4:$L$8000,"&gt;="&amp;R$5,'Timesheet Raw'!$L$4:$L$8000,"&lt;="&amp;R$6)))/'Profit Plan'!$B$5)</f>
        <v>0</v>
      </c>
      <c r="S301" s="122">
        <f>IF($A301="","",(IF(ISNUMBER(SEARCH("Proposal",$A301)),SUMIFS('Timesheet Raw'!$P$4:$P$8000,'Timesheet Raw'!$A$4:$A$8000,IF(ISNUMBER(SEARCH("Chargable",$A301)),"2-Proposals Chargeable","3-Proposals Regular"),'Timesheet Raw'!$C$4:$C$8000,"*"&amp;$B301&amp;"*",'Timesheet Raw'!$L$4:$L$8000,"&gt;="&amp;MAX(S$5,DATE(2000+VALUE(RIGHT(TRIM($A301),2)),1,1)),'Timesheet Raw'!$L$4:$L$8000,"&lt;="&amp;MIN(S$6,DATE(2000+VALUE(RIGHT(TRIM($A301),2)),12,31))),SUMIFS('Timesheet Raw'!$P$4:$P$8000,'Timesheet Raw'!$B$4:$B$8000,TRIM($A301),'Timesheet Raw'!$C$4:$C$8000,"*"&amp;$B301&amp;"*",'Timesheet Raw'!$L$4:$L$8000,"&gt;="&amp;S$5,'Timesheet Raw'!$L$4:$L$8000,"&lt;="&amp;S$6)))/'Profit Plan'!$B$5)</f>
        <v>0</v>
      </c>
      <c r="T301" s="122">
        <f>IF($A301="","",(IF(ISNUMBER(SEARCH("Proposal",$A301)),SUMIFS('Timesheet Raw'!$P$4:$P$8000,'Timesheet Raw'!$A$4:$A$8000,IF(ISNUMBER(SEARCH("Chargable",$A301)),"2-Proposals Chargeable","3-Proposals Regular"),'Timesheet Raw'!$C$4:$C$8000,"*"&amp;$B301&amp;"*",'Timesheet Raw'!$L$4:$L$8000,"&gt;="&amp;MAX(T$5,DATE(2000+VALUE(RIGHT(TRIM($A301),2)),1,1)),'Timesheet Raw'!$L$4:$L$8000,"&lt;="&amp;MIN(T$6,DATE(2000+VALUE(RIGHT(TRIM($A301),2)),12,31))),SUMIFS('Timesheet Raw'!$P$4:$P$8000,'Timesheet Raw'!$B$4:$B$8000,TRIM($A301),'Timesheet Raw'!$C$4:$C$8000,"*"&amp;$B301&amp;"*",'Timesheet Raw'!$L$4:$L$8000,"&gt;="&amp;T$5,'Timesheet Raw'!$L$4:$L$8000,"&lt;="&amp;T$6)))/'Profit Plan'!$B$5)</f>
        <v>0</v>
      </c>
      <c r="U301" s="122">
        <f>IF($A301="","",(IF(ISNUMBER(SEARCH("Proposal",$A301)),SUMIFS('Timesheet Raw'!$P$4:$P$8000,'Timesheet Raw'!$A$4:$A$8000,IF(ISNUMBER(SEARCH("Chargable",$A301)),"2-Proposals Chargeable","3-Proposals Regular"),'Timesheet Raw'!$C$4:$C$8000,"*"&amp;$B301&amp;"*",'Timesheet Raw'!$L$4:$L$8000,"&gt;="&amp;MAX(U$5,DATE(2000+VALUE(RIGHT(TRIM($A301),2)),1,1)),'Timesheet Raw'!$L$4:$L$8000,"&lt;="&amp;MIN(U$6,DATE(2000+VALUE(RIGHT(TRIM($A301),2)),12,31))),SUMIFS('Timesheet Raw'!$P$4:$P$8000,'Timesheet Raw'!$B$4:$B$8000,TRIM($A301),'Timesheet Raw'!$C$4:$C$8000,"*"&amp;$B301&amp;"*",'Timesheet Raw'!$L$4:$L$8000,"&gt;="&amp;U$5,'Timesheet Raw'!$L$4:$L$8000,"&lt;="&amp;U$6)))/'Profit Plan'!$B$5)</f>
        <v>0</v>
      </c>
      <c r="V301" s="122">
        <f>IF($A301="","",(IF(ISNUMBER(SEARCH("Proposal",$A301)),SUMIFS('Timesheet Raw'!$P$4:$P$8000,'Timesheet Raw'!$A$4:$A$8000,IF(ISNUMBER(SEARCH("Chargable",$A301)),"2-Proposals Chargeable","3-Proposals Regular"),'Timesheet Raw'!$C$4:$C$8000,"*"&amp;$B301&amp;"*",'Timesheet Raw'!$L$4:$L$8000,"&gt;="&amp;MAX(V$5,DATE(2000+VALUE(RIGHT(TRIM($A301),2)),1,1)),'Timesheet Raw'!$L$4:$L$8000,"&lt;="&amp;MIN(V$6,DATE(2000+VALUE(RIGHT(TRIM($A301),2)),12,31))),SUMIFS('Timesheet Raw'!$P$4:$P$8000,'Timesheet Raw'!$B$4:$B$8000,TRIM($A301),'Timesheet Raw'!$C$4:$C$8000,"*"&amp;$B301&amp;"*",'Timesheet Raw'!$L$4:$L$8000,"&gt;="&amp;V$5,'Timesheet Raw'!$L$4:$L$8000,"&lt;="&amp;V$6)))/'Profit Plan'!$B$5)</f>
        <v>0</v>
      </c>
      <c r="W301" s="122">
        <f>IF($A301="","",(IF(ISNUMBER(SEARCH("Proposal",$A301)),SUMIFS('Timesheet Raw'!$P$4:$P$8000,'Timesheet Raw'!$A$4:$A$8000,IF(ISNUMBER(SEARCH("Chargable",$A301)),"2-Proposals Chargeable","3-Proposals Regular"),'Timesheet Raw'!$C$4:$C$8000,"*"&amp;$B301&amp;"*",'Timesheet Raw'!$L$4:$L$8000,"&gt;="&amp;MAX(W$5,DATE(2000+VALUE(RIGHT(TRIM($A301),2)),1,1)),'Timesheet Raw'!$L$4:$L$8000,"&lt;="&amp;MIN(W$6,DATE(2000+VALUE(RIGHT(TRIM($A301),2)),12,31))),SUMIFS('Timesheet Raw'!$P$4:$P$8000,'Timesheet Raw'!$B$4:$B$8000,TRIM($A301),'Timesheet Raw'!$C$4:$C$8000,"*"&amp;$B301&amp;"*",'Timesheet Raw'!$L$4:$L$8000,"&gt;="&amp;W$5,'Timesheet Raw'!$L$4:$L$8000,"&lt;="&amp;W$6)))/'Profit Plan'!$B$5)</f>
        <v>0</v>
      </c>
      <c r="X301" s="122">
        <f>IF($A301="","",(IF(ISNUMBER(SEARCH("Proposal",$A301)),SUMIFS('Timesheet Raw'!$P$4:$P$8000,'Timesheet Raw'!$A$4:$A$8000,IF(ISNUMBER(SEARCH("Chargable",$A301)),"2-Proposals Chargeable","3-Proposals Regular"),'Timesheet Raw'!$C$4:$C$8000,"*"&amp;$B301&amp;"*",'Timesheet Raw'!$L$4:$L$8000,"&gt;="&amp;MAX(X$5,DATE(2000+VALUE(RIGHT(TRIM($A301),2)),1,1)),'Timesheet Raw'!$L$4:$L$8000,"&lt;="&amp;MIN(X$6,DATE(2000+VALUE(RIGHT(TRIM($A301),2)),12,31))),SUMIFS('Timesheet Raw'!$P$4:$P$8000,'Timesheet Raw'!$B$4:$B$8000,TRIM($A301),'Timesheet Raw'!$C$4:$C$8000,"*"&amp;$B301&amp;"*",'Timesheet Raw'!$L$4:$L$8000,"&gt;="&amp;X$5,'Timesheet Raw'!$L$4:$L$8000,"&lt;="&amp;X$6)))/'Profit Plan'!$B$5)</f>
        <v>0</v>
      </c>
      <c r="Y301" s="118">
        <f t="shared" si="100"/>
        <v>0.11081081081081082</v>
      </c>
    </row>
    <row r="302" spans="1:25" x14ac:dyDescent="0.3">
      <c r="A302" s="116" t="str">
        <f>IF(Inputs!$A18="","",Inputs!$A18)</f>
        <v>J23152-0100D</v>
      </c>
      <c r="B302" s="116" t="str">
        <f>IF(Inputs!$A18="","",Inputs!$A$92)</f>
        <v>Osama</v>
      </c>
      <c r="C302" s="116"/>
      <c r="D302" s="122">
        <f>IF($A302="","",(IF(ISNUMBER(SEARCH("Proposal",$A302)),SUMIFS('Timesheet Raw'!$P$4:$P$8000,'Timesheet Raw'!$A$4:$A$8000,IF(ISNUMBER(SEARCH("Chargable",$A302)),"2-Proposals Chargeable","3-Proposals Regular"),'Timesheet Raw'!$C$4:$C$8000,"*"&amp;$B302&amp;"*",'Timesheet Raw'!$L$4:$L$8000,"&gt;="&amp;MAX(D$5,DATE(2000+VALUE(RIGHT(TRIM($A302),2)),1,1)),'Timesheet Raw'!$L$4:$L$8000,"&lt;="&amp;MIN(D$6,DATE(2000+VALUE(RIGHT(TRIM($A302),2)),12,31))),SUMIFS('Timesheet Raw'!$P$4:$P$8000,'Timesheet Raw'!$B$4:$B$8000,TRIM($A302),'Timesheet Raw'!$C$4:$C$8000,"*"&amp;$B302&amp;"*",'Timesheet Raw'!$L$4:$L$8000,"&gt;="&amp;D$5,'Timesheet Raw'!$L$4:$L$8000,"&lt;="&amp;D$6)))/'Profit Plan'!$B$5)</f>
        <v>0</v>
      </c>
      <c r="E302" s="122">
        <f>IF($A302="","",(IF(ISNUMBER(SEARCH("Proposal",$A302)),SUMIFS('Timesheet Raw'!$P$4:$P$8000,'Timesheet Raw'!$A$4:$A$8000,IF(ISNUMBER(SEARCH("Chargable",$A302)),"2-Proposals Chargeable","3-Proposals Regular"),'Timesheet Raw'!$C$4:$C$8000,"*"&amp;$B302&amp;"*",'Timesheet Raw'!$L$4:$L$8000,"&gt;="&amp;MAX(E$5,DATE(2000+VALUE(RIGHT(TRIM($A302),2)),1,1)),'Timesheet Raw'!$L$4:$L$8000,"&lt;="&amp;MIN(E$6,DATE(2000+VALUE(RIGHT(TRIM($A302),2)),12,31))),SUMIFS('Timesheet Raw'!$P$4:$P$8000,'Timesheet Raw'!$B$4:$B$8000,TRIM($A302),'Timesheet Raw'!$C$4:$C$8000,"*"&amp;$B302&amp;"*",'Timesheet Raw'!$L$4:$L$8000,"&gt;="&amp;E$5,'Timesheet Raw'!$L$4:$L$8000,"&lt;="&amp;E$6)))/'Profit Plan'!$B$5)</f>
        <v>0</v>
      </c>
      <c r="F302" s="122">
        <f>IF($A302="","",(IF(ISNUMBER(SEARCH("Proposal",$A302)),SUMIFS('Timesheet Raw'!$P$4:$P$8000,'Timesheet Raw'!$A$4:$A$8000,IF(ISNUMBER(SEARCH("Chargable",$A302)),"2-Proposals Chargeable","3-Proposals Regular"),'Timesheet Raw'!$C$4:$C$8000,"*"&amp;$B302&amp;"*",'Timesheet Raw'!$L$4:$L$8000,"&gt;="&amp;MAX(F$5,DATE(2000+VALUE(RIGHT(TRIM($A302),2)),1,1)),'Timesheet Raw'!$L$4:$L$8000,"&lt;="&amp;MIN(F$6,DATE(2000+VALUE(RIGHT(TRIM($A302),2)),12,31))),SUMIFS('Timesheet Raw'!$P$4:$P$8000,'Timesheet Raw'!$B$4:$B$8000,TRIM($A302),'Timesheet Raw'!$C$4:$C$8000,"*"&amp;$B302&amp;"*",'Timesheet Raw'!$L$4:$L$8000,"&gt;="&amp;F$5,'Timesheet Raw'!$L$4:$L$8000,"&lt;="&amp;F$6)))/'Profit Plan'!$B$5)</f>
        <v>0</v>
      </c>
      <c r="G302" s="122">
        <f>IF($A302="","",(IF(ISNUMBER(SEARCH("Proposal",$A302)),SUMIFS('Timesheet Raw'!$P$4:$P$8000,'Timesheet Raw'!$A$4:$A$8000,IF(ISNUMBER(SEARCH("Chargable",$A302)),"2-Proposals Chargeable","3-Proposals Regular"),'Timesheet Raw'!$C$4:$C$8000,"*"&amp;$B302&amp;"*",'Timesheet Raw'!$L$4:$L$8000,"&gt;="&amp;MAX(G$5,DATE(2000+VALUE(RIGHT(TRIM($A302),2)),1,1)),'Timesheet Raw'!$L$4:$L$8000,"&lt;="&amp;MIN(G$6,DATE(2000+VALUE(RIGHT(TRIM($A302),2)),12,31))),SUMIFS('Timesheet Raw'!$P$4:$P$8000,'Timesheet Raw'!$B$4:$B$8000,TRIM($A302),'Timesheet Raw'!$C$4:$C$8000,"*"&amp;$B302&amp;"*",'Timesheet Raw'!$L$4:$L$8000,"&gt;="&amp;G$5,'Timesheet Raw'!$L$4:$L$8000,"&lt;="&amp;G$6)))/'Profit Plan'!$B$5)</f>
        <v>0</v>
      </c>
      <c r="H302" s="122">
        <f>IF($A302="","",(IF(ISNUMBER(SEARCH("Proposal",$A302)),SUMIFS('Timesheet Raw'!$P$4:$P$8000,'Timesheet Raw'!$A$4:$A$8000,IF(ISNUMBER(SEARCH("Chargable",$A302)),"2-Proposals Chargeable","3-Proposals Regular"),'Timesheet Raw'!$C$4:$C$8000,"*"&amp;$B302&amp;"*",'Timesheet Raw'!$L$4:$L$8000,"&gt;="&amp;MAX(H$5,DATE(2000+VALUE(RIGHT(TRIM($A302),2)),1,1)),'Timesheet Raw'!$L$4:$L$8000,"&lt;="&amp;MIN(H$6,DATE(2000+VALUE(RIGHT(TRIM($A302),2)),12,31))),SUMIFS('Timesheet Raw'!$P$4:$P$8000,'Timesheet Raw'!$B$4:$B$8000,TRIM($A302),'Timesheet Raw'!$C$4:$C$8000,"*"&amp;$B302&amp;"*",'Timesheet Raw'!$L$4:$L$8000,"&gt;="&amp;H$5,'Timesheet Raw'!$L$4:$L$8000,"&lt;="&amp;H$6)))/'Profit Plan'!$B$5)</f>
        <v>0</v>
      </c>
      <c r="I302" s="122">
        <f>IF($A302="","",(IF(ISNUMBER(SEARCH("Proposal",$A302)),SUMIFS('Timesheet Raw'!$P$4:$P$8000,'Timesheet Raw'!$A$4:$A$8000,IF(ISNUMBER(SEARCH("Chargable",$A302)),"2-Proposals Chargeable","3-Proposals Regular"),'Timesheet Raw'!$C$4:$C$8000,"*"&amp;$B302&amp;"*",'Timesheet Raw'!$L$4:$L$8000,"&gt;="&amp;MAX(I$5,DATE(2000+VALUE(RIGHT(TRIM($A302),2)),1,1)),'Timesheet Raw'!$L$4:$L$8000,"&lt;="&amp;MIN(I$6,DATE(2000+VALUE(RIGHT(TRIM($A302),2)),12,31))),SUMIFS('Timesheet Raw'!$P$4:$P$8000,'Timesheet Raw'!$B$4:$B$8000,TRIM($A302),'Timesheet Raw'!$C$4:$C$8000,"*"&amp;$B302&amp;"*",'Timesheet Raw'!$L$4:$L$8000,"&gt;="&amp;I$5,'Timesheet Raw'!$L$4:$L$8000,"&lt;="&amp;I$6)))/'Profit Plan'!$B$5)</f>
        <v>0</v>
      </c>
      <c r="J302" s="122">
        <f>IF($A302="","",(IF(ISNUMBER(SEARCH("Proposal",$A302)),SUMIFS('Timesheet Raw'!$P$4:$P$8000,'Timesheet Raw'!$A$4:$A$8000,IF(ISNUMBER(SEARCH("Chargable",$A302)),"2-Proposals Chargeable","3-Proposals Regular"),'Timesheet Raw'!$C$4:$C$8000,"*"&amp;$B302&amp;"*",'Timesheet Raw'!$L$4:$L$8000,"&gt;="&amp;MAX(J$5,DATE(2000+VALUE(RIGHT(TRIM($A302),2)),1,1)),'Timesheet Raw'!$L$4:$L$8000,"&lt;="&amp;MIN(J$6,DATE(2000+VALUE(RIGHT(TRIM($A302),2)),12,31))),SUMIFS('Timesheet Raw'!$P$4:$P$8000,'Timesheet Raw'!$B$4:$B$8000,TRIM($A302),'Timesheet Raw'!$C$4:$C$8000,"*"&amp;$B302&amp;"*",'Timesheet Raw'!$L$4:$L$8000,"&gt;="&amp;J$5,'Timesheet Raw'!$L$4:$L$8000,"&lt;="&amp;J$6)))/'Profit Plan'!$B$5)</f>
        <v>0</v>
      </c>
      <c r="K302" s="122">
        <f>IF($A302="","",(IF(ISNUMBER(SEARCH("Proposal",$A302)),SUMIFS('Timesheet Raw'!$P$4:$P$8000,'Timesheet Raw'!$A$4:$A$8000,IF(ISNUMBER(SEARCH("Chargable",$A302)),"2-Proposals Chargeable","3-Proposals Regular"),'Timesheet Raw'!$C$4:$C$8000,"*"&amp;$B302&amp;"*",'Timesheet Raw'!$L$4:$L$8000,"&gt;="&amp;MAX(K$5,DATE(2000+VALUE(RIGHT(TRIM($A302),2)),1,1)),'Timesheet Raw'!$L$4:$L$8000,"&lt;="&amp;MIN(K$6,DATE(2000+VALUE(RIGHT(TRIM($A302),2)),12,31))),SUMIFS('Timesheet Raw'!$P$4:$P$8000,'Timesheet Raw'!$B$4:$B$8000,TRIM($A302),'Timesheet Raw'!$C$4:$C$8000,"*"&amp;$B302&amp;"*",'Timesheet Raw'!$L$4:$L$8000,"&gt;="&amp;K$5,'Timesheet Raw'!$L$4:$L$8000,"&lt;="&amp;K$6)))/'Profit Plan'!$B$5)</f>
        <v>0</v>
      </c>
      <c r="L302" s="122">
        <f>IF($A302="","",(IF(ISNUMBER(SEARCH("Proposal",$A302)),SUMIFS('Timesheet Raw'!$P$4:$P$8000,'Timesheet Raw'!$A$4:$A$8000,IF(ISNUMBER(SEARCH("Chargable",$A302)),"2-Proposals Chargeable","3-Proposals Regular"),'Timesheet Raw'!$C$4:$C$8000,"*"&amp;$B302&amp;"*",'Timesheet Raw'!$L$4:$L$8000,"&gt;="&amp;MAX(L$5,DATE(2000+VALUE(RIGHT(TRIM($A302),2)),1,1)),'Timesheet Raw'!$L$4:$L$8000,"&lt;="&amp;MIN(L$6,DATE(2000+VALUE(RIGHT(TRIM($A302),2)),12,31))),SUMIFS('Timesheet Raw'!$P$4:$P$8000,'Timesheet Raw'!$B$4:$B$8000,TRIM($A302),'Timesheet Raw'!$C$4:$C$8000,"*"&amp;$B302&amp;"*",'Timesheet Raw'!$L$4:$L$8000,"&gt;="&amp;L$5,'Timesheet Raw'!$L$4:$L$8000,"&lt;="&amp;L$6)))/'Profit Plan'!$B$5)</f>
        <v>0</v>
      </c>
      <c r="M302" s="122">
        <f>IF($A302="","",(IF(ISNUMBER(SEARCH("Proposal",$A302)),SUMIFS('Timesheet Raw'!$P$4:$P$8000,'Timesheet Raw'!$A$4:$A$8000,IF(ISNUMBER(SEARCH("Chargable",$A302)),"2-Proposals Chargeable","3-Proposals Regular"),'Timesheet Raw'!$C$4:$C$8000,"*"&amp;$B302&amp;"*",'Timesheet Raw'!$L$4:$L$8000,"&gt;="&amp;MAX(M$5,DATE(2000+VALUE(RIGHT(TRIM($A302),2)),1,1)),'Timesheet Raw'!$L$4:$L$8000,"&lt;="&amp;MIN(M$6,DATE(2000+VALUE(RIGHT(TRIM($A302),2)),12,31))),SUMIFS('Timesheet Raw'!$P$4:$P$8000,'Timesheet Raw'!$B$4:$B$8000,TRIM($A302),'Timesheet Raw'!$C$4:$C$8000,"*"&amp;$B302&amp;"*",'Timesheet Raw'!$L$4:$L$8000,"&gt;="&amp;M$5,'Timesheet Raw'!$L$4:$L$8000,"&lt;="&amp;M$6)))/'Profit Plan'!$B$5)</f>
        <v>0</v>
      </c>
      <c r="N302" s="122">
        <f>IF($A302="","",(IF(ISNUMBER(SEARCH("Proposal",$A302)),SUMIFS('Timesheet Raw'!$P$4:$P$8000,'Timesheet Raw'!$A$4:$A$8000,IF(ISNUMBER(SEARCH("Chargable",$A302)),"2-Proposals Chargeable","3-Proposals Regular"),'Timesheet Raw'!$C$4:$C$8000,"*"&amp;$B302&amp;"*",'Timesheet Raw'!$L$4:$L$8000,"&gt;="&amp;MAX(N$5,DATE(2000+VALUE(RIGHT(TRIM($A302),2)),1,1)),'Timesheet Raw'!$L$4:$L$8000,"&lt;="&amp;MIN(N$6,DATE(2000+VALUE(RIGHT(TRIM($A302),2)),12,31))),SUMIFS('Timesheet Raw'!$P$4:$P$8000,'Timesheet Raw'!$B$4:$B$8000,TRIM($A302),'Timesheet Raw'!$C$4:$C$8000,"*"&amp;$B302&amp;"*",'Timesheet Raw'!$L$4:$L$8000,"&gt;="&amp;N$5,'Timesheet Raw'!$L$4:$L$8000,"&lt;="&amp;N$6)))/'Profit Plan'!$B$5)</f>
        <v>0</v>
      </c>
      <c r="O302" s="122">
        <f>IF($A302="","",(IF(ISNUMBER(SEARCH("Proposal",$A302)),SUMIFS('Timesheet Raw'!$P$4:$P$8000,'Timesheet Raw'!$A$4:$A$8000,IF(ISNUMBER(SEARCH("Chargable",$A302)),"2-Proposals Chargeable","3-Proposals Regular"),'Timesheet Raw'!$C$4:$C$8000,"*"&amp;$B302&amp;"*",'Timesheet Raw'!$L$4:$L$8000,"&gt;="&amp;MAX(O$5,DATE(2000+VALUE(RIGHT(TRIM($A302),2)),1,1)),'Timesheet Raw'!$L$4:$L$8000,"&lt;="&amp;MIN(O$6,DATE(2000+VALUE(RIGHT(TRIM($A302),2)),12,31))),SUMIFS('Timesheet Raw'!$P$4:$P$8000,'Timesheet Raw'!$B$4:$B$8000,TRIM($A302),'Timesheet Raw'!$C$4:$C$8000,"*"&amp;$B302&amp;"*",'Timesheet Raw'!$L$4:$L$8000,"&gt;="&amp;O$5,'Timesheet Raw'!$L$4:$L$8000,"&lt;="&amp;O$6)))/'Profit Plan'!$B$5)</f>
        <v>0</v>
      </c>
      <c r="P302" s="122">
        <f>IF($A302="","",(IF(ISNUMBER(SEARCH("Proposal",$A302)),SUMIFS('Timesheet Raw'!$P$4:$P$8000,'Timesheet Raw'!$A$4:$A$8000,IF(ISNUMBER(SEARCH("Chargable",$A302)),"2-Proposals Chargeable","3-Proposals Regular"),'Timesheet Raw'!$C$4:$C$8000,"*"&amp;$B302&amp;"*",'Timesheet Raw'!$L$4:$L$8000,"&gt;="&amp;MAX(P$5,DATE(2000+VALUE(RIGHT(TRIM($A302),2)),1,1)),'Timesheet Raw'!$L$4:$L$8000,"&lt;="&amp;MIN(P$6,DATE(2000+VALUE(RIGHT(TRIM($A302),2)),12,31))),SUMIFS('Timesheet Raw'!$P$4:$P$8000,'Timesheet Raw'!$B$4:$B$8000,TRIM($A302),'Timesheet Raw'!$C$4:$C$8000,"*"&amp;$B302&amp;"*",'Timesheet Raw'!$L$4:$L$8000,"&gt;="&amp;P$5,'Timesheet Raw'!$L$4:$L$8000,"&lt;="&amp;P$6)))/'Profit Plan'!$B$5)</f>
        <v>0</v>
      </c>
      <c r="Q302" s="122">
        <f>IF($A302="","",(IF(ISNUMBER(SEARCH("Proposal",$A302)),SUMIFS('Timesheet Raw'!$P$4:$P$8000,'Timesheet Raw'!$A$4:$A$8000,IF(ISNUMBER(SEARCH("Chargable",$A302)),"2-Proposals Chargeable","3-Proposals Regular"),'Timesheet Raw'!$C$4:$C$8000,"*"&amp;$B302&amp;"*",'Timesheet Raw'!$L$4:$L$8000,"&gt;="&amp;MAX(Q$5,DATE(2000+VALUE(RIGHT(TRIM($A302),2)),1,1)),'Timesheet Raw'!$L$4:$L$8000,"&lt;="&amp;MIN(Q$6,DATE(2000+VALUE(RIGHT(TRIM($A302),2)),12,31))),SUMIFS('Timesheet Raw'!$P$4:$P$8000,'Timesheet Raw'!$B$4:$B$8000,TRIM($A302),'Timesheet Raw'!$C$4:$C$8000,"*"&amp;$B302&amp;"*",'Timesheet Raw'!$L$4:$L$8000,"&gt;="&amp;Q$5,'Timesheet Raw'!$L$4:$L$8000,"&lt;="&amp;Q$6)))/'Profit Plan'!$B$5)</f>
        <v>0</v>
      </c>
      <c r="R302" s="122">
        <f>IF($A302="","",(IF(ISNUMBER(SEARCH("Proposal",$A302)),SUMIFS('Timesheet Raw'!$P$4:$P$8000,'Timesheet Raw'!$A$4:$A$8000,IF(ISNUMBER(SEARCH("Chargable",$A302)),"2-Proposals Chargeable","3-Proposals Regular"),'Timesheet Raw'!$C$4:$C$8000,"*"&amp;$B302&amp;"*",'Timesheet Raw'!$L$4:$L$8000,"&gt;="&amp;MAX(R$5,DATE(2000+VALUE(RIGHT(TRIM($A302),2)),1,1)),'Timesheet Raw'!$L$4:$L$8000,"&lt;="&amp;MIN(R$6,DATE(2000+VALUE(RIGHT(TRIM($A302),2)),12,31))),SUMIFS('Timesheet Raw'!$P$4:$P$8000,'Timesheet Raw'!$B$4:$B$8000,TRIM($A302),'Timesheet Raw'!$C$4:$C$8000,"*"&amp;$B302&amp;"*",'Timesheet Raw'!$L$4:$L$8000,"&gt;="&amp;R$5,'Timesheet Raw'!$L$4:$L$8000,"&lt;="&amp;R$6)))/'Profit Plan'!$B$5)</f>
        <v>0</v>
      </c>
      <c r="S302" s="122">
        <f>IF($A302="","",(IF(ISNUMBER(SEARCH("Proposal",$A302)),SUMIFS('Timesheet Raw'!$P$4:$P$8000,'Timesheet Raw'!$A$4:$A$8000,IF(ISNUMBER(SEARCH("Chargable",$A302)),"2-Proposals Chargeable","3-Proposals Regular"),'Timesheet Raw'!$C$4:$C$8000,"*"&amp;$B302&amp;"*",'Timesheet Raw'!$L$4:$L$8000,"&gt;="&amp;MAX(S$5,DATE(2000+VALUE(RIGHT(TRIM($A302),2)),1,1)),'Timesheet Raw'!$L$4:$L$8000,"&lt;="&amp;MIN(S$6,DATE(2000+VALUE(RIGHT(TRIM($A302),2)),12,31))),SUMIFS('Timesheet Raw'!$P$4:$P$8000,'Timesheet Raw'!$B$4:$B$8000,TRIM($A302),'Timesheet Raw'!$C$4:$C$8000,"*"&amp;$B302&amp;"*",'Timesheet Raw'!$L$4:$L$8000,"&gt;="&amp;S$5,'Timesheet Raw'!$L$4:$L$8000,"&lt;="&amp;S$6)))/'Profit Plan'!$B$5)</f>
        <v>0</v>
      </c>
      <c r="T302" s="122">
        <f>IF($A302="","",(IF(ISNUMBER(SEARCH("Proposal",$A302)),SUMIFS('Timesheet Raw'!$P$4:$P$8000,'Timesheet Raw'!$A$4:$A$8000,IF(ISNUMBER(SEARCH("Chargable",$A302)),"2-Proposals Chargeable","3-Proposals Regular"),'Timesheet Raw'!$C$4:$C$8000,"*"&amp;$B302&amp;"*",'Timesheet Raw'!$L$4:$L$8000,"&gt;="&amp;MAX(T$5,DATE(2000+VALUE(RIGHT(TRIM($A302),2)),1,1)),'Timesheet Raw'!$L$4:$L$8000,"&lt;="&amp;MIN(T$6,DATE(2000+VALUE(RIGHT(TRIM($A302),2)),12,31))),SUMIFS('Timesheet Raw'!$P$4:$P$8000,'Timesheet Raw'!$B$4:$B$8000,TRIM($A302),'Timesheet Raw'!$C$4:$C$8000,"*"&amp;$B302&amp;"*",'Timesheet Raw'!$L$4:$L$8000,"&gt;="&amp;T$5,'Timesheet Raw'!$L$4:$L$8000,"&lt;="&amp;T$6)))/'Profit Plan'!$B$5)</f>
        <v>0</v>
      </c>
      <c r="U302" s="122">
        <f>IF($A302="","",(IF(ISNUMBER(SEARCH("Proposal",$A302)),SUMIFS('Timesheet Raw'!$P$4:$P$8000,'Timesheet Raw'!$A$4:$A$8000,IF(ISNUMBER(SEARCH("Chargable",$A302)),"2-Proposals Chargeable","3-Proposals Regular"),'Timesheet Raw'!$C$4:$C$8000,"*"&amp;$B302&amp;"*",'Timesheet Raw'!$L$4:$L$8000,"&gt;="&amp;MAX(U$5,DATE(2000+VALUE(RIGHT(TRIM($A302),2)),1,1)),'Timesheet Raw'!$L$4:$L$8000,"&lt;="&amp;MIN(U$6,DATE(2000+VALUE(RIGHT(TRIM($A302),2)),12,31))),SUMIFS('Timesheet Raw'!$P$4:$P$8000,'Timesheet Raw'!$B$4:$B$8000,TRIM($A302),'Timesheet Raw'!$C$4:$C$8000,"*"&amp;$B302&amp;"*",'Timesheet Raw'!$L$4:$L$8000,"&gt;="&amp;U$5,'Timesheet Raw'!$L$4:$L$8000,"&lt;="&amp;U$6)))/'Profit Plan'!$B$5)</f>
        <v>0</v>
      </c>
      <c r="V302" s="122">
        <f>IF($A302="","",(IF(ISNUMBER(SEARCH("Proposal",$A302)),SUMIFS('Timesheet Raw'!$P$4:$P$8000,'Timesheet Raw'!$A$4:$A$8000,IF(ISNUMBER(SEARCH("Chargable",$A302)),"2-Proposals Chargeable","3-Proposals Regular"),'Timesheet Raw'!$C$4:$C$8000,"*"&amp;$B302&amp;"*",'Timesheet Raw'!$L$4:$L$8000,"&gt;="&amp;MAX(V$5,DATE(2000+VALUE(RIGHT(TRIM($A302),2)),1,1)),'Timesheet Raw'!$L$4:$L$8000,"&lt;="&amp;MIN(V$6,DATE(2000+VALUE(RIGHT(TRIM($A302),2)),12,31))),SUMIFS('Timesheet Raw'!$P$4:$P$8000,'Timesheet Raw'!$B$4:$B$8000,TRIM($A302),'Timesheet Raw'!$C$4:$C$8000,"*"&amp;$B302&amp;"*",'Timesheet Raw'!$L$4:$L$8000,"&gt;="&amp;V$5,'Timesheet Raw'!$L$4:$L$8000,"&lt;="&amp;V$6)))/'Profit Plan'!$B$5)</f>
        <v>0</v>
      </c>
      <c r="W302" s="122">
        <f>IF($A302="","",(IF(ISNUMBER(SEARCH("Proposal",$A302)),SUMIFS('Timesheet Raw'!$P$4:$P$8000,'Timesheet Raw'!$A$4:$A$8000,IF(ISNUMBER(SEARCH("Chargable",$A302)),"2-Proposals Chargeable","3-Proposals Regular"),'Timesheet Raw'!$C$4:$C$8000,"*"&amp;$B302&amp;"*",'Timesheet Raw'!$L$4:$L$8000,"&gt;="&amp;MAX(W$5,DATE(2000+VALUE(RIGHT(TRIM($A302),2)),1,1)),'Timesheet Raw'!$L$4:$L$8000,"&lt;="&amp;MIN(W$6,DATE(2000+VALUE(RIGHT(TRIM($A302),2)),12,31))),SUMIFS('Timesheet Raw'!$P$4:$P$8000,'Timesheet Raw'!$B$4:$B$8000,TRIM($A302),'Timesheet Raw'!$C$4:$C$8000,"*"&amp;$B302&amp;"*",'Timesheet Raw'!$L$4:$L$8000,"&gt;="&amp;W$5,'Timesheet Raw'!$L$4:$L$8000,"&lt;="&amp;W$6)))/'Profit Plan'!$B$5)</f>
        <v>0</v>
      </c>
      <c r="X302" s="122">
        <f>IF($A302="","",(IF(ISNUMBER(SEARCH("Proposal",$A302)),SUMIFS('Timesheet Raw'!$P$4:$P$8000,'Timesheet Raw'!$A$4:$A$8000,IF(ISNUMBER(SEARCH("Chargable",$A302)),"2-Proposals Chargeable","3-Proposals Regular"),'Timesheet Raw'!$C$4:$C$8000,"*"&amp;$B302&amp;"*",'Timesheet Raw'!$L$4:$L$8000,"&gt;="&amp;MAX(X$5,DATE(2000+VALUE(RIGHT(TRIM($A302),2)),1,1)),'Timesheet Raw'!$L$4:$L$8000,"&lt;="&amp;MIN(X$6,DATE(2000+VALUE(RIGHT(TRIM($A302),2)),12,31))),SUMIFS('Timesheet Raw'!$P$4:$P$8000,'Timesheet Raw'!$B$4:$B$8000,TRIM($A302),'Timesheet Raw'!$C$4:$C$8000,"*"&amp;$B302&amp;"*",'Timesheet Raw'!$L$4:$L$8000,"&gt;="&amp;X$5,'Timesheet Raw'!$L$4:$L$8000,"&lt;="&amp;X$6)))/'Profit Plan'!$B$5)</f>
        <v>0</v>
      </c>
      <c r="Y302" s="118">
        <f t="shared" si="100"/>
        <v>0</v>
      </c>
    </row>
    <row r="303" spans="1:25" x14ac:dyDescent="0.3">
      <c r="A303" s="116" t="str">
        <f>IF(Inputs!$A18="","",Inputs!$A18)</f>
        <v>J23152-0100D</v>
      </c>
      <c r="B303" s="116" t="str">
        <f>IF(Inputs!$A18="","",Inputs!$A$93)</f>
        <v>Kirolos</v>
      </c>
      <c r="C303" s="116"/>
      <c r="D303" s="122">
        <f>IF($A303="","",(IF(ISNUMBER(SEARCH("Proposal",$A303)),SUMIFS('Timesheet Raw'!$P$4:$P$8000,'Timesheet Raw'!$A$4:$A$8000,IF(ISNUMBER(SEARCH("Chargable",$A303)),"2-Proposals Chargeable","3-Proposals Regular"),'Timesheet Raw'!$C$4:$C$8000,"*"&amp;$B303&amp;"*",'Timesheet Raw'!$L$4:$L$8000,"&gt;="&amp;MAX(D$5,DATE(2000+VALUE(RIGHT(TRIM($A303),2)),1,1)),'Timesheet Raw'!$L$4:$L$8000,"&lt;="&amp;MIN(D$6,DATE(2000+VALUE(RIGHT(TRIM($A303),2)),12,31))),SUMIFS('Timesheet Raw'!$P$4:$P$8000,'Timesheet Raw'!$B$4:$B$8000,TRIM($A303),'Timesheet Raw'!$C$4:$C$8000,"*"&amp;$B303&amp;"*",'Timesheet Raw'!$L$4:$L$8000,"&gt;="&amp;D$5,'Timesheet Raw'!$L$4:$L$8000,"&lt;="&amp;D$6)))/'Profit Plan'!$B$5)</f>
        <v>0</v>
      </c>
      <c r="E303" s="122">
        <f>IF($A303="","",(IF(ISNUMBER(SEARCH("Proposal",$A303)),SUMIFS('Timesheet Raw'!$P$4:$P$8000,'Timesheet Raw'!$A$4:$A$8000,IF(ISNUMBER(SEARCH("Chargable",$A303)),"2-Proposals Chargeable","3-Proposals Regular"),'Timesheet Raw'!$C$4:$C$8000,"*"&amp;$B303&amp;"*",'Timesheet Raw'!$L$4:$L$8000,"&gt;="&amp;MAX(E$5,DATE(2000+VALUE(RIGHT(TRIM($A303),2)),1,1)),'Timesheet Raw'!$L$4:$L$8000,"&lt;="&amp;MIN(E$6,DATE(2000+VALUE(RIGHT(TRIM($A303),2)),12,31))),SUMIFS('Timesheet Raw'!$P$4:$P$8000,'Timesheet Raw'!$B$4:$B$8000,TRIM($A303),'Timesheet Raw'!$C$4:$C$8000,"*"&amp;$B303&amp;"*",'Timesheet Raw'!$L$4:$L$8000,"&gt;="&amp;E$5,'Timesheet Raw'!$L$4:$L$8000,"&lt;="&amp;E$6)))/'Profit Plan'!$B$5)</f>
        <v>0</v>
      </c>
      <c r="F303" s="122">
        <f>IF($A303="","",(IF(ISNUMBER(SEARCH("Proposal",$A303)),SUMIFS('Timesheet Raw'!$P$4:$P$8000,'Timesheet Raw'!$A$4:$A$8000,IF(ISNUMBER(SEARCH("Chargable",$A303)),"2-Proposals Chargeable","3-Proposals Regular"),'Timesheet Raw'!$C$4:$C$8000,"*"&amp;$B303&amp;"*",'Timesheet Raw'!$L$4:$L$8000,"&gt;="&amp;MAX(F$5,DATE(2000+VALUE(RIGHT(TRIM($A303),2)),1,1)),'Timesheet Raw'!$L$4:$L$8000,"&lt;="&amp;MIN(F$6,DATE(2000+VALUE(RIGHT(TRIM($A303),2)),12,31))),SUMIFS('Timesheet Raw'!$P$4:$P$8000,'Timesheet Raw'!$B$4:$B$8000,TRIM($A303),'Timesheet Raw'!$C$4:$C$8000,"*"&amp;$B303&amp;"*",'Timesheet Raw'!$L$4:$L$8000,"&gt;="&amp;F$5,'Timesheet Raw'!$L$4:$L$8000,"&lt;="&amp;F$6)))/'Profit Plan'!$B$5)</f>
        <v>0</v>
      </c>
      <c r="G303" s="122">
        <f>IF($A303="","",(IF(ISNUMBER(SEARCH("Proposal",$A303)),SUMIFS('Timesheet Raw'!$P$4:$P$8000,'Timesheet Raw'!$A$4:$A$8000,IF(ISNUMBER(SEARCH("Chargable",$A303)),"2-Proposals Chargeable","3-Proposals Regular"),'Timesheet Raw'!$C$4:$C$8000,"*"&amp;$B303&amp;"*",'Timesheet Raw'!$L$4:$L$8000,"&gt;="&amp;MAX(G$5,DATE(2000+VALUE(RIGHT(TRIM($A303),2)),1,1)),'Timesheet Raw'!$L$4:$L$8000,"&lt;="&amp;MIN(G$6,DATE(2000+VALUE(RIGHT(TRIM($A303),2)),12,31))),SUMIFS('Timesheet Raw'!$P$4:$P$8000,'Timesheet Raw'!$B$4:$B$8000,TRIM($A303),'Timesheet Raw'!$C$4:$C$8000,"*"&amp;$B303&amp;"*",'Timesheet Raw'!$L$4:$L$8000,"&gt;="&amp;G$5,'Timesheet Raw'!$L$4:$L$8000,"&lt;="&amp;G$6)))/'Profit Plan'!$B$5)</f>
        <v>0</v>
      </c>
      <c r="H303" s="122">
        <f>IF($A303="","",(IF(ISNUMBER(SEARCH("Proposal",$A303)),SUMIFS('Timesheet Raw'!$P$4:$P$8000,'Timesheet Raw'!$A$4:$A$8000,IF(ISNUMBER(SEARCH("Chargable",$A303)),"2-Proposals Chargeable","3-Proposals Regular"),'Timesheet Raw'!$C$4:$C$8000,"*"&amp;$B303&amp;"*",'Timesheet Raw'!$L$4:$L$8000,"&gt;="&amp;MAX(H$5,DATE(2000+VALUE(RIGHT(TRIM($A303),2)),1,1)),'Timesheet Raw'!$L$4:$L$8000,"&lt;="&amp;MIN(H$6,DATE(2000+VALUE(RIGHT(TRIM($A303),2)),12,31))),SUMIFS('Timesheet Raw'!$P$4:$P$8000,'Timesheet Raw'!$B$4:$B$8000,TRIM($A303),'Timesheet Raw'!$C$4:$C$8000,"*"&amp;$B303&amp;"*",'Timesheet Raw'!$L$4:$L$8000,"&gt;="&amp;H$5,'Timesheet Raw'!$L$4:$L$8000,"&lt;="&amp;H$6)))/'Profit Plan'!$B$5)</f>
        <v>0</v>
      </c>
      <c r="I303" s="122">
        <f>IF($A303="","",(IF(ISNUMBER(SEARCH("Proposal",$A303)),SUMIFS('Timesheet Raw'!$P$4:$P$8000,'Timesheet Raw'!$A$4:$A$8000,IF(ISNUMBER(SEARCH("Chargable",$A303)),"2-Proposals Chargeable","3-Proposals Regular"),'Timesheet Raw'!$C$4:$C$8000,"*"&amp;$B303&amp;"*",'Timesheet Raw'!$L$4:$L$8000,"&gt;="&amp;MAX(I$5,DATE(2000+VALUE(RIGHT(TRIM($A303),2)),1,1)),'Timesheet Raw'!$L$4:$L$8000,"&lt;="&amp;MIN(I$6,DATE(2000+VALUE(RIGHT(TRIM($A303),2)),12,31))),SUMIFS('Timesheet Raw'!$P$4:$P$8000,'Timesheet Raw'!$B$4:$B$8000,TRIM($A303),'Timesheet Raw'!$C$4:$C$8000,"*"&amp;$B303&amp;"*",'Timesheet Raw'!$L$4:$L$8000,"&gt;="&amp;I$5,'Timesheet Raw'!$L$4:$L$8000,"&lt;="&amp;I$6)))/'Profit Plan'!$B$5)</f>
        <v>0</v>
      </c>
      <c r="J303" s="122">
        <f>IF($A303="","",(IF(ISNUMBER(SEARCH("Proposal",$A303)),SUMIFS('Timesheet Raw'!$P$4:$P$8000,'Timesheet Raw'!$A$4:$A$8000,IF(ISNUMBER(SEARCH("Chargable",$A303)),"2-Proposals Chargeable","3-Proposals Regular"),'Timesheet Raw'!$C$4:$C$8000,"*"&amp;$B303&amp;"*",'Timesheet Raw'!$L$4:$L$8000,"&gt;="&amp;MAX(J$5,DATE(2000+VALUE(RIGHT(TRIM($A303),2)),1,1)),'Timesheet Raw'!$L$4:$L$8000,"&lt;="&amp;MIN(J$6,DATE(2000+VALUE(RIGHT(TRIM($A303),2)),12,31))),SUMIFS('Timesheet Raw'!$P$4:$P$8000,'Timesheet Raw'!$B$4:$B$8000,TRIM($A303),'Timesheet Raw'!$C$4:$C$8000,"*"&amp;$B303&amp;"*",'Timesheet Raw'!$L$4:$L$8000,"&gt;="&amp;J$5,'Timesheet Raw'!$L$4:$L$8000,"&lt;="&amp;J$6)))/'Profit Plan'!$B$5)</f>
        <v>0</v>
      </c>
      <c r="K303" s="122">
        <f>IF($A303="","",(IF(ISNUMBER(SEARCH("Proposal",$A303)),SUMIFS('Timesheet Raw'!$P$4:$P$8000,'Timesheet Raw'!$A$4:$A$8000,IF(ISNUMBER(SEARCH("Chargable",$A303)),"2-Proposals Chargeable","3-Proposals Regular"),'Timesheet Raw'!$C$4:$C$8000,"*"&amp;$B303&amp;"*",'Timesheet Raw'!$L$4:$L$8000,"&gt;="&amp;MAX(K$5,DATE(2000+VALUE(RIGHT(TRIM($A303),2)),1,1)),'Timesheet Raw'!$L$4:$L$8000,"&lt;="&amp;MIN(K$6,DATE(2000+VALUE(RIGHT(TRIM($A303),2)),12,31))),SUMIFS('Timesheet Raw'!$P$4:$P$8000,'Timesheet Raw'!$B$4:$B$8000,TRIM($A303),'Timesheet Raw'!$C$4:$C$8000,"*"&amp;$B303&amp;"*",'Timesheet Raw'!$L$4:$L$8000,"&gt;="&amp;K$5,'Timesheet Raw'!$L$4:$L$8000,"&lt;="&amp;K$6)))/'Profit Plan'!$B$5)</f>
        <v>0</v>
      </c>
      <c r="L303" s="122">
        <f>IF($A303="","",(IF(ISNUMBER(SEARCH("Proposal",$A303)),SUMIFS('Timesheet Raw'!$P$4:$P$8000,'Timesheet Raw'!$A$4:$A$8000,IF(ISNUMBER(SEARCH("Chargable",$A303)),"2-Proposals Chargeable","3-Proposals Regular"),'Timesheet Raw'!$C$4:$C$8000,"*"&amp;$B303&amp;"*",'Timesheet Raw'!$L$4:$L$8000,"&gt;="&amp;MAX(L$5,DATE(2000+VALUE(RIGHT(TRIM($A303),2)),1,1)),'Timesheet Raw'!$L$4:$L$8000,"&lt;="&amp;MIN(L$6,DATE(2000+VALUE(RIGHT(TRIM($A303),2)),12,31))),SUMIFS('Timesheet Raw'!$P$4:$P$8000,'Timesheet Raw'!$B$4:$B$8000,TRIM($A303),'Timesheet Raw'!$C$4:$C$8000,"*"&amp;$B303&amp;"*",'Timesheet Raw'!$L$4:$L$8000,"&gt;="&amp;L$5,'Timesheet Raw'!$L$4:$L$8000,"&lt;="&amp;L$6)))/'Profit Plan'!$B$5)</f>
        <v>0</v>
      </c>
      <c r="M303" s="122">
        <f>IF($A303="","",(IF(ISNUMBER(SEARCH("Proposal",$A303)),SUMIFS('Timesheet Raw'!$P$4:$P$8000,'Timesheet Raw'!$A$4:$A$8000,IF(ISNUMBER(SEARCH("Chargable",$A303)),"2-Proposals Chargeable","3-Proposals Regular"),'Timesheet Raw'!$C$4:$C$8000,"*"&amp;$B303&amp;"*",'Timesheet Raw'!$L$4:$L$8000,"&gt;="&amp;MAX(M$5,DATE(2000+VALUE(RIGHT(TRIM($A303),2)),1,1)),'Timesheet Raw'!$L$4:$L$8000,"&lt;="&amp;MIN(M$6,DATE(2000+VALUE(RIGHT(TRIM($A303),2)),12,31))),SUMIFS('Timesheet Raw'!$P$4:$P$8000,'Timesheet Raw'!$B$4:$B$8000,TRIM($A303),'Timesheet Raw'!$C$4:$C$8000,"*"&amp;$B303&amp;"*",'Timesheet Raw'!$L$4:$L$8000,"&gt;="&amp;M$5,'Timesheet Raw'!$L$4:$L$8000,"&lt;="&amp;M$6)))/'Profit Plan'!$B$5)</f>
        <v>0</v>
      </c>
      <c r="N303" s="122">
        <f>IF($A303="","",(IF(ISNUMBER(SEARCH("Proposal",$A303)),SUMIFS('Timesheet Raw'!$P$4:$P$8000,'Timesheet Raw'!$A$4:$A$8000,IF(ISNUMBER(SEARCH("Chargable",$A303)),"2-Proposals Chargeable","3-Proposals Regular"),'Timesheet Raw'!$C$4:$C$8000,"*"&amp;$B303&amp;"*",'Timesheet Raw'!$L$4:$L$8000,"&gt;="&amp;MAX(N$5,DATE(2000+VALUE(RIGHT(TRIM($A303),2)),1,1)),'Timesheet Raw'!$L$4:$L$8000,"&lt;="&amp;MIN(N$6,DATE(2000+VALUE(RIGHT(TRIM($A303),2)),12,31))),SUMIFS('Timesheet Raw'!$P$4:$P$8000,'Timesheet Raw'!$B$4:$B$8000,TRIM($A303),'Timesheet Raw'!$C$4:$C$8000,"*"&amp;$B303&amp;"*",'Timesheet Raw'!$L$4:$L$8000,"&gt;="&amp;N$5,'Timesheet Raw'!$L$4:$L$8000,"&lt;="&amp;N$6)))/'Profit Plan'!$B$5)</f>
        <v>0</v>
      </c>
      <c r="O303" s="122">
        <f>IF($A303="","",(IF(ISNUMBER(SEARCH("Proposal",$A303)),SUMIFS('Timesheet Raw'!$P$4:$P$8000,'Timesheet Raw'!$A$4:$A$8000,IF(ISNUMBER(SEARCH("Chargable",$A303)),"2-Proposals Chargeable","3-Proposals Regular"),'Timesheet Raw'!$C$4:$C$8000,"*"&amp;$B303&amp;"*",'Timesheet Raw'!$L$4:$L$8000,"&gt;="&amp;MAX(O$5,DATE(2000+VALUE(RIGHT(TRIM($A303),2)),1,1)),'Timesheet Raw'!$L$4:$L$8000,"&lt;="&amp;MIN(O$6,DATE(2000+VALUE(RIGHT(TRIM($A303),2)),12,31))),SUMIFS('Timesheet Raw'!$P$4:$P$8000,'Timesheet Raw'!$B$4:$B$8000,TRIM($A303),'Timesheet Raw'!$C$4:$C$8000,"*"&amp;$B303&amp;"*",'Timesheet Raw'!$L$4:$L$8000,"&gt;="&amp;O$5,'Timesheet Raw'!$L$4:$L$8000,"&lt;="&amp;O$6)))/'Profit Plan'!$B$5)</f>
        <v>0</v>
      </c>
      <c r="P303" s="122">
        <f>IF($A303="","",(IF(ISNUMBER(SEARCH("Proposal",$A303)),SUMIFS('Timesheet Raw'!$P$4:$P$8000,'Timesheet Raw'!$A$4:$A$8000,IF(ISNUMBER(SEARCH("Chargable",$A303)),"2-Proposals Chargeable","3-Proposals Regular"),'Timesheet Raw'!$C$4:$C$8000,"*"&amp;$B303&amp;"*",'Timesheet Raw'!$L$4:$L$8000,"&gt;="&amp;MAX(P$5,DATE(2000+VALUE(RIGHT(TRIM($A303),2)),1,1)),'Timesheet Raw'!$L$4:$L$8000,"&lt;="&amp;MIN(P$6,DATE(2000+VALUE(RIGHT(TRIM($A303),2)),12,31))),SUMIFS('Timesheet Raw'!$P$4:$P$8000,'Timesheet Raw'!$B$4:$B$8000,TRIM($A303),'Timesheet Raw'!$C$4:$C$8000,"*"&amp;$B303&amp;"*",'Timesheet Raw'!$L$4:$L$8000,"&gt;="&amp;P$5,'Timesheet Raw'!$L$4:$L$8000,"&lt;="&amp;P$6)))/'Profit Plan'!$B$5)</f>
        <v>0</v>
      </c>
      <c r="Q303" s="122">
        <f>IF($A303="","",(IF(ISNUMBER(SEARCH("Proposal",$A303)),SUMIFS('Timesheet Raw'!$P$4:$P$8000,'Timesheet Raw'!$A$4:$A$8000,IF(ISNUMBER(SEARCH("Chargable",$A303)),"2-Proposals Chargeable","3-Proposals Regular"),'Timesheet Raw'!$C$4:$C$8000,"*"&amp;$B303&amp;"*",'Timesheet Raw'!$L$4:$L$8000,"&gt;="&amp;MAX(Q$5,DATE(2000+VALUE(RIGHT(TRIM($A303),2)),1,1)),'Timesheet Raw'!$L$4:$L$8000,"&lt;="&amp;MIN(Q$6,DATE(2000+VALUE(RIGHT(TRIM($A303),2)),12,31))),SUMIFS('Timesheet Raw'!$P$4:$P$8000,'Timesheet Raw'!$B$4:$B$8000,TRIM($A303),'Timesheet Raw'!$C$4:$C$8000,"*"&amp;$B303&amp;"*",'Timesheet Raw'!$L$4:$L$8000,"&gt;="&amp;Q$5,'Timesheet Raw'!$L$4:$L$8000,"&lt;="&amp;Q$6)))/'Profit Plan'!$B$5)</f>
        <v>0</v>
      </c>
      <c r="R303" s="122">
        <f>IF($A303="","",(IF(ISNUMBER(SEARCH("Proposal",$A303)),SUMIFS('Timesheet Raw'!$P$4:$P$8000,'Timesheet Raw'!$A$4:$A$8000,IF(ISNUMBER(SEARCH("Chargable",$A303)),"2-Proposals Chargeable","3-Proposals Regular"),'Timesheet Raw'!$C$4:$C$8000,"*"&amp;$B303&amp;"*",'Timesheet Raw'!$L$4:$L$8000,"&gt;="&amp;MAX(R$5,DATE(2000+VALUE(RIGHT(TRIM($A303),2)),1,1)),'Timesheet Raw'!$L$4:$L$8000,"&lt;="&amp;MIN(R$6,DATE(2000+VALUE(RIGHT(TRIM($A303),2)),12,31))),SUMIFS('Timesheet Raw'!$P$4:$P$8000,'Timesheet Raw'!$B$4:$B$8000,TRIM($A303),'Timesheet Raw'!$C$4:$C$8000,"*"&amp;$B303&amp;"*",'Timesheet Raw'!$L$4:$L$8000,"&gt;="&amp;R$5,'Timesheet Raw'!$L$4:$L$8000,"&lt;="&amp;R$6)))/'Profit Plan'!$B$5)</f>
        <v>0</v>
      </c>
      <c r="S303" s="122">
        <f>IF($A303="","",(IF(ISNUMBER(SEARCH("Proposal",$A303)),SUMIFS('Timesheet Raw'!$P$4:$P$8000,'Timesheet Raw'!$A$4:$A$8000,IF(ISNUMBER(SEARCH("Chargable",$A303)),"2-Proposals Chargeable","3-Proposals Regular"),'Timesheet Raw'!$C$4:$C$8000,"*"&amp;$B303&amp;"*",'Timesheet Raw'!$L$4:$L$8000,"&gt;="&amp;MAX(S$5,DATE(2000+VALUE(RIGHT(TRIM($A303),2)),1,1)),'Timesheet Raw'!$L$4:$L$8000,"&lt;="&amp;MIN(S$6,DATE(2000+VALUE(RIGHT(TRIM($A303),2)),12,31))),SUMIFS('Timesheet Raw'!$P$4:$P$8000,'Timesheet Raw'!$B$4:$B$8000,TRIM($A303),'Timesheet Raw'!$C$4:$C$8000,"*"&amp;$B303&amp;"*",'Timesheet Raw'!$L$4:$L$8000,"&gt;="&amp;S$5,'Timesheet Raw'!$L$4:$L$8000,"&lt;="&amp;S$6)))/'Profit Plan'!$B$5)</f>
        <v>0</v>
      </c>
      <c r="T303" s="122">
        <f>IF($A303="","",(IF(ISNUMBER(SEARCH("Proposal",$A303)),SUMIFS('Timesheet Raw'!$P$4:$P$8000,'Timesheet Raw'!$A$4:$A$8000,IF(ISNUMBER(SEARCH("Chargable",$A303)),"2-Proposals Chargeable","3-Proposals Regular"),'Timesheet Raw'!$C$4:$C$8000,"*"&amp;$B303&amp;"*",'Timesheet Raw'!$L$4:$L$8000,"&gt;="&amp;MAX(T$5,DATE(2000+VALUE(RIGHT(TRIM($A303),2)),1,1)),'Timesheet Raw'!$L$4:$L$8000,"&lt;="&amp;MIN(T$6,DATE(2000+VALUE(RIGHT(TRIM($A303),2)),12,31))),SUMIFS('Timesheet Raw'!$P$4:$P$8000,'Timesheet Raw'!$B$4:$B$8000,TRIM($A303),'Timesheet Raw'!$C$4:$C$8000,"*"&amp;$B303&amp;"*",'Timesheet Raw'!$L$4:$L$8000,"&gt;="&amp;T$5,'Timesheet Raw'!$L$4:$L$8000,"&lt;="&amp;T$6)))/'Profit Plan'!$B$5)</f>
        <v>0</v>
      </c>
      <c r="U303" s="122">
        <f>IF($A303="","",(IF(ISNUMBER(SEARCH("Proposal",$A303)),SUMIFS('Timesheet Raw'!$P$4:$P$8000,'Timesheet Raw'!$A$4:$A$8000,IF(ISNUMBER(SEARCH("Chargable",$A303)),"2-Proposals Chargeable","3-Proposals Regular"),'Timesheet Raw'!$C$4:$C$8000,"*"&amp;$B303&amp;"*",'Timesheet Raw'!$L$4:$L$8000,"&gt;="&amp;MAX(U$5,DATE(2000+VALUE(RIGHT(TRIM($A303),2)),1,1)),'Timesheet Raw'!$L$4:$L$8000,"&lt;="&amp;MIN(U$6,DATE(2000+VALUE(RIGHT(TRIM($A303),2)),12,31))),SUMIFS('Timesheet Raw'!$P$4:$P$8000,'Timesheet Raw'!$B$4:$B$8000,TRIM($A303),'Timesheet Raw'!$C$4:$C$8000,"*"&amp;$B303&amp;"*",'Timesheet Raw'!$L$4:$L$8000,"&gt;="&amp;U$5,'Timesheet Raw'!$L$4:$L$8000,"&lt;="&amp;U$6)))/'Profit Plan'!$B$5)</f>
        <v>0</v>
      </c>
      <c r="V303" s="122">
        <f>IF($A303="","",(IF(ISNUMBER(SEARCH("Proposal",$A303)),SUMIFS('Timesheet Raw'!$P$4:$P$8000,'Timesheet Raw'!$A$4:$A$8000,IF(ISNUMBER(SEARCH("Chargable",$A303)),"2-Proposals Chargeable","3-Proposals Regular"),'Timesheet Raw'!$C$4:$C$8000,"*"&amp;$B303&amp;"*",'Timesheet Raw'!$L$4:$L$8000,"&gt;="&amp;MAX(V$5,DATE(2000+VALUE(RIGHT(TRIM($A303),2)),1,1)),'Timesheet Raw'!$L$4:$L$8000,"&lt;="&amp;MIN(V$6,DATE(2000+VALUE(RIGHT(TRIM($A303),2)),12,31))),SUMIFS('Timesheet Raw'!$P$4:$P$8000,'Timesheet Raw'!$B$4:$B$8000,TRIM($A303),'Timesheet Raw'!$C$4:$C$8000,"*"&amp;$B303&amp;"*",'Timesheet Raw'!$L$4:$L$8000,"&gt;="&amp;V$5,'Timesheet Raw'!$L$4:$L$8000,"&lt;="&amp;V$6)))/'Profit Plan'!$B$5)</f>
        <v>0</v>
      </c>
      <c r="W303" s="122">
        <f>IF($A303="","",(IF(ISNUMBER(SEARCH("Proposal",$A303)),SUMIFS('Timesheet Raw'!$P$4:$P$8000,'Timesheet Raw'!$A$4:$A$8000,IF(ISNUMBER(SEARCH("Chargable",$A303)),"2-Proposals Chargeable","3-Proposals Regular"),'Timesheet Raw'!$C$4:$C$8000,"*"&amp;$B303&amp;"*",'Timesheet Raw'!$L$4:$L$8000,"&gt;="&amp;MAX(W$5,DATE(2000+VALUE(RIGHT(TRIM($A303),2)),1,1)),'Timesheet Raw'!$L$4:$L$8000,"&lt;="&amp;MIN(W$6,DATE(2000+VALUE(RIGHT(TRIM($A303),2)),12,31))),SUMIFS('Timesheet Raw'!$P$4:$P$8000,'Timesheet Raw'!$B$4:$B$8000,TRIM($A303),'Timesheet Raw'!$C$4:$C$8000,"*"&amp;$B303&amp;"*",'Timesheet Raw'!$L$4:$L$8000,"&gt;="&amp;W$5,'Timesheet Raw'!$L$4:$L$8000,"&lt;="&amp;W$6)))/'Profit Plan'!$B$5)</f>
        <v>0</v>
      </c>
      <c r="X303" s="122">
        <f>IF($A303="","",(IF(ISNUMBER(SEARCH("Proposal",$A303)),SUMIFS('Timesheet Raw'!$P$4:$P$8000,'Timesheet Raw'!$A$4:$A$8000,IF(ISNUMBER(SEARCH("Chargable",$A303)),"2-Proposals Chargeable","3-Proposals Regular"),'Timesheet Raw'!$C$4:$C$8000,"*"&amp;$B303&amp;"*",'Timesheet Raw'!$L$4:$L$8000,"&gt;="&amp;MAX(X$5,DATE(2000+VALUE(RIGHT(TRIM($A303),2)),1,1)),'Timesheet Raw'!$L$4:$L$8000,"&lt;="&amp;MIN(X$6,DATE(2000+VALUE(RIGHT(TRIM($A303),2)),12,31))),SUMIFS('Timesheet Raw'!$P$4:$P$8000,'Timesheet Raw'!$B$4:$B$8000,TRIM($A303),'Timesheet Raw'!$C$4:$C$8000,"*"&amp;$B303&amp;"*",'Timesheet Raw'!$L$4:$L$8000,"&gt;="&amp;X$5,'Timesheet Raw'!$L$4:$L$8000,"&lt;="&amp;X$6)))/'Profit Plan'!$B$5)</f>
        <v>0</v>
      </c>
      <c r="Y303" s="118">
        <f t="shared" si="100"/>
        <v>0</v>
      </c>
    </row>
    <row r="304" spans="1:25" x14ac:dyDescent="0.3">
      <c r="A304" s="116" t="str">
        <f>IF(Inputs!$A19="","",Inputs!$A19)</f>
        <v>Q25008-0100D</v>
      </c>
      <c r="B304" s="116" t="str">
        <f>IF(Inputs!$A19="","",Inputs!$A$91)</f>
        <v>Ahmed</v>
      </c>
      <c r="C304" s="116"/>
      <c r="D304" s="122">
        <f>IF($A304="","",(IF(ISNUMBER(SEARCH("Proposal",$A304)),SUMIFS('Timesheet Raw'!$P$4:$P$8000,'Timesheet Raw'!$A$4:$A$8000,IF(ISNUMBER(SEARCH("Chargable",$A304)),"2-Proposals Chargeable","3-Proposals Regular"),'Timesheet Raw'!$C$4:$C$8000,"*"&amp;$B304&amp;"*",'Timesheet Raw'!$L$4:$L$8000,"&gt;="&amp;MAX(D$5,DATE(2000+VALUE(RIGHT(TRIM($A304),2)),1,1)),'Timesheet Raw'!$L$4:$L$8000,"&lt;="&amp;MIN(D$6,DATE(2000+VALUE(RIGHT(TRIM($A304),2)),12,31))),SUMIFS('Timesheet Raw'!$P$4:$P$8000,'Timesheet Raw'!$B$4:$B$8000,TRIM($A304),'Timesheet Raw'!$C$4:$C$8000,"*"&amp;$B304&amp;"*",'Timesheet Raw'!$L$4:$L$8000,"&gt;="&amp;D$5,'Timesheet Raw'!$L$4:$L$8000,"&lt;="&amp;D$6)))/'Profit Plan'!$B$5)</f>
        <v>0</v>
      </c>
      <c r="E304" s="122">
        <f>IF($A304="","",(IF(ISNUMBER(SEARCH("Proposal",$A304)),SUMIFS('Timesheet Raw'!$P$4:$P$8000,'Timesheet Raw'!$A$4:$A$8000,IF(ISNUMBER(SEARCH("Chargable",$A304)),"2-Proposals Chargeable","3-Proposals Regular"),'Timesheet Raw'!$C$4:$C$8000,"*"&amp;$B304&amp;"*",'Timesheet Raw'!$L$4:$L$8000,"&gt;="&amp;MAX(E$5,DATE(2000+VALUE(RIGHT(TRIM($A304),2)),1,1)),'Timesheet Raw'!$L$4:$L$8000,"&lt;="&amp;MIN(E$6,DATE(2000+VALUE(RIGHT(TRIM($A304),2)),12,31))),SUMIFS('Timesheet Raw'!$P$4:$P$8000,'Timesheet Raw'!$B$4:$B$8000,TRIM($A304),'Timesheet Raw'!$C$4:$C$8000,"*"&amp;$B304&amp;"*",'Timesheet Raw'!$L$4:$L$8000,"&gt;="&amp;E$5,'Timesheet Raw'!$L$4:$L$8000,"&lt;="&amp;E$6)))/'Profit Plan'!$B$5)</f>
        <v>0</v>
      </c>
      <c r="F304" s="122">
        <f>IF($A304="","",(IF(ISNUMBER(SEARCH("Proposal",$A304)),SUMIFS('Timesheet Raw'!$P$4:$P$8000,'Timesheet Raw'!$A$4:$A$8000,IF(ISNUMBER(SEARCH("Chargable",$A304)),"2-Proposals Chargeable","3-Proposals Regular"),'Timesheet Raw'!$C$4:$C$8000,"*"&amp;$B304&amp;"*",'Timesheet Raw'!$L$4:$L$8000,"&gt;="&amp;MAX(F$5,DATE(2000+VALUE(RIGHT(TRIM($A304),2)),1,1)),'Timesheet Raw'!$L$4:$L$8000,"&lt;="&amp;MIN(F$6,DATE(2000+VALUE(RIGHT(TRIM($A304),2)),12,31))),SUMIFS('Timesheet Raw'!$P$4:$P$8000,'Timesheet Raw'!$B$4:$B$8000,TRIM($A304),'Timesheet Raw'!$C$4:$C$8000,"*"&amp;$B304&amp;"*",'Timesheet Raw'!$L$4:$L$8000,"&gt;="&amp;F$5,'Timesheet Raw'!$L$4:$L$8000,"&lt;="&amp;F$6)))/'Profit Plan'!$B$5)</f>
        <v>0</v>
      </c>
      <c r="G304" s="122">
        <f>IF($A304="","",(IF(ISNUMBER(SEARCH("Proposal",$A304)),SUMIFS('Timesheet Raw'!$P$4:$P$8000,'Timesheet Raw'!$A$4:$A$8000,IF(ISNUMBER(SEARCH("Chargable",$A304)),"2-Proposals Chargeable","3-Proposals Regular"),'Timesheet Raw'!$C$4:$C$8000,"*"&amp;$B304&amp;"*",'Timesheet Raw'!$L$4:$L$8000,"&gt;="&amp;MAX(G$5,DATE(2000+VALUE(RIGHT(TRIM($A304),2)),1,1)),'Timesheet Raw'!$L$4:$L$8000,"&lt;="&amp;MIN(G$6,DATE(2000+VALUE(RIGHT(TRIM($A304),2)),12,31))),SUMIFS('Timesheet Raw'!$P$4:$P$8000,'Timesheet Raw'!$B$4:$B$8000,TRIM($A304),'Timesheet Raw'!$C$4:$C$8000,"*"&amp;$B304&amp;"*",'Timesheet Raw'!$L$4:$L$8000,"&gt;="&amp;G$5,'Timesheet Raw'!$L$4:$L$8000,"&lt;="&amp;G$6)))/'Profit Plan'!$B$5)</f>
        <v>0</v>
      </c>
      <c r="H304" s="122">
        <f>IF($A304="","",(IF(ISNUMBER(SEARCH("Proposal",$A304)),SUMIFS('Timesheet Raw'!$P$4:$P$8000,'Timesheet Raw'!$A$4:$A$8000,IF(ISNUMBER(SEARCH("Chargable",$A304)),"2-Proposals Chargeable","3-Proposals Regular"),'Timesheet Raw'!$C$4:$C$8000,"*"&amp;$B304&amp;"*",'Timesheet Raw'!$L$4:$L$8000,"&gt;="&amp;MAX(H$5,DATE(2000+VALUE(RIGHT(TRIM($A304),2)),1,1)),'Timesheet Raw'!$L$4:$L$8000,"&lt;="&amp;MIN(H$6,DATE(2000+VALUE(RIGHT(TRIM($A304),2)),12,31))),SUMIFS('Timesheet Raw'!$P$4:$P$8000,'Timesheet Raw'!$B$4:$B$8000,TRIM($A304),'Timesheet Raw'!$C$4:$C$8000,"*"&amp;$B304&amp;"*",'Timesheet Raw'!$L$4:$L$8000,"&gt;="&amp;H$5,'Timesheet Raw'!$L$4:$L$8000,"&lt;="&amp;H$6)))/'Profit Plan'!$B$5)</f>
        <v>0</v>
      </c>
      <c r="I304" s="122">
        <f>IF($A304="","",(IF(ISNUMBER(SEARCH("Proposal",$A304)),SUMIFS('Timesheet Raw'!$P$4:$P$8000,'Timesheet Raw'!$A$4:$A$8000,IF(ISNUMBER(SEARCH("Chargable",$A304)),"2-Proposals Chargeable","3-Proposals Regular"),'Timesheet Raw'!$C$4:$C$8000,"*"&amp;$B304&amp;"*",'Timesheet Raw'!$L$4:$L$8000,"&gt;="&amp;MAX(I$5,DATE(2000+VALUE(RIGHT(TRIM($A304),2)),1,1)),'Timesheet Raw'!$L$4:$L$8000,"&lt;="&amp;MIN(I$6,DATE(2000+VALUE(RIGHT(TRIM($A304),2)),12,31))),SUMIFS('Timesheet Raw'!$P$4:$P$8000,'Timesheet Raw'!$B$4:$B$8000,TRIM($A304),'Timesheet Raw'!$C$4:$C$8000,"*"&amp;$B304&amp;"*",'Timesheet Raw'!$L$4:$L$8000,"&gt;="&amp;I$5,'Timesheet Raw'!$L$4:$L$8000,"&lt;="&amp;I$6)))/'Profit Plan'!$B$5)</f>
        <v>3.2432432432432434E-2</v>
      </c>
      <c r="J304" s="122">
        <f>IF($A304="","",(IF(ISNUMBER(SEARCH("Proposal",$A304)),SUMIFS('Timesheet Raw'!$P$4:$P$8000,'Timesheet Raw'!$A$4:$A$8000,IF(ISNUMBER(SEARCH("Chargable",$A304)),"2-Proposals Chargeable","3-Proposals Regular"),'Timesheet Raw'!$C$4:$C$8000,"*"&amp;$B304&amp;"*",'Timesheet Raw'!$L$4:$L$8000,"&gt;="&amp;MAX(J$5,DATE(2000+VALUE(RIGHT(TRIM($A304),2)),1,1)),'Timesheet Raw'!$L$4:$L$8000,"&lt;="&amp;MIN(J$6,DATE(2000+VALUE(RIGHT(TRIM($A304),2)),12,31))),SUMIFS('Timesheet Raw'!$P$4:$P$8000,'Timesheet Raw'!$B$4:$B$8000,TRIM($A304),'Timesheet Raw'!$C$4:$C$8000,"*"&amp;$B304&amp;"*",'Timesheet Raw'!$L$4:$L$8000,"&gt;="&amp;J$5,'Timesheet Raw'!$L$4:$L$8000,"&lt;="&amp;J$6)))/'Profit Plan'!$B$5)</f>
        <v>0</v>
      </c>
      <c r="K304" s="122">
        <f>IF($A304="","",(IF(ISNUMBER(SEARCH("Proposal",$A304)),SUMIFS('Timesheet Raw'!$P$4:$P$8000,'Timesheet Raw'!$A$4:$A$8000,IF(ISNUMBER(SEARCH("Chargable",$A304)),"2-Proposals Chargeable","3-Proposals Regular"),'Timesheet Raw'!$C$4:$C$8000,"*"&amp;$B304&amp;"*",'Timesheet Raw'!$L$4:$L$8000,"&gt;="&amp;MAX(K$5,DATE(2000+VALUE(RIGHT(TRIM($A304),2)),1,1)),'Timesheet Raw'!$L$4:$L$8000,"&lt;="&amp;MIN(K$6,DATE(2000+VALUE(RIGHT(TRIM($A304),2)),12,31))),SUMIFS('Timesheet Raw'!$P$4:$P$8000,'Timesheet Raw'!$B$4:$B$8000,TRIM($A304),'Timesheet Raw'!$C$4:$C$8000,"*"&amp;$B304&amp;"*",'Timesheet Raw'!$L$4:$L$8000,"&gt;="&amp;K$5,'Timesheet Raw'!$L$4:$L$8000,"&lt;="&amp;K$6)))/'Profit Plan'!$B$5)</f>
        <v>0</v>
      </c>
      <c r="L304" s="122">
        <f>IF($A304="","",(IF(ISNUMBER(SEARCH("Proposal",$A304)),SUMIFS('Timesheet Raw'!$P$4:$P$8000,'Timesheet Raw'!$A$4:$A$8000,IF(ISNUMBER(SEARCH("Chargable",$A304)),"2-Proposals Chargeable","3-Proposals Regular"),'Timesheet Raw'!$C$4:$C$8000,"*"&amp;$B304&amp;"*",'Timesheet Raw'!$L$4:$L$8000,"&gt;="&amp;MAX(L$5,DATE(2000+VALUE(RIGHT(TRIM($A304),2)),1,1)),'Timesheet Raw'!$L$4:$L$8000,"&lt;="&amp;MIN(L$6,DATE(2000+VALUE(RIGHT(TRIM($A304),2)),12,31))),SUMIFS('Timesheet Raw'!$P$4:$P$8000,'Timesheet Raw'!$B$4:$B$8000,TRIM($A304),'Timesheet Raw'!$C$4:$C$8000,"*"&amp;$B304&amp;"*",'Timesheet Raw'!$L$4:$L$8000,"&gt;="&amp;L$5,'Timesheet Raw'!$L$4:$L$8000,"&lt;="&amp;L$6)))/'Profit Plan'!$B$5)</f>
        <v>4.5945945945945948E-2</v>
      </c>
      <c r="M304" s="122">
        <f>IF($A304="","",(IF(ISNUMBER(SEARCH("Proposal",$A304)),SUMIFS('Timesheet Raw'!$P$4:$P$8000,'Timesheet Raw'!$A$4:$A$8000,IF(ISNUMBER(SEARCH("Chargable",$A304)),"2-Proposals Chargeable","3-Proposals Regular"),'Timesheet Raw'!$C$4:$C$8000,"*"&amp;$B304&amp;"*",'Timesheet Raw'!$L$4:$L$8000,"&gt;="&amp;MAX(M$5,DATE(2000+VALUE(RIGHT(TRIM($A304),2)),1,1)),'Timesheet Raw'!$L$4:$L$8000,"&lt;="&amp;MIN(M$6,DATE(2000+VALUE(RIGHT(TRIM($A304),2)),12,31))),SUMIFS('Timesheet Raw'!$P$4:$P$8000,'Timesheet Raw'!$B$4:$B$8000,TRIM($A304),'Timesheet Raw'!$C$4:$C$8000,"*"&amp;$B304&amp;"*",'Timesheet Raw'!$L$4:$L$8000,"&gt;="&amp;M$5,'Timesheet Raw'!$L$4:$L$8000,"&lt;="&amp;M$6)))/'Profit Plan'!$B$5)</f>
        <v>0.14594594594594595</v>
      </c>
      <c r="N304" s="122">
        <f>IF($A304="","",(IF(ISNUMBER(SEARCH("Proposal",$A304)),SUMIFS('Timesheet Raw'!$P$4:$P$8000,'Timesheet Raw'!$A$4:$A$8000,IF(ISNUMBER(SEARCH("Chargable",$A304)),"2-Proposals Chargeable","3-Proposals Regular"),'Timesheet Raw'!$C$4:$C$8000,"*"&amp;$B304&amp;"*",'Timesheet Raw'!$L$4:$L$8000,"&gt;="&amp;MAX(N$5,DATE(2000+VALUE(RIGHT(TRIM($A304),2)),1,1)),'Timesheet Raw'!$L$4:$L$8000,"&lt;="&amp;MIN(N$6,DATE(2000+VALUE(RIGHT(TRIM($A304),2)),12,31))),SUMIFS('Timesheet Raw'!$P$4:$P$8000,'Timesheet Raw'!$B$4:$B$8000,TRIM($A304),'Timesheet Raw'!$C$4:$C$8000,"*"&amp;$B304&amp;"*",'Timesheet Raw'!$L$4:$L$8000,"&gt;="&amp;N$5,'Timesheet Raw'!$L$4:$L$8000,"&lt;="&amp;N$6)))/'Profit Plan'!$B$5)</f>
        <v>0</v>
      </c>
      <c r="O304" s="122">
        <f>IF($A304="","",(IF(ISNUMBER(SEARCH("Proposal",$A304)),SUMIFS('Timesheet Raw'!$P$4:$P$8000,'Timesheet Raw'!$A$4:$A$8000,IF(ISNUMBER(SEARCH("Chargable",$A304)),"2-Proposals Chargeable","3-Proposals Regular"),'Timesheet Raw'!$C$4:$C$8000,"*"&amp;$B304&amp;"*",'Timesheet Raw'!$L$4:$L$8000,"&gt;="&amp;MAX(O$5,DATE(2000+VALUE(RIGHT(TRIM($A304),2)),1,1)),'Timesheet Raw'!$L$4:$L$8000,"&lt;="&amp;MIN(O$6,DATE(2000+VALUE(RIGHT(TRIM($A304),2)),12,31))),SUMIFS('Timesheet Raw'!$P$4:$P$8000,'Timesheet Raw'!$B$4:$B$8000,TRIM($A304),'Timesheet Raw'!$C$4:$C$8000,"*"&amp;$B304&amp;"*",'Timesheet Raw'!$L$4:$L$8000,"&gt;="&amp;O$5,'Timesheet Raw'!$L$4:$L$8000,"&lt;="&amp;O$6)))/'Profit Plan'!$B$5)</f>
        <v>0</v>
      </c>
      <c r="P304" s="122">
        <f>IF($A304="","",(IF(ISNUMBER(SEARCH("Proposal",$A304)),SUMIFS('Timesheet Raw'!$P$4:$P$8000,'Timesheet Raw'!$A$4:$A$8000,IF(ISNUMBER(SEARCH("Chargable",$A304)),"2-Proposals Chargeable","3-Proposals Regular"),'Timesheet Raw'!$C$4:$C$8000,"*"&amp;$B304&amp;"*",'Timesheet Raw'!$L$4:$L$8000,"&gt;="&amp;MAX(P$5,DATE(2000+VALUE(RIGHT(TRIM($A304),2)),1,1)),'Timesheet Raw'!$L$4:$L$8000,"&lt;="&amp;MIN(P$6,DATE(2000+VALUE(RIGHT(TRIM($A304),2)),12,31))),SUMIFS('Timesheet Raw'!$P$4:$P$8000,'Timesheet Raw'!$B$4:$B$8000,TRIM($A304),'Timesheet Raw'!$C$4:$C$8000,"*"&amp;$B304&amp;"*",'Timesheet Raw'!$L$4:$L$8000,"&gt;="&amp;P$5,'Timesheet Raw'!$L$4:$L$8000,"&lt;="&amp;P$6)))/'Profit Plan'!$B$5)</f>
        <v>0</v>
      </c>
      <c r="Q304" s="122">
        <f>IF($A304="","",(IF(ISNUMBER(SEARCH("Proposal",$A304)),SUMIFS('Timesheet Raw'!$P$4:$P$8000,'Timesheet Raw'!$A$4:$A$8000,IF(ISNUMBER(SEARCH("Chargable",$A304)),"2-Proposals Chargeable","3-Proposals Regular"),'Timesheet Raw'!$C$4:$C$8000,"*"&amp;$B304&amp;"*",'Timesheet Raw'!$L$4:$L$8000,"&gt;="&amp;MAX(Q$5,DATE(2000+VALUE(RIGHT(TRIM($A304),2)),1,1)),'Timesheet Raw'!$L$4:$L$8000,"&lt;="&amp;MIN(Q$6,DATE(2000+VALUE(RIGHT(TRIM($A304),2)),12,31))),SUMIFS('Timesheet Raw'!$P$4:$P$8000,'Timesheet Raw'!$B$4:$B$8000,TRIM($A304),'Timesheet Raw'!$C$4:$C$8000,"*"&amp;$B304&amp;"*",'Timesheet Raw'!$L$4:$L$8000,"&gt;="&amp;Q$5,'Timesheet Raw'!$L$4:$L$8000,"&lt;="&amp;Q$6)))/'Profit Plan'!$B$5)</f>
        <v>0</v>
      </c>
      <c r="R304" s="122">
        <f>IF($A304="","",(IF(ISNUMBER(SEARCH("Proposal",$A304)),SUMIFS('Timesheet Raw'!$P$4:$P$8000,'Timesheet Raw'!$A$4:$A$8000,IF(ISNUMBER(SEARCH("Chargable",$A304)),"2-Proposals Chargeable","3-Proposals Regular"),'Timesheet Raw'!$C$4:$C$8000,"*"&amp;$B304&amp;"*",'Timesheet Raw'!$L$4:$L$8000,"&gt;="&amp;MAX(R$5,DATE(2000+VALUE(RIGHT(TRIM($A304),2)),1,1)),'Timesheet Raw'!$L$4:$L$8000,"&lt;="&amp;MIN(R$6,DATE(2000+VALUE(RIGHT(TRIM($A304),2)),12,31))),SUMIFS('Timesheet Raw'!$P$4:$P$8000,'Timesheet Raw'!$B$4:$B$8000,TRIM($A304),'Timesheet Raw'!$C$4:$C$8000,"*"&amp;$B304&amp;"*",'Timesheet Raw'!$L$4:$L$8000,"&gt;="&amp;R$5,'Timesheet Raw'!$L$4:$L$8000,"&lt;="&amp;R$6)))/'Profit Plan'!$B$5)</f>
        <v>0</v>
      </c>
      <c r="S304" s="122">
        <f>IF($A304="","",(IF(ISNUMBER(SEARCH("Proposal",$A304)),SUMIFS('Timesheet Raw'!$P$4:$P$8000,'Timesheet Raw'!$A$4:$A$8000,IF(ISNUMBER(SEARCH("Chargable",$A304)),"2-Proposals Chargeable","3-Proposals Regular"),'Timesheet Raw'!$C$4:$C$8000,"*"&amp;$B304&amp;"*",'Timesheet Raw'!$L$4:$L$8000,"&gt;="&amp;MAX(S$5,DATE(2000+VALUE(RIGHT(TRIM($A304),2)),1,1)),'Timesheet Raw'!$L$4:$L$8000,"&lt;="&amp;MIN(S$6,DATE(2000+VALUE(RIGHT(TRIM($A304),2)),12,31))),SUMIFS('Timesheet Raw'!$P$4:$P$8000,'Timesheet Raw'!$B$4:$B$8000,TRIM($A304),'Timesheet Raw'!$C$4:$C$8000,"*"&amp;$B304&amp;"*",'Timesheet Raw'!$L$4:$L$8000,"&gt;="&amp;S$5,'Timesheet Raw'!$L$4:$L$8000,"&lt;="&amp;S$6)))/'Profit Plan'!$B$5)</f>
        <v>0</v>
      </c>
      <c r="T304" s="122">
        <f>IF($A304="","",(IF(ISNUMBER(SEARCH("Proposal",$A304)),SUMIFS('Timesheet Raw'!$P$4:$P$8000,'Timesheet Raw'!$A$4:$A$8000,IF(ISNUMBER(SEARCH("Chargable",$A304)),"2-Proposals Chargeable","3-Proposals Regular"),'Timesheet Raw'!$C$4:$C$8000,"*"&amp;$B304&amp;"*",'Timesheet Raw'!$L$4:$L$8000,"&gt;="&amp;MAX(T$5,DATE(2000+VALUE(RIGHT(TRIM($A304),2)),1,1)),'Timesheet Raw'!$L$4:$L$8000,"&lt;="&amp;MIN(T$6,DATE(2000+VALUE(RIGHT(TRIM($A304),2)),12,31))),SUMIFS('Timesheet Raw'!$P$4:$P$8000,'Timesheet Raw'!$B$4:$B$8000,TRIM($A304),'Timesheet Raw'!$C$4:$C$8000,"*"&amp;$B304&amp;"*",'Timesheet Raw'!$L$4:$L$8000,"&gt;="&amp;T$5,'Timesheet Raw'!$L$4:$L$8000,"&lt;="&amp;T$6)))/'Profit Plan'!$B$5)</f>
        <v>0</v>
      </c>
      <c r="U304" s="122">
        <f>IF($A304="","",(IF(ISNUMBER(SEARCH("Proposal",$A304)),SUMIFS('Timesheet Raw'!$P$4:$P$8000,'Timesheet Raw'!$A$4:$A$8000,IF(ISNUMBER(SEARCH("Chargable",$A304)),"2-Proposals Chargeable","3-Proposals Regular"),'Timesheet Raw'!$C$4:$C$8000,"*"&amp;$B304&amp;"*",'Timesheet Raw'!$L$4:$L$8000,"&gt;="&amp;MAX(U$5,DATE(2000+VALUE(RIGHT(TRIM($A304),2)),1,1)),'Timesheet Raw'!$L$4:$L$8000,"&lt;="&amp;MIN(U$6,DATE(2000+VALUE(RIGHT(TRIM($A304),2)),12,31))),SUMIFS('Timesheet Raw'!$P$4:$P$8000,'Timesheet Raw'!$B$4:$B$8000,TRIM($A304),'Timesheet Raw'!$C$4:$C$8000,"*"&amp;$B304&amp;"*",'Timesheet Raw'!$L$4:$L$8000,"&gt;="&amp;U$5,'Timesheet Raw'!$L$4:$L$8000,"&lt;="&amp;U$6)))/'Profit Plan'!$B$5)</f>
        <v>0</v>
      </c>
      <c r="V304" s="122">
        <f>IF($A304="","",(IF(ISNUMBER(SEARCH("Proposal",$A304)),SUMIFS('Timesheet Raw'!$P$4:$P$8000,'Timesheet Raw'!$A$4:$A$8000,IF(ISNUMBER(SEARCH("Chargable",$A304)),"2-Proposals Chargeable","3-Proposals Regular"),'Timesheet Raw'!$C$4:$C$8000,"*"&amp;$B304&amp;"*",'Timesheet Raw'!$L$4:$L$8000,"&gt;="&amp;MAX(V$5,DATE(2000+VALUE(RIGHT(TRIM($A304),2)),1,1)),'Timesheet Raw'!$L$4:$L$8000,"&lt;="&amp;MIN(V$6,DATE(2000+VALUE(RIGHT(TRIM($A304),2)),12,31))),SUMIFS('Timesheet Raw'!$P$4:$P$8000,'Timesheet Raw'!$B$4:$B$8000,TRIM($A304),'Timesheet Raw'!$C$4:$C$8000,"*"&amp;$B304&amp;"*",'Timesheet Raw'!$L$4:$L$8000,"&gt;="&amp;V$5,'Timesheet Raw'!$L$4:$L$8000,"&lt;="&amp;V$6)))/'Profit Plan'!$B$5)</f>
        <v>0</v>
      </c>
      <c r="W304" s="122">
        <f>IF($A304="","",(IF(ISNUMBER(SEARCH("Proposal",$A304)),SUMIFS('Timesheet Raw'!$P$4:$P$8000,'Timesheet Raw'!$A$4:$A$8000,IF(ISNUMBER(SEARCH("Chargable",$A304)),"2-Proposals Chargeable","3-Proposals Regular"),'Timesheet Raw'!$C$4:$C$8000,"*"&amp;$B304&amp;"*",'Timesheet Raw'!$L$4:$L$8000,"&gt;="&amp;MAX(W$5,DATE(2000+VALUE(RIGHT(TRIM($A304),2)),1,1)),'Timesheet Raw'!$L$4:$L$8000,"&lt;="&amp;MIN(W$6,DATE(2000+VALUE(RIGHT(TRIM($A304),2)),12,31))),SUMIFS('Timesheet Raw'!$P$4:$P$8000,'Timesheet Raw'!$B$4:$B$8000,TRIM($A304),'Timesheet Raw'!$C$4:$C$8000,"*"&amp;$B304&amp;"*",'Timesheet Raw'!$L$4:$L$8000,"&gt;="&amp;W$5,'Timesheet Raw'!$L$4:$L$8000,"&lt;="&amp;W$6)))/'Profit Plan'!$B$5)</f>
        <v>0</v>
      </c>
      <c r="X304" s="122">
        <f>IF($A304="","",(IF(ISNUMBER(SEARCH("Proposal",$A304)),SUMIFS('Timesheet Raw'!$P$4:$P$8000,'Timesheet Raw'!$A$4:$A$8000,IF(ISNUMBER(SEARCH("Chargable",$A304)),"2-Proposals Chargeable","3-Proposals Regular"),'Timesheet Raw'!$C$4:$C$8000,"*"&amp;$B304&amp;"*",'Timesheet Raw'!$L$4:$L$8000,"&gt;="&amp;MAX(X$5,DATE(2000+VALUE(RIGHT(TRIM($A304),2)),1,1)),'Timesheet Raw'!$L$4:$L$8000,"&lt;="&amp;MIN(X$6,DATE(2000+VALUE(RIGHT(TRIM($A304),2)),12,31))),SUMIFS('Timesheet Raw'!$P$4:$P$8000,'Timesheet Raw'!$B$4:$B$8000,TRIM($A304),'Timesheet Raw'!$C$4:$C$8000,"*"&amp;$B304&amp;"*",'Timesheet Raw'!$L$4:$L$8000,"&gt;="&amp;X$5,'Timesheet Raw'!$L$4:$L$8000,"&lt;="&amp;X$6)))/'Profit Plan'!$B$5)</f>
        <v>0</v>
      </c>
      <c r="Y304" s="118">
        <f t="shared" si="100"/>
        <v>0.22432432432432434</v>
      </c>
    </row>
    <row r="305" spans="1:25" x14ac:dyDescent="0.3">
      <c r="A305" s="116" t="str">
        <f>IF(Inputs!$A19="","",Inputs!$A19)</f>
        <v>Q25008-0100D</v>
      </c>
      <c r="B305" s="116" t="str">
        <f>IF(Inputs!$A19="","",Inputs!$A$92)</f>
        <v>Osama</v>
      </c>
      <c r="C305" s="116"/>
      <c r="D305" s="122">
        <f>IF($A305="","",(IF(ISNUMBER(SEARCH("Proposal",$A305)),SUMIFS('Timesheet Raw'!$P$4:$P$8000,'Timesheet Raw'!$A$4:$A$8000,IF(ISNUMBER(SEARCH("Chargable",$A305)),"2-Proposals Chargeable","3-Proposals Regular"),'Timesheet Raw'!$C$4:$C$8000,"*"&amp;$B305&amp;"*",'Timesheet Raw'!$L$4:$L$8000,"&gt;="&amp;MAX(D$5,DATE(2000+VALUE(RIGHT(TRIM($A305),2)),1,1)),'Timesheet Raw'!$L$4:$L$8000,"&lt;="&amp;MIN(D$6,DATE(2000+VALUE(RIGHT(TRIM($A305),2)),12,31))),SUMIFS('Timesheet Raw'!$P$4:$P$8000,'Timesheet Raw'!$B$4:$B$8000,TRIM($A305),'Timesheet Raw'!$C$4:$C$8000,"*"&amp;$B305&amp;"*",'Timesheet Raw'!$L$4:$L$8000,"&gt;="&amp;D$5,'Timesheet Raw'!$L$4:$L$8000,"&lt;="&amp;D$6)))/'Profit Plan'!$B$5)</f>
        <v>0</v>
      </c>
      <c r="E305" s="122">
        <f>IF($A305="","",(IF(ISNUMBER(SEARCH("Proposal",$A305)),SUMIFS('Timesheet Raw'!$P$4:$P$8000,'Timesheet Raw'!$A$4:$A$8000,IF(ISNUMBER(SEARCH("Chargable",$A305)),"2-Proposals Chargeable","3-Proposals Regular"),'Timesheet Raw'!$C$4:$C$8000,"*"&amp;$B305&amp;"*",'Timesheet Raw'!$L$4:$L$8000,"&gt;="&amp;MAX(E$5,DATE(2000+VALUE(RIGHT(TRIM($A305),2)),1,1)),'Timesheet Raw'!$L$4:$L$8000,"&lt;="&amp;MIN(E$6,DATE(2000+VALUE(RIGHT(TRIM($A305),2)),12,31))),SUMIFS('Timesheet Raw'!$P$4:$P$8000,'Timesheet Raw'!$B$4:$B$8000,TRIM($A305),'Timesheet Raw'!$C$4:$C$8000,"*"&amp;$B305&amp;"*",'Timesheet Raw'!$L$4:$L$8000,"&gt;="&amp;E$5,'Timesheet Raw'!$L$4:$L$8000,"&lt;="&amp;E$6)))/'Profit Plan'!$B$5)</f>
        <v>0</v>
      </c>
      <c r="F305" s="122">
        <f>IF($A305="","",(IF(ISNUMBER(SEARCH("Proposal",$A305)),SUMIFS('Timesheet Raw'!$P$4:$P$8000,'Timesheet Raw'!$A$4:$A$8000,IF(ISNUMBER(SEARCH("Chargable",$A305)),"2-Proposals Chargeable","3-Proposals Regular"),'Timesheet Raw'!$C$4:$C$8000,"*"&amp;$B305&amp;"*",'Timesheet Raw'!$L$4:$L$8000,"&gt;="&amp;MAX(F$5,DATE(2000+VALUE(RIGHT(TRIM($A305),2)),1,1)),'Timesheet Raw'!$L$4:$L$8000,"&lt;="&amp;MIN(F$6,DATE(2000+VALUE(RIGHT(TRIM($A305),2)),12,31))),SUMIFS('Timesheet Raw'!$P$4:$P$8000,'Timesheet Raw'!$B$4:$B$8000,TRIM($A305),'Timesheet Raw'!$C$4:$C$8000,"*"&amp;$B305&amp;"*",'Timesheet Raw'!$L$4:$L$8000,"&gt;="&amp;F$5,'Timesheet Raw'!$L$4:$L$8000,"&lt;="&amp;F$6)))/'Profit Plan'!$B$5)</f>
        <v>0</v>
      </c>
      <c r="G305" s="122">
        <f>IF($A305="","",(IF(ISNUMBER(SEARCH("Proposal",$A305)),SUMIFS('Timesheet Raw'!$P$4:$P$8000,'Timesheet Raw'!$A$4:$A$8000,IF(ISNUMBER(SEARCH("Chargable",$A305)),"2-Proposals Chargeable","3-Proposals Regular"),'Timesheet Raw'!$C$4:$C$8000,"*"&amp;$B305&amp;"*",'Timesheet Raw'!$L$4:$L$8000,"&gt;="&amp;MAX(G$5,DATE(2000+VALUE(RIGHT(TRIM($A305),2)),1,1)),'Timesheet Raw'!$L$4:$L$8000,"&lt;="&amp;MIN(G$6,DATE(2000+VALUE(RIGHT(TRIM($A305),2)),12,31))),SUMIFS('Timesheet Raw'!$P$4:$P$8000,'Timesheet Raw'!$B$4:$B$8000,TRIM($A305),'Timesheet Raw'!$C$4:$C$8000,"*"&amp;$B305&amp;"*",'Timesheet Raw'!$L$4:$L$8000,"&gt;="&amp;G$5,'Timesheet Raw'!$L$4:$L$8000,"&lt;="&amp;G$6)))/'Profit Plan'!$B$5)</f>
        <v>0</v>
      </c>
      <c r="H305" s="122">
        <f>IF($A305="","",(IF(ISNUMBER(SEARCH("Proposal",$A305)),SUMIFS('Timesheet Raw'!$P$4:$P$8000,'Timesheet Raw'!$A$4:$A$8000,IF(ISNUMBER(SEARCH("Chargable",$A305)),"2-Proposals Chargeable","3-Proposals Regular"),'Timesheet Raw'!$C$4:$C$8000,"*"&amp;$B305&amp;"*",'Timesheet Raw'!$L$4:$L$8000,"&gt;="&amp;MAX(H$5,DATE(2000+VALUE(RIGHT(TRIM($A305),2)),1,1)),'Timesheet Raw'!$L$4:$L$8000,"&lt;="&amp;MIN(H$6,DATE(2000+VALUE(RIGHT(TRIM($A305),2)),12,31))),SUMIFS('Timesheet Raw'!$P$4:$P$8000,'Timesheet Raw'!$B$4:$B$8000,TRIM($A305),'Timesheet Raw'!$C$4:$C$8000,"*"&amp;$B305&amp;"*",'Timesheet Raw'!$L$4:$L$8000,"&gt;="&amp;H$5,'Timesheet Raw'!$L$4:$L$8000,"&lt;="&amp;H$6)))/'Profit Plan'!$B$5)</f>
        <v>0</v>
      </c>
      <c r="I305" s="122">
        <f>IF($A305="","",(IF(ISNUMBER(SEARCH("Proposal",$A305)),SUMIFS('Timesheet Raw'!$P$4:$P$8000,'Timesheet Raw'!$A$4:$A$8000,IF(ISNUMBER(SEARCH("Chargable",$A305)),"2-Proposals Chargeable","3-Proposals Regular"),'Timesheet Raw'!$C$4:$C$8000,"*"&amp;$B305&amp;"*",'Timesheet Raw'!$L$4:$L$8000,"&gt;="&amp;MAX(I$5,DATE(2000+VALUE(RIGHT(TRIM($A305),2)),1,1)),'Timesheet Raw'!$L$4:$L$8000,"&lt;="&amp;MIN(I$6,DATE(2000+VALUE(RIGHT(TRIM($A305),2)),12,31))),SUMIFS('Timesheet Raw'!$P$4:$P$8000,'Timesheet Raw'!$B$4:$B$8000,TRIM($A305),'Timesheet Raw'!$C$4:$C$8000,"*"&amp;$B305&amp;"*",'Timesheet Raw'!$L$4:$L$8000,"&gt;="&amp;I$5,'Timesheet Raw'!$L$4:$L$8000,"&lt;="&amp;I$6)))/'Profit Plan'!$B$5)</f>
        <v>0</v>
      </c>
      <c r="J305" s="122">
        <f>IF($A305="","",(IF(ISNUMBER(SEARCH("Proposal",$A305)),SUMIFS('Timesheet Raw'!$P$4:$P$8000,'Timesheet Raw'!$A$4:$A$8000,IF(ISNUMBER(SEARCH("Chargable",$A305)),"2-Proposals Chargeable","3-Proposals Regular"),'Timesheet Raw'!$C$4:$C$8000,"*"&amp;$B305&amp;"*",'Timesheet Raw'!$L$4:$L$8000,"&gt;="&amp;MAX(J$5,DATE(2000+VALUE(RIGHT(TRIM($A305),2)),1,1)),'Timesheet Raw'!$L$4:$L$8000,"&lt;="&amp;MIN(J$6,DATE(2000+VALUE(RIGHT(TRIM($A305),2)),12,31))),SUMIFS('Timesheet Raw'!$P$4:$P$8000,'Timesheet Raw'!$B$4:$B$8000,TRIM($A305),'Timesheet Raw'!$C$4:$C$8000,"*"&amp;$B305&amp;"*",'Timesheet Raw'!$L$4:$L$8000,"&gt;="&amp;J$5,'Timesheet Raw'!$L$4:$L$8000,"&lt;="&amp;J$6)))/'Profit Plan'!$B$5)</f>
        <v>0</v>
      </c>
      <c r="K305" s="122">
        <f>IF($A305="","",(IF(ISNUMBER(SEARCH("Proposal",$A305)),SUMIFS('Timesheet Raw'!$P$4:$P$8000,'Timesheet Raw'!$A$4:$A$8000,IF(ISNUMBER(SEARCH("Chargable",$A305)),"2-Proposals Chargeable","3-Proposals Regular"),'Timesheet Raw'!$C$4:$C$8000,"*"&amp;$B305&amp;"*",'Timesheet Raw'!$L$4:$L$8000,"&gt;="&amp;MAX(K$5,DATE(2000+VALUE(RIGHT(TRIM($A305),2)),1,1)),'Timesheet Raw'!$L$4:$L$8000,"&lt;="&amp;MIN(K$6,DATE(2000+VALUE(RIGHT(TRIM($A305),2)),12,31))),SUMIFS('Timesheet Raw'!$P$4:$P$8000,'Timesheet Raw'!$B$4:$B$8000,TRIM($A305),'Timesheet Raw'!$C$4:$C$8000,"*"&amp;$B305&amp;"*",'Timesheet Raw'!$L$4:$L$8000,"&gt;="&amp;K$5,'Timesheet Raw'!$L$4:$L$8000,"&lt;="&amp;K$6)))/'Profit Plan'!$B$5)</f>
        <v>0</v>
      </c>
      <c r="L305" s="122">
        <f>IF($A305="","",(IF(ISNUMBER(SEARCH("Proposal",$A305)),SUMIFS('Timesheet Raw'!$P$4:$P$8000,'Timesheet Raw'!$A$4:$A$8000,IF(ISNUMBER(SEARCH("Chargable",$A305)),"2-Proposals Chargeable","3-Proposals Regular"),'Timesheet Raw'!$C$4:$C$8000,"*"&amp;$B305&amp;"*",'Timesheet Raw'!$L$4:$L$8000,"&gt;="&amp;MAX(L$5,DATE(2000+VALUE(RIGHT(TRIM($A305),2)),1,1)),'Timesheet Raw'!$L$4:$L$8000,"&lt;="&amp;MIN(L$6,DATE(2000+VALUE(RIGHT(TRIM($A305),2)),12,31))),SUMIFS('Timesheet Raw'!$P$4:$P$8000,'Timesheet Raw'!$B$4:$B$8000,TRIM($A305),'Timesheet Raw'!$C$4:$C$8000,"*"&amp;$B305&amp;"*",'Timesheet Raw'!$L$4:$L$8000,"&gt;="&amp;L$5,'Timesheet Raw'!$L$4:$L$8000,"&lt;="&amp;L$6)))/'Profit Plan'!$B$5)</f>
        <v>0</v>
      </c>
      <c r="M305" s="122">
        <f>IF($A305="","",(IF(ISNUMBER(SEARCH("Proposal",$A305)),SUMIFS('Timesheet Raw'!$P$4:$P$8000,'Timesheet Raw'!$A$4:$A$8000,IF(ISNUMBER(SEARCH("Chargable",$A305)),"2-Proposals Chargeable","3-Proposals Regular"),'Timesheet Raw'!$C$4:$C$8000,"*"&amp;$B305&amp;"*",'Timesheet Raw'!$L$4:$L$8000,"&gt;="&amp;MAX(M$5,DATE(2000+VALUE(RIGHT(TRIM($A305),2)),1,1)),'Timesheet Raw'!$L$4:$L$8000,"&lt;="&amp;MIN(M$6,DATE(2000+VALUE(RIGHT(TRIM($A305),2)),12,31))),SUMIFS('Timesheet Raw'!$P$4:$P$8000,'Timesheet Raw'!$B$4:$B$8000,TRIM($A305),'Timesheet Raw'!$C$4:$C$8000,"*"&amp;$B305&amp;"*",'Timesheet Raw'!$L$4:$L$8000,"&gt;="&amp;M$5,'Timesheet Raw'!$L$4:$L$8000,"&lt;="&amp;M$6)))/'Profit Plan'!$B$5)</f>
        <v>0</v>
      </c>
      <c r="N305" s="122">
        <f>IF($A305="","",(IF(ISNUMBER(SEARCH("Proposal",$A305)),SUMIFS('Timesheet Raw'!$P$4:$P$8000,'Timesheet Raw'!$A$4:$A$8000,IF(ISNUMBER(SEARCH("Chargable",$A305)),"2-Proposals Chargeable","3-Proposals Regular"),'Timesheet Raw'!$C$4:$C$8000,"*"&amp;$B305&amp;"*",'Timesheet Raw'!$L$4:$L$8000,"&gt;="&amp;MAX(N$5,DATE(2000+VALUE(RIGHT(TRIM($A305),2)),1,1)),'Timesheet Raw'!$L$4:$L$8000,"&lt;="&amp;MIN(N$6,DATE(2000+VALUE(RIGHT(TRIM($A305),2)),12,31))),SUMIFS('Timesheet Raw'!$P$4:$P$8000,'Timesheet Raw'!$B$4:$B$8000,TRIM($A305),'Timesheet Raw'!$C$4:$C$8000,"*"&amp;$B305&amp;"*",'Timesheet Raw'!$L$4:$L$8000,"&gt;="&amp;N$5,'Timesheet Raw'!$L$4:$L$8000,"&lt;="&amp;N$6)))/'Profit Plan'!$B$5)</f>
        <v>0</v>
      </c>
      <c r="O305" s="122">
        <f>IF($A305="","",(IF(ISNUMBER(SEARCH("Proposal",$A305)),SUMIFS('Timesheet Raw'!$P$4:$P$8000,'Timesheet Raw'!$A$4:$A$8000,IF(ISNUMBER(SEARCH("Chargable",$A305)),"2-Proposals Chargeable","3-Proposals Regular"),'Timesheet Raw'!$C$4:$C$8000,"*"&amp;$B305&amp;"*",'Timesheet Raw'!$L$4:$L$8000,"&gt;="&amp;MAX(O$5,DATE(2000+VALUE(RIGHT(TRIM($A305),2)),1,1)),'Timesheet Raw'!$L$4:$L$8000,"&lt;="&amp;MIN(O$6,DATE(2000+VALUE(RIGHT(TRIM($A305),2)),12,31))),SUMIFS('Timesheet Raw'!$P$4:$P$8000,'Timesheet Raw'!$B$4:$B$8000,TRIM($A305),'Timesheet Raw'!$C$4:$C$8000,"*"&amp;$B305&amp;"*",'Timesheet Raw'!$L$4:$L$8000,"&gt;="&amp;O$5,'Timesheet Raw'!$L$4:$L$8000,"&lt;="&amp;O$6)))/'Profit Plan'!$B$5)</f>
        <v>0</v>
      </c>
      <c r="P305" s="122">
        <f>IF($A305="","",(IF(ISNUMBER(SEARCH("Proposal",$A305)),SUMIFS('Timesheet Raw'!$P$4:$P$8000,'Timesheet Raw'!$A$4:$A$8000,IF(ISNUMBER(SEARCH("Chargable",$A305)),"2-Proposals Chargeable","3-Proposals Regular"),'Timesheet Raw'!$C$4:$C$8000,"*"&amp;$B305&amp;"*",'Timesheet Raw'!$L$4:$L$8000,"&gt;="&amp;MAX(P$5,DATE(2000+VALUE(RIGHT(TRIM($A305),2)),1,1)),'Timesheet Raw'!$L$4:$L$8000,"&lt;="&amp;MIN(P$6,DATE(2000+VALUE(RIGHT(TRIM($A305),2)),12,31))),SUMIFS('Timesheet Raw'!$P$4:$P$8000,'Timesheet Raw'!$B$4:$B$8000,TRIM($A305),'Timesheet Raw'!$C$4:$C$8000,"*"&amp;$B305&amp;"*",'Timesheet Raw'!$L$4:$L$8000,"&gt;="&amp;P$5,'Timesheet Raw'!$L$4:$L$8000,"&lt;="&amp;P$6)))/'Profit Plan'!$B$5)</f>
        <v>0</v>
      </c>
      <c r="Q305" s="122">
        <f>IF($A305="","",(IF(ISNUMBER(SEARCH("Proposal",$A305)),SUMIFS('Timesheet Raw'!$P$4:$P$8000,'Timesheet Raw'!$A$4:$A$8000,IF(ISNUMBER(SEARCH("Chargable",$A305)),"2-Proposals Chargeable","3-Proposals Regular"),'Timesheet Raw'!$C$4:$C$8000,"*"&amp;$B305&amp;"*",'Timesheet Raw'!$L$4:$L$8000,"&gt;="&amp;MAX(Q$5,DATE(2000+VALUE(RIGHT(TRIM($A305),2)),1,1)),'Timesheet Raw'!$L$4:$L$8000,"&lt;="&amp;MIN(Q$6,DATE(2000+VALUE(RIGHT(TRIM($A305),2)),12,31))),SUMIFS('Timesheet Raw'!$P$4:$P$8000,'Timesheet Raw'!$B$4:$B$8000,TRIM($A305),'Timesheet Raw'!$C$4:$C$8000,"*"&amp;$B305&amp;"*",'Timesheet Raw'!$L$4:$L$8000,"&gt;="&amp;Q$5,'Timesheet Raw'!$L$4:$L$8000,"&lt;="&amp;Q$6)))/'Profit Plan'!$B$5)</f>
        <v>0</v>
      </c>
      <c r="R305" s="122">
        <f>IF($A305="","",(IF(ISNUMBER(SEARCH("Proposal",$A305)),SUMIFS('Timesheet Raw'!$P$4:$P$8000,'Timesheet Raw'!$A$4:$A$8000,IF(ISNUMBER(SEARCH("Chargable",$A305)),"2-Proposals Chargeable","3-Proposals Regular"),'Timesheet Raw'!$C$4:$C$8000,"*"&amp;$B305&amp;"*",'Timesheet Raw'!$L$4:$L$8000,"&gt;="&amp;MAX(R$5,DATE(2000+VALUE(RIGHT(TRIM($A305),2)),1,1)),'Timesheet Raw'!$L$4:$L$8000,"&lt;="&amp;MIN(R$6,DATE(2000+VALUE(RIGHT(TRIM($A305),2)),12,31))),SUMIFS('Timesheet Raw'!$P$4:$P$8000,'Timesheet Raw'!$B$4:$B$8000,TRIM($A305),'Timesheet Raw'!$C$4:$C$8000,"*"&amp;$B305&amp;"*",'Timesheet Raw'!$L$4:$L$8000,"&gt;="&amp;R$5,'Timesheet Raw'!$L$4:$L$8000,"&lt;="&amp;R$6)))/'Profit Plan'!$B$5)</f>
        <v>0</v>
      </c>
      <c r="S305" s="122">
        <f>IF($A305="","",(IF(ISNUMBER(SEARCH("Proposal",$A305)),SUMIFS('Timesheet Raw'!$P$4:$P$8000,'Timesheet Raw'!$A$4:$A$8000,IF(ISNUMBER(SEARCH("Chargable",$A305)),"2-Proposals Chargeable","3-Proposals Regular"),'Timesheet Raw'!$C$4:$C$8000,"*"&amp;$B305&amp;"*",'Timesheet Raw'!$L$4:$L$8000,"&gt;="&amp;MAX(S$5,DATE(2000+VALUE(RIGHT(TRIM($A305),2)),1,1)),'Timesheet Raw'!$L$4:$L$8000,"&lt;="&amp;MIN(S$6,DATE(2000+VALUE(RIGHT(TRIM($A305),2)),12,31))),SUMIFS('Timesheet Raw'!$P$4:$P$8000,'Timesheet Raw'!$B$4:$B$8000,TRIM($A305),'Timesheet Raw'!$C$4:$C$8000,"*"&amp;$B305&amp;"*",'Timesheet Raw'!$L$4:$L$8000,"&gt;="&amp;S$5,'Timesheet Raw'!$L$4:$L$8000,"&lt;="&amp;S$6)))/'Profit Plan'!$B$5)</f>
        <v>0</v>
      </c>
      <c r="T305" s="122">
        <f>IF($A305="","",(IF(ISNUMBER(SEARCH("Proposal",$A305)),SUMIFS('Timesheet Raw'!$P$4:$P$8000,'Timesheet Raw'!$A$4:$A$8000,IF(ISNUMBER(SEARCH("Chargable",$A305)),"2-Proposals Chargeable","3-Proposals Regular"),'Timesheet Raw'!$C$4:$C$8000,"*"&amp;$B305&amp;"*",'Timesheet Raw'!$L$4:$L$8000,"&gt;="&amp;MAX(T$5,DATE(2000+VALUE(RIGHT(TRIM($A305),2)),1,1)),'Timesheet Raw'!$L$4:$L$8000,"&lt;="&amp;MIN(T$6,DATE(2000+VALUE(RIGHT(TRIM($A305),2)),12,31))),SUMIFS('Timesheet Raw'!$P$4:$P$8000,'Timesheet Raw'!$B$4:$B$8000,TRIM($A305),'Timesheet Raw'!$C$4:$C$8000,"*"&amp;$B305&amp;"*",'Timesheet Raw'!$L$4:$L$8000,"&gt;="&amp;T$5,'Timesheet Raw'!$L$4:$L$8000,"&lt;="&amp;T$6)))/'Profit Plan'!$B$5)</f>
        <v>0</v>
      </c>
      <c r="U305" s="122">
        <f>IF($A305="","",(IF(ISNUMBER(SEARCH("Proposal",$A305)),SUMIFS('Timesheet Raw'!$P$4:$P$8000,'Timesheet Raw'!$A$4:$A$8000,IF(ISNUMBER(SEARCH("Chargable",$A305)),"2-Proposals Chargeable","3-Proposals Regular"),'Timesheet Raw'!$C$4:$C$8000,"*"&amp;$B305&amp;"*",'Timesheet Raw'!$L$4:$L$8000,"&gt;="&amp;MAX(U$5,DATE(2000+VALUE(RIGHT(TRIM($A305),2)),1,1)),'Timesheet Raw'!$L$4:$L$8000,"&lt;="&amp;MIN(U$6,DATE(2000+VALUE(RIGHT(TRIM($A305),2)),12,31))),SUMIFS('Timesheet Raw'!$P$4:$P$8000,'Timesheet Raw'!$B$4:$B$8000,TRIM($A305),'Timesheet Raw'!$C$4:$C$8000,"*"&amp;$B305&amp;"*",'Timesheet Raw'!$L$4:$L$8000,"&gt;="&amp;U$5,'Timesheet Raw'!$L$4:$L$8000,"&lt;="&amp;U$6)))/'Profit Plan'!$B$5)</f>
        <v>0</v>
      </c>
      <c r="V305" s="122">
        <f>IF($A305="","",(IF(ISNUMBER(SEARCH("Proposal",$A305)),SUMIFS('Timesheet Raw'!$P$4:$P$8000,'Timesheet Raw'!$A$4:$A$8000,IF(ISNUMBER(SEARCH("Chargable",$A305)),"2-Proposals Chargeable","3-Proposals Regular"),'Timesheet Raw'!$C$4:$C$8000,"*"&amp;$B305&amp;"*",'Timesheet Raw'!$L$4:$L$8000,"&gt;="&amp;MAX(V$5,DATE(2000+VALUE(RIGHT(TRIM($A305),2)),1,1)),'Timesheet Raw'!$L$4:$L$8000,"&lt;="&amp;MIN(V$6,DATE(2000+VALUE(RIGHT(TRIM($A305),2)),12,31))),SUMIFS('Timesheet Raw'!$P$4:$P$8000,'Timesheet Raw'!$B$4:$B$8000,TRIM($A305),'Timesheet Raw'!$C$4:$C$8000,"*"&amp;$B305&amp;"*",'Timesheet Raw'!$L$4:$L$8000,"&gt;="&amp;V$5,'Timesheet Raw'!$L$4:$L$8000,"&lt;="&amp;V$6)))/'Profit Plan'!$B$5)</f>
        <v>0</v>
      </c>
      <c r="W305" s="122">
        <f>IF($A305="","",(IF(ISNUMBER(SEARCH("Proposal",$A305)),SUMIFS('Timesheet Raw'!$P$4:$P$8000,'Timesheet Raw'!$A$4:$A$8000,IF(ISNUMBER(SEARCH("Chargable",$A305)),"2-Proposals Chargeable","3-Proposals Regular"),'Timesheet Raw'!$C$4:$C$8000,"*"&amp;$B305&amp;"*",'Timesheet Raw'!$L$4:$L$8000,"&gt;="&amp;MAX(W$5,DATE(2000+VALUE(RIGHT(TRIM($A305),2)),1,1)),'Timesheet Raw'!$L$4:$L$8000,"&lt;="&amp;MIN(W$6,DATE(2000+VALUE(RIGHT(TRIM($A305),2)),12,31))),SUMIFS('Timesheet Raw'!$P$4:$P$8000,'Timesheet Raw'!$B$4:$B$8000,TRIM($A305),'Timesheet Raw'!$C$4:$C$8000,"*"&amp;$B305&amp;"*",'Timesheet Raw'!$L$4:$L$8000,"&gt;="&amp;W$5,'Timesheet Raw'!$L$4:$L$8000,"&lt;="&amp;W$6)))/'Profit Plan'!$B$5)</f>
        <v>0</v>
      </c>
      <c r="X305" s="122">
        <f>IF($A305="","",(IF(ISNUMBER(SEARCH("Proposal",$A305)),SUMIFS('Timesheet Raw'!$P$4:$P$8000,'Timesheet Raw'!$A$4:$A$8000,IF(ISNUMBER(SEARCH("Chargable",$A305)),"2-Proposals Chargeable","3-Proposals Regular"),'Timesheet Raw'!$C$4:$C$8000,"*"&amp;$B305&amp;"*",'Timesheet Raw'!$L$4:$L$8000,"&gt;="&amp;MAX(X$5,DATE(2000+VALUE(RIGHT(TRIM($A305),2)),1,1)),'Timesheet Raw'!$L$4:$L$8000,"&lt;="&amp;MIN(X$6,DATE(2000+VALUE(RIGHT(TRIM($A305),2)),12,31))),SUMIFS('Timesheet Raw'!$P$4:$P$8000,'Timesheet Raw'!$B$4:$B$8000,TRIM($A305),'Timesheet Raw'!$C$4:$C$8000,"*"&amp;$B305&amp;"*",'Timesheet Raw'!$L$4:$L$8000,"&gt;="&amp;X$5,'Timesheet Raw'!$L$4:$L$8000,"&lt;="&amp;X$6)))/'Profit Plan'!$B$5)</f>
        <v>0</v>
      </c>
      <c r="Y305" s="118">
        <f t="shared" si="100"/>
        <v>0</v>
      </c>
    </row>
    <row r="306" spans="1:25" x14ac:dyDescent="0.3">
      <c r="A306" s="116" t="str">
        <f>IF(Inputs!$A19="","",Inputs!$A19)</f>
        <v>Q25008-0100D</v>
      </c>
      <c r="B306" s="116" t="str">
        <f>IF(Inputs!$A19="","",Inputs!$A$93)</f>
        <v>Kirolos</v>
      </c>
      <c r="C306" s="116"/>
      <c r="D306" s="122">
        <f>IF($A306="","",(IF(ISNUMBER(SEARCH("Proposal",$A306)),SUMIFS('Timesheet Raw'!$P$4:$P$8000,'Timesheet Raw'!$A$4:$A$8000,IF(ISNUMBER(SEARCH("Chargable",$A306)),"2-Proposals Chargeable","3-Proposals Regular"),'Timesheet Raw'!$C$4:$C$8000,"*"&amp;$B306&amp;"*",'Timesheet Raw'!$L$4:$L$8000,"&gt;="&amp;MAX(D$5,DATE(2000+VALUE(RIGHT(TRIM($A306),2)),1,1)),'Timesheet Raw'!$L$4:$L$8000,"&lt;="&amp;MIN(D$6,DATE(2000+VALUE(RIGHT(TRIM($A306),2)),12,31))),SUMIFS('Timesheet Raw'!$P$4:$P$8000,'Timesheet Raw'!$B$4:$B$8000,TRIM($A306),'Timesheet Raw'!$C$4:$C$8000,"*"&amp;$B306&amp;"*",'Timesheet Raw'!$L$4:$L$8000,"&gt;="&amp;D$5,'Timesheet Raw'!$L$4:$L$8000,"&lt;="&amp;D$6)))/'Profit Plan'!$B$5)</f>
        <v>0</v>
      </c>
      <c r="E306" s="122">
        <f>IF($A306="","",(IF(ISNUMBER(SEARCH("Proposal",$A306)),SUMIFS('Timesheet Raw'!$P$4:$P$8000,'Timesheet Raw'!$A$4:$A$8000,IF(ISNUMBER(SEARCH("Chargable",$A306)),"2-Proposals Chargeable","3-Proposals Regular"),'Timesheet Raw'!$C$4:$C$8000,"*"&amp;$B306&amp;"*",'Timesheet Raw'!$L$4:$L$8000,"&gt;="&amp;MAX(E$5,DATE(2000+VALUE(RIGHT(TRIM($A306),2)),1,1)),'Timesheet Raw'!$L$4:$L$8000,"&lt;="&amp;MIN(E$6,DATE(2000+VALUE(RIGHT(TRIM($A306),2)),12,31))),SUMIFS('Timesheet Raw'!$P$4:$P$8000,'Timesheet Raw'!$B$4:$B$8000,TRIM($A306),'Timesheet Raw'!$C$4:$C$8000,"*"&amp;$B306&amp;"*",'Timesheet Raw'!$L$4:$L$8000,"&gt;="&amp;E$5,'Timesheet Raw'!$L$4:$L$8000,"&lt;="&amp;E$6)))/'Profit Plan'!$B$5)</f>
        <v>0</v>
      </c>
      <c r="F306" s="122">
        <f>IF($A306="","",(IF(ISNUMBER(SEARCH("Proposal",$A306)),SUMIFS('Timesheet Raw'!$P$4:$P$8000,'Timesheet Raw'!$A$4:$A$8000,IF(ISNUMBER(SEARCH("Chargable",$A306)),"2-Proposals Chargeable","3-Proposals Regular"),'Timesheet Raw'!$C$4:$C$8000,"*"&amp;$B306&amp;"*",'Timesheet Raw'!$L$4:$L$8000,"&gt;="&amp;MAX(F$5,DATE(2000+VALUE(RIGHT(TRIM($A306),2)),1,1)),'Timesheet Raw'!$L$4:$L$8000,"&lt;="&amp;MIN(F$6,DATE(2000+VALUE(RIGHT(TRIM($A306),2)),12,31))),SUMIFS('Timesheet Raw'!$P$4:$P$8000,'Timesheet Raw'!$B$4:$B$8000,TRIM($A306),'Timesheet Raw'!$C$4:$C$8000,"*"&amp;$B306&amp;"*",'Timesheet Raw'!$L$4:$L$8000,"&gt;="&amp;F$5,'Timesheet Raw'!$L$4:$L$8000,"&lt;="&amp;F$6)))/'Profit Plan'!$B$5)</f>
        <v>0</v>
      </c>
      <c r="G306" s="122">
        <f>IF($A306="","",(IF(ISNUMBER(SEARCH("Proposal",$A306)),SUMIFS('Timesheet Raw'!$P$4:$P$8000,'Timesheet Raw'!$A$4:$A$8000,IF(ISNUMBER(SEARCH("Chargable",$A306)),"2-Proposals Chargeable","3-Proposals Regular"),'Timesheet Raw'!$C$4:$C$8000,"*"&amp;$B306&amp;"*",'Timesheet Raw'!$L$4:$L$8000,"&gt;="&amp;MAX(G$5,DATE(2000+VALUE(RIGHT(TRIM($A306),2)),1,1)),'Timesheet Raw'!$L$4:$L$8000,"&lt;="&amp;MIN(G$6,DATE(2000+VALUE(RIGHT(TRIM($A306),2)),12,31))),SUMIFS('Timesheet Raw'!$P$4:$P$8000,'Timesheet Raw'!$B$4:$B$8000,TRIM($A306),'Timesheet Raw'!$C$4:$C$8000,"*"&amp;$B306&amp;"*",'Timesheet Raw'!$L$4:$L$8000,"&gt;="&amp;G$5,'Timesheet Raw'!$L$4:$L$8000,"&lt;="&amp;G$6)))/'Profit Plan'!$B$5)</f>
        <v>0</v>
      </c>
      <c r="H306" s="122">
        <f>IF($A306="","",(IF(ISNUMBER(SEARCH("Proposal",$A306)),SUMIFS('Timesheet Raw'!$P$4:$P$8000,'Timesheet Raw'!$A$4:$A$8000,IF(ISNUMBER(SEARCH("Chargable",$A306)),"2-Proposals Chargeable","3-Proposals Regular"),'Timesheet Raw'!$C$4:$C$8000,"*"&amp;$B306&amp;"*",'Timesheet Raw'!$L$4:$L$8000,"&gt;="&amp;MAX(H$5,DATE(2000+VALUE(RIGHT(TRIM($A306),2)),1,1)),'Timesheet Raw'!$L$4:$L$8000,"&lt;="&amp;MIN(H$6,DATE(2000+VALUE(RIGHT(TRIM($A306),2)),12,31))),SUMIFS('Timesheet Raw'!$P$4:$P$8000,'Timesheet Raw'!$B$4:$B$8000,TRIM($A306),'Timesheet Raw'!$C$4:$C$8000,"*"&amp;$B306&amp;"*",'Timesheet Raw'!$L$4:$L$8000,"&gt;="&amp;H$5,'Timesheet Raw'!$L$4:$L$8000,"&lt;="&amp;H$6)))/'Profit Plan'!$B$5)</f>
        <v>0</v>
      </c>
      <c r="I306" s="122">
        <f>IF($A306="","",(IF(ISNUMBER(SEARCH("Proposal",$A306)),SUMIFS('Timesheet Raw'!$P$4:$P$8000,'Timesheet Raw'!$A$4:$A$8000,IF(ISNUMBER(SEARCH("Chargable",$A306)),"2-Proposals Chargeable","3-Proposals Regular"),'Timesheet Raw'!$C$4:$C$8000,"*"&amp;$B306&amp;"*",'Timesheet Raw'!$L$4:$L$8000,"&gt;="&amp;MAX(I$5,DATE(2000+VALUE(RIGHT(TRIM($A306),2)),1,1)),'Timesheet Raw'!$L$4:$L$8000,"&lt;="&amp;MIN(I$6,DATE(2000+VALUE(RIGHT(TRIM($A306),2)),12,31))),SUMIFS('Timesheet Raw'!$P$4:$P$8000,'Timesheet Raw'!$B$4:$B$8000,TRIM($A306),'Timesheet Raw'!$C$4:$C$8000,"*"&amp;$B306&amp;"*",'Timesheet Raw'!$L$4:$L$8000,"&gt;="&amp;I$5,'Timesheet Raw'!$L$4:$L$8000,"&lt;="&amp;I$6)))/'Profit Plan'!$B$5)</f>
        <v>0</v>
      </c>
      <c r="J306" s="122">
        <f>IF($A306="","",(IF(ISNUMBER(SEARCH("Proposal",$A306)),SUMIFS('Timesheet Raw'!$P$4:$P$8000,'Timesheet Raw'!$A$4:$A$8000,IF(ISNUMBER(SEARCH("Chargable",$A306)),"2-Proposals Chargeable","3-Proposals Regular"),'Timesheet Raw'!$C$4:$C$8000,"*"&amp;$B306&amp;"*",'Timesheet Raw'!$L$4:$L$8000,"&gt;="&amp;MAX(J$5,DATE(2000+VALUE(RIGHT(TRIM($A306),2)),1,1)),'Timesheet Raw'!$L$4:$L$8000,"&lt;="&amp;MIN(J$6,DATE(2000+VALUE(RIGHT(TRIM($A306),2)),12,31))),SUMIFS('Timesheet Raw'!$P$4:$P$8000,'Timesheet Raw'!$B$4:$B$8000,TRIM($A306),'Timesheet Raw'!$C$4:$C$8000,"*"&amp;$B306&amp;"*",'Timesheet Raw'!$L$4:$L$8000,"&gt;="&amp;J$5,'Timesheet Raw'!$L$4:$L$8000,"&lt;="&amp;J$6)))/'Profit Plan'!$B$5)</f>
        <v>0</v>
      </c>
      <c r="K306" s="122">
        <f>IF($A306="","",(IF(ISNUMBER(SEARCH("Proposal",$A306)),SUMIFS('Timesheet Raw'!$P$4:$P$8000,'Timesheet Raw'!$A$4:$A$8000,IF(ISNUMBER(SEARCH("Chargable",$A306)),"2-Proposals Chargeable","3-Proposals Regular"),'Timesheet Raw'!$C$4:$C$8000,"*"&amp;$B306&amp;"*",'Timesheet Raw'!$L$4:$L$8000,"&gt;="&amp;MAX(K$5,DATE(2000+VALUE(RIGHT(TRIM($A306),2)),1,1)),'Timesheet Raw'!$L$4:$L$8000,"&lt;="&amp;MIN(K$6,DATE(2000+VALUE(RIGHT(TRIM($A306),2)),12,31))),SUMIFS('Timesheet Raw'!$P$4:$P$8000,'Timesheet Raw'!$B$4:$B$8000,TRIM($A306),'Timesheet Raw'!$C$4:$C$8000,"*"&amp;$B306&amp;"*",'Timesheet Raw'!$L$4:$L$8000,"&gt;="&amp;K$5,'Timesheet Raw'!$L$4:$L$8000,"&lt;="&amp;K$6)))/'Profit Plan'!$B$5)</f>
        <v>0</v>
      </c>
      <c r="L306" s="122">
        <f>IF($A306="","",(IF(ISNUMBER(SEARCH("Proposal",$A306)),SUMIFS('Timesheet Raw'!$P$4:$P$8000,'Timesheet Raw'!$A$4:$A$8000,IF(ISNUMBER(SEARCH("Chargable",$A306)),"2-Proposals Chargeable","3-Proposals Regular"),'Timesheet Raw'!$C$4:$C$8000,"*"&amp;$B306&amp;"*",'Timesheet Raw'!$L$4:$L$8000,"&gt;="&amp;MAX(L$5,DATE(2000+VALUE(RIGHT(TRIM($A306),2)),1,1)),'Timesheet Raw'!$L$4:$L$8000,"&lt;="&amp;MIN(L$6,DATE(2000+VALUE(RIGHT(TRIM($A306),2)),12,31))),SUMIFS('Timesheet Raw'!$P$4:$P$8000,'Timesheet Raw'!$B$4:$B$8000,TRIM($A306),'Timesheet Raw'!$C$4:$C$8000,"*"&amp;$B306&amp;"*",'Timesheet Raw'!$L$4:$L$8000,"&gt;="&amp;L$5,'Timesheet Raw'!$L$4:$L$8000,"&lt;="&amp;L$6)))/'Profit Plan'!$B$5)</f>
        <v>3.783783783783784E-2</v>
      </c>
      <c r="M306" s="122">
        <f>IF($A306="","",(IF(ISNUMBER(SEARCH("Proposal",$A306)),SUMIFS('Timesheet Raw'!$P$4:$P$8000,'Timesheet Raw'!$A$4:$A$8000,IF(ISNUMBER(SEARCH("Chargable",$A306)),"2-Proposals Chargeable","3-Proposals Regular"),'Timesheet Raw'!$C$4:$C$8000,"*"&amp;$B306&amp;"*",'Timesheet Raw'!$L$4:$L$8000,"&gt;="&amp;MAX(M$5,DATE(2000+VALUE(RIGHT(TRIM($A306),2)),1,1)),'Timesheet Raw'!$L$4:$L$8000,"&lt;="&amp;MIN(M$6,DATE(2000+VALUE(RIGHT(TRIM($A306),2)),12,31))),SUMIFS('Timesheet Raw'!$P$4:$P$8000,'Timesheet Raw'!$B$4:$B$8000,TRIM($A306),'Timesheet Raw'!$C$4:$C$8000,"*"&amp;$B306&amp;"*",'Timesheet Raw'!$L$4:$L$8000,"&gt;="&amp;M$5,'Timesheet Raw'!$L$4:$L$8000,"&lt;="&amp;M$6)))/'Profit Plan'!$B$5)</f>
        <v>0.86081081081081079</v>
      </c>
      <c r="N306" s="122">
        <f>IF($A306="","",(IF(ISNUMBER(SEARCH("Proposal",$A306)),SUMIFS('Timesheet Raw'!$P$4:$P$8000,'Timesheet Raw'!$A$4:$A$8000,IF(ISNUMBER(SEARCH("Chargable",$A306)),"2-Proposals Chargeable","3-Proposals Regular"),'Timesheet Raw'!$C$4:$C$8000,"*"&amp;$B306&amp;"*",'Timesheet Raw'!$L$4:$L$8000,"&gt;="&amp;MAX(N$5,DATE(2000+VALUE(RIGHT(TRIM($A306),2)),1,1)),'Timesheet Raw'!$L$4:$L$8000,"&lt;="&amp;MIN(N$6,DATE(2000+VALUE(RIGHT(TRIM($A306),2)),12,31))),SUMIFS('Timesheet Raw'!$P$4:$P$8000,'Timesheet Raw'!$B$4:$B$8000,TRIM($A306),'Timesheet Raw'!$C$4:$C$8000,"*"&amp;$B306&amp;"*",'Timesheet Raw'!$L$4:$L$8000,"&gt;="&amp;N$5,'Timesheet Raw'!$L$4:$L$8000,"&lt;="&amp;N$6)))/'Profit Plan'!$B$5)</f>
        <v>0.64459459459459456</v>
      </c>
      <c r="O306" s="122">
        <f>IF($A306="","",(IF(ISNUMBER(SEARCH("Proposal",$A306)),SUMIFS('Timesheet Raw'!$P$4:$P$8000,'Timesheet Raw'!$A$4:$A$8000,IF(ISNUMBER(SEARCH("Chargable",$A306)),"2-Proposals Chargeable","3-Proposals Regular"),'Timesheet Raw'!$C$4:$C$8000,"*"&amp;$B306&amp;"*",'Timesheet Raw'!$L$4:$L$8000,"&gt;="&amp;MAX(O$5,DATE(2000+VALUE(RIGHT(TRIM($A306),2)),1,1)),'Timesheet Raw'!$L$4:$L$8000,"&lt;="&amp;MIN(O$6,DATE(2000+VALUE(RIGHT(TRIM($A306),2)),12,31))),SUMIFS('Timesheet Raw'!$P$4:$P$8000,'Timesheet Raw'!$B$4:$B$8000,TRIM($A306),'Timesheet Raw'!$C$4:$C$8000,"*"&amp;$B306&amp;"*",'Timesheet Raw'!$L$4:$L$8000,"&gt;="&amp;O$5,'Timesheet Raw'!$L$4:$L$8000,"&lt;="&amp;O$6)))/'Profit Plan'!$B$5)</f>
        <v>0.16216216216216217</v>
      </c>
      <c r="P306" s="122">
        <f>IF($A306="","",(IF(ISNUMBER(SEARCH("Proposal",$A306)),SUMIFS('Timesheet Raw'!$P$4:$P$8000,'Timesheet Raw'!$A$4:$A$8000,IF(ISNUMBER(SEARCH("Chargable",$A306)),"2-Proposals Chargeable","3-Proposals Regular"),'Timesheet Raw'!$C$4:$C$8000,"*"&amp;$B306&amp;"*",'Timesheet Raw'!$L$4:$L$8000,"&gt;="&amp;MAX(P$5,DATE(2000+VALUE(RIGHT(TRIM($A306),2)),1,1)),'Timesheet Raw'!$L$4:$L$8000,"&lt;="&amp;MIN(P$6,DATE(2000+VALUE(RIGHT(TRIM($A306),2)),12,31))),SUMIFS('Timesheet Raw'!$P$4:$P$8000,'Timesheet Raw'!$B$4:$B$8000,TRIM($A306),'Timesheet Raw'!$C$4:$C$8000,"*"&amp;$B306&amp;"*",'Timesheet Raw'!$L$4:$L$8000,"&gt;="&amp;P$5,'Timesheet Raw'!$L$4:$L$8000,"&lt;="&amp;P$6)))/'Profit Plan'!$B$5)</f>
        <v>0</v>
      </c>
      <c r="Q306" s="122">
        <f>IF($A306="","",(IF(ISNUMBER(SEARCH("Proposal",$A306)),SUMIFS('Timesheet Raw'!$P$4:$P$8000,'Timesheet Raw'!$A$4:$A$8000,IF(ISNUMBER(SEARCH("Chargable",$A306)),"2-Proposals Chargeable","3-Proposals Regular"),'Timesheet Raw'!$C$4:$C$8000,"*"&amp;$B306&amp;"*",'Timesheet Raw'!$L$4:$L$8000,"&gt;="&amp;MAX(Q$5,DATE(2000+VALUE(RIGHT(TRIM($A306),2)),1,1)),'Timesheet Raw'!$L$4:$L$8000,"&lt;="&amp;MIN(Q$6,DATE(2000+VALUE(RIGHT(TRIM($A306),2)),12,31))),SUMIFS('Timesheet Raw'!$P$4:$P$8000,'Timesheet Raw'!$B$4:$B$8000,TRIM($A306),'Timesheet Raw'!$C$4:$C$8000,"*"&amp;$B306&amp;"*",'Timesheet Raw'!$L$4:$L$8000,"&gt;="&amp;Q$5,'Timesheet Raw'!$L$4:$L$8000,"&lt;="&amp;Q$6)))/'Profit Plan'!$B$5)</f>
        <v>0</v>
      </c>
      <c r="R306" s="122">
        <f>IF($A306="","",(IF(ISNUMBER(SEARCH("Proposal",$A306)),SUMIFS('Timesheet Raw'!$P$4:$P$8000,'Timesheet Raw'!$A$4:$A$8000,IF(ISNUMBER(SEARCH("Chargable",$A306)),"2-Proposals Chargeable","3-Proposals Regular"),'Timesheet Raw'!$C$4:$C$8000,"*"&amp;$B306&amp;"*",'Timesheet Raw'!$L$4:$L$8000,"&gt;="&amp;MAX(R$5,DATE(2000+VALUE(RIGHT(TRIM($A306),2)),1,1)),'Timesheet Raw'!$L$4:$L$8000,"&lt;="&amp;MIN(R$6,DATE(2000+VALUE(RIGHT(TRIM($A306),2)),12,31))),SUMIFS('Timesheet Raw'!$P$4:$P$8000,'Timesheet Raw'!$B$4:$B$8000,TRIM($A306),'Timesheet Raw'!$C$4:$C$8000,"*"&amp;$B306&amp;"*",'Timesheet Raw'!$L$4:$L$8000,"&gt;="&amp;R$5,'Timesheet Raw'!$L$4:$L$8000,"&lt;="&amp;R$6)))/'Profit Plan'!$B$5)</f>
        <v>0</v>
      </c>
      <c r="S306" s="122">
        <f>IF($A306="","",(IF(ISNUMBER(SEARCH("Proposal",$A306)),SUMIFS('Timesheet Raw'!$P$4:$P$8000,'Timesheet Raw'!$A$4:$A$8000,IF(ISNUMBER(SEARCH("Chargable",$A306)),"2-Proposals Chargeable","3-Proposals Regular"),'Timesheet Raw'!$C$4:$C$8000,"*"&amp;$B306&amp;"*",'Timesheet Raw'!$L$4:$L$8000,"&gt;="&amp;MAX(S$5,DATE(2000+VALUE(RIGHT(TRIM($A306),2)),1,1)),'Timesheet Raw'!$L$4:$L$8000,"&lt;="&amp;MIN(S$6,DATE(2000+VALUE(RIGHT(TRIM($A306),2)),12,31))),SUMIFS('Timesheet Raw'!$P$4:$P$8000,'Timesheet Raw'!$B$4:$B$8000,TRIM($A306),'Timesheet Raw'!$C$4:$C$8000,"*"&amp;$B306&amp;"*",'Timesheet Raw'!$L$4:$L$8000,"&gt;="&amp;S$5,'Timesheet Raw'!$L$4:$L$8000,"&lt;="&amp;S$6)))/'Profit Plan'!$B$5)</f>
        <v>0</v>
      </c>
      <c r="T306" s="122">
        <f>IF($A306="","",(IF(ISNUMBER(SEARCH("Proposal",$A306)),SUMIFS('Timesheet Raw'!$P$4:$P$8000,'Timesheet Raw'!$A$4:$A$8000,IF(ISNUMBER(SEARCH("Chargable",$A306)),"2-Proposals Chargeable","3-Proposals Regular"),'Timesheet Raw'!$C$4:$C$8000,"*"&amp;$B306&amp;"*",'Timesheet Raw'!$L$4:$L$8000,"&gt;="&amp;MAX(T$5,DATE(2000+VALUE(RIGHT(TRIM($A306),2)),1,1)),'Timesheet Raw'!$L$4:$L$8000,"&lt;="&amp;MIN(T$6,DATE(2000+VALUE(RIGHT(TRIM($A306),2)),12,31))),SUMIFS('Timesheet Raw'!$P$4:$P$8000,'Timesheet Raw'!$B$4:$B$8000,TRIM($A306),'Timesheet Raw'!$C$4:$C$8000,"*"&amp;$B306&amp;"*",'Timesheet Raw'!$L$4:$L$8000,"&gt;="&amp;T$5,'Timesheet Raw'!$L$4:$L$8000,"&lt;="&amp;T$6)))/'Profit Plan'!$B$5)</f>
        <v>0</v>
      </c>
      <c r="U306" s="122">
        <f>IF($A306="","",(IF(ISNUMBER(SEARCH("Proposal",$A306)),SUMIFS('Timesheet Raw'!$P$4:$P$8000,'Timesheet Raw'!$A$4:$A$8000,IF(ISNUMBER(SEARCH("Chargable",$A306)),"2-Proposals Chargeable","3-Proposals Regular"),'Timesheet Raw'!$C$4:$C$8000,"*"&amp;$B306&amp;"*",'Timesheet Raw'!$L$4:$L$8000,"&gt;="&amp;MAX(U$5,DATE(2000+VALUE(RIGHT(TRIM($A306),2)),1,1)),'Timesheet Raw'!$L$4:$L$8000,"&lt;="&amp;MIN(U$6,DATE(2000+VALUE(RIGHT(TRIM($A306),2)),12,31))),SUMIFS('Timesheet Raw'!$P$4:$P$8000,'Timesheet Raw'!$B$4:$B$8000,TRIM($A306),'Timesheet Raw'!$C$4:$C$8000,"*"&amp;$B306&amp;"*",'Timesheet Raw'!$L$4:$L$8000,"&gt;="&amp;U$5,'Timesheet Raw'!$L$4:$L$8000,"&lt;="&amp;U$6)))/'Profit Plan'!$B$5)</f>
        <v>0</v>
      </c>
      <c r="V306" s="122">
        <f>IF($A306="","",(IF(ISNUMBER(SEARCH("Proposal",$A306)),SUMIFS('Timesheet Raw'!$P$4:$P$8000,'Timesheet Raw'!$A$4:$A$8000,IF(ISNUMBER(SEARCH("Chargable",$A306)),"2-Proposals Chargeable","3-Proposals Regular"),'Timesheet Raw'!$C$4:$C$8000,"*"&amp;$B306&amp;"*",'Timesheet Raw'!$L$4:$L$8000,"&gt;="&amp;MAX(V$5,DATE(2000+VALUE(RIGHT(TRIM($A306),2)),1,1)),'Timesheet Raw'!$L$4:$L$8000,"&lt;="&amp;MIN(V$6,DATE(2000+VALUE(RIGHT(TRIM($A306),2)),12,31))),SUMIFS('Timesheet Raw'!$P$4:$P$8000,'Timesheet Raw'!$B$4:$B$8000,TRIM($A306),'Timesheet Raw'!$C$4:$C$8000,"*"&amp;$B306&amp;"*",'Timesheet Raw'!$L$4:$L$8000,"&gt;="&amp;V$5,'Timesheet Raw'!$L$4:$L$8000,"&lt;="&amp;V$6)))/'Profit Plan'!$B$5)</f>
        <v>0</v>
      </c>
      <c r="W306" s="122">
        <f>IF($A306="","",(IF(ISNUMBER(SEARCH("Proposal",$A306)),SUMIFS('Timesheet Raw'!$P$4:$P$8000,'Timesheet Raw'!$A$4:$A$8000,IF(ISNUMBER(SEARCH("Chargable",$A306)),"2-Proposals Chargeable","3-Proposals Regular"),'Timesheet Raw'!$C$4:$C$8000,"*"&amp;$B306&amp;"*",'Timesheet Raw'!$L$4:$L$8000,"&gt;="&amp;MAX(W$5,DATE(2000+VALUE(RIGHT(TRIM($A306),2)),1,1)),'Timesheet Raw'!$L$4:$L$8000,"&lt;="&amp;MIN(W$6,DATE(2000+VALUE(RIGHT(TRIM($A306),2)),12,31))),SUMIFS('Timesheet Raw'!$P$4:$P$8000,'Timesheet Raw'!$B$4:$B$8000,TRIM($A306),'Timesheet Raw'!$C$4:$C$8000,"*"&amp;$B306&amp;"*",'Timesheet Raw'!$L$4:$L$8000,"&gt;="&amp;W$5,'Timesheet Raw'!$L$4:$L$8000,"&lt;="&amp;W$6)))/'Profit Plan'!$B$5)</f>
        <v>0</v>
      </c>
      <c r="X306" s="122">
        <f>IF($A306="","",(IF(ISNUMBER(SEARCH("Proposal",$A306)),SUMIFS('Timesheet Raw'!$P$4:$P$8000,'Timesheet Raw'!$A$4:$A$8000,IF(ISNUMBER(SEARCH("Chargable",$A306)),"2-Proposals Chargeable","3-Proposals Regular"),'Timesheet Raw'!$C$4:$C$8000,"*"&amp;$B306&amp;"*",'Timesheet Raw'!$L$4:$L$8000,"&gt;="&amp;MAX(X$5,DATE(2000+VALUE(RIGHT(TRIM($A306),2)),1,1)),'Timesheet Raw'!$L$4:$L$8000,"&lt;="&amp;MIN(X$6,DATE(2000+VALUE(RIGHT(TRIM($A306),2)),12,31))),SUMIFS('Timesheet Raw'!$P$4:$P$8000,'Timesheet Raw'!$B$4:$B$8000,TRIM($A306),'Timesheet Raw'!$C$4:$C$8000,"*"&amp;$B306&amp;"*",'Timesheet Raw'!$L$4:$L$8000,"&gt;="&amp;X$5,'Timesheet Raw'!$L$4:$L$8000,"&lt;="&amp;X$6)))/'Profit Plan'!$B$5)</f>
        <v>0</v>
      </c>
      <c r="Y306" s="118">
        <f t="shared" si="100"/>
        <v>1.7054054054054055</v>
      </c>
    </row>
    <row r="307" spans="1:25" x14ac:dyDescent="0.3">
      <c r="A307" s="116" t="str">
        <f>IF(Inputs!$A20="","",Inputs!$A20)</f>
        <v>S24014-0101D</v>
      </c>
      <c r="B307" s="116" t="str">
        <f>IF(Inputs!$A20="","",Inputs!$A$91)</f>
        <v>Ahmed</v>
      </c>
      <c r="C307" s="116"/>
      <c r="D307" s="122">
        <f>IF($A307="","",(IF(ISNUMBER(SEARCH("Proposal",$A307)),SUMIFS('Timesheet Raw'!$P$4:$P$8000,'Timesheet Raw'!$A$4:$A$8000,IF(ISNUMBER(SEARCH("Chargable",$A307)),"2-Proposals Chargeable","3-Proposals Regular"),'Timesheet Raw'!$C$4:$C$8000,"*"&amp;$B307&amp;"*",'Timesheet Raw'!$L$4:$L$8000,"&gt;="&amp;MAX(D$5,DATE(2000+VALUE(RIGHT(TRIM($A307),2)),1,1)),'Timesheet Raw'!$L$4:$L$8000,"&lt;="&amp;MIN(D$6,DATE(2000+VALUE(RIGHT(TRIM($A307),2)),12,31))),SUMIFS('Timesheet Raw'!$P$4:$P$8000,'Timesheet Raw'!$B$4:$B$8000,TRIM($A307),'Timesheet Raw'!$C$4:$C$8000,"*"&amp;$B307&amp;"*",'Timesheet Raw'!$L$4:$L$8000,"&gt;="&amp;D$5,'Timesheet Raw'!$L$4:$L$8000,"&lt;="&amp;D$6)))/'Profit Plan'!$B$5)</f>
        <v>0</v>
      </c>
      <c r="E307" s="122">
        <f>IF($A307="","",(IF(ISNUMBER(SEARCH("Proposal",$A307)),SUMIFS('Timesheet Raw'!$P$4:$P$8000,'Timesheet Raw'!$A$4:$A$8000,IF(ISNUMBER(SEARCH("Chargable",$A307)),"2-Proposals Chargeable","3-Proposals Regular"),'Timesheet Raw'!$C$4:$C$8000,"*"&amp;$B307&amp;"*",'Timesheet Raw'!$L$4:$L$8000,"&gt;="&amp;MAX(E$5,DATE(2000+VALUE(RIGHT(TRIM($A307),2)),1,1)),'Timesheet Raw'!$L$4:$L$8000,"&lt;="&amp;MIN(E$6,DATE(2000+VALUE(RIGHT(TRIM($A307),2)),12,31))),SUMIFS('Timesheet Raw'!$P$4:$P$8000,'Timesheet Raw'!$B$4:$B$8000,TRIM($A307),'Timesheet Raw'!$C$4:$C$8000,"*"&amp;$B307&amp;"*",'Timesheet Raw'!$L$4:$L$8000,"&gt;="&amp;E$5,'Timesheet Raw'!$L$4:$L$8000,"&lt;="&amp;E$6)))/'Profit Plan'!$B$5)</f>
        <v>1.0459459459459459</v>
      </c>
      <c r="F307" s="122">
        <f>IF($A307="","",(IF(ISNUMBER(SEARCH("Proposal",$A307)),SUMIFS('Timesheet Raw'!$P$4:$P$8000,'Timesheet Raw'!$A$4:$A$8000,IF(ISNUMBER(SEARCH("Chargable",$A307)),"2-Proposals Chargeable","3-Proposals Regular"),'Timesheet Raw'!$C$4:$C$8000,"*"&amp;$B307&amp;"*",'Timesheet Raw'!$L$4:$L$8000,"&gt;="&amp;MAX(F$5,DATE(2000+VALUE(RIGHT(TRIM($A307),2)),1,1)),'Timesheet Raw'!$L$4:$L$8000,"&lt;="&amp;MIN(F$6,DATE(2000+VALUE(RIGHT(TRIM($A307),2)),12,31))),SUMIFS('Timesheet Raw'!$P$4:$P$8000,'Timesheet Raw'!$B$4:$B$8000,TRIM($A307),'Timesheet Raw'!$C$4:$C$8000,"*"&amp;$B307&amp;"*",'Timesheet Raw'!$L$4:$L$8000,"&gt;="&amp;F$5,'Timesheet Raw'!$L$4:$L$8000,"&lt;="&amp;F$6)))/'Profit Plan'!$B$5)</f>
        <v>1.2067567567567568</v>
      </c>
      <c r="G307" s="122">
        <f>IF($A307="","",(IF(ISNUMBER(SEARCH("Proposal",$A307)),SUMIFS('Timesheet Raw'!$P$4:$P$8000,'Timesheet Raw'!$A$4:$A$8000,IF(ISNUMBER(SEARCH("Chargable",$A307)),"2-Proposals Chargeable","3-Proposals Regular"),'Timesheet Raw'!$C$4:$C$8000,"*"&amp;$B307&amp;"*",'Timesheet Raw'!$L$4:$L$8000,"&gt;="&amp;MAX(G$5,DATE(2000+VALUE(RIGHT(TRIM($A307),2)),1,1)),'Timesheet Raw'!$L$4:$L$8000,"&lt;="&amp;MIN(G$6,DATE(2000+VALUE(RIGHT(TRIM($A307),2)),12,31))),SUMIFS('Timesheet Raw'!$P$4:$P$8000,'Timesheet Raw'!$B$4:$B$8000,TRIM($A307),'Timesheet Raw'!$C$4:$C$8000,"*"&amp;$B307&amp;"*",'Timesheet Raw'!$L$4:$L$8000,"&gt;="&amp;G$5,'Timesheet Raw'!$L$4:$L$8000,"&lt;="&amp;G$6)))/'Profit Plan'!$B$5)</f>
        <v>0.1891891891891892</v>
      </c>
      <c r="H307" s="122">
        <f>IF($A307="","",(IF(ISNUMBER(SEARCH("Proposal",$A307)),SUMIFS('Timesheet Raw'!$P$4:$P$8000,'Timesheet Raw'!$A$4:$A$8000,IF(ISNUMBER(SEARCH("Chargable",$A307)),"2-Proposals Chargeable","3-Proposals Regular"),'Timesheet Raw'!$C$4:$C$8000,"*"&amp;$B307&amp;"*",'Timesheet Raw'!$L$4:$L$8000,"&gt;="&amp;MAX(H$5,DATE(2000+VALUE(RIGHT(TRIM($A307),2)),1,1)),'Timesheet Raw'!$L$4:$L$8000,"&lt;="&amp;MIN(H$6,DATE(2000+VALUE(RIGHT(TRIM($A307),2)),12,31))),SUMIFS('Timesheet Raw'!$P$4:$P$8000,'Timesheet Raw'!$B$4:$B$8000,TRIM($A307),'Timesheet Raw'!$C$4:$C$8000,"*"&amp;$B307&amp;"*",'Timesheet Raw'!$L$4:$L$8000,"&gt;="&amp;H$5,'Timesheet Raw'!$L$4:$L$8000,"&lt;="&amp;H$6)))/'Profit Plan'!$B$5)</f>
        <v>0</v>
      </c>
      <c r="I307" s="122">
        <f>IF($A307="","",(IF(ISNUMBER(SEARCH("Proposal",$A307)),SUMIFS('Timesheet Raw'!$P$4:$P$8000,'Timesheet Raw'!$A$4:$A$8000,IF(ISNUMBER(SEARCH("Chargable",$A307)),"2-Proposals Chargeable","3-Proposals Regular"),'Timesheet Raw'!$C$4:$C$8000,"*"&amp;$B307&amp;"*",'Timesheet Raw'!$L$4:$L$8000,"&gt;="&amp;MAX(I$5,DATE(2000+VALUE(RIGHT(TRIM($A307),2)),1,1)),'Timesheet Raw'!$L$4:$L$8000,"&lt;="&amp;MIN(I$6,DATE(2000+VALUE(RIGHT(TRIM($A307),2)),12,31))),SUMIFS('Timesheet Raw'!$P$4:$P$8000,'Timesheet Raw'!$B$4:$B$8000,TRIM($A307),'Timesheet Raw'!$C$4:$C$8000,"*"&amp;$B307&amp;"*",'Timesheet Raw'!$L$4:$L$8000,"&gt;="&amp;I$5,'Timesheet Raw'!$L$4:$L$8000,"&lt;="&amp;I$6)))/'Profit Plan'!$B$5)</f>
        <v>0</v>
      </c>
      <c r="J307" s="122">
        <f>IF($A307="","",(IF(ISNUMBER(SEARCH("Proposal",$A307)),SUMIFS('Timesheet Raw'!$P$4:$P$8000,'Timesheet Raw'!$A$4:$A$8000,IF(ISNUMBER(SEARCH("Chargable",$A307)),"2-Proposals Chargeable","3-Proposals Regular"),'Timesheet Raw'!$C$4:$C$8000,"*"&amp;$B307&amp;"*",'Timesheet Raw'!$L$4:$L$8000,"&gt;="&amp;MAX(J$5,DATE(2000+VALUE(RIGHT(TRIM($A307),2)),1,1)),'Timesheet Raw'!$L$4:$L$8000,"&lt;="&amp;MIN(J$6,DATE(2000+VALUE(RIGHT(TRIM($A307),2)),12,31))),SUMIFS('Timesheet Raw'!$P$4:$P$8000,'Timesheet Raw'!$B$4:$B$8000,TRIM($A307),'Timesheet Raw'!$C$4:$C$8000,"*"&amp;$B307&amp;"*",'Timesheet Raw'!$L$4:$L$8000,"&gt;="&amp;J$5,'Timesheet Raw'!$L$4:$L$8000,"&lt;="&amp;J$6)))/'Profit Plan'!$B$5)</f>
        <v>0</v>
      </c>
      <c r="K307" s="122">
        <f>IF($A307="","",(IF(ISNUMBER(SEARCH("Proposal",$A307)),SUMIFS('Timesheet Raw'!$P$4:$P$8000,'Timesheet Raw'!$A$4:$A$8000,IF(ISNUMBER(SEARCH("Chargable",$A307)),"2-Proposals Chargeable","3-Proposals Regular"),'Timesheet Raw'!$C$4:$C$8000,"*"&amp;$B307&amp;"*",'Timesheet Raw'!$L$4:$L$8000,"&gt;="&amp;MAX(K$5,DATE(2000+VALUE(RIGHT(TRIM($A307),2)),1,1)),'Timesheet Raw'!$L$4:$L$8000,"&lt;="&amp;MIN(K$6,DATE(2000+VALUE(RIGHT(TRIM($A307),2)),12,31))),SUMIFS('Timesheet Raw'!$P$4:$P$8000,'Timesheet Raw'!$B$4:$B$8000,TRIM($A307),'Timesheet Raw'!$C$4:$C$8000,"*"&amp;$B307&amp;"*",'Timesheet Raw'!$L$4:$L$8000,"&gt;="&amp;K$5,'Timesheet Raw'!$L$4:$L$8000,"&lt;="&amp;K$6)))/'Profit Plan'!$B$5)</f>
        <v>0</v>
      </c>
      <c r="L307" s="122">
        <f>IF($A307="","",(IF(ISNUMBER(SEARCH("Proposal",$A307)),SUMIFS('Timesheet Raw'!$P$4:$P$8000,'Timesheet Raw'!$A$4:$A$8000,IF(ISNUMBER(SEARCH("Chargable",$A307)),"2-Proposals Chargeable","3-Proposals Regular"),'Timesheet Raw'!$C$4:$C$8000,"*"&amp;$B307&amp;"*",'Timesheet Raw'!$L$4:$L$8000,"&gt;="&amp;MAX(L$5,DATE(2000+VALUE(RIGHT(TRIM($A307),2)),1,1)),'Timesheet Raw'!$L$4:$L$8000,"&lt;="&amp;MIN(L$6,DATE(2000+VALUE(RIGHT(TRIM($A307),2)),12,31))),SUMIFS('Timesheet Raw'!$P$4:$P$8000,'Timesheet Raw'!$B$4:$B$8000,TRIM($A307),'Timesheet Raw'!$C$4:$C$8000,"*"&amp;$B307&amp;"*",'Timesheet Raw'!$L$4:$L$8000,"&gt;="&amp;L$5,'Timesheet Raw'!$L$4:$L$8000,"&lt;="&amp;L$6)))/'Profit Plan'!$B$5)</f>
        <v>0</v>
      </c>
      <c r="M307" s="122">
        <f>IF($A307="","",(IF(ISNUMBER(SEARCH("Proposal",$A307)),SUMIFS('Timesheet Raw'!$P$4:$P$8000,'Timesheet Raw'!$A$4:$A$8000,IF(ISNUMBER(SEARCH("Chargable",$A307)),"2-Proposals Chargeable","3-Proposals Regular"),'Timesheet Raw'!$C$4:$C$8000,"*"&amp;$B307&amp;"*",'Timesheet Raw'!$L$4:$L$8000,"&gt;="&amp;MAX(M$5,DATE(2000+VALUE(RIGHT(TRIM($A307),2)),1,1)),'Timesheet Raw'!$L$4:$L$8000,"&lt;="&amp;MIN(M$6,DATE(2000+VALUE(RIGHT(TRIM($A307),2)),12,31))),SUMIFS('Timesheet Raw'!$P$4:$P$8000,'Timesheet Raw'!$B$4:$B$8000,TRIM($A307),'Timesheet Raw'!$C$4:$C$8000,"*"&amp;$B307&amp;"*",'Timesheet Raw'!$L$4:$L$8000,"&gt;="&amp;M$5,'Timesheet Raw'!$L$4:$L$8000,"&lt;="&amp;M$6)))/'Profit Plan'!$B$5)</f>
        <v>0</v>
      </c>
      <c r="N307" s="122">
        <f>IF($A307="","",(IF(ISNUMBER(SEARCH("Proposal",$A307)),SUMIFS('Timesheet Raw'!$P$4:$P$8000,'Timesheet Raw'!$A$4:$A$8000,IF(ISNUMBER(SEARCH("Chargable",$A307)),"2-Proposals Chargeable","3-Proposals Regular"),'Timesheet Raw'!$C$4:$C$8000,"*"&amp;$B307&amp;"*",'Timesheet Raw'!$L$4:$L$8000,"&gt;="&amp;MAX(N$5,DATE(2000+VALUE(RIGHT(TRIM($A307),2)),1,1)),'Timesheet Raw'!$L$4:$L$8000,"&lt;="&amp;MIN(N$6,DATE(2000+VALUE(RIGHT(TRIM($A307),2)),12,31))),SUMIFS('Timesheet Raw'!$P$4:$P$8000,'Timesheet Raw'!$B$4:$B$8000,TRIM($A307),'Timesheet Raw'!$C$4:$C$8000,"*"&amp;$B307&amp;"*",'Timesheet Raw'!$L$4:$L$8000,"&gt;="&amp;N$5,'Timesheet Raw'!$L$4:$L$8000,"&lt;="&amp;N$6)))/'Profit Plan'!$B$5)</f>
        <v>0</v>
      </c>
      <c r="O307" s="122">
        <f>IF($A307="","",(IF(ISNUMBER(SEARCH("Proposal",$A307)),SUMIFS('Timesheet Raw'!$P$4:$P$8000,'Timesheet Raw'!$A$4:$A$8000,IF(ISNUMBER(SEARCH("Chargable",$A307)),"2-Proposals Chargeable","3-Proposals Regular"),'Timesheet Raw'!$C$4:$C$8000,"*"&amp;$B307&amp;"*",'Timesheet Raw'!$L$4:$L$8000,"&gt;="&amp;MAX(O$5,DATE(2000+VALUE(RIGHT(TRIM($A307),2)),1,1)),'Timesheet Raw'!$L$4:$L$8000,"&lt;="&amp;MIN(O$6,DATE(2000+VALUE(RIGHT(TRIM($A307),2)),12,31))),SUMIFS('Timesheet Raw'!$P$4:$P$8000,'Timesheet Raw'!$B$4:$B$8000,TRIM($A307),'Timesheet Raw'!$C$4:$C$8000,"*"&amp;$B307&amp;"*",'Timesheet Raw'!$L$4:$L$8000,"&gt;="&amp;O$5,'Timesheet Raw'!$L$4:$L$8000,"&lt;="&amp;O$6)))/'Profit Plan'!$B$5)</f>
        <v>0</v>
      </c>
      <c r="P307" s="122">
        <f>IF($A307="","",(IF(ISNUMBER(SEARCH("Proposal",$A307)),SUMIFS('Timesheet Raw'!$P$4:$P$8000,'Timesheet Raw'!$A$4:$A$8000,IF(ISNUMBER(SEARCH("Chargable",$A307)),"2-Proposals Chargeable","3-Proposals Regular"),'Timesheet Raw'!$C$4:$C$8000,"*"&amp;$B307&amp;"*",'Timesheet Raw'!$L$4:$L$8000,"&gt;="&amp;MAX(P$5,DATE(2000+VALUE(RIGHT(TRIM($A307),2)),1,1)),'Timesheet Raw'!$L$4:$L$8000,"&lt;="&amp;MIN(P$6,DATE(2000+VALUE(RIGHT(TRIM($A307),2)),12,31))),SUMIFS('Timesheet Raw'!$P$4:$P$8000,'Timesheet Raw'!$B$4:$B$8000,TRIM($A307),'Timesheet Raw'!$C$4:$C$8000,"*"&amp;$B307&amp;"*",'Timesheet Raw'!$L$4:$L$8000,"&gt;="&amp;P$5,'Timesheet Raw'!$L$4:$L$8000,"&lt;="&amp;P$6)))/'Profit Plan'!$B$5)</f>
        <v>0</v>
      </c>
      <c r="Q307" s="122">
        <f>IF($A307="","",(IF(ISNUMBER(SEARCH("Proposal",$A307)),SUMIFS('Timesheet Raw'!$P$4:$P$8000,'Timesheet Raw'!$A$4:$A$8000,IF(ISNUMBER(SEARCH("Chargable",$A307)),"2-Proposals Chargeable","3-Proposals Regular"),'Timesheet Raw'!$C$4:$C$8000,"*"&amp;$B307&amp;"*",'Timesheet Raw'!$L$4:$L$8000,"&gt;="&amp;MAX(Q$5,DATE(2000+VALUE(RIGHT(TRIM($A307),2)),1,1)),'Timesheet Raw'!$L$4:$L$8000,"&lt;="&amp;MIN(Q$6,DATE(2000+VALUE(RIGHT(TRIM($A307),2)),12,31))),SUMIFS('Timesheet Raw'!$P$4:$P$8000,'Timesheet Raw'!$B$4:$B$8000,TRIM($A307),'Timesheet Raw'!$C$4:$C$8000,"*"&amp;$B307&amp;"*",'Timesheet Raw'!$L$4:$L$8000,"&gt;="&amp;Q$5,'Timesheet Raw'!$L$4:$L$8000,"&lt;="&amp;Q$6)))/'Profit Plan'!$B$5)</f>
        <v>0</v>
      </c>
      <c r="R307" s="122">
        <f>IF($A307="","",(IF(ISNUMBER(SEARCH("Proposal",$A307)),SUMIFS('Timesheet Raw'!$P$4:$P$8000,'Timesheet Raw'!$A$4:$A$8000,IF(ISNUMBER(SEARCH("Chargable",$A307)),"2-Proposals Chargeable","3-Proposals Regular"),'Timesheet Raw'!$C$4:$C$8000,"*"&amp;$B307&amp;"*",'Timesheet Raw'!$L$4:$L$8000,"&gt;="&amp;MAX(R$5,DATE(2000+VALUE(RIGHT(TRIM($A307),2)),1,1)),'Timesheet Raw'!$L$4:$L$8000,"&lt;="&amp;MIN(R$6,DATE(2000+VALUE(RIGHT(TRIM($A307),2)),12,31))),SUMIFS('Timesheet Raw'!$P$4:$P$8000,'Timesheet Raw'!$B$4:$B$8000,TRIM($A307),'Timesheet Raw'!$C$4:$C$8000,"*"&amp;$B307&amp;"*",'Timesheet Raw'!$L$4:$L$8000,"&gt;="&amp;R$5,'Timesheet Raw'!$L$4:$L$8000,"&lt;="&amp;R$6)))/'Profit Plan'!$B$5)</f>
        <v>0</v>
      </c>
      <c r="S307" s="122">
        <f>IF($A307="","",(IF(ISNUMBER(SEARCH("Proposal",$A307)),SUMIFS('Timesheet Raw'!$P$4:$P$8000,'Timesheet Raw'!$A$4:$A$8000,IF(ISNUMBER(SEARCH("Chargable",$A307)),"2-Proposals Chargeable","3-Proposals Regular"),'Timesheet Raw'!$C$4:$C$8000,"*"&amp;$B307&amp;"*",'Timesheet Raw'!$L$4:$L$8000,"&gt;="&amp;MAX(S$5,DATE(2000+VALUE(RIGHT(TRIM($A307),2)),1,1)),'Timesheet Raw'!$L$4:$L$8000,"&lt;="&amp;MIN(S$6,DATE(2000+VALUE(RIGHT(TRIM($A307),2)),12,31))),SUMIFS('Timesheet Raw'!$P$4:$P$8000,'Timesheet Raw'!$B$4:$B$8000,TRIM($A307),'Timesheet Raw'!$C$4:$C$8000,"*"&amp;$B307&amp;"*",'Timesheet Raw'!$L$4:$L$8000,"&gt;="&amp;S$5,'Timesheet Raw'!$L$4:$L$8000,"&lt;="&amp;S$6)))/'Profit Plan'!$B$5)</f>
        <v>0</v>
      </c>
      <c r="T307" s="122">
        <f>IF($A307="","",(IF(ISNUMBER(SEARCH("Proposal",$A307)),SUMIFS('Timesheet Raw'!$P$4:$P$8000,'Timesheet Raw'!$A$4:$A$8000,IF(ISNUMBER(SEARCH("Chargable",$A307)),"2-Proposals Chargeable","3-Proposals Regular"),'Timesheet Raw'!$C$4:$C$8000,"*"&amp;$B307&amp;"*",'Timesheet Raw'!$L$4:$L$8000,"&gt;="&amp;MAX(T$5,DATE(2000+VALUE(RIGHT(TRIM($A307),2)),1,1)),'Timesheet Raw'!$L$4:$L$8000,"&lt;="&amp;MIN(T$6,DATE(2000+VALUE(RIGHT(TRIM($A307),2)),12,31))),SUMIFS('Timesheet Raw'!$P$4:$P$8000,'Timesheet Raw'!$B$4:$B$8000,TRIM($A307),'Timesheet Raw'!$C$4:$C$8000,"*"&amp;$B307&amp;"*",'Timesheet Raw'!$L$4:$L$8000,"&gt;="&amp;T$5,'Timesheet Raw'!$L$4:$L$8000,"&lt;="&amp;T$6)))/'Profit Plan'!$B$5)</f>
        <v>0</v>
      </c>
      <c r="U307" s="122">
        <f>IF($A307="","",(IF(ISNUMBER(SEARCH("Proposal",$A307)),SUMIFS('Timesheet Raw'!$P$4:$P$8000,'Timesheet Raw'!$A$4:$A$8000,IF(ISNUMBER(SEARCH("Chargable",$A307)),"2-Proposals Chargeable","3-Proposals Regular"),'Timesheet Raw'!$C$4:$C$8000,"*"&amp;$B307&amp;"*",'Timesheet Raw'!$L$4:$L$8000,"&gt;="&amp;MAX(U$5,DATE(2000+VALUE(RIGHT(TRIM($A307),2)),1,1)),'Timesheet Raw'!$L$4:$L$8000,"&lt;="&amp;MIN(U$6,DATE(2000+VALUE(RIGHT(TRIM($A307),2)),12,31))),SUMIFS('Timesheet Raw'!$P$4:$P$8000,'Timesheet Raw'!$B$4:$B$8000,TRIM($A307),'Timesheet Raw'!$C$4:$C$8000,"*"&amp;$B307&amp;"*",'Timesheet Raw'!$L$4:$L$8000,"&gt;="&amp;U$5,'Timesheet Raw'!$L$4:$L$8000,"&lt;="&amp;U$6)))/'Profit Plan'!$B$5)</f>
        <v>0</v>
      </c>
      <c r="V307" s="122">
        <f>IF($A307="","",(IF(ISNUMBER(SEARCH("Proposal",$A307)),SUMIFS('Timesheet Raw'!$P$4:$P$8000,'Timesheet Raw'!$A$4:$A$8000,IF(ISNUMBER(SEARCH("Chargable",$A307)),"2-Proposals Chargeable","3-Proposals Regular"),'Timesheet Raw'!$C$4:$C$8000,"*"&amp;$B307&amp;"*",'Timesheet Raw'!$L$4:$L$8000,"&gt;="&amp;MAX(V$5,DATE(2000+VALUE(RIGHT(TRIM($A307),2)),1,1)),'Timesheet Raw'!$L$4:$L$8000,"&lt;="&amp;MIN(V$6,DATE(2000+VALUE(RIGHT(TRIM($A307),2)),12,31))),SUMIFS('Timesheet Raw'!$P$4:$P$8000,'Timesheet Raw'!$B$4:$B$8000,TRIM($A307),'Timesheet Raw'!$C$4:$C$8000,"*"&amp;$B307&amp;"*",'Timesheet Raw'!$L$4:$L$8000,"&gt;="&amp;V$5,'Timesheet Raw'!$L$4:$L$8000,"&lt;="&amp;V$6)))/'Profit Plan'!$B$5)</f>
        <v>0</v>
      </c>
      <c r="W307" s="122">
        <f>IF($A307="","",(IF(ISNUMBER(SEARCH("Proposal",$A307)),SUMIFS('Timesheet Raw'!$P$4:$P$8000,'Timesheet Raw'!$A$4:$A$8000,IF(ISNUMBER(SEARCH("Chargable",$A307)),"2-Proposals Chargeable","3-Proposals Regular"),'Timesheet Raw'!$C$4:$C$8000,"*"&amp;$B307&amp;"*",'Timesheet Raw'!$L$4:$L$8000,"&gt;="&amp;MAX(W$5,DATE(2000+VALUE(RIGHT(TRIM($A307),2)),1,1)),'Timesheet Raw'!$L$4:$L$8000,"&lt;="&amp;MIN(W$6,DATE(2000+VALUE(RIGHT(TRIM($A307),2)),12,31))),SUMIFS('Timesheet Raw'!$P$4:$P$8000,'Timesheet Raw'!$B$4:$B$8000,TRIM($A307),'Timesheet Raw'!$C$4:$C$8000,"*"&amp;$B307&amp;"*",'Timesheet Raw'!$L$4:$L$8000,"&gt;="&amp;W$5,'Timesheet Raw'!$L$4:$L$8000,"&lt;="&amp;W$6)))/'Profit Plan'!$B$5)</f>
        <v>0</v>
      </c>
      <c r="X307" s="122">
        <f>IF($A307="","",(IF(ISNUMBER(SEARCH("Proposal",$A307)),SUMIFS('Timesheet Raw'!$P$4:$P$8000,'Timesheet Raw'!$A$4:$A$8000,IF(ISNUMBER(SEARCH("Chargable",$A307)),"2-Proposals Chargeable","3-Proposals Regular"),'Timesheet Raw'!$C$4:$C$8000,"*"&amp;$B307&amp;"*",'Timesheet Raw'!$L$4:$L$8000,"&gt;="&amp;MAX(X$5,DATE(2000+VALUE(RIGHT(TRIM($A307),2)),1,1)),'Timesheet Raw'!$L$4:$L$8000,"&lt;="&amp;MIN(X$6,DATE(2000+VALUE(RIGHT(TRIM($A307),2)),12,31))),SUMIFS('Timesheet Raw'!$P$4:$P$8000,'Timesheet Raw'!$B$4:$B$8000,TRIM($A307),'Timesheet Raw'!$C$4:$C$8000,"*"&amp;$B307&amp;"*",'Timesheet Raw'!$L$4:$L$8000,"&gt;="&amp;X$5,'Timesheet Raw'!$L$4:$L$8000,"&lt;="&amp;X$6)))/'Profit Plan'!$B$5)</f>
        <v>0</v>
      </c>
      <c r="Y307" s="118">
        <f t="shared" si="100"/>
        <v>2.4418918918918915</v>
      </c>
    </row>
    <row r="308" spans="1:25" x14ac:dyDescent="0.3">
      <c r="A308" s="116" t="str">
        <f>IF(Inputs!$A20="","",Inputs!$A20)</f>
        <v>S24014-0101D</v>
      </c>
      <c r="B308" s="116" t="str">
        <f>IF(Inputs!$A20="","",Inputs!$A$92)</f>
        <v>Osama</v>
      </c>
      <c r="C308" s="116"/>
      <c r="D308" s="122">
        <f>IF($A308="","",(IF(ISNUMBER(SEARCH("Proposal",$A308)),SUMIFS('Timesheet Raw'!$P$4:$P$8000,'Timesheet Raw'!$A$4:$A$8000,IF(ISNUMBER(SEARCH("Chargable",$A308)),"2-Proposals Chargeable","3-Proposals Regular"),'Timesheet Raw'!$C$4:$C$8000,"*"&amp;$B308&amp;"*",'Timesheet Raw'!$L$4:$L$8000,"&gt;="&amp;MAX(D$5,DATE(2000+VALUE(RIGHT(TRIM($A308),2)),1,1)),'Timesheet Raw'!$L$4:$L$8000,"&lt;="&amp;MIN(D$6,DATE(2000+VALUE(RIGHT(TRIM($A308),2)),12,31))),SUMIFS('Timesheet Raw'!$P$4:$P$8000,'Timesheet Raw'!$B$4:$B$8000,TRIM($A308),'Timesheet Raw'!$C$4:$C$8000,"*"&amp;$B308&amp;"*",'Timesheet Raw'!$L$4:$L$8000,"&gt;="&amp;D$5,'Timesheet Raw'!$L$4:$L$8000,"&lt;="&amp;D$6)))/'Profit Plan'!$B$5)</f>
        <v>0</v>
      </c>
      <c r="E308" s="122">
        <f>IF($A308="","",(IF(ISNUMBER(SEARCH("Proposal",$A308)),SUMIFS('Timesheet Raw'!$P$4:$P$8000,'Timesheet Raw'!$A$4:$A$8000,IF(ISNUMBER(SEARCH("Chargable",$A308)),"2-Proposals Chargeable","3-Proposals Regular"),'Timesheet Raw'!$C$4:$C$8000,"*"&amp;$B308&amp;"*",'Timesheet Raw'!$L$4:$L$8000,"&gt;="&amp;MAX(E$5,DATE(2000+VALUE(RIGHT(TRIM($A308),2)),1,1)),'Timesheet Raw'!$L$4:$L$8000,"&lt;="&amp;MIN(E$6,DATE(2000+VALUE(RIGHT(TRIM($A308),2)),12,31))),SUMIFS('Timesheet Raw'!$P$4:$P$8000,'Timesheet Raw'!$B$4:$B$8000,TRIM($A308),'Timesheet Raw'!$C$4:$C$8000,"*"&amp;$B308&amp;"*",'Timesheet Raw'!$L$4:$L$8000,"&gt;="&amp;E$5,'Timesheet Raw'!$L$4:$L$8000,"&lt;="&amp;E$6)))/'Profit Plan'!$B$5)</f>
        <v>0</v>
      </c>
      <c r="F308" s="122">
        <f>IF($A308="","",(IF(ISNUMBER(SEARCH("Proposal",$A308)),SUMIFS('Timesheet Raw'!$P$4:$P$8000,'Timesheet Raw'!$A$4:$A$8000,IF(ISNUMBER(SEARCH("Chargable",$A308)),"2-Proposals Chargeable","3-Proposals Regular"),'Timesheet Raw'!$C$4:$C$8000,"*"&amp;$B308&amp;"*",'Timesheet Raw'!$L$4:$L$8000,"&gt;="&amp;MAX(F$5,DATE(2000+VALUE(RIGHT(TRIM($A308),2)),1,1)),'Timesheet Raw'!$L$4:$L$8000,"&lt;="&amp;MIN(F$6,DATE(2000+VALUE(RIGHT(TRIM($A308),2)),12,31))),SUMIFS('Timesheet Raw'!$P$4:$P$8000,'Timesheet Raw'!$B$4:$B$8000,TRIM($A308),'Timesheet Raw'!$C$4:$C$8000,"*"&amp;$B308&amp;"*",'Timesheet Raw'!$L$4:$L$8000,"&gt;="&amp;F$5,'Timesheet Raw'!$L$4:$L$8000,"&lt;="&amp;F$6)))/'Profit Plan'!$B$5)</f>
        <v>0</v>
      </c>
      <c r="G308" s="122">
        <f>IF($A308="","",(IF(ISNUMBER(SEARCH("Proposal",$A308)),SUMIFS('Timesheet Raw'!$P$4:$P$8000,'Timesheet Raw'!$A$4:$A$8000,IF(ISNUMBER(SEARCH("Chargable",$A308)),"2-Proposals Chargeable","3-Proposals Regular"),'Timesheet Raw'!$C$4:$C$8000,"*"&amp;$B308&amp;"*",'Timesheet Raw'!$L$4:$L$8000,"&gt;="&amp;MAX(G$5,DATE(2000+VALUE(RIGHT(TRIM($A308),2)),1,1)),'Timesheet Raw'!$L$4:$L$8000,"&lt;="&amp;MIN(G$6,DATE(2000+VALUE(RIGHT(TRIM($A308),2)),12,31))),SUMIFS('Timesheet Raw'!$P$4:$P$8000,'Timesheet Raw'!$B$4:$B$8000,TRIM($A308),'Timesheet Raw'!$C$4:$C$8000,"*"&amp;$B308&amp;"*",'Timesheet Raw'!$L$4:$L$8000,"&gt;="&amp;G$5,'Timesheet Raw'!$L$4:$L$8000,"&lt;="&amp;G$6)))/'Profit Plan'!$B$5)</f>
        <v>0</v>
      </c>
      <c r="H308" s="122">
        <f>IF($A308="","",(IF(ISNUMBER(SEARCH("Proposal",$A308)),SUMIFS('Timesheet Raw'!$P$4:$P$8000,'Timesheet Raw'!$A$4:$A$8000,IF(ISNUMBER(SEARCH("Chargable",$A308)),"2-Proposals Chargeable","3-Proposals Regular"),'Timesheet Raw'!$C$4:$C$8000,"*"&amp;$B308&amp;"*",'Timesheet Raw'!$L$4:$L$8000,"&gt;="&amp;MAX(H$5,DATE(2000+VALUE(RIGHT(TRIM($A308),2)),1,1)),'Timesheet Raw'!$L$4:$L$8000,"&lt;="&amp;MIN(H$6,DATE(2000+VALUE(RIGHT(TRIM($A308),2)),12,31))),SUMIFS('Timesheet Raw'!$P$4:$P$8000,'Timesheet Raw'!$B$4:$B$8000,TRIM($A308),'Timesheet Raw'!$C$4:$C$8000,"*"&amp;$B308&amp;"*",'Timesheet Raw'!$L$4:$L$8000,"&gt;="&amp;H$5,'Timesheet Raw'!$L$4:$L$8000,"&lt;="&amp;H$6)))/'Profit Plan'!$B$5)</f>
        <v>0</v>
      </c>
      <c r="I308" s="122">
        <f>IF($A308="","",(IF(ISNUMBER(SEARCH("Proposal",$A308)),SUMIFS('Timesheet Raw'!$P$4:$P$8000,'Timesheet Raw'!$A$4:$A$8000,IF(ISNUMBER(SEARCH("Chargable",$A308)),"2-Proposals Chargeable","3-Proposals Regular"),'Timesheet Raw'!$C$4:$C$8000,"*"&amp;$B308&amp;"*",'Timesheet Raw'!$L$4:$L$8000,"&gt;="&amp;MAX(I$5,DATE(2000+VALUE(RIGHT(TRIM($A308),2)),1,1)),'Timesheet Raw'!$L$4:$L$8000,"&lt;="&amp;MIN(I$6,DATE(2000+VALUE(RIGHT(TRIM($A308),2)),12,31))),SUMIFS('Timesheet Raw'!$P$4:$P$8000,'Timesheet Raw'!$B$4:$B$8000,TRIM($A308),'Timesheet Raw'!$C$4:$C$8000,"*"&amp;$B308&amp;"*",'Timesheet Raw'!$L$4:$L$8000,"&gt;="&amp;I$5,'Timesheet Raw'!$L$4:$L$8000,"&lt;="&amp;I$6)))/'Profit Plan'!$B$5)</f>
        <v>0</v>
      </c>
      <c r="J308" s="122">
        <f>IF($A308="","",(IF(ISNUMBER(SEARCH("Proposal",$A308)),SUMIFS('Timesheet Raw'!$P$4:$P$8000,'Timesheet Raw'!$A$4:$A$8000,IF(ISNUMBER(SEARCH("Chargable",$A308)),"2-Proposals Chargeable","3-Proposals Regular"),'Timesheet Raw'!$C$4:$C$8000,"*"&amp;$B308&amp;"*",'Timesheet Raw'!$L$4:$L$8000,"&gt;="&amp;MAX(J$5,DATE(2000+VALUE(RIGHT(TRIM($A308),2)),1,1)),'Timesheet Raw'!$L$4:$L$8000,"&lt;="&amp;MIN(J$6,DATE(2000+VALUE(RIGHT(TRIM($A308),2)),12,31))),SUMIFS('Timesheet Raw'!$P$4:$P$8000,'Timesheet Raw'!$B$4:$B$8000,TRIM($A308),'Timesheet Raw'!$C$4:$C$8000,"*"&amp;$B308&amp;"*",'Timesheet Raw'!$L$4:$L$8000,"&gt;="&amp;J$5,'Timesheet Raw'!$L$4:$L$8000,"&lt;="&amp;J$6)))/'Profit Plan'!$B$5)</f>
        <v>0</v>
      </c>
      <c r="K308" s="122">
        <f>IF($A308="","",(IF(ISNUMBER(SEARCH("Proposal",$A308)),SUMIFS('Timesheet Raw'!$P$4:$P$8000,'Timesheet Raw'!$A$4:$A$8000,IF(ISNUMBER(SEARCH("Chargable",$A308)),"2-Proposals Chargeable","3-Proposals Regular"),'Timesheet Raw'!$C$4:$C$8000,"*"&amp;$B308&amp;"*",'Timesheet Raw'!$L$4:$L$8000,"&gt;="&amp;MAX(K$5,DATE(2000+VALUE(RIGHT(TRIM($A308),2)),1,1)),'Timesheet Raw'!$L$4:$L$8000,"&lt;="&amp;MIN(K$6,DATE(2000+VALUE(RIGHT(TRIM($A308),2)),12,31))),SUMIFS('Timesheet Raw'!$P$4:$P$8000,'Timesheet Raw'!$B$4:$B$8000,TRIM($A308),'Timesheet Raw'!$C$4:$C$8000,"*"&amp;$B308&amp;"*",'Timesheet Raw'!$L$4:$L$8000,"&gt;="&amp;K$5,'Timesheet Raw'!$L$4:$L$8000,"&lt;="&amp;K$6)))/'Profit Plan'!$B$5)</f>
        <v>0</v>
      </c>
      <c r="L308" s="122">
        <f>IF($A308="","",(IF(ISNUMBER(SEARCH("Proposal",$A308)),SUMIFS('Timesheet Raw'!$P$4:$P$8000,'Timesheet Raw'!$A$4:$A$8000,IF(ISNUMBER(SEARCH("Chargable",$A308)),"2-Proposals Chargeable","3-Proposals Regular"),'Timesheet Raw'!$C$4:$C$8000,"*"&amp;$B308&amp;"*",'Timesheet Raw'!$L$4:$L$8000,"&gt;="&amp;MAX(L$5,DATE(2000+VALUE(RIGHT(TRIM($A308),2)),1,1)),'Timesheet Raw'!$L$4:$L$8000,"&lt;="&amp;MIN(L$6,DATE(2000+VALUE(RIGHT(TRIM($A308),2)),12,31))),SUMIFS('Timesheet Raw'!$P$4:$P$8000,'Timesheet Raw'!$B$4:$B$8000,TRIM($A308),'Timesheet Raw'!$C$4:$C$8000,"*"&amp;$B308&amp;"*",'Timesheet Raw'!$L$4:$L$8000,"&gt;="&amp;L$5,'Timesheet Raw'!$L$4:$L$8000,"&lt;="&amp;L$6)))/'Profit Plan'!$B$5)</f>
        <v>0</v>
      </c>
      <c r="M308" s="122">
        <f>IF($A308="","",(IF(ISNUMBER(SEARCH("Proposal",$A308)),SUMIFS('Timesheet Raw'!$P$4:$P$8000,'Timesheet Raw'!$A$4:$A$8000,IF(ISNUMBER(SEARCH("Chargable",$A308)),"2-Proposals Chargeable","3-Proposals Regular"),'Timesheet Raw'!$C$4:$C$8000,"*"&amp;$B308&amp;"*",'Timesheet Raw'!$L$4:$L$8000,"&gt;="&amp;MAX(M$5,DATE(2000+VALUE(RIGHT(TRIM($A308),2)),1,1)),'Timesheet Raw'!$L$4:$L$8000,"&lt;="&amp;MIN(M$6,DATE(2000+VALUE(RIGHT(TRIM($A308),2)),12,31))),SUMIFS('Timesheet Raw'!$P$4:$P$8000,'Timesheet Raw'!$B$4:$B$8000,TRIM($A308),'Timesheet Raw'!$C$4:$C$8000,"*"&amp;$B308&amp;"*",'Timesheet Raw'!$L$4:$L$8000,"&gt;="&amp;M$5,'Timesheet Raw'!$L$4:$L$8000,"&lt;="&amp;M$6)))/'Profit Plan'!$B$5)</f>
        <v>0</v>
      </c>
      <c r="N308" s="122">
        <f>IF($A308="","",(IF(ISNUMBER(SEARCH("Proposal",$A308)),SUMIFS('Timesheet Raw'!$P$4:$P$8000,'Timesheet Raw'!$A$4:$A$8000,IF(ISNUMBER(SEARCH("Chargable",$A308)),"2-Proposals Chargeable","3-Proposals Regular"),'Timesheet Raw'!$C$4:$C$8000,"*"&amp;$B308&amp;"*",'Timesheet Raw'!$L$4:$L$8000,"&gt;="&amp;MAX(N$5,DATE(2000+VALUE(RIGHT(TRIM($A308),2)),1,1)),'Timesheet Raw'!$L$4:$L$8000,"&lt;="&amp;MIN(N$6,DATE(2000+VALUE(RIGHT(TRIM($A308),2)),12,31))),SUMIFS('Timesheet Raw'!$P$4:$P$8000,'Timesheet Raw'!$B$4:$B$8000,TRIM($A308),'Timesheet Raw'!$C$4:$C$8000,"*"&amp;$B308&amp;"*",'Timesheet Raw'!$L$4:$L$8000,"&gt;="&amp;N$5,'Timesheet Raw'!$L$4:$L$8000,"&lt;="&amp;N$6)))/'Profit Plan'!$B$5)</f>
        <v>0</v>
      </c>
      <c r="O308" s="122">
        <f>IF($A308="","",(IF(ISNUMBER(SEARCH("Proposal",$A308)),SUMIFS('Timesheet Raw'!$P$4:$P$8000,'Timesheet Raw'!$A$4:$A$8000,IF(ISNUMBER(SEARCH("Chargable",$A308)),"2-Proposals Chargeable","3-Proposals Regular"),'Timesheet Raw'!$C$4:$C$8000,"*"&amp;$B308&amp;"*",'Timesheet Raw'!$L$4:$L$8000,"&gt;="&amp;MAX(O$5,DATE(2000+VALUE(RIGHT(TRIM($A308),2)),1,1)),'Timesheet Raw'!$L$4:$L$8000,"&lt;="&amp;MIN(O$6,DATE(2000+VALUE(RIGHT(TRIM($A308),2)),12,31))),SUMIFS('Timesheet Raw'!$P$4:$P$8000,'Timesheet Raw'!$B$4:$B$8000,TRIM($A308),'Timesheet Raw'!$C$4:$C$8000,"*"&amp;$B308&amp;"*",'Timesheet Raw'!$L$4:$L$8000,"&gt;="&amp;O$5,'Timesheet Raw'!$L$4:$L$8000,"&lt;="&amp;O$6)))/'Profit Plan'!$B$5)</f>
        <v>0</v>
      </c>
      <c r="P308" s="122">
        <f>IF($A308="","",(IF(ISNUMBER(SEARCH("Proposal",$A308)),SUMIFS('Timesheet Raw'!$P$4:$P$8000,'Timesheet Raw'!$A$4:$A$8000,IF(ISNUMBER(SEARCH("Chargable",$A308)),"2-Proposals Chargeable","3-Proposals Regular"),'Timesheet Raw'!$C$4:$C$8000,"*"&amp;$B308&amp;"*",'Timesheet Raw'!$L$4:$L$8000,"&gt;="&amp;MAX(P$5,DATE(2000+VALUE(RIGHT(TRIM($A308),2)),1,1)),'Timesheet Raw'!$L$4:$L$8000,"&lt;="&amp;MIN(P$6,DATE(2000+VALUE(RIGHT(TRIM($A308),2)),12,31))),SUMIFS('Timesheet Raw'!$P$4:$P$8000,'Timesheet Raw'!$B$4:$B$8000,TRIM($A308),'Timesheet Raw'!$C$4:$C$8000,"*"&amp;$B308&amp;"*",'Timesheet Raw'!$L$4:$L$8000,"&gt;="&amp;P$5,'Timesheet Raw'!$L$4:$L$8000,"&lt;="&amp;P$6)))/'Profit Plan'!$B$5)</f>
        <v>0</v>
      </c>
      <c r="Q308" s="122">
        <f>IF($A308="","",(IF(ISNUMBER(SEARCH("Proposal",$A308)),SUMIFS('Timesheet Raw'!$P$4:$P$8000,'Timesheet Raw'!$A$4:$A$8000,IF(ISNUMBER(SEARCH("Chargable",$A308)),"2-Proposals Chargeable","3-Proposals Regular"),'Timesheet Raw'!$C$4:$C$8000,"*"&amp;$B308&amp;"*",'Timesheet Raw'!$L$4:$L$8000,"&gt;="&amp;MAX(Q$5,DATE(2000+VALUE(RIGHT(TRIM($A308),2)),1,1)),'Timesheet Raw'!$L$4:$L$8000,"&lt;="&amp;MIN(Q$6,DATE(2000+VALUE(RIGHT(TRIM($A308),2)),12,31))),SUMIFS('Timesheet Raw'!$P$4:$P$8000,'Timesheet Raw'!$B$4:$B$8000,TRIM($A308),'Timesheet Raw'!$C$4:$C$8000,"*"&amp;$B308&amp;"*",'Timesheet Raw'!$L$4:$L$8000,"&gt;="&amp;Q$5,'Timesheet Raw'!$L$4:$L$8000,"&lt;="&amp;Q$6)))/'Profit Plan'!$B$5)</f>
        <v>0</v>
      </c>
      <c r="R308" s="122">
        <f>IF($A308="","",(IF(ISNUMBER(SEARCH("Proposal",$A308)),SUMIFS('Timesheet Raw'!$P$4:$P$8000,'Timesheet Raw'!$A$4:$A$8000,IF(ISNUMBER(SEARCH("Chargable",$A308)),"2-Proposals Chargeable","3-Proposals Regular"),'Timesheet Raw'!$C$4:$C$8000,"*"&amp;$B308&amp;"*",'Timesheet Raw'!$L$4:$L$8000,"&gt;="&amp;MAX(R$5,DATE(2000+VALUE(RIGHT(TRIM($A308),2)),1,1)),'Timesheet Raw'!$L$4:$L$8000,"&lt;="&amp;MIN(R$6,DATE(2000+VALUE(RIGHT(TRIM($A308),2)),12,31))),SUMIFS('Timesheet Raw'!$P$4:$P$8000,'Timesheet Raw'!$B$4:$B$8000,TRIM($A308),'Timesheet Raw'!$C$4:$C$8000,"*"&amp;$B308&amp;"*",'Timesheet Raw'!$L$4:$L$8000,"&gt;="&amp;R$5,'Timesheet Raw'!$L$4:$L$8000,"&lt;="&amp;R$6)))/'Profit Plan'!$B$5)</f>
        <v>0</v>
      </c>
      <c r="S308" s="122">
        <f>IF($A308="","",(IF(ISNUMBER(SEARCH("Proposal",$A308)),SUMIFS('Timesheet Raw'!$P$4:$P$8000,'Timesheet Raw'!$A$4:$A$8000,IF(ISNUMBER(SEARCH("Chargable",$A308)),"2-Proposals Chargeable","3-Proposals Regular"),'Timesheet Raw'!$C$4:$C$8000,"*"&amp;$B308&amp;"*",'Timesheet Raw'!$L$4:$L$8000,"&gt;="&amp;MAX(S$5,DATE(2000+VALUE(RIGHT(TRIM($A308),2)),1,1)),'Timesheet Raw'!$L$4:$L$8000,"&lt;="&amp;MIN(S$6,DATE(2000+VALUE(RIGHT(TRIM($A308),2)),12,31))),SUMIFS('Timesheet Raw'!$P$4:$P$8000,'Timesheet Raw'!$B$4:$B$8000,TRIM($A308),'Timesheet Raw'!$C$4:$C$8000,"*"&amp;$B308&amp;"*",'Timesheet Raw'!$L$4:$L$8000,"&gt;="&amp;S$5,'Timesheet Raw'!$L$4:$L$8000,"&lt;="&amp;S$6)))/'Profit Plan'!$B$5)</f>
        <v>0</v>
      </c>
      <c r="T308" s="122">
        <f>IF($A308="","",(IF(ISNUMBER(SEARCH("Proposal",$A308)),SUMIFS('Timesheet Raw'!$P$4:$P$8000,'Timesheet Raw'!$A$4:$A$8000,IF(ISNUMBER(SEARCH("Chargable",$A308)),"2-Proposals Chargeable","3-Proposals Regular"),'Timesheet Raw'!$C$4:$C$8000,"*"&amp;$B308&amp;"*",'Timesheet Raw'!$L$4:$L$8000,"&gt;="&amp;MAX(T$5,DATE(2000+VALUE(RIGHT(TRIM($A308),2)),1,1)),'Timesheet Raw'!$L$4:$L$8000,"&lt;="&amp;MIN(T$6,DATE(2000+VALUE(RIGHT(TRIM($A308),2)),12,31))),SUMIFS('Timesheet Raw'!$P$4:$P$8000,'Timesheet Raw'!$B$4:$B$8000,TRIM($A308),'Timesheet Raw'!$C$4:$C$8000,"*"&amp;$B308&amp;"*",'Timesheet Raw'!$L$4:$L$8000,"&gt;="&amp;T$5,'Timesheet Raw'!$L$4:$L$8000,"&lt;="&amp;T$6)))/'Profit Plan'!$B$5)</f>
        <v>0</v>
      </c>
      <c r="U308" s="122">
        <f>IF($A308="","",(IF(ISNUMBER(SEARCH("Proposal",$A308)),SUMIFS('Timesheet Raw'!$P$4:$P$8000,'Timesheet Raw'!$A$4:$A$8000,IF(ISNUMBER(SEARCH("Chargable",$A308)),"2-Proposals Chargeable","3-Proposals Regular"),'Timesheet Raw'!$C$4:$C$8000,"*"&amp;$B308&amp;"*",'Timesheet Raw'!$L$4:$L$8000,"&gt;="&amp;MAX(U$5,DATE(2000+VALUE(RIGHT(TRIM($A308),2)),1,1)),'Timesheet Raw'!$L$4:$L$8000,"&lt;="&amp;MIN(U$6,DATE(2000+VALUE(RIGHT(TRIM($A308),2)),12,31))),SUMIFS('Timesheet Raw'!$P$4:$P$8000,'Timesheet Raw'!$B$4:$B$8000,TRIM($A308),'Timesheet Raw'!$C$4:$C$8000,"*"&amp;$B308&amp;"*",'Timesheet Raw'!$L$4:$L$8000,"&gt;="&amp;U$5,'Timesheet Raw'!$L$4:$L$8000,"&lt;="&amp;U$6)))/'Profit Plan'!$B$5)</f>
        <v>0</v>
      </c>
      <c r="V308" s="122">
        <f>IF($A308="","",(IF(ISNUMBER(SEARCH("Proposal",$A308)),SUMIFS('Timesheet Raw'!$P$4:$P$8000,'Timesheet Raw'!$A$4:$A$8000,IF(ISNUMBER(SEARCH("Chargable",$A308)),"2-Proposals Chargeable","3-Proposals Regular"),'Timesheet Raw'!$C$4:$C$8000,"*"&amp;$B308&amp;"*",'Timesheet Raw'!$L$4:$L$8000,"&gt;="&amp;MAX(V$5,DATE(2000+VALUE(RIGHT(TRIM($A308),2)),1,1)),'Timesheet Raw'!$L$4:$L$8000,"&lt;="&amp;MIN(V$6,DATE(2000+VALUE(RIGHT(TRIM($A308),2)),12,31))),SUMIFS('Timesheet Raw'!$P$4:$P$8000,'Timesheet Raw'!$B$4:$B$8000,TRIM($A308),'Timesheet Raw'!$C$4:$C$8000,"*"&amp;$B308&amp;"*",'Timesheet Raw'!$L$4:$L$8000,"&gt;="&amp;V$5,'Timesheet Raw'!$L$4:$L$8000,"&lt;="&amp;V$6)))/'Profit Plan'!$B$5)</f>
        <v>0</v>
      </c>
      <c r="W308" s="122">
        <f>IF($A308="","",(IF(ISNUMBER(SEARCH("Proposal",$A308)),SUMIFS('Timesheet Raw'!$P$4:$P$8000,'Timesheet Raw'!$A$4:$A$8000,IF(ISNUMBER(SEARCH("Chargable",$A308)),"2-Proposals Chargeable","3-Proposals Regular"),'Timesheet Raw'!$C$4:$C$8000,"*"&amp;$B308&amp;"*",'Timesheet Raw'!$L$4:$L$8000,"&gt;="&amp;MAX(W$5,DATE(2000+VALUE(RIGHT(TRIM($A308),2)),1,1)),'Timesheet Raw'!$L$4:$L$8000,"&lt;="&amp;MIN(W$6,DATE(2000+VALUE(RIGHT(TRIM($A308),2)),12,31))),SUMIFS('Timesheet Raw'!$P$4:$P$8000,'Timesheet Raw'!$B$4:$B$8000,TRIM($A308),'Timesheet Raw'!$C$4:$C$8000,"*"&amp;$B308&amp;"*",'Timesheet Raw'!$L$4:$L$8000,"&gt;="&amp;W$5,'Timesheet Raw'!$L$4:$L$8000,"&lt;="&amp;W$6)))/'Profit Plan'!$B$5)</f>
        <v>0</v>
      </c>
      <c r="X308" s="122">
        <f>IF($A308="","",(IF(ISNUMBER(SEARCH("Proposal",$A308)),SUMIFS('Timesheet Raw'!$P$4:$P$8000,'Timesheet Raw'!$A$4:$A$8000,IF(ISNUMBER(SEARCH("Chargable",$A308)),"2-Proposals Chargeable","3-Proposals Regular"),'Timesheet Raw'!$C$4:$C$8000,"*"&amp;$B308&amp;"*",'Timesheet Raw'!$L$4:$L$8000,"&gt;="&amp;MAX(X$5,DATE(2000+VALUE(RIGHT(TRIM($A308),2)),1,1)),'Timesheet Raw'!$L$4:$L$8000,"&lt;="&amp;MIN(X$6,DATE(2000+VALUE(RIGHT(TRIM($A308),2)),12,31))),SUMIFS('Timesheet Raw'!$P$4:$P$8000,'Timesheet Raw'!$B$4:$B$8000,TRIM($A308),'Timesheet Raw'!$C$4:$C$8000,"*"&amp;$B308&amp;"*",'Timesheet Raw'!$L$4:$L$8000,"&gt;="&amp;X$5,'Timesheet Raw'!$L$4:$L$8000,"&lt;="&amp;X$6)))/'Profit Plan'!$B$5)</f>
        <v>0</v>
      </c>
      <c r="Y308" s="118">
        <f t="shared" si="100"/>
        <v>0</v>
      </c>
    </row>
    <row r="309" spans="1:25" x14ac:dyDescent="0.3">
      <c r="A309" s="116" t="str">
        <f>IF(Inputs!$A20="","",Inputs!$A20)</f>
        <v>S24014-0101D</v>
      </c>
      <c r="B309" s="116" t="str">
        <f>IF(Inputs!$A20="","",Inputs!$A$93)</f>
        <v>Kirolos</v>
      </c>
      <c r="C309" s="116"/>
      <c r="D309" s="122">
        <f>IF($A309="","",(IF(ISNUMBER(SEARCH("Proposal",$A309)),SUMIFS('Timesheet Raw'!$P$4:$P$8000,'Timesheet Raw'!$A$4:$A$8000,IF(ISNUMBER(SEARCH("Chargable",$A309)),"2-Proposals Chargeable","3-Proposals Regular"),'Timesheet Raw'!$C$4:$C$8000,"*"&amp;$B309&amp;"*",'Timesheet Raw'!$L$4:$L$8000,"&gt;="&amp;MAX(D$5,DATE(2000+VALUE(RIGHT(TRIM($A309),2)),1,1)),'Timesheet Raw'!$L$4:$L$8000,"&lt;="&amp;MIN(D$6,DATE(2000+VALUE(RIGHT(TRIM($A309),2)),12,31))),SUMIFS('Timesheet Raw'!$P$4:$P$8000,'Timesheet Raw'!$B$4:$B$8000,TRIM($A309),'Timesheet Raw'!$C$4:$C$8000,"*"&amp;$B309&amp;"*",'Timesheet Raw'!$L$4:$L$8000,"&gt;="&amp;D$5,'Timesheet Raw'!$L$4:$L$8000,"&lt;="&amp;D$6)))/'Profit Plan'!$B$5)</f>
        <v>0</v>
      </c>
      <c r="E309" s="122">
        <f>IF($A309="","",(IF(ISNUMBER(SEARCH("Proposal",$A309)),SUMIFS('Timesheet Raw'!$P$4:$P$8000,'Timesheet Raw'!$A$4:$A$8000,IF(ISNUMBER(SEARCH("Chargable",$A309)),"2-Proposals Chargeable","3-Proposals Regular"),'Timesheet Raw'!$C$4:$C$8000,"*"&amp;$B309&amp;"*",'Timesheet Raw'!$L$4:$L$8000,"&gt;="&amp;MAX(E$5,DATE(2000+VALUE(RIGHT(TRIM($A309),2)),1,1)),'Timesheet Raw'!$L$4:$L$8000,"&lt;="&amp;MIN(E$6,DATE(2000+VALUE(RIGHT(TRIM($A309),2)),12,31))),SUMIFS('Timesheet Raw'!$P$4:$P$8000,'Timesheet Raw'!$B$4:$B$8000,TRIM($A309),'Timesheet Raw'!$C$4:$C$8000,"*"&amp;$B309&amp;"*",'Timesheet Raw'!$L$4:$L$8000,"&gt;="&amp;E$5,'Timesheet Raw'!$L$4:$L$8000,"&lt;="&amp;E$6)))/'Profit Plan'!$B$5)</f>
        <v>0</v>
      </c>
      <c r="F309" s="122">
        <f>IF($A309="","",(IF(ISNUMBER(SEARCH("Proposal",$A309)),SUMIFS('Timesheet Raw'!$P$4:$P$8000,'Timesheet Raw'!$A$4:$A$8000,IF(ISNUMBER(SEARCH("Chargable",$A309)),"2-Proposals Chargeable","3-Proposals Regular"),'Timesheet Raw'!$C$4:$C$8000,"*"&amp;$B309&amp;"*",'Timesheet Raw'!$L$4:$L$8000,"&gt;="&amp;MAX(F$5,DATE(2000+VALUE(RIGHT(TRIM($A309),2)),1,1)),'Timesheet Raw'!$L$4:$L$8000,"&lt;="&amp;MIN(F$6,DATE(2000+VALUE(RIGHT(TRIM($A309),2)),12,31))),SUMIFS('Timesheet Raw'!$P$4:$P$8000,'Timesheet Raw'!$B$4:$B$8000,TRIM($A309),'Timesheet Raw'!$C$4:$C$8000,"*"&amp;$B309&amp;"*",'Timesheet Raw'!$L$4:$L$8000,"&gt;="&amp;F$5,'Timesheet Raw'!$L$4:$L$8000,"&lt;="&amp;F$6)))/'Profit Plan'!$B$5)</f>
        <v>0</v>
      </c>
      <c r="G309" s="122">
        <f>IF($A309="","",(IF(ISNUMBER(SEARCH("Proposal",$A309)),SUMIFS('Timesheet Raw'!$P$4:$P$8000,'Timesheet Raw'!$A$4:$A$8000,IF(ISNUMBER(SEARCH("Chargable",$A309)),"2-Proposals Chargeable","3-Proposals Regular"),'Timesheet Raw'!$C$4:$C$8000,"*"&amp;$B309&amp;"*",'Timesheet Raw'!$L$4:$L$8000,"&gt;="&amp;MAX(G$5,DATE(2000+VALUE(RIGHT(TRIM($A309),2)),1,1)),'Timesheet Raw'!$L$4:$L$8000,"&lt;="&amp;MIN(G$6,DATE(2000+VALUE(RIGHT(TRIM($A309),2)),12,31))),SUMIFS('Timesheet Raw'!$P$4:$P$8000,'Timesheet Raw'!$B$4:$B$8000,TRIM($A309),'Timesheet Raw'!$C$4:$C$8000,"*"&amp;$B309&amp;"*",'Timesheet Raw'!$L$4:$L$8000,"&gt;="&amp;G$5,'Timesheet Raw'!$L$4:$L$8000,"&lt;="&amp;G$6)))/'Profit Plan'!$B$5)</f>
        <v>0</v>
      </c>
      <c r="H309" s="122">
        <f>IF($A309="","",(IF(ISNUMBER(SEARCH("Proposal",$A309)),SUMIFS('Timesheet Raw'!$P$4:$P$8000,'Timesheet Raw'!$A$4:$A$8000,IF(ISNUMBER(SEARCH("Chargable",$A309)),"2-Proposals Chargeable","3-Proposals Regular"),'Timesheet Raw'!$C$4:$C$8000,"*"&amp;$B309&amp;"*",'Timesheet Raw'!$L$4:$L$8000,"&gt;="&amp;MAX(H$5,DATE(2000+VALUE(RIGHT(TRIM($A309),2)),1,1)),'Timesheet Raw'!$L$4:$L$8000,"&lt;="&amp;MIN(H$6,DATE(2000+VALUE(RIGHT(TRIM($A309),2)),12,31))),SUMIFS('Timesheet Raw'!$P$4:$P$8000,'Timesheet Raw'!$B$4:$B$8000,TRIM($A309),'Timesheet Raw'!$C$4:$C$8000,"*"&amp;$B309&amp;"*",'Timesheet Raw'!$L$4:$L$8000,"&gt;="&amp;H$5,'Timesheet Raw'!$L$4:$L$8000,"&lt;="&amp;H$6)))/'Profit Plan'!$B$5)</f>
        <v>0</v>
      </c>
      <c r="I309" s="122">
        <f>IF($A309="","",(IF(ISNUMBER(SEARCH("Proposal",$A309)),SUMIFS('Timesheet Raw'!$P$4:$P$8000,'Timesheet Raw'!$A$4:$A$8000,IF(ISNUMBER(SEARCH("Chargable",$A309)),"2-Proposals Chargeable","3-Proposals Regular"),'Timesheet Raw'!$C$4:$C$8000,"*"&amp;$B309&amp;"*",'Timesheet Raw'!$L$4:$L$8000,"&gt;="&amp;MAX(I$5,DATE(2000+VALUE(RIGHT(TRIM($A309),2)),1,1)),'Timesheet Raw'!$L$4:$L$8000,"&lt;="&amp;MIN(I$6,DATE(2000+VALUE(RIGHT(TRIM($A309),2)),12,31))),SUMIFS('Timesheet Raw'!$P$4:$P$8000,'Timesheet Raw'!$B$4:$B$8000,TRIM($A309),'Timesheet Raw'!$C$4:$C$8000,"*"&amp;$B309&amp;"*",'Timesheet Raw'!$L$4:$L$8000,"&gt;="&amp;I$5,'Timesheet Raw'!$L$4:$L$8000,"&lt;="&amp;I$6)))/'Profit Plan'!$B$5)</f>
        <v>0</v>
      </c>
      <c r="J309" s="122">
        <f>IF($A309="","",(IF(ISNUMBER(SEARCH("Proposal",$A309)),SUMIFS('Timesheet Raw'!$P$4:$P$8000,'Timesheet Raw'!$A$4:$A$8000,IF(ISNUMBER(SEARCH("Chargable",$A309)),"2-Proposals Chargeable","3-Proposals Regular"),'Timesheet Raw'!$C$4:$C$8000,"*"&amp;$B309&amp;"*",'Timesheet Raw'!$L$4:$L$8000,"&gt;="&amp;MAX(J$5,DATE(2000+VALUE(RIGHT(TRIM($A309),2)),1,1)),'Timesheet Raw'!$L$4:$L$8000,"&lt;="&amp;MIN(J$6,DATE(2000+VALUE(RIGHT(TRIM($A309),2)),12,31))),SUMIFS('Timesheet Raw'!$P$4:$P$8000,'Timesheet Raw'!$B$4:$B$8000,TRIM($A309),'Timesheet Raw'!$C$4:$C$8000,"*"&amp;$B309&amp;"*",'Timesheet Raw'!$L$4:$L$8000,"&gt;="&amp;J$5,'Timesheet Raw'!$L$4:$L$8000,"&lt;="&amp;J$6)))/'Profit Plan'!$B$5)</f>
        <v>0</v>
      </c>
      <c r="K309" s="122">
        <f>IF($A309="","",(IF(ISNUMBER(SEARCH("Proposal",$A309)),SUMIFS('Timesheet Raw'!$P$4:$P$8000,'Timesheet Raw'!$A$4:$A$8000,IF(ISNUMBER(SEARCH("Chargable",$A309)),"2-Proposals Chargeable","3-Proposals Regular"),'Timesheet Raw'!$C$4:$C$8000,"*"&amp;$B309&amp;"*",'Timesheet Raw'!$L$4:$L$8000,"&gt;="&amp;MAX(K$5,DATE(2000+VALUE(RIGHT(TRIM($A309),2)),1,1)),'Timesheet Raw'!$L$4:$L$8000,"&lt;="&amp;MIN(K$6,DATE(2000+VALUE(RIGHT(TRIM($A309),2)),12,31))),SUMIFS('Timesheet Raw'!$P$4:$P$8000,'Timesheet Raw'!$B$4:$B$8000,TRIM($A309),'Timesheet Raw'!$C$4:$C$8000,"*"&amp;$B309&amp;"*",'Timesheet Raw'!$L$4:$L$8000,"&gt;="&amp;K$5,'Timesheet Raw'!$L$4:$L$8000,"&lt;="&amp;K$6)))/'Profit Plan'!$B$5)</f>
        <v>0</v>
      </c>
      <c r="L309" s="122">
        <f>IF($A309="","",(IF(ISNUMBER(SEARCH("Proposal",$A309)),SUMIFS('Timesheet Raw'!$P$4:$P$8000,'Timesheet Raw'!$A$4:$A$8000,IF(ISNUMBER(SEARCH("Chargable",$A309)),"2-Proposals Chargeable","3-Proposals Regular"),'Timesheet Raw'!$C$4:$C$8000,"*"&amp;$B309&amp;"*",'Timesheet Raw'!$L$4:$L$8000,"&gt;="&amp;MAX(L$5,DATE(2000+VALUE(RIGHT(TRIM($A309),2)),1,1)),'Timesheet Raw'!$L$4:$L$8000,"&lt;="&amp;MIN(L$6,DATE(2000+VALUE(RIGHT(TRIM($A309),2)),12,31))),SUMIFS('Timesheet Raw'!$P$4:$P$8000,'Timesheet Raw'!$B$4:$B$8000,TRIM($A309),'Timesheet Raw'!$C$4:$C$8000,"*"&amp;$B309&amp;"*",'Timesheet Raw'!$L$4:$L$8000,"&gt;="&amp;L$5,'Timesheet Raw'!$L$4:$L$8000,"&lt;="&amp;L$6)))/'Profit Plan'!$B$5)</f>
        <v>0</v>
      </c>
      <c r="M309" s="122">
        <f>IF($A309="","",(IF(ISNUMBER(SEARCH("Proposal",$A309)),SUMIFS('Timesheet Raw'!$P$4:$P$8000,'Timesheet Raw'!$A$4:$A$8000,IF(ISNUMBER(SEARCH("Chargable",$A309)),"2-Proposals Chargeable","3-Proposals Regular"),'Timesheet Raw'!$C$4:$C$8000,"*"&amp;$B309&amp;"*",'Timesheet Raw'!$L$4:$L$8000,"&gt;="&amp;MAX(M$5,DATE(2000+VALUE(RIGHT(TRIM($A309),2)),1,1)),'Timesheet Raw'!$L$4:$L$8000,"&lt;="&amp;MIN(M$6,DATE(2000+VALUE(RIGHT(TRIM($A309),2)),12,31))),SUMIFS('Timesheet Raw'!$P$4:$P$8000,'Timesheet Raw'!$B$4:$B$8000,TRIM($A309),'Timesheet Raw'!$C$4:$C$8000,"*"&amp;$B309&amp;"*",'Timesheet Raw'!$L$4:$L$8000,"&gt;="&amp;M$5,'Timesheet Raw'!$L$4:$L$8000,"&lt;="&amp;M$6)))/'Profit Plan'!$B$5)</f>
        <v>0</v>
      </c>
      <c r="N309" s="122">
        <f>IF($A309="","",(IF(ISNUMBER(SEARCH("Proposal",$A309)),SUMIFS('Timesheet Raw'!$P$4:$P$8000,'Timesheet Raw'!$A$4:$A$8000,IF(ISNUMBER(SEARCH("Chargable",$A309)),"2-Proposals Chargeable","3-Proposals Regular"),'Timesheet Raw'!$C$4:$C$8000,"*"&amp;$B309&amp;"*",'Timesheet Raw'!$L$4:$L$8000,"&gt;="&amp;MAX(N$5,DATE(2000+VALUE(RIGHT(TRIM($A309),2)),1,1)),'Timesheet Raw'!$L$4:$L$8000,"&lt;="&amp;MIN(N$6,DATE(2000+VALUE(RIGHT(TRIM($A309),2)),12,31))),SUMIFS('Timesheet Raw'!$P$4:$P$8000,'Timesheet Raw'!$B$4:$B$8000,TRIM($A309),'Timesheet Raw'!$C$4:$C$8000,"*"&amp;$B309&amp;"*",'Timesheet Raw'!$L$4:$L$8000,"&gt;="&amp;N$5,'Timesheet Raw'!$L$4:$L$8000,"&lt;="&amp;N$6)))/'Profit Plan'!$B$5)</f>
        <v>0</v>
      </c>
      <c r="O309" s="122">
        <f>IF($A309="","",(IF(ISNUMBER(SEARCH("Proposal",$A309)),SUMIFS('Timesheet Raw'!$P$4:$P$8000,'Timesheet Raw'!$A$4:$A$8000,IF(ISNUMBER(SEARCH("Chargable",$A309)),"2-Proposals Chargeable","3-Proposals Regular"),'Timesheet Raw'!$C$4:$C$8000,"*"&amp;$B309&amp;"*",'Timesheet Raw'!$L$4:$L$8000,"&gt;="&amp;MAX(O$5,DATE(2000+VALUE(RIGHT(TRIM($A309),2)),1,1)),'Timesheet Raw'!$L$4:$L$8000,"&lt;="&amp;MIN(O$6,DATE(2000+VALUE(RIGHT(TRIM($A309),2)),12,31))),SUMIFS('Timesheet Raw'!$P$4:$P$8000,'Timesheet Raw'!$B$4:$B$8000,TRIM($A309),'Timesheet Raw'!$C$4:$C$8000,"*"&amp;$B309&amp;"*",'Timesheet Raw'!$L$4:$L$8000,"&gt;="&amp;O$5,'Timesheet Raw'!$L$4:$L$8000,"&lt;="&amp;O$6)))/'Profit Plan'!$B$5)</f>
        <v>0</v>
      </c>
      <c r="P309" s="122">
        <f>IF($A309="","",(IF(ISNUMBER(SEARCH("Proposal",$A309)),SUMIFS('Timesheet Raw'!$P$4:$P$8000,'Timesheet Raw'!$A$4:$A$8000,IF(ISNUMBER(SEARCH("Chargable",$A309)),"2-Proposals Chargeable","3-Proposals Regular"),'Timesheet Raw'!$C$4:$C$8000,"*"&amp;$B309&amp;"*",'Timesheet Raw'!$L$4:$L$8000,"&gt;="&amp;MAX(P$5,DATE(2000+VALUE(RIGHT(TRIM($A309),2)),1,1)),'Timesheet Raw'!$L$4:$L$8000,"&lt;="&amp;MIN(P$6,DATE(2000+VALUE(RIGHT(TRIM($A309),2)),12,31))),SUMIFS('Timesheet Raw'!$P$4:$P$8000,'Timesheet Raw'!$B$4:$B$8000,TRIM($A309),'Timesheet Raw'!$C$4:$C$8000,"*"&amp;$B309&amp;"*",'Timesheet Raw'!$L$4:$L$8000,"&gt;="&amp;P$5,'Timesheet Raw'!$L$4:$L$8000,"&lt;="&amp;P$6)))/'Profit Plan'!$B$5)</f>
        <v>0</v>
      </c>
      <c r="Q309" s="122">
        <f>IF($A309="","",(IF(ISNUMBER(SEARCH("Proposal",$A309)),SUMIFS('Timesheet Raw'!$P$4:$P$8000,'Timesheet Raw'!$A$4:$A$8000,IF(ISNUMBER(SEARCH("Chargable",$A309)),"2-Proposals Chargeable","3-Proposals Regular"),'Timesheet Raw'!$C$4:$C$8000,"*"&amp;$B309&amp;"*",'Timesheet Raw'!$L$4:$L$8000,"&gt;="&amp;MAX(Q$5,DATE(2000+VALUE(RIGHT(TRIM($A309),2)),1,1)),'Timesheet Raw'!$L$4:$L$8000,"&lt;="&amp;MIN(Q$6,DATE(2000+VALUE(RIGHT(TRIM($A309),2)),12,31))),SUMIFS('Timesheet Raw'!$P$4:$P$8000,'Timesheet Raw'!$B$4:$B$8000,TRIM($A309),'Timesheet Raw'!$C$4:$C$8000,"*"&amp;$B309&amp;"*",'Timesheet Raw'!$L$4:$L$8000,"&gt;="&amp;Q$5,'Timesheet Raw'!$L$4:$L$8000,"&lt;="&amp;Q$6)))/'Profit Plan'!$B$5)</f>
        <v>0</v>
      </c>
      <c r="R309" s="122">
        <f>IF($A309="","",(IF(ISNUMBER(SEARCH("Proposal",$A309)),SUMIFS('Timesheet Raw'!$P$4:$P$8000,'Timesheet Raw'!$A$4:$A$8000,IF(ISNUMBER(SEARCH("Chargable",$A309)),"2-Proposals Chargeable","3-Proposals Regular"),'Timesheet Raw'!$C$4:$C$8000,"*"&amp;$B309&amp;"*",'Timesheet Raw'!$L$4:$L$8000,"&gt;="&amp;MAX(R$5,DATE(2000+VALUE(RIGHT(TRIM($A309),2)),1,1)),'Timesheet Raw'!$L$4:$L$8000,"&lt;="&amp;MIN(R$6,DATE(2000+VALUE(RIGHT(TRIM($A309),2)),12,31))),SUMIFS('Timesheet Raw'!$P$4:$P$8000,'Timesheet Raw'!$B$4:$B$8000,TRIM($A309),'Timesheet Raw'!$C$4:$C$8000,"*"&amp;$B309&amp;"*",'Timesheet Raw'!$L$4:$L$8000,"&gt;="&amp;R$5,'Timesheet Raw'!$L$4:$L$8000,"&lt;="&amp;R$6)))/'Profit Plan'!$B$5)</f>
        <v>0</v>
      </c>
      <c r="S309" s="122">
        <f>IF($A309="","",(IF(ISNUMBER(SEARCH("Proposal",$A309)),SUMIFS('Timesheet Raw'!$P$4:$P$8000,'Timesheet Raw'!$A$4:$A$8000,IF(ISNUMBER(SEARCH("Chargable",$A309)),"2-Proposals Chargeable","3-Proposals Regular"),'Timesheet Raw'!$C$4:$C$8000,"*"&amp;$B309&amp;"*",'Timesheet Raw'!$L$4:$L$8000,"&gt;="&amp;MAX(S$5,DATE(2000+VALUE(RIGHT(TRIM($A309),2)),1,1)),'Timesheet Raw'!$L$4:$L$8000,"&lt;="&amp;MIN(S$6,DATE(2000+VALUE(RIGHT(TRIM($A309),2)),12,31))),SUMIFS('Timesheet Raw'!$P$4:$P$8000,'Timesheet Raw'!$B$4:$B$8000,TRIM($A309),'Timesheet Raw'!$C$4:$C$8000,"*"&amp;$B309&amp;"*",'Timesheet Raw'!$L$4:$L$8000,"&gt;="&amp;S$5,'Timesheet Raw'!$L$4:$L$8000,"&lt;="&amp;S$6)))/'Profit Plan'!$B$5)</f>
        <v>0</v>
      </c>
      <c r="T309" s="122">
        <f>IF($A309="","",(IF(ISNUMBER(SEARCH("Proposal",$A309)),SUMIFS('Timesheet Raw'!$P$4:$P$8000,'Timesheet Raw'!$A$4:$A$8000,IF(ISNUMBER(SEARCH("Chargable",$A309)),"2-Proposals Chargeable","3-Proposals Regular"),'Timesheet Raw'!$C$4:$C$8000,"*"&amp;$B309&amp;"*",'Timesheet Raw'!$L$4:$L$8000,"&gt;="&amp;MAX(T$5,DATE(2000+VALUE(RIGHT(TRIM($A309),2)),1,1)),'Timesheet Raw'!$L$4:$L$8000,"&lt;="&amp;MIN(T$6,DATE(2000+VALUE(RIGHT(TRIM($A309),2)),12,31))),SUMIFS('Timesheet Raw'!$P$4:$P$8000,'Timesheet Raw'!$B$4:$B$8000,TRIM($A309),'Timesheet Raw'!$C$4:$C$8000,"*"&amp;$B309&amp;"*",'Timesheet Raw'!$L$4:$L$8000,"&gt;="&amp;T$5,'Timesheet Raw'!$L$4:$L$8000,"&lt;="&amp;T$6)))/'Profit Plan'!$B$5)</f>
        <v>0</v>
      </c>
      <c r="U309" s="122">
        <f>IF($A309="","",(IF(ISNUMBER(SEARCH("Proposal",$A309)),SUMIFS('Timesheet Raw'!$P$4:$P$8000,'Timesheet Raw'!$A$4:$A$8000,IF(ISNUMBER(SEARCH("Chargable",$A309)),"2-Proposals Chargeable","3-Proposals Regular"),'Timesheet Raw'!$C$4:$C$8000,"*"&amp;$B309&amp;"*",'Timesheet Raw'!$L$4:$L$8000,"&gt;="&amp;MAX(U$5,DATE(2000+VALUE(RIGHT(TRIM($A309),2)),1,1)),'Timesheet Raw'!$L$4:$L$8000,"&lt;="&amp;MIN(U$6,DATE(2000+VALUE(RIGHT(TRIM($A309),2)),12,31))),SUMIFS('Timesheet Raw'!$P$4:$P$8000,'Timesheet Raw'!$B$4:$B$8000,TRIM($A309),'Timesheet Raw'!$C$4:$C$8000,"*"&amp;$B309&amp;"*",'Timesheet Raw'!$L$4:$L$8000,"&gt;="&amp;U$5,'Timesheet Raw'!$L$4:$L$8000,"&lt;="&amp;U$6)))/'Profit Plan'!$B$5)</f>
        <v>0</v>
      </c>
      <c r="V309" s="122">
        <f>IF($A309="","",(IF(ISNUMBER(SEARCH("Proposal",$A309)),SUMIFS('Timesheet Raw'!$P$4:$P$8000,'Timesheet Raw'!$A$4:$A$8000,IF(ISNUMBER(SEARCH("Chargable",$A309)),"2-Proposals Chargeable","3-Proposals Regular"),'Timesheet Raw'!$C$4:$C$8000,"*"&amp;$B309&amp;"*",'Timesheet Raw'!$L$4:$L$8000,"&gt;="&amp;MAX(V$5,DATE(2000+VALUE(RIGHT(TRIM($A309),2)),1,1)),'Timesheet Raw'!$L$4:$L$8000,"&lt;="&amp;MIN(V$6,DATE(2000+VALUE(RIGHT(TRIM($A309),2)),12,31))),SUMIFS('Timesheet Raw'!$P$4:$P$8000,'Timesheet Raw'!$B$4:$B$8000,TRIM($A309),'Timesheet Raw'!$C$4:$C$8000,"*"&amp;$B309&amp;"*",'Timesheet Raw'!$L$4:$L$8000,"&gt;="&amp;V$5,'Timesheet Raw'!$L$4:$L$8000,"&lt;="&amp;V$6)))/'Profit Plan'!$B$5)</f>
        <v>0</v>
      </c>
      <c r="W309" s="122">
        <f>IF($A309="","",(IF(ISNUMBER(SEARCH("Proposal",$A309)),SUMIFS('Timesheet Raw'!$P$4:$P$8000,'Timesheet Raw'!$A$4:$A$8000,IF(ISNUMBER(SEARCH("Chargable",$A309)),"2-Proposals Chargeable","3-Proposals Regular"),'Timesheet Raw'!$C$4:$C$8000,"*"&amp;$B309&amp;"*",'Timesheet Raw'!$L$4:$L$8000,"&gt;="&amp;MAX(W$5,DATE(2000+VALUE(RIGHT(TRIM($A309),2)),1,1)),'Timesheet Raw'!$L$4:$L$8000,"&lt;="&amp;MIN(W$6,DATE(2000+VALUE(RIGHT(TRIM($A309),2)),12,31))),SUMIFS('Timesheet Raw'!$P$4:$P$8000,'Timesheet Raw'!$B$4:$B$8000,TRIM($A309),'Timesheet Raw'!$C$4:$C$8000,"*"&amp;$B309&amp;"*",'Timesheet Raw'!$L$4:$L$8000,"&gt;="&amp;W$5,'Timesheet Raw'!$L$4:$L$8000,"&lt;="&amp;W$6)))/'Profit Plan'!$B$5)</f>
        <v>0</v>
      </c>
      <c r="X309" s="122">
        <f>IF($A309="","",(IF(ISNUMBER(SEARCH("Proposal",$A309)),SUMIFS('Timesheet Raw'!$P$4:$P$8000,'Timesheet Raw'!$A$4:$A$8000,IF(ISNUMBER(SEARCH("Chargable",$A309)),"2-Proposals Chargeable","3-Proposals Regular"),'Timesheet Raw'!$C$4:$C$8000,"*"&amp;$B309&amp;"*",'Timesheet Raw'!$L$4:$L$8000,"&gt;="&amp;MAX(X$5,DATE(2000+VALUE(RIGHT(TRIM($A309),2)),1,1)),'Timesheet Raw'!$L$4:$L$8000,"&lt;="&amp;MIN(X$6,DATE(2000+VALUE(RIGHT(TRIM($A309),2)),12,31))),SUMIFS('Timesheet Raw'!$P$4:$P$8000,'Timesheet Raw'!$B$4:$B$8000,TRIM($A309),'Timesheet Raw'!$C$4:$C$8000,"*"&amp;$B309&amp;"*",'Timesheet Raw'!$L$4:$L$8000,"&gt;="&amp;X$5,'Timesheet Raw'!$L$4:$L$8000,"&lt;="&amp;X$6)))/'Profit Plan'!$B$5)</f>
        <v>0</v>
      </c>
      <c r="Y309" s="118">
        <f t="shared" si="100"/>
        <v>0</v>
      </c>
    </row>
    <row r="310" spans="1:25" x14ac:dyDescent="0.3">
      <c r="A310" s="116" t="str">
        <f>IF(Inputs!$A21="","",Inputs!$A21)</f>
        <v>S24014-0102D</v>
      </c>
      <c r="B310" s="116" t="str">
        <f>IF(Inputs!$A21="","",Inputs!$A$91)</f>
        <v>Ahmed</v>
      </c>
      <c r="C310" s="116"/>
      <c r="D310" s="122">
        <f>IF($A310="","",(IF(ISNUMBER(SEARCH("Proposal",$A310)),SUMIFS('Timesheet Raw'!$P$4:$P$8000,'Timesheet Raw'!$A$4:$A$8000,IF(ISNUMBER(SEARCH("Chargable",$A310)),"2-Proposals Chargeable","3-Proposals Regular"),'Timesheet Raw'!$C$4:$C$8000,"*"&amp;$B310&amp;"*",'Timesheet Raw'!$L$4:$L$8000,"&gt;="&amp;MAX(D$5,DATE(2000+VALUE(RIGHT(TRIM($A310),2)),1,1)),'Timesheet Raw'!$L$4:$L$8000,"&lt;="&amp;MIN(D$6,DATE(2000+VALUE(RIGHT(TRIM($A310),2)),12,31))),SUMIFS('Timesheet Raw'!$P$4:$P$8000,'Timesheet Raw'!$B$4:$B$8000,TRIM($A310),'Timesheet Raw'!$C$4:$C$8000,"*"&amp;$B310&amp;"*",'Timesheet Raw'!$L$4:$L$8000,"&gt;="&amp;D$5,'Timesheet Raw'!$L$4:$L$8000,"&lt;="&amp;D$6)))/'Profit Plan'!$B$5)</f>
        <v>0</v>
      </c>
      <c r="E310" s="122">
        <f>IF($A310="","",(IF(ISNUMBER(SEARCH("Proposal",$A310)),SUMIFS('Timesheet Raw'!$P$4:$P$8000,'Timesheet Raw'!$A$4:$A$8000,IF(ISNUMBER(SEARCH("Chargable",$A310)),"2-Proposals Chargeable","3-Proposals Regular"),'Timesheet Raw'!$C$4:$C$8000,"*"&amp;$B310&amp;"*",'Timesheet Raw'!$L$4:$L$8000,"&gt;="&amp;MAX(E$5,DATE(2000+VALUE(RIGHT(TRIM($A310),2)),1,1)),'Timesheet Raw'!$L$4:$L$8000,"&lt;="&amp;MIN(E$6,DATE(2000+VALUE(RIGHT(TRIM($A310),2)),12,31))),SUMIFS('Timesheet Raw'!$P$4:$P$8000,'Timesheet Raw'!$B$4:$B$8000,TRIM($A310),'Timesheet Raw'!$C$4:$C$8000,"*"&amp;$B310&amp;"*",'Timesheet Raw'!$L$4:$L$8000,"&gt;="&amp;E$5,'Timesheet Raw'!$L$4:$L$8000,"&lt;="&amp;E$6)))/'Profit Plan'!$B$5)</f>
        <v>0</v>
      </c>
      <c r="F310" s="122">
        <f>IF($A310="","",(IF(ISNUMBER(SEARCH("Proposal",$A310)),SUMIFS('Timesheet Raw'!$P$4:$P$8000,'Timesheet Raw'!$A$4:$A$8000,IF(ISNUMBER(SEARCH("Chargable",$A310)),"2-Proposals Chargeable","3-Proposals Regular"),'Timesheet Raw'!$C$4:$C$8000,"*"&amp;$B310&amp;"*",'Timesheet Raw'!$L$4:$L$8000,"&gt;="&amp;MAX(F$5,DATE(2000+VALUE(RIGHT(TRIM($A310),2)),1,1)),'Timesheet Raw'!$L$4:$L$8000,"&lt;="&amp;MIN(F$6,DATE(2000+VALUE(RIGHT(TRIM($A310),2)),12,31))),SUMIFS('Timesheet Raw'!$P$4:$P$8000,'Timesheet Raw'!$B$4:$B$8000,TRIM($A310),'Timesheet Raw'!$C$4:$C$8000,"*"&amp;$B310&amp;"*",'Timesheet Raw'!$L$4:$L$8000,"&gt;="&amp;F$5,'Timesheet Raw'!$L$4:$L$8000,"&lt;="&amp;F$6)))/'Profit Plan'!$B$5)</f>
        <v>0</v>
      </c>
      <c r="G310" s="122">
        <f>IF($A310="","",(IF(ISNUMBER(SEARCH("Proposal",$A310)),SUMIFS('Timesheet Raw'!$P$4:$P$8000,'Timesheet Raw'!$A$4:$A$8000,IF(ISNUMBER(SEARCH("Chargable",$A310)),"2-Proposals Chargeable","3-Proposals Regular"),'Timesheet Raw'!$C$4:$C$8000,"*"&amp;$B310&amp;"*",'Timesheet Raw'!$L$4:$L$8000,"&gt;="&amp;MAX(G$5,DATE(2000+VALUE(RIGHT(TRIM($A310),2)),1,1)),'Timesheet Raw'!$L$4:$L$8000,"&lt;="&amp;MIN(G$6,DATE(2000+VALUE(RIGHT(TRIM($A310),2)),12,31))),SUMIFS('Timesheet Raw'!$P$4:$P$8000,'Timesheet Raw'!$B$4:$B$8000,TRIM($A310),'Timesheet Raw'!$C$4:$C$8000,"*"&amp;$B310&amp;"*",'Timesheet Raw'!$L$4:$L$8000,"&gt;="&amp;G$5,'Timesheet Raw'!$L$4:$L$8000,"&lt;="&amp;G$6)))/'Profit Plan'!$B$5)</f>
        <v>0</v>
      </c>
      <c r="H310" s="122">
        <f>IF($A310="","",(IF(ISNUMBER(SEARCH("Proposal",$A310)),SUMIFS('Timesheet Raw'!$P$4:$P$8000,'Timesheet Raw'!$A$4:$A$8000,IF(ISNUMBER(SEARCH("Chargable",$A310)),"2-Proposals Chargeable","3-Proposals Regular"),'Timesheet Raw'!$C$4:$C$8000,"*"&amp;$B310&amp;"*",'Timesheet Raw'!$L$4:$L$8000,"&gt;="&amp;MAX(H$5,DATE(2000+VALUE(RIGHT(TRIM($A310),2)),1,1)),'Timesheet Raw'!$L$4:$L$8000,"&lt;="&amp;MIN(H$6,DATE(2000+VALUE(RIGHT(TRIM($A310),2)),12,31))),SUMIFS('Timesheet Raw'!$P$4:$P$8000,'Timesheet Raw'!$B$4:$B$8000,TRIM($A310),'Timesheet Raw'!$C$4:$C$8000,"*"&amp;$B310&amp;"*",'Timesheet Raw'!$L$4:$L$8000,"&gt;="&amp;H$5,'Timesheet Raw'!$L$4:$L$8000,"&lt;="&amp;H$6)))/'Profit Plan'!$B$5)</f>
        <v>0</v>
      </c>
      <c r="I310" s="122">
        <f>IF($A310="","",(IF(ISNUMBER(SEARCH("Proposal",$A310)),SUMIFS('Timesheet Raw'!$P$4:$P$8000,'Timesheet Raw'!$A$4:$A$8000,IF(ISNUMBER(SEARCH("Chargable",$A310)),"2-Proposals Chargeable","3-Proposals Regular"),'Timesheet Raw'!$C$4:$C$8000,"*"&amp;$B310&amp;"*",'Timesheet Raw'!$L$4:$L$8000,"&gt;="&amp;MAX(I$5,DATE(2000+VALUE(RIGHT(TRIM($A310),2)),1,1)),'Timesheet Raw'!$L$4:$L$8000,"&lt;="&amp;MIN(I$6,DATE(2000+VALUE(RIGHT(TRIM($A310),2)),12,31))),SUMIFS('Timesheet Raw'!$P$4:$P$8000,'Timesheet Raw'!$B$4:$B$8000,TRIM($A310),'Timesheet Raw'!$C$4:$C$8000,"*"&amp;$B310&amp;"*",'Timesheet Raw'!$L$4:$L$8000,"&gt;="&amp;I$5,'Timesheet Raw'!$L$4:$L$8000,"&lt;="&amp;I$6)))/'Profit Plan'!$B$5)</f>
        <v>0</v>
      </c>
      <c r="J310" s="122">
        <f>IF($A310="","",(IF(ISNUMBER(SEARCH("Proposal",$A310)),SUMIFS('Timesheet Raw'!$P$4:$P$8000,'Timesheet Raw'!$A$4:$A$8000,IF(ISNUMBER(SEARCH("Chargable",$A310)),"2-Proposals Chargeable","3-Proposals Regular"),'Timesheet Raw'!$C$4:$C$8000,"*"&amp;$B310&amp;"*",'Timesheet Raw'!$L$4:$L$8000,"&gt;="&amp;MAX(J$5,DATE(2000+VALUE(RIGHT(TRIM($A310),2)),1,1)),'Timesheet Raw'!$L$4:$L$8000,"&lt;="&amp;MIN(J$6,DATE(2000+VALUE(RIGHT(TRIM($A310),2)),12,31))),SUMIFS('Timesheet Raw'!$P$4:$P$8000,'Timesheet Raw'!$B$4:$B$8000,TRIM($A310),'Timesheet Raw'!$C$4:$C$8000,"*"&amp;$B310&amp;"*",'Timesheet Raw'!$L$4:$L$8000,"&gt;="&amp;J$5,'Timesheet Raw'!$L$4:$L$8000,"&lt;="&amp;J$6)))/'Profit Plan'!$B$5)</f>
        <v>0.98108108108108105</v>
      </c>
      <c r="K310" s="122">
        <f>IF($A310="","",(IF(ISNUMBER(SEARCH("Proposal",$A310)),SUMIFS('Timesheet Raw'!$P$4:$P$8000,'Timesheet Raw'!$A$4:$A$8000,IF(ISNUMBER(SEARCH("Chargable",$A310)),"2-Proposals Chargeable","3-Proposals Regular"),'Timesheet Raw'!$C$4:$C$8000,"*"&amp;$B310&amp;"*",'Timesheet Raw'!$L$4:$L$8000,"&gt;="&amp;MAX(K$5,DATE(2000+VALUE(RIGHT(TRIM($A310),2)),1,1)),'Timesheet Raw'!$L$4:$L$8000,"&lt;="&amp;MIN(K$6,DATE(2000+VALUE(RIGHT(TRIM($A310),2)),12,31))),SUMIFS('Timesheet Raw'!$P$4:$P$8000,'Timesheet Raw'!$B$4:$B$8000,TRIM($A310),'Timesheet Raw'!$C$4:$C$8000,"*"&amp;$B310&amp;"*",'Timesheet Raw'!$L$4:$L$8000,"&gt;="&amp;K$5,'Timesheet Raw'!$L$4:$L$8000,"&lt;="&amp;K$6)))/'Profit Plan'!$B$5)</f>
        <v>1.2554054054054054</v>
      </c>
      <c r="L310" s="122">
        <f>IF($A310="","",(IF(ISNUMBER(SEARCH("Proposal",$A310)),SUMIFS('Timesheet Raw'!$P$4:$P$8000,'Timesheet Raw'!$A$4:$A$8000,IF(ISNUMBER(SEARCH("Chargable",$A310)),"2-Proposals Chargeable","3-Proposals Regular"),'Timesheet Raw'!$C$4:$C$8000,"*"&amp;$B310&amp;"*",'Timesheet Raw'!$L$4:$L$8000,"&gt;="&amp;MAX(L$5,DATE(2000+VALUE(RIGHT(TRIM($A310),2)),1,1)),'Timesheet Raw'!$L$4:$L$8000,"&lt;="&amp;MIN(L$6,DATE(2000+VALUE(RIGHT(TRIM($A310),2)),12,31))),SUMIFS('Timesheet Raw'!$P$4:$P$8000,'Timesheet Raw'!$B$4:$B$8000,TRIM($A310),'Timesheet Raw'!$C$4:$C$8000,"*"&amp;$B310&amp;"*",'Timesheet Raw'!$L$4:$L$8000,"&gt;="&amp;L$5,'Timesheet Raw'!$L$4:$L$8000,"&lt;="&amp;L$6)))/'Profit Plan'!$B$5)</f>
        <v>0</v>
      </c>
      <c r="M310" s="122">
        <f>IF($A310="","",(IF(ISNUMBER(SEARCH("Proposal",$A310)),SUMIFS('Timesheet Raw'!$P$4:$P$8000,'Timesheet Raw'!$A$4:$A$8000,IF(ISNUMBER(SEARCH("Chargable",$A310)),"2-Proposals Chargeable","3-Proposals Regular"),'Timesheet Raw'!$C$4:$C$8000,"*"&amp;$B310&amp;"*",'Timesheet Raw'!$L$4:$L$8000,"&gt;="&amp;MAX(M$5,DATE(2000+VALUE(RIGHT(TRIM($A310),2)),1,1)),'Timesheet Raw'!$L$4:$L$8000,"&lt;="&amp;MIN(M$6,DATE(2000+VALUE(RIGHT(TRIM($A310),2)),12,31))),SUMIFS('Timesheet Raw'!$P$4:$P$8000,'Timesheet Raw'!$B$4:$B$8000,TRIM($A310),'Timesheet Raw'!$C$4:$C$8000,"*"&amp;$B310&amp;"*",'Timesheet Raw'!$L$4:$L$8000,"&gt;="&amp;M$5,'Timesheet Raw'!$L$4:$L$8000,"&lt;="&amp;M$6)))/'Profit Plan'!$B$5)</f>
        <v>0</v>
      </c>
      <c r="N310" s="122">
        <f>IF($A310="","",(IF(ISNUMBER(SEARCH("Proposal",$A310)),SUMIFS('Timesheet Raw'!$P$4:$P$8000,'Timesheet Raw'!$A$4:$A$8000,IF(ISNUMBER(SEARCH("Chargable",$A310)),"2-Proposals Chargeable","3-Proposals Regular"),'Timesheet Raw'!$C$4:$C$8000,"*"&amp;$B310&amp;"*",'Timesheet Raw'!$L$4:$L$8000,"&gt;="&amp;MAX(N$5,DATE(2000+VALUE(RIGHT(TRIM($A310),2)),1,1)),'Timesheet Raw'!$L$4:$L$8000,"&lt;="&amp;MIN(N$6,DATE(2000+VALUE(RIGHT(TRIM($A310),2)),12,31))),SUMIFS('Timesheet Raw'!$P$4:$P$8000,'Timesheet Raw'!$B$4:$B$8000,TRIM($A310),'Timesheet Raw'!$C$4:$C$8000,"*"&amp;$B310&amp;"*",'Timesheet Raw'!$L$4:$L$8000,"&gt;="&amp;N$5,'Timesheet Raw'!$L$4:$L$8000,"&lt;="&amp;N$6)))/'Profit Plan'!$B$5)</f>
        <v>0</v>
      </c>
      <c r="O310" s="122">
        <f>IF($A310="","",(IF(ISNUMBER(SEARCH("Proposal",$A310)),SUMIFS('Timesheet Raw'!$P$4:$P$8000,'Timesheet Raw'!$A$4:$A$8000,IF(ISNUMBER(SEARCH("Chargable",$A310)),"2-Proposals Chargeable","3-Proposals Regular"),'Timesheet Raw'!$C$4:$C$8000,"*"&amp;$B310&amp;"*",'Timesheet Raw'!$L$4:$L$8000,"&gt;="&amp;MAX(O$5,DATE(2000+VALUE(RIGHT(TRIM($A310),2)),1,1)),'Timesheet Raw'!$L$4:$L$8000,"&lt;="&amp;MIN(O$6,DATE(2000+VALUE(RIGHT(TRIM($A310),2)),12,31))),SUMIFS('Timesheet Raw'!$P$4:$P$8000,'Timesheet Raw'!$B$4:$B$8000,TRIM($A310),'Timesheet Raw'!$C$4:$C$8000,"*"&amp;$B310&amp;"*",'Timesheet Raw'!$L$4:$L$8000,"&gt;="&amp;O$5,'Timesheet Raw'!$L$4:$L$8000,"&lt;="&amp;O$6)))/'Profit Plan'!$B$5)</f>
        <v>0</v>
      </c>
      <c r="P310" s="122">
        <f>IF($A310="","",(IF(ISNUMBER(SEARCH("Proposal",$A310)),SUMIFS('Timesheet Raw'!$P$4:$P$8000,'Timesheet Raw'!$A$4:$A$8000,IF(ISNUMBER(SEARCH("Chargable",$A310)),"2-Proposals Chargeable","3-Proposals Regular"),'Timesheet Raw'!$C$4:$C$8000,"*"&amp;$B310&amp;"*",'Timesheet Raw'!$L$4:$L$8000,"&gt;="&amp;MAX(P$5,DATE(2000+VALUE(RIGHT(TRIM($A310),2)),1,1)),'Timesheet Raw'!$L$4:$L$8000,"&lt;="&amp;MIN(P$6,DATE(2000+VALUE(RIGHT(TRIM($A310),2)),12,31))),SUMIFS('Timesheet Raw'!$P$4:$P$8000,'Timesheet Raw'!$B$4:$B$8000,TRIM($A310),'Timesheet Raw'!$C$4:$C$8000,"*"&amp;$B310&amp;"*",'Timesheet Raw'!$L$4:$L$8000,"&gt;="&amp;P$5,'Timesheet Raw'!$L$4:$L$8000,"&lt;="&amp;P$6)))/'Profit Plan'!$B$5)</f>
        <v>0</v>
      </c>
      <c r="Q310" s="122">
        <f>IF($A310="","",(IF(ISNUMBER(SEARCH("Proposal",$A310)),SUMIFS('Timesheet Raw'!$P$4:$P$8000,'Timesheet Raw'!$A$4:$A$8000,IF(ISNUMBER(SEARCH("Chargable",$A310)),"2-Proposals Chargeable","3-Proposals Regular"),'Timesheet Raw'!$C$4:$C$8000,"*"&amp;$B310&amp;"*",'Timesheet Raw'!$L$4:$L$8000,"&gt;="&amp;MAX(Q$5,DATE(2000+VALUE(RIGHT(TRIM($A310),2)),1,1)),'Timesheet Raw'!$L$4:$L$8000,"&lt;="&amp;MIN(Q$6,DATE(2000+VALUE(RIGHT(TRIM($A310),2)),12,31))),SUMIFS('Timesheet Raw'!$P$4:$P$8000,'Timesheet Raw'!$B$4:$B$8000,TRIM($A310),'Timesheet Raw'!$C$4:$C$8000,"*"&amp;$B310&amp;"*",'Timesheet Raw'!$L$4:$L$8000,"&gt;="&amp;Q$5,'Timesheet Raw'!$L$4:$L$8000,"&lt;="&amp;Q$6)))/'Profit Plan'!$B$5)</f>
        <v>0</v>
      </c>
      <c r="R310" s="122">
        <f>IF($A310="","",(IF(ISNUMBER(SEARCH("Proposal",$A310)),SUMIFS('Timesheet Raw'!$P$4:$P$8000,'Timesheet Raw'!$A$4:$A$8000,IF(ISNUMBER(SEARCH("Chargable",$A310)),"2-Proposals Chargeable","3-Proposals Regular"),'Timesheet Raw'!$C$4:$C$8000,"*"&amp;$B310&amp;"*",'Timesheet Raw'!$L$4:$L$8000,"&gt;="&amp;MAX(R$5,DATE(2000+VALUE(RIGHT(TRIM($A310),2)),1,1)),'Timesheet Raw'!$L$4:$L$8000,"&lt;="&amp;MIN(R$6,DATE(2000+VALUE(RIGHT(TRIM($A310),2)),12,31))),SUMIFS('Timesheet Raw'!$P$4:$P$8000,'Timesheet Raw'!$B$4:$B$8000,TRIM($A310),'Timesheet Raw'!$C$4:$C$8000,"*"&amp;$B310&amp;"*",'Timesheet Raw'!$L$4:$L$8000,"&gt;="&amp;R$5,'Timesheet Raw'!$L$4:$L$8000,"&lt;="&amp;R$6)))/'Profit Plan'!$B$5)</f>
        <v>0</v>
      </c>
      <c r="S310" s="122">
        <f>IF($A310="","",(IF(ISNUMBER(SEARCH("Proposal",$A310)),SUMIFS('Timesheet Raw'!$P$4:$P$8000,'Timesheet Raw'!$A$4:$A$8000,IF(ISNUMBER(SEARCH("Chargable",$A310)),"2-Proposals Chargeable","3-Proposals Regular"),'Timesheet Raw'!$C$4:$C$8000,"*"&amp;$B310&amp;"*",'Timesheet Raw'!$L$4:$L$8000,"&gt;="&amp;MAX(S$5,DATE(2000+VALUE(RIGHT(TRIM($A310),2)),1,1)),'Timesheet Raw'!$L$4:$L$8000,"&lt;="&amp;MIN(S$6,DATE(2000+VALUE(RIGHT(TRIM($A310),2)),12,31))),SUMIFS('Timesheet Raw'!$P$4:$P$8000,'Timesheet Raw'!$B$4:$B$8000,TRIM($A310),'Timesheet Raw'!$C$4:$C$8000,"*"&amp;$B310&amp;"*",'Timesheet Raw'!$L$4:$L$8000,"&gt;="&amp;S$5,'Timesheet Raw'!$L$4:$L$8000,"&lt;="&amp;S$6)))/'Profit Plan'!$B$5)</f>
        <v>0</v>
      </c>
      <c r="T310" s="122">
        <f>IF($A310="","",(IF(ISNUMBER(SEARCH("Proposal",$A310)),SUMIFS('Timesheet Raw'!$P$4:$P$8000,'Timesheet Raw'!$A$4:$A$8000,IF(ISNUMBER(SEARCH("Chargable",$A310)),"2-Proposals Chargeable","3-Proposals Regular"),'Timesheet Raw'!$C$4:$C$8000,"*"&amp;$B310&amp;"*",'Timesheet Raw'!$L$4:$L$8000,"&gt;="&amp;MAX(T$5,DATE(2000+VALUE(RIGHT(TRIM($A310),2)),1,1)),'Timesheet Raw'!$L$4:$L$8000,"&lt;="&amp;MIN(T$6,DATE(2000+VALUE(RIGHT(TRIM($A310),2)),12,31))),SUMIFS('Timesheet Raw'!$P$4:$P$8000,'Timesheet Raw'!$B$4:$B$8000,TRIM($A310),'Timesheet Raw'!$C$4:$C$8000,"*"&amp;$B310&amp;"*",'Timesheet Raw'!$L$4:$L$8000,"&gt;="&amp;T$5,'Timesheet Raw'!$L$4:$L$8000,"&lt;="&amp;T$6)))/'Profit Plan'!$B$5)</f>
        <v>0</v>
      </c>
      <c r="U310" s="122">
        <f>IF($A310="","",(IF(ISNUMBER(SEARCH("Proposal",$A310)),SUMIFS('Timesheet Raw'!$P$4:$P$8000,'Timesheet Raw'!$A$4:$A$8000,IF(ISNUMBER(SEARCH("Chargable",$A310)),"2-Proposals Chargeable","3-Proposals Regular"),'Timesheet Raw'!$C$4:$C$8000,"*"&amp;$B310&amp;"*",'Timesheet Raw'!$L$4:$L$8000,"&gt;="&amp;MAX(U$5,DATE(2000+VALUE(RIGHT(TRIM($A310),2)),1,1)),'Timesheet Raw'!$L$4:$L$8000,"&lt;="&amp;MIN(U$6,DATE(2000+VALUE(RIGHT(TRIM($A310),2)),12,31))),SUMIFS('Timesheet Raw'!$P$4:$P$8000,'Timesheet Raw'!$B$4:$B$8000,TRIM($A310),'Timesheet Raw'!$C$4:$C$8000,"*"&amp;$B310&amp;"*",'Timesheet Raw'!$L$4:$L$8000,"&gt;="&amp;U$5,'Timesheet Raw'!$L$4:$L$8000,"&lt;="&amp;U$6)))/'Profit Plan'!$B$5)</f>
        <v>0</v>
      </c>
      <c r="V310" s="122">
        <f>IF($A310="","",(IF(ISNUMBER(SEARCH("Proposal",$A310)),SUMIFS('Timesheet Raw'!$P$4:$P$8000,'Timesheet Raw'!$A$4:$A$8000,IF(ISNUMBER(SEARCH("Chargable",$A310)),"2-Proposals Chargeable","3-Proposals Regular"),'Timesheet Raw'!$C$4:$C$8000,"*"&amp;$B310&amp;"*",'Timesheet Raw'!$L$4:$L$8000,"&gt;="&amp;MAX(V$5,DATE(2000+VALUE(RIGHT(TRIM($A310),2)),1,1)),'Timesheet Raw'!$L$4:$L$8000,"&lt;="&amp;MIN(V$6,DATE(2000+VALUE(RIGHT(TRIM($A310),2)),12,31))),SUMIFS('Timesheet Raw'!$P$4:$P$8000,'Timesheet Raw'!$B$4:$B$8000,TRIM($A310),'Timesheet Raw'!$C$4:$C$8000,"*"&amp;$B310&amp;"*",'Timesheet Raw'!$L$4:$L$8000,"&gt;="&amp;V$5,'Timesheet Raw'!$L$4:$L$8000,"&lt;="&amp;V$6)))/'Profit Plan'!$B$5)</f>
        <v>0</v>
      </c>
      <c r="W310" s="122">
        <f>IF($A310="","",(IF(ISNUMBER(SEARCH("Proposal",$A310)),SUMIFS('Timesheet Raw'!$P$4:$P$8000,'Timesheet Raw'!$A$4:$A$8000,IF(ISNUMBER(SEARCH("Chargable",$A310)),"2-Proposals Chargeable","3-Proposals Regular"),'Timesheet Raw'!$C$4:$C$8000,"*"&amp;$B310&amp;"*",'Timesheet Raw'!$L$4:$L$8000,"&gt;="&amp;MAX(W$5,DATE(2000+VALUE(RIGHT(TRIM($A310),2)),1,1)),'Timesheet Raw'!$L$4:$L$8000,"&lt;="&amp;MIN(W$6,DATE(2000+VALUE(RIGHT(TRIM($A310),2)),12,31))),SUMIFS('Timesheet Raw'!$P$4:$P$8000,'Timesheet Raw'!$B$4:$B$8000,TRIM($A310),'Timesheet Raw'!$C$4:$C$8000,"*"&amp;$B310&amp;"*",'Timesheet Raw'!$L$4:$L$8000,"&gt;="&amp;W$5,'Timesheet Raw'!$L$4:$L$8000,"&lt;="&amp;W$6)))/'Profit Plan'!$B$5)</f>
        <v>0</v>
      </c>
      <c r="X310" s="122">
        <f>IF($A310="","",(IF(ISNUMBER(SEARCH("Proposal",$A310)),SUMIFS('Timesheet Raw'!$P$4:$P$8000,'Timesheet Raw'!$A$4:$A$8000,IF(ISNUMBER(SEARCH("Chargable",$A310)),"2-Proposals Chargeable","3-Proposals Regular"),'Timesheet Raw'!$C$4:$C$8000,"*"&amp;$B310&amp;"*",'Timesheet Raw'!$L$4:$L$8000,"&gt;="&amp;MAX(X$5,DATE(2000+VALUE(RIGHT(TRIM($A310),2)),1,1)),'Timesheet Raw'!$L$4:$L$8000,"&lt;="&amp;MIN(X$6,DATE(2000+VALUE(RIGHT(TRIM($A310),2)),12,31))),SUMIFS('Timesheet Raw'!$P$4:$P$8000,'Timesheet Raw'!$B$4:$B$8000,TRIM($A310),'Timesheet Raw'!$C$4:$C$8000,"*"&amp;$B310&amp;"*",'Timesheet Raw'!$L$4:$L$8000,"&gt;="&amp;X$5,'Timesheet Raw'!$L$4:$L$8000,"&lt;="&amp;X$6)))/'Profit Plan'!$B$5)</f>
        <v>0</v>
      </c>
      <c r="Y310" s="118">
        <f t="shared" si="100"/>
        <v>2.2364864864864864</v>
      </c>
    </row>
    <row r="311" spans="1:25" x14ac:dyDescent="0.3">
      <c r="A311" s="116" t="str">
        <f>IF(Inputs!$A21="","",Inputs!$A21)</f>
        <v>S24014-0102D</v>
      </c>
      <c r="B311" s="116" t="str">
        <f>IF(Inputs!$A21="","",Inputs!$A$92)</f>
        <v>Osama</v>
      </c>
      <c r="C311" s="116"/>
      <c r="D311" s="122">
        <f>IF($A311="","",(IF(ISNUMBER(SEARCH("Proposal",$A311)),SUMIFS('Timesheet Raw'!$P$4:$P$8000,'Timesheet Raw'!$A$4:$A$8000,IF(ISNUMBER(SEARCH("Chargable",$A311)),"2-Proposals Chargeable","3-Proposals Regular"),'Timesheet Raw'!$C$4:$C$8000,"*"&amp;$B311&amp;"*",'Timesheet Raw'!$L$4:$L$8000,"&gt;="&amp;MAX(D$5,DATE(2000+VALUE(RIGHT(TRIM($A311),2)),1,1)),'Timesheet Raw'!$L$4:$L$8000,"&lt;="&amp;MIN(D$6,DATE(2000+VALUE(RIGHT(TRIM($A311),2)),12,31))),SUMIFS('Timesheet Raw'!$P$4:$P$8000,'Timesheet Raw'!$B$4:$B$8000,TRIM($A311),'Timesheet Raw'!$C$4:$C$8000,"*"&amp;$B311&amp;"*",'Timesheet Raw'!$L$4:$L$8000,"&gt;="&amp;D$5,'Timesheet Raw'!$L$4:$L$8000,"&lt;="&amp;D$6)))/'Profit Plan'!$B$5)</f>
        <v>0</v>
      </c>
      <c r="E311" s="122">
        <f>IF($A311="","",(IF(ISNUMBER(SEARCH("Proposal",$A311)),SUMIFS('Timesheet Raw'!$P$4:$P$8000,'Timesheet Raw'!$A$4:$A$8000,IF(ISNUMBER(SEARCH("Chargable",$A311)),"2-Proposals Chargeable","3-Proposals Regular"),'Timesheet Raw'!$C$4:$C$8000,"*"&amp;$B311&amp;"*",'Timesheet Raw'!$L$4:$L$8000,"&gt;="&amp;MAX(E$5,DATE(2000+VALUE(RIGHT(TRIM($A311),2)),1,1)),'Timesheet Raw'!$L$4:$L$8000,"&lt;="&amp;MIN(E$6,DATE(2000+VALUE(RIGHT(TRIM($A311),2)),12,31))),SUMIFS('Timesheet Raw'!$P$4:$P$8000,'Timesheet Raw'!$B$4:$B$8000,TRIM($A311),'Timesheet Raw'!$C$4:$C$8000,"*"&amp;$B311&amp;"*",'Timesheet Raw'!$L$4:$L$8000,"&gt;="&amp;E$5,'Timesheet Raw'!$L$4:$L$8000,"&lt;="&amp;E$6)))/'Profit Plan'!$B$5)</f>
        <v>0</v>
      </c>
      <c r="F311" s="122">
        <f>IF($A311="","",(IF(ISNUMBER(SEARCH("Proposal",$A311)),SUMIFS('Timesheet Raw'!$P$4:$P$8000,'Timesheet Raw'!$A$4:$A$8000,IF(ISNUMBER(SEARCH("Chargable",$A311)),"2-Proposals Chargeable","3-Proposals Regular"),'Timesheet Raw'!$C$4:$C$8000,"*"&amp;$B311&amp;"*",'Timesheet Raw'!$L$4:$L$8000,"&gt;="&amp;MAX(F$5,DATE(2000+VALUE(RIGHT(TRIM($A311),2)),1,1)),'Timesheet Raw'!$L$4:$L$8000,"&lt;="&amp;MIN(F$6,DATE(2000+VALUE(RIGHT(TRIM($A311),2)),12,31))),SUMIFS('Timesheet Raw'!$P$4:$P$8000,'Timesheet Raw'!$B$4:$B$8000,TRIM($A311),'Timesheet Raw'!$C$4:$C$8000,"*"&amp;$B311&amp;"*",'Timesheet Raw'!$L$4:$L$8000,"&gt;="&amp;F$5,'Timesheet Raw'!$L$4:$L$8000,"&lt;="&amp;F$6)))/'Profit Plan'!$B$5)</f>
        <v>0</v>
      </c>
      <c r="G311" s="122">
        <f>IF($A311="","",(IF(ISNUMBER(SEARCH("Proposal",$A311)),SUMIFS('Timesheet Raw'!$P$4:$P$8000,'Timesheet Raw'!$A$4:$A$8000,IF(ISNUMBER(SEARCH("Chargable",$A311)),"2-Proposals Chargeable","3-Proposals Regular"),'Timesheet Raw'!$C$4:$C$8000,"*"&amp;$B311&amp;"*",'Timesheet Raw'!$L$4:$L$8000,"&gt;="&amp;MAX(G$5,DATE(2000+VALUE(RIGHT(TRIM($A311),2)),1,1)),'Timesheet Raw'!$L$4:$L$8000,"&lt;="&amp;MIN(G$6,DATE(2000+VALUE(RIGHT(TRIM($A311),2)),12,31))),SUMIFS('Timesheet Raw'!$P$4:$P$8000,'Timesheet Raw'!$B$4:$B$8000,TRIM($A311),'Timesheet Raw'!$C$4:$C$8000,"*"&amp;$B311&amp;"*",'Timesheet Raw'!$L$4:$L$8000,"&gt;="&amp;G$5,'Timesheet Raw'!$L$4:$L$8000,"&lt;="&amp;G$6)))/'Profit Plan'!$B$5)</f>
        <v>0</v>
      </c>
      <c r="H311" s="122">
        <f>IF($A311="","",(IF(ISNUMBER(SEARCH("Proposal",$A311)),SUMIFS('Timesheet Raw'!$P$4:$P$8000,'Timesheet Raw'!$A$4:$A$8000,IF(ISNUMBER(SEARCH("Chargable",$A311)),"2-Proposals Chargeable","3-Proposals Regular"),'Timesheet Raw'!$C$4:$C$8000,"*"&amp;$B311&amp;"*",'Timesheet Raw'!$L$4:$L$8000,"&gt;="&amp;MAX(H$5,DATE(2000+VALUE(RIGHT(TRIM($A311),2)),1,1)),'Timesheet Raw'!$L$4:$L$8000,"&lt;="&amp;MIN(H$6,DATE(2000+VALUE(RIGHT(TRIM($A311),2)),12,31))),SUMIFS('Timesheet Raw'!$P$4:$P$8000,'Timesheet Raw'!$B$4:$B$8000,TRIM($A311),'Timesheet Raw'!$C$4:$C$8000,"*"&amp;$B311&amp;"*",'Timesheet Raw'!$L$4:$L$8000,"&gt;="&amp;H$5,'Timesheet Raw'!$L$4:$L$8000,"&lt;="&amp;H$6)))/'Profit Plan'!$B$5)</f>
        <v>0</v>
      </c>
      <c r="I311" s="122">
        <f>IF($A311="","",(IF(ISNUMBER(SEARCH("Proposal",$A311)),SUMIFS('Timesheet Raw'!$P$4:$P$8000,'Timesheet Raw'!$A$4:$A$8000,IF(ISNUMBER(SEARCH("Chargable",$A311)),"2-Proposals Chargeable","3-Proposals Regular"),'Timesheet Raw'!$C$4:$C$8000,"*"&amp;$B311&amp;"*",'Timesheet Raw'!$L$4:$L$8000,"&gt;="&amp;MAX(I$5,DATE(2000+VALUE(RIGHT(TRIM($A311),2)),1,1)),'Timesheet Raw'!$L$4:$L$8000,"&lt;="&amp;MIN(I$6,DATE(2000+VALUE(RIGHT(TRIM($A311),2)),12,31))),SUMIFS('Timesheet Raw'!$P$4:$P$8000,'Timesheet Raw'!$B$4:$B$8000,TRIM($A311),'Timesheet Raw'!$C$4:$C$8000,"*"&amp;$B311&amp;"*",'Timesheet Raw'!$L$4:$L$8000,"&gt;="&amp;I$5,'Timesheet Raw'!$L$4:$L$8000,"&lt;="&amp;I$6)))/'Profit Plan'!$B$5)</f>
        <v>0</v>
      </c>
      <c r="J311" s="122">
        <f>IF($A311="","",(IF(ISNUMBER(SEARCH("Proposal",$A311)),SUMIFS('Timesheet Raw'!$P$4:$P$8000,'Timesheet Raw'!$A$4:$A$8000,IF(ISNUMBER(SEARCH("Chargable",$A311)),"2-Proposals Chargeable","3-Proposals Regular"),'Timesheet Raw'!$C$4:$C$8000,"*"&amp;$B311&amp;"*",'Timesheet Raw'!$L$4:$L$8000,"&gt;="&amp;MAX(J$5,DATE(2000+VALUE(RIGHT(TRIM($A311),2)),1,1)),'Timesheet Raw'!$L$4:$L$8000,"&lt;="&amp;MIN(J$6,DATE(2000+VALUE(RIGHT(TRIM($A311),2)),12,31))),SUMIFS('Timesheet Raw'!$P$4:$P$8000,'Timesheet Raw'!$B$4:$B$8000,TRIM($A311),'Timesheet Raw'!$C$4:$C$8000,"*"&amp;$B311&amp;"*",'Timesheet Raw'!$L$4:$L$8000,"&gt;="&amp;J$5,'Timesheet Raw'!$L$4:$L$8000,"&lt;="&amp;J$6)))/'Profit Plan'!$B$5)</f>
        <v>0</v>
      </c>
      <c r="K311" s="122">
        <f>IF($A311="","",(IF(ISNUMBER(SEARCH("Proposal",$A311)),SUMIFS('Timesheet Raw'!$P$4:$P$8000,'Timesheet Raw'!$A$4:$A$8000,IF(ISNUMBER(SEARCH("Chargable",$A311)),"2-Proposals Chargeable","3-Proposals Regular"),'Timesheet Raw'!$C$4:$C$8000,"*"&amp;$B311&amp;"*",'Timesheet Raw'!$L$4:$L$8000,"&gt;="&amp;MAX(K$5,DATE(2000+VALUE(RIGHT(TRIM($A311),2)),1,1)),'Timesheet Raw'!$L$4:$L$8000,"&lt;="&amp;MIN(K$6,DATE(2000+VALUE(RIGHT(TRIM($A311),2)),12,31))),SUMIFS('Timesheet Raw'!$P$4:$P$8000,'Timesheet Raw'!$B$4:$B$8000,TRIM($A311),'Timesheet Raw'!$C$4:$C$8000,"*"&amp;$B311&amp;"*",'Timesheet Raw'!$L$4:$L$8000,"&gt;="&amp;K$5,'Timesheet Raw'!$L$4:$L$8000,"&lt;="&amp;K$6)))/'Profit Plan'!$B$5)</f>
        <v>0.26486486486486488</v>
      </c>
      <c r="L311" s="122">
        <f>IF($A311="","",(IF(ISNUMBER(SEARCH("Proposal",$A311)),SUMIFS('Timesheet Raw'!$P$4:$P$8000,'Timesheet Raw'!$A$4:$A$8000,IF(ISNUMBER(SEARCH("Chargable",$A311)),"2-Proposals Chargeable","3-Proposals Regular"),'Timesheet Raw'!$C$4:$C$8000,"*"&amp;$B311&amp;"*",'Timesheet Raw'!$L$4:$L$8000,"&gt;="&amp;MAX(L$5,DATE(2000+VALUE(RIGHT(TRIM($A311),2)),1,1)),'Timesheet Raw'!$L$4:$L$8000,"&lt;="&amp;MIN(L$6,DATE(2000+VALUE(RIGHT(TRIM($A311),2)),12,31))),SUMIFS('Timesheet Raw'!$P$4:$P$8000,'Timesheet Raw'!$B$4:$B$8000,TRIM($A311),'Timesheet Raw'!$C$4:$C$8000,"*"&amp;$B311&amp;"*",'Timesheet Raw'!$L$4:$L$8000,"&gt;="&amp;L$5,'Timesheet Raw'!$L$4:$L$8000,"&lt;="&amp;L$6)))/'Profit Plan'!$B$5)</f>
        <v>0</v>
      </c>
      <c r="M311" s="122">
        <f>IF($A311="","",(IF(ISNUMBER(SEARCH("Proposal",$A311)),SUMIFS('Timesheet Raw'!$P$4:$P$8000,'Timesheet Raw'!$A$4:$A$8000,IF(ISNUMBER(SEARCH("Chargable",$A311)),"2-Proposals Chargeable","3-Proposals Regular"),'Timesheet Raw'!$C$4:$C$8000,"*"&amp;$B311&amp;"*",'Timesheet Raw'!$L$4:$L$8000,"&gt;="&amp;MAX(M$5,DATE(2000+VALUE(RIGHT(TRIM($A311),2)),1,1)),'Timesheet Raw'!$L$4:$L$8000,"&lt;="&amp;MIN(M$6,DATE(2000+VALUE(RIGHT(TRIM($A311),2)),12,31))),SUMIFS('Timesheet Raw'!$P$4:$P$8000,'Timesheet Raw'!$B$4:$B$8000,TRIM($A311),'Timesheet Raw'!$C$4:$C$8000,"*"&amp;$B311&amp;"*",'Timesheet Raw'!$L$4:$L$8000,"&gt;="&amp;M$5,'Timesheet Raw'!$L$4:$L$8000,"&lt;="&amp;M$6)))/'Profit Plan'!$B$5)</f>
        <v>0</v>
      </c>
      <c r="N311" s="122">
        <f>IF($A311="","",(IF(ISNUMBER(SEARCH("Proposal",$A311)),SUMIFS('Timesheet Raw'!$P$4:$P$8000,'Timesheet Raw'!$A$4:$A$8000,IF(ISNUMBER(SEARCH("Chargable",$A311)),"2-Proposals Chargeable","3-Proposals Regular"),'Timesheet Raw'!$C$4:$C$8000,"*"&amp;$B311&amp;"*",'Timesheet Raw'!$L$4:$L$8000,"&gt;="&amp;MAX(N$5,DATE(2000+VALUE(RIGHT(TRIM($A311),2)),1,1)),'Timesheet Raw'!$L$4:$L$8000,"&lt;="&amp;MIN(N$6,DATE(2000+VALUE(RIGHT(TRIM($A311),2)),12,31))),SUMIFS('Timesheet Raw'!$P$4:$P$8000,'Timesheet Raw'!$B$4:$B$8000,TRIM($A311),'Timesheet Raw'!$C$4:$C$8000,"*"&amp;$B311&amp;"*",'Timesheet Raw'!$L$4:$L$8000,"&gt;="&amp;N$5,'Timesheet Raw'!$L$4:$L$8000,"&lt;="&amp;N$6)))/'Profit Plan'!$B$5)</f>
        <v>0</v>
      </c>
      <c r="O311" s="122">
        <f>IF($A311="","",(IF(ISNUMBER(SEARCH("Proposal",$A311)),SUMIFS('Timesheet Raw'!$P$4:$P$8000,'Timesheet Raw'!$A$4:$A$8000,IF(ISNUMBER(SEARCH("Chargable",$A311)),"2-Proposals Chargeable","3-Proposals Regular"),'Timesheet Raw'!$C$4:$C$8000,"*"&amp;$B311&amp;"*",'Timesheet Raw'!$L$4:$L$8000,"&gt;="&amp;MAX(O$5,DATE(2000+VALUE(RIGHT(TRIM($A311),2)),1,1)),'Timesheet Raw'!$L$4:$L$8000,"&lt;="&amp;MIN(O$6,DATE(2000+VALUE(RIGHT(TRIM($A311),2)),12,31))),SUMIFS('Timesheet Raw'!$P$4:$P$8000,'Timesheet Raw'!$B$4:$B$8000,TRIM($A311),'Timesheet Raw'!$C$4:$C$8000,"*"&amp;$B311&amp;"*",'Timesheet Raw'!$L$4:$L$8000,"&gt;="&amp;O$5,'Timesheet Raw'!$L$4:$L$8000,"&lt;="&amp;O$6)))/'Profit Plan'!$B$5)</f>
        <v>0</v>
      </c>
      <c r="P311" s="122">
        <f>IF($A311="","",(IF(ISNUMBER(SEARCH("Proposal",$A311)),SUMIFS('Timesheet Raw'!$P$4:$P$8000,'Timesheet Raw'!$A$4:$A$8000,IF(ISNUMBER(SEARCH("Chargable",$A311)),"2-Proposals Chargeable","3-Proposals Regular"),'Timesheet Raw'!$C$4:$C$8000,"*"&amp;$B311&amp;"*",'Timesheet Raw'!$L$4:$L$8000,"&gt;="&amp;MAX(P$5,DATE(2000+VALUE(RIGHT(TRIM($A311),2)),1,1)),'Timesheet Raw'!$L$4:$L$8000,"&lt;="&amp;MIN(P$6,DATE(2000+VALUE(RIGHT(TRIM($A311),2)),12,31))),SUMIFS('Timesheet Raw'!$P$4:$P$8000,'Timesheet Raw'!$B$4:$B$8000,TRIM($A311),'Timesheet Raw'!$C$4:$C$8000,"*"&amp;$B311&amp;"*",'Timesheet Raw'!$L$4:$L$8000,"&gt;="&amp;P$5,'Timesheet Raw'!$L$4:$L$8000,"&lt;="&amp;P$6)))/'Profit Plan'!$B$5)</f>
        <v>0</v>
      </c>
      <c r="Q311" s="122">
        <f>IF($A311="","",(IF(ISNUMBER(SEARCH("Proposal",$A311)),SUMIFS('Timesheet Raw'!$P$4:$P$8000,'Timesheet Raw'!$A$4:$A$8000,IF(ISNUMBER(SEARCH("Chargable",$A311)),"2-Proposals Chargeable","3-Proposals Regular"),'Timesheet Raw'!$C$4:$C$8000,"*"&amp;$B311&amp;"*",'Timesheet Raw'!$L$4:$L$8000,"&gt;="&amp;MAX(Q$5,DATE(2000+VALUE(RIGHT(TRIM($A311),2)),1,1)),'Timesheet Raw'!$L$4:$L$8000,"&lt;="&amp;MIN(Q$6,DATE(2000+VALUE(RIGHT(TRIM($A311),2)),12,31))),SUMIFS('Timesheet Raw'!$P$4:$P$8000,'Timesheet Raw'!$B$4:$B$8000,TRIM($A311),'Timesheet Raw'!$C$4:$C$8000,"*"&amp;$B311&amp;"*",'Timesheet Raw'!$L$4:$L$8000,"&gt;="&amp;Q$5,'Timesheet Raw'!$L$4:$L$8000,"&lt;="&amp;Q$6)))/'Profit Plan'!$B$5)</f>
        <v>0</v>
      </c>
      <c r="R311" s="122">
        <f>IF($A311="","",(IF(ISNUMBER(SEARCH("Proposal",$A311)),SUMIFS('Timesheet Raw'!$P$4:$P$8000,'Timesheet Raw'!$A$4:$A$8000,IF(ISNUMBER(SEARCH("Chargable",$A311)),"2-Proposals Chargeable","3-Proposals Regular"),'Timesheet Raw'!$C$4:$C$8000,"*"&amp;$B311&amp;"*",'Timesheet Raw'!$L$4:$L$8000,"&gt;="&amp;MAX(R$5,DATE(2000+VALUE(RIGHT(TRIM($A311),2)),1,1)),'Timesheet Raw'!$L$4:$L$8000,"&lt;="&amp;MIN(R$6,DATE(2000+VALUE(RIGHT(TRIM($A311),2)),12,31))),SUMIFS('Timesheet Raw'!$P$4:$P$8000,'Timesheet Raw'!$B$4:$B$8000,TRIM($A311),'Timesheet Raw'!$C$4:$C$8000,"*"&amp;$B311&amp;"*",'Timesheet Raw'!$L$4:$L$8000,"&gt;="&amp;R$5,'Timesheet Raw'!$L$4:$L$8000,"&lt;="&amp;R$6)))/'Profit Plan'!$B$5)</f>
        <v>0</v>
      </c>
      <c r="S311" s="122">
        <f>IF($A311="","",(IF(ISNUMBER(SEARCH("Proposal",$A311)),SUMIFS('Timesheet Raw'!$P$4:$P$8000,'Timesheet Raw'!$A$4:$A$8000,IF(ISNUMBER(SEARCH("Chargable",$A311)),"2-Proposals Chargeable","3-Proposals Regular"),'Timesheet Raw'!$C$4:$C$8000,"*"&amp;$B311&amp;"*",'Timesheet Raw'!$L$4:$L$8000,"&gt;="&amp;MAX(S$5,DATE(2000+VALUE(RIGHT(TRIM($A311),2)),1,1)),'Timesheet Raw'!$L$4:$L$8000,"&lt;="&amp;MIN(S$6,DATE(2000+VALUE(RIGHT(TRIM($A311),2)),12,31))),SUMIFS('Timesheet Raw'!$P$4:$P$8000,'Timesheet Raw'!$B$4:$B$8000,TRIM($A311),'Timesheet Raw'!$C$4:$C$8000,"*"&amp;$B311&amp;"*",'Timesheet Raw'!$L$4:$L$8000,"&gt;="&amp;S$5,'Timesheet Raw'!$L$4:$L$8000,"&lt;="&amp;S$6)))/'Profit Plan'!$B$5)</f>
        <v>0</v>
      </c>
      <c r="T311" s="122">
        <f>IF($A311="","",(IF(ISNUMBER(SEARCH("Proposal",$A311)),SUMIFS('Timesheet Raw'!$P$4:$P$8000,'Timesheet Raw'!$A$4:$A$8000,IF(ISNUMBER(SEARCH("Chargable",$A311)),"2-Proposals Chargeable","3-Proposals Regular"),'Timesheet Raw'!$C$4:$C$8000,"*"&amp;$B311&amp;"*",'Timesheet Raw'!$L$4:$L$8000,"&gt;="&amp;MAX(T$5,DATE(2000+VALUE(RIGHT(TRIM($A311),2)),1,1)),'Timesheet Raw'!$L$4:$L$8000,"&lt;="&amp;MIN(T$6,DATE(2000+VALUE(RIGHT(TRIM($A311),2)),12,31))),SUMIFS('Timesheet Raw'!$P$4:$P$8000,'Timesheet Raw'!$B$4:$B$8000,TRIM($A311),'Timesheet Raw'!$C$4:$C$8000,"*"&amp;$B311&amp;"*",'Timesheet Raw'!$L$4:$L$8000,"&gt;="&amp;T$5,'Timesheet Raw'!$L$4:$L$8000,"&lt;="&amp;T$6)))/'Profit Plan'!$B$5)</f>
        <v>0</v>
      </c>
      <c r="U311" s="122">
        <f>IF($A311="","",(IF(ISNUMBER(SEARCH("Proposal",$A311)),SUMIFS('Timesheet Raw'!$P$4:$P$8000,'Timesheet Raw'!$A$4:$A$8000,IF(ISNUMBER(SEARCH("Chargable",$A311)),"2-Proposals Chargeable","3-Proposals Regular"),'Timesheet Raw'!$C$4:$C$8000,"*"&amp;$B311&amp;"*",'Timesheet Raw'!$L$4:$L$8000,"&gt;="&amp;MAX(U$5,DATE(2000+VALUE(RIGHT(TRIM($A311),2)),1,1)),'Timesheet Raw'!$L$4:$L$8000,"&lt;="&amp;MIN(U$6,DATE(2000+VALUE(RIGHT(TRIM($A311),2)),12,31))),SUMIFS('Timesheet Raw'!$P$4:$P$8000,'Timesheet Raw'!$B$4:$B$8000,TRIM($A311),'Timesheet Raw'!$C$4:$C$8000,"*"&amp;$B311&amp;"*",'Timesheet Raw'!$L$4:$L$8000,"&gt;="&amp;U$5,'Timesheet Raw'!$L$4:$L$8000,"&lt;="&amp;U$6)))/'Profit Plan'!$B$5)</f>
        <v>0</v>
      </c>
      <c r="V311" s="122">
        <f>IF($A311="","",(IF(ISNUMBER(SEARCH("Proposal",$A311)),SUMIFS('Timesheet Raw'!$P$4:$P$8000,'Timesheet Raw'!$A$4:$A$8000,IF(ISNUMBER(SEARCH("Chargable",$A311)),"2-Proposals Chargeable","3-Proposals Regular"),'Timesheet Raw'!$C$4:$C$8000,"*"&amp;$B311&amp;"*",'Timesheet Raw'!$L$4:$L$8000,"&gt;="&amp;MAX(V$5,DATE(2000+VALUE(RIGHT(TRIM($A311),2)),1,1)),'Timesheet Raw'!$L$4:$L$8000,"&lt;="&amp;MIN(V$6,DATE(2000+VALUE(RIGHT(TRIM($A311),2)),12,31))),SUMIFS('Timesheet Raw'!$P$4:$P$8000,'Timesheet Raw'!$B$4:$B$8000,TRIM($A311),'Timesheet Raw'!$C$4:$C$8000,"*"&amp;$B311&amp;"*",'Timesheet Raw'!$L$4:$L$8000,"&gt;="&amp;V$5,'Timesheet Raw'!$L$4:$L$8000,"&lt;="&amp;V$6)))/'Profit Plan'!$B$5)</f>
        <v>0</v>
      </c>
      <c r="W311" s="122">
        <f>IF($A311="","",(IF(ISNUMBER(SEARCH("Proposal",$A311)),SUMIFS('Timesheet Raw'!$P$4:$P$8000,'Timesheet Raw'!$A$4:$A$8000,IF(ISNUMBER(SEARCH("Chargable",$A311)),"2-Proposals Chargeable","3-Proposals Regular"),'Timesheet Raw'!$C$4:$C$8000,"*"&amp;$B311&amp;"*",'Timesheet Raw'!$L$4:$L$8000,"&gt;="&amp;MAX(W$5,DATE(2000+VALUE(RIGHT(TRIM($A311),2)),1,1)),'Timesheet Raw'!$L$4:$L$8000,"&lt;="&amp;MIN(W$6,DATE(2000+VALUE(RIGHT(TRIM($A311),2)),12,31))),SUMIFS('Timesheet Raw'!$P$4:$P$8000,'Timesheet Raw'!$B$4:$B$8000,TRIM($A311),'Timesheet Raw'!$C$4:$C$8000,"*"&amp;$B311&amp;"*",'Timesheet Raw'!$L$4:$L$8000,"&gt;="&amp;W$5,'Timesheet Raw'!$L$4:$L$8000,"&lt;="&amp;W$6)))/'Profit Plan'!$B$5)</f>
        <v>0</v>
      </c>
      <c r="X311" s="122">
        <f>IF($A311="","",(IF(ISNUMBER(SEARCH("Proposal",$A311)),SUMIFS('Timesheet Raw'!$P$4:$P$8000,'Timesheet Raw'!$A$4:$A$8000,IF(ISNUMBER(SEARCH("Chargable",$A311)),"2-Proposals Chargeable","3-Proposals Regular"),'Timesheet Raw'!$C$4:$C$8000,"*"&amp;$B311&amp;"*",'Timesheet Raw'!$L$4:$L$8000,"&gt;="&amp;MAX(X$5,DATE(2000+VALUE(RIGHT(TRIM($A311),2)),1,1)),'Timesheet Raw'!$L$4:$L$8000,"&lt;="&amp;MIN(X$6,DATE(2000+VALUE(RIGHT(TRIM($A311),2)),12,31))),SUMIFS('Timesheet Raw'!$P$4:$P$8000,'Timesheet Raw'!$B$4:$B$8000,TRIM($A311),'Timesheet Raw'!$C$4:$C$8000,"*"&amp;$B311&amp;"*",'Timesheet Raw'!$L$4:$L$8000,"&gt;="&amp;X$5,'Timesheet Raw'!$L$4:$L$8000,"&lt;="&amp;X$6)))/'Profit Plan'!$B$5)</f>
        <v>0</v>
      </c>
      <c r="Y311" s="118">
        <f t="shared" si="100"/>
        <v>0.26486486486486488</v>
      </c>
    </row>
    <row r="312" spans="1:25" x14ac:dyDescent="0.3">
      <c r="A312" s="116" t="str">
        <f>IF(Inputs!$A21="","",Inputs!$A21)</f>
        <v>S24014-0102D</v>
      </c>
      <c r="B312" s="116" t="str">
        <f>IF(Inputs!$A21="","",Inputs!$A$93)</f>
        <v>Kirolos</v>
      </c>
      <c r="C312" s="116"/>
      <c r="D312" s="122">
        <f>IF($A312="","",(IF(ISNUMBER(SEARCH("Proposal",$A312)),SUMIFS('Timesheet Raw'!$P$4:$P$8000,'Timesheet Raw'!$A$4:$A$8000,IF(ISNUMBER(SEARCH("Chargable",$A312)),"2-Proposals Chargeable","3-Proposals Regular"),'Timesheet Raw'!$C$4:$C$8000,"*"&amp;$B312&amp;"*",'Timesheet Raw'!$L$4:$L$8000,"&gt;="&amp;MAX(D$5,DATE(2000+VALUE(RIGHT(TRIM($A312),2)),1,1)),'Timesheet Raw'!$L$4:$L$8000,"&lt;="&amp;MIN(D$6,DATE(2000+VALUE(RIGHT(TRIM($A312),2)),12,31))),SUMIFS('Timesheet Raw'!$P$4:$P$8000,'Timesheet Raw'!$B$4:$B$8000,TRIM($A312),'Timesheet Raw'!$C$4:$C$8000,"*"&amp;$B312&amp;"*",'Timesheet Raw'!$L$4:$L$8000,"&gt;="&amp;D$5,'Timesheet Raw'!$L$4:$L$8000,"&lt;="&amp;D$6)))/'Profit Plan'!$B$5)</f>
        <v>0</v>
      </c>
      <c r="E312" s="122">
        <f>IF($A312="","",(IF(ISNUMBER(SEARCH("Proposal",$A312)),SUMIFS('Timesheet Raw'!$P$4:$P$8000,'Timesheet Raw'!$A$4:$A$8000,IF(ISNUMBER(SEARCH("Chargable",$A312)),"2-Proposals Chargeable","3-Proposals Regular"),'Timesheet Raw'!$C$4:$C$8000,"*"&amp;$B312&amp;"*",'Timesheet Raw'!$L$4:$L$8000,"&gt;="&amp;MAX(E$5,DATE(2000+VALUE(RIGHT(TRIM($A312),2)),1,1)),'Timesheet Raw'!$L$4:$L$8000,"&lt;="&amp;MIN(E$6,DATE(2000+VALUE(RIGHT(TRIM($A312),2)),12,31))),SUMIFS('Timesheet Raw'!$P$4:$P$8000,'Timesheet Raw'!$B$4:$B$8000,TRIM($A312),'Timesheet Raw'!$C$4:$C$8000,"*"&amp;$B312&amp;"*",'Timesheet Raw'!$L$4:$L$8000,"&gt;="&amp;E$5,'Timesheet Raw'!$L$4:$L$8000,"&lt;="&amp;E$6)))/'Profit Plan'!$B$5)</f>
        <v>0</v>
      </c>
      <c r="F312" s="122">
        <f>IF($A312="","",(IF(ISNUMBER(SEARCH("Proposal",$A312)),SUMIFS('Timesheet Raw'!$P$4:$P$8000,'Timesheet Raw'!$A$4:$A$8000,IF(ISNUMBER(SEARCH("Chargable",$A312)),"2-Proposals Chargeable","3-Proposals Regular"),'Timesheet Raw'!$C$4:$C$8000,"*"&amp;$B312&amp;"*",'Timesheet Raw'!$L$4:$L$8000,"&gt;="&amp;MAX(F$5,DATE(2000+VALUE(RIGHT(TRIM($A312),2)),1,1)),'Timesheet Raw'!$L$4:$L$8000,"&lt;="&amp;MIN(F$6,DATE(2000+VALUE(RIGHT(TRIM($A312),2)),12,31))),SUMIFS('Timesheet Raw'!$P$4:$P$8000,'Timesheet Raw'!$B$4:$B$8000,TRIM($A312),'Timesheet Raw'!$C$4:$C$8000,"*"&amp;$B312&amp;"*",'Timesheet Raw'!$L$4:$L$8000,"&gt;="&amp;F$5,'Timesheet Raw'!$L$4:$L$8000,"&lt;="&amp;F$6)))/'Profit Plan'!$B$5)</f>
        <v>0</v>
      </c>
      <c r="G312" s="122">
        <f>IF($A312="","",(IF(ISNUMBER(SEARCH("Proposal",$A312)),SUMIFS('Timesheet Raw'!$P$4:$P$8000,'Timesheet Raw'!$A$4:$A$8000,IF(ISNUMBER(SEARCH("Chargable",$A312)),"2-Proposals Chargeable","3-Proposals Regular"),'Timesheet Raw'!$C$4:$C$8000,"*"&amp;$B312&amp;"*",'Timesheet Raw'!$L$4:$L$8000,"&gt;="&amp;MAX(G$5,DATE(2000+VALUE(RIGHT(TRIM($A312),2)),1,1)),'Timesheet Raw'!$L$4:$L$8000,"&lt;="&amp;MIN(G$6,DATE(2000+VALUE(RIGHT(TRIM($A312),2)),12,31))),SUMIFS('Timesheet Raw'!$P$4:$P$8000,'Timesheet Raw'!$B$4:$B$8000,TRIM($A312),'Timesheet Raw'!$C$4:$C$8000,"*"&amp;$B312&amp;"*",'Timesheet Raw'!$L$4:$L$8000,"&gt;="&amp;G$5,'Timesheet Raw'!$L$4:$L$8000,"&lt;="&amp;G$6)))/'Profit Plan'!$B$5)</f>
        <v>0</v>
      </c>
      <c r="H312" s="122">
        <f>IF($A312="","",(IF(ISNUMBER(SEARCH("Proposal",$A312)),SUMIFS('Timesheet Raw'!$P$4:$P$8000,'Timesheet Raw'!$A$4:$A$8000,IF(ISNUMBER(SEARCH("Chargable",$A312)),"2-Proposals Chargeable","3-Proposals Regular"),'Timesheet Raw'!$C$4:$C$8000,"*"&amp;$B312&amp;"*",'Timesheet Raw'!$L$4:$L$8000,"&gt;="&amp;MAX(H$5,DATE(2000+VALUE(RIGHT(TRIM($A312),2)),1,1)),'Timesheet Raw'!$L$4:$L$8000,"&lt;="&amp;MIN(H$6,DATE(2000+VALUE(RIGHT(TRIM($A312),2)),12,31))),SUMIFS('Timesheet Raw'!$P$4:$P$8000,'Timesheet Raw'!$B$4:$B$8000,TRIM($A312),'Timesheet Raw'!$C$4:$C$8000,"*"&amp;$B312&amp;"*",'Timesheet Raw'!$L$4:$L$8000,"&gt;="&amp;H$5,'Timesheet Raw'!$L$4:$L$8000,"&lt;="&amp;H$6)))/'Profit Plan'!$B$5)</f>
        <v>0</v>
      </c>
      <c r="I312" s="122">
        <f>IF($A312="","",(IF(ISNUMBER(SEARCH("Proposal",$A312)),SUMIFS('Timesheet Raw'!$P$4:$P$8000,'Timesheet Raw'!$A$4:$A$8000,IF(ISNUMBER(SEARCH("Chargable",$A312)),"2-Proposals Chargeable","3-Proposals Regular"),'Timesheet Raw'!$C$4:$C$8000,"*"&amp;$B312&amp;"*",'Timesheet Raw'!$L$4:$L$8000,"&gt;="&amp;MAX(I$5,DATE(2000+VALUE(RIGHT(TRIM($A312),2)),1,1)),'Timesheet Raw'!$L$4:$L$8000,"&lt;="&amp;MIN(I$6,DATE(2000+VALUE(RIGHT(TRIM($A312),2)),12,31))),SUMIFS('Timesheet Raw'!$P$4:$P$8000,'Timesheet Raw'!$B$4:$B$8000,TRIM($A312),'Timesheet Raw'!$C$4:$C$8000,"*"&amp;$B312&amp;"*",'Timesheet Raw'!$L$4:$L$8000,"&gt;="&amp;I$5,'Timesheet Raw'!$L$4:$L$8000,"&lt;="&amp;I$6)))/'Profit Plan'!$B$5)</f>
        <v>0</v>
      </c>
      <c r="J312" s="122">
        <f>IF($A312="","",(IF(ISNUMBER(SEARCH("Proposal",$A312)),SUMIFS('Timesheet Raw'!$P$4:$P$8000,'Timesheet Raw'!$A$4:$A$8000,IF(ISNUMBER(SEARCH("Chargable",$A312)),"2-Proposals Chargeable","3-Proposals Regular"),'Timesheet Raw'!$C$4:$C$8000,"*"&amp;$B312&amp;"*",'Timesheet Raw'!$L$4:$L$8000,"&gt;="&amp;MAX(J$5,DATE(2000+VALUE(RIGHT(TRIM($A312),2)),1,1)),'Timesheet Raw'!$L$4:$L$8000,"&lt;="&amp;MIN(J$6,DATE(2000+VALUE(RIGHT(TRIM($A312),2)),12,31))),SUMIFS('Timesheet Raw'!$P$4:$P$8000,'Timesheet Raw'!$B$4:$B$8000,TRIM($A312),'Timesheet Raw'!$C$4:$C$8000,"*"&amp;$B312&amp;"*",'Timesheet Raw'!$L$4:$L$8000,"&gt;="&amp;J$5,'Timesheet Raw'!$L$4:$L$8000,"&lt;="&amp;J$6)))/'Profit Plan'!$B$5)</f>
        <v>0</v>
      </c>
      <c r="K312" s="122">
        <f>IF($A312="","",(IF(ISNUMBER(SEARCH("Proposal",$A312)),SUMIFS('Timesheet Raw'!$P$4:$P$8000,'Timesheet Raw'!$A$4:$A$8000,IF(ISNUMBER(SEARCH("Chargable",$A312)),"2-Proposals Chargeable","3-Proposals Regular"),'Timesheet Raw'!$C$4:$C$8000,"*"&amp;$B312&amp;"*",'Timesheet Raw'!$L$4:$L$8000,"&gt;="&amp;MAX(K$5,DATE(2000+VALUE(RIGHT(TRIM($A312),2)),1,1)),'Timesheet Raw'!$L$4:$L$8000,"&lt;="&amp;MIN(K$6,DATE(2000+VALUE(RIGHT(TRIM($A312),2)),12,31))),SUMIFS('Timesheet Raw'!$P$4:$P$8000,'Timesheet Raw'!$B$4:$B$8000,TRIM($A312),'Timesheet Raw'!$C$4:$C$8000,"*"&amp;$B312&amp;"*",'Timesheet Raw'!$L$4:$L$8000,"&gt;="&amp;K$5,'Timesheet Raw'!$L$4:$L$8000,"&lt;="&amp;K$6)))/'Profit Plan'!$B$5)</f>
        <v>0.15405405405405406</v>
      </c>
      <c r="L312" s="122">
        <f>IF($A312="","",(IF(ISNUMBER(SEARCH("Proposal",$A312)),SUMIFS('Timesheet Raw'!$P$4:$P$8000,'Timesheet Raw'!$A$4:$A$8000,IF(ISNUMBER(SEARCH("Chargable",$A312)),"2-Proposals Chargeable","3-Proposals Regular"),'Timesheet Raw'!$C$4:$C$8000,"*"&amp;$B312&amp;"*",'Timesheet Raw'!$L$4:$L$8000,"&gt;="&amp;MAX(L$5,DATE(2000+VALUE(RIGHT(TRIM($A312),2)),1,1)),'Timesheet Raw'!$L$4:$L$8000,"&lt;="&amp;MIN(L$6,DATE(2000+VALUE(RIGHT(TRIM($A312),2)),12,31))),SUMIFS('Timesheet Raw'!$P$4:$P$8000,'Timesheet Raw'!$B$4:$B$8000,TRIM($A312),'Timesheet Raw'!$C$4:$C$8000,"*"&amp;$B312&amp;"*",'Timesheet Raw'!$L$4:$L$8000,"&gt;="&amp;L$5,'Timesheet Raw'!$L$4:$L$8000,"&lt;="&amp;L$6)))/'Profit Plan'!$B$5)</f>
        <v>0</v>
      </c>
      <c r="M312" s="122">
        <f>IF($A312="","",(IF(ISNUMBER(SEARCH("Proposal",$A312)),SUMIFS('Timesheet Raw'!$P$4:$P$8000,'Timesheet Raw'!$A$4:$A$8000,IF(ISNUMBER(SEARCH("Chargable",$A312)),"2-Proposals Chargeable","3-Proposals Regular"),'Timesheet Raw'!$C$4:$C$8000,"*"&amp;$B312&amp;"*",'Timesheet Raw'!$L$4:$L$8000,"&gt;="&amp;MAX(M$5,DATE(2000+VALUE(RIGHT(TRIM($A312),2)),1,1)),'Timesheet Raw'!$L$4:$L$8000,"&lt;="&amp;MIN(M$6,DATE(2000+VALUE(RIGHT(TRIM($A312),2)),12,31))),SUMIFS('Timesheet Raw'!$P$4:$P$8000,'Timesheet Raw'!$B$4:$B$8000,TRIM($A312),'Timesheet Raw'!$C$4:$C$8000,"*"&amp;$B312&amp;"*",'Timesheet Raw'!$L$4:$L$8000,"&gt;="&amp;M$5,'Timesheet Raw'!$L$4:$L$8000,"&lt;="&amp;M$6)))/'Profit Plan'!$B$5)</f>
        <v>0</v>
      </c>
      <c r="N312" s="122">
        <f>IF($A312="","",(IF(ISNUMBER(SEARCH("Proposal",$A312)),SUMIFS('Timesheet Raw'!$P$4:$P$8000,'Timesheet Raw'!$A$4:$A$8000,IF(ISNUMBER(SEARCH("Chargable",$A312)),"2-Proposals Chargeable","3-Proposals Regular"),'Timesheet Raw'!$C$4:$C$8000,"*"&amp;$B312&amp;"*",'Timesheet Raw'!$L$4:$L$8000,"&gt;="&amp;MAX(N$5,DATE(2000+VALUE(RIGHT(TRIM($A312),2)),1,1)),'Timesheet Raw'!$L$4:$L$8000,"&lt;="&amp;MIN(N$6,DATE(2000+VALUE(RIGHT(TRIM($A312),2)),12,31))),SUMIFS('Timesheet Raw'!$P$4:$P$8000,'Timesheet Raw'!$B$4:$B$8000,TRIM($A312),'Timesheet Raw'!$C$4:$C$8000,"*"&amp;$B312&amp;"*",'Timesheet Raw'!$L$4:$L$8000,"&gt;="&amp;N$5,'Timesheet Raw'!$L$4:$L$8000,"&lt;="&amp;N$6)))/'Profit Plan'!$B$5)</f>
        <v>0</v>
      </c>
      <c r="O312" s="122">
        <f>IF($A312="","",(IF(ISNUMBER(SEARCH("Proposal",$A312)),SUMIFS('Timesheet Raw'!$P$4:$P$8000,'Timesheet Raw'!$A$4:$A$8000,IF(ISNUMBER(SEARCH("Chargable",$A312)),"2-Proposals Chargeable","3-Proposals Regular"),'Timesheet Raw'!$C$4:$C$8000,"*"&amp;$B312&amp;"*",'Timesheet Raw'!$L$4:$L$8000,"&gt;="&amp;MAX(O$5,DATE(2000+VALUE(RIGHT(TRIM($A312),2)),1,1)),'Timesheet Raw'!$L$4:$L$8000,"&lt;="&amp;MIN(O$6,DATE(2000+VALUE(RIGHT(TRIM($A312),2)),12,31))),SUMIFS('Timesheet Raw'!$P$4:$P$8000,'Timesheet Raw'!$B$4:$B$8000,TRIM($A312),'Timesheet Raw'!$C$4:$C$8000,"*"&amp;$B312&amp;"*",'Timesheet Raw'!$L$4:$L$8000,"&gt;="&amp;O$5,'Timesheet Raw'!$L$4:$L$8000,"&lt;="&amp;O$6)))/'Profit Plan'!$B$5)</f>
        <v>0</v>
      </c>
      <c r="P312" s="122">
        <f>IF($A312="","",(IF(ISNUMBER(SEARCH("Proposal",$A312)),SUMIFS('Timesheet Raw'!$P$4:$P$8000,'Timesheet Raw'!$A$4:$A$8000,IF(ISNUMBER(SEARCH("Chargable",$A312)),"2-Proposals Chargeable","3-Proposals Regular"),'Timesheet Raw'!$C$4:$C$8000,"*"&amp;$B312&amp;"*",'Timesheet Raw'!$L$4:$L$8000,"&gt;="&amp;MAX(P$5,DATE(2000+VALUE(RIGHT(TRIM($A312),2)),1,1)),'Timesheet Raw'!$L$4:$L$8000,"&lt;="&amp;MIN(P$6,DATE(2000+VALUE(RIGHT(TRIM($A312),2)),12,31))),SUMIFS('Timesheet Raw'!$P$4:$P$8000,'Timesheet Raw'!$B$4:$B$8000,TRIM($A312),'Timesheet Raw'!$C$4:$C$8000,"*"&amp;$B312&amp;"*",'Timesheet Raw'!$L$4:$L$8000,"&gt;="&amp;P$5,'Timesheet Raw'!$L$4:$L$8000,"&lt;="&amp;P$6)))/'Profit Plan'!$B$5)</f>
        <v>0</v>
      </c>
      <c r="Q312" s="122">
        <f>IF($A312="","",(IF(ISNUMBER(SEARCH("Proposal",$A312)),SUMIFS('Timesheet Raw'!$P$4:$P$8000,'Timesheet Raw'!$A$4:$A$8000,IF(ISNUMBER(SEARCH("Chargable",$A312)),"2-Proposals Chargeable","3-Proposals Regular"),'Timesheet Raw'!$C$4:$C$8000,"*"&amp;$B312&amp;"*",'Timesheet Raw'!$L$4:$L$8000,"&gt;="&amp;MAX(Q$5,DATE(2000+VALUE(RIGHT(TRIM($A312),2)),1,1)),'Timesheet Raw'!$L$4:$L$8000,"&lt;="&amp;MIN(Q$6,DATE(2000+VALUE(RIGHT(TRIM($A312),2)),12,31))),SUMIFS('Timesheet Raw'!$P$4:$P$8000,'Timesheet Raw'!$B$4:$B$8000,TRIM($A312),'Timesheet Raw'!$C$4:$C$8000,"*"&amp;$B312&amp;"*",'Timesheet Raw'!$L$4:$L$8000,"&gt;="&amp;Q$5,'Timesheet Raw'!$L$4:$L$8000,"&lt;="&amp;Q$6)))/'Profit Plan'!$B$5)</f>
        <v>0</v>
      </c>
      <c r="R312" s="122">
        <f>IF($A312="","",(IF(ISNUMBER(SEARCH("Proposal",$A312)),SUMIFS('Timesheet Raw'!$P$4:$P$8000,'Timesheet Raw'!$A$4:$A$8000,IF(ISNUMBER(SEARCH("Chargable",$A312)),"2-Proposals Chargeable","3-Proposals Regular"),'Timesheet Raw'!$C$4:$C$8000,"*"&amp;$B312&amp;"*",'Timesheet Raw'!$L$4:$L$8000,"&gt;="&amp;MAX(R$5,DATE(2000+VALUE(RIGHT(TRIM($A312),2)),1,1)),'Timesheet Raw'!$L$4:$L$8000,"&lt;="&amp;MIN(R$6,DATE(2000+VALUE(RIGHT(TRIM($A312),2)),12,31))),SUMIFS('Timesheet Raw'!$P$4:$P$8000,'Timesheet Raw'!$B$4:$B$8000,TRIM($A312),'Timesheet Raw'!$C$4:$C$8000,"*"&amp;$B312&amp;"*",'Timesheet Raw'!$L$4:$L$8000,"&gt;="&amp;R$5,'Timesheet Raw'!$L$4:$L$8000,"&lt;="&amp;R$6)))/'Profit Plan'!$B$5)</f>
        <v>0</v>
      </c>
      <c r="S312" s="122">
        <f>IF($A312="","",(IF(ISNUMBER(SEARCH("Proposal",$A312)),SUMIFS('Timesheet Raw'!$P$4:$P$8000,'Timesheet Raw'!$A$4:$A$8000,IF(ISNUMBER(SEARCH("Chargable",$A312)),"2-Proposals Chargeable","3-Proposals Regular"),'Timesheet Raw'!$C$4:$C$8000,"*"&amp;$B312&amp;"*",'Timesheet Raw'!$L$4:$L$8000,"&gt;="&amp;MAX(S$5,DATE(2000+VALUE(RIGHT(TRIM($A312),2)),1,1)),'Timesheet Raw'!$L$4:$L$8000,"&lt;="&amp;MIN(S$6,DATE(2000+VALUE(RIGHT(TRIM($A312),2)),12,31))),SUMIFS('Timesheet Raw'!$P$4:$P$8000,'Timesheet Raw'!$B$4:$B$8000,TRIM($A312),'Timesheet Raw'!$C$4:$C$8000,"*"&amp;$B312&amp;"*",'Timesheet Raw'!$L$4:$L$8000,"&gt;="&amp;S$5,'Timesheet Raw'!$L$4:$L$8000,"&lt;="&amp;S$6)))/'Profit Plan'!$B$5)</f>
        <v>0</v>
      </c>
      <c r="T312" s="122">
        <f>IF($A312="","",(IF(ISNUMBER(SEARCH("Proposal",$A312)),SUMIFS('Timesheet Raw'!$P$4:$P$8000,'Timesheet Raw'!$A$4:$A$8000,IF(ISNUMBER(SEARCH("Chargable",$A312)),"2-Proposals Chargeable","3-Proposals Regular"),'Timesheet Raw'!$C$4:$C$8000,"*"&amp;$B312&amp;"*",'Timesheet Raw'!$L$4:$L$8000,"&gt;="&amp;MAX(T$5,DATE(2000+VALUE(RIGHT(TRIM($A312),2)),1,1)),'Timesheet Raw'!$L$4:$L$8000,"&lt;="&amp;MIN(T$6,DATE(2000+VALUE(RIGHT(TRIM($A312),2)),12,31))),SUMIFS('Timesheet Raw'!$P$4:$P$8000,'Timesheet Raw'!$B$4:$B$8000,TRIM($A312),'Timesheet Raw'!$C$4:$C$8000,"*"&amp;$B312&amp;"*",'Timesheet Raw'!$L$4:$L$8000,"&gt;="&amp;T$5,'Timesheet Raw'!$L$4:$L$8000,"&lt;="&amp;T$6)))/'Profit Plan'!$B$5)</f>
        <v>0</v>
      </c>
      <c r="U312" s="122">
        <f>IF($A312="","",(IF(ISNUMBER(SEARCH("Proposal",$A312)),SUMIFS('Timesheet Raw'!$P$4:$P$8000,'Timesheet Raw'!$A$4:$A$8000,IF(ISNUMBER(SEARCH("Chargable",$A312)),"2-Proposals Chargeable","3-Proposals Regular"),'Timesheet Raw'!$C$4:$C$8000,"*"&amp;$B312&amp;"*",'Timesheet Raw'!$L$4:$L$8000,"&gt;="&amp;MAX(U$5,DATE(2000+VALUE(RIGHT(TRIM($A312),2)),1,1)),'Timesheet Raw'!$L$4:$L$8000,"&lt;="&amp;MIN(U$6,DATE(2000+VALUE(RIGHT(TRIM($A312),2)),12,31))),SUMIFS('Timesheet Raw'!$P$4:$P$8000,'Timesheet Raw'!$B$4:$B$8000,TRIM($A312),'Timesheet Raw'!$C$4:$C$8000,"*"&amp;$B312&amp;"*",'Timesheet Raw'!$L$4:$L$8000,"&gt;="&amp;U$5,'Timesheet Raw'!$L$4:$L$8000,"&lt;="&amp;U$6)))/'Profit Plan'!$B$5)</f>
        <v>0</v>
      </c>
      <c r="V312" s="122">
        <f>IF($A312="","",(IF(ISNUMBER(SEARCH("Proposal",$A312)),SUMIFS('Timesheet Raw'!$P$4:$P$8000,'Timesheet Raw'!$A$4:$A$8000,IF(ISNUMBER(SEARCH("Chargable",$A312)),"2-Proposals Chargeable","3-Proposals Regular"),'Timesheet Raw'!$C$4:$C$8000,"*"&amp;$B312&amp;"*",'Timesheet Raw'!$L$4:$L$8000,"&gt;="&amp;MAX(V$5,DATE(2000+VALUE(RIGHT(TRIM($A312),2)),1,1)),'Timesheet Raw'!$L$4:$L$8000,"&lt;="&amp;MIN(V$6,DATE(2000+VALUE(RIGHT(TRIM($A312),2)),12,31))),SUMIFS('Timesheet Raw'!$P$4:$P$8000,'Timesheet Raw'!$B$4:$B$8000,TRIM($A312),'Timesheet Raw'!$C$4:$C$8000,"*"&amp;$B312&amp;"*",'Timesheet Raw'!$L$4:$L$8000,"&gt;="&amp;V$5,'Timesheet Raw'!$L$4:$L$8000,"&lt;="&amp;V$6)))/'Profit Plan'!$B$5)</f>
        <v>0</v>
      </c>
      <c r="W312" s="122">
        <f>IF($A312="","",(IF(ISNUMBER(SEARCH("Proposal",$A312)),SUMIFS('Timesheet Raw'!$P$4:$P$8000,'Timesheet Raw'!$A$4:$A$8000,IF(ISNUMBER(SEARCH("Chargable",$A312)),"2-Proposals Chargeable","3-Proposals Regular"),'Timesheet Raw'!$C$4:$C$8000,"*"&amp;$B312&amp;"*",'Timesheet Raw'!$L$4:$L$8000,"&gt;="&amp;MAX(W$5,DATE(2000+VALUE(RIGHT(TRIM($A312),2)),1,1)),'Timesheet Raw'!$L$4:$L$8000,"&lt;="&amp;MIN(W$6,DATE(2000+VALUE(RIGHT(TRIM($A312),2)),12,31))),SUMIFS('Timesheet Raw'!$P$4:$P$8000,'Timesheet Raw'!$B$4:$B$8000,TRIM($A312),'Timesheet Raw'!$C$4:$C$8000,"*"&amp;$B312&amp;"*",'Timesheet Raw'!$L$4:$L$8000,"&gt;="&amp;W$5,'Timesheet Raw'!$L$4:$L$8000,"&lt;="&amp;W$6)))/'Profit Plan'!$B$5)</f>
        <v>0</v>
      </c>
      <c r="X312" s="122">
        <f>IF($A312="","",(IF(ISNUMBER(SEARCH("Proposal",$A312)),SUMIFS('Timesheet Raw'!$P$4:$P$8000,'Timesheet Raw'!$A$4:$A$8000,IF(ISNUMBER(SEARCH("Chargable",$A312)),"2-Proposals Chargeable","3-Proposals Regular"),'Timesheet Raw'!$C$4:$C$8000,"*"&amp;$B312&amp;"*",'Timesheet Raw'!$L$4:$L$8000,"&gt;="&amp;MAX(X$5,DATE(2000+VALUE(RIGHT(TRIM($A312),2)),1,1)),'Timesheet Raw'!$L$4:$L$8000,"&lt;="&amp;MIN(X$6,DATE(2000+VALUE(RIGHT(TRIM($A312),2)),12,31))),SUMIFS('Timesheet Raw'!$P$4:$P$8000,'Timesheet Raw'!$B$4:$B$8000,TRIM($A312),'Timesheet Raw'!$C$4:$C$8000,"*"&amp;$B312&amp;"*",'Timesheet Raw'!$L$4:$L$8000,"&gt;="&amp;X$5,'Timesheet Raw'!$L$4:$L$8000,"&lt;="&amp;X$6)))/'Profit Plan'!$B$5)</f>
        <v>0</v>
      </c>
      <c r="Y312" s="118">
        <f t="shared" si="100"/>
        <v>0.15405405405405406</v>
      </c>
    </row>
    <row r="313" spans="1:25" x14ac:dyDescent="0.3">
      <c r="A313" s="116" t="str">
        <f>IF(Inputs!$A22="","",Inputs!$A22)</f>
        <v>S24014-0103D</v>
      </c>
      <c r="B313" s="116" t="str">
        <f>IF(Inputs!$A22="","",Inputs!$A$91)</f>
        <v>Ahmed</v>
      </c>
      <c r="C313" s="116"/>
      <c r="D313" s="122">
        <f>IF($A313="","",(IF(ISNUMBER(SEARCH("Proposal",$A313)),SUMIFS('Timesheet Raw'!$P$4:$P$8000,'Timesheet Raw'!$A$4:$A$8000,IF(ISNUMBER(SEARCH("Chargable",$A313)),"2-Proposals Chargeable","3-Proposals Regular"),'Timesheet Raw'!$C$4:$C$8000,"*"&amp;$B313&amp;"*",'Timesheet Raw'!$L$4:$L$8000,"&gt;="&amp;MAX(D$5,DATE(2000+VALUE(RIGHT(TRIM($A313),2)),1,1)),'Timesheet Raw'!$L$4:$L$8000,"&lt;="&amp;MIN(D$6,DATE(2000+VALUE(RIGHT(TRIM($A313),2)),12,31))),SUMIFS('Timesheet Raw'!$P$4:$P$8000,'Timesheet Raw'!$B$4:$B$8000,TRIM($A313),'Timesheet Raw'!$C$4:$C$8000,"*"&amp;$B313&amp;"*",'Timesheet Raw'!$L$4:$L$8000,"&gt;="&amp;D$5,'Timesheet Raw'!$L$4:$L$8000,"&lt;="&amp;D$6)))/'Profit Plan'!$B$5)</f>
        <v>0</v>
      </c>
      <c r="E313" s="122">
        <f>IF($A313="","",(IF(ISNUMBER(SEARCH("Proposal",$A313)),SUMIFS('Timesheet Raw'!$P$4:$P$8000,'Timesheet Raw'!$A$4:$A$8000,IF(ISNUMBER(SEARCH("Chargable",$A313)),"2-Proposals Chargeable","3-Proposals Regular"),'Timesheet Raw'!$C$4:$C$8000,"*"&amp;$B313&amp;"*",'Timesheet Raw'!$L$4:$L$8000,"&gt;="&amp;MAX(E$5,DATE(2000+VALUE(RIGHT(TRIM($A313),2)),1,1)),'Timesheet Raw'!$L$4:$L$8000,"&lt;="&amp;MIN(E$6,DATE(2000+VALUE(RIGHT(TRIM($A313),2)),12,31))),SUMIFS('Timesheet Raw'!$P$4:$P$8000,'Timesheet Raw'!$B$4:$B$8000,TRIM($A313),'Timesheet Raw'!$C$4:$C$8000,"*"&amp;$B313&amp;"*",'Timesheet Raw'!$L$4:$L$8000,"&gt;="&amp;E$5,'Timesheet Raw'!$L$4:$L$8000,"&lt;="&amp;E$6)))/'Profit Plan'!$B$5)</f>
        <v>0</v>
      </c>
      <c r="F313" s="122">
        <f>IF($A313="","",(IF(ISNUMBER(SEARCH("Proposal",$A313)),SUMIFS('Timesheet Raw'!$P$4:$P$8000,'Timesheet Raw'!$A$4:$A$8000,IF(ISNUMBER(SEARCH("Chargable",$A313)),"2-Proposals Chargeable","3-Proposals Regular"),'Timesheet Raw'!$C$4:$C$8000,"*"&amp;$B313&amp;"*",'Timesheet Raw'!$L$4:$L$8000,"&gt;="&amp;MAX(F$5,DATE(2000+VALUE(RIGHT(TRIM($A313),2)),1,1)),'Timesheet Raw'!$L$4:$L$8000,"&lt;="&amp;MIN(F$6,DATE(2000+VALUE(RIGHT(TRIM($A313),2)),12,31))),SUMIFS('Timesheet Raw'!$P$4:$P$8000,'Timesheet Raw'!$B$4:$B$8000,TRIM($A313),'Timesheet Raw'!$C$4:$C$8000,"*"&amp;$B313&amp;"*",'Timesheet Raw'!$L$4:$L$8000,"&gt;="&amp;F$5,'Timesheet Raw'!$L$4:$L$8000,"&lt;="&amp;F$6)))/'Profit Plan'!$B$5)</f>
        <v>0</v>
      </c>
      <c r="G313" s="122">
        <f>IF($A313="","",(IF(ISNUMBER(SEARCH("Proposal",$A313)),SUMIFS('Timesheet Raw'!$P$4:$P$8000,'Timesheet Raw'!$A$4:$A$8000,IF(ISNUMBER(SEARCH("Chargable",$A313)),"2-Proposals Chargeable","3-Proposals Regular"),'Timesheet Raw'!$C$4:$C$8000,"*"&amp;$B313&amp;"*",'Timesheet Raw'!$L$4:$L$8000,"&gt;="&amp;MAX(G$5,DATE(2000+VALUE(RIGHT(TRIM($A313),2)),1,1)),'Timesheet Raw'!$L$4:$L$8000,"&lt;="&amp;MIN(G$6,DATE(2000+VALUE(RIGHT(TRIM($A313),2)),12,31))),SUMIFS('Timesheet Raw'!$P$4:$P$8000,'Timesheet Raw'!$B$4:$B$8000,TRIM($A313),'Timesheet Raw'!$C$4:$C$8000,"*"&amp;$B313&amp;"*",'Timesheet Raw'!$L$4:$L$8000,"&gt;="&amp;G$5,'Timesheet Raw'!$L$4:$L$8000,"&lt;="&amp;G$6)))/'Profit Plan'!$B$5)</f>
        <v>0.44189189189189187</v>
      </c>
      <c r="H313" s="122">
        <f>IF($A313="","",(IF(ISNUMBER(SEARCH("Proposal",$A313)),SUMIFS('Timesheet Raw'!$P$4:$P$8000,'Timesheet Raw'!$A$4:$A$8000,IF(ISNUMBER(SEARCH("Chargable",$A313)),"2-Proposals Chargeable","3-Proposals Regular"),'Timesheet Raw'!$C$4:$C$8000,"*"&amp;$B313&amp;"*",'Timesheet Raw'!$L$4:$L$8000,"&gt;="&amp;MAX(H$5,DATE(2000+VALUE(RIGHT(TRIM($A313),2)),1,1)),'Timesheet Raw'!$L$4:$L$8000,"&lt;="&amp;MIN(H$6,DATE(2000+VALUE(RIGHT(TRIM($A313),2)),12,31))),SUMIFS('Timesheet Raw'!$P$4:$P$8000,'Timesheet Raw'!$B$4:$B$8000,TRIM($A313),'Timesheet Raw'!$C$4:$C$8000,"*"&amp;$B313&amp;"*",'Timesheet Raw'!$L$4:$L$8000,"&gt;="&amp;H$5,'Timesheet Raw'!$L$4:$L$8000,"&lt;="&amp;H$6)))/'Profit Plan'!$B$5)</f>
        <v>2.1635135135135135</v>
      </c>
      <c r="I313" s="122">
        <f>IF($A313="","",(IF(ISNUMBER(SEARCH("Proposal",$A313)),SUMIFS('Timesheet Raw'!$P$4:$P$8000,'Timesheet Raw'!$A$4:$A$8000,IF(ISNUMBER(SEARCH("Chargable",$A313)),"2-Proposals Chargeable","3-Proposals Regular"),'Timesheet Raw'!$C$4:$C$8000,"*"&amp;$B313&amp;"*",'Timesheet Raw'!$L$4:$L$8000,"&gt;="&amp;MAX(I$5,DATE(2000+VALUE(RIGHT(TRIM($A313),2)),1,1)),'Timesheet Raw'!$L$4:$L$8000,"&lt;="&amp;MIN(I$6,DATE(2000+VALUE(RIGHT(TRIM($A313),2)),12,31))),SUMIFS('Timesheet Raw'!$P$4:$P$8000,'Timesheet Raw'!$B$4:$B$8000,TRIM($A313),'Timesheet Raw'!$C$4:$C$8000,"*"&amp;$B313&amp;"*",'Timesheet Raw'!$L$4:$L$8000,"&gt;="&amp;I$5,'Timesheet Raw'!$L$4:$L$8000,"&lt;="&amp;I$6)))/'Profit Plan'!$B$5)</f>
        <v>0</v>
      </c>
      <c r="J313" s="122">
        <f>IF($A313="","",(IF(ISNUMBER(SEARCH("Proposal",$A313)),SUMIFS('Timesheet Raw'!$P$4:$P$8000,'Timesheet Raw'!$A$4:$A$8000,IF(ISNUMBER(SEARCH("Chargable",$A313)),"2-Proposals Chargeable","3-Proposals Regular"),'Timesheet Raw'!$C$4:$C$8000,"*"&amp;$B313&amp;"*",'Timesheet Raw'!$L$4:$L$8000,"&gt;="&amp;MAX(J$5,DATE(2000+VALUE(RIGHT(TRIM($A313),2)),1,1)),'Timesheet Raw'!$L$4:$L$8000,"&lt;="&amp;MIN(J$6,DATE(2000+VALUE(RIGHT(TRIM($A313),2)),12,31))),SUMIFS('Timesheet Raw'!$P$4:$P$8000,'Timesheet Raw'!$B$4:$B$8000,TRIM($A313),'Timesheet Raw'!$C$4:$C$8000,"*"&amp;$B313&amp;"*",'Timesheet Raw'!$L$4:$L$8000,"&gt;="&amp;J$5,'Timesheet Raw'!$L$4:$L$8000,"&lt;="&amp;J$6)))/'Profit Plan'!$B$5)</f>
        <v>0</v>
      </c>
      <c r="K313" s="122">
        <f>IF($A313="","",(IF(ISNUMBER(SEARCH("Proposal",$A313)),SUMIFS('Timesheet Raw'!$P$4:$P$8000,'Timesheet Raw'!$A$4:$A$8000,IF(ISNUMBER(SEARCH("Chargable",$A313)),"2-Proposals Chargeable","3-Proposals Regular"),'Timesheet Raw'!$C$4:$C$8000,"*"&amp;$B313&amp;"*",'Timesheet Raw'!$L$4:$L$8000,"&gt;="&amp;MAX(K$5,DATE(2000+VALUE(RIGHT(TRIM($A313),2)),1,1)),'Timesheet Raw'!$L$4:$L$8000,"&lt;="&amp;MIN(K$6,DATE(2000+VALUE(RIGHT(TRIM($A313),2)),12,31))),SUMIFS('Timesheet Raw'!$P$4:$P$8000,'Timesheet Raw'!$B$4:$B$8000,TRIM($A313),'Timesheet Raw'!$C$4:$C$8000,"*"&amp;$B313&amp;"*",'Timesheet Raw'!$L$4:$L$8000,"&gt;="&amp;K$5,'Timesheet Raw'!$L$4:$L$8000,"&lt;="&amp;K$6)))/'Profit Plan'!$B$5)</f>
        <v>0</v>
      </c>
      <c r="L313" s="122">
        <f>IF($A313="","",(IF(ISNUMBER(SEARCH("Proposal",$A313)),SUMIFS('Timesheet Raw'!$P$4:$P$8000,'Timesheet Raw'!$A$4:$A$8000,IF(ISNUMBER(SEARCH("Chargable",$A313)),"2-Proposals Chargeable","3-Proposals Regular"),'Timesheet Raw'!$C$4:$C$8000,"*"&amp;$B313&amp;"*",'Timesheet Raw'!$L$4:$L$8000,"&gt;="&amp;MAX(L$5,DATE(2000+VALUE(RIGHT(TRIM($A313),2)),1,1)),'Timesheet Raw'!$L$4:$L$8000,"&lt;="&amp;MIN(L$6,DATE(2000+VALUE(RIGHT(TRIM($A313),2)),12,31))),SUMIFS('Timesheet Raw'!$P$4:$P$8000,'Timesheet Raw'!$B$4:$B$8000,TRIM($A313),'Timesheet Raw'!$C$4:$C$8000,"*"&amp;$B313&amp;"*",'Timesheet Raw'!$L$4:$L$8000,"&gt;="&amp;L$5,'Timesheet Raw'!$L$4:$L$8000,"&lt;="&amp;L$6)))/'Profit Plan'!$B$5)</f>
        <v>0</v>
      </c>
      <c r="M313" s="122">
        <f>IF($A313="","",(IF(ISNUMBER(SEARCH("Proposal",$A313)),SUMIFS('Timesheet Raw'!$P$4:$P$8000,'Timesheet Raw'!$A$4:$A$8000,IF(ISNUMBER(SEARCH("Chargable",$A313)),"2-Proposals Chargeable","3-Proposals Regular"),'Timesheet Raw'!$C$4:$C$8000,"*"&amp;$B313&amp;"*",'Timesheet Raw'!$L$4:$L$8000,"&gt;="&amp;MAX(M$5,DATE(2000+VALUE(RIGHT(TRIM($A313),2)),1,1)),'Timesheet Raw'!$L$4:$L$8000,"&lt;="&amp;MIN(M$6,DATE(2000+VALUE(RIGHT(TRIM($A313),2)),12,31))),SUMIFS('Timesheet Raw'!$P$4:$P$8000,'Timesheet Raw'!$B$4:$B$8000,TRIM($A313),'Timesheet Raw'!$C$4:$C$8000,"*"&amp;$B313&amp;"*",'Timesheet Raw'!$L$4:$L$8000,"&gt;="&amp;M$5,'Timesheet Raw'!$L$4:$L$8000,"&lt;="&amp;M$6)))/'Profit Plan'!$B$5)</f>
        <v>0</v>
      </c>
      <c r="N313" s="122">
        <f>IF($A313="","",(IF(ISNUMBER(SEARCH("Proposal",$A313)),SUMIFS('Timesheet Raw'!$P$4:$P$8000,'Timesheet Raw'!$A$4:$A$8000,IF(ISNUMBER(SEARCH("Chargable",$A313)),"2-Proposals Chargeable","3-Proposals Regular"),'Timesheet Raw'!$C$4:$C$8000,"*"&amp;$B313&amp;"*",'Timesheet Raw'!$L$4:$L$8000,"&gt;="&amp;MAX(N$5,DATE(2000+VALUE(RIGHT(TRIM($A313),2)),1,1)),'Timesheet Raw'!$L$4:$L$8000,"&lt;="&amp;MIN(N$6,DATE(2000+VALUE(RIGHT(TRIM($A313),2)),12,31))),SUMIFS('Timesheet Raw'!$P$4:$P$8000,'Timesheet Raw'!$B$4:$B$8000,TRIM($A313),'Timesheet Raw'!$C$4:$C$8000,"*"&amp;$B313&amp;"*",'Timesheet Raw'!$L$4:$L$8000,"&gt;="&amp;N$5,'Timesheet Raw'!$L$4:$L$8000,"&lt;="&amp;N$6)))/'Profit Plan'!$B$5)</f>
        <v>0</v>
      </c>
      <c r="O313" s="122">
        <f>IF($A313="","",(IF(ISNUMBER(SEARCH("Proposal",$A313)),SUMIFS('Timesheet Raw'!$P$4:$P$8000,'Timesheet Raw'!$A$4:$A$8000,IF(ISNUMBER(SEARCH("Chargable",$A313)),"2-Proposals Chargeable","3-Proposals Regular"),'Timesheet Raw'!$C$4:$C$8000,"*"&amp;$B313&amp;"*",'Timesheet Raw'!$L$4:$L$8000,"&gt;="&amp;MAX(O$5,DATE(2000+VALUE(RIGHT(TRIM($A313),2)),1,1)),'Timesheet Raw'!$L$4:$L$8000,"&lt;="&amp;MIN(O$6,DATE(2000+VALUE(RIGHT(TRIM($A313),2)),12,31))),SUMIFS('Timesheet Raw'!$P$4:$P$8000,'Timesheet Raw'!$B$4:$B$8000,TRIM($A313),'Timesheet Raw'!$C$4:$C$8000,"*"&amp;$B313&amp;"*",'Timesheet Raw'!$L$4:$L$8000,"&gt;="&amp;O$5,'Timesheet Raw'!$L$4:$L$8000,"&lt;="&amp;O$6)))/'Profit Plan'!$B$5)</f>
        <v>0</v>
      </c>
      <c r="P313" s="122">
        <f>IF($A313="","",(IF(ISNUMBER(SEARCH("Proposal",$A313)),SUMIFS('Timesheet Raw'!$P$4:$P$8000,'Timesheet Raw'!$A$4:$A$8000,IF(ISNUMBER(SEARCH("Chargable",$A313)),"2-Proposals Chargeable","3-Proposals Regular"),'Timesheet Raw'!$C$4:$C$8000,"*"&amp;$B313&amp;"*",'Timesheet Raw'!$L$4:$L$8000,"&gt;="&amp;MAX(P$5,DATE(2000+VALUE(RIGHT(TRIM($A313),2)),1,1)),'Timesheet Raw'!$L$4:$L$8000,"&lt;="&amp;MIN(P$6,DATE(2000+VALUE(RIGHT(TRIM($A313),2)),12,31))),SUMIFS('Timesheet Raw'!$P$4:$P$8000,'Timesheet Raw'!$B$4:$B$8000,TRIM($A313),'Timesheet Raw'!$C$4:$C$8000,"*"&amp;$B313&amp;"*",'Timesheet Raw'!$L$4:$L$8000,"&gt;="&amp;P$5,'Timesheet Raw'!$L$4:$L$8000,"&lt;="&amp;P$6)))/'Profit Plan'!$B$5)</f>
        <v>0</v>
      </c>
      <c r="Q313" s="122">
        <f>IF($A313="","",(IF(ISNUMBER(SEARCH("Proposal",$A313)),SUMIFS('Timesheet Raw'!$P$4:$P$8000,'Timesheet Raw'!$A$4:$A$8000,IF(ISNUMBER(SEARCH("Chargable",$A313)),"2-Proposals Chargeable","3-Proposals Regular"),'Timesheet Raw'!$C$4:$C$8000,"*"&amp;$B313&amp;"*",'Timesheet Raw'!$L$4:$L$8000,"&gt;="&amp;MAX(Q$5,DATE(2000+VALUE(RIGHT(TRIM($A313),2)),1,1)),'Timesheet Raw'!$L$4:$L$8000,"&lt;="&amp;MIN(Q$6,DATE(2000+VALUE(RIGHT(TRIM($A313),2)),12,31))),SUMIFS('Timesheet Raw'!$P$4:$P$8000,'Timesheet Raw'!$B$4:$B$8000,TRIM($A313),'Timesheet Raw'!$C$4:$C$8000,"*"&amp;$B313&amp;"*",'Timesheet Raw'!$L$4:$L$8000,"&gt;="&amp;Q$5,'Timesheet Raw'!$L$4:$L$8000,"&lt;="&amp;Q$6)))/'Profit Plan'!$B$5)</f>
        <v>0</v>
      </c>
      <c r="R313" s="122">
        <f>IF($A313="","",(IF(ISNUMBER(SEARCH("Proposal",$A313)),SUMIFS('Timesheet Raw'!$P$4:$P$8000,'Timesheet Raw'!$A$4:$A$8000,IF(ISNUMBER(SEARCH("Chargable",$A313)),"2-Proposals Chargeable","3-Proposals Regular"),'Timesheet Raw'!$C$4:$C$8000,"*"&amp;$B313&amp;"*",'Timesheet Raw'!$L$4:$L$8000,"&gt;="&amp;MAX(R$5,DATE(2000+VALUE(RIGHT(TRIM($A313),2)),1,1)),'Timesheet Raw'!$L$4:$L$8000,"&lt;="&amp;MIN(R$6,DATE(2000+VALUE(RIGHT(TRIM($A313),2)),12,31))),SUMIFS('Timesheet Raw'!$P$4:$P$8000,'Timesheet Raw'!$B$4:$B$8000,TRIM($A313),'Timesheet Raw'!$C$4:$C$8000,"*"&amp;$B313&amp;"*",'Timesheet Raw'!$L$4:$L$8000,"&gt;="&amp;R$5,'Timesheet Raw'!$L$4:$L$8000,"&lt;="&amp;R$6)))/'Profit Plan'!$B$5)</f>
        <v>0</v>
      </c>
      <c r="S313" s="122">
        <f>IF($A313="","",(IF(ISNUMBER(SEARCH("Proposal",$A313)),SUMIFS('Timesheet Raw'!$P$4:$P$8000,'Timesheet Raw'!$A$4:$A$8000,IF(ISNUMBER(SEARCH("Chargable",$A313)),"2-Proposals Chargeable","3-Proposals Regular"),'Timesheet Raw'!$C$4:$C$8000,"*"&amp;$B313&amp;"*",'Timesheet Raw'!$L$4:$L$8000,"&gt;="&amp;MAX(S$5,DATE(2000+VALUE(RIGHT(TRIM($A313),2)),1,1)),'Timesheet Raw'!$L$4:$L$8000,"&lt;="&amp;MIN(S$6,DATE(2000+VALUE(RIGHT(TRIM($A313),2)),12,31))),SUMIFS('Timesheet Raw'!$P$4:$P$8000,'Timesheet Raw'!$B$4:$B$8000,TRIM($A313),'Timesheet Raw'!$C$4:$C$8000,"*"&amp;$B313&amp;"*",'Timesheet Raw'!$L$4:$L$8000,"&gt;="&amp;S$5,'Timesheet Raw'!$L$4:$L$8000,"&lt;="&amp;S$6)))/'Profit Plan'!$B$5)</f>
        <v>0</v>
      </c>
      <c r="T313" s="122">
        <f>IF($A313="","",(IF(ISNUMBER(SEARCH("Proposal",$A313)),SUMIFS('Timesheet Raw'!$P$4:$P$8000,'Timesheet Raw'!$A$4:$A$8000,IF(ISNUMBER(SEARCH("Chargable",$A313)),"2-Proposals Chargeable","3-Proposals Regular"),'Timesheet Raw'!$C$4:$C$8000,"*"&amp;$B313&amp;"*",'Timesheet Raw'!$L$4:$L$8000,"&gt;="&amp;MAX(T$5,DATE(2000+VALUE(RIGHT(TRIM($A313),2)),1,1)),'Timesheet Raw'!$L$4:$L$8000,"&lt;="&amp;MIN(T$6,DATE(2000+VALUE(RIGHT(TRIM($A313),2)),12,31))),SUMIFS('Timesheet Raw'!$P$4:$P$8000,'Timesheet Raw'!$B$4:$B$8000,TRIM($A313),'Timesheet Raw'!$C$4:$C$8000,"*"&amp;$B313&amp;"*",'Timesheet Raw'!$L$4:$L$8000,"&gt;="&amp;T$5,'Timesheet Raw'!$L$4:$L$8000,"&lt;="&amp;T$6)))/'Profit Plan'!$B$5)</f>
        <v>0</v>
      </c>
      <c r="U313" s="122">
        <f>IF($A313="","",(IF(ISNUMBER(SEARCH("Proposal",$A313)),SUMIFS('Timesheet Raw'!$P$4:$P$8000,'Timesheet Raw'!$A$4:$A$8000,IF(ISNUMBER(SEARCH("Chargable",$A313)),"2-Proposals Chargeable","3-Proposals Regular"),'Timesheet Raw'!$C$4:$C$8000,"*"&amp;$B313&amp;"*",'Timesheet Raw'!$L$4:$L$8000,"&gt;="&amp;MAX(U$5,DATE(2000+VALUE(RIGHT(TRIM($A313),2)),1,1)),'Timesheet Raw'!$L$4:$L$8000,"&lt;="&amp;MIN(U$6,DATE(2000+VALUE(RIGHT(TRIM($A313),2)),12,31))),SUMIFS('Timesheet Raw'!$P$4:$P$8000,'Timesheet Raw'!$B$4:$B$8000,TRIM($A313),'Timesheet Raw'!$C$4:$C$8000,"*"&amp;$B313&amp;"*",'Timesheet Raw'!$L$4:$L$8000,"&gt;="&amp;U$5,'Timesheet Raw'!$L$4:$L$8000,"&lt;="&amp;U$6)))/'Profit Plan'!$B$5)</f>
        <v>0</v>
      </c>
      <c r="V313" s="122">
        <f>IF($A313="","",(IF(ISNUMBER(SEARCH("Proposal",$A313)),SUMIFS('Timesheet Raw'!$P$4:$P$8000,'Timesheet Raw'!$A$4:$A$8000,IF(ISNUMBER(SEARCH("Chargable",$A313)),"2-Proposals Chargeable","3-Proposals Regular"),'Timesheet Raw'!$C$4:$C$8000,"*"&amp;$B313&amp;"*",'Timesheet Raw'!$L$4:$L$8000,"&gt;="&amp;MAX(V$5,DATE(2000+VALUE(RIGHT(TRIM($A313),2)),1,1)),'Timesheet Raw'!$L$4:$L$8000,"&lt;="&amp;MIN(V$6,DATE(2000+VALUE(RIGHT(TRIM($A313),2)),12,31))),SUMIFS('Timesheet Raw'!$P$4:$P$8000,'Timesheet Raw'!$B$4:$B$8000,TRIM($A313),'Timesheet Raw'!$C$4:$C$8000,"*"&amp;$B313&amp;"*",'Timesheet Raw'!$L$4:$L$8000,"&gt;="&amp;V$5,'Timesheet Raw'!$L$4:$L$8000,"&lt;="&amp;V$6)))/'Profit Plan'!$B$5)</f>
        <v>0</v>
      </c>
      <c r="W313" s="122">
        <f>IF($A313="","",(IF(ISNUMBER(SEARCH("Proposal",$A313)),SUMIFS('Timesheet Raw'!$P$4:$P$8000,'Timesheet Raw'!$A$4:$A$8000,IF(ISNUMBER(SEARCH("Chargable",$A313)),"2-Proposals Chargeable","3-Proposals Regular"),'Timesheet Raw'!$C$4:$C$8000,"*"&amp;$B313&amp;"*",'Timesheet Raw'!$L$4:$L$8000,"&gt;="&amp;MAX(W$5,DATE(2000+VALUE(RIGHT(TRIM($A313),2)),1,1)),'Timesheet Raw'!$L$4:$L$8000,"&lt;="&amp;MIN(W$6,DATE(2000+VALUE(RIGHT(TRIM($A313),2)),12,31))),SUMIFS('Timesheet Raw'!$P$4:$P$8000,'Timesheet Raw'!$B$4:$B$8000,TRIM($A313),'Timesheet Raw'!$C$4:$C$8000,"*"&amp;$B313&amp;"*",'Timesheet Raw'!$L$4:$L$8000,"&gt;="&amp;W$5,'Timesheet Raw'!$L$4:$L$8000,"&lt;="&amp;W$6)))/'Profit Plan'!$B$5)</f>
        <v>0</v>
      </c>
      <c r="X313" s="122">
        <f>IF($A313="","",(IF(ISNUMBER(SEARCH("Proposal",$A313)),SUMIFS('Timesheet Raw'!$P$4:$P$8000,'Timesheet Raw'!$A$4:$A$8000,IF(ISNUMBER(SEARCH("Chargable",$A313)),"2-Proposals Chargeable","3-Proposals Regular"),'Timesheet Raw'!$C$4:$C$8000,"*"&amp;$B313&amp;"*",'Timesheet Raw'!$L$4:$L$8000,"&gt;="&amp;MAX(X$5,DATE(2000+VALUE(RIGHT(TRIM($A313),2)),1,1)),'Timesheet Raw'!$L$4:$L$8000,"&lt;="&amp;MIN(X$6,DATE(2000+VALUE(RIGHT(TRIM($A313),2)),12,31))),SUMIFS('Timesheet Raw'!$P$4:$P$8000,'Timesheet Raw'!$B$4:$B$8000,TRIM($A313),'Timesheet Raw'!$C$4:$C$8000,"*"&amp;$B313&amp;"*",'Timesheet Raw'!$L$4:$L$8000,"&gt;="&amp;X$5,'Timesheet Raw'!$L$4:$L$8000,"&lt;="&amp;X$6)))/'Profit Plan'!$B$5)</f>
        <v>0</v>
      </c>
      <c r="Y313" s="118">
        <f t="shared" si="100"/>
        <v>2.6054054054054054</v>
      </c>
    </row>
    <row r="314" spans="1:25" x14ac:dyDescent="0.3">
      <c r="A314" s="116" t="str">
        <f>IF(Inputs!$A22="","",Inputs!$A22)</f>
        <v>S24014-0103D</v>
      </c>
      <c r="B314" s="116" t="str">
        <f>IF(Inputs!$A22="","",Inputs!$A$92)</f>
        <v>Osama</v>
      </c>
      <c r="C314" s="116"/>
      <c r="D314" s="122">
        <f>IF($A314="","",(IF(ISNUMBER(SEARCH("Proposal",$A314)),SUMIFS('Timesheet Raw'!$P$4:$P$8000,'Timesheet Raw'!$A$4:$A$8000,IF(ISNUMBER(SEARCH("Chargable",$A314)),"2-Proposals Chargeable","3-Proposals Regular"),'Timesheet Raw'!$C$4:$C$8000,"*"&amp;$B314&amp;"*",'Timesheet Raw'!$L$4:$L$8000,"&gt;="&amp;MAX(D$5,DATE(2000+VALUE(RIGHT(TRIM($A314),2)),1,1)),'Timesheet Raw'!$L$4:$L$8000,"&lt;="&amp;MIN(D$6,DATE(2000+VALUE(RIGHT(TRIM($A314),2)),12,31))),SUMIFS('Timesheet Raw'!$P$4:$P$8000,'Timesheet Raw'!$B$4:$B$8000,TRIM($A314),'Timesheet Raw'!$C$4:$C$8000,"*"&amp;$B314&amp;"*",'Timesheet Raw'!$L$4:$L$8000,"&gt;="&amp;D$5,'Timesheet Raw'!$L$4:$L$8000,"&lt;="&amp;D$6)))/'Profit Plan'!$B$5)</f>
        <v>0</v>
      </c>
      <c r="E314" s="122">
        <f>IF($A314="","",(IF(ISNUMBER(SEARCH("Proposal",$A314)),SUMIFS('Timesheet Raw'!$P$4:$P$8000,'Timesheet Raw'!$A$4:$A$8000,IF(ISNUMBER(SEARCH("Chargable",$A314)),"2-Proposals Chargeable","3-Proposals Regular"),'Timesheet Raw'!$C$4:$C$8000,"*"&amp;$B314&amp;"*",'Timesheet Raw'!$L$4:$L$8000,"&gt;="&amp;MAX(E$5,DATE(2000+VALUE(RIGHT(TRIM($A314),2)),1,1)),'Timesheet Raw'!$L$4:$L$8000,"&lt;="&amp;MIN(E$6,DATE(2000+VALUE(RIGHT(TRIM($A314),2)),12,31))),SUMIFS('Timesheet Raw'!$P$4:$P$8000,'Timesheet Raw'!$B$4:$B$8000,TRIM($A314),'Timesheet Raw'!$C$4:$C$8000,"*"&amp;$B314&amp;"*",'Timesheet Raw'!$L$4:$L$8000,"&gt;="&amp;E$5,'Timesheet Raw'!$L$4:$L$8000,"&lt;="&amp;E$6)))/'Profit Plan'!$B$5)</f>
        <v>0</v>
      </c>
      <c r="F314" s="122">
        <f>IF($A314="","",(IF(ISNUMBER(SEARCH("Proposal",$A314)),SUMIFS('Timesheet Raw'!$P$4:$P$8000,'Timesheet Raw'!$A$4:$A$8000,IF(ISNUMBER(SEARCH("Chargable",$A314)),"2-Proposals Chargeable","3-Proposals Regular"),'Timesheet Raw'!$C$4:$C$8000,"*"&amp;$B314&amp;"*",'Timesheet Raw'!$L$4:$L$8000,"&gt;="&amp;MAX(F$5,DATE(2000+VALUE(RIGHT(TRIM($A314),2)),1,1)),'Timesheet Raw'!$L$4:$L$8000,"&lt;="&amp;MIN(F$6,DATE(2000+VALUE(RIGHT(TRIM($A314),2)),12,31))),SUMIFS('Timesheet Raw'!$P$4:$P$8000,'Timesheet Raw'!$B$4:$B$8000,TRIM($A314),'Timesheet Raw'!$C$4:$C$8000,"*"&amp;$B314&amp;"*",'Timesheet Raw'!$L$4:$L$8000,"&gt;="&amp;F$5,'Timesheet Raw'!$L$4:$L$8000,"&lt;="&amp;F$6)))/'Profit Plan'!$B$5)</f>
        <v>0</v>
      </c>
      <c r="G314" s="122">
        <f>IF($A314="","",(IF(ISNUMBER(SEARCH("Proposal",$A314)),SUMIFS('Timesheet Raw'!$P$4:$P$8000,'Timesheet Raw'!$A$4:$A$8000,IF(ISNUMBER(SEARCH("Chargable",$A314)),"2-Proposals Chargeable","3-Proposals Regular"),'Timesheet Raw'!$C$4:$C$8000,"*"&amp;$B314&amp;"*",'Timesheet Raw'!$L$4:$L$8000,"&gt;="&amp;MAX(G$5,DATE(2000+VALUE(RIGHT(TRIM($A314),2)),1,1)),'Timesheet Raw'!$L$4:$L$8000,"&lt;="&amp;MIN(G$6,DATE(2000+VALUE(RIGHT(TRIM($A314),2)),12,31))),SUMIFS('Timesheet Raw'!$P$4:$P$8000,'Timesheet Raw'!$B$4:$B$8000,TRIM($A314),'Timesheet Raw'!$C$4:$C$8000,"*"&amp;$B314&amp;"*",'Timesheet Raw'!$L$4:$L$8000,"&gt;="&amp;G$5,'Timesheet Raw'!$L$4:$L$8000,"&lt;="&amp;G$6)))/'Profit Plan'!$B$5)</f>
        <v>0</v>
      </c>
      <c r="H314" s="122">
        <f>IF($A314="","",(IF(ISNUMBER(SEARCH("Proposal",$A314)),SUMIFS('Timesheet Raw'!$P$4:$P$8000,'Timesheet Raw'!$A$4:$A$8000,IF(ISNUMBER(SEARCH("Chargable",$A314)),"2-Proposals Chargeable","3-Proposals Regular"),'Timesheet Raw'!$C$4:$C$8000,"*"&amp;$B314&amp;"*",'Timesheet Raw'!$L$4:$L$8000,"&gt;="&amp;MAX(H$5,DATE(2000+VALUE(RIGHT(TRIM($A314),2)),1,1)),'Timesheet Raw'!$L$4:$L$8000,"&lt;="&amp;MIN(H$6,DATE(2000+VALUE(RIGHT(TRIM($A314),2)),12,31))),SUMIFS('Timesheet Raw'!$P$4:$P$8000,'Timesheet Raw'!$B$4:$B$8000,TRIM($A314),'Timesheet Raw'!$C$4:$C$8000,"*"&amp;$B314&amp;"*",'Timesheet Raw'!$L$4:$L$8000,"&gt;="&amp;H$5,'Timesheet Raw'!$L$4:$L$8000,"&lt;="&amp;H$6)))/'Profit Plan'!$B$5)</f>
        <v>1.7445945945945946</v>
      </c>
      <c r="I314" s="122">
        <f>IF($A314="","",(IF(ISNUMBER(SEARCH("Proposal",$A314)),SUMIFS('Timesheet Raw'!$P$4:$P$8000,'Timesheet Raw'!$A$4:$A$8000,IF(ISNUMBER(SEARCH("Chargable",$A314)),"2-Proposals Chargeable","3-Proposals Regular"),'Timesheet Raw'!$C$4:$C$8000,"*"&amp;$B314&amp;"*",'Timesheet Raw'!$L$4:$L$8000,"&gt;="&amp;MAX(I$5,DATE(2000+VALUE(RIGHT(TRIM($A314),2)),1,1)),'Timesheet Raw'!$L$4:$L$8000,"&lt;="&amp;MIN(I$6,DATE(2000+VALUE(RIGHT(TRIM($A314),2)),12,31))),SUMIFS('Timesheet Raw'!$P$4:$P$8000,'Timesheet Raw'!$B$4:$B$8000,TRIM($A314),'Timesheet Raw'!$C$4:$C$8000,"*"&amp;$B314&amp;"*",'Timesheet Raw'!$L$4:$L$8000,"&gt;="&amp;I$5,'Timesheet Raw'!$L$4:$L$8000,"&lt;="&amp;I$6)))/'Profit Plan'!$B$5)</f>
        <v>0</v>
      </c>
      <c r="J314" s="122">
        <f>IF($A314="","",(IF(ISNUMBER(SEARCH("Proposal",$A314)),SUMIFS('Timesheet Raw'!$P$4:$P$8000,'Timesheet Raw'!$A$4:$A$8000,IF(ISNUMBER(SEARCH("Chargable",$A314)),"2-Proposals Chargeable","3-Proposals Regular"),'Timesheet Raw'!$C$4:$C$8000,"*"&amp;$B314&amp;"*",'Timesheet Raw'!$L$4:$L$8000,"&gt;="&amp;MAX(J$5,DATE(2000+VALUE(RIGHT(TRIM($A314),2)),1,1)),'Timesheet Raw'!$L$4:$L$8000,"&lt;="&amp;MIN(J$6,DATE(2000+VALUE(RIGHT(TRIM($A314),2)),12,31))),SUMIFS('Timesheet Raw'!$P$4:$P$8000,'Timesheet Raw'!$B$4:$B$8000,TRIM($A314),'Timesheet Raw'!$C$4:$C$8000,"*"&amp;$B314&amp;"*",'Timesheet Raw'!$L$4:$L$8000,"&gt;="&amp;J$5,'Timesheet Raw'!$L$4:$L$8000,"&lt;="&amp;J$6)))/'Profit Plan'!$B$5)</f>
        <v>0</v>
      </c>
      <c r="K314" s="122">
        <f>IF($A314="","",(IF(ISNUMBER(SEARCH("Proposal",$A314)),SUMIFS('Timesheet Raw'!$P$4:$P$8000,'Timesheet Raw'!$A$4:$A$8000,IF(ISNUMBER(SEARCH("Chargable",$A314)),"2-Proposals Chargeable","3-Proposals Regular"),'Timesheet Raw'!$C$4:$C$8000,"*"&amp;$B314&amp;"*",'Timesheet Raw'!$L$4:$L$8000,"&gt;="&amp;MAX(K$5,DATE(2000+VALUE(RIGHT(TRIM($A314),2)),1,1)),'Timesheet Raw'!$L$4:$L$8000,"&lt;="&amp;MIN(K$6,DATE(2000+VALUE(RIGHT(TRIM($A314),2)),12,31))),SUMIFS('Timesheet Raw'!$P$4:$P$8000,'Timesheet Raw'!$B$4:$B$8000,TRIM($A314),'Timesheet Raw'!$C$4:$C$8000,"*"&amp;$B314&amp;"*",'Timesheet Raw'!$L$4:$L$8000,"&gt;="&amp;K$5,'Timesheet Raw'!$L$4:$L$8000,"&lt;="&amp;K$6)))/'Profit Plan'!$B$5)</f>
        <v>0</v>
      </c>
      <c r="L314" s="122">
        <f>IF($A314="","",(IF(ISNUMBER(SEARCH("Proposal",$A314)),SUMIFS('Timesheet Raw'!$P$4:$P$8000,'Timesheet Raw'!$A$4:$A$8000,IF(ISNUMBER(SEARCH("Chargable",$A314)),"2-Proposals Chargeable","3-Proposals Regular"),'Timesheet Raw'!$C$4:$C$8000,"*"&amp;$B314&amp;"*",'Timesheet Raw'!$L$4:$L$8000,"&gt;="&amp;MAX(L$5,DATE(2000+VALUE(RIGHT(TRIM($A314),2)),1,1)),'Timesheet Raw'!$L$4:$L$8000,"&lt;="&amp;MIN(L$6,DATE(2000+VALUE(RIGHT(TRIM($A314),2)),12,31))),SUMIFS('Timesheet Raw'!$P$4:$P$8000,'Timesheet Raw'!$B$4:$B$8000,TRIM($A314),'Timesheet Raw'!$C$4:$C$8000,"*"&amp;$B314&amp;"*",'Timesheet Raw'!$L$4:$L$8000,"&gt;="&amp;L$5,'Timesheet Raw'!$L$4:$L$8000,"&lt;="&amp;L$6)))/'Profit Plan'!$B$5)</f>
        <v>0</v>
      </c>
      <c r="M314" s="122">
        <f>IF($A314="","",(IF(ISNUMBER(SEARCH("Proposal",$A314)),SUMIFS('Timesheet Raw'!$P$4:$P$8000,'Timesheet Raw'!$A$4:$A$8000,IF(ISNUMBER(SEARCH("Chargable",$A314)),"2-Proposals Chargeable","3-Proposals Regular"),'Timesheet Raw'!$C$4:$C$8000,"*"&amp;$B314&amp;"*",'Timesheet Raw'!$L$4:$L$8000,"&gt;="&amp;MAX(M$5,DATE(2000+VALUE(RIGHT(TRIM($A314),2)),1,1)),'Timesheet Raw'!$L$4:$L$8000,"&lt;="&amp;MIN(M$6,DATE(2000+VALUE(RIGHT(TRIM($A314),2)),12,31))),SUMIFS('Timesheet Raw'!$P$4:$P$8000,'Timesheet Raw'!$B$4:$B$8000,TRIM($A314),'Timesheet Raw'!$C$4:$C$8000,"*"&amp;$B314&amp;"*",'Timesheet Raw'!$L$4:$L$8000,"&gt;="&amp;M$5,'Timesheet Raw'!$L$4:$L$8000,"&lt;="&amp;M$6)))/'Profit Plan'!$B$5)</f>
        <v>0</v>
      </c>
      <c r="N314" s="122">
        <f>IF($A314="","",(IF(ISNUMBER(SEARCH("Proposal",$A314)),SUMIFS('Timesheet Raw'!$P$4:$P$8000,'Timesheet Raw'!$A$4:$A$8000,IF(ISNUMBER(SEARCH("Chargable",$A314)),"2-Proposals Chargeable","3-Proposals Regular"),'Timesheet Raw'!$C$4:$C$8000,"*"&amp;$B314&amp;"*",'Timesheet Raw'!$L$4:$L$8000,"&gt;="&amp;MAX(N$5,DATE(2000+VALUE(RIGHT(TRIM($A314),2)),1,1)),'Timesheet Raw'!$L$4:$L$8000,"&lt;="&amp;MIN(N$6,DATE(2000+VALUE(RIGHT(TRIM($A314),2)),12,31))),SUMIFS('Timesheet Raw'!$P$4:$P$8000,'Timesheet Raw'!$B$4:$B$8000,TRIM($A314),'Timesheet Raw'!$C$4:$C$8000,"*"&amp;$B314&amp;"*",'Timesheet Raw'!$L$4:$L$8000,"&gt;="&amp;N$5,'Timesheet Raw'!$L$4:$L$8000,"&lt;="&amp;N$6)))/'Profit Plan'!$B$5)</f>
        <v>0</v>
      </c>
      <c r="O314" s="122">
        <f>IF($A314="","",(IF(ISNUMBER(SEARCH("Proposal",$A314)),SUMIFS('Timesheet Raw'!$P$4:$P$8000,'Timesheet Raw'!$A$4:$A$8000,IF(ISNUMBER(SEARCH("Chargable",$A314)),"2-Proposals Chargeable","3-Proposals Regular"),'Timesheet Raw'!$C$4:$C$8000,"*"&amp;$B314&amp;"*",'Timesheet Raw'!$L$4:$L$8000,"&gt;="&amp;MAX(O$5,DATE(2000+VALUE(RIGHT(TRIM($A314),2)),1,1)),'Timesheet Raw'!$L$4:$L$8000,"&lt;="&amp;MIN(O$6,DATE(2000+VALUE(RIGHT(TRIM($A314),2)),12,31))),SUMIFS('Timesheet Raw'!$P$4:$P$8000,'Timesheet Raw'!$B$4:$B$8000,TRIM($A314),'Timesheet Raw'!$C$4:$C$8000,"*"&amp;$B314&amp;"*",'Timesheet Raw'!$L$4:$L$8000,"&gt;="&amp;O$5,'Timesheet Raw'!$L$4:$L$8000,"&lt;="&amp;O$6)))/'Profit Plan'!$B$5)</f>
        <v>0</v>
      </c>
      <c r="P314" s="122">
        <f>IF($A314="","",(IF(ISNUMBER(SEARCH("Proposal",$A314)),SUMIFS('Timesheet Raw'!$P$4:$P$8000,'Timesheet Raw'!$A$4:$A$8000,IF(ISNUMBER(SEARCH("Chargable",$A314)),"2-Proposals Chargeable","3-Proposals Regular"),'Timesheet Raw'!$C$4:$C$8000,"*"&amp;$B314&amp;"*",'Timesheet Raw'!$L$4:$L$8000,"&gt;="&amp;MAX(P$5,DATE(2000+VALUE(RIGHT(TRIM($A314),2)),1,1)),'Timesheet Raw'!$L$4:$L$8000,"&lt;="&amp;MIN(P$6,DATE(2000+VALUE(RIGHT(TRIM($A314),2)),12,31))),SUMIFS('Timesheet Raw'!$P$4:$P$8000,'Timesheet Raw'!$B$4:$B$8000,TRIM($A314),'Timesheet Raw'!$C$4:$C$8000,"*"&amp;$B314&amp;"*",'Timesheet Raw'!$L$4:$L$8000,"&gt;="&amp;P$5,'Timesheet Raw'!$L$4:$L$8000,"&lt;="&amp;P$6)))/'Profit Plan'!$B$5)</f>
        <v>0</v>
      </c>
      <c r="Q314" s="122">
        <f>IF($A314="","",(IF(ISNUMBER(SEARCH("Proposal",$A314)),SUMIFS('Timesheet Raw'!$P$4:$P$8000,'Timesheet Raw'!$A$4:$A$8000,IF(ISNUMBER(SEARCH("Chargable",$A314)),"2-Proposals Chargeable","3-Proposals Regular"),'Timesheet Raw'!$C$4:$C$8000,"*"&amp;$B314&amp;"*",'Timesheet Raw'!$L$4:$L$8000,"&gt;="&amp;MAX(Q$5,DATE(2000+VALUE(RIGHT(TRIM($A314),2)),1,1)),'Timesheet Raw'!$L$4:$L$8000,"&lt;="&amp;MIN(Q$6,DATE(2000+VALUE(RIGHT(TRIM($A314),2)),12,31))),SUMIFS('Timesheet Raw'!$P$4:$P$8000,'Timesheet Raw'!$B$4:$B$8000,TRIM($A314),'Timesheet Raw'!$C$4:$C$8000,"*"&amp;$B314&amp;"*",'Timesheet Raw'!$L$4:$L$8000,"&gt;="&amp;Q$5,'Timesheet Raw'!$L$4:$L$8000,"&lt;="&amp;Q$6)))/'Profit Plan'!$B$5)</f>
        <v>0</v>
      </c>
      <c r="R314" s="122">
        <f>IF($A314="","",(IF(ISNUMBER(SEARCH("Proposal",$A314)),SUMIFS('Timesheet Raw'!$P$4:$P$8000,'Timesheet Raw'!$A$4:$A$8000,IF(ISNUMBER(SEARCH("Chargable",$A314)),"2-Proposals Chargeable","3-Proposals Regular"),'Timesheet Raw'!$C$4:$C$8000,"*"&amp;$B314&amp;"*",'Timesheet Raw'!$L$4:$L$8000,"&gt;="&amp;MAX(R$5,DATE(2000+VALUE(RIGHT(TRIM($A314),2)),1,1)),'Timesheet Raw'!$L$4:$L$8000,"&lt;="&amp;MIN(R$6,DATE(2000+VALUE(RIGHT(TRIM($A314),2)),12,31))),SUMIFS('Timesheet Raw'!$P$4:$P$8000,'Timesheet Raw'!$B$4:$B$8000,TRIM($A314),'Timesheet Raw'!$C$4:$C$8000,"*"&amp;$B314&amp;"*",'Timesheet Raw'!$L$4:$L$8000,"&gt;="&amp;R$5,'Timesheet Raw'!$L$4:$L$8000,"&lt;="&amp;R$6)))/'Profit Plan'!$B$5)</f>
        <v>0</v>
      </c>
      <c r="S314" s="122">
        <f>IF($A314="","",(IF(ISNUMBER(SEARCH("Proposal",$A314)),SUMIFS('Timesheet Raw'!$P$4:$P$8000,'Timesheet Raw'!$A$4:$A$8000,IF(ISNUMBER(SEARCH("Chargable",$A314)),"2-Proposals Chargeable","3-Proposals Regular"),'Timesheet Raw'!$C$4:$C$8000,"*"&amp;$B314&amp;"*",'Timesheet Raw'!$L$4:$L$8000,"&gt;="&amp;MAX(S$5,DATE(2000+VALUE(RIGHT(TRIM($A314),2)),1,1)),'Timesheet Raw'!$L$4:$L$8000,"&lt;="&amp;MIN(S$6,DATE(2000+VALUE(RIGHT(TRIM($A314),2)),12,31))),SUMIFS('Timesheet Raw'!$P$4:$P$8000,'Timesheet Raw'!$B$4:$B$8000,TRIM($A314),'Timesheet Raw'!$C$4:$C$8000,"*"&amp;$B314&amp;"*",'Timesheet Raw'!$L$4:$L$8000,"&gt;="&amp;S$5,'Timesheet Raw'!$L$4:$L$8000,"&lt;="&amp;S$6)))/'Profit Plan'!$B$5)</f>
        <v>0</v>
      </c>
      <c r="T314" s="122">
        <f>IF($A314="","",(IF(ISNUMBER(SEARCH("Proposal",$A314)),SUMIFS('Timesheet Raw'!$P$4:$P$8000,'Timesheet Raw'!$A$4:$A$8000,IF(ISNUMBER(SEARCH("Chargable",$A314)),"2-Proposals Chargeable","3-Proposals Regular"),'Timesheet Raw'!$C$4:$C$8000,"*"&amp;$B314&amp;"*",'Timesheet Raw'!$L$4:$L$8000,"&gt;="&amp;MAX(T$5,DATE(2000+VALUE(RIGHT(TRIM($A314),2)),1,1)),'Timesheet Raw'!$L$4:$L$8000,"&lt;="&amp;MIN(T$6,DATE(2000+VALUE(RIGHT(TRIM($A314),2)),12,31))),SUMIFS('Timesheet Raw'!$P$4:$P$8000,'Timesheet Raw'!$B$4:$B$8000,TRIM($A314),'Timesheet Raw'!$C$4:$C$8000,"*"&amp;$B314&amp;"*",'Timesheet Raw'!$L$4:$L$8000,"&gt;="&amp;T$5,'Timesheet Raw'!$L$4:$L$8000,"&lt;="&amp;T$6)))/'Profit Plan'!$B$5)</f>
        <v>0</v>
      </c>
      <c r="U314" s="122">
        <f>IF($A314="","",(IF(ISNUMBER(SEARCH("Proposal",$A314)),SUMIFS('Timesheet Raw'!$P$4:$P$8000,'Timesheet Raw'!$A$4:$A$8000,IF(ISNUMBER(SEARCH("Chargable",$A314)),"2-Proposals Chargeable","3-Proposals Regular"),'Timesheet Raw'!$C$4:$C$8000,"*"&amp;$B314&amp;"*",'Timesheet Raw'!$L$4:$L$8000,"&gt;="&amp;MAX(U$5,DATE(2000+VALUE(RIGHT(TRIM($A314),2)),1,1)),'Timesheet Raw'!$L$4:$L$8000,"&lt;="&amp;MIN(U$6,DATE(2000+VALUE(RIGHT(TRIM($A314),2)),12,31))),SUMIFS('Timesheet Raw'!$P$4:$P$8000,'Timesheet Raw'!$B$4:$B$8000,TRIM($A314),'Timesheet Raw'!$C$4:$C$8000,"*"&amp;$B314&amp;"*",'Timesheet Raw'!$L$4:$L$8000,"&gt;="&amp;U$5,'Timesheet Raw'!$L$4:$L$8000,"&lt;="&amp;U$6)))/'Profit Plan'!$B$5)</f>
        <v>0</v>
      </c>
      <c r="V314" s="122">
        <f>IF($A314="","",(IF(ISNUMBER(SEARCH("Proposal",$A314)),SUMIFS('Timesheet Raw'!$P$4:$P$8000,'Timesheet Raw'!$A$4:$A$8000,IF(ISNUMBER(SEARCH("Chargable",$A314)),"2-Proposals Chargeable","3-Proposals Regular"),'Timesheet Raw'!$C$4:$C$8000,"*"&amp;$B314&amp;"*",'Timesheet Raw'!$L$4:$L$8000,"&gt;="&amp;MAX(V$5,DATE(2000+VALUE(RIGHT(TRIM($A314),2)),1,1)),'Timesheet Raw'!$L$4:$L$8000,"&lt;="&amp;MIN(V$6,DATE(2000+VALUE(RIGHT(TRIM($A314),2)),12,31))),SUMIFS('Timesheet Raw'!$P$4:$P$8000,'Timesheet Raw'!$B$4:$B$8000,TRIM($A314),'Timesheet Raw'!$C$4:$C$8000,"*"&amp;$B314&amp;"*",'Timesheet Raw'!$L$4:$L$8000,"&gt;="&amp;V$5,'Timesheet Raw'!$L$4:$L$8000,"&lt;="&amp;V$6)))/'Profit Plan'!$B$5)</f>
        <v>0</v>
      </c>
      <c r="W314" s="122">
        <f>IF($A314="","",(IF(ISNUMBER(SEARCH("Proposal",$A314)),SUMIFS('Timesheet Raw'!$P$4:$P$8000,'Timesheet Raw'!$A$4:$A$8000,IF(ISNUMBER(SEARCH("Chargable",$A314)),"2-Proposals Chargeable","3-Proposals Regular"),'Timesheet Raw'!$C$4:$C$8000,"*"&amp;$B314&amp;"*",'Timesheet Raw'!$L$4:$L$8000,"&gt;="&amp;MAX(W$5,DATE(2000+VALUE(RIGHT(TRIM($A314),2)),1,1)),'Timesheet Raw'!$L$4:$L$8000,"&lt;="&amp;MIN(W$6,DATE(2000+VALUE(RIGHT(TRIM($A314),2)),12,31))),SUMIFS('Timesheet Raw'!$P$4:$P$8000,'Timesheet Raw'!$B$4:$B$8000,TRIM($A314),'Timesheet Raw'!$C$4:$C$8000,"*"&amp;$B314&amp;"*",'Timesheet Raw'!$L$4:$L$8000,"&gt;="&amp;W$5,'Timesheet Raw'!$L$4:$L$8000,"&lt;="&amp;W$6)))/'Profit Plan'!$B$5)</f>
        <v>0</v>
      </c>
      <c r="X314" s="122">
        <f>IF($A314="","",(IF(ISNUMBER(SEARCH("Proposal",$A314)),SUMIFS('Timesheet Raw'!$P$4:$P$8000,'Timesheet Raw'!$A$4:$A$8000,IF(ISNUMBER(SEARCH("Chargable",$A314)),"2-Proposals Chargeable","3-Proposals Regular"),'Timesheet Raw'!$C$4:$C$8000,"*"&amp;$B314&amp;"*",'Timesheet Raw'!$L$4:$L$8000,"&gt;="&amp;MAX(X$5,DATE(2000+VALUE(RIGHT(TRIM($A314),2)),1,1)),'Timesheet Raw'!$L$4:$L$8000,"&lt;="&amp;MIN(X$6,DATE(2000+VALUE(RIGHT(TRIM($A314),2)),12,31))),SUMIFS('Timesheet Raw'!$P$4:$P$8000,'Timesheet Raw'!$B$4:$B$8000,TRIM($A314),'Timesheet Raw'!$C$4:$C$8000,"*"&amp;$B314&amp;"*",'Timesheet Raw'!$L$4:$L$8000,"&gt;="&amp;X$5,'Timesheet Raw'!$L$4:$L$8000,"&lt;="&amp;X$6)))/'Profit Plan'!$B$5)</f>
        <v>0</v>
      </c>
      <c r="Y314" s="118">
        <f t="shared" si="100"/>
        <v>1.7445945945945946</v>
      </c>
    </row>
    <row r="315" spans="1:25" x14ac:dyDescent="0.3">
      <c r="A315" s="116" t="str">
        <f>IF(Inputs!$A22="","",Inputs!$A22)</f>
        <v>S24014-0103D</v>
      </c>
      <c r="B315" s="116" t="str">
        <f>IF(Inputs!$A22="","",Inputs!$A$93)</f>
        <v>Kirolos</v>
      </c>
      <c r="C315" s="116"/>
      <c r="D315" s="122">
        <f>IF($A315="","",(IF(ISNUMBER(SEARCH("Proposal",$A315)),SUMIFS('Timesheet Raw'!$P$4:$P$8000,'Timesheet Raw'!$A$4:$A$8000,IF(ISNUMBER(SEARCH("Chargable",$A315)),"2-Proposals Chargeable","3-Proposals Regular"),'Timesheet Raw'!$C$4:$C$8000,"*"&amp;$B315&amp;"*",'Timesheet Raw'!$L$4:$L$8000,"&gt;="&amp;MAX(D$5,DATE(2000+VALUE(RIGHT(TRIM($A315),2)),1,1)),'Timesheet Raw'!$L$4:$L$8000,"&lt;="&amp;MIN(D$6,DATE(2000+VALUE(RIGHT(TRIM($A315),2)),12,31))),SUMIFS('Timesheet Raw'!$P$4:$P$8000,'Timesheet Raw'!$B$4:$B$8000,TRIM($A315),'Timesheet Raw'!$C$4:$C$8000,"*"&amp;$B315&amp;"*",'Timesheet Raw'!$L$4:$L$8000,"&gt;="&amp;D$5,'Timesheet Raw'!$L$4:$L$8000,"&lt;="&amp;D$6)))/'Profit Plan'!$B$5)</f>
        <v>0</v>
      </c>
      <c r="E315" s="122">
        <f>IF($A315="","",(IF(ISNUMBER(SEARCH("Proposal",$A315)),SUMIFS('Timesheet Raw'!$P$4:$P$8000,'Timesheet Raw'!$A$4:$A$8000,IF(ISNUMBER(SEARCH("Chargable",$A315)),"2-Proposals Chargeable","3-Proposals Regular"),'Timesheet Raw'!$C$4:$C$8000,"*"&amp;$B315&amp;"*",'Timesheet Raw'!$L$4:$L$8000,"&gt;="&amp;MAX(E$5,DATE(2000+VALUE(RIGHT(TRIM($A315),2)),1,1)),'Timesheet Raw'!$L$4:$L$8000,"&lt;="&amp;MIN(E$6,DATE(2000+VALUE(RIGHT(TRIM($A315),2)),12,31))),SUMIFS('Timesheet Raw'!$P$4:$P$8000,'Timesheet Raw'!$B$4:$B$8000,TRIM($A315),'Timesheet Raw'!$C$4:$C$8000,"*"&amp;$B315&amp;"*",'Timesheet Raw'!$L$4:$L$8000,"&gt;="&amp;E$5,'Timesheet Raw'!$L$4:$L$8000,"&lt;="&amp;E$6)))/'Profit Plan'!$B$5)</f>
        <v>0</v>
      </c>
      <c r="F315" s="122">
        <f>IF($A315="","",(IF(ISNUMBER(SEARCH("Proposal",$A315)),SUMIFS('Timesheet Raw'!$P$4:$P$8000,'Timesheet Raw'!$A$4:$A$8000,IF(ISNUMBER(SEARCH("Chargable",$A315)),"2-Proposals Chargeable","3-Proposals Regular"),'Timesheet Raw'!$C$4:$C$8000,"*"&amp;$B315&amp;"*",'Timesheet Raw'!$L$4:$L$8000,"&gt;="&amp;MAX(F$5,DATE(2000+VALUE(RIGHT(TRIM($A315),2)),1,1)),'Timesheet Raw'!$L$4:$L$8000,"&lt;="&amp;MIN(F$6,DATE(2000+VALUE(RIGHT(TRIM($A315),2)),12,31))),SUMIFS('Timesheet Raw'!$P$4:$P$8000,'Timesheet Raw'!$B$4:$B$8000,TRIM($A315),'Timesheet Raw'!$C$4:$C$8000,"*"&amp;$B315&amp;"*",'Timesheet Raw'!$L$4:$L$8000,"&gt;="&amp;F$5,'Timesheet Raw'!$L$4:$L$8000,"&lt;="&amp;F$6)))/'Profit Plan'!$B$5)</f>
        <v>0</v>
      </c>
      <c r="G315" s="122">
        <f>IF($A315="","",(IF(ISNUMBER(SEARCH("Proposal",$A315)),SUMIFS('Timesheet Raw'!$P$4:$P$8000,'Timesheet Raw'!$A$4:$A$8000,IF(ISNUMBER(SEARCH("Chargable",$A315)),"2-Proposals Chargeable","3-Proposals Regular"),'Timesheet Raw'!$C$4:$C$8000,"*"&amp;$B315&amp;"*",'Timesheet Raw'!$L$4:$L$8000,"&gt;="&amp;MAX(G$5,DATE(2000+VALUE(RIGHT(TRIM($A315),2)),1,1)),'Timesheet Raw'!$L$4:$L$8000,"&lt;="&amp;MIN(G$6,DATE(2000+VALUE(RIGHT(TRIM($A315),2)),12,31))),SUMIFS('Timesheet Raw'!$P$4:$P$8000,'Timesheet Raw'!$B$4:$B$8000,TRIM($A315),'Timesheet Raw'!$C$4:$C$8000,"*"&amp;$B315&amp;"*",'Timesheet Raw'!$L$4:$L$8000,"&gt;="&amp;G$5,'Timesheet Raw'!$L$4:$L$8000,"&lt;="&amp;G$6)))/'Profit Plan'!$B$5)</f>
        <v>0</v>
      </c>
      <c r="H315" s="122">
        <f>IF($A315="","",(IF(ISNUMBER(SEARCH("Proposal",$A315)),SUMIFS('Timesheet Raw'!$P$4:$P$8000,'Timesheet Raw'!$A$4:$A$8000,IF(ISNUMBER(SEARCH("Chargable",$A315)),"2-Proposals Chargeable","3-Proposals Regular"),'Timesheet Raw'!$C$4:$C$8000,"*"&amp;$B315&amp;"*",'Timesheet Raw'!$L$4:$L$8000,"&gt;="&amp;MAX(H$5,DATE(2000+VALUE(RIGHT(TRIM($A315),2)),1,1)),'Timesheet Raw'!$L$4:$L$8000,"&lt;="&amp;MIN(H$6,DATE(2000+VALUE(RIGHT(TRIM($A315),2)),12,31))),SUMIFS('Timesheet Raw'!$P$4:$P$8000,'Timesheet Raw'!$B$4:$B$8000,TRIM($A315),'Timesheet Raw'!$C$4:$C$8000,"*"&amp;$B315&amp;"*",'Timesheet Raw'!$L$4:$L$8000,"&gt;="&amp;H$5,'Timesheet Raw'!$L$4:$L$8000,"&lt;="&amp;H$6)))/'Profit Plan'!$B$5)</f>
        <v>0</v>
      </c>
      <c r="I315" s="122">
        <f>IF($A315="","",(IF(ISNUMBER(SEARCH("Proposal",$A315)),SUMIFS('Timesheet Raw'!$P$4:$P$8000,'Timesheet Raw'!$A$4:$A$8000,IF(ISNUMBER(SEARCH("Chargable",$A315)),"2-Proposals Chargeable","3-Proposals Regular"),'Timesheet Raw'!$C$4:$C$8000,"*"&amp;$B315&amp;"*",'Timesheet Raw'!$L$4:$L$8000,"&gt;="&amp;MAX(I$5,DATE(2000+VALUE(RIGHT(TRIM($A315),2)),1,1)),'Timesheet Raw'!$L$4:$L$8000,"&lt;="&amp;MIN(I$6,DATE(2000+VALUE(RIGHT(TRIM($A315),2)),12,31))),SUMIFS('Timesheet Raw'!$P$4:$P$8000,'Timesheet Raw'!$B$4:$B$8000,TRIM($A315),'Timesheet Raw'!$C$4:$C$8000,"*"&amp;$B315&amp;"*",'Timesheet Raw'!$L$4:$L$8000,"&gt;="&amp;I$5,'Timesheet Raw'!$L$4:$L$8000,"&lt;="&amp;I$6)))/'Profit Plan'!$B$5)</f>
        <v>0</v>
      </c>
      <c r="J315" s="122">
        <f>IF($A315="","",(IF(ISNUMBER(SEARCH("Proposal",$A315)),SUMIFS('Timesheet Raw'!$P$4:$P$8000,'Timesheet Raw'!$A$4:$A$8000,IF(ISNUMBER(SEARCH("Chargable",$A315)),"2-Proposals Chargeable","3-Proposals Regular"),'Timesheet Raw'!$C$4:$C$8000,"*"&amp;$B315&amp;"*",'Timesheet Raw'!$L$4:$L$8000,"&gt;="&amp;MAX(J$5,DATE(2000+VALUE(RIGHT(TRIM($A315),2)),1,1)),'Timesheet Raw'!$L$4:$L$8000,"&lt;="&amp;MIN(J$6,DATE(2000+VALUE(RIGHT(TRIM($A315),2)),12,31))),SUMIFS('Timesheet Raw'!$P$4:$P$8000,'Timesheet Raw'!$B$4:$B$8000,TRIM($A315),'Timesheet Raw'!$C$4:$C$8000,"*"&amp;$B315&amp;"*",'Timesheet Raw'!$L$4:$L$8000,"&gt;="&amp;J$5,'Timesheet Raw'!$L$4:$L$8000,"&lt;="&amp;J$6)))/'Profit Plan'!$B$5)</f>
        <v>0</v>
      </c>
      <c r="K315" s="122">
        <f>IF($A315="","",(IF(ISNUMBER(SEARCH("Proposal",$A315)),SUMIFS('Timesheet Raw'!$P$4:$P$8000,'Timesheet Raw'!$A$4:$A$8000,IF(ISNUMBER(SEARCH("Chargable",$A315)),"2-Proposals Chargeable","3-Proposals Regular"),'Timesheet Raw'!$C$4:$C$8000,"*"&amp;$B315&amp;"*",'Timesheet Raw'!$L$4:$L$8000,"&gt;="&amp;MAX(K$5,DATE(2000+VALUE(RIGHT(TRIM($A315),2)),1,1)),'Timesheet Raw'!$L$4:$L$8000,"&lt;="&amp;MIN(K$6,DATE(2000+VALUE(RIGHT(TRIM($A315),2)),12,31))),SUMIFS('Timesheet Raw'!$P$4:$P$8000,'Timesheet Raw'!$B$4:$B$8000,TRIM($A315),'Timesheet Raw'!$C$4:$C$8000,"*"&amp;$B315&amp;"*",'Timesheet Raw'!$L$4:$L$8000,"&gt;="&amp;K$5,'Timesheet Raw'!$L$4:$L$8000,"&lt;="&amp;K$6)))/'Profit Plan'!$B$5)</f>
        <v>0</v>
      </c>
      <c r="L315" s="122">
        <f>IF($A315="","",(IF(ISNUMBER(SEARCH("Proposal",$A315)),SUMIFS('Timesheet Raw'!$P$4:$P$8000,'Timesheet Raw'!$A$4:$A$8000,IF(ISNUMBER(SEARCH("Chargable",$A315)),"2-Proposals Chargeable","3-Proposals Regular"),'Timesheet Raw'!$C$4:$C$8000,"*"&amp;$B315&amp;"*",'Timesheet Raw'!$L$4:$L$8000,"&gt;="&amp;MAX(L$5,DATE(2000+VALUE(RIGHT(TRIM($A315),2)),1,1)),'Timesheet Raw'!$L$4:$L$8000,"&lt;="&amp;MIN(L$6,DATE(2000+VALUE(RIGHT(TRIM($A315),2)),12,31))),SUMIFS('Timesheet Raw'!$P$4:$P$8000,'Timesheet Raw'!$B$4:$B$8000,TRIM($A315),'Timesheet Raw'!$C$4:$C$8000,"*"&amp;$B315&amp;"*",'Timesheet Raw'!$L$4:$L$8000,"&gt;="&amp;L$5,'Timesheet Raw'!$L$4:$L$8000,"&lt;="&amp;L$6)))/'Profit Plan'!$B$5)</f>
        <v>0</v>
      </c>
      <c r="M315" s="122">
        <f>IF($A315="","",(IF(ISNUMBER(SEARCH("Proposal",$A315)),SUMIFS('Timesheet Raw'!$P$4:$P$8000,'Timesheet Raw'!$A$4:$A$8000,IF(ISNUMBER(SEARCH("Chargable",$A315)),"2-Proposals Chargeable","3-Proposals Regular"),'Timesheet Raw'!$C$4:$C$8000,"*"&amp;$B315&amp;"*",'Timesheet Raw'!$L$4:$L$8000,"&gt;="&amp;MAX(M$5,DATE(2000+VALUE(RIGHT(TRIM($A315),2)),1,1)),'Timesheet Raw'!$L$4:$L$8000,"&lt;="&amp;MIN(M$6,DATE(2000+VALUE(RIGHT(TRIM($A315),2)),12,31))),SUMIFS('Timesheet Raw'!$P$4:$P$8000,'Timesheet Raw'!$B$4:$B$8000,TRIM($A315),'Timesheet Raw'!$C$4:$C$8000,"*"&amp;$B315&amp;"*",'Timesheet Raw'!$L$4:$L$8000,"&gt;="&amp;M$5,'Timesheet Raw'!$L$4:$L$8000,"&lt;="&amp;M$6)))/'Profit Plan'!$B$5)</f>
        <v>0</v>
      </c>
      <c r="N315" s="122">
        <f>IF($A315="","",(IF(ISNUMBER(SEARCH("Proposal",$A315)),SUMIFS('Timesheet Raw'!$P$4:$P$8000,'Timesheet Raw'!$A$4:$A$8000,IF(ISNUMBER(SEARCH("Chargable",$A315)),"2-Proposals Chargeable","3-Proposals Regular"),'Timesheet Raw'!$C$4:$C$8000,"*"&amp;$B315&amp;"*",'Timesheet Raw'!$L$4:$L$8000,"&gt;="&amp;MAX(N$5,DATE(2000+VALUE(RIGHT(TRIM($A315),2)),1,1)),'Timesheet Raw'!$L$4:$L$8000,"&lt;="&amp;MIN(N$6,DATE(2000+VALUE(RIGHT(TRIM($A315),2)),12,31))),SUMIFS('Timesheet Raw'!$P$4:$P$8000,'Timesheet Raw'!$B$4:$B$8000,TRIM($A315),'Timesheet Raw'!$C$4:$C$8000,"*"&amp;$B315&amp;"*",'Timesheet Raw'!$L$4:$L$8000,"&gt;="&amp;N$5,'Timesheet Raw'!$L$4:$L$8000,"&lt;="&amp;N$6)))/'Profit Plan'!$B$5)</f>
        <v>0</v>
      </c>
      <c r="O315" s="122">
        <f>IF($A315="","",(IF(ISNUMBER(SEARCH("Proposal",$A315)),SUMIFS('Timesheet Raw'!$P$4:$P$8000,'Timesheet Raw'!$A$4:$A$8000,IF(ISNUMBER(SEARCH("Chargable",$A315)),"2-Proposals Chargeable","3-Proposals Regular"),'Timesheet Raw'!$C$4:$C$8000,"*"&amp;$B315&amp;"*",'Timesheet Raw'!$L$4:$L$8000,"&gt;="&amp;MAX(O$5,DATE(2000+VALUE(RIGHT(TRIM($A315),2)),1,1)),'Timesheet Raw'!$L$4:$L$8000,"&lt;="&amp;MIN(O$6,DATE(2000+VALUE(RIGHT(TRIM($A315),2)),12,31))),SUMIFS('Timesheet Raw'!$P$4:$P$8000,'Timesheet Raw'!$B$4:$B$8000,TRIM($A315),'Timesheet Raw'!$C$4:$C$8000,"*"&amp;$B315&amp;"*",'Timesheet Raw'!$L$4:$L$8000,"&gt;="&amp;O$5,'Timesheet Raw'!$L$4:$L$8000,"&lt;="&amp;O$6)))/'Profit Plan'!$B$5)</f>
        <v>0</v>
      </c>
      <c r="P315" s="122">
        <f>IF($A315="","",(IF(ISNUMBER(SEARCH("Proposal",$A315)),SUMIFS('Timesheet Raw'!$P$4:$P$8000,'Timesheet Raw'!$A$4:$A$8000,IF(ISNUMBER(SEARCH("Chargable",$A315)),"2-Proposals Chargeable","3-Proposals Regular"),'Timesheet Raw'!$C$4:$C$8000,"*"&amp;$B315&amp;"*",'Timesheet Raw'!$L$4:$L$8000,"&gt;="&amp;MAX(P$5,DATE(2000+VALUE(RIGHT(TRIM($A315),2)),1,1)),'Timesheet Raw'!$L$4:$L$8000,"&lt;="&amp;MIN(P$6,DATE(2000+VALUE(RIGHT(TRIM($A315),2)),12,31))),SUMIFS('Timesheet Raw'!$P$4:$P$8000,'Timesheet Raw'!$B$4:$B$8000,TRIM($A315),'Timesheet Raw'!$C$4:$C$8000,"*"&amp;$B315&amp;"*",'Timesheet Raw'!$L$4:$L$8000,"&gt;="&amp;P$5,'Timesheet Raw'!$L$4:$L$8000,"&lt;="&amp;P$6)))/'Profit Plan'!$B$5)</f>
        <v>0</v>
      </c>
      <c r="Q315" s="122">
        <f>IF($A315="","",(IF(ISNUMBER(SEARCH("Proposal",$A315)),SUMIFS('Timesheet Raw'!$P$4:$P$8000,'Timesheet Raw'!$A$4:$A$8000,IF(ISNUMBER(SEARCH("Chargable",$A315)),"2-Proposals Chargeable","3-Proposals Regular"),'Timesheet Raw'!$C$4:$C$8000,"*"&amp;$B315&amp;"*",'Timesheet Raw'!$L$4:$L$8000,"&gt;="&amp;MAX(Q$5,DATE(2000+VALUE(RIGHT(TRIM($A315),2)),1,1)),'Timesheet Raw'!$L$4:$L$8000,"&lt;="&amp;MIN(Q$6,DATE(2000+VALUE(RIGHT(TRIM($A315),2)),12,31))),SUMIFS('Timesheet Raw'!$P$4:$P$8000,'Timesheet Raw'!$B$4:$B$8000,TRIM($A315),'Timesheet Raw'!$C$4:$C$8000,"*"&amp;$B315&amp;"*",'Timesheet Raw'!$L$4:$L$8000,"&gt;="&amp;Q$5,'Timesheet Raw'!$L$4:$L$8000,"&lt;="&amp;Q$6)))/'Profit Plan'!$B$5)</f>
        <v>0</v>
      </c>
      <c r="R315" s="122">
        <f>IF($A315="","",(IF(ISNUMBER(SEARCH("Proposal",$A315)),SUMIFS('Timesheet Raw'!$P$4:$P$8000,'Timesheet Raw'!$A$4:$A$8000,IF(ISNUMBER(SEARCH("Chargable",$A315)),"2-Proposals Chargeable","3-Proposals Regular"),'Timesheet Raw'!$C$4:$C$8000,"*"&amp;$B315&amp;"*",'Timesheet Raw'!$L$4:$L$8000,"&gt;="&amp;MAX(R$5,DATE(2000+VALUE(RIGHT(TRIM($A315),2)),1,1)),'Timesheet Raw'!$L$4:$L$8000,"&lt;="&amp;MIN(R$6,DATE(2000+VALUE(RIGHT(TRIM($A315),2)),12,31))),SUMIFS('Timesheet Raw'!$P$4:$P$8000,'Timesheet Raw'!$B$4:$B$8000,TRIM($A315),'Timesheet Raw'!$C$4:$C$8000,"*"&amp;$B315&amp;"*",'Timesheet Raw'!$L$4:$L$8000,"&gt;="&amp;R$5,'Timesheet Raw'!$L$4:$L$8000,"&lt;="&amp;R$6)))/'Profit Plan'!$B$5)</f>
        <v>0</v>
      </c>
      <c r="S315" s="122">
        <f>IF($A315="","",(IF(ISNUMBER(SEARCH("Proposal",$A315)),SUMIFS('Timesheet Raw'!$P$4:$P$8000,'Timesheet Raw'!$A$4:$A$8000,IF(ISNUMBER(SEARCH("Chargable",$A315)),"2-Proposals Chargeable","3-Proposals Regular"),'Timesheet Raw'!$C$4:$C$8000,"*"&amp;$B315&amp;"*",'Timesheet Raw'!$L$4:$L$8000,"&gt;="&amp;MAX(S$5,DATE(2000+VALUE(RIGHT(TRIM($A315),2)),1,1)),'Timesheet Raw'!$L$4:$L$8000,"&lt;="&amp;MIN(S$6,DATE(2000+VALUE(RIGHT(TRIM($A315),2)),12,31))),SUMIFS('Timesheet Raw'!$P$4:$P$8000,'Timesheet Raw'!$B$4:$B$8000,TRIM($A315),'Timesheet Raw'!$C$4:$C$8000,"*"&amp;$B315&amp;"*",'Timesheet Raw'!$L$4:$L$8000,"&gt;="&amp;S$5,'Timesheet Raw'!$L$4:$L$8000,"&lt;="&amp;S$6)))/'Profit Plan'!$B$5)</f>
        <v>0</v>
      </c>
      <c r="T315" s="122">
        <f>IF($A315="","",(IF(ISNUMBER(SEARCH("Proposal",$A315)),SUMIFS('Timesheet Raw'!$P$4:$P$8000,'Timesheet Raw'!$A$4:$A$8000,IF(ISNUMBER(SEARCH("Chargable",$A315)),"2-Proposals Chargeable","3-Proposals Regular"),'Timesheet Raw'!$C$4:$C$8000,"*"&amp;$B315&amp;"*",'Timesheet Raw'!$L$4:$L$8000,"&gt;="&amp;MAX(T$5,DATE(2000+VALUE(RIGHT(TRIM($A315),2)),1,1)),'Timesheet Raw'!$L$4:$L$8000,"&lt;="&amp;MIN(T$6,DATE(2000+VALUE(RIGHT(TRIM($A315),2)),12,31))),SUMIFS('Timesheet Raw'!$P$4:$P$8000,'Timesheet Raw'!$B$4:$B$8000,TRIM($A315),'Timesheet Raw'!$C$4:$C$8000,"*"&amp;$B315&amp;"*",'Timesheet Raw'!$L$4:$L$8000,"&gt;="&amp;T$5,'Timesheet Raw'!$L$4:$L$8000,"&lt;="&amp;T$6)))/'Profit Plan'!$B$5)</f>
        <v>0</v>
      </c>
      <c r="U315" s="122">
        <f>IF($A315="","",(IF(ISNUMBER(SEARCH("Proposal",$A315)),SUMIFS('Timesheet Raw'!$P$4:$P$8000,'Timesheet Raw'!$A$4:$A$8000,IF(ISNUMBER(SEARCH("Chargable",$A315)),"2-Proposals Chargeable","3-Proposals Regular"),'Timesheet Raw'!$C$4:$C$8000,"*"&amp;$B315&amp;"*",'Timesheet Raw'!$L$4:$L$8000,"&gt;="&amp;MAX(U$5,DATE(2000+VALUE(RIGHT(TRIM($A315),2)),1,1)),'Timesheet Raw'!$L$4:$L$8000,"&lt;="&amp;MIN(U$6,DATE(2000+VALUE(RIGHT(TRIM($A315),2)),12,31))),SUMIFS('Timesheet Raw'!$P$4:$P$8000,'Timesheet Raw'!$B$4:$B$8000,TRIM($A315),'Timesheet Raw'!$C$4:$C$8000,"*"&amp;$B315&amp;"*",'Timesheet Raw'!$L$4:$L$8000,"&gt;="&amp;U$5,'Timesheet Raw'!$L$4:$L$8000,"&lt;="&amp;U$6)))/'Profit Plan'!$B$5)</f>
        <v>0</v>
      </c>
      <c r="V315" s="122">
        <f>IF($A315="","",(IF(ISNUMBER(SEARCH("Proposal",$A315)),SUMIFS('Timesheet Raw'!$P$4:$P$8000,'Timesheet Raw'!$A$4:$A$8000,IF(ISNUMBER(SEARCH("Chargable",$A315)),"2-Proposals Chargeable","3-Proposals Regular"),'Timesheet Raw'!$C$4:$C$8000,"*"&amp;$B315&amp;"*",'Timesheet Raw'!$L$4:$L$8000,"&gt;="&amp;MAX(V$5,DATE(2000+VALUE(RIGHT(TRIM($A315),2)),1,1)),'Timesheet Raw'!$L$4:$L$8000,"&lt;="&amp;MIN(V$6,DATE(2000+VALUE(RIGHT(TRIM($A315),2)),12,31))),SUMIFS('Timesheet Raw'!$P$4:$P$8000,'Timesheet Raw'!$B$4:$B$8000,TRIM($A315),'Timesheet Raw'!$C$4:$C$8000,"*"&amp;$B315&amp;"*",'Timesheet Raw'!$L$4:$L$8000,"&gt;="&amp;V$5,'Timesheet Raw'!$L$4:$L$8000,"&lt;="&amp;V$6)))/'Profit Plan'!$B$5)</f>
        <v>0</v>
      </c>
      <c r="W315" s="122">
        <f>IF($A315="","",(IF(ISNUMBER(SEARCH("Proposal",$A315)),SUMIFS('Timesheet Raw'!$P$4:$P$8000,'Timesheet Raw'!$A$4:$A$8000,IF(ISNUMBER(SEARCH("Chargable",$A315)),"2-Proposals Chargeable","3-Proposals Regular"),'Timesheet Raw'!$C$4:$C$8000,"*"&amp;$B315&amp;"*",'Timesheet Raw'!$L$4:$L$8000,"&gt;="&amp;MAX(W$5,DATE(2000+VALUE(RIGHT(TRIM($A315),2)),1,1)),'Timesheet Raw'!$L$4:$L$8000,"&lt;="&amp;MIN(W$6,DATE(2000+VALUE(RIGHT(TRIM($A315),2)),12,31))),SUMIFS('Timesheet Raw'!$P$4:$P$8000,'Timesheet Raw'!$B$4:$B$8000,TRIM($A315),'Timesheet Raw'!$C$4:$C$8000,"*"&amp;$B315&amp;"*",'Timesheet Raw'!$L$4:$L$8000,"&gt;="&amp;W$5,'Timesheet Raw'!$L$4:$L$8000,"&lt;="&amp;W$6)))/'Profit Plan'!$B$5)</f>
        <v>0</v>
      </c>
      <c r="X315" s="122">
        <f>IF($A315="","",(IF(ISNUMBER(SEARCH("Proposal",$A315)),SUMIFS('Timesheet Raw'!$P$4:$P$8000,'Timesheet Raw'!$A$4:$A$8000,IF(ISNUMBER(SEARCH("Chargable",$A315)),"2-Proposals Chargeable","3-Proposals Regular"),'Timesheet Raw'!$C$4:$C$8000,"*"&amp;$B315&amp;"*",'Timesheet Raw'!$L$4:$L$8000,"&gt;="&amp;MAX(X$5,DATE(2000+VALUE(RIGHT(TRIM($A315),2)),1,1)),'Timesheet Raw'!$L$4:$L$8000,"&lt;="&amp;MIN(X$6,DATE(2000+VALUE(RIGHT(TRIM($A315),2)),12,31))),SUMIFS('Timesheet Raw'!$P$4:$P$8000,'Timesheet Raw'!$B$4:$B$8000,TRIM($A315),'Timesheet Raw'!$C$4:$C$8000,"*"&amp;$B315&amp;"*",'Timesheet Raw'!$L$4:$L$8000,"&gt;="&amp;X$5,'Timesheet Raw'!$L$4:$L$8000,"&lt;="&amp;X$6)))/'Profit Plan'!$B$5)</f>
        <v>0</v>
      </c>
      <c r="Y315" s="118">
        <f t="shared" si="100"/>
        <v>0</v>
      </c>
    </row>
    <row r="316" spans="1:25" x14ac:dyDescent="0.3">
      <c r="A316" s="116" t="str">
        <f>IF(Inputs!$A23="","",Inputs!$A23)</f>
        <v>S24014-0104D</v>
      </c>
      <c r="B316" s="116" t="str">
        <f>IF(Inputs!$A23="","",Inputs!$A$91)</f>
        <v>Ahmed</v>
      </c>
      <c r="C316" s="116"/>
      <c r="D316" s="122">
        <f>IF($A316="","",(IF(ISNUMBER(SEARCH("Proposal",$A316)),SUMIFS('Timesheet Raw'!$P$4:$P$8000,'Timesheet Raw'!$A$4:$A$8000,IF(ISNUMBER(SEARCH("Chargable",$A316)),"2-Proposals Chargeable","3-Proposals Regular"),'Timesheet Raw'!$C$4:$C$8000,"*"&amp;$B316&amp;"*",'Timesheet Raw'!$L$4:$L$8000,"&gt;="&amp;MAX(D$5,DATE(2000+VALUE(RIGHT(TRIM($A316),2)),1,1)),'Timesheet Raw'!$L$4:$L$8000,"&lt;="&amp;MIN(D$6,DATE(2000+VALUE(RIGHT(TRIM($A316),2)),12,31))),SUMIFS('Timesheet Raw'!$P$4:$P$8000,'Timesheet Raw'!$B$4:$B$8000,TRIM($A316),'Timesheet Raw'!$C$4:$C$8000,"*"&amp;$B316&amp;"*",'Timesheet Raw'!$L$4:$L$8000,"&gt;="&amp;D$5,'Timesheet Raw'!$L$4:$L$8000,"&lt;="&amp;D$6)))/'Profit Plan'!$B$5)</f>
        <v>0</v>
      </c>
      <c r="E316" s="122">
        <f>IF($A316="","",(IF(ISNUMBER(SEARCH("Proposal",$A316)),SUMIFS('Timesheet Raw'!$P$4:$P$8000,'Timesheet Raw'!$A$4:$A$8000,IF(ISNUMBER(SEARCH("Chargable",$A316)),"2-Proposals Chargeable","3-Proposals Regular"),'Timesheet Raw'!$C$4:$C$8000,"*"&amp;$B316&amp;"*",'Timesheet Raw'!$L$4:$L$8000,"&gt;="&amp;MAX(E$5,DATE(2000+VALUE(RIGHT(TRIM($A316),2)),1,1)),'Timesheet Raw'!$L$4:$L$8000,"&lt;="&amp;MIN(E$6,DATE(2000+VALUE(RIGHT(TRIM($A316),2)),12,31))),SUMIFS('Timesheet Raw'!$P$4:$P$8000,'Timesheet Raw'!$B$4:$B$8000,TRIM($A316),'Timesheet Raw'!$C$4:$C$8000,"*"&amp;$B316&amp;"*",'Timesheet Raw'!$L$4:$L$8000,"&gt;="&amp;E$5,'Timesheet Raw'!$L$4:$L$8000,"&lt;="&amp;E$6)))/'Profit Plan'!$B$5)</f>
        <v>0</v>
      </c>
      <c r="F316" s="122">
        <f>IF($A316="","",(IF(ISNUMBER(SEARCH("Proposal",$A316)),SUMIFS('Timesheet Raw'!$P$4:$P$8000,'Timesheet Raw'!$A$4:$A$8000,IF(ISNUMBER(SEARCH("Chargable",$A316)),"2-Proposals Chargeable","3-Proposals Regular"),'Timesheet Raw'!$C$4:$C$8000,"*"&amp;$B316&amp;"*",'Timesheet Raw'!$L$4:$L$8000,"&gt;="&amp;MAX(F$5,DATE(2000+VALUE(RIGHT(TRIM($A316),2)),1,1)),'Timesheet Raw'!$L$4:$L$8000,"&lt;="&amp;MIN(F$6,DATE(2000+VALUE(RIGHT(TRIM($A316),2)),12,31))),SUMIFS('Timesheet Raw'!$P$4:$P$8000,'Timesheet Raw'!$B$4:$B$8000,TRIM($A316),'Timesheet Raw'!$C$4:$C$8000,"*"&amp;$B316&amp;"*",'Timesheet Raw'!$L$4:$L$8000,"&gt;="&amp;F$5,'Timesheet Raw'!$L$4:$L$8000,"&lt;="&amp;F$6)))/'Profit Plan'!$B$5)</f>
        <v>0</v>
      </c>
      <c r="G316" s="122">
        <f>IF($A316="","",(IF(ISNUMBER(SEARCH("Proposal",$A316)),SUMIFS('Timesheet Raw'!$P$4:$P$8000,'Timesheet Raw'!$A$4:$A$8000,IF(ISNUMBER(SEARCH("Chargable",$A316)),"2-Proposals Chargeable","3-Proposals Regular"),'Timesheet Raw'!$C$4:$C$8000,"*"&amp;$B316&amp;"*",'Timesheet Raw'!$L$4:$L$8000,"&gt;="&amp;MAX(G$5,DATE(2000+VALUE(RIGHT(TRIM($A316),2)),1,1)),'Timesheet Raw'!$L$4:$L$8000,"&lt;="&amp;MIN(G$6,DATE(2000+VALUE(RIGHT(TRIM($A316),2)),12,31))),SUMIFS('Timesheet Raw'!$P$4:$P$8000,'Timesheet Raw'!$B$4:$B$8000,TRIM($A316),'Timesheet Raw'!$C$4:$C$8000,"*"&amp;$B316&amp;"*",'Timesheet Raw'!$L$4:$L$8000,"&gt;="&amp;G$5,'Timesheet Raw'!$L$4:$L$8000,"&lt;="&amp;G$6)))/'Profit Plan'!$B$5)</f>
        <v>0.25540540540540541</v>
      </c>
      <c r="H316" s="122">
        <f>IF($A316="","",(IF(ISNUMBER(SEARCH("Proposal",$A316)),SUMIFS('Timesheet Raw'!$P$4:$P$8000,'Timesheet Raw'!$A$4:$A$8000,IF(ISNUMBER(SEARCH("Chargable",$A316)),"2-Proposals Chargeable","3-Proposals Regular"),'Timesheet Raw'!$C$4:$C$8000,"*"&amp;$B316&amp;"*",'Timesheet Raw'!$L$4:$L$8000,"&gt;="&amp;MAX(H$5,DATE(2000+VALUE(RIGHT(TRIM($A316),2)),1,1)),'Timesheet Raw'!$L$4:$L$8000,"&lt;="&amp;MIN(H$6,DATE(2000+VALUE(RIGHT(TRIM($A316),2)),12,31))),SUMIFS('Timesheet Raw'!$P$4:$P$8000,'Timesheet Raw'!$B$4:$B$8000,TRIM($A316),'Timesheet Raw'!$C$4:$C$8000,"*"&amp;$B316&amp;"*",'Timesheet Raw'!$L$4:$L$8000,"&gt;="&amp;H$5,'Timesheet Raw'!$L$4:$L$8000,"&lt;="&amp;H$6)))/'Profit Plan'!$B$5)</f>
        <v>0.28918918918918918</v>
      </c>
      <c r="I316" s="122">
        <f>IF($A316="","",(IF(ISNUMBER(SEARCH("Proposal",$A316)),SUMIFS('Timesheet Raw'!$P$4:$P$8000,'Timesheet Raw'!$A$4:$A$8000,IF(ISNUMBER(SEARCH("Chargable",$A316)),"2-Proposals Chargeable","3-Proposals Regular"),'Timesheet Raw'!$C$4:$C$8000,"*"&amp;$B316&amp;"*",'Timesheet Raw'!$L$4:$L$8000,"&gt;="&amp;MAX(I$5,DATE(2000+VALUE(RIGHT(TRIM($A316),2)),1,1)),'Timesheet Raw'!$L$4:$L$8000,"&lt;="&amp;MIN(I$6,DATE(2000+VALUE(RIGHT(TRIM($A316),2)),12,31))),SUMIFS('Timesheet Raw'!$P$4:$P$8000,'Timesheet Raw'!$B$4:$B$8000,TRIM($A316),'Timesheet Raw'!$C$4:$C$8000,"*"&amp;$B316&amp;"*",'Timesheet Raw'!$L$4:$L$8000,"&gt;="&amp;I$5,'Timesheet Raw'!$L$4:$L$8000,"&lt;="&amp;I$6)))/'Profit Plan'!$B$5)</f>
        <v>4.3243243243243246E-2</v>
      </c>
      <c r="J316" s="122">
        <f>IF($A316="","",(IF(ISNUMBER(SEARCH("Proposal",$A316)),SUMIFS('Timesheet Raw'!$P$4:$P$8000,'Timesheet Raw'!$A$4:$A$8000,IF(ISNUMBER(SEARCH("Chargable",$A316)),"2-Proposals Chargeable","3-Proposals Regular"),'Timesheet Raw'!$C$4:$C$8000,"*"&amp;$B316&amp;"*",'Timesheet Raw'!$L$4:$L$8000,"&gt;="&amp;MAX(J$5,DATE(2000+VALUE(RIGHT(TRIM($A316),2)),1,1)),'Timesheet Raw'!$L$4:$L$8000,"&lt;="&amp;MIN(J$6,DATE(2000+VALUE(RIGHT(TRIM($A316),2)),12,31))),SUMIFS('Timesheet Raw'!$P$4:$P$8000,'Timesheet Raw'!$B$4:$B$8000,TRIM($A316),'Timesheet Raw'!$C$4:$C$8000,"*"&amp;$B316&amp;"*",'Timesheet Raw'!$L$4:$L$8000,"&gt;="&amp;J$5,'Timesheet Raw'!$L$4:$L$8000,"&lt;="&amp;J$6)))/'Profit Plan'!$B$5)</f>
        <v>0.41891891891891891</v>
      </c>
      <c r="K316" s="122">
        <f>IF($A316="","",(IF(ISNUMBER(SEARCH("Proposal",$A316)),SUMIFS('Timesheet Raw'!$P$4:$P$8000,'Timesheet Raw'!$A$4:$A$8000,IF(ISNUMBER(SEARCH("Chargable",$A316)),"2-Proposals Chargeable","3-Proposals Regular"),'Timesheet Raw'!$C$4:$C$8000,"*"&amp;$B316&amp;"*",'Timesheet Raw'!$L$4:$L$8000,"&gt;="&amp;MAX(K$5,DATE(2000+VALUE(RIGHT(TRIM($A316),2)),1,1)),'Timesheet Raw'!$L$4:$L$8000,"&lt;="&amp;MIN(K$6,DATE(2000+VALUE(RIGHT(TRIM($A316),2)),12,31))),SUMIFS('Timesheet Raw'!$P$4:$P$8000,'Timesheet Raw'!$B$4:$B$8000,TRIM($A316),'Timesheet Raw'!$C$4:$C$8000,"*"&amp;$B316&amp;"*",'Timesheet Raw'!$L$4:$L$8000,"&gt;="&amp;K$5,'Timesheet Raw'!$L$4:$L$8000,"&lt;="&amp;K$6)))/'Profit Plan'!$B$5)</f>
        <v>0.20945945945945946</v>
      </c>
      <c r="L316" s="122">
        <f>IF($A316="","",(IF(ISNUMBER(SEARCH("Proposal",$A316)),SUMIFS('Timesheet Raw'!$P$4:$P$8000,'Timesheet Raw'!$A$4:$A$8000,IF(ISNUMBER(SEARCH("Chargable",$A316)),"2-Proposals Chargeable","3-Proposals Regular"),'Timesheet Raw'!$C$4:$C$8000,"*"&amp;$B316&amp;"*",'Timesheet Raw'!$L$4:$L$8000,"&gt;="&amp;MAX(L$5,DATE(2000+VALUE(RIGHT(TRIM($A316),2)),1,1)),'Timesheet Raw'!$L$4:$L$8000,"&lt;="&amp;MIN(L$6,DATE(2000+VALUE(RIGHT(TRIM($A316),2)),12,31))),SUMIFS('Timesheet Raw'!$P$4:$P$8000,'Timesheet Raw'!$B$4:$B$8000,TRIM($A316),'Timesheet Raw'!$C$4:$C$8000,"*"&amp;$B316&amp;"*",'Timesheet Raw'!$L$4:$L$8000,"&gt;="&amp;L$5,'Timesheet Raw'!$L$4:$L$8000,"&lt;="&amp;L$6)))/'Profit Plan'!$B$5)</f>
        <v>0</v>
      </c>
      <c r="M316" s="122">
        <f>IF($A316="","",(IF(ISNUMBER(SEARCH("Proposal",$A316)),SUMIFS('Timesheet Raw'!$P$4:$P$8000,'Timesheet Raw'!$A$4:$A$8000,IF(ISNUMBER(SEARCH("Chargable",$A316)),"2-Proposals Chargeable","3-Proposals Regular"),'Timesheet Raw'!$C$4:$C$8000,"*"&amp;$B316&amp;"*",'Timesheet Raw'!$L$4:$L$8000,"&gt;="&amp;MAX(M$5,DATE(2000+VALUE(RIGHT(TRIM($A316),2)),1,1)),'Timesheet Raw'!$L$4:$L$8000,"&lt;="&amp;MIN(M$6,DATE(2000+VALUE(RIGHT(TRIM($A316),2)),12,31))),SUMIFS('Timesheet Raw'!$P$4:$P$8000,'Timesheet Raw'!$B$4:$B$8000,TRIM($A316),'Timesheet Raw'!$C$4:$C$8000,"*"&amp;$B316&amp;"*",'Timesheet Raw'!$L$4:$L$8000,"&gt;="&amp;M$5,'Timesheet Raw'!$L$4:$L$8000,"&lt;="&amp;M$6)))/'Profit Plan'!$B$5)</f>
        <v>0</v>
      </c>
      <c r="N316" s="122">
        <f>IF($A316="","",(IF(ISNUMBER(SEARCH("Proposal",$A316)),SUMIFS('Timesheet Raw'!$P$4:$P$8000,'Timesheet Raw'!$A$4:$A$8000,IF(ISNUMBER(SEARCH("Chargable",$A316)),"2-Proposals Chargeable","3-Proposals Regular"),'Timesheet Raw'!$C$4:$C$8000,"*"&amp;$B316&amp;"*",'Timesheet Raw'!$L$4:$L$8000,"&gt;="&amp;MAX(N$5,DATE(2000+VALUE(RIGHT(TRIM($A316),2)),1,1)),'Timesheet Raw'!$L$4:$L$8000,"&lt;="&amp;MIN(N$6,DATE(2000+VALUE(RIGHT(TRIM($A316),2)),12,31))),SUMIFS('Timesheet Raw'!$P$4:$P$8000,'Timesheet Raw'!$B$4:$B$8000,TRIM($A316),'Timesheet Raw'!$C$4:$C$8000,"*"&amp;$B316&amp;"*",'Timesheet Raw'!$L$4:$L$8000,"&gt;="&amp;N$5,'Timesheet Raw'!$L$4:$L$8000,"&lt;="&amp;N$6)))/'Profit Plan'!$B$5)</f>
        <v>0</v>
      </c>
      <c r="O316" s="122">
        <f>IF($A316="","",(IF(ISNUMBER(SEARCH("Proposal",$A316)),SUMIFS('Timesheet Raw'!$P$4:$P$8000,'Timesheet Raw'!$A$4:$A$8000,IF(ISNUMBER(SEARCH("Chargable",$A316)),"2-Proposals Chargeable","3-Proposals Regular"),'Timesheet Raw'!$C$4:$C$8000,"*"&amp;$B316&amp;"*",'Timesheet Raw'!$L$4:$L$8000,"&gt;="&amp;MAX(O$5,DATE(2000+VALUE(RIGHT(TRIM($A316),2)),1,1)),'Timesheet Raw'!$L$4:$L$8000,"&lt;="&amp;MIN(O$6,DATE(2000+VALUE(RIGHT(TRIM($A316),2)),12,31))),SUMIFS('Timesheet Raw'!$P$4:$P$8000,'Timesheet Raw'!$B$4:$B$8000,TRIM($A316),'Timesheet Raw'!$C$4:$C$8000,"*"&amp;$B316&amp;"*",'Timesheet Raw'!$L$4:$L$8000,"&gt;="&amp;O$5,'Timesheet Raw'!$L$4:$L$8000,"&lt;="&amp;O$6)))/'Profit Plan'!$B$5)</f>
        <v>0</v>
      </c>
      <c r="P316" s="122">
        <f>IF($A316="","",(IF(ISNUMBER(SEARCH("Proposal",$A316)),SUMIFS('Timesheet Raw'!$P$4:$P$8000,'Timesheet Raw'!$A$4:$A$8000,IF(ISNUMBER(SEARCH("Chargable",$A316)),"2-Proposals Chargeable","3-Proposals Regular"),'Timesheet Raw'!$C$4:$C$8000,"*"&amp;$B316&amp;"*",'Timesheet Raw'!$L$4:$L$8000,"&gt;="&amp;MAX(P$5,DATE(2000+VALUE(RIGHT(TRIM($A316),2)),1,1)),'Timesheet Raw'!$L$4:$L$8000,"&lt;="&amp;MIN(P$6,DATE(2000+VALUE(RIGHT(TRIM($A316),2)),12,31))),SUMIFS('Timesheet Raw'!$P$4:$P$8000,'Timesheet Raw'!$B$4:$B$8000,TRIM($A316),'Timesheet Raw'!$C$4:$C$8000,"*"&amp;$B316&amp;"*",'Timesheet Raw'!$L$4:$L$8000,"&gt;="&amp;P$5,'Timesheet Raw'!$L$4:$L$8000,"&lt;="&amp;P$6)))/'Profit Plan'!$B$5)</f>
        <v>0</v>
      </c>
      <c r="Q316" s="122">
        <f>IF($A316="","",(IF(ISNUMBER(SEARCH("Proposal",$A316)),SUMIFS('Timesheet Raw'!$P$4:$P$8000,'Timesheet Raw'!$A$4:$A$8000,IF(ISNUMBER(SEARCH("Chargable",$A316)),"2-Proposals Chargeable","3-Proposals Regular"),'Timesheet Raw'!$C$4:$C$8000,"*"&amp;$B316&amp;"*",'Timesheet Raw'!$L$4:$L$8000,"&gt;="&amp;MAX(Q$5,DATE(2000+VALUE(RIGHT(TRIM($A316),2)),1,1)),'Timesheet Raw'!$L$4:$L$8000,"&lt;="&amp;MIN(Q$6,DATE(2000+VALUE(RIGHT(TRIM($A316),2)),12,31))),SUMIFS('Timesheet Raw'!$P$4:$P$8000,'Timesheet Raw'!$B$4:$B$8000,TRIM($A316),'Timesheet Raw'!$C$4:$C$8000,"*"&amp;$B316&amp;"*",'Timesheet Raw'!$L$4:$L$8000,"&gt;="&amp;Q$5,'Timesheet Raw'!$L$4:$L$8000,"&lt;="&amp;Q$6)))/'Profit Plan'!$B$5)</f>
        <v>0</v>
      </c>
      <c r="R316" s="122">
        <f>IF($A316="","",(IF(ISNUMBER(SEARCH("Proposal",$A316)),SUMIFS('Timesheet Raw'!$P$4:$P$8000,'Timesheet Raw'!$A$4:$A$8000,IF(ISNUMBER(SEARCH("Chargable",$A316)),"2-Proposals Chargeable","3-Proposals Regular"),'Timesheet Raw'!$C$4:$C$8000,"*"&amp;$B316&amp;"*",'Timesheet Raw'!$L$4:$L$8000,"&gt;="&amp;MAX(R$5,DATE(2000+VALUE(RIGHT(TRIM($A316),2)),1,1)),'Timesheet Raw'!$L$4:$L$8000,"&lt;="&amp;MIN(R$6,DATE(2000+VALUE(RIGHT(TRIM($A316),2)),12,31))),SUMIFS('Timesheet Raw'!$P$4:$P$8000,'Timesheet Raw'!$B$4:$B$8000,TRIM($A316),'Timesheet Raw'!$C$4:$C$8000,"*"&amp;$B316&amp;"*",'Timesheet Raw'!$L$4:$L$8000,"&gt;="&amp;R$5,'Timesheet Raw'!$L$4:$L$8000,"&lt;="&amp;R$6)))/'Profit Plan'!$B$5)</f>
        <v>0</v>
      </c>
      <c r="S316" s="122">
        <f>IF($A316="","",(IF(ISNUMBER(SEARCH("Proposal",$A316)),SUMIFS('Timesheet Raw'!$P$4:$P$8000,'Timesheet Raw'!$A$4:$A$8000,IF(ISNUMBER(SEARCH("Chargable",$A316)),"2-Proposals Chargeable","3-Proposals Regular"),'Timesheet Raw'!$C$4:$C$8000,"*"&amp;$B316&amp;"*",'Timesheet Raw'!$L$4:$L$8000,"&gt;="&amp;MAX(S$5,DATE(2000+VALUE(RIGHT(TRIM($A316),2)),1,1)),'Timesheet Raw'!$L$4:$L$8000,"&lt;="&amp;MIN(S$6,DATE(2000+VALUE(RIGHT(TRIM($A316),2)),12,31))),SUMIFS('Timesheet Raw'!$P$4:$P$8000,'Timesheet Raw'!$B$4:$B$8000,TRIM($A316),'Timesheet Raw'!$C$4:$C$8000,"*"&amp;$B316&amp;"*",'Timesheet Raw'!$L$4:$L$8000,"&gt;="&amp;S$5,'Timesheet Raw'!$L$4:$L$8000,"&lt;="&amp;S$6)))/'Profit Plan'!$B$5)</f>
        <v>0</v>
      </c>
      <c r="T316" s="122">
        <f>IF($A316="","",(IF(ISNUMBER(SEARCH("Proposal",$A316)),SUMIFS('Timesheet Raw'!$P$4:$P$8000,'Timesheet Raw'!$A$4:$A$8000,IF(ISNUMBER(SEARCH("Chargable",$A316)),"2-Proposals Chargeable","3-Proposals Regular"),'Timesheet Raw'!$C$4:$C$8000,"*"&amp;$B316&amp;"*",'Timesheet Raw'!$L$4:$L$8000,"&gt;="&amp;MAX(T$5,DATE(2000+VALUE(RIGHT(TRIM($A316),2)),1,1)),'Timesheet Raw'!$L$4:$L$8000,"&lt;="&amp;MIN(T$6,DATE(2000+VALUE(RIGHT(TRIM($A316),2)),12,31))),SUMIFS('Timesheet Raw'!$P$4:$P$8000,'Timesheet Raw'!$B$4:$B$8000,TRIM($A316),'Timesheet Raw'!$C$4:$C$8000,"*"&amp;$B316&amp;"*",'Timesheet Raw'!$L$4:$L$8000,"&gt;="&amp;T$5,'Timesheet Raw'!$L$4:$L$8000,"&lt;="&amp;T$6)))/'Profit Plan'!$B$5)</f>
        <v>0</v>
      </c>
      <c r="U316" s="122">
        <f>IF($A316="","",(IF(ISNUMBER(SEARCH("Proposal",$A316)),SUMIFS('Timesheet Raw'!$P$4:$P$8000,'Timesheet Raw'!$A$4:$A$8000,IF(ISNUMBER(SEARCH("Chargable",$A316)),"2-Proposals Chargeable","3-Proposals Regular"),'Timesheet Raw'!$C$4:$C$8000,"*"&amp;$B316&amp;"*",'Timesheet Raw'!$L$4:$L$8000,"&gt;="&amp;MAX(U$5,DATE(2000+VALUE(RIGHT(TRIM($A316),2)),1,1)),'Timesheet Raw'!$L$4:$L$8000,"&lt;="&amp;MIN(U$6,DATE(2000+VALUE(RIGHT(TRIM($A316),2)),12,31))),SUMIFS('Timesheet Raw'!$P$4:$P$8000,'Timesheet Raw'!$B$4:$B$8000,TRIM($A316),'Timesheet Raw'!$C$4:$C$8000,"*"&amp;$B316&amp;"*",'Timesheet Raw'!$L$4:$L$8000,"&gt;="&amp;U$5,'Timesheet Raw'!$L$4:$L$8000,"&lt;="&amp;U$6)))/'Profit Plan'!$B$5)</f>
        <v>0</v>
      </c>
      <c r="V316" s="122">
        <f>IF($A316="","",(IF(ISNUMBER(SEARCH("Proposal",$A316)),SUMIFS('Timesheet Raw'!$P$4:$P$8000,'Timesheet Raw'!$A$4:$A$8000,IF(ISNUMBER(SEARCH("Chargable",$A316)),"2-Proposals Chargeable","3-Proposals Regular"),'Timesheet Raw'!$C$4:$C$8000,"*"&amp;$B316&amp;"*",'Timesheet Raw'!$L$4:$L$8000,"&gt;="&amp;MAX(V$5,DATE(2000+VALUE(RIGHT(TRIM($A316),2)),1,1)),'Timesheet Raw'!$L$4:$L$8000,"&lt;="&amp;MIN(V$6,DATE(2000+VALUE(RIGHT(TRIM($A316),2)),12,31))),SUMIFS('Timesheet Raw'!$P$4:$P$8000,'Timesheet Raw'!$B$4:$B$8000,TRIM($A316),'Timesheet Raw'!$C$4:$C$8000,"*"&amp;$B316&amp;"*",'Timesheet Raw'!$L$4:$L$8000,"&gt;="&amp;V$5,'Timesheet Raw'!$L$4:$L$8000,"&lt;="&amp;V$6)))/'Profit Plan'!$B$5)</f>
        <v>0</v>
      </c>
      <c r="W316" s="122">
        <f>IF($A316="","",(IF(ISNUMBER(SEARCH("Proposal",$A316)),SUMIFS('Timesheet Raw'!$P$4:$P$8000,'Timesheet Raw'!$A$4:$A$8000,IF(ISNUMBER(SEARCH("Chargable",$A316)),"2-Proposals Chargeable","3-Proposals Regular"),'Timesheet Raw'!$C$4:$C$8000,"*"&amp;$B316&amp;"*",'Timesheet Raw'!$L$4:$L$8000,"&gt;="&amp;MAX(W$5,DATE(2000+VALUE(RIGHT(TRIM($A316),2)),1,1)),'Timesheet Raw'!$L$4:$L$8000,"&lt;="&amp;MIN(W$6,DATE(2000+VALUE(RIGHT(TRIM($A316),2)),12,31))),SUMIFS('Timesheet Raw'!$P$4:$P$8000,'Timesheet Raw'!$B$4:$B$8000,TRIM($A316),'Timesheet Raw'!$C$4:$C$8000,"*"&amp;$B316&amp;"*",'Timesheet Raw'!$L$4:$L$8000,"&gt;="&amp;W$5,'Timesheet Raw'!$L$4:$L$8000,"&lt;="&amp;W$6)))/'Profit Plan'!$B$5)</f>
        <v>0</v>
      </c>
      <c r="X316" s="122">
        <f>IF($A316="","",(IF(ISNUMBER(SEARCH("Proposal",$A316)),SUMIFS('Timesheet Raw'!$P$4:$P$8000,'Timesheet Raw'!$A$4:$A$8000,IF(ISNUMBER(SEARCH("Chargable",$A316)),"2-Proposals Chargeable","3-Proposals Regular"),'Timesheet Raw'!$C$4:$C$8000,"*"&amp;$B316&amp;"*",'Timesheet Raw'!$L$4:$L$8000,"&gt;="&amp;MAX(X$5,DATE(2000+VALUE(RIGHT(TRIM($A316),2)),1,1)),'Timesheet Raw'!$L$4:$L$8000,"&lt;="&amp;MIN(X$6,DATE(2000+VALUE(RIGHT(TRIM($A316),2)),12,31))),SUMIFS('Timesheet Raw'!$P$4:$P$8000,'Timesheet Raw'!$B$4:$B$8000,TRIM($A316),'Timesheet Raw'!$C$4:$C$8000,"*"&amp;$B316&amp;"*",'Timesheet Raw'!$L$4:$L$8000,"&gt;="&amp;X$5,'Timesheet Raw'!$L$4:$L$8000,"&lt;="&amp;X$6)))/'Profit Plan'!$B$5)</f>
        <v>0</v>
      </c>
      <c r="Y316" s="118">
        <f t="shared" si="100"/>
        <v>1.2162162162162162</v>
      </c>
    </row>
    <row r="317" spans="1:25" x14ac:dyDescent="0.3">
      <c r="A317" s="116" t="str">
        <f>IF(Inputs!$A23="","",Inputs!$A23)</f>
        <v>S24014-0104D</v>
      </c>
      <c r="B317" s="116" t="str">
        <f>IF(Inputs!$A23="","",Inputs!$A$92)</f>
        <v>Osama</v>
      </c>
      <c r="C317" s="116"/>
      <c r="D317" s="122">
        <f>IF($A317="","",(IF(ISNUMBER(SEARCH("Proposal",$A317)),SUMIFS('Timesheet Raw'!$P$4:$P$8000,'Timesheet Raw'!$A$4:$A$8000,IF(ISNUMBER(SEARCH("Chargable",$A317)),"2-Proposals Chargeable","3-Proposals Regular"),'Timesheet Raw'!$C$4:$C$8000,"*"&amp;$B317&amp;"*",'Timesheet Raw'!$L$4:$L$8000,"&gt;="&amp;MAX(D$5,DATE(2000+VALUE(RIGHT(TRIM($A317),2)),1,1)),'Timesheet Raw'!$L$4:$L$8000,"&lt;="&amp;MIN(D$6,DATE(2000+VALUE(RIGHT(TRIM($A317),2)),12,31))),SUMIFS('Timesheet Raw'!$P$4:$P$8000,'Timesheet Raw'!$B$4:$B$8000,TRIM($A317),'Timesheet Raw'!$C$4:$C$8000,"*"&amp;$B317&amp;"*",'Timesheet Raw'!$L$4:$L$8000,"&gt;="&amp;D$5,'Timesheet Raw'!$L$4:$L$8000,"&lt;="&amp;D$6)))/'Profit Plan'!$B$5)</f>
        <v>0</v>
      </c>
      <c r="E317" s="122">
        <f>IF($A317="","",(IF(ISNUMBER(SEARCH("Proposal",$A317)),SUMIFS('Timesheet Raw'!$P$4:$P$8000,'Timesheet Raw'!$A$4:$A$8000,IF(ISNUMBER(SEARCH("Chargable",$A317)),"2-Proposals Chargeable","3-Proposals Regular"),'Timesheet Raw'!$C$4:$C$8000,"*"&amp;$B317&amp;"*",'Timesheet Raw'!$L$4:$L$8000,"&gt;="&amp;MAX(E$5,DATE(2000+VALUE(RIGHT(TRIM($A317),2)),1,1)),'Timesheet Raw'!$L$4:$L$8000,"&lt;="&amp;MIN(E$6,DATE(2000+VALUE(RIGHT(TRIM($A317),2)),12,31))),SUMIFS('Timesheet Raw'!$P$4:$P$8000,'Timesheet Raw'!$B$4:$B$8000,TRIM($A317),'Timesheet Raw'!$C$4:$C$8000,"*"&amp;$B317&amp;"*",'Timesheet Raw'!$L$4:$L$8000,"&gt;="&amp;E$5,'Timesheet Raw'!$L$4:$L$8000,"&lt;="&amp;E$6)))/'Profit Plan'!$B$5)</f>
        <v>0</v>
      </c>
      <c r="F317" s="122">
        <f>IF($A317="","",(IF(ISNUMBER(SEARCH("Proposal",$A317)),SUMIFS('Timesheet Raw'!$P$4:$P$8000,'Timesheet Raw'!$A$4:$A$8000,IF(ISNUMBER(SEARCH("Chargable",$A317)),"2-Proposals Chargeable","3-Proposals Regular"),'Timesheet Raw'!$C$4:$C$8000,"*"&amp;$B317&amp;"*",'Timesheet Raw'!$L$4:$L$8000,"&gt;="&amp;MAX(F$5,DATE(2000+VALUE(RIGHT(TRIM($A317),2)),1,1)),'Timesheet Raw'!$L$4:$L$8000,"&lt;="&amp;MIN(F$6,DATE(2000+VALUE(RIGHT(TRIM($A317),2)),12,31))),SUMIFS('Timesheet Raw'!$P$4:$P$8000,'Timesheet Raw'!$B$4:$B$8000,TRIM($A317),'Timesheet Raw'!$C$4:$C$8000,"*"&amp;$B317&amp;"*",'Timesheet Raw'!$L$4:$L$8000,"&gt;="&amp;F$5,'Timesheet Raw'!$L$4:$L$8000,"&lt;="&amp;F$6)))/'Profit Plan'!$B$5)</f>
        <v>0</v>
      </c>
      <c r="G317" s="122">
        <f>IF($A317="","",(IF(ISNUMBER(SEARCH("Proposal",$A317)),SUMIFS('Timesheet Raw'!$P$4:$P$8000,'Timesheet Raw'!$A$4:$A$8000,IF(ISNUMBER(SEARCH("Chargable",$A317)),"2-Proposals Chargeable","3-Proposals Regular"),'Timesheet Raw'!$C$4:$C$8000,"*"&amp;$B317&amp;"*",'Timesheet Raw'!$L$4:$L$8000,"&gt;="&amp;MAX(G$5,DATE(2000+VALUE(RIGHT(TRIM($A317),2)),1,1)),'Timesheet Raw'!$L$4:$L$8000,"&lt;="&amp;MIN(G$6,DATE(2000+VALUE(RIGHT(TRIM($A317),2)),12,31))),SUMIFS('Timesheet Raw'!$P$4:$P$8000,'Timesheet Raw'!$B$4:$B$8000,TRIM($A317),'Timesheet Raw'!$C$4:$C$8000,"*"&amp;$B317&amp;"*",'Timesheet Raw'!$L$4:$L$8000,"&gt;="&amp;G$5,'Timesheet Raw'!$L$4:$L$8000,"&lt;="&amp;G$6)))/'Profit Plan'!$B$5)</f>
        <v>0</v>
      </c>
      <c r="H317" s="122">
        <f>IF($A317="","",(IF(ISNUMBER(SEARCH("Proposal",$A317)),SUMIFS('Timesheet Raw'!$P$4:$P$8000,'Timesheet Raw'!$A$4:$A$8000,IF(ISNUMBER(SEARCH("Chargable",$A317)),"2-Proposals Chargeable","3-Proposals Regular"),'Timesheet Raw'!$C$4:$C$8000,"*"&amp;$B317&amp;"*",'Timesheet Raw'!$L$4:$L$8000,"&gt;="&amp;MAX(H$5,DATE(2000+VALUE(RIGHT(TRIM($A317),2)),1,1)),'Timesheet Raw'!$L$4:$L$8000,"&lt;="&amp;MIN(H$6,DATE(2000+VALUE(RIGHT(TRIM($A317),2)),12,31))),SUMIFS('Timesheet Raw'!$P$4:$P$8000,'Timesheet Raw'!$B$4:$B$8000,TRIM($A317),'Timesheet Raw'!$C$4:$C$8000,"*"&amp;$B317&amp;"*",'Timesheet Raw'!$L$4:$L$8000,"&gt;="&amp;H$5,'Timesheet Raw'!$L$4:$L$8000,"&lt;="&amp;H$6)))/'Profit Plan'!$B$5)</f>
        <v>0</v>
      </c>
      <c r="I317" s="122">
        <f>IF($A317="","",(IF(ISNUMBER(SEARCH("Proposal",$A317)),SUMIFS('Timesheet Raw'!$P$4:$P$8000,'Timesheet Raw'!$A$4:$A$8000,IF(ISNUMBER(SEARCH("Chargable",$A317)),"2-Proposals Chargeable","3-Proposals Regular"),'Timesheet Raw'!$C$4:$C$8000,"*"&amp;$B317&amp;"*",'Timesheet Raw'!$L$4:$L$8000,"&gt;="&amp;MAX(I$5,DATE(2000+VALUE(RIGHT(TRIM($A317),2)),1,1)),'Timesheet Raw'!$L$4:$L$8000,"&lt;="&amp;MIN(I$6,DATE(2000+VALUE(RIGHT(TRIM($A317),2)),12,31))),SUMIFS('Timesheet Raw'!$P$4:$P$8000,'Timesheet Raw'!$B$4:$B$8000,TRIM($A317),'Timesheet Raw'!$C$4:$C$8000,"*"&amp;$B317&amp;"*",'Timesheet Raw'!$L$4:$L$8000,"&gt;="&amp;I$5,'Timesheet Raw'!$L$4:$L$8000,"&lt;="&amp;I$6)))/'Profit Plan'!$B$5)</f>
        <v>0</v>
      </c>
      <c r="J317" s="122">
        <f>IF($A317="","",(IF(ISNUMBER(SEARCH("Proposal",$A317)),SUMIFS('Timesheet Raw'!$P$4:$P$8000,'Timesheet Raw'!$A$4:$A$8000,IF(ISNUMBER(SEARCH("Chargable",$A317)),"2-Proposals Chargeable","3-Proposals Regular"),'Timesheet Raw'!$C$4:$C$8000,"*"&amp;$B317&amp;"*",'Timesheet Raw'!$L$4:$L$8000,"&gt;="&amp;MAX(J$5,DATE(2000+VALUE(RIGHT(TRIM($A317),2)),1,1)),'Timesheet Raw'!$L$4:$L$8000,"&lt;="&amp;MIN(J$6,DATE(2000+VALUE(RIGHT(TRIM($A317),2)),12,31))),SUMIFS('Timesheet Raw'!$P$4:$P$8000,'Timesheet Raw'!$B$4:$B$8000,TRIM($A317),'Timesheet Raw'!$C$4:$C$8000,"*"&amp;$B317&amp;"*",'Timesheet Raw'!$L$4:$L$8000,"&gt;="&amp;J$5,'Timesheet Raw'!$L$4:$L$8000,"&lt;="&amp;J$6)))/'Profit Plan'!$B$5)</f>
        <v>0</v>
      </c>
      <c r="K317" s="122">
        <f>IF($A317="","",(IF(ISNUMBER(SEARCH("Proposal",$A317)),SUMIFS('Timesheet Raw'!$P$4:$P$8000,'Timesheet Raw'!$A$4:$A$8000,IF(ISNUMBER(SEARCH("Chargable",$A317)),"2-Proposals Chargeable","3-Proposals Regular"),'Timesheet Raw'!$C$4:$C$8000,"*"&amp;$B317&amp;"*",'Timesheet Raw'!$L$4:$L$8000,"&gt;="&amp;MAX(K$5,DATE(2000+VALUE(RIGHT(TRIM($A317),2)),1,1)),'Timesheet Raw'!$L$4:$L$8000,"&lt;="&amp;MIN(K$6,DATE(2000+VALUE(RIGHT(TRIM($A317),2)),12,31))),SUMIFS('Timesheet Raw'!$P$4:$P$8000,'Timesheet Raw'!$B$4:$B$8000,TRIM($A317),'Timesheet Raw'!$C$4:$C$8000,"*"&amp;$B317&amp;"*",'Timesheet Raw'!$L$4:$L$8000,"&gt;="&amp;K$5,'Timesheet Raw'!$L$4:$L$8000,"&lt;="&amp;K$6)))/'Profit Plan'!$B$5)</f>
        <v>0</v>
      </c>
      <c r="L317" s="122">
        <f>IF($A317="","",(IF(ISNUMBER(SEARCH("Proposal",$A317)),SUMIFS('Timesheet Raw'!$P$4:$P$8000,'Timesheet Raw'!$A$4:$A$8000,IF(ISNUMBER(SEARCH("Chargable",$A317)),"2-Proposals Chargeable","3-Proposals Regular"),'Timesheet Raw'!$C$4:$C$8000,"*"&amp;$B317&amp;"*",'Timesheet Raw'!$L$4:$L$8000,"&gt;="&amp;MAX(L$5,DATE(2000+VALUE(RIGHT(TRIM($A317),2)),1,1)),'Timesheet Raw'!$L$4:$L$8000,"&lt;="&amp;MIN(L$6,DATE(2000+VALUE(RIGHT(TRIM($A317),2)),12,31))),SUMIFS('Timesheet Raw'!$P$4:$P$8000,'Timesheet Raw'!$B$4:$B$8000,TRIM($A317),'Timesheet Raw'!$C$4:$C$8000,"*"&amp;$B317&amp;"*",'Timesheet Raw'!$L$4:$L$8000,"&gt;="&amp;L$5,'Timesheet Raw'!$L$4:$L$8000,"&lt;="&amp;L$6)))/'Profit Plan'!$B$5)</f>
        <v>0</v>
      </c>
      <c r="M317" s="122">
        <f>IF($A317="","",(IF(ISNUMBER(SEARCH("Proposal",$A317)),SUMIFS('Timesheet Raw'!$P$4:$P$8000,'Timesheet Raw'!$A$4:$A$8000,IF(ISNUMBER(SEARCH("Chargable",$A317)),"2-Proposals Chargeable","3-Proposals Regular"),'Timesheet Raw'!$C$4:$C$8000,"*"&amp;$B317&amp;"*",'Timesheet Raw'!$L$4:$L$8000,"&gt;="&amp;MAX(M$5,DATE(2000+VALUE(RIGHT(TRIM($A317),2)),1,1)),'Timesheet Raw'!$L$4:$L$8000,"&lt;="&amp;MIN(M$6,DATE(2000+VALUE(RIGHT(TRIM($A317),2)),12,31))),SUMIFS('Timesheet Raw'!$P$4:$P$8000,'Timesheet Raw'!$B$4:$B$8000,TRIM($A317),'Timesheet Raw'!$C$4:$C$8000,"*"&amp;$B317&amp;"*",'Timesheet Raw'!$L$4:$L$8000,"&gt;="&amp;M$5,'Timesheet Raw'!$L$4:$L$8000,"&lt;="&amp;M$6)))/'Profit Plan'!$B$5)</f>
        <v>0</v>
      </c>
      <c r="N317" s="122">
        <f>IF($A317="","",(IF(ISNUMBER(SEARCH("Proposal",$A317)),SUMIFS('Timesheet Raw'!$P$4:$P$8000,'Timesheet Raw'!$A$4:$A$8000,IF(ISNUMBER(SEARCH("Chargable",$A317)),"2-Proposals Chargeable","3-Proposals Regular"),'Timesheet Raw'!$C$4:$C$8000,"*"&amp;$B317&amp;"*",'Timesheet Raw'!$L$4:$L$8000,"&gt;="&amp;MAX(N$5,DATE(2000+VALUE(RIGHT(TRIM($A317),2)),1,1)),'Timesheet Raw'!$L$4:$L$8000,"&lt;="&amp;MIN(N$6,DATE(2000+VALUE(RIGHT(TRIM($A317),2)),12,31))),SUMIFS('Timesheet Raw'!$P$4:$P$8000,'Timesheet Raw'!$B$4:$B$8000,TRIM($A317),'Timesheet Raw'!$C$4:$C$8000,"*"&amp;$B317&amp;"*",'Timesheet Raw'!$L$4:$L$8000,"&gt;="&amp;N$5,'Timesheet Raw'!$L$4:$L$8000,"&lt;="&amp;N$6)))/'Profit Plan'!$B$5)</f>
        <v>0</v>
      </c>
      <c r="O317" s="122">
        <f>IF($A317="","",(IF(ISNUMBER(SEARCH("Proposal",$A317)),SUMIFS('Timesheet Raw'!$P$4:$P$8000,'Timesheet Raw'!$A$4:$A$8000,IF(ISNUMBER(SEARCH("Chargable",$A317)),"2-Proposals Chargeable","3-Proposals Regular"),'Timesheet Raw'!$C$4:$C$8000,"*"&amp;$B317&amp;"*",'Timesheet Raw'!$L$4:$L$8000,"&gt;="&amp;MAX(O$5,DATE(2000+VALUE(RIGHT(TRIM($A317),2)),1,1)),'Timesheet Raw'!$L$4:$L$8000,"&lt;="&amp;MIN(O$6,DATE(2000+VALUE(RIGHT(TRIM($A317),2)),12,31))),SUMIFS('Timesheet Raw'!$P$4:$P$8000,'Timesheet Raw'!$B$4:$B$8000,TRIM($A317),'Timesheet Raw'!$C$4:$C$8000,"*"&amp;$B317&amp;"*",'Timesheet Raw'!$L$4:$L$8000,"&gt;="&amp;O$5,'Timesheet Raw'!$L$4:$L$8000,"&lt;="&amp;O$6)))/'Profit Plan'!$B$5)</f>
        <v>0</v>
      </c>
      <c r="P317" s="122">
        <f>IF($A317="","",(IF(ISNUMBER(SEARCH("Proposal",$A317)),SUMIFS('Timesheet Raw'!$P$4:$P$8000,'Timesheet Raw'!$A$4:$A$8000,IF(ISNUMBER(SEARCH("Chargable",$A317)),"2-Proposals Chargeable","3-Proposals Regular"),'Timesheet Raw'!$C$4:$C$8000,"*"&amp;$B317&amp;"*",'Timesheet Raw'!$L$4:$L$8000,"&gt;="&amp;MAX(P$5,DATE(2000+VALUE(RIGHT(TRIM($A317),2)),1,1)),'Timesheet Raw'!$L$4:$L$8000,"&lt;="&amp;MIN(P$6,DATE(2000+VALUE(RIGHT(TRIM($A317),2)),12,31))),SUMIFS('Timesheet Raw'!$P$4:$P$8000,'Timesheet Raw'!$B$4:$B$8000,TRIM($A317),'Timesheet Raw'!$C$4:$C$8000,"*"&amp;$B317&amp;"*",'Timesheet Raw'!$L$4:$L$8000,"&gt;="&amp;P$5,'Timesheet Raw'!$L$4:$L$8000,"&lt;="&amp;P$6)))/'Profit Plan'!$B$5)</f>
        <v>0</v>
      </c>
      <c r="Q317" s="122">
        <f>IF($A317="","",(IF(ISNUMBER(SEARCH("Proposal",$A317)),SUMIFS('Timesheet Raw'!$P$4:$P$8000,'Timesheet Raw'!$A$4:$A$8000,IF(ISNUMBER(SEARCH("Chargable",$A317)),"2-Proposals Chargeable","3-Proposals Regular"),'Timesheet Raw'!$C$4:$C$8000,"*"&amp;$B317&amp;"*",'Timesheet Raw'!$L$4:$L$8000,"&gt;="&amp;MAX(Q$5,DATE(2000+VALUE(RIGHT(TRIM($A317),2)),1,1)),'Timesheet Raw'!$L$4:$L$8000,"&lt;="&amp;MIN(Q$6,DATE(2000+VALUE(RIGHT(TRIM($A317),2)),12,31))),SUMIFS('Timesheet Raw'!$P$4:$P$8000,'Timesheet Raw'!$B$4:$B$8000,TRIM($A317),'Timesheet Raw'!$C$4:$C$8000,"*"&amp;$B317&amp;"*",'Timesheet Raw'!$L$4:$L$8000,"&gt;="&amp;Q$5,'Timesheet Raw'!$L$4:$L$8000,"&lt;="&amp;Q$6)))/'Profit Plan'!$B$5)</f>
        <v>0</v>
      </c>
      <c r="R317" s="122">
        <f>IF($A317="","",(IF(ISNUMBER(SEARCH("Proposal",$A317)),SUMIFS('Timesheet Raw'!$P$4:$P$8000,'Timesheet Raw'!$A$4:$A$8000,IF(ISNUMBER(SEARCH("Chargable",$A317)),"2-Proposals Chargeable","3-Proposals Regular"),'Timesheet Raw'!$C$4:$C$8000,"*"&amp;$B317&amp;"*",'Timesheet Raw'!$L$4:$L$8000,"&gt;="&amp;MAX(R$5,DATE(2000+VALUE(RIGHT(TRIM($A317),2)),1,1)),'Timesheet Raw'!$L$4:$L$8000,"&lt;="&amp;MIN(R$6,DATE(2000+VALUE(RIGHT(TRIM($A317),2)),12,31))),SUMIFS('Timesheet Raw'!$P$4:$P$8000,'Timesheet Raw'!$B$4:$B$8000,TRIM($A317),'Timesheet Raw'!$C$4:$C$8000,"*"&amp;$B317&amp;"*",'Timesheet Raw'!$L$4:$L$8000,"&gt;="&amp;R$5,'Timesheet Raw'!$L$4:$L$8000,"&lt;="&amp;R$6)))/'Profit Plan'!$B$5)</f>
        <v>0</v>
      </c>
      <c r="S317" s="122">
        <f>IF($A317="","",(IF(ISNUMBER(SEARCH("Proposal",$A317)),SUMIFS('Timesheet Raw'!$P$4:$P$8000,'Timesheet Raw'!$A$4:$A$8000,IF(ISNUMBER(SEARCH("Chargable",$A317)),"2-Proposals Chargeable","3-Proposals Regular"),'Timesheet Raw'!$C$4:$C$8000,"*"&amp;$B317&amp;"*",'Timesheet Raw'!$L$4:$L$8000,"&gt;="&amp;MAX(S$5,DATE(2000+VALUE(RIGHT(TRIM($A317),2)),1,1)),'Timesheet Raw'!$L$4:$L$8000,"&lt;="&amp;MIN(S$6,DATE(2000+VALUE(RIGHT(TRIM($A317),2)),12,31))),SUMIFS('Timesheet Raw'!$P$4:$P$8000,'Timesheet Raw'!$B$4:$B$8000,TRIM($A317),'Timesheet Raw'!$C$4:$C$8000,"*"&amp;$B317&amp;"*",'Timesheet Raw'!$L$4:$L$8000,"&gt;="&amp;S$5,'Timesheet Raw'!$L$4:$L$8000,"&lt;="&amp;S$6)))/'Profit Plan'!$B$5)</f>
        <v>0</v>
      </c>
      <c r="T317" s="122">
        <f>IF($A317="","",(IF(ISNUMBER(SEARCH("Proposal",$A317)),SUMIFS('Timesheet Raw'!$P$4:$P$8000,'Timesheet Raw'!$A$4:$A$8000,IF(ISNUMBER(SEARCH("Chargable",$A317)),"2-Proposals Chargeable","3-Proposals Regular"),'Timesheet Raw'!$C$4:$C$8000,"*"&amp;$B317&amp;"*",'Timesheet Raw'!$L$4:$L$8000,"&gt;="&amp;MAX(T$5,DATE(2000+VALUE(RIGHT(TRIM($A317),2)),1,1)),'Timesheet Raw'!$L$4:$L$8000,"&lt;="&amp;MIN(T$6,DATE(2000+VALUE(RIGHT(TRIM($A317),2)),12,31))),SUMIFS('Timesheet Raw'!$P$4:$P$8000,'Timesheet Raw'!$B$4:$B$8000,TRIM($A317),'Timesheet Raw'!$C$4:$C$8000,"*"&amp;$B317&amp;"*",'Timesheet Raw'!$L$4:$L$8000,"&gt;="&amp;T$5,'Timesheet Raw'!$L$4:$L$8000,"&lt;="&amp;T$6)))/'Profit Plan'!$B$5)</f>
        <v>0</v>
      </c>
      <c r="U317" s="122">
        <f>IF($A317="","",(IF(ISNUMBER(SEARCH("Proposal",$A317)),SUMIFS('Timesheet Raw'!$P$4:$P$8000,'Timesheet Raw'!$A$4:$A$8000,IF(ISNUMBER(SEARCH("Chargable",$A317)),"2-Proposals Chargeable","3-Proposals Regular"),'Timesheet Raw'!$C$4:$C$8000,"*"&amp;$B317&amp;"*",'Timesheet Raw'!$L$4:$L$8000,"&gt;="&amp;MAX(U$5,DATE(2000+VALUE(RIGHT(TRIM($A317),2)),1,1)),'Timesheet Raw'!$L$4:$L$8000,"&lt;="&amp;MIN(U$6,DATE(2000+VALUE(RIGHT(TRIM($A317),2)),12,31))),SUMIFS('Timesheet Raw'!$P$4:$P$8000,'Timesheet Raw'!$B$4:$B$8000,TRIM($A317),'Timesheet Raw'!$C$4:$C$8000,"*"&amp;$B317&amp;"*",'Timesheet Raw'!$L$4:$L$8000,"&gt;="&amp;U$5,'Timesheet Raw'!$L$4:$L$8000,"&lt;="&amp;U$6)))/'Profit Plan'!$B$5)</f>
        <v>0</v>
      </c>
      <c r="V317" s="122">
        <f>IF($A317="","",(IF(ISNUMBER(SEARCH("Proposal",$A317)),SUMIFS('Timesheet Raw'!$P$4:$P$8000,'Timesheet Raw'!$A$4:$A$8000,IF(ISNUMBER(SEARCH("Chargable",$A317)),"2-Proposals Chargeable","3-Proposals Regular"),'Timesheet Raw'!$C$4:$C$8000,"*"&amp;$B317&amp;"*",'Timesheet Raw'!$L$4:$L$8000,"&gt;="&amp;MAX(V$5,DATE(2000+VALUE(RIGHT(TRIM($A317),2)),1,1)),'Timesheet Raw'!$L$4:$L$8000,"&lt;="&amp;MIN(V$6,DATE(2000+VALUE(RIGHT(TRIM($A317),2)),12,31))),SUMIFS('Timesheet Raw'!$P$4:$P$8000,'Timesheet Raw'!$B$4:$B$8000,TRIM($A317),'Timesheet Raw'!$C$4:$C$8000,"*"&amp;$B317&amp;"*",'Timesheet Raw'!$L$4:$L$8000,"&gt;="&amp;V$5,'Timesheet Raw'!$L$4:$L$8000,"&lt;="&amp;V$6)))/'Profit Plan'!$B$5)</f>
        <v>0</v>
      </c>
      <c r="W317" s="122">
        <f>IF($A317="","",(IF(ISNUMBER(SEARCH("Proposal",$A317)),SUMIFS('Timesheet Raw'!$P$4:$P$8000,'Timesheet Raw'!$A$4:$A$8000,IF(ISNUMBER(SEARCH("Chargable",$A317)),"2-Proposals Chargeable","3-Proposals Regular"),'Timesheet Raw'!$C$4:$C$8000,"*"&amp;$B317&amp;"*",'Timesheet Raw'!$L$4:$L$8000,"&gt;="&amp;MAX(W$5,DATE(2000+VALUE(RIGHT(TRIM($A317),2)),1,1)),'Timesheet Raw'!$L$4:$L$8000,"&lt;="&amp;MIN(W$6,DATE(2000+VALUE(RIGHT(TRIM($A317),2)),12,31))),SUMIFS('Timesheet Raw'!$P$4:$P$8000,'Timesheet Raw'!$B$4:$B$8000,TRIM($A317),'Timesheet Raw'!$C$4:$C$8000,"*"&amp;$B317&amp;"*",'Timesheet Raw'!$L$4:$L$8000,"&gt;="&amp;W$5,'Timesheet Raw'!$L$4:$L$8000,"&lt;="&amp;W$6)))/'Profit Plan'!$B$5)</f>
        <v>0</v>
      </c>
      <c r="X317" s="122">
        <f>IF($A317="","",(IF(ISNUMBER(SEARCH("Proposal",$A317)),SUMIFS('Timesheet Raw'!$P$4:$P$8000,'Timesheet Raw'!$A$4:$A$8000,IF(ISNUMBER(SEARCH("Chargable",$A317)),"2-Proposals Chargeable","3-Proposals Regular"),'Timesheet Raw'!$C$4:$C$8000,"*"&amp;$B317&amp;"*",'Timesheet Raw'!$L$4:$L$8000,"&gt;="&amp;MAX(X$5,DATE(2000+VALUE(RIGHT(TRIM($A317),2)),1,1)),'Timesheet Raw'!$L$4:$L$8000,"&lt;="&amp;MIN(X$6,DATE(2000+VALUE(RIGHT(TRIM($A317),2)),12,31))),SUMIFS('Timesheet Raw'!$P$4:$P$8000,'Timesheet Raw'!$B$4:$B$8000,TRIM($A317),'Timesheet Raw'!$C$4:$C$8000,"*"&amp;$B317&amp;"*",'Timesheet Raw'!$L$4:$L$8000,"&gt;="&amp;X$5,'Timesheet Raw'!$L$4:$L$8000,"&lt;="&amp;X$6)))/'Profit Plan'!$B$5)</f>
        <v>0</v>
      </c>
      <c r="Y317" s="118">
        <f t="shared" si="100"/>
        <v>0</v>
      </c>
    </row>
    <row r="318" spans="1:25" x14ac:dyDescent="0.3">
      <c r="A318" s="116" t="str">
        <f>IF(Inputs!$A23="","",Inputs!$A23)</f>
        <v>S24014-0104D</v>
      </c>
      <c r="B318" s="116" t="str">
        <f>IF(Inputs!$A23="","",Inputs!$A$93)</f>
        <v>Kirolos</v>
      </c>
      <c r="C318" s="116"/>
      <c r="D318" s="122">
        <f>IF($A318="","",(IF(ISNUMBER(SEARCH("Proposal",$A318)),SUMIFS('Timesheet Raw'!$P$4:$P$8000,'Timesheet Raw'!$A$4:$A$8000,IF(ISNUMBER(SEARCH("Chargable",$A318)),"2-Proposals Chargeable","3-Proposals Regular"),'Timesheet Raw'!$C$4:$C$8000,"*"&amp;$B318&amp;"*",'Timesheet Raw'!$L$4:$L$8000,"&gt;="&amp;MAX(D$5,DATE(2000+VALUE(RIGHT(TRIM($A318),2)),1,1)),'Timesheet Raw'!$L$4:$L$8000,"&lt;="&amp;MIN(D$6,DATE(2000+VALUE(RIGHT(TRIM($A318),2)),12,31))),SUMIFS('Timesheet Raw'!$P$4:$P$8000,'Timesheet Raw'!$B$4:$B$8000,TRIM($A318),'Timesheet Raw'!$C$4:$C$8000,"*"&amp;$B318&amp;"*",'Timesheet Raw'!$L$4:$L$8000,"&gt;="&amp;D$5,'Timesheet Raw'!$L$4:$L$8000,"&lt;="&amp;D$6)))/'Profit Plan'!$B$5)</f>
        <v>0</v>
      </c>
      <c r="E318" s="122">
        <f>IF($A318="","",(IF(ISNUMBER(SEARCH("Proposal",$A318)),SUMIFS('Timesheet Raw'!$P$4:$P$8000,'Timesheet Raw'!$A$4:$A$8000,IF(ISNUMBER(SEARCH("Chargable",$A318)),"2-Proposals Chargeable","3-Proposals Regular"),'Timesheet Raw'!$C$4:$C$8000,"*"&amp;$B318&amp;"*",'Timesheet Raw'!$L$4:$L$8000,"&gt;="&amp;MAX(E$5,DATE(2000+VALUE(RIGHT(TRIM($A318),2)),1,1)),'Timesheet Raw'!$L$4:$L$8000,"&lt;="&amp;MIN(E$6,DATE(2000+VALUE(RIGHT(TRIM($A318),2)),12,31))),SUMIFS('Timesheet Raw'!$P$4:$P$8000,'Timesheet Raw'!$B$4:$B$8000,TRIM($A318),'Timesheet Raw'!$C$4:$C$8000,"*"&amp;$B318&amp;"*",'Timesheet Raw'!$L$4:$L$8000,"&gt;="&amp;E$5,'Timesheet Raw'!$L$4:$L$8000,"&lt;="&amp;E$6)))/'Profit Plan'!$B$5)</f>
        <v>0</v>
      </c>
      <c r="F318" s="122">
        <f>IF($A318="","",(IF(ISNUMBER(SEARCH("Proposal",$A318)),SUMIFS('Timesheet Raw'!$P$4:$P$8000,'Timesheet Raw'!$A$4:$A$8000,IF(ISNUMBER(SEARCH("Chargable",$A318)),"2-Proposals Chargeable","3-Proposals Regular"),'Timesheet Raw'!$C$4:$C$8000,"*"&amp;$B318&amp;"*",'Timesheet Raw'!$L$4:$L$8000,"&gt;="&amp;MAX(F$5,DATE(2000+VALUE(RIGHT(TRIM($A318),2)),1,1)),'Timesheet Raw'!$L$4:$L$8000,"&lt;="&amp;MIN(F$6,DATE(2000+VALUE(RIGHT(TRIM($A318),2)),12,31))),SUMIFS('Timesheet Raw'!$P$4:$P$8000,'Timesheet Raw'!$B$4:$B$8000,TRIM($A318),'Timesheet Raw'!$C$4:$C$8000,"*"&amp;$B318&amp;"*",'Timesheet Raw'!$L$4:$L$8000,"&gt;="&amp;F$5,'Timesheet Raw'!$L$4:$L$8000,"&lt;="&amp;F$6)))/'Profit Plan'!$B$5)</f>
        <v>0</v>
      </c>
      <c r="G318" s="122">
        <f>IF($A318="","",(IF(ISNUMBER(SEARCH("Proposal",$A318)),SUMIFS('Timesheet Raw'!$P$4:$P$8000,'Timesheet Raw'!$A$4:$A$8000,IF(ISNUMBER(SEARCH("Chargable",$A318)),"2-Proposals Chargeable","3-Proposals Regular"),'Timesheet Raw'!$C$4:$C$8000,"*"&amp;$B318&amp;"*",'Timesheet Raw'!$L$4:$L$8000,"&gt;="&amp;MAX(G$5,DATE(2000+VALUE(RIGHT(TRIM($A318),2)),1,1)),'Timesheet Raw'!$L$4:$L$8000,"&lt;="&amp;MIN(G$6,DATE(2000+VALUE(RIGHT(TRIM($A318),2)),12,31))),SUMIFS('Timesheet Raw'!$P$4:$P$8000,'Timesheet Raw'!$B$4:$B$8000,TRIM($A318),'Timesheet Raw'!$C$4:$C$8000,"*"&amp;$B318&amp;"*",'Timesheet Raw'!$L$4:$L$8000,"&gt;="&amp;G$5,'Timesheet Raw'!$L$4:$L$8000,"&lt;="&amp;G$6)))/'Profit Plan'!$B$5)</f>
        <v>0</v>
      </c>
      <c r="H318" s="122">
        <f>IF($A318="","",(IF(ISNUMBER(SEARCH("Proposal",$A318)),SUMIFS('Timesheet Raw'!$P$4:$P$8000,'Timesheet Raw'!$A$4:$A$8000,IF(ISNUMBER(SEARCH("Chargable",$A318)),"2-Proposals Chargeable","3-Proposals Regular"),'Timesheet Raw'!$C$4:$C$8000,"*"&amp;$B318&amp;"*",'Timesheet Raw'!$L$4:$L$8000,"&gt;="&amp;MAX(H$5,DATE(2000+VALUE(RIGHT(TRIM($A318),2)),1,1)),'Timesheet Raw'!$L$4:$L$8000,"&lt;="&amp;MIN(H$6,DATE(2000+VALUE(RIGHT(TRIM($A318),2)),12,31))),SUMIFS('Timesheet Raw'!$P$4:$P$8000,'Timesheet Raw'!$B$4:$B$8000,TRIM($A318),'Timesheet Raw'!$C$4:$C$8000,"*"&amp;$B318&amp;"*",'Timesheet Raw'!$L$4:$L$8000,"&gt;="&amp;H$5,'Timesheet Raw'!$L$4:$L$8000,"&lt;="&amp;H$6)))/'Profit Plan'!$B$5)</f>
        <v>0</v>
      </c>
      <c r="I318" s="122">
        <f>IF($A318="","",(IF(ISNUMBER(SEARCH("Proposal",$A318)),SUMIFS('Timesheet Raw'!$P$4:$P$8000,'Timesheet Raw'!$A$4:$A$8000,IF(ISNUMBER(SEARCH("Chargable",$A318)),"2-Proposals Chargeable","3-Proposals Regular"),'Timesheet Raw'!$C$4:$C$8000,"*"&amp;$B318&amp;"*",'Timesheet Raw'!$L$4:$L$8000,"&gt;="&amp;MAX(I$5,DATE(2000+VALUE(RIGHT(TRIM($A318),2)),1,1)),'Timesheet Raw'!$L$4:$L$8000,"&lt;="&amp;MIN(I$6,DATE(2000+VALUE(RIGHT(TRIM($A318),2)),12,31))),SUMIFS('Timesheet Raw'!$P$4:$P$8000,'Timesheet Raw'!$B$4:$B$8000,TRIM($A318),'Timesheet Raw'!$C$4:$C$8000,"*"&amp;$B318&amp;"*",'Timesheet Raw'!$L$4:$L$8000,"&gt;="&amp;I$5,'Timesheet Raw'!$L$4:$L$8000,"&lt;="&amp;I$6)))/'Profit Plan'!$B$5)</f>
        <v>0</v>
      </c>
      <c r="J318" s="122">
        <f>IF($A318="","",(IF(ISNUMBER(SEARCH("Proposal",$A318)),SUMIFS('Timesheet Raw'!$P$4:$P$8000,'Timesheet Raw'!$A$4:$A$8000,IF(ISNUMBER(SEARCH("Chargable",$A318)),"2-Proposals Chargeable","3-Proposals Regular"),'Timesheet Raw'!$C$4:$C$8000,"*"&amp;$B318&amp;"*",'Timesheet Raw'!$L$4:$L$8000,"&gt;="&amp;MAX(J$5,DATE(2000+VALUE(RIGHT(TRIM($A318),2)),1,1)),'Timesheet Raw'!$L$4:$L$8000,"&lt;="&amp;MIN(J$6,DATE(2000+VALUE(RIGHT(TRIM($A318),2)),12,31))),SUMIFS('Timesheet Raw'!$P$4:$P$8000,'Timesheet Raw'!$B$4:$B$8000,TRIM($A318),'Timesheet Raw'!$C$4:$C$8000,"*"&amp;$B318&amp;"*",'Timesheet Raw'!$L$4:$L$8000,"&gt;="&amp;J$5,'Timesheet Raw'!$L$4:$L$8000,"&lt;="&amp;J$6)))/'Profit Plan'!$B$5)</f>
        <v>0</v>
      </c>
      <c r="K318" s="122">
        <f>IF($A318="","",(IF(ISNUMBER(SEARCH("Proposal",$A318)),SUMIFS('Timesheet Raw'!$P$4:$P$8000,'Timesheet Raw'!$A$4:$A$8000,IF(ISNUMBER(SEARCH("Chargable",$A318)),"2-Proposals Chargeable","3-Proposals Regular"),'Timesheet Raw'!$C$4:$C$8000,"*"&amp;$B318&amp;"*",'Timesheet Raw'!$L$4:$L$8000,"&gt;="&amp;MAX(K$5,DATE(2000+VALUE(RIGHT(TRIM($A318),2)),1,1)),'Timesheet Raw'!$L$4:$L$8000,"&lt;="&amp;MIN(K$6,DATE(2000+VALUE(RIGHT(TRIM($A318),2)),12,31))),SUMIFS('Timesheet Raw'!$P$4:$P$8000,'Timesheet Raw'!$B$4:$B$8000,TRIM($A318),'Timesheet Raw'!$C$4:$C$8000,"*"&amp;$B318&amp;"*",'Timesheet Raw'!$L$4:$L$8000,"&gt;="&amp;K$5,'Timesheet Raw'!$L$4:$L$8000,"&lt;="&amp;K$6)))/'Profit Plan'!$B$5)</f>
        <v>0</v>
      </c>
      <c r="L318" s="122">
        <f>IF($A318="","",(IF(ISNUMBER(SEARCH("Proposal",$A318)),SUMIFS('Timesheet Raw'!$P$4:$P$8000,'Timesheet Raw'!$A$4:$A$8000,IF(ISNUMBER(SEARCH("Chargable",$A318)),"2-Proposals Chargeable","3-Proposals Regular"),'Timesheet Raw'!$C$4:$C$8000,"*"&amp;$B318&amp;"*",'Timesheet Raw'!$L$4:$L$8000,"&gt;="&amp;MAX(L$5,DATE(2000+VALUE(RIGHT(TRIM($A318),2)),1,1)),'Timesheet Raw'!$L$4:$L$8000,"&lt;="&amp;MIN(L$6,DATE(2000+VALUE(RIGHT(TRIM($A318),2)),12,31))),SUMIFS('Timesheet Raw'!$P$4:$P$8000,'Timesheet Raw'!$B$4:$B$8000,TRIM($A318),'Timesheet Raw'!$C$4:$C$8000,"*"&amp;$B318&amp;"*",'Timesheet Raw'!$L$4:$L$8000,"&gt;="&amp;L$5,'Timesheet Raw'!$L$4:$L$8000,"&lt;="&amp;L$6)))/'Profit Plan'!$B$5)</f>
        <v>0</v>
      </c>
      <c r="M318" s="122">
        <f>IF($A318="","",(IF(ISNUMBER(SEARCH("Proposal",$A318)),SUMIFS('Timesheet Raw'!$P$4:$P$8000,'Timesheet Raw'!$A$4:$A$8000,IF(ISNUMBER(SEARCH("Chargable",$A318)),"2-Proposals Chargeable","3-Proposals Regular"),'Timesheet Raw'!$C$4:$C$8000,"*"&amp;$B318&amp;"*",'Timesheet Raw'!$L$4:$L$8000,"&gt;="&amp;MAX(M$5,DATE(2000+VALUE(RIGHT(TRIM($A318),2)),1,1)),'Timesheet Raw'!$L$4:$L$8000,"&lt;="&amp;MIN(M$6,DATE(2000+VALUE(RIGHT(TRIM($A318),2)),12,31))),SUMIFS('Timesheet Raw'!$P$4:$P$8000,'Timesheet Raw'!$B$4:$B$8000,TRIM($A318),'Timesheet Raw'!$C$4:$C$8000,"*"&amp;$B318&amp;"*",'Timesheet Raw'!$L$4:$L$8000,"&gt;="&amp;M$5,'Timesheet Raw'!$L$4:$L$8000,"&lt;="&amp;M$6)))/'Profit Plan'!$B$5)</f>
        <v>0</v>
      </c>
      <c r="N318" s="122">
        <f>IF($A318="","",(IF(ISNUMBER(SEARCH("Proposal",$A318)),SUMIFS('Timesheet Raw'!$P$4:$P$8000,'Timesheet Raw'!$A$4:$A$8000,IF(ISNUMBER(SEARCH("Chargable",$A318)),"2-Proposals Chargeable","3-Proposals Regular"),'Timesheet Raw'!$C$4:$C$8000,"*"&amp;$B318&amp;"*",'Timesheet Raw'!$L$4:$L$8000,"&gt;="&amp;MAX(N$5,DATE(2000+VALUE(RIGHT(TRIM($A318),2)),1,1)),'Timesheet Raw'!$L$4:$L$8000,"&lt;="&amp;MIN(N$6,DATE(2000+VALUE(RIGHT(TRIM($A318),2)),12,31))),SUMIFS('Timesheet Raw'!$P$4:$P$8000,'Timesheet Raw'!$B$4:$B$8000,TRIM($A318),'Timesheet Raw'!$C$4:$C$8000,"*"&amp;$B318&amp;"*",'Timesheet Raw'!$L$4:$L$8000,"&gt;="&amp;N$5,'Timesheet Raw'!$L$4:$L$8000,"&lt;="&amp;N$6)))/'Profit Plan'!$B$5)</f>
        <v>0</v>
      </c>
      <c r="O318" s="122">
        <f>IF($A318="","",(IF(ISNUMBER(SEARCH("Proposal",$A318)),SUMIFS('Timesheet Raw'!$P$4:$P$8000,'Timesheet Raw'!$A$4:$A$8000,IF(ISNUMBER(SEARCH("Chargable",$A318)),"2-Proposals Chargeable","3-Proposals Regular"),'Timesheet Raw'!$C$4:$C$8000,"*"&amp;$B318&amp;"*",'Timesheet Raw'!$L$4:$L$8000,"&gt;="&amp;MAX(O$5,DATE(2000+VALUE(RIGHT(TRIM($A318),2)),1,1)),'Timesheet Raw'!$L$4:$L$8000,"&lt;="&amp;MIN(O$6,DATE(2000+VALUE(RIGHT(TRIM($A318),2)),12,31))),SUMIFS('Timesheet Raw'!$P$4:$P$8000,'Timesheet Raw'!$B$4:$B$8000,TRIM($A318),'Timesheet Raw'!$C$4:$C$8000,"*"&amp;$B318&amp;"*",'Timesheet Raw'!$L$4:$L$8000,"&gt;="&amp;O$5,'Timesheet Raw'!$L$4:$L$8000,"&lt;="&amp;O$6)))/'Profit Plan'!$B$5)</f>
        <v>0</v>
      </c>
      <c r="P318" s="122">
        <f>IF($A318="","",(IF(ISNUMBER(SEARCH("Proposal",$A318)),SUMIFS('Timesheet Raw'!$P$4:$P$8000,'Timesheet Raw'!$A$4:$A$8000,IF(ISNUMBER(SEARCH("Chargable",$A318)),"2-Proposals Chargeable","3-Proposals Regular"),'Timesheet Raw'!$C$4:$C$8000,"*"&amp;$B318&amp;"*",'Timesheet Raw'!$L$4:$L$8000,"&gt;="&amp;MAX(P$5,DATE(2000+VALUE(RIGHT(TRIM($A318),2)),1,1)),'Timesheet Raw'!$L$4:$L$8000,"&lt;="&amp;MIN(P$6,DATE(2000+VALUE(RIGHT(TRIM($A318),2)),12,31))),SUMIFS('Timesheet Raw'!$P$4:$P$8000,'Timesheet Raw'!$B$4:$B$8000,TRIM($A318),'Timesheet Raw'!$C$4:$C$8000,"*"&amp;$B318&amp;"*",'Timesheet Raw'!$L$4:$L$8000,"&gt;="&amp;P$5,'Timesheet Raw'!$L$4:$L$8000,"&lt;="&amp;P$6)))/'Profit Plan'!$B$5)</f>
        <v>0</v>
      </c>
      <c r="Q318" s="122">
        <f>IF($A318="","",(IF(ISNUMBER(SEARCH("Proposal",$A318)),SUMIFS('Timesheet Raw'!$P$4:$P$8000,'Timesheet Raw'!$A$4:$A$8000,IF(ISNUMBER(SEARCH("Chargable",$A318)),"2-Proposals Chargeable","3-Proposals Regular"),'Timesheet Raw'!$C$4:$C$8000,"*"&amp;$B318&amp;"*",'Timesheet Raw'!$L$4:$L$8000,"&gt;="&amp;MAX(Q$5,DATE(2000+VALUE(RIGHT(TRIM($A318),2)),1,1)),'Timesheet Raw'!$L$4:$L$8000,"&lt;="&amp;MIN(Q$6,DATE(2000+VALUE(RIGHT(TRIM($A318),2)),12,31))),SUMIFS('Timesheet Raw'!$P$4:$P$8000,'Timesheet Raw'!$B$4:$B$8000,TRIM($A318),'Timesheet Raw'!$C$4:$C$8000,"*"&amp;$B318&amp;"*",'Timesheet Raw'!$L$4:$L$8000,"&gt;="&amp;Q$5,'Timesheet Raw'!$L$4:$L$8000,"&lt;="&amp;Q$6)))/'Profit Plan'!$B$5)</f>
        <v>0</v>
      </c>
      <c r="R318" s="122">
        <f>IF($A318="","",(IF(ISNUMBER(SEARCH("Proposal",$A318)),SUMIFS('Timesheet Raw'!$P$4:$P$8000,'Timesheet Raw'!$A$4:$A$8000,IF(ISNUMBER(SEARCH("Chargable",$A318)),"2-Proposals Chargeable","3-Proposals Regular"),'Timesheet Raw'!$C$4:$C$8000,"*"&amp;$B318&amp;"*",'Timesheet Raw'!$L$4:$L$8000,"&gt;="&amp;MAX(R$5,DATE(2000+VALUE(RIGHT(TRIM($A318),2)),1,1)),'Timesheet Raw'!$L$4:$L$8000,"&lt;="&amp;MIN(R$6,DATE(2000+VALUE(RIGHT(TRIM($A318),2)),12,31))),SUMIFS('Timesheet Raw'!$P$4:$P$8000,'Timesheet Raw'!$B$4:$B$8000,TRIM($A318),'Timesheet Raw'!$C$4:$C$8000,"*"&amp;$B318&amp;"*",'Timesheet Raw'!$L$4:$L$8000,"&gt;="&amp;R$5,'Timesheet Raw'!$L$4:$L$8000,"&lt;="&amp;R$6)))/'Profit Plan'!$B$5)</f>
        <v>0</v>
      </c>
      <c r="S318" s="122">
        <f>IF($A318="","",(IF(ISNUMBER(SEARCH("Proposal",$A318)),SUMIFS('Timesheet Raw'!$P$4:$P$8000,'Timesheet Raw'!$A$4:$A$8000,IF(ISNUMBER(SEARCH("Chargable",$A318)),"2-Proposals Chargeable","3-Proposals Regular"),'Timesheet Raw'!$C$4:$C$8000,"*"&amp;$B318&amp;"*",'Timesheet Raw'!$L$4:$L$8000,"&gt;="&amp;MAX(S$5,DATE(2000+VALUE(RIGHT(TRIM($A318),2)),1,1)),'Timesheet Raw'!$L$4:$L$8000,"&lt;="&amp;MIN(S$6,DATE(2000+VALUE(RIGHT(TRIM($A318),2)),12,31))),SUMIFS('Timesheet Raw'!$P$4:$P$8000,'Timesheet Raw'!$B$4:$B$8000,TRIM($A318),'Timesheet Raw'!$C$4:$C$8000,"*"&amp;$B318&amp;"*",'Timesheet Raw'!$L$4:$L$8000,"&gt;="&amp;S$5,'Timesheet Raw'!$L$4:$L$8000,"&lt;="&amp;S$6)))/'Profit Plan'!$B$5)</f>
        <v>0</v>
      </c>
      <c r="T318" s="122">
        <f>IF($A318="","",(IF(ISNUMBER(SEARCH("Proposal",$A318)),SUMIFS('Timesheet Raw'!$P$4:$P$8000,'Timesheet Raw'!$A$4:$A$8000,IF(ISNUMBER(SEARCH("Chargable",$A318)),"2-Proposals Chargeable","3-Proposals Regular"),'Timesheet Raw'!$C$4:$C$8000,"*"&amp;$B318&amp;"*",'Timesheet Raw'!$L$4:$L$8000,"&gt;="&amp;MAX(T$5,DATE(2000+VALUE(RIGHT(TRIM($A318),2)),1,1)),'Timesheet Raw'!$L$4:$L$8000,"&lt;="&amp;MIN(T$6,DATE(2000+VALUE(RIGHT(TRIM($A318),2)),12,31))),SUMIFS('Timesheet Raw'!$P$4:$P$8000,'Timesheet Raw'!$B$4:$B$8000,TRIM($A318),'Timesheet Raw'!$C$4:$C$8000,"*"&amp;$B318&amp;"*",'Timesheet Raw'!$L$4:$L$8000,"&gt;="&amp;T$5,'Timesheet Raw'!$L$4:$L$8000,"&lt;="&amp;T$6)))/'Profit Plan'!$B$5)</f>
        <v>0</v>
      </c>
      <c r="U318" s="122">
        <f>IF($A318="","",(IF(ISNUMBER(SEARCH("Proposal",$A318)),SUMIFS('Timesheet Raw'!$P$4:$P$8000,'Timesheet Raw'!$A$4:$A$8000,IF(ISNUMBER(SEARCH("Chargable",$A318)),"2-Proposals Chargeable","3-Proposals Regular"),'Timesheet Raw'!$C$4:$C$8000,"*"&amp;$B318&amp;"*",'Timesheet Raw'!$L$4:$L$8000,"&gt;="&amp;MAX(U$5,DATE(2000+VALUE(RIGHT(TRIM($A318),2)),1,1)),'Timesheet Raw'!$L$4:$L$8000,"&lt;="&amp;MIN(U$6,DATE(2000+VALUE(RIGHT(TRIM($A318),2)),12,31))),SUMIFS('Timesheet Raw'!$P$4:$P$8000,'Timesheet Raw'!$B$4:$B$8000,TRIM($A318),'Timesheet Raw'!$C$4:$C$8000,"*"&amp;$B318&amp;"*",'Timesheet Raw'!$L$4:$L$8000,"&gt;="&amp;U$5,'Timesheet Raw'!$L$4:$L$8000,"&lt;="&amp;U$6)))/'Profit Plan'!$B$5)</f>
        <v>0</v>
      </c>
      <c r="V318" s="122">
        <f>IF($A318="","",(IF(ISNUMBER(SEARCH("Proposal",$A318)),SUMIFS('Timesheet Raw'!$P$4:$P$8000,'Timesheet Raw'!$A$4:$A$8000,IF(ISNUMBER(SEARCH("Chargable",$A318)),"2-Proposals Chargeable","3-Proposals Regular"),'Timesheet Raw'!$C$4:$C$8000,"*"&amp;$B318&amp;"*",'Timesheet Raw'!$L$4:$L$8000,"&gt;="&amp;MAX(V$5,DATE(2000+VALUE(RIGHT(TRIM($A318),2)),1,1)),'Timesheet Raw'!$L$4:$L$8000,"&lt;="&amp;MIN(V$6,DATE(2000+VALUE(RIGHT(TRIM($A318),2)),12,31))),SUMIFS('Timesheet Raw'!$P$4:$P$8000,'Timesheet Raw'!$B$4:$B$8000,TRIM($A318),'Timesheet Raw'!$C$4:$C$8000,"*"&amp;$B318&amp;"*",'Timesheet Raw'!$L$4:$L$8000,"&gt;="&amp;V$5,'Timesheet Raw'!$L$4:$L$8000,"&lt;="&amp;V$6)))/'Profit Plan'!$B$5)</f>
        <v>0</v>
      </c>
      <c r="W318" s="122">
        <f>IF($A318="","",(IF(ISNUMBER(SEARCH("Proposal",$A318)),SUMIFS('Timesheet Raw'!$P$4:$P$8000,'Timesheet Raw'!$A$4:$A$8000,IF(ISNUMBER(SEARCH("Chargable",$A318)),"2-Proposals Chargeable","3-Proposals Regular"),'Timesheet Raw'!$C$4:$C$8000,"*"&amp;$B318&amp;"*",'Timesheet Raw'!$L$4:$L$8000,"&gt;="&amp;MAX(W$5,DATE(2000+VALUE(RIGHT(TRIM($A318),2)),1,1)),'Timesheet Raw'!$L$4:$L$8000,"&lt;="&amp;MIN(W$6,DATE(2000+VALUE(RIGHT(TRIM($A318),2)),12,31))),SUMIFS('Timesheet Raw'!$P$4:$P$8000,'Timesheet Raw'!$B$4:$B$8000,TRIM($A318),'Timesheet Raw'!$C$4:$C$8000,"*"&amp;$B318&amp;"*",'Timesheet Raw'!$L$4:$L$8000,"&gt;="&amp;W$5,'Timesheet Raw'!$L$4:$L$8000,"&lt;="&amp;W$6)))/'Profit Plan'!$B$5)</f>
        <v>0</v>
      </c>
      <c r="X318" s="122">
        <f>IF($A318="","",(IF(ISNUMBER(SEARCH("Proposal",$A318)),SUMIFS('Timesheet Raw'!$P$4:$P$8000,'Timesheet Raw'!$A$4:$A$8000,IF(ISNUMBER(SEARCH("Chargable",$A318)),"2-Proposals Chargeable","3-Proposals Regular"),'Timesheet Raw'!$C$4:$C$8000,"*"&amp;$B318&amp;"*",'Timesheet Raw'!$L$4:$L$8000,"&gt;="&amp;MAX(X$5,DATE(2000+VALUE(RIGHT(TRIM($A318),2)),1,1)),'Timesheet Raw'!$L$4:$L$8000,"&lt;="&amp;MIN(X$6,DATE(2000+VALUE(RIGHT(TRIM($A318),2)),12,31))),SUMIFS('Timesheet Raw'!$P$4:$P$8000,'Timesheet Raw'!$B$4:$B$8000,TRIM($A318),'Timesheet Raw'!$C$4:$C$8000,"*"&amp;$B318&amp;"*",'Timesheet Raw'!$L$4:$L$8000,"&gt;="&amp;X$5,'Timesheet Raw'!$L$4:$L$8000,"&lt;="&amp;X$6)))/'Profit Plan'!$B$5)</f>
        <v>0</v>
      </c>
      <c r="Y318" s="118">
        <f t="shared" si="100"/>
        <v>0</v>
      </c>
    </row>
    <row r="319" spans="1:25" x14ac:dyDescent="0.3">
      <c r="A319" s="116" t="str">
        <f>IF(Inputs!$A24="","",Inputs!$A24)</f>
        <v>S22058-0700D</v>
      </c>
      <c r="B319" s="116" t="str">
        <f>IF(Inputs!$A24="","",Inputs!$A$91)</f>
        <v>Ahmed</v>
      </c>
      <c r="C319" s="116"/>
      <c r="D319" s="122">
        <f>IF($A319="","",(IF(ISNUMBER(SEARCH("Proposal",$A319)),SUMIFS('Timesheet Raw'!$P$4:$P$8000,'Timesheet Raw'!$A$4:$A$8000,IF(ISNUMBER(SEARCH("Chargable",$A319)),"2-Proposals Chargeable","3-Proposals Regular"),'Timesheet Raw'!$C$4:$C$8000,"*"&amp;$B319&amp;"*",'Timesheet Raw'!$L$4:$L$8000,"&gt;="&amp;MAX(D$5,DATE(2000+VALUE(RIGHT(TRIM($A319),2)),1,1)),'Timesheet Raw'!$L$4:$L$8000,"&lt;="&amp;MIN(D$6,DATE(2000+VALUE(RIGHT(TRIM($A319),2)),12,31))),SUMIFS('Timesheet Raw'!$P$4:$P$8000,'Timesheet Raw'!$B$4:$B$8000,TRIM($A319),'Timesheet Raw'!$C$4:$C$8000,"*"&amp;$B319&amp;"*",'Timesheet Raw'!$L$4:$L$8000,"&gt;="&amp;D$5,'Timesheet Raw'!$L$4:$L$8000,"&lt;="&amp;D$6)))/'Profit Plan'!$B$5)</f>
        <v>0</v>
      </c>
      <c r="E319" s="122">
        <f>IF($A319="","",(IF(ISNUMBER(SEARCH("Proposal",$A319)),SUMIFS('Timesheet Raw'!$P$4:$P$8000,'Timesheet Raw'!$A$4:$A$8000,IF(ISNUMBER(SEARCH("Chargable",$A319)),"2-Proposals Chargeable","3-Proposals Regular"),'Timesheet Raw'!$C$4:$C$8000,"*"&amp;$B319&amp;"*",'Timesheet Raw'!$L$4:$L$8000,"&gt;="&amp;MAX(E$5,DATE(2000+VALUE(RIGHT(TRIM($A319),2)),1,1)),'Timesheet Raw'!$L$4:$L$8000,"&lt;="&amp;MIN(E$6,DATE(2000+VALUE(RIGHT(TRIM($A319),2)),12,31))),SUMIFS('Timesheet Raw'!$P$4:$P$8000,'Timesheet Raw'!$B$4:$B$8000,TRIM($A319),'Timesheet Raw'!$C$4:$C$8000,"*"&amp;$B319&amp;"*",'Timesheet Raw'!$L$4:$L$8000,"&gt;="&amp;E$5,'Timesheet Raw'!$L$4:$L$8000,"&lt;="&amp;E$6)))/'Profit Plan'!$B$5)</f>
        <v>0</v>
      </c>
      <c r="F319" s="122">
        <f>IF($A319="","",(IF(ISNUMBER(SEARCH("Proposal",$A319)),SUMIFS('Timesheet Raw'!$P$4:$P$8000,'Timesheet Raw'!$A$4:$A$8000,IF(ISNUMBER(SEARCH("Chargable",$A319)),"2-Proposals Chargeable","3-Proposals Regular"),'Timesheet Raw'!$C$4:$C$8000,"*"&amp;$B319&amp;"*",'Timesheet Raw'!$L$4:$L$8000,"&gt;="&amp;MAX(F$5,DATE(2000+VALUE(RIGHT(TRIM($A319),2)),1,1)),'Timesheet Raw'!$L$4:$L$8000,"&lt;="&amp;MIN(F$6,DATE(2000+VALUE(RIGHT(TRIM($A319),2)),12,31))),SUMIFS('Timesheet Raw'!$P$4:$P$8000,'Timesheet Raw'!$B$4:$B$8000,TRIM($A319),'Timesheet Raw'!$C$4:$C$8000,"*"&amp;$B319&amp;"*",'Timesheet Raw'!$L$4:$L$8000,"&gt;="&amp;F$5,'Timesheet Raw'!$L$4:$L$8000,"&lt;="&amp;F$6)))/'Profit Plan'!$B$5)</f>
        <v>0</v>
      </c>
      <c r="G319" s="122">
        <f>IF($A319="","",(IF(ISNUMBER(SEARCH("Proposal",$A319)),SUMIFS('Timesheet Raw'!$P$4:$P$8000,'Timesheet Raw'!$A$4:$A$8000,IF(ISNUMBER(SEARCH("Chargable",$A319)),"2-Proposals Chargeable","3-Proposals Regular"),'Timesheet Raw'!$C$4:$C$8000,"*"&amp;$B319&amp;"*",'Timesheet Raw'!$L$4:$L$8000,"&gt;="&amp;MAX(G$5,DATE(2000+VALUE(RIGHT(TRIM($A319),2)),1,1)),'Timesheet Raw'!$L$4:$L$8000,"&lt;="&amp;MIN(G$6,DATE(2000+VALUE(RIGHT(TRIM($A319),2)),12,31))),SUMIFS('Timesheet Raw'!$P$4:$P$8000,'Timesheet Raw'!$B$4:$B$8000,TRIM($A319),'Timesheet Raw'!$C$4:$C$8000,"*"&amp;$B319&amp;"*",'Timesheet Raw'!$L$4:$L$8000,"&gt;="&amp;G$5,'Timesheet Raw'!$L$4:$L$8000,"&lt;="&amp;G$6)))/'Profit Plan'!$B$5)</f>
        <v>2.1621621621621623E-2</v>
      </c>
      <c r="H319" s="122">
        <f>IF($A319="","",(IF(ISNUMBER(SEARCH("Proposal",$A319)),SUMIFS('Timesheet Raw'!$P$4:$P$8000,'Timesheet Raw'!$A$4:$A$8000,IF(ISNUMBER(SEARCH("Chargable",$A319)),"2-Proposals Chargeable","3-Proposals Regular"),'Timesheet Raw'!$C$4:$C$8000,"*"&amp;$B319&amp;"*",'Timesheet Raw'!$L$4:$L$8000,"&gt;="&amp;MAX(H$5,DATE(2000+VALUE(RIGHT(TRIM($A319),2)),1,1)),'Timesheet Raw'!$L$4:$L$8000,"&lt;="&amp;MIN(H$6,DATE(2000+VALUE(RIGHT(TRIM($A319),2)),12,31))),SUMIFS('Timesheet Raw'!$P$4:$P$8000,'Timesheet Raw'!$B$4:$B$8000,TRIM($A319),'Timesheet Raw'!$C$4:$C$8000,"*"&amp;$B319&amp;"*",'Timesheet Raw'!$L$4:$L$8000,"&gt;="&amp;H$5,'Timesheet Raw'!$L$4:$L$8000,"&lt;="&amp;H$6)))/'Profit Plan'!$B$5)</f>
        <v>8.7837837837837843E-2</v>
      </c>
      <c r="I319" s="122">
        <f>IF($A319="","",(IF(ISNUMBER(SEARCH("Proposal",$A319)),SUMIFS('Timesheet Raw'!$P$4:$P$8000,'Timesheet Raw'!$A$4:$A$8000,IF(ISNUMBER(SEARCH("Chargable",$A319)),"2-Proposals Chargeable","3-Proposals Regular"),'Timesheet Raw'!$C$4:$C$8000,"*"&amp;$B319&amp;"*",'Timesheet Raw'!$L$4:$L$8000,"&gt;="&amp;MAX(I$5,DATE(2000+VALUE(RIGHT(TRIM($A319),2)),1,1)),'Timesheet Raw'!$L$4:$L$8000,"&lt;="&amp;MIN(I$6,DATE(2000+VALUE(RIGHT(TRIM($A319),2)),12,31))),SUMIFS('Timesheet Raw'!$P$4:$P$8000,'Timesheet Raw'!$B$4:$B$8000,TRIM($A319),'Timesheet Raw'!$C$4:$C$8000,"*"&amp;$B319&amp;"*",'Timesheet Raw'!$L$4:$L$8000,"&gt;="&amp;I$5,'Timesheet Raw'!$L$4:$L$8000,"&lt;="&amp;I$6)))/'Profit Plan'!$B$5)</f>
        <v>0.82567567567567568</v>
      </c>
      <c r="J319" s="122">
        <f>IF($A319="","",(IF(ISNUMBER(SEARCH("Proposal",$A319)),SUMIFS('Timesheet Raw'!$P$4:$P$8000,'Timesheet Raw'!$A$4:$A$8000,IF(ISNUMBER(SEARCH("Chargable",$A319)),"2-Proposals Chargeable","3-Proposals Regular"),'Timesheet Raw'!$C$4:$C$8000,"*"&amp;$B319&amp;"*",'Timesheet Raw'!$L$4:$L$8000,"&gt;="&amp;MAX(J$5,DATE(2000+VALUE(RIGHT(TRIM($A319),2)),1,1)),'Timesheet Raw'!$L$4:$L$8000,"&lt;="&amp;MIN(J$6,DATE(2000+VALUE(RIGHT(TRIM($A319),2)),12,31))),SUMIFS('Timesheet Raw'!$P$4:$P$8000,'Timesheet Raw'!$B$4:$B$8000,TRIM($A319),'Timesheet Raw'!$C$4:$C$8000,"*"&amp;$B319&amp;"*",'Timesheet Raw'!$L$4:$L$8000,"&gt;="&amp;J$5,'Timesheet Raw'!$L$4:$L$8000,"&lt;="&amp;J$6)))/'Profit Plan'!$B$5)</f>
        <v>6.8918918918918923E-2</v>
      </c>
      <c r="K319" s="122">
        <f>IF($A319="","",(IF(ISNUMBER(SEARCH("Proposal",$A319)),SUMIFS('Timesheet Raw'!$P$4:$P$8000,'Timesheet Raw'!$A$4:$A$8000,IF(ISNUMBER(SEARCH("Chargable",$A319)),"2-Proposals Chargeable","3-Proposals Regular"),'Timesheet Raw'!$C$4:$C$8000,"*"&amp;$B319&amp;"*",'Timesheet Raw'!$L$4:$L$8000,"&gt;="&amp;MAX(K$5,DATE(2000+VALUE(RIGHT(TRIM($A319),2)),1,1)),'Timesheet Raw'!$L$4:$L$8000,"&lt;="&amp;MIN(K$6,DATE(2000+VALUE(RIGHT(TRIM($A319),2)),12,31))),SUMIFS('Timesheet Raw'!$P$4:$P$8000,'Timesheet Raw'!$B$4:$B$8000,TRIM($A319),'Timesheet Raw'!$C$4:$C$8000,"*"&amp;$B319&amp;"*",'Timesheet Raw'!$L$4:$L$8000,"&gt;="&amp;K$5,'Timesheet Raw'!$L$4:$L$8000,"&lt;="&amp;K$6)))/'Profit Plan'!$B$5)</f>
        <v>1.0810810810810811E-2</v>
      </c>
      <c r="L319" s="122">
        <f>IF($A319="","",(IF(ISNUMBER(SEARCH("Proposal",$A319)),SUMIFS('Timesheet Raw'!$P$4:$P$8000,'Timesheet Raw'!$A$4:$A$8000,IF(ISNUMBER(SEARCH("Chargable",$A319)),"2-Proposals Chargeable","3-Proposals Regular"),'Timesheet Raw'!$C$4:$C$8000,"*"&amp;$B319&amp;"*",'Timesheet Raw'!$L$4:$L$8000,"&gt;="&amp;MAX(L$5,DATE(2000+VALUE(RIGHT(TRIM($A319),2)),1,1)),'Timesheet Raw'!$L$4:$L$8000,"&lt;="&amp;MIN(L$6,DATE(2000+VALUE(RIGHT(TRIM($A319),2)),12,31))),SUMIFS('Timesheet Raw'!$P$4:$P$8000,'Timesheet Raw'!$B$4:$B$8000,TRIM($A319),'Timesheet Raw'!$C$4:$C$8000,"*"&amp;$B319&amp;"*",'Timesheet Raw'!$L$4:$L$8000,"&gt;="&amp;L$5,'Timesheet Raw'!$L$4:$L$8000,"&lt;="&amp;L$6)))/'Profit Plan'!$B$5)</f>
        <v>0</v>
      </c>
      <c r="M319" s="122">
        <f>IF($A319="","",(IF(ISNUMBER(SEARCH("Proposal",$A319)),SUMIFS('Timesheet Raw'!$P$4:$P$8000,'Timesheet Raw'!$A$4:$A$8000,IF(ISNUMBER(SEARCH("Chargable",$A319)),"2-Proposals Chargeable","3-Proposals Regular"),'Timesheet Raw'!$C$4:$C$8000,"*"&amp;$B319&amp;"*",'Timesheet Raw'!$L$4:$L$8000,"&gt;="&amp;MAX(M$5,DATE(2000+VALUE(RIGHT(TRIM($A319),2)),1,1)),'Timesheet Raw'!$L$4:$L$8000,"&lt;="&amp;MIN(M$6,DATE(2000+VALUE(RIGHT(TRIM($A319),2)),12,31))),SUMIFS('Timesheet Raw'!$P$4:$P$8000,'Timesheet Raw'!$B$4:$B$8000,TRIM($A319),'Timesheet Raw'!$C$4:$C$8000,"*"&amp;$B319&amp;"*",'Timesheet Raw'!$L$4:$L$8000,"&gt;="&amp;M$5,'Timesheet Raw'!$L$4:$L$8000,"&lt;="&amp;M$6)))/'Profit Plan'!$B$5)</f>
        <v>0</v>
      </c>
      <c r="N319" s="122">
        <f>IF($A319="","",(IF(ISNUMBER(SEARCH("Proposal",$A319)),SUMIFS('Timesheet Raw'!$P$4:$P$8000,'Timesheet Raw'!$A$4:$A$8000,IF(ISNUMBER(SEARCH("Chargable",$A319)),"2-Proposals Chargeable","3-Proposals Regular"),'Timesheet Raw'!$C$4:$C$8000,"*"&amp;$B319&amp;"*",'Timesheet Raw'!$L$4:$L$8000,"&gt;="&amp;MAX(N$5,DATE(2000+VALUE(RIGHT(TRIM($A319),2)),1,1)),'Timesheet Raw'!$L$4:$L$8000,"&lt;="&amp;MIN(N$6,DATE(2000+VALUE(RIGHT(TRIM($A319),2)),12,31))),SUMIFS('Timesheet Raw'!$P$4:$P$8000,'Timesheet Raw'!$B$4:$B$8000,TRIM($A319),'Timesheet Raw'!$C$4:$C$8000,"*"&amp;$B319&amp;"*",'Timesheet Raw'!$L$4:$L$8000,"&gt;="&amp;N$5,'Timesheet Raw'!$L$4:$L$8000,"&lt;="&amp;N$6)))/'Profit Plan'!$B$5)</f>
        <v>0</v>
      </c>
      <c r="O319" s="122">
        <f>IF($A319="","",(IF(ISNUMBER(SEARCH("Proposal",$A319)),SUMIFS('Timesheet Raw'!$P$4:$P$8000,'Timesheet Raw'!$A$4:$A$8000,IF(ISNUMBER(SEARCH("Chargable",$A319)),"2-Proposals Chargeable","3-Proposals Regular"),'Timesheet Raw'!$C$4:$C$8000,"*"&amp;$B319&amp;"*",'Timesheet Raw'!$L$4:$L$8000,"&gt;="&amp;MAX(O$5,DATE(2000+VALUE(RIGHT(TRIM($A319),2)),1,1)),'Timesheet Raw'!$L$4:$L$8000,"&lt;="&amp;MIN(O$6,DATE(2000+VALUE(RIGHT(TRIM($A319),2)),12,31))),SUMIFS('Timesheet Raw'!$P$4:$P$8000,'Timesheet Raw'!$B$4:$B$8000,TRIM($A319),'Timesheet Raw'!$C$4:$C$8000,"*"&amp;$B319&amp;"*",'Timesheet Raw'!$L$4:$L$8000,"&gt;="&amp;O$5,'Timesheet Raw'!$L$4:$L$8000,"&lt;="&amp;O$6)))/'Profit Plan'!$B$5)</f>
        <v>0</v>
      </c>
      <c r="P319" s="122">
        <f>IF($A319="","",(IF(ISNUMBER(SEARCH("Proposal",$A319)),SUMIFS('Timesheet Raw'!$P$4:$P$8000,'Timesheet Raw'!$A$4:$A$8000,IF(ISNUMBER(SEARCH("Chargable",$A319)),"2-Proposals Chargeable","3-Proposals Regular"),'Timesheet Raw'!$C$4:$C$8000,"*"&amp;$B319&amp;"*",'Timesheet Raw'!$L$4:$L$8000,"&gt;="&amp;MAX(P$5,DATE(2000+VALUE(RIGHT(TRIM($A319),2)),1,1)),'Timesheet Raw'!$L$4:$L$8000,"&lt;="&amp;MIN(P$6,DATE(2000+VALUE(RIGHT(TRIM($A319),2)),12,31))),SUMIFS('Timesheet Raw'!$P$4:$P$8000,'Timesheet Raw'!$B$4:$B$8000,TRIM($A319),'Timesheet Raw'!$C$4:$C$8000,"*"&amp;$B319&amp;"*",'Timesheet Raw'!$L$4:$L$8000,"&gt;="&amp;P$5,'Timesheet Raw'!$L$4:$L$8000,"&lt;="&amp;P$6)))/'Profit Plan'!$B$5)</f>
        <v>0</v>
      </c>
      <c r="Q319" s="122">
        <f>IF($A319="","",(IF(ISNUMBER(SEARCH("Proposal",$A319)),SUMIFS('Timesheet Raw'!$P$4:$P$8000,'Timesheet Raw'!$A$4:$A$8000,IF(ISNUMBER(SEARCH("Chargable",$A319)),"2-Proposals Chargeable","3-Proposals Regular"),'Timesheet Raw'!$C$4:$C$8000,"*"&amp;$B319&amp;"*",'Timesheet Raw'!$L$4:$L$8000,"&gt;="&amp;MAX(Q$5,DATE(2000+VALUE(RIGHT(TRIM($A319),2)),1,1)),'Timesheet Raw'!$L$4:$L$8000,"&lt;="&amp;MIN(Q$6,DATE(2000+VALUE(RIGHT(TRIM($A319),2)),12,31))),SUMIFS('Timesheet Raw'!$P$4:$P$8000,'Timesheet Raw'!$B$4:$B$8000,TRIM($A319),'Timesheet Raw'!$C$4:$C$8000,"*"&amp;$B319&amp;"*",'Timesheet Raw'!$L$4:$L$8000,"&gt;="&amp;Q$5,'Timesheet Raw'!$L$4:$L$8000,"&lt;="&amp;Q$6)))/'Profit Plan'!$B$5)</f>
        <v>0</v>
      </c>
      <c r="R319" s="122">
        <f>IF($A319="","",(IF(ISNUMBER(SEARCH("Proposal",$A319)),SUMIFS('Timesheet Raw'!$P$4:$P$8000,'Timesheet Raw'!$A$4:$A$8000,IF(ISNUMBER(SEARCH("Chargable",$A319)),"2-Proposals Chargeable","3-Proposals Regular"),'Timesheet Raw'!$C$4:$C$8000,"*"&amp;$B319&amp;"*",'Timesheet Raw'!$L$4:$L$8000,"&gt;="&amp;MAX(R$5,DATE(2000+VALUE(RIGHT(TRIM($A319),2)),1,1)),'Timesheet Raw'!$L$4:$L$8000,"&lt;="&amp;MIN(R$6,DATE(2000+VALUE(RIGHT(TRIM($A319),2)),12,31))),SUMIFS('Timesheet Raw'!$P$4:$P$8000,'Timesheet Raw'!$B$4:$B$8000,TRIM($A319),'Timesheet Raw'!$C$4:$C$8000,"*"&amp;$B319&amp;"*",'Timesheet Raw'!$L$4:$L$8000,"&gt;="&amp;R$5,'Timesheet Raw'!$L$4:$L$8000,"&lt;="&amp;R$6)))/'Profit Plan'!$B$5)</f>
        <v>0</v>
      </c>
      <c r="S319" s="122">
        <f>IF($A319="","",(IF(ISNUMBER(SEARCH("Proposal",$A319)),SUMIFS('Timesheet Raw'!$P$4:$P$8000,'Timesheet Raw'!$A$4:$A$8000,IF(ISNUMBER(SEARCH("Chargable",$A319)),"2-Proposals Chargeable","3-Proposals Regular"),'Timesheet Raw'!$C$4:$C$8000,"*"&amp;$B319&amp;"*",'Timesheet Raw'!$L$4:$L$8000,"&gt;="&amp;MAX(S$5,DATE(2000+VALUE(RIGHT(TRIM($A319),2)),1,1)),'Timesheet Raw'!$L$4:$L$8000,"&lt;="&amp;MIN(S$6,DATE(2000+VALUE(RIGHT(TRIM($A319),2)),12,31))),SUMIFS('Timesheet Raw'!$P$4:$P$8000,'Timesheet Raw'!$B$4:$B$8000,TRIM($A319),'Timesheet Raw'!$C$4:$C$8000,"*"&amp;$B319&amp;"*",'Timesheet Raw'!$L$4:$L$8000,"&gt;="&amp;S$5,'Timesheet Raw'!$L$4:$L$8000,"&lt;="&amp;S$6)))/'Profit Plan'!$B$5)</f>
        <v>0</v>
      </c>
      <c r="T319" s="122">
        <f>IF($A319="","",(IF(ISNUMBER(SEARCH("Proposal",$A319)),SUMIFS('Timesheet Raw'!$P$4:$P$8000,'Timesheet Raw'!$A$4:$A$8000,IF(ISNUMBER(SEARCH("Chargable",$A319)),"2-Proposals Chargeable","3-Proposals Regular"),'Timesheet Raw'!$C$4:$C$8000,"*"&amp;$B319&amp;"*",'Timesheet Raw'!$L$4:$L$8000,"&gt;="&amp;MAX(T$5,DATE(2000+VALUE(RIGHT(TRIM($A319),2)),1,1)),'Timesheet Raw'!$L$4:$L$8000,"&lt;="&amp;MIN(T$6,DATE(2000+VALUE(RIGHT(TRIM($A319),2)),12,31))),SUMIFS('Timesheet Raw'!$P$4:$P$8000,'Timesheet Raw'!$B$4:$B$8000,TRIM($A319),'Timesheet Raw'!$C$4:$C$8000,"*"&amp;$B319&amp;"*",'Timesheet Raw'!$L$4:$L$8000,"&gt;="&amp;T$5,'Timesheet Raw'!$L$4:$L$8000,"&lt;="&amp;T$6)))/'Profit Plan'!$B$5)</f>
        <v>0</v>
      </c>
      <c r="U319" s="122">
        <f>IF($A319="","",(IF(ISNUMBER(SEARCH("Proposal",$A319)),SUMIFS('Timesheet Raw'!$P$4:$P$8000,'Timesheet Raw'!$A$4:$A$8000,IF(ISNUMBER(SEARCH("Chargable",$A319)),"2-Proposals Chargeable","3-Proposals Regular"),'Timesheet Raw'!$C$4:$C$8000,"*"&amp;$B319&amp;"*",'Timesheet Raw'!$L$4:$L$8000,"&gt;="&amp;MAX(U$5,DATE(2000+VALUE(RIGHT(TRIM($A319),2)),1,1)),'Timesheet Raw'!$L$4:$L$8000,"&lt;="&amp;MIN(U$6,DATE(2000+VALUE(RIGHT(TRIM($A319),2)),12,31))),SUMIFS('Timesheet Raw'!$P$4:$P$8000,'Timesheet Raw'!$B$4:$B$8000,TRIM($A319),'Timesheet Raw'!$C$4:$C$8000,"*"&amp;$B319&amp;"*",'Timesheet Raw'!$L$4:$L$8000,"&gt;="&amp;U$5,'Timesheet Raw'!$L$4:$L$8000,"&lt;="&amp;U$6)))/'Profit Plan'!$B$5)</f>
        <v>0</v>
      </c>
      <c r="V319" s="122">
        <f>IF($A319="","",(IF(ISNUMBER(SEARCH("Proposal",$A319)),SUMIFS('Timesheet Raw'!$P$4:$P$8000,'Timesheet Raw'!$A$4:$A$8000,IF(ISNUMBER(SEARCH("Chargable",$A319)),"2-Proposals Chargeable","3-Proposals Regular"),'Timesheet Raw'!$C$4:$C$8000,"*"&amp;$B319&amp;"*",'Timesheet Raw'!$L$4:$L$8000,"&gt;="&amp;MAX(V$5,DATE(2000+VALUE(RIGHT(TRIM($A319),2)),1,1)),'Timesheet Raw'!$L$4:$L$8000,"&lt;="&amp;MIN(V$6,DATE(2000+VALUE(RIGHT(TRIM($A319),2)),12,31))),SUMIFS('Timesheet Raw'!$P$4:$P$8000,'Timesheet Raw'!$B$4:$B$8000,TRIM($A319),'Timesheet Raw'!$C$4:$C$8000,"*"&amp;$B319&amp;"*",'Timesheet Raw'!$L$4:$L$8000,"&gt;="&amp;V$5,'Timesheet Raw'!$L$4:$L$8000,"&lt;="&amp;V$6)))/'Profit Plan'!$B$5)</f>
        <v>0</v>
      </c>
      <c r="W319" s="122">
        <f>IF($A319="","",(IF(ISNUMBER(SEARCH("Proposal",$A319)),SUMIFS('Timesheet Raw'!$P$4:$P$8000,'Timesheet Raw'!$A$4:$A$8000,IF(ISNUMBER(SEARCH("Chargable",$A319)),"2-Proposals Chargeable","3-Proposals Regular"),'Timesheet Raw'!$C$4:$C$8000,"*"&amp;$B319&amp;"*",'Timesheet Raw'!$L$4:$L$8000,"&gt;="&amp;MAX(W$5,DATE(2000+VALUE(RIGHT(TRIM($A319),2)),1,1)),'Timesheet Raw'!$L$4:$L$8000,"&lt;="&amp;MIN(W$6,DATE(2000+VALUE(RIGHT(TRIM($A319),2)),12,31))),SUMIFS('Timesheet Raw'!$P$4:$P$8000,'Timesheet Raw'!$B$4:$B$8000,TRIM($A319),'Timesheet Raw'!$C$4:$C$8000,"*"&amp;$B319&amp;"*",'Timesheet Raw'!$L$4:$L$8000,"&gt;="&amp;W$5,'Timesheet Raw'!$L$4:$L$8000,"&lt;="&amp;W$6)))/'Profit Plan'!$B$5)</f>
        <v>0</v>
      </c>
      <c r="X319" s="122">
        <f>IF($A319="","",(IF(ISNUMBER(SEARCH("Proposal",$A319)),SUMIFS('Timesheet Raw'!$P$4:$P$8000,'Timesheet Raw'!$A$4:$A$8000,IF(ISNUMBER(SEARCH("Chargable",$A319)),"2-Proposals Chargeable","3-Proposals Regular"),'Timesheet Raw'!$C$4:$C$8000,"*"&amp;$B319&amp;"*",'Timesheet Raw'!$L$4:$L$8000,"&gt;="&amp;MAX(X$5,DATE(2000+VALUE(RIGHT(TRIM($A319),2)),1,1)),'Timesheet Raw'!$L$4:$L$8000,"&lt;="&amp;MIN(X$6,DATE(2000+VALUE(RIGHT(TRIM($A319),2)),12,31))),SUMIFS('Timesheet Raw'!$P$4:$P$8000,'Timesheet Raw'!$B$4:$B$8000,TRIM($A319),'Timesheet Raw'!$C$4:$C$8000,"*"&amp;$B319&amp;"*",'Timesheet Raw'!$L$4:$L$8000,"&gt;="&amp;X$5,'Timesheet Raw'!$L$4:$L$8000,"&lt;="&amp;X$6)))/'Profit Plan'!$B$5)</f>
        <v>0</v>
      </c>
      <c r="Y319" s="118">
        <f t="shared" si="100"/>
        <v>1.0148648648648648</v>
      </c>
    </row>
    <row r="320" spans="1:25" x14ac:dyDescent="0.3">
      <c r="A320" s="116" t="str">
        <f>IF(Inputs!$A24="","",Inputs!$A24)</f>
        <v>S22058-0700D</v>
      </c>
      <c r="B320" s="116" t="str">
        <f>IF(Inputs!$A24="","",Inputs!$A$92)</f>
        <v>Osama</v>
      </c>
      <c r="C320" s="116"/>
      <c r="D320" s="122">
        <f>IF($A320="","",(IF(ISNUMBER(SEARCH("Proposal",$A320)),SUMIFS('Timesheet Raw'!$P$4:$P$8000,'Timesheet Raw'!$A$4:$A$8000,IF(ISNUMBER(SEARCH("Chargable",$A320)),"2-Proposals Chargeable","3-Proposals Regular"),'Timesheet Raw'!$C$4:$C$8000,"*"&amp;$B320&amp;"*",'Timesheet Raw'!$L$4:$L$8000,"&gt;="&amp;MAX(D$5,DATE(2000+VALUE(RIGHT(TRIM($A320),2)),1,1)),'Timesheet Raw'!$L$4:$L$8000,"&lt;="&amp;MIN(D$6,DATE(2000+VALUE(RIGHT(TRIM($A320),2)),12,31))),SUMIFS('Timesheet Raw'!$P$4:$P$8000,'Timesheet Raw'!$B$4:$B$8000,TRIM($A320),'Timesheet Raw'!$C$4:$C$8000,"*"&amp;$B320&amp;"*",'Timesheet Raw'!$L$4:$L$8000,"&gt;="&amp;D$5,'Timesheet Raw'!$L$4:$L$8000,"&lt;="&amp;D$6)))/'Profit Plan'!$B$5)</f>
        <v>0</v>
      </c>
      <c r="E320" s="122">
        <f>IF($A320="","",(IF(ISNUMBER(SEARCH("Proposal",$A320)),SUMIFS('Timesheet Raw'!$P$4:$P$8000,'Timesheet Raw'!$A$4:$A$8000,IF(ISNUMBER(SEARCH("Chargable",$A320)),"2-Proposals Chargeable","3-Proposals Regular"),'Timesheet Raw'!$C$4:$C$8000,"*"&amp;$B320&amp;"*",'Timesheet Raw'!$L$4:$L$8000,"&gt;="&amp;MAX(E$5,DATE(2000+VALUE(RIGHT(TRIM($A320),2)),1,1)),'Timesheet Raw'!$L$4:$L$8000,"&lt;="&amp;MIN(E$6,DATE(2000+VALUE(RIGHT(TRIM($A320),2)),12,31))),SUMIFS('Timesheet Raw'!$P$4:$P$8000,'Timesheet Raw'!$B$4:$B$8000,TRIM($A320),'Timesheet Raw'!$C$4:$C$8000,"*"&amp;$B320&amp;"*",'Timesheet Raw'!$L$4:$L$8000,"&gt;="&amp;E$5,'Timesheet Raw'!$L$4:$L$8000,"&lt;="&amp;E$6)))/'Profit Plan'!$B$5)</f>
        <v>0</v>
      </c>
      <c r="F320" s="122">
        <f>IF($A320="","",(IF(ISNUMBER(SEARCH("Proposal",$A320)),SUMIFS('Timesheet Raw'!$P$4:$P$8000,'Timesheet Raw'!$A$4:$A$8000,IF(ISNUMBER(SEARCH("Chargable",$A320)),"2-Proposals Chargeable","3-Proposals Regular"),'Timesheet Raw'!$C$4:$C$8000,"*"&amp;$B320&amp;"*",'Timesheet Raw'!$L$4:$L$8000,"&gt;="&amp;MAX(F$5,DATE(2000+VALUE(RIGHT(TRIM($A320),2)),1,1)),'Timesheet Raw'!$L$4:$L$8000,"&lt;="&amp;MIN(F$6,DATE(2000+VALUE(RIGHT(TRIM($A320),2)),12,31))),SUMIFS('Timesheet Raw'!$P$4:$P$8000,'Timesheet Raw'!$B$4:$B$8000,TRIM($A320),'Timesheet Raw'!$C$4:$C$8000,"*"&amp;$B320&amp;"*",'Timesheet Raw'!$L$4:$L$8000,"&gt;="&amp;F$5,'Timesheet Raw'!$L$4:$L$8000,"&lt;="&amp;F$6)))/'Profit Plan'!$B$5)</f>
        <v>9.3243243243243248E-2</v>
      </c>
      <c r="G320" s="122">
        <f>IF($A320="","",(IF(ISNUMBER(SEARCH("Proposal",$A320)),SUMIFS('Timesheet Raw'!$P$4:$P$8000,'Timesheet Raw'!$A$4:$A$8000,IF(ISNUMBER(SEARCH("Chargable",$A320)),"2-Proposals Chargeable","3-Proposals Regular"),'Timesheet Raw'!$C$4:$C$8000,"*"&amp;$B320&amp;"*",'Timesheet Raw'!$L$4:$L$8000,"&gt;="&amp;MAX(G$5,DATE(2000+VALUE(RIGHT(TRIM($A320),2)),1,1)),'Timesheet Raw'!$L$4:$L$8000,"&lt;="&amp;MIN(G$6,DATE(2000+VALUE(RIGHT(TRIM($A320),2)),12,31))),SUMIFS('Timesheet Raw'!$P$4:$P$8000,'Timesheet Raw'!$B$4:$B$8000,TRIM($A320),'Timesheet Raw'!$C$4:$C$8000,"*"&amp;$B320&amp;"*",'Timesheet Raw'!$L$4:$L$8000,"&gt;="&amp;G$5,'Timesheet Raw'!$L$4:$L$8000,"&lt;="&amp;G$6)))/'Profit Plan'!$B$5)</f>
        <v>0</v>
      </c>
      <c r="H320" s="122">
        <f>IF($A320="","",(IF(ISNUMBER(SEARCH("Proposal",$A320)),SUMIFS('Timesheet Raw'!$P$4:$P$8000,'Timesheet Raw'!$A$4:$A$8000,IF(ISNUMBER(SEARCH("Chargable",$A320)),"2-Proposals Chargeable","3-Proposals Regular"),'Timesheet Raw'!$C$4:$C$8000,"*"&amp;$B320&amp;"*",'Timesheet Raw'!$L$4:$L$8000,"&gt;="&amp;MAX(H$5,DATE(2000+VALUE(RIGHT(TRIM($A320),2)),1,1)),'Timesheet Raw'!$L$4:$L$8000,"&lt;="&amp;MIN(H$6,DATE(2000+VALUE(RIGHT(TRIM($A320),2)),12,31))),SUMIFS('Timesheet Raw'!$P$4:$P$8000,'Timesheet Raw'!$B$4:$B$8000,TRIM($A320),'Timesheet Raw'!$C$4:$C$8000,"*"&amp;$B320&amp;"*",'Timesheet Raw'!$L$4:$L$8000,"&gt;="&amp;H$5,'Timesheet Raw'!$L$4:$L$8000,"&lt;="&amp;H$6)))/'Profit Plan'!$B$5)</f>
        <v>0.23783783783783785</v>
      </c>
      <c r="I320" s="122">
        <f>IF($A320="","",(IF(ISNUMBER(SEARCH("Proposal",$A320)),SUMIFS('Timesheet Raw'!$P$4:$P$8000,'Timesheet Raw'!$A$4:$A$8000,IF(ISNUMBER(SEARCH("Chargable",$A320)),"2-Proposals Chargeable","3-Proposals Regular"),'Timesheet Raw'!$C$4:$C$8000,"*"&amp;$B320&amp;"*",'Timesheet Raw'!$L$4:$L$8000,"&gt;="&amp;MAX(I$5,DATE(2000+VALUE(RIGHT(TRIM($A320),2)),1,1)),'Timesheet Raw'!$L$4:$L$8000,"&lt;="&amp;MIN(I$6,DATE(2000+VALUE(RIGHT(TRIM($A320),2)),12,31))),SUMIFS('Timesheet Raw'!$P$4:$P$8000,'Timesheet Raw'!$B$4:$B$8000,TRIM($A320),'Timesheet Raw'!$C$4:$C$8000,"*"&amp;$B320&amp;"*",'Timesheet Raw'!$L$4:$L$8000,"&gt;="&amp;I$5,'Timesheet Raw'!$L$4:$L$8000,"&lt;="&amp;I$6)))/'Profit Plan'!$B$5)</f>
        <v>1.4635135135135136</v>
      </c>
      <c r="J320" s="122">
        <f>IF($A320="","",(IF(ISNUMBER(SEARCH("Proposal",$A320)),SUMIFS('Timesheet Raw'!$P$4:$P$8000,'Timesheet Raw'!$A$4:$A$8000,IF(ISNUMBER(SEARCH("Chargable",$A320)),"2-Proposals Chargeable","3-Proposals Regular"),'Timesheet Raw'!$C$4:$C$8000,"*"&amp;$B320&amp;"*",'Timesheet Raw'!$L$4:$L$8000,"&gt;="&amp;MAX(J$5,DATE(2000+VALUE(RIGHT(TRIM($A320),2)),1,1)),'Timesheet Raw'!$L$4:$L$8000,"&lt;="&amp;MIN(J$6,DATE(2000+VALUE(RIGHT(TRIM($A320),2)),12,31))),SUMIFS('Timesheet Raw'!$P$4:$P$8000,'Timesheet Raw'!$B$4:$B$8000,TRIM($A320),'Timesheet Raw'!$C$4:$C$8000,"*"&amp;$B320&amp;"*",'Timesheet Raw'!$L$4:$L$8000,"&gt;="&amp;J$5,'Timesheet Raw'!$L$4:$L$8000,"&lt;="&amp;J$6)))/'Profit Plan'!$B$5)</f>
        <v>0.20405405405405405</v>
      </c>
      <c r="K320" s="122">
        <f>IF($A320="","",(IF(ISNUMBER(SEARCH("Proposal",$A320)),SUMIFS('Timesheet Raw'!$P$4:$P$8000,'Timesheet Raw'!$A$4:$A$8000,IF(ISNUMBER(SEARCH("Chargable",$A320)),"2-Proposals Chargeable","3-Proposals Regular"),'Timesheet Raw'!$C$4:$C$8000,"*"&amp;$B320&amp;"*",'Timesheet Raw'!$L$4:$L$8000,"&gt;="&amp;MAX(K$5,DATE(2000+VALUE(RIGHT(TRIM($A320),2)),1,1)),'Timesheet Raw'!$L$4:$L$8000,"&lt;="&amp;MIN(K$6,DATE(2000+VALUE(RIGHT(TRIM($A320),2)),12,31))),SUMIFS('Timesheet Raw'!$P$4:$P$8000,'Timesheet Raw'!$B$4:$B$8000,TRIM($A320),'Timesheet Raw'!$C$4:$C$8000,"*"&amp;$B320&amp;"*",'Timesheet Raw'!$L$4:$L$8000,"&gt;="&amp;K$5,'Timesheet Raw'!$L$4:$L$8000,"&lt;="&amp;K$6)))/'Profit Plan'!$B$5)</f>
        <v>0.36216216216216218</v>
      </c>
      <c r="L320" s="122">
        <f>IF($A320="","",(IF(ISNUMBER(SEARCH("Proposal",$A320)),SUMIFS('Timesheet Raw'!$P$4:$P$8000,'Timesheet Raw'!$A$4:$A$8000,IF(ISNUMBER(SEARCH("Chargable",$A320)),"2-Proposals Chargeable","3-Proposals Regular"),'Timesheet Raw'!$C$4:$C$8000,"*"&amp;$B320&amp;"*",'Timesheet Raw'!$L$4:$L$8000,"&gt;="&amp;MAX(L$5,DATE(2000+VALUE(RIGHT(TRIM($A320),2)),1,1)),'Timesheet Raw'!$L$4:$L$8000,"&lt;="&amp;MIN(L$6,DATE(2000+VALUE(RIGHT(TRIM($A320),2)),12,31))),SUMIFS('Timesheet Raw'!$P$4:$P$8000,'Timesheet Raw'!$B$4:$B$8000,TRIM($A320),'Timesheet Raw'!$C$4:$C$8000,"*"&amp;$B320&amp;"*",'Timesheet Raw'!$L$4:$L$8000,"&gt;="&amp;L$5,'Timesheet Raw'!$L$4:$L$8000,"&lt;="&amp;L$6)))/'Profit Plan'!$B$5)</f>
        <v>3.2432432432432434E-2</v>
      </c>
      <c r="M320" s="122">
        <f>IF($A320="","",(IF(ISNUMBER(SEARCH("Proposal",$A320)),SUMIFS('Timesheet Raw'!$P$4:$P$8000,'Timesheet Raw'!$A$4:$A$8000,IF(ISNUMBER(SEARCH("Chargable",$A320)),"2-Proposals Chargeable","3-Proposals Regular"),'Timesheet Raw'!$C$4:$C$8000,"*"&amp;$B320&amp;"*",'Timesheet Raw'!$L$4:$L$8000,"&gt;="&amp;MAX(M$5,DATE(2000+VALUE(RIGHT(TRIM($A320),2)),1,1)),'Timesheet Raw'!$L$4:$L$8000,"&lt;="&amp;MIN(M$6,DATE(2000+VALUE(RIGHT(TRIM($A320),2)),12,31))),SUMIFS('Timesheet Raw'!$P$4:$P$8000,'Timesheet Raw'!$B$4:$B$8000,TRIM($A320),'Timesheet Raw'!$C$4:$C$8000,"*"&amp;$B320&amp;"*",'Timesheet Raw'!$L$4:$L$8000,"&gt;="&amp;M$5,'Timesheet Raw'!$L$4:$L$8000,"&lt;="&amp;M$6)))/'Profit Plan'!$B$5)</f>
        <v>0</v>
      </c>
      <c r="N320" s="122">
        <f>IF($A320="","",(IF(ISNUMBER(SEARCH("Proposal",$A320)),SUMIFS('Timesheet Raw'!$P$4:$P$8000,'Timesheet Raw'!$A$4:$A$8000,IF(ISNUMBER(SEARCH("Chargable",$A320)),"2-Proposals Chargeable","3-Proposals Regular"),'Timesheet Raw'!$C$4:$C$8000,"*"&amp;$B320&amp;"*",'Timesheet Raw'!$L$4:$L$8000,"&gt;="&amp;MAX(N$5,DATE(2000+VALUE(RIGHT(TRIM($A320),2)),1,1)),'Timesheet Raw'!$L$4:$L$8000,"&lt;="&amp;MIN(N$6,DATE(2000+VALUE(RIGHT(TRIM($A320),2)),12,31))),SUMIFS('Timesheet Raw'!$P$4:$P$8000,'Timesheet Raw'!$B$4:$B$8000,TRIM($A320),'Timesheet Raw'!$C$4:$C$8000,"*"&amp;$B320&amp;"*",'Timesheet Raw'!$L$4:$L$8000,"&gt;="&amp;N$5,'Timesheet Raw'!$L$4:$L$8000,"&lt;="&amp;N$6)))/'Profit Plan'!$B$5)</f>
        <v>0</v>
      </c>
      <c r="O320" s="122">
        <f>IF($A320="","",(IF(ISNUMBER(SEARCH("Proposal",$A320)),SUMIFS('Timesheet Raw'!$P$4:$P$8000,'Timesheet Raw'!$A$4:$A$8000,IF(ISNUMBER(SEARCH("Chargable",$A320)),"2-Proposals Chargeable","3-Proposals Regular"),'Timesheet Raw'!$C$4:$C$8000,"*"&amp;$B320&amp;"*",'Timesheet Raw'!$L$4:$L$8000,"&gt;="&amp;MAX(O$5,DATE(2000+VALUE(RIGHT(TRIM($A320),2)),1,1)),'Timesheet Raw'!$L$4:$L$8000,"&lt;="&amp;MIN(O$6,DATE(2000+VALUE(RIGHT(TRIM($A320),2)),12,31))),SUMIFS('Timesheet Raw'!$P$4:$P$8000,'Timesheet Raw'!$B$4:$B$8000,TRIM($A320),'Timesheet Raw'!$C$4:$C$8000,"*"&amp;$B320&amp;"*",'Timesheet Raw'!$L$4:$L$8000,"&gt;="&amp;O$5,'Timesheet Raw'!$L$4:$L$8000,"&lt;="&amp;O$6)))/'Profit Plan'!$B$5)</f>
        <v>0</v>
      </c>
      <c r="P320" s="122">
        <f>IF($A320="","",(IF(ISNUMBER(SEARCH("Proposal",$A320)),SUMIFS('Timesheet Raw'!$P$4:$P$8000,'Timesheet Raw'!$A$4:$A$8000,IF(ISNUMBER(SEARCH("Chargable",$A320)),"2-Proposals Chargeable","3-Proposals Regular"),'Timesheet Raw'!$C$4:$C$8000,"*"&amp;$B320&amp;"*",'Timesheet Raw'!$L$4:$L$8000,"&gt;="&amp;MAX(P$5,DATE(2000+VALUE(RIGHT(TRIM($A320),2)),1,1)),'Timesheet Raw'!$L$4:$L$8000,"&lt;="&amp;MIN(P$6,DATE(2000+VALUE(RIGHT(TRIM($A320),2)),12,31))),SUMIFS('Timesheet Raw'!$P$4:$P$8000,'Timesheet Raw'!$B$4:$B$8000,TRIM($A320),'Timesheet Raw'!$C$4:$C$8000,"*"&amp;$B320&amp;"*",'Timesheet Raw'!$L$4:$L$8000,"&gt;="&amp;P$5,'Timesheet Raw'!$L$4:$L$8000,"&lt;="&amp;P$6)))/'Profit Plan'!$B$5)</f>
        <v>0</v>
      </c>
      <c r="Q320" s="122">
        <f>IF($A320="","",(IF(ISNUMBER(SEARCH("Proposal",$A320)),SUMIFS('Timesheet Raw'!$P$4:$P$8000,'Timesheet Raw'!$A$4:$A$8000,IF(ISNUMBER(SEARCH("Chargable",$A320)),"2-Proposals Chargeable","3-Proposals Regular"),'Timesheet Raw'!$C$4:$C$8000,"*"&amp;$B320&amp;"*",'Timesheet Raw'!$L$4:$L$8000,"&gt;="&amp;MAX(Q$5,DATE(2000+VALUE(RIGHT(TRIM($A320),2)),1,1)),'Timesheet Raw'!$L$4:$L$8000,"&lt;="&amp;MIN(Q$6,DATE(2000+VALUE(RIGHT(TRIM($A320),2)),12,31))),SUMIFS('Timesheet Raw'!$P$4:$P$8000,'Timesheet Raw'!$B$4:$B$8000,TRIM($A320),'Timesheet Raw'!$C$4:$C$8000,"*"&amp;$B320&amp;"*",'Timesheet Raw'!$L$4:$L$8000,"&gt;="&amp;Q$5,'Timesheet Raw'!$L$4:$L$8000,"&lt;="&amp;Q$6)))/'Profit Plan'!$B$5)</f>
        <v>0</v>
      </c>
      <c r="R320" s="122">
        <f>IF($A320="","",(IF(ISNUMBER(SEARCH("Proposal",$A320)),SUMIFS('Timesheet Raw'!$P$4:$P$8000,'Timesheet Raw'!$A$4:$A$8000,IF(ISNUMBER(SEARCH("Chargable",$A320)),"2-Proposals Chargeable","3-Proposals Regular"),'Timesheet Raw'!$C$4:$C$8000,"*"&amp;$B320&amp;"*",'Timesheet Raw'!$L$4:$L$8000,"&gt;="&amp;MAX(R$5,DATE(2000+VALUE(RIGHT(TRIM($A320),2)),1,1)),'Timesheet Raw'!$L$4:$L$8000,"&lt;="&amp;MIN(R$6,DATE(2000+VALUE(RIGHT(TRIM($A320),2)),12,31))),SUMIFS('Timesheet Raw'!$P$4:$P$8000,'Timesheet Raw'!$B$4:$B$8000,TRIM($A320),'Timesheet Raw'!$C$4:$C$8000,"*"&amp;$B320&amp;"*",'Timesheet Raw'!$L$4:$L$8000,"&gt;="&amp;R$5,'Timesheet Raw'!$L$4:$L$8000,"&lt;="&amp;R$6)))/'Profit Plan'!$B$5)</f>
        <v>0</v>
      </c>
      <c r="S320" s="122">
        <f>IF($A320="","",(IF(ISNUMBER(SEARCH("Proposal",$A320)),SUMIFS('Timesheet Raw'!$P$4:$P$8000,'Timesheet Raw'!$A$4:$A$8000,IF(ISNUMBER(SEARCH("Chargable",$A320)),"2-Proposals Chargeable","3-Proposals Regular"),'Timesheet Raw'!$C$4:$C$8000,"*"&amp;$B320&amp;"*",'Timesheet Raw'!$L$4:$L$8000,"&gt;="&amp;MAX(S$5,DATE(2000+VALUE(RIGHT(TRIM($A320),2)),1,1)),'Timesheet Raw'!$L$4:$L$8000,"&lt;="&amp;MIN(S$6,DATE(2000+VALUE(RIGHT(TRIM($A320),2)),12,31))),SUMIFS('Timesheet Raw'!$P$4:$P$8000,'Timesheet Raw'!$B$4:$B$8000,TRIM($A320),'Timesheet Raw'!$C$4:$C$8000,"*"&amp;$B320&amp;"*",'Timesheet Raw'!$L$4:$L$8000,"&gt;="&amp;S$5,'Timesheet Raw'!$L$4:$L$8000,"&lt;="&amp;S$6)))/'Profit Plan'!$B$5)</f>
        <v>0</v>
      </c>
      <c r="T320" s="122">
        <f>IF($A320="","",(IF(ISNUMBER(SEARCH("Proposal",$A320)),SUMIFS('Timesheet Raw'!$P$4:$P$8000,'Timesheet Raw'!$A$4:$A$8000,IF(ISNUMBER(SEARCH("Chargable",$A320)),"2-Proposals Chargeable","3-Proposals Regular"),'Timesheet Raw'!$C$4:$C$8000,"*"&amp;$B320&amp;"*",'Timesheet Raw'!$L$4:$L$8000,"&gt;="&amp;MAX(T$5,DATE(2000+VALUE(RIGHT(TRIM($A320),2)),1,1)),'Timesheet Raw'!$L$4:$L$8000,"&lt;="&amp;MIN(T$6,DATE(2000+VALUE(RIGHT(TRIM($A320),2)),12,31))),SUMIFS('Timesheet Raw'!$P$4:$P$8000,'Timesheet Raw'!$B$4:$B$8000,TRIM($A320),'Timesheet Raw'!$C$4:$C$8000,"*"&amp;$B320&amp;"*",'Timesheet Raw'!$L$4:$L$8000,"&gt;="&amp;T$5,'Timesheet Raw'!$L$4:$L$8000,"&lt;="&amp;T$6)))/'Profit Plan'!$B$5)</f>
        <v>0</v>
      </c>
      <c r="U320" s="122">
        <f>IF($A320="","",(IF(ISNUMBER(SEARCH("Proposal",$A320)),SUMIFS('Timesheet Raw'!$P$4:$P$8000,'Timesheet Raw'!$A$4:$A$8000,IF(ISNUMBER(SEARCH("Chargable",$A320)),"2-Proposals Chargeable","3-Proposals Regular"),'Timesheet Raw'!$C$4:$C$8000,"*"&amp;$B320&amp;"*",'Timesheet Raw'!$L$4:$L$8000,"&gt;="&amp;MAX(U$5,DATE(2000+VALUE(RIGHT(TRIM($A320),2)),1,1)),'Timesheet Raw'!$L$4:$L$8000,"&lt;="&amp;MIN(U$6,DATE(2000+VALUE(RIGHT(TRIM($A320),2)),12,31))),SUMIFS('Timesheet Raw'!$P$4:$P$8000,'Timesheet Raw'!$B$4:$B$8000,TRIM($A320),'Timesheet Raw'!$C$4:$C$8000,"*"&amp;$B320&amp;"*",'Timesheet Raw'!$L$4:$L$8000,"&gt;="&amp;U$5,'Timesheet Raw'!$L$4:$L$8000,"&lt;="&amp;U$6)))/'Profit Plan'!$B$5)</f>
        <v>0</v>
      </c>
      <c r="V320" s="122">
        <f>IF($A320="","",(IF(ISNUMBER(SEARCH("Proposal",$A320)),SUMIFS('Timesheet Raw'!$P$4:$P$8000,'Timesheet Raw'!$A$4:$A$8000,IF(ISNUMBER(SEARCH("Chargable",$A320)),"2-Proposals Chargeable","3-Proposals Regular"),'Timesheet Raw'!$C$4:$C$8000,"*"&amp;$B320&amp;"*",'Timesheet Raw'!$L$4:$L$8000,"&gt;="&amp;MAX(V$5,DATE(2000+VALUE(RIGHT(TRIM($A320),2)),1,1)),'Timesheet Raw'!$L$4:$L$8000,"&lt;="&amp;MIN(V$6,DATE(2000+VALUE(RIGHT(TRIM($A320),2)),12,31))),SUMIFS('Timesheet Raw'!$P$4:$P$8000,'Timesheet Raw'!$B$4:$B$8000,TRIM($A320),'Timesheet Raw'!$C$4:$C$8000,"*"&amp;$B320&amp;"*",'Timesheet Raw'!$L$4:$L$8000,"&gt;="&amp;V$5,'Timesheet Raw'!$L$4:$L$8000,"&lt;="&amp;V$6)))/'Profit Plan'!$B$5)</f>
        <v>0</v>
      </c>
      <c r="W320" s="122">
        <f>IF($A320="","",(IF(ISNUMBER(SEARCH("Proposal",$A320)),SUMIFS('Timesheet Raw'!$P$4:$P$8000,'Timesheet Raw'!$A$4:$A$8000,IF(ISNUMBER(SEARCH("Chargable",$A320)),"2-Proposals Chargeable","3-Proposals Regular"),'Timesheet Raw'!$C$4:$C$8000,"*"&amp;$B320&amp;"*",'Timesheet Raw'!$L$4:$L$8000,"&gt;="&amp;MAX(W$5,DATE(2000+VALUE(RIGHT(TRIM($A320),2)),1,1)),'Timesheet Raw'!$L$4:$L$8000,"&lt;="&amp;MIN(W$6,DATE(2000+VALUE(RIGHT(TRIM($A320),2)),12,31))),SUMIFS('Timesheet Raw'!$P$4:$P$8000,'Timesheet Raw'!$B$4:$B$8000,TRIM($A320),'Timesheet Raw'!$C$4:$C$8000,"*"&amp;$B320&amp;"*",'Timesheet Raw'!$L$4:$L$8000,"&gt;="&amp;W$5,'Timesheet Raw'!$L$4:$L$8000,"&lt;="&amp;W$6)))/'Profit Plan'!$B$5)</f>
        <v>0</v>
      </c>
      <c r="X320" s="122">
        <f>IF($A320="","",(IF(ISNUMBER(SEARCH("Proposal",$A320)),SUMIFS('Timesheet Raw'!$P$4:$P$8000,'Timesheet Raw'!$A$4:$A$8000,IF(ISNUMBER(SEARCH("Chargable",$A320)),"2-Proposals Chargeable","3-Proposals Regular"),'Timesheet Raw'!$C$4:$C$8000,"*"&amp;$B320&amp;"*",'Timesheet Raw'!$L$4:$L$8000,"&gt;="&amp;MAX(X$5,DATE(2000+VALUE(RIGHT(TRIM($A320),2)),1,1)),'Timesheet Raw'!$L$4:$L$8000,"&lt;="&amp;MIN(X$6,DATE(2000+VALUE(RIGHT(TRIM($A320),2)),12,31))),SUMIFS('Timesheet Raw'!$P$4:$P$8000,'Timesheet Raw'!$B$4:$B$8000,TRIM($A320),'Timesheet Raw'!$C$4:$C$8000,"*"&amp;$B320&amp;"*",'Timesheet Raw'!$L$4:$L$8000,"&gt;="&amp;X$5,'Timesheet Raw'!$L$4:$L$8000,"&lt;="&amp;X$6)))/'Profit Plan'!$B$5)</f>
        <v>0</v>
      </c>
      <c r="Y320" s="118">
        <f t="shared" si="100"/>
        <v>2.3932432432432433</v>
      </c>
    </row>
    <row r="321" spans="1:25" x14ac:dyDescent="0.3">
      <c r="A321" s="116" t="str">
        <f>IF(Inputs!$A24="","",Inputs!$A24)</f>
        <v>S22058-0700D</v>
      </c>
      <c r="B321" s="116" t="str">
        <f>IF(Inputs!$A24="","",Inputs!$A$93)</f>
        <v>Kirolos</v>
      </c>
      <c r="C321" s="116"/>
      <c r="D321" s="122">
        <f>IF($A321="","",(IF(ISNUMBER(SEARCH("Proposal",$A321)),SUMIFS('Timesheet Raw'!$P$4:$P$8000,'Timesheet Raw'!$A$4:$A$8000,IF(ISNUMBER(SEARCH("Chargable",$A321)),"2-Proposals Chargeable","3-Proposals Regular"),'Timesheet Raw'!$C$4:$C$8000,"*"&amp;$B321&amp;"*",'Timesheet Raw'!$L$4:$L$8000,"&gt;="&amp;MAX(D$5,DATE(2000+VALUE(RIGHT(TRIM($A321),2)),1,1)),'Timesheet Raw'!$L$4:$L$8000,"&lt;="&amp;MIN(D$6,DATE(2000+VALUE(RIGHT(TRIM($A321),2)),12,31))),SUMIFS('Timesheet Raw'!$P$4:$P$8000,'Timesheet Raw'!$B$4:$B$8000,TRIM($A321),'Timesheet Raw'!$C$4:$C$8000,"*"&amp;$B321&amp;"*",'Timesheet Raw'!$L$4:$L$8000,"&gt;="&amp;D$5,'Timesheet Raw'!$L$4:$L$8000,"&lt;="&amp;D$6)))/'Profit Plan'!$B$5)</f>
        <v>0</v>
      </c>
      <c r="E321" s="122">
        <f>IF($A321="","",(IF(ISNUMBER(SEARCH("Proposal",$A321)),SUMIFS('Timesheet Raw'!$P$4:$P$8000,'Timesheet Raw'!$A$4:$A$8000,IF(ISNUMBER(SEARCH("Chargable",$A321)),"2-Proposals Chargeable","3-Proposals Regular"),'Timesheet Raw'!$C$4:$C$8000,"*"&amp;$B321&amp;"*",'Timesheet Raw'!$L$4:$L$8000,"&gt;="&amp;MAX(E$5,DATE(2000+VALUE(RIGHT(TRIM($A321),2)),1,1)),'Timesheet Raw'!$L$4:$L$8000,"&lt;="&amp;MIN(E$6,DATE(2000+VALUE(RIGHT(TRIM($A321),2)),12,31))),SUMIFS('Timesheet Raw'!$P$4:$P$8000,'Timesheet Raw'!$B$4:$B$8000,TRIM($A321),'Timesheet Raw'!$C$4:$C$8000,"*"&amp;$B321&amp;"*",'Timesheet Raw'!$L$4:$L$8000,"&gt;="&amp;E$5,'Timesheet Raw'!$L$4:$L$8000,"&lt;="&amp;E$6)))/'Profit Plan'!$B$5)</f>
        <v>0</v>
      </c>
      <c r="F321" s="122">
        <f>IF($A321="","",(IF(ISNUMBER(SEARCH("Proposal",$A321)),SUMIFS('Timesheet Raw'!$P$4:$P$8000,'Timesheet Raw'!$A$4:$A$8000,IF(ISNUMBER(SEARCH("Chargable",$A321)),"2-Proposals Chargeable","3-Proposals Regular"),'Timesheet Raw'!$C$4:$C$8000,"*"&amp;$B321&amp;"*",'Timesheet Raw'!$L$4:$L$8000,"&gt;="&amp;MAX(F$5,DATE(2000+VALUE(RIGHT(TRIM($A321),2)),1,1)),'Timesheet Raw'!$L$4:$L$8000,"&lt;="&amp;MIN(F$6,DATE(2000+VALUE(RIGHT(TRIM($A321),2)),12,31))),SUMIFS('Timesheet Raw'!$P$4:$P$8000,'Timesheet Raw'!$B$4:$B$8000,TRIM($A321),'Timesheet Raw'!$C$4:$C$8000,"*"&amp;$B321&amp;"*",'Timesheet Raw'!$L$4:$L$8000,"&gt;="&amp;F$5,'Timesheet Raw'!$L$4:$L$8000,"&lt;="&amp;F$6)))/'Profit Plan'!$B$5)</f>
        <v>0</v>
      </c>
      <c r="G321" s="122">
        <f>IF($A321="","",(IF(ISNUMBER(SEARCH("Proposal",$A321)),SUMIFS('Timesheet Raw'!$P$4:$P$8000,'Timesheet Raw'!$A$4:$A$8000,IF(ISNUMBER(SEARCH("Chargable",$A321)),"2-Proposals Chargeable","3-Proposals Regular"),'Timesheet Raw'!$C$4:$C$8000,"*"&amp;$B321&amp;"*",'Timesheet Raw'!$L$4:$L$8000,"&gt;="&amp;MAX(G$5,DATE(2000+VALUE(RIGHT(TRIM($A321),2)),1,1)),'Timesheet Raw'!$L$4:$L$8000,"&lt;="&amp;MIN(G$6,DATE(2000+VALUE(RIGHT(TRIM($A321),2)),12,31))),SUMIFS('Timesheet Raw'!$P$4:$P$8000,'Timesheet Raw'!$B$4:$B$8000,TRIM($A321),'Timesheet Raw'!$C$4:$C$8000,"*"&amp;$B321&amp;"*",'Timesheet Raw'!$L$4:$L$8000,"&gt;="&amp;G$5,'Timesheet Raw'!$L$4:$L$8000,"&lt;="&amp;G$6)))/'Profit Plan'!$B$5)</f>
        <v>0</v>
      </c>
      <c r="H321" s="122">
        <f>IF($A321="","",(IF(ISNUMBER(SEARCH("Proposal",$A321)),SUMIFS('Timesheet Raw'!$P$4:$P$8000,'Timesheet Raw'!$A$4:$A$8000,IF(ISNUMBER(SEARCH("Chargable",$A321)),"2-Proposals Chargeable","3-Proposals Regular"),'Timesheet Raw'!$C$4:$C$8000,"*"&amp;$B321&amp;"*",'Timesheet Raw'!$L$4:$L$8000,"&gt;="&amp;MAX(H$5,DATE(2000+VALUE(RIGHT(TRIM($A321),2)),1,1)),'Timesheet Raw'!$L$4:$L$8000,"&lt;="&amp;MIN(H$6,DATE(2000+VALUE(RIGHT(TRIM($A321),2)),12,31))),SUMIFS('Timesheet Raw'!$P$4:$P$8000,'Timesheet Raw'!$B$4:$B$8000,TRIM($A321),'Timesheet Raw'!$C$4:$C$8000,"*"&amp;$B321&amp;"*",'Timesheet Raw'!$L$4:$L$8000,"&gt;="&amp;H$5,'Timesheet Raw'!$L$4:$L$8000,"&lt;="&amp;H$6)))/'Profit Plan'!$B$5)</f>
        <v>0.25270270270270268</v>
      </c>
      <c r="I321" s="122">
        <f>IF($A321="","",(IF(ISNUMBER(SEARCH("Proposal",$A321)),SUMIFS('Timesheet Raw'!$P$4:$P$8000,'Timesheet Raw'!$A$4:$A$8000,IF(ISNUMBER(SEARCH("Chargable",$A321)),"2-Proposals Chargeable","3-Proposals Regular"),'Timesheet Raw'!$C$4:$C$8000,"*"&amp;$B321&amp;"*",'Timesheet Raw'!$L$4:$L$8000,"&gt;="&amp;MAX(I$5,DATE(2000+VALUE(RIGHT(TRIM($A321),2)),1,1)),'Timesheet Raw'!$L$4:$L$8000,"&lt;="&amp;MIN(I$6,DATE(2000+VALUE(RIGHT(TRIM($A321),2)),12,31))),SUMIFS('Timesheet Raw'!$P$4:$P$8000,'Timesheet Raw'!$B$4:$B$8000,TRIM($A321),'Timesheet Raw'!$C$4:$C$8000,"*"&amp;$B321&amp;"*",'Timesheet Raw'!$L$4:$L$8000,"&gt;="&amp;I$5,'Timesheet Raw'!$L$4:$L$8000,"&lt;="&amp;I$6)))/'Profit Plan'!$B$5)</f>
        <v>0.91216216216216217</v>
      </c>
      <c r="J321" s="122">
        <f>IF($A321="","",(IF(ISNUMBER(SEARCH("Proposal",$A321)),SUMIFS('Timesheet Raw'!$P$4:$P$8000,'Timesheet Raw'!$A$4:$A$8000,IF(ISNUMBER(SEARCH("Chargable",$A321)),"2-Proposals Chargeable","3-Proposals Regular"),'Timesheet Raw'!$C$4:$C$8000,"*"&amp;$B321&amp;"*",'Timesheet Raw'!$L$4:$L$8000,"&gt;="&amp;MAX(J$5,DATE(2000+VALUE(RIGHT(TRIM($A321),2)),1,1)),'Timesheet Raw'!$L$4:$L$8000,"&lt;="&amp;MIN(J$6,DATE(2000+VALUE(RIGHT(TRIM($A321),2)),12,31))),SUMIFS('Timesheet Raw'!$P$4:$P$8000,'Timesheet Raw'!$B$4:$B$8000,TRIM($A321),'Timesheet Raw'!$C$4:$C$8000,"*"&amp;$B321&amp;"*",'Timesheet Raw'!$L$4:$L$8000,"&gt;="&amp;J$5,'Timesheet Raw'!$L$4:$L$8000,"&lt;="&amp;J$6)))/'Profit Plan'!$B$5)</f>
        <v>4.1891891891891894E-2</v>
      </c>
      <c r="K321" s="122">
        <f>IF($A321="","",(IF(ISNUMBER(SEARCH("Proposal",$A321)),SUMIFS('Timesheet Raw'!$P$4:$P$8000,'Timesheet Raw'!$A$4:$A$8000,IF(ISNUMBER(SEARCH("Chargable",$A321)),"2-Proposals Chargeable","3-Proposals Regular"),'Timesheet Raw'!$C$4:$C$8000,"*"&amp;$B321&amp;"*",'Timesheet Raw'!$L$4:$L$8000,"&gt;="&amp;MAX(K$5,DATE(2000+VALUE(RIGHT(TRIM($A321),2)),1,1)),'Timesheet Raw'!$L$4:$L$8000,"&lt;="&amp;MIN(K$6,DATE(2000+VALUE(RIGHT(TRIM($A321),2)),12,31))),SUMIFS('Timesheet Raw'!$P$4:$P$8000,'Timesheet Raw'!$B$4:$B$8000,TRIM($A321),'Timesheet Raw'!$C$4:$C$8000,"*"&amp;$B321&amp;"*",'Timesheet Raw'!$L$4:$L$8000,"&gt;="&amp;K$5,'Timesheet Raw'!$L$4:$L$8000,"&lt;="&amp;K$6)))/'Profit Plan'!$B$5)</f>
        <v>0.33243243243243242</v>
      </c>
      <c r="L321" s="122">
        <f>IF($A321="","",(IF(ISNUMBER(SEARCH("Proposal",$A321)),SUMIFS('Timesheet Raw'!$P$4:$P$8000,'Timesheet Raw'!$A$4:$A$8000,IF(ISNUMBER(SEARCH("Chargable",$A321)),"2-Proposals Chargeable","3-Proposals Regular"),'Timesheet Raw'!$C$4:$C$8000,"*"&amp;$B321&amp;"*",'Timesheet Raw'!$L$4:$L$8000,"&gt;="&amp;MAX(L$5,DATE(2000+VALUE(RIGHT(TRIM($A321),2)),1,1)),'Timesheet Raw'!$L$4:$L$8000,"&lt;="&amp;MIN(L$6,DATE(2000+VALUE(RIGHT(TRIM($A321),2)),12,31))),SUMIFS('Timesheet Raw'!$P$4:$P$8000,'Timesheet Raw'!$B$4:$B$8000,TRIM($A321),'Timesheet Raw'!$C$4:$C$8000,"*"&amp;$B321&amp;"*",'Timesheet Raw'!$L$4:$L$8000,"&gt;="&amp;L$5,'Timesheet Raw'!$L$4:$L$8000,"&lt;="&amp;L$6)))/'Profit Plan'!$B$5)</f>
        <v>0.16891891891891891</v>
      </c>
      <c r="M321" s="122">
        <f>IF($A321="","",(IF(ISNUMBER(SEARCH("Proposal",$A321)),SUMIFS('Timesheet Raw'!$P$4:$P$8000,'Timesheet Raw'!$A$4:$A$8000,IF(ISNUMBER(SEARCH("Chargable",$A321)),"2-Proposals Chargeable","3-Proposals Regular"),'Timesheet Raw'!$C$4:$C$8000,"*"&amp;$B321&amp;"*",'Timesheet Raw'!$L$4:$L$8000,"&gt;="&amp;MAX(M$5,DATE(2000+VALUE(RIGHT(TRIM($A321),2)),1,1)),'Timesheet Raw'!$L$4:$L$8000,"&lt;="&amp;MIN(M$6,DATE(2000+VALUE(RIGHT(TRIM($A321),2)),12,31))),SUMIFS('Timesheet Raw'!$P$4:$P$8000,'Timesheet Raw'!$B$4:$B$8000,TRIM($A321),'Timesheet Raw'!$C$4:$C$8000,"*"&amp;$B321&amp;"*",'Timesheet Raw'!$L$4:$L$8000,"&gt;="&amp;M$5,'Timesheet Raw'!$L$4:$L$8000,"&lt;="&amp;M$6)))/'Profit Plan'!$B$5)</f>
        <v>0</v>
      </c>
      <c r="N321" s="122">
        <f>IF($A321="","",(IF(ISNUMBER(SEARCH("Proposal",$A321)),SUMIFS('Timesheet Raw'!$P$4:$P$8000,'Timesheet Raw'!$A$4:$A$8000,IF(ISNUMBER(SEARCH("Chargable",$A321)),"2-Proposals Chargeable","3-Proposals Regular"),'Timesheet Raw'!$C$4:$C$8000,"*"&amp;$B321&amp;"*",'Timesheet Raw'!$L$4:$L$8000,"&gt;="&amp;MAX(N$5,DATE(2000+VALUE(RIGHT(TRIM($A321),2)),1,1)),'Timesheet Raw'!$L$4:$L$8000,"&lt;="&amp;MIN(N$6,DATE(2000+VALUE(RIGHT(TRIM($A321),2)),12,31))),SUMIFS('Timesheet Raw'!$P$4:$P$8000,'Timesheet Raw'!$B$4:$B$8000,TRIM($A321),'Timesheet Raw'!$C$4:$C$8000,"*"&amp;$B321&amp;"*",'Timesheet Raw'!$L$4:$L$8000,"&gt;="&amp;N$5,'Timesheet Raw'!$L$4:$L$8000,"&lt;="&amp;N$6)))/'Profit Plan'!$B$5)</f>
        <v>0</v>
      </c>
      <c r="O321" s="122">
        <f>IF($A321="","",(IF(ISNUMBER(SEARCH("Proposal",$A321)),SUMIFS('Timesheet Raw'!$P$4:$P$8000,'Timesheet Raw'!$A$4:$A$8000,IF(ISNUMBER(SEARCH("Chargable",$A321)),"2-Proposals Chargeable","3-Proposals Regular"),'Timesheet Raw'!$C$4:$C$8000,"*"&amp;$B321&amp;"*",'Timesheet Raw'!$L$4:$L$8000,"&gt;="&amp;MAX(O$5,DATE(2000+VALUE(RIGHT(TRIM($A321),2)),1,1)),'Timesheet Raw'!$L$4:$L$8000,"&lt;="&amp;MIN(O$6,DATE(2000+VALUE(RIGHT(TRIM($A321),2)),12,31))),SUMIFS('Timesheet Raw'!$P$4:$P$8000,'Timesheet Raw'!$B$4:$B$8000,TRIM($A321),'Timesheet Raw'!$C$4:$C$8000,"*"&amp;$B321&amp;"*",'Timesheet Raw'!$L$4:$L$8000,"&gt;="&amp;O$5,'Timesheet Raw'!$L$4:$L$8000,"&lt;="&amp;O$6)))/'Profit Plan'!$B$5)</f>
        <v>0</v>
      </c>
      <c r="P321" s="122">
        <f>IF($A321="","",(IF(ISNUMBER(SEARCH("Proposal",$A321)),SUMIFS('Timesheet Raw'!$P$4:$P$8000,'Timesheet Raw'!$A$4:$A$8000,IF(ISNUMBER(SEARCH("Chargable",$A321)),"2-Proposals Chargeable","3-Proposals Regular"),'Timesheet Raw'!$C$4:$C$8000,"*"&amp;$B321&amp;"*",'Timesheet Raw'!$L$4:$L$8000,"&gt;="&amp;MAX(P$5,DATE(2000+VALUE(RIGHT(TRIM($A321),2)),1,1)),'Timesheet Raw'!$L$4:$L$8000,"&lt;="&amp;MIN(P$6,DATE(2000+VALUE(RIGHT(TRIM($A321),2)),12,31))),SUMIFS('Timesheet Raw'!$P$4:$P$8000,'Timesheet Raw'!$B$4:$B$8000,TRIM($A321),'Timesheet Raw'!$C$4:$C$8000,"*"&amp;$B321&amp;"*",'Timesheet Raw'!$L$4:$L$8000,"&gt;="&amp;P$5,'Timesheet Raw'!$L$4:$L$8000,"&lt;="&amp;P$6)))/'Profit Plan'!$B$5)</f>
        <v>0</v>
      </c>
      <c r="Q321" s="122">
        <f>IF($A321="","",(IF(ISNUMBER(SEARCH("Proposal",$A321)),SUMIFS('Timesheet Raw'!$P$4:$P$8000,'Timesheet Raw'!$A$4:$A$8000,IF(ISNUMBER(SEARCH("Chargable",$A321)),"2-Proposals Chargeable","3-Proposals Regular"),'Timesheet Raw'!$C$4:$C$8000,"*"&amp;$B321&amp;"*",'Timesheet Raw'!$L$4:$L$8000,"&gt;="&amp;MAX(Q$5,DATE(2000+VALUE(RIGHT(TRIM($A321),2)),1,1)),'Timesheet Raw'!$L$4:$L$8000,"&lt;="&amp;MIN(Q$6,DATE(2000+VALUE(RIGHT(TRIM($A321),2)),12,31))),SUMIFS('Timesheet Raw'!$P$4:$P$8000,'Timesheet Raw'!$B$4:$B$8000,TRIM($A321),'Timesheet Raw'!$C$4:$C$8000,"*"&amp;$B321&amp;"*",'Timesheet Raw'!$L$4:$L$8000,"&gt;="&amp;Q$5,'Timesheet Raw'!$L$4:$L$8000,"&lt;="&amp;Q$6)))/'Profit Plan'!$B$5)</f>
        <v>0</v>
      </c>
      <c r="R321" s="122">
        <f>IF($A321="","",(IF(ISNUMBER(SEARCH("Proposal",$A321)),SUMIFS('Timesheet Raw'!$P$4:$P$8000,'Timesheet Raw'!$A$4:$A$8000,IF(ISNUMBER(SEARCH("Chargable",$A321)),"2-Proposals Chargeable","3-Proposals Regular"),'Timesheet Raw'!$C$4:$C$8000,"*"&amp;$B321&amp;"*",'Timesheet Raw'!$L$4:$L$8000,"&gt;="&amp;MAX(R$5,DATE(2000+VALUE(RIGHT(TRIM($A321),2)),1,1)),'Timesheet Raw'!$L$4:$L$8000,"&lt;="&amp;MIN(R$6,DATE(2000+VALUE(RIGHT(TRIM($A321),2)),12,31))),SUMIFS('Timesheet Raw'!$P$4:$P$8000,'Timesheet Raw'!$B$4:$B$8000,TRIM($A321),'Timesheet Raw'!$C$4:$C$8000,"*"&amp;$B321&amp;"*",'Timesheet Raw'!$L$4:$L$8000,"&gt;="&amp;R$5,'Timesheet Raw'!$L$4:$L$8000,"&lt;="&amp;R$6)))/'Profit Plan'!$B$5)</f>
        <v>0</v>
      </c>
      <c r="S321" s="122">
        <f>IF($A321="","",(IF(ISNUMBER(SEARCH("Proposal",$A321)),SUMIFS('Timesheet Raw'!$P$4:$P$8000,'Timesheet Raw'!$A$4:$A$8000,IF(ISNUMBER(SEARCH("Chargable",$A321)),"2-Proposals Chargeable","3-Proposals Regular"),'Timesheet Raw'!$C$4:$C$8000,"*"&amp;$B321&amp;"*",'Timesheet Raw'!$L$4:$L$8000,"&gt;="&amp;MAX(S$5,DATE(2000+VALUE(RIGHT(TRIM($A321),2)),1,1)),'Timesheet Raw'!$L$4:$L$8000,"&lt;="&amp;MIN(S$6,DATE(2000+VALUE(RIGHT(TRIM($A321),2)),12,31))),SUMIFS('Timesheet Raw'!$P$4:$P$8000,'Timesheet Raw'!$B$4:$B$8000,TRIM($A321),'Timesheet Raw'!$C$4:$C$8000,"*"&amp;$B321&amp;"*",'Timesheet Raw'!$L$4:$L$8000,"&gt;="&amp;S$5,'Timesheet Raw'!$L$4:$L$8000,"&lt;="&amp;S$6)))/'Profit Plan'!$B$5)</f>
        <v>0</v>
      </c>
      <c r="T321" s="122">
        <f>IF($A321="","",(IF(ISNUMBER(SEARCH("Proposal",$A321)),SUMIFS('Timesheet Raw'!$P$4:$P$8000,'Timesheet Raw'!$A$4:$A$8000,IF(ISNUMBER(SEARCH("Chargable",$A321)),"2-Proposals Chargeable","3-Proposals Regular"),'Timesheet Raw'!$C$4:$C$8000,"*"&amp;$B321&amp;"*",'Timesheet Raw'!$L$4:$L$8000,"&gt;="&amp;MAX(T$5,DATE(2000+VALUE(RIGHT(TRIM($A321),2)),1,1)),'Timesheet Raw'!$L$4:$L$8000,"&lt;="&amp;MIN(T$6,DATE(2000+VALUE(RIGHT(TRIM($A321),2)),12,31))),SUMIFS('Timesheet Raw'!$P$4:$P$8000,'Timesheet Raw'!$B$4:$B$8000,TRIM($A321),'Timesheet Raw'!$C$4:$C$8000,"*"&amp;$B321&amp;"*",'Timesheet Raw'!$L$4:$L$8000,"&gt;="&amp;T$5,'Timesheet Raw'!$L$4:$L$8000,"&lt;="&amp;T$6)))/'Profit Plan'!$B$5)</f>
        <v>0</v>
      </c>
      <c r="U321" s="122">
        <f>IF($A321="","",(IF(ISNUMBER(SEARCH("Proposal",$A321)),SUMIFS('Timesheet Raw'!$P$4:$P$8000,'Timesheet Raw'!$A$4:$A$8000,IF(ISNUMBER(SEARCH("Chargable",$A321)),"2-Proposals Chargeable","3-Proposals Regular"),'Timesheet Raw'!$C$4:$C$8000,"*"&amp;$B321&amp;"*",'Timesheet Raw'!$L$4:$L$8000,"&gt;="&amp;MAX(U$5,DATE(2000+VALUE(RIGHT(TRIM($A321),2)),1,1)),'Timesheet Raw'!$L$4:$L$8000,"&lt;="&amp;MIN(U$6,DATE(2000+VALUE(RIGHT(TRIM($A321),2)),12,31))),SUMIFS('Timesheet Raw'!$P$4:$P$8000,'Timesheet Raw'!$B$4:$B$8000,TRIM($A321),'Timesheet Raw'!$C$4:$C$8000,"*"&amp;$B321&amp;"*",'Timesheet Raw'!$L$4:$L$8000,"&gt;="&amp;U$5,'Timesheet Raw'!$L$4:$L$8000,"&lt;="&amp;U$6)))/'Profit Plan'!$B$5)</f>
        <v>0</v>
      </c>
      <c r="V321" s="122">
        <f>IF($A321="","",(IF(ISNUMBER(SEARCH("Proposal",$A321)),SUMIFS('Timesheet Raw'!$P$4:$P$8000,'Timesheet Raw'!$A$4:$A$8000,IF(ISNUMBER(SEARCH("Chargable",$A321)),"2-Proposals Chargeable","3-Proposals Regular"),'Timesheet Raw'!$C$4:$C$8000,"*"&amp;$B321&amp;"*",'Timesheet Raw'!$L$4:$L$8000,"&gt;="&amp;MAX(V$5,DATE(2000+VALUE(RIGHT(TRIM($A321),2)),1,1)),'Timesheet Raw'!$L$4:$L$8000,"&lt;="&amp;MIN(V$6,DATE(2000+VALUE(RIGHT(TRIM($A321),2)),12,31))),SUMIFS('Timesheet Raw'!$P$4:$P$8000,'Timesheet Raw'!$B$4:$B$8000,TRIM($A321),'Timesheet Raw'!$C$4:$C$8000,"*"&amp;$B321&amp;"*",'Timesheet Raw'!$L$4:$L$8000,"&gt;="&amp;V$5,'Timesheet Raw'!$L$4:$L$8000,"&lt;="&amp;V$6)))/'Profit Plan'!$B$5)</f>
        <v>0</v>
      </c>
      <c r="W321" s="122">
        <f>IF($A321="","",(IF(ISNUMBER(SEARCH("Proposal",$A321)),SUMIFS('Timesheet Raw'!$P$4:$P$8000,'Timesheet Raw'!$A$4:$A$8000,IF(ISNUMBER(SEARCH("Chargable",$A321)),"2-Proposals Chargeable","3-Proposals Regular"),'Timesheet Raw'!$C$4:$C$8000,"*"&amp;$B321&amp;"*",'Timesheet Raw'!$L$4:$L$8000,"&gt;="&amp;MAX(W$5,DATE(2000+VALUE(RIGHT(TRIM($A321),2)),1,1)),'Timesheet Raw'!$L$4:$L$8000,"&lt;="&amp;MIN(W$6,DATE(2000+VALUE(RIGHT(TRIM($A321),2)),12,31))),SUMIFS('Timesheet Raw'!$P$4:$P$8000,'Timesheet Raw'!$B$4:$B$8000,TRIM($A321),'Timesheet Raw'!$C$4:$C$8000,"*"&amp;$B321&amp;"*",'Timesheet Raw'!$L$4:$L$8000,"&gt;="&amp;W$5,'Timesheet Raw'!$L$4:$L$8000,"&lt;="&amp;W$6)))/'Profit Plan'!$B$5)</f>
        <v>0</v>
      </c>
      <c r="X321" s="122">
        <f>IF($A321="","",(IF(ISNUMBER(SEARCH("Proposal",$A321)),SUMIFS('Timesheet Raw'!$P$4:$P$8000,'Timesheet Raw'!$A$4:$A$8000,IF(ISNUMBER(SEARCH("Chargable",$A321)),"2-Proposals Chargeable","3-Proposals Regular"),'Timesheet Raw'!$C$4:$C$8000,"*"&amp;$B321&amp;"*",'Timesheet Raw'!$L$4:$L$8000,"&gt;="&amp;MAX(X$5,DATE(2000+VALUE(RIGHT(TRIM($A321),2)),1,1)),'Timesheet Raw'!$L$4:$L$8000,"&lt;="&amp;MIN(X$6,DATE(2000+VALUE(RIGHT(TRIM($A321),2)),12,31))),SUMIFS('Timesheet Raw'!$P$4:$P$8000,'Timesheet Raw'!$B$4:$B$8000,TRIM($A321),'Timesheet Raw'!$C$4:$C$8000,"*"&amp;$B321&amp;"*",'Timesheet Raw'!$L$4:$L$8000,"&gt;="&amp;X$5,'Timesheet Raw'!$L$4:$L$8000,"&lt;="&amp;X$6)))/'Profit Plan'!$B$5)</f>
        <v>0</v>
      </c>
      <c r="Y321" s="118">
        <f t="shared" si="100"/>
        <v>1.7081081081081078</v>
      </c>
    </row>
    <row r="322" spans="1:25" x14ac:dyDescent="0.3">
      <c r="A322" s="116" t="str">
        <f>IF(Inputs!$A25="","",Inputs!$A25)</f>
        <v>AN24185-0100R</v>
      </c>
      <c r="B322" s="116" t="str">
        <f>IF(Inputs!$A25="","",Inputs!$A$91)</f>
        <v>Ahmed</v>
      </c>
      <c r="C322" s="116"/>
      <c r="D322" s="122">
        <f>IF($A322="","",(IF(ISNUMBER(SEARCH("Proposal",$A322)),SUMIFS('Timesheet Raw'!$P$4:$P$8000,'Timesheet Raw'!$A$4:$A$8000,IF(ISNUMBER(SEARCH("Chargable",$A322)),"2-Proposals Chargeable","3-Proposals Regular"),'Timesheet Raw'!$C$4:$C$8000,"*"&amp;$B322&amp;"*",'Timesheet Raw'!$L$4:$L$8000,"&gt;="&amp;MAX(D$5,DATE(2000+VALUE(RIGHT(TRIM($A322),2)),1,1)),'Timesheet Raw'!$L$4:$L$8000,"&lt;="&amp;MIN(D$6,DATE(2000+VALUE(RIGHT(TRIM($A322),2)),12,31))),SUMIFS('Timesheet Raw'!$P$4:$P$8000,'Timesheet Raw'!$B$4:$B$8000,TRIM($A322),'Timesheet Raw'!$C$4:$C$8000,"*"&amp;$B322&amp;"*",'Timesheet Raw'!$L$4:$L$8000,"&gt;="&amp;D$5,'Timesheet Raw'!$L$4:$L$8000,"&lt;="&amp;D$6)))/'Profit Plan'!$B$5)</f>
        <v>0</v>
      </c>
      <c r="E322" s="122">
        <f>IF($A322="","",(IF(ISNUMBER(SEARCH("Proposal",$A322)),SUMIFS('Timesheet Raw'!$P$4:$P$8000,'Timesheet Raw'!$A$4:$A$8000,IF(ISNUMBER(SEARCH("Chargable",$A322)),"2-Proposals Chargeable","3-Proposals Regular"),'Timesheet Raw'!$C$4:$C$8000,"*"&amp;$B322&amp;"*",'Timesheet Raw'!$L$4:$L$8000,"&gt;="&amp;MAX(E$5,DATE(2000+VALUE(RIGHT(TRIM($A322),2)),1,1)),'Timesheet Raw'!$L$4:$L$8000,"&lt;="&amp;MIN(E$6,DATE(2000+VALUE(RIGHT(TRIM($A322),2)),12,31))),SUMIFS('Timesheet Raw'!$P$4:$P$8000,'Timesheet Raw'!$B$4:$B$8000,TRIM($A322),'Timesheet Raw'!$C$4:$C$8000,"*"&amp;$B322&amp;"*",'Timesheet Raw'!$L$4:$L$8000,"&gt;="&amp;E$5,'Timesheet Raw'!$L$4:$L$8000,"&lt;="&amp;E$6)))/'Profit Plan'!$B$5)</f>
        <v>0</v>
      </c>
      <c r="F322" s="122">
        <f>IF($A322="","",(IF(ISNUMBER(SEARCH("Proposal",$A322)),SUMIFS('Timesheet Raw'!$P$4:$P$8000,'Timesheet Raw'!$A$4:$A$8000,IF(ISNUMBER(SEARCH("Chargable",$A322)),"2-Proposals Chargeable","3-Proposals Regular"),'Timesheet Raw'!$C$4:$C$8000,"*"&amp;$B322&amp;"*",'Timesheet Raw'!$L$4:$L$8000,"&gt;="&amp;MAX(F$5,DATE(2000+VALUE(RIGHT(TRIM($A322),2)),1,1)),'Timesheet Raw'!$L$4:$L$8000,"&lt;="&amp;MIN(F$6,DATE(2000+VALUE(RIGHT(TRIM($A322),2)),12,31))),SUMIFS('Timesheet Raw'!$P$4:$P$8000,'Timesheet Raw'!$B$4:$B$8000,TRIM($A322),'Timesheet Raw'!$C$4:$C$8000,"*"&amp;$B322&amp;"*",'Timesheet Raw'!$L$4:$L$8000,"&gt;="&amp;F$5,'Timesheet Raw'!$L$4:$L$8000,"&lt;="&amp;F$6)))/'Profit Plan'!$B$5)</f>
        <v>0</v>
      </c>
      <c r="G322" s="122">
        <f>IF($A322="","",(IF(ISNUMBER(SEARCH("Proposal",$A322)),SUMIFS('Timesheet Raw'!$P$4:$P$8000,'Timesheet Raw'!$A$4:$A$8000,IF(ISNUMBER(SEARCH("Chargable",$A322)),"2-Proposals Chargeable","3-Proposals Regular"),'Timesheet Raw'!$C$4:$C$8000,"*"&amp;$B322&amp;"*",'Timesheet Raw'!$L$4:$L$8000,"&gt;="&amp;MAX(G$5,DATE(2000+VALUE(RIGHT(TRIM($A322),2)),1,1)),'Timesheet Raw'!$L$4:$L$8000,"&lt;="&amp;MIN(G$6,DATE(2000+VALUE(RIGHT(TRIM($A322),2)),12,31))),SUMIFS('Timesheet Raw'!$P$4:$P$8000,'Timesheet Raw'!$B$4:$B$8000,TRIM($A322),'Timesheet Raw'!$C$4:$C$8000,"*"&amp;$B322&amp;"*",'Timesheet Raw'!$L$4:$L$8000,"&gt;="&amp;G$5,'Timesheet Raw'!$L$4:$L$8000,"&lt;="&amp;G$6)))/'Profit Plan'!$B$5)</f>
        <v>0</v>
      </c>
      <c r="H322" s="122">
        <f>IF($A322="","",(IF(ISNUMBER(SEARCH("Proposal",$A322)),SUMIFS('Timesheet Raw'!$P$4:$P$8000,'Timesheet Raw'!$A$4:$A$8000,IF(ISNUMBER(SEARCH("Chargable",$A322)),"2-Proposals Chargeable","3-Proposals Regular"),'Timesheet Raw'!$C$4:$C$8000,"*"&amp;$B322&amp;"*",'Timesheet Raw'!$L$4:$L$8000,"&gt;="&amp;MAX(H$5,DATE(2000+VALUE(RIGHT(TRIM($A322),2)),1,1)),'Timesheet Raw'!$L$4:$L$8000,"&lt;="&amp;MIN(H$6,DATE(2000+VALUE(RIGHT(TRIM($A322),2)),12,31))),SUMIFS('Timesheet Raw'!$P$4:$P$8000,'Timesheet Raw'!$B$4:$B$8000,TRIM($A322),'Timesheet Raw'!$C$4:$C$8000,"*"&amp;$B322&amp;"*",'Timesheet Raw'!$L$4:$L$8000,"&gt;="&amp;H$5,'Timesheet Raw'!$L$4:$L$8000,"&lt;="&amp;H$6)))/'Profit Plan'!$B$5)</f>
        <v>3.9189189189189191E-2</v>
      </c>
      <c r="I322" s="122">
        <f>IF($A322="","",(IF(ISNUMBER(SEARCH("Proposal",$A322)),SUMIFS('Timesheet Raw'!$P$4:$P$8000,'Timesheet Raw'!$A$4:$A$8000,IF(ISNUMBER(SEARCH("Chargable",$A322)),"2-Proposals Chargeable","3-Proposals Regular"),'Timesheet Raw'!$C$4:$C$8000,"*"&amp;$B322&amp;"*",'Timesheet Raw'!$L$4:$L$8000,"&gt;="&amp;MAX(I$5,DATE(2000+VALUE(RIGHT(TRIM($A322),2)),1,1)),'Timesheet Raw'!$L$4:$L$8000,"&lt;="&amp;MIN(I$6,DATE(2000+VALUE(RIGHT(TRIM($A322),2)),12,31))),SUMIFS('Timesheet Raw'!$P$4:$P$8000,'Timesheet Raw'!$B$4:$B$8000,TRIM($A322),'Timesheet Raw'!$C$4:$C$8000,"*"&amp;$B322&amp;"*",'Timesheet Raw'!$L$4:$L$8000,"&gt;="&amp;I$5,'Timesheet Raw'!$L$4:$L$8000,"&lt;="&amp;I$6)))/'Profit Plan'!$B$5)</f>
        <v>0</v>
      </c>
      <c r="J322" s="122">
        <f>IF($A322="","",(IF(ISNUMBER(SEARCH("Proposal",$A322)),SUMIFS('Timesheet Raw'!$P$4:$P$8000,'Timesheet Raw'!$A$4:$A$8000,IF(ISNUMBER(SEARCH("Chargable",$A322)),"2-Proposals Chargeable","3-Proposals Regular"),'Timesheet Raw'!$C$4:$C$8000,"*"&amp;$B322&amp;"*",'Timesheet Raw'!$L$4:$L$8000,"&gt;="&amp;MAX(J$5,DATE(2000+VALUE(RIGHT(TRIM($A322),2)),1,1)),'Timesheet Raw'!$L$4:$L$8000,"&lt;="&amp;MIN(J$6,DATE(2000+VALUE(RIGHT(TRIM($A322),2)),12,31))),SUMIFS('Timesheet Raw'!$P$4:$P$8000,'Timesheet Raw'!$B$4:$B$8000,TRIM($A322),'Timesheet Raw'!$C$4:$C$8000,"*"&amp;$B322&amp;"*",'Timesheet Raw'!$L$4:$L$8000,"&gt;="&amp;J$5,'Timesheet Raw'!$L$4:$L$8000,"&lt;="&amp;J$6)))/'Profit Plan'!$B$5)</f>
        <v>0</v>
      </c>
      <c r="K322" s="122">
        <f>IF($A322="","",(IF(ISNUMBER(SEARCH("Proposal",$A322)),SUMIFS('Timesheet Raw'!$P$4:$P$8000,'Timesheet Raw'!$A$4:$A$8000,IF(ISNUMBER(SEARCH("Chargable",$A322)),"2-Proposals Chargeable","3-Proposals Regular"),'Timesheet Raw'!$C$4:$C$8000,"*"&amp;$B322&amp;"*",'Timesheet Raw'!$L$4:$L$8000,"&gt;="&amp;MAX(K$5,DATE(2000+VALUE(RIGHT(TRIM($A322),2)),1,1)),'Timesheet Raw'!$L$4:$L$8000,"&lt;="&amp;MIN(K$6,DATE(2000+VALUE(RIGHT(TRIM($A322),2)),12,31))),SUMIFS('Timesheet Raw'!$P$4:$P$8000,'Timesheet Raw'!$B$4:$B$8000,TRIM($A322),'Timesheet Raw'!$C$4:$C$8000,"*"&amp;$B322&amp;"*",'Timesheet Raw'!$L$4:$L$8000,"&gt;="&amp;K$5,'Timesheet Raw'!$L$4:$L$8000,"&lt;="&amp;K$6)))/'Profit Plan'!$B$5)</f>
        <v>1.0810810810810811E-2</v>
      </c>
      <c r="L322" s="122">
        <f>IF($A322="","",(IF(ISNUMBER(SEARCH("Proposal",$A322)),SUMIFS('Timesheet Raw'!$P$4:$P$8000,'Timesheet Raw'!$A$4:$A$8000,IF(ISNUMBER(SEARCH("Chargable",$A322)),"2-Proposals Chargeable","3-Proposals Regular"),'Timesheet Raw'!$C$4:$C$8000,"*"&amp;$B322&amp;"*",'Timesheet Raw'!$L$4:$L$8000,"&gt;="&amp;MAX(L$5,DATE(2000+VALUE(RIGHT(TRIM($A322),2)),1,1)),'Timesheet Raw'!$L$4:$L$8000,"&lt;="&amp;MIN(L$6,DATE(2000+VALUE(RIGHT(TRIM($A322),2)),12,31))),SUMIFS('Timesheet Raw'!$P$4:$P$8000,'Timesheet Raw'!$B$4:$B$8000,TRIM($A322),'Timesheet Raw'!$C$4:$C$8000,"*"&amp;$B322&amp;"*",'Timesheet Raw'!$L$4:$L$8000,"&gt;="&amp;L$5,'Timesheet Raw'!$L$4:$L$8000,"&lt;="&amp;L$6)))/'Profit Plan'!$B$5)</f>
        <v>0</v>
      </c>
      <c r="M322" s="122">
        <f>IF($A322="","",(IF(ISNUMBER(SEARCH("Proposal",$A322)),SUMIFS('Timesheet Raw'!$P$4:$P$8000,'Timesheet Raw'!$A$4:$A$8000,IF(ISNUMBER(SEARCH("Chargable",$A322)),"2-Proposals Chargeable","3-Proposals Regular"),'Timesheet Raw'!$C$4:$C$8000,"*"&amp;$B322&amp;"*",'Timesheet Raw'!$L$4:$L$8000,"&gt;="&amp;MAX(M$5,DATE(2000+VALUE(RIGHT(TRIM($A322),2)),1,1)),'Timesheet Raw'!$L$4:$L$8000,"&lt;="&amp;MIN(M$6,DATE(2000+VALUE(RIGHT(TRIM($A322),2)),12,31))),SUMIFS('Timesheet Raw'!$P$4:$P$8000,'Timesheet Raw'!$B$4:$B$8000,TRIM($A322),'Timesheet Raw'!$C$4:$C$8000,"*"&amp;$B322&amp;"*",'Timesheet Raw'!$L$4:$L$8000,"&gt;="&amp;M$5,'Timesheet Raw'!$L$4:$L$8000,"&lt;="&amp;M$6)))/'Profit Plan'!$B$5)</f>
        <v>0</v>
      </c>
      <c r="N322" s="122">
        <f>IF($A322="","",(IF(ISNUMBER(SEARCH("Proposal",$A322)),SUMIFS('Timesheet Raw'!$P$4:$P$8000,'Timesheet Raw'!$A$4:$A$8000,IF(ISNUMBER(SEARCH("Chargable",$A322)),"2-Proposals Chargeable","3-Proposals Regular"),'Timesheet Raw'!$C$4:$C$8000,"*"&amp;$B322&amp;"*",'Timesheet Raw'!$L$4:$L$8000,"&gt;="&amp;MAX(N$5,DATE(2000+VALUE(RIGHT(TRIM($A322),2)),1,1)),'Timesheet Raw'!$L$4:$L$8000,"&lt;="&amp;MIN(N$6,DATE(2000+VALUE(RIGHT(TRIM($A322),2)),12,31))),SUMIFS('Timesheet Raw'!$P$4:$P$8000,'Timesheet Raw'!$B$4:$B$8000,TRIM($A322),'Timesheet Raw'!$C$4:$C$8000,"*"&amp;$B322&amp;"*",'Timesheet Raw'!$L$4:$L$8000,"&gt;="&amp;N$5,'Timesheet Raw'!$L$4:$L$8000,"&lt;="&amp;N$6)))/'Profit Plan'!$B$5)</f>
        <v>0</v>
      </c>
      <c r="O322" s="122">
        <f>IF($A322="","",(IF(ISNUMBER(SEARCH("Proposal",$A322)),SUMIFS('Timesheet Raw'!$P$4:$P$8000,'Timesheet Raw'!$A$4:$A$8000,IF(ISNUMBER(SEARCH("Chargable",$A322)),"2-Proposals Chargeable","3-Proposals Regular"),'Timesheet Raw'!$C$4:$C$8000,"*"&amp;$B322&amp;"*",'Timesheet Raw'!$L$4:$L$8000,"&gt;="&amp;MAX(O$5,DATE(2000+VALUE(RIGHT(TRIM($A322),2)),1,1)),'Timesheet Raw'!$L$4:$L$8000,"&lt;="&amp;MIN(O$6,DATE(2000+VALUE(RIGHT(TRIM($A322),2)),12,31))),SUMIFS('Timesheet Raw'!$P$4:$P$8000,'Timesheet Raw'!$B$4:$B$8000,TRIM($A322),'Timesheet Raw'!$C$4:$C$8000,"*"&amp;$B322&amp;"*",'Timesheet Raw'!$L$4:$L$8000,"&gt;="&amp;O$5,'Timesheet Raw'!$L$4:$L$8000,"&lt;="&amp;O$6)))/'Profit Plan'!$B$5)</f>
        <v>0</v>
      </c>
      <c r="P322" s="122">
        <f>IF($A322="","",(IF(ISNUMBER(SEARCH("Proposal",$A322)),SUMIFS('Timesheet Raw'!$P$4:$P$8000,'Timesheet Raw'!$A$4:$A$8000,IF(ISNUMBER(SEARCH("Chargable",$A322)),"2-Proposals Chargeable","3-Proposals Regular"),'Timesheet Raw'!$C$4:$C$8000,"*"&amp;$B322&amp;"*",'Timesheet Raw'!$L$4:$L$8000,"&gt;="&amp;MAX(P$5,DATE(2000+VALUE(RIGHT(TRIM($A322),2)),1,1)),'Timesheet Raw'!$L$4:$L$8000,"&lt;="&amp;MIN(P$6,DATE(2000+VALUE(RIGHT(TRIM($A322),2)),12,31))),SUMIFS('Timesheet Raw'!$P$4:$P$8000,'Timesheet Raw'!$B$4:$B$8000,TRIM($A322),'Timesheet Raw'!$C$4:$C$8000,"*"&amp;$B322&amp;"*",'Timesheet Raw'!$L$4:$L$8000,"&gt;="&amp;P$5,'Timesheet Raw'!$L$4:$L$8000,"&lt;="&amp;P$6)))/'Profit Plan'!$B$5)</f>
        <v>0</v>
      </c>
      <c r="Q322" s="122">
        <f>IF($A322="","",(IF(ISNUMBER(SEARCH("Proposal",$A322)),SUMIFS('Timesheet Raw'!$P$4:$P$8000,'Timesheet Raw'!$A$4:$A$8000,IF(ISNUMBER(SEARCH("Chargable",$A322)),"2-Proposals Chargeable","3-Proposals Regular"),'Timesheet Raw'!$C$4:$C$8000,"*"&amp;$B322&amp;"*",'Timesheet Raw'!$L$4:$L$8000,"&gt;="&amp;MAX(Q$5,DATE(2000+VALUE(RIGHT(TRIM($A322),2)),1,1)),'Timesheet Raw'!$L$4:$L$8000,"&lt;="&amp;MIN(Q$6,DATE(2000+VALUE(RIGHT(TRIM($A322),2)),12,31))),SUMIFS('Timesheet Raw'!$P$4:$P$8000,'Timesheet Raw'!$B$4:$B$8000,TRIM($A322),'Timesheet Raw'!$C$4:$C$8000,"*"&amp;$B322&amp;"*",'Timesheet Raw'!$L$4:$L$8000,"&gt;="&amp;Q$5,'Timesheet Raw'!$L$4:$L$8000,"&lt;="&amp;Q$6)))/'Profit Plan'!$B$5)</f>
        <v>0</v>
      </c>
      <c r="R322" s="122">
        <f>IF($A322="","",(IF(ISNUMBER(SEARCH("Proposal",$A322)),SUMIFS('Timesheet Raw'!$P$4:$P$8000,'Timesheet Raw'!$A$4:$A$8000,IF(ISNUMBER(SEARCH("Chargable",$A322)),"2-Proposals Chargeable","3-Proposals Regular"),'Timesheet Raw'!$C$4:$C$8000,"*"&amp;$B322&amp;"*",'Timesheet Raw'!$L$4:$L$8000,"&gt;="&amp;MAX(R$5,DATE(2000+VALUE(RIGHT(TRIM($A322),2)),1,1)),'Timesheet Raw'!$L$4:$L$8000,"&lt;="&amp;MIN(R$6,DATE(2000+VALUE(RIGHT(TRIM($A322),2)),12,31))),SUMIFS('Timesheet Raw'!$P$4:$P$8000,'Timesheet Raw'!$B$4:$B$8000,TRIM($A322),'Timesheet Raw'!$C$4:$C$8000,"*"&amp;$B322&amp;"*",'Timesheet Raw'!$L$4:$L$8000,"&gt;="&amp;R$5,'Timesheet Raw'!$L$4:$L$8000,"&lt;="&amp;R$6)))/'Profit Plan'!$B$5)</f>
        <v>0</v>
      </c>
      <c r="S322" s="122">
        <f>IF($A322="","",(IF(ISNUMBER(SEARCH("Proposal",$A322)),SUMIFS('Timesheet Raw'!$P$4:$P$8000,'Timesheet Raw'!$A$4:$A$8000,IF(ISNUMBER(SEARCH("Chargable",$A322)),"2-Proposals Chargeable","3-Proposals Regular"),'Timesheet Raw'!$C$4:$C$8000,"*"&amp;$B322&amp;"*",'Timesheet Raw'!$L$4:$L$8000,"&gt;="&amp;MAX(S$5,DATE(2000+VALUE(RIGHT(TRIM($A322),2)),1,1)),'Timesheet Raw'!$L$4:$L$8000,"&lt;="&amp;MIN(S$6,DATE(2000+VALUE(RIGHT(TRIM($A322),2)),12,31))),SUMIFS('Timesheet Raw'!$P$4:$P$8000,'Timesheet Raw'!$B$4:$B$8000,TRIM($A322),'Timesheet Raw'!$C$4:$C$8000,"*"&amp;$B322&amp;"*",'Timesheet Raw'!$L$4:$L$8000,"&gt;="&amp;S$5,'Timesheet Raw'!$L$4:$L$8000,"&lt;="&amp;S$6)))/'Profit Plan'!$B$5)</f>
        <v>0</v>
      </c>
      <c r="T322" s="122">
        <f>IF($A322="","",(IF(ISNUMBER(SEARCH("Proposal",$A322)),SUMIFS('Timesheet Raw'!$P$4:$P$8000,'Timesheet Raw'!$A$4:$A$8000,IF(ISNUMBER(SEARCH("Chargable",$A322)),"2-Proposals Chargeable","3-Proposals Regular"),'Timesheet Raw'!$C$4:$C$8000,"*"&amp;$B322&amp;"*",'Timesheet Raw'!$L$4:$L$8000,"&gt;="&amp;MAX(T$5,DATE(2000+VALUE(RIGHT(TRIM($A322),2)),1,1)),'Timesheet Raw'!$L$4:$L$8000,"&lt;="&amp;MIN(T$6,DATE(2000+VALUE(RIGHT(TRIM($A322),2)),12,31))),SUMIFS('Timesheet Raw'!$P$4:$P$8000,'Timesheet Raw'!$B$4:$B$8000,TRIM($A322),'Timesheet Raw'!$C$4:$C$8000,"*"&amp;$B322&amp;"*",'Timesheet Raw'!$L$4:$L$8000,"&gt;="&amp;T$5,'Timesheet Raw'!$L$4:$L$8000,"&lt;="&amp;T$6)))/'Profit Plan'!$B$5)</f>
        <v>0</v>
      </c>
      <c r="U322" s="122">
        <f>IF($A322="","",(IF(ISNUMBER(SEARCH("Proposal",$A322)),SUMIFS('Timesheet Raw'!$P$4:$P$8000,'Timesheet Raw'!$A$4:$A$8000,IF(ISNUMBER(SEARCH("Chargable",$A322)),"2-Proposals Chargeable","3-Proposals Regular"),'Timesheet Raw'!$C$4:$C$8000,"*"&amp;$B322&amp;"*",'Timesheet Raw'!$L$4:$L$8000,"&gt;="&amp;MAX(U$5,DATE(2000+VALUE(RIGHT(TRIM($A322),2)),1,1)),'Timesheet Raw'!$L$4:$L$8000,"&lt;="&amp;MIN(U$6,DATE(2000+VALUE(RIGHT(TRIM($A322),2)),12,31))),SUMIFS('Timesheet Raw'!$P$4:$P$8000,'Timesheet Raw'!$B$4:$B$8000,TRIM($A322),'Timesheet Raw'!$C$4:$C$8000,"*"&amp;$B322&amp;"*",'Timesheet Raw'!$L$4:$L$8000,"&gt;="&amp;U$5,'Timesheet Raw'!$L$4:$L$8000,"&lt;="&amp;U$6)))/'Profit Plan'!$B$5)</f>
        <v>0</v>
      </c>
      <c r="V322" s="122">
        <f>IF($A322="","",(IF(ISNUMBER(SEARCH("Proposal",$A322)),SUMIFS('Timesheet Raw'!$P$4:$P$8000,'Timesheet Raw'!$A$4:$A$8000,IF(ISNUMBER(SEARCH("Chargable",$A322)),"2-Proposals Chargeable","3-Proposals Regular"),'Timesheet Raw'!$C$4:$C$8000,"*"&amp;$B322&amp;"*",'Timesheet Raw'!$L$4:$L$8000,"&gt;="&amp;MAX(V$5,DATE(2000+VALUE(RIGHT(TRIM($A322),2)),1,1)),'Timesheet Raw'!$L$4:$L$8000,"&lt;="&amp;MIN(V$6,DATE(2000+VALUE(RIGHT(TRIM($A322),2)),12,31))),SUMIFS('Timesheet Raw'!$P$4:$P$8000,'Timesheet Raw'!$B$4:$B$8000,TRIM($A322),'Timesheet Raw'!$C$4:$C$8000,"*"&amp;$B322&amp;"*",'Timesheet Raw'!$L$4:$L$8000,"&gt;="&amp;V$5,'Timesheet Raw'!$L$4:$L$8000,"&lt;="&amp;V$6)))/'Profit Plan'!$B$5)</f>
        <v>0</v>
      </c>
      <c r="W322" s="122">
        <f>IF($A322="","",(IF(ISNUMBER(SEARCH("Proposal",$A322)),SUMIFS('Timesheet Raw'!$P$4:$P$8000,'Timesheet Raw'!$A$4:$A$8000,IF(ISNUMBER(SEARCH("Chargable",$A322)),"2-Proposals Chargeable","3-Proposals Regular"),'Timesheet Raw'!$C$4:$C$8000,"*"&amp;$B322&amp;"*",'Timesheet Raw'!$L$4:$L$8000,"&gt;="&amp;MAX(W$5,DATE(2000+VALUE(RIGHT(TRIM($A322),2)),1,1)),'Timesheet Raw'!$L$4:$L$8000,"&lt;="&amp;MIN(W$6,DATE(2000+VALUE(RIGHT(TRIM($A322),2)),12,31))),SUMIFS('Timesheet Raw'!$P$4:$P$8000,'Timesheet Raw'!$B$4:$B$8000,TRIM($A322),'Timesheet Raw'!$C$4:$C$8000,"*"&amp;$B322&amp;"*",'Timesheet Raw'!$L$4:$L$8000,"&gt;="&amp;W$5,'Timesheet Raw'!$L$4:$L$8000,"&lt;="&amp;W$6)))/'Profit Plan'!$B$5)</f>
        <v>0</v>
      </c>
      <c r="X322" s="122">
        <f>IF($A322="","",(IF(ISNUMBER(SEARCH("Proposal",$A322)),SUMIFS('Timesheet Raw'!$P$4:$P$8000,'Timesheet Raw'!$A$4:$A$8000,IF(ISNUMBER(SEARCH("Chargable",$A322)),"2-Proposals Chargeable","3-Proposals Regular"),'Timesheet Raw'!$C$4:$C$8000,"*"&amp;$B322&amp;"*",'Timesheet Raw'!$L$4:$L$8000,"&gt;="&amp;MAX(X$5,DATE(2000+VALUE(RIGHT(TRIM($A322),2)),1,1)),'Timesheet Raw'!$L$4:$L$8000,"&lt;="&amp;MIN(X$6,DATE(2000+VALUE(RIGHT(TRIM($A322),2)),12,31))),SUMIFS('Timesheet Raw'!$P$4:$P$8000,'Timesheet Raw'!$B$4:$B$8000,TRIM($A322),'Timesheet Raw'!$C$4:$C$8000,"*"&amp;$B322&amp;"*",'Timesheet Raw'!$L$4:$L$8000,"&gt;="&amp;X$5,'Timesheet Raw'!$L$4:$L$8000,"&lt;="&amp;X$6)))/'Profit Plan'!$B$5)</f>
        <v>0</v>
      </c>
      <c r="Y322" s="118">
        <f t="shared" si="100"/>
        <v>0.05</v>
      </c>
    </row>
    <row r="323" spans="1:25" x14ac:dyDescent="0.3">
      <c r="A323" s="116" t="str">
        <f>IF(Inputs!$A25="","",Inputs!$A25)</f>
        <v>AN24185-0100R</v>
      </c>
      <c r="B323" s="116" t="str">
        <f>IF(Inputs!$A25="","",Inputs!$A$92)</f>
        <v>Osama</v>
      </c>
      <c r="C323" s="116"/>
      <c r="D323" s="122">
        <f>IF($A323="","",(IF(ISNUMBER(SEARCH("Proposal",$A323)),SUMIFS('Timesheet Raw'!$P$4:$P$8000,'Timesheet Raw'!$A$4:$A$8000,IF(ISNUMBER(SEARCH("Chargable",$A323)),"2-Proposals Chargeable","3-Proposals Regular"),'Timesheet Raw'!$C$4:$C$8000,"*"&amp;$B323&amp;"*",'Timesheet Raw'!$L$4:$L$8000,"&gt;="&amp;MAX(D$5,DATE(2000+VALUE(RIGHT(TRIM($A323),2)),1,1)),'Timesheet Raw'!$L$4:$L$8000,"&lt;="&amp;MIN(D$6,DATE(2000+VALUE(RIGHT(TRIM($A323),2)),12,31))),SUMIFS('Timesheet Raw'!$P$4:$P$8000,'Timesheet Raw'!$B$4:$B$8000,TRIM($A323),'Timesheet Raw'!$C$4:$C$8000,"*"&amp;$B323&amp;"*",'Timesheet Raw'!$L$4:$L$8000,"&gt;="&amp;D$5,'Timesheet Raw'!$L$4:$L$8000,"&lt;="&amp;D$6)))/'Profit Plan'!$B$5)</f>
        <v>0</v>
      </c>
      <c r="E323" s="122">
        <f>IF($A323="","",(IF(ISNUMBER(SEARCH("Proposal",$A323)),SUMIFS('Timesheet Raw'!$P$4:$P$8000,'Timesheet Raw'!$A$4:$A$8000,IF(ISNUMBER(SEARCH("Chargable",$A323)),"2-Proposals Chargeable","3-Proposals Regular"),'Timesheet Raw'!$C$4:$C$8000,"*"&amp;$B323&amp;"*",'Timesheet Raw'!$L$4:$L$8000,"&gt;="&amp;MAX(E$5,DATE(2000+VALUE(RIGHT(TRIM($A323),2)),1,1)),'Timesheet Raw'!$L$4:$L$8000,"&lt;="&amp;MIN(E$6,DATE(2000+VALUE(RIGHT(TRIM($A323),2)),12,31))),SUMIFS('Timesheet Raw'!$P$4:$P$8000,'Timesheet Raw'!$B$4:$B$8000,TRIM($A323),'Timesheet Raw'!$C$4:$C$8000,"*"&amp;$B323&amp;"*",'Timesheet Raw'!$L$4:$L$8000,"&gt;="&amp;E$5,'Timesheet Raw'!$L$4:$L$8000,"&lt;="&amp;E$6)))/'Profit Plan'!$B$5)</f>
        <v>0</v>
      </c>
      <c r="F323" s="122">
        <f>IF($A323="","",(IF(ISNUMBER(SEARCH("Proposal",$A323)),SUMIFS('Timesheet Raw'!$P$4:$P$8000,'Timesheet Raw'!$A$4:$A$8000,IF(ISNUMBER(SEARCH("Chargable",$A323)),"2-Proposals Chargeable","3-Proposals Regular"),'Timesheet Raw'!$C$4:$C$8000,"*"&amp;$B323&amp;"*",'Timesheet Raw'!$L$4:$L$8000,"&gt;="&amp;MAX(F$5,DATE(2000+VALUE(RIGHT(TRIM($A323),2)),1,1)),'Timesheet Raw'!$L$4:$L$8000,"&lt;="&amp;MIN(F$6,DATE(2000+VALUE(RIGHT(TRIM($A323),2)),12,31))),SUMIFS('Timesheet Raw'!$P$4:$P$8000,'Timesheet Raw'!$B$4:$B$8000,TRIM($A323),'Timesheet Raw'!$C$4:$C$8000,"*"&amp;$B323&amp;"*",'Timesheet Raw'!$L$4:$L$8000,"&gt;="&amp;F$5,'Timesheet Raw'!$L$4:$L$8000,"&lt;="&amp;F$6)))/'Profit Plan'!$B$5)</f>
        <v>0</v>
      </c>
      <c r="G323" s="122">
        <f>IF($A323="","",(IF(ISNUMBER(SEARCH("Proposal",$A323)),SUMIFS('Timesheet Raw'!$P$4:$P$8000,'Timesheet Raw'!$A$4:$A$8000,IF(ISNUMBER(SEARCH("Chargable",$A323)),"2-Proposals Chargeable","3-Proposals Regular"),'Timesheet Raw'!$C$4:$C$8000,"*"&amp;$B323&amp;"*",'Timesheet Raw'!$L$4:$L$8000,"&gt;="&amp;MAX(G$5,DATE(2000+VALUE(RIGHT(TRIM($A323),2)),1,1)),'Timesheet Raw'!$L$4:$L$8000,"&lt;="&amp;MIN(G$6,DATE(2000+VALUE(RIGHT(TRIM($A323),2)),12,31))),SUMIFS('Timesheet Raw'!$P$4:$P$8000,'Timesheet Raw'!$B$4:$B$8000,TRIM($A323),'Timesheet Raw'!$C$4:$C$8000,"*"&amp;$B323&amp;"*",'Timesheet Raw'!$L$4:$L$8000,"&gt;="&amp;G$5,'Timesheet Raw'!$L$4:$L$8000,"&lt;="&amp;G$6)))/'Profit Plan'!$B$5)</f>
        <v>0</v>
      </c>
      <c r="H323" s="122">
        <f>IF($A323="","",(IF(ISNUMBER(SEARCH("Proposal",$A323)),SUMIFS('Timesheet Raw'!$P$4:$P$8000,'Timesheet Raw'!$A$4:$A$8000,IF(ISNUMBER(SEARCH("Chargable",$A323)),"2-Proposals Chargeable","3-Proposals Regular"),'Timesheet Raw'!$C$4:$C$8000,"*"&amp;$B323&amp;"*",'Timesheet Raw'!$L$4:$L$8000,"&gt;="&amp;MAX(H$5,DATE(2000+VALUE(RIGHT(TRIM($A323),2)),1,1)),'Timesheet Raw'!$L$4:$L$8000,"&lt;="&amp;MIN(H$6,DATE(2000+VALUE(RIGHT(TRIM($A323),2)),12,31))),SUMIFS('Timesheet Raw'!$P$4:$P$8000,'Timesheet Raw'!$B$4:$B$8000,TRIM($A323),'Timesheet Raw'!$C$4:$C$8000,"*"&amp;$B323&amp;"*",'Timesheet Raw'!$L$4:$L$8000,"&gt;="&amp;H$5,'Timesheet Raw'!$L$4:$L$8000,"&lt;="&amp;H$6)))/'Profit Plan'!$B$5)</f>
        <v>0.50810810810810814</v>
      </c>
      <c r="I323" s="122">
        <f>IF($A323="","",(IF(ISNUMBER(SEARCH("Proposal",$A323)),SUMIFS('Timesheet Raw'!$P$4:$P$8000,'Timesheet Raw'!$A$4:$A$8000,IF(ISNUMBER(SEARCH("Chargable",$A323)),"2-Proposals Chargeable","3-Proposals Regular"),'Timesheet Raw'!$C$4:$C$8000,"*"&amp;$B323&amp;"*",'Timesheet Raw'!$L$4:$L$8000,"&gt;="&amp;MAX(I$5,DATE(2000+VALUE(RIGHT(TRIM($A323),2)),1,1)),'Timesheet Raw'!$L$4:$L$8000,"&lt;="&amp;MIN(I$6,DATE(2000+VALUE(RIGHT(TRIM($A323),2)),12,31))),SUMIFS('Timesheet Raw'!$P$4:$P$8000,'Timesheet Raw'!$B$4:$B$8000,TRIM($A323),'Timesheet Raw'!$C$4:$C$8000,"*"&amp;$B323&amp;"*",'Timesheet Raw'!$L$4:$L$8000,"&gt;="&amp;I$5,'Timesheet Raw'!$L$4:$L$8000,"&lt;="&amp;I$6)))/'Profit Plan'!$B$5)</f>
        <v>0.22432432432432434</v>
      </c>
      <c r="J323" s="122">
        <f>IF($A323="","",(IF(ISNUMBER(SEARCH("Proposal",$A323)),SUMIFS('Timesheet Raw'!$P$4:$P$8000,'Timesheet Raw'!$A$4:$A$8000,IF(ISNUMBER(SEARCH("Chargable",$A323)),"2-Proposals Chargeable","3-Proposals Regular"),'Timesheet Raw'!$C$4:$C$8000,"*"&amp;$B323&amp;"*",'Timesheet Raw'!$L$4:$L$8000,"&gt;="&amp;MAX(J$5,DATE(2000+VALUE(RIGHT(TRIM($A323),2)),1,1)),'Timesheet Raw'!$L$4:$L$8000,"&lt;="&amp;MIN(J$6,DATE(2000+VALUE(RIGHT(TRIM($A323),2)),12,31))),SUMIFS('Timesheet Raw'!$P$4:$P$8000,'Timesheet Raw'!$B$4:$B$8000,TRIM($A323),'Timesheet Raw'!$C$4:$C$8000,"*"&amp;$B323&amp;"*",'Timesheet Raw'!$L$4:$L$8000,"&gt;="&amp;J$5,'Timesheet Raw'!$L$4:$L$8000,"&lt;="&amp;J$6)))/'Profit Plan'!$B$5)</f>
        <v>0.13918918918918918</v>
      </c>
      <c r="K323" s="122">
        <f>IF($A323="","",(IF(ISNUMBER(SEARCH("Proposal",$A323)),SUMIFS('Timesheet Raw'!$P$4:$P$8000,'Timesheet Raw'!$A$4:$A$8000,IF(ISNUMBER(SEARCH("Chargable",$A323)),"2-Proposals Chargeable","3-Proposals Regular"),'Timesheet Raw'!$C$4:$C$8000,"*"&amp;$B323&amp;"*",'Timesheet Raw'!$L$4:$L$8000,"&gt;="&amp;MAX(K$5,DATE(2000+VALUE(RIGHT(TRIM($A323),2)),1,1)),'Timesheet Raw'!$L$4:$L$8000,"&lt;="&amp;MIN(K$6,DATE(2000+VALUE(RIGHT(TRIM($A323),2)),12,31))),SUMIFS('Timesheet Raw'!$P$4:$P$8000,'Timesheet Raw'!$B$4:$B$8000,TRIM($A323),'Timesheet Raw'!$C$4:$C$8000,"*"&amp;$B323&amp;"*",'Timesheet Raw'!$L$4:$L$8000,"&gt;="&amp;K$5,'Timesheet Raw'!$L$4:$L$8000,"&lt;="&amp;K$6)))/'Profit Plan'!$B$5)</f>
        <v>0.13513513513513514</v>
      </c>
      <c r="L323" s="122">
        <f>IF($A323="","",(IF(ISNUMBER(SEARCH("Proposal",$A323)),SUMIFS('Timesheet Raw'!$P$4:$P$8000,'Timesheet Raw'!$A$4:$A$8000,IF(ISNUMBER(SEARCH("Chargable",$A323)),"2-Proposals Chargeable","3-Proposals Regular"),'Timesheet Raw'!$C$4:$C$8000,"*"&amp;$B323&amp;"*",'Timesheet Raw'!$L$4:$L$8000,"&gt;="&amp;MAX(L$5,DATE(2000+VALUE(RIGHT(TRIM($A323),2)),1,1)),'Timesheet Raw'!$L$4:$L$8000,"&lt;="&amp;MIN(L$6,DATE(2000+VALUE(RIGHT(TRIM($A323),2)),12,31))),SUMIFS('Timesheet Raw'!$P$4:$P$8000,'Timesheet Raw'!$B$4:$B$8000,TRIM($A323),'Timesheet Raw'!$C$4:$C$8000,"*"&amp;$B323&amp;"*",'Timesheet Raw'!$L$4:$L$8000,"&gt;="&amp;L$5,'Timesheet Raw'!$L$4:$L$8000,"&lt;="&amp;L$6)))/'Profit Plan'!$B$5)</f>
        <v>0</v>
      </c>
      <c r="M323" s="122">
        <f>IF($A323="","",(IF(ISNUMBER(SEARCH("Proposal",$A323)),SUMIFS('Timesheet Raw'!$P$4:$P$8000,'Timesheet Raw'!$A$4:$A$8000,IF(ISNUMBER(SEARCH("Chargable",$A323)),"2-Proposals Chargeable","3-Proposals Regular"),'Timesheet Raw'!$C$4:$C$8000,"*"&amp;$B323&amp;"*",'Timesheet Raw'!$L$4:$L$8000,"&gt;="&amp;MAX(M$5,DATE(2000+VALUE(RIGHT(TRIM($A323),2)),1,1)),'Timesheet Raw'!$L$4:$L$8000,"&lt;="&amp;MIN(M$6,DATE(2000+VALUE(RIGHT(TRIM($A323),2)),12,31))),SUMIFS('Timesheet Raw'!$P$4:$P$8000,'Timesheet Raw'!$B$4:$B$8000,TRIM($A323),'Timesheet Raw'!$C$4:$C$8000,"*"&amp;$B323&amp;"*",'Timesheet Raw'!$L$4:$L$8000,"&gt;="&amp;M$5,'Timesheet Raw'!$L$4:$L$8000,"&lt;="&amp;M$6)))/'Profit Plan'!$B$5)</f>
        <v>0</v>
      </c>
      <c r="N323" s="122">
        <f>IF($A323="","",(IF(ISNUMBER(SEARCH("Proposal",$A323)),SUMIFS('Timesheet Raw'!$P$4:$P$8000,'Timesheet Raw'!$A$4:$A$8000,IF(ISNUMBER(SEARCH("Chargable",$A323)),"2-Proposals Chargeable","3-Proposals Regular"),'Timesheet Raw'!$C$4:$C$8000,"*"&amp;$B323&amp;"*",'Timesheet Raw'!$L$4:$L$8000,"&gt;="&amp;MAX(N$5,DATE(2000+VALUE(RIGHT(TRIM($A323),2)),1,1)),'Timesheet Raw'!$L$4:$L$8000,"&lt;="&amp;MIN(N$6,DATE(2000+VALUE(RIGHT(TRIM($A323),2)),12,31))),SUMIFS('Timesheet Raw'!$P$4:$P$8000,'Timesheet Raw'!$B$4:$B$8000,TRIM($A323),'Timesheet Raw'!$C$4:$C$8000,"*"&amp;$B323&amp;"*",'Timesheet Raw'!$L$4:$L$8000,"&gt;="&amp;N$5,'Timesheet Raw'!$L$4:$L$8000,"&lt;="&amp;N$6)))/'Profit Plan'!$B$5)</f>
        <v>0</v>
      </c>
      <c r="O323" s="122">
        <f>IF($A323="","",(IF(ISNUMBER(SEARCH("Proposal",$A323)),SUMIFS('Timesheet Raw'!$P$4:$P$8000,'Timesheet Raw'!$A$4:$A$8000,IF(ISNUMBER(SEARCH("Chargable",$A323)),"2-Proposals Chargeable","3-Proposals Regular"),'Timesheet Raw'!$C$4:$C$8000,"*"&amp;$B323&amp;"*",'Timesheet Raw'!$L$4:$L$8000,"&gt;="&amp;MAX(O$5,DATE(2000+VALUE(RIGHT(TRIM($A323),2)),1,1)),'Timesheet Raw'!$L$4:$L$8000,"&lt;="&amp;MIN(O$6,DATE(2000+VALUE(RIGHT(TRIM($A323),2)),12,31))),SUMIFS('Timesheet Raw'!$P$4:$P$8000,'Timesheet Raw'!$B$4:$B$8000,TRIM($A323),'Timesheet Raw'!$C$4:$C$8000,"*"&amp;$B323&amp;"*",'Timesheet Raw'!$L$4:$L$8000,"&gt;="&amp;O$5,'Timesheet Raw'!$L$4:$L$8000,"&lt;="&amp;O$6)))/'Profit Plan'!$B$5)</f>
        <v>0</v>
      </c>
      <c r="P323" s="122">
        <f>IF($A323="","",(IF(ISNUMBER(SEARCH("Proposal",$A323)),SUMIFS('Timesheet Raw'!$P$4:$P$8000,'Timesheet Raw'!$A$4:$A$8000,IF(ISNUMBER(SEARCH("Chargable",$A323)),"2-Proposals Chargeable","3-Proposals Regular"),'Timesheet Raw'!$C$4:$C$8000,"*"&amp;$B323&amp;"*",'Timesheet Raw'!$L$4:$L$8000,"&gt;="&amp;MAX(P$5,DATE(2000+VALUE(RIGHT(TRIM($A323),2)),1,1)),'Timesheet Raw'!$L$4:$L$8000,"&lt;="&amp;MIN(P$6,DATE(2000+VALUE(RIGHT(TRIM($A323),2)),12,31))),SUMIFS('Timesheet Raw'!$P$4:$P$8000,'Timesheet Raw'!$B$4:$B$8000,TRIM($A323),'Timesheet Raw'!$C$4:$C$8000,"*"&amp;$B323&amp;"*",'Timesheet Raw'!$L$4:$L$8000,"&gt;="&amp;P$5,'Timesheet Raw'!$L$4:$L$8000,"&lt;="&amp;P$6)))/'Profit Plan'!$B$5)</f>
        <v>0</v>
      </c>
      <c r="Q323" s="122">
        <f>IF($A323="","",(IF(ISNUMBER(SEARCH("Proposal",$A323)),SUMIFS('Timesheet Raw'!$P$4:$P$8000,'Timesheet Raw'!$A$4:$A$8000,IF(ISNUMBER(SEARCH("Chargable",$A323)),"2-Proposals Chargeable","3-Proposals Regular"),'Timesheet Raw'!$C$4:$C$8000,"*"&amp;$B323&amp;"*",'Timesheet Raw'!$L$4:$L$8000,"&gt;="&amp;MAX(Q$5,DATE(2000+VALUE(RIGHT(TRIM($A323),2)),1,1)),'Timesheet Raw'!$L$4:$L$8000,"&lt;="&amp;MIN(Q$6,DATE(2000+VALUE(RIGHT(TRIM($A323),2)),12,31))),SUMIFS('Timesheet Raw'!$P$4:$P$8000,'Timesheet Raw'!$B$4:$B$8000,TRIM($A323),'Timesheet Raw'!$C$4:$C$8000,"*"&amp;$B323&amp;"*",'Timesheet Raw'!$L$4:$L$8000,"&gt;="&amp;Q$5,'Timesheet Raw'!$L$4:$L$8000,"&lt;="&amp;Q$6)))/'Profit Plan'!$B$5)</f>
        <v>0</v>
      </c>
      <c r="R323" s="122">
        <f>IF($A323="","",(IF(ISNUMBER(SEARCH("Proposal",$A323)),SUMIFS('Timesheet Raw'!$P$4:$P$8000,'Timesheet Raw'!$A$4:$A$8000,IF(ISNUMBER(SEARCH("Chargable",$A323)),"2-Proposals Chargeable","3-Proposals Regular"),'Timesheet Raw'!$C$4:$C$8000,"*"&amp;$B323&amp;"*",'Timesheet Raw'!$L$4:$L$8000,"&gt;="&amp;MAX(R$5,DATE(2000+VALUE(RIGHT(TRIM($A323),2)),1,1)),'Timesheet Raw'!$L$4:$L$8000,"&lt;="&amp;MIN(R$6,DATE(2000+VALUE(RIGHT(TRIM($A323),2)),12,31))),SUMIFS('Timesheet Raw'!$P$4:$P$8000,'Timesheet Raw'!$B$4:$B$8000,TRIM($A323),'Timesheet Raw'!$C$4:$C$8000,"*"&amp;$B323&amp;"*",'Timesheet Raw'!$L$4:$L$8000,"&gt;="&amp;R$5,'Timesheet Raw'!$L$4:$L$8000,"&lt;="&amp;R$6)))/'Profit Plan'!$B$5)</f>
        <v>0</v>
      </c>
      <c r="S323" s="122">
        <f>IF($A323="","",(IF(ISNUMBER(SEARCH("Proposal",$A323)),SUMIFS('Timesheet Raw'!$P$4:$P$8000,'Timesheet Raw'!$A$4:$A$8000,IF(ISNUMBER(SEARCH("Chargable",$A323)),"2-Proposals Chargeable","3-Proposals Regular"),'Timesheet Raw'!$C$4:$C$8000,"*"&amp;$B323&amp;"*",'Timesheet Raw'!$L$4:$L$8000,"&gt;="&amp;MAX(S$5,DATE(2000+VALUE(RIGHT(TRIM($A323),2)),1,1)),'Timesheet Raw'!$L$4:$L$8000,"&lt;="&amp;MIN(S$6,DATE(2000+VALUE(RIGHT(TRIM($A323),2)),12,31))),SUMIFS('Timesheet Raw'!$P$4:$P$8000,'Timesheet Raw'!$B$4:$B$8000,TRIM($A323),'Timesheet Raw'!$C$4:$C$8000,"*"&amp;$B323&amp;"*",'Timesheet Raw'!$L$4:$L$8000,"&gt;="&amp;S$5,'Timesheet Raw'!$L$4:$L$8000,"&lt;="&amp;S$6)))/'Profit Plan'!$B$5)</f>
        <v>0</v>
      </c>
      <c r="T323" s="122">
        <f>IF($A323="","",(IF(ISNUMBER(SEARCH("Proposal",$A323)),SUMIFS('Timesheet Raw'!$P$4:$P$8000,'Timesheet Raw'!$A$4:$A$8000,IF(ISNUMBER(SEARCH("Chargable",$A323)),"2-Proposals Chargeable","3-Proposals Regular"),'Timesheet Raw'!$C$4:$C$8000,"*"&amp;$B323&amp;"*",'Timesheet Raw'!$L$4:$L$8000,"&gt;="&amp;MAX(T$5,DATE(2000+VALUE(RIGHT(TRIM($A323),2)),1,1)),'Timesheet Raw'!$L$4:$L$8000,"&lt;="&amp;MIN(T$6,DATE(2000+VALUE(RIGHT(TRIM($A323),2)),12,31))),SUMIFS('Timesheet Raw'!$P$4:$P$8000,'Timesheet Raw'!$B$4:$B$8000,TRIM($A323),'Timesheet Raw'!$C$4:$C$8000,"*"&amp;$B323&amp;"*",'Timesheet Raw'!$L$4:$L$8000,"&gt;="&amp;T$5,'Timesheet Raw'!$L$4:$L$8000,"&lt;="&amp;T$6)))/'Profit Plan'!$B$5)</f>
        <v>0</v>
      </c>
      <c r="U323" s="122">
        <f>IF($A323="","",(IF(ISNUMBER(SEARCH("Proposal",$A323)),SUMIFS('Timesheet Raw'!$P$4:$P$8000,'Timesheet Raw'!$A$4:$A$8000,IF(ISNUMBER(SEARCH("Chargable",$A323)),"2-Proposals Chargeable","3-Proposals Regular"),'Timesheet Raw'!$C$4:$C$8000,"*"&amp;$B323&amp;"*",'Timesheet Raw'!$L$4:$L$8000,"&gt;="&amp;MAX(U$5,DATE(2000+VALUE(RIGHT(TRIM($A323),2)),1,1)),'Timesheet Raw'!$L$4:$L$8000,"&lt;="&amp;MIN(U$6,DATE(2000+VALUE(RIGHT(TRIM($A323),2)),12,31))),SUMIFS('Timesheet Raw'!$P$4:$P$8000,'Timesheet Raw'!$B$4:$B$8000,TRIM($A323),'Timesheet Raw'!$C$4:$C$8000,"*"&amp;$B323&amp;"*",'Timesheet Raw'!$L$4:$L$8000,"&gt;="&amp;U$5,'Timesheet Raw'!$L$4:$L$8000,"&lt;="&amp;U$6)))/'Profit Plan'!$B$5)</f>
        <v>0</v>
      </c>
      <c r="V323" s="122">
        <f>IF($A323="","",(IF(ISNUMBER(SEARCH("Proposal",$A323)),SUMIFS('Timesheet Raw'!$P$4:$P$8000,'Timesheet Raw'!$A$4:$A$8000,IF(ISNUMBER(SEARCH("Chargable",$A323)),"2-Proposals Chargeable","3-Proposals Regular"),'Timesheet Raw'!$C$4:$C$8000,"*"&amp;$B323&amp;"*",'Timesheet Raw'!$L$4:$L$8000,"&gt;="&amp;MAX(V$5,DATE(2000+VALUE(RIGHT(TRIM($A323),2)),1,1)),'Timesheet Raw'!$L$4:$L$8000,"&lt;="&amp;MIN(V$6,DATE(2000+VALUE(RIGHT(TRIM($A323),2)),12,31))),SUMIFS('Timesheet Raw'!$P$4:$P$8000,'Timesheet Raw'!$B$4:$B$8000,TRIM($A323),'Timesheet Raw'!$C$4:$C$8000,"*"&amp;$B323&amp;"*",'Timesheet Raw'!$L$4:$L$8000,"&gt;="&amp;V$5,'Timesheet Raw'!$L$4:$L$8000,"&lt;="&amp;V$6)))/'Profit Plan'!$B$5)</f>
        <v>0</v>
      </c>
      <c r="W323" s="122">
        <f>IF($A323="","",(IF(ISNUMBER(SEARCH("Proposal",$A323)),SUMIFS('Timesheet Raw'!$P$4:$P$8000,'Timesheet Raw'!$A$4:$A$8000,IF(ISNUMBER(SEARCH("Chargable",$A323)),"2-Proposals Chargeable","3-Proposals Regular"),'Timesheet Raw'!$C$4:$C$8000,"*"&amp;$B323&amp;"*",'Timesheet Raw'!$L$4:$L$8000,"&gt;="&amp;MAX(W$5,DATE(2000+VALUE(RIGHT(TRIM($A323),2)),1,1)),'Timesheet Raw'!$L$4:$L$8000,"&lt;="&amp;MIN(W$6,DATE(2000+VALUE(RIGHT(TRIM($A323),2)),12,31))),SUMIFS('Timesheet Raw'!$P$4:$P$8000,'Timesheet Raw'!$B$4:$B$8000,TRIM($A323),'Timesheet Raw'!$C$4:$C$8000,"*"&amp;$B323&amp;"*",'Timesheet Raw'!$L$4:$L$8000,"&gt;="&amp;W$5,'Timesheet Raw'!$L$4:$L$8000,"&lt;="&amp;W$6)))/'Profit Plan'!$B$5)</f>
        <v>0</v>
      </c>
      <c r="X323" s="122">
        <f>IF($A323="","",(IF(ISNUMBER(SEARCH("Proposal",$A323)),SUMIFS('Timesheet Raw'!$P$4:$P$8000,'Timesheet Raw'!$A$4:$A$8000,IF(ISNUMBER(SEARCH("Chargable",$A323)),"2-Proposals Chargeable","3-Proposals Regular"),'Timesheet Raw'!$C$4:$C$8000,"*"&amp;$B323&amp;"*",'Timesheet Raw'!$L$4:$L$8000,"&gt;="&amp;MAX(X$5,DATE(2000+VALUE(RIGHT(TRIM($A323),2)),1,1)),'Timesheet Raw'!$L$4:$L$8000,"&lt;="&amp;MIN(X$6,DATE(2000+VALUE(RIGHT(TRIM($A323),2)),12,31))),SUMIFS('Timesheet Raw'!$P$4:$P$8000,'Timesheet Raw'!$B$4:$B$8000,TRIM($A323),'Timesheet Raw'!$C$4:$C$8000,"*"&amp;$B323&amp;"*",'Timesheet Raw'!$L$4:$L$8000,"&gt;="&amp;X$5,'Timesheet Raw'!$L$4:$L$8000,"&lt;="&amp;X$6)))/'Profit Plan'!$B$5)</f>
        <v>0</v>
      </c>
      <c r="Y323" s="118">
        <f t="shared" si="100"/>
        <v>1.0067567567567568</v>
      </c>
    </row>
    <row r="324" spans="1:25" x14ac:dyDescent="0.3">
      <c r="A324" s="116" t="str">
        <f>IF(Inputs!$A25="","",Inputs!$A25)</f>
        <v>AN24185-0100R</v>
      </c>
      <c r="B324" s="116" t="str">
        <f>IF(Inputs!$A25="","",Inputs!$A$93)</f>
        <v>Kirolos</v>
      </c>
      <c r="C324" s="116"/>
      <c r="D324" s="122">
        <f>IF($A324="","",(IF(ISNUMBER(SEARCH("Proposal",$A324)),SUMIFS('Timesheet Raw'!$P$4:$P$8000,'Timesheet Raw'!$A$4:$A$8000,IF(ISNUMBER(SEARCH("Chargable",$A324)),"2-Proposals Chargeable","3-Proposals Regular"),'Timesheet Raw'!$C$4:$C$8000,"*"&amp;$B324&amp;"*",'Timesheet Raw'!$L$4:$L$8000,"&gt;="&amp;MAX(D$5,DATE(2000+VALUE(RIGHT(TRIM($A324),2)),1,1)),'Timesheet Raw'!$L$4:$L$8000,"&lt;="&amp;MIN(D$6,DATE(2000+VALUE(RIGHT(TRIM($A324),2)),12,31))),SUMIFS('Timesheet Raw'!$P$4:$P$8000,'Timesheet Raw'!$B$4:$B$8000,TRIM($A324),'Timesheet Raw'!$C$4:$C$8000,"*"&amp;$B324&amp;"*",'Timesheet Raw'!$L$4:$L$8000,"&gt;="&amp;D$5,'Timesheet Raw'!$L$4:$L$8000,"&lt;="&amp;D$6)))/'Profit Plan'!$B$5)</f>
        <v>0</v>
      </c>
      <c r="E324" s="122">
        <f>IF($A324="","",(IF(ISNUMBER(SEARCH("Proposal",$A324)),SUMIFS('Timesheet Raw'!$P$4:$P$8000,'Timesheet Raw'!$A$4:$A$8000,IF(ISNUMBER(SEARCH("Chargable",$A324)),"2-Proposals Chargeable","3-Proposals Regular"),'Timesheet Raw'!$C$4:$C$8000,"*"&amp;$B324&amp;"*",'Timesheet Raw'!$L$4:$L$8000,"&gt;="&amp;MAX(E$5,DATE(2000+VALUE(RIGHT(TRIM($A324),2)),1,1)),'Timesheet Raw'!$L$4:$L$8000,"&lt;="&amp;MIN(E$6,DATE(2000+VALUE(RIGHT(TRIM($A324),2)),12,31))),SUMIFS('Timesheet Raw'!$P$4:$P$8000,'Timesheet Raw'!$B$4:$B$8000,TRIM($A324),'Timesheet Raw'!$C$4:$C$8000,"*"&amp;$B324&amp;"*",'Timesheet Raw'!$L$4:$L$8000,"&gt;="&amp;E$5,'Timesheet Raw'!$L$4:$L$8000,"&lt;="&amp;E$6)))/'Profit Plan'!$B$5)</f>
        <v>0</v>
      </c>
      <c r="F324" s="122">
        <f>IF($A324="","",(IF(ISNUMBER(SEARCH("Proposal",$A324)),SUMIFS('Timesheet Raw'!$P$4:$P$8000,'Timesheet Raw'!$A$4:$A$8000,IF(ISNUMBER(SEARCH("Chargable",$A324)),"2-Proposals Chargeable","3-Proposals Regular"),'Timesheet Raw'!$C$4:$C$8000,"*"&amp;$B324&amp;"*",'Timesheet Raw'!$L$4:$L$8000,"&gt;="&amp;MAX(F$5,DATE(2000+VALUE(RIGHT(TRIM($A324),2)),1,1)),'Timesheet Raw'!$L$4:$L$8000,"&lt;="&amp;MIN(F$6,DATE(2000+VALUE(RIGHT(TRIM($A324),2)),12,31))),SUMIFS('Timesheet Raw'!$P$4:$P$8000,'Timesheet Raw'!$B$4:$B$8000,TRIM($A324),'Timesheet Raw'!$C$4:$C$8000,"*"&amp;$B324&amp;"*",'Timesheet Raw'!$L$4:$L$8000,"&gt;="&amp;F$5,'Timesheet Raw'!$L$4:$L$8000,"&lt;="&amp;F$6)))/'Profit Plan'!$B$5)</f>
        <v>0</v>
      </c>
      <c r="G324" s="122">
        <f>IF($A324="","",(IF(ISNUMBER(SEARCH("Proposal",$A324)),SUMIFS('Timesheet Raw'!$P$4:$P$8000,'Timesheet Raw'!$A$4:$A$8000,IF(ISNUMBER(SEARCH("Chargable",$A324)),"2-Proposals Chargeable","3-Proposals Regular"),'Timesheet Raw'!$C$4:$C$8000,"*"&amp;$B324&amp;"*",'Timesheet Raw'!$L$4:$L$8000,"&gt;="&amp;MAX(G$5,DATE(2000+VALUE(RIGHT(TRIM($A324),2)),1,1)),'Timesheet Raw'!$L$4:$L$8000,"&lt;="&amp;MIN(G$6,DATE(2000+VALUE(RIGHT(TRIM($A324),2)),12,31))),SUMIFS('Timesheet Raw'!$P$4:$P$8000,'Timesheet Raw'!$B$4:$B$8000,TRIM($A324),'Timesheet Raw'!$C$4:$C$8000,"*"&amp;$B324&amp;"*",'Timesheet Raw'!$L$4:$L$8000,"&gt;="&amp;G$5,'Timesheet Raw'!$L$4:$L$8000,"&lt;="&amp;G$6)))/'Profit Plan'!$B$5)</f>
        <v>0</v>
      </c>
      <c r="H324" s="122">
        <f>IF($A324="","",(IF(ISNUMBER(SEARCH("Proposal",$A324)),SUMIFS('Timesheet Raw'!$P$4:$P$8000,'Timesheet Raw'!$A$4:$A$8000,IF(ISNUMBER(SEARCH("Chargable",$A324)),"2-Proposals Chargeable","3-Proposals Regular"),'Timesheet Raw'!$C$4:$C$8000,"*"&amp;$B324&amp;"*",'Timesheet Raw'!$L$4:$L$8000,"&gt;="&amp;MAX(H$5,DATE(2000+VALUE(RIGHT(TRIM($A324),2)),1,1)),'Timesheet Raw'!$L$4:$L$8000,"&lt;="&amp;MIN(H$6,DATE(2000+VALUE(RIGHT(TRIM($A324),2)),12,31))),SUMIFS('Timesheet Raw'!$P$4:$P$8000,'Timesheet Raw'!$B$4:$B$8000,TRIM($A324),'Timesheet Raw'!$C$4:$C$8000,"*"&amp;$B324&amp;"*",'Timesheet Raw'!$L$4:$L$8000,"&gt;="&amp;H$5,'Timesheet Raw'!$L$4:$L$8000,"&lt;="&amp;H$6)))/'Profit Plan'!$B$5)</f>
        <v>0.58378378378378382</v>
      </c>
      <c r="I324" s="122">
        <f>IF($A324="","",(IF(ISNUMBER(SEARCH("Proposal",$A324)),SUMIFS('Timesheet Raw'!$P$4:$P$8000,'Timesheet Raw'!$A$4:$A$8000,IF(ISNUMBER(SEARCH("Chargable",$A324)),"2-Proposals Chargeable","3-Proposals Regular"),'Timesheet Raw'!$C$4:$C$8000,"*"&amp;$B324&amp;"*",'Timesheet Raw'!$L$4:$L$8000,"&gt;="&amp;MAX(I$5,DATE(2000+VALUE(RIGHT(TRIM($A324),2)),1,1)),'Timesheet Raw'!$L$4:$L$8000,"&lt;="&amp;MIN(I$6,DATE(2000+VALUE(RIGHT(TRIM($A324),2)),12,31))),SUMIFS('Timesheet Raw'!$P$4:$P$8000,'Timesheet Raw'!$B$4:$B$8000,TRIM($A324),'Timesheet Raw'!$C$4:$C$8000,"*"&amp;$B324&amp;"*",'Timesheet Raw'!$L$4:$L$8000,"&gt;="&amp;I$5,'Timesheet Raw'!$L$4:$L$8000,"&lt;="&amp;I$6)))/'Profit Plan'!$B$5)</f>
        <v>0.51486486486486482</v>
      </c>
      <c r="J324" s="122">
        <f>IF($A324="","",(IF(ISNUMBER(SEARCH("Proposal",$A324)),SUMIFS('Timesheet Raw'!$P$4:$P$8000,'Timesheet Raw'!$A$4:$A$8000,IF(ISNUMBER(SEARCH("Chargable",$A324)),"2-Proposals Chargeable","3-Proposals Regular"),'Timesheet Raw'!$C$4:$C$8000,"*"&amp;$B324&amp;"*",'Timesheet Raw'!$L$4:$L$8000,"&gt;="&amp;MAX(J$5,DATE(2000+VALUE(RIGHT(TRIM($A324),2)),1,1)),'Timesheet Raw'!$L$4:$L$8000,"&lt;="&amp;MIN(J$6,DATE(2000+VALUE(RIGHT(TRIM($A324),2)),12,31))),SUMIFS('Timesheet Raw'!$P$4:$P$8000,'Timesheet Raw'!$B$4:$B$8000,TRIM($A324),'Timesheet Raw'!$C$4:$C$8000,"*"&amp;$B324&amp;"*",'Timesheet Raw'!$L$4:$L$8000,"&gt;="&amp;J$5,'Timesheet Raw'!$L$4:$L$8000,"&lt;="&amp;J$6)))/'Profit Plan'!$B$5)</f>
        <v>0.13378378378378378</v>
      </c>
      <c r="K324" s="122">
        <f>IF($A324="","",(IF(ISNUMBER(SEARCH("Proposal",$A324)),SUMIFS('Timesheet Raw'!$P$4:$P$8000,'Timesheet Raw'!$A$4:$A$8000,IF(ISNUMBER(SEARCH("Chargable",$A324)),"2-Proposals Chargeable","3-Proposals Regular"),'Timesheet Raw'!$C$4:$C$8000,"*"&amp;$B324&amp;"*",'Timesheet Raw'!$L$4:$L$8000,"&gt;="&amp;MAX(K$5,DATE(2000+VALUE(RIGHT(TRIM($A324),2)),1,1)),'Timesheet Raw'!$L$4:$L$8000,"&lt;="&amp;MIN(K$6,DATE(2000+VALUE(RIGHT(TRIM($A324),2)),12,31))),SUMIFS('Timesheet Raw'!$P$4:$P$8000,'Timesheet Raw'!$B$4:$B$8000,TRIM($A324),'Timesheet Raw'!$C$4:$C$8000,"*"&amp;$B324&amp;"*",'Timesheet Raw'!$L$4:$L$8000,"&gt;="&amp;K$5,'Timesheet Raw'!$L$4:$L$8000,"&lt;="&amp;K$6)))/'Profit Plan'!$B$5)</f>
        <v>0.43783783783783786</v>
      </c>
      <c r="L324" s="122">
        <f>IF($A324="","",(IF(ISNUMBER(SEARCH("Proposal",$A324)),SUMIFS('Timesheet Raw'!$P$4:$P$8000,'Timesheet Raw'!$A$4:$A$8000,IF(ISNUMBER(SEARCH("Chargable",$A324)),"2-Proposals Chargeable","3-Proposals Regular"),'Timesheet Raw'!$C$4:$C$8000,"*"&amp;$B324&amp;"*",'Timesheet Raw'!$L$4:$L$8000,"&gt;="&amp;MAX(L$5,DATE(2000+VALUE(RIGHT(TRIM($A324),2)),1,1)),'Timesheet Raw'!$L$4:$L$8000,"&lt;="&amp;MIN(L$6,DATE(2000+VALUE(RIGHT(TRIM($A324),2)),12,31))),SUMIFS('Timesheet Raw'!$P$4:$P$8000,'Timesheet Raw'!$B$4:$B$8000,TRIM($A324),'Timesheet Raw'!$C$4:$C$8000,"*"&amp;$B324&amp;"*",'Timesheet Raw'!$L$4:$L$8000,"&gt;="&amp;L$5,'Timesheet Raw'!$L$4:$L$8000,"&lt;="&amp;L$6)))/'Profit Plan'!$B$5)</f>
        <v>0.1</v>
      </c>
      <c r="M324" s="122">
        <f>IF($A324="","",(IF(ISNUMBER(SEARCH("Proposal",$A324)),SUMIFS('Timesheet Raw'!$P$4:$P$8000,'Timesheet Raw'!$A$4:$A$8000,IF(ISNUMBER(SEARCH("Chargable",$A324)),"2-Proposals Chargeable","3-Proposals Regular"),'Timesheet Raw'!$C$4:$C$8000,"*"&amp;$B324&amp;"*",'Timesheet Raw'!$L$4:$L$8000,"&gt;="&amp;MAX(M$5,DATE(2000+VALUE(RIGHT(TRIM($A324),2)),1,1)),'Timesheet Raw'!$L$4:$L$8000,"&lt;="&amp;MIN(M$6,DATE(2000+VALUE(RIGHT(TRIM($A324),2)),12,31))),SUMIFS('Timesheet Raw'!$P$4:$P$8000,'Timesheet Raw'!$B$4:$B$8000,TRIM($A324),'Timesheet Raw'!$C$4:$C$8000,"*"&amp;$B324&amp;"*",'Timesheet Raw'!$L$4:$L$8000,"&gt;="&amp;M$5,'Timesheet Raw'!$L$4:$L$8000,"&lt;="&amp;M$6)))/'Profit Plan'!$B$5)</f>
        <v>0.13378378378378378</v>
      </c>
      <c r="N324" s="122">
        <f>IF($A324="","",(IF(ISNUMBER(SEARCH("Proposal",$A324)),SUMIFS('Timesheet Raw'!$P$4:$P$8000,'Timesheet Raw'!$A$4:$A$8000,IF(ISNUMBER(SEARCH("Chargable",$A324)),"2-Proposals Chargeable","3-Proposals Regular"),'Timesheet Raw'!$C$4:$C$8000,"*"&amp;$B324&amp;"*",'Timesheet Raw'!$L$4:$L$8000,"&gt;="&amp;MAX(N$5,DATE(2000+VALUE(RIGHT(TRIM($A324),2)),1,1)),'Timesheet Raw'!$L$4:$L$8000,"&lt;="&amp;MIN(N$6,DATE(2000+VALUE(RIGHT(TRIM($A324),2)),12,31))),SUMIFS('Timesheet Raw'!$P$4:$P$8000,'Timesheet Raw'!$B$4:$B$8000,TRIM($A324),'Timesheet Raw'!$C$4:$C$8000,"*"&amp;$B324&amp;"*",'Timesheet Raw'!$L$4:$L$8000,"&gt;="&amp;N$5,'Timesheet Raw'!$L$4:$L$8000,"&lt;="&amp;N$6)))/'Profit Plan'!$B$5)</f>
        <v>0</v>
      </c>
      <c r="O324" s="122">
        <f>IF($A324="","",(IF(ISNUMBER(SEARCH("Proposal",$A324)),SUMIFS('Timesheet Raw'!$P$4:$P$8000,'Timesheet Raw'!$A$4:$A$8000,IF(ISNUMBER(SEARCH("Chargable",$A324)),"2-Proposals Chargeable","3-Proposals Regular"),'Timesheet Raw'!$C$4:$C$8000,"*"&amp;$B324&amp;"*",'Timesheet Raw'!$L$4:$L$8000,"&gt;="&amp;MAX(O$5,DATE(2000+VALUE(RIGHT(TRIM($A324),2)),1,1)),'Timesheet Raw'!$L$4:$L$8000,"&lt;="&amp;MIN(O$6,DATE(2000+VALUE(RIGHT(TRIM($A324),2)),12,31))),SUMIFS('Timesheet Raw'!$P$4:$P$8000,'Timesheet Raw'!$B$4:$B$8000,TRIM($A324),'Timesheet Raw'!$C$4:$C$8000,"*"&amp;$B324&amp;"*",'Timesheet Raw'!$L$4:$L$8000,"&gt;="&amp;O$5,'Timesheet Raw'!$L$4:$L$8000,"&lt;="&amp;O$6)))/'Profit Plan'!$B$5)</f>
        <v>0</v>
      </c>
      <c r="P324" s="122">
        <f>IF($A324="","",(IF(ISNUMBER(SEARCH("Proposal",$A324)),SUMIFS('Timesheet Raw'!$P$4:$P$8000,'Timesheet Raw'!$A$4:$A$8000,IF(ISNUMBER(SEARCH("Chargable",$A324)),"2-Proposals Chargeable","3-Proposals Regular"),'Timesheet Raw'!$C$4:$C$8000,"*"&amp;$B324&amp;"*",'Timesheet Raw'!$L$4:$L$8000,"&gt;="&amp;MAX(P$5,DATE(2000+VALUE(RIGHT(TRIM($A324),2)),1,1)),'Timesheet Raw'!$L$4:$L$8000,"&lt;="&amp;MIN(P$6,DATE(2000+VALUE(RIGHT(TRIM($A324),2)),12,31))),SUMIFS('Timesheet Raw'!$P$4:$P$8000,'Timesheet Raw'!$B$4:$B$8000,TRIM($A324),'Timesheet Raw'!$C$4:$C$8000,"*"&amp;$B324&amp;"*",'Timesheet Raw'!$L$4:$L$8000,"&gt;="&amp;P$5,'Timesheet Raw'!$L$4:$L$8000,"&lt;="&amp;P$6)))/'Profit Plan'!$B$5)</f>
        <v>0</v>
      </c>
      <c r="Q324" s="122">
        <f>IF($A324="","",(IF(ISNUMBER(SEARCH("Proposal",$A324)),SUMIFS('Timesheet Raw'!$P$4:$P$8000,'Timesheet Raw'!$A$4:$A$8000,IF(ISNUMBER(SEARCH("Chargable",$A324)),"2-Proposals Chargeable","3-Proposals Regular"),'Timesheet Raw'!$C$4:$C$8000,"*"&amp;$B324&amp;"*",'Timesheet Raw'!$L$4:$L$8000,"&gt;="&amp;MAX(Q$5,DATE(2000+VALUE(RIGHT(TRIM($A324),2)),1,1)),'Timesheet Raw'!$L$4:$L$8000,"&lt;="&amp;MIN(Q$6,DATE(2000+VALUE(RIGHT(TRIM($A324),2)),12,31))),SUMIFS('Timesheet Raw'!$P$4:$P$8000,'Timesheet Raw'!$B$4:$B$8000,TRIM($A324),'Timesheet Raw'!$C$4:$C$8000,"*"&amp;$B324&amp;"*",'Timesheet Raw'!$L$4:$L$8000,"&gt;="&amp;Q$5,'Timesheet Raw'!$L$4:$L$8000,"&lt;="&amp;Q$6)))/'Profit Plan'!$B$5)</f>
        <v>0</v>
      </c>
      <c r="R324" s="122">
        <f>IF($A324="","",(IF(ISNUMBER(SEARCH("Proposal",$A324)),SUMIFS('Timesheet Raw'!$P$4:$P$8000,'Timesheet Raw'!$A$4:$A$8000,IF(ISNUMBER(SEARCH("Chargable",$A324)),"2-Proposals Chargeable","3-Proposals Regular"),'Timesheet Raw'!$C$4:$C$8000,"*"&amp;$B324&amp;"*",'Timesheet Raw'!$L$4:$L$8000,"&gt;="&amp;MAX(R$5,DATE(2000+VALUE(RIGHT(TRIM($A324),2)),1,1)),'Timesheet Raw'!$L$4:$L$8000,"&lt;="&amp;MIN(R$6,DATE(2000+VALUE(RIGHT(TRIM($A324),2)),12,31))),SUMIFS('Timesheet Raw'!$P$4:$P$8000,'Timesheet Raw'!$B$4:$B$8000,TRIM($A324),'Timesheet Raw'!$C$4:$C$8000,"*"&amp;$B324&amp;"*",'Timesheet Raw'!$L$4:$L$8000,"&gt;="&amp;R$5,'Timesheet Raw'!$L$4:$L$8000,"&lt;="&amp;R$6)))/'Profit Plan'!$B$5)</f>
        <v>0</v>
      </c>
      <c r="S324" s="122">
        <f>IF($A324="","",(IF(ISNUMBER(SEARCH("Proposal",$A324)),SUMIFS('Timesheet Raw'!$P$4:$P$8000,'Timesheet Raw'!$A$4:$A$8000,IF(ISNUMBER(SEARCH("Chargable",$A324)),"2-Proposals Chargeable","3-Proposals Regular"),'Timesheet Raw'!$C$4:$C$8000,"*"&amp;$B324&amp;"*",'Timesheet Raw'!$L$4:$L$8000,"&gt;="&amp;MAX(S$5,DATE(2000+VALUE(RIGHT(TRIM($A324),2)),1,1)),'Timesheet Raw'!$L$4:$L$8000,"&lt;="&amp;MIN(S$6,DATE(2000+VALUE(RIGHT(TRIM($A324),2)),12,31))),SUMIFS('Timesheet Raw'!$P$4:$P$8000,'Timesheet Raw'!$B$4:$B$8000,TRIM($A324),'Timesheet Raw'!$C$4:$C$8000,"*"&amp;$B324&amp;"*",'Timesheet Raw'!$L$4:$L$8000,"&gt;="&amp;S$5,'Timesheet Raw'!$L$4:$L$8000,"&lt;="&amp;S$6)))/'Profit Plan'!$B$5)</f>
        <v>0</v>
      </c>
      <c r="T324" s="122">
        <f>IF($A324="","",(IF(ISNUMBER(SEARCH("Proposal",$A324)),SUMIFS('Timesheet Raw'!$P$4:$P$8000,'Timesheet Raw'!$A$4:$A$8000,IF(ISNUMBER(SEARCH("Chargable",$A324)),"2-Proposals Chargeable","3-Proposals Regular"),'Timesheet Raw'!$C$4:$C$8000,"*"&amp;$B324&amp;"*",'Timesheet Raw'!$L$4:$L$8000,"&gt;="&amp;MAX(T$5,DATE(2000+VALUE(RIGHT(TRIM($A324),2)),1,1)),'Timesheet Raw'!$L$4:$L$8000,"&lt;="&amp;MIN(T$6,DATE(2000+VALUE(RIGHT(TRIM($A324),2)),12,31))),SUMIFS('Timesheet Raw'!$P$4:$P$8000,'Timesheet Raw'!$B$4:$B$8000,TRIM($A324),'Timesheet Raw'!$C$4:$C$8000,"*"&amp;$B324&amp;"*",'Timesheet Raw'!$L$4:$L$8000,"&gt;="&amp;T$5,'Timesheet Raw'!$L$4:$L$8000,"&lt;="&amp;T$6)))/'Profit Plan'!$B$5)</f>
        <v>0</v>
      </c>
      <c r="U324" s="122">
        <f>IF($A324="","",(IF(ISNUMBER(SEARCH("Proposal",$A324)),SUMIFS('Timesheet Raw'!$P$4:$P$8000,'Timesheet Raw'!$A$4:$A$8000,IF(ISNUMBER(SEARCH("Chargable",$A324)),"2-Proposals Chargeable","3-Proposals Regular"),'Timesheet Raw'!$C$4:$C$8000,"*"&amp;$B324&amp;"*",'Timesheet Raw'!$L$4:$L$8000,"&gt;="&amp;MAX(U$5,DATE(2000+VALUE(RIGHT(TRIM($A324),2)),1,1)),'Timesheet Raw'!$L$4:$L$8000,"&lt;="&amp;MIN(U$6,DATE(2000+VALUE(RIGHT(TRIM($A324),2)),12,31))),SUMIFS('Timesheet Raw'!$P$4:$P$8000,'Timesheet Raw'!$B$4:$B$8000,TRIM($A324),'Timesheet Raw'!$C$4:$C$8000,"*"&amp;$B324&amp;"*",'Timesheet Raw'!$L$4:$L$8000,"&gt;="&amp;U$5,'Timesheet Raw'!$L$4:$L$8000,"&lt;="&amp;U$6)))/'Profit Plan'!$B$5)</f>
        <v>0</v>
      </c>
      <c r="V324" s="122">
        <f>IF($A324="","",(IF(ISNUMBER(SEARCH("Proposal",$A324)),SUMIFS('Timesheet Raw'!$P$4:$P$8000,'Timesheet Raw'!$A$4:$A$8000,IF(ISNUMBER(SEARCH("Chargable",$A324)),"2-Proposals Chargeable","3-Proposals Regular"),'Timesheet Raw'!$C$4:$C$8000,"*"&amp;$B324&amp;"*",'Timesheet Raw'!$L$4:$L$8000,"&gt;="&amp;MAX(V$5,DATE(2000+VALUE(RIGHT(TRIM($A324),2)),1,1)),'Timesheet Raw'!$L$4:$L$8000,"&lt;="&amp;MIN(V$6,DATE(2000+VALUE(RIGHT(TRIM($A324),2)),12,31))),SUMIFS('Timesheet Raw'!$P$4:$P$8000,'Timesheet Raw'!$B$4:$B$8000,TRIM($A324),'Timesheet Raw'!$C$4:$C$8000,"*"&amp;$B324&amp;"*",'Timesheet Raw'!$L$4:$L$8000,"&gt;="&amp;V$5,'Timesheet Raw'!$L$4:$L$8000,"&lt;="&amp;V$6)))/'Profit Plan'!$B$5)</f>
        <v>0</v>
      </c>
      <c r="W324" s="122">
        <f>IF($A324="","",(IF(ISNUMBER(SEARCH("Proposal",$A324)),SUMIFS('Timesheet Raw'!$P$4:$P$8000,'Timesheet Raw'!$A$4:$A$8000,IF(ISNUMBER(SEARCH("Chargable",$A324)),"2-Proposals Chargeable","3-Proposals Regular"),'Timesheet Raw'!$C$4:$C$8000,"*"&amp;$B324&amp;"*",'Timesheet Raw'!$L$4:$L$8000,"&gt;="&amp;MAX(W$5,DATE(2000+VALUE(RIGHT(TRIM($A324),2)),1,1)),'Timesheet Raw'!$L$4:$L$8000,"&lt;="&amp;MIN(W$6,DATE(2000+VALUE(RIGHT(TRIM($A324),2)),12,31))),SUMIFS('Timesheet Raw'!$P$4:$P$8000,'Timesheet Raw'!$B$4:$B$8000,TRIM($A324),'Timesheet Raw'!$C$4:$C$8000,"*"&amp;$B324&amp;"*",'Timesheet Raw'!$L$4:$L$8000,"&gt;="&amp;W$5,'Timesheet Raw'!$L$4:$L$8000,"&lt;="&amp;W$6)))/'Profit Plan'!$B$5)</f>
        <v>0</v>
      </c>
      <c r="X324" s="122">
        <f>IF($A324="","",(IF(ISNUMBER(SEARCH("Proposal",$A324)),SUMIFS('Timesheet Raw'!$P$4:$P$8000,'Timesheet Raw'!$A$4:$A$8000,IF(ISNUMBER(SEARCH("Chargable",$A324)),"2-Proposals Chargeable","3-Proposals Regular"),'Timesheet Raw'!$C$4:$C$8000,"*"&amp;$B324&amp;"*",'Timesheet Raw'!$L$4:$L$8000,"&gt;="&amp;MAX(X$5,DATE(2000+VALUE(RIGHT(TRIM($A324),2)),1,1)),'Timesheet Raw'!$L$4:$L$8000,"&lt;="&amp;MIN(X$6,DATE(2000+VALUE(RIGHT(TRIM($A324),2)),12,31))),SUMIFS('Timesheet Raw'!$P$4:$P$8000,'Timesheet Raw'!$B$4:$B$8000,TRIM($A324),'Timesheet Raw'!$C$4:$C$8000,"*"&amp;$B324&amp;"*",'Timesheet Raw'!$L$4:$L$8000,"&gt;="&amp;X$5,'Timesheet Raw'!$L$4:$L$8000,"&lt;="&amp;X$6)))/'Profit Plan'!$B$5)</f>
        <v>0</v>
      </c>
      <c r="Y324" s="118">
        <f t="shared" si="100"/>
        <v>1.9040540540540543</v>
      </c>
    </row>
    <row r="325" spans="1:25" x14ac:dyDescent="0.3">
      <c r="A325" s="116" t="str">
        <f>IF(Inputs!$A26="","",Inputs!$A26)</f>
        <v>AN24135-0100R</v>
      </c>
      <c r="B325" s="116" t="str">
        <f>IF(Inputs!$A26="","",Inputs!$A$91)</f>
        <v>Ahmed</v>
      </c>
      <c r="C325" s="116"/>
      <c r="D325" s="122">
        <f>IF($A325="","",(IF(ISNUMBER(SEARCH("Proposal",$A325)),SUMIFS('Timesheet Raw'!$P$4:$P$8000,'Timesheet Raw'!$A$4:$A$8000,IF(ISNUMBER(SEARCH("Chargable",$A325)),"2-Proposals Chargeable","3-Proposals Regular"),'Timesheet Raw'!$C$4:$C$8000,"*"&amp;$B325&amp;"*",'Timesheet Raw'!$L$4:$L$8000,"&gt;="&amp;MAX(D$5,DATE(2000+VALUE(RIGHT(TRIM($A325),2)),1,1)),'Timesheet Raw'!$L$4:$L$8000,"&lt;="&amp;MIN(D$6,DATE(2000+VALUE(RIGHT(TRIM($A325),2)),12,31))),SUMIFS('Timesheet Raw'!$P$4:$P$8000,'Timesheet Raw'!$B$4:$B$8000,TRIM($A325),'Timesheet Raw'!$C$4:$C$8000,"*"&amp;$B325&amp;"*",'Timesheet Raw'!$L$4:$L$8000,"&gt;="&amp;D$5,'Timesheet Raw'!$L$4:$L$8000,"&lt;="&amp;D$6)))/'Profit Plan'!$B$5)</f>
        <v>0</v>
      </c>
      <c r="E325" s="122">
        <f>IF($A325="","",(IF(ISNUMBER(SEARCH("Proposal",$A325)),SUMIFS('Timesheet Raw'!$P$4:$P$8000,'Timesheet Raw'!$A$4:$A$8000,IF(ISNUMBER(SEARCH("Chargable",$A325)),"2-Proposals Chargeable","3-Proposals Regular"),'Timesheet Raw'!$C$4:$C$8000,"*"&amp;$B325&amp;"*",'Timesheet Raw'!$L$4:$L$8000,"&gt;="&amp;MAX(E$5,DATE(2000+VALUE(RIGHT(TRIM($A325),2)),1,1)),'Timesheet Raw'!$L$4:$L$8000,"&lt;="&amp;MIN(E$6,DATE(2000+VALUE(RIGHT(TRIM($A325),2)),12,31))),SUMIFS('Timesheet Raw'!$P$4:$P$8000,'Timesheet Raw'!$B$4:$B$8000,TRIM($A325),'Timesheet Raw'!$C$4:$C$8000,"*"&amp;$B325&amp;"*",'Timesheet Raw'!$L$4:$L$8000,"&gt;="&amp;E$5,'Timesheet Raw'!$L$4:$L$8000,"&lt;="&amp;E$6)))/'Profit Plan'!$B$5)</f>
        <v>0</v>
      </c>
      <c r="F325" s="122">
        <f>IF($A325="","",(IF(ISNUMBER(SEARCH("Proposal",$A325)),SUMIFS('Timesheet Raw'!$P$4:$P$8000,'Timesheet Raw'!$A$4:$A$8000,IF(ISNUMBER(SEARCH("Chargable",$A325)),"2-Proposals Chargeable","3-Proposals Regular"),'Timesheet Raw'!$C$4:$C$8000,"*"&amp;$B325&amp;"*",'Timesheet Raw'!$L$4:$L$8000,"&gt;="&amp;MAX(F$5,DATE(2000+VALUE(RIGHT(TRIM($A325),2)),1,1)),'Timesheet Raw'!$L$4:$L$8000,"&lt;="&amp;MIN(F$6,DATE(2000+VALUE(RIGHT(TRIM($A325),2)),12,31))),SUMIFS('Timesheet Raw'!$P$4:$P$8000,'Timesheet Raw'!$B$4:$B$8000,TRIM($A325),'Timesheet Raw'!$C$4:$C$8000,"*"&amp;$B325&amp;"*",'Timesheet Raw'!$L$4:$L$8000,"&gt;="&amp;F$5,'Timesheet Raw'!$L$4:$L$8000,"&lt;="&amp;F$6)))/'Profit Plan'!$B$5)</f>
        <v>0</v>
      </c>
      <c r="G325" s="122">
        <f>IF($A325="","",(IF(ISNUMBER(SEARCH("Proposal",$A325)),SUMIFS('Timesheet Raw'!$P$4:$P$8000,'Timesheet Raw'!$A$4:$A$8000,IF(ISNUMBER(SEARCH("Chargable",$A325)),"2-Proposals Chargeable","3-Proposals Regular"),'Timesheet Raw'!$C$4:$C$8000,"*"&amp;$B325&amp;"*",'Timesheet Raw'!$L$4:$L$8000,"&gt;="&amp;MAX(G$5,DATE(2000+VALUE(RIGHT(TRIM($A325),2)),1,1)),'Timesheet Raw'!$L$4:$L$8000,"&lt;="&amp;MIN(G$6,DATE(2000+VALUE(RIGHT(TRIM($A325),2)),12,31))),SUMIFS('Timesheet Raw'!$P$4:$P$8000,'Timesheet Raw'!$B$4:$B$8000,TRIM($A325),'Timesheet Raw'!$C$4:$C$8000,"*"&amp;$B325&amp;"*",'Timesheet Raw'!$L$4:$L$8000,"&gt;="&amp;G$5,'Timesheet Raw'!$L$4:$L$8000,"&lt;="&amp;G$6)))/'Profit Plan'!$B$5)</f>
        <v>0</v>
      </c>
      <c r="H325" s="122">
        <f>IF($A325="","",(IF(ISNUMBER(SEARCH("Proposal",$A325)),SUMIFS('Timesheet Raw'!$P$4:$P$8000,'Timesheet Raw'!$A$4:$A$8000,IF(ISNUMBER(SEARCH("Chargable",$A325)),"2-Proposals Chargeable","3-Proposals Regular"),'Timesheet Raw'!$C$4:$C$8000,"*"&amp;$B325&amp;"*",'Timesheet Raw'!$L$4:$L$8000,"&gt;="&amp;MAX(H$5,DATE(2000+VALUE(RIGHT(TRIM($A325),2)),1,1)),'Timesheet Raw'!$L$4:$L$8000,"&lt;="&amp;MIN(H$6,DATE(2000+VALUE(RIGHT(TRIM($A325),2)),12,31))),SUMIFS('Timesheet Raw'!$P$4:$P$8000,'Timesheet Raw'!$B$4:$B$8000,TRIM($A325),'Timesheet Raw'!$C$4:$C$8000,"*"&amp;$B325&amp;"*",'Timesheet Raw'!$L$4:$L$8000,"&gt;="&amp;H$5,'Timesheet Raw'!$L$4:$L$8000,"&lt;="&amp;H$6)))/'Profit Plan'!$B$5)</f>
        <v>3.783783783783784E-2</v>
      </c>
      <c r="I325" s="122">
        <f>IF($A325="","",(IF(ISNUMBER(SEARCH("Proposal",$A325)),SUMIFS('Timesheet Raw'!$P$4:$P$8000,'Timesheet Raw'!$A$4:$A$8000,IF(ISNUMBER(SEARCH("Chargable",$A325)),"2-Proposals Chargeable","3-Proposals Regular"),'Timesheet Raw'!$C$4:$C$8000,"*"&amp;$B325&amp;"*",'Timesheet Raw'!$L$4:$L$8000,"&gt;="&amp;MAX(I$5,DATE(2000+VALUE(RIGHT(TRIM($A325),2)),1,1)),'Timesheet Raw'!$L$4:$L$8000,"&lt;="&amp;MIN(I$6,DATE(2000+VALUE(RIGHT(TRIM($A325),2)),12,31))),SUMIFS('Timesheet Raw'!$P$4:$P$8000,'Timesheet Raw'!$B$4:$B$8000,TRIM($A325),'Timesheet Raw'!$C$4:$C$8000,"*"&amp;$B325&amp;"*",'Timesheet Raw'!$L$4:$L$8000,"&gt;="&amp;I$5,'Timesheet Raw'!$L$4:$L$8000,"&lt;="&amp;I$6)))/'Profit Plan'!$B$5)</f>
        <v>5.4054054054054057E-3</v>
      </c>
      <c r="J325" s="122">
        <f>IF($A325="","",(IF(ISNUMBER(SEARCH("Proposal",$A325)),SUMIFS('Timesheet Raw'!$P$4:$P$8000,'Timesheet Raw'!$A$4:$A$8000,IF(ISNUMBER(SEARCH("Chargable",$A325)),"2-Proposals Chargeable","3-Proposals Regular"),'Timesheet Raw'!$C$4:$C$8000,"*"&amp;$B325&amp;"*",'Timesheet Raw'!$L$4:$L$8000,"&gt;="&amp;MAX(J$5,DATE(2000+VALUE(RIGHT(TRIM($A325),2)),1,1)),'Timesheet Raw'!$L$4:$L$8000,"&lt;="&amp;MIN(J$6,DATE(2000+VALUE(RIGHT(TRIM($A325),2)),12,31))),SUMIFS('Timesheet Raw'!$P$4:$P$8000,'Timesheet Raw'!$B$4:$B$8000,TRIM($A325),'Timesheet Raw'!$C$4:$C$8000,"*"&amp;$B325&amp;"*",'Timesheet Raw'!$L$4:$L$8000,"&gt;="&amp;J$5,'Timesheet Raw'!$L$4:$L$8000,"&lt;="&amp;J$6)))/'Profit Plan'!$B$5)</f>
        <v>5.4054054054054057E-3</v>
      </c>
      <c r="K325" s="122">
        <f>IF($A325="","",(IF(ISNUMBER(SEARCH("Proposal",$A325)),SUMIFS('Timesheet Raw'!$P$4:$P$8000,'Timesheet Raw'!$A$4:$A$8000,IF(ISNUMBER(SEARCH("Chargable",$A325)),"2-Proposals Chargeable","3-Proposals Regular"),'Timesheet Raw'!$C$4:$C$8000,"*"&amp;$B325&amp;"*",'Timesheet Raw'!$L$4:$L$8000,"&gt;="&amp;MAX(K$5,DATE(2000+VALUE(RIGHT(TRIM($A325),2)),1,1)),'Timesheet Raw'!$L$4:$L$8000,"&lt;="&amp;MIN(K$6,DATE(2000+VALUE(RIGHT(TRIM($A325),2)),12,31))),SUMIFS('Timesheet Raw'!$P$4:$P$8000,'Timesheet Raw'!$B$4:$B$8000,TRIM($A325),'Timesheet Raw'!$C$4:$C$8000,"*"&amp;$B325&amp;"*",'Timesheet Raw'!$L$4:$L$8000,"&gt;="&amp;K$5,'Timesheet Raw'!$L$4:$L$8000,"&lt;="&amp;K$6)))/'Profit Plan'!$B$5)</f>
        <v>1.4864864864864866E-2</v>
      </c>
      <c r="L325" s="122">
        <f>IF($A325="","",(IF(ISNUMBER(SEARCH("Proposal",$A325)),SUMIFS('Timesheet Raw'!$P$4:$P$8000,'Timesheet Raw'!$A$4:$A$8000,IF(ISNUMBER(SEARCH("Chargable",$A325)),"2-Proposals Chargeable","3-Proposals Regular"),'Timesheet Raw'!$C$4:$C$8000,"*"&amp;$B325&amp;"*",'Timesheet Raw'!$L$4:$L$8000,"&gt;="&amp;MAX(L$5,DATE(2000+VALUE(RIGHT(TRIM($A325),2)),1,1)),'Timesheet Raw'!$L$4:$L$8000,"&lt;="&amp;MIN(L$6,DATE(2000+VALUE(RIGHT(TRIM($A325),2)),12,31))),SUMIFS('Timesheet Raw'!$P$4:$P$8000,'Timesheet Raw'!$B$4:$B$8000,TRIM($A325),'Timesheet Raw'!$C$4:$C$8000,"*"&amp;$B325&amp;"*",'Timesheet Raw'!$L$4:$L$8000,"&gt;="&amp;L$5,'Timesheet Raw'!$L$4:$L$8000,"&lt;="&amp;L$6)))/'Profit Plan'!$B$5)</f>
        <v>0</v>
      </c>
      <c r="M325" s="122">
        <f>IF($A325="","",(IF(ISNUMBER(SEARCH("Proposal",$A325)),SUMIFS('Timesheet Raw'!$P$4:$P$8000,'Timesheet Raw'!$A$4:$A$8000,IF(ISNUMBER(SEARCH("Chargable",$A325)),"2-Proposals Chargeable","3-Proposals Regular"),'Timesheet Raw'!$C$4:$C$8000,"*"&amp;$B325&amp;"*",'Timesheet Raw'!$L$4:$L$8000,"&gt;="&amp;MAX(M$5,DATE(2000+VALUE(RIGHT(TRIM($A325),2)),1,1)),'Timesheet Raw'!$L$4:$L$8000,"&lt;="&amp;MIN(M$6,DATE(2000+VALUE(RIGHT(TRIM($A325),2)),12,31))),SUMIFS('Timesheet Raw'!$P$4:$P$8000,'Timesheet Raw'!$B$4:$B$8000,TRIM($A325),'Timesheet Raw'!$C$4:$C$8000,"*"&amp;$B325&amp;"*",'Timesheet Raw'!$L$4:$L$8000,"&gt;="&amp;M$5,'Timesheet Raw'!$L$4:$L$8000,"&lt;="&amp;M$6)))/'Profit Plan'!$B$5)</f>
        <v>0</v>
      </c>
      <c r="N325" s="122">
        <f>IF($A325="","",(IF(ISNUMBER(SEARCH("Proposal",$A325)),SUMIFS('Timesheet Raw'!$P$4:$P$8000,'Timesheet Raw'!$A$4:$A$8000,IF(ISNUMBER(SEARCH("Chargable",$A325)),"2-Proposals Chargeable","3-Proposals Regular"),'Timesheet Raw'!$C$4:$C$8000,"*"&amp;$B325&amp;"*",'Timesheet Raw'!$L$4:$L$8000,"&gt;="&amp;MAX(N$5,DATE(2000+VALUE(RIGHT(TRIM($A325),2)),1,1)),'Timesheet Raw'!$L$4:$L$8000,"&lt;="&amp;MIN(N$6,DATE(2000+VALUE(RIGHT(TRIM($A325),2)),12,31))),SUMIFS('Timesheet Raw'!$P$4:$P$8000,'Timesheet Raw'!$B$4:$B$8000,TRIM($A325),'Timesheet Raw'!$C$4:$C$8000,"*"&amp;$B325&amp;"*",'Timesheet Raw'!$L$4:$L$8000,"&gt;="&amp;N$5,'Timesheet Raw'!$L$4:$L$8000,"&lt;="&amp;N$6)))/'Profit Plan'!$B$5)</f>
        <v>0</v>
      </c>
      <c r="O325" s="122">
        <f>IF($A325="","",(IF(ISNUMBER(SEARCH("Proposal",$A325)),SUMIFS('Timesheet Raw'!$P$4:$P$8000,'Timesheet Raw'!$A$4:$A$8000,IF(ISNUMBER(SEARCH("Chargable",$A325)),"2-Proposals Chargeable","3-Proposals Regular"),'Timesheet Raw'!$C$4:$C$8000,"*"&amp;$B325&amp;"*",'Timesheet Raw'!$L$4:$L$8000,"&gt;="&amp;MAX(O$5,DATE(2000+VALUE(RIGHT(TRIM($A325),2)),1,1)),'Timesheet Raw'!$L$4:$L$8000,"&lt;="&amp;MIN(O$6,DATE(2000+VALUE(RIGHT(TRIM($A325),2)),12,31))),SUMIFS('Timesheet Raw'!$P$4:$P$8000,'Timesheet Raw'!$B$4:$B$8000,TRIM($A325),'Timesheet Raw'!$C$4:$C$8000,"*"&amp;$B325&amp;"*",'Timesheet Raw'!$L$4:$L$8000,"&gt;="&amp;O$5,'Timesheet Raw'!$L$4:$L$8000,"&lt;="&amp;O$6)))/'Profit Plan'!$B$5)</f>
        <v>0</v>
      </c>
      <c r="P325" s="122">
        <f>IF($A325="","",(IF(ISNUMBER(SEARCH("Proposal",$A325)),SUMIFS('Timesheet Raw'!$P$4:$P$8000,'Timesheet Raw'!$A$4:$A$8000,IF(ISNUMBER(SEARCH("Chargable",$A325)),"2-Proposals Chargeable","3-Proposals Regular"),'Timesheet Raw'!$C$4:$C$8000,"*"&amp;$B325&amp;"*",'Timesheet Raw'!$L$4:$L$8000,"&gt;="&amp;MAX(P$5,DATE(2000+VALUE(RIGHT(TRIM($A325),2)),1,1)),'Timesheet Raw'!$L$4:$L$8000,"&lt;="&amp;MIN(P$6,DATE(2000+VALUE(RIGHT(TRIM($A325),2)),12,31))),SUMIFS('Timesheet Raw'!$P$4:$P$8000,'Timesheet Raw'!$B$4:$B$8000,TRIM($A325),'Timesheet Raw'!$C$4:$C$8000,"*"&amp;$B325&amp;"*",'Timesheet Raw'!$L$4:$L$8000,"&gt;="&amp;P$5,'Timesheet Raw'!$L$4:$L$8000,"&lt;="&amp;P$6)))/'Profit Plan'!$B$5)</f>
        <v>0</v>
      </c>
      <c r="Q325" s="122">
        <f>IF($A325="","",(IF(ISNUMBER(SEARCH("Proposal",$A325)),SUMIFS('Timesheet Raw'!$P$4:$P$8000,'Timesheet Raw'!$A$4:$A$8000,IF(ISNUMBER(SEARCH("Chargable",$A325)),"2-Proposals Chargeable","3-Proposals Regular"),'Timesheet Raw'!$C$4:$C$8000,"*"&amp;$B325&amp;"*",'Timesheet Raw'!$L$4:$L$8000,"&gt;="&amp;MAX(Q$5,DATE(2000+VALUE(RIGHT(TRIM($A325),2)),1,1)),'Timesheet Raw'!$L$4:$L$8000,"&lt;="&amp;MIN(Q$6,DATE(2000+VALUE(RIGHT(TRIM($A325),2)),12,31))),SUMIFS('Timesheet Raw'!$P$4:$P$8000,'Timesheet Raw'!$B$4:$B$8000,TRIM($A325),'Timesheet Raw'!$C$4:$C$8000,"*"&amp;$B325&amp;"*",'Timesheet Raw'!$L$4:$L$8000,"&gt;="&amp;Q$5,'Timesheet Raw'!$L$4:$L$8000,"&lt;="&amp;Q$6)))/'Profit Plan'!$B$5)</f>
        <v>0</v>
      </c>
      <c r="R325" s="122">
        <f>IF($A325="","",(IF(ISNUMBER(SEARCH("Proposal",$A325)),SUMIFS('Timesheet Raw'!$P$4:$P$8000,'Timesheet Raw'!$A$4:$A$8000,IF(ISNUMBER(SEARCH("Chargable",$A325)),"2-Proposals Chargeable","3-Proposals Regular"),'Timesheet Raw'!$C$4:$C$8000,"*"&amp;$B325&amp;"*",'Timesheet Raw'!$L$4:$L$8000,"&gt;="&amp;MAX(R$5,DATE(2000+VALUE(RIGHT(TRIM($A325),2)),1,1)),'Timesheet Raw'!$L$4:$L$8000,"&lt;="&amp;MIN(R$6,DATE(2000+VALUE(RIGHT(TRIM($A325),2)),12,31))),SUMIFS('Timesheet Raw'!$P$4:$P$8000,'Timesheet Raw'!$B$4:$B$8000,TRIM($A325),'Timesheet Raw'!$C$4:$C$8000,"*"&amp;$B325&amp;"*",'Timesheet Raw'!$L$4:$L$8000,"&gt;="&amp;R$5,'Timesheet Raw'!$L$4:$L$8000,"&lt;="&amp;R$6)))/'Profit Plan'!$B$5)</f>
        <v>0</v>
      </c>
      <c r="S325" s="122">
        <f>IF($A325="","",(IF(ISNUMBER(SEARCH("Proposal",$A325)),SUMIFS('Timesheet Raw'!$P$4:$P$8000,'Timesheet Raw'!$A$4:$A$8000,IF(ISNUMBER(SEARCH("Chargable",$A325)),"2-Proposals Chargeable","3-Proposals Regular"),'Timesheet Raw'!$C$4:$C$8000,"*"&amp;$B325&amp;"*",'Timesheet Raw'!$L$4:$L$8000,"&gt;="&amp;MAX(S$5,DATE(2000+VALUE(RIGHT(TRIM($A325),2)),1,1)),'Timesheet Raw'!$L$4:$L$8000,"&lt;="&amp;MIN(S$6,DATE(2000+VALUE(RIGHT(TRIM($A325),2)),12,31))),SUMIFS('Timesheet Raw'!$P$4:$P$8000,'Timesheet Raw'!$B$4:$B$8000,TRIM($A325),'Timesheet Raw'!$C$4:$C$8000,"*"&amp;$B325&amp;"*",'Timesheet Raw'!$L$4:$L$8000,"&gt;="&amp;S$5,'Timesheet Raw'!$L$4:$L$8000,"&lt;="&amp;S$6)))/'Profit Plan'!$B$5)</f>
        <v>0</v>
      </c>
      <c r="T325" s="122">
        <f>IF($A325="","",(IF(ISNUMBER(SEARCH("Proposal",$A325)),SUMIFS('Timesheet Raw'!$P$4:$P$8000,'Timesheet Raw'!$A$4:$A$8000,IF(ISNUMBER(SEARCH("Chargable",$A325)),"2-Proposals Chargeable","3-Proposals Regular"),'Timesheet Raw'!$C$4:$C$8000,"*"&amp;$B325&amp;"*",'Timesheet Raw'!$L$4:$L$8000,"&gt;="&amp;MAX(T$5,DATE(2000+VALUE(RIGHT(TRIM($A325),2)),1,1)),'Timesheet Raw'!$L$4:$L$8000,"&lt;="&amp;MIN(T$6,DATE(2000+VALUE(RIGHT(TRIM($A325),2)),12,31))),SUMIFS('Timesheet Raw'!$P$4:$P$8000,'Timesheet Raw'!$B$4:$B$8000,TRIM($A325),'Timesheet Raw'!$C$4:$C$8000,"*"&amp;$B325&amp;"*",'Timesheet Raw'!$L$4:$L$8000,"&gt;="&amp;T$5,'Timesheet Raw'!$L$4:$L$8000,"&lt;="&amp;T$6)))/'Profit Plan'!$B$5)</f>
        <v>0</v>
      </c>
      <c r="U325" s="122">
        <f>IF($A325="","",(IF(ISNUMBER(SEARCH("Proposal",$A325)),SUMIFS('Timesheet Raw'!$P$4:$P$8000,'Timesheet Raw'!$A$4:$A$8000,IF(ISNUMBER(SEARCH("Chargable",$A325)),"2-Proposals Chargeable","3-Proposals Regular"),'Timesheet Raw'!$C$4:$C$8000,"*"&amp;$B325&amp;"*",'Timesheet Raw'!$L$4:$L$8000,"&gt;="&amp;MAX(U$5,DATE(2000+VALUE(RIGHT(TRIM($A325),2)),1,1)),'Timesheet Raw'!$L$4:$L$8000,"&lt;="&amp;MIN(U$6,DATE(2000+VALUE(RIGHT(TRIM($A325),2)),12,31))),SUMIFS('Timesheet Raw'!$P$4:$P$8000,'Timesheet Raw'!$B$4:$B$8000,TRIM($A325),'Timesheet Raw'!$C$4:$C$8000,"*"&amp;$B325&amp;"*",'Timesheet Raw'!$L$4:$L$8000,"&gt;="&amp;U$5,'Timesheet Raw'!$L$4:$L$8000,"&lt;="&amp;U$6)))/'Profit Plan'!$B$5)</f>
        <v>0</v>
      </c>
      <c r="V325" s="122">
        <f>IF($A325="","",(IF(ISNUMBER(SEARCH("Proposal",$A325)),SUMIFS('Timesheet Raw'!$P$4:$P$8000,'Timesheet Raw'!$A$4:$A$8000,IF(ISNUMBER(SEARCH("Chargable",$A325)),"2-Proposals Chargeable","3-Proposals Regular"),'Timesheet Raw'!$C$4:$C$8000,"*"&amp;$B325&amp;"*",'Timesheet Raw'!$L$4:$L$8000,"&gt;="&amp;MAX(V$5,DATE(2000+VALUE(RIGHT(TRIM($A325),2)),1,1)),'Timesheet Raw'!$L$4:$L$8000,"&lt;="&amp;MIN(V$6,DATE(2000+VALUE(RIGHT(TRIM($A325),2)),12,31))),SUMIFS('Timesheet Raw'!$P$4:$P$8000,'Timesheet Raw'!$B$4:$B$8000,TRIM($A325),'Timesheet Raw'!$C$4:$C$8000,"*"&amp;$B325&amp;"*",'Timesheet Raw'!$L$4:$L$8000,"&gt;="&amp;V$5,'Timesheet Raw'!$L$4:$L$8000,"&lt;="&amp;V$6)))/'Profit Plan'!$B$5)</f>
        <v>0</v>
      </c>
      <c r="W325" s="122">
        <f>IF($A325="","",(IF(ISNUMBER(SEARCH("Proposal",$A325)),SUMIFS('Timesheet Raw'!$P$4:$P$8000,'Timesheet Raw'!$A$4:$A$8000,IF(ISNUMBER(SEARCH("Chargable",$A325)),"2-Proposals Chargeable","3-Proposals Regular"),'Timesheet Raw'!$C$4:$C$8000,"*"&amp;$B325&amp;"*",'Timesheet Raw'!$L$4:$L$8000,"&gt;="&amp;MAX(W$5,DATE(2000+VALUE(RIGHT(TRIM($A325),2)),1,1)),'Timesheet Raw'!$L$4:$L$8000,"&lt;="&amp;MIN(W$6,DATE(2000+VALUE(RIGHT(TRIM($A325),2)),12,31))),SUMIFS('Timesheet Raw'!$P$4:$P$8000,'Timesheet Raw'!$B$4:$B$8000,TRIM($A325),'Timesheet Raw'!$C$4:$C$8000,"*"&amp;$B325&amp;"*",'Timesheet Raw'!$L$4:$L$8000,"&gt;="&amp;W$5,'Timesheet Raw'!$L$4:$L$8000,"&lt;="&amp;W$6)))/'Profit Plan'!$B$5)</f>
        <v>0</v>
      </c>
      <c r="X325" s="122">
        <f>IF($A325="","",(IF(ISNUMBER(SEARCH("Proposal",$A325)),SUMIFS('Timesheet Raw'!$P$4:$P$8000,'Timesheet Raw'!$A$4:$A$8000,IF(ISNUMBER(SEARCH("Chargable",$A325)),"2-Proposals Chargeable","3-Proposals Regular"),'Timesheet Raw'!$C$4:$C$8000,"*"&amp;$B325&amp;"*",'Timesheet Raw'!$L$4:$L$8000,"&gt;="&amp;MAX(X$5,DATE(2000+VALUE(RIGHT(TRIM($A325),2)),1,1)),'Timesheet Raw'!$L$4:$L$8000,"&lt;="&amp;MIN(X$6,DATE(2000+VALUE(RIGHT(TRIM($A325),2)),12,31))),SUMIFS('Timesheet Raw'!$P$4:$P$8000,'Timesheet Raw'!$B$4:$B$8000,TRIM($A325),'Timesheet Raw'!$C$4:$C$8000,"*"&amp;$B325&amp;"*",'Timesheet Raw'!$L$4:$L$8000,"&gt;="&amp;X$5,'Timesheet Raw'!$L$4:$L$8000,"&lt;="&amp;X$6)))/'Profit Plan'!$B$5)</f>
        <v>0</v>
      </c>
      <c r="Y325" s="118">
        <f t="shared" si="100"/>
        <v>6.3513513513513517E-2</v>
      </c>
    </row>
    <row r="326" spans="1:25" x14ac:dyDescent="0.3">
      <c r="A326" s="116" t="str">
        <f>IF(Inputs!$A26="","",Inputs!$A26)</f>
        <v>AN24135-0100R</v>
      </c>
      <c r="B326" s="116" t="str">
        <f>IF(Inputs!$A26="","",Inputs!$A$92)</f>
        <v>Osama</v>
      </c>
      <c r="C326" s="116"/>
      <c r="D326" s="122">
        <f>IF($A326="","",(IF(ISNUMBER(SEARCH("Proposal",$A326)),SUMIFS('Timesheet Raw'!$P$4:$P$8000,'Timesheet Raw'!$A$4:$A$8000,IF(ISNUMBER(SEARCH("Chargable",$A326)),"2-Proposals Chargeable","3-Proposals Regular"),'Timesheet Raw'!$C$4:$C$8000,"*"&amp;$B326&amp;"*",'Timesheet Raw'!$L$4:$L$8000,"&gt;="&amp;MAX(D$5,DATE(2000+VALUE(RIGHT(TRIM($A326),2)),1,1)),'Timesheet Raw'!$L$4:$L$8000,"&lt;="&amp;MIN(D$6,DATE(2000+VALUE(RIGHT(TRIM($A326),2)),12,31))),SUMIFS('Timesheet Raw'!$P$4:$P$8000,'Timesheet Raw'!$B$4:$B$8000,TRIM($A326),'Timesheet Raw'!$C$4:$C$8000,"*"&amp;$B326&amp;"*",'Timesheet Raw'!$L$4:$L$8000,"&gt;="&amp;D$5,'Timesheet Raw'!$L$4:$L$8000,"&lt;="&amp;D$6)))/'Profit Plan'!$B$5)</f>
        <v>0</v>
      </c>
      <c r="E326" s="122">
        <f>IF($A326="","",(IF(ISNUMBER(SEARCH("Proposal",$A326)),SUMIFS('Timesheet Raw'!$P$4:$P$8000,'Timesheet Raw'!$A$4:$A$8000,IF(ISNUMBER(SEARCH("Chargable",$A326)),"2-Proposals Chargeable","3-Proposals Regular"),'Timesheet Raw'!$C$4:$C$8000,"*"&amp;$B326&amp;"*",'Timesheet Raw'!$L$4:$L$8000,"&gt;="&amp;MAX(E$5,DATE(2000+VALUE(RIGHT(TRIM($A326),2)),1,1)),'Timesheet Raw'!$L$4:$L$8000,"&lt;="&amp;MIN(E$6,DATE(2000+VALUE(RIGHT(TRIM($A326),2)),12,31))),SUMIFS('Timesheet Raw'!$P$4:$P$8000,'Timesheet Raw'!$B$4:$B$8000,TRIM($A326),'Timesheet Raw'!$C$4:$C$8000,"*"&amp;$B326&amp;"*",'Timesheet Raw'!$L$4:$L$8000,"&gt;="&amp;E$5,'Timesheet Raw'!$L$4:$L$8000,"&lt;="&amp;E$6)))/'Profit Plan'!$B$5)</f>
        <v>0</v>
      </c>
      <c r="F326" s="122">
        <f>IF($A326="","",(IF(ISNUMBER(SEARCH("Proposal",$A326)),SUMIFS('Timesheet Raw'!$P$4:$P$8000,'Timesheet Raw'!$A$4:$A$8000,IF(ISNUMBER(SEARCH("Chargable",$A326)),"2-Proposals Chargeable","3-Proposals Regular"),'Timesheet Raw'!$C$4:$C$8000,"*"&amp;$B326&amp;"*",'Timesheet Raw'!$L$4:$L$8000,"&gt;="&amp;MAX(F$5,DATE(2000+VALUE(RIGHT(TRIM($A326),2)),1,1)),'Timesheet Raw'!$L$4:$L$8000,"&lt;="&amp;MIN(F$6,DATE(2000+VALUE(RIGHT(TRIM($A326),2)),12,31))),SUMIFS('Timesheet Raw'!$P$4:$P$8000,'Timesheet Raw'!$B$4:$B$8000,TRIM($A326),'Timesheet Raw'!$C$4:$C$8000,"*"&amp;$B326&amp;"*",'Timesheet Raw'!$L$4:$L$8000,"&gt;="&amp;F$5,'Timesheet Raw'!$L$4:$L$8000,"&lt;="&amp;F$6)))/'Profit Plan'!$B$5)</f>
        <v>0</v>
      </c>
      <c r="G326" s="122">
        <f>IF($A326="","",(IF(ISNUMBER(SEARCH("Proposal",$A326)),SUMIFS('Timesheet Raw'!$P$4:$P$8000,'Timesheet Raw'!$A$4:$A$8000,IF(ISNUMBER(SEARCH("Chargable",$A326)),"2-Proposals Chargeable","3-Proposals Regular"),'Timesheet Raw'!$C$4:$C$8000,"*"&amp;$B326&amp;"*",'Timesheet Raw'!$L$4:$L$8000,"&gt;="&amp;MAX(G$5,DATE(2000+VALUE(RIGHT(TRIM($A326),2)),1,1)),'Timesheet Raw'!$L$4:$L$8000,"&lt;="&amp;MIN(G$6,DATE(2000+VALUE(RIGHT(TRIM($A326),2)),12,31))),SUMIFS('Timesheet Raw'!$P$4:$P$8000,'Timesheet Raw'!$B$4:$B$8000,TRIM($A326),'Timesheet Raw'!$C$4:$C$8000,"*"&amp;$B326&amp;"*",'Timesheet Raw'!$L$4:$L$8000,"&gt;="&amp;G$5,'Timesheet Raw'!$L$4:$L$8000,"&lt;="&amp;G$6)))/'Profit Plan'!$B$5)</f>
        <v>0</v>
      </c>
      <c r="H326" s="122">
        <f>IF($A326="","",(IF(ISNUMBER(SEARCH("Proposal",$A326)),SUMIFS('Timesheet Raw'!$P$4:$P$8000,'Timesheet Raw'!$A$4:$A$8000,IF(ISNUMBER(SEARCH("Chargable",$A326)),"2-Proposals Chargeable","3-Proposals Regular"),'Timesheet Raw'!$C$4:$C$8000,"*"&amp;$B326&amp;"*",'Timesheet Raw'!$L$4:$L$8000,"&gt;="&amp;MAX(H$5,DATE(2000+VALUE(RIGHT(TRIM($A326),2)),1,1)),'Timesheet Raw'!$L$4:$L$8000,"&lt;="&amp;MIN(H$6,DATE(2000+VALUE(RIGHT(TRIM($A326),2)),12,31))),SUMIFS('Timesheet Raw'!$P$4:$P$8000,'Timesheet Raw'!$B$4:$B$8000,TRIM($A326),'Timesheet Raw'!$C$4:$C$8000,"*"&amp;$B326&amp;"*",'Timesheet Raw'!$L$4:$L$8000,"&gt;="&amp;H$5,'Timesheet Raw'!$L$4:$L$8000,"&lt;="&amp;H$6)))/'Profit Plan'!$B$5)</f>
        <v>0</v>
      </c>
      <c r="I326" s="122">
        <f>IF($A326="","",(IF(ISNUMBER(SEARCH("Proposal",$A326)),SUMIFS('Timesheet Raw'!$P$4:$P$8000,'Timesheet Raw'!$A$4:$A$8000,IF(ISNUMBER(SEARCH("Chargable",$A326)),"2-Proposals Chargeable","3-Proposals Regular"),'Timesheet Raw'!$C$4:$C$8000,"*"&amp;$B326&amp;"*",'Timesheet Raw'!$L$4:$L$8000,"&gt;="&amp;MAX(I$5,DATE(2000+VALUE(RIGHT(TRIM($A326),2)),1,1)),'Timesheet Raw'!$L$4:$L$8000,"&lt;="&amp;MIN(I$6,DATE(2000+VALUE(RIGHT(TRIM($A326),2)),12,31))),SUMIFS('Timesheet Raw'!$P$4:$P$8000,'Timesheet Raw'!$B$4:$B$8000,TRIM($A326),'Timesheet Raw'!$C$4:$C$8000,"*"&amp;$B326&amp;"*",'Timesheet Raw'!$L$4:$L$8000,"&gt;="&amp;I$5,'Timesheet Raw'!$L$4:$L$8000,"&lt;="&amp;I$6)))/'Profit Plan'!$B$5)</f>
        <v>0</v>
      </c>
      <c r="J326" s="122">
        <f>IF($A326="","",(IF(ISNUMBER(SEARCH("Proposal",$A326)),SUMIFS('Timesheet Raw'!$P$4:$P$8000,'Timesheet Raw'!$A$4:$A$8000,IF(ISNUMBER(SEARCH("Chargable",$A326)),"2-Proposals Chargeable","3-Proposals Regular"),'Timesheet Raw'!$C$4:$C$8000,"*"&amp;$B326&amp;"*",'Timesheet Raw'!$L$4:$L$8000,"&gt;="&amp;MAX(J$5,DATE(2000+VALUE(RIGHT(TRIM($A326),2)),1,1)),'Timesheet Raw'!$L$4:$L$8000,"&lt;="&amp;MIN(J$6,DATE(2000+VALUE(RIGHT(TRIM($A326),2)),12,31))),SUMIFS('Timesheet Raw'!$P$4:$P$8000,'Timesheet Raw'!$B$4:$B$8000,TRIM($A326),'Timesheet Raw'!$C$4:$C$8000,"*"&amp;$B326&amp;"*",'Timesheet Raw'!$L$4:$L$8000,"&gt;="&amp;J$5,'Timesheet Raw'!$L$4:$L$8000,"&lt;="&amp;J$6)))/'Profit Plan'!$B$5)</f>
        <v>0.13513513513513514</v>
      </c>
      <c r="K326" s="122">
        <f>IF($A326="","",(IF(ISNUMBER(SEARCH("Proposal",$A326)),SUMIFS('Timesheet Raw'!$P$4:$P$8000,'Timesheet Raw'!$A$4:$A$8000,IF(ISNUMBER(SEARCH("Chargable",$A326)),"2-Proposals Chargeable","3-Proposals Regular"),'Timesheet Raw'!$C$4:$C$8000,"*"&amp;$B326&amp;"*",'Timesheet Raw'!$L$4:$L$8000,"&gt;="&amp;MAX(K$5,DATE(2000+VALUE(RIGHT(TRIM($A326),2)),1,1)),'Timesheet Raw'!$L$4:$L$8000,"&lt;="&amp;MIN(K$6,DATE(2000+VALUE(RIGHT(TRIM($A326),2)),12,31))),SUMIFS('Timesheet Raw'!$P$4:$P$8000,'Timesheet Raw'!$B$4:$B$8000,TRIM($A326),'Timesheet Raw'!$C$4:$C$8000,"*"&amp;$B326&amp;"*",'Timesheet Raw'!$L$4:$L$8000,"&gt;="&amp;K$5,'Timesheet Raw'!$L$4:$L$8000,"&lt;="&amp;K$6)))/'Profit Plan'!$B$5)</f>
        <v>0.11351351351351352</v>
      </c>
      <c r="L326" s="122">
        <f>IF($A326="","",(IF(ISNUMBER(SEARCH("Proposal",$A326)),SUMIFS('Timesheet Raw'!$P$4:$P$8000,'Timesheet Raw'!$A$4:$A$8000,IF(ISNUMBER(SEARCH("Chargable",$A326)),"2-Proposals Chargeable","3-Proposals Regular"),'Timesheet Raw'!$C$4:$C$8000,"*"&amp;$B326&amp;"*",'Timesheet Raw'!$L$4:$L$8000,"&gt;="&amp;MAX(L$5,DATE(2000+VALUE(RIGHT(TRIM($A326),2)),1,1)),'Timesheet Raw'!$L$4:$L$8000,"&lt;="&amp;MIN(L$6,DATE(2000+VALUE(RIGHT(TRIM($A326),2)),12,31))),SUMIFS('Timesheet Raw'!$P$4:$P$8000,'Timesheet Raw'!$B$4:$B$8000,TRIM($A326),'Timesheet Raw'!$C$4:$C$8000,"*"&amp;$B326&amp;"*",'Timesheet Raw'!$L$4:$L$8000,"&gt;="&amp;L$5,'Timesheet Raw'!$L$4:$L$8000,"&lt;="&amp;L$6)))/'Profit Plan'!$B$5)</f>
        <v>0</v>
      </c>
      <c r="M326" s="122">
        <f>IF($A326="","",(IF(ISNUMBER(SEARCH("Proposal",$A326)),SUMIFS('Timesheet Raw'!$P$4:$P$8000,'Timesheet Raw'!$A$4:$A$8000,IF(ISNUMBER(SEARCH("Chargable",$A326)),"2-Proposals Chargeable","3-Proposals Regular"),'Timesheet Raw'!$C$4:$C$8000,"*"&amp;$B326&amp;"*",'Timesheet Raw'!$L$4:$L$8000,"&gt;="&amp;MAX(M$5,DATE(2000+VALUE(RIGHT(TRIM($A326),2)),1,1)),'Timesheet Raw'!$L$4:$L$8000,"&lt;="&amp;MIN(M$6,DATE(2000+VALUE(RIGHT(TRIM($A326),2)),12,31))),SUMIFS('Timesheet Raw'!$P$4:$P$8000,'Timesheet Raw'!$B$4:$B$8000,TRIM($A326),'Timesheet Raw'!$C$4:$C$8000,"*"&amp;$B326&amp;"*",'Timesheet Raw'!$L$4:$L$8000,"&gt;="&amp;M$5,'Timesheet Raw'!$L$4:$L$8000,"&lt;="&amp;M$6)))/'Profit Plan'!$B$5)</f>
        <v>0</v>
      </c>
      <c r="N326" s="122">
        <f>IF($A326="","",(IF(ISNUMBER(SEARCH("Proposal",$A326)),SUMIFS('Timesheet Raw'!$P$4:$P$8000,'Timesheet Raw'!$A$4:$A$8000,IF(ISNUMBER(SEARCH("Chargable",$A326)),"2-Proposals Chargeable","3-Proposals Regular"),'Timesheet Raw'!$C$4:$C$8000,"*"&amp;$B326&amp;"*",'Timesheet Raw'!$L$4:$L$8000,"&gt;="&amp;MAX(N$5,DATE(2000+VALUE(RIGHT(TRIM($A326),2)),1,1)),'Timesheet Raw'!$L$4:$L$8000,"&lt;="&amp;MIN(N$6,DATE(2000+VALUE(RIGHT(TRIM($A326),2)),12,31))),SUMIFS('Timesheet Raw'!$P$4:$P$8000,'Timesheet Raw'!$B$4:$B$8000,TRIM($A326),'Timesheet Raw'!$C$4:$C$8000,"*"&amp;$B326&amp;"*",'Timesheet Raw'!$L$4:$L$8000,"&gt;="&amp;N$5,'Timesheet Raw'!$L$4:$L$8000,"&lt;="&amp;N$6)))/'Profit Plan'!$B$5)</f>
        <v>0</v>
      </c>
      <c r="O326" s="122">
        <f>IF($A326="","",(IF(ISNUMBER(SEARCH("Proposal",$A326)),SUMIFS('Timesheet Raw'!$P$4:$P$8000,'Timesheet Raw'!$A$4:$A$8000,IF(ISNUMBER(SEARCH("Chargable",$A326)),"2-Proposals Chargeable","3-Proposals Regular"),'Timesheet Raw'!$C$4:$C$8000,"*"&amp;$B326&amp;"*",'Timesheet Raw'!$L$4:$L$8000,"&gt;="&amp;MAX(O$5,DATE(2000+VALUE(RIGHT(TRIM($A326),2)),1,1)),'Timesheet Raw'!$L$4:$L$8000,"&lt;="&amp;MIN(O$6,DATE(2000+VALUE(RIGHT(TRIM($A326),2)),12,31))),SUMIFS('Timesheet Raw'!$P$4:$P$8000,'Timesheet Raw'!$B$4:$B$8000,TRIM($A326),'Timesheet Raw'!$C$4:$C$8000,"*"&amp;$B326&amp;"*",'Timesheet Raw'!$L$4:$L$8000,"&gt;="&amp;O$5,'Timesheet Raw'!$L$4:$L$8000,"&lt;="&amp;O$6)))/'Profit Plan'!$B$5)</f>
        <v>0</v>
      </c>
      <c r="P326" s="122">
        <f>IF($A326="","",(IF(ISNUMBER(SEARCH("Proposal",$A326)),SUMIFS('Timesheet Raw'!$P$4:$P$8000,'Timesheet Raw'!$A$4:$A$8000,IF(ISNUMBER(SEARCH("Chargable",$A326)),"2-Proposals Chargeable","3-Proposals Regular"),'Timesheet Raw'!$C$4:$C$8000,"*"&amp;$B326&amp;"*",'Timesheet Raw'!$L$4:$L$8000,"&gt;="&amp;MAX(P$5,DATE(2000+VALUE(RIGHT(TRIM($A326),2)),1,1)),'Timesheet Raw'!$L$4:$L$8000,"&lt;="&amp;MIN(P$6,DATE(2000+VALUE(RIGHT(TRIM($A326),2)),12,31))),SUMIFS('Timesheet Raw'!$P$4:$P$8000,'Timesheet Raw'!$B$4:$B$8000,TRIM($A326),'Timesheet Raw'!$C$4:$C$8000,"*"&amp;$B326&amp;"*",'Timesheet Raw'!$L$4:$L$8000,"&gt;="&amp;P$5,'Timesheet Raw'!$L$4:$L$8000,"&lt;="&amp;P$6)))/'Profit Plan'!$B$5)</f>
        <v>0</v>
      </c>
      <c r="Q326" s="122">
        <f>IF($A326="","",(IF(ISNUMBER(SEARCH("Proposal",$A326)),SUMIFS('Timesheet Raw'!$P$4:$P$8000,'Timesheet Raw'!$A$4:$A$8000,IF(ISNUMBER(SEARCH("Chargable",$A326)),"2-Proposals Chargeable","3-Proposals Regular"),'Timesheet Raw'!$C$4:$C$8000,"*"&amp;$B326&amp;"*",'Timesheet Raw'!$L$4:$L$8000,"&gt;="&amp;MAX(Q$5,DATE(2000+VALUE(RIGHT(TRIM($A326),2)),1,1)),'Timesheet Raw'!$L$4:$L$8000,"&lt;="&amp;MIN(Q$6,DATE(2000+VALUE(RIGHT(TRIM($A326),2)),12,31))),SUMIFS('Timesheet Raw'!$P$4:$P$8000,'Timesheet Raw'!$B$4:$B$8000,TRIM($A326),'Timesheet Raw'!$C$4:$C$8000,"*"&amp;$B326&amp;"*",'Timesheet Raw'!$L$4:$L$8000,"&gt;="&amp;Q$5,'Timesheet Raw'!$L$4:$L$8000,"&lt;="&amp;Q$6)))/'Profit Plan'!$B$5)</f>
        <v>0</v>
      </c>
      <c r="R326" s="122">
        <f>IF($A326="","",(IF(ISNUMBER(SEARCH("Proposal",$A326)),SUMIFS('Timesheet Raw'!$P$4:$P$8000,'Timesheet Raw'!$A$4:$A$8000,IF(ISNUMBER(SEARCH("Chargable",$A326)),"2-Proposals Chargeable","3-Proposals Regular"),'Timesheet Raw'!$C$4:$C$8000,"*"&amp;$B326&amp;"*",'Timesheet Raw'!$L$4:$L$8000,"&gt;="&amp;MAX(R$5,DATE(2000+VALUE(RIGHT(TRIM($A326),2)),1,1)),'Timesheet Raw'!$L$4:$L$8000,"&lt;="&amp;MIN(R$6,DATE(2000+VALUE(RIGHT(TRIM($A326),2)),12,31))),SUMIFS('Timesheet Raw'!$P$4:$P$8000,'Timesheet Raw'!$B$4:$B$8000,TRIM($A326),'Timesheet Raw'!$C$4:$C$8000,"*"&amp;$B326&amp;"*",'Timesheet Raw'!$L$4:$L$8000,"&gt;="&amp;R$5,'Timesheet Raw'!$L$4:$L$8000,"&lt;="&amp;R$6)))/'Profit Plan'!$B$5)</f>
        <v>0</v>
      </c>
      <c r="S326" s="122">
        <f>IF($A326="","",(IF(ISNUMBER(SEARCH("Proposal",$A326)),SUMIFS('Timesheet Raw'!$P$4:$P$8000,'Timesheet Raw'!$A$4:$A$8000,IF(ISNUMBER(SEARCH("Chargable",$A326)),"2-Proposals Chargeable","3-Proposals Regular"),'Timesheet Raw'!$C$4:$C$8000,"*"&amp;$B326&amp;"*",'Timesheet Raw'!$L$4:$L$8000,"&gt;="&amp;MAX(S$5,DATE(2000+VALUE(RIGHT(TRIM($A326),2)),1,1)),'Timesheet Raw'!$L$4:$L$8000,"&lt;="&amp;MIN(S$6,DATE(2000+VALUE(RIGHT(TRIM($A326),2)),12,31))),SUMIFS('Timesheet Raw'!$P$4:$P$8000,'Timesheet Raw'!$B$4:$B$8000,TRIM($A326),'Timesheet Raw'!$C$4:$C$8000,"*"&amp;$B326&amp;"*",'Timesheet Raw'!$L$4:$L$8000,"&gt;="&amp;S$5,'Timesheet Raw'!$L$4:$L$8000,"&lt;="&amp;S$6)))/'Profit Plan'!$B$5)</f>
        <v>0</v>
      </c>
      <c r="T326" s="122">
        <f>IF($A326="","",(IF(ISNUMBER(SEARCH("Proposal",$A326)),SUMIFS('Timesheet Raw'!$P$4:$P$8000,'Timesheet Raw'!$A$4:$A$8000,IF(ISNUMBER(SEARCH("Chargable",$A326)),"2-Proposals Chargeable","3-Proposals Regular"),'Timesheet Raw'!$C$4:$C$8000,"*"&amp;$B326&amp;"*",'Timesheet Raw'!$L$4:$L$8000,"&gt;="&amp;MAX(T$5,DATE(2000+VALUE(RIGHT(TRIM($A326),2)),1,1)),'Timesheet Raw'!$L$4:$L$8000,"&lt;="&amp;MIN(T$6,DATE(2000+VALUE(RIGHT(TRIM($A326),2)),12,31))),SUMIFS('Timesheet Raw'!$P$4:$P$8000,'Timesheet Raw'!$B$4:$B$8000,TRIM($A326),'Timesheet Raw'!$C$4:$C$8000,"*"&amp;$B326&amp;"*",'Timesheet Raw'!$L$4:$L$8000,"&gt;="&amp;T$5,'Timesheet Raw'!$L$4:$L$8000,"&lt;="&amp;T$6)))/'Profit Plan'!$B$5)</f>
        <v>0</v>
      </c>
      <c r="U326" s="122">
        <f>IF($A326="","",(IF(ISNUMBER(SEARCH("Proposal",$A326)),SUMIFS('Timesheet Raw'!$P$4:$P$8000,'Timesheet Raw'!$A$4:$A$8000,IF(ISNUMBER(SEARCH("Chargable",$A326)),"2-Proposals Chargeable","3-Proposals Regular"),'Timesheet Raw'!$C$4:$C$8000,"*"&amp;$B326&amp;"*",'Timesheet Raw'!$L$4:$L$8000,"&gt;="&amp;MAX(U$5,DATE(2000+VALUE(RIGHT(TRIM($A326),2)),1,1)),'Timesheet Raw'!$L$4:$L$8000,"&lt;="&amp;MIN(U$6,DATE(2000+VALUE(RIGHT(TRIM($A326),2)),12,31))),SUMIFS('Timesheet Raw'!$P$4:$P$8000,'Timesheet Raw'!$B$4:$B$8000,TRIM($A326),'Timesheet Raw'!$C$4:$C$8000,"*"&amp;$B326&amp;"*",'Timesheet Raw'!$L$4:$L$8000,"&gt;="&amp;U$5,'Timesheet Raw'!$L$4:$L$8000,"&lt;="&amp;U$6)))/'Profit Plan'!$B$5)</f>
        <v>0</v>
      </c>
      <c r="V326" s="122">
        <f>IF($A326="","",(IF(ISNUMBER(SEARCH("Proposal",$A326)),SUMIFS('Timesheet Raw'!$P$4:$P$8000,'Timesheet Raw'!$A$4:$A$8000,IF(ISNUMBER(SEARCH("Chargable",$A326)),"2-Proposals Chargeable","3-Proposals Regular"),'Timesheet Raw'!$C$4:$C$8000,"*"&amp;$B326&amp;"*",'Timesheet Raw'!$L$4:$L$8000,"&gt;="&amp;MAX(V$5,DATE(2000+VALUE(RIGHT(TRIM($A326),2)),1,1)),'Timesheet Raw'!$L$4:$L$8000,"&lt;="&amp;MIN(V$6,DATE(2000+VALUE(RIGHT(TRIM($A326),2)),12,31))),SUMIFS('Timesheet Raw'!$P$4:$P$8000,'Timesheet Raw'!$B$4:$B$8000,TRIM($A326),'Timesheet Raw'!$C$4:$C$8000,"*"&amp;$B326&amp;"*",'Timesheet Raw'!$L$4:$L$8000,"&gt;="&amp;V$5,'Timesheet Raw'!$L$4:$L$8000,"&lt;="&amp;V$6)))/'Profit Plan'!$B$5)</f>
        <v>0</v>
      </c>
      <c r="W326" s="122">
        <f>IF($A326="","",(IF(ISNUMBER(SEARCH("Proposal",$A326)),SUMIFS('Timesheet Raw'!$P$4:$P$8000,'Timesheet Raw'!$A$4:$A$8000,IF(ISNUMBER(SEARCH("Chargable",$A326)),"2-Proposals Chargeable","3-Proposals Regular"),'Timesheet Raw'!$C$4:$C$8000,"*"&amp;$B326&amp;"*",'Timesheet Raw'!$L$4:$L$8000,"&gt;="&amp;MAX(W$5,DATE(2000+VALUE(RIGHT(TRIM($A326),2)),1,1)),'Timesheet Raw'!$L$4:$L$8000,"&lt;="&amp;MIN(W$6,DATE(2000+VALUE(RIGHT(TRIM($A326),2)),12,31))),SUMIFS('Timesheet Raw'!$P$4:$P$8000,'Timesheet Raw'!$B$4:$B$8000,TRIM($A326),'Timesheet Raw'!$C$4:$C$8000,"*"&amp;$B326&amp;"*",'Timesheet Raw'!$L$4:$L$8000,"&gt;="&amp;W$5,'Timesheet Raw'!$L$4:$L$8000,"&lt;="&amp;W$6)))/'Profit Plan'!$B$5)</f>
        <v>0</v>
      </c>
      <c r="X326" s="122">
        <f>IF($A326="","",(IF(ISNUMBER(SEARCH("Proposal",$A326)),SUMIFS('Timesheet Raw'!$P$4:$P$8000,'Timesheet Raw'!$A$4:$A$8000,IF(ISNUMBER(SEARCH("Chargable",$A326)),"2-Proposals Chargeable","3-Proposals Regular"),'Timesheet Raw'!$C$4:$C$8000,"*"&amp;$B326&amp;"*",'Timesheet Raw'!$L$4:$L$8000,"&gt;="&amp;MAX(X$5,DATE(2000+VALUE(RIGHT(TRIM($A326),2)),1,1)),'Timesheet Raw'!$L$4:$L$8000,"&lt;="&amp;MIN(X$6,DATE(2000+VALUE(RIGHT(TRIM($A326),2)),12,31))),SUMIFS('Timesheet Raw'!$P$4:$P$8000,'Timesheet Raw'!$B$4:$B$8000,TRIM($A326),'Timesheet Raw'!$C$4:$C$8000,"*"&amp;$B326&amp;"*",'Timesheet Raw'!$L$4:$L$8000,"&gt;="&amp;X$5,'Timesheet Raw'!$L$4:$L$8000,"&lt;="&amp;X$6)))/'Profit Plan'!$B$5)</f>
        <v>0</v>
      </c>
      <c r="Y326" s="118">
        <f t="shared" si="100"/>
        <v>0.24864864864864866</v>
      </c>
    </row>
    <row r="327" spans="1:25" x14ac:dyDescent="0.3">
      <c r="A327" s="116" t="str">
        <f>IF(Inputs!$A26="","",Inputs!$A26)</f>
        <v>AN24135-0100R</v>
      </c>
      <c r="B327" s="116" t="str">
        <f>IF(Inputs!$A26="","",Inputs!$A$93)</f>
        <v>Kirolos</v>
      </c>
      <c r="C327" s="116"/>
      <c r="D327" s="122">
        <f>IF($A327="","",(IF(ISNUMBER(SEARCH("Proposal",$A327)),SUMIFS('Timesheet Raw'!$P$4:$P$8000,'Timesheet Raw'!$A$4:$A$8000,IF(ISNUMBER(SEARCH("Chargable",$A327)),"2-Proposals Chargeable","3-Proposals Regular"),'Timesheet Raw'!$C$4:$C$8000,"*"&amp;$B327&amp;"*",'Timesheet Raw'!$L$4:$L$8000,"&gt;="&amp;MAX(D$5,DATE(2000+VALUE(RIGHT(TRIM($A327),2)),1,1)),'Timesheet Raw'!$L$4:$L$8000,"&lt;="&amp;MIN(D$6,DATE(2000+VALUE(RIGHT(TRIM($A327),2)),12,31))),SUMIFS('Timesheet Raw'!$P$4:$P$8000,'Timesheet Raw'!$B$4:$B$8000,TRIM($A327),'Timesheet Raw'!$C$4:$C$8000,"*"&amp;$B327&amp;"*",'Timesheet Raw'!$L$4:$L$8000,"&gt;="&amp;D$5,'Timesheet Raw'!$L$4:$L$8000,"&lt;="&amp;D$6)))/'Profit Plan'!$B$5)</f>
        <v>0</v>
      </c>
      <c r="E327" s="122">
        <f>IF($A327="","",(IF(ISNUMBER(SEARCH("Proposal",$A327)),SUMIFS('Timesheet Raw'!$P$4:$P$8000,'Timesheet Raw'!$A$4:$A$8000,IF(ISNUMBER(SEARCH("Chargable",$A327)),"2-Proposals Chargeable","3-Proposals Regular"),'Timesheet Raw'!$C$4:$C$8000,"*"&amp;$B327&amp;"*",'Timesheet Raw'!$L$4:$L$8000,"&gt;="&amp;MAX(E$5,DATE(2000+VALUE(RIGHT(TRIM($A327),2)),1,1)),'Timesheet Raw'!$L$4:$L$8000,"&lt;="&amp;MIN(E$6,DATE(2000+VALUE(RIGHT(TRIM($A327),2)),12,31))),SUMIFS('Timesheet Raw'!$P$4:$P$8000,'Timesheet Raw'!$B$4:$B$8000,TRIM($A327),'Timesheet Raw'!$C$4:$C$8000,"*"&amp;$B327&amp;"*",'Timesheet Raw'!$L$4:$L$8000,"&gt;="&amp;E$5,'Timesheet Raw'!$L$4:$L$8000,"&lt;="&amp;E$6)))/'Profit Plan'!$B$5)</f>
        <v>0</v>
      </c>
      <c r="F327" s="122">
        <f>IF($A327="","",(IF(ISNUMBER(SEARCH("Proposal",$A327)),SUMIFS('Timesheet Raw'!$P$4:$P$8000,'Timesheet Raw'!$A$4:$A$8000,IF(ISNUMBER(SEARCH("Chargable",$A327)),"2-Proposals Chargeable","3-Proposals Regular"),'Timesheet Raw'!$C$4:$C$8000,"*"&amp;$B327&amp;"*",'Timesheet Raw'!$L$4:$L$8000,"&gt;="&amp;MAX(F$5,DATE(2000+VALUE(RIGHT(TRIM($A327),2)),1,1)),'Timesheet Raw'!$L$4:$L$8000,"&lt;="&amp;MIN(F$6,DATE(2000+VALUE(RIGHT(TRIM($A327),2)),12,31))),SUMIFS('Timesheet Raw'!$P$4:$P$8000,'Timesheet Raw'!$B$4:$B$8000,TRIM($A327),'Timesheet Raw'!$C$4:$C$8000,"*"&amp;$B327&amp;"*",'Timesheet Raw'!$L$4:$L$8000,"&gt;="&amp;F$5,'Timesheet Raw'!$L$4:$L$8000,"&lt;="&amp;F$6)))/'Profit Plan'!$B$5)</f>
        <v>0</v>
      </c>
      <c r="G327" s="122">
        <f>IF($A327="","",(IF(ISNUMBER(SEARCH("Proposal",$A327)),SUMIFS('Timesheet Raw'!$P$4:$P$8000,'Timesheet Raw'!$A$4:$A$8000,IF(ISNUMBER(SEARCH("Chargable",$A327)),"2-Proposals Chargeable","3-Proposals Regular"),'Timesheet Raw'!$C$4:$C$8000,"*"&amp;$B327&amp;"*",'Timesheet Raw'!$L$4:$L$8000,"&gt;="&amp;MAX(G$5,DATE(2000+VALUE(RIGHT(TRIM($A327),2)),1,1)),'Timesheet Raw'!$L$4:$L$8000,"&lt;="&amp;MIN(G$6,DATE(2000+VALUE(RIGHT(TRIM($A327),2)),12,31))),SUMIFS('Timesheet Raw'!$P$4:$P$8000,'Timesheet Raw'!$B$4:$B$8000,TRIM($A327),'Timesheet Raw'!$C$4:$C$8000,"*"&amp;$B327&amp;"*",'Timesheet Raw'!$L$4:$L$8000,"&gt;="&amp;G$5,'Timesheet Raw'!$L$4:$L$8000,"&lt;="&amp;G$6)))/'Profit Plan'!$B$5)</f>
        <v>0</v>
      </c>
      <c r="H327" s="122">
        <f>IF($A327="","",(IF(ISNUMBER(SEARCH("Proposal",$A327)),SUMIFS('Timesheet Raw'!$P$4:$P$8000,'Timesheet Raw'!$A$4:$A$8000,IF(ISNUMBER(SEARCH("Chargable",$A327)),"2-Proposals Chargeable","3-Proposals Regular"),'Timesheet Raw'!$C$4:$C$8000,"*"&amp;$B327&amp;"*",'Timesheet Raw'!$L$4:$L$8000,"&gt;="&amp;MAX(H$5,DATE(2000+VALUE(RIGHT(TRIM($A327),2)),1,1)),'Timesheet Raw'!$L$4:$L$8000,"&lt;="&amp;MIN(H$6,DATE(2000+VALUE(RIGHT(TRIM($A327),2)),12,31))),SUMIFS('Timesheet Raw'!$P$4:$P$8000,'Timesheet Raw'!$B$4:$B$8000,TRIM($A327),'Timesheet Raw'!$C$4:$C$8000,"*"&amp;$B327&amp;"*",'Timesheet Raw'!$L$4:$L$8000,"&gt;="&amp;H$5,'Timesheet Raw'!$L$4:$L$8000,"&lt;="&amp;H$6)))/'Profit Plan'!$B$5)</f>
        <v>0.43243243243243246</v>
      </c>
      <c r="I327" s="122">
        <f>IF($A327="","",(IF(ISNUMBER(SEARCH("Proposal",$A327)),SUMIFS('Timesheet Raw'!$P$4:$P$8000,'Timesheet Raw'!$A$4:$A$8000,IF(ISNUMBER(SEARCH("Chargable",$A327)),"2-Proposals Chargeable","3-Proposals Regular"),'Timesheet Raw'!$C$4:$C$8000,"*"&amp;$B327&amp;"*",'Timesheet Raw'!$L$4:$L$8000,"&gt;="&amp;MAX(I$5,DATE(2000+VALUE(RIGHT(TRIM($A327),2)),1,1)),'Timesheet Raw'!$L$4:$L$8000,"&lt;="&amp;MIN(I$6,DATE(2000+VALUE(RIGHT(TRIM($A327),2)),12,31))),SUMIFS('Timesheet Raw'!$P$4:$P$8000,'Timesheet Raw'!$B$4:$B$8000,TRIM($A327),'Timesheet Raw'!$C$4:$C$8000,"*"&amp;$B327&amp;"*",'Timesheet Raw'!$L$4:$L$8000,"&gt;="&amp;I$5,'Timesheet Raw'!$L$4:$L$8000,"&lt;="&amp;I$6)))/'Profit Plan'!$B$5)</f>
        <v>0.55405405405405406</v>
      </c>
      <c r="J327" s="122">
        <f>IF($A327="","",(IF(ISNUMBER(SEARCH("Proposal",$A327)),SUMIFS('Timesheet Raw'!$P$4:$P$8000,'Timesheet Raw'!$A$4:$A$8000,IF(ISNUMBER(SEARCH("Chargable",$A327)),"2-Proposals Chargeable","3-Proposals Regular"),'Timesheet Raw'!$C$4:$C$8000,"*"&amp;$B327&amp;"*",'Timesheet Raw'!$L$4:$L$8000,"&gt;="&amp;MAX(J$5,DATE(2000+VALUE(RIGHT(TRIM($A327),2)),1,1)),'Timesheet Raw'!$L$4:$L$8000,"&lt;="&amp;MIN(J$6,DATE(2000+VALUE(RIGHT(TRIM($A327),2)),12,31))),SUMIFS('Timesheet Raw'!$P$4:$P$8000,'Timesheet Raw'!$B$4:$B$8000,TRIM($A327),'Timesheet Raw'!$C$4:$C$8000,"*"&amp;$B327&amp;"*",'Timesheet Raw'!$L$4:$L$8000,"&gt;="&amp;J$5,'Timesheet Raw'!$L$4:$L$8000,"&lt;="&amp;J$6)))/'Profit Plan'!$B$5)</f>
        <v>0.18243243243243243</v>
      </c>
      <c r="K327" s="122">
        <f>IF($A327="","",(IF(ISNUMBER(SEARCH("Proposal",$A327)),SUMIFS('Timesheet Raw'!$P$4:$P$8000,'Timesheet Raw'!$A$4:$A$8000,IF(ISNUMBER(SEARCH("Chargable",$A327)),"2-Proposals Chargeable","3-Proposals Regular"),'Timesheet Raw'!$C$4:$C$8000,"*"&amp;$B327&amp;"*",'Timesheet Raw'!$L$4:$L$8000,"&gt;="&amp;MAX(K$5,DATE(2000+VALUE(RIGHT(TRIM($A327),2)),1,1)),'Timesheet Raw'!$L$4:$L$8000,"&lt;="&amp;MIN(K$6,DATE(2000+VALUE(RIGHT(TRIM($A327),2)),12,31))),SUMIFS('Timesheet Raw'!$P$4:$P$8000,'Timesheet Raw'!$B$4:$B$8000,TRIM($A327),'Timesheet Raw'!$C$4:$C$8000,"*"&amp;$B327&amp;"*",'Timesheet Raw'!$L$4:$L$8000,"&gt;="&amp;K$5,'Timesheet Raw'!$L$4:$L$8000,"&lt;="&amp;K$6)))/'Profit Plan'!$B$5)</f>
        <v>0.32297297297297295</v>
      </c>
      <c r="L327" s="122">
        <f>IF($A327="","",(IF(ISNUMBER(SEARCH("Proposal",$A327)),SUMIFS('Timesheet Raw'!$P$4:$P$8000,'Timesheet Raw'!$A$4:$A$8000,IF(ISNUMBER(SEARCH("Chargable",$A327)),"2-Proposals Chargeable","3-Proposals Regular"),'Timesheet Raw'!$C$4:$C$8000,"*"&amp;$B327&amp;"*",'Timesheet Raw'!$L$4:$L$8000,"&gt;="&amp;MAX(L$5,DATE(2000+VALUE(RIGHT(TRIM($A327),2)),1,1)),'Timesheet Raw'!$L$4:$L$8000,"&lt;="&amp;MIN(L$6,DATE(2000+VALUE(RIGHT(TRIM($A327),2)),12,31))),SUMIFS('Timesheet Raw'!$P$4:$P$8000,'Timesheet Raw'!$B$4:$B$8000,TRIM($A327),'Timesheet Raw'!$C$4:$C$8000,"*"&amp;$B327&amp;"*",'Timesheet Raw'!$L$4:$L$8000,"&gt;="&amp;L$5,'Timesheet Raw'!$L$4:$L$8000,"&lt;="&amp;L$6)))/'Profit Plan'!$B$5)</f>
        <v>2.7027027027027029E-2</v>
      </c>
      <c r="M327" s="122">
        <f>IF($A327="","",(IF(ISNUMBER(SEARCH("Proposal",$A327)),SUMIFS('Timesheet Raw'!$P$4:$P$8000,'Timesheet Raw'!$A$4:$A$8000,IF(ISNUMBER(SEARCH("Chargable",$A327)),"2-Proposals Chargeable","3-Proposals Regular"),'Timesheet Raw'!$C$4:$C$8000,"*"&amp;$B327&amp;"*",'Timesheet Raw'!$L$4:$L$8000,"&gt;="&amp;MAX(M$5,DATE(2000+VALUE(RIGHT(TRIM($A327),2)),1,1)),'Timesheet Raw'!$L$4:$L$8000,"&lt;="&amp;MIN(M$6,DATE(2000+VALUE(RIGHT(TRIM($A327),2)),12,31))),SUMIFS('Timesheet Raw'!$P$4:$P$8000,'Timesheet Raw'!$B$4:$B$8000,TRIM($A327),'Timesheet Raw'!$C$4:$C$8000,"*"&amp;$B327&amp;"*",'Timesheet Raw'!$L$4:$L$8000,"&gt;="&amp;M$5,'Timesheet Raw'!$L$4:$L$8000,"&lt;="&amp;M$6)))/'Profit Plan'!$B$5)</f>
        <v>0</v>
      </c>
      <c r="N327" s="122">
        <f>IF($A327="","",(IF(ISNUMBER(SEARCH("Proposal",$A327)),SUMIFS('Timesheet Raw'!$P$4:$P$8000,'Timesheet Raw'!$A$4:$A$8000,IF(ISNUMBER(SEARCH("Chargable",$A327)),"2-Proposals Chargeable","3-Proposals Regular"),'Timesheet Raw'!$C$4:$C$8000,"*"&amp;$B327&amp;"*",'Timesheet Raw'!$L$4:$L$8000,"&gt;="&amp;MAX(N$5,DATE(2000+VALUE(RIGHT(TRIM($A327),2)),1,1)),'Timesheet Raw'!$L$4:$L$8000,"&lt;="&amp;MIN(N$6,DATE(2000+VALUE(RIGHT(TRIM($A327),2)),12,31))),SUMIFS('Timesheet Raw'!$P$4:$P$8000,'Timesheet Raw'!$B$4:$B$8000,TRIM($A327),'Timesheet Raw'!$C$4:$C$8000,"*"&amp;$B327&amp;"*",'Timesheet Raw'!$L$4:$L$8000,"&gt;="&amp;N$5,'Timesheet Raw'!$L$4:$L$8000,"&lt;="&amp;N$6)))/'Profit Plan'!$B$5)</f>
        <v>0</v>
      </c>
      <c r="O327" s="122">
        <f>IF($A327="","",(IF(ISNUMBER(SEARCH("Proposal",$A327)),SUMIFS('Timesheet Raw'!$P$4:$P$8000,'Timesheet Raw'!$A$4:$A$8000,IF(ISNUMBER(SEARCH("Chargable",$A327)),"2-Proposals Chargeable","3-Proposals Regular"),'Timesheet Raw'!$C$4:$C$8000,"*"&amp;$B327&amp;"*",'Timesheet Raw'!$L$4:$L$8000,"&gt;="&amp;MAX(O$5,DATE(2000+VALUE(RIGHT(TRIM($A327),2)),1,1)),'Timesheet Raw'!$L$4:$L$8000,"&lt;="&amp;MIN(O$6,DATE(2000+VALUE(RIGHT(TRIM($A327),2)),12,31))),SUMIFS('Timesheet Raw'!$P$4:$P$8000,'Timesheet Raw'!$B$4:$B$8000,TRIM($A327),'Timesheet Raw'!$C$4:$C$8000,"*"&amp;$B327&amp;"*",'Timesheet Raw'!$L$4:$L$8000,"&gt;="&amp;O$5,'Timesheet Raw'!$L$4:$L$8000,"&lt;="&amp;O$6)))/'Profit Plan'!$B$5)</f>
        <v>0</v>
      </c>
      <c r="P327" s="122">
        <f>IF($A327="","",(IF(ISNUMBER(SEARCH("Proposal",$A327)),SUMIFS('Timesheet Raw'!$P$4:$P$8000,'Timesheet Raw'!$A$4:$A$8000,IF(ISNUMBER(SEARCH("Chargable",$A327)),"2-Proposals Chargeable","3-Proposals Regular"),'Timesheet Raw'!$C$4:$C$8000,"*"&amp;$B327&amp;"*",'Timesheet Raw'!$L$4:$L$8000,"&gt;="&amp;MAX(P$5,DATE(2000+VALUE(RIGHT(TRIM($A327),2)),1,1)),'Timesheet Raw'!$L$4:$L$8000,"&lt;="&amp;MIN(P$6,DATE(2000+VALUE(RIGHT(TRIM($A327),2)),12,31))),SUMIFS('Timesheet Raw'!$P$4:$P$8000,'Timesheet Raw'!$B$4:$B$8000,TRIM($A327),'Timesheet Raw'!$C$4:$C$8000,"*"&amp;$B327&amp;"*",'Timesheet Raw'!$L$4:$L$8000,"&gt;="&amp;P$5,'Timesheet Raw'!$L$4:$L$8000,"&lt;="&amp;P$6)))/'Profit Plan'!$B$5)</f>
        <v>0</v>
      </c>
      <c r="Q327" s="122">
        <f>IF($A327="","",(IF(ISNUMBER(SEARCH("Proposal",$A327)),SUMIFS('Timesheet Raw'!$P$4:$P$8000,'Timesheet Raw'!$A$4:$A$8000,IF(ISNUMBER(SEARCH("Chargable",$A327)),"2-Proposals Chargeable","3-Proposals Regular"),'Timesheet Raw'!$C$4:$C$8000,"*"&amp;$B327&amp;"*",'Timesheet Raw'!$L$4:$L$8000,"&gt;="&amp;MAX(Q$5,DATE(2000+VALUE(RIGHT(TRIM($A327),2)),1,1)),'Timesheet Raw'!$L$4:$L$8000,"&lt;="&amp;MIN(Q$6,DATE(2000+VALUE(RIGHT(TRIM($A327),2)),12,31))),SUMIFS('Timesheet Raw'!$P$4:$P$8000,'Timesheet Raw'!$B$4:$B$8000,TRIM($A327),'Timesheet Raw'!$C$4:$C$8000,"*"&amp;$B327&amp;"*",'Timesheet Raw'!$L$4:$L$8000,"&gt;="&amp;Q$5,'Timesheet Raw'!$L$4:$L$8000,"&lt;="&amp;Q$6)))/'Profit Plan'!$B$5)</f>
        <v>0</v>
      </c>
      <c r="R327" s="122">
        <f>IF($A327="","",(IF(ISNUMBER(SEARCH("Proposal",$A327)),SUMIFS('Timesheet Raw'!$P$4:$P$8000,'Timesheet Raw'!$A$4:$A$8000,IF(ISNUMBER(SEARCH("Chargable",$A327)),"2-Proposals Chargeable","3-Proposals Regular"),'Timesheet Raw'!$C$4:$C$8000,"*"&amp;$B327&amp;"*",'Timesheet Raw'!$L$4:$L$8000,"&gt;="&amp;MAX(R$5,DATE(2000+VALUE(RIGHT(TRIM($A327),2)),1,1)),'Timesheet Raw'!$L$4:$L$8000,"&lt;="&amp;MIN(R$6,DATE(2000+VALUE(RIGHT(TRIM($A327),2)),12,31))),SUMIFS('Timesheet Raw'!$P$4:$P$8000,'Timesheet Raw'!$B$4:$B$8000,TRIM($A327),'Timesheet Raw'!$C$4:$C$8000,"*"&amp;$B327&amp;"*",'Timesheet Raw'!$L$4:$L$8000,"&gt;="&amp;R$5,'Timesheet Raw'!$L$4:$L$8000,"&lt;="&amp;R$6)))/'Profit Plan'!$B$5)</f>
        <v>0</v>
      </c>
      <c r="S327" s="122">
        <f>IF($A327="","",(IF(ISNUMBER(SEARCH("Proposal",$A327)),SUMIFS('Timesheet Raw'!$P$4:$P$8000,'Timesheet Raw'!$A$4:$A$8000,IF(ISNUMBER(SEARCH("Chargable",$A327)),"2-Proposals Chargeable","3-Proposals Regular"),'Timesheet Raw'!$C$4:$C$8000,"*"&amp;$B327&amp;"*",'Timesheet Raw'!$L$4:$L$8000,"&gt;="&amp;MAX(S$5,DATE(2000+VALUE(RIGHT(TRIM($A327),2)),1,1)),'Timesheet Raw'!$L$4:$L$8000,"&lt;="&amp;MIN(S$6,DATE(2000+VALUE(RIGHT(TRIM($A327),2)),12,31))),SUMIFS('Timesheet Raw'!$P$4:$P$8000,'Timesheet Raw'!$B$4:$B$8000,TRIM($A327),'Timesheet Raw'!$C$4:$C$8000,"*"&amp;$B327&amp;"*",'Timesheet Raw'!$L$4:$L$8000,"&gt;="&amp;S$5,'Timesheet Raw'!$L$4:$L$8000,"&lt;="&amp;S$6)))/'Profit Plan'!$B$5)</f>
        <v>0</v>
      </c>
      <c r="T327" s="122">
        <f>IF($A327="","",(IF(ISNUMBER(SEARCH("Proposal",$A327)),SUMIFS('Timesheet Raw'!$P$4:$P$8000,'Timesheet Raw'!$A$4:$A$8000,IF(ISNUMBER(SEARCH("Chargable",$A327)),"2-Proposals Chargeable","3-Proposals Regular"),'Timesheet Raw'!$C$4:$C$8000,"*"&amp;$B327&amp;"*",'Timesheet Raw'!$L$4:$L$8000,"&gt;="&amp;MAX(T$5,DATE(2000+VALUE(RIGHT(TRIM($A327),2)),1,1)),'Timesheet Raw'!$L$4:$L$8000,"&lt;="&amp;MIN(T$6,DATE(2000+VALUE(RIGHT(TRIM($A327),2)),12,31))),SUMIFS('Timesheet Raw'!$P$4:$P$8000,'Timesheet Raw'!$B$4:$B$8000,TRIM($A327),'Timesheet Raw'!$C$4:$C$8000,"*"&amp;$B327&amp;"*",'Timesheet Raw'!$L$4:$L$8000,"&gt;="&amp;T$5,'Timesheet Raw'!$L$4:$L$8000,"&lt;="&amp;T$6)))/'Profit Plan'!$B$5)</f>
        <v>0</v>
      </c>
      <c r="U327" s="122">
        <f>IF($A327="","",(IF(ISNUMBER(SEARCH("Proposal",$A327)),SUMIFS('Timesheet Raw'!$P$4:$P$8000,'Timesheet Raw'!$A$4:$A$8000,IF(ISNUMBER(SEARCH("Chargable",$A327)),"2-Proposals Chargeable","3-Proposals Regular"),'Timesheet Raw'!$C$4:$C$8000,"*"&amp;$B327&amp;"*",'Timesheet Raw'!$L$4:$L$8000,"&gt;="&amp;MAX(U$5,DATE(2000+VALUE(RIGHT(TRIM($A327),2)),1,1)),'Timesheet Raw'!$L$4:$L$8000,"&lt;="&amp;MIN(U$6,DATE(2000+VALUE(RIGHT(TRIM($A327),2)),12,31))),SUMIFS('Timesheet Raw'!$P$4:$P$8000,'Timesheet Raw'!$B$4:$B$8000,TRIM($A327),'Timesheet Raw'!$C$4:$C$8000,"*"&amp;$B327&amp;"*",'Timesheet Raw'!$L$4:$L$8000,"&gt;="&amp;U$5,'Timesheet Raw'!$L$4:$L$8000,"&lt;="&amp;U$6)))/'Profit Plan'!$B$5)</f>
        <v>0</v>
      </c>
      <c r="V327" s="122">
        <f>IF($A327="","",(IF(ISNUMBER(SEARCH("Proposal",$A327)),SUMIFS('Timesheet Raw'!$P$4:$P$8000,'Timesheet Raw'!$A$4:$A$8000,IF(ISNUMBER(SEARCH("Chargable",$A327)),"2-Proposals Chargeable","3-Proposals Regular"),'Timesheet Raw'!$C$4:$C$8000,"*"&amp;$B327&amp;"*",'Timesheet Raw'!$L$4:$L$8000,"&gt;="&amp;MAX(V$5,DATE(2000+VALUE(RIGHT(TRIM($A327),2)),1,1)),'Timesheet Raw'!$L$4:$L$8000,"&lt;="&amp;MIN(V$6,DATE(2000+VALUE(RIGHT(TRIM($A327),2)),12,31))),SUMIFS('Timesheet Raw'!$P$4:$P$8000,'Timesheet Raw'!$B$4:$B$8000,TRIM($A327),'Timesheet Raw'!$C$4:$C$8000,"*"&amp;$B327&amp;"*",'Timesheet Raw'!$L$4:$L$8000,"&gt;="&amp;V$5,'Timesheet Raw'!$L$4:$L$8000,"&lt;="&amp;V$6)))/'Profit Plan'!$B$5)</f>
        <v>0</v>
      </c>
      <c r="W327" s="122">
        <f>IF($A327="","",(IF(ISNUMBER(SEARCH("Proposal",$A327)),SUMIFS('Timesheet Raw'!$P$4:$P$8000,'Timesheet Raw'!$A$4:$A$8000,IF(ISNUMBER(SEARCH("Chargable",$A327)),"2-Proposals Chargeable","3-Proposals Regular"),'Timesheet Raw'!$C$4:$C$8000,"*"&amp;$B327&amp;"*",'Timesheet Raw'!$L$4:$L$8000,"&gt;="&amp;MAX(W$5,DATE(2000+VALUE(RIGHT(TRIM($A327),2)),1,1)),'Timesheet Raw'!$L$4:$L$8000,"&lt;="&amp;MIN(W$6,DATE(2000+VALUE(RIGHT(TRIM($A327),2)),12,31))),SUMIFS('Timesheet Raw'!$P$4:$P$8000,'Timesheet Raw'!$B$4:$B$8000,TRIM($A327),'Timesheet Raw'!$C$4:$C$8000,"*"&amp;$B327&amp;"*",'Timesheet Raw'!$L$4:$L$8000,"&gt;="&amp;W$5,'Timesheet Raw'!$L$4:$L$8000,"&lt;="&amp;W$6)))/'Profit Plan'!$B$5)</f>
        <v>0</v>
      </c>
      <c r="X327" s="122">
        <f>IF($A327="","",(IF(ISNUMBER(SEARCH("Proposal",$A327)),SUMIFS('Timesheet Raw'!$P$4:$P$8000,'Timesheet Raw'!$A$4:$A$8000,IF(ISNUMBER(SEARCH("Chargable",$A327)),"2-Proposals Chargeable","3-Proposals Regular"),'Timesheet Raw'!$C$4:$C$8000,"*"&amp;$B327&amp;"*",'Timesheet Raw'!$L$4:$L$8000,"&gt;="&amp;MAX(X$5,DATE(2000+VALUE(RIGHT(TRIM($A327),2)),1,1)),'Timesheet Raw'!$L$4:$L$8000,"&lt;="&amp;MIN(X$6,DATE(2000+VALUE(RIGHT(TRIM($A327),2)),12,31))),SUMIFS('Timesheet Raw'!$P$4:$P$8000,'Timesheet Raw'!$B$4:$B$8000,TRIM($A327),'Timesheet Raw'!$C$4:$C$8000,"*"&amp;$B327&amp;"*",'Timesheet Raw'!$L$4:$L$8000,"&gt;="&amp;X$5,'Timesheet Raw'!$L$4:$L$8000,"&lt;="&amp;X$6)))/'Profit Plan'!$B$5)</f>
        <v>0</v>
      </c>
      <c r="Y327" s="118">
        <f t="shared" si="100"/>
        <v>1.5189189189189187</v>
      </c>
    </row>
    <row r="328" spans="1:25" x14ac:dyDescent="0.3">
      <c r="A328" s="116" t="str">
        <f>IF(Inputs!$A27="","",Inputs!$A27)</f>
        <v>AN23232-0100D</v>
      </c>
      <c r="B328" s="116" t="str">
        <f>IF(Inputs!$A27="","",Inputs!$A$91)</f>
        <v>Ahmed</v>
      </c>
      <c r="C328" s="116"/>
      <c r="D328" s="122">
        <f>IF($A328="","",(IF(ISNUMBER(SEARCH("Proposal",$A328)),SUMIFS('Timesheet Raw'!$P$4:$P$8000,'Timesheet Raw'!$A$4:$A$8000,IF(ISNUMBER(SEARCH("Chargable",$A328)),"2-Proposals Chargeable","3-Proposals Regular"),'Timesheet Raw'!$C$4:$C$8000,"*"&amp;$B328&amp;"*",'Timesheet Raw'!$L$4:$L$8000,"&gt;="&amp;MAX(D$5,DATE(2000+VALUE(RIGHT(TRIM($A328),2)),1,1)),'Timesheet Raw'!$L$4:$L$8000,"&lt;="&amp;MIN(D$6,DATE(2000+VALUE(RIGHT(TRIM($A328),2)),12,31))),SUMIFS('Timesheet Raw'!$P$4:$P$8000,'Timesheet Raw'!$B$4:$B$8000,TRIM($A328),'Timesheet Raw'!$C$4:$C$8000,"*"&amp;$B328&amp;"*",'Timesheet Raw'!$L$4:$L$8000,"&gt;="&amp;D$5,'Timesheet Raw'!$L$4:$L$8000,"&lt;="&amp;D$6)))/'Profit Plan'!$B$5)</f>
        <v>1.0878378378378379</v>
      </c>
      <c r="E328" s="122">
        <f>IF($A328="","",(IF(ISNUMBER(SEARCH("Proposal",$A328)),SUMIFS('Timesheet Raw'!$P$4:$P$8000,'Timesheet Raw'!$A$4:$A$8000,IF(ISNUMBER(SEARCH("Chargable",$A328)),"2-Proposals Chargeable","3-Proposals Regular"),'Timesheet Raw'!$C$4:$C$8000,"*"&amp;$B328&amp;"*",'Timesheet Raw'!$L$4:$L$8000,"&gt;="&amp;MAX(E$5,DATE(2000+VALUE(RIGHT(TRIM($A328),2)),1,1)),'Timesheet Raw'!$L$4:$L$8000,"&lt;="&amp;MIN(E$6,DATE(2000+VALUE(RIGHT(TRIM($A328),2)),12,31))),SUMIFS('Timesheet Raw'!$P$4:$P$8000,'Timesheet Raw'!$B$4:$B$8000,TRIM($A328),'Timesheet Raw'!$C$4:$C$8000,"*"&amp;$B328&amp;"*",'Timesheet Raw'!$L$4:$L$8000,"&gt;="&amp;E$5,'Timesheet Raw'!$L$4:$L$8000,"&lt;="&amp;E$6)))/'Profit Plan'!$B$5)</f>
        <v>1.2351351351351352</v>
      </c>
      <c r="F328" s="122">
        <f>IF($A328="","",(IF(ISNUMBER(SEARCH("Proposal",$A328)),SUMIFS('Timesheet Raw'!$P$4:$P$8000,'Timesheet Raw'!$A$4:$A$8000,IF(ISNUMBER(SEARCH("Chargable",$A328)),"2-Proposals Chargeable","3-Proposals Regular"),'Timesheet Raw'!$C$4:$C$8000,"*"&amp;$B328&amp;"*",'Timesheet Raw'!$L$4:$L$8000,"&gt;="&amp;MAX(F$5,DATE(2000+VALUE(RIGHT(TRIM($A328),2)),1,1)),'Timesheet Raw'!$L$4:$L$8000,"&lt;="&amp;MIN(F$6,DATE(2000+VALUE(RIGHT(TRIM($A328),2)),12,31))),SUMIFS('Timesheet Raw'!$P$4:$P$8000,'Timesheet Raw'!$B$4:$B$8000,TRIM($A328),'Timesheet Raw'!$C$4:$C$8000,"*"&amp;$B328&amp;"*",'Timesheet Raw'!$L$4:$L$8000,"&gt;="&amp;F$5,'Timesheet Raw'!$L$4:$L$8000,"&lt;="&amp;F$6)))/'Profit Plan'!$B$5)</f>
        <v>0.15675675675675677</v>
      </c>
      <c r="G328" s="122">
        <f>IF($A328="","",(IF(ISNUMBER(SEARCH("Proposal",$A328)),SUMIFS('Timesheet Raw'!$P$4:$P$8000,'Timesheet Raw'!$A$4:$A$8000,IF(ISNUMBER(SEARCH("Chargable",$A328)),"2-Proposals Chargeable","3-Proposals Regular"),'Timesheet Raw'!$C$4:$C$8000,"*"&amp;$B328&amp;"*",'Timesheet Raw'!$L$4:$L$8000,"&gt;="&amp;MAX(G$5,DATE(2000+VALUE(RIGHT(TRIM($A328),2)),1,1)),'Timesheet Raw'!$L$4:$L$8000,"&lt;="&amp;MIN(G$6,DATE(2000+VALUE(RIGHT(TRIM($A328),2)),12,31))),SUMIFS('Timesheet Raw'!$P$4:$P$8000,'Timesheet Raw'!$B$4:$B$8000,TRIM($A328),'Timesheet Raw'!$C$4:$C$8000,"*"&amp;$B328&amp;"*",'Timesheet Raw'!$L$4:$L$8000,"&gt;="&amp;G$5,'Timesheet Raw'!$L$4:$L$8000,"&lt;="&amp;G$6)))/'Profit Plan'!$B$5)</f>
        <v>0.10135135135135136</v>
      </c>
      <c r="H328" s="122">
        <f>IF($A328="","",(IF(ISNUMBER(SEARCH("Proposal",$A328)),SUMIFS('Timesheet Raw'!$P$4:$P$8000,'Timesheet Raw'!$A$4:$A$8000,IF(ISNUMBER(SEARCH("Chargable",$A328)),"2-Proposals Chargeable","3-Proposals Regular"),'Timesheet Raw'!$C$4:$C$8000,"*"&amp;$B328&amp;"*",'Timesheet Raw'!$L$4:$L$8000,"&gt;="&amp;MAX(H$5,DATE(2000+VALUE(RIGHT(TRIM($A328),2)),1,1)),'Timesheet Raw'!$L$4:$L$8000,"&lt;="&amp;MIN(H$6,DATE(2000+VALUE(RIGHT(TRIM($A328),2)),12,31))),SUMIFS('Timesheet Raw'!$P$4:$P$8000,'Timesheet Raw'!$B$4:$B$8000,TRIM($A328),'Timesheet Raw'!$C$4:$C$8000,"*"&amp;$B328&amp;"*",'Timesheet Raw'!$L$4:$L$8000,"&gt;="&amp;H$5,'Timesheet Raw'!$L$4:$L$8000,"&lt;="&amp;H$6)))/'Profit Plan'!$B$5)</f>
        <v>0</v>
      </c>
      <c r="I328" s="122">
        <f>IF($A328="","",(IF(ISNUMBER(SEARCH("Proposal",$A328)),SUMIFS('Timesheet Raw'!$P$4:$P$8000,'Timesheet Raw'!$A$4:$A$8000,IF(ISNUMBER(SEARCH("Chargable",$A328)),"2-Proposals Chargeable","3-Proposals Regular"),'Timesheet Raw'!$C$4:$C$8000,"*"&amp;$B328&amp;"*",'Timesheet Raw'!$L$4:$L$8000,"&gt;="&amp;MAX(I$5,DATE(2000+VALUE(RIGHT(TRIM($A328),2)),1,1)),'Timesheet Raw'!$L$4:$L$8000,"&lt;="&amp;MIN(I$6,DATE(2000+VALUE(RIGHT(TRIM($A328),2)),12,31))),SUMIFS('Timesheet Raw'!$P$4:$P$8000,'Timesheet Raw'!$B$4:$B$8000,TRIM($A328),'Timesheet Raw'!$C$4:$C$8000,"*"&amp;$B328&amp;"*",'Timesheet Raw'!$L$4:$L$8000,"&gt;="&amp;I$5,'Timesheet Raw'!$L$4:$L$8000,"&lt;="&amp;I$6)))/'Profit Plan'!$B$5)</f>
        <v>0</v>
      </c>
      <c r="J328" s="122">
        <f>IF($A328="","",(IF(ISNUMBER(SEARCH("Proposal",$A328)),SUMIFS('Timesheet Raw'!$P$4:$P$8000,'Timesheet Raw'!$A$4:$A$8000,IF(ISNUMBER(SEARCH("Chargable",$A328)),"2-Proposals Chargeable","3-Proposals Regular"),'Timesheet Raw'!$C$4:$C$8000,"*"&amp;$B328&amp;"*",'Timesheet Raw'!$L$4:$L$8000,"&gt;="&amp;MAX(J$5,DATE(2000+VALUE(RIGHT(TRIM($A328),2)),1,1)),'Timesheet Raw'!$L$4:$L$8000,"&lt;="&amp;MIN(J$6,DATE(2000+VALUE(RIGHT(TRIM($A328),2)),12,31))),SUMIFS('Timesheet Raw'!$P$4:$P$8000,'Timesheet Raw'!$B$4:$B$8000,TRIM($A328),'Timesheet Raw'!$C$4:$C$8000,"*"&amp;$B328&amp;"*",'Timesheet Raw'!$L$4:$L$8000,"&gt;="&amp;J$5,'Timesheet Raw'!$L$4:$L$8000,"&lt;="&amp;J$6)))/'Profit Plan'!$B$5)</f>
        <v>4.1891891891891894E-2</v>
      </c>
      <c r="K328" s="122">
        <f>IF($A328="","",(IF(ISNUMBER(SEARCH("Proposal",$A328)),SUMIFS('Timesheet Raw'!$P$4:$P$8000,'Timesheet Raw'!$A$4:$A$8000,IF(ISNUMBER(SEARCH("Chargable",$A328)),"2-Proposals Chargeable","3-Proposals Regular"),'Timesheet Raw'!$C$4:$C$8000,"*"&amp;$B328&amp;"*",'Timesheet Raw'!$L$4:$L$8000,"&gt;="&amp;MAX(K$5,DATE(2000+VALUE(RIGHT(TRIM($A328),2)),1,1)),'Timesheet Raw'!$L$4:$L$8000,"&lt;="&amp;MIN(K$6,DATE(2000+VALUE(RIGHT(TRIM($A328),2)),12,31))),SUMIFS('Timesheet Raw'!$P$4:$P$8000,'Timesheet Raw'!$B$4:$B$8000,TRIM($A328),'Timesheet Raw'!$C$4:$C$8000,"*"&amp;$B328&amp;"*",'Timesheet Raw'!$L$4:$L$8000,"&gt;="&amp;K$5,'Timesheet Raw'!$L$4:$L$8000,"&lt;="&amp;K$6)))/'Profit Plan'!$B$5)</f>
        <v>0</v>
      </c>
      <c r="L328" s="122">
        <f>IF($A328="","",(IF(ISNUMBER(SEARCH("Proposal",$A328)),SUMIFS('Timesheet Raw'!$P$4:$P$8000,'Timesheet Raw'!$A$4:$A$8000,IF(ISNUMBER(SEARCH("Chargable",$A328)),"2-Proposals Chargeable","3-Proposals Regular"),'Timesheet Raw'!$C$4:$C$8000,"*"&amp;$B328&amp;"*",'Timesheet Raw'!$L$4:$L$8000,"&gt;="&amp;MAX(L$5,DATE(2000+VALUE(RIGHT(TRIM($A328),2)),1,1)),'Timesheet Raw'!$L$4:$L$8000,"&lt;="&amp;MIN(L$6,DATE(2000+VALUE(RIGHT(TRIM($A328),2)),12,31))),SUMIFS('Timesheet Raw'!$P$4:$P$8000,'Timesheet Raw'!$B$4:$B$8000,TRIM($A328),'Timesheet Raw'!$C$4:$C$8000,"*"&amp;$B328&amp;"*",'Timesheet Raw'!$L$4:$L$8000,"&gt;="&amp;L$5,'Timesheet Raw'!$L$4:$L$8000,"&lt;="&amp;L$6)))/'Profit Plan'!$B$5)</f>
        <v>0</v>
      </c>
      <c r="M328" s="122">
        <f>IF($A328="","",(IF(ISNUMBER(SEARCH("Proposal",$A328)),SUMIFS('Timesheet Raw'!$P$4:$P$8000,'Timesheet Raw'!$A$4:$A$8000,IF(ISNUMBER(SEARCH("Chargable",$A328)),"2-Proposals Chargeable","3-Proposals Regular"),'Timesheet Raw'!$C$4:$C$8000,"*"&amp;$B328&amp;"*",'Timesheet Raw'!$L$4:$L$8000,"&gt;="&amp;MAX(M$5,DATE(2000+VALUE(RIGHT(TRIM($A328),2)),1,1)),'Timesheet Raw'!$L$4:$L$8000,"&lt;="&amp;MIN(M$6,DATE(2000+VALUE(RIGHT(TRIM($A328),2)),12,31))),SUMIFS('Timesheet Raw'!$P$4:$P$8000,'Timesheet Raw'!$B$4:$B$8000,TRIM($A328),'Timesheet Raw'!$C$4:$C$8000,"*"&amp;$B328&amp;"*",'Timesheet Raw'!$L$4:$L$8000,"&gt;="&amp;M$5,'Timesheet Raw'!$L$4:$L$8000,"&lt;="&amp;M$6)))/'Profit Plan'!$B$5)</f>
        <v>0</v>
      </c>
      <c r="N328" s="122">
        <f>IF($A328="","",(IF(ISNUMBER(SEARCH("Proposal",$A328)),SUMIFS('Timesheet Raw'!$P$4:$P$8000,'Timesheet Raw'!$A$4:$A$8000,IF(ISNUMBER(SEARCH("Chargable",$A328)),"2-Proposals Chargeable","3-Proposals Regular"),'Timesheet Raw'!$C$4:$C$8000,"*"&amp;$B328&amp;"*",'Timesheet Raw'!$L$4:$L$8000,"&gt;="&amp;MAX(N$5,DATE(2000+VALUE(RIGHT(TRIM($A328),2)),1,1)),'Timesheet Raw'!$L$4:$L$8000,"&lt;="&amp;MIN(N$6,DATE(2000+VALUE(RIGHT(TRIM($A328),2)),12,31))),SUMIFS('Timesheet Raw'!$P$4:$P$8000,'Timesheet Raw'!$B$4:$B$8000,TRIM($A328),'Timesheet Raw'!$C$4:$C$8000,"*"&amp;$B328&amp;"*",'Timesheet Raw'!$L$4:$L$8000,"&gt;="&amp;N$5,'Timesheet Raw'!$L$4:$L$8000,"&lt;="&amp;N$6)))/'Profit Plan'!$B$5)</f>
        <v>0</v>
      </c>
      <c r="O328" s="122">
        <f>IF($A328="","",(IF(ISNUMBER(SEARCH("Proposal",$A328)),SUMIFS('Timesheet Raw'!$P$4:$P$8000,'Timesheet Raw'!$A$4:$A$8000,IF(ISNUMBER(SEARCH("Chargable",$A328)),"2-Proposals Chargeable","3-Proposals Regular"),'Timesheet Raw'!$C$4:$C$8000,"*"&amp;$B328&amp;"*",'Timesheet Raw'!$L$4:$L$8000,"&gt;="&amp;MAX(O$5,DATE(2000+VALUE(RIGHT(TRIM($A328),2)),1,1)),'Timesheet Raw'!$L$4:$L$8000,"&lt;="&amp;MIN(O$6,DATE(2000+VALUE(RIGHT(TRIM($A328),2)),12,31))),SUMIFS('Timesheet Raw'!$P$4:$P$8000,'Timesheet Raw'!$B$4:$B$8000,TRIM($A328),'Timesheet Raw'!$C$4:$C$8000,"*"&amp;$B328&amp;"*",'Timesheet Raw'!$L$4:$L$8000,"&gt;="&amp;O$5,'Timesheet Raw'!$L$4:$L$8000,"&lt;="&amp;O$6)))/'Profit Plan'!$B$5)</f>
        <v>0</v>
      </c>
      <c r="P328" s="122">
        <f>IF($A328="","",(IF(ISNUMBER(SEARCH("Proposal",$A328)),SUMIFS('Timesheet Raw'!$P$4:$P$8000,'Timesheet Raw'!$A$4:$A$8000,IF(ISNUMBER(SEARCH("Chargable",$A328)),"2-Proposals Chargeable","3-Proposals Regular"),'Timesheet Raw'!$C$4:$C$8000,"*"&amp;$B328&amp;"*",'Timesheet Raw'!$L$4:$L$8000,"&gt;="&amp;MAX(P$5,DATE(2000+VALUE(RIGHT(TRIM($A328),2)),1,1)),'Timesheet Raw'!$L$4:$L$8000,"&lt;="&amp;MIN(P$6,DATE(2000+VALUE(RIGHT(TRIM($A328),2)),12,31))),SUMIFS('Timesheet Raw'!$P$4:$P$8000,'Timesheet Raw'!$B$4:$B$8000,TRIM($A328),'Timesheet Raw'!$C$4:$C$8000,"*"&amp;$B328&amp;"*",'Timesheet Raw'!$L$4:$L$8000,"&gt;="&amp;P$5,'Timesheet Raw'!$L$4:$L$8000,"&lt;="&amp;P$6)))/'Profit Plan'!$B$5)</f>
        <v>0</v>
      </c>
      <c r="Q328" s="122">
        <f>IF($A328="","",(IF(ISNUMBER(SEARCH("Proposal",$A328)),SUMIFS('Timesheet Raw'!$P$4:$P$8000,'Timesheet Raw'!$A$4:$A$8000,IF(ISNUMBER(SEARCH("Chargable",$A328)),"2-Proposals Chargeable","3-Proposals Regular"),'Timesheet Raw'!$C$4:$C$8000,"*"&amp;$B328&amp;"*",'Timesheet Raw'!$L$4:$L$8000,"&gt;="&amp;MAX(Q$5,DATE(2000+VALUE(RIGHT(TRIM($A328),2)),1,1)),'Timesheet Raw'!$L$4:$L$8000,"&lt;="&amp;MIN(Q$6,DATE(2000+VALUE(RIGHT(TRIM($A328),2)),12,31))),SUMIFS('Timesheet Raw'!$P$4:$P$8000,'Timesheet Raw'!$B$4:$B$8000,TRIM($A328),'Timesheet Raw'!$C$4:$C$8000,"*"&amp;$B328&amp;"*",'Timesheet Raw'!$L$4:$L$8000,"&gt;="&amp;Q$5,'Timesheet Raw'!$L$4:$L$8000,"&lt;="&amp;Q$6)))/'Profit Plan'!$B$5)</f>
        <v>0</v>
      </c>
      <c r="R328" s="122">
        <f>IF($A328="","",(IF(ISNUMBER(SEARCH("Proposal",$A328)),SUMIFS('Timesheet Raw'!$P$4:$P$8000,'Timesheet Raw'!$A$4:$A$8000,IF(ISNUMBER(SEARCH("Chargable",$A328)),"2-Proposals Chargeable","3-Proposals Regular"),'Timesheet Raw'!$C$4:$C$8000,"*"&amp;$B328&amp;"*",'Timesheet Raw'!$L$4:$L$8000,"&gt;="&amp;MAX(R$5,DATE(2000+VALUE(RIGHT(TRIM($A328),2)),1,1)),'Timesheet Raw'!$L$4:$L$8000,"&lt;="&amp;MIN(R$6,DATE(2000+VALUE(RIGHT(TRIM($A328),2)),12,31))),SUMIFS('Timesheet Raw'!$P$4:$P$8000,'Timesheet Raw'!$B$4:$B$8000,TRIM($A328),'Timesheet Raw'!$C$4:$C$8000,"*"&amp;$B328&amp;"*",'Timesheet Raw'!$L$4:$L$8000,"&gt;="&amp;R$5,'Timesheet Raw'!$L$4:$L$8000,"&lt;="&amp;R$6)))/'Profit Plan'!$B$5)</f>
        <v>0</v>
      </c>
      <c r="S328" s="122">
        <f>IF($A328="","",(IF(ISNUMBER(SEARCH("Proposal",$A328)),SUMIFS('Timesheet Raw'!$P$4:$P$8000,'Timesheet Raw'!$A$4:$A$8000,IF(ISNUMBER(SEARCH("Chargable",$A328)),"2-Proposals Chargeable","3-Proposals Regular"),'Timesheet Raw'!$C$4:$C$8000,"*"&amp;$B328&amp;"*",'Timesheet Raw'!$L$4:$L$8000,"&gt;="&amp;MAX(S$5,DATE(2000+VALUE(RIGHT(TRIM($A328),2)),1,1)),'Timesheet Raw'!$L$4:$L$8000,"&lt;="&amp;MIN(S$6,DATE(2000+VALUE(RIGHT(TRIM($A328),2)),12,31))),SUMIFS('Timesheet Raw'!$P$4:$P$8000,'Timesheet Raw'!$B$4:$B$8000,TRIM($A328),'Timesheet Raw'!$C$4:$C$8000,"*"&amp;$B328&amp;"*",'Timesheet Raw'!$L$4:$L$8000,"&gt;="&amp;S$5,'Timesheet Raw'!$L$4:$L$8000,"&lt;="&amp;S$6)))/'Profit Plan'!$B$5)</f>
        <v>0</v>
      </c>
      <c r="T328" s="122">
        <f>IF($A328="","",(IF(ISNUMBER(SEARCH("Proposal",$A328)),SUMIFS('Timesheet Raw'!$P$4:$P$8000,'Timesheet Raw'!$A$4:$A$8000,IF(ISNUMBER(SEARCH("Chargable",$A328)),"2-Proposals Chargeable","3-Proposals Regular"),'Timesheet Raw'!$C$4:$C$8000,"*"&amp;$B328&amp;"*",'Timesheet Raw'!$L$4:$L$8000,"&gt;="&amp;MAX(T$5,DATE(2000+VALUE(RIGHT(TRIM($A328),2)),1,1)),'Timesheet Raw'!$L$4:$L$8000,"&lt;="&amp;MIN(T$6,DATE(2000+VALUE(RIGHT(TRIM($A328),2)),12,31))),SUMIFS('Timesheet Raw'!$P$4:$P$8000,'Timesheet Raw'!$B$4:$B$8000,TRIM($A328),'Timesheet Raw'!$C$4:$C$8000,"*"&amp;$B328&amp;"*",'Timesheet Raw'!$L$4:$L$8000,"&gt;="&amp;T$5,'Timesheet Raw'!$L$4:$L$8000,"&lt;="&amp;T$6)))/'Profit Plan'!$B$5)</f>
        <v>0</v>
      </c>
      <c r="U328" s="122">
        <f>IF($A328="","",(IF(ISNUMBER(SEARCH("Proposal",$A328)),SUMIFS('Timesheet Raw'!$P$4:$P$8000,'Timesheet Raw'!$A$4:$A$8000,IF(ISNUMBER(SEARCH("Chargable",$A328)),"2-Proposals Chargeable","3-Proposals Regular"),'Timesheet Raw'!$C$4:$C$8000,"*"&amp;$B328&amp;"*",'Timesheet Raw'!$L$4:$L$8000,"&gt;="&amp;MAX(U$5,DATE(2000+VALUE(RIGHT(TRIM($A328),2)),1,1)),'Timesheet Raw'!$L$4:$L$8000,"&lt;="&amp;MIN(U$6,DATE(2000+VALUE(RIGHT(TRIM($A328),2)),12,31))),SUMIFS('Timesheet Raw'!$P$4:$P$8000,'Timesheet Raw'!$B$4:$B$8000,TRIM($A328),'Timesheet Raw'!$C$4:$C$8000,"*"&amp;$B328&amp;"*",'Timesheet Raw'!$L$4:$L$8000,"&gt;="&amp;U$5,'Timesheet Raw'!$L$4:$L$8000,"&lt;="&amp;U$6)))/'Profit Plan'!$B$5)</f>
        <v>0</v>
      </c>
      <c r="V328" s="122">
        <f>IF($A328="","",(IF(ISNUMBER(SEARCH("Proposal",$A328)),SUMIFS('Timesheet Raw'!$P$4:$P$8000,'Timesheet Raw'!$A$4:$A$8000,IF(ISNUMBER(SEARCH("Chargable",$A328)),"2-Proposals Chargeable","3-Proposals Regular"),'Timesheet Raw'!$C$4:$C$8000,"*"&amp;$B328&amp;"*",'Timesheet Raw'!$L$4:$L$8000,"&gt;="&amp;MAX(V$5,DATE(2000+VALUE(RIGHT(TRIM($A328),2)),1,1)),'Timesheet Raw'!$L$4:$L$8000,"&lt;="&amp;MIN(V$6,DATE(2000+VALUE(RIGHT(TRIM($A328),2)),12,31))),SUMIFS('Timesheet Raw'!$P$4:$P$8000,'Timesheet Raw'!$B$4:$B$8000,TRIM($A328),'Timesheet Raw'!$C$4:$C$8000,"*"&amp;$B328&amp;"*",'Timesheet Raw'!$L$4:$L$8000,"&gt;="&amp;V$5,'Timesheet Raw'!$L$4:$L$8000,"&lt;="&amp;V$6)))/'Profit Plan'!$B$5)</f>
        <v>0</v>
      </c>
      <c r="W328" s="122">
        <f>IF($A328="","",(IF(ISNUMBER(SEARCH("Proposal",$A328)),SUMIFS('Timesheet Raw'!$P$4:$P$8000,'Timesheet Raw'!$A$4:$A$8000,IF(ISNUMBER(SEARCH("Chargable",$A328)),"2-Proposals Chargeable","3-Proposals Regular"),'Timesheet Raw'!$C$4:$C$8000,"*"&amp;$B328&amp;"*",'Timesheet Raw'!$L$4:$L$8000,"&gt;="&amp;MAX(W$5,DATE(2000+VALUE(RIGHT(TRIM($A328),2)),1,1)),'Timesheet Raw'!$L$4:$L$8000,"&lt;="&amp;MIN(W$6,DATE(2000+VALUE(RIGHT(TRIM($A328),2)),12,31))),SUMIFS('Timesheet Raw'!$P$4:$P$8000,'Timesheet Raw'!$B$4:$B$8000,TRIM($A328),'Timesheet Raw'!$C$4:$C$8000,"*"&amp;$B328&amp;"*",'Timesheet Raw'!$L$4:$L$8000,"&gt;="&amp;W$5,'Timesheet Raw'!$L$4:$L$8000,"&lt;="&amp;W$6)))/'Profit Plan'!$B$5)</f>
        <v>0</v>
      </c>
      <c r="X328" s="122">
        <f>IF($A328="","",(IF(ISNUMBER(SEARCH("Proposal",$A328)),SUMIFS('Timesheet Raw'!$P$4:$P$8000,'Timesheet Raw'!$A$4:$A$8000,IF(ISNUMBER(SEARCH("Chargable",$A328)),"2-Proposals Chargeable","3-Proposals Regular"),'Timesheet Raw'!$C$4:$C$8000,"*"&amp;$B328&amp;"*",'Timesheet Raw'!$L$4:$L$8000,"&gt;="&amp;MAX(X$5,DATE(2000+VALUE(RIGHT(TRIM($A328),2)),1,1)),'Timesheet Raw'!$L$4:$L$8000,"&lt;="&amp;MIN(X$6,DATE(2000+VALUE(RIGHT(TRIM($A328),2)),12,31))),SUMIFS('Timesheet Raw'!$P$4:$P$8000,'Timesheet Raw'!$B$4:$B$8000,TRIM($A328),'Timesheet Raw'!$C$4:$C$8000,"*"&amp;$B328&amp;"*",'Timesheet Raw'!$L$4:$L$8000,"&gt;="&amp;X$5,'Timesheet Raw'!$L$4:$L$8000,"&lt;="&amp;X$6)))/'Profit Plan'!$B$5)</f>
        <v>0</v>
      </c>
      <c r="Y328" s="118">
        <f t="shared" si="100"/>
        <v>2.6229729729729736</v>
      </c>
    </row>
    <row r="329" spans="1:25" x14ac:dyDescent="0.3">
      <c r="A329" s="116" t="str">
        <f>IF(Inputs!$A27="","",Inputs!$A27)</f>
        <v>AN23232-0100D</v>
      </c>
      <c r="B329" s="116" t="str">
        <f>IF(Inputs!$A27="","",Inputs!$A$92)</f>
        <v>Osama</v>
      </c>
      <c r="C329" s="116"/>
      <c r="D329" s="122">
        <f>IF($A329="","",(IF(ISNUMBER(SEARCH("Proposal",$A329)),SUMIFS('Timesheet Raw'!$P$4:$P$8000,'Timesheet Raw'!$A$4:$A$8000,IF(ISNUMBER(SEARCH("Chargable",$A329)),"2-Proposals Chargeable","3-Proposals Regular"),'Timesheet Raw'!$C$4:$C$8000,"*"&amp;$B329&amp;"*",'Timesheet Raw'!$L$4:$L$8000,"&gt;="&amp;MAX(D$5,DATE(2000+VALUE(RIGHT(TRIM($A329),2)),1,1)),'Timesheet Raw'!$L$4:$L$8000,"&lt;="&amp;MIN(D$6,DATE(2000+VALUE(RIGHT(TRIM($A329),2)),12,31))),SUMIFS('Timesheet Raw'!$P$4:$P$8000,'Timesheet Raw'!$B$4:$B$8000,TRIM($A329),'Timesheet Raw'!$C$4:$C$8000,"*"&amp;$B329&amp;"*",'Timesheet Raw'!$L$4:$L$8000,"&gt;="&amp;D$5,'Timesheet Raw'!$L$4:$L$8000,"&lt;="&amp;D$6)))/'Profit Plan'!$B$5)</f>
        <v>0</v>
      </c>
      <c r="E329" s="122">
        <f>IF($A329="","",(IF(ISNUMBER(SEARCH("Proposal",$A329)),SUMIFS('Timesheet Raw'!$P$4:$P$8000,'Timesheet Raw'!$A$4:$A$8000,IF(ISNUMBER(SEARCH("Chargable",$A329)),"2-Proposals Chargeable","3-Proposals Regular"),'Timesheet Raw'!$C$4:$C$8000,"*"&amp;$B329&amp;"*",'Timesheet Raw'!$L$4:$L$8000,"&gt;="&amp;MAX(E$5,DATE(2000+VALUE(RIGHT(TRIM($A329),2)),1,1)),'Timesheet Raw'!$L$4:$L$8000,"&lt;="&amp;MIN(E$6,DATE(2000+VALUE(RIGHT(TRIM($A329),2)),12,31))),SUMIFS('Timesheet Raw'!$P$4:$P$8000,'Timesheet Raw'!$B$4:$B$8000,TRIM($A329),'Timesheet Raw'!$C$4:$C$8000,"*"&amp;$B329&amp;"*",'Timesheet Raw'!$L$4:$L$8000,"&gt;="&amp;E$5,'Timesheet Raw'!$L$4:$L$8000,"&lt;="&amp;E$6)))/'Profit Plan'!$B$5)</f>
        <v>0.53513513513513511</v>
      </c>
      <c r="F329" s="122">
        <f>IF($A329="","",(IF(ISNUMBER(SEARCH("Proposal",$A329)),SUMIFS('Timesheet Raw'!$P$4:$P$8000,'Timesheet Raw'!$A$4:$A$8000,IF(ISNUMBER(SEARCH("Chargable",$A329)),"2-Proposals Chargeable","3-Proposals Regular"),'Timesheet Raw'!$C$4:$C$8000,"*"&amp;$B329&amp;"*",'Timesheet Raw'!$L$4:$L$8000,"&gt;="&amp;MAX(F$5,DATE(2000+VALUE(RIGHT(TRIM($A329),2)),1,1)),'Timesheet Raw'!$L$4:$L$8000,"&lt;="&amp;MIN(F$6,DATE(2000+VALUE(RIGHT(TRIM($A329),2)),12,31))),SUMIFS('Timesheet Raw'!$P$4:$P$8000,'Timesheet Raw'!$B$4:$B$8000,TRIM($A329),'Timesheet Raw'!$C$4:$C$8000,"*"&amp;$B329&amp;"*",'Timesheet Raw'!$L$4:$L$8000,"&gt;="&amp;F$5,'Timesheet Raw'!$L$4:$L$8000,"&lt;="&amp;F$6)))/'Profit Plan'!$B$5)</f>
        <v>0.14459459459459459</v>
      </c>
      <c r="G329" s="122">
        <f>IF($A329="","",(IF(ISNUMBER(SEARCH("Proposal",$A329)),SUMIFS('Timesheet Raw'!$P$4:$P$8000,'Timesheet Raw'!$A$4:$A$8000,IF(ISNUMBER(SEARCH("Chargable",$A329)),"2-Proposals Chargeable","3-Proposals Regular"),'Timesheet Raw'!$C$4:$C$8000,"*"&amp;$B329&amp;"*",'Timesheet Raw'!$L$4:$L$8000,"&gt;="&amp;MAX(G$5,DATE(2000+VALUE(RIGHT(TRIM($A329),2)),1,1)),'Timesheet Raw'!$L$4:$L$8000,"&lt;="&amp;MIN(G$6,DATE(2000+VALUE(RIGHT(TRIM($A329),2)),12,31))),SUMIFS('Timesheet Raw'!$P$4:$P$8000,'Timesheet Raw'!$B$4:$B$8000,TRIM($A329),'Timesheet Raw'!$C$4:$C$8000,"*"&amp;$B329&amp;"*",'Timesheet Raw'!$L$4:$L$8000,"&gt;="&amp;G$5,'Timesheet Raw'!$L$4:$L$8000,"&lt;="&amp;G$6)))/'Profit Plan'!$B$5)</f>
        <v>0</v>
      </c>
      <c r="H329" s="122">
        <f>IF($A329="","",(IF(ISNUMBER(SEARCH("Proposal",$A329)),SUMIFS('Timesheet Raw'!$P$4:$P$8000,'Timesheet Raw'!$A$4:$A$8000,IF(ISNUMBER(SEARCH("Chargable",$A329)),"2-Proposals Chargeable","3-Proposals Regular"),'Timesheet Raw'!$C$4:$C$8000,"*"&amp;$B329&amp;"*",'Timesheet Raw'!$L$4:$L$8000,"&gt;="&amp;MAX(H$5,DATE(2000+VALUE(RIGHT(TRIM($A329),2)),1,1)),'Timesheet Raw'!$L$4:$L$8000,"&lt;="&amp;MIN(H$6,DATE(2000+VALUE(RIGHT(TRIM($A329),2)),12,31))),SUMIFS('Timesheet Raw'!$P$4:$P$8000,'Timesheet Raw'!$B$4:$B$8000,TRIM($A329),'Timesheet Raw'!$C$4:$C$8000,"*"&amp;$B329&amp;"*",'Timesheet Raw'!$L$4:$L$8000,"&gt;="&amp;H$5,'Timesheet Raw'!$L$4:$L$8000,"&lt;="&amp;H$6)))/'Profit Plan'!$B$5)</f>
        <v>0</v>
      </c>
      <c r="I329" s="122">
        <f>IF($A329="","",(IF(ISNUMBER(SEARCH("Proposal",$A329)),SUMIFS('Timesheet Raw'!$P$4:$P$8000,'Timesheet Raw'!$A$4:$A$8000,IF(ISNUMBER(SEARCH("Chargable",$A329)),"2-Proposals Chargeable","3-Proposals Regular"),'Timesheet Raw'!$C$4:$C$8000,"*"&amp;$B329&amp;"*",'Timesheet Raw'!$L$4:$L$8000,"&gt;="&amp;MAX(I$5,DATE(2000+VALUE(RIGHT(TRIM($A329),2)),1,1)),'Timesheet Raw'!$L$4:$L$8000,"&lt;="&amp;MIN(I$6,DATE(2000+VALUE(RIGHT(TRIM($A329),2)),12,31))),SUMIFS('Timesheet Raw'!$P$4:$P$8000,'Timesheet Raw'!$B$4:$B$8000,TRIM($A329),'Timesheet Raw'!$C$4:$C$8000,"*"&amp;$B329&amp;"*",'Timesheet Raw'!$L$4:$L$8000,"&gt;="&amp;I$5,'Timesheet Raw'!$L$4:$L$8000,"&lt;="&amp;I$6)))/'Profit Plan'!$B$5)</f>
        <v>0</v>
      </c>
      <c r="J329" s="122">
        <f>IF($A329="","",(IF(ISNUMBER(SEARCH("Proposal",$A329)),SUMIFS('Timesheet Raw'!$P$4:$P$8000,'Timesheet Raw'!$A$4:$A$8000,IF(ISNUMBER(SEARCH("Chargable",$A329)),"2-Proposals Chargeable","3-Proposals Regular"),'Timesheet Raw'!$C$4:$C$8000,"*"&amp;$B329&amp;"*",'Timesheet Raw'!$L$4:$L$8000,"&gt;="&amp;MAX(J$5,DATE(2000+VALUE(RIGHT(TRIM($A329),2)),1,1)),'Timesheet Raw'!$L$4:$L$8000,"&lt;="&amp;MIN(J$6,DATE(2000+VALUE(RIGHT(TRIM($A329),2)),12,31))),SUMIFS('Timesheet Raw'!$P$4:$P$8000,'Timesheet Raw'!$B$4:$B$8000,TRIM($A329),'Timesheet Raw'!$C$4:$C$8000,"*"&amp;$B329&amp;"*",'Timesheet Raw'!$L$4:$L$8000,"&gt;="&amp;J$5,'Timesheet Raw'!$L$4:$L$8000,"&lt;="&amp;J$6)))/'Profit Plan'!$B$5)</f>
        <v>0</v>
      </c>
      <c r="K329" s="122">
        <f>IF($A329="","",(IF(ISNUMBER(SEARCH("Proposal",$A329)),SUMIFS('Timesheet Raw'!$P$4:$P$8000,'Timesheet Raw'!$A$4:$A$8000,IF(ISNUMBER(SEARCH("Chargable",$A329)),"2-Proposals Chargeable","3-Proposals Regular"),'Timesheet Raw'!$C$4:$C$8000,"*"&amp;$B329&amp;"*",'Timesheet Raw'!$L$4:$L$8000,"&gt;="&amp;MAX(K$5,DATE(2000+VALUE(RIGHT(TRIM($A329),2)),1,1)),'Timesheet Raw'!$L$4:$L$8000,"&lt;="&amp;MIN(K$6,DATE(2000+VALUE(RIGHT(TRIM($A329),2)),12,31))),SUMIFS('Timesheet Raw'!$P$4:$P$8000,'Timesheet Raw'!$B$4:$B$8000,TRIM($A329),'Timesheet Raw'!$C$4:$C$8000,"*"&amp;$B329&amp;"*",'Timesheet Raw'!$L$4:$L$8000,"&gt;="&amp;K$5,'Timesheet Raw'!$L$4:$L$8000,"&lt;="&amp;K$6)))/'Profit Plan'!$B$5)</f>
        <v>0</v>
      </c>
      <c r="L329" s="122">
        <f>IF($A329="","",(IF(ISNUMBER(SEARCH("Proposal",$A329)),SUMIFS('Timesheet Raw'!$P$4:$P$8000,'Timesheet Raw'!$A$4:$A$8000,IF(ISNUMBER(SEARCH("Chargable",$A329)),"2-Proposals Chargeable","3-Proposals Regular"),'Timesheet Raw'!$C$4:$C$8000,"*"&amp;$B329&amp;"*",'Timesheet Raw'!$L$4:$L$8000,"&gt;="&amp;MAX(L$5,DATE(2000+VALUE(RIGHT(TRIM($A329),2)),1,1)),'Timesheet Raw'!$L$4:$L$8000,"&lt;="&amp;MIN(L$6,DATE(2000+VALUE(RIGHT(TRIM($A329),2)),12,31))),SUMIFS('Timesheet Raw'!$P$4:$P$8000,'Timesheet Raw'!$B$4:$B$8000,TRIM($A329),'Timesheet Raw'!$C$4:$C$8000,"*"&amp;$B329&amp;"*",'Timesheet Raw'!$L$4:$L$8000,"&gt;="&amp;L$5,'Timesheet Raw'!$L$4:$L$8000,"&lt;="&amp;L$6)))/'Profit Plan'!$B$5)</f>
        <v>0</v>
      </c>
      <c r="M329" s="122">
        <f>IF($A329="","",(IF(ISNUMBER(SEARCH("Proposal",$A329)),SUMIFS('Timesheet Raw'!$P$4:$P$8000,'Timesheet Raw'!$A$4:$A$8000,IF(ISNUMBER(SEARCH("Chargable",$A329)),"2-Proposals Chargeable","3-Proposals Regular"),'Timesheet Raw'!$C$4:$C$8000,"*"&amp;$B329&amp;"*",'Timesheet Raw'!$L$4:$L$8000,"&gt;="&amp;MAX(M$5,DATE(2000+VALUE(RIGHT(TRIM($A329),2)),1,1)),'Timesheet Raw'!$L$4:$L$8000,"&lt;="&amp;MIN(M$6,DATE(2000+VALUE(RIGHT(TRIM($A329),2)),12,31))),SUMIFS('Timesheet Raw'!$P$4:$P$8000,'Timesheet Raw'!$B$4:$B$8000,TRIM($A329),'Timesheet Raw'!$C$4:$C$8000,"*"&amp;$B329&amp;"*",'Timesheet Raw'!$L$4:$L$8000,"&gt;="&amp;M$5,'Timesheet Raw'!$L$4:$L$8000,"&lt;="&amp;M$6)))/'Profit Plan'!$B$5)</f>
        <v>0</v>
      </c>
      <c r="N329" s="122">
        <f>IF($A329="","",(IF(ISNUMBER(SEARCH("Proposal",$A329)),SUMIFS('Timesheet Raw'!$P$4:$P$8000,'Timesheet Raw'!$A$4:$A$8000,IF(ISNUMBER(SEARCH("Chargable",$A329)),"2-Proposals Chargeable","3-Proposals Regular"),'Timesheet Raw'!$C$4:$C$8000,"*"&amp;$B329&amp;"*",'Timesheet Raw'!$L$4:$L$8000,"&gt;="&amp;MAX(N$5,DATE(2000+VALUE(RIGHT(TRIM($A329),2)),1,1)),'Timesheet Raw'!$L$4:$L$8000,"&lt;="&amp;MIN(N$6,DATE(2000+VALUE(RIGHT(TRIM($A329),2)),12,31))),SUMIFS('Timesheet Raw'!$P$4:$P$8000,'Timesheet Raw'!$B$4:$B$8000,TRIM($A329),'Timesheet Raw'!$C$4:$C$8000,"*"&amp;$B329&amp;"*",'Timesheet Raw'!$L$4:$L$8000,"&gt;="&amp;N$5,'Timesheet Raw'!$L$4:$L$8000,"&lt;="&amp;N$6)))/'Profit Plan'!$B$5)</f>
        <v>0</v>
      </c>
      <c r="O329" s="122">
        <f>IF($A329="","",(IF(ISNUMBER(SEARCH("Proposal",$A329)),SUMIFS('Timesheet Raw'!$P$4:$P$8000,'Timesheet Raw'!$A$4:$A$8000,IF(ISNUMBER(SEARCH("Chargable",$A329)),"2-Proposals Chargeable","3-Proposals Regular"),'Timesheet Raw'!$C$4:$C$8000,"*"&amp;$B329&amp;"*",'Timesheet Raw'!$L$4:$L$8000,"&gt;="&amp;MAX(O$5,DATE(2000+VALUE(RIGHT(TRIM($A329),2)),1,1)),'Timesheet Raw'!$L$4:$L$8000,"&lt;="&amp;MIN(O$6,DATE(2000+VALUE(RIGHT(TRIM($A329),2)),12,31))),SUMIFS('Timesheet Raw'!$P$4:$P$8000,'Timesheet Raw'!$B$4:$B$8000,TRIM($A329),'Timesheet Raw'!$C$4:$C$8000,"*"&amp;$B329&amp;"*",'Timesheet Raw'!$L$4:$L$8000,"&gt;="&amp;O$5,'Timesheet Raw'!$L$4:$L$8000,"&lt;="&amp;O$6)))/'Profit Plan'!$B$5)</f>
        <v>0</v>
      </c>
      <c r="P329" s="122">
        <f>IF($A329="","",(IF(ISNUMBER(SEARCH("Proposal",$A329)),SUMIFS('Timesheet Raw'!$P$4:$P$8000,'Timesheet Raw'!$A$4:$A$8000,IF(ISNUMBER(SEARCH("Chargable",$A329)),"2-Proposals Chargeable","3-Proposals Regular"),'Timesheet Raw'!$C$4:$C$8000,"*"&amp;$B329&amp;"*",'Timesheet Raw'!$L$4:$L$8000,"&gt;="&amp;MAX(P$5,DATE(2000+VALUE(RIGHT(TRIM($A329),2)),1,1)),'Timesheet Raw'!$L$4:$L$8000,"&lt;="&amp;MIN(P$6,DATE(2000+VALUE(RIGHT(TRIM($A329),2)),12,31))),SUMIFS('Timesheet Raw'!$P$4:$P$8000,'Timesheet Raw'!$B$4:$B$8000,TRIM($A329),'Timesheet Raw'!$C$4:$C$8000,"*"&amp;$B329&amp;"*",'Timesheet Raw'!$L$4:$L$8000,"&gt;="&amp;P$5,'Timesheet Raw'!$L$4:$L$8000,"&lt;="&amp;P$6)))/'Profit Plan'!$B$5)</f>
        <v>0</v>
      </c>
      <c r="Q329" s="122">
        <f>IF($A329="","",(IF(ISNUMBER(SEARCH("Proposal",$A329)),SUMIFS('Timesheet Raw'!$P$4:$P$8000,'Timesheet Raw'!$A$4:$A$8000,IF(ISNUMBER(SEARCH("Chargable",$A329)),"2-Proposals Chargeable","3-Proposals Regular"),'Timesheet Raw'!$C$4:$C$8000,"*"&amp;$B329&amp;"*",'Timesheet Raw'!$L$4:$L$8000,"&gt;="&amp;MAX(Q$5,DATE(2000+VALUE(RIGHT(TRIM($A329),2)),1,1)),'Timesheet Raw'!$L$4:$L$8000,"&lt;="&amp;MIN(Q$6,DATE(2000+VALUE(RIGHT(TRIM($A329),2)),12,31))),SUMIFS('Timesheet Raw'!$P$4:$P$8000,'Timesheet Raw'!$B$4:$B$8000,TRIM($A329),'Timesheet Raw'!$C$4:$C$8000,"*"&amp;$B329&amp;"*",'Timesheet Raw'!$L$4:$L$8000,"&gt;="&amp;Q$5,'Timesheet Raw'!$L$4:$L$8000,"&lt;="&amp;Q$6)))/'Profit Plan'!$B$5)</f>
        <v>0</v>
      </c>
      <c r="R329" s="122">
        <f>IF($A329="","",(IF(ISNUMBER(SEARCH("Proposal",$A329)),SUMIFS('Timesheet Raw'!$P$4:$P$8000,'Timesheet Raw'!$A$4:$A$8000,IF(ISNUMBER(SEARCH("Chargable",$A329)),"2-Proposals Chargeable","3-Proposals Regular"),'Timesheet Raw'!$C$4:$C$8000,"*"&amp;$B329&amp;"*",'Timesheet Raw'!$L$4:$L$8000,"&gt;="&amp;MAX(R$5,DATE(2000+VALUE(RIGHT(TRIM($A329),2)),1,1)),'Timesheet Raw'!$L$4:$L$8000,"&lt;="&amp;MIN(R$6,DATE(2000+VALUE(RIGHT(TRIM($A329),2)),12,31))),SUMIFS('Timesheet Raw'!$P$4:$P$8000,'Timesheet Raw'!$B$4:$B$8000,TRIM($A329),'Timesheet Raw'!$C$4:$C$8000,"*"&amp;$B329&amp;"*",'Timesheet Raw'!$L$4:$L$8000,"&gt;="&amp;R$5,'Timesheet Raw'!$L$4:$L$8000,"&lt;="&amp;R$6)))/'Profit Plan'!$B$5)</f>
        <v>0</v>
      </c>
      <c r="S329" s="122">
        <f>IF($A329="","",(IF(ISNUMBER(SEARCH("Proposal",$A329)),SUMIFS('Timesheet Raw'!$P$4:$P$8000,'Timesheet Raw'!$A$4:$A$8000,IF(ISNUMBER(SEARCH("Chargable",$A329)),"2-Proposals Chargeable","3-Proposals Regular"),'Timesheet Raw'!$C$4:$C$8000,"*"&amp;$B329&amp;"*",'Timesheet Raw'!$L$4:$L$8000,"&gt;="&amp;MAX(S$5,DATE(2000+VALUE(RIGHT(TRIM($A329),2)),1,1)),'Timesheet Raw'!$L$4:$L$8000,"&lt;="&amp;MIN(S$6,DATE(2000+VALUE(RIGHT(TRIM($A329),2)),12,31))),SUMIFS('Timesheet Raw'!$P$4:$P$8000,'Timesheet Raw'!$B$4:$B$8000,TRIM($A329),'Timesheet Raw'!$C$4:$C$8000,"*"&amp;$B329&amp;"*",'Timesheet Raw'!$L$4:$L$8000,"&gt;="&amp;S$5,'Timesheet Raw'!$L$4:$L$8000,"&lt;="&amp;S$6)))/'Profit Plan'!$B$5)</f>
        <v>0</v>
      </c>
      <c r="T329" s="122">
        <f>IF($A329="","",(IF(ISNUMBER(SEARCH("Proposal",$A329)),SUMIFS('Timesheet Raw'!$P$4:$P$8000,'Timesheet Raw'!$A$4:$A$8000,IF(ISNUMBER(SEARCH("Chargable",$A329)),"2-Proposals Chargeable","3-Proposals Regular"),'Timesheet Raw'!$C$4:$C$8000,"*"&amp;$B329&amp;"*",'Timesheet Raw'!$L$4:$L$8000,"&gt;="&amp;MAX(T$5,DATE(2000+VALUE(RIGHT(TRIM($A329),2)),1,1)),'Timesheet Raw'!$L$4:$L$8000,"&lt;="&amp;MIN(T$6,DATE(2000+VALUE(RIGHT(TRIM($A329),2)),12,31))),SUMIFS('Timesheet Raw'!$P$4:$P$8000,'Timesheet Raw'!$B$4:$B$8000,TRIM($A329),'Timesheet Raw'!$C$4:$C$8000,"*"&amp;$B329&amp;"*",'Timesheet Raw'!$L$4:$L$8000,"&gt;="&amp;T$5,'Timesheet Raw'!$L$4:$L$8000,"&lt;="&amp;T$6)))/'Profit Plan'!$B$5)</f>
        <v>0</v>
      </c>
      <c r="U329" s="122">
        <f>IF($A329="","",(IF(ISNUMBER(SEARCH("Proposal",$A329)),SUMIFS('Timesheet Raw'!$P$4:$P$8000,'Timesheet Raw'!$A$4:$A$8000,IF(ISNUMBER(SEARCH("Chargable",$A329)),"2-Proposals Chargeable","3-Proposals Regular"),'Timesheet Raw'!$C$4:$C$8000,"*"&amp;$B329&amp;"*",'Timesheet Raw'!$L$4:$L$8000,"&gt;="&amp;MAX(U$5,DATE(2000+VALUE(RIGHT(TRIM($A329),2)),1,1)),'Timesheet Raw'!$L$4:$L$8000,"&lt;="&amp;MIN(U$6,DATE(2000+VALUE(RIGHT(TRIM($A329),2)),12,31))),SUMIFS('Timesheet Raw'!$P$4:$P$8000,'Timesheet Raw'!$B$4:$B$8000,TRIM($A329),'Timesheet Raw'!$C$4:$C$8000,"*"&amp;$B329&amp;"*",'Timesheet Raw'!$L$4:$L$8000,"&gt;="&amp;U$5,'Timesheet Raw'!$L$4:$L$8000,"&lt;="&amp;U$6)))/'Profit Plan'!$B$5)</f>
        <v>0</v>
      </c>
      <c r="V329" s="122">
        <f>IF($A329="","",(IF(ISNUMBER(SEARCH("Proposal",$A329)),SUMIFS('Timesheet Raw'!$P$4:$P$8000,'Timesheet Raw'!$A$4:$A$8000,IF(ISNUMBER(SEARCH("Chargable",$A329)),"2-Proposals Chargeable","3-Proposals Regular"),'Timesheet Raw'!$C$4:$C$8000,"*"&amp;$B329&amp;"*",'Timesheet Raw'!$L$4:$L$8000,"&gt;="&amp;MAX(V$5,DATE(2000+VALUE(RIGHT(TRIM($A329),2)),1,1)),'Timesheet Raw'!$L$4:$L$8000,"&lt;="&amp;MIN(V$6,DATE(2000+VALUE(RIGHT(TRIM($A329),2)),12,31))),SUMIFS('Timesheet Raw'!$P$4:$P$8000,'Timesheet Raw'!$B$4:$B$8000,TRIM($A329),'Timesheet Raw'!$C$4:$C$8000,"*"&amp;$B329&amp;"*",'Timesheet Raw'!$L$4:$L$8000,"&gt;="&amp;V$5,'Timesheet Raw'!$L$4:$L$8000,"&lt;="&amp;V$6)))/'Profit Plan'!$B$5)</f>
        <v>0</v>
      </c>
      <c r="W329" s="122">
        <f>IF($A329="","",(IF(ISNUMBER(SEARCH("Proposal",$A329)),SUMIFS('Timesheet Raw'!$P$4:$P$8000,'Timesheet Raw'!$A$4:$A$8000,IF(ISNUMBER(SEARCH("Chargable",$A329)),"2-Proposals Chargeable","3-Proposals Regular"),'Timesheet Raw'!$C$4:$C$8000,"*"&amp;$B329&amp;"*",'Timesheet Raw'!$L$4:$L$8000,"&gt;="&amp;MAX(W$5,DATE(2000+VALUE(RIGHT(TRIM($A329),2)),1,1)),'Timesheet Raw'!$L$4:$L$8000,"&lt;="&amp;MIN(W$6,DATE(2000+VALUE(RIGHT(TRIM($A329),2)),12,31))),SUMIFS('Timesheet Raw'!$P$4:$P$8000,'Timesheet Raw'!$B$4:$B$8000,TRIM($A329),'Timesheet Raw'!$C$4:$C$8000,"*"&amp;$B329&amp;"*",'Timesheet Raw'!$L$4:$L$8000,"&gt;="&amp;W$5,'Timesheet Raw'!$L$4:$L$8000,"&lt;="&amp;W$6)))/'Profit Plan'!$B$5)</f>
        <v>0</v>
      </c>
      <c r="X329" s="122">
        <f>IF($A329="","",(IF(ISNUMBER(SEARCH("Proposal",$A329)),SUMIFS('Timesheet Raw'!$P$4:$P$8000,'Timesheet Raw'!$A$4:$A$8000,IF(ISNUMBER(SEARCH("Chargable",$A329)),"2-Proposals Chargeable","3-Proposals Regular"),'Timesheet Raw'!$C$4:$C$8000,"*"&amp;$B329&amp;"*",'Timesheet Raw'!$L$4:$L$8000,"&gt;="&amp;MAX(X$5,DATE(2000+VALUE(RIGHT(TRIM($A329),2)),1,1)),'Timesheet Raw'!$L$4:$L$8000,"&lt;="&amp;MIN(X$6,DATE(2000+VALUE(RIGHT(TRIM($A329),2)),12,31))),SUMIFS('Timesheet Raw'!$P$4:$P$8000,'Timesheet Raw'!$B$4:$B$8000,TRIM($A329),'Timesheet Raw'!$C$4:$C$8000,"*"&amp;$B329&amp;"*",'Timesheet Raw'!$L$4:$L$8000,"&gt;="&amp;X$5,'Timesheet Raw'!$L$4:$L$8000,"&lt;="&amp;X$6)))/'Profit Plan'!$B$5)</f>
        <v>0</v>
      </c>
      <c r="Y329" s="118">
        <f t="shared" ref="Y329:Y392" si="101">SUM(D329:X329)</f>
        <v>0.67972972972972967</v>
      </c>
    </row>
    <row r="330" spans="1:25" x14ac:dyDescent="0.3">
      <c r="A330" s="116" t="str">
        <f>IF(Inputs!$A27="","",Inputs!$A27)</f>
        <v>AN23232-0100D</v>
      </c>
      <c r="B330" s="116" t="str">
        <f>IF(Inputs!$A27="","",Inputs!$A$93)</f>
        <v>Kirolos</v>
      </c>
      <c r="C330" s="116"/>
      <c r="D330" s="122">
        <f>IF($A330="","",(IF(ISNUMBER(SEARCH("Proposal",$A330)),SUMIFS('Timesheet Raw'!$P$4:$P$8000,'Timesheet Raw'!$A$4:$A$8000,IF(ISNUMBER(SEARCH("Chargable",$A330)),"2-Proposals Chargeable","3-Proposals Regular"),'Timesheet Raw'!$C$4:$C$8000,"*"&amp;$B330&amp;"*",'Timesheet Raw'!$L$4:$L$8000,"&gt;="&amp;MAX(D$5,DATE(2000+VALUE(RIGHT(TRIM($A330),2)),1,1)),'Timesheet Raw'!$L$4:$L$8000,"&lt;="&amp;MIN(D$6,DATE(2000+VALUE(RIGHT(TRIM($A330),2)),12,31))),SUMIFS('Timesheet Raw'!$P$4:$P$8000,'Timesheet Raw'!$B$4:$B$8000,TRIM($A330),'Timesheet Raw'!$C$4:$C$8000,"*"&amp;$B330&amp;"*",'Timesheet Raw'!$L$4:$L$8000,"&gt;="&amp;D$5,'Timesheet Raw'!$L$4:$L$8000,"&lt;="&amp;D$6)))/'Profit Plan'!$B$5)</f>
        <v>0</v>
      </c>
      <c r="E330" s="122">
        <f>IF($A330="","",(IF(ISNUMBER(SEARCH("Proposal",$A330)),SUMIFS('Timesheet Raw'!$P$4:$P$8000,'Timesheet Raw'!$A$4:$A$8000,IF(ISNUMBER(SEARCH("Chargable",$A330)),"2-Proposals Chargeable","3-Proposals Regular"),'Timesheet Raw'!$C$4:$C$8000,"*"&amp;$B330&amp;"*",'Timesheet Raw'!$L$4:$L$8000,"&gt;="&amp;MAX(E$5,DATE(2000+VALUE(RIGHT(TRIM($A330),2)),1,1)),'Timesheet Raw'!$L$4:$L$8000,"&lt;="&amp;MIN(E$6,DATE(2000+VALUE(RIGHT(TRIM($A330),2)),12,31))),SUMIFS('Timesheet Raw'!$P$4:$P$8000,'Timesheet Raw'!$B$4:$B$8000,TRIM($A330),'Timesheet Raw'!$C$4:$C$8000,"*"&amp;$B330&amp;"*",'Timesheet Raw'!$L$4:$L$8000,"&gt;="&amp;E$5,'Timesheet Raw'!$L$4:$L$8000,"&lt;="&amp;E$6)))/'Profit Plan'!$B$5)</f>
        <v>0</v>
      </c>
      <c r="F330" s="122">
        <f>IF($A330="","",(IF(ISNUMBER(SEARCH("Proposal",$A330)),SUMIFS('Timesheet Raw'!$P$4:$P$8000,'Timesheet Raw'!$A$4:$A$8000,IF(ISNUMBER(SEARCH("Chargable",$A330)),"2-Proposals Chargeable","3-Proposals Regular"),'Timesheet Raw'!$C$4:$C$8000,"*"&amp;$B330&amp;"*",'Timesheet Raw'!$L$4:$L$8000,"&gt;="&amp;MAX(F$5,DATE(2000+VALUE(RIGHT(TRIM($A330),2)),1,1)),'Timesheet Raw'!$L$4:$L$8000,"&lt;="&amp;MIN(F$6,DATE(2000+VALUE(RIGHT(TRIM($A330),2)),12,31))),SUMIFS('Timesheet Raw'!$P$4:$P$8000,'Timesheet Raw'!$B$4:$B$8000,TRIM($A330),'Timesheet Raw'!$C$4:$C$8000,"*"&amp;$B330&amp;"*",'Timesheet Raw'!$L$4:$L$8000,"&gt;="&amp;F$5,'Timesheet Raw'!$L$4:$L$8000,"&lt;="&amp;F$6)))/'Profit Plan'!$B$5)</f>
        <v>0</v>
      </c>
      <c r="G330" s="122">
        <f>IF($A330="","",(IF(ISNUMBER(SEARCH("Proposal",$A330)),SUMIFS('Timesheet Raw'!$P$4:$P$8000,'Timesheet Raw'!$A$4:$A$8000,IF(ISNUMBER(SEARCH("Chargable",$A330)),"2-Proposals Chargeable","3-Proposals Regular"),'Timesheet Raw'!$C$4:$C$8000,"*"&amp;$B330&amp;"*",'Timesheet Raw'!$L$4:$L$8000,"&gt;="&amp;MAX(G$5,DATE(2000+VALUE(RIGHT(TRIM($A330),2)),1,1)),'Timesheet Raw'!$L$4:$L$8000,"&lt;="&amp;MIN(G$6,DATE(2000+VALUE(RIGHT(TRIM($A330),2)),12,31))),SUMIFS('Timesheet Raw'!$P$4:$P$8000,'Timesheet Raw'!$B$4:$B$8000,TRIM($A330),'Timesheet Raw'!$C$4:$C$8000,"*"&amp;$B330&amp;"*",'Timesheet Raw'!$L$4:$L$8000,"&gt;="&amp;G$5,'Timesheet Raw'!$L$4:$L$8000,"&lt;="&amp;G$6)))/'Profit Plan'!$B$5)</f>
        <v>0</v>
      </c>
      <c r="H330" s="122">
        <f>IF($A330="","",(IF(ISNUMBER(SEARCH("Proposal",$A330)),SUMIFS('Timesheet Raw'!$P$4:$P$8000,'Timesheet Raw'!$A$4:$A$8000,IF(ISNUMBER(SEARCH("Chargable",$A330)),"2-Proposals Chargeable","3-Proposals Regular"),'Timesheet Raw'!$C$4:$C$8000,"*"&amp;$B330&amp;"*",'Timesheet Raw'!$L$4:$L$8000,"&gt;="&amp;MAX(H$5,DATE(2000+VALUE(RIGHT(TRIM($A330),2)),1,1)),'Timesheet Raw'!$L$4:$L$8000,"&lt;="&amp;MIN(H$6,DATE(2000+VALUE(RIGHT(TRIM($A330),2)),12,31))),SUMIFS('Timesheet Raw'!$P$4:$P$8000,'Timesheet Raw'!$B$4:$B$8000,TRIM($A330),'Timesheet Raw'!$C$4:$C$8000,"*"&amp;$B330&amp;"*",'Timesheet Raw'!$L$4:$L$8000,"&gt;="&amp;H$5,'Timesheet Raw'!$L$4:$L$8000,"&lt;="&amp;H$6)))/'Profit Plan'!$B$5)</f>
        <v>0</v>
      </c>
      <c r="I330" s="122">
        <f>IF($A330="","",(IF(ISNUMBER(SEARCH("Proposal",$A330)),SUMIFS('Timesheet Raw'!$P$4:$P$8000,'Timesheet Raw'!$A$4:$A$8000,IF(ISNUMBER(SEARCH("Chargable",$A330)),"2-Proposals Chargeable","3-Proposals Regular"),'Timesheet Raw'!$C$4:$C$8000,"*"&amp;$B330&amp;"*",'Timesheet Raw'!$L$4:$L$8000,"&gt;="&amp;MAX(I$5,DATE(2000+VALUE(RIGHT(TRIM($A330),2)),1,1)),'Timesheet Raw'!$L$4:$L$8000,"&lt;="&amp;MIN(I$6,DATE(2000+VALUE(RIGHT(TRIM($A330),2)),12,31))),SUMIFS('Timesheet Raw'!$P$4:$P$8000,'Timesheet Raw'!$B$4:$B$8000,TRIM($A330),'Timesheet Raw'!$C$4:$C$8000,"*"&amp;$B330&amp;"*",'Timesheet Raw'!$L$4:$L$8000,"&gt;="&amp;I$5,'Timesheet Raw'!$L$4:$L$8000,"&lt;="&amp;I$6)))/'Profit Plan'!$B$5)</f>
        <v>0</v>
      </c>
      <c r="J330" s="122">
        <f>IF($A330="","",(IF(ISNUMBER(SEARCH("Proposal",$A330)),SUMIFS('Timesheet Raw'!$P$4:$P$8000,'Timesheet Raw'!$A$4:$A$8000,IF(ISNUMBER(SEARCH("Chargable",$A330)),"2-Proposals Chargeable","3-Proposals Regular"),'Timesheet Raw'!$C$4:$C$8000,"*"&amp;$B330&amp;"*",'Timesheet Raw'!$L$4:$L$8000,"&gt;="&amp;MAX(J$5,DATE(2000+VALUE(RIGHT(TRIM($A330),2)),1,1)),'Timesheet Raw'!$L$4:$L$8000,"&lt;="&amp;MIN(J$6,DATE(2000+VALUE(RIGHT(TRIM($A330),2)),12,31))),SUMIFS('Timesheet Raw'!$P$4:$P$8000,'Timesheet Raw'!$B$4:$B$8000,TRIM($A330),'Timesheet Raw'!$C$4:$C$8000,"*"&amp;$B330&amp;"*",'Timesheet Raw'!$L$4:$L$8000,"&gt;="&amp;J$5,'Timesheet Raw'!$L$4:$L$8000,"&lt;="&amp;J$6)))/'Profit Plan'!$B$5)</f>
        <v>0</v>
      </c>
      <c r="K330" s="122">
        <f>IF($A330="","",(IF(ISNUMBER(SEARCH("Proposal",$A330)),SUMIFS('Timesheet Raw'!$P$4:$P$8000,'Timesheet Raw'!$A$4:$A$8000,IF(ISNUMBER(SEARCH("Chargable",$A330)),"2-Proposals Chargeable","3-Proposals Regular"),'Timesheet Raw'!$C$4:$C$8000,"*"&amp;$B330&amp;"*",'Timesheet Raw'!$L$4:$L$8000,"&gt;="&amp;MAX(K$5,DATE(2000+VALUE(RIGHT(TRIM($A330),2)),1,1)),'Timesheet Raw'!$L$4:$L$8000,"&lt;="&amp;MIN(K$6,DATE(2000+VALUE(RIGHT(TRIM($A330),2)),12,31))),SUMIFS('Timesheet Raw'!$P$4:$P$8000,'Timesheet Raw'!$B$4:$B$8000,TRIM($A330),'Timesheet Raw'!$C$4:$C$8000,"*"&amp;$B330&amp;"*",'Timesheet Raw'!$L$4:$L$8000,"&gt;="&amp;K$5,'Timesheet Raw'!$L$4:$L$8000,"&lt;="&amp;K$6)))/'Profit Plan'!$B$5)</f>
        <v>0</v>
      </c>
      <c r="L330" s="122">
        <f>IF($A330="","",(IF(ISNUMBER(SEARCH("Proposal",$A330)),SUMIFS('Timesheet Raw'!$P$4:$P$8000,'Timesheet Raw'!$A$4:$A$8000,IF(ISNUMBER(SEARCH("Chargable",$A330)),"2-Proposals Chargeable","3-Proposals Regular"),'Timesheet Raw'!$C$4:$C$8000,"*"&amp;$B330&amp;"*",'Timesheet Raw'!$L$4:$L$8000,"&gt;="&amp;MAX(L$5,DATE(2000+VALUE(RIGHT(TRIM($A330),2)),1,1)),'Timesheet Raw'!$L$4:$L$8000,"&lt;="&amp;MIN(L$6,DATE(2000+VALUE(RIGHT(TRIM($A330),2)),12,31))),SUMIFS('Timesheet Raw'!$P$4:$P$8000,'Timesheet Raw'!$B$4:$B$8000,TRIM($A330),'Timesheet Raw'!$C$4:$C$8000,"*"&amp;$B330&amp;"*",'Timesheet Raw'!$L$4:$L$8000,"&gt;="&amp;L$5,'Timesheet Raw'!$L$4:$L$8000,"&lt;="&amp;L$6)))/'Profit Plan'!$B$5)</f>
        <v>0</v>
      </c>
      <c r="M330" s="122">
        <f>IF($A330="","",(IF(ISNUMBER(SEARCH("Proposal",$A330)),SUMIFS('Timesheet Raw'!$P$4:$P$8000,'Timesheet Raw'!$A$4:$A$8000,IF(ISNUMBER(SEARCH("Chargable",$A330)),"2-Proposals Chargeable","3-Proposals Regular"),'Timesheet Raw'!$C$4:$C$8000,"*"&amp;$B330&amp;"*",'Timesheet Raw'!$L$4:$L$8000,"&gt;="&amp;MAX(M$5,DATE(2000+VALUE(RIGHT(TRIM($A330),2)),1,1)),'Timesheet Raw'!$L$4:$L$8000,"&lt;="&amp;MIN(M$6,DATE(2000+VALUE(RIGHT(TRIM($A330),2)),12,31))),SUMIFS('Timesheet Raw'!$P$4:$P$8000,'Timesheet Raw'!$B$4:$B$8000,TRIM($A330),'Timesheet Raw'!$C$4:$C$8000,"*"&amp;$B330&amp;"*",'Timesheet Raw'!$L$4:$L$8000,"&gt;="&amp;M$5,'Timesheet Raw'!$L$4:$L$8000,"&lt;="&amp;M$6)))/'Profit Plan'!$B$5)</f>
        <v>0</v>
      </c>
      <c r="N330" s="122">
        <f>IF($A330="","",(IF(ISNUMBER(SEARCH("Proposal",$A330)),SUMIFS('Timesheet Raw'!$P$4:$P$8000,'Timesheet Raw'!$A$4:$A$8000,IF(ISNUMBER(SEARCH("Chargable",$A330)),"2-Proposals Chargeable","3-Proposals Regular"),'Timesheet Raw'!$C$4:$C$8000,"*"&amp;$B330&amp;"*",'Timesheet Raw'!$L$4:$L$8000,"&gt;="&amp;MAX(N$5,DATE(2000+VALUE(RIGHT(TRIM($A330),2)),1,1)),'Timesheet Raw'!$L$4:$L$8000,"&lt;="&amp;MIN(N$6,DATE(2000+VALUE(RIGHT(TRIM($A330),2)),12,31))),SUMIFS('Timesheet Raw'!$P$4:$P$8000,'Timesheet Raw'!$B$4:$B$8000,TRIM($A330),'Timesheet Raw'!$C$4:$C$8000,"*"&amp;$B330&amp;"*",'Timesheet Raw'!$L$4:$L$8000,"&gt;="&amp;N$5,'Timesheet Raw'!$L$4:$L$8000,"&lt;="&amp;N$6)))/'Profit Plan'!$B$5)</f>
        <v>0</v>
      </c>
      <c r="O330" s="122">
        <f>IF($A330="","",(IF(ISNUMBER(SEARCH("Proposal",$A330)),SUMIFS('Timesheet Raw'!$P$4:$P$8000,'Timesheet Raw'!$A$4:$A$8000,IF(ISNUMBER(SEARCH("Chargable",$A330)),"2-Proposals Chargeable","3-Proposals Regular"),'Timesheet Raw'!$C$4:$C$8000,"*"&amp;$B330&amp;"*",'Timesheet Raw'!$L$4:$L$8000,"&gt;="&amp;MAX(O$5,DATE(2000+VALUE(RIGHT(TRIM($A330),2)),1,1)),'Timesheet Raw'!$L$4:$L$8000,"&lt;="&amp;MIN(O$6,DATE(2000+VALUE(RIGHT(TRIM($A330),2)),12,31))),SUMIFS('Timesheet Raw'!$P$4:$P$8000,'Timesheet Raw'!$B$4:$B$8000,TRIM($A330),'Timesheet Raw'!$C$4:$C$8000,"*"&amp;$B330&amp;"*",'Timesheet Raw'!$L$4:$L$8000,"&gt;="&amp;O$5,'Timesheet Raw'!$L$4:$L$8000,"&lt;="&amp;O$6)))/'Profit Plan'!$B$5)</f>
        <v>0</v>
      </c>
      <c r="P330" s="122">
        <f>IF($A330="","",(IF(ISNUMBER(SEARCH("Proposal",$A330)),SUMIFS('Timesheet Raw'!$P$4:$P$8000,'Timesheet Raw'!$A$4:$A$8000,IF(ISNUMBER(SEARCH("Chargable",$A330)),"2-Proposals Chargeable","3-Proposals Regular"),'Timesheet Raw'!$C$4:$C$8000,"*"&amp;$B330&amp;"*",'Timesheet Raw'!$L$4:$L$8000,"&gt;="&amp;MAX(P$5,DATE(2000+VALUE(RIGHT(TRIM($A330),2)),1,1)),'Timesheet Raw'!$L$4:$L$8000,"&lt;="&amp;MIN(P$6,DATE(2000+VALUE(RIGHT(TRIM($A330),2)),12,31))),SUMIFS('Timesheet Raw'!$P$4:$P$8000,'Timesheet Raw'!$B$4:$B$8000,TRIM($A330),'Timesheet Raw'!$C$4:$C$8000,"*"&amp;$B330&amp;"*",'Timesheet Raw'!$L$4:$L$8000,"&gt;="&amp;P$5,'Timesheet Raw'!$L$4:$L$8000,"&lt;="&amp;P$6)))/'Profit Plan'!$B$5)</f>
        <v>0</v>
      </c>
      <c r="Q330" s="122">
        <f>IF($A330="","",(IF(ISNUMBER(SEARCH("Proposal",$A330)),SUMIFS('Timesheet Raw'!$P$4:$P$8000,'Timesheet Raw'!$A$4:$A$8000,IF(ISNUMBER(SEARCH("Chargable",$A330)),"2-Proposals Chargeable","3-Proposals Regular"),'Timesheet Raw'!$C$4:$C$8000,"*"&amp;$B330&amp;"*",'Timesheet Raw'!$L$4:$L$8000,"&gt;="&amp;MAX(Q$5,DATE(2000+VALUE(RIGHT(TRIM($A330),2)),1,1)),'Timesheet Raw'!$L$4:$L$8000,"&lt;="&amp;MIN(Q$6,DATE(2000+VALUE(RIGHT(TRIM($A330),2)),12,31))),SUMIFS('Timesheet Raw'!$P$4:$P$8000,'Timesheet Raw'!$B$4:$B$8000,TRIM($A330),'Timesheet Raw'!$C$4:$C$8000,"*"&amp;$B330&amp;"*",'Timesheet Raw'!$L$4:$L$8000,"&gt;="&amp;Q$5,'Timesheet Raw'!$L$4:$L$8000,"&lt;="&amp;Q$6)))/'Profit Plan'!$B$5)</f>
        <v>0</v>
      </c>
      <c r="R330" s="122">
        <f>IF($A330="","",(IF(ISNUMBER(SEARCH("Proposal",$A330)),SUMIFS('Timesheet Raw'!$P$4:$P$8000,'Timesheet Raw'!$A$4:$A$8000,IF(ISNUMBER(SEARCH("Chargable",$A330)),"2-Proposals Chargeable","3-Proposals Regular"),'Timesheet Raw'!$C$4:$C$8000,"*"&amp;$B330&amp;"*",'Timesheet Raw'!$L$4:$L$8000,"&gt;="&amp;MAX(R$5,DATE(2000+VALUE(RIGHT(TRIM($A330),2)),1,1)),'Timesheet Raw'!$L$4:$L$8000,"&lt;="&amp;MIN(R$6,DATE(2000+VALUE(RIGHT(TRIM($A330),2)),12,31))),SUMIFS('Timesheet Raw'!$P$4:$P$8000,'Timesheet Raw'!$B$4:$B$8000,TRIM($A330),'Timesheet Raw'!$C$4:$C$8000,"*"&amp;$B330&amp;"*",'Timesheet Raw'!$L$4:$L$8000,"&gt;="&amp;R$5,'Timesheet Raw'!$L$4:$L$8000,"&lt;="&amp;R$6)))/'Profit Plan'!$B$5)</f>
        <v>0</v>
      </c>
      <c r="S330" s="122">
        <f>IF($A330="","",(IF(ISNUMBER(SEARCH("Proposal",$A330)),SUMIFS('Timesheet Raw'!$P$4:$P$8000,'Timesheet Raw'!$A$4:$A$8000,IF(ISNUMBER(SEARCH("Chargable",$A330)),"2-Proposals Chargeable","3-Proposals Regular"),'Timesheet Raw'!$C$4:$C$8000,"*"&amp;$B330&amp;"*",'Timesheet Raw'!$L$4:$L$8000,"&gt;="&amp;MAX(S$5,DATE(2000+VALUE(RIGHT(TRIM($A330),2)),1,1)),'Timesheet Raw'!$L$4:$L$8000,"&lt;="&amp;MIN(S$6,DATE(2000+VALUE(RIGHT(TRIM($A330),2)),12,31))),SUMIFS('Timesheet Raw'!$P$4:$P$8000,'Timesheet Raw'!$B$4:$B$8000,TRIM($A330),'Timesheet Raw'!$C$4:$C$8000,"*"&amp;$B330&amp;"*",'Timesheet Raw'!$L$4:$L$8000,"&gt;="&amp;S$5,'Timesheet Raw'!$L$4:$L$8000,"&lt;="&amp;S$6)))/'Profit Plan'!$B$5)</f>
        <v>0</v>
      </c>
      <c r="T330" s="122">
        <f>IF($A330="","",(IF(ISNUMBER(SEARCH("Proposal",$A330)),SUMIFS('Timesheet Raw'!$P$4:$P$8000,'Timesheet Raw'!$A$4:$A$8000,IF(ISNUMBER(SEARCH("Chargable",$A330)),"2-Proposals Chargeable","3-Proposals Regular"),'Timesheet Raw'!$C$4:$C$8000,"*"&amp;$B330&amp;"*",'Timesheet Raw'!$L$4:$L$8000,"&gt;="&amp;MAX(T$5,DATE(2000+VALUE(RIGHT(TRIM($A330),2)),1,1)),'Timesheet Raw'!$L$4:$L$8000,"&lt;="&amp;MIN(T$6,DATE(2000+VALUE(RIGHT(TRIM($A330),2)),12,31))),SUMIFS('Timesheet Raw'!$P$4:$P$8000,'Timesheet Raw'!$B$4:$B$8000,TRIM($A330),'Timesheet Raw'!$C$4:$C$8000,"*"&amp;$B330&amp;"*",'Timesheet Raw'!$L$4:$L$8000,"&gt;="&amp;T$5,'Timesheet Raw'!$L$4:$L$8000,"&lt;="&amp;T$6)))/'Profit Plan'!$B$5)</f>
        <v>0</v>
      </c>
      <c r="U330" s="122">
        <f>IF($A330="","",(IF(ISNUMBER(SEARCH("Proposal",$A330)),SUMIFS('Timesheet Raw'!$P$4:$P$8000,'Timesheet Raw'!$A$4:$A$8000,IF(ISNUMBER(SEARCH("Chargable",$A330)),"2-Proposals Chargeable","3-Proposals Regular"),'Timesheet Raw'!$C$4:$C$8000,"*"&amp;$B330&amp;"*",'Timesheet Raw'!$L$4:$L$8000,"&gt;="&amp;MAX(U$5,DATE(2000+VALUE(RIGHT(TRIM($A330),2)),1,1)),'Timesheet Raw'!$L$4:$L$8000,"&lt;="&amp;MIN(U$6,DATE(2000+VALUE(RIGHT(TRIM($A330),2)),12,31))),SUMIFS('Timesheet Raw'!$P$4:$P$8000,'Timesheet Raw'!$B$4:$B$8000,TRIM($A330),'Timesheet Raw'!$C$4:$C$8000,"*"&amp;$B330&amp;"*",'Timesheet Raw'!$L$4:$L$8000,"&gt;="&amp;U$5,'Timesheet Raw'!$L$4:$L$8000,"&lt;="&amp;U$6)))/'Profit Plan'!$B$5)</f>
        <v>0</v>
      </c>
      <c r="V330" s="122">
        <f>IF($A330="","",(IF(ISNUMBER(SEARCH("Proposal",$A330)),SUMIFS('Timesheet Raw'!$P$4:$P$8000,'Timesheet Raw'!$A$4:$A$8000,IF(ISNUMBER(SEARCH("Chargable",$A330)),"2-Proposals Chargeable","3-Proposals Regular"),'Timesheet Raw'!$C$4:$C$8000,"*"&amp;$B330&amp;"*",'Timesheet Raw'!$L$4:$L$8000,"&gt;="&amp;MAX(V$5,DATE(2000+VALUE(RIGHT(TRIM($A330),2)),1,1)),'Timesheet Raw'!$L$4:$L$8000,"&lt;="&amp;MIN(V$6,DATE(2000+VALUE(RIGHT(TRIM($A330),2)),12,31))),SUMIFS('Timesheet Raw'!$P$4:$P$8000,'Timesheet Raw'!$B$4:$B$8000,TRIM($A330),'Timesheet Raw'!$C$4:$C$8000,"*"&amp;$B330&amp;"*",'Timesheet Raw'!$L$4:$L$8000,"&gt;="&amp;V$5,'Timesheet Raw'!$L$4:$L$8000,"&lt;="&amp;V$6)))/'Profit Plan'!$B$5)</f>
        <v>0</v>
      </c>
      <c r="W330" s="122">
        <f>IF($A330="","",(IF(ISNUMBER(SEARCH("Proposal",$A330)),SUMIFS('Timesheet Raw'!$P$4:$P$8000,'Timesheet Raw'!$A$4:$A$8000,IF(ISNUMBER(SEARCH("Chargable",$A330)),"2-Proposals Chargeable","3-Proposals Regular"),'Timesheet Raw'!$C$4:$C$8000,"*"&amp;$B330&amp;"*",'Timesheet Raw'!$L$4:$L$8000,"&gt;="&amp;MAX(W$5,DATE(2000+VALUE(RIGHT(TRIM($A330),2)),1,1)),'Timesheet Raw'!$L$4:$L$8000,"&lt;="&amp;MIN(W$6,DATE(2000+VALUE(RIGHT(TRIM($A330),2)),12,31))),SUMIFS('Timesheet Raw'!$P$4:$P$8000,'Timesheet Raw'!$B$4:$B$8000,TRIM($A330),'Timesheet Raw'!$C$4:$C$8000,"*"&amp;$B330&amp;"*",'Timesheet Raw'!$L$4:$L$8000,"&gt;="&amp;W$5,'Timesheet Raw'!$L$4:$L$8000,"&lt;="&amp;W$6)))/'Profit Plan'!$B$5)</f>
        <v>0</v>
      </c>
      <c r="X330" s="122">
        <f>IF($A330="","",(IF(ISNUMBER(SEARCH("Proposal",$A330)),SUMIFS('Timesheet Raw'!$P$4:$P$8000,'Timesheet Raw'!$A$4:$A$8000,IF(ISNUMBER(SEARCH("Chargable",$A330)),"2-Proposals Chargeable","3-Proposals Regular"),'Timesheet Raw'!$C$4:$C$8000,"*"&amp;$B330&amp;"*",'Timesheet Raw'!$L$4:$L$8000,"&gt;="&amp;MAX(X$5,DATE(2000+VALUE(RIGHT(TRIM($A330),2)),1,1)),'Timesheet Raw'!$L$4:$L$8000,"&lt;="&amp;MIN(X$6,DATE(2000+VALUE(RIGHT(TRIM($A330),2)),12,31))),SUMIFS('Timesheet Raw'!$P$4:$P$8000,'Timesheet Raw'!$B$4:$B$8000,TRIM($A330),'Timesheet Raw'!$C$4:$C$8000,"*"&amp;$B330&amp;"*",'Timesheet Raw'!$L$4:$L$8000,"&gt;="&amp;X$5,'Timesheet Raw'!$L$4:$L$8000,"&lt;="&amp;X$6)))/'Profit Plan'!$B$5)</f>
        <v>0</v>
      </c>
      <c r="Y330" s="118">
        <f t="shared" si="101"/>
        <v>0</v>
      </c>
    </row>
    <row r="331" spans="1:25" x14ac:dyDescent="0.3">
      <c r="A331" s="116" t="str">
        <f>IF(Inputs!$A28="","",Inputs!$A28)</f>
        <v>AN23108-0100R</v>
      </c>
      <c r="B331" s="116" t="str">
        <f>IF(Inputs!$A28="","",Inputs!$A$91)</f>
        <v>Ahmed</v>
      </c>
      <c r="C331" s="116"/>
      <c r="D331" s="122">
        <f>IF($A331="","",(IF(ISNUMBER(SEARCH("Proposal",$A331)),SUMIFS('Timesheet Raw'!$P$4:$P$8000,'Timesheet Raw'!$A$4:$A$8000,IF(ISNUMBER(SEARCH("Chargable",$A331)),"2-Proposals Chargeable","3-Proposals Regular"),'Timesheet Raw'!$C$4:$C$8000,"*"&amp;$B331&amp;"*",'Timesheet Raw'!$L$4:$L$8000,"&gt;="&amp;MAX(D$5,DATE(2000+VALUE(RIGHT(TRIM($A331),2)),1,1)),'Timesheet Raw'!$L$4:$L$8000,"&lt;="&amp;MIN(D$6,DATE(2000+VALUE(RIGHT(TRIM($A331),2)),12,31))),SUMIFS('Timesheet Raw'!$P$4:$P$8000,'Timesheet Raw'!$B$4:$B$8000,TRIM($A331),'Timesheet Raw'!$C$4:$C$8000,"*"&amp;$B331&amp;"*",'Timesheet Raw'!$L$4:$L$8000,"&gt;="&amp;D$5,'Timesheet Raw'!$L$4:$L$8000,"&lt;="&amp;D$6)))/'Profit Plan'!$B$5)</f>
        <v>0</v>
      </c>
      <c r="E331" s="122">
        <f>IF($A331="","",(IF(ISNUMBER(SEARCH("Proposal",$A331)),SUMIFS('Timesheet Raw'!$P$4:$P$8000,'Timesheet Raw'!$A$4:$A$8000,IF(ISNUMBER(SEARCH("Chargable",$A331)),"2-Proposals Chargeable","3-Proposals Regular"),'Timesheet Raw'!$C$4:$C$8000,"*"&amp;$B331&amp;"*",'Timesheet Raw'!$L$4:$L$8000,"&gt;="&amp;MAX(E$5,DATE(2000+VALUE(RIGHT(TRIM($A331),2)),1,1)),'Timesheet Raw'!$L$4:$L$8000,"&lt;="&amp;MIN(E$6,DATE(2000+VALUE(RIGHT(TRIM($A331),2)),12,31))),SUMIFS('Timesheet Raw'!$P$4:$P$8000,'Timesheet Raw'!$B$4:$B$8000,TRIM($A331),'Timesheet Raw'!$C$4:$C$8000,"*"&amp;$B331&amp;"*",'Timesheet Raw'!$L$4:$L$8000,"&gt;="&amp;E$5,'Timesheet Raw'!$L$4:$L$8000,"&lt;="&amp;E$6)))/'Profit Plan'!$B$5)</f>
        <v>0</v>
      </c>
      <c r="F331" s="122">
        <f>IF($A331="","",(IF(ISNUMBER(SEARCH("Proposal",$A331)),SUMIFS('Timesheet Raw'!$P$4:$P$8000,'Timesheet Raw'!$A$4:$A$8000,IF(ISNUMBER(SEARCH("Chargable",$A331)),"2-Proposals Chargeable","3-Proposals Regular"),'Timesheet Raw'!$C$4:$C$8000,"*"&amp;$B331&amp;"*",'Timesheet Raw'!$L$4:$L$8000,"&gt;="&amp;MAX(F$5,DATE(2000+VALUE(RIGHT(TRIM($A331),2)),1,1)),'Timesheet Raw'!$L$4:$L$8000,"&lt;="&amp;MIN(F$6,DATE(2000+VALUE(RIGHT(TRIM($A331),2)),12,31))),SUMIFS('Timesheet Raw'!$P$4:$P$8000,'Timesheet Raw'!$B$4:$B$8000,TRIM($A331),'Timesheet Raw'!$C$4:$C$8000,"*"&amp;$B331&amp;"*",'Timesheet Raw'!$L$4:$L$8000,"&gt;="&amp;F$5,'Timesheet Raw'!$L$4:$L$8000,"&lt;="&amp;F$6)))/'Profit Plan'!$B$5)</f>
        <v>0</v>
      </c>
      <c r="G331" s="122">
        <f>IF($A331="","",(IF(ISNUMBER(SEARCH("Proposal",$A331)),SUMIFS('Timesheet Raw'!$P$4:$P$8000,'Timesheet Raw'!$A$4:$A$8000,IF(ISNUMBER(SEARCH("Chargable",$A331)),"2-Proposals Chargeable","3-Proposals Regular"),'Timesheet Raw'!$C$4:$C$8000,"*"&amp;$B331&amp;"*",'Timesheet Raw'!$L$4:$L$8000,"&gt;="&amp;MAX(G$5,DATE(2000+VALUE(RIGHT(TRIM($A331),2)),1,1)),'Timesheet Raw'!$L$4:$L$8000,"&lt;="&amp;MIN(G$6,DATE(2000+VALUE(RIGHT(TRIM($A331),2)),12,31))),SUMIFS('Timesheet Raw'!$P$4:$P$8000,'Timesheet Raw'!$B$4:$B$8000,TRIM($A331),'Timesheet Raw'!$C$4:$C$8000,"*"&amp;$B331&amp;"*",'Timesheet Raw'!$L$4:$L$8000,"&gt;="&amp;G$5,'Timesheet Raw'!$L$4:$L$8000,"&lt;="&amp;G$6)))/'Profit Plan'!$B$5)</f>
        <v>0</v>
      </c>
      <c r="H331" s="122">
        <f>IF($A331="","",(IF(ISNUMBER(SEARCH("Proposal",$A331)),SUMIFS('Timesheet Raw'!$P$4:$P$8000,'Timesheet Raw'!$A$4:$A$8000,IF(ISNUMBER(SEARCH("Chargable",$A331)),"2-Proposals Chargeable","3-Proposals Regular"),'Timesheet Raw'!$C$4:$C$8000,"*"&amp;$B331&amp;"*",'Timesheet Raw'!$L$4:$L$8000,"&gt;="&amp;MAX(H$5,DATE(2000+VALUE(RIGHT(TRIM($A331),2)),1,1)),'Timesheet Raw'!$L$4:$L$8000,"&lt;="&amp;MIN(H$6,DATE(2000+VALUE(RIGHT(TRIM($A331),2)),12,31))),SUMIFS('Timesheet Raw'!$P$4:$P$8000,'Timesheet Raw'!$B$4:$B$8000,TRIM($A331),'Timesheet Raw'!$C$4:$C$8000,"*"&amp;$B331&amp;"*",'Timesheet Raw'!$L$4:$L$8000,"&gt;="&amp;H$5,'Timesheet Raw'!$L$4:$L$8000,"&lt;="&amp;H$6)))/'Profit Plan'!$B$5)</f>
        <v>0</v>
      </c>
      <c r="I331" s="122">
        <f>IF($A331="","",(IF(ISNUMBER(SEARCH("Proposal",$A331)),SUMIFS('Timesheet Raw'!$P$4:$P$8000,'Timesheet Raw'!$A$4:$A$8000,IF(ISNUMBER(SEARCH("Chargable",$A331)),"2-Proposals Chargeable","3-Proposals Regular"),'Timesheet Raw'!$C$4:$C$8000,"*"&amp;$B331&amp;"*",'Timesheet Raw'!$L$4:$L$8000,"&gt;="&amp;MAX(I$5,DATE(2000+VALUE(RIGHT(TRIM($A331),2)),1,1)),'Timesheet Raw'!$L$4:$L$8000,"&lt;="&amp;MIN(I$6,DATE(2000+VALUE(RIGHT(TRIM($A331),2)),12,31))),SUMIFS('Timesheet Raw'!$P$4:$P$8000,'Timesheet Raw'!$B$4:$B$8000,TRIM($A331),'Timesheet Raw'!$C$4:$C$8000,"*"&amp;$B331&amp;"*",'Timesheet Raw'!$L$4:$L$8000,"&gt;="&amp;I$5,'Timesheet Raw'!$L$4:$L$8000,"&lt;="&amp;I$6)))/'Profit Plan'!$B$5)</f>
        <v>9.1891891891891897E-2</v>
      </c>
      <c r="J331" s="122">
        <f>IF($A331="","",(IF(ISNUMBER(SEARCH("Proposal",$A331)),SUMIFS('Timesheet Raw'!$P$4:$P$8000,'Timesheet Raw'!$A$4:$A$8000,IF(ISNUMBER(SEARCH("Chargable",$A331)),"2-Proposals Chargeable","3-Proposals Regular"),'Timesheet Raw'!$C$4:$C$8000,"*"&amp;$B331&amp;"*",'Timesheet Raw'!$L$4:$L$8000,"&gt;="&amp;MAX(J$5,DATE(2000+VALUE(RIGHT(TRIM($A331),2)),1,1)),'Timesheet Raw'!$L$4:$L$8000,"&lt;="&amp;MIN(J$6,DATE(2000+VALUE(RIGHT(TRIM($A331),2)),12,31))),SUMIFS('Timesheet Raw'!$P$4:$P$8000,'Timesheet Raw'!$B$4:$B$8000,TRIM($A331),'Timesheet Raw'!$C$4:$C$8000,"*"&amp;$B331&amp;"*",'Timesheet Raw'!$L$4:$L$8000,"&gt;="&amp;J$5,'Timesheet Raw'!$L$4:$L$8000,"&lt;="&amp;J$6)))/'Profit Plan'!$B$5)</f>
        <v>5.4054054054054057E-3</v>
      </c>
      <c r="K331" s="122">
        <f>IF($A331="","",(IF(ISNUMBER(SEARCH("Proposal",$A331)),SUMIFS('Timesheet Raw'!$P$4:$P$8000,'Timesheet Raw'!$A$4:$A$8000,IF(ISNUMBER(SEARCH("Chargable",$A331)),"2-Proposals Chargeable","3-Proposals Regular"),'Timesheet Raw'!$C$4:$C$8000,"*"&amp;$B331&amp;"*",'Timesheet Raw'!$L$4:$L$8000,"&gt;="&amp;MAX(K$5,DATE(2000+VALUE(RIGHT(TRIM($A331),2)),1,1)),'Timesheet Raw'!$L$4:$L$8000,"&lt;="&amp;MIN(K$6,DATE(2000+VALUE(RIGHT(TRIM($A331),2)),12,31))),SUMIFS('Timesheet Raw'!$P$4:$P$8000,'Timesheet Raw'!$B$4:$B$8000,TRIM($A331),'Timesheet Raw'!$C$4:$C$8000,"*"&amp;$B331&amp;"*",'Timesheet Raw'!$L$4:$L$8000,"&gt;="&amp;K$5,'Timesheet Raw'!$L$4:$L$8000,"&lt;="&amp;K$6)))/'Profit Plan'!$B$5)</f>
        <v>0</v>
      </c>
      <c r="L331" s="122">
        <f>IF($A331="","",(IF(ISNUMBER(SEARCH("Proposal",$A331)),SUMIFS('Timesheet Raw'!$P$4:$P$8000,'Timesheet Raw'!$A$4:$A$8000,IF(ISNUMBER(SEARCH("Chargable",$A331)),"2-Proposals Chargeable","3-Proposals Regular"),'Timesheet Raw'!$C$4:$C$8000,"*"&amp;$B331&amp;"*",'Timesheet Raw'!$L$4:$L$8000,"&gt;="&amp;MAX(L$5,DATE(2000+VALUE(RIGHT(TRIM($A331),2)),1,1)),'Timesheet Raw'!$L$4:$L$8000,"&lt;="&amp;MIN(L$6,DATE(2000+VALUE(RIGHT(TRIM($A331),2)),12,31))),SUMIFS('Timesheet Raw'!$P$4:$P$8000,'Timesheet Raw'!$B$4:$B$8000,TRIM($A331),'Timesheet Raw'!$C$4:$C$8000,"*"&amp;$B331&amp;"*",'Timesheet Raw'!$L$4:$L$8000,"&gt;="&amp;L$5,'Timesheet Raw'!$L$4:$L$8000,"&lt;="&amp;L$6)))/'Profit Plan'!$B$5)</f>
        <v>0</v>
      </c>
      <c r="M331" s="122">
        <f>IF($A331="","",(IF(ISNUMBER(SEARCH("Proposal",$A331)),SUMIFS('Timesheet Raw'!$P$4:$P$8000,'Timesheet Raw'!$A$4:$A$8000,IF(ISNUMBER(SEARCH("Chargable",$A331)),"2-Proposals Chargeable","3-Proposals Regular"),'Timesheet Raw'!$C$4:$C$8000,"*"&amp;$B331&amp;"*",'Timesheet Raw'!$L$4:$L$8000,"&gt;="&amp;MAX(M$5,DATE(2000+VALUE(RIGHT(TRIM($A331),2)),1,1)),'Timesheet Raw'!$L$4:$L$8000,"&lt;="&amp;MIN(M$6,DATE(2000+VALUE(RIGHT(TRIM($A331),2)),12,31))),SUMIFS('Timesheet Raw'!$P$4:$P$8000,'Timesheet Raw'!$B$4:$B$8000,TRIM($A331),'Timesheet Raw'!$C$4:$C$8000,"*"&amp;$B331&amp;"*",'Timesheet Raw'!$L$4:$L$8000,"&gt;="&amp;M$5,'Timesheet Raw'!$L$4:$L$8000,"&lt;="&amp;M$6)))/'Profit Plan'!$B$5)</f>
        <v>0</v>
      </c>
      <c r="N331" s="122">
        <f>IF($A331="","",(IF(ISNUMBER(SEARCH("Proposal",$A331)),SUMIFS('Timesheet Raw'!$P$4:$P$8000,'Timesheet Raw'!$A$4:$A$8000,IF(ISNUMBER(SEARCH("Chargable",$A331)),"2-Proposals Chargeable","3-Proposals Regular"),'Timesheet Raw'!$C$4:$C$8000,"*"&amp;$B331&amp;"*",'Timesheet Raw'!$L$4:$L$8000,"&gt;="&amp;MAX(N$5,DATE(2000+VALUE(RIGHT(TRIM($A331),2)),1,1)),'Timesheet Raw'!$L$4:$L$8000,"&lt;="&amp;MIN(N$6,DATE(2000+VALUE(RIGHT(TRIM($A331),2)),12,31))),SUMIFS('Timesheet Raw'!$P$4:$P$8000,'Timesheet Raw'!$B$4:$B$8000,TRIM($A331),'Timesheet Raw'!$C$4:$C$8000,"*"&amp;$B331&amp;"*",'Timesheet Raw'!$L$4:$L$8000,"&gt;="&amp;N$5,'Timesheet Raw'!$L$4:$L$8000,"&lt;="&amp;N$6)))/'Profit Plan'!$B$5)</f>
        <v>0</v>
      </c>
      <c r="O331" s="122">
        <f>IF($A331="","",(IF(ISNUMBER(SEARCH("Proposal",$A331)),SUMIFS('Timesheet Raw'!$P$4:$P$8000,'Timesheet Raw'!$A$4:$A$8000,IF(ISNUMBER(SEARCH("Chargable",$A331)),"2-Proposals Chargeable","3-Proposals Regular"),'Timesheet Raw'!$C$4:$C$8000,"*"&amp;$B331&amp;"*",'Timesheet Raw'!$L$4:$L$8000,"&gt;="&amp;MAX(O$5,DATE(2000+VALUE(RIGHT(TRIM($A331),2)),1,1)),'Timesheet Raw'!$L$4:$L$8000,"&lt;="&amp;MIN(O$6,DATE(2000+VALUE(RIGHT(TRIM($A331),2)),12,31))),SUMIFS('Timesheet Raw'!$P$4:$P$8000,'Timesheet Raw'!$B$4:$B$8000,TRIM($A331),'Timesheet Raw'!$C$4:$C$8000,"*"&amp;$B331&amp;"*",'Timesheet Raw'!$L$4:$L$8000,"&gt;="&amp;O$5,'Timesheet Raw'!$L$4:$L$8000,"&lt;="&amp;O$6)))/'Profit Plan'!$B$5)</f>
        <v>0</v>
      </c>
      <c r="P331" s="122">
        <f>IF($A331="","",(IF(ISNUMBER(SEARCH("Proposal",$A331)),SUMIFS('Timesheet Raw'!$P$4:$P$8000,'Timesheet Raw'!$A$4:$A$8000,IF(ISNUMBER(SEARCH("Chargable",$A331)),"2-Proposals Chargeable","3-Proposals Regular"),'Timesheet Raw'!$C$4:$C$8000,"*"&amp;$B331&amp;"*",'Timesheet Raw'!$L$4:$L$8000,"&gt;="&amp;MAX(P$5,DATE(2000+VALUE(RIGHT(TRIM($A331),2)),1,1)),'Timesheet Raw'!$L$4:$L$8000,"&lt;="&amp;MIN(P$6,DATE(2000+VALUE(RIGHT(TRIM($A331),2)),12,31))),SUMIFS('Timesheet Raw'!$P$4:$P$8000,'Timesheet Raw'!$B$4:$B$8000,TRIM($A331),'Timesheet Raw'!$C$4:$C$8000,"*"&amp;$B331&amp;"*",'Timesheet Raw'!$L$4:$L$8000,"&gt;="&amp;P$5,'Timesheet Raw'!$L$4:$L$8000,"&lt;="&amp;P$6)))/'Profit Plan'!$B$5)</f>
        <v>0</v>
      </c>
      <c r="Q331" s="122">
        <f>IF($A331="","",(IF(ISNUMBER(SEARCH("Proposal",$A331)),SUMIFS('Timesheet Raw'!$P$4:$P$8000,'Timesheet Raw'!$A$4:$A$8000,IF(ISNUMBER(SEARCH("Chargable",$A331)),"2-Proposals Chargeable","3-Proposals Regular"),'Timesheet Raw'!$C$4:$C$8000,"*"&amp;$B331&amp;"*",'Timesheet Raw'!$L$4:$L$8000,"&gt;="&amp;MAX(Q$5,DATE(2000+VALUE(RIGHT(TRIM($A331),2)),1,1)),'Timesheet Raw'!$L$4:$L$8000,"&lt;="&amp;MIN(Q$6,DATE(2000+VALUE(RIGHT(TRIM($A331),2)),12,31))),SUMIFS('Timesheet Raw'!$P$4:$P$8000,'Timesheet Raw'!$B$4:$B$8000,TRIM($A331),'Timesheet Raw'!$C$4:$C$8000,"*"&amp;$B331&amp;"*",'Timesheet Raw'!$L$4:$L$8000,"&gt;="&amp;Q$5,'Timesheet Raw'!$L$4:$L$8000,"&lt;="&amp;Q$6)))/'Profit Plan'!$B$5)</f>
        <v>0</v>
      </c>
      <c r="R331" s="122">
        <f>IF($A331="","",(IF(ISNUMBER(SEARCH("Proposal",$A331)),SUMIFS('Timesheet Raw'!$P$4:$P$8000,'Timesheet Raw'!$A$4:$A$8000,IF(ISNUMBER(SEARCH("Chargable",$A331)),"2-Proposals Chargeable","3-Proposals Regular"),'Timesheet Raw'!$C$4:$C$8000,"*"&amp;$B331&amp;"*",'Timesheet Raw'!$L$4:$L$8000,"&gt;="&amp;MAX(R$5,DATE(2000+VALUE(RIGHT(TRIM($A331),2)),1,1)),'Timesheet Raw'!$L$4:$L$8000,"&lt;="&amp;MIN(R$6,DATE(2000+VALUE(RIGHT(TRIM($A331),2)),12,31))),SUMIFS('Timesheet Raw'!$P$4:$P$8000,'Timesheet Raw'!$B$4:$B$8000,TRIM($A331),'Timesheet Raw'!$C$4:$C$8000,"*"&amp;$B331&amp;"*",'Timesheet Raw'!$L$4:$L$8000,"&gt;="&amp;R$5,'Timesheet Raw'!$L$4:$L$8000,"&lt;="&amp;R$6)))/'Profit Plan'!$B$5)</f>
        <v>0</v>
      </c>
      <c r="S331" s="122">
        <f>IF($A331="","",(IF(ISNUMBER(SEARCH("Proposal",$A331)),SUMIFS('Timesheet Raw'!$P$4:$P$8000,'Timesheet Raw'!$A$4:$A$8000,IF(ISNUMBER(SEARCH("Chargable",$A331)),"2-Proposals Chargeable","3-Proposals Regular"),'Timesheet Raw'!$C$4:$C$8000,"*"&amp;$B331&amp;"*",'Timesheet Raw'!$L$4:$L$8000,"&gt;="&amp;MAX(S$5,DATE(2000+VALUE(RIGHT(TRIM($A331),2)),1,1)),'Timesheet Raw'!$L$4:$L$8000,"&lt;="&amp;MIN(S$6,DATE(2000+VALUE(RIGHT(TRIM($A331),2)),12,31))),SUMIFS('Timesheet Raw'!$P$4:$P$8000,'Timesheet Raw'!$B$4:$B$8000,TRIM($A331),'Timesheet Raw'!$C$4:$C$8000,"*"&amp;$B331&amp;"*",'Timesheet Raw'!$L$4:$L$8000,"&gt;="&amp;S$5,'Timesheet Raw'!$L$4:$L$8000,"&lt;="&amp;S$6)))/'Profit Plan'!$B$5)</f>
        <v>0</v>
      </c>
      <c r="T331" s="122">
        <f>IF($A331="","",(IF(ISNUMBER(SEARCH("Proposal",$A331)),SUMIFS('Timesheet Raw'!$P$4:$P$8000,'Timesheet Raw'!$A$4:$A$8000,IF(ISNUMBER(SEARCH("Chargable",$A331)),"2-Proposals Chargeable","3-Proposals Regular"),'Timesheet Raw'!$C$4:$C$8000,"*"&amp;$B331&amp;"*",'Timesheet Raw'!$L$4:$L$8000,"&gt;="&amp;MAX(T$5,DATE(2000+VALUE(RIGHT(TRIM($A331),2)),1,1)),'Timesheet Raw'!$L$4:$L$8000,"&lt;="&amp;MIN(T$6,DATE(2000+VALUE(RIGHT(TRIM($A331),2)),12,31))),SUMIFS('Timesheet Raw'!$P$4:$P$8000,'Timesheet Raw'!$B$4:$B$8000,TRIM($A331),'Timesheet Raw'!$C$4:$C$8000,"*"&amp;$B331&amp;"*",'Timesheet Raw'!$L$4:$L$8000,"&gt;="&amp;T$5,'Timesheet Raw'!$L$4:$L$8000,"&lt;="&amp;T$6)))/'Profit Plan'!$B$5)</f>
        <v>0</v>
      </c>
      <c r="U331" s="122">
        <f>IF($A331="","",(IF(ISNUMBER(SEARCH("Proposal",$A331)),SUMIFS('Timesheet Raw'!$P$4:$P$8000,'Timesheet Raw'!$A$4:$A$8000,IF(ISNUMBER(SEARCH("Chargable",$A331)),"2-Proposals Chargeable","3-Proposals Regular"),'Timesheet Raw'!$C$4:$C$8000,"*"&amp;$B331&amp;"*",'Timesheet Raw'!$L$4:$L$8000,"&gt;="&amp;MAX(U$5,DATE(2000+VALUE(RIGHT(TRIM($A331),2)),1,1)),'Timesheet Raw'!$L$4:$L$8000,"&lt;="&amp;MIN(U$6,DATE(2000+VALUE(RIGHT(TRIM($A331),2)),12,31))),SUMIFS('Timesheet Raw'!$P$4:$P$8000,'Timesheet Raw'!$B$4:$B$8000,TRIM($A331),'Timesheet Raw'!$C$4:$C$8000,"*"&amp;$B331&amp;"*",'Timesheet Raw'!$L$4:$L$8000,"&gt;="&amp;U$5,'Timesheet Raw'!$L$4:$L$8000,"&lt;="&amp;U$6)))/'Profit Plan'!$B$5)</f>
        <v>0</v>
      </c>
      <c r="V331" s="122">
        <f>IF($A331="","",(IF(ISNUMBER(SEARCH("Proposal",$A331)),SUMIFS('Timesheet Raw'!$P$4:$P$8000,'Timesheet Raw'!$A$4:$A$8000,IF(ISNUMBER(SEARCH("Chargable",$A331)),"2-Proposals Chargeable","3-Proposals Regular"),'Timesheet Raw'!$C$4:$C$8000,"*"&amp;$B331&amp;"*",'Timesheet Raw'!$L$4:$L$8000,"&gt;="&amp;MAX(V$5,DATE(2000+VALUE(RIGHT(TRIM($A331),2)),1,1)),'Timesheet Raw'!$L$4:$L$8000,"&lt;="&amp;MIN(V$6,DATE(2000+VALUE(RIGHT(TRIM($A331),2)),12,31))),SUMIFS('Timesheet Raw'!$P$4:$P$8000,'Timesheet Raw'!$B$4:$B$8000,TRIM($A331),'Timesheet Raw'!$C$4:$C$8000,"*"&amp;$B331&amp;"*",'Timesheet Raw'!$L$4:$L$8000,"&gt;="&amp;V$5,'Timesheet Raw'!$L$4:$L$8000,"&lt;="&amp;V$6)))/'Profit Plan'!$B$5)</f>
        <v>0</v>
      </c>
      <c r="W331" s="122">
        <f>IF($A331="","",(IF(ISNUMBER(SEARCH("Proposal",$A331)),SUMIFS('Timesheet Raw'!$P$4:$P$8000,'Timesheet Raw'!$A$4:$A$8000,IF(ISNUMBER(SEARCH("Chargable",$A331)),"2-Proposals Chargeable","3-Proposals Regular"),'Timesheet Raw'!$C$4:$C$8000,"*"&amp;$B331&amp;"*",'Timesheet Raw'!$L$4:$L$8000,"&gt;="&amp;MAX(W$5,DATE(2000+VALUE(RIGHT(TRIM($A331),2)),1,1)),'Timesheet Raw'!$L$4:$L$8000,"&lt;="&amp;MIN(W$6,DATE(2000+VALUE(RIGHT(TRIM($A331),2)),12,31))),SUMIFS('Timesheet Raw'!$P$4:$P$8000,'Timesheet Raw'!$B$4:$B$8000,TRIM($A331),'Timesheet Raw'!$C$4:$C$8000,"*"&amp;$B331&amp;"*",'Timesheet Raw'!$L$4:$L$8000,"&gt;="&amp;W$5,'Timesheet Raw'!$L$4:$L$8000,"&lt;="&amp;W$6)))/'Profit Plan'!$B$5)</f>
        <v>0</v>
      </c>
      <c r="X331" s="122">
        <f>IF($A331="","",(IF(ISNUMBER(SEARCH("Proposal",$A331)),SUMIFS('Timesheet Raw'!$P$4:$P$8000,'Timesheet Raw'!$A$4:$A$8000,IF(ISNUMBER(SEARCH("Chargable",$A331)),"2-Proposals Chargeable","3-Proposals Regular"),'Timesheet Raw'!$C$4:$C$8000,"*"&amp;$B331&amp;"*",'Timesheet Raw'!$L$4:$L$8000,"&gt;="&amp;MAX(X$5,DATE(2000+VALUE(RIGHT(TRIM($A331),2)),1,1)),'Timesheet Raw'!$L$4:$L$8000,"&lt;="&amp;MIN(X$6,DATE(2000+VALUE(RIGHT(TRIM($A331),2)),12,31))),SUMIFS('Timesheet Raw'!$P$4:$P$8000,'Timesheet Raw'!$B$4:$B$8000,TRIM($A331),'Timesheet Raw'!$C$4:$C$8000,"*"&amp;$B331&amp;"*",'Timesheet Raw'!$L$4:$L$8000,"&gt;="&amp;X$5,'Timesheet Raw'!$L$4:$L$8000,"&lt;="&amp;X$6)))/'Profit Plan'!$B$5)</f>
        <v>0</v>
      </c>
      <c r="Y331" s="118">
        <f t="shared" si="101"/>
        <v>9.7297297297297303E-2</v>
      </c>
    </row>
    <row r="332" spans="1:25" x14ac:dyDescent="0.3">
      <c r="A332" s="116" t="str">
        <f>IF(Inputs!$A28="","",Inputs!$A28)</f>
        <v>AN23108-0100R</v>
      </c>
      <c r="B332" s="116" t="str">
        <f>IF(Inputs!$A28="","",Inputs!$A$92)</f>
        <v>Osama</v>
      </c>
      <c r="C332" s="116"/>
      <c r="D332" s="122">
        <f>IF($A332="","",(IF(ISNUMBER(SEARCH("Proposal",$A332)),SUMIFS('Timesheet Raw'!$P$4:$P$8000,'Timesheet Raw'!$A$4:$A$8000,IF(ISNUMBER(SEARCH("Chargable",$A332)),"2-Proposals Chargeable","3-Proposals Regular"),'Timesheet Raw'!$C$4:$C$8000,"*"&amp;$B332&amp;"*",'Timesheet Raw'!$L$4:$L$8000,"&gt;="&amp;MAX(D$5,DATE(2000+VALUE(RIGHT(TRIM($A332),2)),1,1)),'Timesheet Raw'!$L$4:$L$8000,"&lt;="&amp;MIN(D$6,DATE(2000+VALUE(RIGHT(TRIM($A332),2)),12,31))),SUMIFS('Timesheet Raw'!$P$4:$P$8000,'Timesheet Raw'!$B$4:$B$8000,TRIM($A332),'Timesheet Raw'!$C$4:$C$8000,"*"&amp;$B332&amp;"*",'Timesheet Raw'!$L$4:$L$8000,"&gt;="&amp;D$5,'Timesheet Raw'!$L$4:$L$8000,"&lt;="&amp;D$6)))/'Profit Plan'!$B$5)</f>
        <v>0</v>
      </c>
      <c r="E332" s="122">
        <f>IF($A332="","",(IF(ISNUMBER(SEARCH("Proposal",$A332)),SUMIFS('Timesheet Raw'!$P$4:$P$8000,'Timesheet Raw'!$A$4:$A$8000,IF(ISNUMBER(SEARCH("Chargable",$A332)),"2-Proposals Chargeable","3-Proposals Regular"),'Timesheet Raw'!$C$4:$C$8000,"*"&amp;$B332&amp;"*",'Timesheet Raw'!$L$4:$L$8000,"&gt;="&amp;MAX(E$5,DATE(2000+VALUE(RIGHT(TRIM($A332),2)),1,1)),'Timesheet Raw'!$L$4:$L$8000,"&lt;="&amp;MIN(E$6,DATE(2000+VALUE(RIGHT(TRIM($A332),2)),12,31))),SUMIFS('Timesheet Raw'!$P$4:$P$8000,'Timesheet Raw'!$B$4:$B$8000,TRIM($A332),'Timesheet Raw'!$C$4:$C$8000,"*"&amp;$B332&amp;"*",'Timesheet Raw'!$L$4:$L$8000,"&gt;="&amp;E$5,'Timesheet Raw'!$L$4:$L$8000,"&lt;="&amp;E$6)))/'Profit Plan'!$B$5)</f>
        <v>0</v>
      </c>
      <c r="F332" s="122">
        <f>IF($A332="","",(IF(ISNUMBER(SEARCH("Proposal",$A332)),SUMIFS('Timesheet Raw'!$P$4:$P$8000,'Timesheet Raw'!$A$4:$A$8000,IF(ISNUMBER(SEARCH("Chargable",$A332)),"2-Proposals Chargeable","3-Proposals Regular"),'Timesheet Raw'!$C$4:$C$8000,"*"&amp;$B332&amp;"*",'Timesheet Raw'!$L$4:$L$8000,"&gt;="&amp;MAX(F$5,DATE(2000+VALUE(RIGHT(TRIM($A332),2)),1,1)),'Timesheet Raw'!$L$4:$L$8000,"&lt;="&amp;MIN(F$6,DATE(2000+VALUE(RIGHT(TRIM($A332),2)),12,31))),SUMIFS('Timesheet Raw'!$P$4:$P$8000,'Timesheet Raw'!$B$4:$B$8000,TRIM($A332),'Timesheet Raw'!$C$4:$C$8000,"*"&amp;$B332&amp;"*",'Timesheet Raw'!$L$4:$L$8000,"&gt;="&amp;F$5,'Timesheet Raw'!$L$4:$L$8000,"&lt;="&amp;F$6)))/'Profit Plan'!$B$5)</f>
        <v>0</v>
      </c>
      <c r="G332" s="122">
        <f>IF($A332="","",(IF(ISNUMBER(SEARCH("Proposal",$A332)),SUMIFS('Timesheet Raw'!$P$4:$P$8000,'Timesheet Raw'!$A$4:$A$8000,IF(ISNUMBER(SEARCH("Chargable",$A332)),"2-Proposals Chargeable","3-Proposals Regular"),'Timesheet Raw'!$C$4:$C$8000,"*"&amp;$B332&amp;"*",'Timesheet Raw'!$L$4:$L$8000,"&gt;="&amp;MAX(G$5,DATE(2000+VALUE(RIGHT(TRIM($A332),2)),1,1)),'Timesheet Raw'!$L$4:$L$8000,"&lt;="&amp;MIN(G$6,DATE(2000+VALUE(RIGHT(TRIM($A332),2)),12,31))),SUMIFS('Timesheet Raw'!$P$4:$P$8000,'Timesheet Raw'!$B$4:$B$8000,TRIM($A332),'Timesheet Raw'!$C$4:$C$8000,"*"&amp;$B332&amp;"*",'Timesheet Raw'!$L$4:$L$8000,"&gt;="&amp;G$5,'Timesheet Raw'!$L$4:$L$8000,"&lt;="&amp;G$6)))/'Profit Plan'!$B$5)</f>
        <v>0</v>
      </c>
      <c r="H332" s="122">
        <f>IF($A332="","",(IF(ISNUMBER(SEARCH("Proposal",$A332)),SUMIFS('Timesheet Raw'!$P$4:$P$8000,'Timesheet Raw'!$A$4:$A$8000,IF(ISNUMBER(SEARCH("Chargable",$A332)),"2-Proposals Chargeable","3-Proposals Regular"),'Timesheet Raw'!$C$4:$C$8000,"*"&amp;$B332&amp;"*",'Timesheet Raw'!$L$4:$L$8000,"&gt;="&amp;MAX(H$5,DATE(2000+VALUE(RIGHT(TRIM($A332),2)),1,1)),'Timesheet Raw'!$L$4:$L$8000,"&lt;="&amp;MIN(H$6,DATE(2000+VALUE(RIGHT(TRIM($A332),2)),12,31))),SUMIFS('Timesheet Raw'!$P$4:$P$8000,'Timesheet Raw'!$B$4:$B$8000,TRIM($A332),'Timesheet Raw'!$C$4:$C$8000,"*"&amp;$B332&amp;"*",'Timesheet Raw'!$L$4:$L$8000,"&gt;="&amp;H$5,'Timesheet Raw'!$L$4:$L$8000,"&lt;="&amp;H$6)))/'Profit Plan'!$B$5)</f>
        <v>0</v>
      </c>
      <c r="I332" s="122">
        <f>IF($A332="","",(IF(ISNUMBER(SEARCH("Proposal",$A332)),SUMIFS('Timesheet Raw'!$P$4:$P$8000,'Timesheet Raw'!$A$4:$A$8000,IF(ISNUMBER(SEARCH("Chargable",$A332)),"2-Proposals Chargeable","3-Proposals Regular"),'Timesheet Raw'!$C$4:$C$8000,"*"&amp;$B332&amp;"*",'Timesheet Raw'!$L$4:$L$8000,"&gt;="&amp;MAX(I$5,DATE(2000+VALUE(RIGHT(TRIM($A332),2)),1,1)),'Timesheet Raw'!$L$4:$L$8000,"&lt;="&amp;MIN(I$6,DATE(2000+VALUE(RIGHT(TRIM($A332),2)),12,31))),SUMIFS('Timesheet Raw'!$P$4:$P$8000,'Timesheet Raw'!$B$4:$B$8000,TRIM($A332),'Timesheet Raw'!$C$4:$C$8000,"*"&amp;$B332&amp;"*",'Timesheet Raw'!$L$4:$L$8000,"&gt;="&amp;I$5,'Timesheet Raw'!$L$4:$L$8000,"&lt;="&amp;I$6)))/'Profit Plan'!$B$5)</f>
        <v>0</v>
      </c>
      <c r="J332" s="122">
        <f>IF($A332="","",(IF(ISNUMBER(SEARCH("Proposal",$A332)),SUMIFS('Timesheet Raw'!$P$4:$P$8000,'Timesheet Raw'!$A$4:$A$8000,IF(ISNUMBER(SEARCH("Chargable",$A332)),"2-Proposals Chargeable","3-Proposals Regular"),'Timesheet Raw'!$C$4:$C$8000,"*"&amp;$B332&amp;"*",'Timesheet Raw'!$L$4:$L$8000,"&gt;="&amp;MAX(J$5,DATE(2000+VALUE(RIGHT(TRIM($A332),2)),1,1)),'Timesheet Raw'!$L$4:$L$8000,"&lt;="&amp;MIN(J$6,DATE(2000+VALUE(RIGHT(TRIM($A332),2)),12,31))),SUMIFS('Timesheet Raw'!$P$4:$P$8000,'Timesheet Raw'!$B$4:$B$8000,TRIM($A332),'Timesheet Raw'!$C$4:$C$8000,"*"&amp;$B332&amp;"*",'Timesheet Raw'!$L$4:$L$8000,"&gt;="&amp;J$5,'Timesheet Raw'!$L$4:$L$8000,"&lt;="&amp;J$6)))/'Profit Plan'!$B$5)</f>
        <v>0</v>
      </c>
      <c r="K332" s="122">
        <f>IF($A332="","",(IF(ISNUMBER(SEARCH("Proposal",$A332)),SUMIFS('Timesheet Raw'!$P$4:$P$8000,'Timesheet Raw'!$A$4:$A$8000,IF(ISNUMBER(SEARCH("Chargable",$A332)),"2-Proposals Chargeable","3-Proposals Regular"),'Timesheet Raw'!$C$4:$C$8000,"*"&amp;$B332&amp;"*",'Timesheet Raw'!$L$4:$L$8000,"&gt;="&amp;MAX(K$5,DATE(2000+VALUE(RIGHT(TRIM($A332),2)),1,1)),'Timesheet Raw'!$L$4:$L$8000,"&lt;="&amp;MIN(K$6,DATE(2000+VALUE(RIGHT(TRIM($A332),2)),12,31))),SUMIFS('Timesheet Raw'!$P$4:$P$8000,'Timesheet Raw'!$B$4:$B$8000,TRIM($A332),'Timesheet Raw'!$C$4:$C$8000,"*"&amp;$B332&amp;"*",'Timesheet Raw'!$L$4:$L$8000,"&gt;="&amp;K$5,'Timesheet Raw'!$L$4:$L$8000,"&lt;="&amp;K$6)))/'Profit Plan'!$B$5)</f>
        <v>0</v>
      </c>
      <c r="L332" s="122">
        <f>IF($A332="","",(IF(ISNUMBER(SEARCH("Proposal",$A332)),SUMIFS('Timesheet Raw'!$P$4:$P$8000,'Timesheet Raw'!$A$4:$A$8000,IF(ISNUMBER(SEARCH("Chargable",$A332)),"2-Proposals Chargeable","3-Proposals Regular"),'Timesheet Raw'!$C$4:$C$8000,"*"&amp;$B332&amp;"*",'Timesheet Raw'!$L$4:$L$8000,"&gt;="&amp;MAX(L$5,DATE(2000+VALUE(RIGHT(TRIM($A332),2)),1,1)),'Timesheet Raw'!$L$4:$L$8000,"&lt;="&amp;MIN(L$6,DATE(2000+VALUE(RIGHT(TRIM($A332),2)),12,31))),SUMIFS('Timesheet Raw'!$P$4:$P$8000,'Timesheet Raw'!$B$4:$B$8000,TRIM($A332),'Timesheet Raw'!$C$4:$C$8000,"*"&amp;$B332&amp;"*",'Timesheet Raw'!$L$4:$L$8000,"&gt;="&amp;L$5,'Timesheet Raw'!$L$4:$L$8000,"&lt;="&amp;L$6)))/'Profit Plan'!$B$5)</f>
        <v>0</v>
      </c>
      <c r="M332" s="122">
        <f>IF($A332="","",(IF(ISNUMBER(SEARCH("Proposal",$A332)),SUMIFS('Timesheet Raw'!$P$4:$P$8000,'Timesheet Raw'!$A$4:$A$8000,IF(ISNUMBER(SEARCH("Chargable",$A332)),"2-Proposals Chargeable","3-Proposals Regular"),'Timesheet Raw'!$C$4:$C$8000,"*"&amp;$B332&amp;"*",'Timesheet Raw'!$L$4:$L$8000,"&gt;="&amp;MAX(M$5,DATE(2000+VALUE(RIGHT(TRIM($A332),2)),1,1)),'Timesheet Raw'!$L$4:$L$8000,"&lt;="&amp;MIN(M$6,DATE(2000+VALUE(RIGHT(TRIM($A332),2)),12,31))),SUMIFS('Timesheet Raw'!$P$4:$P$8000,'Timesheet Raw'!$B$4:$B$8000,TRIM($A332),'Timesheet Raw'!$C$4:$C$8000,"*"&amp;$B332&amp;"*",'Timesheet Raw'!$L$4:$L$8000,"&gt;="&amp;M$5,'Timesheet Raw'!$L$4:$L$8000,"&lt;="&amp;M$6)))/'Profit Plan'!$B$5)</f>
        <v>0</v>
      </c>
      <c r="N332" s="122">
        <f>IF($A332="","",(IF(ISNUMBER(SEARCH("Proposal",$A332)),SUMIFS('Timesheet Raw'!$P$4:$P$8000,'Timesheet Raw'!$A$4:$A$8000,IF(ISNUMBER(SEARCH("Chargable",$A332)),"2-Proposals Chargeable","3-Proposals Regular"),'Timesheet Raw'!$C$4:$C$8000,"*"&amp;$B332&amp;"*",'Timesheet Raw'!$L$4:$L$8000,"&gt;="&amp;MAX(N$5,DATE(2000+VALUE(RIGHT(TRIM($A332),2)),1,1)),'Timesheet Raw'!$L$4:$L$8000,"&lt;="&amp;MIN(N$6,DATE(2000+VALUE(RIGHT(TRIM($A332),2)),12,31))),SUMIFS('Timesheet Raw'!$P$4:$P$8000,'Timesheet Raw'!$B$4:$B$8000,TRIM($A332),'Timesheet Raw'!$C$4:$C$8000,"*"&amp;$B332&amp;"*",'Timesheet Raw'!$L$4:$L$8000,"&gt;="&amp;N$5,'Timesheet Raw'!$L$4:$L$8000,"&lt;="&amp;N$6)))/'Profit Plan'!$B$5)</f>
        <v>0</v>
      </c>
      <c r="O332" s="122">
        <f>IF($A332="","",(IF(ISNUMBER(SEARCH("Proposal",$A332)),SUMIFS('Timesheet Raw'!$P$4:$P$8000,'Timesheet Raw'!$A$4:$A$8000,IF(ISNUMBER(SEARCH("Chargable",$A332)),"2-Proposals Chargeable","3-Proposals Regular"),'Timesheet Raw'!$C$4:$C$8000,"*"&amp;$B332&amp;"*",'Timesheet Raw'!$L$4:$L$8000,"&gt;="&amp;MAX(O$5,DATE(2000+VALUE(RIGHT(TRIM($A332),2)),1,1)),'Timesheet Raw'!$L$4:$L$8000,"&lt;="&amp;MIN(O$6,DATE(2000+VALUE(RIGHT(TRIM($A332),2)),12,31))),SUMIFS('Timesheet Raw'!$P$4:$P$8000,'Timesheet Raw'!$B$4:$B$8000,TRIM($A332),'Timesheet Raw'!$C$4:$C$8000,"*"&amp;$B332&amp;"*",'Timesheet Raw'!$L$4:$L$8000,"&gt;="&amp;O$5,'Timesheet Raw'!$L$4:$L$8000,"&lt;="&amp;O$6)))/'Profit Plan'!$B$5)</f>
        <v>0</v>
      </c>
      <c r="P332" s="122">
        <f>IF($A332="","",(IF(ISNUMBER(SEARCH("Proposal",$A332)),SUMIFS('Timesheet Raw'!$P$4:$P$8000,'Timesheet Raw'!$A$4:$A$8000,IF(ISNUMBER(SEARCH("Chargable",$A332)),"2-Proposals Chargeable","3-Proposals Regular"),'Timesheet Raw'!$C$4:$C$8000,"*"&amp;$B332&amp;"*",'Timesheet Raw'!$L$4:$L$8000,"&gt;="&amp;MAX(P$5,DATE(2000+VALUE(RIGHT(TRIM($A332),2)),1,1)),'Timesheet Raw'!$L$4:$L$8000,"&lt;="&amp;MIN(P$6,DATE(2000+VALUE(RIGHT(TRIM($A332),2)),12,31))),SUMIFS('Timesheet Raw'!$P$4:$P$8000,'Timesheet Raw'!$B$4:$B$8000,TRIM($A332),'Timesheet Raw'!$C$4:$C$8000,"*"&amp;$B332&amp;"*",'Timesheet Raw'!$L$4:$L$8000,"&gt;="&amp;P$5,'Timesheet Raw'!$L$4:$L$8000,"&lt;="&amp;P$6)))/'Profit Plan'!$B$5)</f>
        <v>0</v>
      </c>
      <c r="Q332" s="122">
        <f>IF($A332="","",(IF(ISNUMBER(SEARCH("Proposal",$A332)),SUMIFS('Timesheet Raw'!$P$4:$P$8000,'Timesheet Raw'!$A$4:$A$8000,IF(ISNUMBER(SEARCH("Chargable",$A332)),"2-Proposals Chargeable","3-Proposals Regular"),'Timesheet Raw'!$C$4:$C$8000,"*"&amp;$B332&amp;"*",'Timesheet Raw'!$L$4:$L$8000,"&gt;="&amp;MAX(Q$5,DATE(2000+VALUE(RIGHT(TRIM($A332),2)),1,1)),'Timesheet Raw'!$L$4:$L$8000,"&lt;="&amp;MIN(Q$6,DATE(2000+VALUE(RIGHT(TRIM($A332),2)),12,31))),SUMIFS('Timesheet Raw'!$P$4:$P$8000,'Timesheet Raw'!$B$4:$B$8000,TRIM($A332),'Timesheet Raw'!$C$4:$C$8000,"*"&amp;$B332&amp;"*",'Timesheet Raw'!$L$4:$L$8000,"&gt;="&amp;Q$5,'Timesheet Raw'!$L$4:$L$8000,"&lt;="&amp;Q$6)))/'Profit Plan'!$B$5)</f>
        <v>0</v>
      </c>
      <c r="R332" s="122">
        <f>IF($A332="","",(IF(ISNUMBER(SEARCH("Proposal",$A332)),SUMIFS('Timesheet Raw'!$P$4:$P$8000,'Timesheet Raw'!$A$4:$A$8000,IF(ISNUMBER(SEARCH("Chargable",$A332)),"2-Proposals Chargeable","3-Proposals Regular"),'Timesheet Raw'!$C$4:$C$8000,"*"&amp;$B332&amp;"*",'Timesheet Raw'!$L$4:$L$8000,"&gt;="&amp;MAX(R$5,DATE(2000+VALUE(RIGHT(TRIM($A332),2)),1,1)),'Timesheet Raw'!$L$4:$L$8000,"&lt;="&amp;MIN(R$6,DATE(2000+VALUE(RIGHT(TRIM($A332),2)),12,31))),SUMIFS('Timesheet Raw'!$P$4:$P$8000,'Timesheet Raw'!$B$4:$B$8000,TRIM($A332),'Timesheet Raw'!$C$4:$C$8000,"*"&amp;$B332&amp;"*",'Timesheet Raw'!$L$4:$L$8000,"&gt;="&amp;R$5,'Timesheet Raw'!$L$4:$L$8000,"&lt;="&amp;R$6)))/'Profit Plan'!$B$5)</f>
        <v>0</v>
      </c>
      <c r="S332" s="122">
        <f>IF($A332="","",(IF(ISNUMBER(SEARCH("Proposal",$A332)),SUMIFS('Timesheet Raw'!$P$4:$P$8000,'Timesheet Raw'!$A$4:$A$8000,IF(ISNUMBER(SEARCH("Chargable",$A332)),"2-Proposals Chargeable","3-Proposals Regular"),'Timesheet Raw'!$C$4:$C$8000,"*"&amp;$B332&amp;"*",'Timesheet Raw'!$L$4:$L$8000,"&gt;="&amp;MAX(S$5,DATE(2000+VALUE(RIGHT(TRIM($A332),2)),1,1)),'Timesheet Raw'!$L$4:$L$8000,"&lt;="&amp;MIN(S$6,DATE(2000+VALUE(RIGHT(TRIM($A332),2)),12,31))),SUMIFS('Timesheet Raw'!$P$4:$P$8000,'Timesheet Raw'!$B$4:$B$8000,TRIM($A332),'Timesheet Raw'!$C$4:$C$8000,"*"&amp;$B332&amp;"*",'Timesheet Raw'!$L$4:$L$8000,"&gt;="&amp;S$5,'Timesheet Raw'!$L$4:$L$8000,"&lt;="&amp;S$6)))/'Profit Plan'!$B$5)</f>
        <v>0</v>
      </c>
      <c r="T332" s="122">
        <f>IF($A332="","",(IF(ISNUMBER(SEARCH("Proposal",$A332)),SUMIFS('Timesheet Raw'!$P$4:$P$8000,'Timesheet Raw'!$A$4:$A$8000,IF(ISNUMBER(SEARCH("Chargable",$A332)),"2-Proposals Chargeable","3-Proposals Regular"),'Timesheet Raw'!$C$4:$C$8000,"*"&amp;$B332&amp;"*",'Timesheet Raw'!$L$4:$L$8000,"&gt;="&amp;MAX(T$5,DATE(2000+VALUE(RIGHT(TRIM($A332),2)),1,1)),'Timesheet Raw'!$L$4:$L$8000,"&lt;="&amp;MIN(T$6,DATE(2000+VALUE(RIGHT(TRIM($A332),2)),12,31))),SUMIFS('Timesheet Raw'!$P$4:$P$8000,'Timesheet Raw'!$B$4:$B$8000,TRIM($A332),'Timesheet Raw'!$C$4:$C$8000,"*"&amp;$B332&amp;"*",'Timesheet Raw'!$L$4:$L$8000,"&gt;="&amp;T$5,'Timesheet Raw'!$L$4:$L$8000,"&lt;="&amp;T$6)))/'Profit Plan'!$B$5)</f>
        <v>0</v>
      </c>
      <c r="U332" s="122">
        <f>IF($A332="","",(IF(ISNUMBER(SEARCH("Proposal",$A332)),SUMIFS('Timesheet Raw'!$P$4:$P$8000,'Timesheet Raw'!$A$4:$A$8000,IF(ISNUMBER(SEARCH("Chargable",$A332)),"2-Proposals Chargeable","3-Proposals Regular"),'Timesheet Raw'!$C$4:$C$8000,"*"&amp;$B332&amp;"*",'Timesheet Raw'!$L$4:$L$8000,"&gt;="&amp;MAX(U$5,DATE(2000+VALUE(RIGHT(TRIM($A332),2)),1,1)),'Timesheet Raw'!$L$4:$L$8000,"&lt;="&amp;MIN(U$6,DATE(2000+VALUE(RIGHT(TRIM($A332),2)),12,31))),SUMIFS('Timesheet Raw'!$P$4:$P$8000,'Timesheet Raw'!$B$4:$B$8000,TRIM($A332),'Timesheet Raw'!$C$4:$C$8000,"*"&amp;$B332&amp;"*",'Timesheet Raw'!$L$4:$L$8000,"&gt;="&amp;U$5,'Timesheet Raw'!$L$4:$L$8000,"&lt;="&amp;U$6)))/'Profit Plan'!$B$5)</f>
        <v>0</v>
      </c>
      <c r="V332" s="122">
        <f>IF($A332="","",(IF(ISNUMBER(SEARCH("Proposal",$A332)),SUMIFS('Timesheet Raw'!$P$4:$P$8000,'Timesheet Raw'!$A$4:$A$8000,IF(ISNUMBER(SEARCH("Chargable",$A332)),"2-Proposals Chargeable","3-Proposals Regular"),'Timesheet Raw'!$C$4:$C$8000,"*"&amp;$B332&amp;"*",'Timesheet Raw'!$L$4:$L$8000,"&gt;="&amp;MAX(V$5,DATE(2000+VALUE(RIGHT(TRIM($A332),2)),1,1)),'Timesheet Raw'!$L$4:$L$8000,"&lt;="&amp;MIN(V$6,DATE(2000+VALUE(RIGHT(TRIM($A332),2)),12,31))),SUMIFS('Timesheet Raw'!$P$4:$P$8000,'Timesheet Raw'!$B$4:$B$8000,TRIM($A332),'Timesheet Raw'!$C$4:$C$8000,"*"&amp;$B332&amp;"*",'Timesheet Raw'!$L$4:$L$8000,"&gt;="&amp;V$5,'Timesheet Raw'!$L$4:$L$8000,"&lt;="&amp;V$6)))/'Profit Plan'!$B$5)</f>
        <v>0</v>
      </c>
      <c r="W332" s="122">
        <f>IF($A332="","",(IF(ISNUMBER(SEARCH("Proposal",$A332)),SUMIFS('Timesheet Raw'!$P$4:$P$8000,'Timesheet Raw'!$A$4:$A$8000,IF(ISNUMBER(SEARCH("Chargable",$A332)),"2-Proposals Chargeable","3-Proposals Regular"),'Timesheet Raw'!$C$4:$C$8000,"*"&amp;$B332&amp;"*",'Timesheet Raw'!$L$4:$L$8000,"&gt;="&amp;MAX(W$5,DATE(2000+VALUE(RIGHT(TRIM($A332),2)),1,1)),'Timesheet Raw'!$L$4:$L$8000,"&lt;="&amp;MIN(W$6,DATE(2000+VALUE(RIGHT(TRIM($A332),2)),12,31))),SUMIFS('Timesheet Raw'!$P$4:$P$8000,'Timesheet Raw'!$B$4:$B$8000,TRIM($A332),'Timesheet Raw'!$C$4:$C$8000,"*"&amp;$B332&amp;"*",'Timesheet Raw'!$L$4:$L$8000,"&gt;="&amp;W$5,'Timesheet Raw'!$L$4:$L$8000,"&lt;="&amp;W$6)))/'Profit Plan'!$B$5)</f>
        <v>0</v>
      </c>
      <c r="X332" s="122">
        <f>IF($A332="","",(IF(ISNUMBER(SEARCH("Proposal",$A332)),SUMIFS('Timesheet Raw'!$P$4:$P$8000,'Timesheet Raw'!$A$4:$A$8000,IF(ISNUMBER(SEARCH("Chargable",$A332)),"2-Proposals Chargeable","3-Proposals Regular"),'Timesheet Raw'!$C$4:$C$8000,"*"&amp;$B332&amp;"*",'Timesheet Raw'!$L$4:$L$8000,"&gt;="&amp;MAX(X$5,DATE(2000+VALUE(RIGHT(TRIM($A332),2)),1,1)),'Timesheet Raw'!$L$4:$L$8000,"&lt;="&amp;MIN(X$6,DATE(2000+VALUE(RIGHT(TRIM($A332),2)),12,31))),SUMIFS('Timesheet Raw'!$P$4:$P$8000,'Timesheet Raw'!$B$4:$B$8000,TRIM($A332),'Timesheet Raw'!$C$4:$C$8000,"*"&amp;$B332&amp;"*",'Timesheet Raw'!$L$4:$L$8000,"&gt;="&amp;X$5,'Timesheet Raw'!$L$4:$L$8000,"&lt;="&amp;X$6)))/'Profit Plan'!$B$5)</f>
        <v>0</v>
      </c>
      <c r="Y332" s="118">
        <f t="shared" si="101"/>
        <v>0</v>
      </c>
    </row>
    <row r="333" spans="1:25" x14ac:dyDescent="0.3">
      <c r="A333" s="116" t="str">
        <f>IF(Inputs!$A28="","",Inputs!$A28)</f>
        <v>AN23108-0100R</v>
      </c>
      <c r="B333" s="116" t="str">
        <f>IF(Inputs!$A28="","",Inputs!$A$93)</f>
        <v>Kirolos</v>
      </c>
      <c r="C333" s="116"/>
      <c r="D333" s="122">
        <f>IF($A333="","",(IF(ISNUMBER(SEARCH("Proposal",$A333)),SUMIFS('Timesheet Raw'!$P$4:$P$8000,'Timesheet Raw'!$A$4:$A$8000,IF(ISNUMBER(SEARCH("Chargable",$A333)),"2-Proposals Chargeable","3-Proposals Regular"),'Timesheet Raw'!$C$4:$C$8000,"*"&amp;$B333&amp;"*",'Timesheet Raw'!$L$4:$L$8000,"&gt;="&amp;MAX(D$5,DATE(2000+VALUE(RIGHT(TRIM($A333),2)),1,1)),'Timesheet Raw'!$L$4:$L$8000,"&lt;="&amp;MIN(D$6,DATE(2000+VALUE(RIGHT(TRIM($A333),2)),12,31))),SUMIFS('Timesheet Raw'!$P$4:$P$8000,'Timesheet Raw'!$B$4:$B$8000,TRIM($A333),'Timesheet Raw'!$C$4:$C$8000,"*"&amp;$B333&amp;"*",'Timesheet Raw'!$L$4:$L$8000,"&gt;="&amp;D$5,'Timesheet Raw'!$L$4:$L$8000,"&lt;="&amp;D$6)))/'Profit Plan'!$B$5)</f>
        <v>0</v>
      </c>
      <c r="E333" s="122">
        <f>IF($A333="","",(IF(ISNUMBER(SEARCH("Proposal",$A333)),SUMIFS('Timesheet Raw'!$P$4:$P$8000,'Timesheet Raw'!$A$4:$A$8000,IF(ISNUMBER(SEARCH("Chargable",$A333)),"2-Proposals Chargeable","3-Proposals Regular"),'Timesheet Raw'!$C$4:$C$8000,"*"&amp;$B333&amp;"*",'Timesheet Raw'!$L$4:$L$8000,"&gt;="&amp;MAX(E$5,DATE(2000+VALUE(RIGHT(TRIM($A333),2)),1,1)),'Timesheet Raw'!$L$4:$L$8000,"&lt;="&amp;MIN(E$6,DATE(2000+VALUE(RIGHT(TRIM($A333),2)),12,31))),SUMIFS('Timesheet Raw'!$P$4:$P$8000,'Timesheet Raw'!$B$4:$B$8000,TRIM($A333),'Timesheet Raw'!$C$4:$C$8000,"*"&amp;$B333&amp;"*",'Timesheet Raw'!$L$4:$L$8000,"&gt;="&amp;E$5,'Timesheet Raw'!$L$4:$L$8000,"&lt;="&amp;E$6)))/'Profit Plan'!$B$5)</f>
        <v>0</v>
      </c>
      <c r="F333" s="122">
        <f>IF($A333="","",(IF(ISNUMBER(SEARCH("Proposal",$A333)),SUMIFS('Timesheet Raw'!$P$4:$P$8000,'Timesheet Raw'!$A$4:$A$8000,IF(ISNUMBER(SEARCH("Chargable",$A333)),"2-Proposals Chargeable","3-Proposals Regular"),'Timesheet Raw'!$C$4:$C$8000,"*"&amp;$B333&amp;"*",'Timesheet Raw'!$L$4:$L$8000,"&gt;="&amp;MAX(F$5,DATE(2000+VALUE(RIGHT(TRIM($A333),2)),1,1)),'Timesheet Raw'!$L$4:$L$8000,"&lt;="&amp;MIN(F$6,DATE(2000+VALUE(RIGHT(TRIM($A333),2)),12,31))),SUMIFS('Timesheet Raw'!$P$4:$P$8000,'Timesheet Raw'!$B$4:$B$8000,TRIM($A333),'Timesheet Raw'!$C$4:$C$8000,"*"&amp;$B333&amp;"*",'Timesheet Raw'!$L$4:$L$8000,"&gt;="&amp;F$5,'Timesheet Raw'!$L$4:$L$8000,"&lt;="&amp;F$6)))/'Profit Plan'!$B$5)</f>
        <v>0</v>
      </c>
      <c r="G333" s="122">
        <f>IF($A333="","",(IF(ISNUMBER(SEARCH("Proposal",$A333)),SUMIFS('Timesheet Raw'!$P$4:$P$8000,'Timesheet Raw'!$A$4:$A$8000,IF(ISNUMBER(SEARCH("Chargable",$A333)),"2-Proposals Chargeable","3-Proposals Regular"),'Timesheet Raw'!$C$4:$C$8000,"*"&amp;$B333&amp;"*",'Timesheet Raw'!$L$4:$L$8000,"&gt;="&amp;MAX(G$5,DATE(2000+VALUE(RIGHT(TRIM($A333),2)),1,1)),'Timesheet Raw'!$L$4:$L$8000,"&lt;="&amp;MIN(G$6,DATE(2000+VALUE(RIGHT(TRIM($A333),2)),12,31))),SUMIFS('Timesheet Raw'!$P$4:$P$8000,'Timesheet Raw'!$B$4:$B$8000,TRIM($A333),'Timesheet Raw'!$C$4:$C$8000,"*"&amp;$B333&amp;"*",'Timesheet Raw'!$L$4:$L$8000,"&gt;="&amp;G$5,'Timesheet Raw'!$L$4:$L$8000,"&lt;="&amp;G$6)))/'Profit Plan'!$B$5)</f>
        <v>0</v>
      </c>
      <c r="H333" s="122">
        <f>IF($A333="","",(IF(ISNUMBER(SEARCH("Proposal",$A333)),SUMIFS('Timesheet Raw'!$P$4:$P$8000,'Timesheet Raw'!$A$4:$A$8000,IF(ISNUMBER(SEARCH("Chargable",$A333)),"2-Proposals Chargeable","3-Proposals Regular"),'Timesheet Raw'!$C$4:$C$8000,"*"&amp;$B333&amp;"*",'Timesheet Raw'!$L$4:$L$8000,"&gt;="&amp;MAX(H$5,DATE(2000+VALUE(RIGHT(TRIM($A333),2)),1,1)),'Timesheet Raw'!$L$4:$L$8000,"&lt;="&amp;MIN(H$6,DATE(2000+VALUE(RIGHT(TRIM($A333),2)),12,31))),SUMIFS('Timesheet Raw'!$P$4:$P$8000,'Timesheet Raw'!$B$4:$B$8000,TRIM($A333),'Timesheet Raw'!$C$4:$C$8000,"*"&amp;$B333&amp;"*",'Timesheet Raw'!$L$4:$L$8000,"&gt;="&amp;H$5,'Timesheet Raw'!$L$4:$L$8000,"&lt;="&amp;H$6)))/'Profit Plan'!$B$5)</f>
        <v>0</v>
      </c>
      <c r="I333" s="122">
        <f>IF($A333="","",(IF(ISNUMBER(SEARCH("Proposal",$A333)),SUMIFS('Timesheet Raw'!$P$4:$P$8000,'Timesheet Raw'!$A$4:$A$8000,IF(ISNUMBER(SEARCH("Chargable",$A333)),"2-Proposals Chargeable","3-Proposals Regular"),'Timesheet Raw'!$C$4:$C$8000,"*"&amp;$B333&amp;"*",'Timesheet Raw'!$L$4:$L$8000,"&gt;="&amp;MAX(I$5,DATE(2000+VALUE(RIGHT(TRIM($A333),2)),1,1)),'Timesheet Raw'!$L$4:$L$8000,"&lt;="&amp;MIN(I$6,DATE(2000+VALUE(RIGHT(TRIM($A333),2)),12,31))),SUMIFS('Timesheet Raw'!$P$4:$P$8000,'Timesheet Raw'!$B$4:$B$8000,TRIM($A333),'Timesheet Raw'!$C$4:$C$8000,"*"&amp;$B333&amp;"*",'Timesheet Raw'!$L$4:$L$8000,"&gt;="&amp;I$5,'Timesheet Raw'!$L$4:$L$8000,"&lt;="&amp;I$6)))/'Profit Plan'!$B$5)</f>
        <v>0</v>
      </c>
      <c r="J333" s="122">
        <f>IF($A333="","",(IF(ISNUMBER(SEARCH("Proposal",$A333)),SUMIFS('Timesheet Raw'!$P$4:$P$8000,'Timesheet Raw'!$A$4:$A$8000,IF(ISNUMBER(SEARCH("Chargable",$A333)),"2-Proposals Chargeable","3-Proposals Regular"),'Timesheet Raw'!$C$4:$C$8000,"*"&amp;$B333&amp;"*",'Timesheet Raw'!$L$4:$L$8000,"&gt;="&amp;MAX(J$5,DATE(2000+VALUE(RIGHT(TRIM($A333),2)),1,1)),'Timesheet Raw'!$L$4:$L$8000,"&lt;="&amp;MIN(J$6,DATE(2000+VALUE(RIGHT(TRIM($A333),2)),12,31))),SUMIFS('Timesheet Raw'!$P$4:$P$8000,'Timesheet Raw'!$B$4:$B$8000,TRIM($A333),'Timesheet Raw'!$C$4:$C$8000,"*"&amp;$B333&amp;"*",'Timesheet Raw'!$L$4:$L$8000,"&gt;="&amp;J$5,'Timesheet Raw'!$L$4:$L$8000,"&lt;="&amp;J$6)))/'Profit Plan'!$B$5)</f>
        <v>0</v>
      </c>
      <c r="K333" s="122">
        <f>IF($A333="","",(IF(ISNUMBER(SEARCH("Proposal",$A333)),SUMIFS('Timesheet Raw'!$P$4:$P$8000,'Timesheet Raw'!$A$4:$A$8000,IF(ISNUMBER(SEARCH("Chargable",$A333)),"2-Proposals Chargeable","3-Proposals Regular"),'Timesheet Raw'!$C$4:$C$8000,"*"&amp;$B333&amp;"*",'Timesheet Raw'!$L$4:$L$8000,"&gt;="&amp;MAX(K$5,DATE(2000+VALUE(RIGHT(TRIM($A333),2)),1,1)),'Timesheet Raw'!$L$4:$L$8000,"&lt;="&amp;MIN(K$6,DATE(2000+VALUE(RIGHT(TRIM($A333),2)),12,31))),SUMIFS('Timesheet Raw'!$P$4:$P$8000,'Timesheet Raw'!$B$4:$B$8000,TRIM($A333),'Timesheet Raw'!$C$4:$C$8000,"*"&amp;$B333&amp;"*",'Timesheet Raw'!$L$4:$L$8000,"&gt;="&amp;K$5,'Timesheet Raw'!$L$4:$L$8000,"&lt;="&amp;K$6)))/'Profit Plan'!$B$5)</f>
        <v>0</v>
      </c>
      <c r="L333" s="122">
        <f>IF($A333="","",(IF(ISNUMBER(SEARCH("Proposal",$A333)),SUMIFS('Timesheet Raw'!$P$4:$P$8000,'Timesheet Raw'!$A$4:$A$8000,IF(ISNUMBER(SEARCH("Chargable",$A333)),"2-Proposals Chargeable","3-Proposals Regular"),'Timesheet Raw'!$C$4:$C$8000,"*"&amp;$B333&amp;"*",'Timesheet Raw'!$L$4:$L$8000,"&gt;="&amp;MAX(L$5,DATE(2000+VALUE(RIGHT(TRIM($A333),2)),1,1)),'Timesheet Raw'!$L$4:$L$8000,"&lt;="&amp;MIN(L$6,DATE(2000+VALUE(RIGHT(TRIM($A333),2)),12,31))),SUMIFS('Timesheet Raw'!$P$4:$P$8000,'Timesheet Raw'!$B$4:$B$8000,TRIM($A333),'Timesheet Raw'!$C$4:$C$8000,"*"&amp;$B333&amp;"*",'Timesheet Raw'!$L$4:$L$8000,"&gt;="&amp;L$5,'Timesheet Raw'!$L$4:$L$8000,"&lt;="&amp;L$6)))/'Profit Plan'!$B$5)</f>
        <v>4.4594594594594597E-2</v>
      </c>
      <c r="M333" s="122">
        <f>IF($A333="","",(IF(ISNUMBER(SEARCH("Proposal",$A333)),SUMIFS('Timesheet Raw'!$P$4:$P$8000,'Timesheet Raw'!$A$4:$A$8000,IF(ISNUMBER(SEARCH("Chargable",$A333)),"2-Proposals Chargeable","3-Proposals Regular"),'Timesheet Raw'!$C$4:$C$8000,"*"&amp;$B333&amp;"*",'Timesheet Raw'!$L$4:$L$8000,"&gt;="&amp;MAX(M$5,DATE(2000+VALUE(RIGHT(TRIM($A333),2)),1,1)),'Timesheet Raw'!$L$4:$L$8000,"&lt;="&amp;MIN(M$6,DATE(2000+VALUE(RIGHT(TRIM($A333),2)),12,31))),SUMIFS('Timesheet Raw'!$P$4:$P$8000,'Timesheet Raw'!$B$4:$B$8000,TRIM($A333),'Timesheet Raw'!$C$4:$C$8000,"*"&amp;$B333&amp;"*",'Timesheet Raw'!$L$4:$L$8000,"&gt;="&amp;M$5,'Timesheet Raw'!$L$4:$L$8000,"&lt;="&amp;M$6)))/'Profit Plan'!$B$5)</f>
        <v>0.2472972972972973</v>
      </c>
      <c r="N333" s="122">
        <f>IF($A333="","",(IF(ISNUMBER(SEARCH("Proposal",$A333)),SUMIFS('Timesheet Raw'!$P$4:$P$8000,'Timesheet Raw'!$A$4:$A$8000,IF(ISNUMBER(SEARCH("Chargable",$A333)),"2-Proposals Chargeable","3-Proposals Regular"),'Timesheet Raw'!$C$4:$C$8000,"*"&amp;$B333&amp;"*",'Timesheet Raw'!$L$4:$L$8000,"&gt;="&amp;MAX(N$5,DATE(2000+VALUE(RIGHT(TRIM($A333),2)),1,1)),'Timesheet Raw'!$L$4:$L$8000,"&lt;="&amp;MIN(N$6,DATE(2000+VALUE(RIGHT(TRIM($A333),2)),12,31))),SUMIFS('Timesheet Raw'!$P$4:$P$8000,'Timesheet Raw'!$B$4:$B$8000,TRIM($A333),'Timesheet Raw'!$C$4:$C$8000,"*"&amp;$B333&amp;"*",'Timesheet Raw'!$L$4:$L$8000,"&gt;="&amp;N$5,'Timesheet Raw'!$L$4:$L$8000,"&lt;="&amp;N$6)))/'Profit Plan'!$B$5)</f>
        <v>0.35945945945945945</v>
      </c>
      <c r="O333" s="122">
        <f>IF($A333="","",(IF(ISNUMBER(SEARCH("Proposal",$A333)),SUMIFS('Timesheet Raw'!$P$4:$P$8000,'Timesheet Raw'!$A$4:$A$8000,IF(ISNUMBER(SEARCH("Chargable",$A333)),"2-Proposals Chargeable","3-Proposals Regular"),'Timesheet Raw'!$C$4:$C$8000,"*"&amp;$B333&amp;"*",'Timesheet Raw'!$L$4:$L$8000,"&gt;="&amp;MAX(O$5,DATE(2000+VALUE(RIGHT(TRIM($A333),2)),1,1)),'Timesheet Raw'!$L$4:$L$8000,"&lt;="&amp;MIN(O$6,DATE(2000+VALUE(RIGHT(TRIM($A333),2)),12,31))),SUMIFS('Timesheet Raw'!$P$4:$P$8000,'Timesheet Raw'!$B$4:$B$8000,TRIM($A333),'Timesheet Raw'!$C$4:$C$8000,"*"&amp;$B333&amp;"*",'Timesheet Raw'!$L$4:$L$8000,"&gt;="&amp;O$5,'Timesheet Raw'!$L$4:$L$8000,"&lt;="&amp;O$6)))/'Profit Plan'!$B$5)</f>
        <v>7.8378378378378383E-2</v>
      </c>
      <c r="P333" s="122">
        <f>IF($A333="","",(IF(ISNUMBER(SEARCH("Proposal",$A333)),SUMIFS('Timesheet Raw'!$P$4:$P$8000,'Timesheet Raw'!$A$4:$A$8000,IF(ISNUMBER(SEARCH("Chargable",$A333)),"2-Proposals Chargeable","3-Proposals Regular"),'Timesheet Raw'!$C$4:$C$8000,"*"&amp;$B333&amp;"*",'Timesheet Raw'!$L$4:$L$8000,"&gt;="&amp;MAX(P$5,DATE(2000+VALUE(RIGHT(TRIM($A333),2)),1,1)),'Timesheet Raw'!$L$4:$L$8000,"&lt;="&amp;MIN(P$6,DATE(2000+VALUE(RIGHT(TRIM($A333),2)),12,31))),SUMIFS('Timesheet Raw'!$P$4:$P$8000,'Timesheet Raw'!$B$4:$B$8000,TRIM($A333),'Timesheet Raw'!$C$4:$C$8000,"*"&amp;$B333&amp;"*",'Timesheet Raw'!$L$4:$L$8000,"&gt;="&amp;P$5,'Timesheet Raw'!$L$4:$L$8000,"&lt;="&amp;P$6)))/'Profit Plan'!$B$5)</f>
        <v>0</v>
      </c>
      <c r="Q333" s="122">
        <f>IF($A333="","",(IF(ISNUMBER(SEARCH("Proposal",$A333)),SUMIFS('Timesheet Raw'!$P$4:$P$8000,'Timesheet Raw'!$A$4:$A$8000,IF(ISNUMBER(SEARCH("Chargable",$A333)),"2-Proposals Chargeable","3-Proposals Regular"),'Timesheet Raw'!$C$4:$C$8000,"*"&amp;$B333&amp;"*",'Timesheet Raw'!$L$4:$L$8000,"&gt;="&amp;MAX(Q$5,DATE(2000+VALUE(RIGHT(TRIM($A333),2)),1,1)),'Timesheet Raw'!$L$4:$L$8000,"&lt;="&amp;MIN(Q$6,DATE(2000+VALUE(RIGHT(TRIM($A333),2)),12,31))),SUMIFS('Timesheet Raw'!$P$4:$P$8000,'Timesheet Raw'!$B$4:$B$8000,TRIM($A333),'Timesheet Raw'!$C$4:$C$8000,"*"&amp;$B333&amp;"*",'Timesheet Raw'!$L$4:$L$8000,"&gt;="&amp;Q$5,'Timesheet Raw'!$L$4:$L$8000,"&lt;="&amp;Q$6)))/'Profit Plan'!$B$5)</f>
        <v>0</v>
      </c>
      <c r="R333" s="122">
        <f>IF($A333="","",(IF(ISNUMBER(SEARCH("Proposal",$A333)),SUMIFS('Timesheet Raw'!$P$4:$P$8000,'Timesheet Raw'!$A$4:$A$8000,IF(ISNUMBER(SEARCH("Chargable",$A333)),"2-Proposals Chargeable","3-Proposals Regular"),'Timesheet Raw'!$C$4:$C$8000,"*"&amp;$B333&amp;"*",'Timesheet Raw'!$L$4:$L$8000,"&gt;="&amp;MAX(R$5,DATE(2000+VALUE(RIGHT(TRIM($A333),2)),1,1)),'Timesheet Raw'!$L$4:$L$8000,"&lt;="&amp;MIN(R$6,DATE(2000+VALUE(RIGHT(TRIM($A333),2)),12,31))),SUMIFS('Timesheet Raw'!$P$4:$P$8000,'Timesheet Raw'!$B$4:$B$8000,TRIM($A333),'Timesheet Raw'!$C$4:$C$8000,"*"&amp;$B333&amp;"*",'Timesheet Raw'!$L$4:$L$8000,"&gt;="&amp;R$5,'Timesheet Raw'!$L$4:$L$8000,"&lt;="&amp;R$6)))/'Profit Plan'!$B$5)</f>
        <v>0</v>
      </c>
      <c r="S333" s="122">
        <f>IF($A333="","",(IF(ISNUMBER(SEARCH("Proposal",$A333)),SUMIFS('Timesheet Raw'!$P$4:$P$8000,'Timesheet Raw'!$A$4:$A$8000,IF(ISNUMBER(SEARCH("Chargable",$A333)),"2-Proposals Chargeable","3-Proposals Regular"),'Timesheet Raw'!$C$4:$C$8000,"*"&amp;$B333&amp;"*",'Timesheet Raw'!$L$4:$L$8000,"&gt;="&amp;MAX(S$5,DATE(2000+VALUE(RIGHT(TRIM($A333),2)),1,1)),'Timesheet Raw'!$L$4:$L$8000,"&lt;="&amp;MIN(S$6,DATE(2000+VALUE(RIGHT(TRIM($A333),2)),12,31))),SUMIFS('Timesheet Raw'!$P$4:$P$8000,'Timesheet Raw'!$B$4:$B$8000,TRIM($A333),'Timesheet Raw'!$C$4:$C$8000,"*"&amp;$B333&amp;"*",'Timesheet Raw'!$L$4:$L$8000,"&gt;="&amp;S$5,'Timesheet Raw'!$L$4:$L$8000,"&lt;="&amp;S$6)))/'Profit Plan'!$B$5)</f>
        <v>0</v>
      </c>
      <c r="T333" s="122">
        <f>IF($A333="","",(IF(ISNUMBER(SEARCH("Proposal",$A333)),SUMIFS('Timesheet Raw'!$P$4:$P$8000,'Timesheet Raw'!$A$4:$A$8000,IF(ISNUMBER(SEARCH("Chargable",$A333)),"2-Proposals Chargeable","3-Proposals Regular"),'Timesheet Raw'!$C$4:$C$8000,"*"&amp;$B333&amp;"*",'Timesheet Raw'!$L$4:$L$8000,"&gt;="&amp;MAX(T$5,DATE(2000+VALUE(RIGHT(TRIM($A333),2)),1,1)),'Timesheet Raw'!$L$4:$L$8000,"&lt;="&amp;MIN(T$6,DATE(2000+VALUE(RIGHT(TRIM($A333),2)),12,31))),SUMIFS('Timesheet Raw'!$P$4:$P$8000,'Timesheet Raw'!$B$4:$B$8000,TRIM($A333),'Timesheet Raw'!$C$4:$C$8000,"*"&amp;$B333&amp;"*",'Timesheet Raw'!$L$4:$L$8000,"&gt;="&amp;T$5,'Timesheet Raw'!$L$4:$L$8000,"&lt;="&amp;T$6)))/'Profit Plan'!$B$5)</f>
        <v>0</v>
      </c>
      <c r="U333" s="122">
        <f>IF($A333="","",(IF(ISNUMBER(SEARCH("Proposal",$A333)),SUMIFS('Timesheet Raw'!$P$4:$P$8000,'Timesheet Raw'!$A$4:$A$8000,IF(ISNUMBER(SEARCH("Chargable",$A333)),"2-Proposals Chargeable","3-Proposals Regular"),'Timesheet Raw'!$C$4:$C$8000,"*"&amp;$B333&amp;"*",'Timesheet Raw'!$L$4:$L$8000,"&gt;="&amp;MAX(U$5,DATE(2000+VALUE(RIGHT(TRIM($A333),2)),1,1)),'Timesheet Raw'!$L$4:$L$8000,"&lt;="&amp;MIN(U$6,DATE(2000+VALUE(RIGHT(TRIM($A333),2)),12,31))),SUMIFS('Timesheet Raw'!$P$4:$P$8000,'Timesheet Raw'!$B$4:$B$8000,TRIM($A333),'Timesheet Raw'!$C$4:$C$8000,"*"&amp;$B333&amp;"*",'Timesheet Raw'!$L$4:$L$8000,"&gt;="&amp;U$5,'Timesheet Raw'!$L$4:$L$8000,"&lt;="&amp;U$6)))/'Profit Plan'!$B$5)</f>
        <v>0</v>
      </c>
      <c r="V333" s="122">
        <f>IF($A333="","",(IF(ISNUMBER(SEARCH("Proposal",$A333)),SUMIFS('Timesheet Raw'!$P$4:$P$8000,'Timesheet Raw'!$A$4:$A$8000,IF(ISNUMBER(SEARCH("Chargable",$A333)),"2-Proposals Chargeable","3-Proposals Regular"),'Timesheet Raw'!$C$4:$C$8000,"*"&amp;$B333&amp;"*",'Timesheet Raw'!$L$4:$L$8000,"&gt;="&amp;MAX(V$5,DATE(2000+VALUE(RIGHT(TRIM($A333),2)),1,1)),'Timesheet Raw'!$L$4:$L$8000,"&lt;="&amp;MIN(V$6,DATE(2000+VALUE(RIGHT(TRIM($A333),2)),12,31))),SUMIFS('Timesheet Raw'!$P$4:$P$8000,'Timesheet Raw'!$B$4:$B$8000,TRIM($A333),'Timesheet Raw'!$C$4:$C$8000,"*"&amp;$B333&amp;"*",'Timesheet Raw'!$L$4:$L$8000,"&gt;="&amp;V$5,'Timesheet Raw'!$L$4:$L$8000,"&lt;="&amp;V$6)))/'Profit Plan'!$B$5)</f>
        <v>0</v>
      </c>
      <c r="W333" s="122">
        <f>IF($A333="","",(IF(ISNUMBER(SEARCH("Proposal",$A333)),SUMIFS('Timesheet Raw'!$P$4:$P$8000,'Timesheet Raw'!$A$4:$A$8000,IF(ISNUMBER(SEARCH("Chargable",$A333)),"2-Proposals Chargeable","3-Proposals Regular"),'Timesheet Raw'!$C$4:$C$8000,"*"&amp;$B333&amp;"*",'Timesheet Raw'!$L$4:$L$8000,"&gt;="&amp;MAX(W$5,DATE(2000+VALUE(RIGHT(TRIM($A333),2)),1,1)),'Timesheet Raw'!$L$4:$L$8000,"&lt;="&amp;MIN(W$6,DATE(2000+VALUE(RIGHT(TRIM($A333),2)),12,31))),SUMIFS('Timesheet Raw'!$P$4:$P$8000,'Timesheet Raw'!$B$4:$B$8000,TRIM($A333),'Timesheet Raw'!$C$4:$C$8000,"*"&amp;$B333&amp;"*",'Timesheet Raw'!$L$4:$L$8000,"&gt;="&amp;W$5,'Timesheet Raw'!$L$4:$L$8000,"&lt;="&amp;W$6)))/'Profit Plan'!$B$5)</f>
        <v>0</v>
      </c>
      <c r="X333" s="122">
        <f>IF($A333="","",(IF(ISNUMBER(SEARCH("Proposal",$A333)),SUMIFS('Timesheet Raw'!$P$4:$P$8000,'Timesheet Raw'!$A$4:$A$8000,IF(ISNUMBER(SEARCH("Chargable",$A333)),"2-Proposals Chargeable","3-Proposals Regular"),'Timesheet Raw'!$C$4:$C$8000,"*"&amp;$B333&amp;"*",'Timesheet Raw'!$L$4:$L$8000,"&gt;="&amp;MAX(X$5,DATE(2000+VALUE(RIGHT(TRIM($A333),2)),1,1)),'Timesheet Raw'!$L$4:$L$8000,"&lt;="&amp;MIN(X$6,DATE(2000+VALUE(RIGHT(TRIM($A333),2)),12,31))),SUMIFS('Timesheet Raw'!$P$4:$P$8000,'Timesheet Raw'!$B$4:$B$8000,TRIM($A333),'Timesheet Raw'!$C$4:$C$8000,"*"&amp;$B333&amp;"*",'Timesheet Raw'!$L$4:$L$8000,"&gt;="&amp;X$5,'Timesheet Raw'!$L$4:$L$8000,"&lt;="&amp;X$6)))/'Profit Plan'!$B$5)</f>
        <v>0</v>
      </c>
      <c r="Y333" s="118">
        <f t="shared" si="101"/>
        <v>0.72972972972972971</v>
      </c>
    </row>
    <row r="334" spans="1:25" x14ac:dyDescent="0.3">
      <c r="A334" s="116" t="str">
        <f>IF(Inputs!$A29="","",Inputs!$A29)</f>
        <v>TA24246-0200R</v>
      </c>
      <c r="B334" s="116" t="str">
        <f>IF(Inputs!$A29="","",Inputs!$A$91)</f>
        <v>Ahmed</v>
      </c>
      <c r="C334" s="116"/>
      <c r="D334" s="122">
        <f>IF($A334="","",(IF(ISNUMBER(SEARCH("Proposal",$A334)),SUMIFS('Timesheet Raw'!$P$4:$P$8000,'Timesheet Raw'!$A$4:$A$8000,IF(ISNUMBER(SEARCH("Chargable",$A334)),"2-Proposals Chargeable","3-Proposals Regular"),'Timesheet Raw'!$C$4:$C$8000,"*"&amp;$B334&amp;"*",'Timesheet Raw'!$L$4:$L$8000,"&gt;="&amp;MAX(D$5,DATE(2000+VALUE(RIGHT(TRIM($A334),2)),1,1)),'Timesheet Raw'!$L$4:$L$8000,"&lt;="&amp;MIN(D$6,DATE(2000+VALUE(RIGHT(TRIM($A334),2)),12,31))),SUMIFS('Timesheet Raw'!$P$4:$P$8000,'Timesheet Raw'!$B$4:$B$8000,TRIM($A334),'Timesheet Raw'!$C$4:$C$8000,"*"&amp;$B334&amp;"*",'Timesheet Raw'!$L$4:$L$8000,"&gt;="&amp;D$5,'Timesheet Raw'!$L$4:$L$8000,"&lt;="&amp;D$6)))/'Profit Plan'!$B$5)</f>
        <v>0</v>
      </c>
      <c r="E334" s="122">
        <f>IF($A334="","",(IF(ISNUMBER(SEARCH("Proposal",$A334)),SUMIFS('Timesheet Raw'!$P$4:$P$8000,'Timesheet Raw'!$A$4:$A$8000,IF(ISNUMBER(SEARCH("Chargable",$A334)),"2-Proposals Chargeable","3-Proposals Regular"),'Timesheet Raw'!$C$4:$C$8000,"*"&amp;$B334&amp;"*",'Timesheet Raw'!$L$4:$L$8000,"&gt;="&amp;MAX(E$5,DATE(2000+VALUE(RIGHT(TRIM($A334),2)),1,1)),'Timesheet Raw'!$L$4:$L$8000,"&lt;="&amp;MIN(E$6,DATE(2000+VALUE(RIGHT(TRIM($A334),2)),12,31))),SUMIFS('Timesheet Raw'!$P$4:$P$8000,'Timesheet Raw'!$B$4:$B$8000,TRIM($A334),'Timesheet Raw'!$C$4:$C$8000,"*"&amp;$B334&amp;"*",'Timesheet Raw'!$L$4:$L$8000,"&gt;="&amp;E$5,'Timesheet Raw'!$L$4:$L$8000,"&lt;="&amp;E$6)))/'Profit Plan'!$B$5)</f>
        <v>0</v>
      </c>
      <c r="F334" s="122">
        <f>IF($A334="","",(IF(ISNUMBER(SEARCH("Proposal",$A334)),SUMIFS('Timesheet Raw'!$P$4:$P$8000,'Timesheet Raw'!$A$4:$A$8000,IF(ISNUMBER(SEARCH("Chargable",$A334)),"2-Proposals Chargeable","3-Proposals Regular"),'Timesheet Raw'!$C$4:$C$8000,"*"&amp;$B334&amp;"*",'Timesheet Raw'!$L$4:$L$8000,"&gt;="&amp;MAX(F$5,DATE(2000+VALUE(RIGHT(TRIM($A334),2)),1,1)),'Timesheet Raw'!$L$4:$L$8000,"&lt;="&amp;MIN(F$6,DATE(2000+VALUE(RIGHT(TRIM($A334),2)),12,31))),SUMIFS('Timesheet Raw'!$P$4:$P$8000,'Timesheet Raw'!$B$4:$B$8000,TRIM($A334),'Timesheet Raw'!$C$4:$C$8000,"*"&amp;$B334&amp;"*",'Timesheet Raw'!$L$4:$L$8000,"&gt;="&amp;F$5,'Timesheet Raw'!$L$4:$L$8000,"&lt;="&amp;F$6)))/'Profit Plan'!$B$5)</f>
        <v>0</v>
      </c>
      <c r="G334" s="122">
        <f>IF($A334="","",(IF(ISNUMBER(SEARCH("Proposal",$A334)),SUMIFS('Timesheet Raw'!$P$4:$P$8000,'Timesheet Raw'!$A$4:$A$8000,IF(ISNUMBER(SEARCH("Chargable",$A334)),"2-Proposals Chargeable","3-Proposals Regular"),'Timesheet Raw'!$C$4:$C$8000,"*"&amp;$B334&amp;"*",'Timesheet Raw'!$L$4:$L$8000,"&gt;="&amp;MAX(G$5,DATE(2000+VALUE(RIGHT(TRIM($A334),2)),1,1)),'Timesheet Raw'!$L$4:$L$8000,"&lt;="&amp;MIN(G$6,DATE(2000+VALUE(RIGHT(TRIM($A334),2)),12,31))),SUMIFS('Timesheet Raw'!$P$4:$P$8000,'Timesheet Raw'!$B$4:$B$8000,TRIM($A334),'Timesheet Raw'!$C$4:$C$8000,"*"&amp;$B334&amp;"*",'Timesheet Raw'!$L$4:$L$8000,"&gt;="&amp;G$5,'Timesheet Raw'!$L$4:$L$8000,"&lt;="&amp;G$6)))/'Profit Plan'!$B$5)</f>
        <v>0</v>
      </c>
      <c r="H334" s="122">
        <f>IF($A334="","",(IF(ISNUMBER(SEARCH("Proposal",$A334)),SUMIFS('Timesheet Raw'!$P$4:$P$8000,'Timesheet Raw'!$A$4:$A$8000,IF(ISNUMBER(SEARCH("Chargable",$A334)),"2-Proposals Chargeable","3-Proposals Regular"),'Timesheet Raw'!$C$4:$C$8000,"*"&amp;$B334&amp;"*",'Timesheet Raw'!$L$4:$L$8000,"&gt;="&amp;MAX(H$5,DATE(2000+VALUE(RIGHT(TRIM($A334),2)),1,1)),'Timesheet Raw'!$L$4:$L$8000,"&lt;="&amp;MIN(H$6,DATE(2000+VALUE(RIGHT(TRIM($A334),2)),12,31))),SUMIFS('Timesheet Raw'!$P$4:$P$8000,'Timesheet Raw'!$B$4:$B$8000,TRIM($A334),'Timesheet Raw'!$C$4:$C$8000,"*"&amp;$B334&amp;"*",'Timesheet Raw'!$L$4:$L$8000,"&gt;="&amp;H$5,'Timesheet Raw'!$L$4:$L$8000,"&lt;="&amp;H$6)))/'Profit Plan'!$B$5)</f>
        <v>0</v>
      </c>
      <c r="I334" s="122">
        <f>IF($A334="","",(IF(ISNUMBER(SEARCH("Proposal",$A334)),SUMIFS('Timesheet Raw'!$P$4:$P$8000,'Timesheet Raw'!$A$4:$A$8000,IF(ISNUMBER(SEARCH("Chargable",$A334)),"2-Proposals Chargeable","3-Proposals Regular"),'Timesheet Raw'!$C$4:$C$8000,"*"&amp;$B334&amp;"*",'Timesheet Raw'!$L$4:$L$8000,"&gt;="&amp;MAX(I$5,DATE(2000+VALUE(RIGHT(TRIM($A334),2)),1,1)),'Timesheet Raw'!$L$4:$L$8000,"&lt;="&amp;MIN(I$6,DATE(2000+VALUE(RIGHT(TRIM($A334),2)),12,31))),SUMIFS('Timesheet Raw'!$P$4:$P$8000,'Timesheet Raw'!$B$4:$B$8000,TRIM($A334),'Timesheet Raw'!$C$4:$C$8000,"*"&amp;$B334&amp;"*",'Timesheet Raw'!$L$4:$L$8000,"&gt;="&amp;I$5,'Timesheet Raw'!$L$4:$L$8000,"&lt;="&amp;I$6)))/'Profit Plan'!$B$5)</f>
        <v>0</v>
      </c>
      <c r="J334" s="122">
        <f>IF($A334="","",(IF(ISNUMBER(SEARCH("Proposal",$A334)),SUMIFS('Timesheet Raw'!$P$4:$P$8000,'Timesheet Raw'!$A$4:$A$8000,IF(ISNUMBER(SEARCH("Chargable",$A334)),"2-Proposals Chargeable","3-Proposals Regular"),'Timesheet Raw'!$C$4:$C$8000,"*"&amp;$B334&amp;"*",'Timesheet Raw'!$L$4:$L$8000,"&gt;="&amp;MAX(J$5,DATE(2000+VALUE(RIGHT(TRIM($A334),2)),1,1)),'Timesheet Raw'!$L$4:$L$8000,"&lt;="&amp;MIN(J$6,DATE(2000+VALUE(RIGHT(TRIM($A334),2)),12,31))),SUMIFS('Timesheet Raw'!$P$4:$P$8000,'Timesheet Raw'!$B$4:$B$8000,TRIM($A334),'Timesheet Raw'!$C$4:$C$8000,"*"&amp;$B334&amp;"*",'Timesheet Raw'!$L$4:$L$8000,"&gt;="&amp;J$5,'Timesheet Raw'!$L$4:$L$8000,"&lt;="&amp;J$6)))/'Profit Plan'!$B$5)</f>
        <v>1.6216216216216217E-2</v>
      </c>
      <c r="K334" s="122">
        <f>IF($A334="","",(IF(ISNUMBER(SEARCH("Proposal",$A334)),SUMIFS('Timesheet Raw'!$P$4:$P$8000,'Timesheet Raw'!$A$4:$A$8000,IF(ISNUMBER(SEARCH("Chargable",$A334)),"2-Proposals Chargeable","3-Proposals Regular"),'Timesheet Raw'!$C$4:$C$8000,"*"&amp;$B334&amp;"*",'Timesheet Raw'!$L$4:$L$8000,"&gt;="&amp;MAX(K$5,DATE(2000+VALUE(RIGHT(TRIM($A334),2)),1,1)),'Timesheet Raw'!$L$4:$L$8000,"&lt;="&amp;MIN(K$6,DATE(2000+VALUE(RIGHT(TRIM($A334),2)),12,31))),SUMIFS('Timesheet Raw'!$P$4:$P$8000,'Timesheet Raw'!$B$4:$B$8000,TRIM($A334),'Timesheet Raw'!$C$4:$C$8000,"*"&amp;$B334&amp;"*",'Timesheet Raw'!$L$4:$L$8000,"&gt;="&amp;K$5,'Timesheet Raw'!$L$4:$L$8000,"&lt;="&amp;K$6)))/'Profit Plan'!$B$5)</f>
        <v>6.8918918918918923E-2</v>
      </c>
      <c r="L334" s="122">
        <f>IF($A334="","",(IF(ISNUMBER(SEARCH("Proposal",$A334)),SUMIFS('Timesheet Raw'!$P$4:$P$8000,'Timesheet Raw'!$A$4:$A$8000,IF(ISNUMBER(SEARCH("Chargable",$A334)),"2-Proposals Chargeable","3-Proposals Regular"),'Timesheet Raw'!$C$4:$C$8000,"*"&amp;$B334&amp;"*",'Timesheet Raw'!$L$4:$L$8000,"&gt;="&amp;MAX(L$5,DATE(2000+VALUE(RIGHT(TRIM($A334),2)),1,1)),'Timesheet Raw'!$L$4:$L$8000,"&lt;="&amp;MIN(L$6,DATE(2000+VALUE(RIGHT(TRIM($A334),2)),12,31))),SUMIFS('Timesheet Raw'!$P$4:$P$8000,'Timesheet Raw'!$B$4:$B$8000,TRIM($A334),'Timesheet Raw'!$C$4:$C$8000,"*"&amp;$B334&amp;"*",'Timesheet Raw'!$L$4:$L$8000,"&gt;="&amp;L$5,'Timesheet Raw'!$L$4:$L$8000,"&lt;="&amp;L$6)))/'Profit Plan'!$B$5)</f>
        <v>0</v>
      </c>
      <c r="M334" s="122">
        <f>IF($A334="","",(IF(ISNUMBER(SEARCH("Proposal",$A334)),SUMIFS('Timesheet Raw'!$P$4:$P$8000,'Timesheet Raw'!$A$4:$A$8000,IF(ISNUMBER(SEARCH("Chargable",$A334)),"2-Proposals Chargeable","3-Proposals Regular"),'Timesheet Raw'!$C$4:$C$8000,"*"&amp;$B334&amp;"*",'Timesheet Raw'!$L$4:$L$8000,"&gt;="&amp;MAX(M$5,DATE(2000+VALUE(RIGHT(TRIM($A334),2)),1,1)),'Timesheet Raw'!$L$4:$L$8000,"&lt;="&amp;MIN(M$6,DATE(2000+VALUE(RIGHT(TRIM($A334),2)),12,31))),SUMIFS('Timesheet Raw'!$P$4:$P$8000,'Timesheet Raw'!$B$4:$B$8000,TRIM($A334),'Timesheet Raw'!$C$4:$C$8000,"*"&amp;$B334&amp;"*",'Timesheet Raw'!$L$4:$L$8000,"&gt;="&amp;M$5,'Timesheet Raw'!$L$4:$L$8000,"&lt;="&amp;M$6)))/'Profit Plan'!$B$5)</f>
        <v>0</v>
      </c>
      <c r="N334" s="122">
        <f>IF($A334="","",(IF(ISNUMBER(SEARCH("Proposal",$A334)),SUMIFS('Timesheet Raw'!$P$4:$P$8000,'Timesheet Raw'!$A$4:$A$8000,IF(ISNUMBER(SEARCH("Chargable",$A334)),"2-Proposals Chargeable","3-Proposals Regular"),'Timesheet Raw'!$C$4:$C$8000,"*"&amp;$B334&amp;"*",'Timesheet Raw'!$L$4:$L$8000,"&gt;="&amp;MAX(N$5,DATE(2000+VALUE(RIGHT(TRIM($A334),2)),1,1)),'Timesheet Raw'!$L$4:$L$8000,"&lt;="&amp;MIN(N$6,DATE(2000+VALUE(RIGHT(TRIM($A334),2)),12,31))),SUMIFS('Timesheet Raw'!$P$4:$P$8000,'Timesheet Raw'!$B$4:$B$8000,TRIM($A334),'Timesheet Raw'!$C$4:$C$8000,"*"&amp;$B334&amp;"*",'Timesheet Raw'!$L$4:$L$8000,"&gt;="&amp;N$5,'Timesheet Raw'!$L$4:$L$8000,"&lt;="&amp;N$6)))/'Profit Plan'!$B$5)</f>
        <v>0</v>
      </c>
      <c r="O334" s="122">
        <f>IF($A334="","",(IF(ISNUMBER(SEARCH("Proposal",$A334)),SUMIFS('Timesheet Raw'!$P$4:$P$8000,'Timesheet Raw'!$A$4:$A$8000,IF(ISNUMBER(SEARCH("Chargable",$A334)),"2-Proposals Chargeable","3-Proposals Regular"),'Timesheet Raw'!$C$4:$C$8000,"*"&amp;$B334&amp;"*",'Timesheet Raw'!$L$4:$L$8000,"&gt;="&amp;MAX(O$5,DATE(2000+VALUE(RIGHT(TRIM($A334),2)),1,1)),'Timesheet Raw'!$L$4:$L$8000,"&lt;="&amp;MIN(O$6,DATE(2000+VALUE(RIGHT(TRIM($A334),2)),12,31))),SUMIFS('Timesheet Raw'!$P$4:$P$8000,'Timesheet Raw'!$B$4:$B$8000,TRIM($A334),'Timesheet Raw'!$C$4:$C$8000,"*"&amp;$B334&amp;"*",'Timesheet Raw'!$L$4:$L$8000,"&gt;="&amp;O$5,'Timesheet Raw'!$L$4:$L$8000,"&lt;="&amp;O$6)))/'Profit Plan'!$B$5)</f>
        <v>0</v>
      </c>
      <c r="P334" s="122">
        <f>IF($A334="","",(IF(ISNUMBER(SEARCH("Proposal",$A334)),SUMIFS('Timesheet Raw'!$P$4:$P$8000,'Timesheet Raw'!$A$4:$A$8000,IF(ISNUMBER(SEARCH("Chargable",$A334)),"2-Proposals Chargeable","3-Proposals Regular"),'Timesheet Raw'!$C$4:$C$8000,"*"&amp;$B334&amp;"*",'Timesheet Raw'!$L$4:$L$8000,"&gt;="&amp;MAX(P$5,DATE(2000+VALUE(RIGHT(TRIM($A334),2)),1,1)),'Timesheet Raw'!$L$4:$L$8000,"&lt;="&amp;MIN(P$6,DATE(2000+VALUE(RIGHT(TRIM($A334),2)),12,31))),SUMIFS('Timesheet Raw'!$P$4:$P$8000,'Timesheet Raw'!$B$4:$B$8000,TRIM($A334),'Timesheet Raw'!$C$4:$C$8000,"*"&amp;$B334&amp;"*",'Timesheet Raw'!$L$4:$L$8000,"&gt;="&amp;P$5,'Timesheet Raw'!$L$4:$L$8000,"&lt;="&amp;P$6)))/'Profit Plan'!$B$5)</f>
        <v>0</v>
      </c>
      <c r="Q334" s="122">
        <f>IF($A334="","",(IF(ISNUMBER(SEARCH("Proposal",$A334)),SUMIFS('Timesheet Raw'!$P$4:$P$8000,'Timesheet Raw'!$A$4:$A$8000,IF(ISNUMBER(SEARCH("Chargable",$A334)),"2-Proposals Chargeable","3-Proposals Regular"),'Timesheet Raw'!$C$4:$C$8000,"*"&amp;$B334&amp;"*",'Timesheet Raw'!$L$4:$L$8000,"&gt;="&amp;MAX(Q$5,DATE(2000+VALUE(RIGHT(TRIM($A334),2)),1,1)),'Timesheet Raw'!$L$4:$L$8000,"&lt;="&amp;MIN(Q$6,DATE(2000+VALUE(RIGHT(TRIM($A334),2)),12,31))),SUMIFS('Timesheet Raw'!$P$4:$P$8000,'Timesheet Raw'!$B$4:$B$8000,TRIM($A334),'Timesheet Raw'!$C$4:$C$8000,"*"&amp;$B334&amp;"*",'Timesheet Raw'!$L$4:$L$8000,"&gt;="&amp;Q$5,'Timesheet Raw'!$L$4:$L$8000,"&lt;="&amp;Q$6)))/'Profit Plan'!$B$5)</f>
        <v>0</v>
      </c>
      <c r="R334" s="122">
        <f>IF($A334="","",(IF(ISNUMBER(SEARCH("Proposal",$A334)),SUMIFS('Timesheet Raw'!$P$4:$P$8000,'Timesheet Raw'!$A$4:$A$8000,IF(ISNUMBER(SEARCH("Chargable",$A334)),"2-Proposals Chargeable","3-Proposals Regular"),'Timesheet Raw'!$C$4:$C$8000,"*"&amp;$B334&amp;"*",'Timesheet Raw'!$L$4:$L$8000,"&gt;="&amp;MAX(R$5,DATE(2000+VALUE(RIGHT(TRIM($A334),2)),1,1)),'Timesheet Raw'!$L$4:$L$8000,"&lt;="&amp;MIN(R$6,DATE(2000+VALUE(RIGHT(TRIM($A334),2)),12,31))),SUMIFS('Timesheet Raw'!$P$4:$P$8000,'Timesheet Raw'!$B$4:$B$8000,TRIM($A334),'Timesheet Raw'!$C$4:$C$8000,"*"&amp;$B334&amp;"*",'Timesheet Raw'!$L$4:$L$8000,"&gt;="&amp;R$5,'Timesheet Raw'!$L$4:$L$8000,"&lt;="&amp;R$6)))/'Profit Plan'!$B$5)</f>
        <v>0</v>
      </c>
      <c r="S334" s="122">
        <f>IF($A334="","",(IF(ISNUMBER(SEARCH("Proposal",$A334)),SUMIFS('Timesheet Raw'!$P$4:$P$8000,'Timesheet Raw'!$A$4:$A$8000,IF(ISNUMBER(SEARCH("Chargable",$A334)),"2-Proposals Chargeable","3-Proposals Regular"),'Timesheet Raw'!$C$4:$C$8000,"*"&amp;$B334&amp;"*",'Timesheet Raw'!$L$4:$L$8000,"&gt;="&amp;MAX(S$5,DATE(2000+VALUE(RIGHT(TRIM($A334),2)),1,1)),'Timesheet Raw'!$L$4:$L$8000,"&lt;="&amp;MIN(S$6,DATE(2000+VALUE(RIGHT(TRIM($A334),2)),12,31))),SUMIFS('Timesheet Raw'!$P$4:$P$8000,'Timesheet Raw'!$B$4:$B$8000,TRIM($A334),'Timesheet Raw'!$C$4:$C$8000,"*"&amp;$B334&amp;"*",'Timesheet Raw'!$L$4:$L$8000,"&gt;="&amp;S$5,'Timesheet Raw'!$L$4:$L$8000,"&lt;="&amp;S$6)))/'Profit Plan'!$B$5)</f>
        <v>0</v>
      </c>
      <c r="T334" s="122">
        <f>IF($A334="","",(IF(ISNUMBER(SEARCH("Proposal",$A334)),SUMIFS('Timesheet Raw'!$P$4:$P$8000,'Timesheet Raw'!$A$4:$A$8000,IF(ISNUMBER(SEARCH("Chargable",$A334)),"2-Proposals Chargeable","3-Proposals Regular"),'Timesheet Raw'!$C$4:$C$8000,"*"&amp;$B334&amp;"*",'Timesheet Raw'!$L$4:$L$8000,"&gt;="&amp;MAX(T$5,DATE(2000+VALUE(RIGHT(TRIM($A334),2)),1,1)),'Timesheet Raw'!$L$4:$L$8000,"&lt;="&amp;MIN(T$6,DATE(2000+VALUE(RIGHT(TRIM($A334),2)),12,31))),SUMIFS('Timesheet Raw'!$P$4:$P$8000,'Timesheet Raw'!$B$4:$B$8000,TRIM($A334),'Timesheet Raw'!$C$4:$C$8000,"*"&amp;$B334&amp;"*",'Timesheet Raw'!$L$4:$L$8000,"&gt;="&amp;T$5,'Timesheet Raw'!$L$4:$L$8000,"&lt;="&amp;T$6)))/'Profit Plan'!$B$5)</f>
        <v>0</v>
      </c>
      <c r="U334" s="122">
        <f>IF($A334="","",(IF(ISNUMBER(SEARCH("Proposal",$A334)),SUMIFS('Timesheet Raw'!$P$4:$P$8000,'Timesheet Raw'!$A$4:$A$8000,IF(ISNUMBER(SEARCH("Chargable",$A334)),"2-Proposals Chargeable","3-Proposals Regular"),'Timesheet Raw'!$C$4:$C$8000,"*"&amp;$B334&amp;"*",'Timesheet Raw'!$L$4:$L$8000,"&gt;="&amp;MAX(U$5,DATE(2000+VALUE(RIGHT(TRIM($A334),2)),1,1)),'Timesheet Raw'!$L$4:$L$8000,"&lt;="&amp;MIN(U$6,DATE(2000+VALUE(RIGHT(TRIM($A334),2)),12,31))),SUMIFS('Timesheet Raw'!$P$4:$P$8000,'Timesheet Raw'!$B$4:$B$8000,TRIM($A334),'Timesheet Raw'!$C$4:$C$8000,"*"&amp;$B334&amp;"*",'Timesheet Raw'!$L$4:$L$8000,"&gt;="&amp;U$5,'Timesheet Raw'!$L$4:$L$8000,"&lt;="&amp;U$6)))/'Profit Plan'!$B$5)</f>
        <v>0</v>
      </c>
      <c r="V334" s="122">
        <f>IF($A334="","",(IF(ISNUMBER(SEARCH("Proposal",$A334)),SUMIFS('Timesheet Raw'!$P$4:$P$8000,'Timesheet Raw'!$A$4:$A$8000,IF(ISNUMBER(SEARCH("Chargable",$A334)),"2-Proposals Chargeable","3-Proposals Regular"),'Timesheet Raw'!$C$4:$C$8000,"*"&amp;$B334&amp;"*",'Timesheet Raw'!$L$4:$L$8000,"&gt;="&amp;MAX(V$5,DATE(2000+VALUE(RIGHT(TRIM($A334),2)),1,1)),'Timesheet Raw'!$L$4:$L$8000,"&lt;="&amp;MIN(V$6,DATE(2000+VALUE(RIGHT(TRIM($A334),2)),12,31))),SUMIFS('Timesheet Raw'!$P$4:$P$8000,'Timesheet Raw'!$B$4:$B$8000,TRIM($A334),'Timesheet Raw'!$C$4:$C$8000,"*"&amp;$B334&amp;"*",'Timesheet Raw'!$L$4:$L$8000,"&gt;="&amp;V$5,'Timesheet Raw'!$L$4:$L$8000,"&lt;="&amp;V$6)))/'Profit Plan'!$B$5)</f>
        <v>0</v>
      </c>
      <c r="W334" s="122">
        <f>IF($A334="","",(IF(ISNUMBER(SEARCH("Proposal",$A334)),SUMIFS('Timesheet Raw'!$P$4:$P$8000,'Timesheet Raw'!$A$4:$A$8000,IF(ISNUMBER(SEARCH("Chargable",$A334)),"2-Proposals Chargeable","3-Proposals Regular"),'Timesheet Raw'!$C$4:$C$8000,"*"&amp;$B334&amp;"*",'Timesheet Raw'!$L$4:$L$8000,"&gt;="&amp;MAX(W$5,DATE(2000+VALUE(RIGHT(TRIM($A334),2)),1,1)),'Timesheet Raw'!$L$4:$L$8000,"&lt;="&amp;MIN(W$6,DATE(2000+VALUE(RIGHT(TRIM($A334),2)),12,31))),SUMIFS('Timesheet Raw'!$P$4:$P$8000,'Timesheet Raw'!$B$4:$B$8000,TRIM($A334),'Timesheet Raw'!$C$4:$C$8000,"*"&amp;$B334&amp;"*",'Timesheet Raw'!$L$4:$L$8000,"&gt;="&amp;W$5,'Timesheet Raw'!$L$4:$L$8000,"&lt;="&amp;W$6)))/'Profit Plan'!$B$5)</f>
        <v>0</v>
      </c>
      <c r="X334" s="122">
        <f>IF($A334="","",(IF(ISNUMBER(SEARCH("Proposal",$A334)),SUMIFS('Timesheet Raw'!$P$4:$P$8000,'Timesheet Raw'!$A$4:$A$8000,IF(ISNUMBER(SEARCH("Chargable",$A334)),"2-Proposals Chargeable","3-Proposals Regular"),'Timesheet Raw'!$C$4:$C$8000,"*"&amp;$B334&amp;"*",'Timesheet Raw'!$L$4:$L$8000,"&gt;="&amp;MAX(X$5,DATE(2000+VALUE(RIGHT(TRIM($A334),2)),1,1)),'Timesheet Raw'!$L$4:$L$8000,"&lt;="&amp;MIN(X$6,DATE(2000+VALUE(RIGHT(TRIM($A334),2)),12,31))),SUMIFS('Timesheet Raw'!$P$4:$P$8000,'Timesheet Raw'!$B$4:$B$8000,TRIM($A334),'Timesheet Raw'!$C$4:$C$8000,"*"&amp;$B334&amp;"*",'Timesheet Raw'!$L$4:$L$8000,"&gt;="&amp;X$5,'Timesheet Raw'!$L$4:$L$8000,"&lt;="&amp;X$6)))/'Profit Plan'!$B$5)</f>
        <v>0</v>
      </c>
      <c r="Y334" s="118">
        <f t="shared" si="101"/>
        <v>8.513513513513514E-2</v>
      </c>
    </row>
    <row r="335" spans="1:25" x14ac:dyDescent="0.3">
      <c r="A335" s="116" t="str">
        <f>IF(Inputs!$A29="","",Inputs!$A29)</f>
        <v>TA24246-0200R</v>
      </c>
      <c r="B335" s="116" t="str">
        <f>IF(Inputs!$A29="","",Inputs!$A$92)</f>
        <v>Osama</v>
      </c>
      <c r="C335" s="116"/>
      <c r="D335" s="122">
        <f>IF($A335="","",(IF(ISNUMBER(SEARCH("Proposal",$A335)),SUMIFS('Timesheet Raw'!$P$4:$P$8000,'Timesheet Raw'!$A$4:$A$8000,IF(ISNUMBER(SEARCH("Chargable",$A335)),"2-Proposals Chargeable","3-Proposals Regular"),'Timesheet Raw'!$C$4:$C$8000,"*"&amp;$B335&amp;"*",'Timesheet Raw'!$L$4:$L$8000,"&gt;="&amp;MAX(D$5,DATE(2000+VALUE(RIGHT(TRIM($A335),2)),1,1)),'Timesheet Raw'!$L$4:$L$8000,"&lt;="&amp;MIN(D$6,DATE(2000+VALUE(RIGHT(TRIM($A335),2)),12,31))),SUMIFS('Timesheet Raw'!$P$4:$P$8000,'Timesheet Raw'!$B$4:$B$8000,TRIM($A335),'Timesheet Raw'!$C$4:$C$8000,"*"&amp;$B335&amp;"*",'Timesheet Raw'!$L$4:$L$8000,"&gt;="&amp;D$5,'Timesheet Raw'!$L$4:$L$8000,"&lt;="&amp;D$6)))/'Profit Plan'!$B$5)</f>
        <v>0</v>
      </c>
      <c r="E335" s="122">
        <f>IF($A335="","",(IF(ISNUMBER(SEARCH("Proposal",$A335)),SUMIFS('Timesheet Raw'!$P$4:$P$8000,'Timesheet Raw'!$A$4:$A$8000,IF(ISNUMBER(SEARCH("Chargable",$A335)),"2-Proposals Chargeable","3-Proposals Regular"),'Timesheet Raw'!$C$4:$C$8000,"*"&amp;$B335&amp;"*",'Timesheet Raw'!$L$4:$L$8000,"&gt;="&amp;MAX(E$5,DATE(2000+VALUE(RIGHT(TRIM($A335),2)),1,1)),'Timesheet Raw'!$L$4:$L$8000,"&lt;="&amp;MIN(E$6,DATE(2000+VALUE(RIGHT(TRIM($A335),2)),12,31))),SUMIFS('Timesheet Raw'!$P$4:$P$8000,'Timesheet Raw'!$B$4:$B$8000,TRIM($A335),'Timesheet Raw'!$C$4:$C$8000,"*"&amp;$B335&amp;"*",'Timesheet Raw'!$L$4:$L$8000,"&gt;="&amp;E$5,'Timesheet Raw'!$L$4:$L$8000,"&lt;="&amp;E$6)))/'Profit Plan'!$B$5)</f>
        <v>0</v>
      </c>
      <c r="F335" s="122">
        <f>IF($A335="","",(IF(ISNUMBER(SEARCH("Proposal",$A335)),SUMIFS('Timesheet Raw'!$P$4:$P$8000,'Timesheet Raw'!$A$4:$A$8000,IF(ISNUMBER(SEARCH("Chargable",$A335)),"2-Proposals Chargeable","3-Proposals Regular"),'Timesheet Raw'!$C$4:$C$8000,"*"&amp;$B335&amp;"*",'Timesheet Raw'!$L$4:$L$8000,"&gt;="&amp;MAX(F$5,DATE(2000+VALUE(RIGHT(TRIM($A335),2)),1,1)),'Timesheet Raw'!$L$4:$L$8000,"&lt;="&amp;MIN(F$6,DATE(2000+VALUE(RIGHT(TRIM($A335),2)),12,31))),SUMIFS('Timesheet Raw'!$P$4:$P$8000,'Timesheet Raw'!$B$4:$B$8000,TRIM($A335),'Timesheet Raw'!$C$4:$C$8000,"*"&amp;$B335&amp;"*",'Timesheet Raw'!$L$4:$L$8000,"&gt;="&amp;F$5,'Timesheet Raw'!$L$4:$L$8000,"&lt;="&amp;F$6)))/'Profit Plan'!$B$5)</f>
        <v>0</v>
      </c>
      <c r="G335" s="122">
        <f>IF($A335="","",(IF(ISNUMBER(SEARCH("Proposal",$A335)),SUMIFS('Timesheet Raw'!$P$4:$P$8000,'Timesheet Raw'!$A$4:$A$8000,IF(ISNUMBER(SEARCH("Chargable",$A335)),"2-Proposals Chargeable","3-Proposals Regular"),'Timesheet Raw'!$C$4:$C$8000,"*"&amp;$B335&amp;"*",'Timesheet Raw'!$L$4:$L$8000,"&gt;="&amp;MAX(G$5,DATE(2000+VALUE(RIGHT(TRIM($A335),2)),1,1)),'Timesheet Raw'!$L$4:$L$8000,"&lt;="&amp;MIN(G$6,DATE(2000+VALUE(RIGHT(TRIM($A335),2)),12,31))),SUMIFS('Timesheet Raw'!$P$4:$P$8000,'Timesheet Raw'!$B$4:$B$8000,TRIM($A335),'Timesheet Raw'!$C$4:$C$8000,"*"&amp;$B335&amp;"*",'Timesheet Raw'!$L$4:$L$8000,"&gt;="&amp;G$5,'Timesheet Raw'!$L$4:$L$8000,"&lt;="&amp;G$6)))/'Profit Plan'!$B$5)</f>
        <v>0</v>
      </c>
      <c r="H335" s="122">
        <f>IF($A335="","",(IF(ISNUMBER(SEARCH("Proposal",$A335)),SUMIFS('Timesheet Raw'!$P$4:$P$8000,'Timesheet Raw'!$A$4:$A$8000,IF(ISNUMBER(SEARCH("Chargable",$A335)),"2-Proposals Chargeable","3-Proposals Regular"),'Timesheet Raw'!$C$4:$C$8000,"*"&amp;$B335&amp;"*",'Timesheet Raw'!$L$4:$L$8000,"&gt;="&amp;MAX(H$5,DATE(2000+VALUE(RIGHT(TRIM($A335),2)),1,1)),'Timesheet Raw'!$L$4:$L$8000,"&lt;="&amp;MIN(H$6,DATE(2000+VALUE(RIGHT(TRIM($A335),2)),12,31))),SUMIFS('Timesheet Raw'!$P$4:$P$8000,'Timesheet Raw'!$B$4:$B$8000,TRIM($A335),'Timesheet Raw'!$C$4:$C$8000,"*"&amp;$B335&amp;"*",'Timesheet Raw'!$L$4:$L$8000,"&gt;="&amp;H$5,'Timesheet Raw'!$L$4:$L$8000,"&lt;="&amp;H$6)))/'Profit Plan'!$B$5)</f>
        <v>0</v>
      </c>
      <c r="I335" s="122">
        <f>IF($A335="","",(IF(ISNUMBER(SEARCH("Proposal",$A335)),SUMIFS('Timesheet Raw'!$P$4:$P$8000,'Timesheet Raw'!$A$4:$A$8000,IF(ISNUMBER(SEARCH("Chargable",$A335)),"2-Proposals Chargeable","3-Proposals Regular"),'Timesheet Raw'!$C$4:$C$8000,"*"&amp;$B335&amp;"*",'Timesheet Raw'!$L$4:$L$8000,"&gt;="&amp;MAX(I$5,DATE(2000+VALUE(RIGHT(TRIM($A335),2)),1,1)),'Timesheet Raw'!$L$4:$L$8000,"&lt;="&amp;MIN(I$6,DATE(2000+VALUE(RIGHT(TRIM($A335),2)),12,31))),SUMIFS('Timesheet Raw'!$P$4:$P$8000,'Timesheet Raw'!$B$4:$B$8000,TRIM($A335),'Timesheet Raw'!$C$4:$C$8000,"*"&amp;$B335&amp;"*",'Timesheet Raw'!$L$4:$L$8000,"&gt;="&amp;I$5,'Timesheet Raw'!$L$4:$L$8000,"&lt;="&amp;I$6)))/'Profit Plan'!$B$5)</f>
        <v>0</v>
      </c>
      <c r="J335" s="122">
        <f>IF($A335="","",(IF(ISNUMBER(SEARCH("Proposal",$A335)),SUMIFS('Timesheet Raw'!$P$4:$P$8000,'Timesheet Raw'!$A$4:$A$8000,IF(ISNUMBER(SEARCH("Chargable",$A335)),"2-Proposals Chargeable","3-Proposals Regular"),'Timesheet Raw'!$C$4:$C$8000,"*"&amp;$B335&amp;"*",'Timesheet Raw'!$L$4:$L$8000,"&gt;="&amp;MAX(J$5,DATE(2000+VALUE(RIGHT(TRIM($A335),2)),1,1)),'Timesheet Raw'!$L$4:$L$8000,"&lt;="&amp;MIN(J$6,DATE(2000+VALUE(RIGHT(TRIM($A335),2)),12,31))),SUMIFS('Timesheet Raw'!$P$4:$P$8000,'Timesheet Raw'!$B$4:$B$8000,TRIM($A335),'Timesheet Raw'!$C$4:$C$8000,"*"&amp;$B335&amp;"*",'Timesheet Raw'!$L$4:$L$8000,"&gt;="&amp;J$5,'Timesheet Raw'!$L$4:$L$8000,"&lt;="&amp;J$6)))/'Profit Plan'!$B$5)</f>
        <v>0.48918918918918919</v>
      </c>
      <c r="K335" s="122">
        <f>IF($A335="","",(IF(ISNUMBER(SEARCH("Proposal",$A335)),SUMIFS('Timesheet Raw'!$P$4:$P$8000,'Timesheet Raw'!$A$4:$A$8000,IF(ISNUMBER(SEARCH("Chargable",$A335)),"2-Proposals Chargeable","3-Proposals Regular"),'Timesheet Raw'!$C$4:$C$8000,"*"&amp;$B335&amp;"*",'Timesheet Raw'!$L$4:$L$8000,"&gt;="&amp;MAX(K$5,DATE(2000+VALUE(RIGHT(TRIM($A335),2)),1,1)),'Timesheet Raw'!$L$4:$L$8000,"&lt;="&amp;MIN(K$6,DATE(2000+VALUE(RIGHT(TRIM($A335),2)),12,31))),SUMIFS('Timesheet Raw'!$P$4:$P$8000,'Timesheet Raw'!$B$4:$B$8000,TRIM($A335),'Timesheet Raw'!$C$4:$C$8000,"*"&amp;$B335&amp;"*",'Timesheet Raw'!$L$4:$L$8000,"&gt;="&amp;K$5,'Timesheet Raw'!$L$4:$L$8000,"&lt;="&amp;K$6)))/'Profit Plan'!$B$5)</f>
        <v>0.69864864864864862</v>
      </c>
      <c r="L335" s="122">
        <f>IF($A335="","",(IF(ISNUMBER(SEARCH("Proposal",$A335)),SUMIFS('Timesheet Raw'!$P$4:$P$8000,'Timesheet Raw'!$A$4:$A$8000,IF(ISNUMBER(SEARCH("Chargable",$A335)),"2-Proposals Chargeable","3-Proposals Regular"),'Timesheet Raw'!$C$4:$C$8000,"*"&amp;$B335&amp;"*",'Timesheet Raw'!$L$4:$L$8000,"&gt;="&amp;MAX(L$5,DATE(2000+VALUE(RIGHT(TRIM($A335),2)),1,1)),'Timesheet Raw'!$L$4:$L$8000,"&lt;="&amp;MIN(L$6,DATE(2000+VALUE(RIGHT(TRIM($A335),2)),12,31))),SUMIFS('Timesheet Raw'!$P$4:$P$8000,'Timesheet Raw'!$B$4:$B$8000,TRIM($A335),'Timesheet Raw'!$C$4:$C$8000,"*"&amp;$B335&amp;"*",'Timesheet Raw'!$L$4:$L$8000,"&gt;="&amp;L$5,'Timesheet Raw'!$L$4:$L$8000,"&lt;="&amp;L$6)))/'Profit Plan'!$B$5)</f>
        <v>4.5945945945945948E-2</v>
      </c>
      <c r="M335" s="122">
        <f>IF($A335="","",(IF(ISNUMBER(SEARCH("Proposal",$A335)),SUMIFS('Timesheet Raw'!$P$4:$P$8000,'Timesheet Raw'!$A$4:$A$8000,IF(ISNUMBER(SEARCH("Chargable",$A335)),"2-Proposals Chargeable","3-Proposals Regular"),'Timesheet Raw'!$C$4:$C$8000,"*"&amp;$B335&amp;"*",'Timesheet Raw'!$L$4:$L$8000,"&gt;="&amp;MAX(M$5,DATE(2000+VALUE(RIGHT(TRIM($A335),2)),1,1)),'Timesheet Raw'!$L$4:$L$8000,"&lt;="&amp;MIN(M$6,DATE(2000+VALUE(RIGHT(TRIM($A335),2)),12,31))),SUMIFS('Timesheet Raw'!$P$4:$P$8000,'Timesheet Raw'!$B$4:$B$8000,TRIM($A335),'Timesheet Raw'!$C$4:$C$8000,"*"&amp;$B335&amp;"*",'Timesheet Raw'!$L$4:$L$8000,"&gt;="&amp;M$5,'Timesheet Raw'!$L$4:$L$8000,"&lt;="&amp;M$6)))/'Profit Plan'!$B$5)</f>
        <v>7.7027027027027031E-2</v>
      </c>
      <c r="N335" s="122">
        <f>IF($A335="","",(IF(ISNUMBER(SEARCH("Proposal",$A335)),SUMIFS('Timesheet Raw'!$P$4:$P$8000,'Timesheet Raw'!$A$4:$A$8000,IF(ISNUMBER(SEARCH("Chargable",$A335)),"2-Proposals Chargeable","3-Proposals Regular"),'Timesheet Raw'!$C$4:$C$8000,"*"&amp;$B335&amp;"*",'Timesheet Raw'!$L$4:$L$8000,"&gt;="&amp;MAX(N$5,DATE(2000+VALUE(RIGHT(TRIM($A335),2)),1,1)),'Timesheet Raw'!$L$4:$L$8000,"&lt;="&amp;MIN(N$6,DATE(2000+VALUE(RIGHT(TRIM($A335),2)),12,31))),SUMIFS('Timesheet Raw'!$P$4:$P$8000,'Timesheet Raw'!$B$4:$B$8000,TRIM($A335),'Timesheet Raw'!$C$4:$C$8000,"*"&amp;$B335&amp;"*",'Timesheet Raw'!$L$4:$L$8000,"&gt;="&amp;N$5,'Timesheet Raw'!$L$4:$L$8000,"&lt;="&amp;N$6)))/'Profit Plan'!$B$5)</f>
        <v>2.1621621621621623E-2</v>
      </c>
      <c r="O335" s="122">
        <f>IF($A335="","",(IF(ISNUMBER(SEARCH("Proposal",$A335)),SUMIFS('Timesheet Raw'!$P$4:$P$8000,'Timesheet Raw'!$A$4:$A$8000,IF(ISNUMBER(SEARCH("Chargable",$A335)),"2-Proposals Chargeable","3-Proposals Regular"),'Timesheet Raw'!$C$4:$C$8000,"*"&amp;$B335&amp;"*",'Timesheet Raw'!$L$4:$L$8000,"&gt;="&amp;MAX(O$5,DATE(2000+VALUE(RIGHT(TRIM($A335),2)),1,1)),'Timesheet Raw'!$L$4:$L$8000,"&lt;="&amp;MIN(O$6,DATE(2000+VALUE(RIGHT(TRIM($A335),2)),12,31))),SUMIFS('Timesheet Raw'!$P$4:$P$8000,'Timesheet Raw'!$B$4:$B$8000,TRIM($A335),'Timesheet Raw'!$C$4:$C$8000,"*"&amp;$B335&amp;"*",'Timesheet Raw'!$L$4:$L$8000,"&gt;="&amp;O$5,'Timesheet Raw'!$L$4:$L$8000,"&lt;="&amp;O$6)))/'Profit Plan'!$B$5)</f>
        <v>0</v>
      </c>
      <c r="P335" s="122">
        <f>IF($A335="","",(IF(ISNUMBER(SEARCH("Proposal",$A335)),SUMIFS('Timesheet Raw'!$P$4:$P$8000,'Timesheet Raw'!$A$4:$A$8000,IF(ISNUMBER(SEARCH("Chargable",$A335)),"2-Proposals Chargeable","3-Proposals Regular"),'Timesheet Raw'!$C$4:$C$8000,"*"&amp;$B335&amp;"*",'Timesheet Raw'!$L$4:$L$8000,"&gt;="&amp;MAX(P$5,DATE(2000+VALUE(RIGHT(TRIM($A335),2)),1,1)),'Timesheet Raw'!$L$4:$L$8000,"&lt;="&amp;MIN(P$6,DATE(2000+VALUE(RIGHT(TRIM($A335),2)),12,31))),SUMIFS('Timesheet Raw'!$P$4:$P$8000,'Timesheet Raw'!$B$4:$B$8000,TRIM($A335),'Timesheet Raw'!$C$4:$C$8000,"*"&amp;$B335&amp;"*",'Timesheet Raw'!$L$4:$L$8000,"&gt;="&amp;P$5,'Timesheet Raw'!$L$4:$L$8000,"&lt;="&amp;P$6)))/'Profit Plan'!$B$5)</f>
        <v>0</v>
      </c>
      <c r="Q335" s="122">
        <f>IF($A335="","",(IF(ISNUMBER(SEARCH("Proposal",$A335)),SUMIFS('Timesheet Raw'!$P$4:$P$8000,'Timesheet Raw'!$A$4:$A$8000,IF(ISNUMBER(SEARCH("Chargable",$A335)),"2-Proposals Chargeable","3-Proposals Regular"),'Timesheet Raw'!$C$4:$C$8000,"*"&amp;$B335&amp;"*",'Timesheet Raw'!$L$4:$L$8000,"&gt;="&amp;MAX(Q$5,DATE(2000+VALUE(RIGHT(TRIM($A335),2)),1,1)),'Timesheet Raw'!$L$4:$L$8000,"&lt;="&amp;MIN(Q$6,DATE(2000+VALUE(RIGHT(TRIM($A335),2)),12,31))),SUMIFS('Timesheet Raw'!$P$4:$P$8000,'Timesheet Raw'!$B$4:$B$8000,TRIM($A335),'Timesheet Raw'!$C$4:$C$8000,"*"&amp;$B335&amp;"*",'Timesheet Raw'!$L$4:$L$8000,"&gt;="&amp;Q$5,'Timesheet Raw'!$L$4:$L$8000,"&lt;="&amp;Q$6)))/'Profit Plan'!$B$5)</f>
        <v>0</v>
      </c>
      <c r="R335" s="122">
        <f>IF($A335="","",(IF(ISNUMBER(SEARCH("Proposal",$A335)),SUMIFS('Timesheet Raw'!$P$4:$P$8000,'Timesheet Raw'!$A$4:$A$8000,IF(ISNUMBER(SEARCH("Chargable",$A335)),"2-Proposals Chargeable","3-Proposals Regular"),'Timesheet Raw'!$C$4:$C$8000,"*"&amp;$B335&amp;"*",'Timesheet Raw'!$L$4:$L$8000,"&gt;="&amp;MAX(R$5,DATE(2000+VALUE(RIGHT(TRIM($A335),2)),1,1)),'Timesheet Raw'!$L$4:$L$8000,"&lt;="&amp;MIN(R$6,DATE(2000+VALUE(RIGHT(TRIM($A335),2)),12,31))),SUMIFS('Timesheet Raw'!$P$4:$P$8000,'Timesheet Raw'!$B$4:$B$8000,TRIM($A335),'Timesheet Raw'!$C$4:$C$8000,"*"&amp;$B335&amp;"*",'Timesheet Raw'!$L$4:$L$8000,"&gt;="&amp;R$5,'Timesheet Raw'!$L$4:$L$8000,"&lt;="&amp;R$6)))/'Profit Plan'!$B$5)</f>
        <v>0</v>
      </c>
      <c r="S335" s="122">
        <f>IF($A335="","",(IF(ISNUMBER(SEARCH("Proposal",$A335)),SUMIFS('Timesheet Raw'!$P$4:$P$8000,'Timesheet Raw'!$A$4:$A$8000,IF(ISNUMBER(SEARCH("Chargable",$A335)),"2-Proposals Chargeable","3-Proposals Regular"),'Timesheet Raw'!$C$4:$C$8000,"*"&amp;$B335&amp;"*",'Timesheet Raw'!$L$4:$L$8000,"&gt;="&amp;MAX(S$5,DATE(2000+VALUE(RIGHT(TRIM($A335),2)),1,1)),'Timesheet Raw'!$L$4:$L$8000,"&lt;="&amp;MIN(S$6,DATE(2000+VALUE(RIGHT(TRIM($A335),2)),12,31))),SUMIFS('Timesheet Raw'!$P$4:$P$8000,'Timesheet Raw'!$B$4:$B$8000,TRIM($A335),'Timesheet Raw'!$C$4:$C$8000,"*"&amp;$B335&amp;"*",'Timesheet Raw'!$L$4:$L$8000,"&gt;="&amp;S$5,'Timesheet Raw'!$L$4:$L$8000,"&lt;="&amp;S$6)))/'Profit Plan'!$B$5)</f>
        <v>0</v>
      </c>
      <c r="T335" s="122">
        <f>IF($A335="","",(IF(ISNUMBER(SEARCH("Proposal",$A335)),SUMIFS('Timesheet Raw'!$P$4:$P$8000,'Timesheet Raw'!$A$4:$A$8000,IF(ISNUMBER(SEARCH("Chargable",$A335)),"2-Proposals Chargeable","3-Proposals Regular"),'Timesheet Raw'!$C$4:$C$8000,"*"&amp;$B335&amp;"*",'Timesheet Raw'!$L$4:$L$8000,"&gt;="&amp;MAX(T$5,DATE(2000+VALUE(RIGHT(TRIM($A335),2)),1,1)),'Timesheet Raw'!$L$4:$L$8000,"&lt;="&amp;MIN(T$6,DATE(2000+VALUE(RIGHT(TRIM($A335),2)),12,31))),SUMIFS('Timesheet Raw'!$P$4:$P$8000,'Timesheet Raw'!$B$4:$B$8000,TRIM($A335),'Timesheet Raw'!$C$4:$C$8000,"*"&amp;$B335&amp;"*",'Timesheet Raw'!$L$4:$L$8000,"&gt;="&amp;T$5,'Timesheet Raw'!$L$4:$L$8000,"&lt;="&amp;T$6)))/'Profit Plan'!$B$5)</f>
        <v>0</v>
      </c>
      <c r="U335" s="122">
        <f>IF($A335="","",(IF(ISNUMBER(SEARCH("Proposal",$A335)),SUMIFS('Timesheet Raw'!$P$4:$P$8000,'Timesheet Raw'!$A$4:$A$8000,IF(ISNUMBER(SEARCH("Chargable",$A335)),"2-Proposals Chargeable","3-Proposals Regular"),'Timesheet Raw'!$C$4:$C$8000,"*"&amp;$B335&amp;"*",'Timesheet Raw'!$L$4:$L$8000,"&gt;="&amp;MAX(U$5,DATE(2000+VALUE(RIGHT(TRIM($A335),2)),1,1)),'Timesheet Raw'!$L$4:$L$8000,"&lt;="&amp;MIN(U$6,DATE(2000+VALUE(RIGHT(TRIM($A335),2)),12,31))),SUMIFS('Timesheet Raw'!$P$4:$P$8000,'Timesheet Raw'!$B$4:$B$8000,TRIM($A335),'Timesheet Raw'!$C$4:$C$8000,"*"&amp;$B335&amp;"*",'Timesheet Raw'!$L$4:$L$8000,"&gt;="&amp;U$5,'Timesheet Raw'!$L$4:$L$8000,"&lt;="&amp;U$6)))/'Profit Plan'!$B$5)</f>
        <v>0</v>
      </c>
      <c r="V335" s="122">
        <f>IF($A335="","",(IF(ISNUMBER(SEARCH("Proposal",$A335)),SUMIFS('Timesheet Raw'!$P$4:$P$8000,'Timesheet Raw'!$A$4:$A$8000,IF(ISNUMBER(SEARCH("Chargable",$A335)),"2-Proposals Chargeable","3-Proposals Regular"),'Timesheet Raw'!$C$4:$C$8000,"*"&amp;$B335&amp;"*",'Timesheet Raw'!$L$4:$L$8000,"&gt;="&amp;MAX(V$5,DATE(2000+VALUE(RIGHT(TRIM($A335),2)),1,1)),'Timesheet Raw'!$L$4:$L$8000,"&lt;="&amp;MIN(V$6,DATE(2000+VALUE(RIGHT(TRIM($A335),2)),12,31))),SUMIFS('Timesheet Raw'!$P$4:$P$8000,'Timesheet Raw'!$B$4:$B$8000,TRIM($A335),'Timesheet Raw'!$C$4:$C$8000,"*"&amp;$B335&amp;"*",'Timesheet Raw'!$L$4:$L$8000,"&gt;="&amp;V$5,'Timesheet Raw'!$L$4:$L$8000,"&lt;="&amp;V$6)))/'Profit Plan'!$B$5)</f>
        <v>0</v>
      </c>
      <c r="W335" s="122">
        <f>IF($A335="","",(IF(ISNUMBER(SEARCH("Proposal",$A335)),SUMIFS('Timesheet Raw'!$P$4:$P$8000,'Timesheet Raw'!$A$4:$A$8000,IF(ISNUMBER(SEARCH("Chargable",$A335)),"2-Proposals Chargeable","3-Proposals Regular"),'Timesheet Raw'!$C$4:$C$8000,"*"&amp;$B335&amp;"*",'Timesheet Raw'!$L$4:$L$8000,"&gt;="&amp;MAX(W$5,DATE(2000+VALUE(RIGHT(TRIM($A335),2)),1,1)),'Timesheet Raw'!$L$4:$L$8000,"&lt;="&amp;MIN(W$6,DATE(2000+VALUE(RIGHT(TRIM($A335),2)),12,31))),SUMIFS('Timesheet Raw'!$P$4:$P$8000,'Timesheet Raw'!$B$4:$B$8000,TRIM($A335),'Timesheet Raw'!$C$4:$C$8000,"*"&amp;$B335&amp;"*",'Timesheet Raw'!$L$4:$L$8000,"&gt;="&amp;W$5,'Timesheet Raw'!$L$4:$L$8000,"&lt;="&amp;W$6)))/'Profit Plan'!$B$5)</f>
        <v>0</v>
      </c>
      <c r="X335" s="122">
        <f>IF($A335="","",(IF(ISNUMBER(SEARCH("Proposal",$A335)),SUMIFS('Timesheet Raw'!$P$4:$P$8000,'Timesheet Raw'!$A$4:$A$8000,IF(ISNUMBER(SEARCH("Chargable",$A335)),"2-Proposals Chargeable","3-Proposals Regular"),'Timesheet Raw'!$C$4:$C$8000,"*"&amp;$B335&amp;"*",'Timesheet Raw'!$L$4:$L$8000,"&gt;="&amp;MAX(X$5,DATE(2000+VALUE(RIGHT(TRIM($A335),2)),1,1)),'Timesheet Raw'!$L$4:$L$8000,"&lt;="&amp;MIN(X$6,DATE(2000+VALUE(RIGHT(TRIM($A335),2)),12,31))),SUMIFS('Timesheet Raw'!$P$4:$P$8000,'Timesheet Raw'!$B$4:$B$8000,TRIM($A335),'Timesheet Raw'!$C$4:$C$8000,"*"&amp;$B335&amp;"*",'Timesheet Raw'!$L$4:$L$8000,"&gt;="&amp;X$5,'Timesheet Raw'!$L$4:$L$8000,"&lt;="&amp;X$6)))/'Profit Plan'!$B$5)</f>
        <v>0</v>
      </c>
      <c r="Y335" s="118">
        <f t="shared" si="101"/>
        <v>1.3324324324324324</v>
      </c>
    </row>
    <row r="336" spans="1:25" x14ac:dyDescent="0.3">
      <c r="A336" s="116" t="str">
        <f>IF(Inputs!$A29="","",Inputs!$A29)</f>
        <v>TA24246-0200R</v>
      </c>
      <c r="B336" s="116" t="str">
        <f>IF(Inputs!$A29="","",Inputs!$A$93)</f>
        <v>Kirolos</v>
      </c>
      <c r="C336" s="116"/>
      <c r="D336" s="122">
        <f>IF($A336="","",(IF(ISNUMBER(SEARCH("Proposal",$A336)),SUMIFS('Timesheet Raw'!$P$4:$P$8000,'Timesheet Raw'!$A$4:$A$8000,IF(ISNUMBER(SEARCH("Chargable",$A336)),"2-Proposals Chargeable","3-Proposals Regular"),'Timesheet Raw'!$C$4:$C$8000,"*"&amp;$B336&amp;"*",'Timesheet Raw'!$L$4:$L$8000,"&gt;="&amp;MAX(D$5,DATE(2000+VALUE(RIGHT(TRIM($A336),2)),1,1)),'Timesheet Raw'!$L$4:$L$8000,"&lt;="&amp;MIN(D$6,DATE(2000+VALUE(RIGHT(TRIM($A336),2)),12,31))),SUMIFS('Timesheet Raw'!$P$4:$P$8000,'Timesheet Raw'!$B$4:$B$8000,TRIM($A336),'Timesheet Raw'!$C$4:$C$8000,"*"&amp;$B336&amp;"*",'Timesheet Raw'!$L$4:$L$8000,"&gt;="&amp;D$5,'Timesheet Raw'!$L$4:$L$8000,"&lt;="&amp;D$6)))/'Profit Plan'!$B$5)</f>
        <v>0</v>
      </c>
      <c r="E336" s="122">
        <f>IF($A336="","",(IF(ISNUMBER(SEARCH("Proposal",$A336)),SUMIFS('Timesheet Raw'!$P$4:$P$8000,'Timesheet Raw'!$A$4:$A$8000,IF(ISNUMBER(SEARCH("Chargable",$A336)),"2-Proposals Chargeable","3-Proposals Regular"),'Timesheet Raw'!$C$4:$C$8000,"*"&amp;$B336&amp;"*",'Timesheet Raw'!$L$4:$L$8000,"&gt;="&amp;MAX(E$5,DATE(2000+VALUE(RIGHT(TRIM($A336),2)),1,1)),'Timesheet Raw'!$L$4:$L$8000,"&lt;="&amp;MIN(E$6,DATE(2000+VALUE(RIGHT(TRIM($A336),2)),12,31))),SUMIFS('Timesheet Raw'!$P$4:$P$8000,'Timesheet Raw'!$B$4:$B$8000,TRIM($A336),'Timesheet Raw'!$C$4:$C$8000,"*"&amp;$B336&amp;"*",'Timesheet Raw'!$L$4:$L$8000,"&gt;="&amp;E$5,'Timesheet Raw'!$L$4:$L$8000,"&lt;="&amp;E$6)))/'Profit Plan'!$B$5)</f>
        <v>0</v>
      </c>
      <c r="F336" s="122">
        <f>IF($A336="","",(IF(ISNUMBER(SEARCH("Proposal",$A336)),SUMIFS('Timesheet Raw'!$P$4:$P$8000,'Timesheet Raw'!$A$4:$A$8000,IF(ISNUMBER(SEARCH("Chargable",$A336)),"2-Proposals Chargeable","3-Proposals Regular"),'Timesheet Raw'!$C$4:$C$8000,"*"&amp;$B336&amp;"*",'Timesheet Raw'!$L$4:$L$8000,"&gt;="&amp;MAX(F$5,DATE(2000+VALUE(RIGHT(TRIM($A336),2)),1,1)),'Timesheet Raw'!$L$4:$L$8000,"&lt;="&amp;MIN(F$6,DATE(2000+VALUE(RIGHT(TRIM($A336),2)),12,31))),SUMIFS('Timesheet Raw'!$P$4:$P$8000,'Timesheet Raw'!$B$4:$B$8000,TRIM($A336),'Timesheet Raw'!$C$4:$C$8000,"*"&amp;$B336&amp;"*",'Timesheet Raw'!$L$4:$L$8000,"&gt;="&amp;F$5,'Timesheet Raw'!$L$4:$L$8000,"&lt;="&amp;F$6)))/'Profit Plan'!$B$5)</f>
        <v>0</v>
      </c>
      <c r="G336" s="122">
        <f>IF($A336="","",(IF(ISNUMBER(SEARCH("Proposal",$A336)),SUMIFS('Timesheet Raw'!$P$4:$P$8000,'Timesheet Raw'!$A$4:$A$8000,IF(ISNUMBER(SEARCH("Chargable",$A336)),"2-Proposals Chargeable","3-Proposals Regular"),'Timesheet Raw'!$C$4:$C$8000,"*"&amp;$B336&amp;"*",'Timesheet Raw'!$L$4:$L$8000,"&gt;="&amp;MAX(G$5,DATE(2000+VALUE(RIGHT(TRIM($A336),2)),1,1)),'Timesheet Raw'!$L$4:$L$8000,"&lt;="&amp;MIN(G$6,DATE(2000+VALUE(RIGHT(TRIM($A336),2)),12,31))),SUMIFS('Timesheet Raw'!$P$4:$P$8000,'Timesheet Raw'!$B$4:$B$8000,TRIM($A336),'Timesheet Raw'!$C$4:$C$8000,"*"&amp;$B336&amp;"*",'Timesheet Raw'!$L$4:$L$8000,"&gt;="&amp;G$5,'Timesheet Raw'!$L$4:$L$8000,"&lt;="&amp;G$6)))/'Profit Plan'!$B$5)</f>
        <v>0</v>
      </c>
      <c r="H336" s="122">
        <f>IF($A336="","",(IF(ISNUMBER(SEARCH("Proposal",$A336)),SUMIFS('Timesheet Raw'!$P$4:$P$8000,'Timesheet Raw'!$A$4:$A$8000,IF(ISNUMBER(SEARCH("Chargable",$A336)),"2-Proposals Chargeable","3-Proposals Regular"),'Timesheet Raw'!$C$4:$C$8000,"*"&amp;$B336&amp;"*",'Timesheet Raw'!$L$4:$L$8000,"&gt;="&amp;MAX(H$5,DATE(2000+VALUE(RIGHT(TRIM($A336),2)),1,1)),'Timesheet Raw'!$L$4:$L$8000,"&lt;="&amp;MIN(H$6,DATE(2000+VALUE(RIGHT(TRIM($A336),2)),12,31))),SUMIFS('Timesheet Raw'!$P$4:$P$8000,'Timesheet Raw'!$B$4:$B$8000,TRIM($A336),'Timesheet Raw'!$C$4:$C$8000,"*"&amp;$B336&amp;"*",'Timesheet Raw'!$L$4:$L$8000,"&gt;="&amp;H$5,'Timesheet Raw'!$L$4:$L$8000,"&lt;="&amp;H$6)))/'Profit Plan'!$B$5)</f>
        <v>0</v>
      </c>
      <c r="I336" s="122">
        <f>IF($A336="","",(IF(ISNUMBER(SEARCH("Proposal",$A336)),SUMIFS('Timesheet Raw'!$P$4:$P$8000,'Timesheet Raw'!$A$4:$A$8000,IF(ISNUMBER(SEARCH("Chargable",$A336)),"2-Proposals Chargeable","3-Proposals Regular"),'Timesheet Raw'!$C$4:$C$8000,"*"&amp;$B336&amp;"*",'Timesheet Raw'!$L$4:$L$8000,"&gt;="&amp;MAX(I$5,DATE(2000+VALUE(RIGHT(TRIM($A336),2)),1,1)),'Timesheet Raw'!$L$4:$L$8000,"&lt;="&amp;MIN(I$6,DATE(2000+VALUE(RIGHT(TRIM($A336),2)),12,31))),SUMIFS('Timesheet Raw'!$P$4:$P$8000,'Timesheet Raw'!$B$4:$B$8000,TRIM($A336),'Timesheet Raw'!$C$4:$C$8000,"*"&amp;$B336&amp;"*",'Timesheet Raw'!$L$4:$L$8000,"&gt;="&amp;I$5,'Timesheet Raw'!$L$4:$L$8000,"&lt;="&amp;I$6)))/'Profit Plan'!$B$5)</f>
        <v>0</v>
      </c>
      <c r="J336" s="122">
        <f>IF($A336="","",(IF(ISNUMBER(SEARCH("Proposal",$A336)),SUMIFS('Timesheet Raw'!$P$4:$P$8000,'Timesheet Raw'!$A$4:$A$8000,IF(ISNUMBER(SEARCH("Chargable",$A336)),"2-Proposals Chargeable","3-Proposals Regular"),'Timesheet Raw'!$C$4:$C$8000,"*"&amp;$B336&amp;"*",'Timesheet Raw'!$L$4:$L$8000,"&gt;="&amp;MAX(J$5,DATE(2000+VALUE(RIGHT(TRIM($A336),2)),1,1)),'Timesheet Raw'!$L$4:$L$8000,"&lt;="&amp;MIN(J$6,DATE(2000+VALUE(RIGHT(TRIM($A336),2)),12,31))),SUMIFS('Timesheet Raw'!$P$4:$P$8000,'Timesheet Raw'!$B$4:$B$8000,TRIM($A336),'Timesheet Raw'!$C$4:$C$8000,"*"&amp;$B336&amp;"*",'Timesheet Raw'!$L$4:$L$8000,"&gt;="&amp;J$5,'Timesheet Raw'!$L$4:$L$8000,"&lt;="&amp;J$6)))/'Profit Plan'!$B$5)</f>
        <v>0</v>
      </c>
      <c r="K336" s="122">
        <f>IF($A336="","",(IF(ISNUMBER(SEARCH("Proposal",$A336)),SUMIFS('Timesheet Raw'!$P$4:$P$8000,'Timesheet Raw'!$A$4:$A$8000,IF(ISNUMBER(SEARCH("Chargable",$A336)),"2-Proposals Chargeable","3-Proposals Regular"),'Timesheet Raw'!$C$4:$C$8000,"*"&amp;$B336&amp;"*",'Timesheet Raw'!$L$4:$L$8000,"&gt;="&amp;MAX(K$5,DATE(2000+VALUE(RIGHT(TRIM($A336),2)),1,1)),'Timesheet Raw'!$L$4:$L$8000,"&lt;="&amp;MIN(K$6,DATE(2000+VALUE(RIGHT(TRIM($A336),2)),12,31))),SUMIFS('Timesheet Raw'!$P$4:$P$8000,'Timesheet Raw'!$B$4:$B$8000,TRIM($A336),'Timesheet Raw'!$C$4:$C$8000,"*"&amp;$B336&amp;"*",'Timesheet Raw'!$L$4:$L$8000,"&gt;="&amp;K$5,'Timesheet Raw'!$L$4:$L$8000,"&lt;="&amp;K$6)))/'Profit Plan'!$B$5)</f>
        <v>0</v>
      </c>
      <c r="L336" s="122">
        <f>IF($A336="","",(IF(ISNUMBER(SEARCH("Proposal",$A336)),SUMIFS('Timesheet Raw'!$P$4:$P$8000,'Timesheet Raw'!$A$4:$A$8000,IF(ISNUMBER(SEARCH("Chargable",$A336)),"2-Proposals Chargeable","3-Proposals Regular"),'Timesheet Raw'!$C$4:$C$8000,"*"&amp;$B336&amp;"*",'Timesheet Raw'!$L$4:$L$8000,"&gt;="&amp;MAX(L$5,DATE(2000+VALUE(RIGHT(TRIM($A336),2)),1,1)),'Timesheet Raw'!$L$4:$L$8000,"&lt;="&amp;MIN(L$6,DATE(2000+VALUE(RIGHT(TRIM($A336),2)),12,31))),SUMIFS('Timesheet Raw'!$P$4:$P$8000,'Timesheet Raw'!$B$4:$B$8000,TRIM($A336),'Timesheet Raw'!$C$4:$C$8000,"*"&amp;$B336&amp;"*",'Timesheet Raw'!$L$4:$L$8000,"&gt;="&amp;L$5,'Timesheet Raw'!$L$4:$L$8000,"&lt;="&amp;L$6)))/'Profit Plan'!$B$5)</f>
        <v>0</v>
      </c>
      <c r="M336" s="122">
        <f>IF($A336="","",(IF(ISNUMBER(SEARCH("Proposal",$A336)),SUMIFS('Timesheet Raw'!$P$4:$P$8000,'Timesheet Raw'!$A$4:$A$8000,IF(ISNUMBER(SEARCH("Chargable",$A336)),"2-Proposals Chargeable","3-Proposals Regular"),'Timesheet Raw'!$C$4:$C$8000,"*"&amp;$B336&amp;"*",'Timesheet Raw'!$L$4:$L$8000,"&gt;="&amp;MAX(M$5,DATE(2000+VALUE(RIGHT(TRIM($A336),2)),1,1)),'Timesheet Raw'!$L$4:$L$8000,"&lt;="&amp;MIN(M$6,DATE(2000+VALUE(RIGHT(TRIM($A336),2)),12,31))),SUMIFS('Timesheet Raw'!$P$4:$P$8000,'Timesheet Raw'!$B$4:$B$8000,TRIM($A336),'Timesheet Raw'!$C$4:$C$8000,"*"&amp;$B336&amp;"*",'Timesheet Raw'!$L$4:$L$8000,"&gt;="&amp;M$5,'Timesheet Raw'!$L$4:$L$8000,"&lt;="&amp;M$6)))/'Profit Plan'!$B$5)</f>
        <v>0</v>
      </c>
      <c r="N336" s="122">
        <f>IF($A336="","",(IF(ISNUMBER(SEARCH("Proposal",$A336)),SUMIFS('Timesheet Raw'!$P$4:$P$8000,'Timesheet Raw'!$A$4:$A$8000,IF(ISNUMBER(SEARCH("Chargable",$A336)),"2-Proposals Chargeable","3-Proposals Regular"),'Timesheet Raw'!$C$4:$C$8000,"*"&amp;$B336&amp;"*",'Timesheet Raw'!$L$4:$L$8000,"&gt;="&amp;MAX(N$5,DATE(2000+VALUE(RIGHT(TRIM($A336),2)),1,1)),'Timesheet Raw'!$L$4:$L$8000,"&lt;="&amp;MIN(N$6,DATE(2000+VALUE(RIGHT(TRIM($A336),2)),12,31))),SUMIFS('Timesheet Raw'!$P$4:$P$8000,'Timesheet Raw'!$B$4:$B$8000,TRIM($A336),'Timesheet Raw'!$C$4:$C$8000,"*"&amp;$B336&amp;"*",'Timesheet Raw'!$L$4:$L$8000,"&gt;="&amp;N$5,'Timesheet Raw'!$L$4:$L$8000,"&lt;="&amp;N$6)))/'Profit Plan'!$B$5)</f>
        <v>0</v>
      </c>
      <c r="O336" s="122">
        <f>IF($A336="","",(IF(ISNUMBER(SEARCH("Proposal",$A336)),SUMIFS('Timesheet Raw'!$P$4:$P$8000,'Timesheet Raw'!$A$4:$A$8000,IF(ISNUMBER(SEARCH("Chargable",$A336)),"2-Proposals Chargeable","3-Proposals Regular"),'Timesheet Raw'!$C$4:$C$8000,"*"&amp;$B336&amp;"*",'Timesheet Raw'!$L$4:$L$8000,"&gt;="&amp;MAX(O$5,DATE(2000+VALUE(RIGHT(TRIM($A336),2)),1,1)),'Timesheet Raw'!$L$4:$L$8000,"&lt;="&amp;MIN(O$6,DATE(2000+VALUE(RIGHT(TRIM($A336),2)),12,31))),SUMIFS('Timesheet Raw'!$P$4:$P$8000,'Timesheet Raw'!$B$4:$B$8000,TRIM($A336),'Timesheet Raw'!$C$4:$C$8000,"*"&amp;$B336&amp;"*",'Timesheet Raw'!$L$4:$L$8000,"&gt;="&amp;O$5,'Timesheet Raw'!$L$4:$L$8000,"&lt;="&amp;O$6)))/'Profit Plan'!$B$5)</f>
        <v>0</v>
      </c>
      <c r="P336" s="122">
        <f>IF($A336="","",(IF(ISNUMBER(SEARCH("Proposal",$A336)),SUMIFS('Timesheet Raw'!$P$4:$P$8000,'Timesheet Raw'!$A$4:$A$8000,IF(ISNUMBER(SEARCH("Chargable",$A336)),"2-Proposals Chargeable","3-Proposals Regular"),'Timesheet Raw'!$C$4:$C$8000,"*"&amp;$B336&amp;"*",'Timesheet Raw'!$L$4:$L$8000,"&gt;="&amp;MAX(P$5,DATE(2000+VALUE(RIGHT(TRIM($A336),2)),1,1)),'Timesheet Raw'!$L$4:$L$8000,"&lt;="&amp;MIN(P$6,DATE(2000+VALUE(RIGHT(TRIM($A336),2)),12,31))),SUMIFS('Timesheet Raw'!$P$4:$P$8000,'Timesheet Raw'!$B$4:$B$8000,TRIM($A336),'Timesheet Raw'!$C$4:$C$8000,"*"&amp;$B336&amp;"*",'Timesheet Raw'!$L$4:$L$8000,"&gt;="&amp;P$5,'Timesheet Raw'!$L$4:$L$8000,"&lt;="&amp;P$6)))/'Profit Plan'!$B$5)</f>
        <v>0</v>
      </c>
      <c r="Q336" s="122">
        <f>IF($A336="","",(IF(ISNUMBER(SEARCH("Proposal",$A336)),SUMIFS('Timesheet Raw'!$P$4:$P$8000,'Timesheet Raw'!$A$4:$A$8000,IF(ISNUMBER(SEARCH("Chargable",$A336)),"2-Proposals Chargeable","3-Proposals Regular"),'Timesheet Raw'!$C$4:$C$8000,"*"&amp;$B336&amp;"*",'Timesheet Raw'!$L$4:$L$8000,"&gt;="&amp;MAX(Q$5,DATE(2000+VALUE(RIGHT(TRIM($A336),2)),1,1)),'Timesheet Raw'!$L$4:$L$8000,"&lt;="&amp;MIN(Q$6,DATE(2000+VALUE(RIGHT(TRIM($A336),2)),12,31))),SUMIFS('Timesheet Raw'!$P$4:$P$8000,'Timesheet Raw'!$B$4:$B$8000,TRIM($A336),'Timesheet Raw'!$C$4:$C$8000,"*"&amp;$B336&amp;"*",'Timesheet Raw'!$L$4:$L$8000,"&gt;="&amp;Q$5,'Timesheet Raw'!$L$4:$L$8000,"&lt;="&amp;Q$6)))/'Profit Plan'!$B$5)</f>
        <v>0</v>
      </c>
      <c r="R336" s="122">
        <f>IF($A336="","",(IF(ISNUMBER(SEARCH("Proposal",$A336)),SUMIFS('Timesheet Raw'!$P$4:$P$8000,'Timesheet Raw'!$A$4:$A$8000,IF(ISNUMBER(SEARCH("Chargable",$A336)),"2-Proposals Chargeable","3-Proposals Regular"),'Timesheet Raw'!$C$4:$C$8000,"*"&amp;$B336&amp;"*",'Timesheet Raw'!$L$4:$L$8000,"&gt;="&amp;MAX(R$5,DATE(2000+VALUE(RIGHT(TRIM($A336),2)),1,1)),'Timesheet Raw'!$L$4:$L$8000,"&lt;="&amp;MIN(R$6,DATE(2000+VALUE(RIGHT(TRIM($A336),2)),12,31))),SUMIFS('Timesheet Raw'!$P$4:$P$8000,'Timesheet Raw'!$B$4:$B$8000,TRIM($A336),'Timesheet Raw'!$C$4:$C$8000,"*"&amp;$B336&amp;"*",'Timesheet Raw'!$L$4:$L$8000,"&gt;="&amp;R$5,'Timesheet Raw'!$L$4:$L$8000,"&lt;="&amp;R$6)))/'Profit Plan'!$B$5)</f>
        <v>0</v>
      </c>
      <c r="S336" s="122">
        <f>IF($A336="","",(IF(ISNUMBER(SEARCH("Proposal",$A336)),SUMIFS('Timesheet Raw'!$P$4:$P$8000,'Timesheet Raw'!$A$4:$A$8000,IF(ISNUMBER(SEARCH("Chargable",$A336)),"2-Proposals Chargeable","3-Proposals Regular"),'Timesheet Raw'!$C$4:$C$8000,"*"&amp;$B336&amp;"*",'Timesheet Raw'!$L$4:$L$8000,"&gt;="&amp;MAX(S$5,DATE(2000+VALUE(RIGHT(TRIM($A336),2)),1,1)),'Timesheet Raw'!$L$4:$L$8000,"&lt;="&amp;MIN(S$6,DATE(2000+VALUE(RIGHT(TRIM($A336),2)),12,31))),SUMIFS('Timesheet Raw'!$P$4:$P$8000,'Timesheet Raw'!$B$4:$B$8000,TRIM($A336),'Timesheet Raw'!$C$4:$C$8000,"*"&amp;$B336&amp;"*",'Timesheet Raw'!$L$4:$L$8000,"&gt;="&amp;S$5,'Timesheet Raw'!$L$4:$L$8000,"&lt;="&amp;S$6)))/'Profit Plan'!$B$5)</f>
        <v>0</v>
      </c>
      <c r="T336" s="122">
        <f>IF($A336="","",(IF(ISNUMBER(SEARCH("Proposal",$A336)),SUMIFS('Timesheet Raw'!$P$4:$P$8000,'Timesheet Raw'!$A$4:$A$8000,IF(ISNUMBER(SEARCH("Chargable",$A336)),"2-Proposals Chargeable","3-Proposals Regular"),'Timesheet Raw'!$C$4:$C$8000,"*"&amp;$B336&amp;"*",'Timesheet Raw'!$L$4:$L$8000,"&gt;="&amp;MAX(T$5,DATE(2000+VALUE(RIGHT(TRIM($A336),2)),1,1)),'Timesheet Raw'!$L$4:$L$8000,"&lt;="&amp;MIN(T$6,DATE(2000+VALUE(RIGHT(TRIM($A336),2)),12,31))),SUMIFS('Timesheet Raw'!$P$4:$P$8000,'Timesheet Raw'!$B$4:$B$8000,TRIM($A336),'Timesheet Raw'!$C$4:$C$8000,"*"&amp;$B336&amp;"*",'Timesheet Raw'!$L$4:$L$8000,"&gt;="&amp;T$5,'Timesheet Raw'!$L$4:$L$8000,"&lt;="&amp;T$6)))/'Profit Plan'!$B$5)</f>
        <v>0</v>
      </c>
      <c r="U336" s="122">
        <f>IF($A336="","",(IF(ISNUMBER(SEARCH("Proposal",$A336)),SUMIFS('Timesheet Raw'!$P$4:$P$8000,'Timesheet Raw'!$A$4:$A$8000,IF(ISNUMBER(SEARCH("Chargable",$A336)),"2-Proposals Chargeable","3-Proposals Regular"),'Timesheet Raw'!$C$4:$C$8000,"*"&amp;$B336&amp;"*",'Timesheet Raw'!$L$4:$L$8000,"&gt;="&amp;MAX(U$5,DATE(2000+VALUE(RIGHT(TRIM($A336),2)),1,1)),'Timesheet Raw'!$L$4:$L$8000,"&lt;="&amp;MIN(U$6,DATE(2000+VALUE(RIGHT(TRIM($A336),2)),12,31))),SUMIFS('Timesheet Raw'!$P$4:$P$8000,'Timesheet Raw'!$B$4:$B$8000,TRIM($A336),'Timesheet Raw'!$C$4:$C$8000,"*"&amp;$B336&amp;"*",'Timesheet Raw'!$L$4:$L$8000,"&gt;="&amp;U$5,'Timesheet Raw'!$L$4:$L$8000,"&lt;="&amp;U$6)))/'Profit Plan'!$B$5)</f>
        <v>0</v>
      </c>
      <c r="V336" s="122">
        <f>IF($A336="","",(IF(ISNUMBER(SEARCH("Proposal",$A336)),SUMIFS('Timesheet Raw'!$P$4:$P$8000,'Timesheet Raw'!$A$4:$A$8000,IF(ISNUMBER(SEARCH("Chargable",$A336)),"2-Proposals Chargeable","3-Proposals Regular"),'Timesheet Raw'!$C$4:$C$8000,"*"&amp;$B336&amp;"*",'Timesheet Raw'!$L$4:$L$8000,"&gt;="&amp;MAX(V$5,DATE(2000+VALUE(RIGHT(TRIM($A336),2)),1,1)),'Timesheet Raw'!$L$4:$L$8000,"&lt;="&amp;MIN(V$6,DATE(2000+VALUE(RIGHT(TRIM($A336),2)),12,31))),SUMIFS('Timesheet Raw'!$P$4:$P$8000,'Timesheet Raw'!$B$4:$B$8000,TRIM($A336),'Timesheet Raw'!$C$4:$C$8000,"*"&amp;$B336&amp;"*",'Timesheet Raw'!$L$4:$L$8000,"&gt;="&amp;V$5,'Timesheet Raw'!$L$4:$L$8000,"&lt;="&amp;V$6)))/'Profit Plan'!$B$5)</f>
        <v>0</v>
      </c>
      <c r="W336" s="122">
        <f>IF($A336="","",(IF(ISNUMBER(SEARCH("Proposal",$A336)),SUMIFS('Timesheet Raw'!$P$4:$P$8000,'Timesheet Raw'!$A$4:$A$8000,IF(ISNUMBER(SEARCH("Chargable",$A336)),"2-Proposals Chargeable","3-Proposals Regular"),'Timesheet Raw'!$C$4:$C$8000,"*"&amp;$B336&amp;"*",'Timesheet Raw'!$L$4:$L$8000,"&gt;="&amp;MAX(W$5,DATE(2000+VALUE(RIGHT(TRIM($A336),2)),1,1)),'Timesheet Raw'!$L$4:$L$8000,"&lt;="&amp;MIN(W$6,DATE(2000+VALUE(RIGHT(TRIM($A336),2)),12,31))),SUMIFS('Timesheet Raw'!$P$4:$P$8000,'Timesheet Raw'!$B$4:$B$8000,TRIM($A336),'Timesheet Raw'!$C$4:$C$8000,"*"&amp;$B336&amp;"*",'Timesheet Raw'!$L$4:$L$8000,"&gt;="&amp;W$5,'Timesheet Raw'!$L$4:$L$8000,"&lt;="&amp;W$6)))/'Profit Plan'!$B$5)</f>
        <v>0</v>
      </c>
      <c r="X336" s="122">
        <f>IF($A336="","",(IF(ISNUMBER(SEARCH("Proposal",$A336)),SUMIFS('Timesheet Raw'!$P$4:$P$8000,'Timesheet Raw'!$A$4:$A$8000,IF(ISNUMBER(SEARCH("Chargable",$A336)),"2-Proposals Chargeable","3-Proposals Regular"),'Timesheet Raw'!$C$4:$C$8000,"*"&amp;$B336&amp;"*",'Timesheet Raw'!$L$4:$L$8000,"&gt;="&amp;MAX(X$5,DATE(2000+VALUE(RIGHT(TRIM($A336),2)),1,1)),'Timesheet Raw'!$L$4:$L$8000,"&lt;="&amp;MIN(X$6,DATE(2000+VALUE(RIGHT(TRIM($A336),2)),12,31))),SUMIFS('Timesheet Raw'!$P$4:$P$8000,'Timesheet Raw'!$B$4:$B$8000,TRIM($A336),'Timesheet Raw'!$C$4:$C$8000,"*"&amp;$B336&amp;"*",'Timesheet Raw'!$L$4:$L$8000,"&gt;="&amp;X$5,'Timesheet Raw'!$L$4:$L$8000,"&lt;="&amp;X$6)))/'Profit Plan'!$B$5)</f>
        <v>0</v>
      </c>
      <c r="Y336" s="118">
        <f t="shared" si="101"/>
        <v>0</v>
      </c>
    </row>
    <row r="337" spans="1:25" x14ac:dyDescent="0.3">
      <c r="A337" s="116" t="str">
        <f>IF(Inputs!$A30="","",Inputs!$A30)</f>
        <v>S22058-0900D</v>
      </c>
      <c r="B337" s="116" t="str">
        <f>IF(Inputs!$A30="","",Inputs!$A$91)</f>
        <v>Ahmed</v>
      </c>
      <c r="C337" s="116"/>
      <c r="D337" s="122">
        <f>IF($A337="","",(IF(ISNUMBER(SEARCH("Proposal",$A337)),SUMIFS('Timesheet Raw'!$P$4:$P$8000,'Timesheet Raw'!$A$4:$A$8000,IF(ISNUMBER(SEARCH("Chargable",$A337)),"2-Proposals Chargeable","3-Proposals Regular"),'Timesheet Raw'!$C$4:$C$8000,"*"&amp;$B337&amp;"*",'Timesheet Raw'!$L$4:$L$8000,"&gt;="&amp;MAX(D$5,DATE(2000+VALUE(RIGHT(TRIM($A337),2)),1,1)),'Timesheet Raw'!$L$4:$L$8000,"&lt;="&amp;MIN(D$6,DATE(2000+VALUE(RIGHT(TRIM($A337),2)),12,31))),SUMIFS('Timesheet Raw'!$P$4:$P$8000,'Timesheet Raw'!$B$4:$B$8000,TRIM($A337),'Timesheet Raw'!$C$4:$C$8000,"*"&amp;$B337&amp;"*",'Timesheet Raw'!$L$4:$L$8000,"&gt;="&amp;D$5,'Timesheet Raw'!$L$4:$L$8000,"&lt;="&amp;D$6)))/'Profit Plan'!$B$5)</f>
        <v>0</v>
      </c>
      <c r="E337" s="122">
        <f>IF($A337="","",(IF(ISNUMBER(SEARCH("Proposal",$A337)),SUMIFS('Timesheet Raw'!$P$4:$P$8000,'Timesheet Raw'!$A$4:$A$8000,IF(ISNUMBER(SEARCH("Chargable",$A337)),"2-Proposals Chargeable","3-Proposals Regular"),'Timesheet Raw'!$C$4:$C$8000,"*"&amp;$B337&amp;"*",'Timesheet Raw'!$L$4:$L$8000,"&gt;="&amp;MAX(E$5,DATE(2000+VALUE(RIGHT(TRIM($A337),2)),1,1)),'Timesheet Raw'!$L$4:$L$8000,"&lt;="&amp;MIN(E$6,DATE(2000+VALUE(RIGHT(TRIM($A337),2)),12,31))),SUMIFS('Timesheet Raw'!$P$4:$P$8000,'Timesheet Raw'!$B$4:$B$8000,TRIM($A337),'Timesheet Raw'!$C$4:$C$8000,"*"&amp;$B337&amp;"*",'Timesheet Raw'!$L$4:$L$8000,"&gt;="&amp;E$5,'Timesheet Raw'!$L$4:$L$8000,"&lt;="&amp;E$6)))/'Profit Plan'!$B$5)</f>
        <v>0</v>
      </c>
      <c r="F337" s="122">
        <f>IF($A337="","",(IF(ISNUMBER(SEARCH("Proposal",$A337)),SUMIFS('Timesheet Raw'!$P$4:$P$8000,'Timesheet Raw'!$A$4:$A$8000,IF(ISNUMBER(SEARCH("Chargable",$A337)),"2-Proposals Chargeable","3-Proposals Regular"),'Timesheet Raw'!$C$4:$C$8000,"*"&amp;$B337&amp;"*",'Timesheet Raw'!$L$4:$L$8000,"&gt;="&amp;MAX(F$5,DATE(2000+VALUE(RIGHT(TRIM($A337),2)),1,1)),'Timesheet Raw'!$L$4:$L$8000,"&lt;="&amp;MIN(F$6,DATE(2000+VALUE(RIGHT(TRIM($A337),2)),12,31))),SUMIFS('Timesheet Raw'!$P$4:$P$8000,'Timesheet Raw'!$B$4:$B$8000,TRIM($A337),'Timesheet Raw'!$C$4:$C$8000,"*"&amp;$B337&amp;"*",'Timesheet Raw'!$L$4:$L$8000,"&gt;="&amp;F$5,'Timesheet Raw'!$L$4:$L$8000,"&lt;="&amp;F$6)))/'Profit Plan'!$B$5)</f>
        <v>0</v>
      </c>
      <c r="G337" s="122">
        <f>IF($A337="","",(IF(ISNUMBER(SEARCH("Proposal",$A337)),SUMIFS('Timesheet Raw'!$P$4:$P$8000,'Timesheet Raw'!$A$4:$A$8000,IF(ISNUMBER(SEARCH("Chargable",$A337)),"2-Proposals Chargeable","3-Proposals Regular"),'Timesheet Raw'!$C$4:$C$8000,"*"&amp;$B337&amp;"*",'Timesheet Raw'!$L$4:$L$8000,"&gt;="&amp;MAX(G$5,DATE(2000+VALUE(RIGHT(TRIM($A337),2)),1,1)),'Timesheet Raw'!$L$4:$L$8000,"&lt;="&amp;MIN(G$6,DATE(2000+VALUE(RIGHT(TRIM($A337),2)),12,31))),SUMIFS('Timesheet Raw'!$P$4:$P$8000,'Timesheet Raw'!$B$4:$B$8000,TRIM($A337),'Timesheet Raw'!$C$4:$C$8000,"*"&amp;$B337&amp;"*",'Timesheet Raw'!$L$4:$L$8000,"&gt;="&amp;G$5,'Timesheet Raw'!$L$4:$L$8000,"&lt;="&amp;G$6)))/'Profit Plan'!$B$5)</f>
        <v>0</v>
      </c>
      <c r="H337" s="122">
        <f>IF($A337="","",(IF(ISNUMBER(SEARCH("Proposal",$A337)),SUMIFS('Timesheet Raw'!$P$4:$P$8000,'Timesheet Raw'!$A$4:$A$8000,IF(ISNUMBER(SEARCH("Chargable",$A337)),"2-Proposals Chargeable","3-Proposals Regular"),'Timesheet Raw'!$C$4:$C$8000,"*"&amp;$B337&amp;"*",'Timesheet Raw'!$L$4:$L$8000,"&gt;="&amp;MAX(H$5,DATE(2000+VALUE(RIGHT(TRIM($A337),2)),1,1)),'Timesheet Raw'!$L$4:$L$8000,"&lt;="&amp;MIN(H$6,DATE(2000+VALUE(RIGHT(TRIM($A337),2)),12,31))),SUMIFS('Timesheet Raw'!$P$4:$P$8000,'Timesheet Raw'!$B$4:$B$8000,TRIM($A337),'Timesheet Raw'!$C$4:$C$8000,"*"&amp;$B337&amp;"*",'Timesheet Raw'!$L$4:$L$8000,"&gt;="&amp;H$5,'Timesheet Raw'!$L$4:$L$8000,"&lt;="&amp;H$6)))/'Profit Plan'!$B$5)</f>
        <v>2.1621621621621623E-2</v>
      </c>
      <c r="I337" s="122">
        <f>IF($A337="","",(IF(ISNUMBER(SEARCH("Proposal",$A337)),SUMIFS('Timesheet Raw'!$P$4:$P$8000,'Timesheet Raw'!$A$4:$A$8000,IF(ISNUMBER(SEARCH("Chargable",$A337)),"2-Proposals Chargeable","3-Proposals Regular"),'Timesheet Raw'!$C$4:$C$8000,"*"&amp;$B337&amp;"*",'Timesheet Raw'!$L$4:$L$8000,"&gt;="&amp;MAX(I$5,DATE(2000+VALUE(RIGHT(TRIM($A337),2)),1,1)),'Timesheet Raw'!$L$4:$L$8000,"&lt;="&amp;MIN(I$6,DATE(2000+VALUE(RIGHT(TRIM($A337),2)),12,31))),SUMIFS('Timesheet Raw'!$P$4:$P$8000,'Timesheet Raw'!$B$4:$B$8000,TRIM($A337),'Timesheet Raw'!$C$4:$C$8000,"*"&amp;$B337&amp;"*",'Timesheet Raw'!$L$4:$L$8000,"&gt;="&amp;I$5,'Timesheet Raw'!$L$4:$L$8000,"&lt;="&amp;I$6)))/'Profit Plan'!$B$5)</f>
        <v>7.4324324324324328E-2</v>
      </c>
      <c r="J337" s="122">
        <f>IF($A337="","",(IF(ISNUMBER(SEARCH("Proposal",$A337)),SUMIFS('Timesheet Raw'!$P$4:$P$8000,'Timesheet Raw'!$A$4:$A$8000,IF(ISNUMBER(SEARCH("Chargable",$A337)),"2-Proposals Chargeable","3-Proposals Regular"),'Timesheet Raw'!$C$4:$C$8000,"*"&amp;$B337&amp;"*",'Timesheet Raw'!$L$4:$L$8000,"&gt;="&amp;MAX(J$5,DATE(2000+VALUE(RIGHT(TRIM($A337),2)),1,1)),'Timesheet Raw'!$L$4:$L$8000,"&lt;="&amp;MIN(J$6,DATE(2000+VALUE(RIGHT(TRIM($A337),2)),12,31))),SUMIFS('Timesheet Raw'!$P$4:$P$8000,'Timesheet Raw'!$B$4:$B$8000,TRIM($A337),'Timesheet Raw'!$C$4:$C$8000,"*"&amp;$B337&amp;"*",'Timesheet Raw'!$L$4:$L$8000,"&gt;="&amp;J$5,'Timesheet Raw'!$L$4:$L$8000,"&lt;="&amp;J$6)))/'Profit Plan'!$B$5)</f>
        <v>0</v>
      </c>
      <c r="K337" s="122">
        <f>IF($A337="","",(IF(ISNUMBER(SEARCH("Proposal",$A337)),SUMIFS('Timesheet Raw'!$P$4:$P$8000,'Timesheet Raw'!$A$4:$A$8000,IF(ISNUMBER(SEARCH("Chargable",$A337)),"2-Proposals Chargeable","3-Proposals Regular"),'Timesheet Raw'!$C$4:$C$8000,"*"&amp;$B337&amp;"*",'Timesheet Raw'!$L$4:$L$8000,"&gt;="&amp;MAX(K$5,DATE(2000+VALUE(RIGHT(TRIM($A337),2)),1,1)),'Timesheet Raw'!$L$4:$L$8000,"&lt;="&amp;MIN(K$6,DATE(2000+VALUE(RIGHT(TRIM($A337),2)),12,31))),SUMIFS('Timesheet Raw'!$P$4:$P$8000,'Timesheet Raw'!$B$4:$B$8000,TRIM($A337),'Timesheet Raw'!$C$4:$C$8000,"*"&amp;$B337&amp;"*",'Timesheet Raw'!$L$4:$L$8000,"&gt;="&amp;K$5,'Timesheet Raw'!$L$4:$L$8000,"&lt;="&amp;K$6)))/'Profit Plan'!$B$5)</f>
        <v>0</v>
      </c>
      <c r="L337" s="122">
        <f>IF($A337="","",(IF(ISNUMBER(SEARCH("Proposal",$A337)),SUMIFS('Timesheet Raw'!$P$4:$P$8000,'Timesheet Raw'!$A$4:$A$8000,IF(ISNUMBER(SEARCH("Chargable",$A337)),"2-Proposals Chargeable","3-Proposals Regular"),'Timesheet Raw'!$C$4:$C$8000,"*"&amp;$B337&amp;"*",'Timesheet Raw'!$L$4:$L$8000,"&gt;="&amp;MAX(L$5,DATE(2000+VALUE(RIGHT(TRIM($A337),2)),1,1)),'Timesheet Raw'!$L$4:$L$8000,"&lt;="&amp;MIN(L$6,DATE(2000+VALUE(RIGHT(TRIM($A337),2)),12,31))),SUMIFS('Timesheet Raw'!$P$4:$P$8000,'Timesheet Raw'!$B$4:$B$8000,TRIM($A337),'Timesheet Raw'!$C$4:$C$8000,"*"&amp;$B337&amp;"*",'Timesheet Raw'!$L$4:$L$8000,"&gt;="&amp;L$5,'Timesheet Raw'!$L$4:$L$8000,"&lt;="&amp;L$6)))/'Profit Plan'!$B$5)</f>
        <v>0</v>
      </c>
      <c r="M337" s="122">
        <f>IF($A337="","",(IF(ISNUMBER(SEARCH("Proposal",$A337)),SUMIFS('Timesheet Raw'!$P$4:$P$8000,'Timesheet Raw'!$A$4:$A$8000,IF(ISNUMBER(SEARCH("Chargable",$A337)),"2-Proposals Chargeable","3-Proposals Regular"),'Timesheet Raw'!$C$4:$C$8000,"*"&amp;$B337&amp;"*",'Timesheet Raw'!$L$4:$L$8000,"&gt;="&amp;MAX(M$5,DATE(2000+VALUE(RIGHT(TRIM($A337),2)),1,1)),'Timesheet Raw'!$L$4:$L$8000,"&lt;="&amp;MIN(M$6,DATE(2000+VALUE(RIGHT(TRIM($A337),2)),12,31))),SUMIFS('Timesheet Raw'!$P$4:$P$8000,'Timesheet Raw'!$B$4:$B$8000,TRIM($A337),'Timesheet Raw'!$C$4:$C$8000,"*"&amp;$B337&amp;"*",'Timesheet Raw'!$L$4:$L$8000,"&gt;="&amp;M$5,'Timesheet Raw'!$L$4:$L$8000,"&lt;="&amp;M$6)))/'Profit Plan'!$B$5)</f>
        <v>0</v>
      </c>
      <c r="N337" s="122">
        <f>IF($A337="","",(IF(ISNUMBER(SEARCH("Proposal",$A337)),SUMIFS('Timesheet Raw'!$P$4:$P$8000,'Timesheet Raw'!$A$4:$A$8000,IF(ISNUMBER(SEARCH("Chargable",$A337)),"2-Proposals Chargeable","3-Proposals Regular"),'Timesheet Raw'!$C$4:$C$8000,"*"&amp;$B337&amp;"*",'Timesheet Raw'!$L$4:$L$8000,"&gt;="&amp;MAX(N$5,DATE(2000+VALUE(RIGHT(TRIM($A337),2)),1,1)),'Timesheet Raw'!$L$4:$L$8000,"&lt;="&amp;MIN(N$6,DATE(2000+VALUE(RIGHT(TRIM($A337),2)),12,31))),SUMIFS('Timesheet Raw'!$P$4:$P$8000,'Timesheet Raw'!$B$4:$B$8000,TRIM($A337),'Timesheet Raw'!$C$4:$C$8000,"*"&amp;$B337&amp;"*",'Timesheet Raw'!$L$4:$L$8000,"&gt;="&amp;N$5,'Timesheet Raw'!$L$4:$L$8000,"&lt;="&amp;N$6)))/'Profit Plan'!$B$5)</f>
        <v>0</v>
      </c>
      <c r="O337" s="122">
        <f>IF($A337="","",(IF(ISNUMBER(SEARCH("Proposal",$A337)),SUMIFS('Timesheet Raw'!$P$4:$P$8000,'Timesheet Raw'!$A$4:$A$8000,IF(ISNUMBER(SEARCH("Chargable",$A337)),"2-Proposals Chargeable","3-Proposals Regular"),'Timesheet Raw'!$C$4:$C$8000,"*"&amp;$B337&amp;"*",'Timesheet Raw'!$L$4:$L$8000,"&gt;="&amp;MAX(O$5,DATE(2000+VALUE(RIGHT(TRIM($A337),2)),1,1)),'Timesheet Raw'!$L$4:$L$8000,"&lt;="&amp;MIN(O$6,DATE(2000+VALUE(RIGHT(TRIM($A337),2)),12,31))),SUMIFS('Timesheet Raw'!$P$4:$P$8000,'Timesheet Raw'!$B$4:$B$8000,TRIM($A337),'Timesheet Raw'!$C$4:$C$8000,"*"&amp;$B337&amp;"*",'Timesheet Raw'!$L$4:$L$8000,"&gt;="&amp;O$5,'Timesheet Raw'!$L$4:$L$8000,"&lt;="&amp;O$6)))/'Profit Plan'!$B$5)</f>
        <v>0</v>
      </c>
      <c r="P337" s="122">
        <f>IF($A337="","",(IF(ISNUMBER(SEARCH("Proposal",$A337)),SUMIFS('Timesheet Raw'!$P$4:$P$8000,'Timesheet Raw'!$A$4:$A$8000,IF(ISNUMBER(SEARCH("Chargable",$A337)),"2-Proposals Chargeable","3-Proposals Regular"),'Timesheet Raw'!$C$4:$C$8000,"*"&amp;$B337&amp;"*",'Timesheet Raw'!$L$4:$L$8000,"&gt;="&amp;MAX(P$5,DATE(2000+VALUE(RIGHT(TRIM($A337),2)),1,1)),'Timesheet Raw'!$L$4:$L$8000,"&lt;="&amp;MIN(P$6,DATE(2000+VALUE(RIGHT(TRIM($A337),2)),12,31))),SUMIFS('Timesheet Raw'!$P$4:$P$8000,'Timesheet Raw'!$B$4:$B$8000,TRIM($A337),'Timesheet Raw'!$C$4:$C$8000,"*"&amp;$B337&amp;"*",'Timesheet Raw'!$L$4:$L$8000,"&gt;="&amp;P$5,'Timesheet Raw'!$L$4:$L$8000,"&lt;="&amp;P$6)))/'Profit Plan'!$B$5)</f>
        <v>0</v>
      </c>
      <c r="Q337" s="122">
        <f>IF($A337="","",(IF(ISNUMBER(SEARCH("Proposal",$A337)),SUMIFS('Timesheet Raw'!$P$4:$P$8000,'Timesheet Raw'!$A$4:$A$8000,IF(ISNUMBER(SEARCH("Chargable",$A337)),"2-Proposals Chargeable","3-Proposals Regular"),'Timesheet Raw'!$C$4:$C$8000,"*"&amp;$B337&amp;"*",'Timesheet Raw'!$L$4:$L$8000,"&gt;="&amp;MAX(Q$5,DATE(2000+VALUE(RIGHT(TRIM($A337),2)),1,1)),'Timesheet Raw'!$L$4:$L$8000,"&lt;="&amp;MIN(Q$6,DATE(2000+VALUE(RIGHT(TRIM($A337),2)),12,31))),SUMIFS('Timesheet Raw'!$P$4:$P$8000,'Timesheet Raw'!$B$4:$B$8000,TRIM($A337),'Timesheet Raw'!$C$4:$C$8000,"*"&amp;$B337&amp;"*",'Timesheet Raw'!$L$4:$L$8000,"&gt;="&amp;Q$5,'Timesheet Raw'!$L$4:$L$8000,"&lt;="&amp;Q$6)))/'Profit Plan'!$B$5)</f>
        <v>0</v>
      </c>
      <c r="R337" s="122">
        <f>IF($A337="","",(IF(ISNUMBER(SEARCH("Proposal",$A337)),SUMIFS('Timesheet Raw'!$P$4:$P$8000,'Timesheet Raw'!$A$4:$A$8000,IF(ISNUMBER(SEARCH("Chargable",$A337)),"2-Proposals Chargeable","3-Proposals Regular"),'Timesheet Raw'!$C$4:$C$8000,"*"&amp;$B337&amp;"*",'Timesheet Raw'!$L$4:$L$8000,"&gt;="&amp;MAX(R$5,DATE(2000+VALUE(RIGHT(TRIM($A337),2)),1,1)),'Timesheet Raw'!$L$4:$L$8000,"&lt;="&amp;MIN(R$6,DATE(2000+VALUE(RIGHT(TRIM($A337),2)),12,31))),SUMIFS('Timesheet Raw'!$P$4:$P$8000,'Timesheet Raw'!$B$4:$B$8000,TRIM($A337),'Timesheet Raw'!$C$4:$C$8000,"*"&amp;$B337&amp;"*",'Timesheet Raw'!$L$4:$L$8000,"&gt;="&amp;R$5,'Timesheet Raw'!$L$4:$L$8000,"&lt;="&amp;R$6)))/'Profit Plan'!$B$5)</f>
        <v>0</v>
      </c>
      <c r="S337" s="122">
        <f>IF($A337="","",(IF(ISNUMBER(SEARCH("Proposal",$A337)),SUMIFS('Timesheet Raw'!$P$4:$P$8000,'Timesheet Raw'!$A$4:$A$8000,IF(ISNUMBER(SEARCH("Chargable",$A337)),"2-Proposals Chargeable","3-Proposals Regular"),'Timesheet Raw'!$C$4:$C$8000,"*"&amp;$B337&amp;"*",'Timesheet Raw'!$L$4:$L$8000,"&gt;="&amp;MAX(S$5,DATE(2000+VALUE(RIGHT(TRIM($A337),2)),1,1)),'Timesheet Raw'!$L$4:$L$8000,"&lt;="&amp;MIN(S$6,DATE(2000+VALUE(RIGHT(TRIM($A337),2)),12,31))),SUMIFS('Timesheet Raw'!$P$4:$P$8000,'Timesheet Raw'!$B$4:$B$8000,TRIM($A337),'Timesheet Raw'!$C$4:$C$8000,"*"&amp;$B337&amp;"*",'Timesheet Raw'!$L$4:$L$8000,"&gt;="&amp;S$5,'Timesheet Raw'!$L$4:$L$8000,"&lt;="&amp;S$6)))/'Profit Plan'!$B$5)</f>
        <v>0</v>
      </c>
      <c r="T337" s="122">
        <f>IF($A337="","",(IF(ISNUMBER(SEARCH("Proposal",$A337)),SUMIFS('Timesheet Raw'!$P$4:$P$8000,'Timesheet Raw'!$A$4:$A$8000,IF(ISNUMBER(SEARCH("Chargable",$A337)),"2-Proposals Chargeable","3-Proposals Regular"),'Timesheet Raw'!$C$4:$C$8000,"*"&amp;$B337&amp;"*",'Timesheet Raw'!$L$4:$L$8000,"&gt;="&amp;MAX(T$5,DATE(2000+VALUE(RIGHT(TRIM($A337),2)),1,1)),'Timesheet Raw'!$L$4:$L$8000,"&lt;="&amp;MIN(T$6,DATE(2000+VALUE(RIGHT(TRIM($A337),2)),12,31))),SUMIFS('Timesheet Raw'!$P$4:$P$8000,'Timesheet Raw'!$B$4:$B$8000,TRIM($A337),'Timesheet Raw'!$C$4:$C$8000,"*"&amp;$B337&amp;"*",'Timesheet Raw'!$L$4:$L$8000,"&gt;="&amp;T$5,'Timesheet Raw'!$L$4:$L$8000,"&lt;="&amp;T$6)))/'Profit Plan'!$B$5)</f>
        <v>0</v>
      </c>
      <c r="U337" s="122">
        <f>IF($A337="","",(IF(ISNUMBER(SEARCH("Proposal",$A337)),SUMIFS('Timesheet Raw'!$P$4:$P$8000,'Timesheet Raw'!$A$4:$A$8000,IF(ISNUMBER(SEARCH("Chargable",$A337)),"2-Proposals Chargeable","3-Proposals Regular"),'Timesheet Raw'!$C$4:$C$8000,"*"&amp;$B337&amp;"*",'Timesheet Raw'!$L$4:$L$8000,"&gt;="&amp;MAX(U$5,DATE(2000+VALUE(RIGHT(TRIM($A337),2)),1,1)),'Timesheet Raw'!$L$4:$L$8000,"&lt;="&amp;MIN(U$6,DATE(2000+VALUE(RIGHT(TRIM($A337),2)),12,31))),SUMIFS('Timesheet Raw'!$P$4:$P$8000,'Timesheet Raw'!$B$4:$B$8000,TRIM($A337),'Timesheet Raw'!$C$4:$C$8000,"*"&amp;$B337&amp;"*",'Timesheet Raw'!$L$4:$L$8000,"&gt;="&amp;U$5,'Timesheet Raw'!$L$4:$L$8000,"&lt;="&amp;U$6)))/'Profit Plan'!$B$5)</f>
        <v>0</v>
      </c>
      <c r="V337" s="122">
        <f>IF($A337="","",(IF(ISNUMBER(SEARCH("Proposal",$A337)),SUMIFS('Timesheet Raw'!$P$4:$P$8000,'Timesheet Raw'!$A$4:$A$8000,IF(ISNUMBER(SEARCH("Chargable",$A337)),"2-Proposals Chargeable","3-Proposals Regular"),'Timesheet Raw'!$C$4:$C$8000,"*"&amp;$B337&amp;"*",'Timesheet Raw'!$L$4:$L$8000,"&gt;="&amp;MAX(V$5,DATE(2000+VALUE(RIGHT(TRIM($A337),2)),1,1)),'Timesheet Raw'!$L$4:$L$8000,"&lt;="&amp;MIN(V$6,DATE(2000+VALUE(RIGHT(TRIM($A337),2)),12,31))),SUMIFS('Timesheet Raw'!$P$4:$P$8000,'Timesheet Raw'!$B$4:$B$8000,TRIM($A337),'Timesheet Raw'!$C$4:$C$8000,"*"&amp;$B337&amp;"*",'Timesheet Raw'!$L$4:$L$8000,"&gt;="&amp;V$5,'Timesheet Raw'!$L$4:$L$8000,"&lt;="&amp;V$6)))/'Profit Plan'!$B$5)</f>
        <v>0</v>
      </c>
      <c r="W337" s="122">
        <f>IF($A337="","",(IF(ISNUMBER(SEARCH("Proposal",$A337)),SUMIFS('Timesheet Raw'!$P$4:$P$8000,'Timesheet Raw'!$A$4:$A$8000,IF(ISNUMBER(SEARCH("Chargable",$A337)),"2-Proposals Chargeable","3-Proposals Regular"),'Timesheet Raw'!$C$4:$C$8000,"*"&amp;$B337&amp;"*",'Timesheet Raw'!$L$4:$L$8000,"&gt;="&amp;MAX(W$5,DATE(2000+VALUE(RIGHT(TRIM($A337),2)),1,1)),'Timesheet Raw'!$L$4:$L$8000,"&lt;="&amp;MIN(W$6,DATE(2000+VALUE(RIGHT(TRIM($A337),2)),12,31))),SUMIFS('Timesheet Raw'!$P$4:$P$8000,'Timesheet Raw'!$B$4:$B$8000,TRIM($A337),'Timesheet Raw'!$C$4:$C$8000,"*"&amp;$B337&amp;"*",'Timesheet Raw'!$L$4:$L$8000,"&gt;="&amp;W$5,'Timesheet Raw'!$L$4:$L$8000,"&lt;="&amp;W$6)))/'Profit Plan'!$B$5)</f>
        <v>0</v>
      </c>
      <c r="X337" s="122">
        <f>IF($A337="","",(IF(ISNUMBER(SEARCH("Proposal",$A337)),SUMIFS('Timesheet Raw'!$P$4:$P$8000,'Timesheet Raw'!$A$4:$A$8000,IF(ISNUMBER(SEARCH("Chargable",$A337)),"2-Proposals Chargeable","3-Proposals Regular"),'Timesheet Raw'!$C$4:$C$8000,"*"&amp;$B337&amp;"*",'Timesheet Raw'!$L$4:$L$8000,"&gt;="&amp;MAX(X$5,DATE(2000+VALUE(RIGHT(TRIM($A337),2)),1,1)),'Timesheet Raw'!$L$4:$L$8000,"&lt;="&amp;MIN(X$6,DATE(2000+VALUE(RIGHT(TRIM($A337),2)),12,31))),SUMIFS('Timesheet Raw'!$P$4:$P$8000,'Timesheet Raw'!$B$4:$B$8000,TRIM($A337),'Timesheet Raw'!$C$4:$C$8000,"*"&amp;$B337&amp;"*",'Timesheet Raw'!$L$4:$L$8000,"&gt;="&amp;X$5,'Timesheet Raw'!$L$4:$L$8000,"&lt;="&amp;X$6)))/'Profit Plan'!$B$5)</f>
        <v>0</v>
      </c>
      <c r="Y337" s="118">
        <f t="shared" si="101"/>
        <v>9.5945945945945951E-2</v>
      </c>
    </row>
    <row r="338" spans="1:25" x14ac:dyDescent="0.3">
      <c r="A338" s="116" t="str">
        <f>IF(Inputs!$A30="","",Inputs!$A30)</f>
        <v>S22058-0900D</v>
      </c>
      <c r="B338" s="116" t="str">
        <f>IF(Inputs!$A30="","",Inputs!$A$92)</f>
        <v>Osama</v>
      </c>
      <c r="C338" s="116"/>
      <c r="D338" s="122">
        <f>IF($A338="","",(IF(ISNUMBER(SEARCH("Proposal",$A338)),SUMIFS('Timesheet Raw'!$P$4:$P$8000,'Timesheet Raw'!$A$4:$A$8000,IF(ISNUMBER(SEARCH("Chargable",$A338)),"2-Proposals Chargeable","3-Proposals Regular"),'Timesheet Raw'!$C$4:$C$8000,"*"&amp;$B338&amp;"*",'Timesheet Raw'!$L$4:$L$8000,"&gt;="&amp;MAX(D$5,DATE(2000+VALUE(RIGHT(TRIM($A338),2)),1,1)),'Timesheet Raw'!$L$4:$L$8000,"&lt;="&amp;MIN(D$6,DATE(2000+VALUE(RIGHT(TRIM($A338),2)),12,31))),SUMIFS('Timesheet Raw'!$P$4:$P$8000,'Timesheet Raw'!$B$4:$B$8000,TRIM($A338),'Timesheet Raw'!$C$4:$C$8000,"*"&amp;$B338&amp;"*",'Timesheet Raw'!$L$4:$L$8000,"&gt;="&amp;D$5,'Timesheet Raw'!$L$4:$L$8000,"&lt;="&amp;D$6)))/'Profit Plan'!$B$5)</f>
        <v>0</v>
      </c>
      <c r="E338" s="122">
        <f>IF($A338="","",(IF(ISNUMBER(SEARCH("Proposal",$A338)),SUMIFS('Timesheet Raw'!$P$4:$P$8000,'Timesheet Raw'!$A$4:$A$8000,IF(ISNUMBER(SEARCH("Chargable",$A338)),"2-Proposals Chargeable","3-Proposals Regular"),'Timesheet Raw'!$C$4:$C$8000,"*"&amp;$B338&amp;"*",'Timesheet Raw'!$L$4:$L$8000,"&gt;="&amp;MAX(E$5,DATE(2000+VALUE(RIGHT(TRIM($A338),2)),1,1)),'Timesheet Raw'!$L$4:$L$8000,"&lt;="&amp;MIN(E$6,DATE(2000+VALUE(RIGHT(TRIM($A338),2)),12,31))),SUMIFS('Timesheet Raw'!$P$4:$P$8000,'Timesheet Raw'!$B$4:$B$8000,TRIM($A338),'Timesheet Raw'!$C$4:$C$8000,"*"&amp;$B338&amp;"*",'Timesheet Raw'!$L$4:$L$8000,"&gt;="&amp;E$5,'Timesheet Raw'!$L$4:$L$8000,"&lt;="&amp;E$6)))/'Profit Plan'!$B$5)</f>
        <v>0</v>
      </c>
      <c r="F338" s="122">
        <f>IF($A338="","",(IF(ISNUMBER(SEARCH("Proposal",$A338)),SUMIFS('Timesheet Raw'!$P$4:$P$8000,'Timesheet Raw'!$A$4:$A$8000,IF(ISNUMBER(SEARCH("Chargable",$A338)),"2-Proposals Chargeable","3-Proposals Regular"),'Timesheet Raw'!$C$4:$C$8000,"*"&amp;$B338&amp;"*",'Timesheet Raw'!$L$4:$L$8000,"&gt;="&amp;MAX(F$5,DATE(2000+VALUE(RIGHT(TRIM($A338),2)),1,1)),'Timesheet Raw'!$L$4:$L$8000,"&lt;="&amp;MIN(F$6,DATE(2000+VALUE(RIGHT(TRIM($A338),2)),12,31))),SUMIFS('Timesheet Raw'!$P$4:$P$8000,'Timesheet Raw'!$B$4:$B$8000,TRIM($A338),'Timesheet Raw'!$C$4:$C$8000,"*"&amp;$B338&amp;"*",'Timesheet Raw'!$L$4:$L$8000,"&gt;="&amp;F$5,'Timesheet Raw'!$L$4:$L$8000,"&lt;="&amp;F$6)))/'Profit Plan'!$B$5)</f>
        <v>0</v>
      </c>
      <c r="G338" s="122">
        <f>IF($A338="","",(IF(ISNUMBER(SEARCH("Proposal",$A338)),SUMIFS('Timesheet Raw'!$P$4:$P$8000,'Timesheet Raw'!$A$4:$A$8000,IF(ISNUMBER(SEARCH("Chargable",$A338)),"2-Proposals Chargeable","3-Proposals Regular"),'Timesheet Raw'!$C$4:$C$8000,"*"&amp;$B338&amp;"*",'Timesheet Raw'!$L$4:$L$8000,"&gt;="&amp;MAX(G$5,DATE(2000+VALUE(RIGHT(TRIM($A338),2)),1,1)),'Timesheet Raw'!$L$4:$L$8000,"&lt;="&amp;MIN(G$6,DATE(2000+VALUE(RIGHT(TRIM($A338),2)),12,31))),SUMIFS('Timesheet Raw'!$P$4:$P$8000,'Timesheet Raw'!$B$4:$B$8000,TRIM($A338),'Timesheet Raw'!$C$4:$C$8000,"*"&amp;$B338&amp;"*",'Timesheet Raw'!$L$4:$L$8000,"&gt;="&amp;G$5,'Timesheet Raw'!$L$4:$L$8000,"&lt;="&amp;G$6)))/'Profit Plan'!$B$5)</f>
        <v>0</v>
      </c>
      <c r="H338" s="122">
        <f>IF($A338="","",(IF(ISNUMBER(SEARCH("Proposal",$A338)),SUMIFS('Timesheet Raw'!$P$4:$P$8000,'Timesheet Raw'!$A$4:$A$8000,IF(ISNUMBER(SEARCH("Chargable",$A338)),"2-Proposals Chargeable","3-Proposals Regular"),'Timesheet Raw'!$C$4:$C$8000,"*"&amp;$B338&amp;"*",'Timesheet Raw'!$L$4:$L$8000,"&gt;="&amp;MAX(H$5,DATE(2000+VALUE(RIGHT(TRIM($A338),2)),1,1)),'Timesheet Raw'!$L$4:$L$8000,"&lt;="&amp;MIN(H$6,DATE(2000+VALUE(RIGHT(TRIM($A338),2)),12,31))),SUMIFS('Timesheet Raw'!$P$4:$P$8000,'Timesheet Raw'!$B$4:$B$8000,TRIM($A338),'Timesheet Raw'!$C$4:$C$8000,"*"&amp;$B338&amp;"*",'Timesheet Raw'!$L$4:$L$8000,"&gt;="&amp;H$5,'Timesheet Raw'!$L$4:$L$8000,"&lt;="&amp;H$6)))/'Profit Plan'!$B$5)</f>
        <v>0</v>
      </c>
      <c r="I338" s="122">
        <f>IF($A338="","",(IF(ISNUMBER(SEARCH("Proposal",$A338)),SUMIFS('Timesheet Raw'!$P$4:$P$8000,'Timesheet Raw'!$A$4:$A$8000,IF(ISNUMBER(SEARCH("Chargable",$A338)),"2-Proposals Chargeable","3-Proposals Regular"),'Timesheet Raw'!$C$4:$C$8000,"*"&amp;$B338&amp;"*",'Timesheet Raw'!$L$4:$L$8000,"&gt;="&amp;MAX(I$5,DATE(2000+VALUE(RIGHT(TRIM($A338),2)),1,1)),'Timesheet Raw'!$L$4:$L$8000,"&lt;="&amp;MIN(I$6,DATE(2000+VALUE(RIGHT(TRIM($A338),2)),12,31))),SUMIFS('Timesheet Raw'!$P$4:$P$8000,'Timesheet Raw'!$B$4:$B$8000,TRIM($A338),'Timesheet Raw'!$C$4:$C$8000,"*"&amp;$B338&amp;"*",'Timesheet Raw'!$L$4:$L$8000,"&gt;="&amp;I$5,'Timesheet Raw'!$L$4:$L$8000,"&lt;="&amp;I$6)))/'Profit Plan'!$B$5)</f>
        <v>0</v>
      </c>
      <c r="J338" s="122">
        <f>IF($A338="","",(IF(ISNUMBER(SEARCH("Proposal",$A338)),SUMIFS('Timesheet Raw'!$P$4:$P$8000,'Timesheet Raw'!$A$4:$A$8000,IF(ISNUMBER(SEARCH("Chargable",$A338)),"2-Proposals Chargeable","3-Proposals Regular"),'Timesheet Raw'!$C$4:$C$8000,"*"&amp;$B338&amp;"*",'Timesheet Raw'!$L$4:$L$8000,"&gt;="&amp;MAX(J$5,DATE(2000+VALUE(RIGHT(TRIM($A338),2)),1,1)),'Timesheet Raw'!$L$4:$L$8000,"&lt;="&amp;MIN(J$6,DATE(2000+VALUE(RIGHT(TRIM($A338),2)),12,31))),SUMIFS('Timesheet Raw'!$P$4:$P$8000,'Timesheet Raw'!$B$4:$B$8000,TRIM($A338),'Timesheet Raw'!$C$4:$C$8000,"*"&amp;$B338&amp;"*",'Timesheet Raw'!$L$4:$L$8000,"&gt;="&amp;J$5,'Timesheet Raw'!$L$4:$L$8000,"&lt;="&amp;J$6)))/'Profit Plan'!$B$5)</f>
        <v>0</v>
      </c>
      <c r="K338" s="122">
        <f>IF($A338="","",(IF(ISNUMBER(SEARCH("Proposal",$A338)),SUMIFS('Timesheet Raw'!$P$4:$P$8000,'Timesheet Raw'!$A$4:$A$8000,IF(ISNUMBER(SEARCH("Chargable",$A338)),"2-Proposals Chargeable","3-Proposals Regular"),'Timesheet Raw'!$C$4:$C$8000,"*"&amp;$B338&amp;"*",'Timesheet Raw'!$L$4:$L$8000,"&gt;="&amp;MAX(K$5,DATE(2000+VALUE(RIGHT(TRIM($A338),2)),1,1)),'Timesheet Raw'!$L$4:$L$8000,"&lt;="&amp;MIN(K$6,DATE(2000+VALUE(RIGHT(TRIM($A338),2)),12,31))),SUMIFS('Timesheet Raw'!$P$4:$P$8000,'Timesheet Raw'!$B$4:$B$8000,TRIM($A338),'Timesheet Raw'!$C$4:$C$8000,"*"&amp;$B338&amp;"*",'Timesheet Raw'!$L$4:$L$8000,"&gt;="&amp;K$5,'Timesheet Raw'!$L$4:$L$8000,"&lt;="&amp;K$6)))/'Profit Plan'!$B$5)</f>
        <v>0</v>
      </c>
      <c r="L338" s="122">
        <f>IF($A338="","",(IF(ISNUMBER(SEARCH("Proposal",$A338)),SUMIFS('Timesheet Raw'!$P$4:$P$8000,'Timesheet Raw'!$A$4:$A$8000,IF(ISNUMBER(SEARCH("Chargable",$A338)),"2-Proposals Chargeable","3-Proposals Regular"),'Timesheet Raw'!$C$4:$C$8000,"*"&amp;$B338&amp;"*",'Timesheet Raw'!$L$4:$L$8000,"&gt;="&amp;MAX(L$5,DATE(2000+VALUE(RIGHT(TRIM($A338),2)),1,1)),'Timesheet Raw'!$L$4:$L$8000,"&lt;="&amp;MIN(L$6,DATE(2000+VALUE(RIGHT(TRIM($A338),2)),12,31))),SUMIFS('Timesheet Raw'!$P$4:$P$8000,'Timesheet Raw'!$B$4:$B$8000,TRIM($A338),'Timesheet Raw'!$C$4:$C$8000,"*"&amp;$B338&amp;"*",'Timesheet Raw'!$L$4:$L$8000,"&gt;="&amp;L$5,'Timesheet Raw'!$L$4:$L$8000,"&lt;="&amp;L$6)))/'Profit Plan'!$B$5)</f>
        <v>0</v>
      </c>
      <c r="M338" s="122">
        <f>IF($A338="","",(IF(ISNUMBER(SEARCH("Proposal",$A338)),SUMIFS('Timesheet Raw'!$P$4:$P$8000,'Timesheet Raw'!$A$4:$A$8000,IF(ISNUMBER(SEARCH("Chargable",$A338)),"2-Proposals Chargeable","3-Proposals Regular"),'Timesheet Raw'!$C$4:$C$8000,"*"&amp;$B338&amp;"*",'Timesheet Raw'!$L$4:$L$8000,"&gt;="&amp;MAX(M$5,DATE(2000+VALUE(RIGHT(TRIM($A338),2)),1,1)),'Timesheet Raw'!$L$4:$L$8000,"&lt;="&amp;MIN(M$6,DATE(2000+VALUE(RIGHT(TRIM($A338),2)),12,31))),SUMIFS('Timesheet Raw'!$P$4:$P$8000,'Timesheet Raw'!$B$4:$B$8000,TRIM($A338),'Timesheet Raw'!$C$4:$C$8000,"*"&amp;$B338&amp;"*",'Timesheet Raw'!$L$4:$L$8000,"&gt;="&amp;M$5,'Timesheet Raw'!$L$4:$L$8000,"&lt;="&amp;M$6)))/'Profit Plan'!$B$5)</f>
        <v>0</v>
      </c>
      <c r="N338" s="122">
        <f>IF($A338="","",(IF(ISNUMBER(SEARCH("Proposal",$A338)),SUMIFS('Timesheet Raw'!$P$4:$P$8000,'Timesheet Raw'!$A$4:$A$8000,IF(ISNUMBER(SEARCH("Chargable",$A338)),"2-Proposals Chargeable","3-Proposals Regular"),'Timesheet Raw'!$C$4:$C$8000,"*"&amp;$B338&amp;"*",'Timesheet Raw'!$L$4:$L$8000,"&gt;="&amp;MAX(N$5,DATE(2000+VALUE(RIGHT(TRIM($A338),2)),1,1)),'Timesheet Raw'!$L$4:$L$8000,"&lt;="&amp;MIN(N$6,DATE(2000+VALUE(RIGHT(TRIM($A338),2)),12,31))),SUMIFS('Timesheet Raw'!$P$4:$P$8000,'Timesheet Raw'!$B$4:$B$8000,TRIM($A338),'Timesheet Raw'!$C$4:$C$8000,"*"&amp;$B338&amp;"*",'Timesheet Raw'!$L$4:$L$8000,"&gt;="&amp;N$5,'Timesheet Raw'!$L$4:$L$8000,"&lt;="&amp;N$6)))/'Profit Plan'!$B$5)</f>
        <v>0</v>
      </c>
      <c r="O338" s="122">
        <f>IF($A338="","",(IF(ISNUMBER(SEARCH("Proposal",$A338)),SUMIFS('Timesheet Raw'!$P$4:$P$8000,'Timesheet Raw'!$A$4:$A$8000,IF(ISNUMBER(SEARCH("Chargable",$A338)),"2-Proposals Chargeable","3-Proposals Regular"),'Timesheet Raw'!$C$4:$C$8000,"*"&amp;$B338&amp;"*",'Timesheet Raw'!$L$4:$L$8000,"&gt;="&amp;MAX(O$5,DATE(2000+VALUE(RIGHT(TRIM($A338),2)),1,1)),'Timesheet Raw'!$L$4:$L$8000,"&lt;="&amp;MIN(O$6,DATE(2000+VALUE(RIGHT(TRIM($A338),2)),12,31))),SUMIFS('Timesheet Raw'!$P$4:$P$8000,'Timesheet Raw'!$B$4:$B$8000,TRIM($A338),'Timesheet Raw'!$C$4:$C$8000,"*"&amp;$B338&amp;"*",'Timesheet Raw'!$L$4:$L$8000,"&gt;="&amp;O$5,'Timesheet Raw'!$L$4:$L$8000,"&lt;="&amp;O$6)))/'Profit Plan'!$B$5)</f>
        <v>0</v>
      </c>
      <c r="P338" s="122">
        <f>IF($A338="","",(IF(ISNUMBER(SEARCH("Proposal",$A338)),SUMIFS('Timesheet Raw'!$P$4:$P$8000,'Timesheet Raw'!$A$4:$A$8000,IF(ISNUMBER(SEARCH("Chargable",$A338)),"2-Proposals Chargeable","3-Proposals Regular"),'Timesheet Raw'!$C$4:$C$8000,"*"&amp;$B338&amp;"*",'Timesheet Raw'!$L$4:$L$8000,"&gt;="&amp;MAX(P$5,DATE(2000+VALUE(RIGHT(TRIM($A338),2)),1,1)),'Timesheet Raw'!$L$4:$L$8000,"&lt;="&amp;MIN(P$6,DATE(2000+VALUE(RIGHT(TRIM($A338),2)),12,31))),SUMIFS('Timesheet Raw'!$P$4:$P$8000,'Timesheet Raw'!$B$4:$B$8000,TRIM($A338),'Timesheet Raw'!$C$4:$C$8000,"*"&amp;$B338&amp;"*",'Timesheet Raw'!$L$4:$L$8000,"&gt;="&amp;P$5,'Timesheet Raw'!$L$4:$L$8000,"&lt;="&amp;P$6)))/'Profit Plan'!$B$5)</f>
        <v>0</v>
      </c>
      <c r="Q338" s="122">
        <f>IF($A338="","",(IF(ISNUMBER(SEARCH("Proposal",$A338)),SUMIFS('Timesheet Raw'!$P$4:$P$8000,'Timesheet Raw'!$A$4:$A$8000,IF(ISNUMBER(SEARCH("Chargable",$A338)),"2-Proposals Chargeable","3-Proposals Regular"),'Timesheet Raw'!$C$4:$C$8000,"*"&amp;$B338&amp;"*",'Timesheet Raw'!$L$4:$L$8000,"&gt;="&amp;MAX(Q$5,DATE(2000+VALUE(RIGHT(TRIM($A338),2)),1,1)),'Timesheet Raw'!$L$4:$L$8000,"&lt;="&amp;MIN(Q$6,DATE(2000+VALUE(RIGHT(TRIM($A338),2)),12,31))),SUMIFS('Timesheet Raw'!$P$4:$P$8000,'Timesheet Raw'!$B$4:$B$8000,TRIM($A338),'Timesheet Raw'!$C$4:$C$8000,"*"&amp;$B338&amp;"*",'Timesheet Raw'!$L$4:$L$8000,"&gt;="&amp;Q$5,'Timesheet Raw'!$L$4:$L$8000,"&lt;="&amp;Q$6)))/'Profit Plan'!$B$5)</f>
        <v>0</v>
      </c>
      <c r="R338" s="122">
        <f>IF($A338="","",(IF(ISNUMBER(SEARCH("Proposal",$A338)),SUMIFS('Timesheet Raw'!$P$4:$P$8000,'Timesheet Raw'!$A$4:$A$8000,IF(ISNUMBER(SEARCH("Chargable",$A338)),"2-Proposals Chargeable","3-Proposals Regular"),'Timesheet Raw'!$C$4:$C$8000,"*"&amp;$B338&amp;"*",'Timesheet Raw'!$L$4:$L$8000,"&gt;="&amp;MAX(R$5,DATE(2000+VALUE(RIGHT(TRIM($A338),2)),1,1)),'Timesheet Raw'!$L$4:$L$8000,"&lt;="&amp;MIN(R$6,DATE(2000+VALUE(RIGHT(TRIM($A338),2)),12,31))),SUMIFS('Timesheet Raw'!$P$4:$P$8000,'Timesheet Raw'!$B$4:$B$8000,TRIM($A338),'Timesheet Raw'!$C$4:$C$8000,"*"&amp;$B338&amp;"*",'Timesheet Raw'!$L$4:$L$8000,"&gt;="&amp;R$5,'Timesheet Raw'!$L$4:$L$8000,"&lt;="&amp;R$6)))/'Profit Plan'!$B$5)</f>
        <v>0</v>
      </c>
      <c r="S338" s="122">
        <f>IF($A338="","",(IF(ISNUMBER(SEARCH("Proposal",$A338)),SUMIFS('Timesheet Raw'!$P$4:$P$8000,'Timesheet Raw'!$A$4:$A$8000,IF(ISNUMBER(SEARCH("Chargable",$A338)),"2-Proposals Chargeable","3-Proposals Regular"),'Timesheet Raw'!$C$4:$C$8000,"*"&amp;$B338&amp;"*",'Timesheet Raw'!$L$4:$L$8000,"&gt;="&amp;MAX(S$5,DATE(2000+VALUE(RIGHT(TRIM($A338),2)),1,1)),'Timesheet Raw'!$L$4:$L$8000,"&lt;="&amp;MIN(S$6,DATE(2000+VALUE(RIGHT(TRIM($A338),2)),12,31))),SUMIFS('Timesheet Raw'!$P$4:$P$8000,'Timesheet Raw'!$B$4:$B$8000,TRIM($A338),'Timesheet Raw'!$C$4:$C$8000,"*"&amp;$B338&amp;"*",'Timesheet Raw'!$L$4:$L$8000,"&gt;="&amp;S$5,'Timesheet Raw'!$L$4:$L$8000,"&lt;="&amp;S$6)))/'Profit Plan'!$B$5)</f>
        <v>0</v>
      </c>
      <c r="T338" s="122">
        <f>IF($A338="","",(IF(ISNUMBER(SEARCH("Proposal",$A338)),SUMIFS('Timesheet Raw'!$P$4:$P$8000,'Timesheet Raw'!$A$4:$A$8000,IF(ISNUMBER(SEARCH("Chargable",$A338)),"2-Proposals Chargeable","3-Proposals Regular"),'Timesheet Raw'!$C$4:$C$8000,"*"&amp;$B338&amp;"*",'Timesheet Raw'!$L$4:$L$8000,"&gt;="&amp;MAX(T$5,DATE(2000+VALUE(RIGHT(TRIM($A338),2)),1,1)),'Timesheet Raw'!$L$4:$L$8000,"&lt;="&amp;MIN(T$6,DATE(2000+VALUE(RIGHT(TRIM($A338),2)),12,31))),SUMIFS('Timesheet Raw'!$P$4:$P$8000,'Timesheet Raw'!$B$4:$B$8000,TRIM($A338),'Timesheet Raw'!$C$4:$C$8000,"*"&amp;$B338&amp;"*",'Timesheet Raw'!$L$4:$L$8000,"&gt;="&amp;T$5,'Timesheet Raw'!$L$4:$L$8000,"&lt;="&amp;T$6)))/'Profit Plan'!$B$5)</f>
        <v>0</v>
      </c>
      <c r="U338" s="122">
        <f>IF($A338="","",(IF(ISNUMBER(SEARCH("Proposal",$A338)),SUMIFS('Timesheet Raw'!$P$4:$P$8000,'Timesheet Raw'!$A$4:$A$8000,IF(ISNUMBER(SEARCH("Chargable",$A338)),"2-Proposals Chargeable","3-Proposals Regular"),'Timesheet Raw'!$C$4:$C$8000,"*"&amp;$B338&amp;"*",'Timesheet Raw'!$L$4:$L$8000,"&gt;="&amp;MAX(U$5,DATE(2000+VALUE(RIGHT(TRIM($A338),2)),1,1)),'Timesheet Raw'!$L$4:$L$8000,"&lt;="&amp;MIN(U$6,DATE(2000+VALUE(RIGHT(TRIM($A338),2)),12,31))),SUMIFS('Timesheet Raw'!$P$4:$P$8000,'Timesheet Raw'!$B$4:$B$8000,TRIM($A338),'Timesheet Raw'!$C$4:$C$8000,"*"&amp;$B338&amp;"*",'Timesheet Raw'!$L$4:$L$8000,"&gt;="&amp;U$5,'Timesheet Raw'!$L$4:$L$8000,"&lt;="&amp;U$6)))/'Profit Plan'!$B$5)</f>
        <v>0</v>
      </c>
      <c r="V338" s="122">
        <f>IF($A338="","",(IF(ISNUMBER(SEARCH("Proposal",$A338)),SUMIFS('Timesheet Raw'!$P$4:$P$8000,'Timesheet Raw'!$A$4:$A$8000,IF(ISNUMBER(SEARCH("Chargable",$A338)),"2-Proposals Chargeable","3-Proposals Regular"),'Timesheet Raw'!$C$4:$C$8000,"*"&amp;$B338&amp;"*",'Timesheet Raw'!$L$4:$L$8000,"&gt;="&amp;MAX(V$5,DATE(2000+VALUE(RIGHT(TRIM($A338),2)),1,1)),'Timesheet Raw'!$L$4:$L$8000,"&lt;="&amp;MIN(V$6,DATE(2000+VALUE(RIGHT(TRIM($A338),2)),12,31))),SUMIFS('Timesheet Raw'!$P$4:$P$8000,'Timesheet Raw'!$B$4:$B$8000,TRIM($A338),'Timesheet Raw'!$C$4:$C$8000,"*"&amp;$B338&amp;"*",'Timesheet Raw'!$L$4:$L$8000,"&gt;="&amp;V$5,'Timesheet Raw'!$L$4:$L$8000,"&lt;="&amp;V$6)))/'Profit Plan'!$B$5)</f>
        <v>0</v>
      </c>
      <c r="W338" s="122">
        <f>IF($A338="","",(IF(ISNUMBER(SEARCH("Proposal",$A338)),SUMIFS('Timesheet Raw'!$P$4:$P$8000,'Timesheet Raw'!$A$4:$A$8000,IF(ISNUMBER(SEARCH("Chargable",$A338)),"2-Proposals Chargeable","3-Proposals Regular"),'Timesheet Raw'!$C$4:$C$8000,"*"&amp;$B338&amp;"*",'Timesheet Raw'!$L$4:$L$8000,"&gt;="&amp;MAX(W$5,DATE(2000+VALUE(RIGHT(TRIM($A338),2)),1,1)),'Timesheet Raw'!$L$4:$L$8000,"&lt;="&amp;MIN(W$6,DATE(2000+VALUE(RIGHT(TRIM($A338),2)),12,31))),SUMIFS('Timesheet Raw'!$P$4:$P$8000,'Timesheet Raw'!$B$4:$B$8000,TRIM($A338),'Timesheet Raw'!$C$4:$C$8000,"*"&amp;$B338&amp;"*",'Timesheet Raw'!$L$4:$L$8000,"&gt;="&amp;W$5,'Timesheet Raw'!$L$4:$L$8000,"&lt;="&amp;W$6)))/'Profit Plan'!$B$5)</f>
        <v>0</v>
      </c>
      <c r="X338" s="122">
        <f>IF($A338="","",(IF(ISNUMBER(SEARCH("Proposal",$A338)),SUMIFS('Timesheet Raw'!$P$4:$P$8000,'Timesheet Raw'!$A$4:$A$8000,IF(ISNUMBER(SEARCH("Chargable",$A338)),"2-Proposals Chargeable","3-Proposals Regular"),'Timesheet Raw'!$C$4:$C$8000,"*"&amp;$B338&amp;"*",'Timesheet Raw'!$L$4:$L$8000,"&gt;="&amp;MAX(X$5,DATE(2000+VALUE(RIGHT(TRIM($A338),2)),1,1)),'Timesheet Raw'!$L$4:$L$8000,"&lt;="&amp;MIN(X$6,DATE(2000+VALUE(RIGHT(TRIM($A338),2)),12,31))),SUMIFS('Timesheet Raw'!$P$4:$P$8000,'Timesheet Raw'!$B$4:$B$8000,TRIM($A338),'Timesheet Raw'!$C$4:$C$8000,"*"&amp;$B338&amp;"*",'Timesheet Raw'!$L$4:$L$8000,"&gt;="&amp;X$5,'Timesheet Raw'!$L$4:$L$8000,"&lt;="&amp;X$6)))/'Profit Plan'!$B$5)</f>
        <v>0</v>
      </c>
      <c r="Y338" s="118">
        <f t="shared" si="101"/>
        <v>0</v>
      </c>
    </row>
    <row r="339" spans="1:25" x14ac:dyDescent="0.3">
      <c r="A339" s="116" t="str">
        <f>IF(Inputs!$A30="","",Inputs!$A30)</f>
        <v>S22058-0900D</v>
      </c>
      <c r="B339" s="116" t="str">
        <f>IF(Inputs!$A30="","",Inputs!$A$93)</f>
        <v>Kirolos</v>
      </c>
      <c r="C339" s="116"/>
      <c r="D339" s="122">
        <f>IF($A339="","",(IF(ISNUMBER(SEARCH("Proposal",$A339)),SUMIFS('Timesheet Raw'!$P$4:$P$8000,'Timesheet Raw'!$A$4:$A$8000,IF(ISNUMBER(SEARCH("Chargable",$A339)),"2-Proposals Chargeable","3-Proposals Regular"),'Timesheet Raw'!$C$4:$C$8000,"*"&amp;$B339&amp;"*",'Timesheet Raw'!$L$4:$L$8000,"&gt;="&amp;MAX(D$5,DATE(2000+VALUE(RIGHT(TRIM($A339),2)),1,1)),'Timesheet Raw'!$L$4:$L$8000,"&lt;="&amp;MIN(D$6,DATE(2000+VALUE(RIGHT(TRIM($A339),2)),12,31))),SUMIFS('Timesheet Raw'!$P$4:$P$8000,'Timesheet Raw'!$B$4:$B$8000,TRIM($A339),'Timesheet Raw'!$C$4:$C$8000,"*"&amp;$B339&amp;"*",'Timesheet Raw'!$L$4:$L$8000,"&gt;="&amp;D$5,'Timesheet Raw'!$L$4:$L$8000,"&lt;="&amp;D$6)))/'Profit Plan'!$B$5)</f>
        <v>0</v>
      </c>
      <c r="E339" s="122">
        <f>IF($A339="","",(IF(ISNUMBER(SEARCH("Proposal",$A339)),SUMIFS('Timesheet Raw'!$P$4:$P$8000,'Timesheet Raw'!$A$4:$A$8000,IF(ISNUMBER(SEARCH("Chargable",$A339)),"2-Proposals Chargeable","3-Proposals Regular"),'Timesheet Raw'!$C$4:$C$8000,"*"&amp;$B339&amp;"*",'Timesheet Raw'!$L$4:$L$8000,"&gt;="&amp;MAX(E$5,DATE(2000+VALUE(RIGHT(TRIM($A339),2)),1,1)),'Timesheet Raw'!$L$4:$L$8000,"&lt;="&amp;MIN(E$6,DATE(2000+VALUE(RIGHT(TRIM($A339),2)),12,31))),SUMIFS('Timesheet Raw'!$P$4:$P$8000,'Timesheet Raw'!$B$4:$B$8000,TRIM($A339),'Timesheet Raw'!$C$4:$C$8000,"*"&amp;$B339&amp;"*",'Timesheet Raw'!$L$4:$L$8000,"&gt;="&amp;E$5,'Timesheet Raw'!$L$4:$L$8000,"&lt;="&amp;E$6)))/'Profit Plan'!$B$5)</f>
        <v>0</v>
      </c>
      <c r="F339" s="122">
        <f>IF($A339="","",(IF(ISNUMBER(SEARCH("Proposal",$A339)),SUMIFS('Timesheet Raw'!$P$4:$P$8000,'Timesheet Raw'!$A$4:$A$8000,IF(ISNUMBER(SEARCH("Chargable",$A339)),"2-Proposals Chargeable","3-Proposals Regular"),'Timesheet Raw'!$C$4:$C$8000,"*"&amp;$B339&amp;"*",'Timesheet Raw'!$L$4:$L$8000,"&gt;="&amp;MAX(F$5,DATE(2000+VALUE(RIGHT(TRIM($A339),2)),1,1)),'Timesheet Raw'!$L$4:$L$8000,"&lt;="&amp;MIN(F$6,DATE(2000+VALUE(RIGHT(TRIM($A339),2)),12,31))),SUMIFS('Timesheet Raw'!$P$4:$P$8000,'Timesheet Raw'!$B$4:$B$8000,TRIM($A339),'Timesheet Raw'!$C$4:$C$8000,"*"&amp;$B339&amp;"*",'Timesheet Raw'!$L$4:$L$8000,"&gt;="&amp;F$5,'Timesheet Raw'!$L$4:$L$8000,"&lt;="&amp;F$6)))/'Profit Plan'!$B$5)</f>
        <v>0</v>
      </c>
      <c r="G339" s="122">
        <f>IF($A339="","",(IF(ISNUMBER(SEARCH("Proposal",$A339)),SUMIFS('Timesheet Raw'!$P$4:$P$8000,'Timesheet Raw'!$A$4:$A$8000,IF(ISNUMBER(SEARCH("Chargable",$A339)),"2-Proposals Chargeable","3-Proposals Regular"),'Timesheet Raw'!$C$4:$C$8000,"*"&amp;$B339&amp;"*",'Timesheet Raw'!$L$4:$L$8000,"&gt;="&amp;MAX(G$5,DATE(2000+VALUE(RIGHT(TRIM($A339),2)),1,1)),'Timesheet Raw'!$L$4:$L$8000,"&lt;="&amp;MIN(G$6,DATE(2000+VALUE(RIGHT(TRIM($A339),2)),12,31))),SUMIFS('Timesheet Raw'!$P$4:$P$8000,'Timesheet Raw'!$B$4:$B$8000,TRIM($A339),'Timesheet Raw'!$C$4:$C$8000,"*"&amp;$B339&amp;"*",'Timesheet Raw'!$L$4:$L$8000,"&gt;="&amp;G$5,'Timesheet Raw'!$L$4:$L$8000,"&lt;="&amp;G$6)))/'Profit Plan'!$B$5)</f>
        <v>0</v>
      </c>
      <c r="H339" s="122">
        <f>IF($A339="","",(IF(ISNUMBER(SEARCH("Proposal",$A339)),SUMIFS('Timesheet Raw'!$P$4:$P$8000,'Timesheet Raw'!$A$4:$A$8000,IF(ISNUMBER(SEARCH("Chargable",$A339)),"2-Proposals Chargeable","3-Proposals Regular"),'Timesheet Raw'!$C$4:$C$8000,"*"&amp;$B339&amp;"*",'Timesheet Raw'!$L$4:$L$8000,"&gt;="&amp;MAX(H$5,DATE(2000+VALUE(RIGHT(TRIM($A339),2)),1,1)),'Timesheet Raw'!$L$4:$L$8000,"&lt;="&amp;MIN(H$6,DATE(2000+VALUE(RIGHT(TRIM($A339),2)),12,31))),SUMIFS('Timesheet Raw'!$P$4:$P$8000,'Timesheet Raw'!$B$4:$B$8000,TRIM($A339),'Timesheet Raw'!$C$4:$C$8000,"*"&amp;$B339&amp;"*",'Timesheet Raw'!$L$4:$L$8000,"&gt;="&amp;H$5,'Timesheet Raw'!$L$4:$L$8000,"&lt;="&amp;H$6)))/'Profit Plan'!$B$5)</f>
        <v>0</v>
      </c>
      <c r="I339" s="122">
        <f>IF($A339="","",(IF(ISNUMBER(SEARCH("Proposal",$A339)),SUMIFS('Timesheet Raw'!$P$4:$P$8000,'Timesheet Raw'!$A$4:$A$8000,IF(ISNUMBER(SEARCH("Chargable",$A339)),"2-Proposals Chargeable","3-Proposals Regular"),'Timesheet Raw'!$C$4:$C$8000,"*"&amp;$B339&amp;"*",'Timesheet Raw'!$L$4:$L$8000,"&gt;="&amp;MAX(I$5,DATE(2000+VALUE(RIGHT(TRIM($A339),2)),1,1)),'Timesheet Raw'!$L$4:$L$8000,"&lt;="&amp;MIN(I$6,DATE(2000+VALUE(RIGHT(TRIM($A339),2)),12,31))),SUMIFS('Timesheet Raw'!$P$4:$P$8000,'Timesheet Raw'!$B$4:$B$8000,TRIM($A339),'Timesheet Raw'!$C$4:$C$8000,"*"&amp;$B339&amp;"*",'Timesheet Raw'!$L$4:$L$8000,"&gt;="&amp;I$5,'Timesheet Raw'!$L$4:$L$8000,"&lt;="&amp;I$6)))/'Profit Plan'!$B$5)</f>
        <v>0</v>
      </c>
      <c r="J339" s="122">
        <f>IF($A339="","",(IF(ISNUMBER(SEARCH("Proposal",$A339)),SUMIFS('Timesheet Raw'!$P$4:$P$8000,'Timesheet Raw'!$A$4:$A$8000,IF(ISNUMBER(SEARCH("Chargable",$A339)),"2-Proposals Chargeable","3-Proposals Regular"),'Timesheet Raw'!$C$4:$C$8000,"*"&amp;$B339&amp;"*",'Timesheet Raw'!$L$4:$L$8000,"&gt;="&amp;MAX(J$5,DATE(2000+VALUE(RIGHT(TRIM($A339),2)),1,1)),'Timesheet Raw'!$L$4:$L$8000,"&lt;="&amp;MIN(J$6,DATE(2000+VALUE(RIGHT(TRIM($A339),2)),12,31))),SUMIFS('Timesheet Raw'!$P$4:$P$8000,'Timesheet Raw'!$B$4:$B$8000,TRIM($A339),'Timesheet Raw'!$C$4:$C$8000,"*"&amp;$B339&amp;"*",'Timesheet Raw'!$L$4:$L$8000,"&gt;="&amp;J$5,'Timesheet Raw'!$L$4:$L$8000,"&lt;="&amp;J$6)))/'Profit Plan'!$B$5)</f>
        <v>0</v>
      </c>
      <c r="K339" s="122">
        <f>IF($A339="","",(IF(ISNUMBER(SEARCH("Proposal",$A339)),SUMIFS('Timesheet Raw'!$P$4:$P$8000,'Timesheet Raw'!$A$4:$A$8000,IF(ISNUMBER(SEARCH("Chargable",$A339)),"2-Proposals Chargeable","3-Proposals Regular"),'Timesheet Raw'!$C$4:$C$8000,"*"&amp;$B339&amp;"*",'Timesheet Raw'!$L$4:$L$8000,"&gt;="&amp;MAX(K$5,DATE(2000+VALUE(RIGHT(TRIM($A339),2)),1,1)),'Timesheet Raw'!$L$4:$L$8000,"&lt;="&amp;MIN(K$6,DATE(2000+VALUE(RIGHT(TRIM($A339),2)),12,31))),SUMIFS('Timesheet Raw'!$P$4:$P$8000,'Timesheet Raw'!$B$4:$B$8000,TRIM($A339),'Timesheet Raw'!$C$4:$C$8000,"*"&amp;$B339&amp;"*",'Timesheet Raw'!$L$4:$L$8000,"&gt;="&amp;K$5,'Timesheet Raw'!$L$4:$L$8000,"&lt;="&amp;K$6)))/'Profit Plan'!$B$5)</f>
        <v>0</v>
      </c>
      <c r="L339" s="122">
        <f>IF($A339="","",(IF(ISNUMBER(SEARCH("Proposal",$A339)),SUMIFS('Timesheet Raw'!$P$4:$P$8000,'Timesheet Raw'!$A$4:$A$8000,IF(ISNUMBER(SEARCH("Chargable",$A339)),"2-Proposals Chargeable","3-Proposals Regular"),'Timesheet Raw'!$C$4:$C$8000,"*"&amp;$B339&amp;"*",'Timesheet Raw'!$L$4:$L$8000,"&gt;="&amp;MAX(L$5,DATE(2000+VALUE(RIGHT(TRIM($A339),2)),1,1)),'Timesheet Raw'!$L$4:$L$8000,"&lt;="&amp;MIN(L$6,DATE(2000+VALUE(RIGHT(TRIM($A339),2)),12,31))),SUMIFS('Timesheet Raw'!$P$4:$P$8000,'Timesheet Raw'!$B$4:$B$8000,TRIM($A339),'Timesheet Raw'!$C$4:$C$8000,"*"&amp;$B339&amp;"*",'Timesheet Raw'!$L$4:$L$8000,"&gt;="&amp;L$5,'Timesheet Raw'!$L$4:$L$8000,"&lt;="&amp;L$6)))/'Profit Plan'!$B$5)</f>
        <v>0</v>
      </c>
      <c r="M339" s="122">
        <f>IF($A339="","",(IF(ISNUMBER(SEARCH("Proposal",$A339)),SUMIFS('Timesheet Raw'!$P$4:$P$8000,'Timesheet Raw'!$A$4:$A$8000,IF(ISNUMBER(SEARCH("Chargable",$A339)),"2-Proposals Chargeable","3-Proposals Regular"),'Timesheet Raw'!$C$4:$C$8000,"*"&amp;$B339&amp;"*",'Timesheet Raw'!$L$4:$L$8000,"&gt;="&amp;MAX(M$5,DATE(2000+VALUE(RIGHT(TRIM($A339),2)),1,1)),'Timesheet Raw'!$L$4:$L$8000,"&lt;="&amp;MIN(M$6,DATE(2000+VALUE(RIGHT(TRIM($A339),2)),12,31))),SUMIFS('Timesheet Raw'!$P$4:$P$8000,'Timesheet Raw'!$B$4:$B$8000,TRIM($A339),'Timesheet Raw'!$C$4:$C$8000,"*"&amp;$B339&amp;"*",'Timesheet Raw'!$L$4:$L$8000,"&gt;="&amp;M$5,'Timesheet Raw'!$L$4:$L$8000,"&lt;="&amp;M$6)))/'Profit Plan'!$B$5)</f>
        <v>0</v>
      </c>
      <c r="N339" s="122">
        <f>IF($A339="","",(IF(ISNUMBER(SEARCH("Proposal",$A339)),SUMIFS('Timesheet Raw'!$P$4:$P$8000,'Timesheet Raw'!$A$4:$A$8000,IF(ISNUMBER(SEARCH("Chargable",$A339)),"2-Proposals Chargeable","3-Proposals Regular"),'Timesheet Raw'!$C$4:$C$8000,"*"&amp;$B339&amp;"*",'Timesheet Raw'!$L$4:$L$8000,"&gt;="&amp;MAX(N$5,DATE(2000+VALUE(RIGHT(TRIM($A339),2)),1,1)),'Timesheet Raw'!$L$4:$L$8000,"&lt;="&amp;MIN(N$6,DATE(2000+VALUE(RIGHT(TRIM($A339),2)),12,31))),SUMIFS('Timesheet Raw'!$P$4:$P$8000,'Timesheet Raw'!$B$4:$B$8000,TRIM($A339),'Timesheet Raw'!$C$4:$C$8000,"*"&amp;$B339&amp;"*",'Timesheet Raw'!$L$4:$L$8000,"&gt;="&amp;N$5,'Timesheet Raw'!$L$4:$L$8000,"&lt;="&amp;N$6)))/'Profit Plan'!$B$5)</f>
        <v>0</v>
      </c>
      <c r="O339" s="122">
        <f>IF($A339="","",(IF(ISNUMBER(SEARCH("Proposal",$A339)),SUMIFS('Timesheet Raw'!$P$4:$P$8000,'Timesheet Raw'!$A$4:$A$8000,IF(ISNUMBER(SEARCH("Chargable",$A339)),"2-Proposals Chargeable","3-Proposals Regular"),'Timesheet Raw'!$C$4:$C$8000,"*"&amp;$B339&amp;"*",'Timesheet Raw'!$L$4:$L$8000,"&gt;="&amp;MAX(O$5,DATE(2000+VALUE(RIGHT(TRIM($A339),2)),1,1)),'Timesheet Raw'!$L$4:$L$8000,"&lt;="&amp;MIN(O$6,DATE(2000+VALUE(RIGHT(TRIM($A339),2)),12,31))),SUMIFS('Timesheet Raw'!$P$4:$P$8000,'Timesheet Raw'!$B$4:$B$8000,TRIM($A339),'Timesheet Raw'!$C$4:$C$8000,"*"&amp;$B339&amp;"*",'Timesheet Raw'!$L$4:$L$8000,"&gt;="&amp;O$5,'Timesheet Raw'!$L$4:$L$8000,"&lt;="&amp;O$6)))/'Profit Plan'!$B$5)</f>
        <v>0</v>
      </c>
      <c r="P339" s="122">
        <f>IF($A339="","",(IF(ISNUMBER(SEARCH("Proposal",$A339)),SUMIFS('Timesheet Raw'!$P$4:$P$8000,'Timesheet Raw'!$A$4:$A$8000,IF(ISNUMBER(SEARCH("Chargable",$A339)),"2-Proposals Chargeable","3-Proposals Regular"),'Timesheet Raw'!$C$4:$C$8000,"*"&amp;$B339&amp;"*",'Timesheet Raw'!$L$4:$L$8000,"&gt;="&amp;MAX(P$5,DATE(2000+VALUE(RIGHT(TRIM($A339),2)),1,1)),'Timesheet Raw'!$L$4:$L$8000,"&lt;="&amp;MIN(P$6,DATE(2000+VALUE(RIGHT(TRIM($A339),2)),12,31))),SUMIFS('Timesheet Raw'!$P$4:$P$8000,'Timesheet Raw'!$B$4:$B$8000,TRIM($A339),'Timesheet Raw'!$C$4:$C$8000,"*"&amp;$B339&amp;"*",'Timesheet Raw'!$L$4:$L$8000,"&gt;="&amp;P$5,'Timesheet Raw'!$L$4:$L$8000,"&lt;="&amp;P$6)))/'Profit Plan'!$B$5)</f>
        <v>0</v>
      </c>
      <c r="Q339" s="122">
        <f>IF($A339="","",(IF(ISNUMBER(SEARCH("Proposal",$A339)),SUMIFS('Timesheet Raw'!$P$4:$P$8000,'Timesheet Raw'!$A$4:$A$8000,IF(ISNUMBER(SEARCH("Chargable",$A339)),"2-Proposals Chargeable","3-Proposals Regular"),'Timesheet Raw'!$C$4:$C$8000,"*"&amp;$B339&amp;"*",'Timesheet Raw'!$L$4:$L$8000,"&gt;="&amp;MAX(Q$5,DATE(2000+VALUE(RIGHT(TRIM($A339),2)),1,1)),'Timesheet Raw'!$L$4:$L$8000,"&lt;="&amp;MIN(Q$6,DATE(2000+VALUE(RIGHT(TRIM($A339),2)),12,31))),SUMIFS('Timesheet Raw'!$P$4:$P$8000,'Timesheet Raw'!$B$4:$B$8000,TRIM($A339),'Timesheet Raw'!$C$4:$C$8000,"*"&amp;$B339&amp;"*",'Timesheet Raw'!$L$4:$L$8000,"&gt;="&amp;Q$5,'Timesheet Raw'!$L$4:$L$8000,"&lt;="&amp;Q$6)))/'Profit Plan'!$B$5)</f>
        <v>0</v>
      </c>
      <c r="R339" s="122">
        <f>IF($A339="","",(IF(ISNUMBER(SEARCH("Proposal",$A339)),SUMIFS('Timesheet Raw'!$P$4:$P$8000,'Timesheet Raw'!$A$4:$A$8000,IF(ISNUMBER(SEARCH("Chargable",$A339)),"2-Proposals Chargeable","3-Proposals Regular"),'Timesheet Raw'!$C$4:$C$8000,"*"&amp;$B339&amp;"*",'Timesheet Raw'!$L$4:$L$8000,"&gt;="&amp;MAX(R$5,DATE(2000+VALUE(RIGHT(TRIM($A339),2)),1,1)),'Timesheet Raw'!$L$4:$L$8000,"&lt;="&amp;MIN(R$6,DATE(2000+VALUE(RIGHT(TRIM($A339),2)),12,31))),SUMIFS('Timesheet Raw'!$P$4:$P$8000,'Timesheet Raw'!$B$4:$B$8000,TRIM($A339),'Timesheet Raw'!$C$4:$C$8000,"*"&amp;$B339&amp;"*",'Timesheet Raw'!$L$4:$L$8000,"&gt;="&amp;R$5,'Timesheet Raw'!$L$4:$L$8000,"&lt;="&amp;R$6)))/'Profit Plan'!$B$5)</f>
        <v>0</v>
      </c>
      <c r="S339" s="122">
        <f>IF($A339="","",(IF(ISNUMBER(SEARCH("Proposal",$A339)),SUMIFS('Timesheet Raw'!$P$4:$P$8000,'Timesheet Raw'!$A$4:$A$8000,IF(ISNUMBER(SEARCH("Chargable",$A339)),"2-Proposals Chargeable","3-Proposals Regular"),'Timesheet Raw'!$C$4:$C$8000,"*"&amp;$B339&amp;"*",'Timesheet Raw'!$L$4:$L$8000,"&gt;="&amp;MAX(S$5,DATE(2000+VALUE(RIGHT(TRIM($A339),2)),1,1)),'Timesheet Raw'!$L$4:$L$8000,"&lt;="&amp;MIN(S$6,DATE(2000+VALUE(RIGHT(TRIM($A339),2)),12,31))),SUMIFS('Timesheet Raw'!$P$4:$P$8000,'Timesheet Raw'!$B$4:$B$8000,TRIM($A339),'Timesheet Raw'!$C$4:$C$8000,"*"&amp;$B339&amp;"*",'Timesheet Raw'!$L$4:$L$8000,"&gt;="&amp;S$5,'Timesheet Raw'!$L$4:$L$8000,"&lt;="&amp;S$6)))/'Profit Plan'!$B$5)</f>
        <v>0</v>
      </c>
      <c r="T339" s="122">
        <f>IF($A339="","",(IF(ISNUMBER(SEARCH("Proposal",$A339)),SUMIFS('Timesheet Raw'!$P$4:$P$8000,'Timesheet Raw'!$A$4:$A$8000,IF(ISNUMBER(SEARCH("Chargable",$A339)),"2-Proposals Chargeable","3-Proposals Regular"),'Timesheet Raw'!$C$4:$C$8000,"*"&amp;$B339&amp;"*",'Timesheet Raw'!$L$4:$L$8000,"&gt;="&amp;MAX(T$5,DATE(2000+VALUE(RIGHT(TRIM($A339),2)),1,1)),'Timesheet Raw'!$L$4:$L$8000,"&lt;="&amp;MIN(T$6,DATE(2000+VALUE(RIGHT(TRIM($A339),2)),12,31))),SUMIFS('Timesheet Raw'!$P$4:$P$8000,'Timesheet Raw'!$B$4:$B$8000,TRIM($A339),'Timesheet Raw'!$C$4:$C$8000,"*"&amp;$B339&amp;"*",'Timesheet Raw'!$L$4:$L$8000,"&gt;="&amp;T$5,'Timesheet Raw'!$L$4:$L$8000,"&lt;="&amp;T$6)))/'Profit Plan'!$B$5)</f>
        <v>0</v>
      </c>
      <c r="U339" s="122">
        <f>IF($A339="","",(IF(ISNUMBER(SEARCH("Proposal",$A339)),SUMIFS('Timesheet Raw'!$P$4:$P$8000,'Timesheet Raw'!$A$4:$A$8000,IF(ISNUMBER(SEARCH("Chargable",$A339)),"2-Proposals Chargeable","3-Proposals Regular"),'Timesheet Raw'!$C$4:$C$8000,"*"&amp;$B339&amp;"*",'Timesheet Raw'!$L$4:$L$8000,"&gt;="&amp;MAX(U$5,DATE(2000+VALUE(RIGHT(TRIM($A339),2)),1,1)),'Timesheet Raw'!$L$4:$L$8000,"&lt;="&amp;MIN(U$6,DATE(2000+VALUE(RIGHT(TRIM($A339),2)),12,31))),SUMIFS('Timesheet Raw'!$P$4:$P$8000,'Timesheet Raw'!$B$4:$B$8000,TRIM($A339),'Timesheet Raw'!$C$4:$C$8000,"*"&amp;$B339&amp;"*",'Timesheet Raw'!$L$4:$L$8000,"&gt;="&amp;U$5,'Timesheet Raw'!$L$4:$L$8000,"&lt;="&amp;U$6)))/'Profit Plan'!$B$5)</f>
        <v>0</v>
      </c>
      <c r="V339" s="122">
        <f>IF($A339="","",(IF(ISNUMBER(SEARCH("Proposal",$A339)),SUMIFS('Timesheet Raw'!$P$4:$P$8000,'Timesheet Raw'!$A$4:$A$8000,IF(ISNUMBER(SEARCH("Chargable",$A339)),"2-Proposals Chargeable","3-Proposals Regular"),'Timesheet Raw'!$C$4:$C$8000,"*"&amp;$B339&amp;"*",'Timesheet Raw'!$L$4:$L$8000,"&gt;="&amp;MAX(V$5,DATE(2000+VALUE(RIGHT(TRIM($A339),2)),1,1)),'Timesheet Raw'!$L$4:$L$8000,"&lt;="&amp;MIN(V$6,DATE(2000+VALUE(RIGHT(TRIM($A339),2)),12,31))),SUMIFS('Timesheet Raw'!$P$4:$P$8000,'Timesheet Raw'!$B$4:$B$8000,TRIM($A339),'Timesheet Raw'!$C$4:$C$8000,"*"&amp;$B339&amp;"*",'Timesheet Raw'!$L$4:$L$8000,"&gt;="&amp;V$5,'Timesheet Raw'!$L$4:$L$8000,"&lt;="&amp;V$6)))/'Profit Plan'!$B$5)</f>
        <v>0</v>
      </c>
      <c r="W339" s="122">
        <f>IF($A339="","",(IF(ISNUMBER(SEARCH("Proposal",$A339)),SUMIFS('Timesheet Raw'!$P$4:$P$8000,'Timesheet Raw'!$A$4:$A$8000,IF(ISNUMBER(SEARCH("Chargable",$A339)),"2-Proposals Chargeable","3-Proposals Regular"),'Timesheet Raw'!$C$4:$C$8000,"*"&amp;$B339&amp;"*",'Timesheet Raw'!$L$4:$L$8000,"&gt;="&amp;MAX(W$5,DATE(2000+VALUE(RIGHT(TRIM($A339),2)),1,1)),'Timesheet Raw'!$L$4:$L$8000,"&lt;="&amp;MIN(W$6,DATE(2000+VALUE(RIGHT(TRIM($A339),2)),12,31))),SUMIFS('Timesheet Raw'!$P$4:$P$8000,'Timesheet Raw'!$B$4:$B$8000,TRIM($A339),'Timesheet Raw'!$C$4:$C$8000,"*"&amp;$B339&amp;"*",'Timesheet Raw'!$L$4:$L$8000,"&gt;="&amp;W$5,'Timesheet Raw'!$L$4:$L$8000,"&lt;="&amp;W$6)))/'Profit Plan'!$B$5)</f>
        <v>0</v>
      </c>
      <c r="X339" s="122">
        <f>IF($A339="","",(IF(ISNUMBER(SEARCH("Proposal",$A339)),SUMIFS('Timesheet Raw'!$P$4:$P$8000,'Timesheet Raw'!$A$4:$A$8000,IF(ISNUMBER(SEARCH("Chargable",$A339)),"2-Proposals Chargeable","3-Proposals Regular"),'Timesheet Raw'!$C$4:$C$8000,"*"&amp;$B339&amp;"*",'Timesheet Raw'!$L$4:$L$8000,"&gt;="&amp;MAX(X$5,DATE(2000+VALUE(RIGHT(TRIM($A339),2)),1,1)),'Timesheet Raw'!$L$4:$L$8000,"&lt;="&amp;MIN(X$6,DATE(2000+VALUE(RIGHT(TRIM($A339),2)),12,31))),SUMIFS('Timesheet Raw'!$P$4:$P$8000,'Timesheet Raw'!$B$4:$B$8000,TRIM($A339),'Timesheet Raw'!$C$4:$C$8000,"*"&amp;$B339&amp;"*",'Timesheet Raw'!$L$4:$L$8000,"&gt;="&amp;X$5,'Timesheet Raw'!$L$4:$L$8000,"&lt;="&amp;X$6)))/'Profit Plan'!$B$5)</f>
        <v>0</v>
      </c>
      <c r="Y339" s="118">
        <f t="shared" si="101"/>
        <v>0</v>
      </c>
    </row>
    <row r="340" spans="1:25" x14ac:dyDescent="0.3">
      <c r="A340" s="116" t="str">
        <f>IF(Inputs!$A31="","",Inputs!$A31)</f>
        <v>S22058-0400D</v>
      </c>
      <c r="B340" s="116" t="str">
        <f>IF(Inputs!$A31="","",Inputs!$A$91)</f>
        <v>Ahmed</v>
      </c>
      <c r="C340" s="116"/>
      <c r="D340" s="122">
        <f>IF($A340="","",(IF(ISNUMBER(SEARCH("Proposal",$A340)),SUMIFS('Timesheet Raw'!$P$4:$P$8000,'Timesheet Raw'!$A$4:$A$8000,IF(ISNUMBER(SEARCH("Chargable",$A340)),"2-Proposals Chargeable","3-Proposals Regular"),'Timesheet Raw'!$C$4:$C$8000,"*"&amp;$B340&amp;"*",'Timesheet Raw'!$L$4:$L$8000,"&gt;="&amp;MAX(D$5,DATE(2000+VALUE(RIGHT(TRIM($A340),2)),1,1)),'Timesheet Raw'!$L$4:$L$8000,"&lt;="&amp;MIN(D$6,DATE(2000+VALUE(RIGHT(TRIM($A340),2)),12,31))),SUMIFS('Timesheet Raw'!$P$4:$P$8000,'Timesheet Raw'!$B$4:$B$8000,TRIM($A340),'Timesheet Raw'!$C$4:$C$8000,"*"&amp;$B340&amp;"*",'Timesheet Raw'!$L$4:$L$8000,"&gt;="&amp;D$5,'Timesheet Raw'!$L$4:$L$8000,"&lt;="&amp;D$6)))/'Profit Plan'!$B$5)</f>
        <v>1.0810810810810811E-2</v>
      </c>
      <c r="E340" s="122">
        <f>IF($A340="","",(IF(ISNUMBER(SEARCH("Proposal",$A340)),SUMIFS('Timesheet Raw'!$P$4:$P$8000,'Timesheet Raw'!$A$4:$A$8000,IF(ISNUMBER(SEARCH("Chargable",$A340)),"2-Proposals Chargeable","3-Proposals Regular"),'Timesheet Raw'!$C$4:$C$8000,"*"&amp;$B340&amp;"*",'Timesheet Raw'!$L$4:$L$8000,"&gt;="&amp;MAX(E$5,DATE(2000+VALUE(RIGHT(TRIM($A340),2)),1,1)),'Timesheet Raw'!$L$4:$L$8000,"&lt;="&amp;MIN(E$6,DATE(2000+VALUE(RIGHT(TRIM($A340),2)),12,31))),SUMIFS('Timesheet Raw'!$P$4:$P$8000,'Timesheet Raw'!$B$4:$B$8000,TRIM($A340),'Timesheet Raw'!$C$4:$C$8000,"*"&amp;$B340&amp;"*",'Timesheet Raw'!$L$4:$L$8000,"&gt;="&amp;E$5,'Timesheet Raw'!$L$4:$L$8000,"&lt;="&amp;E$6)))/'Profit Plan'!$B$5)</f>
        <v>1.891891891891892E-2</v>
      </c>
      <c r="F340" s="122">
        <f>IF($A340="","",(IF(ISNUMBER(SEARCH("Proposal",$A340)),SUMIFS('Timesheet Raw'!$P$4:$P$8000,'Timesheet Raw'!$A$4:$A$8000,IF(ISNUMBER(SEARCH("Chargable",$A340)),"2-Proposals Chargeable","3-Proposals Regular"),'Timesheet Raw'!$C$4:$C$8000,"*"&amp;$B340&amp;"*",'Timesheet Raw'!$L$4:$L$8000,"&gt;="&amp;MAX(F$5,DATE(2000+VALUE(RIGHT(TRIM($A340),2)),1,1)),'Timesheet Raw'!$L$4:$L$8000,"&lt;="&amp;MIN(F$6,DATE(2000+VALUE(RIGHT(TRIM($A340),2)),12,31))),SUMIFS('Timesheet Raw'!$P$4:$P$8000,'Timesheet Raw'!$B$4:$B$8000,TRIM($A340),'Timesheet Raw'!$C$4:$C$8000,"*"&amp;$B340&amp;"*",'Timesheet Raw'!$L$4:$L$8000,"&gt;="&amp;F$5,'Timesheet Raw'!$L$4:$L$8000,"&lt;="&amp;F$6)))/'Profit Plan'!$B$5)</f>
        <v>0</v>
      </c>
      <c r="G340" s="122">
        <f>IF($A340="","",(IF(ISNUMBER(SEARCH("Proposal",$A340)),SUMIFS('Timesheet Raw'!$P$4:$P$8000,'Timesheet Raw'!$A$4:$A$8000,IF(ISNUMBER(SEARCH("Chargable",$A340)),"2-Proposals Chargeable","3-Proposals Regular"),'Timesheet Raw'!$C$4:$C$8000,"*"&amp;$B340&amp;"*",'Timesheet Raw'!$L$4:$L$8000,"&gt;="&amp;MAX(G$5,DATE(2000+VALUE(RIGHT(TRIM($A340),2)),1,1)),'Timesheet Raw'!$L$4:$L$8000,"&lt;="&amp;MIN(G$6,DATE(2000+VALUE(RIGHT(TRIM($A340),2)),12,31))),SUMIFS('Timesheet Raw'!$P$4:$P$8000,'Timesheet Raw'!$B$4:$B$8000,TRIM($A340),'Timesheet Raw'!$C$4:$C$8000,"*"&amp;$B340&amp;"*",'Timesheet Raw'!$L$4:$L$8000,"&gt;="&amp;G$5,'Timesheet Raw'!$L$4:$L$8000,"&lt;="&amp;G$6)))/'Profit Plan'!$B$5)</f>
        <v>0</v>
      </c>
      <c r="H340" s="122">
        <f>IF($A340="","",(IF(ISNUMBER(SEARCH("Proposal",$A340)),SUMIFS('Timesheet Raw'!$P$4:$P$8000,'Timesheet Raw'!$A$4:$A$8000,IF(ISNUMBER(SEARCH("Chargable",$A340)),"2-Proposals Chargeable","3-Proposals Regular"),'Timesheet Raw'!$C$4:$C$8000,"*"&amp;$B340&amp;"*",'Timesheet Raw'!$L$4:$L$8000,"&gt;="&amp;MAX(H$5,DATE(2000+VALUE(RIGHT(TRIM($A340),2)),1,1)),'Timesheet Raw'!$L$4:$L$8000,"&lt;="&amp;MIN(H$6,DATE(2000+VALUE(RIGHT(TRIM($A340),2)),12,31))),SUMIFS('Timesheet Raw'!$P$4:$P$8000,'Timesheet Raw'!$B$4:$B$8000,TRIM($A340),'Timesheet Raw'!$C$4:$C$8000,"*"&amp;$B340&amp;"*",'Timesheet Raw'!$L$4:$L$8000,"&gt;="&amp;H$5,'Timesheet Raw'!$L$4:$L$8000,"&lt;="&amp;H$6)))/'Profit Plan'!$B$5)</f>
        <v>0</v>
      </c>
      <c r="I340" s="122">
        <f>IF($A340="","",(IF(ISNUMBER(SEARCH("Proposal",$A340)),SUMIFS('Timesheet Raw'!$P$4:$P$8000,'Timesheet Raw'!$A$4:$A$8000,IF(ISNUMBER(SEARCH("Chargable",$A340)),"2-Proposals Chargeable","3-Proposals Regular"),'Timesheet Raw'!$C$4:$C$8000,"*"&amp;$B340&amp;"*",'Timesheet Raw'!$L$4:$L$8000,"&gt;="&amp;MAX(I$5,DATE(2000+VALUE(RIGHT(TRIM($A340),2)),1,1)),'Timesheet Raw'!$L$4:$L$8000,"&lt;="&amp;MIN(I$6,DATE(2000+VALUE(RIGHT(TRIM($A340),2)),12,31))),SUMIFS('Timesheet Raw'!$P$4:$P$8000,'Timesheet Raw'!$B$4:$B$8000,TRIM($A340),'Timesheet Raw'!$C$4:$C$8000,"*"&amp;$B340&amp;"*",'Timesheet Raw'!$L$4:$L$8000,"&gt;="&amp;I$5,'Timesheet Raw'!$L$4:$L$8000,"&lt;="&amp;I$6)))/'Profit Plan'!$B$5)</f>
        <v>0</v>
      </c>
      <c r="J340" s="122">
        <f>IF($A340="","",(IF(ISNUMBER(SEARCH("Proposal",$A340)),SUMIFS('Timesheet Raw'!$P$4:$P$8000,'Timesheet Raw'!$A$4:$A$8000,IF(ISNUMBER(SEARCH("Chargable",$A340)),"2-Proposals Chargeable","3-Proposals Regular"),'Timesheet Raw'!$C$4:$C$8000,"*"&amp;$B340&amp;"*",'Timesheet Raw'!$L$4:$L$8000,"&gt;="&amp;MAX(J$5,DATE(2000+VALUE(RIGHT(TRIM($A340),2)),1,1)),'Timesheet Raw'!$L$4:$L$8000,"&lt;="&amp;MIN(J$6,DATE(2000+VALUE(RIGHT(TRIM($A340),2)),12,31))),SUMIFS('Timesheet Raw'!$P$4:$P$8000,'Timesheet Raw'!$B$4:$B$8000,TRIM($A340),'Timesheet Raw'!$C$4:$C$8000,"*"&amp;$B340&amp;"*",'Timesheet Raw'!$L$4:$L$8000,"&gt;="&amp;J$5,'Timesheet Raw'!$L$4:$L$8000,"&lt;="&amp;J$6)))/'Profit Plan'!$B$5)</f>
        <v>1.0810810810810811E-2</v>
      </c>
      <c r="K340" s="122">
        <f>IF($A340="","",(IF(ISNUMBER(SEARCH("Proposal",$A340)),SUMIFS('Timesheet Raw'!$P$4:$P$8000,'Timesheet Raw'!$A$4:$A$8000,IF(ISNUMBER(SEARCH("Chargable",$A340)),"2-Proposals Chargeable","3-Proposals Regular"),'Timesheet Raw'!$C$4:$C$8000,"*"&amp;$B340&amp;"*",'Timesheet Raw'!$L$4:$L$8000,"&gt;="&amp;MAX(K$5,DATE(2000+VALUE(RIGHT(TRIM($A340),2)),1,1)),'Timesheet Raw'!$L$4:$L$8000,"&lt;="&amp;MIN(K$6,DATE(2000+VALUE(RIGHT(TRIM($A340),2)),12,31))),SUMIFS('Timesheet Raw'!$P$4:$P$8000,'Timesheet Raw'!$B$4:$B$8000,TRIM($A340),'Timesheet Raw'!$C$4:$C$8000,"*"&amp;$B340&amp;"*",'Timesheet Raw'!$L$4:$L$8000,"&gt;="&amp;K$5,'Timesheet Raw'!$L$4:$L$8000,"&lt;="&amp;K$6)))/'Profit Plan'!$B$5)</f>
        <v>0</v>
      </c>
      <c r="L340" s="122">
        <f>IF($A340="","",(IF(ISNUMBER(SEARCH("Proposal",$A340)),SUMIFS('Timesheet Raw'!$P$4:$P$8000,'Timesheet Raw'!$A$4:$A$8000,IF(ISNUMBER(SEARCH("Chargable",$A340)),"2-Proposals Chargeable","3-Proposals Regular"),'Timesheet Raw'!$C$4:$C$8000,"*"&amp;$B340&amp;"*",'Timesheet Raw'!$L$4:$L$8000,"&gt;="&amp;MAX(L$5,DATE(2000+VALUE(RIGHT(TRIM($A340),2)),1,1)),'Timesheet Raw'!$L$4:$L$8000,"&lt;="&amp;MIN(L$6,DATE(2000+VALUE(RIGHT(TRIM($A340),2)),12,31))),SUMIFS('Timesheet Raw'!$P$4:$P$8000,'Timesheet Raw'!$B$4:$B$8000,TRIM($A340),'Timesheet Raw'!$C$4:$C$8000,"*"&amp;$B340&amp;"*",'Timesheet Raw'!$L$4:$L$8000,"&gt;="&amp;L$5,'Timesheet Raw'!$L$4:$L$8000,"&lt;="&amp;L$6)))/'Profit Plan'!$B$5)</f>
        <v>0</v>
      </c>
      <c r="M340" s="122">
        <f>IF($A340="","",(IF(ISNUMBER(SEARCH("Proposal",$A340)),SUMIFS('Timesheet Raw'!$P$4:$P$8000,'Timesheet Raw'!$A$4:$A$8000,IF(ISNUMBER(SEARCH("Chargable",$A340)),"2-Proposals Chargeable","3-Proposals Regular"),'Timesheet Raw'!$C$4:$C$8000,"*"&amp;$B340&amp;"*",'Timesheet Raw'!$L$4:$L$8000,"&gt;="&amp;MAX(M$5,DATE(2000+VALUE(RIGHT(TRIM($A340),2)),1,1)),'Timesheet Raw'!$L$4:$L$8000,"&lt;="&amp;MIN(M$6,DATE(2000+VALUE(RIGHT(TRIM($A340),2)),12,31))),SUMIFS('Timesheet Raw'!$P$4:$P$8000,'Timesheet Raw'!$B$4:$B$8000,TRIM($A340),'Timesheet Raw'!$C$4:$C$8000,"*"&amp;$B340&amp;"*",'Timesheet Raw'!$L$4:$L$8000,"&gt;="&amp;M$5,'Timesheet Raw'!$L$4:$L$8000,"&lt;="&amp;M$6)))/'Profit Plan'!$B$5)</f>
        <v>0</v>
      </c>
      <c r="N340" s="122">
        <f>IF($A340="","",(IF(ISNUMBER(SEARCH("Proposal",$A340)),SUMIFS('Timesheet Raw'!$P$4:$P$8000,'Timesheet Raw'!$A$4:$A$8000,IF(ISNUMBER(SEARCH("Chargable",$A340)),"2-Proposals Chargeable","3-Proposals Regular"),'Timesheet Raw'!$C$4:$C$8000,"*"&amp;$B340&amp;"*",'Timesheet Raw'!$L$4:$L$8000,"&gt;="&amp;MAX(N$5,DATE(2000+VALUE(RIGHT(TRIM($A340),2)),1,1)),'Timesheet Raw'!$L$4:$L$8000,"&lt;="&amp;MIN(N$6,DATE(2000+VALUE(RIGHT(TRIM($A340),2)),12,31))),SUMIFS('Timesheet Raw'!$P$4:$P$8000,'Timesheet Raw'!$B$4:$B$8000,TRIM($A340),'Timesheet Raw'!$C$4:$C$8000,"*"&amp;$B340&amp;"*",'Timesheet Raw'!$L$4:$L$8000,"&gt;="&amp;N$5,'Timesheet Raw'!$L$4:$L$8000,"&lt;="&amp;N$6)))/'Profit Plan'!$B$5)</f>
        <v>0</v>
      </c>
      <c r="O340" s="122">
        <f>IF($A340="","",(IF(ISNUMBER(SEARCH("Proposal",$A340)),SUMIFS('Timesheet Raw'!$P$4:$P$8000,'Timesheet Raw'!$A$4:$A$8000,IF(ISNUMBER(SEARCH("Chargable",$A340)),"2-Proposals Chargeable","3-Proposals Regular"),'Timesheet Raw'!$C$4:$C$8000,"*"&amp;$B340&amp;"*",'Timesheet Raw'!$L$4:$L$8000,"&gt;="&amp;MAX(O$5,DATE(2000+VALUE(RIGHT(TRIM($A340),2)),1,1)),'Timesheet Raw'!$L$4:$L$8000,"&lt;="&amp;MIN(O$6,DATE(2000+VALUE(RIGHT(TRIM($A340),2)),12,31))),SUMIFS('Timesheet Raw'!$P$4:$P$8000,'Timesheet Raw'!$B$4:$B$8000,TRIM($A340),'Timesheet Raw'!$C$4:$C$8000,"*"&amp;$B340&amp;"*",'Timesheet Raw'!$L$4:$L$8000,"&gt;="&amp;O$5,'Timesheet Raw'!$L$4:$L$8000,"&lt;="&amp;O$6)))/'Profit Plan'!$B$5)</f>
        <v>0</v>
      </c>
      <c r="P340" s="122">
        <f>IF($A340="","",(IF(ISNUMBER(SEARCH("Proposal",$A340)),SUMIFS('Timesheet Raw'!$P$4:$P$8000,'Timesheet Raw'!$A$4:$A$8000,IF(ISNUMBER(SEARCH("Chargable",$A340)),"2-Proposals Chargeable","3-Proposals Regular"),'Timesheet Raw'!$C$4:$C$8000,"*"&amp;$B340&amp;"*",'Timesheet Raw'!$L$4:$L$8000,"&gt;="&amp;MAX(P$5,DATE(2000+VALUE(RIGHT(TRIM($A340),2)),1,1)),'Timesheet Raw'!$L$4:$L$8000,"&lt;="&amp;MIN(P$6,DATE(2000+VALUE(RIGHT(TRIM($A340),2)),12,31))),SUMIFS('Timesheet Raw'!$P$4:$P$8000,'Timesheet Raw'!$B$4:$B$8000,TRIM($A340),'Timesheet Raw'!$C$4:$C$8000,"*"&amp;$B340&amp;"*",'Timesheet Raw'!$L$4:$L$8000,"&gt;="&amp;P$5,'Timesheet Raw'!$L$4:$L$8000,"&lt;="&amp;P$6)))/'Profit Plan'!$B$5)</f>
        <v>0</v>
      </c>
      <c r="Q340" s="122">
        <f>IF($A340="","",(IF(ISNUMBER(SEARCH("Proposal",$A340)),SUMIFS('Timesheet Raw'!$P$4:$P$8000,'Timesheet Raw'!$A$4:$A$8000,IF(ISNUMBER(SEARCH("Chargable",$A340)),"2-Proposals Chargeable","3-Proposals Regular"),'Timesheet Raw'!$C$4:$C$8000,"*"&amp;$B340&amp;"*",'Timesheet Raw'!$L$4:$L$8000,"&gt;="&amp;MAX(Q$5,DATE(2000+VALUE(RIGHT(TRIM($A340),2)),1,1)),'Timesheet Raw'!$L$4:$L$8000,"&lt;="&amp;MIN(Q$6,DATE(2000+VALUE(RIGHT(TRIM($A340),2)),12,31))),SUMIFS('Timesheet Raw'!$P$4:$P$8000,'Timesheet Raw'!$B$4:$B$8000,TRIM($A340),'Timesheet Raw'!$C$4:$C$8000,"*"&amp;$B340&amp;"*",'Timesheet Raw'!$L$4:$L$8000,"&gt;="&amp;Q$5,'Timesheet Raw'!$L$4:$L$8000,"&lt;="&amp;Q$6)))/'Profit Plan'!$B$5)</f>
        <v>0</v>
      </c>
      <c r="R340" s="122">
        <f>IF($A340="","",(IF(ISNUMBER(SEARCH("Proposal",$A340)),SUMIFS('Timesheet Raw'!$P$4:$P$8000,'Timesheet Raw'!$A$4:$A$8000,IF(ISNUMBER(SEARCH("Chargable",$A340)),"2-Proposals Chargeable","3-Proposals Regular"),'Timesheet Raw'!$C$4:$C$8000,"*"&amp;$B340&amp;"*",'Timesheet Raw'!$L$4:$L$8000,"&gt;="&amp;MAX(R$5,DATE(2000+VALUE(RIGHT(TRIM($A340),2)),1,1)),'Timesheet Raw'!$L$4:$L$8000,"&lt;="&amp;MIN(R$6,DATE(2000+VALUE(RIGHT(TRIM($A340),2)),12,31))),SUMIFS('Timesheet Raw'!$P$4:$P$8000,'Timesheet Raw'!$B$4:$B$8000,TRIM($A340),'Timesheet Raw'!$C$4:$C$8000,"*"&amp;$B340&amp;"*",'Timesheet Raw'!$L$4:$L$8000,"&gt;="&amp;R$5,'Timesheet Raw'!$L$4:$L$8000,"&lt;="&amp;R$6)))/'Profit Plan'!$B$5)</f>
        <v>0</v>
      </c>
      <c r="S340" s="122">
        <f>IF($A340="","",(IF(ISNUMBER(SEARCH("Proposal",$A340)),SUMIFS('Timesheet Raw'!$P$4:$P$8000,'Timesheet Raw'!$A$4:$A$8000,IF(ISNUMBER(SEARCH("Chargable",$A340)),"2-Proposals Chargeable","3-Proposals Regular"),'Timesheet Raw'!$C$4:$C$8000,"*"&amp;$B340&amp;"*",'Timesheet Raw'!$L$4:$L$8000,"&gt;="&amp;MAX(S$5,DATE(2000+VALUE(RIGHT(TRIM($A340),2)),1,1)),'Timesheet Raw'!$L$4:$L$8000,"&lt;="&amp;MIN(S$6,DATE(2000+VALUE(RIGHT(TRIM($A340),2)),12,31))),SUMIFS('Timesheet Raw'!$P$4:$P$8000,'Timesheet Raw'!$B$4:$B$8000,TRIM($A340),'Timesheet Raw'!$C$4:$C$8000,"*"&amp;$B340&amp;"*",'Timesheet Raw'!$L$4:$L$8000,"&gt;="&amp;S$5,'Timesheet Raw'!$L$4:$L$8000,"&lt;="&amp;S$6)))/'Profit Plan'!$B$5)</f>
        <v>0</v>
      </c>
      <c r="T340" s="122">
        <f>IF($A340="","",(IF(ISNUMBER(SEARCH("Proposal",$A340)),SUMIFS('Timesheet Raw'!$P$4:$P$8000,'Timesheet Raw'!$A$4:$A$8000,IF(ISNUMBER(SEARCH("Chargable",$A340)),"2-Proposals Chargeable","3-Proposals Regular"),'Timesheet Raw'!$C$4:$C$8000,"*"&amp;$B340&amp;"*",'Timesheet Raw'!$L$4:$L$8000,"&gt;="&amp;MAX(T$5,DATE(2000+VALUE(RIGHT(TRIM($A340),2)),1,1)),'Timesheet Raw'!$L$4:$L$8000,"&lt;="&amp;MIN(T$6,DATE(2000+VALUE(RIGHT(TRIM($A340),2)),12,31))),SUMIFS('Timesheet Raw'!$P$4:$P$8000,'Timesheet Raw'!$B$4:$B$8000,TRIM($A340),'Timesheet Raw'!$C$4:$C$8000,"*"&amp;$B340&amp;"*",'Timesheet Raw'!$L$4:$L$8000,"&gt;="&amp;T$5,'Timesheet Raw'!$L$4:$L$8000,"&lt;="&amp;T$6)))/'Profit Plan'!$B$5)</f>
        <v>0</v>
      </c>
      <c r="U340" s="122">
        <f>IF($A340="","",(IF(ISNUMBER(SEARCH("Proposal",$A340)),SUMIFS('Timesheet Raw'!$P$4:$P$8000,'Timesheet Raw'!$A$4:$A$8000,IF(ISNUMBER(SEARCH("Chargable",$A340)),"2-Proposals Chargeable","3-Proposals Regular"),'Timesheet Raw'!$C$4:$C$8000,"*"&amp;$B340&amp;"*",'Timesheet Raw'!$L$4:$L$8000,"&gt;="&amp;MAX(U$5,DATE(2000+VALUE(RIGHT(TRIM($A340),2)),1,1)),'Timesheet Raw'!$L$4:$L$8000,"&lt;="&amp;MIN(U$6,DATE(2000+VALUE(RIGHT(TRIM($A340),2)),12,31))),SUMIFS('Timesheet Raw'!$P$4:$P$8000,'Timesheet Raw'!$B$4:$B$8000,TRIM($A340),'Timesheet Raw'!$C$4:$C$8000,"*"&amp;$B340&amp;"*",'Timesheet Raw'!$L$4:$L$8000,"&gt;="&amp;U$5,'Timesheet Raw'!$L$4:$L$8000,"&lt;="&amp;U$6)))/'Profit Plan'!$B$5)</f>
        <v>0</v>
      </c>
      <c r="V340" s="122">
        <f>IF($A340="","",(IF(ISNUMBER(SEARCH("Proposal",$A340)),SUMIFS('Timesheet Raw'!$P$4:$P$8000,'Timesheet Raw'!$A$4:$A$8000,IF(ISNUMBER(SEARCH("Chargable",$A340)),"2-Proposals Chargeable","3-Proposals Regular"),'Timesheet Raw'!$C$4:$C$8000,"*"&amp;$B340&amp;"*",'Timesheet Raw'!$L$4:$L$8000,"&gt;="&amp;MAX(V$5,DATE(2000+VALUE(RIGHT(TRIM($A340),2)),1,1)),'Timesheet Raw'!$L$4:$L$8000,"&lt;="&amp;MIN(V$6,DATE(2000+VALUE(RIGHT(TRIM($A340),2)),12,31))),SUMIFS('Timesheet Raw'!$P$4:$P$8000,'Timesheet Raw'!$B$4:$B$8000,TRIM($A340),'Timesheet Raw'!$C$4:$C$8000,"*"&amp;$B340&amp;"*",'Timesheet Raw'!$L$4:$L$8000,"&gt;="&amp;V$5,'Timesheet Raw'!$L$4:$L$8000,"&lt;="&amp;V$6)))/'Profit Plan'!$B$5)</f>
        <v>0</v>
      </c>
      <c r="W340" s="122">
        <f>IF($A340="","",(IF(ISNUMBER(SEARCH("Proposal",$A340)),SUMIFS('Timesheet Raw'!$P$4:$P$8000,'Timesheet Raw'!$A$4:$A$8000,IF(ISNUMBER(SEARCH("Chargable",$A340)),"2-Proposals Chargeable","3-Proposals Regular"),'Timesheet Raw'!$C$4:$C$8000,"*"&amp;$B340&amp;"*",'Timesheet Raw'!$L$4:$L$8000,"&gt;="&amp;MAX(W$5,DATE(2000+VALUE(RIGHT(TRIM($A340),2)),1,1)),'Timesheet Raw'!$L$4:$L$8000,"&lt;="&amp;MIN(W$6,DATE(2000+VALUE(RIGHT(TRIM($A340),2)),12,31))),SUMIFS('Timesheet Raw'!$P$4:$P$8000,'Timesheet Raw'!$B$4:$B$8000,TRIM($A340),'Timesheet Raw'!$C$4:$C$8000,"*"&amp;$B340&amp;"*",'Timesheet Raw'!$L$4:$L$8000,"&gt;="&amp;W$5,'Timesheet Raw'!$L$4:$L$8000,"&lt;="&amp;W$6)))/'Profit Plan'!$B$5)</f>
        <v>0</v>
      </c>
      <c r="X340" s="122">
        <f>IF($A340="","",(IF(ISNUMBER(SEARCH("Proposal",$A340)),SUMIFS('Timesheet Raw'!$P$4:$P$8000,'Timesheet Raw'!$A$4:$A$8000,IF(ISNUMBER(SEARCH("Chargable",$A340)),"2-Proposals Chargeable","3-Proposals Regular"),'Timesheet Raw'!$C$4:$C$8000,"*"&amp;$B340&amp;"*",'Timesheet Raw'!$L$4:$L$8000,"&gt;="&amp;MAX(X$5,DATE(2000+VALUE(RIGHT(TRIM($A340),2)),1,1)),'Timesheet Raw'!$L$4:$L$8000,"&lt;="&amp;MIN(X$6,DATE(2000+VALUE(RIGHT(TRIM($A340),2)),12,31))),SUMIFS('Timesheet Raw'!$P$4:$P$8000,'Timesheet Raw'!$B$4:$B$8000,TRIM($A340),'Timesheet Raw'!$C$4:$C$8000,"*"&amp;$B340&amp;"*",'Timesheet Raw'!$L$4:$L$8000,"&gt;="&amp;X$5,'Timesheet Raw'!$L$4:$L$8000,"&lt;="&amp;X$6)))/'Profit Plan'!$B$5)</f>
        <v>0</v>
      </c>
      <c r="Y340" s="118">
        <f t="shared" si="101"/>
        <v>4.0540540540540543E-2</v>
      </c>
    </row>
    <row r="341" spans="1:25" x14ac:dyDescent="0.3">
      <c r="A341" s="116" t="str">
        <f>IF(Inputs!$A31="","",Inputs!$A31)</f>
        <v>S22058-0400D</v>
      </c>
      <c r="B341" s="116" t="str">
        <f>IF(Inputs!$A31="","",Inputs!$A$92)</f>
        <v>Osama</v>
      </c>
      <c r="C341" s="116"/>
      <c r="D341" s="122">
        <f>IF($A341="","",(IF(ISNUMBER(SEARCH("Proposal",$A341)),SUMIFS('Timesheet Raw'!$P$4:$P$8000,'Timesheet Raw'!$A$4:$A$8000,IF(ISNUMBER(SEARCH("Chargable",$A341)),"2-Proposals Chargeable","3-Proposals Regular"),'Timesheet Raw'!$C$4:$C$8000,"*"&amp;$B341&amp;"*",'Timesheet Raw'!$L$4:$L$8000,"&gt;="&amp;MAX(D$5,DATE(2000+VALUE(RIGHT(TRIM($A341),2)),1,1)),'Timesheet Raw'!$L$4:$L$8000,"&lt;="&amp;MIN(D$6,DATE(2000+VALUE(RIGHT(TRIM($A341),2)),12,31))),SUMIFS('Timesheet Raw'!$P$4:$P$8000,'Timesheet Raw'!$B$4:$B$8000,TRIM($A341),'Timesheet Raw'!$C$4:$C$8000,"*"&amp;$B341&amp;"*",'Timesheet Raw'!$L$4:$L$8000,"&gt;="&amp;D$5,'Timesheet Raw'!$L$4:$L$8000,"&lt;="&amp;D$6)))/'Profit Plan'!$B$5)</f>
        <v>0</v>
      </c>
      <c r="E341" s="122">
        <f>IF($A341="","",(IF(ISNUMBER(SEARCH("Proposal",$A341)),SUMIFS('Timesheet Raw'!$P$4:$P$8000,'Timesheet Raw'!$A$4:$A$8000,IF(ISNUMBER(SEARCH("Chargable",$A341)),"2-Proposals Chargeable","3-Proposals Regular"),'Timesheet Raw'!$C$4:$C$8000,"*"&amp;$B341&amp;"*",'Timesheet Raw'!$L$4:$L$8000,"&gt;="&amp;MAX(E$5,DATE(2000+VALUE(RIGHT(TRIM($A341),2)),1,1)),'Timesheet Raw'!$L$4:$L$8000,"&lt;="&amp;MIN(E$6,DATE(2000+VALUE(RIGHT(TRIM($A341),2)),12,31))),SUMIFS('Timesheet Raw'!$P$4:$P$8000,'Timesheet Raw'!$B$4:$B$8000,TRIM($A341),'Timesheet Raw'!$C$4:$C$8000,"*"&amp;$B341&amp;"*",'Timesheet Raw'!$L$4:$L$8000,"&gt;="&amp;E$5,'Timesheet Raw'!$L$4:$L$8000,"&lt;="&amp;E$6)))/'Profit Plan'!$B$5)</f>
        <v>0</v>
      </c>
      <c r="F341" s="122">
        <f>IF($A341="","",(IF(ISNUMBER(SEARCH("Proposal",$A341)),SUMIFS('Timesheet Raw'!$P$4:$P$8000,'Timesheet Raw'!$A$4:$A$8000,IF(ISNUMBER(SEARCH("Chargable",$A341)),"2-Proposals Chargeable","3-Proposals Regular"),'Timesheet Raw'!$C$4:$C$8000,"*"&amp;$B341&amp;"*",'Timesheet Raw'!$L$4:$L$8000,"&gt;="&amp;MAX(F$5,DATE(2000+VALUE(RIGHT(TRIM($A341),2)),1,1)),'Timesheet Raw'!$L$4:$L$8000,"&lt;="&amp;MIN(F$6,DATE(2000+VALUE(RIGHT(TRIM($A341),2)),12,31))),SUMIFS('Timesheet Raw'!$P$4:$P$8000,'Timesheet Raw'!$B$4:$B$8000,TRIM($A341),'Timesheet Raw'!$C$4:$C$8000,"*"&amp;$B341&amp;"*",'Timesheet Raw'!$L$4:$L$8000,"&gt;="&amp;F$5,'Timesheet Raw'!$L$4:$L$8000,"&lt;="&amp;F$6)))/'Profit Plan'!$B$5)</f>
        <v>0</v>
      </c>
      <c r="G341" s="122">
        <f>IF($A341="","",(IF(ISNUMBER(SEARCH("Proposal",$A341)),SUMIFS('Timesheet Raw'!$P$4:$P$8000,'Timesheet Raw'!$A$4:$A$8000,IF(ISNUMBER(SEARCH("Chargable",$A341)),"2-Proposals Chargeable","3-Proposals Regular"),'Timesheet Raw'!$C$4:$C$8000,"*"&amp;$B341&amp;"*",'Timesheet Raw'!$L$4:$L$8000,"&gt;="&amp;MAX(G$5,DATE(2000+VALUE(RIGHT(TRIM($A341),2)),1,1)),'Timesheet Raw'!$L$4:$L$8000,"&lt;="&amp;MIN(G$6,DATE(2000+VALUE(RIGHT(TRIM($A341),2)),12,31))),SUMIFS('Timesheet Raw'!$P$4:$P$8000,'Timesheet Raw'!$B$4:$B$8000,TRIM($A341),'Timesheet Raw'!$C$4:$C$8000,"*"&amp;$B341&amp;"*",'Timesheet Raw'!$L$4:$L$8000,"&gt;="&amp;G$5,'Timesheet Raw'!$L$4:$L$8000,"&lt;="&amp;G$6)))/'Profit Plan'!$B$5)</f>
        <v>0</v>
      </c>
      <c r="H341" s="122">
        <f>IF($A341="","",(IF(ISNUMBER(SEARCH("Proposal",$A341)),SUMIFS('Timesheet Raw'!$P$4:$P$8000,'Timesheet Raw'!$A$4:$A$8000,IF(ISNUMBER(SEARCH("Chargable",$A341)),"2-Proposals Chargeable","3-Proposals Regular"),'Timesheet Raw'!$C$4:$C$8000,"*"&amp;$B341&amp;"*",'Timesheet Raw'!$L$4:$L$8000,"&gt;="&amp;MAX(H$5,DATE(2000+VALUE(RIGHT(TRIM($A341),2)),1,1)),'Timesheet Raw'!$L$4:$L$8000,"&lt;="&amp;MIN(H$6,DATE(2000+VALUE(RIGHT(TRIM($A341),2)),12,31))),SUMIFS('Timesheet Raw'!$P$4:$P$8000,'Timesheet Raw'!$B$4:$B$8000,TRIM($A341),'Timesheet Raw'!$C$4:$C$8000,"*"&amp;$B341&amp;"*",'Timesheet Raw'!$L$4:$L$8000,"&gt;="&amp;H$5,'Timesheet Raw'!$L$4:$L$8000,"&lt;="&amp;H$6)))/'Profit Plan'!$B$5)</f>
        <v>0</v>
      </c>
      <c r="I341" s="122">
        <f>IF($A341="","",(IF(ISNUMBER(SEARCH("Proposal",$A341)),SUMIFS('Timesheet Raw'!$P$4:$P$8000,'Timesheet Raw'!$A$4:$A$8000,IF(ISNUMBER(SEARCH("Chargable",$A341)),"2-Proposals Chargeable","3-Proposals Regular"),'Timesheet Raw'!$C$4:$C$8000,"*"&amp;$B341&amp;"*",'Timesheet Raw'!$L$4:$L$8000,"&gt;="&amp;MAX(I$5,DATE(2000+VALUE(RIGHT(TRIM($A341),2)),1,1)),'Timesheet Raw'!$L$4:$L$8000,"&lt;="&amp;MIN(I$6,DATE(2000+VALUE(RIGHT(TRIM($A341),2)),12,31))),SUMIFS('Timesheet Raw'!$P$4:$P$8000,'Timesheet Raw'!$B$4:$B$8000,TRIM($A341),'Timesheet Raw'!$C$4:$C$8000,"*"&amp;$B341&amp;"*",'Timesheet Raw'!$L$4:$L$8000,"&gt;="&amp;I$5,'Timesheet Raw'!$L$4:$L$8000,"&lt;="&amp;I$6)))/'Profit Plan'!$B$5)</f>
        <v>0</v>
      </c>
      <c r="J341" s="122">
        <f>IF($A341="","",(IF(ISNUMBER(SEARCH("Proposal",$A341)),SUMIFS('Timesheet Raw'!$P$4:$P$8000,'Timesheet Raw'!$A$4:$A$8000,IF(ISNUMBER(SEARCH("Chargable",$A341)),"2-Proposals Chargeable","3-Proposals Regular"),'Timesheet Raw'!$C$4:$C$8000,"*"&amp;$B341&amp;"*",'Timesheet Raw'!$L$4:$L$8000,"&gt;="&amp;MAX(J$5,DATE(2000+VALUE(RIGHT(TRIM($A341),2)),1,1)),'Timesheet Raw'!$L$4:$L$8000,"&lt;="&amp;MIN(J$6,DATE(2000+VALUE(RIGHT(TRIM($A341),2)),12,31))),SUMIFS('Timesheet Raw'!$P$4:$P$8000,'Timesheet Raw'!$B$4:$B$8000,TRIM($A341),'Timesheet Raw'!$C$4:$C$8000,"*"&amp;$B341&amp;"*",'Timesheet Raw'!$L$4:$L$8000,"&gt;="&amp;J$5,'Timesheet Raw'!$L$4:$L$8000,"&lt;="&amp;J$6)))/'Profit Plan'!$B$5)</f>
        <v>0</v>
      </c>
      <c r="K341" s="122">
        <f>IF($A341="","",(IF(ISNUMBER(SEARCH("Proposal",$A341)),SUMIFS('Timesheet Raw'!$P$4:$P$8000,'Timesheet Raw'!$A$4:$A$8000,IF(ISNUMBER(SEARCH("Chargable",$A341)),"2-Proposals Chargeable","3-Proposals Regular"),'Timesheet Raw'!$C$4:$C$8000,"*"&amp;$B341&amp;"*",'Timesheet Raw'!$L$4:$L$8000,"&gt;="&amp;MAX(K$5,DATE(2000+VALUE(RIGHT(TRIM($A341),2)),1,1)),'Timesheet Raw'!$L$4:$L$8000,"&lt;="&amp;MIN(K$6,DATE(2000+VALUE(RIGHT(TRIM($A341),2)),12,31))),SUMIFS('Timesheet Raw'!$P$4:$P$8000,'Timesheet Raw'!$B$4:$B$8000,TRIM($A341),'Timesheet Raw'!$C$4:$C$8000,"*"&amp;$B341&amp;"*",'Timesheet Raw'!$L$4:$L$8000,"&gt;="&amp;K$5,'Timesheet Raw'!$L$4:$L$8000,"&lt;="&amp;K$6)))/'Profit Plan'!$B$5)</f>
        <v>0</v>
      </c>
      <c r="L341" s="122">
        <f>IF($A341="","",(IF(ISNUMBER(SEARCH("Proposal",$A341)),SUMIFS('Timesheet Raw'!$P$4:$P$8000,'Timesheet Raw'!$A$4:$A$8000,IF(ISNUMBER(SEARCH("Chargable",$A341)),"2-Proposals Chargeable","3-Proposals Regular"),'Timesheet Raw'!$C$4:$C$8000,"*"&amp;$B341&amp;"*",'Timesheet Raw'!$L$4:$L$8000,"&gt;="&amp;MAX(L$5,DATE(2000+VALUE(RIGHT(TRIM($A341),2)),1,1)),'Timesheet Raw'!$L$4:$L$8000,"&lt;="&amp;MIN(L$6,DATE(2000+VALUE(RIGHT(TRIM($A341),2)),12,31))),SUMIFS('Timesheet Raw'!$P$4:$P$8000,'Timesheet Raw'!$B$4:$B$8000,TRIM($A341),'Timesheet Raw'!$C$4:$C$8000,"*"&amp;$B341&amp;"*",'Timesheet Raw'!$L$4:$L$8000,"&gt;="&amp;L$5,'Timesheet Raw'!$L$4:$L$8000,"&lt;="&amp;L$6)))/'Profit Plan'!$B$5)</f>
        <v>0</v>
      </c>
      <c r="M341" s="122">
        <f>IF($A341="","",(IF(ISNUMBER(SEARCH("Proposal",$A341)),SUMIFS('Timesheet Raw'!$P$4:$P$8000,'Timesheet Raw'!$A$4:$A$8000,IF(ISNUMBER(SEARCH("Chargable",$A341)),"2-Proposals Chargeable","3-Proposals Regular"),'Timesheet Raw'!$C$4:$C$8000,"*"&amp;$B341&amp;"*",'Timesheet Raw'!$L$4:$L$8000,"&gt;="&amp;MAX(M$5,DATE(2000+VALUE(RIGHT(TRIM($A341),2)),1,1)),'Timesheet Raw'!$L$4:$L$8000,"&lt;="&amp;MIN(M$6,DATE(2000+VALUE(RIGHT(TRIM($A341),2)),12,31))),SUMIFS('Timesheet Raw'!$P$4:$P$8000,'Timesheet Raw'!$B$4:$B$8000,TRIM($A341),'Timesheet Raw'!$C$4:$C$8000,"*"&amp;$B341&amp;"*",'Timesheet Raw'!$L$4:$L$8000,"&gt;="&amp;M$5,'Timesheet Raw'!$L$4:$L$8000,"&lt;="&amp;M$6)))/'Profit Plan'!$B$5)</f>
        <v>0</v>
      </c>
      <c r="N341" s="122">
        <f>IF($A341="","",(IF(ISNUMBER(SEARCH("Proposal",$A341)),SUMIFS('Timesheet Raw'!$P$4:$P$8000,'Timesheet Raw'!$A$4:$A$8000,IF(ISNUMBER(SEARCH("Chargable",$A341)),"2-Proposals Chargeable","3-Proposals Regular"),'Timesheet Raw'!$C$4:$C$8000,"*"&amp;$B341&amp;"*",'Timesheet Raw'!$L$4:$L$8000,"&gt;="&amp;MAX(N$5,DATE(2000+VALUE(RIGHT(TRIM($A341),2)),1,1)),'Timesheet Raw'!$L$4:$L$8000,"&lt;="&amp;MIN(N$6,DATE(2000+VALUE(RIGHT(TRIM($A341),2)),12,31))),SUMIFS('Timesheet Raw'!$P$4:$P$8000,'Timesheet Raw'!$B$4:$B$8000,TRIM($A341),'Timesheet Raw'!$C$4:$C$8000,"*"&amp;$B341&amp;"*",'Timesheet Raw'!$L$4:$L$8000,"&gt;="&amp;N$5,'Timesheet Raw'!$L$4:$L$8000,"&lt;="&amp;N$6)))/'Profit Plan'!$B$5)</f>
        <v>0</v>
      </c>
      <c r="O341" s="122">
        <f>IF($A341="","",(IF(ISNUMBER(SEARCH("Proposal",$A341)),SUMIFS('Timesheet Raw'!$P$4:$P$8000,'Timesheet Raw'!$A$4:$A$8000,IF(ISNUMBER(SEARCH("Chargable",$A341)),"2-Proposals Chargeable","3-Proposals Regular"),'Timesheet Raw'!$C$4:$C$8000,"*"&amp;$B341&amp;"*",'Timesheet Raw'!$L$4:$L$8000,"&gt;="&amp;MAX(O$5,DATE(2000+VALUE(RIGHT(TRIM($A341),2)),1,1)),'Timesheet Raw'!$L$4:$L$8000,"&lt;="&amp;MIN(O$6,DATE(2000+VALUE(RIGHT(TRIM($A341),2)),12,31))),SUMIFS('Timesheet Raw'!$P$4:$P$8000,'Timesheet Raw'!$B$4:$B$8000,TRIM($A341),'Timesheet Raw'!$C$4:$C$8000,"*"&amp;$B341&amp;"*",'Timesheet Raw'!$L$4:$L$8000,"&gt;="&amp;O$5,'Timesheet Raw'!$L$4:$L$8000,"&lt;="&amp;O$6)))/'Profit Plan'!$B$5)</f>
        <v>0</v>
      </c>
      <c r="P341" s="122">
        <f>IF($A341="","",(IF(ISNUMBER(SEARCH("Proposal",$A341)),SUMIFS('Timesheet Raw'!$P$4:$P$8000,'Timesheet Raw'!$A$4:$A$8000,IF(ISNUMBER(SEARCH("Chargable",$A341)),"2-Proposals Chargeable","3-Proposals Regular"),'Timesheet Raw'!$C$4:$C$8000,"*"&amp;$B341&amp;"*",'Timesheet Raw'!$L$4:$L$8000,"&gt;="&amp;MAX(P$5,DATE(2000+VALUE(RIGHT(TRIM($A341),2)),1,1)),'Timesheet Raw'!$L$4:$L$8000,"&lt;="&amp;MIN(P$6,DATE(2000+VALUE(RIGHT(TRIM($A341),2)),12,31))),SUMIFS('Timesheet Raw'!$P$4:$P$8000,'Timesheet Raw'!$B$4:$B$8000,TRIM($A341),'Timesheet Raw'!$C$4:$C$8000,"*"&amp;$B341&amp;"*",'Timesheet Raw'!$L$4:$L$8000,"&gt;="&amp;P$5,'Timesheet Raw'!$L$4:$L$8000,"&lt;="&amp;P$6)))/'Profit Plan'!$B$5)</f>
        <v>0</v>
      </c>
      <c r="Q341" s="122">
        <f>IF($A341="","",(IF(ISNUMBER(SEARCH("Proposal",$A341)),SUMIFS('Timesheet Raw'!$P$4:$P$8000,'Timesheet Raw'!$A$4:$A$8000,IF(ISNUMBER(SEARCH("Chargable",$A341)),"2-Proposals Chargeable","3-Proposals Regular"),'Timesheet Raw'!$C$4:$C$8000,"*"&amp;$B341&amp;"*",'Timesheet Raw'!$L$4:$L$8000,"&gt;="&amp;MAX(Q$5,DATE(2000+VALUE(RIGHT(TRIM($A341),2)),1,1)),'Timesheet Raw'!$L$4:$L$8000,"&lt;="&amp;MIN(Q$6,DATE(2000+VALUE(RIGHT(TRIM($A341),2)),12,31))),SUMIFS('Timesheet Raw'!$P$4:$P$8000,'Timesheet Raw'!$B$4:$B$8000,TRIM($A341),'Timesheet Raw'!$C$4:$C$8000,"*"&amp;$B341&amp;"*",'Timesheet Raw'!$L$4:$L$8000,"&gt;="&amp;Q$5,'Timesheet Raw'!$L$4:$L$8000,"&lt;="&amp;Q$6)))/'Profit Plan'!$B$5)</f>
        <v>0</v>
      </c>
      <c r="R341" s="122">
        <f>IF($A341="","",(IF(ISNUMBER(SEARCH("Proposal",$A341)),SUMIFS('Timesheet Raw'!$P$4:$P$8000,'Timesheet Raw'!$A$4:$A$8000,IF(ISNUMBER(SEARCH("Chargable",$A341)),"2-Proposals Chargeable","3-Proposals Regular"),'Timesheet Raw'!$C$4:$C$8000,"*"&amp;$B341&amp;"*",'Timesheet Raw'!$L$4:$L$8000,"&gt;="&amp;MAX(R$5,DATE(2000+VALUE(RIGHT(TRIM($A341),2)),1,1)),'Timesheet Raw'!$L$4:$L$8000,"&lt;="&amp;MIN(R$6,DATE(2000+VALUE(RIGHT(TRIM($A341),2)),12,31))),SUMIFS('Timesheet Raw'!$P$4:$P$8000,'Timesheet Raw'!$B$4:$B$8000,TRIM($A341),'Timesheet Raw'!$C$4:$C$8000,"*"&amp;$B341&amp;"*",'Timesheet Raw'!$L$4:$L$8000,"&gt;="&amp;R$5,'Timesheet Raw'!$L$4:$L$8000,"&lt;="&amp;R$6)))/'Profit Plan'!$B$5)</f>
        <v>0</v>
      </c>
      <c r="S341" s="122">
        <f>IF($A341="","",(IF(ISNUMBER(SEARCH("Proposal",$A341)),SUMIFS('Timesheet Raw'!$P$4:$P$8000,'Timesheet Raw'!$A$4:$A$8000,IF(ISNUMBER(SEARCH("Chargable",$A341)),"2-Proposals Chargeable","3-Proposals Regular"),'Timesheet Raw'!$C$4:$C$8000,"*"&amp;$B341&amp;"*",'Timesheet Raw'!$L$4:$L$8000,"&gt;="&amp;MAX(S$5,DATE(2000+VALUE(RIGHT(TRIM($A341),2)),1,1)),'Timesheet Raw'!$L$4:$L$8000,"&lt;="&amp;MIN(S$6,DATE(2000+VALUE(RIGHT(TRIM($A341),2)),12,31))),SUMIFS('Timesheet Raw'!$P$4:$P$8000,'Timesheet Raw'!$B$4:$B$8000,TRIM($A341),'Timesheet Raw'!$C$4:$C$8000,"*"&amp;$B341&amp;"*",'Timesheet Raw'!$L$4:$L$8000,"&gt;="&amp;S$5,'Timesheet Raw'!$L$4:$L$8000,"&lt;="&amp;S$6)))/'Profit Plan'!$B$5)</f>
        <v>0</v>
      </c>
      <c r="T341" s="122">
        <f>IF($A341="","",(IF(ISNUMBER(SEARCH("Proposal",$A341)),SUMIFS('Timesheet Raw'!$P$4:$P$8000,'Timesheet Raw'!$A$4:$A$8000,IF(ISNUMBER(SEARCH("Chargable",$A341)),"2-Proposals Chargeable","3-Proposals Regular"),'Timesheet Raw'!$C$4:$C$8000,"*"&amp;$B341&amp;"*",'Timesheet Raw'!$L$4:$L$8000,"&gt;="&amp;MAX(T$5,DATE(2000+VALUE(RIGHT(TRIM($A341),2)),1,1)),'Timesheet Raw'!$L$4:$L$8000,"&lt;="&amp;MIN(T$6,DATE(2000+VALUE(RIGHT(TRIM($A341),2)),12,31))),SUMIFS('Timesheet Raw'!$P$4:$P$8000,'Timesheet Raw'!$B$4:$B$8000,TRIM($A341),'Timesheet Raw'!$C$4:$C$8000,"*"&amp;$B341&amp;"*",'Timesheet Raw'!$L$4:$L$8000,"&gt;="&amp;T$5,'Timesheet Raw'!$L$4:$L$8000,"&lt;="&amp;T$6)))/'Profit Plan'!$B$5)</f>
        <v>0</v>
      </c>
      <c r="U341" s="122">
        <f>IF($A341="","",(IF(ISNUMBER(SEARCH("Proposal",$A341)),SUMIFS('Timesheet Raw'!$P$4:$P$8000,'Timesheet Raw'!$A$4:$A$8000,IF(ISNUMBER(SEARCH("Chargable",$A341)),"2-Proposals Chargeable","3-Proposals Regular"),'Timesheet Raw'!$C$4:$C$8000,"*"&amp;$B341&amp;"*",'Timesheet Raw'!$L$4:$L$8000,"&gt;="&amp;MAX(U$5,DATE(2000+VALUE(RIGHT(TRIM($A341),2)),1,1)),'Timesheet Raw'!$L$4:$L$8000,"&lt;="&amp;MIN(U$6,DATE(2000+VALUE(RIGHT(TRIM($A341),2)),12,31))),SUMIFS('Timesheet Raw'!$P$4:$P$8000,'Timesheet Raw'!$B$4:$B$8000,TRIM($A341),'Timesheet Raw'!$C$4:$C$8000,"*"&amp;$B341&amp;"*",'Timesheet Raw'!$L$4:$L$8000,"&gt;="&amp;U$5,'Timesheet Raw'!$L$4:$L$8000,"&lt;="&amp;U$6)))/'Profit Plan'!$B$5)</f>
        <v>0</v>
      </c>
      <c r="V341" s="122">
        <f>IF($A341="","",(IF(ISNUMBER(SEARCH("Proposal",$A341)),SUMIFS('Timesheet Raw'!$P$4:$P$8000,'Timesheet Raw'!$A$4:$A$8000,IF(ISNUMBER(SEARCH("Chargable",$A341)),"2-Proposals Chargeable","3-Proposals Regular"),'Timesheet Raw'!$C$4:$C$8000,"*"&amp;$B341&amp;"*",'Timesheet Raw'!$L$4:$L$8000,"&gt;="&amp;MAX(V$5,DATE(2000+VALUE(RIGHT(TRIM($A341),2)),1,1)),'Timesheet Raw'!$L$4:$L$8000,"&lt;="&amp;MIN(V$6,DATE(2000+VALUE(RIGHT(TRIM($A341),2)),12,31))),SUMIFS('Timesheet Raw'!$P$4:$P$8000,'Timesheet Raw'!$B$4:$B$8000,TRIM($A341),'Timesheet Raw'!$C$4:$C$8000,"*"&amp;$B341&amp;"*",'Timesheet Raw'!$L$4:$L$8000,"&gt;="&amp;V$5,'Timesheet Raw'!$L$4:$L$8000,"&lt;="&amp;V$6)))/'Profit Plan'!$B$5)</f>
        <v>0</v>
      </c>
      <c r="W341" s="122">
        <f>IF($A341="","",(IF(ISNUMBER(SEARCH("Proposal",$A341)),SUMIFS('Timesheet Raw'!$P$4:$P$8000,'Timesheet Raw'!$A$4:$A$8000,IF(ISNUMBER(SEARCH("Chargable",$A341)),"2-Proposals Chargeable","3-Proposals Regular"),'Timesheet Raw'!$C$4:$C$8000,"*"&amp;$B341&amp;"*",'Timesheet Raw'!$L$4:$L$8000,"&gt;="&amp;MAX(W$5,DATE(2000+VALUE(RIGHT(TRIM($A341),2)),1,1)),'Timesheet Raw'!$L$4:$L$8000,"&lt;="&amp;MIN(W$6,DATE(2000+VALUE(RIGHT(TRIM($A341),2)),12,31))),SUMIFS('Timesheet Raw'!$P$4:$P$8000,'Timesheet Raw'!$B$4:$B$8000,TRIM($A341),'Timesheet Raw'!$C$4:$C$8000,"*"&amp;$B341&amp;"*",'Timesheet Raw'!$L$4:$L$8000,"&gt;="&amp;W$5,'Timesheet Raw'!$L$4:$L$8000,"&lt;="&amp;W$6)))/'Profit Plan'!$B$5)</f>
        <v>0</v>
      </c>
      <c r="X341" s="122">
        <f>IF($A341="","",(IF(ISNUMBER(SEARCH("Proposal",$A341)),SUMIFS('Timesheet Raw'!$P$4:$P$8000,'Timesheet Raw'!$A$4:$A$8000,IF(ISNUMBER(SEARCH("Chargable",$A341)),"2-Proposals Chargeable","3-Proposals Regular"),'Timesheet Raw'!$C$4:$C$8000,"*"&amp;$B341&amp;"*",'Timesheet Raw'!$L$4:$L$8000,"&gt;="&amp;MAX(X$5,DATE(2000+VALUE(RIGHT(TRIM($A341),2)),1,1)),'Timesheet Raw'!$L$4:$L$8000,"&lt;="&amp;MIN(X$6,DATE(2000+VALUE(RIGHT(TRIM($A341),2)),12,31))),SUMIFS('Timesheet Raw'!$P$4:$P$8000,'Timesheet Raw'!$B$4:$B$8000,TRIM($A341),'Timesheet Raw'!$C$4:$C$8000,"*"&amp;$B341&amp;"*",'Timesheet Raw'!$L$4:$L$8000,"&gt;="&amp;X$5,'Timesheet Raw'!$L$4:$L$8000,"&lt;="&amp;X$6)))/'Profit Plan'!$B$5)</f>
        <v>0</v>
      </c>
      <c r="Y341" s="118">
        <f t="shared" si="101"/>
        <v>0</v>
      </c>
    </row>
    <row r="342" spans="1:25" x14ac:dyDescent="0.3">
      <c r="A342" s="116" t="str">
        <f>IF(Inputs!$A31="","",Inputs!$A31)</f>
        <v>S22058-0400D</v>
      </c>
      <c r="B342" s="116" t="str">
        <f>IF(Inputs!$A31="","",Inputs!$A$93)</f>
        <v>Kirolos</v>
      </c>
      <c r="C342" s="116"/>
      <c r="D342" s="122">
        <f>IF($A342="","",(IF(ISNUMBER(SEARCH("Proposal",$A342)),SUMIFS('Timesheet Raw'!$P$4:$P$8000,'Timesheet Raw'!$A$4:$A$8000,IF(ISNUMBER(SEARCH("Chargable",$A342)),"2-Proposals Chargeable","3-Proposals Regular"),'Timesheet Raw'!$C$4:$C$8000,"*"&amp;$B342&amp;"*",'Timesheet Raw'!$L$4:$L$8000,"&gt;="&amp;MAX(D$5,DATE(2000+VALUE(RIGHT(TRIM($A342),2)),1,1)),'Timesheet Raw'!$L$4:$L$8000,"&lt;="&amp;MIN(D$6,DATE(2000+VALUE(RIGHT(TRIM($A342),2)),12,31))),SUMIFS('Timesheet Raw'!$P$4:$P$8000,'Timesheet Raw'!$B$4:$B$8000,TRIM($A342),'Timesheet Raw'!$C$4:$C$8000,"*"&amp;$B342&amp;"*",'Timesheet Raw'!$L$4:$L$8000,"&gt;="&amp;D$5,'Timesheet Raw'!$L$4:$L$8000,"&lt;="&amp;D$6)))/'Profit Plan'!$B$5)</f>
        <v>0</v>
      </c>
      <c r="E342" s="122">
        <f>IF($A342="","",(IF(ISNUMBER(SEARCH("Proposal",$A342)),SUMIFS('Timesheet Raw'!$P$4:$P$8000,'Timesheet Raw'!$A$4:$A$8000,IF(ISNUMBER(SEARCH("Chargable",$A342)),"2-Proposals Chargeable","3-Proposals Regular"),'Timesheet Raw'!$C$4:$C$8000,"*"&amp;$B342&amp;"*",'Timesheet Raw'!$L$4:$L$8000,"&gt;="&amp;MAX(E$5,DATE(2000+VALUE(RIGHT(TRIM($A342),2)),1,1)),'Timesheet Raw'!$L$4:$L$8000,"&lt;="&amp;MIN(E$6,DATE(2000+VALUE(RIGHT(TRIM($A342),2)),12,31))),SUMIFS('Timesheet Raw'!$P$4:$P$8000,'Timesheet Raw'!$B$4:$B$8000,TRIM($A342),'Timesheet Raw'!$C$4:$C$8000,"*"&amp;$B342&amp;"*",'Timesheet Raw'!$L$4:$L$8000,"&gt;="&amp;E$5,'Timesheet Raw'!$L$4:$L$8000,"&lt;="&amp;E$6)))/'Profit Plan'!$B$5)</f>
        <v>0</v>
      </c>
      <c r="F342" s="122">
        <f>IF($A342="","",(IF(ISNUMBER(SEARCH("Proposal",$A342)),SUMIFS('Timesheet Raw'!$P$4:$P$8000,'Timesheet Raw'!$A$4:$A$8000,IF(ISNUMBER(SEARCH("Chargable",$A342)),"2-Proposals Chargeable","3-Proposals Regular"),'Timesheet Raw'!$C$4:$C$8000,"*"&amp;$B342&amp;"*",'Timesheet Raw'!$L$4:$L$8000,"&gt;="&amp;MAX(F$5,DATE(2000+VALUE(RIGHT(TRIM($A342),2)),1,1)),'Timesheet Raw'!$L$4:$L$8000,"&lt;="&amp;MIN(F$6,DATE(2000+VALUE(RIGHT(TRIM($A342),2)),12,31))),SUMIFS('Timesheet Raw'!$P$4:$P$8000,'Timesheet Raw'!$B$4:$B$8000,TRIM($A342),'Timesheet Raw'!$C$4:$C$8000,"*"&amp;$B342&amp;"*",'Timesheet Raw'!$L$4:$L$8000,"&gt;="&amp;F$5,'Timesheet Raw'!$L$4:$L$8000,"&lt;="&amp;F$6)))/'Profit Plan'!$B$5)</f>
        <v>0</v>
      </c>
      <c r="G342" s="122">
        <f>IF($A342="","",(IF(ISNUMBER(SEARCH("Proposal",$A342)),SUMIFS('Timesheet Raw'!$P$4:$P$8000,'Timesheet Raw'!$A$4:$A$8000,IF(ISNUMBER(SEARCH("Chargable",$A342)),"2-Proposals Chargeable","3-Proposals Regular"),'Timesheet Raw'!$C$4:$C$8000,"*"&amp;$B342&amp;"*",'Timesheet Raw'!$L$4:$L$8000,"&gt;="&amp;MAX(G$5,DATE(2000+VALUE(RIGHT(TRIM($A342),2)),1,1)),'Timesheet Raw'!$L$4:$L$8000,"&lt;="&amp;MIN(G$6,DATE(2000+VALUE(RIGHT(TRIM($A342),2)),12,31))),SUMIFS('Timesheet Raw'!$P$4:$P$8000,'Timesheet Raw'!$B$4:$B$8000,TRIM($A342),'Timesheet Raw'!$C$4:$C$8000,"*"&amp;$B342&amp;"*",'Timesheet Raw'!$L$4:$L$8000,"&gt;="&amp;G$5,'Timesheet Raw'!$L$4:$L$8000,"&lt;="&amp;G$6)))/'Profit Plan'!$B$5)</f>
        <v>0</v>
      </c>
      <c r="H342" s="122">
        <f>IF($A342="","",(IF(ISNUMBER(SEARCH("Proposal",$A342)),SUMIFS('Timesheet Raw'!$P$4:$P$8000,'Timesheet Raw'!$A$4:$A$8000,IF(ISNUMBER(SEARCH("Chargable",$A342)),"2-Proposals Chargeable","3-Proposals Regular"),'Timesheet Raw'!$C$4:$C$8000,"*"&amp;$B342&amp;"*",'Timesheet Raw'!$L$4:$L$8000,"&gt;="&amp;MAX(H$5,DATE(2000+VALUE(RIGHT(TRIM($A342),2)),1,1)),'Timesheet Raw'!$L$4:$L$8000,"&lt;="&amp;MIN(H$6,DATE(2000+VALUE(RIGHT(TRIM($A342),2)),12,31))),SUMIFS('Timesheet Raw'!$P$4:$P$8000,'Timesheet Raw'!$B$4:$B$8000,TRIM($A342),'Timesheet Raw'!$C$4:$C$8000,"*"&amp;$B342&amp;"*",'Timesheet Raw'!$L$4:$L$8000,"&gt;="&amp;H$5,'Timesheet Raw'!$L$4:$L$8000,"&lt;="&amp;H$6)))/'Profit Plan'!$B$5)</f>
        <v>0</v>
      </c>
      <c r="I342" s="122">
        <f>IF($A342="","",(IF(ISNUMBER(SEARCH("Proposal",$A342)),SUMIFS('Timesheet Raw'!$P$4:$P$8000,'Timesheet Raw'!$A$4:$A$8000,IF(ISNUMBER(SEARCH("Chargable",$A342)),"2-Proposals Chargeable","3-Proposals Regular"),'Timesheet Raw'!$C$4:$C$8000,"*"&amp;$B342&amp;"*",'Timesheet Raw'!$L$4:$L$8000,"&gt;="&amp;MAX(I$5,DATE(2000+VALUE(RIGHT(TRIM($A342),2)),1,1)),'Timesheet Raw'!$L$4:$L$8000,"&lt;="&amp;MIN(I$6,DATE(2000+VALUE(RIGHT(TRIM($A342),2)),12,31))),SUMIFS('Timesheet Raw'!$P$4:$P$8000,'Timesheet Raw'!$B$4:$B$8000,TRIM($A342),'Timesheet Raw'!$C$4:$C$8000,"*"&amp;$B342&amp;"*",'Timesheet Raw'!$L$4:$L$8000,"&gt;="&amp;I$5,'Timesheet Raw'!$L$4:$L$8000,"&lt;="&amp;I$6)))/'Profit Plan'!$B$5)</f>
        <v>0</v>
      </c>
      <c r="J342" s="122">
        <f>IF($A342="","",(IF(ISNUMBER(SEARCH("Proposal",$A342)),SUMIFS('Timesheet Raw'!$P$4:$P$8000,'Timesheet Raw'!$A$4:$A$8000,IF(ISNUMBER(SEARCH("Chargable",$A342)),"2-Proposals Chargeable","3-Proposals Regular"),'Timesheet Raw'!$C$4:$C$8000,"*"&amp;$B342&amp;"*",'Timesheet Raw'!$L$4:$L$8000,"&gt;="&amp;MAX(J$5,DATE(2000+VALUE(RIGHT(TRIM($A342),2)),1,1)),'Timesheet Raw'!$L$4:$L$8000,"&lt;="&amp;MIN(J$6,DATE(2000+VALUE(RIGHT(TRIM($A342),2)),12,31))),SUMIFS('Timesheet Raw'!$P$4:$P$8000,'Timesheet Raw'!$B$4:$B$8000,TRIM($A342),'Timesheet Raw'!$C$4:$C$8000,"*"&amp;$B342&amp;"*",'Timesheet Raw'!$L$4:$L$8000,"&gt;="&amp;J$5,'Timesheet Raw'!$L$4:$L$8000,"&lt;="&amp;J$6)))/'Profit Plan'!$B$5)</f>
        <v>0</v>
      </c>
      <c r="K342" s="122">
        <f>IF($A342="","",(IF(ISNUMBER(SEARCH("Proposal",$A342)),SUMIFS('Timesheet Raw'!$P$4:$P$8000,'Timesheet Raw'!$A$4:$A$8000,IF(ISNUMBER(SEARCH("Chargable",$A342)),"2-Proposals Chargeable","3-Proposals Regular"),'Timesheet Raw'!$C$4:$C$8000,"*"&amp;$B342&amp;"*",'Timesheet Raw'!$L$4:$L$8000,"&gt;="&amp;MAX(K$5,DATE(2000+VALUE(RIGHT(TRIM($A342),2)),1,1)),'Timesheet Raw'!$L$4:$L$8000,"&lt;="&amp;MIN(K$6,DATE(2000+VALUE(RIGHT(TRIM($A342),2)),12,31))),SUMIFS('Timesheet Raw'!$P$4:$P$8000,'Timesheet Raw'!$B$4:$B$8000,TRIM($A342),'Timesheet Raw'!$C$4:$C$8000,"*"&amp;$B342&amp;"*",'Timesheet Raw'!$L$4:$L$8000,"&gt;="&amp;K$5,'Timesheet Raw'!$L$4:$L$8000,"&lt;="&amp;K$6)))/'Profit Plan'!$B$5)</f>
        <v>0</v>
      </c>
      <c r="L342" s="122">
        <f>IF($A342="","",(IF(ISNUMBER(SEARCH("Proposal",$A342)),SUMIFS('Timesheet Raw'!$P$4:$P$8000,'Timesheet Raw'!$A$4:$A$8000,IF(ISNUMBER(SEARCH("Chargable",$A342)),"2-Proposals Chargeable","3-Proposals Regular"),'Timesheet Raw'!$C$4:$C$8000,"*"&amp;$B342&amp;"*",'Timesheet Raw'!$L$4:$L$8000,"&gt;="&amp;MAX(L$5,DATE(2000+VALUE(RIGHT(TRIM($A342),2)),1,1)),'Timesheet Raw'!$L$4:$L$8000,"&lt;="&amp;MIN(L$6,DATE(2000+VALUE(RIGHT(TRIM($A342),2)),12,31))),SUMIFS('Timesheet Raw'!$P$4:$P$8000,'Timesheet Raw'!$B$4:$B$8000,TRIM($A342),'Timesheet Raw'!$C$4:$C$8000,"*"&amp;$B342&amp;"*",'Timesheet Raw'!$L$4:$L$8000,"&gt;="&amp;L$5,'Timesheet Raw'!$L$4:$L$8000,"&lt;="&amp;L$6)))/'Profit Plan'!$B$5)</f>
        <v>0</v>
      </c>
      <c r="M342" s="122">
        <f>IF($A342="","",(IF(ISNUMBER(SEARCH("Proposal",$A342)),SUMIFS('Timesheet Raw'!$P$4:$P$8000,'Timesheet Raw'!$A$4:$A$8000,IF(ISNUMBER(SEARCH("Chargable",$A342)),"2-Proposals Chargeable","3-Proposals Regular"),'Timesheet Raw'!$C$4:$C$8000,"*"&amp;$B342&amp;"*",'Timesheet Raw'!$L$4:$L$8000,"&gt;="&amp;MAX(M$5,DATE(2000+VALUE(RIGHT(TRIM($A342),2)),1,1)),'Timesheet Raw'!$L$4:$L$8000,"&lt;="&amp;MIN(M$6,DATE(2000+VALUE(RIGHT(TRIM($A342),2)),12,31))),SUMIFS('Timesheet Raw'!$P$4:$P$8000,'Timesheet Raw'!$B$4:$B$8000,TRIM($A342),'Timesheet Raw'!$C$4:$C$8000,"*"&amp;$B342&amp;"*",'Timesheet Raw'!$L$4:$L$8000,"&gt;="&amp;M$5,'Timesheet Raw'!$L$4:$L$8000,"&lt;="&amp;M$6)))/'Profit Plan'!$B$5)</f>
        <v>0</v>
      </c>
      <c r="N342" s="122">
        <f>IF($A342="","",(IF(ISNUMBER(SEARCH("Proposal",$A342)),SUMIFS('Timesheet Raw'!$P$4:$P$8000,'Timesheet Raw'!$A$4:$A$8000,IF(ISNUMBER(SEARCH("Chargable",$A342)),"2-Proposals Chargeable","3-Proposals Regular"),'Timesheet Raw'!$C$4:$C$8000,"*"&amp;$B342&amp;"*",'Timesheet Raw'!$L$4:$L$8000,"&gt;="&amp;MAX(N$5,DATE(2000+VALUE(RIGHT(TRIM($A342),2)),1,1)),'Timesheet Raw'!$L$4:$L$8000,"&lt;="&amp;MIN(N$6,DATE(2000+VALUE(RIGHT(TRIM($A342),2)),12,31))),SUMIFS('Timesheet Raw'!$P$4:$P$8000,'Timesheet Raw'!$B$4:$B$8000,TRIM($A342),'Timesheet Raw'!$C$4:$C$8000,"*"&amp;$B342&amp;"*",'Timesheet Raw'!$L$4:$L$8000,"&gt;="&amp;N$5,'Timesheet Raw'!$L$4:$L$8000,"&lt;="&amp;N$6)))/'Profit Plan'!$B$5)</f>
        <v>0</v>
      </c>
      <c r="O342" s="122">
        <f>IF($A342="","",(IF(ISNUMBER(SEARCH("Proposal",$A342)),SUMIFS('Timesheet Raw'!$P$4:$P$8000,'Timesheet Raw'!$A$4:$A$8000,IF(ISNUMBER(SEARCH("Chargable",$A342)),"2-Proposals Chargeable","3-Proposals Regular"),'Timesheet Raw'!$C$4:$C$8000,"*"&amp;$B342&amp;"*",'Timesheet Raw'!$L$4:$L$8000,"&gt;="&amp;MAX(O$5,DATE(2000+VALUE(RIGHT(TRIM($A342),2)),1,1)),'Timesheet Raw'!$L$4:$L$8000,"&lt;="&amp;MIN(O$6,DATE(2000+VALUE(RIGHT(TRIM($A342),2)),12,31))),SUMIFS('Timesheet Raw'!$P$4:$P$8000,'Timesheet Raw'!$B$4:$B$8000,TRIM($A342),'Timesheet Raw'!$C$4:$C$8000,"*"&amp;$B342&amp;"*",'Timesheet Raw'!$L$4:$L$8000,"&gt;="&amp;O$5,'Timesheet Raw'!$L$4:$L$8000,"&lt;="&amp;O$6)))/'Profit Plan'!$B$5)</f>
        <v>0</v>
      </c>
      <c r="P342" s="122">
        <f>IF($A342="","",(IF(ISNUMBER(SEARCH("Proposal",$A342)),SUMIFS('Timesheet Raw'!$P$4:$P$8000,'Timesheet Raw'!$A$4:$A$8000,IF(ISNUMBER(SEARCH("Chargable",$A342)),"2-Proposals Chargeable","3-Proposals Regular"),'Timesheet Raw'!$C$4:$C$8000,"*"&amp;$B342&amp;"*",'Timesheet Raw'!$L$4:$L$8000,"&gt;="&amp;MAX(P$5,DATE(2000+VALUE(RIGHT(TRIM($A342),2)),1,1)),'Timesheet Raw'!$L$4:$L$8000,"&lt;="&amp;MIN(P$6,DATE(2000+VALUE(RIGHT(TRIM($A342),2)),12,31))),SUMIFS('Timesheet Raw'!$P$4:$P$8000,'Timesheet Raw'!$B$4:$B$8000,TRIM($A342),'Timesheet Raw'!$C$4:$C$8000,"*"&amp;$B342&amp;"*",'Timesheet Raw'!$L$4:$L$8000,"&gt;="&amp;P$5,'Timesheet Raw'!$L$4:$L$8000,"&lt;="&amp;P$6)))/'Profit Plan'!$B$5)</f>
        <v>0</v>
      </c>
      <c r="Q342" s="122">
        <f>IF($A342="","",(IF(ISNUMBER(SEARCH("Proposal",$A342)),SUMIFS('Timesheet Raw'!$P$4:$P$8000,'Timesheet Raw'!$A$4:$A$8000,IF(ISNUMBER(SEARCH("Chargable",$A342)),"2-Proposals Chargeable","3-Proposals Regular"),'Timesheet Raw'!$C$4:$C$8000,"*"&amp;$B342&amp;"*",'Timesheet Raw'!$L$4:$L$8000,"&gt;="&amp;MAX(Q$5,DATE(2000+VALUE(RIGHT(TRIM($A342),2)),1,1)),'Timesheet Raw'!$L$4:$L$8000,"&lt;="&amp;MIN(Q$6,DATE(2000+VALUE(RIGHT(TRIM($A342),2)),12,31))),SUMIFS('Timesheet Raw'!$P$4:$P$8000,'Timesheet Raw'!$B$4:$B$8000,TRIM($A342),'Timesheet Raw'!$C$4:$C$8000,"*"&amp;$B342&amp;"*",'Timesheet Raw'!$L$4:$L$8000,"&gt;="&amp;Q$5,'Timesheet Raw'!$L$4:$L$8000,"&lt;="&amp;Q$6)))/'Profit Plan'!$B$5)</f>
        <v>0</v>
      </c>
      <c r="R342" s="122">
        <f>IF($A342="","",(IF(ISNUMBER(SEARCH("Proposal",$A342)),SUMIFS('Timesheet Raw'!$P$4:$P$8000,'Timesheet Raw'!$A$4:$A$8000,IF(ISNUMBER(SEARCH("Chargable",$A342)),"2-Proposals Chargeable","3-Proposals Regular"),'Timesheet Raw'!$C$4:$C$8000,"*"&amp;$B342&amp;"*",'Timesheet Raw'!$L$4:$L$8000,"&gt;="&amp;MAX(R$5,DATE(2000+VALUE(RIGHT(TRIM($A342),2)),1,1)),'Timesheet Raw'!$L$4:$L$8000,"&lt;="&amp;MIN(R$6,DATE(2000+VALUE(RIGHT(TRIM($A342),2)),12,31))),SUMIFS('Timesheet Raw'!$P$4:$P$8000,'Timesheet Raw'!$B$4:$B$8000,TRIM($A342),'Timesheet Raw'!$C$4:$C$8000,"*"&amp;$B342&amp;"*",'Timesheet Raw'!$L$4:$L$8000,"&gt;="&amp;R$5,'Timesheet Raw'!$L$4:$L$8000,"&lt;="&amp;R$6)))/'Profit Plan'!$B$5)</f>
        <v>0</v>
      </c>
      <c r="S342" s="122">
        <f>IF($A342="","",(IF(ISNUMBER(SEARCH("Proposal",$A342)),SUMIFS('Timesheet Raw'!$P$4:$P$8000,'Timesheet Raw'!$A$4:$A$8000,IF(ISNUMBER(SEARCH("Chargable",$A342)),"2-Proposals Chargeable","3-Proposals Regular"),'Timesheet Raw'!$C$4:$C$8000,"*"&amp;$B342&amp;"*",'Timesheet Raw'!$L$4:$L$8000,"&gt;="&amp;MAX(S$5,DATE(2000+VALUE(RIGHT(TRIM($A342),2)),1,1)),'Timesheet Raw'!$L$4:$L$8000,"&lt;="&amp;MIN(S$6,DATE(2000+VALUE(RIGHT(TRIM($A342),2)),12,31))),SUMIFS('Timesheet Raw'!$P$4:$P$8000,'Timesheet Raw'!$B$4:$B$8000,TRIM($A342),'Timesheet Raw'!$C$4:$C$8000,"*"&amp;$B342&amp;"*",'Timesheet Raw'!$L$4:$L$8000,"&gt;="&amp;S$5,'Timesheet Raw'!$L$4:$L$8000,"&lt;="&amp;S$6)))/'Profit Plan'!$B$5)</f>
        <v>0</v>
      </c>
      <c r="T342" s="122">
        <f>IF($A342="","",(IF(ISNUMBER(SEARCH("Proposal",$A342)),SUMIFS('Timesheet Raw'!$P$4:$P$8000,'Timesheet Raw'!$A$4:$A$8000,IF(ISNUMBER(SEARCH("Chargable",$A342)),"2-Proposals Chargeable","3-Proposals Regular"),'Timesheet Raw'!$C$4:$C$8000,"*"&amp;$B342&amp;"*",'Timesheet Raw'!$L$4:$L$8000,"&gt;="&amp;MAX(T$5,DATE(2000+VALUE(RIGHT(TRIM($A342),2)),1,1)),'Timesheet Raw'!$L$4:$L$8000,"&lt;="&amp;MIN(T$6,DATE(2000+VALUE(RIGHT(TRIM($A342),2)),12,31))),SUMIFS('Timesheet Raw'!$P$4:$P$8000,'Timesheet Raw'!$B$4:$B$8000,TRIM($A342),'Timesheet Raw'!$C$4:$C$8000,"*"&amp;$B342&amp;"*",'Timesheet Raw'!$L$4:$L$8000,"&gt;="&amp;T$5,'Timesheet Raw'!$L$4:$L$8000,"&lt;="&amp;T$6)))/'Profit Plan'!$B$5)</f>
        <v>0</v>
      </c>
      <c r="U342" s="122">
        <f>IF($A342="","",(IF(ISNUMBER(SEARCH("Proposal",$A342)),SUMIFS('Timesheet Raw'!$P$4:$P$8000,'Timesheet Raw'!$A$4:$A$8000,IF(ISNUMBER(SEARCH("Chargable",$A342)),"2-Proposals Chargeable","3-Proposals Regular"),'Timesheet Raw'!$C$4:$C$8000,"*"&amp;$B342&amp;"*",'Timesheet Raw'!$L$4:$L$8000,"&gt;="&amp;MAX(U$5,DATE(2000+VALUE(RIGHT(TRIM($A342),2)),1,1)),'Timesheet Raw'!$L$4:$L$8000,"&lt;="&amp;MIN(U$6,DATE(2000+VALUE(RIGHT(TRIM($A342),2)),12,31))),SUMIFS('Timesheet Raw'!$P$4:$P$8000,'Timesheet Raw'!$B$4:$B$8000,TRIM($A342),'Timesheet Raw'!$C$4:$C$8000,"*"&amp;$B342&amp;"*",'Timesheet Raw'!$L$4:$L$8000,"&gt;="&amp;U$5,'Timesheet Raw'!$L$4:$L$8000,"&lt;="&amp;U$6)))/'Profit Plan'!$B$5)</f>
        <v>0</v>
      </c>
      <c r="V342" s="122">
        <f>IF($A342="","",(IF(ISNUMBER(SEARCH("Proposal",$A342)),SUMIFS('Timesheet Raw'!$P$4:$P$8000,'Timesheet Raw'!$A$4:$A$8000,IF(ISNUMBER(SEARCH("Chargable",$A342)),"2-Proposals Chargeable","3-Proposals Regular"),'Timesheet Raw'!$C$4:$C$8000,"*"&amp;$B342&amp;"*",'Timesheet Raw'!$L$4:$L$8000,"&gt;="&amp;MAX(V$5,DATE(2000+VALUE(RIGHT(TRIM($A342),2)),1,1)),'Timesheet Raw'!$L$4:$L$8000,"&lt;="&amp;MIN(V$6,DATE(2000+VALUE(RIGHT(TRIM($A342),2)),12,31))),SUMIFS('Timesheet Raw'!$P$4:$P$8000,'Timesheet Raw'!$B$4:$B$8000,TRIM($A342),'Timesheet Raw'!$C$4:$C$8000,"*"&amp;$B342&amp;"*",'Timesheet Raw'!$L$4:$L$8000,"&gt;="&amp;V$5,'Timesheet Raw'!$L$4:$L$8000,"&lt;="&amp;V$6)))/'Profit Plan'!$B$5)</f>
        <v>0</v>
      </c>
      <c r="W342" s="122">
        <f>IF($A342="","",(IF(ISNUMBER(SEARCH("Proposal",$A342)),SUMIFS('Timesheet Raw'!$P$4:$P$8000,'Timesheet Raw'!$A$4:$A$8000,IF(ISNUMBER(SEARCH("Chargable",$A342)),"2-Proposals Chargeable","3-Proposals Regular"),'Timesheet Raw'!$C$4:$C$8000,"*"&amp;$B342&amp;"*",'Timesheet Raw'!$L$4:$L$8000,"&gt;="&amp;MAX(W$5,DATE(2000+VALUE(RIGHT(TRIM($A342),2)),1,1)),'Timesheet Raw'!$L$4:$L$8000,"&lt;="&amp;MIN(W$6,DATE(2000+VALUE(RIGHT(TRIM($A342),2)),12,31))),SUMIFS('Timesheet Raw'!$P$4:$P$8000,'Timesheet Raw'!$B$4:$B$8000,TRIM($A342),'Timesheet Raw'!$C$4:$C$8000,"*"&amp;$B342&amp;"*",'Timesheet Raw'!$L$4:$L$8000,"&gt;="&amp;W$5,'Timesheet Raw'!$L$4:$L$8000,"&lt;="&amp;W$6)))/'Profit Plan'!$B$5)</f>
        <v>0</v>
      </c>
      <c r="X342" s="122">
        <f>IF($A342="","",(IF(ISNUMBER(SEARCH("Proposal",$A342)),SUMIFS('Timesheet Raw'!$P$4:$P$8000,'Timesheet Raw'!$A$4:$A$8000,IF(ISNUMBER(SEARCH("Chargable",$A342)),"2-Proposals Chargeable","3-Proposals Regular"),'Timesheet Raw'!$C$4:$C$8000,"*"&amp;$B342&amp;"*",'Timesheet Raw'!$L$4:$L$8000,"&gt;="&amp;MAX(X$5,DATE(2000+VALUE(RIGHT(TRIM($A342),2)),1,1)),'Timesheet Raw'!$L$4:$L$8000,"&lt;="&amp;MIN(X$6,DATE(2000+VALUE(RIGHT(TRIM($A342),2)),12,31))),SUMIFS('Timesheet Raw'!$P$4:$P$8000,'Timesheet Raw'!$B$4:$B$8000,TRIM($A342),'Timesheet Raw'!$C$4:$C$8000,"*"&amp;$B342&amp;"*",'Timesheet Raw'!$L$4:$L$8000,"&gt;="&amp;X$5,'Timesheet Raw'!$L$4:$L$8000,"&lt;="&amp;X$6)))/'Profit Plan'!$B$5)</f>
        <v>0</v>
      </c>
      <c r="Y342" s="118">
        <f t="shared" si="101"/>
        <v>0</v>
      </c>
    </row>
    <row r="343" spans="1:25" x14ac:dyDescent="0.3">
      <c r="A343" s="116" t="str">
        <f>IF(Inputs!$A32="","",Inputs!$A32)</f>
        <v>Proposals 25</v>
      </c>
      <c r="B343" s="116" t="str">
        <f>IF(Inputs!$A32="","",Inputs!$A$91)</f>
        <v>Ahmed</v>
      </c>
      <c r="C343" s="116"/>
      <c r="D343" s="122">
        <f>IF($A343="","",(IF(ISNUMBER(SEARCH("Proposal",$A343)),SUMIFS('Timesheet Raw'!$P$4:$P$8000,'Timesheet Raw'!$A$4:$A$8000,IF(ISNUMBER(SEARCH("Chargable",$A343)),"2-Proposals Chargeable","3-Proposals Regular"),'Timesheet Raw'!$C$4:$C$8000,"*"&amp;$B343&amp;"*",'Timesheet Raw'!$L$4:$L$8000,"&gt;="&amp;MAX(D$5,DATE(2000+VALUE(RIGHT(TRIM($A343),2)),1,1)),'Timesheet Raw'!$L$4:$L$8000,"&lt;="&amp;MIN(D$6,DATE(2000+VALUE(RIGHT(TRIM($A343),2)),12,31))),SUMIFS('Timesheet Raw'!$P$4:$P$8000,'Timesheet Raw'!$B$4:$B$8000,TRIM($A343),'Timesheet Raw'!$C$4:$C$8000,"*"&amp;$B343&amp;"*",'Timesheet Raw'!$L$4:$L$8000,"&gt;="&amp;D$5,'Timesheet Raw'!$L$4:$L$8000,"&lt;="&amp;D$6)))/'Profit Plan'!$B$5)</f>
        <v>0</v>
      </c>
      <c r="E343" s="122">
        <f>IF($A343="","",(IF(ISNUMBER(SEARCH("Proposal",$A343)),SUMIFS('Timesheet Raw'!$P$4:$P$8000,'Timesheet Raw'!$A$4:$A$8000,IF(ISNUMBER(SEARCH("Chargable",$A343)),"2-Proposals Chargeable","3-Proposals Regular"),'Timesheet Raw'!$C$4:$C$8000,"*"&amp;$B343&amp;"*",'Timesheet Raw'!$L$4:$L$8000,"&gt;="&amp;MAX(E$5,DATE(2000+VALUE(RIGHT(TRIM($A343),2)),1,1)),'Timesheet Raw'!$L$4:$L$8000,"&lt;="&amp;MIN(E$6,DATE(2000+VALUE(RIGHT(TRIM($A343),2)),12,31))),SUMIFS('Timesheet Raw'!$P$4:$P$8000,'Timesheet Raw'!$B$4:$B$8000,TRIM($A343),'Timesheet Raw'!$C$4:$C$8000,"*"&amp;$B343&amp;"*",'Timesheet Raw'!$L$4:$L$8000,"&gt;="&amp;E$5,'Timesheet Raw'!$L$4:$L$8000,"&lt;="&amp;E$6)))/'Profit Plan'!$B$5)</f>
        <v>0</v>
      </c>
      <c r="F343" s="122">
        <f>IF($A343="","",(IF(ISNUMBER(SEARCH("Proposal",$A343)),SUMIFS('Timesheet Raw'!$P$4:$P$8000,'Timesheet Raw'!$A$4:$A$8000,IF(ISNUMBER(SEARCH("Chargable",$A343)),"2-Proposals Chargeable","3-Proposals Regular"),'Timesheet Raw'!$C$4:$C$8000,"*"&amp;$B343&amp;"*",'Timesheet Raw'!$L$4:$L$8000,"&gt;="&amp;MAX(F$5,DATE(2000+VALUE(RIGHT(TRIM($A343),2)),1,1)),'Timesheet Raw'!$L$4:$L$8000,"&lt;="&amp;MIN(F$6,DATE(2000+VALUE(RIGHT(TRIM($A343),2)),12,31))),SUMIFS('Timesheet Raw'!$P$4:$P$8000,'Timesheet Raw'!$B$4:$B$8000,TRIM($A343),'Timesheet Raw'!$C$4:$C$8000,"*"&amp;$B343&amp;"*",'Timesheet Raw'!$L$4:$L$8000,"&gt;="&amp;F$5,'Timesheet Raw'!$L$4:$L$8000,"&lt;="&amp;F$6)))/'Profit Plan'!$B$5)</f>
        <v>0</v>
      </c>
      <c r="G343" s="122">
        <f>IF($A343="","",(IF(ISNUMBER(SEARCH("Proposal",$A343)),SUMIFS('Timesheet Raw'!$P$4:$P$8000,'Timesheet Raw'!$A$4:$A$8000,IF(ISNUMBER(SEARCH("Chargable",$A343)),"2-Proposals Chargeable","3-Proposals Regular"),'Timesheet Raw'!$C$4:$C$8000,"*"&amp;$B343&amp;"*",'Timesheet Raw'!$L$4:$L$8000,"&gt;="&amp;MAX(G$5,DATE(2000+VALUE(RIGHT(TRIM($A343),2)),1,1)),'Timesheet Raw'!$L$4:$L$8000,"&lt;="&amp;MIN(G$6,DATE(2000+VALUE(RIGHT(TRIM($A343),2)),12,31))),SUMIFS('Timesheet Raw'!$P$4:$P$8000,'Timesheet Raw'!$B$4:$B$8000,TRIM($A343),'Timesheet Raw'!$C$4:$C$8000,"*"&amp;$B343&amp;"*",'Timesheet Raw'!$L$4:$L$8000,"&gt;="&amp;G$5,'Timesheet Raw'!$L$4:$L$8000,"&lt;="&amp;G$6)))/'Profit Plan'!$B$5)</f>
        <v>0</v>
      </c>
      <c r="H343" s="122">
        <f>IF($A343="","",(IF(ISNUMBER(SEARCH("Proposal",$A343)),SUMIFS('Timesheet Raw'!$P$4:$P$8000,'Timesheet Raw'!$A$4:$A$8000,IF(ISNUMBER(SEARCH("Chargable",$A343)),"2-Proposals Chargeable","3-Proposals Regular"),'Timesheet Raw'!$C$4:$C$8000,"*"&amp;$B343&amp;"*",'Timesheet Raw'!$L$4:$L$8000,"&gt;="&amp;MAX(H$5,DATE(2000+VALUE(RIGHT(TRIM($A343),2)),1,1)),'Timesheet Raw'!$L$4:$L$8000,"&lt;="&amp;MIN(H$6,DATE(2000+VALUE(RIGHT(TRIM($A343),2)),12,31))),SUMIFS('Timesheet Raw'!$P$4:$P$8000,'Timesheet Raw'!$B$4:$B$8000,TRIM($A343),'Timesheet Raw'!$C$4:$C$8000,"*"&amp;$B343&amp;"*",'Timesheet Raw'!$L$4:$L$8000,"&gt;="&amp;H$5,'Timesheet Raw'!$L$4:$L$8000,"&lt;="&amp;H$6)))/'Profit Plan'!$B$5)</f>
        <v>0</v>
      </c>
      <c r="I343" s="122">
        <f>IF($A343="","",(IF(ISNUMBER(SEARCH("Proposal",$A343)),SUMIFS('Timesheet Raw'!$P$4:$P$8000,'Timesheet Raw'!$A$4:$A$8000,IF(ISNUMBER(SEARCH("Chargable",$A343)),"2-Proposals Chargeable","3-Proposals Regular"),'Timesheet Raw'!$C$4:$C$8000,"*"&amp;$B343&amp;"*",'Timesheet Raw'!$L$4:$L$8000,"&gt;="&amp;MAX(I$5,DATE(2000+VALUE(RIGHT(TRIM($A343),2)),1,1)),'Timesheet Raw'!$L$4:$L$8000,"&lt;="&amp;MIN(I$6,DATE(2000+VALUE(RIGHT(TRIM($A343),2)),12,31))),SUMIFS('Timesheet Raw'!$P$4:$P$8000,'Timesheet Raw'!$B$4:$B$8000,TRIM($A343),'Timesheet Raw'!$C$4:$C$8000,"*"&amp;$B343&amp;"*",'Timesheet Raw'!$L$4:$L$8000,"&gt;="&amp;I$5,'Timesheet Raw'!$L$4:$L$8000,"&lt;="&amp;I$6)))/'Profit Plan'!$B$5)</f>
        <v>0.44864864864864867</v>
      </c>
      <c r="J343" s="122">
        <f>IF($A343="","",(IF(ISNUMBER(SEARCH("Proposal",$A343)),SUMIFS('Timesheet Raw'!$P$4:$P$8000,'Timesheet Raw'!$A$4:$A$8000,IF(ISNUMBER(SEARCH("Chargable",$A343)),"2-Proposals Chargeable","3-Proposals Regular"),'Timesheet Raw'!$C$4:$C$8000,"*"&amp;$B343&amp;"*",'Timesheet Raw'!$L$4:$L$8000,"&gt;="&amp;MAX(J$5,DATE(2000+VALUE(RIGHT(TRIM($A343),2)),1,1)),'Timesheet Raw'!$L$4:$L$8000,"&lt;="&amp;MIN(J$6,DATE(2000+VALUE(RIGHT(TRIM($A343),2)),12,31))),SUMIFS('Timesheet Raw'!$P$4:$P$8000,'Timesheet Raw'!$B$4:$B$8000,TRIM($A343),'Timesheet Raw'!$C$4:$C$8000,"*"&amp;$B343&amp;"*",'Timesheet Raw'!$L$4:$L$8000,"&gt;="&amp;J$5,'Timesheet Raw'!$L$4:$L$8000,"&lt;="&amp;J$6)))/'Profit Plan'!$B$5)</f>
        <v>0.13648648648648648</v>
      </c>
      <c r="K343" s="122">
        <f>IF($A343="","",(IF(ISNUMBER(SEARCH("Proposal",$A343)),SUMIFS('Timesheet Raw'!$P$4:$P$8000,'Timesheet Raw'!$A$4:$A$8000,IF(ISNUMBER(SEARCH("Chargable",$A343)),"2-Proposals Chargeable","3-Proposals Regular"),'Timesheet Raw'!$C$4:$C$8000,"*"&amp;$B343&amp;"*",'Timesheet Raw'!$L$4:$L$8000,"&gt;="&amp;MAX(K$5,DATE(2000+VALUE(RIGHT(TRIM($A343),2)),1,1)),'Timesheet Raw'!$L$4:$L$8000,"&lt;="&amp;MIN(K$6,DATE(2000+VALUE(RIGHT(TRIM($A343),2)),12,31))),SUMIFS('Timesheet Raw'!$P$4:$P$8000,'Timesheet Raw'!$B$4:$B$8000,TRIM($A343),'Timesheet Raw'!$C$4:$C$8000,"*"&amp;$B343&amp;"*",'Timesheet Raw'!$L$4:$L$8000,"&gt;="&amp;K$5,'Timesheet Raw'!$L$4:$L$8000,"&lt;="&amp;K$6)))/'Profit Plan'!$B$5)</f>
        <v>0.45945945945945948</v>
      </c>
      <c r="L343" s="122">
        <f>IF($A343="","",(IF(ISNUMBER(SEARCH("Proposal",$A343)),SUMIFS('Timesheet Raw'!$P$4:$P$8000,'Timesheet Raw'!$A$4:$A$8000,IF(ISNUMBER(SEARCH("Chargable",$A343)),"2-Proposals Chargeable","3-Proposals Regular"),'Timesheet Raw'!$C$4:$C$8000,"*"&amp;$B343&amp;"*",'Timesheet Raw'!$L$4:$L$8000,"&gt;="&amp;MAX(L$5,DATE(2000+VALUE(RIGHT(TRIM($A343),2)),1,1)),'Timesheet Raw'!$L$4:$L$8000,"&lt;="&amp;MIN(L$6,DATE(2000+VALUE(RIGHT(TRIM($A343),2)),12,31))),SUMIFS('Timesheet Raw'!$P$4:$P$8000,'Timesheet Raw'!$B$4:$B$8000,TRIM($A343),'Timesheet Raw'!$C$4:$C$8000,"*"&amp;$B343&amp;"*",'Timesheet Raw'!$L$4:$L$8000,"&gt;="&amp;L$5,'Timesheet Raw'!$L$4:$L$8000,"&lt;="&amp;L$6)))/'Profit Plan'!$B$5)</f>
        <v>2.7027027027027029E-2</v>
      </c>
      <c r="M343" s="122">
        <f>IF($A343="","",(IF(ISNUMBER(SEARCH("Proposal",$A343)),SUMIFS('Timesheet Raw'!$P$4:$P$8000,'Timesheet Raw'!$A$4:$A$8000,IF(ISNUMBER(SEARCH("Chargable",$A343)),"2-Proposals Chargeable","3-Proposals Regular"),'Timesheet Raw'!$C$4:$C$8000,"*"&amp;$B343&amp;"*",'Timesheet Raw'!$L$4:$L$8000,"&gt;="&amp;MAX(M$5,DATE(2000+VALUE(RIGHT(TRIM($A343),2)),1,1)),'Timesheet Raw'!$L$4:$L$8000,"&lt;="&amp;MIN(M$6,DATE(2000+VALUE(RIGHT(TRIM($A343),2)),12,31))),SUMIFS('Timesheet Raw'!$P$4:$P$8000,'Timesheet Raw'!$B$4:$B$8000,TRIM($A343),'Timesheet Raw'!$C$4:$C$8000,"*"&amp;$B343&amp;"*",'Timesheet Raw'!$L$4:$L$8000,"&gt;="&amp;M$5,'Timesheet Raw'!$L$4:$L$8000,"&lt;="&amp;M$6)))/'Profit Plan'!$B$5)</f>
        <v>0</v>
      </c>
      <c r="N343" s="122">
        <f>IF($A343="","",(IF(ISNUMBER(SEARCH("Proposal",$A343)),SUMIFS('Timesheet Raw'!$P$4:$P$8000,'Timesheet Raw'!$A$4:$A$8000,IF(ISNUMBER(SEARCH("Chargable",$A343)),"2-Proposals Chargeable","3-Proposals Regular"),'Timesheet Raw'!$C$4:$C$8000,"*"&amp;$B343&amp;"*",'Timesheet Raw'!$L$4:$L$8000,"&gt;="&amp;MAX(N$5,DATE(2000+VALUE(RIGHT(TRIM($A343),2)),1,1)),'Timesheet Raw'!$L$4:$L$8000,"&lt;="&amp;MIN(N$6,DATE(2000+VALUE(RIGHT(TRIM($A343),2)),12,31))),SUMIFS('Timesheet Raw'!$P$4:$P$8000,'Timesheet Raw'!$B$4:$B$8000,TRIM($A343),'Timesheet Raw'!$C$4:$C$8000,"*"&amp;$B343&amp;"*",'Timesheet Raw'!$L$4:$L$8000,"&gt;="&amp;N$5,'Timesheet Raw'!$L$4:$L$8000,"&lt;="&amp;N$6)))/'Profit Plan'!$B$5)</f>
        <v>0</v>
      </c>
      <c r="O343" s="122">
        <f>IF($A343="","",(IF(ISNUMBER(SEARCH("Proposal",$A343)),SUMIFS('Timesheet Raw'!$P$4:$P$8000,'Timesheet Raw'!$A$4:$A$8000,IF(ISNUMBER(SEARCH("Chargable",$A343)),"2-Proposals Chargeable","3-Proposals Regular"),'Timesheet Raw'!$C$4:$C$8000,"*"&amp;$B343&amp;"*",'Timesheet Raw'!$L$4:$L$8000,"&gt;="&amp;MAX(O$5,DATE(2000+VALUE(RIGHT(TRIM($A343),2)),1,1)),'Timesheet Raw'!$L$4:$L$8000,"&lt;="&amp;MIN(O$6,DATE(2000+VALUE(RIGHT(TRIM($A343),2)),12,31))),SUMIFS('Timesheet Raw'!$P$4:$P$8000,'Timesheet Raw'!$B$4:$B$8000,TRIM($A343),'Timesheet Raw'!$C$4:$C$8000,"*"&amp;$B343&amp;"*",'Timesheet Raw'!$L$4:$L$8000,"&gt;="&amp;O$5,'Timesheet Raw'!$L$4:$L$8000,"&lt;="&amp;O$6)))/'Profit Plan'!$B$5)</f>
        <v>0</v>
      </c>
      <c r="P343" s="122">
        <f>IF($A343="","",(IF(ISNUMBER(SEARCH("Proposal",$A343)),SUMIFS('Timesheet Raw'!$P$4:$P$8000,'Timesheet Raw'!$A$4:$A$8000,IF(ISNUMBER(SEARCH("Chargable",$A343)),"2-Proposals Chargeable","3-Proposals Regular"),'Timesheet Raw'!$C$4:$C$8000,"*"&amp;$B343&amp;"*",'Timesheet Raw'!$L$4:$L$8000,"&gt;="&amp;MAX(P$5,DATE(2000+VALUE(RIGHT(TRIM($A343),2)),1,1)),'Timesheet Raw'!$L$4:$L$8000,"&lt;="&amp;MIN(P$6,DATE(2000+VALUE(RIGHT(TRIM($A343),2)),12,31))),SUMIFS('Timesheet Raw'!$P$4:$P$8000,'Timesheet Raw'!$B$4:$B$8000,TRIM($A343),'Timesheet Raw'!$C$4:$C$8000,"*"&amp;$B343&amp;"*",'Timesheet Raw'!$L$4:$L$8000,"&gt;="&amp;P$5,'Timesheet Raw'!$L$4:$L$8000,"&lt;="&amp;P$6)))/'Profit Plan'!$B$5)</f>
        <v>0</v>
      </c>
      <c r="Q343" s="122">
        <f>IF($A343="","",(IF(ISNUMBER(SEARCH("Proposal",$A343)),SUMIFS('Timesheet Raw'!$P$4:$P$8000,'Timesheet Raw'!$A$4:$A$8000,IF(ISNUMBER(SEARCH("Chargable",$A343)),"2-Proposals Chargeable","3-Proposals Regular"),'Timesheet Raw'!$C$4:$C$8000,"*"&amp;$B343&amp;"*",'Timesheet Raw'!$L$4:$L$8000,"&gt;="&amp;MAX(Q$5,DATE(2000+VALUE(RIGHT(TRIM($A343),2)),1,1)),'Timesheet Raw'!$L$4:$L$8000,"&lt;="&amp;MIN(Q$6,DATE(2000+VALUE(RIGHT(TRIM($A343),2)),12,31))),SUMIFS('Timesheet Raw'!$P$4:$P$8000,'Timesheet Raw'!$B$4:$B$8000,TRIM($A343),'Timesheet Raw'!$C$4:$C$8000,"*"&amp;$B343&amp;"*",'Timesheet Raw'!$L$4:$L$8000,"&gt;="&amp;Q$5,'Timesheet Raw'!$L$4:$L$8000,"&lt;="&amp;Q$6)))/'Profit Plan'!$B$5)</f>
        <v>0</v>
      </c>
      <c r="R343" s="122">
        <f>IF($A343="","",(IF(ISNUMBER(SEARCH("Proposal",$A343)),SUMIFS('Timesheet Raw'!$P$4:$P$8000,'Timesheet Raw'!$A$4:$A$8000,IF(ISNUMBER(SEARCH("Chargable",$A343)),"2-Proposals Chargeable","3-Proposals Regular"),'Timesheet Raw'!$C$4:$C$8000,"*"&amp;$B343&amp;"*",'Timesheet Raw'!$L$4:$L$8000,"&gt;="&amp;MAX(R$5,DATE(2000+VALUE(RIGHT(TRIM($A343),2)),1,1)),'Timesheet Raw'!$L$4:$L$8000,"&lt;="&amp;MIN(R$6,DATE(2000+VALUE(RIGHT(TRIM($A343),2)),12,31))),SUMIFS('Timesheet Raw'!$P$4:$P$8000,'Timesheet Raw'!$B$4:$B$8000,TRIM($A343),'Timesheet Raw'!$C$4:$C$8000,"*"&amp;$B343&amp;"*",'Timesheet Raw'!$L$4:$L$8000,"&gt;="&amp;R$5,'Timesheet Raw'!$L$4:$L$8000,"&lt;="&amp;R$6)))/'Profit Plan'!$B$5)</f>
        <v>0</v>
      </c>
      <c r="S343" s="122">
        <f>IF($A343="","",(IF(ISNUMBER(SEARCH("Proposal",$A343)),SUMIFS('Timesheet Raw'!$P$4:$P$8000,'Timesheet Raw'!$A$4:$A$8000,IF(ISNUMBER(SEARCH("Chargable",$A343)),"2-Proposals Chargeable","3-Proposals Regular"),'Timesheet Raw'!$C$4:$C$8000,"*"&amp;$B343&amp;"*",'Timesheet Raw'!$L$4:$L$8000,"&gt;="&amp;MAX(S$5,DATE(2000+VALUE(RIGHT(TRIM($A343),2)),1,1)),'Timesheet Raw'!$L$4:$L$8000,"&lt;="&amp;MIN(S$6,DATE(2000+VALUE(RIGHT(TRIM($A343),2)),12,31))),SUMIFS('Timesheet Raw'!$P$4:$P$8000,'Timesheet Raw'!$B$4:$B$8000,TRIM($A343),'Timesheet Raw'!$C$4:$C$8000,"*"&amp;$B343&amp;"*",'Timesheet Raw'!$L$4:$L$8000,"&gt;="&amp;S$5,'Timesheet Raw'!$L$4:$L$8000,"&lt;="&amp;S$6)))/'Profit Plan'!$B$5)</f>
        <v>0</v>
      </c>
      <c r="T343" s="122">
        <f>IF($A343="","",(IF(ISNUMBER(SEARCH("Proposal",$A343)),SUMIFS('Timesheet Raw'!$P$4:$P$8000,'Timesheet Raw'!$A$4:$A$8000,IF(ISNUMBER(SEARCH("Chargable",$A343)),"2-Proposals Chargeable","3-Proposals Regular"),'Timesheet Raw'!$C$4:$C$8000,"*"&amp;$B343&amp;"*",'Timesheet Raw'!$L$4:$L$8000,"&gt;="&amp;MAX(T$5,DATE(2000+VALUE(RIGHT(TRIM($A343),2)),1,1)),'Timesheet Raw'!$L$4:$L$8000,"&lt;="&amp;MIN(T$6,DATE(2000+VALUE(RIGHT(TRIM($A343),2)),12,31))),SUMIFS('Timesheet Raw'!$P$4:$P$8000,'Timesheet Raw'!$B$4:$B$8000,TRIM($A343),'Timesheet Raw'!$C$4:$C$8000,"*"&amp;$B343&amp;"*",'Timesheet Raw'!$L$4:$L$8000,"&gt;="&amp;T$5,'Timesheet Raw'!$L$4:$L$8000,"&lt;="&amp;T$6)))/'Profit Plan'!$B$5)</f>
        <v>0</v>
      </c>
      <c r="U343" s="122">
        <f>IF($A343="","",(IF(ISNUMBER(SEARCH("Proposal",$A343)),SUMIFS('Timesheet Raw'!$P$4:$P$8000,'Timesheet Raw'!$A$4:$A$8000,IF(ISNUMBER(SEARCH("Chargable",$A343)),"2-Proposals Chargeable","3-Proposals Regular"),'Timesheet Raw'!$C$4:$C$8000,"*"&amp;$B343&amp;"*",'Timesheet Raw'!$L$4:$L$8000,"&gt;="&amp;MAX(U$5,DATE(2000+VALUE(RIGHT(TRIM($A343),2)),1,1)),'Timesheet Raw'!$L$4:$L$8000,"&lt;="&amp;MIN(U$6,DATE(2000+VALUE(RIGHT(TRIM($A343),2)),12,31))),SUMIFS('Timesheet Raw'!$P$4:$P$8000,'Timesheet Raw'!$B$4:$B$8000,TRIM($A343),'Timesheet Raw'!$C$4:$C$8000,"*"&amp;$B343&amp;"*",'Timesheet Raw'!$L$4:$L$8000,"&gt;="&amp;U$5,'Timesheet Raw'!$L$4:$L$8000,"&lt;="&amp;U$6)))/'Profit Plan'!$B$5)</f>
        <v>0</v>
      </c>
      <c r="V343" s="122">
        <f>IF($A343="","",(IF(ISNUMBER(SEARCH("Proposal",$A343)),SUMIFS('Timesheet Raw'!$P$4:$P$8000,'Timesheet Raw'!$A$4:$A$8000,IF(ISNUMBER(SEARCH("Chargable",$A343)),"2-Proposals Chargeable","3-Proposals Regular"),'Timesheet Raw'!$C$4:$C$8000,"*"&amp;$B343&amp;"*",'Timesheet Raw'!$L$4:$L$8000,"&gt;="&amp;MAX(V$5,DATE(2000+VALUE(RIGHT(TRIM($A343),2)),1,1)),'Timesheet Raw'!$L$4:$L$8000,"&lt;="&amp;MIN(V$6,DATE(2000+VALUE(RIGHT(TRIM($A343),2)),12,31))),SUMIFS('Timesheet Raw'!$P$4:$P$8000,'Timesheet Raw'!$B$4:$B$8000,TRIM($A343),'Timesheet Raw'!$C$4:$C$8000,"*"&amp;$B343&amp;"*",'Timesheet Raw'!$L$4:$L$8000,"&gt;="&amp;V$5,'Timesheet Raw'!$L$4:$L$8000,"&lt;="&amp;V$6)))/'Profit Plan'!$B$5)</f>
        <v>0</v>
      </c>
      <c r="W343" s="122">
        <f>IF($A343="","",(IF(ISNUMBER(SEARCH("Proposal",$A343)),SUMIFS('Timesheet Raw'!$P$4:$P$8000,'Timesheet Raw'!$A$4:$A$8000,IF(ISNUMBER(SEARCH("Chargable",$A343)),"2-Proposals Chargeable","3-Proposals Regular"),'Timesheet Raw'!$C$4:$C$8000,"*"&amp;$B343&amp;"*",'Timesheet Raw'!$L$4:$L$8000,"&gt;="&amp;MAX(W$5,DATE(2000+VALUE(RIGHT(TRIM($A343),2)),1,1)),'Timesheet Raw'!$L$4:$L$8000,"&lt;="&amp;MIN(W$6,DATE(2000+VALUE(RIGHT(TRIM($A343),2)),12,31))),SUMIFS('Timesheet Raw'!$P$4:$P$8000,'Timesheet Raw'!$B$4:$B$8000,TRIM($A343),'Timesheet Raw'!$C$4:$C$8000,"*"&amp;$B343&amp;"*",'Timesheet Raw'!$L$4:$L$8000,"&gt;="&amp;W$5,'Timesheet Raw'!$L$4:$L$8000,"&lt;="&amp;W$6)))/'Profit Plan'!$B$5)</f>
        <v>0</v>
      </c>
      <c r="X343" s="122">
        <f>IF($A343="","",(IF(ISNUMBER(SEARCH("Proposal",$A343)),SUMIFS('Timesheet Raw'!$P$4:$P$8000,'Timesheet Raw'!$A$4:$A$8000,IF(ISNUMBER(SEARCH("Chargable",$A343)),"2-Proposals Chargeable","3-Proposals Regular"),'Timesheet Raw'!$C$4:$C$8000,"*"&amp;$B343&amp;"*",'Timesheet Raw'!$L$4:$L$8000,"&gt;="&amp;MAX(X$5,DATE(2000+VALUE(RIGHT(TRIM($A343),2)),1,1)),'Timesheet Raw'!$L$4:$L$8000,"&lt;="&amp;MIN(X$6,DATE(2000+VALUE(RIGHT(TRIM($A343),2)),12,31))),SUMIFS('Timesheet Raw'!$P$4:$P$8000,'Timesheet Raw'!$B$4:$B$8000,TRIM($A343),'Timesheet Raw'!$C$4:$C$8000,"*"&amp;$B343&amp;"*",'Timesheet Raw'!$L$4:$L$8000,"&gt;="&amp;X$5,'Timesheet Raw'!$L$4:$L$8000,"&lt;="&amp;X$6)))/'Profit Plan'!$B$5)</f>
        <v>0</v>
      </c>
      <c r="Y343" s="118">
        <f t="shared" si="101"/>
        <v>1.0716216216216217</v>
      </c>
    </row>
    <row r="344" spans="1:25" x14ac:dyDescent="0.3">
      <c r="A344" s="116" t="str">
        <f>IF(Inputs!$A32="","",Inputs!$A32)</f>
        <v>Proposals 25</v>
      </c>
      <c r="B344" s="116" t="str">
        <f>IF(Inputs!$A32="","",Inputs!$A$92)</f>
        <v>Osama</v>
      </c>
      <c r="C344" s="116"/>
      <c r="D344" s="122">
        <f>IF($A344="","",(IF(ISNUMBER(SEARCH("Proposal",$A344)),SUMIFS('Timesheet Raw'!$P$4:$P$8000,'Timesheet Raw'!$A$4:$A$8000,IF(ISNUMBER(SEARCH("Chargable",$A344)),"2-Proposals Chargeable","3-Proposals Regular"),'Timesheet Raw'!$C$4:$C$8000,"*"&amp;$B344&amp;"*",'Timesheet Raw'!$L$4:$L$8000,"&gt;="&amp;MAX(D$5,DATE(2000+VALUE(RIGHT(TRIM($A344),2)),1,1)),'Timesheet Raw'!$L$4:$L$8000,"&lt;="&amp;MIN(D$6,DATE(2000+VALUE(RIGHT(TRIM($A344),2)),12,31))),SUMIFS('Timesheet Raw'!$P$4:$P$8000,'Timesheet Raw'!$B$4:$B$8000,TRIM($A344),'Timesheet Raw'!$C$4:$C$8000,"*"&amp;$B344&amp;"*",'Timesheet Raw'!$L$4:$L$8000,"&gt;="&amp;D$5,'Timesheet Raw'!$L$4:$L$8000,"&lt;="&amp;D$6)))/'Profit Plan'!$B$5)</f>
        <v>0</v>
      </c>
      <c r="E344" s="122">
        <f>IF($A344="","",(IF(ISNUMBER(SEARCH("Proposal",$A344)),SUMIFS('Timesheet Raw'!$P$4:$P$8000,'Timesheet Raw'!$A$4:$A$8000,IF(ISNUMBER(SEARCH("Chargable",$A344)),"2-Proposals Chargeable","3-Proposals Regular"),'Timesheet Raw'!$C$4:$C$8000,"*"&amp;$B344&amp;"*",'Timesheet Raw'!$L$4:$L$8000,"&gt;="&amp;MAX(E$5,DATE(2000+VALUE(RIGHT(TRIM($A344),2)),1,1)),'Timesheet Raw'!$L$4:$L$8000,"&lt;="&amp;MIN(E$6,DATE(2000+VALUE(RIGHT(TRIM($A344),2)),12,31))),SUMIFS('Timesheet Raw'!$P$4:$P$8000,'Timesheet Raw'!$B$4:$B$8000,TRIM($A344),'Timesheet Raw'!$C$4:$C$8000,"*"&amp;$B344&amp;"*",'Timesheet Raw'!$L$4:$L$8000,"&gt;="&amp;E$5,'Timesheet Raw'!$L$4:$L$8000,"&lt;="&amp;E$6)))/'Profit Plan'!$B$5)</f>
        <v>0</v>
      </c>
      <c r="F344" s="122">
        <f>IF($A344="","",(IF(ISNUMBER(SEARCH("Proposal",$A344)),SUMIFS('Timesheet Raw'!$P$4:$P$8000,'Timesheet Raw'!$A$4:$A$8000,IF(ISNUMBER(SEARCH("Chargable",$A344)),"2-Proposals Chargeable","3-Proposals Regular"),'Timesheet Raw'!$C$4:$C$8000,"*"&amp;$B344&amp;"*",'Timesheet Raw'!$L$4:$L$8000,"&gt;="&amp;MAX(F$5,DATE(2000+VALUE(RIGHT(TRIM($A344),2)),1,1)),'Timesheet Raw'!$L$4:$L$8000,"&lt;="&amp;MIN(F$6,DATE(2000+VALUE(RIGHT(TRIM($A344),2)),12,31))),SUMIFS('Timesheet Raw'!$P$4:$P$8000,'Timesheet Raw'!$B$4:$B$8000,TRIM($A344),'Timesheet Raw'!$C$4:$C$8000,"*"&amp;$B344&amp;"*",'Timesheet Raw'!$L$4:$L$8000,"&gt;="&amp;F$5,'Timesheet Raw'!$L$4:$L$8000,"&lt;="&amp;F$6)))/'Profit Plan'!$B$5)</f>
        <v>0</v>
      </c>
      <c r="G344" s="122">
        <f>IF($A344="","",(IF(ISNUMBER(SEARCH("Proposal",$A344)),SUMIFS('Timesheet Raw'!$P$4:$P$8000,'Timesheet Raw'!$A$4:$A$8000,IF(ISNUMBER(SEARCH("Chargable",$A344)),"2-Proposals Chargeable","3-Proposals Regular"),'Timesheet Raw'!$C$4:$C$8000,"*"&amp;$B344&amp;"*",'Timesheet Raw'!$L$4:$L$8000,"&gt;="&amp;MAX(G$5,DATE(2000+VALUE(RIGHT(TRIM($A344),2)),1,1)),'Timesheet Raw'!$L$4:$L$8000,"&lt;="&amp;MIN(G$6,DATE(2000+VALUE(RIGHT(TRIM($A344),2)),12,31))),SUMIFS('Timesheet Raw'!$P$4:$P$8000,'Timesheet Raw'!$B$4:$B$8000,TRIM($A344),'Timesheet Raw'!$C$4:$C$8000,"*"&amp;$B344&amp;"*",'Timesheet Raw'!$L$4:$L$8000,"&gt;="&amp;G$5,'Timesheet Raw'!$L$4:$L$8000,"&lt;="&amp;G$6)))/'Profit Plan'!$B$5)</f>
        <v>0</v>
      </c>
      <c r="H344" s="122">
        <f>IF($A344="","",(IF(ISNUMBER(SEARCH("Proposal",$A344)),SUMIFS('Timesheet Raw'!$P$4:$P$8000,'Timesheet Raw'!$A$4:$A$8000,IF(ISNUMBER(SEARCH("Chargable",$A344)),"2-Proposals Chargeable","3-Proposals Regular"),'Timesheet Raw'!$C$4:$C$8000,"*"&amp;$B344&amp;"*",'Timesheet Raw'!$L$4:$L$8000,"&gt;="&amp;MAX(H$5,DATE(2000+VALUE(RIGHT(TRIM($A344),2)),1,1)),'Timesheet Raw'!$L$4:$L$8000,"&lt;="&amp;MIN(H$6,DATE(2000+VALUE(RIGHT(TRIM($A344),2)),12,31))),SUMIFS('Timesheet Raw'!$P$4:$P$8000,'Timesheet Raw'!$B$4:$B$8000,TRIM($A344),'Timesheet Raw'!$C$4:$C$8000,"*"&amp;$B344&amp;"*",'Timesheet Raw'!$L$4:$L$8000,"&gt;="&amp;H$5,'Timesheet Raw'!$L$4:$L$8000,"&lt;="&amp;H$6)))/'Profit Plan'!$B$5)</f>
        <v>0</v>
      </c>
      <c r="I344" s="122">
        <f>IF($A344="","",(IF(ISNUMBER(SEARCH("Proposal",$A344)),SUMIFS('Timesheet Raw'!$P$4:$P$8000,'Timesheet Raw'!$A$4:$A$8000,IF(ISNUMBER(SEARCH("Chargable",$A344)),"2-Proposals Chargeable","3-Proposals Regular"),'Timesheet Raw'!$C$4:$C$8000,"*"&amp;$B344&amp;"*",'Timesheet Raw'!$L$4:$L$8000,"&gt;="&amp;MAX(I$5,DATE(2000+VALUE(RIGHT(TRIM($A344),2)),1,1)),'Timesheet Raw'!$L$4:$L$8000,"&lt;="&amp;MIN(I$6,DATE(2000+VALUE(RIGHT(TRIM($A344),2)),12,31))),SUMIFS('Timesheet Raw'!$P$4:$P$8000,'Timesheet Raw'!$B$4:$B$8000,TRIM($A344),'Timesheet Raw'!$C$4:$C$8000,"*"&amp;$B344&amp;"*",'Timesheet Raw'!$L$4:$L$8000,"&gt;="&amp;I$5,'Timesheet Raw'!$L$4:$L$8000,"&lt;="&amp;I$6)))/'Profit Plan'!$B$5)</f>
        <v>0</v>
      </c>
      <c r="J344" s="122">
        <f>IF($A344="","",(IF(ISNUMBER(SEARCH("Proposal",$A344)),SUMIFS('Timesheet Raw'!$P$4:$P$8000,'Timesheet Raw'!$A$4:$A$8000,IF(ISNUMBER(SEARCH("Chargable",$A344)),"2-Proposals Chargeable","3-Proposals Regular"),'Timesheet Raw'!$C$4:$C$8000,"*"&amp;$B344&amp;"*",'Timesheet Raw'!$L$4:$L$8000,"&gt;="&amp;MAX(J$5,DATE(2000+VALUE(RIGHT(TRIM($A344),2)),1,1)),'Timesheet Raw'!$L$4:$L$8000,"&lt;="&amp;MIN(J$6,DATE(2000+VALUE(RIGHT(TRIM($A344),2)),12,31))),SUMIFS('Timesheet Raw'!$P$4:$P$8000,'Timesheet Raw'!$B$4:$B$8000,TRIM($A344),'Timesheet Raw'!$C$4:$C$8000,"*"&amp;$B344&amp;"*",'Timesheet Raw'!$L$4:$L$8000,"&gt;="&amp;J$5,'Timesheet Raw'!$L$4:$L$8000,"&lt;="&amp;J$6)))/'Profit Plan'!$B$5)</f>
        <v>9.1891891891891897E-2</v>
      </c>
      <c r="K344" s="122">
        <f>IF($A344="","",(IF(ISNUMBER(SEARCH("Proposal",$A344)),SUMIFS('Timesheet Raw'!$P$4:$P$8000,'Timesheet Raw'!$A$4:$A$8000,IF(ISNUMBER(SEARCH("Chargable",$A344)),"2-Proposals Chargeable","3-Proposals Regular"),'Timesheet Raw'!$C$4:$C$8000,"*"&amp;$B344&amp;"*",'Timesheet Raw'!$L$4:$L$8000,"&gt;="&amp;MAX(K$5,DATE(2000+VALUE(RIGHT(TRIM($A344),2)),1,1)),'Timesheet Raw'!$L$4:$L$8000,"&lt;="&amp;MIN(K$6,DATE(2000+VALUE(RIGHT(TRIM($A344),2)),12,31))),SUMIFS('Timesheet Raw'!$P$4:$P$8000,'Timesheet Raw'!$B$4:$B$8000,TRIM($A344),'Timesheet Raw'!$C$4:$C$8000,"*"&amp;$B344&amp;"*",'Timesheet Raw'!$L$4:$L$8000,"&gt;="&amp;K$5,'Timesheet Raw'!$L$4:$L$8000,"&lt;="&amp;K$6)))/'Profit Plan'!$B$5)</f>
        <v>0.24864864864864866</v>
      </c>
      <c r="L344" s="122">
        <f>IF($A344="","",(IF(ISNUMBER(SEARCH("Proposal",$A344)),SUMIFS('Timesheet Raw'!$P$4:$P$8000,'Timesheet Raw'!$A$4:$A$8000,IF(ISNUMBER(SEARCH("Chargable",$A344)),"2-Proposals Chargeable","3-Proposals Regular"),'Timesheet Raw'!$C$4:$C$8000,"*"&amp;$B344&amp;"*",'Timesheet Raw'!$L$4:$L$8000,"&gt;="&amp;MAX(L$5,DATE(2000+VALUE(RIGHT(TRIM($A344),2)),1,1)),'Timesheet Raw'!$L$4:$L$8000,"&lt;="&amp;MIN(L$6,DATE(2000+VALUE(RIGHT(TRIM($A344),2)),12,31))),SUMIFS('Timesheet Raw'!$P$4:$P$8000,'Timesheet Raw'!$B$4:$B$8000,TRIM($A344),'Timesheet Raw'!$C$4:$C$8000,"*"&amp;$B344&amp;"*",'Timesheet Raw'!$L$4:$L$8000,"&gt;="&amp;L$5,'Timesheet Raw'!$L$4:$L$8000,"&lt;="&amp;L$6)))/'Profit Plan'!$B$5)</f>
        <v>0</v>
      </c>
      <c r="M344" s="122">
        <f>IF($A344="","",(IF(ISNUMBER(SEARCH("Proposal",$A344)),SUMIFS('Timesheet Raw'!$P$4:$P$8000,'Timesheet Raw'!$A$4:$A$8000,IF(ISNUMBER(SEARCH("Chargable",$A344)),"2-Proposals Chargeable","3-Proposals Regular"),'Timesheet Raw'!$C$4:$C$8000,"*"&amp;$B344&amp;"*",'Timesheet Raw'!$L$4:$L$8000,"&gt;="&amp;MAX(M$5,DATE(2000+VALUE(RIGHT(TRIM($A344),2)),1,1)),'Timesheet Raw'!$L$4:$L$8000,"&lt;="&amp;MIN(M$6,DATE(2000+VALUE(RIGHT(TRIM($A344),2)),12,31))),SUMIFS('Timesheet Raw'!$P$4:$P$8000,'Timesheet Raw'!$B$4:$B$8000,TRIM($A344),'Timesheet Raw'!$C$4:$C$8000,"*"&amp;$B344&amp;"*",'Timesheet Raw'!$L$4:$L$8000,"&gt;="&amp;M$5,'Timesheet Raw'!$L$4:$L$8000,"&lt;="&amp;M$6)))/'Profit Plan'!$B$5)</f>
        <v>0</v>
      </c>
      <c r="N344" s="122">
        <f>IF($A344="","",(IF(ISNUMBER(SEARCH("Proposal",$A344)),SUMIFS('Timesheet Raw'!$P$4:$P$8000,'Timesheet Raw'!$A$4:$A$8000,IF(ISNUMBER(SEARCH("Chargable",$A344)),"2-Proposals Chargeable","3-Proposals Regular"),'Timesheet Raw'!$C$4:$C$8000,"*"&amp;$B344&amp;"*",'Timesheet Raw'!$L$4:$L$8000,"&gt;="&amp;MAX(N$5,DATE(2000+VALUE(RIGHT(TRIM($A344),2)),1,1)),'Timesheet Raw'!$L$4:$L$8000,"&lt;="&amp;MIN(N$6,DATE(2000+VALUE(RIGHT(TRIM($A344),2)),12,31))),SUMIFS('Timesheet Raw'!$P$4:$P$8000,'Timesheet Raw'!$B$4:$B$8000,TRIM($A344),'Timesheet Raw'!$C$4:$C$8000,"*"&amp;$B344&amp;"*",'Timesheet Raw'!$L$4:$L$8000,"&gt;="&amp;N$5,'Timesheet Raw'!$L$4:$L$8000,"&lt;="&amp;N$6)))/'Profit Plan'!$B$5)</f>
        <v>0</v>
      </c>
      <c r="O344" s="122">
        <f>IF($A344="","",(IF(ISNUMBER(SEARCH("Proposal",$A344)),SUMIFS('Timesheet Raw'!$P$4:$P$8000,'Timesheet Raw'!$A$4:$A$8000,IF(ISNUMBER(SEARCH("Chargable",$A344)),"2-Proposals Chargeable","3-Proposals Regular"),'Timesheet Raw'!$C$4:$C$8000,"*"&amp;$B344&amp;"*",'Timesheet Raw'!$L$4:$L$8000,"&gt;="&amp;MAX(O$5,DATE(2000+VALUE(RIGHT(TRIM($A344),2)),1,1)),'Timesheet Raw'!$L$4:$L$8000,"&lt;="&amp;MIN(O$6,DATE(2000+VALUE(RIGHT(TRIM($A344),2)),12,31))),SUMIFS('Timesheet Raw'!$P$4:$P$8000,'Timesheet Raw'!$B$4:$B$8000,TRIM($A344),'Timesheet Raw'!$C$4:$C$8000,"*"&amp;$B344&amp;"*",'Timesheet Raw'!$L$4:$L$8000,"&gt;="&amp;O$5,'Timesheet Raw'!$L$4:$L$8000,"&lt;="&amp;O$6)))/'Profit Plan'!$B$5)</f>
        <v>0</v>
      </c>
      <c r="P344" s="122">
        <f>IF($A344="","",(IF(ISNUMBER(SEARCH("Proposal",$A344)),SUMIFS('Timesheet Raw'!$P$4:$P$8000,'Timesheet Raw'!$A$4:$A$8000,IF(ISNUMBER(SEARCH("Chargable",$A344)),"2-Proposals Chargeable","3-Proposals Regular"),'Timesheet Raw'!$C$4:$C$8000,"*"&amp;$B344&amp;"*",'Timesheet Raw'!$L$4:$L$8000,"&gt;="&amp;MAX(P$5,DATE(2000+VALUE(RIGHT(TRIM($A344),2)),1,1)),'Timesheet Raw'!$L$4:$L$8000,"&lt;="&amp;MIN(P$6,DATE(2000+VALUE(RIGHT(TRIM($A344),2)),12,31))),SUMIFS('Timesheet Raw'!$P$4:$P$8000,'Timesheet Raw'!$B$4:$B$8000,TRIM($A344),'Timesheet Raw'!$C$4:$C$8000,"*"&amp;$B344&amp;"*",'Timesheet Raw'!$L$4:$L$8000,"&gt;="&amp;P$5,'Timesheet Raw'!$L$4:$L$8000,"&lt;="&amp;P$6)))/'Profit Plan'!$B$5)</f>
        <v>0</v>
      </c>
      <c r="Q344" s="122">
        <f>IF($A344="","",(IF(ISNUMBER(SEARCH("Proposal",$A344)),SUMIFS('Timesheet Raw'!$P$4:$P$8000,'Timesheet Raw'!$A$4:$A$8000,IF(ISNUMBER(SEARCH("Chargable",$A344)),"2-Proposals Chargeable","3-Proposals Regular"),'Timesheet Raw'!$C$4:$C$8000,"*"&amp;$B344&amp;"*",'Timesheet Raw'!$L$4:$L$8000,"&gt;="&amp;MAX(Q$5,DATE(2000+VALUE(RIGHT(TRIM($A344),2)),1,1)),'Timesheet Raw'!$L$4:$L$8000,"&lt;="&amp;MIN(Q$6,DATE(2000+VALUE(RIGHT(TRIM($A344),2)),12,31))),SUMIFS('Timesheet Raw'!$P$4:$P$8000,'Timesheet Raw'!$B$4:$B$8000,TRIM($A344),'Timesheet Raw'!$C$4:$C$8000,"*"&amp;$B344&amp;"*",'Timesheet Raw'!$L$4:$L$8000,"&gt;="&amp;Q$5,'Timesheet Raw'!$L$4:$L$8000,"&lt;="&amp;Q$6)))/'Profit Plan'!$B$5)</f>
        <v>0</v>
      </c>
      <c r="R344" s="122">
        <f>IF($A344="","",(IF(ISNUMBER(SEARCH("Proposal",$A344)),SUMIFS('Timesheet Raw'!$P$4:$P$8000,'Timesheet Raw'!$A$4:$A$8000,IF(ISNUMBER(SEARCH("Chargable",$A344)),"2-Proposals Chargeable","3-Proposals Regular"),'Timesheet Raw'!$C$4:$C$8000,"*"&amp;$B344&amp;"*",'Timesheet Raw'!$L$4:$L$8000,"&gt;="&amp;MAX(R$5,DATE(2000+VALUE(RIGHT(TRIM($A344),2)),1,1)),'Timesheet Raw'!$L$4:$L$8000,"&lt;="&amp;MIN(R$6,DATE(2000+VALUE(RIGHT(TRIM($A344),2)),12,31))),SUMIFS('Timesheet Raw'!$P$4:$P$8000,'Timesheet Raw'!$B$4:$B$8000,TRIM($A344),'Timesheet Raw'!$C$4:$C$8000,"*"&amp;$B344&amp;"*",'Timesheet Raw'!$L$4:$L$8000,"&gt;="&amp;R$5,'Timesheet Raw'!$L$4:$L$8000,"&lt;="&amp;R$6)))/'Profit Plan'!$B$5)</f>
        <v>0</v>
      </c>
      <c r="S344" s="122">
        <f>IF($A344="","",(IF(ISNUMBER(SEARCH("Proposal",$A344)),SUMIFS('Timesheet Raw'!$P$4:$P$8000,'Timesheet Raw'!$A$4:$A$8000,IF(ISNUMBER(SEARCH("Chargable",$A344)),"2-Proposals Chargeable","3-Proposals Regular"),'Timesheet Raw'!$C$4:$C$8000,"*"&amp;$B344&amp;"*",'Timesheet Raw'!$L$4:$L$8000,"&gt;="&amp;MAX(S$5,DATE(2000+VALUE(RIGHT(TRIM($A344),2)),1,1)),'Timesheet Raw'!$L$4:$L$8000,"&lt;="&amp;MIN(S$6,DATE(2000+VALUE(RIGHT(TRIM($A344),2)),12,31))),SUMIFS('Timesheet Raw'!$P$4:$P$8000,'Timesheet Raw'!$B$4:$B$8000,TRIM($A344),'Timesheet Raw'!$C$4:$C$8000,"*"&amp;$B344&amp;"*",'Timesheet Raw'!$L$4:$L$8000,"&gt;="&amp;S$5,'Timesheet Raw'!$L$4:$L$8000,"&lt;="&amp;S$6)))/'Profit Plan'!$B$5)</f>
        <v>0</v>
      </c>
      <c r="T344" s="122">
        <f>IF($A344="","",(IF(ISNUMBER(SEARCH("Proposal",$A344)),SUMIFS('Timesheet Raw'!$P$4:$P$8000,'Timesheet Raw'!$A$4:$A$8000,IF(ISNUMBER(SEARCH("Chargable",$A344)),"2-Proposals Chargeable","3-Proposals Regular"),'Timesheet Raw'!$C$4:$C$8000,"*"&amp;$B344&amp;"*",'Timesheet Raw'!$L$4:$L$8000,"&gt;="&amp;MAX(T$5,DATE(2000+VALUE(RIGHT(TRIM($A344),2)),1,1)),'Timesheet Raw'!$L$4:$L$8000,"&lt;="&amp;MIN(T$6,DATE(2000+VALUE(RIGHT(TRIM($A344),2)),12,31))),SUMIFS('Timesheet Raw'!$P$4:$P$8000,'Timesheet Raw'!$B$4:$B$8000,TRIM($A344),'Timesheet Raw'!$C$4:$C$8000,"*"&amp;$B344&amp;"*",'Timesheet Raw'!$L$4:$L$8000,"&gt;="&amp;T$5,'Timesheet Raw'!$L$4:$L$8000,"&lt;="&amp;T$6)))/'Profit Plan'!$B$5)</f>
        <v>0</v>
      </c>
      <c r="U344" s="122">
        <f>IF($A344="","",(IF(ISNUMBER(SEARCH("Proposal",$A344)),SUMIFS('Timesheet Raw'!$P$4:$P$8000,'Timesheet Raw'!$A$4:$A$8000,IF(ISNUMBER(SEARCH("Chargable",$A344)),"2-Proposals Chargeable","3-Proposals Regular"),'Timesheet Raw'!$C$4:$C$8000,"*"&amp;$B344&amp;"*",'Timesheet Raw'!$L$4:$L$8000,"&gt;="&amp;MAX(U$5,DATE(2000+VALUE(RIGHT(TRIM($A344),2)),1,1)),'Timesheet Raw'!$L$4:$L$8000,"&lt;="&amp;MIN(U$6,DATE(2000+VALUE(RIGHT(TRIM($A344),2)),12,31))),SUMIFS('Timesheet Raw'!$P$4:$P$8000,'Timesheet Raw'!$B$4:$B$8000,TRIM($A344),'Timesheet Raw'!$C$4:$C$8000,"*"&amp;$B344&amp;"*",'Timesheet Raw'!$L$4:$L$8000,"&gt;="&amp;U$5,'Timesheet Raw'!$L$4:$L$8000,"&lt;="&amp;U$6)))/'Profit Plan'!$B$5)</f>
        <v>0</v>
      </c>
      <c r="V344" s="122">
        <f>IF($A344="","",(IF(ISNUMBER(SEARCH("Proposal",$A344)),SUMIFS('Timesheet Raw'!$P$4:$P$8000,'Timesheet Raw'!$A$4:$A$8000,IF(ISNUMBER(SEARCH("Chargable",$A344)),"2-Proposals Chargeable","3-Proposals Regular"),'Timesheet Raw'!$C$4:$C$8000,"*"&amp;$B344&amp;"*",'Timesheet Raw'!$L$4:$L$8000,"&gt;="&amp;MAX(V$5,DATE(2000+VALUE(RIGHT(TRIM($A344),2)),1,1)),'Timesheet Raw'!$L$4:$L$8000,"&lt;="&amp;MIN(V$6,DATE(2000+VALUE(RIGHT(TRIM($A344),2)),12,31))),SUMIFS('Timesheet Raw'!$P$4:$P$8000,'Timesheet Raw'!$B$4:$B$8000,TRIM($A344),'Timesheet Raw'!$C$4:$C$8000,"*"&amp;$B344&amp;"*",'Timesheet Raw'!$L$4:$L$8000,"&gt;="&amp;V$5,'Timesheet Raw'!$L$4:$L$8000,"&lt;="&amp;V$6)))/'Profit Plan'!$B$5)</f>
        <v>0</v>
      </c>
      <c r="W344" s="122">
        <f>IF($A344="","",(IF(ISNUMBER(SEARCH("Proposal",$A344)),SUMIFS('Timesheet Raw'!$P$4:$P$8000,'Timesheet Raw'!$A$4:$A$8000,IF(ISNUMBER(SEARCH("Chargable",$A344)),"2-Proposals Chargeable","3-Proposals Regular"),'Timesheet Raw'!$C$4:$C$8000,"*"&amp;$B344&amp;"*",'Timesheet Raw'!$L$4:$L$8000,"&gt;="&amp;MAX(W$5,DATE(2000+VALUE(RIGHT(TRIM($A344),2)),1,1)),'Timesheet Raw'!$L$4:$L$8000,"&lt;="&amp;MIN(W$6,DATE(2000+VALUE(RIGHT(TRIM($A344),2)),12,31))),SUMIFS('Timesheet Raw'!$P$4:$P$8000,'Timesheet Raw'!$B$4:$B$8000,TRIM($A344),'Timesheet Raw'!$C$4:$C$8000,"*"&amp;$B344&amp;"*",'Timesheet Raw'!$L$4:$L$8000,"&gt;="&amp;W$5,'Timesheet Raw'!$L$4:$L$8000,"&lt;="&amp;W$6)))/'Profit Plan'!$B$5)</f>
        <v>0</v>
      </c>
      <c r="X344" s="122">
        <f>IF($A344="","",(IF(ISNUMBER(SEARCH("Proposal",$A344)),SUMIFS('Timesheet Raw'!$P$4:$P$8000,'Timesheet Raw'!$A$4:$A$8000,IF(ISNUMBER(SEARCH("Chargable",$A344)),"2-Proposals Chargeable","3-Proposals Regular"),'Timesheet Raw'!$C$4:$C$8000,"*"&amp;$B344&amp;"*",'Timesheet Raw'!$L$4:$L$8000,"&gt;="&amp;MAX(X$5,DATE(2000+VALUE(RIGHT(TRIM($A344),2)),1,1)),'Timesheet Raw'!$L$4:$L$8000,"&lt;="&amp;MIN(X$6,DATE(2000+VALUE(RIGHT(TRIM($A344),2)),12,31))),SUMIFS('Timesheet Raw'!$P$4:$P$8000,'Timesheet Raw'!$B$4:$B$8000,TRIM($A344),'Timesheet Raw'!$C$4:$C$8000,"*"&amp;$B344&amp;"*",'Timesheet Raw'!$L$4:$L$8000,"&gt;="&amp;X$5,'Timesheet Raw'!$L$4:$L$8000,"&lt;="&amp;X$6)))/'Profit Plan'!$B$5)</f>
        <v>0</v>
      </c>
      <c r="Y344" s="118">
        <f t="shared" si="101"/>
        <v>0.34054054054054056</v>
      </c>
    </row>
    <row r="345" spans="1:25" x14ac:dyDescent="0.3">
      <c r="A345" s="116" t="str">
        <f>IF(Inputs!$A32="","",Inputs!$A32)</f>
        <v>Proposals 25</v>
      </c>
      <c r="B345" s="116" t="str">
        <f>IF(Inputs!$A32="","",Inputs!$A$93)</f>
        <v>Kirolos</v>
      </c>
      <c r="C345" s="116"/>
      <c r="D345" s="122">
        <f>IF($A345="","",(IF(ISNUMBER(SEARCH("Proposal",$A345)),SUMIFS('Timesheet Raw'!$P$4:$P$8000,'Timesheet Raw'!$A$4:$A$8000,IF(ISNUMBER(SEARCH("Chargable",$A345)),"2-Proposals Chargeable","3-Proposals Regular"),'Timesheet Raw'!$C$4:$C$8000,"*"&amp;$B345&amp;"*",'Timesheet Raw'!$L$4:$L$8000,"&gt;="&amp;MAX(D$5,DATE(2000+VALUE(RIGHT(TRIM($A345),2)),1,1)),'Timesheet Raw'!$L$4:$L$8000,"&lt;="&amp;MIN(D$6,DATE(2000+VALUE(RIGHT(TRIM($A345),2)),12,31))),SUMIFS('Timesheet Raw'!$P$4:$P$8000,'Timesheet Raw'!$B$4:$B$8000,TRIM($A345),'Timesheet Raw'!$C$4:$C$8000,"*"&amp;$B345&amp;"*",'Timesheet Raw'!$L$4:$L$8000,"&gt;="&amp;D$5,'Timesheet Raw'!$L$4:$L$8000,"&lt;="&amp;D$6)))/'Profit Plan'!$B$5)</f>
        <v>0</v>
      </c>
      <c r="E345" s="122">
        <f>IF($A345="","",(IF(ISNUMBER(SEARCH("Proposal",$A345)),SUMIFS('Timesheet Raw'!$P$4:$P$8000,'Timesheet Raw'!$A$4:$A$8000,IF(ISNUMBER(SEARCH("Chargable",$A345)),"2-Proposals Chargeable","3-Proposals Regular"),'Timesheet Raw'!$C$4:$C$8000,"*"&amp;$B345&amp;"*",'Timesheet Raw'!$L$4:$L$8000,"&gt;="&amp;MAX(E$5,DATE(2000+VALUE(RIGHT(TRIM($A345),2)),1,1)),'Timesheet Raw'!$L$4:$L$8000,"&lt;="&amp;MIN(E$6,DATE(2000+VALUE(RIGHT(TRIM($A345),2)),12,31))),SUMIFS('Timesheet Raw'!$P$4:$P$8000,'Timesheet Raw'!$B$4:$B$8000,TRIM($A345),'Timesheet Raw'!$C$4:$C$8000,"*"&amp;$B345&amp;"*",'Timesheet Raw'!$L$4:$L$8000,"&gt;="&amp;E$5,'Timesheet Raw'!$L$4:$L$8000,"&lt;="&amp;E$6)))/'Profit Plan'!$B$5)</f>
        <v>0</v>
      </c>
      <c r="F345" s="122">
        <f>IF($A345="","",(IF(ISNUMBER(SEARCH("Proposal",$A345)),SUMIFS('Timesheet Raw'!$P$4:$P$8000,'Timesheet Raw'!$A$4:$A$8000,IF(ISNUMBER(SEARCH("Chargable",$A345)),"2-Proposals Chargeable","3-Proposals Regular"),'Timesheet Raw'!$C$4:$C$8000,"*"&amp;$B345&amp;"*",'Timesheet Raw'!$L$4:$L$8000,"&gt;="&amp;MAX(F$5,DATE(2000+VALUE(RIGHT(TRIM($A345),2)),1,1)),'Timesheet Raw'!$L$4:$L$8000,"&lt;="&amp;MIN(F$6,DATE(2000+VALUE(RIGHT(TRIM($A345),2)),12,31))),SUMIFS('Timesheet Raw'!$P$4:$P$8000,'Timesheet Raw'!$B$4:$B$8000,TRIM($A345),'Timesheet Raw'!$C$4:$C$8000,"*"&amp;$B345&amp;"*",'Timesheet Raw'!$L$4:$L$8000,"&gt;="&amp;F$5,'Timesheet Raw'!$L$4:$L$8000,"&lt;="&amp;F$6)))/'Profit Plan'!$B$5)</f>
        <v>0</v>
      </c>
      <c r="G345" s="122">
        <f>IF($A345="","",(IF(ISNUMBER(SEARCH("Proposal",$A345)),SUMIFS('Timesheet Raw'!$P$4:$P$8000,'Timesheet Raw'!$A$4:$A$8000,IF(ISNUMBER(SEARCH("Chargable",$A345)),"2-Proposals Chargeable","3-Proposals Regular"),'Timesheet Raw'!$C$4:$C$8000,"*"&amp;$B345&amp;"*",'Timesheet Raw'!$L$4:$L$8000,"&gt;="&amp;MAX(G$5,DATE(2000+VALUE(RIGHT(TRIM($A345),2)),1,1)),'Timesheet Raw'!$L$4:$L$8000,"&lt;="&amp;MIN(G$6,DATE(2000+VALUE(RIGHT(TRIM($A345),2)),12,31))),SUMIFS('Timesheet Raw'!$P$4:$P$8000,'Timesheet Raw'!$B$4:$B$8000,TRIM($A345),'Timesheet Raw'!$C$4:$C$8000,"*"&amp;$B345&amp;"*",'Timesheet Raw'!$L$4:$L$8000,"&gt;="&amp;G$5,'Timesheet Raw'!$L$4:$L$8000,"&lt;="&amp;G$6)))/'Profit Plan'!$B$5)</f>
        <v>0</v>
      </c>
      <c r="H345" s="122">
        <f>IF($A345="","",(IF(ISNUMBER(SEARCH("Proposal",$A345)),SUMIFS('Timesheet Raw'!$P$4:$P$8000,'Timesheet Raw'!$A$4:$A$8000,IF(ISNUMBER(SEARCH("Chargable",$A345)),"2-Proposals Chargeable","3-Proposals Regular"),'Timesheet Raw'!$C$4:$C$8000,"*"&amp;$B345&amp;"*",'Timesheet Raw'!$L$4:$L$8000,"&gt;="&amp;MAX(H$5,DATE(2000+VALUE(RIGHT(TRIM($A345),2)),1,1)),'Timesheet Raw'!$L$4:$L$8000,"&lt;="&amp;MIN(H$6,DATE(2000+VALUE(RIGHT(TRIM($A345),2)),12,31))),SUMIFS('Timesheet Raw'!$P$4:$P$8000,'Timesheet Raw'!$B$4:$B$8000,TRIM($A345),'Timesheet Raw'!$C$4:$C$8000,"*"&amp;$B345&amp;"*",'Timesheet Raw'!$L$4:$L$8000,"&gt;="&amp;H$5,'Timesheet Raw'!$L$4:$L$8000,"&lt;="&amp;H$6)))/'Profit Plan'!$B$5)</f>
        <v>0</v>
      </c>
      <c r="I345" s="122">
        <f>IF($A345="","",(IF(ISNUMBER(SEARCH("Proposal",$A345)),SUMIFS('Timesheet Raw'!$P$4:$P$8000,'Timesheet Raw'!$A$4:$A$8000,IF(ISNUMBER(SEARCH("Chargable",$A345)),"2-Proposals Chargeable","3-Proposals Regular"),'Timesheet Raw'!$C$4:$C$8000,"*"&amp;$B345&amp;"*",'Timesheet Raw'!$L$4:$L$8000,"&gt;="&amp;MAX(I$5,DATE(2000+VALUE(RIGHT(TRIM($A345),2)),1,1)),'Timesheet Raw'!$L$4:$L$8000,"&lt;="&amp;MIN(I$6,DATE(2000+VALUE(RIGHT(TRIM($A345),2)),12,31))),SUMIFS('Timesheet Raw'!$P$4:$P$8000,'Timesheet Raw'!$B$4:$B$8000,TRIM($A345),'Timesheet Raw'!$C$4:$C$8000,"*"&amp;$B345&amp;"*",'Timesheet Raw'!$L$4:$L$8000,"&gt;="&amp;I$5,'Timesheet Raw'!$L$4:$L$8000,"&lt;="&amp;I$6)))/'Profit Plan'!$B$5)</f>
        <v>0</v>
      </c>
      <c r="J345" s="122">
        <f>IF($A345="","",(IF(ISNUMBER(SEARCH("Proposal",$A345)),SUMIFS('Timesheet Raw'!$P$4:$P$8000,'Timesheet Raw'!$A$4:$A$8000,IF(ISNUMBER(SEARCH("Chargable",$A345)),"2-Proposals Chargeable","3-Proposals Regular"),'Timesheet Raw'!$C$4:$C$8000,"*"&amp;$B345&amp;"*",'Timesheet Raw'!$L$4:$L$8000,"&gt;="&amp;MAX(J$5,DATE(2000+VALUE(RIGHT(TRIM($A345),2)),1,1)),'Timesheet Raw'!$L$4:$L$8000,"&lt;="&amp;MIN(J$6,DATE(2000+VALUE(RIGHT(TRIM($A345),2)),12,31))),SUMIFS('Timesheet Raw'!$P$4:$P$8000,'Timesheet Raw'!$B$4:$B$8000,TRIM($A345),'Timesheet Raw'!$C$4:$C$8000,"*"&amp;$B345&amp;"*",'Timesheet Raw'!$L$4:$L$8000,"&gt;="&amp;J$5,'Timesheet Raw'!$L$4:$L$8000,"&lt;="&amp;J$6)))/'Profit Plan'!$B$5)</f>
        <v>5.1351351351351354E-2</v>
      </c>
      <c r="K345" s="122">
        <f>IF($A345="","",(IF(ISNUMBER(SEARCH("Proposal",$A345)),SUMIFS('Timesheet Raw'!$P$4:$P$8000,'Timesheet Raw'!$A$4:$A$8000,IF(ISNUMBER(SEARCH("Chargable",$A345)),"2-Proposals Chargeable","3-Proposals Regular"),'Timesheet Raw'!$C$4:$C$8000,"*"&amp;$B345&amp;"*",'Timesheet Raw'!$L$4:$L$8000,"&gt;="&amp;MAX(K$5,DATE(2000+VALUE(RIGHT(TRIM($A345),2)),1,1)),'Timesheet Raw'!$L$4:$L$8000,"&lt;="&amp;MIN(K$6,DATE(2000+VALUE(RIGHT(TRIM($A345),2)),12,31))),SUMIFS('Timesheet Raw'!$P$4:$P$8000,'Timesheet Raw'!$B$4:$B$8000,TRIM($A345),'Timesheet Raw'!$C$4:$C$8000,"*"&amp;$B345&amp;"*",'Timesheet Raw'!$L$4:$L$8000,"&gt;="&amp;K$5,'Timesheet Raw'!$L$4:$L$8000,"&lt;="&amp;K$6)))/'Profit Plan'!$B$5)</f>
        <v>0.62027027027027026</v>
      </c>
      <c r="L345" s="122">
        <f>IF($A345="","",(IF(ISNUMBER(SEARCH("Proposal",$A345)),SUMIFS('Timesheet Raw'!$P$4:$P$8000,'Timesheet Raw'!$A$4:$A$8000,IF(ISNUMBER(SEARCH("Chargable",$A345)),"2-Proposals Chargeable","3-Proposals Regular"),'Timesheet Raw'!$C$4:$C$8000,"*"&amp;$B345&amp;"*",'Timesheet Raw'!$L$4:$L$8000,"&gt;="&amp;MAX(L$5,DATE(2000+VALUE(RIGHT(TRIM($A345),2)),1,1)),'Timesheet Raw'!$L$4:$L$8000,"&lt;="&amp;MIN(L$6,DATE(2000+VALUE(RIGHT(TRIM($A345),2)),12,31))),SUMIFS('Timesheet Raw'!$P$4:$P$8000,'Timesheet Raw'!$B$4:$B$8000,TRIM($A345),'Timesheet Raw'!$C$4:$C$8000,"*"&amp;$B345&amp;"*",'Timesheet Raw'!$L$4:$L$8000,"&gt;="&amp;L$5,'Timesheet Raw'!$L$4:$L$8000,"&lt;="&amp;L$6)))/'Profit Plan'!$B$5)</f>
        <v>0</v>
      </c>
      <c r="M345" s="122">
        <f>IF($A345="","",(IF(ISNUMBER(SEARCH("Proposal",$A345)),SUMIFS('Timesheet Raw'!$P$4:$P$8000,'Timesheet Raw'!$A$4:$A$8000,IF(ISNUMBER(SEARCH("Chargable",$A345)),"2-Proposals Chargeable","3-Proposals Regular"),'Timesheet Raw'!$C$4:$C$8000,"*"&amp;$B345&amp;"*",'Timesheet Raw'!$L$4:$L$8000,"&gt;="&amp;MAX(M$5,DATE(2000+VALUE(RIGHT(TRIM($A345),2)),1,1)),'Timesheet Raw'!$L$4:$L$8000,"&lt;="&amp;MIN(M$6,DATE(2000+VALUE(RIGHT(TRIM($A345),2)),12,31))),SUMIFS('Timesheet Raw'!$P$4:$P$8000,'Timesheet Raw'!$B$4:$B$8000,TRIM($A345),'Timesheet Raw'!$C$4:$C$8000,"*"&amp;$B345&amp;"*",'Timesheet Raw'!$L$4:$L$8000,"&gt;="&amp;M$5,'Timesheet Raw'!$L$4:$L$8000,"&lt;="&amp;M$6)))/'Profit Plan'!$B$5)</f>
        <v>0</v>
      </c>
      <c r="N345" s="122">
        <f>IF($A345="","",(IF(ISNUMBER(SEARCH("Proposal",$A345)),SUMIFS('Timesheet Raw'!$P$4:$P$8000,'Timesheet Raw'!$A$4:$A$8000,IF(ISNUMBER(SEARCH("Chargable",$A345)),"2-Proposals Chargeable","3-Proposals Regular"),'Timesheet Raw'!$C$4:$C$8000,"*"&amp;$B345&amp;"*",'Timesheet Raw'!$L$4:$L$8000,"&gt;="&amp;MAX(N$5,DATE(2000+VALUE(RIGHT(TRIM($A345),2)),1,1)),'Timesheet Raw'!$L$4:$L$8000,"&lt;="&amp;MIN(N$6,DATE(2000+VALUE(RIGHT(TRIM($A345),2)),12,31))),SUMIFS('Timesheet Raw'!$P$4:$P$8000,'Timesheet Raw'!$B$4:$B$8000,TRIM($A345),'Timesheet Raw'!$C$4:$C$8000,"*"&amp;$B345&amp;"*",'Timesheet Raw'!$L$4:$L$8000,"&gt;="&amp;N$5,'Timesheet Raw'!$L$4:$L$8000,"&lt;="&amp;N$6)))/'Profit Plan'!$B$5)</f>
        <v>0</v>
      </c>
      <c r="O345" s="122">
        <f>IF($A345="","",(IF(ISNUMBER(SEARCH("Proposal",$A345)),SUMIFS('Timesheet Raw'!$P$4:$P$8000,'Timesheet Raw'!$A$4:$A$8000,IF(ISNUMBER(SEARCH("Chargable",$A345)),"2-Proposals Chargeable","3-Proposals Regular"),'Timesheet Raw'!$C$4:$C$8000,"*"&amp;$B345&amp;"*",'Timesheet Raw'!$L$4:$L$8000,"&gt;="&amp;MAX(O$5,DATE(2000+VALUE(RIGHT(TRIM($A345),2)),1,1)),'Timesheet Raw'!$L$4:$L$8000,"&lt;="&amp;MIN(O$6,DATE(2000+VALUE(RIGHT(TRIM($A345),2)),12,31))),SUMIFS('Timesheet Raw'!$P$4:$P$8000,'Timesheet Raw'!$B$4:$B$8000,TRIM($A345),'Timesheet Raw'!$C$4:$C$8000,"*"&amp;$B345&amp;"*",'Timesheet Raw'!$L$4:$L$8000,"&gt;="&amp;O$5,'Timesheet Raw'!$L$4:$L$8000,"&lt;="&amp;O$6)))/'Profit Plan'!$B$5)</f>
        <v>0</v>
      </c>
      <c r="P345" s="122">
        <f>IF($A345="","",(IF(ISNUMBER(SEARCH("Proposal",$A345)),SUMIFS('Timesheet Raw'!$P$4:$P$8000,'Timesheet Raw'!$A$4:$A$8000,IF(ISNUMBER(SEARCH("Chargable",$A345)),"2-Proposals Chargeable","3-Proposals Regular"),'Timesheet Raw'!$C$4:$C$8000,"*"&amp;$B345&amp;"*",'Timesheet Raw'!$L$4:$L$8000,"&gt;="&amp;MAX(P$5,DATE(2000+VALUE(RIGHT(TRIM($A345),2)),1,1)),'Timesheet Raw'!$L$4:$L$8000,"&lt;="&amp;MIN(P$6,DATE(2000+VALUE(RIGHT(TRIM($A345),2)),12,31))),SUMIFS('Timesheet Raw'!$P$4:$P$8000,'Timesheet Raw'!$B$4:$B$8000,TRIM($A345),'Timesheet Raw'!$C$4:$C$8000,"*"&amp;$B345&amp;"*",'Timesheet Raw'!$L$4:$L$8000,"&gt;="&amp;P$5,'Timesheet Raw'!$L$4:$L$8000,"&lt;="&amp;P$6)))/'Profit Plan'!$B$5)</f>
        <v>0</v>
      </c>
      <c r="Q345" s="122">
        <f>IF($A345="","",(IF(ISNUMBER(SEARCH("Proposal",$A345)),SUMIFS('Timesheet Raw'!$P$4:$P$8000,'Timesheet Raw'!$A$4:$A$8000,IF(ISNUMBER(SEARCH("Chargable",$A345)),"2-Proposals Chargeable","3-Proposals Regular"),'Timesheet Raw'!$C$4:$C$8000,"*"&amp;$B345&amp;"*",'Timesheet Raw'!$L$4:$L$8000,"&gt;="&amp;MAX(Q$5,DATE(2000+VALUE(RIGHT(TRIM($A345),2)),1,1)),'Timesheet Raw'!$L$4:$L$8000,"&lt;="&amp;MIN(Q$6,DATE(2000+VALUE(RIGHT(TRIM($A345),2)),12,31))),SUMIFS('Timesheet Raw'!$P$4:$P$8000,'Timesheet Raw'!$B$4:$B$8000,TRIM($A345),'Timesheet Raw'!$C$4:$C$8000,"*"&amp;$B345&amp;"*",'Timesheet Raw'!$L$4:$L$8000,"&gt;="&amp;Q$5,'Timesheet Raw'!$L$4:$L$8000,"&lt;="&amp;Q$6)))/'Profit Plan'!$B$5)</f>
        <v>0</v>
      </c>
      <c r="R345" s="122">
        <f>IF($A345="","",(IF(ISNUMBER(SEARCH("Proposal",$A345)),SUMIFS('Timesheet Raw'!$P$4:$P$8000,'Timesheet Raw'!$A$4:$A$8000,IF(ISNUMBER(SEARCH("Chargable",$A345)),"2-Proposals Chargeable","3-Proposals Regular"),'Timesheet Raw'!$C$4:$C$8000,"*"&amp;$B345&amp;"*",'Timesheet Raw'!$L$4:$L$8000,"&gt;="&amp;MAX(R$5,DATE(2000+VALUE(RIGHT(TRIM($A345),2)),1,1)),'Timesheet Raw'!$L$4:$L$8000,"&lt;="&amp;MIN(R$6,DATE(2000+VALUE(RIGHT(TRIM($A345),2)),12,31))),SUMIFS('Timesheet Raw'!$P$4:$P$8000,'Timesheet Raw'!$B$4:$B$8000,TRIM($A345),'Timesheet Raw'!$C$4:$C$8000,"*"&amp;$B345&amp;"*",'Timesheet Raw'!$L$4:$L$8000,"&gt;="&amp;R$5,'Timesheet Raw'!$L$4:$L$8000,"&lt;="&amp;R$6)))/'Profit Plan'!$B$5)</f>
        <v>0</v>
      </c>
      <c r="S345" s="122">
        <f>IF($A345="","",(IF(ISNUMBER(SEARCH("Proposal",$A345)),SUMIFS('Timesheet Raw'!$P$4:$P$8000,'Timesheet Raw'!$A$4:$A$8000,IF(ISNUMBER(SEARCH("Chargable",$A345)),"2-Proposals Chargeable","3-Proposals Regular"),'Timesheet Raw'!$C$4:$C$8000,"*"&amp;$B345&amp;"*",'Timesheet Raw'!$L$4:$L$8000,"&gt;="&amp;MAX(S$5,DATE(2000+VALUE(RIGHT(TRIM($A345),2)),1,1)),'Timesheet Raw'!$L$4:$L$8000,"&lt;="&amp;MIN(S$6,DATE(2000+VALUE(RIGHT(TRIM($A345),2)),12,31))),SUMIFS('Timesheet Raw'!$P$4:$P$8000,'Timesheet Raw'!$B$4:$B$8000,TRIM($A345),'Timesheet Raw'!$C$4:$C$8000,"*"&amp;$B345&amp;"*",'Timesheet Raw'!$L$4:$L$8000,"&gt;="&amp;S$5,'Timesheet Raw'!$L$4:$L$8000,"&lt;="&amp;S$6)))/'Profit Plan'!$B$5)</f>
        <v>0</v>
      </c>
      <c r="T345" s="122">
        <f>IF($A345="","",(IF(ISNUMBER(SEARCH("Proposal",$A345)),SUMIFS('Timesheet Raw'!$P$4:$P$8000,'Timesheet Raw'!$A$4:$A$8000,IF(ISNUMBER(SEARCH("Chargable",$A345)),"2-Proposals Chargeable","3-Proposals Regular"),'Timesheet Raw'!$C$4:$C$8000,"*"&amp;$B345&amp;"*",'Timesheet Raw'!$L$4:$L$8000,"&gt;="&amp;MAX(T$5,DATE(2000+VALUE(RIGHT(TRIM($A345),2)),1,1)),'Timesheet Raw'!$L$4:$L$8000,"&lt;="&amp;MIN(T$6,DATE(2000+VALUE(RIGHT(TRIM($A345),2)),12,31))),SUMIFS('Timesheet Raw'!$P$4:$P$8000,'Timesheet Raw'!$B$4:$B$8000,TRIM($A345),'Timesheet Raw'!$C$4:$C$8000,"*"&amp;$B345&amp;"*",'Timesheet Raw'!$L$4:$L$8000,"&gt;="&amp;T$5,'Timesheet Raw'!$L$4:$L$8000,"&lt;="&amp;T$6)))/'Profit Plan'!$B$5)</f>
        <v>0</v>
      </c>
      <c r="U345" s="122">
        <f>IF($A345="","",(IF(ISNUMBER(SEARCH("Proposal",$A345)),SUMIFS('Timesheet Raw'!$P$4:$P$8000,'Timesheet Raw'!$A$4:$A$8000,IF(ISNUMBER(SEARCH("Chargable",$A345)),"2-Proposals Chargeable","3-Proposals Regular"),'Timesheet Raw'!$C$4:$C$8000,"*"&amp;$B345&amp;"*",'Timesheet Raw'!$L$4:$L$8000,"&gt;="&amp;MAX(U$5,DATE(2000+VALUE(RIGHT(TRIM($A345),2)),1,1)),'Timesheet Raw'!$L$4:$L$8000,"&lt;="&amp;MIN(U$6,DATE(2000+VALUE(RIGHT(TRIM($A345),2)),12,31))),SUMIFS('Timesheet Raw'!$P$4:$P$8000,'Timesheet Raw'!$B$4:$B$8000,TRIM($A345),'Timesheet Raw'!$C$4:$C$8000,"*"&amp;$B345&amp;"*",'Timesheet Raw'!$L$4:$L$8000,"&gt;="&amp;U$5,'Timesheet Raw'!$L$4:$L$8000,"&lt;="&amp;U$6)))/'Profit Plan'!$B$5)</f>
        <v>0</v>
      </c>
      <c r="V345" s="122">
        <f>IF($A345="","",(IF(ISNUMBER(SEARCH("Proposal",$A345)),SUMIFS('Timesheet Raw'!$P$4:$P$8000,'Timesheet Raw'!$A$4:$A$8000,IF(ISNUMBER(SEARCH("Chargable",$A345)),"2-Proposals Chargeable","3-Proposals Regular"),'Timesheet Raw'!$C$4:$C$8000,"*"&amp;$B345&amp;"*",'Timesheet Raw'!$L$4:$L$8000,"&gt;="&amp;MAX(V$5,DATE(2000+VALUE(RIGHT(TRIM($A345),2)),1,1)),'Timesheet Raw'!$L$4:$L$8000,"&lt;="&amp;MIN(V$6,DATE(2000+VALUE(RIGHT(TRIM($A345),2)),12,31))),SUMIFS('Timesheet Raw'!$P$4:$P$8000,'Timesheet Raw'!$B$4:$B$8000,TRIM($A345),'Timesheet Raw'!$C$4:$C$8000,"*"&amp;$B345&amp;"*",'Timesheet Raw'!$L$4:$L$8000,"&gt;="&amp;V$5,'Timesheet Raw'!$L$4:$L$8000,"&lt;="&amp;V$6)))/'Profit Plan'!$B$5)</f>
        <v>0</v>
      </c>
      <c r="W345" s="122">
        <f>IF($A345="","",(IF(ISNUMBER(SEARCH("Proposal",$A345)),SUMIFS('Timesheet Raw'!$P$4:$P$8000,'Timesheet Raw'!$A$4:$A$8000,IF(ISNUMBER(SEARCH("Chargable",$A345)),"2-Proposals Chargeable","3-Proposals Regular"),'Timesheet Raw'!$C$4:$C$8000,"*"&amp;$B345&amp;"*",'Timesheet Raw'!$L$4:$L$8000,"&gt;="&amp;MAX(W$5,DATE(2000+VALUE(RIGHT(TRIM($A345),2)),1,1)),'Timesheet Raw'!$L$4:$L$8000,"&lt;="&amp;MIN(W$6,DATE(2000+VALUE(RIGHT(TRIM($A345),2)),12,31))),SUMIFS('Timesheet Raw'!$P$4:$P$8000,'Timesheet Raw'!$B$4:$B$8000,TRIM($A345),'Timesheet Raw'!$C$4:$C$8000,"*"&amp;$B345&amp;"*",'Timesheet Raw'!$L$4:$L$8000,"&gt;="&amp;W$5,'Timesheet Raw'!$L$4:$L$8000,"&lt;="&amp;W$6)))/'Profit Plan'!$B$5)</f>
        <v>0</v>
      </c>
      <c r="X345" s="122">
        <f>IF($A345="","",(IF(ISNUMBER(SEARCH("Proposal",$A345)),SUMIFS('Timesheet Raw'!$P$4:$P$8000,'Timesheet Raw'!$A$4:$A$8000,IF(ISNUMBER(SEARCH("Chargable",$A345)),"2-Proposals Chargeable","3-Proposals Regular"),'Timesheet Raw'!$C$4:$C$8000,"*"&amp;$B345&amp;"*",'Timesheet Raw'!$L$4:$L$8000,"&gt;="&amp;MAX(X$5,DATE(2000+VALUE(RIGHT(TRIM($A345),2)),1,1)),'Timesheet Raw'!$L$4:$L$8000,"&lt;="&amp;MIN(X$6,DATE(2000+VALUE(RIGHT(TRIM($A345),2)),12,31))),SUMIFS('Timesheet Raw'!$P$4:$P$8000,'Timesheet Raw'!$B$4:$B$8000,TRIM($A345),'Timesheet Raw'!$C$4:$C$8000,"*"&amp;$B345&amp;"*",'Timesheet Raw'!$L$4:$L$8000,"&gt;="&amp;X$5,'Timesheet Raw'!$L$4:$L$8000,"&lt;="&amp;X$6)))/'Profit Plan'!$B$5)</f>
        <v>0</v>
      </c>
      <c r="Y345" s="118">
        <f t="shared" si="101"/>
        <v>0.67162162162162165</v>
      </c>
    </row>
    <row r="346" spans="1:25" x14ac:dyDescent="0.3">
      <c r="A346" s="116" t="str">
        <f>IF(Inputs!$A33="","",Inputs!$A33)</f>
        <v>Chargable Proposals 25</v>
      </c>
      <c r="B346" s="116" t="str">
        <f>IF(Inputs!$A33="","",Inputs!$A$91)</f>
        <v>Ahmed</v>
      </c>
      <c r="C346" s="116"/>
      <c r="D346" s="122">
        <f>IF($A346="","",(IF(ISNUMBER(SEARCH("Proposal",$A346)),SUMIFS('Timesheet Raw'!$P$4:$P$8000,'Timesheet Raw'!$A$4:$A$8000,IF(ISNUMBER(SEARCH("Chargable",$A346)),"2-Proposals Chargeable","3-Proposals Regular"),'Timesheet Raw'!$C$4:$C$8000,"*"&amp;$B346&amp;"*",'Timesheet Raw'!$L$4:$L$8000,"&gt;="&amp;MAX(D$5,DATE(2000+VALUE(RIGHT(TRIM($A346),2)),1,1)),'Timesheet Raw'!$L$4:$L$8000,"&lt;="&amp;MIN(D$6,DATE(2000+VALUE(RIGHT(TRIM($A346),2)),12,31))),SUMIFS('Timesheet Raw'!$P$4:$P$8000,'Timesheet Raw'!$B$4:$B$8000,TRIM($A346),'Timesheet Raw'!$C$4:$C$8000,"*"&amp;$B346&amp;"*",'Timesheet Raw'!$L$4:$L$8000,"&gt;="&amp;D$5,'Timesheet Raw'!$L$4:$L$8000,"&lt;="&amp;D$6)))/'Profit Plan'!$B$5)</f>
        <v>0</v>
      </c>
      <c r="E346" s="122">
        <f>IF($A346="","",(IF(ISNUMBER(SEARCH("Proposal",$A346)),SUMIFS('Timesheet Raw'!$P$4:$P$8000,'Timesheet Raw'!$A$4:$A$8000,IF(ISNUMBER(SEARCH("Chargable",$A346)),"2-Proposals Chargeable","3-Proposals Regular"),'Timesheet Raw'!$C$4:$C$8000,"*"&amp;$B346&amp;"*",'Timesheet Raw'!$L$4:$L$8000,"&gt;="&amp;MAX(E$5,DATE(2000+VALUE(RIGHT(TRIM($A346),2)),1,1)),'Timesheet Raw'!$L$4:$L$8000,"&lt;="&amp;MIN(E$6,DATE(2000+VALUE(RIGHT(TRIM($A346),2)),12,31))),SUMIFS('Timesheet Raw'!$P$4:$P$8000,'Timesheet Raw'!$B$4:$B$8000,TRIM($A346),'Timesheet Raw'!$C$4:$C$8000,"*"&amp;$B346&amp;"*",'Timesheet Raw'!$L$4:$L$8000,"&gt;="&amp;E$5,'Timesheet Raw'!$L$4:$L$8000,"&lt;="&amp;E$6)))/'Profit Plan'!$B$5)</f>
        <v>0</v>
      </c>
      <c r="F346" s="122">
        <f>IF($A346="","",(IF(ISNUMBER(SEARCH("Proposal",$A346)),SUMIFS('Timesheet Raw'!$P$4:$P$8000,'Timesheet Raw'!$A$4:$A$8000,IF(ISNUMBER(SEARCH("Chargable",$A346)),"2-Proposals Chargeable","3-Proposals Regular"),'Timesheet Raw'!$C$4:$C$8000,"*"&amp;$B346&amp;"*",'Timesheet Raw'!$L$4:$L$8000,"&gt;="&amp;MAX(F$5,DATE(2000+VALUE(RIGHT(TRIM($A346),2)),1,1)),'Timesheet Raw'!$L$4:$L$8000,"&lt;="&amp;MIN(F$6,DATE(2000+VALUE(RIGHT(TRIM($A346),2)),12,31))),SUMIFS('Timesheet Raw'!$P$4:$P$8000,'Timesheet Raw'!$B$4:$B$8000,TRIM($A346),'Timesheet Raw'!$C$4:$C$8000,"*"&amp;$B346&amp;"*",'Timesheet Raw'!$L$4:$L$8000,"&gt;="&amp;F$5,'Timesheet Raw'!$L$4:$L$8000,"&lt;="&amp;F$6)))/'Profit Plan'!$B$5)</f>
        <v>0</v>
      </c>
      <c r="G346" s="122">
        <f>IF($A346="","",(IF(ISNUMBER(SEARCH("Proposal",$A346)),SUMIFS('Timesheet Raw'!$P$4:$P$8000,'Timesheet Raw'!$A$4:$A$8000,IF(ISNUMBER(SEARCH("Chargable",$A346)),"2-Proposals Chargeable","3-Proposals Regular"),'Timesheet Raw'!$C$4:$C$8000,"*"&amp;$B346&amp;"*",'Timesheet Raw'!$L$4:$L$8000,"&gt;="&amp;MAX(G$5,DATE(2000+VALUE(RIGHT(TRIM($A346),2)),1,1)),'Timesheet Raw'!$L$4:$L$8000,"&lt;="&amp;MIN(G$6,DATE(2000+VALUE(RIGHT(TRIM($A346),2)),12,31))),SUMIFS('Timesheet Raw'!$P$4:$P$8000,'Timesheet Raw'!$B$4:$B$8000,TRIM($A346),'Timesheet Raw'!$C$4:$C$8000,"*"&amp;$B346&amp;"*",'Timesheet Raw'!$L$4:$L$8000,"&gt;="&amp;G$5,'Timesheet Raw'!$L$4:$L$8000,"&lt;="&amp;G$6)))/'Profit Plan'!$B$5)</f>
        <v>0</v>
      </c>
      <c r="H346" s="122">
        <f>IF($A346="","",(IF(ISNUMBER(SEARCH("Proposal",$A346)),SUMIFS('Timesheet Raw'!$P$4:$P$8000,'Timesheet Raw'!$A$4:$A$8000,IF(ISNUMBER(SEARCH("Chargable",$A346)),"2-Proposals Chargeable","3-Proposals Regular"),'Timesheet Raw'!$C$4:$C$8000,"*"&amp;$B346&amp;"*",'Timesheet Raw'!$L$4:$L$8000,"&gt;="&amp;MAX(H$5,DATE(2000+VALUE(RIGHT(TRIM($A346),2)),1,1)),'Timesheet Raw'!$L$4:$L$8000,"&lt;="&amp;MIN(H$6,DATE(2000+VALUE(RIGHT(TRIM($A346),2)),12,31))),SUMIFS('Timesheet Raw'!$P$4:$P$8000,'Timesheet Raw'!$B$4:$B$8000,TRIM($A346),'Timesheet Raw'!$C$4:$C$8000,"*"&amp;$B346&amp;"*",'Timesheet Raw'!$L$4:$L$8000,"&gt;="&amp;H$5,'Timesheet Raw'!$L$4:$L$8000,"&lt;="&amp;H$6)))/'Profit Plan'!$B$5)</f>
        <v>0</v>
      </c>
      <c r="I346" s="122">
        <f>IF($A346="","",(IF(ISNUMBER(SEARCH("Proposal",$A346)),SUMIFS('Timesheet Raw'!$P$4:$P$8000,'Timesheet Raw'!$A$4:$A$8000,IF(ISNUMBER(SEARCH("Chargable",$A346)),"2-Proposals Chargeable","3-Proposals Regular"),'Timesheet Raw'!$C$4:$C$8000,"*"&amp;$B346&amp;"*",'Timesheet Raw'!$L$4:$L$8000,"&gt;="&amp;MAX(I$5,DATE(2000+VALUE(RIGHT(TRIM($A346),2)),1,1)),'Timesheet Raw'!$L$4:$L$8000,"&lt;="&amp;MIN(I$6,DATE(2000+VALUE(RIGHT(TRIM($A346),2)),12,31))),SUMIFS('Timesheet Raw'!$P$4:$P$8000,'Timesheet Raw'!$B$4:$B$8000,TRIM($A346),'Timesheet Raw'!$C$4:$C$8000,"*"&amp;$B346&amp;"*",'Timesheet Raw'!$L$4:$L$8000,"&gt;="&amp;I$5,'Timesheet Raw'!$L$4:$L$8000,"&lt;="&amp;I$6)))/'Profit Plan'!$B$5)</f>
        <v>0.67567567567567566</v>
      </c>
      <c r="J346" s="122">
        <f>IF($A346="","",(IF(ISNUMBER(SEARCH("Proposal",$A346)),SUMIFS('Timesheet Raw'!$P$4:$P$8000,'Timesheet Raw'!$A$4:$A$8000,IF(ISNUMBER(SEARCH("Chargable",$A346)),"2-Proposals Chargeable","3-Proposals Regular"),'Timesheet Raw'!$C$4:$C$8000,"*"&amp;$B346&amp;"*",'Timesheet Raw'!$L$4:$L$8000,"&gt;="&amp;MAX(J$5,DATE(2000+VALUE(RIGHT(TRIM($A346),2)),1,1)),'Timesheet Raw'!$L$4:$L$8000,"&lt;="&amp;MIN(J$6,DATE(2000+VALUE(RIGHT(TRIM($A346),2)),12,31))),SUMIFS('Timesheet Raw'!$P$4:$P$8000,'Timesheet Raw'!$B$4:$B$8000,TRIM($A346),'Timesheet Raw'!$C$4:$C$8000,"*"&amp;$B346&amp;"*",'Timesheet Raw'!$L$4:$L$8000,"&gt;="&amp;J$5,'Timesheet Raw'!$L$4:$L$8000,"&lt;="&amp;J$6)))/'Profit Plan'!$B$5)</f>
        <v>0.12702702702702703</v>
      </c>
      <c r="K346" s="122">
        <f>IF($A346="","",(IF(ISNUMBER(SEARCH("Proposal",$A346)),SUMIFS('Timesheet Raw'!$P$4:$P$8000,'Timesheet Raw'!$A$4:$A$8000,IF(ISNUMBER(SEARCH("Chargable",$A346)),"2-Proposals Chargeable","3-Proposals Regular"),'Timesheet Raw'!$C$4:$C$8000,"*"&amp;$B346&amp;"*",'Timesheet Raw'!$L$4:$L$8000,"&gt;="&amp;MAX(K$5,DATE(2000+VALUE(RIGHT(TRIM($A346),2)),1,1)),'Timesheet Raw'!$L$4:$L$8000,"&lt;="&amp;MIN(K$6,DATE(2000+VALUE(RIGHT(TRIM($A346),2)),12,31))),SUMIFS('Timesheet Raw'!$P$4:$P$8000,'Timesheet Raw'!$B$4:$B$8000,TRIM($A346),'Timesheet Raw'!$C$4:$C$8000,"*"&amp;$B346&amp;"*",'Timesheet Raw'!$L$4:$L$8000,"&gt;="&amp;K$5,'Timesheet Raw'!$L$4:$L$8000,"&lt;="&amp;K$6)))/'Profit Plan'!$B$5)</f>
        <v>0.18243243243243243</v>
      </c>
      <c r="L346" s="122">
        <f>IF($A346="","",(IF(ISNUMBER(SEARCH("Proposal",$A346)),SUMIFS('Timesheet Raw'!$P$4:$P$8000,'Timesheet Raw'!$A$4:$A$8000,IF(ISNUMBER(SEARCH("Chargable",$A346)),"2-Proposals Chargeable","3-Proposals Regular"),'Timesheet Raw'!$C$4:$C$8000,"*"&amp;$B346&amp;"*",'Timesheet Raw'!$L$4:$L$8000,"&gt;="&amp;MAX(L$5,DATE(2000+VALUE(RIGHT(TRIM($A346),2)),1,1)),'Timesheet Raw'!$L$4:$L$8000,"&lt;="&amp;MIN(L$6,DATE(2000+VALUE(RIGHT(TRIM($A346),2)),12,31))),SUMIFS('Timesheet Raw'!$P$4:$P$8000,'Timesheet Raw'!$B$4:$B$8000,TRIM($A346),'Timesheet Raw'!$C$4:$C$8000,"*"&amp;$B346&amp;"*",'Timesheet Raw'!$L$4:$L$8000,"&gt;="&amp;L$5,'Timesheet Raw'!$L$4:$L$8000,"&lt;="&amp;L$6)))/'Profit Plan'!$B$5)</f>
        <v>0</v>
      </c>
      <c r="M346" s="122">
        <f>IF($A346="","",(IF(ISNUMBER(SEARCH("Proposal",$A346)),SUMIFS('Timesheet Raw'!$P$4:$P$8000,'Timesheet Raw'!$A$4:$A$8000,IF(ISNUMBER(SEARCH("Chargable",$A346)),"2-Proposals Chargeable","3-Proposals Regular"),'Timesheet Raw'!$C$4:$C$8000,"*"&amp;$B346&amp;"*",'Timesheet Raw'!$L$4:$L$8000,"&gt;="&amp;MAX(M$5,DATE(2000+VALUE(RIGHT(TRIM($A346),2)),1,1)),'Timesheet Raw'!$L$4:$L$8000,"&lt;="&amp;MIN(M$6,DATE(2000+VALUE(RIGHT(TRIM($A346),2)),12,31))),SUMIFS('Timesheet Raw'!$P$4:$P$8000,'Timesheet Raw'!$B$4:$B$8000,TRIM($A346),'Timesheet Raw'!$C$4:$C$8000,"*"&amp;$B346&amp;"*",'Timesheet Raw'!$L$4:$L$8000,"&gt;="&amp;M$5,'Timesheet Raw'!$L$4:$L$8000,"&lt;="&amp;M$6)))/'Profit Plan'!$B$5)</f>
        <v>0</v>
      </c>
      <c r="N346" s="122">
        <f>IF($A346="","",(IF(ISNUMBER(SEARCH("Proposal",$A346)),SUMIFS('Timesheet Raw'!$P$4:$P$8000,'Timesheet Raw'!$A$4:$A$8000,IF(ISNUMBER(SEARCH("Chargable",$A346)),"2-Proposals Chargeable","3-Proposals Regular"),'Timesheet Raw'!$C$4:$C$8000,"*"&amp;$B346&amp;"*",'Timesheet Raw'!$L$4:$L$8000,"&gt;="&amp;MAX(N$5,DATE(2000+VALUE(RIGHT(TRIM($A346),2)),1,1)),'Timesheet Raw'!$L$4:$L$8000,"&lt;="&amp;MIN(N$6,DATE(2000+VALUE(RIGHT(TRIM($A346),2)),12,31))),SUMIFS('Timesheet Raw'!$P$4:$P$8000,'Timesheet Raw'!$B$4:$B$8000,TRIM($A346),'Timesheet Raw'!$C$4:$C$8000,"*"&amp;$B346&amp;"*",'Timesheet Raw'!$L$4:$L$8000,"&gt;="&amp;N$5,'Timesheet Raw'!$L$4:$L$8000,"&lt;="&amp;N$6)))/'Profit Plan'!$B$5)</f>
        <v>0</v>
      </c>
      <c r="O346" s="122">
        <f>IF($A346="","",(IF(ISNUMBER(SEARCH("Proposal",$A346)),SUMIFS('Timesheet Raw'!$P$4:$P$8000,'Timesheet Raw'!$A$4:$A$8000,IF(ISNUMBER(SEARCH("Chargable",$A346)),"2-Proposals Chargeable","3-Proposals Regular"),'Timesheet Raw'!$C$4:$C$8000,"*"&amp;$B346&amp;"*",'Timesheet Raw'!$L$4:$L$8000,"&gt;="&amp;MAX(O$5,DATE(2000+VALUE(RIGHT(TRIM($A346),2)),1,1)),'Timesheet Raw'!$L$4:$L$8000,"&lt;="&amp;MIN(O$6,DATE(2000+VALUE(RIGHT(TRIM($A346),2)),12,31))),SUMIFS('Timesheet Raw'!$P$4:$P$8000,'Timesheet Raw'!$B$4:$B$8000,TRIM($A346),'Timesheet Raw'!$C$4:$C$8000,"*"&amp;$B346&amp;"*",'Timesheet Raw'!$L$4:$L$8000,"&gt;="&amp;O$5,'Timesheet Raw'!$L$4:$L$8000,"&lt;="&amp;O$6)))/'Profit Plan'!$B$5)</f>
        <v>0</v>
      </c>
      <c r="P346" s="122">
        <f>IF($A346="","",(IF(ISNUMBER(SEARCH("Proposal",$A346)),SUMIFS('Timesheet Raw'!$P$4:$P$8000,'Timesheet Raw'!$A$4:$A$8000,IF(ISNUMBER(SEARCH("Chargable",$A346)),"2-Proposals Chargeable","3-Proposals Regular"),'Timesheet Raw'!$C$4:$C$8000,"*"&amp;$B346&amp;"*",'Timesheet Raw'!$L$4:$L$8000,"&gt;="&amp;MAX(P$5,DATE(2000+VALUE(RIGHT(TRIM($A346),2)),1,1)),'Timesheet Raw'!$L$4:$L$8000,"&lt;="&amp;MIN(P$6,DATE(2000+VALUE(RIGHT(TRIM($A346),2)),12,31))),SUMIFS('Timesheet Raw'!$P$4:$P$8000,'Timesheet Raw'!$B$4:$B$8000,TRIM($A346),'Timesheet Raw'!$C$4:$C$8000,"*"&amp;$B346&amp;"*",'Timesheet Raw'!$L$4:$L$8000,"&gt;="&amp;P$5,'Timesheet Raw'!$L$4:$L$8000,"&lt;="&amp;P$6)))/'Profit Plan'!$B$5)</f>
        <v>0</v>
      </c>
      <c r="Q346" s="122">
        <f>IF($A346="","",(IF(ISNUMBER(SEARCH("Proposal",$A346)),SUMIFS('Timesheet Raw'!$P$4:$P$8000,'Timesheet Raw'!$A$4:$A$8000,IF(ISNUMBER(SEARCH("Chargable",$A346)),"2-Proposals Chargeable","3-Proposals Regular"),'Timesheet Raw'!$C$4:$C$8000,"*"&amp;$B346&amp;"*",'Timesheet Raw'!$L$4:$L$8000,"&gt;="&amp;MAX(Q$5,DATE(2000+VALUE(RIGHT(TRIM($A346),2)),1,1)),'Timesheet Raw'!$L$4:$L$8000,"&lt;="&amp;MIN(Q$6,DATE(2000+VALUE(RIGHT(TRIM($A346),2)),12,31))),SUMIFS('Timesheet Raw'!$P$4:$P$8000,'Timesheet Raw'!$B$4:$B$8000,TRIM($A346),'Timesheet Raw'!$C$4:$C$8000,"*"&amp;$B346&amp;"*",'Timesheet Raw'!$L$4:$L$8000,"&gt;="&amp;Q$5,'Timesheet Raw'!$L$4:$L$8000,"&lt;="&amp;Q$6)))/'Profit Plan'!$B$5)</f>
        <v>0</v>
      </c>
      <c r="R346" s="122">
        <f>IF($A346="","",(IF(ISNUMBER(SEARCH("Proposal",$A346)),SUMIFS('Timesheet Raw'!$P$4:$P$8000,'Timesheet Raw'!$A$4:$A$8000,IF(ISNUMBER(SEARCH("Chargable",$A346)),"2-Proposals Chargeable","3-Proposals Regular"),'Timesheet Raw'!$C$4:$C$8000,"*"&amp;$B346&amp;"*",'Timesheet Raw'!$L$4:$L$8000,"&gt;="&amp;MAX(R$5,DATE(2000+VALUE(RIGHT(TRIM($A346),2)),1,1)),'Timesheet Raw'!$L$4:$L$8000,"&lt;="&amp;MIN(R$6,DATE(2000+VALUE(RIGHT(TRIM($A346),2)),12,31))),SUMIFS('Timesheet Raw'!$P$4:$P$8000,'Timesheet Raw'!$B$4:$B$8000,TRIM($A346),'Timesheet Raw'!$C$4:$C$8000,"*"&amp;$B346&amp;"*",'Timesheet Raw'!$L$4:$L$8000,"&gt;="&amp;R$5,'Timesheet Raw'!$L$4:$L$8000,"&lt;="&amp;R$6)))/'Profit Plan'!$B$5)</f>
        <v>0</v>
      </c>
      <c r="S346" s="122">
        <f>IF($A346="","",(IF(ISNUMBER(SEARCH("Proposal",$A346)),SUMIFS('Timesheet Raw'!$P$4:$P$8000,'Timesheet Raw'!$A$4:$A$8000,IF(ISNUMBER(SEARCH("Chargable",$A346)),"2-Proposals Chargeable","3-Proposals Regular"),'Timesheet Raw'!$C$4:$C$8000,"*"&amp;$B346&amp;"*",'Timesheet Raw'!$L$4:$L$8000,"&gt;="&amp;MAX(S$5,DATE(2000+VALUE(RIGHT(TRIM($A346),2)),1,1)),'Timesheet Raw'!$L$4:$L$8000,"&lt;="&amp;MIN(S$6,DATE(2000+VALUE(RIGHT(TRIM($A346),2)),12,31))),SUMIFS('Timesheet Raw'!$P$4:$P$8000,'Timesheet Raw'!$B$4:$B$8000,TRIM($A346),'Timesheet Raw'!$C$4:$C$8000,"*"&amp;$B346&amp;"*",'Timesheet Raw'!$L$4:$L$8000,"&gt;="&amp;S$5,'Timesheet Raw'!$L$4:$L$8000,"&lt;="&amp;S$6)))/'Profit Plan'!$B$5)</f>
        <v>0</v>
      </c>
      <c r="T346" s="122">
        <f>IF($A346="","",(IF(ISNUMBER(SEARCH("Proposal",$A346)),SUMIFS('Timesheet Raw'!$P$4:$P$8000,'Timesheet Raw'!$A$4:$A$8000,IF(ISNUMBER(SEARCH("Chargable",$A346)),"2-Proposals Chargeable","3-Proposals Regular"),'Timesheet Raw'!$C$4:$C$8000,"*"&amp;$B346&amp;"*",'Timesheet Raw'!$L$4:$L$8000,"&gt;="&amp;MAX(T$5,DATE(2000+VALUE(RIGHT(TRIM($A346),2)),1,1)),'Timesheet Raw'!$L$4:$L$8000,"&lt;="&amp;MIN(T$6,DATE(2000+VALUE(RIGHT(TRIM($A346),2)),12,31))),SUMIFS('Timesheet Raw'!$P$4:$P$8000,'Timesheet Raw'!$B$4:$B$8000,TRIM($A346),'Timesheet Raw'!$C$4:$C$8000,"*"&amp;$B346&amp;"*",'Timesheet Raw'!$L$4:$L$8000,"&gt;="&amp;T$5,'Timesheet Raw'!$L$4:$L$8000,"&lt;="&amp;T$6)))/'Profit Plan'!$B$5)</f>
        <v>0</v>
      </c>
      <c r="U346" s="122">
        <f>IF($A346="","",(IF(ISNUMBER(SEARCH("Proposal",$A346)),SUMIFS('Timesheet Raw'!$P$4:$P$8000,'Timesheet Raw'!$A$4:$A$8000,IF(ISNUMBER(SEARCH("Chargable",$A346)),"2-Proposals Chargeable","3-Proposals Regular"),'Timesheet Raw'!$C$4:$C$8000,"*"&amp;$B346&amp;"*",'Timesheet Raw'!$L$4:$L$8000,"&gt;="&amp;MAX(U$5,DATE(2000+VALUE(RIGHT(TRIM($A346),2)),1,1)),'Timesheet Raw'!$L$4:$L$8000,"&lt;="&amp;MIN(U$6,DATE(2000+VALUE(RIGHT(TRIM($A346),2)),12,31))),SUMIFS('Timesheet Raw'!$P$4:$P$8000,'Timesheet Raw'!$B$4:$B$8000,TRIM($A346),'Timesheet Raw'!$C$4:$C$8000,"*"&amp;$B346&amp;"*",'Timesheet Raw'!$L$4:$L$8000,"&gt;="&amp;U$5,'Timesheet Raw'!$L$4:$L$8000,"&lt;="&amp;U$6)))/'Profit Plan'!$B$5)</f>
        <v>0</v>
      </c>
      <c r="V346" s="122">
        <f>IF($A346="","",(IF(ISNUMBER(SEARCH("Proposal",$A346)),SUMIFS('Timesheet Raw'!$P$4:$P$8000,'Timesheet Raw'!$A$4:$A$8000,IF(ISNUMBER(SEARCH("Chargable",$A346)),"2-Proposals Chargeable","3-Proposals Regular"),'Timesheet Raw'!$C$4:$C$8000,"*"&amp;$B346&amp;"*",'Timesheet Raw'!$L$4:$L$8000,"&gt;="&amp;MAX(V$5,DATE(2000+VALUE(RIGHT(TRIM($A346),2)),1,1)),'Timesheet Raw'!$L$4:$L$8000,"&lt;="&amp;MIN(V$6,DATE(2000+VALUE(RIGHT(TRIM($A346),2)),12,31))),SUMIFS('Timesheet Raw'!$P$4:$P$8000,'Timesheet Raw'!$B$4:$B$8000,TRIM($A346),'Timesheet Raw'!$C$4:$C$8000,"*"&amp;$B346&amp;"*",'Timesheet Raw'!$L$4:$L$8000,"&gt;="&amp;V$5,'Timesheet Raw'!$L$4:$L$8000,"&lt;="&amp;V$6)))/'Profit Plan'!$B$5)</f>
        <v>0</v>
      </c>
      <c r="W346" s="122">
        <f>IF($A346="","",(IF(ISNUMBER(SEARCH("Proposal",$A346)),SUMIFS('Timesheet Raw'!$P$4:$P$8000,'Timesheet Raw'!$A$4:$A$8000,IF(ISNUMBER(SEARCH("Chargable",$A346)),"2-Proposals Chargeable","3-Proposals Regular"),'Timesheet Raw'!$C$4:$C$8000,"*"&amp;$B346&amp;"*",'Timesheet Raw'!$L$4:$L$8000,"&gt;="&amp;MAX(W$5,DATE(2000+VALUE(RIGHT(TRIM($A346),2)),1,1)),'Timesheet Raw'!$L$4:$L$8000,"&lt;="&amp;MIN(W$6,DATE(2000+VALUE(RIGHT(TRIM($A346),2)),12,31))),SUMIFS('Timesheet Raw'!$P$4:$P$8000,'Timesheet Raw'!$B$4:$B$8000,TRIM($A346),'Timesheet Raw'!$C$4:$C$8000,"*"&amp;$B346&amp;"*",'Timesheet Raw'!$L$4:$L$8000,"&gt;="&amp;W$5,'Timesheet Raw'!$L$4:$L$8000,"&lt;="&amp;W$6)))/'Profit Plan'!$B$5)</f>
        <v>0</v>
      </c>
      <c r="X346" s="122">
        <f>IF($A346="","",(IF(ISNUMBER(SEARCH("Proposal",$A346)),SUMIFS('Timesheet Raw'!$P$4:$P$8000,'Timesheet Raw'!$A$4:$A$8000,IF(ISNUMBER(SEARCH("Chargable",$A346)),"2-Proposals Chargeable","3-Proposals Regular"),'Timesheet Raw'!$C$4:$C$8000,"*"&amp;$B346&amp;"*",'Timesheet Raw'!$L$4:$L$8000,"&gt;="&amp;MAX(X$5,DATE(2000+VALUE(RIGHT(TRIM($A346),2)),1,1)),'Timesheet Raw'!$L$4:$L$8000,"&lt;="&amp;MIN(X$6,DATE(2000+VALUE(RIGHT(TRIM($A346),2)),12,31))),SUMIFS('Timesheet Raw'!$P$4:$P$8000,'Timesheet Raw'!$B$4:$B$8000,TRIM($A346),'Timesheet Raw'!$C$4:$C$8000,"*"&amp;$B346&amp;"*",'Timesheet Raw'!$L$4:$L$8000,"&gt;="&amp;X$5,'Timesheet Raw'!$L$4:$L$8000,"&lt;="&amp;X$6)))/'Profit Plan'!$B$5)</f>
        <v>0</v>
      </c>
      <c r="Y346" s="118">
        <f t="shared" si="101"/>
        <v>0.98513513513513518</v>
      </c>
    </row>
    <row r="347" spans="1:25" x14ac:dyDescent="0.3">
      <c r="A347" s="116" t="str">
        <f>IF(Inputs!$A33="","",Inputs!$A33)</f>
        <v>Chargable Proposals 25</v>
      </c>
      <c r="B347" s="116" t="str">
        <f>IF(Inputs!$A33="","",Inputs!$A$92)</f>
        <v>Osama</v>
      </c>
      <c r="C347" s="116"/>
      <c r="D347" s="122">
        <f>IF($A347="","",(IF(ISNUMBER(SEARCH("Proposal",$A347)),SUMIFS('Timesheet Raw'!$P$4:$P$8000,'Timesheet Raw'!$A$4:$A$8000,IF(ISNUMBER(SEARCH("Chargable",$A347)),"2-Proposals Chargeable","3-Proposals Regular"),'Timesheet Raw'!$C$4:$C$8000,"*"&amp;$B347&amp;"*",'Timesheet Raw'!$L$4:$L$8000,"&gt;="&amp;MAX(D$5,DATE(2000+VALUE(RIGHT(TRIM($A347),2)),1,1)),'Timesheet Raw'!$L$4:$L$8000,"&lt;="&amp;MIN(D$6,DATE(2000+VALUE(RIGHT(TRIM($A347),2)),12,31))),SUMIFS('Timesheet Raw'!$P$4:$P$8000,'Timesheet Raw'!$B$4:$B$8000,TRIM($A347),'Timesheet Raw'!$C$4:$C$8000,"*"&amp;$B347&amp;"*",'Timesheet Raw'!$L$4:$L$8000,"&gt;="&amp;D$5,'Timesheet Raw'!$L$4:$L$8000,"&lt;="&amp;D$6)))/'Profit Plan'!$B$5)</f>
        <v>0</v>
      </c>
      <c r="E347" s="122">
        <f>IF($A347="","",(IF(ISNUMBER(SEARCH("Proposal",$A347)),SUMIFS('Timesheet Raw'!$P$4:$P$8000,'Timesheet Raw'!$A$4:$A$8000,IF(ISNUMBER(SEARCH("Chargable",$A347)),"2-Proposals Chargeable","3-Proposals Regular"),'Timesheet Raw'!$C$4:$C$8000,"*"&amp;$B347&amp;"*",'Timesheet Raw'!$L$4:$L$8000,"&gt;="&amp;MAX(E$5,DATE(2000+VALUE(RIGHT(TRIM($A347),2)),1,1)),'Timesheet Raw'!$L$4:$L$8000,"&lt;="&amp;MIN(E$6,DATE(2000+VALUE(RIGHT(TRIM($A347),2)),12,31))),SUMIFS('Timesheet Raw'!$P$4:$P$8000,'Timesheet Raw'!$B$4:$B$8000,TRIM($A347),'Timesheet Raw'!$C$4:$C$8000,"*"&amp;$B347&amp;"*",'Timesheet Raw'!$L$4:$L$8000,"&gt;="&amp;E$5,'Timesheet Raw'!$L$4:$L$8000,"&lt;="&amp;E$6)))/'Profit Plan'!$B$5)</f>
        <v>0</v>
      </c>
      <c r="F347" s="122">
        <f>IF($A347="","",(IF(ISNUMBER(SEARCH("Proposal",$A347)),SUMIFS('Timesheet Raw'!$P$4:$P$8000,'Timesheet Raw'!$A$4:$A$8000,IF(ISNUMBER(SEARCH("Chargable",$A347)),"2-Proposals Chargeable","3-Proposals Regular"),'Timesheet Raw'!$C$4:$C$8000,"*"&amp;$B347&amp;"*",'Timesheet Raw'!$L$4:$L$8000,"&gt;="&amp;MAX(F$5,DATE(2000+VALUE(RIGHT(TRIM($A347),2)),1,1)),'Timesheet Raw'!$L$4:$L$8000,"&lt;="&amp;MIN(F$6,DATE(2000+VALUE(RIGHT(TRIM($A347),2)),12,31))),SUMIFS('Timesheet Raw'!$P$4:$P$8000,'Timesheet Raw'!$B$4:$B$8000,TRIM($A347),'Timesheet Raw'!$C$4:$C$8000,"*"&amp;$B347&amp;"*",'Timesheet Raw'!$L$4:$L$8000,"&gt;="&amp;F$5,'Timesheet Raw'!$L$4:$L$8000,"&lt;="&amp;F$6)))/'Profit Plan'!$B$5)</f>
        <v>0</v>
      </c>
      <c r="G347" s="122">
        <f>IF($A347="","",(IF(ISNUMBER(SEARCH("Proposal",$A347)),SUMIFS('Timesheet Raw'!$P$4:$P$8000,'Timesheet Raw'!$A$4:$A$8000,IF(ISNUMBER(SEARCH("Chargable",$A347)),"2-Proposals Chargeable","3-Proposals Regular"),'Timesheet Raw'!$C$4:$C$8000,"*"&amp;$B347&amp;"*",'Timesheet Raw'!$L$4:$L$8000,"&gt;="&amp;MAX(G$5,DATE(2000+VALUE(RIGHT(TRIM($A347),2)),1,1)),'Timesheet Raw'!$L$4:$L$8000,"&lt;="&amp;MIN(G$6,DATE(2000+VALUE(RIGHT(TRIM($A347),2)),12,31))),SUMIFS('Timesheet Raw'!$P$4:$P$8000,'Timesheet Raw'!$B$4:$B$8000,TRIM($A347),'Timesheet Raw'!$C$4:$C$8000,"*"&amp;$B347&amp;"*",'Timesheet Raw'!$L$4:$L$8000,"&gt;="&amp;G$5,'Timesheet Raw'!$L$4:$L$8000,"&lt;="&amp;G$6)))/'Profit Plan'!$B$5)</f>
        <v>0</v>
      </c>
      <c r="H347" s="122">
        <f>IF($A347="","",(IF(ISNUMBER(SEARCH("Proposal",$A347)),SUMIFS('Timesheet Raw'!$P$4:$P$8000,'Timesheet Raw'!$A$4:$A$8000,IF(ISNUMBER(SEARCH("Chargable",$A347)),"2-Proposals Chargeable","3-Proposals Regular"),'Timesheet Raw'!$C$4:$C$8000,"*"&amp;$B347&amp;"*",'Timesheet Raw'!$L$4:$L$8000,"&gt;="&amp;MAX(H$5,DATE(2000+VALUE(RIGHT(TRIM($A347),2)),1,1)),'Timesheet Raw'!$L$4:$L$8000,"&lt;="&amp;MIN(H$6,DATE(2000+VALUE(RIGHT(TRIM($A347),2)),12,31))),SUMIFS('Timesheet Raw'!$P$4:$P$8000,'Timesheet Raw'!$B$4:$B$8000,TRIM($A347),'Timesheet Raw'!$C$4:$C$8000,"*"&amp;$B347&amp;"*",'Timesheet Raw'!$L$4:$L$8000,"&gt;="&amp;H$5,'Timesheet Raw'!$L$4:$L$8000,"&lt;="&amp;H$6)))/'Profit Plan'!$B$5)</f>
        <v>0</v>
      </c>
      <c r="I347" s="122">
        <f>IF($A347="","",(IF(ISNUMBER(SEARCH("Proposal",$A347)),SUMIFS('Timesheet Raw'!$P$4:$P$8000,'Timesheet Raw'!$A$4:$A$8000,IF(ISNUMBER(SEARCH("Chargable",$A347)),"2-Proposals Chargeable","3-Proposals Regular"),'Timesheet Raw'!$C$4:$C$8000,"*"&amp;$B347&amp;"*",'Timesheet Raw'!$L$4:$L$8000,"&gt;="&amp;MAX(I$5,DATE(2000+VALUE(RIGHT(TRIM($A347),2)),1,1)),'Timesheet Raw'!$L$4:$L$8000,"&lt;="&amp;MIN(I$6,DATE(2000+VALUE(RIGHT(TRIM($A347),2)),12,31))),SUMIFS('Timesheet Raw'!$P$4:$P$8000,'Timesheet Raw'!$B$4:$B$8000,TRIM($A347),'Timesheet Raw'!$C$4:$C$8000,"*"&amp;$B347&amp;"*",'Timesheet Raw'!$L$4:$L$8000,"&gt;="&amp;I$5,'Timesheet Raw'!$L$4:$L$8000,"&lt;="&amp;I$6)))/'Profit Plan'!$B$5)</f>
        <v>0.69864864864864862</v>
      </c>
      <c r="J347" s="122">
        <f>IF($A347="","",(IF(ISNUMBER(SEARCH("Proposal",$A347)),SUMIFS('Timesheet Raw'!$P$4:$P$8000,'Timesheet Raw'!$A$4:$A$8000,IF(ISNUMBER(SEARCH("Chargable",$A347)),"2-Proposals Chargeable","3-Proposals Regular"),'Timesheet Raw'!$C$4:$C$8000,"*"&amp;$B347&amp;"*",'Timesheet Raw'!$L$4:$L$8000,"&gt;="&amp;MAX(J$5,DATE(2000+VALUE(RIGHT(TRIM($A347),2)),1,1)),'Timesheet Raw'!$L$4:$L$8000,"&lt;="&amp;MIN(J$6,DATE(2000+VALUE(RIGHT(TRIM($A347),2)),12,31))),SUMIFS('Timesheet Raw'!$P$4:$P$8000,'Timesheet Raw'!$B$4:$B$8000,TRIM($A347),'Timesheet Raw'!$C$4:$C$8000,"*"&amp;$B347&amp;"*",'Timesheet Raw'!$L$4:$L$8000,"&gt;="&amp;J$5,'Timesheet Raw'!$L$4:$L$8000,"&lt;="&amp;J$6)))/'Profit Plan'!$B$5)</f>
        <v>0.63513513513513509</v>
      </c>
      <c r="K347" s="122">
        <f>IF($A347="","",(IF(ISNUMBER(SEARCH("Proposal",$A347)),SUMIFS('Timesheet Raw'!$P$4:$P$8000,'Timesheet Raw'!$A$4:$A$8000,IF(ISNUMBER(SEARCH("Chargable",$A347)),"2-Proposals Chargeable","3-Proposals Regular"),'Timesheet Raw'!$C$4:$C$8000,"*"&amp;$B347&amp;"*",'Timesheet Raw'!$L$4:$L$8000,"&gt;="&amp;MAX(K$5,DATE(2000+VALUE(RIGHT(TRIM($A347),2)),1,1)),'Timesheet Raw'!$L$4:$L$8000,"&lt;="&amp;MIN(K$6,DATE(2000+VALUE(RIGHT(TRIM($A347),2)),12,31))),SUMIFS('Timesheet Raw'!$P$4:$P$8000,'Timesheet Raw'!$B$4:$B$8000,TRIM($A347),'Timesheet Raw'!$C$4:$C$8000,"*"&amp;$B347&amp;"*",'Timesheet Raw'!$L$4:$L$8000,"&gt;="&amp;K$5,'Timesheet Raw'!$L$4:$L$8000,"&lt;="&amp;K$6)))/'Profit Plan'!$B$5)</f>
        <v>1.3567567567567567</v>
      </c>
      <c r="L347" s="122">
        <f>IF($A347="","",(IF(ISNUMBER(SEARCH("Proposal",$A347)),SUMIFS('Timesheet Raw'!$P$4:$P$8000,'Timesheet Raw'!$A$4:$A$8000,IF(ISNUMBER(SEARCH("Chargable",$A347)),"2-Proposals Chargeable","3-Proposals Regular"),'Timesheet Raw'!$C$4:$C$8000,"*"&amp;$B347&amp;"*",'Timesheet Raw'!$L$4:$L$8000,"&gt;="&amp;MAX(L$5,DATE(2000+VALUE(RIGHT(TRIM($A347),2)),1,1)),'Timesheet Raw'!$L$4:$L$8000,"&lt;="&amp;MIN(L$6,DATE(2000+VALUE(RIGHT(TRIM($A347),2)),12,31))),SUMIFS('Timesheet Raw'!$P$4:$P$8000,'Timesheet Raw'!$B$4:$B$8000,TRIM($A347),'Timesheet Raw'!$C$4:$C$8000,"*"&amp;$B347&amp;"*",'Timesheet Raw'!$L$4:$L$8000,"&gt;="&amp;L$5,'Timesheet Raw'!$L$4:$L$8000,"&lt;="&amp;L$6)))/'Profit Plan'!$B$5)</f>
        <v>0</v>
      </c>
      <c r="M347" s="122">
        <f>IF($A347="","",(IF(ISNUMBER(SEARCH("Proposal",$A347)),SUMIFS('Timesheet Raw'!$P$4:$P$8000,'Timesheet Raw'!$A$4:$A$8000,IF(ISNUMBER(SEARCH("Chargable",$A347)),"2-Proposals Chargeable","3-Proposals Regular"),'Timesheet Raw'!$C$4:$C$8000,"*"&amp;$B347&amp;"*",'Timesheet Raw'!$L$4:$L$8000,"&gt;="&amp;MAX(M$5,DATE(2000+VALUE(RIGHT(TRIM($A347),2)),1,1)),'Timesheet Raw'!$L$4:$L$8000,"&lt;="&amp;MIN(M$6,DATE(2000+VALUE(RIGHT(TRIM($A347),2)),12,31))),SUMIFS('Timesheet Raw'!$P$4:$P$8000,'Timesheet Raw'!$B$4:$B$8000,TRIM($A347),'Timesheet Raw'!$C$4:$C$8000,"*"&amp;$B347&amp;"*",'Timesheet Raw'!$L$4:$L$8000,"&gt;="&amp;M$5,'Timesheet Raw'!$L$4:$L$8000,"&lt;="&amp;M$6)))/'Profit Plan'!$B$5)</f>
        <v>0</v>
      </c>
      <c r="N347" s="122">
        <f>IF($A347="","",(IF(ISNUMBER(SEARCH("Proposal",$A347)),SUMIFS('Timesheet Raw'!$P$4:$P$8000,'Timesheet Raw'!$A$4:$A$8000,IF(ISNUMBER(SEARCH("Chargable",$A347)),"2-Proposals Chargeable","3-Proposals Regular"),'Timesheet Raw'!$C$4:$C$8000,"*"&amp;$B347&amp;"*",'Timesheet Raw'!$L$4:$L$8000,"&gt;="&amp;MAX(N$5,DATE(2000+VALUE(RIGHT(TRIM($A347),2)),1,1)),'Timesheet Raw'!$L$4:$L$8000,"&lt;="&amp;MIN(N$6,DATE(2000+VALUE(RIGHT(TRIM($A347),2)),12,31))),SUMIFS('Timesheet Raw'!$P$4:$P$8000,'Timesheet Raw'!$B$4:$B$8000,TRIM($A347),'Timesheet Raw'!$C$4:$C$8000,"*"&amp;$B347&amp;"*",'Timesheet Raw'!$L$4:$L$8000,"&gt;="&amp;N$5,'Timesheet Raw'!$L$4:$L$8000,"&lt;="&amp;N$6)))/'Profit Plan'!$B$5)</f>
        <v>0</v>
      </c>
      <c r="O347" s="122">
        <f>IF($A347="","",(IF(ISNUMBER(SEARCH("Proposal",$A347)),SUMIFS('Timesheet Raw'!$P$4:$P$8000,'Timesheet Raw'!$A$4:$A$8000,IF(ISNUMBER(SEARCH("Chargable",$A347)),"2-Proposals Chargeable","3-Proposals Regular"),'Timesheet Raw'!$C$4:$C$8000,"*"&amp;$B347&amp;"*",'Timesheet Raw'!$L$4:$L$8000,"&gt;="&amp;MAX(O$5,DATE(2000+VALUE(RIGHT(TRIM($A347),2)),1,1)),'Timesheet Raw'!$L$4:$L$8000,"&lt;="&amp;MIN(O$6,DATE(2000+VALUE(RIGHT(TRIM($A347),2)),12,31))),SUMIFS('Timesheet Raw'!$P$4:$P$8000,'Timesheet Raw'!$B$4:$B$8000,TRIM($A347),'Timesheet Raw'!$C$4:$C$8000,"*"&amp;$B347&amp;"*",'Timesheet Raw'!$L$4:$L$8000,"&gt;="&amp;O$5,'Timesheet Raw'!$L$4:$L$8000,"&lt;="&amp;O$6)))/'Profit Plan'!$B$5)</f>
        <v>0</v>
      </c>
      <c r="P347" s="122">
        <f>IF($A347="","",(IF(ISNUMBER(SEARCH("Proposal",$A347)),SUMIFS('Timesheet Raw'!$P$4:$P$8000,'Timesheet Raw'!$A$4:$A$8000,IF(ISNUMBER(SEARCH("Chargable",$A347)),"2-Proposals Chargeable","3-Proposals Regular"),'Timesheet Raw'!$C$4:$C$8000,"*"&amp;$B347&amp;"*",'Timesheet Raw'!$L$4:$L$8000,"&gt;="&amp;MAX(P$5,DATE(2000+VALUE(RIGHT(TRIM($A347),2)),1,1)),'Timesheet Raw'!$L$4:$L$8000,"&lt;="&amp;MIN(P$6,DATE(2000+VALUE(RIGHT(TRIM($A347),2)),12,31))),SUMIFS('Timesheet Raw'!$P$4:$P$8000,'Timesheet Raw'!$B$4:$B$8000,TRIM($A347),'Timesheet Raw'!$C$4:$C$8000,"*"&amp;$B347&amp;"*",'Timesheet Raw'!$L$4:$L$8000,"&gt;="&amp;P$5,'Timesheet Raw'!$L$4:$L$8000,"&lt;="&amp;P$6)))/'Profit Plan'!$B$5)</f>
        <v>0</v>
      </c>
      <c r="Q347" s="122">
        <f>IF($A347="","",(IF(ISNUMBER(SEARCH("Proposal",$A347)),SUMIFS('Timesheet Raw'!$P$4:$P$8000,'Timesheet Raw'!$A$4:$A$8000,IF(ISNUMBER(SEARCH("Chargable",$A347)),"2-Proposals Chargeable","3-Proposals Regular"),'Timesheet Raw'!$C$4:$C$8000,"*"&amp;$B347&amp;"*",'Timesheet Raw'!$L$4:$L$8000,"&gt;="&amp;MAX(Q$5,DATE(2000+VALUE(RIGHT(TRIM($A347),2)),1,1)),'Timesheet Raw'!$L$4:$L$8000,"&lt;="&amp;MIN(Q$6,DATE(2000+VALUE(RIGHT(TRIM($A347),2)),12,31))),SUMIFS('Timesheet Raw'!$P$4:$P$8000,'Timesheet Raw'!$B$4:$B$8000,TRIM($A347),'Timesheet Raw'!$C$4:$C$8000,"*"&amp;$B347&amp;"*",'Timesheet Raw'!$L$4:$L$8000,"&gt;="&amp;Q$5,'Timesheet Raw'!$L$4:$L$8000,"&lt;="&amp;Q$6)))/'Profit Plan'!$B$5)</f>
        <v>0</v>
      </c>
      <c r="R347" s="122">
        <f>IF($A347="","",(IF(ISNUMBER(SEARCH("Proposal",$A347)),SUMIFS('Timesheet Raw'!$P$4:$P$8000,'Timesheet Raw'!$A$4:$A$8000,IF(ISNUMBER(SEARCH("Chargable",$A347)),"2-Proposals Chargeable","3-Proposals Regular"),'Timesheet Raw'!$C$4:$C$8000,"*"&amp;$B347&amp;"*",'Timesheet Raw'!$L$4:$L$8000,"&gt;="&amp;MAX(R$5,DATE(2000+VALUE(RIGHT(TRIM($A347),2)),1,1)),'Timesheet Raw'!$L$4:$L$8000,"&lt;="&amp;MIN(R$6,DATE(2000+VALUE(RIGHT(TRIM($A347),2)),12,31))),SUMIFS('Timesheet Raw'!$P$4:$P$8000,'Timesheet Raw'!$B$4:$B$8000,TRIM($A347),'Timesheet Raw'!$C$4:$C$8000,"*"&amp;$B347&amp;"*",'Timesheet Raw'!$L$4:$L$8000,"&gt;="&amp;R$5,'Timesheet Raw'!$L$4:$L$8000,"&lt;="&amp;R$6)))/'Profit Plan'!$B$5)</f>
        <v>0</v>
      </c>
      <c r="S347" s="122">
        <f>IF($A347="","",(IF(ISNUMBER(SEARCH("Proposal",$A347)),SUMIFS('Timesheet Raw'!$P$4:$P$8000,'Timesheet Raw'!$A$4:$A$8000,IF(ISNUMBER(SEARCH("Chargable",$A347)),"2-Proposals Chargeable","3-Proposals Regular"),'Timesheet Raw'!$C$4:$C$8000,"*"&amp;$B347&amp;"*",'Timesheet Raw'!$L$4:$L$8000,"&gt;="&amp;MAX(S$5,DATE(2000+VALUE(RIGHT(TRIM($A347),2)),1,1)),'Timesheet Raw'!$L$4:$L$8000,"&lt;="&amp;MIN(S$6,DATE(2000+VALUE(RIGHT(TRIM($A347),2)),12,31))),SUMIFS('Timesheet Raw'!$P$4:$P$8000,'Timesheet Raw'!$B$4:$B$8000,TRIM($A347),'Timesheet Raw'!$C$4:$C$8000,"*"&amp;$B347&amp;"*",'Timesheet Raw'!$L$4:$L$8000,"&gt;="&amp;S$5,'Timesheet Raw'!$L$4:$L$8000,"&lt;="&amp;S$6)))/'Profit Plan'!$B$5)</f>
        <v>0</v>
      </c>
      <c r="T347" s="122">
        <f>IF($A347="","",(IF(ISNUMBER(SEARCH("Proposal",$A347)),SUMIFS('Timesheet Raw'!$P$4:$P$8000,'Timesheet Raw'!$A$4:$A$8000,IF(ISNUMBER(SEARCH("Chargable",$A347)),"2-Proposals Chargeable","3-Proposals Regular"),'Timesheet Raw'!$C$4:$C$8000,"*"&amp;$B347&amp;"*",'Timesheet Raw'!$L$4:$L$8000,"&gt;="&amp;MAX(T$5,DATE(2000+VALUE(RIGHT(TRIM($A347),2)),1,1)),'Timesheet Raw'!$L$4:$L$8000,"&lt;="&amp;MIN(T$6,DATE(2000+VALUE(RIGHT(TRIM($A347),2)),12,31))),SUMIFS('Timesheet Raw'!$P$4:$P$8000,'Timesheet Raw'!$B$4:$B$8000,TRIM($A347),'Timesheet Raw'!$C$4:$C$8000,"*"&amp;$B347&amp;"*",'Timesheet Raw'!$L$4:$L$8000,"&gt;="&amp;T$5,'Timesheet Raw'!$L$4:$L$8000,"&lt;="&amp;T$6)))/'Profit Plan'!$B$5)</f>
        <v>0</v>
      </c>
      <c r="U347" s="122">
        <f>IF($A347="","",(IF(ISNUMBER(SEARCH("Proposal",$A347)),SUMIFS('Timesheet Raw'!$P$4:$P$8000,'Timesheet Raw'!$A$4:$A$8000,IF(ISNUMBER(SEARCH("Chargable",$A347)),"2-Proposals Chargeable","3-Proposals Regular"),'Timesheet Raw'!$C$4:$C$8000,"*"&amp;$B347&amp;"*",'Timesheet Raw'!$L$4:$L$8000,"&gt;="&amp;MAX(U$5,DATE(2000+VALUE(RIGHT(TRIM($A347),2)),1,1)),'Timesheet Raw'!$L$4:$L$8000,"&lt;="&amp;MIN(U$6,DATE(2000+VALUE(RIGHT(TRIM($A347),2)),12,31))),SUMIFS('Timesheet Raw'!$P$4:$P$8000,'Timesheet Raw'!$B$4:$B$8000,TRIM($A347),'Timesheet Raw'!$C$4:$C$8000,"*"&amp;$B347&amp;"*",'Timesheet Raw'!$L$4:$L$8000,"&gt;="&amp;U$5,'Timesheet Raw'!$L$4:$L$8000,"&lt;="&amp;U$6)))/'Profit Plan'!$B$5)</f>
        <v>0</v>
      </c>
      <c r="V347" s="122">
        <f>IF($A347="","",(IF(ISNUMBER(SEARCH("Proposal",$A347)),SUMIFS('Timesheet Raw'!$P$4:$P$8000,'Timesheet Raw'!$A$4:$A$8000,IF(ISNUMBER(SEARCH("Chargable",$A347)),"2-Proposals Chargeable","3-Proposals Regular"),'Timesheet Raw'!$C$4:$C$8000,"*"&amp;$B347&amp;"*",'Timesheet Raw'!$L$4:$L$8000,"&gt;="&amp;MAX(V$5,DATE(2000+VALUE(RIGHT(TRIM($A347),2)),1,1)),'Timesheet Raw'!$L$4:$L$8000,"&lt;="&amp;MIN(V$6,DATE(2000+VALUE(RIGHT(TRIM($A347),2)),12,31))),SUMIFS('Timesheet Raw'!$P$4:$P$8000,'Timesheet Raw'!$B$4:$B$8000,TRIM($A347),'Timesheet Raw'!$C$4:$C$8000,"*"&amp;$B347&amp;"*",'Timesheet Raw'!$L$4:$L$8000,"&gt;="&amp;V$5,'Timesheet Raw'!$L$4:$L$8000,"&lt;="&amp;V$6)))/'Profit Plan'!$B$5)</f>
        <v>0</v>
      </c>
      <c r="W347" s="122">
        <f>IF($A347="","",(IF(ISNUMBER(SEARCH("Proposal",$A347)),SUMIFS('Timesheet Raw'!$P$4:$P$8000,'Timesheet Raw'!$A$4:$A$8000,IF(ISNUMBER(SEARCH("Chargable",$A347)),"2-Proposals Chargeable","3-Proposals Regular"),'Timesheet Raw'!$C$4:$C$8000,"*"&amp;$B347&amp;"*",'Timesheet Raw'!$L$4:$L$8000,"&gt;="&amp;MAX(W$5,DATE(2000+VALUE(RIGHT(TRIM($A347),2)),1,1)),'Timesheet Raw'!$L$4:$L$8000,"&lt;="&amp;MIN(W$6,DATE(2000+VALUE(RIGHT(TRIM($A347),2)),12,31))),SUMIFS('Timesheet Raw'!$P$4:$P$8000,'Timesheet Raw'!$B$4:$B$8000,TRIM($A347),'Timesheet Raw'!$C$4:$C$8000,"*"&amp;$B347&amp;"*",'Timesheet Raw'!$L$4:$L$8000,"&gt;="&amp;W$5,'Timesheet Raw'!$L$4:$L$8000,"&lt;="&amp;W$6)))/'Profit Plan'!$B$5)</f>
        <v>0</v>
      </c>
      <c r="X347" s="122">
        <f>IF($A347="","",(IF(ISNUMBER(SEARCH("Proposal",$A347)),SUMIFS('Timesheet Raw'!$P$4:$P$8000,'Timesheet Raw'!$A$4:$A$8000,IF(ISNUMBER(SEARCH("Chargable",$A347)),"2-Proposals Chargeable","3-Proposals Regular"),'Timesheet Raw'!$C$4:$C$8000,"*"&amp;$B347&amp;"*",'Timesheet Raw'!$L$4:$L$8000,"&gt;="&amp;MAX(X$5,DATE(2000+VALUE(RIGHT(TRIM($A347),2)),1,1)),'Timesheet Raw'!$L$4:$L$8000,"&lt;="&amp;MIN(X$6,DATE(2000+VALUE(RIGHT(TRIM($A347),2)),12,31))),SUMIFS('Timesheet Raw'!$P$4:$P$8000,'Timesheet Raw'!$B$4:$B$8000,TRIM($A347),'Timesheet Raw'!$C$4:$C$8000,"*"&amp;$B347&amp;"*",'Timesheet Raw'!$L$4:$L$8000,"&gt;="&amp;X$5,'Timesheet Raw'!$L$4:$L$8000,"&lt;="&amp;X$6)))/'Profit Plan'!$B$5)</f>
        <v>0</v>
      </c>
      <c r="Y347" s="118">
        <f t="shared" si="101"/>
        <v>2.6905405405405403</v>
      </c>
    </row>
    <row r="348" spans="1:25" x14ac:dyDescent="0.3">
      <c r="A348" s="116" t="str">
        <f>IF(Inputs!$A33="","",Inputs!$A33)</f>
        <v>Chargable Proposals 25</v>
      </c>
      <c r="B348" s="116" t="str">
        <f>IF(Inputs!$A33="","",Inputs!$A$93)</f>
        <v>Kirolos</v>
      </c>
      <c r="C348" s="116"/>
      <c r="D348" s="122">
        <f>IF($A348="","",(IF(ISNUMBER(SEARCH("Proposal",$A348)),SUMIFS('Timesheet Raw'!$P$4:$P$8000,'Timesheet Raw'!$A$4:$A$8000,IF(ISNUMBER(SEARCH("Chargable",$A348)),"2-Proposals Chargeable","3-Proposals Regular"),'Timesheet Raw'!$C$4:$C$8000,"*"&amp;$B348&amp;"*",'Timesheet Raw'!$L$4:$L$8000,"&gt;="&amp;MAX(D$5,DATE(2000+VALUE(RIGHT(TRIM($A348),2)),1,1)),'Timesheet Raw'!$L$4:$L$8000,"&lt;="&amp;MIN(D$6,DATE(2000+VALUE(RIGHT(TRIM($A348),2)),12,31))),SUMIFS('Timesheet Raw'!$P$4:$P$8000,'Timesheet Raw'!$B$4:$B$8000,TRIM($A348),'Timesheet Raw'!$C$4:$C$8000,"*"&amp;$B348&amp;"*",'Timesheet Raw'!$L$4:$L$8000,"&gt;="&amp;D$5,'Timesheet Raw'!$L$4:$L$8000,"&lt;="&amp;D$6)))/'Profit Plan'!$B$5)</f>
        <v>0</v>
      </c>
      <c r="E348" s="122">
        <f>IF($A348="","",(IF(ISNUMBER(SEARCH("Proposal",$A348)),SUMIFS('Timesheet Raw'!$P$4:$P$8000,'Timesheet Raw'!$A$4:$A$8000,IF(ISNUMBER(SEARCH("Chargable",$A348)),"2-Proposals Chargeable","3-Proposals Regular"),'Timesheet Raw'!$C$4:$C$8000,"*"&amp;$B348&amp;"*",'Timesheet Raw'!$L$4:$L$8000,"&gt;="&amp;MAX(E$5,DATE(2000+VALUE(RIGHT(TRIM($A348),2)),1,1)),'Timesheet Raw'!$L$4:$L$8000,"&lt;="&amp;MIN(E$6,DATE(2000+VALUE(RIGHT(TRIM($A348),2)),12,31))),SUMIFS('Timesheet Raw'!$P$4:$P$8000,'Timesheet Raw'!$B$4:$B$8000,TRIM($A348),'Timesheet Raw'!$C$4:$C$8000,"*"&amp;$B348&amp;"*",'Timesheet Raw'!$L$4:$L$8000,"&gt;="&amp;E$5,'Timesheet Raw'!$L$4:$L$8000,"&lt;="&amp;E$6)))/'Profit Plan'!$B$5)</f>
        <v>0</v>
      </c>
      <c r="F348" s="122">
        <f>IF($A348="","",(IF(ISNUMBER(SEARCH("Proposal",$A348)),SUMIFS('Timesheet Raw'!$P$4:$P$8000,'Timesheet Raw'!$A$4:$A$8000,IF(ISNUMBER(SEARCH("Chargable",$A348)),"2-Proposals Chargeable","3-Proposals Regular"),'Timesheet Raw'!$C$4:$C$8000,"*"&amp;$B348&amp;"*",'Timesheet Raw'!$L$4:$L$8000,"&gt;="&amp;MAX(F$5,DATE(2000+VALUE(RIGHT(TRIM($A348),2)),1,1)),'Timesheet Raw'!$L$4:$L$8000,"&lt;="&amp;MIN(F$6,DATE(2000+VALUE(RIGHT(TRIM($A348),2)),12,31))),SUMIFS('Timesheet Raw'!$P$4:$P$8000,'Timesheet Raw'!$B$4:$B$8000,TRIM($A348),'Timesheet Raw'!$C$4:$C$8000,"*"&amp;$B348&amp;"*",'Timesheet Raw'!$L$4:$L$8000,"&gt;="&amp;F$5,'Timesheet Raw'!$L$4:$L$8000,"&lt;="&amp;F$6)))/'Profit Plan'!$B$5)</f>
        <v>0</v>
      </c>
      <c r="G348" s="122">
        <f>IF($A348="","",(IF(ISNUMBER(SEARCH("Proposal",$A348)),SUMIFS('Timesheet Raw'!$P$4:$P$8000,'Timesheet Raw'!$A$4:$A$8000,IF(ISNUMBER(SEARCH("Chargable",$A348)),"2-Proposals Chargeable","3-Proposals Regular"),'Timesheet Raw'!$C$4:$C$8000,"*"&amp;$B348&amp;"*",'Timesheet Raw'!$L$4:$L$8000,"&gt;="&amp;MAX(G$5,DATE(2000+VALUE(RIGHT(TRIM($A348),2)),1,1)),'Timesheet Raw'!$L$4:$L$8000,"&lt;="&amp;MIN(G$6,DATE(2000+VALUE(RIGHT(TRIM($A348),2)),12,31))),SUMIFS('Timesheet Raw'!$P$4:$P$8000,'Timesheet Raw'!$B$4:$B$8000,TRIM($A348),'Timesheet Raw'!$C$4:$C$8000,"*"&amp;$B348&amp;"*",'Timesheet Raw'!$L$4:$L$8000,"&gt;="&amp;G$5,'Timesheet Raw'!$L$4:$L$8000,"&lt;="&amp;G$6)))/'Profit Plan'!$B$5)</f>
        <v>0</v>
      </c>
      <c r="H348" s="122">
        <f>IF($A348="","",(IF(ISNUMBER(SEARCH("Proposal",$A348)),SUMIFS('Timesheet Raw'!$P$4:$P$8000,'Timesheet Raw'!$A$4:$A$8000,IF(ISNUMBER(SEARCH("Chargable",$A348)),"2-Proposals Chargeable","3-Proposals Regular"),'Timesheet Raw'!$C$4:$C$8000,"*"&amp;$B348&amp;"*",'Timesheet Raw'!$L$4:$L$8000,"&gt;="&amp;MAX(H$5,DATE(2000+VALUE(RIGHT(TRIM($A348),2)),1,1)),'Timesheet Raw'!$L$4:$L$8000,"&lt;="&amp;MIN(H$6,DATE(2000+VALUE(RIGHT(TRIM($A348),2)),12,31))),SUMIFS('Timesheet Raw'!$P$4:$P$8000,'Timesheet Raw'!$B$4:$B$8000,TRIM($A348),'Timesheet Raw'!$C$4:$C$8000,"*"&amp;$B348&amp;"*",'Timesheet Raw'!$L$4:$L$8000,"&gt;="&amp;H$5,'Timesheet Raw'!$L$4:$L$8000,"&lt;="&amp;H$6)))/'Profit Plan'!$B$5)</f>
        <v>0</v>
      </c>
      <c r="I348" s="122">
        <f>IF($A348="","",(IF(ISNUMBER(SEARCH("Proposal",$A348)),SUMIFS('Timesheet Raw'!$P$4:$P$8000,'Timesheet Raw'!$A$4:$A$8000,IF(ISNUMBER(SEARCH("Chargable",$A348)),"2-Proposals Chargeable","3-Proposals Regular"),'Timesheet Raw'!$C$4:$C$8000,"*"&amp;$B348&amp;"*",'Timesheet Raw'!$L$4:$L$8000,"&gt;="&amp;MAX(I$5,DATE(2000+VALUE(RIGHT(TRIM($A348),2)),1,1)),'Timesheet Raw'!$L$4:$L$8000,"&lt;="&amp;MIN(I$6,DATE(2000+VALUE(RIGHT(TRIM($A348),2)),12,31))),SUMIFS('Timesheet Raw'!$P$4:$P$8000,'Timesheet Raw'!$B$4:$B$8000,TRIM($A348),'Timesheet Raw'!$C$4:$C$8000,"*"&amp;$B348&amp;"*",'Timesheet Raw'!$L$4:$L$8000,"&gt;="&amp;I$5,'Timesheet Raw'!$L$4:$L$8000,"&lt;="&amp;I$6)))/'Profit Plan'!$B$5)</f>
        <v>0.26756756756756755</v>
      </c>
      <c r="J348" s="122">
        <f>IF($A348="","",(IF(ISNUMBER(SEARCH("Proposal",$A348)),SUMIFS('Timesheet Raw'!$P$4:$P$8000,'Timesheet Raw'!$A$4:$A$8000,IF(ISNUMBER(SEARCH("Chargable",$A348)),"2-Proposals Chargeable","3-Proposals Regular"),'Timesheet Raw'!$C$4:$C$8000,"*"&amp;$B348&amp;"*",'Timesheet Raw'!$L$4:$L$8000,"&gt;="&amp;MAX(J$5,DATE(2000+VALUE(RIGHT(TRIM($A348),2)),1,1)),'Timesheet Raw'!$L$4:$L$8000,"&lt;="&amp;MIN(J$6,DATE(2000+VALUE(RIGHT(TRIM($A348),2)),12,31))),SUMIFS('Timesheet Raw'!$P$4:$P$8000,'Timesheet Raw'!$B$4:$B$8000,TRIM($A348),'Timesheet Raw'!$C$4:$C$8000,"*"&amp;$B348&amp;"*",'Timesheet Raw'!$L$4:$L$8000,"&gt;="&amp;J$5,'Timesheet Raw'!$L$4:$L$8000,"&lt;="&amp;J$6)))/'Profit Plan'!$B$5)</f>
        <v>0</v>
      </c>
      <c r="K348" s="122">
        <f>IF($A348="","",(IF(ISNUMBER(SEARCH("Proposal",$A348)),SUMIFS('Timesheet Raw'!$P$4:$P$8000,'Timesheet Raw'!$A$4:$A$8000,IF(ISNUMBER(SEARCH("Chargable",$A348)),"2-Proposals Chargeable","3-Proposals Regular"),'Timesheet Raw'!$C$4:$C$8000,"*"&amp;$B348&amp;"*",'Timesheet Raw'!$L$4:$L$8000,"&gt;="&amp;MAX(K$5,DATE(2000+VALUE(RIGHT(TRIM($A348),2)),1,1)),'Timesheet Raw'!$L$4:$L$8000,"&lt;="&amp;MIN(K$6,DATE(2000+VALUE(RIGHT(TRIM($A348),2)),12,31))),SUMIFS('Timesheet Raw'!$P$4:$P$8000,'Timesheet Raw'!$B$4:$B$8000,TRIM($A348),'Timesheet Raw'!$C$4:$C$8000,"*"&amp;$B348&amp;"*",'Timesheet Raw'!$L$4:$L$8000,"&gt;="&amp;K$5,'Timesheet Raw'!$L$4:$L$8000,"&lt;="&amp;K$6)))/'Profit Plan'!$B$5)</f>
        <v>0</v>
      </c>
      <c r="L348" s="122">
        <f>IF($A348="","",(IF(ISNUMBER(SEARCH("Proposal",$A348)),SUMIFS('Timesheet Raw'!$P$4:$P$8000,'Timesheet Raw'!$A$4:$A$8000,IF(ISNUMBER(SEARCH("Chargable",$A348)),"2-Proposals Chargeable","3-Proposals Regular"),'Timesheet Raw'!$C$4:$C$8000,"*"&amp;$B348&amp;"*",'Timesheet Raw'!$L$4:$L$8000,"&gt;="&amp;MAX(L$5,DATE(2000+VALUE(RIGHT(TRIM($A348),2)),1,1)),'Timesheet Raw'!$L$4:$L$8000,"&lt;="&amp;MIN(L$6,DATE(2000+VALUE(RIGHT(TRIM($A348),2)),12,31))),SUMIFS('Timesheet Raw'!$P$4:$P$8000,'Timesheet Raw'!$B$4:$B$8000,TRIM($A348),'Timesheet Raw'!$C$4:$C$8000,"*"&amp;$B348&amp;"*",'Timesheet Raw'!$L$4:$L$8000,"&gt;="&amp;L$5,'Timesheet Raw'!$L$4:$L$8000,"&lt;="&amp;L$6)))/'Profit Plan'!$B$5)</f>
        <v>0</v>
      </c>
      <c r="M348" s="122">
        <f>IF($A348="","",(IF(ISNUMBER(SEARCH("Proposal",$A348)),SUMIFS('Timesheet Raw'!$P$4:$P$8000,'Timesheet Raw'!$A$4:$A$8000,IF(ISNUMBER(SEARCH("Chargable",$A348)),"2-Proposals Chargeable","3-Proposals Regular"),'Timesheet Raw'!$C$4:$C$8000,"*"&amp;$B348&amp;"*",'Timesheet Raw'!$L$4:$L$8000,"&gt;="&amp;MAX(M$5,DATE(2000+VALUE(RIGHT(TRIM($A348),2)),1,1)),'Timesheet Raw'!$L$4:$L$8000,"&lt;="&amp;MIN(M$6,DATE(2000+VALUE(RIGHT(TRIM($A348),2)),12,31))),SUMIFS('Timesheet Raw'!$P$4:$P$8000,'Timesheet Raw'!$B$4:$B$8000,TRIM($A348),'Timesheet Raw'!$C$4:$C$8000,"*"&amp;$B348&amp;"*",'Timesheet Raw'!$L$4:$L$8000,"&gt;="&amp;M$5,'Timesheet Raw'!$L$4:$L$8000,"&lt;="&amp;M$6)))/'Profit Plan'!$B$5)</f>
        <v>0</v>
      </c>
      <c r="N348" s="122">
        <f>IF($A348="","",(IF(ISNUMBER(SEARCH("Proposal",$A348)),SUMIFS('Timesheet Raw'!$P$4:$P$8000,'Timesheet Raw'!$A$4:$A$8000,IF(ISNUMBER(SEARCH("Chargable",$A348)),"2-Proposals Chargeable","3-Proposals Regular"),'Timesheet Raw'!$C$4:$C$8000,"*"&amp;$B348&amp;"*",'Timesheet Raw'!$L$4:$L$8000,"&gt;="&amp;MAX(N$5,DATE(2000+VALUE(RIGHT(TRIM($A348),2)),1,1)),'Timesheet Raw'!$L$4:$L$8000,"&lt;="&amp;MIN(N$6,DATE(2000+VALUE(RIGHT(TRIM($A348),2)),12,31))),SUMIFS('Timesheet Raw'!$P$4:$P$8000,'Timesheet Raw'!$B$4:$B$8000,TRIM($A348),'Timesheet Raw'!$C$4:$C$8000,"*"&amp;$B348&amp;"*",'Timesheet Raw'!$L$4:$L$8000,"&gt;="&amp;N$5,'Timesheet Raw'!$L$4:$L$8000,"&lt;="&amp;N$6)))/'Profit Plan'!$B$5)</f>
        <v>0</v>
      </c>
      <c r="O348" s="122">
        <f>IF($A348="","",(IF(ISNUMBER(SEARCH("Proposal",$A348)),SUMIFS('Timesheet Raw'!$P$4:$P$8000,'Timesheet Raw'!$A$4:$A$8000,IF(ISNUMBER(SEARCH("Chargable",$A348)),"2-Proposals Chargeable","3-Proposals Regular"),'Timesheet Raw'!$C$4:$C$8000,"*"&amp;$B348&amp;"*",'Timesheet Raw'!$L$4:$L$8000,"&gt;="&amp;MAX(O$5,DATE(2000+VALUE(RIGHT(TRIM($A348),2)),1,1)),'Timesheet Raw'!$L$4:$L$8000,"&lt;="&amp;MIN(O$6,DATE(2000+VALUE(RIGHT(TRIM($A348),2)),12,31))),SUMIFS('Timesheet Raw'!$P$4:$P$8000,'Timesheet Raw'!$B$4:$B$8000,TRIM($A348),'Timesheet Raw'!$C$4:$C$8000,"*"&amp;$B348&amp;"*",'Timesheet Raw'!$L$4:$L$8000,"&gt;="&amp;O$5,'Timesheet Raw'!$L$4:$L$8000,"&lt;="&amp;O$6)))/'Profit Plan'!$B$5)</f>
        <v>0</v>
      </c>
      <c r="P348" s="122">
        <f>IF($A348="","",(IF(ISNUMBER(SEARCH("Proposal",$A348)),SUMIFS('Timesheet Raw'!$P$4:$P$8000,'Timesheet Raw'!$A$4:$A$8000,IF(ISNUMBER(SEARCH("Chargable",$A348)),"2-Proposals Chargeable","3-Proposals Regular"),'Timesheet Raw'!$C$4:$C$8000,"*"&amp;$B348&amp;"*",'Timesheet Raw'!$L$4:$L$8000,"&gt;="&amp;MAX(P$5,DATE(2000+VALUE(RIGHT(TRIM($A348),2)),1,1)),'Timesheet Raw'!$L$4:$L$8000,"&lt;="&amp;MIN(P$6,DATE(2000+VALUE(RIGHT(TRIM($A348),2)),12,31))),SUMIFS('Timesheet Raw'!$P$4:$P$8000,'Timesheet Raw'!$B$4:$B$8000,TRIM($A348),'Timesheet Raw'!$C$4:$C$8000,"*"&amp;$B348&amp;"*",'Timesheet Raw'!$L$4:$L$8000,"&gt;="&amp;P$5,'Timesheet Raw'!$L$4:$L$8000,"&lt;="&amp;P$6)))/'Profit Plan'!$B$5)</f>
        <v>0</v>
      </c>
      <c r="Q348" s="122">
        <f>IF($A348="","",(IF(ISNUMBER(SEARCH("Proposal",$A348)),SUMIFS('Timesheet Raw'!$P$4:$P$8000,'Timesheet Raw'!$A$4:$A$8000,IF(ISNUMBER(SEARCH("Chargable",$A348)),"2-Proposals Chargeable","3-Proposals Regular"),'Timesheet Raw'!$C$4:$C$8000,"*"&amp;$B348&amp;"*",'Timesheet Raw'!$L$4:$L$8000,"&gt;="&amp;MAX(Q$5,DATE(2000+VALUE(RIGHT(TRIM($A348),2)),1,1)),'Timesheet Raw'!$L$4:$L$8000,"&lt;="&amp;MIN(Q$6,DATE(2000+VALUE(RIGHT(TRIM($A348),2)),12,31))),SUMIFS('Timesheet Raw'!$P$4:$P$8000,'Timesheet Raw'!$B$4:$B$8000,TRIM($A348),'Timesheet Raw'!$C$4:$C$8000,"*"&amp;$B348&amp;"*",'Timesheet Raw'!$L$4:$L$8000,"&gt;="&amp;Q$5,'Timesheet Raw'!$L$4:$L$8000,"&lt;="&amp;Q$6)))/'Profit Plan'!$B$5)</f>
        <v>0</v>
      </c>
      <c r="R348" s="122">
        <f>IF($A348="","",(IF(ISNUMBER(SEARCH("Proposal",$A348)),SUMIFS('Timesheet Raw'!$P$4:$P$8000,'Timesheet Raw'!$A$4:$A$8000,IF(ISNUMBER(SEARCH("Chargable",$A348)),"2-Proposals Chargeable","3-Proposals Regular"),'Timesheet Raw'!$C$4:$C$8000,"*"&amp;$B348&amp;"*",'Timesheet Raw'!$L$4:$L$8000,"&gt;="&amp;MAX(R$5,DATE(2000+VALUE(RIGHT(TRIM($A348),2)),1,1)),'Timesheet Raw'!$L$4:$L$8000,"&lt;="&amp;MIN(R$6,DATE(2000+VALUE(RIGHT(TRIM($A348),2)),12,31))),SUMIFS('Timesheet Raw'!$P$4:$P$8000,'Timesheet Raw'!$B$4:$B$8000,TRIM($A348),'Timesheet Raw'!$C$4:$C$8000,"*"&amp;$B348&amp;"*",'Timesheet Raw'!$L$4:$L$8000,"&gt;="&amp;R$5,'Timesheet Raw'!$L$4:$L$8000,"&lt;="&amp;R$6)))/'Profit Plan'!$B$5)</f>
        <v>0</v>
      </c>
      <c r="S348" s="122">
        <f>IF($A348="","",(IF(ISNUMBER(SEARCH("Proposal",$A348)),SUMIFS('Timesheet Raw'!$P$4:$P$8000,'Timesheet Raw'!$A$4:$A$8000,IF(ISNUMBER(SEARCH("Chargable",$A348)),"2-Proposals Chargeable","3-Proposals Regular"),'Timesheet Raw'!$C$4:$C$8000,"*"&amp;$B348&amp;"*",'Timesheet Raw'!$L$4:$L$8000,"&gt;="&amp;MAX(S$5,DATE(2000+VALUE(RIGHT(TRIM($A348),2)),1,1)),'Timesheet Raw'!$L$4:$L$8000,"&lt;="&amp;MIN(S$6,DATE(2000+VALUE(RIGHT(TRIM($A348),2)),12,31))),SUMIFS('Timesheet Raw'!$P$4:$P$8000,'Timesheet Raw'!$B$4:$B$8000,TRIM($A348),'Timesheet Raw'!$C$4:$C$8000,"*"&amp;$B348&amp;"*",'Timesheet Raw'!$L$4:$L$8000,"&gt;="&amp;S$5,'Timesheet Raw'!$L$4:$L$8000,"&lt;="&amp;S$6)))/'Profit Plan'!$B$5)</f>
        <v>0</v>
      </c>
      <c r="T348" s="122">
        <f>IF($A348="","",(IF(ISNUMBER(SEARCH("Proposal",$A348)),SUMIFS('Timesheet Raw'!$P$4:$P$8000,'Timesheet Raw'!$A$4:$A$8000,IF(ISNUMBER(SEARCH("Chargable",$A348)),"2-Proposals Chargeable","3-Proposals Regular"),'Timesheet Raw'!$C$4:$C$8000,"*"&amp;$B348&amp;"*",'Timesheet Raw'!$L$4:$L$8000,"&gt;="&amp;MAX(T$5,DATE(2000+VALUE(RIGHT(TRIM($A348),2)),1,1)),'Timesheet Raw'!$L$4:$L$8000,"&lt;="&amp;MIN(T$6,DATE(2000+VALUE(RIGHT(TRIM($A348),2)),12,31))),SUMIFS('Timesheet Raw'!$P$4:$P$8000,'Timesheet Raw'!$B$4:$B$8000,TRIM($A348),'Timesheet Raw'!$C$4:$C$8000,"*"&amp;$B348&amp;"*",'Timesheet Raw'!$L$4:$L$8000,"&gt;="&amp;T$5,'Timesheet Raw'!$L$4:$L$8000,"&lt;="&amp;T$6)))/'Profit Plan'!$B$5)</f>
        <v>0</v>
      </c>
      <c r="U348" s="122">
        <f>IF($A348="","",(IF(ISNUMBER(SEARCH("Proposal",$A348)),SUMIFS('Timesheet Raw'!$P$4:$P$8000,'Timesheet Raw'!$A$4:$A$8000,IF(ISNUMBER(SEARCH("Chargable",$A348)),"2-Proposals Chargeable","3-Proposals Regular"),'Timesheet Raw'!$C$4:$C$8000,"*"&amp;$B348&amp;"*",'Timesheet Raw'!$L$4:$L$8000,"&gt;="&amp;MAX(U$5,DATE(2000+VALUE(RIGHT(TRIM($A348),2)),1,1)),'Timesheet Raw'!$L$4:$L$8000,"&lt;="&amp;MIN(U$6,DATE(2000+VALUE(RIGHT(TRIM($A348),2)),12,31))),SUMIFS('Timesheet Raw'!$P$4:$P$8000,'Timesheet Raw'!$B$4:$B$8000,TRIM($A348),'Timesheet Raw'!$C$4:$C$8000,"*"&amp;$B348&amp;"*",'Timesheet Raw'!$L$4:$L$8000,"&gt;="&amp;U$5,'Timesheet Raw'!$L$4:$L$8000,"&lt;="&amp;U$6)))/'Profit Plan'!$B$5)</f>
        <v>0</v>
      </c>
      <c r="V348" s="122">
        <f>IF($A348="","",(IF(ISNUMBER(SEARCH("Proposal",$A348)),SUMIFS('Timesheet Raw'!$P$4:$P$8000,'Timesheet Raw'!$A$4:$A$8000,IF(ISNUMBER(SEARCH("Chargable",$A348)),"2-Proposals Chargeable","3-Proposals Regular"),'Timesheet Raw'!$C$4:$C$8000,"*"&amp;$B348&amp;"*",'Timesheet Raw'!$L$4:$L$8000,"&gt;="&amp;MAX(V$5,DATE(2000+VALUE(RIGHT(TRIM($A348),2)),1,1)),'Timesheet Raw'!$L$4:$L$8000,"&lt;="&amp;MIN(V$6,DATE(2000+VALUE(RIGHT(TRIM($A348),2)),12,31))),SUMIFS('Timesheet Raw'!$P$4:$P$8000,'Timesheet Raw'!$B$4:$B$8000,TRIM($A348),'Timesheet Raw'!$C$4:$C$8000,"*"&amp;$B348&amp;"*",'Timesheet Raw'!$L$4:$L$8000,"&gt;="&amp;V$5,'Timesheet Raw'!$L$4:$L$8000,"&lt;="&amp;V$6)))/'Profit Plan'!$B$5)</f>
        <v>0</v>
      </c>
      <c r="W348" s="122">
        <f>IF($A348="","",(IF(ISNUMBER(SEARCH("Proposal",$A348)),SUMIFS('Timesheet Raw'!$P$4:$P$8000,'Timesheet Raw'!$A$4:$A$8000,IF(ISNUMBER(SEARCH("Chargable",$A348)),"2-Proposals Chargeable","3-Proposals Regular"),'Timesheet Raw'!$C$4:$C$8000,"*"&amp;$B348&amp;"*",'Timesheet Raw'!$L$4:$L$8000,"&gt;="&amp;MAX(W$5,DATE(2000+VALUE(RIGHT(TRIM($A348),2)),1,1)),'Timesheet Raw'!$L$4:$L$8000,"&lt;="&amp;MIN(W$6,DATE(2000+VALUE(RIGHT(TRIM($A348),2)),12,31))),SUMIFS('Timesheet Raw'!$P$4:$P$8000,'Timesheet Raw'!$B$4:$B$8000,TRIM($A348),'Timesheet Raw'!$C$4:$C$8000,"*"&amp;$B348&amp;"*",'Timesheet Raw'!$L$4:$L$8000,"&gt;="&amp;W$5,'Timesheet Raw'!$L$4:$L$8000,"&lt;="&amp;W$6)))/'Profit Plan'!$B$5)</f>
        <v>0</v>
      </c>
      <c r="X348" s="122">
        <f>IF($A348="","",(IF(ISNUMBER(SEARCH("Proposal",$A348)),SUMIFS('Timesheet Raw'!$P$4:$P$8000,'Timesheet Raw'!$A$4:$A$8000,IF(ISNUMBER(SEARCH("Chargable",$A348)),"2-Proposals Chargeable","3-Proposals Regular"),'Timesheet Raw'!$C$4:$C$8000,"*"&amp;$B348&amp;"*",'Timesheet Raw'!$L$4:$L$8000,"&gt;="&amp;MAX(X$5,DATE(2000+VALUE(RIGHT(TRIM($A348),2)),1,1)),'Timesheet Raw'!$L$4:$L$8000,"&lt;="&amp;MIN(X$6,DATE(2000+VALUE(RIGHT(TRIM($A348),2)),12,31))),SUMIFS('Timesheet Raw'!$P$4:$P$8000,'Timesheet Raw'!$B$4:$B$8000,TRIM($A348),'Timesheet Raw'!$C$4:$C$8000,"*"&amp;$B348&amp;"*",'Timesheet Raw'!$L$4:$L$8000,"&gt;="&amp;X$5,'Timesheet Raw'!$L$4:$L$8000,"&lt;="&amp;X$6)))/'Profit Plan'!$B$5)</f>
        <v>0</v>
      </c>
      <c r="Y348" s="118">
        <f t="shared" si="101"/>
        <v>0.26756756756756755</v>
      </c>
    </row>
    <row r="349" spans="1:25" x14ac:dyDescent="0.3">
      <c r="A349" s="116" t="str">
        <f>IF(Inputs!$A34="","",Inputs!$A34)</f>
        <v>AD23051-0101D</v>
      </c>
      <c r="B349" s="116" t="str">
        <f>IF(Inputs!$A34="","",Inputs!$A$91)</f>
        <v>Ahmed</v>
      </c>
      <c r="C349" s="116"/>
      <c r="D349" s="122">
        <f>IF($A349="","",(IF(ISNUMBER(SEARCH("Proposal",$A349)),SUMIFS('Timesheet Raw'!$P$4:$P$8000,'Timesheet Raw'!$A$4:$A$8000,IF(ISNUMBER(SEARCH("Chargable",$A349)),"2-Proposals Chargeable","3-Proposals Regular"),'Timesheet Raw'!$C$4:$C$8000,"*"&amp;$B349&amp;"*",'Timesheet Raw'!$L$4:$L$8000,"&gt;="&amp;MAX(D$5,DATE(2000+VALUE(RIGHT(TRIM($A349),2)),1,1)),'Timesheet Raw'!$L$4:$L$8000,"&lt;="&amp;MIN(D$6,DATE(2000+VALUE(RIGHT(TRIM($A349),2)),12,31))),SUMIFS('Timesheet Raw'!$P$4:$P$8000,'Timesheet Raw'!$B$4:$B$8000,TRIM($A349),'Timesheet Raw'!$C$4:$C$8000,"*"&amp;$B349&amp;"*",'Timesheet Raw'!$L$4:$L$8000,"&gt;="&amp;D$5,'Timesheet Raw'!$L$4:$L$8000,"&lt;="&amp;D$6)))/'Profit Plan'!$B$5)</f>
        <v>2.1621621621621623E-2</v>
      </c>
      <c r="E349" s="122">
        <f>IF($A349="","",(IF(ISNUMBER(SEARCH("Proposal",$A349)),SUMIFS('Timesheet Raw'!$P$4:$P$8000,'Timesheet Raw'!$A$4:$A$8000,IF(ISNUMBER(SEARCH("Chargable",$A349)),"2-Proposals Chargeable","3-Proposals Regular"),'Timesheet Raw'!$C$4:$C$8000,"*"&amp;$B349&amp;"*",'Timesheet Raw'!$L$4:$L$8000,"&gt;="&amp;MAX(E$5,DATE(2000+VALUE(RIGHT(TRIM($A349),2)),1,1)),'Timesheet Raw'!$L$4:$L$8000,"&lt;="&amp;MIN(E$6,DATE(2000+VALUE(RIGHT(TRIM($A349),2)),12,31))),SUMIFS('Timesheet Raw'!$P$4:$P$8000,'Timesheet Raw'!$B$4:$B$8000,TRIM($A349),'Timesheet Raw'!$C$4:$C$8000,"*"&amp;$B349&amp;"*",'Timesheet Raw'!$L$4:$L$8000,"&gt;="&amp;E$5,'Timesheet Raw'!$L$4:$L$8000,"&lt;="&amp;E$6)))/'Profit Plan'!$B$5)</f>
        <v>0.12027027027027028</v>
      </c>
      <c r="F349" s="122">
        <f>IF($A349="","",(IF(ISNUMBER(SEARCH("Proposal",$A349)),SUMIFS('Timesheet Raw'!$P$4:$P$8000,'Timesheet Raw'!$A$4:$A$8000,IF(ISNUMBER(SEARCH("Chargable",$A349)),"2-Proposals Chargeable","3-Proposals Regular"),'Timesheet Raw'!$C$4:$C$8000,"*"&amp;$B349&amp;"*",'Timesheet Raw'!$L$4:$L$8000,"&gt;="&amp;MAX(F$5,DATE(2000+VALUE(RIGHT(TRIM($A349),2)),1,1)),'Timesheet Raw'!$L$4:$L$8000,"&lt;="&amp;MIN(F$6,DATE(2000+VALUE(RIGHT(TRIM($A349),2)),12,31))),SUMIFS('Timesheet Raw'!$P$4:$P$8000,'Timesheet Raw'!$B$4:$B$8000,TRIM($A349),'Timesheet Raw'!$C$4:$C$8000,"*"&amp;$B349&amp;"*",'Timesheet Raw'!$L$4:$L$8000,"&gt;="&amp;F$5,'Timesheet Raw'!$L$4:$L$8000,"&lt;="&amp;F$6)))/'Profit Plan'!$B$5)</f>
        <v>0</v>
      </c>
      <c r="G349" s="122">
        <f>IF($A349="","",(IF(ISNUMBER(SEARCH("Proposal",$A349)),SUMIFS('Timesheet Raw'!$P$4:$P$8000,'Timesheet Raw'!$A$4:$A$8000,IF(ISNUMBER(SEARCH("Chargable",$A349)),"2-Proposals Chargeable","3-Proposals Regular"),'Timesheet Raw'!$C$4:$C$8000,"*"&amp;$B349&amp;"*",'Timesheet Raw'!$L$4:$L$8000,"&gt;="&amp;MAX(G$5,DATE(2000+VALUE(RIGHT(TRIM($A349),2)),1,1)),'Timesheet Raw'!$L$4:$L$8000,"&lt;="&amp;MIN(G$6,DATE(2000+VALUE(RIGHT(TRIM($A349),2)),12,31))),SUMIFS('Timesheet Raw'!$P$4:$P$8000,'Timesheet Raw'!$B$4:$B$8000,TRIM($A349),'Timesheet Raw'!$C$4:$C$8000,"*"&amp;$B349&amp;"*",'Timesheet Raw'!$L$4:$L$8000,"&gt;="&amp;G$5,'Timesheet Raw'!$L$4:$L$8000,"&lt;="&amp;G$6)))/'Profit Plan'!$B$5)</f>
        <v>0</v>
      </c>
      <c r="H349" s="122">
        <f>IF($A349="","",(IF(ISNUMBER(SEARCH("Proposal",$A349)),SUMIFS('Timesheet Raw'!$P$4:$P$8000,'Timesheet Raw'!$A$4:$A$8000,IF(ISNUMBER(SEARCH("Chargable",$A349)),"2-Proposals Chargeable","3-Proposals Regular"),'Timesheet Raw'!$C$4:$C$8000,"*"&amp;$B349&amp;"*",'Timesheet Raw'!$L$4:$L$8000,"&gt;="&amp;MAX(H$5,DATE(2000+VALUE(RIGHT(TRIM($A349),2)),1,1)),'Timesheet Raw'!$L$4:$L$8000,"&lt;="&amp;MIN(H$6,DATE(2000+VALUE(RIGHT(TRIM($A349),2)),12,31))),SUMIFS('Timesheet Raw'!$P$4:$P$8000,'Timesheet Raw'!$B$4:$B$8000,TRIM($A349),'Timesheet Raw'!$C$4:$C$8000,"*"&amp;$B349&amp;"*",'Timesheet Raw'!$L$4:$L$8000,"&gt;="&amp;H$5,'Timesheet Raw'!$L$4:$L$8000,"&lt;="&amp;H$6)))/'Profit Plan'!$B$5)</f>
        <v>0</v>
      </c>
      <c r="I349" s="122">
        <f>IF($A349="","",(IF(ISNUMBER(SEARCH("Proposal",$A349)),SUMIFS('Timesheet Raw'!$P$4:$P$8000,'Timesheet Raw'!$A$4:$A$8000,IF(ISNUMBER(SEARCH("Chargable",$A349)),"2-Proposals Chargeable","3-Proposals Regular"),'Timesheet Raw'!$C$4:$C$8000,"*"&amp;$B349&amp;"*",'Timesheet Raw'!$L$4:$L$8000,"&gt;="&amp;MAX(I$5,DATE(2000+VALUE(RIGHT(TRIM($A349),2)),1,1)),'Timesheet Raw'!$L$4:$L$8000,"&lt;="&amp;MIN(I$6,DATE(2000+VALUE(RIGHT(TRIM($A349),2)),12,31))),SUMIFS('Timesheet Raw'!$P$4:$P$8000,'Timesheet Raw'!$B$4:$B$8000,TRIM($A349),'Timesheet Raw'!$C$4:$C$8000,"*"&amp;$B349&amp;"*",'Timesheet Raw'!$L$4:$L$8000,"&gt;="&amp;I$5,'Timesheet Raw'!$L$4:$L$8000,"&lt;="&amp;I$6)))/'Profit Plan'!$B$5)</f>
        <v>0</v>
      </c>
      <c r="J349" s="122">
        <f>IF($A349="","",(IF(ISNUMBER(SEARCH("Proposal",$A349)),SUMIFS('Timesheet Raw'!$P$4:$P$8000,'Timesheet Raw'!$A$4:$A$8000,IF(ISNUMBER(SEARCH("Chargable",$A349)),"2-Proposals Chargeable","3-Proposals Regular"),'Timesheet Raw'!$C$4:$C$8000,"*"&amp;$B349&amp;"*",'Timesheet Raw'!$L$4:$L$8000,"&gt;="&amp;MAX(J$5,DATE(2000+VALUE(RIGHT(TRIM($A349),2)),1,1)),'Timesheet Raw'!$L$4:$L$8000,"&lt;="&amp;MIN(J$6,DATE(2000+VALUE(RIGHT(TRIM($A349),2)),12,31))),SUMIFS('Timesheet Raw'!$P$4:$P$8000,'Timesheet Raw'!$B$4:$B$8000,TRIM($A349),'Timesheet Raw'!$C$4:$C$8000,"*"&amp;$B349&amp;"*",'Timesheet Raw'!$L$4:$L$8000,"&gt;="&amp;J$5,'Timesheet Raw'!$L$4:$L$8000,"&lt;="&amp;J$6)))/'Profit Plan'!$B$5)</f>
        <v>0</v>
      </c>
      <c r="K349" s="122">
        <f>IF($A349="","",(IF(ISNUMBER(SEARCH("Proposal",$A349)),SUMIFS('Timesheet Raw'!$P$4:$P$8000,'Timesheet Raw'!$A$4:$A$8000,IF(ISNUMBER(SEARCH("Chargable",$A349)),"2-Proposals Chargeable","3-Proposals Regular"),'Timesheet Raw'!$C$4:$C$8000,"*"&amp;$B349&amp;"*",'Timesheet Raw'!$L$4:$L$8000,"&gt;="&amp;MAX(K$5,DATE(2000+VALUE(RIGHT(TRIM($A349),2)),1,1)),'Timesheet Raw'!$L$4:$L$8000,"&lt;="&amp;MIN(K$6,DATE(2000+VALUE(RIGHT(TRIM($A349),2)),12,31))),SUMIFS('Timesheet Raw'!$P$4:$P$8000,'Timesheet Raw'!$B$4:$B$8000,TRIM($A349),'Timesheet Raw'!$C$4:$C$8000,"*"&amp;$B349&amp;"*",'Timesheet Raw'!$L$4:$L$8000,"&gt;="&amp;K$5,'Timesheet Raw'!$L$4:$L$8000,"&lt;="&amp;K$6)))/'Profit Plan'!$B$5)</f>
        <v>0</v>
      </c>
      <c r="L349" s="122">
        <f>IF($A349="","",(IF(ISNUMBER(SEARCH("Proposal",$A349)),SUMIFS('Timesheet Raw'!$P$4:$P$8000,'Timesheet Raw'!$A$4:$A$8000,IF(ISNUMBER(SEARCH("Chargable",$A349)),"2-Proposals Chargeable","3-Proposals Regular"),'Timesheet Raw'!$C$4:$C$8000,"*"&amp;$B349&amp;"*",'Timesheet Raw'!$L$4:$L$8000,"&gt;="&amp;MAX(L$5,DATE(2000+VALUE(RIGHT(TRIM($A349),2)),1,1)),'Timesheet Raw'!$L$4:$L$8000,"&lt;="&amp;MIN(L$6,DATE(2000+VALUE(RIGHT(TRIM($A349),2)),12,31))),SUMIFS('Timesheet Raw'!$P$4:$P$8000,'Timesheet Raw'!$B$4:$B$8000,TRIM($A349),'Timesheet Raw'!$C$4:$C$8000,"*"&amp;$B349&amp;"*",'Timesheet Raw'!$L$4:$L$8000,"&gt;="&amp;L$5,'Timesheet Raw'!$L$4:$L$8000,"&lt;="&amp;L$6)))/'Profit Plan'!$B$5)</f>
        <v>0</v>
      </c>
      <c r="M349" s="122">
        <f>IF($A349="","",(IF(ISNUMBER(SEARCH("Proposal",$A349)),SUMIFS('Timesheet Raw'!$P$4:$P$8000,'Timesheet Raw'!$A$4:$A$8000,IF(ISNUMBER(SEARCH("Chargable",$A349)),"2-Proposals Chargeable","3-Proposals Regular"),'Timesheet Raw'!$C$4:$C$8000,"*"&amp;$B349&amp;"*",'Timesheet Raw'!$L$4:$L$8000,"&gt;="&amp;MAX(M$5,DATE(2000+VALUE(RIGHT(TRIM($A349),2)),1,1)),'Timesheet Raw'!$L$4:$L$8000,"&lt;="&amp;MIN(M$6,DATE(2000+VALUE(RIGHT(TRIM($A349),2)),12,31))),SUMIFS('Timesheet Raw'!$P$4:$P$8000,'Timesheet Raw'!$B$4:$B$8000,TRIM($A349),'Timesheet Raw'!$C$4:$C$8000,"*"&amp;$B349&amp;"*",'Timesheet Raw'!$L$4:$L$8000,"&gt;="&amp;M$5,'Timesheet Raw'!$L$4:$L$8000,"&lt;="&amp;M$6)))/'Profit Plan'!$B$5)</f>
        <v>0</v>
      </c>
      <c r="N349" s="122">
        <f>IF($A349="","",(IF(ISNUMBER(SEARCH("Proposal",$A349)),SUMIFS('Timesheet Raw'!$P$4:$P$8000,'Timesheet Raw'!$A$4:$A$8000,IF(ISNUMBER(SEARCH("Chargable",$A349)),"2-Proposals Chargeable","3-Proposals Regular"),'Timesheet Raw'!$C$4:$C$8000,"*"&amp;$B349&amp;"*",'Timesheet Raw'!$L$4:$L$8000,"&gt;="&amp;MAX(N$5,DATE(2000+VALUE(RIGHT(TRIM($A349),2)),1,1)),'Timesheet Raw'!$L$4:$L$8000,"&lt;="&amp;MIN(N$6,DATE(2000+VALUE(RIGHT(TRIM($A349),2)),12,31))),SUMIFS('Timesheet Raw'!$P$4:$P$8000,'Timesheet Raw'!$B$4:$B$8000,TRIM($A349),'Timesheet Raw'!$C$4:$C$8000,"*"&amp;$B349&amp;"*",'Timesheet Raw'!$L$4:$L$8000,"&gt;="&amp;N$5,'Timesheet Raw'!$L$4:$L$8000,"&lt;="&amp;N$6)))/'Profit Plan'!$B$5)</f>
        <v>0</v>
      </c>
      <c r="O349" s="122">
        <f>IF($A349="","",(IF(ISNUMBER(SEARCH("Proposal",$A349)),SUMIFS('Timesheet Raw'!$P$4:$P$8000,'Timesheet Raw'!$A$4:$A$8000,IF(ISNUMBER(SEARCH("Chargable",$A349)),"2-Proposals Chargeable","3-Proposals Regular"),'Timesheet Raw'!$C$4:$C$8000,"*"&amp;$B349&amp;"*",'Timesheet Raw'!$L$4:$L$8000,"&gt;="&amp;MAX(O$5,DATE(2000+VALUE(RIGHT(TRIM($A349),2)),1,1)),'Timesheet Raw'!$L$4:$L$8000,"&lt;="&amp;MIN(O$6,DATE(2000+VALUE(RIGHT(TRIM($A349),2)),12,31))),SUMIFS('Timesheet Raw'!$P$4:$P$8000,'Timesheet Raw'!$B$4:$B$8000,TRIM($A349),'Timesheet Raw'!$C$4:$C$8000,"*"&amp;$B349&amp;"*",'Timesheet Raw'!$L$4:$L$8000,"&gt;="&amp;O$5,'Timesheet Raw'!$L$4:$L$8000,"&lt;="&amp;O$6)))/'Profit Plan'!$B$5)</f>
        <v>0</v>
      </c>
      <c r="P349" s="122">
        <f>IF($A349="","",(IF(ISNUMBER(SEARCH("Proposal",$A349)),SUMIFS('Timesheet Raw'!$P$4:$P$8000,'Timesheet Raw'!$A$4:$A$8000,IF(ISNUMBER(SEARCH("Chargable",$A349)),"2-Proposals Chargeable","3-Proposals Regular"),'Timesheet Raw'!$C$4:$C$8000,"*"&amp;$B349&amp;"*",'Timesheet Raw'!$L$4:$L$8000,"&gt;="&amp;MAX(P$5,DATE(2000+VALUE(RIGHT(TRIM($A349),2)),1,1)),'Timesheet Raw'!$L$4:$L$8000,"&lt;="&amp;MIN(P$6,DATE(2000+VALUE(RIGHT(TRIM($A349),2)),12,31))),SUMIFS('Timesheet Raw'!$P$4:$P$8000,'Timesheet Raw'!$B$4:$B$8000,TRIM($A349),'Timesheet Raw'!$C$4:$C$8000,"*"&amp;$B349&amp;"*",'Timesheet Raw'!$L$4:$L$8000,"&gt;="&amp;P$5,'Timesheet Raw'!$L$4:$L$8000,"&lt;="&amp;P$6)))/'Profit Plan'!$B$5)</f>
        <v>0</v>
      </c>
      <c r="Q349" s="122">
        <f>IF($A349="","",(IF(ISNUMBER(SEARCH("Proposal",$A349)),SUMIFS('Timesheet Raw'!$P$4:$P$8000,'Timesheet Raw'!$A$4:$A$8000,IF(ISNUMBER(SEARCH("Chargable",$A349)),"2-Proposals Chargeable","3-Proposals Regular"),'Timesheet Raw'!$C$4:$C$8000,"*"&amp;$B349&amp;"*",'Timesheet Raw'!$L$4:$L$8000,"&gt;="&amp;MAX(Q$5,DATE(2000+VALUE(RIGHT(TRIM($A349),2)),1,1)),'Timesheet Raw'!$L$4:$L$8000,"&lt;="&amp;MIN(Q$6,DATE(2000+VALUE(RIGHT(TRIM($A349),2)),12,31))),SUMIFS('Timesheet Raw'!$P$4:$P$8000,'Timesheet Raw'!$B$4:$B$8000,TRIM($A349),'Timesheet Raw'!$C$4:$C$8000,"*"&amp;$B349&amp;"*",'Timesheet Raw'!$L$4:$L$8000,"&gt;="&amp;Q$5,'Timesheet Raw'!$L$4:$L$8000,"&lt;="&amp;Q$6)))/'Profit Plan'!$B$5)</f>
        <v>0</v>
      </c>
      <c r="R349" s="122">
        <f>IF($A349="","",(IF(ISNUMBER(SEARCH("Proposal",$A349)),SUMIFS('Timesheet Raw'!$P$4:$P$8000,'Timesheet Raw'!$A$4:$A$8000,IF(ISNUMBER(SEARCH("Chargable",$A349)),"2-Proposals Chargeable","3-Proposals Regular"),'Timesheet Raw'!$C$4:$C$8000,"*"&amp;$B349&amp;"*",'Timesheet Raw'!$L$4:$L$8000,"&gt;="&amp;MAX(R$5,DATE(2000+VALUE(RIGHT(TRIM($A349),2)),1,1)),'Timesheet Raw'!$L$4:$L$8000,"&lt;="&amp;MIN(R$6,DATE(2000+VALUE(RIGHT(TRIM($A349),2)),12,31))),SUMIFS('Timesheet Raw'!$P$4:$P$8000,'Timesheet Raw'!$B$4:$B$8000,TRIM($A349),'Timesheet Raw'!$C$4:$C$8000,"*"&amp;$B349&amp;"*",'Timesheet Raw'!$L$4:$L$8000,"&gt;="&amp;R$5,'Timesheet Raw'!$L$4:$L$8000,"&lt;="&amp;R$6)))/'Profit Plan'!$B$5)</f>
        <v>0</v>
      </c>
      <c r="S349" s="122">
        <f>IF($A349="","",(IF(ISNUMBER(SEARCH("Proposal",$A349)),SUMIFS('Timesheet Raw'!$P$4:$P$8000,'Timesheet Raw'!$A$4:$A$8000,IF(ISNUMBER(SEARCH("Chargable",$A349)),"2-Proposals Chargeable","3-Proposals Regular"),'Timesheet Raw'!$C$4:$C$8000,"*"&amp;$B349&amp;"*",'Timesheet Raw'!$L$4:$L$8000,"&gt;="&amp;MAX(S$5,DATE(2000+VALUE(RIGHT(TRIM($A349),2)),1,1)),'Timesheet Raw'!$L$4:$L$8000,"&lt;="&amp;MIN(S$6,DATE(2000+VALUE(RIGHT(TRIM($A349),2)),12,31))),SUMIFS('Timesheet Raw'!$P$4:$P$8000,'Timesheet Raw'!$B$4:$B$8000,TRIM($A349),'Timesheet Raw'!$C$4:$C$8000,"*"&amp;$B349&amp;"*",'Timesheet Raw'!$L$4:$L$8000,"&gt;="&amp;S$5,'Timesheet Raw'!$L$4:$L$8000,"&lt;="&amp;S$6)))/'Profit Plan'!$B$5)</f>
        <v>0</v>
      </c>
      <c r="T349" s="122">
        <f>IF($A349="","",(IF(ISNUMBER(SEARCH("Proposal",$A349)),SUMIFS('Timesheet Raw'!$P$4:$P$8000,'Timesheet Raw'!$A$4:$A$8000,IF(ISNUMBER(SEARCH("Chargable",$A349)),"2-Proposals Chargeable","3-Proposals Regular"),'Timesheet Raw'!$C$4:$C$8000,"*"&amp;$B349&amp;"*",'Timesheet Raw'!$L$4:$L$8000,"&gt;="&amp;MAX(T$5,DATE(2000+VALUE(RIGHT(TRIM($A349),2)),1,1)),'Timesheet Raw'!$L$4:$L$8000,"&lt;="&amp;MIN(T$6,DATE(2000+VALUE(RIGHT(TRIM($A349),2)),12,31))),SUMIFS('Timesheet Raw'!$P$4:$P$8000,'Timesheet Raw'!$B$4:$B$8000,TRIM($A349),'Timesheet Raw'!$C$4:$C$8000,"*"&amp;$B349&amp;"*",'Timesheet Raw'!$L$4:$L$8000,"&gt;="&amp;T$5,'Timesheet Raw'!$L$4:$L$8000,"&lt;="&amp;T$6)))/'Profit Plan'!$B$5)</f>
        <v>0</v>
      </c>
      <c r="U349" s="122">
        <f>IF($A349="","",(IF(ISNUMBER(SEARCH("Proposal",$A349)),SUMIFS('Timesheet Raw'!$P$4:$P$8000,'Timesheet Raw'!$A$4:$A$8000,IF(ISNUMBER(SEARCH("Chargable",$A349)),"2-Proposals Chargeable","3-Proposals Regular"),'Timesheet Raw'!$C$4:$C$8000,"*"&amp;$B349&amp;"*",'Timesheet Raw'!$L$4:$L$8000,"&gt;="&amp;MAX(U$5,DATE(2000+VALUE(RIGHT(TRIM($A349),2)),1,1)),'Timesheet Raw'!$L$4:$L$8000,"&lt;="&amp;MIN(U$6,DATE(2000+VALUE(RIGHT(TRIM($A349),2)),12,31))),SUMIFS('Timesheet Raw'!$P$4:$P$8000,'Timesheet Raw'!$B$4:$B$8000,TRIM($A349),'Timesheet Raw'!$C$4:$C$8000,"*"&amp;$B349&amp;"*",'Timesheet Raw'!$L$4:$L$8000,"&gt;="&amp;U$5,'Timesheet Raw'!$L$4:$L$8000,"&lt;="&amp;U$6)))/'Profit Plan'!$B$5)</f>
        <v>0</v>
      </c>
      <c r="V349" s="122">
        <f>IF($A349="","",(IF(ISNUMBER(SEARCH("Proposal",$A349)),SUMIFS('Timesheet Raw'!$P$4:$P$8000,'Timesheet Raw'!$A$4:$A$8000,IF(ISNUMBER(SEARCH("Chargable",$A349)),"2-Proposals Chargeable","3-Proposals Regular"),'Timesheet Raw'!$C$4:$C$8000,"*"&amp;$B349&amp;"*",'Timesheet Raw'!$L$4:$L$8000,"&gt;="&amp;MAX(V$5,DATE(2000+VALUE(RIGHT(TRIM($A349),2)),1,1)),'Timesheet Raw'!$L$4:$L$8000,"&lt;="&amp;MIN(V$6,DATE(2000+VALUE(RIGHT(TRIM($A349),2)),12,31))),SUMIFS('Timesheet Raw'!$P$4:$P$8000,'Timesheet Raw'!$B$4:$B$8000,TRIM($A349),'Timesheet Raw'!$C$4:$C$8000,"*"&amp;$B349&amp;"*",'Timesheet Raw'!$L$4:$L$8000,"&gt;="&amp;V$5,'Timesheet Raw'!$L$4:$L$8000,"&lt;="&amp;V$6)))/'Profit Plan'!$B$5)</f>
        <v>0</v>
      </c>
      <c r="W349" s="122">
        <f>IF($A349="","",(IF(ISNUMBER(SEARCH("Proposal",$A349)),SUMIFS('Timesheet Raw'!$P$4:$P$8000,'Timesheet Raw'!$A$4:$A$8000,IF(ISNUMBER(SEARCH("Chargable",$A349)),"2-Proposals Chargeable","3-Proposals Regular"),'Timesheet Raw'!$C$4:$C$8000,"*"&amp;$B349&amp;"*",'Timesheet Raw'!$L$4:$L$8000,"&gt;="&amp;MAX(W$5,DATE(2000+VALUE(RIGHT(TRIM($A349),2)),1,1)),'Timesheet Raw'!$L$4:$L$8000,"&lt;="&amp;MIN(W$6,DATE(2000+VALUE(RIGHT(TRIM($A349),2)),12,31))),SUMIFS('Timesheet Raw'!$P$4:$P$8000,'Timesheet Raw'!$B$4:$B$8000,TRIM($A349),'Timesheet Raw'!$C$4:$C$8000,"*"&amp;$B349&amp;"*",'Timesheet Raw'!$L$4:$L$8000,"&gt;="&amp;W$5,'Timesheet Raw'!$L$4:$L$8000,"&lt;="&amp;W$6)))/'Profit Plan'!$B$5)</f>
        <v>0</v>
      </c>
      <c r="X349" s="122">
        <f>IF($A349="","",(IF(ISNUMBER(SEARCH("Proposal",$A349)),SUMIFS('Timesheet Raw'!$P$4:$P$8000,'Timesheet Raw'!$A$4:$A$8000,IF(ISNUMBER(SEARCH("Chargable",$A349)),"2-Proposals Chargeable","3-Proposals Regular"),'Timesheet Raw'!$C$4:$C$8000,"*"&amp;$B349&amp;"*",'Timesheet Raw'!$L$4:$L$8000,"&gt;="&amp;MAX(X$5,DATE(2000+VALUE(RIGHT(TRIM($A349),2)),1,1)),'Timesheet Raw'!$L$4:$L$8000,"&lt;="&amp;MIN(X$6,DATE(2000+VALUE(RIGHT(TRIM($A349),2)),12,31))),SUMIFS('Timesheet Raw'!$P$4:$P$8000,'Timesheet Raw'!$B$4:$B$8000,TRIM($A349),'Timesheet Raw'!$C$4:$C$8000,"*"&amp;$B349&amp;"*",'Timesheet Raw'!$L$4:$L$8000,"&gt;="&amp;X$5,'Timesheet Raw'!$L$4:$L$8000,"&lt;="&amp;X$6)))/'Profit Plan'!$B$5)</f>
        <v>0</v>
      </c>
      <c r="Y349" s="118">
        <f t="shared" si="101"/>
        <v>0.14189189189189189</v>
      </c>
    </row>
    <row r="350" spans="1:25" x14ac:dyDescent="0.3">
      <c r="A350" s="116" t="str">
        <f>IF(Inputs!$A34="","",Inputs!$A34)</f>
        <v>AD23051-0101D</v>
      </c>
      <c r="B350" s="116" t="str">
        <f>IF(Inputs!$A34="","",Inputs!$A$92)</f>
        <v>Osama</v>
      </c>
      <c r="C350" s="116"/>
      <c r="D350" s="122">
        <f>IF($A350="","",(IF(ISNUMBER(SEARCH("Proposal",$A350)),SUMIFS('Timesheet Raw'!$P$4:$P$8000,'Timesheet Raw'!$A$4:$A$8000,IF(ISNUMBER(SEARCH("Chargable",$A350)),"2-Proposals Chargeable","3-Proposals Regular"),'Timesheet Raw'!$C$4:$C$8000,"*"&amp;$B350&amp;"*",'Timesheet Raw'!$L$4:$L$8000,"&gt;="&amp;MAX(D$5,DATE(2000+VALUE(RIGHT(TRIM($A350),2)),1,1)),'Timesheet Raw'!$L$4:$L$8000,"&lt;="&amp;MIN(D$6,DATE(2000+VALUE(RIGHT(TRIM($A350),2)),12,31))),SUMIFS('Timesheet Raw'!$P$4:$P$8000,'Timesheet Raw'!$B$4:$B$8000,TRIM($A350),'Timesheet Raw'!$C$4:$C$8000,"*"&amp;$B350&amp;"*",'Timesheet Raw'!$L$4:$L$8000,"&gt;="&amp;D$5,'Timesheet Raw'!$L$4:$L$8000,"&lt;="&amp;D$6)))/'Profit Plan'!$B$5)</f>
        <v>0</v>
      </c>
      <c r="E350" s="122">
        <f>IF($A350="","",(IF(ISNUMBER(SEARCH("Proposal",$A350)),SUMIFS('Timesheet Raw'!$P$4:$P$8000,'Timesheet Raw'!$A$4:$A$8000,IF(ISNUMBER(SEARCH("Chargable",$A350)),"2-Proposals Chargeable","3-Proposals Regular"),'Timesheet Raw'!$C$4:$C$8000,"*"&amp;$B350&amp;"*",'Timesheet Raw'!$L$4:$L$8000,"&gt;="&amp;MAX(E$5,DATE(2000+VALUE(RIGHT(TRIM($A350),2)),1,1)),'Timesheet Raw'!$L$4:$L$8000,"&lt;="&amp;MIN(E$6,DATE(2000+VALUE(RIGHT(TRIM($A350),2)),12,31))),SUMIFS('Timesheet Raw'!$P$4:$P$8000,'Timesheet Raw'!$B$4:$B$8000,TRIM($A350),'Timesheet Raw'!$C$4:$C$8000,"*"&amp;$B350&amp;"*",'Timesheet Raw'!$L$4:$L$8000,"&gt;="&amp;E$5,'Timesheet Raw'!$L$4:$L$8000,"&lt;="&amp;E$6)))/'Profit Plan'!$B$5)</f>
        <v>0</v>
      </c>
      <c r="F350" s="122">
        <f>IF($A350="","",(IF(ISNUMBER(SEARCH("Proposal",$A350)),SUMIFS('Timesheet Raw'!$P$4:$P$8000,'Timesheet Raw'!$A$4:$A$8000,IF(ISNUMBER(SEARCH("Chargable",$A350)),"2-Proposals Chargeable","3-Proposals Regular"),'Timesheet Raw'!$C$4:$C$8000,"*"&amp;$B350&amp;"*",'Timesheet Raw'!$L$4:$L$8000,"&gt;="&amp;MAX(F$5,DATE(2000+VALUE(RIGHT(TRIM($A350),2)),1,1)),'Timesheet Raw'!$L$4:$L$8000,"&lt;="&amp;MIN(F$6,DATE(2000+VALUE(RIGHT(TRIM($A350),2)),12,31))),SUMIFS('Timesheet Raw'!$P$4:$P$8000,'Timesheet Raw'!$B$4:$B$8000,TRIM($A350),'Timesheet Raw'!$C$4:$C$8000,"*"&amp;$B350&amp;"*",'Timesheet Raw'!$L$4:$L$8000,"&gt;="&amp;F$5,'Timesheet Raw'!$L$4:$L$8000,"&lt;="&amp;F$6)))/'Profit Plan'!$B$5)</f>
        <v>0</v>
      </c>
      <c r="G350" s="122">
        <f>IF($A350="","",(IF(ISNUMBER(SEARCH("Proposal",$A350)),SUMIFS('Timesheet Raw'!$P$4:$P$8000,'Timesheet Raw'!$A$4:$A$8000,IF(ISNUMBER(SEARCH("Chargable",$A350)),"2-Proposals Chargeable","3-Proposals Regular"),'Timesheet Raw'!$C$4:$C$8000,"*"&amp;$B350&amp;"*",'Timesheet Raw'!$L$4:$L$8000,"&gt;="&amp;MAX(G$5,DATE(2000+VALUE(RIGHT(TRIM($A350),2)),1,1)),'Timesheet Raw'!$L$4:$L$8000,"&lt;="&amp;MIN(G$6,DATE(2000+VALUE(RIGHT(TRIM($A350),2)),12,31))),SUMIFS('Timesheet Raw'!$P$4:$P$8000,'Timesheet Raw'!$B$4:$B$8000,TRIM($A350),'Timesheet Raw'!$C$4:$C$8000,"*"&amp;$B350&amp;"*",'Timesheet Raw'!$L$4:$L$8000,"&gt;="&amp;G$5,'Timesheet Raw'!$L$4:$L$8000,"&lt;="&amp;G$6)))/'Profit Plan'!$B$5)</f>
        <v>0</v>
      </c>
      <c r="H350" s="122">
        <f>IF($A350="","",(IF(ISNUMBER(SEARCH("Proposal",$A350)),SUMIFS('Timesheet Raw'!$P$4:$P$8000,'Timesheet Raw'!$A$4:$A$8000,IF(ISNUMBER(SEARCH("Chargable",$A350)),"2-Proposals Chargeable","3-Proposals Regular"),'Timesheet Raw'!$C$4:$C$8000,"*"&amp;$B350&amp;"*",'Timesheet Raw'!$L$4:$L$8000,"&gt;="&amp;MAX(H$5,DATE(2000+VALUE(RIGHT(TRIM($A350),2)),1,1)),'Timesheet Raw'!$L$4:$L$8000,"&lt;="&amp;MIN(H$6,DATE(2000+VALUE(RIGHT(TRIM($A350),2)),12,31))),SUMIFS('Timesheet Raw'!$P$4:$P$8000,'Timesheet Raw'!$B$4:$B$8000,TRIM($A350),'Timesheet Raw'!$C$4:$C$8000,"*"&amp;$B350&amp;"*",'Timesheet Raw'!$L$4:$L$8000,"&gt;="&amp;H$5,'Timesheet Raw'!$L$4:$L$8000,"&lt;="&amp;H$6)))/'Profit Plan'!$B$5)</f>
        <v>0</v>
      </c>
      <c r="I350" s="122">
        <f>IF($A350="","",(IF(ISNUMBER(SEARCH("Proposal",$A350)),SUMIFS('Timesheet Raw'!$P$4:$P$8000,'Timesheet Raw'!$A$4:$A$8000,IF(ISNUMBER(SEARCH("Chargable",$A350)),"2-Proposals Chargeable","3-Proposals Regular"),'Timesheet Raw'!$C$4:$C$8000,"*"&amp;$B350&amp;"*",'Timesheet Raw'!$L$4:$L$8000,"&gt;="&amp;MAX(I$5,DATE(2000+VALUE(RIGHT(TRIM($A350),2)),1,1)),'Timesheet Raw'!$L$4:$L$8000,"&lt;="&amp;MIN(I$6,DATE(2000+VALUE(RIGHT(TRIM($A350),2)),12,31))),SUMIFS('Timesheet Raw'!$P$4:$P$8000,'Timesheet Raw'!$B$4:$B$8000,TRIM($A350),'Timesheet Raw'!$C$4:$C$8000,"*"&amp;$B350&amp;"*",'Timesheet Raw'!$L$4:$L$8000,"&gt;="&amp;I$5,'Timesheet Raw'!$L$4:$L$8000,"&lt;="&amp;I$6)))/'Profit Plan'!$B$5)</f>
        <v>0</v>
      </c>
      <c r="J350" s="122">
        <f>IF($A350="","",(IF(ISNUMBER(SEARCH("Proposal",$A350)),SUMIFS('Timesheet Raw'!$P$4:$P$8000,'Timesheet Raw'!$A$4:$A$8000,IF(ISNUMBER(SEARCH("Chargable",$A350)),"2-Proposals Chargeable","3-Proposals Regular"),'Timesheet Raw'!$C$4:$C$8000,"*"&amp;$B350&amp;"*",'Timesheet Raw'!$L$4:$L$8000,"&gt;="&amp;MAX(J$5,DATE(2000+VALUE(RIGHT(TRIM($A350),2)),1,1)),'Timesheet Raw'!$L$4:$L$8000,"&lt;="&amp;MIN(J$6,DATE(2000+VALUE(RIGHT(TRIM($A350),2)),12,31))),SUMIFS('Timesheet Raw'!$P$4:$P$8000,'Timesheet Raw'!$B$4:$B$8000,TRIM($A350),'Timesheet Raw'!$C$4:$C$8000,"*"&amp;$B350&amp;"*",'Timesheet Raw'!$L$4:$L$8000,"&gt;="&amp;J$5,'Timesheet Raw'!$L$4:$L$8000,"&lt;="&amp;J$6)))/'Profit Plan'!$B$5)</f>
        <v>0</v>
      </c>
      <c r="K350" s="122">
        <f>IF($A350="","",(IF(ISNUMBER(SEARCH("Proposal",$A350)),SUMIFS('Timesheet Raw'!$P$4:$P$8000,'Timesheet Raw'!$A$4:$A$8000,IF(ISNUMBER(SEARCH("Chargable",$A350)),"2-Proposals Chargeable","3-Proposals Regular"),'Timesheet Raw'!$C$4:$C$8000,"*"&amp;$B350&amp;"*",'Timesheet Raw'!$L$4:$L$8000,"&gt;="&amp;MAX(K$5,DATE(2000+VALUE(RIGHT(TRIM($A350),2)),1,1)),'Timesheet Raw'!$L$4:$L$8000,"&lt;="&amp;MIN(K$6,DATE(2000+VALUE(RIGHT(TRIM($A350),2)),12,31))),SUMIFS('Timesheet Raw'!$P$4:$P$8000,'Timesheet Raw'!$B$4:$B$8000,TRIM($A350),'Timesheet Raw'!$C$4:$C$8000,"*"&amp;$B350&amp;"*",'Timesheet Raw'!$L$4:$L$8000,"&gt;="&amp;K$5,'Timesheet Raw'!$L$4:$L$8000,"&lt;="&amp;K$6)))/'Profit Plan'!$B$5)</f>
        <v>0</v>
      </c>
      <c r="L350" s="122">
        <f>IF($A350="","",(IF(ISNUMBER(SEARCH("Proposal",$A350)),SUMIFS('Timesheet Raw'!$P$4:$P$8000,'Timesheet Raw'!$A$4:$A$8000,IF(ISNUMBER(SEARCH("Chargable",$A350)),"2-Proposals Chargeable","3-Proposals Regular"),'Timesheet Raw'!$C$4:$C$8000,"*"&amp;$B350&amp;"*",'Timesheet Raw'!$L$4:$L$8000,"&gt;="&amp;MAX(L$5,DATE(2000+VALUE(RIGHT(TRIM($A350),2)),1,1)),'Timesheet Raw'!$L$4:$L$8000,"&lt;="&amp;MIN(L$6,DATE(2000+VALUE(RIGHT(TRIM($A350),2)),12,31))),SUMIFS('Timesheet Raw'!$P$4:$P$8000,'Timesheet Raw'!$B$4:$B$8000,TRIM($A350),'Timesheet Raw'!$C$4:$C$8000,"*"&amp;$B350&amp;"*",'Timesheet Raw'!$L$4:$L$8000,"&gt;="&amp;L$5,'Timesheet Raw'!$L$4:$L$8000,"&lt;="&amp;L$6)))/'Profit Plan'!$B$5)</f>
        <v>0</v>
      </c>
      <c r="M350" s="122">
        <f>IF($A350="","",(IF(ISNUMBER(SEARCH("Proposal",$A350)),SUMIFS('Timesheet Raw'!$P$4:$P$8000,'Timesheet Raw'!$A$4:$A$8000,IF(ISNUMBER(SEARCH("Chargable",$A350)),"2-Proposals Chargeable","3-Proposals Regular"),'Timesheet Raw'!$C$4:$C$8000,"*"&amp;$B350&amp;"*",'Timesheet Raw'!$L$4:$L$8000,"&gt;="&amp;MAX(M$5,DATE(2000+VALUE(RIGHT(TRIM($A350),2)),1,1)),'Timesheet Raw'!$L$4:$L$8000,"&lt;="&amp;MIN(M$6,DATE(2000+VALUE(RIGHT(TRIM($A350),2)),12,31))),SUMIFS('Timesheet Raw'!$P$4:$P$8000,'Timesheet Raw'!$B$4:$B$8000,TRIM($A350),'Timesheet Raw'!$C$4:$C$8000,"*"&amp;$B350&amp;"*",'Timesheet Raw'!$L$4:$L$8000,"&gt;="&amp;M$5,'Timesheet Raw'!$L$4:$L$8000,"&lt;="&amp;M$6)))/'Profit Plan'!$B$5)</f>
        <v>0</v>
      </c>
      <c r="N350" s="122">
        <f>IF($A350="","",(IF(ISNUMBER(SEARCH("Proposal",$A350)),SUMIFS('Timesheet Raw'!$P$4:$P$8000,'Timesheet Raw'!$A$4:$A$8000,IF(ISNUMBER(SEARCH("Chargable",$A350)),"2-Proposals Chargeable","3-Proposals Regular"),'Timesheet Raw'!$C$4:$C$8000,"*"&amp;$B350&amp;"*",'Timesheet Raw'!$L$4:$L$8000,"&gt;="&amp;MAX(N$5,DATE(2000+VALUE(RIGHT(TRIM($A350),2)),1,1)),'Timesheet Raw'!$L$4:$L$8000,"&lt;="&amp;MIN(N$6,DATE(2000+VALUE(RIGHT(TRIM($A350),2)),12,31))),SUMIFS('Timesheet Raw'!$P$4:$P$8000,'Timesheet Raw'!$B$4:$B$8000,TRIM($A350),'Timesheet Raw'!$C$4:$C$8000,"*"&amp;$B350&amp;"*",'Timesheet Raw'!$L$4:$L$8000,"&gt;="&amp;N$5,'Timesheet Raw'!$L$4:$L$8000,"&lt;="&amp;N$6)))/'Profit Plan'!$B$5)</f>
        <v>0</v>
      </c>
      <c r="O350" s="122">
        <f>IF($A350="","",(IF(ISNUMBER(SEARCH("Proposal",$A350)),SUMIFS('Timesheet Raw'!$P$4:$P$8000,'Timesheet Raw'!$A$4:$A$8000,IF(ISNUMBER(SEARCH("Chargable",$A350)),"2-Proposals Chargeable","3-Proposals Regular"),'Timesheet Raw'!$C$4:$C$8000,"*"&amp;$B350&amp;"*",'Timesheet Raw'!$L$4:$L$8000,"&gt;="&amp;MAX(O$5,DATE(2000+VALUE(RIGHT(TRIM($A350),2)),1,1)),'Timesheet Raw'!$L$4:$L$8000,"&lt;="&amp;MIN(O$6,DATE(2000+VALUE(RIGHT(TRIM($A350),2)),12,31))),SUMIFS('Timesheet Raw'!$P$4:$P$8000,'Timesheet Raw'!$B$4:$B$8000,TRIM($A350),'Timesheet Raw'!$C$4:$C$8000,"*"&amp;$B350&amp;"*",'Timesheet Raw'!$L$4:$L$8000,"&gt;="&amp;O$5,'Timesheet Raw'!$L$4:$L$8000,"&lt;="&amp;O$6)))/'Profit Plan'!$B$5)</f>
        <v>0</v>
      </c>
      <c r="P350" s="122">
        <f>IF($A350="","",(IF(ISNUMBER(SEARCH("Proposal",$A350)),SUMIFS('Timesheet Raw'!$P$4:$P$8000,'Timesheet Raw'!$A$4:$A$8000,IF(ISNUMBER(SEARCH("Chargable",$A350)),"2-Proposals Chargeable","3-Proposals Regular"),'Timesheet Raw'!$C$4:$C$8000,"*"&amp;$B350&amp;"*",'Timesheet Raw'!$L$4:$L$8000,"&gt;="&amp;MAX(P$5,DATE(2000+VALUE(RIGHT(TRIM($A350),2)),1,1)),'Timesheet Raw'!$L$4:$L$8000,"&lt;="&amp;MIN(P$6,DATE(2000+VALUE(RIGHT(TRIM($A350),2)),12,31))),SUMIFS('Timesheet Raw'!$P$4:$P$8000,'Timesheet Raw'!$B$4:$B$8000,TRIM($A350),'Timesheet Raw'!$C$4:$C$8000,"*"&amp;$B350&amp;"*",'Timesheet Raw'!$L$4:$L$8000,"&gt;="&amp;P$5,'Timesheet Raw'!$L$4:$L$8000,"&lt;="&amp;P$6)))/'Profit Plan'!$B$5)</f>
        <v>0</v>
      </c>
      <c r="Q350" s="122">
        <f>IF($A350="","",(IF(ISNUMBER(SEARCH("Proposal",$A350)),SUMIFS('Timesheet Raw'!$P$4:$P$8000,'Timesheet Raw'!$A$4:$A$8000,IF(ISNUMBER(SEARCH("Chargable",$A350)),"2-Proposals Chargeable","3-Proposals Regular"),'Timesheet Raw'!$C$4:$C$8000,"*"&amp;$B350&amp;"*",'Timesheet Raw'!$L$4:$L$8000,"&gt;="&amp;MAX(Q$5,DATE(2000+VALUE(RIGHT(TRIM($A350),2)),1,1)),'Timesheet Raw'!$L$4:$L$8000,"&lt;="&amp;MIN(Q$6,DATE(2000+VALUE(RIGHT(TRIM($A350),2)),12,31))),SUMIFS('Timesheet Raw'!$P$4:$P$8000,'Timesheet Raw'!$B$4:$B$8000,TRIM($A350),'Timesheet Raw'!$C$4:$C$8000,"*"&amp;$B350&amp;"*",'Timesheet Raw'!$L$4:$L$8000,"&gt;="&amp;Q$5,'Timesheet Raw'!$L$4:$L$8000,"&lt;="&amp;Q$6)))/'Profit Plan'!$B$5)</f>
        <v>0</v>
      </c>
      <c r="R350" s="122">
        <f>IF($A350="","",(IF(ISNUMBER(SEARCH("Proposal",$A350)),SUMIFS('Timesheet Raw'!$P$4:$P$8000,'Timesheet Raw'!$A$4:$A$8000,IF(ISNUMBER(SEARCH("Chargable",$A350)),"2-Proposals Chargeable","3-Proposals Regular"),'Timesheet Raw'!$C$4:$C$8000,"*"&amp;$B350&amp;"*",'Timesheet Raw'!$L$4:$L$8000,"&gt;="&amp;MAX(R$5,DATE(2000+VALUE(RIGHT(TRIM($A350),2)),1,1)),'Timesheet Raw'!$L$4:$L$8000,"&lt;="&amp;MIN(R$6,DATE(2000+VALUE(RIGHT(TRIM($A350),2)),12,31))),SUMIFS('Timesheet Raw'!$P$4:$P$8000,'Timesheet Raw'!$B$4:$B$8000,TRIM($A350),'Timesheet Raw'!$C$4:$C$8000,"*"&amp;$B350&amp;"*",'Timesheet Raw'!$L$4:$L$8000,"&gt;="&amp;R$5,'Timesheet Raw'!$L$4:$L$8000,"&lt;="&amp;R$6)))/'Profit Plan'!$B$5)</f>
        <v>0</v>
      </c>
      <c r="S350" s="122">
        <f>IF($A350="","",(IF(ISNUMBER(SEARCH("Proposal",$A350)),SUMIFS('Timesheet Raw'!$P$4:$P$8000,'Timesheet Raw'!$A$4:$A$8000,IF(ISNUMBER(SEARCH("Chargable",$A350)),"2-Proposals Chargeable","3-Proposals Regular"),'Timesheet Raw'!$C$4:$C$8000,"*"&amp;$B350&amp;"*",'Timesheet Raw'!$L$4:$L$8000,"&gt;="&amp;MAX(S$5,DATE(2000+VALUE(RIGHT(TRIM($A350),2)),1,1)),'Timesheet Raw'!$L$4:$L$8000,"&lt;="&amp;MIN(S$6,DATE(2000+VALUE(RIGHT(TRIM($A350),2)),12,31))),SUMIFS('Timesheet Raw'!$P$4:$P$8000,'Timesheet Raw'!$B$4:$B$8000,TRIM($A350),'Timesheet Raw'!$C$4:$C$8000,"*"&amp;$B350&amp;"*",'Timesheet Raw'!$L$4:$L$8000,"&gt;="&amp;S$5,'Timesheet Raw'!$L$4:$L$8000,"&lt;="&amp;S$6)))/'Profit Plan'!$B$5)</f>
        <v>0</v>
      </c>
      <c r="T350" s="122">
        <f>IF($A350="","",(IF(ISNUMBER(SEARCH("Proposal",$A350)),SUMIFS('Timesheet Raw'!$P$4:$P$8000,'Timesheet Raw'!$A$4:$A$8000,IF(ISNUMBER(SEARCH("Chargable",$A350)),"2-Proposals Chargeable","3-Proposals Regular"),'Timesheet Raw'!$C$4:$C$8000,"*"&amp;$B350&amp;"*",'Timesheet Raw'!$L$4:$L$8000,"&gt;="&amp;MAX(T$5,DATE(2000+VALUE(RIGHT(TRIM($A350),2)),1,1)),'Timesheet Raw'!$L$4:$L$8000,"&lt;="&amp;MIN(T$6,DATE(2000+VALUE(RIGHT(TRIM($A350),2)),12,31))),SUMIFS('Timesheet Raw'!$P$4:$P$8000,'Timesheet Raw'!$B$4:$B$8000,TRIM($A350),'Timesheet Raw'!$C$4:$C$8000,"*"&amp;$B350&amp;"*",'Timesheet Raw'!$L$4:$L$8000,"&gt;="&amp;T$5,'Timesheet Raw'!$L$4:$L$8000,"&lt;="&amp;T$6)))/'Profit Plan'!$B$5)</f>
        <v>0</v>
      </c>
      <c r="U350" s="122">
        <f>IF($A350="","",(IF(ISNUMBER(SEARCH("Proposal",$A350)),SUMIFS('Timesheet Raw'!$P$4:$P$8000,'Timesheet Raw'!$A$4:$A$8000,IF(ISNUMBER(SEARCH("Chargable",$A350)),"2-Proposals Chargeable","3-Proposals Regular"),'Timesheet Raw'!$C$4:$C$8000,"*"&amp;$B350&amp;"*",'Timesheet Raw'!$L$4:$L$8000,"&gt;="&amp;MAX(U$5,DATE(2000+VALUE(RIGHT(TRIM($A350),2)),1,1)),'Timesheet Raw'!$L$4:$L$8000,"&lt;="&amp;MIN(U$6,DATE(2000+VALUE(RIGHT(TRIM($A350),2)),12,31))),SUMIFS('Timesheet Raw'!$P$4:$P$8000,'Timesheet Raw'!$B$4:$B$8000,TRIM($A350),'Timesheet Raw'!$C$4:$C$8000,"*"&amp;$B350&amp;"*",'Timesheet Raw'!$L$4:$L$8000,"&gt;="&amp;U$5,'Timesheet Raw'!$L$4:$L$8000,"&lt;="&amp;U$6)))/'Profit Plan'!$B$5)</f>
        <v>0</v>
      </c>
      <c r="V350" s="122">
        <f>IF($A350="","",(IF(ISNUMBER(SEARCH("Proposal",$A350)),SUMIFS('Timesheet Raw'!$P$4:$P$8000,'Timesheet Raw'!$A$4:$A$8000,IF(ISNUMBER(SEARCH("Chargable",$A350)),"2-Proposals Chargeable","3-Proposals Regular"),'Timesheet Raw'!$C$4:$C$8000,"*"&amp;$B350&amp;"*",'Timesheet Raw'!$L$4:$L$8000,"&gt;="&amp;MAX(V$5,DATE(2000+VALUE(RIGHT(TRIM($A350),2)),1,1)),'Timesheet Raw'!$L$4:$L$8000,"&lt;="&amp;MIN(V$6,DATE(2000+VALUE(RIGHT(TRIM($A350),2)),12,31))),SUMIFS('Timesheet Raw'!$P$4:$P$8000,'Timesheet Raw'!$B$4:$B$8000,TRIM($A350),'Timesheet Raw'!$C$4:$C$8000,"*"&amp;$B350&amp;"*",'Timesheet Raw'!$L$4:$L$8000,"&gt;="&amp;V$5,'Timesheet Raw'!$L$4:$L$8000,"&lt;="&amp;V$6)))/'Profit Plan'!$B$5)</f>
        <v>0</v>
      </c>
      <c r="W350" s="122">
        <f>IF($A350="","",(IF(ISNUMBER(SEARCH("Proposal",$A350)),SUMIFS('Timesheet Raw'!$P$4:$P$8000,'Timesheet Raw'!$A$4:$A$8000,IF(ISNUMBER(SEARCH("Chargable",$A350)),"2-Proposals Chargeable","3-Proposals Regular"),'Timesheet Raw'!$C$4:$C$8000,"*"&amp;$B350&amp;"*",'Timesheet Raw'!$L$4:$L$8000,"&gt;="&amp;MAX(W$5,DATE(2000+VALUE(RIGHT(TRIM($A350),2)),1,1)),'Timesheet Raw'!$L$4:$L$8000,"&lt;="&amp;MIN(W$6,DATE(2000+VALUE(RIGHT(TRIM($A350),2)),12,31))),SUMIFS('Timesheet Raw'!$P$4:$P$8000,'Timesheet Raw'!$B$4:$B$8000,TRIM($A350),'Timesheet Raw'!$C$4:$C$8000,"*"&amp;$B350&amp;"*",'Timesheet Raw'!$L$4:$L$8000,"&gt;="&amp;W$5,'Timesheet Raw'!$L$4:$L$8000,"&lt;="&amp;W$6)))/'Profit Plan'!$B$5)</f>
        <v>0</v>
      </c>
      <c r="X350" s="122">
        <f>IF($A350="","",(IF(ISNUMBER(SEARCH("Proposal",$A350)),SUMIFS('Timesheet Raw'!$P$4:$P$8000,'Timesheet Raw'!$A$4:$A$8000,IF(ISNUMBER(SEARCH("Chargable",$A350)),"2-Proposals Chargeable","3-Proposals Regular"),'Timesheet Raw'!$C$4:$C$8000,"*"&amp;$B350&amp;"*",'Timesheet Raw'!$L$4:$L$8000,"&gt;="&amp;MAX(X$5,DATE(2000+VALUE(RIGHT(TRIM($A350),2)),1,1)),'Timesheet Raw'!$L$4:$L$8000,"&lt;="&amp;MIN(X$6,DATE(2000+VALUE(RIGHT(TRIM($A350),2)),12,31))),SUMIFS('Timesheet Raw'!$P$4:$P$8000,'Timesheet Raw'!$B$4:$B$8000,TRIM($A350),'Timesheet Raw'!$C$4:$C$8000,"*"&amp;$B350&amp;"*",'Timesheet Raw'!$L$4:$L$8000,"&gt;="&amp;X$5,'Timesheet Raw'!$L$4:$L$8000,"&lt;="&amp;X$6)))/'Profit Plan'!$B$5)</f>
        <v>0</v>
      </c>
      <c r="Y350" s="118">
        <f t="shared" si="101"/>
        <v>0</v>
      </c>
    </row>
    <row r="351" spans="1:25" x14ac:dyDescent="0.3">
      <c r="A351" s="116" t="str">
        <f>IF(Inputs!$A34="","",Inputs!$A34)</f>
        <v>AD23051-0101D</v>
      </c>
      <c r="B351" s="116" t="str">
        <f>IF(Inputs!$A34="","",Inputs!$A$93)</f>
        <v>Kirolos</v>
      </c>
      <c r="C351" s="116"/>
      <c r="D351" s="122">
        <f>IF($A351="","",(IF(ISNUMBER(SEARCH("Proposal",$A351)),SUMIFS('Timesheet Raw'!$P$4:$P$8000,'Timesheet Raw'!$A$4:$A$8000,IF(ISNUMBER(SEARCH("Chargable",$A351)),"2-Proposals Chargeable","3-Proposals Regular"),'Timesheet Raw'!$C$4:$C$8000,"*"&amp;$B351&amp;"*",'Timesheet Raw'!$L$4:$L$8000,"&gt;="&amp;MAX(D$5,DATE(2000+VALUE(RIGHT(TRIM($A351),2)),1,1)),'Timesheet Raw'!$L$4:$L$8000,"&lt;="&amp;MIN(D$6,DATE(2000+VALUE(RIGHT(TRIM($A351),2)),12,31))),SUMIFS('Timesheet Raw'!$P$4:$P$8000,'Timesheet Raw'!$B$4:$B$8000,TRIM($A351),'Timesheet Raw'!$C$4:$C$8000,"*"&amp;$B351&amp;"*",'Timesheet Raw'!$L$4:$L$8000,"&gt;="&amp;D$5,'Timesheet Raw'!$L$4:$L$8000,"&lt;="&amp;D$6)))/'Profit Plan'!$B$5)</f>
        <v>0</v>
      </c>
      <c r="E351" s="122">
        <f>IF($A351="","",(IF(ISNUMBER(SEARCH("Proposal",$A351)),SUMIFS('Timesheet Raw'!$P$4:$P$8000,'Timesheet Raw'!$A$4:$A$8000,IF(ISNUMBER(SEARCH("Chargable",$A351)),"2-Proposals Chargeable","3-Proposals Regular"),'Timesheet Raw'!$C$4:$C$8000,"*"&amp;$B351&amp;"*",'Timesheet Raw'!$L$4:$L$8000,"&gt;="&amp;MAX(E$5,DATE(2000+VALUE(RIGHT(TRIM($A351),2)),1,1)),'Timesheet Raw'!$L$4:$L$8000,"&lt;="&amp;MIN(E$6,DATE(2000+VALUE(RIGHT(TRIM($A351),2)),12,31))),SUMIFS('Timesheet Raw'!$P$4:$P$8000,'Timesheet Raw'!$B$4:$B$8000,TRIM($A351),'Timesheet Raw'!$C$4:$C$8000,"*"&amp;$B351&amp;"*",'Timesheet Raw'!$L$4:$L$8000,"&gt;="&amp;E$5,'Timesheet Raw'!$L$4:$L$8000,"&lt;="&amp;E$6)))/'Profit Plan'!$B$5)</f>
        <v>0</v>
      </c>
      <c r="F351" s="122">
        <f>IF($A351="","",(IF(ISNUMBER(SEARCH("Proposal",$A351)),SUMIFS('Timesheet Raw'!$P$4:$P$8000,'Timesheet Raw'!$A$4:$A$8000,IF(ISNUMBER(SEARCH("Chargable",$A351)),"2-Proposals Chargeable","3-Proposals Regular"),'Timesheet Raw'!$C$4:$C$8000,"*"&amp;$B351&amp;"*",'Timesheet Raw'!$L$4:$L$8000,"&gt;="&amp;MAX(F$5,DATE(2000+VALUE(RIGHT(TRIM($A351),2)),1,1)),'Timesheet Raw'!$L$4:$L$8000,"&lt;="&amp;MIN(F$6,DATE(2000+VALUE(RIGHT(TRIM($A351),2)),12,31))),SUMIFS('Timesheet Raw'!$P$4:$P$8000,'Timesheet Raw'!$B$4:$B$8000,TRIM($A351),'Timesheet Raw'!$C$4:$C$8000,"*"&amp;$B351&amp;"*",'Timesheet Raw'!$L$4:$L$8000,"&gt;="&amp;F$5,'Timesheet Raw'!$L$4:$L$8000,"&lt;="&amp;F$6)))/'Profit Plan'!$B$5)</f>
        <v>0</v>
      </c>
      <c r="G351" s="122">
        <f>IF($A351="","",(IF(ISNUMBER(SEARCH("Proposal",$A351)),SUMIFS('Timesheet Raw'!$P$4:$P$8000,'Timesheet Raw'!$A$4:$A$8000,IF(ISNUMBER(SEARCH("Chargable",$A351)),"2-Proposals Chargeable","3-Proposals Regular"),'Timesheet Raw'!$C$4:$C$8000,"*"&amp;$B351&amp;"*",'Timesheet Raw'!$L$4:$L$8000,"&gt;="&amp;MAX(G$5,DATE(2000+VALUE(RIGHT(TRIM($A351),2)),1,1)),'Timesheet Raw'!$L$4:$L$8000,"&lt;="&amp;MIN(G$6,DATE(2000+VALUE(RIGHT(TRIM($A351),2)),12,31))),SUMIFS('Timesheet Raw'!$P$4:$P$8000,'Timesheet Raw'!$B$4:$B$8000,TRIM($A351),'Timesheet Raw'!$C$4:$C$8000,"*"&amp;$B351&amp;"*",'Timesheet Raw'!$L$4:$L$8000,"&gt;="&amp;G$5,'Timesheet Raw'!$L$4:$L$8000,"&lt;="&amp;G$6)))/'Profit Plan'!$B$5)</f>
        <v>0</v>
      </c>
      <c r="H351" s="122">
        <f>IF($A351="","",(IF(ISNUMBER(SEARCH("Proposal",$A351)),SUMIFS('Timesheet Raw'!$P$4:$P$8000,'Timesheet Raw'!$A$4:$A$8000,IF(ISNUMBER(SEARCH("Chargable",$A351)),"2-Proposals Chargeable","3-Proposals Regular"),'Timesheet Raw'!$C$4:$C$8000,"*"&amp;$B351&amp;"*",'Timesheet Raw'!$L$4:$L$8000,"&gt;="&amp;MAX(H$5,DATE(2000+VALUE(RIGHT(TRIM($A351),2)),1,1)),'Timesheet Raw'!$L$4:$L$8000,"&lt;="&amp;MIN(H$6,DATE(2000+VALUE(RIGHT(TRIM($A351),2)),12,31))),SUMIFS('Timesheet Raw'!$P$4:$P$8000,'Timesheet Raw'!$B$4:$B$8000,TRIM($A351),'Timesheet Raw'!$C$4:$C$8000,"*"&amp;$B351&amp;"*",'Timesheet Raw'!$L$4:$L$8000,"&gt;="&amp;H$5,'Timesheet Raw'!$L$4:$L$8000,"&lt;="&amp;H$6)))/'Profit Plan'!$B$5)</f>
        <v>0</v>
      </c>
      <c r="I351" s="122">
        <f>IF($A351="","",(IF(ISNUMBER(SEARCH("Proposal",$A351)),SUMIFS('Timesheet Raw'!$P$4:$P$8000,'Timesheet Raw'!$A$4:$A$8000,IF(ISNUMBER(SEARCH("Chargable",$A351)),"2-Proposals Chargeable","3-Proposals Regular"),'Timesheet Raw'!$C$4:$C$8000,"*"&amp;$B351&amp;"*",'Timesheet Raw'!$L$4:$L$8000,"&gt;="&amp;MAX(I$5,DATE(2000+VALUE(RIGHT(TRIM($A351),2)),1,1)),'Timesheet Raw'!$L$4:$L$8000,"&lt;="&amp;MIN(I$6,DATE(2000+VALUE(RIGHT(TRIM($A351),2)),12,31))),SUMIFS('Timesheet Raw'!$P$4:$P$8000,'Timesheet Raw'!$B$4:$B$8000,TRIM($A351),'Timesheet Raw'!$C$4:$C$8000,"*"&amp;$B351&amp;"*",'Timesheet Raw'!$L$4:$L$8000,"&gt;="&amp;I$5,'Timesheet Raw'!$L$4:$L$8000,"&lt;="&amp;I$6)))/'Profit Plan'!$B$5)</f>
        <v>0</v>
      </c>
      <c r="J351" s="122">
        <f>IF($A351="","",(IF(ISNUMBER(SEARCH("Proposal",$A351)),SUMIFS('Timesheet Raw'!$P$4:$P$8000,'Timesheet Raw'!$A$4:$A$8000,IF(ISNUMBER(SEARCH("Chargable",$A351)),"2-Proposals Chargeable","3-Proposals Regular"),'Timesheet Raw'!$C$4:$C$8000,"*"&amp;$B351&amp;"*",'Timesheet Raw'!$L$4:$L$8000,"&gt;="&amp;MAX(J$5,DATE(2000+VALUE(RIGHT(TRIM($A351),2)),1,1)),'Timesheet Raw'!$L$4:$L$8000,"&lt;="&amp;MIN(J$6,DATE(2000+VALUE(RIGHT(TRIM($A351),2)),12,31))),SUMIFS('Timesheet Raw'!$P$4:$P$8000,'Timesheet Raw'!$B$4:$B$8000,TRIM($A351),'Timesheet Raw'!$C$4:$C$8000,"*"&amp;$B351&amp;"*",'Timesheet Raw'!$L$4:$L$8000,"&gt;="&amp;J$5,'Timesheet Raw'!$L$4:$L$8000,"&lt;="&amp;J$6)))/'Profit Plan'!$B$5)</f>
        <v>0</v>
      </c>
      <c r="K351" s="122">
        <f>IF($A351="","",(IF(ISNUMBER(SEARCH("Proposal",$A351)),SUMIFS('Timesheet Raw'!$P$4:$P$8000,'Timesheet Raw'!$A$4:$A$8000,IF(ISNUMBER(SEARCH("Chargable",$A351)),"2-Proposals Chargeable","3-Proposals Regular"),'Timesheet Raw'!$C$4:$C$8000,"*"&amp;$B351&amp;"*",'Timesheet Raw'!$L$4:$L$8000,"&gt;="&amp;MAX(K$5,DATE(2000+VALUE(RIGHT(TRIM($A351),2)),1,1)),'Timesheet Raw'!$L$4:$L$8000,"&lt;="&amp;MIN(K$6,DATE(2000+VALUE(RIGHT(TRIM($A351),2)),12,31))),SUMIFS('Timesheet Raw'!$P$4:$P$8000,'Timesheet Raw'!$B$4:$B$8000,TRIM($A351),'Timesheet Raw'!$C$4:$C$8000,"*"&amp;$B351&amp;"*",'Timesheet Raw'!$L$4:$L$8000,"&gt;="&amp;K$5,'Timesheet Raw'!$L$4:$L$8000,"&lt;="&amp;K$6)))/'Profit Plan'!$B$5)</f>
        <v>0</v>
      </c>
      <c r="L351" s="122">
        <f>IF($A351="","",(IF(ISNUMBER(SEARCH("Proposal",$A351)),SUMIFS('Timesheet Raw'!$P$4:$P$8000,'Timesheet Raw'!$A$4:$A$8000,IF(ISNUMBER(SEARCH("Chargable",$A351)),"2-Proposals Chargeable","3-Proposals Regular"),'Timesheet Raw'!$C$4:$C$8000,"*"&amp;$B351&amp;"*",'Timesheet Raw'!$L$4:$L$8000,"&gt;="&amp;MAX(L$5,DATE(2000+VALUE(RIGHT(TRIM($A351),2)),1,1)),'Timesheet Raw'!$L$4:$L$8000,"&lt;="&amp;MIN(L$6,DATE(2000+VALUE(RIGHT(TRIM($A351),2)),12,31))),SUMIFS('Timesheet Raw'!$P$4:$P$8000,'Timesheet Raw'!$B$4:$B$8000,TRIM($A351),'Timesheet Raw'!$C$4:$C$8000,"*"&amp;$B351&amp;"*",'Timesheet Raw'!$L$4:$L$8000,"&gt;="&amp;L$5,'Timesheet Raw'!$L$4:$L$8000,"&lt;="&amp;L$6)))/'Profit Plan'!$B$5)</f>
        <v>0</v>
      </c>
      <c r="M351" s="122">
        <f>IF($A351="","",(IF(ISNUMBER(SEARCH("Proposal",$A351)),SUMIFS('Timesheet Raw'!$P$4:$P$8000,'Timesheet Raw'!$A$4:$A$8000,IF(ISNUMBER(SEARCH("Chargable",$A351)),"2-Proposals Chargeable","3-Proposals Regular"),'Timesheet Raw'!$C$4:$C$8000,"*"&amp;$B351&amp;"*",'Timesheet Raw'!$L$4:$L$8000,"&gt;="&amp;MAX(M$5,DATE(2000+VALUE(RIGHT(TRIM($A351),2)),1,1)),'Timesheet Raw'!$L$4:$L$8000,"&lt;="&amp;MIN(M$6,DATE(2000+VALUE(RIGHT(TRIM($A351),2)),12,31))),SUMIFS('Timesheet Raw'!$P$4:$P$8000,'Timesheet Raw'!$B$4:$B$8000,TRIM($A351),'Timesheet Raw'!$C$4:$C$8000,"*"&amp;$B351&amp;"*",'Timesheet Raw'!$L$4:$L$8000,"&gt;="&amp;M$5,'Timesheet Raw'!$L$4:$L$8000,"&lt;="&amp;M$6)))/'Profit Plan'!$B$5)</f>
        <v>0</v>
      </c>
      <c r="N351" s="122">
        <f>IF($A351="","",(IF(ISNUMBER(SEARCH("Proposal",$A351)),SUMIFS('Timesheet Raw'!$P$4:$P$8000,'Timesheet Raw'!$A$4:$A$8000,IF(ISNUMBER(SEARCH("Chargable",$A351)),"2-Proposals Chargeable","3-Proposals Regular"),'Timesheet Raw'!$C$4:$C$8000,"*"&amp;$B351&amp;"*",'Timesheet Raw'!$L$4:$L$8000,"&gt;="&amp;MAX(N$5,DATE(2000+VALUE(RIGHT(TRIM($A351),2)),1,1)),'Timesheet Raw'!$L$4:$L$8000,"&lt;="&amp;MIN(N$6,DATE(2000+VALUE(RIGHT(TRIM($A351),2)),12,31))),SUMIFS('Timesheet Raw'!$P$4:$P$8000,'Timesheet Raw'!$B$4:$B$8000,TRIM($A351),'Timesheet Raw'!$C$4:$C$8000,"*"&amp;$B351&amp;"*",'Timesheet Raw'!$L$4:$L$8000,"&gt;="&amp;N$5,'Timesheet Raw'!$L$4:$L$8000,"&lt;="&amp;N$6)))/'Profit Plan'!$B$5)</f>
        <v>0</v>
      </c>
      <c r="O351" s="122">
        <f>IF($A351="","",(IF(ISNUMBER(SEARCH("Proposal",$A351)),SUMIFS('Timesheet Raw'!$P$4:$P$8000,'Timesheet Raw'!$A$4:$A$8000,IF(ISNUMBER(SEARCH("Chargable",$A351)),"2-Proposals Chargeable","3-Proposals Regular"),'Timesheet Raw'!$C$4:$C$8000,"*"&amp;$B351&amp;"*",'Timesheet Raw'!$L$4:$L$8000,"&gt;="&amp;MAX(O$5,DATE(2000+VALUE(RIGHT(TRIM($A351),2)),1,1)),'Timesheet Raw'!$L$4:$L$8000,"&lt;="&amp;MIN(O$6,DATE(2000+VALUE(RIGHT(TRIM($A351),2)),12,31))),SUMIFS('Timesheet Raw'!$P$4:$P$8000,'Timesheet Raw'!$B$4:$B$8000,TRIM($A351),'Timesheet Raw'!$C$4:$C$8000,"*"&amp;$B351&amp;"*",'Timesheet Raw'!$L$4:$L$8000,"&gt;="&amp;O$5,'Timesheet Raw'!$L$4:$L$8000,"&lt;="&amp;O$6)))/'Profit Plan'!$B$5)</f>
        <v>0</v>
      </c>
      <c r="P351" s="122">
        <f>IF($A351="","",(IF(ISNUMBER(SEARCH("Proposal",$A351)),SUMIFS('Timesheet Raw'!$P$4:$P$8000,'Timesheet Raw'!$A$4:$A$8000,IF(ISNUMBER(SEARCH("Chargable",$A351)),"2-Proposals Chargeable","3-Proposals Regular"),'Timesheet Raw'!$C$4:$C$8000,"*"&amp;$B351&amp;"*",'Timesheet Raw'!$L$4:$L$8000,"&gt;="&amp;MAX(P$5,DATE(2000+VALUE(RIGHT(TRIM($A351),2)),1,1)),'Timesheet Raw'!$L$4:$L$8000,"&lt;="&amp;MIN(P$6,DATE(2000+VALUE(RIGHT(TRIM($A351),2)),12,31))),SUMIFS('Timesheet Raw'!$P$4:$P$8000,'Timesheet Raw'!$B$4:$B$8000,TRIM($A351),'Timesheet Raw'!$C$4:$C$8000,"*"&amp;$B351&amp;"*",'Timesheet Raw'!$L$4:$L$8000,"&gt;="&amp;P$5,'Timesheet Raw'!$L$4:$L$8000,"&lt;="&amp;P$6)))/'Profit Plan'!$B$5)</f>
        <v>0</v>
      </c>
      <c r="Q351" s="122">
        <f>IF($A351="","",(IF(ISNUMBER(SEARCH("Proposal",$A351)),SUMIFS('Timesheet Raw'!$P$4:$P$8000,'Timesheet Raw'!$A$4:$A$8000,IF(ISNUMBER(SEARCH("Chargable",$A351)),"2-Proposals Chargeable","3-Proposals Regular"),'Timesheet Raw'!$C$4:$C$8000,"*"&amp;$B351&amp;"*",'Timesheet Raw'!$L$4:$L$8000,"&gt;="&amp;MAX(Q$5,DATE(2000+VALUE(RIGHT(TRIM($A351),2)),1,1)),'Timesheet Raw'!$L$4:$L$8000,"&lt;="&amp;MIN(Q$6,DATE(2000+VALUE(RIGHT(TRIM($A351),2)),12,31))),SUMIFS('Timesheet Raw'!$P$4:$P$8000,'Timesheet Raw'!$B$4:$B$8000,TRIM($A351),'Timesheet Raw'!$C$4:$C$8000,"*"&amp;$B351&amp;"*",'Timesheet Raw'!$L$4:$L$8000,"&gt;="&amp;Q$5,'Timesheet Raw'!$L$4:$L$8000,"&lt;="&amp;Q$6)))/'Profit Plan'!$B$5)</f>
        <v>0</v>
      </c>
      <c r="R351" s="122">
        <f>IF($A351="","",(IF(ISNUMBER(SEARCH("Proposal",$A351)),SUMIFS('Timesheet Raw'!$P$4:$P$8000,'Timesheet Raw'!$A$4:$A$8000,IF(ISNUMBER(SEARCH("Chargable",$A351)),"2-Proposals Chargeable","3-Proposals Regular"),'Timesheet Raw'!$C$4:$C$8000,"*"&amp;$B351&amp;"*",'Timesheet Raw'!$L$4:$L$8000,"&gt;="&amp;MAX(R$5,DATE(2000+VALUE(RIGHT(TRIM($A351),2)),1,1)),'Timesheet Raw'!$L$4:$L$8000,"&lt;="&amp;MIN(R$6,DATE(2000+VALUE(RIGHT(TRIM($A351),2)),12,31))),SUMIFS('Timesheet Raw'!$P$4:$P$8000,'Timesheet Raw'!$B$4:$B$8000,TRIM($A351),'Timesheet Raw'!$C$4:$C$8000,"*"&amp;$B351&amp;"*",'Timesheet Raw'!$L$4:$L$8000,"&gt;="&amp;R$5,'Timesheet Raw'!$L$4:$L$8000,"&lt;="&amp;R$6)))/'Profit Plan'!$B$5)</f>
        <v>0</v>
      </c>
      <c r="S351" s="122">
        <f>IF($A351="","",(IF(ISNUMBER(SEARCH("Proposal",$A351)),SUMIFS('Timesheet Raw'!$P$4:$P$8000,'Timesheet Raw'!$A$4:$A$8000,IF(ISNUMBER(SEARCH("Chargable",$A351)),"2-Proposals Chargeable","3-Proposals Regular"),'Timesheet Raw'!$C$4:$C$8000,"*"&amp;$B351&amp;"*",'Timesheet Raw'!$L$4:$L$8000,"&gt;="&amp;MAX(S$5,DATE(2000+VALUE(RIGHT(TRIM($A351),2)),1,1)),'Timesheet Raw'!$L$4:$L$8000,"&lt;="&amp;MIN(S$6,DATE(2000+VALUE(RIGHT(TRIM($A351),2)),12,31))),SUMIFS('Timesheet Raw'!$P$4:$P$8000,'Timesheet Raw'!$B$4:$B$8000,TRIM($A351),'Timesheet Raw'!$C$4:$C$8000,"*"&amp;$B351&amp;"*",'Timesheet Raw'!$L$4:$L$8000,"&gt;="&amp;S$5,'Timesheet Raw'!$L$4:$L$8000,"&lt;="&amp;S$6)))/'Profit Plan'!$B$5)</f>
        <v>0</v>
      </c>
      <c r="T351" s="122">
        <f>IF($A351="","",(IF(ISNUMBER(SEARCH("Proposal",$A351)),SUMIFS('Timesheet Raw'!$P$4:$P$8000,'Timesheet Raw'!$A$4:$A$8000,IF(ISNUMBER(SEARCH("Chargable",$A351)),"2-Proposals Chargeable","3-Proposals Regular"),'Timesheet Raw'!$C$4:$C$8000,"*"&amp;$B351&amp;"*",'Timesheet Raw'!$L$4:$L$8000,"&gt;="&amp;MAX(T$5,DATE(2000+VALUE(RIGHT(TRIM($A351),2)),1,1)),'Timesheet Raw'!$L$4:$L$8000,"&lt;="&amp;MIN(T$6,DATE(2000+VALUE(RIGHT(TRIM($A351),2)),12,31))),SUMIFS('Timesheet Raw'!$P$4:$P$8000,'Timesheet Raw'!$B$4:$B$8000,TRIM($A351),'Timesheet Raw'!$C$4:$C$8000,"*"&amp;$B351&amp;"*",'Timesheet Raw'!$L$4:$L$8000,"&gt;="&amp;T$5,'Timesheet Raw'!$L$4:$L$8000,"&lt;="&amp;T$6)))/'Profit Plan'!$B$5)</f>
        <v>0</v>
      </c>
      <c r="U351" s="122">
        <f>IF($A351="","",(IF(ISNUMBER(SEARCH("Proposal",$A351)),SUMIFS('Timesheet Raw'!$P$4:$P$8000,'Timesheet Raw'!$A$4:$A$8000,IF(ISNUMBER(SEARCH("Chargable",$A351)),"2-Proposals Chargeable","3-Proposals Regular"),'Timesheet Raw'!$C$4:$C$8000,"*"&amp;$B351&amp;"*",'Timesheet Raw'!$L$4:$L$8000,"&gt;="&amp;MAX(U$5,DATE(2000+VALUE(RIGHT(TRIM($A351),2)),1,1)),'Timesheet Raw'!$L$4:$L$8000,"&lt;="&amp;MIN(U$6,DATE(2000+VALUE(RIGHT(TRIM($A351),2)),12,31))),SUMIFS('Timesheet Raw'!$P$4:$P$8000,'Timesheet Raw'!$B$4:$B$8000,TRIM($A351),'Timesheet Raw'!$C$4:$C$8000,"*"&amp;$B351&amp;"*",'Timesheet Raw'!$L$4:$L$8000,"&gt;="&amp;U$5,'Timesheet Raw'!$L$4:$L$8000,"&lt;="&amp;U$6)))/'Profit Plan'!$B$5)</f>
        <v>0</v>
      </c>
      <c r="V351" s="122">
        <f>IF($A351="","",(IF(ISNUMBER(SEARCH("Proposal",$A351)),SUMIFS('Timesheet Raw'!$P$4:$P$8000,'Timesheet Raw'!$A$4:$A$8000,IF(ISNUMBER(SEARCH("Chargable",$A351)),"2-Proposals Chargeable","3-Proposals Regular"),'Timesheet Raw'!$C$4:$C$8000,"*"&amp;$B351&amp;"*",'Timesheet Raw'!$L$4:$L$8000,"&gt;="&amp;MAX(V$5,DATE(2000+VALUE(RIGHT(TRIM($A351),2)),1,1)),'Timesheet Raw'!$L$4:$L$8000,"&lt;="&amp;MIN(V$6,DATE(2000+VALUE(RIGHT(TRIM($A351),2)),12,31))),SUMIFS('Timesheet Raw'!$P$4:$P$8000,'Timesheet Raw'!$B$4:$B$8000,TRIM($A351),'Timesheet Raw'!$C$4:$C$8000,"*"&amp;$B351&amp;"*",'Timesheet Raw'!$L$4:$L$8000,"&gt;="&amp;V$5,'Timesheet Raw'!$L$4:$L$8000,"&lt;="&amp;V$6)))/'Profit Plan'!$B$5)</f>
        <v>0</v>
      </c>
      <c r="W351" s="122">
        <f>IF($A351="","",(IF(ISNUMBER(SEARCH("Proposal",$A351)),SUMIFS('Timesheet Raw'!$P$4:$P$8000,'Timesheet Raw'!$A$4:$A$8000,IF(ISNUMBER(SEARCH("Chargable",$A351)),"2-Proposals Chargeable","3-Proposals Regular"),'Timesheet Raw'!$C$4:$C$8000,"*"&amp;$B351&amp;"*",'Timesheet Raw'!$L$4:$L$8000,"&gt;="&amp;MAX(W$5,DATE(2000+VALUE(RIGHT(TRIM($A351),2)),1,1)),'Timesheet Raw'!$L$4:$L$8000,"&lt;="&amp;MIN(W$6,DATE(2000+VALUE(RIGHT(TRIM($A351),2)),12,31))),SUMIFS('Timesheet Raw'!$P$4:$P$8000,'Timesheet Raw'!$B$4:$B$8000,TRIM($A351),'Timesheet Raw'!$C$4:$C$8000,"*"&amp;$B351&amp;"*",'Timesheet Raw'!$L$4:$L$8000,"&gt;="&amp;W$5,'Timesheet Raw'!$L$4:$L$8000,"&lt;="&amp;W$6)))/'Profit Plan'!$B$5)</f>
        <v>0</v>
      </c>
      <c r="X351" s="122">
        <f>IF($A351="","",(IF(ISNUMBER(SEARCH("Proposal",$A351)),SUMIFS('Timesheet Raw'!$P$4:$P$8000,'Timesheet Raw'!$A$4:$A$8000,IF(ISNUMBER(SEARCH("Chargable",$A351)),"2-Proposals Chargeable","3-Proposals Regular"),'Timesheet Raw'!$C$4:$C$8000,"*"&amp;$B351&amp;"*",'Timesheet Raw'!$L$4:$L$8000,"&gt;="&amp;MAX(X$5,DATE(2000+VALUE(RIGHT(TRIM($A351),2)),1,1)),'Timesheet Raw'!$L$4:$L$8000,"&lt;="&amp;MIN(X$6,DATE(2000+VALUE(RIGHT(TRIM($A351),2)),12,31))),SUMIFS('Timesheet Raw'!$P$4:$P$8000,'Timesheet Raw'!$B$4:$B$8000,TRIM($A351),'Timesheet Raw'!$C$4:$C$8000,"*"&amp;$B351&amp;"*",'Timesheet Raw'!$L$4:$L$8000,"&gt;="&amp;X$5,'Timesheet Raw'!$L$4:$L$8000,"&lt;="&amp;X$6)))/'Profit Plan'!$B$5)</f>
        <v>0</v>
      </c>
      <c r="Y351" s="118">
        <f t="shared" si="101"/>
        <v>0</v>
      </c>
    </row>
    <row r="352" spans="1:25" x14ac:dyDescent="0.3">
      <c r="A352" s="116" t="str">
        <f>IF(Inputs!$A35="","",Inputs!$A35)</f>
        <v>AN21146-0100R</v>
      </c>
      <c r="B352" s="116" t="str">
        <f>IF(Inputs!$A35="","",Inputs!$A$91)</f>
        <v>Ahmed</v>
      </c>
      <c r="C352" s="116"/>
      <c r="D352" s="122">
        <f>IF($A352="","",(IF(ISNUMBER(SEARCH("Proposal",$A352)),SUMIFS('Timesheet Raw'!$P$4:$P$8000,'Timesheet Raw'!$A$4:$A$8000,IF(ISNUMBER(SEARCH("Chargable",$A352)),"2-Proposals Chargeable","3-Proposals Regular"),'Timesheet Raw'!$C$4:$C$8000,"*"&amp;$B352&amp;"*",'Timesheet Raw'!$L$4:$L$8000,"&gt;="&amp;MAX(D$5,DATE(2000+VALUE(RIGHT(TRIM($A352),2)),1,1)),'Timesheet Raw'!$L$4:$L$8000,"&lt;="&amp;MIN(D$6,DATE(2000+VALUE(RIGHT(TRIM($A352),2)),12,31))),SUMIFS('Timesheet Raw'!$P$4:$P$8000,'Timesheet Raw'!$B$4:$B$8000,TRIM($A352),'Timesheet Raw'!$C$4:$C$8000,"*"&amp;$B352&amp;"*",'Timesheet Raw'!$L$4:$L$8000,"&gt;="&amp;D$5,'Timesheet Raw'!$L$4:$L$8000,"&lt;="&amp;D$6)))/'Profit Plan'!$B$5)</f>
        <v>0</v>
      </c>
      <c r="E352" s="122">
        <f>IF($A352="","",(IF(ISNUMBER(SEARCH("Proposal",$A352)),SUMIFS('Timesheet Raw'!$P$4:$P$8000,'Timesheet Raw'!$A$4:$A$8000,IF(ISNUMBER(SEARCH("Chargable",$A352)),"2-Proposals Chargeable","3-Proposals Regular"),'Timesheet Raw'!$C$4:$C$8000,"*"&amp;$B352&amp;"*",'Timesheet Raw'!$L$4:$L$8000,"&gt;="&amp;MAX(E$5,DATE(2000+VALUE(RIGHT(TRIM($A352),2)),1,1)),'Timesheet Raw'!$L$4:$L$8000,"&lt;="&amp;MIN(E$6,DATE(2000+VALUE(RIGHT(TRIM($A352),2)),12,31))),SUMIFS('Timesheet Raw'!$P$4:$P$8000,'Timesheet Raw'!$B$4:$B$8000,TRIM($A352),'Timesheet Raw'!$C$4:$C$8000,"*"&amp;$B352&amp;"*",'Timesheet Raw'!$L$4:$L$8000,"&gt;="&amp;E$5,'Timesheet Raw'!$L$4:$L$8000,"&lt;="&amp;E$6)))/'Profit Plan'!$B$5)</f>
        <v>0</v>
      </c>
      <c r="F352" s="122">
        <f>IF($A352="","",(IF(ISNUMBER(SEARCH("Proposal",$A352)),SUMIFS('Timesheet Raw'!$P$4:$P$8000,'Timesheet Raw'!$A$4:$A$8000,IF(ISNUMBER(SEARCH("Chargable",$A352)),"2-Proposals Chargeable","3-Proposals Regular"),'Timesheet Raw'!$C$4:$C$8000,"*"&amp;$B352&amp;"*",'Timesheet Raw'!$L$4:$L$8000,"&gt;="&amp;MAX(F$5,DATE(2000+VALUE(RIGHT(TRIM($A352),2)),1,1)),'Timesheet Raw'!$L$4:$L$8000,"&lt;="&amp;MIN(F$6,DATE(2000+VALUE(RIGHT(TRIM($A352),2)),12,31))),SUMIFS('Timesheet Raw'!$P$4:$P$8000,'Timesheet Raw'!$B$4:$B$8000,TRIM($A352),'Timesheet Raw'!$C$4:$C$8000,"*"&amp;$B352&amp;"*",'Timesheet Raw'!$L$4:$L$8000,"&gt;="&amp;F$5,'Timesheet Raw'!$L$4:$L$8000,"&lt;="&amp;F$6)))/'Profit Plan'!$B$5)</f>
        <v>4.4594594594594597E-2</v>
      </c>
      <c r="G352" s="122">
        <f>IF($A352="","",(IF(ISNUMBER(SEARCH("Proposal",$A352)),SUMIFS('Timesheet Raw'!$P$4:$P$8000,'Timesheet Raw'!$A$4:$A$8000,IF(ISNUMBER(SEARCH("Chargable",$A352)),"2-Proposals Chargeable","3-Proposals Regular"),'Timesheet Raw'!$C$4:$C$8000,"*"&amp;$B352&amp;"*",'Timesheet Raw'!$L$4:$L$8000,"&gt;="&amp;MAX(G$5,DATE(2000+VALUE(RIGHT(TRIM($A352),2)),1,1)),'Timesheet Raw'!$L$4:$L$8000,"&lt;="&amp;MIN(G$6,DATE(2000+VALUE(RIGHT(TRIM($A352),2)),12,31))),SUMIFS('Timesheet Raw'!$P$4:$P$8000,'Timesheet Raw'!$B$4:$B$8000,TRIM($A352),'Timesheet Raw'!$C$4:$C$8000,"*"&amp;$B352&amp;"*",'Timesheet Raw'!$L$4:$L$8000,"&gt;="&amp;G$5,'Timesheet Raw'!$L$4:$L$8000,"&lt;="&amp;G$6)))/'Profit Plan'!$B$5)</f>
        <v>6.3513513513513517E-2</v>
      </c>
      <c r="H352" s="122">
        <f>IF($A352="","",(IF(ISNUMBER(SEARCH("Proposal",$A352)),SUMIFS('Timesheet Raw'!$P$4:$P$8000,'Timesheet Raw'!$A$4:$A$8000,IF(ISNUMBER(SEARCH("Chargable",$A352)),"2-Proposals Chargeable","3-Proposals Regular"),'Timesheet Raw'!$C$4:$C$8000,"*"&amp;$B352&amp;"*",'Timesheet Raw'!$L$4:$L$8000,"&gt;="&amp;MAX(H$5,DATE(2000+VALUE(RIGHT(TRIM($A352),2)),1,1)),'Timesheet Raw'!$L$4:$L$8000,"&lt;="&amp;MIN(H$6,DATE(2000+VALUE(RIGHT(TRIM($A352),2)),12,31))),SUMIFS('Timesheet Raw'!$P$4:$P$8000,'Timesheet Raw'!$B$4:$B$8000,TRIM($A352),'Timesheet Raw'!$C$4:$C$8000,"*"&amp;$B352&amp;"*",'Timesheet Raw'!$L$4:$L$8000,"&gt;="&amp;H$5,'Timesheet Raw'!$L$4:$L$8000,"&lt;="&amp;H$6)))/'Profit Plan'!$B$5)</f>
        <v>0</v>
      </c>
      <c r="I352" s="122">
        <f>IF($A352="","",(IF(ISNUMBER(SEARCH("Proposal",$A352)),SUMIFS('Timesheet Raw'!$P$4:$P$8000,'Timesheet Raw'!$A$4:$A$8000,IF(ISNUMBER(SEARCH("Chargable",$A352)),"2-Proposals Chargeable","3-Proposals Regular"),'Timesheet Raw'!$C$4:$C$8000,"*"&amp;$B352&amp;"*",'Timesheet Raw'!$L$4:$L$8000,"&gt;="&amp;MAX(I$5,DATE(2000+VALUE(RIGHT(TRIM($A352),2)),1,1)),'Timesheet Raw'!$L$4:$L$8000,"&lt;="&amp;MIN(I$6,DATE(2000+VALUE(RIGHT(TRIM($A352),2)),12,31))),SUMIFS('Timesheet Raw'!$P$4:$P$8000,'Timesheet Raw'!$B$4:$B$8000,TRIM($A352),'Timesheet Raw'!$C$4:$C$8000,"*"&amp;$B352&amp;"*",'Timesheet Raw'!$L$4:$L$8000,"&gt;="&amp;I$5,'Timesheet Raw'!$L$4:$L$8000,"&lt;="&amp;I$6)))/'Profit Plan'!$B$5)</f>
        <v>0</v>
      </c>
      <c r="J352" s="122">
        <f>IF($A352="","",(IF(ISNUMBER(SEARCH("Proposal",$A352)),SUMIFS('Timesheet Raw'!$P$4:$P$8000,'Timesheet Raw'!$A$4:$A$8000,IF(ISNUMBER(SEARCH("Chargable",$A352)),"2-Proposals Chargeable","3-Proposals Regular"),'Timesheet Raw'!$C$4:$C$8000,"*"&amp;$B352&amp;"*",'Timesheet Raw'!$L$4:$L$8000,"&gt;="&amp;MAX(J$5,DATE(2000+VALUE(RIGHT(TRIM($A352),2)),1,1)),'Timesheet Raw'!$L$4:$L$8000,"&lt;="&amp;MIN(J$6,DATE(2000+VALUE(RIGHT(TRIM($A352),2)),12,31))),SUMIFS('Timesheet Raw'!$P$4:$P$8000,'Timesheet Raw'!$B$4:$B$8000,TRIM($A352),'Timesheet Raw'!$C$4:$C$8000,"*"&amp;$B352&amp;"*",'Timesheet Raw'!$L$4:$L$8000,"&gt;="&amp;J$5,'Timesheet Raw'!$L$4:$L$8000,"&lt;="&amp;J$6)))/'Profit Plan'!$B$5)</f>
        <v>0</v>
      </c>
      <c r="K352" s="122">
        <f>IF($A352="","",(IF(ISNUMBER(SEARCH("Proposal",$A352)),SUMIFS('Timesheet Raw'!$P$4:$P$8000,'Timesheet Raw'!$A$4:$A$8000,IF(ISNUMBER(SEARCH("Chargable",$A352)),"2-Proposals Chargeable","3-Proposals Regular"),'Timesheet Raw'!$C$4:$C$8000,"*"&amp;$B352&amp;"*",'Timesheet Raw'!$L$4:$L$8000,"&gt;="&amp;MAX(K$5,DATE(2000+VALUE(RIGHT(TRIM($A352),2)),1,1)),'Timesheet Raw'!$L$4:$L$8000,"&lt;="&amp;MIN(K$6,DATE(2000+VALUE(RIGHT(TRIM($A352),2)),12,31))),SUMIFS('Timesheet Raw'!$P$4:$P$8000,'Timesheet Raw'!$B$4:$B$8000,TRIM($A352),'Timesheet Raw'!$C$4:$C$8000,"*"&amp;$B352&amp;"*",'Timesheet Raw'!$L$4:$L$8000,"&gt;="&amp;K$5,'Timesheet Raw'!$L$4:$L$8000,"&lt;="&amp;K$6)))/'Profit Plan'!$B$5)</f>
        <v>0</v>
      </c>
      <c r="L352" s="122">
        <f>IF($A352="","",(IF(ISNUMBER(SEARCH("Proposal",$A352)),SUMIFS('Timesheet Raw'!$P$4:$P$8000,'Timesheet Raw'!$A$4:$A$8000,IF(ISNUMBER(SEARCH("Chargable",$A352)),"2-Proposals Chargeable","3-Proposals Regular"),'Timesheet Raw'!$C$4:$C$8000,"*"&amp;$B352&amp;"*",'Timesheet Raw'!$L$4:$L$8000,"&gt;="&amp;MAX(L$5,DATE(2000+VALUE(RIGHT(TRIM($A352),2)),1,1)),'Timesheet Raw'!$L$4:$L$8000,"&lt;="&amp;MIN(L$6,DATE(2000+VALUE(RIGHT(TRIM($A352),2)),12,31))),SUMIFS('Timesheet Raw'!$P$4:$P$8000,'Timesheet Raw'!$B$4:$B$8000,TRIM($A352),'Timesheet Raw'!$C$4:$C$8000,"*"&amp;$B352&amp;"*",'Timesheet Raw'!$L$4:$L$8000,"&gt;="&amp;L$5,'Timesheet Raw'!$L$4:$L$8000,"&lt;="&amp;L$6)))/'Profit Plan'!$B$5)</f>
        <v>0</v>
      </c>
      <c r="M352" s="122">
        <f>IF($A352="","",(IF(ISNUMBER(SEARCH("Proposal",$A352)),SUMIFS('Timesheet Raw'!$P$4:$P$8000,'Timesheet Raw'!$A$4:$A$8000,IF(ISNUMBER(SEARCH("Chargable",$A352)),"2-Proposals Chargeable","3-Proposals Regular"),'Timesheet Raw'!$C$4:$C$8000,"*"&amp;$B352&amp;"*",'Timesheet Raw'!$L$4:$L$8000,"&gt;="&amp;MAX(M$5,DATE(2000+VALUE(RIGHT(TRIM($A352),2)),1,1)),'Timesheet Raw'!$L$4:$L$8000,"&lt;="&amp;MIN(M$6,DATE(2000+VALUE(RIGHT(TRIM($A352),2)),12,31))),SUMIFS('Timesheet Raw'!$P$4:$P$8000,'Timesheet Raw'!$B$4:$B$8000,TRIM($A352),'Timesheet Raw'!$C$4:$C$8000,"*"&amp;$B352&amp;"*",'Timesheet Raw'!$L$4:$L$8000,"&gt;="&amp;M$5,'Timesheet Raw'!$L$4:$L$8000,"&lt;="&amp;M$6)))/'Profit Plan'!$B$5)</f>
        <v>0</v>
      </c>
      <c r="N352" s="122">
        <f>IF($A352="","",(IF(ISNUMBER(SEARCH("Proposal",$A352)),SUMIFS('Timesheet Raw'!$P$4:$P$8000,'Timesheet Raw'!$A$4:$A$8000,IF(ISNUMBER(SEARCH("Chargable",$A352)),"2-Proposals Chargeable","3-Proposals Regular"),'Timesheet Raw'!$C$4:$C$8000,"*"&amp;$B352&amp;"*",'Timesheet Raw'!$L$4:$L$8000,"&gt;="&amp;MAX(N$5,DATE(2000+VALUE(RIGHT(TRIM($A352),2)),1,1)),'Timesheet Raw'!$L$4:$L$8000,"&lt;="&amp;MIN(N$6,DATE(2000+VALUE(RIGHT(TRIM($A352),2)),12,31))),SUMIFS('Timesheet Raw'!$P$4:$P$8000,'Timesheet Raw'!$B$4:$B$8000,TRIM($A352),'Timesheet Raw'!$C$4:$C$8000,"*"&amp;$B352&amp;"*",'Timesheet Raw'!$L$4:$L$8000,"&gt;="&amp;N$5,'Timesheet Raw'!$L$4:$L$8000,"&lt;="&amp;N$6)))/'Profit Plan'!$B$5)</f>
        <v>0</v>
      </c>
      <c r="O352" s="122">
        <f>IF($A352="","",(IF(ISNUMBER(SEARCH("Proposal",$A352)),SUMIFS('Timesheet Raw'!$P$4:$P$8000,'Timesheet Raw'!$A$4:$A$8000,IF(ISNUMBER(SEARCH("Chargable",$A352)),"2-Proposals Chargeable","3-Proposals Regular"),'Timesheet Raw'!$C$4:$C$8000,"*"&amp;$B352&amp;"*",'Timesheet Raw'!$L$4:$L$8000,"&gt;="&amp;MAX(O$5,DATE(2000+VALUE(RIGHT(TRIM($A352),2)),1,1)),'Timesheet Raw'!$L$4:$L$8000,"&lt;="&amp;MIN(O$6,DATE(2000+VALUE(RIGHT(TRIM($A352),2)),12,31))),SUMIFS('Timesheet Raw'!$P$4:$P$8000,'Timesheet Raw'!$B$4:$B$8000,TRIM($A352),'Timesheet Raw'!$C$4:$C$8000,"*"&amp;$B352&amp;"*",'Timesheet Raw'!$L$4:$L$8000,"&gt;="&amp;O$5,'Timesheet Raw'!$L$4:$L$8000,"&lt;="&amp;O$6)))/'Profit Plan'!$B$5)</f>
        <v>0</v>
      </c>
      <c r="P352" s="122">
        <f>IF($A352="","",(IF(ISNUMBER(SEARCH("Proposal",$A352)),SUMIFS('Timesheet Raw'!$P$4:$P$8000,'Timesheet Raw'!$A$4:$A$8000,IF(ISNUMBER(SEARCH("Chargable",$A352)),"2-Proposals Chargeable","3-Proposals Regular"),'Timesheet Raw'!$C$4:$C$8000,"*"&amp;$B352&amp;"*",'Timesheet Raw'!$L$4:$L$8000,"&gt;="&amp;MAX(P$5,DATE(2000+VALUE(RIGHT(TRIM($A352),2)),1,1)),'Timesheet Raw'!$L$4:$L$8000,"&lt;="&amp;MIN(P$6,DATE(2000+VALUE(RIGHT(TRIM($A352),2)),12,31))),SUMIFS('Timesheet Raw'!$P$4:$P$8000,'Timesheet Raw'!$B$4:$B$8000,TRIM($A352),'Timesheet Raw'!$C$4:$C$8000,"*"&amp;$B352&amp;"*",'Timesheet Raw'!$L$4:$L$8000,"&gt;="&amp;P$5,'Timesheet Raw'!$L$4:$L$8000,"&lt;="&amp;P$6)))/'Profit Plan'!$B$5)</f>
        <v>0</v>
      </c>
      <c r="Q352" s="122">
        <f>IF($A352="","",(IF(ISNUMBER(SEARCH("Proposal",$A352)),SUMIFS('Timesheet Raw'!$P$4:$P$8000,'Timesheet Raw'!$A$4:$A$8000,IF(ISNUMBER(SEARCH("Chargable",$A352)),"2-Proposals Chargeable","3-Proposals Regular"),'Timesheet Raw'!$C$4:$C$8000,"*"&amp;$B352&amp;"*",'Timesheet Raw'!$L$4:$L$8000,"&gt;="&amp;MAX(Q$5,DATE(2000+VALUE(RIGHT(TRIM($A352),2)),1,1)),'Timesheet Raw'!$L$4:$L$8000,"&lt;="&amp;MIN(Q$6,DATE(2000+VALUE(RIGHT(TRIM($A352),2)),12,31))),SUMIFS('Timesheet Raw'!$P$4:$P$8000,'Timesheet Raw'!$B$4:$B$8000,TRIM($A352),'Timesheet Raw'!$C$4:$C$8000,"*"&amp;$B352&amp;"*",'Timesheet Raw'!$L$4:$L$8000,"&gt;="&amp;Q$5,'Timesheet Raw'!$L$4:$L$8000,"&lt;="&amp;Q$6)))/'Profit Plan'!$B$5)</f>
        <v>0</v>
      </c>
      <c r="R352" s="122">
        <f>IF($A352="","",(IF(ISNUMBER(SEARCH("Proposal",$A352)),SUMIFS('Timesheet Raw'!$P$4:$P$8000,'Timesheet Raw'!$A$4:$A$8000,IF(ISNUMBER(SEARCH("Chargable",$A352)),"2-Proposals Chargeable","3-Proposals Regular"),'Timesheet Raw'!$C$4:$C$8000,"*"&amp;$B352&amp;"*",'Timesheet Raw'!$L$4:$L$8000,"&gt;="&amp;MAX(R$5,DATE(2000+VALUE(RIGHT(TRIM($A352),2)),1,1)),'Timesheet Raw'!$L$4:$L$8000,"&lt;="&amp;MIN(R$6,DATE(2000+VALUE(RIGHT(TRIM($A352),2)),12,31))),SUMIFS('Timesheet Raw'!$P$4:$P$8000,'Timesheet Raw'!$B$4:$B$8000,TRIM($A352),'Timesheet Raw'!$C$4:$C$8000,"*"&amp;$B352&amp;"*",'Timesheet Raw'!$L$4:$L$8000,"&gt;="&amp;R$5,'Timesheet Raw'!$L$4:$L$8000,"&lt;="&amp;R$6)))/'Profit Plan'!$B$5)</f>
        <v>0</v>
      </c>
      <c r="S352" s="122">
        <f>IF($A352="","",(IF(ISNUMBER(SEARCH("Proposal",$A352)),SUMIFS('Timesheet Raw'!$P$4:$P$8000,'Timesheet Raw'!$A$4:$A$8000,IF(ISNUMBER(SEARCH("Chargable",$A352)),"2-Proposals Chargeable","3-Proposals Regular"),'Timesheet Raw'!$C$4:$C$8000,"*"&amp;$B352&amp;"*",'Timesheet Raw'!$L$4:$L$8000,"&gt;="&amp;MAX(S$5,DATE(2000+VALUE(RIGHT(TRIM($A352),2)),1,1)),'Timesheet Raw'!$L$4:$L$8000,"&lt;="&amp;MIN(S$6,DATE(2000+VALUE(RIGHT(TRIM($A352),2)),12,31))),SUMIFS('Timesheet Raw'!$P$4:$P$8000,'Timesheet Raw'!$B$4:$B$8000,TRIM($A352),'Timesheet Raw'!$C$4:$C$8000,"*"&amp;$B352&amp;"*",'Timesheet Raw'!$L$4:$L$8000,"&gt;="&amp;S$5,'Timesheet Raw'!$L$4:$L$8000,"&lt;="&amp;S$6)))/'Profit Plan'!$B$5)</f>
        <v>0</v>
      </c>
      <c r="T352" s="122">
        <f>IF($A352="","",(IF(ISNUMBER(SEARCH("Proposal",$A352)),SUMIFS('Timesheet Raw'!$P$4:$P$8000,'Timesheet Raw'!$A$4:$A$8000,IF(ISNUMBER(SEARCH("Chargable",$A352)),"2-Proposals Chargeable","3-Proposals Regular"),'Timesheet Raw'!$C$4:$C$8000,"*"&amp;$B352&amp;"*",'Timesheet Raw'!$L$4:$L$8000,"&gt;="&amp;MAX(T$5,DATE(2000+VALUE(RIGHT(TRIM($A352),2)),1,1)),'Timesheet Raw'!$L$4:$L$8000,"&lt;="&amp;MIN(T$6,DATE(2000+VALUE(RIGHT(TRIM($A352),2)),12,31))),SUMIFS('Timesheet Raw'!$P$4:$P$8000,'Timesheet Raw'!$B$4:$B$8000,TRIM($A352),'Timesheet Raw'!$C$4:$C$8000,"*"&amp;$B352&amp;"*",'Timesheet Raw'!$L$4:$L$8000,"&gt;="&amp;T$5,'Timesheet Raw'!$L$4:$L$8000,"&lt;="&amp;T$6)))/'Profit Plan'!$B$5)</f>
        <v>0</v>
      </c>
      <c r="U352" s="122">
        <f>IF($A352="","",(IF(ISNUMBER(SEARCH("Proposal",$A352)),SUMIFS('Timesheet Raw'!$P$4:$P$8000,'Timesheet Raw'!$A$4:$A$8000,IF(ISNUMBER(SEARCH("Chargable",$A352)),"2-Proposals Chargeable","3-Proposals Regular"),'Timesheet Raw'!$C$4:$C$8000,"*"&amp;$B352&amp;"*",'Timesheet Raw'!$L$4:$L$8000,"&gt;="&amp;MAX(U$5,DATE(2000+VALUE(RIGHT(TRIM($A352),2)),1,1)),'Timesheet Raw'!$L$4:$L$8000,"&lt;="&amp;MIN(U$6,DATE(2000+VALUE(RIGHT(TRIM($A352),2)),12,31))),SUMIFS('Timesheet Raw'!$P$4:$P$8000,'Timesheet Raw'!$B$4:$B$8000,TRIM($A352),'Timesheet Raw'!$C$4:$C$8000,"*"&amp;$B352&amp;"*",'Timesheet Raw'!$L$4:$L$8000,"&gt;="&amp;U$5,'Timesheet Raw'!$L$4:$L$8000,"&lt;="&amp;U$6)))/'Profit Plan'!$B$5)</f>
        <v>0</v>
      </c>
      <c r="V352" s="122">
        <f>IF($A352="","",(IF(ISNUMBER(SEARCH("Proposal",$A352)),SUMIFS('Timesheet Raw'!$P$4:$P$8000,'Timesheet Raw'!$A$4:$A$8000,IF(ISNUMBER(SEARCH("Chargable",$A352)),"2-Proposals Chargeable","3-Proposals Regular"),'Timesheet Raw'!$C$4:$C$8000,"*"&amp;$B352&amp;"*",'Timesheet Raw'!$L$4:$L$8000,"&gt;="&amp;MAX(V$5,DATE(2000+VALUE(RIGHT(TRIM($A352),2)),1,1)),'Timesheet Raw'!$L$4:$L$8000,"&lt;="&amp;MIN(V$6,DATE(2000+VALUE(RIGHT(TRIM($A352),2)),12,31))),SUMIFS('Timesheet Raw'!$P$4:$P$8000,'Timesheet Raw'!$B$4:$B$8000,TRIM($A352),'Timesheet Raw'!$C$4:$C$8000,"*"&amp;$B352&amp;"*",'Timesheet Raw'!$L$4:$L$8000,"&gt;="&amp;V$5,'Timesheet Raw'!$L$4:$L$8000,"&lt;="&amp;V$6)))/'Profit Plan'!$B$5)</f>
        <v>0</v>
      </c>
      <c r="W352" s="122">
        <f>IF($A352="","",(IF(ISNUMBER(SEARCH("Proposal",$A352)),SUMIFS('Timesheet Raw'!$P$4:$P$8000,'Timesheet Raw'!$A$4:$A$8000,IF(ISNUMBER(SEARCH("Chargable",$A352)),"2-Proposals Chargeable","3-Proposals Regular"),'Timesheet Raw'!$C$4:$C$8000,"*"&amp;$B352&amp;"*",'Timesheet Raw'!$L$4:$L$8000,"&gt;="&amp;MAX(W$5,DATE(2000+VALUE(RIGHT(TRIM($A352),2)),1,1)),'Timesheet Raw'!$L$4:$L$8000,"&lt;="&amp;MIN(W$6,DATE(2000+VALUE(RIGHT(TRIM($A352),2)),12,31))),SUMIFS('Timesheet Raw'!$P$4:$P$8000,'Timesheet Raw'!$B$4:$B$8000,TRIM($A352),'Timesheet Raw'!$C$4:$C$8000,"*"&amp;$B352&amp;"*",'Timesheet Raw'!$L$4:$L$8000,"&gt;="&amp;W$5,'Timesheet Raw'!$L$4:$L$8000,"&lt;="&amp;W$6)))/'Profit Plan'!$B$5)</f>
        <v>0</v>
      </c>
      <c r="X352" s="122">
        <f>IF($A352="","",(IF(ISNUMBER(SEARCH("Proposal",$A352)),SUMIFS('Timesheet Raw'!$P$4:$P$8000,'Timesheet Raw'!$A$4:$A$8000,IF(ISNUMBER(SEARCH("Chargable",$A352)),"2-Proposals Chargeable","3-Proposals Regular"),'Timesheet Raw'!$C$4:$C$8000,"*"&amp;$B352&amp;"*",'Timesheet Raw'!$L$4:$L$8000,"&gt;="&amp;MAX(X$5,DATE(2000+VALUE(RIGHT(TRIM($A352),2)),1,1)),'Timesheet Raw'!$L$4:$L$8000,"&lt;="&amp;MIN(X$6,DATE(2000+VALUE(RIGHT(TRIM($A352),2)),12,31))),SUMIFS('Timesheet Raw'!$P$4:$P$8000,'Timesheet Raw'!$B$4:$B$8000,TRIM($A352),'Timesheet Raw'!$C$4:$C$8000,"*"&amp;$B352&amp;"*",'Timesheet Raw'!$L$4:$L$8000,"&gt;="&amp;X$5,'Timesheet Raw'!$L$4:$L$8000,"&lt;="&amp;X$6)))/'Profit Plan'!$B$5)</f>
        <v>0</v>
      </c>
      <c r="Y352" s="118">
        <f t="shared" si="101"/>
        <v>0.10810810810810811</v>
      </c>
    </row>
    <row r="353" spans="1:25" x14ac:dyDescent="0.3">
      <c r="A353" s="116" t="str">
        <f>IF(Inputs!$A35="","",Inputs!$A35)</f>
        <v>AN21146-0100R</v>
      </c>
      <c r="B353" s="116" t="str">
        <f>IF(Inputs!$A35="","",Inputs!$A$92)</f>
        <v>Osama</v>
      </c>
      <c r="C353" s="116"/>
      <c r="D353" s="122">
        <f>IF($A353="","",(IF(ISNUMBER(SEARCH("Proposal",$A353)),SUMIFS('Timesheet Raw'!$P$4:$P$8000,'Timesheet Raw'!$A$4:$A$8000,IF(ISNUMBER(SEARCH("Chargable",$A353)),"2-Proposals Chargeable","3-Proposals Regular"),'Timesheet Raw'!$C$4:$C$8000,"*"&amp;$B353&amp;"*",'Timesheet Raw'!$L$4:$L$8000,"&gt;="&amp;MAX(D$5,DATE(2000+VALUE(RIGHT(TRIM($A353),2)),1,1)),'Timesheet Raw'!$L$4:$L$8000,"&lt;="&amp;MIN(D$6,DATE(2000+VALUE(RIGHT(TRIM($A353),2)),12,31))),SUMIFS('Timesheet Raw'!$P$4:$P$8000,'Timesheet Raw'!$B$4:$B$8000,TRIM($A353),'Timesheet Raw'!$C$4:$C$8000,"*"&amp;$B353&amp;"*",'Timesheet Raw'!$L$4:$L$8000,"&gt;="&amp;D$5,'Timesheet Raw'!$L$4:$L$8000,"&lt;="&amp;D$6)))/'Profit Plan'!$B$5)</f>
        <v>0</v>
      </c>
      <c r="E353" s="122">
        <f>IF($A353="","",(IF(ISNUMBER(SEARCH("Proposal",$A353)),SUMIFS('Timesheet Raw'!$P$4:$P$8000,'Timesheet Raw'!$A$4:$A$8000,IF(ISNUMBER(SEARCH("Chargable",$A353)),"2-Proposals Chargeable","3-Proposals Regular"),'Timesheet Raw'!$C$4:$C$8000,"*"&amp;$B353&amp;"*",'Timesheet Raw'!$L$4:$L$8000,"&gt;="&amp;MAX(E$5,DATE(2000+VALUE(RIGHT(TRIM($A353),2)),1,1)),'Timesheet Raw'!$L$4:$L$8000,"&lt;="&amp;MIN(E$6,DATE(2000+VALUE(RIGHT(TRIM($A353),2)),12,31))),SUMIFS('Timesheet Raw'!$P$4:$P$8000,'Timesheet Raw'!$B$4:$B$8000,TRIM($A353),'Timesheet Raw'!$C$4:$C$8000,"*"&amp;$B353&amp;"*",'Timesheet Raw'!$L$4:$L$8000,"&gt;="&amp;E$5,'Timesheet Raw'!$L$4:$L$8000,"&lt;="&amp;E$6)))/'Profit Plan'!$B$5)</f>
        <v>0</v>
      </c>
      <c r="F353" s="122">
        <f>IF($A353="","",(IF(ISNUMBER(SEARCH("Proposal",$A353)),SUMIFS('Timesheet Raw'!$P$4:$P$8000,'Timesheet Raw'!$A$4:$A$8000,IF(ISNUMBER(SEARCH("Chargable",$A353)),"2-Proposals Chargeable","3-Proposals Regular"),'Timesheet Raw'!$C$4:$C$8000,"*"&amp;$B353&amp;"*",'Timesheet Raw'!$L$4:$L$8000,"&gt;="&amp;MAX(F$5,DATE(2000+VALUE(RIGHT(TRIM($A353),2)),1,1)),'Timesheet Raw'!$L$4:$L$8000,"&lt;="&amp;MIN(F$6,DATE(2000+VALUE(RIGHT(TRIM($A353),2)),12,31))),SUMIFS('Timesheet Raw'!$P$4:$P$8000,'Timesheet Raw'!$B$4:$B$8000,TRIM($A353),'Timesheet Raw'!$C$4:$C$8000,"*"&amp;$B353&amp;"*",'Timesheet Raw'!$L$4:$L$8000,"&gt;="&amp;F$5,'Timesheet Raw'!$L$4:$L$8000,"&lt;="&amp;F$6)))/'Profit Plan'!$B$5)</f>
        <v>0</v>
      </c>
      <c r="G353" s="122">
        <f>IF($A353="","",(IF(ISNUMBER(SEARCH("Proposal",$A353)),SUMIFS('Timesheet Raw'!$P$4:$P$8000,'Timesheet Raw'!$A$4:$A$8000,IF(ISNUMBER(SEARCH("Chargable",$A353)),"2-Proposals Chargeable","3-Proposals Regular"),'Timesheet Raw'!$C$4:$C$8000,"*"&amp;$B353&amp;"*",'Timesheet Raw'!$L$4:$L$8000,"&gt;="&amp;MAX(G$5,DATE(2000+VALUE(RIGHT(TRIM($A353),2)),1,1)),'Timesheet Raw'!$L$4:$L$8000,"&lt;="&amp;MIN(G$6,DATE(2000+VALUE(RIGHT(TRIM($A353),2)),12,31))),SUMIFS('Timesheet Raw'!$P$4:$P$8000,'Timesheet Raw'!$B$4:$B$8000,TRIM($A353),'Timesheet Raw'!$C$4:$C$8000,"*"&amp;$B353&amp;"*",'Timesheet Raw'!$L$4:$L$8000,"&gt;="&amp;G$5,'Timesheet Raw'!$L$4:$L$8000,"&lt;="&amp;G$6)))/'Profit Plan'!$B$5)</f>
        <v>0</v>
      </c>
      <c r="H353" s="122">
        <f>IF($A353="","",(IF(ISNUMBER(SEARCH("Proposal",$A353)),SUMIFS('Timesheet Raw'!$P$4:$P$8000,'Timesheet Raw'!$A$4:$A$8000,IF(ISNUMBER(SEARCH("Chargable",$A353)),"2-Proposals Chargeable","3-Proposals Regular"),'Timesheet Raw'!$C$4:$C$8000,"*"&amp;$B353&amp;"*",'Timesheet Raw'!$L$4:$L$8000,"&gt;="&amp;MAX(H$5,DATE(2000+VALUE(RIGHT(TRIM($A353),2)),1,1)),'Timesheet Raw'!$L$4:$L$8000,"&lt;="&amp;MIN(H$6,DATE(2000+VALUE(RIGHT(TRIM($A353),2)),12,31))),SUMIFS('Timesheet Raw'!$P$4:$P$8000,'Timesheet Raw'!$B$4:$B$8000,TRIM($A353),'Timesheet Raw'!$C$4:$C$8000,"*"&amp;$B353&amp;"*",'Timesheet Raw'!$L$4:$L$8000,"&gt;="&amp;H$5,'Timesheet Raw'!$L$4:$L$8000,"&lt;="&amp;H$6)))/'Profit Plan'!$B$5)</f>
        <v>0</v>
      </c>
      <c r="I353" s="122">
        <f>IF($A353="","",(IF(ISNUMBER(SEARCH("Proposal",$A353)),SUMIFS('Timesheet Raw'!$P$4:$P$8000,'Timesheet Raw'!$A$4:$A$8000,IF(ISNUMBER(SEARCH("Chargable",$A353)),"2-Proposals Chargeable","3-Proposals Regular"),'Timesheet Raw'!$C$4:$C$8000,"*"&amp;$B353&amp;"*",'Timesheet Raw'!$L$4:$L$8000,"&gt;="&amp;MAX(I$5,DATE(2000+VALUE(RIGHT(TRIM($A353),2)),1,1)),'Timesheet Raw'!$L$4:$L$8000,"&lt;="&amp;MIN(I$6,DATE(2000+VALUE(RIGHT(TRIM($A353),2)),12,31))),SUMIFS('Timesheet Raw'!$P$4:$P$8000,'Timesheet Raw'!$B$4:$B$8000,TRIM($A353),'Timesheet Raw'!$C$4:$C$8000,"*"&amp;$B353&amp;"*",'Timesheet Raw'!$L$4:$L$8000,"&gt;="&amp;I$5,'Timesheet Raw'!$L$4:$L$8000,"&lt;="&amp;I$6)))/'Profit Plan'!$B$5)</f>
        <v>0</v>
      </c>
      <c r="J353" s="122">
        <f>IF($A353="","",(IF(ISNUMBER(SEARCH("Proposal",$A353)),SUMIFS('Timesheet Raw'!$P$4:$P$8000,'Timesheet Raw'!$A$4:$A$8000,IF(ISNUMBER(SEARCH("Chargable",$A353)),"2-Proposals Chargeable","3-Proposals Regular"),'Timesheet Raw'!$C$4:$C$8000,"*"&amp;$B353&amp;"*",'Timesheet Raw'!$L$4:$L$8000,"&gt;="&amp;MAX(J$5,DATE(2000+VALUE(RIGHT(TRIM($A353),2)),1,1)),'Timesheet Raw'!$L$4:$L$8000,"&lt;="&amp;MIN(J$6,DATE(2000+VALUE(RIGHT(TRIM($A353),2)),12,31))),SUMIFS('Timesheet Raw'!$P$4:$P$8000,'Timesheet Raw'!$B$4:$B$8000,TRIM($A353),'Timesheet Raw'!$C$4:$C$8000,"*"&amp;$B353&amp;"*",'Timesheet Raw'!$L$4:$L$8000,"&gt;="&amp;J$5,'Timesheet Raw'!$L$4:$L$8000,"&lt;="&amp;J$6)))/'Profit Plan'!$B$5)</f>
        <v>0</v>
      </c>
      <c r="K353" s="122">
        <f>IF($A353="","",(IF(ISNUMBER(SEARCH("Proposal",$A353)),SUMIFS('Timesheet Raw'!$P$4:$P$8000,'Timesheet Raw'!$A$4:$A$8000,IF(ISNUMBER(SEARCH("Chargable",$A353)),"2-Proposals Chargeable","3-Proposals Regular"),'Timesheet Raw'!$C$4:$C$8000,"*"&amp;$B353&amp;"*",'Timesheet Raw'!$L$4:$L$8000,"&gt;="&amp;MAX(K$5,DATE(2000+VALUE(RIGHT(TRIM($A353),2)),1,1)),'Timesheet Raw'!$L$4:$L$8000,"&lt;="&amp;MIN(K$6,DATE(2000+VALUE(RIGHT(TRIM($A353),2)),12,31))),SUMIFS('Timesheet Raw'!$P$4:$P$8000,'Timesheet Raw'!$B$4:$B$8000,TRIM($A353),'Timesheet Raw'!$C$4:$C$8000,"*"&amp;$B353&amp;"*",'Timesheet Raw'!$L$4:$L$8000,"&gt;="&amp;K$5,'Timesheet Raw'!$L$4:$L$8000,"&lt;="&amp;K$6)))/'Profit Plan'!$B$5)</f>
        <v>0</v>
      </c>
      <c r="L353" s="122">
        <f>IF($A353="","",(IF(ISNUMBER(SEARCH("Proposal",$A353)),SUMIFS('Timesheet Raw'!$P$4:$P$8000,'Timesheet Raw'!$A$4:$A$8000,IF(ISNUMBER(SEARCH("Chargable",$A353)),"2-Proposals Chargeable","3-Proposals Regular"),'Timesheet Raw'!$C$4:$C$8000,"*"&amp;$B353&amp;"*",'Timesheet Raw'!$L$4:$L$8000,"&gt;="&amp;MAX(L$5,DATE(2000+VALUE(RIGHT(TRIM($A353),2)),1,1)),'Timesheet Raw'!$L$4:$L$8000,"&lt;="&amp;MIN(L$6,DATE(2000+VALUE(RIGHT(TRIM($A353),2)),12,31))),SUMIFS('Timesheet Raw'!$P$4:$P$8000,'Timesheet Raw'!$B$4:$B$8000,TRIM($A353),'Timesheet Raw'!$C$4:$C$8000,"*"&amp;$B353&amp;"*",'Timesheet Raw'!$L$4:$L$8000,"&gt;="&amp;L$5,'Timesheet Raw'!$L$4:$L$8000,"&lt;="&amp;L$6)))/'Profit Plan'!$B$5)</f>
        <v>0</v>
      </c>
      <c r="M353" s="122">
        <f>IF($A353="","",(IF(ISNUMBER(SEARCH("Proposal",$A353)),SUMIFS('Timesheet Raw'!$P$4:$P$8000,'Timesheet Raw'!$A$4:$A$8000,IF(ISNUMBER(SEARCH("Chargable",$A353)),"2-Proposals Chargeable","3-Proposals Regular"),'Timesheet Raw'!$C$4:$C$8000,"*"&amp;$B353&amp;"*",'Timesheet Raw'!$L$4:$L$8000,"&gt;="&amp;MAX(M$5,DATE(2000+VALUE(RIGHT(TRIM($A353),2)),1,1)),'Timesheet Raw'!$L$4:$L$8000,"&lt;="&amp;MIN(M$6,DATE(2000+VALUE(RIGHT(TRIM($A353),2)),12,31))),SUMIFS('Timesheet Raw'!$P$4:$P$8000,'Timesheet Raw'!$B$4:$B$8000,TRIM($A353),'Timesheet Raw'!$C$4:$C$8000,"*"&amp;$B353&amp;"*",'Timesheet Raw'!$L$4:$L$8000,"&gt;="&amp;M$5,'Timesheet Raw'!$L$4:$L$8000,"&lt;="&amp;M$6)))/'Profit Plan'!$B$5)</f>
        <v>0</v>
      </c>
      <c r="N353" s="122">
        <f>IF($A353="","",(IF(ISNUMBER(SEARCH("Proposal",$A353)),SUMIFS('Timesheet Raw'!$P$4:$P$8000,'Timesheet Raw'!$A$4:$A$8000,IF(ISNUMBER(SEARCH("Chargable",$A353)),"2-Proposals Chargeable","3-Proposals Regular"),'Timesheet Raw'!$C$4:$C$8000,"*"&amp;$B353&amp;"*",'Timesheet Raw'!$L$4:$L$8000,"&gt;="&amp;MAX(N$5,DATE(2000+VALUE(RIGHT(TRIM($A353),2)),1,1)),'Timesheet Raw'!$L$4:$L$8000,"&lt;="&amp;MIN(N$6,DATE(2000+VALUE(RIGHT(TRIM($A353),2)),12,31))),SUMIFS('Timesheet Raw'!$P$4:$P$8000,'Timesheet Raw'!$B$4:$B$8000,TRIM($A353),'Timesheet Raw'!$C$4:$C$8000,"*"&amp;$B353&amp;"*",'Timesheet Raw'!$L$4:$L$8000,"&gt;="&amp;N$5,'Timesheet Raw'!$L$4:$L$8000,"&lt;="&amp;N$6)))/'Profit Plan'!$B$5)</f>
        <v>0</v>
      </c>
      <c r="O353" s="122">
        <f>IF($A353="","",(IF(ISNUMBER(SEARCH("Proposal",$A353)),SUMIFS('Timesheet Raw'!$P$4:$P$8000,'Timesheet Raw'!$A$4:$A$8000,IF(ISNUMBER(SEARCH("Chargable",$A353)),"2-Proposals Chargeable","3-Proposals Regular"),'Timesheet Raw'!$C$4:$C$8000,"*"&amp;$B353&amp;"*",'Timesheet Raw'!$L$4:$L$8000,"&gt;="&amp;MAX(O$5,DATE(2000+VALUE(RIGHT(TRIM($A353),2)),1,1)),'Timesheet Raw'!$L$4:$L$8000,"&lt;="&amp;MIN(O$6,DATE(2000+VALUE(RIGHT(TRIM($A353),2)),12,31))),SUMIFS('Timesheet Raw'!$P$4:$P$8000,'Timesheet Raw'!$B$4:$B$8000,TRIM($A353),'Timesheet Raw'!$C$4:$C$8000,"*"&amp;$B353&amp;"*",'Timesheet Raw'!$L$4:$L$8000,"&gt;="&amp;O$5,'Timesheet Raw'!$L$4:$L$8000,"&lt;="&amp;O$6)))/'Profit Plan'!$B$5)</f>
        <v>0</v>
      </c>
      <c r="P353" s="122">
        <f>IF($A353="","",(IF(ISNUMBER(SEARCH("Proposal",$A353)),SUMIFS('Timesheet Raw'!$P$4:$P$8000,'Timesheet Raw'!$A$4:$A$8000,IF(ISNUMBER(SEARCH("Chargable",$A353)),"2-Proposals Chargeable","3-Proposals Regular"),'Timesheet Raw'!$C$4:$C$8000,"*"&amp;$B353&amp;"*",'Timesheet Raw'!$L$4:$L$8000,"&gt;="&amp;MAX(P$5,DATE(2000+VALUE(RIGHT(TRIM($A353),2)),1,1)),'Timesheet Raw'!$L$4:$L$8000,"&lt;="&amp;MIN(P$6,DATE(2000+VALUE(RIGHT(TRIM($A353),2)),12,31))),SUMIFS('Timesheet Raw'!$P$4:$P$8000,'Timesheet Raw'!$B$4:$B$8000,TRIM($A353),'Timesheet Raw'!$C$4:$C$8000,"*"&amp;$B353&amp;"*",'Timesheet Raw'!$L$4:$L$8000,"&gt;="&amp;P$5,'Timesheet Raw'!$L$4:$L$8000,"&lt;="&amp;P$6)))/'Profit Plan'!$B$5)</f>
        <v>0</v>
      </c>
      <c r="Q353" s="122">
        <f>IF($A353="","",(IF(ISNUMBER(SEARCH("Proposal",$A353)),SUMIFS('Timesheet Raw'!$P$4:$P$8000,'Timesheet Raw'!$A$4:$A$8000,IF(ISNUMBER(SEARCH("Chargable",$A353)),"2-Proposals Chargeable","3-Proposals Regular"),'Timesheet Raw'!$C$4:$C$8000,"*"&amp;$B353&amp;"*",'Timesheet Raw'!$L$4:$L$8000,"&gt;="&amp;MAX(Q$5,DATE(2000+VALUE(RIGHT(TRIM($A353),2)),1,1)),'Timesheet Raw'!$L$4:$L$8000,"&lt;="&amp;MIN(Q$6,DATE(2000+VALUE(RIGHT(TRIM($A353),2)),12,31))),SUMIFS('Timesheet Raw'!$P$4:$P$8000,'Timesheet Raw'!$B$4:$B$8000,TRIM($A353),'Timesheet Raw'!$C$4:$C$8000,"*"&amp;$B353&amp;"*",'Timesheet Raw'!$L$4:$L$8000,"&gt;="&amp;Q$5,'Timesheet Raw'!$L$4:$L$8000,"&lt;="&amp;Q$6)))/'Profit Plan'!$B$5)</f>
        <v>0</v>
      </c>
      <c r="R353" s="122">
        <f>IF($A353="","",(IF(ISNUMBER(SEARCH("Proposal",$A353)),SUMIFS('Timesheet Raw'!$P$4:$P$8000,'Timesheet Raw'!$A$4:$A$8000,IF(ISNUMBER(SEARCH("Chargable",$A353)),"2-Proposals Chargeable","3-Proposals Regular"),'Timesheet Raw'!$C$4:$C$8000,"*"&amp;$B353&amp;"*",'Timesheet Raw'!$L$4:$L$8000,"&gt;="&amp;MAX(R$5,DATE(2000+VALUE(RIGHT(TRIM($A353),2)),1,1)),'Timesheet Raw'!$L$4:$L$8000,"&lt;="&amp;MIN(R$6,DATE(2000+VALUE(RIGHT(TRIM($A353),2)),12,31))),SUMIFS('Timesheet Raw'!$P$4:$P$8000,'Timesheet Raw'!$B$4:$B$8000,TRIM($A353),'Timesheet Raw'!$C$4:$C$8000,"*"&amp;$B353&amp;"*",'Timesheet Raw'!$L$4:$L$8000,"&gt;="&amp;R$5,'Timesheet Raw'!$L$4:$L$8000,"&lt;="&amp;R$6)))/'Profit Plan'!$B$5)</f>
        <v>0</v>
      </c>
      <c r="S353" s="122">
        <f>IF($A353="","",(IF(ISNUMBER(SEARCH("Proposal",$A353)),SUMIFS('Timesheet Raw'!$P$4:$P$8000,'Timesheet Raw'!$A$4:$A$8000,IF(ISNUMBER(SEARCH("Chargable",$A353)),"2-Proposals Chargeable","3-Proposals Regular"),'Timesheet Raw'!$C$4:$C$8000,"*"&amp;$B353&amp;"*",'Timesheet Raw'!$L$4:$L$8000,"&gt;="&amp;MAX(S$5,DATE(2000+VALUE(RIGHT(TRIM($A353),2)),1,1)),'Timesheet Raw'!$L$4:$L$8000,"&lt;="&amp;MIN(S$6,DATE(2000+VALUE(RIGHT(TRIM($A353),2)),12,31))),SUMIFS('Timesheet Raw'!$P$4:$P$8000,'Timesheet Raw'!$B$4:$B$8000,TRIM($A353),'Timesheet Raw'!$C$4:$C$8000,"*"&amp;$B353&amp;"*",'Timesheet Raw'!$L$4:$L$8000,"&gt;="&amp;S$5,'Timesheet Raw'!$L$4:$L$8000,"&lt;="&amp;S$6)))/'Profit Plan'!$B$5)</f>
        <v>0</v>
      </c>
      <c r="T353" s="122">
        <f>IF($A353="","",(IF(ISNUMBER(SEARCH("Proposal",$A353)),SUMIFS('Timesheet Raw'!$P$4:$P$8000,'Timesheet Raw'!$A$4:$A$8000,IF(ISNUMBER(SEARCH("Chargable",$A353)),"2-Proposals Chargeable","3-Proposals Regular"),'Timesheet Raw'!$C$4:$C$8000,"*"&amp;$B353&amp;"*",'Timesheet Raw'!$L$4:$L$8000,"&gt;="&amp;MAX(T$5,DATE(2000+VALUE(RIGHT(TRIM($A353),2)),1,1)),'Timesheet Raw'!$L$4:$L$8000,"&lt;="&amp;MIN(T$6,DATE(2000+VALUE(RIGHT(TRIM($A353),2)),12,31))),SUMIFS('Timesheet Raw'!$P$4:$P$8000,'Timesheet Raw'!$B$4:$B$8000,TRIM($A353),'Timesheet Raw'!$C$4:$C$8000,"*"&amp;$B353&amp;"*",'Timesheet Raw'!$L$4:$L$8000,"&gt;="&amp;T$5,'Timesheet Raw'!$L$4:$L$8000,"&lt;="&amp;T$6)))/'Profit Plan'!$B$5)</f>
        <v>0</v>
      </c>
      <c r="U353" s="122">
        <f>IF($A353="","",(IF(ISNUMBER(SEARCH("Proposal",$A353)),SUMIFS('Timesheet Raw'!$P$4:$P$8000,'Timesheet Raw'!$A$4:$A$8000,IF(ISNUMBER(SEARCH("Chargable",$A353)),"2-Proposals Chargeable","3-Proposals Regular"),'Timesheet Raw'!$C$4:$C$8000,"*"&amp;$B353&amp;"*",'Timesheet Raw'!$L$4:$L$8000,"&gt;="&amp;MAX(U$5,DATE(2000+VALUE(RIGHT(TRIM($A353),2)),1,1)),'Timesheet Raw'!$L$4:$L$8000,"&lt;="&amp;MIN(U$6,DATE(2000+VALUE(RIGHT(TRIM($A353),2)),12,31))),SUMIFS('Timesheet Raw'!$P$4:$P$8000,'Timesheet Raw'!$B$4:$B$8000,TRIM($A353),'Timesheet Raw'!$C$4:$C$8000,"*"&amp;$B353&amp;"*",'Timesheet Raw'!$L$4:$L$8000,"&gt;="&amp;U$5,'Timesheet Raw'!$L$4:$L$8000,"&lt;="&amp;U$6)))/'Profit Plan'!$B$5)</f>
        <v>0</v>
      </c>
      <c r="V353" s="122">
        <f>IF($A353="","",(IF(ISNUMBER(SEARCH("Proposal",$A353)),SUMIFS('Timesheet Raw'!$P$4:$P$8000,'Timesheet Raw'!$A$4:$A$8000,IF(ISNUMBER(SEARCH("Chargable",$A353)),"2-Proposals Chargeable","3-Proposals Regular"),'Timesheet Raw'!$C$4:$C$8000,"*"&amp;$B353&amp;"*",'Timesheet Raw'!$L$4:$L$8000,"&gt;="&amp;MAX(V$5,DATE(2000+VALUE(RIGHT(TRIM($A353),2)),1,1)),'Timesheet Raw'!$L$4:$L$8000,"&lt;="&amp;MIN(V$6,DATE(2000+VALUE(RIGHT(TRIM($A353),2)),12,31))),SUMIFS('Timesheet Raw'!$P$4:$P$8000,'Timesheet Raw'!$B$4:$B$8000,TRIM($A353),'Timesheet Raw'!$C$4:$C$8000,"*"&amp;$B353&amp;"*",'Timesheet Raw'!$L$4:$L$8000,"&gt;="&amp;V$5,'Timesheet Raw'!$L$4:$L$8000,"&lt;="&amp;V$6)))/'Profit Plan'!$B$5)</f>
        <v>0</v>
      </c>
      <c r="W353" s="122">
        <f>IF($A353="","",(IF(ISNUMBER(SEARCH("Proposal",$A353)),SUMIFS('Timesheet Raw'!$P$4:$P$8000,'Timesheet Raw'!$A$4:$A$8000,IF(ISNUMBER(SEARCH("Chargable",$A353)),"2-Proposals Chargeable","3-Proposals Regular"),'Timesheet Raw'!$C$4:$C$8000,"*"&amp;$B353&amp;"*",'Timesheet Raw'!$L$4:$L$8000,"&gt;="&amp;MAX(W$5,DATE(2000+VALUE(RIGHT(TRIM($A353),2)),1,1)),'Timesheet Raw'!$L$4:$L$8000,"&lt;="&amp;MIN(W$6,DATE(2000+VALUE(RIGHT(TRIM($A353),2)),12,31))),SUMIFS('Timesheet Raw'!$P$4:$P$8000,'Timesheet Raw'!$B$4:$B$8000,TRIM($A353),'Timesheet Raw'!$C$4:$C$8000,"*"&amp;$B353&amp;"*",'Timesheet Raw'!$L$4:$L$8000,"&gt;="&amp;W$5,'Timesheet Raw'!$L$4:$L$8000,"&lt;="&amp;W$6)))/'Profit Plan'!$B$5)</f>
        <v>0</v>
      </c>
      <c r="X353" s="122">
        <f>IF($A353="","",(IF(ISNUMBER(SEARCH("Proposal",$A353)),SUMIFS('Timesheet Raw'!$P$4:$P$8000,'Timesheet Raw'!$A$4:$A$8000,IF(ISNUMBER(SEARCH("Chargable",$A353)),"2-Proposals Chargeable","3-Proposals Regular"),'Timesheet Raw'!$C$4:$C$8000,"*"&amp;$B353&amp;"*",'Timesheet Raw'!$L$4:$L$8000,"&gt;="&amp;MAX(X$5,DATE(2000+VALUE(RIGHT(TRIM($A353),2)),1,1)),'Timesheet Raw'!$L$4:$L$8000,"&lt;="&amp;MIN(X$6,DATE(2000+VALUE(RIGHT(TRIM($A353),2)),12,31))),SUMIFS('Timesheet Raw'!$P$4:$P$8000,'Timesheet Raw'!$B$4:$B$8000,TRIM($A353),'Timesheet Raw'!$C$4:$C$8000,"*"&amp;$B353&amp;"*",'Timesheet Raw'!$L$4:$L$8000,"&gt;="&amp;X$5,'Timesheet Raw'!$L$4:$L$8000,"&lt;="&amp;X$6)))/'Profit Plan'!$B$5)</f>
        <v>0</v>
      </c>
      <c r="Y353" s="118">
        <f t="shared" si="101"/>
        <v>0</v>
      </c>
    </row>
    <row r="354" spans="1:25" x14ac:dyDescent="0.3">
      <c r="A354" s="116" t="str">
        <f>IF(Inputs!$A35="","",Inputs!$A35)</f>
        <v>AN21146-0100R</v>
      </c>
      <c r="B354" s="116" t="str">
        <f>IF(Inputs!$A35="","",Inputs!$A$93)</f>
        <v>Kirolos</v>
      </c>
      <c r="C354" s="116"/>
      <c r="D354" s="122">
        <f>IF($A354="","",(IF(ISNUMBER(SEARCH("Proposal",$A354)),SUMIFS('Timesheet Raw'!$P$4:$P$8000,'Timesheet Raw'!$A$4:$A$8000,IF(ISNUMBER(SEARCH("Chargable",$A354)),"2-Proposals Chargeable","3-Proposals Regular"),'Timesheet Raw'!$C$4:$C$8000,"*"&amp;$B354&amp;"*",'Timesheet Raw'!$L$4:$L$8000,"&gt;="&amp;MAX(D$5,DATE(2000+VALUE(RIGHT(TRIM($A354),2)),1,1)),'Timesheet Raw'!$L$4:$L$8000,"&lt;="&amp;MIN(D$6,DATE(2000+VALUE(RIGHT(TRIM($A354),2)),12,31))),SUMIFS('Timesheet Raw'!$P$4:$P$8000,'Timesheet Raw'!$B$4:$B$8000,TRIM($A354),'Timesheet Raw'!$C$4:$C$8000,"*"&amp;$B354&amp;"*",'Timesheet Raw'!$L$4:$L$8000,"&gt;="&amp;D$5,'Timesheet Raw'!$L$4:$L$8000,"&lt;="&amp;D$6)))/'Profit Plan'!$B$5)</f>
        <v>0</v>
      </c>
      <c r="E354" s="122">
        <f>IF($A354="","",(IF(ISNUMBER(SEARCH("Proposal",$A354)),SUMIFS('Timesheet Raw'!$P$4:$P$8000,'Timesheet Raw'!$A$4:$A$8000,IF(ISNUMBER(SEARCH("Chargable",$A354)),"2-Proposals Chargeable","3-Proposals Regular"),'Timesheet Raw'!$C$4:$C$8000,"*"&amp;$B354&amp;"*",'Timesheet Raw'!$L$4:$L$8000,"&gt;="&amp;MAX(E$5,DATE(2000+VALUE(RIGHT(TRIM($A354),2)),1,1)),'Timesheet Raw'!$L$4:$L$8000,"&lt;="&amp;MIN(E$6,DATE(2000+VALUE(RIGHT(TRIM($A354),2)),12,31))),SUMIFS('Timesheet Raw'!$P$4:$P$8000,'Timesheet Raw'!$B$4:$B$8000,TRIM($A354),'Timesheet Raw'!$C$4:$C$8000,"*"&amp;$B354&amp;"*",'Timesheet Raw'!$L$4:$L$8000,"&gt;="&amp;E$5,'Timesheet Raw'!$L$4:$L$8000,"&lt;="&amp;E$6)))/'Profit Plan'!$B$5)</f>
        <v>0</v>
      </c>
      <c r="F354" s="122">
        <f>IF($A354="","",(IF(ISNUMBER(SEARCH("Proposal",$A354)),SUMIFS('Timesheet Raw'!$P$4:$P$8000,'Timesheet Raw'!$A$4:$A$8000,IF(ISNUMBER(SEARCH("Chargable",$A354)),"2-Proposals Chargeable","3-Proposals Regular"),'Timesheet Raw'!$C$4:$C$8000,"*"&amp;$B354&amp;"*",'Timesheet Raw'!$L$4:$L$8000,"&gt;="&amp;MAX(F$5,DATE(2000+VALUE(RIGHT(TRIM($A354),2)),1,1)),'Timesheet Raw'!$L$4:$L$8000,"&lt;="&amp;MIN(F$6,DATE(2000+VALUE(RIGHT(TRIM($A354),2)),12,31))),SUMIFS('Timesheet Raw'!$P$4:$P$8000,'Timesheet Raw'!$B$4:$B$8000,TRIM($A354),'Timesheet Raw'!$C$4:$C$8000,"*"&amp;$B354&amp;"*",'Timesheet Raw'!$L$4:$L$8000,"&gt;="&amp;F$5,'Timesheet Raw'!$L$4:$L$8000,"&lt;="&amp;F$6)))/'Profit Plan'!$B$5)</f>
        <v>0</v>
      </c>
      <c r="G354" s="122">
        <f>IF($A354="","",(IF(ISNUMBER(SEARCH("Proposal",$A354)),SUMIFS('Timesheet Raw'!$P$4:$P$8000,'Timesheet Raw'!$A$4:$A$8000,IF(ISNUMBER(SEARCH("Chargable",$A354)),"2-Proposals Chargeable","3-Proposals Regular"),'Timesheet Raw'!$C$4:$C$8000,"*"&amp;$B354&amp;"*",'Timesheet Raw'!$L$4:$L$8000,"&gt;="&amp;MAX(G$5,DATE(2000+VALUE(RIGHT(TRIM($A354),2)),1,1)),'Timesheet Raw'!$L$4:$L$8000,"&lt;="&amp;MIN(G$6,DATE(2000+VALUE(RIGHT(TRIM($A354),2)),12,31))),SUMIFS('Timesheet Raw'!$P$4:$P$8000,'Timesheet Raw'!$B$4:$B$8000,TRIM($A354),'Timesheet Raw'!$C$4:$C$8000,"*"&amp;$B354&amp;"*",'Timesheet Raw'!$L$4:$L$8000,"&gt;="&amp;G$5,'Timesheet Raw'!$L$4:$L$8000,"&lt;="&amp;G$6)))/'Profit Plan'!$B$5)</f>
        <v>0.41081081081081083</v>
      </c>
      <c r="H354" s="122">
        <f>IF($A354="","",(IF(ISNUMBER(SEARCH("Proposal",$A354)),SUMIFS('Timesheet Raw'!$P$4:$P$8000,'Timesheet Raw'!$A$4:$A$8000,IF(ISNUMBER(SEARCH("Chargable",$A354)),"2-Proposals Chargeable","3-Proposals Regular"),'Timesheet Raw'!$C$4:$C$8000,"*"&amp;$B354&amp;"*",'Timesheet Raw'!$L$4:$L$8000,"&gt;="&amp;MAX(H$5,DATE(2000+VALUE(RIGHT(TRIM($A354),2)),1,1)),'Timesheet Raw'!$L$4:$L$8000,"&lt;="&amp;MIN(H$6,DATE(2000+VALUE(RIGHT(TRIM($A354),2)),12,31))),SUMIFS('Timesheet Raw'!$P$4:$P$8000,'Timesheet Raw'!$B$4:$B$8000,TRIM($A354),'Timesheet Raw'!$C$4:$C$8000,"*"&amp;$B354&amp;"*",'Timesheet Raw'!$L$4:$L$8000,"&gt;="&amp;H$5,'Timesheet Raw'!$L$4:$L$8000,"&lt;="&amp;H$6)))/'Profit Plan'!$B$5)</f>
        <v>0</v>
      </c>
      <c r="I354" s="122">
        <f>IF($A354="","",(IF(ISNUMBER(SEARCH("Proposal",$A354)),SUMIFS('Timesheet Raw'!$P$4:$P$8000,'Timesheet Raw'!$A$4:$A$8000,IF(ISNUMBER(SEARCH("Chargable",$A354)),"2-Proposals Chargeable","3-Proposals Regular"),'Timesheet Raw'!$C$4:$C$8000,"*"&amp;$B354&amp;"*",'Timesheet Raw'!$L$4:$L$8000,"&gt;="&amp;MAX(I$5,DATE(2000+VALUE(RIGHT(TRIM($A354),2)),1,1)),'Timesheet Raw'!$L$4:$L$8000,"&lt;="&amp;MIN(I$6,DATE(2000+VALUE(RIGHT(TRIM($A354),2)),12,31))),SUMIFS('Timesheet Raw'!$P$4:$P$8000,'Timesheet Raw'!$B$4:$B$8000,TRIM($A354),'Timesheet Raw'!$C$4:$C$8000,"*"&amp;$B354&amp;"*",'Timesheet Raw'!$L$4:$L$8000,"&gt;="&amp;I$5,'Timesheet Raw'!$L$4:$L$8000,"&lt;="&amp;I$6)))/'Profit Plan'!$B$5)</f>
        <v>0</v>
      </c>
      <c r="J354" s="122">
        <f>IF($A354="","",(IF(ISNUMBER(SEARCH("Proposal",$A354)),SUMIFS('Timesheet Raw'!$P$4:$P$8000,'Timesheet Raw'!$A$4:$A$8000,IF(ISNUMBER(SEARCH("Chargable",$A354)),"2-Proposals Chargeable","3-Proposals Regular"),'Timesheet Raw'!$C$4:$C$8000,"*"&amp;$B354&amp;"*",'Timesheet Raw'!$L$4:$L$8000,"&gt;="&amp;MAX(J$5,DATE(2000+VALUE(RIGHT(TRIM($A354),2)),1,1)),'Timesheet Raw'!$L$4:$L$8000,"&lt;="&amp;MIN(J$6,DATE(2000+VALUE(RIGHT(TRIM($A354),2)),12,31))),SUMIFS('Timesheet Raw'!$P$4:$P$8000,'Timesheet Raw'!$B$4:$B$8000,TRIM($A354),'Timesheet Raw'!$C$4:$C$8000,"*"&amp;$B354&amp;"*",'Timesheet Raw'!$L$4:$L$8000,"&gt;="&amp;J$5,'Timesheet Raw'!$L$4:$L$8000,"&lt;="&amp;J$6)))/'Profit Plan'!$B$5)</f>
        <v>0</v>
      </c>
      <c r="K354" s="122">
        <f>IF($A354="","",(IF(ISNUMBER(SEARCH("Proposal",$A354)),SUMIFS('Timesheet Raw'!$P$4:$P$8000,'Timesheet Raw'!$A$4:$A$8000,IF(ISNUMBER(SEARCH("Chargable",$A354)),"2-Proposals Chargeable","3-Proposals Regular"),'Timesheet Raw'!$C$4:$C$8000,"*"&amp;$B354&amp;"*",'Timesheet Raw'!$L$4:$L$8000,"&gt;="&amp;MAX(K$5,DATE(2000+VALUE(RIGHT(TRIM($A354),2)),1,1)),'Timesheet Raw'!$L$4:$L$8000,"&lt;="&amp;MIN(K$6,DATE(2000+VALUE(RIGHT(TRIM($A354),2)),12,31))),SUMIFS('Timesheet Raw'!$P$4:$P$8000,'Timesheet Raw'!$B$4:$B$8000,TRIM($A354),'Timesheet Raw'!$C$4:$C$8000,"*"&amp;$B354&amp;"*",'Timesheet Raw'!$L$4:$L$8000,"&gt;="&amp;K$5,'Timesheet Raw'!$L$4:$L$8000,"&lt;="&amp;K$6)))/'Profit Plan'!$B$5)</f>
        <v>0</v>
      </c>
      <c r="L354" s="122">
        <f>IF($A354="","",(IF(ISNUMBER(SEARCH("Proposal",$A354)),SUMIFS('Timesheet Raw'!$P$4:$P$8000,'Timesheet Raw'!$A$4:$A$8000,IF(ISNUMBER(SEARCH("Chargable",$A354)),"2-Proposals Chargeable","3-Proposals Regular"),'Timesheet Raw'!$C$4:$C$8000,"*"&amp;$B354&amp;"*",'Timesheet Raw'!$L$4:$L$8000,"&gt;="&amp;MAX(L$5,DATE(2000+VALUE(RIGHT(TRIM($A354),2)),1,1)),'Timesheet Raw'!$L$4:$L$8000,"&lt;="&amp;MIN(L$6,DATE(2000+VALUE(RIGHT(TRIM($A354),2)),12,31))),SUMIFS('Timesheet Raw'!$P$4:$P$8000,'Timesheet Raw'!$B$4:$B$8000,TRIM($A354),'Timesheet Raw'!$C$4:$C$8000,"*"&amp;$B354&amp;"*",'Timesheet Raw'!$L$4:$L$8000,"&gt;="&amp;L$5,'Timesheet Raw'!$L$4:$L$8000,"&lt;="&amp;L$6)))/'Profit Plan'!$B$5)</f>
        <v>0</v>
      </c>
      <c r="M354" s="122">
        <f>IF($A354="","",(IF(ISNUMBER(SEARCH("Proposal",$A354)),SUMIFS('Timesheet Raw'!$P$4:$P$8000,'Timesheet Raw'!$A$4:$A$8000,IF(ISNUMBER(SEARCH("Chargable",$A354)),"2-Proposals Chargeable","3-Proposals Regular"),'Timesheet Raw'!$C$4:$C$8000,"*"&amp;$B354&amp;"*",'Timesheet Raw'!$L$4:$L$8000,"&gt;="&amp;MAX(M$5,DATE(2000+VALUE(RIGHT(TRIM($A354),2)),1,1)),'Timesheet Raw'!$L$4:$L$8000,"&lt;="&amp;MIN(M$6,DATE(2000+VALUE(RIGHT(TRIM($A354),2)),12,31))),SUMIFS('Timesheet Raw'!$P$4:$P$8000,'Timesheet Raw'!$B$4:$B$8000,TRIM($A354),'Timesheet Raw'!$C$4:$C$8000,"*"&amp;$B354&amp;"*",'Timesheet Raw'!$L$4:$L$8000,"&gt;="&amp;M$5,'Timesheet Raw'!$L$4:$L$8000,"&lt;="&amp;M$6)))/'Profit Plan'!$B$5)</f>
        <v>0</v>
      </c>
      <c r="N354" s="122">
        <f>IF($A354="","",(IF(ISNUMBER(SEARCH("Proposal",$A354)),SUMIFS('Timesheet Raw'!$P$4:$P$8000,'Timesheet Raw'!$A$4:$A$8000,IF(ISNUMBER(SEARCH("Chargable",$A354)),"2-Proposals Chargeable","3-Proposals Regular"),'Timesheet Raw'!$C$4:$C$8000,"*"&amp;$B354&amp;"*",'Timesheet Raw'!$L$4:$L$8000,"&gt;="&amp;MAX(N$5,DATE(2000+VALUE(RIGHT(TRIM($A354),2)),1,1)),'Timesheet Raw'!$L$4:$L$8000,"&lt;="&amp;MIN(N$6,DATE(2000+VALUE(RIGHT(TRIM($A354),2)),12,31))),SUMIFS('Timesheet Raw'!$P$4:$P$8000,'Timesheet Raw'!$B$4:$B$8000,TRIM($A354),'Timesheet Raw'!$C$4:$C$8000,"*"&amp;$B354&amp;"*",'Timesheet Raw'!$L$4:$L$8000,"&gt;="&amp;N$5,'Timesheet Raw'!$L$4:$L$8000,"&lt;="&amp;N$6)))/'Profit Plan'!$B$5)</f>
        <v>0</v>
      </c>
      <c r="O354" s="122">
        <f>IF($A354="","",(IF(ISNUMBER(SEARCH("Proposal",$A354)),SUMIFS('Timesheet Raw'!$P$4:$P$8000,'Timesheet Raw'!$A$4:$A$8000,IF(ISNUMBER(SEARCH("Chargable",$A354)),"2-Proposals Chargeable","3-Proposals Regular"),'Timesheet Raw'!$C$4:$C$8000,"*"&amp;$B354&amp;"*",'Timesheet Raw'!$L$4:$L$8000,"&gt;="&amp;MAX(O$5,DATE(2000+VALUE(RIGHT(TRIM($A354),2)),1,1)),'Timesheet Raw'!$L$4:$L$8000,"&lt;="&amp;MIN(O$6,DATE(2000+VALUE(RIGHT(TRIM($A354),2)),12,31))),SUMIFS('Timesheet Raw'!$P$4:$P$8000,'Timesheet Raw'!$B$4:$B$8000,TRIM($A354),'Timesheet Raw'!$C$4:$C$8000,"*"&amp;$B354&amp;"*",'Timesheet Raw'!$L$4:$L$8000,"&gt;="&amp;O$5,'Timesheet Raw'!$L$4:$L$8000,"&lt;="&amp;O$6)))/'Profit Plan'!$B$5)</f>
        <v>0</v>
      </c>
      <c r="P354" s="122">
        <f>IF($A354="","",(IF(ISNUMBER(SEARCH("Proposal",$A354)),SUMIFS('Timesheet Raw'!$P$4:$P$8000,'Timesheet Raw'!$A$4:$A$8000,IF(ISNUMBER(SEARCH("Chargable",$A354)),"2-Proposals Chargeable","3-Proposals Regular"),'Timesheet Raw'!$C$4:$C$8000,"*"&amp;$B354&amp;"*",'Timesheet Raw'!$L$4:$L$8000,"&gt;="&amp;MAX(P$5,DATE(2000+VALUE(RIGHT(TRIM($A354),2)),1,1)),'Timesheet Raw'!$L$4:$L$8000,"&lt;="&amp;MIN(P$6,DATE(2000+VALUE(RIGHT(TRIM($A354),2)),12,31))),SUMIFS('Timesheet Raw'!$P$4:$P$8000,'Timesheet Raw'!$B$4:$B$8000,TRIM($A354),'Timesheet Raw'!$C$4:$C$8000,"*"&amp;$B354&amp;"*",'Timesheet Raw'!$L$4:$L$8000,"&gt;="&amp;P$5,'Timesheet Raw'!$L$4:$L$8000,"&lt;="&amp;P$6)))/'Profit Plan'!$B$5)</f>
        <v>0</v>
      </c>
      <c r="Q354" s="122">
        <f>IF($A354="","",(IF(ISNUMBER(SEARCH("Proposal",$A354)),SUMIFS('Timesheet Raw'!$P$4:$P$8000,'Timesheet Raw'!$A$4:$A$8000,IF(ISNUMBER(SEARCH("Chargable",$A354)),"2-Proposals Chargeable","3-Proposals Regular"),'Timesheet Raw'!$C$4:$C$8000,"*"&amp;$B354&amp;"*",'Timesheet Raw'!$L$4:$L$8000,"&gt;="&amp;MAX(Q$5,DATE(2000+VALUE(RIGHT(TRIM($A354),2)),1,1)),'Timesheet Raw'!$L$4:$L$8000,"&lt;="&amp;MIN(Q$6,DATE(2000+VALUE(RIGHT(TRIM($A354),2)),12,31))),SUMIFS('Timesheet Raw'!$P$4:$P$8000,'Timesheet Raw'!$B$4:$B$8000,TRIM($A354),'Timesheet Raw'!$C$4:$C$8000,"*"&amp;$B354&amp;"*",'Timesheet Raw'!$L$4:$L$8000,"&gt;="&amp;Q$5,'Timesheet Raw'!$L$4:$L$8000,"&lt;="&amp;Q$6)))/'Profit Plan'!$B$5)</f>
        <v>0</v>
      </c>
      <c r="R354" s="122">
        <f>IF($A354="","",(IF(ISNUMBER(SEARCH("Proposal",$A354)),SUMIFS('Timesheet Raw'!$P$4:$P$8000,'Timesheet Raw'!$A$4:$A$8000,IF(ISNUMBER(SEARCH("Chargable",$A354)),"2-Proposals Chargeable","3-Proposals Regular"),'Timesheet Raw'!$C$4:$C$8000,"*"&amp;$B354&amp;"*",'Timesheet Raw'!$L$4:$L$8000,"&gt;="&amp;MAX(R$5,DATE(2000+VALUE(RIGHT(TRIM($A354),2)),1,1)),'Timesheet Raw'!$L$4:$L$8000,"&lt;="&amp;MIN(R$6,DATE(2000+VALUE(RIGHT(TRIM($A354),2)),12,31))),SUMIFS('Timesheet Raw'!$P$4:$P$8000,'Timesheet Raw'!$B$4:$B$8000,TRIM($A354),'Timesheet Raw'!$C$4:$C$8000,"*"&amp;$B354&amp;"*",'Timesheet Raw'!$L$4:$L$8000,"&gt;="&amp;R$5,'Timesheet Raw'!$L$4:$L$8000,"&lt;="&amp;R$6)))/'Profit Plan'!$B$5)</f>
        <v>0</v>
      </c>
      <c r="S354" s="122">
        <f>IF($A354="","",(IF(ISNUMBER(SEARCH("Proposal",$A354)),SUMIFS('Timesheet Raw'!$P$4:$P$8000,'Timesheet Raw'!$A$4:$A$8000,IF(ISNUMBER(SEARCH("Chargable",$A354)),"2-Proposals Chargeable","3-Proposals Regular"),'Timesheet Raw'!$C$4:$C$8000,"*"&amp;$B354&amp;"*",'Timesheet Raw'!$L$4:$L$8000,"&gt;="&amp;MAX(S$5,DATE(2000+VALUE(RIGHT(TRIM($A354),2)),1,1)),'Timesheet Raw'!$L$4:$L$8000,"&lt;="&amp;MIN(S$6,DATE(2000+VALUE(RIGHT(TRIM($A354),2)),12,31))),SUMIFS('Timesheet Raw'!$P$4:$P$8000,'Timesheet Raw'!$B$4:$B$8000,TRIM($A354),'Timesheet Raw'!$C$4:$C$8000,"*"&amp;$B354&amp;"*",'Timesheet Raw'!$L$4:$L$8000,"&gt;="&amp;S$5,'Timesheet Raw'!$L$4:$L$8000,"&lt;="&amp;S$6)))/'Profit Plan'!$B$5)</f>
        <v>0</v>
      </c>
      <c r="T354" s="122">
        <f>IF($A354="","",(IF(ISNUMBER(SEARCH("Proposal",$A354)),SUMIFS('Timesheet Raw'!$P$4:$P$8000,'Timesheet Raw'!$A$4:$A$8000,IF(ISNUMBER(SEARCH("Chargable",$A354)),"2-Proposals Chargeable","3-Proposals Regular"),'Timesheet Raw'!$C$4:$C$8000,"*"&amp;$B354&amp;"*",'Timesheet Raw'!$L$4:$L$8000,"&gt;="&amp;MAX(T$5,DATE(2000+VALUE(RIGHT(TRIM($A354),2)),1,1)),'Timesheet Raw'!$L$4:$L$8000,"&lt;="&amp;MIN(T$6,DATE(2000+VALUE(RIGHT(TRIM($A354),2)),12,31))),SUMIFS('Timesheet Raw'!$P$4:$P$8000,'Timesheet Raw'!$B$4:$B$8000,TRIM($A354),'Timesheet Raw'!$C$4:$C$8000,"*"&amp;$B354&amp;"*",'Timesheet Raw'!$L$4:$L$8000,"&gt;="&amp;T$5,'Timesheet Raw'!$L$4:$L$8000,"&lt;="&amp;T$6)))/'Profit Plan'!$B$5)</f>
        <v>0</v>
      </c>
      <c r="U354" s="122">
        <f>IF($A354="","",(IF(ISNUMBER(SEARCH("Proposal",$A354)),SUMIFS('Timesheet Raw'!$P$4:$P$8000,'Timesheet Raw'!$A$4:$A$8000,IF(ISNUMBER(SEARCH("Chargable",$A354)),"2-Proposals Chargeable","3-Proposals Regular"),'Timesheet Raw'!$C$4:$C$8000,"*"&amp;$B354&amp;"*",'Timesheet Raw'!$L$4:$L$8000,"&gt;="&amp;MAX(U$5,DATE(2000+VALUE(RIGHT(TRIM($A354),2)),1,1)),'Timesheet Raw'!$L$4:$L$8000,"&lt;="&amp;MIN(U$6,DATE(2000+VALUE(RIGHT(TRIM($A354),2)),12,31))),SUMIFS('Timesheet Raw'!$P$4:$P$8000,'Timesheet Raw'!$B$4:$B$8000,TRIM($A354),'Timesheet Raw'!$C$4:$C$8000,"*"&amp;$B354&amp;"*",'Timesheet Raw'!$L$4:$L$8000,"&gt;="&amp;U$5,'Timesheet Raw'!$L$4:$L$8000,"&lt;="&amp;U$6)))/'Profit Plan'!$B$5)</f>
        <v>0</v>
      </c>
      <c r="V354" s="122">
        <f>IF($A354="","",(IF(ISNUMBER(SEARCH("Proposal",$A354)),SUMIFS('Timesheet Raw'!$P$4:$P$8000,'Timesheet Raw'!$A$4:$A$8000,IF(ISNUMBER(SEARCH("Chargable",$A354)),"2-Proposals Chargeable","3-Proposals Regular"),'Timesheet Raw'!$C$4:$C$8000,"*"&amp;$B354&amp;"*",'Timesheet Raw'!$L$4:$L$8000,"&gt;="&amp;MAX(V$5,DATE(2000+VALUE(RIGHT(TRIM($A354),2)),1,1)),'Timesheet Raw'!$L$4:$L$8000,"&lt;="&amp;MIN(V$6,DATE(2000+VALUE(RIGHT(TRIM($A354),2)),12,31))),SUMIFS('Timesheet Raw'!$P$4:$P$8000,'Timesheet Raw'!$B$4:$B$8000,TRIM($A354),'Timesheet Raw'!$C$4:$C$8000,"*"&amp;$B354&amp;"*",'Timesheet Raw'!$L$4:$L$8000,"&gt;="&amp;V$5,'Timesheet Raw'!$L$4:$L$8000,"&lt;="&amp;V$6)))/'Profit Plan'!$B$5)</f>
        <v>0</v>
      </c>
      <c r="W354" s="122">
        <f>IF($A354="","",(IF(ISNUMBER(SEARCH("Proposal",$A354)),SUMIFS('Timesheet Raw'!$P$4:$P$8000,'Timesheet Raw'!$A$4:$A$8000,IF(ISNUMBER(SEARCH("Chargable",$A354)),"2-Proposals Chargeable","3-Proposals Regular"),'Timesheet Raw'!$C$4:$C$8000,"*"&amp;$B354&amp;"*",'Timesheet Raw'!$L$4:$L$8000,"&gt;="&amp;MAX(W$5,DATE(2000+VALUE(RIGHT(TRIM($A354),2)),1,1)),'Timesheet Raw'!$L$4:$L$8000,"&lt;="&amp;MIN(W$6,DATE(2000+VALUE(RIGHT(TRIM($A354),2)),12,31))),SUMIFS('Timesheet Raw'!$P$4:$P$8000,'Timesheet Raw'!$B$4:$B$8000,TRIM($A354),'Timesheet Raw'!$C$4:$C$8000,"*"&amp;$B354&amp;"*",'Timesheet Raw'!$L$4:$L$8000,"&gt;="&amp;W$5,'Timesheet Raw'!$L$4:$L$8000,"&lt;="&amp;W$6)))/'Profit Plan'!$B$5)</f>
        <v>0</v>
      </c>
      <c r="X354" s="122">
        <f>IF($A354="","",(IF(ISNUMBER(SEARCH("Proposal",$A354)),SUMIFS('Timesheet Raw'!$P$4:$P$8000,'Timesheet Raw'!$A$4:$A$8000,IF(ISNUMBER(SEARCH("Chargable",$A354)),"2-Proposals Chargeable","3-Proposals Regular"),'Timesheet Raw'!$C$4:$C$8000,"*"&amp;$B354&amp;"*",'Timesheet Raw'!$L$4:$L$8000,"&gt;="&amp;MAX(X$5,DATE(2000+VALUE(RIGHT(TRIM($A354),2)),1,1)),'Timesheet Raw'!$L$4:$L$8000,"&lt;="&amp;MIN(X$6,DATE(2000+VALUE(RIGHT(TRIM($A354),2)),12,31))),SUMIFS('Timesheet Raw'!$P$4:$P$8000,'Timesheet Raw'!$B$4:$B$8000,TRIM($A354),'Timesheet Raw'!$C$4:$C$8000,"*"&amp;$B354&amp;"*",'Timesheet Raw'!$L$4:$L$8000,"&gt;="&amp;X$5,'Timesheet Raw'!$L$4:$L$8000,"&lt;="&amp;X$6)))/'Profit Plan'!$B$5)</f>
        <v>0</v>
      </c>
      <c r="Y354" s="118">
        <f t="shared" si="101"/>
        <v>0.41081081081081083</v>
      </c>
    </row>
    <row r="355" spans="1:25" x14ac:dyDescent="0.3">
      <c r="A355" s="116" t="str">
        <f>IF(Inputs!$A36="","",Inputs!$A36)</f>
        <v>N23106-0100D</v>
      </c>
      <c r="B355" s="116" t="str">
        <f>IF(Inputs!$A36="","",Inputs!$A$91)</f>
        <v>Ahmed</v>
      </c>
      <c r="C355" s="116"/>
      <c r="D355" s="122">
        <f>IF($A355="","",(IF(ISNUMBER(SEARCH("Proposal",$A355)),SUMIFS('Timesheet Raw'!$P$4:$P$8000,'Timesheet Raw'!$A$4:$A$8000,IF(ISNUMBER(SEARCH("Chargable",$A355)),"2-Proposals Chargeable","3-Proposals Regular"),'Timesheet Raw'!$C$4:$C$8000,"*"&amp;$B355&amp;"*",'Timesheet Raw'!$L$4:$L$8000,"&gt;="&amp;MAX(D$5,DATE(2000+VALUE(RIGHT(TRIM($A355),2)),1,1)),'Timesheet Raw'!$L$4:$L$8000,"&lt;="&amp;MIN(D$6,DATE(2000+VALUE(RIGHT(TRIM($A355),2)),12,31))),SUMIFS('Timesheet Raw'!$P$4:$P$8000,'Timesheet Raw'!$B$4:$B$8000,TRIM($A355),'Timesheet Raw'!$C$4:$C$8000,"*"&amp;$B355&amp;"*",'Timesheet Raw'!$L$4:$L$8000,"&gt;="&amp;D$5,'Timesheet Raw'!$L$4:$L$8000,"&lt;="&amp;D$6)))/'Profit Plan'!$B$5)</f>
        <v>0</v>
      </c>
      <c r="E355" s="122">
        <f>IF($A355="","",(IF(ISNUMBER(SEARCH("Proposal",$A355)),SUMIFS('Timesheet Raw'!$P$4:$P$8000,'Timesheet Raw'!$A$4:$A$8000,IF(ISNUMBER(SEARCH("Chargable",$A355)),"2-Proposals Chargeable","3-Proposals Regular"),'Timesheet Raw'!$C$4:$C$8000,"*"&amp;$B355&amp;"*",'Timesheet Raw'!$L$4:$L$8000,"&gt;="&amp;MAX(E$5,DATE(2000+VALUE(RIGHT(TRIM($A355),2)),1,1)),'Timesheet Raw'!$L$4:$L$8000,"&lt;="&amp;MIN(E$6,DATE(2000+VALUE(RIGHT(TRIM($A355),2)),12,31))),SUMIFS('Timesheet Raw'!$P$4:$P$8000,'Timesheet Raw'!$B$4:$B$8000,TRIM($A355),'Timesheet Raw'!$C$4:$C$8000,"*"&amp;$B355&amp;"*",'Timesheet Raw'!$L$4:$L$8000,"&gt;="&amp;E$5,'Timesheet Raw'!$L$4:$L$8000,"&lt;="&amp;E$6)))/'Profit Plan'!$B$5)</f>
        <v>0</v>
      </c>
      <c r="F355" s="122">
        <f>IF($A355="","",(IF(ISNUMBER(SEARCH("Proposal",$A355)),SUMIFS('Timesheet Raw'!$P$4:$P$8000,'Timesheet Raw'!$A$4:$A$8000,IF(ISNUMBER(SEARCH("Chargable",$A355)),"2-Proposals Chargeable","3-Proposals Regular"),'Timesheet Raw'!$C$4:$C$8000,"*"&amp;$B355&amp;"*",'Timesheet Raw'!$L$4:$L$8000,"&gt;="&amp;MAX(F$5,DATE(2000+VALUE(RIGHT(TRIM($A355),2)),1,1)),'Timesheet Raw'!$L$4:$L$8000,"&lt;="&amp;MIN(F$6,DATE(2000+VALUE(RIGHT(TRIM($A355),2)),12,31))),SUMIFS('Timesheet Raw'!$P$4:$P$8000,'Timesheet Raw'!$B$4:$B$8000,TRIM($A355),'Timesheet Raw'!$C$4:$C$8000,"*"&amp;$B355&amp;"*",'Timesheet Raw'!$L$4:$L$8000,"&gt;="&amp;F$5,'Timesheet Raw'!$L$4:$L$8000,"&lt;="&amp;F$6)))/'Profit Plan'!$B$5)</f>
        <v>0.1581081081081081</v>
      </c>
      <c r="G355" s="122">
        <f>IF($A355="","",(IF(ISNUMBER(SEARCH("Proposal",$A355)),SUMIFS('Timesheet Raw'!$P$4:$P$8000,'Timesheet Raw'!$A$4:$A$8000,IF(ISNUMBER(SEARCH("Chargable",$A355)),"2-Proposals Chargeable","3-Proposals Regular"),'Timesheet Raw'!$C$4:$C$8000,"*"&amp;$B355&amp;"*",'Timesheet Raw'!$L$4:$L$8000,"&gt;="&amp;MAX(G$5,DATE(2000+VALUE(RIGHT(TRIM($A355),2)),1,1)),'Timesheet Raw'!$L$4:$L$8000,"&lt;="&amp;MIN(G$6,DATE(2000+VALUE(RIGHT(TRIM($A355),2)),12,31))),SUMIFS('Timesheet Raw'!$P$4:$P$8000,'Timesheet Raw'!$B$4:$B$8000,TRIM($A355),'Timesheet Raw'!$C$4:$C$8000,"*"&amp;$B355&amp;"*",'Timesheet Raw'!$L$4:$L$8000,"&gt;="&amp;G$5,'Timesheet Raw'!$L$4:$L$8000,"&lt;="&amp;G$6)))/'Profit Plan'!$B$5)</f>
        <v>0.63918918918918921</v>
      </c>
      <c r="H355" s="122">
        <f>IF($A355="","",(IF(ISNUMBER(SEARCH("Proposal",$A355)),SUMIFS('Timesheet Raw'!$P$4:$P$8000,'Timesheet Raw'!$A$4:$A$8000,IF(ISNUMBER(SEARCH("Chargable",$A355)),"2-Proposals Chargeable","3-Proposals Regular"),'Timesheet Raw'!$C$4:$C$8000,"*"&amp;$B355&amp;"*",'Timesheet Raw'!$L$4:$L$8000,"&gt;="&amp;MAX(H$5,DATE(2000+VALUE(RIGHT(TRIM($A355),2)),1,1)),'Timesheet Raw'!$L$4:$L$8000,"&lt;="&amp;MIN(H$6,DATE(2000+VALUE(RIGHT(TRIM($A355),2)),12,31))),SUMIFS('Timesheet Raw'!$P$4:$P$8000,'Timesheet Raw'!$B$4:$B$8000,TRIM($A355),'Timesheet Raw'!$C$4:$C$8000,"*"&amp;$B355&amp;"*",'Timesheet Raw'!$L$4:$L$8000,"&gt;="&amp;H$5,'Timesheet Raw'!$L$4:$L$8000,"&lt;="&amp;H$6)))/'Profit Plan'!$B$5)</f>
        <v>0</v>
      </c>
      <c r="I355" s="122">
        <f>IF($A355="","",(IF(ISNUMBER(SEARCH("Proposal",$A355)),SUMIFS('Timesheet Raw'!$P$4:$P$8000,'Timesheet Raw'!$A$4:$A$8000,IF(ISNUMBER(SEARCH("Chargable",$A355)),"2-Proposals Chargeable","3-Proposals Regular"),'Timesheet Raw'!$C$4:$C$8000,"*"&amp;$B355&amp;"*",'Timesheet Raw'!$L$4:$L$8000,"&gt;="&amp;MAX(I$5,DATE(2000+VALUE(RIGHT(TRIM($A355),2)),1,1)),'Timesheet Raw'!$L$4:$L$8000,"&lt;="&amp;MIN(I$6,DATE(2000+VALUE(RIGHT(TRIM($A355),2)),12,31))),SUMIFS('Timesheet Raw'!$P$4:$P$8000,'Timesheet Raw'!$B$4:$B$8000,TRIM($A355),'Timesheet Raw'!$C$4:$C$8000,"*"&amp;$B355&amp;"*",'Timesheet Raw'!$L$4:$L$8000,"&gt;="&amp;I$5,'Timesheet Raw'!$L$4:$L$8000,"&lt;="&amp;I$6)))/'Profit Plan'!$B$5)</f>
        <v>0</v>
      </c>
      <c r="J355" s="122">
        <f>IF($A355="","",(IF(ISNUMBER(SEARCH("Proposal",$A355)),SUMIFS('Timesheet Raw'!$P$4:$P$8000,'Timesheet Raw'!$A$4:$A$8000,IF(ISNUMBER(SEARCH("Chargable",$A355)),"2-Proposals Chargeable","3-Proposals Regular"),'Timesheet Raw'!$C$4:$C$8000,"*"&amp;$B355&amp;"*",'Timesheet Raw'!$L$4:$L$8000,"&gt;="&amp;MAX(J$5,DATE(2000+VALUE(RIGHT(TRIM($A355),2)),1,1)),'Timesheet Raw'!$L$4:$L$8000,"&lt;="&amp;MIN(J$6,DATE(2000+VALUE(RIGHT(TRIM($A355),2)),12,31))),SUMIFS('Timesheet Raw'!$P$4:$P$8000,'Timesheet Raw'!$B$4:$B$8000,TRIM($A355),'Timesheet Raw'!$C$4:$C$8000,"*"&amp;$B355&amp;"*",'Timesheet Raw'!$L$4:$L$8000,"&gt;="&amp;J$5,'Timesheet Raw'!$L$4:$L$8000,"&lt;="&amp;J$6)))/'Profit Plan'!$B$5)</f>
        <v>0</v>
      </c>
      <c r="K355" s="122">
        <f>IF($A355="","",(IF(ISNUMBER(SEARCH("Proposal",$A355)),SUMIFS('Timesheet Raw'!$P$4:$P$8000,'Timesheet Raw'!$A$4:$A$8000,IF(ISNUMBER(SEARCH("Chargable",$A355)),"2-Proposals Chargeable","3-Proposals Regular"),'Timesheet Raw'!$C$4:$C$8000,"*"&amp;$B355&amp;"*",'Timesheet Raw'!$L$4:$L$8000,"&gt;="&amp;MAX(K$5,DATE(2000+VALUE(RIGHT(TRIM($A355),2)),1,1)),'Timesheet Raw'!$L$4:$L$8000,"&lt;="&amp;MIN(K$6,DATE(2000+VALUE(RIGHT(TRIM($A355),2)),12,31))),SUMIFS('Timesheet Raw'!$P$4:$P$8000,'Timesheet Raw'!$B$4:$B$8000,TRIM($A355),'Timesheet Raw'!$C$4:$C$8000,"*"&amp;$B355&amp;"*",'Timesheet Raw'!$L$4:$L$8000,"&gt;="&amp;K$5,'Timesheet Raw'!$L$4:$L$8000,"&lt;="&amp;K$6)))/'Profit Plan'!$B$5)</f>
        <v>0</v>
      </c>
      <c r="L355" s="122">
        <f>IF($A355="","",(IF(ISNUMBER(SEARCH("Proposal",$A355)),SUMIFS('Timesheet Raw'!$P$4:$P$8000,'Timesheet Raw'!$A$4:$A$8000,IF(ISNUMBER(SEARCH("Chargable",$A355)),"2-Proposals Chargeable","3-Proposals Regular"),'Timesheet Raw'!$C$4:$C$8000,"*"&amp;$B355&amp;"*",'Timesheet Raw'!$L$4:$L$8000,"&gt;="&amp;MAX(L$5,DATE(2000+VALUE(RIGHT(TRIM($A355),2)),1,1)),'Timesheet Raw'!$L$4:$L$8000,"&lt;="&amp;MIN(L$6,DATE(2000+VALUE(RIGHT(TRIM($A355),2)),12,31))),SUMIFS('Timesheet Raw'!$P$4:$P$8000,'Timesheet Raw'!$B$4:$B$8000,TRIM($A355),'Timesheet Raw'!$C$4:$C$8000,"*"&amp;$B355&amp;"*",'Timesheet Raw'!$L$4:$L$8000,"&gt;="&amp;L$5,'Timesheet Raw'!$L$4:$L$8000,"&lt;="&amp;L$6)))/'Profit Plan'!$B$5)</f>
        <v>0</v>
      </c>
      <c r="M355" s="122">
        <f>IF($A355="","",(IF(ISNUMBER(SEARCH("Proposal",$A355)),SUMIFS('Timesheet Raw'!$P$4:$P$8000,'Timesheet Raw'!$A$4:$A$8000,IF(ISNUMBER(SEARCH("Chargable",$A355)),"2-Proposals Chargeable","3-Proposals Regular"),'Timesheet Raw'!$C$4:$C$8000,"*"&amp;$B355&amp;"*",'Timesheet Raw'!$L$4:$L$8000,"&gt;="&amp;MAX(M$5,DATE(2000+VALUE(RIGHT(TRIM($A355),2)),1,1)),'Timesheet Raw'!$L$4:$L$8000,"&lt;="&amp;MIN(M$6,DATE(2000+VALUE(RIGHT(TRIM($A355),2)),12,31))),SUMIFS('Timesheet Raw'!$P$4:$P$8000,'Timesheet Raw'!$B$4:$B$8000,TRIM($A355),'Timesheet Raw'!$C$4:$C$8000,"*"&amp;$B355&amp;"*",'Timesheet Raw'!$L$4:$L$8000,"&gt;="&amp;M$5,'Timesheet Raw'!$L$4:$L$8000,"&lt;="&amp;M$6)))/'Profit Plan'!$B$5)</f>
        <v>0.1891891891891892</v>
      </c>
      <c r="N355" s="122">
        <f>IF($A355="","",(IF(ISNUMBER(SEARCH("Proposal",$A355)),SUMIFS('Timesheet Raw'!$P$4:$P$8000,'Timesheet Raw'!$A$4:$A$8000,IF(ISNUMBER(SEARCH("Chargable",$A355)),"2-Proposals Chargeable","3-Proposals Regular"),'Timesheet Raw'!$C$4:$C$8000,"*"&amp;$B355&amp;"*",'Timesheet Raw'!$L$4:$L$8000,"&gt;="&amp;MAX(N$5,DATE(2000+VALUE(RIGHT(TRIM($A355),2)),1,1)),'Timesheet Raw'!$L$4:$L$8000,"&lt;="&amp;MIN(N$6,DATE(2000+VALUE(RIGHT(TRIM($A355),2)),12,31))),SUMIFS('Timesheet Raw'!$P$4:$P$8000,'Timesheet Raw'!$B$4:$B$8000,TRIM($A355),'Timesheet Raw'!$C$4:$C$8000,"*"&amp;$B355&amp;"*",'Timesheet Raw'!$L$4:$L$8000,"&gt;="&amp;N$5,'Timesheet Raw'!$L$4:$L$8000,"&lt;="&amp;N$6)))/'Profit Plan'!$B$5)</f>
        <v>0</v>
      </c>
      <c r="O355" s="122">
        <f>IF($A355="","",(IF(ISNUMBER(SEARCH("Proposal",$A355)),SUMIFS('Timesheet Raw'!$P$4:$P$8000,'Timesheet Raw'!$A$4:$A$8000,IF(ISNUMBER(SEARCH("Chargable",$A355)),"2-Proposals Chargeable","3-Proposals Regular"),'Timesheet Raw'!$C$4:$C$8000,"*"&amp;$B355&amp;"*",'Timesheet Raw'!$L$4:$L$8000,"&gt;="&amp;MAX(O$5,DATE(2000+VALUE(RIGHT(TRIM($A355),2)),1,1)),'Timesheet Raw'!$L$4:$L$8000,"&lt;="&amp;MIN(O$6,DATE(2000+VALUE(RIGHT(TRIM($A355),2)),12,31))),SUMIFS('Timesheet Raw'!$P$4:$P$8000,'Timesheet Raw'!$B$4:$B$8000,TRIM($A355),'Timesheet Raw'!$C$4:$C$8000,"*"&amp;$B355&amp;"*",'Timesheet Raw'!$L$4:$L$8000,"&gt;="&amp;O$5,'Timesheet Raw'!$L$4:$L$8000,"&lt;="&amp;O$6)))/'Profit Plan'!$B$5)</f>
        <v>0</v>
      </c>
      <c r="P355" s="122">
        <f>IF($A355="","",(IF(ISNUMBER(SEARCH("Proposal",$A355)),SUMIFS('Timesheet Raw'!$P$4:$P$8000,'Timesheet Raw'!$A$4:$A$8000,IF(ISNUMBER(SEARCH("Chargable",$A355)),"2-Proposals Chargeable","3-Proposals Regular"),'Timesheet Raw'!$C$4:$C$8000,"*"&amp;$B355&amp;"*",'Timesheet Raw'!$L$4:$L$8000,"&gt;="&amp;MAX(P$5,DATE(2000+VALUE(RIGHT(TRIM($A355),2)),1,1)),'Timesheet Raw'!$L$4:$L$8000,"&lt;="&amp;MIN(P$6,DATE(2000+VALUE(RIGHT(TRIM($A355),2)),12,31))),SUMIFS('Timesheet Raw'!$P$4:$P$8000,'Timesheet Raw'!$B$4:$B$8000,TRIM($A355),'Timesheet Raw'!$C$4:$C$8000,"*"&amp;$B355&amp;"*",'Timesheet Raw'!$L$4:$L$8000,"&gt;="&amp;P$5,'Timesheet Raw'!$L$4:$L$8000,"&lt;="&amp;P$6)))/'Profit Plan'!$B$5)</f>
        <v>0</v>
      </c>
      <c r="Q355" s="122">
        <f>IF($A355="","",(IF(ISNUMBER(SEARCH("Proposal",$A355)),SUMIFS('Timesheet Raw'!$P$4:$P$8000,'Timesheet Raw'!$A$4:$A$8000,IF(ISNUMBER(SEARCH("Chargable",$A355)),"2-Proposals Chargeable","3-Proposals Regular"),'Timesheet Raw'!$C$4:$C$8000,"*"&amp;$B355&amp;"*",'Timesheet Raw'!$L$4:$L$8000,"&gt;="&amp;MAX(Q$5,DATE(2000+VALUE(RIGHT(TRIM($A355),2)),1,1)),'Timesheet Raw'!$L$4:$L$8000,"&lt;="&amp;MIN(Q$6,DATE(2000+VALUE(RIGHT(TRIM($A355),2)),12,31))),SUMIFS('Timesheet Raw'!$P$4:$P$8000,'Timesheet Raw'!$B$4:$B$8000,TRIM($A355),'Timesheet Raw'!$C$4:$C$8000,"*"&amp;$B355&amp;"*",'Timesheet Raw'!$L$4:$L$8000,"&gt;="&amp;Q$5,'Timesheet Raw'!$L$4:$L$8000,"&lt;="&amp;Q$6)))/'Profit Plan'!$B$5)</f>
        <v>0</v>
      </c>
      <c r="R355" s="122">
        <f>IF($A355="","",(IF(ISNUMBER(SEARCH("Proposal",$A355)),SUMIFS('Timesheet Raw'!$P$4:$P$8000,'Timesheet Raw'!$A$4:$A$8000,IF(ISNUMBER(SEARCH("Chargable",$A355)),"2-Proposals Chargeable","3-Proposals Regular"),'Timesheet Raw'!$C$4:$C$8000,"*"&amp;$B355&amp;"*",'Timesheet Raw'!$L$4:$L$8000,"&gt;="&amp;MAX(R$5,DATE(2000+VALUE(RIGHT(TRIM($A355),2)),1,1)),'Timesheet Raw'!$L$4:$L$8000,"&lt;="&amp;MIN(R$6,DATE(2000+VALUE(RIGHT(TRIM($A355),2)),12,31))),SUMIFS('Timesheet Raw'!$P$4:$P$8000,'Timesheet Raw'!$B$4:$B$8000,TRIM($A355),'Timesheet Raw'!$C$4:$C$8000,"*"&amp;$B355&amp;"*",'Timesheet Raw'!$L$4:$L$8000,"&gt;="&amp;R$5,'Timesheet Raw'!$L$4:$L$8000,"&lt;="&amp;R$6)))/'Profit Plan'!$B$5)</f>
        <v>0</v>
      </c>
      <c r="S355" s="122">
        <f>IF($A355="","",(IF(ISNUMBER(SEARCH("Proposal",$A355)),SUMIFS('Timesheet Raw'!$P$4:$P$8000,'Timesheet Raw'!$A$4:$A$8000,IF(ISNUMBER(SEARCH("Chargable",$A355)),"2-Proposals Chargeable","3-Proposals Regular"),'Timesheet Raw'!$C$4:$C$8000,"*"&amp;$B355&amp;"*",'Timesheet Raw'!$L$4:$L$8000,"&gt;="&amp;MAX(S$5,DATE(2000+VALUE(RIGHT(TRIM($A355),2)),1,1)),'Timesheet Raw'!$L$4:$L$8000,"&lt;="&amp;MIN(S$6,DATE(2000+VALUE(RIGHT(TRIM($A355),2)),12,31))),SUMIFS('Timesheet Raw'!$P$4:$P$8000,'Timesheet Raw'!$B$4:$B$8000,TRIM($A355),'Timesheet Raw'!$C$4:$C$8000,"*"&amp;$B355&amp;"*",'Timesheet Raw'!$L$4:$L$8000,"&gt;="&amp;S$5,'Timesheet Raw'!$L$4:$L$8000,"&lt;="&amp;S$6)))/'Profit Plan'!$B$5)</f>
        <v>0</v>
      </c>
      <c r="T355" s="122">
        <f>IF($A355="","",(IF(ISNUMBER(SEARCH("Proposal",$A355)),SUMIFS('Timesheet Raw'!$P$4:$P$8000,'Timesheet Raw'!$A$4:$A$8000,IF(ISNUMBER(SEARCH("Chargable",$A355)),"2-Proposals Chargeable","3-Proposals Regular"),'Timesheet Raw'!$C$4:$C$8000,"*"&amp;$B355&amp;"*",'Timesheet Raw'!$L$4:$L$8000,"&gt;="&amp;MAX(T$5,DATE(2000+VALUE(RIGHT(TRIM($A355),2)),1,1)),'Timesheet Raw'!$L$4:$L$8000,"&lt;="&amp;MIN(T$6,DATE(2000+VALUE(RIGHT(TRIM($A355),2)),12,31))),SUMIFS('Timesheet Raw'!$P$4:$P$8000,'Timesheet Raw'!$B$4:$B$8000,TRIM($A355),'Timesheet Raw'!$C$4:$C$8000,"*"&amp;$B355&amp;"*",'Timesheet Raw'!$L$4:$L$8000,"&gt;="&amp;T$5,'Timesheet Raw'!$L$4:$L$8000,"&lt;="&amp;T$6)))/'Profit Plan'!$B$5)</f>
        <v>0</v>
      </c>
      <c r="U355" s="122">
        <f>IF($A355="","",(IF(ISNUMBER(SEARCH("Proposal",$A355)),SUMIFS('Timesheet Raw'!$P$4:$P$8000,'Timesheet Raw'!$A$4:$A$8000,IF(ISNUMBER(SEARCH("Chargable",$A355)),"2-Proposals Chargeable","3-Proposals Regular"),'Timesheet Raw'!$C$4:$C$8000,"*"&amp;$B355&amp;"*",'Timesheet Raw'!$L$4:$L$8000,"&gt;="&amp;MAX(U$5,DATE(2000+VALUE(RIGHT(TRIM($A355),2)),1,1)),'Timesheet Raw'!$L$4:$L$8000,"&lt;="&amp;MIN(U$6,DATE(2000+VALUE(RIGHT(TRIM($A355),2)),12,31))),SUMIFS('Timesheet Raw'!$P$4:$P$8000,'Timesheet Raw'!$B$4:$B$8000,TRIM($A355),'Timesheet Raw'!$C$4:$C$8000,"*"&amp;$B355&amp;"*",'Timesheet Raw'!$L$4:$L$8000,"&gt;="&amp;U$5,'Timesheet Raw'!$L$4:$L$8000,"&lt;="&amp;U$6)))/'Profit Plan'!$B$5)</f>
        <v>0</v>
      </c>
      <c r="V355" s="122">
        <f>IF($A355="","",(IF(ISNUMBER(SEARCH("Proposal",$A355)),SUMIFS('Timesheet Raw'!$P$4:$P$8000,'Timesheet Raw'!$A$4:$A$8000,IF(ISNUMBER(SEARCH("Chargable",$A355)),"2-Proposals Chargeable","3-Proposals Regular"),'Timesheet Raw'!$C$4:$C$8000,"*"&amp;$B355&amp;"*",'Timesheet Raw'!$L$4:$L$8000,"&gt;="&amp;MAX(V$5,DATE(2000+VALUE(RIGHT(TRIM($A355),2)),1,1)),'Timesheet Raw'!$L$4:$L$8000,"&lt;="&amp;MIN(V$6,DATE(2000+VALUE(RIGHT(TRIM($A355),2)),12,31))),SUMIFS('Timesheet Raw'!$P$4:$P$8000,'Timesheet Raw'!$B$4:$B$8000,TRIM($A355),'Timesheet Raw'!$C$4:$C$8000,"*"&amp;$B355&amp;"*",'Timesheet Raw'!$L$4:$L$8000,"&gt;="&amp;V$5,'Timesheet Raw'!$L$4:$L$8000,"&lt;="&amp;V$6)))/'Profit Plan'!$B$5)</f>
        <v>0</v>
      </c>
      <c r="W355" s="122">
        <f>IF($A355="","",(IF(ISNUMBER(SEARCH("Proposal",$A355)),SUMIFS('Timesheet Raw'!$P$4:$P$8000,'Timesheet Raw'!$A$4:$A$8000,IF(ISNUMBER(SEARCH("Chargable",$A355)),"2-Proposals Chargeable","3-Proposals Regular"),'Timesheet Raw'!$C$4:$C$8000,"*"&amp;$B355&amp;"*",'Timesheet Raw'!$L$4:$L$8000,"&gt;="&amp;MAX(W$5,DATE(2000+VALUE(RIGHT(TRIM($A355),2)),1,1)),'Timesheet Raw'!$L$4:$L$8000,"&lt;="&amp;MIN(W$6,DATE(2000+VALUE(RIGHT(TRIM($A355),2)),12,31))),SUMIFS('Timesheet Raw'!$P$4:$P$8000,'Timesheet Raw'!$B$4:$B$8000,TRIM($A355),'Timesheet Raw'!$C$4:$C$8000,"*"&amp;$B355&amp;"*",'Timesheet Raw'!$L$4:$L$8000,"&gt;="&amp;W$5,'Timesheet Raw'!$L$4:$L$8000,"&lt;="&amp;W$6)))/'Profit Plan'!$B$5)</f>
        <v>0</v>
      </c>
      <c r="X355" s="122">
        <f>IF($A355="","",(IF(ISNUMBER(SEARCH("Proposal",$A355)),SUMIFS('Timesheet Raw'!$P$4:$P$8000,'Timesheet Raw'!$A$4:$A$8000,IF(ISNUMBER(SEARCH("Chargable",$A355)),"2-Proposals Chargeable","3-Proposals Regular"),'Timesheet Raw'!$C$4:$C$8000,"*"&amp;$B355&amp;"*",'Timesheet Raw'!$L$4:$L$8000,"&gt;="&amp;MAX(X$5,DATE(2000+VALUE(RIGHT(TRIM($A355),2)),1,1)),'Timesheet Raw'!$L$4:$L$8000,"&lt;="&amp;MIN(X$6,DATE(2000+VALUE(RIGHT(TRIM($A355),2)),12,31))),SUMIFS('Timesheet Raw'!$P$4:$P$8000,'Timesheet Raw'!$B$4:$B$8000,TRIM($A355),'Timesheet Raw'!$C$4:$C$8000,"*"&amp;$B355&amp;"*",'Timesheet Raw'!$L$4:$L$8000,"&gt;="&amp;X$5,'Timesheet Raw'!$L$4:$L$8000,"&lt;="&amp;X$6)))/'Profit Plan'!$B$5)</f>
        <v>0</v>
      </c>
      <c r="Y355" s="118">
        <f t="shared" si="101"/>
        <v>0.98648648648648662</v>
      </c>
    </row>
    <row r="356" spans="1:25" x14ac:dyDescent="0.3">
      <c r="A356" s="116" t="str">
        <f>IF(Inputs!$A36="","",Inputs!$A36)</f>
        <v>N23106-0100D</v>
      </c>
      <c r="B356" s="116" t="str">
        <f>IF(Inputs!$A36="","",Inputs!$A$92)</f>
        <v>Osama</v>
      </c>
      <c r="C356" s="116"/>
      <c r="D356" s="122">
        <f>IF($A356="","",(IF(ISNUMBER(SEARCH("Proposal",$A356)),SUMIFS('Timesheet Raw'!$P$4:$P$8000,'Timesheet Raw'!$A$4:$A$8000,IF(ISNUMBER(SEARCH("Chargable",$A356)),"2-Proposals Chargeable","3-Proposals Regular"),'Timesheet Raw'!$C$4:$C$8000,"*"&amp;$B356&amp;"*",'Timesheet Raw'!$L$4:$L$8000,"&gt;="&amp;MAX(D$5,DATE(2000+VALUE(RIGHT(TRIM($A356),2)),1,1)),'Timesheet Raw'!$L$4:$L$8000,"&lt;="&amp;MIN(D$6,DATE(2000+VALUE(RIGHT(TRIM($A356),2)),12,31))),SUMIFS('Timesheet Raw'!$P$4:$P$8000,'Timesheet Raw'!$B$4:$B$8000,TRIM($A356),'Timesheet Raw'!$C$4:$C$8000,"*"&amp;$B356&amp;"*",'Timesheet Raw'!$L$4:$L$8000,"&gt;="&amp;D$5,'Timesheet Raw'!$L$4:$L$8000,"&lt;="&amp;D$6)))/'Profit Plan'!$B$5)</f>
        <v>0</v>
      </c>
      <c r="E356" s="122">
        <f>IF($A356="","",(IF(ISNUMBER(SEARCH("Proposal",$A356)),SUMIFS('Timesheet Raw'!$P$4:$P$8000,'Timesheet Raw'!$A$4:$A$8000,IF(ISNUMBER(SEARCH("Chargable",$A356)),"2-Proposals Chargeable","3-Proposals Regular"),'Timesheet Raw'!$C$4:$C$8000,"*"&amp;$B356&amp;"*",'Timesheet Raw'!$L$4:$L$8000,"&gt;="&amp;MAX(E$5,DATE(2000+VALUE(RIGHT(TRIM($A356),2)),1,1)),'Timesheet Raw'!$L$4:$L$8000,"&lt;="&amp;MIN(E$6,DATE(2000+VALUE(RIGHT(TRIM($A356),2)),12,31))),SUMIFS('Timesheet Raw'!$P$4:$P$8000,'Timesheet Raw'!$B$4:$B$8000,TRIM($A356),'Timesheet Raw'!$C$4:$C$8000,"*"&amp;$B356&amp;"*",'Timesheet Raw'!$L$4:$L$8000,"&gt;="&amp;E$5,'Timesheet Raw'!$L$4:$L$8000,"&lt;="&amp;E$6)))/'Profit Plan'!$B$5)</f>
        <v>0</v>
      </c>
      <c r="F356" s="122">
        <f>IF($A356="","",(IF(ISNUMBER(SEARCH("Proposal",$A356)),SUMIFS('Timesheet Raw'!$P$4:$P$8000,'Timesheet Raw'!$A$4:$A$8000,IF(ISNUMBER(SEARCH("Chargable",$A356)),"2-Proposals Chargeable","3-Proposals Regular"),'Timesheet Raw'!$C$4:$C$8000,"*"&amp;$B356&amp;"*",'Timesheet Raw'!$L$4:$L$8000,"&gt;="&amp;MAX(F$5,DATE(2000+VALUE(RIGHT(TRIM($A356),2)),1,1)),'Timesheet Raw'!$L$4:$L$8000,"&lt;="&amp;MIN(F$6,DATE(2000+VALUE(RIGHT(TRIM($A356),2)),12,31))),SUMIFS('Timesheet Raw'!$P$4:$P$8000,'Timesheet Raw'!$B$4:$B$8000,TRIM($A356),'Timesheet Raw'!$C$4:$C$8000,"*"&amp;$B356&amp;"*",'Timesheet Raw'!$L$4:$L$8000,"&gt;="&amp;F$5,'Timesheet Raw'!$L$4:$L$8000,"&lt;="&amp;F$6)))/'Profit Plan'!$B$5)</f>
        <v>0</v>
      </c>
      <c r="G356" s="122">
        <f>IF($A356="","",(IF(ISNUMBER(SEARCH("Proposal",$A356)),SUMIFS('Timesheet Raw'!$P$4:$P$8000,'Timesheet Raw'!$A$4:$A$8000,IF(ISNUMBER(SEARCH("Chargable",$A356)),"2-Proposals Chargeable","3-Proposals Regular"),'Timesheet Raw'!$C$4:$C$8000,"*"&amp;$B356&amp;"*",'Timesheet Raw'!$L$4:$L$8000,"&gt;="&amp;MAX(G$5,DATE(2000+VALUE(RIGHT(TRIM($A356),2)),1,1)),'Timesheet Raw'!$L$4:$L$8000,"&lt;="&amp;MIN(G$6,DATE(2000+VALUE(RIGHT(TRIM($A356),2)),12,31))),SUMIFS('Timesheet Raw'!$P$4:$P$8000,'Timesheet Raw'!$B$4:$B$8000,TRIM($A356),'Timesheet Raw'!$C$4:$C$8000,"*"&amp;$B356&amp;"*",'Timesheet Raw'!$L$4:$L$8000,"&gt;="&amp;G$5,'Timesheet Raw'!$L$4:$L$8000,"&lt;="&amp;G$6)))/'Profit Plan'!$B$5)</f>
        <v>1.1283783783783783</v>
      </c>
      <c r="H356" s="122">
        <f>IF($A356="","",(IF(ISNUMBER(SEARCH("Proposal",$A356)),SUMIFS('Timesheet Raw'!$P$4:$P$8000,'Timesheet Raw'!$A$4:$A$8000,IF(ISNUMBER(SEARCH("Chargable",$A356)),"2-Proposals Chargeable","3-Proposals Regular"),'Timesheet Raw'!$C$4:$C$8000,"*"&amp;$B356&amp;"*",'Timesheet Raw'!$L$4:$L$8000,"&gt;="&amp;MAX(H$5,DATE(2000+VALUE(RIGHT(TRIM($A356),2)),1,1)),'Timesheet Raw'!$L$4:$L$8000,"&lt;="&amp;MIN(H$6,DATE(2000+VALUE(RIGHT(TRIM($A356),2)),12,31))),SUMIFS('Timesheet Raw'!$P$4:$P$8000,'Timesheet Raw'!$B$4:$B$8000,TRIM($A356),'Timesheet Raw'!$C$4:$C$8000,"*"&amp;$B356&amp;"*",'Timesheet Raw'!$L$4:$L$8000,"&gt;="&amp;H$5,'Timesheet Raw'!$L$4:$L$8000,"&lt;="&amp;H$6)))/'Profit Plan'!$B$5)</f>
        <v>0.3472972972972973</v>
      </c>
      <c r="I356" s="122">
        <f>IF($A356="","",(IF(ISNUMBER(SEARCH("Proposal",$A356)),SUMIFS('Timesheet Raw'!$P$4:$P$8000,'Timesheet Raw'!$A$4:$A$8000,IF(ISNUMBER(SEARCH("Chargable",$A356)),"2-Proposals Chargeable","3-Proposals Regular"),'Timesheet Raw'!$C$4:$C$8000,"*"&amp;$B356&amp;"*",'Timesheet Raw'!$L$4:$L$8000,"&gt;="&amp;MAX(I$5,DATE(2000+VALUE(RIGHT(TRIM($A356),2)),1,1)),'Timesheet Raw'!$L$4:$L$8000,"&lt;="&amp;MIN(I$6,DATE(2000+VALUE(RIGHT(TRIM($A356),2)),12,31))),SUMIFS('Timesheet Raw'!$P$4:$P$8000,'Timesheet Raw'!$B$4:$B$8000,TRIM($A356),'Timesheet Raw'!$C$4:$C$8000,"*"&amp;$B356&amp;"*",'Timesheet Raw'!$L$4:$L$8000,"&gt;="&amp;I$5,'Timesheet Raw'!$L$4:$L$8000,"&lt;="&amp;I$6)))/'Profit Plan'!$B$5)</f>
        <v>0</v>
      </c>
      <c r="J356" s="122">
        <f>IF($A356="","",(IF(ISNUMBER(SEARCH("Proposal",$A356)),SUMIFS('Timesheet Raw'!$P$4:$P$8000,'Timesheet Raw'!$A$4:$A$8000,IF(ISNUMBER(SEARCH("Chargable",$A356)),"2-Proposals Chargeable","3-Proposals Regular"),'Timesheet Raw'!$C$4:$C$8000,"*"&amp;$B356&amp;"*",'Timesheet Raw'!$L$4:$L$8000,"&gt;="&amp;MAX(J$5,DATE(2000+VALUE(RIGHT(TRIM($A356),2)),1,1)),'Timesheet Raw'!$L$4:$L$8000,"&lt;="&amp;MIN(J$6,DATE(2000+VALUE(RIGHT(TRIM($A356),2)),12,31))),SUMIFS('Timesheet Raw'!$P$4:$P$8000,'Timesheet Raw'!$B$4:$B$8000,TRIM($A356),'Timesheet Raw'!$C$4:$C$8000,"*"&amp;$B356&amp;"*",'Timesheet Raw'!$L$4:$L$8000,"&gt;="&amp;J$5,'Timesheet Raw'!$L$4:$L$8000,"&lt;="&amp;J$6)))/'Profit Plan'!$B$5)</f>
        <v>0</v>
      </c>
      <c r="K356" s="122">
        <f>IF($A356="","",(IF(ISNUMBER(SEARCH("Proposal",$A356)),SUMIFS('Timesheet Raw'!$P$4:$P$8000,'Timesheet Raw'!$A$4:$A$8000,IF(ISNUMBER(SEARCH("Chargable",$A356)),"2-Proposals Chargeable","3-Proposals Regular"),'Timesheet Raw'!$C$4:$C$8000,"*"&amp;$B356&amp;"*",'Timesheet Raw'!$L$4:$L$8000,"&gt;="&amp;MAX(K$5,DATE(2000+VALUE(RIGHT(TRIM($A356),2)),1,1)),'Timesheet Raw'!$L$4:$L$8000,"&lt;="&amp;MIN(K$6,DATE(2000+VALUE(RIGHT(TRIM($A356),2)),12,31))),SUMIFS('Timesheet Raw'!$P$4:$P$8000,'Timesheet Raw'!$B$4:$B$8000,TRIM($A356),'Timesheet Raw'!$C$4:$C$8000,"*"&amp;$B356&amp;"*",'Timesheet Raw'!$L$4:$L$8000,"&gt;="&amp;K$5,'Timesheet Raw'!$L$4:$L$8000,"&lt;="&amp;K$6)))/'Profit Plan'!$B$5)</f>
        <v>0</v>
      </c>
      <c r="L356" s="122">
        <f>IF($A356="","",(IF(ISNUMBER(SEARCH("Proposal",$A356)),SUMIFS('Timesheet Raw'!$P$4:$P$8000,'Timesheet Raw'!$A$4:$A$8000,IF(ISNUMBER(SEARCH("Chargable",$A356)),"2-Proposals Chargeable","3-Proposals Regular"),'Timesheet Raw'!$C$4:$C$8000,"*"&amp;$B356&amp;"*",'Timesheet Raw'!$L$4:$L$8000,"&gt;="&amp;MAX(L$5,DATE(2000+VALUE(RIGHT(TRIM($A356),2)),1,1)),'Timesheet Raw'!$L$4:$L$8000,"&lt;="&amp;MIN(L$6,DATE(2000+VALUE(RIGHT(TRIM($A356),2)),12,31))),SUMIFS('Timesheet Raw'!$P$4:$P$8000,'Timesheet Raw'!$B$4:$B$8000,TRIM($A356),'Timesheet Raw'!$C$4:$C$8000,"*"&amp;$B356&amp;"*",'Timesheet Raw'!$L$4:$L$8000,"&gt;="&amp;L$5,'Timesheet Raw'!$L$4:$L$8000,"&lt;="&amp;L$6)))/'Profit Plan'!$B$5)</f>
        <v>3.2432432432432434E-2</v>
      </c>
      <c r="M356" s="122">
        <f>IF($A356="","",(IF(ISNUMBER(SEARCH("Proposal",$A356)),SUMIFS('Timesheet Raw'!$P$4:$P$8000,'Timesheet Raw'!$A$4:$A$8000,IF(ISNUMBER(SEARCH("Chargable",$A356)),"2-Proposals Chargeable","3-Proposals Regular"),'Timesheet Raw'!$C$4:$C$8000,"*"&amp;$B356&amp;"*",'Timesheet Raw'!$L$4:$L$8000,"&gt;="&amp;MAX(M$5,DATE(2000+VALUE(RIGHT(TRIM($A356),2)),1,1)),'Timesheet Raw'!$L$4:$L$8000,"&lt;="&amp;MIN(M$6,DATE(2000+VALUE(RIGHT(TRIM($A356),2)),12,31))),SUMIFS('Timesheet Raw'!$P$4:$P$8000,'Timesheet Raw'!$B$4:$B$8000,TRIM($A356),'Timesheet Raw'!$C$4:$C$8000,"*"&amp;$B356&amp;"*",'Timesheet Raw'!$L$4:$L$8000,"&gt;="&amp;M$5,'Timesheet Raw'!$L$4:$L$8000,"&lt;="&amp;M$6)))/'Profit Plan'!$B$5)</f>
        <v>0.25135135135135134</v>
      </c>
      <c r="N356" s="122">
        <f>IF($A356="","",(IF(ISNUMBER(SEARCH("Proposal",$A356)),SUMIFS('Timesheet Raw'!$P$4:$P$8000,'Timesheet Raw'!$A$4:$A$8000,IF(ISNUMBER(SEARCH("Chargable",$A356)),"2-Proposals Chargeable","3-Proposals Regular"),'Timesheet Raw'!$C$4:$C$8000,"*"&amp;$B356&amp;"*",'Timesheet Raw'!$L$4:$L$8000,"&gt;="&amp;MAX(N$5,DATE(2000+VALUE(RIGHT(TRIM($A356),2)),1,1)),'Timesheet Raw'!$L$4:$L$8000,"&lt;="&amp;MIN(N$6,DATE(2000+VALUE(RIGHT(TRIM($A356),2)),12,31))),SUMIFS('Timesheet Raw'!$P$4:$P$8000,'Timesheet Raw'!$B$4:$B$8000,TRIM($A356),'Timesheet Raw'!$C$4:$C$8000,"*"&amp;$B356&amp;"*",'Timesheet Raw'!$L$4:$L$8000,"&gt;="&amp;N$5,'Timesheet Raw'!$L$4:$L$8000,"&lt;="&amp;N$6)))/'Profit Plan'!$B$5)</f>
        <v>0</v>
      </c>
      <c r="O356" s="122">
        <f>IF($A356="","",(IF(ISNUMBER(SEARCH("Proposal",$A356)),SUMIFS('Timesheet Raw'!$P$4:$P$8000,'Timesheet Raw'!$A$4:$A$8000,IF(ISNUMBER(SEARCH("Chargable",$A356)),"2-Proposals Chargeable","3-Proposals Regular"),'Timesheet Raw'!$C$4:$C$8000,"*"&amp;$B356&amp;"*",'Timesheet Raw'!$L$4:$L$8000,"&gt;="&amp;MAX(O$5,DATE(2000+VALUE(RIGHT(TRIM($A356),2)),1,1)),'Timesheet Raw'!$L$4:$L$8000,"&lt;="&amp;MIN(O$6,DATE(2000+VALUE(RIGHT(TRIM($A356),2)),12,31))),SUMIFS('Timesheet Raw'!$P$4:$P$8000,'Timesheet Raw'!$B$4:$B$8000,TRIM($A356),'Timesheet Raw'!$C$4:$C$8000,"*"&amp;$B356&amp;"*",'Timesheet Raw'!$L$4:$L$8000,"&gt;="&amp;O$5,'Timesheet Raw'!$L$4:$L$8000,"&lt;="&amp;O$6)))/'Profit Plan'!$B$5)</f>
        <v>0</v>
      </c>
      <c r="P356" s="122">
        <f>IF($A356="","",(IF(ISNUMBER(SEARCH("Proposal",$A356)),SUMIFS('Timesheet Raw'!$P$4:$P$8000,'Timesheet Raw'!$A$4:$A$8000,IF(ISNUMBER(SEARCH("Chargable",$A356)),"2-Proposals Chargeable","3-Proposals Regular"),'Timesheet Raw'!$C$4:$C$8000,"*"&amp;$B356&amp;"*",'Timesheet Raw'!$L$4:$L$8000,"&gt;="&amp;MAX(P$5,DATE(2000+VALUE(RIGHT(TRIM($A356),2)),1,1)),'Timesheet Raw'!$L$4:$L$8000,"&lt;="&amp;MIN(P$6,DATE(2000+VALUE(RIGHT(TRIM($A356),2)),12,31))),SUMIFS('Timesheet Raw'!$P$4:$P$8000,'Timesheet Raw'!$B$4:$B$8000,TRIM($A356),'Timesheet Raw'!$C$4:$C$8000,"*"&amp;$B356&amp;"*",'Timesheet Raw'!$L$4:$L$8000,"&gt;="&amp;P$5,'Timesheet Raw'!$L$4:$L$8000,"&lt;="&amp;P$6)))/'Profit Plan'!$B$5)</f>
        <v>0</v>
      </c>
      <c r="Q356" s="122">
        <f>IF($A356="","",(IF(ISNUMBER(SEARCH("Proposal",$A356)),SUMIFS('Timesheet Raw'!$P$4:$P$8000,'Timesheet Raw'!$A$4:$A$8000,IF(ISNUMBER(SEARCH("Chargable",$A356)),"2-Proposals Chargeable","3-Proposals Regular"),'Timesheet Raw'!$C$4:$C$8000,"*"&amp;$B356&amp;"*",'Timesheet Raw'!$L$4:$L$8000,"&gt;="&amp;MAX(Q$5,DATE(2000+VALUE(RIGHT(TRIM($A356),2)),1,1)),'Timesheet Raw'!$L$4:$L$8000,"&lt;="&amp;MIN(Q$6,DATE(2000+VALUE(RIGHT(TRIM($A356),2)),12,31))),SUMIFS('Timesheet Raw'!$P$4:$P$8000,'Timesheet Raw'!$B$4:$B$8000,TRIM($A356),'Timesheet Raw'!$C$4:$C$8000,"*"&amp;$B356&amp;"*",'Timesheet Raw'!$L$4:$L$8000,"&gt;="&amp;Q$5,'Timesheet Raw'!$L$4:$L$8000,"&lt;="&amp;Q$6)))/'Profit Plan'!$B$5)</f>
        <v>0</v>
      </c>
      <c r="R356" s="122">
        <f>IF($A356="","",(IF(ISNUMBER(SEARCH("Proposal",$A356)),SUMIFS('Timesheet Raw'!$P$4:$P$8000,'Timesheet Raw'!$A$4:$A$8000,IF(ISNUMBER(SEARCH("Chargable",$A356)),"2-Proposals Chargeable","3-Proposals Regular"),'Timesheet Raw'!$C$4:$C$8000,"*"&amp;$B356&amp;"*",'Timesheet Raw'!$L$4:$L$8000,"&gt;="&amp;MAX(R$5,DATE(2000+VALUE(RIGHT(TRIM($A356),2)),1,1)),'Timesheet Raw'!$L$4:$L$8000,"&lt;="&amp;MIN(R$6,DATE(2000+VALUE(RIGHT(TRIM($A356),2)),12,31))),SUMIFS('Timesheet Raw'!$P$4:$P$8000,'Timesheet Raw'!$B$4:$B$8000,TRIM($A356),'Timesheet Raw'!$C$4:$C$8000,"*"&amp;$B356&amp;"*",'Timesheet Raw'!$L$4:$L$8000,"&gt;="&amp;R$5,'Timesheet Raw'!$L$4:$L$8000,"&lt;="&amp;R$6)))/'Profit Plan'!$B$5)</f>
        <v>0</v>
      </c>
      <c r="S356" s="122">
        <f>IF($A356="","",(IF(ISNUMBER(SEARCH("Proposal",$A356)),SUMIFS('Timesheet Raw'!$P$4:$P$8000,'Timesheet Raw'!$A$4:$A$8000,IF(ISNUMBER(SEARCH("Chargable",$A356)),"2-Proposals Chargeable","3-Proposals Regular"),'Timesheet Raw'!$C$4:$C$8000,"*"&amp;$B356&amp;"*",'Timesheet Raw'!$L$4:$L$8000,"&gt;="&amp;MAX(S$5,DATE(2000+VALUE(RIGHT(TRIM($A356),2)),1,1)),'Timesheet Raw'!$L$4:$L$8000,"&lt;="&amp;MIN(S$6,DATE(2000+VALUE(RIGHT(TRIM($A356),2)),12,31))),SUMIFS('Timesheet Raw'!$P$4:$P$8000,'Timesheet Raw'!$B$4:$B$8000,TRIM($A356),'Timesheet Raw'!$C$4:$C$8000,"*"&amp;$B356&amp;"*",'Timesheet Raw'!$L$4:$L$8000,"&gt;="&amp;S$5,'Timesheet Raw'!$L$4:$L$8000,"&lt;="&amp;S$6)))/'Profit Plan'!$B$5)</f>
        <v>0</v>
      </c>
      <c r="T356" s="122">
        <f>IF($A356="","",(IF(ISNUMBER(SEARCH("Proposal",$A356)),SUMIFS('Timesheet Raw'!$P$4:$P$8000,'Timesheet Raw'!$A$4:$A$8000,IF(ISNUMBER(SEARCH("Chargable",$A356)),"2-Proposals Chargeable","3-Proposals Regular"),'Timesheet Raw'!$C$4:$C$8000,"*"&amp;$B356&amp;"*",'Timesheet Raw'!$L$4:$L$8000,"&gt;="&amp;MAX(T$5,DATE(2000+VALUE(RIGHT(TRIM($A356),2)),1,1)),'Timesheet Raw'!$L$4:$L$8000,"&lt;="&amp;MIN(T$6,DATE(2000+VALUE(RIGHT(TRIM($A356),2)),12,31))),SUMIFS('Timesheet Raw'!$P$4:$P$8000,'Timesheet Raw'!$B$4:$B$8000,TRIM($A356),'Timesheet Raw'!$C$4:$C$8000,"*"&amp;$B356&amp;"*",'Timesheet Raw'!$L$4:$L$8000,"&gt;="&amp;T$5,'Timesheet Raw'!$L$4:$L$8000,"&lt;="&amp;T$6)))/'Profit Plan'!$B$5)</f>
        <v>0</v>
      </c>
      <c r="U356" s="122">
        <f>IF($A356="","",(IF(ISNUMBER(SEARCH("Proposal",$A356)),SUMIFS('Timesheet Raw'!$P$4:$P$8000,'Timesheet Raw'!$A$4:$A$8000,IF(ISNUMBER(SEARCH("Chargable",$A356)),"2-Proposals Chargeable","3-Proposals Regular"),'Timesheet Raw'!$C$4:$C$8000,"*"&amp;$B356&amp;"*",'Timesheet Raw'!$L$4:$L$8000,"&gt;="&amp;MAX(U$5,DATE(2000+VALUE(RIGHT(TRIM($A356),2)),1,1)),'Timesheet Raw'!$L$4:$L$8000,"&lt;="&amp;MIN(U$6,DATE(2000+VALUE(RIGHT(TRIM($A356),2)),12,31))),SUMIFS('Timesheet Raw'!$P$4:$P$8000,'Timesheet Raw'!$B$4:$B$8000,TRIM($A356),'Timesheet Raw'!$C$4:$C$8000,"*"&amp;$B356&amp;"*",'Timesheet Raw'!$L$4:$L$8000,"&gt;="&amp;U$5,'Timesheet Raw'!$L$4:$L$8000,"&lt;="&amp;U$6)))/'Profit Plan'!$B$5)</f>
        <v>0</v>
      </c>
      <c r="V356" s="122">
        <f>IF($A356="","",(IF(ISNUMBER(SEARCH("Proposal",$A356)),SUMIFS('Timesheet Raw'!$P$4:$P$8000,'Timesheet Raw'!$A$4:$A$8000,IF(ISNUMBER(SEARCH("Chargable",$A356)),"2-Proposals Chargeable","3-Proposals Regular"),'Timesheet Raw'!$C$4:$C$8000,"*"&amp;$B356&amp;"*",'Timesheet Raw'!$L$4:$L$8000,"&gt;="&amp;MAX(V$5,DATE(2000+VALUE(RIGHT(TRIM($A356),2)),1,1)),'Timesheet Raw'!$L$4:$L$8000,"&lt;="&amp;MIN(V$6,DATE(2000+VALUE(RIGHT(TRIM($A356),2)),12,31))),SUMIFS('Timesheet Raw'!$P$4:$P$8000,'Timesheet Raw'!$B$4:$B$8000,TRIM($A356),'Timesheet Raw'!$C$4:$C$8000,"*"&amp;$B356&amp;"*",'Timesheet Raw'!$L$4:$L$8000,"&gt;="&amp;V$5,'Timesheet Raw'!$L$4:$L$8000,"&lt;="&amp;V$6)))/'Profit Plan'!$B$5)</f>
        <v>0</v>
      </c>
      <c r="W356" s="122">
        <f>IF($A356="","",(IF(ISNUMBER(SEARCH("Proposal",$A356)),SUMIFS('Timesheet Raw'!$P$4:$P$8000,'Timesheet Raw'!$A$4:$A$8000,IF(ISNUMBER(SEARCH("Chargable",$A356)),"2-Proposals Chargeable","3-Proposals Regular"),'Timesheet Raw'!$C$4:$C$8000,"*"&amp;$B356&amp;"*",'Timesheet Raw'!$L$4:$L$8000,"&gt;="&amp;MAX(W$5,DATE(2000+VALUE(RIGHT(TRIM($A356),2)),1,1)),'Timesheet Raw'!$L$4:$L$8000,"&lt;="&amp;MIN(W$6,DATE(2000+VALUE(RIGHT(TRIM($A356),2)),12,31))),SUMIFS('Timesheet Raw'!$P$4:$P$8000,'Timesheet Raw'!$B$4:$B$8000,TRIM($A356),'Timesheet Raw'!$C$4:$C$8000,"*"&amp;$B356&amp;"*",'Timesheet Raw'!$L$4:$L$8000,"&gt;="&amp;W$5,'Timesheet Raw'!$L$4:$L$8000,"&lt;="&amp;W$6)))/'Profit Plan'!$B$5)</f>
        <v>0</v>
      </c>
      <c r="X356" s="122">
        <f>IF($A356="","",(IF(ISNUMBER(SEARCH("Proposal",$A356)),SUMIFS('Timesheet Raw'!$P$4:$P$8000,'Timesheet Raw'!$A$4:$A$8000,IF(ISNUMBER(SEARCH("Chargable",$A356)),"2-Proposals Chargeable","3-Proposals Regular"),'Timesheet Raw'!$C$4:$C$8000,"*"&amp;$B356&amp;"*",'Timesheet Raw'!$L$4:$L$8000,"&gt;="&amp;MAX(X$5,DATE(2000+VALUE(RIGHT(TRIM($A356),2)),1,1)),'Timesheet Raw'!$L$4:$L$8000,"&lt;="&amp;MIN(X$6,DATE(2000+VALUE(RIGHT(TRIM($A356),2)),12,31))),SUMIFS('Timesheet Raw'!$P$4:$P$8000,'Timesheet Raw'!$B$4:$B$8000,TRIM($A356),'Timesheet Raw'!$C$4:$C$8000,"*"&amp;$B356&amp;"*",'Timesheet Raw'!$L$4:$L$8000,"&gt;="&amp;X$5,'Timesheet Raw'!$L$4:$L$8000,"&lt;="&amp;X$6)))/'Profit Plan'!$B$5)</f>
        <v>0</v>
      </c>
      <c r="Y356" s="118">
        <f t="shared" si="101"/>
        <v>1.7594594594594595</v>
      </c>
    </row>
    <row r="357" spans="1:25" x14ac:dyDescent="0.3">
      <c r="A357" s="116" t="str">
        <f>IF(Inputs!$A36="","",Inputs!$A36)</f>
        <v>N23106-0100D</v>
      </c>
      <c r="B357" s="116" t="str">
        <f>IF(Inputs!$A36="","",Inputs!$A$93)</f>
        <v>Kirolos</v>
      </c>
      <c r="C357" s="116"/>
      <c r="D357" s="122">
        <f>IF($A357="","",(IF(ISNUMBER(SEARCH("Proposal",$A357)),SUMIFS('Timesheet Raw'!$P$4:$P$8000,'Timesheet Raw'!$A$4:$A$8000,IF(ISNUMBER(SEARCH("Chargable",$A357)),"2-Proposals Chargeable","3-Proposals Regular"),'Timesheet Raw'!$C$4:$C$8000,"*"&amp;$B357&amp;"*",'Timesheet Raw'!$L$4:$L$8000,"&gt;="&amp;MAX(D$5,DATE(2000+VALUE(RIGHT(TRIM($A357),2)),1,1)),'Timesheet Raw'!$L$4:$L$8000,"&lt;="&amp;MIN(D$6,DATE(2000+VALUE(RIGHT(TRIM($A357),2)),12,31))),SUMIFS('Timesheet Raw'!$P$4:$P$8000,'Timesheet Raw'!$B$4:$B$8000,TRIM($A357),'Timesheet Raw'!$C$4:$C$8000,"*"&amp;$B357&amp;"*",'Timesheet Raw'!$L$4:$L$8000,"&gt;="&amp;D$5,'Timesheet Raw'!$L$4:$L$8000,"&lt;="&amp;D$6)))/'Profit Plan'!$B$5)</f>
        <v>0</v>
      </c>
      <c r="E357" s="122">
        <f>IF($A357="","",(IF(ISNUMBER(SEARCH("Proposal",$A357)),SUMIFS('Timesheet Raw'!$P$4:$P$8000,'Timesheet Raw'!$A$4:$A$8000,IF(ISNUMBER(SEARCH("Chargable",$A357)),"2-Proposals Chargeable","3-Proposals Regular"),'Timesheet Raw'!$C$4:$C$8000,"*"&amp;$B357&amp;"*",'Timesheet Raw'!$L$4:$L$8000,"&gt;="&amp;MAX(E$5,DATE(2000+VALUE(RIGHT(TRIM($A357),2)),1,1)),'Timesheet Raw'!$L$4:$L$8000,"&lt;="&amp;MIN(E$6,DATE(2000+VALUE(RIGHT(TRIM($A357),2)),12,31))),SUMIFS('Timesheet Raw'!$P$4:$P$8000,'Timesheet Raw'!$B$4:$B$8000,TRIM($A357),'Timesheet Raw'!$C$4:$C$8000,"*"&amp;$B357&amp;"*",'Timesheet Raw'!$L$4:$L$8000,"&gt;="&amp;E$5,'Timesheet Raw'!$L$4:$L$8000,"&lt;="&amp;E$6)))/'Profit Plan'!$B$5)</f>
        <v>0</v>
      </c>
      <c r="F357" s="122">
        <f>IF($A357="","",(IF(ISNUMBER(SEARCH("Proposal",$A357)),SUMIFS('Timesheet Raw'!$P$4:$P$8000,'Timesheet Raw'!$A$4:$A$8000,IF(ISNUMBER(SEARCH("Chargable",$A357)),"2-Proposals Chargeable","3-Proposals Regular"),'Timesheet Raw'!$C$4:$C$8000,"*"&amp;$B357&amp;"*",'Timesheet Raw'!$L$4:$L$8000,"&gt;="&amp;MAX(F$5,DATE(2000+VALUE(RIGHT(TRIM($A357),2)),1,1)),'Timesheet Raw'!$L$4:$L$8000,"&lt;="&amp;MIN(F$6,DATE(2000+VALUE(RIGHT(TRIM($A357),2)),12,31))),SUMIFS('Timesheet Raw'!$P$4:$P$8000,'Timesheet Raw'!$B$4:$B$8000,TRIM($A357),'Timesheet Raw'!$C$4:$C$8000,"*"&amp;$B357&amp;"*",'Timesheet Raw'!$L$4:$L$8000,"&gt;="&amp;F$5,'Timesheet Raw'!$L$4:$L$8000,"&lt;="&amp;F$6)))/'Profit Plan'!$B$5)</f>
        <v>0</v>
      </c>
      <c r="G357" s="122">
        <f>IF($A357="","",(IF(ISNUMBER(SEARCH("Proposal",$A357)),SUMIFS('Timesheet Raw'!$P$4:$P$8000,'Timesheet Raw'!$A$4:$A$8000,IF(ISNUMBER(SEARCH("Chargable",$A357)),"2-Proposals Chargeable","3-Proposals Regular"),'Timesheet Raw'!$C$4:$C$8000,"*"&amp;$B357&amp;"*",'Timesheet Raw'!$L$4:$L$8000,"&gt;="&amp;MAX(G$5,DATE(2000+VALUE(RIGHT(TRIM($A357),2)),1,1)),'Timesheet Raw'!$L$4:$L$8000,"&lt;="&amp;MIN(G$6,DATE(2000+VALUE(RIGHT(TRIM($A357),2)),12,31))),SUMIFS('Timesheet Raw'!$P$4:$P$8000,'Timesheet Raw'!$B$4:$B$8000,TRIM($A357),'Timesheet Raw'!$C$4:$C$8000,"*"&amp;$B357&amp;"*",'Timesheet Raw'!$L$4:$L$8000,"&gt;="&amp;G$5,'Timesheet Raw'!$L$4:$L$8000,"&lt;="&amp;G$6)))/'Profit Plan'!$B$5)</f>
        <v>0.57567567567567568</v>
      </c>
      <c r="H357" s="122">
        <f>IF($A357="","",(IF(ISNUMBER(SEARCH("Proposal",$A357)),SUMIFS('Timesheet Raw'!$P$4:$P$8000,'Timesheet Raw'!$A$4:$A$8000,IF(ISNUMBER(SEARCH("Chargable",$A357)),"2-Proposals Chargeable","3-Proposals Regular"),'Timesheet Raw'!$C$4:$C$8000,"*"&amp;$B357&amp;"*",'Timesheet Raw'!$L$4:$L$8000,"&gt;="&amp;MAX(H$5,DATE(2000+VALUE(RIGHT(TRIM($A357),2)),1,1)),'Timesheet Raw'!$L$4:$L$8000,"&lt;="&amp;MIN(H$6,DATE(2000+VALUE(RIGHT(TRIM($A357),2)),12,31))),SUMIFS('Timesheet Raw'!$P$4:$P$8000,'Timesheet Raw'!$B$4:$B$8000,TRIM($A357),'Timesheet Raw'!$C$4:$C$8000,"*"&amp;$B357&amp;"*",'Timesheet Raw'!$L$4:$L$8000,"&gt;="&amp;H$5,'Timesheet Raw'!$L$4:$L$8000,"&lt;="&amp;H$6)))/'Profit Plan'!$B$5)</f>
        <v>0</v>
      </c>
      <c r="I357" s="122">
        <f>IF($A357="","",(IF(ISNUMBER(SEARCH("Proposal",$A357)),SUMIFS('Timesheet Raw'!$P$4:$P$8000,'Timesheet Raw'!$A$4:$A$8000,IF(ISNUMBER(SEARCH("Chargable",$A357)),"2-Proposals Chargeable","3-Proposals Regular"),'Timesheet Raw'!$C$4:$C$8000,"*"&amp;$B357&amp;"*",'Timesheet Raw'!$L$4:$L$8000,"&gt;="&amp;MAX(I$5,DATE(2000+VALUE(RIGHT(TRIM($A357),2)),1,1)),'Timesheet Raw'!$L$4:$L$8000,"&lt;="&amp;MIN(I$6,DATE(2000+VALUE(RIGHT(TRIM($A357),2)),12,31))),SUMIFS('Timesheet Raw'!$P$4:$P$8000,'Timesheet Raw'!$B$4:$B$8000,TRIM($A357),'Timesheet Raw'!$C$4:$C$8000,"*"&amp;$B357&amp;"*",'Timesheet Raw'!$L$4:$L$8000,"&gt;="&amp;I$5,'Timesheet Raw'!$L$4:$L$8000,"&lt;="&amp;I$6)))/'Profit Plan'!$B$5)</f>
        <v>0</v>
      </c>
      <c r="J357" s="122">
        <f>IF($A357="","",(IF(ISNUMBER(SEARCH("Proposal",$A357)),SUMIFS('Timesheet Raw'!$P$4:$P$8000,'Timesheet Raw'!$A$4:$A$8000,IF(ISNUMBER(SEARCH("Chargable",$A357)),"2-Proposals Chargeable","3-Proposals Regular"),'Timesheet Raw'!$C$4:$C$8000,"*"&amp;$B357&amp;"*",'Timesheet Raw'!$L$4:$L$8000,"&gt;="&amp;MAX(J$5,DATE(2000+VALUE(RIGHT(TRIM($A357),2)),1,1)),'Timesheet Raw'!$L$4:$L$8000,"&lt;="&amp;MIN(J$6,DATE(2000+VALUE(RIGHT(TRIM($A357),2)),12,31))),SUMIFS('Timesheet Raw'!$P$4:$P$8000,'Timesheet Raw'!$B$4:$B$8000,TRIM($A357),'Timesheet Raw'!$C$4:$C$8000,"*"&amp;$B357&amp;"*",'Timesheet Raw'!$L$4:$L$8000,"&gt;="&amp;J$5,'Timesheet Raw'!$L$4:$L$8000,"&lt;="&amp;J$6)))/'Profit Plan'!$B$5)</f>
        <v>0</v>
      </c>
      <c r="K357" s="122">
        <f>IF($A357="","",(IF(ISNUMBER(SEARCH("Proposal",$A357)),SUMIFS('Timesheet Raw'!$P$4:$P$8000,'Timesheet Raw'!$A$4:$A$8000,IF(ISNUMBER(SEARCH("Chargable",$A357)),"2-Proposals Chargeable","3-Proposals Regular"),'Timesheet Raw'!$C$4:$C$8000,"*"&amp;$B357&amp;"*",'Timesheet Raw'!$L$4:$L$8000,"&gt;="&amp;MAX(K$5,DATE(2000+VALUE(RIGHT(TRIM($A357),2)),1,1)),'Timesheet Raw'!$L$4:$L$8000,"&lt;="&amp;MIN(K$6,DATE(2000+VALUE(RIGHT(TRIM($A357),2)),12,31))),SUMIFS('Timesheet Raw'!$P$4:$P$8000,'Timesheet Raw'!$B$4:$B$8000,TRIM($A357),'Timesheet Raw'!$C$4:$C$8000,"*"&amp;$B357&amp;"*",'Timesheet Raw'!$L$4:$L$8000,"&gt;="&amp;K$5,'Timesheet Raw'!$L$4:$L$8000,"&lt;="&amp;K$6)))/'Profit Plan'!$B$5)</f>
        <v>0</v>
      </c>
      <c r="L357" s="122">
        <f>IF($A357="","",(IF(ISNUMBER(SEARCH("Proposal",$A357)),SUMIFS('Timesheet Raw'!$P$4:$P$8000,'Timesheet Raw'!$A$4:$A$8000,IF(ISNUMBER(SEARCH("Chargable",$A357)),"2-Proposals Chargeable","3-Proposals Regular"),'Timesheet Raw'!$C$4:$C$8000,"*"&amp;$B357&amp;"*",'Timesheet Raw'!$L$4:$L$8000,"&gt;="&amp;MAX(L$5,DATE(2000+VALUE(RIGHT(TRIM($A357),2)),1,1)),'Timesheet Raw'!$L$4:$L$8000,"&lt;="&amp;MIN(L$6,DATE(2000+VALUE(RIGHT(TRIM($A357),2)),12,31))),SUMIFS('Timesheet Raw'!$P$4:$P$8000,'Timesheet Raw'!$B$4:$B$8000,TRIM($A357),'Timesheet Raw'!$C$4:$C$8000,"*"&amp;$B357&amp;"*",'Timesheet Raw'!$L$4:$L$8000,"&gt;="&amp;L$5,'Timesheet Raw'!$L$4:$L$8000,"&lt;="&amp;L$6)))/'Profit Plan'!$B$5)</f>
        <v>0</v>
      </c>
      <c r="M357" s="122">
        <f>IF($A357="","",(IF(ISNUMBER(SEARCH("Proposal",$A357)),SUMIFS('Timesheet Raw'!$P$4:$P$8000,'Timesheet Raw'!$A$4:$A$8000,IF(ISNUMBER(SEARCH("Chargable",$A357)),"2-Proposals Chargeable","3-Proposals Regular"),'Timesheet Raw'!$C$4:$C$8000,"*"&amp;$B357&amp;"*",'Timesheet Raw'!$L$4:$L$8000,"&gt;="&amp;MAX(M$5,DATE(2000+VALUE(RIGHT(TRIM($A357),2)),1,1)),'Timesheet Raw'!$L$4:$L$8000,"&lt;="&amp;MIN(M$6,DATE(2000+VALUE(RIGHT(TRIM($A357),2)),12,31))),SUMIFS('Timesheet Raw'!$P$4:$P$8000,'Timesheet Raw'!$B$4:$B$8000,TRIM($A357),'Timesheet Raw'!$C$4:$C$8000,"*"&amp;$B357&amp;"*",'Timesheet Raw'!$L$4:$L$8000,"&gt;="&amp;M$5,'Timesheet Raw'!$L$4:$L$8000,"&lt;="&amp;M$6)))/'Profit Plan'!$B$5)</f>
        <v>0</v>
      </c>
      <c r="N357" s="122">
        <f>IF($A357="","",(IF(ISNUMBER(SEARCH("Proposal",$A357)),SUMIFS('Timesheet Raw'!$P$4:$P$8000,'Timesheet Raw'!$A$4:$A$8000,IF(ISNUMBER(SEARCH("Chargable",$A357)),"2-Proposals Chargeable","3-Proposals Regular"),'Timesheet Raw'!$C$4:$C$8000,"*"&amp;$B357&amp;"*",'Timesheet Raw'!$L$4:$L$8000,"&gt;="&amp;MAX(N$5,DATE(2000+VALUE(RIGHT(TRIM($A357),2)),1,1)),'Timesheet Raw'!$L$4:$L$8000,"&lt;="&amp;MIN(N$6,DATE(2000+VALUE(RIGHT(TRIM($A357),2)),12,31))),SUMIFS('Timesheet Raw'!$P$4:$P$8000,'Timesheet Raw'!$B$4:$B$8000,TRIM($A357),'Timesheet Raw'!$C$4:$C$8000,"*"&amp;$B357&amp;"*",'Timesheet Raw'!$L$4:$L$8000,"&gt;="&amp;N$5,'Timesheet Raw'!$L$4:$L$8000,"&lt;="&amp;N$6)))/'Profit Plan'!$B$5)</f>
        <v>0</v>
      </c>
      <c r="O357" s="122">
        <f>IF($A357="","",(IF(ISNUMBER(SEARCH("Proposal",$A357)),SUMIFS('Timesheet Raw'!$P$4:$P$8000,'Timesheet Raw'!$A$4:$A$8000,IF(ISNUMBER(SEARCH("Chargable",$A357)),"2-Proposals Chargeable","3-Proposals Regular"),'Timesheet Raw'!$C$4:$C$8000,"*"&amp;$B357&amp;"*",'Timesheet Raw'!$L$4:$L$8000,"&gt;="&amp;MAX(O$5,DATE(2000+VALUE(RIGHT(TRIM($A357),2)),1,1)),'Timesheet Raw'!$L$4:$L$8000,"&lt;="&amp;MIN(O$6,DATE(2000+VALUE(RIGHT(TRIM($A357),2)),12,31))),SUMIFS('Timesheet Raw'!$P$4:$P$8000,'Timesheet Raw'!$B$4:$B$8000,TRIM($A357),'Timesheet Raw'!$C$4:$C$8000,"*"&amp;$B357&amp;"*",'Timesheet Raw'!$L$4:$L$8000,"&gt;="&amp;O$5,'Timesheet Raw'!$L$4:$L$8000,"&lt;="&amp;O$6)))/'Profit Plan'!$B$5)</f>
        <v>0</v>
      </c>
      <c r="P357" s="122">
        <f>IF($A357="","",(IF(ISNUMBER(SEARCH("Proposal",$A357)),SUMIFS('Timesheet Raw'!$P$4:$P$8000,'Timesheet Raw'!$A$4:$A$8000,IF(ISNUMBER(SEARCH("Chargable",$A357)),"2-Proposals Chargeable","3-Proposals Regular"),'Timesheet Raw'!$C$4:$C$8000,"*"&amp;$B357&amp;"*",'Timesheet Raw'!$L$4:$L$8000,"&gt;="&amp;MAX(P$5,DATE(2000+VALUE(RIGHT(TRIM($A357),2)),1,1)),'Timesheet Raw'!$L$4:$L$8000,"&lt;="&amp;MIN(P$6,DATE(2000+VALUE(RIGHT(TRIM($A357),2)),12,31))),SUMIFS('Timesheet Raw'!$P$4:$P$8000,'Timesheet Raw'!$B$4:$B$8000,TRIM($A357),'Timesheet Raw'!$C$4:$C$8000,"*"&amp;$B357&amp;"*",'Timesheet Raw'!$L$4:$L$8000,"&gt;="&amp;P$5,'Timesheet Raw'!$L$4:$L$8000,"&lt;="&amp;P$6)))/'Profit Plan'!$B$5)</f>
        <v>0</v>
      </c>
      <c r="Q357" s="122">
        <f>IF($A357="","",(IF(ISNUMBER(SEARCH("Proposal",$A357)),SUMIFS('Timesheet Raw'!$P$4:$P$8000,'Timesheet Raw'!$A$4:$A$8000,IF(ISNUMBER(SEARCH("Chargable",$A357)),"2-Proposals Chargeable","3-Proposals Regular"),'Timesheet Raw'!$C$4:$C$8000,"*"&amp;$B357&amp;"*",'Timesheet Raw'!$L$4:$L$8000,"&gt;="&amp;MAX(Q$5,DATE(2000+VALUE(RIGHT(TRIM($A357),2)),1,1)),'Timesheet Raw'!$L$4:$L$8000,"&lt;="&amp;MIN(Q$6,DATE(2000+VALUE(RIGHT(TRIM($A357),2)),12,31))),SUMIFS('Timesheet Raw'!$P$4:$P$8000,'Timesheet Raw'!$B$4:$B$8000,TRIM($A357),'Timesheet Raw'!$C$4:$C$8000,"*"&amp;$B357&amp;"*",'Timesheet Raw'!$L$4:$L$8000,"&gt;="&amp;Q$5,'Timesheet Raw'!$L$4:$L$8000,"&lt;="&amp;Q$6)))/'Profit Plan'!$B$5)</f>
        <v>0</v>
      </c>
      <c r="R357" s="122">
        <f>IF($A357="","",(IF(ISNUMBER(SEARCH("Proposal",$A357)),SUMIFS('Timesheet Raw'!$P$4:$P$8000,'Timesheet Raw'!$A$4:$A$8000,IF(ISNUMBER(SEARCH("Chargable",$A357)),"2-Proposals Chargeable","3-Proposals Regular"),'Timesheet Raw'!$C$4:$C$8000,"*"&amp;$B357&amp;"*",'Timesheet Raw'!$L$4:$L$8000,"&gt;="&amp;MAX(R$5,DATE(2000+VALUE(RIGHT(TRIM($A357),2)),1,1)),'Timesheet Raw'!$L$4:$L$8000,"&lt;="&amp;MIN(R$6,DATE(2000+VALUE(RIGHT(TRIM($A357),2)),12,31))),SUMIFS('Timesheet Raw'!$P$4:$P$8000,'Timesheet Raw'!$B$4:$B$8000,TRIM($A357),'Timesheet Raw'!$C$4:$C$8000,"*"&amp;$B357&amp;"*",'Timesheet Raw'!$L$4:$L$8000,"&gt;="&amp;R$5,'Timesheet Raw'!$L$4:$L$8000,"&lt;="&amp;R$6)))/'Profit Plan'!$B$5)</f>
        <v>0</v>
      </c>
      <c r="S357" s="122">
        <f>IF($A357="","",(IF(ISNUMBER(SEARCH("Proposal",$A357)),SUMIFS('Timesheet Raw'!$P$4:$P$8000,'Timesheet Raw'!$A$4:$A$8000,IF(ISNUMBER(SEARCH("Chargable",$A357)),"2-Proposals Chargeable","3-Proposals Regular"),'Timesheet Raw'!$C$4:$C$8000,"*"&amp;$B357&amp;"*",'Timesheet Raw'!$L$4:$L$8000,"&gt;="&amp;MAX(S$5,DATE(2000+VALUE(RIGHT(TRIM($A357),2)),1,1)),'Timesheet Raw'!$L$4:$L$8000,"&lt;="&amp;MIN(S$6,DATE(2000+VALUE(RIGHT(TRIM($A357),2)),12,31))),SUMIFS('Timesheet Raw'!$P$4:$P$8000,'Timesheet Raw'!$B$4:$B$8000,TRIM($A357),'Timesheet Raw'!$C$4:$C$8000,"*"&amp;$B357&amp;"*",'Timesheet Raw'!$L$4:$L$8000,"&gt;="&amp;S$5,'Timesheet Raw'!$L$4:$L$8000,"&lt;="&amp;S$6)))/'Profit Plan'!$B$5)</f>
        <v>0</v>
      </c>
      <c r="T357" s="122">
        <f>IF($A357="","",(IF(ISNUMBER(SEARCH("Proposal",$A357)),SUMIFS('Timesheet Raw'!$P$4:$P$8000,'Timesheet Raw'!$A$4:$A$8000,IF(ISNUMBER(SEARCH("Chargable",$A357)),"2-Proposals Chargeable","3-Proposals Regular"),'Timesheet Raw'!$C$4:$C$8000,"*"&amp;$B357&amp;"*",'Timesheet Raw'!$L$4:$L$8000,"&gt;="&amp;MAX(T$5,DATE(2000+VALUE(RIGHT(TRIM($A357),2)),1,1)),'Timesheet Raw'!$L$4:$L$8000,"&lt;="&amp;MIN(T$6,DATE(2000+VALUE(RIGHT(TRIM($A357),2)),12,31))),SUMIFS('Timesheet Raw'!$P$4:$P$8000,'Timesheet Raw'!$B$4:$B$8000,TRIM($A357),'Timesheet Raw'!$C$4:$C$8000,"*"&amp;$B357&amp;"*",'Timesheet Raw'!$L$4:$L$8000,"&gt;="&amp;T$5,'Timesheet Raw'!$L$4:$L$8000,"&lt;="&amp;T$6)))/'Profit Plan'!$B$5)</f>
        <v>0</v>
      </c>
      <c r="U357" s="122">
        <f>IF($A357="","",(IF(ISNUMBER(SEARCH("Proposal",$A357)),SUMIFS('Timesheet Raw'!$P$4:$P$8000,'Timesheet Raw'!$A$4:$A$8000,IF(ISNUMBER(SEARCH("Chargable",$A357)),"2-Proposals Chargeable","3-Proposals Regular"),'Timesheet Raw'!$C$4:$C$8000,"*"&amp;$B357&amp;"*",'Timesheet Raw'!$L$4:$L$8000,"&gt;="&amp;MAX(U$5,DATE(2000+VALUE(RIGHT(TRIM($A357),2)),1,1)),'Timesheet Raw'!$L$4:$L$8000,"&lt;="&amp;MIN(U$6,DATE(2000+VALUE(RIGHT(TRIM($A357),2)),12,31))),SUMIFS('Timesheet Raw'!$P$4:$P$8000,'Timesheet Raw'!$B$4:$B$8000,TRIM($A357),'Timesheet Raw'!$C$4:$C$8000,"*"&amp;$B357&amp;"*",'Timesheet Raw'!$L$4:$L$8000,"&gt;="&amp;U$5,'Timesheet Raw'!$L$4:$L$8000,"&lt;="&amp;U$6)))/'Profit Plan'!$B$5)</f>
        <v>0</v>
      </c>
      <c r="V357" s="122">
        <f>IF($A357="","",(IF(ISNUMBER(SEARCH("Proposal",$A357)),SUMIFS('Timesheet Raw'!$P$4:$P$8000,'Timesheet Raw'!$A$4:$A$8000,IF(ISNUMBER(SEARCH("Chargable",$A357)),"2-Proposals Chargeable","3-Proposals Regular"),'Timesheet Raw'!$C$4:$C$8000,"*"&amp;$B357&amp;"*",'Timesheet Raw'!$L$4:$L$8000,"&gt;="&amp;MAX(V$5,DATE(2000+VALUE(RIGHT(TRIM($A357),2)),1,1)),'Timesheet Raw'!$L$4:$L$8000,"&lt;="&amp;MIN(V$6,DATE(2000+VALUE(RIGHT(TRIM($A357),2)),12,31))),SUMIFS('Timesheet Raw'!$P$4:$P$8000,'Timesheet Raw'!$B$4:$B$8000,TRIM($A357),'Timesheet Raw'!$C$4:$C$8000,"*"&amp;$B357&amp;"*",'Timesheet Raw'!$L$4:$L$8000,"&gt;="&amp;V$5,'Timesheet Raw'!$L$4:$L$8000,"&lt;="&amp;V$6)))/'Profit Plan'!$B$5)</f>
        <v>0</v>
      </c>
      <c r="W357" s="122">
        <f>IF($A357="","",(IF(ISNUMBER(SEARCH("Proposal",$A357)),SUMIFS('Timesheet Raw'!$P$4:$P$8000,'Timesheet Raw'!$A$4:$A$8000,IF(ISNUMBER(SEARCH("Chargable",$A357)),"2-Proposals Chargeable","3-Proposals Regular"),'Timesheet Raw'!$C$4:$C$8000,"*"&amp;$B357&amp;"*",'Timesheet Raw'!$L$4:$L$8000,"&gt;="&amp;MAX(W$5,DATE(2000+VALUE(RIGHT(TRIM($A357),2)),1,1)),'Timesheet Raw'!$L$4:$L$8000,"&lt;="&amp;MIN(W$6,DATE(2000+VALUE(RIGHT(TRIM($A357),2)),12,31))),SUMIFS('Timesheet Raw'!$P$4:$P$8000,'Timesheet Raw'!$B$4:$B$8000,TRIM($A357),'Timesheet Raw'!$C$4:$C$8000,"*"&amp;$B357&amp;"*",'Timesheet Raw'!$L$4:$L$8000,"&gt;="&amp;W$5,'Timesheet Raw'!$L$4:$L$8000,"&lt;="&amp;W$6)))/'Profit Plan'!$B$5)</f>
        <v>0</v>
      </c>
      <c r="X357" s="122">
        <f>IF($A357="","",(IF(ISNUMBER(SEARCH("Proposal",$A357)),SUMIFS('Timesheet Raw'!$P$4:$P$8000,'Timesheet Raw'!$A$4:$A$8000,IF(ISNUMBER(SEARCH("Chargable",$A357)),"2-Proposals Chargeable","3-Proposals Regular"),'Timesheet Raw'!$C$4:$C$8000,"*"&amp;$B357&amp;"*",'Timesheet Raw'!$L$4:$L$8000,"&gt;="&amp;MAX(X$5,DATE(2000+VALUE(RIGHT(TRIM($A357),2)),1,1)),'Timesheet Raw'!$L$4:$L$8000,"&lt;="&amp;MIN(X$6,DATE(2000+VALUE(RIGHT(TRIM($A357),2)),12,31))),SUMIFS('Timesheet Raw'!$P$4:$P$8000,'Timesheet Raw'!$B$4:$B$8000,TRIM($A357),'Timesheet Raw'!$C$4:$C$8000,"*"&amp;$B357&amp;"*",'Timesheet Raw'!$L$4:$L$8000,"&gt;="&amp;X$5,'Timesheet Raw'!$L$4:$L$8000,"&lt;="&amp;X$6)))/'Profit Plan'!$B$5)</f>
        <v>0</v>
      </c>
      <c r="Y357" s="118">
        <f t="shared" si="101"/>
        <v>0.57567567567567568</v>
      </c>
    </row>
    <row r="358" spans="1:25" x14ac:dyDescent="0.3">
      <c r="A358" s="116" t="str">
        <f>IF(Inputs!$A37="","",Inputs!$A37)</f>
        <v>OM23030-0100D</v>
      </c>
      <c r="B358" s="116" t="str">
        <f>IF(Inputs!$A37="","",Inputs!$A$91)</f>
        <v>Ahmed</v>
      </c>
      <c r="C358" s="116"/>
      <c r="D358" s="122">
        <f>IF($A358="","",(IF(ISNUMBER(SEARCH("Proposal",$A358)),SUMIFS('Timesheet Raw'!$P$4:$P$8000,'Timesheet Raw'!$A$4:$A$8000,IF(ISNUMBER(SEARCH("Chargable",$A358)),"2-Proposals Chargeable","3-Proposals Regular"),'Timesheet Raw'!$C$4:$C$8000,"*"&amp;$B358&amp;"*",'Timesheet Raw'!$L$4:$L$8000,"&gt;="&amp;MAX(D$5,DATE(2000+VALUE(RIGHT(TRIM($A358),2)),1,1)),'Timesheet Raw'!$L$4:$L$8000,"&lt;="&amp;MIN(D$6,DATE(2000+VALUE(RIGHT(TRIM($A358),2)),12,31))),SUMIFS('Timesheet Raw'!$P$4:$P$8000,'Timesheet Raw'!$B$4:$B$8000,TRIM($A358),'Timesheet Raw'!$C$4:$C$8000,"*"&amp;$B358&amp;"*",'Timesheet Raw'!$L$4:$L$8000,"&gt;="&amp;D$5,'Timesheet Raw'!$L$4:$L$8000,"&lt;="&amp;D$6)))/'Profit Plan'!$B$5)</f>
        <v>0</v>
      </c>
      <c r="E358" s="122">
        <f>IF($A358="","",(IF(ISNUMBER(SEARCH("Proposal",$A358)),SUMIFS('Timesheet Raw'!$P$4:$P$8000,'Timesheet Raw'!$A$4:$A$8000,IF(ISNUMBER(SEARCH("Chargable",$A358)),"2-Proposals Chargeable","3-Proposals Regular"),'Timesheet Raw'!$C$4:$C$8000,"*"&amp;$B358&amp;"*",'Timesheet Raw'!$L$4:$L$8000,"&gt;="&amp;MAX(E$5,DATE(2000+VALUE(RIGHT(TRIM($A358),2)),1,1)),'Timesheet Raw'!$L$4:$L$8000,"&lt;="&amp;MIN(E$6,DATE(2000+VALUE(RIGHT(TRIM($A358),2)),12,31))),SUMIFS('Timesheet Raw'!$P$4:$P$8000,'Timesheet Raw'!$B$4:$B$8000,TRIM($A358),'Timesheet Raw'!$C$4:$C$8000,"*"&amp;$B358&amp;"*",'Timesheet Raw'!$L$4:$L$8000,"&gt;="&amp;E$5,'Timesheet Raw'!$L$4:$L$8000,"&lt;="&amp;E$6)))/'Profit Plan'!$B$5)</f>
        <v>0.14729729729729729</v>
      </c>
      <c r="F358" s="122">
        <f>IF($A358="","",(IF(ISNUMBER(SEARCH("Proposal",$A358)),SUMIFS('Timesheet Raw'!$P$4:$P$8000,'Timesheet Raw'!$A$4:$A$8000,IF(ISNUMBER(SEARCH("Chargable",$A358)),"2-Proposals Chargeable","3-Proposals Regular"),'Timesheet Raw'!$C$4:$C$8000,"*"&amp;$B358&amp;"*",'Timesheet Raw'!$L$4:$L$8000,"&gt;="&amp;MAX(F$5,DATE(2000+VALUE(RIGHT(TRIM($A358),2)),1,1)),'Timesheet Raw'!$L$4:$L$8000,"&lt;="&amp;MIN(F$6,DATE(2000+VALUE(RIGHT(TRIM($A358),2)),12,31))),SUMIFS('Timesheet Raw'!$P$4:$P$8000,'Timesheet Raw'!$B$4:$B$8000,TRIM($A358),'Timesheet Raw'!$C$4:$C$8000,"*"&amp;$B358&amp;"*",'Timesheet Raw'!$L$4:$L$8000,"&gt;="&amp;F$5,'Timesheet Raw'!$L$4:$L$8000,"&lt;="&amp;F$6)))/'Profit Plan'!$B$5)</f>
        <v>0</v>
      </c>
      <c r="G358" s="122">
        <f>IF($A358="","",(IF(ISNUMBER(SEARCH("Proposal",$A358)),SUMIFS('Timesheet Raw'!$P$4:$P$8000,'Timesheet Raw'!$A$4:$A$8000,IF(ISNUMBER(SEARCH("Chargable",$A358)),"2-Proposals Chargeable","3-Proposals Regular"),'Timesheet Raw'!$C$4:$C$8000,"*"&amp;$B358&amp;"*",'Timesheet Raw'!$L$4:$L$8000,"&gt;="&amp;MAX(G$5,DATE(2000+VALUE(RIGHT(TRIM($A358),2)),1,1)),'Timesheet Raw'!$L$4:$L$8000,"&lt;="&amp;MIN(G$6,DATE(2000+VALUE(RIGHT(TRIM($A358),2)),12,31))),SUMIFS('Timesheet Raw'!$P$4:$P$8000,'Timesheet Raw'!$B$4:$B$8000,TRIM($A358),'Timesheet Raw'!$C$4:$C$8000,"*"&amp;$B358&amp;"*",'Timesheet Raw'!$L$4:$L$8000,"&gt;="&amp;G$5,'Timesheet Raw'!$L$4:$L$8000,"&lt;="&amp;G$6)))/'Profit Plan'!$B$5)</f>
        <v>0</v>
      </c>
      <c r="H358" s="122">
        <f>IF($A358="","",(IF(ISNUMBER(SEARCH("Proposal",$A358)),SUMIFS('Timesheet Raw'!$P$4:$P$8000,'Timesheet Raw'!$A$4:$A$8000,IF(ISNUMBER(SEARCH("Chargable",$A358)),"2-Proposals Chargeable","3-Proposals Regular"),'Timesheet Raw'!$C$4:$C$8000,"*"&amp;$B358&amp;"*",'Timesheet Raw'!$L$4:$L$8000,"&gt;="&amp;MAX(H$5,DATE(2000+VALUE(RIGHT(TRIM($A358),2)),1,1)),'Timesheet Raw'!$L$4:$L$8000,"&lt;="&amp;MIN(H$6,DATE(2000+VALUE(RIGHT(TRIM($A358),2)),12,31))),SUMIFS('Timesheet Raw'!$P$4:$P$8000,'Timesheet Raw'!$B$4:$B$8000,TRIM($A358),'Timesheet Raw'!$C$4:$C$8000,"*"&amp;$B358&amp;"*",'Timesheet Raw'!$L$4:$L$8000,"&gt;="&amp;H$5,'Timesheet Raw'!$L$4:$L$8000,"&lt;="&amp;H$6)))/'Profit Plan'!$B$5)</f>
        <v>0</v>
      </c>
      <c r="I358" s="122">
        <f>IF($A358="","",(IF(ISNUMBER(SEARCH("Proposal",$A358)),SUMIFS('Timesheet Raw'!$P$4:$P$8000,'Timesheet Raw'!$A$4:$A$8000,IF(ISNUMBER(SEARCH("Chargable",$A358)),"2-Proposals Chargeable","3-Proposals Regular"),'Timesheet Raw'!$C$4:$C$8000,"*"&amp;$B358&amp;"*",'Timesheet Raw'!$L$4:$L$8000,"&gt;="&amp;MAX(I$5,DATE(2000+VALUE(RIGHT(TRIM($A358),2)),1,1)),'Timesheet Raw'!$L$4:$L$8000,"&lt;="&amp;MIN(I$6,DATE(2000+VALUE(RIGHT(TRIM($A358),2)),12,31))),SUMIFS('Timesheet Raw'!$P$4:$P$8000,'Timesheet Raw'!$B$4:$B$8000,TRIM($A358),'Timesheet Raw'!$C$4:$C$8000,"*"&amp;$B358&amp;"*",'Timesheet Raw'!$L$4:$L$8000,"&gt;="&amp;I$5,'Timesheet Raw'!$L$4:$L$8000,"&lt;="&amp;I$6)))/'Profit Plan'!$B$5)</f>
        <v>0</v>
      </c>
      <c r="J358" s="122">
        <f>IF($A358="","",(IF(ISNUMBER(SEARCH("Proposal",$A358)),SUMIFS('Timesheet Raw'!$P$4:$P$8000,'Timesheet Raw'!$A$4:$A$8000,IF(ISNUMBER(SEARCH("Chargable",$A358)),"2-Proposals Chargeable","3-Proposals Regular"),'Timesheet Raw'!$C$4:$C$8000,"*"&amp;$B358&amp;"*",'Timesheet Raw'!$L$4:$L$8000,"&gt;="&amp;MAX(J$5,DATE(2000+VALUE(RIGHT(TRIM($A358),2)),1,1)),'Timesheet Raw'!$L$4:$L$8000,"&lt;="&amp;MIN(J$6,DATE(2000+VALUE(RIGHT(TRIM($A358),2)),12,31))),SUMIFS('Timesheet Raw'!$P$4:$P$8000,'Timesheet Raw'!$B$4:$B$8000,TRIM($A358),'Timesheet Raw'!$C$4:$C$8000,"*"&amp;$B358&amp;"*",'Timesheet Raw'!$L$4:$L$8000,"&gt;="&amp;J$5,'Timesheet Raw'!$L$4:$L$8000,"&lt;="&amp;J$6)))/'Profit Plan'!$B$5)</f>
        <v>0</v>
      </c>
      <c r="K358" s="122">
        <f>IF($A358="","",(IF(ISNUMBER(SEARCH("Proposal",$A358)),SUMIFS('Timesheet Raw'!$P$4:$P$8000,'Timesheet Raw'!$A$4:$A$8000,IF(ISNUMBER(SEARCH("Chargable",$A358)),"2-Proposals Chargeable","3-Proposals Regular"),'Timesheet Raw'!$C$4:$C$8000,"*"&amp;$B358&amp;"*",'Timesheet Raw'!$L$4:$L$8000,"&gt;="&amp;MAX(K$5,DATE(2000+VALUE(RIGHT(TRIM($A358),2)),1,1)),'Timesheet Raw'!$L$4:$L$8000,"&lt;="&amp;MIN(K$6,DATE(2000+VALUE(RIGHT(TRIM($A358),2)),12,31))),SUMIFS('Timesheet Raw'!$P$4:$P$8000,'Timesheet Raw'!$B$4:$B$8000,TRIM($A358),'Timesheet Raw'!$C$4:$C$8000,"*"&amp;$B358&amp;"*",'Timesheet Raw'!$L$4:$L$8000,"&gt;="&amp;K$5,'Timesheet Raw'!$L$4:$L$8000,"&lt;="&amp;K$6)))/'Profit Plan'!$B$5)</f>
        <v>0</v>
      </c>
      <c r="L358" s="122">
        <f>IF($A358="","",(IF(ISNUMBER(SEARCH("Proposal",$A358)),SUMIFS('Timesheet Raw'!$P$4:$P$8000,'Timesheet Raw'!$A$4:$A$8000,IF(ISNUMBER(SEARCH("Chargable",$A358)),"2-Proposals Chargeable","3-Proposals Regular"),'Timesheet Raw'!$C$4:$C$8000,"*"&amp;$B358&amp;"*",'Timesheet Raw'!$L$4:$L$8000,"&gt;="&amp;MAX(L$5,DATE(2000+VALUE(RIGHT(TRIM($A358),2)),1,1)),'Timesheet Raw'!$L$4:$L$8000,"&lt;="&amp;MIN(L$6,DATE(2000+VALUE(RIGHT(TRIM($A358),2)),12,31))),SUMIFS('Timesheet Raw'!$P$4:$P$8000,'Timesheet Raw'!$B$4:$B$8000,TRIM($A358),'Timesheet Raw'!$C$4:$C$8000,"*"&amp;$B358&amp;"*",'Timesheet Raw'!$L$4:$L$8000,"&gt;="&amp;L$5,'Timesheet Raw'!$L$4:$L$8000,"&lt;="&amp;L$6)))/'Profit Plan'!$B$5)</f>
        <v>0</v>
      </c>
      <c r="M358" s="122">
        <f>IF($A358="","",(IF(ISNUMBER(SEARCH("Proposal",$A358)),SUMIFS('Timesheet Raw'!$P$4:$P$8000,'Timesheet Raw'!$A$4:$A$8000,IF(ISNUMBER(SEARCH("Chargable",$A358)),"2-Proposals Chargeable","3-Proposals Regular"),'Timesheet Raw'!$C$4:$C$8000,"*"&amp;$B358&amp;"*",'Timesheet Raw'!$L$4:$L$8000,"&gt;="&amp;MAX(M$5,DATE(2000+VALUE(RIGHT(TRIM($A358),2)),1,1)),'Timesheet Raw'!$L$4:$L$8000,"&lt;="&amp;MIN(M$6,DATE(2000+VALUE(RIGHT(TRIM($A358),2)),12,31))),SUMIFS('Timesheet Raw'!$P$4:$P$8000,'Timesheet Raw'!$B$4:$B$8000,TRIM($A358),'Timesheet Raw'!$C$4:$C$8000,"*"&amp;$B358&amp;"*",'Timesheet Raw'!$L$4:$L$8000,"&gt;="&amp;M$5,'Timesheet Raw'!$L$4:$L$8000,"&lt;="&amp;M$6)))/'Profit Plan'!$B$5)</f>
        <v>0</v>
      </c>
      <c r="N358" s="122">
        <f>IF($A358="","",(IF(ISNUMBER(SEARCH("Proposal",$A358)),SUMIFS('Timesheet Raw'!$P$4:$P$8000,'Timesheet Raw'!$A$4:$A$8000,IF(ISNUMBER(SEARCH("Chargable",$A358)),"2-Proposals Chargeable","3-Proposals Regular"),'Timesheet Raw'!$C$4:$C$8000,"*"&amp;$B358&amp;"*",'Timesheet Raw'!$L$4:$L$8000,"&gt;="&amp;MAX(N$5,DATE(2000+VALUE(RIGHT(TRIM($A358),2)),1,1)),'Timesheet Raw'!$L$4:$L$8000,"&lt;="&amp;MIN(N$6,DATE(2000+VALUE(RIGHT(TRIM($A358),2)),12,31))),SUMIFS('Timesheet Raw'!$P$4:$P$8000,'Timesheet Raw'!$B$4:$B$8000,TRIM($A358),'Timesheet Raw'!$C$4:$C$8000,"*"&amp;$B358&amp;"*",'Timesheet Raw'!$L$4:$L$8000,"&gt;="&amp;N$5,'Timesheet Raw'!$L$4:$L$8000,"&lt;="&amp;N$6)))/'Profit Plan'!$B$5)</f>
        <v>0</v>
      </c>
      <c r="O358" s="122">
        <f>IF($A358="","",(IF(ISNUMBER(SEARCH("Proposal",$A358)),SUMIFS('Timesheet Raw'!$P$4:$P$8000,'Timesheet Raw'!$A$4:$A$8000,IF(ISNUMBER(SEARCH("Chargable",$A358)),"2-Proposals Chargeable","3-Proposals Regular"),'Timesheet Raw'!$C$4:$C$8000,"*"&amp;$B358&amp;"*",'Timesheet Raw'!$L$4:$L$8000,"&gt;="&amp;MAX(O$5,DATE(2000+VALUE(RIGHT(TRIM($A358),2)),1,1)),'Timesheet Raw'!$L$4:$L$8000,"&lt;="&amp;MIN(O$6,DATE(2000+VALUE(RIGHT(TRIM($A358),2)),12,31))),SUMIFS('Timesheet Raw'!$P$4:$P$8000,'Timesheet Raw'!$B$4:$B$8000,TRIM($A358),'Timesheet Raw'!$C$4:$C$8000,"*"&amp;$B358&amp;"*",'Timesheet Raw'!$L$4:$L$8000,"&gt;="&amp;O$5,'Timesheet Raw'!$L$4:$L$8000,"&lt;="&amp;O$6)))/'Profit Plan'!$B$5)</f>
        <v>0</v>
      </c>
      <c r="P358" s="122">
        <f>IF($A358="","",(IF(ISNUMBER(SEARCH("Proposal",$A358)),SUMIFS('Timesheet Raw'!$P$4:$P$8000,'Timesheet Raw'!$A$4:$A$8000,IF(ISNUMBER(SEARCH("Chargable",$A358)),"2-Proposals Chargeable","3-Proposals Regular"),'Timesheet Raw'!$C$4:$C$8000,"*"&amp;$B358&amp;"*",'Timesheet Raw'!$L$4:$L$8000,"&gt;="&amp;MAX(P$5,DATE(2000+VALUE(RIGHT(TRIM($A358),2)),1,1)),'Timesheet Raw'!$L$4:$L$8000,"&lt;="&amp;MIN(P$6,DATE(2000+VALUE(RIGHT(TRIM($A358),2)),12,31))),SUMIFS('Timesheet Raw'!$P$4:$P$8000,'Timesheet Raw'!$B$4:$B$8000,TRIM($A358),'Timesheet Raw'!$C$4:$C$8000,"*"&amp;$B358&amp;"*",'Timesheet Raw'!$L$4:$L$8000,"&gt;="&amp;P$5,'Timesheet Raw'!$L$4:$L$8000,"&lt;="&amp;P$6)))/'Profit Plan'!$B$5)</f>
        <v>0</v>
      </c>
      <c r="Q358" s="122">
        <f>IF($A358="","",(IF(ISNUMBER(SEARCH("Proposal",$A358)),SUMIFS('Timesheet Raw'!$P$4:$P$8000,'Timesheet Raw'!$A$4:$A$8000,IF(ISNUMBER(SEARCH("Chargable",$A358)),"2-Proposals Chargeable","3-Proposals Regular"),'Timesheet Raw'!$C$4:$C$8000,"*"&amp;$B358&amp;"*",'Timesheet Raw'!$L$4:$L$8000,"&gt;="&amp;MAX(Q$5,DATE(2000+VALUE(RIGHT(TRIM($A358),2)),1,1)),'Timesheet Raw'!$L$4:$L$8000,"&lt;="&amp;MIN(Q$6,DATE(2000+VALUE(RIGHT(TRIM($A358),2)),12,31))),SUMIFS('Timesheet Raw'!$P$4:$P$8000,'Timesheet Raw'!$B$4:$B$8000,TRIM($A358),'Timesheet Raw'!$C$4:$C$8000,"*"&amp;$B358&amp;"*",'Timesheet Raw'!$L$4:$L$8000,"&gt;="&amp;Q$5,'Timesheet Raw'!$L$4:$L$8000,"&lt;="&amp;Q$6)))/'Profit Plan'!$B$5)</f>
        <v>0</v>
      </c>
      <c r="R358" s="122">
        <f>IF($A358="","",(IF(ISNUMBER(SEARCH("Proposal",$A358)),SUMIFS('Timesheet Raw'!$P$4:$P$8000,'Timesheet Raw'!$A$4:$A$8000,IF(ISNUMBER(SEARCH("Chargable",$A358)),"2-Proposals Chargeable","3-Proposals Regular"),'Timesheet Raw'!$C$4:$C$8000,"*"&amp;$B358&amp;"*",'Timesheet Raw'!$L$4:$L$8000,"&gt;="&amp;MAX(R$5,DATE(2000+VALUE(RIGHT(TRIM($A358),2)),1,1)),'Timesheet Raw'!$L$4:$L$8000,"&lt;="&amp;MIN(R$6,DATE(2000+VALUE(RIGHT(TRIM($A358),2)),12,31))),SUMIFS('Timesheet Raw'!$P$4:$P$8000,'Timesheet Raw'!$B$4:$B$8000,TRIM($A358),'Timesheet Raw'!$C$4:$C$8000,"*"&amp;$B358&amp;"*",'Timesheet Raw'!$L$4:$L$8000,"&gt;="&amp;R$5,'Timesheet Raw'!$L$4:$L$8000,"&lt;="&amp;R$6)))/'Profit Plan'!$B$5)</f>
        <v>0</v>
      </c>
      <c r="S358" s="122">
        <f>IF($A358="","",(IF(ISNUMBER(SEARCH("Proposal",$A358)),SUMIFS('Timesheet Raw'!$P$4:$P$8000,'Timesheet Raw'!$A$4:$A$8000,IF(ISNUMBER(SEARCH("Chargable",$A358)),"2-Proposals Chargeable","3-Proposals Regular"),'Timesheet Raw'!$C$4:$C$8000,"*"&amp;$B358&amp;"*",'Timesheet Raw'!$L$4:$L$8000,"&gt;="&amp;MAX(S$5,DATE(2000+VALUE(RIGHT(TRIM($A358),2)),1,1)),'Timesheet Raw'!$L$4:$L$8000,"&lt;="&amp;MIN(S$6,DATE(2000+VALUE(RIGHT(TRIM($A358),2)),12,31))),SUMIFS('Timesheet Raw'!$P$4:$P$8000,'Timesheet Raw'!$B$4:$B$8000,TRIM($A358),'Timesheet Raw'!$C$4:$C$8000,"*"&amp;$B358&amp;"*",'Timesheet Raw'!$L$4:$L$8000,"&gt;="&amp;S$5,'Timesheet Raw'!$L$4:$L$8000,"&lt;="&amp;S$6)))/'Profit Plan'!$B$5)</f>
        <v>0</v>
      </c>
      <c r="T358" s="122">
        <f>IF($A358="","",(IF(ISNUMBER(SEARCH("Proposal",$A358)),SUMIFS('Timesheet Raw'!$P$4:$P$8000,'Timesheet Raw'!$A$4:$A$8000,IF(ISNUMBER(SEARCH("Chargable",$A358)),"2-Proposals Chargeable","3-Proposals Regular"),'Timesheet Raw'!$C$4:$C$8000,"*"&amp;$B358&amp;"*",'Timesheet Raw'!$L$4:$L$8000,"&gt;="&amp;MAX(T$5,DATE(2000+VALUE(RIGHT(TRIM($A358),2)),1,1)),'Timesheet Raw'!$L$4:$L$8000,"&lt;="&amp;MIN(T$6,DATE(2000+VALUE(RIGHT(TRIM($A358),2)),12,31))),SUMIFS('Timesheet Raw'!$P$4:$P$8000,'Timesheet Raw'!$B$4:$B$8000,TRIM($A358),'Timesheet Raw'!$C$4:$C$8000,"*"&amp;$B358&amp;"*",'Timesheet Raw'!$L$4:$L$8000,"&gt;="&amp;T$5,'Timesheet Raw'!$L$4:$L$8000,"&lt;="&amp;T$6)))/'Profit Plan'!$B$5)</f>
        <v>0</v>
      </c>
      <c r="U358" s="122">
        <f>IF($A358="","",(IF(ISNUMBER(SEARCH("Proposal",$A358)),SUMIFS('Timesheet Raw'!$P$4:$P$8000,'Timesheet Raw'!$A$4:$A$8000,IF(ISNUMBER(SEARCH("Chargable",$A358)),"2-Proposals Chargeable","3-Proposals Regular"),'Timesheet Raw'!$C$4:$C$8000,"*"&amp;$B358&amp;"*",'Timesheet Raw'!$L$4:$L$8000,"&gt;="&amp;MAX(U$5,DATE(2000+VALUE(RIGHT(TRIM($A358),2)),1,1)),'Timesheet Raw'!$L$4:$L$8000,"&lt;="&amp;MIN(U$6,DATE(2000+VALUE(RIGHT(TRIM($A358),2)),12,31))),SUMIFS('Timesheet Raw'!$P$4:$P$8000,'Timesheet Raw'!$B$4:$B$8000,TRIM($A358),'Timesheet Raw'!$C$4:$C$8000,"*"&amp;$B358&amp;"*",'Timesheet Raw'!$L$4:$L$8000,"&gt;="&amp;U$5,'Timesheet Raw'!$L$4:$L$8000,"&lt;="&amp;U$6)))/'Profit Plan'!$B$5)</f>
        <v>0</v>
      </c>
      <c r="V358" s="122">
        <f>IF($A358="","",(IF(ISNUMBER(SEARCH("Proposal",$A358)),SUMIFS('Timesheet Raw'!$P$4:$P$8000,'Timesheet Raw'!$A$4:$A$8000,IF(ISNUMBER(SEARCH("Chargable",$A358)),"2-Proposals Chargeable","3-Proposals Regular"),'Timesheet Raw'!$C$4:$C$8000,"*"&amp;$B358&amp;"*",'Timesheet Raw'!$L$4:$L$8000,"&gt;="&amp;MAX(V$5,DATE(2000+VALUE(RIGHT(TRIM($A358),2)),1,1)),'Timesheet Raw'!$L$4:$L$8000,"&lt;="&amp;MIN(V$6,DATE(2000+VALUE(RIGHT(TRIM($A358),2)),12,31))),SUMIFS('Timesheet Raw'!$P$4:$P$8000,'Timesheet Raw'!$B$4:$B$8000,TRIM($A358),'Timesheet Raw'!$C$4:$C$8000,"*"&amp;$B358&amp;"*",'Timesheet Raw'!$L$4:$L$8000,"&gt;="&amp;V$5,'Timesheet Raw'!$L$4:$L$8000,"&lt;="&amp;V$6)))/'Profit Plan'!$B$5)</f>
        <v>0</v>
      </c>
      <c r="W358" s="122">
        <f>IF($A358="","",(IF(ISNUMBER(SEARCH("Proposal",$A358)),SUMIFS('Timesheet Raw'!$P$4:$P$8000,'Timesheet Raw'!$A$4:$A$8000,IF(ISNUMBER(SEARCH("Chargable",$A358)),"2-Proposals Chargeable","3-Proposals Regular"),'Timesheet Raw'!$C$4:$C$8000,"*"&amp;$B358&amp;"*",'Timesheet Raw'!$L$4:$L$8000,"&gt;="&amp;MAX(W$5,DATE(2000+VALUE(RIGHT(TRIM($A358),2)),1,1)),'Timesheet Raw'!$L$4:$L$8000,"&lt;="&amp;MIN(W$6,DATE(2000+VALUE(RIGHT(TRIM($A358),2)),12,31))),SUMIFS('Timesheet Raw'!$P$4:$P$8000,'Timesheet Raw'!$B$4:$B$8000,TRIM($A358),'Timesheet Raw'!$C$4:$C$8000,"*"&amp;$B358&amp;"*",'Timesheet Raw'!$L$4:$L$8000,"&gt;="&amp;W$5,'Timesheet Raw'!$L$4:$L$8000,"&lt;="&amp;W$6)))/'Profit Plan'!$B$5)</f>
        <v>0</v>
      </c>
      <c r="X358" s="122">
        <f>IF($A358="","",(IF(ISNUMBER(SEARCH("Proposal",$A358)),SUMIFS('Timesheet Raw'!$P$4:$P$8000,'Timesheet Raw'!$A$4:$A$8000,IF(ISNUMBER(SEARCH("Chargable",$A358)),"2-Proposals Chargeable","3-Proposals Regular"),'Timesheet Raw'!$C$4:$C$8000,"*"&amp;$B358&amp;"*",'Timesheet Raw'!$L$4:$L$8000,"&gt;="&amp;MAX(X$5,DATE(2000+VALUE(RIGHT(TRIM($A358),2)),1,1)),'Timesheet Raw'!$L$4:$L$8000,"&lt;="&amp;MIN(X$6,DATE(2000+VALUE(RIGHT(TRIM($A358),2)),12,31))),SUMIFS('Timesheet Raw'!$P$4:$P$8000,'Timesheet Raw'!$B$4:$B$8000,TRIM($A358),'Timesheet Raw'!$C$4:$C$8000,"*"&amp;$B358&amp;"*",'Timesheet Raw'!$L$4:$L$8000,"&gt;="&amp;X$5,'Timesheet Raw'!$L$4:$L$8000,"&lt;="&amp;X$6)))/'Profit Plan'!$B$5)</f>
        <v>0</v>
      </c>
      <c r="Y358" s="118">
        <f t="shared" si="101"/>
        <v>0.14729729729729729</v>
      </c>
    </row>
    <row r="359" spans="1:25" x14ac:dyDescent="0.3">
      <c r="A359" s="116" t="str">
        <f>IF(Inputs!$A37="","",Inputs!$A37)</f>
        <v>OM23030-0100D</v>
      </c>
      <c r="B359" s="116" t="str">
        <f>IF(Inputs!$A37="","",Inputs!$A$92)</f>
        <v>Osama</v>
      </c>
      <c r="C359" s="116"/>
      <c r="D359" s="122">
        <f>IF($A359="","",(IF(ISNUMBER(SEARCH("Proposal",$A359)),SUMIFS('Timesheet Raw'!$P$4:$P$8000,'Timesheet Raw'!$A$4:$A$8000,IF(ISNUMBER(SEARCH("Chargable",$A359)),"2-Proposals Chargeable","3-Proposals Regular"),'Timesheet Raw'!$C$4:$C$8000,"*"&amp;$B359&amp;"*",'Timesheet Raw'!$L$4:$L$8000,"&gt;="&amp;MAX(D$5,DATE(2000+VALUE(RIGHT(TRIM($A359),2)),1,1)),'Timesheet Raw'!$L$4:$L$8000,"&lt;="&amp;MIN(D$6,DATE(2000+VALUE(RIGHT(TRIM($A359),2)),12,31))),SUMIFS('Timesheet Raw'!$P$4:$P$8000,'Timesheet Raw'!$B$4:$B$8000,TRIM($A359),'Timesheet Raw'!$C$4:$C$8000,"*"&amp;$B359&amp;"*",'Timesheet Raw'!$L$4:$L$8000,"&gt;="&amp;D$5,'Timesheet Raw'!$L$4:$L$8000,"&lt;="&amp;D$6)))/'Profit Plan'!$B$5)</f>
        <v>0</v>
      </c>
      <c r="E359" s="122">
        <f>IF($A359="","",(IF(ISNUMBER(SEARCH("Proposal",$A359)),SUMIFS('Timesheet Raw'!$P$4:$P$8000,'Timesheet Raw'!$A$4:$A$8000,IF(ISNUMBER(SEARCH("Chargable",$A359)),"2-Proposals Chargeable","3-Proposals Regular"),'Timesheet Raw'!$C$4:$C$8000,"*"&amp;$B359&amp;"*",'Timesheet Raw'!$L$4:$L$8000,"&gt;="&amp;MAX(E$5,DATE(2000+VALUE(RIGHT(TRIM($A359),2)),1,1)),'Timesheet Raw'!$L$4:$L$8000,"&lt;="&amp;MIN(E$6,DATE(2000+VALUE(RIGHT(TRIM($A359),2)),12,31))),SUMIFS('Timesheet Raw'!$P$4:$P$8000,'Timesheet Raw'!$B$4:$B$8000,TRIM($A359),'Timesheet Raw'!$C$4:$C$8000,"*"&amp;$B359&amp;"*",'Timesheet Raw'!$L$4:$L$8000,"&gt;="&amp;E$5,'Timesheet Raw'!$L$4:$L$8000,"&lt;="&amp;E$6)))/'Profit Plan'!$B$5)</f>
        <v>0</v>
      </c>
      <c r="F359" s="122">
        <f>IF($A359="","",(IF(ISNUMBER(SEARCH("Proposal",$A359)),SUMIFS('Timesheet Raw'!$P$4:$P$8000,'Timesheet Raw'!$A$4:$A$8000,IF(ISNUMBER(SEARCH("Chargable",$A359)),"2-Proposals Chargeable","3-Proposals Regular"),'Timesheet Raw'!$C$4:$C$8000,"*"&amp;$B359&amp;"*",'Timesheet Raw'!$L$4:$L$8000,"&gt;="&amp;MAX(F$5,DATE(2000+VALUE(RIGHT(TRIM($A359),2)),1,1)),'Timesheet Raw'!$L$4:$L$8000,"&lt;="&amp;MIN(F$6,DATE(2000+VALUE(RIGHT(TRIM($A359),2)),12,31))),SUMIFS('Timesheet Raw'!$P$4:$P$8000,'Timesheet Raw'!$B$4:$B$8000,TRIM($A359),'Timesheet Raw'!$C$4:$C$8000,"*"&amp;$B359&amp;"*",'Timesheet Raw'!$L$4:$L$8000,"&gt;="&amp;F$5,'Timesheet Raw'!$L$4:$L$8000,"&lt;="&amp;F$6)))/'Profit Plan'!$B$5)</f>
        <v>0</v>
      </c>
      <c r="G359" s="122">
        <f>IF($A359="","",(IF(ISNUMBER(SEARCH("Proposal",$A359)),SUMIFS('Timesheet Raw'!$P$4:$P$8000,'Timesheet Raw'!$A$4:$A$8000,IF(ISNUMBER(SEARCH("Chargable",$A359)),"2-Proposals Chargeable","3-Proposals Regular"),'Timesheet Raw'!$C$4:$C$8000,"*"&amp;$B359&amp;"*",'Timesheet Raw'!$L$4:$L$8000,"&gt;="&amp;MAX(G$5,DATE(2000+VALUE(RIGHT(TRIM($A359),2)),1,1)),'Timesheet Raw'!$L$4:$L$8000,"&lt;="&amp;MIN(G$6,DATE(2000+VALUE(RIGHT(TRIM($A359),2)),12,31))),SUMIFS('Timesheet Raw'!$P$4:$P$8000,'Timesheet Raw'!$B$4:$B$8000,TRIM($A359),'Timesheet Raw'!$C$4:$C$8000,"*"&amp;$B359&amp;"*",'Timesheet Raw'!$L$4:$L$8000,"&gt;="&amp;G$5,'Timesheet Raw'!$L$4:$L$8000,"&lt;="&amp;G$6)))/'Profit Plan'!$B$5)</f>
        <v>0</v>
      </c>
      <c r="H359" s="122">
        <f>IF($A359="","",(IF(ISNUMBER(SEARCH("Proposal",$A359)),SUMIFS('Timesheet Raw'!$P$4:$P$8000,'Timesheet Raw'!$A$4:$A$8000,IF(ISNUMBER(SEARCH("Chargable",$A359)),"2-Proposals Chargeable","3-Proposals Regular"),'Timesheet Raw'!$C$4:$C$8000,"*"&amp;$B359&amp;"*",'Timesheet Raw'!$L$4:$L$8000,"&gt;="&amp;MAX(H$5,DATE(2000+VALUE(RIGHT(TRIM($A359),2)),1,1)),'Timesheet Raw'!$L$4:$L$8000,"&lt;="&amp;MIN(H$6,DATE(2000+VALUE(RIGHT(TRIM($A359),2)),12,31))),SUMIFS('Timesheet Raw'!$P$4:$P$8000,'Timesheet Raw'!$B$4:$B$8000,TRIM($A359),'Timesheet Raw'!$C$4:$C$8000,"*"&amp;$B359&amp;"*",'Timesheet Raw'!$L$4:$L$8000,"&gt;="&amp;H$5,'Timesheet Raw'!$L$4:$L$8000,"&lt;="&amp;H$6)))/'Profit Plan'!$B$5)</f>
        <v>0</v>
      </c>
      <c r="I359" s="122">
        <f>IF($A359="","",(IF(ISNUMBER(SEARCH("Proposal",$A359)),SUMIFS('Timesheet Raw'!$P$4:$P$8000,'Timesheet Raw'!$A$4:$A$8000,IF(ISNUMBER(SEARCH("Chargable",$A359)),"2-Proposals Chargeable","3-Proposals Regular"),'Timesheet Raw'!$C$4:$C$8000,"*"&amp;$B359&amp;"*",'Timesheet Raw'!$L$4:$L$8000,"&gt;="&amp;MAX(I$5,DATE(2000+VALUE(RIGHT(TRIM($A359),2)),1,1)),'Timesheet Raw'!$L$4:$L$8000,"&lt;="&amp;MIN(I$6,DATE(2000+VALUE(RIGHT(TRIM($A359),2)),12,31))),SUMIFS('Timesheet Raw'!$P$4:$P$8000,'Timesheet Raw'!$B$4:$B$8000,TRIM($A359),'Timesheet Raw'!$C$4:$C$8000,"*"&amp;$B359&amp;"*",'Timesheet Raw'!$L$4:$L$8000,"&gt;="&amp;I$5,'Timesheet Raw'!$L$4:$L$8000,"&lt;="&amp;I$6)))/'Profit Plan'!$B$5)</f>
        <v>0</v>
      </c>
      <c r="J359" s="122">
        <f>IF($A359="","",(IF(ISNUMBER(SEARCH("Proposal",$A359)),SUMIFS('Timesheet Raw'!$P$4:$P$8000,'Timesheet Raw'!$A$4:$A$8000,IF(ISNUMBER(SEARCH("Chargable",$A359)),"2-Proposals Chargeable","3-Proposals Regular"),'Timesheet Raw'!$C$4:$C$8000,"*"&amp;$B359&amp;"*",'Timesheet Raw'!$L$4:$L$8000,"&gt;="&amp;MAX(J$5,DATE(2000+VALUE(RIGHT(TRIM($A359),2)),1,1)),'Timesheet Raw'!$L$4:$L$8000,"&lt;="&amp;MIN(J$6,DATE(2000+VALUE(RIGHT(TRIM($A359),2)),12,31))),SUMIFS('Timesheet Raw'!$P$4:$P$8000,'Timesheet Raw'!$B$4:$B$8000,TRIM($A359),'Timesheet Raw'!$C$4:$C$8000,"*"&amp;$B359&amp;"*",'Timesheet Raw'!$L$4:$L$8000,"&gt;="&amp;J$5,'Timesheet Raw'!$L$4:$L$8000,"&lt;="&amp;J$6)))/'Profit Plan'!$B$5)</f>
        <v>0</v>
      </c>
      <c r="K359" s="122">
        <f>IF($A359="","",(IF(ISNUMBER(SEARCH("Proposal",$A359)),SUMIFS('Timesheet Raw'!$P$4:$P$8000,'Timesheet Raw'!$A$4:$A$8000,IF(ISNUMBER(SEARCH("Chargable",$A359)),"2-Proposals Chargeable","3-Proposals Regular"),'Timesheet Raw'!$C$4:$C$8000,"*"&amp;$B359&amp;"*",'Timesheet Raw'!$L$4:$L$8000,"&gt;="&amp;MAX(K$5,DATE(2000+VALUE(RIGHT(TRIM($A359),2)),1,1)),'Timesheet Raw'!$L$4:$L$8000,"&lt;="&amp;MIN(K$6,DATE(2000+VALUE(RIGHT(TRIM($A359),2)),12,31))),SUMIFS('Timesheet Raw'!$P$4:$P$8000,'Timesheet Raw'!$B$4:$B$8000,TRIM($A359),'Timesheet Raw'!$C$4:$C$8000,"*"&amp;$B359&amp;"*",'Timesheet Raw'!$L$4:$L$8000,"&gt;="&amp;K$5,'Timesheet Raw'!$L$4:$L$8000,"&lt;="&amp;K$6)))/'Profit Plan'!$B$5)</f>
        <v>0</v>
      </c>
      <c r="L359" s="122">
        <f>IF($A359="","",(IF(ISNUMBER(SEARCH("Proposal",$A359)),SUMIFS('Timesheet Raw'!$P$4:$P$8000,'Timesheet Raw'!$A$4:$A$8000,IF(ISNUMBER(SEARCH("Chargable",$A359)),"2-Proposals Chargeable","3-Proposals Regular"),'Timesheet Raw'!$C$4:$C$8000,"*"&amp;$B359&amp;"*",'Timesheet Raw'!$L$4:$L$8000,"&gt;="&amp;MAX(L$5,DATE(2000+VALUE(RIGHT(TRIM($A359),2)),1,1)),'Timesheet Raw'!$L$4:$L$8000,"&lt;="&amp;MIN(L$6,DATE(2000+VALUE(RIGHT(TRIM($A359),2)),12,31))),SUMIFS('Timesheet Raw'!$P$4:$P$8000,'Timesheet Raw'!$B$4:$B$8000,TRIM($A359),'Timesheet Raw'!$C$4:$C$8000,"*"&amp;$B359&amp;"*",'Timesheet Raw'!$L$4:$L$8000,"&gt;="&amp;L$5,'Timesheet Raw'!$L$4:$L$8000,"&lt;="&amp;L$6)))/'Profit Plan'!$B$5)</f>
        <v>0</v>
      </c>
      <c r="M359" s="122">
        <f>IF($A359="","",(IF(ISNUMBER(SEARCH("Proposal",$A359)),SUMIFS('Timesheet Raw'!$P$4:$P$8000,'Timesheet Raw'!$A$4:$A$8000,IF(ISNUMBER(SEARCH("Chargable",$A359)),"2-Proposals Chargeable","3-Proposals Regular"),'Timesheet Raw'!$C$4:$C$8000,"*"&amp;$B359&amp;"*",'Timesheet Raw'!$L$4:$L$8000,"&gt;="&amp;MAX(M$5,DATE(2000+VALUE(RIGHT(TRIM($A359),2)),1,1)),'Timesheet Raw'!$L$4:$L$8000,"&lt;="&amp;MIN(M$6,DATE(2000+VALUE(RIGHT(TRIM($A359),2)),12,31))),SUMIFS('Timesheet Raw'!$P$4:$P$8000,'Timesheet Raw'!$B$4:$B$8000,TRIM($A359),'Timesheet Raw'!$C$4:$C$8000,"*"&amp;$B359&amp;"*",'Timesheet Raw'!$L$4:$L$8000,"&gt;="&amp;M$5,'Timesheet Raw'!$L$4:$L$8000,"&lt;="&amp;M$6)))/'Profit Plan'!$B$5)</f>
        <v>0</v>
      </c>
      <c r="N359" s="122">
        <f>IF($A359="","",(IF(ISNUMBER(SEARCH("Proposal",$A359)),SUMIFS('Timesheet Raw'!$P$4:$P$8000,'Timesheet Raw'!$A$4:$A$8000,IF(ISNUMBER(SEARCH("Chargable",$A359)),"2-Proposals Chargeable","3-Proposals Regular"),'Timesheet Raw'!$C$4:$C$8000,"*"&amp;$B359&amp;"*",'Timesheet Raw'!$L$4:$L$8000,"&gt;="&amp;MAX(N$5,DATE(2000+VALUE(RIGHT(TRIM($A359),2)),1,1)),'Timesheet Raw'!$L$4:$L$8000,"&lt;="&amp;MIN(N$6,DATE(2000+VALUE(RIGHT(TRIM($A359),2)),12,31))),SUMIFS('Timesheet Raw'!$P$4:$P$8000,'Timesheet Raw'!$B$4:$B$8000,TRIM($A359),'Timesheet Raw'!$C$4:$C$8000,"*"&amp;$B359&amp;"*",'Timesheet Raw'!$L$4:$L$8000,"&gt;="&amp;N$5,'Timesheet Raw'!$L$4:$L$8000,"&lt;="&amp;N$6)))/'Profit Plan'!$B$5)</f>
        <v>0</v>
      </c>
      <c r="O359" s="122">
        <f>IF($A359="","",(IF(ISNUMBER(SEARCH("Proposal",$A359)),SUMIFS('Timesheet Raw'!$P$4:$P$8000,'Timesheet Raw'!$A$4:$A$8000,IF(ISNUMBER(SEARCH("Chargable",$A359)),"2-Proposals Chargeable","3-Proposals Regular"),'Timesheet Raw'!$C$4:$C$8000,"*"&amp;$B359&amp;"*",'Timesheet Raw'!$L$4:$L$8000,"&gt;="&amp;MAX(O$5,DATE(2000+VALUE(RIGHT(TRIM($A359),2)),1,1)),'Timesheet Raw'!$L$4:$L$8000,"&lt;="&amp;MIN(O$6,DATE(2000+VALUE(RIGHT(TRIM($A359),2)),12,31))),SUMIFS('Timesheet Raw'!$P$4:$P$8000,'Timesheet Raw'!$B$4:$B$8000,TRIM($A359),'Timesheet Raw'!$C$4:$C$8000,"*"&amp;$B359&amp;"*",'Timesheet Raw'!$L$4:$L$8000,"&gt;="&amp;O$5,'Timesheet Raw'!$L$4:$L$8000,"&lt;="&amp;O$6)))/'Profit Plan'!$B$5)</f>
        <v>0</v>
      </c>
      <c r="P359" s="122">
        <f>IF($A359="","",(IF(ISNUMBER(SEARCH("Proposal",$A359)),SUMIFS('Timesheet Raw'!$P$4:$P$8000,'Timesheet Raw'!$A$4:$A$8000,IF(ISNUMBER(SEARCH("Chargable",$A359)),"2-Proposals Chargeable","3-Proposals Regular"),'Timesheet Raw'!$C$4:$C$8000,"*"&amp;$B359&amp;"*",'Timesheet Raw'!$L$4:$L$8000,"&gt;="&amp;MAX(P$5,DATE(2000+VALUE(RIGHT(TRIM($A359),2)),1,1)),'Timesheet Raw'!$L$4:$L$8000,"&lt;="&amp;MIN(P$6,DATE(2000+VALUE(RIGHT(TRIM($A359),2)),12,31))),SUMIFS('Timesheet Raw'!$P$4:$P$8000,'Timesheet Raw'!$B$4:$B$8000,TRIM($A359),'Timesheet Raw'!$C$4:$C$8000,"*"&amp;$B359&amp;"*",'Timesheet Raw'!$L$4:$L$8000,"&gt;="&amp;P$5,'Timesheet Raw'!$L$4:$L$8000,"&lt;="&amp;P$6)))/'Profit Plan'!$B$5)</f>
        <v>0</v>
      </c>
      <c r="Q359" s="122">
        <f>IF($A359="","",(IF(ISNUMBER(SEARCH("Proposal",$A359)),SUMIFS('Timesheet Raw'!$P$4:$P$8000,'Timesheet Raw'!$A$4:$A$8000,IF(ISNUMBER(SEARCH("Chargable",$A359)),"2-Proposals Chargeable","3-Proposals Regular"),'Timesheet Raw'!$C$4:$C$8000,"*"&amp;$B359&amp;"*",'Timesheet Raw'!$L$4:$L$8000,"&gt;="&amp;MAX(Q$5,DATE(2000+VALUE(RIGHT(TRIM($A359),2)),1,1)),'Timesheet Raw'!$L$4:$L$8000,"&lt;="&amp;MIN(Q$6,DATE(2000+VALUE(RIGHT(TRIM($A359),2)),12,31))),SUMIFS('Timesheet Raw'!$P$4:$P$8000,'Timesheet Raw'!$B$4:$B$8000,TRIM($A359),'Timesheet Raw'!$C$4:$C$8000,"*"&amp;$B359&amp;"*",'Timesheet Raw'!$L$4:$L$8000,"&gt;="&amp;Q$5,'Timesheet Raw'!$L$4:$L$8000,"&lt;="&amp;Q$6)))/'Profit Plan'!$B$5)</f>
        <v>0</v>
      </c>
      <c r="R359" s="122">
        <f>IF($A359="","",(IF(ISNUMBER(SEARCH("Proposal",$A359)),SUMIFS('Timesheet Raw'!$P$4:$P$8000,'Timesheet Raw'!$A$4:$A$8000,IF(ISNUMBER(SEARCH("Chargable",$A359)),"2-Proposals Chargeable","3-Proposals Regular"),'Timesheet Raw'!$C$4:$C$8000,"*"&amp;$B359&amp;"*",'Timesheet Raw'!$L$4:$L$8000,"&gt;="&amp;MAX(R$5,DATE(2000+VALUE(RIGHT(TRIM($A359),2)),1,1)),'Timesheet Raw'!$L$4:$L$8000,"&lt;="&amp;MIN(R$6,DATE(2000+VALUE(RIGHT(TRIM($A359),2)),12,31))),SUMIFS('Timesheet Raw'!$P$4:$P$8000,'Timesheet Raw'!$B$4:$B$8000,TRIM($A359),'Timesheet Raw'!$C$4:$C$8000,"*"&amp;$B359&amp;"*",'Timesheet Raw'!$L$4:$L$8000,"&gt;="&amp;R$5,'Timesheet Raw'!$L$4:$L$8000,"&lt;="&amp;R$6)))/'Profit Plan'!$B$5)</f>
        <v>0</v>
      </c>
      <c r="S359" s="122">
        <f>IF($A359="","",(IF(ISNUMBER(SEARCH("Proposal",$A359)),SUMIFS('Timesheet Raw'!$P$4:$P$8000,'Timesheet Raw'!$A$4:$A$8000,IF(ISNUMBER(SEARCH("Chargable",$A359)),"2-Proposals Chargeable","3-Proposals Regular"),'Timesheet Raw'!$C$4:$C$8000,"*"&amp;$B359&amp;"*",'Timesheet Raw'!$L$4:$L$8000,"&gt;="&amp;MAX(S$5,DATE(2000+VALUE(RIGHT(TRIM($A359),2)),1,1)),'Timesheet Raw'!$L$4:$L$8000,"&lt;="&amp;MIN(S$6,DATE(2000+VALUE(RIGHT(TRIM($A359),2)),12,31))),SUMIFS('Timesheet Raw'!$P$4:$P$8000,'Timesheet Raw'!$B$4:$B$8000,TRIM($A359),'Timesheet Raw'!$C$4:$C$8000,"*"&amp;$B359&amp;"*",'Timesheet Raw'!$L$4:$L$8000,"&gt;="&amp;S$5,'Timesheet Raw'!$L$4:$L$8000,"&lt;="&amp;S$6)))/'Profit Plan'!$B$5)</f>
        <v>0</v>
      </c>
      <c r="T359" s="122">
        <f>IF($A359="","",(IF(ISNUMBER(SEARCH("Proposal",$A359)),SUMIFS('Timesheet Raw'!$P$4:$P$8000,'Timesheet Raw'!$A$4:$A$8000,IF(ISNUMBER(SEARCH("Chargable",$A359)),"2-Proposals Chargeable","3-Proposals Regular"),'Timesheet Raw'!$C$4:$C$8000,"*"&amp;$B359&amp;"*",'Timesheet Raw'!$L$4:$L$8000,"&gt;="&amp;MAX(T$5,DATE(2000+VALUE(RIGHT(TRIM($A359),2)),1,1)),'Timesheet Raw'!$L$4:$L$8000,"&lt;="&amp;MIN(T$6,DATE(2000+VALUE(RIGHT(TRIM($A359),2)),12,31))),SUMIFS('Timesheet Raw'!$P$4:$P$8000,'Timesheet Raw'!$B$4:$B$8000,TRIM($A359),'Timesheet Raw'!$C$4:$C$8000,"*"&amp;$B359&amp;"*",'Timesheet Raw'!$L$4:$L$8000,"&gt;="&amp;T$5,'Timesheet Raw'!$L$4:$L$8000,"&lt;="&amp;T$6)))/'Profit Plan'!$B$5)</f>
        <v>0</v>
      </c>
      <c r="U359" s="122">
        <f>IF($A359="","",(IF(ISNUMBER(SEARCH("Proposal",$A359)),SUMIFS('Timesheet Raw'!$P$4:$P$8000,'Timesheet Raw'!$A$4:$A$8000,IF(ISNUMBER(SEARCH("Chargable",$A359)),"2-Proposals Chargeable","3-Proposals Regular"),'Timesheet Raw'!$C$4:$C$8000,"*"&amp;$B359&amp;"*",'Timesheet Raw'!$L$4:$L$8000,"&gt;="&amp;MAX(U$5,DATE(2000+VALUE(RIGHT(TRIM($A359),2)),1,1)),'Timesheet Raw'!$L$4:$L$8000,"&lt;="&amp;MIN(U$6,DATE(2000+VALUE(RIGHT(TRIM($A359),2)),12,31))),SUMIFS('Timesheet Raw'!$P$4:$P$8000,'Timesheet Raw'!$B$4:$B$8000,TRIM($A359),'Timesheet Raw'!$C$4:$C$8000,"*"&amp;$B359&amp;"*",'Timesheet Raw'!$L$4:$L$8000,"&gt;="&amp;U$5,'Timesheet Raw'!$L$4:$L$8000,"&lt;="&amp;U$6)))/'Profit Plan'!$B$5)</f>
        <v>0</v>
      </c>
      <c r="V359" s="122">
        <f>IF($A359="","",(IF(ISNUMBER(SEARCH("Proposal",$A359)),SUMIFS('Timesheet Raw'!$P$4:$P$8000,'Timesheet Raw'!$A$4:$A$8000,IF(ISNUMBER(SEARCH("Chargable",$A359)),"2-Proposals Chargeable","3-Proposals Regular"),'Timesheet Raw'!$C$4:$C$8000,"*"&amp;$B359&amp;"*",'Timesheet Raw'!$L$4:$L$8000,"&gt;="&amp;MAX(V$5,DATE(2000+VALUE(RIGHT(TRIM($A359),2)),1,1)),'Timesheet Raw'!$L$4:$L$8000,"&lt;="&amp;MIN(V$6,DATE(2000+VALUE(RIGHT(TRIM($A359),2)),12,31))),SUMIFS('Timesheet Raw'!$P$4:$P$8000,'Timesheet Raw'!$B$4:$B$8000,TRIM($A359),'Timesheet Raw'!$C$4:$C$8000,"*"&amp;$B359&amp;"*",'Timesheet Raw'!$L$4:$L$8000,"&gt;="&amp;V$5,'Timesheet Raw'!$L$4:$L$8000,"&lt;="&amp;V$6)))/'Profit Plan'!$B$5)</f>
        <v>0</v>
      </c>
      <c r="W359" s="122">
        <f>IF($A359="","",(IF(ISNUMBER(SEARCH("Proposal",$A359)),SUMIFS('Timesheet Raw'!$P$4:$P$8000,'Timesheet Raw'!$A$4:$A$8000,IF(ISNUMBER(SEARCH("Chargable",$A359)),"2-Proposals Chargeable","3-Proposals Regular"),'Timesheet Raw'!$C$4:$C$8000,"*"&amp;$B359&amp;"*",'Timesheet Raw'!$L$4:$L$8000,"&gt;="&amp;MAX(W$5,DATE(2000+VALUE(RIGHT(TRIM($A359),2)),1,1)),'Timesheet Raw'!$L$4:$L$8000,"&lt;="&amp;MIN(W$6,DATE(2000+VALUE(RIGHT(TRIM($A359),2)),12,31))),SUMIFS('Timesheet Raw'!$P$4:$P$8000,'Timesheet Raw'!$B$4:$B$8000,TRIM($A359),'Timesheet Raw'!$C$4:$C$8000,"*"&amp;$B359&amp;"*",'Timesheet Raw'!$L$4:$L$8000,"&gt;="&amp;W$5,'Timesheet Raw'!$L$4:$L$8000,"&lt;="&amp;W$6)))/'Profit Plan'!$B$5)</f>
        <v>0</v>
      </c>
      <c r="X359" s="122">
        <f>IF($A359="","",(IF(ISNUMBER(SEARCH("Proposal",$A359)),SUMIFS('Timesheet Raw'!$P$4:$P$8000,'Timesheet Raw'!$A$4:$A$8000,IF(ISNUMBER(SEARCH("Chargable",$A359)),"2-Proposals Chargeable","3-Proposals Regular"),'Timesheet Raw'!$C$4:$C$8000,"*"&amp;$B359&amp;"*",'Timesheet Raw'!$L$4:$L$8000,"&gt;="&amp;MAX(X$5,DATE(2000+VALUE(RIGHT(TRIM($A359),2)),1,1)),'Timesheet Raw'!$L$4:$L$8000,"&lt;="&amp;MIN(X$6,DATE(2000+VALUE(RIGHT(TRIM($A359),2)),12,31))),SUMIFS('Timesheet Raw'!$P$4:$P$8000,'Timesheet Raw'!$B$4:$B$8000,TRIM($A359),'Timesheet Raw'!$C$4:$C$8000,"*"&amp;$B359&amp;"*",'Timesheet Raw'!$L$4:$L$8000,"&gt;="&amp;X$5,'Timesheet Raw'!$L$4:$L$8000,"&lt;="&amp;X$6)))/'Profit Plan'!$B$5)</f>
        <v>0</v>
      </c>
      <c r="Y359" s="118">
        <f t="shared" si="101"/>
        <v>0</v>
      </c>
    </row>
    <row r="360" spans="1:25" x14ac:dyDescent="0.3">
      <c r="A360" s="116" t="str">
        <f>IF(Inputs!$A37="","",Inputs!$A37)</f>
        <v>OM23030-0100D</v>
      </c>
      <c r="B360" s="116" t="str">
        <f>IF(Inputs!$A37="","",Inputs!$A$93)</f>
        <v>Kirolos</v>
      </c>
      <c r="C360" s="116"/>
      <c r="D360" s="122">
        <f>IF($A360="","",(IF(ISNUMBER(SEARCH("Proposal",$A360)),SUMIFS('Timesheet Raw'!$P$4:$P$8000,'Timesheet Raw'!$A$4:$A$8000,IF(ISNUMBER(SEARCH("Chargable",$A360)),"2-Proposals Chargeable","3-Proposals Regular"),'Timesheet Raw'!$C$4:$C$8000,"*"&amp;$B360&amp;"*",'Timesheet Raw'!$L$4:$L$8000,"&gt;="&amp;MAX(D$5,DATE(2000+VALUE(RIGHT(TRIM($A360),2)),1,1)),'Timesheet Raw'!$L$4:$L$8000,"&lt;="&amp;MIN(D$6,DATE(2000+VALUE(RIGHT(TRIM($A360),2)),12,31))),SUMIFS('Timesheet Raw'!$P$4:$P$8000,'Timesheet Raw'!$B$4:$B$8000,TRIM($A360),'Timesheet Raw'!$C$4:$C$8000,"*"&amp;$B360&amp;"*",'Timesheet Raw'!$L$4:$L$8000,"&gt;="&amp;D$5,'Timesheet Raw'!$L$4:$L$8000,"&lt;="&amp;D$6)))/'Profit Plan'!$B$5)</f>
        <v>0</v>
      </c>
      <c r="E360" s="122">
        <f>IF($A360="","",(IF(ISNUMBER(SEARCH("Proposal",$A360)),SUMIFS('Timesheet Raw'!$P$4:$P$8000,'Timesheet Raw'!$A$4:$A$8000,IF(ISNUMBER(SEARCH("Chargable",$A360)),"2-Proposals Chargeable","3-Proposals Regular"),'Timesheet Raw'!$C$4:$C$8000,"*"&amp;$B360&amp;"*",'Timesheet Raw'!$L$4:$L$8000,"&gt;="&amp;MAX(E$5,DATE(2000+VALUE(RIGHT(TRIM($A360),2)),1,1)),'Timesheet Raw'!$L$4:$L$8000,"&lt;="&amp;MIN(E$6,DATE(2000+VALUE(RIGHT(TRIM($A360),2)),12,31))),SUMIFS('Timesheet Raw'!$P$4:$P$8000,'Timesheet Raw'!$B$4:$B$8000,TRIM($A360),'Timesheet Raw'!$C$4:$C$8000,"*"&amp;$B360&amp;"*",'Timesheet Raw'!$L$4:$L$8000,"&gt;="&amp;E$5,'Timesheet Raw'!$L$4:$L$8000,"&lt;="&amp;E$6)))/'Profit Plan'!$B$5)</f>
        <v>0</v>
      </c>
      <c r="F360" s="122">
        <f>IF($A360="","",(IF(ISNUMBER(SEARCH("Proposal",$A360)),SUMIFS('Timesheet Raw'!$P$4:$P$8000,'Timesheet Raw'!$A$4:$A$8000,IF(ISNUMBER(SEARCH("Chargable",$A360)),"2-Proposals Chargeable","3-Proposals Regular"),'Timesheet Raw'!$C$4:$C$8000,"*"&amp;$B360&amp;"*",'Timesheet Raw'!$L$4:$L$8000,"&gt;="&amp;MAX(F$5,DATE(2000+VALUE(RIGHT(TRIM($A360),2)),1,1)),'Timesheet Raw'!$L$4:$L$8000,"&lt;="&amp;MIN(F$6,DATE(2000+VALUE(RIGHT(TRIM($A360),2)),12,31))),SUMIFS('Timesheet Raw'!$P$4:$P$8000,'Timesheet Raw'!$B$4:$B$8000,TRIM($A360),'Timesheet Raw'!$C$4:$C$8000,"*"&amp;$B360&amp;"*",'Timesheet Raw'!$L$4:$L$8000,"&gt;="&amp;F$5,'Timesheet Raw'!$L$4:$L$8000,"&lt;="&amp;F$6)))/'Profit Plan'!$B$5)</f>
        <v>0</v>
      </c>
      <c r="G360" s="122">
        <f>IF($A360="","",(IF(ISNUMBER(SEARCH("Proposal",$A360)),SUMIFS('Timesheet Raw'!$P$4:$P$8000,'Timesheet Raw'!$A$4:$A$8000,IF(ISNUMBER(SEARCH("Chargable",$A360)),"2-Proposals Chargeable","3-Proposals Regular"),'Timesheet Raw'!$C$4:$C$8000,"*"&amp;$B360&amp;"*",'Timesheet Raw'!$L$4:$L$8000,"&gt;="&amp;MAX(G$5,DATE(2000+VALUE(RIGHT(TRIM($A360),2)),1,1)),'Timesheet Raw'!$L$4:$L$8000,"&lt;="&amp;MIN(G$6,DATE(2000+VALUE(RIGHT(TRIM($A360),2)),12,31))),SUMIFS('Timesheet Raw'!$P$4:$P$8000,'Timesheet Raw'!$B$4:$B$8000,TRIM($A360),'Timesheet Raw'!$C$4:$C$8000,"*"&amp;$B360&amp;"*",'Timesheet Raw'!$L$4:$L$8000,"&gt;="&amp;G$5,'Timesheet Raw'!$L$4:$L$8000,"&lt;="&amp;G$6)))/'Profit Plan'!$B$5)</f>
        <v>0</v>
      </c>
      <c r="H360" s="122">
        <f>IF($A360="","",(IF(ISNUMBER(SEARCH("Proposal",$A360)),SUMIFS('Timesheet Raw'!$P$4:$P$8000,'Timesheet Raw'!$A$4:$A$8000,IF(ISNUMBER(SEARCH("Chargable",$A360)),"2-Proposals Chargeable","3-Proposals Regular"),'Timesheet Raw'!$C$4:$C$8000,"*"&amp;$B360&amp;"*",'Timesheet Raw'!$L$4:$L$8000,"&gt;="&amp;MAX(H$5,DATE(2000+VALUE(RIGHT(TRIM($A360),2)),1,1)),'Timesheet Raw'!$L$4:$L$8000,"&lt;="&amp;MIN(H$6,DATE(2000+VALUE(RIGHT(TRIM($A360),2)),12,31))),SUMIFS('Timesheet Raw'!$P$4:$P$8000,'Timesheet Raw'!$B$4:$B$8000,TRIM($A360),'Timesheet Raw'!$C$4:$C$8000,"*"&amp;$B360&amp;"*",'Timesheet Raw'!$L$4:$L$8000,"&gt;="&amp;H$5,'Timesheet Raw'!$L$4:$L$8000,"&lt;="&amp;H$6)))/'Profit Plan'!$B$5)</f>
        <v>0</v>
      </c>
      <c r="I360" s="122">
        <f>IF($A360="","",(IF(ISNUMBER(SEARCH("Proposal",$A360)),SUMIFS('Timesheet Raw'!$P$4:$P$8000,'Timesheet Raw'!$A$4:$A$8000,IF(ISNUMBER(SEARCH("Chargable",$A360)),"2-Proposals Chargeable","3-Proposals Regular"),'Timesheet Raw'!$C$4:$C$8000,"*"&amp;$B360&amp;"*",'Timesheet Raw'!$L$4:$L$8000,"&gt;="&amp;MAX(I$5,DATE(2000+VALUE(RIGHT(TRIM($A360),2)),1,1)),'Timesheet Raw'!$L$4:$L$8000,"&lt;="&amp;MIN(I$6,DATE(2000+VALUE(RIGHT(TRIM($A360),2)),12,31))),SUMIFS('Timesheet Raw'!$P$4:$P$8000,'Timesheet Raw'!$B$4:$B$8000,TRIM($A360),'Timesheet Raw'!$C$4:$C$8000,"*"&amp;$B360&amp;"*",'Timesheet Raw'!$L$4:$L$8000,"&gt;="&amp;I$5,'Timesheet Raw'!$L$4:$L$8000,"&lt;="&amp;I$6)))/'Profit Plan'!$B$5)</f>
        <v>0</v>
      </c>
      <c r="J360" s="122">
        <f>IF($A360="","",(IF(ISNUMBER(SEARCH("Proposal",$A360)),SUMIFS('Timesheet Raw'!$P$4:$P$8000,'Timesheet Raw'!$A$4:$A$8000,IF(ISNUMBER(SEARCH("Chargable",$A360)),"2-Proposals Chargeable","3-Proposals Regular"),'Timesheet Raw'!$C$4:$C$8000,"*"&amp;$B360&amp;"*",'Timesheet Raw'!$L$4:$L$8000,"&gt;="&amp;MAX(J$5,DATE(2000+VALUE(RIGHT(TRIM($A360),2)),1,1)),'Timesheet Raw'!$L$4:$L$8000,"&lt;="&amp;MIN(J$6,DATE(2000+VALUE(RIGHT(TRIM($A360),2)),12,31))),SUMIFS('Timesheet Raw'!$P$4:$P$8000,'Timesheet Raw'!$B$4:$B$8000,TRIM($A360),'Timesheet Raw'!$C$4:$C$8000,"*"&amp;$B360&amp;"*",'Timesheet Raw'!$L$4:$L$8000,"&gt;="&amp;J$5,'Timesheet Raw'!$L$4:$L$8000,"&lt;="&amp;J$6)))/'Profit Plan'!$B$5)</f>
        <v>0</v>
      </c>
      <c r="K360" s="122">
        <f>IF($A360="","",(IF(ISNUMBER(SEARCH("Proposal",$A360)),SUMIFS('Timesheet Raw'!$P$4:$P$8000,'Timesheet Raw'!$A$4:$A$8000,IF(ISNUMBER(SEARCH("Chargable",$A360)),"2-Proposals Chargeable","3-Proposals Regular"),'Timesheet Raw'!$C$4:$C$8000,"*"&amp;$B360&amp;"*",'Timesheet Raw'!$L$4:$L$8000,"&gt;="&amp;MAX(K$5,DATE(2000+VALUE(RIGHT(TRIM($A360),2)),1,1)),'Timesheet Raw'!$L$4:$L$8000,"&lt;="&amp;MIN(K$6,DATE(2000+VALUE(RIGHT(TRIM($A360),2)),12,31))),SUMIFS('Timesheet Raw'!$P$4:$P$8000,'Timesheet Raw'!$B$4:$B$8000,TRIM($A360),'Timesheet Raw'!$C$4:$C$8000,"*"&amp;$B360&amp;"*",'Timesheet Raw'!$L$4:$L$8000,"&gt;="&amp;K$5,'Timesheet Raw'!$L$4:$L$8000,"&lt;="&amp;K$6)))/'Profit Plan'!$B$5)</f>
        <v>0</v>
      </c>
      <c r="L360" s="122">
        <f>IF($A360="","",(IF(ISNUMBER(SEARCH("Proposal",$A360)),SUMIFS('Timesheet Raw'!$P$4:$P$8000,'Timesheet Raw'!$A$4:$A$8000,IF(ISNUMBER(SEARCH("Chargable",$A360)),"2-Proposals Chargeable","3-Proposals Regular"),'Timesheet Raw'!$C$4:$C$8000,"*"&amp;$B360&amp;"*",'Timesheet Raw'!$L$4:$L$8000,"&gt;="&amp;MAX(L$5,DATE(2000+VALUE(RIGHT(TRIM($A360),2)),1,1)),'Timesheet Raw'!$L$4:$L$8000,"&lt;="&amp;MIN(L$6,DATE(2000+VALUE(RIGHT(TRIM($A360),2)),12,31))),SUMIFS('Timesheet Raw'!$P$4:$P$8000,'Timesheet Raw'!$B$4:$B$8000,TRIM($A360),'Timesheet Raw'!$C$4:$C$8000,"*"&amp;$B360&amp;"*",'Timesheet Raw'!$L$4:$L$8000,"&gt;="&amp;L$5,'Timesheet Raw'!$L$4:$L$8000,"&lt;="&amp;L$6)))/'Profit Plan'!$B$5)</f>
        <v>0</v>
      </c>
      <c r="M360" s="122">
        <f>IF($A360="","",(IF(ISNUMBER(SEARCH("Proposal",$A360)),SUMIFS('Timesheet Raw'!$P$4:$P$8000,'Timesheet Raw'!$A$4:$A$8000,IF(ISNUMBER(SEARCH("Chargable",$A360)),"2-Proposals Chargeable","3-Proposals Regular"),'Timesheet Raw'!$C$4:$C$8000,"*"&amp;$B360&amp;"*",'Timesheet Raw'!$L$4:$L$8000,"&gt;="&amp;MAX(M$5,DATE(2000+VALUE(RIGHT(TRIM($A360),2)),1,1)),'Timesheet Raw'!$L$4:$L$8000,"&lt;="&amp;MIN(M$6,DATE(2000+VALUE(RIGHT(TRIM($A360),2)),12,31))),SUMIFS('Timesheet Raw'!$P$4:$P$8000,'Timesheet Raw'!$B$4:$B$8000,TRIM($A360),'Timesheet Raw'!$C$4:$C$8000,"*"&amp;$B360&amp;"*",'Timesheet Raw'!$L$4:$L$8000,"&gt;="&amp;M$5,'Timesheet Raw'!$L$4:$L$8000,"&lt;="&amp;M$6)))/'Profit Plan'!$B$5)</f>
        <v>0</v>
      </c>
      <c r="N360" s="122">
        <f>IF($A360="","",(IF(ISNUMBER(SEARCH("Proposal",$A360)),SUMIFS('Timesheet Raw'!$P$4:$P$8000,'Timesheet Raw'!$A$4:$A$8000,IF(ISNUMBER(SEARCH("Chargable",$A360)),"2-Proposals Chargeable","3-Proposals Regular"),'Timesheet Raw'!$C$4:$C$8000,"*"&amp;$B360&amp;"*",'Timesheet Raw'!$L$4:$L$8000,"&gt;="&amp;MAX(N$5,DATE(2000+VALUE(RIGHT(TRIM($A360),2)),1,1)),'Timesheet Raw'!$L$4:$L$8000,"&lt;="&amp;MIN(N$6,DATE(2000+VALUE(RIGHT(TRIM($A360),2)),12,31))),SUMIFS('Timesheet Raw'!$P$4:$P$8000,'Timesheet Raw'!$B$4:$B$8000,TRIM($A360),'Timesheet Raw'!$C$4:$C$8000,"*"&amp;$B360&amp;"*",'Timesheet Raw'!$L$4:$L$8000,"&gt;="&amp;N$5,'Timesheet Raw'!$L$4:$L$8000,"&lt;="&amp;N$6)))/'Profit Plan'!$B$5)</f>
        <v>0</v>
      </c>
      <c r="O360" s="122">
        <f>IF($A360="","",(IF(ISNUMBER(SEARCH("Proposal",$A360)),SUMIFS('Timesheet Raw'!$P$4:$P$8000,'Timesheet Raw'!$A$4:$A$8000,IF(ISNUMBER(SEARCH("Chargable",$A360)),"2-Proposals Chargeable","3-Proposals Regular"),'Timesheet Raw'!$C$4:$C$8000,"*"&amp;$B360&amp;"*",'Timesheet Raw'!$L$4:$L$8000,"&gt;="&amp;MAX(O$5,DATE(2000+VALUE(RIGHT(TRIM($A360),2)),1,1)),'Timesheet Raw'!$L$4:$L$8000,"&lt;="&amp;MIN(O$6,DATE(2000+VALUE(RIGHT(TRIM($A360),2)),12,31))),SUMIFS('Timesheet Raw'!$P$4:$P$8000,'Timesheet Raw'!$B$4:$B$8000,TRIM($A360),'Timesheet Raw'!$C$4:$C$8000,"*"&amp;$B360&amp;"*",'Timesheet Raw'!$L$4:$L$8000,"&gt;="&amp;O$5,'Timesheet Raw'!$L$4:$L$8000,"&lt;="&amp;O$6)))/'Profit Plan'!$B$5)</f>
        <v>0</v>
      </c>
      <c r="P360" s="122">
        <f>IF($A360="","",(IF(ISNUMBER(SEARCH("Proposal",$A360)),SUMIFS('Timesheet Raw'!$P$4:$P$8000,'Timesheet Raw'!$A$4:$A$8000,IF(ISNUMBER(SEARCH("Chargable",$A360)),"2-Proposals Chargeable","3-Proposals Regular"),'Timesheet Raw'!$C$4:$C$8000,"*"&amp;$B360&amp;"*",'Timesheet Raw'!$L$4:$L$8000,"&gt;="&amp;MAX(P$5,DATE(2000+VALUE(RIGHT(TRIM($A360),2)),1,1)),'Timesheet Raw'!$L$4:$L$8000,"&lt;="&amp;MIN(P$6,DATE(2000+VALUE(RIGHT(TRIM($A360),2)),12,31))),SUMIFS('Timesheet Raw'!$P$4:$P$8000,'Timesheet Raw'!$B$4:$B$8000,TRIM($A360),'Timesheet Raw'!$C$4:$C$8000,"*"&amp;$B360&amp;"*",'Timesheet Raw'!$L$4:$L$8000,"&gt;="&amp;P$5,'Timesheet Raw'!$L$4:$L$8000,"&lt;="&amp;P$6)))/'Profit Plan'!$B$5)</f>
        <v>0</v>
      </c>
      <c r="Q360" s="122">
        <f>IF($A360="","",(IF(ISNUMBER(SEARCH("Proposal",$A360)),SUMIFS('Timesheet Raw'!$P$4:$P$8000,'Timesheet Raw'!$A$4:$A$8000,IF(ISNUMBER(SEARCH("Chargable",$A360)),"2-Proposals Chargeable","3-Proposals Regular"),'Timesheet Raw'!$C$4:$C$8000,"*"&amp;$B360&amp;"*",'Timesheet Raw'!$L$4:$L$8000,"&gt;="&amp;MAX(Q$5,DATE(2000+VALUE(RIGHT(TRIM($A360),2)),1,1)),'Timesheet Raw'!$L$4:$L$8000,"&lt;="&amp;MIN(Q$6,DATE(2000+VALUE(RIGHT(TRIM($A360),2)),12,31))),SUMIFS('Timesheet Raw'!$P$4:$P$8000,'Timesheet Raw'!$B$4:$B$8000,TRIM($A360),'Timesheet Raw'!$C$4:$C$8000,"*"&amp;$B360&amp;"*",'Timesheet Raw'!$L$4:$L$8000,"&gt;="&amp;Q$5,'Timesheet Raw'!$L$4:$L$8000,"&lt;="&amp;Q$6)))/'Profit Plan'!$B$5)</f>
        <v>0</v>
      </c>
      <c r="R360" s="122">
        <f>IF($A360="","",(IF(ISNUMBER(SEARCH("Proposal",$A360)),SUMIFS('Timesheet Raw'!$P$4:$P$8000,'Timesheet Raw'!$A$4:$A$8000,IF(ISNUMBER(SEARCH("Chargable",$A360)),"2-Proposals Chargeable","3-Proposals Regular"),'Timesheet Raw'!$C$4:$C$8000,"*"&amp;$B360&amp;"*",'Timesheet Raw'!$L$4:$L$8000,"&gt;="&amp;MAX(R$5,DATE(2000+VALUE(RIGHT(TRIM($A360),2)),1,1)),'Timesheet Raw'!$L$4:$L$8000,"&lt;="&amp;MIN(R$6,DATE(2000+VALUE(RIGHT(TRIM($A360),2)),12,31))),SUMIFS('Timesheet Raw'!$P$4:$P$8000,'Timesheet Raw'!$B$4:$B$8000,TRIM($A360),'Timesheet Raw'!$C$4:$C$8000,"*"&amp;$B360&amp;"*",'Timesheet Raw'!$L$4:$L$8000,"&gt;="&amp;R$5,'Timesheet Raw'!$L$4:$L$8000,"&lt;="&amp;R$6)))/'Profit Plan'!$B$5)</f>
        <v>0</v>
      </c>
      <c r="S360" s="122">
        <f>IF($A360="","",(IF(ISNUMBER(SEARCH("Proposal",$A360)),SUMIFS('Timesheet Raw'!$P$4:$P$8000,'Timesheet Raw'!$A$4:$A$8000,IF(ISNUMBER(SEARCH("Chargable",$A360)),"2-Proposals Chargeable","3-Proposals Regular"),'Timesheet Raw'!$C$4:$C$8000,"*"&amp;$B360&amp;"*",'Timesheet Raw'!$L$4:$L$8000,"&gt;="&amp;MAX(S$5,DATE(2000+VALUE(RIGHT(TRIM($A360),2)),1,1)),'Timesheet Raw'!$L$4:$L$8000,"&lt;="&amp;MIN(S$6,DATE(2000+VALUE(RIGHT(TRIM($A360),2)),12,31))),SUMIFS('Timesheet Raw'!$P$4:$P$8000,'Timesheet Raw'!$B$4:$B$8000,TRIM($A360),'Timesheet Raw'!$C$4:$C$8000,"*"&amp;$B360&amp;"*",'Timesheet Raw'!$L$4:$L$8000,"&gt;="&amp;S$5,'Timesheet Raw'!$L$4:$L$8000,"&lt;="&amp;S$6)))/'Profit Plan'!$B$5)</f>
        <v>0</v>
      </c>
      <c r="T360" s="122">
        <f>IF($A360="","",(IF(ISNUMBER(SEARCH("Proposal",$A360)),SUMIFS('Timesheet Raw'!$P$4:$P$8000,'Timesheet Raw'!$A$4:$A$8000,IF(ISNUMBER(SEARCH("Chargable",$A360)),"2-Proposals Chargeable","3-Proposals Regular"),'Timesheet Raw'!$C$4:$C$8000,"*"&amp;$B360&amp;"*",'Timesheet Raw'!$L$4:$L$8000,"&gt;="&amp;MAX(T$5,DATE(2000+VALUE(RIGHT(TRIM($A360),2)),1,1)),'Timesheet Raw'!$L$4:$L$8000,"&lt;="&amp;MIN(T$6,DATE(2000+VALUE(RIGHT(TRIM($A360),2)),12,31))),SUMIFS('Timesheet Raw'!$P$4:$P$8000,'Timesheet Raw'!$B$4:$B$8000,TRIM($A360),'Timesheet Raw'!$C$4:$C$8000,"*"&amp;$B360&amp;"*",'Timesheet Raw'!$L$4:$L$8000,"&gt;="&amp;T$5,'Timesheet Raw'!$L$4:$L$8000,"&lt;="&amp;T$6)))/'Profit Plan'!$B$5)</f>
        <v>0</v>
      </c>
      <c r="U360" s="122">
        <f>IF($A360="","",(IF(ISNUMBER(SEARCH("Proposal",$A360)),SUMIFS('Timesheet Raw'!$P$4:$P$8000,'Timesheet Raw'!$A$4:$A$8000,IF(ISNUMBER(SEARCH("Chargable",$A360)),"2-Proposals Chargeable","3-Proposals Regular"),'Timesheet Raw'!$C$4:$C$8000,"*"&amp;$B360&amp;"*",'Timesheet Raw'!$L$4:$L$8000,"&gt;="&amp;MAX(U$5,DATE(2000+VALUE(RIGHT(TRIM($A360),2)),1,1)),'Timesheet Raw'!$L$4:$L$8000,"&lt;="&amp;MIN(U$6,DATE(2000+VALUE(RIGHT(TRIM($A360),2)),12,31))),SUMIFS('Timesheet Raw'!$P$4:$P$8000,'Timesheet Raw'!$B$4:$B$8000,TRIM($A360),'Timesheet Raw'!$C$4:$C$8000,"*"&amp;$B360&amp;"*",'Timesheet Raw'!$L$4:$L$8000,"&gt;="&amp;U$5,'Timesheet Raw'!$L$4:$L$8000,"&lt;="&amp;U$6)))/'Profit Plan'!$B$5)</f>
        <v>0</v>
      </c>
      <c r="V360" s="122">
        <f>IF($A360="","",(IF(ISNUMBER(SEARCH("Proposal",$A360)),SUMIFS('Timesheet Raw'!$P$4:$P$8000,'Timesheet Raw'!$A$4:$A$8000,IF(ISNUMBER(SEARCH("Chargable",$A360)),"2-Proposals Chargeable","3-Proposals Regular"),'Timesheet Raw'!$C$4:$C$8000,"*"&amp;$B360&amp;"*",'Timesheet Raw'!$L$4:$L$8000,"&gt;="&amp;MAX(V$5,DATE(2000+VALUE(RIGHT(TRIM($A360),2)),1,1)),'Timesheet Raw'!$L$4:$L$8000,"&lt;="&amp;MIN(V$6,DATE(2000+VALUE(RIGHT(TRIM($A360),2)),12,31))),SUMIFS('Timesheet Raw'!$P$4:$P$8000,'Timesheet Raw'!$B$4:$B$8000,TRIM($A360),'Timesheet Raw'!$C$4:$C$8000,"*"&amp;$B360&amp;"*",'Timesheet Raw'!$L$4:$L$8000,"&gt;="&amp;V$5,'Timesheet Raw'!$L$4:$L$8000,"&lt;="&amp;V$6)))/'Profit Plan'!$B$5)</f>
        <v>0</v>
      </c>
      <c r="W360" s="122">
        <f>IF($A360="","",(IF(ISNUMBER(SEARCH("Proposal",$A360)),SUMIFS('Timesheet Raw'!$P$4:$P$8000,'Timesheet Raw'!$A$4:$A$8000,IF(ISNUMBER(SEARCH("Chargable",$A360)),"2-Proposals Chargeable","3-Proposals Regular"),'Timesheet Raw'!$C$4:$C$8000,"*"&amp;$B360&amp;"*",'Timesheet Raw'!$L$4:$L$8000,"&gt;="&amp;MAX(W$5,DATE(2000+VALUE(RIGHT(TRIM($A360),2)),1,1)),'Timesheet Raw'!$L$4:$L$8000,"&lt;="&amp;MIN(W$6,DATE(2000+VALUE(RIGHT(TRIM($A360),2)),12,31))),SUMIFS('Timesheet Raw'!$P$4:$P$8000,'Timesheet Raw'!$B$4:$B$8000,TRIM($A360),'Timesheet Raw'!$C$4:$C$8000,"*"&amp;$B360&amp;"*",'Timesheet Raw'!$L$4:$L$8000,"&gt;="&amp;W$5,'Timesheet Raw'!$L$4:$L$8000,"&lt;="&amp;W$6)))/'Profit Plan'!$B$5)</f>
        <v>0</v>
      </c>
      <c r="X360" s="122">
        <f>IF($A360="","",(IF(ISNUMBER(SEARCH("Proposal",$A360)),SUMIFS('Timesheet Raw'!$P$4:$P$8000,'Timesheet Raw'!$A$4:$A$8000,IF(ISNUMBER(SEARCH("Chargable",$A360)),"2-Proposals Chargeable","3-Proposals Regular"),'Timesheet Raw'!$C$4:$C$8000,"*"&amp;$B360&amp;"*",'Timesheet Raw'!$L$4:$L$8000,"&gt;="&amp;MAX(X$5,DATE(2000+VALUE(RIGHT(TRIM($A360),2)),1,1)),'Timesheet Raw'!$L$4:$L$8000,"&lt;="&amp;MIN(X$6,DATE(2000+VALUE(RIGHT(TRIM($A360),2)),12,31))),SUMIFS('Timesheet Raw'!$P$4:$P$8000,'Timesheet Raw'!$B$4:$B$8000,TRIM($A360),'Timesheet Raw'!$C$4:$C$8000,"*"&amp;$B360&amp;"*",'Timesheet Raw'!$L$4:$L$8000,"&gt;="&amp;X$5,'Timesheet Raw'!$L$4:$L$8000,"&lt;="&amp;X$6)))/'Profit Plan'!$B$5)</f>
        <v>0</v>
      </c>
      <c r="Y360" s="118">
        <f t="shared" si="101"/>
        <v>0</v>
      </c>
    </row>
    <row r="361" spans="1:25" x14ac:dyDescent="0.3">
      <c r="A361" s="116" t="str">
        <f>IF(Inputs!$A38="","",Inputs!$A38)</f>
        <v>Chargable Proposals 24</v>
      </c>
      <c r="B361" s="116" t="str">
        <f>IF(Inputs!$A38="","",Inputs!$A$91)</f>
        <v>Ahmed</v>
      </c>
      <c r="C361" s="116"/>
      <c r="D361" s="122">
        <f>IF($A361="","",(IF(ISNUMBER(SEARCH("Proposal",$A361)),SUMIFS('Timesheet Raw'!$P$4:$P$8000,'Timesheet Raw'!$A$4:$A$8000,IF(ISNUMBER(SEARCH("Chargable",$A361)),"2-Proposals Chargeable","3-Proposals Regular"),'Timesheet Raw'!$C$4:$C$8000,"*"&amp;$B361&amp;"*",'Timesheet Raw'!$L$4:$L$8000,"&gt;="&amp;MAX(D$5,DATE(2000+VALUE(RIGHT(TRIM($A361),2)),1,1)),'Timesheet Raw'!$L$4:$L$8000,"&lt;="&amp;MIN(D$6,DATE(2000+VALUE(RIGHT(TRIM($A361),2)),12,31))),SUMIFS('Timesheet Raw'!$P$4:$P$8000,'Timesheet Raw'!$B$4:$B$8000,TRIM($A361),'Timesheet Raw'!$C$4:$C$8000,"*"&amp;$B361&amp;"*",'Timesheet Raw'!$L$4:$L$8000,"&gt;="&amp;D$5,'Timesheet Raw'!$L$4:$L$8000,"&lt;="&amp;D$6)))/'Profit Plan'!$B$5)</f>
        <v>0</v>
      </c>
      <c r="E361" s="122">
        <f>IF($A361="","",(IF(ISNUMBER(SEARCH("Proposal",$A361)),SUMIFS('Timesheet Raw'!$P$4:$P$8000,'Timesheet Raw'!$A$4:$A$8000,IF(ISNUMBER(SEARCH("Chargable",$A361)),"2-Proposals Chargeable","3-Proposals Regular"),'Timesheet Raw'!$C$4:$C$8000,"*"&amp;$B361&amp;"*",'Timesheet Raw'!$L$4:$L$8000,"&gt;="&amp;MAX(E$5,DATE(2000+VALUE(RIGHT(TRIM($A361),2)),1,1)),'Timesheet Raw'!$L$4:$L$8000,"&lt;="&amp;MIN(E$6,DATE(2000+VALUE(RIGHT(TRIM($A361),2)),12,31))),SUMIFS('Timesheet Raw'!$P$4:$P$8000,'Timesheet Raw'!$B$4:$B$8000,TRIM($A361),'Timesheet Raw'!$C$4:$C$8000,"*"&amp;$B361&amp;"*",'Timesheet Raw'!$L$4:$L$8000,"&gt;="&amp;E$5,'Timesheet Raw'!$L$4:$L$8000,"&lt;="&amp;E$6)))/'Profit Plan'!$B$5)</f>
        <v>0.21216216216216216</v>
      </c>
      <c r="F361" s="122">
        <f>IF($A361="","",(IF(ISNUMBER(SEARCH("Proposal",$A361)),SUMIFS('Timesheet Raw'!$P$4:$P$8000,'Timesheet Raw'!$A$4:$A$8000,IF(ISNUMBER(SEARCH("Chargable",$A361)),"2-Proposals Chargeable","3-Proposals Regular"),'Timesheet Raw'!$C$4:$C$8000,"*"&amp;$B361&amp;"*",'Timesheet Raw'!$L$4:$L$8000,"&gt;="&amp;MAX(F$5,DATE(2000+VALUE(RIGHT(TRIM($A361),2)),1,1)),'Timesheet Raw'!$L$4:$L$8000,"&lt;="&amp;MIN(F$6,DATE(2000+VALUE(RIGHT(TRIM($A361),2)),12,31))),SUMIFS('Timesheet Raw'!$P$4:$P$8000,'Timesheet Raw'!$B$4:$B$8000,TRIM($A361),'Timesheet Raw'!$C$4:$C$8000,"*"&amp;$B361&amp;"*",'Timesheet Raw'!$L$4:$L$8000,"&gt;="&amp;F$5,'Timesheet Raw'!$L$4:$L$8000,"&lt;="&amp;F$6)))/'Profit Plan'!$B$5)</f>
        <v>0.42297297297297298</v>
      </c>
      <c r="G361" s="122">
        <f>IF($A361="","",(IF(ISNUMBER(SEARCH("Proposal",$A361)),SUMIFS('Timesheet Raw'!$P$4:$P$8000,'Timesheet Raw'!$A$4:$A$8000,IF(ISNUMBER(SEARCH("Chargable",$A361)),"2-Proposals Chargeable","3-Proposals Regular"),'Timesheet Raw'!$C$4:$C$8000,"*"&amp;$B361&amp;"*",'Timesheet Raw'!$L$4:$L$8000,"&gt;="&amp;MAX(G$5,DATE(2000+VALUE(RIGHT(TRIM($A361),2)),1,1)),'Timesheet Raw'!$L$4:$L$8000,"&lt;="&amp;MIN(G$6,DATE(2000+VALUE(RIGHT(TRIM($A361),2)),12,31))),SUMIFS('Timesheet Raw'!$P$4:$P$8000,'Timesheet Raw'!$B$4:$B$8000,TRIM($A361),'Timesheet Raw'!$C$4:$C$8000,"*"&amp;$B361&amp;"*",'Timesheet Raw'!$L$4:$L$8000,"&gt;="&amp;G$5,'Timesheet Raw'!$L$4:$L$8000,"&lt;="&amp;G$6)))/'Profit Plan'!$B$5)</f>
        <v>0</v>
      </c>
      <c r="H361" s="122">
        <f>IF($A361="","",(IF(ISNUMBER(SEARCH("Proposal",$A361)),SUMIFS('Timesheet Raw'!$P$4:$P$8000,'Timesheet Raw'!$A$4:$A$8000,IF(ISNUMBER(SEARCH("Chargable",$A361)),"2-Proposals Chargeable","3-Proposals Regular"),'Timesheet Raw'!$C$4:$C$8000,"*"&amp;$B361&amp;"*",'Timesheet Raw'!$L$4:$L$8000,"&gt;="&amp;MAX(H$5,DATE(2000+VALUE(RIGHT(TRIM($A361),2)),1,1)),'Timesheet Raw'!$L$4:$L$8000,"&lt;="&amp;MIN(H$6,DATE(2000+VALUE(RIGHT(TRIM($A361),2)),12,31))),SUMIFS('Timesheet Raw'!$P$4:$P$8000,'Timesheet Raw'!$B$4:$B$8000,TRIM($A361),'Timesheet Raw'!$C$4:$C$8000,"*"&amp;$B361&amp;"*",'Timesheet Raw'!$L$4:$L$8000,"&gt;="&amp;H$5,'Timesheet Raw'!$L$4:$L$8000,"&lt;="&amp;H$6)))/'Profit Plan'!$B$5)</f>
        <v>9.5945945945945951E-2</v>
      </c>
      <c r="I361" s="122">
        <f>IF($A361="","",(IF(ISNUMBER(SEARCH("Proposal",$A361)),SUMIFS('Timesheet Raw'!$P$4:$P$8000,'Timesheet Raw'!$A$4:$A$8000,IF(ISNUMBER(SEARCH("Chargable",$A361)),"2-Proposals Chargeable","3-Proposals Regular"),'Timesheet Raw'!$C$4:$C$8000,"*"&amp;$B361&amp;"*",'Timesheet Raw'!$L$4:$L$8000,"&gt;="&amp;MAX(I$5,DATE(2000+VALUE(RIGHT(TRIM($A361),2)),1,1)),'Timesheet Raw'!$L$4:$L$8000,"&lt;="&amp;MIN(I$6,DATE(2000+VALUE(RIGHT(TRIM($A361),2)),12,31))),SUMIFS('Timesheet Raw'!$P$4:$P$8000,'Timesheet Raw'!$B$4:$B$8000,TRIM($A361),'Timesheet Raw'!$C$4:$C$8000,"*"&amp;$B361&amp;"*",'Timesheet Raw'!$L$4:$L$8000,"&gt;="&amp;I$5,'Timesheet Raw'!$L$4:$L$8000,"&lt;="&amp;I$6)))/'Profit Plan'!$B$5)</f>
        <v>0</v>
      </c>
      <c r="J361" s="122">
        <f>IF($A361="","",(IF(ISNUMBER(SEARCH("Proposal",$A361)),SUMIFS('Timesheet Raw'!$P$4:$P$8000,'Timesheet Raw'!$A$4:$A$8000,IF(ISNUMBER(SEARCH("Chargable",$A361)),"2-Proposals Chargeable","3-Proposals Regular"),'Timesheet Raw'!$C$4:$C$8000,"*"&amp;$B361&amp;"*",'Timesheet Raw'!$L$4:$L$8000,"&gt;="&amp;MAX(J$5,DATE(2000+VALUE(RIGHT(TRIM($A361),2)),1,1)),'Timesheet Raw'!$L$4:$L$8000,"&lt;="&amp;MIN(J$6,DATE(2000+VALUE(RIGHT(TRIM($A361),2)),12,31))),SUMIFS('Timesheet Raw'!$P$4:$P$8000,'Timesheet Raw'!$B$4:$B$8000,TRIM($A361),'Timesheet Raw'!$C$4:$C$8000,"*"&amp;$B361&amp;"*",'Timesheet Raw'!$L$4:$L$8000,"&gt;="&amp;J$5,'Timesheet Raw'!$L$4:$L$8000,"&lt;="&amp;J$6)))/'Profit Plan'!$B$5)</f>
        <v>0</v>
      </c>
      <c r="K361" s="122">
        <f>IF($A361="","",(IF(ISNUMBER(SEARCH("Proposal",$A361)),SUMIFS('Timesheet Raw'!$P$4:$P$8000,'Timesheet Raw'!$A$4:$A$8000,IF(ISNUMBER(SEARCH("Chargable",$A361)),"2-Proposals Chargeable","3-Proposals Regular"),'Timesheet Raw'!$C$4:$C$8000,"*"&amp;$B361&amp;"*",'Timesheet Raw'!$L$4:$L$8000,"&gt;="&amp;MAX(K$5,DATE(2000+VALUE(RIGHT(TRIM($A361),2)),1,1)),'Timesheet Raw'!$L$4:$L$8000,"&lt;="&amp;MIN(K$6,DATE(2000+VALUE(RIGHT(TRIM($A361),2)),12,31))),SUMIFS('Timesheet Raw'!$P$4:$P$8000,'Timesheet Raw'!$B$4:$B$8000,TRIM($A361),'Timesheet Raw'!$C$4:$C$8000,"*"&amp;$B361&amp;"*",'Timesheet Raw'!$L$4:$L$8000,"&gt;="&amp;K$5,'Timesheet Raw'!$L$4:$L$8000,"&lt;="&amp;K$6)))/'Profit Plan'!$B$5)</f>
        <v>0</v>
      </c>
      <c r="L361" s="122">
        <f>IF($A361="","",(IF(ISNUMBER(SEARCH("Proposal",$A361)),SUMIFS('Timesheet Raw'!$P$4:$P$8000,'Timesheet Raw'!$A$4:$A$8000,IF(ISNUMBER(SEARCH("Chargable",$A361)),"2-Proposals Chargeable","3-Proposals Regular"),'Timesheet Raw'!$C$4:$C$8000,"*"&amp;$B361&amp;"*",'Timesheet Raw'!$L$4:$L$8000,"&gt;="&amp;MAX(L$5,DATE(2000+VALUE(RIGHT(TRIM($A361),2)),1,1)),'Timesheet Raw'!$L$4:$L$8000,"&lt;="&amp;MIN(L$6,DATE(2000+VALUE(RIGHT(TRIM($A361),2)),12,31))),SUMIFS('Timesheet Raw'!$P$4:$P$8000,'Timesheet Raw'!$B$4:$B$8000,TRIM($A361),'Timesheet Raw'!$C$4:$C$8000,"*"&amp;$B361&amp;"*",'Timesheet Raw'!$L$4:$L$8000,"&gt;="&amp;L$5,'Timesheet Raw'!$L$4:$L$8000,"&lt;="&amp;L$6)))/'Profit Plan'!$B$5)</f>
        <v>0</v>
      </c>
      <c r="M361" s="122">
        <f>IF($A361="","",(IF(ISNUMBER(SEARCH("Proposal",$A361)),SUMIFS('Timesheet Raw'!$P$4:$P$8000,'Timesheet Raw'!$A$4:$A$8000,IF(ISNUMBER(SEARCH("Chargable",$A361)),"2-Proposals Chargeable","3-Proposals Regular"),'Timesheet Raw'!$C$4:$C$8000,"*"&amp;$B361&amp;"*",'Timesheet Raw'!$L$4:$L$8000,"&gt;="&amp;MAX(M$5,DATE(2000+VALUE(RIGHT(TRIM($A361),2)),1,1)),'Timesheet Raw'!$L$4:$L$8000,"&lt;="&amp;MIN(M$6,DATE(2000+VALUE(RIGHT(TRIM($A361),2)),12,31))),SUMIFS('Timesheet Raw'!$P$4:$P$8000,'Timesheet Raw'!$B$4:$B$8000,TRIM($A361),'Timesheet Raw'!$C$4:$C$8000,"*"&amp;$B361&amp;"*",'Timesheet Raw'!$L$4:$L$8000,"&gt;="&amp;M$5,'Timesheet Raw'!$L$4:$L$8000,"&lt;="&amp;M$6)))/'Profit Plan'!$B$5)</f>
        <v>0</v>
      </c>
      <c r="N361" s="122">
        <f>IF($A361="","",(IF(ISNUMBER(SEARCH("Proposal",$A361)),SUMIFS('Timesheet Raw'!$P$4:$P$8000,'Timesheet Raw'!$A$4:$A$8000,IF(ISNUMBER(SEARCH("Chargable",$A361)),"2-Proposals Chargeable","3-Proposals Regular"),'Timesheet Raw'!$C$4:$C$8000,"*"&amp;$B361&amp;"*",'Timesheet Raw'!$L$4:$L$8000,"&gt;="&amp;MAX(N$5,DATE(2000+VALUE(RIGHT(TRIM($A361),2)),1,1)),'Timesheet Raw'!$L$4:$L$8000,"&lt;="&amp;MIN(N$6,DATE(2000+VALUE(RIGHT(TRIM($A361),2)),12,31))),SUMIFS('Timesheet Raw'!$P$4:$P$8000,'Timesheet Raw'!$B$4:$B$8000,TRIM($A361),'Timesheet Raw'!$C$4:$C$8000,"*"&amp;$B361&amp;"*",'Timesheet Raw'!$L$4:$L$8000,"&gt;="&amp;N$5,'Timesheet Raw'!$L$4:$L$8000,"&lt;="&amp;N$6)))/'Profit Plan'!$B$5)</f>
        <v>0</v>
      </c>
      <c r="O361" s="122">
        <f>IF($A361="","",(IF(ISNUMBER(SEARCH("Proposal",$A361)),SUMIFS('Timesheet Raw'!$P$4:$P$8000,'Timesheet Raw'!$A$4:$A$8000,IF(ISNUMBER(SEARCH("Chargable",$A361)),"2-Proposals Chargeable","3-Proposals Regular"),'Timesheet Raw'!$C$4:$C$8000,"*"&amp;$B361&amp;"*",'Timesheet Raw'!$L$4:$L$8000,"&gt;="&amp;MAX(O$5,DATE(2000+VALUE(RIGHT(TRIM($A361),2)),1,1)),'Timesheet Raw'!$L$4:$L$8000,"&lt;="&amp;MIN(O$6,DATE(2000+VALUE(RIGHT(TRIM($A361),2)),12,31))),SUMIFS('Timesheet Raw'!$P$4:$P$8000,'Timesheet Raw'!$B$4:$B$8000,TRIM($A361),'Timesheet Raw'!$C$4:$C$8000,"*"&amp;$B361&amp;"*",'Timesheet Raw'!$L$4:$L$8000,"&gt;="&amp;O$5,'Timesheet Raw'!$L$4:$L$8000,"&lt;="&amp;O$6)))/'Profit Plan'!$B$5)</f>
        <v>0</v>
      </c>
      <c r="P361" s="122">
        <f>IF($A361="","",(IF(ISNUMBER(SEARCH("Proposal",$A361)),SUMIFS('Timesheet Raw'!$P$4:$P$8000,'Timesheet Raw'!$A$4:$A$8000,IF(ISNUMBER(SEARCH("Chargable",$A361)),"2-Proposals Chargeable","3-Proposals Regular"),'Timesheet Raw'!$C$4:$C$8000,"*"&amp;$B361&amp;"*",'Timesheet Raw'!$L$4:$L$8000,"&gt;="&amp;MAX(P$5,DATE(2000+VALUE(RIGHT(TRIM($A361),2)),1,1)),'Timesheet Raw'!$L$4:$L$8000,"&lt;="&amp;MIN(P$6,DATE(2000+VALUE(RIGHT(TRIM($A361),2)),12,31))),SUMIFS('Timesheet Raw'!$P$4:$P$8000,'Timesheet Raw'!$B$4:$B$8000,TRIM($A361),'Timesheet Raw'!$C$4:$C$8000,"*"&amp;$B361&amp;"*",'Timesheet Raw'!$L$4:$L$8000,"&gt;="&amp;P$5,'Timesheet Raw'!$L$4:$L$8000,"&lt;="&amp;P$6)))/'Profit Plan'!$B$5)</f>
        <v>0</v>
      </c>
      <c r="Q361" s="122">
        <f>IF($A361="","",(IF(ISNUMBER(SEARCH("Proposal",$A361)),SUMIFS('Timesheet Raw'!$P$4:$P$8000,'Timesheet Raw'!$A$4:$A$8000,IF(ISNUMBER(SEARCH("Chargable",$A361)),"2-Proposals Chargeable","3-Proposals Regular"),'Timesheet Raw'!$C$4:$C$8000,"*"&amp;$B361&amp;"*",'Timesheet Raw'!$L$4:$L$8000,"&gt;="&amp;MAX(Q$5,DATE(2000+VALUE(RIGHT(TRIM($A361),2)),1,1)),'Timesheet Raw'!$L$4:$L$8000,"&lt;="&amp;MIN(Q$6,DATE(2000+VALUE(RIGHT(TRIM($A361),2)),12,31))),SUMIFS('Timesheet Raw'!$P$4:$P$8000,'Timesheet Raw'!$B$4:$B$8000,TRIM($A361),'Timesheet Raw'!$C$4:$C$8000,"*"&amp;$B361&amp;"*",'Timesheet Raw'!$L$4:$L$8000,"&gt;="&amp;Q$5,'Timesheet Raw'!$L$4:$L$8000,"&lt;="&amp;Q$6)))/'Profit Plan'!$B$5)</f>
        <v>0</v>
      </c>
      <c r="R361" s="122">
        <f>IF($A361="","",(IF(ISNUMBER(SEARCH("Proposal",$A361)),SUMIFS('Timesheet Raw'!$P$4:$P$8000,'Timesheet Raw'!$A$4:$A$8000,IF(ISNUMBER(SEARCH("Chargable",$A361)),"2-Proposals Chargeable","3-Proposals Regular"),'Timesheet Raw'!$C$4:$C$8000,"*"&amp;$B361&amp;"*",'Timesheet Raw'!$L$4:$L$8000,"&gt;="&amp;MAX(R$5,DATE(2000+VALUE(RIGHT(TRIM($A361),2)),1,1)),'Timesheet Raw'!$L$4:$L$8000,"&lt;="&amp;MIN(R$6,DATE(2000+VALUE(RIGHT(TRIM($A361),2)),12,31))),SUMIFS('Timesheet Raw'!$P$4:$P$8000,'Timesheet Raw'!$B$4:$B$8000,TRIM($A361),'Timesheet Raw'!$C$4:$C$8000,"*"&amp;$B361&amp;"*",'Timesheet Raw'!$L$4:$L$8000,"&gt;="&amp;R$5,'Timesheet Raw'!$L$4:$L$8000,"&lt;="&amp;R$6)))/'Profit Plan'!$B$5)</f>
        <v>0</v>
      </c>
      <c r="S361" s="122">
        <f>IF($A361="","",(IF(ISNUMBER(SEARCH("Proposal",$A361)),SUMIFS('Timesheet Raw'!$P$4:$P$8000,'Timesheet Raw'!$A$4:$A$8000,IF(ISNUMBER(SEARCH("Chargable",$A361)),"2-Proposals Chargeable","3-Proposals Regular"),'Timesheet Raw'!$C$4:$C$8000,"*"&amp;$B361&amp;"*",'Timesheet Raw'!$L$4:$L$8000,"&gt;="&amp;MAX(S$5,DATE(2000+VALUE(RIGHT(TRIM($A361),2)),1,1)),'Timesheet Raw'!$L$4:$L$8000,"&lt;="&amp;MIN(S$6,DATE(2000+VALUE(RIGHT(TRIM($A361),2)),12,31))),SUMIFS('Timesheet Raw'!$P$4:$P$8000,'Timesheet Raw'!$B$4:$B$8000,TRIM($A361),'Timesheet Raw'!$C$4:$C$8000,"*"&amp;$B361&amp;"*",'Timesheet Raw'!$L$4:$L$8000,"&gt;="&amp;S$5,'Timesheet Raw'!$L$4:$L$8000,"&lt;="&amp;S$6)))/'Profit Plan'!$B$5)</f>
        <v>0</v>
      </c>
      <c r="T361" s="122">
        <f>IF($A361="","",(IF(ISNUMBER(SEARCH("Proposal",$A361)),SUMIFS('Timesheet Raw'!$P$4:$P$8000,'Timesheet Raw'!$A$4:$A$8000,IF(ISNUMBER(SEARCH("Chargable",$A361)),"2-Proposals Chargeable","3-Proposals Regular"),'Timesheet Raw'!$C$4:$C$8000,"*"&amp;$B361&amp;"*",'Timesheet Raw'!$L$4:$L$8000,"&gt;="&amp;MAX(T$5,DATE(2000+VALUE(RIGHT(TRIM($A361),2)),1,1)),'Timesheet Raw'!$L$4:$L$8000,"&lt;="&amp;MIN(T$6,DATE(2000+VALUE(RIGHT(TRIM($A361),2)),12,31))),SUMIFS('Timesheet Raw'!$P$4:$P$8000,'Timesheet Raw'!$B$4:$B$8000,TRIM($A361),'Timesheet Raw'!$C$4:$C$8000,"*"&amp;$B361&amp;"*",'Timesheet Raw'!$L$4:$L$8000,"&gt;="&amp;T$5,'Timesheet Raw'!$L$4:$L$8000,"&lt;="&amp;T$6)))/'Profit Plan'!$B$5)</f>
        <v>0</v>
      </c>
      <c r="U361" s="122">
        <f>IF($A361="","",(IF(ISNUMBER(SEARCH("Proposal",$A361)),SUMIFS('Timesheet Raw'!$P$4:$P$8000,'Timesheet Raw'!$A$4:$A$8000,IF(ISNUMBER(SEARCH("Chargable",$A361)),"2-Proposals Chargeable","3-Proposals Regular"),'Timesheet Raw'!$C$4:$C$8000,"*"&amp;$B361&amp;"*",'Timesheet Raw'!$L$4:$L$8000,"&gt;="&amp;MAX(U$5,DATE(2000+VALUE(RIGHT(TRIM($A361),2)),1,1)),'Timesheet Raw'!$L$4:$L$8000,"&lt;="&amp;MIN(U$6,DATE(2000+VALUE(RIGHT(TRIM($A361),2)),12,31))),SUMIFS('Timesheet Raw'!$P$4:$P$8000,'Timesheet Raw'!$B$4:$B$8000,TRIM($A361),'Timesheet Raw'!$C$4:$C$8000,"*"&amp;$B361&amp;"*",'Timesheet Raw'!$L$4:$L$8000,"&gt;="&amp;U$5,'Timesheet Raw'!$L$4:$L$8000,"&lt;="&amp;U$6)))/'Profit Plan'!$B$5)</f>
        <v>0</v>
      </c>
      <c r="V361" s="122">
        <f>IF($A361="","",(IF(ISNUMBER(SEARCH("Proposal",$A361)),SUMIFS('Timesheet Raw'!$P$4:$P$8000,'Timesheet Raw'!$A$4:$A$8000,IF(ISNUMBER(SEARCH("Chargable",$A361)),"2-Proposals Chargeable","3-Proposals Regular"),'Timesheet Raw'!$C$4:$C$8000,"*"&amp;$B361&amp;"*",'Timesheet Raw'!$L$4:$L$8000,"&gt;="&amp;MAX(V$5,DATE(2000+VALUE(RIGHT(TRIM($A361),2)),1,1)),'Timesheet Raw'!$L$4:$L$8000,"&lt;="&amp;MIN(V$6,DATE(2000+VALUE(RIGHT(TRIM($A361),2)),12,31))),SUMIFS('Timesheet Raw'!$P$4:$P$8000,'Timesheet Raw'!$B$4:$B$8000,TRIM($A361),'Timesheet Raw'!$C$4:$C$8000,"*"&amp;$B361&amp;"*",'Timesheet Raw'!$L$4:$L$8000,"&gt;="&amp;V$5,'Timesheet Raw'!$L$4:$L$8000,"&lt;="&amp;V$6)))/'Profit Plan'!$B$5)</f>
        <v>0</v>
      </c>
      <c r="W361" s="122">
        <f>IF($A361="","",(IF(ISNUMBER(SEARCH("Proposal",$A361)),SUMIFS('Timesheet Raw'!$P$4:$P$8000,'Timesheet Raw'!$A$4:$A$8000,IF(ISNUMBER(SEARCH("Chargable",$A361)),"2-Proposals Chargeable","3-Proposals Regular"),'Timesheet Raw'!$C$4:$C$8000,"*"&amp;$B361&amp;"*",'Timesheet Raw'!$L$4:$L$8000,"&gt;="&amp;MAX(W$5,DATE(2000+VALUE(RIGHT(TRIM($A361),2)),1,1)),'Timesheet Raw'!$L$4:$L$8000,"&lt;="&amp;MIN(W$6,DATE(2000+VALUE(RIGHT(TRIM($A361),2)),12,31))),SUMIFS('Timesheet Raw'!$P$4:$P$8000,'Timesheet Raw'!$B$4:$B$8000,TRIM($A361),'Timesheet Raw'!$C$4:$C$8000,"*"&amp;$B361&amp;"*",'Timesheet Raw'!$L$4:$L$8000,"&gt;="&amp;W$5,'Timesheet Raw'!$L$4:$L$8000,"&lt;="&amp;W$6)))/'Profit Plan'!$B$5)</f>
        <v>0</v>
      </c>
      <c r="X361" s="122">
        <f>IF($A361="","",(IF(ISNUMBER(SEARCH("Proposal",$A361)),SUMIFS('Timesheet Raw'!$P$4:$P$8000,'Timesheet Raw'!$A$4:$A$8000,IF(ISNUMBER(SEARCH("Chargable",$A361)),"2-Proposals Chargeable","3-Proposals Regular"),'Timesheet Raw'!$C$4:$C$8000,"*"&amp;$B361&amp;"*",'Timesheet Raw'!$L$4:$L$8000,"&gt;="&amp;MAX(X$5,DATE(2000+VALUE(RIGHT(TRIM($A361),2)),1,1)),'Timesheet Raw'!$L$4:$L$8000,"&lt;="&amp;MIN(X$6,DATE(2000+VALUE(RIGHT(TRIM($A361),2)),12,31))),SUMIFS('Timesheet Raw'!$P$4:$P$8000,'Timesheet Raw'!$B$4:$B$8000,TRIM($A361),'Timesheet Raw'!$C$4:$C$8000,"*"&amp;$B361&amp;"*",'Timesheet Raw'!$L$4:$L$8000,"&gt;="&amp;X$5,'Timesheet Raw'!$L$4:$L$8000,"&lt;="&amp;X$6)))/'Profit Plan'!$B$5)</f>
        <v>0</v>
      </c>
      <c r="Y361" s="118">
        <f t="shared" si="101"/>
        <v>0.73108108108108105</v>
      </c>
    </row>
    <row r="362" spans="1:25" x14ac:dyDescent="0.3">
      <c r="A362" s="116" t="str">
        <f>IF(Inputs!$A38="","",Inputs!$A38)</f>
        <v>Chargable Proposals 24</v>
      </c>
      <c r="B362" s="116" t="str">
        <f>IF(Inputs!$A38="","",Inputs!$A$92)</f>
        <v>Osama</v>
      </c>
      <c r="C362" s="116"/>
      <c r="D362" s="122">
        <f>IF($A362="","",(IF(ISNUMBER(SEARCH("Proposal",$A362)),SUMIFS('Timesheet Raw'!$P$4:$P$8000,'Timesheet Raw'!$A$4:$A$8000,IF(ISNUMBER(SEARCH("Chargable",$A362)),"2-Proposals Chargeable","3-Proposals Regular"),'Timesheet Raw'!$C$4:$C$8000,"*"&amp;$B362&amp;"*",'Timesheet Raw'!$L$4:$L$8000,"&gt;="&amp;MAX(D$5,DATE(2000+VALUE(RIGHT(TRIM($A362),2)),1,1)),'Timesheet Raw'!$L$4:$L$8000,"&lt;="&amp;MIN(D$6,DATE(2000+VALUE(RIGHT(TRIM($A362),2)),12,31))),SUMIFS('Timesheet Raw'!$P$4:$P$8000,'Timesheet Raw'!$B$4:$B$8000,TRIM($A362),'Timesheet Raw'!$C$4:$C$8000,"*"&amp;$B362&amp;"*",'Timesheet Raw'!$L$4:$L$8000,"&gt;="&amp;D$5,'Timesheet Raw'!$L$4:$L$8000,"&lt;="&amp;D$6)))/'Profit Plan'!$B$5)</f>
        <v>0</v>
      </c>
      <c r="E362" s="122">
        <f>IF($A362="","",(IF(ISNUMBER(SEARCH("Proposal",$A362)),SUMIFS('Timesheet Raw'!$P$4:$P$8000,'Timesheet Raw'!$A$4:$A$8000,IF(ISNUMBER(SEARCH("Chargable",$A362)),"2-Proposals Chargeable","3-Proposals Regular"),'Timesheet Raw'!$C$4:$C$8000,"*"&amp;$B362&amp;"*",'Timesheet Raw'!$L$4:$L$8000,"&gt;="&amp;MAX(E$5,DATE(2000+VALUE(RIGHT(TRIM($A362),2)),1,1)),'Timesheet Raw'!$L$4:$L$8000,"&lt;="&amp;MIN(E$6,DATE(2000+VALUE(RIGHT(TRIM($A362),2)),12,31))),SUMIFS('Timesheet Raw'!$P$4:$P$8000,'Timesheet Raw'!$B$4:$B$8000,TRIM($A362),'Timesheet Raw'!$C$4:$C$8000,"*"&amp;$B362&amp;"*",'Timesheet Raw'!$L$4:$L$8000,"&gt;="&amp;E$5,'Timesheet Raw'!$L$4:$L$8000,"&lt;="&amp;E$6)))/'Profit Plan'!$B$5)</f>
        <v>0.25540540540540541</v>
      </c>
      <c r="F362" s="122">
        <f>IF($A362="","",(IF(ISNUMBER(SEARCH("Proposal",$A362)),SUMIFS('Timesheet Raw'!$P$4:$P$8000,'Timesheet Raw'!$A$4:$A$8000,IF(ISNUMBER(SEARCH("Chargable",$A362)),"2-Proposals Chargeable","3-Proposals Regular"),'Timesheet Raw'!$C$4:$C$8000,"*"&amp;$B362&amp;"*",'Timesheet Raw'!$L$4:$L$8000,"&gt;="&amp;MAX(F$5,DATE(2000+VALUE(RIGHT(TRIM($A362),2)),1,1)),'Timesheet Raw'!$L$4:$L$8000,"&lt;="&amp;MIN(F$6,DATE(2000+VALUE(RIGHT(TRIM($A362),2)),12,31))),SUMIFS('Timesheet Raw'!$P$4:$P$8000,'Timesheet Raw'!$B$4:$B$8000,TRIM($A362),'Timesheet Raw'!$C$4:$C$8000,"*"&amp;$B362&amp;"*",'Timesheet Raw'!$L$4:$L$8000,"&gt;="&amp;F$5,'Timesheet Raw'!$L$4:$L$8000,"&lt;="&amp;F$6)))/'Profit Plan'!$B$5)</f>
        <v>0.5310810810810811</v>
      </c>
      <c r="G362" s="122">
        <f>IF($A362="","",(IF(ISNUMBER(SEARCH("Proposal",$A362)),SUMIFS('Timesheet Raw'!$P$4:$P$8000,'Timesheet Raw'!$A$4:$A$8000,IF(ISNUMBER(SEARCH("Chargable",$A362)),"2-Proposals Chargeable","3-Proposals Regular"),'Timesheet Raw'!$C$4:$C$8000,"*"&amp;$B362&amp;"*",'Timesheet Raw'!$L$4:$L$8000,"&gt;="&amp;MAX(G$5,DATE(2000+VALUE(RIGHT(TRIM($A362),2)),1,1)),'Timesheet Raw'!$L$4:$L$8000,"&lt;="&amp;MIN(G$6,DATE(2000+VALUE(RIGHT(TRIM($A362),2)),12,31))),SUMIFS('Timesheet Raw'!$P$4:$P$8000,'Timesheet Raw'!$B$4:$B$8000,TRIM($A362),'Timesheet Raw'!$C$4:$C$8000,"*"&amp;$B362&amp;"*",'Timesheet Raw'!$L$4:$L$8000,"&gt;="&amp;G$5,'Timesheet Raw'!$L$4:$L$8000,"&lt;="&amp;G$6)))/'Profit Plan'!$B$5)</f>
        <v>0</v>
      </c>
      <c r="H362" s="122">
        <f>IF($A362="","",(IF(ISNUMBER(SEARCH("Proposal",$A362)),SUMIFS('Timesheet Raw'!$P$4:$P$8000,'Timesheet Raw'!$A$4:$A$8000,IF(ISNUMBER(SEARCH("Chargable",$A362)),"2-Proposals Chargeable","3-Proposals Regular"),'Timesheet Raw'!$C$4:$C$8000,"*"&amp;$B362&amp;"*",'Timesheet Raw'!$L$4:$L$8000,"&gt;="&amp;MAX(H$5,DATE(2000+VALUE(RIGHT(TRIM($A362),2)),1,1)),'Timesheet Raw'!$L$4:$L$8000,"&lt;="&amp;MIN(H$6,DATE(2000+VALUE(RIGHT(TRIM($A362),2)),12,31))),SUMIFS('Timesheet Raw'!$P$4:$P$8000,'Timesheet Raw'!$B$4:$B$8000,TRIM($A362),'Timesheet Raw'!$C$4:$C$8000,"*"&amp;$B362&amp;"*",'Timesheet Raw'!$L$4:$L$8000,"&gt;="&amp;H$5,'Timesheet Raw'!$L$4:$L$8000,"&lt;="&amp;H$6)))/'Profit Plan'!$B$5)</f>
        <v>9.3243243243243248E-2</v>
      </c>
      <c r="I362" s="122">
        <f>IF($A362="","",(IF(ISNUMBER(SEARCH("Proposal",$A362)),SUMIFS('Timesheet Raw'!$P$4:$P$8000,'Timesheet Raw'!$A$4:$A$8000,IF(ISNUMBER(SEARCH("Chargable",$A362)),"2-Proposals Chargeable","3-Proposals Regular"),'Timesheet Raw'!$C$4:$C$8000,"*"&amp;$B362&amp;"*",'Timesheet Raw'!$L$4:$L$8000,"&gt;="&amp;MAX(I$5,DATE(2000+VALUE(RIGHT(TRIM($A362),2)),1,1)),'Timesheet Raw'!$L$4:$L$8000,"&lt;="&amp;MIN(I$6,DATE(2000+VALUE(RIGHT(TRIM($A362),2)),12,31))),SUMIFS('Timesheet Raw'!$P$4:$P$8000,'Timesheet Raw'!$B$4:$B$8000,TRIM($A362),'Timesheet Raw'!$C$4:$C$8000,"*"&amp;$B362&amp;"*",'Timesheet Raw'!$L$4:$L$8000,"&gt;="&amp;I$5,'Timesheet Raw'!$L$4:$L$8000,"&lt;="&amp;I$6)))/'Profit Plan'!$B$5)</f>
        <v>0</v>
      </c>
      <c r="J362" s="122">
        <f>IF($A362="","",(IF(ISNUMBER(SEARCH("Proposal",$A362)),SUMIFS('Timesheet Raw'!$P$4:$P$8000,'Timesheet Raw'!$A$4:$A$8000,IF(ISNUMBER(SEARCH("Chargable",$A362)),"2-Proposals Chargeable","3-Proposals Regular"),'Timesheet Raw'!$C$4:$C$8000,"*"&amp;$B362&amp;"*",'Timesheet Raw'!$L$4:$L$8000,"&gt;="&amp;MAX(J$5,DATE(2000+VALUE(RIGHT(TRIM($A362),2)),1,1)),'Timesheet Raw'!$L$4:$L$8000,"&lt;="&amp;MIN(J$6,DATE(2000+VALUE(RIGHT(TRIM($A362),2)),12,31))),SUMIFS('Timesheet Raw'!$P$4:$P$8000,'Timesheet Raw'!$B$4:$B$8000,TRIM($A362),'Timesheet Raw'!$C$4:$C$8000,"*"&amp;$B362&amp;"*",'Timesheet Raw'!$L$4:$L$8000,"&gt;="&amp;J$5,'Timesheet Raw'!$L$4:$L$8000,"&lt;="&amp;J$6)))/'Profit Plan'!$B$5)</f>
        <v>0</v>
      </c>
      <c r="K362" s="122">
        <f>IF($A362="","",(IF(ISNUMBER(SEARCH("Proposal",$A362)),SUMIFS('Timesheet Raw'!$P$4:$P$8000,'Timesheet Raw'!$A$4:$A$8000,IF(ISNUMBER(SEARCH("Chargable",$A362)),"2-Proposals Chargeable","3-Proposals Regular"),'Timesheet Raw'!$C$4:$C$8000,"*"&amp;$B362&amp;"*",'Timesheet Raw'!$L$4:$L$8000,"&gt;="&amp;MAX(K$5,DATE(2000+VALUE(RIGHT(TRIM($A362),2)),1,1)),'Timesheet Raw'!$L$4:$L$8000,"&lt;="&amp;MIN(K$6,DATE(2000+VALUE(RIGHT(TRIM($A362),2)),12,31))),SUMIFS('Timesheet Raw'!$P$4:$P$8000,'Timesheet Raw'!$B$4:$B$8000,TRIM($A362),'Timesheet Raw'!$C$4:$C$8000,"*"&amp;$B362&amp;"*",'Timesheet Raw'!$L$4:$L$8000,"&gt;="&amp;K$5,'Timesheet Raw'!$L$4:$L$8000,"&lt;="&amp;K$6)))/'Profit Plan'!$B$5)</f>
        <v>0</v>
      </c>
      <c r="L362" s="122">
        <f>IF($A362="","",(IF(ISNUMBER(SEARCH("Proposal",$A362)),SUMIFS('Timesheet Raw'!$P$4:$P$8000,'Timesheet Raw'!$A$4:$A$8000,IF(ISNUMBER(SEARCH("Chargable",$A362)),"2-Proposals Chargeable","3-Proposals Regular"),'Timesheet Raw'!$C$4:$C$8000,"*"&amp;$B362&amp;"*",'Timesheet Raw'!$L$4:$L$8000,"&gt;="&amp;MAX(L$5,DATE(2000+VALUE(RIGHT(TRIM($A362),2)),1,1)),'Timesheet Raw'!$L$4:$L$8000,"&lt;="&amp;MIN(L$6,DATE(2000+VALUE(RIGHT(TRIM($A362),2)),12,31))),SUMIFS('Timesheet Raw'!$P$4:$P$8000,'Timesheet Raw'!$B$4:$B$8000,TRIM($A362),'Timesheet Raw'!$C$4:$C$8000,"*"&amp;$B362&amp;"*",'Timesheet Raw'!$L$4:$L$8000,"&gt;="&amp;L$5,'Timesheet Raw'!$L$4:$L$8000,"&lt;="&amp;L$6)))/'Profit Plan'!$B$5)</f>
        <v>0</v>
      </c>
      <c r="M362" s="122">
        <f>IF($A362="","",(IF(ISNUMBER(SEARCH("Proposal",$A362)),SUMIFS('Timesheet Raw'!$P$4:$P$8000,'Timesheet Raw'!$A$4:$A$8000,IF(ISNUMBER(SEARCH("Chargable",$A362)),"2-Proposals Chargeable","3-Proposals Regular"),'Timesheet Raw'!$C$4:$C$8000,"*"&amp;$B362&amp;"*",'Timesheet Raw'!$L$4:$L$8000,"&gt;="&amp;MAX(M$5,DATE(2000+VALUE(RIGHT(TRIM($A362),2)),1,1)),'Timesheet Raw'!$L$4:$L$8000,"&lt;="&amp;MIN(M$6,DATE(2000+VALUE(RIGHT(TRIM($A362),2)),12,31))),SUMIFS('Timesheet Raw'!$P$4:$P$8000,'Timesheet Raw'!$B$4:$B$8000,TRIM($A362),'Timesheet Raw'!$C$4:$C$8000,"*"&amp;$B362&amp;"*",'Timesheet Raw'!$L$4:$L$8000,"&gt;="&amp;M$5,'Timesheet Raw'!$L$4:$L$8000,"&lt;="&amp;M$6)))/'Profit Plan'!$B$5)</f>
        <v>0</v>
      </c>
      <c r="N362" s="122">
        <f>IF($A362="","",(IF(ISNUMBER(SEARCH("Proposal",$A362)),SUMIFS('Timesheet Raw'!$P$4:$P$8000,'Timesheet Raw'!$A$4:$A$8000,IF(ISNUMBER(SEARCH("Chargable",$A362)),"2-Proposals Chargeable","3-Proposals Regular"),'Timesheet Raw'!$C$4:$C$8000,"*"&amp;$B362&amp;"*",'Timesheet Raw'!$L$4:$L$8000,"&gt;="&amp;MAX(N$5,DATE(2000+VALUE(RIGHT(TRIM($A362),2)),1,1)),'Timesheet Raw'!$L$4:$L$8000,"&lt;="&amp;MIN(N$6,DATE(2000+VALUE(RIGHT(TRIM($A362),2)),12,31))),SUMIFS('Timesheet Raw'!$P$4:$P$8000,'Timesheet Raw'!$B$4:$B$8000,TRIM($A362),'Timesheet Raw'!$C$4:$C$8000,"*"&amp;$B362&amp;"*",'Timesheet Raw'!$L$4:$L$8000,"&gt;="&amp;N$5,'Timesheet Raw'!$L$4:$L$8000,"&lt;="&amp;N$6)))/'Profit Plan'!$B$5)</f>
        <v>0</v>
      </c>
      <c r="O362" s="122">
        <f>IF($A362="","",(IF(ISNUMBER(SEARCH("Proposal",$A362)),SUMIFS('Timesheet Raw'!$P$4:$P$8000,'Timesheet Raw'!$A$4:$A$8000,IF(ISNUMBER(SEARCH("Chargable",$A362)),"2-Proposals Chargeable","3-Proposals Regular"),'Timesheet Raw'!$C$4:$C$8000,"*"&amp;$B362&amp;"*",'Timesheet Raw'!$L$4:$L$8000,"&gt;="&amp;MAX(O$5,DATE(2000+VALUE(RIGHT(TRIM($A362),2)),1,1)),'Timesheet Raw'!$L$4:$L$8000,"&lt;="&amp;MIN(O$6,DATE(2000+VALUE(RIGHT(TRIM($A362),2)),12,31))),SUMIFS('Timesheet Raw'!$P$4:$P$8000,'Timesheet Raw'!$B$4:$B$8000,TRIM($A362),'Timesheet Raw'!$C$4:$C$8000,"*"&amp;$B362&amp;"*",'Timesheet Raw'!$L$4:$L$8000,"&gt;="&amp;O$5,'Timesheet Raw'!$L$4:$L$8000,"&lt;="&amp;O$6)))/'Profit Plan'!$B$5)</f>
        <v>0</v>
      </c>
      <c r="P362" s="122">
        <f>IF($A362="","",(IF(ISNUMBER(SEARCH("Proposal",$A362)),SUMIFS('Timesheet Raw'!$P$4:$P$8000,'Timesheet Raw'!$A$4:$A$8000,IF(ISNUMBER(SEARCH("Chargable",$A362)),"2-Proposals Chargeable","3-Proposals Regular"),'Timesheet Raw'!$C$4:$C$8000,"*"&amp;$B362&amp;"*",'Timesheet Raw'!$L$4:$L$8000,"&gt;="&amp;MAX(P$5,DATE(2000+VALUE(RIGHT(TRIM($A362),2)),1,1)),'Timesheet Raw'!$L$4:$L$8000,"&lt;="&amp;MIN(P$6,DATE(2000+VALUE(RIGHT(TRIM($A362),2)),12,31))),SUMIFS('Timesheet Raw'!$P$4:$P$8000,'Timesheet Raw'!$B$4:$B$8000,TRIM($A362),'Timesheet Raw'!$C$4:$C$8000,"*"&amp;$B362&amp;"*",'Timesheet Raw'!$L$4:$L$8000,"&gt;="&amp;P$5,'Timesheet Raw'!$L$4:$L$8000,"&lt;="&amp;P$6)))/'Profit Plan'!$B$5)</f>
        <v>0</v>
      </c>
      <c r="Q362" s="122">
        <f>IF($A362="","",(IF(ISNUMBER(SEARCH("Proposal",$A362)),SUMIFS('Timesheet Raw'!$P$4:$P$8000,'Timesheet Raw'!$A$4:$A$8000,IF(ISNUMBER(SEARCH("Chargable",$A362)),"2-Proposals Chargeable","3-Proposals Regular"),'Timesheet Raw'!$C$4:$C$8000,"*"&amp;$B362&amp;"*",'Timesheet Raw'!$L$4:$L$8000,"&gt;="&amp;MAX(Q$5,DATE(2000+VALUE(RIGHT(TRIM($A362),2)),1,1)),'Timesheet Raw'!$L$4:$L$8000,"&lt;="&amp;MIN(Q$6,DATE(2000+VALUE(RIGHT(TRIM($A362),2)),12,31))),SUMIFS('Timesheet Raw'!$P$4:$P$8000,'Timesheet Raw'!$B$4:$B$8000,TRIM($A362),'Timesheet Raw'!$C$4:$C$8000,"*"&amp;$B362&amp;"*",'Timesheet Raw'!$L$4:$L$8000,"&gt;="&amp;Q$5,'Timesheet Raw'!$L$4:$L$8000,"&lt;="&amp;Q$6)))/'Profit Plan'!$B$5)</f>
        <v>0</v>
      </c>
      <c r="R362" s="122">
        <f>IF($A362="","",(IF(ISNUMBER(SEARCH("Proposal",$A362)),SUMIFS('Timesheet Raw'!$P$4:$P$8000,'Timesheet Raw'!$A$4:$A$8000,IF(ISNUMBER(SEARCH("Chargable",$A362)),"2-Proposals Chargeable","3-Proposals Regular"),'Timesheet Raw'!$C$4:$C$8000,"*"&amp;$B362&amp;"*",'Timesheet Raw'!$L$4:$L$8000,"&gt;="&amp;MAX(R$5,DATE(2000+VALUE(RIGHT(TRIM($A362),2)),1,1)),'Timesheet Raw'!$L$4:$L$8000,"&lt;="&amp;MIN(R$6,DATE(2000+VALUE(RIGHT(TRIM($A362),2)),12,31))),SUMIFS('Timesheet Raw'!$P$4:$P$8000,'Timesheet Raw'!$B$4:$B$8000,TRIM($A362),'Timesheet Raw'!$C$4:$C$8000,"*"&amp;$B362&amp;"*",'Timesheet Raw'!$L$4:$L$8000,"&gt;="&amp;R$5,'Timesheet Raw'!$L$4:$L$8000,"&lt;="&amp;R$6)))/'Profit Plan'!$B$5)</f>
        <v>0</v>
      </c>
      <c r="S362" s="122">
        <f>IF($A362="","",(IF(ISNUMBER(SEARCH("Proposal",$A362)),SUMIFS('Timesheet Raw'!$P$4:$P$8000,'Timesheet Raw'!$A$4:$A$8000,IF(ISNUMBER(SEARCH("Chargable",$A362)),"2-Proposals Chargeable","3-Proposals Regular"),'Timesheet Raw'!$C$4:$C$8000,"*"&amp;$B362&amp;"*",'Timesheet Raw'!$L$4:$L$8000,"&gt;="&amp;MAX(S$5,DATE(2000+VALUE(RIGHT(TRIM($A362),2)),1,1)),'Timesheet Raw'!$L$4:$L$8000,"&lt;="&amp;MIN(S$6,DATE(2000+VALUE(RIGHT(TRIM($A362),2)),12,31))),SUMIFS('Timesheet Raw'!$P$4:$P$8000,'Timesheet Raw'!$B$4:$B$8000,TRIM($A362),'Timesheet Raw'!$C$4:$C$8000,"*"&amp;$B362&amp;"*",'Timesheet Raw'!$L$4:$L$8000,"&gt;="&amp;S$5,'Timesheet Raw'!$L$4:$L$8000,"&lt;="&amp;S$6)))/'Profit Plan'!$B$5)</f>
        <v>0</v>
      </c>
      <c r="T362" s="122">
        <f>IF($A362="","",(IF(ISNUMBER(SEARCH("Proposal",$A362)),SUMIFS('Timesheet Raw'!$P$4:$P$8000,'Timesheet Raw'!$A$4:$A$8000,IF(ISNUMBER(SEARCH("Chargable",$A362)),"2-Proposals Chargeable","3-Proposals Regular"),'Timesheet Raw'!$C$4:$C$8000,"*"&amp;$B362&amp;"*",'Timesheet Raw'!$L$4:$L$8000,"&gt;="&amp;MAX(T$5,DATE(2000+VALUE(RIGHT(TRIM($A362),2)),1,1)),'Timesheet Raw'!$L$4:$L$8000,"&lt;="&amp;MIN(T$6,DATE(2000+VALUE(RIGHT(TRIM($A362),2)),12,31))),SUMIFS('Timesheet Raw'!$P$4:$P$8000,'Timesheet Raw'!$B$4:$B$8000,TRIM($A362),'Timesheet Raw'!$C$4:$C$8000,"*"&amp;$B362&amp;"*",'Timesheet Raw'!$L$4:$L$8000,"&gt;="&amp;T$5,'Timesheet Raw'!$L$4:$L$8000,"&lt;="&amp;T$6)))/'Profit Plan'!$B$5)</f>
        <v>0</v>
      </c>
      <c r="U362" s="122">
        <f>IF($A362="","",(IF(ISNUMBER(SEARCH("Proposal",$A362)),SUMIFS('Timesheet Raw'!$P$4:$P$8000,'Timesheet Raw'!$A$4:$A$8000,IF(ISNUMBER(SEARCH("Chargable",$A362)),"2-Proposals Chargeable","3-Proposals Regular"),'Timesheet Raw'!$C$4:$C$8000,"*"&amp;$B362&amp;"*",'Timesheet Raw'!$L$4:$L$8000,"&gt;="&amp;MAX(U$5,DATE(2000+VALUE(RIGHT(TRIM($A362),2)),1,1)),'Timesheet Raw'!$L$4:$L$8000,"&lt;="&amp;MIN(U$6,DATE(2000+VALUE(RIGHT(TRIM($A362),2)),12,31))),SUMIFS('Timesheet Raw'!$P$4:$P$8000,'Timesheet Raw'!$B$4:$B$8000,TRIM($A362),'Timesheet Raw'!$C$4:$C$8000,"*"&amp;$B362&amp;"*",'Timesheet Raw'!$L$4:$L$8000,"&gt;="&amp;U$5,'Timesheet Raw'!$L$4:$L$8000,"&lt;="&amp;U$6)))/'Profit Plan'!$B$5)</f>
        <v>0</v>
      </c>
      <c r="V362" s="122">
        <f>IF($A362="","",(IF(ISNUMBER(SEARCH("Proposal",$A362)),SUMIFS('Timesheet Raw'!$P$4:$P$8000,'Timesheet Raw'!$A$4:$A$8000,IF(ISNUMBER(SEARCH("Chargable",$A362)),"2-Proposals Chargeable","3-Proposals Regular"),'Timesheet Raw'!$C$4:$C$8000,"*"&amp;$B362&amp;"*",'Timesheet Raw'!$L$4:$L$8000,"&gt;="&amp;MAX(V$5,DATE(2000+VALUE(RIGHT(TRIM($A362),2)),1,1)),'Timesheet Raw'!$L$4:$L$8000,"&lt;="&amp;MIN(V$6,DATE(2000+VALUE(RIGHT(TRIM($A362),2)),12,31))),SUMIFS('Timesheet Raw'!$P$4:$P$8000,'Timesheet Raw'!$B$4:$B$8000,TRIM($A362),'Timesheet Raw'!$C$4:$C$8000,"*"&amp;$B362&amp;"*",'Timesheet Raw'!$L$4:$L$8000,"&gt;="&amp;V$5,'Timesheet Raw'!$L$4:$L$8000,"&lt;="&amp;V$6)))/'Profit Plan'!$B$5)</f>
        <v>0</v>
      </c>
      <c r="W362" s="122">
        <f>IF($A362="","",(IF(ISNUMBER(SEARCH("Proposal",$A362)),SUMIFS('Timesheet Raw'!$P$4:$P$8000,'Timesheet Raw'!$A$4:$A$8000,IF(ISNUMBER(SEARCH("Chargable",$A362)),"2-Proposals Chargeable","3-Proposals Regular"),'Timesheet Raw'!$C$4:$C$8000,"*"&amp;$B362&amp;"*",'Timesheet Raw'!$L$4:$L$8000,"&gt;="&amp;MAX(W$5,DATE(2000+VALUE(RIGHT(TRIM($A362),2)),1,1)),'Timesheet Raw'!$L$4:$L$8000,"&lt;="&amp;MIN(W$6,DATE(2000+VALUE(RIGHT(TRIM($A362),2)),12,31))),SUMIFS('Timesheet Raw'!$P$4:$P$8000,'Timesheet Raw'!$B$4:$B$8000,TRIM($A362),'Timesheet Raw'!$C$4:$C$8000,"*"&amp;$B362&amp;"*",'Timesheet Raw'!$L$4:$L$8000,"&gt;="&amp;W$5,'Timesheet Raw'!$L$4:$L$8000,"&lt;="&amp;W$6)))/'Profit Plan'!$B$5)</f>
        <v>0</v>
      </c>
      <c r="X362" s="122">
        <f>IF($A362="","",(IF(ISNUMBER(SEARCH("Proposal",$A362)),SUMIFS('Timesheet Raw'!$P$4:$P$8000,'Timesheet Raw'!$A$4:$A$8000,IF(ISNUMBER(SEARCH("Chargable",$A362)),"2-Proposals Chargeable","3-Proposals Regular"),'Timesheet Raw'!$C$4:$C$8000,"*"&amp;$B362&amp;"*",'Timesheet Raw'!$L$4:$L$8000,"&gt;="&amp;MAX(X$5,DATE(2000+VALUE(RIGHT(TRIM($A362),2)),1,1)),'Timesheet Raw'!$L$4:$L$8000,"&lt;="&amp;MIN(X$6,DATE(2000+VALUE(RIGHT(TRIM($A362),2)),12,31))),SUMIFS('Timesheet Raw'!$P$4:$P$8000,'Timesheet Raw'!$B$4:$B$8000,TRIM($A362),'Timesheet Raw'!$C$4:$C$8000,"*"&amp;$B362&amp;"*",'Timesheet Raw'!$L$4:$L$8000,"&gt;="&amp;X$5,'Timesheet Raw'!$L$4:$L$8000,"&lt;="&amp;X$6)))/'Profit Plan'!$B$5)</f>
        <v>0</v>
      </c>
      <c r="Y362" s="118">
        <f t="shared" si="101"/>
        <v>0.87972972972972974</v>
      </c>
    </row>
    <row r="363" spans="1:25" x14ac:dyDescent="0.3">
      <c r="A363" s="116" t="str">
        <f>IF(Inputs!$A38="","",Inputs!$A38)</f>
        <v>Chargable Proposals 24</v>
      </c>
      <c r="B363" s="116" t="str">
        <f>IF(Inputs!$A38="","",Inputs!$A$93)</f>
        <v>Kirolos</v>
      </c>
      <c r="C363" s="116"/>
      <c r="D363" s="122">
        <f>IF($A363="","",(IF(ISNUMBER(SEARCH("Proposal",$A363)),SUMIFS('Timesheet Raw'!$P$4:$P$8000,'Timesheet Raw'!$A$4:$A$8000,IF(ISNUMBER(SEARCH("Chargable",$A363)),"2-Proposals Chargeable","3-Proposals Regular"),'Timesheet Raw'!$C$4:$C$8000,"*"&amp;$B363&amp;"*",'Timesheet Raw'!$L$4:$L$8000,"&gt;="&amp;MAX(D$5,DATE(2000+VALUE(RIGHT(TRIM($A363),2)),1,1)),'Timesheet Raw'!$L$4:$L$8000,"&lt;="&amp;MIN(D$6,DATE(2000+VALUE(RIGHT(TRIM($A363),2)),12,31))),SUMIFS('Timesheet Raw'!$P$4:$P$8000,'Timesheet Raw'!$B$4:$B$8000,TRIM($A363),'Timesheet Raw'!$C$4:$C$8000,"*"&amp;$B363&amp;"*",'Timesheet Raw'!$L$4:$L$8000,"&gt;="&amp;D$5,'Timesheet Raw'!$L$4:$L$8000,"&lt;="&amp;D$6)))/'Profit Plan'!$B$5)</f>
        <v>0</v>
      </c>
      <c r="E363" s="122">
        <f>IF($A363="","",(IF(ISNUMBER(SEARCH("Proposal",$A363)),SUMIFS('Timesheet Raw'!$P$4:$P$8000,'Timesheet Raw'!$A$4:$A$8000,IF(ISNUMBER(SEARCH("Chargable",$A363)),"2-Proposals Chargeable","3-Proposals Regular"),'Timesheet Raw'!$C$4:$C$8000,"*"&amp;$B363&amp;"*",'Timesheet Raw'!$L$4:$L$8000,"&gt;="&amp;MAX(E$5,DATE(2000+VALUE(RIGHT(TRIM($A363),2)),1,1)),'Timesheet Raw'!$L$4:$L$8000,"&lt;="&amp;MIN(E$6,DATE(2000+VALUE(RIGHT(TRIM($A363),2)),12,31))),SUMIFS('Timesheet Raw'!$P$4:$P$8000,'Timesheet Raw'!$B$4:$B$8000,TRIM($A363),'Timesheet Raw'!$C$4:$C$8000,"*"&amp;$B363&amp;"*",'Timesheet Raw'!$L$4:$L$8000,"&gt;="&amp;E$5,'Timesheet Raw'!$L$4:$L$8000,"&lt;="&amp;E$6)))/'Profit Plan'!$B$5)</f>
        <v>0</v>
      </c>
      <c r="F363" s="122">
        <f>IF($A363="","",(IF(ISNUMBER(SEARCH("Proposal",$A363)),SUMIFS('Timesheet Raw'!$P$4:$P$8000,'Timesheet Raw'!$A$4:$A$8000,IF(ISNUMBER(SEARCH("Chargable",$A363)),"2-Proposals Chargeable","3-Proposals Regular"),'Timesheet Raw'!$C$4:$C$8000,"*"&amp;$B363&amp;"*",'Timesheet Raw'!$L$4:$L$8000,"&gt;="&amp;MAX(F$5,DATE(2000+VALUE(RIGHT(TRIM($A363),2)),1,1)),'Timesheet Raw'!$L$4:$L$8000,"&lt;="&amp;MIN(F$6,DATE(2000+VALUE(RIGHT(TRIM($A363),2)),12,31))),SUMIFS('Timesheet Raw'!$P$4:$P$8000,'Timesheet Raw'!$B$4:$B$8000,TRIM($A363),'Timesheet Raw'!$C$4:$C$8000,"*"&amp;$B363&amp;"*",'Timesheet Raw'!$L$4:$L$8000,"&gt;="&amp;F$5,'Timesheet Raw'!$L$4:$L$8000,"&lt;="&amp;F$6)))/'Profit Plan'!$B$5)</f>
        <v>0</v>
      </c>
      <c r="G363" s="122">
        <f>IF($A363="","",(IF(ISNUMBER(SEARCH("Proposal",$A363)),SUMIFS('Timesheet Raw'!$P$4:$P$8000,'Timesheet Raw'!$A$4:$A$8000,IF(ISNUMBER(SEARCH("Chargable",$A363)),"2-Proposals Chargeable","3-Proposals Regular"),'Timesheet Raw'!$C$4:$C$8000,"*"&amp;$B363&amp;"*",'Timesheet Raw'!$L$4:$L$8000,"&gt;="&amp;MAX(G$5,DATE(2000+VALUE(RIGHT(TRIM($A363),2)),1,1)),'Timesheet Raw'!$L$4:$L$8000,"&lt;="&amp;MIN(G$6,DATE(2000+VALUE(RIGHT(TRIM($A363),2)),12,31))),SUMIFS('Timesheet Raw'!$P$4:$P$8000,'Timesheet Raw'!$B$4:$B$8000,TRIM($A363),'Timesheet Raw'!$C$4:$C$8000,"*"&amp;$B363&amp;"*",'Timesheet Raw'!$L$4:$L$8000,"&gt;="&amp;G$5,'Timesheet Raw'!$L$4:$L$8000,"&lt;="&amp;G$6)))/'Profit Plan'!$B$5)</f>
        <v>0</v>
      </c>
      <c r="H363" s="122">
        <f>IF($A363="","",(IF(ISNUMBER(SEARCH("Proposal",$A363)),SUMIFS('Timesheet Raw'!$P$4:$P$8000,'Timesheet Raw'!$A$4:$A$8000,IF(ISNUMBER(SEARCH("Chargable",$A363)),"2-Proposals Chargeable","3-Proposals Regular"),'Timesheet Raw'!$C$4:$C$8000,"*"&amp;$B363&amp;"*",'Timesheet Raw'!$L$4:$L$8000,"&gt;="&amp;MAX(H$5,DATE(2000+VALUE(RIGHT(TRIM($A363),2)),1,1)),'Timesheet Raw'!$L$4:$L$8000,"&lt;="&amp;MIN(H$6,DATE(2000+VALUE(RIGHT(TRIM($A363),2)),12,31))),SUMIFS('Timesheet Raw'!$P$4:$P$8000,'Timesheet Raw'!$B$4:$B$8000,TRIM($A363),'Timesheet Raw'!$C$4:$C$8000,"*"&amp;$B363&amp;"*",'Timesheet Raw'!$L$4:$L$8000,"&gt;="&amp;H$5,'Timesheet Raw'!$L$4:$L$8000,"&lt;="&amp;H$6)))/'Profit Plan'!$B$5)</f>
        <v>0.24324324324324326</v>
      </c>
      <c r="I363" s="122">
        <f>IF($A363="","",(IF(ISNUMBER(SEARCH("Proposal",$A363)),SUMIFS('Timesheet Raw'!$P$4:$P$8000,'Timesheet Raw'!$A$4:$A$8000,IF(ISNUMBER(SEARCH("Chargable",$A363)),"2-Proposals Chargeable","3-Proposals Regular"),'Timesheet Raw'!$C$4:$C$8000,"*"&amp;$B363&amp;"*",'Timesheet Raw'!$L$4:$L$8000,"&gt;="&amp;MAX(I$5,DATE(2000+VALUE(RIGHT(TRIM($A363),2)),1,1)),'Timesheet Raw'!$L$4:$L$8000,"&lt;="&amp;MIN(I$6,DATE(2000+VALUE(RIGHT(TRIM($A363),2)),12,31))),SUMIFS('Timesheet Raw'!$P$4:$P$8000,'Timesheet Raw'!$B$4:$B$8000,TRIM($A363),'Timesheet Raw'!$C$4:$C$8000,"*"&amp;$B363&amp;"*",'Timesheet Raw'!$L$4:$L$8000,"&gt;="&amp;I$5,'Timesheet Raw'!$L$4:$L$8000,"&lt;="&amp;I$6)))/'Profit Plan'!$B$5)</f>
        <v>0</v>
      </c>
      <c r="J363" s="122">
        <f>IF($A363="","",(IF(ISNUMBER(SEARCH("Proposal",$A363)),SUMIFS('Timesheet Raw'!$P$4:$P$8000,'Timesheet Raw'!$A$4:$A$8000,IF(ISNUMBER(SEARCH("Chargable",$A363)),"2-Proposals Chargeable","3-Proposals Regular"),'Timesheet Raw'!$C$4:$C$8000,"*"&amp;$B363&amp;"*",'Timesheet Raw'!$L$4:$L$8000,"&gt;="&amp;MAX(J$5,DATE(2000+VALUE(RIGHT(TRIM($A363),2)),1,1)),'Timesheet Raw'!$L$4:$L$8000,"&lt;="&amp;MIN(J$6,DATE(2000+VALUE(RIGHT(TRIM($A363),2)),12,31))),SUMIFS('Timesheet Raw'!$P$4:$P$8000,'Timesheet Raw'!$B$4:$B$8000,TRIM($A363),'Timesheet Raw'!$C$4:$C$8000,"*"&amp;$B363&amp;"*",'Timesheet Raw'!$L$4:$L$8000,"&gt;="&amp;J$5,'Timesheet Raw'!$L$4:$L$8000,"&lt;="&amp;J$6)))/'Profit Plan'!$B$5)</f>
        <v>0</v>
      </c>
      <c r="K363" s="122">
        <f>IF($A363="","",(IF(ISNUMBER(SEARCH("Proposal",$A363)),SUMIFS('Timesheet Raw'!$P$4:$P$8000,'Timesheet Raw'!$A$4:$A$8000,IF(ISNUMBER(SEARCH("Chargable",$A363)),"2-Proposals Chargeable","3-Proposals Regular"),'Timesheet Raw'!$C$4:$C$8000,"*"&amp;$B363&amp;"*",'Timesheet Raw'!$L$4:$L$8000,"&gt;="&amp;MAX(K$5,DATE(2000+VALUE(RIGHT(TRIM($A363),2)),1,1)),'Timesheet Raw'!$L$4:$L$8000,"&lt;="&amp;MIN(K$6,DATE(2000+VALUE(RIGHT(TRIM($A363),2)),12,31))),SUMIFS('Timesheet Raw'!$P$4:$P$8000,'Timesheet Raw'!$B$4:$B$8000,TRIM($A363),'Timesheet Raw'!$C$4:$C$8000,"*"&amp;$B363&amp;"*",'Timesheet Raw'!$L$4:$L$8000,"&gt;="&amp;K$5,'Timesheet Raw'!$L$4:$L$8000,"&lt;="&amp;K$6)))/'Profit Plan'!$B$5)</f>
        <v>0</v>
      </c>
      <c r="L363" s="122">
        <f>IF($A363="","",(IF(ISNUMBER(SEARCH("Proposal",$A363)),SUMIFS('Timesheet Raw'!$P$4:$P$8000,'Timesheet Raw'!$A$4:$A$8000,IF(ISNUMBER(SEARCH("Chargable",$A363)),"2-Proposals Chargeable","3-Proposals Regular"),'Timesheet Raw'!$C$4:$C$8000,"*"&amp;$B363&amp;"*",'Timesheet Raw'!$L$4:$L$8000,"&gt;="&amp;MAX(L$5,DATE(2000+VALUE(RIGHT(TRIM($A363),2)),1,1)),'Timesheet Raw'!$L$4:$L$8000,"&lt;="&amp;MIN(L$6,DATE(2000+VALUE(RIGHT(TRIM($A363),2)),12,31))),SUMIFS('Timesheet Raw'!$P$4:$P$8000,'Timesheet Raw'!$B$4:$B$8000,TRIM($A363),'Timesheet Raw'!$C$4:$C$8000,"*"&amp;$B363&amp;"*",'Timesheet Raw'!$L$4:$L$8000,"&gt;="&amp;L$5,'Timesheet Raw'!$L$4:$L$8000,"&lt;="&amp;L$6)))/'Profit Plan'!$B$5)</f>
        <v>0</v>
      </c>
      <c r="M363" s="122">
        <f>IF($A363="","",(IF(ISNUMBER(SEARCH("Proposal",$A363)),SUMIFS('Timesheet Raw'!$P$4:$P$8000,'Timesheet Raw'!$A$4:$A$8000,IF(ISNUMBER(SEARCH("Chargable",$A363)),"2-Proposals Chargeable","3-Proposals Regular"),'Timesheet Raw'!$C$4:$C$8000,"*"&amp;$B363&amp;"*",'Timesheet Raw'!$L$4:$L$8000,"&gt;="&amp;MAX(M$5,DATE(2000+VALUE(RIGHT(TRIM($A363),2)),1,1)),'Timesheet Raw'!$L$4:$L$8000,"&lt;="&amp;MIN(M$6,DATE(2000+VALUE(RIGHT(TRIM($A363),2)),12,31))),SUMIFS('Timesheet Raw'!$P$4:$P$8000,'Timesheet Raw'!$B$4:$B$8000,TRIM($A363),'Timesheet Raw'!$C$4:$C$8000,"*"&amp;$B363&amp;"*",'Timesheet Raw'!$L$4:$L$8000,"&gt;="&amp;M$5,'Timesheet Raw'!$L$4:$L$8000,"&lt;="&amp;M$6)))/'Profit Plan'!$B$5)</f>
        <v>0</v>
      </c>
      <c r="N363" s="122">
        <f>IF($A363="","",(IF(ISNUMBER(SEARCH("Proposal",$A363)),SUMIFS('Timesheet Raw'!$P$4:$P$8000,'Timesheet Raw'!$A$4:$A$8000,IF(ISNUMBER(SEARCH("Chargable",$A363)),"2-Proposals Chargeable","3-Proposals Regular"),'Timesheet Raw'!$C$4:$C$8000,"*"&amp;$B363&amp;"*",'Timesheet Raw'!$L$4:$L$8000,"&gt;="&amp;MAX(N$5,DATE(2000+VALUE(RIGHT(TRIM($A363),2)),1,1)),'Timesheet Raw'!$L$4:$L$8000,"&lt;="&amp;MIN(N$6,DATE(2000+VALUE(RIGHT(TRIM($A363),2)),12,31))),SUMIFS('Timesheet Raw'!$P$4:$P$8000,'Timesheet Raw'!$B$4:$B$8000,TRIM($A363),'Timesheet Raw'!$C$4:$C$8000,"*"&amp;$B363&amp;"*",'Timesheet Raw'!$L$4:$L$8000,"&gt;="&amp;N$5,'Timesheet Raw'!$L$4:$L$8000,"&lt;="&amp;N$6)))/'Profit Plan'!$B$5)</f>
        <v>0</v>
      </c>
      <c r="O363" s="122">
        <f>IF($A363="","",(IF(ISNUMBER(SEARCH("Proposal",$A363)),SUMIFS('Timesheet Raw'!$P$4:$P$8000,'Timesheet Raw'!$A$4:$A$8000,IF(ISNUMBER(SEARCH("Chargable",$A363)),"2-Proposals Chargeable","3-Proposals Regular"),'Timesheet Raw'!$C$4:$C$8000,"*"&amp;$B363&amp;"*",'Timesheet Raw'!$L$4:$L$8000,"&gt;="&amp;MAX(O$5,DATE(2000+VALUE(RIGHT(TRIM($A363),2)),1,1)),'Timesheet Raw'!$L$4:$L$8000,"&lt;="&amp;MIN(O$6,DATE(2000+VALUE(RIGHT(TRIM($A363),2)),12,31))),SUMIFS('Timesheet Raw'!$P$4:$P$8000,'Timesheet Raw'!$B$4:$B$8000,TRIM($A363),'Timesheet Raw'!$C$4:$C$8000,"*"&amp;$B363&amp;"*",'Timesheet Raw'!$L$4:$L$8000,"&gt;="&amp;O$5,'Timesheet Raw'!$L$4:$L$8000,"&lt;="&amp;O$6)))/'Profit Plan'!$B$5)</f>
        <v>0</v>
      </c>
      <c r="P363" s="122">
        <f>IF($A363="","",(IF(ISNUMBER(SEARCH("Proposal",$A363)),SUMIFS('Timesheet Raw'!$P$4:$P$8000,'Timesheet Raw'!$A$4:$A$8000,IF(ISNUMBER(SEARCH("Chargable",$A363)),"2-Proposals Chargeable","3-Proposals Regular"),'Timesheet Raw'!$C$4:$C$8000,"*"&amp;$B363&amp;"*",'Timesheet Raw'!$L$4:$L$8000,"&gt;="&amp;MAX(P$5,DATE(2000+VALUE(RIGHT(TRIM($A363),2)),1,1)),'Timesheet Raw'!$L$4:$L$8000,"&lt;="&amp;MIN(P$6,DATE(2000+VALUE(RIGHT(TRIM($A363),2)),12,31))),SUMIFS('Timesheet Raw'!$P$4:$P$8000,'Timesheet Raw'!$B$4:$B$8000,TRIM($A363),'Timesheet Raw'!$C$4:$C$8000,"*"&amp;$B363&amp;"*",'Timesheet Raw'!$L$4:$L$8000,"&gt;="&amp;P$5,'Timesheet Raw'!$L$4:$L$8000,"&lt;="&amp;P$6)))/'Profit Plan'!$B$5)</f>
        <v>0</v>
      </c>
      <c r="Q363" s="122">
        <f>IF($A363="","",(IF(ISNUMBER(SEARCH("Proposal",$A363)),SUMIFS('Timesheet Raw'!$P$4:$P$8000,'Timesheet Raw'!$A$4:$A$8000,IF(ISNUMBER(SEARCH("Chargable",$A363)),"2-Proposals Chargeable","3-Proposals Regular"),'Timesheet Raw'!$C$4:$C$8000,"*"&amp;$B363&amp;"*",'Timesheet Raw'!$L$4:$L$8000,"&gt;="&amp;MAX(Q$5,DATE(2000+VALUE(RIGHT(TRIM($A363),2)),1,1)),'Timesheet Raw'!$L$4:$L$8000,"&lt;="&amp;MIN(Q$6,DATE(2000+VALUE(RIGHT(TRIM($A363),2)),12,31))),SUMIFS('Timesheet Raw'!$P$4:$P$8000,'Timesheet Raw'!$B$4:$B$8000,TRIM($A363),'Timesheet Raw'!$C$4:$C$8000,"*"&amp;$B363&amp;"*",'Timesheet Raw'!$L$4:$L$8000,"&gt;="&amp;Q$5,'Timesheet Raw'!$L$4:$L$8000,"&lt;="&amp;Q$6)))/'Profit Plan'!$B$5)</f>
        <v>0</v>
      </c>
      <c r="R363" s="122">
        <f>IF($A363="","",(IF(ISNUMBER(SEARCH("Proposal",$A363)),SUMIFS('Timesheet Raw'!$P$4:$P$8000,'Timesheet Raw'!$A$4:$A$8000,IF(ISNUMBER(SEARCH("Chargable",$A363)),"2-Proposals Chargeable","3-Proposals Regular"),'Timesheet Raw'!$C$4:$C$8000,"*"&amp;$B363&amp;"*",'Timesheet Raw'!$L$4:$L$8000,"&gt;="&amp;MAX(R$5,DATE(2000+VALUE(RIGHT(TRIM($A363),2)),1,1)),'Timesheet Raw'!$L$4:$L$8000,"&lt;="&amp;MIN(R$6,DATE(2000+VALUE(RIGHT(TRIM($A363),2)),12,31))),SUMIFS('Timesheet Raw'!$P$4:$P$8000,'Timesheet Raw'!$B$4:$B$8000,TRIM($A363),'Timesheet Raw'!$C$4:$C$8000,"*"&amp;$B363&amp;"*",'Timesheet Raw'!$L$4:$L$8000,"&gt;="&amp;R$5,'Timesheet Raw'!$L$4:$L$8000,"&lt;="&amp;R$6)))/'Profit Plan'!$B$5)</f>
        <v>0</v>
      </c>
      <c r="S363" s="122">
        <f>IF($A363="","",(IF(ISNUMBER(SEARCH("Proposal",$A363)),SUMIFS('Timesheet Raw'!$P$4:$P$8000,'Timesheet Raw'!$A$4:$A$8000,IF(ISNUMBER(SEARCH("Chargable",$A363)),"2-Proposals Chargeable","3-Proposals Regular"),'Timesheet Raw'!$C$4:$C$8000,"*"&amp;$B363&amp;"*",'Timesheet Raw'!$L$4:$L$8000,"&gt;="&amp;MAX(S$5,DATE(2000+VALUE(RIGHT(TRIM($A363),2)),1,1)),'Timesheet Raw'!$L$4:$L$8000,"&lt;="&amp;MIN(S$6,DATE(2000+VALUE(RIGHT(TRIM($A363),2)),12,31))),SUMIFS('Timesheet Raw'!$P$4:$P$8000,'Timesheet Raw'!$B$4:$B$8000,TRIM($A363),'Timesheet Raw'!$C$4:$C$8000,"*"&amp;$B363&amp;"*",'Timesheet Raw'!$L$4:$L$8000,"&gt;="&amp;S$5,'Timesheet Raw'!$L$4:$L$8000,"&lt;="&amp;S$6)))/'Profit Plan'!$B$5)</f>
        <v>0</v>
      </c>
      <c r="T363" s="122">
        <f>IF($A363="","",(IF(ISNUMBER(SEARCH("Proposal",$A363)),SUMIFS('Timesheet Raw'!$P$4:$P$8000,'Timesheet Raw'!$A$4:$A$8000,IF(ISNUMBER(SEARCH("Chargable",$A363)),"2-Proposals Chargeable","3-Proposals Regular"),'Timesheet Raw'!$C$4:$C$8000,"*"&amp;$B363&amp;"*",'Timesheet Raw'!$L$4:$L$8000,"&gt;="&amp;MAX(T$5,DATE(2000+VALUE(RIGHT(TRIM($A363),2)),1,1)),'Timesheet Raw'!$L$4:$L$8000,"&lt;="&amp;MIN(T$6,DATE(2000+VALUE(RIGHT(TRIM($A363),2)),12,31))),SUMIFS('Timesheet Raw'!$P$4:$P$8000,'Timesheet Raw'!$B$4:$B$8000,TRIM($A363),'Timesheet Raw'!$C$4:$C$8000,"*"&amp;$B363&amp;"*",'Timesheet Raw'!$L$4:$L$8000,"&gt;="&amp;T$5,'Timesheet Raw'!$L$4:$L$8000,"&lt;="&amp;T$6)))/'Profit Plan'!$B$5)</f>
        <v>0</v>
      </c>
      <c r="U363" s="122">
        <f>IF($A363="","",(IF(ISNUMBER(SEARCH("Proposal",$A363)),SUMIFS('Timesheet Raw'!$P$4:$P$8000,'Timesheet Raw'!$A$4:$A$8000,IF(ISNUMBER(SEARCH("Chargable",$A363)),"2-Proposals Chargeable","3-Proposals Regular"),'Timesheet Raw'!$C$4:$C$8000,"*"&amp;$B363&amp;"*",'Timesheet Raw'!$L$4:$L$8000,"&gt;="&amp;MAX(U$5,DATE(2000+VALUE(RIGHT(TRIM($A363),2)),1,1)),'Timesheet Raw'!$L$4:$L$8000,"&lt;="&amp;MIN(U$6,DATE(2000+VALUE(RIGHT(TRIM($A363),2)),12,31))),SUMIFS('Timesheet Raw'!$P$4:$P$8000,'Timesheet Raw'!$B$4:$B$8000,TRIM($A363),'Timesheet Raw'!$C$4:$C$8000,"*"&amp;$B363&amp;"*",'Timesheet Raw'!$L$4:$L$8000,"&gt;="&amp;U$5,'Timesheet Raw'!$L$4:$L$8000,"&lt;="&amp;U$6)))/'Profit Plan'!$B$5)</f>
        <v>0</v>
      </c>
      <c r="V363" s="122">
        <f>IF($A363="","",(IF(ISNUMBER(SEARCH("Proposal",$A363)),SUMIFS('Timesheet Raw'!$P$4:$P$8000,'Timesheet Raw'!$A$4:$A$8000,IF(ISNUMBER(SEARCH("Chargable",$A363)),"2-Proposals Chargeable","3-Proposals Regular"),'Timesheet Raw'!$C$4:$C$8000,"*"&amp;$B363&amp;"*",'Timesheet Raw'!$L$4:$L$8000,"&gt;="&amp;MAX(V$5,DATE(2000+VALUE(RIGHT(TRIM($A363),2)),1,1)),'Timesheet Raw'!$L$4:$L$8000,"&lt;="&amp;MIN(V$6,DATE(2000+VALUE(RIGHT(TRIM($A363),2)),12,31))),SUMIFS('Timesheet Raw'!$P$4:$P$8000,'Timesheet Raw'!$B$4:$B$8000,TRIM($A363),'Timesheet Raw'!$C$4:$C$8000,"*"&amp;$B363&amp;"*",'Timesheet Raw'!$L$4:$L$8000,"&gt;="&amp;V$5,'Timesheet Raw'!$L$4:$L$8000,"&lt;="&amp;V$6)))/'Profit Plan'!$B$5)</f>
        <v>0</v>
      </c>
      <c r="W363" s="122">
        <f>IF($A363="","",(IF(ISNUMBER(SEARCH("Proposal",$A363)),SUMIFS('Timesheet Raw'!$P$4:$P$8000,'Timesheet Raw'!$A$4:$A$8000,IF(ISNUMBER(SEARCH("Chargable",$A363)),"2-Proposals Chargeable","3-Proposals Regular"),'Timesheet Raw'!$C$4:$C$8000,"*"&amp;$B363&amp;"*",'Timesheet Raw'!$L$4:$L$8000,"&gt;="&amp;MAX(W$5,DATE(2000+VALUE(RIGHT(TRIM($A363),2)),1,1)),'Timesheet Raw'!$L$4:$L$8000,"&lt;="&amp;MIN(W$6,DATE(2000+VALUE(RIGHT(TRIM($A363),2)),12,31))),SUMIFS('Timesheet Raw'!$P$4:$P$8000,'Timesheet Raw'!$B$4:$B$8000,TRIM($A363),'Timesheet Raw'!$C$4:$C$8000,"*"&amp;$B363&amp;"*",'Timesheet Raw'!$L$4:$L$8000,"&gt;="&amp;W$5,'Timesheet Raw'!$L$4:$L$8000,"&lt;="&amp;W$6)))/'Profit Plan'!$B$5)</f>
        <v>0</v>
      </c>
      <c r="X363" s="122">
        <f>IF($A363="","",(IF(ISNUMBER(SEARCH("Proposal",$A363)),SUMIFS('Timesheet Raw'!$P$4:$P$8000,'Timesheet Raw'!$A$4:$A$8000,IF(ISNUMBER(SEARCH("Chargable",$A363)),"2-Proposals Chargeable","3-Proposals Regular"),'Timesheet Raw'!$C$4:$C$8000,"*"&amp;$B363&amp;"*",'Timesheet Raw'!$L$4:$L$8000,"&gt;="&amp;MAX(X$5,DATE(2000+VALUE(RIGHT(TRIM($A363),2)),1,1)),'Timesheet Raw'!$L$4:$L$8000,"&lt;="&amp;MIN(X$6,DATE(2000+VALUE(RIGHT(TRIM($A363),2)),12,31))),SUMIFS('Timesheet Raw'!$P$4:$P$8000,'Timesheet Raw'!$B$4:$B$8000,TRIM($A363),'Timesheet Raw'!$C$4:$C$8000,"*"&amp;$B363&amp;"*",'Timesheet Raw'!$L$4:$L$8000,"&gt;="&amp;X$5,'Timesheet Raw'!$L$4:$L$8000,"&lt;="&amp;X$6)))/'Profit Plan'!$B$5)</f>
        <v>0</v>
      </c>
      <c r="Y363" s="118">
        <f t="shared" si="101"/>
        <v>0.24324324324324326</v>
      </c>
    </row>
    <row r="364" spans="1:25" x14ac:dyDescent="0.3">
      <c r="A364" s="116" t="str">
        <f>IF(Inputs!$A39="","",Inputs!$A39)</f>
        <v>Proposals 24</v>
      </c>
      <c r="B364" s="116" t="str">
        <f>IF(Inputs!$A39="","",Inputs!$A$91)</f>
        <v>Ahmed</v>
      </c>
      <c r="C364" s="116"/>
      <c r="D364" s="122">
        <f>IF($A364="","",(IF(ISNUMBER(SEARCH("Proposal",$A364)),SUMIFS('Timesheet Raw'!$P$4:$P$8000,'Timesheet Raw'!$A$4:$A$8000,IF(ISNUMBER(SEARCH("Chargable",$A364)),"2-Proposals Chargeable","3-Proposals Regular"),'Timesheet Raw'!$C$4:$C$8000,"*"&amp;$B364&amp;"*",'Timesheet Raw'!$L$4:$L$8000,"&gt;="&amp;MAX(D$5,DATE(2000+VALUE(RIGHT(TRIM($A364),2)),1,1)),'Timesheet Raw'!$L$4:$L$8000,"&lt;="&amp;MIN(D$6,DATE(2000+VALUE(RIGHT(TRIM($A364),2)),12,31))),SUMIFS('Timesheet Raw'!$P$4:$P$8000,'Timesheet Raw'!$B$4:$B$8000,TRIM($A364),'Timesheet Raw'!$C$4:$C$8000,"*"&amp;$B364&amp;"*",'Timesheet Raw'!$L$4:$L$8000,"&gt;="&amp;D$5,'Timesheet Raw'!$L$4:$L$8000,"&lt;="&amp;D$6)))/'Profit Plan'!$B$5)</f>
        <v>0</v>
      </c>
      <c r="E364" s="122">
        <f>IF($A364="","",(IF(ISNUMBER(SEARCH("Proposal",$A364)),SUMIFS('Timesheet Raw'!$P$4:$P$8000,'Timesheet Raw'!$A$4:$A$8000,IF(ISNUMBER(SEARCH("Chargable",$A364)),"2-Proposals Chargeable","3-Proposals Regular"),'Timesheet Raw'!$C$4:$C$8000,"*"&amp;$B364&amp;"*",'Timesheet Raw'!$L$4:$L$8000,"&gt;="&amp;MAX(E$5,DATE(2000+VALUE(RIGHT(TRIM($A364),2)),1,1)),'Timesheet Raw'!$L$4:$L$8000,"&lt;="&amp;MIN(E$6,DATE(2000+VALUE(RIGHT(TRIM($A364),2)),12,31))),SUMIFS('Timesheet Raw'!$P$4:$P$8000,'Timesheet Raw'!$B$4:$B$8000,TRIM($A364),'Timesheet Raw'!$C$4:$C$8000,"*"&amp;$B364&amp;"*",'Timesheet Raw'!$L$4:$L$8000,"&gt;="&amp;E$5,'Timesheet Raw'!$L$4:$L$8000,"&lt;="&amp;E$6)))/'Profit Plan'!$B$5)</f>
        <v>1.6216216216216217E-2</v>
      </c>
      <c r="F364" s="122">
        <f>IF($A364="","",(IF(ISNUMBER(SEARCH("Proposal",$A364)),SUMIFS('Timesheet Raw'!$P$4:$P$8000,'Timesheet Raw'!$A$4:$A$8000,IF(ISNUMBER(SEARCH("Chargable",$A364)),"2-Proposals Chargeable","3-Proposals Regular"),'Timesheet Raw'!$C$4:$C$8000,"*"&amp;$B364&amp;"*",'Timesheet Raw'!$L$4:$L$8000,"&gt;="&amp;MAX(F$5,DATE(2000+VALUE(RIGHT(TRIM($A364),2)),1,1)),'Timesheet Raw'!$L$4:$L$8000,"&lt;="&amp;MIN(F$6,DATE(2000+VALUE(RIGHT(TRIM($A364),2)),12,31))),SUMIFS('Timesheet Raw'!$P$4:$P$8000,'Timesheet Raw'!$B$4:$B$8000,TRIM($A364),'Timesheet Raw'!$C$4:$C$8000,"*"&amp;$B364&amp;"*",'Timesheet Raw'!$L$4:$L$8000,"&gt;="&amp;F$5,'Timesheet Raw'!$L$4:$L$8000,"&lt;="&amp;F$6)))/'Profit Plan'!$B$5)</f>
        <v>9.5945945945945951E-2</v>
      </c>
      <c r="G364" s="122">
        <f>IF($A364="","",(IF(ISNUMBER(SEARCH("Proposal",$A364)),SUMIFS('Timesheet Raw'!$P$4:$P$8000,'Timesheet Raw'!$A$4:$A$8000,IF(ISNUMBER(SEARCH("Chargable",$A364)),"2-Proposals Chargeable","3-Proposals Regular"),'Timesheet Raw'!$C$4:$C$8000,"*"&amp;$B364&amp;"*",'Timesheet Raw'!$L$4:$L$8000,"&gt;="&amp;MAX(G$5,DATE(2000+VALUE(RIGHT(TRIM($A364),2)),1,1)),'Timesheet Raw'!$L$4:$L$8000,"&lt;="&amp;MIN(G$6,DATE(2000+VALUE(RIGHT(TRIM($A364),2)),12,31))),SUMIFS('Timesheet Raw'!$P$4:$P$8000,'Timesheet Raw'!$B$4:$B$8000,TRIM($A364),'Timesheet Raw'!$C$4:$C$8000,"*"&amp;$B364&amp;"*",'Timesheet Raw'!$L$4:$L$8000,"&gt;="&amp;G$5,'Timesheet Raw'!$L$4:$L$8000,"&lt;="&amp;G$6)))/'Profit Plan'!$B$5)</f>
        <v>1.6216216216216217E-2</v>
      </c>
      <c r="H364" s="122">
        <f>IF($A364="","",(IF(ISNUMBER(SEARCH("Proposal",$A364)),SUMIFS('Timesheet Raw'!$P$4:$P$8000,'Timesheet Raw'!$A$4:$A$8000,IF(ISNUMBER(SEARCH("Chargable",$A364)),"2-Proposals Chargeable","3-Proposals Regular"),'Timesheet Raw'!$C$4:$C$8000,"*"&amp;$B364&amp;"*",'Timesheet Raw'!$L$4:$L$8000,"&gt;="&amp;MAX(H$5,DATE(2000+VALUE(RIGHT(TRIM($A364),2)),1,1)),'Timesheet Raw'!$L$4:$L$8000,"&lt;="&amp;MIN(H$6,DATE(2000+VALUE(RIGHT(TRIM($A364),2)),12,31))),SUMIFS('Timesheet Raw'!$P$4:$P$8000,'Timesheet Raw'!$B$4:$B$8000,TRIM($A364),'Timesheet Raw'!$C$4:$C$8000,"*"&amp;$B364&amp;"*",'Timesheet Raw'!$L$4:$L$8000,"&gt;="&amp;H$5,'Timesheet Raw'!$L$4:$L$8000,"&lt;="&amp;H$6)))/'Profit Plan'!$B$5)</f>
        <v>3.783783783783784E-2</v>
      </c>
      <c r="I364" s="122">
        <f>IF($A364="","",(IF(ISNUMBER(SEARCH("Proposal",$A364)),SUMIFS('Timesheet Raw'!$P$4:$P$8000,'Timesheet Raw'!$A$4:$A$8000,IF(ISNUMBER(SEARCH("Chargable",$A364)),"2-Proposals Chargeable","3-Proposals Regular"),'Timesheet Raw'!$C$4:$C$8000,"*"&amp;$B364&amp;"*",'Timesheet Raw'!$L$4:$L$8000,"&gt;="&amp;MAX(I$5,DATE(2000+VALUE(RIGHT(TRIM($A364),2)),1,1)),'Timesheet Raw'!$L$4:$L$8000,"&lt;="&amp;MIN(I$6,DATE(2000+VALUE(RIGHT(TRIM($A364),2)),12,31))),SUMIFS('Timesheet Raw'!$P$4:$P$8000,'Timesheet Raw'!$B$4:$B$8000,TRIM($A364),'Timesheet Raw'!$C$4:$C$8000,"*"&amp;$B364&amp;"*",'Timesheet Raw'!$L$4:$L$8000,"&gt;="&amp;I$5,'Timesheet Raw'!$L$4:$L$8000,"&lt;="&amp;I$6)))/'Profit Plan'!$B$5)</f>
        <v>0</v>
      </c>
      <c r="J364" s="122">
        <f>IF($A364="","",(IF(ISNUMBER(SEARCH("Proposal",$A364)),SUMIFS('Timesheet Raw'!$P$4:$P$8000,'Timesheet Raw'!$A$4:$A$8000,IF(ISNUMBER(SEARCH("Chargable",$A364)),"2-Proposals Chargeable","3-Proposals Regular"),'Timesheet Raw'!$C$4:$C$8000,"*"&amp;$B364&amp;"*",'Timesheet Raw'!$L$4:$L$8000,"&gt;="&amp;MAX(J$5,DATE(2000+VALUE(RIGHT(TRIM($A364),2)),1,1)),'Timesheet Raw'!$L$4:$L$8000,"&lt;="&amp;MIN(J$6,DATE(2000+VALUE(RIGHT(TRIM($A364),2)),12,31))),SUMIFS('Timesheet Raw'!$P$4:$P$8000,'Timesheet Raw'!$B$4:$B$8000,TRIM($A364),'Timesheet Raw'!$C$4:$C$8000,"*"&amp;$B364&amp;"*",'Timesheet Raw'!$L$4:$L$8000,"&gt;="&amp;J$5,'Timesheet Raw'!$L$4:$L$8000,"&lt;="&amp;J$6)))/'Profit Plan'!$B$5)</f>
        <v>0</v>
      </c>
      <c r="K364" s="122">
        <f>IF($A364="","",(IF(ISNUMBER(SEARCH("Proposal",$A364)),SUMIFS('Timesheet Raw'!$P$4:$P$8000,'Timesheet Raw'!$A$4:$A$8000,IF(ISNUMBER(SEARCH("Chargable",$A364)),"2-Proposals Chargeable","3-Proposals Regular"),'Timesheet Raw'!$C$4:$C$8000,"*"&amp;$B364&amp;"*",'Timesheet Raw'!$L$4:$L$8000,"&gt;="&amp;MAX(K$5,DATE(2000+VALUE(RIGHT(TRIM($A364),2)),1,1)),'Timesheet Raw'!$L$4:$L$8000,"&lt;="&amp;MIN(K$6,DATE(2000+VALUE(RIGHT(TRIM($A364),2)),12,31))),SUMIFS('Timesheet Raw'!$P$4:$P$8000,'Timesheet Raw'!$B$4:$B$8000,TRIM($A364),'Timesheet Raw'!$C$4:$C$8000,"*"&amp;$B364&amp;"*",'Timesheet Raw'!$L$4:$L$8000,"&gt;="&amp;K$5,'Timesheet Raw'!$L$4:$L$8000,"&lt;="&amp;K$6)))/'Profit Plan'!$B$5)</f>
        <v>0</v>
      </c>
      <c r="L364" s="122">
        <f>IF($A364="","",(IF(ISNUMBER(SEARCH("Proposal",$A364)),SUMIFS('Timesheet Raw'!$P$4:$P$8000,'Timesheet Raw'!$A$4:$A$8000,IF(ISNUMBER(SEARCH("Chargable",$A364)),"2-Proposals Chargeable","3-Proposals Regular"),'Timesheet Raw'!$C$4:$C$8000,"*"&amp;$B364&amp;"*",'Timesheet Raw'!$L$4:$L$8000,"&gt;="&amp;MAX(L$5,DATE(2000+VALUE(RIGHT(TRIM($A364),2)),1,1)),'Timesheet Raw'!$L$4:$L$8000,"&lt;="&amp;MIN(L$6,DATE(2000+VALUE(RIGHT(TRIM($A364),2)),12,31))),SUMIFS('Timesheet Raw'!$P$4:$P$8000,'Timesheet Raw'!$B$4:$B$8000,TRIM($A364),'Timesheet Raw'!$C$4:$C$8000,"*"&amp;$B364&amp;"*",'Timesheet Raw'!$L$4:$L$8000,"&gt;="&amp;L$5,'Timesheet Raw'!$L$4:$L$8000,"&lt;="&amp;L$6)))/'Profit Plan'!$B$5)</f>
        <v>0</v>
      </c>
      <c r="M364" s="122">
        <f>IF($A364="","",(IF(ISNUMBER(SEARCH("Proposal",$A364)),SUMIFS('Timesheet Raw'!$P$4:$P$8000,'Timesheet Raw'!$A$4:$A$8000,IF(ISNUMBER(SEARCH("Chargable",$A364)),"2-Proposals Chargeable","3-Proposals Regular"),'Timesheet Raw'!$C$4:$C$8000,"*"&amp;$B364&amp;"*",'Timesheet Raw'!$L$4:$L$8000,"&gt;="&amp;MAX(M$5,DATE(2000+VALUE(RIGHT(TRIM($A364),2)),1,1)),'Timesheet Raw'!$L$4:$L$8000,"&lt;="&amp;MIN(M$6,DATE(2000+VALUE(RIGHT(TRIM($A364),2)),12,31))),SUMIFS('Timesheet Raw'!$P$4:$P$8000,'Timesheet Raw'!$B$4:$B$8000,TRIM($A364),'Timesheet Raw'!$C$4:$C$8000,"*"&amp;$B364&amp;"*",'Timesheet Raw'!$L$4:$L$8000,"&gt;="&amp;M$5,'Timesheet Raw'!$L$4:$L$8000,"&lt;="&amp;M$6)))/'Profit Plan'!$B$5)</f>
        <v>0</v>
      </c>
      <c r="N364" s="122">
        <f>IF($A364="","",(IF(ISNUMBER(SEARCH("Proposal",$A364)),SUMIFS('Timesheet Raw'!$P$4:$P$8000,'Timesheet Raw'!$A$4:$A$8000,IF(ISNUMBER(SEARCH("Chargable",$A364)),"2-Proposals Chargeable","3-Proposals Regular"),'Timesheet Raw'!$C$4:$C$8000,"*"&amp;$B364&amp;"*",'Timesheet Raw'!$L$4:$L$8000,"&gt;="&amp;MAX(N$5,DATE(2000+VALUE(RIGHT(TRIM($A364),2)),1,1)),'Timesheet Raw'!$L$4:$L$8000,"&lt;="&amp;MIN(N$6,DATE(2000+VALUE(RIGHT(TRIM($A364),2)),12,31))),SUMIFS('Timesheet Raw'!$P$4:$P$8000,'Timesheet Raw'!$B$4:$B$8000,TRIM($A364),'Timesheet Raw'!$C$4:$C$8000,"*"&amp;$B364&amp;"*",'Timesheet Raw'!$L$4:$L$8000,"&gt;="&amp;N$5,'Timesheet Raw'!$L$4:$L$8000,"&lt;="&amp;N$6)))/'Profit Plan'!$B$5)</f>
        <v>0</v>
      </c>
      <c r="O364" s="122">
        <f>IF($A364="","",(IF(ISNUMBER(SEARCH("Proposal",$A364)),SUMIFS('Timesheet Raw'!$P$4:$P$8000,'Timesheet Raw'!$A$4:$A$8000,IF(ISNUMBER(SEARCH("Chargable",$A364)),"2-Proposals Chargeable","3-Proposals Regular"),'Timesheet Raw'!$C$4:$C$8000,"*"&amp;$B364&amp;"*",'Timesheet Raw'!$L$4:$L$8000,"&gt;="&amp;MAX(O$5,DATE(2000+VALUE(RIGHT(TRIM($A364),2)),1,1)),'Timesheet Raw'!$L$4:$L$8000,"&lt;="&amp;MIN(O$6,DATE(2000+VALUE(RIGHT(TRIM($A364),2)),12,31))),SUMIFS('Timesheet Raw'!$P$4:$P$8000,'Timesheet Raw'!$B$4:$B$8000,TRIM($A364),'Timesheet Raw'!$C$4:$C$8000,"*"&amp;$B364&amp;"*",'Timesheet Raw'!$L$4:$L$8000,"&gt;="&amp;O$5,'Timesheet Raw'!$L$4:$L$8000,"&lt;="&amp;O$6)))/'Profit Plan'!$B$5)</f>
        <v>0</v>
      </c>
      <c r="P364" s="122">
        <f>IF($A364="","",(IF(ISNUMBER(SEARCH("Proposal",$A364)),SUMIFS('Timesheet Raw'!$P$4:$P$8000,'Timesheet Raw'!$A$4:$A$8000,IF(ISNUMBER(SEARCH("Chargable",$A364)),"2-Proposals Chargeable","3-Proposals Regular"),'Timesheet Raw'!$C$4:$C$8000,"*"&amp;$B364&amp;"*",'Timesheet Raw'!$L$4:$L$8000,"&gt;="&amp;MAX(P$5,DATE(2000+VALUE(RIGHT(TRIM($A364),2)),1,1)),'Timesheet Raw'!$L$4:$L$8000,"&lt;="&amp;MIN(P$6,DATE(2000+VALUE(RIGHT(TRIM($A364),2)),12,31))),SUMIFS('Timesheet Raw'!$P$4:$P$8000,'Timesheet Raw'!$B$4:$B$8000,TRIM($A364),'Timesheet Raw'!$C$4:$C$8000,"*"&amp;$B364&amp;"*",'Timesheet Raw'!$L$4:$L$8000,"&gt;="&amp;P$5,'Timesheet Raw'!$L$4:$L$8000,"&lt;="&amp;P$6)))/'Profit Plan'!$B$5)</f>
        <v>0</v>
      </c>
      <c r="Q364" s="122">
        <f>IF($A364="","",(IF(ISNUMBER(SEARCH("Proposal",$A364)),SUMIFS('Timesheet Raw'!$P$4:$P$8000,'Timesheet Raw'!$A$4:$A$8000,IF(ISNUMBER(SEARCH("Chargable",$A364)),"2-Proposals Chargeable","3-Proposals Regular"),'Timesheet Raw'!$C$4:$C$8000,"*"&amp;$B364&amp;"*",'Timesheet Raw'!$L$4:$L$8000,"&gt;="&amp;MAX(Q$5,DATE(2000+VALUE(RIGHT(TRIM($A364),2)),1,1)),'Timesheet Raw'!$L$4:$L$8000,"&lt;="&amp;MIN(Q$6,DATE(2000+VALUE(RIGHT(TRIM($A364),2)),12,31))),SUMIFS('Timesheet Raw'!$P$4:$P$8000,'Timesheet Raw'!$B$4:$B$8000,TRIM($A364),'Timesheet Raw'!$C$4:$C$8000,"*"&amp;$B364&amp;"*",'Timesheet Raw'!$L$4:$L$8000,"&gt;="&amp;Q$5,'Timesheet Raw'!$L$4:$L$8000,"&lt;="&amp;Q$6)))/'Profit Plan'!$B$5)</f>
        <v>0</v>
      </c>
      <c r="R364" s="122">
        <f>IF($A364="","",(IF(ISNUMBER(SEARCH("Proposal",$A364)),SUMIFS('Timesheet Raw'!$P$4:$P$8000,'Timesheet Raw'!$A$4:$A$8000,IF(ISNUMBER(SEARCH("Chargable",$A364)),"2-Proposals Chargeable","3-Proposals Regular"),'Timesheet Raw'!$C$4:$C$8000,"*"&amp;$B364&amp;"*",'Timesheet Raw'!$L$4:$L$8000,"&gt;="&amp;MAX(R$5,DATE(2000+VALUE(RIGHT(TRIM($A364),2)),1,1)),'Timesheet Raw'!$L$4:$L$8000,"&lt;="&amp;MIN(R$6,DATE(2000+VALUE(RIGHT(TRIM($A364),2)),12,31))),SUMIFS('Timesheet Raw'!$P$4:$P$8000,'Timesheet Raw'!$B$4:$B$8000,TRIM($A364),'Timesheet Raw'!$C$4:$C$8000,"*"&amp;$B364&amp;"*",'Timesheet Raw'!$L$4:$L$8000,"&gt;="&amp;R$5,'Timesheet Raw'!$L$4:$L$8000,"&lt;="&amp;R$6)))/'Profit Plan'!$B$5)</f>
        <v>0</v>
      </c>
      <c r="S364" s="122">
        <f>IF($A364="","",(IF(ISNUMBER(SEARCH("Proposal",$A364)),SUMIFS('Timesheet Raw'!$P$4:$P$8000,'Timesheet Raw'!$A$4:$A$8000,IF(ISNUMBER(SEARCH("Chargable",$A364)),"2-Proposals Chargeable","3-Proposals Regular"),'Timesheet Raw'!$C$4:$C$8000,"*"&amp;$B364&amp;"*",'Timesheet Raw'!$L$4:$L$8000,"&gt;="&amp;MAX(S$5,DATE(2000+VALUE(RIGHT(TRIM($A364),2)),1,1)),'Timesheet Raw'!$L$4:$L$8000,"&lt;="&amp;MIN(S$6,DATE(2000+VALUE(RIGHT(TRIM($A364),2)),12,31))),SUMIFS('Timesheet Raw'!$P$4:$P$8000,'Timesheet Raw'!$B$4:$B$8000,TRIM($A364),'Timesheet Raw'!$C$4:$C$8000,"*"&amp;$B364&amp;"*",'Timesheet Raw'!$L$4:$L$8000,"&gt;="&amp;S$5,'Timesheet Raw'!$L$4:$L$8000,"&lt;="&amp;S$6)))/'Profit Plan'!$B$5)</f>
        <v>0</v>
      </c>
      <c r="T364" s="122">
        <f>IF($A364="","",(IF(ISNUMBER(SEARCH("Proposal",$A364)),SUMIFS('Timesheet Raw'!$P$4:$P$8000,'Timesheet Raw'!$A$4:$A$8000,IF(ISNUMBER(SEARCH("Chargable",$A364)),"2-Proposals Chargeable","3-Proposals Regular"),'Timesheet Raw'!$C$4:$C$8000,"*"&amp;$B364&amp;"*",'Timesheet Raw'!$L$4:$L$8000,"&gt;="&amp;MAX(T$5,DATE(2000+VALUE(RIGHT(TRIM($A364),2)),1,1)),'Timesheet Raw'!$L$4:$L$8000,"&lt;="&amp;MIN(T$6,DATE(2000+VALUE(RIGHT(TRIM($A364),2)),12,31))),SUMIFS('Timesheet Raw'!$P$4:$P$8000,'Timesheet Raw'!$B$4:$B$8000,TRIM($A364),'Timesheet Raw'!$C$4:$C$8000,"*"&amp;$B364&amp;"*",'Timesheet Raw'!$L$4:$L$8000,"&gt;="&amp;T$5,'Timesheet Raw'!$L$4:$L$8000,"&lt;="&amp;T$6)))/'Profit Plan'!$B$5)</f>
        <v>0</v>
      </c>
      <c r="U364" s="122">
        <f>IF($A364="","",(IF(ISNUMBER(SEARCH("Proposal",$A364)),SUMIFS('Timesheet Raw'!$P$4:$P$8000,'Timesheet Raw'!$A$4:$A$8000,IF(ISNUMBER(SEARCH("Chargable",$A364)),"2-Proposals Chargeable","3-Proposals Regular"),'Timesheet Raw'!$C$4:$C$8000,"*"&amp;$B364&amp;"*",'Timesheet Raw'!$L$4:$L$8000,"&gt;="&amp;MAX(U$5,DATE(2000+VALUE(RIGHT(TRIM($A364),2)),1,1)),'Timesheet Raw'!$L$4:$L$8000,"&lt;="&amp;MIN(U$6,DATE(2000+VALUE(RIGHT(TRIM($A364),2)),12,31))),SUMIFS('Timesheet Raw'!$P$4:$P$8000,'Timesheet Raw'!$B$4:$B$8000,TRIM($A364),'Timesheet Raw'!$C$4:$C$8000,"*"&amp;$B364&amp;"*",'Timesheet Raw'!$L$4:$L$8000,"&gt;="&amp;U$5,'Timesheet Raw'!$L$4:$L$8000,"&lt;="&amp;U$6)))/'Profit Plan'!$B$5)</f>
        <v>0</v>
      </c>
      <c r="V364" s="122">
        <f>IF($A364="","",(IF(ISNUMBER(SEARCH("Proposal",$A364)),SUMIFS('Timesheet Raw'!$P$4:$P$8000,'Timesheet Raw'!$A$4:$A$8000,IF(ISNUMBER(SEARCH("Chargable",$A364)),"2-Proposals Chargeable","3-Proposals Regular"),'Timesheet Raw'!$C$4:$C$8000,"*"&amp;$B364&amp;"*",'Timesheet Raw'!$L$4:$L$8000,"&gt;="&amp;MAX(V$5,DATE(2000+VALUE(RIGHT(TRIM($A364),2)),1,1)),'Timesheet Raw'!$L$4:$L$8000,"&lt;="&amp;MIN(V$6,DATE(2000+VALUE(RIGHT(TRIM($A364),2)),12,31))),SUMIFS('Timesheet Raw'!$P$4:$P$8000,'Timesheet Raw'!$B$4:$B$8000,TRIM($A364),'Timesheet Raw'!$C$4:$C$8000,"*"&amp;$B364&amp;"*",'Timesheet Raw'!$L$4:$L$8000,"&gt;="&amp;V$5,'Timesheet Raw'!$L$4:$L$8000,"&lt;="&amp;V$6)))/'Profit Plan'!$B$5)</f>
        <v>0</v>
      </c>
      <c r="W364" s="122">
        <f>IF($A364="","",(IF(ISNUMBER(SEARCH("Proposal",$A364)),SUMIFS('Timesheet Raw'!$P$4:$P$8000,'Timesheet Raw'!$A$4:$A$8000,IF(ISNUMBER(SEARCH("Chargable",$A364)),"2-Proposals Chargeable","3-Proposals Regular"),'Timesheet Raw'!$C$4:$C$8000,"*"&amp;$B364&amp;"*",'Timesheet Raw'!$L$4:$L$8000,"&gt;="&amp;MAX(W$5,DATE(2000+VALUE(RIGHT(TRIM($A364),2)),1,1)),'Timesheet Raw'!$L$4:$L$8000,"&lt;="&amp;MIN(W$6,DATE(2000+VALUE(RIGHT(TRIM($A364),2)),12,31))),SUMIFS('Timesheet Raw'!$P$4:$P$8000,'Timesheet Raw'!$B$4:$B$8000,TRIM($A364),'Timesheet Raw'!$C$4:$C$8000,"*"&amp;$B364&amp;"*",'Timesheet Raw'!$L$4:$L$8000,"&gt;="&amp;W$5,'Timesheet Raw'!$L$4:$L$8000,"&lt;="&amp;W$6)))/'Profit Plan'!$B$5)</f>
        <v>0</v>
      </c>
      <c r="X364" s="122">
        <f>IF($A364="","",(IF(ISNUMBER(SEARCH("Proposal",$A364)),SUMIFS('Timesheet Raw'!$P$4:$P$8000,'Timesheet Raw'!$A$4:$A$8000,IF(ISNUMBER(SEARCH("Chargable",$A364)),"2-Proposals Chargeable","3-Proposals Regular"),'Timesheet Raw'!$C$4:$C$8000,"*"&amp;$B364&amp;"*",'Timesheet Raw'!$L$4:$L$8000,"&gt;="&amp;MAX(X$5,DATE(2000+VALUE(RIGHT(TRIM($A364),2)),1,1)),'Timesheet Raw'!$L$4:$L$8000,"&lt;="&amp;MIN(X$6,DATE(2000+VALUE(RIGHT(TRIM($A364),2)),12,31))),SUMIFS('Timesheet Raw'!$P$4:$P$8000,'Timesheet Raw'!$B$4:$B$8000,TRIM($A364),'Timesheet Raw'!$C$4:$C$8000,"*"&amp;$B364&amp;"*",'Timesheet Raw'!$L$4:$L$8000,"&gt;="&amp;X$5,'Timesheet Raw'!$L$4:$L$8000,"&lt;="&amp;X$6)))/'Profit Plan'!$B$5)</f>
        <v>0</v>
      </c>
      <c r="Y364" s="118">
        <f t="shared" si="101"/>
        <v>0.16621621621621624</v>
      </c>
    </row>
    <row r="365" spans="1:25" x14ac:dyDescent="0.3">
      <c r="A365" s="116" t="str">
        <f>IF(Inputs!$A39="","",Inputs!$A39)</f>
        <v>Proposals 24</v>
      </c>
      <c r="B365" s="116" t="str">
        <f>IF(Inputs!$A39="","",Inputs!$A$92)</f>
        <v>Osama</v>
      </c>
      <c r="C365" s="116"/>
      <c r="D365" s="122">
        <f>IF($A365="","",(IF(ISNUMBER(SEARCH("Proposal",$A365)),SUMIFS('Timesheet Raw'!$P$4:$P$8000,'Timesheet Raw'!$A$4:$A$8000,IF(ISNUMBER(SEARCH("Chargable",$A365)),"2-Proposals Chargeable","3-Proposals Regular"),'Timesheet Raw'!$C$4:$C$8000,"*"&amp;$B365&amp;"*",'Timesheet Raw'!$L$4:$L$8000,"&gt;="&amp;MAX(D$5,DATE(2000+VALUE(RIGHT(TRIM($A365),2)),1,1)),'Timesheet Raw'!$L$4:$L$8000,"&lt;="&amp;MIN(D$6,DATE(2000+VALUE(RIGHT(TRIM($A365),2)),12,31))),SUMIFS('Timesheet Raw'!$P$4:$P$8000,'Timesheet Raw'!$B$4:$B$8000,TRIM($A365),'Timesheet Raw'!$C$4:$C$8000,"*"&amp;$B365&amp;"*",'Timesheet Raw'!$L$4:$L$8000,"&gt;="&amp;D$5,'Timesheet Raw'!$L$4:$L$8000,"&lt;="&amp;D$6)))/'Profit Plan'!$B$5)</f>
        <v>0</v>
      </c>
      <c r="E365" s="122">
        <f>IF($A365="","",(IF(ISNUMBER(SEARCH("Proposal",$A365)),SUMIFS('Timesheet Raw'!$P$4:$P$8000,'Timesheet Raw'!$A$4:$A$8000,IF(ISNUMBER(SEARCH("Chargable",$A365)),"2-Proposals Chargeable","3-Proposals Regular"),'Timesheet Raw'!$C$4:$C$8000,"*"&amp;$B365&amp;"*",'Timesheet Raw'!$L$4:$L$8000,"&gt;="&amp;MAX(E$5,DATE(2000+VALUE(RIGHT(TRIM($A365),2)),1,1)),'Timesheet Raw'!$L$4:$L$8000,"&lt;="&amp;MIN(E$6,DATE(2000+VALUE(RIGHT(TRIM($A365),2)),12,31))),SUMIFS('Timesheet Raw'!$P$4:$P$8000,'Timesheet Raw'!$B$4:$B$8000,TRIM($A365),'Timesheet Raw'!$C$4:$C$8000,"*"&amp;$B365&amp;"*",'Timesheet Raw'!$L$4:$L$8000,"&gt;="&amp;E$5,'Timesheet Raw'!$L$4:$L$8000,"&lt;="&amp;E$6)))/'Profit Plan'!$B$5)</f>
        <v>0.05</v>
      </c>
      <c r="F365" s="122">
        <f>IF($A365="","",(IF(ISNUMBER(SEARCH("Proposal",$A365)),SUMIFS('Timesheet Raw'!$P$4:$P$8000,'Timesheet Raw'!$A$4:$A$8000,IF(ISNUMBER(SEARCH("Chargable",$A365)),"2-Proposals Chargeable","3-Proposals Regular"),'Timesheet Raw'!$C$4:$C$8000,"*"&amp;$B365&amp;"*",'Timesheet Raw'!$L$4:$L$8000,"&gt;="&amp;MAX(F$5,DATE(2000+VALUE(RIGHT(TRIM($A365),2)),1,1)),'Timesheet Raw'!$L$4:$L$8000,"&lt;="&amp;MIN(F$6,DATE(2000+VALUE(RIGHT(TRIM($A365),2)),12,31))),SUMIFS('Timesheet Raw'!$P$4:$P$8000,'Timesheet Raw'!$B$4:$B$8000,TRIM($A365),'Timesheet Raw'!$C$4:$C$8000,"*"&amp;$B365&amp;"*",'Timesheet Raw'!$L$4:$L$8000,"&gt;="&amp;F$5,'Timesheet Raw'!$L$4:$L$8000,"&lt;="&amp;F$6)))/'Profit Plan'!$B$5)</f>
        <v>0</v>
      </c>
      <c r="G365" s="122">
        <f>IF($A365="","",(IF(ISNUMBER(SEARCH("Proposal",$A365)),SUMIFS('Timesheet Raw'!$P$4:$P$8000,'Timesheet Raw'!$A$4:$A$8000,IF(ISNUMBER(SEARCH("Chargable",$A365)),"2-Proposals Chargeable","3-Proposals Regular"),'Timesheet Raw'!$C$4:$C$8000,"*"&amp;$B365&amp;"*",'Timesheet Raw'!$L$4:$L$8000,"&gt;="&amp;MAX(G$5,DATE(2000+VALUE(RIGHT(TRIM($A365),2)),1,1)),'Timesheet Raw'!$L$4:$L$8000,"&lt;="&amp;MIN(G$6,DATE(2000+VALUE(RIGHT(TRIM($A365),2)),12,31))),SUMIFS('Timesheet Raw'!$P$4:$P$8000,'Timesheet Raw'!$B$4:$B$8000,TRIM($A365),'Timesheet Raw'!$C$4:$C$8000,"*"&amp;$B365&amp;"*",'Timesheet Raw'!$L$4:$L$8000,"&gt;="&amp;G$5,'Timesheet Raw'!$L$4:$L$8000,"&lt;="&amp;G$6)))/'Profit Plan'!$B$5)</f>
        <v>0</v>
      </c>
      <c r="H365" s="122">
        <f>IF($A365="","",(IF(ISNUMBER(SEARCH("Proposal",$A365)),SUMIFS('Timesheet Raw'!$P$4:$P$8000,'Timesheet Raw'!$A$4:$A$8000,IF(ISNUMBER(SEARCH("Chargable",$A365)),"2-Proposals Chargeable","3-Proposals Regular"),'Timesheet Raw'!$C$4:$C$8000,"*"&amp;$B365&amp;"*",'Timesheet Raw'!$L$4:$L$8000,"&gt;="&amp;MAX(H$5,DATE(2000+VALUE(RIGHT(TRIM($A365),2)),1,1)),'Timesheet Raw'!$L$4:$L$8000,"&lt;="&amp;MIN(H$6,DATE(2000+VALUE(RIGHT(TRIM($A365),2)),12,31))),SUMIFS('Timesheet Raw'!$P$4:$P$8000,'Timesheet Raw'!$B$4:$B$8000,TRIM($A365),'Timesheet Raw'!$C$4:$C$8000,"*"&amp;$B365&amp;"*",'Timesheet Raw'!$L$4:$L$8000,"&gt;="&amp;H$5,'Timesheet Raw'!$L$4:$L$8000,"&lt;="&amp;H$6)))/'Profit Plan'!$B$5)</f>
        <v>0</v>
      </c>
      <c r="I365" s="122">
        <f>IF($A365="","",(IF(ISNUMBER(SEARCH("Proposal",$A365)),SUMIFS('Timesheet Raw'!$P$4:$P$8000,'Timesheet Raw'!$A$4:$A$8000,IF(ISNUMBER(SEARCH("Chargable",$A365)),"2-Proposals Chargeable","3-Proposals Regular"),'Timesheet Raw'!$C$4:$C$8000,"*"&amp;$B365&amp;"*",'Timesheet Raw'!$L$4:$L$8000,"&gt;="&amp;MAX(I$5,DATE(2000+VALUE(RIGHT(TRIM($A365),2)),1,1)),'Timesheet Raw'!$L$4:$L$8000,"&lt;="&amp;MIN(I$6,DATE(2000+VALUE(RIGHT(TRIM($A365),2)),12,31))),SUMIFS('Timesheet Raw'!$P$4:$P$8000,'Timesheet Raw'!$B$4:$B$8000,TRIM($A365),'Timesheet Raw'!$C$4:$C$8000,"*"&amp;$B365&amp;"*",'Timesheet Raw'!$L$4:$L$8000,"&gt;="&amp;I$5,'Timesheet Raw'!$L$4:$L$8000,"&lt;="&amp;I$6)))/'Profit Plan'!$B$5)</f>
        <v>0</v>
      </c>
      <c r="J365" s="122">
        <f>IF($A365="","",(IF(ISNUMBER(SEARCH("Proposal",$A365)),SUMIFS('Timesheet Raw'!$P$4:$P$8000,'Timesheet Raw'!$A$4:$A$8000,IF(ISNUMBER(SEARCH("Chargable",$A365)),"2-Proposals Chargeable","3-Proposals Regular"),'Timesheet Raw'!$C$4:$C$8000,"*"&amp;$B365&amp;"*",'Timesheet Raw'!$L$4:$L$8000,"&gt;="&amp;MAX(J$5,DATE(2000+VALUE(RIGHT(TRIM($A365),2)),1,1)),'Timesheet Raw'!$L$4:$L$8000,"&lt;="&amp;MIN(J$6,DATE(2000+VALUE(RIGHT(TRIM($A365),2)),12,31))),SUMIFS('Timesheet Raw'!$P$4:$P$8000,'Timesheet Raw'!$B$4:$B$8000,TRIM($A365),'Timesheet Raw'!$C$4:$C$8000,"*"&amp;$B365&amp;"*",'Timesheet Raw'!$L$4:$L$8000,"&gt;="&amp;J$5,'Timesheet Raw'!$L$4:$L$8000,"&lt;="&amp;J$6)))/'Profit Plan'!$B$5)</f>
        <v>0</v>
      </c>
      <c r="K365" s="122">
        <f>IF($A365="","",(IF(ISNUMBER(SEARCH("Proposal",$A365)),SUMIFS('Timesheet Raw'!$P$4:$P$8000,'Timesheet Raw'!$A$4:$A$8000,IF(ISNUMBER(SEARCH("Chargable",$A365)),"2-Proposals Chargeable","3-Proposals Regular"),'Timesheet Raw'!$C$4:$C$8000,"*"&amp;$B365&amp;"*",'Timesheet Raw'!$L$4:$L$8000,"&gt;="&amp;MAX(K$5,DATE(2000+VALUE(RIGHT(TRIM($A365),2)),1,1)),'Timesheet Raw'!$L$4:$L$8000,"&lt;="&amp;MIN(K$6,DATE(2000+VALUE(RIGHT(TRIM($A365),2)),12,31))),SUMIFS('Timesheet Raw'!$P$4:$P$8000,'Timesheet Raw'!$B$4:$B$8000,TRIM($A365),'Timesheet Raw'!$C$4:$C$8000,"*"&amp;$B365&amp;"*",'Timesheet Raw'!$L$4:$L$8000,"&gt;="&amp;K$5,'Timesheet Raw'!$L$4:$L$8000,"&lt;="&amp;K$6)))/'Profit Plan'!$B$5)</f>
        <v>0</v>
      </c>
      <c r="L365" s="122">
        <f>IF($A365="","",(IF(ISNUMBER(SEARCH("Proposal",$A365)),SUMIFS('Timesheet Raw'!$P$4:$P$8000,'Timesheet Raw'!$A$4:$A$8000,IF(ISNUMBER(SEARCH("Chargable",$A365)),"2-Proposals Chargeable","3-Proposals Regular"),'Timesheet Raw'!$C$4:$C$8000,"*"&amp;$B365&amp;"*",'Timesheet Raw'!$L$4:$L$8000,"&gt;="&amp;MAX(L$5,DATE(2000+VALUE(RIGHT(TRIM($A365),2)),1,1)),'Timesheet Raw'!$L$4:$L$8000,"&lt;="&amp;MIN(L$6,DATE(2000+VALUE(RIGHT(TRIM($A365),2)),12,31))),SUMIFS('Timesheet Raw'!$P$4:$P$8000,'Timesheet Raw'!$B$4:$B$8000,TRIM($A365),'Timesheet Raw'!$C$4:$C$8000,"*"&amp;$B365&amp;"*",'Timesheet Raw'!$L$4:$L$8000,"&gt;="&amp;L$5,'Timesheet Raw'!$L$4:$L$8000,"&lt;="&amp;L$6)))/'Profit Plan'!$B$5)</f>
        <v>0</v>
      </c>
      <c r="M365" s="122">
        <f>IF($A365="","",(IF(ISNUMBER(SEARCH("Proposal",$A365)),SUMIFS('Timesheet Raw'!$P$4:$P$8000,'Timesheet Raw'!$A$4:$A$8000,IF(ISNUMBER(SEARCH("Chargable",$A365)),"2-Proposals Chargeable","3-Proposals Regular"),'Timesheet Raw'!$C$4:$C$8000,"*"&amp;$B365&amp;"*",'Timesheet Raw'!$L$4:$L$8000,"&gt;="&amp;MAX(M$5,DATE(2000+VALUE(RIGHT(TRIM($A365),2)),1,1)),'Timesheet Raw'!$L$4:$L$8000,"&lt;="&amp;MIN(M$6,DATE(2000+VALUE(RIGHT(TRIM($A365),2)),12,31))),SUMIFS('Timesheet Raw'!$P$4:$P$8000,'Timesheet Raw'!$B$4:$B$8000,TRIM($A365),'Timesheet Raw'!$C$4:$C$8000,"*"&amp;$B365&amp;"*",'Timesheet Raw'!$L$4:$L$8000,"&gt;="&amp;M$5,'Timesheet Raw'!$L$4:$L$8000,"&lt;="&amp;M$6)))/'Profit Plan'!$B$5)</f>
        <v>0</v>
      </c>
      <c r="N365" s="122">
        <f>IF($A365="","",(IF(ISNUMBER(SEARCH("Proposal",$A365)),SUMIFS('Timesheet Raw'!$P$4:$P$8000,'Timesheet Raw'!$A$4:$A$8000,IF(ISNUMBER(SEARCH("Chargable",$A365)),"2-Proposals Chargeable","3-Proposals Regular"),'Timesheet Raw'!$C$4:$C$8000,"*"&amp;$B365&amp;"*",'Timesheet Raw'!$L$4:$L$8000,"&gt;="&amp;MAX(N$5,DATE(2000+VALUE(RIGHT(TRIM($A365),2)),1,1)),'Timesheet Raw'!$L$4:$L$8000,"&lt;="&amp;MIN(N$6,DATE(2000+VALUE(RIGHT(TRIM($A365),2)),12,31))),SUMIFS('Timesheet Raw'!$P$4:$P$8000,'Timesheet Raw'!$B$4:$B$8000,TRIM($A365),'Timesheet Raw'!$C$4:$C$8000,"*"&amp;$B365&amp;"*",'Timesheet Raw'!$L$4:$L$8000,"&gt;="&amp;N$5,'Timesheet Raw'!$L$4:$L$8000,"&lt;="&amp;N$6)))/'Profit Plan'!$B$5)</f>
        <v>0</v>
      </c>
      <c r="O365" s="122">
        <f>IF($A365="","",(IF(ISNUMBER(SEARCH("Proposal",$A365)),SUMIFS('Timesheet Raw'!$P$4:$P$8000,'Timesheet Raw'!$A$4:$A$8000,IF(ISNUMBER(SEARCH("Chargable",$A365)),"2-Proposals Chargeable","3-Proposals Regular"),'Timesheet Raw'!$C$4:$C$8000,"*"&amp;$B365&amp;"*",'Timesheet Raw'!$L$4:$L$8000,"&gt;="&amp;MAX(O$5,DATE(2000+VALUE(RIGHT(TRIM($A365),2)),1,1)),'Timesheet Raw'!$L$4:$L$8000,"&lt;="&amp;MIN(O$6,DATE(2000+VALUE(RIGHT(TRIM($A365),2)),12,31))),SUMIFS('Timesheet Raw'!$P$4:$P$8000,'Timesheet Raw'!$B$4:$B$8000,TRIM($A365),'Timesheet Raw'!$C$4:$C$8000,"*"&amp;$B365&amp;"*",'Timesheet Raw'!$L$4:$L$8000,"&gt;="&amp;O$5,'Timesheet Raw'!$L$4:$L$8000,"&lt;="&amp;O$6)))/'Profit Plan'!$B$5)</f>
        <v>0</v>
      </c>
      <c r="P365" s="122">
        <f>IF($A365="","",(IF(ISNUMBER(SEARCH("Proposal",$A365)),SUMIFS('Timesheet Raw'!$P$4:$P$8000,'Timesheet Raw'!$A$4:$A$8000,IF(ISNUMBER(SEARCH("Chargable",$A365)),"2-Proposals Chargeable","3-Proposals Regular"),'Timesheet Raw'!$C$4:$C$8000,"*"&amp;$B365&amp;"*",'Timesheet Raw'!$L$4:$L$8000,"&gt;="&amp;MAX(P$5,DATE(2000+VALUE(RIGHT(TRIM($A365),2)),1,1)),'Timesheet Raw'!$L$4:$L$8000,"&lt;="&amp;MIN(P$6,DATE(2000+VALUE(RIGHT(TRIM($A365),2)),12,31))),SUMIFS('Timesheet Raw'!$P$4:$P$8000,'Timesheet Raw'!$B$4:$B$8000,TRIM($A365),'Timesheet Raw'!$C$4:$C$8000,"*"&amp;$B365&amp;"*",'Timesheet Raw'!$L$4:$L$8000,"&gt;="&amp;P$5,'Timesheet Raw'!$L$4:$L$8000,"&lt;="&amp;P$6)))/'Profit Plan'!$B$5)</f>
        <v>0</v>
      </c>
      <c r="Q365" s="122">
        <f>IF($A365="","",(IF(ISNUMBER(SEARCH("Proposal",$A365)),SUMIFS('Timesheet Raw'!$P$4:$P$8000,'Timesheet Raw'!$A$4:$A$8000,IF(ISNUMBER(SEARCH("Chargable",$A365)),"2-Proposals Chargeable","3-Proposals Regular"),'Timesheet Raw'!$C$4:$C$8000,"*"&amp;$B365&amp;"*",'Timesheet Raw'!$L$4:$L$8000,"&gt;="&amp;MAX(Q$5,DATE(2000+VALUE(RIGHT(TRIM($A365),2)),1,1)),'Timesheet Raw'!$L$4:$L$8000,"&lt;="&amp;MIN(Q$6,DATE(2000+VALUE(RIGHT(TRIM($A365),2)),12,31))),SUMIFS('Timesheet Raw'!$P$4:$P$8000,'Timesheet Raw'!$B$4:$B$8000,TRIM($A365),'Timesheet Raw'!$C$4:$C$8000,"*"&amp;$B365&amp;"*",'Timesheet Raw'!$L$4:$L$8000,"&gt;="&amp;Q$5,'Timesheet Raw'!$L$4:$L$8000,"&lt;="&amp;Q$6)))/'Profit Plan'!$B$5)</f>
        <v>0</v>
      </c>
      <c r="R365" s="122">
        <f>IF($A365="","",(IF(ISNUMBER(SEARCH("Proposal",$A365)),SUMIFS('Timesheet Raw'!$P$4:$P$8000,'Timesheet Raw'!$A$4:$A$8000,IF(ISNUMBER(SEARCH("Chargable",$A365)),"2-Proposals Chargeable","3-Proposals Regular"),'Timesheet Raw'!$C$4:$C$8000,"*"&amp;$B365&amp;"*",'Timesheet Raw'!$L$4:$L$8000,"&gt;="&amp;MAX(R$5,DATE(2000+VALUE(RIGHT(TRIM($A365),2)),1,1)),'Timesheet Raw'!$L$4:$L$8000,"&lt;="&amp;MIN(R$6,DATE(2000+VALUE(RIGHT(TRIM($A365),2)),12,31))),SUMIFS('Timesheet Raw'!$P$4:$P$8000,'Timesheet Raw'!$B$4:$B$8000,TRIM($A365),'Timesheet Raw'!$C$4:$C$8000,"*"&amp;$B365&amp;"*",'Timesheet Raw'!$L$4:$L$8000,"&gt;="&amp;R$5,'Timesheet Raw'!$L$4:$L$8000,"&lt;="&amp;R$6)))/'Profit Plan'!$B$5)</f>
        <v>0</v>
      </c>
      <c r="S365" s="122">
        <f>IF($A365="","",(IF(ISNUMBER(SEARCH("Proposal",$A365)),SUMIFS('Timesheet Raw'!$P$4:$P$8000,'Timesheet Raw'!$A$4:$A$8000,IF(ISNUMBER(SEARCH("Chargable",$A365)),"2-Proposals Chargeable","3-Proposals Regular"),'Timesheet Raw'!$C$4:$C$8000,"*"&amp;$B365&amp;"*",'Timesheet Raw'!$L$4:$L$8000,"&gt;="&amp;MAX(S$5,DATE(2000+VALUE(RIGHT(TRIM($A365),2)),1,1)),'Timesheet Raw'!$L$4:$L$8000,"&lt;="&amp;MIN(S$6,DATE(2000+VALUE(RIGHT(TRIM($A365),2)),12,31))),SUMIFS('Timesheet Raw'!$P$4:$P$8000,'Timesheet Raw'!$B$4:$B$8000,TRIM($A365),'Timesheet Raw'!$C$4:$C$8000,"*"&amp;$B365&amp;"*",'Timesheet Raw'!$L$4:$L$8000,"&gt;="&amp;S$5,'Timesheet Raw'!$L$4:$L$8000,"&lt;="&amp;S$6)))/'Profit Plan'!$B$5)</f>
        <v>0</v>
      </c>
      <c r="T365" s="122">
        <f>IF($A365="","",(IF(ISNUMBER(SEARCH("Proposal",$A365)),SUMIFS('Timesheet Raw'!$P$4:$P$8000,'Timesheet Raw'!$A$4:$A$8000,IF(ISNUMBER(SEARCH("Chargable",$A365)),"2-Proposals Chargeable","3-Proposals Regular"),'Timesheet Raw'!$C$4:$C$8000,"*"&amp;$B365&amp;"*",'Timesheet Raw'!$L$4:$L$8000,"&gt;="&amp;MAX(T$5,DATE(2000+VALUE(RIGHT(TRIM($A365),2)),1,1)),'Timesheet Raw'!$L$4:$L$8000,"&lt;="&amp;MIN(T$6,DATE(2000+VALUE(RIGHT(TRIM($A365),2)),12,31))),SUMIFS('Timesheet Raw'!$P$4:$P$8000,'Timesheet Raw'!$B$4:$B$8000,TRIM($A365),'Timesheet Raw'!$C$4:$C$8000,"*"&amp;$B365&amp;"*",'Timesheet Raw'!$L$4:$L$8000,"&gt;="&amp;T$5,'Timesheet Raw'!$L$4:$L$8000,"&lt;="&amp;T$6)))/'Profit Plan'!$B$5)</f>
        <v>0</v>
      </c>
      <c r="U365" s="122">
        <f>IF($A365="","",(IF(ISNUMBER(SEARCH("Proposal",$A365)),SUMIFS('Timesheet Raw'!$P$4:$P$8000,'Timesheet Raw'!$A$4:$A$8000,IF(ISNUMBER(SEARCH("Chargable",$A365)),"2-Proposals Chargeable","3-Proposals Regular"),'Timesheet Raw'!$C$4:$C$8000,"*"&amp;$B365&amp;"*",'Timesheet Raw'!$L$4:$L$8000,"&gt;="&amp;MAX(U$5,DATE(2000+VALUE(RIGHT(TRIM($A365),2)),1,1)),'Timesheet Raw'!$L$4:$L$8000,"&lt;="&amp;MIN(U$6,DATE(2000+VALUE(RIGHT(TRIM($A365),2)),12,31))),SUMIFS('Timesheet Raw'!$P$4:$P$8000,'Timesheet Raw'!$B$4:$B$8000,TRIM($A365),'Timesheet Raw'!$C$4:$C$8000,"*"&amp;$B365&amp;"*",'Timesheet Raw'!$L$4:$L$8000,"&gt;="&amp;U$5,'Timesheet Raw'!$L$4:$L$8000,"&lt;="&amp;U$6)))/'Profit Plan'!$B$5)</f>
        <v>0</v>
      </c>
      <c r="V365" s="122">
        <f>IF($A365="","",(IF(ISNUMBER(SEARCH("Proposal",$A365)),SUMIFS('Timesheet Raw'!$P$4:$P$8000,'Timesheet Raw'!$A$4:$A$8000,IF(ISNUMBER(SEARCH("Chargable",$A365)),"2-Proposals Chargeable","3-Proposals Regular"),'Timesheet Raw'!$C$4:$C$8000,"*"&amp;$B365&amp;"*",'Timesheet Raw'!$L$4:$L$8000,"&gt;="&amp;MAX(V$5,DATE(2000+VALUE(RIGHT(TRIM($A365),2)),1,1)),'Timesheet Raw'!$L$4:$L$8000,"&lt;="&amp;MIN(V$6,DATE(2000+VALUE(RIGHT(TRIM($A365),2)),12,31))),SUMIFS('Timesheet Raw'!$P$4:$P$8000,'Timesheet Raw'!$B$4:$B$8000,TRIM($A365),'Timesheet Raw'!$C$4:$C$8000,"*"&amp;$B365&amp;"*",'Timesheet Raw'!$L$4:$L$8000,"&gt;="&amp;V$5,'Timesheet Raw'!$L$4:$L$8000,"&lt;="&amp;V$6)))/'Profit Plan'!$B$5)</f>
        <v>0</v>
      </c>
      <c r="W365" s="122">
        <f>IF($A365="","",(IF(ISNUMBER(SEARCH("Proposal",$A365)),SUMIFS('Timesheet Raw'!$P$4:$P$8000,'Timesheet Raw'!$A$4:$A$8000,IF(ISNUMBER(SEARCH("Chargable",$A365)),"2-Proposals Chargeable","3-Proposals Regular"),'Timesheet Raw'!$C$4:$C$8000,"*"&amp;$B365&amp;"*",'Timesheet Raw'!$L$4:$L$8000,"&gt;="&amp;MAX(W$5,DATE(2000+VALUE(RIGHT(TRIM($A365),2)),1,1)),'Timesheet Raw'!$L$4:$L$8000,"&lt;="&amp;MIN(W$6,DATE(2000+VALUE(RIGHT(TRIM($A365),2)),12,31))),SUMIFS('Timesheet Raw'!$P$4:$P$8000,'Timesheet Raw'!$B$4:$B$8000,TRIM($A365),'Timesheet Raw'!$C$4:$C$8000,"*"&amp;$B365&amp;"*",'Timesheet Raw'!$L$4:$L$8000,"&gt;="&amp;W$5,'Timesheet Raw'!$L$4:$L$8000,"&lt;="&amp;W$6)))/'Profit Plan'!$B$5)</f>
        <v>0</v>
      </c>
      <c r="X365" s="122">
        <f>IF($A365="","",(IF(ISNUMBER(SEARCH("Proposal",$A365)),SUMIFS('Timesheet Raw'!$P$4:$P$8000,'Timesheet Raw'!$A$4:$A$8000,IF(ISNUMBER(SEARCH("Chargable",$A365)),"2-Proposals Chargeable","3-Proposals Regular"),'Timesheet Raw'!$C$4:$C$8000,"*"&amp;$B365&amp;"*",'Timesheet Raw'!$L$4:$L$8000,"&gt;="&amp;MAX(X$5,DATE(2000+VALUE(RIGHT(TRIM($A365),2)),1,1)),'Timesheet Raw'!$L$4:$L$8000,"&lt;="&amp;MIN(X$6,DATE(2000+VALUE(RIGHT(TRIM($A365),2)),12,31))),SUMIFS('Timesheet Raw'!$P$4:$P$8000,'Timesheet Raw'!$B$4:$B$8000,TRIM($A365),'Timesheet Raw'!$C$4:$C$8000,"*"&amp;$B365&amp;"*",'Timesheet Raw'!$L$4:$L$8000,"&gt;="&amp;X$5,'Timesheet Raw'!$L$4:$L$8000,"&lt;="&amp;X$6)))/'Profit Plan'!$B$5)</f>
        <v>0</v>
      </c>
      <c r="Y365" s="118">
        <f t="shared" si="101"/>
        <v>0.05</v>
      </c>
    </row>
    <row r="366" spans="1:25" x14ac:dyDescent="0.3">
      <c r="A366" s="116" t="str">
        <f>IF(Inputs!$A39="","",Inputs!$A39)</f>
        <v>Proposals 24</v>
      </c>
      <c r="B366" s="116" t="str">
        <f>IF(Inputs!$A39="","",Inputs!$A$93)</f>
        <v>Kirolos</v>
      </c>
      <c r="C366" s="116"/>
      <c r="D366" s="122">
        <f>IF($A366="","",(IF(ISNUMBER(SEARCH("Proposal",$A366)),SUMIFS('Timesheet Raw'!$P$4:$P$8000,'Timesheet Raw'!$A$4:$A$8000,IF(ISNUMBER(SEARCH("Chargable",$A366)),"2-Proposals Chargeable","3-Proposals Regular"),'Timesheet Raw'!$C$4:$C$8000,"*"&amp;$B366&amp;"*",'Timesheet Raw'!$L$4:$L$8000,"&gt;="&amp;MAX(D$5,DATE(2000+VALUE(RIGHT(TRIM($A366),2)),1,1)),'Timesheet Raw'!$L$4:$L$8000,"&lt;="&amp;MIN(D$6,DATE(2000+VALUE(RIGHT(TRIM($A366),2)),12,31))),SUMIFS('Timesheet Raw'!$P$4:$P$8000,'Timesheet Raw'!$B$4:$B$8000,TRIM($A366),'Timesheet Raw'!$C$4:$C$8000,"*"&amp;$B366&amp;"*",'Timesheet Raw'!$L$4:$L$8000,"&gt;="&amp;D$5,'Timesheet Raw'!$L$4:$L$8000,"&lt;="&amp;D$6)))/'Profit Plan'!$B$5)</f>
        <v>0</v>
      </c>
      <c r="E366" s="122">
        <f>IF($A366="","",(IF(ISNUMBER(SEARCH("Proposal",$A366)),SUMIFS('Timesheet Raw'!$P$4:$P$8000,'Timesheet Raw'!$A$4:$A$8000,IF(ISNUMBER(SEARCH("Chargable",$A366)),"2-Proposals Chargeable","3-Proposals Regular"),'Timesheet Raw'!$C$4:$C$8000,"*"&amp;$B366&amp;"*",'Timesheet Raw'!$L$4:$L$8000,"&gt;="&amp;MAX(E$5,DATE(2000+VALUE(RIGHT(TRIM($A366),2)),1,1)),'Timesheet Raw'!$L$4:$L$8000,"&lt;="&amp;MIN(E$6,DATE(2000+VALUE(RIGHT(TRIM($A366),2)),12,31))),SUMIFS('Timesheet Raw'!$P$4:$P$8000,'Timesheet Raw'!$B$4:$B$8000,TRIM($A366),'Timesheet Raw'!$C$4:$C$8000,"*"&amp;$B366&amp;"*",'Timesheet Raw'!$L$4:$L$8000,"&gt;="&amp;E$5,'Timesheet Raw'!$L$4:$L$8000,"&lt;="&amp;E$6)))/'Profit Plan'!$B$5)</f>
        <v>0</v>
      </c>
      <c r="F366" s="122">
        <f>IF($A366="","",(IF(ISNUMBER(SEARCH("Proposal",$A366)),SUMIFS('Timesheet Raw'!$P$4:$P$8000,'Timesheet Raw'!$A$4:$A$8000,IF(ISNUMBER(SEARCH("Chargable",$A366)),"2-Proposals Chargeable","3-Proposals Regular"),'Timesheet Raw'!$C$4:$C$8000,"*"&amp;$B366&amp;"*",'Timesheet Raw'!$L$4:$L$8000,"&gt;="&amp;MAX(F$5,DATE(2000+VALUE(RIGHT(TRIM($A366),2)),1,1)),'Timesheet Raw'!$L$4:$L$8000,"&lt;="&amp;MIN(F$6,DATE(2000+VALUE(RIGHT(TRIM($A366),2)),12,31))),SUMIFS('Timesheet Raw'!$P$4:$P$8000,'Timesheet Raw'!$B$4:$B$8000,TRIM($A366),'Timesheet Raw'!$C$4:$C$8000,"*"&amp;$B366&amp;"*",'Timesheet Raw'!$L$4:$L$8000,"&gt;="&amp;F$5,'Timesheet Raw'!$L$4:$L$8000,"&lt;="&amp;F$6)))/'Profit Plan'!$B$5)</f>
        <v>0</v>
      </c>
      <c r="G366" s="122">
        <f>IF($A366="","",(IF(ISNUMBER(SEARCH("Proposal",$A366)),SUMIFS('Timesheet Raw'!$P$4:$P$8000,'Timesheet Raw'!$A$4:$A$8000,IF(ISNUMBER(SEARCH("Chargable",$A366)),"2-Proposals Chargeable","3-Proposals Regular"),'Timesheet Raw'!$C$4:$C$8000,"*"&amp;$B366&amp;"*",'Timesheet Raw'!$L$4:$L$8000,"&gt;="&amp;MAX(G$5,DATE(2000+VALUE(RIGHT(TRIM($A366),2)),1,1)),'Timesheet Raw'!$L$4:$L$8000,"&lt;="&amp;MIN(G$6,DATE(2000+VALUE(RIGHT(TRIM($A366),2)),12,31))),SUMIFS('Timesheet Raw'!$P$4:$P$8000,'Timesheet Raw'!$B$4:$B$8000,TRIM($A366),'Timesheet Raw'!$C$4:$C$8000,"*"&amp;$B366&amp;"*",'Timesheet Raw'!$L$4:$L$8000,"&gt;="&amp;G$5,'Timesheet Raw'!$L$4:$L$8000,"&lt;="&amp;G$6)))/'Profit Plan'!$B$5)</f>
        <v>0</v>
      </c>
      <c r="H366" s="122">
        <f>IF($A366="","",(IF(ISNUMBER(SEARCH("Proposal",$A366)),SUMIFS('Timesheet Raw'!$P$4:$P$8000,'Timesheet Raw'!$A$4:$A$8000,IF(ISNUMBER(SEARCH("Chargable",$A366)),"2-Proposals Chargeable","3-Proposals Regular"),'Timesheet Raw'!$C$4:$C$8000,"*"&amp;$B366&amp;"*",'Timesheet Raw'!$L$4:$L$8000,"&gt;="&amp;MAX(H$5,DATE(2000+VALUE(RIGHT(TRIM($A366),2)),1,1)),'Timesheet Raw'!$L$4:$L$8000,"&lt;="&amp;MIN(H$6,DATE(2000+VALUE(RIGHT(TRIM($A366),2)),12,31))),SUMIFS('Timesheet Raw'!$P$4:$P$8000,'Timesheet Raw'!$B$4:$B$8000,TRIM($A366),'Timesheet Raw'!$C$4:$C$8000,"*"&amp;$B366&amp;"*",'Timesheet Raw'!$L$4:$L$8000,"&gt;="&amp;H$5,'Timesheet Raw'!$L$4:$L$8000,"&lt;="&amp;H$6)))/'Profit Plan'!$B$5)</f>
        <v>0.32027027027027027</v>
      </c>
      <c r="I366" s="122">
        <f>IF($A366="","",(IF(ISNUMBER(SEARCH("Proposal",$A366)),SUMIFS('Timesheet Raw'!$P$4:$P$8000,'Timesheet Raw'!$A$4:$A$8000,IF(ISNUMBER(SEARCH("Chargable",$A366)),"2-Proposals Chargeable","3-Proposals Regular"),'Timesheet Raw'!$C$4:$C$8000,"*"&amp;$B366&amp;"*",'Timesheet Raw'!$L$4:$L$8000,"&gt;="&amp;MAX(I$5,DATE(2000+VALUE(RIGHT(TRIM($A366),2)),1,1)),'Timesheet Raw'!$L$4:$L$8000,"&lt;="&amp;MIN(I$6,DATE(2000+VALUE(RIGHT(TRIM($A366),2)),12,31))),SUMIFS('Timesheet Raw'!$P$4:$P$8000,'Timesheet Raw'!$B$4:$B$8000,TRIM($A366),'Timesheet Raw'!$C$4:$C$8000,"*"&amp;$B366&amp;"*",'Timesheet Raw'!$L$4:$L$8000,"&gt;="&amp;I$5,'Timesheet Raw'!$L$4:$L$8000,"&lt;="&amp;I$6)))/'Profit Plan'!$B$5)</f>
        <v>0</v>
      </c>
      <c r="J366" s="122">
        <f>IF($A366="","",(IF(ISNUMBER(SEARCH("Proposal",$A366)),SUMIFS('Timesheet Raw'!$P$4:$P$8000,'Timesheet Raw'!$A$4:$A$8000,IF(ISNUMBER(SEARCH("Chargable",$A366)),"2-Proposals Chargeable","3-Proposals Regular"),'Timesheet Raw'!$C$4:$C$8000,"*"&amp;$B366&amp;"*",'Timesheet Raw'!$L$4:$L$8000,"&gt;="&amp;MAX(J$5,DATE(2000+VALUE(RIGHT(TRIM($A366),2)),1,1)),'Timesheet Raw'!$L$4:$L$8000,"&lt;="&amp;MIN(J$6,DATE(2000+VALUE(RIGHT(TRIM($A366),2)),12,31))),SUMIFS('Timesheet Raw'!$P$4:$P$8000,'Timesheet Raw'!$B$4:$B$8000,TRIM($A366),'Timesheet Raw'!$C$4:$C$8000,"*"&amp;$B366&amp;"*",'Timesheet Raw'!$L$4:$L$8000,"&gt;="&amp;J$5,'Timesheet Raw'!$L$4:$L$8000,"&lt;="&amp;J$6)))/'Profit Plan'!$B$5)</f>
        <v>0</v>
      </c>
      <c r="K366" s="122">
        <f>IF($A366="","",(IF(ISNUMBER(SEARCH("Proposal",$A366)),SUMIFS('Timesheet Raw'!$P$4:$P$8000,'Timesheet Raw'!$A$4:$A$8000,IF(ISNUMBER(SEARCH("Chargable",$A366)),"2-Proposals Chargeable","3-Proposals Regular"),'Timesheet Raw'!$C$4:$C$8000,"*"&amp;$B366&amp;"*",'Timesheet Raw'!$L$4:$L$8000,"&gt;="&amp;MAX(K$5,DATE(2000+VALUE(RIGHT(TRIM($A366),2)),1,1)),'Timesheet Raw'!$L$4:$L$8000,"&lt;="&amp;MIN(K$6,DATE(2000+VALUE(RIGHT(TRIM($A366),2)),12,31))),SUMIFS('Timesheet Raw'!$P$4:$P$8000,'Timesheet Raw'!$B$4:$B$8000,TRIM($A366),'Timesheet Raw'!$C$4:$C$8000,"*"&amp;$B366&amp;"*",'Timesheet Raw'!$L$4:$L$8000,"&gt;="&amp;K$5,'Timesheet Raw'!$L$4:$L$8000,"&lt;="&amp;K$6)))/'Profit Plan'!$B$5)</f>
        <v>0</v>
      </c>
      <c r="L366" s="122">
        <f>IF($A366="","",(IF(ISNUMBER(SEARCH("Proposal",$A366)),SUMIFS('Timesheet Raw'!$P$4:$P$8000,'Timesheet Raw'!$A$4:$A$8000,IF(ISNUMBER(SEARCH("Chargable",$A366)),"2-Proposals Chargeable","3-Proposals Regular"),'Timesheet Raw'!$C$4:$C$8000,"*"&amp;$B366&amp;"*",'Timesheet Raw'!$L$4:$L$8000,"&gt;="&amp;MAX(L$5,DATE(2000+VALUE(RIGHT(TRIM($A366),2)),1,1)),'Timesheet Raw'!$L$4:$L$8000,"&lt;="&amp;MIN(L$6,DATE(2000+VALUE(RIGHT(TRIM($A366),2)),12,31))),SUMIFS('Timesheet Raw'!$P$4:$P$8000,'Timesheet Raw'!$B$4:$B$8000,TRIM($A366),'Timesheet Raw'!$C$4:$C$8000,"*"&amp;$B366&amp;"*",'Timesheet Raw'!$L$4:$L$8000,"&gt;="&amp;L$5,'Timesheet Raw'!$L$4:$L$8000,"&lt;="&amp;L$6)))/'Profit Plan'!$B$5)</f>
        <v>0</v>
      </c>
      <c r="M366" s="122">
        <f>IF($A366="","",(IF(ISNUMBER(SEARCH("Proposal",$A366)),SUMIFS('Timesheet Raw'!$P$4:$P$8000,'Timesheet Raw'!$A$4:$A$8000,IF(ISNUMBER(SEARCH("Chargable",$A366)),"2-Proposals Chargeable","3-Proposals Regular"),'Timesheet Raw'!$C$4:$C$8000,"*"&amp;$B366&amp;"*",'Timesheet Raw'!$L$4:$L$8000,"&gt;="&amp;MAX(M$5,DATE(2000+VALUE(RIGHT(TRIM($A366),2)),1,1)),'Timesheet Raw'!$L$4:$L$8000,"&lt;="&amp;MIN(M$6,DATE(2000+VALUE(RIGHT(TRIM($A366),2)),12,31))),SUMIFS('Timesheet Raw'!$P$4:$P$8000,'Timesheet Raw'!$B$4:$B$8000,TRIM($A366),'Timesheet Raw'!$C$4:$C$8000,"*"&amp;$B366&amp;"*",'Timesheet Raw'!$L$4:$L$8000,"&gt;="&amp;M$5,'Timesheet Raw'!$L$4:$L$8000,"&lt;="&amp;M$6)))/'Profit Plan'!$B$5)</f>
        <v>0</v>
      </c>
      <c r="N366" s="122">
        <f>IF($A366="","",(IF(ISNUMBER(SEARCH("Proposal",$A366)),SUMIFS('Timesheet Raw'!$P$4:$P$8000,'Timesheet Raw'!$A$4:$A$8000,IF(ISNUMBER(SEARCH("Chargable",$A366)),"2-Proposals Chargeable","3-Proposals Regular"),'Timesheet Raw'!$C$4:$C$8000,"*"&amp;$B366&amp;"*",'Timesheet Raw'!$L$4:$L$8000,"&gt;="&amp;MAX(N$5,DATE(2000+VALUE(RIGHT(TRIM($A366),2)),1,1)),'Timesheet Raw'!$L$4:$L$8000,"&lt;="&amp;MIN(N$6,DATE(2000+VALUE(RIGHT(TRIM($A366),2)),12,31))),SUMIFS('Timesheet Raw'!$P$4:$P$8000,'Timesheet Raw'!$B$4:$B$8000,TRIM($A366),'Timesheet Raw'!$C$4:$C$8000,"*"&amp;$B366&amp;"*",'Timesheet Raw'!$L$4:$L$8000,"&gt;="&amp;N$5,'Timesheet Raw'!$L$4:$L$8000,"&lt;="&amp;N$6)))/'Profit Plan'!$B$5)</f>
        <v>0</v>
      </c>
      <c r="O366" s="122">
        <f>IF($A366="","",(IF(ISNUMBER(SEARCH("Proposal",$A366)),SUMIFS('Timesheet Raw'!$P$4:$P$8000,'Timesheet Raw'!$A$4:$A$8000,IF(ISNUMBER(SEARCH("Chargable",$A366)),"2-Proposals Chargeable","3-Proposals Regular"),'Timesheet Raw'!$C$4:$C$8000,"*"&amp;$B366&amp;"*",'Timesheet Raw'!$L$4:$L$8000,"&gt;="&amp;MAX(O$5,DATE(2000+VALUE(RIGHT(TRIM($A366),2)),1,1)),'Timesheet Raw'!$L$4:$L$8000,"&lt;="&amp;MIN(O$6,DATE(2000+VALUE(RIGHT(TRIM($A366),2)),12,31))),SUMIFS('Timesheet Raw'!$P$4:$P$8000,'Timesheet Raw'!$B$4:$B$8000,TRIM($A366),'Timesheet Raw'!$C$4:$C$8000,"*"&amp;$B366&amp;"*",'Timesheet Raw'!$L$4:$L$8000,"&gt;="&amp;O$5,'Timesheet Raw'!$L$4:$L$8000,"&lt;="&amp;O$6)))/'Profit Plan'!$B$5)</f>
        <v>0</v>
      </c>
      <c r="P366" s="122">
        <f>IF($A366="","",(IF(ISNUMBER(SEARCH("Proposal",$A366)),SUMIFS('Timesheet Raw'!$P$4:$P$8000,'Timesheet Raw'!$A$4:$A$8000,IF(ISNUMBER(SEARCH("Chargable",$A366)),"2-Proposals Chargeable","3-Proposals Regular"),'Timesheet Raw'!$C$4:$C$8000,"*"&amp;$B366&amp;"*",'Timesheet Raw'!$L$4:$L$8000,"&gt;="&amp;MAX(P$5,DATE(2000+VALUE(RIGHT(TRIM($A366),2)),1,1)),'Timesheet Raw'!$L$4:$L$8000,"&lt;="&amp;MIN(P$6,DATE(2000+VALUE(RIGHT(TRIM($A366),2)),12,31))),SUMIFS('Timesheet Raw'!$P$4:$P$8000,'Timesheet Raw'!$B$4:$B$8000,TRIM($A366),'Timesheet Raw'!$C$4:$C$8000,"*"&amp;$B366&amp;"*",'Timesheet Raw'!$L$4:$L$8000,"&gt;="&amp;P$5,'Timesheet Raw'!$L$4:$L$8000,"&lt;="&amp;P$6)))/'Profit Plan'!$B$5)</f>
        <v>0</v>
      </c>
      <c r="Q366" s="122">
        <f>IF($A366="","",(IF(ISNUMBER(SEARCH("Proposal",$A366)),SUMIFS('Timesheet Raw'!$P$4:$P$8000,'Timesheet Raw'!$A$4:$A$8000,IF(ISNUMBER(SEARCH("Chargable",$A366)),"2-Proposals Chargeable","3-Proposals Regular"),'Timesheet Raw'!$C$4:$C$8000,"*"&amp;$B366&amp;"*",'Timesheet Raw'!$L$4:$L$8000,"&gt;="&amp;MAX(Q$5,DATE(2000+VALUE(RIGHT(TRIM($A366),2)),1,1)),'Timesheet Raw'!$L$4:$L$8000,"&lt;="&amp;MIN(Q$6,DATE(2000+VALUE(RIGHT(TRIM($A366),2)),12,31))),SUMIFS('Timesheet Raw'!$P$4:$P$8000,'Timesheet Raw'!$B$4:$B$8000,TRIM($A366),'Timesheet Raw'!$C$4:$C$8000,"*"&amp;$B366&amp;"*",'Timesheet Raw'!$L$4:$L$8000,"&gt;="&amp;Q$5,'Timesheet Raw'!$L$4:$L$8000,"&lt;="&amp;Q$6)))/'Profit Plan'!$B$5)</f>
        <v>0</v>
      </c>
      <c r="R366" s="122">
        <f>IF($A366="","",(IF(ISNUMBER(SEARCH("Proposal",$A366)),SUMIFS('Timesheet Raw'!$P$4:$P$8000,'Timesheet Raw'!$A$4:$A$8000,IF(ISNUMBER(SEARCH("Chargable",$A366)),"2-Proposals Chargeable","3-Proposals Regular"),'Timesheet Raw'!$C$4:$C$8000,"*"&amp;$B366&amp;"*",'Timesheet Raw'!$L$4:$L$8000,"&gt;="&amp;MAX(R$5,DATE(2000+VALUE(RIGHT(TRIM($A366),2)),1,1)),'Timesheet Raw'!$L$4:$L$8000,"&lt;="&amp;MIN(R$6,DATE(2000+VALUE(RIGHT(TRIM($A366),2)),12,31))),SUMIFS('Timesheet Raw'!$P$4:$P$8000,'Timesheet Raw'!$B$4:$B$8000,TRIM($A366),'Timesheet Raw'!$C$4:$C$8000,"*"&amp;$B366&amp;"*",'Timesheet Raw'!$L$4:$L$8000,"&gt;="&amp;R$5,'Timesheet Raw'!$L$4:$L$8000,"&lt;="&amp;R$6)))/'Profit Plan'!$B$5)</f>
        <v>0</v>
      </c>
      <c r="S366" s="122">
        <f>IF($A366="","",(IF(ISNUMBER(SEARCH("Proposal",$A366)),SUMIFS('Timesheet Raw'!$P$4:$P$8000,'Timesheet Raw'!$A$4:$A$8000,IF(ISNUMBER(SEARCH("Chargable",$A366)),"2-Proposals Chargeable","3-Proposals Regular"),'Timesheet Raw'!$C$4:$C$8000,"*"&amp;$B366&amp;"*",'Timesheet Raw'!$L$4:$L$8000,"&gt;="&amp;MAX(S$5,DATE(2000+VALUE(RIGHT(TRIM($A366),2)),1,1)),'Timesheet Raw'!$L$4:$L$8000,"&lt;="&amp;MIN(S$6,DATE(2000+VALUE(RIGHT(TRIM($A366),2)),12,31))),SUMIFS('Timesheet Raw'!$P$4:$P$8000,'Timesheet Raw'!$B$4:$B$8000,TRIM($A366),'Timesheet Raw'!$C$4:$C$8000,"*"&amp;$B366&amp;"*",'Timesheet Raw'!$L$4:$L$8000,"&gt;="&amp;S$5,'Timesheet Raw'!$L$4:$L$8000,"&lt;="&amp;S$6)))/'Profit Plan'!$B$5)</f>
        <v>0</v>
      </c>
      <c r="T366" s="122">
        <f>IF($A366="","",(IF(ISNUMBER(SEARCH("Proposal",$A366)),SUMIFS('Timesheet Raw'!$P$4:$P$8000,'Timesheet Raw'!$A$4:$A$8000,IF(ISNUMBER(SEARCH("Chargable",$A366)),"2-Proposals Chargeable","3-Proposals Regular"),'Timesheet Raw'!$C$4:$C$8000,"*"&amp;$B366&amp;"*",'Timesheet Raw'!$L$4:$L$8000,"&gt;="&amp;MAX(T$5,DATE(2000+VALUE(RIGHT(TRIM($A366),2)),1,1)),'Timesheet Raw'!$L$4:$L$8000,"&lt;="&amp;MIN(T$6,DATE(2000+VALUE(RIGHT(TRIM($A366),2)),12,31))),SUMIFS('Timesheet Raw'!$P$4:$P$8000,'Timesheet Raw'!$B$4:$B$8000,TRIM($A366),'Timesheet Raw'!$C$4:$C$8000,"*"&amp;$B366&amp;"*",'Timesheet Raw'!$L$4:$L$8000,"&gt;="&amp;T$5,'Timesheet Raw'!$L$4:$L$8000,"&lt;="&amp;T$6)))/'Profit Plan'!$B$5)</f>
        <v>0</v>
      </c>
      <c r="U366" s="122">
        <f>IF($A366="","",(IF(ISNUMBER(SEARCH("Proposal",$A366)),SUMIFS('Timesheet Raw'!$P$4:$P$8000,'Timesheet Raw'!$A$4:$A$8000,IF(ISNUMBER(SEARCH("Chargable",$A366)),"2-Proposals Chargeable","3-Proposals Regular"),'Timesheet Raw'!$C$4:$C$8000,"*"&amp;$B366&amp;"*",'Timesheet Raw'!$L$4:$L$8000,"&gt;="&amp;MAX(U$5,DATE(2000+VALUE(RIGHT(TRIM($A366),2)),1,1)),'Timesheet Raw'!$L$4:$L$8000,"&lt;="&amp;MIN(U$6,DATE(2000+VALUE(RIGHT(TRIM($A366),2)),12,31))),SUMIFS('Timesheet Raw'!$P$4:$P$8000,'Timesheet Raw'!$B$4:$B$8000,TRIM($A366),'Timesheet Raw'!$C$4:$C$8000,"*"&amp;$B366&amp;"*",'Timesheet Raw'!$L$4:$L$8000,"&gt;="&amp;U$5,'Timesheet Raw'!$L$4:$L$8000,"&lt;="&amp;U$6)))/'Profit Plan'!$B$5)</f>
        <v>0</v>
      </c>
      <c r="V366" s="122">
        <f>IF($A366="","",(IF(ISNUMBER(SEARCH("Proposal",$A366)),SUMIFS('Timesheet Raw'!$P$4:$P$8000,'Timesheet Raw'!$A$4:$A$8000,IF(ISNUMBER(SEARCH("Chargable",$A366)),"2-Proposals Chargeable","3-Proposals Regular"),'Timesheet Raw'!$C$4:$C$8000,"*"&amp;$B366&amp;"*",'Timesheet Raw'!$L$4:$L$8000,"&gt;="&amp;MAX(V$5,DATE(2000+VALUE(RIGHT(TRIM($A366),2)),1,1)),'Timesheet Raw'!$L$4:$L$8000,"&lt;="&amp;MIN(V$6,DATE(2000+VALUE(RIGHT(TRIM($A366),2)),12,31))),SUMIFS('Timesheet Raw'!$P$4:$P$8000,'Timesheet Raw'!$B$4:$B$8000,TRIM($A366),'Timesheet Raw'!$C$4:$C$8000,"*"&amp;$B366&amp;"*",'Timesheet Raw'!$L$4:$L$8000,"&gt;="&amp;V$5,'Timesheet Raw'!$L$4:$L$8000,"&lt;="&amp;V$6)))/'Profit Plan'!$B$5)</f>
        <v>0</v>
      </c>
      <c r="W366" s="122">
        <f>IF($A366="","",(IF(ISNUMBER(SEARCH("Proposal",$A366)),SUMIFS('Timesheet Raw'!$P$4:$P$8000,'Timesheet Raw'!$A$4:$A$8000,IF(ISNUMBER(SEARCH("Chargable",$A366)),"2-Proposals Chargeable","3-Proposals Regular"),'Timesheet Raw'!$C$4:$C$8000,"*"&amp;$B366&amp;"*",'Timesheet Raw'!$L$4:$L$8000,"&gt;="&amp;MAX(W$5,DATE(2000+VALUE(RIGHT(TRIM($A366),2)),1,1)),'Timesheet Raw'!$L$4:$L$8000,"&lt;="&amp;MIN(W$6,DATE(2000+VALUE(RIGHT(TRIM($A366),2)),12,31))),SUMIFS('Timesheet Raw'!$P$4:$P$8000,'Timesheet Raw'!$B$4:$B$8000,TRIM($A366),'Timesheet Raw'!$C$4:$C$8000,"*"&amp;$B366&amp;"*",'Timesheet Raw'!$L$4:$L$8000,"&gt;="&amp;W$5,'Timesheet Raw'!$L$4:$L$8000,"&lt;="&amp;W$6)))/'Profit Plan'!$B$5)</f>
        <v>0</v>
      </c>
      <c r="X366" s="122">
        <f>IF($A366="","",(IF(ISNUMBER(SEARCH("Proposal",$A366)),SUMIFS('Timesheet Raw'!$P$4:$P$8000,'Timesheet Raw'!$A$4:$A$8000,IF(ISNUMBER(SEARCH("Chargable",$A366)),"2-Proposals Chargeable","3-Proposals Regular"),'Timesheet Raw'!$C$4:$C$8000,"*"&amp;$B366&amp;"*",'Timesheet Raw'!$L$4:$L$8000,"&gt;="&amp;MAX(X$5,DATE(2000+VALUE(RIGHT(TRIM($A366),2)),1,1)),'Timesheet Raw'!$L$4:$L$8000,"&lt;="&amp;MIN(X$6,DATE(2000+VALUE(RIGHT(TRIM($A366),2)),12,31))),SUMIFS('Timesheet Raw'!$P$4:$P$8000,'Timesheet Raw'!$B$4:$B$8000,TRIM($A366),'Timesheet Raw'!$C$4:$C$8000,"*"&amp;$B366&amp;"*",'Timesheet Raw'!$L$4:$L$8000,"&gt;="&amp;X$5,'Timesheet Raw'!$L$4:$L$8000,"&lt;="&amp;X$6)))/'Profit Plan'!$B$5)</f>
        <v>0</v>
      </c>
      <c r="Y366" s="118">
        <f t="shared" si="101"/>
        <v>0.32027027027027027</v>
      </c>
    </row>
    <row r="367" spans="1:25" x14ac:dyDescent="0.3">
      <c r="A367" s="116" t="str">
        <f>IF(Inputs!$A40="","",Inputs!$A40)</f>
        <v>S23204-0100D</v>
      </c>
      <c r="B367" s="116" t="str">
        <f>IF(Inputs!$A40="","",Inputs!$A$91)</f>
        <v>Ahmed</v>
      </c>
      <c r="C367" s="116"/>
      <c r="D367" s="122">
        <f>IF($A367="","",(IF(ISNUMBER(SEARCH("Proposal",$A367)),SUMIFS('Timesheet Raw'!$P$4:$P$8000,'Timesheet Raw'!$A$4:$A$8000,IF(ISNUMBER(SEARCH("Chargable",$A367)),"2-Proposals Chargeable","3-Proposals Regular"),'Timesheet Raw'!$C$4:$C$8000,"*"&amp;$B367&amp;"*",'Timesheet Raw'!$L$4:$L$8000,"&gt;="&amp;MAX(D$5,DATE(2000+VALUE(RIGHT(TRIM($A367),2)),1,1)),'Timesheet Raw'!$L$4:$L$8000,"&lt;="&amp;MIN(D$6,DATE(2000+VALUE(RIGHT(TRIM($A367),2)),12,31))),SUMIFS('Timesheet Raw'!$P$4:$P$8000,'Timesheet Raw'!$B$4:$B$8000,TRIM($A367),'Timesheet Raw'!$C$4:$C$8000,"*"&amp;$B367&amp;"*",'Timesheet Raw'!$L$4:$L$8000,"&gt;="&amp;D$5,'Timesheet Raw'!$L$4:$L$8000,"&lt;="&amp;D$6)))/'Profit Plan'!$B$5)</f>
        <v>0</v>
      </c>
      <c r="E367" s="122">
        <f>IF($A367="","",(IF(ISNUMBER(SEARCH("Proposal",$A367)),SUMIFS('Timesheet Raw'!$P$4:$P$8000,'Timesheet Raw'!$A$4:$A$8000,IF(ISNUMBER(SEARCH("Chargable",$A367)),"2-Proposals Chargeable","3-Proposals Regular"),'Timesheet Raw'!$C$4:$C$8000,"*"&amp;$B367&amp;"*",'Timesheet Raw'!$L$4:$L$8000,"&gt;="&amp;MAX(E$5,DATE(2000+VALUE(RIGHT(TRIM($A367),2)),1,1)),'Timesheet Raw'!$L$4:$L$8000,"&lt;="&amp;MIN(E$6,DATE(2000+VALUE(RIGHT(TRIM($A367),2)),12,31))),SUMIFS('Timesheet Raw'!$P$4:$P$8000,'Timesheet Raw'!$B$4:$B$8000,TRIM($A367),'Timesheet Raw'!$C$4:$C$8000,"*"&amp;$B367&amp;"*",'Timesheet Raw'!$L$4:$L$8000,"&gt;="&amp;E$5,'Timesheet Raw'!$L$4:$L$8000,"&lt;="&amp;E$6)))/'Profit Plan'!$B$5)</f>
        <v>4.5945945945945948E-2</v>
      </c>
      <c r="F367" s="122">
        <f>IF($A367="","",(IF(ISNUMBER(SEARCH("Proposal",$A367)),SUMIFS('Timesheet Raw'!$P$4:$P$8000,'Timesheet Raw'!$A$4:$A$8000,IF(ISNUMBER(SEARCH("Chargable",$A367)),"2-Proposals Chargeable","3-Proposals Regular"),'Timesheet Raw'!$C$4:$C$8000,"*"&amp;$B367&amp;"*",'Timesheet Raw'!$L$4:$L$8000,"&gt;="&amp;MAX(F$5,DATE(2000+VALUE(RIGHT(TRIM($A367),2)),1,1)),'Timesheet Raw'!$L$4:$L$8000,"&lt;="&amp;MIN(F$6,DATE(2000+VALUE(RIGHT(TRIM($A367),2)),12,31))),SUMIFS('Timesheet Raw'!$P$4:$P$8000,'Timesheet Raw'!$B$4:$B$8000,TRIM($A367),'Timesheet Raw'!$C$4:$C$8000,"*"&amp;$B367&amp;"*",'Timesheet Raw'!$L$4:$L$8000,"&gt;="&amp;F$5,'Timesheet Raw'!$L$4:$L$8000,"&lt;="&amp;F$6)))/'Profit Plan'!$B$5)</f>
        <v>0</v>
      </c>
      <c r="G367" s="122">
        <f>IF($A367="","",(IF(ISNUMBER(SEARCH("Proposal",$A367)),SUMIFS('Timesheet Raw'!$P$4:$P$8000,'Timesheet Raw'!$A$4:$A$8000,IF(ISNUMBER(SEARCH("Chargable",$A367)),"2-Proposals Chargeable","3-Proposals Regular"),'Timesheet Raw'!$C$4:$C$8000,"*"&amp;$B367&amp;"*",'Timesheet Raw'!$L$4:$L$8000,"&gt;="&amp;MAX(G$5,DATE(2000+VALUE(RIGHT(TRIM($A367),2)),1,1)),'Timesheet Raw'!$L$4:$L$8000,"&lt;="&amp;MIN(G$6,DATE(2000+VALUE(RIGHT(TRIM($A367),2)),12,31))),SUMIFS('Timesheet Raw'!$P$4:$P$8000,'Timesheet Raw'!$B$4:$B$8000,TRIM($A367),'Timesheet Raw'!$C$4:$C$8000,"*"&amp;$B367&amp;"*",'Timesheet Raw'!$L$4:$L$8000,"&gt;="&amp;G$5,'Timesheet Raw'!$L$4:$L$8000,"&lt;="&amp;G$6)))/'Profit Plan'!$B$5)</f>
        <v>0</v>
      </c>
      <c r="H367" s="122">
        <f>IF($A367="","",(IF(ISNUMBER(SEARCH("Proposal",$A367)),SUMIFS('Timesheet Raw'!$P$4:$P$8000,'Timesheet Raw'!$A$4:$A$8000,IF(ISNUMBER(SEARCH("Chargable",$A367)),"2-Proposals Chargeable","3-Proposals Regular"),'Timesheet Raw'!$C$4:$C$8000,"*"&amp;$B367&amp;"*",'Timesheet Raw'!$L$4:$L$8000,"&gt;="&amp;MAX(H$5,DATE(2000+VALUE(RIGHT(TRIM($A367),2)),1,1)),'Timesheet Raw'!$L$4:$L$8000,"&lt;="&amp;MIN(H$6,DATE(2000+VALUE(RIGHT(TRIM($A367),2)),12,31))),SUMIFS('Timesheet Raw'!$P$4:$P$8000,'Timesheet Raw'!$B$4:$B$8000,TRIM($A367),'Timesheet Raw'!$C$4:$C$8000,"*"&amp;$B367&amp;"*",'Timesheet Raw'!$L$4:$L$8000,"&gt;="&amp;H$5,'Timesheet Raw'!$L$4:$L$8000,"&lt;="&amp;H$6)))/'Profit Plan'!$B$5)</f>
        <v>0</v>
      </c>
      <c r="I367" s="122">
        <f>IF($A367="","",(IF(ISNUMBER(SEARCH("Proposal",$A367)),SUMIFS('Timesheet Raw'!$P$4:$P$8000,'Timesheet Raw'!$A$4:$A$8000,IF(ISNUMBER(SEARCH("Chargable",$A367)),"2-Proposals Chargeable","3-Proposals Regular"),'Timesheet Raw'!$C$4:$C$8000,"*"&amp;$B367&amp;"*",'Timesheet Raw'!$L$4:$L$8000,"&gt;="&amp;MAX(I$5,DATE(2000+VALUE(RIGHT(TRIM($A367),2)),1,1)),'Timesheet Raw'!$L$4:$L$8000,"&lt;="&amp;MIN(I$6,DATE(2000+VALUE(RIGHT(TRIM($A367),2)),12,31))),SUMIFS('Timesheet Raw'!$P$4:$P$8000,'Timesheet Raw'!$B$4:$B$8000,TRIM($A367),'Timesheet Raw'!$C$4:$C$8000,"*"&amp;$B367&amp;"*",'Timesheet Raw'!$L$4:$L$8000,"&gt;="&amp;I$5,'Timesheet Raw'!$L$4:$L$8000,"&lt;="&amp;I$6)))/'Profit Plan'!$B$5)</f>
        <v>0</v>
      </c>
      <c r="J367" s="122">
        <f>IF($A367="","",(IF(ISNUMBER(SEARCH("Proposal",$A367)),SUMIFS('Timesheet Raw'!$P$4:$P$8000,'Timesheet Raw'!$A$4:$A$8000,IF(ISNUMBER(SEARCH("Chargable",$A367)),"2-Proposals Chargeable","3-Proposals Regular"),'Timesheet Raw'!$C$4:$C$8000,"*"&amp;$B367&amp;"*",'Timesheet Raw'!$L$4:$L$8000,"&gt;="&amp;MAX(J$5,DATE(2000+VALUE(RIGHT(TRIM($A367),2)),1,1)),'Timesheet Raw'!$L$4:$L$8000,"&lt;="&amp;MIN(J$6,DATE(2000+VALUE(RIGHT(TRIM($A367),2)),12,31))),SUMIFS('Timesheet Raw'!$P$4:$P$8000,'Timesheet Raw'!$B$4:$B$8000,TRIM($A367),'Timesheet Raw'!$C$4:$C$8000,"*"&amp;$B367&amp;"*",'Timesheet Raw'!$L$4:$L$8000,"&gt;="&amp;J$5,'Timesheet Raw'!$L$4:$L$8000,"&lt;="&amp;J$6)))/'Profit Plan'!$B$5)</f>
        <v>0</v>
      </c>
      <c r="K367" s="122">
        <f>IF($A367="","",(IF(ISNUMBER(SEARCH("Proposal",$A367)),SUMIFS('Timesheet Raw'!$P$4:$P$8000,'Timesheet Raw'!$A$4:$A$8000,IF(ISNUMBER(SEARCH("Chargable",$A367)),"2-Proposals Chargeable","3-Proposals Regular"),'Timesheet Raw'!$C$4:$C$8000,"*"&amp;$B367&amp;"*",'Timesheet Raw'!$L$4:$L$8000,"&gt;="&amp;MAX(K$5,DATE(2000+VALUE(RIGHT(TRIM($A367),2)),1,1)),'Timesheet Raw'!$L$4:$L$8000,"&lt;="&amp;MIN(K$6,DATE(2000+VALUE(RIGHT(TRIM($A367),2)),12,31))),SUMIFS('Timesheet Raw'!$P$4:$P$8000,'Timesheet Raw'!$B$4:$B$8000,TRIM($A367),'Timesheet Raw'!$C$4:$C$8000,"*"&amp;$B367&amp;"*",'Timesheet Raw'!$L$4:$L$8000,"&gt;="&amp;K$5,'Timesheet Raw'!$L$4:$L$8000,"&lt;="&amp;K$6)))/'Profit Plan'!$B$5)</f>
        <v>0</v>
      </c>
      <c r="L367" s="122">
        <f>IF($A367="","",(IF(ISNUMBER(SEARCH("Proposal",$A367)),SUMIFS('Timesheet Raw'!$P$4:$P$8000,'Timesheet Raw'!$A$4:$A$8000,IF(ISNUMBER(SEARCH("Chargable",$A367)),"2-Proposals Chargeable","3-Proposals Regular"),'Timesheet Raw'!$C$4:$C$8000,"*"&amp;$B367&amp;"*",'Timesheet Raw'!$L$4:$L$8000,"&gt;="&amp;MAX(L$5,DATE(2000+VALUE(RIGHT(TRIM($A367),2)),1,1)),'Timesheet Raw'!$L$4:$L$8000,"&lt;="&amp;MIN(L$6,DATE(2000+VALUE(RIGHT(TRIM($A367),2)),12,31))),SUMIFS('Timesheet Raw'!$P$4:$P$8000,'Timesheet Raw'!$B$4:$B$8000,TRIM($A367),'Timesheet Raw'!$C$4:$C$8000,"*"&amp;$B367&amp;"*",'Timesheet Raw'!$L$4:$L$8000,"&gt;="&amp;L$5,'Timesheet Raw'!$L$4:$L$8000,"&lt;="&amp;L$6)))/'Profit Plan'!$B$5)</f>
        <v>0</v>
      </c>
      <c r="M367" s="122">
        <f>IF($A367="","",(IF(ISNUMBER(SEARCH("Proposal",$A367)),SUMIFS('Timesheet Raw'!$P$4:$P$8000,'Timesheet Raw'!$A$4:$A$8000,IF(ISNUMBER(SEARCH("Chargable",$A367)),"2-Proposals Chargeable","3-Proposals Regular"),'Timesheet Raw'!$C$4:$C$8000,"*"&amp;$B367&amp;"*",'Timesheet Raw'!$L$4:$L$8000,"&gt;="&amp;MAX(M$5,DATE(2000+VALUE(RIGHT(TRIM($A367),2)),1,1)),'Timesheet Raw'!$L$4:$L$8000,"&lt;="&amp;MIN(M$6,DATE(2000+VALUE(RIGHT(TRIM($A367),2)),12,31))),SUMIFS('Timesheet Raw'!$P$4:$P$8000,'Timesheet Raw'!$B$4:$B$8000,TRIM($A367),'Timesheet Raw'!$C$4:$C$8000,"*"&amp;$B367&amp;"*",'Timesheet Raw'!$L$4:$L$8000,"&gt;="&amp;M$5,'Timesheet Raw'!$L$4:$L$8000,"&lt;="&amp;M$6)))/'Profit Plan'!$B$5)</f>
        <v>0</v>
      </c>
      <c r="N367" s="122">
        <f>IF($A367="","",(IF(ISNUMBER(SEARCH("Proposal",$A367)),SUMIFS('Timesheet Raw'!$P$4:$P$8000,'Timesheet Raw'!$A$4:$A$8000,IF(ISNUMBER(SEARCH("Chargable",$A367)),"2-Proposals Chargeable","3-Proposals Regular"),'Timesheet Raw'!$C$4:$C$8000,"*"&amp;$B367&amp;"*",'Timesheet Raw'!$L$4:$L$8000,"&gt;="&amp;MAX(N$5,DATE(2000+VALUE(RIGHT(TRIM($A367),2)),1,1)),'Timesheet Raw'!$L$4:$L$8000,"&lt;="&amp;MIN(N$6,DATE(2000+VALUE(RIGHT(TRIM($A367),2)),12,31))),SUMIFS('Timesheet Raw'!$P$4:$P$8000,'Timesheet Raw'!$B$4:$B$8000,TRIM($A367),'Timesheet Raw'!$C$4:$C$8000,"*"&amp;$B367&amp;"*",'Timesheet Raw'!$L$4:$L$8000,"&gt;="&amp;N$5,'Timesheet Raw'!$L$4:$L$8000,"&lt;="&amp;N$6)))/'Profit Plan'!$B$5)</f>
        <v>0</v>
      </c>
      <c r="O367" s="122">
        <f>IF($A367="","",(IF(ISNUMBER(SEARCH("Proposal",$A367)),SUMIFS('Timesheet Raw'!$P$4:$P$8000,'Timesheet Raw'!$A$4:$A$8000,IF(ISNUMBER(SEARCH("Chargable",$A367)),"2-Proposals Chargeable","3-Proposals Regular"),'Timesheet Raw'!$C$4:$C$8000,"*"&amp;$B367&amp;"*",'Timesheet Raw'!$L$4:$L$8000,"&gt;="&amp;MAX(O$5,DATE(2000+VALUE(RIGHT(TRIM($A367),2)),1,1)),'Timesheet Raw'!$L$4:$L$8000,"&lt;="&amp;MIN(O$6,DATE(2000+VALUE(RIGHT(TRIM($A367),2)),12,31))),SUMIFS('Timesheet Raw'!$P$4:$P$8000,'Timesheet Raw'!$B$4:$B$8000,TRIM($A367),'Timesheet Raw'!$C$4:$C$8000,"*"&amp;$B367&amp;"*",'Timesheet Raw'!$L$4:$L$8000,"&gt;="&amp;O$5,'Timesheet Raw'!$L$4:$L$8000,"&lt;="&amp;O$6)))/'Profit Plan'!$B$5)</f>
        <v>0</v>
      </c>
      <c r="P367" s="122">
        <f>IF($A367="","",(IF(ISNUMBER(SEARCH("Proposal",$A367)),SUMIFS('Timesheet Raw'!$P$4:$P$8000,'Timesheet Raw'!$A$4:$A$8000,IF(ISNUMBER(SEARCH("Chargable",$A367)),"2-Proposals Chargeable","3-Proposals Regular"),'Timesheet Raw'!$C$4:$C$8000,"*"&amp;$B367&amp;"*",'Timesheet Raw'!$L$4:$L$8000,"&gt;="&amp;MAX(P$5,DATE(2000+VALUE(RIGHT(TRIM($A367),2)),1,1)),'Timesheet Raw'!$L$4:$L$8000,"&lt;="&amp;MIN(P$6,DATE(2000+VALUE(RIGHT(TRIM($A367),2)),12,31))),SUMIFS('Timesheet Raw'!$P$4:$P$8000,'Timesheet Raw'!$B$4:$B$8000,TRIM($A367),'Timesheet Raw'!$C$4:$C$8000,"*"&amp;$B367&amp;"*",'Timesheet Raw'!$L$4:$L$8000,"&gt;="&amp;P$5,'Timesheet Raw'!$L$4:$L$8000,"&lt;="&amp;P$6)))/'Profit Plan'!$B$5)</f>
        <v>0</v>
      </c>
      <c r="Q367" s="122">
        <f>IF($A367="","",(IF(ISNUMBER(SEARCH("Proposal",$A367)),SUMIFS('Timesheet Raw'!$P$4:$P$8000,'Timesheet Raw'!$A$4:$A$8000,IF(ISNUMBER(SEARCH("Chargable",$A367)),"2-Proposals Chargeable","3-Proposals Regular"),'Timesheet Raw'!$C$4:$C$8000,"*"&amp;$B367&amp;"*",'Timesheet Raw'!$L$4:$L$8000,"&gt;="&amp;MAX(Q$5,DATE(2000+VALUE(RIGHT(TRIM($A367),2)),1,1)),'Timesheet Raw'!$L$4:$L$8000,"&lt;="&amp;MIN(Q$6,DATE(2000+VALUE(RIGHT(TRIM($A367),2)),12,31))),SUMIFS('Timesheet Raw'!$P$4:$P$8000,'Timesheet Raw'!$B$4:$B$8000,TRIM($A367),'Timesheet Raw'!$C$4:$C$8000,"*"&amp;$B367&amp;"*",'Timesheet Raw'!$L$4:$L$8000,"&gt;="&amp;Q$5,'Timesheet Raw'!$L$4:$L$8000,"&lt;="&amp;Q$6)))/'Profit Plan'!$B$5)</f>
        <v>0</v>
      </c>
      <c r="R367" s="122">
        <f>IF($A367="","",(IF(ISNUMBER(SEARCH("Proposal",$A367)),SUMIFS('Timesheet Raw'!$P$4:$P$8000,'Timesheet Raw'!$A$4:$A$8000,IF(ISNUMBER(SEARCH("Chargable",$A367)),"2-Proposals Chargeable","3-Proposals Regular"),'Timesheet Raw'!$C$4:$C$8000,"*"&amp;$B367&amp;"*",'Timesheet Raw'!$L$4:$L$8000,"&gt;="&amp;MAX(R$5,DATE(2000+VALUE(RIGHT(TRIM($A367),2)),1,1)),'Timesheet Raw'!$L$4:$L$8000,"&lt;="&amp;MIN(R$6,DATE(2000+VALUE(RIGHT(TRIM($A367),2)),12,31))),SUMIFS('Timesheet Raw'!$P$4:$P$8000,'Timesheet Raw'!$B$4:$B$8000,TRIM($A367),'Timesheet Raw'!$C$4:$C$8000,"*"&amp;$B367&amp;"*",'Timesheet Raw'!$L$4:$L$8000,"&gt;="&amp;R$5,'Timesheet Raw'!$L$4:$L$8000,"&lt;="&amp;R$6)))/'Profit Plan'!$B$5)</f>
        <v>0</v>
      </c>
      <c r="S367" s="122">
        <f>IF($A367="","",(IF(ISNUMBER(SEARCH("Proposal",$A367)),SUMIFS('Timesheet Raw'!$P$4:$P$8000,'Timesheet Raw'!$A$4:$A$8000,IF(ISNUMBER(SEARCH("Chargable",$A367)),"2-Proposals Chargeable","3-Proposals Regular"),'Timesheet Raw'!$C$4:$C$8000,"*"&amp;$B367&amp;"*",'Timesheet Raw'!$L$4:$L$8000,"&gt;="&amp;MAX(S$5,DATE(2000+VALUE(RIGHT(TRIM($A367),2)),1,1)),'Timesheet Raw'!$L$4:$L$8000,"&lt;="&amp;MIN(S$6,DATE(2000+VALUE(RIGHT(TRIM($A367),2)),12,31))),SUMIFS('Timesheet Raw'!$P$4:$P$8000,'Timesheet Raw'!$B$4:$B$8000,TRIM($A367),'Timesheet Raw'!$C$4:$C$8000,"*"&amp;$B367&amp;"*",'Timesheet Raw'!$L$4:$L$8000,"&gt;="&amp;S$5,'Timesheet Raw'!$L$4:$L$8000,"&lt;="&amp;S$6)))/'Profit Plan'!$B$5)</f>
        <v>0</v>
      </c>
      <c r="T367" s="122">
        <f>IF($A367="","",(IF(ISNUMBER(SEARCH("Proposal",$A367)),SUMIFS('Timesheet Raw'!$P$4:$P$8000,'Timesheet Raw'!$A$4:$A$8000,IF(ISNUMBER(SEARCH("Chargable",$A367)),"2-Proposals Chargeable","3-Proposals Regular"),'Timesheet Raw'!$C$4:$C$8000,"*"&amp;$B367&amp;"*",'Timesheet Raw'!$L$4:$L$8000,"&gt;="&amp;MAX(T$5,DATE(2000+VALUE(RIGHT(TRIM($A367),2)),1,1)),'Timesheet Raw'!$L$4:$L$8000,"&lt;="&amp;MIN(T$6,DATE(2000+VALUE(RIGHT(TRIM($A367),2)),12,31))),SUMIFS('Timesheet Raw'!$P$4:$P$8000,'Timesheet Raw'!$B$4:$B$8000,TRIM($A367),'Timesheet Raw'!$C$4:$C$8000,"*"&amp;$B367&amp;"*",'Timesheet Raw'!$L$4:$L$8000,"&gt;="&amp;T$5,'Timesheet Raw'!$L$4:$L$8000,"&lt;="&amp;T$6)))/'Profit Plan'!$B$5)</f>
        <v>0</v>
      </c>
      <c r="U367" s="122">
        <f>IF($A367="","",(IF(ISNUMBER(SEARCH("Proposal",$A367)),SUMIFS('Timesheet Raw'!$P$4:$P$8000,'Timesheet Raw'!$A$4:$A$8000,IF(ISNUMBER(SEARCH("Chargable",$A367)),"2-Proposals Chargeable","3-Proposals Regular"),'Timesheet Raw'!$C$4:$C$8000,"*"&amp;$B367&amp;"*",'Timesheet Raw'!$L$4:$L$8000,"&gt;="&amp;MAX(U$5,DATE(2000+VALUE(RIGHT(TRIM($A367),2)),1,1)),'Timesheet Raw'!$L$4:$L$8000,"&lt;="&amp;MIN(U$6,DATE(2000+VALUE(RIGHT(TRIM($A367),2)),12,31))),SUMIFS('Timesheet Raw'!$P$4:$P$8000,'Timesheet Raw'!$B$4:$B$8000,TRIM($A367),'Timesheet Raw'!$C$4:$C$8000,"*"&amp;$B367&amp;"*",'Timesheet Raw'!$L$4:$L$8000,"&gt;="&amp;U$5,'Timesheet Raw'!$L$4:$L$8000,"&lt;="&amp;U$6)))/'Profit Plan'!$B$5)</f>
        <v>0</v>
      </c>
      <c r="V367" s="122">
        <f>IF($A367="","",(IF(ISNUMBER(SEARCH("Proposal",$A367)),SUMIFS('Timesheet Raw'!$P$4:$P$8000,'Timesheet Raw'!$A$4:$A$8000,IF(ISNUMBER(SEARCH("Chargable",$A367)),"2-Proposals Chargeable","3-Proposals Regular"),'Timesheet Raw'!$C$4:$C$8000,"*"&amp;$B367&amp;"*",'Timesheet Raw'!$L$4:$L$8000,"&gt;="&amp;MAX(V$5,DATE(2000+VALUE(RIGHT(TRIM($A367),2)),1,1)),'Timesheet Raw'!$L$4:$L$8000,"&lt;="&amp;MIN(V$6,DATE(2000+VALUE(RIGHT(TRIM($A367),2)),12,31))),SUMIFS('Timesheet Raw'!$P$4:$P$8000,'Timesheet Raw'!$B$4:$B$8000,TRIM($A367),'Timesheet Raw'!$C$4:$C$8000,"*"&amp;$B367&amp;"*",'Timesheet Raw'!$L$4:$L$8000,"&gt;="&amp;V$5,'Timesheet Raw'!$L$4:$L$8000,"&lt;="&amp;V$6)))/'Profit Plan'!$B$5)</f>
        <v>0</v>
      </c>
      <c r="W367" s="122">
        <f>IF($A367="","",(IF(ISNUMBER(SEARCH("Proposal",$A367)),SUMIFS('Timesheet Raw'!$P$4:$P$8000,'Timesheet Raw'!$A$4:$A$8000,IF(ISNUMBER(SEARCH("Chargable",$A367)),"2-Proposals Chargeable","3-Proposals Regular"),'Timesheet Raw'!$C$4:$C$8000,"*"&amp;$B367&amp;"*",'Timesheet Raw'!$L$4:$L$8000,"&gt;="&amp;MAX(W$5,DATE(2000+VALUE(RIGHT(TRIM($A367),2)),1,1)),'Timesheet Raw'!$L$4:$L$8000,"&lt;="&amp;MIN(W$6,DATE(2000+VALUE(RIGHT(TRIM($A367),2)),12,31))),SUMIFS('Timesheet Raw'!$P$4:$P$8000,'Timesheet Raw'!$B$4:$B$8000,TRIM($A367),'Timesheet Raw'!$C$4:$C$8000,"*"&amp;$B367&amp;"*",'Timesheet Raw'!$L$4:$L$8000,"&gt;="&amp;W$5,'Timesheet Raw'!$L$4:$L$8000,"&lt;="&amp;W$6)))/'Profit Plan'!$B$5)</f>
        <v>0</v>
      </c>
      <c r="X367" s="122">
        <f>IF($A367="","",(IF(ISNUMBER(SEARCH("Proposal",$A367)),SUMIFS('Timesheet Raw'!$P$4:$P$8000,'Timesheet Raw'!$A$4:$A$8000,IF(ISNUMBER(SEARCH("Chargable",$A367)),"2-Proposals Chargeable","3-Proposals Regular"),'Timesheet Raw'!$C$4:$C$8000,"*"&amp;$B367&amp;"*",'Timesheet Raw'!$L$4:$L$8000,"&gt;="&amp;MAX(X$5,DATE(2000+VALUE(RIGHT(TRIM($A367),2)),1,1)),'Timesheet Raw'!$L$4:$L$8000,"&lt;="&amp;MIN(X$6,DATE(2000+VALUE(RIGHT(TRIM($A367),2)),12,31))),SUMIFS('Timesheet Raw'!$P$4:$P$8000,'Timesheet Raw'!$B$4:$B$8000,TRIM($A367),'Timesheet Raw'!$C$4:$C$8000,"*"&amp;$B367&amp;"*",'Timesheet Raw'!$L$4:$L$8000,"&gt;="&amp;X$5,'Timesheet Raw'!$L$4:$L$8000,"&lt;="&amp;X$6)))/'Profit Plan'!$B$5)</f>
        <v>0</v>
      </c>
      <c r="Y367" s="118">
        <f t="shared" si="101"/>
        <v>4.5945945945945948E-2</v>
      </c>
    </row>
    <row r="368" spans="1:25" x14ac:dyDescent="0.3">
      <c r="A368" s="116" t="str">
        <f>IF(Inputs!$A40="","",Inputs!$A40)</f>
        <v>S23204-0100D</v>
      </c>
      <c r="B368" s="116" t="str">
        <f>IF(Inputs!$A40="","",Inputs!$A$92)</f>
        <v>Osama</v>
      </c>
      <c r="C368" s="116"/>
      <c r="D368" s="122">
        <f>IF($A368="","",(IF(ISNUMBER(SEARCH("Proposal",$A368)),SUMIFS('Timesheet Raw'!$P$4:$P$8000,'Timesheet Raw'!$A$4:$A$8000,IF(ISNUMBER(SEARCH("Chargable",$A368)),"2-Proposals Chargeable","3-Proposals Regular"),'Timesheet Raw'!$C$4:$C$8000,"*"&amp;$B368&amp;"*",'Timesheet Raw'!$L$4:$L$8000,"&gt;="&amp;MAX(D$5,DATE(2000+VALUE(RIGHT(TRIM($A368),2)),1,1)),'Timesheet Raw'!$L$4:$L$8000,"&lt;="&amp;MIN(D$6,DATE(2000+VALUE(RIGHT(TRIM($A368),2)),12,31))),SUMIFS('Timesheet Raw'!$P$4:$P$8000,'Timesheet Raw'!$B$4:$B$8000,TRIM($A368),'Timesheet Raw'!$C$4:$C$8000,"*"&amp;$B368&amp;"*",'Timesheet Raw'!$L$4:$L$8000,"&gt;="&amp;D$5,'Timesheet Raw'!$L$4:$L$8000,"&lt;="&amp;D$6)))/'Profit Plan'!$B$5)</f>
        <v>0</v>
      </c>
      <c r="E368" s="122">
        <f>IF($A368="","",(IF(ISNUMBER(SEARCH("Proposal",$A368)),SUMIFS('Timesheet Raw'!$P$4:$P$8000,'Timesheet Raw'!$A$4:$A$8000,IF(ISNUMBER(SEARCH("Chargable",$A368)),"2-Proposals Chargeable","3-Proposals Regular"),'Timesheet Raw'!$C$4:$C$8000,"*"&amp;$B368&amp;"*",'Timesheet Raw'!$L$4:$L$8000,"&gt;="&amp;MAX(E$5,DATE(2000+VALUE(RIGHT(TRIM($A368),2)),1,1)),'Timesheet Raw'!$L$4:$L$8000,"&lt;="&amp;MIN(E$6,DATE(2000+VALUE(RIGHT(TRIM($A368),2)),12,31))),SUMIFS('Timesheet Raw'!$P$4:$P$8000,'Timesheet Raw'!$B$4:$B$8000,TRIM($A368),'Timesheet Raw'!$C$4:$C$8000,"*"&amp;$B368&amp;"*",'Timesheet Raw'!$L$4:$L$8000,"&gt;="&amp;E$5,'Timesheet Raw'!$L$4:$L$8000,"&lt;="&amp;E$6)))/'Profit Plan'!$B$5)</f>
        <v>0</v>
      </c>
      <c r="F368" s="122">
        <f>IF($A368="","",(IF(ISNUMBER(SEARCH("Proposal",$A368)),SUMIFS('Timesheet Raw'!$P$4:$P$8000,'Timesheet Raw'!$A$4:$A$8000,IF(ISNUMBER(SEARCH("Chargable",$A368)),"2-Proposals Chargeable","3-Proposals Regular"),'Timesheet Raw'!$C$4:$C$8000,"*"&amp;$B368&amp;"*",'Timesheet Raw'!$L$4:$L$8000,"&gt;="&amp;MAX(F$5,DATE(2000+VALUE(RIGHT(TRIM($A368),2)),1,1)),'Timesheet Raw'!$L$4:$L$8000,"&lt;="&amp;MIN(F$6,DATE(2000+VALUE(RIGHT(TRIM($A368),2)),12,31))),SUMIFS('Timesheet Raw'!$P$4:$P$8000,'Timesheet Raw'!$B$4:$B$8000,TRIM($A368),'Timesheet Raw'!$C$4:$C$8000,"*"&amp;$B368&amp;"*",'Timesheet Raw'!$L$4:$L$8000,"&gt;="&amp;F$5,'Timesheet Raw'!$L$4:$L$8000,"&lt;="&amp;F$6)))/'Profit Plan'!$B$5)</f>
        <v>0</v>
      </c>
      <c r="G368" s="122">
        <f>IF($A368="","",(IF(ISNUMBER(SEARCH("Proposal",$A368)),SUMIFS('Timesheet Raw'!$P$4:$P$8000,'Timesheet Raw'!$A$4:$A$8000,IF(ISNUMBER(SEARCH("Chargable",$A368)),"2-Proposals Chargeable","3-Proposals Regular"),'Timesheet Raw'!$C$4:$C$8000,"*"&amp;$B368&amp;"*",'Timesheet Raw'!$L$4:$L$8000,"&gt;="&amp;MAX(G$5,DATE(2000+VALUE(RIGHT(TRIM($A368),2)),1,1)),'Timesheet Raw'!$L$4:$L$8000,"&lt;="&amp;MIN(G$6,DATE(2000+VALUE(RIGHT(TRIM($A368),2)),12,31))),SUMIFS('Timesheet Raw'!$P$4:$P$8000,'Timesheet Raw'!$B$4:$B$8000,TRIM($A368),'Timesheet Raw'!$C$4:$C$8000,"*"&amp;$B368&amp;"*",'Timesheet Raw'!$L$4:$L$8000,"&gt;="&amp;G$5,'Timesheet Raw'!$L$4:$L$8000,"&lt;="&amp;G$6)))/'Profit Plan'!$B$5)</f>
        <v>0</v>
      </c>
      <c r="H368" s="122">
        <f>IF($A368="","",(IF(ISNUMBER(SEARCH("Proposal",$A368)),SUMIFS('Timesheet Raw'!$P$4:$P$8000,'Timesheet Raw'!$A$4:$A$8000,IF(ISNUMBER(SEARCH("Chargable",$A368)),"2-Proposals Chargeable","3-Proposals Regular"),'Timesheet Raw'!$C$4:$C$8000,"*"&amp;$B368&amp;"*",'Timesheet Raw'!$L$4:$L$8000,"&gt;="&amp;MAX(H$5,DATE(2000+VALUE(RIGHT(TRIM($A368),2)),1,1)),'Timesheet Raw'!$L$4:$L$8000,"&lt;="&amp;MIN(H$6,DATE(2000+VALUE(RIGHT(TRIM($A368),2)),12,31))),SUMIFS('Timesheet Raw'!$P$4:$P$8000,'Timesheet Raw'!$B$4:$B$8000,TRIM($A368),'Timesheet Raw'!$C$4:$C$8000,"*"&amp;$B368&amp;"*",'Timesheet Raw'!$L$4:$L$8000,"&gt;="&amp;H$5,'Timesheet Raw'!$L$4:$L$8000,"&lt;="&amp;H$6)))/'Profit Plan'!$B$5)</f>
        <v>0</v>
      </c>
      <c r="I368" s="122">
        <f>IF($A368="","",(IF(ISNUMBER(SEARCH("Proposal",$A368)),SUMIFS('Timesheet Raw'!$P$4:$P$8000,'Timesheet Raw'!$A$4:$A$8000,IF(ISNUMBER(SEARCH("Chargable",$A368)),"2-Proposals Chargeable","3-Proposals Regular"),'Timesheet Raw'!$C$4:$C$8000,"*"&amp;$B368&amp;"*",'Timesheet Raw'!$L$4:$L$8000,"&gt;="&amp;MAX(I$5,DATE(2000+VALUE(RIGHT(TRIM($A368),2)),1,1)),'Timesheet Raw'!$L$4:$L$8000,"&lt;="&amp;MIN(I$6,DATE(2000+VALUE(RIGHT(TRIM($A368),2)),12,31))),SUMIFS('Timesheet Raw'!$P$4:$P$8000,'Timesheet Raw'!$B$4:$B$8000,TRIM($A368),'Timesheet Raw'!$C$4:$C$8000,"*"&amp;$B368&amp;"*",'Timesheet Raw'!$L$4:$L$8000,"&gt;="&amp;I$5,'Timesheet Raw'!$L$4:$L$8000,"&lt;="&amp;I$6)))/'Profit Plan'!$B$5)</f>
        <v>0</v>
      </c>
      <c r="J368" s="122">
        <f>IF($A368="","",(IF(ISNUMBER(SEARCH("Proposal",$A368)),SUMIFS('Timesheet Raw'!$P$4:$P$8000,'Timesheet Raw'!$A$4:$A$8000,IF(ISNUMBER(SEARCH("Chargable",$A368)),"2-Proposals Chargeable","3-Proposals Regular"),'Timesheet Raw'!$C$4:$C$8000,"*"&amp;$B368&amp;"*",'Timesheet Raw'!$L$4:$L$8000,"&gt;="&amp;MAX(J$5,DATE(2000+VALUE(RIGHT(TRIM($A368),2)),1,1)),'Timesheet Raw'!$L$4:$L$8000,"&lt;="&amp;MIN(J$6,DATE(2000+VALUE(RIGHT(TRIM($A368),2)),12,31))),SUMIFS('Timesheet Raw'!$P$4:$P$8000,'Timesheet Raw'!$B$4:$B$8000,TRIM($A368),'Timesheet Raw'!$C$4:$C$8000,"*"&amp;$B368&amp;"*",'Timesheet Raw'!$L$4:$L$8000,"&gt;="&amp;J$5,'Timesheet Raw'!$L$4:$L$8000,"&lt;="&amp;J$6)))/'Profit Plan'!$B$5)</f>
        <v>0</v>
      </c>
      <c r="K368" s="122">
        <f>IF($A368="","",(IF(ISNUMBER(SEARCH("Proposal",$A368)),SUMIFS('Timesheet Raw'!$P$4:$P$8000,'Timesheet Raw'!$A$4:$A$8000,IF(ISNUMBER(SEARCH("Chargable",$A368)),"2-Proposals Chargeable","3-Proposals Regular"),'Timesheet Raw'!$C$4:$C$8000,"*"&amp;$B368&amp;"*",'Timesheet Raw'!$L$4:$L$8000,"&gt;="&amp;MAX(K$5,DATE(2000+VALUE(RIGHT(TRIM($A368),2)),1,1)),'Timesheet Raw'!$L$4:$L$8000,"&lt;="&amp;MIN(K$6,DATE(2000+VALUE(RIGHT(TRIM($A368),2)),12,31))),SUMIFS('Timesheet Raw'!$P$4:$P$8000,'Timesheet Raw'!$B$4:$B$8000,TRIM($A368),'Timesheet Raw'!$C$4:$C$8000,"*"&amp;$B368&amp;"*",'Timesheet Raw'!$L$4:$L$8000,"&gt;="&amp;K$5,'Timesheet Raw'!$L$4:$L$8000,"&lt;="&amp;K$6)))/'Profit Plan'!$B$5)</f>
        <v>0</v>
      </c>
      <c r="L368" s="122">
        <f>IF($A368="","",(IF(ISNUMBER(SEARCH("Proposal",$A368)),SUMIFS('Timesheet Raw'!$P$4:$P$8000,'Timesheet Raw'!$A$4:$A$8000,IF(ISNUMBER(SEARCH("Chargable",$A368)),"2-Proposals Chargeable","3-Proposals Regular"),'Timesheet Raw'!$C$4:$C$8000,"*"&amp;$B368&amp;"*",'Timesheet Raw'!$L$4:$L$8000,"&gt;="&amp;MAX(L$5,DATE(2000+VALUE(RIGHT(TRIM($A368),2)),1,1)),'Timesheet Raw'!$L$4:$L$8000,"&lt;="&amp;MIN(L$6,DATE(2000+VALUE(RIGHT(TRIM($A368),2)),12,31))),SUMIFS('Timesheet Raw'!$P$4:$P$8000,'Timesheet Raw'!$B$4:$B$8000,TRIM($A368),'Timesheet Raw'!$C$4:$C$8000,"*"&amp;$B368&amp;"*",'Timesheet Raw'!$L$4:$L$8000,"&gt;="&amp;L$5,'Timesheet Raw'!$L$4:$L$8000,"&lt;="&amp;L$6)))/'Profit Plan'!$B$5)</f>
        <v>0</v>
      </c>
      <c r="M368" s="122">
        <f>IF($A368="","",(IF(ISNUMBER(SEARCH("Proposal",$A368)),SUMIFS('Timesheet Raw'!$P$4:$P$8000,'Timesheet Raw'!$A$4:$A$8000,IF(ISNUMBER(SEARCH("Chargable",$A368)),"2-Proposals Chargeable","3-Proposals Regular"),'Timesheet Raw'!$C$4:$C$8000,"*"&amp;$B368&amp;"*",'Timesheet Raw'!$L$4:$L$8000,"&gt;="&amp;MAX(M$5,DATE(2000+VALUE(RIGHT(TRIM($A368),2)),1,1)),'Timesheet Raw'!$L$4:$L$8000,"&lt;="&amp;MIN(M$6,DATE(2000+VALUE(RIGHT(TRIM($A368),2)),12,31))),SUMIFS('Timesheet Raw'!$P$4:$P$8000,'Timesheet Raw'!$B$4:$B$8000,TRIM($A368),'Timesheet Raw'!$C$4:$C$8000,"*"&amp;$B368&amp;"*",'Timesheet Raw'!$L$4:$L$8000,"&gt;="&amp;M$5,'Timesheet Raw'!$L$4:$L$8000,"&lt;="&amp;M$6)))/'Profit Plan'!$B$5)</f>
        <v>0</v>
      </c>
      <c r="N368" s="122">
        <f>IF($A368="","",(IF(ISNUMBER(SEARCH("Proposal",$A368)),SUMIFS('Timesheet Raw'!$P$4:$P$8000,'Timesheet Raw'!$A$4:$A$8000,IF(ISNUMBER(SEARCH("Chargable",$A368)),"2-Proposals Chargeable","3-Proposals Regular"),'Timesheet Raw'!$C$4:$C$8000,"*"&amp;$B368&amp;"*",'Timesheet Raw'!$L$4:$L$8000,"&gt;="&amp;MAX(N$5,DATE(2000+VALUE(RIGHT(TRIM($A368),2)),1,1)),'Timesheet Raw'!$L$4:$L$8000,"&lt;="&amp;MIN(N$6,DATE(2000+VALUE(RIGHT(TRIM($A368),2)),12,31))),SUMIFS('Timesheet Raw'!$P$4:$P$8000,'Timesheet Raw'!$B$4:$B$8000,TRIM($A368),'Timesheet Raw'!$C$4:$C$8000,"*"&amp;$B368&amp;"*",'Timesheet Raw'!$L$4:$L$8000,"&gt;="&amp;N$5,'Timesheet Raw'!$L$4:$L$8000,"&lt;="&amp;N$6)))/'Profit Plan'!$B$5)</f>
        <v>0</v>
      </c>
      <c r="O368" s="122">
        <f>IF($A368="","",(IF(ISNUMBER(SEARCH("Proposal",$A368)),SUMIFS('Timesheet Raw'!$P$4:$P$8000,'Timesheet Raw'!$A$4:$A$8000,IF(ISNUMBER(SEARCH("Chargable",$A368)),"2-Proposals Chargeable","3-Proposals Regular"),'Timesheet Raw'!$C$4:$C$8000,"*"&amp;$B368&amp;"*",'Timesheet Raw'!$L$4:$L$8000,"&gt;="&amp;MAX(O$5,DATE(2000+VALUE(RIGHT(TRIM($A368),2)),1,1)),'Timesheet Raw'!$L$4:$L$8000,"&lt;="&amp;MIN(O$6,DATE(2000+VALUE(RIGHT(TRIM($A368),2)),12,31))),SUMIFS('Timesheet Raw'!$P$4:$P$8000,'Timesheet Raw'!$B$4:$B$8000,TRIM($A368),'Timesheet Raw'!$C$4:$C$8000,"*"&amp;$B368&amp;"*",'Timesheet Raw'!$L$4:$L$8000,"&gt;="&amp;O$5,'Timesheet Raw'!$L$4:$L$8000,"&lt;="&amp;O$6)))/'Profit Plan'!$B$5)</f>
        <v>0</v>
      </c>
      <c r="P368" s="122">
        <f>IF($A368="","",(IF(ISNUMBER(SEARCH("Proposal",$A368)),SUMIFS('Timesheet Raw'!$P$4:$P$8000,'Timesheet Raw'!$A$4:$A$8000,IF(ISNUMBER(SEARCH("Chargable",$A368)),"2-Proposals Chargeable","3-Proposals Regular"),'Timesheet Raw'!$C$4:$C$8000,"*"&amp;$B368&amp;"*",'Timesheet Raw'!$L$4:$L$8000,"&gt;="&amp;MAX(P$5,DATE(2000+VALUE(RIGHT(TRIM($A368),2)),1,1)),'Timesheet Raw'!$L$4:$L$8000,"&lt;="&amp;MIN(P$6,DATE(2000+VALUE(RIGHT(TRIM($A368),2)),12,31))),SUMIFS('Timesheet Raw'!$P$4:$P$8000,'Timesheet Raw'!$B$4:$B$8000,TRIM($A368),'Timesheet Raw'!$C$4:$C$8000,"*"&amp;$B368&amp;"*",'Timesheet Raw'!$L$4:$L$8000,"&gt;="&amp;P$5,'Timesheet Raw'!$L$4:$L$8000,"&lt;="&amp;P$6)))/'Profit Plan'!$B$5)</f>
        <v>0</v>
      </c>
      <c r="Q368" s="122">
        <f>IF($A368="","",(IF(ISNUMBER(SEARCH("Proposal",$A368)),SUMIFS('Timesheet Raw'!$P$4:$P$8000,'Timesheet Raw'!$A$4:$A$8000,IF(ISNUMBER(SEARCH("Chargable",$A368)),"2-Proposals Chargeable","3-Proposals Regular"),'Timesheet Raw'!$C$4:$C$8000,"*"&amp;$B368&amp;"*",'Timesheet Raw'!$L$4:$L$8000,"&gt;="&amp;MAX(Q$5,DATE(2000+VALUE(RIGHT(TRIM($A368),2)),1,1)),'Timesheet Raw'!$L$4:$L$8000,"&lt;="&amp;MIN(Q$6,DATE(2000+VALUE(RIGHT(TRIM($A368),2)),12,31))),SUMIFS('Timesheet Raw'!$P$4:$P$8000,'Timesheet Raw'!$B$4:$B$8000,TRIM($A368),'Timesheet Raw'!$C$4:$C$8000,"*"&amp;$B368&amp;"*",'Timesheet Raw'!$L$4:$L$8000,"&gt;="&amp;Q$5,'Timesheet Raw'!$L$4:$L$8000,"&lt;="&amp;Q$6)))/'Profit Plan'!$B$5)</f>
        <v>0</v>
      </c>
      <c r="R368" s="122">
        <f>IF($A368="","",(IF(ISNUMBER(SEARCH("Proposal",$A368)),SUMIFS('Timesheet Raw'!$P$4:$P$8000,'Timesheet Raw'!$A$4:$A$8000,IF(ISNUMBER(SEARCH("Chargable",$A368)),"2-Proposals Chargeable","3-Proposals Regular"),'Timesheet Raw'!$C$4:$C$8000,"*"&amp;$B368&amp;"*",'Timesheet Raw'!$L$4:$L$8000,"&gt;="&amp;MAX(R$5,DATE(2000+VALUE(RIGHT(TRIM($A368),2)),1,1)),'Timesheet Raw'!$L$4:$L$8000,"&lt;="&amp;MIN(R$6,DATE(2000+VALUE(RIGHT(TRIM($A368),2)),12,31))),SUMIFS('Timesheet Raw'!$P$4:$P$8000,'Timesheet Raw'!$B$4:$B$8000,TRIM($A368),'Timesheet Raw'!$C$4:$C$8000,"*"&amp;$B368&amp;"*",'Timesheet Raw'!$L$4:$L$8000,"&gt;="&amp;R$5,'Timesheet Raw'!$L$4:$L$8000,"&lt;="&amp;R$6)))/'Profit Plan'!$B$5)</f>
        <v>0</v>
      </c>
      <c r="S368" s="122">
        <f>IF($A368="","",(IF(ISNUMBER(SEARCH("Proposal",$A368)),SUMIFS('Timesheet Raw'!$P$4:$P$8000,'Timesheet Raw'!$A$4:$A$8000,IF(ISNUMBER(SEARCH("Chargable",$A368)),"2-Proposals Chargeable","3-Proposals Regular"),'Timesheet Raw'!$C$4:$C$8000,"*"&amp;$B368&amp;"*",'Timesheet Raw'!$L$4:$L$8000,"&gt;="&amp;MAX(S$5,DATE(2000+VALUE(RIGHT(TRIM($A368),2)),1,1)),'Timesheet Raw'!$L$4:$L$8000,"&lt;="&amp;MIN(S$6,DATE(2000+VALUE(RIGHT(TRIM($A368),2)),12,31))),SUMIFS('Timesheet Raw'!$P$4:$P$8000,'Timesheet Raw'!$B$4:$B$8000,TRIM($A368),'Timesheet Raw'!$C$4:$C$8000,"*"&amp;$B368&amp;"*",'Timesheet Raw'!$L$4:$L$8000,"&gt;="&amp;S$5,'Timesheet Raw'!$L$4:$L$8000,"&lt;="&amp;S$6)))/'Profit Plan'!$B$5)</f>
        <v>0</v>
      </c>
      <c r="T368" s="122">
        <f>IF($A368="","",(IF(ISNUMBER(SEARCH("Proposal",$A368)),SUMIFS('Timesheet Raw'!$P$4:$P$8000,'Timesheet Raw'!$A$4:$A$8000,IF(ISNUMBER(SEARCH("Chargable",$A368)),"2-Proposals Chargeable","3-Proposals Regular"),'Timesheet Raw'!$C$4:$C$8000,"*"&amp;$B368&amp;"*",'Timesheet Raw'!$L$4:$L$8000,"&gt;="&amp;MAX(T$5,DATE(2000+VALUE(RIGHT(TRIM($A368),2)),1,1)),'Timesheet Raw'!$L$4:$L$8000,"&lt;="&amp;MIN(T$6,DATE(2000+VALUE(RIGHT(TRIM($A368),2)),12,31))),SUMIFS('Timesheet Raw'!$P$4:$P$8000,'Timesheet Raw'!$B$4:$B$8000,TRIM($A368),'Timesheet Raw'!$C$4:$C$8000,"*"&amp;$B368&amp;"*",'Timesheet Raw'!$L$4:$L$8000,"&gt;="&amp;T$5,'Timesheet Raw'!$L$4:$L$8000,"&lt;="&amp;T$6)))/'Profit Plan'!$B$5)</f>
        <v>0</v>
      </c>
      <c r="U368" s="122">
        <f>IF($A368="","",(IF(ISNUMBER(SEARCH("Proposal",$A368)),SUMIFS('Timesheet Raw'!$P$4:$P$8000,'Timesheet Raw'!$A$4:$A$8000,IF(ISNUMBER(SEARCH("Chargable",$A368)),"2-Proposals Chargeable","3-Proposals Regular"),'Timesheet Raw'!$C$4:$C$8000,"*"&amp;$B368&amp;"*",'Timesheet Raw'!$L$4:$L$8000,"&gt;="&amp;MAX(U$5,DATE(2000+VALUE(RIGHT(TRIM($A368),2)),1,1)),'Timesheet Raw'!$L$4:$L$8000,"&lt;="&amp;MIN(U$6,DATE(2000+VALUE(RIGHT(TRIM($A368),2)),12,31))),SUMIFS('Timesheet Raw'!$P$4:$P$8000,'Timesheet Raw'!$B$4:$B$8000,TRIM($A368),'Timesheet Raw'!$C$4:$C$8000,"*"&amp;$B368&amp;"*",'Timesheet Raw'!$L$4:$L$8000,"&gt;="&amp;U$5,'Timesheet Raw'!$L$4:$L$8000,"&lt;="&amp;U$6)))/'Profit Plan'!$B$5)</f>
        <v>0</v>
      </c>
      <c r="V368" s="122">
        <f>IF($A368="","",(IF(ISNUMBER(SEARCH("Proposal",$A368)),SUMIFS('Timesheet Raw'!$P$4:$P$8000,'Timesheet Raw'!$A$4:$A$8000,IF(ISNUMBER(SEARCH("Chargable",$A368)),"2-Proposals Chargeable","3-Proposals Regular"),'Timesheet Raw'!$C$4:$C$8000,"*"&amp;$B368&amp;"*",'Timesheet Raw'!$L$4:$L$8000,"&gt;="&amp;MAX(V$5,DATE(2000+VALUE(RIGHT(TRIM($A368),2)),1,1)),'Timesheet Raw'!$L$4:$L$8000,"&lt;="&amp;MIN(V$6,DATE(2000+VALUE(RIGHT(TRIM($A368),2)),12,31))),SUMIFS('Timesheet Raw'!$P$4:$P$8000,'Timesheet Raw'!$B$4:$B$8000,TRIM($A368),'Timesheet Raw'!$C$4:$C$8000,"*"&amp;$B368&amp;"*",'Timesheet Raw'!$L$4:$L$8000,"&gt;="&amp;V$5,'Timesheet Raw'!$L$4:$L$8000,"&lt;="&amp;V$6)))/'Profit Plan'!$B$5)</f>
        <v>0</v>
      </c>
      <c r="W368" s="122">
        <f>IF($A368="","",(IF(ISNUMBER(SEARCH("Proposal",$A368)),SUMIFS('Timesheet Raw'!$P$4:$P$8000,'Timesheet Raw'!$A$4:$A$8000,IF(ISNUMBER(SEARCH("Chargable",$A368)),"2-Proposals Chargeable","3-Proposals Regular"),'Timesheet Raw'!$C$4:$C$8000,"*"&amp;$B368&amp;"*",'Timesheet Raw'!$L$4:$L$8000,"&gt;="&amp;MAX(W$5,DATE(2000+VALUE(RIGHT(TRIM($A368),2)),1,1)),'Timesheet Raw'!$L$4:$L$8000,"&lt;="&amp;MIN(W$6,DATE(2000+VALUE(RIGHT(TRIM($A368),2)),12,31))),SUMIFS('Timesheet Raw'!$P$4:$P$8000,'Timesheet Raw'!$B$4:$B$8000,TRIM($A368),'Timesheet Raw'!$C$4:$C$8000,"*"&amp;$B368&amp;"*",'Timesheet Raw'!$L$4:$L$8000,"&gt;="&amp;W$5,'Timesheet Raw'!$L$4:$L$8000,"&lt;="&amp;W$6)))/'Profit Plan'!$B$5)</f>
        <v>0</v>
      </c>
      <c r="X368" s="122">
        <f>IF($A368="","",(IF(ISNUMBER(SEARCH("Proposal",$A368)),SUMIFS('Timesheet Raw'!$P$4:$P$8000,'Timesheet Raw'!$A$4:$A$8000,IF(ISNUMBER(SEARCH("Chargable",$A368)),"2-Proposals Chargeable","3-Proposals Regular"),'Timesheet Raw'!$C$4:$C$8000,"*"&amp;$B368&amp;"*",'Timesheet Raw'!$L$4:$L$8000,"&gt;="&amp;MAX(X$5,DATE(2000+VALUE(RIGHT(TRIM($A368),2)),1,1)),'Timesheet Raw'!$L$4:$L$8000,"&lt;="&amp;MIN(X$6,DATE(2000+VALUE(RIGHT(TRIM($A368),2)),12,31))),SUMIFS('Timesheet Raw'!$P$4:$P$8000,'Timesheet Raw'!$B$4:$B$8000,TRIM($A368),'Timesheet Raw'!$C$4:$C$8000,"*"&amp;$B368&amp;"*",'Timesheet Raw'!$L$4:$L$8000,"&gt;="&amp;X$5,'Timesheet Raw'!$L$4:$L$8000,"&lt;="&amp;X$6)))/'Profit Plan'!$B$5)</f>
        <v>0</v>
      </c>
      <c r="Y368" s="118">
        <f t="shared" si="101"/>
        <v>0</v>
      </c>
    </row>
    <row r="369" spans="1:25" x14ac:dyDescent="0.3">
      <c r="A369" s="116" t="str">
        <f>IF(Inputs!$A40="","",Inputs!$A40)</f>
        <v>S23204-0100D</v>
      </c>
      <c r="B369" s="116" t="str">
        <f>IF(Inputs!$A40="","",Inputs!$A$93)</f>
        <v>Kirolos</v>
      </c>
      <c r="C369" s="116"/>
      <c r="D369" s="122">
        <f>IF($A369="","",(IF(ISNUMBER(SEARCH("Proposal",$A369)),SUMIFS('Timesheet Raw'!$P$4:$P$8000,'Timesheet Raw'!$A$4:$A$8000,IF(ISNUMBER(SEARCH("Chargable",$A369)),"2-Proposals Chargeable","3-Proposals Regular"),'Timesheet Raw'!$C$4:$C$8000,"*"&amp;$B369&amp;"*",'Timesheet Raw'!$L$4:$L$8000,"&gt;="&amp;MAX(D$5,DATE(2000+VALUE(RIGHT(TRIM($A369),2)),1,1)),'Timesheet Raw'!$L$4:$L$8000,"&lt;="&amp;MIN(D$6,DATE(2000+VALUE(RIGHT(TRIM($A369),2)),12,31))),SUMIFS('Timesheet Raw'!$P$4:$P$8000,'Timesheet Raw'!$B$4:$B$8000,TRIM($A369),'Timesheet Raw'!$C$4:$C$8000,"*"&amp;$B369&amp;"*",'Timesheet Raw'!$L$4:$L$8000,"&gt;="&amp;D$5,'Timesheet Raw'!$L$4:$L$8000,"&lt;="&amp;D$6)))/'Profit Plan'!$B$5)</f>
        <v>0</v>
      </c>
      <c r="E369" s="122">
        <f>IF($A369="","",(IF(ISNUMBER(SEARCH("Proposal",$A369)),SUMIFS('Timesheet Raw'!$P$4:$P$8000,'Timesheet Raw'!$A$4:$A$8000,IF(ISNUMBER(SEARCH("Chargable",$A369)),"2-Proposals Chargeable","3-Proposals Regular"),'Timesheet Raw'!$C$4:$C$8000,"*"&amp;$B369&amp;"*",'Timesheet Raw'!$L$4:$L$8000,"&gt;="&amp;MAX(E$5,DATE(2000+VALUE(RIGHT(TRIM($A369),2)),1,1)),'Timesheet Raw'!$L$4:$L$8000,"&lt;="&amp;MIN(E$6,DATE(2000+VALUE(RIGHT(TRIM($A369),2)),12,31))),SUMIFS('Timesheet Raw'!$P$4:$P$8000,'Timesheet Raw'!$B$4:$B$8000,TRIM($A369),'Timesheet Raw'!$C$4:$C$8000,"*"&amp;$B369&amp;"*",'Timesheet Raw'!$L$4:$L$8000,"&gt;="&amp;E$5,'Timesheet Raw'!$L$4:$L$8000,"&lt;="&amp;E$6)))/'Profit Plan'!$B$5)</f>
        <v>0</v>
      </c>
      <c r="F369" s="122">
        <f>IF($A369="","",(IF(ISNUMBER(SEARCH("Proposal",$A369)),SUMIFS('Timesheet Raw'!$P$4:$P$8000,'Timesheet Raw'!$A$4:$A$8000,IF(ISNUMBER(SEARCH("Chargable",$A369)),"2-Proposals Chargeable","3-Proposals Regular"),'Timesheet Raw'!$C$4:$C$8000,"*"&amp;$B369&amp;"*",'Timesheet Raw'!$L$4:$L$8000,"&gt;="&amp;MAX(F$5,DATE(2000+VALUE(RIGHT(TRIM($A369),2)),1,1)),'Timesheet Raw'!$L$4:$L$8000,"&lt;="&amp;MIN(F$6,DATE(2000+VALUE(RIGHT(TRIM($A369),2)),12,31))),SUMIFS('Timesheet Raw'!$P$4:$P$8000,'Timesheet Raw'!$B$4:$B$8000,TRIM($A369),'Timesheet Raw'!$C$4:$C$8000,"*"&amp;$B369&amp;"*",'Timesheet Raw'!$L$4:$L$8000,"&gt;="&amp;F$5,'Timesheet Raw'!$L$4:$L$8000,"&lt;="&amp;F$6)))/'Profit Plan'!$B$5)</f>
        <v>0</v>
      </c>
      <c r="G369" s="122">
        <f>IF($A369="","",(IF(ISNUMBER(SEARCH("Proposal",$A369)),SUMIFS('Timesheet Raw'!$P$4:$P$8000,'Timesheet Raw'!$A$4:$A$8000,IF(ISNUMBER(SEARCH("Chargable",$A369)),"2-Proposals Chargeable","3-Proposals Regular"),'Timesheet Raw'!$C$4:$C$8000,"*"&amp;$B369&amp;"*",'Timesheet Raw'!$L$4:$L$8000,"&gt;="&amp;MAX(G$5,DATE(2000+VALUE(RIGHT(TRIM($A369),2)),1,1)),'Timesheet Raw'!$L$4:$L$8000,"&lt;="&amp;MIN(G$6,DATE(2000+VALUE(RIGHT(TRIM($A369),2)),12,31))),SUMIFS('Timesheet Raw'!$P$4:$P$8000,'Timesheet Raw'!$B$4:$B$8000,TRIM($A369),'Timesheet Raw'!$C$4:$C$8000,"*"&amp;$B369&amp;"*",'Timesheet Raw'!$L$4:$L$8000,"&gt;="&amp;G$5,'Timesheet Raw'!$L$4:$L$8000,"&lt;="&amp;G$6)))/'Profit Plan'!$B$5)</f>
        <v>0</v>
      </c>
      <c r="H369" s="122">
        <f>IF($A369="","",(IF(ISNUMBER(SEARCH("Proposal",$A369)),SUMIFS('Timesheet Raw'!$P$4:$P$8000,'Timesheet Raw'!$A$4:$A$8000,IF(ISNUMBER(SEARCH("Chargable",$A369)),"2-Proposals Chargeable","3-Proposals Regular"),'Timesheet Raw'!$C$4:$C$8000,"*"&amp;$B369&amp;"*",'Timesheet Raw'!$L$4:$L$8000,"&gt;="&amp;MAX(H$5,DATE(2000+VALUE(RIGHT(TRIM($A369),2)),1,1)),'Timesheet Raw'!$L$4:$L$8000,"&lt;="&amp;MIN(H$6,DATE(2000+VALUE(RIGHT(TRIM($A369),2)),12,31))),SUMIFS('Timesheet Raw'!$P$4:$P$8000,'Timesheet Raw'!$B$4:$B$8000,TRIM($A369),'Timesheet Raw'!$C$4:$C$8000,"*"&amp;$B369&amp;"*",'Timesheet Raw'!$L$4:$L$8000,"&gt;="&amp;H$5,'Timesheet Raw'!$L$4:$L$8000,"&lt;="&amp;H$6)))/'Profit Plan'!$B$5)</f>
        <v>0</v>
      </c>
      <c r="I369" s="122">
        <f>IF($A369="","",(IF(ISNUMBER(SEARCH("Proposal",$A369)),SUMIFS('Timesheet Raw'!$P$4:$P$8000,'Timesheet Raw'!$A$4:$A$8000,IF(ISNUMBER(SEARCH("Chargable",$A369)),"2-Proposals Chargeable","3-Proposals Regular"),'Timesheet Raw'!$C$4:$C$8000,"*"&amp;$B369&amp;"*",'Timesheet Raw'!$L$4:$L$8000,"&gt;="&amp;MAX(I$5,DATE(2000+VALUE(RIGHT(TRIM($A369),2)),1,1)),'Timesheet Raw'!$L$4:$L$8000,"&lt;="&amp;MIN(I$6,DATE(2000+VALUE(RIGHT(TRIM($A369),2)),12,31))),SUMIFS('Timesheet Raw'!$P$4:$P$8000,'Timesheet Raw'!$B$4:$B$8000,TRIM($A369),'Timesheet Raw'!$C$4:$C$8000,"*"&amp;$B369&amp;"*",'Timesheet Raw'!$L$4:$L$8000,"&gt;="&amp;I$5,'Timesheet Raw'!$L$4:$L$8000,"&lt;="&amp;I$6)))/'Profit Plan'!$B$5)</f>
        <v>0</v>
      </c>
      <c r="J369" s="122">
        <f>IF($A369="","",(IF(ISNUMBER(SEARCH("Proposal",$A369)),SUMIFS('Timesheet Raw'!$P$4:$P$8000,'Timesheet Raw'!$A$4:$A$8000,IF(ISNUMBER(SEARCH("Chargable",$A369)),"2-Proposals Chargeable","3-Proposals Regular"),'Timesheet Raw'!$C$4:$C$8000,"*"&amp;$B369&amp;"*",'Timesheet Raw'!$L$4:$L$8000,"&gt;="&amp;MAX(J$5,DATE(2000+VALUE(RIGHT(TRIM($A369),2)),1,1)),'Timesheet Raw'!$L$4:$L$8000,"&lt;="&amp;MIN(J$6,DATE(2000+VALUE(RIGHT(TRIM($A369),2)),12,31))),SUMIFS('Timesheet Raw'!$P$4:$P$8000,'Timesheet Raw'!$B$4:$B$8000,TRIM($A369),'Timesheet Raw'!$C$4:$C$8000,"*"&amp;$B369&amp;"*",'Timesheet Raw'!$L$4:$L$8000,"&gt;="&amp;J$5,'Timesheet Raw'!$L$4:$L$8000,"&lt;="&amp;J$6)))/'Profit Plan'!$B$5)</f>
        <v>0</v>
      </c>
      <c r="K369" s="122">
        <f>IF($A369="","",(IF(ISNUMBER(SEARCH("Proposal",$A369)),SUMIFS('Timesheet Raw'!$P$4:$P$8000,'Timesheet Raw'!$A$4:$A$8000,IF(ISNUMBER(SEARCH("Chargable",$A369)),"2-Proposals Chargeable","3-Proposals Regular"),'Timesheet Raw'!$C$4:$C$8000,"*"&amp;$B369&amp;"*",'Timesheet Raw'!$L$4:$L$8000,"&gt;="&amp;MAX(K$5,DATE(2000+VALUE(RIGHT(TRIM($A369),2)),1,1)),'Timesheet Raw'!$L$4:$L$8000,"&lt;="&amp;MIN(K$6,DATE(2000+VALUE(RIGHT(TRIM($A369),2)),12,31))),SUMIFS('Timesheet Raw'!$P$4:$P$8000,'Timesheet Raw'!$B$4:$B$8000,TRIM($A369),'Timesheet Raw'!$C$4:$C$8000,"*"&amp;$B369&amp;"*",'Timesheet Raw'!$L$4:$L$8000,"&gt;="&amp;K$5,'Timesheet Raw'!$L$4:$L$8000,"&lt;="&amp;K$6)))/'Profit Plan'!$B$5)</f>
        <v>0</v>
      </c>
      <c r="L369" s="122">
        <f>IF($A369="","",(IF(ISNUMBER(SEARCH("Proposal",$A369)),SUMIFS('Timesheet Raw'!$P$4:$P$8000,'Timesheet Raw'!$A$4:$A$8000,IF(ISNUMBER(SEARCH("Chargable",$A369)),"2-Proposals Chargeable","3-Proposals Regular"),'Timesheet Raw'!$C$4:$C$8000,"*"&amp;$B369&amp;"*",'Timesheet Raw'!$L$4:$L$8000,"&gt;="&amp;MAX(L$5,DATE(2000+VALUE(RIGHT(TRIM($A369),2)),1,1)),'Timesheet Raw'!$L$4:$L$8000,"&lt;="&amp;MIN(L$6,DATE(2000+VALUE(RIGHT(TRIM($A369),2)),12,31))),SUMIFS('Timesheet Raw'!$P$4:$P$8000,'Timesheet Raw'!$B$4:$B$8000,TRIM($A369),'Timesheet Raw'!$C$4:$C$8000,"*"&amp;$B369&amp;"*",'Timesheet Raw'!$L$4:$L$8000,"&gt;="&amp;L$5,'Timesheet Raw'!$L$4:$L$8000,"&lt;="&amp;L$6)))/'Profit Plan'!$B$5)</f>
        <v>0</v>
      </c>
      <c r="M369" s="122">
        <f>IF($A369="","",(IF(ISNUMBER(SEARCH("Proposal",$A369)),SUMIFS('Timesheet Raw'!$P$4:$P$8000,'Timesheet Raw'!$A$4:$A$8000,IF(ISNUMBER(SEARCH("Chargable",$A369)),"2-Proposals Chargeable","3-Proposals Regular"),'Timesheet Raw'!$C$4:$C$8000,"*"&amp;$B369&amp;"*",'Timesheet Raw'!$L$4:$L$8000,"&gt;="&amp;MAX(M$5,DATE(2000+VALUE(RIGHT(TRIM($A369),2)),1,1)),'Timesheet Raw'!$L$4:$L$8000,"&lt;="&amp;MIN(M$6,DATE(2000+VALUE(RIGHT(TRIM($A369),2)),12,31))),SUMIFS('Timesheet Raw'!$P$4:$P$8000,'Timesheet Raw'!$B$4:$B$8000,TRIM($A369),'Timesheet Raw'!$C$4:$C$8000,"*"&amp;$B369&amp;"*",'Timesheet Raw'!$L$4:$L$8000,"&gt;="&amp;M$5,'Timesheet Raw'!$L$4:$L$8000,"&lt;="&amp;M$6)))/'Profit Plan'!$B$5)</f>
        <v>0</v>
      </c>
      <c r="N369" s="122">
        <f>IF($A369="","",(IF(ISNUMBER(SEARCH("Proposal",$A369)),SUMIFS('Timesheet Raw'!$P$4:$P$8000,'Timesheet Raw'!$A$4:$A$8000,IF(ISNUMBER(SEARCH("Chargable",$A369)),"2-Proposals Chargeable","3-Proposals Regular"),'Timesheet Raw'!$C$4:$C$8000,"*"&amp;$B369&amp;"*",'Timesheet Raw'!$L$4:$L$8000,"&gt;="&amp;MAX(N$5,DATE(2000+VALUE(RIGHT(TRIM($A369),2)),1,1)),'Timesheet Raw'!$L$4:$L$8000,"&lt;="&amp;MIN(N$6,DATE(2000+VALUE(RIGHT(TRIM($A369),2)),12,31))),SUMIFS('Timesheet Raw'!$P$4:$P$8000,'Timesheet Raw'!$B$4:$B$8000,TRIM($A369),'Timesheet Raw'!$C$4:$C$8000,"*"&amp;$B369&amp;"*",'Timesheet Raw'!$L$4:$L$8000,"&gt;="&amp;N$5,'Timesheet Raw'!$L$4:$L$8000,"&lt;="&amp;N$6)))/'Profit Plan'!$B$5)</f>
        <v>0</v>
      </c>
      <c r="O369" s="122">
        <f>IF($A369="","",(IF(ISNUMBER(SEARCH("Proposal",$A369)),SUMIFS('Timesheet Raw'!$P$4:$P$8000,'Timesheet Raw'!$A$4:$A$8000,IF(ISNUMBER(SEARCH("Chargable",$A369)),"2-Proposals Chargeable","3-Proposals Regular"),'Timesheet Raw'!$C$4:$C$8000,"*"&amp;$B369&amp;"*",'Timesheet Raw'!$L$4:$L$8000,"&gt;="&amp;MAX(O$5,DATE(2000+VALUE(RIGHT(TRIM($A369),2)),1,1)),'Timesheet Raw'!$L$4:$L$8000,"&lt;="&amp;MIN(O$6,DATE(2000+VALUE(RIGHT(TRIM($A369),2)),12,31))),SUMIFS('Timesheet Raw'!$P$4:$P$8000,'Timesheet Raw'!$B$4:$B$8000,TRIM($A369),'Timesheet Raw'!$C$4:$C$8000,"*"&amp;$B369&amp;"*",'Timesheet Raw'!$L$4:$L$8000,"&gt;="&amp;O$5,'Timesheet Raw'!$L$4:$L$8000,"&lt;="&amp;O$6)))/'Profit Plan'!$B$5)</f>
        <v>0</v>
      </c>
      <c r="P369" s="122">
        <f>IF($A369="","",(IF(ISNUMBER(SEARCH("Proposal",$A369)),SUMIFS('Timesheet Raw'!$P$4:$P$8000,'Timesheet Raw'!$A$4:$A$8000,IF(ISNUMBER(SEARCH("Chargable",$A369)),"2-Proposals Chargeable","3-Proposals Regular"),'Timesheet Raw'!$C$4:$C$8000,"*"&amp;$B369&amp;"*",'Timesheet Raw'!$L$4:$L$8000,"&gt;="&amp;MAX(P$5,DATE(2000+VALUE(RIGHT(TRIM($A369),2)),1,1)),'Timesheet Raw'!$L$4:$L$8000,"&lt;="&amp;MIN(P$6,DATE(2000+VALUE(RIGHT(TRIM($A369),2)),12,31))),SUMIFS('Timesheet Raw'!$P$4:$P$8000,'Timesheet Raw'!$B$4:$B$8000,TRIM($A369),'Timesheet Raw'!$C$4:$C$8000,"*"&amp;$B369&amp;"*",'Timesheet Raw'!$L$4:$L$8000,"&gt;="&amp;P$5,'Timesheet Raw'!$L$4:$L$8000,"&lt;="&amp;P$6)))/'Profit Plan'!$B$5)</f>
        <v>0</v>
      </c>
      <c r="Q369" s="122">
        <f>IF($A369="","",(IF(ISNUMBER(SEARCH("Proposal",$A369)),SUMIFS('Timesheet Raw'!$P$4:$P$8000,'Timesheet Raw'!$A$4:$A$8000,IF(ISNUMBER(SEARCH("Chargable",$A369)),"2-Proposals Chargeable","3-Proposals Regular"),'Timesheet Raw'!$C$4:$C$8000,"*"&amp;$B369&amp;"*",'Timesheet Raw'!$L$4:$L$8000,"&gt;="&amp;MAX(Q$5,DATE(2000+VALUE(RIGHT(TRIM($A369),2)),1,1)),'Timesheet Raw'!$L$4:$L$8000,"&lt;="&amp;MIN(Q$6,DATE(2000+VALUE(RIGHT(TRIM($A369),2)),12,31))),SUMIFS('Timesheet Raw'!$P$4:$P$8000,'Timesheet Raw'!$B$4:$B$8000,TRIM($A369),'Timesheet Raw'!$C$4:$C$8000,"*"&amp;$B369&amp;"*",'Timesheet Raw'!$L$4:$L$8000,"&gt;="&amp;Q$5,'Timesheet Raw'!$L$4:$L$8000,"&lt;="&amp;Q$6)))/'Profit Plan'!$B$5)</f>
        <v>0</v>
      </c>
      <c r="R369" s="122">
        <f>IF($A369="","",(IF(ISNUMBER(SEARCH("Proposal",$A369)),SUMIFS('Timesheet Raw'!$P$4:$P$8000,'Timesheet Raw'!$A$4:$A$8000,IF(ISNUMBER(SEARCH("Chargable",$A369)),"2-Proposals Chargeable","3-Proposals Regular"),'Timesheet Raw'!$C$4:$C$8000,"*"&amp;$B369&amp;"*",'Timesheet Raw'!$L$4:$L$8000,"&gt;="&amp;MAX(R$5,DATE(2000+VALUE(RIGHT(TRIM($A369),2)),1,1)),'Timesheet Raw'!$L$4:$L$8000,"&lt;="&amp;MIN(R$6,DATE(2000+VALUE(RIGHT(TRIM($A369),2)),12,31))),SUMIFS('Timesheet Raw'!$P$4:$P$8000,'Timesheet Raw'!$B$4:$B$8000,TRIM($A369),'Timesheet Raw'!$C$4:$C$8000,"*"&amp;$B369&amp;"*",'Timesheet Raw'!$L$4:$L$8000,"&gt;="&amp;R$5,'Timesheet Raw'!$L$4:$L$8000,"&lt;="&amp;R$6)))/'Profit Plan'!$B$5)</f>
        <v>0</v>
      </c>
      <c r="S369" s="122">
        <f>IF($A369="","",(IF(ISNUMBER(SEARCH("Proposal",$A369)),SUMIFS('Timesheet Raw'!$P$4:$P$8000,'Timesheet Raw'!$A$4:$A$8000,IF(ISNUMBER(SEARCH("Chargable",$A369)),"2-Proposals Chargeable","3-Proposals Regular"),'Timesheet Raw'!$C$4:$C$8000,"*"&amp;$B369&amp;"*",'Timesheet Raw'!$L$4:$L$8000,"&gt;="&amp;MAX(S$5,DATE(2000+VALUE(RIGHT(TRIM($A369),2)),1,1)),'Timesheet Raw'!$L$4:$L$8000,"&lt;="&amp;MIN(S$6,DATE(2000+VALUE(RIGHT(TRIM($A369),2)),12,31))),SUMIFS('Timesheet Raw'!$P$4:$P$8000,'Timesheet Raw'!$B$4:$B$8000,TRIM($A369),'Timesheet Raw'!$C$4:$C$8000,"*"&amp;$B369&amp;"*",'Timesheet Raw'!$L$4:$L$8000,"&gt;="&amp;S$5,'Timesheet Raw'!$L$4:$L$8000,"&lt;="&amp;S$6)))/'Profit Plan'!$B$5)</f>
        <v>0</v>
      </c>
      <c r="T369" s="122">
        <f>IF($A369="","",(IF(ISNUMBER(SEARCH("Proposal",$A369)),SUMIFS('Timesheet Raw'!$P$4:$P$8000,'Timesheet Raw'!$A$4:$A$8000,IF(ISNUMBER(SEARCH("Chargable",$A369)),"2-Proposals Chargeable","3-Proposals Regular"),'Timesheet Raw'!$C$4:$C$8000,"*"&amp;$B369&amp;"*",'Timesheet Raw'!$L$4:$L$8000,"&gt;="&amp;MAX(T$5,DATE(2000+VALUE(RIGHT(TRIM($A369),2)),1,1)),'Timesheet Raw'!$L$4:$L$8000,"&lt;="&amp;MIN(T$6,DATE(2000+VALUE(RIGHT(TRIM($A369),2)),12,31))),SUMIFS('Timesheet Raw'!$P$4:$P$8000,'Timesheet Raw'!$B$4:$B$8000,TRIM($A369),'Timesheet Raw'!$C$4:$C$8000,"*"&amp;$B369&amp;"*",'Timesheet Raw'!$L$4:$L$8000,"&gt;="&amp;T$5,'Timesheet Raw'!$L$4:$L$8000,"&lt;="&amp;T$6)))/'Profit Plan'!$B$5)</f>
        <v>0</v>
      </c>
      <c r="U369" s="122">
        <f>IF($A369="","",(IF(ISNUMBER(SEARCH("Proposal",$A369)),SUMIFS('Timesheet Raw'!$P$4:$P$8000,'Timesheet Raw'!$A$4:$A$8000,IF(ISNUMBER(SEARCH("Chargable",$A369)),"2-Proposals Chargeable","3-Proposals Regular"),'Timesheet Raw'!$C$4:$C$8000,"*"&amp;$B369&amp;"*",'Timesheet Raw'!$L$4:$L$8000,"&gt;="&amp;MAX(U$5,DATE(2000+VALUE(RIGHT(TRIM($A369),2)),1,1)),'Timesheet Raw'!$L$4:$L$8000,"&lt;="&amp;MIN(U$6,DATE(2000+VALUE(RIGHT(TRIM($A369),2)),12,31))),SUMIFS('Timesheet Raw'!$P$4:$P$8000,'Timesheet Raw'!$B$4:$B$8000,TRIM($A369),'Timesheet Raw'!$C$4:$C$8000,"*"&amp;$B369&amp;"*",'Timesheet Raw'!$L$4:$L$8000,"&gt;="&amp;U$5,'Timesheet Raw'!$L$4:$L$8000,"&lt;="&amp;U$6)))/'Profit Plan'!$B$5)</f>
        <v>0</v>
      </c>
      <c r="V369" s="122">
        <f>IF($A369="","",(IF(ISNUMBER(SEARCH("Proposal",$A369)),SUMIFS('Timesheet Raw'!$P$4:$P$8000,'Timesheet Raw'!$A$4:$A$8000,IF(ISNUMBER(SEARCH("Chargable",$A369)),"2-Proposals Chargeable","3-Proposals Regular"),'Timesheet Raw'!$C$4:$C$8000,"*"&amp;$B369&amp;"*",'Timesheet Raw'!$L$4:$L$8000,"&gt;="&amp;MAX(V$5,DATE(2000+VALUE(RIGHT(TRIM($A369),2)),1,1)),'Timesheet Raw'!$L$4:$L$8000,"&lt;="&amp;MIN(V$6,DATE(2000+VALUE(RIGHT(TRIM($A369),2)),12,31))),SUMIFS('Timesheet Raw'!$P$4:$P$8000,'Timesheet Raw'!$B$4:$B$8000,TRIM($A369),'Timesheet Raw'!$C$4:$C$8000,"*"&amp;$B369&amp;"*",'Timesheet Raw'!$L$4:$L$8000,"&gt;="&amp;V$5,'Timesheet Raw'!$L$4:$L$8000,"&lt;="&amp;V$6)))/'Profit Plan'!$B$5)</f>
        <v>0</v>
      </c>
      <c r="W369" s="122">
        <f>IF($A369="","",(IF(ISNUMBER(SEARCH("Proposal",$A369)),SUMIFS('Timesheet Raw'!$P$4:$P$8000,'Timesheet Raw'!$A$4:$A$8000,IF(ISNUMBER(SEARCH("Chargable",$A369)),"2-Proposals Chargeable","3-Proposals Regular"),'Timesheet Raw'!$C$4:$C$8000,"*"&amp;$B369&amp;"*",'Timesheet Raw'!$L$4:$L$8000,"&gt;="&amp;MAX(W$5,DATE(2000+VALUE(RIGHT(TRIM($A369),2)),1,1)),'Timesheet Raw'!$L$4:$L$8000,"&lt;="&amp;MIN(W$6,DATE(2000+VALUE(RIGHT(TRIM($A369),2)),12,31))),SUMIFS('Timesheet Raw'!$P$4:$P$8000,'Timesheet Raw'!$B$4:$B$8000,TRIM($A369),'Timesheet Raw'!$C$4:$C$8000,"*"&amp;$B369&amp;"*",'Timesheet Raw'!$L$4:$L$8000,"&gt;="&amp;W$5,'Timesheet Raw'!$L$4:$L$8000,"&lt;="&amp;W$6)))/'Profit Plan'!$B$5)</f>
        <v>0</v>
      </c>
      <c r="X369" s="122">
        <f>IF($A369="","",(IF(ISNUMBER(SEARCH("Proposal",$A369)),SUMIFS('Timesheet Raw'!$P$4:$P$8000,'Timesheet Raw'!$A$4:$A$8000,IF(ISNUMBER(SEARCH("Chargable",$A369)),"2-Proposals Chargeable","3-Proposals Regular"),'Timesheet Raw'!$C$4:$C$8000,"*"&amp;$B369&amp;"*",'Timesheet Raw'!$L$4:$L$8000,"&gt;="&amp;MAX(X$5,DATE(2000+VALUE(RIGHT(TRIM($A369),2)),1,1)),'Timesheet Raw'!$L$4:$L$8000,"&lt;="&amp;MIN(X$6,DATE(2000+VALUE(RIGHT(TRIM($A369),2)),12,31))),SUMIFS('Timesheet Raw'!$P$4:$P$8000,'Timesheet Raw'!$B$4:$B$8000,TRIM($A369),'Timesheet Raw'!$C$4:$C$8000,"*"&amp;$B369&amp;"*",'Timesheet Raw'!$L$4:$L$8000,"&gt;="&amp;X$5,'Timesheet Raw'!$L$4:$L$8000,"&lt;="&amp;X$6)))/'Profit Plan'!$B$5)</f>
        <v>0</v>
      </c>
      <c r="Y369" s="118">
        <f t="shared" si="101"/>
        <v>0</v>
      </c>
    </row>
    <row r="370" spans="1:25" x14ac:dyDescent="0.3">
      <c r="A370" s="116" t="str">
        <f>IF(Inputs!$A41="","",Inputs!$A41)</f>
        <v>S24100-0100D</v>
      </c>
      <c r="B370" s="116" t="str">
        <f>IF(Inputs!$A41="","",Inputs!$A$91)</f>
        <v>Ahmed</v>
      </c>
      <c r="C370" s="116"/>
      <c r="D370" s="122">
        <f>IF($A370="","",(IF(ISNUMBER(SEARCH("Proposal",$A370)),SUMIFS('Timesheet Raw'!$P$4:$P$8000,'Timesheet Raw'!$A$4:$A$8000,IF(ISNUMBER(SEARCH("Chargable",$A370)),"2-Proposals Chargeable","3-Proposals Regular"),'Timesheet Raw'!$C$4:$C$8000,"*"&amp;$B370&amp;"*",'Timesheet Raw'!$L$4:$L$8000,"&gt;="&amp;MAX(D$5,DATE(2000+VALUE(RIGHT(TRIM($A370),2)),1,1)),'Timesheet Raw'!$L$4:$L$8000,"&lt;="&amp;MIN(D$6,DATE(2000+VALUE(RIGHT(TRIM($A370),2)),12,31))),SUMIFS('Timesheet Raw'!$P$4:$P$8000,'Timesheet Raw'!$B$4:$B$8000,TRIM($A370),'Timesheet Raw'!$C$4:$C$8000,"*"&amp;$B370&amp;"*",'Timesheet Raw'!$L$4:$L$8000,"&gt;="&amp;D$5,'Timesheet Raw'!$L$4:$L$8000,"&lt;="&amp;D$6)))/'Profit Plan'!$B$5)</f>
        <v>0</v>
      </c>
      <c r="E370" s="122">
        <f>IF($A370="","",(IF(ISNUMBER(SEARCH("Proposal",$A370)),SUMIFS('Timesheet Raw'!$P$4:$P$8000,'Timesheet Raw'!$A$4:$A$8000,IF(ISNUMBER(SEARCH("Chargable",$A370)),"2-Proposals Chargeable","3-Proposals Regular"),'Timesheet Raw'!$C$4:$C$8000,"*"&amp;$B370&amp;"*",'Timesheet Raw'!$L$4:$L$8000,"&gt;="&amp;MAX(E$5,DATE(2000+VALUE(RIGHT(TRIM($A370),2)),1,1)),'Timesheet Raw'!$L$4:$L$8000,"&lt;="&amp;MIN(E$6,DATE(2000+VALUE(RIGHT(TRIM($A370),2)),12,31))),SUMIFS('Timesheet Raw'!$P$4:$P$8000,'Timesheet Raw'!$B$4:$B$8000,TRIM($A370),'Timesheet Raw'!$C$4:$C$8000,"*"&amp;$B370&amp;"*",'Timesheet Raw'!$L$4:$L$8000,"&gt;="&amp;E$5,'Timesheet Raw'!$L$4:$L$8000,"&lt;="&amp;E$6)))/'Profit Plan'!$B$5)</f>
        <v>0</v>
      </c>
      <c r="F370" s="122">
        <f>IF($A370="","",(IF(ISNUMBER(SEARCH("Proposal",$A370)),SUMIFS('Timesheet Raw'!$P$4:$P$8000,'Timesheet Raw'!$A$4:$A$8000,IF(ISNUMBER(SEARCH("Chargable",$A370)),"2-Proposals Chargeable","3-Proposals Regular"),'Timesheet Raw'!$C$4:$C$8000,"*"&amp;$B370&amp;"*",'Timesheet Raw'!$L$4:$L$8000,"&gt;="&amp;MAX(F$5,DATE(2000+VALUE(RIGHT(TRIM($A370),2)),1,1)),'Timesheet Raw'!$L$4:$L$8000,"&lt;="&amp;MIN(F$6,DATE(2000+VALUE(RIGHT(TRIM($A370),2)),12,31))),SUMIFS('Timesheet Raw'!$P$4:$P$8000,'Timesheet Raw'!$B$4:$B$8000,TRIM($A370),'Timesheet Raw'!$C$4:$C$8000,"*"&amp;$B370&amp;"*",'Timesheet Raw'!$L$4:$L$8000,"&gt;="&amp;F$5,'Timesheet Raw'!$L$4:$L$8000,"&lt;="&amp;F$6)))/'Profit Plan'!$B$5)</f>
        <v>4.3243243243243246E-2</v>
      </c>
      <c r="G370" s="122">
        <f>IF($A370="","",(IF(ISNUMBER(SEARCH("Proposal",$A370)),SUMIFS('Timesheet Raw'!$P$4:$P$8000,'Timesheet Raw'!$A$4:$A$8000,IF(ISNUMBER(SEARCH("Chargable",$A370)),"2-Proposals Chargeable","3-Proposals Regular"),'Timesheet Raw'!$C$4:$C$8000,"*"&amp;$B370&amp;"*",'Timesheet Raw'!$L$4:$L$8000,"&gt;="&amp;MAX(G$5,DATE(2000+VALUE(RIGHT(TRIM($A370),2)),1,1)),'Timesheet Raw'!$L$4:$L$8000,"&lt;="&amp;MIN(G$6,DATE(2000+VALUE(RIGHT(TRIM($A370),2)),12,31))),SUMIFS('Timesheet Raw'!$P$4:$P$8000,'Timesheet Raw'!$B$4:$B$8000,TRIM($A370),'Timesheet Raw'!$C$4:$C$8000,"*"&amp;$B370&amp;"*",'Timesheet Raw'!$L$4:$L$8000,"&gt;="&amp;G$5,'Timesheet Raw'!$L$4:$L$8000,"&lt;="&amp;G$6)))/'Profit Plan'!$B$5)</f>
        <v>0.29864864864864865</v>
      </c>
      <c r="H370" s="122">
        <f>IF($A370="","",(IF(ISNUMBER(SEARCH("Proposal",$A370)),SUMIFS('Timesheet Raw'!$P$4:$P$8000,'Timesheet Raw'!$A$4:$A$8000,IF(ISNUMBER(SEARCH("Chargable",$A370)),"2-Proposals Chargeable","3-Proposals Regular"),'Timesheet Raw'!$C$4:$C$8000,"*"&amp;$B370&amp;"*",'Timesheet Raw'!$L$4:$L$8000,"&gt;="&amp;MAX(H$5,DATE(2000+VALUE(RIGHT(TRIM($A370),2)),1,1)),'Timesheet Raw'!$L$4:$L$8000,"&lt;="&amp;MIN(H$6,DATE(2000+VALUE(RIGHT(TRIM($A370),2)),12,31))),SUMIFS('Timesheet Raw'!$P$4:$P$8000,'Timesheet Raw'!$B$4:$B$8000,TRIM($A370),'Timesheet Raw'!$C$4:$C$8000,"*"&amp;$B370&amp;"*",'Timesheet Raw'!$L$4:$L$8000,"&gt;="&amp;H$5,'Timesheet Raw'!$L$4:$L$8000,"&lt;="&amp;H$6)))/'Profit Plan'!$B$5)</f>
        <v>0</v>
      </c>
      <c r="I370" s="122">
        <f>IF($A370="","",(IF(ISNUMBER(SEARCH("Proposal",$A370)),SUMIFS('Timesheet Raw'!$P$4:$P$8000,'Timesheet Raw'!$A$4:$A$8000,IF(ISNUMBER(SEARCH("Chargable",$A370)),"2-Proposals Chargeable","3-Proposals Regular"),'Timesheet Raw'!$C$4:$C$8000,"*"&amp;$B370&amp;"*",'Timesheet Raw'!$L$4:$L$8000,"&gt;="&amp;MAX(I$5,DATE(2000+VALUE(RIGHT(TRIM($A370),2)),1,1)),'Timesheet Raw'!$L$4:$L$8000,"&lt;="&amp;MIN(I$6,DATE(2000+VALUE(RIGHT(TRIM($A370),2)),12,31))),SUMIFS('Timesheet Raw'!$P$4:$P$8000,'Timesheet Raw'!$B$4:$B$8000,TRIM($A370),'Timesheet Raw'!$C$4:$C$8000,"*"&amp;$B370&amp;"*",'Timesheet Raw'!$L$4:$L$8000,"&gt;="&amp;I$5,'Timesheet Raw'!$L$4:$L$8000,"&lt;="&amp;I$6)))/'Profit Plan'!$B$5)</f>
        <v>0</v>
      </c>
      <c r="J370" s="122">
        <f>IF($A370="","",(IF(ISNUMBER(SEARCH("Proposal",$A370)),SUMIFS('Timesheet Raw'!$P$4:$P$8000,'Timesheet Raw'!$A$4:$A$8000,IF(ISNUMBER(SEARCH("Chargable",$A370)),"2-Proposals Chargeable","3-Proposals Regular"),'Timesheet Raw'!$C$4:$C$8000,"*"&amp;$B370&amp;"*",'Timesheet Raw'!$L$4:$L$8000,"&gt;="&amp;MAX(J$5,DATE(2000+VALUE(RIGHT(TRIM($A370),2)),1,1)),'Timesheet Raw'!$L$4:$L$8000,"&lt;="&amp;MIN(J$6,DATE(2000+VALUE(RIGHT(TRIM($A370),2)),12,31))),SUMIFS('Timesheet Raw'!$P$4:$P$8000,'Timesheet Raw'!$B$4:$B$8000,TRIM($A370),'Timesheet Raw'!$C$4:$C$8000,"*"&amp;$B370&amp;"*",'Timesheet Raw'!$L$4:$L$8000,"&gt;="&amp;J$5,'Timesheet Raw'!$L$4:$L$8000,"&lt;="&amp;J$6)))/'Profit Plan'!$B$5)</f>
        <v>0</v>
      </c>
      <c r="K370" s="122">
        <f>IF($A370="","",(IF(ISNUMBER(SEARCH("Proposal",$A370)),SUMIFS('Timesheet Raw'!$P$4:$P$8000,'Timesheet Raw'!$A$4:$A$8000,IF(ISNUMBER(SEARCH("Chargable",$A370)),"2-Proposals Chargeable","3-Proposals Regular"),'Timesheet Raw'!$C$4:$C$8000,"*"&amp;$B370&amp;"*",'Timesheet Raw'!$L$4:$L$8000,"&gt;="&amp;MAX(K$5,DATE(2000+VALUE(RIGHT(TRIM($A370),2)),1,1)),'Timesheet Raw'!$L$4:$L$8000,"&lt;="&amp;MIN(K$6,DATE(2000+VALUE(RIGHT(TRIM($A370),2)),12,31))),SUMIFS('Timesheet Raw'!$P$4:$P$8000,'Timesheet Raw'!$B$4:$B$8000,TRIM($A370),'Timesheet Raw'!$C$4:$C$8000,"*"&amp;$B370&amp;"*",'Timesheet Raw'!$L$4:$L$8000,"&gt;="&amp;K$5,'Timesheet Raw'!$L$4:$L$8000,"&lt;="&amp;K$6)))/'Profit Plan'!$B$5)</f>
        <v>0</v>
      </c>
      <c r="L370" s="122">
        <f>IF($A370="","",(IF(ISNUMBER(SEARCH("Proposal",$A370)),SUMIFS('Timesheet Raw'!$P$4:$P$8000,'Timesheet Raw'!$A$4:$A$8000,IF(ISNUMBER(SEARCH("Chargable",$A370)),"2-Proposals Chargeable","3-Proposals Regular"),'Timesheet Raw'!$C$4:$C$8000,"*"&amp;$B370&amp;"*",'Timesheet Raw'!$L$4:$L$8000,"&gt;="&amp;MAX(L$5,DATE(2000+VALUE(RIGHT(TRIM($A370),2)),1,1)),'Timesheet Raw'!$L$4:$L$8000,"&lt;="&amp;MIN(L$6,DATE(2000+VALUE(RIGHT(TRIM($A370),2)),12,31))),SUMIFS('Timesheet Raw'!$P$4:$P$8000,'Timesheet Raw'!$B$4:$B$8000,TRIM($A370),'Timesheet Raw'!$C$4:$C$8000,"*"&amp;$B370&amp;"*",'Timesheet Raw'!$L$4:$L$8000,"&gt;="&amp;L$5,'Timesheet Raw'!$L$4:$L$8000,"&lt;="&amp;L$6)))/'Profit Plan'!$B$5)</f>
        <v>0</v>
      </c>
      <c r="M370" s="122">
        <f>IF($A370="","",(IF(ISNUMBER(SEARCH("Proposal",$A370)),SUMIFS('Timesheet Raw'!$P$4:$P$8000,'Timesheet Raw'!$A$4:$A$8000,IF(ISNUMBER(SEARCH("Chargable",$A370)),"2-Proposals Chargeable","3-Proposals Regular"),'Timesheet Raw'!$C$4:$C$8000,"*"&amp;$B370&amp;"*",'Timesheet Raw'!$L$4:$L$8000,"&gt;="&amp;MAX(M$5,DATE(2000+VALUE(RIGHT(TRIM($A370),2)),1,1)),'Timesheet Raw'!$L$4:$L$8000,"&lt;="&amp;MIN(M$6,DATE(2000+VALUE(RIGHT(TRIM($A370),2)),12,31))),SUMIFS('Timesheet Raw'!$P$4:$P$8000,'Timesheet Raw'!$B$4:$B$8000,TRIM($A370),'Timesheet Raw'!$C$4:$C$8000,"*"&amp;$B370&amp;"*",'Timesheet Raw'!$L$4:$L$8000,"&gt;="&amp;M$5,'Timesheet Raw'!$L$4:$L$8000,"&lt;="&amp;M$6)))/'Profit Plan'!$B$5)</f>
        <v>0</v>
      </c>
      <c r="N370" s="122">
        <f>IF($A370="","",(IF(ISNUMBER(SEARCH("Proposal",$A370)),SUMIFS('Timesheet Raw'!$P$4:$P$8000,'Timesheet Raw'!$A$4:$A$8000,IF(ISNUMBER(SEARCH("Chargable",$A370)),"2-Proposals Chargeable","3-Proposals Regular"),'Timesheet Raw'!$C$4:$C$8000,"*"&amp;$B370&amp;"*",'Timesheet Raw'!$L$4:$L$8000,"&gt;="&amp;MAX(N$5,DATE(2000+VALUE(RIGHT(TRIM($A370),2)),1,1)),'Timesheet Raw'!$L$4:$L$8000,"&lt;="&amp;MIN(N$6,DATE(2000+VALUE(RIGHT(TRIM($A370),2)),12,31))),SUMIFS('Timesheet Raw'!$P$4:$P$8000,'Timesheet Raw'!$B$4:$B$8000,TRIM($A370),'Timesheet Raw'!$C$4:$C$8000,"*"&amp;$B370&amp;"*",'Timesheet Raw'!$L$4:$L$8000,"&gt;="&amp;N$5,'Timesheet Raw'!$L$4:$L$8000,"&lt;="&amp;N$6)))/'Profit Plan'!$B$5)</f>
        <v>0</v>
      </c>
      <c r="O370" s="122">
        <f>IF($A370="","",(IF(ISNUMBER(SEARCH("Proposal",$A370)),SUMIFS('Timesheet Raw'!$P$4:$P$8000,'Timesheet Raw'!$A$4:$A$8000,IF(ISNUMBER(SEARCH("Chargable",$A370)),"2-Proposals Chargeable","3-Proposals Regular"),'Timesheet Raw'!$C$4:$C$8000,"*"&amp;$B370&amp;"*",'Timesheet Raw'!$L$4:$L$8000,"&gt;="&amp;MAX(O$5,DATE(2000+VALUE(RIGHT(TRIM($A370),2)),1,1)),'Timesheet Raw'!$L$4:$L$8000,"&lt;="&amp;MIN(O$6,DATE(2000+VALUE(RIGHT(TRIM($A370),2)),12,31))),SUMIFS('Timesheet Raw'!$P$4:$P$8000,'Timesheet Raw'!$B$4:$B$8000,TRIM($A370),'Timesheet Raw'!$C$4:$C$8000,"*"&amp;$B370&amp;"*",'Timesheet Raw'!$L$4:$L$8000,"&gt;="&amp;O$5,'Timesheet Raw'!$L$4:$L$8000,"&lt;="&amp;O$6)))/'Profit Plan'!$B$5)</f>
        <v>0</v>
      </c>
      <c r="P370" s="122">
        <f>IF($A370="","",(IF(ISNUMBER(SEARCH("Proposal",$A370)),SUMIFS('Timesheet Raw'!$P$4:$P$8000,'Timesheet Raw'!$A$4:$A$8000,IF(ISNUMBER(SEARCH("Chargable",$A370)),"2-Proposals Chargeable","3-Proposals Regular"),'Timesheet Raw'!$C$4:$C$8000,"*"&amp;$B370&amp;"*",'Timesheet Raw'!$L$4:$L$8000,"&gt;="&amp;MAX(P$5,DATE(2000+VALUE(RIGHT(TRIM($A370),2)),1,1)),'Timesheet Raw'!$L$4:$L$8000,"&lt;="&amp;MIN(P$6,DATE(2000+VALUE(RIGHT(TRIM($A370),2)),12,31))),SUMIFS('Timesheet Raw'!$P$4:$P$8000,'Timesheet Raw'!$B$4:$B$8000,TRIM($A370),'Timesheet Raw'!$C$4:$C$8000,"*"&amp;$B370&amp;"*",'Timesheet Raw'!$L$4:$L$8000,"&gt;="&amp;P$5,'Timesheet Raw'!$L$4:$L$8000,"&lt;="&amp;P$6)))/'Profit Plan'!$B$5)</f>
        <v>0</v>
      </c>
      <c r="Q370" s="122">
        <f>IF($A370="","",(IF(ISNUMBER(SEARCH("Proposal",$A370)),SUMIFS('Timesheet Raw'!$P$4:$P$8000,'Timesheet Raw'!$A$4:$A$8000,IF(ISNUMBER(SEARCH("Chargable",$A370)),"2-Proposals Chargeable","3-Proposals Regular"),'Timesheet Raw'!$C$4:$C$8000,"*"&amp;$B370&amp;"*",'Timesheet Raw'!$L$4:$L$8000,"&gt;="&amp;MAX(Q$5,DATE(2000+VALUE(RIGHT(TRIM($A370),2)),1,1)),'Timesheet Raw'!$L$4:$L$8000,"&lt;="&amp;MIN(Q$6,DATE(2000+VALUE(RIGHT(TRIM($A370),2)),12,31))),SUMIFS('Timesheet Raw'!$P$4:$P$8000,'Timesheet Raw'!$B$4:$B$8000,TRIM($A370),'Timesheet Raw'!$C$4:$C$8000,"*"&amp;$B370&amp;"*",'Timesheet Raw'!$L$4:$L$8000,"&gt;="&amp;Q$5,'Timesheet Raw'!$L$4:$L$8000,"&lt;="&amp;Q$6)))/'Profit Plan'!$B$5)</f>
        <v>0</v>
      </c>
      <c r="R370" s="122">
        <f>IF($A370="","",(IF(ISNUMBER(SEARCH("Proposal",$A370)),SUMIFS('Timesheet Raw'!$P$4:$P$8000,'Timesheet Raw'!$A$4:$A$8000,IF(ISNUMBER(SEARCH("Chargable",$A370)),"2-Proposals Chargeable","3-Proposals Regular"),'Timesheet Raw'!$C$4:$C$8000,"*"&amp;$B370&amp;"*",'Timesheet Raw'!$L$4:$L$8000,"&gt;="&amp;MAX(R$5,DATE(2000+VALUE(RIGHT(TRIM($A370),2)),1,1)),'Timesheet Raw'!$L$4:$L$8000,"&lt;="&amp;MIN(R$6,DATE(2000+VALUE(RIGHT(TRIM($A370),2)),12,31))),SUMIFS('Timesheet Raw'!$P$4:$P$8000,'Timesheet Raw'!$B$4:$B$8000,TRIM($A370),'Timesheet Raw'!$C$4:$C$8000,"*"&amp;$B370&amp;"*",'Timesheet Raw'!$L$4:$L$8000,"&gt;="&amp;R$5,'Timesheet Raw'!$L$4:$L$8000,"&lt;="&amp;R$6)))/'Profit Plan'!$B$5)</f>
        <v>0</v>
      </c>
      <c r="S370" s="122">
        <f>IF($A370="","",(IF(ISNUMBER(SEARCH("Proposal",$A370)),SUMIFS('Timesheet Raw'!$P$4:$P$8000,'Timesheet Raw'!$A$4:$A$8000,IF(ISNUMBER(SEARCH("Chargable",$A370)),"2-Proposals Chargeable","3-Proposals Regular"),'Timesheet Raw'!$C$4:$C$8000,"*"&amp;$B370&amp;"*",'Timesheet Raw'!$L$4:$L$8000,"&gt;="&amp;MAX(S$5,DATE(2000+VALUE(RIGHT(TRIM($A370),2)),1,1)),'Timesheet Raw'!$L$4:$L$8000,"&lt;="&amp;MIN(S$6,DATE(2000+VALUE(RIGHT(TRIM($A370),2)),12,31))),SUMIFS('Timesheet Raw'!$P$4:$P$8000,'Timesheet Raw'!$B$4:$B$8000,TRIM($A370),'Timesheet Raw'!$C$4:$C$8000,"*"&amp;$B370&amp;"*",'Timesheet Raw'!$L$4:$L$8000,"&gt;="&amp;S$5,'Timesheet Raw'!$L$4:$L$8000,"&lt;="&amp;S$6)))/'Profit Plan'!$B$5)</f>
        <v>0</v>
      </c>
      <c r="T370" s="122">
        <f>IF($A370="","",(IF(ISNUMBER(SEARCH("Proposal",$A370)),SUMIFS('Timesheet Raw'!$P$4:$P$8000,'Timesheet Raw'!$A$4:$A$8000,IF(ISNUMBER(SEARCH("Chargable",$A370)),"2-Proposals Chargeable","3-Proposals Regular"),'Timesheet Raw'!$C$4:$C$8000,"*"&amp;$B370&amp;"*",'Timesheet Raw'!$L$4:$L$8000,"&gt;="&amp;MAX(T$5,DATE(2000+VALUE(RIGHT(TRIM($A370),2)),1,1)),'Timesheet Raw'!$L$4:$L$8000,"&lt;="&amp;MIN(T$6,DATE(2000+VALUE(RIGHT(TRIM($A370),2)),12,31))),SUMIFS('Timesheet Raw'!$P$4:$P$8000,'Timesheet Raw'!$B$4:$B$8000,TRIM($A370),'Timesheet Raw'!$C$4:$C$8000,"*"&amp;$B370&amp;"*",'Timesheet Raw'!$L$4:$L$8000,"&gt;="&amp;T$5,'Timesheet Raw'!$L$4:$L$8000,"&lt;="&amp;T$6)))/'Profit Plan'!$B$5)</f>
        <v>0</v>
      </c>
      <c r="U370" s="122">
        <f>IF($A370="","",(IF(ISNUMBER(SEARCH("Proposal",$A370)),SUMIFS('Timesheet Raw'!$P$4:$P$8000,'Timesheet Raw'!$A$4:$A$8000,IF(ISNUMBER(SEARCH("Chargable",$A370)),"2-Proposals Chargeable","3-Proposals Regular"),'Timesheet Raw'!$C$4:$C$8000,"*"&amp;$B370&amp;"*",'Timesheet Raw'!$L$4:$L$8000,"&gt;="&amp;MAX(U$5,DATE(2000+VALUE(RIGHT(TRIM($A370),2)),1,1)),'Timesheet Raw'!$L$4:$L$8000,"&lt;="&amp;MIN(U$6,DATE(2000+VALUE(RIGHT(TRIM($A370),2)),12,31))),SUMIFS('Timesheet Raw'!$P$4:$P$8000,'Timesheet Raw'!$B$4:$B$8000,TRIM($A370),'Timesheet Raw'!$C$4:$C$8000,"*"&amp;$B370&amp;"*",'Timesheet Raw'!$L$4:$L$8000,"&gt;="&amp;U$5,'Timesheet Raw'!$L$4:$L$8000,"&lt;="&amp;U$6)))/'Profit Plan'!$B$5)</f>
        <v>0</v>
      </c>
      <c r="V370" s="122">
        <f>IF($A370="","",(IF(ISNUMBER(SEARCH("Proposal",$A370)),SUMIFS('Timesheet Raw'!$P$4:$P$8000,'Timesheet Raw'!$A$4:$A$8000,IF(ISNUMBER(SEARCH("Chargable",$A370)),"2-Proposals Chargeable","3-Proposals Regular"),'Timesheet Raw'!$C$4:$C$8000,"*"&amp;$B370&amp;"*",'Timesheet Raw'!$L$4:$L$8000,"&gt;="&amp;MAX(V$5,DATE(2000+VALUE(RIGHT(TRIM($A370),2)),1,1)),'Timesheet Raw'!$L$4:$L$8000,"&lt;="&amp;MIN(V$6,DATE(2000+VALUE(RIGHT(TRIM($A370),2)),12,31))),SUMIFS('Timesheet Raw'!$P$4:$P$8000,'Timesheet Raw'!$B$4:$B$8000,TRIM($A370),'Timesheet Raw'!$C$4:$C$8000,"*"&amp;$B370&amp;"*",'Timesheet Raw'!$L$4:$L$8000,"&gt;="&amp;V$5,'Timesheet Raw'!$L$4:$L$8000,"&lt;="&amp;V$6)))/'Profit Plan'!$B$5)</f>
        <v>0</v>
      </c>
      <c r="W370" s="122">
        <f>IF($A370="","",(IF(ISNUMBER(SEARCH("Proposal",$A370)),SUMIFS('Timesheet Raw'!$P$4:$P$8000,'Timesheet Raw'!$A$4:$A$8000,IF(ISNUMBER(SEARCH("Chargable",$A370)),"2-Proposals Chargeable","3-Proposals Regular"),'Timesheet Raw'!$C$4:$C$8000,"*"&amp;$B370&amp;"*",'Timesheet Raw'!$L$4:$L$8000,"&gt;="&amp;MAX(W$5,DATE(2000+VALUE(RIGHT(TRIM($A370),2)),1,1)),'Timesheet Raw'!$L$4:$L$8000,"&lt;="&amp;MIN(W$6,DATE(2000+VALUE(RIGHT(TRIM($A370),2)),12,31))),SUMIFS('Timesheet Raw'!$P$4:$P$8000,'Timesheet Raw'!$B$4:$B$8000,TRIM($A370),'Timesheet Raw'!$C$4:$C$8000,"*"&amp;$B370&amp;"*",'Timesheet Raw'!$L$4:$L$8000,"&gt;="&amp;W$5,'Timesheet Raw'!$L$4:$L$8000,"&lt;="&amp;W$6)))/'Profit Plan'!$B$5)</f>
        <v>0</v>
      </c>
      <c r="X370" s="122">
        <f>IF($A370="","",(IF(ISNUMBER(SEARCH("Proposal",$A370)),SUMIFS('Timesheet Raw'!$P$4:$P$8000,'Timesheet Raw'!$A$4:$A$8000,IF(ISNUMBER(SEARCH("Chargable",$A370)),"2-Proposals Chargeable","3-Proposals Regular"),'Timesheet Raw'!$C$4:$C$8000,"*"&amp;$B370&amp;"*",'Timesheet Raw'!$L$4:$L$8000,"&gt;="&amp;MAX(X$5,DATE(2000+VALUE(RIGHT(TRIM($A370),2)),1,1)),'Timesheet Raw'!$L$4:$L$8000,"&lt;="&amp;MIN(X$6,DATE(2000+VALUE(RIGHT(TRIM($A370),2)),12,31))),SUMIFS('Timesheet Raw'!$P$4:$P$8000,'Timesheet Raw'!$B$4:$B$8000,TRIM($A370),'Timesheet Raw'!$C$4:$C$8000,"*"&amp;$B370&amp;"*",'Timesheet Raw'!$L$4:$L$8000,"&gt;="&amp;X$5,'Timesheet Raw'!$L$4:$L$8000,"&lt;="&amp;X$6)))/'Profit Plan'!$B$5)</f>
        <v>0</v>
      </c>
      <c r="Y370" s="118">
        <f t="shared" si="101"/>
        <v>0.3418918918918919</v>
      </c>
    </row>
    <row r="371" spans="1:25" x14ac:dyDescent="0.3">
      <c r="A371" s="116" t="str">
        <f>IF(Inputs!$A41="","",Inputs!$A41)</f>
        <v>S24100-0100D</v>
      </c>
      <c r="B371" s="116" t="str">
        <f>IF(Inputs!$A41="","",Inputs!$A$92)</f>
        <v>Osama</v>
      </c>
      <c r="C371" s="116"/>
      <c r="D371" s="122">
        <f>IF($A371="","",(IF(ISNUMBER(SEARCH("Proposal",$A371)),SUMIFS('Timesheet Raw'!$P$4:$P$8000,'Timesheet Raw'!$A$4:$A$8000,IF(ISNUMBER(SEARCH("Chargable",$A371)),"2-Proposals Chargeable","3-Proposals Regular"),'Timesheet Raw'!$C$4:$C$8000,"*"&amp;$B371&amp;"*",'Timesheet Raw'!$L$4:$L$8000,"&gt;="&amp;MAX(D$5,DATE(2000+VALUE(RIGHT(TRIM($A371),2)),1,1)),'Timesheet Raw'!$L$4:$L$8000,"&lt;="&amp;MIN(D$6,DATE(2000+VALUE(RIGHT(TRIM($A371),2)),12,31))),SUMIFS('Timesheet Raw'!$P$4:$P$8000,'Timesheet Raw'!$B$4:$B$8000,TRIM($A371),'Timesheet Raw'!$C$4:$C$8000,"*"&amp;$B371&amp;"*",'Timesheet Raw'!$L$4:$L$8000,"&gt;="&amp;D$5,'Timesheet Raw'!$L$4:$L$8000,"&lt;="&amp;D$6)))/'Profit Plan'!$B$5)</f>
        <v>0</v>
      </c>
      <c r="E371" s="122">
        <f>IF($A371="","",(IF(ISNUMBER(SEARCH("Proposal",$A371)),SUMIFS('Timesheet Raw'!$P$4:$P$8000,'Timesheet Raw'!$A$4:$A$8000,IF(ISNUMBER(SEARCH("Chargable",$A371)),"2-Proposals Chargeable","3-Proposals Regular"),'Timesheet Raw'!$C$4:$C$8000,"*"&amp;$B371&amp;"*",'Timesheet Raw'!$L$4:$L$8000,"&gt;="&amp;MAX(E$5,DATE(2000+VALUE(RIGHT(TRIM($A371),2)),1,1)),'Timesheet Raw'!$L$4:$L$8000,"&lt;="&amp;MIN(E$6,DATE(2000+VALUE(RIGHT(TRIM($A371),2)),12,31))),SUMIFS('Timesheet Raw'!$P$4:$P$8000,'Timesheet Raw'!$B$4:$B$8000,TRIM($A371),'Timesheet Raw'!$C$4:$C$8000,"*"&amp;$B371&amp;"*",'Timesheet Raw'!$L$4:$L$8000,"&gt;="&amp;E$5,'Timesheet Raw'!$L$4:$L$8000,"&lt;="&amp;E$6)))/'Profit Plan'!$B$5)</f>
        <v>0</v>
      </c>
      <c r="F371" s="122">
        <f>IF($A371="","",(IF(ISNUMBER(SEARCH("Proposal",$A371)),SUMIFS('Timesheet Raw'!$P$4:$P$8000,'Timesheet Raw'!$A$4:$A$8000,IF(ISNUMBER(SEARCH("Chargable",$A371)),"2-Proposals Chargeable","3-Proposals Regular"),'Timesheet Raw'!$C$4:$C$8000,"*"&amp;$B371&amp;"*",'Timesheet Raw'!$L$4:$L$8000,"&gt;="&amp;MAX(F$5,DATE(2000+VALUE(RIGHT(TRIM($A371),2)),1,1)),'Timesheet Raw'!$L$4:$L$8000,"&lt;="&amp;MIN(F$6,DATE(2000+VALUE(RIGHT(TRIM($A371),2)),12,31))),SUMIFS('Timesheet Raw'!$P$4:$P$8000,'Timesheet Raw'!$B$4:$B$8000,TRIM($A371),'Timesheet Raw'!$C$4:$C$8000,"*"&amp;$B371&amp;"*",'Timesheet Raw'!$L$4:$L$8000,"&gt;="&amp;F$5,'Timesheet Raw'!$L$4:$L$8000,"&lt;="&amp;F$6)))/'Profit Plan'!$B$5)</f>
        <v>0.14054054054054055</v>
      </c>
      <c r="G371" s="122">
        <f>IF($A371="","",(IF(ISNUMBER(SEARCH("Proposal",$A371)),SUMIFS('Timesheet Raw'!$P$4:$P$8000,'Timesheet Raw'!$A$4:$A$8000,IF(ISNUMBER(SEARCH("Chargable",$A371)),"2-Proposals Chargeable","3-Proposals Regular"),'Timesheet Raw'!$C$4:$C$8000,"*"&amp;$B371&amp;"*",'Timesheet Raw'!$L$4:$L$8000,"&gt;="&amp;MAX(G$5,DATE(2000+VALUE(RIGHT(TRIM($A371),2)),1,1)),'Timesheet Raw'!$L$4:$L$8000,"&lt;="&amp;MIN(G$6,DATE(2000+VALUE(RIGHT(TRIM($A371),2)),12,31))),SUMIFS('Timesheet Raw'!$P$4:$P$8000,'Timesheet Raw'!$B$4:$B$8000,TRIM($A371),'Timesheet Raw'!$C$4:$C$8000,"*"&amp;$B371&amp;"*",'Timesheet Raw'!$L$4:$L$8000,"&gt;="&amp;G$5,'Timesheet Raw'!$L$4:$L$8000,"&lt;="&amp;G$6)))/'Profit Plan'!$B$5)</f>
        <v>0</v>
      </c>
      <c r="H371" s="122">
        <f>IF($A371="","",(IF(ISNUMBER(SEARCH("Proposal",$A371)),SUMIFS('Timesheet Raw'!$P$4:$P$8000,'Timesheet Raw'!$A$4:$A$8000,IF(ISNUMBER(SEARCH("Chargable",$A371)),"2-Proposals Chargeable","3-Proposals Regular"),'Timesheet Raw'!$C$4:$C$8000,"*"&amp;$B371&amp;"*",'Timesheet Raw'!$L$4:$L$8000,"&gt;="&amp;MAX(H$5,DATE(2000+VALUE(RIGHT(TRIM($A371),2)),1,1)),'Timesheet Raw'!$L$4:$L$8000,"&lt;="&amp;MIN(H$6,DATE(2000+VALUE(RIGHT(TRIM($A371),2)),12,31))),SUMIFS('Timesheet Raw'!$P$4:$P$8000,'Timesheet Raw'!$B$4:$B$8000,TRIM($A371),'Timesheet Raw'!$C$4:$C$8000,"*"&amp;$B371&amp;"*",'Timesheet Raw'!$L$4:$L$8000,"&gt;="&amp;H$5,'Timesheet Raw'!$L$4:$L$8000,"&lt;="&amp;H$6)))/'Profit Plan'!$B$5)</f>
        <v>7.4324324324324328E-2</v>
      </c>
      <c r="I371" s="122">
        <f>IF($A371="","",(IF(ISNUMBER(SEARCH("Proposal",$A371)),SUMIFS('Timesheet Raw'!$P$4:$P$8000,'Timesheet Raw'!$A$4:$A$8000,IF(ISNUMBER(SEARCH("Chargable",$A371)),"2-Proposals Chargeable","3-Proposals Regular"),'Timesheet Raw'!$C$4:$C$8000,"*"&amp;$B371&amp;"*",'Timesheet Raw'!$L$4:$L$8000,"&gt;="&amp;MAX(I$5,DATE(2000+VALUE(RIGHT(TRIM($A371),2)),1,1)),'Timesheet Raw'!$L$4:$L$8000,"&lt;="&amp;MIN(I$6,DATE(2000+VALUE(RIGHT(TRIM($A371),2)),12,31))),SUMIFS('Timesheet Raw'!$P$4:$P$8000,'Timesheet Raw'!$B$4:$B$8000,TRIM($A371),'Timesheet Raw'!$C$4:$C$8000,"*"&amp;$B371&amp;"*",'Timesheet Raw'!$L$4:$L$8000,"&gt;="&amp;I$5,'Timesheet Raw'!$L$4:$L$8000,"&lt;="&amp;I$6)))/'Profit Plan'!$B$5)</f>
        <v>0</v>
      </c>
      <c r="J371" s="122">
        <f>IF($A371="","",(IF(ISNUMBER(SEARCH("Proposal",$A371)),SUMIFS('Timesheet Raw'!$P$4:$P$8000,'Timesheet Raw'!$A$4:$A$8000,IF(ISNUMBER(SEARCH("Chargable",$A371)),"2-Proposals Chargeable","3-Proposals Regular"),'Timesheet Raw'!$C$4:$C$8000,"*"&amp;$B371&amp;"*",'Timesheet Raw'!$L$4:$L$8000,"&gt;="&amp;MAX(J$5,DATE(2000+VALUE(RIGHT(TRIM($A371),2)),1,1)),'Timesheet Raw'!$L$4:$L$8000,"&lt;="&amp;MIN(J$6,DATE(2000+VALUE(RIGHT(TRIM($A371),2)),12,31))),SUMIFS('Timesheet Raw'!$P$4:$P$8000,'Timesheet Raw'!$B$4:$B$8000,TRIM($A371),'Timesheet Raw'!$C$4:$C$8000,"*"&amp;$B371&amp;"*",'Timesheet Raw'!$L$4:$L$8000,"&gt;="&amp;J$5,'Timesheet Raw'!$L$4:$L$8000,"&lt;="&amp;J$6)))/'Profit Plan'!$B$5)</f>
        <v>0</v>
      </c>
      <c r="K371" s="122">
        <f>IF($A371="","",(IF(ISNUMBER(SEARCH("Proposal",$A371)),SUMIFS('Timesheet Raw'!$P$4:$P$8000,'Timesheet Raw'!$A$4:$A$8000,IF(ISNUMBER(SEARCH("Chargable",$A371)),"2-Proposals Chargeable","3-Proposals Regular"),'Timesheet Raw'!$C$4:$C$8000,"*"&amp;$B371&amp;"*",'Timesheet Raw'!$L$4:$L$8000,"&gt;="&amp;MAX(K$5,DATE(2000+VALUE(RIGHT(TRIM($A371),2)),1,1)),'Timesheet Raw'!$L$4:$L$8000,"&lt;="&amp;MIN(K$6,DATE(2000+VALUE(RIGHT(TRIM($A371),2)),12,31))),SUMIFS('Timesheet Raw'!$P$4:$P$8000,'Timesheet Raw'!$B$4:$B$8000,TRIM($A371),'Timesheet Raw'!$C$4:$C$8000,"*"&amp;$B371&amp;"*",'Timesheet Raw'!$L$4:$L$8000,"&gt;="&amp;K$5,'Timesheet Raw'!$L$4:$L$8000,"&lt;="&amp;K$6)))/'Profit Plan'!$B$5)</f>
        <v>0</v>
      </c>
      <c r="L371" s="122">
        <f>IF($A371="","",(IF(ISNUMBER(SEARCH("Proposal",$A371)),SUMIFS('Timesheet Raw'!$P$4:$P$8000,'Timesheet Raw'!$A$4:$A$8000,IF(ISNUMBER(SEARCH("Chargable",$A371)),"2-Proposals Chargeable","3-Proposals Regular"),'Timesheet Raw'!$C$4:$C$8000,"*"&amp;$B371&amp;"*",'Timesheet Raw'!$L$4:$L$8000,"&gt;="&amp;MAX(L$5,DATE(2000+VALUE(RIGHT(TRIM($A371),2)),1,1)),'Timesheet Raw'!$L$4:$L$8000,"&lt;="&amp;MIN(L$6,DATE(2000+VALUE(RIGHT(TRIM($A371),2)),12,31))),SUMIFS('Timesheet Raw'!$P$4:$P$8000,'Timesheet Raw'!$B$4:$B$8000,TRIM($A371),'Timesheet Raw'!$C$4:$C$8000,"*"&amp;$B371&amp;"*",'Timesheet Raw'!$L$4:$L$8000,"&gt;="&amp;L$5,'Timesheet Raw'!$L$4:$L$8000,"&lt;="&amp;L$6)))/'Profit Plan'!$B$5)</f>
        <v>0</v>
      </c>
      <c r="M371" s="122">
        <f>IF($A371="","",(IF(ISNUMBER(SEARCH("Proposal",$A371)),SUMIFS('Timesheet Raw'!$P$4:$P$8000,'Timesheet Raw'!$A$4:$A$8000,IF(ISNUMBER(SEARCH("Chargable",$A371)),"2-Proposals Chargeable","3-Proposals Regular"),'Timesheet Raw'!$C$4:$C$8000,"*"&amp;$B371&amp;"*",'Timesheet Raw'!$L$4:$L$8000,"&gt;="&amp;MAX(M$5,DATE(2000+VALUE(RIGHT(TRIM($A371),2)),1,1)),'Timesheet Raw'!$L$4:$L$8000,"&lt;="&amp;MIN(M$6,DATE(2000+VALUE(RIGHT(TRIM($A371),2)),12,31))),SUMIFS('Timesheet Raw'!$P$4:$P$8000,'Timesheet Raw'!$B$4:$B$8000,TRIM($A371),'Timesheet Raw'!$C$4:$C$8000,"*"&amp;$B371&amp;"*",'Timesheet Raw'!$L$4:$L$8000,"&gt;="&amp;M$5,'Timesheet Raw'!$L$4:$L$8000,"&lt;="&amp;M$6)))/'Profit Plan'!$B$5)</f>
        <v>0</v>
      </c>
      <c r="N371" s="122">
        <f>IF($A371="","",(IF(ISNUMBER(SEARCH("Proposal",$A371)),SUMIFS('Timesheet Raw'!$P$4:$P$8000,'Timesheet Raw'!$A$4:$A$8000,IF(ISNUMBER(SEARCH("Chargable",$A371)),"2-Proposals Chargeable","3-Proposals Regular"),'Timesheet Raw'!$C$4:$C$8000,"*"&amp;$B371&amp;"*",'Timesheet Raw'!$L$4:$L$8000,"&gt;="&amp;MAX(N$5,DATE(2000+VALUE(RIGHT(TRIM($A371),2)),1,1)),'Timesheet Raw'!$L$4:$L$8000,"&lt;="&amp;MIN(N$6,DATE(2000+VALUE(RIGHT(TRIM($A371),2)),12,31))),SUMIFS('Timesheet Raw'!$P$4:$P$8000,'Timesheet Raw'!$B$4:$B$8000,TRIM($A371),'Timesheet Raw'!$C$4:$C$8000,"*"&amp;$B371&amp;"*",'Timesheet Raw'!$L$4:$L$8000,"&gt;="&amp;N$5,'Timesheet Raw'!$L$4:$L$8000,"&lt;="&amp;N$6)))/'Profit Plan'!$B$5)</f>
        <v>0</v>
      </c>
      <c r="O371" s="122">
        <f>IF($A371="","",(IF(ISNUMBER(SEARCH("Proposal",$A371)),SUMIFS('Timesheet Raw'!$P$4:$P$8000,'Timesheet Raw'!$A$4:$A$8000,IF(ISNUMBER(SEARCH("Chargable",$A371)),"2-Proposals Chargeable","3-Proposals Regular"),'Timesheet Raw'!$C$4:$C$8000,"*"&amp;$B371&amp;"*",'Timesheet Raw'!$L$4:$L$8000,"&gt;="&amp;MAX(O$5,DATE(2000+VALUE(RIGHT(TRIM($A371),2)),1,1)),'Timesheet Raw'!$L$4:$L$8000,"&lt;="&amp;MIN(O$6,DATE(2000+VALUE(RIGHT(TRIM($A371),2)),12,31))),SUMIFS('Timesheet Raw'!$P$4:$P$8000,'Timesheet Raw'!$B$4:$B$8000,TRIM($A371),'Timesheet Raw'!$C$4:$C$8000,"*"&amp;$B371&amp;"*",'Timesheet Raw'!$L$4:$L$8000,"&gt;="&amp;O$5,'Timesheet Raw'!$L$4:$L$8000,"&lt;="&amp;O$6)))/'Profit Plan'!$B$5)</f>
        <v>0</v>
      </c>
      <c r="P371" s="122">
        <f>IF($A371="","",(IF(ISNUMBER(SEARCH("Proposal",$A371)),SUMIFS('Timesheet Raw'!$P$4:$P$8000,'Timesheet Raw'!$A$4:$A$8000,IF(ISNUMBER(SEARCH("Chargable",$A371)),"2-Proposals Chargeable","3-Proposals Regular"),'Timesheet Raw'!$C$4:$C$8000,"*"&amp;$B371&amp;"*",'Timesheet Raw'!$L$4:$L$8000,"&gt;="&amp;MAX(P$5,DATE(2000+VALUE(RIGHT(TRIM($A371),2)),1,1)),'Timesheet Raw'!$L$4:$L$8000,"&lt;="&amp;MIN(P$6,DATE(2000+VALUE(RIGHT(TRIM($A371),2)),12,31))),SUMIFS('Timesheet Raw'!$P$4:$P$8000,'Timesheet Raw'!$B$4:$B$8000,TRIM($A371),'Timesheet Raw'!$C$4:$C$8000,"*"&amp;$B371&amp;"*",'Timesheet Raw'!$L$4:$L$8000,"&gt;="&amp;P$5,'Timesheet Raw'!$L$4:$L$8000,"&lt;="&amp;P$6)))/'Profit Plan'!$B$5)</f>
        <v>0</v>
      </c>
      <c r="Q371" s="122">
        <f>IF($A371="","",(IF(ISNUMBER(SEARCH("Proposal",$A371)),SUMIFS('Timesheet Raw'!$P$4:$P$8000,'Timesheet Raw'!$A$4:$A$8000,IF(ISNUMBER(SEARCH("Chargable",$A371)),"2-Proposals Chargeable","3-Proposals Regular"),'Timesheet Raw'!$C$4:$C$8000,"*"&amp;$B371&amp;"*",'Timesheet Raw'!$L$4:$L$8000,"&gt;="&amp;MAX(Q$5,DATE(2000+VALUE(RIGHT(TRIM($A371),2)),1,1)),'Timesheet Raw'!$L$4:$L$8000,"&lt;="&amp;MIN(Q$6,DATE(2000+VALUE(RIGHT(TRIM($A371),2)),12,31))),SUMIFS('Timesheet Raw'!$P$4:$P$8000,'Timesheet Raw'!$B$4:$B$8000,TRIM($A371),'Timesheet Raw'!$C$4:$C$8000,"*"&amp;$B371&amp;"*",'Timesheet Raw'!$L$4:$L$8000,"&gt;="&amp;Q$5,'Timesheet Raw'!$L$4:$L$8000,"&lt;="&amp;Q$6)))/'Profit Plan'!$B$5)</f>
        <v>0</v>
      </c>
      <c r="R371" s="122">
        <f>IF($A371="","",(IF(ISNUMBER(SEARCH("Proposal",$A371)),SUMIFS('Timesheet Raw'!$P$4:$P$8000,'Timesheet Raw'!$A$4:$A$8000,IF(ISNUMBER(SEARCH("Chargable",$A371)),"2-Proposals Chargeable","3-Proposals Regular"),'Timesheet Raw'!$C$4:$C$8000,"*"&amp;$B371&amp;"*",'Timesheet Raw'!$L$4:$L$8000,"&gt;="&amp;MAX(R$5,DATE(2000+VALUE(RIGHT(TRIM($A371),2)),1,1)),'Timesheet Raw'!$L$4:$L$8000,"&lt;="&amp;MIN(R$6,DATE(2000+VALUE(RIGHT(TRIM($A371),2)),12,31))),SUMIFS('Timesheet Raw'!$P$4:$P$8000,'Timesheet Raw'!$B$4:$B$8000,TRIM($A371),'Timesheet Raw'!$C$4:$C$8000,"*"&amp;$B371&amp;"*",'Timesheet Raw'!$L$4:$L$8000,"&gt;="&amp;R$5,'Timesheet Raw'!$L$4:$L$8000,"&lt;="&amp;R$6)))/'Profit Plan'!$B$5)</f>
        <v>0</v>
      </c>
      <c r="S371" s="122">
        <f>IF($A371="","",(IF(ISNUMBER(SEARCH("Proposal",$A371)),SUMIFS('Timesheet Raw'!$P$4:$P$8000,'Timesheet Raw'!$A$4:$A$8000,IF(ISNUMBER(SEARCH("Chargable",$A371)),"2-Proposals Chargeable","3-Proposals Regular"),'Timesheet Raw'!$C$4:$C$8000,"*"&amp;$B371&amp;"*",'Timesheet Raw'!$L$4:$L$8000,"&gt;="&amp;MAX(S$5,DATE(2000+VALUE(RIGHT(TRIM($A371),2)),1,1)),'Timesheet Raw'!$L$4:$L$8000,"&lt;="&amp;MIN(S$6,DATE(2000+VALUE(RIGHT(TRIM($A371),2)),12,31))),SUMIFS('Timesheet Raw'!$P$4:$P$8000,'Timesheet Raw'!$B$4:$B$8000,TRIM($A371),'Timesheet Raw'!$C$4:$C$8000,"*"&amp;$B371&amp;"*",'Timesheet Raw'!$L$4:$L$8000,"&gt;="&amp;S$5,'Timesheet Raw'!$L$4:$L$8000,"&lt;="&amp;S$6)))/'Profit Plan'!$B$5)</f>
        <v>0</v>
      </c>
      <c r="T371" s="122">
        <f>IF($A371="","",(IF(ISNUMBER(SEARCH("Proposal",$A371)),SUMIFS('Timesheet Raw'!$P$4:$P$8000,'Timesheet Raw'!$A$4:$A$8000,IF(ISNUMBER(SEARCH("Chargable",$A371)),"2-Proposals Chargeable","3-Proposals Regular"),'Timesheet Raw'!$C$4:$C$8000,"*"&amp;$B371&amp;"*",'Timesheet Raw'!$L$4:$L$8000,"&gt;="&amp;MAX(T$5,DATE(2000+VALUE(RIGHT(TRIM($A371),2)),1,1)),'Timesheet Raw'!$L$4:$L$8000,"&lt;="&amp;MIN(T$6,DATE(2000+VALUE(RIGHT(TRIM($A371),2)),12,31))),SUMIFS('Timesheet Raw'!$P$4:$P$8000,'Timesheet Raw'!$B$4:$B$8000,TRIM($A371),'Timesheet Raw'!$C$4:$C$8000,"*"&amp;$B371&amp;"*",'Timesheet Raw'!$L$4:$L$8000,"&gt;="&amp;T$5,'Timesheet Raw'!$L$4:$L$8000,"&lt;="&amp;T$6)))/'Profit Plan'!$B$5)</f>
        <v>0</v>
      </c>
      <c r="U371" s="122">
        <f>IF($A371="","",(IF(ISNUMBER(SEARCH("Proposal",$A371)),SUMIFS('Timesheet Raw'!$P$4:$P$8000,'Timesheet Raw'!$A$4:$A$8000,IF(ISNUMBER(SEARCH("Chargable",$A371)),"2-Proposals Chargeable","3-Proposals Regular"),'Timesheet Raw'!$C$4:$C$8000,"*"&amp;$B371&amp;"*",'Timesheet Raw'!$L$4:$L$8000,"&gt;="&amp;MAX(U$5,DATE(2000+VALUE(RIGHT(TRIM($A371),2)),1,1)),'Timesheet Raw'!$L$4:$L$8000,"&lt;="&amp;MIN(U$6,DATE(2000+VALUE(RIGHT(TRIM($A371),2)),12,31))),SUMIFS('Timesheet Raw'!$P$4:$P$8000,'Timesheet Raw'!$B$4:$B$8000,TRIM($A371),'Timesheet Raw'!$C$4:$C$8000,"*"&amp;$B371&amp;"*",'Timesheet Raw'!$L$4:$L$8000,"&gt;="&amp;U$5,'Timesheet Raw'!$L$4:$L$8000,"&lt;="&amp;U$6)))/'Profit Plan'!$B$5)</f>
        <v>0</v>
      </c>
      <c r="V371" s="122">
        <f>IF($A371="","",(IF(ISNUMBER(SEARCH("Proposal",$A371)),SUMIFS('Timesheet Raw'!$P$4:$P$8000,'Timesheet Raw'!$A$4:$A$8000,IF(ISNUMBER(SEARCH("Chargable",$A371)),"2-Proposals Chargeable","3-Proposals Regular"),'Timesheet Raw'!$C$4:$C$8000,"*"&amp;$B371&amp;"*",'Timesheet Raw'!$L$4:$L$8000,"&gt;="&amp;MAX(V$5,DATE(2000+VALUE(RIGHT(TRIM($A371),2)),1,1)),'Timesheet Raw'!$L$4:$L$8000,"&lt;="&amp;MIN(V$6,DATE(2000+VALUE(RIGHT(TRIM($A371),2)),12,31))),SUMIFS('Timesheet Raw'!$P$4:$P$8000,'Timesheet Raw'!$B$4:$B$8000,TRIM($A371),'Timesheet Raw'!$C$4:$C$8000,"*"&amp;$B371&amp;"*",'Timesheet Raw'!$L$4:$L$8000,"&gt;="&amp;V$5,'Timesheet Raw'!$L$4:$L$8000,"&lt;="&amp;V$6)))/'Profit Plan'!$B$5)</f>
        <v>0</v>
      </c>
      <c r="W371" s="122">
        <f>IF($A371="","",(IF(ISNUMBER(SEARCH("Proposal",$A371)),SUMIFS('Timesheet Raw'!$P$4:$P$8000,'Timesheet Raw'!$A$4:$A$8000,IF(ISNUMBER(SEARCH("Chargable",$A371)),"2-Proposals Chargeable","3-Proposals Regular"),'Timesheet Raw'!$C$4:$C$8000,"*"&amp;$B371&amp;"*",'Timesheet Raw'!$L$4:$L$8000,"&gt;="&amp;MAX(W$5,DATE(2000+VALUE(RIGHT(TRIM($A371),2)),1,1)),'Timesheet Raw'!$L$4:$L$8000,"&lt;="&amp;MIN(W$6,DATE(2000+VALUE(RIGHT(TRIM($A371),2)),12,31))),SUMIFS('Timesheet Raw'!$P$4:$P$8000,'Timesheet Raw'!$B$4:$B$8000,TRIM($A371),'Timesheet Raw'!$C$4:$C$8000,"*"&amp;$B371&amp;"*",'Timesheet Raw'!$L$4:$L$8000,"&gt;="&amp;W$5,'Timesheet Raw'!$L$4:$L$8000,"&lt;="&amp;W$6)))/'Profit Plan'!$B$5)</f>
        <v>0</v>
      </c>
      <c r="X371" s="122">
        <f>IF($A371="","",(IF(ISNUMBER(SEARCH("Proposal",$A371)),SUMIFS('Timesheet Raw'!$P$4:$P$8000,'Timesheet Raw'!$A$4:$A$8000,IF(ISNUMBER(SEARCH("Chargable",$A371)),"2-Proposals Chargeable","3-Proposals Regular"),'Timesheet Raw'!$C$4:$C$8000,"*"&amp;$B371&amp;"*",'Timesheet Raw'!$L$4:$L$8000,"&gt;="&amp;MAX(X$5,DATE(2000+VALUE(RIGHT(TRIM($A371),2)),1,1)),'Timesheet Raw'!$L$4:$L$8000,"&lt;="&amp;MIN(X$6,DATE(2000+VALUE(RIGHT(TRIM($A371),2)),12,31))),SUMIFS('Timesheet Raw'!$P$4:$P$8000,'Timesheet Raw'!$B$4:$B$8000,TRIM($A371),'Timesheet Raw'!$C$4:$C$8000,"*"&amp;$B371&amp;"*",'Timesheet Raw'!$L$4:$L$8000,"&gt;="&amp;X$5,'Timesheet Raw'!$L$4:$L$8000,"&lt;="&amp;X$6)))/'Profit Plan'!$B$5)</f>
        <v>0</v>
      </c>
      <c r="Y371" s="118">
        <f t="shared" si="101"/>
        <v>0.21486486486486489</v>
      </c>
    </row>
    <row r="372" spans="1:25" x14ac:dyDescent="0.3">
      <c r="A372" s="116" t="str">
        <f>IF(Inputs!$A41="","",Inputs!$A41)</f>
        <v>S24100-0100D</v>
      </c>
      <c r="B372" s="116" t="str">
        <f>IF(Inputs!$A41="","",Inputs!$A$93)</f>
        <v>Kirolos</v>
      </c>
      <c r="C372" s="116"/>
      <c r="D372" s="122">
        <f>IF($A372="","",(IF(ISNUMBER(SEARCH("Proposal",$A372)),SUMIFS('Timesheet Raw'!$P$4:$P$8000,'Timesheet Raw'!$A$4:$A$8000,IF(ISNUMBER(SEARCH("Chargable",$A372)),"2-Proposals Chargeable","3-Proposals Regular"),'Timesheet Raw'!$C$4:$C$8000,"*"&amp;$B372&amp;"*",'Timesheet Raw'!$L$4:$L$8000,"&gt;="&amp;MAX(D$5,DATE(2000+VALUE(RIGHT(TRIM($A372),2)),1,1)),'Timesheet Raw'!$L$4:$L$8000,"&lt;="&amp;MIN(D$6,DATE(2000+VALUE(RIGHT(TRIM($A372),2)),12,31))),SUMIFS('Timesheet Raw'!$P$4:$P$8000,'Timesheet Raw'!$B$4:$B$8000,TRIM($A372),'Timesheet Raw'!$C$4:$C$8000,"*"&amp;$B372&amp;"*",'Timesheet Raw'!$L$4:$L$8000,"&gt;="&amp;D$5,'Timesheet Raw'!$L$4:$L$8000,"&lt;="&amp;D$6)))/'Profit Plan'!$B$5)</f>
        <v>0</v>
      </c>
      <c r="E372" s="122">
        <f>IF($A372="","",(IF(ISNUMBER(SEARCH("Proposal",$A372)),SUMIFS('Timesheet Raw'!$P$4:$P$8000,'Timesheet Raw'!$A$4:$A$8000,IF(ISNUMBER(SEARCH("Chargable",$A372)),"2-Proposals Chargeable","3-Proposals Regular"),'Timesheet Raw'!$C$4:$C$8000,"*"&amp;$B372&amp;"*",'Timesheet Raw'!$L$4:$L$8000,"&gt;="&amp;MAX(E$5,DATE(2000+VALUE(RIGHT(TRIM($A372),2)),1,1)),'Timesheet Raw'!$L$4:$L$8000,"&lt;="&amp;MIN(E$6,DATE(2000+VALUE(RIGHT(TRIM($A372),2)),12,31))),SUMIFS('Timesheet Raw'!$P$4:$P$8000,'Timesheet Raw'!$B$4:$B$8000,TRIM($A372),'Timesheet Raw'!$C$4:$C$8000,"*"&amp;$B372&amp;"*",'Timesheet Raw'!$L$4:$L$8000,"&gt;="&amp;E$5,'Timesheet Raw'!$L$4:$L$8000,"&lt;="&amp;E$6)))/'Profit Plan'!$B$5)</f>
        <v>0</v>
      </c>
      <c r="F372" s="122">
        <f>IF($A372="","",(IF(ISNUMBER(SEARCH("Proposal",$A372)),SUMIFS('Timesheet Raw'!$P$4:$P$8000,'Timesheet Raw'!$A$4:$A$8000,IF(ISNUMBER(SEARCH("Chargable",$A372)),"2-Proposals Chargeable","3-Proposals Regular"),'Timesheet Raw'!$C$4:$C$8000,"*"&amp;$B372&amp;"*",'Timesheet Raw'!$L$4:$L$8000,"&gt;="&amp;MAX(F$5,DATE(2000+VALUE(RIGHT(TRIM($A372),2)),1,1)),'Timesheet Raw'!$L$4:$L$8000,"&lt;="&amp;MIN(F$6,DATE(2000+VALUE(RIGHT(TRIM($A372),2)),12,31))),SUMIFS('Timesheet Raw'!$P$4:$P$8000,'Timesheet Raw'!$B$4:$B$8000,TRIM($A372),'Timesheet Raw'!$C$4:$C$8000,"*"&amp;$B372&amp;"*",'Timesheet Raw'!$L$4:$L$8000,"&gt;="&amp;F$5,'Timesheet Raw'!$L$4:$L$8000,"&lt;="&amp;F$6)))/'Profit Plan'!$B$5)</f>
        <v>0</v>
      </c>
      <c r="G372" s="122">
        <f>IF($A372="","",(IF(ISNUMBER(SEARCH("Proposal",$A372)),SUMIFS('Timesheet Raw'!$P$4:$P$8000,'Timesheet Raw'!$A$4:$A$8000,IF(ISNUMBER(SEARCH("Chargable",$A372)),"2-Proposals Chargeable","3-Proposals Regular"),'Timesheet Raw'!$C$4:$C$8000,"*"&amp;$B372&amp;"*",'Timesheet Raw'!$L$4:$L$8000,"&gt;="&amp;MAX(G$5,DATE(2000+VALUE(RIGHT(TRIM($A372),2)),1,1)),'Timesheet Raw'!$L$4:$L$8000,"&lt;="&amp;MIN(G$6,DATE(2000+VALUE(RIGHT(TRIM($A372),2)),12,31))),SUMIFS('Timesheet Raw'!$P$4:$P$8000,'Timesheet Raw'!$B$4:$B$8000,TRIM($A372),'Timesheet Raw'!$C$4:$C$8000,"*"&amp;$B372&amp;"*",'Timesheet Raw'!$L$4:$L$8000,"&gt;="&amp;G$5,'Timesheet Raw'!$L$4:$L$8000,"&lt;="&amp;G$6)))/'Profit Plan'!$B$5)</f>
        <v>4.8648648648648651E-2</v>
      </c>
      <c r="H372" s="122">
        <f>IF($A372="","",(IF(ISNUMBER(SEARCH("Proposal",$A372)),SUMIFS('Timesheet Raw'!$P$4:$P$8000,'Timesheet Raw'!$A$4:$A$8000,IF(ISNUMBER(SEARCH("Chargable",$A372)),"2-Proposals Chargeable","3-Proposals Regular"),'Timesheet Raw'!$C$4:$C$8000,"*"&amp;$B372&amp;"*",'Timesheet Raw'!$L$4:$L$8000,"&gt;="&amp;MAX(H$5,DATE(2000+VALUE(RIGHT(TRIM($A372),2)),1,1)),'Timesheet Raw'!$L$4:$L$8000,"&lt;="&amp;MIN(H$6,DATE(2000+VALUE(RIGHT(TRIM($A372),2)),12,31))),SUMIFS('Timesheet Raw'!$P$4:$P$8000,'Timesheet Raw'!$B$4:$B$8000,TRIM($A372),'Timesheet Raw'!$C$4:$C$8000,"*"&amp;$B372&amp;"*",'Timesheet Raw'!$L$4:$L$8000,"&gt;="&amp;H$5,'Timesheet Raw'!$L$4:$L$8000,"&lt;="&amp;H$6)))/'Profit Plan'!$B$5)</f>
        <v>0.4</v>
      </c>
      <c r="I372" s="122">
        <f>IF($A372="","",(IF(ISNUMBER(SEARCH("Proposal",$A372)),SUMIFS('Timesheet Raw'!$P$4:$P$8000,'Timesheet Raw'!$A$4:$A$8000,IF(ISNUMBER(SEARCH("Chargable",$A372)),"2-Proposals Chargeable","3-Proposals Regular"),'Timesheet Raw'!$C$4:$C$8000,"*"&amp;$B372&amp;"*",'Timesheet Raw'!$L$4:$L$8000,"&gt;="&amp;MAX(I$5,DATE(2000+VALUE(RIGHT(TRIM($A372),2)),1,1)),'Timesheet Raw'!$L$4:$L$8000,"&lt;="&amp;MIN(I$6,DATE(2000+VALUE(RIGHT(TRIM($A372),2)),12,31))),SUMIFS('Timesheet Raw'!$P$4:$P$8000,'Timesheet Raw'!$B$4:$B$8000,TRIM($A372),'Timesheet Raw'!$C$4:$C$8000,"*"&amp;$B372&amp;"*",'Timesheet Raw'!$L$4:$L$8000,"&gt;="&amp;I$5,'Timesheet Raw'!$L$4:$L$8000,"&lt;="&amp;I$6)))/'Profit Plan'!$B$5)</f>
        <v>0</v>
      </c>
      <c r="J372" s="122">
        <f>IF($A372="","",(IF(ISNUMBER(SEARCH("Proposal",$A372)),SUMIFS('Timesheet Raw'!$P$4:$P$8000,'Timesheet Raw'!$A$4:$A$8000,IF(ISNUMBER(SEARCH("Chargable",$A372)),"2-Proposals Chargeable","3-Proposals Regular"),'Timesheet Raw'!$C$4:$C$8000,"*"&amp;$B372&amp;"*",'Timesheet Raw'!$L$4:$L$8000,"&gt;="&amp;MAX(J$5,DATE(2000+VALUE(RIGHT(TRIM($A372),2)),1,1)),'Timesheet Raw'!$L$4:$L$8000,"&lt;="&amp;MIN(J$6,DATE(2000+VALUE(RIGHT(TRIM($A372),2)),12,31))),SUMIFS('Timesheet Raw'!$P$4:$P$8000,'Timesheet Raw'!$B$4:$B$8000,TRIM($A372),'Timesheet Raw'!$C$4:$C$8000,"*"&amp;$B372&amp;"*",'Timesheet Raw'!$L$4:$L$8000,"&gt;="&amp;J$5,'Timesheet Raw'!$L$4:$L$8000,"&lt;="&amp;J$6)))/'Profit Plan'!$B$5)</f>
        <v>0</v>
      </c>
      <c r="K372" s="122">
        <f>IF($A372="","",(IF(ISNUMBER(SEARCH("Proposal",$A372)),SUMIFS('Timesheet Raw'!$P$4:$P$8000,'Timesheet Raw'!$A$4:$A$8000,IF(ISNUMBER(SEARCH("Chargable",$A372)),"2-Proposals Chargeable","3-Proposals Regular"),'Timesheet Raw'!$C$4:$C$8000,"*"&amp;$B372&amp;"*",'Timesheet Raw'!$L$4:$L$8000,"&gt;="&amp;MAX(K$5,DATE(2000+VALUE(RIGHT(TRIM($A372),2)),1,1)),'Timesheet Raw'!$L$4:$L$8000,"&lt;="&amp;MIN(K$6,DATE(2000+VALUE(RIGHT(TRIM($A372),2)),12,31))),SUMIFS('Timesheet Raw'!$P$4:$P$8000,'Timesheet Raw'!$B$4:$B$8000,TRIM($A372),'Timesheet Raw'!$C$4:$C$8000,"*"&amp;$B372&amp;"*",'Timesheet Raw'!$L$4:$L$8000,"&gt;="&amp;K$5,'Timesheet Raw'!$L$4:$L$8000,"&lt;="&amp;K$6)))/'Profit Plan'!$B$5)</f>
        <v>0</v>
      </c>
      <c r="L372" s="122">
        <f>IF($A372="","",(IF(ISNUMBER(SEARCH("Proposal",$A372)),SUMIFS('Timesheet Raw'!$P$4:$P$8000,'Timesheet Raw'!$A$4:$A$8000,IF(ISNUMBER(SEARCH("Chargable",$A372)),"2-Proposals Chargeable","3-Proposals Regular"),'Timesheet Raw'!$C$4:$C$8000,"*"&amp;$B372&amp;"*",'Timesheet Raw'!$L$4:$L$8000,"&gt;="&amp;MAX(L$5,DATE(2000+VALUE(RIGHT(TRIM($A372),2)),1,1)),'Timesheet Raw'!$L$4:$L$8000,"&lt;="&amp;MIN(L$6,DATE(2000+VALUE(RIGHT(TRIM($A372),2)),12,31))),SUMIFS('Timesheet Raw'!$P$4:$P$8000,'Timesheet Raw'!$B$4:$B$8000,TRIM($A372),'Timesheet Raw'!$C$4:$C$8000,"*"&amp;$B372&amp;"*",'Timesheet Raw'!$L$4:$L$8000,"&gt;="&amp;L$5,'Timesheet Raw'!$L$4:$L$8000,"&lt;="&amp;L$6)))/'Profit Plan'!$B$5)</f>
        <v>0</v>
      </c>
      <c r="M372" s="122">
        <f>IF($A372="","",(IF(ISNUMBER(SEARCH("Proposal",$A372)),SUMIFS('Timesheet Raw'!$P$4:$P$8000,'Timesheet Raw'!$A$4:$A$8000,IF(ISNUMBER(SEARCH("Chargable",$A372)),"2-Proposals Chargeable","3-Proposals Regular"),'Timesheet Raw'!$C$4:$C$8000,"*"&amp;$B372&amp;"*",'Timesheet Raw'!$L$4:$L$8000,"&gt;="&amp;MAX(M$5,DATE(2000+VALUE(RIGHT(TRIM($A372),2)),1,1)),'Timesheet Raw'!$L$4:$L$8000,"&lt;="&amp;MIN(M$6,DATE(2000+VALUE(RIGHT(TRIM($A372),2)),12,31))),SUMIFS('Timesheet Raw'!$P$4:$P$8000,'Timesheet Raw'!$B$4:$B$8000,TRIM($A372),'Timesheet Raw'!$C$4:$C$8000,"*"&amp;$B372&amp;"*",'Timesheet Raw'!$L$4:$L$8000,"&gt;="&amp;M$5,'Timesheet Raw'!$L$4:$L$8000,"&lt;="&amp;M$6)))/'Profit Plan'!$B$5)</f>
        <v>0</v>
      </c>
      <c r="N372" s="122">
        <f>IF($A372="","",(IF(ISNUMBER(SEARCH("Proposal",$A372)),SUMIFS('Timesheet Raw'!$P$4:$P$8000,'Timesheet Raw'!$A$4:$A$8000,IF(ISNUMBER(SEARCH("Chargable",$A372)),"2-Proposals Chargeable","3-Proposals Regular"),'Timesheet Raw'!$C$4:$C$8000,"*"&amp;$B372&amp;"*",'Timesheet Raw'!$L$4:$L$8000,"&gt;="&amp;MAX(N$5,DATE(2000+VALUE(RIGHT(TRIM($A372),2)),1,1)),'Timesheet Raw'!$L$4:$L$8000,"&lt;="&amp;MIN(N$6,DATE(2000+VALUE(RIGHT(TRIM($A372),2)),12,31))),SUMIFS('Timesheet Raw'!$P$4:$P$8000,'Timesheet Raw'!$B$4:$B$8000,TRIM($A372),'Timesheet Raw'!$C$4:$C$8000,"*"&amp;$B372&amp;"*",'Timesheet Raw'!$L$4:$L$8000,"&gt;="&amp;N$5,'Timesheet Raw'!$L$4:$L$8000,"&lt;="&amp;N$6)))/'Profit Plan'!$B$5)</f>
        <v>0</v>
      </c>
      <c r="O372" s="122">
        <f>IF($A372="","",(IF(ISNUMBER(SEARCH("Proposal",$A372)),SUMIFS('Timesheet Raw'!$P$4:$P$8000,'Timesheet Raw'!$A$4:$A$8000,IF(ISNUMBER(SEARCH("Chargable",$A372)),"2-Proposals Chargeable","3-Proposals Regular"),'Timesheet Raw'!$C$4:$C$8000,"*"&amp;$B372&amp;"*",'Timesheet Raw'!$L$4:$L$8000,"&gt;="&amp;MAX(O$5,DATE(2000+VALUE(RIGHT(TRIM($A372),2)),1,1)),'Timesheet Raw'!$L$4:$L$8000,"&lt;="&amp;MIN(O$6,DATE(2000+VALUE(RIGHT(TRIM($A372),2)),12,31))),SUMIFS('Timesheet Raw'!$P$4:$P$8000,'Timesheet Raw'!$B$4:$B$8000,TRIM($A372),'Timesheet Raw'!$C$4:$C$8000,"*"&amp;$B372&amp;"*",'Timesheet Raw'!$L$4:$L$8000,"&gt;="&amp;O$5,'Timesheet Raw'!$L$4:$L$8000,"&lt;="&amp;O$6)))/'Profit Plan'!$B$5)</f>
        <v>0</v>
      </c>
      <c r="P372" s="122">
        <f>IF($A372="","",(IF(ISNUMBER(SEARCH("Proposal",$A372)),SUMIFS('Timesheet Raw'!$P$4:$P$8000,'Timesheet Raw'!$A$4:$A$8000,IF(ISNUMBER(SEARCH("Chargable",$A372)),"2-Proposals Chargeable","3-Proposals Regular"),'Timesheet Raw'!$C$4:$C$8000,"*"&amp;$B372&amp;"*",'Timesheet Raw'!$L$4:$L$8000,"&gt;="&amp;MAX(P$5,DATE(2000+VALUE(RIGHT(TRIM($A372),2)),1,1)),'Timesheet Raw'!$L$4:$L$8000,"&lt;="&amp;MIN(P$6,DATE(2000+VALUE(RIGHT(TRIM($A372),2)),12,31))),SUMIFS('Timesheet Raw'!$P$4:$P$8000,'Timesheet Raw'!$B$4:$B$8000,TRIM($A372),'Timesheet Raw'!$C$4:$C$8000,"*"&amp;$B372&amp;"*",'Timesheet Raw'!$L$4:$L$8000,"&gt;="&amp;P$5,'Timesheet Raw'!$L$4:$L$8000,"&lt;="&amp;P$6)))/'Profit Plan'!$B$5)</f>
        <v>0</v>
      </c>
      <c r="Q372" s="122">
        <f>IF($A372="","",(IF(ISNUMBER(SEARCH("Proposal",$A372)),SUMIFS('Timesheet Raw'!$P$4:$P$8000,'Timesheet Raw'!$A$4:$A$8000,IF(ISNUMBER(SEARCH("Chargable",$A372)),"2-Proposals Chargeable","3-Proposals Regular"),'Timesheet Raw'!$C$4:$C$8000,"*"&amp;$B372&amp;"*",'Timesheet Raw'!$L$4:$L$8000,"&gt;="&amp;MAX(Q$5,DATE(2000+VALUE(RIGHT(TRIM($A372),2)),1,1)),'Timesheet Raw'!$L$4:$L$8000,"&lt;="&amp;MIN(Q$6,DATE(2000+VALUE(RIGHT(TRIM($A372),2)),12,31))),SUMIFS('Timesheet Raw'!$P$4:$P$8000,'Timesheet Raw'!$B$4:$B$8000,TRIM($A372),'Timesheet Raw'!$C$4:$C$8000,"*"&amp;$B372&amp;"*",'Timesheet Raw'!$L$4:$L$8000,"&gt;="&amp;Q$5,'Timesheet Raw'!$L$4:$L$8000,"&lt;="&amp;Q$6)))/'Profit Plan'!$B$5)</f>
        <v>0</v>
      </c>
      <c r="R372" s="122">
        <f>IF($A372="","",(IF(ISNUMBER(SEARCH("Proposal",$A372)),SUMIFS('Timesheet Raw'!$P$4:$P$8000,'Timesheet Raw'!$A$4:$A$8000,IF(ISNUMBER(SEARCH("Chargable",$A372)),"2-Proposals Chargeable","3-Proposals Regular"),'Timesheet Raw'!$C$4:$C$8000,"*"&amp;$B372&amp;"*",'Timesheet Raw'!$L$4:$L$8000,"&gt;="&amp;MAX(R$5,DATE(2000+VALUE(RIGHT(TRIM($A372),2)),1,1)),'Timesheet Raw'!$L$4:$L$8000,"&lt;="&amp;MIN(R$6,DATE(2000+VALUE(RIGHT(TRIM($A372),2)),12,31))),SUMIFS('Timesheet Raw'!$P$4:$P$8000,'Timesheet Raw'!$B$4:$B$8000,TRIM($A372),'Timesheet Raw'!$C$4:$C$8000,"*"&amp;$B372&amp;"*",'Timesheet Raw'!$L$4:$L$8000,"&gt;="&amp;R$5,'Timesheet Raw'!$L$4:$L$8000,"&lt;="&amp;R$6)))/'Profit Plan'!$B$5)</f>
        <v>0</v>
      </c>
      <c r="S372" s="122">
        <f>IF($A372="","",(IF(ISNUMBER(SEARCH("Proposal",$A372)),SUMIFS('Timesheet Raw'!$P$4:$P$8000,'Timesheet Raw'!$A$4:$A$8000,IF(ISNUMBER(SEARCH("Chargable",$A372)),"2-Proposals Chargeable","3-Proposals Regular"),'Timesheet Raw'!$C$4:$C$8000,"*"&amp;$B372&amp;"*",'Timesheet Raw'!$L$4:$L$8000,"&gt;="&amp;MAX(S$5,DATE(2000+VALUE(RIGHT(TRIM($A372),2)),1,1)),'Timesheet Raw'!$L$4:$L$8000,"&lt;="&amp;MIN(S$6,DATE(2000+VALUE(RIGHT(TRIM($A372),2)),12,31))),SUMIFS('Timesheet Raw'!$P$4:$P$8000,'Timesheet Raw'!$B$4:$B$8000,TRIM($A372),'Timesheet Raw'!$C$4:$C$8000,"*"&amp;$B372&amp;"*",'Timesheet Raw'!$L$4:$L$8000,"&gt;="&amp;S$5,'Timesheet Raw'!$L$4:$L$8000,"&lt;="&amp;S$6)))/'Profit Plan'!$B$5)</f>
        <v>0</v>
      </c>
      <c r="T372" s="122">
        <f>IF($A372="","",(IF(ISNUMBER(SEARCH("Proposal",$A372)),SUMIFS('Timesheet Raw'!$P$4:$P$8000,'Timesheet Raw'!$A$4:$A$8000,IF(ISNUMBER(SEARCH("Chargable",$A372)),"2-Proposals Chargeable","3-Proposals Regular"),'Timesheet Raw'!$C$4:$C$8000,"*"&amp;$B372&amp;"*",'Timesheet Raw'!$L$4:$L$8000,"&gt;="&amp;MAX(T$5,DATE(2000+VALUE(RIGHT(TRIM($A372),2)),1,1)),'Timesheet Raw'!$L$4:$L$8000,"&lt;="&amp;MIN(T$6,DATE(2000+VALUE(RIGHT(TRIM($A372),2)),12,31))),SUMIFS('Timesheet Raw'!$P$4:$P$8000,'Timesheet Raw'!$B$4:$B$8000,TRIM($A372),'Timesheet Raw'!$C$4:$C$8000,"*"&amp;$B372&amp;"*",'Timesheet Raw'!$L$4:$L$8000,"&gt;="&amp;T$5,'Timesheet Raw'!$L$4:$L$8000,"&lt;="&amp;T$6)))/'Profit Plan'!$B$5)</f>
        <v>0</v>
      </c>
      <c r="U372" s="122">
        <f>IF($A372="","",(IF(ISNUMBER(SEARCH("Proposal",$A372)),SUMIFS('Timesheet Raw'!$P$4:$P$8000,'Timesheet Raw'!$A$4:$A$8000,IF(ISNUMBER(SEARCH("Chargable",$A372)),"2-Proposals Chargeable","3-Proposals Regular"),'Timesheet Raw'!$C$4:$C$8000,"*"&amp;$B372&amp;"*",'Timesheet Raw'!$L$4:$L$8000,"&gt;="&amp;MAX(U$5,DATE(2000+VALUE(RIGHT(TRIM($A372),2)),1,1)),'Timesheet Raw'!$L$4:$L$8000,"&lt;="&amp;MIN(U$6,DATE(2000+VALUE(RIGHT(TRIM($A372),2)),12,31))),SUMIFS('Timesheet Raw'!$P$4:$P$8000,'Timesheet Raw'!$B$4:$B$8000,TRIM($A372),'Timesheet Raw'!$C$4:$C$8000,"*"&amp;$B372&amp;"*",'Timesheet Raw'!$L$4:$L$8000,"&gt;="&amp;U$5,'Timesheet Raw'!$L$4:$L$8000,"&lt;="&amp;U$6)))/'Profit Plan'!$B$5)</f>
        <v>0</v>
      </c>
      <c r="V372" s="122">
        <f>IF($A372="","",(IF(ISNUMBER(SEARCH("Proposal",$A372)),SUMIFS('Timesheet Raw'!$P$4:$P$8000,'Timesheet Raw'!$A$4:$A$8000,IF(ISNUMBER(SEARCH("Chargable",$A372)),"2-Proposals Chargeable","3-Proposals Regular"),'Timesheet Raw'!$C$4:$C$8000,"*"&amp;$B372&amp;"*",'Timesheet Raw'!$L$4:$L$8000,"&gt;="&amp;MAX(V$5,DATE(2000+VALUE(RIGHT(TRIM($A372),2)),1,1)),'Timesheet Raw'!$L$4:$L$8000,"&lt;="&amp;MIN(V$6,DATE(2000+VALUE(RIGHT(TRIM($A372),2)),12,31))),SUMIFS('Timesheet Raw'!$P$4:$P$8000,'Timesheet Raw'!$B$4:$B$8000,TRIM($A372),'Timesheet Raw'!$C$4:$C$8000,"*"&amp;$B372&amp;"*",'Timesheet Raw'!$L$4:$L$8000,"&gt;="&amp;V$5,'Timesheet Raw'!$L$4:$L$8000,"&lt;="&amp;V$6)))/'Profit Plan'!$B$5)</f>
        <v>0</v>
      </c>
      <c r="W372" s="122">
        <f>IF($A372="","",(IF(ISNUMBER(SEARCH("Proposal",$A372)),SUMIFS('Timesheet Raw'!$P$4:$P$8000,'Timesheet Raw'!$A$4:$A$8000,IF(ISNUMBER(SEARCH("Chargable",$A372)),"2-Proposals Chargeable","3-Proposals Regular"),'Timesheet Raw'!$C$4:$C$8000,"*"&amp;$B372&amp;"*",'Timesheet Raw'!$L$4:$L$8000,"&gt;="&amp;MAX(W$5,DATE(2000+VALUE(RIGHT(TRIM($A372),2)),1,1)),'Timesheet Raw'!$L$4:$L$8000,"&lt;="&amp;MIN(W$6,DATE(2000+VALUE(RIGHT(TRIM($A372),2)),12,31))),SUMIFS('Timesheet Raw'!$P$4:$P$8000,'Timesheet Raw'!$B$4:$B$8000,TRIM($A372),'Timesheet Raw'!$C$4:$C$8000,"*"&amp;$B372&amp;"*",'Timesheet Raw'!$L$4:$L$8000,"&gt;="&amp;W$5,'Timesheet Raw'!$L$4:$L$8000,"&lt;="&amp;W$6)))/'Profit Plan'!$B$5)</f>
        <v>0</v>
      </c>
      <c r="X372" s="122">
        <f>IF($A372="","",(IF(ISNUMBER(SEARCH("Proposal",$A372)),SUMIFS('Timesheet Raw'!$P$4:$P$8000,'Timesheet Raw'!$A$4:$A$8000,IF(ISNUMBER(SEARCH("Chargable",$A372)),"2-Proposals Chargeable","3-Proposals Regular"),'Timesheet Raw'!$C$4:$C$8000,"*"&amp;$B372&amp;"*",'Timesheet Raw'!$L$4:$L$8000,"&gt;="&amp;MAX(X$5,DATE(2000+VALUE(RIGHT(TRIM($A372),2)),1,1)),'Timesheet Raw'!$L$4:$L$8000,"&lt;="&amp;MIN(X$6,DATE(2000+VALUE(RIGHT(TRIM($A372),2)),12,31))),SUMIFS('Timesheet Raw'!$P$4:$P$8000,'Timesheet Raw'!$B$4:$B$8000,TRIM($A372),'Timesheet Raw'!$C$4:$C$8000,"*"&amp;$B372&amp;"*",'Timesheet Raw'!$L$4:$L$8000,"&gt;="&amp;X$5,'Timesheet Raw'!$L$4:$L$8000,"&lt;="&amp;X$6)))/'Profit Plan'!$B$5)</f>
        <v>0</v>
      </c>
      <c r="Y372" s="118">
        <f t="shared" si="101"/>
        <v>0.44864864864864867</v>
      </c>
    </row>
    <row r="373" spans="1:25" x14ac:dyDescent="0.3">
      <c r="A373" s="116" t="str">
        <f>IF(Inputs!$A42="","",Inputs!$A42)</f>
        <v>TA23011-0100R</v>
      </c>
      <c r="B373" s="116" t="str">
        <f>IF(Inputs!$A42="","",Inputs!$A$91)</f>
        <v>Ahmed</v>
      </c>
      <c r="C373" s="116"/>
      <c r="D373" s="122">
        <f>IF($A373="","",(IF(ISNUMBER(SEARCH("Proposal",$A373)),SUMIFS('Timesheet Raw'!$P$4:$P$8000,'Timesheet Raw'!$A$4:$A$8000,IF(ISNUMBER(SEARCH("Chargable",$A373)),"2-Proposals Chargeable","3-Proposals Regular"),'Timesheet Raw'!$C$4:$C$8000,"*"&amp;$B373&amp;"*",'Timesheet Raw'!$L$4:$L$8000,"&gt;="&amp;MAX(D$5,DATE(2000+VALUE(RIGHT(TRIM($A373),2)),1,1)),'Timesheet Raw'!$L$4:$L$8000,"&lt;="&amp;MIN(D$6,DATE(2000+VALUE(RIGHT(TRIM($A373),2)),12,31))),SUMIFS('Timesheet Raw'!$P$4:$P$8000,'Timesheet Raw'!$B$4:$B$8000,TRIM($A373),'Timesheet Raw'!$C$4:$C$8000,"*"&amp;$B373&amp;"*",'Timesheet Raw'!$L$4:$L$8000,"&gt;="&amp;D$5,'Timesheet Raw'!$L$4:$L$8000,"&lt;="&amp;D$6)))/'Profit Plan'!$B$5)</f>
        <v>3.2432432432432434E-2</v>
      </c>
      <c r="E373" s="122">
        <f>IF($A373="","",(IF(ISNUMBER(SEARCH("Proposal",$A373)),SUMIFS('Timesheet Raw'!$P$4:$P$8000,'Timesheet Raw'!$A$4:$A$8000,IF(ISNUMBER(SEARCH("Chargable",$A373)),"2-Proposals Chargeable","3-Proposals Regular"),'Timesheet Raw'!$C$4:$C$8000,"*"&amp;$B373&amp;"*",'Timesheet Raw'!$L$4:$L$8000,"&gt;="&amp;MAX(E$5,DATE(2000+VALUE(RIGHT(TRIM($A373),2)),1,1)),'Timesheet Raw'!$L$4:$L$8000,"&lt;="&amp;MIN(E$6,DATE(2000+VALUE(RIGHT(TRIM($A373),2)),12,31))),SUMIFS('Timesheet Raw'!$P$4:$P$8000,'Timesheet Raw'!$B$4:$B$8000,TRIM($A373),'Timesheet Raw'!$C$4:$C$8000,"*"&amp;$B373&amp;"*",'Timesheet Raw'!$L$4:$L$8000,"&gt;="&amp;E$5,'Timesheet Raw'!$L$4:$L$8000,"&lt;="&amp;E$6)))/'Profit Plan'!$B$5)</f>
        <v>2.1621621621621623E-2</v>
      </c>
      <c r="F373" s="122">
        <f>IF($A373="","",(IF(ISNUMBER(SEARCH("Proposal",$A373)),SUMIFS('Timesheet Raw'!$P$4:$P$8000,'Timesheet Raw'!$A$4:$A$8000,IF(ISNUMBER(SEARCH("Chargable",$A373)),"2-Proposals Chargeable","3-Proposals Regular"),'Timesheet Raw'!$C$4:$C$8000,"*"&amp;$B373&amp;"*",'Timesheet Raw'!$L$4:$L$8000,"&gt;="&amp;MAX(F$5,DATE(2000+VALUE(RIGHT(TRIM($A373),2)),1,1)),'Timesheet Raw'!$L$4:$L$8000,"&lt;="&amp;MIN(F$6,DATE(2000+VALUE(RIGHT(TRIM($A373),2)),12,31))),SUMIFS('Timesheet Raw'!$P$4:$P$8000,'Timesheet Raw'!$B$4:$B$8000,TRIM($A373),'Timesheet Raw'!$C$4:$C$8000,"*"&amp;$B373&amp;"*",'Timesheet Raw'!$L$4:$L$8000,"&gt;="&amp;F$5,'Timesheet Raw'!$L$4:$L$8000,"&lt;="&amp;F$6)))/'Profit Plan'!$B$5)</f>
        <v>0</v>
      </c>
      <c r="G373" s="122">
        <f>IF($A373="","",(IF(ISNUMBER(SEARCH("Proposal",$A373)),SUMIFS('Timesheet Raw'!$P$4:$P$8000,'Timesheet Raw'!$A$4:$A$8000,IF(ISNUMBER(SEARCH("Chargable",$A373)),"2-Proposals Chargeable","3-Proposals Regular"),'Timesheet Raw'!$C$4:$C$8000,"*"&amp;$B373&amp;"*",'Timesheet Raw'!$L$4:$L$8000,"&gt;="&amp;MAX(G$5,DATE(2000+VALUE(RIGHT(TRIM($A373),2)),1,1)),'Timesheet Raw'!$L$4:$L$8000,"&lt;="&amp;MIN(G$6,DATE(2000+VALUE(RIGHT(TRIM($A373),2)),12,31))),SUMIFS('Timesheet Raw'!$P$4:$P$8000,'Timesheet Raw'!$B$4:$B$8000,TRIM($A373),'Timesheet Raw'!$C$4:$C$8000,"*"&amp;$B373&amp;"*",'Timesheet Raw'!$L$4:$L$8000,"&gt;="&amp;G$5,'Timesheet Raw'!$L$4:$L$8000,"&lt;="&amp;G$6)))/'Profit Plan'!$B$5)</f>
        <v>0</v>
      </c>
      <c r="H373" s="122">
        <f>IF($A373="","",(IF(ISNUMBER(SEARCH("Proposal",$A373)),SUMIFS('Timesheet Raw'!$P$4:$P$8000,'Timesheet Raw'!$A$4:$A$8000,IF(ISNUMBER(SEARCH("Chargable",$A373)),"2-Proposals Chargeable","3-Proposals Regular"),'Timesheet Raw'!$C$4:$C$8000,"*"&amp;$B373&amp;"*",'Timesheet Raw'!$L$4:$L$8000,"&gt;="&amp;MAX(H$5,DATE(2000+VALUE(RIGHT(TRIM($A373),2)),1,1)),'Timesheet Raw'!$L$4:$L$8000,"&lt;="&amp;MIN(H$6,DATE(2000+VALUE(RIGHT(TRIM($A373),2)),12,31))),SUMIFS('Timesheet Raw'!$P$4:$P$8000,'Timesheet Raw'!$B$4:$B$8000,TRIM($A373),'Timesheet Raw'!$C$4:$C$8000,"*"&amp;$B373&amp;"*",'Timesheet Raw'!$L$4:$L$8000,"&gt;="&amp;H$5,'Timesheet Raw'!$L$4:$L$8000,"&lt;="&amp;H$6)))/'Profit Plan'!$B$5)</f>
        <v>0</v>
      </c>
      <c r="I373" s="122">
        <f>IF($A373="","",(IF(ISNUMBER(SEARCH("Proposal",$A373)),SUMIFS('Timesheet Raw'!$P$4:$P$8000,'Timesheet Raw'!$A$4:$A$8000,IF(ISNUMBER(SEARCH("Chargable",$A373)),"2-Proposals Chargeable","3-Proposals Regular"),'Timesheet Raw'!$C$4:$C$8000,"*"&amp;$B373&amp;"*",'Timesheet Raw'!$L$4:$L$8000,"&gt;="&amp;MAX(I$5,DATE(2000+VALUE(RIGHT(TRIM($A373),2)),1,1)),'Timesheet Raw'!$L$4:$L$8000,"&lt;="&amp;MIN(I$6,DATE(2000+VALUE(RIGHT(TRIM($A373),2)),12,31))),SUMIFS('Timesheet Raw'!$P$4:$P$8000,'Timesheet Raw'!$B$4:$B$8000,TRIM($A373),'Timesheet Raw'!$C$4:$C$8000,"*"&amp;$B373&amp;"*",'Timesheet Raw'!$L$4:$L$8000,"&gt;="&amp;I$5,'Timesheet Raw'!$L$4:$L$8000,"&lt;="&amp;I$6)))/'Profit Plan'!$B$5)</f>
        <v>0</v>
      </c>
      <c r="J373" s="122">
        <f>IF($A373="","",(IF(ISNUMBER(SEARCH("Proposal",$A373)),SUMIFS('Timesheet Raw'!$P$4:$P$8000,'Timesheet Raw'!$A$4:$A$8000,IF(ISNUMBER(SEARCH("Chargable",$A373)),"2-Proposals Chargeable","3-Proposals Regular"),'Timesheet Raw'!$C$4:$C$8000,"*"&amp;$B373&amp;"*",'Timesheet Raw'!$L$4:$L$8000,"&gt;="&amp;MAX(J$5,DATE(2000+VALUE(RIGHT(TRIM($A373),2)),1,1)),'Timesheet Raw'!$L$4:$L$8000,"&lt;="&amp;MIN(J$6,DATE(2000+VALUE(RIGHT(TRIM($A373),2)),12,31))),SUMIFS('Timesheet Raw'!$P$4:$P$8000,'Timesheet Raw'!$B$4:$B$8000,TRIM($A373),'Timesheet Raw'!$C$4:$C$8000,"*"&amp;$B373&amp;"*",'Timesheet Raw'!$L$4:$L$8000,"&gt;="&amp;J$5,'Timesheet Raw'!$L$4:$L$8000,"&lt;="&amp;J$6)))/'Profit Plan'!$B$5)</f>
        <v>0</v>
      </c>
      <c r="K373" s="122">
        <f>IF($A373="","",(IF(ISNUMBER(SEARCH("Proposal",$A373)),SUMIFS('Timesheet Raw'!$P$4:$P$8000,'Timesheet Raw'!$A$4:$A$8000,IF(ISNUMBER(SEARCH("Chargable",$A373)),"2-Proposals Chargeable","3-Proposals Regular"),'Timesheet Raw'!$C$4:$C$8000,"*"&amp;$B373&amp;"*",'Timesheet Raw'!$L$4:$L$8000,"&gt;="&amp;MAX(K$5,DATE(2000+VALUE(RIGHT(TRIM($A373),2)),1,1)),'Timesheet Raw'!$L$4:$L$8000,"&lt;="&amp;MIN(K$6,DATE(2000+VALUE(RIGHT(TRIM($A373),2)),12,31))),SUMIFS('Timesheet Raw'!$P$4:$P$8000,'Timesheet Raw'!$B$4:$B$8000,TRIM($A373),'Timesheet Raw'!$C$4:$C$8000,"*"&amp;$B373&amp;"*",'Timesheet Raw'!$L$4:$L$8000,"&gt;="&amp;K$5,'Timesheet Raw'!$L$4:$L$8000,"&lt;="&amp;K$6)))/'Profit Plan'!$B$5)</f>
        <v>0</v>
      </c>
      <c r="L373" s="122">
        <f>IF($A373="","",(IF(ISNUMBER(SEARCH("Proposal",$A373)),SUMIFS('Timesheet Raw'!$P$4:$P$8000,'Timesheet Raw'!$A$4:$A$8000,IF(ISNUMBER(SEARCH("Chargable",$A373)),"2-Proposals Chargeable","3-Proposals Regular"),'Timesheet Raw'!$C$4:$C$8000,"*"&amp;$B373&amp;"*",'Timesheet Raw'!$L$4:$L$8000,"&gt;="&amp;MAX(L$5,DATE(2000+VALUE(RIGHT(TRIM($A373),2)),1,1)),'Timesheet Raw'!$L$4:$L$8000,"&lt;="&amp;MIN(L$6,DATE(2000+VALUE(RIGHT(TRIM($A373),2)),12,31))),SUMIFS('Timesheet Raw'!$P$4:$P$8000,'Timesheet Raw'!$B$4:$B$8000,TRIM($A373),'Timesheet Raw'!$C$4:$C$8000,"*"&amp;$B373&amp;"*",'Timesheet Raw'!$L$4:$L$8000,"&gt;="&amp;L$5,'Timesheet Raw'!$L$4:$L$8000,"&lt;="&amp;L$6)))/'Profit Plan'!$B$5)</f>
        <v>0</v>
      </c>
      <c r="M373" s="122">
        <f>IF($A373="","",(IF(ISNUMBER(SEARCH("Proposal",$A373)),SUMIFS('Timesheet Raw'!$P$4:$P$8000,'Timesheet Raw'!$A$4:$A$8000,IF(ISNUMBER(SEARCH("Chargable",$A373)),"2-Proposals Chargeable","3-Proposals Regular"),'Timesheet Raw'!$C$4:$C$8000,"*"&amp;$B373&amp;"*",'Timesheet Raw'!$L$4:$L$8000,"&gt;="&amp;MAX(M$5,DATE(2000+VALUE(RIGHT(TRIM($A373),2)),1,1)),'Timesheet Raw'!$L$4:$L$8000,"&lt;="&amp;MIN(M$6,DATE(2000+VALUE(RIGHT(TRIM($A373),2)),12,31))),SUMIFS('Timesheet Raw'!$P$4:$P$8000,'Timesheet Raw'!$B$4:$B$8000,TRIM($A373),'Timesheet Raw'!$C$4:$C$8000,"*"&amp;$B373&amp;"*",'Timesheet Raw'!$L$4:$L$8000,"&gt;="&amp;M$5,'Timesheet Raw'!$L$4:$L$8000,"&lt;="&amp;M$6)))/'Profit Plan'!$B$5)</f>
        <v>0</v>
      </c>
      <c r="N373" s="122">
        <f>IF($A373="","",(IF(ISNUMBER(SEARCH("Proposal",$A373)),SUMIFS('Timesheet Raw'!$P$4:$P$8000,'Timesheet Raw'!$A$4:$A$8000,IF(ISNUMBER(SEARCH("Chargable",$A373)),"2-Proposals Chargeable","3-Proposals Regular"),'Timesheet Raw'!$C$4:$C$8000,"*"&amp;$B373&amp;"*",'Timesheet Raw'!$L$4:$L$8000,"&gt;="&amp;MAX(N$5,DATE(2000+VALUE(RIGHT(TRIM($A373),2)),1,1)),'Timesheet Raw'!$L$4:$L$8000,"&lt;="&amp;MIN(N$6,DATE(2000+VALUE(RIGHT(TRIM($A373),2)),12,31))),SUMIFS('Timesheet Raw'!$P$4:$P$8000,'Timesheet Raw'!$B$4:$B$8000,TRIM($A373),'Timesheet Raw'!$C$4:$C$8000,"*"&amp;$B373&amp;"*",'Timesheet Raw'!$L$4:$L$8000,"&gt;="&amp;N$5,'Timesheet Raw'!$L$4:$L$8000,"&lt;="&amp;N$6)))/'Profit Plan'!$B$5)</f>
        <v>0</v>
      </c>
      <c r="O373" s="122">
        <f>IF($A373="","",(IF(ISNUMBER(SEARCH("Proposal",$A373)),SUMIFS('Timesheet Raw'!$P$4:$P$8000,'Timesheet Raw'!$A$4:$A$8000,IF(ISNUMBER(SEARCH("Chargable",$A373)),"2-Proposals Chargeable","3-Proposals Regular"),'Timesheet Raw'!$C$4:$C$8000,"*"&amp;$B373&amp;"*",'Timesheet Raw'!$L$4:$L$8000,"&gt;="&amp;MAX(O$5,DATE(2000+VALUE(RIGHT(TRIM($A373),2)),1,1)),'Timesheet Raw'!$L$4:$L$8000,"&lt;="&amp;MIN(O$6,DATE(2000+VALUE(RIGHT(TRIM($A373),2)),12,31))),SUMIFS('Timesheet Raw'!$P$4:$P$8000,'Timesheet Raw'!$B$4:$B$8000,TRIM($A373),'Timesheet Raw'!$C$4:$C$8000,"*"&amp;$B373&amp;"*",'Timesheet Raw'!$L$4:$L$8000,"&gt;="&amp;O$5,'Timesheet Raw'!$L$4:$L$8000,"&lt;="&amp;O$6)))/'Profit Plan'!$B$5)</f>
        <v>0</v>
      </c>
      <c r="P373" s="122">
        <f>IF($A373="","",(IF(ISNUMBER(SEARCH("Proposal",$A373)),SUMIFS('Timesheet Raw'!$P$4:$P$8000,'Timesheet Raw'!$A$4:$A$8000,IF(ISNUMBER(SEARCH("Chargable",$A373)),"2-Proposals Chargeable","3-Proposals Regular"),'Timesheet Raw'!$C$4:$C$8000,"*"&amp;$B373&amp;"*",'Timesheet Raw'!$L$4:$L$8000,"&gt;="&amp;MAX(P$5,DATE(2000+VALUE(RIGHT(TRIM($A373),2)),1,1)),'Timesheet Raw'!$L$4:$L$8000,"&lt;="&amp;MIN(P$6,DATE(2000+VALUE(RIGHT(TRIM($A373),2)),12,31))),SUMIFS('Timesheet Raw'!$P$4:$P$8000,'Timesheet Raw'!$B$4:$B$8000,TRIM($A373),'Timesheet Raw'!$C$4:$C$8000,"*"&amp;$B373&amp;"*",'Timesheet Raw'!$L$4:$L$8000,"&gt;="&amp;P$5,'Timesheet Raw'!$L$4:$L$8000,"&lt;="&amp;P$6)))/'Profit Plan'!$B$5)</f>
        <v>0</v>
      </c>
      <c r="Q373" s="122">
        <f>IF($A373="","",(IF(ISNUMBER(SEARCH("Proposal",$A373)),SUMIFS('Timesheet Raw'!$P$4:$P$8000,'Timesheet Raw'!$A$4:$A$8000,IF(ISNUMBER(SEARCH("Chargable",$A373)),"2-Proposals Chargeable","3-Proposals Regular"),'Timesheet Raw'!$C$4:$C$8000,"*"&amp;$B373&amp;"*",'Timesheet Raw'!$L$4:$L$8000,"&gt;="&amp;MAX(Q$5,DATE(2000+VALUE(RIGHT(TRIM($A373),2)),1,1)),'Timesheet Raw'!$L$4:$L$8000,"&lt;="&amp;MIN(Q$6,DATE(2000+VALUE(RIGHT(TRIM($A373),2)),12,31))),SUMIFS('Timesheet Raw'!$P$4:$P$8000,'Timesheet Raw'!$B$4:$B$8000,TRIM($A373),'Timesheet Raw'!$C$4:$C$8000,"*"&amp;$B373&amp;"*",'Timesheet Raw'!$L$4:$L$8000,"&gt;="&amp;Q$5,'Timesheet Raw'!$L$4:$L$8000,"&lt;="&amp;Q$6)))/'Profit Plan'!$B$5)</f>
        <v>0</v>
      </c>
      <c r="R373" s="122">
        <f>IF($A373="","",(IF(ISNUMBER(SEARCH("Proposal",$A373)),SUMIFS('Timesheet Raw'!$P$4:$P$8000,'Timesheet Raw'!$A$4:$A$8000,IF(ISNUMBER(SEARCH("Chargable",$A373)),"2-Proposals Chargeable","3-Proposals Regular"),'Timesheet Raw'!$C$4:$C$8000,"*"&amp;$B373&amp;"*",'Timesheet Raw'!$L$4:$L$8000,"&gt;="&amp;MAX(R$5,DATE(2000+VALUE(RIGHT(TRIM($A373),2)),1,1)),'Timesheet Raw'!$L$4:$L$8000,"&lt;="&amp;MIN(R$6,DATE(2000+VALUE(RIGHT(TRIM($A373),2)),12,31))),SUMIFS('Timesheet Raw'!$P$4:$P$8000,'Timesheet Raw'!$B$4:$B$8000,TRIM($A373),'Timesheet Raw'!$C$4:$C$8000,"*"&amp;$B373&amp;"*",'Timesheet Raw'!$L$4:$L$8000,"&gt;="&amp;R$5,'Timesheet Raw'!$L$4:$L$8000,"&lt;="&amp;R$6)))/'Profit Plan'!$B$5)</f>
        <v>0</v>
      </c>
      <c r="S373" s="122">
        <f>IF($A373="","",(IF(ISNUMBER(SEARCH("Proposal",$A373)),SUMIFS('Timesheet Raw'!$P$4:$P$8000,'Timesheet Raw'!$A$4:$A$8000,IF(ISNUMBER(SEARCH("Chargable",$A373)),"2-Proposals Chargeable","3-Proposals Regular"),'Timesheet Raw'!$C$4:$C$8000,"*"&amp;$B373&amp;"*",'Timesheet Raw'!$L$4:$L$8000,"&gt;="&amp;MAX(S$5,DATE(2000+VALUE(RIGHT(TRIM($A373),2)),1,1)),'Timesheet Raw'!$L$4:$L$8000,"&lt;="&amp;MIN(S$6,DATE(2000+VALUE(RIGHT(TRIM($A373),2)),12,31))),SUMIFS('Timesheet Raw'!$P$4:$P$8000,'Timesheet Raw'!$B$4:$B$8000,TRIM($A373),'Timesheet Raw'!$C$4:$C$8000,"*"&amp;$B373&amp;"*",'Timesheet Raw'!$L$4:$L$8000,"&gt;="&amp;S$5,'Timesheet Raw'!$L$4:$L$8000,"&lt;="&amp;S$6)))/'Profit Plan'!$B$5)</f>
        <v>0</v>
      </c>
      <c r="T373" s="122">
        <f>IF($A373="","",(IF(ISNUMBER(SEARCH("Proposal",$A373)),SUMIFS('Timesheet Raw'!$P$4:$P$8000,'Timesheet Raw'!$A$4:$A$8000,IF(ISNUMBER(SEARCH("Chargable",$A373)),"2-Proposals Chargeable","3-Proposals Regular"),'Timesheet Raw'!$C$4:$C$8000,"*"&amp;$B373&amp;"*",'Timesheet Raw'!$L$4:$L$8000,"&gt;="&amp;MAX(T$5,DATE(2000+VALUE(RIGHT(TRIM($A373),2)),1,1)),'Timesheet Raw'!$L$4:$L$8000,"&lt;="&amp;MIN(T$6,DATE(2000+VALUE(RIGHT(TRIM($A373),2)),12,31))),SUMIFS('Timesheet Raw'!$P$4:$P$8000,'Timesheet Raw'!$B$4:$B$8000,TRIM($A373),'Timesheet Raw'!$C$4:$C$8000,"*"&amp;$B373&amp;"*",'Timesheet Raw'!$L$4:$L$8000,"&gt;="&amp;T$5,'Timesheet Raw'!$L$4:$L$8000,"&lt;="&amp;T$6)))/'Profit Plan'!$B$5)</f>
        <v>0</v>
      </c>
      <c r="U373" s="122">
        <f>IF($A373="","",(IF(ISNUMBER(SEARCH("Proposal",$A373)),SUMIFS('Timesheet Raw'!$P$4:$P$8000,'Timesheet Raw'!$A$4:$A$8000,IF(ISNUMBER(SEARCH("Chargable",$A373)),"2-Proposals Chargeable","3-Proposals Regular"),'Timesheet Raw'!$C$4:$C$8000,"*"&amp;$B373&amp;"*",'Timesheet Raw'!$L$4:$L$8000,"&gt;="&amp;MAX(U$5,DATE(2000+VALUE(RIGHT(TRIM($A373),2)),1,1)),'Timesheet Raw'!$L$4:$L$8000,"&lt;="&amp;MIN(U$6,DATE(2000+VALUE(RIGHT(TRIM($A373),2)),12,31))),SUMIFS('Timesheet Raw'!$P$4:$P$8000,'Timesheet Raw'!$B$4:$B$8000,TRIM($A373),'Timesheet Raw'!$C$4:$C$8000,"*"&amp;$B373&amp;"*",'Timesheet Raw'!$L$4:$L$8000,"&gt;="&amp;U$5,'Timesheet Raw'!$L$4:$L$8000,"&lt;="&amp;U$6)))/'Profit Plan'!$B$5)</f>
        <v>0</v>
      </c>
      <c r="V373" s="122">
        <f>IF($A373="","",(IF(ISNUMBER(SEARCH("Proposal",$A373)),SUMIFS('Timesheet Raw'!$P$4:$P$8000,'Timesheet Raw'!$A$4:$A$8000,IF(ISNUMBER(SEARCH("Chargable",$A373)),"2-Proposals Chargeable","3-Proposals Regular"),'Timesheet Raw'!$C$4:$C$8000,"*"&amp;$B373&amp;"*",'Timesheet Raw'!$L$4:$L$8000,"&gt;="&amp;MAX(V$5,DATE(2000+VALUE(RIGHT(TRIM($A373),2)),1,1)),'Timesheet Raw'!$L$4:$L$8000,"&lt;="&amp;MIN(V$6,DATE(2000+VALUE(RIGHT(TRIM($A373),2)),12,31))),SUMIFS('Timesheet Raw'!$P$4:$P$8000,'Timesheet Raw'!$B$4:$B$8000,TRIM($A373),'Timesheet Raw'!$C$4:$C$8000,"*"&amp;$B373&amp;"*",'Timesheet Raw'!$L$4:$L$8000,"&gt;="&amp;V$5,'Timesheet Raw'!$L$4:$L$8000,"&lt;="&amp;V$6)))/'Profit Plan'!$B$5)</f>
        <v>0</v>
      </c>
      <c r="W373" s="122">
        <f>IF($A373="","",(IF(ISNUMBER(SEARCH("Proposal",$A373)),SUMIFS('Timesheet Raw'!$P$4:$P$8000,'Timesheet Raw'!$A$4:$A$8000,IF(ISNUMBER(SEARCH("Chargable",$A373)),"2-Proposals Chargeable","3-Proposals Regular"),'Timesheet Raw'!$C$4:$C$8000,"*"&amp;$B373&amp;"*",'Timesheet Raw'!$L$4:$L$8000,"&gt;="&amp;MAX(W$5,DATE(2000+VALUE(RIGHT(TRIM($A373),2)),1,1)),'Timesheet Raw'!$L$4:$L$8000,"&lt;="&amp;MIN(W$6,DATE(2000+VALUE(RIGHT(TRIM($A373),2)),12,31))),SUMIFS('Timesheet Raw'!$P$4:$P$8000,'Timesheet Raw'!$B$4:$B$8000,TRIM($A373),'Timesheet Raw'!$C$4:$C$8000,"*"&amp;$B373&amp;"*",'Timesheet Raw'!$L$4:$L$8000,"&gt;="&amp;W$5,'Timesheet Raw'!$L$4:$L$8000,"&lt;="&amp;W$6)))/'Profit Plan'!$B$5)</f>
        <v>0</v>
      </c>
      <c r="X373" s="122">
        <f>IF($A373="","",(IF(ISNUMBER(SEARCH("Proposal",$A373)),SUMIFS('Timesheet Raw'!$P$4:$P$8000,'Timesheet Raw'!$A$4:$A$8000,IF(ISNUMBER(SEARCH("Chargable",$A373)),"2-Proposals Chargeable","3-Proposals Regular"),'Timesheet Raw'!$C$4:$C$8000,"*"&amp;$B373&amp;"*",'Timesheet Raw'!$L$4:$L$8000,"&gt;="&amp;MAX(X$5,DATE(2000+VALUE(RIGHT(TRIM($A373),2)),1,1)),'Timesheet Raw'!$L$4:$L$8000,"&lt;="&amp;MIN(X$6,DATE(2000+VALUE(RIGHT(TRIM($A373),2)),12,31))),SUMIFS('Timesheet Raw'!$P$4:$P$8000,'Timesheet Raw'!$B$4:$B$8000,TRIM($A373),'Timesheet Raw'!$C$4:$C$8000,"*"&amp;$B373&amp;"*",'Timesheet Raw'!$L$4:$L$8000,"&gt;="&amp;X$5,'Timesheet Raw'!$L$4:$L$8000,"&lt;="&amp;X$6)))/'Profit Plan'!$B$5)</f>
        <v>0</v>
      </c>
      <c r="Y373" s="118">
        <f t="shared" si="101"/>
        <v>5.4054054054054057E-2</v>
      </c>
    </row>
    <row r="374" spans="1:25" x14ac:dyDescent="0.3">
      <c r="A374" s="116" t="str">
        <f>IF(Inputs!$A42="","",Inputs!$A42)</f>
        <v>TA23011-0100R</v>
      </c>
      <c r="B374" s="116" t="str">
        <f>IF(Inputs!$A42="","",Inputs!$A$92)</f>
        <v>Osama</v>
      </c>
      <c r="C374" s="116"/>
      <c r="D374" s="122">
        <f>IF($A374="","",(IF(ISNUMBER(SEARCH("Proposal",$A374)),SUMIFS('Timesheet Raw'!$P$4:$P$8000,'Timesheet Raw'!$A$4:$A$8000,IF(ISNUMBER(SEARCH("Chargable",$A374)),"2-Proposals Chargeable","3-Proposals Regular"),'Timesheet Raw'!$C$4:$C$8000,"*"&amp;$B374&amp;"*",'Timesheet Raw'!$L$4:$L$8000,"&gt;="&amp;MAX(D$5,DATE(2000+VALUE(RIGHT(TRIM($A374),2)),1,1)),'Timesheet Raw'!$L$4:$L$8000,"&lt;="&amp;MIN(D$6,DATE(2000+VALUE(RIGHT(TRIM($A374),2)),12,31))),SUMIFS('Timesheet Raw'!$P$4:$P$8000,'Timesheet Raw'!$B$4:$B$8000,TRIM($A374),'Timesheet Raw'!$C$4:$C$8000,"*"&amp;$B374&amp;"*",'Timesheet Raw'!$L$4:$L$8000,"&gt;="&amp;D$5,'Timesheet Raw'!$L$4:$L$8000,"&lt;="&amp;D$6)))/'Profit Plan'!$B$5)</f>
        <v>0</v>
      </c>
      <c r="E374" s="122">
        <f>IF($A374="","",(IF(ISNUMBER(SEARCH("Proposal",$A374)),SUMIFS('Timesheet Raw'!$P$4:$P$8000,'Timesheet Raw'!$A$4:$A$8000,IF(ISNUMBER(SEARCH("Chargable",$A374)),"2-Proposals Chargeable","3-Proposals Regular"),'Timesheet Raw'!$C$4:$C$8000,"*"&amp;$B374&amp;"*",'Timesheet Raw'!$L$4:$L$8000,"&gt;="&amp;MAX(E$5,DATE(2000+VALUE(RIGHT(TRIM($A374),2)),1,1)),'Timesheet Raw'!$L$4:$L$8000,"&lt;="&amp;MIN(E$6,DATE(2000+VALUE(RIGHT(TRIM($A374),2)),12,31))),SUMIFS('Timesheet Raw'!$P$4:$P$8000,'Timesheet Raw'!$B$4:$B$8000,TRIM($A374),'Timesheet Raw'!$C$4:$C$8000,"*"&amp;$B374&amp;"*",'Timesheet Raw'!$L$4:$L$8000,"&gt;="&amp;E$5,'Timesheet Raw'!$L$4:$L$8000,"&lt;="&amp;E$6)))/'Profit Plan'!$B$5)</f>
        <v>0</v>
      </c>
      <c r="F374" s="122">
        <f>IF($A374="","",(IF(ISNUMBER(SEARCH("Proposal",$A374)),SUMIFS('Timesheet Raw'!$P$4:$P$8000,'Timesheet Raw'!$A$4:$A$8000,IF(ISNUMBER(SEARCH("Chargable",$A374)),"2-Proposals Chargeable","3-Proposals Regular"),'Timesheet Raw'!$C$4:$C$8000,"*"&amp;$B374&amp;"*",'Timesheet Raw'!$L$4:$L$8000,"&gt;="&amp;MAX(F$5,DATE(2000+VALUE(RIGHT(TRIM($A374),2)),1,1)),'Timesheet Raw'!$L$4:$L$8000,"&lt;="&amp;MIN(F$6,DATE(2000+VALUE(RIGHT(TRIM($A374),2)),12,31))),SUMIFS('Timesheet Raw'!$P$4:$P$8000,'Timesheet Raw'!$B$4:$B$8000,TRIM($A374),'Timesheet Raw'!$C$4:$C$8000,"*"&amp;$B374&amp;"*",'Timesheet Raw'!$L$4:$L$8000,"&gt;="&amp;F$5,'Timesheet Raw'!$L$4:$L$8000,"&lt;="&amp;F$6)))/'Profit Plan'!$B$5)</f>
        <v>0</v>
      </c>
      <c r="G374" s="122">
        <f>IF($A374="","",(IF(ISNUMBER(SEARCH("Proposal",$A374)),SUMIFS('Timesheet Raw'!$P$4:$P$8000,'Timesheet Raw'!$A$4:$A$8000,IF(ISNUMBER(SEARCH("Chargable",$A374)),"2-Proposals Chargeable","3-Proposals Regular"),'Timesheet Raw'!$C$4:$C$8000,"*"&amp;$B374&amp;"*",'Timesheet Raw'!$L$4:$L$8000,"&gt;="&amp;MAX(G$5,DATE(2000+VALUE(RIGHT(TRIM($A374),2)),1,1)),'Timesheet Raw'!$L$4:$L$8000,"&lt;="&amp;MIN(G$6,DATE(2000+VALUE(RIGHT(TRIM($A374),2)),12,31))),SUMIFS('Timesheet Raw'!$P$4:$P$8000,'Timesheet Raw'!$B$4:$B$8000,TRIM($A374),'Timesheet Raw'!$C$4:$C$8000,"*"&amp;$B374&amp;"*",'Timesheet Raw'!$L$4:$L$8000,"&gt;="&amp;G$5,'Timesheet Raw'!$L$4:$L$8000,"&lt;="&amp;G$6)))/'Profit Plan'!$B$5)</f>
        <v>0</v>
      </c>
      <c r="H374" s="122">
        <f>IF($A374="","",(IF(ISNUMBER(SEARCH("Proposal",$A374)),SUMIFS('Timesheet Raw'!$P$4:$P$8000,'Timesheet Raw'!$A$4:$A$8000,IF(ISNUMBER(SEARCH("Chargable",$A374)),"2-Proposals Chargeable","3-Proposals Regular"),'Timesheet Raw'!$C$4:$C$8000,"*"&amp;$B374&amp;"*",'Timesheet Raw'!$L$4:$L$8000,"&gt;="&amp;MAX(H$5,DATE(2000+VALUE(RIGHT(TRIM($A374),2)),1,1)),'Timesheet Raw'!$L$4:$L$8000,"&lt;="&amp;MIN(H$6,DATE(2000+VALUE(RIGHT(TRIM($A374),2)),12,31))),SUMIFS('Timesheet Raw'!$P$4:$P$8000,'Timesheet Raw'!$B$4:$B$8000,TRIM($A374),'Timesheet Raw'!$C$4:$C$8000,"*"&amp;$B374&amp;"*",'Timesheet Raw'!$L$4:$L$8000,"&gt;="&amp;H$5,'Timesheet Raw'!$L$4:$L$8000,"&lt;="&amp;H$6)))/'Profit Plan'!$B$5)</f>
        <v>0</v>
      </c>
      <c r="I374" s="122">
        <f>IF($A374="","",(IF(ISNUMBER(SEARCH("Proposal",$A374)),SUMIFS('Timesheet Raw'!$P$4:$P$8000,'Timesheet Raw'!$A$4:$A$8000,IF(ISNUMBER(SEARCH("Chargable",$A374)),"2-Proposals Chargeable","3-Proposals Regular"),'Timesheet Raw'!$C$4:$C$8000,"*"&amp;$B374&amp;"*",'Timesheet Raw'!$L$4:$L$8000,"&gt;="&amp;MAX(I$5,DATE(2000+VALUE(RIGHT(TRIM($A374),2)),1,1)),'Timesheet Raw'!$L$4:$L$8000,"&lt;="&amp;MIN(I$6,DATE(2000+VALUE(RIGHT(TRIM($A374),2)),12,31))),SUMIFS('Timesheet Raw'!$P$4:$P$8000,'Timesheet Raw'!$B$4:$B$8000,TRIM($A374),'Timesheet Raw'!$C$4:$C$8000,"*"&amp;$B374&amp;"*",'Timesheet Raw'!$L$4:$L$8000,"&gt;="&amp;I$5,'Timesheet Raw'!$L$4:$L$8000,"&lt;="&amp;I$6)))/'Profit Plan'!$B$5)</f>
        <v>0</v>
      </c>
      <c r="J374" s="122">
        <f>IF($A374="","",(IF(ISNUMBER(SEARCH("Proposal",$A374)),SUMIFS('Timesheet Raw'!$P$4:$P$8000,'Timesheet Raw'!$A$4:$A$8000,IF(ISNUMBER(SEARCH("Chargable",$A374)),"2-Proposals Chargeable","3-Proposals Regular"),'Timesheet Raw'!$C$4:$C$8000,"*"&amp;$B374&amp;"*",'Timesheet Raw'!$L$4:$L$8000,"&gt;="&amp;MAX(J$5,DATE(2000+VALUE(RIGHT(TRIM($A374),2)),1,1)),'Timesheet Raw'!$L$4:$L$8000,"&lt;="&amp;MIN(J$6,DATE(2000+VALUE(RIGHT(TRIM($A374),2)),12,31))),SUMIFS('Timesheet Raw'!$P$4:$P$8000,'Timesheet Raw'!$B$4:$B$8000,TRIM($A374),'Timesheet Raw'!$C$4:$C$8000,"*"&amp;$B374&amp;"*",'Timesheet Raw'!$L$4:$L$8000,"&gt;="&amp;J$5,'Timesheet Raw'!$L$4:$L$8000,"&lt;="&amp;J$6)))/'Profit Plan'!$B$5)</f>
        <v>0</v>
      </c>
      <c r="K374" s="122">
        <f>IF($A374="","",(IF(ISNUMBER(SEARCH("Proposal",$A374)),SUMIFS('Timesheet Raw'!$P$4:$P$8000,'Timesheet Raw'!$A$4:$A$8000,IF(ISNUMBER(SEARCH("Chargable",$A374)),"2-Proposals Chargeable","3-Proposals Regular"),'Timesheet Raw'!$C$4:$C$8000,"*"&amp;$B374&amp;"*",'Timesheet Raw'!$L$4:$L$8000,"&gt;="&amp;MAX(K$5,DATE(2000+VALUE(RIGHT(TRIM($A374),2)),1,1)),'Timesheet Raw'!$L$4:$L$8000,"&lt;="&amp;MIN(K$6,DATE(2000+VALUE(RIGHT(TRIM($A374),2)),12,31))),SUMIFS('Timesheet Raw'!$P$4:$P$8000,'Timesheet Raw'!$B$4:$B$8000,TRIM($A374),'Timesheet Raw'!$C$4:$C$8000,"*"&amp;$B374&amp;"*",'Timesheet Raw'!$L$4:$L$8000,"&gt;="&amp;K$5,'Timesheet Raw'!$L$4:$L$8000,"&lt;="&amp;K$6)))/'Profit Plan'!$B$5)</f>
        <v>0</v>
      </c>
      <c r="L374" s="122">
        <f>IF($A374="","",(IF(ISNUMBER(SEARCH("Proposal",$A374)),SUMIFS('Timesheet Raw'!$P$4:$P$8000,'Timesheet Raw'!$A$4:$A$8000,IF(ISNUMBER(SEARCH("Chargable",$A374)),"2-Proposals Chargeable","3-Proposals Regular"),'Timesheet Raw'!$C$4:$C$8000,"*"&amp;$B374&amp;"*",'Timesheet Raw'!$L$4:$L$8000,"&gt;="&amp;MAX(L$5,DATE(2000+VALUE(RIGHT(TRIM($A374),2)),1,1)),'Timesheet Raw'!$L$4:$L$8000,"&lt;="&amp;MIN(L$6,DATE(2000+VALUE(RIGHT(TRIM($A374),2)),12,31))),SUMIFS('Timesheet Raw'!$P$4:$P$8000,'Timesheet Raw'!$B$4:$B$8000,TRIM($A374),'Timesheet Raw'!$C$4:$C$8000,"*"&amp;$B374&amp;"*",'Timesheet Raw'!$L$4:$L$8000,"&gt;="&amp;L$5,'Timesheet Raw'!$L$4:$L$8000,"&lt;="&amp;L$6)))/'Profit Plan'!$B$5)</f>
        <v>0</v>
      </c>
      <c r="M374" s="122">
        <f>IF($A374="","",(IF(ISNUMBER(SEARCH("Proposal",$A374)),SUMIFS('Timesheet Raw'!$P$4:$P$8000,'Timesheet Raw'!$A$4:$A$8000,IF(ISNUMBER(SEARCH("Chargable",$A374)),"2-Proposals Chargeable","3-Proposals Regular"),'Timesheet Raw'!$C$4:$C$8000,"*"&amp;$B374&amp;"*",'Timesheet Raw'!$L$4:$L$8000,"&gt;="&amp;MAX(M$5,DATE(2000+VALUE(RIGHT(TRIM($A374),2)),1,1)),'Timesheet Raw'!$L$4:$L$8000,"&lt;="&amp;MIN(M$6,DATE(2000+VALUE(RIGHT(TRIM($A374),2)),12,31))),SUMIFS('Timesheet Raw'!$P$4:$P$8000,'Timesheet Raw'!$B$4:$B$8000,TRIM($A374),'Timesheet Raw'!$C$4:$C$8000,"*"&amp;$B374&amp;"*",'Timesheet Raw'!$L$4:$L$8000,"&gt;="&amp;M$5,'Timesheet Raw'!$L$4:$L$8000,"&lt;="&amp;M$6)))/'Profit Plan'!$B$5)</f>
        <v>0</v>
      </c>
      <c r="N374" s="122">
        <f>IF($A374="","",(IF(ISNUMBER(SEARCH("Proposal",$A374)),SUMIFS('Timesheet Raw'!$P$4:$P$8000,'Timesheet Raw'!$A$4:$A$8000,IF(ISNUMBER(SEARCH("Chargable",$A374)),"2-Proposals Chargeable","3-Proposals Regular"),'Timesheet Raw'!$C$4:$C$8000,"*"&amp;$B374&amp;"*",'Timesheet Raw'!$L$4:$L$8000,"&gt;="&amp;MAX(N$5,DATE(2000+VALUE(RIGHT(TRIM($A374),2)),1,1)),'Timesheet Raw'!$L$4:$L$8000,"&lt;="&amp;MIN(N$6,DATE(2000+VALUE(RIGHT(TRIM($A374),2)),12,31))),SUMIFS('Timesheet Raw'!$P$4:$P$8000,'Timesheet Raw'!$B$4:$B$8000,TRIM($A374),'Timesheet Raw'!$C$4:$C$8000,"*"&amp;$B374&amp;"*",'Timesheet Raw'!$L$4:$L$8000,"&gt;="&amp;N$5,'Timesheet Raw'!$L$4:$L$8000,"&lt;="&amp;N$6)))/'Profit Plan'!$B$5)</f>
        <v>0</v>
      </c>
      <c r="O374" s="122">
        <f>IF($A374="","",(IF(ISNUMBER(SEARCH("Proposal",$A374)),SUMIFS('Timesheet Raw'!$P$4:$P$8000,'Timesheet Raw'!$A$4:$A$8000,IF(ISNUMBER(SEARCH("Chargable",$A374)),"2-Proposals Chargeable","3-Proposals Regular"),'Timesheet Raw'!$C$4:$C$8000,"*"&amp;$B374&amp;"*",'Timesheet Raw'!$L$4:$L$8000,"&gt;="&amp;MAX(O$5,DATE(2000+VALUE(RIGHT(TRIM($A374),2)),1,1)),'Timesheet Raw'!$L$4:$L$8000,"&lt;="&amp;MIN(O$6,DATE(2000+VALUE(RIGHT(TRIM($A374),2)),12,31))),SUMIFS('Timesheet Raw'!$P$4:$P$8000,'Timesheet Raw'!$B$4:$B$8000,TRIM($A374),'Timesheet Raw'!$C$4:$C$8000,"*"&amp;$B374&amp;"*",'Timesheet Raw'!$L$4:$L$8000,"&gt;="&amp;O$5,'Timesheet Raw'!$L$4:$L$8000,"&lt;="&amp;O$6)))/'Profit Plan'!$B$5)</f>
        <v>0</v>
      </c>
      <c r="P374" s="122">
        <f>IF($A374="","",(IF(ISNUMBER(SEARCH("Proposal",$A374)),SUMIFS('Timesheet Raw'!$P$4:$P$8000,'Timesheet Raw'!$A$4:$A$8000,IF(ISNUMBER(SEARCH("Chargable",$A374)),"2-Proposals Chargeable","3-Proposals Regular"),'Timesheet Raw'!$C$4:$C$8000,"*"&amp;$B374&amp;"*",'Timesheet Raw'!$L$4:$L$8000,"&gt;="&amp;MAX(P$5,DATE(2000+VALUE(RIGHT(TRIM($A374),2)),1,1)),'Timesheet Raw'!$L$4:$L$8000,"&lt;="&amp;MIN(P$6,DATE(2000+VALUE(RIGHT(TRIM($A374),2)),12,31))),SUMIFS('Timesheet Raw'!$P$4:$P$8000,'Timesheet Raw'!$B$4:$B$8000,TRIM($A374),'Timesheet Raw'!$C$4:$C$8000,"*"&amp;$B374&amp;"*",'Timesheet Raw'!$L$4:$L$8000,"&gt;="&amp;P$5,'Timesheet Raw'!$L$4:$L$8000,"&lt;="&amp;P$6)))/'Profit Plan'!$B$5)</f>
        <v>0</v>
      </c>
      <c r="Q374" s="122">
        <f>IF($A374="","",(IF(ISNUMBER(SEARCH("Proposal",$A374)),SUMIFS('Timesheet Raw'!$P$4:$P$8000,'Timesheet Raw'!$A$4:$A$8000,IF(ISNUMBER(SEARCH("Chargable",$A374)),"2-Proposals Chargeable","3-Proposals Regular"),'Timesheet Raw'!$C$4:$C$8000,"*"&amp;$B374&amp;"*",'Timesheet Raw'!$L$4:$L$8000,"&gt;="&amp;MAX(Q$5,DATE(2000+VALUE(RIGHT(TRIM($A374),2)),1,1)),'Timesheet Raw'!$L$4:$L$8000,"&lt;="&amp;MIN(Q$6,DATE(2000+VALUE(RIGHT(TRIM($A374),2)),12,31))),SUMIFS('Timesheet Raw'!$P$4:$P$8000,'Timesheet Raw'!$B$4:$B$8000,TRIM($A374),'Timesheet Raw'!$C$4:$C$8000,"*"&amp;$B374&amp;"*",'Timesheet Raw'!$L$4:$L$8000,"&gt;="&amp;Q$5,'Timesheet Raw'!$L$4:$L$8000,"&lt;="&amp;Q$6)))/'Profit Plan'!$B$5)</f>
        <v>0</v>
      </c>
      <c r="R374" s="122">
        <f>IF($A374="","",(IF(ISNUMBER(SEARCH("Proposal",$A374)),SUMIFS('Timesheet Raw'!$P$4:$P$8000,'Timesheet Raw'!$A$4:$A$8000,IF(ISNUMBER(SEARCH("Chargable",$A374)),"2-Proposals Chargeable","3-Proposals Regular"),'Timesheet Raw'!$C$4:$C$8000,"*"&amp;$B374&amp;"*",'Timesheet Raw'!$L$4:$L$8000,"&gt;="&amp;MAX(R$5,DATE(2000+VALUE(RIGHT(TRIM($A374),2)),1,1)),'Timesheet Raw'!$L$4:$L$8000,"&lt;="&amp;MIN(R$6,DATE(2000+VALUE(RIGHT(TRIM($A374),2)),12,31))),SUMIFS('Timesheet Raw'!$P$4:$P$8000,'Timesheet Raw'!$B$4:$B$8000,TRIM($A374),'Timesheet Raw'!$C$4:$C$8000,"*"&amp;$B374&amp;"*",'Timesheet Raw'!$L$4:$L$8000,"&gt;="&amp;R$5,'Timesheet Raw'!$L$4:$L$8000,"&lt;="&amp;R$6)))/'Profit Plan'!$B$5)</f>
        <v>0</v>
      </c>
      <c r="S374" s="122">
        <f>IF($A374="","",(IF(ISNUMBER(SEARCH("Proposal",$A374)),SUMIFS('Timesheet Raw'!$P$4:$P$8000,'Timesheet Raw'!$A$4:$A$8000,IF(ISNUMBER(SEARCH("Chargable",$A374)),"2-Proposals Chargeable","3-Proposals Regular"),'Timesheet Raw'!$C$4:$C$8000,"*"&amp;$B374&amp;"*",'Timesheet Raw'!$L$4:$L$8000,"&gt;="&amp;MAX(S$5,DATE(2000+VALUE(RIGHT(TRIM($A374),2)),1,1)),'Timesheet Raw'!$L$4:$L$8000,"&lt;="&amp;MIN(S$6,DATE(2000+VALUE(RIGHT(TRIM($A374),2)),12,31))),SUMIFS('Timesheet Raw'!$P$4:$P$8000,'Timesheet Raw'!$B$4:$B$8000,TRIM($A374),'Timesheet Raw'!$C$4:$C$8000,"*"&amp;$B374&amp;"*",'Timesheet Raw'!$L$4:$L$8000,"&gt;="&amp;S$5,'Timesheet Raw'!$L$4:$L$8000,"&lt;="&amp;S$6)))/'Profit Plan'!$B$5)</f>
        <v>0</v>
      </c>
      <c r="T374" s="122">
        <f>IF($A374="","",(IF(ISNUMBER(SEARCH("Proposal",$A374)),SUMIFS('Timesheet Raw'!$P$4:$P$8000,'Timesheet Raw'!$A$4:$A$8000,IF(ISNUMBER(SEARCH("Chargable",$A374)),"2-Proposals Chargeable","3-Proposals Regular"),'Timesheet Raw'!$C$4:$C$8000,"*"&amp;$B374&amp;"*",'Timesheet Raw'!$L$4:$L$8000,"&gt;="&amp;MAX(T$5,DATE(2000+VALUE(RIGHT(TRIM($A374),2)),1,1)),'Timesheet Raw'!$L$4:$L$8000,"&lt;="&amp;MIN(T$6,DATE(2000+VALUE(RIGHT(TRIM($A374),2)),12,31))),SUMIFS('Timesheet Raw'!$P$4:$P$8000,'Timesheet Raw'!$B$4:$B$8000,TRIM($A374),'Timesheet Raw'!$C$4:$C$8000,"*"&amp;$B374&amp;"*",'Timesheet Raw'!$L$4:$L$8000,"&gt;="&amp;T$5,'Timesheet Raw'!$L$4:$L$8000,"&lt;="&amp;T$6)))/'Profit Plan'!$B$5)</f>
        <v>0</v>
      </c>
      <c r="U374" s="122">
        <f>IF($A374="","",(IF(ISNUMBER(SEARCH("Proposal",$A374)),SUMIFS('Timesheet Raw'!$P$4:$P$8000,'Timesheet Raw'!$A$4:$A$8000,IF(ISNUMBER(SEARCH("Chargable",$A374)),"2-Proposals Chargeable","3-Proposals Regular"),'Timesheet Raw'!$C$4:$C$8000,"*"&amp;$B374&amp;"*",'Timesheet Raw'!$L$4:$L$8000,"&gt;="&amp;MAX(U$5,DATE(2000+VALUE(RIGHT(TRIM($A374),2)),1,1)),'Timesheet Raw'!$L$4:$L$8000,"&lt;="&amp;MIN(U$6,DATE(2000+VALUE(RIGHT(TRIM($A374),2)),12,31))),SUMIFS('Timesheet Raw'!$P$4:$P$8000,'Timesheet Raw'!$B$4:$B$8000,TRIM($A374),'Timesheet Raw'!$C$4:$C$8000,"*"&amp;$B374&amp;"*",'Timesheet Raw'!$L$4:$L$8000,"&gt;="&amp;U$5,'Timesheet Raw'!$L$4:$L$8000,"&lt;="&amp;U$6)))/'Profit Plan'!$B$5)</f>
        <v>0</v>
      </c>
      <c r="V374" s="122">
        <f>IF($A374="","",(IF(ISNUMBER(SEARCH("Proposal",$A374)),SUMIFS('Timesheet Raw'!$P$4:$P$8000,'Timesheet Raw'!$A$4:$A$8000,IF(ISNUMBER(SEARCH("Chargable",$A374)),"2-Proposals Chargeable","3-Proposals Regular"),'Timesheet Raw'!$C$4:$C$8000,"*"&amp;$B374&amp;"*",'Timesheet Raw'!$L$4:$L$8000,"&gt;="&amp;MAX(V$5,DATE(2000+VALUE(RIGHT(TRIM($A374),2)),1,1)),'Timesheet Raw'!$L$4:$L$8000,"&lt;="&amp;MIN(V$6,DATE(2000+VALUE(RIGHT(TRIM($A374),2)),12,31))),SUMIFS('Timesheet Raw'!$P$4:$P$8000,'Timesheet Raw'!$B$4:$B$8000,TRIM($A374),'Timesheet Raw'!$C$4:$C$8000,"*"&amp;$B374&amp;"*",'Timesheet Raw'!$L$4:$L$8000,"&gt;="&amp;V$5,'Timesheet Raw'!$L$4:$L$8000,"&lt;="&amp;V$6)))/'Profit Plan'!$B$5)</f>
        <v>0</v>
      </c>
      <c r="W374" s="122">
        <f>IF($A374="","",(IF(ISNUMBER(SEARCH("Proposal",$A374)),SUMIFS('Timesheet Raw'!$P$4:$P$8000,'Timesheet Raw'!$A$4:$A$8000,IF(ISNUMBER(SEARCH("Chargable",$A374)),"2-Proposals Chargeable","3-Proposals Regular"),'Timesheet Raw'!$C$4:$C$8000,"*"&amp;$B374&amp;"*",'Timesheet Raw'!$L$4:$L$8000,"&gt;="&amp;MAX(W$5,DATE(2000+VALUE(RIGHT(TRIM($A374),2)),1,1)),'Timesheet Raw'!$L$4:$L$8000,"&lt;="&amp;MIN(W$6,DATE(2000+VALUE(RIGHT(TRIM($A374),2)),12,31))),SUMIFS('Timesheet Raw'!$P$4:$P$8000,'Timesheet Raw'!$B$4:$B$8000,TRIM($A374),'Timesheet Raw'!$C$4:$C$8000,"*"&amp;$B374&amp;"*",'Timesheet Raw'!$L$4:$L$8000,"&gt;="&amp;W$5,'Timesheet Raw'!$L$4:$L$8000,"&lt;="&amp;W$6)))/'Profit Plan'!$B$5)</f>
        <v>0</v>
      </c>
      <c r="X374" s="122">
        <f>IF($A374="","",(IF(ISNUMBER(SEARCH("Proposal",$A374)),SUMIFS('Timesheet Raw'!$P$4:$P$8000,'Timesheet Raw'!$A$4:$A$8000,IF(ISNUMBER(SEARCH("Chargable",$A374)),"2-Proposals Chargeable","3-Proposals Regular"),'Timesheet Raw'!$C$4:$C$8000,"*"&amp;$B374&amp;"*",'Timesheet Raw'!$L$4:$L$8000,"&gt;="&amp;MAX(X$5,DATE(2000+VALUE(RIGHT(TRIM($A374),2)),1,1)),'Timesheet Raw'!$L$4:$L$8000,"&lt;="&amp;MIN(X$6,DATE(2000+VALUE(RIGHT(TRIM($A374),2)),12,31))),SUMIFS('Timesheet Raw'!$P$4:$P$8000,'Timesheet Raw'!$B$4:$B$8000,TRIM($A374),'Timesheet Raw'!$C$4:$C$8000,"*"&amp;$B374&amp;"*",'Timesheet Raw'!$L$4:$L$8000,"&gt;="&amp;X$5,'Timesheet Raw'!$L$4:$L$8000,"&lt;="&amp;X$6)))/'Profit Plan'!$B$5)</f>
        <v>0</v>
      </c>
      <c r="Y374" s="118">
        <f t="shared" si="101"/>
        <v>0</v>
      </c>
    </row>
    <row r="375" spans="1:25" x14ac:dyDescent="0.3">
      <c r="A375" s="116" t="str">
        <f>IF(Inputs!$A42="","",Inputs!$A42)</f>
        <v>TA23011-0100R</v>
      </c>
      <c r="B375" s="116" t="str">
        <f>IF(Inputs!$A42="","",Inputs!$A$93)</f>
        <v>Kirolos</v>
      </c>
      <c r="C375" s="116"/>
      <c r="D375" s="122">
        <f>IF($A375="","",(IF(ISNUMBER(SEARCH("Proposal",$A375)),SUMIFS('Timesheet Raw'!$P$4:$P$8000,'Timesheet Raw'!$A$4:$A$8000,IF(ISNUMBER(SEARCH("Chargable",$A375)),"2-Proposals Chargeable","3-Proposals Regular"),'Timesheet Raw'!$C$4:$C$8000,"*"&amp;$B375&amp;"*",'Timesheet Raw'!$L$4:$L$8000,"&gt;="&amp;MAX(D$5,DATE(2000+VALUE(RIGHT(TRIM($A375),2)),1,1)),'Timesheet Raw'!$L$4:$L$8000,"&lt;="&amp;MIN(D$6,DATE(2000+VALUE(RIGHT(TRIM($A375),2)),12,31))),SUMIFS('Timesheet Raw'!$P$4:$P$8000,'Timesheet Raw'!$B$4:$B$8000,TRIM($A375),'Timesheet Raw'!$C$4:$C$8000,"*"&amp;$B375&amp;"*",'Timesheet Raw'!$L$4:$L$8000,"&gt;="&amp;D$5,'Timesheet Raw'!$L$4:$L$8000,"&lt;="&amp;D$6)))/'Profit Plan'!$B$5)</f>
        <v>0</v>
      </c>
      <c r="E375" s="122">
        <f>IF($A375="","",(IF(ISNUMBER(SEARCH("Proposal",$A375)),SUMIFS('Timesheet Raw'!$P$4:$P$8000,'Timesheet Raw'!$A$4:$A$8000,IF(ISNUMBER(SEARCH("Chargable",$A375)),"2-Proposals Chargeable","3-Proposals Regular"),'Timesheet Raw'!$C$4:$C$8000,"*"&amp;$B375&amp;"*",'Timesheet Raw'!$L$4:$L$8000,"&gt;="&amp;MAX(E$5,DATE(2000+VALUE(RIGHT(TRIM($A375),2)),1,1)),'Timesheet Raw'!$L$4:$L$8000,"&lt;="&amp;MIN(E$6,DATE(2000+VALUE(RIGHT(TRIM($A375),2)),12,31))),SUMIFS('Timesheet Raw'!$P$4:$P$8000,'Timesheet Raw'!$B$4:$B$8000,TRIM($A375),'Timesheet Raw'!$C$4:$C$8000,"*"&amp;$B375&amp;"*",'Timesheet Raw'!$L$4:$L$8000,"&gt;="&amp;E$5,'Timesheet Raw'!$L$4:$L$8000,"&lt;="&amp;E$6)))/'Profit Plan'!$B$5)</f>
        <v>0</v>
      </c>
      <c r="F375" s="122">
        <f>IF($A375="","",(IF(ISNUMBER(SEARCH("Proposal",$A375)),SUMIFS('Timesheet Raw'!$P$4:$P$8000,'Timesheet Raw'!$A$4:$A$8000,IF(ISNUMBER(SEARCH("Chargable",$A375)),"2-Proposals Chargeable","3-Proposals Regular"),'Timesheet Raw'!$C$4:$C$8000,"*"&amp;$B375&amp;"*",'Timesheet Raw'!$L$4:$L$8000,"&gt;="&amp;MAX(F$5,DATE(2000+VALUE(RIGHT(TRIM($A375),2)),1,1)),'Timesheet Raw'!$L$4:$L$8000,"&lt;="&amp;MIN(F$6,DATE(2000+VALUE(RIGHT(TRIM($A375),2)),12,31))),SUMIFS('Timesheet Raw'!$P$4:$P$8000,'Timesheet Raw'!$B$4:$B$8000,TRIM($A375),'Timesheet Raw'!$C$4:$C$8000,"*"&amp;$B375&amp;"*",'Timesheet Raw'!$L$4:$L$8000,"&gt;="&amp;F$5,'Timesheet Raw'!$L$4:$L$8000,"&lt;="&amp;F$6)))/'Profit Plan'!$B$5)</f>
        <v>0</v>
      </c>
      <c r="G375" s="122">
        <f>IF($A375="","",(IF(ISNUMBER(SEARCH("Proposal",$A375)),SUMIFS('Timesheet Raw'!$P$4:$P$8000,'Timesheet Raw'!$A$4:$A$8000,IF(ISNUMBER(SEARCH("Chargable",$A375)),"2-Proposals Chargeable","3-Proposals Regular"),'Timesheet Raw'!$C$4:$C$8000,"*"&amp;$B375&amp;"*",'Timesheet Raw'!$L$4:$L$8000,"&gt;="&amp;MAX(G$5,DATE(2000+VALUE(RIGHT(TRIM($A375),2)),1,1)),'Timesheet Raw'!$L$4:$L$8000,"&lt;="&amp;MIN(G$6,DATE(2000+VALUE(RIGHT(TRIM($A375),2)),12,31))),SUMIFS('Timesheet Raw'!$P$4:$P$8000,'Timesheet Raw'!$B$4:$B$8000,TRIM($A375),'Timesheet Raw'!$C$4:$C$8000,"*"&amp;$B375&amp;"*",'Timesheet Raw'!$L$4:$L$8000,"&gt;="&amp;G$5,'Timesheet Raw'!$L$4:$L$8000,"&lt;="&amp;G$6)))/'Profit Plan'!$B$5)</f>
        <v>0</v>
      </c>
      <c r="H375" s="122">
        <f>IF($A375="","",(IF(ISNUMBER(SEARCH("Proposal",$A375)),SUMIFS('Timesheet Raw'!$P$4:$P$8000,'Timesheet Raw'!$A$4:$A$8000,IF(ISNUMBER(SEARCH("Chargable",$A375)),"2-Proposals Chargeable","3-Proposals Regular"),'Timesheet Raw'!$C$4:$C$8000,"*"&amp;$B375&amp;"*",'Timesheet Raw'!$L$4:$L$8000,"&gt;="&amp;MAX(H$5,DATE(2000+VALUE(RIGHT(TRIM($A375),2)),1,1)),'Timesheet Raw'!$L$4:$L$8000,"&lt;="&amp;MIN(H$6,DATE(2000+VALUE(RIGHT(TRIM($A375),2)),12,31))),SUMIFS('Timesheet Raw'!$P$4:$P$8000,'Timesheet Raw'!$B$4:$B$8000,TRIM($A375),'Timesheet Raw'!$C$4:$C$8000,"*"&amp;$B375&amp;"*",'Timesheet Raw'!$L$4:$L$8000,"&gt;="&amp;H$5,'Timesheet Raw'!$L$4:$L$8000,"&lt;="&amp;H$6)))/'Profit Plan'!$B$5)</f>
        <v>0</v>
      </c>
      <c r="I375" s="122">
        <f>IF($A375="","",(IF(ISNUMBER(SEARCH("Proposal",$A375)),SUMIFS('Timesheet Raw'!$P$4:$P$8000,'Timesheet Raw'!$A$4:$A$8000,IF(ISNUMBER(SEARCH("Chargable",$A375)),"2-Proposals Chargeable","3-Proposals Regular"),'Timesheet Raw'!$C$4:$C$8000,"*"&amp;$B375&amp;"*",'Timesheet Raw'!$L$4:$L$8000,"&gt;="&amp;MAX(I$5,DATE(2000+VALUE(RIGHT(TRIM($A375),2)),1,1)),'Timesheet Raw'!$L$4:$L$8000,"&lt;="&amp;MIN(I$6,DATE(2000+VALUE(RIGHT(TRIM($A375),2)),12,31))),SUMIFS('Timesheet Raw'!$P$4:$P$8000,'Timesheet Raw'!$B$4:$B$8000,TRIM($A375),'Timesheet Raw'!$C$4:$C$8000,"*"&amp;$B375&amp;"*",'Timesheet Raw'!$L$4:$L$8000,"&gt;="&amp;I$5,'Timesheet Raw'!$L$4:$L$8000,"&lt;="&amp;I$6)))/'Profit Plan'!$B$5)</f>
        <v>0</v>
      </c>
      <c r="J375" s="122">
        <f>IF($A375="","",(IF(ISNUMBER(SEARCH("Proposal",$A375)),SUMIFS('Timesheet Raw'!$P$4:$P$8000,'Timesheet Raw'!$A$4:$A$8000,IF(ISNUMBER(SEARCH("Chargable",$A375)),"2-Proposals Chargeable","3-Proposals Regular"),'Timesheet Raw'!$C$4:$C$8000,"*"&amp;$B375&amp;"*",'Timesheet Raw'!$L$4:$L$8000,"&gt;="&amp;MAX(J$5,DATE(2000+VALUE(RIGHT(TRIM($A375),2)),1,1)),'Timesheet Raw'!$L$4:$L$8000,"&lt;="&amp;MIN(J$6,DATE(2000+VALUE(RIGHT(TRIM($A375),2)),12,31))),SUMIFS('Timesheet Raw'!$P$4:$P$8000,'Timesheet Raw'!$B$4:$B$8000,TRIM($A375),'Timesheet Raw'!$C$4:$C$8000,"*"&amp;$B375&amp;"*",'Timesheet Raw'!$L$4:$L$8000,"&gt;="&amp;J$5,'Timesheet Raw'!$L$4:$L$8000,"&lt;="&amp;J$6)))/'Profit Plan'!$B$5)</f>
        <v>0</v>
      </c>
      <c r="K375" s="122">
        <f>IF($A375="","",(IF(ISNUMBER(SEARCH("Proposal",$A375)),SUMIFS('Timesheet Raw'!$P$4:$P$8000,'Timesheet Raw'!$A$4:$A$8000,IF(ISNUMBER(SEARCH("Chargable",$A375)),"2-Proposals Chargeable","3-Proposals Regular"),'Timesheet Raw'!$C$4:$C$8000,"*"&amp;$B375&amp;"*",'Timesheet Raw'!$L$4:$L$8000,"&gt;="&amp;MAX(K$5,DATE(2000+VALUE(RIGHT(TRIM($A375),2)),1,1)),'Timesheet Raw'!$L$4:$L$8000,"&lt;="&amp;MIN(K$6,DATE(2000+VALUE(RIGHT(TRIM($A375),2)),12,31))),SUMIFS('Timesheet Raw'!$P$4:$P$8000,'Timesheet Raw'!$B$4:$B$8000,TRIM($A375),'Timesheet Raw'!$C$4:$C$8000,"*"&amp;$B375&amp;"*",'Timesheet Raw'!$L$4:$L$8000,"&gt;="&amp;K$5,'Timesheet Raw'!$L$4:$L$8000,"&lt;="&amp;K$6)))/'Profit Plan'!$B$5)</f>
        <v>0</v>
      </c>
      <c r="L375" s="122">
        <f>IF($A375="","",(IF(ISNUMBER(SEARCH("Proposal",$A375)),SUMIFS('Timesheet Raw'!$P$4:$P$8000,'Timesheet Raw'!$A$4:$A$8000,IF(ISNUMBER(SEARCH("Chargable",$A375)),"2-Proposals Chargeable","3-Proposals Regular"),'Timesheet Raw'!$C$4:$C$8000,"*"&amp;$B375&amp;"*",'Timesheet Raw'!$L$4:$L$8000,"&gt;="&amp;MAX(L$5,DATE(2000+VALUE(RIGHT(TRIM($A375),2)),1,1)),'Timesheet Raw'!$L$4:$L$8000,"&lt;="&amp;MIN(L$6,DATE(2000+VALUE(RIGHT(TRIM($A375),2)),12,31))),SUMIFS('Timesheet Raw'!$P$4:$P$8000,'Timesheet Raw'!$B$4:$B$8000,TRIM($A375),'Timesheet Raw'!$C$4:$C$8000,"*"&amp;$B375&amp;"*",'Timesheet Raw'!$L$4:$L$8000,"&gt;="&amp;L$5,'Timesheet Raw'!$L$4:$L$8000,"&lt;="&amp;L$6)))/'Profit Plan'!$B$5)</f>
        <v>0</v>
      </c>
      <c r="M375" s="122">
        <f>IF($A375="","",(IF(ISNUMBER(SEARCH("Proposal",$A375)),SUMIFS('Timesheet Raw'!$P$4:$P$8000,'Timesheet Raw'!$A$4:$A$8000,IF(ISNUMBER(SEARCH("Chargable",$A375)),"2-Proposals Chargeable","3-Proposals Regular"),'Timesheet Raw'!$C$4:$C$8000,"*"&amp;$B375&amp;"*",'Timesheet Raw'!$L$4:$L$8000,"&gt;="&amp;MAX(M$5,DATE(2000+VALUE(RIGHT(TRIM($A375),2)),1,1)),'Timesheet Raw'!$L$4:$L$8000,"&lt;="&amp;MIN(M$6,DATE(2000+VALUE(RIGHT(TRIM($A375),2)),12,31))),SUMIFS('Timesheet Raw'!$P$4:$P$8000,'Timesheet Raw'!$B$4:$B$8000,TRIM($A375),'Timesheet Raw'!$C$4:$C$8000,"*"&amp;$B375&amp;"*",'Timesheet Raw'!$L$4:$L$8000,"&gt;="&amp;M$5,'Timesheet Raw'!$L$4:$L$8000,"&lt;="&amp;M$6)))/'Profit Plan'!$B$5)</f>
        <v>0</v>
      </c>
      <c r="N375" s="122">
        <f>IF($A375="","",(IF(ISNUMBER(SEARCH("Proposal",$A375)),SUMIFS('Timesheet Raw'!$P$4:$P$8000,'Timesheet Raw'!$A$4:$A$8000,IF(ISNUMBER(SEARCH("Chargable",$A375)),"2-Proposals Chargeable","3-Proposals Regular"),'Timesheet Raw'!$C$4:$C$8000,"*"&amp;$B375&amp;"*",'Timesheet Raw'!$L$4:$L$8000,"&gt;="&amp;MAX(N$5,DATE(2000+VALUE(RIGHT(TRIM($A375),2)),1,1)),'Timesheet Raw'!$L$4:$L$8000,"&lt;="&amp;MIN(N$6,DATE(2000+VALUE(RIGHT(TRIM($A375),2)),12,31))),SUMIFS('Timesheet Raw'!$P$4:$P$8000,'Timesheet Raw'!$B$4:$B$8000,TRIM($A375),'Timesheet Raw'!$C$4:$C$8000,"*"&amp;$B375&amp;"*",'Timesheet Raw'!$L$4:$L$8000,"&gt;="&amp;N$5,'Timesheet Raw'!$L$4:$L$8000,"&lt;="&amp;N$6)))/'Profit Plan'!$B$5)</f>
        <v>0</v>
      </c>
      <c r="O375" s="122">
        <f>IF($A375="","",(IF(ISNUMBER(SEARCH("Proposal",$A375)),SUMIFS('Timesheet Raw'!$P$4:$P$8000,'Timesheet Raw'!$A$4:$A$8000,IF(ISNUMBER(SEARCH("Chargable",$A375)),"2-Proposals Chargeable","3-Proposals Regular"),'Timesheet Raw'!$C$4:$C$8000,"*"&amp;$B375&amp;"*",'Timesheet Raw'!$L$4:$L$8000,"&gt;="&amp;MAX(O$5,DATE(2000+VALUE(RIGHT(TRIM($A375),2)),1,1)),'Timesheet Raw'!$L$4:$L$8000,"&lt;="&amp;MIN(O$6,DATE(2000+VALUE(RIGHT(TRIM($A375),2)),12,31))),SUMIFS('Timesheet Raw'!$P$4:$P$8000,'Timesheet Raw'!$B$4:$B$8000,TRIM($A375),'Timesheet Raw'!$C$4:$C$8000,"*"&amp;$B375&amp;"*",'Timesheet Raw'!$L$4:$L$8000,"&gt;="&amp;O$5,'Timesheet Raw'!$L$4:$L$8000,"&lt;="&amp;O$6)))/'Profit Plan'!$B$5)</f>
        <v>0</v>
      </c>
      <c r="P375" s="122">
        <f>IF($A375="","",(IF(ISNUMBER(SEARCH("Proposal",$A375)),SUMIFS('Timesheet Raw'!$P$4:$P$8000,'Timesheet Raw'!$A$4:$A$8000,IF(ISNUMBER(SEARCH("Chargable",$A375)),"2-Proposals Chargeable","3-Proposals Regular"),'Timesheet Raw'!$C$4:$C$8000,"*"&amp;$B375&amp;"*",'Timesheet Raw'!$L$4:$L$8000,"&gt;="&amp;MAX(P$5,DATE(2000+VALUE(RIGHT(TRIM($A375),2)),1,1)),'Timesheet Raw'!$L$4:$L$8000,"&lt;="&amp;MIN(P$6,DATE(2000+VALUE(RIGHT(TRIM($A375),2)),12,31))),SUMIFS('Timesheet Raw'!$P$4:$P$8000,'Timesheet Raw'!$B$4:$B$8000,TRIM($A375),'Timesheet Raw'!$C$4:$C$8000,"*"&amp;$B375&amp;"*",'Timesheet Raw'!$L$4:$L$8000,"&gt;="&amp;P$5,'Timesheet Raw'!$L$4:$L$8000,"&lt;="&amp;P$6)))/'Profit Plan'!$B$5)</f>
        <v>0</v>
      </c>
      <c r="Q375" s="122">
        <f>IF($A375="","",(IF(ISNUMBER(SEARCH("Proposal",$A375)),SUMIFS('Timesheet Raw'!$P$4:$P$8000,'Timesheet Raw'!$A$4:$A$8000,IF(ISNUMBER(SEARCH("Chargable",$A375)),"2-Proposals Chargeable","3-Proposals Regular"),'Timesheet Raw'!$C$4:$C$8000,"*"&amp;$B375&amp;"*",'Timesheet Raw'!$L$4:$L$8000,"&gt;="&amp;MAX(Q$5,DATE(2000+VALUE(RIGHT(TRIM($A375),2)),1,1)),'Timesheet Raw'!$L$4:$L$8000,"&lt;="&amp;MIN(Q$6,DATE(2000+VALUE(RIGHT(TRIM($A375),2)),12,31))),SUMIFS('Timesheet Raw'!$P$4:$P$8000,'Timesheet Raw'!$B$4:$B$8000,TRIM($A375),'Timesheet Raw'!$C$4:$C$8000,"*"&amp;$B375&amp;"*",'Timesheet Raw'!$L$4:$L$8000,"&gt;="&amp;Q$5,'Timesheet Raw'!$L$4:$L$8000,"&lt;="&amp;Q$6)))/'Profit Plan'!$B$5)</f>
        <v>0</v>
      </c>
      <c r="R375" s="122">
        <f>IF($A375="","",(IF(ISNUMBER(SEARCH("Proposal",$A375)),SUMIFS('Timesheet Raw'!$P$4:$P$8000,'Timesheet Raw'!$A$4:$A$8000,IF(ISNUMBER(SEARCH("Chargable",$A375)),"2-Proposals Chargeable","3-Proposals Regular"),'Timesheet Raw'!$C$4:$C$8000,"*"&amp;$B375&amp;"*",'Timesheet Raw'!$L$4:$L$8000,"&gt;="&amp;MAX(R$5,DATE(2000+VALUE(RIGHT(TRIM($A375),2)),1,1)),'Timesheet Raw'!$L$4:$L$8000,"&lt;="&amp;MIN(R$6,DATE(2000+VALUE(RIGHT(TRIM($A375),2)),12,31))),SUMIFS('Timesheet Raw'!$P$4:$P$8000,'Timesheet Raw'!$B$4:$B$8000,TRIM($A375),'Timesheet Raw'!$C$4:$C$8000,"*"&amp;$B375&amp;"*",'Timesheet Raw'!$L$4:$L$8000,"&gt;="&amp;R$5,'Timesheet Raw'!$L$4:$L$8000,"&lt;="&amp;R$6)))/'Profit Plan'!$B$5)</f>
        <v>0</v>
      </c>
      <c r="S375" s="122">
        <f>IF($A375="","",(IF(ISNUMBER(SEARCH("Proposal",$A375)),SUMIFS('Timesheet Raw'!$P$4:$P$8000,'Timesheet Raw'!$A$4:$A$8000,IF(ISNUMBER(SEARCH("Chargable",$A375)),"2-Proposals Chargeable","3-Proposals Regular"),'Timesheet Raw'!$C$4:$C$8000,"*"&amp;$B375&amp;"*",'Timesheet Raw'!$L$4:$L$8000,"&gt;="&amp;MAX(S$5,DATE(2000+VALUE(RIGHT(TRIM($A375),2)),1,1)),'Timesheet Raw'!$L$4:$L$8000,"&lt;="&amp;MIN(S$6,DATE(2000+VALUE(RIGHT(TRIM($A375),2)),12,31))),SUMIFS('Timesheet Raw'!$P$4:$P$8000,'Timesheet Raw'!$B$4:$B$8000,TRIM($A375),'Timesheet Raw'!$C$4:$C$8000,"*"&amp;$B375&amp;"*",'Timesheet Raw'!$L$4:$L$8000,"&gt;="&amp;S$5,'Timesheet Raw'!$L$4:$L$8000,"&lt;="&amp;S$6)))/'Profit Plan'!$B$5)</f>
        <v>0</v>
      </c>
      <c r="T375" s="122">
        <f>IF($A375="","",(IF(ISNUMBER(SEARCH("Proposal",$A375)),SUMIFS('Timesheet Raw'!$P$4:$P$8000,'Timesheet Raw'!$A$4:$A$8000,IF(ISNUMBER(SEARCH("Chargable",$A375)),"2-Proposals Chargeable","3-Proposals Regular"),'Timesheet Raw'!$C$4:$C$8000,"*"&amp;$B375&amp;"*",'Timesheet Raw'!$L$4:$L$8000,"&gt;="&amp;MAX(T$5,DATE(2000+VALUE(RIGHT(TRIM($A375),2)),1,1)),'Timesheet Raw'!$L$4:$L$8000,"&lt;="&amp;MIN(T$6,DATE(2000+VALUE(RIGHT(TRIM($A375),2)),12,31))),SUMIFS('Timesheet Raw'!$P$4:$P$8000,'Timesheet Raw'!$B$4:$B$8000,TRIM($A375),'Timesheet Raw'!$C$4:$C$8000,"*"&amp;$B375&amp;"*",'Timesheet Raw'!$L$4:$L$8000,"&gt;="&amp;T$5,'Timesheet Raw'!$L$4:$L$8000,"&lt;="&amp;T$6)))/'Profit Plan'!$B$5)</f>
        <v>0</v>
      </c>
      <c r="U375" s="122">
        <f>IF($A375="","",(IF(ISNUMBER(SEARCH("Proposal",$A375)),SUMIFS('Timesheet Raw'!$P$4:$P$8000,'Timesheet Raw'!$A$4:$A$8000,IF(ISNUMBER(SEARCH("Chargable",$A375)),"2-Proposals Chargeable","3-Proposals Regular"),'Timesheet Raw'!$C$4:$C$8000,"*"&amp;$B375&amp;"*",'Timesheet Raw'!$L$4:$L$8000,"&gt;="&amp;MAX(U$5,DATE(2000+VALUE(RIGHT(TRIM($A375),2)),1,1)),'Timesheet Raw'!$L$4:$L$8000,"&lt;="&amp;MIN(U$6,DATE(2000+VALUE(RIGHT(TRIM($A375),2)),12,31))),SUMIFS('Timesheet Raw'!$P$4:$P$8000,'Timesheet Raw'!$B$4:$B$8000,TRIM($A375),'Timesheet Raw'!$C$4:$C$8000,"*"&amp;$B375&amp;"*",'Timesheet Raw'!$L$4:$L$8000,"&gt;="&amp;U$5,'Timesheet Raw'!$L$4:$L$8000,"&lt;="&amp;U$6)))/'Profit Plan'!$B$5)</f>
        <v>0</v>
      </c>
      <c r="V375" s="122">
        <f>IF($A375="","",(IF(ISNUMBER(SEARCH("Proposal",$A375)),SUMIFS('Timesheet Raw'!$P$4:$P$8000,'Timesheet Raw'!$A$4:$A$8000,IF(ISNUMBER(SEARCH("Chargable",$A375)),"2-Proposals Chargeable","3-Proposals Regular"),'Timesheet Raw'!$C$4:$C$8000,"*"&amp;$B375&amp;"*",'Timesheet Raw'!$L$4:$L$8000,"&gt;="&amp;MAX(V$5,DATE(2000+VALUE(RIGHT(TRIM($A375),2)),1,1)),'Timesheet Raw'!$L$4:$L$8000,"&lt;="&amp;MIN(V$6,DATE(2000+VALUE(RIGHT(TRIM($A375),2)),12,31))),SUMIFS('Timesheet Raw'!$P$4:$P$8000,'Timesheet Raw'!$B$4:$B$8000,TRIM($A375),'Timesheet Raw'!$C$4:$C$8000,"*"&amp;$B375&amp;"*",'Timesheet Raw'!$L$4:$L$8000,"&gt;="&amp;V$5,'Timesheet Raw'!$L$4:$L$8000,"&lt;="&amp;V$6)))/'Profit Plan'!$B$5)</f>
        <v>0</v>
      </c>
      <c r="W375" s="122">
        <f>IF($A375="","",(IF(ISNUMBER(SEARCH("Proposal",$A375)),SUMIFS('Timesheet Raw'!$P$4:$P$8000,'Timesheet Raw'!$A$4:$A$8000,IF(ISNUMBER(SEARCH("Chargable",$A375)),"2-Proposals Chargeable","3-Proposals Regular"),'Timesheet Raw'!$C$4:$C$8000,"*"&amp;$B375&amp;"*",'Timesheet Raw'!$L$4:$L$8000,"&gt;="&amp;MAX(W$5,DATE(2000+VALUE(RIGHT(TRIM($A375),2)),1,1)),'Timesheet Raw'!$L$4:$L$8000,"&lt;="&amp;MIN(W$6,DATE(2000+VALUE(RIGHT(TRIM($A375),2)),12,31))),SUMIFS('Timesheet Raw'!$P$4:$P$8000,'Timesheet Raw'!$B$4:$B$8000,TRIM($A375),'Timesheet Raw'!$C$4:$C$8000,"*"&amp;$B375&amp;"*",'Timesheet Raw'!$L$4:$L$8000,"&gt;="&amp;W$5,'Timesheet Raw'!$L$4:$L$8000,"&lt;="&amp;W$6)))/'Profit Plan'!$B$5)</f>
        <v>0</v>
      </c>
      <c r="X375" s="122">
        <f>IF($A375="","",(IF(ISNUMBER(SEARCH("Proposal",$A375)),SUMIFS('Timesheet Raw'!$P$4:$P$8000,'Timesheet Raw'!$A$4:$A$8000,IF(ISNUMBER(SEARCH("Chargable",$A375)),"2-Proposals Chargeable","3-Proposals Regular"),'Timesheet Raw'!$C$4:$C$8000,"*"&amp;$B375&amp;"*",'Timesheet Raw'!$L$4:$L$8000,"&gt;="&amp;MAX(X$5,DATE(2000+VALUE(RIGHT(TRIM($A375),2)),1,1)),'Timesheet Raw'!$L$4:$L$8000,"&lt;="&amp;MIN(X$6,DATE(2000+VALUE(RIGHT(TRIM($A375),2)),12,31))),SUMIFS('Timesheet Raw'!$P$4:$P$8000,'Timesheet Raw'!$B$4:$B$8000,TRIM($A375),'Timesheet Raw'!$C$4:$C$8000,"*"&amp;$B375&amp;"*",'Timesheet Raw'!$L$4:$L$8000,"&gt;="&amp;X$5,'Timesheet Raw'!$L$4:$L$8000,"&lt;="&amp;X$6)))/'Profit Plan'!$B$5)</f>
        <v>0</v>
      </c>
      <c r="Y375" s="118">
        <f t="shared" si="101"/>
        <v>0</v>
      </c>
    </row>
    <row r="376" spans="1:25" x14ac:dyDescent="0.3">
      <c r="A376" s="116" t="str">
        <f>IF(Inputs!$A43="","",Inputs!$A43)</f>
        <v>AL25148-0100D</v>
      </c>
      <c r="B376" s="116" t="str">
        <f>IF(Inputs!$A43="","",Inputs!$A$91)</f>
        <v>Ahmed</v>
      </c>
      <c r="C376" s="116"/>
      <c r="D376" s="122">
        <f>IF($A376="","",(IF(ISNUMBER(SEARCH("Proposal",$A376)),SUMIFS('Timesheet Raw'!$P$4:$P$8000,'Timesheet Raw'!$A$4:$A$8000,IF(ISNUMBER(SEARCH("Chargable",$A376)),"2-Proposals Chargeable","3-Proposals Regular"),'Timesheet Raw'!$C$4:$C$8000,"*"&amp;$B376&amp;"*",'Timesheet Raw'!$L$4:$L$8000,"&gt;="&amp;MAX(D$5,DATE(2000+VALUE(RIGHT(TRIM($A376),2)),1,1)),'Timesheet Raw'!$L$4:$L$8000,"&lt;="&amp;MIN(D$6,DATE(2000+VALUE(RIGHT(TRIM($A376),2)),12,31))),SUMIFS('Timesheet Raw'!$P$4:$P$8000,'Timesheet Raw'!$B$4:$B$8000,TRIM($A376),'Timesheet Raw'!$C$4:$C$8000,"*"&amp;$B376&amp;"*",'Timesheet Raw'!$L$4:$L$8000,"&gt;="&amp;D$5,'Timesheet Raw'!$L$4:$L$8000,"&lt;="&amp;D$6)))/'Profit Plan'!$B$5)</f>
        <v>0</v>
      </c>
      <c r="E376" s="122">
        <f>IF($A376="","",(IF(ISNUMBER(SEARCH("Proposal",$A376)),SUMIFS('Timesheet Raw'!$P$4:$P$8000,'Timesheet Raw'!$A$4:$A$8000,IF(ISNUMBER(SEARCH("Chargable",$A376)),"2-Proposals Chargeable","3-Proposals Regular"),'Timesheet Raw'!$C$4:$C$8000,"*"&amp;$B376&amp;"*",'Timesheet Raw'!$L$4:$L$8000,"&gt;="&amp;MAX(E$5,DATE(2000+VALUE(RIGHT(TRIM($A376),2)),1,1)),'Timesheet Raw'!$L$4:$L$8000,"&lt;="&amp;MIN(E$6,DATE(2000+VALUE(RIGHT(TRIM($A376),2)),12,31))),SUMIFS('Timesheet Raw'!$P$4:$P$8000,'Timesheet Raw'!$B$4:$B$8000,TRIM($A376),'Timesheet Raw'!$C$4:$C$8000,"*"&amp;$B376&amp;"*",'Timesheet Raw'!$L$4:$L$8000,"&gt;="&amp;E$5,'Timesheet Raw'!$L$4:$L$8000,"&lt;="&amp;E$6)))/'Profit Plan'!$B$5)</f>
        <v>0</v>
      </c>
      <c r="F376" s="122">
        <f>IF($A376="","",(IF(ISNUMBER(SEARCH("Proposal",$A376)),SUMIFS('Timesheet Raw'!$P$4:$P$8000,'Timesheet Raw'!$A$4:$A$8000,IF(ISNUMBER(SEARCH("Chargable",$A376)),"2-Proposals Chargeable","3-Proposals Regular"),'Timesheet Raw'!$C$4:$C$8000,"*"&amp;$B376&amp;"*",'Timesheet Raw'!$L$4:$L$8000,"&gt;="&amp;MAX(F$5,DATE(2000+VALUE(RIGHT(TRIM($A376),2)),1,1)),'Timesheet Raw'!$L$4:$L$8000,"&lt;="&amp;MIN(F$6,DATE(2000+VALUE(RIGHT(TRIM($A376),2)),12,31))),SUMIFS('Timesheet Raw'!$P$4:$P$8000,'Timesheet Raw'!$B$4:$B$8000,TRIM($A376),'Timesheet Raw'!$C$4:$C$8000,"*"&amp;$B376&amp;"*",'Timesheet Raw'!$L$4:$L$8000,"&gt;="&amp;F$5,'Timesheet Raw'!$L$4:$L$8000,"&lt;="&amp;F$6)))/'Profit Plan'!$B$5)</f>
        <v>0</v>
      </c>
      <c r="G376" s="122">
        <f>IF($A376="","",(IF(ISNUMBER(SEARCH("Proposal",$A376)),SUMIFS('Timesheet Raw'!$P$4:$P$8000,'Timesheet Raw'!$A$4:$A$8000,IF(ISNUMBER(SEARCH("Chargable",$A376)),"2-Proposals Chargeable","3-Proposals Regular"),'Timesheet Raw'!$C$4:$C$8000,"*"&amp;$B376&amp;"*",'Timesheet Raw'!$L$4:$L$8000,"&gt;="&amp;MAX(G$5,DATE(2000+VALUE(RIGHT(TRIM($A376),2)),1,1)),'Timesheet Raw'!$L$4:$L$8000,"&lt;="&amp;MIN(G$6,DATE(2000+VALUE(RIGHT(TRIM($A376),2)),12,31))),SUMIFS('Timesheet Raw'!$P$4:$P$8000,'Timesheet Raw'!$B$4:$B$8000,TRIM($A376),'Timesheet Raw'!$C$4:$C$8000,"*"&amp;$B376&amp;"*",'Timesheet Raw'!$L$4:$L$8000,"&gt;="&amp;G$5,'Timesheet Raw'!$L$4:$L$8000,"&lt;="&amp;G$6)))/'Profit Plan'!$B$5)</f>
        <v>0</v>
      </c>
      <c r="H376" s="122">
        <f>IF($A376="","",(IF(ISNUMBER(SEARCH("Proposal",$A376)),SUMIFS('Timesheet Raw'!$P$4:$P$8000,'Timesheet Raw'!$A$4:$A$8000,IF(ISNUMBER(SEARCH("Chargable",$A376)),"2-Proposals Chargeable","3-Proposals Regular"),'Timesheet Raw'!$C$4:$C$8000,"*"&amp;$B376&amp;"*",'Timesheet Raw'!$L$4:$L$8000,"&gt;="&amp;MAX(H$5,DATE(2000+VALUE(RIGHT(TRIM($A376),2)),1,1)),'Timesheet Raw'!$L$4:$L$8000,"&lt;="&amp;MIN(H$6,DATE(2000+VALUE(RIGHT(TRIM($A376),2)),12,31))),SUMIFS('Timesheet Raw'!$P$4:$P$8000,'Timesheet Raw'!$B$4:$B$8000,TRIM($A376),'Timesheet Raw'!$C$4:$C$8000,"*"&amp;$B376&amp;"*",'Timesheet Raw'!$L$4:$L$8000,"&gt;="&amp;H$5,'Timesheet Raw'!$L$4:$L$8000,"&lt;="&amp;H$6)))/'Profit Plan'!$B$5)</f>
        <v>0</v>
      </c>
      <c r="I376" s="122">
        <f>IF($A376="","",(IF(ISNUMBER(SEARCH("Proposal",$A376)),SUMIFS('Timesheet Raw'!$P$4:$P$8000,'Timesheet Raw'!$A$4:$A$8000,IF(ISNUMBER(SEARCH("Chargable",$A376)),"2-Proposals Chargeable","3-Proposals Regular"),'Timesheet Raw'!$C$4:$C$8000,"*"&amp;$B376&amp;"*",'Timesheet Raw'!$L$4:$L$8000,"&gt;="&amp;MAX(I$5,DATE(2000+VALUE(RIGHT(TRIM($A376),2)),1,1)),'Timesheet Raw'!$L$4:$L$8000,"&lt;="&amp;MIN(I$6,DATE(2000+VALUE(RIGHT(TRIM($A376),2)),12,31))),SUMIFS('Timesheet Raw'!$P$4:$P$8000,'Timesheet Raw'!$B$4:$B$8000,TRIM($A376),'Timesheet Raw'!$C$4:$C$8000,"*"&amp;$B376&amp;"*",'Timesheet Raw'!$L$4:$L$8000,"&gt;="&amp;I$5,'Timesheet Raw'!$L$4:$L$8000,"&lt;="&amp;I$6)))/'Profit Plan'!$B$5)</f>
        <v>0</v>
      </c>
      <c r="J376" s="122">
        <f>IF($A376="","",(IF(ISNUMBER(SEARCH("Proposal",$A376)),SUMIFS('Timesheet Raw'!$P$4:$P$8000,'Timesheet Raw'!$A$4:$A$8000,IF(ISNUMBER(SEARCH("Chargable",$A376)),"2-Proposals Chargeable","3-Proposals Regular"),'Timesheet Raw'!$C$4:$C$8000,"*"&amp;$B376&amp;"*",'Timesheet Raw'!$L$4:$L$8000,"&gt;="&amp;MAX(J$5,DATE(2000+VALUE(RIGHT(TRIM($A376),2)),1,1)),'Timesheet Raw'!$L$4:$L$8000,"&lt;="&amp;MIN(J$6,DATE(2000+VALUE(RIGHT(TRIM($A376),2)),12,31))),SUMIFS('Timesheet Raw'!$P$4:$P$8000,'Timesheet Raw'!$B$4:$B$8000,TRIM($A376),'Timesheet Raw'!$C$4:$C$8000,"*"&amp;$B376&amp;"*",'Timesheet Raw'!$L$4:$L$8000,"&gt;="&amp;J$5,'Timesheet Raw'!$L$4:$L$8000,"&lt;="&amp;J$6)))/'Profit Plan'!$B$5)</f>
        <v>0</v>
      </c>
      <c r="K376" s="122">
        <f>IF($A376="","",(IF(ISNUMBER(SEARCH("Proposal",$A376)),SUMIFS('Timesheet Raw'!$P$4:$P$8000,'Timesheet Raw'!$A$4:$A$8000,IF(ISNUMBER(SEARCH("Chargable",$A376)),"2-Proposals Chargeable","3-Proposals Regular"),'Timesheet Raw'!$C$4:$C$8000,"*"&amp;$B376&amp;"*",'Timesheet Raw'!$L$4:$L$8000,"&gt;="&amp;MAX(K$5,DATE(2000+VALUE(RIGHT(TRIM($A376),2)),1,1)),'Timesheet Raw'!$L$4:$L$8000,"&lt;="&amp;MIN(K$6,DATE(2000+VALUE(RIGHT(TRIM($A376),2)),12,31))),SUMIFS('Timesheet Raw'!$P$4:$P$8000,'Timesheet Raw'!$B$4:$B$8000,TRIM($A376),'Timesheet Raw'!$C$4:$C$8000,"*"&amp;$B376&amp;"*",'Timesheet Raw'!$L$4:$L$8000,"&gt;="&amp;K$5,'Timesheet Raw'!$L$4:$L$8000,"&lt;="&amp;K$6)))/'Profit Plan'!$B$5)</f>
        <v>0</v>
      </c>
      <c r="L376" s="122">
        <f>IF($A376="","",(IF(ISNUMBER(SEARCH("Proposal",$A376)),SUMIFS('Timesheet Raw'!$P$4:$P$8000,'Timesheet Raw'!$A$4:$A$8000,IF(ISNUMBER(SEARCH("Chargable",$A376)),"2-Proposals Chargeable","3-Proposals Regular"),'Timesheet Raw'!$C$4:$C$8000,"*"&amp;$B376&amp;"*",'Timesheet Raw'!$L$4:$L$8000,"&gt;="&amp;MAX(L$5,DATE(2000+VALUE(RIGHT(TRIM($A376),2)),1,1)),'Timesheet Raw'!$L$4:$L$8000,"&lt;="&amp;MIN(L$6,DATE(2000+VALUE(RIGHT(TRIM($A376),2)),12,31))),SUMIFS('Timesheet Raw'!$P$4:$P$8000,'Timesheet Raw'!$B$4:$B$8000,TRIM($A376),'Timesheet Raw'!$C$4:$C$8000,"*"&amp;$B376&amp;"*",'Timesheet Raw'!$L$4:$L$8000,"&gt;="&amp;L$5,'Timesheet Raw'!$L$4:$L$8000,"&lt;="&amp;L$6)))/'Profit Plan'!$B$5)</f>
        <v>0</v>
      </c>
      <c r="M376" s="122">
        <f>IF($A376="","",(IF(ISNUMBER(SEARCH("Proposal",$A376)),SUMIFS('Timesheet Raw'!$P$4:$P$8000,'Timesheet Raw'!$A$4:$A$8000,IF(ISNUMBER(SEARCH("Chargable",$A376)),"2-Proposals Chargeable","3-Proposals Regular"),'Timesheet Raw'!$C$4:$C$8000,"*"&amp;$B376&amp;"*",'Timesheet Raw'!$L$4:$L$8000,"&gt;="&amp;MAX(M$5,DATE(2000+VALUE(RIGHT(TRIM($A376),2)),1,1)),'Timesheet Raw'!$L$4:$L$8000,"&lt;="&amp;MIN(M$6,DATE(2000+VALUE(RIGHT(TRIM($A376),2)),12,31))),SUMIFS('Timesheet Raw'!$P$4:$P$8000,'Timesheet Raw'!$B$4:$B$8000,TRIM($A376),'Timesheet Raw'!$C$4:$C$8000,"*"&amp;$B376&amp;"*",'Timesheet Raw'!$L$4:$L$8000,"&gt;="&amp;M$5,'Timesheet Raw'!$L$4:$L$8000,"&lt;="&amp;M$6)))/'Profit Plan'!$B$5)</f>
        <v>0</v>
      </c>
      <c r="N376" s="122">
        <f>IF($A376="","",(IF(ISNUMBER(SEARCH("Proposal",$A376)),SUMIFS('Timesheet Raw'!$P$4:$P$8000,'Timesheet Raw'!$A$4:$A$8000,IF(ISNUMBER(SEARCH("Chargable",$A376)),"2-Proposals Chargeable","3-Proposals Regular"),'Timesheet Raw'!$C$4:$C$8000,"*"&amp;$B376&amp;"*",'Timesheet Raw'!$L$4:$L$8000,"&gt;="&amp;MAX(N$5,DATE(2000+VALUE(RIGHT(TRIM($A376),2)),1,1)),'Timesheet Raw'!$L$4:$L$8000,"&lt;="&amp;MIN(N$6,DATE(2000+VALUE(RIGHT(TRIM($A376),2)),12,31))),SUMIFS('Timesheet Raw'!$P$4:$P$8000,'Timesheet Raw'!$B$4:$B$8000,TRIM($A376),'Timesheet Raw'!$C$4:$C$8000,"*"&amp;$B376&amp;"*",'Timesheet Raw'!$L$4:$L$8000,"&gt;="&amp;N$5,'Timesheet Raw'!$L$4:$L$8000,"&lt;="&amp;N$6)))/'Profit Plan'!$B$5)</f>
        <v>0</v>
      </c>
      <c r="O376" s="122">
        <f>IF($A376="","",(IF(ISNUMBER(SEARCH("Proposal",$A376)),SUMIFS('Timesheet Raw'!$P$4:$P$8000,'Timesheet Raw'!$A$4:$A$8000,IF(ISNUMBER(SEARCH("Chargable",$A376)),"2-Proposals Chargeable","3-Proposals Regular"),'Timesheet Raw'!$C$4:$C$8000,"*"&amp;$B376&amp;"*",'Timesheet Raw'!$L$4:$L$8000,"&gt;="&amp;MAX(O$5,DATE(2000+VALUE(RIGHT(TRIM($A376),2)),1,1)),'Timesheet Raw'!$L$4:$L$8000,"&lt;="&amp;MIN(O$6,DATE(2000+VALUE(RIGHT(TRIM($A376),2)),12,31))),SUMIFS('Timesheet Raw'!$P$4:$P$8000,'Timesheet Raw'!$B$4:$B$8000,TRIM($A376),'Timesheet Raw'!$C$4:$C$8000,"*"&amp;$B376&amp;"*",'Timesheet Raw'!$L$4:$L$8000,"&gt;="&amp;O$5,'Timesheet Raw'!$L$4:$L$8000,"&lt;="&amp;O$6)))/'Profit Plan'!$B$5)</f>
        <v>0</v>
      </c>
      <c r="P376" s="122">
        <f>IF($A376="","",(IF(ISNUMBER(SEARCH("Proposal",$A376)),SUMIFS('Timesheet Raw'!$P$4:$P$8000,'Timesheet Raw'!$A$4:$A$8000,IF(ISNUMBER(SEARCH("Chargable",$A376)),"2-Proposals Chargeable","3-Proposals Regular"),'Timesheet Raw'!$C$4:$C$8000,"*"&amp;$B376&amp;"*",'Timesheet Raw'!$L$4:$L$8000,"&gt;="&amp;MAX(P$5,DATE(2000+VALUE(RIGHT(TRIM($A376),2)),1,1)),'Timesheet Raw'!$L$4:$L$8000,"&lt;="&amp;MIN(P$6,DATE(2000+VALUE(RIGHT(TRIM($A376),2)),12,31))),SUMIFS('Timesheet Raw'!$P$4:$P$8000,'Timesheet Raw'!$B$4:$B$8000,TRIM($A376),'Timesheet Raw'!$C$4:$C$8000,"*"&amp;$B376&amp;"*",'Timesheet Raw'!$L$4:$L$8000,"&gt;="&amp;P$5,'Timesheet Raw'!$L$4:$L$8000,"&lt;="&amp;P$6)))/'Profit Plan'!$B$5)</f>
        <v>0</v>
      </c>
      <c r="Q376" s="122">
        <f>IF($A376="","",(IF(ISNUMBER(SEARCH("Proposal",$A376)),SUMIFS('Timesheet Raw'!$P$4:$P$8000,'Timesheet Raw'!$A$4:$A$8000,IF(ISNUMBER(SEARCH("Chargable",$A376)),"2-Proposals Chargeable","3-Proposals Regular"),'Timesheet Raw'!$C$4:$C$8000,"*"&amp;$B376&amp;"*",'Timesheet Raw'!$L$4:$L$8000,"&gt;="&amp;MAX(Q$5,DATE(2000+VALUE(RIGHT(TRIM($A376),2)),1,1)),'Timesheet Raw'!$L$4:$L$8000,"&lt;="&amp;MIN(Q$6,DATE(2000+VALUE(RIGHT(TRIM($A376),2)),12,31))),SUMIFS('Timesheet Raw'!$P$4:$P$8000,'Timesheet Raw'!$B$4:$B$8000,TRIM($A376),'Timesheet Raw'!$C$4:$C$8000,"*"&amp;$B376&amp;"*",'Timesheet Raw'!$L$4:$L$8000,"&gt;="&amp;Q$5,'Timesheet Raw'!$L$4:$L$8000,"&lt;="&amp;Q$6)))/'Profit Plan'!$B$5)</f>
        <v>0</v>
      </c>
      <c r="R376" s="122">
        <f>IF($A376="","",(IF(ISNUMBER(SEARCH("Proposal",$A376)),SUMIFS('Timesheet Raw'!$P$4:$P$8000,'Timesheet Raw'!$A$4:$A$8000,IF(ISNUMBER(SEARCH("Chargable",$A376)),"2-Proposals Chargeable","3-Proposals Regular"),'Timesheet Raw'!$C$4:$C$8000,"*"&amp;$B376&amp;"*",'Timesheet Raw'!$L$4:$L$8000,"&gt;="&amp;MAX(R$5,DATE(2000+VALUE(RIGHT(TRIM($A376),2)),1,1)),'Timesheet Raw'!$L$4:$L$8000,"&lt;="&amp;MIN(R$6,DATE(2000+VALUE(RIGHT(TRIM($A376),2)),12,31))),SUMIFS('Timesheet Raw'!$P$4:$P$8000,'Timesheet Raw'!$B$4:$B$8000,TRIM($A376),'Timesheet Raw'!$C$4:$C$8000,"*"&amp;$B376&amp;"*",'Timesheet Raw'!$L$4:$L$8000,"&gt;="&amp;R$5,'Timesheet Raw'!$L$4:$L$8000,"&lt;="&amp;R$6)))/'Profit Plan'!$B$5)</f>
        <v>0</v>
      </c>
      <c r="S376" s="122">
        <f>IF($A376="","",(IF(ISNUMBER(SEARCH("Proposal",$A376)),SUMIFS('Timesheet Raw'!$P$4:$P$8000,'Timesheet Raw'!$A$4:$A$8000,IF(ISNUMBER(SEARCH("Chargable",$A376)),"2-Proposals Chargeable","3-Proposals Regular"),'Timesheet Raw'!$C$4:$C$8000,"*"&amp;$B376&amp;"*",'Timesheet Raw'!$L$4:$L$8000,"&gt;="&amp;MAX(S$5,DATE(2000+VALUE(RIGHT(TRIM($A376),2)),1,1)),'Timesheet Raw'!$L$4:$L$8000,"&lt;="&amp;MIN(S$6,DATE(2000+VALUE(RIGHT(TRIM($A376),2)),12,31))),SUMIFS('Timesheet Raw'!$P$4:$P$8000,'Timesheet Raw'!$B$4:$B$8000,TRIM($A376),'Timesheet Raw'!$C$4:$C$8000,"*"&amp;$B376&amp;"*",'Timesheet Raw'!$L$4:$L$8000,"&gt;="&amp;S$5,'Timesheet Raw'!$L$4:$L$8000,"&lt;="&amp;S$6)))/'Profit Plan'!$B$5)</f>
        <v>0</v>
      </c>
      <c r="T376" s="122">
        <f>IF($A376="","",(IF(ISNUMBER(SEARCH("Proposal",$A376)),SUMIFS('Timesheet Raw'!$P$4:$P$8000,'Timesheet Raw'!$A$4:$A$8000,IF(ISNUMBER(SEARCH("Chargable",$A376)),"2-Proposals Chargeable","3-Proposals Regular"),'Timesheet Raw'!$C$4:$C$8000,"*"&amp;$B376&amp;"*",'Timesheet Raw'!$L$4:$L$8000,"&gt;="&amp;MAX(T$5,DATE(2000+VALUE(RIGHT(TRIM($A376),2)),1,1)),'Timesheet Raw'!$L$4:$L$8000,"&lt;="&amp;MIN(T$6,DATE(2000+VALUE(RIGHT(TRIM($A376),2)),12,31))),SUMIFS('Timesheet Raw'!$P$4:$P$8000,'Timesheet Raw'!$B$4:$B$8000,TRIM($A376),'Timesheet Raw'!$C$4:$C$8000,"*"&amp;$B376&amp;"*",'Timesheet Raw'!$L$4:$L$8000,"&gt;="&amp;T$5,'Timesheet Raw'!$L$4:$L$8000,"&lt;="&amp;T$6)))/'Profit Plan'!$B$5)</f>
        <v>0</v>
      </c>
      <c r="U376" s="122">
        <f>IF($A376="","",(IF(ISNUMBER(SEARCH("Proposal",$A376)),SUMIFS('Timesheet Raw'!$P$4:$P$8000,'Timesheet Raw'!$A$4:$A$8000,IF(ISNUMBER(SEARCH("Chargable",$A376)),"2-Proposals Chargeable","3-Proposals Regular"),'Timesheet Raw'!$C$4:$C$8000,"*"&amp;$B376&amp;"*",'Timesheet Raw'!$L$4:$L$8000,"&gt;="&amp;MAX(U$5,DATE(2000+VALUE(RIGHT(TRIM($A376),2)),1,1)),'Timesheet Raw'!$L$4:$L$8000,"&lt;="&amp;MIN(U$6,DATE(2000+VALUE(RIGHT(TRIM($A376),2)),12,31))),SUMIFS('Timesheet Raw'!$P$4:$P$8000,'Timesheet Raw'!$B$4:$B$8000,TRIM($A376),'Timesheet Raw'!$C$4:$C$8000,"*"&amp;$B376&amp;"*",'Timesheet Raw'!$L$4:$L$8000,"&gt;="&amp;U$5,'Timesheet Raw'!$L$4:$L$8000,"&lt;="&amp;U$6)))/'Profit Plan'!$B$5)</f>
        <v>0</v>
      </c>
      <c r="V376" s="122">
        <f>IF($A376="","",(IF(ISNUMBER(SEARCH("Proposal",$A376)),SUMIFS('Timesheet Raw'!$P$4:$P$8000,'Timesheet Raw'!$A$4:$A$8000,IF(ISNUMBER(SEARCH("Chargable",$A376)),"2-Proposals Chargeable","3-Proposals Regular"),'Timesheet Raw'!$C$4:$C$8000,"*"&amp;$B376&amp;"*",'Timesheet Raw'!$L$4:$L$8000,"&gt;="&amp;MAX(V$5,DATE(2000+VALUE(RIGHT(TRIM($A376),2)),1,1)),'Timesheet Raw'!$L$4:$L$8000,"&lt;="&amp;MIN(V$6,DATE(2000+VALUE(RIGHT(TRIM($A376),2)),12,31))),SUMIFS('Timesheet Raw'!$P$4:$P$8000,'Timesheet Raw'!$B$4:$B$8000,TRIM($A376),'Timesheet Raw'!$C$4:$C$8000,"*"&amp;$B376&amp;"*",'Timesheet Raw'!$L$4:$L$8000,"&gt;="&amp;V$5,'Timesheet Raw'!$L$4:$L$8000,"&lt;="&amp;V$6)))/'Profit Plan'!$B$5)</f>
        <v>0</v>
      </c>
      <c r="W376" s="122">
        <f>IF($A376="","",(IF(ISNUMBER(SEARCH("Proposal",$A376)),SUMIFS('Timesheet Raw'!$P$4:$P$8000,'Timesheet Raw'!$A$4:$A$8000,IF(ISNUMBER(SEARCH("Chargable",$A376)),"2-Proposals Chargeable","3-Proposals Regular"),'Timesheet Raw'!$C$4:$C$8000,"*"&amp;$B376&amp;"*",'Timesheet Raw'!$L$4:$L$8000,"&gt;="&amp;MAX(W$5,DATE(2000+VALUE(RIGHT(TRIM($A376),2)),1,1)),'Timesheet Raw'!$L$4:$L$8000,"&lt;="&amp;MIN(W$6,DATE(2000+VALUE(RIGHT(TRIM($A376),2)),12,31))),SUMIFS('Timesheet Raw'!$P$4:$P$8000,'Timesheet Raw'!$B$4:$B$8000,TRIM($A376),'Timesheet Raw'!$C$4:$C$8000,"*"&amp;$B376&amp;"*",'Timesheet Raw'!$L$4:$L$8000,"&gt;="&amp;W$5,'Timesheet Raw'!$L$4:$L$8000,"&lt;="&amp;W$6)))/'Profit Plan'!$B$5)</f>
        <v>0</v>
      </c>
      <c r="X376" s="122">
        <f>IF($A376="","",(IF(ISNUMBER(SEARCH("Proposal",$A376)),SUMIFS('Timesheet Raw'!$P$4:$P$8000,'Timesheet Raw'!$A$4:$A$8000,IF(ISNUMBER(SEARCH("Chargable",$A376)),"2-Proposals Chargeable","3-Proposals Regular"),'Timesheet Raw'!$C$4:$C$8000,"*"&amp;$B376&amp;"*",'Timesheet Raw'!$L$4:$L$8000,"&gt;="&amp;MAX(X$5,DATE(2000+VALUE(RIGHT(TRIM($A376),2)),1,1)),'Timesheet Raw'!$L$4:$L$8000,"&lt;="&amp;MIN(X$6,DATE(2000+VALUE(RIGHT(TRIM($A376),2)),12,31))),SUMIFS('Timesheet Raw'!$P$4:$P$8000,'Timesheet Raw'!$B$4:$B$8000,TRIM($A376),'Timesheet Raw'!$C$4:$C$8000,"*"&amp;$B376&amp;"*",'Timesheet Raw'!$L$4:$L$8000,"&gt;="&amp;X$5,'Timesheet Raw'!$L$4:$L$8000,"&lt;="&amp;X$6)))/'Profit Plan'!$B$5)</f>
        <v>0</v>
      </c>
      <c r="Y376" s="118">
        <f t="shared" si="101"/>
        <v>0</v>
      </c>
    </row>
    <row r="377" spans="1:25" x14ac:dyDescent="0.3">
      <c r="A377" s="116" t="str">
        <f>IF(Inputs!$A43="","",Inputs!$A43)</f>
        <v>AL25148-0100D</v>
      </c>
      <c r="B377" s="116" t="str">
        <f>IF(Inputs!$A43="","",Inputs!$A$92)</f>
        <v>Osama</v>
      </c>
      <c r="C377" s="116"/>
      <c r="D377" s="122">
        <f>IF($A377="","",(IF(ISNUMBER(SEARCH("Proposal",$A377)),SUMIFS('Timesheet Raw'!$P$4:$P$8000,'Timesheet Raw'!$A$4:$A$8000,IF(ISNUMBER(SEARCH("Chargable",$A377)),"2-Proposals Chargeable","3-Proposals Regular"),'Timesheet Raw'!$C$4:$C$8000,"*"&amp;$B377&amp;"*",'Timesheet Raw'!$L$4:$L$8000,"&gt;="&amp;MAX(D$5,DATE(2000+VALUE(RIGHT(TRIM($A377),2)),1,1)),'Timesheet Raw'!$L$4:$L$8000,"&lt;="&amp;MIN(D$6,DATE(2000+VALUE(RIGHT(TRIM($A377),2)),12,31))),SUMIFS('Timesheet Raw'!$P$4:$P$8000,'Timesheet Raw'!$B$4:$B$8000,TRIM($A377),'Timesheet Raw'!$C$4:$C$8000,"*"&amp;$B377&amp;"*",'Timesheet Raw'!$L$4:$L$8000,"&gt;="&amp;D$5,'Timesheet Raw'!$L$4:$L$8000,"&lt;="&amp;D$6)))/'Profit Plan'!$B$5)</f>
        <v>0</v>
      </c>
      <c r="E377" s="122">
        <f>IF($A377="","",(IF(ISNUMBER(SEARCH("Proposal",$A377)),SUMIFS('Timesheet Raw'!$P$4:$P$8000,'Timesheet Raw'!$A$4:$A$8000,IF(ISNUMBER(SEARCH("Chargable",$A377)),"2-Proposals Chargeable","3-Proposals Regular"),'Timesheet Raw'!$C$4:$C$8000,"*"&amp;$B377&amp;"*",'Timesheet Raw'!$L$4:$L$8000,"&gt;="&amp;MAX(E$5,DATE(2000+VALUE(RIGHT(TRIM($A377),2)),1,1)),'Timesheet Raw'!$L$4:$L$8000,"&lt;="&amp;MIN(E$6,DATE(2000+VALUE(RIGHT(TRIM($A377),2)),12,31))),SUMIFS('Timesheet Raw'!$P$4:$P$8000,'Timesheet Raw'!$B$4:$B$8000,TRIM($A377),'Timesheet Raw'!$C$4:$C$8000,"*"&amp;$B377&amp;"*",'Timesheet Raw'!$L$4:$L$8000,"&gt;="&amp;E$5,'Timesheet Raw'!$L$4:$L$8000,"&lt;="&amp;E$6)))/'Profit Plan'!$B$5)</f>
        <v>0</v>
      </c>
      <c r="F377" s="122">
        <f>IF($A377="","",(IF(ISNUMBER(SEARCH("Proposal",$A377)),SUMIFS('Timesheet Raw'!$P$4:$P$8000,'Timesheet Raw'!$A$4:$A$8000,IF(ISNUMBER(SEARCH("Chargable",$A377)),"2-Proposals Chargeable","3-Proposals Regular"),'Timesheet Raw'!$C$4:$C$8000,"*"&amp;$B377&amp;"*",'Timesheet Raw'!$L$4:$L$8000,"&gt;="&amp;MAX(F$5,DATE(2000+VALUE(RIGHT(TRIM($A377),2)),1,1)),'Timesheet Raw'!$L$4:$L$8000,"&lt;="&amp;MIN(F$6,DATE(2000+VALUE(RIGHT(TRIM($A377),2)),12,31))),SUMIFS('Timesheet Raw'!$P$4:$P$8000,'Timesheet Raw'!$B$4:$B$8000,TRIM($A377),'Timesheet Raw'!$C$4:$C$8000,"*"&amp;$B377&amp;"*",'Timesheet Raw'!$L$4:$L$8000,"&gt;="&amp;F$5,'Timesheet Raw'!$L$4:$L$8000,"&lt;="&amp;F$6)))/'Profit Plan'!$B$5)</f>
        <v>0</v>
      </c>
      <c r="G377" s="122">
        <f>IF($A377="","",(IF(ISNUMBER(SEARCH("Proposal",$A377)),SUMIFS('Timesheet Raw'!$P$4:$P$8000,'Timesheet Raw'!$A$4:$A$8000,IF(ISNUMBER(SEARCH("Chargable",$A377)),"2-Proposals Chargeable","3-Proposals Regular"),'Timesheet Raw'!$C$4:$C$8000,"*"&amp;$B377&amp;"*",'Timesheet Raw'!$L$4:$L$8000,"&gt;="&amp;MAX(G$5,DATE(2000+VALUE(RIGHT(TRIM($A377),2)),1,1)),'Timesheet Raw'!$L$4:$L$8000,"&lt;="&amp;MIN(G$6,DATE(2000+VALUE(RIGHT(TRIM($A377),2)),12,31))),SUMIFS('Timesheet Raw'!$P$4:$P$8000,'Timesheet Raw'!$B$4:$B$8000,TRIM($A377),'Timesheet Raw'!$C$4:$C$8000,"*"&amp;$B377&amp;"*",'Timesheet Raw'!$L$4:$L$8000,"&gt;="&amp;G$5,'Timesheet Raw'!$L$4:$L$8000,"&lt;="&amp;G$6)))/'Profit Plan'!$B$5)</f>
        <v>0</v>
      </c>
      <c r="H377" s="122">
        <f>IF($A377="","",(IF(ISNUMBER(SEARCH("Proposal",$A377)),SUMIFS('Timesheet Raw'!$P$4:$P$8000,'Timesheet Raw'!$A$4:$A$8000,IF(ISNUMBER(SEARCH("Chargable",$A377)),"2-Proposals Chargeable","3-Proposals Regular"),'Timesheet Raw'!$C$4:$C$8000,"*"&amp;$B377&amp;"*",'Timesheet Raw'!$L$4:$L$8000,"&gt;="&amp;MAX(H$5,DATE(2000+VALUE(RIGHT(TRIM($A377),2)),1,1)),'Timesheet Raw'!$L$4:$L$8000,"&lt;="&amp;MIN(H$6,DATE(2000+VALUE(RIGHT(TRIM($A377),2)),12,31))),SUMIFS('Timesheet Raw'!$P$4:$P$8000,'Timesheet Raw'!$B$4:$B$8000,TRIM($A377),'Timesheet Raw'!$C$4:$C$8000,"*"&amp;$B377&amp;"*",'Timesheet Raw'!$L$4:$L$8000,"&gt;="&amp;H$5,'Timesheet Raw'!$L$4:$L$8000,"&lt;="&amp;H$6)))/'Profit Plan'!$B$5)</f>
        <v>0</v>
      </c>
      <c r="I377" s="122">
        <f>IF($A377="","",(IF(ISNUMBER(SEARCH("Proposal",$A377)),SUMIFS('Timesheet Raw'!$P$4:$P$8000,'Timesheet Raw'!$A$4:$A$8000,IF(ISNUMBER(SEARCH("Chargable",$A377)),"2-Proposals Chargeable","3-Proposals Regular"),'Timesheet Raw'!$C$4:$C$8000,"*"&amp;$B377&amp;"*",'Timesheet Raw'!$L$4:$L$8000,"&gt;="&amp;MAX(I$5,DATE(2000+VALUE(RIGHT(TRIM($A377),2)),1,1)),'Timesheet Raw'!$L$4:$L$8000,"&lt;="&amp;MIN(I$6,DATE(2000+VALUE(RIGHT(TRIM($A377),2)),12,31))),SUMIFS('Timesheet Raw'!$P$4:$P$8000,'Timesheet Raw'!$B$4:$B$8000,TRIM($A377),'Timesheet Raw'!$C$4:$C$8000,"*"&amp;$B377&amp;"*",'Timesheet Raw'!$L$4:$L$8000,"&gt;="&amp;I$5,'Timesheet Raw'!$L$4:$L$8000,"&lt;="&amp;I$6)))/'Profit Plan'!$B$5)</f>
        <v>0</v>
      </c>
      <c r="J377" s="122">
        <f>IF($A377="","",(IF(ISNUMBER(SEARCH("Proposal",$A377)),SUMIFS('Timesheet Raw'!$P$4:$P$8000,'Timesheet Raw'!$A$4:$A$8000,IF(ISNUMBER(SEARCH("Chargable",$A377)),"2-Proposals Chargeable","3-Proposals Regular"),'Timesheet Raw'!$C$4:$C$8000,"*"&amp;$B377&amp;"*",'Timesheet Raw'!$L$4:$L$8000,"&gt;="&amp;MAX(J$5,DATE(2000+VALUE(RIGHT(TRIM($A377),2)),1,1)),'Timesheet Raw'!$L$4:$L$8000,"&lt;="&amp;MIN(J$6,DATE(2000+VALUE(RIGHT(TRIM($A377),2)),12,31))),SUMIFS('Timesheet Raw'!$P$4:$P$8000,'Timesheet Raw'!$B$4:$B$8000,TRIM($A377),'Timesheet Raw'!$C$4:$C$8000,"*"&amp;$B377&amp;"*",'Timesheet Raw'!$L$4:$L$8000,"&gt;="&amp;J$5,'Timesheet Raw'!$L$4:$L$8000,"&lt;="&amp;J$6)))/'Profit Plan'!$B$5)</f>
        <v>0</v>
      </c>
      <c r="K377" s="122">
        <f>IF($A377="","",(IF(ISNUMBER(SEARCH("Proposal",$A377)),SUMIFS('Timesheet Raw'!$P$4:$P$8000,'Timesheet Raw'!$A$4:$A$8000,IF(ISNUMBER(SEARCH("Chargable",$A377)),"2-Proposals Chargeable","3-Proposals Regular"),'Timesheet Raw'!$C$4:$C$8000,"*"&amp;$B377&amp;"*",'Timesheet Raw'!$L$4:$L$8000,"&gt;="&amp;MAX(K$5,DATE(2000+VALUE(RIGHT(TRIM($A377),2)),1,1)),'Timesheet Raw'!$L$4:$L$8000,"&lt;="&amp;MIN(K$6,DATE(2000+VALUE(RIGHT(TRIM($A377),2)),12,31))),SUMIFS('Timesheet Raw'!$P$4:$P$8000,'Timesheet Raw'!$B$4:$B$8000,TRIM($A377),'Timesheet Raw'!$C$4:$C$8000,"*"&amp;$B377&amp;"*",'Timesheet Raw'!$L$4:$L$8000,"&gt;="&amp;K$5,'Timesheet Raw'!$L$4:$L$8000,"&lt;="&amp;K$6)))/'Profit Plan'!$B$5)</f>
        <v>0</v>
      </c>
      <c r="L377" s="122">
        <f>IF($A377="","",(IF(ISNUMBER(SEARCH("Proposal",$A377)),SUMIFS('Timesheet Raw'!$P$4:$P$8000,'Timesheet Raw'!$A$4:$A$8000,IF(ISNUMBER(SEARCH("Chargable",$A377)),"2-Proposals Chargeable","3-Proposals Regular"),'Timesheet Raw'!$C$4:$C$8000,"*"&amp;$B377&amp;"*",'Timesheet Raw'!$L$4:$L$8000,"&gt;="&amp;MAX(L$5,DATE(2000+VALUE(RIGHT(TRIM($A377),2)),1,1)),'Timesheet Raw'!$L$4:$L$8000,"&lt;="&amp;MIN(L$6,DATE(2000+VALUE(RIGHT(TRIM($A377),2)),12,31))),SUMIFS('Timesheet Raw'!$P$4:$P$8000,'Timesheet Raw'!$B$4:$B$8000,TRIM($A377),'Timesheet Raw'!$C$4:$C$8000,"*"&amp;$B377&amp;"*",'Timesheet Raw'!$L$4:$L$8000,"&gt;="&amp;L$5,'Timesheet Raw'!$L$4:$L$8000,"&lt;="&amp;L$6)))/'Profit Plan'!$B$5)</f>
        <v>0</v>
      </c>
      <c r="M377" s="122">
        <f>IF($A377="","",(IF(ISNUMBER(SEARCH("Proposal",$A377)),SUMIFS('Timesheet Raw'!$P$4:$P$8000,'Timesheet Raw'!$A$4:$A$8000,IF(ISNUMBER(SEARCH("Chargable",$A377)),"2-Proposals Chargeable","3-Proposals Regular"),'Timesheet Raw'!$C$4:$C$8000,"*"&amp;$B377&amp;"*",'Timesheet Raw'!$L$4:$L$8000,"&gt;="&amp;MAX(M$5,DATE(2000+VALUE(RIGHT(TRIM($A377),2)),1,1)),'Timesheet Raw'!$L$4:$L$8000,"&lt;="&amp;MIN(M$6,DATE(2000+VALUE(RIGHT(TRIM($A377),2)),12,31))),SUMIFS('Timesheet Raw'!$P$4:$P$8000,'Timesheet Raw'!$B$4:$B$8000,TRIM($A377),'Timesheet Raw'!$C$4:$C$8000,"*"&amp;$B377&amp;"*",'Timesheet Raw'!$L$4:$L$8000,"&gt;="&amp;M$5,'Timesheet Raw'!$L$4:$L$8000,"&lt;="&amp;M$6)))/'Profit Plan'!$B$5)</f>
        <v>0</v>
      </c>
      <c r="N377" s="122">
        <f>IF($A377="","",(IF(ISNUMBER(SEARCH("Proposal",$A377)),SUMIFS('Timesheet Raw'!$P$4:$P$8000,'Timesheet Raw'!$A$4:$A$8000,IF(ISNUMBER(SEARCH("Chargable",$A377)),"2-Proposals Chargeable","3-Proposals Regular"),'Timesheet Raw'!$C$4:$C$8000,"*"&amp;$B377&amp;"*",'Timesheet Raw'!$L$4:$L$8000,"&gt;="&amp;MAX(N$5,DATE(2000+VALUE(RIGHT(TRIM($A377),2)),1,1)),'Timesheet Raw'!$L$4:$L$8000,"&lt;="&amp;MIN(N$6,DATE(2000+VALUE(RIGHT(TRIM($A377),2)),12,31))),SUMIFS('Timesheet Raw'!$P$4:$P$8000,'Timesheet Raw'!$B$4:$B$8000,TRIM($A377),'Timesheet Raw'!$C$4:$C$8000,"*"&amp;$B377&amp;"*",'Timesheet Raw'!$L$4:$L$8000,"&gt;="&amp;N$5,'Timesheet Raw'!$L$4:$L$8000,"&lt;="&amp;N$6)))/'Profit Plan'!$B$5)</f>
        <v>0</v>
      </c>
      <c r="O377" s="122">
        <f>IF($A377="","",(IF(ISNUMBER(SEARCH("Proposal",$A377)),SUMIFS('Timesheet Raw'!$P$4:$P$8000,'Timesheet Raw'!$A$4:$A$8000,IF(ISNUMBER(SEARCH("Chargable",$A377)),"2-Proposals Chargeable","3-Proposals Regular"),'Timesheet Raw'!$C$4:$C$8000,"*"&amp;$B377&amp;"*",'Timesheet Raw'!$L$4:$L$8000,"&gt;="&amp;MAX(O$5,DATE(2000+VALUE(RIGHT(TRIM($A377),2)),1,1)),'Timesheet Raw'!$L$4:$L$8000,"&lt;="&amp;MIN(O$6,DATE(2000+VALUE(RIGHT(TRIM($A377),2)),12,31))),SUMIFS('Timesheet Raw'!$P$4:$P$8000,'Timesheet Raw'!$B$4:$B$8000,TRIM($A377),'Timesheet Raw'!$C$4:$C$8000,"*"&amp;$B377&amp;"*",'Timesheet Raw'!$L$4:$L$8000,"&gt;="&amp;O$5,'Timesheet Raw'!$L$4:$L$8000,"&lt;="&amp;O$6)))/'Profit Plan'!$B$5)</f>
        <v>0</v>
      </c>
      <c r="P377" s="122">
        <f>IF($A377="","",(IF(ISNUMBER(SEARCH("Proposal",$A377)),SUMIFS('Timesheet Raw'!$P$4:$P$8000,'Timesheet Raw'!$A$4:$A$8000,IF(ISNUMBER(SEARCH("Chargable",$A377)),"2-Proposals Chargeable","3-Proposals Regular"),'Timesheet Raw'!$C$4:$C$8000,"*"&amp;$B377&amp;"*",'Timesheet Raw'!$L$4:$L$8000,"&gt;="&amp;MAX(P$5,DATE(2000+VALUE(RIGHT(TRIM($A377),2)),1,1)),'Timesheet Raw'!$L$4:$L$8000,"&lt;="&amp;MIN(P$6,DATE(2000+VALUE(RIGHT(TRIM($A377),2)),12,31))),SUMIFS('Timesheet Raw'!$P$4:$P$8000,'Timesheet Raw'!$B$4:$B$8000,TRIM($A377),'Timesheet Raw'!$C$4:$C$8000,"*"&amp;$B377&amp;"*",'Timesheet Raw'!$L$4:$L$8000,"&gt;="&amp;P$5,'Timesheet Raw'!$L$4:$L$8000,"&lt;="&amp;P$6)))/'Profit Plan'!$B$5)</f>
        <v>0</v>
      </c>
      <c r="Q377" s="122">
        <f>IF($A377="","",(IF(ISNUMBER(SEARCH("Proposal",$A377)),SUMIFS('Timesheet Raw'!$P$4:$P$8000,'Timesheet Raw'!$A$4:$A$8000,IF(ISNUMBER(SEARCH("Chargable",$A377)),"2-Proposals Chargeable","3-Proposals Regular"),'Timesheet Raw'!$C$4:$C$8000,"*"&amp;$B377&amp;"*",'Timesheet Raw'!$L$4:$L$8000,"&gt;="&amp;MAX(Q$5,DATE(2000+VALUE(RIGHT(TRIM($A377),2)),1,1)),'Timesheet Raw'!$L$4:$L$8000,"&lt;="&amp;MIN(Q$6,DATE(2000+VALUE(RIGHT(TRIM($A377),2)),12,31))),SUMIFS('Timesheet Raw'!$P$4:$P$8000,'Timesheet Raw'!$B$4:$B$8000,TRIM($A377),'Timesheet Raw'!$C$4:$C$8000,"*"&amp;$B377&amp;"*",'Timesheet Raw'!$L$4:$L$8000,"&gt;="&amp;Q$5,'Timesheet Raw'!$L$4:$L$8000,"&lt;="&amp;Q$6)))/'Profit Plan'!$B$5)</f>
        <v>0</v>
      </c>
      <c r="R377" s="122">
        <f>IF($A377="","",(IF(ISNUMBER(SEARCH("Proposal",$A377)),SUMIFS('Timesheet Raw'!$P$4:$P$8000,'Timesheet Raw'!$A$4:$A$8000,IF(ISNUMBER(SEARCH("Chargable",$A377)),"2-Proposals Chargeable","3-Proposals Regular"),'Timesheet Raw'!$C$4:$C$8000,"*"&amp;$B377&amp;"*",'Timesheet Raw'!$L$4:$L$8000,"&gt;="&amp;MAX(R$5,DATE(2000+VALUE(RIGHT(TRIM($A377),2)),1,1)),'Timesheet Raw'!$L$4:$L$8000,"&lt;="&amp;MIN(R$6,DATE(2000+VALUE(RIGHT(TRIM($A377),2)),12,31))),SUMIFS('Timesheet Raw'!$P$4:$P$8000,'Timesheet Raw'!$B$4:$B$8000,TRIM($A377),'Timesheet Raw'!$C$4:$C$8000,"*"&amp;$B377&amp;"*",'Timesheet Raw'!$L$4:$L$8000,"&gt;="&amp;R$5,'Timesheet Raw'!$L$4:$L$8000,"&lt;="&amp;R$6)))/'Profit Plan'!$B$5)</f>
        <v>0</v>
      </c>
      <c r="S377" s="122">
        <f>IF($A377="","",(IF(ISNUMBER(SEARCH("Proposal",$A377)),SUMIFS('Timesheet Raw'!$P$4:$P$8000,'Timesheet Raw'!$A$4:$A$8000,IF(ISNUMBER(SEARCH("Chargable",$A377)),"2-Proposals Chargeable","3-Proposals Regular"),'Timesheet Raw'!$C$4:$C$8000,"*"&amp;$B377&amp;"*",'Timesheet Raw'!$L$4:$L$8000,"&gt;="&amp;MAX(S$5,DATE(2000+VALUE(RIGHT(TRIM($A377),2)),1,1)),'Timesheet Raw'!$L$4:$L$8000,"&lt;="&amp;MIN(S$6,DATE(2000+VALUE(RIGHT(TRIM($A377),2)),12,31))),SUMIFS('Timesheet Raw'!$P$4:$P$8000,'Timesheet Raw'!$B$4:$B$8000,TRIM($A377),'Timesheet Raw'!$C$4:$C$8000,"*"&amp;$B377&amp;"*",'Timesheet Raw'!$L$4:$L$8000,"&gt;="&amp;S$5,'Timesheet Raw'!$L$4:$L$8000,"&lt;="&amp;S$6)))/'Profit Plan'!$B$5)</f>
        <v>0</v>
      </c>
      <c r="T377" s="122">
        <f>IF($A377="","",(IF(ISNUMBER(SEARCH("Proposal",$A377)),SUMIFS('Timesheet Raw'!$P$4:$P$8000,'Timesheet Raw'!$A$4:$A$8000,IF(ISNUMBER(SEARCH("Chargable",$A377)),"2-Proposals Chargeable","3-Proposals Regular"),'Timesheet Raw'!$C$4:$C$8000,"*"&amp;$B377&amp;"*",'Timesheet Raw'!$L$4:$L$8000,"&gt;="&amp;MAX(T$5,DATE(2000+VALUE(RIGHT(TRIM($A377),2)),1,1)),'Timesheet Raw'!$L$4:$L$8000,"&lt;="&amp;MIN(T$6,DATE(2000+VALUE(RIGHT(TRIM($A377),2)),12,31))),SUMIFS('Timesheet Raw'!$P$4:$P$8000,'Timesheet Raw'!$B$4:$B$8000,TRIM($A377),'Timesheet Raw'!$C$4:$C$8000,"*"&amp;$B377&amp;"*",'Timesheet Raw'!$L$4:$L$8000,"&gt;="&amp;T$5,'Timesheet Raw'!$L$4:$L$8000,"&lt;="&amp;T$6)))/'Profit Plan'!$B$5)</f>
        <v>0</v>
      </c>
      <c r="U377" s="122">
        <f>IF($A377="","",(IF(ISNUMBER(SEARCH("Proposal",$A377)),SUMIFS('Timesheet Raw'!$P$4:$P$8000,'Timesheet Raw'!$A$4:$A$8000,IF(ISNUMBER(SEARCH("Chargable",$A377)),"2-Proposals Chargeable","3-Proposals Regular"),'Timesheet Raw'!$C$4:$C$8000,"*"&amp;$B377&amp;"*",'Timesheet Raw'!$L$4:$L$8000,"&gt;="&amp;MAX(U$5,DATE(2000+VALUE(RIGHT(TRIM($A377),2)),1,1)),'Timesheet Raw'!$L$4:$L$8000,"&lt;="&amp;MIN(U$6,DATE(2000+VALUE(RIGHT(TRIM($A377),2)),12,31))),SUMIFS('Timesheet Raw'!$P$4:$P$8000,'Timesheet Raw'!$B$4:$B$8000,TRIM($A377),'Timesheet Raw'!$C$4:$C$8000,"*"&amp;$B377&amp;"*",'Timesheet Raw'!$L$4:$L$8000,"&gt;="&amp;U$5,'Timesheet Raw'!$L$4:$L$8000,"&lt;="&amp;U$6)))/'Profit Plan'!$B$5)</f>
        <v>0</v>
      </c>
      <c r="V377" s="122">
        <f>IF($A377="","",(IF(ISNUMBER(SEARCH("Proposal",$A377)),SUMIFS('Timesheet Raw'!$P$4:$P$8000,'Timesheet Raw'!$A$4:$A$8000,IF(ISNUMBER(SEARCH("Chargable",$A377)),"2-Proposals Chargeable","3-Proposals Regular"),'Timesheet Raw'!$C$4:$C$8000,"*"&amp;$B377&amp;"*",'Timesheet Raw'!$L$4:$L$8000,"&gt;="&amp;MAX(V$5,DATE(2000+VALUE(RIGHT(TRIM($A377),2)),1,1)),'Timesheet Raw'!$L$4:$L$8000,"&lt;="&amp;MIN(V$6,DATE(2000+VALUE(RIGHT(TRIM($A377),2)),12,31))),SUMIFS('Timesheet Raw'!$P$4:$P$8000,'Timesheet Raw'!$B$4:$B$8000,TRIM($A377),'Timesheet Raw'!$C$4:$C$8000,"*"&amp;$B377&amp;"*",'Timesheet Raw'!$L$4:$L$8000,"&gt;="&amp;V$5,'Timesheet Raw'!$L$4:$L$8000,"&lt;="&amp;V$6)))/'Profit Plan'!$B$5)</f>
        <v>0</v>
      </c>
      <c r="W377" s="122">
        <f>IF($A377="","",(IF(ISNUMBER(SEARCH("Proposal",$A377)),SUMIFS('Timesheet Raw'!$P$4:$P$8000,'Timesheet Raw'!$A$4:$A$8000,IF(ISNUMBER(SEARCH("Chargable",$A377)),"2-Proposals Chargeable","3-Proposals Regular"),'Timesheet Raw'!$C$4:$C$8000,"*"&amp;$B377&amp;"*",'Timesheet Raw'!$L$4:$L$8000,"&gt;="&amp;MAX(W$5,DATE(2000+VALUE(RIGHT(TRIM($A377),2)),1,1)),'Timesheet Raw'!$L$4:$L$8000,"&lt;="&amp;MIN(W$6,DATE(2000+VALUE(RIGHT(TRIM($A377),2)),12,31))),SUMIFS('Timesheet Raw'!$P$4:$P$8000,'Timesheet Raw'!$B$4:$B$8000,TRIM($A377),'Timesheet Raw'!$C$4:$C$8000,"*"&amp;$B377&amp;"*",'Timesheet Raw'!$L$4:$L$8000,"&gt;="&amp;W$5,'Timesheet Raw'!$L$4:$L$8000,"&lt;="&amp;W$6)))/'Profit Plan'!$B$5)</f>
        <v>0</v>
      </c>
      <c r="X377" s="122">
        <f>IF($A377="","",(IF(ISNUMBER(SEARCH("Proposal",$A377)),SUMIFS('Timesheet Raw'!$P$4:$P$8000,'Timesheet Raw'!$A$4:$A$8000,IF(ISNUMBER(SEARCH("Chargable",$A377)),"2-Proposals Chargeable","3-Proposals Regular"),'Timesheet Raw'!$C$4:$C$8000,"*"&amp;$B377&amp;"*",'Timesheet Raw'!$L$4:$L$8000,"&gt;="&amp;MAX(X$5,DATE(2000+VALUE(RIGHT(TRIM($A377),2)),1,1)),'Timesheet Raw'!$L$4:$L$8000,"&lt;="&amp;MIN(X$6,DATE(2000+VALUE(RIGHT(TRIM($A377),2)),12,31))),SUMIFS('Timesheet Raw'!$P$4:$P$8000,'Timesheet Raw'!$B$4:$B$8000,TRIM($A377),'Timesheet Raw'!$C$4:$C$8000,"*"&amp;$B377&amp;"*",'Timesheet Raw'!$L$4:$L$8000,"&gt;="&amp;X$5,'Timesheet Raw'!$L$4:$L$8000,"&lt;="&amp;X$6)))/'Profit Plan'!$B$5)</f>
        <v>0</v>
      </c>
      <c r="Y377" s="118">
        <f t="shared" si="101"/>
        <v>0</v>
      </c>
    </row>
    <row r="378" spans="1:25" x14ac:dyDescent="0.3">
      <c r="A378" s="116" t="str">
        <f>IF(Inputs!$A43="","",Inputs!$A43)</f>
        <v>AL25148-0100D</v>
      </c>
      <c r="B378" s="116" t="str">
        <f>IF(Inputs!$A43="","",Inputs!$A$93)</f>
        <v>Kirolos</v>
      </c>
      <c r="C378" s="116"/>
      <c r="D378" s="122">
        <f>IF($A378="","",(IF(ISNUMBER(SEARCH("Proposal",$A378)),SUMIFS('Timesheet Raw'!$P$4:$P$8000,'Timesheet Raw'!$A$4:$A$8000,IF(ISNUMBER(SEARCH("Chargable",$A378)),"2-Proposals Chargeable","3-Proposals Regular"),'Timesheet Raw'!$C$4:$C$8000,"*"&amp;$B378&amp;"*",'Timesheet Raw'!$L$4:$L$8000,"&gt;="&amp;MAX(D$5,DATE(2000+VALUE(RIGHT(TRIM($A378),2)),1,1)),'Timesheet Raw'!$L$4:$L$8000,"&lt;="&amp;MIN(D$6,DATE(2000+VALUE(RIGHT(TRIM($A378),2)),12,31))),SUMIFS('Timesheet Raw'!$P$4:$P$8000,'Timesheet Raw'!$B$4:$B$8000,TRIM($A378),'Timesheet Raw'!$C$4:$C$8000,"*"&amp;$B378&amp;"*",'Timesheet Raw'!$L$4:$L$8000,"&gt;="&amp;D$5,'Timesheet Raw'!$L$4:$L$8000,"&lt;="&amp;D$6)))/'Profit Plan'!$B$5)</f>
        <v>0</v>
      </c>
      <c r="E378" s="122">
        <f>IF($A378="","",(IF(ISNUMBER(SEARCH("Proposal",$A378)),SUMIFS('Timesheet Raw'!$P$4:$P$8000,'Timesheet Raw'!$A$4:$A$8000,IF(ISNUMBER(SEARCH("Chargable",$A378)),"2-Proposals Chargeable","3-Proposals Regular"),'Timesheet Raw'!$C$4:$C$8000,"*"&amp;$B378&amp;"*",'Timesheet Raw'!$L$4:$L$8000,"&gt;="&amp;MAX(E$5,DATE(2000+VALUE(RIGHT(TRIM($A378),2)),1,1)),'Timesheet Raw'!$L$4:$L$8000,"&lt;="&amp;MIN(E$6,DATE(2000+VALUE(RIGHT(TRIM($A378),2)),12,31))),SUMIFS('Timesheet Raw'!$P$4:$P$8000,'Timesheet Raw'!$B$4:$B$8000,TRIM($A378),'Timesheet Raw'!$C$4:$C$8000,"*"&amp;$B378&amp;"*",'Timesheet Raw'!$L$4:$L$8000,"&gt;="&amp;E$5,'Timesheet Raw'!$L$4:$L$8000,"&lt;="&amp;E$6)))/'Profit Plan'!$B$5)</f>
        <v>0</v>
      </c>
      <c r="F378" s="122">
        <f>IF($A378="","",(IF(ISNUMBER(SEARCH("Proposal",$A378)),SUMIFS('Timesheet Raw'!$P$4:$P$8000,'Timesheet Raw'!$A$4:$A$8000,IF(ISNUMBER(SEARCH("Chargable",$A378)),"2-Proposals Chargeable","3-Proposals Regular"),'Timesheet Raw'!$C$4:$C$8000,"*"&amp;$B378&amp;"*",'Timesheet Raw'!$L$4:$L$8000,"&gt;="&amp;MAX(F$5,DATE(2000+VALUE(RIGHT(TRIM($A378),2)),1,1)),'Timesheet Raw'!$L$4:$L$8000,"&lt;="&amp;MIN(F$6,DATE(2000+VALUE(RIGHT(TRIM($A378),2)),12,31))),SUMIFS('Timesheet Raw'!$P$4:$P$8000,'Timesheet Raw'!$B$4:$B$8000,TRIM($A378),'Timesheet Raw'!$C$4:$C$8000,"*"&amp;$B378&amp;"*",'Timesheet Raw'!$L$4:$L$8000,"&gt;="&amp;F$5,'Timesheet Raw'!$L$4:$L$8000,"&lt;="&amp;F$6)))/'Profit Plan'!$B$5)</f>
        <v>0</v>
      </c>
      <c r="G378" s="122">
        <f>IF($A378="","",(IF(ISNUMBER(SEARCH("Proposal",$A378)),SUMIFS('Timesheet Raw'!$P$4:$P$8000,'Timesheet Raw'!$A$4:$A$8000,IF(ISNUMBER(SEARCH("Chargable",$A378)),"2-Proposals Chargeable","3-Proposals Regular"),'Timesheet Raw'!$C$4:$C$8000,"*"&amp;$B378&amp;"*",'Timesheet Raw'!$L$4:$L$8000,"&gt;="&amp;MAX(G$5,DATE(2000+VALUE(RIGHT(TRIM($A378),2)),1,1)),'Timesheet Raw'!$L$4:$L$8000,"&lt;="&amp;MIN(G$6,DATE(2000+VALUE(RIGHT(TRIM($A378),2)),12,31))),SUMIFS('Timesheet Raw'!$P$4:$P$8000,'Timesheet Raw'!$B$4:$B$8000,TRIM($A378),'Timesheet Raw'!$C$4:$C$8000,"*"&amp;$B378&amp;"*",'Timesheet Raw'!$L$4:$L$8000,"&gt;="&amp;G$5,'Timesheet Raw'!$L$4:$L$8000,"&lt;="&amp;G$6)))/'Profit Plan'!$B$5)</f>
        <v>0</v>
      </c>
      <c r="H378" s="122">
        <f>IF($A378="","",(IF(ISNUMBER(SEARCH("Proposal",$A378)),SUMIFS('Timesheet Raw'!$P$4:$P$8000,'Timesheet Raw'!$A$4:$A$8000,IF(ISNUMBER(SEARCH("Chargable",$A378)),"2-Proposals Chargeable","3-Proposals Regular"),'Timesheet Raw'!$C$4:$C$8000,"*"&amp;$B378&amp;"*",'Timesheet Raw'!$L$4:$L$8000,"&gt;="&amp;MAX(H$5,DATE(2000+VALUE(RIGHT(TRIM($A378),2)),1,1)),'Timesheet Raw'!$L$4:$L$8000,"&lt;="&amp;MIN(H$6,DATE(2000+VALUE(RIGHT(TRIM($A378),2)),12,31))),SUMIFS('Timesheet Raw'!$P$4:$P$8000,'Timesheet Raw'!$B$4:$B$8000,TRIM($A378),'Timesheet Raw'!$C$4:$C$8000,"*"&amp;$B378&amp;"*",'Timesheet Raw'!$L$4:$L$8000,"&gt;="&amp;H$5,'Timesheet Raw'!$L$4:$L$8000,"&lt;="&amp;H$6)))/'Profit Plan'!$B$5)</f>
        <v>0</v>
      </c>
      <c r="I378" s="122">
        <f>IF($A378="","",(IF(ISNUMBER(SEARCH("Proposal",$A378)),SUMIFS('Timesheet Raw'!$P$4:$P$8000,'Timesheet Raw'!$A$4:$A$8000,IF(ISNUMBER(SEARCH("Chargable",$A378)),"2-Proposals Chargeable","3-Proposals Regular"),'Timesheet Raw'!$C$4:$C$8000,"*"&amp;$B378&amp;"*",'Timesheet Raw'!$L$4:$L$8000,"&gt;="&amp;MAX(I$5,DATE(2000+VALUE(RIGHT(TRIM($A378),2)),1,1)),'Timesheet Raw'!$L$4:$L$8000,"&lt;="&amp;MIN(I$6,DATE(2000+VALUE(RIGHT(TRIM($A378),2)),12,31))),SUMIFS('Timesheet Raw'!$P$4:$P$8000,'Timesheet Raw'!$B$4:$B$8000,TRIM($A378),'Timesheet Raw'!$C$4:$C$8000,"*"&amp;$B378&amp;"*",'Timesheet Raw'!$L$4:$L$8000,"&gt;="&amp;I$5,'Timesheet Raw'!$L$4:$L$8000,"&lt;="&amp;I$6)))/'Profit Plan'!$B$5)</f>
        <v>0</v>
      </c>
      <c r="J378" s="122">
        <f>IF($A378="","",(IF(ISNUMBER(SEARCH("Proposal",$A378)),SUMIFS('Timesheet Raw'!$P$4:$P$8000,'Timesheet Raw'!$A$4:$A$8000,IF(ISNUMBER(SEARCH("Chargable",$A378)),"2-Proposals Chargeable","3-Proposals Regular"),'Timesheet Raw'!$C$4:$C$8000,"*"&amp;$B378&amp;"*",'Timesheet Raw'!$L$4:$L$8000,"&gt;="&amp;MAX(J$5,DATE(2000+VALUE(RIGHT(TRIM($A378),2)),1,1)),'Timesheet Raw'!$L$4:$L$8000,"&lt;="&amp;MIN(J$6,DATE(2000+VALUE(RIGHT(TRIM($A378),2)),12,31))),SUMIFS('Timesheet Raw'!$P$4:$P$8000,'Timesheet Raw'!$B$4:$B$8000,TRIM($A378),'Timesheet Raw'!$C$4:$C$8000,"*"&amp;$B378&amp;"*",'Timesheet Raw'!$L$4:$L$8000,"&gt;="&amp;J$5,'Timesheet Raw'!$L$4:$L$8000,"&lt;="&amp;J$6)))/'Profit Plan'!$B$5)</f>
        <v>0</v>
      </c>
      <c r="K378" s="122">
        <f>IF($A378="","",(IF(ISNUMBER(SEARCH("Proposal",$A378)),SUMIFS('Timesheet Raw'!$P$4:$P$8000,'Timesheet Raw'!$A$4:$A$8000,IF(ISNUMBER(SEARCH("Chargable",$A378)),"2-Proposals Chargeable","3-Proposals Regular"),'Timesheet Raw'!$C$4:$C$8000,"*"&amp;$B378&amp;"*",'Timesheet Raw'!$L$4:$L$8000,"&gt;="&amp;MAX(K$5,DATE(2000+VALUE(RIGHT(TRIM($A378),2)),1,1)),'Timesheet Raw'!$L$4:$L$8000,"&lt;="&amp;MIN(K$6,DATE(2000+VALUE(RIGHT(TRIM($A378),2)),12,31))),SUMIFS('Timesheet Raw'!$P$4:$P$8000,'Timesheet Raw'!$B$4:$B$8000,TRIM($A378),'Timesheet Raw'!$C$4:$C$8000,"*"&amp;$B378&amp;"*",'Timesheet Raw'!$L$4:$L$8000,"&gt;="&amp;K$5,'Timesheet Raw'!$L$4:$L$8000,"&lt;="&amp;K$6)))/'Profit Plan'!$B$5)</f>
        <v>0</v>
      </c>
      <c r="L378" s="122">
        <f>IF($A378="","",(IF(ISNUMBER(SEARCH("Proposal",$A378)),SUMIFS('Timesheet Raw'!$P$4:$P$8000,'Timesheet Raw'!$A$4:$A$8000,IF(ISNUMBER(SEARCH("Chargable",$A378)),"2-Proposals Chargeable","3-Proposals Regular"),'Timesheet Raw'!$C$4:$C$8000,"*"&amp;$B378&amp;"*",'Timesheet Raw'!$L$4:$L$8000,"&gt;="&amp;MAX(L$5,DATE(2000+VALUE(RIGHT(TRIM($A378),2)),1,1)),'Timesheet Raw'!$L$4:$L$8000,"&lt;="&amp;MIN(L$6,DATE(2000+VALUE(RIGHT(TRIM($A378),2)),12,31))),SUMIFS('Timesheet Raw'!$P$4:$P$8000,'Timesheet Raw'!$B$4:$B$8000,TRIM($A378),'Timesheet Raw'!$C$4:$C$8000,"*"&amp;$B378&amp;"*",'Timesheet Raw'!$L$4:$L$8000,"&gt;="&amp;L$5,'Timesheet Raw'!$L$4:$L$8000,"&lt;="&amp;L$6)))/'Profit Plan'!$B$5)</f>
        <v>0</v>
      </c>
      <c r="M378" s="122">
        <f>IF($A378="","",(IF(ISNUMBER(SEARCH("Proposal",$A378)),SUMIFS('Timesheet Raw'!$P$4:$P$8000,'Timesheet Raw'!$A$4:$A$8000,IF(ISNUMBER(SEARCH("Chargable",$A378)),"2-Proposals Chargeable","3-Proposals Regular"),'Timesheet Raw'!$C$4:$C$8000,"*"&amp;$B378&amp;"*",'Timesheet Raw'!$L$4:$L$8000,"&gt;="&amp;MAX(M$5,DATE(2000+VALUE(RIGHT(TRIM($A378),2)),1,1)),'Timesheet Raw'!$L$4:$L$8000,"&lt;="&amp;MIN(M$6,DATE(2000+VALUE(RIGHT(TRIM($A378),2)),12,31))),SUMIFS('Timesheet Raw'!$P$4:$P$8000,'Timesheet Raw'!$B$4:$B$8000,TRIM($A378),'Timesheet Raw'!$C$4:$C$8000,"*"&amp;$B378&amp;"*",'Timesheet Raw'!$L$4:$L$8000,"&gt;="&amp;M$5,'Timesheet Raw'!$L$4:$L$8000,"&lt;="&amp;M$6)))/'Profit Plan'!$B$5)</f>
        <v>0</v>
      </c>
      <c r="N378" s="122">
        <f>IF($A378="","",(IF(ISNUMBER(SEARCH("Proposal",$A378)),SUMIFS('Timesheet Raw'!$P$4:$P$8000,'Timesheet Raw'!$A$4:$A$8000,IF(ISNUMBER(SEARCH("Chargable",$A378)),"2-Proposals Chargeable","3-Proposals Regular"),'Timesheet Raw'!$C$4:$C$8000,"*"&amp;$B378&amp;"*",'Timesheet Raw'!$L$4:$L$8000,"&gt;="&amp;MAX(N$5,DATE(2000+VALUE(RIGHT(TRIM($A378),2)),1,1)),'Timesheet Raw'!$L$4:$L$8000,"&lt;="&amp;MIN(N$6,DATE(2000+VALUE(RIGHT(TRIM($A378),2)),12,31))),SUMIFS('Timesheet Raw'!$P$4:$P$8000,'Timesheet Raw'!$B$4:$B$8000,TRIM($A378),'Timesheet Raw'!$C$4:$C$8000,"*"&amp;$B378&amp;"*",'Timesheet Raw'!$L$4:$L$8000,"&gt;="&amp;N$5,'Timesheet Raw'!$L$4:$L$8000,"&lt;="&amp;N$6)))/'Profit Plan'!$B$5)</f>
        <v>0</v>
      </c>
      <c r="O378" s="122">
        <f>IF($A378="","",(IF(ISNUMBER(SEARCH("Proposal",$A378)),SUMIFS('Timesheet Raw'!$P$4:$P$8000,'Timesheet Raw'!$A$4:$A$8000,IF(ISNUMBER(SEARCH("Chargable",$A378)),"2-Proposals Chargeable","3-Proposals Regular"),'Timesheet Raw'!$C$4:$C$8000,"*"&amp;$B378&amp;"*",'Timesheet Raw'!$L$4:$L$8000,"&gt;="&amp;MAX(O$5,DATE(2000+VALUE(RIGHT(TRIM($A378),2)),1,1)),'Timesheet Raw'!$L$4:$L$8000,"&lt;="&amp;MIN(O$6,DATE(2000+VALUE(RIGHT(TRIM($A378),2)),12,31))),SUMIFS('Timesheet Raw'!$P$4:$P$8000,'Timesheet Raw'!$B$4:$B$8000,TRIM($A378),'Timesheet Raw'!$C$4:$C$8000,"*"&amp;$B378&amp;"*",'Timesheet Raw'!$L$4:$L$8000,"&gt;="&amp;O$5,'Timesheet Raw'!$L$4:$L$8000,"&lt;="&amp;O$6)))/'Profit Plan'!$B$5)</f>
        <v>0</v>
      </c>
      <c r="P378" s="122">
        <f>IF($A378="","",(IF(ISNUMBER(SEARCH("Proposal",$A378)),SUMIFS('Timesheet Raw'!$P$4:$P$8000,'Timesheet Raw'!$A$4:$A$8000,IF(ISNUMBER(SEARCH("Chargable",$A378)),"2-Proposals Chargeable","3-Proposals Regular"),'Timesheet Raw'!$C$4:$C$8000,"*"&amp;$B378&amp;"*",'Timesheet Raw'!$L$4:$L$8000,"&gt;="&amp;MAX(P$5,DATE(2000+VALUE(RIGHT(TRIM($A378),2)),1,1)),'Timesheet Raw'!$L$4:$L$8000,"&lt;="&amp;MIN(P$6,DATE(2000+VALUE(RIGHT(TRIM($A378),2)),12,31))),SUMIFS('Timesheet Raw'!$P$4:$P$8000,'Timesheet Raw'!$B$4:$B$8000,TRIM($A378),'Timesheet Raw'!$C$4:$C$8000,"*"&amp;$B378&amp;"*",'Timesheet Raw'!$L$4:$L$8000,"&gt;="&amp;P$5,'Timesheet Raw'!$L$4:$L$8000,"&lt;="&amp;P$6)))/'Profit Plan'!$B$5)</f>
        <v>0</v>
      </c>
      <c r="Q378" s="122">
        <f>IF($A378="","",(IF(ISNUMBER(SEARCH("Proposal",$A378)),SUMIFS('Timesheet Raw'!$P$4:$P$8000,'Timesheet Raw'!$A$4:$A$8000,IF(ISNUMBER(SEARCH("Chargable",$A378)),"2-Proposals Chargeable","3-Proposals Regular"),'Timesheet Raw'!$C$4:$C$8000,"*"&amp;$B378&amp;"*",'Timesheet Raw'!$L$4:$L$8000,"&gt;="&amp;MAX(Q$5,DATE(2000+VALUE(RIGHT(TRIM($A378),2)),1,1)),'Timesheet Raw'!$L$4:$L$8000,"&lt;="&amp;MIN(Q$6,DATE(2000+VALUE(RIGHT(TRIM($A378),2)),12,31))),SUMIFS('Timesheet Raw'!$P$4:$P$8000,'Timesheet Raw'!$B$4:$B$8000,TRIM($A378),'Timesheet Raw'!$C$4:$C$8000,"*"&amp;$B378&amp;"*",'Timesheet Raw'!$L$4:$L$8000,"&gt;="&amp;Q$5,'Timesheet Raw'!$L$4:$L$8000,"&lt;="&amp;Q$6)))/'Profit Plan'!$B$5)</f>
        <v>0</v>
      </c>
      <c r="R378" s="122">
        <f>IF($A378="","",(IF(ISNUMBER(SEARCH("Proposal",$A378)),SUMIFS('Timesheet Raw'!$P$4:$P$8000,'Timesheet Raw'!$A$4:$A$8000,IF(ISNUMBER(SEARCH("Chargable",$A378)),"2-Proposals Chargeable","3-Proposals Regular"),'Timesheet Raw'!$C$4:$C$8000,"*"&amp;$B378&amp;"*",'Timesheet Raw'!$L$4:$L$8000,"&gt;="&amp;MAX(R$5,DATE(2000+VALUE(RIGHT(TRIM($A378),2)),1,1)),'Timesheet Raw'!$L$4:$L$8000,"&lt;="&amp;MIN(R$6,DATE(2000+VALUE(RIGHT(TRIM($A378),2)),12,31))),SUMIFS('Timesheet Raw'!$P$4:$P$8000,'Timesheet Raw'!$B$4:$B$8000,TRIM($A378),'Timesheet Raw'!$C$4:$C$8000,"*"&amp;$B378&amp;"*",'Timesheet Raw'!$L$4:$L$8000,"&gt;="&amp;R$5,'Timesheet Raw'!$L$4:$L$8000,"&lt;="&amp;R$6)))/'Profit Plan'!$B$5)</f>
        <v>0</v>
      </c>
      <c r="S378" s="122">
        <f>IF($A378="","",(IF(ISNUMBER(SEARCH("Proposal",$A378)),SUMIFS('Timesheet Raw'!$P$4:$P$8000,'Timesheet Raw'!$A$4:$A$8000,IF(ISNUMBER(SEARCH("Chargable",$A378)),"2-Proposals Chargeable","3-Proposals Regular"),'Timesheet Raw'!$C$4:$C$8000,"*"&amp;$B378&amp;"*",'Timesheet Raw'!$L$4:$L$8000,"&gt;="&amp;MAX(S$5,DATE(2000+VALUE(RIGHT(TRIM($A378),2)),1,1)),'Timesheet Raw'!$L$4:$L$8000,"&lt;="&amp;MIN(S$6,DATE(2000+VALUE(RIGHT(TRIM($A378),2)),12,31))),SUMIFS('Timesheet Raw'!$P$4:$P$8000,'Timesheet Raw'!$B$4:$B$8000,TRIM($A378),'Timesheet Raw'!$C$4:$C$8000,"*"&amp;$B378&amp;"*",'Timesheet Raw'!$L$4:$L$8000,"&gt;="&amp;S$5,'Timesheet Raw'!$L$4:$L$8000,"&lt;="&amp;S$6)))/'Profit Plan'!$B$5)</f>
        <v>0</v>
      </c>
      <c r="T378" s="122">
        <f>IF($A378="","",(IF(ISNUMBER(SEARCH("Proposal",$A378)),SUMIFS('Timesheet Raw'!$P$4:$P$8000,'Timesheet Raw'!$A$4:$A$8000,IF(ISNUMBER(SEARCH("Chargable",$A378)),"2-Proposals Chargeable","3-Proposals Regular"),'Timesheet Raw'!$C$4:$C$8000,"*"&amp;$B378&amp;"*",'Timesheet Raw'!$L$4:$L$8000,"&gt;="&amp;MAX(T$5,DATE(2000+VALUE(RIGHT(TRIM($A378),2)),1,1)),'Timesheet Raw'!$L$4:$L$8000,"&lt;="&amp;MIN(T$6,DATE(2000+VALUE(RIGHT(TRIM($A378),2)),12,31))),SUMIFS('Timesheet Raw'!$P$4:$P$8000,'Timesheet Raw'!$B$4:$B$8000,TRIM($A378),'Timesheet Raw'!$C$4:$C$8000,"*"&amp;$B378&amp;"*",'Timesheet Raw'!$L$4:$L$8000,"&gt;="&amp;T$5,'Timesheet Raw'!$L$4:$L$8000,"&lt;="&amp;T$6)))/'Profit Plan'!$B$5)</f>
        <v>0</v>
      </c>
      <c r="U378" s="122">
        <f>IF($A378="","",(IF(ISNUMBER(SEARCH("Proposal",$A378)),SUMIFS('Timesheet Raw'!$P$4:$P$8000,'Timesheet Raw'!$A$4:$A$8000,IF(ISNUMBER(SEARCH("Chargable",$A378)),"2-Proposals Chargeable","3-Proposals Regular"),'Timesheet Raw'!$C$4:$C$8000,"*"&amp;$B378&amp;"*",'Timesheet Raw'!$L$4:$L$8000,"&gt;="&amp;MAX(U$5,DATE(2000+VALUE(RIGHT(TRIM($A378),2)),1,1)),'Timesheet Raw'!$L$4:$L$8000,"&lt;="&amp;MIN(U$6,DATE(2000+VALUE(RIGHT(TRIM($A378),2)),12,31))),SUMIFS('Timesheet Raw'!$P$4:$P$8000,'Timesheet Raw'!$B$4:$B$8000,TRIM($A378),'Timesheet Raw'!$C$4:$C$8000,"*"&amp;$B378&amp;"*",'Timesheet Raw'!$L$4:$L$8000,"&gt;="&amp;U$5,'Timesheet Raw'!$L$4:$L$8000,"&lt;="&amp;U$6)))/'Profit Plan'!$B$5)</f>
        <v>0</v>
      </c>
      <c r="V378" s="122">
        <f>IF($A378="","",(IF(ISNUMBER(SEARCH("Proposal",$A378)),SUMIFS('Timesheet Raw'!$P$4:$P$8000,'Timesheet Raw'!$A$4:$A$8000,IF(ISNUMBER(SEARCH("Chargable",$A378)),"2-Proposals Chargeable","3-Proposals Regular"),'Timesheet Raw'!$C$4:$C$8000,"*"&amp;$B378&amp;"*",'Timesheet Raw'!$L$4:$L$8000,"&gt;="&amp;MAX(V$5,DATE(2000+VALUE(RIGHT(TRIM($A378),2)),1,1)),'Timesheet Raw'!$L$4:$L$8000,"&lt;="&amp;MIN(V$6,DATE(2000+VALUE(RIGHT(TRIM($A378),2)),12,31))),SUMIFS('Timesheet Raw'!$P$4:$P$8000,'Timesheet Raw'!$B$4:$B$8000,TRIM($A378),'Timesheet Raw'!$C$4:$C$8000,"*"&amp;$B378&amp;"*",'Timesheet Raw'!$L$4:$L$8000,"&gt;="&amp;V$5,'Timesheet Raw'!$L$4:$L$8000,"&lt;="&amp;V$6)))/'Profit Plan'!$B$5)</f>
        <v>0</v>
      </c>
      <c r="W378" s="122">
        <f>IF($A378="","",(IF(ISNUMBER(SEARCH("Proposal",$A378)),SUMIFS('Timesheet Raw'!$P$4:$P$8000,'Timesheet Raw'!$A$4:$A$8000,IF(ISNUMBER(SEARCH("Chargable",$A378)),"2-Proposals Chargeable","3-Proposals Regular"),'Timesheet Raw'!$C$4:$C$8000,"*"&amp;$B378&amp;"*",'Timesheet Raw'!$L$4:$L$8000,"&gt;="&amp;MAX(W$5,DATE(2000+VALUE(RIGHT(TRIM($A378),2)),1,1)),'Timesheet Raw'!$L$4:$L$8000,"&lt;="&amp;MIN(W$6,DATE(2000+VALUE(RIGHT(TRIM($A378),2)),12,31))),SUMIFS('Timesheet Raw'!$P$4:$P$8000,'Timesheet Raw'!$B$4:$B$8000,TRIM($A378),'Timesheet Raw'!$C$4:$C$8000,"*"&amp;$B378&amp;"*",'Timesheet Raw'!$L$4:$L$8000,"&gt;="&amp;W$5,'Timesheet Raw'!$L$4:$L$8000,"&lt;="&amp;W$6)))/'Profit Plan'!$B$5)</f>
        <v>0</v>
      </c>
      <c r="X378" s="122">
        <f>IF($A378="","",(IF(ISNUMBER(SEARCH("Proposal",$A378)),SUMIFS('Timesheet Raw'!$P$4:$P$8000,'Timesheet Raw'!$A$4:$A$8000,IF(ISNUMBER(SEARCH("Chargable",$A378)),"2-Proposals Chargeable","3-Proposals Regular"),'Timesheet Raw'!$C$4:$C$8000,"*"&amp;$B378&amp;"*",'Timesheet Raw'!$L$4:$L$8000,"&gt;="&amp;MAX(X$5,DATE(2000+VALUE(RIGHT(TRIM($A378),2)),1,1)),'Timesheet Raw'!$L$4:$L$8000,"&lt;="&amp;MIN(X$6,DATE(2000+VALUE(RIGHT(TRIM($A378),2)),12,31))),SUMIFS('Timesheet Raw'!$P$4:$P$8000,'Timesheet Raw'!$B$4:$B$8000,TRIM($A378),'Timesheet Raw'!$C$4:$C$8000,"*"&amp;$B378&amp;"*",'Timesheet Raw'!$L$4:$L$8000,"&gt;="&amp;X$5,'Timesheet Raw'!$L$4:$L$8000,"&lt;="&amp;X$6)))/'Profit Plan'!$B$5)</f>
        <v>0</v>
      </c>
      <c r="Y378" s="118">
        <f t="shared" si="101"/>
        <v>0</v>
      </c>
    </row>
    <row r="379" spans="1:25" x14ac:dyDescent="0.3">
      <c r="A379" s="116" t="str">
        <f>IF(Inputs!$A44="","",Inputs!$A44)</f>
        <v>Chargable Proposals 26</v>
      </c>
      <c r="B379" s="116" t="str">
        <f>IF(Inputs!$A44="","",Inputs!$A$91)</f>
        <v>Ahmed</v>
      </c>
      <c r="C379" s="116"/>
      <c r="D379" s="122">
        <f>IF($A379="","",(IF(ISNUMBER(SEARCH("Proposal",$A379)),SUMIFS('Timesheet Raw'!$P$4:$P$8000,'Timesheet Raw'!$A$4:$A$8000,IF(ISNUMBER(SEARCH("Chargable",$A379)),"2-Proposals Chargeable","3-Proposals Regular"),'Timesheet Raw'!$C$4:$C$8000,"*"&amp;$B379&amp;"*",'Timesheet Raw'!$L$4:$L$8000,"&gt;="&amp;MAX(D$5,DATE(2000+VALUE(RIGHT(TRIM($A379),2)),1,1)),'Timesheet Raw'!$L$4:$L$8000,"&lt;="&amp;MIN(D$6,DATE(2000+VALUE(RIGHT(TRIM($A379),2)),12,31))),SUMIFS('Timesheet Raw'!$P$4:$P$8000,'Timesheet Raw'!$B$4:$B$8000,TRIM($A379),'Timesheet Raw'!$C$4:$C$8000,"*"&amp;$B379&amp;"*",'Timesheet Raw'!$L$4:$L$8000,"&gt;="&amp;D$5,'Timesheet Raw'!$L$4:$L$8000,"&lt;="&amp;D$6)))/'Profit Plan'!$B$5)</f>
        <v>0</v>
      </c>
      <c r="E379" s="122">
        <f>IF($A379="","",(IF(ISNUMBER(SEARCH("Proposal",$A379)),SUMIFS('Timesheet Raw'!$P$4:$P$8000,'Timesheet Raw'!$A$4:$A$8000,IF(ISNUMBER(SEARCH("Chargable",$A379)),"2-Proposals Chargeable","3-Proposals Regular"),'Timesheet Raw'!$C$4:$C$8000,"*"&amp;$B379&amp;"*",'Timesheet Raw'!$L$4:$L$8000,"&gt;="&amp;MAX(E$5,DATE(2000+VALUE(RIGHT(TRIM($A379),2)),1,1)),'Timesheet Raw'!$L$4:$L$8000,"&lt;="&amp;MIN(E$6,DATE(2000+VALUE(RIGHT(TRIM($A379),2)),12,31))),SUMIFS('Timesheet Raw'!$P$4:$P$8000,'Timesheet Raw'!$B$4:$B$8000,TRIM($A379),'Timesheet Raw'!$C$4:$C$8000,"*"&amp;$B379&amp;"*",'Timesheet Raw'!$L$4:$L$8000,"&gt;="&amp;E$5,'Timesheet Raw'!$L$4:$L$8000,"&lt;="&amp;E$6)))/'Profit Plan'!$B$5)</f>
        <v>0</v>
      </c>
      <c r="F379" s="122">
        <f>IF($A379="","",(IF(ISNUMBER(SEARCH("Proposal",$A379)),SUMIFS('Timesheet Raw'!$P$4:$P$8000,'Timesheet Raw'!$A$4:$A$8000,IF(ISNUMBER(SEARCH("Chargable",$A379)),"2-Proposals Chargeable","3-Proposals Regular"),'Timesheet Raw'!$C$4:$C$8000,"*"&amp;$B379&amp;"*",'Timesheet Raw'!$L$4:$L$8000,"&gt;="&amp;MAX(F$5,DATE(2000+VALUE(RIGHT(TRIM($A379),2)),1,1)),'Timesheet Raw'!$L$4:$L$8000,"&lt;="&amp;MIN(F$6,DATE(2000+VALUE(RIGHT(TRIM($A379),2)),12,31))),SUMIFS('Timesheet Raw'!$P$4:$P$8000,'Timesheet Raw'!$B$4:$B$8000,TRIM($A379),'Timesheet Raw'!$C$4:$C$8000,"*"&amp;$B379&amp;"*",'Timesheet Raw'!$L$4:$L$8000,"&gt;="&amp;F$5,'Timesheet Raw'!$L$4:$L$8000,"&lt;="&amp;F$6)))/'Profit Plan'!$B$5)</f>
        <v>0</v>
      </c>
      <c r="G379" s="122">
        <f>IF($A379="","",(IF(ISNUMBER(SEARCH("Proposal",$A379)),SUMIFS('Timesheet Raw'!$P$4:$P$8000,'Timesheet Raw'!$A$4:$A$8000,IF(ISNUMBER(SEARCH("Chargable",$A379)),"2-Proposals Chargeable","3-Proposals Regular"),'Timesheet Raw'!$C$4:$C$8000,"*"&amp;$B379&amp;"*",'Timesheet Raw'!$L$4:$L$8000,"&gt;="&amp;MAX(G$5,DATE(2000+VALUE(RIGHT(TRIM($A379),2)),1,1)),'Timesheet Raw'!$L$4:$L$8000,"&lt;="&amp;MIN(G$6,DATE(2000+VALUE(RIGHT(TRIM($A379),2)),12,31))),SUMIFS('Timesheet Raw'!$P$4:$P$8000,'Timesheet Raw'!$B$4:$B$8000,TRIM($A379),'Timesheet Raw'!$C$4:$C$8000,"*"&amp;$B379&amp;"*",'Timesheet Raw'!$L$4:$L$8000,"&gt;="&amp;G$5,'Timesheet Raw'!$L$4:$L$8000,"&lt;="&amp;G$6)))/'Profit Plan'!$B$5)</f>
        <v>0</v>
      </c>
      <c r="H379" s="122">
        <f>IF($A379="","",(IF(ISNUMBER(SEARCH("Proposal",$A379)),SUMIFS('Timesheet Raw'!$P$4:$P$8000,'Timesheet Raw'!$A$4:$A$8000,IF(ISNUMBER(SEARCH("Chargable",$A379)),"2-Proposals Chargeable","3-Proposals Regular"),'Timesheet Raw'!$C$4:$C$8000,"*"&amp;$B379&amp;"*",'Timesheet Raw'!$L$4:$L$8000,"&gt;="&amp;MAX(H$5,DATE(2000+VALUE(RIGHT(TRIM($A379),2)),1,1)),'Timesheet Raw'!$L$4:$L$8000,"&lt;="&amp;MIN(H$6,DATE(2000+VALUE(RIGHT(TRIM($A379),2)),12,31))),SUMIFS('Timesheet Raw'!$P$4:$P$8000,'Timesheet Raw'!$B$4:$B$8000,TRIM($A379),'Timesheet Raw'!$C$4:$C$8000,"*"&amp;$B379&amp;"*",'Timesheet Raw'!$L$4:$L$8000,"&gt;="&amp;H$5,'Timesheet Raw'!$L$4:$L$8000,"&lt;="&amp;H$6)))/'Profit Plan'!$B$5)</f>
        <v>0</v>
      </c>
      <c r="I379" s="122">
        <f>IF($A379="","",(IF(ISNUMBER(SEARCH("Proposal",$A379)),SUMIFS('Timesheet Raw'!$P$4:$P$8000,'Timesheet Raw'!$A$4:$A$8000,IF(ISNUMBER(SEARCH("Chargable",$A379)),"2-Proposals Chargeable","3-Proposals Regular"),'Timesheet Raw'!$C$4:$C$8000,"*"&amp;$B379&amp;"*",'Timesheet Raw'!$L$4:$L$8000,"&gt;="&amp;MAX(I$5,DATE(2000+VALUE(RIGHT(TRIM($A379),2)),1,1)),'Timesheet Raw'!$L$4:$L$8000,"&lt;="&amp;MIN(I$6,DATE(2000+VALUE(RIGHT(TRIM($A379),2)),12,31))),SUMIFS('Timesheet Raw'!$P$4:$P$8000,'Timesheet Raw'!$B$4:$B$8000,TRIM($A379),'Timesheet Raw'!$C$4:$C$8000,"*"&amp;$B379&amp;"*",'Timesheet Raw'!$L$4:$L$8000,"&gt;="&amp;I$5,'Timesheet Raw'!$L$4:$L$8000,"&lt;="&amp;I$6)))/'Profit Plan'!$B$5)</f>
        <v>0</v>
      </c>
      <c r="J379" s="122">
        <f>IF($A379="","",(IF(ISNUMBER(SEARCH("Proposal",$A379)),SUMIFS('Timesheet Raw'!$P$4:$P$8000,'Timesheet Raw'!$A$4:$A$8000,IF(ISNUMBER(SEARCH("Chargable",$A379)),"2-Proposals Chargeable","3-Proposals Regular"),'Timesheet Raw'!$C$4:$C$8000,"*"&amp;$B379&amp;"*",'Timesheet Raw'!$L$4:$L$8000,"&gt;="&amp;MAX(J$5,DATE(2000+VALUE(RIGHT(TRIM($A379),2)),1,1)),'Timesheet Raw'!$L$4:$L$8000,"&lt;="&amp;MIN(J$6,DATE(2000+VALUE(RIGHT(TRIM($A379),2)),12,31))),SUMIFS('Timesheet Raw'!$P$4:$P$8000,'Timesheet Raw'!$B$4:$B$8000,TRIM($A379),'Timesheet Raw'!$C$4:$C$8000,"*"&amp;$B379&amp;"*",'Timesheet Raw'!$L$4:$L$8000,"&gt;="&amp;J$5,'Timesheet Raw'!$L$4:$L$8000,"&lt;="&amp;J$6)))/'Profit Plan'!$B$5)</f>
        <v>0</v>
      </c>
      <c r="K379" s="122">
        <f>IF($A379="","",(IF(ISNUMBER(SEARCH("Proposal",$A379)),SUMIFS('Timesheet Raw'!$P$4:$P$8000,'Timesheet Raw'!$A$4:$A$8000,IF(ISNUMBER(SEARCH("Chargable",$A379)),"2-Proposals Chargeable","3-Proposals Regular"),'Timesheet Raw'!$C$4:$C$8000,"*"&amp;$B379&amp;"*",'Timesheet Raw'!$L$4:$L$8000,"&gt;="&amp;MAX(K$5,DATE(2000+VALUE(RIGHT(TRIM($A379),2)),1,1)),'Timesheet Raw'!$L$4:$L$8000,"&lt;="&amp;MIN(K$6,DATE(2000+VALUE(RIGHT(TRIM($A379),2)),12,31))),SUMIFS('Timesheet Raw'!$P$4:$P$8000,'Timesheet Raw'!$B$4:$B$8000,TRIM($A379),'Timesheet Raw'!$C$4:$C$8000,"*"&amp;$B379&amp;"*",'Timesheet Raw'!$L$4:$L$8000,"&gt;="&amp;K$5,'Timesheet Raw'!$L$4:$L$8000,"&lt;="&amp;K$6)))/'Profit Plan'!$B$5)</f>
        <v>0</v>
      </c>
      <c r="L379" s="122">
        <f>IF($A379="","",(IF(ISNUMBER(SEARCH("Proposal",$A379)),SUMIFS('Timesheet Raw'!$P$4:$P$8000,'Timesheet Raw'!$A$4:$A$8000,IF(ISNUMBER(SEARCH("Chargable",$A379)),"2-Proposals Chargeable","3-Proposals Regular"),'Timesheet Raw'!$C$4:$C$8000,"*"&amp;$B379&amp;"*",'Timesheet Raw'!$L$4:$L$8000,"&gt;="&amp;MAX(L$5,DATE(2000+VALUE(RIGHT(TRIM($A379),2)),1,1)),'Timesheet Raw'!$L$4:$L$8000,"&lt;="&amp;MIN(L$6,DATE(2000+VALUE(RIGHT(TRIM($A379),2)),12,31))),SUMIFS('Timesheet Raw'!$P$4:$P$8000,'Timesheet Raw'!$B$4:$B$8000,TRIM($A379),'Timesheet Raw'!$C$4:$C$8000,"*"&amp;$B379&amp;"*",'Timesheet Raw'!$L$4:$L$8000,"&gt;="&amp;L$5,'Timesheet Raw'!$L$4:$L$8000,"&lt;="&amp;L$6)))/'Profit Plan'!$B$5)</f>
        <v>0</v>
      </c>
      <c r="M379" s="122">
        <f>IF($A379="","",(IF(ISNUMBER(SEARCH("Proposal",$A379)),SUMIFS('Timesheet Raw'!$P$4:$P$8000,'Timesheet Raw'!$A$4:$A$8000,IF(ISNUMBER(SEARCH("Chargable",$A379)),"2-Proposals Chargeable","3-Proposals Regular"),'Timesheet Raw'!$C$4:$C$8000,"*"&amp;$B379&amp;"*",'Timesheet Raw'!$L$4:$L$8000,"&gt;="&amp;MAX(M$5,DATE(2000+VALUE(RIGHT(TRIM($A379),2)),1,1)),'Timesheet Raw'!$L$4:$L$8000,"&lt;="&amp;MIN(M$6,DATE(2000+VALUE(RIGHT(TRIM($A379),2)),12,31))),SUMIFS('Timesheet Raw'!$P$4:$P$8000,'Timesheet Raw'!$B$4:$B$8000,TRIM($A379),'Timesheet Raw'!$C$4:$C$8000,"*"&amp;$B379&amp;"*",'Timesheet Raw'!$L$4:$L$8000,"&gt;="&amp;M$5,'Timesheet Raw'!$L$4:$L$8000,"&lt;="&amp;M$6)))/'Profit Plan'!$B$5)</f>
        <v>7.2972972972972977E-2</v>
      </c>
      <c r="N379" s="122">
        <f>IF($A379="","",(IF(ISNUMBER(SEARCH("Proposal",$A379)),SUMIFS('Timesheet Raw'!$P$4:$P$8000,'Timesheet Raw'!$A$4:$A$8000,IF(ISNUMBER(SEARCH("Chargable",$A379)),"2-Proposals Chargeable","3-Proposals Regular"),'Timesheet Raw'!$C$4:$C$8000,"*"&amp;$B379&amp;"*",'Timesheet Raw'!$L$4:$L$8000,"&gt;="&amp;MAX(N$5,DATE(2000+VALUE(RIGHT(TRIM($A379),2)),1,1)),'Timesheet Raw'!$L$4:$L$8000,"&lt;="&amp;MIN(N$6,DATE(2000+VALUE(RIGHT(TRIM($A379),2)),12,31))),SUMIFS('Timesheet Raw'!$P$4:$P$8000,'Timesheet Raw'!$B$4:$B$8000,TRIM($A379),'Timesheet Raw'!$C$4:$C$8000,"*"&amp;$B379&amp;"*",'Timesheet Raw'!$L$4:$L$8000,"&gt;="&amp;N$5,'Timesheet Raw'!$L$4:$L$8000,"&lt;="&amp;N$6)))/'Profit Plan'!$B$5)</f>
        <v>3.6486486486486489E-2</v>
      </c>
      <c r="O379" s="122">
        <f>IF($A379="","",(IF(ISNUMBER(SEARCH("Proposal",$A379)),SUMIFS('Timesheet Raw'!$P$4:$P$8000,'Timesheet Raw'!$A$4:$A$8000,IF(ISNUMBER(SEARCH("Chargable",$A379)),"2-Proposals Chargeable","3-Proposals Regular"),'Timesheet Raw'!$C$4:$C$8000,"*"&amp;$B379&amp;"*",'Timesheet Raw'!$L$4:$L$8000,"&gt;="&amp;MAX(O$5,DATE(2000+VALUE(RIGHT(TRIM($A379),2)),1,1)),'Timesheet Raw'!$L$4:$L$8000,"&lt;="&amp;MIN(O$6,DATE(2000+VALUE(RIGHT(TRIM($A379),2)),12,31))),SUMIFS('Timesheet Raw'!$P$4:$P$8000,'Timesheet Raw'!$B$4:$B$8000,TRIM($A379),'Timesheet Raw'!$C$4:$C$8000,"*"&amp;$B379&amp;"*",'Timesheet Raw'!$L$4:$L$8000,"&gt;="&amp;O$5,'Timesheet Raw'!$L$4:$L$8000,"&lt;="&amp;O$6)))/'Profit Plan'!$B$5)</f>
        <v>0</v>
      </c>
      <c r="P379" s="122">
        <f>IF($A379="","",(IF(ISNUMBER(SEARCH("Proposal",$A379)),SUMIFS('Timesheet Raw'!$P$4:$P$8000,'Timesheet Raw'!$A$4:$A$8000,IF(ISNUMBER(SEARCH("Chargable",$A379)),"2-Proposals Chargeable","3-Proposals Regular"),'Timesheet Raw'!$C$4:$C$8000,"*"&amp;$B379&amp;"*",'Timesheet Raw'!$L$4:$L$8000,"&gt;="&amp;MAX(P$5,DATE(2000+VALUE(RIGHT(TRIM($A379),2)),1,1)),'Timesheet Raw'!$L$4:$L$8000,"&lt;="&amp;MIN(P$6,DATE(2000+VALUE(RIGHT(TRIM($A379),2)),12,31))),SUMIFS('Timesheet Raw'!$P$4:$P$8000,'Timesheet Raw'!$B$4:$B$8000,TRIM($A379),'Timesheet Raw'!$C$4:$C$8000,"*"&amp;$B379&amp;"*",'Timesheet Raw'!$L$4:$L$8000,"&gt;="&amp;P$5,'Timesheet Raw'!$L$4:$L$8000,"&lt;="&amp;P$6)))/'Profit Plan'!$B$5)</f>
        <v>0</v>
      </c>
      <c r="Q379" s="122">
        <f>IF($A379="","",(IF(ISNUMBER(SEARCH("Proposal",$A379)),SUMIFS('Timesheet Raw'!$P$4:$P$8000,'Timesheet Raw'!$A$4:$A$8000,IF(ISNUMBER(SEARCH("Chargable",$A379)),"2-Proposals Chargeable","3-Proposals Regular"),'Timesheet Raw'!$C$4:$C$8000,"*"&amp;$B379&amp;"*",'Timesheet Raw'!$L$4:$L$8000,"&gt;="&amp;MAX(Q$5,DATE(2000+VALUE(RIGHT(TRIM($A379),2)),1,1)),'Timesheet Raw'!$L$4:$L$8000,"&lt;="&amp;MIN(Q$6,DATE(2000+VALUE(RIGHT(TRIM($A379),2)),12,31))),SUMIFS('Timesheet Raw'!$P$4:$P$8000,'Timesheet Raw'!$B$4:$B$8000,TRIM($A379),'Timesheet Raw'!$C$4:$C$8000,"*"&amp;$B379&amp;"*",'Timesheet Raw'!$L$4:$L$8000,"&gt;="&amp;Q$5,'Timesheet Raw'!$L$4:$L$8000,"&lt;="&amp;Q$6)))/'Profit Plan'!$B$5)</f>
        <v>0</v>
      </c>
      <c r="R379" s="122">
        <f>IF($A379="","",(IF(ISNUMBER(SEARCH("Proposal",$A379)),SUMIFS('Timesheet Raw'!$P$4:$P$8000,'Timesheet Raw'!$A$4:$A$8000,IF(ISNUMBER(SEARCH("Chargable",$A379)),"2-Proposals Chargeable","3-Proposals Regular"),'Timesheet Raw'!$C$4:$C$8000,"*"&amp;$B379&amp;"*",'Timesheet Raw'!$L$4:$L$8000,"&gt;="&amp;MAX(R$5,DATE(2000+VALUE(RIGHT(TRIM($A379),2)),1,1)),'Timesheet Raw'!$L$4:$L$8000,"&lt;="&amp;MIN(R$6,DATE(2000+VALUE(RIGHT(TRIM($A379),2)),12,31))),SUMIFS('Timesheet Raw'!$P$4:$P$8000,'Timesheet Raw'!$B$4:$B$8000,TRIM($A379),'Timesheet Raw'!$C$4:$C$8000,"*"&amp;$B379&amp;"*",'Timesheet Raw'!$L$4:$L$8000,"&gt;="&amp;R$5,'Timesheet Raw'!$L$4:$L$8000,"&lt;="&amp;R$6)))/'Profit Plan'!$B$5)</f>
        <v>0</v>
      </c>
      <c r="S379" s="122">
        <f>IF($A379="","",(IF(ISNUMBER(SEARCH("Proposal",$A379)),SUMIFS('Timesheet Raw'!$P$4:$P$8000,'Timesheet Raw'!$A$4:$A$8000,IF(ISNUMBER(SEARCH("Chargable",$A379)),"2-Proposals Chargeable","3-Proposals Regular"),'Timesheet Raw'!$C$4:$C$8000,"*"&amp;$B379&amp;"*",'Timesheet Raw'!$L$4:$L$8000,"&gt;="&amp;MAX(S$5,DATE(2000+VALUE(RIGHT(TRIM($A379),2)),1,1)),'Timesheet Raw'!$L$4:$L$8000,"&lt;="&amp;MIN(S$6,DATE(2000+VALUE(RIGHT(TRIM($A379),2)),12,31))),SUMIFS('Timesheet Raw'!$P$4:$P$8000,'Timesheet Raw'!$B$4:$B$8000,TRIM($A379),'Timesheet Raw'!$C$4:$C$8000,"*"&amp;$B379&amp;"*",'Timesheet Raw'!$L$4:$L$8000,"&gt;="&amp;S$5,'Timesheet Raw'!$L$4:$L$8000,"&lt;="&amp;S$6)))/'Profit Plan'!$B$5)</f>
        <v>0</v>
      </c>
      <c r="T379" s="122">
        <f>IF($A379="","",(IF(ISNUMBER(SEARCH("Proposal",$A379)),SUMIFS('Timesheet Raw'!$P$4:$P$8000,'Timesheet Raw'!$A$4:$A$8000,IF(ISNUMBER(SEARCH("Chargable",$A379)),"2-Proposals Chargeable","3-Proposals Regular"),'Timesheet Raw'!$C$4:$C$8000,"*"&amp;$B379&amp;"*",'Timesheet Raw'!$L$4:$L$8000,"&gt;="&amp;MAX(T$5,DATE(2000+VALUE(RIGHT(TRIM($A379),2)),1,1)),'Timesheet Raw'!$L$4:$L$8000,"&lt;="&amp;MIN(T$6,DATE(2000+VALUE(RIGHT(TRIM($A379),2)),12,31))),SUMIFS('Timesheet Raw'!$P$4:$P$8000,'Timesheet Raw'!$B$4:$B$8000,TRIM($A379),'Timesheet Raw'!$C$4:$C$8000,"*"&amp;$B379&amp;"*",'Timesheet Raw'!$L$4:$L$8000,"&gt;="&amp;T$5,'Timesheet Raw'!$L$4:$L$8000,"&lt;="&amp;T$6)))/'Profit Plan'!$B$5)</f>
        <v>0</v>
      </c>
      <c r="U379" s="122">
        <f>IF($A379="","",(IF(ISNUMBER(SEARCH("Proposal",$A379)),SUMIFS('Timesheet Raw'!$P$4:$P$8000,'Timesheet Raw'!$A$4:$A$8000,IF(ISNUMBER(SEARCH("Chargable",$A379)),"2-Proposals Chargeable","3-Proposals Regular"),'Timesheet Raw'!$C$4:$C$8000,"*"&amp;$B379&amp;"*",'Timesheet Raw'!$L$4:$L$8000,"&gt;="&amp;MAX(U$5,DATE(2000+VALUE(RIGHT(TRIM($A379),2)),1,1)),'Timesheet Raw'!$L$4:$L$8000,"&lt;="&amp;MIN(U$6,DATE(2000+VALUE(RIGHT(TRIM($A379),2)),12,31))),SUMIFS('Timesheet Raw'!$P$4:$P$8000,'Timesheet Raw'!$B$4:$B$8000,TRIM($A379),'Timesheet Raw'!$C$4:$C$8000,"*"&amp;$B379&amp;"*",'Timesheet Raw'!$L$4:$L$8000,"&gt;="&amp;U$5,'Timesheet Raw'!$L$4:$L$8000,"&lt;="&amp;U$6)))/'Profit Plan'!$B$5)</f>
        <v>0</v>
      </c>
      <c r="V379" s="122">
        <f>IF($A379="","",(IF(ISNUMBER(SEARCH("Proposal",$A379)),SUMIFS('Timesheet Raw'!$P$4:$P$8000,'Timesheet Raw'!$A$4:$A$8000,IF(ISNUMBER(SEARCH("Chargable",$A379)),"2-Proposals Chargeable","3-Proposals Regular"),'Timesheet Raw'!$C$4:$C$8000,"*"&amp;$B379&amp;"*",'Timesheet Raw'!$L$4:$L$8000,"&gt;="&amp;MAX(V$5,DATE(2000+VALUE(RIGHT(TRIM($A379),2)),1,1)),'Timesheet Raw'!$L$4:$L$8000,"&lt;="&amp;MIN(V$6,DATE(2000+VALUE(RIGHT(TRIM($A379),2)),12,31))),SUMIFS('Timesheet Raw'!$P$4:$P$8000,'Timesheet Raw'!$B$4:$B$8000,TRIM($A379),'Timesheet Raw'!$C$4:$C$8000,"*"&amp;$B379&amp;"*",'Timesheet Raw'!$L$4:$L$8000,"&gt;="&amp;V$5,'Timesheet Raw'!$L$4:$L$8000,"&lt;="&amp;V$6)))/'Profit Plan'!$B$5)</f>
        <v>0</v>
      </c>
      <c r="W379" s="122">
        <f>IF($A379="","",(IF(ISNUMBER(SEARCH("Proposal",$A379)),SUMIFS('Timesheet Raw'!$P$4:$P$8000,'Timesheet Raw'!$A$4:$A$8000,IF(ISNUMBER(SEARCH("Chargable",$A379)),"2-Proposals Chargeable","3-Proposals Regular"),'Timesheet Raw'!$C$4:$C$8000,"*"&amp;$B379&amp;"*",'Timesheet Raw'!$L$4:$L$8000,"&gt;="&amp;MAX(W$5,DATE(2000+VALUE(RIGHT(TRIM($A379),2)),1,1)),'Timesheet Raw'!$L$4:$L$8000,"&lt;="&amp;MIN(W$6,DATE(2000+VALUE(RIGHT(TRIM($A379),2)),12,31))),SUMIFS('Timesheet Raw'!$P$4:$P$8000,'Timesheet Raw'!$B$4:$B$8000,TRIM($A379),'Timesheet Raw'!$C$4:$C$8000,"*"&amp;$B379&amp;"*",'Timesheet Raw'!$L$4:$L$8000,"&gt;="&amp;W$5,'Timesheet Raw'!$L$4:$L$8000,"&lt;="&amp;W$6)))/'Profit Plan'!$B$5)</f>
        <v>0</v>
      </c>
      <c r="X379" s="122">
        <f>IF($A379="","",(IF(ISNUMBER(SEARCH("Proposal",$A379)),SUMIFS('Timesheet Raw'!$P$4:$P$8000,'Timesheet Raw'!$A$4:$A$8000,IF(ISNUMBER(SEARCH("Chargable",$A379)),"2-Proposals Chargeable","3-Proposals Regular"),'Timesheet Raw'!$C$4:$C$8000,"*"&amp;$B379&amp;"*",'Timesheet Raw'!$L$4:$L$8000,"&gt;="&amp;MAX(X$5,DATE(2000+VALUE(RIGHT(TRIM($A379),2)),1,1)),'Timesheet Raw'!$L$4:$L$8000,"&lt;="&amp;MIN(X$6,DATE(2000+VALUE(RIGHT(TRIM($A379),2)),12,31))),SUMIFS('Timesheet Raw'!$P$4:$P$8000,'Timesheet Raw'!$B$4:$B$8000,TRIM($A379),'Timesheet Raw'!$C$4:$C$8000,"*"&amp;$B379&amp;"*",'Timesheet Raw'!$L$4:$L$8000,"&gt;="&amp;X$5,'Timesheet Raw'!$L$4:$L$8000,"&lt;="&amp;X$6)))/'Profit Plan'!$B$5)</f>
        <v>0</v>
      </c>
      <c r="Y379" s="118">
        <f t="shared" si="101"/>
        <v>0.10945945945945947</v>
      </c>
    </row>
    <row r="380" spans="1:25" x14ac:dyDescent="0.3">
      <c r="A380" s="116" t="str">
        <f>IF(Inputs!$A44="","",Inputs!$A44)</f>
        <v>Chargable Proposals 26</v>
      </c>
      <c r="B380" s="116" t="str">
        <f>IF(Inputs!$A44="","",Inputs!$A$92)</f>
        <v>Osama</v>
      </c>
      <c r="C380" s="116"/>
      <c r="D380" s="122">
        <f>IF($A380="","",(IF(ISNUMBER(SEARCH("Proposal",$A380)),SUMIFS('Timesheet Raw'!$P$4:$P$8000,'Timesheet Raw'!$A$4:$A$8000,IF(ISNUMBER(SEARCH("Chargable",$A380)),"2-Proposals Chargeable","3-Proposals Regular"),'Timesheet Raw'!$C$4:$C$8000,"*"&amp;$B380&amp;"*",'Timesheet Raw'!$L$4:$L$8000,"&gt;="&amp;MAX(D$5,DATE(2000+VALUE(RIGHT(TRIM($A380),2)),1,1)),'Timesheet Raw'!$L$4:$L$8000,"&lt;="&amp;MIN(D$6,DATE(2000+VALUE(RIGHT(TRIM($A380),2)),12,31))),SUMIFS('Timesheet Raw'!$P$4:$P$8000,'Timesheet Raw'!$B$4:$B$8000,TRIM($A380),'Timesheet Raw'!$C$4:$C$8000,"*"&amp;$B380&amp;"*",'Timesheet Raw'!$L$4:$L$8000,"&gt;="&amp;D$5,'Timesheet Raw'!$L$4:$L$8000,"&lt;="&amp;D$6)))/'Profit Plan'!$B$5)</f>
        <v>0</v>
      </c>
      <c r="E380" s="122">
        <f>IF($A380="","",(IF(ISNUMBER(SEARCH("Proposal",$A380)),SUMIFS('Timesheet Raw'!$P$4:$P$8000,'Timesheet Raw'!$A$4:$A$8000,IF(ISNUMBER(SEARCH("Chargable",$A380)),"2-Proposals Chargeable","3-Proposals Regular"),'Timesheet Raw'!$C$4:$C$8000,"*"&amp;$B380&amp;"*",'Timesheet Raw'!$L$4:$L$8000,"&gt;="&amp;MAX(E$5,DATE(2000+VALUE(RIGHT(TRIM($A380),2)),1,1)),'Timesheet Raw'!$L$4:$L$8000,"&lt;="&amp;MIN(E$6,DATE(2000+VALUE(RIGHT(TRIM($A380),2)),12,31))),SUMIFS('Timesheet Raw'!$P$4:$P$8000,'Timesheet Raw'!$B$4:$B$8000,TRIM($A380),'Timesheet Raw'!$C$4:$C$8000,"*"&amp;$B380&amp;"*",'Timesheet Raw'!$L$4:$L$8000,"&gt;="&amp;E$5,'Timesheet Raw'!$L$4:$L$8000,"&lt;="&amp;E$6)))/'Profit Plan'!$B$5)</f>
        <v>0</v>
      </c>
      <c r="F380" s="122">
        <f>IF($A380="","",(IF(ISNUMBER(SEARCH("Proposal",$A380)),SUMIFS('Timesheet Raw'!$P$4:$P$8000,'Timesheet Raw'!$A$4:$A$8000,IF(ISNUMBER(SEARCH("Chargable",$A380)),"2-Proposals Chargeable","3-Proposals Regular"),'Timesheet Raw'!$C$4:$C$8000,"*"&amp;$B380&amp;"*",'Timesheet Raw'!$L$4:$L$8000,"&gt;="&amp;MAX(F$5,DATE(2000+VALUE(RIGHT(TRIM($A380),2)),1,1)),'Timesheet Raw'!$L$4:$L$8000,"&lt;="&amp;MIN(F$6,DATE(2000+VALUE(RIGHT(TRIM($A380),2)),12,31))),SUMIFS('Timesheet Raw'!$P$4:$P$8000,'Timesheet Raw'!$B$4:$B$8000,TRIM($A380),'Timesheet Raw'!$C$4:$C$8000,"*"&amp;$B380&amp;"*",'Timesheet Raw'!$L$4:$L$8000,"&gt;="&amp;F$5,'Timesheet Raw'!$L$4:$L$8000,"&lt;="&amp;F$6)))/'Profit Plan'!$B$5)</f>
        <v>0</v>
      </c>
      <c r="G380" s="122">
        <f>IF($A380="","",(IF(ISNUMBER(SEARCH("Proposal",$A380)),SUMIFS('Timesheet Raw'!$P$4:$P$8000,'Timesheet Raw'!$A$4:$A$8000,IF(ISNUMBER(SEARCH("Chargable",$A380)),"2-Proposals Chargeable","3-Proposals Regular"),'Timesheet Raw'!$C$4:$C$8000,"*"&amp;$B380&amp;"*",'Timesheet Raw'!$L$4:$L$8000,"&gt;="&amp;MAX(G$5,DATE(2000+VALUE(RIGHT(TRIM($A380),2)),1,1)),'Timesheet Raw'!$L$4:$L$8000,"&lt;="&amp;MIN(G$6,DATE(2000+VALUE(RIGHT(TRIM($A380),2)),12,31))),SUMIFS('Timesheet Raw'!$P$4:$P$8000,'Timesheet Raw'!$B$4:$B$8000,TRIM($A380),'Timesheet Raw'!$C$4:$C$8000,"*"&amp;$B380&amp;"*",'Timesheet Raw'!$L$4:$L$8000,"&gt;="&amp;G$5,'Timesheet Raw'!$L$4:$L$8000,"&lt;="&amp;G$6)))/'Profit Plan'!$B$5)</f>
        <v>0</v>
      </c>
      <c r="H380" s="122">
        <f>IF($A380="","",(IF(ISNUMBER(SEARCH("Proposal",$A380)),SUMIFS('Timesheet Raw'!$P$4:$P$8000,'Timesheet Raw'!$A$4:$A$8000,IF(ISNUMBER(SEARCH("Chargable",$A380)),"2-Proposals Chargeable","3-Proposals Regular"),'Timesheet Raw'!$C$4:$C$8000,"*"&amp;$B380&amp;"*",'Timesheet Raw'!$L$4:$L$8000,"&gt;="&amp;MAX(H$5,DATE(2000+VALUE(RIGHT(TRIM($A380),2)),1,1)),'Timesheet Raw'!$L$4:$L$8000,"&lt;="&amp;MIN(H$6,DATE(2000+VALUE(RIGHT(TRIM($A380),2)),12,31))),SUMIFS('Timesheet Raw'!$P$4:$P$8000,'Timesheet Raw'!$B$4:$B$8000,TRIM($A380),'Timesheet Raw'!$C$4:$C$8000,"*"&amp;$B380&amp;"*",'Timesheet Raw'!$L$4:$L$8000,"&gt;="&amp;H$5,'Timesheet Raw'!$L$4:$L$8000,"&lt;="&amp;H$6)))/'Profit Plan'!$B$5)</f>
        <v>0</v>
      </c>
      <c r="I380" s="122">
        <f>IF($A380="","",(IF(ISNUMBER(SEARCH("Proposal",$A380)),SUMIFS('Timesheet Raw'!$P$4:$P$8000,'Timesheet Raw'!$A$4:$A$8000,IF(ISNUMBER(SEARCH("Chargable",$A380)),"2-Proposals Chargeable","3-Proposals Regular"),'Timesheet Raw'!$C$4:$C$8000,"*"&amp;$B380&amp;"*",'Timesheet Raw'!$L$4:$L$8000,"&gt;="&amp;MAX(I$5,DATE(2000+VALUE(RIGHT(TRIM($A380),2)),1,1)),'Timesheet Raw'!$L$4:$L$8000,"&lt;="&amp;MIN(I$6,DATE(2000+VALUE(RIGHT(TRIM($A380),2)),12,31))),SUMIFS('Timesheet Raw'!$P$4:$P$8000,'Timesheet Raw'!$B$4:$B$8000,TRIM($A380),'Timesheet Raw'!$C$4:$C$8000,"*"&amp;$B380&amp;"*",'Timesheet Raw'!$L$4:$L$8000,"&gt;="&amp;I$5,'Timesheet Raw'!$L$4:$L$8000,"&lt;="&amp;I$6)))/'Profit Plan'!$B$5)</f>
        <v>0</v>
      </c>
      <c r="J380" s="122">
        <f>IF($A380="","",(IF(ISNUMBER(SEARCH("Proposal",$A380)),SUMIFS('Timesheet Raw'!$P$4:$P$8000,'Timesheet Raw'!$A$4:$A$8000,IF(ISNUMBER(SEARCH("Chargable",$A380)),"2-Proposals Chargeable","3-Proposals Regular"),'Timesheet Raw'!$C$4:$C$8000,"*"&amp;$B380&amp;"*",'Timesheet Raw'!$L$4:$L$8000,"&gt;="&amp;MAX(J$5,DATE(2000+VALUE(RIGHT(TRIM($A380),2)),1,1)),'Timesheet Raw'!$L$4:$L$8000,"&lt;="&amp;MIN(J$6,DATE(2000+VALUE(RIGHT(TRIM($A380),2)),12,31))),SUMIFS('Timesheet Raw'!$P$4:$P$8000,'Timesheet Raw'!$B$4:$B$8000,TRIM($A380),'Timesheet Raw'!$C$4:$C$8000,"*"&amp;$B380&amp;"*",'Timesheet Raw'!$L$4:$L$8000,"&gt;="&amp;J$5,'Timesheet Raw'!$L$4:$L$8000,"&lt;="&amp;J$6)))/'Profit Plan'!$B$5)</f>
        <v>0</v>
      </c>
      <c r="K380" s="122">
        <f>IF($A380="","",(IF(ISNUMBER(SEARCH("Proposal",$A380)),SUMIFS('Timesheet Raw'!$P$4:$P$8000,'Timesheet Raw'!$A$4:$A$8000,IF(ISNUMBER(SEARCH("Chargable",$A380)),"2-Proposals Chargeable","3-Proposals Regular"),'Timesheet Raw'!$C$4:$C$8000,"*"&amp;$B380&amp;"*",'Timesheet Raw'!$L$4:$L$8000,"&gt;="&amp;MAX(K$5,DATE(2000+VALUE(RIGHT(TRIM($A380),2)),1,1)),'Timesheet Raw'!$L$4:$L$8000,"&lt;="&amp;MIN(K$6,DATE(2000+VALUE(RIGHT(TRIM($A380),2)),12,31))),SUMIFS('Timesheet Raw'!$P$4:$P$8000,'Timesheet Raw'!$B$4:$B$8000,TRIM($A380),'Timesheet Raw'!$C$4:$C$8000,"*"&amp;$B380&amp;"*",'Timesheet Raw'!$L$4:$L$8000,"&gt;="&amp;K$5,'Timesheet Raw'!$L$4:$L$8000,"&lt;="&amp;K$6)))/'Profit Plan'!$B$5)</f>
        <v>0</v>
      </c>
      <c r="L380" s="122">
        <f>IF($A380="","",(IF(ISNUMBER(SEARCH("Proposal",$A380)),SUMIFS('Timesheet Raw'!$P$4:$P$8000,'Timesheet Raw'!$A$4:$A$8000,IF(ISNUMBER(SEARCH("Chargable",$A380)),"2-Proposals Chargeable","3-Proposals Regular"),'Timesheet Raw'!$C$4:$C$8000,"*"&amp;$B380&amp;"*",'Timesheet Raw'!$L$4:$L$8000,"&gt;="&amp;MAX(L$5,DATE(2000+VALUE(RIGHT(TRIM($A380),2)),1,1)),'Timesheet Raw'!$L$4:$L$8000,"&lt;="&amp;MIN(L$6,DATE(2000+VALUE(RIGHT(TRIM($A380),2)),12,31))),SUMIFS('Timesheet Raw'!$P$4:$P$8000,'Timesheet Raw'!$B$4:$B$8000,TRIM($A380),'Timesheet Raw'!$C$4:$C$8000,"*"&amp;$B380&amp;"*",'Timesheet Raw'!$L$4:$L$8000,"&gt;="&amp;L$5,'Timesheet Raw'!$L$4:$L$8000,"&lt;="&amp;L$6)))/'Profit Plan'!$B$5)</f>
        <v>0</v>
      </c>
      <c r="M380" s="122">
        <f>IF($A380="","",(IF(ISNUMBER(SEARCH("Proposal",$A380)),SUMIFS('Timesheet Raw'!$P$4:$P$8000,'Timesheet Raw'!$A$4:$A$8000,IF(ISNUMBER(SEARCH("Chargable",$A380)),"2-Proposals Chargeable","3-Proposals Regular"),'Timesheet Raw'!$C$4:$C$8000,"*"&amp;$B380&amp;"*",'Timesheet Raw'!$L$4:$L$8000,"&gt;="&amp;MAX(M$5,DATE(2000+VALUE(RIGHT(TRIM($A380),2)),1,1)),'Timesheet Raw'!$L$4:$L$8000,"&lt;="&amp;MIN(M$6,DATE(2000+VALUE(RIGHT(TRIM($A380),2)),12,31))),SUMIFS('Timesheet Raw'!$P$4:$P$8000,'Timesheet Raw'!$B$4:$B$8000,TRIM($A380),'Timesheet Raw'!$C$4:$C$8000,"*"&amp;$B380&amp;"*",'Timesheet Raw'!$L$4:$L$8000,"&gt;="&amp;M$5,'Timesheet Raw'!$L$4:$L$8000,"&lt;="&amp;M$6)))/'Profit Plan'!$B$5)</f>
        <v>0</v>
      </c>
      <c r="N380" s="122">
        <f>IF($A380="","",(IF(ISNUMBER(SEARCH("Proposal",$A380)),SUMIFS('Timesheet Raw'!$P$4:$P$8000,'Timesheet Raw'!$A$4:$A$8000,IF(ISNUMBER(SEARCH("Chargable",$A380)),"2-Proposals Chargeable","3-Proposals Regular"),'Timesheet Raw'!$C$4:$C$8000,"*"&amp;$B380&amp;"*",'Timesheet Raw'!$L$4:$L$8000,"&gt;="&amp;MAX(N$5,DATE(2000+VALUE(RIGHT(TRIM($A380),2)),1,1)),'Timesheet Raw'!$L$4:$L$8000,"&lt;="&amp;MIN(N$6,DATE(2000+VALUE(RIGHT(TRIM($A380),2)),12,31))),SUMIFS('Timesheet Raw'!$P$4:$P$8000,'Timesheet Raw'!$B$4:$B$8000,TRIM($A380),'Timesheet Raw'!$C$4:$C$8000,"*"&amp;$B380&amp;"*",'Timesheet Raw'!$L$4:$L$8000,"&gt;="&amp;N$5,'Timesheet Raw'!$L$4:$L$8000,"&lt;="&amp;N$6)))/'Profit Plan'!$B$5)</f>
        <v>0</v>
      </c>
      <c r="O380" s="122">
        <f>IF($A380="","",(IF(ISNUMBER(SEARCH("Proposal",$A380)),SUMIFS('Timesheet Raw'!$P$4:$P$8000,'Timesheet Raw'!$A$4:$A$8000,IF(ISNUMBER(SEARCH("Chargable",$A380)),"2-Proposals Chargeable","3-Proposals Regular"),'Timesheet Raw'!$C$4:$C$8000,"*"&amp;$B380&amp;"*",'Timesheet Raw'!$L$4:$L$8000,"&gt;="&amp;MAX(O$5,DATE(2000+VALUE(RIGHT(TRIM($A380),2)),1,1)),'Timesheet Raw'!$L$4:$L$8000,"&lt;="&amp;MIN(O$6,DATE(2000+VALUE(RIGHT(TRIM($A380),2)),12,31))),SUMIFS('Timesheet Raw'!$P$4:$P$8000,'Timesheet Raw'!$B$4:$B$8000,TRIM($A380),'Timesheet Raw'!$C$4:$C$8000,"*"&amp;$B380&amp;"*",'Timesheet Raw'!$L$4:$L$8000,"&gt;="&amp;O$5,'Timesheet Raw'!$L$4:$L$8000,"&lt;="&amp;O$6)))/'Profit Plan'!$B$5)</f>
        <v>0</v>
      </c>
      <c r="P380" s="122">
        <f>IF($A380="","",(IF(ISNUMBER(SEARCH("Proposal",$A380)),SUMIFS('Timesheet Raw'!$P$4:$P$8000,'Timesheet Raw'!$A$4:$A$8000,IF(ISNUMBER(SEARCH("Chargable",$A380)),"2-Proposals Chargeable","3-Proposals Regular"),'Timesheet Raw'!$C$4:$C$8000,"*"&amp;$B380&amp;"*",'Timesheet Raw'!$L$4:$L$8000,"&gt;="&amp;MAX(P$5,DATE(2000+VALUE(RIGHT(TRIM($A380),2)),1,1)),'Timesheet Raw'!$L$4:$L$8000,"&lt;="&amp;MIN(P$6,DATE(2000+VALUE(RIGHT(TRIM($A380),2)),12,31))),SUMIFS('Timesheet Raw'!$P$4:$P$8000,'Timesheet Raw'!$B$4:$B$8000,TRIM($A380),'Timesheet Raw'!$C$4:$C$8000,"*"&amp;$B380&amp;"*",'Timesheet Raw'!$L$4:$L$8000,"&gt;="&amp;P$5,'Timesheet Raw'!$L$4:$L$8000,"&lt;="&amp;P$6)))/'Profit Plan'!$B$5)</f>
        <v>0</v>
      </c>
      <c r="Q380" s="122">
        <f>IF($A380="","",(IF(ISNUMBER(SEARCH("Proposal",$A380)),SUMIFS('Timesheet Raw'!$P$4:$P$8000,'Timesheet Raw'!$A$4:$A$8000,IF(ISNUMBER(SEARCH("Chargable",$A380)),"2-Proposals Chargeable","3-Proposals Regular"),'Timesheet Raw'!$C$4:$C$8000,"*"&amp;$B380&amp;"*",'Timesheet Raw'!$L$4:$L$8000,"&gt;="&amp;MAX(Q$5,DATE(2000+VALUE(RIGHT(TRIM($A380),2)),1,1)),'Timesheet Raw'!$L$4:$L$8000,"&lt;="&amp;MIN(Q$6,DATE(2000+VALUE(RIGHT(TRIM($A380),2)),12,31))),SUMIFS('Timesheet Raw'!$P$4:$P$8000,'Timesheet Raw'!$B$4:$B$8000,TRIM($A380),'Timesheet Raw'!$C$4:$C$8000,"*"&amp;$B380&amp;"*",'Timesheet Raw'!$L$4:$L$8000,"&gt;="&amp;Q$5,'Timesheet Raw'!$L$4:$L$8000,"&lt;="&amp;Q$6)))/'Profit Plan'!$B$5)</f>
        <v>0</v>
      </c>
      <c r="R380" s="122">
        <f>IF($A380="","",(IF(ISNUMBER(SEARCH("Proposal",$A380)),SUMIFS('Timesheet Raw'!$P$4:$P$8000,'Timesheet Raw'!$A$4:$A$8000,IF(ISNUMBER(SEARCH("Chargable",$A380)),"2-Proposals Chargeable","3-Proposals Regular"),'Timesheet Raw'!$C$4:$C$8000,"*"&amp;$B380&amp;"*",'Timesheet Raw'!$L$4:$L$8000,"&gt;="&amp;MAX(R$5,DATE(2000+VALUE(RIGHT(TRIM($A380),2)),1,1)),'Timesheet Raw'!$L$4:$L$8000,"&lt;="&amp;MIN(R$6,DATE(2000+VALUE(RIGHT(TRIM($A380),2)),12,31))),SUMIFS('Timesheet Raw'!$P$4:$P$8000,'Timesheet Raw'!$B$4:$B$8000,TRIM($A380),'Timesheet Raw'!$C$4:$C$8000,"*"&amp;$B380&amp;"*",'Timesheet Raw'!$L$4:$L$8000,"&gt;="&amp;R$5,'Timesheet Raw'!$L$4:$L$8000,"&lt;="&amp;R$6)))/'Profit Plan'!$B$5)</f>
        <v>0</v>
      </c>
      <c r="S380" s="122">
        <f>IF($A380="","",(IF(ISNUMBER(SEARCH("Proposal",$A380)),SUMIFS('Timesheet Raw'!$P$4:$P$8000,'Timesheet Raw'!$A$4:$A$8000,IF(ISNUMBER(SEARCH("Chargable",$A380)),"2-Proposals Chargeable","3-Proposals Regular"),'Timesheet Raw'!$C$4:$C$8000,"*"&amp;$B380&amp;"*",'Timesheet Raw'!$L$4:$L$8000,"&gt;="&amp;MAX(S$5,DATE(2000+VALUE(RIGHT(TRIM($A380),2)),1,1)),'Timesheet Raw'!$L$4:$L$8000,"&lt;="&amp;MIN(S$6,DATE(2000+VALUE(RIGHT(TRIM($A380),2)),12,31))),SUMIFS('Timesheet Raw'!$P$4:$P$8000,'Timesheet Raw'!$B$4:$B$8000,TRIM($A380),'Timesheet Raw'!$C$4:$C$8000,"*"&amp;$B380&amp;"*",'Timesheet Raw'!$L$4:$L$8000,"&gt;="&amp;S$5,'Timesheet Raw'!$L$4:$L$8000,"&lt;="&amp;S$6)))/'Profit Plan'!$B$5)</f>
        <v>0</v>
      </c>
      <c r="T380" s="122">
        <f>IF($A380="","",(IF(ISNUMBER(SEARCH("Proposal",$A380)),SUMIFS('Timesheet Raw'!$P$4:$P$8000,'Timesheet Raw'!$A$4:$A$8000,IF(ISNUMBER(SEARCH("Chargable",$A380)),"2-Proposals Chargeable","3-Proposals Regular"),'Timesheet Raw'!$C$4:$C$8000,"*"&amp;$B380&amp;"*",'Timesheet Raw'!$L$4:$L$8000,"&gt;="&amp;MAX(T$5,DATE(2000+VALUE(RIGHT(TRIM($A380),2)),1,1)),'Timesheet Raw'!$L$4:$L$8000,"&lt;="&amp;MIN(T$6,DATE(2000+VALUE(RIGHT(TRIM($A380),2)),12,31))),SUMIFS('Timesheet Raw'!$P$4:$P$8000,'Timesheet Raw'!$B$4:$B$8000,TRIM($A380),'Timesheet Raw'!$C$4:$C$8000,"*"&amp;$B380&amp;"*",'Timesheet Raw'!$L$4:$L$8000,"&gt;="&amp;T$5,'Timesheet Raw'!$L$4:$L$8000,"&lt;="&amp;T$6)))/'Profit Plan'!$B$5)</f>
        <v>0</v>
      </c>
      <c r="U380" s="122">
        <f>IF($A380="","",(IF(ISNUMBER(SEARCH("Proposal",$A380)),SUMIFS('Timesheet Raw'!$P$4:$P$8000,'Timesheet Raw'!$A$4:$A$8000,IF(ISNUMBER(SEARCH("Chargable",$A380)),"2-Proposals Chargeable","3-Proposals Regular"),'Timesheet Raw'!$C$4:$C$8000,"*"&amp;$B380&amp;"*",'Timesheet Raw'!$L$4:$L$8000,"&gt;="&amp;MAX(U$5,DATE(2000+VALUE(RIGHT(TRIM($A380),2)),1,1)),'Timesheet Raw'!$L$4:$L$8000,"&lt;="&amp;MIN(U$6,DATE(2000+VALUE(RIGHT(TRIM($A380),2)),12,31))),SUMIFS('Timesheet Raw'!$P$4:$P$8000,'Timesheet Raw'!$B$4:$B$8000,TRIM($A380),'Timesheet Raw'!$C$4:$C$8000,"*"&amp;$B380&amp;"*",'Timesheet Raw'!$L$4:$L$8000,"&gt;="&amp;U$5,'Timesheet Raw'!$L$4:$L$8000,"&lt;="&amp;U$6)))/'Profit Plan'!$B$5)</f>
        <v>0</v>
      </c>
      <c r="V380" s="122">
        <f>IF($A380="","",(IF(ISNUMBER(SEARCH("Proposal",$A380)),SUMIFS('Timesheet Raw'!$P$4:$P$8000,'Timesheet Raw'!$A$4:$A$8000,IF(ISNUMBER(SEARCH("Chargable",$A380)),"2-Proposals Chargeable","3-Proposals Regular"),'Timesheet Raw'!$C$4:$C$8000,"*"&amp;$B380&amp;"*",'Timesheet Raw'!$L$4:$L$8000,"&gt;="&amp;MAX(V$5,DATE(2000+VALUE(RIGHT(TRIM($A380),2)),1,1)),'Timesheet Raw'!$L$4:$L$8000,"&lt;="&amp;MIN(V$6,DATE(2000+VALUE(RIGHT(TRIM($A380),2)),12,31))),SUMIFS('Timesheet Raw'!$P$4:$P$8000,'Timesheet Raw'!$B$4:$B$8000,TRIM($A380),'Timesheet Raw'!$C$4:$C$8000,"*"&amp;$B380&amp;"*",'Timesheet Raw'!$L$4:$L$8000,"&gt;="&amp;V$5,'Timesheet Raw'!$L$4:$L$8000,"&lt;="&amp;V$6)))/'Profit Plan'!$B$5)</f>
        <v>0</v>
      </c>
      <c r="W380" s="122">
        <f>IF($A380="","",(IF(ISNUMBER(SEARCH("Proposal",$A380)),SUMIFS('Timesheet Raw'!$P$4:$P$8000,'Timesheet Raw'!$A$4:$A$8000,IF(ISNUMBER(SEARCH("Chargable",$A380)),"2-Proposals Chargeable","3-Proposals Regular"),'Timesheet Raw'!$C$4:$C$8000,"*"&amp;$B380&amp;"*",'Timesheet Raw'!$L$4:$L$8000,"&gt;="&amp;MAX(W$5,DATE(2000+VALUE(RIGHT(TRIM($A380),2)),1,1)),'Timesheet Raw'!$L$4:$L$8000,"&lt;="&amp;MIN(W$6,DATE(2000+VALUE(RIGHT(TRIM($A380),2)),12,31))),SUMIFS('Timesheet Raw'!$P$4:$P$8000,'Timesheet Raw'!$B$4:$B$8000,TRIM($A380),'Timesheet Raw'!$C$4:$C$8000,"*"&amp;$B380&amp;"*",'Timesheet Raw'!$L$4:$L$8000,"&gt;="&amp;W$5,'Timesheet Raw'!$L$4:$L$8000,"&lt;="&amp;W$6)))/'Profit Plan'!$B$5)</f>
        <v>0</v>
      </c>
      <c r="X380" s="122">
        <f>IF($A380="","",(IF(ISNUMBER(SEARCH("Proposal",$A380)),SUMIFS('Timesheet Raw'!$P$4:$P$8000,'Timesheet Raw'!$A$4:$A$8000,IF(ISNUMBER(SEARCH("Chargable",$A380)),"2-Proposals Chargeable","3-Proposals Regular"),'Timesheet Raw'!$C$4:$C$8000,"*"&amp;$B380&amp;"*",'Timesheet Raw'!$L$4:$L$8000,"&gt;="&amp;MAX(X$5,DATE(2000+VALUE(RIGHT(TRIM($A380),2)),1,1)),'Timesheet Raw'!$L$4:$L$8000,"&lt;="&amp;MIN(X$6,DATE(2000+VALUE(RIGHT(TRIM($A380),2)),12,31))),SUMIFS('Timesheet Raw'!$P$4:$P$8000,'Timesheet Raw'!$B$4:$B$8000,TRIM($A380),'Timesheet Raw'!$C$4:$C$8000,"*"&amp;$B380&amp;"*",'Timesheet Raw'!$L$4:$L$8000,"&gt;="&amp;X$5,'Timesheet Raw'!$L$4:$L$8000,"&lt;="&amp;X$6)))/'Profit Plan'!$B$5)</f>
        <v>0</v>
      </c>
      <c r="Y380" s="118">
        <f t="shared" si="101"/>
        <v>0</v>
      </c>
    </row>
    <row r="381" spans="1:25" x14ac:dyDescent="0.3">
      <c r="A381" s="116" t="str">
        <f>IF(Inputs!$A44="","",Inputs!$A44)</f>
        <v>Chargable Proposals 26</v>
      </c>
      <c r="B381" s="116" t="str">
        <f>IF(Inputs!$A44="","",Inputs!$A$93)</f>
        <v>Kirolos</v>
      </c>
      <c r="C381" s="116"/>
      <c r="D381" s="122">
        <f>IF($A381="","",(IF(ISNUMBER(SEARCH("Proposal",$A381)),SUMIFS('Timesheet Raw'!$P$4:$P$8000,'Timesheet Raw'!$A$4:$A$8000,IF(ISNUMBER(SEARCH("Chargable",$A381)),"2-Proposals Chargeable","3-Proposals Regular"),'Timesheet Raw'!$C$4:$C$8000,"*"&amp;$B381&amp;"*",'Timesheet Raw'!$L$4:$L$8000,"&gt;="&amp;MAX(D$5,DATE(2000+VALUE(RIGHT(TRIM($A381),2)),1,1)),'Timesheet Raw'!$L$4:$L$8000,"&lt;="&amp;MIN(D$6,DATE(2000+VALUE(RIGHT(TRIM($A381),2)),12,31))),SUMIFS('Timesheet Raw'!$P$4:$P$8000,'Timesheet Raw'!$B$4:$B$8000,TRIM($A381),'Timesheet Raw'!$C$4:$C$8000,"*"&amp;$B381&amp;"*",'Timesheet Raw'!$L$4:$L$8000,"&gt;="&amp;D$5,'Timesheet Raw'!$L$4:$L$8000,"&lt;="&amp;D$6)))/'Profit Plan'!$B$5)</f>
        <v>0</v>
      </c>
      <c r="E381" s="122">
        <f>IF($A381="","",(IF(ISNUMBER(SEARCH("Proposal",$A381)),SUMIFS('Timesheet Raw'!$P$4:$P$8000,'Timesheet Raw'!$A$4:$A$8000,IF(ISNUMBER(SEARCH("Chargable",$A381)),"2-Proposals Chargeable","3-Proposals Regular"),'Timesheet Raw'!$C$4:$C$8000,"*"&amp;$B381&amp;"*",'Timesheet Raw'!$L$4:$L$8000,"&gt;="&amp;MAX(E$5,DATE(2000+VALUE(RIGHT(TRIM($A381),2)),1,1)),'Timesheet Raw'!$L$4:$L$8000,"&lt;="&amp;MIN(E$6,DATE(2000+VALUE(RIGHT(TRIM($A381),2)),12,31))),SUMIFS('Timesheet Raw'!$P$4:$P$8000,'Timesheet Raw'!$B$4:$B$8000,TRIM($A381),'Timesheet Raw'!$C$4:$C$8000,"*"&amp;$B381&amp;"*",'Timesheet Raw'!$L$4:$L$8000,"&gt;="&amp;E$5,'Timesheet Raw'!$L$4:$L$8000,"&lt;="&amp;E$6)))/'Profit Plan'!$B$5)</f>
        <v>0</v>
      </c>
      <c r="F381" s="122">
        <f>IF($A381="","",(IF(ISNUMBER(SEARCH("Proposal",$A381)),SUMIFS('Timesheet Raw'!$P$4:$P$8000,'Timesheet Raw'!$A$4:$A$8000,IF(ISNUMBER(SEARCH("Chargable",$A381)),"2-Proposals Chargeable","3-Proposals Regular"),'Timesheet Raw'!$C$4:$C$8000,"*"&amp;$B381&amp;"*",'Timesheet Raw'!$L$4:$L$8000,"&gt;="&amp;MAX(F$5,DATE(2000+VALUE(RIGHT(TRIM($A381),2)),1,1)),'Timesheet Raw'!$L$4:$L$8000,"&lt;="&amp;MIN(F$6,DATE(2000+VALUE(RIGHT(TRIM($A381),2)),12,31))),SUMIFS('Timesheet Raw'!$P$4:$P$8000,'Timesheet Raw'!$B$4:$B$8000,TRIM($A381),'Timesheet Raw'!$C$4:$C$8000,"*"&amp;$B381&amp;"*",'Timesheet Raw'!$L$4:$L$8000,"&gt;="&amp;F$5,'Timesheet Raw'!$L$4:$L$8000,"&lt;="&amp;F$6)))/'Profit Plan'!$B$5)</f>
        <v>0</v>
      </c>
      <c r="G381" s="122">
        <f>IF($A381="","",(IF(ISNUMBER(SEARCH("Proposal",$A381)),SUMIFS('Timesheet Raw'!$P$4:$P$8000,'Timesheet Raw'!$A$4:$A$8000,IF(ISNUMBER(SEARCH("Chargable",$A381)),"2-Proposals Chargeable","3-Proposals Regular"),'Timesheet Raw'!$C$4:$C$8000,"*"&amp;$B381&amp;"*",'Timesheet Raw'!$L$4:$L$8000,"&gt;="&amp;MAX(G$5,DATE(2000+VALUE(RIGHT(TRIM($A381),2)),1,1)),'Timesheet Raw'!$L$4:$L$8000,"&lt;="&amp;MIN(G$6,DATE(2000+VALUE(RIGHT(TRIM($A381),2)),12,31))),SUMIFS('Timesheet Raw'!$P$4:$P$8000,'Timesheet Raw'!$B$4:$B$8000,TRIM($A381),'Timesheet Raw'!$C$4:$C$8000,"*"&amp;$B381&amp;"*",'Timesheet Raw'!$L$4:$L$8000,"&gt;="&amp;G$5,'Timesheet Raw'!$L$4:$L$8000,"&lt;="&amp;G$6)))/'Profit Plan'!$B$5)</f>
        <v>0</v>
      </c>
      <c r="H381" s="122">
        <f>IF($A381="","",(IF(ISNUMBER(SEARCH("Proposal",$A381)),SUMIFS('Timesheet Raw'!$P$4:$P$8000,'Timesheet Raw'!$A$4:$A$8000,IF(ISNUMBER(SEARCH("Chargable",$A381)),"2-Proposals Chargeable","3-Proposals Regular"),'Timesheet Raw'!$C$4:$C$8000,"*"&amp;$B381&amp;"*",'Timesheet Raw'!$L$4:$L$8000,"&gt;="&amp;MAX(H$5,DATE(2000+VALUE(RIGHT(TRIM($A381),2)),1,1)),'Timesheet Raw'!$L$4:$L$8000,"&lt;="&amp;MIN(H$6,DATE(2000+VALUE(RIGHT(TRIM($A381),2)),12,31))),SUMIFS('Timesheet Raw'!$P$4:$P$8000,'Timesheet Raw'!$B$4:$B$8000,TRIM($A381),'Timesheet Raw'!$C$4:$C$8000,"*"&amp;$B381&amp;"*",'Timesheet Raw'!$L$4:$L$8000,"&gt;="&amp;H$5,'Timesheet Raw'!$L$4:$L$8000,"&lt;="&amp;H$6)))/'Profit Plan'!$B$5)</f>
        <v>0</v>
      </c>
      <c r="I381" s="122">
        <f>IF($A381="","",(IF(ISNUMBER(SEARCH("Proposal",$A381)),SUMIFS('Timesheet Raw'!$P$4:$P$8000,'Timesheet Raw'!$A$4:$A$8000,IF(ISNUMBER(SEARCH("Chargable",$A381)),"2-Proposals Chargeable","3-Proposals Regular"),'Timesheet Raw'!$C$4:$C$8000,"*"&amp;$B381&amp;"*",'Timesheet Raw'!$L$4:$L$8000,"&gt;="&amp;MAX(I$5,DATE(2000+VALUE(RIGHT(TRIM($A381),2)),1,1)),'Timesheet Raw'!$L$4:$L$8000,"&lt;="&amp;MIN(I$6,DATE(2000+VALUE(RIGHT(TRIM($A381),2)),12,31))),SUMIFS('Timesheet Raw'!$P$4:$P$8000,'Timesheet Raw'!$B$4:$B$8000,TRIM($A381),'Timesheet Raw'!$C$4:$C$8000,"*"&amp;$B381&amp;"*",'Timesheet Raw'!$L$4:$L$8000,"&gt;="&amp;I$5,'Timesheet Raw'!$L$4:$L$8000,"&lt;="&amp;I$6)))/'Profit Plan'!$B$5)</f>
        <v>0</v>
      </c>
      <c r="J381" s="122">
        <f>IF($A381="","",(IF(ISNUMBER(SEARCH("Proposal",$A381)),SUMIFS('Timesheet Raw'!$P$4:$P$8000,'Timesheet Raw'!$A$4:$A$8000,IF(ISNUMBER(SEARCH("Chargable",$A381)),"2-Proposals Chargeable","3-Proposals Regular"),'Timesheet Raw'!$C$4:$C$8000,"*"&amp;$B381&amp;"*",'Timesheet Raw'!$L$4:$L$8000,"&gt;="&amp;MAX(J$5,DATE(2000+VALUE(RIGHT(TRIM($A381),2)),1,1)),'Timesheet Raw'!$L$4:$L$8000,"&lt;="&amp;MIN(J$6,DATE(2000+VALUE(RIGHT(TRIM($A381),2)),12,31))),SUMIFS('Timesheet Raw'!$P$4:$P$8000,'Timesheet Raw'!$B$4:$B$8000,TRIM($A381),'Timesheet Raw'!$C$4:$C$8000,"*"&amp;$B381&amp;"*",'Timesheet Raw'!$L$4:$L$8000,"&gt;="&amp;J$5,'Timesheet Raw'!$L$4:$L$8000,"&lt;="&amp;J$6)))/'Profit Plan'!$B$5)</f>
        <v>0</v>
      </c>
      <c r="K381" s="122">
        <f>IF($A381="","",(IF(ISNUMBER(SEARCH("Proposal",$A381)),SUMIFS('Timesheet Raw'!$P$4:$P$8000,'Timesheet Raw'!$A$4:$A$8000,IF(ISNUMBER(SEARCH("Chargable",$A381)),"2-Proposals Chargeable","3-Proposals Regular"),'Timesheet Raw'!$C$4:$C$8000,"*"&amp;$B381&amp;"*",'Timesheet Raw'!$L$4:$L$8000,"&gt;="&amp;MAX(K$5,DATE(2000+VALUE(RIGHT(TRIM($A381),2)),1,1)),'Timesheet Raw'!$L$4:$L$8000,"&lt;="&amp;MIN(K$6,DATE(2000+VALUE(RIGHT(TRIM($A381),2)),12,31))),SUMIFS('Timesheet Raw'!$P$4:$P$8000,'Timesheet Raw'!$B$4:$B$8000,TRIM($A381),'Timesheet Raw'!$C$4:$C$8000,"*"&amp;$B381&amp;"*",'Timesheet Raw'!$L$4:$L$8000,"&gt;="&amp;K$5,'Timesheet Raw'!$L$4:$L$8000,"&lt;="&amp;K$6)))/'Profit Plan'!$B$5)</f>
        <v>0</v>
      </c>
      <c r="L381" s="122">
        <f>IF($A381="","",(IF(ISNUMBER(SEARCH("Proposal",$A381)),SUMIFS('Timesheet Raw'!$P$4:$P$8000,'Timesheet Raw'!$A$4:$A$8000,IF(ISNUMBER(SEARCH("Chargable",$A381)),"2-Proposals Chargeable","3-Proposals Regular"),'Timesheet Raw'!$C$4:$C$8000,"*"&amp;$B381&amp;"*",'Timesheet Raw'!$L$4:$L$8000,"&gt;="&amp;MAX(L$5,DATE(2000+VALUE(RIGHT(TRIM($A381),2)),1,1)),'Timesheet Raw'!$L$4:$L$8000,"&lt;="&amp;MIN(L$6,DATE(2000+VALUE(RIGHT(TRIM($A381),2)),12,31))),SUMIFS('Timesheet Raw'!$P$4:$P$8000,'Timesheet Raw'!$B$4:$B$8000,TRIM($A381),'Timesheet Raw'!$C$4:$C$8000,"*"&amp;$B381&amp;"*",'Timesheet Raw'!$L$4:$L$8000,"&gt;="&amp;L$5,'Timesheet Raw'!$L$4:$L$8000,"&lt;="&amp;L$6)))/'Profit Plan'!$B$5)</f>
        <v>0</v>
      </c>
      <c r="M381" s="122">
        <f>IF($A381="","",(IF(ISNUMBER(SEARCH("Proposal",$A381)),SUMIFS('Timesheet Raw'!$P$4:$P$8000,'Timesheet Raw'!$A$4:$A$8000,IF(ISNUMBER(SEARCH("Chargable",$A381)),"2-Proposals Chargeable","3-Proposals Regular"),'Timesheet Raw'!$C$4:$C$8000,"*"&amp;$B381&amp;"*",'Timesheet Raw'!$L$4:$L$8000,"&gt;="&amp;MAX(M$5,DATE(2000+VALUE(RIGHT(TRIM($A381),2)),1,1)),'Timesheet Raw'!$L$4:$L$8000,"&lt;="&amp;MIN(M$6,DATE(2000+VALUE(RIGHT(TRIM($A381),2)),12,31))),SUMIFS('Timesheet Raw'!$P$4:$P$8000,'Timesheet Raw'!$B$4:$B$8000,TRIM($A381),'Timesheet Raw'!$C$4:$C$8000,"*"&amp;$B381&amp;"*",'Timesheet Raw'!$L$4:$L$8000,"&gt;="&amp;M$5,'Timesheet Raw'!$L$4:$L$8000,"&lt;="&amp;M$6)))/'Profit Plan'!$B$5)</f>
        <v>7.2972972972972977E-2</v>
      </c>
      <c r="N381" s="122">
        <f>IF($A381="","",(IF(ISNUMBER(SEARCH("Proposal",$A381)),SUMIFS('Timesheet Raw'!$P$4:$P$8000,'Timesheet Raw'!$A$4:$A$8000,IF(ISNUMBER(SEARCH("Chargable",$A381)),"2-Proposals Chargeable","3-Proposals Regular"),'Timesheet Raw'!$C$4:$C$8000,"*"&amp;$B381&amp;"*",'Timesheet Raw'!$L$4:$L$8000,"&gt;="&amp;MAX(N$5,DATE(2000+VALUE(RIGHT(TRIM($A381),2)),1,1)),'Timesheet Raw'!$L$4:$L$8000,"&lt;="&amp;MIN(N$6,DATE(2000+VALUE(RIGHT(TRIM($A381),2)),12,31))),SUMIFS('Timesheet Raw'!$P$4:$P$8000,'Timesheet Raw'!$B$4:$B$8000,TRIM($A381),'Timesheet Raw'!$C$4:$C$8000,"*"&amp;$B381&amp;"*",'Timesheet Raw'!$L$4:$L$8000,"&gt;="&amp;N$5,'Timesheet Raw'!$L$4:$L$8000,"&lt;="&amp;N$6)))/'Profit Plan'!$B$5)</f>
        <v>0.14864864864864866</v>
      </c>
      <c r="O381" s="122">
        <f>IF($A381="","",(IF(ISNUMBER(SEARCH("Proposal",$A381)),SUMIFS('Timesheet Raw'!$P$4:$P$8000,'Timesheet Raw'!$A$4:$A$8000,IF(ISNUMBER(SEARCH("Chargable",$A381)),"2-Proposals Chargeable","3-Proposals Regular"),'Timesheet Raw'!$C$4:$C$8000,"*"&amp;$B381&amp;"*",'Timesheet Raw'!$L$4:$L$8000,"&gt;="&amp;MAX(O$5,DATE(2000+VALUE(RIGHT(TRIM($A381),2)),1,1)),'Timesheet Raw'!$L$4:$L$8000,"&lt;="&amp;MIN(O$6,DATE(2000+VALUE(RIGHT(TRIM($A381),2)),12,31))),SUMIFS('Timesheet Raw'!$P$4:$P$8000,'Timesheet Raw'!$B$4:$B$8000,TRIM($A381),'Timesheet Raw'!$C$4:$C$8000,"*"&amp;$B381&amp;"*",'Timesheet Raw'!$L$4:$L$8000,"&gt;="&amp;O$5,'Timesheet Raw'!$L$4:$L$8000,"&lt;="&amp;O$6)))/'Profit Plan'!$B$5)</f>
        <v>0</v>
      </c>
      <c r="P381" s="122">
        <f>IF($A381="","",(IF(ISNUMBER(SEARCH("Proposal",$A381)),SUMIFS('Timesheet Raw'!$P$4:$P$8000,'Timesheet Raw'!$A$4:$A$8000,IF(ISNUMBER(SEARCH("Chargable",$A381)),"2-Proposals Chargeable","3-Proposals Regular"),'Timesheet Raw'!$C$4:$C$8000,"*"&amp;$B381&amp;"*",'Timesheet Raw'!$L$4:$L$8000,"&gt;="&amp;MAX(P$5,DATE(2000+VALUE(RIGHT(TRIM($A381),2)),1,1)),'Timesheet Raw'!$L$4:$L$8000,"&lt;="&amp;MIN(P$6,DATE(2000+VALUE(RIGHT(TRIM($A381),2)),12,31))),SUMIFS('Timesheet Raw'!$P$4:$P$8000,'Timesheet Raw'!$B$4:$B$8000,TRIM($A381),'Timesheet Raw'!$C$4:$C$8000,"*"&amp;$B381&amp;"*",'Timesheet Raw'!$L$4:$L$8000,"&gt;="&amp;P$5,'Timesheet Raw'!$L$4:$L$8000,"&lt;="&amp;P$6)))/'Profit Plan'!$B$5)</f>
        <v>0</v>
      </c>
      <c r="Q381" s="122">
        <f>IF($A381="","",(IF(ISNUMBER(SEARCH("Proposal",$A381)),SUMIFS('Timesheet Raw'!$P$4:$P$8000,'Timesheet Raw'!$A$4:$A$8000,IF(ISNUMBER(SEARCH("Chargable",$A381)),"2-Proposals Chargeable","3-Proposals Regular"),'Timesheet Raw'!$C$4:$C$8000,"*"&amp;$B381&amp;"*",'Timesheet Raw'!$L$4:$L$8000,"&gt;="&amp;MAX(Q$5,DATE(2000+VALUE(RIGHT(TRIM($A381),2)),1,1)),'Timesheet Raw'!$L$4:$L$8000,"&lt;="&amp;MIN(Q$6,DATE(2000+VALUE(RIGHT(TRIM($A381),2)),12,31))),SUMIFS('Timesheet Raw'!$P$4:$P$8000,'Timesheet Raw'!$B$4:$B$8000,TRIM($A381),'Timesheet Raw'!$C$4:$C$8000,"*"&amp;$B381&amp;"*",'Timesheet Raw'!$L$4:$L$8000,"&gt;="&amp;Q$5,'Timesheet Raw'!$L$4:$L$8000,"&lt;="&amp;Q$6)))/'Profit Plan'!$B$5)</f>
        <v>0</v>
      </c>
      <c r="R381" s="122">
        <f>IF($A381="","",(IF(ISNUMBER(SEARCH("Proposal",$A381)),SUMIFS('Timesheet Raw'!$P$4:$P$8000,'Timesheet Raw'!$A$4:$A$8000,IF(ISNUMBER(SEARCH("Chargable",$A381)),"2-Proposals Chargeable","3-Proposals Regular"),'Timesheet Raw'!$C$4:$C$8000,"*"&amp;$B381&amp;"*",'Timesheet Raw'!$L$4:$L$8000,"&gt;="&amp;MAX(R$5,DATE(2000+VALUE(RIGHT(TRIM($A381),2)),1,1)),'Timesheet Raw'!$L$4:$L$8000,"&lt;="&amp;MIN(R$6,DATE(2000+VALUE(RIGHT(TRIM($A381),2)),12,31))),SUMIFS('Timesheet Raw'!$P$4:$P$8000,'Timesheet Raw'!$B$4:$B$8000,TRIM($A381),'Timesheet Raw'!$C$4:$C$8000,"*"&amp;$B381&amp;"*",'Timesheet Raw'!$L$4:$L$8000,"&gt;="&amp;R$5,'Timesheet Raw'!$L$4:$L$8000,"&lt;="&amp;R$6)))/'Profit Plan'!$B$5)</f>
        <v>0</v>
      </c>
      <c r="S381" s="122">
        <f>IF($A381="","",(IF(ISNUMBER(SEARCH("Proposal",$A381)),SUMIFS('Timesheet Raw'!$P$4:$P$8000,'Timesheet Raw'!$A$4:$A$8000,IF(ISNUMBER(SEARCH("Chargable",$A381)),"2-Proposals Chargeable","3-Proposals Regular"),'Timesheet Raw'!$C$4:$C$8000,"*"&amp;$B381&amp;"*",'Timesheet Raw'!$L$4:$L$8000,"&gt;="&amp;MAX(S$5,DATE(2000+VALUE(RIGHT(TRIM($A381),2)),1,1)),'Timesheet Raw'!$L$4:$L$8000,"&lt;="&amp;MIN(S$6,DATE(2000+VALUE(RIGHT(TRIM($A381),2)),12,31))),SUMIFS('Timesheet Raw'!$P$4:$P$8000,'Timesheet Raw'!$B$4:$B$8000,TRIM($A381),'Timesheet Raw'!$C$4:$C$8000,"*"&amp;$B381&amp;"*",'Timesheet Raw'!$L$4:$L$8000,"&gt;="&amp;S$5,'Timesheet Raw'!$L$4:$L$8000,"&lt;="&amp;S$6)))/'Profit Plan'!$B$5)</f>
        <v>0</v>
      </c>
      <c r="T381" s="122">
        <f>IF($A381="","",(IF(ISNUMBER(SEARCH("Proposal",$A381)),SUMIFS('Timesheet Raw'!$P$4:$P$8000,'Timesheet Raw'!$A$4:$A$8000,IF(ISNUMBER(SEARCH("Chargable",$A381)),"2-Proposals Chargeable","3-Proposals Regular"),'Timesheet Raw'!$C$4:$C$8000,"*"&amp;$B381&amp;"*",'Timesheet Raw'!$L$4:$L$8000,"&gt;="&amp;MAX(T$5,DATE(2000+VALUE(RIGHT(TRIM($A381),2)),1,1)),'Timesheet Raw'!$L$4:$L$8000,"&lt;="&amp;MIN(T$6,DATE(2000+VALUE(RIGHT(TRIM($A381),2)),12,31))),SUMIFS('Timesheet Raw'!$P$4:$P$8000,'Timesheet Raw'!$B$4:$B$8000,TRIM($A381),'Timesheet Raw'!$C$4:$C$8000,"*"&amp;$B381&amp;"*",'Timesheet Raw'!$L$4:$L$8000,"&gt;="&amp;T$5,'Timesheet Raw'!$L$4:$L$8000,"&lt;="&amp;T$6)))/'Profit Plan'!$B$5)</f>
        <v>0</v>
      </c>
      <c r="U381" s="122">
        <f>IF($A381="","",(IF(ISNUMBER(SEARCH("Proposal",$A381)),SUMIFS('Timesheet Raw'!$P$4:$P$8000,'Timesheet Raw'!$A$4:$A$8000,IF(ISNUMBER(SEARCH("Chargable",$A381)),"2-Proposals Chargeable","3-Proposals Regular"),'Timesheet Raw'!$C$4:$C$8000,"*"&amp;$B381&amp;"*",'Timesheet Raw'!$L$4:$L$8000,"&gt;="&amp;MAX(U$5,DATE(2000+VALUE(RIGHT(TRIM($A381),2)),1,1)),'Timesheet Raw'!$L$4:$L$8000,"&lt;="&amp;MIN(U$6,DATE(2000+VALUE(RIGHT(TRIM($A381),2)),12,31))),SUMIFS('Timesheet Raw'!$P$4:$P$8000,'Timesheet Raw'!$B$4:$B$8000,TRIM($A381),'Timesheet Raw'!$C$4:$C$8000,"*"&amp;$B381&amp;"*",'Timesheet Raw'!$L$4:$L$8000,"&gt;="&amp;U$5,'Timesheet Raw'!$L$4:$L$8000,"&lt;="&amp;U$6)))/'Profit Plan'!$B$5)</f>
        <v>0</v>
      </c>
      <c r="V381" s="122">
        <f>IF($A381="","",(IF(ISNUMBER(SEARCH("Proposal",$A381)),SUMIFS('Timesheet Raw'!$P$4:$P$8000,'Timesheet Raw'!$A$4:$A$8000,IF(ISNUMBER(SEARCH("Chargable",$A381)),"2-Proposals Chargeable","3-Proposals Regular"),'Timesheet Raw'!$C$4:$C$8000,"*"&amp;$B381&amp;"*",'Timesheet Raw'!$L$4:$L$8000,"&gt;="&amp;MAX(V$5,DATE(2000+VALUE(RIGHT(TRIM($A381),2)),1,1)),'Timesheet Raw'!$L$4:$L$8000,"&lt;="&amp;MIN(V$6,DATE(2000+VALUE(RIGHT(TRIM($A381),2)),12,31))),SUMIFS('Timesheet Raw'!$P$4:$P$8000,'Timesheet Raw'!$B$4:$B$8000,TRIM($A381),'Timesheet Raw'!$C$4:$C$8000,"*"&amp;$B381&amp;"*",'Timesheet Raw'!$L$4:$L$8000,"&gt;="&amp;V$5,'Timesheet Raw'!$L$4:$L$8000,"&lt;="&amp;V$6)))/'Profit Plan'!$B$5)</f>
        <v>0</v>
      </c>
      <c r="W381" s="122">
        <f>IF($A381="","",(IF(ISNUMBER(SEARCH("Proposal",$A381)),SUMIFS('Timesheet Raw'!$P$4:$P$8000,'Timesheet Raw'!$A$4:$A$8000,IF(ISNUMBER(SEARCH("Chargable",$A381)),"2-Proposals Chargeable","3-Proposals Regular"),'Timesheet Raw'!$C$4:$C$8000,"*"&amp;$B381&amp;"*",'Timesheet Raw'!$L$4:$L$8000,"&gt;="&amp;MAX(W$5,DATE(2000+VALUE(RIGHT(TRIM($A381),2)),1,1)),'Timesheet Raw'!$L$4:$L$8000,"&lt;="&amp;MIN(W$6,DATE(2000+VALUE(RIGHT(TRIM($A381),2)),12,31))),SUMIFS('Timesheet Raw'!$P$4:$P$8000,'Timesheet Raw'!$B$4:$B$8000,TRIM($A381),'Timesheet Raw'!$C$4:$C$8000,"*"&amp;$B381&amp;"*",'Timesheet Raw'!$L$4:$L$8000,"&gt;="&amp;W$5,'Timesheet Raw'!$L$4:$L$8000,"&lt;="&amp;W$6)))/'Profit Plan'!$B$5)</f>
        <v>0</v>
      </c>
      <c r="X381" s="122">
        <f>IF($A381="","",(IF(ISNUMBER(SEARCH("Proposal",$A381)),SUMIFS('Timesheet Raw'!$P$4:$P$8000,'Timesheet Raw'!$A$4:$A$8000,IF(ISNUMBER(SEARCH("Chargable",$A381)),"2-Proposals Chargeable","3-Proposals Regular"),'Timesheet Raw'!$C$4:$C$8000,"*"&amp;$B381&amp;"*",'Timesheet Raw'!$L$4:$L$8000,"&gt;="&amp;MAX(X$5,DATE(2000+VALUE(RIGHT(TRIM($A381),2)),1,1)),'Timesheet Raw'!$L$4:$L$8000,"&lt;="&amp;MIN(X$6,DATE(2000+VALUE(RIGHT(TRIM($A381),2)),12,31))),SUMIFS('Timesheet Raw'!$P$4:$P$8000,'Timesheet Raw'!$B$4:$B$8000,TRIM($A381),'Timesheet Raw'!$C$4:$C$8000,"*"&amp;$B381&amp;"*",'Timesheet Raw'!$L$4:$L$8000,"&gt;="&amp;X$5,'Timesheet Raw'!$L$4:$L$8000,"&lt;="&amp;X$6)))/'Profit Plan'!$B$5)</f>
        <v>0</v>
      </c>
      <c r="Y381" s="118">
        <f t="shared" si="101"/>
        <v>0.22162162162162163</v>
      </c>
    </row>
    <row r="382" spans="1:25" x14ac:dyDescent="0.3">
      <c r="A382" s="116" t="str">
        <f>IF(Inputs!$A45="","",Inputs!$A45)</f>
        <v/>
      </c>
      <c r="B382" s="116" t="str">
        <f>IF(Inputs!$A45="","",Inputs!$A$91)</f>
        <v/>
      </c>
      <c r="C382" s="116"/>
      <c r="D382" s="122" t="str">
        <f>IF($A382="","",(IF(ISNUMBER(SEARCH("Proposal",$A382)),SUMIFS('Timesheet Raw'!$P$4:$P$8000,'Timesheet Raw'!$A$4:$A$8000,IF(ISNUMBER(SEARCH("Chargable",$A382)),"2-Proposals Chargeable","3-Proposals Regular"),'Timesheet Raw'!$C$4:$C$8000,"*"&amp;$B382&amp;"*",'Timesheet Raw'!$L$4:$L$8000,"&gt;="&amp;MAX(D$5,DATE(2000+VALUE(RIGHT(TRIM($A382),2)),1,1)),'Timesheet Raw'!$L$4:$L$8000,"&lt;="&amp;MIN(D$6,DATE(2000+VALUE(RIGHT(TRIM($A382),2)),12,31))),SUMIFS('Timesheet Raw'!$P$4:$P$8000,'Timesheet Raw'!$B$4:$B$8000,TRIM($A382),'Timesheet Raw'!$C$4:$C$8000,"*"&amp;$B382&amp;"*",'Timesheet Raw'!$L$4:$L$8000,"&gt;="&amp;D$5,'Timesheet Raw'!$L$4:$L$8000,"&lt;="&amp;D$6)))/'Profit Plan'!$B$5)</f>
        <v/>
      </c>
      <c r="E382" s="122" t="str">
        <f>IF($A382="","",(IF(ISNUMBER(SEARCH("Proposal",$A382)),SUMIFS('Timesheet Raw'!$P$4:$P$8000,'Timesheet Raw'!$A$4:$A$8000,IF(ISNUMBER(SEARCH("Chargable",$A382)),"2-Proposals Chargeable","3-Proposals Regular"),'Timesheet Raw'!$C$4:$C$8000,"*"&amp;$B382&amp;"*",'Timesheet Raw'!$L$4:$L$8000,"&gt;="&amp;MAX(E$5,DATE(2000+VALUE(RIGHT(TRIM($A382),2)),1,1)),'Timesheet Raw'!$L$4:$L$8000,"&lt;="&amp;MIN(E$6,DATE(2000+VALUE(RIGHT(TRIM($A382),2)),12,31))),SUMIFS('Timesheet Raw'!$P$4:$P$8000,'Timesheet Raw'!$B$4:$B$8000,TRIM($A382),'Timesheet Raw'!$C$4:$C$8000,"*"&amp;$B382&amp;"*",'Timesheet Raw'!$L$4:$L$8000,"&gt;="&amp;E$5,'Timesheet Raw'!$L$4:$L$8000,"&lt;="&amp;E$6)))/'Profit Plan'!$B$5)</f>
        <v/>
      </c>
      <c r="F382" s="122" t="str">
        <f>IF($A382="","",(IF(ISNUMBER(SEARCH("Proposal",$A382)),SUMIFS('Timesheet Raw'!$P$4:$P$8000,'Timesheet Raw'!$A$4:$A$8000,IF(ISNUMBER(SEARCH("Chargable",$A382)),"2-Proposals Chargeable","3-Proposals Regular"),'Timesheet Raw'!$C$4:$C$8000,"*"&amp;$B382&amp;"*",'Timesheet Raw'!$L$4:$L$8000,"&gt;="&amp;MAX(F$5,DATE(2000+VALUE(RIGHT(TRIM($A382),2)),1,1)),'Timesheet Raw'!$L$4:$L$8000,"&lt;="&amp;MIN(F$6,DATE(2000+VALUE(RIGHT(TRIM($A382),2)),12,31))),SUMIFS('Timesheet Raw'!$P$4:$P$8000,'Timesheet Raw'!$B$4:$B$8000,TRIM($A382),'Timesheet Raw'!$C$4:$C$8000,"*"&amp;$B382&amp;"*",'Timesheet Raw'!$L$4:$L$8000,"&gt;="&amp;F$5,'Timesheet Raw'!$L$4:$L$8000,"&lt;="&amp;F$6)))/'Profit Plan'!$B$5)</f>
        <v/>
      </c>
      <c r="G382" s="122" t="str">
        <f>IF($A382="","",(IF(ISNUMBER(SEARCH("Proposal",$A382)),SUMIFS('Timesheet Raw'!$P$4:$P$8000,'Timesheet Raw'!$A$4:$A$8000,IF(ISNUMBER(SEARCH("Chargable",$A382)),"2-Proposals Chargeable","3-Proposals Regular"),'Timesheet Raw'!$C$4:$C$8000,"*"&amp;$B382&amp;"*",'Timesheet Raw'!$L$4:$L$8000,"&gt;="&amp;MAX(G$5,DATE(2000+VALUE(RIGHT(TRIM($A382),2)),1,1)),'Timesheet Raw'!$L$4:$L$8000,"&lt;="&amp;MIN(G$6,DATE(2000+VALUE(RIGHT(TRIM($A382),2)),12,31))),SUMIFS('Timesheet Raw'!$P$4:$P$8000,'Timesheet Raw'!$B$4:$B$8000,TRIM($A382),'Timesheet Raw'!$C$4:$C$8000,"*"&amp;$B382&amp;"*",'Timesheet Raw'!$L$4:$L$8000,"&gt;="&amp;G$5,'Timesheet Raw'!$L$4:$L$8000,"&lt;="&amp;G$6)))/'Profit Plan'!$B$5)</f>
        <v/>
      </c>
      <c r="H382" s="122" t="str">
        <f>IF($A382="","",(IF(ISNUMBER(SEARCH("Proposal",$A382)),SUMIFS('Timesheet Raw'!$P$4:$P$8000,'Timesheet Raw'!$A$4:$A$8000,IF(ISNUMBER(SEARCH("Chargable",$A382)),"2-Proposals Chargeable","3-Proposals Regular"),'Timesheet Raw'!$C$4:$C$8000,"*"&amp;$B382&amp;"*",'Timesheet Raw'!$L$4:$L$8000,"&gt;="&amp;MAX(H$5,DATE(2000+VALUE(RIGHT(TRIM($A382),2)),1,1)),'Timesheet Raw'!$L$4:$L$8000,"&lt;="&amp;MIN(H$6,DATE(2000+VALUE(RIGHT(TRIM($A382),2)),12,31))),SUMIFS('Timesheet Raw'!$P$4:$P$8000,'Timesheet Raw'!$B$4:$B$8000,TRIM($A382),'Timesheet Raw'!$C$4:$C$8000,"*"&amp;$B382&amp;"*",'Timesheet Raw'!$L$4:$L$8000,"&gt;="&amp;H$5,'Timesheet Raw'!$L$4:$L$8000,"&lt;="&amp;H$6)))/'Profit Plan'!$B$5)</f>
        <v/>
      </c>
      <c r="I382" s="122" t="str">
        <f>IF($A382="","",(IF(ISNUMBER(SEARCH("Proposal",$A382)),SUMIFS('Timesheet Raw'!$P$4:$P$8000,'Timesheet Raw'!$A$4:$A$8000,IF(ISNUMBER(SEARCH("Chargable",$A382)),"2-Proposals Chargeable","3-Proposals Regular"),'Timesheet Raw'!$C$4:$C$8000,"*"&amp;$B382&amp;"*",'Timesheet Raw'!$L$4:$L$8000,"&gt;="&amp;MAX(I$5,DATE(2000+VALUE(RIGHT(TRIM($A382),2)),1,1)),'Timesheet Raw'!$L$4:$L$8000,"&lt;="&amp;MIN(I$6,DATE(2000+VALUE(RIGHT(TRIM($A382),2)),12,31))),SUMIFS('Timesheet Raw'!$P$4:$P$8000,'Timesheet Raw'!$B$4:$B$8000,TRIM($A382),'Timesheet Raw'!$C$4:$C$8000,"*"&amp;$B382&amp;"*",'Timesheet Raw'!$L$4:$L$8000,"&gt;="&amp;I$5,'Timesheet Raw'!$L$4:$L$8000,"&lt;="&amp;I$6)))/'Profit Plan'!$B$5)</f>
        <v/>
      </c>
      <c r="J382" s="122" t="str">
        <f>IF($A382="","",(IF(ISNUMBER(SEARCH("Proposal",$A382)),SUMIFS('Timesheet Raw'!$P$4:$P$8000,'Timesheet Raw'!$A$4:$A$8000,IF(ISNUMBER(SEARCH("Chargable",$A382)),"2-Proposals Chargeable","3-Proposals Regular"),'Timesheet Raw'!$C$4:$C$8000,"*"&amp;$B382&amp;"*",'Timesheet Raw'!$L$4:$L$8000,"&gt;="&amp;MAX(J$5,DATE(2000+VALUE(RIGHT(TRIM($A382),2)),1,1)),'Timesheet Raw'!$L$4:$L$8000,"&lt;="&amp;MIN(J$6,DATE(2000+VALUE(RIGHT(TRIM($A382),2)),12,31))),SUMIFS('Timesheet Raw'!$P$4:$P$8000,'Timesheet Raw'!$B$4:$B$8000,TRIM($A382),'Timesheet Raw'!$C$4:$C$8000,"*"&amp;$B382&amp;"*",'Timesheet Raw'!$L$4:$L$8000,"&gt;="&amp;J$5,'Timesheet Raw'!$L$4:$L$8000,"&lt;="&amp;J$6)))/'Profit Plan'!$B$5)</f>
        <v/>
      </c>
      <c r="K382" s="122" t="str">
        <f>IF($A382="","",(IF(ISNUMBER(SEARCH("Proposal",$A382)),SUMIFS('Timesheet Raw'!$P$4:$P$8000,'Timesheet Raw'!$A$4:$A$8000,IF(ISNUMBER(SEARCH("Chargable",$A382)),"2-Proposals Chargeable","3-Proposals Regular"),'Timesheet Raw'!$C$4:$C$8000,"*"&amp;$B382&amp;"*",'Timesheet Raw'!$L$4:$L$8000,"&gt;="&amp;MAX(K$5,DATE(2000+VALUE(RIGHT(TRIM($A382),2)),1,1)),'Timesheet Raw'!$L$4:$L$8000,"&lt;="&amp;MIN(K$6,DATE(2000+VALUE(RIGHT(TRIM($A382),2)),12,31))),SUMIFS('Timesheet Raw'!$P$4:$P$8000,'Timesheet Raw'!$B$4:$B$8000,TRIM($A382),'Timesheet Raw'!$C$4:$C$8000,"*"&amp;$B382&amp;"*",'Timesheet Raw'!$L$4:$L$8000,"&gt;="&amp;K$5,'Timesheet Raw'!$L$4:$L$8000,"&lt;="&amp;K$6)))/'Profit Plan'!$B$5)</f>
        <v/>
      </c>
      <c r="L382" s="122" t="str">
        <f>IF($A382="","",(IF(ISNUMBER(SEARCH("Proposal",$A382)),SUMIFS('Timesheet Raw'!$P$4:$P$8000,'Timesheet Raw'!$A$4:$A$8000,IF(ISNUMBER(SEARCH("Chargable",$A382)),"2-Proposals Chargeable","3-Proposals Regular"),'Timesheet Raw'!$C$4:$C$8000,"*"&amp;$B382&amp;"*",'Timesheet Raw'!$L$4:$L$8000,"&gt;="&amp;MAX(L$5,DATE(2000+VALUE(RIGHT(TRIM($A382),2)),1,1)),'Timesheet Raw'!$L$4:$L$8000,"&lt;="&amp;MIN(L$6,DATE(2000+VALUE(RIGHT(TRIM($A382),2)),12,31))),SUMIFS('Timesheet Raw'!$P$4:$P$8000,'Timesheet Raw'!$B$4:$B$8000,TRIM($A382),'Timesheet Raw'!$C$4:$C$8000,"*"&amp;$B382&amp;"*",'Timesheet Raw'!$L$4:$L$8000,"&gt;="&amp;L$5,'Timesheet Raw'!$L$4:$L$8000,"&lt;="&amp;L$6)))/'Profit Plan'!$B$5)</f>
        <v/>
      </c>
      <c r="M382" s="122" t="str">
        <f>IF($A382="","",(IF(ISNUMBER(SEARCH("Proposal",$A382)),SUMIFS('Timesheet Raw'!$P$4:$P$8000,'Timesheet Raw'!$A$4:$A$8000,IF(ISNUMBER(SEARCH("Chargable",$A382)),"2-Proposals Chargeable","3-Proposals Regular"),'Timesheet Raw'!$C$4:$C$8000,"*"&amp;$B382&amp;"*",'Timesheet Raw'!$L$4:$L$8000,"&gt;="&amp;MAX(M$5,DATE(2000+VALUE(RIGHT(TRIM($A382),2)),1,1)),'Timesheet Raw'!$L$4:$L$8000,"&lt;="&amp;MIN(M$6,DATE(2000+VALUE(RIGHT(TRIM($A382),2)),12,31))),SUMIFS('Timesheet Raw'!$P$4:$P$8000,'Timesheet Raw'!$B$4:$B$8000,TRIM($A382),'Timesheet Raw'!$C$4:$C$8000,"*"&amp;$B382&amp;"*",'Timesheet Raw'!$L$4:$L$8000,"&gt;="&amp;M$5,'Timesheet Raw'!$L$4:$L$8000,"&lt;="&amp;M$6)))/'Profit Plan'!$B$5)</f>
        <v/>
      </c>
      <c r="N382" s="122" t="str">
        <f>IF($A382="","",(IF(ISNUMBER(SEARCH("Proposal",$A382)),SUMIFS('Timesheet Raw'!$P$4:$P$8000,'Timesheet Raw'!$A$4:$A$8000,IF(ISNUMBER(SEARCH("Chargable",$A382)),"2-Proposals Chargeable","3-Proposals Regular"),'Timesheet Raw'!$C$4:$C$8000,"*"&amp;$B382&amp;"*",'Timesheet Raw'!$L$4:$L$8000,"&gt;="&amp;MAX(N$5,DATE(2000+VALUE(RIGHT(TRIM($A382),2)),1,1)),'Timesheet Raw'!$L$4:$L$8000,"&lt;="&amp;MIN(N$6,DATE(2000+VALUE(RIGHT(TRIM($A382),2)),12,31))),SUMIFS('Timesheet Raw'!$P$4:$P$8000,'Timesheet Raw'!$B$4:$B$8000,TRIM($A382),'Timesheet Raw'!$C$4:$C$8000,"*"&amp;$B382&amp;"*",'Timesheet Raw'!$L$4:$L$8000,"&gt;="&amp;N$5,'Timesheet Raw'!$L$4:$L$8000,"&lt;="&amp;N$6)))/'Profit Plan'!$B$5)</f>
        <v/>
      </c>
      <c r="O382" s="122" t="str">
        <f>IF($A382="","",(IF(ISNUMBER(SEARCH("Proposal",$A382)),SUMIFS('Timesheet Raw'!$P$4:$P$8000,'Timesheet Raw'!$A$4:$A$8000,IF(ISNUMBER(SEARCH("Chargable",$A382)),"2-Proposals Chargeable","3-Proposals Regular"),'Timesheet Raw'!$C$4:$C$8000,"*"&amp;$B382&amp;"*",'Timesheet Raw'!$L$4:$L$8000,"&gt;="&amp;MAX(O$5,DATE(2000+VALUE(RIGHT(TRIM($A382),2)),1,1)),'Timesheet Raw'!$L$4:$L$8000,"&lt;="&amp;MIN(O$6,DATE(2000+VALUE(RIGHT(TRIM($A382),2)),12,31))),SUMIFS('Timesheet Raw'!$P$4:$P$8000,'Timesheet Raw'!$B$4:$B$8000,TRIM($A382),'Timesheet Raw'!$C$4:$C$8000,"*"&amp;$B382&amp;"*",'Timesheet Raw'!$L$4:$L$8000,"&gt;="&amp;O$5,'Timesheet Raw'!$L$4:$L$8000,"&lt;="&amp;O$6)))/'Profit Plan'!$B$5)</f>
        <v/>
      </c>
      <c r="P382" s="122" t="str">
        <f>IF($A382="","",(IF(ISNUMBER(SEARCH("Proposal",$A382)),SUMIFS('Timesheet Raw'!$P$4:$P$8000,'Timesheet Raw'!$A$4:$A$8000,IF(ISNUMBER(SEARCH("Chargable",$A382)),"2-Proposals Chargeable","3-Proposals Regular"),'Timesheet Raw'!$C$4:$C$8000,"*"&amp;$B382&amp;"*",'Timesheet Raw'!$L$4:$L$8000,"&gt;="&amp;MAX(P$5,DATE(2000+VALUE(RIGHT(TRIM($A382),2)),1,1)),'Timesheet Raw'!$L$4:$L$8000,"&lt;="&amp;MIN(P$6,DATE(2000+VALUE(RIGHT(TRIM($A382),2)),12,31))),SUMIFS('Timesheet Raw'!$P$4:$P$8000,'Timesheet Raw'!$B$4:$B$8000,TRIM($A382),'Timesheet Raw'!$C$4:$C$8000,"*"&amp;$B382&amp;"*",'Timesheet Raw'!$L$4:$L$8000,"&gt;="&amp;P$5,'Timesheet Raw'!$L$4:$L$8000,"&lt;="&amp;P$6)))/'Profit Plan'!$B$5)</f>
        <v/>
      </c>
      <c r="Q382" s="122" t="str">
        <f>IF($A382="","",(IF(ISNUMBER(SEARCH("Proposal",$A382)),SUMIFS('Timesheet Raw'!$P$4:$P$8000,'Timesheet Raw'!$A$4:$A$8000,IF(ISNUMBER(SEARCH("Chargable",$A382)),"2-Proposals Chargeable","3-Proposals Regular"),'Timesheet Raw'!$C$4:$C$8000,"*"&amp;$B382&amp;"*",'Timesheet Raw'!$L$4:$L$8000,"&gt;="&amp;MAX(Q$5,DATE(2000+VALUE(RIGHT(TRIM($A382),2)),1,1)),'Timesheet Raw'!$L$4:$L$8000,"&lt;="&amp;MIN(Q$6,DATE(2000+VALUE(RIGHT(TRIM($A382),2)),12,31))),SUMIFS('Timesheet Raw'!$P$4:$P$8000,'Timesheet Raw'!$B$4:$B$8000,TRIM($A382),'Timesheet Raw'!$C$4:$C$8000,"*"&amp;$B382&amp;"*",'Timesheet Raw'!$L$4:$L$8000,"&gt;="&amp;Q$5,'Timesheet Raw'!$L$4:$L$8000,"&lt;="&amp;Q$6)))/'Profit Plan'!$B$5)</f>
        <v/>
      </c>
      <c r="R382" s="122" t="str">
        <f>IF($A382="","",(IF(ISNUMBER(SEARCH("Proposal",$A382)),SUMIFS('Timesheet Raw'!$P$4:$P$8000,'Timesheet Raw'!$A$4:$A$8000,IF(ISNUMBER(SEARCH("Chargable",$A382)),"2-Proposals Chargeable","3-Proposals Regular"),'Timesheet Raw'!$C$4:$C$8000,"*"&amp;$B382&amp;"*",'Timesheet Raw'!$L$4:$L$8000,"&gt;="&amp;MAX(R$5,DATE(2000+VALUE(RIGHT(TRIM($A382),2)),1,1)),'Timesheet Raw'!$L$4:$L$8000,"&lt;="&amp;MIN(R$6,DATE(2000+VALUE(RIGHT(TRIM($A382),2)),12,31))),SUMIFS('Timesheet Raw'!$P$4:$P$8000,'Timesheet Raw'!$B$4:$B$8000,TRIM($A382),'Timesheet Raw'!$C$4:$C$8000,"*"&amp;$B382&amp;"*",'Timesheet Raw'!$L$4:$L$8000,"&gt;="&amp;R$5,'Timesheet Raw'!$L$4:$L$8000,"&lt;="&amp;R$6)))/'Profit Plan'!$B$5)</f>
        <v/>
      </c>
      <c r="S382" s="122" t="str">
        <f>IF($A382="","",(IF(ISNUMBER(SEARCH("Proposal",$A382)),SUMIFS('Timesheet Raw'!$P$4:$P$8000,'Timesheet Raw'!$A$4:$A$8000,IF(ISNUMBER(SEARCH("Chargable",$A382)),"2-Proposals Chargeable","3-Proposals Regular"),'Timesheet Raw'!$C$4:$C$8000,"*"&amp;$B382&amp;"*",'Timesheet Raw'!$L$4:$L$8000,"&gt;="&amp;MAX(S$5,DATE(2000+VALUE(RIGHT(TRIM($A382),2)),1,1)),'Timesheet Raw'!$L$4:$L$8000,"&lt;="&amp;MIN(S$6,DATE(2000+VALUE(RIGHT(TRIM($A382),2)),12,31))),SUMIFS('Timesheet Raw'!$P$4:$P$8000,'Timesheet Raw'!$B$4:$B$8000,TRIM($A382),'Timesheet Raw'!$C$4:$C$8000,"*"&amp;$B382&amp;"*",'Timesheet Raw'!$L$4:$L$8000,"&gt;="&amp;S$5,'Timesheet Raw'!$L$4:$L$8000,"&lt;="&amp;S$6)))/'Profit Plan'!$B$5)</f>
        <v/>
      </c>
      <c r="T382" s="122" t="str">
        <f>IF($A382="","",(IF(ISNUMBER(SEARCH("Proposal",$A382)),SUMIFS('Timesheet Raw'!$P$4:$P$8000,'Timesheet Raw'!$A$4:$A$8000,IF(ISNUMBER(SEARCH("Chargable",$A382)),"2-Proposals Chargeable","3-Proposals Regular"),'Timesheet Raw'!$C$4:$C$8000,"*"&amp;$B382&amp;"*",'Timesheet Raw'!$L$4:$L$8000,"&gt;="&amp;MAX(T$5,DATE(2000+VALUE(RIGHT(TRIM($A382),2)),1,1)),'Timesheet Raw'!$L$4:$L$8000,"&lt;="&amp;MIN(T$6,DATE(2000+VALUE(RIGHT(TRIM($A382),2)),12,31))),SUMIFS('Timesheet Raw'!$P$4:$P$8000,'Timesheet Raw'!$B$4:$B$8000,TRIM($A382),'Timesheet Raw'!$C$4:$C$8000,"*"&amp;$B382&amp;"*",'Timesheet Raw'!$L$4:$L$8000,"&gt;="&amp;T$5,'Timesheet Raw'!$L$4:$L$8000,"&lt;="&amp;T$6)))/'Profit Plan'!$B$5)</f>
        <v/>
      </c>
      <c r="U382" s="122" t="str">
        <f>IF($A382="","",(IF(ISNUMBER(SEARCH("Proposal",$A382)),SUMIFS('Timesheet Raw'!$P$4:$P$8000,'Timesheet Raw'!$A$4:$A$8000,IF(ISNUMBER(SEARCH("Chargable",$A382)),"2-Proposals Chargeable","3-Proposals Regular"),'Timesheet Raw'!$C$4:$C$8000,"*"&amp;$B382&amp;"*",'Timesheet Raw'!$L$4:$L$8000,"&gt;="&amp;MAX(U$5,DATE(2000+VALUE(RIGHT(TRIM($A382),2)),1,1)),'Timesheet Raw'!$L$4:$L$8000,"&lt;="&amp;MIN(U$6,DATE(2000+VALUE(RIGHT(TRIM($A382),2)),12,31))),SUMIFS('Timesheet Raw'!$P$4:$P$8000,'Timesheet Raw'!$B$4:$B$8000,TRIM($A382),'Timesheet Raw'!$C$4:$C$8000,"*"&amp;$B382&amp;"*",'Timesheet Raw'!$L$4:$L$8000,"&gt;="&amp;U$5,'Timesheet Raw'!$L$4:$L$8000,"&lt;="&amp;U$6)))/'Profit Plan'!$B$5)</f>
        <v/>
      </c>
      <c r="V382" s="122" t="str">
        <f>IF($A382="","",(IF(ISNUMBER(SEARCH("Proposal",$A382)),SUMIFS('Timesheet Raw'!$P$4:$P$8000,'Timesheet Raw'!$A$4:$A$8000,IF(ISNUMBER(SEARCH("Chargable",$A382)),"2-Proposals Chargeable","3-Proposals Regular"),'Timesheet Raw'!$C$4:$C$8000,"*"&amp;$B382&amp;"*",'Timesheet Raw'!$L$4:$L$8000,"&gt;="&amp;MAX(V$5,DATE(2000+VALUE(RIGHT(TRIM($A382),2)),1,1)),'Timesheet Raw'!$L$4:$L$8000,"&lt;="&amp;MIN(V$6,DATE(2000+VALUE(RIGHT(TRIM($A382),2)),12,31))),SUMIFS('Timesheet Raw'!$P$4:$P$8000,'Timesheet Raw'!$B$4:$B$8000,TRIM($A382),'Timesheet Raw'!$C$4:$C$8000,"*"&amp;$B382&amp;"*",'Timesheet Raw'!$L$4:$L$8000,"&gt;="&amp;V$5,'Timesheet Raw'!$L$4:$L$8000,"&lt;="&amp;V$6)))/'Profit Plan'!$B$5)</f>
        <v/>
      </c>
      <c r="W382" s="122" t="str">
        <f>IF($A382="","",(IF(ISNUMBER(SEARCH("Proposal",$A382)),SUMIFS('Timesheet Raw'!$P$4:$P$8000,'Timesheet Raw'!$A$4:$A$8000,IF(ISNUMBER(SEARCH("Chargable",$A382)),"2-Proposals Chargeable","3-Proposals Regular"),'Timesheet Raw'!$C$4:$C$8000,"*"&amp;$B382&amp;"*",'Timesheet Raw'!$L$4:$L$8000,"&gt;="&amp;MAX(W$5,DATE(2000+VALUE(RIGHT(TRIM($A382),2)),1,1)),'Timesheet Raw'!$L$4:$L$8000,"&lt;="&amp;MIN(W$6,DATE(2000+VALUE(RIGHT(TRIM($A382),2)),12,31))),SUMIFS('Timesheet Raw'!$P$4:$P$8000,'Timesheet Raw'!$B$4:$B$8000,TRIM($A382),'Timesheet Raw'!$C$4:$C$8000,"*"&amp;$B382&amp;"*",'Timesheet Raw'!$L$4:$L$8000,"&gt;="&amp;W$5,'Timesheet Raw'!$L$4:$L$8000,"&lt;="&amp;W$6)))/'Profit Plan'!$B$5)</f>
        <v/>
      </c>
      <c r="X382" s="122" t="str">
        <f>IF($A382="","",(IF(ISNUMBER(SEARCH("Proposal",$A382)),SUMIFS('Timesheet Raw'!$P$4:$P$8000,'Timesheet Raw'!$A$4:$A$8000,IF(ISNUMBER(SEARCH("Chargable",$A382)),"2-Proposals Chargeable","3-Proposals Regular"),'Timesheet Raw'!$C$4:$C$8000,"*"&amp;$B382&amp;"*",'Timesheet Raw'!$L$4:$L$8000,"&gt;="&amp;MAX(X$5,DATE(2000+VALUE(RIGHT(TRIM($A382),2)),1,1)),'Timesheet Raw'!$L$4:$L$8000,"&lt;="&amp;MIN(X$6,DATE(2000+VALUE(RIGHT(TRIM($A382),2)),12,31))),SUMIFS('Timesheet Raw'!$P$4:$P$8000,'Timesheet Raw'!$B$4:$B$8000,TRIM($A382),'Timesheet Raw'!$C$4:$C$8000,"*"&amp;$B382&amp;"*",'Timesheet Raw'!$L$4:$L$8000,"&gt;="&amp;X$5,'Timesheet Raw'!$L$4:$L$8000,"&lt;="&amp;X$6)))/'Profit Plan'!$B$5)</f>
        <v/>
      </c>
      <c r="Y382" s="118">
        <f t="shared" si="101"/>
        <v>0</v>
      </c>
    </row>
    <row r="383" spans="1:25" x14ac:dyDescent="0.3">
      <c r="A383" s="116" t="str">
        <f>IF(Inputs!$A45="","",Inputs!$A45)</f>
        <v/>
      </c>
      <c r="B383" s="116" t="str">
        <f>IF(Inputs!$A45="","",Inputs!$A$92)</f>
        <v/>
      </c>
      <c r="C383" s="116"/>
      <c r="D383" s="122" t="str">
        <f>IF($A383="","",(IF(ISNUMBER(SEARCH("Proposal",$A383)),SUMIFS('Timesheet Raw'!$P$4:$P$8000,'Timesheet Raw'!$A$4:$A$8000,IF(ISNUMBER(SEARCH("Chargable",$A383)),"2-Proposals Chargeable","3-Proposals Regular"),'Timesheet Raw'!$C$4:$C$8000,"*"&amp;$B383&amp;"*",'Timesheet Raw'!$L$4:$L$8000,"&gt;="&amp;MAX(D$5,DATE(2000+VALUE(RIGHT(TRIM($A383),2)),1,1)),'Timesheet Raw'!$L$4:$L$8000,"&lt;="&amp;MIN(D$6,DATE(2000+VALUE(RIGHT(TRIM($A383),2)),12,31))),SUMIFS('Timesheet Raw'!$P$4:$P$8000,'Timesheet Raw'!$B$4:$B$8000,TRIM($A383),'Timesheet Raw'!$C$4:$C$8000,"*"&amp;$B383&amp;"*",'Timesheet Raw'!$L$4:$L$8000,"&gt;="&amp;D$5,'Timesheet Raw'!$L$4:$L$8000,"&lt;="&amp;D$6)))/'Profit Plan'!$B$5)</f>
        <v/>
      </c>
      <c r="E383" s="122" t="str">
        <f>IF($A383="","",(IF(ISNUMBER(SEARCH("Proposal",$A383)),SUMIFS('Timesheet Raw'!$P$4:$P$8000,'Timesheet Raw'!$A$4:$A$8000,IF(ISNUMBER(SEARCH("Chargable",$A383)),"2-Proposals Chargeable","3-Proposals Regular"),'Timesheet Raw'!$C$4:$C$8000,"*"&amp;$B383&amp;"*",'Timesheet Raw'!$L$4:$L$8000,"&gt;="&amp;MAX(E$5,DATE(2000+VALUE(RIGHT(TRIM($A383),2)),1,1)),'Timesheet Raw'!$L$4:$L$8000,"&lt;="&amp;MIN(E$6,DATE(2000+VALUE(RIGHT(TRIM($A383),2)),12,31))),SUMIFS('Timesheet Raw'!$P$4:$P$8000,'Timesheet Raw'!$B$4:$B$8000,TRIM($A383),'Timesheet Raw'!$C$4:$C$8000,"*"&amp;$B383&amp;"*",'Timesheet Raw'!$L$4:$L$8000,"&gt;="&amp;E$5,'Timesheet Raw'!$L$4:$L$8000,"&lt;="&amp;E$6)))/'Profit Plan'!$B$5)</f>
        <v/>
      </c>
      <c r="F383" s="122" t="str">
        <f>IF($A383="","",(IF(ISNUMBER(SEARCH("Proposal",$A383)),SUMIFS('Timesheet Raw'!$P$4:$P$8000,'Timesheet Raw'!$A$4:$A$8000,IF(ISNUMBER(SEARCH("Chargable",$A383)),"2-Proposals Chargeable","3-Proposals Regular"),'Timesheet Raw'!$C$4:$C$8000,"*"&amp;$B383&amp;"*",'Timesheet Raw'!$L$4:$L$8000,"&gt;="&amp;MAX(F$5,DATE(2000+VALUE(RIGHT(TRIM($A383),2)),1,1)),'Timesheet Raw'!$L$4:$L$8000,"&lt;="&amp;MIN(F$6,DATE(2000+VALUE(RIGHT(TRIM($A383),2)),12,31))),SUMIFS('Timesheet Raw'!$P$4:$P$8000,'Timesheet Raw'!$B$4:$B$8000,TRIM($A383),'Timesheet Raw'!$C$4:$C$8000,"*"&amp;$B383&amp;"*",'Timesheet Raw'!$L$4:$L$8000,"&gt;="&amp;F$5,'Timesheet Raw'!$L$4:$L$8000,"&lt;="&amp;F$6)))/'Profit Plan'!$B$5)</f>
        <v/>
      </c>
      <c r="G383" s="122" t="str">
        <f>IF($A383="","",(IF(ISNUMBER(SEARCH("Proposal",$A383)),SUMIFS('Timesheet Raw'!$P$4:$P$8000,'Timesheet Raw'!$A$4:$A$8000,IF(ISNUMBER(SEARCH("Chargable",$A383)),"2-Proposals Chargeable","3-Proposals Regular"),'Timesheet Raw'!$C$4:$C$8000,"*"&amp;$B383&amp;"*",'Timesheet Raw'!$L$4:$L$8000,"&gt;="&amp;MAX(G$5,DATE(2000+VALUE(RIGHT(TRIM($A383),2)),1,1)),'Timesheet Raw'!$L$4:$L$8000,"&lt;="&amp;MIN(G$6,DATE(2000+VALUE(RIGHT(TRIM($A383),2)),12,31))),SUMIFS('Timesheet Raw'!$P$4:$P$8000,'Timesheet Raw'!$B$4:$B$8000,TRIM($A383),'Timesheet Raw'!$C$4:$C$8000,"*"&amp;$B383&amp;"*",'Timesheet Raw'!$L$4:$L$8000,"&gt;="&amp;G$5,'Timesheet Raw'!$L$4:$L$8000,"&lt;="&amp;G$6)))/'Profit Plan'!$B$5)</f>
        <v/>
      </c>
      <c r="H383" s="122" t="str">
        <f>IF($A383="","",(IF(ISNUMBER(SEARCH("Proposal",$A383)),SUMIFS('Timesheet Raw'!$P$4:$P$8000,'Timesheet Raw'!$A$4:$A$8000,IF(ISNUMBER(SEARCH("Chargable",$A383)),"2-Proposals Chargeable","3-Proposals Regular"),'Timesheet Raw'!$C$4:$C$8000,"*"&amp;$B383&amp;"*",'Timesheet Raw'!$L$4:$L$8000,"&gt;="&amp;MAX(H$5,DATE(2000+VALUE(RIGHT(TRIM($A383),2)),1,1)),'Timesheet Raw'!$L$4:$L$8000,"&lt;="&amp;MIN(H$6,DATE(2000+VALUE(RIGHT(TRIM($A383),2)),12,31))),SUMIFS('Timesheet Raw'!$P$4:$P$8000,'Timesheet Raw'!$B$4:$B$8000,TRIM($A383),'Timesheet Raw'!$C$4:$C$8000,"*"&amp;$B383&amp;"*",'Timesheet Raw'!$L$4:$L$8000,"&gt;="&amp;H$5,'Timesheet Raw'!$L$4:$L$8000,"&lt;="&amp;H$6)))/'Profit Plan'!$B$5)</f>
        <v/>
      </c>
      <c r="I383" s="122" t="str">
        <f>IF($A383="","",(IF(ISNUMBER(SEARCH("Proposal",$A383)),SUMIFS('Timesheet Raw'!$P$4:$P$8000,'Timesheet Raw'!$A$4:$A$8000,IF(ISNUMBER(SEARCH("Chargable",$A383)),"2-Proposals Chargeable","3-Proposals Regular"),'Timesheet Raw'!$C$4:$C$8000,"*"&amp;$B383&amp;"*",'Timesheet Raw'!$L$4:$L$8000,"&gt;="&amp;MAX(I$5,DATE(2000+VALUE(RIGHT(TRIM($A383),2)),1,1)),'Timesheet Raw'!$L$4:$L$8000,"&lt;="&amp;MIN(I$6,DATE(2000+VALUE(RIGHT(TRIM($A383),2)),12,31))),SUMIFS('Timesheet Raw'!$P$4:$P$8000,'Timesheet Raw'!$B$4:$B$8000,TRIM($A383),'Timesheet Raw'!$C$4:$C$8000,"*"&amp;$B383&amp;"*",'Timesheet Raw'!$L$4:$L$8000,"&gt;="&amp;I$5,'Timesheet Raw'!$L$4:$L$8000,"&lt;="&amp;I$6)))/'Profit Plan'!$B$5)</f>
        <v/>
      </c>
      <c r="J383" s="122" t="str">
        <f>IF($A383="","",(IF(ISNUMBER(SEARCH("Proposal",$A383)),SUMIFS('Timesheet Raw'!$P$4:$P$8000,'Timesheet Raw'!$A$4:$A$8000,IF(ISNUMBER(SEARCH("Chargable",$A383)),"2-Proposals Chargeable","3-Proposals Regular"),'Timesheet Raw'!$C$4:$C$8000,"*"&amp;$B383&amp;"*",'Timesheet Raw'!$L$4:$L$8000,"&gt;="&amp;MAX(J$5,DATE(2000+VALUE(RIGHT(TRIM($A383),2)),1,1)),'Timesheet Raw'!$L$4:$L$8000,"&lt;="&amp;MIN(J$6,DATE(2000+VALUE(RIGHT(TRIM($A383),2)),12,31))),SUMIFS('Timesheet Raw'!$P$4:$P$8000,'Timesheet Raw'!$B$4:$B$8000,TRIM($A383),'Timesheet Raw'!$C$4:$C$8000,"*"&amp;$B383&amp;"*",'Timesheet Raw'!$L$4:$L$8000,"&gt;="&amp;J$5,'Timesheet Raw'!$L$4:$L$8000,"&lt;="&amp;J$6)))/'Profit Plan'!$B$5)</f>
        <v/>
      </c>
      <c r="K383" s="122" t="str">
        <f>IF($A383="","",(IF(ISNUMBER(SEARCH("Proposal",$A383)),SUMIFS('Timesheet Raw'!$P$4:$P$8000,'Timesheet Raw'!$A$4:$A$8000,IF(ISNUMBER(SEARCH("Chargable",$A383)),"2-Proposals Chargeable","3-Proposals Regular"),'Timesheet Raw'!$C$4:$C$8000,"*"&amp;$B383&amp;"*",'Timesheet Raw'!$L$4:$L$8000,"&gt;="&amp;MAX(K$5,DATE(2000+VALUE(RIGHT(TRIM($A383),2)),1,1)),'Timesheet Raw'!$L$4:$L$8000,"&lt;="&amp;MIN(K$6,DATE(2000+VALUE(RIGHT(TRIM($A383),2)),12,31))),SUMIFS('Timesheet Raw'!$P$4:$P$8000,'Timesheet Raw'!$B$4:$B$8000,TRIM($A383),'Timesheet Raw'!$C$4:$C$8000,"*"&amp;$B383&amp;"*",'Timesheet Raw'!$L$4:$L$8000,"&gt;="&amp;K$5,'Timesheet Raw'!$L$4:$L$8000,"&lt;="&amp;K$6)))/'Profit Plan'!$B$5)</f>
        <v/>
      </c>
      <c r="L383" s="122" t="str">
        <f>IF($A383="","",(IF(ISNUMBER(SEARCH("Proposal",$A383)),SUMIFS('Timesheet Raw'!$P$4:$P$8000,'Timesheet Raw'!$A$4:$A$8000,IF(ISNUMBER(SEARCH("Chargable",$A383)),"2-Proposals Chargeable","3-Proposals Regular"),'Timesheet Raw'!$C$4:$C$8000,"*"&amp;$B383&amp;"*",'Timesheet Raw'!$L$4:$L$8000,"&gt;="&amp;MAX(L$5,DATE(2000+VALUE(RIGHT(TRIM($A383),2)),1,1)),'Timesheet Raw'!$L$4:$L$8000,"&lt;="&amp;MIN(L$6,DATE(2000+VALUE(RIGHT(TRIM($A383),2)),12,31))),SUMIFS('Timesheet Raw'!$P$4:$P$8000,'Timesheet Raw'!$B$4:$B$8000,TRIM($A383),'Timesheet Raw'!$C$4:$C$8000,"*"&amp;$B383&amp;"*",'Timesheet Raw'!$L$4:$L$8000,"&gt;="&amp;L$5,'Timesheet Raw'!$L$4:$L$8000,"&lt;="&amp;L$6)))/'Profit Plan'!$B$5)</f>
        <v/>
      </c>
      <c r="M383" s="122" t="str">
        <f>IF($A383="","",(IF(ISNUMBER(SEARCH("Proposal",$A383)),SUMIFS('Timesheet Raw'!$P$4:$P$8000,'Timesheet Raw'!$A$4:$A$8000,IF(ISNUMBER(SEARCH("Chargable",$A383)),"2-Proposals Chargeable","3-Proposals Regular"),'Timesheet Raw'!$C$4:$C$8000,"*"&amp;$B383&amp;"*",'Timesheet Raw'!$L$4:$L$8000,"&gt;="&amp;MAX(M$5,DATE(2000+VALUE(RIGHT(TRIM($A383),2)),1,1)),'Timesheet Raw'!$L$4:$L$8000,"&lt;="&amp;MIN(M$6,DATE(2000+VALUE(RIGHT(TRIM($A383),2)),12,31))),SUMIFS('Timesheet Raw'!$P$4:$P$8000,'Timesheet Raw'!$B$4:$B$8000,TRIM($A383),'Timesheet Raw'!$C$4:$C$8000,"*"&amp;$B383&amp;"*",'Timesheet Raw'!$L$4:$L$8000,"&gt;="&amp;M$5,'Timesheet Raw'!$L$4:$L$8000,"&lt;="&amp;M$6)))/'Profit Plan'!$B$5)</f>
        <v/>
      </c>
      <c r="N383" s="122" t="str">
        <f>IF($A383="","",(IF(ISNUMBER(SEARCH("Proposal",$A383)),SUMIFS('Timesheet Raw'!$P$4:$P$8000,'Timesheet Raw'!$A$4:$A$8000,IF(ISNUMBER(SEARCH("Chargable",$A383)),"2-Proposals Chargeable","3-Proposals Regular"),'Timesheet Raw'!$C$4:$C$8000,"*"&amp;$B383&amp;"*",'Timesheet Raw'!$L$4:$L$8000,"&gt;="&amp;MAX(N$5,DATE(2000+VALUE(RIGHT(TRIM($A383),2)),1,1)),'Timesheet Raw'!$L$4:$L$8000,"&lt;="&amp;MIN(N$6,DATE(2000+VALUE(RIGHT(TRIM($A383),2)),12,31))),SUMIFS('Timesheet Raw'!$P$4:$P$8000,'Timesheet Raw'!$B$4:$B$8000,TRIM($A383),'Timesheet Raw'!$C$4:$C$8000,"*"&amp;$B383&amp;"*",'Timesheet Raw'!$L$4:$L$8000,"&gt;="&amp;N$5,'Timesheet Raw'!$L$4:$L$8000,"&lt;="&amp;N$6)))/'Profit Plan'!$B$5)</f>
        <v/>
      </c>
      <c r="O383" s="122" t="str">
        <f>IF($A383="","",(IF(ISNUMBER(SEARCH("Proposal",$A383)),SUMIFS('Timesheet Raw'!$P$4:$P$8000,'Timesheet Raw'!$A$4:$A$8000,IF(ISNUMBER(SEARCH("Chargable",$A383)),"2-Proposals Chargeable","3-Proposals Regular"),'Timesheet Raw'!$C$4:$C$8000,"*"&amp;$B383&amp;"*",'Timesheet Raw'!$L$4:$L$8000,"&gt;="&amp;MAX(O$5,DATE(2000+VALUE(RIGHT(TRIM($A383),2)),1,1)),'Timesheet Raw'!$L$4:$L$8000,"&lt;="&amp;MIN(O$6,DATE(2000+VALUE(RIGHT(TRIM($A383),2)),12,31))),SUMIFS('Timesheet Raw'!$P$4:$P$8000,'Timesheet Raw'!$B$4:$B$8000,TRIM($A383),'Timesheet Raw'!$C$4:$C$8000,"*"&amp;$B383&amp;"*",'Timesheet Raw'!$L$4:$L$8000,"&gt;="&amp;O$5,'Timesheet Raw'!$L$4:$L$8000,"&lt;="&amp;O$6)))/'Profit Plan'!$B$5)</f>
        <v/>
      </c>
      <c r="P383" s="122" t="str">
        <f>IF($A383="","",(IF(ISNUMBER(SEARCH("Proposal",$A383)),SUMIFS('Timesheet Raw'!$P$4:$P$8000,'Timesheet Raw'!$A$4:$A$8000,IF(ISNUMBER(SEARCH("Chargable",$A383)),"2-Proposals Chargeable","3-Proposals Regular"),'Timesheet Raw'!$C$4:$C$8000,"*"&amp;$B383&amp;"*",'Timesheet Raw'!$L$4:$L$8000,"&gt;="&amp;MAX(P$5,DATE(2000+VALUE(RIGHT(TRIM($A383),2)),1,1)),'Timesheet Raw'!$L$4:$L$8000,"&lt;="&amp;MIN(P$6,DATE(2000+VALUE(RIGHT(TRIM($A383),2)),12,31))),SUMIFS('Timesheet Raw'!$P$4:$P$8000,'Timesheet Raw'!$B$4:$B$8000,TRIM($A383),'Timesheet Raw'!$C$4:$C$8000,"*"&amp;$B383&amp;"*",'Timesheet Raw'!$L$4:$L$8000,"&gt;="&amp;P$5,'Timesheet Raw'!$L$4:$L$8000,"&lt;="&amp;P$6)))/'Profit Plan'!$B$5)</f>
        <v/>
      </c>
      <c r="Q383" s="122" t="str">
        <f>IF($A383="","",(IF(ISNUMBER(SEARCH("Proposal",$A383)),SUMIFS('Timesheet Raw'!$P$4:$P$8000,'Timesheet Raw'!$A$4:$A$8000,IF(ISNUMBER(SEARCH("Chargable",$A383)),"2-Proposals Chargeable","3-Proposals Regular"),'Timesheet Raw'!$C$4:$C$8000,"*"&amp;$B383&amp;"*",'Timesheet Raw'!$L$4:$L$8000,"&gt;="&amp;MAX(Q$5,DATE(2000+VALUE(RIGHT(TRIM($A383),2)),1,1)),'Timesheet Raw'!$L$4:$L$8000,"&lt;="&amp;MIN(Q$6,DATE(2000+VALUE(RIGHT(TRIM($A383),2)),12,31))),SUMIFS('Timesheet Raw'!$P$4:$P$8000,'Timesheet Raw'!$B$4:$B$8000,TRIM($A383),'Timesheet Raw'!$C$4:$C$8000,"*"&amp;$B383&amp;"*",'Timesheet Raw'!$L$4:$L$8000,"&gt;="&amp;Q$5,'Timesheet Raw'!$L$4:$L$8000,"&lt;="&amp;Q$6)))/'Profit Plan'!$B$5)</f>
        <v/>
      </c>
      <c r="R383" s="122" t="str">
        <f>IF($A383="","",(IF(ISNUMBER(SEARCH("Proposal",$A383)),SUMIFS('Timesheet Raw'!$P$4:$P$8000,'Timesheet Raw'!$A$4:$A$8000,IF(ISNUMBER(SEARCH("Chargable",$A383)),"2-Proposals Chargeable","3-Proposals Regular"),'Timesheet Raw'!$C$4:$C$8000,"*"&amp;$B383&amp;"*",'Timesheet Raw'!$L$4:$L$8000,"&gt;="&amp;MAX(R$5,DATE(2000+VALUE(RIGHT(TRIM($A383),2)),1,1)),'Timesheet Raw'!$L$4:$L$8000,"&lt;="&amp;MIN(R$6,DATE(2000+VALUE(RIGHT(TRIM($A383),2)),12,31))),SUMIFS('Timesheet Raw'!$P$4:$P$8000,'Timesheet Raw'!$B$4:$B$8000,TRIM($A383),'Timesheet Raw'!$C$4:$C$8000,"*"&amp;$B383&amp;"*",'Timesheet Raw'!$L$4:$L$8000,"&gt;="&amp;R$5,'Timesheet Raw'!$L$4:$L$8000,"&lt;="&amp;R$6)))/'Profit Plan'!$B$5)</f>
        <v/>
      </c>
      <c r="S383" s="122" t="str">
        <f>IF($A383="","",(IF(ISNUMBER(SEARCH("Proposal",$A383)),SUMIFS('Timesheet Raw'!$P$4:$P$8000,'Timesheet Raw'!$A$4:$A$8000,IF(ISNUMBER(SEARCH("Chargable",$A383)),"2-Proposals Chargeable","3-Proposals Regular"),'Timesheet Raw'!$C$4:$C$8000,"*"&amp;$B383&amp;"*",'Timesheet Raw'!$L$4:$L$8000,"&gt;="&amp;MAX(S$5,DATE(2000+VALUE(RIGHT(TRIM($A383),2)),1,1)),'Timesheet Raw'!$L$4:$L$8000,"&lt;="&amp;MIN(S$6,DATE(2000+VALUE(RIGHT(TRIM($A383),2)),12,31))),SUMIFS('Timesheet Raw'!$P$4:$P$8000,'Timesheet Raw'!$B$4:$B$8000,TRIM($A383),'Timesheet Raw'!$C$4:$C$8000,"*"&amp;$B383&amp;"*",'Timesheet Raw'!$L$4:$L$8000,"&gt;="&amp;S$5,'Timesheet Raw'!$L$4:$L$8000,"&lt;="&amp;S$6)))/'Profit Plan'!$B$5)</f>
        <v/>
      </c>
      <c r="T383" s="122" t="str">
        <f>IF($A383="","",(IF(ISNUMBER(SEARCH("Proposal",$A383)),SUMIFS('Timesheet Raw'!$P$4:$P$8000,'Timesheet Raw'!$A$4:$A$8000,IF(ISNUMBER(SEARCH("Chargable",$A383)),"2-Proposals Chargeable","3-Proposals Regular"),'Timesheet Raw'!$C$4:$C$8000,"*"&amp;$B383&amp;"*",'Timesheet Raw'!$L$4:$L$8000,"&gt;="&amp;MAX(T$5,DATE(2000+VALUE(RIGHT(TRIM($A383),2)),1,1)),'Timesheet Raw'!$L$4:$L$8000,"&lt;="&amp;MIN(T$6,DATE(2000+VALUE(RIGHT(TRIM($A383),2)),12,31))),SUMIFS('Timesheet Raw'!$P$4:$P$8000,'Timesheet Raw'!$B$4:$B$8000,TRIM($A383),'Timesheet Raw'!$C$4:$C$8000,"*"&amp;$B383&amp;"*",'Timesheet Raw'!$L$4:$L$8000,"&gt;="&amp;T$5,'Timesheet Raw'!$L$4:$L$8000,"&lt;="&amp;T$6)))/'Profit Plan'!$B$5)</f>
        <v/>
      </c>
      <c r="U383" s="122" t="str">
        <f>IF($A383="","",(IF(ISNUMBER(SEARCH("Proposal",$A383)),SUMIFS('Timesheet Raw'!$P$4:$P$8000,'Timesheet Raw'!$A$4:$A$8000,IF(ISNUMBER(SEARCH("Chargable",$A383)),"2-Proposals Chargeable","3-Proposals Regular"),'Timesheet Raw'!$C$4:$C$8000,"*"&amp;$B383&amp;"*",'Timesheet Raw'!$L$4:$L$8000,"&gt;="&amp;MAX(U$5,DATE(2000+VALUE(RIGHT(TRIM($A383),2)),1,1)),'Timesheet Raw'!$L$4:$L$8000,"&lt;="&amp;MIN(U$6,DATE(2000+VALUE(RIGHT(TRIM($A383),2)),12,31))),SUMIFS('Timesheet Raw'!$P$4:$P$8000,'Timesheet Raw'!$B$4:$B$8000,TRIM($A383),'Timesheet Raw'!$C$4:$C$8000,"*"&amp;$B383&amp;"*",'Timesheet Raw'!$L$4:$L$8000,"&gt;="&amp;U$5,'Timesheet Raw'!$L$4:$L$8000,"&lt;="&amp;U$6)))/'Profit Plan'!$B$5)</f>
        <v/>
      </c>
      <c r="V383" s="122" t="str">
        <f>IF($A383="","",(IF(ISNUMBER(SEARCH("Proposal",$A383)),SUMIFS('Timesheet Raw'!$P$4:$P$8000,'Timesheet Raw'!$A$4:$A$8000,IF(ISNUMBER(SEARCH("Chargable",$A383)),"2-Proposals Chargeable","3-Proposals Regular"),'Timesheet Raw'!$C$4:$C$8000,"*"&amp;$B383&amp;"*",'Timesheet Raw'!$L$4:$L$8000,"&gt;="&amp;MAX(V$5,DATE(2000+VALUE(RIGHT(TRIM($A383),2)),1,1)),'Timesheet Raw'!$L$4:$L$8000,"&lt;="&amp;MIN(V$6,DATE(2000+VALUE(RIGHT(TRIM($A383),2)),12,31))),SUMIFS('Timesheet Raw'!$P$4:$P$8000,'Timesheet Raw'!$B$4:$B$8000,TRIM($A383),'Timesheet Raw'!$C$4:$C$8000,"*"&amp;$B383&amp;"*",'Timesheet Raw'!$L$4:$L$8000,"&gt;="&amp;V$5,'Timesheet Raw'!$L$4:$L$8000,"&lt;="&amp;V$6)))/'Profit Plan'!$B$5)</f>
        <v/>
      </c>
      <c r="W383" s="122" t="str">
        <f>IF($A383="","",(IF(ISNUMBER(SEARCH("Proposal",$A383)),SUMIFS('Timesheet Raw'!$P$4:$P$8000,'Timesheet Raw'!$A$4:$A$8000,IF(ISNUMBER(SEARCH("Chargable",$A383)),"2-Proposals Chargeable","3-Proposals Regular"),'Timesheet Raw'!$C$4:$C$8000,"*"&amp;$B383&amp;"*",'Timesheet Raw'!$L$4:$L$8000,"&gt;="&amp;MAX(W$5,DATE(2000+VALUE(RIGHT(TRIM($A383),2)),1,1)),'Timesheet Raw'!$L$4:$L$8000,"&lt;="&amp;MIN(W$6,DATE(2000+VALUE(RIGHT(TRIM($A383),2)),12,31))),SUMIFS('Timesheet Raw'!$P$4:$P$8000,'Timesheet Raw'!$B$4:$B$8000,TRIM($A383),'Timesheet Raw'!$C$4:$C$8000,"*"&amp;$B383&amp;"*",'Timesheet Raw'!$L$4:$L$8000,"&gt;="&amp;W$5,'Timesheet Raw'!$L$4:$L$8000,"&lt;="&amp;W$6)))/'Profit Plan'!$B$5)</f>
        <v/>
      </c>
      <c r="X383" s="122" t="str">
        <f>IF($A383="","",(IF(ISNUMBER(SEARCH("Proposal",$A383)),SUMIFS('Timesheet Raw'!$P$4:$P$8000,'Timesheet Raw'!$A$4:$A$8000,IF(ISNUMBER(SEARCH("Chargable",$A383)),"2-Proposals Chargeable","3-Proposals Regular"),'Timesheet Raw'!$C$4:$C$8000,"*"&amp;$B383&amp;"*",'Timesheet Raw'!$L$4:$L$8000,"&gt;="&amp;MAX(X$5,DATE(2000+VALUE(RIGHT(TRIM($A383),2)),1,1)),'Timesheet Raw'!$L$4:$L$8000,"&lt;="&amp;MIN(X$6,DATE(2000+VALUE(RIGHT(TRIM($A383),2)),12,31))),SUMIFS('Timesheet Raw'!$P$4:$P$8000,'Timesheet Raw'!$B$4:$B$8000,TRIM($A383),'Timesheet Raw'!$C$4:$C$8000,"*"&amp;$B383&amp;"*",'Timesheet Raw'!$L$4:$L$8000,"&gt;="&amp;X$5,'Timesheet Raw'!$L$4:$L$8000,"&lt;="&amp;X$6)))/'Profit Plan'!$B$5)</f>
        <v/>
      </c>
      <c r="Y383" s="118">
        <f t="shared" si="101"/>
        <v>0</v>
      </c>
    </row>
    <row r="384" spans="1:25" x14ac:dyDescent="0.3">
      <c r="A384" s="116" t="str">
        <f>IF(Inputs!$A45="","",Inputs!$A45)</f>
        <v/>
      </c>
      <c r="B384" s="116" t="str">
        <f>IF(Inputs!$A45="","",Inputs!$A$93)</f>
        <v/>
      </c>
      <c r="C384" s="116"/>
      <c r="D384" s="122" t="str">
        <f>IF($A384="","",(IF(ISNUMBER(SEARCH("Proposal",$A384)),SUMIFS('Timesheet Raw'!$P$4:$P$8000,'Timesheet Raw'!$A$4:$A$8000,IF(ISNUMBER(SEARCH("Chargable",$A384)),"2-Proposals Chargeable","3-Proposals Regular"),'Timesheet Raw'!$C$4:$C$8000,"*"&amp;$B384&amp;"*",'Timesheet Raw'!$L$4:$L$8000,"&gt;="&amp;MAX(D$5,DATE(2000+VALUE(RIGHT(TRIM($A384),2)),1,1)),'Timesheet Raw'!$L$4:$L$8000,"&lt;="&amp;MIN(D$6,DATE(2000+VALUE(RIGHT(TRIM($A384),2)),12,31))),SUMIFS('Timesheet Raw'!$P$4:$P$8000,'Timesheet Raw'!$B$4:$B$8000,TRIM($A384),'Timesheet Raw'!$C$4:$C$8000,"*"&amp;$B384&amp;"*",'Timesheet Raw'!$L$4:$L$8000,"&gt;="&amp;D$5,'Timesheet Raw'!$L$4:$L$8000,"&lt;="&amp;D$6)))/'Profit Plan'!$B$5)</f>
        <v/>
      </c>
      <c r="E384" s="122" t="str">
        <f>IF($A384="","",(IF(ISNUMBER(SEARCH("Proposal",$A384)),SUMIFS('Timesheet Raw'!$P$4:$P$8000,'Timesheet Raw'!$A$4:$A$8000,IF(ISNUMBER(SEARCH("Chargable",$A384)),"2-Proposals Chargeable","3-Proposals Regular"),'Timesheet Raw'!$C$4:$C$8000,"*"&amp;$B384&amp;"*",'Timesheet Raw'!$L$4:$L$8000,"&gt;="&amp;MAX(E$5,DATE(2000+VALUE(RIGHT(TRIM($A384),2)),1,1)),'Timesheet Raw'!$L$4:$L$8000,"&lt;="&amp;MIN(E$6,DATE(2000+VALUE(RIGHT(TRIM($A384),2)),12,31))),SUMIFS('Timesheet Raw'!$P$4:$P$8000,'Timesheet Raw'!$B$4:$B$8000,TRIM($A384),'Timesheet Raw'!$C$4:$C$8000,"*"&amp;$B384&amp;"*",'Timesheet Raw'!$L$4:$L$8000,"&gt;="&amp;E$5,'Timesheet Raw'!$L$4:$L$8000,"&lt;="&amp;E$6)))/'Profit Plan'!$B$5)</f>
        <v/>
      </c>
      <c r="F384" s="122" t="str">
        <f>IF($A384="","",(IF(ISNUMBER(SEARCH("Proposal",$A384)),SUMIFS('Timesheet Raw'!$P$4:$P$8000,'Timesheet Raw'!$A$4:$A$8000,IF(ISNUMBER(SEARCH("Chargable",$A384)),"2-Proposals Chargeable","3-Proposals Regular"),'Timesheet Raw'!$C$4:$C$8000,"*"&amp;$B384&amp;"*",'Timesheet Raw'!$L$4:$L$8000,"&gt;="&amp;MAX(F$5,DATE(2000+VALUE(RIGHT(TRIM($A384),2)),1,1)),'Timesheet Raw'!$L$4:$L$8000,"&lt;="&amp;MIN(F$6,DATE(2000+VALUE(RIGHT(TRIM($A384),2)),12,31))),SUMIFS('Timesheet Raw'!$P$4:$P$8000,'Timesheet Raw'!$B$4:$B$8000,TRIM($A384),'Timesheet Raw'!$C$4:$C$8000,"*"&amp;$B384&amp;"*",'Timesheet Raw'!$L$4:$L$8000,"&gt;="&amp;F$5,'Timesheet Raw'!$L$4:$L$8000,"&lt;="&amp;F$6)))/'Profit Plan'!$B$5)</f>
        <v/>
      </c>
      <c r="G384" s="122" t="str">
        <f>IF($A384="","",(IF(ISNUMBER(SEARCH("Proposal",$A384)),SUMIFS('Timesheet Raw'!$P$4:$P$8000,'Timesheet Raw'!$A$4:$A$8000,IF(ISNUMBER(SEARCH("Chargable",$A384)),"2-Proposals Chargeable","3-Proposals Regular"),'Timesheet Raw'!$C$4:$C$8000,"*"&amp;$B384&amp;"*",'Timesheet Raw'!$L$4:$L$8000,"&gt;="&amp;MAX(G$5,DATE(2000+VALUE(RIGHT(TRIM($A384),2)),1,1)),'Timesheet Raw'!$L$4:$L$8000,"&lt;="&amp;MIN(G$6,DATE(2000+VALUE(RIGHT(TRIM($A384),2)),12,31))),SUMIFS('Timesheet Raw'!$P$4:$P$8000,'Timesheet Raw'!$B$4:$B$8000,TRIM($A384),'Timesheet Raw'!$C$4:$C$8000,"*"&amp;$B384&amp;"*",'Timesheet Raw'!$L$4:$L$8000,"&gt;="&amp;G$5,'Timesheet Raw'!$L$4:$L$8000,"&lt;="&amp;G$6)))/'Profit Plan'!$B$5)</f>
        <v/>
      </c>
      <c r="H384" s="122" t="str">
        <f>IF($A384="","",(IF(ISNUMBER(SEARCH("Proposal",$A384)),SUMIFS('Timesheet Raw'!$P$4:$P$8000,'Timesheet Raw'!$A$4:$A$8000,IF(ISNUMBER(SEARCH("Chargable",$A384)),"2-Proposals Chargeable","3-Proposals Regular"),'Timesheet Raw'!$C$4:$C$8000,"*"&amp;$B384&amp;"*",'Timesheet Raw'!$L$4:$L$8000,"&gt;="&amp;MAX(H$5,DATE(2000+VALUE(RIGHT(TRIM($A384),2)),1,1)),'Timesheet Raw'!$L$4:$L$8000,"&lt;="&amp;MIN(H$6,DATE(2000+VALUE(RIGHT(TRIM($A384),2)),12,31))),SUMIFS('Timesheet Raw'!$P$4:$P$8000,'Timesheet Raw'!$B$4:$B$8000,TRIM($A384),'Timesheet Raw'!$C$4:$C$8000,"*"&amp;$B384&amp;"*",'Timesheet Raw'!$L$4:$L$8000,"&gt;="&amp;H$5,'Timesheet Raw'!$L$4:$L$8000,"&lt;="&amp;H$6)))/'Profit Plan'!$B$5)</f>
        <v/>
      </c>
      <c r="I384" s="122" t="str">
        <f>IF($A384="","",(IF(ISNUMBER(SEARCH("Proposal",$A384)),SUMIFS('Timesheet Raw'!$P$4:$P$8000,'Timesheet Raw'!$A$4:$A$8000,IF(ISNUMBER(SEARCH("Chargable",$A384)),"2-Proposals Chargeable","3-Proposals Regular"),'Timesheet Raw'!$C$4:$C$8000,"*"&amp;$B384&amp;"*",'Timesheet Raw'!$L$4:$L$8000,"&gt;="&amp;MAX(I$5,DATE(2000+VALUE(RIGHT(TRIM($A384),2)),1,1)),'Timesheet Raw'!$L$4:$L$8000,"&lt;="&amp;MIN(I$6,DATE(2000+VALUE(RIGHT(TRIM($A384),2)),12,31))),SUMIFS('Timesheet Raw'!$P$4:$P$8000,'Timesheet Raw'!$B$4:$B$8000,TRIM($A384),'Timesheet Raw'!$C$4:$C$8000,"*"&amp;$B384&amp;"*",'Timesheet Raw'!$L$4:$L$8000,"&gt;="&amp;I$5,'Timesheet Raw'!$L$4:$L$8000,"&lt;="&amp;I$6)))/'Profit Plan'!$B$5)</f>
        <v/>
      </c>
      <c r="J384" s="122" t="str">
        <f>IF($A384="","",(IF(ISNUMBER(SEARCH("Proposal",$A384)),SUMIFS('Timesheet Raw'!$P$4:$P$8000,'Timesheet Raw'!$A$4:$A$8000,IF(ISNUMBER(SEARCH("Chargable",$A384)),"2-Proposals Chargeable","3-Proposals Regular"),'Timesheet Raw'!$C$4:$C$8000,"*"&amp;$B384&amp;"*",'Timesheet Raw'!$L$4:$L$8000,"&gt;="&amp;MAX(J$5,DATE(2000+VALUE(RIGHT(TRIM($A384),2)),1,1)),'Timesheet Raw'!$L$4:$L$8000,"&lt;="&amp;MIN(J$6,DATE(2000+VALUE(RIGHT(TRIM($A384),2)),12,31))),SUMIFS('Timesheet Raw'!$P$4:$P$8000,'Timesheet Raw'!$B$4:$B$8000,TRIM($A384),'Timesheet Raw'!$C$4:$C$8000,"*"&amp;$B384&amp;"*",'Timesheet Raw'!$L$4:$L$8000,"&gt;="&amp;J$5,'Timesheet Raw'!$L$4:$L$8000,"&lt;="&amp;J$6)))/'Profit Plan'!$B$5)</f>
        <v/>
      </c>
      <c r="K384" s="122" t="str">
        <f>IF($A384="","",(IF(ISNUMBER(SEARCH("Proposal",$A384)),SUMIFS('Timesheet Raw'!$P$4:$P$8000,'Timesheet Raw'!$A$4:$A$8000,IF(ISNUMBER(SEARCH("Chargable",$A384)),"2-Proposals Chargeable","3-Proposals Regular"),'Timesheet Raw'!$C$4:$C$8000,"*"&amp;$B384&amp;"*",'Timesheet Raw'!$L$4:$L$8000,"&gt;="&amp;MAX(K$5,DATE(2000+VALUE(RIGHT(TRIM($A384),2)),1,1)),'Timesheet Raw'!$L$4:$L$8000,"&lt;="&amp;MIN(K$6,DATE(2000+VALUE(RIGHT(TRIM($A384),2)),12,31))),SUMIFS('Timesheet Raw'!$P$4:$P$8000,'Timesheet Raw'!$B$4:$B$8000,TRIM($A384),'Timesheet Raw'!$C$4:$C$8000,"*"&amp;$B384&amp;"*",'Timesheet Raw'!$L$4:$L$8000,"&gt;="&amp;K$5,'Timesheet Raw'!$L$4:$L$8000,"&lt;="&amp;K$6)))/'Profit Plan'!$B$5)</f>
        <v/>
      </c>
      <c r="L384" s="122" t="str">
        <f>IF($A384="","",(IF(ISNUMBER(SEARCH("Proposal",$A384)),SUMIFS('Timesheet Raw'!$P$4:$P$8000,'Timesheet Raw'!$A$4:$A$8000,IF(ISNUMBER(SEARCH("Chargable",$A384)),"2-Proposals Chargeable","3-Proposals Regular"),'Timesheet Raw'!$C$4:$C$8000,"*"&amp;$B384&amp;"*",'Timesheet Raw'!$L$4:$L$8000,"&gt;="&amp;MAX(L$5,DATE(2000+VALUE(RIGHT(TRIM($A384),2)),1,1)),'Timesheet Raw'!$L$4:$L$8000,"&lt;="&amp;MIN(L$6,DATE(2000+VALUE(RIGHT(TRIM($A384),2)),12,31))),SUMIFS('Timesheet Raw'!$P$4:$P$8000,'Timesheet Raw'!$B$4:$B$8000,TRIM($A384),'Timesheet Raw'!$C$4:$C$8000,"*"&amp;$B384&amp;"*",'Timesheet Raw'!$L$4:$L$8000,"&gt;="&amp;L$5,'Timesheet Raw'!$L$4:$L$8000,"&lt;="&amp;L$6)))/'Profit Plan'!$B$5)</f>
        <v/>
      </c>
      <c r="M384" s="122" t="str">
        <f>IF($A384="","",(IF(ISNUMBER(SEARCH("Proposal",$A384)),SUMIFS('Timesheet Raw'!$P$4:$P$8000,'Timesheet Raw'!$A$4:$A$8000,IF(ISNUMBER(SEARCH("Chargable",$A384)),"2-Proposals Chargeable","3-Proposals Regular"),'Timesheet Raw'!$C$4:$C$8000,"*"&amp;$B384&amp;"*",'Timesheet Raw'!$L$4:$L$8000,"&gt;="&amp;MAX(M$5,DATE(2000+VALUE(RIGHT(TRIM($A384),2)),1,1)),'Timesheet Raw'!$L$4:$L$8000,"&lt;="&amp;MIN(M$6,DATE(2000+VALUE(RIGHT(TRIM($A384),2)),12,31))),SUMIFS('Timesheet Raw'!$P$4:$P$8000,'Timesheet Raw'!$B$4:$B$8000,TRIM($A384),'Timesheet Raw'!$C$4:$C$8000,"*"&amp;$B384&amp;"*",'Timesheet Raw'!$L$4:$L$8000,"&gt;="&amp;M$5,'Timesheet Raw'!$L$4:$L$8000,"&lt;="&amp;M$6)))/'Profit Plan'!$B$5)</f>
        <v/>
      </c>
      <c r="N384" s="122" t="str">
        <f>IF($A384="","",(IF(ISNUMBER(SEARCH("Proposal",$A384)),SUMIFS('Timesheet Raw'!$P$4:$P$8000,'Timesheet Raw'!$A$4:$A$8000,IF(ISNUMBER(SEARCH("Chargable",$A384)),"2-Proposals Chargeable","3-Proposals Regular"),'Timesheet Raw'!$C$4:$C$8000,"*"&amp;$B384&amp;"*",'Timesheet Raw'!$L$4:$L$8000,"&gt;="&amp;MAX(N$5,DATE(2000+VALUE(RIGHT(TRIM($A384),2)),1,1)),'Timesheet Raw'!$L$4:$L$8000,"&lt;="&amp;MIN(N$6,DATE(2000+VALUE(RIGHT(TRIM($A384),2)),12,31))),SUMIFS('Timesheet Raw'!$P$4:$P$8000,'Timesheet Raw'!$B$4:$B$8000,TRIM($A384),'Timesheet Raw'!$C$4:$C$8000,"*"&amp;$B384&amp;"*",'Timesheet Raw'!$L$4:$L$8000,"&gt;="&amp;N$5,'Timesheet Raw'!$L$4:$L$8000,"&lt;="&amp;N$6)))/'Profit Plan'!$B$5)</f>
        <v/>
      </c>
      <c r="O384" s="122" t="str">
        <f>IF($A384="","",(IF(ISNUMBER(SEARCH("Proposal",$A384)),SUMIFS('Timesheet Raw'!$P$4:$P$8000,'Timesheet Raw'!$A$4:$A$8000,IF(ISNUMBER(SEARCH("Chargable",$A384)),"2-Proposals Chargeable","3-Proposals Regular"),'Timesheet Raw'!$C$4:$C$8000,"*"&amp;$B384&amp;"*",'Timesheet Raw'!$L$4:$L$8000,"&gt;="&amp;MAX(O$5,DATE(2000+VALUE(RIGHT(TRIM($A384),2)),1,1)),'Timesheet Raw'!$L$4:$L$8000,"&lt;="&amp;MIN(O$6,DATE(2000+VALUE(RIGHT(TRIM($A384),2)),12,31))),SUMIFS('Timesheet Raw'!$P$4:$P$8000,'Timesheet Raw'!$B$4:$B$8000,TRIM($A384),'Timesheet Raw'!$C$4:$C$8000,"*"&amp;$B384&amp;"*",'Timesheet Raw'!$L$4:$L$8000,"&gt;="&amp;O$5,'Timesheet Raw'!$L$4:$L$8000,"&lt;="&amp;O$6)))/'Profit Plan'!$B$5)</f>
        <v/>
      </c>
      <c r="P384" s="122" t="str">
        <f>IF($A384="","",(IF(ISNUMBER(SEARCH("Proposal",$A384)),SUMIFS('Timesheet Raw'!$P$4:$P$8000,'Timesheet Raw'!$A$4:$A$8000,IF(ISNUMBER(SEARCH("Chargable",$A384)),"2-Proposals Chargeable","3-Proposals Regular"),'Timesheet Raw'!$C$4:$C$8000,"*"&amp;$B384&amp;"*",'Timesheet Raw'!$L$4:$L$8000,"&gt;="&amp;MAX(P$5,DATE(2000+VALUE(RIGHT(TRIM($A384),2)),1,1)),'Timesheet Raw'!$L$4:$L$8000,"&lt;="&amp;MIN(P$6,DATE(2000+VALUE(RIGHT(TRIM($A384),2)),12,31))),SUMIFS('Timesheet Raw'!$P$4:$P$8000,'Timesheet Raw'!$B$4:$B$8000,TRIM($A384),'Timesheet Raw'!$C$4:$C$8000,"*"&amp;$B384&amp;"*",'Timesheet Raw'!$L$4:$L$8000,"&gt;="&amp;P$5,'Timesheet Raw'!$L$4:$L$8000,"&lt;="&amp;P$6)))/'Profit Plan'!$B$5)</f>
        <v/>
      </c>
      <c r="Q384" s="122" t="str">
        <f>IF($A384="","",(IF(ISNUMBER(SEARCH("Proposal",$A384)),SUMIFS('Timesheet Raw'!$P$4:$P$8000,'Timesheet Raw'!$A$4:$A$8000,IF(ISNUMBER(SEARCH("Chargable",$A384)),"2-Proposals Chargeable","3-Proposals Regular"),'Timesheet Raw'!$C$4:$C$8000,"*"&amp;$B384&amp;"*",'Timesheet Raw'!$L$4:$L$8000,"&gt;="&amp;MAX(Q$5,DATE(2000+VALUE(RIGHT(TRIM($A384),2)),1,1)),'Timesheet Raw'!$L$4:$L$8000,"&lt;="&amp;MIN(Q$6,DATE(2000+VALUE(RIGHT(TRIM($A384),2)),12,31))),SUMIFS('Timesheet Raw'!$P$4:$P$8000,'Timesheet Raw'!$B$4:$B$8000,TRIM($A384),'Timesheet Raw'!$C$4:$C$8000,"*"&amp;$B384&amp;"*",'Timesheet Raw'!$L$4:$L$8000,"&gt;="&amp;Q$5,'Timesheet Raw'!$L$4:$L$8000,"&lt;="&amp;Q$6)))/'Profit Plan'!$B$5)</f>
        <v/>
      </c>
      <c r="R384" s="122" t="str">
        <f>IF($A384="","",(IF(ISNUMBER(SEARCH("Proposal",$A384)),SUMIFS('Timesheet Raw'!$P$4:$P$8000,'Timesheet Raw'!$A$4:$A$8000,IF(ISNUMBER(SEARCH("Chargable",$A384)),"2-Proposals Chargeable","3-Proposals Regular"),'Timesheet Raw'!$C$4:$C$8000,"*"&amp;$B384&amp;"*",'Timesheet Raw'!$L$4:$L$8000,"&gt;="&amp;MAX(R$5,DATE(2000+VALUE(RIGHT(TRIM($A384),2)),1,1)),'Timesheet Raw'!$L$4:$L$8000,"&lt;="&amp;MIN(R$6,DATE(2000+VALUE(RIGHT(TRIM($A384),2)),12,31))),SUMIFS('Timesheet Raw'!$P$4:$P$8000,'Timesheet Raw'!$B$4:$B$8000,TRIM($A384),'Timesheet Raw'!$C$4:$C$8000,"*"&amp;$B384&amp;"*",'Timesheet Raw'!$L$4:$L$8000,"&gt;="&amp;R$5,'Timesheet Raw'!$L$4:$L$8000,"&lt;="&amp;R$6)))/'Profit Plan'!$B$5)</f>
        <v/>
      </c>
      <c r="S384" s="122" t="str">
        <f>IF($A384="","",(IF(ISNUMBER(SEARCH("Proposal",$A384)),SUMIFS('Timesheet Raw'!$P$4:$P$8000,'Timesheet Raw'!$A$4:$A$8000,IF(ISNUMBER(SEARCH("Chargable",$A384)),"2-Proposals Chargeable","3-Proposals Regular"),'Timesheet Raw'!$C$4:$C$8000,"*"&amp;$B384&amp;"*",'Timesheet Raw'!$L$4:$L$8000,"&gt;="&amp;MAX(S$5,DATE(2000+VALUE(RIGHT(TRIM($A384),2)),1,1)),'Timesheet Raw'!$L$4:$L$8000,"&lt;="&amp;MIN(S$6,DATE(2000+VALUE(RIGHT(TRIM($A384),2)),12,31))),SUMIFS('Timesheet Raw'!$P$4:$P$8000,'Timesheet Raw'!$B$4:$B$8000,TRIM($A384),'Timesheet Raw'!$C$4:$C$8000,"*"&amp;$B384&amp;"*",'Timesheet Raw'!$L$4:$L$8000,"&gt;="&amp;S$5,'Timesheet Raw'!$L$4:$L$8000,"&lt;="&amp;S$6)))/'Profit Plan'!$B$5)</f>
        <v/>
      </c>
      <c r="T384" s="122" t="str">
        <f>IF($A384="","",(IF(ISNUMBER(SEARCH("Proposal",$A384)),SUMIFS('Timesheet Raw'!$P$4:$P$8000,'Timesheet Raw'!$A$4:$A$8000,IF(ISNUMBER(SEARCH("Chargable",$A384)),"2-Proposals Chargeable","3-Proposals Regular"),'Timesheet Raw'!$C$4:$C$8000,"*"&amp;$B384&amp;"*",'Timesheet Raw'!$L$4:$L$8000,"&gt;="&amp;MAX(T$5,DATE(2000+VALUE(RIGHT(TRIM($A384),2)),1,1)),'Timesheet Raw'!$L$4:$L$8000,"&lt;="&amp;MIN(T$6,DATE(2000+VALUE(RIGHT(TRIM($A384),2)),12,31))),SUMIFS('Timesheet Raw'!$P$4:$P$8000,'Timesheet Raw'!$B$4:$B$8000,TRIM($A384),'Timesheet Raw'!$C$4:$C$8000,"*"&amp;$B384&amp;"*",'Timesheet Raw'!$L$4:$L$8000,"&gt;="&amp;T$5,'Timesheet Raw'!$L$4:$L$8000,"&lt;="&amp;T$6)))/'Profit Plan'!$B$5)</f>
        <v/>
      </c>
      <c r="U384" s="122" t="str">
        <f>IF($A384="","",(IF(ISNUMBER(SEARCH("Proposal",$A384)),SUMIFS('Timesheet Raw'!$P$4:$P$8000,'Timesheet Raw'!$A$4:$A$8000,IF(ISNUMBER(SEARCH("Chargable",$A384)),"2-Proposals Chargeable","3-Proposals Regular"),'Timesheet Raw'!$C$4:$C$8000,"*"&amp;$B384&amp;"*",'Timesheet Raw'!$L$4:$L$8000,"&gt;="&amp;MAX(U$5,DATE(2000+VALUE(RIGHT(TRIM($A384),2)),1,1)),'Timesheet Raw'!$L$4:$L$8000,"&lt;="&amp;MIN(U$6,DATE(2000+VALUE(RIGHT(TRIM($A384),2)),12,31))),SUMIFS('Timesheet Raw'!$P$4:$P$8000,'Timesheet Raw'!$B$4:$B$8000,TRIM($A384),'Timesheet Raw'!$C$4:$C$8000,"*"&amp;$B384&amp;"*",'Timesheet Raw'!$L$4:$L$8000,"&gt;="&amp;U$5,'Timesheet Raw'!$L$4:$L$8000,"&lt;="&amp;U$6)))/'Profit Plan'!$B$5)</f>
        <v/>
      </c>
      <c r="V384" s="122" t="str">
        <f>IF($A384="","",(IF(ISNUMBER(SEARCH("Proposal",$A384)),SUMIFS('Timesheet Raw'!$P$4:$P$8000,'Timesheet Raw'!$A$4:$A$8000,IF(ISNUMBER(SEARCH("Chargable",$A384)),"2-Proposals Chargeable","3-Proposals Regular"),'Timesheet Raw'!$C$4:$C$8000,"*"&amp;$B384&amp;"*",'Timesheet Raw'!$L$4:$L$8000,"&gt;="&amp;MAX(V$5,DATE(2000+VALUE(RIGHT(TRIM($A384),2)),1,1)),'Timesheet Raw'!$L$4:$L$8000,"&lt;="&amp;MIN(V$6,DATE(2000+VALUE(RIGHT(TRIM($A384),2)),12,31))),SUMIFS('Timesheet Raw'!$P$4:$P$8000,'Timesheet Raw'!$B$4:$B$8000,TRIM($A384),'Timesheet Raw'!$C$4:$C$8000,"*"&amp;$B384&amp;"*",'Timesheet Raw'!$L$4:$L$8000,"&gt;="&amp;V$5,'Timesheet Raw'!$L$4:$L$8000,"&lt;="&amp;V$6)))/'Profit Plan'!$B$5)</f>
        <v/>
      </c>
      <c r="W384" s="122" t="str">
        <f>IF($A384="","",(IF(ISNUMBER(SEARCH("Proposal",$A384)),SUMIFS('Timesheet Raw'!$P$4:$P$8000,'Timesheet Raw'!$A$4:$A$8000,IF(ISNUMBER(SEARCH("Chargable",$A384)),"2-Proposals Chargeable","3-Proposals Regular"),'Timesheet Raw'!$C$4:$C$8000,"*"&amp;$B384&amp;"*",'Timesheet Raw'!$L$4:$L$8000,"&gt;="&amp;MAX(W$5,DATE(2000+VALUE(RIGHT(TRIM($A384),2)),1,1)),'Timesheet Raw'!$L$4:$L$8000,"&lt;="&amp;MIN(W$6,DATE(2000+VALUE(RIGHT(TRIM($A384),2)),12,31))),SUMIFS('Timesheet Raw'!$P$4:$P$8000,'Timesheet Raw'!$B$4:$B$8000,TRIM($A384),'Timesheet Raw'!$C$4:$C$8000,"*"&amp;$B384&amp;"*",'Timesheet Raw'!$L$4:$L$8000,"&gt;="&amp;W$5,'Timesheet Raw'!$L$4:$L$8000,"&lt;="&amp;W$6)))/'Profit Plan'!$B$5)</f>
        <v/>
      </c>
      <c r="X384" s="122" t="str">
        <f>IF($A384="","",(IF(ISNUMBER(SEARCH("Proposal",$A384)),SUMIFS('Timesheet Raw'!$P$4:$P$8000,'Timesheet Raw'!$A$4:$A$8000,IF(ISNUMBER(SEARCH("Chargable",$A384)),"2-Proposals Chargeable","3-Proposals Regular"),'Timesheet Raw'!$C$4:$C$8000,"*"&amp;$B384&amp;"*",'Timesheet Raw'!$L$4:$L$8000,"&gt;="&amp;MAX(X$5,DATE(2000+VALUE(RIGHT(TRIM($A384),2)),1,1)),'Timesheet Raw'!$L$4:$L$8000,"&lt;="&amp;MIN(X$6,DATE(2000+VALUE(RIGHT(TRIM($A384),2)),12,31))),SUMIFS('Timesheet Raw'!$P$4:$P$8000,'Timesheet Raw'!$B$4:$B$8000,TRIM($A384),'Timesheet Raw'!$C$4:$C$8000,"*"&amp;$B384&amp;"*",'Timesheet Raw'!$L$4:$L$8000,"&gt;="&amp;X$5,'Timesheet Raw'!$L$4:$L$8000,"&lt;="&amp;X$6)))/'Profit Plan'!$B$5)</f>
        <v/>
      </c>
      <c r="Y384" s="118">
        <f t="shared" si="101"/>
        <v>0</v>
      </c>
    </row>
    <row r="385" spans="1:25" x14ac:dyDescent="0.3">
      <c r="A385" s="116" t="str">
        <f>IF(Inputs!$A46="","",Inputs!$A46)</f>
        <v>Proposals 26</v>
      </c>
      <c r="B385" s="116" t="str">
        <f>IF(Inputs!$A46="","",Inputs!$A$91)</f>
        <v>Ahmed</v>
      </c>
      <c r="C385" s="116"/>
      <c r="D385" s="122">
        <f>IF($A385="","",(IF(ISNUMBER(SEARCH("Proposal",$A385)),SUMIFS('Timesheet Raw'!$P$4:$P$8000,'Timesheet Raw'!$A$4:$A$8000,IF(ISNUMBER(SEARCH("Chargable",$A385)),"2-Proposals Chargeable","3-Proposals Regular"),'Timesheet Raw'!$C$4:$C$8000,"*"&amp;$B385&amp;"*",'Timesheet Raw'!$L$4:$L$8000,"&gt;="&amp;MAX(D$5,DATE(2000+VALUE(RIGHT(TRIM($A385),2)),1,1)),'Timesheet Raw'!$L$4:$L$8000,"&lt;="&amp;MIN(D$6,DATE(2000+VALUE(RIGHT(TRIM($A385),2)),12,31))),SUMIFS('Timesheet Raw'!$P$4:$P$8000,'Timesheet Raw'!$B$4:$B$8000,TRIM($A385),'Timesheet Raw'!$C$4:$C$8000,"*"&amp;$B385&amp;"*",'Timesheet Raw'!$L$4:$L$8000,"&gt;="&amp;D$5,'Timesheet Raw'!$L$4:$L$8000,"&lt;="&amp;D$6)))/'Profit Plan'!$B$5)</f>
        <v>0</v>
      </c>
      <c r="E385" s="122">
        <f>IF($A385="","",(IF(ISNUMBER(SEARCH("Proposal",$A385)),SUMIFS('Timesheet Raw'!$P$4:$P$8000,'Timesheet Raw'!$A$4:$A$8000,IF(ISNUMBER(SEARCH("Chargable",$A385)),"2-Proposals Chargeable","3-Proposals Regular"),'Timesheet Raw'!$C$4:$C$8000,"*"&amp;$B385&amp;"*",'Timesheet Raw'!$L$4:$L$8000,"&gt;="&amp;MAX(E$5,DATE(2000+VALUE(RIGHT(TRIM($A385),2)),1,1)),'Timesheet Raw'!$L$4:$L$8000,"&lt;="&amp;MIN(E$6,DATE(2000+VALUE(RIGHT(TRIM($A385),2)),12,31))),SUMIFS('Timesheet Raw'!$P$4:$P$8000,'Timesheet Raw'!$B$4:$B$8000,TRIM($A385),'Timesheet Raw'!$C$4:$C$8000,"*"&amp;$B385&amp;"*",'Timesheet Raw'!$L$4:$L$8000,"&gt;="&amp;E$5,'Timesheet Raw'!$L$4:$L$8000,"&lt;="&amp;E$6)))/'Profit Plan'!$B$5)</f>
        <v>0</v>
      </c>
      <c r="F385" s="122">
        <f>IF($A385="","",(IF(ISNUMBER(SEARCH("Proposal",$A385)),SUMIFS('Timesheet Raw'!$P$4:$P$8000,'Timesheet Raw'!$A$4:$A$8000,IF(ISNUMBER(SEARCH("Chargable",$A385)),"2-Proposals Chargeable","3-Proposals Regular"),'Timesheet Raw'!$C$4:$C$8000,"*"&amp;$B385&amp;"*",'Timesheet Raw'!$L$4:$L$8000,"&gt;="&amp;MAX(F$5,DATE(2000+VALUE(RIGHT(TRIM($A385),2)),1,1)),'Timesheet Raw'!$L$4:$L$8000,"&lt;="&amp;MIN(F$6,DATE(2000+VALUE(RIGHT(TRIM($A385),2)),12,31))),SUMIFS('Timesheet Raw'!$P$4:$P$8000,'Timesheet Raw'!$B$4:$B$8000,TRIM($A385),'Timesheet Raw'!$C$4:$C$8000,"*"&amp;$B385&amp;"*",'Timesheet Raw'!$L$4:$L$8000,"&gt;="&amp;F$5,'Timesheet Raw'!$L$4:$L$8000,"&lt;="&amp;F$6)))/'Profit Plan'!$B$5)</f>
        <v>0</v>
      </c>
      <c r="G385" s="122">
        <f>IF($A385="","",(IF(ISNUMBER(SEARCH("Proposal",$A385)),SUMIFS('Timesheet Raw'!$P$4:$P$8000,'Timesheet Raw'!$A$4:$A$8000,IF(ISNUMBER(SEARCH("Chargable",$A385)),"2-Proposals Chargeable","3-Proposals Regular"),'Timesheet Raw'!$C$4:$C$8000,"*"&amp;$B385&amp;"*",'Timesheet Raw'!$L$4:$L$8000,"&gt;="&amp;MAX(G$5,DATE(2000+VALUE(RIGHT(TRIM($A385),2)),1,1)),'Timesheet Raw'!$L$4:$L$8000,"&lt;="&amp;MIN(G$6,DATE(2000+VALUE(RIGHT(TRIM($A385),2)),12,31))),SUMIFS('Timesheet Raw'!$P$4:$P$8000,'Timesheet Raw'!$B$4:$B$8000,TRIM($A385),'Timesheet Raw'!$C$4:$C$8000,"*"&amp;$B385&amp;"*",'Timesheet Raw'!$L$4:$L$8000,"&gt;="&amp;G$5,'Timesheet Raw'!$L$4:$L$8000,"&lt;="&amp;G$6)))/'Profit Plan'!$B$5)</f>
        <v>0</v>
      </c>
      <c r="H385" s="122">
        <f>IF($A385="","",(IF(ISNUMBER(SEARCH("Proposal",$A385)),SUMIFS('Timesheet Raw'!$P$4:$P$8000,'Timesheet Raw'!$A$4:$A$8000,IF(ISNUMBER(SEARCH("Chargable",$A385)),"2-Proposals Chargeable","3-Proposals Regular"),'Timesheet Raw'!$C$4:$C$8000,"*"&amp;$B385&amp;"*",'Timesheet Raw'!$L$4:$L$8000,"&gt;="&amp;MAX(H$5,DATE(2000+VALUE(RIGHT(TRIM($A385),2)),1,1)),'Timesheet Raw'!$L$4:$L$8000,"&lt;="&amp;MIN(H$6,DATE(2000+VALUE(RIGHT(TRIM($A385),2)),12,31))),SUMIFS('Timesheet Raw'!$P$4:$P$8000,'Timesheet Raw'!$B$4:$B$8000,TRIM($A385),'Timesheet Raw'!$C$4:$C$8000,"*"&amp;$B385&amp;"*",'Timesheet Raw'!$L$4:$L$8000,"&gt;="&amp;H$5,'Timesheet Raw'!$L$4:$L$8000,"&lt;="&amp;H$6)))/'Profit Plan'!$B$5)</f>
        <v>0</v>
      </c>
      <c r="I385" s="122">
        <f>IF($A385="","",(IF(ISNUMBER(SEARCH("Proposal",$A385)),SUMIFS('Timesheet Raw'!$P$4:$P$8000,'Timesheet Raw'!$A$4:$A$8000,IF(ISNUMBER(SEARCH("Chargable",$A385)),"2-Proposals Chargeable","3-Proposals Regular"),'Timesheet Raw'!$C$4:$C$8000,"*"&amp;$B385&amp;"*",'Timesheet Raw'!$L$4:$L$8000,"&gt;="&amp;MAX(I$5,DATE(2000+VALUE(RIGHT(TRIM($A385),2)),1,1)),'Timesheet Raw'!$L$4:$L$8000,"&lt;="&amp;MIN(I$6,DATE(2000+VALUE(RIGHT(TRIM($A385),2)),12,31))),SUMIFS('Timesheet Raw'!$P$4:$P$8000,'Timesheet Raw'!$B$4:$B$8000,TRIM($A385),'Timesheet Raw'!$C$4:$C$8000,"*"&amp;$B385&amp;"*",'Timesheet Raw'!$L$4:$L$8000,"&gt;="&amp;I$5,'Timesheet Raw'!$L$4:$L$8000,"&lt;="&amp;I$6)))/'Profit Plan'!$B$5)</f>
        <v>0</v>
      </c>
      <c r="J385" s="122">
        <f>IF($A385="","",(IF(ISNUMBER(SEARCH("Proposal",$A385)),SUMIFS('Timesheet Raw'!$P$4:$P$8000,'Timesheet Raw'!$A$4:$A$8000,IF(ISNUMBER(SEARCH("Chargable",$A385)),"2-Proposals Chargeable","3-Proposals Regular"),'Timesheet Raw'!$C$4:$C$8000,"*"&amp;$B385&amp;"*",'Timesheet Raw'!$L$4:$L$8000,"&gt;="&amp;MAX(J$5,DATE(2000+VALUE(RIGHT(TRIM($A385),2)),1,1)),'Timesheet Raw'!$L$4:$L$8000,"&lt;="&amp;MIN(J$6,DATE(2000+VALUE(RIGHT(TRIM($A385),2)),12,31))),SUMIFS('Timesheet Raw'!$P$4:$P$8000,'Timesheet Raw'!$B$4:$B$8000,TRIM($A385),'Timesheet Raw'!$C$4:$C$8000,"*"&amp;$B385&amp;"*",'Timesheet Raw'!$L$4:$L$8000,"&gt;="&amp;J$5,'Timesheet Raw'!$L$4:$L$8000,"&lt;="&amp;J$6)))/'Profit Plan'!$B$5)</f>
        <v>0</v>
      </c>
      <c r="K385" s="122">
        <f>IF($A385="","",(IF(ISNUMBER(SEARCH("Proposal",$A385)),SUMIFS('Timesheet Raw'!$P$4:$P$8000,'Timesheet Raw'!$A$4:$A$8000,IF(ISNUMBER(SEARCH("Chargable",$A385)),"2-Proposals Chargeable","3-Proposals Regular"),'Timesheet Raw'!$C$4:$C$8000,"*"&amp;$B385&amp;"*",'Timesheet Raw'!$L$4:$L$8000,"&gt;="&amp;MAX(K$5,DATE(2000+VALUE(RIGHT(TRIM($A385),2)),1,1)),'Timesheet Raw'!$L$4:$L$8000,"&lt;="&amp;MIN(K$6,DATE(2000+VALUE(RIGHT(TRIM($A385),2)),12,31))),SUMIFS('Timesheet Raw'!$P$4:$P$8000,'Timesheet Raw'!$B$4:$B$8000,TRIM($A385),'Timesheet Raw'!$C$4:$C$8000,"*"&amp;$B385&amp;"*",'Timesheet Raw'!$L$4:$L$8000,"&gt;="&amp;K$5,'Timesheet Raw'!$L$4:$L$8000,"&lt;="&amp;K$6)))/'Profit Plan'!$B$5)</f>
        <v>0</v>
      </c>
      <c r="L385" s="122">
        <f>IF($A385="","",(IF(ISNUMBER(SEARCH("Proposal",$A385)),SUMIFS('Timesheet Raw'!$P$4:$P$8000,'Timesheet Raw'!$A$4:$A$8000,IF(ISNUMBER(SEARCH("Chargable",$A385)),"2-Proposals Chargeable","3-Proposals Regular"),'Timesheet Raw'!$C$4:$C$8000,"*"&amp;$B385&amp;"*",'Timesheet Raw'!$L$4:$L$8000,"&gt;="&amp;MAX(L$5,DATE(2000+VALUE(RIGHT(TRIM($A385),2)),1,1)),'Timesheet Raw'!$L$4:$L$8000,"&lt;="&amp;MIN(L$6,DATE(2000+VALUE(RIGHT(TRIM($A385),2)),12,31))),SUMIFS('Timesheet Raw'!$P$4:$P$8000,'Timesheet Raw'!$B$4:$B$8000,TRIM($A385),'Timesheet Raw'!$C$4:$C$8000,"*"&amp;$B385&amp;"*",'Timesheet Raw'!$L$4:$L$8000,"&gt;="&amp;L$5,'Timesheet Raw'!$L$4:$L$8000,"&lt;="&amp;L$6)))/'Profit Plan'!$B$5)</f>
        <v>0</v>
      </c>
      <c r="M385" s="122">
        <f>IF($A385="","",(IF(ISNUMBER(SEARCH("Proposal",$A385)),SUMIFS('Timesheet Raw'!$P$4:$P$8000,'Timesheet Raw'!$A$4:$A$8000,IF(ISNUMBER(SEARCH("Chargable",$A385)),"2-Proposals Chargeable","3-Proposals Regular"),'Timesheet Raw'!$C$4:$C$8000,"*"&amp;$B385&amp;"*",'Timesheet Raw'!$L$4:$L$8000,"&gt;="&amp;MAX(M$5,DATE(2000+VALUE(RIGHT(TRIM($A385),2)),1,1)),'Timesheet Raw'!$L$4:$L$8000,"&lt;="&amp;MIN(M$6,DATE(2000+VALUE(RIGHT(TRIM($A385),2)),12,31))),SUMIFS('Timesheet Raw'!$P$4:$P$8000,'Timesheet Raw'!$B$4:$B$8000,TRIM($A385),'Timesheet Raw'!$C$4:$C$8000,"*"&amp;$B385&amp;"*",'Timesheet Raw'!$L$4:$L$8000,"&gt;="&amp;M$5,'Timesheet Raw'!$L$4:$L$8000,"&lt;="&amp;M$6)))/'Profit Plan'!$B$5)</f>
        <v>7.0270270270270274E-2</v>
      </c>
      <c r="N385" s="122">
        <f>IF($A385="","",(IF(ISNUMBER(SEARCH("Proposal",$A385)),SUMIFS('Timesheet Raw'!$P$4:$P$8000,'Timesheet Raw'!$A$4:$A$8000,IF(ISNUMBER(SEARCH("Chargable",$A385)),"2-Proposals Chargeable","3-Proposals Regular"),'Timesheet Raw'!$C$4:$C$8000,"*"&amp;$B385&amp;"*",'Timesheet Raw'!$L$4:$L$8000,"&gt;="&amp;MAX(N$5,DATE(2000+VALUE(RIGHT(TRIM($A385),2)),1,1)),'Timesheet Raw'!$L$4:$L$8000,"&lt;="&amp;MIN(N$6,DATE(2000+VALUE(RIGHT(TRIM($A385),2)),12,31))),SUMIFS('Timesheet Raw'!$P$4:$P$8000,'Timesheet Raw'!$B$4:$B$8000,TRIM($A385),'Timesheet Raw'!$C$4:$C$8000,"*"&amp;$B385&amp;"*",'Timesheet Raw'!$L$4:$L$8000,"&gt;="&amp;N$5,'Timesheet Raw'!$L$4:$L$8000,"&lt;="&amp;N$6)))/'Profit Plan'!$B$5)</f>
        <v>0</v>
      </c>
      <c r="O385" s="122">
        <f>IF($A385="","",(IF(ISNUMBER(SEARCH("Proposal",$A385)),SUMIFS('Timesheet Raw'!$P$4:$P$8000,'Timesheet Raw'!$A$4:$A$8000,IF(ISNUMBER(SEARCH("Chargable",$A385)),"2-Proposals Chargeable","3-Proposals Regular"),'Timesheet Raw'!$C$4:$C$8000,"*"&amp;$B385&amp;"*",'Timesheet Raw'!$L$4:$L$8000,"&gt;="&amp;MAX(O$5,DATE(2000+VALUE(RIGHT(TRIM($A385),2)),1,1)),'Timesheet Raw'!$L$4:$L$8000,"&lt;="&amp;MIN(O$6,DATE(2000+VALUE(RIGHT(TRIM($A385),2)),12,31))),SUMIFS('Timesheet Raw'!$P$4:$P$8000,'Timesheet Raw'!$B$4:$B$8000,TRIM($A385),'Timesheet Raw'!$C$4:$C$8000,"*"&amp;$B385&amp;"*",'Timesheet Raw'!$L$4:$L$8000,"&gt;="&amp;O$5,'Timesheet Raw'!$L$4:$L$8000,"&lt;="&amp;O$6)))/'Profit Plan'!$B$5)</f>
        <v>0</v>
      </c>
      <c r="P385" s="122">
        <f>IF($A385="","",(IF(ISNUMBER(SEARCH("Proposal",$A385)),SUMIFS('Timesheet Raw'!$P$4:$P$8000,'Timesheet Raw'!$A$4:$A$8000,IF(ISNUMBER(SEARCH("Chargable",$A385)),"2-Proposals Chargeable","3-Proposals Regular"),'Timesheet Raw'!$C$4:$C$8000,"*"&amp;$B385&amp;"*",'Timesheet Raw'!$L$4:$L$8000,"&gt;="&amp;MAX(P$5,DATE(2000+VALUE(RIGHT(TRIM($A385),2)),1,1)),'Timesheet Raw'!$L$4:$L$8000,"&lt;="&amp;MIN(P$6,DATE(2000+VALUE(RIGHT(TRIM($A385),2)),12,31))),SUMIFS('Timesheet Raw'!$P$4:$P$8000,'Timesheet Raw'!$B$4:$B$8000,TRIM($A385),'Timesheet Raw'!$C$4:$C$8000,"*"&amp;$B385&amp;"*",'Timesheet Raw'!$L$4:$L$8000,"&gt;="&amp;P$5,'Timesheet Raw'!$L$4:$L$8000,"&lt;="&amp;P$6)))/'Profit Plan'!$B$5)</f>
        <v>0</v>
      </c>
      <c r="Q385" s="122">
        <f>IF($A385="","",(IF(ISNUMBER(SEARCH("Proposal",$A385)),SUMIFS('Timesheet Raw'!$P$4:$P$8000,'Timesheet Raw'!$A$4:$A$8000,IF(ISNUMBER(SEARCH("Chargable",$A385)),"2-Proposals Chargeable","3-Proposals Regular"),'Timesheet Raw'!$C$4:$C$8000,"*"&amp;$B385&amp;"*",'Timesheet Raw'!$L$4:$L$8000,"&gt;="&amp;MAX(Q$5,DATE(2000+VALUE(RIGHT(TRIM($A385),2)),1,1)),'Timesheet Raw'!$L$4:$L$8000,"&lt;="&amp;MIN(Q$6,DATE(2000+VALUE(RIGHT(TRIM($A385),2)),12,31))),SUMIFS('Timesheet Raw'!$P$4:$P$8000,'Timesheet Raw'!$B$4:$B$8000,TRIM($A385),'Timesheet Raw'!$C$4:$C$8000,"*"&amp;$B385&amp;"*",'Timesheet Raw'!$L$4:$L$8000,"&gt;="&amp;Q$5,'Timesheet Raw'!$L$4:$L$8000,"&lt;="&amp;Q$6)))/'Profit Plan'!$B$5)</f>
        <v>0</v>
      </c>
      <c r="R385" s="122">
        <f>IF($A385="","",(IF(ISNUMBER(SEARCH("Proposal",$A385)),SUMIFS('Timesheet Raw'!$P$4:$P$8000,'Timesheet Raw'!$A$4:$A$8000,IF(ISNUMBER(SEARCH("Chargable",$A385)),"2-Proposals Chargeable","3-Proposals Regular"),'Timesheet Raw'!$C$4:$C$8000,"*"&amp;$B385&amp;"*",'Timesheet Raw'!$L$4:$L$8000,"&gt;="&amp;MAX(R$5,DATE(2000+VALUE(RIGHT(TRIM($A385),2)),1,1)),'Timesheet Raw'!$L$4:$L$8000,"&lt;="&amp;MIN(R$6,DATE(2000+VALUE(RIGHT(TRIM($A385),2)),12,31))),SUMIFS('Timesheet Raw'!$P$4:$P$8000,'Timesheet Raw'!$B$4:$B$8000,TRIM($A385),'Timesheet Raw'!$C$4:$C$8000,"*"&amp;$B385&amp;"*",'Timesheet Raw'!$L$4:$L$8000,"&gt;="&amp;R$5,'Timesheet Raw'!$L$4:$L$8000,"&lt;="&amp;R$6)))/'Profit Plan'!$B$5)</f>
        <v>0</v>
      </c>
      <c r="S385" s="122">
        <f>IF($A385="","",(IF(ISNUMBER(SEARCH("Proposal",$A385)),SUMIFS('Timesheet Raw'!$P$4:$P$8000,'Timesheet Raw'!$A$4:$A$8000,IF(ISNUMBER(SEARCH("Chargable",$A385)),"2-Proposals Chargeable","3-Proposals Regular"),'Timesheet Raw'!$C$4:$C$8000,"*"&amp;$B385&amp;"*",'Timesheet Raw'!$L$4:$L$8000,"&gt;="&amp;MAX(S$5,DATE(2000+VALUE(RIGHT(TRIM($A385),2)),1,1)),'Timesheet Raw'!$L$4:$L$8000,"&lt;="&amp;MIN(S$6,DATE(2000+VALUE(RIGHT(TRIM($A385),2)),12,31))),SUMIFS('Timesheet Raw'!$P$4:$P$8000,'Timesheet Raw'!$B$4:$B$8000,TRIM($A385),'Timesheet Raw'!$C$4:$C$8000,"*"&amp;$B385&amp;"*",'Timesheet Raw'!$L$4:$L$8000,"&gt;="&amp;S$5,'Timesheet Raw'!$L$4:$L$8000,"&lt;="&amp;S$6)))/'Profit Plan'!$B$5)</f>
        <v>0</v>
      </c>
      <c r="T385" s="122">
        <f>IF($A385="","",(IF(ISNUMBER(SEARCH("Proposal",$A385)),SUMIFS('Timesheet Raw'!$P$4:$P$8000,'Timesheet Raw'!$A$4:$A$8000,IF(ISNUMBER(SEARCH("Chargable",$A385)),"2-Proposals Chargeable","3-Proposals Regular"),'Timesheet Raw'!$C$4:$C$8000,"*"&amp;$B385&amp;"*",'Timesheet Raw'!$L$4:$L$8000,"&gt;="&amp;MAX(T$5,DATE(2000+VALUE(RIGHT(TRIM($A385),2)),1,1)),'Timesheet Raw'!$L$4:$L$8000,"&lt;="&amp;MIN(T$6,DATE(2000+VALUE(RIGHT(TRIM($A385),2)),12,31))),SUMIFS('Timesheet Raw'!$P$4:$P$8000,'Timesheet Raw'!$B$4:$B$8000,TRIM($A385),'Timesheet Raw'!$C$4:$C$8000,"*"&amp;$B385&amp;"*",'Timesheet Raw'!$L$4:$L$8000,"&gt;="&amp;T$5,'Timesheet Raw'!$L$4:$L$8000,"&lt;="&amp;T$6)))/'Profit Plan'!$B$5)</f>
        <v>0</v>
      </c>
      <c r="U385" s="122">
        <f>IF($A385="","",(IF(ISNUMBER(SEARCH("Proposal",$A385)),SUMIFS('Timesheet Raw'!$P$4:$P$8000,'Timesheet Raw'!$A$4:$A$8000,IF(ISNUMBER(SEARCH("Chargable",$A385)),"2-Proposals Chargeable","3-Proposals Regular"),'Timesheet Raw'!$C$4:$C$8000,"*"&amp;$B385&amp;"*",'Timesheet Raw'!$L$4:$L$8000,"&gt;="&amp;MAX(U$5,DATE(2000+VALUE(RIGHT(TRIM($A385),2)),1,1)),'Timesheet Raw'!$L$4:$L$8000,"&lt;="&amp;MIN(U$6,DATE(2000+VALUE(RIGHT(TRIM($A385),2)),12,31))),SUMIFS('Timesheet Raw'!$P$4:$P$8000,'Timesheet Raw'!$B$4:$B$8000,TRIM($A385),'Timesheet Raw'!$C$4:$C$8000,"*"&amp;$B385&amp;"*",'Timesheet Raw'!$L$4:$L$8000,"&gt;="&amp;U$5,'Timesheet Raw'!$L$4:$L$8000,"&lt;="&amp;U$6)))/'Profit Plan'!$B$5)</f>
        <v>0</v>
      </c>
      <c r="V385" s="122">
        <f>IF($A385="","",(IF(ISNUMBER(SEARCH("Proposal",$A385)),SUMIFS('Timesheet Raw'!$P$4:$P$8000,'Timesheet Raw'!$A$4:$A$8000,IF(ISNUMBER(SEARCH("Chargable",$A385)),"2-Proposals Chargeable","3-Proposals Regular"),'Timesheet Raw'!$C$4:$C$8000,"*"&amp;$B385&amp;"*",'Timesheet Raw'!$L$4:$L$8000,"&gt;="&amp;MAX(V$5,DATE(2000+VALUE(RIGHT(TRIM($A385),2)),1,1)),'Timesheet Raw'!$L$4:$L$8000,"&lt;="&amp;MIN(V$6,DATE(2000+VALUE(RIGHT(TRIM($A385),2)),12,31))),SUMIFS('Timesheet Raw'!$P$4:$P$8000,'Timesheet Raw'!$B$4:$B$8000,TRIM($A385),'Timesheet Raw'!$C$4:$C$8000,"*"&amp;$B385&amp;"*",'Timesheet Raw'!$L$4:$L$8000,"&gt;="&amp;V$5,'Timesheet Raw'!$L$4:$L$8000,"&lt;="&amp;V$6)))/'Profit Plan'!$B$5)</f>
        <v>0</v>
      </c>
      <c r="W385" s="122">
        <f>IF($A385="","",(IF(ISNUMBER(SEARCH("Proposal",$A385)),SUMIFS('Timesheet Raw'!$P$4:$P$8000,'Timesheet Raw'!$A$4:$A$8000,IF(ISNUMBER(SEARCH("Chargable",$A385)),"2-Proposals Chargeable","3-Proposals Regular"),'Timesheet Raw'!$C$4:$C$8000,"*"&amp;$B385&amp;"*",'Timesheet Raw'!$L$4:$L$8000,"&gt;="&amp;MAX(W$5,DATE(2000+VALUE(RIGHT(TRIM($A385),2)),1,1)),'Timesheet Raw'!$L$4:$L$8000,"&lt;="&amp;MIN(W$6,DATE(2000+VALUE(RIGHT(TRIM($A385),2)),12,31))),SUMIFS('Timesheet Raw'!$P$4:$P$8000,'Timesheet Raw'!$B$4:$B$8000,TRIM($A385),'Timesheet Raw'!$C$4:$C$8000,"*"&amp;$B385&amp;"*",'Timesheet Raw'!$L$4:$L$8000,"&gt;="&amp;W$5,'Timesheet Raw'!$L$4:$L$8000,"&lt;="&amp;W$6)))/'Profit Plan'!$B$5)</f>
        <v>0</v>
      </c>
      <c r="X385" s="122">
        <f>IF($A385="","",(IF(ISNUMBER(SEARCH("Proposal",$A385)),SUMIFS('Timesheet Raw'!$P$4:$P$8000,'Timesheet Raw'!$A$4:$A$8000,IF(ISNUMBER(SEARCH("Chargable",$A385)),"2-Proposals Chargeable","3-Proposals Regular"),'Timesheet Raw'!$C$4:$C$8000,"*"&amp;$B385&amp;"*",'Timesheet Raw'!$L$4:$L$8000,"&gt;="&amp;MAX(X$5,DATE(2000+VALUE(RIGHT(TRIM($A385),2)),1,1)),'Timesheet Raw'!$L$4:$L$8000,"&lt;="&amp;MIN(X$6,DATE(2000+VALUE(RIGHT(TRIM($A385),2)),12,31))),SUMIFS('Timesheet Raw'!$P$4:$P$8000,'Timesheet Raw'!$B$4:$B$8000,TRIM($A385),'Timesheet Raw'!$C$4:$C$8000,"*"&amp;$B385&amp;"*",'Timesheet Raw'!$L$4:$L$8000,"&gt;="&amp;X$5,'Timesheet Raw'!$L$4:$L$8000,"&lt;="&amp;X$6)))/'Profit Plan'!$B$5)</f>
        <v>0</v>
      </c>
      <c r="Y385" s="118">
        <f t="shared" si="101"/>
        <v>7.0270270270270274E-2</v>
      </c>
    </row>
    <row r="386" spans="1:25" x14ac:dyDescent="0.3">
      <c r="A386" s="116" t="str">
        <f>IF(Inputs!$A46="","",Inputs!$A46)</f>
        <v>Proposals 26</v>
      </c>
      <c r="B386" s="116" t="str">
        <f>IF(Inputs!$A46="","",Inputs!$A$92)</f>
        <v>Osama</v>
      </c>
      <c r="C386" s="116"/>
      <c r="D386" s="122">
        <f>IF($A386="","",(IF(ISNUMBER(SEARCH("Proposal",$A386)),SUMIFS('Timesheet Raw'!$P$4:$P$8000,'Timesheet Raw'!$A$4:$A$8000,IF(ISNUMBER(SEARCH("Chargable",$A386)),"2-Proposals Chargeable","3-Proposals Regular"),'Timesheet Raw'!$C$4:$C$8000,"*"&amp;$B386&amp;"*",'Timesheet Raw'!$L$4:$L$8000,"&gt;="&amp;MAX(D$5,DATE(2000+VALUE(RIGHT(TRIM($A386),2)),1,1)),'Timesheet Raw'!$L$4:$L$8000,"&lt;="&amp;MIN(D$6,DATE(2000+VALUE(RIGHT(TRIM($A386),2)),12,31))),SUMIFS('Timesheet Raw'!$P$4:$P$8000,'Timesheet Raw'!$B$4:$B$8000,TRIM($A386),'Timesheet Raw'!$C$4:$C$8000,"*"&amp;$B386&amp;"*",'Timesheet Raw'!$L$4:$L$8000,"&gt;="&amp;D$5,'Timesheet Raw'!$L$4:$L$8000,"&lt;="&amp;D$6)))/'Profit Plan'!$B$5)</f>
        <v>0</v>
      </c>
      <c r="E386" s="122">
        <f>IF($A386="","",(IF(ISNUMBER(SEARCH("Proposal",$A386)),SUMIFS('Timesheet Raw'!$P$4:$P$8000,'Timesheet Raw'!$A$4:$A$8000,IF(ISNUMBER(SEARCH("Chargable",$A386)),"2-Proposals Chargeable","3-Proposals Regular"),'Timesheet Raw'!$C$4:$C$8000,"*"&amp;$B386&amp;"*",'Timesheet Raw'!$L$4:$L$8000,"&gt;="&amp;MAX(E$5,DATE(2000+VALUE(RIGHT(TRIM($A386),2)),1,1)),'Timesheet Raw'!$L$4:$L$8000,"&lt;="&amp;MIN(E$6,DATE(2000+VALUE(RIGHT(TRIM($A386),2)),12,31))),SUMIFS('Timesheet Raw'!$P$4:$P$8000,'Timesheet Raw'!$B$4:$B$8000,TRIM($A386),'Timesheet Raw'!$C$4:$C$8000,"*"&amp;$B386&amp;"*",'Timesheet Raw'!$L$4:$L$8000,"&gt;="&amp;E$5,'Timesheet Raw'!$L$4:$L$8000,"&lt;="&amp;E$6)))/'Profit Plan'!$B$5)</f>
        <v>0</v>
      </c>
      <c r="F386" s="122">
        <f>IF($A386="","",(IF(ISNUMBER(SEARCH("Proposal",$A386)),SUMIFS('Timesheet Raw'!$P$4:$P$8000,'Timesheet Raw'!$A$4:$A$8000,IF(ISNUMBER(SEARCH("Chargable",$A386)),"2-Proposals Chargeable","3-Proposals Regular"),'Timesheet Raw'!$C$4:$C$8000,"*"&amp;$B386&amp;"*",'Timesheet Raw'!$L$4:$L$8000,"&gt;="&amp;MAX(F$5,DATE(2000+VALUE(RIGHT(TRIM($A386),2)),1,1)),'Timesheet Raw'!$L$4:$L$8000,"&lt;="&amp;MIN(F$6,DATE(2000+VALUE(RIGHT(TRIM($A386),2)),12,31))),SUMIFS('Timesheet Raw'!$P$4:$P$8000,'Timesheet Raw'!$B$4:$B$8000,TRIM($A386),'Timesheet Raw'!$C$4:$C$8000,"*"&amp;$B386&amp;"*",'Timesheet Raw'!$L$4:$L$8000,"&gt;="&amp;F$5,'Timesheet Raw'!$L$4:$L$8000,"&lt;="&amp;F$6)))/'Profit Plan'!$B$5)</f>
        <v>0</v>
      </c>
      <c r="G386" s="122">
        <f>IF($A386="","",(IF(ISNUMBER(SEARCH("Proposal",$A386)),SUMIFS('Timesheet Raw'!$P$4:$P$8000,'Timesheet Raw'!$A$4:$A$8000,IF(ISNUMBER(SEARCH("Chargable",$A386)),"2-Proposals Chargeable","3-Proposals Regular"),'Timesheet Raw'!$C$4:$C$8000,"*"&amp;$B386&amp;"*",'Timesheet Raw'!$L$4:$L$8000,"&gt;="&amp;MAX(G$5,DATE(2000+VALUE(RIGHT(TRIM($A386),2)),1,1)),'Timesheet Raw'!$L$4:$L$8000,"&lt;="&amp;MIN(G$6,DATE(2000+VALUE(RIGHT(TRIM($A386),2)),12,31))),SUMIFS('Timesheet Raw'!$P$4:$P$8000,'Timesheet Raw'!$B$4:$B$8000,TRIM($A386),'Timesheet Raw'!$C$4:$C$8000,"*"&amp;$B386&amp;"*",'Timesheet Raw'!$L$4:$L$8000,"&gt;="&amp;G$5,'Timesheet Raw'!$L$4:$L$8000,"&lt;="&amp;G$6)))/'Profit Plan'!$B$5)</f>
        <v>0</v>
      </c>
      <c r="H386" s="122">
        <f>IF($A386="","",(IF(ISNUMBER(SEARCH("Proposal",$A386)),SUMIFS('Timesheet Raw'!$P$4:$P$8000,'Timesheet Raw'!$A$4:$A$8000,IF(ISNUMBER(SEARCH("Chargable",$A386)),"2-Proposals Chargeable","3-Proposals Regular"),'Timesheet Raw'!$C$4:$C$8000,"*"&amp;$B386&amp;"*",'Timesheet Raw'!$L$4:$L$8000,"&gt;="&amp;MAX(H$5,DATE(2000+VALUE(RIGHT(TRIM($A386),2)),1,1)),'Timesheet Raw'!$L$4:$L$8000,"&lt;="&amp;MIN(H$6,DATE(2000+VALUE(RIGHT(TRIM($A386),2)),12,31))),SUMIFS('Timesheet Raw'!$P$4:$P$8000,'Timesheet Raw'!$B$4:$B$8000,TRIM($A386),'Timesheet Raw'!$C$4:$C$8000,"*"&amp;$B386&amp;"*",'Timesheet Raw'!$L$4:$L$8000,"&gt;="&amp;H$5,'Timesheet Raw'!$L$4:$L$8000,"&lt;="&amp;H$6)))/'Profit Plan'!$B$5)</f>
        <v>0</v>
      </c>
      <c r="I386" s="122">
        <f>IF($A386="","",(IF(ISNUMBER(SEARCH("Proposal",$A386)),SUMIFS('Timesheet Raw'!$P$4:$P$8000,'Timesheet Raw'!$A$4:$A$8000,IF(ISNUMBER(SEARCH("Chargable",$A386)),"2-Proposals Chargeable","3-Proposals Regular"),'Timesheet Raw'!$C$4:$C$8000,"*"&amp;$B386&amp;"*",'Timesheet Raw'!$L$4:$L$8000,"&gt;="&amp;MAX(I$5,DATE(2000+VALUE(RIGHT(TRIM($A386),2)),1,1)),'Timesheet Raw'!$L$4:$L$8000,"&lt;="&amp;MIN(I$6,DATE(2000+VALUE(RIGHT(TRIM($A386),2)),12,31))),SUMIFS('Timesheet Raw'!$P$4:$P$8000,'Timesheet Raw'!$B$4:$B$8000,TRIM($A386),'Timesheet Raw'!$C$4:$C$8000,"*"&amp;$B386&amp;"*",'Timesheet Raw'!$L$4:$L$8000,"&gt;="&amp;I$5,'Timesheet Raw'!$L$4:$L$8000,"&lt;="&amp;I$6)))/'Profit Plan'!$B$5)</f>
        <v>0</v>
      </c>
      <c r="J386" s="122">
        <f>IF($A386="","",(IF(ISNUMBER(SEARCH("Proposal",$A386)),SUMIFS('Timesheet Raw'!$P$4:$P$8000,'Timesheet Raw'!$A$4:$A$8000,IF(ISNUMBER(SEARCH("Chargable",$A386)),"2-Proposals Chargeable","3-Proposals Regular"),'Timesheet Raw'!$C$4:$C$8000,"*"&amp;$B386&amp;"*",'Timesheet Raw'!$L$4:$L$8000,"&gt;="&amp;MAX(J$5,DATE(2000+VALUE(RIGHT(TRIM($A386),2)),1,1)),'Timesheet Raw'!$L$4:$L$8000,"&lt;="&amp;MIN(J$6,DATE(2000+VALUE(RIGHT(TRIM($A386),2)),12,31))),SUMIFS('Timesheet Raw'!$P$4:$P$8000,'Timesheet Raw'!$B$4:$B$8000,TRIM($A386),'Timesheet Raw'!$C$4:$C$8000,"*"&amp;$B386&amp;"*",'Timesheet Raw'!$L$4:$L$8000,"&gt;="&amp;J$5,'Timesheet Raw'!$L$4:$L$8000,"&lt;="&amp;J$6)))/'Profit Plan'!$B$5)</f>
        <v>0</v>
      </c>
      <c r="K386" s="122">
        <f>IF($A386="","",(IF(ISNUMBER(SEARCH("Proposal",$A386)),SUMIFS('Timesheet Raw'!$P$4:$P$8000,'Timesheet Raw'!$A$4:$A$8000,IF(ISNUMBER(SEARCH("Chargable",$A386)),"2-Proposals Chargeable","3-Proposals Regular"),'Timesheet Raw'!$C$4:$C$8000,"*"&amp;$B386&amp;"*",'Timesheet Raw'!$L$4:$L$8000,"&gt;="&amp;MAX(K$5,DATE(2000+VALUE(RIGHT(TRIM($A386),2)),1,1)),'Timesheet Raw'!$L$4:$L$8000,"&lt;="&amp;MIN(K$6,DATE(2000+VALUE(RIGHT(TRIM($A386),2)),12,31))),SUMIFS('Timesheet Raw'!$P$4:$P$8000,'Timesheet Raw'!$B$4:$B$8000,TRIM($A386),'Timesheet Raw'!$C$4:$C$8000,"*"&amp;$B386&amp;"*",'Timesheet Raw'!$L$4:$L$8000,"&gt;="&amp;K$5,'Timesheet Raw'!$L$4:$L$8000,"&lt;="&amp;K$6)))/'Profit Plan'!$B$5)</f>
        <v>0</v>
      </c>
      <c r="L386" s="122">
        <f>IF($A386="","",(IF(ISNUMBER(SEARCH("Proposal",$A386)),SUMIFS('Timesheet Raw'!$P$4:$P$8000,'Timesheet Raw'!$A$4:$A$8000,IF(ISNUMBER(SEARCH("Chargable",$A386)),"2-Proposals Chargeable","3-Proposals Regular"),'Timesheet Raw'!$C$4:$C$8000,"*"&amp;$B386&amp;"*",'Timesheet Raw'!$L$4:$L$8000,"&gt;="&amp;MAX(L$5,DATE(2000+VALUE(RIGHT(TRIM($A386),2)),1,1)),'Timesheet Raw'!$L$4:$L$8000,"&lt;="&amp;MIN(L$6,DATE(2000+VALUE(RIGHT(TRIM($A386),2)),12,31))),SUMIFS('Timesheet Raw'!$P$4:$P$8000,'Timesheet Raw'!$B$4:$B$8000,TRIM($A386),'Timesheet Raw'!$C$4:$C$8000,"*"&amp;$B386&amp;"*",'Timesheet Raw'!$L$4:$L$8000,"&gt;="&amp;L$5,'Timesheet Raw'!$L$4:$L$8000,"&lt;="&amp;L$6)))/'Profit Plan'!$B$5)</f>
        <v>0</v>
      </c>
      <c r="M386" s="122">
        <f>IF($A386="","",(IF(ISNUMBER(SEARCH("Proposal",$A386)),SUMIFS('Timesheet Raw'!$P$4:$P$8000,'Timesheet Raw'!$A$4:$A$8000,IF(ISNUMBER(SEARCH("Chargable",$A386)),"2-Proposals Chargeable","3-Proposals Regular"),'Timesheet Raw'!$C$4:$C$8000,"*"&amp;$B386&amp;"*",'Timesheet Raw'!$L$4:$L$8000,"&gt;="&amp;MAX(M$5,DATE(2000+VALUE(RIGHT(TRIM($A386),2)),1,1)),'Timesheet Raw'!$L$4:$L$8000,"&lt;="&amp;MIN(M$6,DATE(2000+VALUE(RIGHT(TRIM($A386),2)),12,31))),SUMIFS('Timesheet Raw'!$P$4:$P$8000,'Timesheet Raw'!$B$4:$B$8000,TRIM($A386),'Timesheet Raw'!$C$4:$C$8000,"*"&amp;$B386&amp;"*",'Timesheet Raw'!$L$4:$L$8000,"&gt;="&amp;M$5,'Timesheet Raw'!$L$4:$L$8000,"&lt;="&amp;M$6)))/'Profit Plan'!$B$5)</f>
        <v>0</v>
      </c>
      <c r="N386" s="122">
        <f>IF($A386="","",(IF(ISNUMBER(SEARCH("Proposal",$A386)),SUMIFS('Timesheet Raw'!$P$4:$P$8000,'Timesheet Raw'!$A$4:$A$8000,IF(ISNUMBER(SEARCH("Chargable",$A386)),"2-Proposals Chargeable","3-Proposals Regular"),'Timesheet Raw'!$C$4:$C$8000,"*"&amp;$B386&amp;"*",'Timesheet Raw'!$L$4:$L$8000,"&gt;="&amp;MAX(N$5,DATE(2000+VALUE(RIGHT(TRIM($A386),2)),1,1)),'Timesheet Raw'!$L$4:$L$8000,"&lt;="&amp;MIN(N$6,DATE(2000+VALUE(RIGHT(TRIM($A386),2)),12,31))),SUMIFS('Timesheet Raw'!$P$4:$P$8000,'Timesheet Raw'!$B$4:$B$8000,TRIM($A386),'Timesheet Raw'!$C$4:$C$8000,"*"&amp;$B386&amp;"*",'Timesheet Raw'!$L$4:$L$8000,"&gt;="&amp;N$5,'Timesheet Raw'!$L$4:$L$8000,"&lt;="&amp;N$6)))/'Profit Plan'!$B$5)</f>
        <v>0</v>
      </c>
      <c r="O386" s="122">
        <f>IF($A386="","",(IF(ISNUMBER(SEARCH("Proposal",$A386)),SUMIFS('Timesheet Raw'!$P$4:$P$8000,'Timesheet Raw'!$A$4:$A$8000,IF(ISNUMBER(SEARCH("Chargable",$A386)),"2-Proposals Chargeable","3-Proposals Regular"),'Timesheet Raw'!$C$4:$C$8000,"*"&amp;$B386&amp;"*",'Timesheet Raw'!$L$4:$L$8000,"&gt;="&amp;MAX(O$5,DATE(2000+VALUE(RIGHT(TRIM($A386),2)),1,1)),'Timesheet Raw'!$L$4:$L$8000,"&lt;="&amp;MIN(O$6,DATE(2000+VALUE(RIGHT(TRIM($A386),2)),12,31))),SUMIFS('Timesheet Raw'!$P$4:$P$8000,'Timesheet Raw'!$B$4:$B$8000,TRIM($A386),'Timesheet Raw'!$C$4:$C$8000,"*"&amp;$B386&amp;"*",'Timesheet Raw'!$L$4:$L$8000,"&gt;="&amp;O$5,'Timesheet Raw'!$L$4:$L$8000,"&lt;="&amp;O$6)))/'Profit Plan'!$B$5)</f>
        <v>0</v>
      </c>
      <c r="P386" s="122">
        <f>IF($A386="","",(IF(ISNUMBER(SEARCH("Proposal",$A386)),SUMIFS('Timesheet Raw'!$P$4:$P$8000,'Timesheet Raw'!$A$4:$A$8000,IF(ISNUMBER(SEARCH("Chargable",$A386)),"2-Proposals Chargeable","3-Proposals Regular"),'Timesheet Raw'!$C$4:$C$8000,"*"&amp;$B386&amp;"*",'Timesheet Raw'!$L$4:$L$8000,"&gt;="&amp;MAX(P$5,DATE(2000+VALUE(RIGHT(TRIM($A386),2)),1,1)),'Timesheet Raw'!$L$4:$L$8000,"&lt;="&amp;MIN(P$6,DATE(2000+VALUE(RIGHT(TRIM($A386),2)),12,31))),SUMIFS('Timesheet Raw'!$P$4:$P$8000,'Timesheet Raw'!$B$4:$B$8000,TRIM($A386),'Timesheet Raw'!$C$4:$C$8000,"*"&amp;$B386&amp;"*",'Timesheet Raw'!$L$4:$L$8000,"&gt;="&amp;P$5,'Timesheet Raw'!$L$4:$L$8000,"&lt;="&amp;P$6)))/'Profit Plan'!$B$5)</f>
        <v>0</v>
      </c>
      <c r="Q386" s="122">
        <f>IF($A386="","",(IF(ISNUMBER(SEARCH("Proposal",$A386)),SUMIFS('Timesheet Raw'!$P$4:$P$8000,'Timesheet Raw'!$A$4:$A$8000,IF(ISNUMBER(SEARCH("Chargable",$A386)),"2-Proposals Chargeable","3-Proposals Regular"),'Timesheet Raw'!$C$4:$C$8000,"*"&amp;$B386&amp;"*",'Timesheet Raw'!$L$4:$L$8000,"&gt;="&amp;MAX(Q$5,DATE(2000+VALUE(RIGHT(TRIM($A386),2)),1,1)),'Timesheet Raw'!$L$4:$L$8000,"&lt;="&amp;MIN(Q$6,DATE(2000+VALUE(RIGHT(TRIM($A386),2)),12,31))),SUMIFS('Timesheet Raw'!$P$4:$P$8000,'Timesheet Raw'!$B$4:$B$8000,TRIM($A386),'Timesheet Raw'!$C$4:$C$8000,"*"&amp;$B386&amp;"*",'Timesheet Raw'!$L$4:$L$8000,"&gt;="&amp;Q$5,'Timesheet Raw'!$L$4:$L$8000,"&lt;="&amp;Q$6)))/'Profit Plan'!$B$5)</f>
        <v>0</v>
      </c>
      <c r="R386" s="122">
        <f>IF($A386="","",(IF(ISNUMBER(SEARCH("Proposal",$A386)),SUMIFS('Timesheet Raw'!$P$4:$P$8000,'Timesheet Raw'!$A$4:$A$8000,IF(ISNUMBER(SEARCH("Chargable",$A386)),"2-Proposals Chargeable","3-Proposals Regular"),'Timesheet Raw'!$C$4:$C$8000,"*"&amp;$B386&amp;"*",'Timesheet Raw'!$L$4:$L$8000,"&gt;="&amp;MAX(R$5,DATE(2000+VALUE(RIGHT(TRIM($A386),2)),1,1)),'Timesheet Raw'!$L$4:$L$8000,"&lt;="&amp;MIN(R$6,DATE(2000+VALUE(RIGHT(TRIM($A386),2)),12,31))),SUMIFS('Timesheet Raw'!$P$4:$P$8000,'Timesheet Raw'!$B$4:$B$8000,TRIM($A386),'Timesheet Raw'!$C$4:$C$8000,"*"&amp;$B386&amp;"*",'Timesheet Raw'!$L$4:$L$8000,"&gt;="&amp;R$5,'Timesheet Raw'!$L$4:$L$8000,"&lt;="&amp;R$6)))/'Profit Plan'!$B$5)</f>
        <v>0</v>
      </c>
      <c r="S386" s="122">
        <f>IF($A386="","",(IF(ISNUMBER(SEARCH("Proposal",$A386)),SUMIFS('Timesheet Raw'!$P$4:$P$8000,'Timesheet Raw'!$A$4:$A$8000,IF(ISNUMBER(SEARCH("Chargable",$A386)),"2-Proposals Chargeable","3-Proposals Regular"),'Timesheet Raw'!$C$4:$C$8000,"*"&amp;$B386&amp;"*",'Timesheet Raw'!$L$4:$L$8000,"&gt;="&amp;MAX(S$5,DATE(2000+VALUE(RIGHT(TRIM($A386),2)),1,1)),'Timesheet Raw'!$L$4:$L$8000,"&lt;="&amp;MIN(S$6,DATE(2000+VALUE(RIGHT(TRIM($A386),2)),12,31))),SUMIFS('Timesheet Raw'!$P$4:$P$8000,'Timesheet Raw'!$B$4:$B$8000,TRIM($A386),'Timesheet Raw'!$C$4:$C$8000,"*"&amp;$B386&amp;"*",'Timesheet Raw'!$L$4:$L$8000,"&gt;="&amp;S$5,'Timesheet Raw'!$L$4:$L$8000,"&lt;="&amp;S$6)))/'Profit Plan'!$B$5)</f>
        <v>0</v>
      </c>
      <c r="T386" s="122">
        <f>IF($A386="","",(IF(ISNUMBER(SEARCH("Proposal",$A386)),SUMIFS('Timesheet Raw'!$P$4:$P$8000,'Timesheet Raw'!$A$4:$A$8000,IF(ISNUMBER(SEARCH("Chargable",$A386)),"2-Proposals Chargeable","3-Proposals Regular"),'Timesheet Raw'!$C$4:$C$8000,"*"&amp;$B386&amp;"*",'Timesheet Raw'!$L$4:$L$8000,"&gt;="&amp;MAX(T$5,DATE(2000+VALUE(RIGHT(TRIM($A386),2)),1,1)),'Timesheet Raw'!$L$4:$L$8000,"&lt;="&amp;MIN(T$6,DATE(2000+VALUE(RIGHT(TRIM($A386),2)),12,31))),SUMIFS('Timesheet Raw'!$P$4:$P$8000,'Timesheet Raw'!$B$4:$B$8000,TRIM($A386),'Timesheet Raw'!$C$4:$C$8000,"*"&amp;$B386&amp;"*",'Timesheet Raw'!$L$4:$L$8000,"&gt;="&amp;T$5,'Timesheet Raw'!$L$4:$L$8000,"&lt;="&amp;T$6)))/'Profit Plan'!$B$5)</f>
        <v>0</v>
      </c>
      <c r="U386" s="122">
        <f>IF($A386="","",(IF(ISNUMBER(SEARCH("Proposal",$A386)),SUMIFS('Timesheet Raw'!$P$4:$P$8000,'Timesheet Raw'!$A$4:$A$8000,IF(ISNUMBER(SEARCH("Chargable",$A386)),"2-Proposals Chargeable","3-Proposals Regular"),'Timesheet Raw'!$C$4:$C$8000,"*"&amp;$B386&amp;"*",'Timesheet Raw'!$L$4:$L$8000,"&gt;="&amp;MAX(U$5,DATE(2000+VALUE(RIGHT(TRIM($A386),2)),1,1)),'Timesheet Raw'!$L$4:$L$8000,"&lt;="&amp;MIN(U$6,DATE(2000+VALUE(RIGHT(TRIM($A386),2)),12,31))),SUMIFS('Timesheet Raw'!$P$4:$P$8000,'Timesheet Raw'!$B$4:$B$8000,TRIM($A386),'Timesheet Raw'!$C$4:$C$8000,"*"&amp;$B386&amp;"*",'Timesheet Raw'!$L$4:$L$8000,"&gt;="&amp;U$5,'Timesheet Raw'!$L$4:$L$8000,"&lt;="&amp;U$6)))/'Profit Plan'!$B$5)</f>
        <v>0</v>
      </c>
      <c r="V386" s="122">
        <f>IF($A386="","",(IF(ISNUMBER(SEARCH("Proposal",$A386)),SUMIFS('Timesheet Raw'!$P$4:$P$8000,'Timesheet Raw'!$A$4:$A$8000,IF(ISNUMBER(SEARCH("Chargable",$A386)),"2-Proposals Chargeable","3-Proposals Regular"),'Timesheet Raw'!$C$4:$C$8000,"*"&amp;$B386&amp;"*",'Timesheet Raw'!$L$4:$L$8000,"&gt;="&amp;MAX(V$5,DATE(2000+VALUE(RIGHT(TRIM($A386),2)),1,1)),'Timesheet Raw'!$L$4:$L$8000,"&lt;="&amp;MIN(V$6,DATE(2000+VALUE(RIGHT(TRIM($A386),2)),12,31))),SUMIFS('Timesheet Raw'!$P$4:$P$8000,'Timesheet Raw'!$B$4:$B$8000,TRIM($A386),'Timesheet Raw'!$C$4:$C$8000,"*"&amp;$B386&amp;"*",'Timesheet Raw'!$L$4:$L$8000,"&gt;="&amp;V$5,'Timesheet Raw'!$L$4:$L$8000,"&lt;="&amp;V$6)))/'Profit Plan'!$B$5)</f>
        <v>0</v>
      </c>
      <c r="W386" s="122">
        <f>IF($A386="","",(IF(ISNUMBER(SEARCH("Proposal",$A386)),SUMIFS('Timesheet Raw'!$P$4:$P$8000,'Timesheet Raw'!$A$4:$A$8000,IF(ISNUMBER(SEARCH("Chargable",$A386)),"2-Proposals Chargeable","3-Proposals Regular"),'Timesheet Raw'!$C$4:$C$8000,"*"&amp;$B386&amp;"*",'Timesheet Raw'!$L$4:$L$8000,"&gt;="&amp;MAX(W$5,DATE(2000+VALUE(RIGHT(TRIM($A386),2)),1,1)),'Timesheet Raw'!$L$4:$L$8000,"&lt;="&amp;MIN(W$6,DATE(2000+VALUE(RIGHT(TRIM($A386),2)),12,31))),SUMIFS('Timesheet Raw'!$P$4:$P$8000,'Timesheet Raw'!$B$4:$B$8000,TRIM($A386),'Timesheet Raw'!$C$4:$C$8000,"*"&amp;$B386&amp;"*",'Timesheet Raw'!$L$4:$L$8000,"&gt;="&amp;W$5,'Timesheet Raw'!$L$4:$L$8000,"&lt;="&amp;W$6)))/'Profit Plan'!$B$5)</f>
        <v>0</v>
      </c>
      <c r="X386" s="122">
        <f>IF($A386="","",(IF(ISNUMBER(SEARCH("Proposal",$A386)),SUMIFS('Timesheet Raw'!$P$4:$P$8000,'Timesheet Raw'!$A$4:$A$8000,IF(ISNUMBER(SEARCH("Chargable",$A386)),"2-Proposals Chargeable","3-Proposals Regular"),'Timesheet Raw'!$C$4:$C$8000,"*"&amp;$B386&amp;"*",'Timesheet Raw'!$L$4:$L$8000,"&gt;="&amp;MAX(X$5,DATE(2000+VALUE(RIGHT(TRIM($A386),2)),1,1)),'Timesheet Raw'!$L$4:$L$8000,"&lt;="&amp;MIN(X$6,DATE(2000+VALUE(RIGHT(TRIM($A386),2)),12,31))),SUMIFS('Timesheet Raw'!$P$4:$P$8000,'Timesheet Raw'!$B$4:$B$8000,TRIM($A386),'Timesheet Raw'!$C$4:$C$8000,"*"&amp;$B386&amp;"*",'Timesheet Raw'!$L$4:$L$8000,"&gt;="&amp;X$5,'Timesheet Raw'!$L$4:$L$8000,"&lt;="&amp;X$6)))/'Profit Plan'!$B$5)</f>
        <v>0</v>
      </c>
      <c r="Y386" s="118">
        <f t="shared" si="101"/>
        <v>0</v>
      </c>
    </row>
    <row r="387" spans="1:25" x14ac:dyDescent="0.3">
      <c r="A387" s="116" t="str">
        <f>IF(Inputs!$A46="","",Inputs!$A46)</f>
        <v>Proposals 26</v>
      </c>
      <c r="B387" s="116" t="str">
        <f>IF(Inputs!$A46="","",Inputs!$A$93)</f>
        <v>Kirolos</v>
      </c>
      <c r="C387" s="116"/>
      <c r="D387" s="122">
        <f>IF($A387="","",(IF(ISNUMBER(SEARCH("Proposal",$A387)),SUMIFS('Timesheet Raw'!$P$4:$P$8000,'Timesheet Raw'!$A$4:$A$8000,IF(ISNUMBER(SEARCH("Chargable",$A387)),"2-Proposals Chargeable","3-Proposals Regular"),'Timesheet Raw'!$C$4:$C$8000,"*"&amp;$B387&amp;"*",'Timesheet Raw'!$L$4:$L$8000,"&gt;="&amp;MAX(D$5,DATE(2000+VALUE(RIGHT(TRIM($A387),2)),1,1)),'Timesheet Raw'!$L$4:$L$8000,"&lt;="&amp;MIN(D$6,DATE(2000+VALUE(RIGHT(TRIM($A387),2)),12,31))),SUMIFS('Timesheet Raw'!$P$4:$P$8000,'Timesheet Raw'!$B$4:$B$8000,TRIM($A387),'Timesheet Raw'!$C$4:$C$8000,"*"&amp;$B387&amp;"*",'Timesheet Raw'!$L$4:$L$8000,"&gt;="&amp;D$5,'Timesheet Raw'!$L$4:$L$8000,"&lt;="&amp;D$6)))/'Profit Plan'!$B$5)</f>
        <v>0</v>
      </c>
      <c r="E387" s="122">
        <f>IF($A387="","",(IF(ISNUMBER(SEARCH("Proposal",$A387)),SUMIFS('Timesheet Raw'!$P$4:$P$8000,'Timesheet Raw'!$A$4:$A$8000,IF(ISNUMBER(SEARCH("Chargable",$A387)),"2-Proposals Chargeable","3-Proposals Regular"),'Timesheet Raw'!$C$4:$C$8000,"*"&amp;$B387&amp;"*",'Timesheet Raw'!$L$4:$L$8000,"&gt;="&amp;MAX(E$5,DATE(2000+VALUE(RIGHT(TRIM($A387),2)),1,1)),'Timesheet Raw'!$L$4:$L$8000,"&lt;="&amp;MIN(E$6,DATE(2000+VALUE(RIGHT(TRIM($A387),2)),12,31))),SUMIFS('Timesheet Raw'!$P$4:$P$8000,'Timesheet Raw'!$B$4:$B$8000,TRIM($A387),'Timesheet Raw'!$C$4:$C$8000,"*"&amp;$B387&amp;"*",'Timesheet Raw'!$L$4:$L$8000,"&gt;="&amp;E$5,'Timesheet Raw'!$L$4:$L$8000,"&lt;="&amp;E$6)))/'Profit Plan'!$B$5)</f>
        <v>0</v>
      </c>
      <c r="F387" s="122">
        <f>IF($A387="","",(IF(ISNUMBER(SEARCH("Proposal",$A387)),SUMIFS('Timesheet Raw'!$P$4:$P$8000,'Timesheet Raw'!$A$4:$A$8000,IF(ISNUMBER(SEARCH("Chargable",$A387)),"2-Proposals Chargeable","3-Proposals Regular"),'Timesheet Raw'!$C$4:$C$8000,"*"&amp;$B387&amp;"*",'Timesheet Raw'!$L$4:$L$8000,"&gt;="&amp;MAX(F$5,DATE(2000+VALUE(RIGHT(TRIM($A387),2)),1,1)),'Timesheet Raw'!$L$4:$L$8000,"&lt;="&amp;MIN(F$6,DATE(2000+VALUE(RIGHT(TRIM($A387),2)),12,31))),SUMIFS('Timesheet Raw'!$P$4:$P$8000,'Timesheet Raw'!$B$4:$B$8000,TRIM($A387),'Timesheet Raw'!$C$4:$C$8000,"*"&amp;$B387&amp;"*",'Timesheet Raw'!$L$4:$L$8000,"&gt;="&amp;F$5,'Timesheet Raw'!$L$4:$L$8000,"&lt;="&amp;F$6)))/'Profit Plan'!$B$5)</f>
        <v>0</v>
      </c>
      <c r="G387" s="122">
        <f>IF($A387="","",(IF(ISNUMBER(SEARCH("Proposal",$A387)),SUMIFS('Timesheet Raw'!$P$4:$P$8000,'Timesheet Raw'!$A$4:$A$8000,IF(ISNUMBER(SEARCH("Chargable",$A387)),"2-Proposals Chargeable","3-Proposals Regular"),'Timesheet Raw'!$C$4:$C$8000,"*"&amp;$B387&amp;"*",'Timesheet Raw'!$L$4:$L$8000,"&gt;="&amp;MAX(G$5,DATE(2000+VALUE(RIGHT(TRIM($A387),2)),1,1)),'Timesheet Raw'!$L$4:$L$8000,"&lt;="&amp;MIN(G$6,DATE(2000+VALUE(RIGHT(TRIM($A387),2)),12,31))),SUMIFS('Timesheet Raw'!$P$4:$P$8000,'Timesheet Raw'!$B$4:$B$8000,TRIM($A387),'Timesheet Raw'!$C$4:$C$8000,"*"&amp;$B387&amp;"*",'Timesheet Raw'!$L$4:$L$8000,"&gt;="&amp;G$5,'Timesheet Raw'!$L$4:$L$8000,"&lt;="&amp;G$6)))/'Profit Plan'!$B$5)</f>
        <v>0</v>
      </c>
      <c r="H387" s="122">
        <f>IF($A387="","",(IF(ISNUMBER(SEARCH("Proposal",$A387)),SUMIFS('Timesheet Raw'!$P$4:$P$8000,'Timesheet Raw'!$A$4:$A$8000,IF(ISNUMBER(SEARCH("Chargable",$A387)),"2-Proposals Chargeable","3-Proposals Regular"),'Timesheet Raw'!$C$4:$C$8000,"*"&amp;$B387&amp;"*",'Timesheet Raw'!$L$4:$L$8000,"&gt;="&amp;MAX(H$5,DATE(2000+VALUE(RIGHT(TRIM($A387),2)),1,1)),'Timesheet Raw'!$L$4:$L$8000,"&lt;="&amp;MIN(H$6,DATE(2000+VALUE(RIGHT(TRIM($A387),2)),12,31))),SUMIFS('Timesheet Raw'!$P$4:$P$8000,'Timesheet Raw'!$B$4:$B$8000,TRIM($A387),'Timesheet Raw'!$C$4:$C$8000,"*"&amp;$B387&amp;"*",'Timesheet Raw'!$L$4:$L$8000,"&gt;="&amp;H$5,'Timesheet Raw'!$L$4:$L$8000,"&lt;="&amp;H$6)))/'Profit Plan'!$B$5)</f>
        <v>0</v>
      </c>
      <c r="I387" s="122">
        <f>IF($A387="","",(IF(ISNUMBER(SEARCH("Proposal",$A387)),SUMIFS('Timesheet Raw'!$P$4:$P$8000,'Timesheet Raw'!$A$4:$A$8000,IF(ISNUMBER(SEARCH("Chargable",$A387)),"2-Proposals Chargeable","3-Proposals Regular"),'Timesheet Raw'!$C$4:$C$8000,"*"&amp;$B387&amp;"*",'Timesheet Raw'!$L$4:$L$8000,"&gt;="&amp;MAX(I$5,DATE(2000+VALUE(RIGHT(TRIM($A387),2)),1,1)),'Timesheet Raw'!$L$4:$L$8000,"&lt;="&amp;MIN(I$6,DATE(2000+VALUE(RIGHT(TRIM($A387),2)),12,31))),SUMIFS('Timesheet Raw'!$P$4:$P$8000,'Timesheet Raw'!$B$4:$B$8000,TRIM($A387),'Timesheet Raw'!$C$4:$C$8000,"*"&amp;$B387&amp;"*",'Timesheet Raw'!$L$4:$L$8000,"&gt;="&amp;I$5,'Timesheet Raw'!$L$4:$L$8000,"&lt;="&amp;I$6)))/'Profit Plan'!$B$5)</f>
        <v>0</v>
      </c>
      <c r="J387" s="122">
        <f>IF($A387="","",(IF(ISNUMBER(SEARCH("Proposal",$A387)),SUMIFS('Timesheet Raw'!$P$4:$P$8000,'Timesheet Raw'!$A$4:$A$8000,IF(ISNUMBER(SEARCH("Chargable",$A387)),"2-Proposals Chargeable","3-Proposals Regular"),'Timesheet Raw'!$C$4:$C$8000,"*"&amp;$B387&amp;"*",'Timesheet Raw'!$L$4:$L$8000,"&gt;="&amp;MAX(J$5,DATE(2000+VALUE(RIGHT(TRIM($A387),2)),1,1)),'Timesheet Raw'!$L$4:$L$8000,"&lt;="&amp;MIN(J$6,DATE(2000+VALUE(RIGHT(TRIM($A387),2)),12,31))),SUMIFS('Timesheet Raw'!$P$4:$P$8000,'Timesheet Raw'!$B$4:$B$8000,TRIM($A387),'Timesheet Raw'!$C$4:$C$8000,"*"&amp;$B387&amp;"*",'Timesheet Raw'!$L$4:$L$8000,"&gt;="&amp;J$5,'Timesheet Raw'!$L$4:$L$8000,"&lt;="&amp;J$6)))/'Profit Plan'!$B$5)</f>
        <v>0</v>
      </c>
      <c r="K387" s="122">
        <f>IF($A387="","",(IF(ISNUMBER(SEARCH("Proposal",$A387)),SUMIFS('Timesheet Raw'!$P$4:$P$8000,'Timesheet Raw'!$A$4:$A$8000,IF(ISNUMBER(SEARCH("Chargable",$A387)),"2-Proposals Chargeable","3-Proposals Regular"),'Timesheet Raw'!$C$4:$C$8000,"*"&amp;$B387&amp;"*",'Timesheet Raw'!$L$4:$L$8000,"&gt;="&amp;MAX(K$5,DATE(2000+VALUE(RIGHT(TRIM($A387),2)),1,1)),'Timesheet Raw'!$L$4:$L$8000,"&lt;="&amp;MIN(K$6,DATE(2000+VALUE(RIGHT(TRIM($A387),2)),12,31))),SUMIFS('Timesheet Raw'!$P$4:$P$8000,'Timesheet Raw'!$B$4:$B$8000,TRIM($A387),'Timesheet Raw'!$C$4:$C$8000,"*"&amp;$B387&amp;"*",'Timesheet Raw'!$L$4:$L$8000,"&gt;="&amp;K$5,'Timesheet Raw'!$L$4:$L$8000,"&lt;="&amp;K$6)))/'Profit Plan'!$B$5)</f>
        <v>0</v>
      </c>
      <c r="L387" s="122">
        <f>IF($A387="","",(IF(ISNUMBER(SEARCH("Proposal",$A387)),SUMIFS('Timesheet Raw'!$P$4:$P$8000,'Timesheet Raw'!$A$4:$A$8000,IF(ISNUMBER(SEARCH("Chargable",$A387)),"2-Proposals Chargeable","3-Proposals Regular"),'Timesheet Raw'!$C$4:$C$8000,"*"&amp;$B387&amp;"*",'Timesheet Raw'!$L$4:$L$8000,"&gt;="&amp;MAX(L$5,DATE(2000+VALUE(RIGHT(TRIM($A387),2)),1,1)),'Timesheet Raw'!$L$4:$L$8000,"&lt;="&amp;MIN(L$6,DATE(2000+VALUE(RIGHT(TRIM($A387),2)),12,31))),SUMIFS('Timesheet Raw'!$P$4:$P$8000,'Timesheet Raw'!$B$4:$B$8000,TRIM($A387),'Timesheet Raw'!$C$4:$C$8000,"*"&amp;$B387&amp;"*",'Timesheet Raw'!$L$4:$L$8000,"&gt;="&amp;L$5,'Timesheet Raw'!$L$4:$L$8000,"&lt;="&amp;L$6)))/'Profit Plan'!$B$5)</f>
        <v>0</v>
      </c>
      <c r="M387" s="122">
        <f>IF($A387="","",(IF(ISNUMBER(SEARCH("Proposal",$A387)),SUMIFS('Timesheet Raw'!$P$4:$P$8000,'Timesheet Raw'!$A$4:$A$8000,IF(ISNUMBER(SEARCH("Chargable",$A387)),"2-Proposals Chargeable","3-Proposals Regular"),'Timesheet Raw'!$C$4:$C$8000,"*"&amp;$B387&amp;"*",'Timesheet Raw'!$L$4:$L$8000,"&gt;="&amp;MAX(M$5,DATE(2000+VALUE(RIGHT(TRIM($A387),2)),1,1)),'Timesheet Raw'!$L$4:$L$8000,"&lt;="&amp;MIN(M$6,DATE(2000+VALUE(RIGHT(TRIM($A387),2)),12,31))),SUMIFS('Timesheet Raw'!$P$4:$P$8000,'Timesheet Raw'!$B$4:$B$8000,TRIM($A387),'Timesheet Raw'!$C$4:$C$8000,"*"&amp;$B387&amp;"*",'Timesheet Raw'!$L$4:$L$8000,"&gt;="&amp;M$5,'Timesheet Raw'!$L$4:$L$8000,"&lt;="&amp;M$6)))/'Profit Plan'!$B$5)</f>
        <v>0</v>
      </c>
      <c r="N387" s="122">
        <f>IF($A387="","",(IF(ISNUMBER(SEARCH("Proposal",$A387)),SUMIFS('Timesheet Raw'!$P$4:$P$8000,'Timesheet Raw'!$A$4:$A$8000,IF(ISNUMBER(SEARCH("Chargable",$A387)),"2-Proposals Chargeable","3-Proposals Regular"),'Timesheet Raw'!$C$4:$C$8000,"*"&amp;$B387&amp;"*",'Timesheet Raw'!$L$4:$L$8000,"&gt;="&amp;MAX(N$5,DATE(2000+VALUE(RIGHT(TRIM($A387),2)),1,1)),'Timesheet Raw'!$L$4:$L$8000,"&lt;="&amp;MIN(N$6,DATE(2000+VALUE(RIGHT(TRIM($A387),2)),12,31))),SUMIFS('Timesheet Raw'!$P$4:$P$8000,'Timesheet Raw'!$B$4:$B$8000,TRIM($A387),'Timesheet Raw'!$C$4:$C$8000,"*"&amp;$B387&amp;"*",'Timesheet Raw'!$L$4:$L$8000,"&gt;="&amp;N$5,'Timesheet Raw'!$L$4:$L$8000,"&lt;="&amp;N$6)))/'Profit Plan'!$B$5)</f>
        <v>0</v>
      </c>
      <c r="O387" s="122">
        <f>IF($A387="","",(IF(ISNUMBER(SEARCH("Proposal",$A387)),SUMIFS('Timesheet Raw'!$P$4:$P$8000,'Timesheet Raw'!$A$4:$A$8000,IF(ISNUMBER(SEARCH("Chargable",$A387)),"2-Proposals Chargeable","3-Proposals Regular"),'Timesheet Raw'!$C$4:$C$8000,"*"&amp;$B387&amp;"*",'Timesheet Raw'!$L$4:$L$8000,"&gt;="&amp;MAX(O$5,DATE(2000+VALUE(RIGHT(TRIM($A387),2)),1,1)),'Timesheet Raw'!$L$4:$L$8000,"&lt;="&amp;MIN(O$6,DATE(2000+VALUE(RIGHT(TRIM($A387),2)),12,31))),SUMIFS('Timesheet Raw'!$P$4:$P$8000,'Timesheet Raw'!$B$4:$B$8000,TRIM($A387),'Timesheet Raw'!$C$4:$C$8000,"*"&amp;$B387&amp;"*",'Timesheet Raw'!$L$4:$L$8000,"&gt;="&amp;O$5,'Timesheet Raw'!$L$4:$L$8000,"&lt;="&amp;O$6)))/'Profit Plan'!$B$5)</f>
        <v>0</v>
      </c>
      <c r="P387" s="122">
        <f>IF($A387="","",(IF(ISNUMBER(SEARCH("Proposal",$A387)),SUMIFS('Timesheet Raw'!$P$4:$P$8000,'Timesheet Raw'!$A$4:$A$8000,IF(ISNUMBER(SEARCH("Chargable",$A387)),"2-Proposals Chargeable","3-Proposals Regular"),'Timesheet Raw'!$C$4:$C$8000,"*"&amp;$B387&amp;"*",'Timesheet Raw'!$L$4:$L$8000,"&gt;="&amp;MAX(P$5,DATE(2000+VALUE(RIGHT(TRIM($A387),2)),1,1)),'Timesheet Raw'!$L$4:$L$8000,"&lt;="&amp;MIN(P$6,DATE(2000+VALUE(RIGHT(TRIM($A387),2)),12,31))),SUMIFS('Timesheet Raw'!$P$4:$P$8000,'Timesheet Raw'!$B$4:$B$8000,TRIM($A387),'Timesheet Raw'!$C$4:$C$8000,"*"&amp;$B387&amp;"*",'Timesheet Raw'!$L$4:$L$8000,"&gt;="&amp;P$5,'Timesheet Raw'!$L$4:$L$8000,"&lt;="&amp;P$6)))/'Profit Plan'!$B$5)</f>
        <v>0</v>
      </c>
      <c r="Q387" s="122">
        <f>IF($A387="","",(IF(ISNUMBER(SEARCH("Proposal",$A387)),SUMIFS('Timesheet Raw'!$P$4:$P$8000,'Timesheet Raw'!$A$4:$A$8000,IF(ISNUMBER(SEARCH("Chargable",$A387)),"2-Proposals Chargeable","3-Proposals Regular"),'Timesheet Raw'!$C$4:$C$8000,"*"&amp;$B387&amp;"*",'Timesheet Raw'!$L$4:$L$8000,"&gt;="&amp;MAX(Q$5,DATE(2000+VALUE(RIGHT(TRIM($A387),2)),1,1)),'Timesheet Raw'!$L$4:$L$8000,"&lt;="&amp;MIN(Q$6,DATE(2000+VALUE(RIGHT(TRIM($A387),2)),12,31))),SUMIFS('Timesheet Raw'!$P$4:$P$8000,'Timesheet Raw'!$B$4:$B$8000,TRIM($A387),'Timesheet Raw'!$C$4:$C$8000,"*"&amp;$B387&amp;"*",'Timesheet Raw'!$L$4:$L$8000,"&gt;="&amp;Q$5,'Timesheet Raw'!$L$4:$L$8000,"&lt;="&amp;Q$6)))/'Profit Plan'!$B$5)</f>
        <v>0</v>
      </c>
      <c r="R387" s="122">
        <f>IF($A387="","",(IF(ISNUMBER(SEARCH("Proposal",$A387)),SUMIFS('Timesheet Raw'!$P$4:$P$8000,'Timesheet Raw'!$A$4:$A$8000,IF(ISNUMBER(SEARCH("Chargable",$A387)),"2-Proposals Chargeable","3-Proposals Regular"),'Timesheet Raw'!$C$4:$C$8000,"*"&amp;$B387&amp;"*",'Timesheet Raw'!$L$4:$L$8000,"&gt;="&amp;MAX(R$5,DATE(2000+VALUE(RIGHT(TRIM($A387),2)),1,1)),'Timesheet Raw'!$L$4:$L$8000,"&lt;="&amp;MIN(R$6,DATE(2000+VALUE(RIGHT(TRIM($A387),2)),12,31))),SUMIFS('Timesheet Raw'!$P$4:$P$8000,'Timesheet Raw'!$B$4:$B$8000,TRIM($A387),'Timesheet Raw'!$C$4:$C$8000,"*"&amp;$B387&amp;"*",'Timesheet Raw'!$L$4:$L$8000,"&gt;="&amp;R$5,'Timesheet Raw'!$L$4:$L$8000,"&lt;="&amp;R$6)))/'Profit Plan'!$B$5)</f>
        <v>0</v>
      </c>
      <c r="S387" s="122">
        <f>IF($A387="","",(IF(ISNUMBER(SEARCH("Proposal",$A387)),SUMIFS('Timesheet Raw'!$P$4:$P$8000,'Timesheet Raw'!$A$4:$A$8000,IF(ISNUMBER(SEARCH("Chargable",$A387)),"2-Proposals Chargeable","3-Proposals Regular"),'Timesheet Raw'!$C$4:$C$8000,"*"&amp;$B387&amp;"*",'Timesheet Raw'!$L$4:$L$8000,"&gt;="&amp;MAX(S$5,DATE(2000+VALUE(RIGHT(TRIM($A387),2)),1,1)),'Timesheet Raw'!$L$4:$L$8000,"&lt;="&amp;MIN(S$6,DATE(2000+VALUE(RIGHT(TRIM($A387),2)),12,31))),SUMIFS('Timesheet Raw'!$P$4:$P$8000,'Timesheet Raw'!$B$4:$B$8000,TRIM($A387),'Timesheet Raw'!$C$4:$C$8000,"*"&amp;$B387&amp;"*",'Timesheet Raw'!$L$4:$L$8000,"&gt;="&amp;S$5,'Timesheet Raw'!$L$4:$L$8000,"&lt;="&amp;S$6)))/'Profit Plan'!$B$5)</f>
        <v>0</v>
      </c>
      <c r="T387" s="122">
        <f>IF($A387="","",(IF(ISNUMBER(SEARCH("Proposal",$A387)),SUMIFS('Timesheet Raw'!$P$4:$P$8000,'Timesheet Raw'!$A$4:$A$8000,IF(ISNUMBER(SEARCH("Chargable",$A387)),"2-Proposals Chargeable","3-Proposals Regular"),'Timesheet Raw'!$C$4:$C$8000,"*"&amp;$B387&amp;"*",'Timesheet Raw'!$L$4:$L$8000,"&gt;="&amp;MAX(T$5,DATE(2000+VALUE(RIGHT(TRIM($A387),2)),1,1)),'Timesheet Raw'!$L$4:$L$8000,"&lt;="&amp;MIN(T$6,DATE(2000+VALUE(RIGHT(TRIM($A387),2)),12,31))),SUMIFS('Timesheet Raw'!$P$4:$P$8000,'Timesheet Raw'!$B$4:$B$8000,TRIM($A387),'Timesheet Raw'!$C$4:$C$8000,"*"&amp;$B387&amp;"*",'Timesheet Raw'!$L$4:$L$8000,"&gt;="&amp;T$5,'Timesheet Raw'!$L$4:$L$8000,"&lt;="&amp;T$6)))/'Profit Plan'!$B$5)</f>
        <v>0</v>
      </c>
      <c r="U387" s="122">
        <f>IF($A387="","",(IF(ISNUMBER(SEARCH("Proposal",$A387)),SUMIFS('Timesheet Raw'!$P$4:$P$8000,'Timesheet Raw'!$A$4:$A$8000,IF(ISNUMBER(SEARCH("Chargable",$A387)),"2-Proposals Chargeable","3-Proposals Regular"),'Timesheet Raw'!$C$4:$C$8000,"*"&amp;$B387&amp;"*",'Timesheet Raw'!$L$4:$L$8000,"&gt;="&amp;MAX(U$5,DATE(2000+VALUE(RIGHT(TRIM($A387),2)),1,1)),'Timesheet Raw'!$L$4:$L$8000,"&lt;="&amp;MIN(U$6,DATE(2000+VALUE(RIGHT(TRIM($A387),2)),12,31))),SUMIFS('Timesheet Raw'!$P$4:$P$8000,'Timesheet Raw'!$B$4:$B$8000,TRIM($A387),'Timesheet Raw'!$C$4:$C$8000,"*"&amp;$B387&amp;"*",'Timesheet Raw'!$L$4:$L$8000,"&gt;="&amp;U$5,'Timesheet Raw'!$L$4:$L$8000,"&lt;="&amp;U$6)))/'Profit Plan'!$B$5)</f>
        <v>0</v>
      </c>
      <c r="V387" s="122">
        <f>IF($A387="","",(IF(ISNUMBER(SEARCH("Proposal",$A387)),SUMIFS('Timesheet Raw'!$P$4:$P$8000,'Timesheet Raw'!$A$4:$A$8000,IF(ISNUMBER(SEARCH("Chargable",$A387)),"2-Proposals Chargeable","3-Proposals Regular"),'Timesheet Raw'!$C$4:$C$8000,"*"&amp;$B387&amp;"*",'Timesheet Raw'!$L$4:$L$8000,"&gt;="&amp;MAX(V$5,DATE(2000+VALUE(RIGHT(TRIM($A387),2)),1,1)),'Timesheet Raw'!$L$4:$L$8000,"&lt;="&amp;MIN(V$6,DATE(2000+VALUE(RIGHT(TRIM($A387),2)),12,31))),SUMIFS('Timesheet Raw'!$P$4:$P$8000,'Timesheet Raw'!$B$4:$B$8000,TRIM($A387),'Timesheet Raw'!$C$4:$C$8000,"*"&amp;$B387&amp;"*",'Timesheet Raw'!$L$4:$L$8000,"&gt;="&amp;V$5,'Timesheet Raw'!$L$4:$L$8000,"&lt;="&amp;V$6)))/'Profit Plan'!$B$5)</f>
        <v>0</v>
      </c>
      <c r="W387" s="122">
        <f>IF($A387="","",(IF(ISNUMBER(SEARCH("Proposal",$A387)),SUMIFS('Timesheet Raw'!$P$4:$P$8000,'Timesheet Raw'!$A$4:$A$8000,IF(ISNUMBER(SEARCH("Chargable",$A387)),"2-Proposals Chargeable","3-Proposals Regular"),'Timesheet Raw'!$C$4:$C$8000,"*"&amp;$B387&amp;"*",'Timesheet Raw'!$L$4:$L$8000,"&gt;="&amp;MAX(W$5,DATE(2000+VALUE(RIGHT(TRIM($A387),2)),1,1)),'Timesheet Raw'!$L$4:$L$8000,"&lt;="&amp;MIN(W$6,DATE(2000+VALUE(RIGHT(TRIM($A387),2)),12,31))),SUMIFS('Timesheet Raw'!$P$4:$P$8000,'Timesheet Raw'!$B$4:$B$8000,TRIM($A387),'Timesheet Raw'!$C$4:$C$8000,"*"&amp;$B387&amp;"*",'Timesheet Raw'!$L$4:$L$8000,"&gt;="&amp;W$5,'Timesheet Raw'!$L$4:$L$8000,"&lt;="&amp;W$6)))/'Profit Plan'!$B$5)</f>
        <v>0</v>
      </c>
      <c r="X387" s="122">
        <f>IF($A387="","",(IF(ISNUMBER(SEARCH("Proposal",$A387)),SUMIFS('Timesheet Raw'!$P$4:$P$8000,'Timesheet Raw'!$A$4:$A$8000,IF(ISNUMBER(SEARCH("Chargable",$A387)),"2-Proposals Chargeable","3-Proposals Regular"),'Timesheet Raw'!$C$4:$C$8000,"*"&amp;$B387&amp;"*",'Timesheet Raw'!$L$4:$L$8000,"&gt;="&amp;MAX(X$5,DATE(2000+VALUE(RIGHT(TRIM($A387),2)),1,1)),'Timesheet Raw'!$L$4:$L$8000,"&lt;="&amp;MIN(X$6,DATE(2000+VALUE(RIGHT(TRIM($A387),2)),12,31))),SUMIFS('Timesheet Raw'!$P$4:$P$8000,'Timesheet Raw'!$B$4:$B$8000,TRIM($A387),'Timesheet Raw'!$C$4:$C$8000,"*"&amp;$B387&amp;"*",'Timesheet Raw'!$L$4:$L$8000,"&gt;="&amp;X$5,'Timesheet Raw'!$L$4:$L$8000,"&lt;="&amp;X$6)))/'Profit Plan'!$B$5)</f>
        <v>0</v>
      </c>
      <c r="Y387" s="118">
        <f t="shared" si="101"/>
        <v>0</v>
      </c>
    </row>
    <row r="388" spans="1:25" x14ac:dyDescent="0.3">
      <c r="A388" s="116" t="str">
        <f>IF(Inputs!$A47="","",Inputs!$A47)</f>
        <v/>
      </c>
      <c r="B388" s="116" t="str">
        <f>IF(Inputs!$A47="","",Inputs!$A$91)</f>
        <v/>
      </c>
      <c r="C388" s="116"/>
      <c r="D388" s="122" t="str">
        <f>IF($A388="","",(IF(ISNUMBER(SEARCH("Proposal",$A388)),SUMIFS('Timesheet Raw'!$P$4:$P$8000,'Timesheet Raw'!$A$4:$A$8000,IF(ISNUMBER(SEARCH("Chargable",$A388)),"2-Proposals Chargeable","3-Proposals Regular"),'Timesheet Raw'!$C$4:$C$8000,"*"&amp;$B388&amp;"*",'Timesheet Raw'!$L$4:$L$8000,"&gt;="&amp;MAX(D$5,DATE(2000+VALUE(RIGHT(TRIM($A388),2)),1,1)),'Timesheet Raw'!$L$4:$L$8000,"&lt;="&amp;MIN(D$6,DATE(2000+VALUE(RIGHT(TRIM($A388),2)),12,31))),SUMIFS('Timesheet Raw'!$P$4:$P$8000,'Timesheet Raw'!$B$4:$B$8000,TRIM($A388),'Timesheet Raw'!$C$4:$C$8000,"*"&amp;$B388&amp;"*",'Timesheet Raw'!$L$4:$L$8000,"&gt;="&amp;D$5,'Timesheet Raw'!$L$4:$L$8000,"&lt;="&amp;D$6)))/'Profit Plan'!$B$5)</f>
        <v/>
      </c>
      <c r="E388" s="122" t="str">
        <f>IF($A388="","",(IF(ISNUMBER(SEARCH("Proposal",$A388)),SUMIFS('Timesheet Raw'!$P$4:$P$8000,'Timesheet Raw'!$A$4:$A$8000,IF(ISNUMBER(SEARCH("Chargable",$A388)),"2-Proposals Chargeable","3-Proposals Regular"),'Timesheet Raw'!$C$4:$C$8000,"*"&amp;$B388&amp;"*",'Timesheet Raw'!$L$4:$L$8000,"&gt;="&amp;MAX(E$5,DATE(2000+VALUE(RIGHT(TRIM($A388),2)),1,1)),'Timesheet Raw'!$L$4:$L$8000,"&lt;="&amp;MIN(E$6,DATE(2000+VALUE(RIGHT(TRIM($A388),2)),12,31))),SUMIFS('Timesheet Raw'!$P$4:$P$8000,'Timesheet Raw'!$B$4:$B$8000,TRIM($A388),'Timesheet Raw'!$C$4:$C$8000,"*"&amp;$B388&amp;"*",'Timesheet Raw'!$L$4:$L$8000,"&gt;="&amp;E$5,'Timesheet Raw'!$L$4:$L$8000,"&lt;="&amp;E$6)))/'Profit Plan'!$B$5)</f>
        <v/>
      </c>
      <c r="F388" s="122" t="str">
        <f>IF($A388="","",(IF(ISNUMBER(SEARCH("Proposal",$A388)),SUMIFS('Timesheet Raw'!$P$4:$P$8000,'Timesheet Raw'!$A$4:$A$8000,IF(ISNUMBER(SEARCH("Chargable",$A388)),"2-Proposals Chargeable","3-Proposals Regular"),'Timesheet Raw'!$C$4:$C$8000,"*"&amp;$B388&amp;"*",'Timesheet Raw'!$L$4:$L$8000,"&gt;="&amp;MAX(F$5,DATE(2000+VALUE(RIGHT(TRIM($A388),2)),1,1)),'Timesheet Raw'!$L$4:$L$8000,"&lt;="&amp;MIN(F$6,DATE(2000+VALUE(RIGHT(TRIM($A388),2)),12,31))),SUMIFS('Timesheet Raw'!$P$4:$P$8000,'Timesheet Raw'!$B$4:$B$8000,TRIM($A388),'Timesheet Raw'!$C$4:$C$8000,"*"&amp;$B388&amp;"*",'Timesheet Raw'!$L$4:$L$8000,"&gt;="&amp;F$5,'Timesheet Raw'!$L$4:$L$8000,"&lt;="&amp;F$6)))/'Profit Plan'!$B$5)</f>
        <v/>
      </c>
      <c r="G388" s="122" t="str">
        <f>IF($A388="","",(IF(ISNUMBER(SEARCH("Proposal",$A388)),SUMIFS('Timesheet Raw'!$P$4:$P$8000,'Timesheet Raw'!$A$4:$A$8000,IF(ISNUMBER(SEARCH("Chargable",$A388)),"2-Proposals Chargeable","3-Proposals Regular"),'Timesheet Raw'!$C$4:$C$8000,"*"&amp;$B388&amp;"*",'Timesheet Raw'!$L$4:$L$8000,"&gt;="&amp;MAX(G$5,DATE(2000+VALUE(RIGHT(TRIM($A388),2)),1,1)),'Timesheet Raw'!$L$4:$L$8000,"&lt;="&amp;MIN(G$6,DATE(2000+VALUE(RIGHT(TRIM($A388),2)),12,31))),SUMIFS('Timesheet Raw'!$P$4:$P$8000,'Timesheet Raw'!$B$4:$B$8000,TRIM($A388),'Timesheet Raw'!$C$4:$C$8000,"*"&amp;$B388&amp;"*",'Timesheet Raw'!$L$4:$L$8000,"&gt;="&amp;G$5,'Timesheet Raw'!$L$4:$L$8000,"&lt;="&amp;G$6)))/'Profit Plan'!$B$5)</f>
        <v/>
      </c>
      <c r="H388" s="122" t="str">
        <f>IF($A388="","",(IF(ISNUMBER(SEARCH("Proposal",$A388)),SUMIFS('Timesheet Raw'!$P$4:$P$8000,'Timesheet Raw'!$A$4:$A$8000,IF(ISNUMBER(SEARCH("Chargable",$A388)),"2-Proposals Chargeable","3-Proposals Regular"),'Timesheet Raw'!$C$4:$C$8000,"*"&amp;$B388&amp;"*",'Timesheet Raw'!$L$4:$L$8000,"&gt;="&amp;MAX(H$5,DATE(2000+VALUE(RIGHT(TRIM($A388),2)),1,1)),'Timesheet Raw'!$L$4:$L$8000,"&lt;="&amp;MIN(H$6,DATE(2000+VALUE(RIGHT(TRIM($A388),2)),12,31))),SUMIFS('Timesheet Raw'!$P$4:$P$8000,'Timesheet Raw'!$B$4:$B$8000,TRIM($A388),'Timesheet Raw'!$C$4:$C$8000,"*"&amp;$B388&amp;"*",'Timesheet Raw'!$L$4:$L$8000,"&gt;="&amp;H$5,'Timesheet Raw'!$L$4:$L$8000,"&lt;="&amp;H$6)))/'Profit Plan'!$B$5)</f>
        <v/>
      </c>
      <c r="I388" s="122" t="str">
        <f>IF($A388="","",(IF(ISNUMBER(SEARCH("Proposal",$A388)),SUMIFS('Timesheet Raw'!$P$4:$P$8000,'Timesheet Raw'!$A$4:$A$8000,IF(ISNUMBER(SEARCH("Chargable",$A388)),"2-Proposals Chargeable","3-Proposals Regular"),'Timesheet Raw'!$C$4:$C$8000,"*"&amp;$B388&amp;"*",'Timesheet Raw'!$L$4:$L$8000,"&gt;="&amp;MAX(I$5,DATE(2000+VALUE(RIGHT(TRIM($A388),2)),1,1)),'Timesheet Raw'!$L$4:$L$8000,"&lt;="&amp;MIN(I$6,DATE(2000+VALUE(RIGHT(TRIM($A388),2)),12,31))),SUMIFS('Timesheet Raw'!$P$4:$P$8000,'Timesheet Raw'!$B$4:$B$8000,TRIM($A388),'Timesheet Raw'!$C$4:$C$8000,"*"&amp;$B388&amp;"*",'Timesheet Raw'!$L$4:$L$8000,"&gt;="&amp;I$5,'Timesheet Raw'!$L$4:$L$8000,"&lt;="&amp;I$6)))/'Profit Plan'!$B$5)</f>
        <v/>
      </c>
      <c r="J388" s="122" t="str">
        <f>IF($A388="","",(IF(ISNUMBER(SEARCH("Proposal",$A388)),SUMIFS('Timesheet Raw'!$P$4:$P$8000,'Timesheet Raw'!$A$4:$A$8000,IF(ISNUMBER(SEARCH("Chargable",$A388)),"2-Proposals Chargeable","3-Proposals Regular"),'Timesheet Raw'!$C$4:$C$8000,"*"&amp;$B388&amp;"*",'Timesheet Raw'!$L$4:$L$8000,"&gt;="&amp;MAX(J$5,DATE(2000+VALUE(RIGHT(TRIM($A388),2)),1,1)),'Timesheet Raw'!$L$4:$L$8000,"&lt;="&amp;MIN(J$6,DATE(2000+VALUE(RIGHT(TRIM($A388),2)),12,31))),SUMIFS('Timesheet Raw'!$P$4:$P$8000,'Timesheet Raw'!$B$4:$B$8000,TRIM($A388),'Timesheet Raw'!$C$4:$C$8000,"*"&amp;$B388&amp;"*",'Timesheet Raw'!$L$4:$L$8000,"&gt;="&amp;J$5,'Timesheet Raw'!$L$4:$L$8000,"&lt;="&amp;J$6)))/'Profit Plan'!$B$5)</f>
        <v/>
      </c>
      <c r="K388" s="122" t="str">
        <f>IF($A388="","",(IF(ISNUMBER(SEARCH("Proposal",$A388)),SUMIFS('Timesheet Raw'!$P$4:$P$8000,'Timesheet Raw'!$A$4:$A$8000,IF(ISNUMBER(SEARCH("Chargable",$A388)),"2-Proposals Chargeable","3-Proposals Regular"),'Timesheet Raw'!$C$4:$C$8000,"*"&amp;$B388&amp;"*",'Timesheet Raw'!$L$4:$L$8000,"&gt;="&amp;MAX(K$5,DATE(2000+VALUE(RIGHT(TRIM($A388),2)),1,1)),'Timesheet Raw'!$L$4:$L$8000,"&lt;="&amp;MIN(K$6,DATE(2000+VALUE(RIGHT(TRIM($A388),2)),12,31))),SUMIFS('Timesheet Raw'!$P$4:$P$8000,'Timesheet Raw'!$B$4:$B$8000,TRIM($A388),'Timesheet Raw'!$C$4:$C$8000,"*"&amp;$B388&amp;"*",'Timesheet Raw'!$L$4:$L$8000,"&gt;="&amp;K$5,'Timesheet Raw'!$L$4:$L$8000,"&lt;="&amp;K$6)))/'Profit Plan'!$B$5)</f>
        <v/>
      </c>
      <c r="L388" s="122" t="str">
        <f>IF($A388="","",(IF(ISNUMBER(SEARCH("Proposal",$A388)),SUMIFS('Timesheet Raw'!$P$4:$P$8000,'Timesheet Raw'!$A$4:$A$8000,IF(ISNUMBER(SEARCH("Chargable",$A388)),"2-Proposals Chargeable","3-Proposals Regular"),'Timesheet Raw'!$C$4:$C$8000,"*"&amp;$B388&amp;"*",'Timesheet Raw'!$L$4:$L$8000,"&gt;="&amp;MAX(L$5,DATE(2000+VALUE(RIGHT(TRIM($A388),2)),1,1)),'Timesheet Raw'!$L$4:$L$8000,"&lt;="&amp;MIN(L$6,DATE(2000+VALUE(RIGHT(TRIM($A388),2)),12,31))),SUMIFS('Timesheet Raw'!$P$4:$P$8000,'Timesheet Raw'!$B$4:$B$8000,TRIM($A388),'Timesheet Raw'!$C$4:$C$8000,"*"&amp;$B388&amp;"*",'Timesheet Raw'!$L$4:$L$8000,"&gt;="&amp;L$5,'Timesheet Raw'!$L$4:$L$8000,"&lt;="&amp;L$6)))/'Profit Plan'!$B$5)</f>
        <v/>
      </c>
      <c r="M388" s="122" t="str">
        <f>IF($A388="","",(IF(ISNUMBER(SEARCH("Proposal",$A388)),SUMIFS('Timesheet Raw'!$P$4:$P$8000,'Timesheet Raw'!$A$4:$A$8000,IF(ISNUMBER(SEARCH("Chargable",$A388)),"2-Proposals Chargeable","3-Proposals Regular"),'Timesheet Raw'!$C$4:$C$8000,"*"&amp;$B388&amp;"*",'Timesheet Raw'!$L$4:$L$8000,"&gt;="&amp;MAX(M$5,DATE(2000+VALUE(RIGHT(TRIM($A388),2)),1,1)),'Timesheet Raw'!$L$4:$L$8000,"&lt;="&amp;MIN(M$6,DATE(2000+VALUE(RIGHT(TRIM($A388),2)),12,31))),SUMIFS('Timesheet Raw'!$P$4:$P$8000,'Timesheet Raw'!$B$4:$B$8000,TRIM($A388),'Timesheet Raw'!$C$4:$C$8000,"*"&amp;$B388&amp;"*",'Timesheet Raw'!$L$4:$L$8000,"&gt;="&amp;M$5,'Timesheet Raw'!$L$4:$L$8000,"&lt;="&amp;M$6)))/'Profit Plan'!$B$5)</f>
        <v/>
      </c>
      <c r="N388" s="122" t="str">
        <f>IF($A388="","",(IF(ISNUMBER(SEARCH("Proposal",$A388)),SUMIFS('Timesheet Raw'!$P$4:$P$8000,'Timesheet Raw'!$A$4:$A$8000,IF(ISNUMBER(SEARCH("Chargable",$A388)),"2-Proposals Chargeable","3-Proposals Regular"),'Timesheet Raw'!$C$4:$C$8000,"*"&amp;$B388&amp;"*",'Timesheet Raw'!$L$4:$L$8000,"&gt;="&amp;MAX(N$5,DATE(2000+VALUE(RIGHT(TRIM($A388),2)),1,1)),'Timesheet Raw'!$L$4:$L$8000,"&lt;="&amp;MIN(N$6,DATE(2000+VALUE(RIGHT(TRIM($A388),2)),12,31))),SUMIFS('Timesheet Raw'!$P$4:$P$8000,'Timesheet Raw'!$B$4:$B$8000,TRIM($A388),'Timesheet Raw'!$C$4:$C$8000,"*"&amp;$B388&amp;"*",'Timesheet Raw'!$L$4:$L$8000,"&gt;="&amp;N$5,'Timesheet Raw'!$L$4:$L$8000,"&lt;="&amp;N$6)))/'Profit Plan'!$B$5)</f>
        <v/>
      </c>
      <c r="O388" s="122" t="str">
        <f>IF($A388="","",(IF(ISNUMBER(SEARCH("Proposal",$A388)),SUMIFS('Timesheet Raw'!$P$4:$P$8000,'Timesheet Raw'!$A$4:$A$8000,IF(ISNUMBER(SEARCH("Chargable",$A388)),"2-Proposals Chargeable","3-Proposals Regular"),'Timesheet Raw'!$C$4:$C$8000,"*"&amp;$B388&amp;"*",'Timesheet Raw'!$L$4:$L$8000,"&gt;="&amp;MAX(O$5,DATE(2000+VALUE(RIGHT(TRIM($A388),2)),1,1)),'Timesheet Raw'!$L$4:$L$8000,"&lt;="&amp;MIN(O$6,DATE(2000+VALUE(RIGHT(TRIM($A388),2)),12,31))),SUMIFS('Timesheet Raw'!$P$4:$P$8000,'Timesheet Raw'!$B$4:$B$8000,TRIM($A388),'Timesheet Raw'!$C$4:$C$8000,"*"&amp;$B388&amp;"*",'Timesheet Raw'!$L$4:$L$8000,"&gt;="&amp;O$5,'Timesheet Raw'!$L$4:$L$8000,"&lt;="&amp;O$6)))/'Profit Plan'!$B$5)</f>
        <v/>
      </c>
      <c r="P388" s="122" t="str">
        <f>IF($A388="","",(IF(ISNUMBER(SEARCH("Proposal",$A388)),SUMIFS('Timesheet Raw'!$P$4:$P$8000,'Timesheet Raw'!$A$4:$A$8000,IF(ISNUMBER(SEARCH("Chargable",$A388)),"2-Proposals Chargeable","3-Proposals Regular"),'Timesheet Raw'!$C$4:$C$8000,"*"&amp;$B388&amp;"*",'Timesheet Raw'!$L$4:$L$8000,"&gt;="&amp;MAX(P$5,DATE(2000+VALUE(RIGHT(TRIM($A388),2)),1,1)),'Timesheet Raw'!$L$4:$L$8000,"&lt;="&amp;MIN(P$6,DATE(2000+VALUE(RIGHT(TRIM($A388),2)),12,31))),SUMIFS('Timesheet Raw'!$P$4:$P$8000,'Timesheet Raw'!$B$4:$B$8000,TRIM($A388),'Timesheet Raw'!$C$4:$C$8000,"*"&amp;$B388&amp;"*",'Timesheet Raw'!$L$4:$L$8000,"&gt;="&amp;P$5,'Timesheet Raw'!$L$4:$L$8000,"&lt;="&amp;P$6)))/'Profit Plan'!$B$5)</f>
        <v/>
      </c>
      <c r="Q388" s="122" t="str">
        <f>IF($A388="","",(IF(ISNUMBER(SEARCH("Proposal",$A388)),SUMIFS('Timesheet Raw'!$P$4:$P$8000,'Timesheet Raw'!$A$4:$A$8000,IF(ISNUMBER(SEARCH("Chargable",$A388)),"2-Proposals Chargeable","3-Proposals Regular"),'Timesheet Raw'!$C$4:$C$8000,"*"&amp;$B388&amp;"*",'Timesheet Raw'!$L$4:$L$8000,"&gt;="&amp;MAX(Q$5,DATE(2000+VALUE(RIGHT(TRIM($A388),2)),1,1)),'Timesheet Raw'!$L$4:$L$8000,"&lt;="&amp;MIN(Q$6,DATE(2000+VALUE(RIGHT(TRIM($A388),2)),12,31))),SUMIFS('Timesheet Raw'!$P$4:$P$8000,'Timesheet Raw'!$B$4:$B$8000,TRIM($A388),'Timesheet Raw'!$C$4:$C$8000,"*"&amp;$B388&amp;"*",'Timesheet Raw'!$L$4:$L$8000,"&gt;="&amp;Q$5,'Timesheet Raw'!$L$4:$L$8000,"&lt;="&amp;Q$6)))/'Profit Plan'!$B$5)</f>
        <v/>
      </c>
      <c r="R388" s="122" t="str">
        <f>IF($A388="","",(IF(ISNUMBER(SEARCH("Proposal",$A388)),SUMIFS('Timesheet Raw'!$P$4:$P$8000,'Timesheet Raw'!$A$4:$A$8000,IF(ISNUMBER(SEARCH("Chargable",$A388)),"2-Proposals Chargeable","3-Proposals Regular"),'Timesheet Raw'!$C$4:$C$8000,"*"&amp;$B388&amp;"*",'Timesheet Raw'!$L$4:$L$8000,"&gt;="&amp;MAX(R$5,DATE(2000+VALUE(RIGHT(TRIM($A388),2)),1,1)),'Timesheet Raw'!$L$4:$L$8000,"&lt;="&amp;MIN(R$6,DATE(2000+VALUE(RIGHT(TRIM($A388),2)),12,31))),SUMIFS('Timesheet Raw'!$P$4:$P$8000,'Timesheet Raw'!$B$4:$B$8000,TRIM($A388),'Timesheet Raw'!$C$4:$C$8000,"*"&amp;$B388&amp;"*",'Timesheet Raw'!$L$4:$L$8000,"&gt;="&amp;R$5,'Timesheet Raw'!$L$4:$L$8000,"&lt;="&amp;R$6)))/'Profit Plan'!$B$5)</f>
        <v/>
      </c>
      <c r="S388" s="122" t="str">
        <f>IF($A388="","",(IF(ISNUMBER(SEARCH("Proposal",$A388)),SUMIFS('Timesheet Raw'!$P$4:$P$8000,'Timesheet Raw'!$A$4:$A$8000,IF(ISNUMBER(SEARCH("Chargable",$A388)),"2-Proposals Chargeable","3-Proposals Regular"),'Timesheet Raw'!$C$4:$C$8000,"*"&amp;$B388&amp;"*",'Timesheet Raw'!$L$4:$L$8000,"&gt;="&amp;MAX(S$5,DATE(2000+VALUE(RIGHT(TRIM($A388),2)),1,1)),'Timesheet Raw'!$L$4:$L$8000,"&lt;="&amp;MIN(S$6,DATE(2000+VALUE(RIGHT(TRIM($A388),2)),12,31))),SUMIFS('Timesheet Raw'!$P$4:$P$8000,'Timesheet Raw'!$B$4:$B$8000,TRIM($A388),'Timesheet Raw'!$C$4:$C$8000,"*"&amp;$B388&amp;"*",'Timesheet Raw'!$L$4:$L$8000,"&gt;="&amp;S$5,'Timesheet Raw'!$L$4:$L$8000,"&lt;="&amp;S$6)))/'Profit Plan'!$B$5)</f>
        <v/>
      </c>
      <c r="T388" s="122" t="str">
        <f>IF($A388="","",(IF(ISNUMBER(SEARCH("Proposal",$A388)),SUMIFS('Timesheet Raw'!$P$4:$P$8000,'Timesheet Raw'!$A$4:$A$8000,IF(ISNUMBER(SEARCH("Chargable",$A388)),"2-Proposals Chargeable","3-Proposals Regular"),'Timesheet Raw'!$C$4:$C$8000,"*"&amp;$B388&amp;"*",'Timesheet Raw'!$L$4:$L$8000,"&gt;="&amp;MAX(T$5,DATE(2000+VALUE(RIGHT(TRIM($A388),2)),1,1)),'Timesheet Raw'!$L$4:$L$8000,"&lt;="&amp;MIN(T$6,DATE(2000+VALUE(RIGHT(TRIM($A388),2)),12,31))),SUMIFS('Timesheet Raw'!$P$4:$P$8000,'Timesheet Raw'!$B$4:$B$8000,TRIM($A388),'Timesheet Raw'!$C$4:$C$8000,"*"&amp;$B388&amp;"*",'Timesheet Raw'!$L$4:$L$8000,"&gt;="&amp;T$5,'Timesheet Raw'!$L$4:$L$8000,"&lt;="&amp;T$6)))/'Profit Plan'!$B$5)</f>
        <v/>
      </c>
      <c r="U388" s="122" t="str">
        <f>IF($A388="","",(IF(ISNUMBER(SEARCH("Proposal",$A388)),SUMIFS('Timesheet Raw'!$P$4:$P$8000,'Timesheet Raw'!$A$4:$A$8000,IF(ISNUMBER(SEARCH("Chargable",$A388)),"2-Proposals Chargeable","3-Proposals Regular"),'Timesheet Raw'!$C$4:$C$8000,"*"&amp;$B388&amp;"*",'Timesheet Raw'!$L$4:$L$8000,"&gt;="&amp;MAX(U$5,DATE(2000+VALUE(RIGHT(TRIM($A388),2)),1,1)),'Timesheet Raw'!$L$4:$L$8000,"&lt;="&amp;MIN(U$6,DATE(2000+VALUE(RIGHT(TRIM($A388),2)),12,31))),SUMIFS('Timesheet Raw'!$P$4:$P$8000,'Timesheet Raw'!$B$4:$B$8000,TRIM($A388),'Timesheet Raw'!$C$4:$C$8000,"*"&amp;$B388&amp;"*",'Timesheet Raw'!$L$4:$L$8000,"&gt;="&amp;U$5,'Timesheet Raw'!$L$4:$L$8000,"&lt;="&amp;U$6)))/'Profit Plan'!$B$5)</f>
        <v/>
      </c>
      <c r="V388" s="122" t="str">
        <f>IF($A388="","",(IF(ISNUMBER(SEARCH("Proposal",$A388)),SUMIFS('Timesheet Raw'!$P$4:$P$8000,'Timesheet Raw'!$A$4:$A$8000,IF(ISNUMBER(SEARCH("Chargable",$A388)),"2-Proposals Chargeable","3-Proposals Regular"),'Timesheet Raw'!$C$4:$C$8000,"*"&amp;$B388&amp;"*",'Timesheet Raw'!$L$4:$L$8000,"&gt;="&amp;MAX(V$5,DATE(2000+VALUE(RIGHT(TRIM($A388),2)),1,1)),'Timesheet Raw'!$L$4:$L$8000,"&lt;="&amp;MIN(V$6,DATE(2000+VALUE(RIGHT(TRIM($A388),2)),12,31))),SUMIFS('Timesheet Raw'!$P$4:$P$8000,'Timesheet Raw'!$B$4:$B$8000,TRIM($A388),'Timesheet Raw'!$C$4:$C$8000,"*"&amp;$B388&amp;"*",'Timesheet Raw'!$L$4:$L$8000,"&gt;="&amp;V$5,'Timesheet Raw'!$L$4:$L$8000,"&lt;="&amp;V$6)))/'Profit Plan'!$B$5)</f>
        <v/>
      </c>
      <c r="W388" s="122" t="str">
        <f>IF($A388="","",(IF(ISNUMBER(SEARCH("Proposal",$A388)),SUMIFS('Timesheet Raw'!$P$4:$P$8000,'Timesheet Raw'!$A$4:$A$8000,IF(ISNUMBER(SEARCH("Chargable",$A388)),"2-Proposals Chargeable","3-Proposals Regular"),'Timesheet Raw'!$C$4:$C$8000,"*"&amp;$B388&amp;"*",'Timesheet Raw'!$L$4:$L$8000,"&gt;="&amp;MAX(W$5,DATE(2000+VALUE(RIGHT(TRIM($A388),2)),1,1)),'Timesheet Raw'!$L$4:$L$8000,"&lt;="&amp;MIN(W$6,DATE(2000+VALUE(RIGHT(TRIM($A388),2)),12,31))),SUMIFS('Timesheet Raw'!$P$4:$P$8000,'Timesheet Raw'!$B$4:$B$8000,TRIM($A388),'Timesheet Raw'!$C$4:$C$8000,"*"&amp;$B388&amp;"*",'Timesheet Raw'!$L$4:$L$8000,"&gt;="&amp;W$5,'Timesheet Raw'!$L$4:$L$8000,"&lt;="&amp;W$6)))/'Profit Plan'!$B$5)</f>
        <v/>
      </c>
      <c r="X388" s="122" t="str">
        <f>IF($A388="","",(IF(ISNUMBER(SEARCH("Proposal",$A388)),SUMIFS('Timesheet Raw'!$P$4:$P$8000,'Timesheet Raw'!$A$4:$A$8000,IF(ISNUMBER(SEARCH("Chargable",$A388)),"2-Proposals Chargeable","3-Proposals Regular"),'Timesheet Raw'!$C$4:$C$8000,"*"&amp;$B388&amp;"*",'Timesheet Raw'!$L$4:$L$8000,"&gt;="&amp;MAX(X$5,DATE(2000+VALUE(RIGHT(TRIM($A388),2)),1,1)),'Timesheet Raw'!$L$4:$L$8000,"&lt;="&amp;MIN(X$6,DATE(2000+VALUE(RIGHT(TRIM($A388),2)),12,31))),SUMIFS('Timesheet Raw'!$P$4:$P$8000,'Timesheet Raw'!$B$4:$B$8000,TRIM($A388),'Timesheet Raw'!$C$4:$C$8000,"*"&amp;$B388&amp;"*",'Timesheet Raw'!$L$4:$L$8000,"&gt;="&amp;X$5,'Timesheet Raw'!$L$4:$L$8000,"&lt;="&amp;X$6)))/'Profit Plan'!$B$5)</f>
        <v/>
      </c>
      <c r="Y388" s="118">
        <f t="shared" si="101"/>
        <v>0</v>
      </c>
    </row>
    <row r="389" spans="1:25" x14ac:dyDescent="0.3">
      <c r="A389" s="116" t="str">
        <f>IF(Inputs!$A47="","",Inputs!$A47)</f>
        <v/>
      </c>
      <c r="B389" s="116" t="str">
        <f>IF(Inputs!$A47="","",Inputs!$A$92)</f>
        <v/>
      </c>
      <c r="C389" s="116"/>
      <c r="D389" s="122" t="str">
        <f>IF($A389="","",(IF(ISNUMBER(SEARCH("Proposal",$A389)),SUMIFS('Timesheet Raw'!$P$4:$P$8000,'Timesheet Raw'!$A$4:$A$8000,IF(ISNUMBER(SEARCH("Chargable",$A389)),"2-Proposals Chargeable","3-Proposals Regular"),'Timesheet Raw'!$C$4:$C$8000,"*"&amp;$B389&amp;"*",'Timesheet Raw'!$L$4:$L$8000,"&gt;="&amp;MAX(D$5,DATE(2000+VALUE(RIGHT(TRIM($A389),2)),1,1)),'Timesheet Raw'!$L$4:$L$8000,"&lt;="&amp;MIN(D$6,DATE(2000+VALUE(RIGHT(TRIM($A389),2)),12,31))),SUMIFS('Timesheet Raw'!$P$4:$P$8000,'Timesheet Raw'!$B$4:$B$8000,TRIM($A389),'Timesheet Raw'!$C$4:$C$8000,"*"&amp;$B389&amp;"*",'Timesheet Raw'!$L$4:$L$8000,"&gt;="&amp;D$5,'Timesheet Raw'!$L$4:$L$8000,"&lt;="&amp;D$6)))/'Profit Plan'!$B$5)</f>
        <v/>
      </c>
      <c r="E389" s="122" t="str">
        <f>IF($A389="","",(IF(ISNUMBER(SEARCH("Proposal",$A389)),SUMIFS('Timesheet Raw'!$P$4:$P$8000,'Timesheet Raw'!$A$4:$A$8000,IF(ISNUMBER(SEARCH("Chargable",$A389)),"2-Proposals Chargeable","3-Proposals Regular"),'Timesheet Raw'!$C$4:$C$8000,"*"&amp;$B389&amp;"*",'Timesheet Raw'!$L$4:$L$8000,"&gt;="&amp;MAX(E$5,DATE(2000+VALUE(RIGHT(TRIM($A389),2)),1,1)),'Timesheet Raw'!$L$4:$L$8000,"&lt;="&amp;MIN(E$6,DATE(2000+VALUE(RIGHT(TRIM($A389),2)),12,31))),SUMIFS('Timesheet Raw'!$P$4:$P$8000,'Timesheet Raw'!$B$4:$B$8000,TRIM($A389),'Timesheet Raw'!$C$4:$C$8000,"*"&amp;$B389&amp;"*",'Timesheet Raw'!$L$4:$L$8000,"&gt;="&amp;E$5,'Timesheet Raw'!$L$4:$L$8000,"&lt;="&amp;E$6)))/'Profit Plan'!$B$5)</f>
        <v/>
      </c>
      <c r="F389" s="122" t="str">
        <f>IF($A389="","",(IF(ISNUMBER(SEARCH("Proposal",$A389)),SUMIFS('Timesheet Raw'!$P$4:$P$8000,'Timesheet Raw'!$A$4:$A$8000,IF(ISNUMBER(SEARCH("Chargable",$A389)),"2-Proposals Chargeable","3-Proposals Regular"),'Timesheet Raw'!$C$4:$C$8000,"*"&amp;$B389&amp;"*",'Timesheet Raw'!$L$4:$L$8000,"&gt;="&amp;MAX(F$5,DATE(2000+VALUE(RIGHT(TRIM($A389),2)),1,1)),'Timesheet Raw'!$L$4:$L$8000,"&lt;="&amp;MIN(F$6,DATE(2000+VALUE(RIGHT(TRIM($A389),2)),12,31))),SUMIFS('Timesheet Raw'!$P$4:$P$8000,'Timesheet Raw'!$B$4:$B$8000,TRIM($A389),'Timesheet Raw'!$C$4:$C$8000,"*"&amp;$B389&amp;"*",'Timesheet Raw'!$L$4:$L$8000,"&gt;="&amp;F$5,'Timesheet Raw'!$L$4:$L$8000,"&lt;="&amp;F$6)))/'Profit Plan'!$B$5)</f>
        <v/>
      </c>
      <c r="G389" s="122" t="str">
        <f>IF($A389="","",(IF(ISNUMBER(SEARCH("Proposal",$A389)),SUMIFS('Timesheet Raw'!$P$4:$P$8000,'Timesheet Raw'!$A$4:$A$8000,IF(ISNUMBER(SEARCH("Chargable",$A389)),"2-Proposals Chargeable","3-Proposals Regular"),'Timesheet Raw'!$C$4:$C$8000,"*"&amp;$B389&amp;"*",'Timesheet Raw'!$L$4:$L$8000,"&gt;="&amp;MAX(G$5,DATE(2000+VALUE(RIGHT(TRIM($A389),2)),1,1)),'Timesheet Raw'!$L$4:$L$8000,"&lt;="&amp;MIN(G$6,DATE(2000+VALUE(RIGHT(TRIM($A389),2)),12,31))),SUMIFS('Timesheet Raw'!$P$4:$P$8000,'Timesheet Raw'!$B$4:$B$8000,TRIM($A389),'Timesheet Raw'!$C$4:$C$8000,"*"&amp;$B389&amp;"*",'Timesheet Raw'!$L$4:$L$8000,"&gt;="&amp;G$5,'Timesheet Raw'!$L$4:$L$8000,"&lt;="&amp;G$6)))/'Profit Plan'!$B$5)</f>
        <v/>
      </c>
      <c r="H389" s="122" t="str">
        <f>IF($A389="","",(IF(ISNUMBER(SEARCH("Proposal",$A389)),SUMIFS('Timesheet Raw'!$P$4:$P$8000,'Timesheet Raw'!$A$4:$A$8000,IF(ISNUMBER(SEARCH("Chargable",$A389)),"2-Proposals Chargeable","3-Proposals Regular"),'Timesheet Raw'!$C$4:$C$8000,"*"&amp;$B389&amp;"*",'Timesheet Raw'!$L$4:$L$8000,"&gt;="&amp;MAX(H$5,DATE(2000+VALUE(RIGHT(TRIM($A389),2)),1,1)),'Timesheet Raw'!$L$4:$L$8000,"&lt;="&amp;MIN(H$6,DATE(2000+VALUE(RIGHT(TRIM($A389),2)),12,31))),SUMIFS('Timesheet Raw'!$P$4:$P$8000,'Timesheet Raw'!$B$4:$B$8000,TRIM($A389),'Timesheet Raw'!$C$4:$C$8000,"*"&amp;$B389&amp;"*",'Timesheet Raw'!$L$4:$L$8000,"&gt;="&amp;H$5,'Timesheet Raw'!$L$4:$L$8000,"&lt;="&amp;H$6)))/'Profit Plan'!$B$5)</f>
        <v/>
      </c>
      <c r="I389" s="122" t="str">
        <f>IF($A389="","",(IF(ISNUMBER(SEARCH("Proposal",$A389)),SUMIFS('Timesheet Raw'!$P$4:$P$8000,'Timesheet Raw'!$A$4:$A$8000,IF(ISNUMBER(SEARCH("Chargable",$A389)),"2-Proposals Chargeable","3-Proposals Regular"),'Timesheet Raw'!$C$4:$C$8000,"*"&amp;$B389&amp;"*",'Timesheet Raw'!$L$4:$L$8000,"&gt;="&amp;MAX(I$5,DATE(2000+VALUE(RIGHT(TRIM($A389),2)),1,1)),'Timesheet Raw'!$L$4:$L$8000,"&lt;="&amp;MIN(I$6,DATE(2000+VALUE(RIGHT(TRIM($A389),2)),12,31))),SUMIFS('Timesheet Raw'!$P$4:$P$8000,'Timesheet Raw'!$B$4:$B$8000,TRIM($A389),'Timesheet Raw'!$C$4:$C$8000,"*"&amp;$B389&amp;"*",'Timesheet Raw'!$L$4:$L$8000,"&gt;="&amp;I$5,'Timesheet Raw'!$L$4:$L$8000,"&lt;="&amp;I$6)))/'Profit Plan'!$B$5)</f>
        <v/>
      </c>
      <c r="J389" s="122" t="str">
        <f>IF($A389="","",(IF(ISNUMBER(SEARCH("Proposal",$A389)),SUMIFS('Timesheet Raw'!$P$4:$P$8000,'Timesheet Raw'!$A$4:$A$8000,IF(ISNUMBER(SEARCH("Chargable",$A389)),"2-Proposals Chargeable","3-Proposals Regular"),'Timesheet Raw'!$C$4:$C$8000,"*"&amp;$B389&amp;"*",'Timesheet Raw'!$L$4:$L$8000,"&gt;="&amp;MAX(J$5,DATE(2000+VALUE(RIGHT(TRIM($A389),2)),1,1)),'Timesheet Raw'!$L$4:$L$8000,"&lt;="&amp;MIN(J$6,DATE(2000+VALUE(RIGHT(TRIM($A389),2)),12,31))),SUMIFS('Timesheet Raw'!$P$4:$P$8000,'Timesheet Raw'!$B$4:$B$8000,TRIM($A389),'Timesheet Raw'!$C$4:$C$8000,"*"&amp;$B389&amp;"*",'Timesheet Raw'!$L$4:$L$8000,"&gt;="&amp;J$5,'Timesheet Raw'!$L$4:$L$8000,"&lt;="&amp;J$6)))/'Profit Plan'!$B$5)</f>
        <v/>
      </c>
      <c r="K389" s="122" t="str">
        <f>IF($A389="","",(IF(ISNUMBER(SEARCH("Proposal",$A389)),SUMIFS('Timesheet Raw'!$P$4:$P$8000,'Timesheet Raw'!$A$4:$A$8000,IF(ISNUMBER(SEARCH("Chargable",$A389)),"2-Proposals Chargeable","3-Proposals Regular"),'Timesheet Raw'!$C$4:$C$8000,"*"&amp;$B389&amp;"*",'Timesheet Raw'!$L$4:$L$8000,"&gt;="&amp;MAX(K$5,DATE(2000+VALUE(RIGHT(TRIM($A389),2)),1,1)),'Timesheet Raw'!$L$4:$L$8000,"&lt;="&amp;MIN(K$6,DATE(2000+VALUE(RIGHT(TRIM($A389),2)),12,31))),SUMIFS('Timesheet Raw'!$P$4:$P$8000,'Timesheet Raw'!$B$4:$B$8000,TRIM($A389),'Timesheet Raw'!$C$4:$C$8000,"*"&amp;$B389&amp;"*",'Timesheet Raw'!$L$4:$L$8000,"&gt;="&amp;K$5,'Timesheet Raw'!$L$4:$L$8000,"&lt;="&amp;K$6)))/'Profit Plan'!$B$5)</f>
        <v/>
      </c>
      <c r="L389" s="122" t="str">
        <f>IF($A389="","",(IF(ISNUMBER(SEARCH("Proposal",$A389)),SUMIFS('Timesheet Raw'!$P$4:$P$8000,'Timesheet Raw'!$A$4:$A$8000,IF(ISNUMBER(SEARCH("Chargable",$A389)),"2-Proposals Chargeable","3-Proposals Regular"),'Timesheet Raw'!$C$4:$C$8000,"*"&amp;$B389&amp;"*",'Timesheet Raw'!$L$4:$L$8000,"&gt;="&amp;MAX(L$5,DATE(2000+VALUE(RIGHT(TRIM($A389),2)),1,1)),'Timesheet Raw'!$L$4:$L$8000,"&lt;="&amp;MIN(L$6,DATE(2000+VALUE(RIGHT(TRIM($A389),2)),12,31))),SUMIFS('Timesheet Raw'!$P$4:$P$8000,'Timesheet Raw'!$B$4:$B$8000,TRIM($A389),'Timesheet Raw'!$C$4:$C$8000,"*"&amp;$B389&amp;"*",'Timesheet Raw'!$L$4:$L$8000,"&gt;="&amp;L$5,'Timesheet Raw'!$L$4:$L$8000,"&lt;="&amp;L$6)))/'Profit Plan'!$B$5)</f>
        <v/>
      </c>
      <c r="M389" s="122" t="str">
        <f>IF($A389="","",(IF(ISNUMBER(SEARCH("Proposal",$A389)),SUMIFS('Timesheet Raw'!$P$4:$P$8000,'Timesheet Raw'!$A$4:$A$8000,IF(ISNUMBER(SEARCH("Chargable",$A389)),"2-Proposals Chargeable","3-Proposals Regular"),'Timesheet Raw'!$C$4:$C$8000,"*"&amp;$B389&amp;"*",'Timesheet Raw'!$L$4:$L$8000,"&gt;="&amp;MAX(M$5,DATE(2000+VALUE(RIGHT(TRIM($A389),2)),1,1)),'Timesheet Raw'!$L$4:$L$8000,"&lt;="&amp;MIN(M$6,DATE(2000+VALUE(RIGHT(TRIM($A389),2)),12,31))),SUMIFS('Timesheet Raw'!$P$4:$P$8000,'Timesheet Raw'!$B$4:$B$8000,TRIM($A389),'Timesheet Raw'!$C$4:$C$8000,"*"&amp;$B389&amp;"*",'Timesheet Raw'!$L$4:$L$8000,"&gt;="&amp;M$5,'Timesheet Raw'!$L$4:$L$8000,"&lt;="&amp;M$6)))/'Profit Plan'!$B$5)</f>
        <v/>
      </c>
      <c r="N389" s="122" t="str">
        <f>IF($A389="","",(IF(ISNUMBER(SEARCH("Proposal",$A389)),SUMIFS('Timesheet Raw'!$P$4:$P$8000,'Timesheet Raw'!$A$4:$A$8000,IF(ISNUMBER(SEARCH("Chargable",$A389)),"2-Proposals Chargeable","3-Proposals Regular"),'Timesheet Raw'!$C$4:$C$8000,"*"&amp;$B389&amp;"*",'Timesheet Raw'!$L$4:$L$8000,"&gt;="&amp;MAX(N$5,DATE(2000+VALUE(RIGHT(TRIM($A389),2)),1,1)),'Timesheet Raw'!$L$4:$L$8000,"&lt;="&amp;MIN(N$6,DATE(2000+VALUE(RIGHT(TRIM($A389),2)),12,31))),SUMIFS('Timesheet Raw'!$P$4:$P$8000,'Timesheet Raw'!$B$4:$B$8000,TRIM($A389),'Timesheet Raw'!$C$4:$C$8000,"*"&amp;$B389&amp;"*",'Timesheet Raw'!$L$4:$L$8000,"&gt;="&amp;N$5,'Timesheet Raw'!$L$4:$L$8000,"&lt;="&amp;N$6)))/'Profit Plan'!$B$5)</f>
        <v/>
      </c>
      <c r="O389" s="122" t="str">
        <f>IF($A389="","",(IF(ISNUMBER(SEARCH("Proposal",$A389)),SUMIFS('Timesheet Raw'!$P$4:$P$8000,'Timesheet Raw'!$A$4:$A$8000,IF(ISNUMBER(SEARCH("Chargable",$A389)),"2-Proposals Chargeable","3-Proposals Regular"),'Timesheet Raw'!$C$4:$C$8000,"*"&amp;$B389&amp;"*",'Timesheet Raw'!$L$4:$L$8000,"&gt;="&amp;MAX(O$5,DATE(2000+VALUE(RIGHT(TRIM($A389),2)),1,1)),'Timesheet Raw'!$L$4:$L$8000,"&lt;="&amp;MIN(O$6,DATE(2000+VALUE(RIGHT(TRIM($A389),2)),12,31))),SUMIFS('Timesheet Raw'!$P$4:$P$8000,'Timesheet Raw'!$B$4:$B$8000,TRIM($A389),'Timesheet Raw'!$C$4:$C$8000,"*"&amp;$B389&amp;"*",'Timesheet Raw'!$L$4:$L$8000,"&gt;="&amp;O$5,'Timesheet Raw'!$L$4:$L$8000,"&lt;="&amp;O$6)))/'Profit Plan'!$B$5)</f>
        <v/>
      </c>
      <c r="P389" s="122" t="str">
        <f>IF($A389="","",(IF(ISNUMBER(SEARCH("Proposal",$A389)),SUMIFS('Timesheet Raw'!$P$4:$P$8000,'Timesheet Raw'!$A$4:$A$8000,IF(ISNUMBER(SEARCH("Chargable",$A389)),"2-Proposals Chargeable","3-Proposals Regular"),'Timesheet Raw'!$C$4:$C$8000,"*"&amp;$B389&amp;"*",'Timesheet Raw'!$L$4:$L$8000,"&gt;="&amp;MAX(P$5,DATE(2000+VALUE(RIGHT(TRIM($A389),2)),1,1)),'Timesheet Raw'!$L$4:$L$8000,"&lt;="&amp;MIN(P$6,DATE(2000+VALUE(RIGHT(TRIM($A389),2)),12,31))),SUMIFS('Timesheet Raw'!$P$4:$P$8000,'Timesheet Raw'!$B$4:$B$8000,TRIM($A389),'Timesheet Raw'!$C$4:$C$8000,"*"&amp;$B389&amp;"*",'Timesheet Raw'!$L$4:$L$8000,"&gt;="&amp;P$5,'Timesheet Raw'!$L$4:$L$8000,"&lt;="&amp;P$6)))/'Profit Plan'!$B$5)</f>
        <v/>
      </c>
      <c r="Q389" s="122" t="str">
        <f>IF($A389="","",(IF(ISNUMBER(SEARCH("Proposal",$A389)),SUMIFS('Timesheet Raw'!$P$4:$P$8000,'Timesheet Raw'!$A$4:$A$8000,IF(ISNUMBER(SEARCH("Chargable",$A389)),"2-Proposals Chargeable","3-Proposals Regular"),'Timesheet Raw'!$C$4:$C$8000,"*"&amp;$B389&amp;"*",'Timesheet Raw'!$L$4:$L$8000,"&gt;="&amp;MAX(Q$5,DATE(2000+VALUE(RIGHT(TRIM($A389),2)),1,1)),'Timesheet Raw'!$L$4:$L$8000,"&lt;="&amp;MIN(Q$6,DATE(2000+VALUE(RIGHT(TRIM($A389),2)),12,31))),SUMIFS('Timesheet Raw'!$P$4:$P$8000,'Timesheet Raw'!$B$4:$B$8000,TRIM($A389),'Timesheet Raw'!$C$4:$C$8000,"*"&amp;$B389&amp;"*",'Timesheet Raw'!$L$4:$L$8000,"&gt;="&amp;Q$5,'Timesheet Raw'!$L$4:$L$8000,"&lt;="&amp;Q$6)))/'Profit Plan'!$B$5)</f>
        <v/>
      </c>
      <c r="R389" s="122" t="str">
        <f>IF($A389="","",(IF(ISNUMBER(SEARCH("Proposal",$A389)),SUMIFS('Timesheet Raw'!$P$4:$P$8000,'Timesheet Raw'!$A$4:$A$8000,IF(ISNUMBER(SEARCH("Chargable",$A389)),"2-Proposals Chargeable","3-Proposals Regular"),'Timesheet Raw'!$C$4:$C$8000,"*"&amp;$B389&amp;"*",'Timesheet Raw'!$L$4:$L$8000,"&gt;="&amp;MAX(R$5,DATE(2000+VALUE(RIGHT(TRIM($A389),2)),1,1)),'Timesheet Raw'!$L$4:$L$8000,"&lt;="&amp;MIN(R$6,DATE(2000+VALUE(RIGHT(TRIM($A389),2)),12,31))),SUMIFS('Timesheet Raw'!$P$4:$P$8000,'Timesheet Raw'!$B$4:$B$8000,TRIM($A389),'Timesheet Raw'!$C$4:$C$8000,"*"&amp;$B389&amp;"*",'Timesheet Raw'!$L$4:$L$8000,"&gt;="&amp;R$5,'Timesheet Raw'!$L$4:$L$8000,"&lt;="&amp;R$6)))/'Profit Plan'!$B$5)</f>
        <v/>
      </c>
      <c r="S389" s="122" t="str">
        <f>IF($A389="","",(IF(ISNUMBER(SEARCH("Proposal",$A389)),SUMIFS('Timesheet Raw'!$P$4:$P$8000,'Timesheet Raw'!$A$4:$A$8000,IF(ISNUMBER(SEARCH("Chargable",$A389)),"2-Proposals Chargeable","3-Proposals Regular"),'Timesheet Raw'!$C$4:$C$8000,"*"&amp;$B389&amp;"*",'Timesheet Raw'!$L$4:$L$8000,"&gt;="&amp;MAX(S$5,DATE(2000+VALUE(RIGHT(TRIM($A389),2)),1,1)),'Timesheet Raw'!$L$4:$L$8000,"&lt;="&amp;MIN(S$6,DATE(2000+VALUE(RIGHT(TRIM($A389),2)),12,31))),SUMIFS('Timesheet Raw'!$P$4:$P$8000,'Timesheet Raw'!$B$4:$B$8000,TRIM($A389),'Timesheet Raw'!$C$4:$C$8000,"*"&amp;$B389&amp;"*",'Timesheet Raw'!$L$4:$L$8000,"&gt;="&amp;S$5,'Timesheet Raw'!$L$4:$L$8000,"&lt;="&amp;S$6)))/'Profit Plan'!$B$5)</f>
        <v/>
      </c>
      <c r="T389" s="122" t="str">
        <f>IF($A389="","",(IF(ISNUMBER(SEARCH("Proposal",$A389)),SUMIFS('Timesheet Raw'!$P$4:$P$8000,'Timesheet Raw'!$A$4:$A$8000,IF(ISNUMBER(SEARCH("Chargable",$A389)),"2-Proposals Chargeable","3-Proposals Regular"),'Timesheet Raw'!$C$4:$C$8000,"*"&amp;$B389&amp;"*",'Timesheet Raw'!$L$4:$L$8000,"&gt;="&amp;MAX(T$5,DATE(2000+VALUE(RIGHT(TRIM($A389),2)),1,1)),'Timesheet Raw'!$L$4:$L$8000,"&lt;="&amp;MIN(T$6,DATE(2000+VALUE(RIGHT(TRIM($A389),2)),12,31))),SUMIFS('Timesheet Raw'!$P$4:$P$8000,'Timesheet Raw'!$B$4:$B$8000,TRIM($A389),'Timesheet Raw'!$C$4:$C$8000,"*"&amp;$B389&amp;"*",'Timesheet Raw'!$L$4:$L$8000,"&gt;="&amp;T$5,'Timesheet Raw'!$L$4:$L$8000,"&lt;="&amp;T$6)))/'Profit Plan'!$B$5)</f>
        <v/>
      </c>
      <c r="U389" s="122" t="str">
        <f>IF($A389="","",(IF(ISNUMBER(SEARCH("Proposal",$A389)),SUMIFS('Timesheet Raw'!$P$4:$P$8000,'Timesheet Raw'!$A$4:$A$8000,IF(ISNUMBER(SEARCH("Chargable",$A389)),"2-Proposals Chargeable","3-Proposals Regular"),'Timesheet Raw'!$C$4:$C$8000,"*"&amp;$B389&amp;"*",'Timesheet Raw'!$L$4:$L$8000,"&gt;="&amp;MAX(U$5,DATE(2000+VALUE(RIGHT(TRIM($A389),2)),1,1)),'Timesheet Raw'!$L$4:$L$8000,"&lt;="&amp;MIN(U$6,DATE(2000+VALUE(RIGHT(TRIM($A389),2)),12,31))),SUMIFS('Timesheet Raw'!$P$4:$P$8000,'Timesheet Raw'!$B$4:$B$8000,TRIM($A389),'Timesheet Raw'!$C$4:$C$8000,"*"&amp;$B389&amp;"*",'Timesheet Raw'!$L$4:$L$8000,"&gt;="&amp;U$5,'Timesheet Raw'!$L$4:$L$8000,"&lt;="&amp;U$6)))/'Profit Plan'!$B$5)</f>
        <v/>
      </c>
      <c r="V389" s="122" t="str">
        <f>IF($A389="","",(IF(ISNUMBER(SEARCH("Proposal",$A389)),SUMIFS('Timesheet Raw'!$P$4:$P$8000,'Timesheet Raw'!$A$4:$A$8000,IF(ISNUMBER(SEARCH("Chargable",$A389)),"2-Proposals Chargeable","3-Proposals Regular"),'Timesheet Raw'!$C$4:$C$8000,"*"&amp;$B389&amp;"*",'Timesheet Raw'!$L$4:$L$8000,"&gt;="&amp;MAX(V$5,DATE(2000+VALUE(RIGHT(TRIM($A389),2)),1,1)),'Timesheet Raw'!$L$4:$L$8000,"&lt;="&amp;MIN(V$6,DATE(2000+VALUE(RIGHT(TRIM($A389),2)),12,31))),SUMIFS('Timesheet Raw'!$P$4:$P$8000,'Timesheet Raw'!$B$4:$B$8000,TRIM($A389),'Timesheet Raw'!$C$4:$C$8000,"*"&amp;$B389&amp;"*",'Timesheet Raw'!$L$4:$L$8000,"&gt;="&amp;V$5,'Timesheet Raw'!$L$4:$L$8000,"&lt;="&amp;V$6)))/'Profit Plan'!$B$5)</f>
        <v/>
      </c>
      <c r="W389" s="122" t="str">
        <f>IF($A389="","",(IF(ISNUMBER(SEARCH("Proposal",$A389)),SUMIFS('Timesheet Raw'!$P$4:$P$8000,'Timesheet Raw'!$A$4:$A$8000,IF(ISNUMBER(SEARCH("Chargable",$A389)),"2-Proposals Chargeable","3-Proposals Regular"),'Timesheet Raw'!$C$4:$C$8000,"*"&amp;$B389&amp;"*",'Timesheet Raw'!$L$4:$L$8000,"&gt;="&amp;MAX(W$5,DATE(2000+VALUE(RIGHT(TRIM($A389),2)),1,1)),'Timesheet Raw'!$L$4:$L$8000,"&lt;="&amp;MIN(W$6,DATE(2000+VALUE(RIGHT(TRIM($A389),2)),12,31))),SUMIFS('Timesheet Raw'!$P$4:$P$8000,'Timesheet Raw'!$B$4:$B$8000,TRIM($A389),'Timesheet Raw'!$C$4:$C$8000,"*"&amp;$B389&amp;"*",'Timesheet Raw'!$L$4:$L$8000,"&gt;="&amp;W$5,'Timesheet Raw'!$L$4:$L$8000,"&lt;="&amp;W$6)))/'Profit Plan'!$B$5)</f>
        <v/>
      </c>
      <c r="X389" s="122" t="str">
        <f>IF($A389="","",(IF(ISNUMBER(SEARCH("Proposal",$A389)),SUMIFS('Timesheet Raw'!$P$4:$P$8000,'Timesheet Raw'!$A$4:$A$8000,IF(ISNUMBER(SEARCH("Chargable",$A389)),"2-Proposals Chargeable","3-Proposals Regular"),'Timesheet Raw'!$C$4:$C$8000,"*"&amp;$B389&amp;"*",'Timesheet Raw'!$L$4:$L$8000,"&gt;="&amp;MAX(X$5,DATE(2000+VALUE(RIGHT(TRIM($A389),2)),1,1)),'Timesheet Raw'!$L$4:$L$8000,"&lt;="&amp;MIN(X$6,DATE(2000+VALUE(RIGHT(TRIM($A389),2)),12,31))),SUMIFS('Timesheet Raw'!$P$4:$P$8000,'Timesheet Raw'!$B$4:$B$8000,TRIM($A389),'Timesheet Raw'!$C$4:$C$8000,"*"&amp;$B389&amp;"*",'Timesheet Raw'!$L$4:$L$8000,"&gt;="&amp;X$5,'Timesheet Raw'!$L$4:$L$8000,"&lt;="&amp;X$6)))/'Profit Plan'!$B$5)</f>
        <v/>
      </c>
      <c r="Y389" s="118">
        <f t="shared" si="101"/>
        <v>0</v>
      </c>
    </row>
    <row r="390" spans="1:25" x14ac:dyDescent="0.3">
      <c r="A390" s="116" t="str">
        <f>IF(Inputs!$A47="","",Inputs!$A47)</f>
        <v/>
      </c>
      <c r="B390" s="116" t="str">
        <f>IF(Inputs!$A47="","",Inputs!$A$93)</f>
        <v/>
      </c>
      <c r="C390" s="116"/>
      <c r="D390" s="122" t="str">
        <f>IF($A390="","",(IF(ISNUMBER(SEARCH("Proposal",$A390)),SUMIFS('Timesheet Raw'!$P$4:$P$8000,'Timesheet Raw'!$A$4:$A$8000,IF(ISNUMBER(SEARCH("Chargable",$A390)),"2-Proposals Chargeable","3-Proposals Regular"),'Timesheet Raw'!$C$4:$C$8000,"*"&amp;$B390&amp;"*",'Timesheet Raw'!$L$4:$L$8000,"&gt;="&amp;MAX(D$5,DATE(2000+VALUE(RIGHT(TRIM($A390),2)),1,1)),'Timesheet Raw'!$L$4:$L$8000,"&lt;="&amp;MIN(D$6,DATE(2000+VALUE(RIGHT(TRIM($A390),2)),12,31))),SUMIFS('Timesheet Raw'!$P$4:$P$8000,'Timesheet Raw'!$B$4:$B$8000,TRIM($A390),'Timesheet Raw'!$C$4:$C$8000,"*"&amp;$B390&amp;"*",'Timesheet Raw'!$L$4:$L$8000,"&gt;="&amp;D$5,'Timesheet Raw'!$L$4:$L$8000,"&lt;="&amp;D$6)))/'Profit Plan'!$B$5)</f>
        <v/>
      </c>
      <c r="E390" s="122" t="str">
        <f>IF($A390="","",(IF(ISNUMBER(SEARCH("Proposal",$A390)),SUMIFS('Timesheet Raw'!$P$4:$P$8000,'Timesheet Raw'!$A$4:$A$8000,IF(ISNUMBER(SEARCH("Chargable",$A390)),"2-Proposals Chargeable","3-Proposals Regular"),'Timesheet Raw'!$C$4:$C$8000,"*"&amp;$B390&amp;"*",'Timesheet Raw'!$L$4:$L$8000,"&gt;="&amp;MAX(E$5,DATE(2000+VALUE(RIGHT(TRIM($A390),2)),1,1)),'Timesheet Raw'!$L$4:$L$8000,"&lt;="&amp;MIN(E$6,DATE(2000+VALUE(RIGHT(TRIM($A390),2)),12,31))),SUMIFS('Timesheet Raw'!$P$4:$P$8000,'Timesheet Raw'!$B$4:$B$8000,TRIM($A390),'Timesheet Raw'!$C$4:$C$8000,"*"&amp;$B390&amp;"*",'Timesheet Raw'!$L$4:$L$8000,"&gt;="&amp;E$5,'Timesheet Raw'!$L$4:$L$8000,"&lt;="&amp;E$6)))/'Profit Plan'!$B$5)</f>
        <v/>
      </c>
      <c r="F390" s="122" t="str">
        <f>IF($A390="","",(IF(ISNUMBER(SEARCH("Proposal",$A390)),SUMIFS('Timesheet Raw'!$P$4:$P$8000,'Timesheet Raw'!$A$4:$A$8000,IF(ISNUMBER(SEARCH("Chargable",$A390)),"2-Proposals Chargeable","3-Proposals Regular"),'Timesheet Raw'!$C$4:$C$8000,"*"&amp;$B390&amp;"*",'Timesheet Raw'!$L$4:$L$8000,"&gt;="&amp;MAX(F$5,DATE(2000+VALUE(RIGHT(TRIM($A390),2)),1,1)),'Timesheet Raw'!$L$4:$L$8000,"&lt;="&amp;MIN(F$6,DATE(2000+VALUE(RIGHT(TRIM($A390),2)),12,31))),SUMIFS('Timesheet Raw'!$P$4:$P$8000,'Timesheet Raw'!$B$4:$B$8000,TRIM($A390),'Timesheet Raw'!$C$4:$C$8000,"*"&amp;$B390&amp;"*",'Timesheet Raw'!$L$4:$L$8000,"&gt;="&amp;F$5,'Timesheet Raw'!$L$4:$L$8000,"&lt;="&amp;F$6)))/'Profit Plan'!$B$5)</f>
        <v/>
      </c>
      <c r="G390" s="122" t="str">
        <f>IF($A390="","",(IF(ISNUMBER(SEARCH("Proposal",$A390)),SUMIFS('Timesheet Raw'!$P$4:$P$8000,'Timesheet Raw'!$A$4:$A$8000,IF(ISNUMBER(SEARCH("Chargable",$A390)),"2-Proposals Chargeable","3-Proposals Regular"),'Timesheet Raw'!$C$4:$C$8000,"*"&amp;$B390&amp;"*",'Timesheet Raw'!$L$4:$L$8000,"&gt;="&amp;MAX(G$5,DATE(2000+VALUE(RIGHT(TRIM($A390),2)),1,1)),'Timesheet Raw'!$L$4:$L$8000,"&lt;="&amp;MIN(G$6,DATE(2000+VALUE(RIGHT(TRIM($A390),2)),12,31))),SUMIFS('Timesheet Raw'!$P$4:$P$8000,'Timesheet Raw'!$B$4:$B$8000,TRIM($A390),'Timesheet Raw'!$C$4:$C$8000,"*"&amp;$B390&amp;"*",'Timesheet Raw'!$L$4:$L$8000,"&gt;="&amp;G$5,'Timesheet Raw'!$L$4:$L$8000,"&lt;="&amp;G$6)))/'Profit Plan'!$B$5)</f>
        <v/>
      </c>
      <c r="H390" s="122" t="str">
        <f>IF($A390="","",(IF(ISNUMBER(SEARCH("Proposal",$A390)),SUMIFS('Timesheet Raw'!$P$4:$P$8000,'Timesheet Raw'!$A$4:$A$8000,IF(ISNUMBER(SEARCH("Chargable",$A390)),"2-Proposals Chargeable","3-Proposals Regular"),'Timesheet Raw'!$C$4:$C$8000,"*"&amp;$B390&amp;"*",'Timesheet Raw'!$L$4:$L$8000,"&gt;="&amp;MAX(H$5,DATE(2000+VALUE(RIGHT(TRIM($A390),2)),1,1)),'Timesheet Raw'!$L$4:$L$8000,"&lt;="&amp;MIN(H$6,DATE(2000+VALUE(RIGHT(TRIM($A390),2)),12,31))),SUMIFS('Timesheet Raw'!$P$4:$P$8000,'Timesheet Raw'!$B$4:$B$8000,TRIM($A390),'Timesheet Raw'!$C$4:$C$8000,"*"&amp;$B390&amp;"*",'Timesheet Raw'!$L$4:$L$8000,"&gt;="&amp;H$5,'Timesheet Raw'!$L$4:$L$8000,"&lt;="&amp;H$6)))/'Profit Plan'!$B$5)</f>
        <v/>
      </c>
      <c r="I390" s="122" t="str">
        <f>IF($A390="","",(IF(ISNUMBER(SEARCH("Proposal",$A390)),SUMIFS('Timesheet Raw'!$P$4:$P$8000,'Timesheet Raw'!$A$4:$A$8000,IF(ISNUMBER(SEARCH("Chargable",$A390)),"2-Proposals Chargeable","3-Proposals Regular"),'Timesheet Raw'!$C$4:$C$8000,"*"&amp;$B390&amp;"*",'Timesheet Raw'!$L$4:$L$8000,"&gt;="&amp;MAX(I$5,DATE(2000+VALUE(RIGHT(TRIM($A390),2)),1,1)),'Timesheet Raw'!$L$4:$L$8000,"&lt;="&amp;MIN(I$6,DATE(2000+VALUE(RIGHT(TRIM($A390),2)),12,31))),SUMIFS('Timesheet Raw'!$P$4:$P$8000,'Timesheet Raw'!$B$4:$B$8000,TRIM($A390),'Timesheet Raw'!$C$4:$C$8000,"*"&amp;$B390&amp;"*",'Timesheet Raw'!$L$4:$L$8000,"&gt;="&amp;I$5,'Timesheet Raw'!$L$4:$L$8000,"&lt;="&amp;I$6)))/'Profit Plan'!$B$5)</f>
        <v/>
      </c>
      <c r="J390" s="122" t="str">
        <f>IF($A390="","",(IF(ISNUMBER(SEARCH("Proposal",$A390)),SUMIFS('Timesheet Raw'!$P$4:$P$8000,'Timesheet Raw'!$A$4:$A$8000,IF(ISNUMBER(SEARCH("Chargable",$A390)),"2-Proposals Chargeable","3-Proposals Regular"),'Timesheet Raw'!$C$4:$C$8000,"*"&amp;$B390&amp;"*",'Timesheet Raw'!$L$4:$L$8000,"&gt;="&amp;MAX(J$5,DATE(2000+VALUE(RIGHT(TRIM($A390),2)),1,1)),'Timesheet Raw'!$L$4:$L$8000,"&lt;="&amp;MIN(J$6,DATE(2000+VALUE(RIGHT(TRIM($A390),2)),12,31))),SUMIFS('Timesheet Raw'!$P$4:$P$8000,'Timesheet Raw'!$B$4:$B$8000,TRIM($A390),'Timesheet Raw'!$C$4:$C$8000,"*"&amp;$B390&amp;"*",'Timesheet Raw'!$L$4:$L$8000,"&gt;="&amp;J$5,'Timesheet Raw'!$L$4:$L$8000,"&lt;="&amp;J$6)))/'Profit Plan'!$B$5)</f>
        <v/>
      </c>
      <c r="K390" s="122" t="str">
        <f>IF($A390="","",(IF(ISNUMBER(SEARCH("Proposal",$A390)),SUMIFS('Timesheet Raw'!$P$4:$P$8000,'Timesheet Raw'!$A$4:$A$8000,IF(ISNUMBER(SEARCH("Chargable",$A390)),"2-Proposals Chargeable","3-Proposals Regular"),'Timesheet Raw'!$C$4:$C$8000,"*"&amp;$B390&amp;"*",'Timesheet Raw'!$L$4:$L$8000,"&gt;="&amp;MAX(K$5,DATE(2000+VALUE(RIGHT(TRIM($A390),2)),1,1)),'Timesheet Raw'!$L$4:$L$8000,"&lt;="&amp;MIN(K$6,DATE(2000+VALUE(RIGHT(TRIM($A390),2)),12,31))),SUMIFS('Timesheet Raw'!$P$4:$P$8000,'Timesheet Raw'!$B$4:$B$8000,TRIM($A390),'Timesheet Raw'!$C$4:$C$8000,"*"&amp;$B390&amp;"*",'Timesheet Raw'!$L$4:$L$8000,"&gt;="&amp;K$5,'Timesheet Raw'!$L$4:$L$8000,"&lt;="&amp;K$6)))/'Profit Plan'!$B$5)</f>
        <v/>
      </c>
      <c r="L390" s="122" t="str">
        <f>IF($A390="","",(IF(ISNUMBER(SEARCH("Proposal",$A390)),SUMIFS('Timesheet Raw'!$P$4:$P$8000,'Timesheet Raw'!$A$4:$A$8000,IF(ISNUMBER(SEARCH("Chargable",$A390)),"2-Proposals Chargeable","3-Proposals Regular"),'Timesheet Raw'!$C$4:$C$8000,"*"&amp;$B390&amp;"*",'Timesheet Raw'!$L$4:$L$8000,"&gt;="&amp;MAX(L$5,DATE(2000+VALUE(RIGHT(TRIM($A390),2)),1,1)),'Timesheet Raw'!$L$4:$L$8000,"&lt;="&amp;MIN(L$6,DATE(2000+VALUE(RIGHT(TRIM($A390),2)),12,31))),SUMIFS('Timesheet Raw'!$P$4:$P$8000,'Timesheet Raw'!$B$4:$B$8000,TRIM($A390),'Timesheet Raw'!$C$4:$C$8000,"*"&amp;$B390&amp;"*",'Timesheet Raw'!$L$4:$L$8000,"&gt;="&amp;L$5,'Timesheet Raw'!$L$4:$L$8000,"&lt;="&amp;L$6)))/'Profit Plan'!$B$5)</f>
        <v/>
      </c>
      <c r="M390" s="122" t="str">
        <f>IF($A390="","",(IF(ISNUMBER(SEARCH("Proposal",$A390)),SUMIFS('Timesheet Raw'!$P$4:$P$8000,'Timesheet Raw'!$A$4:$A$8000,IF(ISNUMBER(SEARCH("Chargable",$A390)),"2-Proposals Chargeable","3-Proposals Regular"),'Timesheet Raw'!$C$4:$C$8000,"*"&amp;$B390&amp;"*",'Timesheet Raw'!$L$4:$L$8000,"&gt;="&amp;MAX(M$5,DATE(2000+VALUE(RIGHT(TRIM($A390),2)),1,1)),'Timesheet Raw'!$L$4:$L$8000,"&lt;="&amp;MIN(M$6,DATE(2000+VALUE(RIGHT(TRIM($A390),2)),12,31))),SUMIFS('Timesheet Raw'!$P$4:$P$8000,'Timesheet Raw'!$B$4:$B$8000,TRIM($A390),'Timesheet Raw'!$C$4:$C$8000,"*"&amp;$B390&amp;"*",'Timesheet Raw'!$L$4:$L$8000,"&gt;="&amp;M$5,'Timesheet Raw'!$L$4:$L$8000,"&lt;="&amp;M$6)))/'Profit Plan'!$B$5)</f>
        <v/>
      </c>
      <c r="N390" s="122" t="str">
        <f>IF($A390="","",(IF(ISNUMBER(SEARCH("Proposal",$A390)),SUMIFS('Timesheet Raw'!$P$4:$P$8000,'Timesheet Raw'!$A$4:$A$8000,IF(ISNUMBER(SEARCH("Chargable",$A390)),"2-Proposals Chargeable","3-Proposals Regular"),'Timesheet Raw'!$C$4:$C$8000,"*"&amp;$B390&amp;"*",'Timesheet Raw'!$L$4:$L$8000,"&gt;="&amp;MAX(N$5,DATE(2000+VALUE(RIGHT(TRIM($A390),2)),1,1)),'Timesheet Raw'!$L$4:$L$8000,"&lt;="&amp;MIN(N$6,DATE(2000+VALUE(RIGHT(TRIM($A390),2)),12,31))),SUMIFS('Timesheet Raw'!$P$4:$P$8000,'Timesheet Raw'!$B$4:$B$8000,TRIM($A390),'Timesheet Raw'!$C$4:$C$8000,"*"&amp;$B390&amp;"*",'Timesheet Raw'!$L$4:$L$8000,"&gt;="&amp;N$5,'Timesheet Raw'!$L$4:$L$8000,"&lt;="&amp;N$6)))/'Profit Plan'!$B$5)</f>
        <v/>
      </c>
      <c r="O390" s="122" t="str">
        <f>IF($A390="","",(IF(ISNUMBER(SEARCH("Proposal",$A390)),SUMIFS('Timesheet Raw'!$P$4:$P$8000,'Timesheet Raw'!$A$4:$A$8000,IF(ISNUMBER(SEARCH("Chargable",$A390)),"2-Proposals Chargeable","3-Proposals Regular"),'Timesheet Raw'!$C$4:$C$8000,"*"&amp;$B390&amp;"*",'Timesheet Raw'!$L$4:$L$8000,"&gt;="&amp;MAX(O$5,DATE(2000+VALUE(RIGHT(TRIM($A390),2)),1,1)),'Timesheet Raw'!$L$4:$L$8000,"&lt;="&amp;MIN(O$6,DATE(2000+VALUE(RIGHT(TRIM($A390),2)),12,31))),SUMIFS('Timesheet Raw'!$P$4:$P$8000,'Timesheet Raw'!$B$4:$B$8000,TRIM($A390),'Timesheet Raw'!$C$4:$C$8000,"*"&amp;$B390&amp;"*",'Timesheet Raw'!$L$4:$L$8000,"&gt;="&amp;O$5,'Timesheet Raw'!$L$4:$L$8000,"&lt;="&amp;O$6)))/'Profit Plan'!$B$5)</f>
        <v/>
      </c>
      <c r="P390" s="122" t="str">
        <f>IF($A390="","",(IF(ISNUMBER(SEARCH("Proposal",$A390)),SUMIFS('Timesheet Raw'!$P$4:$P$8000,'Timesheet Raw'!$A$4:$A$8000,IF(ISNUMBER(SEARCH("Chargable",$A390)),"2-Proposals Chargeable","3-Proposals Regular"),'Timesheet Raw'!$C$4:$C$8000,"*"&amp;$B390&amp;"*",'Timesheet Raw'!$L$4:$L$8000,"&gt;="&amp;MAX(P$5,DATE(2000+VALUE(RIGHT(TRIM($A390),2)),1,1)),'Timesheet Raw'!$L$4:$L$8000,"&lt;="&amp;MIN(P$6,DATE(2000+VALUE(RIGHT(TRIM($A390),2)),12,31))),SUMIFS('Timesheet Raw'!$P$4:$P$8000,'Timesheet Raw'!$B$4:$B$8000,TRIM($A390),'Timesheet Raw'!$C$4:$C$8000,"*"&amp;$B390&amp;"*",'Timesheet Raw'!$L$4:$L$8000,"&gt;="&amp;P$5,'Timesheet Raw'!$L$4:$L$8000,"&lt;="&amp;P$6)))/'Profit Plan'!$B$5)</f>
        <v/>
      </c>
      <c r="Q390" s="122" t="str">
        <f>IF($A390="","",(IF(ISNUMBER(SEARCH("Proposal",$A390)),SUMIFS('Timesheet Raw'!$P$4:$P$8000,'Timesheet Raw'!$A$4:$A$8000,IF(ISNUMBER(SEARCH("Chargable",$A390)),"2-Proposals Chargeable","3-Proposals Regular"),'Timesheet Raw'!$C$4:$C$8000,"*"&amp;$B390&amp;"*",'Timesheet Raw'!$L$4:$L$8000,"&gt;="&amp;MAX(Q$5,DATE(2000+VALUE(RIGHT(TRIM($A390),2)),1,1)),'Timesheet Raw'!$L$4:$L$8000,"&lt;="&amp;MIN(Q$6,DATE(2000+VALUE(RIGHT(TRIM($A390),2)),12,31))),SUMIFS('Timesheet Raw'!$P$4:$P$8000,'Timesheet Raw'!$B$4:$B$8000,TRIM($A390),'Timesheet Raw'!$C$4:$C$8000,"*"&amp;$B390&amp;"*",'Timesheet Raw'!$L$4:$L$8000,"&gt;="&amp;Q$5,'Timesheet Raw'!$L$4:$L$8000,"&lt;="&amp;Q$6)))/'Profit Plan'!$B$5)</f>
        <v/>
      </c>
      <c r="R390" s="122" t="str">
        <f>IF($A390="","",(IF(ISNUMBER(SEARCH("Proposal",$A390)),SUMIFS('Timesheet Raw'!$P$4:$P$8000,'Timesheet Raw'!$A$4:$A$8000,IF(ISNUMBER(SEARCH("Chargable",$A390)),"2-Proposals Chargeable","3-Proposals Regular"),'Timesheet Raw'!$C$4:$C$8000,"*"&amp;$B390&amp;"*",'Timesheet Raw'!$L$4:$L$8000,"&gt;="&amp;MAX(R$5,DATE(2000+VALUE(RIGHT(TRIM($A390),2)),1,1)),'Timesheet Raw'!$L$4:$L$8000,"&lt;="&amp;MIN(R$6,DATE(2000+VALUE(RIGHT(TRIM($A390),2)),12,31))),SUMIFS('Timesheet Raw'!$P$4:$P$8000,'Timesheet Raw'!$B$4:$B$8000,TRIM($A390),'Timesheet Raw'!$C$4:$C$8000,"*"&amp;$B390&amp;"*",'Timesheet Raw'!$L$4:$L$8000,"&gt;="&amp;R$5,'Timesheet Raw'!$L$4:$L$8000,"&lt;="&amp;R$6)))/'Profit Plan'!$B$5)</f>
        <v/>
      </c>
      <c r="S390" s="122" t="str">
        <f>IF($A390="","",(IF(ISNUMBER(SEARCH("Proposal",$A390)),SUMIFS('Timesheet Raw'!$P$4:$P$8000,'Timesheet Raw'!$A$4:$A$8000,IF(ISNUMBER(SEARCH("Chargable",$A390)),"2-Proposals Chargeable","3-Proposals Regular"),'Timesheet Raw'!$C$4:$C$8000,"*"&amp;$B390&amp;"*",'Timesheet Raw'!$L$4:$L$8000,"&gt;="&amp;MAX(S$5,DATE(2000+VALUE(RIGHT(TRIM($A390),2)),1,1)),'Timesheet Raw'!$L$4:$L$8000,"&lt;="&amp;MIN(S$6,DATE(2000+VALUE(RIGHT(TRIM($A390),2)),12,31))),SUMIFS('Timesheet Raw'!$P$4:$P$8000,'Timesheet Raw'!$B$4:$B$8000,TRIM($A390),'Timesheet Raw'!$C$4:$C$8000,"*"&amp;$B390&amp;"*",'Timesheet Raw'!$L$4:$L$8000,"&gt;="&amp;S$5,'Timesheet Raw'!$L$4:$L$8000,"&lt;="&amp;S$6)))/'Profit Plan'!$B$5)</f>
        <v/>
      </c>
      <c r="T390" s="122" t="str">
        <f>IF($A390="","",(IF(ISNUMBER(SEARCH("Proposal",$A390)),SUMIFS('Timesheet Raw'!$P$4:$P$8000,'Timesheet Raw'!$A$4:$A$8000,IF(ISNUMBER(SEARCH("Chargable",$A390)),"2-Proposals Chargeable","3-Proposals Regular"),'Timesheet Raw'!$C$4:$C$8000,"*"&amp;$B390&amp;"*",'Timesheet Raw'!$L$4:$L$8000,"&gt;="&amp;MAX(T$5,DATE(2000+VALUE(RIGHT(TRIM($A390),2)),1,1)),'Timesheet Raw'!$L$4:$L$8000,"&lt;="&amp;MIN(T$6,DATE(2000+VALUE(RIGHT(TRIM($A390),2)),12,31))),SUMIFS('Timesheet Raw'!$P$4:$P$8000,'Timesheet Raw'!$B$4:$B$8000,TRIM($A390),'Timesheet Raw'!$C$4:$C$8000,"*"&amp;$B390&amp;"*",'Timesheet Raw'!$L$4:$L$8000,"&gt;="&amp;T$5,'Timesheet Raw'!$L$4:$L$8000,"&lt;="&amp;T$6)))/'Profit Plan'!$B$5)</f>
        <v/>
      </c>
      <c r="U390" s="122" t="str">
        <f>IF($A390="","",(IF(ISNUMBER(SEARCH("Proposal",$A390)),SUMIFS('Timesheet Raw'!$P$4:$P$8000,'Timesheet Raw'!$A$4:$A$8000,IF(ISNUMBER(SEARCH("Chargable",$A390)),"2-Proposals Chargeable","3-Proposals Regular"),'Timesheet Raw'!$C$4:$C$8000,"*"&amp;$B390&amp;"*",'Timesheet Raw'!$L$4:$L$8000,"&gt;="&amp;MAX(U$5,DATE(2000+VALUE(RIGHT(TRIM($A390),2)),1,1)),'Timesheet Raw'!$L$4:$L$8000,"&lt;="&amp;MIN(U$6,DATE(2000+VALUE(RIGHT(TRIM($A390),2)),12,31))),SUMIFS('Timesheet Raw'!$P$4:$P$8000,'Timesheet Raw'!$B$4:$B$8000,TRIM($A390),'Timesheet Raw'!$C$4:$C$8000,"*"&amp;$B390&amp;"*",'Timesheet Raw'!$L$4:$L$8000,"&gt;="&amp;U$5,'Timesheet Raw'!$L$4:$L$8000,"&lt;="&amp;U$6)))/'Profit Plan'!$B$5)</f>
        <v/>
      </c>
      <c r="V390" s="122" t="str">
        <f>IF($A390="","",(IF(ISNUMBER(SEARCH("Proposal",$A390)),SUMIFS('Timesheet Raw'!$P$4:$P$8000,'Timesheet Raw'!$A$4:$A$8000,IF(ISNUMBER(SEARCH("Chargable",$A390)),"2-Proposals Chargeable","3-Proposals Regular"),'Timesheet Raw'!$C$4:$C$8000,"*"&amp;$B390&amp;"*",'Timesheet Raw'!$L$4:$L$8000,"&gt;="&amp;MAX(V$5,DATE(2000+VALUE(RIGHT(TRIM($A390),2)),1,1)),'Timesheet Raw'!$L$4:$L$8000,"&lt;="&amp;MIN(V$6,DATE(2000+VALUE(RIGHT(TRIM($A390),2)),12,31))),SUMIFS('Timesheet Raw'!$P$4:$P$8000,'Timesheet Raw'!$B$4:$B$8000,TRIM($A390),'Timesheet Raw'!$C$4:$C$8000,"*"&amp;$B390&amp;"*",'Timesheet Raw'!$L$4:$L$8000,"&gt;="&amp;V$5,'Timesheet Raw'!$L$4:$L$8000,"&lt;="&amp;V$6)))/'Profit Plan'!$B$5)</f>
        <v/>
      </c>
      <c r="W390" s="122" t="str">
        <f>IF($A390="","",(IF(ISNUMBER(SEARCH("Proposal",$A390)),SUMIFS('Timesheet Raw'!$P$4:$P$8000,'Timesheet Raw'!$A$4:$A$8000,IF(ISNUMBER(SEARCH("Chargable",$A390)),"2-Proposals Chargeable","3-Proposals Regular"),'Timesheet Raw'!$C$4:$C$8000,"*"&amp;$B390&amp;"*",'Timesheet Raw'!$L$4:$L$8000,"&gt;="&amp;MAX(W$5,DATE(2000+VALUE(RIGHT(TRIM($A390),2)),1,1)),'Timesheet Raw'!$L$4:$L$8000,"&lt;="&amp;MIN(W$6,DATE(2000+VALUE(RIGHT(TRIM($A390),2)),12,31))),SUMIFS('Timesheet Raw'!$P$4:$P$8000,'Timesheet Raw'!$B$4:$B$8000,TRIM($A390),'Timesheet Raw'!$C$4:$C$8000,"*"&amp;$B390&amp;"*",'Timesheet Raw'!$L$4:$L$8000,"&gt;="&amp;W$5,'Timesheet Raw'!$L$4:$L$8000,"&lt;="&amp;W$6)))/'Profit Plan'!$B$5)</f>
        <v/>
      </c>
      <c r="X390" s="122" t="str">
        <f>IF($A390="","",(IF(ISNUMBER(SEARCH("Proposal",$A390)),SUMIFS('Timesheet Raw'!$P$4:$P$8000,'Timesheet Raw'!$A$4:$A$8000,IF(ISNUMBER(SEARCH("Chargable",$A390)),"2-Proposals Chargeable","3-Proposals Regular"),'Timesheet Raw'!$C$4:$C$8000,"*"&amp;$B390&amp;"*",'Timesheet Raw'!$L$4:$L$8000,"&gt;="&amp;MAX(X$5,DATE(2000+VALUE(RIGHT(TRIM($A390),2)),1,1)),'Timesheet Raw'!$L$4:$L$8000,"&lt;="&amp;MIN(X$6,DATE(2000+VALUE(RIGHT(TRIM($A390),2)),12,31))),SUMIFS('Timesheet Raw'!$P$4:$P$8000,'Timesheet Raw'!$B$4:$B$8000,TRIM($A390),'Timesheet Raw'!$C$4:$C$8000,"*"&amp;$B390&amp;"*",'Timesheet Raw'!$L$4:$L$8000,"&gt;="&amp;X$5,'Timesheet Raw'!$L$4:$L$8000,"&lt;="&amp;X$6)))/'Profit Plan'!$B$5)</f>
        <v/>
      </c>
      <c r="Y390" s="118">
        <f t="shared" si="101"/>
        <v>0</v>
      </c>
    </row>
    <row r="391" spans="1:25" x14ac:dyDescent="0.3">
      <c r="A391" s="116" t="str">
        <f>IF(Inputs!$A48="","",Inputs!$A48)</f>
        <v/>
      </c>
      <c r="B391" s="116" t="str">
        <f>IF(Inputs!$A48="","",Inputs!$A$91)</f>
        <v/>
      </c>
      <c r="C391" s="116"/>
      <c r="D391" s="122" t="str">
        <f>IF($A391="","",(IF(ISNUMBER(SEARCH("Proposal",$A391)),SUMIFS('Timesheet Raw'!$P$4:$P$8000,'Timesheet Raw'!$A$4:$A$8000,IF(ISNUMBER(SEARCH("Chargable",$A391)),"2-Proposals Chargeable","3-Proposals Regular"),'Timesheet Raw'!$C$4:$C$8000,"*"&amp;$B391&amp;"*",'Timesheet Raw'!$L$4:$L$8000,"&gt;="&amp;MAX(D$5,DATE(2000+VALUE(RIGHT(TRIM($A391),2)),1,1)),'Timesheet Raw'!$L$4:$L$8000,"&lt;="&amp;MIN(D$6,DATE(2000+VALUE(RIGHT(TRIM($A391),2)),12,31))),SUMIFS('Timesheet Raw'!$P$4:$P$8000,'Timesheet Raw'!$B$4:$B$8000,TRIM($A391),'Timesheet Raw'!$C$4:$C$8000,"*"&amp;$B391&amp;"*",'Timesheet Raw'!$L$4:$L$8000,"&gt;="&amp;D$5,'Timesheet Raw'!$L$4:$L$8000,"&lt;="&amp;D$6)))/'Profit Plan'!$B$5)</f>
        <v/>
      </c>
      <c r="E391" s="122" t="str">
        <f>IF($A391="","",(IF(ISNUMBER(SEARCH("Proposal",$A391)),SUMIFS('Timesheet Raw'!$P$4:$P$8000,'Timesheet Raw'!$A$4:$A$8000,IF(ISNUMBER(SEARCH("Chargable",$A391)),"2-Proposals Chargeable","3-Proposals Regular"),'Timesheet Raw'!$C$4:$C$8000,"*"&amp;$B391&amp;"*",'Timesheet Raw'!$L$4:$L$8000,"&gt;="&amp;MAX(E$5,DATE(2000+VALUE(RIGHT(TRIM($A391),2)),1,1)),'Timesheet Raw'!$L$4:$L$8000,"&lt;="&amp;MIN(E$6,DATE(2000+VALUE(RIGHT(TRIM($A391),2)),12,31))),SUMIFS('Timesheet Raw'!$P$4:$P$8000,'Timesheet Raw'!$B$4:$B$8000,TRIM($A391),'Timesheet Raw'!$C$4:$C$8000,"*"&amp;$B391&amp;"*",'Timesheet Raw'!$L$4:$L$8000,"&gt;="&amp;E$5,'Timesheet Raw'!$L$4:$L$8000,"&lt;="&amp;E$6)))/'Profit Plan'!$B$5)</f>
        <v/>
      </c>
      <c r="F391" s="122" t="str">
        <f>IF($A391="","",(IF(ISNUMBER(SEARCH("Proposal",$A391)),SUMIFS('Timesheet Raw'!$P$4:$P$8000,'Timesheet Raw'!$A$4:$A$8000,IF(ISNUMBER(SEARCH("Chargable",$A391)),"2-Proposals Chargeable","3-Proposals Regular"),'Timesheet Raw'!$C$4:$C$8000,"*"&amp;$B391&amp;"*",'Timesheet Raw'!$L$4:$L$8000,"&gt;="&amp;MAX(F$5,DATE(2000+VALUE(RIGHT(TRIM($A391),2)),1,1)),'Timesheet Raw'!$L$4:$L$8000,"&lt;="&amp;MIN(F$6,DATE(2000+VALUE(RIGHT(TRIM($A391),2)),12,31))),SUMIFS('Timesheet Raw'!$P$4:$P$8000,'Timesheet Raw'!$B$4:$B$8000,TRIM($A391),'Timesheet Raw'!$C$4:$C$8000,"*"&amp;$B391&amp;"*",'Timesheet Raw'!$L$4:$L$8000,"&gt;="&amp;F$5,'Timesheet Raw'!$L$4:$L$8000,"&lt;="&amp;F$6)))/'Profit Plan'!$B$5)</f>
        <v/>
      </c>
      <c r="G391" s="122" t="str">
        <f>IF($A391="","",(IF(ISNUMBER(SEARCH("Proposal",$A391)),SUMIFS('Timesheet Raw'!$P$4:$P$8000,'Timesheet Raw'!$A$4:$A$8000,IF(ISNUMBER(SEARCH("Chargable",$A391)),"2-Proposals Chargeable","3-Proposals Regular"),'Timesheet Raw'!$C$4:$C$8000,"*"&amp;$B391&amp;"*",'Timesheet Raw'!$L$4:$L$8000,"&gt;="&amp;MAX(G$5,DATE(2000+VALUE(RIGHT(TRIM($A391),2)),1,1)),'Timesheet Raw'!$L$4:$L$8000,"&lt;="&amp;MIN(G$6,DATE(2000+VALUE(RIGHT(TRIM($A391),2)),12,31))),SUMIFS('Timesheet Raw'!$P$4:$P$8000,'Timesheet Raw'!$B$4:$B$8000,TRIM($A391),'Timesheet Raw'!$C$4:$C$8000,"*"&amp;$B391&amp;"*",'Timesheet Raw'!$L$4:$L$8000,"&gt;="&amp;G$5,'Timesheet Raw'!$L$4:$L$8000,"&lt;="&amp;G$6)))/'Profit Plan'!$B$5)</f>
        <v/>
      </c>
      <c r="H391" s="122" t="str">
        <f>IF($A391="","",(IF(ISNUMBER(SEARCH("Proposal",$A391)),SUMIFS('Timesheet Raw'!$P$4:$P$8000,'Timesheet Raw'!$A$4:$A$8000,IF(ISNUMBER(SEARCH("Chargable",$A391)),"2-Proposals Chargeable","3-Proposals Regular"),'Timesheet Raw'!$C$4:$C$8000,"*"&amp;$B391&amp;"*",'Timesheet Raw'!$L$4:$L$8000,"&gt;="&amp;MAX(H$5,DATE(2000+VALUE(RIGHT(TRIM($A391),2)),1,1)),'Timesheet Raw'!$L$4:$L$8000,"&lt;="&amp;MIN(H$6,DATE(2000+VALUE(RIGHT(TRIM($A391),2)),12,31))),SUMIFS('Timesheet Raw'!$P$4:$P$8000,'Timesheet Raw'!$B$4:$B$8000,TRIM($A391),'Timesheet Raw'!$C$4:$C$8000,"*"&amp;$B391&amp;"*",'Timesheet Raw'!$L$4:$L$8000,"&gt;="&amp;H$5,'Timesheet Raw'!$L$4:$L$8000,"&lt;="&amp;H$6)))/'Profit Plan'!$B$5)</f>
        <v/>
      </c>
      <c r="I391" s="122" t="str">
        <f>IF($A391="","",(IF(ISNUMBER(SEARCH("Proposal",$A391)),SUMIFS('Timesheet Raw'!$P$4:$P$8000,'Timesheet Raw'!$A$4:$A$8000,IF(ISNUMBER(SEARCH("Chargable",$A391)),"2-Proposals Chargeable","3-Proposals Regular"),'Timesheet Raw'!$C$4:$C$8000,"*"&amp;$B391&amp;"*",'Timesheet Raw'!$L$4:$L$8000,"&gt;="&amp;MAX(I$5,DATE(2000+VALUE(RIGHT(TRIM($A391),2)),1,1)),'Timesheet Raw'!$L$4:$L$8000,"&lt;="&amp;MIN(I$6,DATE(2000+VALUE(RIGHT(TRIM($A391),2)),12,31))),SUMIFS('Timesheet Raw'!$P$4:$P$8000,'Timesheet Raw'!$B$4:$B$8000,TRIM($A391),'Timesheet Raw'!$C$4:$C$8000,"*"&amp;$B391&amp;"*",'Timesheet Raw'!$L$4:$L$8000,"&gt;="&amp;I$5,'Timesheet Raw'!$L$4:$L$8000,"&lt;="&amp;I$6)))/'Profit Plan'!$B$5)</f>
        <v/>
      </c>
      <c r="J391" s="122" t="str">
        <f>IF($A391="","",(IF(ISNUMBER(SEARCH("Proposal",$A391)),SUMIFS('Timesheet Raw'!$P$4:$P$8000,'Timesheet Raw'!$A$4:$A$8000,IF(ISNUMBER(SEARCH("Chargable",$A391)),"2-Proposals Chargeable","3-Proposals Regular"),'Timesheet Raw'!$C$4:$C$8000,"*"&amp;$B391&amp;"*",'Timesheet Raw'!$L$4:$L$8000,"&gt;="&amp;MAX(J$5,DATE(2000+VALUE(RIGHT(TRIM($A391),2)),1,1)),'Timesheet Raw'!$L$4:$L$8000,"&lt;="&amp;MIN(J$6,DATE(2000+VALUE(RIGHT(TRIM($A391),2)),12,31))),SUMIFS('Timesheet Raw'!$P$4:$P$8000,'Timesheet Raw'!$B$4:$B$8000,TRIM($A391),'Timesheet Raw'!$C$4:$C$8000,"*"&amp;$B391&amp;"*",'Timesheet Raw'!$L$4:$L$8000,"&gt;="&amp;J$5,'Timesheet Raw'!$L$4:$L$8000,"&lt;="&amp;J$6)))/'Profit Plan'!$B$5)</f>
        <v/>
      </c>
      <c r="K391" s="122" t="str">
        <f>IF($A391="","",(IF(ISNUMBER(SEARCH("Proposal",$A391)),SUMIFS('Timesheet Raw'!$P$4:$P$8000,'Timesheet Raw'!$A$4:$A$8000,IF(ISNUMBER(SEARCH("Chargable",$A391)),"2-Proposals Chargeable","3-Proposals Regular"),'Timesheet Raw'!$C$4:$C$8000,"*"&amp;$B391&amp;"*",'Timesheet Raw'!$L$4:$L$8000,"&gt;="&amp;MAX(K$5,DATE(2000+VALUE(RIGHT(TRIM($A391),2)),1,1)),'Timesheet Raw'!$L$4:$L$8000,"&lt;="&amp;MIN(K$6,DATE(2000+VALUE(RIGHT(TRIM($A391),2)),12,31))),SUMIFS('Timesheet Raw'!$P$4:$P$8000,'Timesheet Raw'!$B$4:$B$8000,TRIM($A391),'Timesheet Raw'!$C$4:$C$8000,"*"&amp;$B391&amp;"*",'Timesheet Raw'!$L$4:$L$8000,"&gt;="&amp;K$5,'Timesheet Raw'!$L$4:$L$8000,"&lt;="&amp;K$6)))/'Profit Plan'!$B$5)</f>
        <v/>
      </c>
      <c r="L391" s="122" t="str">
        <f>IF($A391="","",(IF(ISNUMBER(SEARCH("Proposal",$A391)),SUMIFS('Timesheet Raw'!$P$4:$P$8000,'Timesheet Raw'!$A$4:$A$8000,IF(ISNUMBER(SEARCH("Chargable",$A391)),"2-Proposals Chargeable","3-Proposals Regular"),'Timesheet Raw'!$C$4:$C$8000,"*"&amp;$B391&amp;"*",'Timesheet Raw'!$L$4:$L$8000,"&gt;="&amp;MAX(L$5,DATE(2000+VALUE(RIGHT(TRIM($A391),2)),1,1)),'Timesheet Raw'!$L$4:$L$8000,"&lt;="&amp;MIN(L$6,DATE(2000+VALUE(RIGHT(TRIM($A391),2)),12,31))),SUMIFS('Timesheet Raw'!$P$4:$P$8000,'Timesheet Raw'!$B$4:$B$8000,TRIM($A391),'Timesheet Raw'!$C$4:$C$8000,"*"&amp;$B391&amp;"*",'Timesheet Raw'!$L$4:$L$8000,"&gt;="&amp;L$5,'Timesheet Raw'!$L$4:$L$8000,"&lt;="&amp;L$6)))/'Profit Plan'!$B$5)</f>
        <v/>
      </c>
      <c r="M391" s="122" t="str">
        <f>IF($A391="","",(IF(ISNUMBER(SEARCH("Proposal",$A391)),SUMIFS('Timesheet Raw'!$P$4:$P$8000,'Timesheet Raw'!$A$4:$A$8000,IF(ISNUMBER(SEARCH("Chargable",$A391)),"2-Proposals Chargeable","3-Proposals Regular"),'Timesheet Raw'!$C$4:$C$8000,"*"&amp;$B391&amp;"*",'Timesheet Raw'!$L$4:$L$8000,"&gt;="&amp;MAX(M$5,DATE(2000+VALUE(RIGHT(TRIM($A391),2)),1,1)),'Timesheet Raw'!$L$4:$L$8000,"&lt;="&amp;MIN(M$6,DATE(2000+VALUE(RIGHT(TRIM($A391),2)),12,31))),SUMIFS('Timesheet Raw'!$P$4:$P$8000,'Timesheet Raw'!$B$4:$B$8000,TRIM($A391),'Timesheet Raw'!$C$4:$C$8000,"*"&amp;$B391&amp;"*",'Timesheet Raw'!$L$4:$L$8000,"&gt;="&amp;M$5,'Timesheet Raw'!$L$4:$L$8000,"&lt;="&amp;M$6)))/'Profit Plan'!$B$5)</f>
        <v/>
      </c>
      <c r="N391" s="122" t="str">
        <f>IF($A391="","",(IF(ISNUMBER(SEARCH("Proposal",$A391)),SUMIFS('Timesheet Raw'!$P$4:$P$8000,'Timesheet Raw'!$A$4:$A$8000,IF(ISNUMBER(SEARCH("Chargable",$A391)),"2-Proposals Chargeable","3-Proposals Regular"),'Timesheet Raw'!$C$4:$C$8000,"*"&amp;$B391&amp;"*",'Timesheet Raw'!$L$4:$L$8000,"&gt;="&amp;MAX(N$5,DATE(2000+VALUE(RIGHT(TRIM($A391),2)),1,1)),'Timesheet Raw'!$L$4:$L$8000,"&lt;="&amp;MIN(N$6,DATE(2000+VALUE(RIGHT(TRIM($A391),2)),12,31))),SUMIFS('Timesheet Raw'!$P$4:$P$8000,'Timesheet Raw'!$B$4:$B$8000,TRIM($A391),'Timesheet Raw'!$C$4:$C$8000,"*"&amp;$B391&amp;"*",'Timesheet Raw'!$L$4:$L$8000,"&gt;="&amp;N$5,'Timesheet Raw'!$L$4:$L$8000,"&lt;="&amp;N$6)))/'Profit Plan'!$B$5)</f>
        <v/>
      </c>
      <c r="O391" s="122" t="str">
        <f>IF($A391="","",(IF(ISNUMBER(SEARCH("Proposal",$A391)),SUMIFS('Timesheet Raw'!$P$4:$P$8000,'Timesheet Raw'!$A$4:$A$8000,IF(ISNUMBER(SEARCH("Chargable",$A391)),"2-Proposals Chargeable","3-Proposals Regular"),'Timesheet Raw'!$C$4:$C$8000,"*"&amp;$B391&amp;"*",'Timesheet Raw'!$L$4:$L$8000,"&gt;="&amp;MAX(O$5,DATE(2000+VALUE(RIGHT(TRIM($A391),2)),1,1)),'Timesheet Raw'!$L$4:$L$8000,"&lt;="&amp;MIN(O$6,DATE(2000+VALUE(RIGHT(TRIM($A391),2)),12,31))),SUMIFS('Timesheet Raw'!$P$4:$P$8000,'Timesheet Raw'!$B$4:$B$8000,TRIM($A391),'Timesheet Raw'!$C$4:$C$8000,"*"&amp;$B391&amp;"*",'Timesheet Raw'!$L$4:$L$8000,"&gt;="&amp;O$5,'Timesheet Raw'!$L$4:$L$8000,"&lt;="&amp;O$6)))/'Profit Plan'!$B$5)</f>
        <v/>
      </c>
      <c r="P391" s="122" t="str">
        <f>IF($A391="","",(IF(ISNUMBER(SEARCH("Proposal",$A391)),SUMIFS('Timesheet Raw'!$P$4:$P$8000,'Timesheet Raw'!$A$4:$A$8000,IF(ISNUMBER(SEARCH("Chargable",$A391)),"2-Proposals Chargeable","3-Proposals Regular"),'Timesheet Raw'!$C$4:$C$8000,"*"&amp;$B391&amp;"*",'Timesheet Raw'!$L$4:$L$8000,"&gt;="&amp;MAX(P$5,DATE(2000+VALUE(RIGHT(TRIM($A391),2)),1,1)),'Timesheet Raw'!$L$4:$L$8000,"&lt;="&amp;MIN(P$6,DATE(2000+VALUE(RIGHT(TRIM($A391),2)),12,31))),SUMIFS('Timesheet Raw'!$P$4:$P$8000,'Timesheet Raw'!$B$4:$B$8000,TRIM($A391),'Timesheet Raw'!$C$4:$C$8000,"*"&amp;$B391&amp;"*",'Timesheet Raw'!$L$4:$L$8000,"&gt;="&amp;P$5,'Timesheet Raw'!$L$4:$L$8000,"&lt;="&amp;P$6)))/'Profit Plan'!$B$5)</f>
        <v/>
      </c>
      <c r="Q391" s="122" t="str">
        <f>IF($A391="","",(IF(ISNUMBER(SEARCH("Proposal",$A391)),SUMIFS('Timesheet Raw'!$P$4:$P$8000,'Timesheet Raw'!$A$4:$A$8000,IF(ISNUMBER(SEARCH("Chargable",$A391)),"2-Proposals Chargeable","3-Proposals Regular"),'Timesheet Raw'!$C$4:$C$8000,"*"&amp;$B391&amp;"*",'Timesheet Raw'!$L$4:$L$8000,"&gt;="&amp;MAX(Q$5,DATE(2000+VALUE(RIGHT(TRIM($A391),2)),1,1)),'Timesheet Raw'!$L$4:$L$8000,"&lt;="&amp;MIN(Q$6,DATE(2000+VALUE(RIGHT(TRIM($A391),2)),12,31))),SUMIFS('Timesheet Raw'!$P$4:$P$8000,'Timesheet Raw'!$B$4:$B$8000,TRIM($A391),'Timesheet Raw'!$C$4:$C$8000,"*"&amp;$B391&amp;"*",'Timesheet Raw'!$L$4:$L$8000,"&gt;="&amp;Q$5,'Timesheet Raw'!$L$4:$L$8000,"&lt;="&amp;Q$6)))/'Profit Plan'!$B$5)</f>
        <v/>
      </c>
      <c r="R391" s="122" t="str">
        <f>IF($A391="","",(IF(ISNUMBER(SEARCH("Proposal",$A391)),SUMIFS('Timesheet Raw'!$P$4:$P$8000,'Timesheet Raw'!$A$4:$A$8000,IF(ISNUMBER(SEARCH("Chargable",$A391)),"2-Proposals Chargeable","3-Proposals Regular"),'Timesheet Raw'!$C$4:$C$8000,"*"&amp;$B391&amp;"*",'Timesheet Raw'!$L$4:$L$8000,"&gt;="&amp;MAX(R$5,DATE(2000+VALUE(RIGHT(TRIM($A391),2)),1,1)),'Timesheet Raw'!$L$4:$L$8000,"&lt;="&amp;MIN(R$6,DATE(2000+VALUE(RIGHT(TRIM($A391),2)),12,31))),SUMIFS('Timesheet Raw'!$P$4:$P$8000,'Timesheet Raw'!$B$4:$B$8000,TRIM($A391),'Timesheet Raw'!$C$4:$C$8000,"*"&amp;$B391&amp;"*",'Timesheet Raw'!$L$4:$L$8000,"&gt;="&amp;R$5,'Timesheet Raw'!$L$4:$L$8000,"&lt;="&amp;R$6)))/'Profit Plan'!$B$5)</f>
        <v/>
      </c>
      <c r="S391" s="122" t="str">
        <f>IF($A391="","",(IF(ISNUMBER(SEARCH("Proposal",$A391)),SUMIFS('Timesheet Raw'!$P$4:$P$8000,'Timesheet Raw'!$A$4:$A$8000,IF(ISNUMBER(SEARCH("Chargable",$A391)),"2-Proposals Chargeable","3-Proposals Regular"),'Timesheet Raw'!$C$4:$C$8000,"*"&amp;$B391&amp;"*",'Timesheet Raw'!$L$4:$L$8000,"&gt;="&amp;MAX(S$5,DATE(2000+VALUE(RIGHT(TRIM($A391),2)),1,1)),'Timesheet Raw'!$L$4:$L$8000,"&lt;="&amp;MIN(S$6,DATE(2000+VALUE(RIGHT(TRIM($A391),2)),12,31))),SUMIFS('Timesheet Raw'!$P$4:$P$8000,'Timesheet Raw'!$B$4:$B$8000,TRIM($A391),'Timesheet Raw'!$C$4:$C$8000,"*"&amp;$B391&amp;"*",'Timesheet Raw'!$L$4:$L$8000,"&gt;="&amp;S$5,'Timesheet Raw'!$L$4:$L$8000,"&lt;="&amp;S$6)))/'Profit Plan'!$B$5)</f>
        <v/>
      </c>
      <c r="T391" s="122" t="str">
        <f>IF($A391="","",(IF(ISNUMBER(SEARCH("Proposal",$A391)),SUMIFS('Timesheet Raw'!$P$4:$P$8000,'Timesheet Raw'!$A$4:$A$8000,IF(ISNUMBER(SEARCH("Chargable",$A391)),"2-Proposals Chargeable","3-Proposals Regular"),'Timesheet Raw'!$C$4:$C$8000,"*"&amp;$B391&amp;"*",'Timesheet Raw'!$L$4:$L$8000,"&gt;="&amp;MAX(T$5,DATE(2000+VALUE(RIGHT(TRIM($A391),2)),1,1)),'Timesheet Raw'!$L$4:$L$8000,"&lt;="&amp;MIN(T$6,DATE(2000+VALUE(RIGHT(TRIM($A391),2)),12,31))),SUMIFS('Timesheet Raw'!$P$4:$P$8000,'Timesheet Raw'!$B$4:$B$8000,TRIM($A391),'Timesheet Raw'!$C$4:$C$8000,"*"&amp;$B391&amp;"*",'Timesheet Raw'!$L$4:$L$8000,"&gt;="&amp;T$5,'Timesheet Raw'!$L$4:$L$8000,"&lt;="&amp;T$6)))/'Profit Plan'!$B$5)</f>
        <v/>
      </c>
      <c r="U391" s="122" t="str">
        <f>IF($A391="","",(IF(ISNUMBER(SEARCH("Proposal",$A391)),SUMIFS('Timesheet Raw'!$P$4:$P$8000,'Timesheet Raw'!$A$4:$A$8000,IF(ISNUMBER(SEARCH("Chargable",$A391)),"2-Proposals Chargeable","3-Proposals Regular"),'Timesheet Raw'!$C$4:$C$8000,"*"&amp;$B391&amp;"*",'Timesheet Raw'!$L$4:$L$8000,"&gt;="&amp;MAX(U$5,DATE(2000+VALUE(RIGHT(TRIM($A391),2)),1,1)),'Timesheet Raw'!$L$4:$L$8000,"&lt;="&amp;MIN(U$6,DATE(2000+VALUE(RIGHT(TRIM($A391),2)),12,31))),SUMIFS('Timesheet Raw'!$P$4:$P$8000,'Timesheet Raw'!$B$4:$B$8000,TRIM($A391),'Timesheet Raw'!$C$4:$C$8000,"*"&amp;$B391&amp;"*",'Timesheet Raw'!$L$4:$L$8000,"&gt;="&amp;U$5,'Timesheet Raw'!$L$4:$L$8000,"&lt;="&amp;U$6)))/'Profit Plan'!$B$5)</f>
        <v/>
      </c>
      <c r="V391" s="122" t="str">
        <f>IF($A391="","",(IF(ISNUMBER(SEARCH("Proposal",$A391)),SUMIFS('Timesheet Raw'!$P$4:$P$8000,'Timesheet Raw'!$A$4:$A$8000,IF(ISNUMBER(SEARCH("Chargable",$A391)),"2-Proposals Chargeable","3-Proposals Regular"),'Timesheet Raw'!$C$4:$C$8000,"*"&amp;$B391&amp;"*",'Timesheet Raw'!$L$4:$L$8000,"&gt;="&amp;MAX(V$5,DATE(2000+VALUE(RIGHT(TRIM($A391),2)),1,1)),'Timesheet Raw'!$L$4:$L$8000,"&lt;="&amp;MIN(V$6,DATE(2000+VALUE(RIGHT(TRIM($A391),2)),12,31))),SUMIFS('Timesheet Raw'!$P$4:$P$8000,'Timesheet Raw'!$B$4:$B$8000,TRIM($A391),'Timesheet Raw'!$C$4:$C$8000,"*"&amp;$B391&amp;"*",'Timesheet Raw'!$L$4:$L$8000,"&gt;="&amp;V$5,'Timesheet Raw'!$L$4:$L$8000,"&lt;="&amp;V$6)))/'Profit Plan'!$B$5)</f>
        <v/>
      </c>
      <c r="W391" s="122" t="str">
        <f>IF($A391="","",(IF(ISNUMBER(SEARCH("Proposal",$A391)),SUMIFS('Timesheet Raw'!$P$4:$P$8000,'Timesheet Raw'!$A$4:$A$8000,IF(ISNUMBER(SEARCH("Chargable",$A391)),"2-Proposals Chargeable","3-Proposals Regular"),'Timesheet Raw'!$C$4:$C$8000,"*"&amp;$B391&amp;"*",'Timesheet Raw'!$L$4:$L$8000,"&gt;="&amp;MAX(W$5,DATE(2000+VALUE(RIGHT(TRIM($A391),2)),1,1)),'Timesheet Raw'!$L$4:$L$8000,"&lt;="&amp;MIN(W$6,DATE(2000+VALUE(RIGHT(TRIM($A391),2)),12,31))),SUMIFS('Timesheet Raw'!$P$4:$P$8000,'Timesheet Raw'!$B$4:$B$8000,TRIM($A391),'Timesheet Raw'!$C$4:$C$8000,"*"&amp;$B391&amp;"*",'Timesheet Raw'!$L$4:$L$8000,"&gt;="&amp;W$5,'Timesheet Raw'!$L$4:$L$8000,"&lt;="&amp;W$6)))/'Profit Plan'!$B$5)</f>
        <v/>
      </c>
      <c r="X391" s="122" t="str">
        <f>IF($A391="","",(IF(ISNUMBER(SEARCH("Proposal",$A391)),SUMIFS('Timesheet Raw'!$P$4:$P$8000,'Timesheet Raw'!$A$4:$A$8000,IF(ISNUMBER(SEARCH("Chargable",$A391)),"2-Proposals Chargeable","3-Proposals Regular"),'Timesheet Raw'!$C$4:$C$8000,"*"&amp;$B391&amp;"*",'Timesheet Raw'!$L$4:$L$8000,"&gt;="&amp;MAX(X$5,DATE(2000+VALUE(RIGHT(TRIM($A391),2)),1,1)),'Timesheet Raw'!$L$4:$L$8000,"&lt;="&amp;MIN(X$6,DATE(2000+VALUE(RIGHT(TRIM($A391),2)),12,31))),SUMIFS('Timesheet Raw'!$P$4:$P$8000,'Timesheet Raw'!$B$4:$B$8000,TRIM($A391),'Timesheet Raw'!$C$4:$C$8000,"*"&amp;$B391&amp;"*",'Timesheet Raw'!$L$4:$L$8000,"&gt;="&amp;X$5,'Timesheet Raw'!$L$4:$L$8000,"&lt;="&amp;X$6)))/'Profit Plan'!$B$5)</f>
        <v/>
      </c>
      <c r="Y391" s="118">
        <f t="shared" si="101"/>
        <v>0</v>
      </c>
    </row>
    <row r="392" spans="1:25" x14ac:dyDescent="0.3">
      <c r="A392" s="116" t="str">
        <f>IF(Inputs!$A48="","",Inputs!$A48)</f>
        <v/>
      </c>
      <c r="B392" s="116" t="str">
        <f>IF(Inputs!$A48="","",Inputs!$A$92)</f>
        <v/>
      </c>
      <c r="C392" s="116"/>
      <c r="D392" s="122" t="str">
        <f>IF($A392="","",(IF(ISNUMBER(SEARCH("Proposal",$A392)),SUMIFS('Timesheet Raw'!$P$4:$P$8000,'Timesheet Raw'!$A$4:$A$8000,IF(ISNUMBER(SEARCH("Chargable",$A392)),"2-Proposals Chargeable","3-Proposals Regular"),'Timesheet Raw'!$C$4:$C$8000,"*"&amp;$B392&amp;"*",'Timesheet Raw'!$L$4:$L$8000,"&gt;="&amp;MAX(D$5,DATE(2000+VALUE(RIGHT(TRIM($A392),2)),1,1)),'Timesheet Raw'!$L$4:$L$8000,"&lt;="&amp;MIN(D$6,DATE(2000+VALUE(RIGHT(TRIM($A392),2)),12,31))),SUMIFS('Timesheet Raw'!$P$4:$P$8000,'Timesheet Raw'!$B$4:$B$8000,TRIM($A392),'Timesheet Raw'!$C$4:$C$8000,"*"&amp;$B392&amp;"*",'Timesheet Raw'!$L$4:$L$8000,"&gt;="&amp;D$5,'Timesheet Raw'!$L$4:$L$8000,"&lt;="&amp;D$6)))/'Profit Plan'!$B$5)</f>
        <v/>
      </c>
      <c r="E392" s="122" t="str">
        <f>IF($A392="","",(IF(ISNUMBER(SEARCH("Proposal",$A392)),SUMIFS('Timesheet Raw'!$P$4:$P$8000,'Timesheet Raw'!$A$4:$A$8000,IF(ISNUMBER(SEARCH("Chargable",$A392)),"2-Proposals Chargeable","3-Proposals Regular"),'Timesheet Raw'!$C$4:$C$8000,"*"&amp;$B392&amp;"*",'Timesheet Raw'!$L$4:$L$8000,"&gt;="&amp;MAX(E$5,DATE(2000+VALUE(RIGHT(TRIM($A392),2)),1,1)),'Timesheet Raw'!$L$4:$L$8000,"&lt;="&amp;MIN(E$6,DATE(2000+VALUE(RIGHT(TRIM($A392),2)),12,31))),SUMIFS('Timesheet Raw'!$P$4:$P$8000,'Timesheet Raw'!$B$4:$B$8000,TRIM($A392),'Timesheet Raw'!$C$4:$C$8000,"*"&amp;$B392&amp;"*",'Timesheet Raw'!$L$4:$L$8000,"&gt;="&amp;E$5,'Timesheet Raw'!$L$4:$L$8000,"&lt;="&amp;E$6)))/'Profit Plan'!$B$5)</f>
        <v/>
      </c>
      <c r="F392" s="122" t="str">
        <f>IF($A392="","",(IF(ISNUMBER(SEARCH("Proposal",$A392)),SUMIFS('Timesheet Raw'!$P$4:$P$8000,'Timesheet Raw'!$A$4:$A$8000,IF(ISNUMBER(SEARCH("Chargable",$A392)),"2-Proposals Chargeable","3-Proposals Regular"),'Timesheet Raw'!$C$4:$C$8000,"*"&amp;$B392&amp;"*",'Timesheet Raw'!$L$4:$L$8000,"&gt;="&amp;MAX(F$5,DATE(2000+VALUE(RIGHT(TRIM($A392),2)),1,1)),'Timesheet Raw'!$L$4:$L$8000,"&lt;="&amp;MIN(F$6,DATE(2000+VALUE(RIGHT(TRIM($A392),2)),12,31))),SUMIFS('Timesheet Raw'!$P$4:$P$8000,'Timesheet Raw'!$B$4:$B$8000,TRIM($A392),'Timesheet Raw'!$C$4:$C$8000,"*"&amp;$B392&amp;"*",'Timesheet Raw'!$L$4:$L$8000,"&gt;="&amp;F$5,'Timesheet Raw'!$L$4:$L$8000,"&lt;="&amp;F$6)))/'Profit Plan'!$B$5)</f>
        <v/>
      </c>
      <c r="G392" s="122" t="str">
        <f>IF($A392="","",(IF(ISNUMBER(SEARCH("Proposal",$A392)),SUMIFS('Timesheet Raw'!$P$4:$P$8000,'Timesheet Raw'!$A$4:$A$8000,IF(ISNUMBER(SEARCH("Chargable",$A392)),"2-Proposals Chargeable","3-Proposals Regular"),'Timesheet Raw'!$C$4:$C$8000,"*"&amp;$B392&amp;"*",'Timesheet Raw'!$L$4:$L$8000,"&gt;="&amp;MAX(G$5,DATE(2000+VALUE(RIGHT(TRIM($A392),2)),1,1)),'Timesheet Raw'!$L$4:$L$8000,"&lt;="&amp;MIN(G$6,DATE(2000+VALUE(RIGHT(TRIM($A392),2)),12,31))),SUMIFS('Timesheet Raw'!$P$4:$P$8000,'Timesheet Raw'!$B$4:$B$8000,TRIM($A392),'Timesheet Raw'!$C$4:$C$8000,"*"&amp;$B392&amp;"*",'Timesheet Raw'!$L$4:$L$8000,"&gt;="&amp;G$5,'Timesheet Raw'!$L$4:$L$8000,"&lt;="&amp;G$6)))/'Profit Plan'!$B$5)</f>
        <v/>
      </c>
      <c r="H392" s="122" t="str">
        <f>IF($A392="","",(IF(ISNUMBER(SEARCH("Proposal",$A392)),SUMIFS('Timesheet Raw'!$P$4:$P$8000,'Timesheet Raw'!$A$4:$A$8000,IF(ISNUMBER(SEARCH("Chargable",$A392)),"2-Proposals Chargeable","3-Proposals Regular"),'Timesheet Raw'!$C$4:$C$8000,"*"&amp;$B392&amp;"*",'Timesheet Raw'!$L$4:$L$8000,"&gt;="&amp;MAX(H$5,DATE(2000+VALUE(RIGHT(TRIM($A392),2)),1,1)),'Timesheet Raw'!$L$4:$L$8000,"&lt;="&amp;MIN(H$6,DATE(2000+VALUE(RIGHT(TRIM($A392),2)),12,31))),SUMIFS('Timesheet Raw'!$P$4:$P$8000,'Timesheet Raw'!$B$4:$B$8000,TRIM($A392),'Timesheet Raw'!$C$4:$C$8000,"*"&amp;$B392&amp;"*",'Timesheet Raw'!$L$4:$L$8000,"&gt;="&amp;H$5,'Timesheet Raw'!$L$4:$L$8000,"&lt;="&amp;H$6)))/'Profit Plan'!$B$5)</f>
        <v/>
      </c>
      <c r="I392" s="122" t="str">
        <f>IF($A392="","",(IF(ISNUMBER(SEARCH("Proposal",$A392)),SUMIFS('Timesheet Raw'!$P$4:$P$8000,'Timesheet Raw'!$A$4:$A$8000,IF(ISNUMBER(SEARCH("Chargable",$A392)),"2-Proposals Chargeable","3-Proposals Regular"),'Timesheet Raw'!$C$4:$C$8000,"*"&amp;$B392&amp;"*",'Timesheet Raw'!$L$4:$L$8000,"&gt;="&amp;MAX(I$5,DATE(2000+VALUE(RIGHT(TRIM($A392),2)),1,1)),'Timesheet Raw'!$L$4:$L$8000,"&lt;="&amp;MIN(I$6,DATE(2000+VALUE(RIGHT(TRIM($A392),2)),12,31))),SUMIFS('Timesheet Raw'!$P$4:$P$8000,'Timesheet Raw'!$B$4:$B$8000,TRIM($A392),'Timesheet Raw'!$C$4:$C$8000,"*"&amp;$B392&amp;"*",'Timesheet Raw'!$L$4:$L$8000,"&gt;="&amp;I$5,'Timesheet Raw'!$L$4:$L$8000,"&lt;="&amp;I$6)))/'Profit Plan'!$B$5)</f>
        <v/>
      </c>
      <c r="J392" s="122" t="str">
        <f>IF($A392="","",(IF(ISNUMBER(SEARCH("Proposal",$A392)),SUMIFS('Timesheet Raw'!$P$4:$P$8000,'Timesheet Raw'!$A$4:$A$8000,IF(ISNUMBER(SEARCH("Chargable",$A392)),"2-Proposals Chargeable","3-Proposals Regular"),'Timesheet Raw'!$C$4:$C$8000,"*"&amp;$B392&amp;"*",'Timesheet Raw'!$L$4:$L$8000,"&gt;="&amp;MAX(J$5,DATE(2000+VALUE(RIGHT(TRIM($A392),2)),1,1)),'Timesheet Raw'!$L$4:$L$8000,"&lt;="&amp;MIN(J$6,DATE(2000+VALUE(RIGHT(TRIM($A392),2)),12,31))),SUMIFS('Timesheet Raw'!$P$4:$P$8000,'Timesheet Raw'!$B$4:$B$8000,TRIM($A392),'Timesheet Raw'!$C$4:$C$8000,"*"&amp;$B392&amp;"*",'Timesheet Raw'!$L$4:$L$8000,"&gt;="&amp;J$5,'Timesheet Raw'!$L$4:$L$8000,"&lt;="&amp;J$6)))/'Profit Plan'!$B$5)</f>
        <v/>
      </c>
      <c r="K392" s="122" t="str">
        <f>IF($A392="","",(IF(ISNUMBER(SEARCH("Proposal",$A392)),SUMIFS('Timesheet Raw'!$P$4:$P$8000,'Timesheet Raw'!$A$4:$A$8000,IF(ISNUMBER(SEARCH("Chargable",$A392)),"2-Proposals Chargeable","3-Proposals Regular"),'Timesheet Raw'!$C$4:$C$8000,"*"&amp;$B392&amp;"*",'Timesheet Raw'!$L$4:$L$8000,"&gt;="&amp;MAX(K$5,DATE(2000+VALUE(RIGHT(TRIM($A392),2)),1,1)),'Timesheet Raw'!$L$4:$L$8000,"&lt;="&amp;MIN(K$6,DATE(2000+VALUE(RIGHT(TRIM($A392),2)),12,31))),SUMIFS('Timesheet Raw'!$P$4:$P$8000,'Timesheet Raw'!$B$4:$B$8000,TRIM($A392),'Timesheet Raw'!$C$4:$C$8000,"*"&amp;$B392&amp;"*",'Timesheet Raw'!$L$4:$L$8000,"&gt;="&amp;K$5,'Timesheet Raw'!$L$4:$L$8000,"&lt;="&amp;K$6)))/'Profit Plan'!$B$5)</f>
        <v/>
      </c>
      <c r="L392" s="122" t="str">
        <f>IF($A392="","",(IF(ISNUMBER(SEARCH("Proposal",$A392)),SUMIFS('Timesheet Raw'!$P$4:$P$8000,'Timesheet Raw'!$A$4:$A$8000,IF(ISNUMBER(SEARCH("Chargable",$A392)),"2-Proposals Chargeable","3-Proposals Regular"),'Timesheet Raw'!$C$4:$C$8000,"*"&amp;$B392&amp;"*",'Timesheet Raw'!$L$4:$L$8000,"&gt;="&amp;MAX(L$5,DATE(2000+VALUE(RIGHT(TRIM($A392),2)),1,1)),'Timesheet Raw'!$L$4:$L$8000,"&lt;="&amp;MIN(L$6,DATE(2000+VALUE(RIGHT(TRIM($A392),2)),12,31))),SUMIFS('Timesheet Raw'!$P$4:$P$8000,'Timesheet Raw'!$B$4:$B$8000,TRIM($A392),'Timesheet Raw'!$C$4:$C$8000,"*"&amp;$B392&amp;"*",'Timesheet Raw'!$L$4:$L$8000,"&gt;="&amp;L$5,'Timesheet Raw'!$L$4:$L$8000,"&lt;="&amp;L$6)))/'Profit Plan'!$B$5)</f>
        <v/>
      </c>
      <c r="M392" s="122" t="str">
        <f>IF($A392="","",(IF(ISNUMBER(SEARCH("Proposal",$A392)),SUMIFS('Timesheet Raw'!$P$4:$P$8000,'Timesheet Raw'!$A$4:$A$8000,IF(ISNUMBER(SEARCH("Chargable",$A392)),"2-Proposals Chargeable","3-Proposals Regular"),'Timesheet Raw'!$C$4:$C$8000,"*"&amp;$B392&amp;"*",'Timesheet Raw'!$L$4:$L$8000,"&gt;="&amp;MAX(M$5,DATE(2000+VALUE(RIGHT(TRIM($A392),2)),1,1)),'Timesheet Raw'!$L$4:$L$8000,"&lt;="&amp;MIN(M$6,DATE(2000+VALUE(RIGHT(TRIM($A392),2)),12,31))),SUMIFS('Timesheet Raw'!$P$4:$P$8000,'Timesheet Raw'!$B$4:$B$8000,TRIM($A392),'Timesheet Raw'!$C$4:$C$8000,"*"&amp;$B392&amp;"*",'Timesheet Raw'!$L$4:$L$8000,"&gt;="&amp;M$5,'Timesheet Raw'!$L$4:$L$8000,"&lt;="&amp;M$6)))/'Profit Plan'!$B$5)</f>
        <v/>
      </c>
      <c r="N392" s="122" t="str">
        <f>IF($A392="","",(IF(ISNUMBER(SEARCH("Proposal",$A392)),SUMIFS('Timesheet Raw'!$P$4:$P$8000,'Timesheet Raw'!$A$4:$A$8000,IF(ISNUMBER(SEARCH("Chargable",$A392)),"2-Proposals Chargeable","3-Proposals Regular"),'Timesheet Raw'!$C$4:$C$8000,"*"&amp;$B392&amp;"*",'Timesheet Raw'!$L$4:$L$8000,"&gt;="&amp;MAX(N$5,DATE(2000+VALUE(RIGHT(TRIM($A392),2)),1,1)),'Timesheet Raw'!$L$4:$L$8000,"&lt;="&amp;MIN(N$6,DATE(2000+VALUE(RIGHT(TRIM($A392),2)),12,31))),SUMIFS('Timesheet Raw'!$P$4:$P$8000,'Timesheet Raw'!$B$4:$B$8000,TRIM($A392),'Timesheet Raw'!$C$4:$C$8000,"*"&amp;$B392&amp;"*",'Timesheet Raw'!$L$4:$L$8000,"&gt;="&amp;N$5,'Timesheet Raw'!$L$4:$L$8000,"&lt;="&amp;N$6)))/'Profit Plan'!$B$5)</f>
        <v/>
      </c>
      <c r="O392" s="122" t="str">
        <f>IF($A392="","",(IF(ISNUMBER(SEARCH("Proposal",$A392)),SUMIFS('Timesheet Raw'!$P$4:$P$8000,'Timesheet Raw'!$A$4:$A$8000,IF(ISNUMBER(SEARCH("Chargable",$A392)),"2-Proposals Chargeable","3-Proposals Regular"),'Timesheet Raw'!$C$4:$C$8000,"*"&amp;$B392&amp;"*",'Timesheet Raw'!$L$4:$L$8000,"&gt;="&amp;MAX(O$5,DATE(2000+VALUE(RIGHT(TRIM($A392),2)),1,1)),'Timesheet Raw'!$L$4:$L$8000,"&lt;="&amp;MIN(O$6,DATE(2000+VALUE(RIGHT(TRIM($A392),2)),12,31))),SUMIFS('Timesheet Raw'!$P$4:$P$8000,'Timesheet Raw'!$B$4:$B$8000,TRIM($A392),'Timesheet Raw'!$C$4:$C$8000,"*"&amp;$B392&amp;"*",'Timesheet Raw'!$L$4:$L$8000,"&gt;="&amp;O$5,'Timesheet Raw'!$L$4:$L$8000,"&lt;="&amp;O$6)))/'Profit Plan'!$B$5)</f>
        <v/>
      </c>
      <c r="P392" s="122" t="str">
        <f>IF($A392="","",(IF(ISNUMBER(SEARCH("Proposal",$A392)),SUMIFS('Timesheet Raw'!$P$4:$P$8000,'Timesheet Raw'!$A$4:$A$8000,IF(ISNUMBER(SEARCH("Chargable",$A392)),"2-Proposals Chargeable","3-Proposals Regular"),'Timesheet Raw'!$C$4:$C$8000,"*"&amp;$B392&amp;"*",'Timesheet Raw'!$L$4:$L$8000,"&gt;="&amp;MAX(P$5,DATE(2000+VALUE(RIGHT(TRIM($A392),2)),1,1)),'Timesheet Raw'!$L$4:$L$8000,"&lt;="&amp;MIN(P$6,DATE(2000+VALUE(RIGHT(TRIM($A392),2)),12,31))),SUMIFS('Timesheet Raw'!$P$4:$P$8000,'Timesheet Raw'!$B$4:$B$8000,TRIM($A392),'Timesheet Raw'!$C$4:$C$8000,"*"&amp;$B392&amp;"*",'Timesheet Raw'!$L$4:$L$8000,"&gt;="&amp;P$5,'Timesheet Raw'!$L$4:$L$8000,"&lt;="&amp;P$6)))/'Profit Plan'!$B$5)</f>
        <v/>
      </c>
      <c r="Q392" s="122" t="str">
        <f>IF($A392="","",(IF(ISNUMBER(SEARCH("Proposal",$A392)),SUMIFS('Timesheet Raw'!$P$4:$P$8000,'Timesheet Raw'!$A$4:$A$8000,IF(ISNUMBER(SEARCH("Chargable",$A392)),"2-Proposals Chargeable","3-Proposals Regular"),'Timesheet Raw'!$C$4:$C$8000,"*"&amp;$B392&amp;"*",'Timesheet Raw'!$L$4:$L$8000,"&gt;="&amp;MAX(Q$5,DATE(2000+VALUE(RIGHT(TRIM($A392),2)),1,1)),'Timesheet Raw'!$L$4:$L$8000,"&lt;="&amp;MIN(Q$6,DATE(2000+VALUE(RIGHT(TRIM($A392),2)),12,31))),SUMIFS('Timesheet Raw'!$P$4:$P$8000,'Timesheet Raw'!$B$4:$B$8000,TRIM($A392),'Timesheet Raw'!$C$4:$C$8000,"*"&amp;$B392&amp;"*",'Timesheet Raw'!$L$4:$L$8000,"&gt;="&amp;Q$5,'Timesheet Raw'!$L$4:$L$8000,"&lt;="&amp;Q$6)))/'Profit Plan'!$B$5)</f>
        <v/>
      </c>
      <c r="R392" s="122" t="str">
        <f>IF($A392="","",(IF(ISNUMBER(SEARCH("Proposal",$A392)),SUMIFS('Timesheet Raw'!$P$4:$P$8000,'Timesheet Raw'!$A$4:$A$8000,IF(ISNUMBER(SEARCH("Chargable",$A392)),"2-Proposals Chargeable","3-Proposals Regular"),'Timesheet Raw'!$C$4:$C$8000,"*"&amp;$B392&amp;"*",'Timesheet Raw'!$L$4:$L$8000,"&gt;="&amp;MAX(R$5,DATE(2000+VALUE(RIGHT(TRIM($A392),2)),1,1)),'Timesheet Raw'!$L$4:$L$8000,"&lt;="&amp;MIN(R$6,DATE(2000+VALUE(RIGHT(TRIM($A392),2)),12,31))),SUMIFS('Timesheet Raw'!$P$4:$P$8000,'Timesheet Raw'!$B$4:$B$8000,TRIM($A392),'Timesheet Raw'!$C$4:$C$8000,"*"&amp;$B392&amp;"*",'Timesheet Raw'!$L$4:$L$8000,"&gt;="&amp;R$5,'Timesheet Raw'!$L$4:$L$8000,"&lt;="&amp;R$6)))/'Profit Plan'!$B$5)</f>
        <v/>
      </c>
      <c r="S392" s="122" t="str">
        <f>IF($A392="","",(IF(ISNUMBER(SEARCH("Proposal",$A392)),SUMIFS('Timesheet Raw'!$P$4:$P$8000,'Timesheet Raw'!$A$4:$A$8000,IF(ISNUMBER(SEARCH("Chargable",$A392)),"2-Proposals Chargeable","3-Proposals Regular"),'Timesheet Raw'!$C$4:$C$8000,"*"&amp;$B392&amp;"*",'Timesheet Raw'!$L$4:$L$8000,"&gt;="&amp;MAX(S$5,DATE(2000+VALUE(RIGHT(TRIM($A392),2)),1,1)),'Timesheet Raw'!$L$4:$L$8000,"&lt;="&amp;MIN(S$6,DATE(2000+VALUE(RIGHT(TRIM($A392),2)),12,31))),SUMIFS('Timesheet Raw'!$P$4:$P$8000,'Timesheet Raw'!$B$4:$B$8000,TRIM($A392),'Timesheet Raw'!$C$4:$C$8000,"*"&amp;$B392&amp;"*",'Timesheet Raw'!$L$4:$L$8000,"&gt;="&amp;S$5,'Timesheet Raw'!$L$4:$L$8000,"&lt;="&amp;S$6)))/'Profit Plan'!$B$5)</f>
        <v/>
      </c>
      <c r="T392" s="122" t="str">
        <f>IF($A392="","",(IF(ISNUMBER(SEARCH("Proposal",$A392)),SUMIFS('Timesheet Raw'!$P$4:$P$8000,'Timesheet Raw'!$A$4:$A$8000,IF(ISNUMBER(SEARCH("Chargable",$A392)),"2-Proposals Chargeable","3-Proposals Regular"),'Timesheet Raw'!$C$4:$C$8000,"*"&amp;$B392&amp;"*",'Timesheet Raw'!$L$4:$L$8000,"&gt;="&amp;MAX(T$5,DATE(2000+VALUE(RIGHT(TRIM($A392),2)),1,1)),'Timesheet Raw'!$L$4:$L$8000,"&lt;="&amp;MIN(T$6,DATE(2000+VALUE(RIGHT(TRIM($A392),2)),12,31))),SUMIFS('Timesheet Raw'!$P$4:$P$8000,'Timesheet Raw'!$B$4:$B$8000,TRIM($A392),'Timesheet Raw'!$C$4:$C$8000,"*"&amp;$B392&amp;"*",'Timesheet Raw'!$L$4:$L$8000,"&gt;="&amp;T$5,'Timesheet Raw'!$L$4:$L$8000,"&lt;="&amp;T$6)))/'Profit Plan'!$B$5)</f>
        <v/>
      </c>
      <c r="U392" s="122" t="str">
        <f>IF($A392="","",(IF(ISNUMBER(SEARCH("Proposal",$A392)),SUMIFS('Timesheet Raw'!$P$4:$P$8000,'Timesheet Raw'!$A$4:$A$8000,IF(ISNUMBER(SEARCH("Chargable",$A392)),"2-Proposals Chargeable","3-Proposals Regular"),'Timesheet Raw'!$C$4:$C$8000,"*"&amp;$B392&amp;"*",'Timesheet Raw'!$L$4:$L$8000,"&gt;="&amp;MAX(U$5,DATE(2000+VALUE(RIGHT(TRIM($A392),2)),1,1)),'Timesheet Raw'!$L$4:$L$8000,"&lt;="&amp;MIN(U$6,DATE(2000+VALUE(RIGHT(TRIM($A392),2)),12,31))),SUMIFS('Timesheet Raw'!$P$4:$P$8000,'Timesheet Raw'!$B$4:$B$8000,TRIM($A392),'Timesheet Raw'!$C$4:$C$8000,"*"&amp;$B392&amp;"*",'Timesheet Raw'!$L$4:$L$8000,"&gt;="&amp;U$5,'Timesheet Raw'!$L$4:$L$8000,"&lt;="&amp;U$6)))/'Profit Plan'!$B$5)</f>
        <v/>
      </c>
      <c r="V392" s="122" t="str">
        <f>IF($A392="","",(IF(ISNUMBER(SEARCH("Proposal",$A392)),SUMIFS('Timesheet Raw'!$P$4:$P$8000,'Timesheet Raw'!$A$4:$A$8000,IF(ISNUMBER(SEARCH("Chargable",$A392)),"2-Proposals Chargeable","3-Proposals Regular"),'Timesheet Raw'!$C$4:$C$8000,"*"&amp;$B392&amp;"*",'Timesheet Raw'!$L$4:$L$8000,"&gt;="&amp;MAX(V$5,DATE(2000+VALUE(RIGHT(TRIM($A392),2)),1,1)),'Timesheet Raw'!$L$4:$L$8000,"&lt;="&amp;MIN(V$6,DATE(2000+VALUE(RIGHT(TRIM($A392),2)),12,31))),SUMIFS('Timesheet Raw'!$P$4:$P$8000,'Timesheet Raw'!$B$4:$B$8000,TRIM($A392),'Timesheet Raw'!$C$4:$C$8000,"*"&amp;$B392&amp;"*",'Timesheet Raw'!$L$4:$L$8000,"&gt;="&amp;V$5,'Timesheet Raw'!$L$4:$L$8000,"&lt;="&amp;V$6)))/'Profit Plan'!$B$5)</f>
        <v/>
      </c>
      <c r="W392" s="122" t="str">
        <f>IF($A392="","",(IF(ISNUMBER(SEARCH("Proposal",$A392)),SUMIFS('Timesheet Raw'!$P$4:$P$8000,'Timesheet Raw'!$A$4:$A$8000,IF(ISNUMBER(SEARCH("Chargable",$A392)),"2-Proposals Chargeable","3-Proposals Regular"),'Timesheet Raw'!$C$4:$C$8000,"*"&amp;$B392&amp;"*",'Timesheet Raw'!$L$4:$L$8000,"&gt;="&amp;MAX(W$5,DATE(2000+VALUE(RIGHT(TRIM($A392),2)),1,1)),'Timesheet Raw'!$L$4:$L$8000,"&lt;="&amp;MIN(W$6,DATE(2000+VALUE(RIGHT(TRIM($A392),2)),12,31))),SUMIFS('Timesheet Raw'!$P$4:$P$8000,'Timesheet Raw'!$B$4:$B$8000,TRIM($A392),'Timesheet Raw'!$C$4:$C$8000,"*"&amp;$B392&amp;"*",'Timesheet Raw'!$L$4:$L$8000,"&gt;="&amp;W$5,'Timesheet Raw'!$L$4:$L$8000,"&lt;="&amp;W$6)))/'Profit Plan'!$B$5)</f>
        <v/>
      </c>
      <c r="X392" s="122" t="str">
        <f>IF($A392="","",(IF(ISNUMBER(SEARCH("Proposal",$A392)),SUMIFS('Timesheet Raw'!$P$4:$P$8000,'Timesheet Raw'!$A$4:$A$8000,IF(ISNUMBER(SEARCH("Chargable",$A392)),"2-Proposals Chargeable","3-Proposals Regular"),'Timesheet Raw'!$C$4:$C$8000,"*"&amp;$B392&amp;"*",'Timesheet Raw'!$L$4:$L$8000,"&gt;="&amp;MAX(X$5,DATE(2000+VALUE(RIGHT(TRIM($A392),2)),1,1)),'Timesheet Raw'!$L$4:$L$8000,"&lt;="&amp;MIN(X$6,DATE(2000+VALUE(RIGHT(TRIM($A392),2)),12,31))),SUMIFS('Timesheet Raw'!$P$4:$P$8000,'Timesheet Raw'!$B$4:$B$8000,TRIM($A392),'Timesheet Raw'!$C$4:$C$8000,"*"&amp;$B392&amp;"*",'Timesheet Raw'!$L$4:$L$8000,"&gt;="&amp;X$5,'Timesheet Raw'!$L$4:$L$8000,"&lt;="&amp;X$6)))/'Profit Plan'!$B$5)</f>
        <v/>
      </c>
      <c r="Y392" s="118">
        <f t="shared" si="101"/>
        <v>0</v>
      </c>
    </row>
    <row r="393" spans="1:25" x14ac:dyDescent="0.3">
      <c r="A393" s="116" t="str">
        <f>IF(Inputs!$A48="","",Inputs!$A48)</f>
        <v/>
      </c>
      <c r="B393" s="116" t="str">
        <f>IF(Inputs!$A48="","",Inputs!$A$93)</f>
        <v/>
      </c>
      <c r="C393" s="116"/>
      <c r="D393" s="122" t="str">
        <f>IF($A393="","",(IF(ISNUMBER(SEARCH("Proposal",$A393)),SUMIFS('Timesheet Raw'!$P$4:$P$8000,'Timesheet Raw'!$A$4:$A$8000,IF(ISNUMBER(SEARCH("Chargable",$A393)),"2-Proposals Chargeable","3-Proposals Regular"),'Timesheet Raw'!$C$4:$C$8000,"*"&amp;$B393&amp;"*",'Timesheet Raw'!$L$4:$L$8000,"&gt;="&amp;MAX(D$5,DATE(2000+VALUE(RIGHT(TRIM($A393),2)),1,1)),'Timesheet Raw'!$L$4:$L$8000,"&lt;="&amp;MIN(D$6,DATE(2000+VALUE(RIGHT(TRIM($A393),2)),12,31))),SUMIFS('Timesheet Raw'!$P$4:$P$8000,'Timesheet Raw'!$B$4:$B$8000,TRIM($A393),'Timesheet Raw'!$C$4:$C$8000,"*"&amp;$B393&amp;"*",'Timesheet Raw'!$L$4:$L$8000,"&gt;="&amp;D$5,'Timesheet Raw'!$L$4:$L$8000,"&lt;="&amp;D$6)))/'Profit Plan'!$B$5)</f>
        <v/>
      </c>
      <c r="E393" s="122" t="str">
        <f>IF($A393="","",(IF(ISNUMBER(SEARCH("Proposal",$A393)),SUMIFS('Timesheet Raw'!$P$4:$P$8000,'Timesheet Raw'!$A$4:$A$8000,IF(ISNUMBER(SEARCH("Chargable",$A393)),"2-Proposals Chargeable","3-Proposals Regular"),'Timesheet Raw'!$C$4:$C$8000,"*"&amp;$B393&amp;"*",'Timesheet Raw'!$L$4:$L$8000,"&gt;="&amp;MAX(E$5,DATE(2000+VALUE(RIGHT(TRIM($A393),2)),1,1)),'Timesheet Raw'!$L$4:$L$8000,"&lt;="&amp;MIN(E$6,DATE(2000+VALUE(RIGHT(TRIM($A393),2)),12,31))),SUMIFS('Timesheet Raw'!$P$4:$P$8000,'Timesheet Raw'!$B$4:$B$8000,TRIM($A393),'Timesheet Raw'!$C$4:$C$8000,"*"&amp;$B393&amp;"*",'Timesheet Raw'!$L$4:$L$8000,"&gt;="&amp;E$5,'Timesheet Raw'!$L$4:$L$8000,"&lt;="&amp;E$6)))/'Profit Plan'!$B$5)</f>
        <v/>
      </c>
      <c r="F393" s="122" t="str">
        <f>IF($A393="","",(IF(ISNUMBER(SEARCH("Proposal",$A393)),SUMIFS('Timesheet Raw'!$P$4:$P$8000,'Timesheet Raw'!$A$4:$A$8000,IF(ISNUMBER(SEARCH("Chargable",$A393)),"2-Proposals Chargeable","3-Proposals Regular"),'Timesheet Raw'!$C$4:$C$8000,"*"&amp;$B393&amp;"*",'Timesheet Raw'!$L$4:$L$8000,"&gt;="&amp;MAX(F$5,DATE(2000+VALUE(RIGHT(TRIM($A393),2)),1,1)),'Timesheet Raw'!$L$4:$L$8000,"&lt;="&amp;MIN(F$6,DATE(2000+VALUE(RIGHT(TRIM($A393),2)),12,31))),SUMIFS('Timesheet Raw'!$P$4:$P$8000,'Timesheet Raw'!$B$4:$B$8000,TRIM($A393),'Timesheet Raw'!$C$4:$C$8000,"*"&amp;$B393&amp;"*",'Timesheet Raw'!$L$4:$L$8000,"&gt;="&amp;F$5,'Timesheet Raw'!$L$4:$L$8000,"&lt;="&amp;F$6)))/'Profit Plan'!$B$5)</f>
        <v/>
      </c>
      <c r="G393" s="122" t="str">
        <f>IF($A393="","",(IF(ISNUMBER(SEARCH("Proposal",$A393)),SUMIFS('Timesheet Raw'!$P$4:$P$8000,'Timesheet Raw'!$A$4:$A$8000,IF(ISNUMBER(SEARCH("Chargable",$A393)),"2-Proposals Chargeable","3-Proposals Regular"),'Timesheet Raw'!$C$4:$C$8000,"*"&amp;$B393&amp;"*",'Timesheet Raw'!$L$4:$L$8000,"&gt;="&amp;MAX(G$5,DATE(2000+VALUE(RIGHT(TRIM($A393),2)),1,1)),'Timesheet Raw'!$L$4:$L$8000,"&lt;="&amp;MIN(G$6,DATE(2000+VALUE(RIGHT(TRIM($A393),2)),12,31))),SUMIFS('Timesheet Raw'!$P$4:$P$8000,'Timesheet Raw'!$B$4:$B$8000,TRIM($A393),'Timesheet Raw'!$C$4:$C$8000,"*"&amp;$B393&amp;"*",'Timesheet Raw'!$L$4:$L$8000,"&gt;="&amp;G$5,'Timesheet Raw'!$L$4:$L$8000,"&lt;="&amp;G$6)))/'Profit Plan'!$B$5)</f>
        <v/>
      </c>
      <c r="H393" s="122" t="str">
        <f>IF($A393="","",(IF(ISNUMBER(SEARCH("Proposal",$A393)),SUMIFS('Timesheet Raw'!$P$4:$P$8000,'Timesheet Raw'!$A$4:$A$8000,IF(ISNUMBER(SEARCH("Chargable",$A393)),"2-Proposals Chargeable","3-Proposals Regular"),'Timesheet Raw'!$C$4:$C$8000,"*"&amp;$B393&amp;"*",'Timesheet Raw'!$L$4:$L$8000,"&gt;="&amp;MAX(H$5,DATE(2000+VALUE(RIGHT(TRIM($A393),2)),1,1)),'Timesheet Raw'!$L$4:$L$8000,"&lt;="&amp;MIN(H$6,DATE(2000+VALUE(RIGHT(TRIM($A393),2)),12,31))),SUMIFS('Timesheet Raw'!$P$4:$P$8000,'Timesheet Raw'!$B$4:$B$8000,TRIM($A393),'Timesheet Raw'!$C$4:$C$8000,"*"&amp;$B393&amp;"*",'Timesheet Raw'!$L$4:$L$8000,"&gt;="&amp;H$5,'Timesheet Raw'!$L$4:$L$8000,"&lt;="&amp;H$6)))/'Profit Plan'!$B$5)</f>
        <v/>
      </c>
      <c r="I393" s="122" t="str">
        <f>IF($A393="","",(IF(ISNUMBER(SEARCH("Proposal",$A393)),SUMIFS('Timesheet Raw'!$P$4:$P$8000,'Timesheet Raw'!$A$4:$A$8000,IF(ISNUMBER(SEARCH("Chargable",$A393)),"2-Proposals Chargeable","3-Proposals Regular"),'Timesheet Raw'!$C$4:$C$8000,"*"&amp;$B393&amp;"*",'Timesheet Raw'!$L$4:$L$8000,"&gt;="&amp;MAX(I$5,DATE(2000+VALUE(RIGHT(TRIM($A393),2)),1,1)),'Timesheet Raw'!$L$4:$L$8000,"&lt;="&amp;MIN(I$6,DATE(2000+VALUE(RIGHT(TRIM($A393),2)),12,31))),SUMIFS('Timesheet Raw'!$P$4:$P$8000,'Timesheet Raw'!$B$4:$B$8000,TRIM($A393),'Timesheet Raw'!$C$4:$C$8000,"*"&amp;$B393&amp;"*",'Timesheet Raw'!$L$4:$L$8000,"&gt;="&amp;I$5,'Timesheet Raw'!$L$4:$L$8000,"&lt;="&amp;I$6)))/'Profit Plan'!$B$5)</f>
        <v/>
      </c>
      <c r="J393" s="122" t="str">
        <f>IF($A393="","",(IF(ISNUMBER(SEARCH("Proposal",$A393)),SUMIFS('Timesheet Raw'!$P$4:$P$8000,'Timesheet Raw'!$A$4:$A$8000,IF(ISNUMBER(SEARCH("Chargable",$A393)),"2-Proposals Chargeable","3-Proposals Regular"),'Timesheet Raw'!$C$4:$C$8000,"*"&amp;$B393&amp;"*",'Timesheet Raw'!$L$4:$L$8000,"&gt;="&amp;MAX(J$5,DATE(2000+VALUE(RIGHT(TRIM($A393),2)),1,1)),'Timesheet Raw'!$L$4:$L$8000,"&lt;="&amp;MIN(J$6,DATE(2000+VALUE(RIGHT(TRIM($A393),2)),12,31))),SUMIFS('Timesheet Raw'!$P$4:$P$8000,'Timesheet Raw'!$B$4:$B$8000,TRIM($A393),'Timesheet Raw'!$C$4:$C$8000,"*"&amp;$B393&amp;"*",'Timesheet Raw'!$L$4:$L$8000,"&gt;="&amp;J$5,'Timesheet Raw'!$L$4:$L$8000,"&lt;="&amp;J$6)))/'Profit Plan'!$B$5)</f>
        <v/>
      </c>
      <c r="K393" s="122" t="str">
        <f>IF($A393="","",(IF(ISNUMBER(SEARCH("Proposal",$A393)),SUMIFS('Timesheet Raw'!$P$4:$P$8000,'Timesheet Raw'!$A$4:$A$8000,IF(ISNUMBER(SEARCH("Chargable",$A393)),"2-Proposals Chargeable","3-Proposals Regular"),'Timesheet Raw'!$C$4:$C$8000,"*"&amp;$B393&amp;"*",'Timesheet Raw'!$L$4:$L$8000,"&gt;="&amp;MAX(K$5,DATE(2000+VALUE(RIGHT(TRIM($A393),2)),1,1)),'Timesheet Raw'!$L$4:$L$8000,"&lt;="&amp;MIN(K$6,DATE(2000+VALUE(RIGHT(TRIM($A393),2)),12,31))),SUMIFS('Timesheet Raw'!$P$4:$P$8000,'Timesheet Raw'!$B$4:$B$8000,TRIM($A393),'Timesheet Raw'!$C$4:$C$8000,"*"&amp;$B393&amp;"*",'Timesheet Raw'!$L$4:$L$8000,"&gt;="&amp;K$5,'Timesheet Raw'!$L$4:$L$8000,"&lt;="&amp;K$6)))/'Profit Plan'!$B$5)</f>
        <v/>
      </c>
      <c r="L393" s="122" t="str">
        <f>IF($A393="","",(IF(ISNUMBER(SEARCH("Proposal",$A393)),SUMIFS('Timesheet Raw'!$P$4:$P$8000,'Timesheet Raw'!$A$4:$A$8000,IF(ISNUMBER(SEARCH("Chargable",$A393)),"2-Proposals Chargeable","3-Proposals Regular"),'Timesheet Raw'!$C$4:$C$8000,"*"&amp;$B393&amp;"*",'Timesheet Raw'!$L$4:$L$8000,"&gt;="&amp;MAX(L$5,DATE(2000+VALUE(RIGHT(TRIM($A393),2)),1,1)),'Timesheet Raw'!$L$4:$L$8000,"&lt;="&amp;MIN(L$6,DATE(2000+VALUE(RIGHT(TRIM($A393),2)),12,31))),SUMIFS('Timesheet Raw'!$P$4:$P$8000,'Timesheet Raw'!$B$4:$B$8000,TRIM($A393),'Timesheet Raw'!$C$4:$C$8000,"*"&amp;$B393&amp;"*",'Timesheet Raw'!$L$4:$L$8000,"&gt;="&amp;L$5,'Timesheet Raw'!$L$4:$L$8000,"&lt;="&amp;L$6)))/'Profit Plan'!$B$5)</f>
        <v/>
      </c>
      <c r="M393" s="122" t="str">
        <f>IF($A393="","",(IF(ISNUMBER(SEARCH("Proposal",$A393)),SUMIFS('Timesheet Raw'!$P$4:$P$8000,'Timesheet Raw'!$A$4:$A$8000,IF(ISNUMBER(SEARCH("Chargable",$A393)),"2-Proposals Chargeable","3-Proposals Regular"),'Timesheet Raw'!$C$4:$C$8000,"*"&amp;$B393&amp;"*",'Timesheet Raw'!$L$4:$L$8000,"&gt;="&amp;MAX(M$5,DATE(2000+VALUE(RIGHT(TRIM($A393),2)),1,1)),'Timesheet Raw'!$L$4:$L$8000,"&lt;="&amp;MIN(M$6,DATE(2000+VALUE(RIGHT(TRIM($A393),2)),12,31))),SUMIFS('Timesheet Raw'!$P$4:$P$8000,'Timesheet Raw'!$B$4:$B$8000,TRIM($A393),'Timesheet Raw'!$C$4:$C$8000,"*"&amp;$B393&amp;"*",'Timesheet Raw'!$L$4:$L$8000,"&gt;="&amp;M$5,'Timesheet Raw'!$L$4:$L$8000,"&lt;="&amp;M$6)))/'Profit Plan'!$B$5)</f>
        <v/>
      </c>
      <c r="N393" s="122" t="str">
        <f>IF($A393="","",(IF(ISNUMBER(SEARCH("Proposal",$A393)),SUMIFS('Timesheet Raw'!$P$4:$P$8000,'Timesheet Raw'!$A$4:$A$8000,IF(ISNUMBER(SEARCH("Chargable",$A393)),"2-Proposals Chargeable","3-Proposals Regular"),'Timesheet Raw'!$C$4:$C$8000,"*"&amp;$B393&amp;"*",'Timesheet Raw'!$L$4:$L$8000,"&gt;="&amp;MAX(N$5,DATE(2000+VALUE(RIGHT(TRIM($A393),2)),1,1)),'Timesheet Raw'!$L$4:$L$8000,"&lt;="&amp;MIN(N$6,DATE(2000+VALUE(RIGHT(TRIM($A393),2)),12,31))),SUMIFS('Timesheet Raw'!$P$4:$P$8000,'Timesheet Raw'!$B$4:$B$8000,TRIM($A393),'Timesheet Raw'!$C$4:$C$8000,"*"&amp;$B393&amp;"*",'Timesheet Raw'!$L$4:$L$8000,"&gt;="&amp;N$5,'Timesheet Raw'!$L$4:$L$8000,"&lt;="&amp;N$6)))/'Profit Plan'!$B$5)</f>
        <v/>
      </c>
      <c r="O393" s="122" t="str">
        <f>IF($A393="","",(IF(ISNUMBER(SEARCH("Proposal",$A393)),SUMIFS('Timesheet Raw'!$P$4:$P$8000,'Timesheet Raw'!$A$4:$A$8000,IF(ISNUMBER(SEARCH("Chargable",$A393)),"2-Proposals Chargeable","3-Proposals Regular"),'Timesheet Raw'!$C$4:$C$8000,"*"&amp;$B393&amp;"*",'Timesheet Raw'!$L$4:$L$8000,"&gt;="&amp;MAX(O$5,DATE(2000+VALUE(RIGHT(TRIM($A393),2)),1,1)),'Timesheet Raw'!$L$4:$L$8000,"&lt;="&amp;MIN(O$6,DATE(2000+VALUE(RIGHT(TRIM($A393),2)),12,31))),SUMIFS('Timesheet Raw'!$P$4:$P$8000,'Timesheet Raw'!$B$4:$B$8000,TRIM($A393),'Timesheet Raw'!$C$4:$C$8000,"*"&amp;$B393&amp;"*",'Timesheet Raw'!$L$4:$L$8000,"&gt;="&amp;O$5,'Timesheet Raw'!$L$4:$L$8000,"&lt;="&amp;O$6)))/'Profit Plan'!$B$5)</f>
        <v/>
      </c>
      <c r="P393" s="122" t="str">
        <f>IF($A393="","",(IF(ISNUMBER(SEARCH("Proposal",$A393)),SUMIFS('Timesheet Raw'!$P$4:$P$8000,'Timesheet Raw'!$A$4:$A$8000,IF(ISNUMBER(SEARCH("Chargable",$A393)),"2-Proposals Chargeable","3-Proposals Regular"),'Timesheet Raw'!$C$4:$C$8000,"*"&amp;$B393&amp;"*",'Timesheet Raw'!$L$4:$L$8000,"&gt;="&amp;MAX(P$5,DATE(2000+VALUE(RIGHT(TRIM($A393),2)),1,1)),'Timesheet Raw'!$L$4:$L$8000,"&lt;="&amp;MIN(P$6,DATE(2000+VALUE(RIGHT(TRIM($A393),2)),12,31))),SUMIFS('Timesheet Raw'!$P$4:$P$8000,'Timesheet Raw'!$B$4:$B$8000,TRIM($A393),'Timesheet Raw'!$C$4:$C$8000,"*"&amp;$B393&amp;"*",'Timesheet Raw'!$L$4:$L$8000,"&gt;="&amp;P$5,'Timesheet Raw'!$L$4:$L$8000,"&lt;="&amp;P$6)))/'Profit Plan'!$B$5)</f>
        <v/>
      </c>
      <c r="Q393" s="122" t="str">
        <f>IF($A393="","",(IF(ISNUMBER(SEARCH("Proposal",$A393)),SUMIFS('Timesheet Raw'!$P$4:$P$8000,'Timesheet Raw'!$A$4:$A$8000,IF(ISNUMBER(SEARCH("Chargable",$A393)),"2-Proposals Chargeable","3-Proposals Regular"),'Timesheet Raw'!$C$4:$C$8000,"*"&amp;$B393&amp;"*",'Timesheet Raw'!$L$4:$L$8000,"&gt;="&amp;MAX(Q$5,DATE(2000+VALUE(RIGHT(TRIM($A393),2)),1,1)),'Timesheet Raw'!$L$4:$L$8000,"&lt;="&amp;MIN(Q$6,DATE(2000+VALUE(RIGHT(TRIM($A393),2)),12,31))),SUMIFS('Timesheet Raw'!$P$4:$P$8000,'Timesheet Raw'!$B$4:$B$8000,TRIM($A393),'Timesheet Raw'!$C$4:$C$8000,"*"&amp;$B393&amp;"*",'Timesheet Raw'!$L$4:$L$8000,"&gt;="&amp;Q$5,'Timesheet Raw'!$L$4:$L$8000,"&lt;="&amp;Q$6)))/'Profit Plan'!$B$5)</f>
        <v/>
      </c>
      <c r="R393" s="122" t="str">
        <f>IF($A393="","",(IF(ISNUMBER(SEARCH("Proposal",$A393)),SUMIFS('Timesheet Raw'!$P$4:$P$8000,'Timesheet Raw'!$A$4:$A$8000,IF(ISNUMBER(SEARCH("Chargable",$A393)),"2-Proposals Chargeable","3-Proposals Regular"),'Timesheet Raw'!$C$4:$C$8000,"*"&amp;$B393&amp;"*",'Timesheet Raw'!$L$4:$L$8000,"&gt;="&amp;MAX(R$5,DATE(2000+VALUE(RIGHT(TRIM($A393),2)),1,1)),'Timesheet Raw'!$L$4:$L$8000,"&lt;="&amp;MIN(R$6,DATE(2000+VALUE(RIGHT(TRIM($A393),2)),12,31))),SUMIFS('Timesheet Raw'!$P$4:$P$8000,'Timesheet Raw'!$B$4:$B$8000,TRIM($A393),'Timesheet Raw'!$C$4:$C$8000,"*"&amp;$B393&amp;"*",'Timesheet Raw'!$L$4:$L$8000,"&gt;="&amp;R$5,'Timesheet Raw'!$L$4:$L$8000,"&lt;="&amp;R$6)))/'Profit Plan'!$B$5)</f>
        <v/>
      </c>
      <c r="S393" s="122" t="str">
        <f>IF($A393="","",(IF(ISNUMBER(SEARCH("Proposal",$A393)),SUMIFS('Timesheet Raw'!$P$4:$P$8000,'Timesheet Raw'!$A$4:$A$8000,IF(ISNUMBER(SEARCH("Chargable",$A393)),"2-Proposals Chargeable","3-Proposals Regular"),'Timesheet Raw'!$C$4:$C$8000,"*"&amp;$B393&amp;"*",'Timesheet Raw'!$L$4:$L$8000,"&gt;="&amp;MAX(S$5,DATE(2000+VALUE(RIGHT(TRIM($A393),2)),1,1)),'Timesheet Raw'!$L$4:$L$8000,"&lt;="&amp;MIN(S$6,DATE(2000+VALUE(RIGHT(TRIM($A393),2)),12,31))),SUMIFS('Timesheet Raw'!$P$4:$P$8000,'Timesheet Raw'!$B$4:$B$8000,TRIM($A393),'Timesheet Raw'!$C$4:$C$8000,"*"&amp;$B393&amp;"*",'Timesheet Raw'!$L$4:$L$8000,"&gt;="&amp;S$5,'Timesheet Raw'!$L$4:$L$8000,"&lt;="&amp;S$6)))/'Profit Plan'!$B$5)</f>
        <v/>
      </c>
      <c r="T393" s="122" t="str">
        <f>IF($A393="","",(IF(ISNUMBER(SEARCH("Proposal",$A393)),SUMIFS('Timesheet Raw'!$P$4:$P$8000,'Timesheet Raw'!$A$4:$A$8000,IF(ISNUMBER(SEARCH("Chargable",$A393)),"2-Proposals Chargeable","3-Proposals Regular"),'Timesheet Raw'!$C$4:$C$8000,"*"&amp;$B393&amp;"*",'Timesheet Raw'!$L$4:$L$8000,"&gt;="&amp;MAX(T$5,DATE(2000+VALUE(RIGHT(TRIM($A393),2)),1,1)),'Timesheet Raw'!$L$4:$L$8000,"&lt;="&amp;MIN(T$6,DATE(2000+VALUE(RIGHT(TRIM($A393),2)),12,31))),SUMIFS('Timesheet Raw'!$P$4:$P$8000,'Timesheet Raw'!$B$4:$B$8000,TRIM($A393),'Timesheet Raw'!$C$4:$C$8000,"*"&amp;$B393&amp;"*",'Timesheet Raw'!$L$4:$L$8000,"&gt;="&amp;T$5,'Timesheet Raw'!$L$4:$L$8000,"&lt;="&amp;T$6)))/'Profit Plan'!$B$5)</f>
        <v/>
      </c>
      <c r="U393" s="122" t="str">
        <f>IF($A393="","",(IF(ISNUMBER(SEARCH("Proposal",$A393)),SUMIFS('Timesheet Raw'!$P$4:$P$8000,'Timesheet Raw'!$A$4:$A$8000,IF(ISNUMBER(SEARCH("Chargable",$A393)),"2-Proposals Chargeable","3-Proposals Regular"),'Timesheet Raw'!$C$4:$C$8000,"*"&amp;$B393&amp;"*",'Timesheet Raw'!$L$4:$L$8000,"&gt;="&amp;MAX(U$5,DATE(2000+VALUE(RIGHT(TRIM($A393),2)),1,1)),'Timesheet Raw'!$L$4:$L$8000,"&lt;="&amp;MIN(U$6,DATE(2000+VALUE(RIGHT(TRIM($A393),2)),12,31))),SUMIFS('Timesheet Raw'!$P$4:$P$8000,'Timesheet Raw'!$B$4:$B$8000,TRIM($A393),'Timesheet Raw'!$C$4:$C$8000,"*"&amp;$B393&amp;"*",'Timesheet Raw'!$L$4:$L$8000,"&gt;="&amp;U$5,'Timesheet Raw'!$L$4:$L$8000,"&lt;="&amp;U$6)))/'Profit Plan'!$B$5)</f>
        <v/>
      </c>
      <c r="V393" s="122" t="str">
        <f>IF($A393="","",(IF(ISNUMBER(SEARCH("Proposal",$A393)),SUMIFS('Timesheet Raw'!$P$4:$P$8000,'Timesheet Raw'!$A$4:$A$8000,IF(ISNUMBER(SEARCH("Chargable",$A393)),"2-Proposals Chargeable","3-Proposals Regular"),'Timesheet Raw'!$C$4:$C$8000,"*"&amp;$B393&amp;"*",'Timesheet Raw'!$L$4:$L$8000,"&gt;="&amp;MAX(V$5,DATE(2000+VALUE(RIGHT(TRIM($A393),2)),1,1)),'Timesheet Raw'!$L$4:$L$8000,"&lt;="&amp;MIN(V$6,DATE(2000+VALUE(RIGHT(TRIM($A393),2)),12,31))),SUMIFS('Timesheet Raw'!$P$4:$P$8000,'Timesheet Raw'!$B$4:$B$8000,TRIM($A393),'Timesheet Raw'!$C$4:$C$8000,"*"&amp;$B393&amp;"*",'Timesheet Raw'!$L$4:$L$8000,"&gt;="&amp;V$5,'Timesheet Raw'!$L$4:$L$8000,"&lt;="&amp;V$6)))/'Profit Plan'!$B$5)</f>
        <v/>
      </c>
      <c r="W393" s="122" t="str">
        <f>IF($A393="","",(IF(ISNUMBER(SEARCH("Proposal",$A393)),SUMIFS('Timesheet Raw'!$P$4:$P$8000,'Timesheet Raw'!$A$4:$A$8000,IF(ISNUMBER(SEARCH("Chargable",$A393)),"2-Proposals Chargeable","3-Proposals Regular"),'Timesheet Raw'!$C$4:$C$8000,"*"&amp;$B393&amp;"*",'Timesheet Raw'!$L$4:$L$8000,"&gt;="&amp;MAX(W$5,DATE(2000+VALUE(RIGHT(TRIM($A393),2)),1,1)),'Timesheet Raw'!$L$4:$L$8000,"&lt;="&amp;MIN(W$6,DATE(2000+VALUE(RIGHT(TRIM($A393),2)),12,31))),SUMIFS('Timesheet Raw'!$P$4:$P$8000,'Timesheet Raw'!$B$4:$B$8000,TRIM($A393),'Timesheet Raw'!$C$4:$C$8000,"*"&amp;$B393&amp;"*",'Timesheet Raw'!$L$4:$L$8000,"&gt;="&amp;W$5,'Timesheet Raw'!$L$4:$L$8000,"&lt;="&amp;W$6)))/'Profit Plan'!$B$5)</f>
        <v/>
      </c>
      <c r="X393" s="122" t="str">
        <f>IF($A393="","",(IF(ISNUMBER(SEARCH("Proposal",$A393)),SUMIFS('Timesheet Raw'!$P$4:$P$8000,'Timesheet Raw'!$A$4:$A$8000,IF(ISNUMBER(SEARCH("Chargable",$A393)),"2-Proposals Chargeable","3-Proposals Regular"),'Timesheet Raw'!$C$4:$C$8000,"*"&amp;$B393&amp;"*",'Timesheet Raw'!$L$4:$L$8000,"&gt;="&amp;MAX(X$5,DATE(2000+VALUE(RIGHT(TRIM($A393),2)),1,1)),'Timesheet Raw'!$L$4:$L$8000,"&lt;="&amp;MIN(X$6,DATE(2000+VALUE(RIGHT(TRIM($A393),2)),12,31))),SUMIFS('Timesheet Raw'!$P$4:$P$8000,'Timesheet Raw'!$B$4:$B$8000,TRIM($A393),'Timesheet Raw'!$C$4:$C$8000,"*"&amp;$B393&amp;"*",'Timesheet Raw'!$L$4:$L$8000,"&gt;="&amp;X$5,'Timesheet Raw'!$L$4:$L$8000,"&lt;="&amp;X$6)))/'Profit Plan'!$B$5)</f>
        <v/>
      </c>
      <c r="Y393" s="118">
        <f t="shared" ref="Y393:Y456" si="102">SUM(D393:X393)</f>
        <v>0</v>
      </c>
    </row>
    <row r="394" spans="1:25" x14ac:dyDescent="0.3">
      <c r="A394" s="116" t="str">
        <f>IF(Inputs!$A49="","",Inputs!$A49)</f>
        <v/>
      </c>
      <c r="B394" s="116" t="str">
        <f>IF(Inputs!$A49="","",Inputs!$A$91)</f>
        <v/>
      </c>
      <c r="C394" s="116"/>
      <c r="D394" s="122" t="str">
        <f>IF($A394="","",(IF(ISNUMBER(SEARCH("Proposal",$A394)),SUMIFS('Timesheet Raw'!$P$4:$P$8000,'Timesheet Raw'!$A$4:$A$8000,IF(ISNUMBER(SEARCH("Chargable",$A394)),"2-Proposals Chargeable","3-Proposals Regular"),'Timesheet Raw'!$C$4:$C$8000,"*"&amp;$B394&amp;"*",'Timesheet Raw'!$L$4:$L$8000,"&gt;="&amp;MAX(D$5,DATE(2000+VALUE(RIGHT(TRIM($A394),2)),1,1)),'Timesheet Raw'!$L$4:$L$8000,"&lt;="&amp;MIN(D$6,DATE(2000+VALUE(RIGHT(TRIM($A394),2)),12,31))),SUMIFS('Timesheet Raw'!$P$4:$P$8000,'Timesheet Raw'!$B$4:$B$8000,TRIM($A394),'Timesheet Raw'!$C$4:$C$8000,"*"&amp;$B394&amp;"*",'Timesheet Raw'!$L$4:$L$8000,"&gt;="&amp;D$5,'Timesheet Raw'!$L$4:$L$8000,"&lt;="&amp;D$6)))/'Profit Plan'!$B$5)</f>
        <v/>
      </c>
      <c r="E394" s="122" t="str">
        <f>IF($A394="","",(IF(ISNUMBER(SEARCH("Proposal",$A394)),SUMIFS('Timesheet Raw'!$P$4:$P$8000,'Timesheet Raw'!$A$4:$A$8000,IF(ISNUMBER(SEARCH("Chargable",$A394)),"2-Proposals Chargeable","3-Proposals Regular"),'Timesheet Raw'!$C$4:$C$8000,"*"&amp;$B394&amp;"*",'Timesheet Raw'!$L$4:$L$8000,"&gt;="&amp;MAX(E$5,DATE(2000+VALUE(RIGHT(TRIM($A394),2)),1,1)),'Timesheet Raw'!$L$4:$L$8000,"&lt;="&amp;MIN(E$6,DATE(2000+VALUE(RIGHT(TRIM($A394),2)),12,31))),SUMIFS('Timesheet Raw'!$P$4:$P$8000,'Timesheet Raw'!$B$4:$B$8000,TRIM($A394),'Timesheet Raw'!$C$4:$C$8000,"*"&amp;$B394&amp;"*",'Timesheet Raw'!$L$4:$L$8000,"&gt;="&amp;E$5,'Timesheet Raw'!$L$4:$L$8000,"&lt;="&amp;E$6)))/'Profit Plan'!$B$5)</f>
        <v/>
      </c>
      <c r="F394" s="122" t="str">
        <f>IF($A394="","",(IF(ISNUMBER(SEARCH("Proposal",$A394)),SUMIFS('Timesheet Raw'!$P$4:$P$8000,'Timesheet Raw'!$A$4:$A$8000,IF(ISNUMBER(SEARCH("Chargable",$A394)),"2-Proposals Chargeable","3-Proposals Regular"),'Timesheet Raw'!$C$4:$C$8000,"*"&amp;$B394&amp;"*",'Timesheet Raw'!$L$4:$L$8000,"&gt;="&amp;MAX(F$5,DATE(2000+VALUE(RIGHT(TRIM($A394),2)),1,1)),'Timesheet Raw'!$L$4:$L$8000,"&lt;="&amp;MIN(F$6,DATE(2000+VALUE(RIGHT(TRIM($A394),2)),12,31))),SUMIFS('Timesheet Raw'!$P$4:$P$8000,'Timesheet Raw'!$B$4:$B$8000,TRIM($A394),'Timesheet Raw'!$C$4:$C$8000,"*"&amp;$B394&amp;"*",'Timesheet Raw'!$L$4:$L$8000,"&gt;="&amp;F$5,'Timesheet Raw'!$L$4:$L$8000,"&lt;="&amp;F$6)))/'Profit Plan'!$B$5)</f>
        <v/>
      </c>
      <c r="G394" s="122" t="str">
        <f>IF($A394="","",(IF(ISNUMBER(SEARCH("Proposal",$A394)),SUMIFS('Timesheet Raw'!$P$4:$P$8000,'Timesheet Raw'!$A$4:$A$8000,IF(ISNUMBER(SEARCH("Chargable",$A394)),"2-Proposals Chargeable","3-Proposals Regular"),'Timesheet Raw'!$C$4:$C$8000,"*"&amp;$B394&amp;"*",'Timesheet Raw'!$L$4:$L$8000,"&gt;="&amp;MAX(G$5,DATE(2000+VALUE(RIGHT(TRIM($A394),2)),1,1)),'Timesheet Raw'!$L$4:$L$8000,"&lt;="&amp;MIN(G$6,DATE(2000+VALUE(RIGHT(TRIM($A394),2)),12,31))),SUMIFS('Timesheet Raw'!$P$4:$P$8000,'Timesheet Raw'!$B$4:$B$8000,TRIM($A394),'Timesheet Raw'!$C$4:$C$8000,"*"&amp;$B394&amp;"*",'Timesheet Raw'!$L$4:$L$8000,"&gt;="&amp;G$5,'Timesheet Raw'!$L$4:$L$8000,"&lt;="&amp;G$6)))/'Profit Plan'!$B$5)</f>
        <v/>
      </c>
      <c r="H394" s="122" t="str">
        <f>IF($A394="","",(IF(ISNUMBER(SEARCH("Proposal",$A394)),SUMIFS('Timesheet Raw'!$P$4:$P$8000,'Timesheet Raw'!$A$4:$A$8000,IF(ISNUMBER(SEARCH("Chargable",$A394)),"2-Proposals Chargeable","3-Proposals Regular"),'Timesheet Raw'!$C$4:$C$8000,"*"&amp;$B394&amp;"*",'Timesheet Raw'!$L$4:$L$8000,"&gt;="&amp;MAX(H$5,DATE(2000+VALUE(RIGHT(TRIM($A394),2)),1,1)),'Timesheet Raw'!$L$4:$L$8000,"&lt;="&amp;MIN(H$6,DATE(2000+VALUE(RIGHT(TRIM($A394),2)),12,31))),SUMIFS('Timesheet Raw'!$P$4:$P$8000,'Timesheet Raw'!$B$4:$B$8000,TRIM($A394),'Timesheet Raw'!$C$4:$C$8000,"*"&amp;$B394&amp;"*",'Timesheet Raw'!$L$4:$L$8000,"&gt;="&amp;H$5,'Timesheet Raw'!$L$4:$L$8000,"&lt;="&amp;H$6)))/'Profit Plan'!$B$5)</f>
        <v/>
      </c>
      <c r="I394" s="122" t="str">
        <f>IF($A394="","",(IF(ISNUMBER(SEARCH("Proposal",$A394)),SUMIFS('Timesheet Raw'!$P$4:$P$8000,'Timesheet Raw'!$A$4:$A$8000,IF(ISNUMBER(SEARCH("Chargable",$A394)),"2-Proposals Chargeable","3-Proposals Regular"),'Timesheet Raw'!$C$4:$C$8000,"*"&amp;$B394&amp;"*",'Timesheet Raw'!$L$4:$L$8000,"&gt;="&amp;MAX(I$5,DATE(2000+VALUE(RIGHT(TRIM($A394),2)),1,1)),'Timesheet Raw'!$L$4:$L$8000,"&lt;="&amp;MIN(I$6,DATE(2000+VALUE(RIGHT(TRIM($A394),2)),12,31))),SUMIFS('Timesheet Raw'!$P$4:$P$8000,'Timesheet Raw'!$B$4:$B$8000,TRIM($A394),'Timesheet Raw'!$C$4:$C$8000,"*"&amp;$B394&amp;"*",'Timesheet Raw'!$L$4:$L$8000,"&gt;="&amp;I$5,'Timesheet Raw'!$L$4:$L$8000,"&lt;="&amp;I$6)))/'Profit Plan'!$B$5)</f>
        <v/>
      </c>
      <c r="J394" s="122" t="str">
        <f>IF($A394="","",(IF(ISNUMBER(SEARCH("Proposal",$A394)),SUMIFS('Timesheet Raw'!$P$4:$P$8000,'Timesheet Raw'!$A$4:$A$8000,IF(ISNUMBER(SEARCH("Chargable",$A394)),"2-Proposals Chargeable","3-Proposals Regular"),'Timesheet Raw'!$C$4:$C$8000,"*"&amp;$B394&amp;"*",'Timesheet Raw'!$L$4:$L$8000,"&gt;="&amp;MAX(J$5,DATE(2000+VALUE(RIGHT(TRIM($A394),2)),1,1)),'Timesheet Raw'!$L$4:$L$8000,"&lt;="&amp;MIN(J$6,DATE(2000+VALUE(RIGHT(TRIM($A394),2)),12,31))),SUMIFS('Timesheet Raw'!$P$4:$P$8000,'Timesheet Raw'!$B$4:$B$8000,TRIM($A394),'Timesheet Raw'!$C$4:$C$8000,"*"&amp;$B394&amp;"*",'Timesheet Raw'!$L$4:$L$8000,"&gt;="&amp;J$5,'Timesheet Raw'!$L$4:$L$8000,"&lt;="&amp;J$6)))/'Profit Plan'!$B$5)</f>
        <v/>
      </c>
      <c r="K394" s="122" t="str">
        <f>IF($A394="","",(IF(ISNUMBER(SEARCH("Proposal",$A394)),SUMIFS('Timesheet Raw'!$P$4:$P$8000,'Timesheet Raw'!$A$4:$A$8000,IF(ISNUMBER(SEARCH("Chargable",$A394)),"2-Proposals Chargeable","3-Proposals Regular"),'Timesheet Raw'!$C$4:$C$8000,"*"&amp;$B394&amp;"*",'Timesheet Raw'!$L$4:$L$8000,"&gt;="&amp;MAX(K$5,DATE(2000+VALUE(RIGHT(TRIM($A394),2)),1,1)),'Timesheet Raw'!$L$4:$L$8000,"&lt;="&amp;MIN(K$6,DATE(2000+VALUE(RIGHT(TRIM($A394),2)),12,31))),SUMIFS('Timesheet Raw'!$P$4:$P$8000,'Timesheet Raw'!$B$4:$B$8000,TRIM($A394),'Timesheet Raw'!$C$4:$C$8000,"*"&amp;$B394&amp;"*",'Timesheet Raw'!$L$4:$L$8000,"&gt;="&amp;K$5,'Timesheet Raw'!$L$4:$L$8000,"&lt;="&amp;K$6)))/'Profit Plan'!$B$5)</f>
        <v/>
      </c>
      <c r="L394" s="122" t="str">
        <f>IF($A394="","",(IF(ISNUMBER(SEARCH("Proposal",$A394)),SUMIFS('Timesheet Raw'!$P$4:$P$8000,'Timesheet Raw'!$A$4:$A$8000,IF(ISNUMBER(SEARCH("Chargable",$A394)),"2-Proposals Chargeable","3-Proposals Regular"),'Timesheet Raw'!$C$4:$C$8000,"*"&amp;$B394&amp;"*",'Timesheet Raw'!$L$4:$L$8000,"&gt;="&amp;MAX(L$5,DATE(2000+VALUE(RIGHT(TRIM($A394),2)),1,1)),'Timesheet Raw'!$L$4:$L$8000,"&lt;="&amp;MIN(L$6,DATE(2000+VALUE(RIGHT(TRIM($A394),2)),12,31))),SUMIFS('Timesheet Raw'!$P$4:$P$8000,'Timesheet Raw'!$B$4:$B$8000,TRIM($A394),'Timesheet Raw'!$C$4:$C$8000,"*"&amp;$B394&amp;"*",'Timesheet Raw'!$L$4:$L$8000,"&gt;="&amp;L$5,'Timesheet Raw'!$L$4:$L$8000,"&lt;="&amp;L$6)))/'Profit Plan'!$B$5)</f>
        <v/>
      </c>
      <c r="M394" s="122" t="str">
        <f>IF($A394="","",(IF(ISNUMBER(SEARCH("Proposal",$A394)),SUMIFS('Timesheet Raw'!$P$4:$P$8000,'Timesheet Raw'!$A$4:$A$8000,IF(ISNUMBER(SEARCH("Chargable",$A394)),"2-Proposals Chargeable","3-Proposals Regular"),'Timesheet Raw'!$C$4:$C$8000,"*"&amp;$B394&amp;"*",'Timesheet Raw'!$L$4:$L$8000,"&gt;="&amp;MAX(M$5,DATE(2000+VALUE(RIGHT(TRIM($A394),2)),1,1)),'Timesheet Raw'!$L$4:$L$8000,"&lt;="&amp;MIN(M$6,DATE(2000+VALUE(RIGHT(TRIM($A394),2)),12,31))),SUMIFS('Timesheet Raw'!$P$4:$P$8000,'Timesheet Raw'!$B$4:$B$8000,TRIM($A394),'Timesheet Raw'!$C$4:$C$8000,"*"&amp;$B394&amp;"*",'Timesheet Raw'!$L$4:$L$8000,"&gt;="&amp;M$5,'Timesheet Raw'!$L$4:$L$8000,"&lt;="&amp;M$6)))/'Profit Plan'!$B$5)</f>
        <v/>
      </c>
      <c r="N394" s="122" t="str">
        <f>IF($A394="","",(IF(ISNUMBER(SEARCH("Proposal",$A394)),SUMIFS('Timesheet Raw'!$P$4:$P$8000,'Timesheet Raw'!$A$4:$A$8000,IF(ISNUMBER(SEARCH("Chargable",$A394)),"2-Proposals Chargeable","3-Proposals Regular"),'Timesheet Raw'!$C$4:$C$8000,"*"&amp;$B394&amp;"*",'Timesheet Raw'!$L$4:$L$8000,"&gt;="&amp;MAX(N$5,DATE(2000+VALUE(RIGHT(TRIM($A394),2)),1,1)),'Timesheet Raw'!$L$4:$L$8000,"&lt;="&amp;MIN(N$6,DATE(2000+VALUE(RIGHT(TRIM($A394),2)),12,31))),SUMIFS('Timesheet Raw'!$P$4:$P$8000,'Timesheet Raw'!$B$4:$B$8000,TRIM($A394),'Timesheet Raw'!$C$4:$C$8000,"*"&amp;$B394&amp;"*",'Timesheet Raw'!$L$4:$L$8000,"&gt;="&amp;N$5,'Timesheet Raw'!$L$4:$L$8000,"&lt;="&amp;N$6)))/'Profit Plan'!$B$5)</f>
        <v/>
      </c>
      <c r="O394" s="122" t="str">
        <f>IF($A394="","",(IF(ISNUMBER(SEARCH("Proposal",$A394)),SUMIFS('Timesheet Raw'!$P$4:$P$8000,'Timesheet Raw'!$A$4:$A$8000,IF(ISNUMBER(SEARCH("Chargable",$A394)),"2-Proposals Chargeable","3-Proposals Regular"),'Timesheet Raw'!$C$4:$C$8000,"*"&amp;$B394&amp;"*",'Timesheet Raw'!$L$4:$L$8000,"&gt;="&amp;MAX(O$5,DATE(2000+VALUE(RIGHT(TRIM($A394),2)),1,1)),'Timesheet Raw'!$L$4:$L$8000,"&lt;="&amp;MIN(O$6,DATE(2000+VALUE(RIGHT(TRIM($A394),2)),12,31))),SUMIFS('Timesheet Raw'!$P$4:$P$8000,'Timesheet Raw'!$B$4:$B$8000,TRIM($A394),'Timesheet Raw'!$C$4:$C$8000,"*"&amp;$B394&amp;"*",'Timesheet Raw'!$L$4:$L$8000,"&gt;="&amp;O$5,'Timesheet Raw'!$L$4:$L$8000,"&lt;="&amp;O$6)))/'Profit Plan'!$B$5)</f>
        <v/>
      </c>
      <c r="P394" s="122" t="str">
        <f>IF($A394="","",(IF(ISNUMBER(SEARCH("Proposal",$A394)),SUMIFS('Timesheet Raw'!$P$4:$P$8000,'Timesheet Raw'!$A$4:$A$8000,IF(ISNUMBER(SEARCH("Chargable",$A394)),"2-Proposals Chargeable","3-Proposals Regular"),'Timesheet Raw'!$C$4:$C$8000,"*"&amp;$B394&amp;"*",'Timesheet Raw'!$L$4:$L$8000,"&gt;="&amp;MAX(P$5,DATE(2000+VALUE(RIGHT(TRIM($A394),2)),1,1)),'Timesheet Raw'!$L$4:$L$8000,"&lt;="&amp;MIN(P$6,DATE(2000+VALUE(RIGHT(TRIM($A394),2)),12,31))),SUMIFS('Timesheet Raw'!$P$4:$P$8000,'Timesheet Raw'!$B$4:$B$8000,TRIM($A394),'Timesheet Raw'!$C$4:$C$8000,"*"&amp;$B394&amp;"*",'Timesheet Raw'!$L$4:$L$8000,"&gt;="&amp;P$5,'Timesheet Raw'!$L$4:$L$8000,"&lt;="&amp;P$6)))/'Profit Plan'!$B$5)</f>
        <v/>
      </c>
      <c r="Q394" s="122" t="str">
        <f>IF($A394="","",(IF(ISNUMBER(SEARCH("Proposal",$A394)),SUMIFS('Timesheet Raw'!$P$4:$P$8000,'Timesheet Raw'!$A$4:$A$8000,IF(ISNUMBER(SEARCH("Chargable",$A394)),"2-Proposals Chargeable","3-Proposals Regular"),'Timesheet Raw'!$C$4:$C$8000,"*"&amp;$B394&amp;"*",'Timesheet Raw'!$L$4:$L$8000,"&gt;="&amp;MAX(Q$5,DATE(2000+VALUE(RIGHT(TRIM($A394),2)),1,1)),'Timesheet Raw'!$L$4:$L$8000,"&lt;="&amp;MIN(Q$6,DATE(2000+VALUE(RIGHT(TRIM($A394),2)),12,31))),SUMIFS('Timesheet Raw'!$P$4:$P$8000,'Timesheet Raw'!$B$4:$B$8000,TRIM($A394),'Timesheet Raw'!$C$4:$C$8000,"*"&amp;$B394&amp;"*",'Timesheet Raw'!$L$4:$L$8000,"&gt;="&amp;Q$5,'Timesheet Raw'!$L$4:$L$8000,"&lt;="&amp;Q$6)))/'Profit Plan'!$B$5)</f>
        <v/>
      </c>
      <c r="R394" s="122" t="str">
        <f>IF($A394="","",(IF(ISNUMBER(SEARCH("Proposal",$A394)),SUMIFS('Timesheet Raw'!$P$4:$P$8000,'Timesheet Raw'!$A$4:$A$8000,IF(ISNUMBER(SEARCH("Chargable",$A394)),"2-Proposals Chargeable","3-Proposals Regular"),'Timesheet Raw'!$C$4:$C$8000,"*"&amp;$B394&amp;"*",'Timesheet Raw'!$L$4:$L$8000,"&gt;="&amp;MAX(R$5,DATE(2000+VALUE(RIGHT(TRIM($A394),2)),1,1)),'Timesheet Raw'!$L$4:$L$8000,"&lt;="&amp;MIN(R$6,DATE(2000+VALUE(RIGHT(TRIM($A394),2)),12,31))),SUMIFS('Timesheet Raw'!$P$4:$P$8000,'Timesheet Raw'!$B$4:$B$8000,TRIM($A394),'Timesheet Raw'!$C$4:$C$8000,"*"&amp;$B394&amp;"*",'Timesheet Raw'!$L$4:$L$8000,"&gt;="&amp;R$5,'Timesheet Raw'!$L$4:$L$8000,"&lt;="&amp;R$6)))/'Profit Plan'!$B$5)</f>
        <v/>
      </c>
      <c r="S394" s="122" t="str">
        <f>IF($A394="","",(IF(ISNUMBER(SEARCH("Proposal",$A394)),SUMIFS('Timesheet Raw'!$P$4:$P$8000,'Timesheet Raw'!$A$4:$A$8000,IF(ISNUMBER(SEARCH("Chargable",$A394)),"2-Proposals Chargeable","3-Proposals Regular"),'Timesheet Raw'!$C$4:$C$8000,"*"&amp;$B394&amp;"*",'Timesheet Raw'!$L$4:$L$8000,"&gt;="&amp;MAX(S$5,DATE(2000+VALUE(RIGHT(TRIM($A394),2)),1,1)),'Timesheet Raw'!$L$4:$L$8000,"&lt;="&amp;MIN(S$6,DATE(2000+VALUE(RIGHT(TRIM($A394),2)),12,31))),SUMIFS('Timesheet Raw'!$P$4:$P$8000,'Timesheet Raw'!$B$4:$B$8000,TRIM($A394),'Timesheet Raw'!$C$4:$C$8000,"*"&amp;$B394&amp;"*",'Timesheet Raw'!$L$4:$L$8000,"&gt;="&amp;S$5,'Timesheet Raw'!$L$4:$L$8000,"&lt;="&amp;S$6)))/'Profit Plan'!$B$5)</f>
        <v/>
      </c>
      <c r="T394" s="122" t="str">
        <f>IF($A394="","",(IF(ISNUMBER(SEARCH("Proposal",$A394)),SUMIFS('Timesheet Raw'!$P$4:$P$8000,'Timesheet Raw'!$A$4:$A$8000,IF(ISNUMBER(SEARCH("Chargable",$A394)),"2-Proposals Chargeable","3-Proposals Regular"),'Timesheet Raw'!$C$4:$C$8000,"*"&amp;$B394&amp;"*",'Timesheet Raw'!$L$4:$L$8000,"&gt;="&amp;MAX(T$5,DATE(2000+VALUE(RIGHT(TRIM($A394),2)),1,1)),'Timesheet Raw'!$L$4:$L$8000,"&lt;="&amp;MIN(T$6,DATE(2000+VALUE(RIGHT(TRIM($A394),2)),12,31))),SUMIFS('Timesheet Raw'!$P$4:$P$8000,'Timesheet Raw'!$B$4:$B$8000,TRIM($A394),'Timesheet Raw'!$C$4:$C$8000,"*"&amp;$B394&amp;"*",'Timesheet Raw'!$L$4:$L$8000,"&gt;="&amp;T$5,'Timesheet Raw'!$L$4:$L$8000,"&lt;="&amp;T$6)))/'Profit Plan'!$B$5)</f>
        <v/>
      </c>
      <c r="U394" s="122" t="str">
        <f>IF($A394="","",(IF(ISNUMBER(SEARCH("Proposal",$A394)),SUMIFS('Timesheet Raw'!$P$4:$P$8000,'Timesheet Raw'!$A$4:$A$8000,IF(ISNUMBER(SEARCH("Chargable",$A394)),"2-Proposals Chargeable","3-Proposals Regular"),'Timesheet Raw'!$C$4:$C$8000,"*"&amp;$B394&amp;"*",'Timesheet Raw'!$L$4:$L$8000,"&gt;="&amp;MAX(U$5,DATE(2000+VALUE(RIGHT(TRIM($A394),2)),1,1)),'Timesheet Raw'!$L$4:$L$8000,"&lt;="&amp;MIN(U$6,DATE(2000+VALUE(RIGHT(TRIM($A394),2)),12,31))),SUMIFS('Timesheet Raw'!$P$4:$P$8000,'Timesheet Raw'!$B$4:$B$8000,TRIM($A394),'Timesheet Raw'!$C$4:$C$8000,"*"&amp;$B394&amp;"*",'Timesheet Raw'!$L$4:$L$8000,"&gt;="&amp;U$5,'Timesheet Raw'!$L$4:$L$8000,"&lt;="&amp;U$6)))/'Profit Plan'!$B$5)</f>
        <v/>
      </c>
      <c r="V394" s="122" t="str">
        <f>IF($A394="","",(IF(ISNUMBER(SEARCH("Proposal",$A394)),SUMIFS('Timesheet Raw'!$P$4:$P$8000,'Timesheet Raw'!$A$4:$A$8000,IF(ISNUMBER(SEARCH("Chargable",$A394)),"2-Proposals Chargeable","3-Proposals Regular"),'Timesheet Raw'!$C$4:$C$8000,"*"&amp;$B394&amp;"*",'Timesheet Raw'!$L$4:$L$8000,"&gt;="&amp;MAX(V$5,DATE(2000+VALUE(RIGHT(TRIM($A394),2)),1,1)),'Timesheet Raw'!$L$4:$L$8000,"&lt;="&amp;MIN(V$6,DATE(2000+VALUE(RIGHT(TRIM($A394),2)),12,31))),SUMIFS('Timesheet Raw'!$P$4:$P$8000,'Timesheet Raw'!$B$4:$B$8000,TRIM($A394),'Timesheet Raw'!$C$4:$C$8000,"*"&amp;$B394&amp;"*",'Timesheet Raw'!$L$4:$L$8000,"&gt;="&amp;V$5,'Timesheet Raw'!$L$4:$L$8000,"&lt;="&amp;V$6)))/'Profit Plan'!$B$5)</f>
        <v/>
      </c>
      <c r="W394" s="122" t="str">
        <f>IF($A394="","",(IF(ISNUMBER(SEARCH("Proposal",$A394)),SUMIFS('Timesheet Raw'!$P$4:$P$8000,'Timesheet Raw'!$A$4:$A$8000,IF(ISNUMBER(SEARCH("Chargable",$A394)),"2-Proposals Chargeable","3-Proposals Regular"),'Timesheet Raw'!$C$4:$C$8000,"*"&amp;$B394&amp;"*",'Timesheet Raw'!$L$4:$L$8000,"&gt;="&amp;MAX(W$5,DATE(2000+VALUE(RIGHT(TRIM($A394),2)),1,1)),'Timesheet Raw'!$L$4:$L$8000,"&lt;="&amp;MIN(W$6,DATE(2000+VALUE(RIGHT(TRIM($A394),2)),12,31))),SUMIFS('Timesheet Raw'!$P$4:$P$8000,'Timesheet Raw'!$B$4:$B$8000,TRIM($A394),'Timesheet Raw'!$C$4:$C$8000,"*"&amp;$B394&amp;"*",'Timesheet Raw'!$L$4:$L$8000,"&gt;="&amp;W$5,'Timesheet Raw'!$L$4:$L$8000,"&lt;="&amp;W$6)))/'Profit Plan'!$B$5)</f>
        <v/>
      </c>
      <c r="X394" s="122" t="str">
        <f>IF($A394="","",(IF(ISNUMBER(SEARCH("Proposal",$A394)),SUMIFS('Timesheet Raw'!$P$4:$P$8000,'Timesheet Raw'!$A$4:$A$8000,IF(ISNUMBER(SEARCH("Chargable",$A394)),"2-Proposals Chargeable","3-Proposals Regular"),'Timesheet Raw'!$C$4:$C$8000,"*"&amp;$B394&amp;"*",'Timesheet Raw'!$L$4:$L$8000,"&gt;="&amp;MAX(X$5,DATE(2000+VALUE(RIGHT(TRIM($A394),2)),1,1)),'Timesheet Raw'!$L$4:$L$8000,"&lt;="&amp;MIN(X$6,DATE(2000+VALUE(RIGHT(TRIM($A394),2)),12,31))),SUMIFS('Timesheet Raw'!$P$4:$P$8000,'Timesheet Raw'!$B$4:$B$8000,TRIM($A394),'Timesheet Raw'!$C$4:$C$8000,"*"&amp;$B394&amp;"*",'Timesheet Raw'!$L$4:$L$8000,"&gt;="&amp;X$5,'Timesheet Raw'!$L$4:$L$8000,"&lt;="&amp;X$6)))/'Profit Plan'!$B$5)</f>
        <v/>
      </c>
      <c r="Y394" s="118">
        <f t="shared" si="102"/>
        <v>0</v>
      </c>
    </row>
    <row r="395" spans="1:25" x14ac:dyDescent="0.3">
      <c r="A395" s="116" t="str">
        <f>IF(Inputs!$A49="","",Inputs!$A49)</f>
        <v/>
      </c>
      <c r="B395" s="116" t="str">
        <f>IF(Inputs!$A49="","",Inputs!$A$92)</f>
        <v/>
      </c>
      <c r="C395" s="116"/>
      <c r="D395" s="122" t="str">
        <f>IF($A395="","",(IF(ISNUMBER(SEARCH("Proposal",$A395)),SUMIFS('Timesheet Raw'!$P$4:$P$8000,'Timesheet Raw'!$A$4:$A$8000,IF(ISNUMBER(SEARCH("Chargable",$A395)),"2-Proposals Chargeable","3-Proposals Regular"),'Timesheet Raw'!$C$4:$C$8000,"*"&amp;$B395&amp;"*",'Timesheet Raw'!$L$4:$L$8000,"&gt;="&amp;MAX(D$5,DATE(2000+VALUE(RIGHT(TRIM($A395),2)),1,1)),'Timesheet Raw'!$L$4:$L$8000,"&lt;="&amp;MIN(D$6,DATE(2000+VALUE(RIGHT(TRIM($A395),2)),12,31))),SUMIFS('Timesheet Raw'!$P$4:$P$8000,'Timesheet Raw'!$B$4:$B$8000,TRIM($A395),'Timesheet Raw'!$C$4:$C$8000,"*"&amp;$B395&amp;"*",'Timesheet Raw'!$L$4:$L$8000,"&gt;="&amp;D$5,'Timesheet Raw'!$L$4:$L$8000,"&lt;="&amp;D$6)))/'Profit Plan'!$B$5)</f>
        <v/>
      </c>
      <c r="E395" s="122" t="str">
        <f>IF($A395="","",(IF(ISNUMBER(SEARCH("Proposal",$A395)),SUMIFS('Timesheet Raw'!$P$4:$P$8000,'Timesheet Raw'!$A$4:$A$8000,IF(ISNUMBER(SEARCH("Chargable",$A395)),"2-Proposals Chargeable","3-Proposals Regular"),'Timesheet Raw'!$C$4:$C$8000,"*"&amp;$B395&amp;"*",'Timesheet Raw'!$L$4:$L$8000,"&gt;="&amp;MAX(E$5,DATE(2000+VALUE(RIGHT(TRIM($A395),2)),1,1)),'Timesheet Raw'!$L$4:$L$8000,"&lt;="&amp;MIN(E$6,DATE(2000+VALUE(RIGHT(TRIM($A395),2)),12,31))),SUMIFS('Timesheet Raw'!$P$4:$P$8000,'Timesheet Raw'!$B$4:$B$8000,TRIM($A395),'Timesheet Raw'!$C$4:$C$8000,"*"&amp;$B395&amp;"*",'Timesheet Raw'!$L$4:$L$8000,"&gt;="&amp;E$5,'Timesheet Raw'!$L$4:$L$8000,"&lt;="&amp;E$6)))/'Profit Plan'!$B$5)</f>
        <v/>
      </c>
      <c r="F395" s="122" t="str">
        <f>IF($A395="","",(IF(ISNUMBER(SEARCH("Proposal",$A395)),SUMIFS('Timesheet Raw'!$P$4:$P$8000,'Timesheet Raw'!$A$4:$A$8000,IF(ISNUMBER(SEARCH("Chargable",$A395)),"2-Proposals Chargeable","3-Proposals Regular"),'Timesheet Raw'!$C$4:$C$8000,"*"&amp;$B395&amp;"*",'Timesheet Raw'!$L$4:$L$8000,"&gt;="&amp;MAX(F$5,DATE(2000+VALUE(RIGHT(TRIM($A395),2)),1,1)),'Timesheet Raw'!$L$4:$L$8000,"&lt;="&amp;MIN(F$6,DATE(2000+VALUE(RIGHT(TRIM($A395),2)),12,31))),SUMIFS('Timesheet Raw'!$P$4:$P$8000,'Timesheet Raw'!$B$4:$B$8000,TRIM($A395),'Timesheet Raw'!$C$4:$C$8000,"*"&amp;$B395&amp;"*",'Timesheet Raw'!$L$4:$L$8000,"&gt;="&amp;F$5,'Timesheet Raw'!$L$4:$L$8000,"&lt;="&amp;F$6)))/'Profit Plan'!$B$5)</f>
        <v/>
      </c>
      <c r="G395" s="122" t="str">
        <f>IF($A395="","",(IF(ISNUMBER(SEARCH("Proposal",$A395)),SUMIFS('Timesheet Raw'!$P$4:$P$8000,'Timesheet Raw'!$A$4:$A$8000,IF(ISNUMBER(SEARCH("Chargable",$A395)),"2-Proposals Chargeable","3-Proposals Regular"),'Timesheet Raw'!$C$4:$C$8000,"*"&amp;$B395&amp;"*",'Timesheet Raw'!$L$4:$L$8000,"&gt;="&amp;MAX(G$5,DATE(2000+VALUE(RIGHT(TRIM($A395),2)),1,1)),'Timesheet Raw'!$L$4:$L$8000,"&lt;="&amp;MIN(G$6,DATE(2000+VALUE(RIGHT(TRIM($A395),2)),12,31))),SUMIFS('Timesheet Raw'!$P$4:$P$8000,'Timesheet Raw'!$B$4:$B$8000,TRIM($A395),'Timesheet Raw'!$C$4:$C$8000,"*"&amp;$B395&amp;"*",'Timesheet Raw'!$L$4:$L$8000,"&gt;="&amp;G$5,'Timesheet Raw'!$L$4:$L$8000,"&lt;="&amp;G$6)))/'Profit Plan'!$B$5)</f>
        <v/>
      </c>
      <c r="H395" s="122" t="str">
        <f>IF($A395="","",(IF(ISNUMBER(SEARCH("Proposal",$A395)),SUMIFS('Timesheet Raw'!$P$4:$P$8000,'Timesheet Raw'!$A$4:$A$8000,IF(ISNUMBER(SEARCH("Chargable",$A395)),"2-Proposals Chargeable","3-Proposals Regular"),'Timesheet Raw'!$C$4:$C$8000,"*"&amp;$B395&amp;"*",'Timesheet Raw'!$L$4:$L$8000,"&gt;="&amp;MAX(H$5,DATE(2000+VALUE(RIGHT(TRIM($A395),2)),1,1)),'Timesheet Raw'!$L$4:$L$8000,"&lt;="&amp;MIN(H$6,DATE(2000+VALUE(RIGHT(TRIM($A395),2)),12,31))),SUMIFS('Timesheet Raw'!$P$4:$P$8000,'Timesheet Raw'!$B$4:$B$8000,TRIM($A395),'Timesheet Raw'!$C$4:$C$8000,"*"&amp;$B395&amp;"*",'Timesheet Raw'!$L$4:$L$8000,"&gt;="&amp;H$5,'Timesheet Raw'!$L$4:$L$8000,"&lt;="&amp;H$6)))/'Profit Plan'!$B$5)</f>
        <v/>
      </c>
      <c r="I395" s="122" t="str">
        <f>IF($A395="","",(IF(ISNUMBER(SEARCH("Proposal",$A395)),SUMIFS('Timesheet Raw'!$P$4:$P$8000,'Timesheet Raw'!$A$4:$A$8000,IF(ISNUMBER(SEARCH("Chargable",$A395)),"2-Proposals Chargeable","3-Proposals Regular"),'Timesheet Raw'!$C$4:$C$8000,"*"&amp;$B395&amp;"*",'Timesheet Raw'!$L$4:$L$8000,"&gt;="&amp;MAX(I$5,DATE(2000+VALUE(RIGHT(TRIM($A395),2)),1,1)),'Timesheet Raw'!$L$4:$L$8000,"&lt;="&amp;MIN(I$6,DATE(2000+VALUE(RIGHT(TRIM($A395),2)),12,31))),SUMIFS('Timesheet Raw'!$P$4:$P$8000,'Timesheet Raw'!$B$4:$B$8000,TRIM($A395),'Timesheet Raw'!$C$4:$C$8000,"*"&amp;$B395&amp;"*",'Timesheet Raw'!$L$4:$L$8000,"&gt;="&amp;I$5,'Timesheet Raw'!$L$4:$L$8000,"&lt;="&amp;I$6)))/'Profit Plan'!$B$5)</f>
        <v/>
      </c>
      <c r="J395" s="122" t="str">
        <f>IF($A395="","",(IF(ISNUMBER(SEARCH("Proposal",$A395)),SUMIFS('Timesheet Raw'!$P$4:$P$8000,'Timesheet Raw'!$A$4:$A$8000,IF(ISNUMBER(SEARCH("Chargable",$A395)),"2-Proposals Chargeable","3-Proposals Regular"),'Timesheet Raw'!$C$4:$C$8000,"*"&amp;$B395&amp;"*",'Timesheet Raw'!$L$4:$L$8000,"&gt;="&amp;MAX(J$5,DATE(2000+VALUE(RIGHT(TRIM($A395),2)),1,1)),'Timesheet Raw'!$L$4:$L$8000,"&lt;="&amp;MIN(J$6,DATE(2000+VALUE(RIGHT(TRIM($A395),2)),12,31))),SUMIFS('Timesheet Raw'!$P$4:$P$8000,'Timesheet Raw'!$B$4:$B$8000,TRIM($A395),'Timesheet Raw'!$C$4:$C$8000,"*"&amp;$B395&amp;"*",'Timesheet Raw'!$L$4:$L$8000,"&gt;="&amp;J$5,'Timesheet Raw'!$L$4:$L$8000,"&lt;="&amp;J$6)))/'Profit Plan'!$B$5)</f>
        <v/>
      </c>
      <c r="K395" s="122" t="str">
        <f>IF($A395="","",(IF(ISNUMBER(SEARCH("Proposal",$A395)),SUMIFS('Timesheet Raw'!$P$4:$P$8000,'Timesheet Raw'!$A$4:$A$8000,IF(ISNUMBER(SEARCH("Chargable",$A395)),"2-Proposals Chargeable","3-Proposals Regular"),'Timesheet Raw'!$C$4:$C$8000,"*"&amp;$B395&amp;"*",'Timesheet Raw'!$L$4:$L$8000,"&gt;="&amp;MAX(K$5,DATE(2000+VALUE(RIGHT(TRIM($A395),2)),1,1)),'Timesheet Raw'!$L$4:$L$8000,"&lt;="&amp;MIN(K$6,DATE(2000+VALUE(RIGHT(TRIM($A395),2)),12,31))),SUMIFS('Timesheet Raw'!$P$4:$P$8000,'Timesheet Raw'!$B$4:$B$8000,TRIM($A395),'Timesheet Raw'!$C$4:$C$8000,"*"&amp;$B395&amp;"*",'Timesheet Raw'!$L$4:$L$8000,"&gt;="&amp;K$5,'Timesheet Raw'!$L$4:$L$8000,"&lt;="&amp;K$6)))/'Profit Plan'!$B$5)</f>
        <v/>
      </c>
      <c r="L395" s="122" t="str">
        <f>IF($A395="","",(IF(ISNUMBER(SEARCH("Proposal",$A395)),SUMIFS('Timesheet Raw'!$P$4:$P$8000,'Timesheet Raw'!$A$4:$A$8000,IF(ISNUMBER(SEARCH("Chargable",$A395)),"2-Proposals Chargeable","3-Proposals Regular"),'Timesheet Raw'!$C$4:$C$8000,"*"&amp;$B395&amp;"*",'Timesheet Raw'!$L$4:$L$8000,"&gt;="&amp;MAX(L$5,DATE(2000+VALUE(RIGHT(TRIM($A395),2)),1,1)),'Timesheet Raw'!$L$4:$L$8000,"&lt;="&amp;MIN(L$6,DATE(2000+VALUE(RIGHT(TRIM($A395),2)),12,31))),SUMIFS('Timesheet Raw'!$P$4:$P$8000,'Timesheet Raw'!$B$4:$B$8000,TRIM($A395),'Timesheet Raw'!$C$4:$C$8000,"*"&amp;$B395&amp;"*",'Timesheet Raw'!$L$4:$L$8000,"&gt;="&amp;L$5,'Timesheet Raw'!$L$4:$L$8000,"&lt;="&amp;L$6)))/'Profit Plan'!$B$5)</f>
        <v/>
      </c>
      <c r="M395" s="122" t="str">
        <f>IF($A395="","",(IF(ISNUMBER(SEARCH("Proposal",$A395)),SUMIFS('Timesheet Raw'!$P$4:$P$8000,'Timesheet Raw'!$A$4:$A$8000,IF(ISNUMBER(SEARCH("Chargable",$A395)),"2-Proposals Chargeable","3-Proposals Regular"),'Timesheet Raw'!$C$4:$C$8000,"*"&amp;$B395&amp;"*",'Timesheet Raw'!$L$4:$L$8000,"&gt;="&amp;MAX(M$5,DATE(2000+VALUE(RIGHT(TRIM($A395),2)),1,1)),'Timesheet Raw'!$L$4:$L$8000,"&lt;="&amp;MIN(M$6,DATE(2000+VALUE(RIGHT(TRIM($A395),2)),12,31))),SUMIFS('Timesheet Raw'!$P$4:$P$8000,'Timesheet Raw'!$B$4:$B$8000,TRIM($A395),'Timesheet Raw'!$C$4:$C$8000,"*"&amp;$B395&amp;"*",'Timesheet Raw'!$L$4:$L$8000,"&gt;="&amp;M$5,'Timesheet Raw'!$L$4:$L$8000,"&lt;="&amp;M$6)))/'Profit Plan'!$B$5)</f>
        <v/>
      </c>
      <c r="N395" s="122" t="str">
        <f>IF($A395="","",(IF(ISNUMBER(SEARCH("Proposal",$A395)),SUMIFS('Timesheet Raw'!$P$4:$P$8000,'Timesheet Raw'!$A$4:$A$8000,IF(ISNUMBER(SEARCH("Chargable",$A395)),"2-Proposals Chargeable","3-Proposals Regular"),'Timesheet Raw'!$C$4:$C$8000,"*"&amp;$B395&amp;"*",'Timesheet Raw'!$L$4:$L$8000,"&gt;="&amp;MAX(N$5,DATE(2000+VALUE(RIGHT(TRIM($A395),2)),1,1)),'Timesheet Raw'!$L$4:$L$8000,"&lt;="&amp;MIN(N$6,DATE(2000+VALUE(RIGHT(TRIM($A395),2)),12,31))),SUMIFS('Timesheet Raw'!$P$4:$P$8000,'Timesheet Raw'!$B$4:$B$8000,TRIM($A395),'Timesheet Raw'!$C$4:$C$8000,"*"&amp;$B395&amp;"*",'Timesheet Raw'!$L$4:$L$8000,"&gt;="&amp;N$5,'Timesheet Raw'!$L$4:$L$8000,"&lt;="&amp;N$6)))/'Profit Plan'!$B$5)</f>
        <v/>
      </c>
      <c r="O395" s="122" t="str">
        <f>IF($A395="","",(IF(ISNUMBER(SEARCH("Proposal",$A395)),SUMIFS('Timesheet Raw'!$P$4:$P$8000,'Timesheet Raw'!$A$4:$A$8000,IF(ISNUMBER(SEARCH("Chargable",$A395)),"2-Proposals Chargeable","3-Proposals Regular"),'Timesheet Raw'!$C$4:$C$8000,"*"&amp;$B395&amp;"*",'Timesheet Raw'!$L$4:$L$8000,"&gt;="&amp;MAX(O$5,DATE(2000+VALUE(RIGHT(TRIM($A395),2)),1,1)),'Timesheet Raw'!$L$4:$L$8000,"&lt;="&amp;MIN(O$6,DATE(2000+VALUE(RIGHT(TRIM($A395),2)),12,31))),SUMIFS('Timesheet Raw'!$P$4:$P$8000,'Timesheet Raw'!$B$4:$B$8000,TRIM($A395),'Timesheet Raw'!$C$4:$C$8000,"*"&amp;$B395&amp;"*",'Timesheet Raw'!$L$4:$L$8000,"&gt;="&amp;O$5,'Timesheet Raw'!$L$4:$L$8000,"&lt;="&amp;O$6)))/'Profit Plan'!$B$5)</f>
        <v/>
      </c>
      <c r="P395" s="122" t="str">
        <f>IF($A395="","",(IF(ISNUMBER(SEARCH("Proposal",$A395)),SUMIFS('Timesheet Raw'!$P$4:$P$8000,'Timesheet Raw'!$A$4:$A$8000,IF(ISNUMBER(SEARCH("Chargable",$A395)),"2-Proposals Chargeable","3-Proposals Regular"),'Timesheet Raw'!$C$4:$C$8000,"*"&amp;$B395&amp;"*",'Timesheet Raw'!$L$4:$L$8000,"&gt;="&amp;MAX(P$5,DATE(2000+VALUE(RIGHT(TRIM($A395),2)),1,1)),'Timesheet Raw'!$L$4:$L$8000,"&lt;="&amp;MIN(P$6,DATE(2000+VALUE(RIGHT(TRIM($A395),2)),12,31))),SUMIFS('Timesheet Raw'!$P$4:$P$8000,'Timesheet Raw'!$B$4:$B$8000,TRIM($A395),'Timesheet Raw'!$C$4:$C$8000,"*"&amp;$B395&amp;"*",'Timesheet Raw'!$L$4:$L$8000,"&gt;="&amp;P$5,'Timesheet Raw'!$L$4:$L$8000,"&lt;="&amp;P$6)))/'Profit Plan'!$B$5)</f>
        <v/>
      </c>
      <c r="Q395" s="122" t="str">
        <f>IF($A395="","",(IF(ISNUMBER(SEARCH("Proposal",$A395)),SUMIFS('Timesheet Raw'!$P$4:$P$8000,'Timesheet Raw'!$A$4:$A$8000,IF(ISNUMBER(SEARCH("Chargable",$A395)),"2-Proposals Chargeable","3-Proposals Regular"),'Timesheet Raw'!$C$4:$C$8000,"*"&amp;$B395&amp;"*",'Timesheet Raw'!$L$4:$L$8000,"&gt;="&amp;MAX(Q$5,DATE(2000+VALUE(RIGHT(TRIM($A395),2)),1,1)),'Timesheet Raw'!$L$4:$L$8000,"&lt;="&amp;MIN(Q$6,DATE(2000+VALUE(RIGHT(TRIM($A395),2)),12,31))),SUMIFS('Timesheet Raw'!$P$4:$P$8000,'Timesheet Raw'!$B$4:$B$8000,TRIM($A395),'Timesheet Raw'!$C$4:$C$8000,"*"&amp;$B395&amp;"*",'Timesheet Raw'!$L$4:$L$8000,"&gt;="&amp;Q$5,'Timesheet Raw'!$L$4:$L$8000,"&lt;="&amp;Q$6)))/'Profit Plan'!$B$5)</f>
        <v/>
      </c>
      <c r="R395" s="122" t="str">
        <f>IF($A395="","",(IF(ISNUMBER(SEARCH("Proposal",$A395)),SUMIFS('Timesheet Raw'!$P$4:$P$8000,'Timesheet Raw'!$A$4:$A$8000,IF(ISNUMBER(SEARCH("Chargable",$A395)),"2-Proposals Chargeable","3-Proposals Regular"),'Timesheet Raw'!$C$4:$C$8000,"*"&amp;$B395&amp;"*",'Timesheet Raw'!$L$4:$L$8000,"&gt;="&amp;MAX(R$5,DATE(2000+VALUE(RIGHT(TRIM($A395),2)),1,1)),'Timesheet Raw'!$L$4:$L$8000,"&lt;="&amp;MIN(R$6,DATE(2000+VALUE(RIGHT(TRIM($A395),2)),12,31))),SUMIFS('Timesheet Raw'!$P$4:$P$8000,'Timesheet Raw'!$B$4:$B$8000,TRIM($A395),'Timesheet Raw'!$C$4:$C$8000,"*"&amp;$B395&amp;"*",'Timesheet Raw'!$L$4:$L$8000,"&gt;="&amp;R$5,'Timesheet Raw'!$L$4:$L$8000,"&lt;="&amp;R$6)))/'Profit Plan'!$B$5)</f>
        <v/>
      </c>
      <c r="S395" s="122" t="str">
        <f>IF($A395="","",(IF(ISNUMBER(SEARCH("Proposal",$A395)),SUMIFS('Timesheet Raw'!$P$4:$P$8000,'Timesheet Raw'!$A$4:$A$8000,IF(ISNUMBER(SEARCH("Chargable",$A395)),"2-Proposals Chargeable","3-Proposals Regular"),'Timesheet Raw'!$C$4:$C$8000,"*"&amp;$B395&amp;"*",'Timesheet Raw'!$L$4:$L$8000,"&gt;="&amp;MAX(S$5,DATE(2000+VALUE(RIGHT(TRIM($A395),2)),1,1)),'Timesheet Raw'!$L$4:$L$8000,"&lt;="&amp;MIN(S$6,DATE(2000+VALUE(RIGHT(TRIM($A395),2)),12,31))),SUMIFS('Timesheet Raw'!$P$4:$P$8000,'Timesheet Raw'!$B$4:$B$8000,TRIM($A395),'Timesheet Raw'!$C$4:$C$8000,"*"&amp;$B395&amp;"*",'Timesheet Raw'!$L$4:$L$8000,"&gt;="&amp;S$5,'Timesheet Raw'!$L$4:$L$8000,"&lt;="&amp;S$6)))/'Profit Plan'!$B$5)</f>
        <v/>
      </c>
      <c r="T395" s="122" t="str">
        <f>IF($A395="","",(IF(ISNUMBER(SEARCH("Proposal",$A395)),SUMIFS('Timesheet Raw'!$P$4:$P$8000,'Timesheet Raw'!$A$4:$A$8000,IF(ISNUMBER(SEARCH("Chargable",$A395)),"2-Proposals Chargeable","3-Proposals Regular"),'Timesheet Raw'!$C$4:$C$8000,"*"&amp;$B395&amp;"*",'Timesheet Raw'!$L$4:$L$8000,"&gt;="&amp;MAX(T$5,DATE(2000+VALUE(RIGHT(TRIM($A395),2)),1,1)),'Timesheet Raw'!$L$4:$L$8000,"&lt;="&amp;MIN(T$6,DATE(2000+VALUE(RIGHT(TRIM($A395),2)),12,31))),SUMIFS('Timesheet Raw'!$P$4:$P$8000,'Timesheet Raw'!$B$4:$B$8000,TRIM($A395),'Timesheet Raw'!$C$4:$C$8000,"*"&amp;$B395&amp;"*",'Timesheet Raw'!$L$4:$L$8000,"&gt;="&amp;T$5,'Timesheet Raw'!$L$4:$L$8000,"&lt;="&amp;T$6)))/'Profit Plan'!$B$5)</f>
        <v/>
      </c>
      <c r="U395" s="122" t="str">
        <f>IF($A395="","",(IF(ISNUMBER(SEARCH("Proposal",$A395)),SUMIFS('Timesheet Raw'!$P$4:$P$8000,'Timesheet Raw'!$A$4:$A$8000,IF(ISNUMBER(SEARCH("Chargable",$A395)),"2-Proposals Chargeable","3-Proposals Regular"),'Timesheet Raw'!$C$4:$C$8000,"*"&amp;$B395&amp;"*",'Timesheet Raw'!$L$4:$L$8000,"&gt;="&amp;MAX(U$5,DATE(2000+VALUE(RIGHT(TRIM($A395),2)),1,1)),'Timesheet Raw'!$L$4:$L$8000,"&lt;="&amp;MIN(U$6,DATE(2000+VALUE(RIGHT(TRIM($A395),2)),12,31))),SUMIFS('Timesheet Raw'!$P$4:$P$8000,'Timesheet Raw'!$B$4:$B$8000,TRIM($A395),'Timesheet Raw'!$C$4:$C$8000,"*"&amp;$B395&amp;"*",'Timesheet Raw'!$L$4:$L$8000,"&gt;="&amp;U$5,'Timesheet Raw'!$L$4:$L$8000,"&lt;="&amp;U$6)))/'Profit Plan'!$B$5)</f>
        <v/>
      </c>
      <c r="V395" s="122" t="str">
        <f>IF($A395="","",(IF(ISNUMBER(SEARCH("Proposal",$A395)),SUMIFS('Timesheet Raw'!$P$4:$P$8000,'Timesheet Raw'!$A$4:$A$8000,IF(ISNUMBER(SEARCH("Chargable",$A395)),"2-Proposals Chargeable","3-Proposals Regular"),'Timesheet Raw'!$C$4:$C$8000,"*"&amp;$B395&amp;"*",'Timesheet Raw'!$L$4:$L$8000,"&gt;="&amp;MAX(V$5,DATE(2000+VALUE(RIGHT(TRIM($A395),2)),1,1)),'Timesheet Raw'!$L$4:$L$8000,"&lt;="&amp;MIN(V$6,DATE(2000+VALUE(RIGHT(TRIM($A395),2)),12,31))),SUMIFS('Timesheet Raw'!$P$4:$P$8000,'Timesheet Raw'!$B$4:$B$8000,TRIM($A395),'Timesheet Raw'!$C$4:$C$8000,"*"&amp;$B395&amp;"*",'Timesheet Raw'!$L$4:$L$8000,"&gt;="&amp;V$5,'Timesheet Raw'!$L$4:$L$8000,"&lt;="&amp;V$6)))/'Profit Plan'!$B$5)</f>
        <v/>
      </c>
      <c r="W395" s="122" t="str">
        <f>IF($A395="","",(IF(ISNUMBER(SEARCH("Proposal",$A395)),SUMIFS('Timesheet Raw'!$P$4:$P$8000,'Timesheet Raw'!$A$4:$A$8000,IF(ISNUMBER(SEARCH("Chargable",$A395)),"2-Proposals Chargeable","3-Proposals Regular"),'Timesheet Raw'!$C$4:$C$8000,"*"&amp;$B395&amp;"*",'Timesheet Raw'!$L$4:$L$8000,"&gt;="&amp;MAX(W$5,DATE(2000+VALUE(RIGHT(TRIM($A395),2)),1,1)),'Timesheet Raw'!$L$4:$L$8000,"&lt;="&amp;MIN(W$6,DATE(2000+VALUE(RIGHT(TRIM($A395),2)),12,31))),SUMIFS('Timesheet Raw'!$P$4:$P$8000,'Timesheet Raw'!$B$4:$B$8000,TRIM($A395),'Timesheet Raw'!$C$4:$C$8000,"*"&amp;$B395&amp;"*",'Timesheet Raw'!$L$4:$L$8000,"&gt;="&amp;W$5,'Timesheet Raw'!$L$4:$L$8000,"&lt;="&amp;W$6)))/'Profit Plan'!$B$5)</f>
        <v/>
      </c>
      <c r="X395" s="122" t="str">
        <f>IF($A395="","",(IF(ISNUMBER(SEARCH("Proposal",$A395)),SUMIFS('Timesheet Raw'!$P$4:$P$8000,'Timesheet Raw'!$A$4:$A$8000,IF(ISNUMBER(SEARCH("Chargable",$A395)),"2-Proposals Chargeable","3-Proposals Regular"),'Timesheet Raw'!$C$4:$C$8000,"*"&amp;$B395&amp;"*",'Timesheet Raw'!$L$4:$L$8000,"&gt;="&amp;MAX(X$5,DATE(2000+VALUE(RIGHT(TRIM($A395),2)),1,1)),'Timesheet Raw'!$L$4:$L$8000,"&lt;="&amp;MIN(X$6,DATE(2000+VALUE(RIGHT(TRIM($A395),2)),12,31))),SUMIFS('Timesheet Raw'!$P$4:$P$8000,'Timesheet Raw'!$B$4:$B$8000,TRIM($A395),'Timesheet Raw'!$C$4:$C$8000,"*"&amp;$B395&amp;"*",'Timesheet Raw'!$L$4:$L$8000,"&gt;="&amp;X$5,'Timesheet Raw'!$L$4:$L$8000,"&lt;="&amp;X$6)))/'Profit Plan'!$B$5)</f>
        <v/>
      </c>
      <c r="Y395" s="118">
        <f t="shared" si="102"/>
        <v>0</v>
      </c>
    </row>
    <row r="396" spans="1:25" x14ac:dyDescent="0.3">
      <c r="A396" s="116" t="str">
        <f>IF(Inputs!$A49="","",Inputs!$A49)</f>
        <v/>
      </c>
      <c r="B396" s="116" t="str">
        <f>IF(Inputs!$A49="","",Inputs!$A$93)</f>
        <v/>
      </c>
      <c r="C396" s="116"/>
      <c r="D396" s="122" t="str">
        <f>IF($A396="","",(IF(ISNUMBER(SEARCH("Proposal",$A396)),SUMIFS('Timesheet Raw'!$P$4:$P$8000,'Timesheet Raw'!$A$4:$A$8000,IF(ISNUMBER(SEARCH("Chargable",$A396)),"2-Proposals Chargeable","3-Proposals Regular"),'Timesheet Raw'!$C$4:$C$8000,"*"&amp;$B396&amp;"*",'Timesheet Raw'!$L$4:$L$8000,"&gt;="&amp;MAX(D$5,DATE(2000+VALUE(RIGHT(TRIM($A396),2)),1,1)),'Timesheet Raw'!$L$4:$L$8000,"&lt;="&amp;MIN(D$6,DATE(2000+VALUE(RIGHT(TRIM($A396),2)),12,31))),SUMIFS('Timesheet Raw'!$P$4:$P$8000,'Timesheet Raw'!$B$4:$B$8000,TRIM($A396),'Timesheet Raw'!$C$4:$C$8000,"*"&amp;$B396&amp;"*",'Timesheet Raw'!$L$4:$L$8000,"&gt;="&amp;D$5,'Timesheet Raw'!$L$4:$L$8000,"&lt;="&amp;D$6)))/'Profit Plan'!$B$5)</f>
        <v/>
      </c>
      <c r="E396" s="122" t="str">
        <f>IF($A396="","",(IF(ISNUMBER(SEARCH("Proposal",$A396)),SUMIFS('Timesheet Raw'!$P$4:$P$8000,'Timesheet Raw'!$A$4:$A$8000,IF(ISNUMBER(SEARCH("Chargable",$A396)),"2-Proposals Chargeable","3-Proposals Regular"),'Timesheet Raw'!$C$4:$C$8000,"*"&amp;$B396&amp;"*",'Timesheet Raw'!$L$4:$L$8000,"&gt;="&amp;MAX(E$5,DATE(2000+VALUE(RIGHT(TRIM($A396),2)),1,1)),'Timesheet Raw'!$L$4:$L$8000,"&lt;="&amp;MIN(E$6,DATE(2000+VALUE(RIGHT(TRIM($A396),2)),12,31))),SUMIFS('Timesheet Raw'!$P$4:$P$8000,'Timesheet Raw'!$B$4:$B$8000,TRIM($A396),'Timesheet Raw'!$C$4:$C$8000,"*"&amp;$B396&amp;"*",'Timesheet Raw'!$L$4:$L$8000,"&gt;="&amp;E$5,'Timesheet Raw'!$L$4:$L$8000,"&lt;="&amp;E$6)))/'Profit Plan'!$B$5)</f>
        <v/>
      </c>
      <c r="F396" s="122" t="str">
        <f>IF($A396="","",(IF(ISNUMBER(SEARCH("Proposal",$A396)),SUMIFS('Timesheet Raw'!$P$4:$P$8000,'Timesheet Raw'!$A$4:$A$8000,IF(ISNUMBER(SEARCH("Chargable",$A396)),"2-Proposals Chargeable","3-Proposals Regular"),'Timesheet Raw'!$C$4:$C$8000,"*"&amp;$B396&amp;"*",'Timesheet Raw'!$L$4:$L$8000,"&gt;="&amp;MAX(F$5,DATE(2000+VALUE(RIGHT(TRIM($A396),2)),1,1)),'Timesheet Raw'!$L$4:$L$8000,"&lt;="&amp;MIN(F$6,DATE(2000+VALUE(RIGHT(TRIM($A396),2)),12,31))),SUMIFS('Timesheet Raw'!$P$4:$P$8000,'Timesheet Raw'!$B$4:$B$8000,TRIM($A396),'Timesheet Raw'!$C$4:$C$8000,"*"&amp;$B396&amp;"*",'Timesheet Raw'!$L$4:$L$8000,"&gt;="&amp;F$5,'Timesheet Raw'!$L$4:$L$8000,"&lt;="&amp;F$6)))/'Profit Plan'!$B$5)</f>
        <v/>
      </c>
      <c r="G396" s="122" t="str">
        <f>IF($A396="","",(IF(ISNUMBER(SEARCH("Proposal",$A396)),SUMIFS('Timesheet Raw'!$P$4:$P$8000,'Timesheet Raw'!$A$4:$A$8000,IF(ISNUMBER(SEARCH("Chargable",$A396)),"2-Proposals Chargeable","3-Proposals Regular"),'Timesheet Raw'!$C$4:$C$8000,"*"&amp;$B396&amp;"*",'Timesheet Raw'!$L$4:$L$8000,"&gt;="&amp;MAX(G$5,DATE(2000+VALUE(RIGHT(TRIM($A396),2)),1,1)),'Timesheet Raw'!$L$4:$L$8000,"&lt;="&amp;MIN(G$6,DATE(2000+VALUE(RIGHT(TRIM($A396),2)),12,31))),SUMIFS('Timesheet Raw'!$P$4:$P$8000,'Timesheet Raw'!$B$4:$B$8000,TRIM($A396),'Timesheet Raw'!$C$4:$C$8000,"*"&amp;$B396&amp;"*",'Timesheet Raw'!$L$4:$L$8000,"&gt;="&amp;G$5,'Timesheet Raw'!$L$4:$L$8000,"&lt;="&amp;G$6)))/'Profit Plan'!$B$5)</f>
        <v/>
      </c>
      <c r="H396" s="122" t="str">
        <f>IF($A396="","",(IF(ISNUMBER(SEARCH("Proposal",$A396)),SUMIFS('Timesheet Raw'!$P$4:$P$8000,'Timesheet Raw'!$A$4:$A$8000,IF(ISNUMBER(SEARCH("Chargable",$A396)),"2-Proposals Chargeable","3-Proposals Regular"),'Timesheet Raw'!$C$4:$C$8000,"*"&amp;$B396&amp;"*",'Timesheet Raw'!$L$4:$L$8000,"&gt;="&amp;MAX(H$5,DATE(2000+VALUE(RIGHT(TRIM($A396),2)),1,1)),'Timesheet Raw'!$L$4:$L$8000,"&lt;="&amp;MIN(H$6,DATE(2000+VALUE(RIGHT(TRIM($A396),2)),12,31))),SUMIFS('Timesheet Raw'!$P$4:$P$8000,'Timesheet Raw'!$B$4:$B$8000,TRIM($A396),'Timesheet Raw'!$C$4:$C$8000,"*"&amp;$B396&amp;"*",'Timesheet Raw'!$L$4:$L$8000,"&gt;="&amp;H$5,'Timesheet Raw'!$L$4:$L$8000,"&lt;="&amp;H$6)))/'Profit Plan'!$B$5)</f>
        <v/>
      </c>
      <c r="I396" s="122" t="str">
        <f>IF($A396="","",(IF(ISNUMBER(SEARCH("Proposal",$A396)),SUMIFS('Timesheet Raw'!$P$4:$P$8000,'Timesheet Raw'!$A$4:$A$8000,IF(ISNUMBER(SEARCH("Chargable",$A396)),"2-Proposals Chargeable","3-Proposals Regular"),'Timesheet Raw'!$C$4:$C$8000,"*"&amp;$B396&amp;"*",'Timesheet Raw'!$L$4:$L$8000,"&gt;="&amp;MAX(I$5,DATE(2000+VALUE(RIGHT(TRIM($A396),2)),1,1)),'Timesheet Raw'!$L$4:$L$8000,"&lt;="&amp;MIN(I$6,DATE(2000+VALUE(RIGHT(TRIM($A396),2)),12,31))),SUMIFS('Timesheet Raw'!$P$4:$P$8000,'Timesheet Raw'!$B$4:$B$8000,TRIM($A396),'Timesheet Raw'!$C$4:$C$8000,"*"&amp;$B396&amp;"*",'Timesheet Raw'!$L$4:$L$8000,"&gt;="&amp;I$5,'Timesheet Raw'!$L$4:$L$8000,"&lt;="&amp;I$6)))/'Profit Plan'!$B$5)</f>
        <v/>
      </c>
      <c r="J396" s="122" t="str">
        <f>IF($A396="","",(IF(ISNUMBER(SEARCH("Proposal",$A396)),SUMIFS('Timesheet Raw'!$P$4:$P$8000,'Timesheet Raw'!$A$4:$A$8000,IF(ISNUMBER(SEARCH("Chargable",$A396)),"2-Proposals Chargeable","3-Proposals Regular"),'Timesheet Raw'!$C$4:$C$8000,"*"&amp;$B396&amp;"*",'Timesheet Raw'!$L$4:$L$8000,"&gt;="&amp;MAX(J$5,DATE(2000+VALUE(RIGHT(TRIM($A396),2)),1,1)),'Timesheet Raw'!$L$4:$L$8000,"&lt;="&amp;MIN(J$6,DATE(2000+VALUE(RIGHT(TRIM($A396),2)),12,31))),SUMIFS('Timesheet Raw'!$P$4:$P$8000,'Timesheet Raw'!$B$4:$B$8000,TRIM($A396),'Timesheet Raw'!$C$4:$C$8000,"*"&amp;$B396&amp;"*",'Timesheet Raw'!$L$4:$L$8000,"&gt;="&amp;J$5,'Timesheet Raw'!$L$4:$L$8000,"&lt;="&amp;J$6)))/'Profit Plan'!$B$5)</f>
        <v/>
      </c>
      <c r="K396" s="122" t="str">
        <f>IF($A396="","",(IF(ISNUMBER(SEARCH("Proposal",$A396)),SUMIFS('Timesheet Raw'!$P$4:$P$8000,'Timesheet Raw'!$A$4:$A$8000,IF(ISNUMBER(SEARCH("Chargable",$A396)),"2-Proposals Chargeable","3-Proposals Regular"),'Timesheet Raw'!$C$4:$C$8000,"*"&amp;$B396&amp;"*",'Timesheet Raw'!$L$4:$L$8000,"&gt;="&amp;MAX(K$5,DATE(2000+VALUE(RIGHT(TRIM($A396),2)),1,1)),'Timesheet Raw'!$L$4:$L$8000,"&lt;="&amp;MIN(K$6,DATE(2000+VALUE(RIGHT(TRIM($A396),2)),12,31))),SUMIFS('Timesheet Raw'!$P$4:$P$8000,'Timesheet Raw'!$B$4:$B$8000,TRIM($A396),'Timesheet Raw'!$C$4:$C$8000,"*"&amp;$B396&amp;"*",'Timesheet Raw'!$L$4:$L$8000,"&gt;="&amp;K$5,'Timesheet Raw'!$L$4:$L$8000,"&lt;="&amp;K$6)))/'Profit Plan'!$B$5)</f>
        <v/>
      </c>
      <c r="L396" s="122" t="str">
        <f>IF($A396="","",(IF(ISNUMBER(SEARCH("Proposal",$A396)),SUMIFS('Timesheet Raw'!$P$4:$P$8000,'Timesheet Raw'!$A$4:$A$8000,IF(ISNUMBER(SEARCH("Chargable",$A396)),"2-Proposals Chargeable","3-Proposals Regular"),'Timesheet Raw'!$C$4:$C$8000,"*"&amp;$B396&amp;"*",'Timesheet Raw'!$L$4:$L$8000,"&gt;="&amp;MAX(L$5,DATE(2000+VALUE(RIGHT(TRIM($A396),2)),1,1)),'Timesheet Raw'!$L$4:$L$8000,"&lt;="&amp;MIN(L$6,DATE(2000+VALUE(RIGHT(TRIM($A396),2)),12,31))),SUMIFS('Timesheet Raw'!$P$4:$P$8000,'Timesheet Raw'!$B$4:$B$8000,TRIM($A396),'Timesheet Raw'!$C$4:$C$8000,"*"&amp;$B396&amp;"*",'Timesheet Raw'!$L$4:$L$8000,"&gt;="&amp;L$5,'Timesheet Raw'!$L$4:$L$8000,"&lt;="&amp;L$6)))/'Profit Plan'!$B$5)</f>
        <v/>
      </c>
      <c r="M396" s="122" t="str">
        <f>IF($A396="","",(IF(ISNUMBER(SEARCH("Proposal",$A396)),SUMIFS('Timesheet Raw'!$P$4:$P$8000,'Timesheet Raw'!$A$4:$A$8000,IF(ISNUMBER(SEARCH("Chargable",$A396)),"2-Proposals Chargeable","3-Proposals Regular"),'Timesheet Raw'!$C$4:$C$8000,"*"&amp;$B396&amp;"*",'Timesheet Raw'!$L$4:$L$8000,"&gt;="&amp;MAX(M$5,DATE(2000+VALUE(RIGHT(TRIM($A396),2)),1,1)),'Timesheet Raw'!$L$4:$L$8000,"&lt;="&amp;MIN(M$6,DATE(2000+VALUE(RIGHT(TRIM($A396),2)),12,31))),SUMIFS('Timesheet Raw'!$P$4:$P$8000,'Timesheet Raw'!$B$4:$B$8000,TRIM($A396),'Timesheet Raw'!$C$4:$C$8000,"*"&amp;$B396&amp;"*",'Timesheet Raw'!$L$4:$L$8000,"&gt;="&amp;M$5,'Timesheet Raw'!$L$4:$L$8000,"&lt;="&amp;M$6)))/'Profit Plan'!$B$5)</f>
        <v/>
      </c>
      <c r="N396" s="122" t="str">
        <f>IF($A396="","",(IF(ISNUMBER(SEARCH("Proposal",$A396)),SUMIFS('Timesheet Raw'!$P$4:$P$8000,'Timesheet Raw'!$A$4:$A$8000,IF(ISNUMBER(SEARCH("Chargable",$A396)),"2-Proposals Chargeable","3-Proposals Regular"),'Timesheet Raw'!$C$4:$C$8000,"*"&amp;$B396&amp;"*",'Timesheet Raw'!$L$4:$L$8000,"&gt;="&amp;MAX(N$5,DATE(2000+VALUE(RIGHT(TRIM($A396),2)),1,1)),'Timesheet Raw'!$L$4:$L$8000,"&lt;="&amp;MIN(N$6,DATE(2000+VALUE(RIGHT(TRIM($A396),2)),12,31))),SUMIFS('Timesheet Raw'!$P$4:$P$8000,'Timesheet Raw'!$B$4:$B$8000,TRIM($A396),'Timesheet Raw'!$C$4:$C$8000,"*"&amp;$B396&amp;"*",'Timesheet Raw'!$L$4:$L$8000,"&gt;="&amp;N$5,'Timesheet Raw'!$L$4:$L$8000,"&lt;="&amp;N$6)))/'Profit Plan'!$B$5)</f>
        <v/>
      </c>
      <c r="O396" s="122" t="str">
        <f>IF($A396="","",(IF(ISNUMBER(SEARCH("Proposal",$A396)),SUMIFS('Timesheet Raw'!$P$4:$P$8000,'Timesheet Raw'!$A$4:$A$8000,IF(ISNUMBER(SEARCH("Chargable",$A396)),"2-Proposals Chargeable","3-Proposals Regular"),'Timesheet Raw'!$C$4:$C$8000,"*"&amp;$B396&amp;"*",'Timesheet Raw'!$L$4:$L$8000,"&gt;="&amp;MAX(O$5,DATE(2000+VALUE(RIGHT(TRIM($A396),2)),1,1)),'Timesheet Raw'!$L$4:$L$8000,"&lt;="&amp;MIN(O$6,DATE(2000+VALUE(RIGHT(TRIM($A396),2)),12,31))),SUMIFS('Timesheet Raw'!$P$4:$P$8000,'Timesheet Raw'!$B$4:$B$8000,TRIM($A396),'Timesheet Raw'!$C$4:$C$8000,"*"&amp;$B396&amp;"*",'Timesheet Raw'!$L$4:$L$8000,"&gt;="&amp;O$5,'Timesheet Raw'!$L$4:$L$8000,"&lt;="&amp;O$6)))/'Profit Plan'!$B$5)</f>
        <v/>
      </c>
      <c r="P396" s="122" t="str">
        <f>IF($A396="","",(IF(ISNUMBER(SEARCH("Proposal",$A396)),SUMIFS('Timesheet Raw'!$P$4:$P$8000,'Timesheet Raw'!$A$4:$A$8000,IF(ISNUMBER(SEARCH("Chargable",$A396)),"2-Proposals Chargeable","3-Proposals Regular"),'Timesheet Raw'!$C$4:$C$8000,"*"&amp;$B396&amp;"*",'Timesheet Raw'!$L$4:$L$8000,"&gt;="&amp;MAX(P$5,DATE(2000+VALUE(RIGHT(TRIM($A396),2)),1,1)),'Timesheet Raw'!$L$4:$L$8000,"&lt;="&amp;MIN(P$6,DATE(2000+VALUE(RIGHT(TRIM($A396),2)),12,31))),SUMIFS('Timesheet Raw'!$P$4:$P$8000,'Timesheet Raw'!$B$4:$B$8000,TRIM($A396),'Timesheet Raw'!$C$4:$C$8000,"*"&amp;$B396&amp;"*",'Timesheet Raw'!$L$4:$L$8000,"&gt;="&amp;P$5,'Timesheet Raw'!$L$4:$L$8000,"&lt;="&amp;P$6)))/'Profit Plan'!$B$5)</f>
        <v/>
      </c>
      <c r="Q396" s="122" t="str">
        <f>IF($A396="","",(IF(ISNUMBER(SEARCH("Proposal",$A396)),SUMIFS('Timesheet Raw'!$P$4:$P$8000,'Timesheet Raw'!$A$4:$A$8000,IF(ISNUMBER(SEARCH("Chargable",$A396)),"2-Proposals Chargeable","3-Proposals Regular"),'Timesheet Raw'!$C$4:$C$8000,"*"&amp;$B396&amp;"*",'Timesheet Raw'!$L$4:$L$8000,"&gt;="&amp;MAX(Q$5,DATE(2000+VALUE(RIGHT(TRIM($A396),2)),1,1)),'Timesheet Raw'!$L$4:$L$8000,"&lt;="&amp;MIN(Q$6,DATE(2000+VALUE(RIGHT(TRIM($A396),2)),12,31))),SUMIFS('Timesheet Raw'!$P$4:$P$8000,'Timesheet Raw'!$B$4:$B$8000,TRIM($A396),'Timesheet Raw'!$C$4:$C$8000,"*"&amp;$B396&amp;"*",'Timesheet Raw'!$L$4:$L$8000,"&gt;="&amp;Q$5,'Timesheet Raw'!$L$4:$L$8000,"&lt;="&amp;Q$6)))/'Profit Plan'!$B$5)</f>
        <v/>
      </c>
      <c r="R396" s="122" t="str">
        <f>IF($A396="","",(IF(ISNUMBER(SEARCH("Proposal",$A396)),SUMIFS('Timesheet Raw'!$P$4:$P$8000,'Timesheet Raw'!$A$4:$A$8000,IF(ISNUMBER(SEARCH("Chargable",$A396)),"2-Proposals Chargeable","3-Proposals Regular"),'Timesheet Raw'!$C$4:$C$8000,"*"&amp;$B396&amp;"*",'Timesheet Raw'!$L$4:$L$8000,"&gt;="&amp;MAX(R$5,DATE(2000+VALUE(RIGHT(TRIM($A396),2)),1,1)),'Timesheet Raw'!$L$4:$L$8000,"&lt;="&amp;MIN(R$6,DATE(2000+VALUE(RIGHT(TRIM($A396),2)),12,31))),SUMIFS('Timesheet Raw'!$P$4:$P$8000,'Timesheet Raw'!$B$4:$B$8000,TRIM($A396),'Timesheet Raw'!$C$4:$C$8000,"*"&amp;$B396&amp;"*",'Timesheet Raw'!$L$4:$L$8000,"&gt;="&amp;R$5,'Timesheet Raw'!$L$4:$L$8000,"&lt;="&amp;R$6)))/'Profit Plan'!$B$5)</f>
        <v/>
      </c>
      <c r="S396" s="122" t="str">
        <f>IF($A396="","",(IF(ISNUMBER(SEARCH("Proposal",$A396)),SUMIFS('Timesheet Raw'!$P$4:$P$8000,'Timesheet Raw'!$A$4:$A$8000,IF(ISNUMBER(SEARCH("Chargable",$A396)),"2-Proposals Chargeable","3-Proposals Regular"),'Timesheet Raw'!$C$4:$C$8000,"*"&amp;$B396&amp;"*",'Timesheet Raw'!$L$4:$L$8000,"&gt;="&amp;MAX(S$5,DATE(2000+VALUE(RIGHT(TRIM($A396),2)),1,1)),'Timesheet Raw'!$L$4:$L$8000,"&lt;="&amp;MIN(S$6,DATE(2000+VALUE(RIGHT(TRIM($A396),2)),12,31))),SUMIFS('Timesheet Raw'!$P$4:$P$8000,'Timesheet Raw'!$B$4:$B$8000,TRIM($A396),'Timesheet Raw'!$C$4:$C$8000,"*"&amp;$B396&amp;"*",'Timesheet Raw'!$L$4:$L$8000,"&gt;="&amp;S$5,'Timesheet Raw'!$L$4:$L$8000,"&lt;="&amp;S$6)))/'Profit Plan'!$B$5)</f>
        <v/>
      </c>
      <c r="T396" s="122" t="str">
        <f>IF($A396="","",(IF(ISNUMBER(SEARCH("Proposal",$A396)),SUMIFS('Timesheet Raw'!$P$4:$P$8000,'Timesheet Raw'!$A$4:$A$8000,IF(ISNUMBER(SEARCH("Chargable",$A396)),"2-Proposals Chargeable","3-Proposals Regular"),'Timesheet Raw'!$C$4:$C$8000,"*"&amp;$B396&amp;"*",'Timesheet Raw'!$L$4:$L$8000,"&gt;="&amp;MAX(T$5,DATE(2000+VALUE(RIGHT(TRIM($A396),2)),1,1)),'Timesheet Raw'!$L$4:$L$8000,"&lt;="&amp;MIN(T$6,DATE(2000+VALUE(RIGHT(TRIM($A396),2)),12,31))),SUMIFS('Timesheet Raw'!$P$4:$P$8000,'Timesheet Raw'!$B$4:$B$8000,TRIM($A396),'Timesheet Raw'!$C$4:$C$8000,"*"&amp;$B396&amp;"*",'Timesheet Raw'!$L$4:$L$8000,"&gt;="&amp;T$5,'Timesheet Raw'!$L$4:$L$8000,"&lt;="&amp;T$6)))/'Profit Plan'!$B$5)</f>
        <v/>
      </c>
      <c r="U396" s="122" t="str">
        <f>IF($A396="","",(IF(ISNUMBER(SEARCH("Proposal",$A396)),SUMIFS('Timesheet Raw'!$P$4:$P$8000,'Timesheet Raw'!$A$4:$A$8000,IF(ISNUMBER(SEARCH("Chargable",$A396)),"2-Proposals Chargeable","3-Proposals Regular"),'Timesheet Raw'!$C$4:$C$8000,"*"&amp;$B396&amp;"*",'Timesheet Raw'!$L$4:$L$8000,"&gt;="&amp;MAX(U$5,DATE(2000+VALUE(RIGHT(TRIM($A396),2)),1,1)),'Timesheet Raw'!$L$4:$L$8000,"&lt;="&amp;MIN(U$6,DATE(2000+VALUE(RIGHT(TRIM($A396),2)),12,31))),SUMIFS('Timesheet Raw'!$P$4:$P$8000,'Timesheet Raw'!$B$4:$B$8000,TRIM($A396),'Timesheet Raw'!$C$4:$C$8000,"*"&amp;$B396&amp;"*",'Timesheet Raw'!$L$4:$L$8000,"&gt;="&amp;U$5,'Timesheet Raw'!$L$4:$L$8000,"&lt;="&amp;U$6)))/'Profit Plan'!$B$5)</f>
        <v/>
      </c>
      <c r="V396" s="122" t="str">
        <f>IF($A396="","",(IF(ISNUMBER(SEARCH("Proposal",$A396)),SUMIFS('Timesheet Raw'!$P$4:$P$8000,'Timesheet Raw'!$A$4:$A$8000,IF(ISNUMBER(SEARCH("Chargable",$A396)),"2-Proposals Chargeable","3-Proposals Regular"),'Timesheet Raw'!$C$4:$C$8000,"*"&amp;$B396&amp;"*",'Timesheet Raw'!$L$4:$L$8000,"&gt;="&amp;MAX(V$5,DATE(2000+VALUE(RIGHT(TRIM($A396),2)),1,1)),'Timesheet Raw'!$L$4:$L$8000,"&lt;="&amp;MIN(V$6,DATE(2000+VALUE(RIGHT(TRIM($A396),2)),12,31))),SUMIFS('Timesheet Raw'!$P$4:$P$8000,'Timesheet Raw'!$B$4:$B$8000,TRIM($A396),'Timesheet Raw'!$C$4:$C$8000,"*"&amp;$B396&amp;"*",'Timesheet Raw'!$L$4:$L$8000,"&gt;="&amp;V$5,'Timesheet Raw'!$L$4:$L$8000,"&lt;="&amp;V$6)))/'Profit Plan'!$B$5)</f>
        <v/>
      </c>
      <c r="W396" s="122" t="str">
        <f>IF($A396="","",(IF(ISNUMBER(SEARCH("Proposal",$A396)),SUMIFS('Timesheet Raw'!$P$4:$P$8000,'Timesheet Raw'!$A$4:$A$8000,IF(ISNUMBER(SEARCH("Chargable",$A396)),"2-Proposals Chargeable","3-Proposals Regular"),'Timesheet Raw'!$C$4:$C$8000,"*"&amp;$B396&amp;"*",'Timesheet Raw'!$L$4:$L$8000,"&gt;="&amp;MAX(W$5,DATE(2000+VALUE(RIGHT(TRIM($A396),2)),1,1)),'Timesheet Raw'!$L$4:$L$8000,"&lt;="&amp;MIN(W$6,DATE(2000+VALUE(RIGHT(TRIM($A396),2)),12,31))),SUMIFS('Timesheet Raw'!$P$4:$P$8000,'Timesheet Raw'!$B$4:$B$8000,TRIM($A396),'Timesheet Raw'!$C$4:$C$8000,"*"&amp;$B396&amp;"*",'Timesheet Raw'!$L$4:$L$8000,"&gt;="&amp;W$5,'Timesheet Raw'!$L$4:$L$8000,"&lt;="&amp;W$6)))/'Profit Plan'!$B$5)</f>
        <v/>
      </c>
      <c r="X396" s="122" t="str">
        <f>IF($A396="","",(IF(ISNUMBER(SEARCH("Proposal",$A396)),SUMIFS('Timesheet Raw'!$P$4:$P$8000,'Timesheet Raw'!$A$4:$A$8000,IF(ISNUMBER(SEARCH("Chargable",$A396)),"2-Proposals Chargeable","3-Proposals Regular"),'Timesheet Raw'!$C$4:$C$8000,"*"&amp;$B396&amp;"*",'Timesheet Raw'!$L$4:$L$8000,"&gt;="&amp;MAX(X$5,DATE(2000+VALUE(RIGHT(TRIM($A396),2)),1,1)),'Timesheet Raw'!$L$4:$L$8000,"&lt;="&amp;MIN(X$6,DATE(2000+VALUE(RIGHT(TRIM($A396),2)),12,31))),SUMIFS('Timesheet Raw'!$P$4:$P$8000,'Timesheet Raw'!$B$4:$B$8000,TRIM($A396),'Timesheet Raw'!$C$4:$C$8000,"*"&amp;$B396&amp;"*",'Timesheet Raw'!$L$4:$L$8000,"&gt;="&amp;X$5,'Timesheet Raw'!$L$4:$L$8000,"&lt;="&amp;X$6)))/'Profit Plan'!$B$5)</f>
        <v/>
      </c>
      <c r="Y396" s="118">
        <f t="shared" si="102"/>
        <v>0</v>
      </c>
    </row>
    <row r="397" spans="1:25" x14ac:dyDescent="0.3">
      <c r="A397" s="116" t="str">
        <f>IF(Inputs!$A50="","",Inputs!$A50)</f>
        <v/>
      </c>
      <c r="B397" s="116" t="str">
        <f>IF(Inputs!$A50="","",Inputs!$A$91)</f>
        <v/>
      </c>
      <c r="C397" s="116"/>
      <c r="D397" s="122" t="str">
        <f>IF($A397="","",(IF(ISNUMBER(SEARCH("Proposal",$A397)),SUMIFS('Timesheet Raw'!$P$4:$P$8000,'Timesheet Raw'!$A$4:$A$8000,IF(ISNUMBER(SEARCH("Chargable",$A397)),"2-Proposals Chargeable","3-Proposals Regular"),'Timesheet Raw'!$C$4:$C$8000,"*"&amp;$B397&amp;"*",'Timesheet Raw'!$L$4:$L$8000,"&gt;="&amp;MAX(D$5,DATE(2000+VALUE(RIGHT(TRIM($A397),2)),1,1)),'Timesheet Raw'!$L$4:$L$8000,"&lt;="&amp;MIN(D$6,DATE(2000+VALUE(RIGHT(TRIM($A397),2)),12,31))),SUMIFS('Timesheet Raw'!$P$4:$P$8000,'Timesheet Raw'!$B$4:$B$8000,TRIM($A397),'Timesheet Raw'!$C$4:$C$8000,"*"&amp;$B397&amp;"*",'Timesheet Raw'!$L$4:$L$8000,"&gt;="&amp;D$5,'Timesheet Raw'!$L$4:$L$8000,"&lt;="&amp;D$6)))/'Profit Plan'!$B$5)</f>
        <v/>
      </c>
      <c r="E397" s="122" t="str">
        <f>IF($A397="","",(IF(ISNUMBER(SEARCH("Proposal",$A397)),SUMIFS('Timesheet Raw'!$P$4:$P$8000,'Timesheet Raw'!$A$4:$A$8000,IF(ISNUMBER(SEARCH("Chargable",$A397)),"2-Proposals Chargeable","3-Proposals Regular"),'Timesheet Raw'!$C$4:$C$8000,"*"&amp;$B397&amp;"*",'Timesheet Raw'!$L$4:$L$8000,"&gt;="&amp;MAX(E$5,DATE(2000+VALUE(RIGHT(TRIM($A397),2)),1,1)),'Timesheet Raw'!$L$4:$L$8000,"&lt;="&amp;MIN(E$6,DATE(2000+VALUE(RIGHT(TRIM($A397),2)),12,31))),SUMIFS('Timesheet Raw'!$P$4:$P$8000,'Timesheet Raw'!$B$4:$B$8000,TRIM($A397),'Timesheet Raw'!$C$4:$C$8000,"*"&amp;$B397&amp;"*",'Timesheet Raw'!$L$4:$L$8000,"&gt;="&amp;E$5,'Timesheet Raw'!$L$4:$L$8000,"&lt;="&amp;E$6)))/'Profit Plan'!$B$5)</f>
        <v/>
      </c>
      <c r="F397" s="122" t="str">
        <f>IF($A397="","",(IF(ISNUMBER(SEARCH("Proposal",$A397)),SUMIFS('Timesheet Raw'!$P$4:$P$8000,'Timesheet Raw'!$A$4:$A$8000,IF(ISNUMBER(SEARCH("Chargable",$A397)),"2-Proposals Chargeable","3-Proposals Regular"),'Timesheet Raw'!$C$4:$C$8000,"*"&amp;$B397&amp;"*",'Timesheet Raw'!$L$4:$L$8000,"&gt;="&amp;MAX(F$5,DATE(2000+VALUE(RIGHT(TRIM($A397),2)),1,1)),'Timesheet Raw'!$L$4:$L$8000,"&lt;="&amp;MIN(F$6,DATE(2000+VALUE(RIGHT(TRIM($A397),2)),12,31))),SUMIFS('Timesheet Raw'!$P$4:$P$8000,'Timesheet Raw'!$B$4:$B$8000,TRIM($A397),'Timesheet Raw'!$C$4:$C$8000,"*"&amp;$B397&amp;"*",'Timesheet Raw'!$L$4:$L$8000,"&gt;="&amp;F$5,'Timesheet Raw'!$L$4:$L$8000,"&lt;="&amp;F$6)))/'Profit Plan'!$B$5)</f>
        <v/>
      </c>
      <c r="G397" s="122" t="str">
        <f>IF($A397="","",(IF(ISNUMBER(SEARCH("Proposal",$A397)),SUMIFS('Timesheet Raw'!$P$4:$P$8000,'Timesheet Raw'!$A$4:$A$8000,IF(ISNUMBER(SEARCH("Chargable",$A397)),"2-Proposals Chargeable","3-Proposals Regular"),'Timesheet Raw'!$C$4:$C$8000,"*"&amp;$B397&amp;"*",'Timesheet Raw'!$L$4:$L$8000,"&gt;="&amp;MAX(G$5,DATE(2000+VALUE(RIGHT(TRIM($A397),2)),1,1)),'Timesheet Raw'!$L$4:$L$8000,"&lt;="&amp;MIN(G$6,DATE(2000+VALUE(RIGHT(TRIM($A397),2)),12,31))),SUMIFS('Timesheet Raw'!$P$4:$P$8000,'Timesheet Raw'!$B$4:$B$8000,TRIM($A397),'Timesheet Raw'!$C$4:$C$8000,"*"&amp;$B397&amp;"*",'Timesheet Raw'!$L$4:$L$8000,"&gt;="&amp;G$5,'Timesheet Raw'!$L$4:$L$8000,"&lt;="&amp;G$6)))/'Profit Plan'!$B$5)</f>
        <v/>
      </c>
      <c r="H397" s="122" t="str">
        <f>IF($A397="","",(IF(ISNUMBER(SEARCH("Proposal",$A397)),SUMIFS('Timesheet Raw'!$P$4:$P$8000,'Timesheet Raw'!$A$4:$A$8000,IF(ISNUMBER(SEARCH("Chargable",$A397)),"2-Proposals Chargeable","3-Proposals Regular"),'Timesheet Raw'!$C$4:$C$8000,"*"&amp;$B397&amp;"*",'Timesheet Raw'!$L$4:$L$8000,"&gt;="&amp;MAX(H$5,DATE(2000+VALUE(RIGHT(TRIM($A397),2)),1,1)),'Timesheet Raw'!$L$4:$L$8000,"&lt;="&amp;MIN(H$6,DATE(2000+VALUE(RIGHT(TRIM($A397),2)),12,31))),SUMIFS('Timesheet Raw'!$P$4:$P$8000,'Timesheet Raw'!$B$4:$B$8000,TRIM($A397),'Timesheet Raw'!$C$4:$C$8000,"*"&amp;$B397&amp;"*",'Timesheet Raw'!$L$4:$L$8000,"&gt;="&amp;H$5,'Timesheet Raw'!$L$4:$L$8000,"&lt;="&amp;H$6)))/'Profit Plan'!$B$5)</f>
        <v/>
      </c>
      <c r="I397" s="122" t="str">
        <f>IF($A397="","",(IF(ISNUMBER(SEARCH("Proposal",$A397)),SUMIFS('Timesheet Raw'!$P$4:$P$8000,'Timesheet Raw'!$A$4:$A$8000,IF(ISNUMBER(SEARCH("Chargable",$A397)),"2-Proposals Chargeable","3-Proposals Regular"),'Timesheet Raw'!$C$4:$C$8000,"*"&amp;$B397&amp;"*",'Timesheet Raw'!$L$4:$L$8000,"&gt;="&amp;MAX(I$5,DATE(2000+VALUE(RIGHT(TRIM($A397),2)),1,1)),'Timesheet Raw'!$L$4:$L$8000,"&lt;="&amp;MIN(I$6,DATE(2000+VALUE(RIGHT(TRIM($A397),2)),12,31))),SUMIFS('Timesheet Raw'!$P$4:$P$8000,'Timesheet Raw'!$B$4:$B$8000,TRIM($A397),'Timesheet Raw'!$C$4:$C$8000,"*"&amp;$B397&amp;"*",'Timesheet Raw'!$L$4:$L$8000,"&gt;="&amp;I$5,'Timesheet Raw'!$L$4:$L$8000,"&lt;="&amp;I$6)))/'Profit Plan'!$B$5)</f>
        <v/>
      </c>
      <c r="J397" s="122" t="str">
        <f>IF($A397="","",(IF(ISNUMBER(SEARCH("Proposal",$A397)),SUMIFS('Timesheet Raw'!$P$4:$P$8000,'Timesheet Raw'!$A$4:$A$8000,IF(ISNUMBER(SEARCH("Chargable",$A397)),"2-Proposals Chargeable","3-Proposals Regular"),'Timesheet Raw'!$C$4:$C$8000,"*"&amp;$B397&amp;"*",'Timesheet Raw'!$L$4:$L$8000,"&gt;="&amp;MAX(J$5,DATE(2000+VALUE(RIGHT(TRIM($A397),2)),1,1)),'Timesheet Raw'!$L$4:$L$8000,"&lt;="&amp;MIN(J$6,DATE(2000+VALUE(RIGHT(TRIM($A397),2)),12,31))),SUMIFS('Timesheet Raw'!$P$4:$P$8000,'Timesheet Raw'!$B$4:$B$8000,TRIM($A397),'Timesheet Raw'!$C$4:$C$8000,"*"&amp;$B397&amp;"*",'Timesheet Raw'!$L$4:$L$8000,"&gt;="&amp;J$5,'Timesheet Raw'!$L$4:$L$8000,"&lt;="&amp;J$6)))/'Profit Plan'!$B$5)</f>
        <v/>
      </c>
      <c r="K397" s="122" t="str">
        <f>IF($A397="","",(IF(ISNUMBER(SEARCH("Proposal",$A397)),SUMIFS('Timesheet Raw'!$P$4:$P$8000,'Timesheet Raw'!$A$4:$A$8000,IF(ISNUMBER(SEARCH("Chargable",$A397)),"2-Proposals Chargeable","3-Proposals Regular"),'Timesheet Raw'!$C$4:$C$8000,"*"&amp;$B397&amp;"*",'Timesheet Raw'!$L$4:$L$8000,"&gt;="&amp;MAX(K$5,DATE(2000+VALUE(RIGHT(TRIM($A397),2)),1,1)),'Timesheet Raw'!$L$4:$L$8000,"&lt;="&amp;MIN(K$6,DATE(2000+VALUE(RIGHT(TRIM($A397),2)),12,31))),SUMIFS('Timesheet Raw'!$P$4:$P$8000,'Timesheet Raw'!$B$4:$B$8000,TRIM($A397),'Timesheet Raw'!$C$4:$C$8000,"*"&amp;$B397&amp;"*",'Timesheet Raw'!$L$4:$L$8000,"&gt;="&amp;K$5,'Timesheet Raw'!$L$4:$L$8000,"&lt;="&amp;K$6)))/'Profit Plan'!$B$5)</f>
        <v/>
      </c>
      <c r="L397" s="122" t="str">
        <f>IF($A397="","",(IF(ISNUMBER(SEARCH("Proposal",$A397)),SUMIFS('Timesheet Raw'!$P$4:$P$8000,'Timesheet Raw'!$A$4:$A$8000,IF(ISNUMBER(SEARCH("Chargable",$A397)),"2-Proposals Chargeable","3-Proposals Regular"),'Timesheet Raw'!$C$4:$C$8000,"*"&amp;$B397&amp;"*",'Timesheet Raw'!$L$4:$L$8000,"&gt;="&amp;MAX(L$5,DATE(2000+VALUE(RIGHT(TRIM($A397),2)),1,1)),'Timesheet Raw'!$L$4:$L$8000,"&lt;="&amp;MIN(L$6,DATE(2000+VALUE(RIGHT(TRIM($A397),2)),12,31))),SUMIFS('Timesheet Raw'!$P$4:$P$8000,'Timesheet Raw'!$B$4:$B$8000,TRIM($A397),'Timesheet Raw'!$C$4:$C$8000,"*"&amp;$B397&amp;"*",'Timesheet Raw'!$L$4:$L$8000,"&gt;="&amp;L$5,'Timesheet Raw'!$L$4:$L$8000,"&lt;="&amp;L$6)))/'Profit Plan'!$B$5)</f>
        <v/>
      </c>
      <c r="M397" s="122" t="str">
        <f>IF($A397="","",(IF(ISNUMBER(SEARCH("Proposal",$A397)),SUMIFS('Timesheet Raw'!$P$4:$P$8000,'Timesheet Raw'!$A$4:$A$8000,IF(ISNUMBER(SEARCH("Chargable",$A397)),"2-Proposals Chargeable","3-Proposals Regular"),'Timesheet Raw'!$C$4:$C$8000,"*"&amp;$B397&amp;"*",'Timesheet Raw'!$L$4:$L$8000,"&gt;="&amp;MAX(M$5,DATE(2000+VALUE(RIGHT(TRIM($A397),2)),1,1)),'Timesheet Raw'!$L$4:$L$8000,"&lt;="&amp;MIN(M$6,DATE(2000+VALUE(RIGHT(TRIM($A397),2)),12,31))),SUMIFS('Timesheet Raw'!$P$4:$P$8000,'Timesheet Raw'!$B$4:$B$8000,TRIM($A397),'Timesheet Raw'!$C$4:$C$8000,"*"&amp;$B397&amp;"*",'Timesheet Raw'!$L$4:$L$8000,"&gt;="&amp;M$5,'Timesheet Raw'!$L$4:$L$8000,"&lt;="&amp;M$6)))/'Profit Plan'!$B$5)</f>
        <v/>
      </c>
      <c r="N397" s="122" t="str">
        <f>IF($A397="","",(IF(ISNUMBER(SEARCH("Proposal",$A397)),SUMIFS('Timesheet Raw'!$P$4:$P$8000,'Timesheet Raw'!$A$4:$A$8000,IF(ISNUMBER(SEARCH("Chargable",$A397)),"2-Proposals Chargeable","3-Proposals Regular"),'Timesheet Raw'!$C$4:$C$8000,"*"&amp;$B397&amp;"*",'Timesheet Raw'!$L$4:$L$8000,"&gt;="&amp;MAX(N$5,DATE(2000+VALUE(RIGHT(TRIM($A397),2)),1,1)),'Timesheet Raw'!$L$4:$L$8000,"&lt;="&amp;MIN(N$6,DATE(2000+VALUE(RIGHT(TRIM($A397),2)),12,31))),SUMIFS('Timesheet Raw'!$P$4:$P$8000,'Timesheet Raw'!$B$4:$B$8000,TRIM($A397),'Timesheet Raw'!$C$4:$C$8000,"*"&amp;$B397&amp;"*",'Timesheet Raw'!$L$4:$L$8000,"&gt;="&amp;N$5,'Timesheet Raw'!$L$4:$L$8000,"&lt;="&amp;N$6)))/'Profit Plan'!$B$5)</f>
        <v/>
      </c>
      <c r="O397" s="122" t="str">
        <f>IF($A397="","",(IF(ISNUMBER(SEARCH("Proposal",$A397)),SUMIFS('Timesheet Raw'!$P$4:$P$8000,'Timesheet Raw'!$A$4:$A$8000,IF(ISNUMBER(SEARCH("Chargable",$A397)),"2-Proposals Chargeable","3-Proposals Regular"),'Timesheet Raw'!$C$4:$C$8000,"*"&amp;$B397&amp;"*",'Timesheet Raw'!$L$4:$L$8000,"&gt;="&amp;MAX(O$5,DATE(2000+VALUE(RIGHT(TRIM($A397),2)),1,1)),'Timesheet Raw'!$L$4:$L$8000,"&lt;="&amp;MIN(O$6,DATE(2000+VALUE(RIGHT(TRIM($A397),2)),12,31))),SUMIFS('Timesheet Raw'!$P$4:$P$8000,'Timesheet Raw'!$B$4:$B$8000,TRIM($A397),'Timesheet Raw'!$C$4:$C$8000,"*"&amp;$B397&amp;"*",'Timesheet Raw'!$L$4:$L$8000,"&gt;="&amp;O$5,'Timesheet Raw'!$L$4:$L$8000,"&lt;="&amp;O$6)))/'Profit Plan'!$B$5)</f>
        <v/>
      </c>
      <c r="P397" s="122" t="str">
        <f>IF($A397="","",(IF(ISNUMBER(SEARCH("Proposal",$A397)),SUMIFS('Timesheet Raw'!$P$4:$P$8000,'Timesheet Raw'!$A$4:$A$8000,IF(ISNUMBER(SEARCH("Chargable",$A397)),"2-Proposals Chargeable","3-Proposals Regular"),'Timesheet Raw'!$C$4:$C$8000,"*"&amp;$B397&amp;"*",'Timesheet Raw'!$L$4:$L$8000,"&gt;="&amp;MAX(P$5,DATE(2000+VALUE(RIGHT(TRIM($A397),2)),1,1)),'Timesheet Raw'!$L$4:$L$8000,"&lt;="&amp;MIN(P$6,DATE(2000+VALUE(RIGHT(TRIM($A397),2)),12,31))),SUMIFS('Timesheet Raw'!$P$4:$P$8000,'Timesheet Raw'!$B$4:$B$8000,TRIM($A397),'Timesheet Raw'!$C$4:$C$8000,"*"&amp;$B397&amp;"*",'Timesheet Raw'!$L$4:$L$8000,"&gt;="&amp;P$5,'Timesheet Raw'!$L$4:$L$8000,"&lt;="&amp;P$6)))/'Profit Plan'!$B$5)</f>
        <v/>
      </c>
      <c r="Q397" s="122" t="str">
        <f>IF($A397="","",(IF(ISNUMBER(SEARCH("Proposal",$A397)),SUMIFS('Timesheet Raw'!$P$4:$P$8000,'Timesheet Raw'!$A$4:$A$8000,IF(ISNUMBER(SEARCH("Chargable",$A397)),"2-Proposals Chargeable","3-Proposals Regular"),'Timesheet Raw'!$C$4:$C$8000,"*"&amp;$B397&amp;"*",'Timesheet Raw'!$L$4:$L$8000,"&gt;="&amp;MAX(Q$5,DATE(2000+VALUE(RIGHT(TRIM($A397),2)),1,1)),'Timesheet Raw'!$L$4:$L$8000,"&lt;="&amp;MIN(Q$6,DATE(2000+VALUE(RIGHT(TRIM($A397),2)),12,31))),SUMIFS('Timesheet Raw'!$P$4:$P$8000,'Timesheet Raw'!$B$4:$B$8000,TRIM($A397),'Timesheet Raw'!$C$4:$C$8000,"*"&amp;$B397&amp;"*",'Timesheet Raw'!$L$4:$L$8000,"&gt;="&amp;Q$5,'Timesheet Raw'!$L$4:$L$8000,"&lt;="&amp;Q$6)))/'Profit Plan'!$B$5)</f>
        <v/>
      </c>
      <c r="R397" s="122" t="str">
        <f>IF($A397="","",(IF(ISNUMBER(SEARCH("Proposal",$A397)),SUMIFS('Timesheet Raw'!$P$4:$P$8000,'Timesheet Raw'!$A$4:$A$8000,IF(ISNUMBER(SEARCH("Chargable",$A397)),"2-Proposals Chargeable","3-Proposals Regular"),'Timesheet Raw'!$C$4:$C$8000,"*"&amp;$B397&amp;"*",'Timesheet Raw'!$L$4:$L$8000,"&gt;="&amp;MAX(R$5,DATE(2000+VALUE(RIGHT(TRIM($A397),2)),1,1)),'Timesheet Raw'!$L$4:$L$8000,"&lt;="&amp;MIN(R$6,DATE(2000+VALUE(RIGHT(TRIM($A397),2)),12,31))),SUMIFS('Timesheet Raw'!$P$4:$P$8000,'Timesheet Raw'!$B$4:$B$8000,TRIM($A397),'Timesheet Raw'!$C$4:$C$8000,"*"&amp;$B397&amp;"*",'Timesheet Raw'!$L$4:$L$8000,"&gt;="&amp;R$5,'Timesheet Raw'!$L$4:$L$8000,"&lt;="&amp;R$6)))/'Profit Plan'!$B$5)</f>
        <v/>
      </c>
      <c r="S397" s="122" t="str">
        <f>IF($A397="","",(IF(ISNUMBER(SEARCH("Proposal",$A397)),SUMIFS('Timesheet Raw'!$P$4:$P$8000,'Timesheet Raw'!$A$4:$A$8000,IF(ISNUMBER(SEARCH("Chargable",$A397)),"2-Proposals Chargeable","3-Proposals Regular"),'Timesheet Raw'!$C$4:$C$8000,"*"&amp;$B397&amp;"*",'Timesheet Raw'!$L$4:$L$8000,"&gt;="&amp;MAX(S$5,DATE(2000+VALUE(RIGHT(TRIM($A397),2)),1,1)),'Timesheet Raw'!$L$4:$L$8000,"&lt;="&amp;MIN(S$6,DATE(2000+VALUE(RIGHT(TRIM($A397),2)),12,31))),SUMIFS('Timesheet Raw'!$P$4:$P$8000,'Timesheet Raw'!$B$4:$B$8000,TRIM($A397),'Timesheet Raw'!$C$4:$C$8000,"*"&amp;$B397&amp;"*",'Timesheet Raw'!$L$4:$L$8000,"&gt;="&amp;S$5,'Timesheet Raw'!$L$4:$L$8000,"&lt;="&amp;S$6)))/'Profit Plan'!$B$5)</f>
        <v/>
      </c>
      <c r="T397" s="122" t="str">
        <f>IF($A397="","",(IF(ISNUMBER(SEARCH("Proposal",$A397)),SUMIFS('Timesheet Raw'!$P$4:$P$8000,'Timesheet Raw'!$A$4:$A$8000,IF(ISNUMBER(SEARCH("Chargable",$A397)),"2-Proposals Chargeable","3-Proposals Regular"),'Timesheet Raw'!$C$4:$C$8000,"*"&amp;$B397&amp;"*",'Timesheet Raw'!$L$4:$L$8000,"&gt;="&amp;MAX(T$5,DATE(2000+VALUE(RIGHT(TRIM($A397),2)),1,1)),'Timesheet Raw'!$L$4:$L$8000,"&lt;="&amp;MIN(T$6,DATE(2000+VALUE(RIGHT(TRIM($A397),2)),12,31))),SUMIFS('Timesheet Raw'!$P$4:$P$8000,'Timesheet Raw'!$B$4:$B$8000,TRIM($A397),'Timesheet Raw'!$C$4:$C$8000,"*"&amp;$B397&amp;"*",'Timesheet Raw'!$L$4:$L$8000,"&gt;="&amp;T$5,'Timesheet Raw'!$L$4:$L$8000,"&lt;="&amp;T$6)))/'Profit Plan'!$B$5)</f>
        <v/>
      </c>
      <c r="U397" s="122" t="str">
        <f>IF($A397="","",(IF(ISNUMBER(SEARCH("Proposal",$A397)),SUMIFS('Timesheet Raw'!$P$4:$P$8000,'Timesheet Raw'!$A$4:$A$8000,IF(ISNUMBER(SEARCH("Chargable",$A397)),"2-Proposals Chargeable","3-Proposals Regular"),'Timesheet Raw'!$C$4:$C$8000,"*"&amp;$B397&amp;"*",'Timesheet Raw'!$L$4:$L$8000,"&gt;="&amp;MAX(U$5,DATE(2000+VALUE(RIGHT(TRIM($A397),2)),1,1)),'Timesheet Raw'!$L$4:$L$8000,"&lt;="&amp;MIN(U$6,DATE(2000+VALUE(RIGHT(TRIM($A397),2)),12,31))),SUMIFS('Timesheet Raw'!$P$4:$P$8000,'Timesheet Raw'!$B$4:$B$8000,TRIM($A397),'Timesheet Raw'!$C$4:$C$8000,"*"&amp;$B397&amp;"*",'Timesheet Raw'!$L$4:$L$8000,"&gt;="&amp;U$5,'Timesheet Raw'!$L$4:$L$8000,"&lt;="&amp;U$6)))/'Profit Plan'!$B$5)</f>
        <v/>
      </c>
      <c r="V397" s="122" t="str">
        <f>IF($A397="","",(IF(ISNUMBER(SEARCH("Proposal",$A397)),SUMIFS('Timesheet Raw'!$P$4:$P$8000,'Timesheet Raw'!$A$4:$A$8000,IF(ISNUMBER(SEARCH("Chargable",$A397)),"2-Proposals Chargeable","3-Proposals Regular"),'Timesheet Raw'!$C$4:$C$8000,"*"&amp;$B397&amp;"*",'Timesheet Raw'!$L$4:$L$8000,"&gt;="&amp;MAX(V$5,DATE(2000+VALUE(RIGHT(TRIM($A397),2)),1,1)),'Timesheet Raw'!$L$4:$L$8000,"&lt;="&amp;MIN(V$6,DATE(2000+VALUE(RIGHT(TRIM($A397),2)),12,31))),SUMIFS('Timesheet Raw'!$P$4:$P$8000,'Timesheet Raw'!$B$4:$B$8000,TRIM($A397),'Timesheet Raw'!$C$4:$C$8000,"*"&amp;$B397&amp;"*",'Timesheet Raw'!$L$4:$L$8000,"&gt;="&amp;V$5,'Timesheet Raw'!$L$4:$L$8000,"&lt;="&amp;V$6)))/'Profit Plan'!$B$5)</f>
        <v/>
      </c>
      <c r="W397" s="122" t="str">
        <f>IF($A397="","",(IF(ISNUMBER(SEARCH("Proposal",$A397)),SUMIFS('Timesheet Raw'!$P$4:$P$8000,'Timesheet Raw'!$A$4:$A$8000,IF(ISNUMBER(SEARCH("Chargable",$A397)),"2-Proposals Chargeable","3-Proposals Regular"),'Timesheet Raw'!$C$4:$C$8000,"*"&amp;$B397&amp;"*",'Timesheet Raw'!$L$4:$L$8000,"&gt;="&amp;MAX(W$5,DATE(2000+VALUE(RIGHT(TRIM($A397),2)),1,1)),'Timesheet Raw'!$L$4:$L$8000,"&lt;="&amp;MIN(W$6,DATE(2000+VALUE(RIGHT(TRIM($A397),2)),12,31))),SUMIFS('Timesheet Raw'!$P$4:$P$8000,'Timesheet Raw'!$B$4:$B$8000,TRIM($A397),'Timesheet Raw'!$C$4:$C$8000,"*"&amp;$B397&amp;"*",'Timesheet Raw'!$L$4:$L$8000,"&gt;="&amp;W$5,'Timesheet Raw'!$L$4:$L$8000,"&lt;="&amp;W$6)))/'Profit Plan'!$B$5)</f>
        <v/>
      </c>
      <c r="X397" s="122" t="str">
        <f>IF($A397="","",(IF(ISNUMBER(SEARCH("Proposal",$A397)),SUMIFS('Timesheet Raw'!$P$4:$P$8000,'Timesheet Raw'!$A$4:$A$8000,IF(ISNUMBER(SEARCH("Chargable",$A397)),"2-Proposals Chargeable","3-Proposals Regular"),'Timesheet Raw'!$C$4:$C$8000,"*"&amp;$B397&amp;"*",'Timesheet Raw'!$L$4:$L$8000,"&gt;="&amp;MAX(X$5,DATE(2000+VALUE(RIGHT(TRIM($A397),2)),1,1)),'Timesheet Raw'!$L$4:$L$8000,"&lt;="&amp;MIN(X$6,DATE(2000+VALUE(RIGHT(TRIM($A397),2)),12,31))),SUMIFS('Timesheet Raw'!$P$4:$P$8000,'Timesheet Raw'!$B$4:$B$8000,TRIM($A397),'Timesheet Raw'!$C$4:$C$8000,"*"&amp;$B397&amp;"*",'Timesheet Raw'!$L$4:$L$8000,"&gt;="&amp;X$5,'Timesheet Raw'!$L$4:$L$8000,"&lt;="&amp;X$6)))/'Profit Plan'!$B$5)</f>
        <v/>
      </c>
      <c r="Y397" s="118">
        <f t="shared" si="102"/>
        <v>0</v>
      </c>
    </row>
    <row r="398" spans="1:25" x14ac:dyDescent="0.3">
      <c r="A398" s="116" t="str">
        <f>IF(Inputs!$A50="","",Inputs!$A50)</f>
        <v/>
      </c>
      <c r="B398" s="116" t="str">
        <f>IF(Inputs!$A50="","",Inputs!$A$92)</f>
        <v/>
      </c>
      <c r="C398" s="116"/>
      <c r="D398" s="122" t="str">
        <f>IF($A398="","",(IF(ISNUMBER(SEARCH("Proposal",$A398)),SUMIFS('Timesheet Raw'!$P$4:$P$8000,'Timesheet Raw'!$A$4:$A$8000,IF(ISNUMBER(SEARCH("Chargable",$A398)),"2-Proposals Chargeable","3-Proposals Regular"),'Timesheet Raw'!$C$4:$C$8000,"*"&amp;$B398&amp;"*",'Timesheet Raw'!$L$4:$L$8000,"&gt;="&amp;MAX(D$5,DATE(2000+VALUE(RIGHT(TRIM($A398),2)),1,1)),'Timesheet Raw'!$L$4:$L$8000,"&lt;="&amp;MIN(D$6,DATE(2000+VALUE(RIGHT(TRIM($A398),2)),12,31))),SUMIFS('Timesheet Raw'!$P$4:$P$8000,'Timesheet Raw'!$B$4:$B$8000,TRIM($A398),'Timesheet Raw'!$C$4:$C$8000,"*"&amp;$B398&amp;"*",'Timesheet Raw'!$L$4:$L$8000,"&gt;="&amp;D$5,'Timesheet Raw'!$L$4:$L$8000,"&lt;="&amp;D$6)))/'Profit Plan'!$B$5)</f>
        <v/>
      </c>
      <c r="E398" s="122" t="str">
        <f>IF($A398="","",(IF(ISNUMBER(SEARCH("Proposal",$A398)),SUMIFS('Timesheet Raw'!$P$4:$P$8000,'Timesheet Raw'!$A$4:$A$8000,IF(ISNUMBER(SEARCH("Chargable",$A398)),"2-Proposals Chargeable","3-Proposals Regular"),'Timesheet Raw'!$C$4:$C$8000,"*"&amp;$B398&amp;"*",'Timesheet Raw'!$L$4:$L$8000,"&gt;="&amp;MAX(E$5,DATE(2000+VALUE(RIGHT(TRIM($A398),2)),1,1)),'Timesheet Raw'!$L$4:$L$8000,"&lt;="&amp;MIN(E$6,DATE(2000+VALUE(RIGHT(TRIM($A398),2)),12,31))),SUMIFS('Timesheet Raw'!$P$4:$P$8000,'Timesheet Raw'!$B$4:$B$8000,TRIM($A398),'Timesheet Raw'!$C$4:$C$8000,"*"&amp;$B398&amp;"*",'Timesheet Raw'!$L$4:$L$8000,"&gt;="&amp;E$5,'Timesheet Raw'!$L$4:$L$8000,"&lt;="&amp;E$6)))/'Profit Plan'!$B$5)</f>
        <v/>
      </c>
      <c r="F398" s="122" t="str">
        <f>IF($A398="","",(IF(ISNUMBER(SEARCH("Proposal",$A398)),SUMIFS('Timesheet Raw'!$P$4:$P$8000,'Timesheet Raw'!$A$4:$A$8000,IF(ISNUMBER(SEARCH("Chargable",$A398)),"2-Proposals Chargeable","3-Proposals Regular"),'Timesheet Raw'!$C$4:$C$8000,"*"&amp;$B398&amp;"*",'Timesheet Raw'!$L$4:$L$8000,"&gt;="&amp;MAX(F$5,DATE(2000+VALUE(RIGHT(TRIM($A398),2)),1,1)),'Timesheet Raw'!$L$4:$L$8000,"&lt;="&amp;MIN(F$6,DATE(2000+VALUE(RIGHT(TRIM($A398),2)),12,31))),SUMIFS('Timesheet Raw'!$P$4:$P$8000,'Timesheet Raw'!$B$4:$B$8000,TRIM($A398),'Timesheet Raw'!$C$4:$C$8000,"*"&amp;$B398&amp;"*",'Timesheet Raw'!$L$4:$L$8000,"&gt;="&amp;F$5,'Timesheet Raw'!$L$4:$L$8000,"&lt;="&amp;F$6)))/'Profit Plan'!$B$5)</f>
        <v/>
      </c>
      <c r="G398" s="122" t="str">
        <f>IF($A398="","",(IF(ISNUMBER(SEARCH("Proposal",$A398)),SUMIFS('Timesheet Raw'!$P$4:$P$8000,'Timesheet Raw'!$A$4:$A$8000,IF(ISNUMBER(SEARCH("Chargable",$A398)),"2-Proposals Chargeable","3-Proposals Regular"),'Timesheet Raw'!$C$4:$C$8000,"*"&amp;$B398&amp;"*",'Timesheet Raw'!$L$4:$L$8000,"&gt;="&amp;MAX(G$5,DATE(2000+VALUE(RIGHT(TRIM($A398),2)),1,1)),'Timesheet Raw'!$L$4:$L$8000,"&lt;="&amp;MIN(G$6,DATE(2000+VALUE(RIGHT(TRIM($A398),2)),12,31))),SUMIFS('Timesheet Raw'!$P$4:$P$8000,'Timesheet Raw'!$B$4:$B$8000,TRIM($A398),'Timesheet Raw'!$C$4:$C$8000,"*"&amp;$B398&amp;"*",'Timesheet Raw'!$L$4:$L$8000,"&gt;="&amp;G$5,'Timesheet Raw'!$L$4:$L$8000,"&lt;="&amp;G$6)))/'Profit Plan'!$B$5)</f>
        <v/>
      </c>
      <c r="H398" s="122" t="str">
        <f>IF($A398="","",(IF(ISNUMBER(SEARCH("Proposal",$A398)),SUMIFS('Timesheet Raw'!$P$4:$P$8000,'Timesheet Raw'!$A$4:$A$8000,IF(ISNUMBER(SEARCH("Chargable",$A398)),"2-Proposals Chargeable","3-Proposals Regular"),'Timesheet Raw'!$C$4:$C$8000,"*"&amp;$B398&amp;"*",'Timesheet Raw'!$L$4:$L$8000,"&gt;="&amp;MAX(H$5,DATE(2000+VALUE(RIGHT(TRIM($A398),2)),1,1)),'Timesheet Raw'!$L$4:$L$8000,"&lt;="&amp;MIN(H$6,DATE(2000+VALUE(RIGHT(TRIM($A398),2)),12,31))),SUMIFS('Timesheet Raw'!$P$4:$P$8000,'Timesheet Raw'!$B$4:$B$8000,TRIM($A398),'Timesheet Raw'!$C$4:$C$8000,"*"&amp;$B398&amp;"*",'Timesheet Raw'!$L$4:$L$8000,"&gt;="&amp;H$5,'Timesheet Raw'!$L$4:$L$8000,"&lt;="&amp;H$6)))/'Profit Plan'!$B$5)</f>
        <v/>
      </c>
      <c r="I398" s="122" t="str">
        <f>IF($A398="","",(IF(ISNUMBER(SEARCH("Proposal",$A398)),SUMIFS('Timesheet Raw'!$P$4:$P$8000,'Timesheet Raw'!$A$4:$A$8000,IF(ISNUMBER(SEARCH("Chargable",$A398)),"2-Proposals Chargeable","3-Proposals Regular"),'Timesheet Raw'!$C$4:$C$8000,"*"&amp;$B398&amp;"*",'Timesheet Raw'!$L$4:$L$8000,"&gt;="&amp;MAX(I$5,DATE(2000+VALUE(RIGHT(TRIM($A398),2)),1,1)),'Timesheet Raw'!$L$4:$L$8000,"&lt;="&amp;MIN(I$6,DATE(2000+VALUE(RIGHT(TRIM($A398),2)),12,31))),SUMIFS('Timesheet Raw'!$P$4:$P$8000,'Timesheet Raw'!$B$4:$B$8000,TRIM($A398),'Timesheet Raw'!$C$4:$C$8000,"*"&amp;$B398&amp;"*",'Timesheet Raw'!$L$4:$L$8000,"&gt;="&amp;I$5,'Timesheet Raw'!$L$4:$L$8000,"&lt;="&amp;I$6)))/'Profit Plan'!$B$5)</f>
        <v/>
      </c>
      <c r="J398" s="122" t="str">
        <f>IF($A398="","",(IF(ISNUMBER(SEARCH("Proposal",$A398)),SUMIFS('Timesheet Raw'!$P$4:$P$8000,'Timesheet Raw'!$A$4:$A$8000,IF(ISNUMBER(SEARCH("Chargable",$A398)),"2-Proposals Chargeable","3-Proposals Regular"),'Timesheet Raw'!$C$4:$C$8000,"*"&amp;$B398&amp;"*",'Timesheet Raw'!$L$4:$L$8000,"&gt;="&amp;MAX(J$5,DATE(2000+VALUE(RIGHT(TRIM($A398),2)),1,1)),'Timesheet Raw'!$L$4:$L$8000,"&lt;="&amp;MIN(J$6,DATE(2000+VALUE(RIGHT(TRIM($A398),2)),12,31))),SUMIFS('Timesheet Raw'!$P$4:$P$8000,'Timesheet Raw'!$B$4:$B$8000,TRIM($A398),'Timesheet Raw'!$C$4:$C$8000,"*"&amp;$B398&amp;"*",'Timesheet Raw'!$L$4:$L$8000,"&gt;="&amp;J$5,'Timesheet Raw'!$L$4:$L$8000,"&lt;="&amp;J$6)))/'Profit Plan'!$B$5)</f>
        <v/>
      </c>
      <c r="K398" s="122" t="str">
        <f>IF($A398="","",(IF(ISNUMBER(SEARCH("Proposal",$A398)),SUMIFS('Timesheet Raw'!$P$4:$P$8000,'Timesheet Raw'!$A$4:$A$8000,IF(ISNUMBER(SEARCH("Chargable",$A398)),"2-Proposals Chargeable","3-Proposals Regular"),'Timesheet Raw'!$C$4:$C$8000,"*"&amp;$B398&amp;"*",'Timesheet Raw'!$L$4:$L$8000,"&gt;="&amp;MAX(K$5,DATE(2000+VALUE(RIGHT(TRIM($A398),2)),1,1)),'Timesheet Raw'!$L$4:$L$8000,"&lt;="&amp;MIN(K$6,DATE(2000+VALUE(RIGHT(TRIM($A398),2)),12,31))),SUMIFS('Timesheet Raw'!$P$4:$P$8000,'Timesheet Raw'!$B$4:$B$8000,TRIM($A398),'Timesheet Raw'!$C$4:$C$8000,"*"&amp;$B398&amp;"*",'Timesheet Raw'!$L$4:$L$8000,"&gt;="&amp;K$5,'Timesheet Raw'!$L$4:$L$8000,"&lt;="&amp;K$6)))/'Profit Plan'!$B$5)</f>
        <v/>
      </c>
      <c r="L398" s="122" t="str">
        <f>IF($A398="","",(IF(ISNUMBER(SEARCH("Proposal",$A398)),SUMIFS('Timesheet Raw'!$P$4:$P$8000,'Timesheet Raw'!$A$4:$A$8000,IF(ISNUMBER(SEARCH("Chargable",$A398)),"2-Proposals Chargeable","3-Proposals Regular"),'Timesheet Raw'!$C$4:$C$8000,"*"&amp;$B398&amp;"*",'Timesheet Raw'!$L$4:$L$8000,"&gt;="&amp;MAX(L$5,DATE(2000+VALUE(RIGHT(TRIM($A398),2)),1,1)),'Timesheet Raw'!$L$4:$L$8000,"&lt;="&amp;MIN(L$6,DATE(2000+VALUE(RIGHT(TRIM($A398),2)),12,31))),SUMIFS('Timesheet Raw'!$P$4:$P$8000,'Timesheet Raw'!$B$4:$B$8000,TRIM($A398),'Timesheet Raw'!$C$4:$C$8000,"*"&amp;$B398&amp;"*",'Timesheet Raw'!$L$4:$L$8000,"&gt;="&amp;L$5,'Timesheet Raw'!$L$4:$L$8000,"&lt;="&amp;L$6)))/'Profit Plan'!$B$5)</f>
        <v/>
      </c>
      <c r="M398" s="122" t="str">
        <f>IF($A398="","",(IF(ISNUMBER(SEARCH("Proposal",$A398)),SUMIFS('Timesheet Raw'!$P$4:$P$8000,'Timesheet Raw'!$A$4:$A$8000,IF(ISNUMBER(SEARCH("Chargable",$A398)),"2-Proposals Chargeable","3-Proposals Regular"),'Timesheet Raw'!$C$4:$C$8000,"*"&amp;$B398&amp;"*",'Timesheet Raw'!$L$4:$L$8000,"&gt;="&amp;MAX(M$5,DATE(2000+VALUE(RIGHT(TRIM($A398),2)),1,1)),'Timesheet Raw'!$L$4:$L$8000,"&lt;="&amp;MIN(M$6,DATE(2000+VALUE(RIGHT(TRIM($A398),2)),12,31))),SUMIFS('Timesheet Raw'!$P$4:$P$8000,'Timesheet Raw'!$B$4:$B$8000,TRIM($A398),'Timesheet Raw'!$C$4:$C$8000,"*"&amp;$B398&amp;"*",'Timesheet Raw'!$L$4:$L$8000,"&gt;="&amp;M$5,'Timesheet Raw'!$L$4:$L$8000,"&lt;="&amp;M$6)))/'Profit Plan'!$B$5)</f>
        <v/>
      </c>
      <c r="N398" s="122" t="str">
        <f>IF($A398="","",(IF(ISNUMBER(SEARCH("Proposal",$A398)),SUMIFS('Timesheet Raw'!$P$4:$P$8000,'Timesheet Raw'!$A$4:$A$8000,IF(ISNUMBER(SEARCH("Chargable",$A398)),"2-Proposals Chargeable","3-Proposals Regular"),'Timesheet Raw'!$C$4:$C$8000,"*"&amp;$B398&amp;"*",'Timesheet Raw'!$L$4:$L$8000,"&gt;="&amp;MAX(N$5,DATE(2000+VALUE(RIGHT(TRIM($A398),2)),1,1)),'Timesheet Raw'!$L$4:$L$8000,"&lt;="&amp;MIN(N$6,DATE(2000+VALUE(RIGHT(TRIM($A398),2)),12,31))),SUMIFS('Timesheet Raw'!$P$4:$P$8000,'Timesheet Raw'!$B$4:$B$8000,TRIM($A398),'Timesheet Raw'!$C$4:$C$8000,"*"&amp;$B398&amp;"*",'Timesheet Raw'!$L$4:$L$8000,"&gt;="&amp;N$5,'Timesheet Raw'!$L$4:$L$8000,"&lt;="&amp;N$6)))/'Profit Plan'!$B$5)</f>
        <v/>
      </c>
      <c r="O398" s="122" t="str">
        <f>IF($A398="","",(IF(ISNUMBER(SEARCH("Proposal",$A398)),SUMIFS('Timesheet Raw'!$P$4:$P$8000,'Timesheet Raw'!$A$4:$A$8000,IF(ISNUMBER(SEARCH("Chargable",$A398)),"2-Proposals Chargeable","3-Proposals Regular"),'Timesheet Raw'!$C$4:$C$8000,"*"&amp;$B398&amp;"*",'Timesheet Raw'!$L$4:$L$8000,"&gt;="&amp;MAX(O$5,DATE(2000+VALUE(RIGHT(TRIM($A398),2)),1,1)),'Timesheet Raw'!$L$4:$L$8000,"&lt;="&amp;MIN(O$6,DATE(2000+VALUE(RIGHT(TRIM($A398),2)),12,31))),SUMIFS('Timesheet Raw'!$P$4:$P$8000,'Timesheet Raw'!$B$4:$B$8000,TRIM($A398),'Timesheet Raw'!$C$4:$C$8000,"*"&amp;$B398&amp;"*",'Timesheet Raw'!$L$4:$L$8000,"&gt;="&amp;O$5,'Timesheet Raw'!$L$4:$L$8000,"&lt;="&amp;O$6)))/'Profit Plan'!$B$5)</f>
        <v/>
      </c>
      <c r="P398" s="122" t="str">
        <f>IF($A398="","",(IF(ISNUMBER(SEARCH("Proposal",$A398)),SUMIFS('Timesheet Raw'!$P$4:$P$8000,'Timesheet Raw'!$A$4:$A$8000,IF(ISNUMBER(SEARCH("Chargable",$A398)),"2-Proposals Chargeable","3-Proposals Regular"),'Timesheet Raw'!$C$4:$C$8000,"*"&amp;$B398&amp;"*",'Timesheet Raw'!$L$4:$L$8000,"&gt;="&amp;MAX(P$5,DATE(2000+VALUE(RIGHT(TRIM($A398),2)),1,1)),'Timesheet Raw'!$L$4:$L$8000,"&lt;="&amp;MIN(P$6,DATE(2000+VALUE(RIGHT(TRIM($A398),2)),12,31))),SUMIFS('Timesheet Raw'!$P$4:$P$8000,'Timesheet Raw'!$B$4:$B$8000,TRIM($A398),'Timesheet Raw'!$C$4:$C$8000,"*"&amp;$B398&amp;"*",'Timesheet Raw'!$L$4:$L$8000,"&gt;="&amp;P$5,'Timesheet Raw'!$L$4:$L$8000,"&lt;="&amp;P$6)))/'Profit Plan'!$B$5)</f>
        <v/>
      </c>
      <c r="Q398" s="122" t="str">
        <f>IF($A398="","",(IF(ISNUMBER(SEARCH("Proposal",$A398)),SUMIFS('Timesheet Raw'!$P$4:$P$8000,'Timesheet Raw'!$A$4:$A$8000,IF(ISNUMBER(SEARCH("Chargable",$A398)),"2-Proposals Chargeable","3-Proposals Regular"),'Timesheet Raw'!$C$4:$C$8000,"*"&amp;$B398&amp;"*",'Timesheet Raw'!$L$4:$L$8000,"&gt;="&amp;MAX(Q$5,DATE(2000+VALUE(RIGHT(TRIM($A398),2)),1,1)),'Timesheet Raw'!$L$4:$L$8000,"&lt;="&amp;MIN(Q$6,DATE(2000+VALUE(RIGHT(TRIM($A398),2)),12,31))),SUMIFS('Timesheet Raw'!$P$4:$P$8000,'Timesheet Raw'!$B$4:$B$8000,TRIM($A398),'Timesheet Raw'!$C$4:$C$8000,"*"&amp;$B398&amp;"*",'Timesheet Raw'!$L$4:$L$8000,"&gt;="&amp;Q$5,'Timesheet Raw'!$L$4:$L$8000,"&lt;="&amp;Q$6)))/'Profit Plan'!$B$5)</f>
        <v/>
      </c>
      <c r="R398" s="122" t="str">
        <f>IF($A398="","",(IF(ISNUMBER(SEARCH("Proposal",$A398)),SUMIFS('Timesheet Raw'!$P$4:$P$8000,'Timesheet Raw'!$A$4:$A$8000,IF(ISNUMBER(SEARCH("Chargable",$A398)),"2-Proposals Chargeable","3-Proposals Regular"),'Timesheet Raw'!$C$4:$C$8000,"*"&amp;$B398&amp;"*",'Timesheet Raw'!$L$4:$L$8000,"&gt;="&amp;MAX(R$5,DATE(2000+VALUE(RIGHT(TRIM($A398),2)),1,1)),'Timesheet Raw'!$L$4:$L$8000,"&lt;="&amp;MIN(R$6,DATE(2000+VALUE(RIGHT(TRIM($A398),2)),12,31))),SUMIFS('Timesheet Raw'!$P$4:$P$8000,'Timesheet Raw'!$B$4:$B$8000,TRIM($A398),'Timesheet Raw'!$C$4:$C$8000,"*"&amp;$B398&amp;"*",'Timesheet Raw'!$L$4:$L$8000,"&gt;="&amp;R$5,'Timesheet Raw'!$L$4:$L$8000,"&lt;="&amp;R$6)))/'Profit Plan'!$B$5)</f>
        <v/>
      </c>
      <c r="S398" s="122" t="str">
        <f>IF($A398="","",(IF(ISNUMBER(SEARCH("Proposal",$A398)),SUMIFS('Timesheet Raw'!$P$4:$P$8000,'Timesheet Raw'!$A$4:$A$8000,IF(ISNUMBER(SEARCH("Chargable",$A398)),"2-Proposals Chargeable","3-Proposals Regular"),'Timesheet Raw'!$C$4:$C$8000,"*"&amp;$B398&amp;"*",'Timesheet Raw'!$L$4:$L$8000,"&gt;="&amp;MAX(S$5,DATE(2000+VALUE(RIGHT(TRIM($A398),2)),1,1)),'Timesheet Raw'!$L$4:$L$8000,"&lt;="&amp;MIN(S$6,DATE(2000+VALUE(RIGHT(TRIM($A398),2)),12,31))),SUMIFS('Timesheet Raw'!$P$4:$P$8000,'Timesheet Raw'!$B$4:$B$8000,TRIM($A398),'Timesheet Raw'!$C$4:$C$8000,"*"&amp;$B398&amp;"*",'Timesheet Raw'!$L$4:$L$8000,"&gt;="&amp;S$5,'Timesheet Raw'!$L$4:$L$8000,"&lt;="&amp;S$6)))/'Profit Plan'!$B$5)</f>
        <v/>
      </c>
      <c r="T398" s="122" t="str">
        <f>IF($A398="","",(IF(ISNUMBER(SEARCH("Proposal",$A398)),SUMIFS('Timesheet Raw'!$P$4:$P$8000,'Timesheet Raw'!$A$4:$A$8000,IF(ISNUMBER(SEARCH("Chargable",$A398)),"2-Proposals Chargeable","3-Proposals Regular"),'Timesheet Raw'!$C$4:$C$8000,"*"&amp;$B398&amp;"*",'Timesheet Raw'!$L$4:$L$8000,"&gt;="&amp;MAX(T$5,DATE(2000+VALUE(RIGHT(TRIM($A398),2)),1,1)),'Timesheet Raw'!$L$4:$L$8000,"&lt;="&amp;MIN(T$6,DATE(2000+VALUE(RIGHT(TRIM($A398),2)),12,31))),SUMIFS('Timesheet Raw'!$P$4:$P$8000,'Timesheet Raw'!$B$4:$B$8000,TRIM($A398),'Timesheet Raw'!$C$4:$C$8000,"*"&amp;$B398&amp;"*",'Timesheet Raw'!$L$4:$L$8000,"&gt;="&amp;T$5,'Timesheet Raw'!$L$4:$L$8000,"&lt;="&amp;T$6)))/'Profit Plan'!$B$5)</f>
        <v/>
      </c>
      <c r="U398" s="122" t="str">
        <f>IF($A398="","",(IF(ISNUMBER(SEARCH("Proposal",$A398)),SUMIFS('Timesheet Raw'!$P$4:$P$8000,'Timesheet Raw'!$A$4:$A$8000,IF(ISNUMBER(SEARCH("Chargable",$A398)),"2-Proposals Chargeable","3-Proposals Regular"),'Timesheet Raw'!$C$4:$C$8000,"*"&amp;$B398&amp;"*",'Timesheet Raw'!$L$4:$L$8000,"&gt;="&amp;MAX(U$5,DATE(2000+VALUE(RIGHT(TRIM($A398),2)),1,1)),'Timesheet Raw'!$L$4:$L$8000,"&lt;="&amp;MIN(U$6,DATE(2000+VALUE(RIGHT(TRIM($A398),2)),12,31))),SUMIFS('Timesheet Raw'!$P$4:$P$8000,'Timesheet Raw'!$B$4:$B$8000,TRIM($A398),'Timesheet Raw'!$C$4:$C$8000,"*"&amp;$B398&amp;"*",'Timesheet Raw'!$L$4:$L$8000,"&gt;="&amp;U$5,'Timesheet Raw'!$L$4:$L$8000,"&lt;="&amp;U$6)))/'Profit Plan'!$B$5)</f>
        <v/>
      </c>
      <c r="V398" s="122" t="str">
        <f>IF($A398="","",(IF(ISNUMBER(SEARCH("Proposal",$A398)),SUMIFS('Timesheet Raw'!$P$4:$P$8000,'Timesheet Raw'!$A$4:$A$8000,IF(ISNUMBER(SEARCH("Chargable",$A398)),"2-Proposals Chargeable","3-Proposals Regular"),'Timesheet Raw'!$C$4:$C$8000,"*"&amp;$B398&amp;"*",'Timesheet Raw'!$L$4:$L$8000,"&gt;="&amp;MAX(V$5,DATE(2000+VALUE(RIGHT(TRIM($A398),2)),1,1)),'Timesheet Raw'!$L$4:$L$8000,"&lt;="&amp;MIN(V$6,DATE(2000+VALUE(RIGHT(TRIM($A398),2)),12,31))),SUMIFS('Timesheet Raw'!$P$4:$P$8000,'Timesheet Raw'!$B$4:$B$8000,TRIM($A398),'Timesheet Raw'!$C$4:$C$8000,"*"&amp;$B398&amp;"*",'Timesheet Raw'!$L$4:$L$8000,"&gt;="&amp;V$5,'Timesheet Raw'!$L$4:$L$8000,"&lt;="&amp;V$6)))/'Profit Plan'!$B$5)</f>
        <v/>
      </c>
      <c r="W398" s="122" t="str">
        <f>IF($A398="","",(IF(ISNUMBER(SEARCH("Proposal",$A398)),SUMIFS('Timesheet Raw'!$P$4:$P$8000,'Timesheet Raw'!$A$4:$A$8000,IF(ISNUMBER(SEARCH("Chargable",$A398)),"2-Proposals Chargeable","3-Proposals Regular"),'Timesheet Raw'!$C$4:$C$8000,"*"&amp;$B398&amp;"*",'Timesheet Raw'!$L$4:$L$8000,"&gt;="&amp;MAX(W$5,DATE(2000+VALUE(RIGHT(TRIM($A398),2)),1,1)),'Timesheet Raw'!$L$4:$L$8000,"&lt;="&amp;MIN(W$6,DATE(2000+VALUE(RIGHT(TRIM($A398),2)),12,31))),SUMIFS('Timesheet Raw'!$P$4:$P$8000,'Timesheet Raw'!$B$4:$B$8000,TRIM($A398),'Timesheet Raw'!$C$4:$C$8000,"*"&amp;$B398&amp;"*",'Timesheet Raw'!$L$4:$L$8000,"&gt;="&amp;W$5,'Timesheet Raw'!$L$4:$L$8000,"&lt;="&amp;W$6)))/'Profit Plan'!$B$5)</f>
        <v/>
      </c>
      <c r="X398" s="122" t="str">
        <f>IF($A398="","",(IF(ISNUMBER(SEARCH("Proposal",$A398)),SUMIFS('Timesheet Raw'!$P$4:$P$8000,'Timesheet Raw'!$A$4:$A$8000,IF(ISNUMBER(SEARCH("Chargable",$A398)),"2-Proposals Chargeable","3-Proposals Regular"),'Timesheet Raw'!$C$4:$C$8000,"*"&amp;$B398&amp;"*",'Timesheet Raw'!$L$4:$L$8000,"&gt;="&amp;MAX(X$5,DATE(2000+VALUE(RIGHT(TRIM($A398),2)),1,1)),'Timesheet Raw'!$L$4:$L$8000,"&lt;="&amp;MIN(X$6,DATE(2000+VALUE(RIGHT(TRIM($A398),2)),12,31))),SUMIFS('Timesheet Raw'!$P$4:$P$8000,'Timesheet Raw'!$B$4:$B$8000,TRIM($A398),'Timesheet Raw'!$C$4:$C$8000,"*"&amp;$B398&amp;"*",'Timesheet Raw'!$L$4:$L$8000,"&gt;="&amp;X$5,'Timesheet Raw'!$L$4:$L$8000,"&lt;="&amp;X$6)))/'Profit Plan'!$B$5)</f>
        <v/>
      </c>
      <c r="Y398" s="118">
        <f t="shared" si="102"/>
        <v>0</v>
      </c>
    </row>
    <row r="399" spans="1:25" x14ac:dyDescent="0.3">
      <c r="A399" s="116" t="str">
        <f>IF(Inputs!$A50="","",Inputs!$A50)</f>
        <v/>
      </c>
      <c r="B399" s="116" t="str">
        <f>IF(Inputs!$A50="","",Inputs!$A$93)</f>
        <v/>
      </c>
      <c r="C399" s="116"/>
      <c r="D399" s="122" t="str">
        <f>IF($A399="","",(IF(ISNUMBER(SEARCH("Proposal",$A399)),SUMIFS('Timesheet Raw'!$P$4:$P$8000,'Timesheet Raw'!$A$4:$A$8000,IF(ISNUMBER(SEARCH("Chargable",$A399)),"2-Proposals Chargeable","3-Proposals Regular"),'Timesheet Raw'!$C$4:$C$8000,"*"&amp;$B399&amp;"*",'Timesheet Raw'!$L$4:$L$8000,"&gt;="&amp;MAX(D$5,DATE(2000+VALUE(RIGHT(TRIM($A399),2)),1,1)),'Timesheet Raw'!$L$4:$L$8000,"&lt;="&amp;MIN(D$6,DATE(2000+VALUE(RIGHT(TRIM($A399),2)),12,31))),SUMIFS('Timesheet Raw'!$P$4:$P$8000,'Timesheet Raw'!$B$4:$B$8000,TRIM($A399),'Timesheet Raw'!$C$4:$C$8000,"*"&amp;$B399&amp;"*",'Timesheet Raw'!$L$4:$L$8000,"&gt;="&amp;D$5,'Timesheet Raw'!$L$4:$L$8000,"&lt;="&amp;D$6)))/'Profit Plan'!$B$5)</f>
        <v/>
      </c>
      <c r="E399" s="122" t="str">
        <f>IF($A399="","",(IF(ISNUMBER(SEARCH("Proposal",$A399)),SUMIFS('Timesheet Raw'!$P$4:$P$8000,'Timesheet Raw'!$A$4:$A$8000,IF(ISNUMBER(SEARCH("Chargable",$A399)),"2-Proposals Chargeable","3-Proposals Regular"),'Timesheet Raw'!$C$4:$C$8000,"*"&amp;$B399&amp;"*",'Timesheet Raw'!$L$4:$L$8000,"&gt;="&amp;MAX(E$5,DATE(2000+VALUE(RIGHT(TRIM($A399),2)),1,1)),'Timesheet Raw'!$L$4:$L$8000,"&lt;="&amp;MIN(E$6,DATE(2000+VALUE(RIGHT(TRIM($A399),2)),12,31))),SUMIFS('Timesheet Raw'!$P$4:$P$8000,'Timesheet Raw'!$B$4:$B$8000,TRIM($A399),'Timesheet Raw'!$C$4:$C$8000,"*"&amp;$B399&amp;"*",'Timesheet Raw'!$L$4:$L$8000,"&gt;="&amp;E$5,'Timesheet Raw'!$L$4:$L$8000,"&lt;="&amp;E$6)))/'Profit Plan'!$B$5)</f>
        <v/>
      </c>
      <c r="F399" s="122" t="str">
        <f>IF($A399="","",(IF(ISNUMBER(SEARCH("Proposal",$A399)),SUMIFS('Timesheet Raw'!$P$4:$P$8000,'Timesheet Raw'!$A$4:$A$8000,IF(ISNUMBER(SEARCH("Chargable",$A399)),"2-Proposals Chargeable","3-Proposals Regular"),'Timesheet Raw'!$C$4:$C$8000,"*"&amp;$B399&amp;"*",'Timesheet Raw'!$L$4:$L$8000,"&gt;="&amp;MAX(F$5,DATE(2000+VALUE(RIGHT(TRIM($A399),2)),1,1)),'Timesheet Raw'!$L$4:$L$8000,"&lt;="&amp;MIN(F$6,DATE(2000+VALUE(RIGHT(TRIM($A399),2)),12,31))),SUMIFS('Timesheet Raw'!$P$4:$P$8000,'Timesheet Raw'!$B$4:$B$8000,TRIM($A399),'Timesheet Raw'!$C$4:$C$8000,"*"&amp;$B399&amp;"*",'Timesheet Raw'!$L$4:$L$8000,"&gt;="&amp;F$5,'Timesheet Raw'!$L$4:$L$8000,"&lt;="&amp;F$6)))/'Profit Plan'!$B$5)</f>
        <v/>
      </c>
      <c r="G399" s="122" t="str">
        <f>IF($A399="","",(IF(ISNUMBER(SEARCH("Proposal",$A399)),SUMIFS('Timesheet Raw'!$P$4:$P$8000,'Timesheet Raw'!$A$4:$A$8000,IF(ISNUMBER(SEARCH("Chargable",$A399)),"2-Proposals Chargeable","3-Proposals Regular"),'Timesheet Raw'!$C$4:$C$8000,"*"&amp;$B399&amp;"*",'Timesheet Raw'!$L$4:$L$8000,"&gt;="&amp;MAX(G$5,DATE(2000+VALUE(RIGHT(TRIM($A399),2)),1,1)),'Timesheet Raw'!$L$4:$L$8000,"&lt;="&amp;MIN(G$6,DATE(2000+VALUE(RIGHT(TRIM($A399),2)),12,31))),SUMIFS('Timesheet Raw'!$P$4:$P$8000,'Timesheet Raw'!$B$4:$B$8000,TRIM($A399),'Timesheet Raw'!$C$4:$C$8000,"*"&amp;$B399&amp;"*",'Timesheet Raw'!$L$4:$L$8000,"&gt;="&amp;G$5,'Timesheet Raw'!$L$4:$L$8000,"&lt;="&amp;G$6)))/'Profit Plan'!$B$5)</f>
        <v/>
      </c>
      <c r="H399" s="122" t="str">
        <f>IF($A399="","",(IF(ISNUMBER(SEARCH("Proposal",$A399)),SUMIFS('Timesheet Raw'!$P$4:$P$8000,'Timesheet Raw'!$A$4:$A$8000,IF(ISNUMBER(SEARCH("Chargable",$A399)),"2-Proposals Chargeable","3-Proposals Regular"),'Timesheet Raw'!$C$4:$C$8000,"*"&amp;$B399&amp;"*",'Timesheet Raw'!$L$4:$L$8000,"&gt;="&amp;MAX(H$5,DATE(2000+VALUE(RIGHT(TRIM($A399),2)),1,1)),'Timesheet Raw'!$L$4:$L$8000,"&lt;="&amp;MIN(H$6,DATE(2000+VALUE(RIGHT(TRIM($A399),2)),12,31))),SUMIFS('Timesheet Raw'!$P$4:$P$8000,'Timesheet Raw'!$B$4:$B$8000,TRIM($A399),'Timesheet Raw'!$C$4:$C$8000,"*"&amp;$B399&amp;"*",'Timesheet Raw'!$L$4:$L$8000,"&gt;="&amp;H$5,'Timesheet Raw'!$L$4:$L$8000,"&lt;="&amp;H$6)))/'Profit Plan'!$B$5)</f>
        <v/>
      </c>
      <c r="I399" s="122" t="str">
        <f>IF($A399="","",(IF(ISNUMBER(SEARCH("Proposal",$A399)),SUMIFS('Timesheet Raw'!$P$4:$P$8000,'Timesheet Raw'!$A$4:$A$8000,IF(ISNUMBER(SEARCH("Chargable",$A399)),"2-Proposals Chargeable","3-Proposals Regular"),'Timesheet Raw'!$C$4:$C$8000,"*"&amp;$B399&amp;"*",'Timesheet Raw'!$L$4:$L$8000,"&gt;="&amp;MAX(I$5,DATE(2000+VALUE(RIGHT(TRIM($A399),2)),1,1)),'Timesheet Raw'!$L$4:$L$8000,"&lt;="&amp;MIN(I$6,DATE(2000+VALUE(RIGHT(TRIM($A399),2)),12,31))),SUMIFS('Timesheet Raw'!$P$4:$P$8000,'Timesheet Raw'!$B$4:$B$8000,TRIM($A399),'Timesheet Raw'!$C$4:$C$8000,"*"&amp;$B399&amp;"*",'Timesheet Raw'!$L$4:$L$8000,"&gt;="&amp;I$5,'Timesheet Raw'!$L$4:$L$8000,"&lt;="&amp;I$6)))/'Profit Plan'!$B$5)</f>
        <v/>
      </c>
      <c r="J399" s="122" t="str">
        <f>IF($A399="","",(IF(ISNUMBER(SEARCH("Proposal",$A399)),SUMIFS('Timesheet Raw'!$P$4:$P$8000,'Timesheet Raw'!$A$4:$A$8000,IF(ISNUMBER(SEARCH("Chargable",$A399)),"2-Proposals Chargeable","3-Proposals Regular"),'Timesheet Raw'!$C$4:$C$8000,"*"&amp;$B399&amp;"*",'Timesheet Raw'!$L$4:$L$8000,"&gt;="&amp;MAX(J$5,DATE(2000+VALUE(RIGHT(TRIM($A399),2)),1,1)),'Timesheet Raw'!$L$4:$L$8000,"&lt;="&amp;MIN(J$6,DATE(2000+VALUE(RIGHT(TRIM($A399),2)),12,31))),SUMIFS('Timesheet Raw'!$P$4:$P$8000,'Timesheet Raw'!$B$4:$B$8000,TRIM($A399),'Timesheet Raw'!$C$4:$C$8000,"*"&amp;$B399&amp;"*",'Timesheet Raw'!$L$4:$L$8000,"&gt;="&amp;J$5,'Timesheet Raw'!$L$4:$L$8000,"&lt;="&amp;J$6)))/'Profit Plan'!$B$5)</f>
        <v/>
      </c>
      <c r="K399" s="122" t="str">
        <f>IF($A399="","",(IF(ISNUMBER(SEARCH("Proposal",$A399)),SUMIFS('Timesheet Raw'!$P$4:$P$8000,'Timesheet Raw'!$A$4:$A$8000,IF(ISNUMBER(SEARCH("Chargable",$A399)),"2-Proposals Chargeable","3-Proposals Regular"),'Timesheet Raw'!$C$4:$C$8000,"*"&amp;$B399&amp;"*",'Timesheet Raw'!$L$4:$L$8000,"&gt;="&amp;MAX(K$5,DATE(2000+VALUE(RIGHT(TRIM($A399),2)),1,1)),'Timesheet Raw'!$L$4:$L$8000,"&lt;="&amp;MIN(K$6,DATE(2000+VALUE(RIGHT(TRIM($A399),2)),12,31))),SUMIFS('Timesheet Raw'!$P$4:$P$8000,'Timesheet Raw'!$B$4:$B$8000,TRIM($A399),'Timesheet Raw'!$C$4:$C$8000,"*"&amp;$B399&amp;"*",'Timesheet Raw'!$L$4:$L$8000,"&gt;="&amp;K$5,'Timesheet Raw'!$L$4:$L$8000,"&lt;="&amp;K$6)))/'Profit Plan'!$B$5)</f>
        <v/>
      </c>
      <c r="L399" s="122" t="str">
        <f>IF($A399="","",(IF(ISNUMBER(SEARCH("Proposal",$A399)),SUMIFS('Timesheet Raw'!$P$4:$P$8000,'Timesheet Raw'!$A$4:$A$8000,IF(ISNUMBER(SEARCH("Chargable",$A399)),"2-Proposals Chargeable","3-Proposals Regular"),'Timesheet Raw'!$C$4:$C$8000,"*"&amp;$B399&amp;"*",'Timesheet Raw'!$L$4:$L$8000,"&gt;="&amp;MAX(L$5,DATE(2000+VALUE(RIGHT(TRIM($A399),2)),1,1)),'Timesheet Raw'!$L$4:$L$8000,"&lt;="&amp;MIN(L$6,DATE(2000+VALUE(RIGHT(TRIM($A399),2)),12,31))),SUMIFS('Timesheet Raw'!$P$4:$P$8000,'Timesheet Raw'!$B$4:$B$8000,TRIM($A399),'Timesheet Raw'!$C$4:$C$8000,"*"&amp;$B399&amp;"*",'Timesheet Raw'!$L$4:$L$8000,"&gt;="&amp;L$5,'Timesheet Raw'!$L$4:$L$8000,"&lt;="&amp;L$6)))/'Profit Plan'!$B$5)</f>
        <v/>
      </c>
      <c r="M399" s="122" t="str">
        <f>IF($A399="","",(IF(ISNUMBER(SEARCH("Proposal",$A399)),SUMIFS('Timesheet Raw'!$P$4:$P$8000,'Timesheet Raw'!$A$4:$A$8000,IF(ISNUMBER(SEARCH("Chargable",$A399)),"2-Proposals Chargeable","3-Proposals Regular"),'Timesheet Raw'!$C$4:$C$8000,"*"&amp;$B399&amp;"*",'Timesheet Raw'!$L$4:$L$8000,"&gt;="&amp;MAX(M$5,DATE(2000+VALUE(RIGHT(TRIM($A399),2)),1,1)),'Timesheet Raw'!$L$4:$L$8000,"&lt;="&amp;MIN(M$6,DATE(2000+VALUE(RIGHT(TRIM($A399),2)),12,31))),SUMIFS('Timesheet Raw'!$P$4:$P$8000,'Timesheet Raw'!$B$4:$B$8000,TRIM($A399),'Timesheet Raw'!$C$4:$C$8000,"*"&amp;$B399&amp;"*",'Timesheet Raw'!$L$4:$L$8000,"&gt;="&amp;M$5,'Timesheet Raw'!$L$4:$L$8000,"&lt;="&amp;M$6)))/'Profit Plan'!$B$5)</f>
        <v/>
      </c>
      <c r="N399" s="122" t="str">
        <f>IF($A399="","",(IF(ISNUMBER(SEARCH("Proposal",$A399)),SUMIFS('Timesheet Raw'!$P$4:$P$8000,'Timesheet Raw'!$A$4:$A$8000,IF(ISNUMBER(SEARCH("Chargable",$A399)),"2-Proposals Chargeable","3-Proposals Regular"),'Timesheet Raw'!$C$4:$C$8000,"*"&amp;$B399&amp;"*",'Timesheet Raw'!$L$4:$L$8000,"&gt;="&amp;MAX(N$5,DATE(2000+VALUE(RIGHT(TRIM($A399),2)),1,1)),'Timesheet Raw'!$L$4:$L$8000,"&lt;="&amp;MIN(N$6,DATE(2000+VALUE(RIGHT(TRIM($A399),2)),12,31))),SUMIFS('Timesheet Raw'!$P$4:$P$8000,'Timesheet Raw'!$B$4:$B$8000,TRIM($A399),'Timesheet Raw'!$C$4:$C$8000,"*"&amp;$B399&amp;"*",'Timesheet Raw'!$L$4:$L$8000,"&gt;="&amp;N$5,'Timesheet Raw'!$L$4:$L$8000,"&lt;="&amp;N$6)))/'Profit Plan'!$B$5)</f>
        <v/>
      </c>
      <c r="O399" s="122" t="str">
        <f>IF($A399="","",(IF(ISNUMBER(SEARCH("Proposal",$A399)),SUMIFS('Timesheet Raw'!$P$4:$P$8000,'Timesheet Raw'!$A$4:$A$8000,IF(ISNUMBER(SEARCH("Chargable",$A399)),"2-Proposals Chargeable","3-Proposals Regular"),'Timesheet Raw'!$C$4:$C$8000,"*"&amp;$B399&amp;"*",'Timesheet Raw'!$L$4:$L$8000,"&gt;="&amp;MAX(O$5,DATE(2000+VALUE(RIGHT(TRIM($A399),2)),1,1)),'Timesheet Raw'!$L$4:$L$8000,"&lt;="&amp;MIN(O$6,DATE(2000+VALUE(RIGHT(TRIM($A399),2)),12,31))),SUMIFS('Timesheet Raw'!$P$4:$P$8000,'Timesheet Raw'!$B$4:$B$8000,TRIM($A399),'Timesheet Raw'!$C$4:$C$8000,"*"&amp;$B399&amp;"*",'Timesheet Raw'!$L$4:$L$8000,"&gt;="&amp;O$5,'Timesheet Raw'!$L$4:$L$8000,"&lt;="&amp;O$6)))/'Profit Plan'!$B$5)</f>
        <v/>
      </c>
      <c r="P399" s="122" t="str">
        <f>IF($A399="","",(IF(ISNUMBER(SEARCH("Proposal",$A399)),SUMIFS('Timesheet Raw'!$P$4:$P$8000,'Timesheet Raw'!$A$4:$A$8000,IF(ISNUMBER(SEARCH("Chargable",$A399)),"2-Proposals Chargeable","3-Proposals Regular"),'Timesheet Raw'!$C$4:$C$8000,"*"&amp;$B399&amp;"*",'Timesheet Raw'!$L$4:$L$8000,"&gt;="&amp;MAX(P$5,DATE(2000+VALUE(RIGHT(TRIM($A399),2)),1,1)),'Timesheet Raw'!$L$4:$L$8000,"&lt;="&amp;MIN(P$6,DATE(2000+VALUE(RIGHT(TRIM($A399),2)),12,31))),SUMIFS('Timesheet Raw'!$P$4:$P$8000,'Timesheet Raw'!$B$4:$B$8000,TRIM($A399),'Timesheet Raw'!$C$4:$C$8000,"*"&amp;$B399&amp;"*",'Timesheet Raw'!$L$4:$L$8000,"&gt;="&amp;P$5,'Timesheet Raw'!$L$4:$L$8000,"&lt;="&amp;P$6)))/'Profit Plan'!$B$5)</f>
        <v/>
      </c>
      <c r="Q399" s="122" t="str">
        <f>IF($A399="","",(IF(ISNUMBER(SEARCH("Proposal",$A399)),SUMIFS('Timesheet Raw'!$P$4:$P$8000,'Timesheet Raw'!$A$4:$A$8000,IF(ISNUMBER(SEARCH("Chargable",$A399)),"2-Proposals Chargeable","3-Proposals Regular"),'Timesheet Raw'!$C$4:$C$8000,"*"&amp;$B399&amp;"*",'Timesheet Raw'!$L$4:$L$8000,"&gt;="&amp;MAX(Q$5,DATE(2000+VALUE(RIGHT(TRIM($A399),2)),1,1)),'Timesheet Raw'!$L$4:$L$8000,"&lt;="&amp;MIN(Q$6,DATE(2000+VALUE(RIGHT(TRIM($A399),2)),12,31))),SUMIFS('Timesheet Raw'!$P$4:$P$8000,'Timesheet Raw'!$B$4:$B$8000,TRIM($A399),'Timesheet Raw'!$C$4:$C$8000,"*"&amp;$B399&amp;"*",'Timesheet Raw'!$L$4:$L$8000,"&gt;="&amp;Q$5,'Timesheet Raw'!$L$4:$L$8000,"&lt;="&amp;Q$6)))/'Profit Plan'!$B$5)</f>
        <v/>
      </c>
      <c r="R399" s="122" t="str">
        <f>IF($A399="","",(IF(ISNUMBER(SEARCH("Proposal",$A399)),SUMIFS('Timesheet Raw'!$P$4:$P$8000,'Timesheet Raw'!$A$4:$A$8000,IF(ISNUMBER(SEARCH("Chargable",$A399)),"2-Proposals Chargeable","3-Proposals Regular"),'Timesheet Raw'!$C$4:$C$8000,"*"&amp;$B399&amp;"*",'Timesheet Raw'!$L$4:$L$8000,"&gt;="&amp;MAX(R$5,DATE(2000+VALUE(RIGHT(TRIM($A399),2)),1,1)),'Timesheet Raw'!$L$4:$L$8000,"&lt;="&amp;MIN(R$6,DATE(2000+VALUE(RIGHT(TRIM($A399),2)),12,31))),SUMIFS('Timesheet Raw'!$P$4:$P$8000,'Timesheet Raw'!$B$4:$B$8000,TRIM($A399),'Timesheet Raw'!$C$4:$C$8000,"*"&amp;$B399&amp;"*",'Timesheet Raw'!$L$4:$L$8000,"&gt;="&amp;R$5,'Timesheet Raw'!$L$4:$L$8000,"&lt;="&amp;R$6)))/'Profit Plan'!$B$5)</f>
        <v/>
      </c>
      <c r="S399" s="122" t="str">
        <f>IF($A399="","",(IF(ISNUMBER(SEARCH("Proposal",$A399)),SUMIFS('Timesheet Raw'!$P$4:$P$8000,'Timesheet Raw'!$A$4:$A$8000,IF(ISNUMBER(SEARCH("Chargable",$A399)),"2-Proposals Chargeable","3-Proposals Regular"),'Timesheet Raw'!$C$4:$C$8000,"*"&amp;$B399&amp;"*",'Timesheet Raw'!$L$4:$L$8000,"&gt;="&amp;MAX(S$5,DATE(2000+VALUE(RIGHT(TRIM($A399),2)),1,1)),'Timesheet Raw'!$L$4:$L$8000,"&lt;="&amp;MIN(S$6,DATE(2000+VALUE(RIGHT(TRIM($A399),2)),12,31))),SUMIFS('Timesheet Raw'!$P$4:$P$8000,'Timesheet Raw'!$B$4:$B$8000,TRIM($A399),'Timesheet Raw'!$C$4:$C$8000,"*"&amp;$B399&amp;"*",'Timesheet Raw'!$L$4:$L$8000,"&gt;="&amp;S$5,'Timesheet Raw'!$L$4:$L$8000,"&lt;="&amp;S$6)))/'Profit Plan'!$B$5)</f>
        <v/>
      </c>
      <c r="T399" s="122" t="str">
        <f>IF($A399="","",(IF(ISNUMBER(SEARCH("Proposal",$A399)),SUMIFS('Timesheet Raw'!$P$4:$P$8000,'Timesheet Raw'!$A$4:$A$8000,IF(ISNUMBER(SEARCH("Chargable",$A399)),"2-Proposals Chargeable","3-Proposals Regular"),'Timesheet Raw'!$C$4:$C$8000,"*"&amp;$B399&amp;"*",'Timesheet Raw'!$L$4:$L$8000,"&gt;="&amp;MAX(T$5,DATE(2000+VALUE(RIGHT(TRIM($A399),2)),1,1)),'Timesheet Raw'!$L$4:$L$8000,"&lt;="&amp;MIN(T$6,DATE(2000+VALUE(RIGHT(TRIM($A399),2)),12,31))),SUMIFS('Timesheet Raw'!$P$4:$P$8000,'Timesheet Raw'!$B$4:$B$8000,TRIM($A399),'Timesheet Raw'!$C$4:$C$8000,"*"&amp;$B399&amp;"*",'Timesheet Raw'!$L$4:$L$8000,"&gt;="&amp;T$5,'Timesheet Raw'!$L$4:$L$8000,"&lt;="&amp;T$6)))/'Profit Plan'!$B$5)</f>
        <v/>
      </c>
      <c r="U399" s="122" t="str">
        <f>IF($A399="","",(IF(ISNUMBER(SEARCH("Proposal",$A399)),SUMIFS('Timesheet Raw'!$P$4:$P$8000,'Timesheet Raw'!$A$4:$A$8000,IF(ISNUMBER(SEARCH("Chargable",$A399)),"2-Proposals Chargeable","3-Proposals Regular"),'Timesheet Raw'!$C$4:$C$8000,"*"&amp;$B399&amp;"*",'Timesheet Raw'!$L$4:$L$8000,"&gt;="&amp;MAX(U$5,DATE(2000+VALUE(RIGHT(TRIM($A399),2)),1,1)),'Timesheet Raw'!$L$4:$L$8000,"&lt;="&amp;MIN(U$6,DATE(2000+VALUE(RIGHT(TRIM($A399),2)),12,31))),SUMIFS('Timesheet Raw'!$P$4:$P$8000,'Timesheet Raw'!$B$4:$B$8000,TRIM($A399),'Timesheet Raw'!$C$4:$C$8000,"*"&amp;$B399&amp;"*",'Timesheet Raw'!$L$4:$L$8000,"&gt;="&amp;U$5,'Timesheet Raw'!$L$4:$L$8000,"&lt;="&amp;U$6)))/'Profit Plan'!$B$5)</f>
        <v/>
      </c>
      <c r="V399" s="122" t="str">
        <f>IF($A399="","",(IF(ISNUMBER(SEARCH("Proposal",$A399)),SUMIFS('Timesheet Raw'!$P$4:$P$8000,'Timesheet Raw'!$A$4:$A$8000,IF(ISNUMBER(SEARCH("Chargable",$A399)),"2-Proposals Chargeable","3-Proposals Regular"),'Timesheet Raw'!$C$4:$C$8000,"*"&amp;$B399&amp;"*",'Timesheet Raw'!$L$4:$L$8000,"&gt;="&amp;MAX(V$5,DATE(2000+VALUE(RIGHT(TRIM($A399),2)),1,1)),'Timesheet Raw'!$L$4:$L$8000,"&lt;="&amp;MIN(V$6,DATE(2000+VALUE(RIGHT(TRIM($A399),2)),12,31))),SUMIFS('Timesheet Raw'!$P$4:$P$8000,'Timesheet Raw'!$B$4:$B$8000,TRIM($A399),'Timesheet Raw'!$C$4:$C$8000,"*"&amp;$B399&amp;"*",'Timesheet Raw'!$L$4:$L$8000,"&gt;="&amp;V$5,'Timesheet Raw'!$L$4:$L$8000,"&lt;="&amp;V$6)))/'Profit Plan'!$B$5)</f>
        <v/>
      </c>
      <c r="W399" s="122" t="str">
        <f>IF($A399="","",(IF(ISNUMBER(SEARCH("Proposal",$A399)),SUMIFS('Timesheet Raw'!$P$4:$P$8000,'Timesheet Raw'!$A$4:$A$8000,IF(ISNUMBER(SEARCH("Chargable",$A399)),"2-Proposals Chargeable","3-Proposals Regular"),'Timesheet Raw'!$C$4:$C$8000,"*"&amp;$B399&amp;"*",'Timesheet Raw'!$L$4:$L$8000,"&gt;="&amp;MAX(W$5,DATE(2000+VALUE(RIGHT(TRIM($A399),2)),1,1)),'Timesheet Raw'!$L$4:$L$8000,"&lt;="&amp;MIN(W$6,DATE(2000+VALUE(RIGHT(TRIM($A399),2)),12,31))),SUMIFS('Timesheet Raw'!$P$4:$P$8000,'Timesheet Raw'!$B$4:$B$8000,TRIM($A399),'Timesheet Raw'!$C$4:$C$8000,"*"&amp;$B399&amp;"*",'Timesheet Raw'!$L$4:$L$8000,"&gt;="&amp;W$5,'Timesheet Raw'!$L$4:$L$8000,"&lt;="&amp;W$6)))/'Profit Plan'!$B$5)</f>
        <v/>
      </c>
      <c r="X399" s="122" t="str">
        <f>IF($A399="","",(IF(ISNUMBER(SEARCH("Proposal",$A399)),SUMIFS('Timesheet Raw'!$P$4:$P$8000,'Timesheet Raw'!$A$4:$A$8000,IF(ISNUMBER(SEARCH("Chargable",$A399)),"2-Proposals Chargeable","3-Proposals Regular"),'Timesheet Raw'!$C$4:$C$8000,"*"&amp;$B399&amp;"*",'Timesheet Raw'!$L$4:$L$8000,"&gt;="&amp;MAX(X$5,DATE(2000+VALUE(RIGHT(TRIM($A399),2)),1,1)),'Timesheet Raw'!$L$4:$L$8000,"&lt;="&amp;MIN(X$6,DATE(2000+VALUE(RIGHT(TRIM($A399),2)),12,31))),SUMIFS('Timesheet Raw'!$P$4:$P$8000,'Timesheet Raw'!$B$4:$B$8000,TRIM($A399),'Timesheet Raw'!$C$4:$C$8000,"*"&amp;$B399&amp;"*",'Timesheet Raw'!$L$4:$L$8000,"&gt;="&amp;X$5,'Timesheet Raw'!$L$4:$L$8000,"&lt;="&amp;X$6)))/'Profit Plan'!$B$5)</f>
        <v/>
      </c>
      <c r="Y399" s="118">
        <f t="shared" si="102"/>
        <v>0</v>
      </c>
    </row>
    <row r="400" spans="1:25" x14ac:dyDescent="0.3">
      <c r="A400" s="116" t="str">
        <f>IF(Inputs!$A51="","",Inputs!$A51)</f>
        <v/>
      </c>
      <c r="B400" s="116" t="str">
        <f>IF(Inputs!$A51="","",Inputs!$A$91)</f>
        <v/>
      </c>
      <c r="C400" s="116"/>
      <c r="D400" s="122" t="str">
        <f>IF($A400="","",(IF(ISNUMBER(SEARCH("Proposal",$A400)),SUMIFS('Timesheet Raw'!$P$4:$P$8000,'Timesheet Raw'!$A$4:$A$8000,IF(ISNUMBER(SEARCH("Chargable",$A400)),"2-Proposals Chargeable","3-Proposals Regular"),'Timesheet Raw'!$C$4:$C$8000,"*"&amp;$B400&amp;"*",'Timesheet Raw'!$L$4:$L$8000,"&gt;="&amp;MAX(D$5,DATE(2000+VALUE(RIGHT(TRIM($A400),2)),1,1)),'Timesheet Raw'!$L$4:$L$8000,"&lt;="&amp;MIN(D$6,DATE(2000+VALUE(RIGHT(TRIM($A400),2)),12,31))),SUMIFS('Timesheet Raw'!$P$4:$P$8000,'Timesheet Raw'!$B$4:$B$8000,TRIM($A400),'Timesheet Raw'!$C$4:$C$8000,"*"&amp;$B400&amp;"*",'Timesheet Raw'!$L$4:$L$8000,"&gt;="&amp;D$5,'Timesheet Raw'!$L$4:$L$8000,"&lt;="&amp;D$6)))/'Profit Plan'!$B$5)</f>
        <v/>
      </c>
      <c r="E400" s="122" t="str">
        <f>IF($A400="","",(IF(ISNUMBER(SEARCH("Proposal",$A400)),SUMIFS('Timesheet Raw'!$P$4:$P$8000,'Timesheet Raw'!$A$4:$A$8000,IF(ISNUMBER(SEARCH("Chargable",$A400)),"2-Proposals Chargeable","3-Proposals Regular"),'Timesheet Raw'!$C$4:$C$8000,"*"&amp;$B400&amp;"*",'Timesheet Raw'!$L$4:$L$8000,"&gt;="&amp;MAX(E$5,DATE(2000+VALUE(RIGHT(TRIM($A400),2)),1,1)),'Timesheet Raw'!$L$4:$L$8000,"&lt;="&amp;MIN(E$6,DATE(2000+VALUE(RIGHT(TRIM($A400),2)),12,31))),SUMIFS('Timesheet Raw'!$P$4:$P$8000,'Timesheet Raw'!$B$4:$B$8000,TRIM($A400),'Timesheet Raw'!$C$4:$C$8000,"*"&amp;$B400&amp;"*",'Timesheet Raw'!$L$4:$L$8000,"&gt;="&amp;E$5,'Timesheet Raw'!$L$4:$L$8000,"&lt;="&amp;E$6)))/'Profit Plan'!$B$5)</f>
        <v/>
      </c>
      <c r="F400" s="122" t="str">
        <f>IF($A400="","",(IF(ISNUMBER(SEARCH("Proposal",$A400)),SUMIFS('Timesheet Raw'!$P$4:$P$8000,'Timesheet Raw'!$A$4:$A$8000,IF(ISNUMBER(SEARCH("Chargable",$A400)),"2-Proposals Chargeable","3-Proposals Regular"),'Timesheet Raw'!$C$4:$C$8000,"*"&amp;$B400&amp;"*",'Timesheet Raw'!$L$4:$L$8000,"&gt;="&amp;MAX(F$5,DATE(2000+VALUE(RIGHT(TRIM($A400),2)),1,1)),'Timesheet Raw'!$L$4:$L$8000,"&lt;="&amp;MIN(F$6,DATE(2000+VALUE(RIGHT(TRIM($A400),2)),12,31))),SUMIFS('Timesheet Raw'!$P$4:$P$8000,'Timesheet Raw'!$B$4:$B$8000,TRIM($A400),'Timesheet Raw'!$C$4:$C$8000,"*"&amp;$B400&amp;"*",'Timesheet Raw'!$L$4:$L$8000,"&gt;="&amp;F$5,'Timesheet Raw'!$L$4:$L$8000,"&lt;="&amp;F$6)))/'Profit Plan'!$B$5)</f>
        <v/>
      </c>
      <c r="G400" s="122" t="str">
        <f>IF($A400="","",(IF(ISNUMBER(SEARCH("Proposal",$A400)),SUMIFS('Timesheet Raw'!$P$4:$P$8000,'Timesheet Raw'!$A$4:$A$8000,IF(ISNUMBER(SEARCH("Chargable",$A400)),"2-Proposals Chargeable","3-Proposals Regular"),'Timesheet Raw'!$C$4:$C$8000,"*"&amp;$B400&amp;"*",'Timesheet Raw'!$L$4:$L$8000,"&gt;="&amp;MAX(G$5,DATE(2000+VALUE(RIGHT(TRIM($A400),2)),1,1)),'Timesheet Raw'!$L$4:$L$8000,"&lt;="&amp;MIN(G$6,DATE(2000+VALUE(RIGHT(TRIM($A400),2)),12,31))),SUMIFS('Timesheet Raw'!$P$4:$P$8000,'Timesheet Raw'!$B$4:$B$8000,TRIM($A400),'Timesheet Raw'!$C$4:$C$8000,"*"&amp;$B400&amp;"*",'Timesheet Raw'!$L$4:$L$8000,"&gt;="&amp;G$5,'Timesheet Raw'!$L$4:$L$8000,"&lt;="&amp;G$6)))/'Profit Plan'!$B$5)</f>
        <v/>
      </c>
      <c r="H400" s="122" t="str">
        <f>IF($A400="","",(IF(ISNUMBER(SEARCH("Proposal",$A400)),SUMIFS('Timesheet Raw'!$P$4:$P$8000,'Timesheet Raw'!$A$4:$A$8000,IF(ISNUMBER(SEARCH("Chargable",$A400)),"2-Proposals Chargeable","3-Proposals Regular"),'Timesheet Raw'!$C$4:$C$8000,"*"&amp;$B400&amp;"*",'Timesheet Raw'!$L$4:$L$8000,"&gt;="&amp;MAX(H$5,DATE(2000+VALUE(RIGHT(TRIM($A400),2)),1,1)),'Timesheet Raw'!$L$4:$L$8000,"&lt;="&amp;MIN(H$6,DATE(2000+VALUE(RIGHT(TRIM($A400),2)),12,31))),SUMIFS('Timesheet Raw'!$P$4:$P$8000,'Timesheet Raw'!$B$4:$B$8000,TRIM($A400),'Timesheet Raw'!$C$4:$C$8000,"*"&amp;$B400&amp;"*",'Timesheet Raw'!$L$4:$L$8000,"&gt;="&amp;H$5,'Timesheet Raw'!$L$4:$L$8000,"&lt;="&amp;H$6)))/'Profit Plan'!$B$5)</f>
        <v/>
      </c>
      <c r="I400" s="122" t="str">
        <f>IF($A400="","",(IF(ISNUMBER(SEARCH("Proposal",$A400)),SUMIFS('Timesheet Raw'!$P$4:$P$8000,'Timesheet Raw'!$A$4:$A$8000,IF(ISNUMBER(SEARCH("Chargable",$A400)),"2-Proposals Chargeable","3-Proposals Regular"),'Timesheet Raw'!$C$4:$C$8000,"*"&amp;$B400&amp;"*",'Timesheet Raw'!$L$4:$L$8000,"&gt;="&amp;MAX(I$5,DATE(2000+VALUE(RIGHT(TRIM($A400),2)),1,1)),'Timesheet Raw'!$L$4:$L$8000,"&lt;="&amp;MIN(I$6,DATE(2000+VALUE(RIGHT(TRIM($A400),2)),12,31))),SUMIFS('Timesheet Raw'!$P$4:$P$8000,'Timesheet Raw'!$B$4:$B$8000,TRIM($A400),'Timesheet Raw'!$C$4:$C$8000,"*"&amp;$B400&amp;"*",'Timesheet Raw'!$L$4:$L$8000,"&gt;="&amp;I$5,'Timesheet Raw'!$L$4:$L$8000,"&lt;="&amp;I$6)))/'Profit Plan'!$B$5)</f>
        <v/>
      </c>
      <c r="J400" s="122" t="str">
        <f>IF($A400="","",(IF(ISNUMBER(SEARCH("Proposal",$A400)),SUMIFS('Timesheet Raw'!$P$4:$P$8000,'Timesheet Raw'!$A$4:$A$8000,IF(ISNUMBER(SEARCH("Chargable",$A400)),"2-Proposals Chargeable","3-Proposals Regular"),'Timesheet Raw'!$C$4:$C$8000,"*"&amp;$B400&amp;"*",'Timesheet Raw'!$L$4:$L$8000,"&gt;="&amp;MAX(J$5,DATE(2000+VALUE(RIGHT(TRIM($A400),2)),1,1)),'Timesheet Raw'!$L$4:$L$8000,"&lt;="&amp;MIN(J$6,DATE(2000+VALUE(RIGHT(TRIM($A400),2)),12,31))),SUMIFS('Timesheet Raw'!$P$4:$P$8000,'Timesheet Raw'!$B$4:$B$8000,TRIM($A400),'Timesheet Raw'!$C$4:$C$8000,"*"&amp;$B400&amp;"*",'Timesheet Raw'!$L$4:$L$8000,"&gt;="&amp;J$5,'Timesheet Raw'!$L$4:$L$8000,"&lt;="&amp;J$6)))/'Profit Plan'!$B$5)</f>
        <v/>
      </c>
      <c r="K400" s="122" t="str">
        <f>IF($A400="","",(IF(ISNUMBER(SEARCH("Proposal",$A400)),SUMIFS('Timesheet Raw'!$P$4:$P$8000,'Timesheet Raw'!$A$4:$A$8000,IF(ISNUMBER(SEARCH("Chargable",$A400)),"2-Proposals Chargeable","3-Proposals Regular"),'Timesheet Raw'!$C$4:$C$8000,"*"&amp;$B400&amp;"*",'Timesheet Raw'!$L$4:$L$8000,"&gt;="&amp;MAX(K$5,DATE(2000+VALUE(RIGHT(TRIM($A400),2)),1,1)),'Timesheet Raw'!$L$4:$L$8000,"&lt;="&amp;MIN(K$6,DATE(2000+VALUE(RIGHT(TRIM($A400),2)),12,31))),SUMIFS('Timesheet Raw'!$P$4:$P$8000,'Timesheet Raw'!$B$4:$B$8000,TRIM($A400),'Timesheet Raw'!$C$4:$C$8000,"*"&amp;$B400&amp;"*",'Timesheet Raw'!$L$4:$L$8000,"&gt;="&amp;K$5,'Timesheet Raw'!$L$4:$L$8000,"&lt;="&amp;K$6)))/'Profit Plan'!$B$5)</f>
        <v/>
      </c>
      <c r="L400" s="122" t="str">
        <f>IF($A400="","",(IF(ISNUMBER(SEARCH("Proposal",$A400)),SUMIFS('Timesheet Raw'!$P$4:$P$8000,'Timesheet Raw'!$A$4:$A$8000,IF(ISNUMBER(SEARCH("Chargable",$A400)),"2-Proposals Chargeable","3-Proposals Regular"),'Timesheet Raw'!$C$4:$C$8000,"*"&amp;$B400&amp;"*",'Timesheet Raw'!$L$4:$L$8000,"&gt;="&amp;MAX(L$5,DATE(2000+VALUE(RIGHT(TRIM($A400),2)),1,1)),'Timesheet Raw'!$L$4:$L$8000,"&lt;="&amp;MIN(L$6,DATE(2000+VALUE(RIGHT(TRIM($A400),2)),12,31))),SUMIFS('Timesheet Raw'!$P$4:$P$8000,'Timesheet Raw'!$B$4:$B$8000,TRIM($A400),'Timesheet Raw'!$C$4:$C$8000,"*"&amp;$B400&amp;"*",'Timesheet Raw'!$L$4:$L$8000,"&gt;="&amp;L$5,'Timesheet Raw'!$L$4:$L$8000,"&lt;="&amp;L$6)))/'Profit Plan'!$B$5)</f>
        <v/>
      </c>
      <c r="M400" s="122" t="str">
        <f>IF($A400="","",(IF(ISNUMBER(SEARCH("Proposal",$A400)),SUMIFS('Timesheet Raw'!$P$4:$P$8000,'Timesheet Raw'!$A$4:$A$8000,IF(ISNUMBER(SEARCH("Chargable",$A400)),"2-Proposals Chargeable","3-Proposals Regular"),'Timesheet Raw'!$C$4:$C$8000,"*"&amp;$B400&amp;"*",'Timesheet Raw'!$L$4:$L$8000,"&gt;="&amp;MAX(M$5,DATE(2000+VALUE(RIGHT(TRIM($A400),2)),1,1)),'Timesheet Raw'!$L$4:$L$8000,"&lt;="&amp;MIN(M$6,DATE(2000+VALUE(RIGHT(TRIM($A400),2)),12,31))),SUMIFS('Timesheet Raw'!$P$4:$P$8000,'Timesheet Raw'!$B$4:$B$8000,TRIM($A400),'Timesheet Raw'!$C$4:$C$8000,"*"&amp;$B400&amp;"*",'Timesheet Raw'!$L$4:$L$8000,"&gt;="&amp;M$5,'Timesheet Raw'!$L$4:$L$8000,"&lt;="&amp;M$6)))/'Profit Plan'!$B$5)</f>
        <v/>
      </c>
      <c r="N400" s="122" t="str">
        <f>IF($A400="","",(IF(ISNUMBER(SEARCH("Proposal",$A400)),SUMIFS('Timesheet Raw'!$P$4:$P$8000,'Timesheet Raw'!$A$4:$A$8000,IF(ISNUMBER(SEARCH("Chargable",$A400)),"2-Proposals Chargeable","3-Proposals Regular"),'Timesheet Raw'!$C$4:$C$8000,"*"&amp;$B400&amp;"*",'Timesheet Raw'!$L$4:$L$8000,"&gt;="&amp;MAX(N$5,DATE(2000+VALUE(RIGHT(TRIM($A400),2)),1,1)),'Timesheet Raw'!$L$4:$L$8000,"&lt;="&amp;MIN(N$6,DATE(2000+VALUE(RIGHT(TRIM($A400),2)),12,31))),SUMIFS('Timesheet Raw'!$P$4:$P$8000,'Timesheet Raw'!$B$4:$B$8000,TRIM($A400),'Timesheet Raw'!$C$4:$C$8000,"*"&amp;$B400&amp;"*",'Timesheet Raw'!$L$4:$L$8000,"&gt;="&amp;N$5,'Timesheet Raw'!$L$4:$L$8000,"&lt;="&amp;N$6)))/'Profit Plan'!$B$5)</f>
        <v/>
      </c>
      <c r="O400" s="122" t="str">
        <f>IF($A400="","",(IF(ISNUMBER(SEARCH("Proposal",$A400)),SUMIFS('Timesheet Raw'!$P$4:$P$8000,'Timesheet Raw'!$A$4:$A$8000,IF(ISNUMBER(SEARCH("Chargable",$A400)),"2-Proposals Chargeable","3-Proposals Regular"),'Timesheet Raw'!$C$4:$C$8000,"*"&amp;$B400&amp;"*",'Timesheet Raw'!$L$4:$L$8000,"&gt;="&amp;MAX(O$5,DATE(2000+VALUE(RIGHT(TRIM($A400),2)),1,1)),'Timesheet Raw'!$L$4:$L$8000,"&lt;="&amp;MIN(O$6,DATE(2000+VALUE(RIGHT(TRIM($A400),2)),12,31))),SUMIFS('Timesheet Raw'!$P$4:$P$8000,'Timesheet Raw'!$B$4:$B$8000,TRIM($A400),'Timesheet Raw'!$C$4:$C$8000,"*"&amp;$B400&amp;"*",'Timesheet Raw'!$L$4:$L$8000,"&gt;="&amp;O$5,'Timesheet Raw'!$L$4:$L$8000,"&lt;="&amp;O$6)))/'Profit Plan'!$B$5)</f>
        <v/>
      </c>
      <c r="P400" s="122" t="str">
        <f>IF($A400="","",(IF(ISNUMBER(SEARCH("Proposal",$A400)),SUMIFS('Timesheet Raw'!$P$4:$P$8000,'Timesheet Raw'!$A$4:$A$8000,IF(ISNUMBER(SEARCH("Chargable",$A400)),"2-Proposals Chargeable","3-Proposals Regular"),'Timesheet Raw'!$C$4:$C$8000,"*"&amp;$B400&amp;"*",'Timesheet Raw'!$L$4:$L$8000,"&gt;="&amp;MAX(P$5,DATE(2000+VALUE(RIGHT(TRIM($A400),2)),1,1)),'Timesheet Raw'!$L$4:$L$8000,"&lt;="&amp;MIN(P$6,DATE(2000+VALUE(RIGHT(TRIM($A400),2)),12,31))),SUMIFS('Timesheet Raw'!$P$4:$P$8000,'Timesheet Raw'!$B$4:$B$8000,TRIM($A400),'Timesheet Raw'!$C$4:$C$8000,"*"&amp;$B400&amp;"*",'Timesheet Raw'!$L$4:$L$8000,"&gt;="&amp;P$5,'Timesheet Raw'!$L$4:$L$8000,"&lt;="&amp;P$6)))/'Profit Plan'!$B$5)</f>
        <v/>
      </c>
      <c r="Q400" s="122" t="str">
        <f>IF($A400="","",(IF(ISNUMBER(SEARCH("Proposal",$A400)),SUMIFS('Timesheet Raw'!$P$4:$P$8000,'Timesheet Raw'!$A$4:$A$8000,IF(ISNUMBER(SEARCH("Chargable",$A400)),"2-Proposals Chargeable","3-Proposals Regular"),'Timesheet Raw'!$C$4:$C$8000,"*"&amp;$B400&amp;"*",'Timesheet Raw'!$L$4:$L$8000,"&gt;="&amp;MAX(Q$5,DATE(2000+VALUE(RIGHT(TRIM($A400),2)),1,1)),'Timesheet Raw'!$L$4:$L$8000,"&lt;="&amp;MIN(Q$6,DATE(2000+VALUE(RIGHT(TRIM($A400),2)),12,31))),SUMIFS('Timesheet Raw'!$P$4:$P$8000,'Timesheet Raw'!$B$4:$B$8000,TRIM($A400),'Timesheet Raw'!$C$4:$C$8000,"*"&amp;$B400&amp;"*",'Timesheet Raw'!$L$4:$L$8000,"&gt;="&amp;Q$5,'Timesheet Raw'!$L$4:$L$8000,"&lt;="&amp;Q$6)))/'Profit Plan'!$B$5)</f>
        <v/>
      </c>
      <c r="R400" s="122" t="str">
        <f>IF($A400="","",(IF(ISNUMBER(SEARCH("Proposal",$A400)),SUMIFS('Timesheet Raw'!$P$4:$P$8000,'Timesheet Raw'!$A$4:$A$8000,IF(ISNUMBER(SEARCH("Chargable",$A400)),"2-Proposals Chargeable","3-Proposals Regular"),'Timesheet Raw'!$C$4:$C$8000,"*"&amp;$B400&amp;"*",'Timesheet Raw'!$L$4:$L$8000,"&gt;="&amp;MAX(R$5,DATE(2000+VALUE(RIGHT(TRIM($A400),2)),1,1)),'Timesheet Raw'!$L$4:$L$8000,"&lt;="&amp;MIN(R$6,DATE(2000+VALUE(RIGHT(TRIM($A400),2)),12,31))),SUMIFS('Timesheet Raw'!$P$4:$P$8000,'Timesheet Raw'!$B$4:$B$8000,TRIM($A400),'Timesheet Raw'!$C$4:$C$8000,"*"&amp;$B400&amp;"*",'Timesheet Raw'!$L$4:$L$8000,"&gt;="&amp;R$5,'Timesheet Raw'!$L$4:$L$8000,"&lt;="&amp;R$6)))/'Profit Plan'!$B$5)</f>
        <v/>
      </c>
      <c r="S400" s="122" t="str">
        <f>IF($A400="","",(IF(ISNUMBER(SEARCH("Proposal",$A400)),SUMIFS('Timesheet Raw'!$P$4:$P$8000,'Timesheet Raw'!$A$4:$A$8000,IF(ISNUMBER(SEARCH("Chargable",$A400)),"2-Proposals Chargeable","3-Proposals Regular"),'Timesheet Raw'!$C$4:$C$8000,"*"&amp;$B400&amp;"*",'Timesheet Raw'!$L$4:$L$8000,"&gt;="&amp;MAX(S$5,DATE(2000+VALUE(RIGHT(TRIM($A400),2)),1,1)),'Timesheet Raw'!$L$4:$L$8000,"&lt;="&amp;MIN(S$6,DATE(2000+VALUE(RIGHT(TRIM($A400),2)),12,31))),SUMIFS('Timesheet Raw'!$P$4:$P$8000,'Timesheet Raw'!$B$4:$B$8000,TRIM($A400),'Timesheet Raw'!$C$4:$C$8000,"*"&amp;$B400&amp;"*",'Timesheet Raw'!$L$4:$L$8000,"&gt;="&amp;S$5,'Timesheet Raw'!$L$4:$L$8000,"&lt;="&amp;S$6)))/'Profit Plan'!$B$5)</f>
        <v/>
      </c>
      <c r="T400" s="122" t="str">
        <f>IF($A400="","",(IF(ISNUMBER(SEARCH("Proposal",$A400)),SUMIFS('Timesheet Raw'!$P$4:$P$8000,'Timesheet Raw'!$A$4:$A$8000,IF(ISNUMBER(SEARCH("Chargable",$A400)),"2-Proposals Chargeable","3-Proposals Regular"),'Timesheet Raw'!$C$4:$C$8000,"*"&amp;$B400&amp;"*",'Timesheet Raw'!$L$4:$L$8000,"&gt;="&amp;MAX(T$5,DATE(2000+VALUE(RIGHT(TRIM($A400),2)),1,1)),'Timesheet Raw'!$L$4:$L$8000,"&lt;="&amp;MIN(T$6,DATE(2000+VALUE(RIGHT(TRIM($A400),2)),12,31))),SUMIFS('Timesheet Raw'!$P$4:$P$8000,'Timesheet Raw'!$B$4:$B$8000,TRIM($A400),'Timesheet Raw'!$C$4:$C$8000,"*"&amp;$B400&amp;"*",'Timesheet Raw'!$L$4:$L$8000,"&gt;="&amp;T$5,'Timesheet Raw'!$L$4:$L$8000,"&lt;="&amp;T$6)))/'Profit Plan'!$B$5)</f>
        <v/>
      </c>
      <c r="U400" s="122" t="str">
        <f>IF($A400="","",(IF(ISNUMBER(SEARCH("Proposal",$A400)),SUMIFS('Timesheet Raw'!$P$4:$P$8000,'Timesheet Raw'!$A$4:$A$8000,IF(ISNUMBER(SEARCH("Chargable",$A400)),"2-Proposals Chargeable","3-Proposals Regular"),'Timesheet Raw'!$C$4:$C$8000,"*"&amp;$B400&amp;"*",'Timesheet Raw'!$L$4:$L$8000,"&gt;="&amp;MAX(U$5,DATE(2000+VALUE(RIGHT(TRIM($A400),2)),1,1)),'Timesheet Raw'!$L$4:$L$8000,"&lt;="&amp;MIN(U$6,DATE(2000+VALUE(RIGHT(TRIM($A400),2)),12,31))),SUMIFS('Timesheet Raw'!$P$4:$P$8000,'Timesheet Raw'!$B$4:$B$8000,TRIM($A400),'Timesheet Raw'!$C$4:$C$8000,"*"&amp;$B400&amp;"*",'Timesheet Raw'!$L$4:$L$8000,"&gt;="&amp;U$5,'Timesheet Raw'!$L$4:$L$8000,"&lt;="&amp;U$6)))/'Profit Plan'!$B$5)</f>
        <v/>
      </c>
      <c r="V400" s="122" t="str">
        <f>IF($A400="","",(IF(ISNUMBER(SEARCH("Proposal",$A400)),SUMIFS('Timesheet Raw'!$P$4:$P$8000,'Timesheet Raw'!$A$4:$A$8000,IF(ISNUMBER(SEARCH("Chargable",$A400)),"2-Proposals Chargeable","3-Proposals Regular"),'Timesheet Raw'!$C$4:$C$8000,"*"&amp;$B400&amp;"*",'Timesheet Raw'!$L$4:$L$8000,"&gt;="&amp;MAX(V$5,DATE(2000+VALUE(RIGHT(TRIM($A400),2)),1,1)),'Timesheet Raw'!$L$4:$L$8000,"&lt;="&amp;MIN(V$6,DATE(2000+VALUE(RIGHT(TRIM($A400),2)),12,31))),SUMIFS('Timesheet Raw'!$P$4:$P$8000,'Timesheet Raw'!$B$4:$B$8000,TRIM($A400),'Timesheet Raw'!$C$4:$C$8000,"*"&amp;$B400&amp;"*",'Timesheet Raw'!$L$4:$L$8000,"&gt;="&amp;V$5,'Timesheet Raw'!$L$4:$L$8000,"&lt;="&amp;V$6)))/'Profit Plan'!$B$5)</f>
        <v/>
      </c>
      <c r="W400" s="122" t="str">
        <f>IF($A400="","",(IF(ISNUMBER(SEARCH("Proposal",$A400)),SUMIFS('Timesheet Raw'!$P$4:$P$8000,'Timesheet Raw'!$A$4:$A$8000,IF(ISNUMBER(SEARCH("Chargable",$A400)),"2-Proposals Chargeable","3-Proposals Regular"),'Timesheet Raw'!$C$4:$C$8000,"*"&amp;$B400&amp;"*",'Timesheet Raw'!$L$4:$L$8000,"&gt;="&amp;MAX(W$5,DATE(2000+VALUE(RIGHT(TRIM($A400),2)),1,1)),'Timesheet Raw'!$L$4:$L$8000,"&lt;="&amp;MIN(W$6,DATE(2000+VALUE(RIGHT(TRIM($A400),2)),12,31))),SUMIFS('Timesheet Raw'!$P$4:$P$8000,'Timesheet Raw'!$B$4:$B$8000,TRIM($A400),'Timesheet Raw'!$C$4:$C$8000,"*"&amp;$B400&amp;"*",'Timesheet Raw'!$L$4:$L$8000,"&gt;="&amp;W$5,'Timesheet Raw'!$L$4:$L$8000,"&lt;="&amp;W$6)))/'Profit Plan'!$B$5)</f>
        <v/>
      </c>
      <c r="X400" s="122" t="str">
        <f>IF($A400="","",(IF(ISNUMBER(SEARCH("Proposal",$A400)),SUMIFS('Timesheet Raw'!$P$4:$P$8000,'Timesheet Raw'!$A$4:$A$8000,IF(ISNUMBER(SEARCH("Chargable",$A400)),"2-Proposals Chargeable","3-Proposals Regular"),'Timesheet Raw'!$C$4:$C$8000,"*"&amp;$B400&amp;"*",'Timesheet Raw'!$L$4:$L$8000,"&gt;="&amp;MAX(X$5,DATE(2000+VALUE(RIGHT(TRIM($A400),2)),1,1)),'Timesheet Raw'!$L$4:$L$8000,"&lt;="&amp;MIN(X$6,DATE(2000+VALUE(RIGHT(TRIM($A400),2)),12,31))),SUMIFS('Timesheet Raw'!$P$4:$P$8000,'Timesheet Raw'!$B$4:$B$8000,TRIM($A400),'Timesheet Raw'!$C$4:$C$8000,"*"&amp;$B400&amp;"*",'Timesheet Raw'!$L$4:$L$8000,"&gt;="&amp;X$5,'Timesheet Raw'!$L$4:$L$8000,"&lt;="&amp;X$6)))/'Profit Plan'!$B$5)</f>
        <v/>
      </c>
      <c r="Y400" s="118">
        <f t="shared" si="102"/>
        <v>0</v>
      </c>
    </row>
    <row r="401" spans="1:25" x14ac:dyDescent="0.3">
      <c r="A401" s="116" t="str">
        <f>IF(Inputs!$A51="","",Inputs!$A51)</f>
        <v/>
      </c>
      <c r="B401" s="116" t="str">
        <f>IF(Inputs!$A51="","",Inputs!$A$92)</f>
        <v/>
      </c>
      <c r="C401" s="116"/>
      <c r="D401" s="122" t="str">
        <f>IF($A401="","",(IF(ISNUMBER(SEARCH("Proposal",$A401)),SUMIFS('Timesheet Raw'!$P$4:$P$8000,'Timesheet Raw'!$A$4:$A$8000,IF(ISNUMBER(SEARCH("Chargable",$A401)),"2-Proposals Chargeable","3-Proposals Regular"),'Timesheet Raw'!$C$4:$C$8000,"*"&amp;$B401&amp;"*",'Timesheet Raw'!$L$4:$L$8000,"&gt;="&amp;MAX(D$5,DATE(2000+VALUE(RIGHT(TRIM($A401),2)),1,1)),'Timesheet Raw'!$L$4:$L$8000,"&lt;="&amp;MIN(D$6,DATE(2000+VALUE(RIGHT(TRIM($A401),2)),12,31))),SUMIFS('Timesheet Raw'!$P$4:$P$8000,'Timesheet Raw'!$B$4:$B$8000,TRIM($A401),'Timesheet Raw'!$C$4:$C$8000,"*"&amp;$B401&amp;"*",'Timesheet Raw'!$L$4:$L$8000,"&gt;="&amp;D$5,'Timesheet Raw'!$L$4:$L$8000,"&lt;="&amp;D$6)))/'Profit Plan'!$B$5)</f>
        <v/>
      </c>
      <c r="E401" s="122" t="str">
        <f>IF($A401="","",(IF(ISNUMBER(SEARCH("Proposal",$A401)),SUMIFS('Timesheet Raw'!$P$4:$P$8000,'Timesheet Raw'!$A$4:$A$8000,IF(ISNUMBER(SEARCH("Chargable",$A401)),"2-Proposals Chargeable","3-Proposals Regular"),'Timesheet Raw'!$C$4:$C$8000,"*"&amp;$B401&amp;"*",'Timesheet Raw'!$L$4:$L$8000,"&gt;="&amp;MAX(E$5,DATE(2000+VALUE(RIGHT(TRIM($A401),2)),1,1)),'Timesheet Raw'!$L$4:$L$8000,"&lt;="&amp;MIN(E$6,DATE(2000+VALUE(RIGHT(TRIM($A401),2)),12,31))),SUMIFS('Timesheet Raw'!$P$4:$P$8000,'Timesheet Raw'!$B$4:$B$8000,TRIM($A401),'Timesheet Raw'!$C$4:$C$8000,"*"&amp;$B401&amp;"*",'Timesheet Raw'!$L$4:$L$8000,"&gt;="&amp;E$5,'Timesheet Raw'!$L$4:$L$8000,"&lt;="&amp;E$6)))/'Profit Plan'!$B$5)</f>
        <v/>
      </c>
      <c r="F401" s="122" t="str">
        <f>IF($A401="","",(IF(ISNUMBER(SEARCH("Proposal",$A401)),SUMIFS('Timesheet Raw'!$P$4:$P$8000,'Timesheet Raw'!$A$4:$A$8000,IF(ISNUMBER(SEARCH("Chargable",$A401)),"2-Proposals Chargeable","3-Proposals Regular"),'Timesheet Raw'!$C$4:$C$8000,"*"&amp;$B401&amp;"*",'Timesheet Raw'!$L$4:$L$8000,"&gt;="&amp;MAX(F$5,DATE(2000+VALUE(RIGHT(TRIM($A401),2)),1,1)),'Timesheet Raw'!$L$4:$L$8000,"&lt;="&amp;MIN(F$6,DATE(2000+VALUE(RIGHT(TRIM($A401),2)),12,31))),SUMIFS('Timesheet Raw'!$P$4:$P$8000,'Timesheet Raw'!$B$4:$B$8000,TRIM($A401),'Timesheet Raw'!$C$4:$C$8000,"*"&amp;$B401&amp;"*",'Timesheet Raw'!$L$4:$L$8000,"&gt;="&amp;F$5,'Timesheet Raw'!$L$4:$L$8000,"&lt;="&amp;F$6)))/'Profit Plan'!$B$5)</f>
        <v/>
      </c>
      <c r="G401" s="122" t="str">
        <f>IF($A401="","",(IF(ISNUMBER(SEARCH("Proposal",$A401)),SUMIFS('Timesheet Raw'!$P$4:$P$8000,'Timesheet Raw'!$A$4:$A$8000,IF(ISNUMBER(SEARCH("Chargable",$A401)),"2-Proposals Chargeable","3-Proposals Regular"),'Timesheet Raw'!$C$4:$C$8000,"*"&amp;$B401&amp;"*",'Timesheet Raw'!$L$4:$L$8000,"&gt;="&amp;MAX(G$5,DATE(2000+VALUE(RIGHT(TRIM($A401),2)),1,1)),'Timesheet Raw'!$L$4:$L$8000,"&lt;="&amp;MIN(G$6,DATE(2000+VALUE(RIGHT(TRIM($A401),2)),12,31))),SUMIFS('Timesheet Raw'!$P$4:$P$8000,'Timesheet Raw'!$B$4:$B$8000,TRIM($A401),'Timesheet Raw'!$C$4:$C$8000,"*"&amp;$B401&amp;"*",'Timesheet Raw'!$L$4:$L$8000,"&gt;="&amp;G$5,'Timesheet Raw'!$L$4:$L$8000,"&lt;="&amp;G$6)))/'Profit Plan'!$B$5)</f>
        <v/>
      </c>
      <c r="H401" s="122" t="str">
        <f>IF($A401="","",(IF(ISNUMBER(SEARCH("Proposal",$A401)),SUMIFS('Timesheet Raw'!$P$4:$P$8000,'Timesheet Raw'!$A$4:$A$8000,IF(ISNUMBER(SEARCH("Chargable",$A401)),"2-Proposals Chargeable","3-Proposals Regular"),'Timesheet Raw'!$C$4:$C$8000,"*"&amp;$B401&amp;"*",'Timesheet Raw'!$L$4:$L$8000,"&gt;="&amp;MAX(H$5,DATE(2000+VALUE(RIGHT(TRIM($A401),2)),1,1)),'Timesheet Raw'!$L$4:$L$8000,"&lt;="&amp;MIN(H$6,DATE(2000+VALUE(RIGHT(TRIM($A401),2)),12,31))),SUMIFS('Timesheet Raw'!$P$4:$P$8000,'Timesheet Raw'!$B$4:$B$8000,TRIM($A401),'Timesheet Raw'!$C$4:$C$8000,"*"&amp;$B401&amp;"*",'Timesheet Raw'!$L$4:$L$8000,"&gt;="&amp;H$5,'Timesheet Raw'!$L$4:$L$8000,"&lt;="&amp;H$6)))/'Profit Plan'!$B$5)</f>
        <v/>
      </c>
      <c r="I401" s="122" t="str">
        <f>IF($A401="","",(IF(ISNUMBER(SEARCH("Proposal",$A401)),SUMIFS('Timesheet Raw'!$P$4:$P$8000,'Timesheet Raw'!$A$4:$A$8000,IF(ISNUMBER(SEARCH("Chargable",$A401)),"2-Proposals Chargeable","3-Proposals Regular"),'Timesheet Raw'!$C$4:$C$8000,"*"&amp;$B401&amp;"*",'Timesheet Raw'!$L$4:$L$8000,"&gt;="&amp;MAX(I$5,DATE(2000+VALUE(RIGHT(TRIM($A401),2)),1,1)),'Timesheet Raw'!$L$4:$L$8000,"&lt;="&amp;MIN(I$6,DATE(2000+VALUE(RIGHT(TRIM($A401),2)),12,31))),SUMIFS('Timesheet Raw'!$P$4:$P$8000,'Timesheet Raw'!$B$4:$B$8000,TRIM($A401),'Timesheet Raw'!$C$4:$C$8000,"*"&amp;$B401&amp;"*",'Timesheet Raw'!$L$4:$L$8000,"&gt;="&amp;I$5,'Timesheet Raw'!$L$4:$L$8000,"&lt;="&amp;I$6)))/'Profit Plan'!$B$5)</f>
        <v/>
      </c>
      <c r="J401" s="122" t="str">
        <f>IF($A401="","",(IF(ISNUMBER(SEARCH("Proposal",$A401)),SUMIFS('Timesheet Raw'!$P$4:$P$8000,'Timesheet Raw'!$A$4:$A$8000,IF(ISNUMBER(SEARCH("Chargable",$A401)),"2-Proposals Chargeable","3-Proposals Regular"),'Timesheet Raw'!$C$4:$C$8000,"*"&amp;$B401&amp;"*",'Timesheet Raw'!$L$4:$L$8000,"&gt;="&amp;MAX(J$5,DATE(2000+VALUE(RIGHT(TRIM($A401),2)),1,1)),'Timesheet Raw'!$L$4:$L$8000,"&lt;="&amp;MIN(J$6,DATE(2000+VALUE(RIGHT(TRIM($A401),2)),12,31))),SUMIFS('Timesheet Raw'!$P$4:$P$8000,'Timesheet Raw'!$B$4:$B$8000,TRIM($A401),'Timesheet Raw'!$C$4:$C$8000,"*"&amp;$B401&amp;"*",'Timesheet Raw'!$L$4:$L$8000,"&gt;="&amp;J$5,'Timesheet Raw'!$L$4:$L$8000,"&lt;="&amp;J$6)))/'Profit Plan'!$B$5)</f>
        <v/>
      </c>
      <c r="K401" s="122" t="str">
        <f>IF($A401="","",(IF(ISNUMBER(SEARCH("Proposal",$A401)),SUMIFS('Timesheet Raw'!$P$4:$P$8000,'Timesheet Raw'!$A$4:$A$8000,IF(ISNUMBER(SEARCH("Chargable",$A401)),"2-Proposals Chargeable","3-Proposals Regular"),'Timesheet Raw'!$C$4:$C$8000,"*"&amp;$B401&amp;"*",'Timesheet Raw'!$L$4:$L$8000,"&gt;="&amp;MAX(K$5,DATE(2000+VALUE(RIGHT(TRIM($A401),2)),1,1)),'Timesheet Raw'!$L$4:$L$8000,"&lt;="&amp;MIN(K$6,DATE(2000+VALUE(RIGHT(TRIM($A401),2)),12,31))),SUMIFS('Timesheet Raw'!$P$4:$P$8000,'Timesheet Raw'!$B$4:$B$8000,TRIM($A401),'Timesheet Raw'!$C$4:$C$8000,"*"&amp;$B401&amp;"*",'Timesheet Raw'!$L$4:$L$8000,"&gt;="&amp;K$5,'Timesheet Raw'!$L$4:$L$8000,"&lt;="&amp;K$6)))/'Profit Plan'!$B$5)</f>
        <v/>
      </c>
      <c r="L401" s="122" t="str">
        <f>IF($A401="","",(IF(ISNUMBER(SEARCH("Proposal",$A401)),SUMIFS('Timesheet Raw'!$P$4:$P$8000,'Timesheet Raw'!$A$4:$A$8000,IF(ISNUMBER(SEARCH("Chargable",$A401)),"2-Proposals Chargeable","3-Proposals Regular"),'Timesheet Raw'!$C$4:$C$8000,"*"&amp;$B401&amp;"*",'Timesheet Raw'!$L$4:$L$8000,"&gt;="&amp;MAX(L$5,DATE(2000+VALUE(RIGHT(TRIM($A401),2)),1,1)),'Timesheet Raw'!$L$4:$L$8000,"&lt;="&amp;MIN(L$6,DATE(2000+VALUE(RIGHT(TRIM($A401),2)),12,31))),SUMIFS('Timesheet Raw'!$P$4:$P$8000,'Timesheet Raw'!$B$4:$B$8000,TRIM($A401),'Timesheet Raw'!$C$4:$C$8000,"*"&amp;$B401&amp;"*",'Timesheet Raw'!$L$4:$L$8000,"&gt;="&amp;L$5,'Timesheet Raw'!$L$4:$L$8000,"&lt;="&amp;L$6)))/'Profit Plan'!$B$5)</f>
        <v/>
      </c>
      <c r="M401" s="122" t="str">
        <f>IF($A401="","",(IF(ISNUMBER(SEARCH("Proposal",$A401)),SUMIFS('Timesheet Raw'!$P$4:$P$8000,'Timesheet Raw'!$A$4:$A$8000,IF(ISNUMBER(SEARCH("Chargable",$A401)),"2-Proposals Chargeable","3-Proposals Regular"),'Timesheet Raw'!$C$4:$C$8000,"*"&amp;$B401&amp;"*",'Timesheet Raw'!$L$4:$L$8000,"&gt;="&amp;MAX(M$5,DATE(2000+VALUE(RIGHT(TRIM($A401),2)),1,1)),'Timesheet Raw'!$L$4:$L$8000,"&lt;="&amp;MIN(M$6,DATE(2000+VALUE(RIGHT(TRIM($A401),2)),12,31))),SUMIFS('Timesheet Raw'!$P$4:$P$8000,'Timesheet Raw'!$B$4:$B$8000,TRIM($A401),'Timesheet Raw'!$C$4:$C$8000,"*"&amp;$B401&amp;"*",'Timesheet Raw'!$L$4:$L$8000,"&gt;="&amp;M$5,'Timesheet Raw'!$L$4:$L$8000,"&lt;="&amp;M$6)))/'Profit Plan'!$B$5)</f>
        <v/>
      </c>
      <c r="N401" s="122" t="str">
        <f>IF($A401="","",(IF(ISNUMBER(SEARCH("Proposal",$A401)),SUMIFS('Timesheet Raw'!$P$4:$P$8000,'Timesheet Raw'!$A$4:$A$8000,IF(ISNUMBER(SEARCH("Chargable",$A401)),"2-Proposals Chargeable","3-Proposals Regular"),'Timesheet Raw'!$C$4:$C$8000,"*"&amp;$B401&amp;"*",'Timesheet Raw'!$L$4:$L$8000,"&gt;="&amp;MAX(N$5,DATE(2000+VALUE(RIGHT(TRIM($A401),2)),1,1)),'Timesheet Raw'!$L$4:$L$8000,"&lt;="&amp;MIN(N$6,DATE(2000+VALUE(RIGHT(TRIM($A401),2)),12,31))),SUMIFS('Timesheet Raw'!$P$4:$P$8000,'Timesheet Raw'!$B$4:$B$8000,TRIM($A401),'Timesheet Raw'!$C$4:$C$8000,"*"&amp;$B401&amp;"*",'Timesheet Raw'!$L$4:$L$8000,"&gt;="&amp;N$5,'Timesheet Raw'!$L$4:$L$8000,"&lt;="&amp;N$6)))/'Profit Plan'!$B$5)</f>
        <v/>
      </c>
      <c r="O401" s="122" t="str">
        <f>IF($A401="","",(IF(ISNUMBER(SEARCH("Proposal",$A401)),SUMIFS('Timesheet Raw'!$P$4:$P$8000,'Timesheet Raw'!$A$4:$A$8000,IF(ISNUMBER(SEARCH("Chargable",$A401)),"2-Proposals Chargeable","3-Proposals Regular"),'Timesheet Raw'!$C$4:$C$8000,"*"&amp;$B401&amp;"*",'Timesheet Raw'!$L$4:$L$8000,"&gt;="&amp;MAX(O$5,DATE(2000+VALUE(RIGHT(TRIM($A401),2)),1,1)),'Timesheet Raw'!$L$4:$L$8000,"&lt;="&amp;MIN(O$6,DATE(2000+VALUE(RIGHT(TRIM($A401),2)),12,31))),SUMIFS('Timesheet Raw'!$P$4:$P$8000,'Timesheet Raw'!$B$4:$B$8000,TRIM($A401),'Timesheet Raw'!$C$4:$C$8000,"*"&amp;$B401&amp;"*",'Timesheet Raw'!$L$4:$L$8000,"&gt;="&amp;O$5,'Timesheet Raw'!$L$4:$L$8000,"&lt;="&amp;O$6)))/'Profit Plan'!$B$5)</f>
        <v/>
      </c>
      <c r="P401" s="122" t="str">
        <f>IF($A401="","",(IF(ISNUMBER(SEARCH("Proposal",$A401)),SUMIFS('Timesheet Raw'!$P$4:$P$8000,'Timesheet Raw'!$A$4:$A$8000,IF(ISNUMBER(SEARCH("Chargable",$A401)),"2-Proposals Chargeable","3-Proposals Regular"),'Timesheet Raw'!$C$4:$C$8000,"*"&amp;$B401&amp;"*",'Timesheet Raw'!$L$4:$L$8000,"&gt;="&amp;MAX(P$5,DATE(2000+VALUE(RIGHT(TRIM($A401),2)),1,1)),'Timesheet Raw'!$L$4:$L$8000,"&lt;="&amp;MIN(P$6,DATE(2000+VALUE(RIGHT(TRIM($A401),2)),12,31))),SUMIFS('Timesheet Raw'!$P$4:$P$8000,'Timesheet Raw'!$B$4:$B$8000,TRIM($A401),'Timesheet Raw'!$C$4:$C$8000,"*"&amp;$B401&amp;"*",'Timesheet Raw'!$L$4:$L$8000,"&gt;="&amp;P$5,'Timesheet Raw'!$L$4:$L$8000,"&lt;="&amp;P$6)))/'Profit Plan'!$B$5)</f>
        <v/>
      </c>
      <c r="Q401" s="122" t="str">
        <f>IF($A401="","",(IF(ISNUMBER(SEARCH("Proposal",$A401)),SUMIFS('Timesheet Raw'!$P$4:$P$8000,'Timesheet Raw'!$A$4:$A$8000,IF(ISNUMBER(SEARCH("Chargable",$A401)),"2-Proposals Chargeable","3-Proposals Regular"),'Timesheet Raw'!$C$4:$C$8000,"*"&amp;$B401&amp;"*",'Timesheet Raw'!$L$4:$L$8000,"&gt;="&amp;MAX(Q$5,DATE(2000+VALUE(RIGHT(TRIM($A401),2)),1,1)),'Timesheet Raw'!$L$4:$L$8000,"&lt;="&amp;MIN(Q$6,DATE(2000+VALUE(RIGHT(TRIM($A401),2)),12,31))),SUMIFS('Timesheet Raw'!$P$4:$P$8000,'Timesheet Raw'!$B$4:$B$8000,TRIM($A401),'Timesheet Raw'!$C$4:$C$8000,"*"&amp;$B401&amp;"*",'Timesheet Raw'!$L$4:$L$8000,"&gt;="&amp;Q$5,'Timesheet Raw'!$L$4:$L$8000,"&lt;="&amp;Q$6)))/'Profit Plan'!$B$5)</f>
        <v/>
      </c>
      <c r="R401" s="122" t="str">
        <f>IF($A401="","",(IF(ISNUMBER(SEARCH("Proposal",$A401)),SUMIFS('Timesheet Raw'!$P$4:$P$8000,'Timesheet Raw'!$A$4:$A$8000,IF(ISNUMBER(SEARCH("Chargable",$A401)),"2-Proposals Chargeable","3-Proposals Regular"),'Timesheet Raw'!$C$4:$C$8000,"*"&amp;$B401&amp;"*",'Timesheet Raw'!$L$4:$L$8000,"&gt;="&amp;MAX(R$5,DATE(2000+VALUE(RIGHT(TRIM($A401),2)),1,1)),'Timesheet Raw'!$L$4:$L$8000,"&lt;="&amp;MIN(R$6,DATE(2000+VALUE(RIGHT(TRIM($A401),2)),12,31))),SUMIFS('Timesheet Raw'!$P$4:$P$8000,'Timesheet Raw'!$B$4:$B$8000,TRIM($A401),'Timesheet Raw'!$C$4:$C$8000,"*"&amp;$B401&amp;"*",'Timesheet Raw'!$L$4:$L$8000,"&gt;="&amp;R$5,'Timesheet Raw'!$L$4:$L$8000,"&lt;="&amp;R$6)))/'Profit Plan'!$B$5)</f>
        <v/>
      </c>
      <c r="S401" s="122" t="str">
        <f>IF($A401="","",(IF(ISNUMBER(SEARCH("Proposal",$A401)),SUMIFS('Timesheet Raw'!$P$4:$P$8000,'Timesheet Raw'!$A$4:$A$8000,IF(ISNUMBER(SEARCH("Chargable",$A401)),"2-Proposals Chargeable","3-Proposals Regular"),'Timesheet Raw'!$C$4:$C$8000,"*"&amp;$B401&amp;"*",'Timesheet Raw'!$L$4:$L$8000,"&gt;="&amp;MAX(S$5,DATE(2000+VALUE(RIGHT(TRIM($A401),2)),1,1)),'Timesheet Raw'!$L$4:$L$8000,"&lt;="&amp;MIN(S$6,DATE(2000+VALUE(RIGHT(TRIM($A401),2)),12,31))),SUMIFS('Timesheet Raw'!$P$4:$P$8000,'Timesheet Raw'!$B$4:$B$8000,TRIM($A401),'Timesheet Raw'!$C$4:$C$8000,"*"&amp;$B401&amp;"*",'Timesheet Raw'!$L$4:$L$8000,"&gt;="&amp;S$5,'Timesheet Raw'!$L$4:$L$8000,"&lt;="&amp;S$6)))/'Profit Plan'!$B$5)</f>
        <v/>
      </c>
      <c r="T401" s="122" t="str">
        <f>IF($A401="","",(IF(ISNUMBER(SEARCH("Proposal",$A401)),SUMIFS('Timesheet Raw'!$P$4:$P$8000,'Timesheet Raw'!$A$4:$A$8000,IF(ISNUMBER(SEARCH("Chargable",$A401)),"2-Proposals Chargeable","3-Proposals Regular"),'Timesheet Raw'!$C$4:$C$8000,"*"&amp;$B401&amp;"*",'Timesheet Raw'!$L$4:$L$8000,"&gt;="&amp;MAX(T$5,DATE(2000+VALUE(RIGHT(TRIM($A401),2)),1,1)),'Timesheet Raw'!$L$4:$L$8000,"&lt;="&amp;MIN(T$6,DATE(2000+VALUE(RIGHT(TRIM($A401),2)),12,31))),SUMIFS('Timesheet Raw'!$P$4:$P$8000,'Timesheet Raw'!$B$4:$B$8000,TRIM($A401),'Timesheet Raw'!$C$4:$C$8000,"*"&amp;$B401&amp;"*",'Timesheet Raw'!$L$4:$L$8000,"&gt;="&amp;T$5,'Timesheet Raw'!$L$4:$L$8000,"&lt;="&amp;T$6)))/'Profit Plan'!$B$5)</f>
        <v/>
      </c>
      <c r="U401" s="122" t="str">
        <f>IF($A401="","",(IF(ISNUMBER(SEARCH("Proposal",$A401)),SUMIFS('Timesheet Raw'!$P$4:$P$8000,'Timesheet Raw'!$A$4:$A$8000,IF(ISNUMBER(SEARCH("Chargable",$A401)),"2-Proposals Chargeable","3-Proposals Regular"),'Timesheet Raw'!$C$4:$C$8000,"*"&amp;$B401&amp;"*",'Timesheet Raw'!$L$4:$L$8000,"&gt;="&amp;MAX(U$5,DATE(2000+VALUE(RIGHT(TRIM($A401),2)),1,1)),'Timesheet Raw'!$L$4:$L$8000,"&lt;="&amp;MIN(U$6,DATE(2000+VALUE(RIGHT(TRIM($A401),2)),12,31))),SUMIFS('Timesheet Raw'!$P$4:$P$8000,'Timesheet Raw'!$B$4:$B$8000,TRIM($A401),'Timesheet Raw'!$C$4:$C$8000,"*"&amp;$B401&amp;"*",'Timesheet Raw'!$L$4:$L$8000,"&gt;="&amp;U$5,'Timesheet Raw'!$L$4:$L$8000,"&lt;="&amp;U$6)))/'Profit Plan'!$B$5)</f>
        <v/>
      </c>
      <c r="V401" s="122" t="str">
        <f>IF($A401="","",(IF(ISNUMBER(SEARCH("Proposal",$A401)),SUMIFS('Timesheet Raw'!$P$4:$P$8000,'Timesheet Raw'!$A$4:$A$8000,IF(ISNUMBER(SEARCH("Chargable",$A401)),"2-Proposals Chargeable","3-Proposals Regular"),'Timesheet Raw'!$C$4:$C$8000,"*"&amp;$B401&amp;"*",'Timesheet Raw'!$L$4:$L$8000,"&gt;="&amp;MAX(V$5,DATE(2000+VALUE(RIGHT(TRIM($A401),2)),1,1)),'Timesheet Raw'!$L$4:$L$8000,"&lt;="&amp;MIN(V$6,DATE(2000+VALUE(RIGHT(TRIM($A401),2)),12,31))),SUMIFS('Timesheet Raw'!$P$4:$P$8000,'Timesheet Raw'!$B$4:$B$8000,TRIM($A401),'Timesheet Raw'!$C$4:$C$8000,"*"&amp;$B401&amp;"*",'Timesheet Raw'!$L$4:$L$8000,"&gt;="&amp;V$5,'Timesheet Raw'!$L$4:$L$8000,"&lt;="&amp;V$6)))/'Profit Plan'!$B$5)</f>
        <v/>
      </c>
      <c r="W401" s="122" t="str">
        <f>IF($A401="","",(IF(ISNUMBER(SEARCH("Proposal",$A401)),SUMIFS('Timesheet Raw'!$P$4:$P$8000,'Timesheet Raw'!$A$4:$A$8000,IF(ISNUMBER(SEARCH("Chargable",$A401)),"2-Proposals Chargeable","3-Proposals Regular"),'Timesheet Raw'!$C$4:$C$8000,"*"&amp;$B401&amp;"*",'Timesheet Raw'!$L$4:$L$8000,"&gt;="&amp;MAX(W$5,DATE(2000+VALUE(RIGHT(TRIM($A401),2)),1,1)),'Timesheet Raw'!$L$4:$L$8000,"&lt;="&amp;MIN(W$6,DATE(2000+VALUE(RIGHT(TRIM($A401),2)),12,31))),SUMIFS('Timesheet Raw'!$P$4:$P$8000,'Timesheet Raw'!$B$4:$B$8000,TRIM($A401),'Timesheet Raw'!$C$4:$C$8000,"*"&amp;$B401&amp;"*",'Timesheet Raw'!$L$4:$L$8000,"&gt;="&amp;W$5,'Timesheet Raw'!$L$4:$L$8000,"&lt;="&amp;W$6)))/'Profit Plan'!$B$5)</f>
        <v/>
      </c>
      <c r="X401" s="122" t="str">
        <f>IF($A401="","",(IF(ISNUMBER(SEARCH("Proposal",$A401)),SUMIFS('Timesheet Raw'!$P$4:$P$8000,'Timesheet Raw'!$A$4:$A$8000,IF(ISNUMBER(SEARCH("Chargable",$A401)),"2-Proposals Chargeable","3-Proposals Regular"),'Timesheet Raw'!$C$4:$C$8000,"*"&amp;$B401&amp;"*",'Timesheet Raw'!$L$4:$L$8000,"&gt;="&amp;MAX(X$5,DATE(2000+VALUE(RIGHT(TRIM($A401),2)),1,1)),'Timesheet Raw'!$L$4:$L$8000,"&lt;="&amp;MIN(X$6,DATE(2000+VALUE(RIGHT(TRIM($A401),2)),12,31))),SUMIFS('Timesheet Raw'!$P$4:$P$8000,'Timesheet Raw'!$B$4:$B$8000,TRIM($A401),'Timesheet Raw'!$C$4:$C$8000,"*"&amp;$B401&amp;"*",'Timesheet Raw'!$L$4:$L$8000,"&gt;="&amp;X$5,'Timesheet Raw'!$L$4:$L$8000,"&lt;="&amp;X$6)))/'Profit Plan'!$B$5)</f>
        <v/>
      </c>
      <c r="Y401" s="118">
        <f t="shared" si="102"/>
        <v>0</v>
      </c>
    </row>
    <row r="402" spans="1:25" x14ac:dyDescent="0.3">
      <c r="A402" s="116" t="str">
        <f>IF(Inputs!$A51="","",Inputs!$A51)</f>
        <v/>
      </c>
      <c r="B402" s="116" t="str">
        <f>IF(Inputs!$A51="","",Inputs!$A$93)</f>
        <v/>
      </c>
      <c r="C402" s="116"/>
      <c r="D402" s="122" t="str">
        <f>IF($A402="","",(IF(ISNUMBER(SEARCH("Proposal",$A402)),SUMIFS('Timesheet Raw'!$P$4:$P$8000,'Timesheet Raw'!$A$4:$A$8000,IF(ISNUMBER(SEARCH("Chargable",$A402)),"2-Proposals Chargeable","3-Proposals Regular"),'Timesheet Raw'!$C$4:$C$8000,"*"&amp;$B402&amp;"*",'Timesheet Raw'!$L$4:$L$8000,"&gt;="&amp;MAX(D$5,DATE(2000+VALUE(RIGHT(TRIM($A402),2)),1,1)),'Timesheet Raw'!$L$4:$L$8000,"&lt;="&amp;MIN(D$6,DATE(2000+VALUE(RIGHT(TRIM($A402),2)),12,31))),SUMIFS('Timesheet Raw'!$P$4:$P$8000,'Timesheet Raw'!$B$4:$B$8000,TRIM($A402),'Timesheet Raw'!$C$4:$C$8000,"*"&amp;$B402&amp;"*",'Timesheet Raw'!$L$4:$L$8000,"&gt;="&amp;D$5,'Timesheet Raw'!$L$4:$L$8000,"&lt;="&amp;D$6)))/'Profit Plan'!$B$5)</f>
        <v/>
      </c>
      <c r="E402" s="122" t="str">
        <f>IF($A402="","",(IF(ISNUMBER(SEARCH("Proposal",$A402)),SUMIFS('Timesheet Raw'!$P$4:$P$8000,'Timesheet Raw'!$A$4:$A$8000,IF(ISNUMBER(SEARCH("Chargable",$A402)),"2-Proposals Chargeable","3-Proposals Regular"),'Timesheet Raw'!$C$4:$C$8000,"*"&amp;$B402&amp;"*",'Timesheet Raw'!$L$4:$L$8000,"&gt;="&amp;MAX(E$5,DATE(2000+VALUE(RIGHT(TRIM($A402),2)),1,1)),'Timesheet Raw'!$L$4:$L$8000,"&lt;="&amp;MIN(E$6,DATE(2000+VALUE(RIGHT(TRIM($A402),2)),12,31))),SUMIFS('Timesheet Raw'!$P$4:$P$8000,'Timesheet Raw'!$B$4:$B$8000,TRIM($A402),'Timesheet Raw'!$C$4:$C$8000,"*"&amp;$B402&amp;"*",'Timesheet Raw'!$L$4:$L$8000,"&gt;="&amp;E$5,'Timesheet Raw'!$L$4:$L$8000,"&lt;="&amp;E$6)))/'Profit Plan'!$B$5)</f>
        <v/>
      </c>
      <c r="F402" s="122" t="str">
        <f>IF($A402="","",(IF(ISNUMBER(SEARCH("Proposal",$A402)),SUMIFS('Timesheet Raw'!$P$4:$P$8000,'Timesheet Raw'!$A$4:$A$8000,IF(ISNUMBER(SEARCH("Chargable",$A402)),"2-Proposals Chargeable","3-Proposals Regular"),'Timesheet Raw'!$C$4:$C$8000,"*"&amp;$B402&amp;"*",'Timesheet Raw'!$L$4:$L$8000,"&gt;="&amp;MAX(F$5,DATE(2000+VALUE(RIGHT(TRIM($A402),2)),1,1)),'Timesheet Raw'!$L$4:$L$8000,"&lt;="&amp;MIN(F$6,DATE(2000+VALUE(RIGHT(TRIM($A402),2)),12,31))),SUMIFS('Timesheet Raw'!$P$4:$P$8000,'Timesheet Raw'!$B$4:$B$8000,TRIM($A402),'Timesheet Raw'!$C$4:$C$8000,"*"&amp;$B402&amp;"*",'Timesheet Raw'!$L$4:$L$8000,"&gt;="&amp;F$5,'Timesheet Raw'!$L$4:$L$8000,"&lt;="&amp;F$6)))/'Profit Plan'!$B$5)</f>
        <v/>
      </c>
      <c r="G402" s="122" t="str">
        <f>IF($A402="","",(IF(ISNUMBER(SEARCH("Proposal",$A402)),SUMIFS('Timesheet Raw'!$P$4:$P$8000,'Timesheet Raw'!$A$4:$A$8000,IF(ISNUMBER(SEARCH("Chargable",$A402)),"2-Proposals Chargeable","3-Proposals Regular"),'Timesheet Raw'!$C$4:$C$8000,"*"&amp;$B402&amp;"*",'Timesheet Raw'!$L$4:$L$8000,"&gt;="&amp;MAX(G$5,DATE(2000+VALUE(RIGHT(TRIM($A402),2)),1,1)),'Timesheet Raw'!$L$4:$L$8000,"&lt;="&amp;MIN(G$6,DATE(2000+VALUE(RIGHT(TRIM($A402),2)),12,31))),SUMIFS('Timesheet Raw'!$P$4:$P$8000,'Timesheet Raw'!$B$4:$B$8000,TRIM($A402),'Timesheet Raw'!$C$4:$C$8000,"*"&amp;$B402&amp;"*",'Timesheet Raw'!$L$4:$L$8000,"&gt;="&amp;G$5,'Timesheet Raw'!$L$4:$L$8000,"&lt;="&amp;G$6)))/'Profit Plan'!$B$5)</f>
        <v/>
      </c>
      <c r="H402" s="122" t="str">
        <f>IF($A402="","",(IF(ISNUMBER(SEARCH("Proposal",$A402)),SUMIFS('Timesheet Raw'!$P$4:$P$8000,'Timesheet Raw'!$A$4:$A$8000,IF(ISNUMBER(SEARCH("Chargable",$A402)),"2-Proposals Chargeable","3-Proposals Regular"),'Timesheet Raw'!$C$4:$C$8000,"*"&amp;$B402&amp;"*",'Timesheet Raw'!$L$4:$L$8000,"&gt;="&amp;MAX(H$5,DATE(2000+VALUE(RIGHT(TRIM($A402),2)),1,1)),'Timesheet Raw'!$L$4:$L$8000,"&lt;="&amp;MIN(H$6,DATE(2000+VALUE(RIGHT(TRIM($A402),2)),12,31))),SUMIFS('Timesheet Raw'!$P$4:$P$8000,'Timesheet Raw'!$B$4:$B$8000,TRIM($A402),'Timesheet Raw'!$C$4:$C$8000,"*"&amp;$B402&amp;"*",'Timesheet Raw'!$L$4:$L$8000,"&gt;="&amp;H$5,'Timesheet Raw'!$L$4:$L$8000,"&lt;="&amp;H$6)))/'Profit Plan'!$B$5)</f>
        <v/>
      </c>
      <c r="I402" s="122" t="str">
        <f>IF($A402="","",(IF(ISNUMBER(SEARCH("Proposal",$A402)),SUMIFS('Timesheet Raw'!$P$4:$P$8000,'Timesheet Raw'!$A$4:$A$8000,IF(ISNUMBER(SEARCH("Chargable",$A402)),"2-Proposals Chargeable","3-Proposals Regular"),'Timesheet Raw'!$C$4:$C$8000,"*"&amp;$B402&amp;"*",'Timesheet Raw'!$L$4:$L$8000,"&gt;="&amp;MAX(I$5,DATE(2000+VALUE(RIGHT(TRIM($A402),2)),1,1)),'Timesheet Raw'!$L$4:$L$8000,"&lt;="&amp;MIN(I$6,DATE(2000+VALUE(RIGHT(TRIM($A402),2)),12,31))),SUMIFS('Timesheet Raw'!$P$4:$P$8000,'Timesheet Raw'!$B$4:$B$8000,TRIM($A402),'Timesheet Raw'!$C$4:$C$8000,"*"&amp;$B402&amp;"*",'Timesheet Raw'!$L$4:$L$8000,"&gt;="&amp;I$5,'Timesheet Raw'!$L$4:$L$8000,"&lt;="&amp;I$6)))/'Profit Plan'!$B$5)</f>
        <v/>
      </c>
      <c r="J402" s="122" t="str">
        <f>IF($A402="","",(IF(ISNUMBER(SEARCH("Proposal",$A402)),SUMIFS('Timesheet Raw'!$P$4:$P$8000,'Timesheet Raw'!$A$4:$A$8000,IF(ISNUMBER(SEARCH("Chargable",$A402)),"2-Proposals Chargeable","3-Proposals Regular"),'Timesheet Raw'!$C$4:$C$8000,"*"&amp;$B402&amp;"*",'Timesheet Raw'!$L$4:$L$8000,"&gt;="&amp;MAX(J$5,DATE(2000+VALUE(RIGHT(TRIM($A402),2)),1,1)),'Timesheet Raw'!$L$4:$L$8000,"&lt;="&amp;MIN(J$6,DATE(2000+VALUE(RIGHT(TRIM($A402),2)),12,31))),SUMIFS('Timesheet Raw'!$P$4:$P$8000,'Timesheet Raw'!$B$4:$B$8000,TRIM($A402),'Timesheet Raw'!$C$4:$C$8000,"*"&amp;$B402&amp;"*",'Timesheet Raw'!$L$4:$L$8000,"&gt;="&amp;J$5,'Timesheet Raw'!$L$4:$L$8000,"&lt;="&amp;J$6)))/'Profit Plan'!$B$5)</f>
        <v/>
      </c>
      <c r="K402" s="122" t="str">
        <f>IF($A402="","",(IF(ISNUMBER(SEARCH("Proposal",$A402)),SUMIFS('Timesheet Raw'!$P$4:$P$8000,'Timesheet Raw'!$A$4:$A$8000,IF(ISNUMBER(SEARCH("Chargable",$A402)),"2-Proposals Chargeable","3-Proposals Regular"),'Timesheet Raw'!$C$4:$C$8000,"*"&amp;$B402&amp;"*",'Timesheet Raw'!$L$4:$L$8000,"&gt;="&amp;MAX(K$5,DATE(2000+VALUE(RIGHT(TRIM($A402),2)),1,1)),'Timesheet Raw'!$L$4:$L$8000,"&lt;="&amp;MIN(K$6,DATE(2000+VALUE(RIGHT(TRIM($A402),2)),12,31))),SUMIFS('Timesheet Raw'!$P$4:$P$8000,'Timesheet Raw'!$B$4:$B$8000,TRIM($A402),'Timesheet Raw'!$C$4:$C$8000,"*"&amp;$B402&amp;"*",'Timesheet Raw'!$L$4:$L$8000,"&gt;="&amp;K$5,'Timesheet Raw'!$L$4:$L$8000,"&lt;="&amp;K$6)))/'Profit Plan'!$B$5)</f>
        <v/>
      </c>
      <c r="L402" s="122" t="str">
        <f>IF($A402="","",(IF(ISNUMBER(SEARCH("Proposal",$A402)),SUMIFS('Timesheet Raw'!$P$4:$P$8000,'Timesheet Raw'!$A$4:$A$8000,IF(ISNUMBER(SEARCH("Chargable",$A402)),"2-Proposals Chargeable","3-Proposals Regular"),'Timesheet Raw'!$C$4:$C$8000,"*"&amp;$B402&amp;"*",'Timesheet Raw'!$L$4:$L$8000,"&gt;="&amp;MAX(L$5,DATE(2000+VALUE(RIGHT(TRIM($A402),2)),1,1)),'Timesheet Raw'!$L$4:$L$8000,"&lt;="&amp;MIN(L$6,DATE(2000+VALUE(RIGHT(TRIM($A402),2)),12,31))),SUMIFS('Timesheet Raw'!$P$4:$P$8000,'Timesheet Raw'!$B$4:$B$8000,TRIM($A402),'Timesheet Raw'!$C$4:$C$8000,"*"&amp;$B402&amp;"*",'Timesheet Raw'!$L$4:$L$8000,"&gt;="&amp;L$5,'Timesheet Raw'!$L$4:$L$8000,"&lt;="&amp;L$6)))/'Profit Plan'!$B$5)</f>
        <v/>
      </c>
      <c r="M402" s="122" t="str">
        <f>IF($A402="","",(IF(ISNUMBER(SEARCH("Proposal",$A402)),SUMIFS('Timesheet Raw'!$P$4:$P$8000,'Timesheet Raw'!$A$4:$A$8000,IF(ISNUMBER(SEARCH("Chargable",$A402)),"2-Proposals Chargeable","3-Proposals Regular"),'Timesheet Raw'!$C$4:$C$8000,"*"&amp;$B402&amp;"*",'Timesheet Raw'!$L$4:$L$8000,"&gt;="&amp;MAX(M$5,DATE(2000+VALUE(RIGHT(TRIM($A402),2)),1,1)),'Timesheet Raw'!$L$4:$L$8000,"&lt;="&amp;MIN(M$6,DATE(2000+VALUE(RIGHT(TRIM($A402),2)),12,31))),SUMIFS('Timesheet Raw'!$P$4:$P$8000,'Timesheet Raw'!$B$4:$B$8000,TRIM($A402),'Timesheet Raw'!$C$4:$C$8000,"*"&amp;$B402&amp;"*",'Timesheet Raw'!$L$4:$L$8000,"&gt;="&amp;M$5,'Timesheet Raw'!$L$4:$L$8000,"&lt;="&amp;M$6)))/'Profit Plan'!$B$5)</f>
        <v/>
      </c>
      <c r="N402" s="122" t="str">
        <f>IF($A402="","",(IF(ISNUMBER(SEARCH("Proposal",$A402)),SUMIFS('Timesheet Raw'!$P$4:$P$8000,'Timesheet Raw'!$A$4:$A$8000,IF(ISNUMBER(SEARCH("Chargable",$A402)),"2-Proposals Chargeable","3-Proposals Regular"),'Timesheet Raw'!$C$4:$C$8000,"*"&amp;$B402&amp;"*",'Timesheet Raw'!$L$4:$L$8000,"&gt;="&amp;MAX(N$5,DATE(2000+VALUE(RIGHT(TRIM($A402),2)),1,1)),'Timesheet Raw'!$L$4:$L$8000,"&lt;="&amp;MIN(N$6,DATE(2000+VALUE(RIGHT(TRIM($A402),2)),12,31))),SUMIFS('Timesheet Raw'!$P$4:$P$8000,'Timesheet Raw'!$B$4:$B$8000,TRIM($A402),'Timesheet Raw'!$C$4:$C$8000,"*"&amp;$B402&amp;"*",'Timesheet Raw'!$L$4:$L$8000,"&gt;="&amp;N$5,'Timesheet Raw'!$L$4:$L$8000,"&lt;="&amp;N$6)))/'Profit Plan'!$B$5)</f>
        <v/>
      </c>
      <c r="O402" s="122" t="str">
        <f>IF($A402="","",(IF(ISNUMBER(SEARCH("Proposal",$A402)),SUMIFS('Timesheet Raw'!$P$4:$P$8000,'Timesheet Raw'!$A$4:$A$8000,IF(ISNUMBER(SEARCH("Chargable",$A402)),"2-Proposals Chargeable","3-Proposals Regular"),'Timesheet Raw'!$C$4:$C$8000,"*"&amp;$B402&amp;"*",'Timesheet Raw'!$L$4:$L$8000,"&gt;="&amp;MAX(O$5,DATE(2000+VALUE(RIGHT(TRIM($A402),2)),1,1)),'Timesheet Raw'!$L$4:$L$8000,"&lt;="&amp;MIN(O$6,DATE(2000+VALUE(RIGHT(TRIM($A402),2)),12,31))),SUMIFS('Timesheet Raw'!$P$4:$P$8000,'Timesheet Raw'!$B$4:$B$8000,TRIM($A402),'Timesheet Raw'!$C$4:$C$8000,"*"&amp;$B402&amp;"*",'Timesheet Raw'!$L$4:$L$8000,"&gt;="&amp;O$5,'Timesheet Raw'!$L$4:$L$8000,"&lt;="&amp;O$6)))/'Profit Plan'!$B$5)</f>
        <v/>
      </c>
      <c r="P402" s="122" t="str">
        <f>IF($A402="","",(IF(ISNUMBER(SEARCH("Proposal",$A402)),SUMIFS('Timesheet Raw'!$P$4:$P$8000,'Timesheet Raw'!$A$4:$A$8000,IF(ISNUMBER(SEARCH("Chargable",$A402)),"2-Proposals Chargeable","3-Proposals Regular"),'Timesheet Raw'!$C$4:$C$8000,"*"&amp;$B402&amp;"*",'Timesheet Raw'!$L$4:$L$8000,"&gt;="&amp;MAX(P$5,DATE(2000+VALUE(RIGHT(TRIM($A402),2)),1,1)),'Timesheet Raw'!$L$4:$L$8000,"&lt;="&amp;MIN(P$6,DATE(2000+VALUE(RIGHT(TRIM($A402),2)),12,31))),SUMIFS('Timesheet Raw'!$P$4:$P$8000,'Timesheet Raw'!$B$4:$B$8000,TRIM($A402),'Timesheet Raw'!$C$4:$C$8000,"*"&amp;$B402&amp;"*",'Timesheet Raw'!$L$4:$L$8000,"&gt;="&amp;P$5,'Timesheet Raw'!$L$4:$L$8000,"&lt;="&amp;P$6)))/'Profit Plan'!$B$5)</f>
        <v/>
      </c>
      <c r="Q402" s="122" t="str">
        <f>IF($A402="","",(IF(ISNUMBER(SEARCH("Proposal",$A402)),SUMIFS('Timesheet Raw'!$P$4:$P$8000,'Timesheet Raw'!$A$4:$A$8000,IF(ISNUMBER(SEARCH("Chargable",$A402)),"2-Proposals Chargeable","3-Proposals Regular"),'Timesheet Raw'!$C$4:$C$8000,"*"&amp;$B402&amp;"*",'Timesheet Raw'!$L$4:$L$8000,"&gt;="&amp;MAX(Q$5,DATE(2000+VALUE(RIGHT(TRIM($A402),2)),1,1)),'Timesheet Raw'!$L$4:$L$8000,"&lt;="&amp;MIN(Q$6,DATE(2000+VALUE(RIGHT(TRIM($A402),2)),12,31))),SUMIFS('Timesheet Raw'!$P$4:$P$8000,'Timesheet Raw'!$B$4:$B$8000,TRIM($A402),'Timesheet Raw'!$C$4:$C$8000,"*"&amp;$B402&amp;"*",'Timesheet Raw'!$L$4:$L$8000,"&gt;="&amp;Q$5,'Timesheet Raw'!$L$4:$L$8000,"&lt;="&amp;Q$6)))/'Profit Plan'!$B$5)</f>
        <v/>
      </c>
      <c r="R402" s="122" t="str">
        <f>IF($A402="","",(IF(ISNUMBER(SEARCH("Proposal",$A402)),SUMIFS('Timesheet Raw'!$P$4:$P$8000,'Timesheet Raw'!$A$4:$A$8000,IF(ISNUMBER(SEARCH("Chargable",$A402)),"2-Proposals Chargeable","3-Proposals Regular"),'Timesheet Raw'!$C$4:$C$8000,"*"&amp;$B402&amp;"*",'Timesheet Raw'!$L$4:$L$8000,"&gt;="&amp;MAX(R$5,DATE(2000+VALUE(RIGHT(TRIM($A402),2)),1,1)),'Timesheet Raw'!$L$4:$L$8000,"&lt;="&amp;MIN(R$6,DATE(2000+VALUE(RIGHT(TRIM($A402),2)),12,31))),SUMIFS('Timesheet Raw'!$P$4:$P$8000,'Timesheet Raw'!$B$4:$B$8000,TRIM($A402),'Timesheet Raw'!$C$4:$C$8000,"*"&amp;$B402&amp;"*",'Timesheet Raw'!$L$4:$L$8000,"&gt;="&amp;R$5,'Timesheet Raw'!$L$4:$L$8000,"&lt;="&amp;R$6)))/'Profit Plan'!$B$5)</f>
        <v/>
      </c>
      <c r="S402" s="122" t="str">
        <f>IF($A402="","",(IF(ISNUMBER(SEARCH("Proposal",$A402)),SUMIFS('Timesheet Raw'!$P$4:$P$8000,'Timesheet Raw'!$A$4:$A$8000,IF(ISNUMBER(SEARCH("Chargable",$A402)),"2-Proposals Chargeable","3-Proposals Regular"),'Timesheet Raw'!$C$4:$C$8000,"*"&amp;$B402&amp;"*",'Timesheet Raw'!$L$4:$L$8000,"&gt;="&amp;MAX(S$5,DATE(2000+VALUE(RIGHT(TRIM($A402),2)),1,1)),'Timesheet Raw'!$L$4:$L$8000,"&lt;="&amp;MIN(S$6,DATE(2000+VALUE(RIGHT(TRIM($A402),2)),12,31))),SUMIFS('Timesheet Raw'!$P$4:$P$8000,'Timesheet Raw'!$B$4:$B$8000,TRIM($A402),'Timesheet Raw'!$C$4:$C$8000,"*"&amp;$B402&amp;"*",'Timesheet Raw'!$L$4:$L$8000,"&gt;="&amp;S$5,'Timesheet Raw'!$L$4:$L$8000,"&lt;="&amp;S$6)))/'Profit Plan'!$B$5)</f>
        <v/>
      </c>
      <c r="T402" s="122" t="str">
        <f>IF($A402="","",(IF(ISNUMBER(SEARCH("Proposal",$A402)),SUMIFS('Timesheet Raw'!$P$4:$P$8000,'Timesheet Raw'!$A$4:$A$8000,IF(ISNUMBER(SEARCH("Chargable",$A402)),"2-Proposals Chargeable","3-Proposals Regular"),'Timesheet Raw'!$C$4:$C$8000,"*"&amp;$B402&amp;"*",'Timesheet Raw'!$L$4:$L$8000,"&gt;="&amp;MAX(T$5,DATE(2000+VALUE(RIGHT(TRIM($A402),2)),1,1)),'Timesheet Raw'!$L$4:$L$8000,"&lt;="&amp;MIN(T$6,DATE(2000+VALUE(RIGHT(TRIM($A402),2)),12,31))),SUMIFS('Timesheet Raw'!$P$4:$P$8000,'Timesheet Raw'!$B$4:$B$8000,TRIM($A402),'Timesheet Raw'!$C$4:$C$8000,"*"&amp;$B402&amp;"*",'Timesheet Raw'!$L$4:$L$8000,"&gt;="&amp;T$5,'Timesheet Raw'!$L$4:$L$8000,"&lt;="&amp;T$6)))/'Profit Plan'!$B$5)</f>
        <v/>
      </c>
      <c r="U402" s="122" t="str">
        <f>IF($A402="","",(IF(ISNUMBER(SEARCH("Proposal",$A402)),SUMIFS('Timesheet Raw'!$P$4:$P$8000,'Timesheet Raw'!$A$4:$A$8000,IF(ISNUMBER(SEARCH("Chargable",$A402)),"2-Proposals Chargeable","3-Proposals Regular"),'Timesheet Raw'!$C$4:$C$8000,"*"&amp;$B402&amp;"*",'Timesheet Raw'!$L$4:$L$8000,"&gt;="&amp;MAX(U$5,DATE(2000+VALUE(RIGHT(TRIM($A402),2)),1,1)),'Timesheet Raw'!$L$4:$L$8000,"&lt;="&amp;MIN(U$6,DATE(2000+VALUE(RIGHT(TRIM($A402),2)),12,31))),SUMIFS('Timesheet Raw'!$P$4:$P$8000,'Timesheet Raw'!$B$4:$B$8000,TRIM($A402),'Timesheet Raw'!$C$4:$C$8000,"*"&amp;$B402&amp;"*",'Timesheet Raw'!$L$4:$L$8000,"&gt;="&amp;U$5,'Timesheet Raw'!$L$4:$L$8000,"&lt;="&amp;U$6)))/'Profit Plan'!$B$5)</f>
        <v/>
      </c>
      <c r="V402" s="122" t="str">
        <f>IF($A402="","",(IF(ISNUMBER(SEARCH("Proposal",$A402)),SUMIFS('Timesheet Raw'!$P$4:$P$8000,'Timesheet Raw'!$A$4:$A$8000,IF(ISNUMBER(SEARCH("Chargable",$A402)),"2-Proposals Chargeable","3-Proposals Regular"),'Timesheet Raw'!$C$4:$C$8000,"*"&amp;$B402&amp;"*",'Timesheet Raw'!$L$4:$L$8000,"&gt;="&amp;MAX(V$5,DATE(2000+VALUE(RIGHT(TRIM($A402),2)),1,1)),'Timesheet Raw'!$L$4:$L$8000,"&lt;="&amp;MIN(V$6,DATE(2000+VALUE(RIGHT(TRIM($A402),2)),12,31))),SUMIFS('Timesheet Raw'!$P$4:$P$8000,'Timesheet Raw'!$B$4:$B$8000,TRIM($A402),'Timesheet Raw'!$C$4:$C$8000,"*"&amp;$B402&amp;"*",'Timesheet Raw'!$L$4:$L$8000,"&gt;="&amp;V$5,'Timesheet Raw'!$L$4:$L$8000,"&lt;="&amp;V$6)))/'Profit Plan'!$B$5)</f>
        <v/>
      </c>
      <c r="W402" s="122" t="str">
        <f>IF($A402="","",(IF(ISNUMBER(SEARCH("Proposal",$A402)),SUMIFS('Timesheet Raw'!$P$4:$P$8000,'Timesheet Raw'!$A$4:$A$8000,IF(ISNUMBER(SEARCH("Chargable",$A402)),"2-Proposals Chargeable","3-Proposals Regular"),'Timesheet Raw'!$C$4:$C$8000,"*"&amp;$B402&amp;"*",'Timesheet Raw'!$L$4:$L$8000,"&gt;="&amp;MAX(W$5,DATE(2000+VALUE(RIGHT(TRIM($A402),2)),1,1)),'Timesheet Raw'!$L$4:$L$8000,"&lt;="&amp;MIN(W$6,DATE(2000+VALUE(RIGHT(TRIM($A402),2)),12,31))),SUMIFS('Timesheet Raw'!$P$4:$P$8000,'Timesheet Raw'!$B$4:$B$8000,TRIM($A402),'Timesheet Raw'!$C$4:$C$8000,"*"&amp;$B402&amp;"*",'Timesheet Raw'!$L$4:$L$8000,"&gt;="&amp;W$5,'Timesheet Raw'!$L$4:$L$8000,"&lt;="&amp;W$6)))/'Profit Plan'!$B$5)</f>
        <v/>
      </c>
      <c r="X402" s="122" t="str">
        <f>IF($A402="","",(IF(ISNUMBER(SEARCH("Proposal",$A402)),SUMIFS('Timesheet Raw'!$P$4:$P$8000,'Timesheet Raw'!$A$4:$A$8000,IF(ISNUMBER(SEARCH("Chargable",$A402)),"2-Proposals Chargeable","3-Proposals Regular"),'Timesheet Raw'!$C$4:$C$8000,"*"&amp;$B402&amp;"*",'Timesheet Raw'!$L$4:$L$8000,"&gt;="&amp;MAX(X$5,DATE(2000+VALUE(RIGHT(TRIM($A402),2)),1,1)),'Timesheet Raw'!$L$4:$L$8000,"&lt;="&amp;MIN(X$6,DATE(2000+VALUE(RIGHT(TRIM($A402),2)),12,31))),SUMIFS('Timesheet Raw'!$P$4:$P$8000,'Timesheet Raw'!$B$4:$B$8000,TRIM($A402),'Timesheet Raw'!$C$4:$C$8000,"*"&amp;$B402&amp;"*",'Timesheet Raw'!$L$4:$L$8000,"&gt;="&amp;X$5,'Timesheet Raw'!$L$4:$L$8000,"&lt;="&amp;X$6)))/'Profit Plan'!$B$5)</f>
        <v/>
      </c>
      <c r="Y402" s="118">
        <f t="shared" si="102"/>
        <v>0</v>
      </c>
    </row>
    <row r="403" spans="1:25" x14ac:dyDescent="0.3">
      <c r="A403" s="116" t="str">
        <f>IF(Inputs!$A52="","",Inputs!$A52)</f>
        <v/>
      </c>
      <c r="B403" s="116" t="str">
        <f>IF(Inputs!$A52="","",Inputs!$A$91)</f>
        <v/>
      </c>
      <c r="C403" s="116"/>
      <c r="D403" s="122" t="str">
        <f>IF($A403="","",(IF(ISNUMBER(SEARCH("Proposal",$A403)),SUMIFS('Timesheet Raw'!$P$4:$P$8000,'Timesheet Raw'!$A$4:$A$8000,IF(ISNUMBER(SEARCH("Chargable",$A403)),"2-Proposals Chargeable","3-Proposals Regular"),'Timesheet Raw'!$C$4:$C$8000,"*"&amp;$B403&amp;"*",'Timesheet Raw'!$L$4:$L$8000,"&gt;="&amp;MAX(D$5,DATE(2000+VALUE(RIGHT(TRIM($A403),2)),1,1)),'Timesheet Raw'!$L$4:$L$8000,"&lt;="&amp;MIN(D$6,DATE(2000+VALUE(RIGHT(TRIM($A403),2)),12,31))),SUMIFS('Timesheet Raw'!$P$4:$P$8000,'Timesheet Raw'!$B$4:$B$8000,TRIM($A403),'Timesheet Raw'!$C$4:$C$8000,"*"&amp;$B403&amp;"*",'Timesheet Raw'!$L$4:$L$8000,"&gt;="&amp;D$5,'Timesheet Raw'!$L$4:$L$8000,"&lt;="&amp;D$6)))/'Profit Plan'!$B$5)</f>
        <v/>
      </c>
      <c r="E403" s="122" t="str">
        <f>IF($A403="","",(IF(ISNUMBER(SEARCH("Proposal",$A403)),SUMIFS('Timesheet Raw'!$P$4:$P$8000,'Timesheet Raw'!$A$4:$A$8000,IF(ISNUMBER(SEARCH("Chargable",$A403)),"2-Proposals Chargeable","3-Proposals Regular"),'Timesheet Raw'!$C$4:$C$8000,"*"&amp;$B403&amp;"*",'Timesheet Raw'!$L$4:$L$8000,"&gt;="&amp;MAX(E$5,DATE(2000+VALUE(RIGHT(TRIM($A403),2)),1,1)),'Timesheet Raw'!$L$4:$L$8000,"&lt;="&amp;MIN(E$6,DATE(2000+VALUE(RIGHT(TRIM($A403),2)),12,31))),SUMIFS('Timesheet Raw'!$P$4:$P$8000,'Timesheet Raw'!$B$4:$B$8000,TRIM($A403),'Timesheet Raw'!$C$4:$C$8000,"*"&amp;$B403&amp;"*",'Timesheet Raw'!$L$4:$L$8000,"&gt;="&amp;E$5,'Timesheet Raw'!$L$4:$L$8000,"&lt;="&amp;E$6)))/'Profit Plan'!$B$5)</f>
        <v/>
      </c>
      <c r="F403" s="122" t="str">
        <f>IF($A403="","",(IF(ISNUMBER(SEARCH("Proposal",$A403)),SUMIFS('Timesheet Raw'!$P$4:$P$8000,'Timesheet Raw'!$A$4:$A$8000,IF(ISNUMBER(SEARCH("Chargable",$A403)),"2-Proposals Chargeable","3-Proposals Regular"),'Timesheet Raw'!$C$4:$C$8000,"*"&amp;$B403&amp;"*",'Timesheet Raw'!$L$4:$L$8000,"&gt;="&amp;MAX(F$5,DATE(2000+VALUE(RIGHT(TRIM($A403),2)),1,1)),'Timesheet Raw'!$L$4:$L$8000,"&lt;="&amp;MIN(F$6,DATE(2000+VALUE(RIGHT(TRIM($A403),2)),12,31))),SUMIFS('Timesheet Raw'!$P$4:$P$8000,'Timesheet Raw'!$B$4:$B$8000,TRIM($A403),'Timesheet Raw'!$C$4:$C$8000,"*"&amp;$B403&amp;"*",'Timesheet Raw'!$L$4:$L$8000,"&gt;="&amp;F$5,'Timesheet Raw'!$L$4:$L$8000,"&lt;="&amp;F$6)))/'Profit Plan'!$B$5)</f>
        <v/>
      </c>
      <c r="G403" s="122" t="str">
        <f>IF($A403="","",(IF(ISNUMBER(SEARCH("Proposal",$A403)),SUMIFS('Timesheet Raw'!$P$4:$P$8000,'Timesheet Raw'!$A$4:$A$8000,IF(ISNUMBER(SEARCH("Chargable",$A403)),"2-Proposals Chargeable","3-Proposals Regular"),'Timesheet Raw'!$C$4:$C$8000,"*"&amp;$B403&amp;"*",'Timesheet Raw'!$L$4:$L$8000,"&gt;="&amp;MAX(G$5,DATE(2000+VALUE(RIGHT(TRIM($A403),2)),1,1)),'Timesheet Raw'!$L$4:$L$8000,"&lt;="&amp;MIN(G$6,DATE(2000+VALUE(RIGHT(TRIM($A403),2)),12,31))),SUMIFS('Timesheet Raw'!$P$4:$P$8000,'Timesheet Raw'!$B$4:$B$8000,TRIM($A403),'Timesheet Raw'!$C$4:$C$8000,"*"&amp;$B403&amp;"*",'Timesheet Raw'!$L$4:$L$8000,"&gt;="&amp;G$5,'Timesheet Raw'!$L$4:$L$8000,"&lt;="&amp;G$6)))/'Profit Plan'!$B$5)</f>
        <v/>
      </c>
      <c r="H403" s="122" t="str">
        <f>IF($A403="","",(IF(ISNUMBER(SEARCH("Proposal",$A403)),SUMIFS('Timesheet Raw'!$P$4:$P$8000,'Timesheet Raw'!$A$4:$A$8000,IF(ISNUMBER(SEARCH("Chargable",$A403)),"2-Proposals Chargeable","3-Proposals Regular"),'Timesheet Raw'!$C$4:$C$8000,"*"&amp;$B403&amp;"*",'Timesheet Raw'!$L$4:$L$8000,"&gt;="&amp;MAX(H$5,DATE(2000+VALUE(RIGHT(TRIM($A403),2)),1,1)),'Timesheet Raw'!$L$4:$L$8000,"&lt;="&amp;MIN(H$6,DATE(2000+VALUE(RIGHT(TRIM($A403),2)),12,31))),SUMIFS('Timesheet Raw'!$P$4:$P$8000,'Timesheet Raw'!$B$4:$B$8000,TRIM($A403),'Timesheet Raw'!$C$4:$C$8000,"*"&amp;$B403&amp;"*",'Timesheet Raw'!$L$4:$L$8000,"&gt;="&amp;H$5,'Timesheet Raw'!$L$4:$L$8000,"&lt;="&amp;H$6)))/'Profit Plan'!$B$5)</f>
        <v/>
      </c>
      <c r="I403" s="122" t="str">
        <f>IF($A403="","",(IF(ISNUMBER(SEARCH("Proposal",$A403)),SUMIFS('Timesheet Raw'!$P$4:$P$8000,'Timesheet Raw'!$A$4:$A$8000,IF(ISNUMBER(SEARCH("Chargable",$A403)),"2-Proposals Chargeable","3-Proposals Regular"),'Timesheet Raw'!$C$4:$C$8000,"*"&amp;$B403&amp;"*",'Timesheet Raw'!$L$4:$L$8000,"&gt;="&amp;MAX(I$5,DATE(2000+VALUE(RIGHT(TRIM($A403),2)),1,1)),'Timesheet Raw'!$L$4:$L$8000,"&lt;="&amp;MIN(I$6,DATE(2000+VALUE(RIGHT(TRIM($A403),2)),12,31))),SUMIFS('Timesheet Raw'!$P$4:$P$8000,'Timesheet Raw'!$B$4:$B$8000,TRIM($A403),'Timesheet Raw'!$C$4:$C$8000,"*"&amp;$B403&amp;"*",'Timesheet Raw'!$L$4:$L$8000,"&gt;="&amp;I$5,'Timesheet Raw'!$L$4:$L$8000,"&lt;="&amp;I$6)))/'Profit Plan'!$B$5)</f>
        <v/>
      </c>
      <c r="J403" s="122" t="str">
        <f>IF($A403="","",(IF(ISNUMBER(SEARCH("Proposal",$A403)),SUMIFS('Timesheet Raw'!$P$4:$P$8000,'Timesheet Raw'!$A$4:$A$8000,IF(ISNUMBER(SEARCH("Chargable",$A403)),"2-Proposals Chargeable","3-Proposals Regular"),'Timesheet Raw'!$C$4:$C$8000,"*"&amp;$B403&amp;"*",'Timesheet Raw'!$L$4:$L$8000,"&gt;="&amp;MAX(J$5,DATE(2000+VALUE(RIGHT(TRIM($A403),2)),1,1)),'Timesheet Raw'!$L$4:$L$8000,"&lt;="&amp;MIN(J$6,DATE(2000+VALUE(RIGHT(TRIM($A403),2)),12,31))),SUMIFS('Timesheet Raw'!$P$4:$P$8000,'Timesheet Raw'!$B$4:$B$8000,TRIM($A403),'Timesheet Raw'!$C$4:$C$8000,"*"&amp;$B403&amp;"*",'Timesheet Raw'!$L$4:$L$8000,"&gt;="&amp;J$5,'Timesheet Raw'!$L$4:$L$8000,"&lt;="&amp;J$6)))/'Profit Plan'!$B$5)</f>
        <v/>
      </c>
      <c r="K403" s="122" t="str">
        <f>IF($A403="","",(IF(ISNUMBER(SEARCH("Proposal",$A403)),SUMIFS('Timesheet Raw'!$P$4:$P$8000,'Timesheet Raw'!$A$4:$A$8000,IF(ISNUMBER(SEARCH("Chargable",$A403)),"2-Proposals Chargeable","3-Proposals Regular"),'Timesheet Raw'!$C$4:$C$8000,"*"&amp;$B403&amp;"*",'Timesheet Raw'!$L$4:$L$8000,"&gt;="&amp;MAX(K$5,DATE(2000+VALUE(RIGHT(TRIM($A403),2)),1,1)),'Timesheet Raw'!$L$4:$L$8000,"&lt;="&amp;MIN(K$6,DATE(2000+VALUE(RIGHT(TRIM($A403),2)),12,31))),SUMIFS('Timesheet Raw'!$P$4:$P$8000,'Timesheet Raw'!$B$4:$B$8000,TRIM($A403),'Timesheet Raw'!$C$4:$C$8000,"*"&amp;$B403&amp;"*",'Timesheet Raw'!$L$4:$L$8000,"&gt;="&amp;K$5,'Timesheet Raw'!$L$4:$L$8000,"&lt;="&amp;K$6)))/'Profit Plan'!$B$5)</f>
        <v/>
      </c>
      <c r="L403" s="122" t="str">
        <f>IF($A403="","",(IF(ISNUMBER(SEARCH("Proposal",$A403)),SUMIFS('Timesheet Raw'!$P$4:$P$8000,'Timesheet Raw'!$A$4:$A$8000,IF(ISNUMBER(SEARCH("Chargable",$A403)),"2-Proposals Chargeable","3-Proposals Regular"),'Timesheet Raw'!$C$4:$C$8000,"*"&amp;$B403&amp;"*",'Timesheet Raw'!$L$4:$L$8000,"&gt;="&amp;MAX(L$5,DATE(2000+VALUE(RIGHT(TRIM($A403),2)),1,1)),'Timesheet Raw'!$L$4:$L$8000,"&lt;="&amp;MIN(L$6,DATE(2000+VALUE(RIGHT(TRIM($A403),2)),12,31))),SUMIFS('Timesheet Raw'!$P$4:$P$8000,'Timesheet Raw'!$B$4:$B$8000,TRIM($A403),'Timesheet Raw'!$C$4:$C$8000,"*"&amp;$B403&amp;"*",'Timesheet Raw'!$L$4:$L$8000,"&gt;="&amp;L$5,'Timesheet Raw'!$L$4:$L$8000,"&lt;="&amp;L$6)))/'Profit Plan'!$B$5)</f>
        <v/>
      </c>
      <c r="M403" s="122" t="str">
        <f>IF($A403="","",(IF(ISNUMBER(SEARCH("Proposal",$A403)),SUMIFS('Timesheet Raw'!$P$4:$P$8000,'Timesheet Raw'!$A$4:$A$8000,IF(ISNUMBER(SEARCH("Chargable",$A403)),"2-Proposals Chargeable","3-Proposals Regular"),'Timesheet Raw'!$C$4:$C$8000,"*"&amp;$B403&amp;"*",'Timesheet Raw'!$L$4:$L$8000,"&gt;="&amp;MAX(M$5,DATE(2000+VALUE(RIGHT(TRIM($A403),2)),1,1)),'Timesheet Raw'!$L$4:$L$8000,"&lt;="&amp;MIN(M$6,DATE(2000+VALUE(RIGHT(TRIM($A403),2)),12,31))),SUMIFS('Timesheet Raw'!$P$4:$P$8000,'Timesheet Raw'!$B$4:$B$8000,TRIM($A403),'Timesheet Raw'!$C$4:$C$8000,"*"&amp;$B403&amp;"*",'Timesheet Raw'!$L$4:$L$8000,"&gt;="&amp;M$5,'Timesheet Raw'!$L$4:$L$8000,"&lt;="&amp;M$6)))/'Profit Plan'!$B$5)</f>
        <v/>
      </c>
      <c r="N403" s="122" t="str">
        <f>IF($A403="","",(IF(ISNUMBER(SEARCH("Proposal",$A403)),SUMIFS('Timesheet Raw'!$P$4:$P$8000,'Timesheet Raw'!$A$4:$A$8000,IF(ISNUMBER(SEARCH("Chargable",$A403)),"2-Proposals Chargeable","3-Proposals Regular"),'Timesheet Raw'!$C$4:$C$8000,"*"&amp;$B403&amp;"*",'Timesheet Raw'!$L$4:$L$8000,"&gt;="&amp;MAX(N$5,DATE(2000+VALUE(RIGHT(TRIM($A403),2)),1,1)),'Timesheet Raw'!$L$4:$L$8000,"&lt;="&amp;MIN(N$6,DATE(2000+VALUE(RIGHT(TRIM($A403),2)),12,31))),SUMIFS('Timesheet Raw'!$P$4:$P$8000,'Timesheet Raw'!$B$4:$B$8000,TRIM($A403),'Timesheet Raw'!$C$4:$C$8000,"*"&amp;$B403&amp;"*",'Timesheet Raw'!$L$4:$L$8000,"&gt;="&amp;N$5,'Timesheet Raw'!$L$4:$L$8000,"&lt;="&amp;N$6)))/'Profit Plan'!$B$5)</f>
        <v/>
      </c>
      <c r="O403" s="122" t="str">
        <f>IF($A403="","",(IF(ISNUMBER(SEARCH("Proposal",$A403)),SUMIFS('Timesheet Raw'!$P$4:$P$8000,'Timesheet Raw'!$A$4:$A$8000,IF(ISNUMBER(SEARCH("Chargable",$A403)),"2-Proposals Chargeable","3-Proposals Regular"),'Timesheet Raw'!$C$4:$C$8000,"*"&amp;$B403&amp;"*",'Timesheet Raw'!$L$4:$L$8000,"&gt;="&amp;MAX(O$5,DATE(2000+VALUE(RIGHT(TRIM($A403),2)),1,1)),'Timesheet Raw'!$L$4:$L$8000,"&lt;="&amp;MIN(O$6,DATE(2000+VALUE(RIGHT(TRIM($A403),2)),12,31))),SUMIFS('Timesheet Raw'!$P$4:$P$8000,'Timesheet Raw'!$B$4:$B$8000,TRIM($A403),'Timesheet Raw'!$C$4:$C$8000,"*"&amp;$B403&amp;"*",'Timesheet Raw'!$L$4:$L$8000,"&gt;="&amp;O$5,'Timesheet Raw'!$L$4:$L$8000,"&lt;="&amp;O$6)))/'Profit Plan'!$B$5)</f>
        <v/>
      </c>
      <c r="P403" s="122" t="str">
        <f>IF($A403="","",(IF(ISNUMBER(SEARCH("Proposal",$A403)),SUMIFS('Timesheet Raw'!$P$4:$P$8000,'Timesheet Raw'!$A$4:$A$8000,IF(ISNUMBER(SEARCH("Chargable",$A403)),"2-Proposals Chargeable","3-Proposals Regular"),'Timesheet Raw'!$C$4:$C$8000,"*"&amp;$B403&amp;"*",'Timesheet Raw'!$L$4:$L$8000,"&gt;="&amp;MAX(P$5,DATE(2000+VALUE(RIGHT(TRIM($A403),2)),1,1)),'Timesheet Raw'!$L$4:$L$8000,"&lt;="&amp;MIN(P$6,DATE(2000+VALUE(RIGHT(TRIM($A403),2)),12,31))),SUMIFS('Timesheet Raw'!$P$4:$P$8000,'Timesheet Raw'!$B$4:$B$8000,TRIM($A403),'Timesheet Raw'!$C$4:$C$8000,"*"&amp;$B403&amp;"*",'Timesheet Raw'!$L$4:$L$8000,"&gt;="&amp;P$5,'Timesheet Raw'!$L$4:$L$8000,"&lt;="&amp;P$6)))/'Profit Plan'!$B$5)</f>
        <v/>
      </c>
      <c r="Q403" s="122" t="str">
        <f>IF($A403="","",(IF(ISNUMBER(SEARCH("Proposal",$A403)),SUMIFS('Timesheet Raw'!$P$4:$P$8000,'Timesheet Raw'!$A$4:$A$8000,IF(ISNUMBER(SEARCH("Chargable",$A403)),"2-Proposals Chargeable","3-Proposals Regular"),'Timesheet Raw'!$C$4:$C$8000,"*"&amp;$B403&amp;"*",'Timesheet Raw'!$L$4:$L$8000,"&gt;="&amp;MAX(Q$5,DATE(2000+VALUE(RIGHT(TRIM($A403),2)),1,1)),'Timesheet Raw'!$L$4:$L$8000,"&lt;="&amp;MIN(Q$6,DATE(2000+VALUE(RIGHT(TRIM($A403),2)),12,31))),SUMIFS('Timesheet Raw'!$P$4:$P$8000,'Timesheet Raw'!$B$4:$B$8000,TRIM($A403),'Timesheet Raw'!$C$4:$C$8000,"*"&amp;$B403&amp;"*",'Timesheet Raw'!$L$4:$L$8000,"&gt;="&amp;Q$5,'Timesheet Raw'!$L$4:$L$8000,"&lt;="&amp;Q$6)))/'Profit Plan'!$B$5)</f>
        <v/>
      </c>
      <c r="R403" s="122" t="str">
        <f>IF($A403="","",(IF(ISNUMBER(SEARCH("Proposal",$A403)),SUMIFS('Timesheet Raw'!$P$4:$P$8000,'Timesheet Raw'!$A$4:$A$8000,IF(ISNUMBER(SEARCH("Chargable",$A403)),"2-Proposals Chargeable","3-Proposals Regular"),'Timesheet Raw'!$C$4:$C$8000,"*"&amp;$B403&amp;"*",'Timesheet Raw'!$L$4:$L$8000,"&gt;="&amp;MAX(R$5,DATE(2000+VALUE(RIGHT(TRIM($A403),2)),1,1)),'Timesheet Raw'!$L$4:$L$8000,"&lt;="&amp;MIN(R$6,DATE(2000+VALUE(RIGHT(TRIM($A403),2)),12,31))),SUMIFS('Timesheet Raw'!$P$4:$P$8000,'Timesheet Raw'!$B$4:$B$8000,TRIM($A403),'Timesheet Raw'!$C$4:$C$8000,"*"&amp;$B403&amp;"*",'Timesheet Raw'!$L$4:$L$8000,"&gt;="&amp;R$5,'Timesheet Raw'!$L$4:$L$8000,"&lt;="&amp;R$6)))/'Profit Plan'!$B$5)</f>
        <v/>
      </c>
      <c r="S403" s="122" t="str">
        <f>IF($A403="","",(IF(ISNUMBER(SEARCH("Proposal",$A403)),SUMIFS('Timesheet Raw'!$P$4:$P$8000,'Timesheet Raw'!$A$4:$A$8000,IF(ISNUMBER(SEARCH("Chargable",$A403)),"2-Proposals Chargeable","3-Proposals Regular"),'Timesheet Raw'!$C$4:$C$8000,"*"&amp;$B403&amp;"*",'Timesheet Raw'!$L$4:$L$8000,"&gt;="&amp;MAX(S$5,DATE(2000+VALUE(RIGHT(TRIM($A403),2)),1,1)),'Timesheet Raw'!$L$4:$L$8000,"&lt;="&amp;MIN(S$6,DATE(2000+VALUE(RIGHT(TRIM($A403),2)),12,31))),SUMIFS('Timesheet Raw'!$P$4:$P$8000,'Timesheet Raw'!$B$4:$B$8000,TRIM($A403),'Timesheet Raw'!$C$4:$C$8000,"*"&amp;$B403&amp;"*",'Timesheet Raw'!$L$4:$L$8000,"&gt;="&amp;S$5,'Timesheet Raw'!$L$4:$L$8000,"&lt;="&amp;S$6)))/'Profit Plan'!$B$5)</f>
        <v/>
      </c>
      <c r="T403" s="122" t="str">
        <f>IF($A403="","",(IF(ISNUMBER(SEARCH("Proposal",$A403)),SUMIFS('Timesheet Raw'!$P$4:$P$8000,'Timesheet Raw'!$A$4:$A$8000,IF(ISNUMBER(SEARCH("Chargable",$A403)),"2-Proposals Chargeable","3-Proposals Regular"),'Timesheet Raw'!$C$4:$C$8000,"*"&amp;$B403&amp;"*",'Timesheet Raw'!$L$4:$L$8000,"&gt;="&amp;MAX(T$5,DATE(2000+VALUE(RIGHT(TRIM($A403),2)),1,1)),'Timesheet Raw'!$L$4:$L$8000,"&lt;="&amp;MIN(T$6,DATE(2000+VALUE(RIGHT(TRIM($A403),2)),12,31))),SUMIFS('Timesheet Raw'!$P$4:$P$8000,'Timesheet Raw'!$B$4:$B$8000,TRIM($A403),'Timesheet Raw'!$C$4:$C$8000,"*"&amp;$B403&amp;"*",'Timesheet Raw'!$L$4:$L$8000,"&gt;="&amp;T$5,'Timesheet Raw'!$L$4:$L$8000,"&lt;="&amp;T$6)))/'Profit Plan'!$B$5)</f>
        <v/>
      </c>
      <c r="U403" s="122" t="str">
        <f>IF($A403="","",(IF(ISNUMBER(SEARCH("Proposal",$A403)),SUMIFS('Timesheet Raw'!$P$4:$P$8000,'Timesheet Raw'!$A$4:$A$8000,IF(ISNUMBER(SEARCH("Chargable",$A403)),"2-Proposals Chargeable","3-Proposals Regular"),'Timesheet Raw'!$C$4:$C$8000,"*"&amp;$B403&amp;"*",'Timesheet Raw'!$L$4:$L$8000,"&gt;="&amp;MAX(U$5,DATE(2000+VALUE(RIGHT(TRIM($A403),2)),1,1)),'Timesheet Raw'!$L$4:$L$8000,"&lt;="&amp;MIN(U$6,DATE(2000+VALUE(RIGHT(TRIM($A403),2)),12,31))),SUMIFS('Timesheet Raw'!$P$4:$P$8000,'Timesheet Raw'!$B$4:$B$8000,TRIM($A403),'Timesheet Raw'!$C$4:$C$8000,"*"&amp;$B403&amp;"*",'Timesheet Raw'!$L$4:$L$8000,"&gt;="&amp;U$5,'Timesheet Raw'!$L$4:$L$8000,"&lt;="&amp;U$6)))/'Profit Plan'!$B$5)</f>
        <v/>
      </c>
      <c r="V403" s="122" t="str">
        <f>IF($A403="","",(IF(ISNUMBER(SEARCH("Proposal",$A403)),SUMIFS('Timesheet Raw'!$P$4:$P$8000,'Timesheet Raw'!$A$4:$A$8000,IF(ISNUMBER(SEARCH("Chargable",$A403)),"2-Proposals Chargeable","3-Proposals Regular"),'Timesheet Raw'!$C$4:$C$8000,"*"&amp;$B403&amp;"*",'Timesheet Raw'!$L$4:$L$8000,"&gt;="&amp;MAX(V$5,DATE(2000+VALUE(RIGHT(TRIM($A403),2)),1,1)),'Timesheet Raw'!$L$4:$L$8000,"&lt;="&amp;MIN(V$6,DATE(2000+VALUE(RIGHT(TRIM($A403),2)),12,31))),SUMIFS('Timesheet Raw'!$P$4:$P$8000,'Timesheet Raw'!$B$4:$B$8000,TRIM($A403),'Timesheet Raw'!$C$4:$C$8000,"*"&amp;$B403&amp;"*",'Timesheet Raw'!$L$4:$L$8000,"&gt;="&amp;V$5,'Timesheet Raw'!$L$4:$L$8000,"&lt;="&amp;V$6)))/'Profit Plan'!$B$5)</f>
        <v/>
      </c>
      <c r="W403" s="122" t="str">
        <f>IF($A403="","",(IF(ISNUMBER(SEARCH("Proposal",$A403)),SUMIFS('Timesheet Raw'!$P$4:$P$8000,'Timesheet Raw'!$A$4:$A$8000,IF(ISNUMBER(SEARCH("Chargable",$A403)),"2-Proposals Chargeable","3-Proposals Regular"),'Timesheet Raw'!$C$4:$C$8000,"*"&amp;$B403&amp;"*",'Timesheet Raw'!$L$4:$L$8000,"&gt;="&amp;MAX(W$5,DATE(2000+VALUE(RIGHT(TRIM($A403),2)),1,1)),'Timesheet Raw'!$L$4:$L$8000,"&lt;="&amp;MIN(W$6,DATE(2000+VALUE(RIGHT(TRIM($A403),2)),12,31))),SUMIFS('Timesheet Raw'!$P$4:$P$8000,'Timesheet Raw'!$B$4:$B$8000,TRIM($A403),'Timesheet Raw'!$C$4:$C$8000,"*"&amp;$B403&amp;"*",'Timesheet Raw'!$L$4:$L$8000,"&gt;="&amp;W$5,'Timesheet Raw'!$L$4:$L$8000,"&lt;="&amp;W$6)))/'Profit Plan'!$B$5)</f>
        <v/>
      </c>
      <c r="X403" s="122" t="str">
        <f>IF($A403="","",(IF(ISNUMBER(SEARCH("Proposal",$A403)),SUMIFS('Timesheet Raw'!$P$4:$P$8000,'Timesheet Raw'!$A$4:$A$8000,IF(ISNUMBER(SEARCH("Chargable",$A403)),"2-Proposals Chargeable","3-Proposals Regular"),'Timesheet Raw'!$C$4:$C$8000,"*"&amp;$B403&amp;"*",'Timesheet Raw'!$L$4:$L$8000,"&gt;="&amp;MAX(X$5,DATE(2000+VALUE(RIGHT(TRIM($A403),2)),1,1)),'Timesheet Raw'!$L$4:$L$8000,"&lt;="&amp;MIN(X$6,DATE(2000+VALUE(RIGHT(TRIM($A403),2)),12,31))),SUMIFS('Timesheet Raw'!$P$4:$P$8000,'Timesheet Raw'!$B$4:$B$8000,TRIM($A403),'Timesheet Raw'!$C$4:$C$8000,"*"&amp;$B403&amp;"*",'Timesheet Raw'!$L$4:$L$8000,"&gt;="&amp;X$5,'Timesheet Raw'!$L$4:$L$8000,"&lt;="&amp;X$6)))/'Profit Plan'!$B$5)</f>
        <v/>
      </c>
      <c r="Y403" s="118">
        <f t="shared" si="102"/>
        <v>0</v>
      </c>
    </row>
    <row r="404" spans="1:25" x14ac:dyDescent="0.3">
      <c r="A404" s="116" t="str">
        <f>IF(Inputs!$A52="","",Inputs!$A52)</f>
        <v/>
      </c>
      <c r="B404" s="116" t="str">
        <f>IF(Inputs!$A52="","",Inputs!$A$92)</f>
        <v/>
      </c>
      <c r="C404" s="116"/>
      <c r="D404" s="122" t="str">
        <f>IF($A404="","",(IF(ISNUMBER(SEARCH("Proposal",$A404)),SUMIFS('Timesheet Raw'!$P$4:$P$8000,'Timesheet Raw'!$A$4:$A$8000,IF(ISNUMBER(SEARCH("Chargable",$A404)),"2-Proposals Chargeable","3-Proposals Regular"),'Timesheet Raw'!$C$4:$C$8000,"*"&amp;$B404&amp;"*",'Timesheet Raw'!$L$4:$L$8000,"&gt;="&amp;MAX(D$5,DATE(2000+VALUE(RIGHT(TRIM($A404),2)),1,1)),'Timesheet Raw'!$L$4:$L$8000,"&lt;="&amp;MIN(D$6,DATE(2000+VALUE(RIGHT(TRIM($A404),2)),12,31))),SUMIFS('Timesheet Raw'!$P$4:$P$8000,'Timesheet Raw'!$B$4:$B$8000,TRIM($A404),'Timesheet Raw'!$C$4:$C$8000,"*"&amp;$B404&amp;"*",'Timesheet Raw'!$L$4:$L$8000,"&gt;="&amp;D$5,'Timesheet Raw'!$L$4:$L$8000,"&lt;="&amp;D$6)))/'Profit Plan'!$B$5)</f>
        <v/>
      </c>
      <c r="E404" s="122" t="str">
        <f>IF($A404="","",(IF(ISNUMBER(SEARCH("Proposal",$A404)),SUMIFS('Timesheet Raw'!$P$4:$P$8000,'Timesheet Raw'!$A$4:$A$8000,IF(ISNUMBER(SEARCH("Chargable",$A404)),"2-Proposals Chargeable","3-Proposals Regular"),'Timesheet Raw'!$C$4:$C$8000,"*"&amp;$B404&amp;"*",'Timesheet Raw'!$L$4:$L$8000,"&gt;="&amp;MAX(E$5,DATE(2000+VALUE(RIGHT(TRIM($A404),2)),1,1)),'Timesheet Raw'!$L$4:$L$8000,"&lt;="&amp;MIN(E$6,DATE(2000+VALUE(RIGHT(TRIM($A404),2)),12,31))),SUMIFS('Timesheet Raw'!$P$4:$P$8000,'Timesheet Raw'!$B$4:$B$8000,TRIM($A404),'Timesheet Raw'!$C$4:$C$8000,"*"&amp;$B404&amp;"*",'Timesheet Raw'!$L$4:$L$8000,"&gt;="&amp;E$5,'Timesheet Raw'!$L$4:$L$8000,"&lt;="&amp;E$6)))/'Profit Plan'!$B$5)</f>
        <v/>
      </c>
      <c r="F404" s="122" t="str">
        <f>IF($A404="","",(IF(ISNUMBER(SEARCH("Proposal",$A404)),SUMIFS('Timesheet Raw'!$P$4:$P$8000,'Timesheet Raw'!$A$4:$A$8000,IF(ISNUMBER(SEARCH("Chargable",$A404)),"2-Proposals Chargeable","3-Proposals Regular"),'Timesheet Raw'!$C$4:$C$8000,"*"&amp;$B404&amp;"*",'Timesheet Raw'!$L$4:$L$8000,"&gt;="&amp;MAX(F$5,DATE(2000+VALUE(RIGHT(TRIM($A404),2)),1,1)),'Timesheet Raw'!$L$4:$L$8000,"&lt;="&amp;MIN(F$6,DATE(2000+VALUE(RIGHT(TRIM($A404),2)),12,31))),SUMIFS('Timesheet Raw'!$P$4:$P$8000,'Timesheet Raw'!$B$4:$B$8000,TRIM($A404),'Timesheet Raw'!$C$4:$C$8000,"*"&amp;$B404&amp;"*",'Timesheet Raw'!$L$4:$L$8000,"&gt;="&amp;F$5,'Timesheet Raw'!$L$4:$L$8000,"&lt;="&amp;F$6)))/'Profit Plan'!$B$5)</f>
        <v/>
      </c>
      <c r="G404" s="122" t="str">
        <f>IF($A404="","",(IF(ISNUMBER(SEARCH("Proposal",$A404)),SUMIFS('Timesheet Raw'!$P$4:$P$8000,'Timesheet Raw'!$A$4:$A$8000,IF(ISNUMBER(SEARCH("Chargable",$A404)),"2-Proposals Chargeable","3-Proposals Regular"),'Timesheet Raw'!$C$4:$C$8000,"*"&amp;$B404&amp;"*",'Timesheet Raw'!$L$4:$L$8000,"&gt;="&amp;MAX(G$5,DATE(2000+VALUE(RIGHT(TRIM($A404),2)),1,1)),'Timesheet Raw'!$L$4:$L$8000,"&lt;="&amp;MIN(G$6,DATE(2000+VALUE(RIGHT(TRIM($A404),2)),12,31))),SUMIFS('Timesheet Raw'!$P$4:$P$8000,'Timesheet Raw'!$B$4:$B$8000,TRIM($A404),'Timesheet Raw'!$C$4:$C$8000,"*"&amp;$B404&amp;"*",'Timesheet Raw'!$L$4:$L$8000,"&gt;="&amp;G$5,'Timesheet Raw'!$L$4:$L$8000,"&lt;="&amp;G$6)))/'Profit Plan'!$B$5)</f>
        <v/>
      </c>
      <c r="H404" s="122" t="str">
        <f>IF($A404="","",(IF(ISNUMBER(SEARCH("Proposal",$A404)),SUMIFS('Timesheet Raw'!$P$4:$P$8000,'Timesheet Raw'!$A$4:$A$8000,IF(ISNUMBER(SEARCH("Chargable",$A404)),"2-Proposals Chargeable","3-Proposals Regular"),'Timesheet Raw'!$C$4:$C$8000,"*"&amp;$B404&amp;"*",'Timesheet Raw'!$L$4:$L$8000,"&gt;="&amp;MAX(H$5,DATE(2000+VALUE(RIGHT(TRIM($A404),2)),1,1)),'Timesheet Raw'!$L$4:$L$8000,"&lt;="&amp;MIN(H$6,DATE(2000+VALUE(RIGHT(TRIM($A404),2)),12,31))),SUMIFS('Timesheet Raw'!$P$4:$P$8000,'Timesheet Raw'!$B$4:$B$8000,TRIM($A404),'Timesheet Raw'!$C$4:$C$8000,"*"&amp;$B404&amp;"*",'Timesheet Raw'!$L$4:$L$8000,"&gt;="&amp;H$5,'Timesheet Raw'!$L$4:$L$8000,"&lt;="&amp;H$6)))/'Profit Plan'!$B$5)</f>
        <v/>
      </c>
      <c r="I404" s="122" t="str">
        <f>IF($A404="","",(IF(ISNUMBER(SEARCH("Proposal",$A404)),SUMIFS('Timesheet Raw'!$P$4:$P$8000,'Timesheet Raw'!$A$4:$A$8000,IF(ISNUMBER(SEARCH("Chargable",$A404)),"2-Proposals Chargeable","3-Proposals Regular"),'Timesheet Raw'!$C$4:$C$8000,"*"&amp;$B404&amp;"*",'Timesheet Raw'!$L$4:$L$8000,"&gt;="&amp;MAX(I$5,DATE(2000+VALUE(RIGHT(TRIM($A404),2)),1,1)),'Timesheet Raw'!$L$4:$L$8000,"&lt;="&amp;MIN(I$6,DATE(2000+VALUE(RIGHT(TRIM($A404),2)),12,31))),SUMIFS('Timesheet Raw'!$P$4:$P$8000,'Timesheet Raw'!$B$4:$B$8000,TRIM($A404),'Timesheet Raw'!$C$4:$C$8000,"*"&amp;$B404&amp;"*",'Timesheet Raw'!$L$4:$L$8000,"&gt;="&amp;I$5,'Timesheet Raw'!$L$4:$L$8000,"&lt;="&amp;I$6)))/'Profit Plan'!$B$5)</f>
        <v/>
      </c>
      <c r="J404" s="122" t="str">
        <f>IF($A404="","",(IF(ISNUMBER(SEARCH("Proposal",$A404)),SUMIFS('Timesheet Raw'!$P$4:$P$8000,'Timesheet Raw'!$A$4:$A$8000,IF(ISNUMBER(SEARCH("Chargable",$A404)),"2-Proposals Chargeable","3-Proposals Regular"),'Timesheet Raw'!$C$4:$C$8000,"*"&amp;$B404&amp;"*",'Timesheet Raw'!$L$4:$L$8000,"&gt;="&amp;MAX(J$5,DATE(2000+VALUE(RIGHT(TRIM($A404),2)),1,1)),'Timesheet Raw'!$L$4:$L$8000,"&lt;="&amp;MIN(J$6,DATE(2000+VALUE(RIGHT(TRIM($A404),2)),12,31))),SUMIFS('Timesheet Raw'!$P$4:$P$8000,'Timesheet Raw'!$B$4:$B$8000,TRIM($A404),'Timesheet Raw'!$C$4:$C$8000,"*"&amp;$B404&amp;"*",'Timesheet Raw'!$L$4:$L$8000,"&gt;="&amp;J$5,'Timesheet Raw'!$L$4:$L$8000,"&lt;="&amp;J$6)))/'Profit Plan'!$B$5)</f>
        <v/>
      </c>
      <c r="K404" s="122" t="str">
        <f>IF($A404="","",(IF(ISNUMBER(SEARCH("Proposal",$A404)),SUMIFS('Timesheet Raw'!$P$4:$P$8000,'Timesheet Raw'!$A$4:$A$8000,IF(ISNUMBER(SEARCH("Chargable",$A404)),"2-Proposals Chargeable","3-Proposals Regular"),'Timesheet Raw'!$C$4:$C$8000,"*"&amp;$B404&amp;"*",'Timesheet Raw'!$L$4:$L$8000,"&gt;="&amp;MAX(K$5,DATE(2000+VALUE(RIGHT(TRIM($A404),2)),1,1)),'Timesheet Raw'!$L$4:$L$8000,"&lt;="&amp;MIN(K$6,DATE(2000+VALUE(RIGHT(TRIM($A404),2)),12,31))),SUMIFS('Timesheet Raw'!$P$4:$P$8000,'Timesheet Raw'!$B$4:$B$8000,TRIM($A404),'Timesheet Raw'!$C$4:$C$8000,"*"&amp;$B404&amp;"*",'Timesheet Raw'!$L$4:$L$8000,"&gt;="&amp;K$5,'Timesheet Raw'!$L$4:$L$8000,"&lt;="&amp;K$6)))/'Profit Plan'!$B$5)</f>
        <v/>
      </c>
      <c r="L404" s="122" t="str">
        <f>IF($A404="","",(IF(ISNUMBER(SEARCH("Proposal",$A404)),SUMIFS('Timesheet Raw'!$P$4:$P$8000,'Timesheet Raw'!$A$4:$A$8000,IF(ISNUMBER(SEARCH("Chargable",$A404)),"2-Proposals Chargeable","3-Proposals Regular"),'Timesheet Raw'!$C$4:$C$8000,"*"&amp;$B404&amp;"*",'Timesheet Raw'!$L$4:$L$8000,"&gt;="&amp;MAX(L$5,DATE(2000+VALUE(RIGHT(TRIM($A404),2)),1,1)),'Timesheet Raw'!$L$4:$L$8000,"&lt;="&amp;MIN(L$6,DATE(2000+VALUE(RIGHT(TRIM($A404),2)),12,31))),SUMIFS('Timesheet Raw'!$P$4:$P$8000,'Timesheet Raw'!$B$4:$B$8000,TRIM($A404),'Timesheet Raw'!$C$4:$C$8000,"*"&amp;$B404&amp;"*",'Timesheet Raw'!$L$4:$L$8000,"&gt;="&amp;L$5,'Timesheet Raw'!$L$4:$L$8000,"&lt;="&amp;L$6)))/'Profit Plan'!$B$5)</f>
        <v/>
      </c>
      <c r="M404" s="122" t="str">
        <f>IF($A404="","",(IF(ISNUMBER(SEARCH("Proposal",$A404)),SUMIFS('Timesheet Raw'!$P$4:$P$8000,'Timesheet Raw'!$A$4:$A$8000,IF(ISNUMBER(SEARCH("Chargable",$A404)),"2-Proposals Chargeable","3-Proposals Regular"),'Timesheet Raw'!$C$4:$C$8000,"*"&amp;$B404&amp;"*",'Timesheet Raw'!$L$4:$L$8000,"&gt;="&amp;MAX(M$5,DATE(2000+VALUE(RIGHT(TRIM($A404),2)),1,1)),'Timesheet Raw'!$L$4:$L$8000,"&lt;="&amp;MIN(M$6,DATE(2000+VALUE(RIGHT(TRIM($A404),2)),12,31))),SUMIFS('Timesheet Raw'!$P$4:$P$8000,'Timesheet Raw'!$B$4:$B$8000,TRIM($A404),'Timesheet Raw'!$C$4:$C$8000,"*"&amp;$B404&amp;"*",'Timesheet Raw'!$L$4:$L$8000,"&gt;="&amp;M$5,'Timesheet Raw'!$L$4:$L$8000,"&lt;="&amp;M$6)))/'Profit Plan'!$B$5)</f>
        <v/>
      </c>
      <c r="N404" s="122" t="str">
        <f>IF($A404="","",(IF(ISNUMBER(SEARCH("Proposal",$A404)),SUMIFS('Timesheet Raw'!$P$4:$P$8000,'Timesheet Raw'!$A$4:$A$8000,IF(ISNUMBER(SEARCH("Chargable",$A404)),"2-Proposals Chargeable","3-Proposals Regular"),'Timesheet Raw'!$C$4:$C$8000,"*"&amp;$B404&amp;"*",'Timesheet Raw'!$L$4:$L$8000,"&gt;="&amp;MAX(N$5,DATE(2000+VALUE(RIGHT(TRIM($A404),2)),1,1)),'Timesheet Raw'!$L$4:$L$8000,"&lt;="&amp;MIN(N$6,DATE(2000+VALUE(RIGHT(TRIM($A404),2)),12,31))),SUMIFS('Timesheet Raw'!$P$4:$P$8000,'Timesheet Raw'!$B$4:$B$8000,TRIM($A404),'Timesheet Raw'!$C$4:$C$8000,"*"&amp;$B404&amp;"*",'Timesheet Raw'!$L$4:$L$8000,"&gt;="&amp;N$5,'Timesheet Raw'!$L$4:$L$8000,"&lt;="&amp;N$6)))/'Profit Plan'!$B$5)</f>
        <v/>
      </c>
      <c r="O404" s="122" t="str">
        <f>IF($A404="","",(IF(ISNUMBER(SEARCH("Proposal",$A404)),SUMIFS('Timesheet Raw'!$P$4:$P$8000,'Timesheet Raw'!$A$4:$A$8000,IF(ISNUMBER(SEARCH("Chargable",$A404)),"2-Proposals Chargeable","3-Proposals Regular"),'Timesheet Raw'!$C$4:$C$8000,"*"&amp;$B404&amp;"*",'Timesheet Raw'!$L$4:$L$8000,"&gt;="&amp;MAX(O$5,DATE(2000+VALUE(RIGHT(TRIM($A404),2)),1,1)),'Timesheet Raw'!$L$4:$L$8000,"&lt;="&amp;MIN(O$6,DATE(2000+VALUE(RIGHT(TRIM($A404),2)),12,31))),SUMIFS('Timesheet Raw'!$P$4:$P$8000,'Timesheet Raw'!$B$4:$B$8000,TRIM($A404),'Timesheet Raw'!$C$4:$C$8000,"*"&amp;$B404&amp;"*",'Timesheet Raw'!$L$4:$L$8000,"&gt;="&amp;O$5,'Timesheet Raw'!$L$4:$L$8000,"&lt;="&amp;O$6)))/'Profit Plan'!$B$5)</f>
        <v/>
      </c>
      <c r="P404" s="122" t="str">
        <f>IF($A404="","",(IF(ISNUMBER(SEARCH("Proposal",$A404)),SUMIFS('Timesheet Raw'!$P$4:$P$8000,'Timesheet Raw'!$A$4:$A$8000,IF(ISNUMBER(SEARCH("Chargable",$A404)),"2-Proposals Chargeable","3-Proposals Regular"),'Timesheet Raw'!$C$4:$C$8000,"*"&amp;$B404&amp;"*",'Timesheet Raw'!$L$4:$L$8000,"&gt;="&amp;MAX(P$5,DATE(2000+VALUE(RIGHT(TRIM($A404),2)),1,1)),'Timesheet Raw'!$L$4:$L$8000,"&lt;="&amp;MIN(P$6,DATE(2000+VALUE(RIGHT(TRIM($A404),2)),12,31))),SUMIFS('Timesheet Raw'!$P$4:$P$8000,'Timesheet Raw'!$B$4:$B$8000,TRIM($A404),'Timesheet Raw'!$C$4:$C$8000,"*"&amp;$B404&amp;"*",'Timesheet Raw'!$L$4:$L$8000,"&gt;="&amp;P$5,'Timesheet Raw'!$L$4:$L$8000,"&lt;="&amp;P$6)))/'Profit Plan'!$B$5)</f>
        <v/>
      </c>
      <c r="Q404" s="122" t="str">
        <f>IF($A404="","",(IF(ISNUMBER(SEARCH("Proposal",$A404)),SUMIFS('Timesheet Raw'!$P$4:$P$8000,'Timesheet Raw'!$A$4:$A$8000,IF(ISNUMBER(SEARCH("Chargable",$A404)),"2-Proposals Chargeable","3-Proposals Regular"),'Timesheet Raw'!$C$4:$C$8000,"*"&amp;$B404&amp;"*",'Timesheet Raw'!$L$4:$L$8000,"&gt;="&amp;MAX(Q$5,DATE(2000+VALUE(RIGHT(TRIM($A404),2)),1,1)),'Timesheet Raw'!$L$4:$L$8000,"&lt;="&amp;MIN(Q$6,DATE(2000+VALUE(RIGHT(TRIM($A404),2)),12,31))),SUMIFS('Timesheet Raw'!$P$4:$P$8000,'Timesheet Raw'!$B$4:$B$8000,TRIM($A404),'Timesheet Raw'!$C$4:$C$8000,"*"&amp;$B404&amp;"*",'Timesheet Raw'!$L$4:$L$8000,"&gt;="&amp;Q$5,'Timesheet Raw'!$L$4:$L$8000,"&lt;="&amp;Q$6)))/'Profit Plan'!$B$5)</f>
        <v/>
      </c>
      <c r="R404" s="122" t="str">
        <f>IF($A404="","",(IF(ISNUMBER(SEARCH("Proposal",$A404)),SUMIFS('Timesheet Raw'!$P$4:$P$8000,'Timesheet Raw'!$A$4:$A$8000,IF(ISNUMBER(SEARCH("Chargable",$A404)),"2-Proposals Chargeable","3-Proposals Regular"),'Timesheet Raw'!$C$4:$C$8000,"*"&amp;$B404&amp;"*",'Timesheet Raw'!$L$4:$L$8000,"&gt;="&amp;MAX(R$5,DATE(2000+VALUE(RIGHT(TRIM($A404),2)),1,1)),'Timesheet Raw'!$L$4:$L$8000,"&lt;="&amp;MIN(R$6,DATE(2000+VALUE(RIGHT(TRIM($A404),2)),12,31))),SUMIFS('Timesheet Raw'!$P$4:$P$8000,'Timesheet Raw'!$B$4:$B$8000,TRIM($A404),'Timesheet Raw'!$C$4:$C$8000,"*"&amp;$B404&amp;"*",'Timesheet Raw'!$L$4:$L$8000,"&gt;="&amp;R$5,'Timesheet Raw'!$L$4:$L$8000,"&lt;="&amp;R$6)))/'Profit Plan'!$B$5)</f>
        <v/>
      </c>
      <c r="S404" s="122" t="str">
        <f>IF($A404="","",(IF(ISNUMBER(SEARCH("Proposal",$A404)),SUMIFS('Timesheet Raw'!$P$4:$P$8000,'Timesheet Raw'!$A$4:$A$8000,IF(ISNUMBER(SEARCH("Chargable",$A404)),"2-Proposals Chargeable","3-Proposals Regular"),'Timesheet Raw'!$C$4:$C$8000,"*"&amp;$B404&amp;"*",'Timesheet Raw'!$L$4:$L$8000,"&gt;="&amp;MAX(S$5,DATE(2000+VALUE(RIGHT(TRIM($A404),2)),1,1)),'Timesheet Raw'!$L$4:$L$8000,"&lt;="&amp;MIN(S$6,DATE(2000+VALUE(RIGHT(TRIM($A404),2)),12,31))),SUMIFS('Timesheet Raw'!$P$4:$P$8000,'Timesheet Raw'!$B$4:$B$8000,TRIM($A404),'Timesheet Raw'!$C$4:$C$8000,"*"&amp;$B404&amp;"*",'Timesheet Raw'!$L$4:$L$8000,"&gt;="&amp;S$5,'Timesheet Raw'!$L$4:$L$8000,"&lt;="&amp;S$6)))/'Profit Plan'!$B$5)</f>
        <v/>
      </c>
      <c r="T404" s="122" t="str">
        <f>IF($A404="","",(IF(ISNUMBER(SEARCH("Proposal",$A404)),SUMIFS('Timesheet Raw'!$P$4:$P$8000,'Timesheet Raw'!$A$4:$A$8000,IF(ISNUMBER(SEARCH("Chargable",$A404)),"2-Proposals Chargeable","3-Proposals Regular"),'Timesheet Raw'!$C$4:$C$8000,"*"&amp;$B404&amp;"*",'Timesheet Raw'!$L$4:$L$8000,"&gt;="&amp;MAX(T$5,DATE(2000+VALUE(RIGHT(TRIM($A404),2)),1,1)),'Timesheet Raw'!$L$4:$L$8000,"&lt;="&amp;MIN(T$6,DATE(2000+VALUE(RIGHT(TRIM($A404),2)),12,31))),SUMIFS('Timesheet Raw'!$P$4:$P$8000,'Timesheet Raw'!$B$4:$B$8000,TRIM($A404),'Timesheet Raw'!$C$4:$C$8000,"*"&amp;$B404&amp;"*",'Timesheet Raw'!$L$4:$L$8000,"&gt;="&amp;T$5,'Timesheet Raw'!$L$4:$L$8000,"&lt;="&amp;T$6)))/'Profit Plan'!$B$5)</f>
        <v/>
      </c>
      <c r="U404" s="122" t="str">
        <f>IF($A404="","",(IF(ISNUMBER(SEARCH("Proposal",$A404)),SUMIFS('Timesheet Raw'!$P$4:$P$8000,'Timesheet Raw'!$A$4:$A$8000,IF(ISNUMBER(SEARCH("Chargable",$A404)),"2-Proposals Chargeable","3-Proposals Regular"),'Timesheet Raw'!$C$4:$C$8000,"*"&amp;$B404&amp;"*",'Timesheet Raw'!$L$4:$L$8000,"&gt;="&amp;MAX(U$5,DATE(2000+VALUE(RIGHT(TRIM($A404),2)),1,1)),'Timesheet Raw'!$L$4:$L$8000,"&lt;="&amp;MIN(U$6,DATE(2000+VALUE(RIGHT(TRIM($A404),2)),12,31))),SUMIFS('Timesheet Raw'!$P$4:$P$8000,'Timesheet Raw'!$B$4:$B$8000,TRIM($A404),'Timesheet Raw'!$C$4:$C$8000,"*"&amp;$B404&amp;"*",'Timesheet Raw'!$L$4:$L$8000,"&gt;="&amp;U$5,'Timesheet Raw'!$L$4:$L$8000,"&lt;="&amp;U$6)))/'Profit Plan'!$B$5)</f>
        <v/>
      </c>
      <c r="V404" s="122" t="str">
        <f>IF($A404="","",(IF(ISNUMBER(SEARCH("Proposal",$A404)),SUMIFS('Timesheet Raw'!$P$4:$P$8000,'Timesheet Raw'!$A$4:$A$8000,IF(ISNUMBER(SEARCH("Chargable",$A404)),"2-Proposals Chargeable","3-Proposals Regular"),'Timesheet Raw'!$C$4:$C$8000,"*"&amp;$B404&amp;"*",'Timesheet Raw'!$L$4:$L$8000,"&gt;="&amp;MAX(V$5,DATE(2000+VALUE(RIGHT(TRIM($A404),2)),1,1)),'Timesheet Raw'!$L$4:$L$8000,"&lt;="&amp;MIN(V$6,DATE(2000+VALUE(RIGHT(TRIM($A404),2)),12,31))),SUMIFS('Timesheet Raw'!$P$4:$P$8000,'Timesheet Raw'!$B$4:$B$8000,TRIM($A404),'Timesheet Raw'!$C$4:$C$8000,"*"&amp;$B404&amp;"*",'Timesheet Raw'!$L$4:$L$8000,"&gt;="&amp;V$5,'Timesheet Raw'!$L$4:$L$8000,"&lt;="&amp;V$6)))/'Profit Plan'!$B$5)</f>
        <v/>
      </c>
      <c r="W404" s="122" t="str">
        <f>IF($A404="","",(IF(ISNUMBER(SEARCH("Proposal",$A404)),SUMIFS('Timesheet Raw'!$P$4:$P$8000,'Timesheet Raw'!$A$4:$A$8000,IF(ISNUMBER(SEARCH("Chargable",$A404)),"2-Proposals Chargeable","3-Proposals Regular"),'Timesheet Raw'!$C$4:$C$8000,"*"&amp;$B404&amp;"*",'Timesheet Raw'!$L$4:$L$8000,"&gt;="&amp;MAX(W$5,DATE(2000+VALUE(RIGHT(TRIM($A404),2)),1,1)),'Timesheet Raw'!$L$4:$L$8000,"&lt;="&amp;MIN(W$6,DATE(2000+VALUE(RIGHT(TRIM($A404),2)),12,31))),SUMIFS('Timesheet Raw'!$P$4:$P$8000,'Timesheet Raw'!$B$4:$B$8000,TRIM($A404),'Timesheet Raw'!$C$4:$C$8000,"*"&amp;$B404&amp;"*",'Timesheet Raw'!$L$4:$L$8000,"&gt;="&amp;W$5,'Timesheet Raw'!$L$4:$L$8000,"&lt;="&amp;W$6)))/'Profit Plan'!$B$5)</f>
        <v/>
      </c>
      <c r="X404" s="122" t="str">
        <f>IF($A404="","",(IF(ISNUMBER(SEARCH("Proposal",$A404)),SUMIFS('Timesheet Raw'!$P$4:$P$8000,'Timesheet Raw'!$A$4:$A$8000,IF(ISNUMBER(SEARCH("Chargable",$A404)),"2-Proposals Chargeable","3-Proposals Regular"),'Timesheet Raw'!$C$4:$C$8000,"*"&amp;$B404&amp;"*",'Timesheet Raw'!$L$4:$L$8000,"&gt;="&amp;MAX(X$5,DATE(2000+VALUE(RIGHT(TRIM($A404),2)),1,1)),'Timesheet Raw'!$L$4:$L$8000,"&lt;="&amp;MIN(X$6,DATE(2000+VALUE(RIGHT(TRIM($A404),2)),12,31))),SUMIFS('Timesheet Raw'!$P$4:$P$8000,'Timesheet Raw'!$B$4:$B$8000,TRIM($A404),'Timesheet Raw'!$C$4:$C$8000,"*"&amp;$B404&amp;"*",'Timesheet Raw'!$L$4:$L$8000,"&gt;="&amp;X$5,'Timesheet Raw'!$L$4:$L$8000,"&lt;="&amp;X$6)))/'Profit Plan'!$B$5)</f>
        <v/>
      </c>
      <c r="Y404" s="118">
        <f t="shared" si="102"/>
        <v>0</v>
      </c>
    </row>
    <row r="405" spans="1:25" x14ac:dyDescent="0.3">
      <c r="A405" s="116" t="str">
        <f>IF(Inputs!$A52="","",Inputs!$A52)</f>
        <v/>
      </c>
      <c r="B405" s="116" t="str">
        <f>IF(Inputs!$A52="","",Inputs!$A$93)</f>
        <v/>
      </c>
      <c r="C405" s="116"/>
      <c r="D405" s="122" t="str">
        <f>IF($A405="","",(IF(ISNUMBER(SEARCH("Proposal",$A405)),SUMIFS('Timesheet Raw'!$P$4:$P$8000,'Timesheet Raw'!$A$4:$A$8000,IF(ISNUMBER(SEARCH("Chargable",$A405)),"2-Proposals Chargeable","3-Proposals Regular"),'Timesheet Raw'!$C$4:$C$8000,"*"&amp;$B405&amp;"*",'Timesheet Raw'!$L$4:$L$8000,"&gt;="&amp;MAX(D$5,DATE(2000+VALUE(RIGHT(TRIM($A405),2)),1,1)),'Timesheet Raw'!$L$4:$L$8000,"&lt;="&amp;MIN(D$6,DATE(2000+VALUE(RIGHT(TRIM($A405),2)),12,31))),SUMIFS('Timesheet Raw'!$P$4:$P$8000,'Timesheet Raw'!$B$4:$B$8000,TRIM($A405),'Timesheet Raw'!$C$4:$C$8000,"*"&amp;$B405&amp;"*",'Timesheet Raw'!$L$4:$L$8000,"&gt;="&amp;D$5,'Timesheet Raw'!$L$4:$L$8000,"&lt;="&amp;D$6)))/'Profit Plan'!$B$5)</f>
        <v/>
      </c>
      <c r="E405" s="122" t="str">
        <f>IF($A405="","",(IF(ISNUMBER(SEARCH("Proposal",$A405)),SUMIFS('Timesheet Raw'!$P$4:$P$8000,'Timesheet Raw'!$A$4:$A$8000,IF(ISNUMBER(SEARCH("Chargable",$A405)),"2-Proposals Chargeable","3-Proposals Regular"),'Timesheet Raw'!$C$4:$C$8000,"*"&amp;$B405&amp;"*",'Timesheet Raw'!$L$4:$L$8000,"&gt;="&amp;MAX(E$5,DATE(2000+VALUE(RIGHT(TRIM($A405),2)),1,1)),'Timesheet Raw'!$L$4:$L$8000,"&lt;="&amp;MIN(E$6,DATE(2000+VALUE(RIGHT(TRIM($A405),2)),12,31))),SUMIFS('Timesheet Raw'!$P$4:$P$8000,'Timesheet Raw'!$B$4:$B$8000,TRIM($A405),'Timesheet Raw'!$C$4:$C$8000,"*"&amp;$B405&amp;"*",'Timesheet Raw'!$L$4:$L$8000,"&gt;="&amp;E$5,'Timesheet Raw'!$L$4:$L$8000,"&lt;="&amp;E$6)))/'Profit Plan'!$B$5)</f>
        <v/>
      </c>
      <c r="F405" s="122" t="str">
        <f>IF($A405="","",(IF(ISNUMBER(SEARCH("Proposal",$A405)),SUMIFS('Timesheet Raw'!$P$4:$P$8000,'Timesheet Raw'!$A$4:$A$8000,IF(ISNUMBER(SEARCH("Chargable",$A405)),"2-Proposals Chargeable","3-Proposals Regular"),'Timesheet Raw'!$C$4:$C$8000,"*"&amp;$B405&amp;"*",'Timesheet Raw'!$L$4:$L$8000,"&gt;="&amp;MAX(F$5,DATE(2000+VALUE(RIGHT(TRIM($A405),2)),1,1)),'Timesheet Raw'!$L$4:$L$8000,"&lt;="&amp;MIN(F$6,DATE(2000+VALUE(RIGHT(TRIM($A405),2)),12,31))),SUMIFS('Timesheet Raw'!$P$4:$P$8000,'Timesheet Raw'!$B$4:$B$8000,TRIM($A405),'Timesheet Raw'!$C$4:$C$8000,"*"&amp;$B405&amp;"*",'Timesheet Raw'!$L$4:$L$8000,"&gt;="&amp;F$5,'Timesheet Raw'!$L$4:$L$8000,"&lt;="&amp;F$6)))/'Profit Plan'!$B$5)</f>
        <v/>
      </c>
      <c r="G405" s="122" t="str">
        <f>IF($A405="","",(IF(ISNUMBER(SEARCH("Proposal",$A405)),SUMIFS('Timesheet Raw'!$P$4:$P$8000,'Timesheet Raw'!$A$4:$A$8000,IF(ISNUMBER(SEARCH("Chargable",$A405)),"2-Proposals Chargeable","3-Proposals Regular"),'Timesheet Raw'!$C$4:$C$8000,"*"&amp;$B405&amp;"*",'Timesheet Raw'!$L$4:$L$8000,"&gt;="&amp;MAX(G$5,DATE(2000+VALUE(RIGHT(TRIM($A405),2)),1,1)),'Timesheet Raw'!$L$4:$L$8000,"&lt;="&amp;MIN(G$6,DATE(2000+VALUE(RIGHT(TRIM($A405),2)),12,31))),SUMIFS('Timesheet Raw'!$P$4:$P$8000,'Timesheet Raw'!$B$4:$B$8000,TRIM($A405),'Timesheet Raw'!$C$4:$C$8000,"*"&amp;$B405&amp;"*",'Timesheet Raw'!$L$4:$L$8000,"&gt;="&amp;G$5,'Timesheet Raw'!$L$4:$L$8000,"&lt;="&amp;G$6)))/'Profit Plan'!$B$5)</f>
        <v/>
      </c>
      <c r="H405" s="122" t="str">
        <f>IF($A405="","",(IF(ISNUMBER(SEARCH("Proposal",$A405)),SUMIFS('Timesheet Raw'!$P$4:$P$8000,'Timesheet Raw'!$A$4:$A$8000,IF(ISNUMBER(SEARCH("Chargable",$A405)),"2-Proposals Chargeable","3-Proposals Regular"),'Timesheet Raw'!$C$4:$C$8000,"*"&amp;$B405&amp;"*",'Timesheet Raw'!$L$4:$L$8000,"&gt;="&amp;MAX(H$5,DATE(2000+VALUE(RIGHT(TRIM($A405),2)),1,1)),'Timesheet Raw'!$L$4:$L$8000,"&lt;="&amp;MIN(H$6,DATE(2000+VALUE(RIGHT(TRIM($A405),2)),12,31))),SUMIFS('Timesheet Raw'!$P$4:$P$8000,'Timesheet Raw'!$B$4:$B$8000,TRIM($A405),'Timesheet Raw'!$C$4:$C$8000,"*"&amp;$B405&amp;"*",'Timesheet Raw'!$L$4:$L$8000,"&gt;="&amp;H$5,'Timesheet Raw'!$L$4:$L$8000,"&lt;="&amp;H$6)))/'Profit Plan'!$B$5)</f>
        <v/>
      </c>
      <c r="I405" s="122" t="str">
        <f>IF($A405="","",(IF(ISNUMBER(SEARCH("Proposal",$A405)),SUMIFS('Timesheet Raw'!$P$4:$P$8000,'Timesheet Raw'!$A$4:$A$8000,IF(ISNUMBER(SEARCH("Chargable",$A405)),"2-Proposals Chargeable","3-Proposals Regular"),'Timesheet Raw'!$C$4:$C$8000,"*"&amp;$B405&amp;"*",'Timesheet Raw'!$L$4:$L$8000,"&gt;="&amp;MAX(I$5,DATE(2000+VALUE(RIGHT(TRIM($A405),2)),1,1)),'Timesheet Raw'!$L$4:$L$8000,"&lt;="&amp;MIN(I$6,DATE(2000+VALUE(RIGHT(TRIM($A405),2)),12,31))),SUMIFS('Timesheet Raw'!$P$4:$P$8000,'Timesheet Raw'!$B$4:$B$8000,TRIM($A405),'Timesheet Raw'!$C$4:$C$8000,"*"&amp;$B405&amp;"*",'Timesheet Raw'!$L$4:$L$8000,"&gt;="&amp;I$5,'Timesheet Raw'!$L$4:$L$8000,"&lt;="&amp;I$6)))/'Profit Plan'!$B$5)</f>
        <v/>
      </c>
      <c r="J405" s="122" t="str">
        <f>IF($A405="","",(IF(ISNUMBER(SEARCH("Proposal",$A405)),SUMIFS('Timesheet Raw'!$P$4:$P$8000,'Timesheet Raw'!$A$4:$A$8000,IF(ISNUMBER(SEARCH("Chargable",$A405)),"2-Proposals Chargeable","3-Proposals Regular"),'Timesheet Raw'!$C$4:$C$8000,"*"&amp;$B405&amp;"*",'Timesheet Raw'!$L$4:$L$8000,"&gt;="&amp;MAX(J$5,DATE(2000+VALUE(RIGHT(TRIM($A405),2)),1,1)),'Timesheet Raw'!$L$4:$L$8000,"&lt;="&amp;MIN(J$6,DATE(2000+VALUE(RIGHT(TRIM($A405),2)),12,31))),SUMIFS('Timesheet Raw'!$P$4:$P$8000,'Timesheet Raw'!$B$4:$B$8000,TRIM($A405),'Timesheet Raw'!$C$4:$C$8000,"*"&amp;$B405&amp;"*",'Timesheet Raw'!$L$4:$L$8000,"&gt;="&amp;J$5,'Timesheet Raw'!$L$4:$L$8000,"&lt;="&amp;J$6)))/'Profit Plan'!$B$5)</f>
        <v/>
      </c>
      <c r="K405" s="122" t="str">
        <f>IF($A405="","",(IF(ISNUMBER(SEARCH("Proposal",$A405)),SUMIFS('Timesheet Raw'!$P$4:$P$8000,'Timesheet Raw'!$A$4:$A$8000,IF(ISNUMBER(SEARCH("Chargable",$A405)),"2-Proposals Chargeable","3-Proposals Regular"),'Timesheet Raw'!$C$4:$C$8000,"*"&amp;$B405&amp;"*",'Timesheet Raw'!$L$4:$L$8000,"&gt;="&amp;MAX(K$5,DATE(2000+VALUE(RIGHT(TRIM($A405),2)),1,1)),'Timesheet Raw'!$L$4:$L$8000,"&lt;="&amp;MIN(K$6,DATE(2000+VALUE(RIGHT(TRIM($A405),2)),12,31))),SUMIFS('Timesheet Raw'!$P$4:$P$8000,'Timesheet Raw'!$B$4:$B$8000,TRIM($A405),'Timesheet Raw'!$C$4:$C$8000,"*"&amp;$B405&amp;"*",'Timesheet Raw'!$L$4:$L$8000,"&gt;="&amp;K$5,'Timesheet Raw'!$L$4:$L$8000,"&lt;="&amp;K$6)))/'Profit Plan'!$B$5)</f>
        <v/>
      </c>
      <c r="L405" s="122" t="str">
        <f>IF($A405="","",(IF(ISNUMBER(SEARCH("Proposal",$A405)),SUMIFS('Timesheet Raw'!$P$4:$P$8000,'Timesheet Raw'!$A$4:$A$8000,IF(ISNUMBER(SEARCH("Chargable",$A405)),"2-Proposals Chargeable","3-Proposals Regular"),'Timesheet Raw'!$C$4:$C$8000,"*"&amp;$B405&amp;"*",'Timesheet Raw'!$L$4:$L$8000,"&gt;="&amp;MAX(L$5,DATE(2000+VALUE(RIGHT(TRIM($A405),2)),1,1)),'Timesheet Raw'!$L$4:$L$8000,"&lt;="&amp;MIN(L$6,DATE(2000+VALUE(RIGHT(TRIM($A405),2)),12,31))),SUMIFS('Timesheet Raw'!$P$4:$P$8000,'Timesheet Raw'!$B$4:$B$8000,TRIM($A405),'Timesheet Raw'!$C$4:$C$8000,"*"&amp;$B405&amp;"*",'Timesheet Raw'!$L$4:$L$8000,"&gt;="&amp;L$5,'Timesheet Raw'!$L$4:$L$8000,"&lt;="&amp;L$6)))/'Profit Plan'!$B$5)</f>
        <v/>
      </c>
      <c r="M405" s="122" t="str">
        <f>IF($A405="","",(IF(ISNUMBER(SEARCH("Proposal",$A405)),SUMIFS('Timesheet Raw'!$P$4:$P$8000,'Timesheet Raw'!$A$4:$A$8000,IF(ISNUMBER(SEARCH("Chargable",$A405)),"2-Proposals Chargeable","3-Proposals Regular"),'Timesheet Raw'!$C$4:$C$8000,"*"&amp;$B405&amp;"*",'Timesheet Raw'!$L$4:$L$8000,"&gt;="&amp;MAX(M$5,DATE(2000+VALUE(RIGHT(TRIM($A405),2)),1,1)),'Timesheet Raw'!$L$4:$L$8000,"&lt;="&amp;MIN(M$6,DATE(2000+VALUE(RIGHT(TRIM($A405),2)),12,31))),SUMIFS('Timesheet Raw'!$P$4:$P$8000,'Timesheet Raw'!$B$4:$B$8000,TRIM($A405),'Timesheet Raw'!$C$4:$C$8000,"*"&amp;$B405&amp;"*",'Timesheet Raw'!$L$4:$L$8000,"&gt;="&amp;M$5,'Timesheet Raw'!$L$4:$L$8000,"&lt;="&amp;M$6)))/'Profit Plan'!$B$5)</f>
        <v/>
      </c>
      <c r="N405" s="122" t="str">
        <f>IF($A405="","",(IF(ISNUMBER(SEARCH("Proposal",$A405)),SUMIFS('Timesheet Raw'!$P$4:$P$8000,'Timesheet Raw'!$A$4:$A$8000,IF(ISNUMBER(SEARCH("Chargable",$A405)),"2-Proposals Chargeable","3-Proposals Regular"),'Timesheet Raw'!$C$4:$C$8000,"*"&amp;$B405&amp;"*",'Timesheet Raw'!$L$4:$L$8000,"&gt;="&amp;MAX(N$5,DATE(2000+VALUE(RIGHT(TRIM($A405),2)),1,1)),'Timesheet Raw'!$L$4:$L$8000,"&lt;="&amp;MIN(N$6,DATE(2000+VALUE(RIGHT(TRIM($A405),2)),12,31))),SUMIFS('Timesheet Raw'!$P$4:$P$8000,'Timesheet Raw'!$B$4:$B$8000,TRIM($A405),'Timesheet Raw'!$C$4:$C$8000,"*"&amp;$B405&amp;"*",'Timesheet Raw'!$L$4:$L$8000,"&gt;="&amp;N$5,'Timesheet Raw'!$L$4:$L$8000,"&lt;="&amp;N$6)))/'Profit Plan'!$B$5)</f>
        <v/>
      </c>
      <c r="O405" s="122" t="str">
        <f>IF($A405="","",(IF(ISNUMBER(SEARCH("Proposal",$A405)),SUMIFS('Timesheet Raw'!$P$4:$P$8000,'Timesheet Raw'!$A$4:$A$8000,IF(ISNUMBER(SEARCH("Chargable",$A405)),"2-Proposals Chargeable","3-Proposals Regular"),'Timesheet Raw'!$C$4:$C$8000,"*"&amp;$B405&amp;"*",'Timesheet Raw'!$L$4:$L$8000,"&gt;="&amp;MAX(O$5,DATE(2000+VALUE(RIGHT(TRIM($A405),2)),1,1)),'Timesheet Raw'!$L$4:$L$8000,"&lt;="&amp;MIN(O$6,DATE(2000+VALUE(RIGHT(TRIM($A405),2)),12,31))),SUMIFS('Timesheet Raw'!$P$4:$P$8000,'Timesheet Raw'!$B$4:$B$8000,TRIM($A405),'Timesheet Raw'!$C$4:$C$8000,"*"&amp;$B405&amp;"*",'Timesheet Raw'!$L$4:$L$8000,"&gt;="&amp;O$5,'Timesheet Raw'!$L$4:$L$8000,"&lt;="&amp;O$6)))/'Profit Plan'!$B$5)</f>
        <v/>
      </c>
      <c r="P405" s="122" t="str">
        <f>IF($A405="","",(IF(ISNUMBER(SEARCH("Proposal",$A405)),SUMIFS('Timesheet Raw'!$P$4:$P$8000,'Timesheet Raw'!$A$4:$A$8000,IF(ISNUMBER(SEARCH("Chargable",$A405)),"2-Proposals Chargeable","3-Proposals Regular"),'Timesheet Raw'!$C$4:$C$8000,"*"&amp;$B405&amp;"*",'Timesheet Raw'!$L$4:$L$8000,"&gt;="&amp;MAX(P$5,DATE(2000+VALUE(RIGHT(TRIM($A405),2)),1,1)),'Timesheet Raw'!$L$4:$L$8000,"&lt;="&amp;MIN(P$6,DATE(2000+VALUE(RIGHT(TRIM($A405),2)),12,31))),SUMIFS('Timesheet Raw'!$P$4:$P$8000,'Timesheet Raw'!$B$4:$B$8000,TRIM($A405),'Timesheet Raw'!$C$4:$C$8000,"*"&amp;$B405&amp;"*",'Timesheet Raw'!$L$4:$L$8000,"&gt;="&amp;P$5,'Timesheet Raw'!$L$4:$L$8000,"&lt;="&amp;P$6)))/'Profit Plan'!$B$5)</f>
        <v/>
      </c>
      <c r="Q405" s="122" t="str">
        <f>IF($A405="","",(IF(ISNUMBER(SEARCH("Proposal",$A405)),SUMIFS('Timesheet Raw'!$P$4:$P$8000,'Timesheet Raw'!$A$4:$A$8000,IF(ISNUMBER(SEARCH("Chargable",$A405)),"2-Proposals Chargeable","3-Proposals Regular"),'Timesheet Raw'!$C$4:$C$8000,"*"&amp;$B405&amp;"*",'Timesheet Raw'!$L$4:$L$8000,"&gt;="&amp;MAX(Q$5,DATE(2000+VALUE(RIGHT(TRIM($A405),2)),1,1)),'Timesheet Raw'!$L$4:$L$8000,"&lt;="&amp;MIN(Q$6,DATE(2000+VALUE(RIGHT(TRIM($A405),2)),12,31))),SUMIFS('Timesheet Raw'!$P$4:$P$8000,'Timesheet Raw'!$B$4:$B$8000,TRIM($A405),'Timesheet Raw'!$C$4:$C$8000,"*"&amp;$B405&amp;"*",'Timesheet Raw'!$L$4:$L$8000,"&gt;="&amp;Q$5,'Timesheet Raw'!$L$4:$L$8000,"&lt;="&amp;Q$6)))/'Profit Plan'!$B$5)</f>
        <v/>
      </c>
      <c r="R405" s="122" t="str">
        <f>IF($A405="","",(IF(ISNUMBER(SEARCH("Proposal",$A405)),SUMIFS('Timesheet Raw'!$P$4:$P$8000,'Timesheet Raw'!$A$4:$A$8000,IF(ISNUMBER(SEARCH("Chargable",$A405)),"2-Proposals Chargeable","3-Proposals Regular"),'Timesheet Raw'!$C$4:$C$8000,"*"&amp;$B405&amp;"*",'Timesheet Raw'!$L$4:$L$8000,"&gt;="&amp;MAX(R$5,DATE(2000+VALUE(RIGHT(TRIM($A405),2)),1,1)),'Timesheet Raw'!$L$4:$L$8000,"&lt;="&amp;MIN(R$6,DATE(2000+VALUE(RIGHT(TRIM($A405),2)),12,31))),SUMIFS('Timesheet Raw'!$P$4:$P$8000,'Timesheet Raw'!$B$4:$B$8000,TRIM($A405),'Timesheet Raw'!$C$4:$C$8000,"*"&amp;$B405&amp;"*",'Timesheet Raw'!$L$4:$L$8000,"&gt;="&amp;R$5,'Timesheet Raw'!$L$4:$L$8000,"&lt;="&amp;R$6)))/'Profit Plan'!$B$5)</f>
        <v/>
      </c>
      <c r="S405" s="122" t="str">
        <f>IF($A405="","",(IF(ISNUMBER(SEARCH("Proposal",$A405)),SUMIFS('Timesheet Raw'!$P$4:$P$8000,'Timesheet Raw'!$A$4:$A$8000,IF(ISNUMBER(SEARCH("Chargable",$A405)),"2-Proposals Chargeable","3-Proposals Regular"),'Timesheet Raw'!$C$4:$C$8000,"*"&amp;$B405&amp;"*",'Timesheet Raw'!$L$4:$L$8000,"&gt;="&amp;MAX(S$5,DATE(2000+VALUE(RIGHT(TRIM($A405),2)),1,1)),'Timesheet Raw'!$L$4:$L$8000,"&lt;="&amp;MIN(S$6,DATE(2000+VALUE(RIGHT(TRIM($A405),2)),12,31))),SUMIFS('Timesheet Raw'!$P$4:$P$8000,'Timesheet Raw'!$B$4:$B$8000,TRIM($A405),'Timesheet Raw'!$C$4:$C$8000,"*"&amp;$B405&amp;"*",'Timesheet Raw'!$L$4:$L$8000,"&gt;="&amp;S$5,'Timesheet Raw'!$L$4:$L$8000,"&lt;="&amp;S$6)))/'Profit Plan'!$B$5)</f>
        <v/>
      </c>
      <c r="T405" s="122" t="str">
        <f>IF($A405="","",(IF(ISNUMBER(SEARCH("Proposal",$A405)),SUMIFS('Timesheet Raw'!$P$4:$P$8000,'Timesheet Raw'!$A$4:$A$8000,IF(ISNUMBER(SEARCH("Chargable",$A405)),"2-Proposals Chargeable","3-Proposals Regular"),'Timesheet Raw'!$C$4:$C$8000,"*"&amp;$B405&amp;"*",'Timesheet Raw'!$L$4:$L$8000,"&gt;="&amp;MAX(T$5,DATE(2000+VALUE(RIGHT(TRIM($A405),2)),1,1)),'Timesheet Raw'!$L$4:$L$8000,"&lt;="&amp;MIN(T$6,DATE(2000+VALUE(RIGHT(TRIM($A405),2)),12,31))),SUMIFS('Timesheet Raw'!$P$4:$P$8000,'Timesheet Raw'!$B$4:$B$8000,TRIM($A405),'Timesheet Raw'!$C$4:$C$8000,"*"&amp;$B405&amp;"*",'Timesheet Raw'!$L$4:$L$8000,"&gt;="&amp;T$5,'Timesheet Raw'!$L$4:$L$8000,"&lt;="&amp;T$6)))/'Profit Plan'!$B$5)</f>
        <v/>
      </c>
      <c r="U405" s="122" t="str">
        <f>IF($A405="","",(IF(ISNUMBER(SEARCH("Proposal",$A405)),SUMIFS('Timesheet Raw'!$P$4:$P$8000,'Timesheet Raw'!$A$4:$A$8000,IF(ISNUMBER(SEARCH("Chargable",$A405)),"2-Proposals Chargeable","3-Proposals Regular"),'Timesheet Raw'!$C$4:$C$8000,"*"&amp;$B405&amp;"*",'Timesheet Raw'!$L$4:$L$8000,"&gt;="&amp;MAX(U$5,DATE(2000+VALUE(RIGHT(TRIM($A405),2)),1,1)),'Timesheet Raw'!$L$4:$L$8000,"&lt;="&amp;MIN(U$6,DATE(2000+VALUE(RIGHT(TRIM($A405),2)),12,31))),SUMIFS('Timesheet Raw'!$P$4:$P$8000,'Timesheet Raw'!$B$4:$B$8000,TRIM($A405),'Timesheet Raw'!$C$4:$C$8000,"*"&amp;$B405&amp;"*",'Timesheet Raw'!$L$4:$L$8000,"&gt;="&amp;U$5,'Timesheet Raw'!$L$4:$L$8000,"&lt;="&amp;U$6)))/'Profit Plan'!$B$5)</f>
        <v/>
      </c>
      <c r="V405" s="122" t="str">
        <f>IF($A405="","",(IF(ISNUMBER(SEARCH("Proposal",$A405)),SUMIFS('Timesheet Raw'!$P$4:$P$8000,'Timesheet Raw'!$A$4:$A$8000,IF(ISNUMBER(SEARCH("Chargable",$A405)),"2-Proposals Chargeable","3-Proposals Regular"),'Timesheet Raw'!$C$4:$C$8000,"*"&amp;$B405&amp;"*",'Timesheet Raw'!$L$4:$L$8000,"&gt;="&amp;MAX(V$5,DATE(2000+VALUE(RIGHT(TRIM($A405),2)),1,1)),'Timesheet Raw'!$L$4:$L$8000,"&lt;="&amp;MIN(V$6,DATE(2000+VALUE(RIGHT(TRIM($A405),2)),12,31))),SUMIFS('Timesheet Raw'!$P$4:$P$8000,'Timesheet Raw'!$B$4:$B$8000,TRIM($A405),'Timesheet Raw'!$C$4:$C$8000,"*"&amp;$B405&amp;"*",'Timesheet Raw'!$L$4:$L$8000,"&gt;="&amp;V$5,'Timesheet Raw'!$L$4:$L$8000,"&lt;="&amp;V$6)))/'Profit Plan'!$B$5)</f>
        <v/>
      </c>
      <c r="W405" s="122" t="str">
        <f>IF($A405="","",(IF(ISNUMBER(SEARCH("Proposal",$A405)),SUMIFS('Timesheet Raw'!$P$4:$P$8000,'Timesheet Raw'!$A$4:$A$8000,IF(ISNUMBER(SEARCH("Chargable",$A405)),"2-Proposals Chargeable","3-Proposals Regular"),'Timesheet Raw'!$C$4:$C$8000,"*"&amp;$B405&amp;"*",'Timesheet Raw'!$L$4:$L$8000,"&gt;="&amp;MAX(W$5,DATE(2000+VALUE(RIGHT(TRIM($A405),2)),1,1)),'Timesheet Raw'!$L$4:$L$8000,"&lt;="&amp;MIN(W$6,DATE(2000+VALUE(RIGHT(TRIM($A405),2)),12,31))),SUMIFS('Timesheet Raw'!$P$4:$P$8000,'Timesheet Raw'!$B$4:$B$8000,TRIM($A405),'Timesheet Raw'!$C$4:$C$8000,"*"&amp;$B405&amp;"*",'Timesheet Raw'!$L$4:$L$8000,"&gt;="&amp;W$5,'Timesheet Raw'!$L$4:$L$8000,"&lt;="&amp;W$6)))/'Profit Plan'!$B$5)</f>
        <v/>
      </c>
      <c r="X405" s="122" t="str">
        <f>IF($A405="","",(IF(ISNUMBER(SEARCH("Proposal",$A405)),SUMIFS('Timesheet Raw'!$P$4:$P$8000,'Timesheet Raw'!$A$4:$A$8000,IF(ISNUMBER(SEARCH("Chargable",$A405)),"2-Proposals Chargeable","3-Proposals Regular"),'Timesheet Raw'!$C$4:$C$8000,"*"&amp;$B405&amp;"*",'Timesheet Raw'!$L$4:$L$8000,"&gt;="&amp;MAX(X$5,DATE(2000+VALUE(RIGHT(TRIM($A405),2)),1,1)),'Timesheet Raw'!$L$4:$L$8000,"&lt;="&amp;MIN(X$6,DATE(2000+VALUE(RIGHT(TRIM($A405),2)),12,31))),SUMIFS('Timesheet Raw'!$P$4:$P$8000,'Timesheet Raw'!$B$4:$B$8000,TRIM($A405),'Timesheet Raw'!$C$4:$C$8000,"*"&amp;$B405&amp;"*",'Timesheet Raw'!$L$4:$L$8000,"&gt;="&amp;X$5,'Timesheet Raw'!$L$4:$L$8000,"&lt;="&amp;X$6)))/'Profit Plan'!$B$5)</f>
        <v/>
      </c>
      <c r="Y405" s="118">
        <f t="shared" si="102"/>
        <v>0</v>
      </c>
    </row>
    <row r="406" spans="1:25" x14ac:dyDescent="0.3">
      <c r="A406" s="116" t="str">
        <f>IF(Inputs!$A53="","",Inputs!$A53)</f>
        <v/>
      </c>
      <c r="B406" s="116" t="str">
        <f>IF(Inputs!$A53="","",Inputs!$A$91)</f>
        <v/>
      </c>
      <c r="C406" s="116"/>
      <c r="D406" s="122" t="str">
        <f>IF($A406="","",(IF(ISNUMBER(SEARCH("Proposal",$A406)),SUMIFS('Timesheet Raw'!$P$4:$P$8000,'Timesheet Raw'!$A$4:$A$8000,IF(ISNUMBER(SEARCH("Chargable",$A406)),"2-Proposals Chargeable","3-Proposals Regular"),'Timesheet Raw'!$C$4:$C$8000,"*"&amp;$B406&amp;"*",'Timesheet Raw'!$L$4:$L$8000,"&gt;="&amp;MAX(D$5,DATE(2000+VALUE(RIGHT(TRIM($A406),2)),1,1)),'Timesheet Raw'!$L$4:$L$8000,"&lt;="&amp;MIN(D$6,DATE(2000+VALUE(RIGHT(TRIM($A406),2)),12,31))),SUMIFS('Timesheet Raw'!$P$4:$P$8000,'Timesheet Raw'!$B$4:$B$8000,TRIM($A406),'Timesheet Raw'!$C$4:$C$8000,"*"&amp;$B406&amp;"*",'Timesheet Raw'!$L$4:$L$8000,"&gt;="&amp;D$5,'Timesheet Raw'!$L$4:$L$8000,"&lt;="&amp;D$6)))/'Profit Plan'!$B$5)</f>
        <v/>
      </c>
      <c r="E406" s="122" t="str">
        <f>IF($A406="","",(IF(ISNUMBER(SEARCH("Proposal",$A406)),SUMIFS('Timesheet Raw'!$P$4:$P$8000,'Timesheet Raw'!$A$4:$A$8000,IF(ISNUMBER(SEARCH("Chargable",$A406)),"2-Proposals Chargeable","3-Proposals Regular"),'Timesheet Raw'!$C$4:$C$8000,"*"&amp;$B406&amp;"*",'Timesheet Raw'!$L$4:$L$8000,"&gt;="&amp;MAX(E$5,DATE(2000+VALUE(RIGHT(TRIM($A406),2)),1,1)),'Timesheet Raw'!$L$4:$L$8000,"&lt;="&amp;MIN(E$6,DATE(2000+VALUE(RIGHT(TRIM($A406),2)),12,31))),SUMIFS('Timesheet Raw'!$P$4:$P$8000,'Timesheet Raw'!$B$4:$B$8000,TRIM($A406),'Timesheet Raw'!$C$4:$C$8000,"*"&amp;$B406&amp;"*",'Timesheet Raw'!$L$4:$L$8000,"&gt;="&amp;E$5,'Timesheet Raw'!$L$4:$L$8000,"&lt;="&amp;E$6)))/'Profit Plan'!$B$5)</f>
        <v/>
      </c>
      <c r="F406" s="122" t="str">
        <f>IF($A406="","",(IF(ISNUMBER(SEARCH("Proposal",$A406)),SUMIFS('Timesheet Raw'!$P$4:$P$8000,'Timesheet Raw'!$A$4:$A$8000,IF(ISNUMBER(SEARCH("Chargable",$A406)),"2-Proposals Chargeable","3-Proposals Regular"),'Timesheet Raw'!$C$4:$C$8000,"*"&amp;$B406&amp;"*",'Timesheet Raw'!$L$4:$L$8000,"&gt;="&amp;MAX(F$5,DATE(2000+VALUE(RIGHT(TRIM($A406),2)),1,1)),'Timesheet Raw'!$L$4:$L$8000,"&lt;="&amp;MIN(F$6,DATE(2000+VALUE(RIGHT(TRIM($A406),2)),12,31))),SUMIFS('Timesheet Raw'!$P$4:$P$8000,'Timesheet Raw'!$B$4:$B$8000,TRIM($A406),'Timesheet Raw'!$C$4:$C$8000,"*"&amp;$B406&amp;"*",'Timesheet Raw'!$L$4:$L$8000,"&gt;="&amp;F$5,'Timesheet Raw'!$L$4:$L$8000,"&lt;="&amp;F$6)))/'Profit Plan'!$B$5)</f>
        <v/>
      </c>
      <c r="G406" s="122" t="str">
        <f>IF($A406="","",(IF(ISNUMBER(SEARCH("Proposal",$A406)),SUMIFS('Timesheet Raw'!$P$4:$P$8000,'Timesheet Raw'!$A$4:$A$8000,IF(ISNUMBER(SEARCH("Chargable",$A406)),"2-Proposals Chargeable","3-Proposals Regular"),'Timesheet Raw'!$C$4:$C$8000,"*"&amp;$B406&amp;"*",'Timesheet Raw'!$L$4:$L$8000,"&gt;="&amp;MAX(G$5,DATE(2000+VALUE(RIGHT(TRIM($A406),2)),1,1)),'Timesheet Raw'!$L$4:$L$8000,"&lt;="&amp;MIN(G$6,DATE(2000+VALUE(RIGHT(TRIM($A406),2)),12,31))),SUMIFS('Timesheet Raw'!$P$4:$P$8000,'Timesheet Raw'!$B$4:$B$8000,TRIM($A406),'Timesheet Raw'!$C$4:$C$8000,"*"&amp;$B406&amp;"*",'Timesheet Raw'!$L$4:$L$8000,"&gt;="&amp;G$5,'Timesheet Raw'!$L$4:$L$8000,"&lt;="&amp;G$6)))/'Profit Plan'!$B$5)</f>
        <v/>
      </c>
      <c r="H406" s="122" t="str">
        <f>IF($A406="","",(IF(ISNUMBER(SEARCH("Proposal",$A406)),SUMIFS('Timesheet Raw'!$P$4:$P$8000,'Timesheet Raw'!$A$4:$A$8000,IF(ISNUMBER(SEARCH("Chargable",$A406)),"2-Proposals Chargeable","3-Proposals Regular"),'Timesheet Raw'!$C$4:$C$8000,"*"&amp;$B406&amp;"*",'Timesheet Raw'!$L$4:$L$8000,"&gt;="&amp;MAX(H$5,DATE(2000+VALUE(RIGHT(TRIM($A406),2)),1,1)),'Timesheet Raw'!$L$4:$L$8000,"&lt;="&amp;MIN(H$6,DATE(2000+VALUE(RIGHT(TRIM($A406),2)),12,31))),SUMIFS('Timesheet Raw'!$P$4:$P$8000,'Timesheet Raw'!$B$4:$B$8000,TRIM($A406),'Timesheet Raw'!$C$4:$C$8000,"*"&amp;$B406&amp;"*",'Timesheet Raw'!$L$4:$L$8000,"&gt;="&amp;H$5,'Timesheet Raw'!$L$4:$L$8000,"&lt;="&amp;H$6)))/'Profit Plan'!$B$5)</f>
        <v/>
      </c>
      <c r="I406" s="122" t="str">
        <f>IF($A406="","",(IF(ISNUMBER(SEARCH("Proposal",$A406)),SUMIFS('Timesheet Raw'!$P$4:$P$8000,'Timesheet Raw'!$A$4:$A$8000,IF(ISNUMBER(SEARCH("Chargable",$A406)),"2-Proposals Chargeable","3-Proposals Regular"),'Timesheet Raw'!$C$4:$C$8000,"*"&amp;$B406&amp;"*",'Timesheet Raw'!$L$4:$L$8000,"&gt;="&amp;MAX(I$5,DATE(2000+VALUE(RIGHT(TRIM($A406),2)),1,1)),'Timesheet Raw'!$L$4:$L$8000,"&lt;="&amp;MIN(I$6,DATE(2000+VALUE(RIGHT(TRIM($A406),2)),12,31))),SUMIFS('Timesheet Raw'!$P$4:$P$8000,'Timesheet Raw'!$B$4:$B$8000,TRIM($A406),'Timesheet Raw'!$C$4:$C$8000,"*"&amp;$B406&amp;"*",'Timesheet Raw'!$L$4:$L$8000,"&gt;="&amp;I$5,'Timesheet Raw'!$L$4:$L$8000,"&lt;="&amp;I$6)))/'Profit Plan'!$B$5)</f>
        <v/>
      </c>
      <c r="J406" s="122" t="str">
        <f>IF($A406="","",(IF(ISNUMBER(SEARCH("Proposal",$A406)),SUMIFS('Timesheet Raw'!$P$4:$P$8000,'Timesheet Raw'!$A$4:$A$8000,IF(ISNUMBER(SEARCH("Chargable",$A406)),"2-Proposals Chargeable","3-Proposals Regular"),'Timesheet Raw'!$C$4:$C$8000,"*"&amp;$B406&amp;"*",'Timesheet Raw'!$L$4:$L$8000,"&gt;="&amp;MAX(J$5,DATE(2000+VALUE(RIGHT(TRIM($A406),2)),1,1)),'Timesheet Raw'!$L$4:$L$8000,"&lt;="&amp;MIN(J$6,DATE(2000+VALUE(RIGHT(TRIM($A406),2)),12,31))),SUMIFS('Timesheet Raw'!$P$4:$P$8000,'Timesheet Raw'!$B$4:$B$8000,TRIM($A406),'Timesheet Raw'!$C$4:$C$8000,"*"&amp;$B406&amp;"*",'Timesheet Raw'!$L$4:$L$8000,"&gt;="&amp;J$5,'Timesheet Raw'!$L$4:$L$8000,"&lt;="&amp;J$6)))/'Profit Plan'!$B$5)</f>
        <v/>
      </c>
      <c r="K406" s="122" t="str">
        <f>IF($A406="","",(IF(ISNUMBER(SEARCH("Proposal",$A406)),SUMIFS('Timesheet Raw'!$P$4:$P$8000,'Timesheet Raw'!$A$4:$A$8000,IF(ISNUMBER(SEARCH("Chargable",$A406)),"2-Proposals Chargeable","3-Proposals Regular"),'Timesheet Raw'!$C$4:$C$8000,"*"&amp;$B406&amp;"*",'Timesheet Raw'!$L$4:$L$8000,"&gt;="&amp;MAX(K$5,DATE(2000+VALUE(RIGHT(TRIM($A406),2)),1,1)),'Timesheet Raw'!$L$4:$L$8000,"&lt;="&amp;MIN(K$6,DATE(2000+VALUE(RIGHT(TRIM($A406),2)),12,31))),SUMIFS('Timesheet Raw'!$P$4:$P$8000,'Timesheet Raw'!$B$4:$B$8000,TRIM($A406),'Timesheet Raw'!$C$4:$C$8000,"*"&amp;$B406&amp;"*",'Timesheet Raw'!$L$4:$L$8000,"&gt;="&amp;K$5,'Timesheet Raw'!$L$4:$L$8000,"&lt;="&amp;K$6)))/'Profit Plan'!$B$5)</f>
        <v/>
      </c>
      <c r="L406" s="122" t="str">
        <f>IF($A406="","",(IF(ISNUMBER(SEARCH("Proposal",$A406)),SUMIFS('Timesheet Raw'!$P$4:$P$8000,'Timesheet Raw'!$A$4:$A$8000,IF(ISNUMBER(SEARCH("Chargable",$A406)),"2-Proposals Chargeable","3-Proposals Regular"),'Timesheet Raw'!$C$4:$C$8000,"*"&amp;$B406&amp;"*",'Timesheet Raw'!$L$4:$L$8000,"&gt;="&amp;MAX(L$5,DATE(2000+VALUE(RIGHT(TRIM($A406),2)),1,1)),'Timesheet Raw'!$L$4:$L$8000,"&lt;="&amp;MIN(L$6,DATE(2000+VALUE(RIGHT(TRIM($A406),2)),12,31))),SUMIFS('Timesheet Raw'!$P$4:$P$8000,'Timesheet Raw'!$B$4:$B$8000,TRIM($A406),'Timesheet Raw'!$C$4:$C$8000,"*"&amp;$B406&amp;"*",'Timesheet Raw'!$L$4:$L$8000,"&gt;="&amp;L$5,'Timesheet Raw'!$L$4:$L$8000,"&lt;="&amp;L$6)))/'Profit Plan'!$B$5)</f>
        <v/>
      </c>
      <c r="M406" s="122" t="str">
        <f>IF($A406="","",(IF(ISNUMBER(SEARCH("Proposal",$A406)),SUMIFS('Timesheet Raw'!$P$4:$P$8000,'Timesheet Raw'!$A$4:$A$8000,IF(ISNUMBER(SEARCH("Chargable",$A406)),"2-Proposals Chargeable","3-Proposals Regular"),'Timesheet Raw'!$C$4:$C$8000,"*"&amp;$B406&amp;"*",'Timesheet Raw'!$L$4:$L$8000,"&gt;="&amp;MAX(M$5,DATE(2000+VALUE(RIGHT(TRIM($A406),2)),1,1)),'Timesheet Raw'!$L$4:$L$8000,"&lt;="&amp;MIN(M$6,DATE(2000+VALUE(RIGHT(TRIM($A406),2)),12,31))),SUMIFS('Timesheet Raw'!$P$4:$P$8000,'Timesheet Raw'!$B$4:$B$8000,TRIM($A406),'Timesheet Raw'!$C$4:$C$8000,"*"&amp;$B406&amp;"*",'Timesheet Raw'!$L$4:$L$8000,"&gt;="&amp;M$5,'Timesheet Raw'!$L$4:$L$8000,"&lt;="&amp;M$6)))/'Profit Plan'!$B$5)</f>
        <v/>
      </c>
      <c r="N406" s="122" t="str">
        <f>IF($A406="","",(IF(ISNUMBER(SEARCH("Proposal",$A406)),SUMIFS('Timesheet Raw'!$P$4:$P$8000,'Timesheet Raw'!$A$4:$A$8000,IF(ISNUMBER(SEARCH("Chargable",$A406)),"2-Proposals Chargeable","3-Proposals Regular"),'Timesheet Raw'!$C$4:$C$8000,"*"&amp;$B406&amp;"*",'Timesheet Raw'!$L$4:$L$8000,"&gt;="&amp;MAX(N$5,DATE(2000+VALUE(RIGHT(TRIM($A406),2)),1,1)),'Timesheet Raw'!$L$4:$L$8000,"&lt;="&amp;MIN(N$6,DATE(2000+VALUE(RIGHT(TRIM($A406),2)),12,31))),SUMIFS('Timesheet Raw'!$P$4:$P$8000,'Timesheet Raw'!$B$4:$B$8000,TRIM($A406),'Timesheet Raw'!$C$4:$C$8000,"*"&amp;$B406&amp;"*",'Timesheet Raw'!$L$4:$L$8000,"&gt;="&amp;N$5,'Timesheet Raw'!$L$4:$L$8000,"&lt;="&amp;N$6)))/'Profit Plan'!$B$5)</f>
        <v/>
      </c>
      <c r="O406" s="122" t="str">
        <f>IF($A406="","",(IF(ISNUMBER(SEARCH("Proposal",$A406)),SUMIFS('Timesheet Raw'!$P$4:$P$8000,'Timesheet Raw'!$A$4:$A$8000,IF(ISNUMBER(SEARCH("Chargable",$A406)),"2-Proposals Chargeable","3-Proposals Regular"),'Timesheet Raw'!$C$4:$C$8000,"*"&amp;$B406&amp;"*",'Timesheet Raw'!$L$4:$L$8000,"&gt;="&amp;MAX(O$5,DATE(2000+VALUE(RIGHT(TRIM($A406),2)),1,1)),'Timesheet Raw'!$L$4:$L$8000,"&lt;="&amp;MIN(O$6,DATE(2000+VALUE(RIGHT(TRIM($A406),2)),12,31))),SUMIFS('Timesheet Raw'!$P$4:$P$8000,'Timesheet Raw'!$B$4:$B$8000,TRIM($A406),'Timesheet Raw'!$C$4:$C$8000,"*"&amp;$B406&amp;"*",'Timesheet Raw'!$L$4:$L$8000,"&gt;="&amp;O$5,'Timesheet Raw'!$L$4:$L$8000,"&lt;="&amp;O$6)))/'Profit Plan'!$B$5)</f>
        <v/>
      </c>
      <c r="P406" s="122" t="str">
        <f>IF($A406="","",(IF(ISNUMBER(SEARCH("Proposal",$A406)),SUMIFS('Timesheet Raw'!$P$4:$P$8000,'Timesheet Raw'!$A$4:$A$8000,IF(ISNUMBER(SEARCH("Chargable",$A406)),"2-Proposals Chargeable","3-Proposals Regular"),'Timesheet Raw'!$C$4:$C$8000,"*"&amp;$B406&amp;"*",'Timesheet Raw'!$L$4:$L$8000,"&gt;="&amp;MAX(P$5,DATE(2000+VALUE(RIGHT(TRIM($A406),2)),1,1)),'Timesheet Raw'!$L$4:$L$8000,"&lt;="&amp;MIN(P$6,DATE(2000+VALUE(RIGHT(TRIM($A406),2)),12,31))),SUMIFS('Timesheet Raw'!$P$4:$P$8000,'Timesheet Raw'!$B$4:$B$8000,TRIM($A406),'Timesheet Raw'!$C$4:$C$8000,"*"&amp;$B406&amp;"*",'Timesheet Raw'!$L$4:$L$8000,"&gt;="&amp;P$5,'Timesheet Raw'!$L$4:$L$8000,"&lt;="&amp;P$6)))/'Profit Plan'!$B$5)</f>
        <v/>
      </c>
      <c r="Q406" s="122" t="str">
        <f>IF($A406="","",(IF(ISNUMBER(SEARCH("Proposal",$A406)),SUMIFS('Timesheet Raw'!$P$4:$P$8000,'Timesheet Raw'!$A$4:$A$8000,IF(ISNUMBER(SEARCH("Chargable",$A406)),"2-Proposals Chargeable","3-Proposals Regular"),'Timesheet Raw'!$C$4:$C$8000,"*"&amp;$B406&amp;"*",'Timesheet Raw'!$L$4:$L$8000,"&gt;="&amp;MAX(Q$5,DATE(2000+VALUE(RIGHT(TRIM($A406),2)),1,1)),'Timesheet Raw'!$L$4:$L$8000,"&lt;="&amp;MIN(Q$6,DATE(2000+VALUE(RIGHT(TRIM($A406),2)),12,31))),SUMIFS('Timesheet Raw'!$P$4:$P$8000,'Timesheet Raw'!$B$4:$B$8000,TRIM($A406),'Timesheet Raw'!$C$4:$C$8000,"*"&amp;$B406&amp;"*",'Timesheet Raw'!$L$4:$L$8000,"&gt;="&amp;Q$5,'Timesheet Raw'!$L$4:$L$8000,"&lt;="&amp;Q$6)))/'Profit Plan'!$B$5)</f>
        <v/>
      </c>
      <c r="R406" s="122" t="str">
        <f>IF($A406="","",(IF(ISNUMBER(SEARCH("Proposal",$A406)),SUMIFS('Timesheet Raw'!$P$4:$P$8000,'Timesheet Raw'!$A$4:$A$8000,IF(ISNUMBER(SEARCH("Chargable",$A406)),"2-Proposals Chargeable","3-Proposals Regular"),'Timesheet Raw'!$C$4:$C$8000,"*"&amp;$B406&amp;"*",'Timesheet Raw'!$L$4:$L$8000,"&gt;="&amp;MAX(R$5,DATE(2000+VALUE(RIGHT(TRIM($A406),2)),1,1)),'Timesheet Raw'!$L$4:$L$8000,"&lt;="&amp;MIN(R$6,DATE(2000+VALUE(RIGHT(TRIM($A406),2)),12,31))),SUMIFS('Timesheet Raw'!$P$4:$P$8000,'Timesheet Raw'!$B$4:$B$8000,TRIM($A406),'Timesheet Raw'!$C$4:$C$8000,"*"&amp;$B406&amp;"*",'Timesheet Raw'!$L$4:$L$8000,"&gt;="&amp;R$5,'Timesheet Raw'!$L$4:$L$8000,"&lt;="&amp;R$6)))/'Profit Plan'!$B$5)</f>
        <v/>
      </c>
      <c r="S406" s="122" t="str">
        <f>IF($A406="","",(IF(ISNUMBER(SEARCH("Proposal",$A406)),SUMIFS('Timesheet Raw'!$P$4:$P$8000,'Timesheet Raw'!$A$4:$A$8000,IF(ISNUMBER(SEARCH("Chargable",$A406)),"2-Proposals Chargeable","3-Proposals Regular"),'Timesheet Raw'!$C$4:$C$8000,"*"&amp;$B406&amp;"*",'Timesheet Raw'!$L$4:$L$8000,"&gt;="&amp;MAX(S$5,DATE(2000+VALUE(RIGHT(TRIM($A406),2)),1,1)),'Timesheet Raw'!$L$4:$L$8000,"&lt;="&amp;MIN(S$6,DATE(2000+VALUE(RIGHT(TRIM($A406),2)),12,31))),SUMIFS('Timesheet Raw'!$P$4:$P$8000,'Timesheet Raw'!$B$4:$B$8000,TRIM($A406),'Timesheet Raw'!$C$4:$C$8000,"*"&amp;$B406&amp;"*",'Timesheet Raw'!$L$4:$L$8000,"&gt;="&amp;S$5,'Timesheet Raw'!$L$4:$L$8000,"&lt;="&amp;S$6)))/'Profit Plan'!$B$5)</f>
        <v/>
      </c>
      <c r="T406" s="122" t="str">
        <f>IF($A406="","",(IF(ISNUMBER(SEARCH("Proposal",$A406)),SUMIFS('Timesheet Raw'!$P$4:$P$8000,'Timesheet Raw'!$A$4:$A$8000,IF(ISNUMBER(SEARCH("Chargable",$A406)),"2-Proposals Chargeable","3-Proposals Regular"),'Timesheet Raw'!$C$4:$C$8000,"*"&amp;$B406&amp;"*",'Timesheet Raw'!$L$4:$L$8000,"&gt;="&amp;MAX(T$5,DATE(2000+VALUE(RIGHT(TRIM($A406),2)),1,1)),'Timesheet Raw'!$L$4:$L$8000,"&lt;="&amp;MIN(T$6,DATE(2000+VALUE(RIGHT(TRIM($A406),2)),12,31))),SUMIFS('Timesheet Raw'!$P$4:$P$8000,'Timesheet Raw'!$B$4:$B$8000,TRIM($A406),'Timesheet Raw'!$C$4:$C$8000,"*"&amp;$B406&amp;"*",'Timesheet Raw'!$L$4:$L$8000,"&gt;="&amp;T$5,'Timesheet Raw'!$L$4:$L$8000,"&lt;="&amp;T$6)))/'Profit Plan'!$B$5)</f>
        <v/>
      </c>
      <c r="U406" s="122" t="str">
        <f>IF($A406="","",(IF(ISNUMBER(SEARCH("Proposal",$A406)),SUMIFS('Timesheet Raw'!$P$4:$P$8000,'Timesheet Raw'!$A$4:$A$8000,IF(ISNUMBER(SEARCH("Chargable",$A406)),"2-Proposals Chargeable","3-Proposals Regular"),'Timesheet Raw'!$C$4:$C$8000,"*"&amp;$B406&amp;"*",'Timesheet Raw'!$L$4:$L$8000,"&gt;="&amp;MAX(U$5,DATE(2000+VALUE(RIGHT(TRIM($A406),2)),1,1)),'Timesheet Raw'!$L$4:$L$8000,"&lt;="&amp;MIN(U$6,DATE(2000+VALUE(RIGHT(TRIM($A406),2)),12,31))),SUMIFS('Timesheet Raw'!$P$4:$P$8000,'Timesheet Raw'!$B$4:$B$8000,TRIM($A406),'Timesheet Raw'!$C$4:$C$8000,"*"&amp;$B406&amp;"*",'Timesheet Raw'!$L$4:$L$8000,"&gt;="&amp;U$5,'Timesheet Raw'!$L$4:$L$8000,"&lt;="&amp;U$6)))/'Profit Plan'!$B$5)</f>
        <v/>
      </c>
      <c r="V406" s="122" t="str">
        <f>IF($A406="","",(IF(ISNUMBER(SEARCH("Proposal",$A406)),SUMIFS('Timesheet Raw'!$P$4:$P$8000,'Timesheet Raw'!$A$4:$A$8000,IF(ISNUMBER(SEARCH("Chargable",$A406)),"2-Proposals Chargeable","3-Proposals Regular"),'Timesheet Raw'!$C$4:$C$8000,"*"&amp;$B406&amp;"*",'Timesheet Raw'!$L$4:$L$8000,"&gt;="&amp;MAX(V$5,DATE(2000+VALUE(RIGHT(TRIM($A406),2)),1,1)),'Timesheet Raw'!$L$4:$L$8000,"&lt;="&amp;MIN(V$6,DATE(2000+VALUE(RIGHT(TRIM($A406),2)),12,31))),SUMIFS('Timesheet Raw'!$P$4:$P$8000,'Timesheet Raw'!$B$4:$B$8000,TRIM($A406),'Timesheet Raw'!$C$4:$C$8000,"*"&amp;$B406&amp;"*",'Timesheet Raw'!$L$4:$L$8000,"&gt;="&amp;V$5,'Timesheet Raw'!$L$4:$L$8000,"&lt;="&amp;V$6)))/'Profit Plan'!$B$5)</f>
        <v/>
      </c>
      <c r="W406" s="122" t="str">
        <f>IF($A406="","",(IF(ISNUMBER(SEARCH("Proposal",$A406)),SUMIFS('Timesheet Raw'!$P$4:$P$8000,'Timesheet Raw'!$A$4:$A$8000,IF(ISNUMBER(SEARCH("Chargable",$A406)),"2-Proposals Chargeable","3-Proposals Regular"),'Timesheet Raw'!$C$4:$C$8000,"*"&amp;$B406&amp;"*",'Timesheet Raw'!$L$4:$L$8000,"&gt;="&amp;MAX(W$5,DATE(2000+VALUE(RIGHT(TRIM($A406),2)),1,1)),'Timesheet Raw'!$L$4:$L$8000,"&lt;="&amp;MIN(W$6,DATE(2000+VALUE(RIGHT(TRIM($A406),2)),12,31))),SUMIFS('Timesheet Raw'!$P$4:$P$8000,'Timesheet Raw'!$B$4:$B$8000,TRIM($A406),'Timesheet Raw'!$C$4:$C$8000,"*"&amp;$B406&amp;"*",'Timesheet Raw'!$L$4:$L$8000,"&gt;="&amp;W$5,'Timesheet Raw'!$L$4:$L$8000,"&lt;="&amp;W$6)))/'Profit Plan'!$B$5)</f>
        <v/>
      </c>
      <c r="X406" s="122" t="str">
        <f>IF($A406="","",(IF(ISNUMBER(SEARCH("Proposal",$A406)),SUMIFS('Timesheet Raw'!$P$4:$P$8000,'Timesheet Raw'!$A$4:$A$8000,IF(ISNUMBER(SEARCH("Chargable",$A406)),"2-Proposals Chargeable","3-Proposals Regular"),'Timesheet Raw'!$C$4:$C$8000,"*"&amp;$B406&amp;"*",'Timesheet Raw'!$L$4:$L$8000,"&gt;="&amp;MAX(X$5,DATE(2000+VALUE(RIGHT(TRIM($A406),2)),1,1)),'Timesheet Raw'!$L$4:$L$8000,"&lt;="&amp;MIN(X$6,DATE(2000+VALUE(RIGHT(TRIM($A406),2)),12,31))),SUMIFS('Timesheet Raw'!$P$4:$P$8000,'Timesheet Raw'!$B$4:$B$8000,TRIM($A406),'Timesheet Raw'!$C$4:$C$8000,"*"&amp;$B406&amp;"*",'Timesheet Raw'!$L$4:$L$8000,"&gt;="&amp;X$5,'Timesheet Raw'!$L$4:$L$8000,"&lt;="&amp;X$6)))/'Profit Plan'!$B$5)</f>
        <v/>
      </c>
      <c r="Y406" s="118">
        <f t="shared" si="102"/>
        <v>0</v>
      </c>
    </row>
    <row r="407" spans="1:25" x14ac:dyDescent="0.3">
      <c r="A407" s="116" t="str">
        <f>IF(Inputs!$A53="","",Inputs!$A53)</f>
        <v/>
      </c>
      <c r="B407" s="116" t="str">
        <f>IF(Inputs!$A53="","",Inputs!$A$92)</f>
        <v/>
      </c>
      <c r="C407" s="116"/>
      <c r="D407" s="122" t="str">
        <f>IF($A407="","",(IF(ISNUMBER(SEARCH("Proposal",$A407)),SUMIFS('Timesheet Raw'!$P$4:$P$8000,'Timesheet Raw'!$A$4:$A$8000,IF(ISNUMBER(SEARCH("Chargable",$A407)),"2-Proposals Chargeable","3-Proposals Regular"),'Timesheet Raw'!$C$4:$C$8000,"*"&amp;$B407&amp;"*",'Timesheet Raw'!$L$4:$L$8000,"&gt;="&amp;MAX(D$5,DATE(2000+VALUE(RIGHT(TRIM($A407),2)),1,1)),'Timesheet Raw'!$L$4:$L$8000,"&lt;="&amp;MIN(D$6,DATE(2000+VALUE(RIGHT(TRIM($A407),2)),12,31))),SUMIFS('Timesheet Raw'!$P$4:$P$8000,'Timesheet Raw'!$B$4:$B$8000,TRIM($A407),'Timesheet Raw'!$C$4:$C$8000,"*"&amp;$B407&amp;"*",'Timesheet Raw'!$L$4:$L$8000,"&gt;="&amp;D$5,'Timesheet Raw'!$L$4:$L$8000,"&lt;="&amp;D$6)))/'Profit Plan'!$B$5)</f>
        <v/>
      </c>
      <c r="E407" s="122" t="str">
        <f>IF($A407="","",(IF(ISNUMBER(SEARCH("Proposal",$A407)),SUMIFS('Timesheet Raw'!$P$4:$P$8000,'Timesheet Raw'!$A$4:$A$8000,IF(ISNUMBER(SEARCH("Chargable",$A407)),"2-Proposals Chargeable","3-Proposals Regular"),'Timesheet Raw'!$C$4:$C$8000,"*"&amp;$B407&amp;"*",'Timesheet Raw'!$L$4:$L$8000,"&gt;="&amp;MAX(E$5,DATE(2000+VALUE(RIGHT(TRIM($A407),2)),1,1)),'Timesheet Raw'!$L$4:$L$8000,"&lt;="&amp;MIN(E$6,DATE(2000+VALUE(RIGHT(TRIM($A407),2)),12,31))),SUMIFS('Timesheet Raw'!$P$4:$P$8000,'Timesheet Raw'!$B$4:$B$8000,TRIM($A407),'Timesheet Raw'!$C$4:$C$8000,"*"&amp;$B407&amp;"*",'Timesheet Raw'!$L$4:$L$8000,"&gt;="&amp;E$5,'Timesheet Raw'!$L$4:$L$8000,"&lt;="&amp;E$6)))/'Profit Plan'!$B$5)</f>
        <v/>
      </c>
      <c r="F407" s="122" t="str">
        <f>IF($A407="","",(IF(ISNUMBER(SEARCH("Proposal",$A407)),SUMIFS('Timesheet Raw'!$P$4:$P$8000,'Timesheet Raw'!$A$4:$A$8000,IF(ISNUMBER(SEARCH("Chargable",$A407)),"2-Proposals Chargeable","3-Proposals Regular"),'Timesheet Raw'!$C$4:$C$8000,"*"&amp;$B407&amp;"*",'Timesheet Raw'!$L$4:$L$8000,"&gt;="&amp;MAX(F$5,DATE(2000+VALUE(RIGHT(TRIM($A407),2)),1,1)),'Timesheet Raw'!$L$4:$L$8000,"&lt;="&amp;MIN(F$6,DATE(2000+VALUE(RIGHT(TRIM($A407),2)),12,31))),SUMIFS('Timesheet Raw'!$P$4:$P$8000,'Timesheet Raw'!$B$4:$B$8000,TRIM($A407),'Timesheet Raw'!$C$4:$C$8000,"*"&amp;$B407&amp;"*",'Timesheet Raw'!$L$4:$L$8000,"&gt;="&amp;F$5,'Timesheet Raw'!$L$4:$L$8000,"&lt;="&amp;F$6)))/'Profit Plan'!$B$5)</f>
        <v/>
      </c>
      <c r="G407" s="122" t="str">
        <f>IF($A407="","",(IF(ISNUMBER(SEARCH("Proposal",$A407)),SUMIFS('Timesheet Raw'!$P$4:$P$8000,'Timesheet Raw'!$A$4:$A$8000,IF(ISNUMBER(SEARCH("Chargable",$A407)),"2-Proposals Chargeable","3-Proposals Regular"),'Timesheet Raw'!$C$4:$C$8000,"*"&amp;$B407&amp;"*",'Timesheet Raw'!$L$4:$L$8000,"&gt;="&amp;MAX(G$5,DATE(2000+VALUE(RIGHT(TRIM($A407),2)),1,1)),'Timesheet Raw'!$L$4:$L$8000,"&lt;="&amp;MIN(G$6,DATE(2000+VALUE(RIGHT(TRIM($A407),2)),12,31))),SUMIFS('Timesheet Raw'!$P$4:$P$8000,'Timesheet Raw'!$B$4:$B$8000,TRIM($A407),'Timesheet Raw'!$C$4:$C$8000,"*"&amp;$B407&amp;"*",'Timesheet Raw'!$L$4:$L$8000,"&gt;="&amp;G$5,'Timesheet Raw'!$L$4:$L$8000,"&lt;="&amp;G$6)))/'Profit Plan'!$B$5)</f>
        <v/>
      </c>
      <c r="H407" s="122" t="str">
        <f>IF($A407="","",(IF(ISNUMBER(SEARCH("Proposal",$A407)),SUMIFS('Timesheet Raw'!$P$4:$P$8000,'Timesheet Raw'!$A$4:$A$8000,IF(ISNUMBER(SEARCH("Chargable",$A407)),"2-Proposals Chargeable","3-Proposals Regular"),'Timesheet Raw'!$C$4:$C$8000,"*"&amp;$B407&amp;"*",'Timesheet Raw'!$L$4:$L$8000,"&gt;="&amp;MAX(H$5,DATE(2000+VALUE(RIGHT(TRIM($A407),2)),1,1)),'Timesheet Raw'!$L$4:$L$8000,"&lt;="&amp;MIN(H$6,DATE(2000+VALUE(RIGHT(TRIM($A407),2)),12,31))),SUMIFS('Timesheet Raw'!$P$4:$P$8000,'Timesheet Raw'!$B$4:$B$8000,TRIM($A407),'Timesheet Raw'!$C$4:$C$8000,"*"&amp;$B407&amp;"*",'Timesheet Raw'!$L$4:$L$8000,"&gt;="&amp;H$5,'Timesheet Raw'!$L$4:$L$8000,"&lt;="&amp;H$6)))/'Profit Plan'!$B$5)</f>
        <v/>
      </c>
      <c r="I407" s="122" t="str">
        <f>IF($A407="","",(IF(ISNUMBER(SEARCH("Proposal",$A407)),SUMIFS('Timesheet Raw'!$P$4:$P$8000,'Timesheet Raw'!$A$4:$A$8000,IF(ISNUMBER(SEARCH("Chargable",$A407)),"2-Proposals Chargeable","3-Proposals Regular"),'Timesheet Raw'!$C$4:$C$8000,"*"&amp;$B407&amp;"*",'Timesheet Raw'!$L$4:$L$8000,"&gt;="&amp;MAX(I$5,DATE(2000+VALUE(RIGHT(TRIM($A407),2)),1,1)),'Timesheet Raw'!$L$4:$L$8000,"&lt;="&amp;MIN(I$6,DATE(2000+VALUE(RIGHT(TRIM($A407),2)),12,31))),SUMIFS('Timesheet Raw'!$P$4:$P$8000,'Timesheet Raw'!$B$4:$B$8000,TRIM($A407),'Timesheet Raw'!$C$4:$C$8000,"*"&amp;$B407&amp;"*",'Timesheet Raw'!$L$4:$L$8000,"&gt;="&amp;I$5,'Timesheet Raw'!$L$4:$L$8000,"&lt;="&amp;I$6)))/'Profit Plan'!$B$5)</f>
        <v/>
      </c>
      <c r="J407" s="122" t="str">
        <f>IF($A407="","",(IF(ISNUMBER(SEARCH("Proposal",$A407)),SUMIFS('Timesheet Raw'!$P$4:$P$8000,'Timesheet Raw'!$A$4:$A$8000,IF(ISNUMBER(SEARCH("Chargable",$A407)),"2-Proposals Chargeable","3-Proposals Regular"),'Timesheet Raw'!$C$4:$C$8000,"*"&amp;$B407&amp;"*",'Timesheet Raw'!$L$4:$L$8000,"&gt;="&amp;MAX(J$5,DATE(2000+VALUE(RIGHT(TRIM($A407),2)),1,1)),'Timesheet Raw'!$L$4:$L$8000,"&lt;="&amp;MIN(J$6,DATE(2000+VALUE(RIGHT(TRIM($A407),2)),12,31))),SUMIFS('Timesheet Raw'!$P$4:$P$8000,'Timesheet Raw'!$B$4:$B$8000,TRIM($A407),'Timesheet Raw'!$C$4:$C$8000,"*"&amp;$B407&amp;"*",'Timesheet Raw'!$L$4:$L$8000,"&gt;="&amp;J$5,'Timesheet Raw'!$L$4:$L$8000,"&lt;="&amp;J$6)))/'Profit Plan'!$B$5)</f>
        <v/>
      </c>
      <c r="K407" s="122" t="str">
        <f>IF($A407="","",(IF(ISNUMBER(SEARCH("Proposal",$A407)),SUMIFS('Timesheet Raw'!$P$4:$P$8000,'Timesheet Raw'!$A$4:$A$8000,IF(ISNUMBER(SEARCH("Chargable",$A407)),"2-Proposals Chargeable","3-Proposals Regular"),'Timesheet Raw'!$C$4:$C$8000,"*"&amp;$B407&amp;"*",'Timesheet Raw'!$L$4:$L$8000,"&gt;="&amp;MAX(K$5,DATE(2000+VALUE(RIGHT(TRIM($A407),2)),1,1)),'Timesheet Raw'!$L$4:$L$8000,"&lt;="&amp;MIN(K$6,DATE(2000+VALUE(RIGHT(TRIM($A407),2)),12,31))),SUMIFS('Timesheet Raw'!$P$4:$P$8000,'Timesheet Raw'!$B$4:$B$8000,TRIM($A407),'Timesheet Raw'!$C$4:$C$8000,"*"&amp;$B407&amp;"*",'Timesheet Raw'!$L$4:$L$8000,"&gt;="&amp;K$5,'Timesheet Raw'!$L$4:$L$8000,"&lt;="&amp;K$6)))/'Profit Plan'!$B$5)</f>
        <v/>
      </c>
      <c r="L407" s="122" t="str">
        <f>IF($A407="","",(IF(ISNUMBER(SEARCH("Proposal",$A407)),SUMIFS('Timesheet Raw'!$P$4:$P$8000,'Timesheet Raw'!$A$4:$A$8000,IF(ISNUMBER(SEARCH("Chargable",$A407)),"2-Proposals Chargeable","3-Proposals Regular"),'Timesheet Raw'!$C$4:$C$8000,"*"&amp;$B407&amp;"*",'Timesheet Raw'!$L$4:$L$8000,"&gt;="&amp;MAX(L$5,DATE(2000+VALUE(RIGHT(TRIM($A407),2)),1,1)),'Timesheet Raw'!$L$4:$L$8000,"&lt;="&amp;MIN(L$6,DATE(2000+VALUE(RIGHT(TRIM($A407),2)),12,31))),SUMIFS('Timesheet Raw'!$P$4:$P$8000,'Timesheet Raw'!$B$4:$B$8000,TRIM($A407),'Timesheet Raw'!$C$4:$C$8000,"*"&amp;$B407&amp;"*",'Timesheet Raw'!$L$4:$L$8000,"&gt;="&amp;L$5,'Timesheet Raw'!$L$4:$L$8000,"&lt;="&amp;L$6)))/'Profit Plan'!$B$5)</f>
        <v/>
      </c>
      <c r="M407" s="122" t="str">
        <f>IF($A407="","",(IF(ISNUMBER(SEARCH("Proposal",$A407)),SUMIFS('Timesheet Raw'!$P$4:$P$8000,'Timesheet Raw'!$A$4:$A$8000,IF(ISNUMBER(SEARCH("Chargable",$A407)),"2-Proposals Chargeable","3-Proposals Regular"),'Timesheet Raw'!$C$4:$C$8000,"*"&amp;$B407&amp;"*",'Timesheet Raw'!$L$4:$L$8000,"&gt;="&amp;MAX(M$5,DATE(2000+VALUE(RIGHT(TRIM($A407),2)),1,1)),'Timesheet Raw'!$L$4:$L$8000,"&lt;="&amp;MIN(M$6,DATE(2000+VALUE(RIGHT(TRIM($A407),2)),12,31))),SUMIFS('Timesheet Raw'!$P$4:$P$8000,'Timesheet Raw'!$B$4:$B$8000,TRIM($A407),'Timesheet Raw'!$C$4:$C$8000,"*"&amp;$B407&amp;"*",'Timesheet Raw'!$L$4:$L$8000,"&gt;="&amp;M$5,'Timesheet Raw'!$L$4:$L$8000,"&lt;="&amp;M$6)))/'Profit Plan'!$B$5)</f>
        <v/>
      </c>
      <c r="N407" s="122" t="str">
        <f>IF($A407="","",(IF(ISNUMBER(SEARCH("Proposal",$A407)),SUMIFS('Timesheet Raw'!$P$4:$P$8000,'Timesheet Raw'!$A$4:$A$8000,IF(ISNUMBER(SEARCH("Chargable",$A407)),"2-Proposals Chargeable","3-Proposals Regular"),'Timesheet Raw'!$C$4:$C$8000,"*"&amp;$B407&amp;"*",'Timesheet Raw'!$L$4:$L$8000,"&gt;="&amp;MAX(N$5,DATE(2000+VALUE(RIGHT(TRIM($A407),2)),1,1)),'Timesheet Raw'!$L$4:$L$8000,"&lt;="&amp;MIN(N$6,DATE(2000+VALUE(RIGHT(TRIM($A407),2)),12,31))),SUMIFS('Timesheet Raw'!$P$4:$P$8000,'Timesheet Raw'!$B$4:$B$8000,TRIM($A407),'Timesheet Raw'!$C$4:$C$8000,"*"&amp;$B407&amp;"*",'Timesheet Raw'!$L$4:$L$8000,"&gt;="&amp;N$5,'Timesheet Raw'!$L$4:$L$8000,"&lt;="&amp;N$6)))/'Profit Plan'!$B$5)</f>
        <v/>
      </c>
      <c r="O407" s="122" t="str">
        <f>IF($A407="","",(IF(ISNUMBER(SEARCH("Proposal",$A407)),SUMIFS('Timesheet Raw'!$P$4:$P$8000,'Timesheet Raw'!$A$4:$A$8000,IF(ISNUMBER(SEARCH("Chargable",$A407)),"2-Proposals Chargeable","3-Proposals Regular"),'Timesheet Raw'!$C$4:$C$8000,"*"&amp;$B407&amp;"*",'Timesheet Raw'!$L$4:$L$8000,"&gt;="&amp;MAX(O$5,DATE(2000+VALUE(RIGHT(TRIM($A407),2)),1,1)),'Timesheet Raw'!$L$4:$L$8000,"&lt;="&amp;MIN(O$6,DATE(2000+VALUE(RIGHT(TRIM($A407),2)),12,31))),SUMIFS('Timesheet Raw'!$P$4:$P$8000,'Timesheet Raw'!$B$4:$B$8000,TRIM($A407),'Timesheet Raw'!$C$4:$C$8000,"*"&amp;$B407&amp;"*",'Timesheet Raw'!$L$4:$L$8000,"&gt;="&amp;O$5,'Timesheet Raw'!$L$4:$L$8000,"&lt;="&amp;O$6)))/'Profit Plan'!$B$5)</f>
        <v/>
      </c>
      <c r="P407" s="122" t="str">
        <f>IF($A407="","",(IF(ISNUMBER(SEARCH("Proposal",$A407)),SUMIFS('Timesheet Raw'!$P$4:$P$8000,'Timesheet Raw'!$A$4:$A$8000,IF(ISNUMBER(SEARCH("Chargable",$A407)),"2-Proposals Chargeable","3-Proposals Regular"),'Timesheet Raw'!$C$4:$C$8000,"*"&amp;$B407&amp;"*",'Timesheet Raw'!$L$4:$L$8000,"&gt;="&amp;MAX(P$5,DATE(2000+VALUE(RIGHT(TRIM($A407),2)),1,1)),'Timesheet Raw'!$L$4:$L$8000,"&lt;="&amp;MIN(P$6,DATE(2000+VALUE(RIGHT(TRIM($A407),2)),12,31))),SUMIFS('Timesheet Raw'!$P$4:$P$8000,'Timesheet Raw'!$B$4:$B$8000,TRIM($A407),'Timesheet Raw'!$C$4:$C$8000,"*"&amp;$B407&amp;"*",'Timesheet Raw'!$L$4:$L$8000,"&gt;="&amp;P$5,'Timesheet Raw'!$L$4:$L$8000,"&lt;="&amp;P$6)))/'Profit Plan'!$B$5)</f>
        <v/>
      </c>
      <c r="Q407" s="122" t="str">
        <f>IF($A407="","",(IF(ISNUMBER(SEARCH("Proposal",$A407)),SUMIFS('Timesheet Raw'!$P$4:$P$8000,'Timesheet Raw'!$A$4:$A$8000,IF(ISNUMBER(SEARCH("Chargable",$A407)),"2-Proposals Chargeable","3-Proposals Regular"),'Timesheet Raw'!$C$4:$C$8000,"*"&amp;$B407&amp;"*",'Timesheet Raw'!$L$4:$L$8000,"&gt;="&amp;MAX(Q$5,DATE(2000+VALUE(RIGHT(TRIM($A407),2)),1,1)),'Timesheet Raw'!$L$4:$L$8000,"&lt;="&amp;MIN(Q$6,DATE(2000+VALUE(RIGHT(TRIM($A407),2)),12,31))),SUMIFS('Timesheet Raw'!$P$4:$P$8000,'Timesheet Raw'!$B$4:$B$8000,TRIM($A407),'Timesheet Raw'!$C$4:$C$8000,"*"&amp;$B407&amp;"*",'Timesheet Raw'!$L$4:$L$8000,"&gt;="&amp;Q$5,'Timesheet Raw'!$L$4:$L$8000,"&lt;="&amp;Q$6)))/'Profit Plan'!$B$5)</f>
        <v/>
      </c>
      <c r="R407" s="122" t="str">
        <f>IF($A407="","",(IF(ISNUMBER(SEARCH("Proposal",$A407)),SUMIFS('Timesheet Raw'!$P$4:$P$8000,'Timesheet Raw'!$A$4:$A$8000,IF(ISNUMBER(SEARCH("Chargable",$A407)),"2-Proposals Chargeable","3-Proposals Regular"),'Timesheet Raw'!$C$4:$C$8000,"*"&amp;$B407&amp;"*",'Timesheet Raw'!$L$4:$L$8000,"&gt;="&amp;MAX(R$5,DATE(2000+VALUE(RIGHT(TRIM($A407),2)),1,1)),'Timesheet Raw'!$L$4:$L$8000,"&lt;="&amp;MIN(R$6,DATE(2000+VALUE(RIGHT(TRIM($A407),2)),12,31))),SUMIFS('Timesheet Raw'!$P$4:$P$8000,'Timesheet Raw'!$B$4:$B$8000,TRIM($A407),'Timesheet Raw'!$C$4:$C$8000,"*"&amp;$B407&amp;"*",'Timesheet Raw'!$L$4:$L$8000,"&gt;="&amp;R$5,'Timesheet Raw'!$L$4:$L$8000,"&lt;="&amp;R$6)))/'Profit Plan'!$B$5)</f>
        <v/>
      </c>
      <c r="S407" s="122" t="str">
        <f>IF($A407="","",(IF(ISNUMBER(SEARCH("Proposal",$A407)),SUMIFS('Timesheet Raw'!$P$4:$P$8000,'Timesheet Raw'!$A$4:$A$8000,IF(ISNUMBER(SEARCH("Chargable",$A407)),"2-Proposals Chargeable","3-Proposals Regular"),'Timesheet Raw'!$C$4:$C$8000,"*"&amp;$B407&amp;"*",'Timesheet Raw'!$L$4:$L$8000,"&gt;="&amp;MAX(S$5,DATE(2000+VALUE(RIGHT(TRIM($A407),2)),1,1)),'Timesheet Raw'!$L$4:$L$8000,"&lt;="&amp;MIN(S$6,DATE(2000+VALUE(RIGHT(TRIM($A407),2)),12,31))),SUMIFS('Timesheet Raw'!$P$4:$P$8000,'Timesheet Raw'!$B$4:$B$8000,TRIM($A407),'Timesheet Raw'!$C$4:$C$8000,"*"&amp;$B407&amp;"*",'Timesheet Raw'!$L$4:$L$8000,"&gt;="&amp;S$5,'Timesheet Raw'!$L$4:$L$8000,"&lt;="&amp;S$6)))/'Profit Plan'!$B$5)</f>
        <v/>
      </c>
      <c r="T407" s="122" t="str">
        <f>IF($A407="","",(IF(ISNUMBER(SEARCH("Proposal",$A407)),SUMIFS('Timesheet Raw'!$P$4:$P$8000,'Timesheet Raw'!$A$4:$A$8000,IF(ISNUMBER(SEARCH("Chargable",$A407)),"2-Proposals Chargeable","3-Proposals Regular"),'Timesheet Raw'!$C$4:$C$8000,"*"&amp;$B407&amp;"*",'Timesheet Raw'!$L$4:$L$8000,"&gt;="&amp;MAX(T$5,DATE(2000+VALUE(RIGHT(TRIM($A407),2)),1,1)),'Timesheet Raw'!$L$4:$L$8000,"&lt;="&amp;MIN(T$6,DATE(2000+VALUE(RIGHT(TRIM($A407),2)),12,31))),SUMIFS('Timesheet Raw'!$P$4:$P$8000,'Timesheet Raw'!$B$4:$B$8000,TRIM($A407),'Timesheet Raw'!$C$4:$C$8000,"*"&amp;$B407&amp;"*",'Timesheet Raw'!$L$4:$L$8000,"&gt;="&amp;T$5,'Timesheet Raw'!$L$4:$L$8000,"&lt;="&amp;T$6)))/'Profit Plan'!$B$5)</f>
        <v/>
      </c>
      <c r="U407" s="122" t="str">
        <f>IF($A407="","",(IF(ISNUMBER(SEARCH("Proposal",$A407)),SUMIFS('Timesheet Raw'!$P$4:$P$8000,'Timesheet Raw'!$A$4:$A$8000,IF(ISNUMBER(SEARCH("Chargable",$A407)),"2-Proposals Chargeable","3-Proposals Regular"),'Timesheet Raw'!$C$4:$C$8000,"*"&amp;$B407&amp;"*",'Timesheet Raw'!$L$4:$L$8000,"&gt;="&amp;MAX(U$5,DATE(2000+VALUE(RIGHT(TRIM($A407),2)),1,1)),'Timesheet Raw'!$L$4:$L$8000,"&lt;="&amp;MIN(U$6,DATE(2000+VALUE(RIGHT(TRIM($A407),2)),12,31))),SUMIFS('Timesheet Raw'!$P$4:$P$8000,'Timesheet Raw'!$B$4:$B$8000,TRIM($A407),'Timesheet Raw'!$C$4:$C$8000,"*"&amp;$B407&amp;"*",'Timesheet Raw'!$L$4:$L$8000,"&gt;="&amp;U$5,'Timesheet Raw'!$L$4:$L$8000,"&lt;="&amp;U$6)))/'Profit Plan'!$B$5)</f>
        <v/>
      </c>
      <c r="V407" s="122" t="str">
        <f>IF($A407="","",(IF(ISNUMBER(SEARCH("Proposal",$A407)),SUMIFS('Timesheet Raw'!$P$4:$P$8000,'Timesheet Raw'!$A$4:$A$8000,IF(ISNUMBER(SEARCH("Chargable",$A407)),"2-Proposals Chargeable","3-Proposals Regular"),'Timesheet Raw'!$C$4:$C$8000,"*"&amp;$B407&amp;"*",'Timesheet Raw'!$L$4:$L$8000,"&gt;="&amp;MAX(V$5,DATE(2000+VALUE(RIGHT(TRIM($A407),2)),1,1)),'Timesheet Raw'!$L$4:$L$8000,"&lt;="&amp;MIN(V$6,DATE(2000+VALUE(RIGHT(TRIM($A407),2)),12,31))),SUMIFS('Timesheet Raw'!$P$4:$P$8000,'Timesheet Raw'!$B$4:$B$8000,TRIM($A407),'Timesheet Raw'!$C$4:$C$8000,"*"&amp;$B407&amp;"*",'Timesheet Raw'!$L$4:$L$8000,"&gt;="&amp;V$5,'Timesheet Raw'!$L$4:$L$8000,"&lt;="&amp;V$6)))/'Profit Plan'!$B$5)</f>
        <v/>
      </c>
      <c r="W407" s="122" t="str">
        <f>IF($A407="","",(IF(ISNUMBER(SEARCH("Proposal",$A407)),SUMIFS('Timesheet Raw'!$P$4:$P$8000,'Timesheet Raw'!$A$4:$A$8000,IF(ISNUMBER(SEARCH("Chargable",$A407)),"2-Proposals Chargeable","3-Proposals Regular"),'Timesheet Raw'!$C$4:$C$8000,"*"&amp;$B407&amp;"*",'Timesheet Raw'!$L$4:$L$8000,"&gt;="&amp;MAX(W$5,DATE(2000+VALUE(RIGHT(TRIM($A407),2)),1,1)),'Timesheet Raw'!$L$4:$L$8000,"&lt;="&amp;MIN(W$6,DATE(2000+VALUE(RIGHT(TRIM($A407),2)),12,31))),SUMIFS('Timesheet Raw'!$P$4:$P$8000,'Timesheet Raw'!$B$4:$B$8000,TRIM($A407),'Timesheet Raw'!$C$4:$C$8000,"*"&amp;$B407&amp;"*",'Timesheet Raw'!$L$4:$L$8000,"&gt;="&amp;W$5,'Timesheet Raw'!$L$4:$L$8000,"&lt;="&amp;W$6)))/'Profit Plan'!$B$5)</f>
        <v/>
      </c>
      <c r="X407" s="122" t="str">
        <f>IF($A407="","",(IF(ISNUMBER(SEARCH("Proposal",$A407)),SUMIFS('Timesheet Raw'!$P$4:$P$8000,'Timesheet Raw'!$A$4:$A$8000,IF(ISNUMBER(SEARCH("Chargable",$A407)),"2-Proposals Chargeable","3-Proposals Regular"),'Timesheet Raw'!$C$4:$C$8000,"*"&amp;$B407&amp;"*",'Timesheet Raw'!$L$4:$L$8000,"&gt;="&amp;MAX(X$5,DATE(2000+VALUE(RIGHT(TRIM($A407),2)),1,1)),'Timesheet Raw'!$L$4:$L$8000,"&lt;="&amp;MIN(X$6,DATE(2000+VALUE(RIGHT(TRIM($A407),2)),12,31))),SUMIFS('Timesheet Raw'!$P$4:$P$8000,'Timesheet Raw'!$B$4:$B$8000,TRIM($A407),'Timesheet Raw'!$C$4:$C$8000,"*"&amp;$B407&amp;"*",'Timesheet Raw'!$L$4:$L$8000,"&gt;="&amp;X$5,'Timesheet Raw'!$L$4:$L$8000,"&lt;="&amp;X$6)))/'Profit Plan'!$B$5)</f>
        <v/>
      </c>
      <c r="Y407" s="118">
        <f t="shared" si="102"/>
        <v>0</v>
      </c>
    </row>
    <row r="408" spans="1:25" x14ac:dyDescent="0.3">
      <c r="A408" s="116" t="str">
        <f>IF(Inputs!$A53="","",Inputs!$A53)</f>
        <v/>
      </c>
      <c r="B408" s="116" t="str">
        <f>IF(Inputs!$A53="","",Inputs!$A$93)</f>
        <v/>
      </c>
      <c r="C408" s="116"/>
      <c r="D408" s="122" t="str">
        <f>IF($A408="","",(IF(ISNUMBER(SEARCH("Proposal",$A408)),SUMIFS('Timesheet Raw'!$P$4:$P$8000,'Timesheet Raw'!$A$4:$A$8000,IF(ISNUMBER(SEARCH("Chargable",$A408)),"2-Proposals Chargeable","3-Proposals Regular"),'Timesheet Raw'!$C$4:$C$8000,"*"&amp;$B408&amp;"*",'Timesheet Raw'!$L$4:$L$8000,"&gt;="&amp;MAX(D$5,DATE(2000+VALUE(RIGHT(TRIM($A408),2)),1,1)),'Timesheet Raw'!$L$4:$L$8000,"&lt;="&amp;MIN(D$6,DATE(2000+VALUE(RIGHT(TRIM($A408),2)),12,31))),SUMIFS('Timesheet Raw'!$P$4:$P$8000,'Timesheet Raw'!$B$4:$B$8000,TRIM($A408),'Timesheet Raw'!$C$4:$C$8000,"*"&amp;$B408&amp;"*",'Timesheet Raw'!$L$4:$L$8000,"&gt;="&amp;D$5,'Timesheet Raw'!$L$4:$L$8000,"&lt;="&amp;D$6)))/'Profit Plan'!$B$5)</f>
        <v/>
      </c>
      <c r="E408" s="122" t="str">
        <f>IF($A408="","",(IF(ISNUMBER(SEARCH("Proposal",$A408)),SUMIFS('Timesheet Raw'!$P$4:$P$8000,'Timesheet Raw'!$A$4:$A$8000,IF(ISNUMBER(SEARCH("Chargable",$A408)),"2-Proposals Chargeable","3-Proposals Regular"),'Timesheet Raw'!$C$4:$C$8000,"*"&amp;$B408&amp;"*",'Timesheet Raw'!$L$4:$L$8000,"&gt;="&amp;MAX(E$5,DATE(2000+VALUE(RIGHT(TRIM($A408),2)),1,1)),'Timesheet Raw'!$L$4:$L$8000,"&lt;="&amp;MIN(E$6,DATE(2000+VALUE(RIGHT(TRIM($A408),2)),12,31))),SUMIFS('Timesheet Raw'!$P$4:$P$8000,'Timesheet Raw'!$B$4:$B$8000,TRIM($A408),'Timesheet Raw'!$C$4:$C$8000,"*"&amp;$B408&amp;"*",'Timesheet Raw'!$L$4:$L$8000,"&gt;="&amp;E$5,'Timesheet Raw'!$L$4:$L$8000,"&lt;="&amp;E$6)))/'Profit Plan'!$B$5)</f>
        <v/>
      </c>
      <c r="F408" s="122" t="str">
        <f>IF($A408="","",(IF(ISNUMBER(SEARCH("Proposal",$A408)),SUMIFS('Timesheet Raw'!$P$4:$P$8000,'Timesheet Raw'!$A$4:$A$8000,IF(ISNUMBER(SEARCH("Chargable",$A408)),"2-Proposals Chargeable","3-Proposals Regular"),'Timesheet Raw'!$C$4:$C$8000,"*"&amp;$B408&amp;"*",'Timesheet Raw'!$L$4:$L$8000,"&gt;="&amp;MAX(F$5,DATE(2000+VALUE(RIGHT(TRIM($A408),2)),1,1)),'Timesheet Raw'!$L$4:$L$8000,"&lt;="&amp;MIN(F$6,DATE(2000+VALUE(RIGHT(TRIM($A408),2)),12,31))),SUMIFS('Timesheet Raw'!$P$4:$P$8000,'Timesheet Raw'!$B$4:$B$8000,TRIM($A408),'Timesheet Raw'!$C$4:$C$8000,"*"&amp;$B408&amp;"*",'Timesheet Raw'!$L$4:$L$8000,"&gt;="&amp;F$5,'Timesheet Raw'!$L$4:$L$8000,"&lt;="&amp;F$6)))/'Profit Plan'!$B$5)</f>
        <v/>
      </c>
      <c r="G408" s="122" t="str">
        <f>IF($A408="","",(IF(ISNUMBER(SEARCH("Proposal",$A408)),SUMIFS('Timesheet Raw'!$P$4:$P$8000,'Timesheet Raw'!$A$4:$A$8000,IF(ISNUMBER(SEARCH("Chargable",$A408)),"2-Proposals Chargeable","3-Proposals Regular"),'Timesheet Raw'!$C$4:$C$8000,"*"&amp;$B408&amp;"*",'Timesheet Raw'!$L$4:$L$8000,"&gt;="&amp;MAX(G$5,DATE(2000+VALUE(RIGHT(TRIM($A408),2)),1,1)),'Timesheet Raw'!$L$4:$L$8000,"&lt;="&amp;MIN(G$6,DATE(2000+VALUE(RIGHT(TRIM($A408),2)),12,31))),SUMIFS('Timesheet Raw'!$P$4:$P$8000,'Timesheet Raw'!$B$4:$B$8000,TRIM($A408),'Timesheet Raw'!$C$4:$C$8000,"*"&amp;$B408&amp;"*",'Timesheet Raw'!$L$4:$L$8000,"&gt;="&amp;G$5,'Timesheet Raw'!$L$4:$L$8000,"&lt;="&amp;G$6)))/'Profit Plan'!$B$5)</f>
        <v/>
      </c>
      <c r="H408" s="122" t="str">
        <f>IF($A408="","",(IF(ISNUMBER(SEARCH("Proposal",$A408)),SUMIFS('Timesheet Raw'!$P$4:$P$8000,'Timesheet Raw'!$A$4:$A$8000,IF(ISNUMBER(SEARCH("Chargable",$A408)),"2-Proposals Chargeable","3-Proposals Regular"),'Timesheet Raw'!$C$4:$C$8000,"*"&amp;$B408&amp;"*",'Timesheet Raw'!$L$4:$L$8000,"&gt;="&amp;MAX(H$5,DATE(2000+VALUE(RIGHT(TRIM($A408),2)),1,1)),'Timesheet Raw'!$L$4:$L$8000,"&lt;="&amp;MIN(H$6,DATE(2000+VALUE(RIGHT(TRIM($A408),2)),12,31))),SUMIFS('Timesheet Raw'!$P$4:$P$8000,'Timesheet Raw'!$B$4:$B$8000,TRIM($A408),'Timesheet Raw'!$C$4:$C$8000,"*"&amp;$B408&amp;"*",'Timesheet Raw'!$L$4:$L$8000,"&gt;="&amp;H$5,'Timesheet Raw'!$L$4:$L$8000,"&lt;="&amp;H$6)))/'Profit Plan'!$B$5)</f>
        <v/>
      </c>
      <c r="I408" s="122" t="str">
        <f>IF($A408="","",(IF(ISNUMBER(SEARCH("Proposal",$A408)),SUMIFS('Timesheet Raw'!$P$4:$P$8000,'Timesheet Raw'!$A$4:$A$8000,IF(ISNUMBER(SEARCH("Chargable",$A408)),"2-Proposals Chargeable","3-Proposals Regular"),'Timesheet Raw'!$C$4:$C$8000,"*"&amp;$B408&amp;"*",'Timesheet Raw'!$L$4:$L$8000,"&gt;="&amp;MAX(I$5,DATE(2000+VALUE(RIGHT(TRIM($A408),2)),1,1)),'Timesheet Raw'!$L$4:$L$8000,"&lt;="&amp;MIN(I$6,DATE(2000+VALUE(RIGHT(TRIM($A408),2)),12,31))),SUMIFS('Timesheet Raw'!$P$4:$P$8000,'Timesheet Raw'!$B$4:$B$8000,TRIM($A408),'Timesheet Raw'!$C$4:$C$8000,"*"&amp;$B408&amp;"*",'Timesheet Raw'!$L$4:$L$8000,"&gt;="&amp;I$5,'Timesheet Raw'!$L$4:$L$8000,"&lt;="&amp;I$6)))/'Profit Plan'!$B$5)</f>
        <v/>
      </c>
      <c r="J408" s="122" t="str">
        <f>IF($A408="","",(IF(ISNUMBER(SEARCH("Proposal",$A408)),SUMIFS('Timesheet Raw'!$P$4:$P$8000,'Timesheet Raw'!$A$4:$A$8000,IF(ISNUMBER(SEARCH("Chargable",$A408)),"2-Proposals Chargeable","3-Proposals Regular"),'Timesheet Raw'!$C$4:$C$8000,"*"&amp;$B408&amp;"*",'Timesheet Raw'!$L$4:$L$8000,"&gt;="&amp;MAX(J$5,DATE(2000+VALUE(RIGHT(TRIM($A408),2)),1,1)),'Timesheet Raw'!$L$4:$L$8000,"&lt;="&amp;MIN(J$6,DATE(2000+VALUE(RIGHT(TRIM($A408),2)),12,31))),SUMIFS('Timesheet Raw'!$P$4:$P$8000,'Timesheet Raw'!$B$4:$B$8000,TRIM($A408),'Timesheet Raw'!$C$4:$C$8000,"*"&amp;$B408&amp;"*",'Timesheet Raw'!$L$4:$L$8000,"&gt;="&amp;J$5,'Timesheet Raw'!$L$4:$L$8000,"&lt;="&amp;J$6)))/'Profit Plan'!$B$5)</f>
        <v/>
      </c>
      <c r="K408" s="122" t="str">
        <f>IF($A408="","",(IF(ISNUMBER(SEARCH("Proposal",$A408)),SUMIFS('Timesheet Raw'!$P$4:$P$8000,'Timesheet Raw'!$A$4:$A$8000,IF(ISNUMBER(SEARCH("Chargable",$A408)),"2-Proposals Chargeable","3-Proposals Regular"),'Timesheet Raw'!$C$4:$C$8000,"*"&amp;$B408&amp;"*",'Timesheet Raw'!$L$4:$L$8000,"&gt;="&amp;MAX(K$5,DATE(2000+VALUE(RIGHT(TRIM($A408),2)),1,1)),'Timesheet Raw'!$L$4:$L$8000,"&lt;="&amp;MIN(K$6,DATE(2000+VALUE(RIGHT(TRIM($A408),2)),12,31))),SUMIFS('Timesheet Raw'!$P$4:$P$8000,'Timesheet Raw'!$B$4:$B$8000,TRIM($A408),'Timesheet Raw'!$C$4:$C$8000,"*"&amp;$B408&amp;"*",'Timesheet Raw'!$L$4:$L$8000,"&gt;="&amp;K$5,'Timesheet Raw'!$L$4:$L$8000,"&lt;="&amp;K$6)))/'Profit Plan'!$B$5)</f>
        <v/>
      </c>
      <c r="L408" s="122" t="str">
        <f>IF($A408="","",(IF(ISNUMBER(SEARCH("Proposal",$A408)),SUMIFS('Timesheet Raw'!$P$4:$P$8000,'Timesheet Raw'!$A$4:$A$8000,IF(ISNUMBER(SEARCH("Chargable",$A408)),"2-Proposals Chargeable","3-Proposals Regular"),'Timesheet Raw'!$C$4:$C$8000,"*"&amp;$B408&amp;"*",'Timesheet Raw'!$L$4:$L$8000,"&gt;="&amp;MAX(L$5,DATE(2000+VALUE(RIGHT(TRIM($A408),2)),1,1)),'Timesheet Raw'!$L$4:$L$8000,"&lt;="&amp;MIN(L$6,DATE(2000+VALUE(RIGHT(TRIM($A408),2)),12,31))),SUMIFS('Timesheet Raw'!$P$4:$P$8000,'Timesheet Raw'!$B$4:$B$8000,TRIM($A408),'Timesheet Raw'!$C$4:$C$8000,"*"&amp;$B408&amp;"*",'Timesheet Raw'!$L$4:$L$8000,"&gt;="&amp;L$5,'Timesheet Raw'!$L$4:$L$8000,"&lt;="&amp;L$6)))/'Profit Plan'!$B$5)</f>
        <v/>
      </c>
      <c r="M408" s="122" t="str">
        <f>IF($A408="","",(IF(ISNUMBER(SEARCH("Proposal",$A408)),SUMIFS('Timesheet Raw'!$P$4:$P$8000,'Timesheet Raw'!$A$4:$A$8000,IF(ISNUMBER(SEARCH("Chargable",$A408)),"2-Proposals Chargeable","3-Proposals Regular"),'Timesheet Raw'!$C$4:$C$8000,"*"&amp;$B408&amp;"*",'Timesheet Raw'!$L$4:$L$8000,"&gt;="&amp;MAX(M$5,DATE(2000+VALUE(RIGHT(TRIM($A408),2)),1,1)),'Timesheet Raw'!$L$4:$L$8000,"&lt;="&amp;MIN(M$6,DATE(2000+VALUE(RIGHT(TRIM($A408),2)),12,31))),SUMIFS('Timesheet Raw'!$P$4:$P$8000,'Timesheet Raw'!$B$4:$B$8000,TRIM($A408),'Timesheet Raw'!$C$4:$C$8000,"*"&amp;$B408&amp;"*",'Timesheet Raw'!$L$4:$L$8000,"&gt;="&amp;M$5,'Timesheet Raw'!$L$4:$L$8000,"&lt;="&amp;M$6)))/'Profit Plan'!$B$5)</f>
        <v/>
      </c>
      <c r="N408" s="122" t="str">
        <f>IF($A408="","",(IF(ISNUMBER(SEARCH("Proposal",$A408)),SUMIFS('Timesheet Raw'!$P$4:$P$8000,'Timesheet Raw'!$A$4:$A$8000,IF(ISNUMBER(SEARCH("Chargable",$A408)),"2-Proposals Chargeable","3-Proposals Regular"),'Timesheet Raw'!$C$4:$C$8000,"*"&amp;$B408&amp;"*",'Timesheet Raw'!$L$4:$L$8000,"&gt;="&amp;MAX(N$5,DATE(2000+VALUE(RIGHT(TRIM($A408),2)),1,1)),'Timesheet Raw'!$L$4:$L$8000,"&lt;="&amp;MIN(N$6,DATE(2000+VALUE(RIGHT(TRIM($A408),2)),12,31))),SUMIFS('Timesheet Raw'!$P$4:$P$8000,'Timesheet Raw'!$B$4:$B$8000,TRIM($A408),'Timesheet Raw'!$C$4:$C$8000,"*"&amp;$B408&amp;"*",'Timesheet Raw'!$L$4:$L$8000,"&gt;="&amp;N$5,'Timesheet Raw'!$L$4:$L$8000,"&lt;="&amp;N$6)))/'Profit Plan'!$B$5)</f>
        <v/>
      </c>
      <c r="O408" s="122" t="str">
        <f>IF($A408="","",(IF(ISNUMBER(SEARCH("Proposal",$A408)),SUMIFS('Timesheet Raw'!$P$4:$P$8000,'Timesheet Raw'!$A$4:$A$8000,IF(ISNUMBER(SEARCH("Chargable",$A408)),"2-Proposals Chargeable","3-Proposals Regular"),'Timesheet Raw'!$C$4:$C$8000,"*"&amp;$B408&amp;"*",'Timesheet Raw'!$L$4:$L$8000,"&gt;="&amp;MAX(O$5,DATE(2000+VALUE(RIGHT(TRIM($A408),2)),1,1)),'Timesheet Raw'!$L$4:$L$8000,"&lt;="&amp;MIN(O$6,DATE(2000+VALUE(RIGHT(TRIM($A408),2)),12,31))),SUMIFS('Timesheet Raw'!$P$4:$P$8000,'Timesheet Raw'!$B$4:$B$8000,TRIM($A408),'Timesheet Raw'!$C$4:$C$8000,"*"&amp;$B408&amp;"*",'Timesheet Raw'!$L$4:$L$8000,"&gt;="&amp;O$5,'Timesheet Raw'!$L$4:$L$8000,"&lt;="&amp;O$6)))/'Profit Plan'!$B$5)</f>
        <v/>
      </c>
      <c r="P408" s="122" t="str">
        <f>IF($A408="","",(IF(ISNUMBER(SEARCH("Proposal",$A408)),SUMIFS('Timesheet Raw'!$P$4:$P$8000,'Timesheet Raw'!$A$4:$A$8000,IF(ISNUMBER(SEARCH("Chargable",$A408)),"2-Proposals Chargeable","3-Proposals Regular"),'Timesheet Raw'!$C$4:$C$8000,"*"&amp;$B408&amp;"*",'Timesheet Raw'!$L$4:$L$8000,"&gt;="&amp;MAX(P$5,DATE(2000+VALUE(RIGHT(TRIM($A408),2)),1,1)),'Timesheet Raw'!$L$4:$L$8000,"&lt;="&amp;MIN(P$6,DATE(2000+VALUE(RIGHT(TRIM($A408),2)),12,31))),SUMIFS('Timesheet Raw'!$P$4:$P$8000,'Timesheet Raw'!$B$4:$B$8000,TRIM($A408),'Timesheet Raw'!$C$4:$C$8000,"*"&amp;$B408&amp;"*",'Timesheet Raw'!$L$4:$L$8000,"&gt;="&amp;P$5,'Timesheet Raw'!$L$4:$L$8000,"&lt;="&amp;P$6)))/'Profit Plan'!$B$5)</f>
        <v/>
      </c>
      <c r="Q408" s="122" t="str">
        <f>IF($A408="","",(IF(ISNUMBER(SEARCH("Proposal",$A408)),SUMIFS('Timesheet Raw'!$P$4:$P$8000,'Timesheet Raw'!$A$4:$A$8000,IF(ISNUMBER(SEARCH("Chargable",$A408)),"2-Proposals Chargeable","3-Proposals Regular"),'Timesheet Raw'!$C$4:$C$8000,"*"&amp;$B408&amp;"*",'Timesheet Raw'!$L$4:$L$8000,"&gt;="&amp;MAX(Q$5,DATE(2000+VALUE(RIGHT(TRIM($A408),2)),1,1)),'Timesheet Raw'!$L$4:$L$8000,"&lt;="&amp;MIN(Q$6,DATE(2000+VALUE(RIGHT(TRIM($A408),2)),12,31))),SUMIFS('Timesheet Raw'!$P$4:$P$8000,'Timesheet Raw'!$B$4:$B$8000,TRIM($A408),'Timesheet Raw'!$C$4:$C$8000,"*"&amp;$B408&amp;"*",'Timesheet Raw'!$L$4:$L$8000,"&gt;="&amp;Q$5,'Timesheet Raw'!$L$4:$L$8000,"&lt;="&amp;Q$6)))/'Profit Plan'!$B$5)</f>
        <v/>
      </c>
      <c r="R408" s="122" t="str">
        <f>IF($A408="","",(IF(ISNUMBER(SEARCH("Proposal",$A408)),SUMIFS('Timesheet Raw'!$P$4:$P$8000,'Timesheet Raw'!$A$4:$A$8000,IF(ISNUMBER(SEARCH("Chargable",$A408)),"2-Proposals Chargeable","3-Proposals Regular"),'Timesheet Raw'!$C$4:$C$8000,"*"&amp;$B408&amp;"*",'Timesheet Raw'!$L$4:$L$8000,"&gt;="&amp;MAX(R$5,DATE(2000+VALUE(RIGHT(TRIM($A408),2)),1,1)),'Timesheet Raw'!$L$4:$L$8000,"&lt;="&amp;MIN(R$6,DATE(2000+VALUE(RIGHT(TRIM($A408),2)),12,31))),SUMIFS('Timesheet Raw'!$P$4:$P$8000,'Timesheet Raw'!$B$4:$B$8000,TRIM($A408),'Timesheet Raw'!$C$4:$C$8000,"*"&amp;$B408&amp;"*",'Timesheet Raw'!$L$4:$L$8000,"&gt;="&amp;R$5,'Timesheet Raw'!$L$4:$L$8000,"&lt;="&amp;R$6)))/'Profit Plan'!$B$5)</f>
        <v/>
      </c>
      <c r="S408" s="122" t="str">
        <f>IF($A408="","",(IF(ISNUMBER(SEARCH("Proposal",$A408)),SUMIFS('Timesheet Raw'!$P$4:$P$8000,'Timesheet Raw'!$A$4:$A$8000,IF(ISNUMBER(SEARCH("Chargable",$A408)),"2-Proposals Chargeable","3-Proposals Regular"),'Timesheet Raw'!$C$4:$C$8000,"*"&amp;$B408&amp;"*",'Timesheet Raw'!$L$4:$L$8000,"&gt;="&amp;MAX(S$5,DATE(2000+VALUE(RIGHT(TRIM($A408),2)),1,1)),'Timesheet Raw'!$L$4:$L$8000,"&lt;="&amp;MIN(S$6,DATE(2000+VALUE(RIGHT(TRIM($A408),2)),12,31))),SUMIFS('Timesheet Raw'!$P$4:$P$8000,'Timesheet Raw'!$B$4:$B$8000,TRIM($A408),'Timesheet Raw'!$C$4:$C$8000,"*"&amp;$B408&amp;"*",'Timesheet Raw'!$L$4:$L$8000,"&gt;="&amp;S$5,'Timesheet Raw'!$L$4:$L$8000,"&lt;="&amp;S$6)))/'Profit Plan'!$B$5)</f>
        <v/>
      </c>
      <c r="T408" s="122" t="str">
        <f>IF($A408="","",(IF(ISNUMBER(SEARCH("Proposal",$A408)),SUMIFS('Timesheet Raw'!$P$4:$P$8000,'Timesheet Raw'!$A$4:$A$8000,IF(ISNUMBER(SEARCH("Chargable",$A408)),"2-Proposals Chargeable","3-Proposals Regular"),'Timesheet Raw'!$C$4:$C$8000,"*"&amp;$B408&amp;"*",'Timesheet Raw'!$L$4:$L$8000,"&gt;="&amp;MAX(T$5,DATE(2000+VALUE(RIGHT(TRIM($A408),2)),1,1)),'Timesheet Raw'!$L$4:$L$8000,"&lt;="&amp;MIN(T$6,DATE(2000+VALUE(RIGHT(TRIM($A408),2)),12,31))),SUMIFS('Timesheet Raw'!$P$4:$P$8000,'Timesheet Raw'!$B$4:$B$8000,TRIM($A408),'Timesheet Raw'!$C$4:$C$8000,"*"&amp;$B408&amp;"*",'Timesheet Raw'!$L$4:$L$8000,"&gt;="&amp;T$5,'Timesheet Raw'!$L$4:$L$8000,"&lt;="&amp;T$6)))/'Profit Plan'!$B$5)</f>
        <v/>
      </c>
      <c r="U408" s="122" t="str">
        <f>IF($A408="","",(IF(ISNUMBER(SEARCH("Proposal",$A408)),SUMIFS('Timesheet Raw'!$P$4:$P$8000,'Timesheet Raw'!$A$4:$A$8000,IF(ISNUMBER(SEARCH("Chargable",$A408)),"2-Proposals Chargeable","3-Proposals Regular"),'Timesheet Raw'!$C$4:$C$8000,"*"&amp;$B408&amp;"*",'Timesheet Raw'!$L$4:$L$8000,"&gt;="&amp;MAX(U$5,DATE(2000+VALUE(RIGHT(TRIM($A408),2)),1,1)),'Timesheet Raw'!$L$4:$L$8000,"&lt;="&amp;MIN(U$6,DATE(2000+VALUE(RIGHT(TRIM($A408),2)),12,31))),SUMIFS('Timesheet Raw'!$P$4:$P$8000,'Timesheet Raw'!$B$4:$B$8000,TRIM($A408),'Timesheet Raw'!$C$4:$C$8000,"*"&amp;$B408&amp;"*",'Timesheet Raw'!$L$4:$L$8000,"&gt;="&amp;U$5,'Timesheet Raw'!$L$4:$L$8000,"&lt;="&amp;U$6)))/'Profit Plan'!$B$5)</f>
        <v/>
      </c>
      <c r="V408" s="122" t="str">
        <f>IF($A408="","",(IF(ISNUMBER(SEARCH("Proposal",$A408)),SUMIFS('Timesheet Raw'!$P$4:$P$8000,'Timesheet Raw'!$A$4:$A$8000,IF(ISNUMBER(SEARCH("Chargable",$A408)),"2-Proposals Chargeable","3-Proposals Regular"),'Timesheet Raw'!$C$4:$C$8000,"*"&amp;$B408&amp;"*",'Timesheet Raw'!$L$4:$L$8000,"&gt;="&amp;MAX(V$5,DATE(2000+VALUE(RIGHT(TRIM($A408),2)),1,1)),'Timesheet Raw'!$L$4:$L$8000,"&lt;="&amp;MIN(V$6,DATE(2000+VALUE(RIGHT(TRIM($A408),2)),12,31))),SUMIFS('Timesheet Raw'!$P$4:$P$8000,'Timesheet Raw'!$B$4:$B$8000,TRIM($A408),'Timesheet Raw'!$C$4:$C$8000,"*"&amp;$B408&amp;"*",'Timesheet Raw'!$L$4:$L$8000,"&gt;="&amp;V$5,'Timesheet Raw'!$L$4:$L$8000,"&lt;="&amp;V$6)))/'Profit Plan'!$B$5)</f>
        <v/>
      </c>
      <c r="W408" s="122" t="str">
        <f>IF($A408="","",(IF(ISNUMBER(SEARCH("Proposal",$A408)),SUMIFS('Timesheet Raw'!$P$4:$P$8000,'Timesheet Raw'!$A$4:$A$8000,IF(ISNUMBER(SEARCH("Chargable",$A408)),"2-Proposals Chargeable","3-Proposals Regular"),'Timesheet Raw'!$C$4:$C$8000,"*"&amp;$B408&amp;"*",'Timesheet Raw'!$L$4:$L$8000,"&gt;="&amp;MAX(W$5,DATE(2000+VALUE(RIGHT(TRIM($A408),2)),1,1)),'Timesheet Raw'!$L$4:$L$8000,"&lt;="&amp;MIN(W$6,DATE(2000+VALUE(RIGHT(TRIM($A408),2)),12,31))),SUMIFS('Timesheet Raw'!$P$4:$P$8000,'Timesheet Raw'!$B$4:$B$8000,TRIM($A408),'Timesheet Raw'!$C$4:$C$8000,"*"&amp;$B408&amp;"*",'Timesheet Raw'!$L$4:$L$8000,"&gt;="&amp;W$5,'Timesheet Raw'!$L$4:$L$8000,"&lt;="&amp;W$6)))/'Profit Plan'!$B$5)</f>
        <v/>
      </c>
      <c r="X408" s="122" t="str">
        <f>IF($A408="","",(IF(ISNUMBER(SEARCH("Proposal",$A408)),SUMIFS('Timesheet Raw'!$P$4:$P$8000,'Timesheet Raw'!$A$4:$A$8000,IF(ISNUMBER(SEARCH("Chargable",$A408)),"2-Proposals Chargeable","3-Proposals Regular"),'Timesheet Raw'!$C$4:$C$8000,"*"&amp;$B408&amp;"*",'Timesheet Raw'!$L$4:$L$8000,"&gt;="&amp;MAX(X$5,DATE(2000+VALUE(RIGHT(TRIM($A408),2)),1,1)),'Timesheet Raw'!$L$4:$L$8000,"&lt;="&amp;MIN(X$6,DATE(2000+VALUE(RIGHT(TRIM($A408),2)),12,31))),SUMIFS('Timesheet Raw'!$P$4:$P$8000,'Timesheet Raw'!$B$4:$B$8000,TRIM($A408),'Timesheet Raw'!$C$4:$C$8000,"*"&amp;$B408&amp;"*",'Timesheet Raw'!$L$4:$L$8000,"&gt;="&amp;X$5,'Timesheet Raw'!$L$4:$L$8000,"&lt;="&amp;X$6)))/'Profit Plan'!$B$5)</f>
        <v/>
      </c>
      <c r="Y408" s="118">
        <f t="shared" si="102"/>
        <v>0</v>
      </c>
    </row>
    <row r="409" spans="1:25" x14ac:dyDescent="0.3">
      <c r="A409" s="116" t="str">
        <f>IF(Inputs!$A54="","",Inputs!$A54)</f>
        <v/>
      </c>
      <c r="B409" s="116" t="str">
        <f>IF(Inputs!$A54="","",Inputs!$A$91)</f>
        <v/>
      </c>
      <c r="C409" s="116"/>
      <c r="D409" s="122" t="str">
        <f>IF($A409="","",(IF(ISNUMBER(SEARCH("Proposal",$A409)),SUMIFS('Timesheet Raw'!$P$4:$P$8000,'Timesheet Raw'!$A$4:$A$8000,IF(ISNUMBER(SEARCH("Chargable",$A409)),"2-Proposals Chargeable","3-Proposals Regular"),'Timesheet Raw'!$C$4:$C$8000,"*"&amp;$B409&amp;"*",'Timesheet Raw'!$L$4:$L$8000,"&gt;="&amp;MAX(D$5,DATE(2000+VALUE(RIGHT(TRIM($A409),2)),1,1)),'Timesheet Raw'!$L$4:$L$8000,"&lt;="&amp;MIN(D$6,DATE(2000+VALUE(RIGHT(TRIM($A409),2)),12,31))),SUMIFS('Timesheet Raw'!$P$4:$P$8000,'Timesheet Raw'!$B$4:$B$8000,TRIM($A409),'Timesheet Raw'!$C$4:$C$8000,"*"&amp;$B409&amp;"*",'Timesheet Raw'!$L$4:$L$8000,"&gt;="&amp;D$5,'Timesheet Raw'!$L$4:$L$8000,"&lt;="&amp;D$6)))/'Profit Plan'!$B$5)</f>
        <v/>
      </c>
      <c r="E409" s="122" t="str">
        <f>IF($A409="","",(IF(ISNUMBER(SEARCH("Proposal",$A409)),SUMIFS('Timesheet Raw'!$P$4:$P$8000,'Timesheet Raw'!$A$4:$A$8000,IF(ISNUMBER(SEARCH("Chargable",$A409)),"2-Proposals Chargeable","3-Proposals Regular"),'Timesheet Raw'!$C$4:$C$8000,"*"&amp;$B409&amp;"*",'Timesheet Raw'!$L$4:$L$8000,"&gt;="&amp;MAX(E$5,DATE(2000+VALUE(RIGHT(TRIM($A409),2)),1,1)),'Timesheet Raw'!$L$4:$L$8000,"&lt;="&amp;MIN(E$6,DATE(2000+VALUE(RIGHT(TRIM($A409),2)),12,31))),SUMIFS('Timesheet Raw'!$P$4:$P$8000,'Timesheet Raw'!$B$4:$B$8000,TRIM($A409),'Timesheet Raw'!$C$4:$C$8000,"*"&amp;$B409&amp;"*",'Timesheet Raw'!$L$4:$L$8000,"&gt;="&amp;E$5,'Timesheet Raw'!$L$4:$L$8000,"&lt;="&amp;E$6)))/'Profit Plan'!$B$5)</f>
        <v/>
      </c>
      <c r="F409" s="122" t="str">
        <f>IF($A409="","",(IF(ISNUMBER(SEARCH("Proposal",$A409)),SUMIFS('Timesheet Raw'!$P$4:$P$8000,'Timesheet Raw'!$A$4:$A$8000,IF(ISNUMBER(SEARCH("Chargable",$A409)),"2-Proposals Chargeable","3-Proposals Regular"),'Timesheet Raw'!$C$4:$C$8000,"*"&amp;$B409&amp;"*",'Timesheet Raw'!$L$4:$L$8000,"&gt;="&amp;MAX(F$5,DATE(2000+VALUE(RIGHT(TRIM($A409),2)),1,1)),'Timesheet Raw'!$L$4:$L$8000,"&lt;="&amp;MIN(F$6,DATE(2000+VALUE(RIGHT(TRIM($A409),2)),12,31))),SUMIFS('Timesheet Raw'!$P$4:$P$8000,'Timesheet Raw'!$B$4:$B$8000,TRIM($A409),'Timesheet Raw'!$C$4:$C$8000,"*"&amp;$B409&amp;"*",'Timesheet Raw'!$L$4:$L$8000,"&gt;="&amp;F$5,'Timesheet Raw'!$L$4:$L$8000,"&lt;="&amp;F$6)))/'Profit Plan'!$B$5)</f>
        <v/>
      </c>
      <c r="G409" s="122" t="str">
        <f>IF($A409="","",(IF(ISNUMBER(SEARCH("Proposal",$A409)),SUMIFS('Timesheet Raw'!$P$4:$P$8000,'Timesheet Raw'!$A$4:$A$8000,IF(ISNUMBER(SEARCH("Chargable",$A409)),"2-Proposals Chargeable","3-Proposals Regular"),'Timesheet Raw'!$C$4:$C$8000,"*"&amp;$B409&amp;"*",'Timesheet Raw'!$L$4:$L$8000,"&gt;="&amp;MAX(G$5,DATE(2000+VALUE(RIGHT(TRIM($A409),2)),1,1)),'Timesheet Raw'!$L$4:$L$8000,"&lt;="&amp;MIN(G$6,DATE(2000+VALUE(RIGHT(TRIM($A409),2)),12,31))),SUMIFS('Timesheet Raw'!$P$4:$P$8000,'Timesheet Raw'!$B$4:$B$8000,TRIM($A409),'Timesheet Raw'!$C$4:$C$8000,"*"&amp;$B409&amp;"*",'Timesheet Raw'!$L$4:$L$8000,"&gt;="&amp;G$5,'Timesheet Raw'!$L$4:$L$8000,"&lt;="&amp;G$6)))/'Profit Plan'!$B$5)</f>
        <v/>
      </c>
      <c r="H409" s="122" t="str">
        <f>IF($A409="","",(IF(ISNUMBER(SEARCH("Proposal",$A409)),SUMIFS('Timesheet Raw'!$P$4:$P$8000,'Timesheet Raw'!$A$4:$A$8000,IF(ISNUMBER(SEARCH("Chargable",$A409)),"2-Proposals Chargeable","3-Proposals Regular"),'Timesheet Raw'!$C$4:$C$8000,"*"&amp;$B409&amp;"*",'Timesheet Raw'!$L$4:$L$8000,"&gt;="&amp;MAX(H$5,DATE(2000+VALUE(RIGHT(TRIM($A409),2)),1,1)),'Timesheet Raw'!$L$4:$L$8000,"&lt;="&amp;MIN(H$6,DATE(2000+VALUE(RIGHT(TRIM($A409),2)),12,31))),SUMIFS('Timesheet Raw'!$P$4:$P$8000,'Timesheet Raw'!$B$4:$B$8000,TRIM($A409),'Timesheet Raw'!$C$4:$C$8000,"*"&amp;$B409&amp;"*",'Timesheet Raw'!$L$4:$L$8000,"&gt;="&amp;H$5,'Timesheet Raw'!$L$4:$L$8000,"&lt;="&amp;H$6)))/'Profit Plan'!$B$5)</f>
        <v/>
      </c>
      <c r="I409" s="122" t="str">
        <f>IF($A409="","",(IF(ISNUMBER(SEARCH("Proposal",$A409)),SUMIFS('Timesheet Raw'!$P$4:$P$8000,'Timesheet Raw'!$A$4:$A$8000,IF(ISNUMBER(SEARCH("Chargable",$A409)),"2-Proposals Chargeable","3-Proposals Regular"),'Timesheet Raw'!$C$4:$C$8000,"*"&amp;$B409&amp;"*",'Timesheet Raw'!$L$4:$L$8000,"&gt;="&amp;MAX(I$5,DATE(2000+VALUE(RIGHT(TRIM($A409),2)),1,1)),'Timesheet Raw'!$L$4:$L$8000,"&lt;="&amp;MIN(I$6,DATE(2000+VALUE(RIGHT(TRIM($A409),2)),12,31))),SUMIFS('Timesheet Raw'!$P$4:$P$8000,'Timesheet Raw'!$B$4:$B$8000,TRIM($A409),'Timesheet Raw'!$C$4:$C$8000,"*"&amp;$B409&amp;"*",'Timesheet Raw'!$L$4:$L$8000,"&gt;="&amp;I$5,'Timesheet Raw'!$L$4:$L$8000,"&lt;="&amp;I$6)))/'Profit Plan'!$B$5)</f>
        <v/>
      </c>
      <c r="J409" s="122" t="str">
        <f>IF($A409="","",(IF(ISNUMBER(SEARCH("Proposal",$A409)),SUMIFS('Timesheet Raw'!$P$4:$P$8000,'Timesheet Raw'!$A$4:$A$8000,IF(ISNUMBER(SEARCH("Chargable",$A409)),"2-Proposals Chargeable","3-Proposals Regular"),'Timesheet Raw'!$C$4:$C$8000,"*"&amp;$B409&amp;"*",'Timesheet Raw'!$L$4:$L$8000,"&gt;="&amp;MAX(J$5,DATE(2000+VALUE(RIGHT(TRIM($A409),2)),1,1)),'Timesheet Raw'!$L$4:$L$8000,"&lt;="&amp;MIN(J$6,DATE(2000+VALUE(RIGHT(TRIM($A409),2)),12,31))),SUMIFS('Timesheet Raw'!$P$4:$P$8000,'Timesheet Raw'!$B$4:$B$8000,TRIM($A409),'Timesheet Raw'!$C$4:$C$8000,"*"&amp;$B409&amp;"*",'Timesheet Raw'!$L$4:$L$8000,"&gt;="&amp;J$5,'Timesheet Raw'!$L$4:$L$8000,"&lt;="&amp;J$6)))/'Profit Plan'!$B$5)</f>
        <v/>
      </c>
      <c r="K409" s="122" t="str">
        <f>IF($A409="","",(IF(ISNUMBER(SEARCH("Proposal",$A409)),SUMIFS('Timesheet Raw'!$P$4:$P$8000,'Timesheet Raw'!$A$4:$A$8000,IF(ISNUMBER(SEARCH("Chargable",$A409)),"2-Proposals Chargeable","3-Proposals Regular"),'Timesheet Raw'!$C$4:$C$8000,"*"&amp;$B409&amp;"*",'Timesheet Raw'!$L$4:$L$8000,"&gt;="&amp;MAX(K$5,DATE(2000+VALUE(RIGHT(TRIM($A409),2)),1,1)),'Timesheet Raw'!$L$4:$L$8000,"&lt;="&amp;MIN(K$6,DATE(2000+VALUE(RIGHT(TRIM($A409),2)),12,31))),SUMIFS('Timesheet Raw'!$P$4:$P$8000,'Timesheet Raw'!$B$4:$B$8000,TRIM($A409),'Timesheet Raw'!$C$4:$C$8000,"*"&amp;$B409&amp;"*",'Timesheet Raw'!$L$4:$L$8000,"&gt;="&amp;K$5,'Timesheet Raw'!$L$4:$L$8000,"&lt;="&amp;K$6)))/'Profit Plan'!$B$5)</f>
        <v/>
      </c>
      <c r="L409" s="122" t="str">
        <f>IF($A409="","",(IF(ISNUMBER(SEARCH("Proposal",$A409)),SUMIFS('Timesheet Raw'!$P$4:$P$8000,'Timesheet Raw'!$A$4:$A$8000,IF(ISNUMBER(SEARCH("Chargable",$A409)),"2-Proposals Chargeable","3-Proposals Regular"),'Timesheet Raw'!$C$4:$C$8000,"*"&amp;$B409&amp;"*",'Timesheet Raw'!$L$4:$L$8000,"&gt;="&amp;MAX(L$5,DATE(2000+VALUE(RIGHT(TRIM($A409),2)),1,1)),'Timesheet Raw'!$L$4:$L$8000,"&lt;="&amp;MIN(L$6,DATE(2000+VALUE(RIGHT(TRIM($A409),2)),12,31))),SUMIFS('Timesheet Raw'!$P$4:$P$8000,'Timesheet Raw'!$B$4:$B$8000,TRIM($A409),'Timesheet Raw'!$C$4:$C$8000,"*"&amp;$B409&amp;"*",'Timesheet Raw'!$L$4:$L$8000,"&gt;="&amp;L$5,'Timesheet Raw'!$L$4:$L$8000,"&lt;="&amp;L$6)))/'Profit Plan'!$B$5)</f>
        <v/>
      </c>
      <c r="M409" s="122" t="str">
        <f>IF($A409="","",(IF(ISNUMBER(SEARCH("Proposal",$A409)),SUMIFS('Timesheet Raw'!$P$4:$P$8000,'Timesheet Raw'!$A$4:$A$8000,IF(ISNUMBER(SEARCH("Chargable",$A409)),"2-Proposals Chargeable","3-Proposals Regular"),'Timesheet Raw'!$C$4:$C$8000,"*"&amp;$B409&amp;"*",'Timesheet Raw'!$L$4:$L$8000,"&gt;="&amp;MAX(M$5,DATE(2000+VALUE(RIGHT(TRIM($A409),2)),1,1)),'Timesheet Raw'!$L$4:$L$8000,"&lt;="&amp;MIN(M$6,DATE(2000+VALUE(RIGHT(TRIM($A409),2)),12,31))),SUMIFS('Timesheet Raw'!$P$4:$P$8000,'Timesheet Raw'!$B$4:$B$8000,TRIM($A409),'Timesheet Raw'!$C$4:$C$8000,"*"&amp;$B409&amp;"*",'Timesheet Raw'!$L$4:$L$8000,"&gt;="&amp;M$5,'Timesheet Raw'!$L$4:$L$8000,"&lt;="&amp;M$6)))/'Profit Plan'!$B$5)</f>
        <v/>
      </c>
      <c r="N409" s="122" t="str">
        <f>IF($A409="","",(IF(ISNUMBER(SEARCH("Proposal",$A409)),SUMIFS('Timesheet Raw'!$P$4:$P$8000,'Timesheet Raw'!$A$4:$A$8000,IF(ISNUMBER(SEARCH("Chargable",$A409)),"2-Proposals Chargeable","3-Proposals Regular"),'Timesheet Raw'!$C$4:$C$8000,"*"&amp;$B409&amp;"*",'Timesheet Raw'!$L$4:$L$8000,"&gt;="&amp;MAX(N$5,DATE(2000+VALUE(RIGHT(TRIM($A409),2)),1,1)),'Timesheet Raw'!$L$4:$L$8000,"&lt;="&amp;MIN(N$6,DATE(2000+VALUE(RIGHT(TRIM($A409),2)),12,31))),SUMIFS('Timesheet Raw'!$P$4:$P$8000,'Timesheet Raw'!$B$4:$B$8000,TRIM($A409),'Timesheet Raw'!$C$4:$C$8000,"*"&amp;$B409&amp;"*",'Timesheet Raw'!$L$4:$L$8000,"&gt;="&amp;N$5,'Timesheet Raw'!$L$4:$L$8000,"&lt;="&amp;N$6)))/'Profit Plan'!$B$5)</f>
        <v/>
      </c>
      <c r="O409" s="122" t="str">
        <f>IF($A409="","",(IF(ISNUMBER(SEARCH("Proposal",$A409)),SUMIFS('Timesheet Raw'!$P$4:$P$8000,'Timesheet Raw'!$A$4:$A$8000,IF(ISNUMBER(SEARCH("Chargable",$A409)),"2-Proposals Chargeable","3-Proposals Regular"),'Timesheet Raw'!$C$4:$C$8000,"*"&amp;$B409&amp;"*",'Timesheet Raw'!$L$4:$L$8000,"&gt;="&amp;MAX(O$5,DATE(2000+VALUE(RIGHT(TRIM($A409),2)),1,1)),'Timesheet Raw'!$L$4:$L$8000,"&lt;="&amp;MIN(O$6,DATE(2000+VALUE(RIGHT(TRIM($A409),2)),12,31))),SUMIFS('Timesheet Raw'!$P$4:$P$8000,'Timesheet Raw'!$B$4:$B$8000,TRIM($A409),'Timesheet Raw'!$C$4:$C$8000,"*"&amp;$B409&amp;"*",'Timesheet Raw'!$L$4:$L$8000,"&gt;="&amp;O$5,'Timesheet Raw'!$L$4:$L$8000,"&lt;="&amp;O$6)))/'Profit Plan'!$B$5)</f>
        <v/>
      </c>
      <c r="P409" s="122" t="str">
        <f>IF($A409="","",(IF(ISNUMBER(SEARCH("Proposal",$A409)),SUMIFS('Timesheet Raw'!$P$4:$P$8000,'Timesheet Raw'!$A$4:$A$8000,IF(ISNUMBER(SEARCH("Chargable",$A409)),"2-Proposals Chargeable","3-Proposals Regular"),'Timesheet Raw'!$C$4:$C$8000,"*"&amp;$B409&amp;"*",'Timesheet Raw'!$L$4:$L$8000,"&gt;="&amp;MAX(P$5,DATE(2000+VALUE(RIGHT(TRIM($A409),2)),1,1)),'Timesheet Raw'!$L$4:$L$8000,"&lt;="&amp;MIN(P$6,DATE(2000+VALUE(RIGHT(TRIM($A409),2)),12,31))),SUMIFS('Timesheet Raw'!$P$4:$P$8000,'Timesheet Raw'!$B$4:$B$8000,TRIM($A409),'Timesheet Raw'!$C$4:$C$8000,"*"&amp;$B409&amp;"*",'Timesheet Raw'!$L$4:$L$8000,"&gt;="&amp;P$5,'Timesheet Raw'!$L$4:$L$8000,"&lt;="&amp;P$6)))/'Profit Plan'!$B$5)</f>
        <v/>
      </c>
      <c r="Q409" s="122" t="str">
        <f>IF($A409="","",(IF(ISNUMBER(SEARCH("Proposal",$A409)),SUMIFS('Timesheet Raw'!$P$4:$P$8000,'Timesheet Raw'!$A$4:$A$8000,IF(ISNUMBER(SEARCH("Chargable",$A409)),"2-Proposals Chargeable","3-Proposals Regular"),'Timesheet Raw'!$C$4:$C$8000,"*"&amp;$B409&amp;"*",'Timesheet Raw'!$L$4:$L$8000,"&gt;="&amp;MAX(Q$5,DATE(2000+VALUE(RIGHT(TRIM($A409),2)),1,1)),'Timesheet Raw'!$L$4:$L$8000,"&lt;="&amp;MIN(Q$6,DATE(2000+VALUE(RIGHT(TRIM($A409),2)),12,31))),SUMIFS('Timesheet Raw'!$P$4:$P$8000,'Timesheet Raw'!$B$4:$B$8000,TRIM($A409),'Timesheet Raw'!$C$4:$C$8000,"*"&amp;$B409&amp;"*",'Timesheet Raw'!$L$4:$L$8000,"&gt;="&amp;Q$5,'Timesheet Raw'!$L$4:$L$8000,"&lt;="&amp;Q$6)))/'Profit Plan'!$B$5)</f>
        <v/>
      </c>
      <c r="R409" s="122" t="str">
        <f>IF($A409="","",(IF(ISNUMBER(SEARCH("Proposal",$A409)),SUMIFS('Timesheet Raw'!$P$4:$P$8000,'Timesheet Raw'!$A$4:$A$8000,IF(ISNUMBER(SEARCH("Chargable",$A409)),"2-Proposals Chargeable","3-Proposals Regular"),'Timesheet Raw'!$C$4:$C$8000,"*"&amp;$B409&amp;"*",'Timesheet Raw'!$L$4:$L$8000,"&gt;="&amp;MAX(R$5,DATE(2000+VALUE(RIGHT(TRIM($A409),2)),1,1)),'Timesheet Raw'!$L$4:$L$8000,"&lt;="&amp;MIN(R$6,DATE(2000+VALUE(RIGHT(TRIM($A409),2)),12,31))),SUMIFS('Timesheet Raw'!$P$4:$P$8000,'Timesheet Raw'!$B$4:$B$8000,TRIM($A409),'Timesheet Raw'!$C$4:$C$8000,"*"&amp;$B409&amp;"*",'Timesheet Raw'!$L$4:$L$8000,"&gt;="&amp;R$5,'Timesheet Raw'!$L$4:$L$8000,"&lt;="&amp;R$6)))/'Profit Plan'!$B$5)</f>
        <v/>
      </c>
      <c r="S409" s="122" t="str">
        <f>IF($A409="","",(IF(ISNUMBER(SEARCH("Proposal",$A409)),SUMIFS('Timesheet Raw'!$P$4:$P$8000,'Timesheet Raw'!$A$4:$A$8000,IF(ISNUMBER(SEARCH("Chargable",$A409)),"2-Proposals Chargeable","3-Proposals Regular"),'Timesheet Raw'!$C$4:$C$8000,"*"&amp;$B409&amp;"*",'Timesheet Raw'!$L$4:$L$8000,"&gt;="&amp;MAX(S$5,DATE(2000+VALUE(RIGHT(TRIM($A409),2)),1,1)),'Timesheet Raw'!$L$4:$L$8000,"&lt;="&amp;MIN(S$6,DATE(2000+VALUE(RIGHT(TRIM($A409),2)),12,31))),SUMIFS('Timesheet Raw'!$P$4:$P$8000,'Timesheet Raw'!$B$4:$B$8000,TRIM($A409),'Timesheet Raw'!$C$4:$C$8000,"*"&amp;$B409&amp;"*",'Timesheet Raw'!$L$4:$L$8000,"&gt;="&amp;S$5,'Timesheet Raw'!$L$4:$L$8000,"&lt;="&amp;S$6)))/'Profit Plan'!$B$5)</f>
        <v/>
      </c>
      <c r="T409" s="122" t="str">
        <f>IF($A409="","",(IF(ISNUMBER(SEARCH("Proposal",$A409)),SUMIFS('Timesheet Raw'!$P$4:$P$8000,'Timesheet Raw'!$A$4:$A$8000,IF(ISNUMBER(SEARCH("Chargable",$A409)),"2-Proposals Chargeable","3-Proposals Regular"),'Timesheet Raw'!$C$4:$C$8000,"*"&amp;$B409&amp;"*",'Timesheet Raw'!$L$4:$L$8000,"&gt;="&amp;MAX(T$5,DATE(2000+VALUE(RIGHT(TRIM($A409),2)),1,1)),'Timesheet Raw'!$L$4:$L$8000,"&lt;="&amp;MIN(T$6,DATE(2000+VALUE(RIGHT(TRIM($A409),2)),12,31))),SUMIFS('Timesheet Raw'!$P$4:$P$8000,'Timesheet Raw'!$B$4:$B$8000,TRIM($A409),'Timesheet Raw'!$C$4:$C$8000,"*"&amp;$B409&amp;"*",'Timesheet Raw'!$L$4:$L$8000,"&gt;="&amp;T$5,'Timesheet Raw'!$L$4:$L$8000,"&lt;="&amp;T$6)))/'Profit Plan'!$B$5)</f>
        <v/>
      </c>
      <c r="U409" s="122" t="str">
        <f>IF($A409="","",(IF(ISNUMBER(SEARCH("Proposal",$A409)),SUMIFS('Timesheet Raw'!$P$4:$P$8000,'Timesheet Raw'!$A$4:$A$8000,IF(ISNUMBER(SEARCH("Chargable",$A409)),"2-Proposals Chargeable","3-Proposals Regular"),'Timesheet Raw'!$C$4:$C$8000,"*"&amp;$B409&amp;"*",'Timesheet Raw'!$L$4:$L$8000,"&gt;="&amp;MAX(U$5,DATE(2000+VALUE(RIGHT(TRIM($A409),2)),1,1)),'Timesheet Raw'!$L$4:$L$8000,"&lt;="&amp;MIN(U$6,DATE(2000+VALUE(RIGHT(TRIM($A409),2)),12,31))),SUMIFS('Timesheet Raw'!$P$4:$P$8000,'Timesheet Raw'!$B$4:$B$8000,TRIM($A409),'Timesheet Raw'!$C$4:$C$8000,"*"&amp;$B409&amp;"*",'Timesheet Raw'!$L$4:$L$8000,"&gt;="&amp;U$5,'Timesheet Raw'!$L$4:$L$8000,"&lt;="&amp;U$6)))/'Profit Plan'!$B$5)</f>
        <v/>
      </c>
      <c r="V409" s="122" t="str">
        <f>IF($A409="","",(IF(ISNUMBER(SEARCH("Proposal",$A409)),SUMIFS('Timesheet Raw'!$P$4:$P$8000,'Timesheet Raw'!$A$4:$A$8000,IF(ISNUMBER(SEARCH("Chargable",$A409)),"2-Proposals Chargeable","3-Proposals Regular"),'Timesheet Raw'!$C$4:$C$8000,"*"&amp;$B409&amp;"*",'Timesheet Raw'!$L$4:$L$8000,"&gt;="&amp;MAX(V$5,DATE(2000+VALUE(RIGHT(TRIM($A409),2)),1,1)),'Timesheet Raw'!$L$4:$L$8000,"&lt;="&amp;MIN(V$6,DATE(2000+VALUE(RIGHT(TRIM($A409),2)),12,31))),SUMIFS('Timesheet Raw'!$P$4:$P$8000,'Timesheet Raw'!$B$4:$B$8000,TRIM($A409),'Timesheet Raw'!$C$4:$C$8000,"*"&amp;$B409&amp;"*",'Timesheet Raw'!$L$4:$L$8000,"&gt;="&amp;V$5,'Timesheet Raw'!$L$4:$L$8000,"&lt;="&amp;V$6)))/'Profit Plan'!$B$5)</f>
        <v/>
      </c>
      <c r="W409" s="122" t="str">
        <f>IF($A409="","",(IF(ISNUMBER(SEARCH("Proposal",$A409)),SUMIFS('Timesheet Raw'!$P$4:$P$8000,'Timesheet Raw'!$A$4:$A$8000,IF(ISNUMBER(SEARCH("Chargable",$A409)),"2-Proposals Chargeable","3-Proposals Regular"),'Timesheet Raw'!$C$4:$C$8000,"*"&amp;$B409&amp;"*",'Timesheet Raw'!$L$4:$L$8000,"&gt;="&amp;MAX(W$5,DATE(2000+VALUE(RIGHT(TRIM($A409),2)),1,1)),'Timesheet Raw'!$L$4:$L$8000,"&lt;="&amp;MIN(W$6,DATE(2000+VALUE(RIGHT(TRIM($A409),2)),12,31))),SUMIFS('Timesheet Raw'!$P$4:$P$8000,'Timesheet Raw'!$B$4:$B$8000,TRIM($A409),'Timesheet Raw'!$C$4:$C$8000,"*"&amp;$B409&amp;"*",'Timesheet Raw'!$L$4:$L$8000,"&gt;="&amp;W$5,'Timesheet Raw'!$L$4:$L$8000,"&lt;="&amp;W$6)))/'Profit Plan'!$B$5)</f>
        <v/>
      </c>
      <c r="X409" s="122" t="str">
        <f>IF($A409="","",(IF(ISNUMBER(SEARCH("Proposal",$A409)),SUMIFS('Timesheet Raw'!$P$4:$P$8000,'Timesheet Raw'!$A$4:$A$8000,IF(ISNUMBER(SEARCH("Chargable",$A409)),"2-Proposals Chargeable","3-Proposals Regular"),'Timesheet Raw'!$C$4:$C$8000,"*"&amp;$B409&amp;"*",'Timesheet Raw'!$L$4:$L$8000,"&gt;="&amp;MAX(X$5,DATE(2000+VALUE(RIGHT(TRIM($A409),2)),1,1)),'Timesheet Raw'!$L$4:$L$8000,"&lt;="&amp;MIN(X$6,DATE(2000+VALUE(RIGHT(TRIM($A409),2)),12,31))),SUMIFS('Timesheet Raw'!$P$4:$P$8000,'Timesheet Raw'!$B$4:$B$8000,TRIM($A409),'Timesheet Raw'!$C$4:$C$8000,"*"&amp;$B409&amp;"*",'Timesheet Raw'!$L$4:$L$8000,"&gt;="&amp;X$5,'Timesheet Raw'!$L$4:$L$8000,"&lt;="&amp;X$6)))/'Profit Plan'!$B$5)</f>
        <v/>
      </c>
      <c r="Y409" s="118">
        <f t="shared" si="102"/>
        <v>0</v>
      </c>
    </row>
    <row r="410" spans="1:25" x14ac:dyDescent="0.3">
      <c r="A410" s="116" t="str">
        <f>IF(Inputs!$A54="","",Inputs!$A54)</f>
        <v/>
      </c>
      <c r="B410" s="116" t="str">
        <f>IF(Inputs!$A54="","",Inputs!$A$92)</f>
        <v/>
      </c>
      <c r="C410" s="116"/>
      <c r="D410" s="122" t="str">
        <f>IF($A410="","",(IF(ISNUMBER(SEARCH("Proposal",$A410)),SUMIFS('Timesheet Raw'!$P$4:$P$8000,'Timesheet Raw'!$A$4:$A$8000,IF(ISNUMBER(SEARCH("Chargable",$A410)),"2-Proposals Chargeable","3-Proposals Regular"),'Timesheet Raw'!$C$4:$C$8000,"*"&amp;$B410&amp;"*",'Timesheet Raw'!$L$4:$L$8000,"&gt;="&amp;MAX(D$5,DATE(2000+VALUE(RIGHT(TRIM($A410),2)),1,1)),'Timesheet Raw'!$L$4:$L$8000,"&lt;="&amp;MIN(D$6,DATE(2000+VALUE(RIGHT(TRIM($A410),2)),12,31))),SUMIFS('Timesheet Raw'!$P$4:$P$8000,'Timesheet Raw'!$B$4:$B$8000,TRIM($A410),'Timesheet Raw'!$C$4:$C$8000,"*"&amp;$B410&amp;"*",'Timesheet Raw'!$L$4:$L$8000,"&gt;="&amp;D$5,'Timesheet Raw'!$L$4:$L$8000,"&lt;="&amp;D$6)))/'Profit Plan'!$B$5)</f>
        <v/>
      </c>
      <c r="E410" s="122" t="str">
        <f>IF($A410="","",(IF(ISNUMBER(SEARCH("Proposal",$A410)),SUMIFS('Timesheet Raw'!$P$4:$P$8000,'Timesheet Raw'!$A$4:$A$8000,IF(ISNUMBER(SEARCH("Chargable",$A410)),"2-Proposals Chargeable","3-Proposals Regular"),'Timesheet Raw'!$C$4:$C$8000,"*"&amp;$B410&amp;"*",'Timesheet Raw'!$L$4:$L$8000,"&gt;="&amp;MAX(E$5,DATE(2000+VALUE(RIGHT(TRIM($A410),2)),1,1)),'Timesheet Raw'!$L$4:$L$8000,"&lt;="&amp;MIN(E$6,DATE(2000+VALUE(RIGHT(TRIM($A410),2)),12,31))),SUMIFS('Timesheet Raw'!$P$4:$P$8000,'Timesheet Raw'!$B$4:$B$8000,TRIM($A410),'Timesheet Raw'!$C$4:$C$8000,"*"&amp;$B410&amp;"*",'Timesheet Raw'!$L$4:$L$8000,"&gt;="&amp;E$5,'Timesheet Raw'!$L$4:$L$8000,"&lt;="&amp;E$6)))/'Profit Plan'!$B$5)</f>
        <v/>
      </c>
      <c r="F410" s="122" t="str">
        <f>IF($A410="","",(IF(ISNUMBER(SEARCH("Proposal",$A410)),SUMIFS('Timesheet Raw'!$P$4:$P$8000,'Timesheet Raw'!$A$4:$A$8000,IF(ISNUMBER(SEARCH("Chargable",$A410)),"2-Proposals Chargeable","3-Proposals Regular"),'Timesheet Raw'!$C$4:$C$8000,"*"&amp;$B410&amp;"*",'Timesheet Raw'!$L$4:$L$8000,"&gt;="&amp;MAX(F$5,DATE(2000+VALUE(RIGHT(TRIM($A410),2)),1,1)),'Timesheet Raw'!$L$4:$L$8000,"&lt;="&amp;MIN(F$6,DATE(2000+VALUE(RIGHT(TRIM($A410),2)),12,31))),SUMIFS('Timesheet Raw'!$P$4:$P$8000,'Timesheet Raw'!$B$4:$B$8000,TRIM($A410),'Timesheet Raw'!$C$4:$C$8000,"*"&amp;$B410&amp;"*",'Timesheet Raw'!$L$4:$L$8000,"&gt;="&amp;F$5,'Timesheet Raw'!$L$4:$L$8000,"&lt;="&amp;F$6)))/'Profit Plan'!$B$5)</f>
        <v/>
      </c>
      <c r="G410" s="122" t="str">
        <f>IF($A410="","",(IF(ISNUMBER(SEARCH("Proposal",$A410)),SUMIFS('Timesheet Raw'!$P$4:$P$8000,'Timesheet Raw'!$A$4:$A$8000,IF(ISNUMBER(SEARCH("Chargable",$A410)),"2-Proposals Chargeable","3-Proposals Regular"),'Timesheet Raw'!$C$4:$C$8000,"*"&amp;$B410&amp;"*",'Timesheet Raw'!$L$4:$L$8000,"&gt;="&amp;MAX(G$5,DATE(2000+VALUE(RIGHT(TRIM($A410),2)),1,1)),'Timesheet Raw'!$L$4:$L$8000,"&lt;="&amp;MIN(G$6,DATE(2000+VALUE(RIGHT(TRIM($A410),2)),12,31))),SUMIFS('Timesheet Raw'!$P$4:$P$8000,'Timesheet Raw'!$B$4:$B$8000,TRIM($A410),'Timesheet Raw'!$C$4:$C$8000,"*"&amp;$B410&amp;"*",'Timesheet Raw'!$L$4:$L$8000,"&gt;="&amp;G$5,'Timesheet Raw'!$L$4:$L$8000,"&lt;="&amp;G$6)))/'Profit Plan'!$B$5)</f>
        <v/>
      </c>
      <c r="H410" s="122" t="str">
        <f>IF($A410="","",(IF(ISNUMBER(SEARCH("Proposal",$A410)),SUMIFS('Timesheet Raw'!$P$4:$P$8000,'Timesheet Raw'!$A$4:$A$8000,IF(ISNUMBER(SEARCH("Chargable",$A410)),"2-Proposals Chargeable","3-Proposals Regular"),'Timesheet Raw'!$C$4:$C$8000,"*"&amp;$B410&amp;"*",'Timesheet Raw'!$L$4:$L$8000,"&gt;="&amp;MAX(H$5,DATE(2000+VALUE(RIGHT(TRIM($A410),2)),1,1)),'Timesheet Raw'!$L$4:$L$8000,"&lt;="&amp;MIN(H$6,DATE(2000+VALUE(RIGHT(TRIM($A410),2)),12,31))),SUMIFS('Timesheet Raw'!$P$4:$P$8000,'Timesheet Raw'!$B$4:$B$8000,TRIM($A410),'Timesheet Raw'!$C$4:$C$8000,"*"&amp;$B410&amp;"*",'Timesheet Raw'!$L$4:$L$8000,"&gt;="&amp;H$5,'Timesheet Raw'!$L$4:$L$8000,"&lt;="&amp;H$6)))/'Profit Plan'!$B$5)</f>
        <v/>
      </c>
      <c r="I410" s="122" t="str">
        <f>IF($A410="","",(IF(ISNUMBER(SEARCH("Proposal",$A410)),SUMIFS('Timesheet Raw'!$P$4:$P$8000,'Timesheet Raw'!$A$4:$A$8000,IF(ISNUMBER(SEARCH("Chargable",$A410)),"2-Proposals Chargeable","3-Proposals Regular"),'Timesheet Raw'!$C$4:$C$8000,"*"&amp;$B410&amp;"*",'Timesheet Raw'!$L$4:$L$8000,"&gt;="&amp;MAX(I$5,DATE(2000+VALUE(RIGHT(TRIM($A410),2)),1,1)),'Timesheet Raw'!$L$4:$L$8000,"&lt;="&amp;MIN(I$6,DATE(2000+VALUE(RIGHT(TRIM($A410),2)),12,31))),SUMIFS('Timesheet Raw'!$P$4:$P$8000,'Timesheet Raw'!$B$4:$B$8000,TRIM($A410),'Timesheet Raw'!$C$4:$C$8000,"*"&amp;$B410&amp;"*",'Timesheet Raw'!$L$4:$L$8000,"&gt;="&amp;I$5,'Timesheet Raw'!$L$4:$L$8000,"&lt;="&amp;I$6)))/'Profit Plan'!$B$5)</f>
        <v/>
      </c>
      <c r="J410" s="122" t="str">
        <f>IF($A410="","",(IF(ISNUMBER(SEARCH("Proposal",$A410)),SUMIFS('Timesheet Raw'!$P$4:$P$8000,'Timesheet Raw'!$A$4:$A$8000,IF(ISNUMBER(SEARCH("Chargable",$A410)),"2-Proposals Chargeable","3-Proposals Regular"),'Timesheet Raw'!$C$4:$C$8000,"*"&amp;$B410&amp;"*",'Timesheet Raw'!$L$4:$L$8000,"&gt;="&amp;MAX(J$5,DATE(2000+VALUE(RIGHT(TRIM($A410),2)),1,1)),'Timesheet Raw'!$L$4:$L$8000,"&lt;="&amp;MIN(J$6,DATE(2000+VALUE(RIGHT(TRIM($A410),2)),12,31))),SUMIFS('Timesheet Raw'!$P$4:$P$8000,'Timesheet Raw'!$B$4:$B$8000,TRIM($A410),'Timesheet Raw'!$C$4:$C$8000,"*"&amp;$B410&amp;"*",'Timesheet Raw'!$L$4:$L$8000,"&gt;="&amp;J$5,'Timesheet Raw'!$L$4:$L$8000,"&lt;="&amp;J$6)))/'Profit Plan'!$B$5)</f>
        <v/>
      </c>
      <c r="K410" s="122" t="str">
        <f>IF($A410="","",(IF(ISNUMBER(SEARCH("Proposal",$A410)),SUMIFS('Timesheet Raw'!$P$4:$P$8000,'Timesheet Raw'!$A$4:$A$8000,IF(ISNUMBER(SEARCH("Chargable",$A410)),"2-Proposals Chargeable","3-Proposals Regular"),'Timesheet Raw'!$C$4:$C$8000,"*"&amp;$B410&amp;"*",'Timesheet Raw'!$L$4:$L$8000,"&gt;="&amp;MAX(K$5,DATE(2000+VALUE(RIGHT(TRIM($A410),2)),1,1)),'Timesheet Raw'!$L$4:$L$8000,"&lt;="&amp;MIN(K$6,DATE(2000+VALUE(RIGHT(TRIM($A410),2)),12,31))),SUMIFS('Timesheet Raw'!$P$4:$P$8000,'Timesheet Raw'!$B$4:$B$8000,TRIM($A410),'Timesheet Raw'!$C$4:$C$8000,"*"&amp;$B410&amp;"*",'Timesheet Raw'!$L$4:$L$8000,"&gt;="&amp;K$5,'Timesheet Raw'!$L$4:$L$8000,"&lt;="&amp;K$6)))/'Profit Plan'!$B$5)</f>
        <v/>
      </c>
      <c r="L410" s="122" t="str">
        <f>IF($A410="","",(IF(ISNUMBER(SEARCH("Proposal",$A410)),SUMIFS('Timesheet Raw'!$P$4:$P$8000,'Timesheet Raw'!$A$4:$A$8000,IF(ISNUMBER(SEARCH("Chargable",$A410)),"2-Proposals Chargeable","3-Proposals Regular"),'Timesheet Raw'!$C$4:$C$8000,"*"&amp;$B410&amp;"*",'Timesheet Raw'!$L$4:$L$8000,"&gt;="&amp;MAX(L$5,DATE(2000+VALUE(RIGHT(TRIM($A410),2)),1,1)),'Timesheet Raw'!$L$4:$L$8000,"&lt;="&amp;MIN(L$6,DATE(2000+VALUE(RIGHT(TRIM($A410),2)),12,31))),SUMIFS('Timesheet Raw'!$P$4:$P$8000,'Timesheet Raw'!$B$4:$B$8000,TRIM($A410),'Timesheet Raw'!$C$4:$C$8000,"*"&amp;$B410&amp;"*",'Timesheet Raw'!$L$4:$L$8000,"&gt;="&amp;L$5,'Timesheet Raw'!$L$4:$L$8000,"&lt;="&amp;L$6)))/'Profit Plan'!$B$5)</f>
        <v/>
      </c>
      <c r="M410" s="122" t="str">
        <f>IF($A410="","",(IF(ISNUMBER(SEARCH("Proposal",$A410)),SUMIFS('Timesheet Raw'!$P$4:$P$8000,'Timesheet Raw'!$A$4:$A$8000,IF(ISNUMBER(SEARCH("Chargable",$A410)),"2-Proposals Chargeable","3-Proposals Regular"),'Timesheet Raw'!$C$4:$C$8000,"*"&amp;$B410&amp;"*",'Timesheet Raw'!$L$4:$L$8000,"&gt;="&amp;MAX(M$5,DATE(2000+VALUE(RIGHT(TRIM($A410),2)),1,1)),'Timesheet Raw'!$L$4:$L$8000,"&lt;="&amp;MIN(M$6,DATE(2000+VALUE(RIGHT(TRIM($A410),2)),12,31))),SUMIFS('Timesheet Raw'!$P$4:$P$8000,'Timesheet Raw'!$B$4:$B$8000,TRIM($A410),'Timesheet Raw'!$C$4:$C$8000,"*"&amp;$B410&amp;"*",'Timesheet Raw'!$L$4:$L$8000,"&gt;="&amp;M$5,'Timesheet Raw'!$L$4:$L$8000,"&lt;="&amp;M$6)))/'Profit Plan'!$B$5)</f>
        <v/>
      </c>
      <c r="N410" s="122" t="str">
        <f>IF($A410="","",(IF(ISNUMBER(SEARCH("Proposal",$A410)),SUMIFS('Timesheet Raw'!$P$4:$P$8000,'Timesheet Raw'!$A$4:$A$8000,IF(ISNUMBER(SEARCH("Chargable",$A410)),"2-Proposals Chargeable","3-Proposals Regular"),'Timesheet Raw'!$C$4:$C$8000,"*"&amp;$B410&amp;"*",'Timesheet Raw'!$L$4:$L$8000,"&gt;="&amp;MAX(N$5,DATE(2000+VALUE(RIGHT(TRIM($A410),2)),1,1)),'Timesheet Raw'!$L$4:$L$8000,"&lt;="&amp;MIN(N$6,DATE(2000+VALUE(RIGHT(TRIM($A410),2)),12,31))),SUMIFS('Timesheet Raw'!$P$4:$P$8000,'Timesheet Raw'!$B$4:$B$8000,TRIM($A410),'Timesheet Raw'!$C$4:$C$8000,"*"&amp;$B410&amp;"*",'Timesheet Raw'!$L$4:$L$8000,"&gt;="&amp;N$5,'Timesheet Raw'!$L$4:$L$8000,"&lt;="&amp;N$6)))/'Profit Plan'!$B$5)</f>
        <v/>
      </c>
      <c r="O410" s="122" t="str">
        <f>IF($A410="","",(IF(ISNUMBER(SEARCH("Proposal",$A410)),SUMIFS('Timesheet Raw'!$P$4:$P$8000,'Timesheet Raw'!$A$4:$A$8000,IF(ISNUMBER(SEARCH("Chargable",$A410)),"2-Proposals Chargeable","3-Proposals Regular"),'Timesheet Raw'!$C$4:$C$8000,"*"&amp;$B410&amp;"*",'Timesheet Raw'!$L$4:$L$8000,"&gt;="&amp;MAX(O$5,DATE(2000+VALUE(RIGHT(TRIM($A410),2)),1,1)),'Timesheet Raw'!$L$4:$L$8000,"&lt;="&amp;MIN(O$6,DATE(2000+VALUE(RIGHT(TRIM($A410),2)),12,31))),SUMIFS('Timesheet Raw'!$P$4:$P$8000,'Timesheet Raw'!$B$4:$B$8000,TRIM($A410),'Timesheet Raw'!$C$4:$C$8000,"*"&amp;$B410&amp;"*",'Timesheet Raw'!$L$4:$L$8000,"&gt;="&amp;O$5,'Timesheet Raw'!$L$4:$L$8000,"&lt;="&amp;O$6)))/'Profit Plan'!$B$5)</f>
        <v/>
      </c>
      <c r="P410" s="122" t="str">
        <f>IF($A410="","",(IF(ISNUMBER(SEARCH("Proposal",$A410)),SUMIFS('Timesheet Raw'!$P$4:$P$8000,'Timesheet Raw'!$A$4:$A$8000,IF(ISNUMBER(SEARCH("Chargable",$A410)),"2-Proposals Chargeable","3-Proposals Regular"),'Timesheet Raw'!$C$4:$C$8000,"*"&amp;$B410&amp;"*",'Timesheet Raw'!$L$4:$L$8000,"&gt;="&amp;MAX(P$5,DATE(2000+VALUE(RIGHT(TRIM($A410),2)),1,1)),'Timesheet Raw'!$L$4:$L$8000,"&lt;="&amp;MIN(P$6,DATE(2000+VALUE(RIGHT(TRIM($A410),2)),12,31))),SUMIFS('Timesheet Raw'!$P$4:$P$8000,'Timesheet Raw'!$B$4:$B$8000,TRIM($A410),'Timesheet Raw'!$C$4:$C$8000,"*"&amp;$B410&amp;"*",'Timesheet Raw'!$L$4:$L$8000,"&gt;="&amp;P$5,'Timesheet Raw'!$L$4:$L$8000,"&lt;="&amp;P$6)))/'Profit Plan'!$B$5)</f>
        <v/>
      </c>
      <c r="Q410" s="122" t="str">
        <f>IF($A410="","",(IF(ISNUMBER(SEARCH("Proposal",$A410)),SUMIFS('Timesheet Raw'!$P$4:$P$8000,'Timesheet Raw'!$A$4:$A$8000,IF(ISNUMBER(SEARCH("Chargable",$A410)),"2-Proposals Chargeable","3-Proposals Regular"),'Timesheet Raw'!$C$4:$C$8000,"*"&amp;$B410&amp;"*",'Timesheet Raw'!$L$4:$L$8000,"&gt;="&amp;MAX(Q$5,DATE(2000+VALUE(RIGHT(TRIM($A410),2)),1,1)),'Timesheet Raw'!$L$4:$L$8000,"&lt;="&amp;MIN(Q$6,DATE(2000+VALUE(RIGHT(TRIM($A410),2)),12,31))),SUMIFS('Timesheet Raw'!$P$4:$P$8000,'Timesheet Raw'!$B$4:$B$8000,TRIM($A410),'Timesheet Raw'!$C$4:$C$8000,"*"&amp;$B410&amp;"*",'Timesheet Raw'!$L$4:$L$8000,"&gt;="&amp;Q$5,'Timesheet Raw'!$L$4:$L$8000,"&lt;="&amp;Q$6)))/'Profit Plan'!$B$5)</f>
        <v/>
      </c>
      <c r="R410" s="122" t="str">
        <f>IF($A410="","",(IF(ISNUMBER(SEARCH("Proposal",$A410)),SUMIFS('Timesheet Raw'!$P$4:$P$8000,'Timesheet Raw'!$A$4:$A$8000,IF(ISNUMBER(SEARCH("Chargable",$A410)),"2-Proposals Chargeable","3-Proposals Regular"),'Timesheet Raw'!$C$4:$C$8000,"*"&amp;$B410&amp;"*",'Timesheet Raw'!$L$4:$L$8000,"&gt;="&amp;MAX(R$5,DATE(2000+VALUE(RIGHT(TRIM($A410),2)),1,1)),'Timesheet Raw'!$L$4:$L$8000,"&lt;="&amp;MIN(R$6,DATE(2000+VALUE(RIGHT(TRIM($A410),2)),12,31))),SUMIFS('Timesheet Raw'!$P$4:$P$8000,'Timesheet Raw'!$B$4:$B$8000,TRIM($A410),'Timesheet Raw'!$C$4:$C$8000,"*"&amp;$B410&amp;"*",'Timesheet Raw'!$L$4:$L$8000,"&gt;="&amp;R$5,'Timesheet Raw'!$L$4:$L$8000,"&lt;="&amp;R$6)))/'Profit Plan'!$B$5)</f>
        <v/>
      </c>
      <c r="S410" s="122" t="str">
        <f>IF($A410="","",(IF(ISNUMBER(SEARCH("Proposal",$A410)),SUMIFS('Timesheet Raw'!$P$4:$P$8000,'Timesheet Raw'!$A$4:$A$8000,IF(ISNUMBER(SEARCH("Chargable",$A410)),"2-Proposals Chargeable","3-Proposals Regular"),'Timesheet Raw'!$C$4:$C$8000,"*"&amp;$B410&amp;"*",'Timesheet Raw'!$L$4:$L$8000,"&gt;="&amp;MAX(S$5,DATE(2000+VALUE(RIGHT(TRIM($A410),2)),1,1)),'Timesheet Raw'!$L$4:$L$8000,"&lt;="&amp;MIN(S$6,DATE(2000+VALUE(RIGHT(TRIM($A410),2)),12,31))),SUMIFS('Timesheet Raw'!$P$4:$P$8000,'Timesheet Raw'!$B$4:$B$8000,TRIM($A410),'Timesheet Raw'!$C$4:$C$8000,"*"&amp;$B410&amp;"*",'Timesheet Raw'!$L$4:$L$8000,"&gt;="&amp;S$5,'Timesheet Raw'!$L$4:$L$8000,"&lt;="&amp;S$6)))/'Profit Plan'!$B$5)</f>
        <v/>
      </c>
      <c r="T410" s="122" t="str">
        <f>IF($A410="","",(IF(ISNUMBER(SEARCH("Proposal",$A410)),SUMIFS('Timesheet Raw'!$P$4:$P$8000,'Timesheet Raw'!$A$4:$A$8000,IF(ISNUMBER(SEARCH("Chargable",$A410)),"2-Proposals Chargeable","3-Proposals Regular"),'Timesheet Raw'!$C$4:$C$8000,"*"&amp;$B410&amp;"*",'Timesheet Raw'!$L$4:$L$8000,"&gt;="&amp;MAX(T$5,DATE(2000+VALUE(RIGHT(TRIM($A410),2)),1,1)),'Timesheet Raw'!$L$4:$L$8000,"&lt;="&amp;MIN(T$6,DATE(2000+VALUE(RIGHT(TRIM($A410),2)),12,31))),SUMIFS('Timesheet Raw'!$P$4:$P$8000,'Timesheet Raw'!$B$4:$B$8000,TRIM($A410),'Timesheet Raw'!$C$4:$C$8000,"*"&amp;$B410&amp;"*",'Timesheet Raw'!$L$4:$L$8000,"&gt;="&amp;T$5,'Timesheet Raw'!$L$4:$L$8000,"&lt;="&amp;T$6)))/'Profit Plan'!$B$5)</f>
        <v/>
      </c>
      <c r="U410" s="122" t="str">
        <f>IF($A410="","",(IF(ISNUMBER(SEARCH("Proposal",$A410)),SUMIFS('Timesheet Raw'!$P$4:$P$8000,'Timesheet Raw'!$A$4:$A$8000,IF(ISNUMBER(SEARCH("Chargable",$A410)),"2-Proposals Chargeable","3-Proposals Regular"),'Timesheet Raw'!$C$4:$C$8000,"*"&amp;$B410&amp;"*",'Timesheet Raw'!$L$4:$L$8000,"&gt;="&amp;MAX(U$5,DATE(2000+VALUE(RIGHT(TRIM($A410),2)),1,1)),'Timesheet Raw'!$L$4:$L$8000,"&lt;="&amp;MIN(U$6,DATE(2000+VALUE(RIGHT(TRIM($A410),2)),12,31))),SUMIFS('Timesheet Raw'!$P$4:$P$8000,'Timesheet Raw'!$B$4:$B$8000,TRIM($A410),'Timesheet Raw'!$C$4:$C$8000,"*"&amp;$B410&amp;"*",'Timesheet Raw'!$L$4:$L$8000,"&gt;="&amp;U$5,'Timesheet Raw'!$L$4:$L$8000,"&lt;="&amp;U$6)))/'Profit Plan'!$B$5)</f>
        <v/>
      </c>
      <c r="V410" s="122" t="str">
        <f>IF($A410="","",(IF(ISNUMBER(SEARCH("Proposal",$A410)),SUMIFS('Timesheet Raw'!$P$4:$P$8000,'Timesheet Raw'!$A$4:$A$8000,IF(ISNUMBER(SEARCH("Chargable",$A410)),"2-Proposals Chargeable","3-Proposals Regular"),'Timesheet Raw'!$C$4:$C$8000,"*"&amp;$B410&amp;"*",'Timesheet Raw'!$L$4:$L$8000,"&gt;="&amp;MAX(V$5,DATE(2000+VALUE(RIGHT(TRIM($A410),2)),1,1)),'Timesheet Raw'!$L$4:$L$8000,"&lt;="&amp;MIN(V$6,DATE(2000+VALUE(RIGHT(TRIM($A410),2)),12,31))),SUMIFS('Timesheet Raw'!$P$4:$P$8000,'Timesheet Raw'!$B$4:$B$8000,TRIM($A410),'Timesheet Raw'!$C$4:$C$8000,"*"&amp;$B410&amp;"*",'Timesheet Raw'!$L$4:$L$8000,"&gt;="&amp;V$5,'Timesheet Raw'!$L$4:$L$8000,"&lt;="&amp;V$6)))/'Profit Plan'!$B$5)</f>
        <v/>
      </c>
      <c r="W410" s="122" t="str">
        <f>IF($A410="","",(IF(ISNUMBER(SEARCH("Proposal",$A410)),SUMIFS('Timesheet Raw'!$P$4:$P$8000,'Timesheet Raw'!$A$4:$A$8000,IF(ISNUMBER(SEARCH("Chargable",$A410)),"2-Proposals Chargeable","3-Proposals Regular"),'Timesheet Raw'!$C$4:$C$8000,"*"&amp;$B410&amp;"*",'Timesheet Raw'!$L$4:$L$8000,"&gt;="&amp;MAX(W$5,DATE(2000+VALUE(RIGHT(TRIM($A410),2)),1,1)),'Timesheet Raw'!$L$4:$L$8000,"&lt;="&amp;MIN(W$6,DATE(2000+VALUE(RIGHT(TRIM($A410),2)),12,31))),SUMIFS('Timesheet Raw'!$P$4:$P$8000,'Timesheet Raw'!$B$4:$B$8000,TRIM($A410),'Timesheet Raw'!$C$4:$C$8000,"*"&amp;$B410&amp;"*",'Timesheet Raw'!$L$4:$L$8000,"&gt;="&amp;W$5,'Timesheet Raw'!$L$4:$L$8000,"&lt;="&amp;W$6)))/'Profit Plan'!$B$5)</f>
        <v/>
      </c>
      <c r="X410" s="122" t="str">
        <f>IF($A410="","",(IF(ISNUMBER(SEARCH("Proposal",$A410)),SUMIFS('Timesheet Raw'!$P$4:$P$8000,'Timesheet Raw'!$A$4:$A$8000,IF(ISNUMBER(SEARCH("Chargable",$A410)),"2-Proposals Chargeable","3-Proposals Regular"),'Timesheet Raw'!$C$4:$C$8000,"*"&amp;$B410&amp;"*",'Timesheet Raw'!$L$4:$L$8000,"&gt;="&amp;MAX(X$5,DATE(2000+VALUE(RIGHT(TRIM($A410),2)),1,1)),'Timesheet Raw'!$L$4:$L$8000,"&lt;="&amp;MIN(X$6,DATE(2000+VALUE(RIGHT(TRIM($A410),2)),12,31))),SUMIFS('Timesheet Raw'!$P$4:$P$8000,'Timesheet Raw'!$B$4:$B$8000,TRIM($A410),'Timesheet Raw'!$C$4:$C$8000,"*"&amp;$B410&amp;"*",'Timesheet Raw'!$L$4:$L$8000,"&gt;="&amp;X$5,'Timesheet Raw'!$L$4:$L$8000,"&lt;="&amp;X$6)))/'Profit Plan'!$B$5)</f>
        <v/>
      </c>
      <c r="Y410" s="118">
        <f t="shared" si="102"/>
        <v>0</v>
      </c>
    </row>
    <row r="411" spans="1:25" x14ac:dyDescent="0.3">
      <c r="A411" s="116" t="str">
        <f>IF(Inputs!$A54="","",Inputs!$A54)</f>
        <v/>
      </c>
      <c r="B411" s="116" t="str">
        <f>IF(Inputs!$A54="","",Inputs!$A$93)</f>
        <v/>
      </c>
      <c r="C411" s="116"/>
      <c r="D411" s="122" t="str">
        <f>IF($A411="","",(IF(ISNUMBER(SEARCH("Proposal",$A411)),SUMIFS('Timesheet Raw'!$P$4:$P$8000,'Timesheet Raw'!$A$4:$A$8000,IF(ISNUMBER(SEARCH("Chargable",$A411)),"2-Proposals Chargeable","3-Proposals Regular"),'Timesheet Raw'!$C$4:$C$8000,"*"&amp;$B411&amp;"*",'Timesheet Raw'!$L$4:$L$8000,"&gt;="&amp;MAX(D$5,DATE(2000+VALUE(RIGHT(TRIM($A411),2)),1,1)),'Timesheet Raw'!$L$4:$L$8000,"&lt;="&amp;MIN(D$6,DATE(2000+VALUE(RIGHT(TRIM($A411),2)),12,31))),SUMIFS('Timesheet Raw'!$P$4:$P$8000,'Timesheet Raw'!$B$4:$B$8000,TRIM($A411),'Timesheet Raw'!$C$4:$C$8000,"*"&amp;$B411&amp;"*",'Timesheet Raw'!$L$4:$L$8000,"&gt;="&amp;D$5,'Timesheet Raw'!$L$4:$L$8000,"&lt;="&amp;D$6)))/'Profit Plan'!$B$5)</f>
        <v/>
      </c>
      <c r="E411" s="122" t="str">
        <f>IF($A411="","",(IF(ISNUMBER(SEARCH("Proposal",$A411)),SUMIFS('Timesheet Raw'!$P$4:$P$8000,'Timesheet Raw'!$A$4:$A$8000,IF(ISNUMBER(SEARCH("Chargable",$A411)),"2-Proposals Chargeable","3-Proposals Regular"),'Timesheet Raw'!$C$4:$C$8000,"*"&amp;$B411&amp;"*",'Timesheet Raw'!$L$4:$L$8000,"&gt;="&amp;MAX(E$5,DATE(2000+VALUE(RIGHT(TRIM($A411),2)),1,1)),'Timesheet Raw'!$L$4:$L$8000,"&lt;="&amp;MIN(E$6,DATE(2000+VALUE(RIGHT(TRIM($A411),2)),12,31))),SUMIFS('Timesheet Raw'!$P$4:$P$8000,'Timesheet Raw'!$B$4:$B$8000,TRIM($A411),'Timesheet Raw'!$C$4:$C$8000,"*"&amp;$B411&amp;"*",'Timesheet Raw'!$L$4:$L$8000,"&gt;="&amp;E$5,'Timesheet Raw'!$L$4:$L$8000,"&lt;="&amp;E$6)))/'Profit Plan'!$B$5)</f>
        <v/>
      </c>
      <c r="F411" s="122" t="str">
        <f>IF($A411="","",(IF(ISNUMBER(SEARCH("Proposal",$A411)),SUMIFS('Timesheet Raw'!$P$4:$P$8000,'Timesheet Raw'!$A$4:$A$8000,IF(ISNUMBER(SEARCH("Chargable",$A411)),"2-Proposals Chargeable","3-Proposals Regular"),'Timesheet Raw'!$C$4:$C$8000,"*"&amp;$B411&amp;"*",'Timesheet Raw'!$L$4:$L$8000,"&gt;="&amp;MAX(F$5,DATE(2000+VALUE(RIGHT(TRIM($A411),2)),1,1)),'Timesheet Raw'!$L$4:$L$8000,"&lt;="&amp;MIN(F$6,DATE(2000+VALUE(RIGHT(TRIM($A411),2)),12,31))),SUMIFS('Timesheet Raw'!$P$4:$P$8000,'Timesheet Raw'!$B$4:$B$8000,TRIM($A411),'Timesheet Raw'!$C$4:$C$8000,"*"&amp;$B411&amp;"*",'Timesheet Raw'!$L$4:$L$8000,"&gt;="&amp;F$5,'Timesheet Raw'!$L$4:$L$8000,"&lt;="&amp;F$6)))/'Profit Plan'!$B$5)</f>
        <v/>
      </c>
      <c r="G411" s="122" t="str">
        <f>IF($A411="","",(IF(ISNUMBER(SEARCH("Proposal",$A411)),SUMIFS('Timesheet Raw'!$P$4:$P$8000,'Timesheet Raw'!$A$4:$A$8000,IF(ISNUMBER(SEARCH("Chargable",$A411)),"2-Proposals Chargeable","3-Proposals Regular"),'Timesheet Raw'!$C$4:$C$8000,"*"&amp;$B411&amp;"*",'Timesheet Raw'!$L$4:$L$8000,"&gt;="&amp;MAX(G$5,DATE(2000+VALUE(RIGHT(TRIM($A411),2)),1,1)),'Timesheet Raw'!$L$4:$L$8000,"&lt;="&amp;MIN(G$6,DATE(2000+VALUE(RIGHT(TRIM($A411),2)),12,31))),SUMIFS('Timesheet Raw'!$P$4:$P$8000,'Timesheet Raw'!$B$4:$B$8000,TRIM($A411),'Timesheet Raw'!$C$4:$C$8000,"*"&amp;$B411&amp;"*",'Timesheet Raw'!$L$4:$L$8000,"&gt;="&amp;G$5,'Timesheet Raw'!$L$4:$L$8000,"&lt;="&amp;G$6)))/'Profit Plan'!$B$5)</f>
        <v/>
      </c>
      <c r="H411" s="122" t="str">
        <f>IF($A411="","",(IF(ISNUMBER(SEARCH("Proposal",$A411)),SUMIFS('Timesheet Raw'!$P$4:$P$8000,'Timesheet Raw'!$A$4:$A$8000,IF(ISNUMBER(SEARCH("Chargable",$A411)),"2-Proposals Chargeable","3-Proposals Regular"),'Timesheet Raw'!$C$4:$C$8000,"*"&amp;$B411&amp;"*",'Timesheet Raw'!$L$4:$L$8000,"&gt;="&amp;MAX(H$5,DATE(2000+VALUE(RIGHT(TRIM($A411),2)),1,1)),'Timesheet Raw'!$L$4:$L$8000,"&lt;="&amp;MIN(H$6,DATE(2000+VALUE(RIGHT(TRIM($A411),2)),12,31))),SUMIFS('Timesheet Raw'!$P$4:$P$8000,'Timesheet Raw'!$B$4:$B$8000,TRIM($A411),'Timesheet Raw'!$C$4:$C$8000,"*"&amp;$B411&amp;"*",'Timesheet Raw'!$L$4:$L$8000,"&gt;="&amp;H$5,'Timesheet Raw'!$L$4:$L$8000,"&lt;="&amp;H$6)))/'Profit Plan'!$B$5)</f>
        <v/>
      </c>
      <c r="I411" s="122" t="str">
        <f>IF($A411="","",(IF(ISNUMBER(SEARCH("Proposal",$A411)),SUMIFS('Timesheet Raw'!$P$4:$P$8000,'Timesheet Raw'!$A$4:$A$8000,IF(ISNUMBER(SEARCH("Chargable",$A411)),"2-Proposals Chargeable","3-Proposals Regular"),'Timesheet Raw'!$C$4:$C$8000,"*"&amp;$B411&amp;"*",'Timesheet Raw'!$L$4:$L$8000,"&gt;="&amp;MAX(I$5,DATE(2000+VALUE(RIGHT(TRIM($A411),2)),1,1)),'Timesheet Raw'!$L$4:$L$8000,"&lt;="&amp;MIN(I$6,DATE(2000+VALUE(RIGHT(TRIM($A411),2)),12,31))),SUMIFS('Timesheet Raw'!$P$4:$P$8000,'Timesheet Raw'!$B$4:$B$8000,TRIM($A411),'Timesheet Raw'!$C$4:$C$8000,"*"&amp;$B411&amp;"*",'Timesheet Raw'!$L$4:$L$8000,"&gt;="&amp;I$5,'Timesheet Raw'!$L$4:$L$8000,"&lt;="&amp;I$6)))/'Profit Plan'!$B$5)</f>
        <v/>
      </c>
      <c r="J411" s="122" t="str">
        <f>IF($A411="","",(IF(ISNUMBER(SEARCH("Proposal",$A411)),SUMIFS('Timesheet Raw'!$P$4:$P$8000,'Timesheet Raw'!$A$4:$A$8000,IF(ISNUMBER(SEARCH("Chargable",$A411)),"2-Proposals Chargeable","3-Proposals Regular"),'Timesheet Raw'!$C$4:$C$8000,"*"&amp;$B411&amp;"*",'Timesheet Raw'!$L$4:$L$8000,"&gt;="&amp;MAX(J$5,DATE(2000+VALUE(RIGHT(TRIM($A411),2)),1,1)),'Timesheet Raw'!$L$4:$L$8000,"&lt;="&amp;MIN(J$6,DATE(2000+VALUE(RIGHT(TRIM($A411),2)),12,31))),SUMIFS('Timesheet Raw'!$P$4:$P$8000,'Timesheet Raw'!$B$4:$B$8000,TRIM($A411),'Timesheet Raw'!$C$4:$C$8000,"*"&amp;$B411&amp;"*",'Timesheet Raw'!$L$4:$L$8000,"&gt;="&amp;J$5,'Timesheet Raw'!$L$4:$L$8000,"&lt;="&amp;J$6)))/'Profit Plan'!$B$5)</f>
        <v/>
      </c>
      <c r="K411" s="122" t="str">
        <f>IF($A411="","",(IF(ISNUMBER(SEARCH("Proposal",$A411)),SUMIFS('Timesheet Raw'!$P$4:$P$8000,'Timesheet Raw'!$A$4:$A$8000,IF(ISNUMBER(SEARCH("Chargable",$A411)),"2-Proposals Chargeable","3-Proposals Regular"),'Timesheet Raw'!$C$4:$C$8000,"*"&amp;$B411&amp;"*",'Timesheet Raw'!$L$4:$L$8000,"&gt;="&amp;MAX(K$5,DATE(2000+VALUE(RIGHT(TRIM($A411),2)),1,1)),'Timesheet Raw'!$L$4:$L$8000,"&lt;="&amp;MIN(K$6,DATE(2000+VALUE(RIGHT(TRIM($A411),2)),12,31))),SUMIFS('Timesheet Raw'!$P$4:$P$8000,'Timesheet Raw'!$B$4:$B$8000,TRIM($A411),'Timesheet Raw'!$C$4:$C$8000,"*"&amp;$B411&amp;"*",'Timesheet Raw'!$L$4:$L$8000,"&gt;="&amp;K$5,'Timesheet Raw'!$L$4:$L$8000,"&lt;="&amp;K$6)))/'Profit Plan'!$B$5)</f>
        <v/>
      </c>
      <c r="L411" s="122" t="str">
        <f>IF($A411="","",(IF(ISNUMBER(SEARCH("Proposal",$A411)),SUMIFS('Timesheet Raw'!$P$4:$P$8000,'Timesheet Raw'!$A$4:$A$8000,IF(ISNUMBER(SEARCH("Chargable",$A411)),"2-Proposals Chargeable","3-Proposals Regular"),'Timesheet Raw'!$C$4:$C$8000,"*"&amp;$B411&amp;"*",'Timesheet Raw'!$L$4:$L$8000,"&gt;="&amp;MAX(L$5,DATE(2000+VALUE(RIGHT(TRIM($A411),2)),1,1)),'Timesheet Raw'!$L$4:$L$8000,"&lt;="&amp;MIN(L$6,DATE(2000+VALUE(RIGHT(TRIM($A411),2)),12,31))),SUMIFS('Timesheet Raw'!$P$4:$P$8000,'Timesheet Raw'!$B$4:$B$8000,TRIM($A411),'Timesheet Raw'!$C$4:$C$8000,"*"&amp;$B411&amp;"*",'Timesheet Raw'!$L$4:$L$8000,"&gt;="&amp;L$5,'Timesheet Raw'!$L$4:$L$8000,"&lt;="&amp;L$6)))/'Profit Plan'!$B$5)</f>
        <v/>
      </c>
      <c r="M411" s="122" t="str">
        <f>IF($A411="","",(IF(ISNUMBER(SEARCH("Proposal",$A411)),SUMIFS('Timesheet Raw'!$P$4:$P$8000,'Timesheet Raw'!$A$4:$A$8000,IF(ISNUMBER(SEARCH("Chargable",$A411)),"2-Proposals Chargeable","3-Proposals Regular"),'Timesheet Raw'!$C$4:$C$8000,"*"&amp;$B411&amp;"*",'Timesheet Raw'!$L$4:$L$8000,"&gt;="&amp;MAX(M$5,DATE(2000+VALUE(RIGHT(TRIM($A411),2)),1,1)),'Timesheet Raw'!$L$4:$L$8000,"&lt;="&amp;MIN(M$6,DATE(2000+VALUE(RIGHT(TRIM($A411),2)),12,31))),SUMIFS('Timesheet Raw'!$P$4:$P$8000,'Timesheet Raw'!$B$4:$B$8000,TRIM($A411),'Timesheet Raw'!$C$4:$C$8000,"*"&amp;$B411&amp;"*",'Timesheet Raw'!$L$4:$L$8000,"&gt;="&amp;M$5,'Timesheet Raw'!$L$4:$L$8000,"&lt;="&amp;M$6)))/'Profit Plan'!$B$5)</f>
        <v/>
      </c>
      <c r="N411" s="122" t="str">
        <f>IF($A411="","",(IF(ISNUMBER(SEARCH("Proposal",$A411)),SUMIFS('Timesheet Raw'!$P$4:$P$8000,'Timesheet Raw'!$A$4:$A$8000,IF(ISNUMBER(SEARCH("Chargable",$A411)),"2-Proposals Chargeable","3-Proposals Regular"),'Timesheet Raw'!$C$4:$C$8000,"*"&amp;$B411&amp;"*",'Timesheet Raw'!$L$4:$L$8000,"&gt;="&amp;MAX(N$5,DATE(2000+VALUE(RIGHT(TRIM($A411),2)),1,1)),'Timesheet Raw'!$L$4:$L$8000,"&lt;="&amp;MIN(N$6,DATE(2000+VALUE(RIGHT(TRIM($A411),2)),12,31))),SUMIFS('Timesheet Raw'!$P$4:$P$8000,'Timesheet Raw'!$B$4:$B$8000,TRIM($A411),'Timesheet Raw'!$C$4:$C$8000,"*"&amp;$B411&amp;"*",'Timesheet Raw'!$L$4:$L$8000,"&gt;="&amp;N$5,'Timesheet Raw'!$L$4:$L$8000,"&lt;="&amp;N$6)))/'Profit Plan'!$B$5)</f>
        <v/>
      </c>
      <c r="O411" s="122" t="str">
        <f>IF($A411="","",(IF(ISNUMBER(SEARCH("Proposal",$A411)),SUMIFS('Timesheet Raw'!$P$4:$P$8000,'Timesheet Raw'!$A$4:$A$8000,IF(ISNUMBER(SEARCH("Chargable",$A411)),"2-Proposals Chargeable","3-Proposals Regular"),'Timesheet Raw'!$C$4:$C$8000,"*"&amp;$B411&amp;"*",'Timesheet Raw'!$L$4:$L$8000,"&gt;="&amp;MAX(O$5,DATE(2000+VALUE(RIGHT(TRIM($A411),2)),1,1)),'Timesheet Raw'!$L$4:$L$8000,"&lt;="&amp;MIN(O$6,DATE(2000+VALUE(RIGHT(TRIM($A411),2)),12,31))),SUMIFS('Timesheet Raw'!$P$4:$P$8000,'Timesheet Raw'!$B$4:$B$8000,TRIM($A411),'Timesheet Raw'!$C$4:$C$8000,"*"&amp;$B411&amp;"*",'Timesheet Raw'!$L$4:$L$8000,"&gt;="&amp;O$5,'Timesheet Raw'!$L$4:$L$8000,"&lt;="&amp;O$6)))/'Profit Plan'!$B$5)</f>
        <v/>
      </c>
      <c r="P411" s="122" t="str">
        <f>IF($A411="","",(IF(ISNUMBER(SEARCH("Proposal",$A411)),SUMIFS('Timesheet Raw'!$P$4:$P$8000,'Timesheet Raw'!$A$4:$A$8000,IF(ISNUMBER(SEARCH("Chargable",$A411)),"2-Proposals Chargeable","3-Proposals Regular"),'Timesheet Raw'!$C$4:$C$8000,"*"&amp;$B411&amp;"*",'Timesheet Raw'!$L$4:$L$8000,"&gt;="&amp;MAX(P$5,DATE(2000+VALUE(RIGHT(TRIM($A411),2)),1,1)),'Timesheet Raw'!$L$4:$L$8000,"&lt;="&amp;MIN(P$6,DATE(2000+VALUE(RIGHT(TRIM($A411),2)),12,31))),SUMIFS('Timesheet Raw'!$P$4:$P$8000,'Timesheet Raw'!$B$4:$B$8000,TRIM($A411),'Timesheet Raw'!$C$4:$C$8000,"*"&amp;$B411&amp;"*",'Timesheet Raw'!$L$4:$L$8000,"&gt;="&amp;P$5,'Timesheet Raw'!$L$4:$L$8000,"&lt;="&amp;P$6)))/'Profit Plan'!$B$5)</f>
        <v/>
      </c>
      <c r="Q411" s="122" t="str">
        <f>IF($A411="","",(IF(ISNUMBER(SEARCH("Proposal",$A411)),SUMIFS('Timesheet Raw'!$P$4:$P$8000,'Timesheet Raw'!$A$4:$A$8000,IF(ISNUMBER(SEARCH("Chargable",$A411)),"2-Proposals Chargeable","3-Proposals Regular"),'Timesheet Raw'!$C$4:$C$8000,"*"&amp;$B411&amp;"*",'Timesheet Raw'!$L$4:$L$8000,"&gt;="&amp;MAX(Q$5,DATE(2000+VALUE(RIGHT(TRIM($A411),2)),1,1)),'Timesheet Raw'!$L$4:$L$8000,"&lt;="&amp;MIN(Q$6,DATE(2000+VALUE(RIGHT(TRIM($A411),2)),12,31))),SUMIFS('Timesheet Raw'!$P$4:$P$8000,'Timesheet Raw'!$B$4:$B$8000,TRIM($A411),'Timesheet Raw'!$C$4:$C$8000,"*"&amp;$B411&amp;"*",'Timesheet Raw'!$L$4:$L$8000,"&gt;="&amp;Q$5,'Timesheet Raw'!$L$4:$L$8000,"&lt;="&amp;Q$6)))/'Profit Plan'!$B$5)</f>
        <v/>
      </c>
      <c r="R411" s="122" t="str">
        <f>IF($A411="","",(IF(ISNUMBER(SEARCH("Proposal",$A411)),SUMIFS('Timesheet Raw'!$P$4:$P$8000,'Timesheet Raw'!$A$4:$A$8000,IF(ISNUMBER(SEARCH("Chargable",$A411)),"2-Proposals Chargeable","3-Proposals Regular"),'Timesheet Raw'!$C$4:$C$8000,"*"&amp;$B411&amp;"*",'Timesheet Raw'!$L$4:$L$8000,"&gt;="&amp;MAX(R$5,DATE(2000+VALUE(RIGHT(TRIM($A411),2)),1,1)),'Timesheet Raw'!$L$4:$L$8000,"&lt;="&amp;MIN(R$6,DATE(2000+VALUE(RIGHT(TRIM($A411),2)),12,31))),SUMIFS('Timesheet Raw'!$P$4:$P$8000,'Timesheet Raw'!$B$4:$B$8000,TRIM($A411),'Timesheet Raw'!$C$4:$C$8000,"*"&amp;$B411&amp;"*",'Timesheet Raw'!$L$4:$L$8000,"&gt;="&amp;R$5,'Timesheet Raw'!$L$4:$L$8000,"&lt;="&amp;R$6)))/'Profit Plan'!$B$5)</f>
        <v/>
      </c>
      <c r="S411" s="122" t="str">
        <f>IF($A411="","",(IF(ISNUMBER(SEARCH("Proposal",$A411)),SUMIFS('Timesheet Raw'!$P$4:$P$8000,'Timesheet Raw'!$A$4:$A$8000,IF(ISNUMBER(SEARCH("Chargable",$A411)),"2-Proposals Chargeable","3-Proposals Regular"),'Timesheet Raw'!$C$4:$C$8000,"*"&amp;$B411&amp;"*",'Timesheet Raw'!$L$4:$L$8000,"&gt;="&amp;MAX(S$5,DATE(2000+VALUE(RIGHT(TRIM($A411),2)),1,1)),'Timesheet Raw'!$L$4:$L$8000,"&lt;="&amp;MIN(S$6,DATE(2000+VALUE(RIGHT(TRIM($A411),2)),12,31))),SUMIFS('Timesheet Raw'!$P$4:$P$8000,'Timesheet Raw'!$B$4:$B$8000,TRIM($A411),'Timesheet Raw'!$C$4:$C$8000,"*"&amp;$B411&amp;"*",'Timesheet Raw'!$L$4:$L$8000,"&gt;="&amp;S$5,'Timesheet Raw'!$L$4:$L$8000,"&lt;="&amp;S$6)))/'Profit Plan'!$B$5)</f>
        <v/>
      </c>
      <c r="T411" s="122" t="str">
        <f>IF($A411="","",(IF(ISNUMBER(SEARCH("Proposal",$A411)),SUMIFS('Timesheet Raw'!$P$4:$P$8000,'Timesheet Raw'!$A$4:$A$8000,IF(ISNUMBER(SEARCH("Chargable",$A411)),"2-Proposals Chargeable","3-Proposals Regular"),'Timesheet Raw'!$C$4:$C$8000,"*"&amp;$B411&amp;"*",'Timesheet Raw'!$L$4:$L$8000,"&gt;="&amp;MAX(T$5,DATE(2000+VALUE(RIGHT(TRIM($A411),2)),1,1)),'Timesheet Raw'!$L$4:$L$8000,"&lt;="&amp;MIN(T$6,DATE(2000+VALUE(RIGHT(TRIM($A411),2)),12,31))),SUMIFS('Timesheet Raw'!$P$4:$P$8000,'Timesheet Raw'!$B$4:$B$8000,TRIM($A411),'Timesheet Raw'!$C$4:$C$8000,"*"&amp;$B411&amp;"*",'Timesheet Raw'!$L$4:$L$8000,"&gt;="&amp;T$5,'Timesheet Raw'!$L$4:$L$8000,"&lt;="&amp;T$6)))/'Profit Plan'!$B$5)</f>
        <v/>
      </c>
      <c r="U411" s="122" t="str">
        <f>IF($A411="","",(IF(ISNUMBER(SEARCH("Proposal",$A411)),SUMIFS('Timesheet Raw'!$P$4:$P$8000,'Timesheet Raw'!$A$4:$A$8000,IF(ISNUMBER(SEARCH("Chargable",$A411)),"2-Proposals Chargeable","3-Proposals Regular"),'Timesheet Raw'!$C$4:$C$8000,"*"&amp;$B411&amp;"*",'Timesheet Raw'!$L$4:$L$8000,"&gt;="&amp;MAX(U$5,DATE(2000+VALUE(RIGHT(TRIM($A411),2)),1,1)),'Timesheet Raw'!$L$4:$L$8000,"&lt;="&amp;MIN(U$6,DATE(2000+VALUE(RIGHT(TRIM($A411),2)),12,31))),SUMIFS('Timesheet Raw'!$P$4:$P$8000,'Timesheet Raw'!$B$4:$B$8000,TRIM($A411),'Timesheet Raw'!$C$4:$C$8000,"*"&amp;$B411&amp;"*",'Timesheet Raw'!$L$4:$L$8000,"&gt;="&amp;U$5,'Timesheet Raw'!$L$4:$L$8000,"&lt;="&amp;U$6)))/'Profit Plan'!$B$5)</f>
        <v/>
      </c>
      <c r="V411" s="122" t="str">
        <f>IF($A411="","",(IF(ISNUMBER(SEARCH("Proposal",$A411)),SUMIFS('Timesheet Raw'!$P$4:$P$8000,'Timesheet Raw'!$A$4:$A$8000,IF(ISNUMBER(SEARCH("Chargable",$A411)),"2-Proposals Chargeable","3-Proposals Regular"),'Timesheet Raw'!$C$4:$C$8000,"*"&amp;$B411&amp;"*",'Timesheet Raw'!$L$4:$L$8000,"&gt;="&amp;MAX(V$5,DATE(2000+VALUE(RIGHT(TRIM($A411),2)),1,1)),'Timesheet Raw'!$L$4:$L$8000,"&lt;="&amp;MIN(V$6,DATE(2000+VALUE(RIGHT(TRIM($A411),2)),12,31))),SUMIFS('Timesheet Raw'!$P$4:$P$8000,'Timesheet Raw'!$B$4:$B$8000,TRIM($A411),'Timesheet Raw'!$C$4:$C$8000,"*"&amp;$B411&amp;"*",'Timesheet Raw'!$L$4:$L$8000,"&gt;="&amp;V$5,'Timesheet Raw'!$L$4:$L$8000,"&lt;="&amp;V$6)))/'Profit Plan'!$B$5)</f>
        <v/>
      </c>
      <c r="W411" s="122" t="str">
        <f>IF($A411="","",(IF(ISNUMBER(SEARCH("Proposal",$A411)),SUMIFS('Timesheet Raw'!$P$4:$P$8000,'Timesheet Raw'!$A$4:$A$8000,IF(ISNUMBER(SEARCH("Chargable",$A411)),"2-Proposals Chargeable","3-Proposals Regular"),'Timesheet Raw'!$C$4:$C$8000,"*"&amp;$B411&amp;"*",'Timesheet Raw'!$L$4:$L$8000,"&gt;="&amp;MAX(W$5,DATE(2000+VALUE(RIGHT(TRIM($A411),2)),1,1)),'Timesheet Raw'!$L$4:$L$8000,"&lt;="&amp;MIN(W$6,DATE(2000+VALUE(RIGHT(TRIM($A411),2)),12,31))),SUMIFS('Timesheet Raw'!$P$4:$P$8000,'Timesheet Raw'!$B$4:$B$8000,TRIM($A411),'Timesheet Raw'!$C$4:$C$8000,"*"&amp;$B411&amp;"*",'Timesheet Raw'!$L$4:$L$8000,"&gt;="&amp;W$5,'Timesheet Raw'!$L$4:$L$8000,"&lt;="&amp;W$6)))/'Profit Plan'!$B$5)</f>
        <v/>
      </c>
      <c r="X411" s="122" t="str">
        <f>IF($A411="","",(IF(ISNUMBER(SEARCH("Proposal",$A411)),SUMIFS('Timesheet Raw'!$P$4:$P$8000,'Timesheet Raw'!$A$4:$A$8000,IF(ISNUMBER(SEARCH("Chargable",$A411)),"2-Proposals Chargeable","3-Proposals Regular"),'Timesheet Raw'!$C$4:$C$8000,"*"&amp;$B411&amp;"*",'Timesheet Raw'!$L$4:$L$8000,"&gt;="&amp;MAX(X$5,DATE(2000+VALUE(RIGHT(TRIM($A411),2)),1,1)),'Timesheet Raw'!$L$4:$L$8000,"&lt;="&amp;MIN(X$6,DATE(2000+VALUE(RIGHT(TRIM($A411),2)),12,31))),SUMIFS('Timesheet Raw'!$P$4:$P$8000,'Timesheet Raw'!$B$4:$B$8000,TRIM($A411),'Timesheet Raw'!$C$4:$C$8000,"*"&amp;$B411&amp;"*",'Timesheet Raw'!$L$4:$L$8000,"&gt;="&amp;X$5,'Timesheet Raw'!$L$4:$L$8000,"&lt;="&amp;X$6)))/'Profit Plan'!$B$5)</f>
        <v/>
      </c>
      <c r="Y411" s="118">
        <f t="shared" si="102"/>
        <v>0</v>
      </c>
    </row>
    <row r="412" spans="1:25" x14ac:dyDescent="0.3">
      <c r="A412" s="116" t="str">
        <f>IF(Inputs!$A55="","",Inputs!$A55)</f>
        <v/>
      </c>
      <c r="B412" s="116" t="str">
        <f>IF(Inputs!$A55="","",Inputs!$A$91)</f>
        <v/>
      </c>
      <c r="C412" s="116"/>
      <c r="D412" s="122" t="str">
        <f>IF($A412="","",(IF(ISNUMBER(SEARCH("Proposal",$A412)),SUMIFS('Timesheet Raw'!$P$4:$P$8000,'Timesheet Raw'!$A$4:$A$8000,IF(ISNUMBER(SEARCH("Chargable",$A412)),"2-Proposals Chargeable","3-Proposals Regular"),'Timesheet Raw'!$C$4:$C$8000,"*"&amp;$B412&amp;"*",'Timesheet Raw'!$L$4:$L$8000,"&gt;="&amp;MAX(D$5,DATE(2000+VALUE(RIGHT(TRIM($A412),2)),1,1)),'Timesheet Raw'!$L$4:$L$8000,"&lt;="&amp;MIN(D$6,DATE(2000+VALUE(RIGHT(TRIM($A412),2)),12,31))),SUMIFS('Timesheet Raw'!$P$4:$P$8000,'Timesheet Raw'!$B$4:$B$8000,TRIM($A412),'Timesheet Raw'!$C$4:$C$8000,"*"&amp;$B412&amp;"*",'Timesheet Raw'!$L$4:$L$8000,"&gt;="&amp;D$5,'Timesheet Raw'!$L$4:$L$8000,"&lt;="&amp;D$6)))/'Profit Plan'!$B$5)</f>
        <v/>
      </c>
      <c r="E412" s="122" t="str">
        <f>IF($A412="","",(IF(ISNUMBER(SEARCH("Proposal",$A412)),SUMIFS('Timesheet Raw'!$P$4:$P$8000,'Timesheet Raw'!$A$4:$A$8000,IF(ISNUMBER(SEARCH("Chargable",$A412)),"2-Proposals Chargeable","3-Proposals Regular"),'Timesheet Raw'!$C$4:$C$8000,"*"&amp;$B412&amp;"*",'Timesheet Raw'!$L$4:$L$8000,"&gt;="&amp;MAX(E$5,DATE(2000+VALUE(RIGHT(TRIM($A412),2)),1,1)),'Timesheet Raw'!$L$4:$L$8000,"&lt;="&amp;MIN(E$6,DATE(2000+VALUE(RIGHT(TRIM($A412),2)),12,31))),SUMIFS('Timesheet Raw'!$P$4:$P$8000,'Timesheet Raw'!$B$4:$B$8000,TRIM($A412),'Timesheet Raw'!$C$4:$C$8000,"*"&amp;$B412&amp;"*",'Timesheet Raw'!$L$4:$L$8000,"&gt;="&amp;E$5,'Timesheet Raw'!$L$4:$L$8000,"&lt;="&amp;E$6)))/'Profit Plan'!$B$5)</f>
        <v/>
      </c>
      <c r="F412" s="122" t="str">
        <f>IF($A412="","",(IF(ISNUMBER(SEARCH("Proposal",$A412)),SUMIFS('Timesheet Raw'!$P$4:$P$8000,'Timesheet Raw'!$A$4:$A$8000,IF(ISNUMBER(SEARCH("Chargable",$A412)),"2-Proposals Chargeable","3-Proposals Regular"),'Timesheet Raw'!$C$4:$C$8000,"*"&amp;$B412&amp;"*",'Timesheet Raw'!$L$4:$L$8000,"&gt;="&amp;MAX(F$5,DATE(2000+VALUE(RIGHT(TRIM($A412),2)),1,1)),'Timesheet Raw'!$L$4:$L$8000,"&lt;="&amp;MIN(F$6,DATE(2000+VALUE(RIGHT(TRIM($A412),2)),12,31))),SUMIFS('Timesheet Raw'!$P$4:$P$8000,'Timesheet Raw'!$B$4:$B$8000,TRIM($A412),'Timesheet Raw'!$C$4:$C$8000,"*"&amp;$B412&amp;"*",'Timesheet Raw'!$L$4:$L$8000,"&gt;="&amp;F$5,'Timesheet Raw'!$L$4:$L$8000,"&lt;="&amp;F$6)))/'Profit Plan'!$B$5)</f>
        <v/>
      </c>
      <c r="G412" s="122" t="str">
        <f>IF($A412="","",(IF(ISNUMBER(SEARCH("Proposal",$A412)),SUMIFS('Timesheet Raw'!$P$4:$P$8000,'Timesheet Raw'!$A$4:$A$8000,IF(ISNUMBER(SEARCH("Chargable",$A412)),"2-Proposals Chargeable","3-Proposals Regular"),'Timesheet Raw'!$C$4:$C$8000,"*"&amp;$B412&amp;"*",'Timesheet Raw'!$L$4:$L$8000,"&gt;="&amp;MAX(G$5,DATE(2000+VALUE(RIGHT(TRIM($A412),2)),1,1)),'Timesheet Raw'!$L$4:$L$8000,"&lt;="&amp;MIN(G$6,DATE(2000+VALUE(RIGHT(TRIM($A412),2)),12,31))),SUMIFS('Timesheet Raw'!$P$4:$P$8000,'Timesheet Raw'!$B$4:$B$8000,TRIM($A412),'Timesheet Raw'!$C$4:$C$8000,"*"&amp;$B412&amp;"*",'Timesheet Raw'!$L$4:$L$8000,"&gt;="&amp;G$5,'Timesheet Raw'!$L$4:$L$8000,"&lt;="&amp;G$6)))/'Profit Plan'!$B$5)</f>
        <v/>
      </c>
      <c r="H412" s="122" t="str">
        <f>IF($A412="","",(IF(ISNUMBER(SEARCH("Proposal",$A412)),SUMIFS('Timesheet Raw'!$P$4:$P$8000,'Timesheet Raw'!$A$4:$A$8000,IF(ISNUMBER(SEARCH("Chargable",$A412)),"2-Proposals Chargeable","3-Proposals Regular"),'Timesheet Raw'!$C$4:$C$8000,"*"&amp;$B412&amp;"*",'Timesheet Raw'!$L$4:$L$8000,"&gt;="&amp;MAX(H$5,DATE(2000+VALUE(RIGHT(TRIM($A412),2)),1,1)),'Timesheet Raw'!$L$4:$L$8000,"&lt;="&amp;MIN(H$6,DATE(2000+VALUE(RIGHT(TRIM($A412),2)),12,31))),SUMIFS('Timesheet Raw'!$P$4:$P$8000,'Timesheet Raw'!$B$4:$B$8000,TRIM($A412),'Timesheet Raw'!$C$4:$C$8000,"*"&amp;$B412&amp;"*",'Timesheet Raw'!$L$4:$L$8000,"&gt;="&amp;H$5,'Timesheet Raw'!$L$4:$L$8000,"&lt;="&amp;H$6)))/'Profit Plan'!$B$5)</f>
        <v/>
      </c>
      <c r="I412" s="122" t="str">
        <f>IF($A412="","",(IF(ISNUMBER(SEARCH("Proposal",$A412)),SUMIFS('Timesheet Raw'!$P$4:$P$8000,'Timesheet Raw'!$A$4:$A$8000,IF(ISNUMBER(SEARCH("Chargable",$A412)),"2-Proposals Chargeable","3-Proposals Regular"),'Timesheet Raw'!$C$4:$C$8000,"*"&amp;$B412&amp;"*",'Timesheet Raw'!$L$4:$L$8000,"&gt;="&amp;MAX(I$5,DATE(2000+VALUE(RIGHT(TRIM($A412),2)),1,1)),'Timesheet Raw'!$L$4:$L$8000,"&lt;="&amp;MIN(I$6,DATE(2000+VALUE(RIGHT(TRIM($A412),2)),12,31))),SUMIFS('Timesheet Raw'!$P$4:$P$8000,'Timesheet Raw'!$B$4:$B$8000,TRIM($A412),'Timesheet Raw'!$C$4:$C$8000,"*"&amp;$B412&amp;"*",'Timesheet Raw'!$L$4:$L$8000,"&gt;="&amp;I$5,'Timesheet Raw'!$L$4:$L$8000,"&lt;="&amp;I$6)))/'Profit Plan'!$B$5)</f>
        <v/>
      </c>
      <c r="J412" s="122" t="str">
        <f>IF($A412="","",(IF(ISNUMBER(SEARCH("Proposal",$A412)),SUMIFS('Timesheet Raw'!$P$4:$P$8000,'Timesheet Raw'!$A$4:$A$8000,IF(ISNUMBER(SEARCH("Chargable",$A412)),"2-Proposals Chargeable","3-Proposals Regular"),'Timesheet Raw'!$C$4:$C$8000,"*"&amp;$B412&amp;"*",'Timesheet Raw'!$L$4:$L$8000,"&gt;="&amp;MAX(J$5,DATE(2000+VALUE(RIGHT(TRIM($A412),2)),1,1)),'Timesheet Raw'!$L$4:$L$8000,"&lt;="&amp;MIN(J$6,DATE(2000+VALUE(RIGHT(TRIM($A412),2)),12,31))),SUMIFS('Timesheet Raw'!$P$4:$P$8000,'Timesheet Raw'!$B$4:$B$8000,TRIM($A412),'Timesheet Raw'!$C$4:$C$8000,"*"&amp;$B412&amp;"*",'Timesheet Raw'!$L$4:$L$8000,"&gt;="&amp;J$5,'Timesheet Raw'!$L$4:$L$8000,"&lt;="&amp;J$6)))/'Profit Plan'!$B$5)</f>
        <v/>
      </c>
      <c r="K412" s="122" t="str">
        <f>IF($A412="","",(IF(ISNUMBER(SEARCH("Proposal",$A412)),SUMIFS('Timesheet Raw'!$P$4:$P$8000,'Timesheet Raw'!$A$4:$A$8000,IF(ISNUMBER(SEARCH("Chargable",$A412)),"2-Proposals Chargeable","3-Proposals Regular"),'Timesheet Raw'!$C$4:$C$8000,"*"&amp;$B412&amp;"*",'Timesheet Raw'!$L$4:$L$8000,"&gt;="&amp;MAX(K$5,DATE(2000+VALUE(RIGHT(TRIM($A412),2)),1,1)),'Timesheet Raw'!$L$4:$L$8000,"&lt;="&amp;MIN(K$6,DATE(2000+VALUE(RIGHT(TRIM($A412),2)),12,31))),SUMIFS('Timesheet Raw'!$P$4:$P$8000,'Timesheet Raw'!$B$4:$B$8000,TRIM($A412),'Timesheet Raw'!$C$4:$C$8000,"*"&amp;$B412&amp;"*",'Timesheet Raw'!$L$4:$L$8000,"&gt;="&amp;K$5,'Timesheet Raw'!$L$4:$L$8000,"&lt;="&amp;K$6)))/'Profit Plan'!$B$5)</f>
        <v/>
      </c>
      <c r="L412" s="122" t="str">
        <f>IF($A412="","",(IF(ISNUMBER(SEARCH("Proposal",$A412)),SUMIFS('Timesheet Raw'!$P$4:$P$8000,'Timesheet Raw'!$A$4:$A$8000,IF(ISNUMBER(SEARCH("Chargable",$A412)),"2-Proposals Chargeable","3-Proposals Regular"),'Timesheet Raw'!$C$4:$C$8000,"*"&amp;$B412&amp;"*",'Timesheet Raw'!$L$4:$L$8000,"&gt;="&amp;MAX(L$5,DATE(2000+VALUE(RIGHT(TRIM($A412),2)),1,1)),'Timesheet Raw'!$L$4:$L$8000,"&lt;="&amp;MIN(L$6,DATE(2000+VALUE(RIGHT(TRIM($A412),2)),12,31))),SUMIFS('Timesheet Raw'!$P$4:$P$8000,'Timesheet Raw'!$B$4:$B$8000,TRIM($A412),'Timesheet Raw'!$C$4:$C$8000,"*"&amp;$B412&amp;"*",'Timesheet Raw'!$L$4:$L$8000,"&gt;="&amp;L$5,'Timesheet Raw'!$L$4:$L$8000,"&lt;="&amp;L$6)))/'Profit Plan'!$B$5)</f>
        <v/>
      </c>
      <c r="M412" s="122" t="str">
        <f>IF($A412="","",(IF(ISNUMBER(SEARCH("Proposal",$A412)),SUMIFS('Timesheet Raw'!$P$4:$P$8000,'Timesheet Raw'!$A$4:$A$8000,IF(ISNUMBER(SEARCH("Chargable",$A412)),"2-Proposals Chargeable","3-Proposals Regular"),'Timesheet Raw'!$C$4:$C$8000,"*"&amp;$B412&amp;"*",'Timesheet Raw'!$L$4:$L$8000,"&gt;="&amp;MAX(M$5,DATE(2000+VALUE(RIGHT(TRIM($A412),2)),1,1)),'Timesheet Raw'!$L$4:$L$8000,"&lt;="&amp;MIN(M$6,DATE(2000+VALUE(RIGHT(TRIM($A412),2)),12,31))),SUMIFS('Timesheet Raw'!$P$4:$P$8000,'Timesheet Raw'!$B$4:$B$8000,TRIM($A412),'Timesheet Raw'!$C$4:$C$8000,"*"&amp;$B412&amp;"*",'Timesheet Raw'!$L$4:$L$8000,"&gt;="&amp;M$5,'Timesheet Raw'!$L$4:$L$8000,"&lt;="&amp;M$6)))/'Profit Plan'!$B$5)</f>
        <v/>
      </c>
      <c r="N412" s="122" t="str">
        <f>IF($A412="","",(IF(ISNUMBER(SEARCH("Proposal",$A412)),SUMIFS('Timesheet Raw'!$P$4:$P$8000,'Timesheet Raw'!$A$4:$A$8000,IF(ISNUMBER(SEARCH("Chargable",$A412)),"2-Proposals Chargeable","3-Proposals Regular"),'Timesheet Raw'!$C$4:$C$8000,"*"&amp;$B412&amp;"*",'Timesheet Raw'!$L$4:$L$8000,"&gt;="&amp;MAX(N$5,DATE(2000+VALUE(RIGHT(TRIM($A412),2)),1,1)),'Timesheet Raw'!$L$4:$L$8000,"&lt;="&amp;MIN(N$6,DATE(2000+VALUE(RIGHT(TRIM($A412),2)),12,31))),SUMIFS('Timesheet Raw'!$P$4:$P$8000,'Timesheet Raw'!$B$4:$B$8000,TRIM($A412),'Timesheet Raw'!$C$4:$C$8000,"*"&amp;$B412&amp;"*",'Timesheet Raw'!$L$4:$L$8000,"&gt;="&amp;N$5,'Timesheet Raw'!$L$4:$L$8000,"&lt;="&amp;N$6)))/'Profit Plan'!$B$5)</f>
        <v/>
      </c>
      <c r="O412" s="122" t="str">
        <f>IF($A412="","",(IF(ISNUMBER(SEARCH("Proposal",$A412)),SUMIFS('Timesheet Raw'!$P$4:$P$8000,'Timesheet Raw'!$A$4:$A$8000,IF(ISNUMBER(SEARCH("Chargable",$A412)),"2-Proposals Chargeable","3-Proposals Regular"),'Timesheet Raw'!$C$4:$C$8000,"*"&amp;$B412&amp;"*",'Timesheet Raw'!$L$4:$L$8000,"&gt;="&amp;MAX(O$5,DATE(2000+VALUE(RIGHT(TRIM($A412),2)),1,1)),'Timesheet Raw'!$L$4:$L$8000,"&lt;="&amp;MIN(O$6,DATE(2000+VALUE(RIGHT(TRIM($A412),2)),12,31))),SUMIFS('Timesheet Raw'!$P$4:$P$8000,'Timesheet Raw'!$B$4:$B$8000,TRIM($A412),'Timesheet Raw'!$C$4:$C$8000,"*"&amp;$B412&amp;"*",'Timesheet Raw'!$L$4:$L$8000,"&gt;="&amp;O$5,'Timesheet Raw'!$L$4:$L$8000,"&lt;="&amp;O$6)))/'Profit Plan'!$B$5)</f>
        <v/>
      </c>
      <c r="P412" s="122" t="str">
        <f>IF($A412="","",(IF(ISNUMBER(SEARCH("Proposal",$A412)),SUMIFS('Timesheet Raw'!$P$4:$P$8000,'Timesheet Raw'!$A$4:$A$8000,IF(ISNUMBER(SEARCH("Chargable",$A412)),"2-Proposals Chargeable","3-Proposals Regular"),'Timesheet Raw'!$C$4:$C$8000,"*"&amp;$B412&amp;"*",'Timesheet Raw'!$L$4:$L$8000,"&gt;="&amp;MAX(P$5,DATE(2000+VALUE(RIGHT(TRIM($A412),2)),1,1)),'Timesheet Raw'!$L$4:$L$8000,"&lt;="&amp;MIN(P$6,DATE(2000+VALUE(RIGHT(TRIM($A412),2)),12,31))),SUMIFS('Timesheet Raw'!$P$4:$P$8000,'Timesheet Raw'!$B$4:$B$8000,TRIM($A412),'Timesheet Raw'!$C$4:$C$8000,"*"&amp;$B412&amp;"*",'Timesheet Raw'!$L$4:$L$8000,"&gt;="&amp;P$5,'Timesheet Raw'!$L$4:$L$8000,"&lt;="&amp;P$6)))/'Profit Plan'!$B$5)</f>
        <v/>
      </c>
      <c r="Q412" s="122" t="str">
        <f>IF($A412="","",(IF(ISNUMBER(SEARCH("Proposal",$A412)),SUMIFS('Timesheet Raw'!$P$4:$P$8000,'Timesheet Raw'!$A$4:$A$8000,IF(ISNUMBER(SEARCH("Chargable",$A412)),"2-Proposals Chargeable","3-Proposals Regular"),'Timesheet Raw'!$C$4:$C$8000,"*"&amp;$B412&amp;"*",'Timesheet Raw'!$L$4:$L$8000,"&gt;="&amp;MAX(Q$5,DATE(2000+VALUE(RIGHT(TRIM($A412),2)),1,1)),'Timesheet Raw'!$L$4:$L$8000,"&lt;="&amp;MIN(Q$6,DATE(2000+VALUE(RIGHT(TRIM($A412),2)),12,31))),SUMIFS('Timesheet Raw'!$P$4:$P$8000,'Timesheet Raw'!$B$4:$B$8000,TRIM($A412),'Timesheet Raw'!$C$4:$C$8000,"*"&amp;$B412&amp;"*",'Timesheet Raw'!$L$4:$L$8000,"&gt;="&amp;Q$5,'Timesheet Raw'!$L$4:$L$8000,"&lt;="&amp;Q$6)))/'Profit Plan'!$B$5)</f>
        <v/>
      </c>
      <c r="R412" s="122" t="str">
        <f>IF($A412="","",(IF(ISNUMBER(SEARCH("Proposal",$A412)),SUMIFS('Timesheet Raw'!$P$4:$P$8000,'Timesheet Raw'!$A$4:$A$8000,IF(ISNUMBER(SEARCH("Chargable",$A412)),"2-Proposals Chargeable","3-Proposals Regular"),'Timesheet Raw'!$C$4:$C$8000,"*"&amp;$B412&amp;"*",'Timesheet Raw'!$L$4:$L$8000,"&gt;="&amp;MAX(R$5,DATE(2000+VALUE(RIGHT(TRIM($A412),2)),1,1)),'Timesheet Raw'!$L$4:$L$8000,"&lt;="&amp;MIN(R$6,DATE(2000+VALUE(RIGHT(TRIM($A412),2)),12,31))),SUMIFS('Timesheet Raw'!$P$4:$P$8000,'Timesheet Raw'!$B$4:$B$8000,TRIM($A412),'Timesheet Raw'!$C$4:$C$8000,"*"&amp;$B412&amp;"*",'Timesheet Raw'!$L$4:$L$8000,"&gt;="&amp;R$5,'Timesheet Raw'!$L$4:$L$8000,"&lt;="&amp;R$6)))/'Profit Plan'!$B$5)</f>
        <v/>
      </c>
      <c r="S412" s="122" t="str">
        <f>IF($A412="","",(IF(ISNUMBER(SEARCH("Proposal",$A412)),SUMIFS('Timesheet Raw'!$P$4:$P$8000,'Timesheet Raw'!$A$4:$A$8000,IF(ISNUMBER(SEARCH("Chargable",$A412)),"2-Proposals Chargeable","3-Proposals Regular"),'Timesheet Raw'!$C$4:$C$8000,"*"&amp;$B412&amp;"*",'Timesheet Raw'!$L$4:$L$8000,"&gt;="&amp;MAX(S$5,DATE(2000+VALUE(RIGHT(TRIM($A412),2)),1,1)),'Timesheet Raw'!$L$4:$L$8000,"&lt;="&amp;MIN(S$6,DATE(2000+VALUE(RIGHT(TRIM($A412),2)),12,31))),SUMIFS('Timesheet Raw'!$P$4:$P$8000,'Timesheet Raw'!$B$4:$B$8000,TRIM($A412),'Timesheet Raw'!$C$4:$C$8000,"*"&amp;$B412&amp;"*",'Timesheet Raw'!$L$4:$L$8000,"&gt;="&amp;S$5,'Timesheet Raw'!$L$4:$L$8000,"&lt;="&amp;S$6)))/'Profit Plan'!$B$5)</f>
        <v/>
      </c>
      <c r="T412" s="122" t="str">
        <f>IF($A412="","",(IF(ISNUMBER(SEARCH("Proposal",$A412)),SUMIFS('Timesheet Raw'!$P$4:$P$8000,'Timesheet Raw'!$A$4:$A$8000,IF(ISNUMBER(SEARCH("Chargable",$A412)),"2-Proposals Chargeable","3-Proposals Regular"),'Timesheet Raw'!$C$4:$C$8000,"*"&amp;$B412&amp;"*",'Timesheet Raw'!$L$4:$L$8000,"&gt;="&amp;MAX(T$5,DATE(2000+VALUE(RIGHT(TRIM($A412),2)),1,1)),'Timesheet Raw'!$L$4:$L$8000,"&lt;="&amp;MIN(T$6,DATE(2000+VALUE(RIGHT(TRIM($A412),2)),12,31))),SUMIFS('Timesheet Raw'!$P$4:$P$8000,'Timesheet Raw'!$B$4:$B$8000,TRIM($A412),'Timesheet Raw'!$C$4:$C$8000,"*"&amp;$B412&amp;"*",'Timesheet Raw'!$L$4:$L$8000,"&gt;="&amp;T$5,'Timesheet Raw'!$L$4:$L$8000,"&lt;="&amp;T$6)))/'Profit Plan'!$B$5)</f>
        <v/>
      </c>
      <c r="U412" s="122" t="str">
        <f>IF($A412="","",(IF(ISNUMBER(SEARCH("Proposal",$A412)),SUMIFS('Timesheet Raw'!$P$4:$P$8000,'Timesheet Raw'!$A$4:$A$8000,IF(ISNUMBER(SEARCH("Chargable",$A412)),"2-Proposals Chargeable","3-Proposals Regular"),'Timesheet Raw'!$C$4:$C$8000,"*"&amp;$B412&amp;"*",'Timesheet Raw'!$L$4:$L$8000,"&gt;="&amp;MAX(U$5,DATE(2000+VALUE(RIGHT(TRIM($A412),2)),1,1)),'Timesheet Raw'!$L$4:$L$8000,"&lt;="&amp;MIN(U$6,DATE(2000+VALUE(RIGHT(TRIM($A412),2)),12,31))),SUMIFS('Timesheet Raw'!$P$4:$P$8000,'Timesheet Raw'!$B$4:$B$8000,TRIM($A412),'Timesheet Raw'!$C$4:$C$8000,"*"&amp;$B412&amp;"*",'Timesheet Raw'!$L$4:$L$8000,"&gt;="&amp;U$5,'Timesheet Raw'!$L$4:$L$8000,"&lt;="&amp;U$6)))/'Profit Plan'!$B$5)</f>
        <v/>
      </c>
      <c r="V412" s="122" t="str">
        <f>IF($A412="","",(IF(ISNUMBER(SEARCH("Proposal",$A412)),SUMIFS('Timesheet Raw'!$P$4:$P$8000,'Timesheet Raw'!$A$4:$A$8000,IF(ISNUMBER(SEARCH("Chargable",$A412)),"2-Proposals Chargeable","3-Proposals Regular"),'Timesheet Raw'!$C$4:$C$8000,"*"&amp;$B412&amp;"*",'Timesheet Raw'!$L$4:$L$8000,"&gt;="&amp;MAX(V$5,DATE(2000+VALUE(RIGHT(TRIM($A412),2)),1,1)),'Timesheet Raw'!$L$4:$L$8000,"&lt;="&amp;MIN(V$6,DATE(2000+VALUE(RIGHT(TRIM($A412),2)),12,31))),SUMIFS('Timesheet Raw'!$P$4:$P$8000,'Timesheet Raw'!$B$4:$B$8000,TRIM($A412),'Timesheet Raw'!$C$4:$C$8000,"*"&amp;$B412&amp;"*",'Timesheet Raw'!$L$4:$L$8000,"&gt;="&amp;V$5,'Timesheet Raw'!$L$4:$L$8000,"&lt;="&amp;V$6)))/'Profit Plan'!$B$5)</f>
        <v/>
      </c>
      <c r="W412" s="122" t="str">
        <f>IF($A412="","",(IF(ISNUMBER(SEARCH("Proposal",$A412)),SUMIFS('Timesheet Raw'!$P$4:$P$8000,'Timesheet Raw'!$A$4:$A$8000,IF(ISNUMBER(SEARCH("Chargable",$A412)),"2-Proposals Chargeable","3-Proposals Regular"),'Timesheet Raw'!$C$4:$C$8000,"*"&amp;$B412&amp;"*",'Timesheet Raw'!$L$4:$L$8000,"&gt;="&amp;MAX(W$5,DATE(2000+VALUE(RIGHT(TRIM($A412),2)),1,1)),'Timesheet Raw'!$L$4:$L$8000,"&lt;="&amp;MIN(W$6,DATE(2000+VALUE(RIGHT(TRIM($A412),2)),12,31))),SUMIFS('Timesheet Raw'!$P$4:$P$8000,'Timesheet Raw'!$B$4:$B$8000,TRIM($A412),'Timesheet Raw'!$C$4:$C$8000,"*"&amp;$B412&amp;"*",'Timesheet Raw'!$L$4:$L$8000,"&gt;="&amp;W$5,'Timesheet Raw'!$L$4:$L$8000,"&lt;="&amp;W$6)))/'Profit Plan'!$B$5)</f>
        <v/>
      </c>
      <c r="X412" s="122" t="str">
        <f>IF($A412="","",(IF(ISNUMBER(SEARCH("Proposal",$A412)),SUMIFS('Timesheet Raw'!$P$4:$P$8000,'Timesheet Raw'!$A$4:$A$8000,IF(ISNUMBER(SEARCH("Chargable",$A412)),"2-Proposals Chargeable","3-Proposals Regular"),'Timesheet Raw'!$C$4:$C$8000,"*"&amp;$B412&amp;"*",'Timesheet Raw'!$L$4:$L$8000,"&gt;="&amp;MAX(X$5,DATE(2000+VALUE(RIGHT(TRIM($A412),2)),1,1)),'Timesheet Raw'!$L$4:$L$8000,"&lt;="&amp;MIN(X$6,DATE(2000+VALUE(RIGHT(TRIM($A412),2)),12,31))),SUMIFS('Timesheet Raw'!$P$4:$P$8000,'Timesheet Raw'!$B$4:$B$8000,TRIM($A412),'Timesheet Raw'!$C$4:$C$8000,"*"&amp;$B412&amp;"*",'Timesheet Raw'!$L$4:$L$8000,"&gt;="&amp;X$5,'Timesheet Raw'!$L$4:$L$8000,"&lt;="&amp;X$6)))/'Profit Plan'!$B$5)</f>
        <v/>
      </c>
      <c r="Y412" s="118">
        <f t="shared" si="102"/>
        <v>0</v>
      </c>
    </row>
    <row r="413" spans="1:25" x14ac:dyDescent="0.3">
      <c r="A413" s="116" t="str">
        <f>IF(Inputs!$A55="","",Inputs!$A55)</f>
        <v/>
      </c>
      <c r="B413" s="116" t="str">
        <f>IF(Inputs!$A55="","",Inputs!$A$92)</f>
        <v/>
      </c>
      <c r="C413" s="116"/>
      <c r="D413" s="122" t="str">
        <f>IF($A413="","",(IF(ISNUMBER(SEARCH("Proposal",$A413)),SUMIFS('Timesheet Raw'!$P$4:$P$8000,'Timesheet Raw'!$A$4:$A$8000,IF(ISNUMBER(SEARCH("Chargable",$A413)),"2-Proposals Chargeable","3-Proposals Regular"),'Timesheet Raw'!$C$4:$C$8000,"*"&amp;$B413&amp;"*",'Timesheet Raw'!$L$4:$L$8000,"&gt;="&amp;MAX(D$5,DATE(2000+VALUE(RIGHT(TRIM($A413),2)),1,1)),'Timesheet Raw'!$L$4:$L$8000,"&lt;="&amp;MIN(D$6,DATE(2000+VALUE(RIGHT(TRIM($A413),2)),12,31))),SUMIFS('Timesheet Raw'!$P$4:$P$8000,'Timesheet Raw'!$B$4:$B$8000,TRIM($A413),'Timesheet Raw'!$C$4:$C$8000,"*"&amp;$B413&amp;"*",'Timesheet Raw'!$L$4:$L$8000,"&gt;="&amp;D$5,'Timesheet Raw'!$L$4:$L$8000,"&lt;="&amp;D$6)))/'Profit Plan'!$B$5)</f>
        <v/>
      </c>
      <c r="E413" s="122" t="str">
        <f>IF($A413="","",(IF(ISNUMBER(SEARCH("Proposal",$A413)),SUMIFS('Timesheet Raw'!$P$4:$P$8000,'Timesheet Raw'!$A$4:$A$8000,IF(ISNUMBER(SEARCH("Chargable",$A413)),"2-Proposals Chargeable","3-Proposals Regular"),'Timesheet Raw'!$C$4:$C$8000,"*"&amp;$B413&amp;"*",'Timesheet Raw'!$L$4:$L$8000,"&gt;="&amp;MAX(E$5,DATE(2000+VALUE(RIGHT(TRIM($A413),2)),1,1)),'Timesheet Raw'!$L$4:$L$8000,"&lt;="&amp;MIN(E$6,DATE(2000+VALUE(RIGHT(TRIM($A413),2)),12,31))),SUMIFS('Timesheet Raw'!$P$4:$P$8000,'Timesheet Raw'!$B$4:$B$8000,TRIM($A413),'Timesheet Raw'!$C$4:$C$8000,"*"&amp;$B413&amp;"*",'Timesheet Raw'!$L$4:$L$8000,"&gt;="&amp;E$5,'Timesheet Raw'!$L$4:$L$8000,"&lt;="&amp;E$6)))/'Profit Plan'!$B$5)</f>
        <v/>
      </c>
      <c r="F413" s="122" t="str">
        <f>IF($A413="","",(IF(ISNUMBER(SEARCH("Proposal",$A413)),SUMIFS('Timesheet Raw'!$P$4:$P$8000,'Timesheet Raw'!$A$4:$A$8000,IF(ISNUMBER(SEARCH("Chargable",$A413)),"2-Proposals Chargeable","3-Proposals Regular"),'Timesheet Raw'!$C$4:$C$8000,"*"&amp;$B413&amp;"*",'Timesheet Raw'!$L$4:$L$8000,"&gt;="&amp;MAX(F$5,DATE(2000+VALUE(RIGHT(TRIM($A413),2)),1,1)),'Timesheet Raw'!$L$4:$L$8000,"&lt;="&amp;MIN(F$6,DATE(2000+VALUE(RIGHT(TRIM($A413),2)),12,31))),SUMIFS('Timesheet Raw'!$P$4:$P$8000,'Timesheet Raw'!$B$4:$B$8000,TRIM($A413),'Timesheet Raw'!$C$4:$C$8000,"*"&amp;$B413&amp;"*",'Timesheet Raw'!$L$4:$L$8000,"&gt;="&amp;F$5,'Timesheet Raw'!$L$4:$L$8000,"&lt;="&amp;F$6)))/'Profit Plan'!$B$5)</f>
        <v/>
      </c>
      <c r="G413" s="122" t="str">
        <f>IF($A413="","",(IF(ISNUMBER(SEARCH("Proposal",$A413)),SUMIFS('Timesheet Raw'!$P$4:$P$8000,'Timesheet Raw'!$A$4:$A$8000,IF(ISNUMBER(SEARCH("Chargable",$A413)),"2-Proposals Chargeable","3-Proposals Regular"),'Timesheet Raw'!$C$4:$C$8000,"*"&amp;$B413&amp;"*",'Timesheet Raw'!$L$4:$L$8000,"&gt;="&amp;MAX(G$5,DATE(2000+VALUE(RIGHT(TRIM($A413),2)),1,1)),'Timesheet Raw'!$L$4:$L$8000,"&lt;="&amp;MIN(G$6,DATE(2000+VALUE(RIGHT(TRIM($A413),2)),12,31))),SUMIFS('Timesheet Raw'!$P$4:$P$8000,'Timesheet Raw'!$B$4:$B$8000,TRIM($A413),'Timesheet Raw'!$C$4:$C$8000,"*"&amp;$B413&amp;"*",'Timesheet Raw'!$L$4:$L$8000,"&gt;="&amp;G$5,'Timesheet Raw'!$L$4:$L$8000,"&lt;="&amp;G$6)))/'Profit Plan'!$B$5)</f>
        <v/>
      </c>
      <c r="H413" s="122" t="str">
        <f>IF($A413="","",(IF(ISNUMBER(SEARCH("Proposal",$A413)),SUMIFS('Timesheet Raw'!$P$4:$P$8000,'Timesheet Raw'!$A$4:$A$8000,IF(ISNUMBER(SEARCH("Chargable",$A413)),"2-Proposals Chargeable","3-Proposals Regular"),'Timesheet Raw'!$C$4:$C$8000,"*"&amp;$B413&amp;"*",'Timesheet Raw'!$L$4:$L$8000,"&gt;="&amp;MAX(H$5,DATE(2000+VALUE(RIGHT(TRIM($A413),2)),1,1)),'Timesheet Raw'!$L$4:$L$8000,"&lt;="&amp;MIN(H$6,DATE(2000+VALUE(RIGHT(TRIM($A413),2)),12,31))),SUMIFS('Timesheet Raw'!$P$4:$P$8000,'Timesheet Raw'!$B$4:$B$8000,TRIM($A413),'Timesheet Raw'!$C$4:$C$8000,"*"&amp;$B413&amp;"*",'Timesheet Raw'!$L$4:$L$8000,"&gt;="&amp;H$5,'Timesheet Raw'!$L$4:$L$8000,"&lt;="&amp;H$6)))/'Profit Plan'!$B$5)</f>
        <v/>
      </c>
      <c r="I413" s="122" t="str">
        <f>IF($A413="","",(IF(ISNUMBER(SEARCH("Proposal",$A413)),SUMIFS('Timesheet Raw'!$P$4:$P$8000,'Timesheet Raw'!$A$4:$A$8000,IF(ISNUMBER(SEARCH("Chargable",$A413)),"2-Proposals Chargeable","3-Proposals Regular"),'Timesheet Raw'!$C$4:$C$8000,"*"&amp;$B413&amp;"*",'Timesheet Raw'!$L$4:$L$8000,"&gt;="&amp;MAX(I$5,DATE(2000+VALUE(RIGHT(TRIM($A413),2)),1,1)),'Timesheet Raw'!$L$4:$L$8000,"&lt;="&amp;MIN(I$6,DATE(2000+VALUE(RIGHT(TRIM($A413),2)),12,31))),SUMIFS('Timesheet Raw'!$P$4:$P$8000,'Timesheet Raw'!$B$4:$B$8000,TRIM($A413),'Timesheet Raw'!$C$4:$C$8000,"*"&amp;$B413&amp;"*",'Timesheet Raw'!$L$4:$L$8000,"&gt;="&amp;I$5,'Timesheet Raw'!$L$4:$L$8000,"&lt;="&amp;I$6)))/'Profit Plan'!$B$5)</f>
        <v/>
      </c>
      <c r="J413" s="122" t="str">
        <f>IF($A413="","",(IF(ISNUMBER(SEARCH("Proposal",$A413)),SUMIFS('Timesheet Raw'!$P$4:$P$8000,'Timesheet Raw'!$A$4:$A$8000,IF(ISNUMBER(SEARCH("Chargable",$A413)),"2-Proposals Chargeable","3-Proposals Regular"),'Timesheet Raw'!$C$4:$C$8000,"*"&amp;$B413&amp;"*",'Timesheet Raw'!$L$4:$L$8000,"&gt;="&amp;MAX(J$5,DATE(2000+VALUE(RIGHT(TRIM($A413),2)),1,1)),'Timesheet Raw'!$L$4:$L$8000,"&lt;="&amp;MIN(J$6,DATE(2000+VALUE(RIGHT(TRIM($A413),2)),12,31))),SUMIFS('Timesheet Raw'!$P$4:$P$8000,'Timesheet Raw'!$B$4:$B$8000,TRIM($A413),'Timesheet Raw'!$C$4:$C$8000,"*"&amp;$B413&amp;"*",'Timesheet Raw'!$L$4:$L$8000,"&gt;="&amp;J$5,'Timesheet Raw'!$L$4:$L$8000,"&lt;="&amp;J$6)))/'Profit Plan'!$B$5)</f>
        <v/>
      </c>
      <c r="K413" s="122" t="str">
        <f>IF($A413="","",(IF(ISNUMBER(SEARCH("Proposal",$A413)),SUMIFS('Timesheet Raw'!$P$4:$P$8000,'Timesheet Raw'!$A$4:$A$8000,IF(ISNUMBER(SEARCH("Chargable",$A413)),"2-Proposals Chargeable","3-Proposals Regular"),'Timesheet Raw'!$C$4:$C$8000,"*"&amp;$B413&amp;"*",'Timesheet Raw'!$L$4:$L$8000,"&gt;="&amp;MAX(K$5,DATE(2000+VALUE(RIGHT(TRIM($A413),2)),1,1)),'Timesheet Raw'!$L$4:$L$8000,"&lt;="&amp;MIN(K$6,DATE(2000+VALUE(RIGHT(TRIM($A413),2)),12,31))),SUMIFS('Timesheet Raw'!$P$4:$P$8000,'Timesheet Raw'!$B$4:$B$8000,TRIM($A413),'Timesheet Raw'!$C$4:$C$8000,"*"&amp;$B413&amp;"*",'Timesheet Raw'!$L$4:$L$8000,"&gt;="&amp;K$5,'Timesheet Raw'!$L$4:$L$8000,"&lt;="&amp;K$6)))/'Profit Plan'!$B$5)</f>
        <v/>
      </c>
      <c r="L413" s="122" t="str">
        <f>IF($A413="","",(IF(ISNUMBER(SEARCH("Proposal",$A413)),SUMIFS('Timesheet Raw'!$P$4:$P$8000,'Timesheet Raw'!$A$4:$A$8000,IF(ISNUMBER(SEARCH("Chargable",$A413)),"2-Proposals Chargeable","3-Proposals Regular"),'Timesheet Raw'!$C$4:$C$8000,"*"&amp;$B413&amp;"*",'Timesheet Raw'!$L$4:$L$8000,"&gt;="&amp;MAX(L$5,DATE(2000+VALUE(RIGHT(TRIM($A413),2)),1,1)),'Timesheet Raw'!$L$4:$L$8000,"&lt;="&amp;MIN(L$6,DATE(2000+VALUE(RIGHT(TRIM($A413),2)),12,31))),SUMIFS('Timesheet Raw'!$P$4:$P$8000,'Timesheet Raw'!$B$4:$B$8000,TRIM($A413),'Timesheet Raw'!$C$4:$C$8000,"*"&amp;$B413&amp;"*",'Timesheet Raw'!$L$4:$L$8000,"&gt;="&amp;L$5,'Timesheet Raw'!$L$4:$L$8000,"&lt;="&amp;L$6)))/'Profit Plan'!$B$5)</f>
        <v/>
      </c>
      <c r="M413" s="122" t="str">
        <f>IF($A413="","",(IF(ISNUMBER(SEARCH("Proposal",$A413)),SUMIFS('Timesheet Raw'!$P$4:$P$8000,'Timesheet Raw'!$A$4:$A$8000,IF(ISNUMBER(SEARCH("Chargable",$A413)),"2-Proposals Chargeable","3-Proposals Regular"),'Timesheet Raw'!$C$4:$C$8000,"*"&amp;$B413&amp;"*",'Timesheet Raw'!$L$4:$L$8000,"&gt;="&amp;MAX(M$5,DATE(2000+VALUE(RIGHT(TRIM($A413),2)),1,1)),'Timesheet Raw'!$L$4:$L$8000,"&lt;="&amp;MIN(M$6,DATE(2000+VALUE(RIGHT(TRIM($A413),2)),12,31))),SUMIFS('Timesheet Raw'!$P$4:$P$8000,'Timesheet Raw'!$B$4:$B$8000,TRIM($A413),'Timesheet Raw'!$C$4:$C$8000,"*"&amp;$B413&amp;"*",'Timesheet Raw'!$L$4:$L$8000,"&gt;="&amp;M$5,'Timesheet Raw'!$L$4:$L$8000,"&lt;="&amp;M$6)))/'Profit Plan'!$B$5)</f>
        <v/>
      </c>
      <c r="N413" s="122" t="str">
        <f>IF($A413="","",(IF(ISNUMBER(SEARCH("Proposal",$A413)),SUMIFS('Timesheet Raw'!$P$4:$P$8000,'Timesheet Raw'!$A$4:$A$8000,IF(ISNUMBER(SEARCH("Chargable",$A413)),"2-Proposals Chargeable","3-Proposals Regular"),'Timesheet Raw'!$C$4:$C$8000,"*"&amp;$B413&amp;"*",'Timesheet Raw'!$L$4:$L$8000,"&gt;="&amp;MAX(N$5,DATE(2000+VALUE(RIGHT(TRIM($A413),2)),1,1)),'Timesheet Raw'!$L$4:$L$8000,"&lt;="&amp;MIN(N$6,DATE(2000+VALUE(RIGHT(TRIM($A413),2)),12,31))),SUMIFS('Timesheet Raw'!$P$4:$P$8000,'Timesheet Raw'!$B$4:$B$8000,TRIM($A413),'Timesheet Raw'!$C$4:$C$8000,"*"&amp;$B413&amp;"*",'Timesheet Raw'!$L$4:$L$8000,"&gt;="&amp;N$5,'Timesheet Raw'!$L$4:$L$8000,"&lt;="&amp;N$6)))/'Profit Plan'!$B$5)</f>
        <v/>
      </c>
      <c r="O413" s="122" t="str">
        <f>IF($A413="","",(IF(ISNUMBER(SEARCH("Proposal",$A413)),SUMIFS('Timesheet Raw'!$P$4:$P$8000,'Timesheet Raw'!$A$4:$A$8000,IF(ISNUMBER(SEARCH("Chargable",$A413)),"2-Proposals Chargeable","3-Proposals Regular"),'Timesheet Raw'!$C$4:$C$8000,"*"&amp;$B413&amp;"*",'Timesheet Raw'!$L$4:$L$8000,"&gt;="&amp;MAX(O$5,DATE(2000+VALUE(RIGHT(TRIM($A413),2)),1,1)),'Timesheet Raw'!$L$4:$L$8000,"&lt;="&amp;MIN(O$6,DATE(2000+VALUE(RIGHT(TRIM($A413),2)),12,31))),SUMIFS('Timesheet Raw'!$P$4:$P$8000,'Timesheet Raw'!$B$4:$B$8000,TRIM($A413),'Timesheet Raw'!$C$4:$C$8000,"*"&amp;$B413&amp;"*",'Timesheet Raw'!$L$4:$L$8000,"&gt;="&amp;O$5,'Timesheet Raw'!$L$4:$L$8000,"&lt;="&amp;O$6)))/'Profit Plan'!$B$5)</f>
        <v/>
      </c>
      <c r="P413" s="122" t="str">
        <f>IF($A413="","",(IF(ISNUMBER(SEARCH("Proposal",$A413)),SUMIFS('Timesheet Raw'!$P$4:$P$8000,'Timesheet Raw'!$A$4:$A$8000,IF(ISNUMBER(SEARCH("Chargable",$A413)),"2-Proposals Chargeable","3-Proposals Regular"),'Timesheet Raw'!$C$4:$C$8000,"*"&amp;$B413&amp;"*",'Timesheet Raw'!$L$4:$L$8000,"&gt;="&amp;MAX(P$5,DATE(2000+VALUE(RIGHT(TRIM($A413),2)),1,1)),'Timesheet Raw'!$L$4:$L$8000,"&lt;="&amp;MIN(P$6,DATE(2000+VALUE(RIGHT(TRIM($A413),2)),12,31))),SUMIFS('Timesheet Raw'!$P$4:$P$8000,'Timesheet Raw'!$B$4:$B$8000,TRIM($A413),'Timesheet Raw'!$C$4:$C$8000,"*"&amp;$B413&amp;"*",'Timesheet Raw'!$L$4:$L$8000,"&gt;="&amp;P$5,'Timesheet Raw'!$L$4:$L$8000,"&lt;="&amp;P$6)))/'Profit Plan'!$B$5)</f>
        <v/>
      </c>
      <c r="Q413" s="122" t="str">
        <f>IF($A413="","",(IF(ISNUMBER(SEARCH("Proposal",$A413)),SUMIFS('Timesheet Raw'!$P$4:$P$8000,'Timesheet Raw'!$A$4:$A$8000,IF(ISNUMBER(SEARCH("Chargable",$A413)),"2-Proposals Chargeable","3-Proposals Regular"),'Timesheet Raw'!$C$4:$C$8000,"*"&amp;$B413&amp;"*",'Timesheet Raw'!$L$4:$L$8000,"&gt;="&amp;MAX(Q$5,DATE(2000+VALUE(RIGHT(TRIM($A413),2)),1,1)),'Timesheet Raw'!$L$4:$L$8000,"&lt;="&amp;MIN(Q$6,DATE(2000+VALUE(RIGHT(TRIM($A413),2)),12,31))),SUMIFS('Timesheet Raw'!$P$4:$P$8000,'Timesheet Raw'!$B$4:$B$8000,TRIM($A413),'Timesheet Raw'!$C$4:$C$8000,"*"&amp;$B413&amp;"*",'Timesheet Raw'!$L$4:$L$8000,"&gt;="&amp;Q$5,'Timesheet Raw'!$L$4:$L$8000,"&lt;="&amp;Q$6)))/'Profit Plan'!$B$5)</f>
        <v/>
      </c>
      <c r="R413" s="122" t="str">
        <f>IF($A413="","",(IF(ISNUMBER(SEARCH("Proposal",$A413)),SUMIFS('Timesheet Raw'!$P$4:$P$8000,'Timesheet Raw'!$A$4:$A$8000,IF(ISNUMBER(SEARCH("Chargable",$A413)),"2-Proposals Chargeable","3-Proposals Regular"),'Timesheet Raw'!$C$4:$C$8000,"*"&amp;$B413&amp;"*",'Timesheet Raw'!$L$4:$L$8000,"&gt;="&amp;MAX(R$5,DATE(2000+VALUE(RIGHT(TRIM($A413),2)),1,1)),'Timesheet Raw'!$L$4:$L$8000,"&lt;="&amp;MIN(R$6,DATE(2000+VALUE(RIGHT(TRIM($A413),2)),12,31))),SUMIFS('Timesheet Raw'!$P$4:$P$8000,'Timesheet Raw'!$B$4:$B$8000,TRIM($A413),'Timesheet Raw'!$C$4:$C$8000,"*"&amp;$B413&amp;"*",'Timesheet Raw'!$L$4:$L$8000,"&gt;="&amp;R$5,'Timesheet Raw'!$L$4:$L$8000,"&lt;="&amp;R$6)))/'Profit Plan'!$B$5)</f>
        <v/>
      </c>
      <c r="S413" s="122" t="str">
        <f>IF($A413="","",(IF(ISNUMBER(SEARCH("Proposal",$A413)),SUMIFS('Timesheet Raw'!$P$4:$P$8000,'Timesheet Raw'!$A$4:$A$8000,IF(ISNUMBER(SEARCH("Chargable",$A413)),"2-Proposals Chargeable","3-Proposals Regular"),'Timesheet Raw'!$C$4:$C$8000,"*"&amp;$B413&amp;"*",'Timesheet Raw'!$L$4:$L$8000,"&gt;="&amp;MAX(S$5,DATE(2000+VALUE(RIGHT(TRIM($A413),2)),1,1)),'Timesheet Raw'!$L$4:$L$8000,"&lt;="&amp;MIN(S$6,DATE(2000+VALUE(RIGHT(TRIM($A413),2)),12,31))),SUMIFS('Timesheet Raw'!$P$4:$P$8000,'Timesheet Raw'!$B$4:$B$8000,TRIM($A413),'Timesheet Raw'!$C$4:$C$8000,"*"&amp;$B413&amp;"*",'Timesheet Raw'!$L$4:$L$8000,"&gt;="&amp;S$5,'Timesheet Raw'!$L$4:$L$8000,"&lt;="&amp;S$6)))/'Profit Plan'!$B$5)</f>
        <v/>
      </c>
      <c r="T413" s="122" t="str">
        <f>IF($A413="","",(IF(ISNUMBER(SEARCH("Proposal",$A413)),SUMIFS('Timesheet Raw'!$P$4:$P$8000,'Timesheet Raw'!$A$4:$A$8000,IF(ISNUMBER(SEARCH("Chargable",$A413)),"2-Proposals Chargeable","3-Proposals Regular"),'Timesheet Raw'!$C$4:$C$8000,"*"&amp;$B413&amp;"*",'Timesheet Raw'!$L$4:$L$8000,"&gt;="&amp;MAX(T$5,DATE(2000+VALUE(RIGHT(TRIM($A413),2)),1,1)),'Timesheet Raw'!$L$4:$L$8000,"&lt;="&amp;MIN(T$6,DATE(2000+VALUE(RIGHT(TRIM($A413),2)),12,31))),SUMIFS('Timesheet Raw'!$P$4:$P$8000,'Timesheet Raw'!$B$4:$B$8000,TRIM($A413),'Timesheet Raw'!$C$4:$C$8000,"*"&amp;$B413&amp;"*",'Timesheet Raw'!$L$4:$L$8000,"&gt;="&amp;T$5,'Timesheet Raw'!$L$4:$L$8000,"&lt;="&amp;T$6)))/'Profit Plan'!$B$5)</f>
        <v/>
      </c>
      <c r="U413" s="122" t="str">
        <f>IF($A413="","",(IF(ISNUMBER(SEARCH("Proposal",$A413)),SUMIFS('Timesheet Raw'!$P$4:$P$8000,'Timesheet Raw'!$A$4:$A$8000,IF(ISNUMBER(SEARCH("Chargable",$A413)),"2-Proposals Chargeable","3-Proposals Regular"),'Timesheet Raw'!$C$4:$C$8000,"*"&amp;$B413&amp;"*",'Timesheet Raw'!$L$4:$L$8000,"&gt;="&amp;MAX(U$5,DATE(2000+VALUE(RIGHT(TRIM($A413),2)),1,1)),'Timesheet Raw'!$L$4:$L$8000,"&lt;="&amp;MIN(U$6,DATE(2000+VALUE(RIGHT(TRIM($A413),2)),12,31))),SUMIFS('Timesheet Raw'!$P$4:$P$8000,'Timesheet Raw'!$B$4:$B$8000,TRIM($A413),'Timesheet Raw'!$C$4:$C$8000,"*"&amp;$B413&amp;"*",'Timesheet Raw'!$L$4:$L$8000,"&gt;="&amp;U$5,'Timesheet Raw'!$L$4:$L$8000,"&lt;="&amp;U$6)))/'Profit Plan'!$B$5)</f>
        <v/>
      </c>
      <c r="V413" s="122" t="str">
        <f>IF($A413="","",(IF(ISNUMBER(SEARCH("Proposal",$A413)),SUMIFS('Timesheet Raw'!$P$4:$P$8000,'Timesheet Raw'!$A$4:$A$8000,IF(ISNUMBER(SEARCH("Chargable",$A413)),"2-Proposals Chargeable","3-Proposals Regular"),'Timesheet Raw'!$C$4:$C$8000,"*"&amp;$B413&amp;"*",'Timesheet Raw'!$L$4:$L$8000,"&gt;="&amp;MAX(V$5,DATE(2000+VALUE(RIGHT(TRIM($A413),2)),1,1)),'Timesheet Raw'!$L$4:$L$8000,"&lt;="&amp;MIN(V$6,DATE(2000+VALUE(RIGHT(TRIM($A413),2)),12,31))),SUMIFS('Timesheet Raw'!$P$4:$P$8000,'Timesheet Raw'!$B$4:$B$8000,TRIM($A413),'Timesheet Raw'!$C$4:$C$8000,"*"&amp;$B413&amp;"*",'Timesheet Raw'!$L$4:$L$8000,"&gt;="&amp;V$5,'Timesheet Raw'!$L$4:$L$8000,"&lt;="&amp;V$6)))/'Profit Plan'!$B$5)</f>
        <v/>
      </c>
      <c r="W413" s="122" t="str">
        <f>IF($A413="","",(IF(ISNUMBER(SEARCH("Proposal",$A413)),SUMIFS('Timesheet Raw'!$P$4:$P$8000,'Timesheet Raw'!$A$4:$A$8000,IF(ISNUMBER(SEARCH("Chargable",$A413)),"2-Proposals Chargeable","3-Proposals Regular"),'Timesheet Raw'!$C$4:$C$8000,"*"&amp;$B413&amp;"*",'Timesheet Raw'!$L$4:$L$8000,"&gt;="&amp;MAX(W$5,DATE(2000+VALUE(RIGHT(TRIM($A413),2)),1,1)),'Timesheet Raw'!$L$4:$L$8000,"&lt;="&amp;MIN(W$6,DATE(2000+VALUE(RIGHT(TRIM($A413),2)),12,31))),SUMIFS('Timesheet Raw'!$P$4:$P$8000,'Timesheet Raw'!$B$4:$B$8000,TRIM($A413),'Timesheet Raw'!$C$4:$C$8000,"*"&amp;$B413&amp;"*",'Timesheet Raw'!$L$4:$L$8000,"&gt;="&amp;W$5,'Timesheet Raw'!$L$4:$L$8000,"&lt;="&amp;W$6)))/'Profit Plan'!$B$5)</f>
        <v/>
      </c>
      <c r="X413" s="122" t="str">
        <f>IF($A413="","",(IF(ISNUMBER(SEARCH("Proposal",$A413)),SUMIFS('Timesheet Raw'!$P$4:$P$8000,'Timesheet Raw'!$A$4:$A$8000,IF(ISNUMBER(SEARCH("Chargable",$A413)),"2-Proposals Chargeable","3-Proposals Regular"),'Timesheet Raw'!$C$4:$C$8000,"*"&amp;$B413&amp;"*",'Timesheet Raw'!$L$4:$L$8000,"&gt;="&amp;MAX(X$5,DATE(2000+VALUE(RIGHT(TRIM($A413),2)),1,1)),'Timesheet Raw'!$L$4:$L$8000,"&lt;="&amp;MIN(X$6,DATE(2000+VALUE(RIGHT(TRIM($A413),2)),12,31))),SUMIFS('Timesheet Raw'!$P$4:$P$8000,'Timesheet Raw'!$B$4:$B$8000,TRIM($A413),'Timesheet Raw'!$C$4:$C$8000,"*"&amp;$B413&amp;"*",'Timesheet Raw'!$L$4:$L$8000,"&gt;="&amp;X$5,'Timesheet Raw'!$L$4:$L$8000,"&lt;="&amp;X$6)))/'Profit Plan'!$B$5)</f>
        <v/>
      </c>
      <c r="Y413" s="118">
        <f t="shared" si="102"/>
        <v>0</v>
      </c>
    </row>
    <row r="414" spans="1:25" x14ac:dyDescent="0.3">
      <c r="A414" s="116" t="str">
        <f>IF(Inputs!$A55="","",Inputs!$A55)</f>
        <v/>
      </c>
      <c r="B414" s="116" t="str">
        <f>IF(Inputs!$A55="","",Inputs!$A$93)</f>
        <v/>
      </c>
      <c r="C414" s="116"/>
      <c r="D414" s="122" t="str">
        <f>IF($A414="","",(IF(ISNUMBER(SEARCH("Proposal",$A414)),SUMIFS('Timesheet Raw'!$P$4:$P$8000,'Timesheet Raw'!$A$4:$A$8000,IF(ISNUMBER(SEARCH("Chargable",$A414)),"2-Proposals Chargeable","3-Proposals Regular"),'Timesheet Raw'!$C$4:$C$8000,"*"&amp;$B414&amp;"*",'Timesheet Raw'!$L$4:$L$8000,"&gt;="&amp;MAX(D$5,DATE(2000+VALUE(RIGHT(TRIM($A414),2)),1,1)),'Timesheet Raw'!$L$4:$L$8000,"&lt;="&amp;MIN(D$6,DATE(2000+VALUE(RIGHT(TRIM($A414),2)),12,31))),SUMIFS('Timesheet Raw'!$P$4:$P$8000,'Timesheet Raw'!$B$4:$B$8000,TRIM($A414),'Timesheet Raw'!$C$4:$C$8000,"*"&amp;$B414&amp;"*",'Timesheet Raw'!$L$4:$L$8000,"&gt;="&amp;D$5,'Timesheet Raw'!$L$4:$L$8000,"&lt;="&amp;D$6)))/'Profit Plan'!$B$5)</f>
        <v/>
      </c>
      <c r="E414" s="122" t="str">
        <f>IF($A414="","",(IF(ISNUMBER(SEARCH("Proposal",$A414)),SUMIFS('Timesheet Raw'!$P$4:$P$8000,'Timesheet Raw'!$A$4:$A$8000,IF(ISNUMBER(SEARCH("Chargable",$A414)),"2-Proposals Chargeable","3-Proposals Regular"),'Timesheet Raw'!$C$4:$C$8000,"*"&amp;$B414&amp;"*",'Timesheet Raw'!$L$4:$L$8000,"&gt;="&amp;MAX(E$5,DATE(2000+VALUE(RIGHT(TRIM($A414),2)),1,1)),'Timesheet Raw'!$L$4:$L$8000,"&lt;="&amp;MIN(E$6,DATE(2000+VALUE(RIGHT(TRIM($A414),2)),12,31))),SUMIFS('Timesheet Raw'!$P$4:$P$8000,'Timesheet Raw'!$B$4:$B$8000,TRIM($A414),'Timesheet Raw'!$C$4:$C$8000,"*"&amp;$B414&amp;"*",'Timesheet Raw'!$L$4:$L$8000,"&gt;="&amp;E$5,'Timesheet Raw'!$L$4:$L$8000,"&lt;="&amp;E$6)))/'Profit Plan'!$B$5)</f>
        <v/>
      </c>
      <c r="F414" s="122" t="str">
        <f>IF($A414="","",(IF(ISNUMBER(SEARCH("Proposal",$A414)),SUMIFS('Timesheet Raw'!$P$4:$P$8000,'Timesheet Raw'!$A$4:$A$8000,IF(ISNUMBER(SEARCH("Chargable",$A414)),"2-Proposals Chargeable","3-Proposals Regular"),'Timesheet Raw'!$C$4:$C$8000,"*"&amp;$B414&amp;"*",'Timesheet Raw'!$L$4:$L$8000,"&gt;="&amp;MAX(F$5,DATE(2000+VALUE(RIGHT(TRIM($A414),2)),1,1)),'Timesheet Raw'!$L$4:$L$8000,"&lt;="&amp;MIN(F$6,DATE(2000+VALUE(RIGHT(TRIM($A414),2)),12,31))),SUMIFS('Timesheet Raw'!$P$4:$P$8000,'Timesheet Raw'!$B$4:$B$8000,TRIM($A414),'Timesheet Raw'!$C$4:$C$8000,"*"&amp;$B414&amp;"*",'Timesheet Raw'!$L$4:$L$8000,"&gt;="&amp;F$5,'Timesheet Raw'!$L$4:$L$8000,"&lt;="&amp;F$6)))/'Profit Plan'!$B$5)</f>
        <v/>
      </c>
      <c r="G414" s="122" t="str">
        <f>IF($A414="","",(IF(ISNUMBER(SEARCH("Proposal",$A414)),SUMIFS('Timesheet Raw'!$P$4:$P$8000,'Timesheet Raw'!$A$4:$A$8000,IF(ISNUMBER(SEARCH("Chargable",$A414)),"2-Proposals Chargeable","3-Proposals Regular"),'Timesheet Raw'!$C$4:$C$8000,"*"&amp;$B414&amp;"*",'Timesheet Raw'!$L$4:$L$8000,"&gt;="&amp;MAX(G$5,DATE(2000+VALUE(RIGHT(TRIM($A414),2)),1,1)),'Timesheet Raw'!$L$4:$L$8000,"&lt;="&amp;MIN(G$6,DATE(2000+VALUE(RIGHT(TRIM($A414),2)),12,31))),SUMIFS('Timesheet Raw'!$P$4:$P$8000,'Timesheet Raw'!$B$4:$B$8000,TRIM($A414),'Timesheet Raw'!$C$4:$C$8000,"*"&amp;$B414&amp;"*",'Timesheet Raw'!$L$4:$L$8000,"&gt;="&amp;G$5,'Timesheet Raw'!$L$4:$L$8000,"&lt;="&amp;G$6)))/'Profit Plan'!$B$5)</f>
        <v/>
      </c>
      <c r="H414" s="122" t="str">
        <f>IF($A414="","",(IF(ISNUMBER(SEARCH("Proposal",$A414)),SUMIFS('Timesheet Raw'!$P$4:$P$8000,'Timesheet Raw'!$A$4:$A$8000,IF(ISNUMBER(SEARCH("Chargable",$A414)),"2-Proposals Chargeable","3-Proposals Regular"),'Timesheet Raw'!$C$4:$C$8000,"*"&amp;$B414&amp;"*",'Timesheet Raw'!$L$4:$L$8000,"&gt;="&amp;MAX(H$5,DATE(2000+VALUE(RIGHT(TRIM($A414),2)),1,1)),'Timesheet Raw'!$L$4:$L$8000,"&lt;="&amp;MIN(H$6,DATE(2000+VALUE(RIGHT(TRIM($A414),2)),12,31))),SUMIFS('Timesheet Raw'!$P$4:$P$8000,'Timesheet Raw'!$B$4:$B$8000,TRIM($A414),'Timesheet Raw'!$C$4:$C$8000,"*"&amp;$B414&amp;"*",'Timesheet Raw'!$L$4:$L$8000,"&gt;="&amp;H$5,'Timesheet Raw'!$L$4:$L$8000,"&lt;="&amp;H$6)))/'Profit Plan'!$B$5)</f>
        <v/>
      </c>
      <c r="I414" s="122" t="str">
        <f>IF($A414="","",(IF(ISNUMBER(SEARCH("Proposal",$A414)),SUMIFS('Timesheet Raw'!$P$4:$P$8000,'Timesheet Raw'!$A$4:$A$8000,IF(ISNUMBER(SEARCH("Chargable",$A414)),"2-Proposals Chargeable","3-Proposals Regular"),'Timesheet Raw'!$C$4:$C$8000,"*"&amp;$B414&amp;"*",'Timesheet Raw'!$L$4:$L$8000,"&gt;="&amp;MAX(I$5,DATE(2000+VALUE(RIGHT(TRIM($A414),2)),1,1)),'Timesheet Raw'!$L$4:$L$8000,"&lt;="&amp;MIN(I$6,DATE(2000+VALUE(RIGHT(TRIM($A414),2)),12,31))),SUMIFS('Timesheet Raw'!$P$4:$P$8000,'Timesheet Raw'!$B$4:$B$8000,TRIM($A414),'Timesheet Raw'!$C$4:$C$8000,"*"&amp;$B414&amp;"*",'Timesheet Raw'!$L$4:$L$8000,"&gt;="&amp;I$5,'Timesheet Raw'!$L$4:$L$8000,"&lt;="&amp;I$6)))/'Profit Plan'!$B$5)</f>
        <v/>
      </c>
      <c r="J414" s="122" t="str">
        <f>IF($A414="","",(IF(ISNUMBER(SEARCH("Proposal",$A414)),SUMIFS('Timesheet Raw'!$P$4:$P$8000,'Timesheet Raw'!$A$4:$A$8000,IF(ISNUMBER(SEARCH("Chargable",$A414)),"2-Proposals Chargeable","3-Proposals Regular"),'Timesheet Raw'!$C$4:$C$8000,"*"&amp;$B414&amp;"*",'Timesheet Raw'!$L$4:$L$8000,"&gt;="&amp;MAX(J$5,DATE(2000+VALUE(RIGHT(TRIM($A414),2)),1,1)),'Timesheet Raw'!$L$4:$L$8000,"&lt;="&amp;MIN(J$6,DATE(2000+VALUE(RIGHT(TRIM($A414),2)),12,31))),SUMIFS('Timesheet Raw'!$P$4:$P$8000,'Timesheet Raw'!$B$4:$B$8000,TRIM($A414),'Timesheet Raw'!$C$4:$C$8000,"*"&amp;$B414&amp;"*",'Timesheet Raw'!$L$4:$L$8000,"&gt;="&amp;J$5,'Timesheet Raw'!$L$4:$L$8000,"&lt;="&amp;J$6)))/'Profit Plan'!$B$5)</f>
        <v/>
      </c>
      <c r="K414" s="122" t="str">
        <f>IF($A414="","",(IF(ISNUMBER(SEARCH("Proposal",$A414)),SUMIFS('Timesheet Raw'!$P$4:$P$8000,'Timesheet Raw'!$A$4:$A$8000,IF(ISNUMBER(SEARCH("Chargable",$A414)),"2-Proposals Chargeable","3-Proposals Regular"),'Timesheet Raw'!$C$4:$C$8000,"*"&amp;$B414&amp;"*",'Timesheet Raw'!$L$4:$L$8000,"&gt;="&amp;MAX(K$5,DATE(2000+VALUE(RIGHT(TRIM($A414),2)),1,1)),'Timesheet Raw'!$L$4:$L$8000,"&lt;="&amp;MIN(K$6,DATE(2000+VALUE(RIGHT(TRIM($A414),2)),12,31))),SUMIFS('Timesheet Raw'!$P$4:$P$8000,'Timesheet Raw'!$B$4:$B$8000,TRIM($A414),'Timesheet Raw'!$C$4:$C$8000,"*"&amp;$B414&amp;"*",'Timesheet Raw'!$L$4:$L$8000,"&gt;="&amp;K$5,'Timesheet Raw'!$L$4:$L$8000,"&lt;="&amp;K$6)))/'Profit Plan'!$B$5)</f>
        <v/>
      </c>
      <c r="L414" s="122" t="str">
        <f>IF($A414="","",(IF(ISNUMBER(SEARCH("Proposal",$A414)),SUMIFS('Timesheet Raw'!$P$4:$P$8000,'Timesheet Raw'!$A$4:$A$8000,IF(ISNUMBER(SEARCH("Chargable",$A414)),"2-Proposals Chargeable","3-Proposals Regular"),'Timesheet Raw'!$C$4:$C$8000,"*"&amp;$B414&amp;"*",'Timesheet Raw'!$L$4:$L$8000,"&gt;="&amp;MAX(L$5,DATE(2000+VALUE(RIGHT(TRIM($A414),2)),1,1)),'Timesheet Raw'!$L$4:$L$8000,"&lt;="&amp;MIN(L$6,DATE(2000+VALUE(RIGHT(TRIM($A414),2)),12,31))),SUMIFS('Timesheet Raw'!$P$4:$P$8000,'Timesheet Raw'!$B$4:$B$8000,TRIM($A414),'Timesheet Raw'!$C$4:$C$8000,"*"&amp;$B414&amp;"*",'Timesheet Raw'!$L$4:$L$8000,"&gt;="&amp;L$5,'Timesheet Raw'!$L$4:$L$8000,"&lt;="&amp;L$6)))/'Profit Plan'!$B$5)</f>
        <v/>
      </c>
      <c r="M414" s="122" t="str">
        <f>IF($A414="","",(IF(ISNUMBER(SEARCH("Proposal",$A414)),SUMIFS('Timesheet Raw'!$P$4:$P$8000,'Timesheet Raw'!$A$4:$A$8000,IF(ISNUMBER(SEARCH("Chargable",$A414)),"2-Proposals Chargeable","3-Proposals Regular"),'Timesheet Raw'!$C$4:$C$8000,"*"&amp;$B414&amp;"*",'Timesheet Raw'!$L$4:$L$8000,"&gt;="&amp;MAX(M$5,DATE(2000+VALUE(RIGHT(TRIM($A414),2)),1,1)),'Timesheet Raw'!$L$4:$L$8000,"&lt;="&amp;MIN(M$6,DATE(2000+VALUE(RIGHT(TRIM($A414),2)),12,31))),SUMIFS('Timesheet Raw'!$P$4:$P$8000,'Timesheet Raw'!$B$4:$B$8000,TRIM($A414),'Timesheet Raw'!$C$4:$C$8000,"*"&amp;$B414&amp;"*",'Timesheet Raw'!$L$4:$L$8000,"&gt;="&amp;M$5,'Timesheet Raw'!$L$4:$L$8000,"&lt;="&amp;M$6)))/'Profit Plan'!$B$5)</f>
        <v/>
      </c>
      <c r="N414" s="122" t="str">
        <f>IF($A414="","",(IF(ISNUMBER(SEARCH("Proposal",$A414)),SUMIFS('Timesheet Raw'!$P$4:$P$8000,'Timesheet Raw'!$A$4:$A$8000,IF(ISNUMBER(SEARCH("Chargable",$A414)),"2-Proposals Chargeable","3-Proposals Regular"),'Timesheet Raw'!$C$4:$C$8000,"*"&amp;$B414&amp;"*",'Timesheet Raw'!$L$4:$L$8000,"&gt;="&amp;MAX(N$5,DATE(2000+VALUE(RIGHT(TRIM($A414),2)),1,1)),'Timesheet Raw'!$L$4:$L$8000,"&lt;="&amp;MIN(N$6,DATE(2000+VALUE(RIGHT(TRIM($A414),2)),12,31))),SUMIFS('Timesheet Raw'!$P$4:$P$8000,'Timesheet Raw'!$B$4:$B$8000,TRIM($A414),'Timesheet Raw'!$C$4:$C$8000,"*"&amp;$B414&amp;"*",'Timesheet Raw'!$L$4:$L$8000,"&gt;="&amp;N$5,'Timesheet Raw'!$L$4:$L$8000,"&lt;="&amp;N$6)))/'Profit Plan'!$B$5)</f>
        <v/>
      </c>
      <c r="O414" s="122" t="str">
        <f>IF($A414="","",(IF(ISNUMBER(SEARCH("Proposal",$A414)),SUMIFS('Timesheet Raw'!$P$4:$P$8000,'Timesheet Raw'!$A$4:$A$8000,IF(ISNUMBER(SEARCH("Chargable",$A414)),"2-Proposals Chargeable","3-Proposals Regular"),'Timesheet Raw'!$C$4:$C$8000,"*"&amp;$B414&amp;"*",'Timesheet Raw'!$L$4:$L$8000,"&gt;="&amp;MAX(O$5,DATE(2000+VALUE(RIGHT(TRIM($A414),2)),1,1)),'Timesheet Raw'!$L$4:$L$8000,"&lt;="&amp;MIN(O$6,DATE(2000+VALUE(RIGHT(TRIM($A414),2)),12,31))),SUMIFS('Timesheet Raw'!$P$4:$P$8000,'Timesheet Raw'!$B$4:$B$8000,TRIM($A414),'Timesheet Raw'!$C$4:$C$8000,"*"&amp;$B414&amp;"*",'Timesheet Raw'!$L$4:$L$8000,"&gt;="&amp;O$5,'Timesheet Raw'!$L$4:$L$8000,"&lt;="&amp;O$6)))/'Profit Plan'!$B$5)</f>
        <v/>
      </c>
      <c r="P414" s="122" t="str">
        <f>IF($A414="","",(IF(ISNUMBER(SEARCH("Proposal",$A414)),SUMIFS('Timesheet Raw'!$P$4:$P$8000,'Timesheet Raw'!$A$4:$A$8000,IF(ISNUMBER(SEARCH("Chargable",$A414)),"2-Proposals Chargeable","3-Proposals Regular"),'Timesheet Raw'!$C$4:$C$8000,"*"&amp;$B414&amp;"*",'Timesheet Raw'!$L$4:$L$8000,"&gt;="&amp;MAX(P$5,DATE(2000+VALUE(RIGHT(TRIM($A414),2)),1,1)),'Timesheet Raw'!$L$4:$L$8000,"&lt;="&amp;MIN(P$6,DATE(2000+VALUE(RIGHT(TRIM($A414),2)),12,31))),SUMIFS('Timesheet Raw'!$P$4:$P$8000,'Timesheet Raw'!$B$4:$B$8000,TRIM($A414),'Timesheet Raw'!$C$4:$C$8000,"*"&amp;$B414&amp;"*",'Timesheet Raw'!$L$4:$L$8000,"&gt;="&amp;P$5,'Timesheet Raw'!$L$4:$L$8000,"&lt;="&amp;P$6)))/'Profit Plan'!$B$5)</f>
        <v/>
      </c>
      <c r="Q414" s="122" t="str">
        <f>IF($A414="","",(IF(ISNUMBER(SEARCH("Proposal",$A414)),SUMIFS('Timesheet Raw'!$P$4:$P$8000,'Timesheet Raw'!$A$4:$A$8000,IF(ISNUMBER(SEARCH("Chargable",$A414)),"2-Proposals Chargeable","3-Proposals Regular"),'Timesheet Raw'!$C$4:$C$8000,"*"&amp;$B414&amp;"*",'Timesheet Raw'!$L$4:$L$8000,"&gt;="&amp;MAX(Q$5,DATE(2000+VALUE(RIGHT(TRIM($A414),2)),1,1)),'Timesheet Raw'!$L$4:$L$8000,"&lt;="&amp;MIN(Q$6,DATE(2000+VALUE(RIGHT(TRIM($A414),2)),12,31))),SUMIFS('Timesheet Raw'!$P$4:$P$8000,'Timesheet Raw'!$B$4:$B$8000,TRIM($A414),'Timesheet Raw'!$C$4:$C$8000,"*"&amp;$B414&amp;"*",'Timesheet Raw'!$L$4:$L$8000,"&gt;="&amp;Q$5,'Timesheet Raw'!$L$4:$L$8000,"&lt;="&amp;Q$6)))/'Profit Plan'!$B$5)</f>
        <v/>
      </c>
      <c r="R414" s="122" t="str">
        <f>IF($A414="","",(IF(ISNUMBER(SEARCH("Proposal",$A414)),SUMIFS('Timesheet Raw'!$P$4:$P$8000,'Timesheet Raw'!$A$4:$A$8000,IF(ISNUMBER(SEARCH("Chargable",$A414)),"2-Proposals Chargeable","3-Proposals Regular"),'Timesheet Raw'!$C$4:$C$8000,"*"&amp;$B414&amp;"*",'Timesheet Raw'!$L$4:$L$8000,"&gt;="&amp;MAX(R$5,DATE(2000+VALUE(RIGHT(TRIM($A414),2)),1,1)),'Timesheet Raw'!$L$4:$L$8000,"&lt;="&amp;MIN(R$6,DATE(2000+VALUE(RIGHT(TRIM($A414),2)),12,31))),SUMIFS('Timesheet Raw'!$P$4:$P$8000,'Timesheet Raw'!$B$4:$B$8000,TRIM($A414),'Timesheet Raw'!$C$4:$C$8000,"*"&amp;$B414&amp;"*",'Timesheet Raw'!$L$4:$L$8000,"&gt;="&amp;R$5,'Timesheet Raw'!$L$4:$L$8000,"&lt;="&amp;R$6)))/'Profit Plan'!$B$5)</f>
        <v/>
      </c>
      <c r="S414" s="122" t="str">
        <f>IF($A414="","",(IF(ISNUMBER(SEARCH("Proposal",$A414)),SUMIFS('Timesheet Raw'!$P$4:$P$8000,'Timesheet Raw'!$A$4:$A$8000,IF(ISNUMBER(SEARCH("Chargable",$A414)),"2-Proposals Chargeable","3-Proposals Regular"),'Timesheet Raw'!$C$4:$C$8000,"*"&amp;$B414&amp;"*",'Timesheet Raw'!$L$4:$L$8000,"&gt;="&amp;MAX(S$5,DATE(2000+VALUE(RIGHT(TRIM($A414),2)),1,1)),'Timesheet Raw'!$L$4:$L$8000,"&lt;="&amp;MIN(S$6,DATE(2000+VALUE(RIGHT(TRIM($A414),2)),12,31))),SUMIFS('Timesheet Raw'!$P$4:$P$8000,'Timesheet Raw'!$B$4:$B$8000,TRIM($A414),'Timesheet Raw'!$C$4:$C$8000,"*"&amp;$B414&amp;"*",'Timesheet Raw'!$L$4:$L$8000,"&gt;="&amp;S$5,'Timesheet Raw'!$L$4:$L$8000,"&lt;="&amp;S$6)))/'Profit Plan'!$B$5)</f>
        <v/>
      </c>
      <c r="T414" s="122" t="str">
        <f>IF($A414="","",(IF(ISNUMBER(SEARCH("Proposal",$A414)),SUMIFS('Timesheet Raw'!$P$4:$P$8000,'Timesheet Raw'!$A$4:$A$8000,IF(ISNUMBER(SEARCH("Chargable",$A414)),"2-Proposals Chargeable","3-Proposals Regular"),'Timesheet Raw'!$C$4:$C$8000,"*"&amp;$B414&amp;"*",'Timesheet Raw'!$L$4:$L$8000,"&gt;="&amp;MAX(T$5,DATE(2000+VALUE(RIGHT(TRIM($A414),2)),1,1)),'Timesheet Raw'!$L$4:$L$8000,"&lt;="&amp;MIN(T$6,DATE(2000+VALUE(RIGHT(TRIM($A414),2)),12,31))),SUMIFS('Timesheet Raw'!$P$4:$P$8000,'Timesheet Raw'!$B$4:$B$8000,TRIM($A414),'Timesheet Raw'!$C$4:$C$8000,"*"&amp;$B414&amp;"*",'Timesheet Raw'!$L$4:$L$8000,"&gt;="&amp;T$5,'Timesheet Raw'!$L$4:$L$8000,"&lt;="&amp;T$6)))/'Profit Plan'!$B$5)</f>
        <v/>
      </c>
      <c r="U414" s="122" t="str">
        <f>IF($A414="","",(IF(ISNUMBER(SEARCH("Proposal",$A414)),SUMIFS('Timesheet Raw'!$P$4:$P$8000,'Timesheet Raw'!$A$4:$A$8000,IF(ISNUMBER(SEARCH("Chargable",$A414)),"2-Proposals Chargeable","3-Proposals Regular"),'Timesheet Raw'!$C$4:$C$8000,"*"&amp;$B414&amp;"*",'Timesheet Raw'!$L$4:$L$8000,"&gt;="&amp;MAX(U$5,DATE(2000+VALUE(RIGHT(TRIM($A414),2)),1,1)),'Timesheet Raw'!$L$4:$L$8000,"&lt;="&amp;MIN(U$6,DATE(2000+VALUE(RIGHT(TRIM($A414),2)),12,31))),SUMIFS('Timesheet Raw'!$P$4:$P$8000,'Timesheet Raw'!$B$4:$B$8000,TRIM($A414),'Timesheet Raw'!$C$4:$C$8000,"*"&amp;$B414&amp;"*",'Timesheet Raw'!$L$4:$L$8000,"&gt;="&amp;U$5,'Timesheet Raw'!$L$4:$L$8000,"&lt;="&amp;U$6)))/'Profit Plan'!$B$5)</f>
        <v/>
      </c>
      <c r="V414" s="122" t="str">
        <f>IF($A414="","",(IF(ISNUMBER(SEARCH("Proposal",$A414)),SUMIFS('Timesheet Raw'!$P$4:$P$8000,'Timesheet Raw'!$A$4:$A$8000,IF(ISNUMBER(SEARCH("Chargable",$A414)),"2-Proposals Chargeable","3-Proposals Regular"),'Timesheet Raw'!$C$4:$C$8000,"*"&amp;$B414&amp;"*",'Timesheet Raw'!$L$4:$L$8000,"&gt;="&amp;MAX(V$5,DATE(2000+VALUE(RIGHT(TRIM($A414),2)),1,1)),'Timesheet Raw'!$L$4:$L$8000,"&lt;="&amp;MIN(V$6,DATE(2000+VALUE(RIGHT(TRIM($A414),2)),12,31))),SUMIFS('Timesheet Raw'!$P$4:$P$8000,'Timesheet Raw'!$B$4:$B$8000,TRIM($A414),'Timesheet Raw'!$C$4:$C$8000,"*"&amp;$B414&amp;"*",'Timesheet Raw'!$L$4:$L$8000,"&gt;="&amp;V$5,'Timesheet Raw'!$L$4:$L$8000,"&lt;="&amp;V$6)))/'Profit Plan'!$B$5)</f>
        <v/>
      </c>
      <c r="W414" s="122" t="str">
        <f>IF($A414="","",(IF(ISNUMBER(SEARCH("Proposal",$A414)),SUMIFS('Timesheet Raw'!$P$4:$P$8000,'Timesheet Raw'!$A$4:$A$8000,IF(ISNUMBER(SEARCH("Chargable",$A414)),"2-Proposals Chargeable","3-Proposals Regular"),'Timesheet Raw'!$C$4:$C$8000,"*"&amp;$B414&amp;"*",'Timesheet Raw'!$L$4:$L$8000,"&gt;="&amp;MAX(W$5,DATE(2000+VALUE(RIGHT(TRIM($A414),2)),1,1)),'Timesheet Raw'!$L$4:$L$8000,"&lt;="&amp;MIN(W$6,DATE(2000+VALUE(RIGHT(TRIM($A414),2)),12,31))),SUMIFS('Timesheet Raw'!$P$4:$P$8000,'Timesheet Raw'!$B$4:$B$8000,TRIM($A414),'Timesheet Raw'!$C$4:$C$8000,"*"&amp;$B414&amp;"*",'Timesheet Raw'!$L$4:$L$8000,"&gt;="&amp;W$5,'Timesheet Raw'!$L$4:$L$8000,"&lt;="&amp;W$6)))/'Profit Plan'!$B$5)</f>
        <v/>
      </c>
      <c r="X414" s="122" t="str">
        <f>IF($A414="","",(IF(ISNUMBER(SEARCH("Proposal",$A414)),SUMIFS('Timesheet Raw'!$P$4:$P$8000,'Timesheet Raw'!$A$4:$A$8000,IF(ISNUMBER(SEARCH("Chargable",$A414)),"2-Proposals Chargeable","3-Proposals Regular"),'Timesheet Raw'!$C$4:$C$8000,"*"&amp;$B414&amp;"*",'Timesheet Raw'!$L$4:$L$8000,"&gt;="&amp;MAX(X$5,DATE(2000+VALUE(RIGHT(TRIM($A414),2)),1,1)),'Timesheet Raw'!$L$4:$L$8000,"&lt;="&amp;MIN(X$6,DATE(2000+VALUE(RIGHT(TRIM($A414),2)),12,31))),SUMIFS('Timesheet Raw'!$P$4:$P$8000,'Timesheet Raw'!$B$4:$B$8000,TRIM($A414),'Timesheet Raw'!$C$4:$C$8000,"*"&amp;$B414&amp;"*",'Timesheet Raw'!$L$4:$L$8000,"&gt;="&amp;X$5,'Timesheet Raw'!$L$4:$L$8000,"&lt;="&amp;X$6)))/'Profit Plan'!$B$5)</f>
        <v/>
      </c>
      <c r="Y414" s="118">
        <f t="shared" si="102"/>
        <v>0</v>
      </c>
    </row>
    <row r="415" spans="1:25" x14ac:dyDescent="0.3">
      <c r="A415" s="116" t="str">
        <f>IF(Inputs!$A56="","",Inputs!$A56)</f>
        <v/>
      </c>
      <c r="B415" s="116" t="str">
        <f>IF(Inputs!$A56="","",Inputs!$A$91)</f>
        <v/>
      </c>
      <c r="C415" s="116"/>
      <c r="D415" s="122" t="str">
        <f>IF($A415="","",(IF(ISNUMBER(SEARCH("Proposal",$A415)),SUMIFS('Timesheet Raw'!$P$4:$P$8000,'Timesheet Raw'!$A$4:$A$8000,IF(ISNUMBER(SEARCH("Chargable",$A415)),"2-Proposals Chargeable","3-Proposals Regular"),'Timesheet Raw'!$C$4:$C$8000,"*"&amp;$B415&amp;"*",'Timesheet Raw'!$L$4:$L$8000,"&gt;="&amp;MAX(D$5,DATE(2000+VALUE(RIGHT(TRIM($A415),2)),1,1)),'Timesheet Raw'!$L$4:$L$8000,"&lt;="&amp;MIN(D$6,DATE(2000+VALUE(RIGHT(TRIM($A415),2)),12,31))),SUMIFS('Timesheet Raw'!$P$4:$P$8000,'Timesheet Raw'!$B$4:$B$8000,TRIM($A415),'Timesheet Raw'!$C$4:$C$8000,"*"&amp;$B415&amp;"*",'Timesheet Raw'!$L$4:$L$8000,"&gt;="&amp;D$5,'Timesheet Raw'!$L$4:$L$8000,"&lt;="&amp;D$6)))/'Profit Plan'!$B$5)</f>
        <v/>
      </c>
      <c r="E415" s="122" t="str">
        <f>IF($A415="","",(IF(ISNUMBER(SEARCH("Proposal",$A415)),SUMIFS('Timesheet Raw'!$P$4:$P$8000,'Timesheet Raw'!$A$4:$A$8000,IF(ISNUMBER(SEARCH("Chargable",$A415)),"2-Proposals Chargeable","3-Proposals Regular"),'Timesheet Raw'!$C$4:$C$8000,"*"&amp;$B415&amp;"*",'Timesheet Raw'!$L$4:$L$8000,"&gt;="&amp;MAX(E$5,DATE(2000+VALUE(RIGHT(TRIM($A415),2)),1,1)),'Timesheet Raw'!$L$4:$L$8000,"&lt;="&amp;MIN(E$6,DATE(2000+VALUE(RIGHT(TRIM($A415),2)),12,31))),SUMIFS('Timesheet Raw'!$P$4:$P$8000,'Timesheet Raw'!$B$4:$B$8000,TRIM($A415),'Timesheet Raw'!$C$4:$C$8000,"*"&amp;$B415&amp;"*",'Timesheet Raw'!$L$4:$L$8000,"&gt;="&amp;E$5,'Timesheet Raw'!$L$4:$L$8000,"&lt;="&amp;E$6)))/'Profit Plan'!$B$5)</f>
        <v/>
      </c>
      <c r="F415" s="122" t="str">
        <f>IF($A415="","",(IF(ISNUMBER(SEARCH("Proposal",$A415)),SUMIFS('Timesheet Raw'!$P$4:$P$8000,'Timesheet Raw'!$A$4:$A$8000,IF(ISNUMBER(SEARCH("Chargable",$A415)),"2-Proposals Chargeable","3-Proposals Regular"),'Timesheet Raw'!$C$4:$C$8000,"*"&amp;$B415&amp;"*",'Timesheet Raw'!$L$4:$L$8000,"&gt;="&amp;MAX(F$5,DATE(2000+VALUE(RIGHT(TRIM($A415),2)),1,1)),'Timesheet Raw'!$L$4:$L$8000,"&lt;="&amp;MIN(F$6,DATE(2000+VALUE(RIGHT(TRIM($A415),2)),12,31))),SUMIFS('Timesheet Raw'!$P$4:$P$8000,'Timesheet Raw'!$B$4:$B$8000,TRIM($A415),'Timesheet Raw'!$C$4:$C$8000,"*"&amp;$B415&amp;"*",'Timesheet Raw'!$L$4:$L$8000,"&gt;="&amp;F$5,'Timesheet Raw'!$L$4:$L$8000,"&lt;="&amp;F$6)))/'Profit Plan'!$B$5)</f>
        <v/>
      </c>
      <c r="G415" s="122" t="str">
        <f>IF($A415="","",(IF(ISNUMBER(SEARCH("Proposal",$A415)),SUMIFS('Timesheet Raw'!$P$4:$P$8000,'Timesheet Raw'!$A$4:$A$8000,IF(ISNUMBER(SEARCH("Chargable",$A415)),"2-Proposals Chargeable","3-Proposals Regular"),'Timesheet Raw'!$C$4:$C$8000,"*"&amp;$B415&amp;"*",'Timesheet Raw'!$L$4:$L$8000,"&gt;="&amp;MAX(G$5,DATE(2000+VALUE(RIGHT(TRIM($A415),2)),1,1)),'Timesheet Raw'!$L$4:$L$8000,"&lt;="&amp;MIN(G$6,DATE(2000+VALUE(RIGHT(TRIM($A415),2)),12,31))),SUMIFS('Timesheet Raw'!$P$4:$P$8000,'Timesheet Raw'!$B$4:$B$8000,TRIM($A415),'Timesheet Raw'!$C$4:$C$8000,"*"&amp;$B415&amp;"*",'Timesheet Raw'!$L$4:$L$8000,"&gt;="&amp;G$5,'Timesheet Raw'!$L$4:$L$8000,"&lt;="&amp;G$6)))/'Profit Plan'!$B$5)</f>
        <v/>
      </c>
      <c r="H415" s="122" t="str">
        <f>IF($A415="","",(IF(ISNUMBER(SEARCH("Proposal",$A415)),SUMIFS('Timesheet Raw'!$P$4:$P$8000,'Timesheet Raw'!$A$4:$A$8000,IF(ISNUMBER(SEARCH("Chargable",$A415)),"2-Proposals Chargeable","3-Proposals Regular"),'Timesheet Raw'!$C$4:$C$8000,"*"&amp;$B415&amp;"*",'Timesheet Raw'!$L$4:$L$8000,"&gt;="&amp;MAX(H$5,DATE(2000+VALUE(RIGHT(TRIM($A415),2)),1,1)),'Timesheet Raw'!$L$4:$L$8000,"&lt;="&amp;MIN(H$6,DATE(2000+VALUE(RIGHT(TRIM($A415),2)),12,31))),SUMIFS('Timesheet Raw'!$P$4:$P$8000,'Timesheet Raw'!$B$4:$B$8000,TRIM($A415),'Timesheet Raw'!$C$4:$C$8000,"*"&amp;$B415&amp;"*",'Timesheet Raw'!$L$4:$L$8000,"&gt;="&amp;H$5,'Timesheet Raw'!$L$4:$L$8000,"&lt;="&amp;H$6)))/'Profit Plan'!$B$5)</f>
        <v/>
      </c>
      <c r="I415" s="122" t="str">
        <f>IF($A415="","",(IF(ISNUMBER(SEARCH("Proposal",$A415)),SUMIFS('Timesheet Raw'!$P$4:$P$8000,'Timesheet Raw'!$A$4:$A$8000,IF(ISNUMBER(SEARCH("Chargable",$A415)),"2-Proposals Chargeable","3-Proposals Regular"),'Timesheet Raw'!$C$4:$C$8000,"*"&amp;$B415&amp;"*",'Timesheet Raw'!$L$4:$L$8000,"&gt;="&amp;MAX(I$5,DATE(2000+VALUE(RIGHT(TRIM($A415),2)),1,1)),'Timesheet Raw'!$L$4:$L$8000,"&lt;="&amp;MIN(I$6,DATE(2000+VALUE(RIGHT(TRIM($A415),2)),12,31))),SUMIFS('Timesheet Raw'!$P$4:$P$8000,'Timesheet Raw'!$B$4:$B$8000,TRIM($A415),'Timesheet Raw'!$C$4:$C$8000,"*"&amp;$B415&amp;"*",'Timesheet Raw'!$L$4:$L$8000,"&gt;="&amp;I$5,'Timesheet Raw'!$L$4:$L$8000,"&lt;="&amp;I$6)))/'Profit Plan'!$B$5)</f>
        <v/>
      </c>
      <c r="J415" s="122" t="str">
        <f>IF($A415="","",(IF(ISNUMBER(SEARCH("Proposal",$A415)),SUMIFS('Timesheet Raw'!$P$4:$P$8000,'Timesheet Raw'!$A$4:$A$8000,IF(ISNUMBER(SEARCH("Chargable",$A415)),"2-Proposals Chargeable","3-Proposals Regular"),'Timesheet Raw'!$C$4:$C$8000,"*"&amp;$B415&amp;"*",'Timesheet Raw'!$L$4:$L$8000,"&gt;="&amp;MAX(J$5,DATE(2000+VALUE(RIGHT(TRIM($A415),2)),1,1)),'Timesheet Raw'!$L$4:$L$8000,"&lt;="&amp;MIN(J$6,DATE(2000+VALUE(RIGHT(TRIM($A415),2)),12,31))),SUMIFS('Timesheet Raw'!$P$4:$P$8000,'Timesheet Raw'!$B$4:$B$8000,TRIM($A415),'Timesheet Raw'!$C$4:$C$8000,"*"&amp;$B415&amp;"*",'Timesheet Raw'!$L$4:$L$8000,"&gt;="&amp;J$5,'Timesheet Raw'!$L$4:$L$8000,"&lt;="&amp;J$6)))/'Profit Plan'!$B$5)</f>
        <v/>
      </c>
      <c r="K415" s="122" t="str">
        <f>IF($A415="","",(IF(ISNUMBER(SEARCH("Proposal",$A415)),SUMIFS('Timesheet Raw'!$P$4:$P$8000,'Timesheet Raw'!$A$4:$A$8000,IF(ISNUMBER(SEARCH("Chargable",$A415)),"2-Proposals Chargeable","3-Proposals Regular"),'Timesheet Raw'!$C$4:$C$8000,"*"&amp;$B415&amp;"*",'Timesheet Raw'!$L$4:$L$8000,"&gt;="&amp;MAX(K$5,DATE(2000+VALUE(RIGHT(TRIM($A415),2)),1,1)),'Timesheet Raw'!$L$4:$L$8000,"&lt;="&amp;MIN(K$6,DATE(2000+VALUE(RIGHT(TRIM($A415),2)),12,31))),SUMIFS('Timesheet Raw'!$P$4:$P$8000,'Timesheet Raw'!$B$4:$B$8000,TRIM($A415),'Timesheet Raw'!$C$4:$C$8000,"*"&amp;$B415&amp;"*",'Timesheet Raw'!$L$4:$L$8000,"&gt;="&amp;K$5,'Timesheet Raw'!$L$4:$L$8000,"&lt;="&amp;K$6)))/'Profit Plan'!$B$5)</f>
        <v/>
      </c>
      <c r="L415" s="122" t="str">
        <f>IF($A415="","",(IF(ISNUMBER(SEARCH("Proposal",$A415)),SUMIFS('Timesheet Raw'!$P$4:$P$8000,'Timesheet Raw'!$A$4:$A$8000,IF(ISNUMBER(SEARCH("Chargable",$A415)),"2-Proposals Chargeable","3-Proposals Regular"),'Timesheet Raw'!$C$4:$C$8000,"*"&amp;$B415&amp;"*",'Timesheet Raw'!$L$4:$L$8000,"&gt;="&amp;MAX(L$5,DATE(2000+VALUE(RIGHT(TRIM($A415),2)),1,1)),'Timesheet Raw'!$L$4:$L$8000,"&lt;="&amp;MIN(L$6,DATE(2000+VALUE(RIGHT(TRIM($A415),2)),12,31))),SUMIFS('Timesheet Raw'!$P$4:$P$8000,'Timesheet Raw'!$B$4:$B$8000,TRIM($A415),'Timesheet Raw'!$C$4:$C$8000,"*"&amp;$B415&amp;"*",'Timesheet Raw'!$L$4:$L$8000,"&gt;="&amp;L$5,'Timesheet Raw'!$L$4:$L$8000,"&lt;="&amp;L$6)))/'Profit Plan'!$B$5)</f>
        <v/>
      </c>
      <c r="M415" s="122" t="str">
        <f>IF($A415="","",(IF(ISNUMBER(SEARCH("Proposal",$A415)),SUMIFS('Timesheet Raw'!$P$4:$P$8000,'Timesheet Raw'!$A$4:$A$8000,IF(ISNUMBER(SEARCH("Chargable",$A415)),"2-Proposals Chargeable","3-Proposals Regular"),'Timesheet Raw'!$C$4:$C$8000,"*"&amp;$B415&amp;"*",'Timesheet Raw'!$L$4:$L$8000,"&gt;="&amp;MAX(M$5,DATE(2000+VALUE(RIGHT(TRIM($A415),2)),1,1)),'Timesheet Raw'!$L$4:$L$8000,"&lt;="&amp;MIN(M$6,DATE(2000+VALUE(RIGHT(TRIM($A415),2)),12,31))),SUMIFS('Timesheet Raw'!$P$4:$P$8000,'Timesheet Raw'!$B$4:$B$8000,TRIM($A415),'Timesheet Raw'!$C$4:$C$8000,"*"&amp;$B415&amp;"*",'Timesheet Raw'!$L$4:$L$8000,"&gt;="&amp;M$5,'Timesheet Raw'!$L$4:$L$8000,"&lt;="&amp;M$6)))/'Profit Plan'!$B$5)</f>
        <v/>
      </c>
      <c r="N415" s="122" t="str">
        <f>IF($A415="","",(IF(ISNUMBER(SEARCH("Proposal",$A415)),SUMIFS('Timesheet Raw'!$P$4:$P$8000,'Timesheet Raw'!$A$4:$A$8000,IF(ISNUMBER(SEARCH("Chargable",$A415)),"2-Proposals Chargeable","3-Proposals Regular"),'Timesheet Raw'!$C$4:$C$8000,"*"&amp;$B415&amp;"*",'Timesheet Raw'!$L$4:$L$8000,"&gt;="&amp;MAX(N$5,DATE(2000+VALUE(RIGHT(TRIM($A415),2)),1,1)),'Timesheet Raw'!$L$4:$L$8000,"&lt;="&amp;MIN(N$6,DATE(2000+VALUE(RIGHT(TRIM($A415),2)),12,31))),SUMIFS('Timesheet Raw'!$P$4:$P$8000,'Timesheet Raw'!$B$4:$B$8000,TRIM($A415),'Timesheet Raw'!$C$4:$C$8000,"*"&amp;$B415&amp;"*",'Timesheet Raw'!$L$4:$L$8000,"&gt;="&amp;N$5,'Timesheet Raw'!$L$4:$L$8000,"&lt;="&amp;N$6)))/'Profit Plan'!$B$5)</f>
        <v/>
      </c>
      <c r="O415" s="122" t="str">
        <f>IF($A415="","",(IF(ISNUMBER(SEARCH("Proposal",$A415)),SUMIFS('Timesheet Raw'!$P$4:$P$8000,'Timesheet Raw'!$A$4:$A$8000,IF(ISNUMBER(SEARCH("Chargable",$A415)),"2-Proposals Chargeable","3-Proposals Regular"),'Timesheet Raw'!$C$4:$C$8000,"*"&amp;$B415&amp;"*",'Timesheet Raw'!$L$4:$L$8000,"&gt;="&amp;MAX(O$5,DATE(2000+VALUE(RIGHT(TRIM($A415),2)),1,1)),'Timesheet Raw'!$L$4:$L$8000,"&lt;="&amp;MIN(O$6,DATE(2000+VALUE(RIGHT(TRIM($A415),2)),12,31))),SUMIFS('Timesheet Raw'!$P$4:$P$8000,'Timesheet Raw'!$B$4:$B$8000,TRIM($A415),'Timesheet Raw'!$C$4:$C$8000,"*"&amp;$B415&amp;"*",'Timesheet Raw'!$L$4:$L$8000,"&gt;="&amp;O$5,'Timesheet Raw'!$L$4:$L$8000,"&lt;="&amp;O$6)))/'Profit Plan'!$B$5)</f>
        <v/>
      </c>
      <c r="P415" s="122" t="str">
        <f>IF($A415="","",(IF(ISNUMBER(SEARCH("Proposal",$A415)),SUMIFS('Timesheet Raw'!$P$4:$P$8000,'Timesheet Raw'!$A$4:$A$8000,IF(ISNUMBER(SEARCH("Chargable",$A415)),"2-Proposals Chargeable","3-Proposals Regular"),'Timesheet Raw'!$C$4:$C$8000,"*"&amp;$B415&amp;"*",'Timesheet Raw'!$L$4:$L$8000,"&gt;="&amp;MAX(P$5,DATE(2000+VALUE(RIGHT(TRIM($A415),2)),1,1)),'Timesheet Raw'!$L$4:$L$8000,"&lt;="&amp;MIN(P$6,DATE(2000+VALUE(RIGHT(TRIM($A415),2)),12,31))),SUMIFS('Timesheet Raw'!$P$4:$P$8000,'Timesheet Raw'!$B$4:$B$8000,TRIM($A415),'Timesheet Raw'!$C$4:$C$8000,"*"&amp;$B415&amp;"*",'Timesheet Raw'!$L$4:$L$8000,"&gt;="&amp;P$5,'Timesheet Raw'!$L$4:$L$8000,"&lt;="&amp;P$6)))/'Profit Plan'!$B$5)</f>
        <v/>
      </c>
      <c r="Q415" s="122" t="str">
        <f>IF($A415="","",(IF(ISNUMBER(SEARCH("Proposal",$A415)),SUMIFS('Timesheet Raw'!$P$4:$P$8000,'Timesheet Raw'!$A$4:$A$8000,IF(ISNUMBER(SEARCH("Chargable",$A415)),"2-Proposals Chargeable","3-Proposals Regular"),'Timesheet Raw'!$C$4:$C$8000,"*"&amp;$B415&amp;"*",'Timesheet Raw'!$L$4:$L$8000,"&gt;="&amp;MAX(Q$5,DATE(2000+VALUE(RIGHT(TRIM($A415),2)),1,1)),'Timesheet Raw'!$L$4:$L$8000,"&lt;="&amp;MIN(Q$6,DATE(2000+VALUE(RIGHT(TRIM($A415),2)),12,31))),SUMIFS('Timesheet Raw'!$P$4:$P$8000,'Timesheet Raw'!$B$4:$B$8000,TRIM($A415),'Timesheet Raw'!$C$4:$C$8000,"*"&amp;$B415&amp;"*",'Timesheet Raw'!$L$4:$L$8000,"&gt;="&amp;Q$5,'Timesheet Raw'!$L$4:$L$8000,"&lt;="&amp;Q$6)))/'Profit Plan'!$B$5)</f>
        <v/>
      </c>
      <c r="R415" s="122" t="str">
        <f>IF($A415="","",(IF(ISNUMBER(SEARCH("Proposal",$A415)),SUMIFS('Timesheet Raw'!$P$4:$P$8000,'Timesheet Raw'!$A$4:$A$8000,IF(ISNUMBER(SEARCH("Chargable",$A415)),"2-Proposals Chargeable","3-Proposals Regular"),'Timesheet Raw'!$C$4:$C$8000,"*"&amp;$B415&amp;"*",'Timesheet Raw'!$L$4:$L$8000,"&gt;="&amp;MAX(R$5,DATE(2000+VALUE(RIGHT(TRIM($A415),2)),1,1)),'Timesheet Raw'!$L$4:$L$8000,"&lt;="&amp;MIN(R$6,DATE(2000+VALUE(RIGHT(TRIM($A415),2)),12,31))),SUMIFS('Timesheet Raw'!$P$4:$P$8000,'Timesheet Raw'!$B$4:$B$8000,TRIM($A415),'Timesheet Raw'!$C$4:$C$8000,"*"&amp;$B415&amp;"*",'Timesheet Raw'!$L$4:$L$8000,"&gt;="&amp;R$5,'Timesheet Raw'!$L$4:$L$8000,"&lt;="&amp;R$6)))/'Profit Plan'!$B$5)</f>
        <v/>
      </c>
      <c r="S415" s="122" t="str">
        <f>IF($A415="","",(IF(ISNUMBER(SEARCH("Proposal",$A415)),SUMIFS('Timesheet Raw'!$P$4:$P$8000,'Timesheet Raw'!$A$4:$A$8000,IF(ISNUMBER(SEARCH("Chargable",$A415)),"2-Proposals Chargeable","3-Proposals Regular"),'Timesheet Raw'!$C$4:$C$8000,"*"&amp;$B415&amp;"*",'Timesheet Raw'!$L$4:$L$8000,"&gt;="&amp;MAX(S$5,DATE(2000+VALUE(RIGHT(TRIM($A415),2)),1,1)),'Timesheet Raw'!$L$4:$L$8000,"&lt;="&amp;MIN(S$6,DATE(2000+VALUE(RIGHT(TRIM($A415),2)),12,31))),SUMIFS('Timesheet Raw'!$P$4:$P$8000,'Timesheet Raw'!$B$4:$B$8000,TRIM($A415),'Timesheet Raw'!$C$4:$C$8000,"*"&amp;$B415&amp;"*",'Timesheet Raw'!$L$4:$L$8000,"&gt;="&amp;S$5,'Timesheet Raw'!$L$4:$L$8000,"&lt;="&amp;S$6)))/'Profit Plan'!$B$5)</f>
        <v/>
      </c>
      <c r="T415" s="122" t="str">
        <f>IF($A415="","",(IF(ISNUMBER(SEARCH("Proposal",$A415)),SUMIFS('Timesheet Raw'!$P$4:$P$8000,'Timesheet Raw'!$A$4:$A$8000,IF(ISNUMBER(SEARCH("Chargable",$A415)),"2-Proposals Chargeable","3-Proposals Regular"),'Timesheet Raw'!$C$4:$C$8000,"*"&amp;$B415&amp;"*",'Timesheet Raw'!$L$4:$L$8000,"&gt;="&amp;MAX(T$5,DATE(2000+VALUE(RIGHT(TRIM($A415),2)),1,1)),'Timesheet Raw'!$L$4:$L$8000,"&lt;="&amp;MIN(T$6,DATE(2000+VALUE(RIGHT(TRIM($A415),2)),12,31))),SUMIFS('Timesheet Raw'!$P$4:$P$8000,'Timesheet Raw'!$B$4:$B$8000,TRIM($A415),'Timesheet Raw'!$C$4:$C$8000,"*"&amp;$B415&amp;"*",'Timesheet Raw'!$L$4:$L$8000,"&gt;="&amp;T$5,'Timesheet Raw'!$L$4:$L$8000,"&lt;="&amp;T$6)))/'Profit Plan'!$B$5)</f>
        <v/>
      </c>
      <c r="U415" s="122" t="str">
        <f>IF($A415="","",(IF(ISNUMBER(SEARCH("Proposal",$A415)),SUMIFS('Timesheet Raw'!$P$4:$P$8000,'Timesheet Raw'!$A$4:$A$8000,IF(ISNUMBER(SEARCH("Chargable",$A415)),"2-Proposals Chargeable","3-Proposals Regular"),'Timesheet Raw'!$C$4:$C$8000,"*"&amp;$B415&amp;"*",'Timesheet Raw'!$L$4:$L$8000,"&gt;="&amp;MAX(U$5,DATE(2000+VALUE(RIGHT(TRIM($A415),2)),1,1)),'Timesheet Raw'!$L$4:$L$8000,"&lt;="&amp;MIN(U$6,DATE(2000+VALUE(RIGHT(TRIM($A415),2)),12,31))),SUMIFS('Timesheet Raw'!$P$4:$P$8000,'Timesheet Raw'!$B$4:$B$8000,TRIM($A415),'Timesheet Raw'!$C$4:$C$8000,"*"&amp;$B415&amp;"*",'Timesheet Raw'!$L$4:$L$8000,"&gt;="&amp;U$5,'Timesheet Raw'!$L$4:$L$8000,"&lt;="&amp;U$6)))/'Profit Plan'!$B$5)</f>
        <v/>
      </c>
      <c r="V415" s="122" t="str">
        <f>IF($A415="","",(IF(ISNUMBER(SEARCH("Proposal",$A415)),SUMIFS('Timesheet Raw'!$P$4:$P$8000,'Timesheet Raw'!$A$4:$A$8000,IF(ISNUMBER(SEARCH("Chargable",$A415)),"2-Proposals Chargeable","3-Proposals Regular"),'Timesheet Raw'!$C$4:$C$8000,"*"&amp;$B415&amp;"*",'Timesheet Raw'!$L$4:$L$8000,"&gt;="&amp;MAX(V$5,DATE(2000+VALUE(RIGHT(TRIM($A415),2)),1,1)),'Timesheet Raw'!$L$4:$L$8000,"&lt;="&amp;MIN(V$6,DATE(2000+VALUE(RIGHT(TRIM($A415),2)),12,31))),SUMIFS('Timesheet Raw'!$P$4:$P$8000,'Timesheet Raw'!$B$4:$B$8000,TRIM($A415),'Timesheet Raw'!$C$4:$C$8000,"*"&amp;$B415&amp;"*",'Timesheet Raw'!$L$4:$L$8000,"&gt;="&amp;V$5,'Timesheet Raw'!$L$4:$L$8000,"&lt;="&amp;V$6)))/'Profit Plan'!$B$5)</f>
        <v/>
      </c>
      <c r="W415" s="122" t="str">
        <f>IF($A415="","",(IF(ISNUMBER(SEARCH("Proposal",$A415)),SUMIFS('Timesheet Raw'!$P$4:$P$8000,'Timesheet Raw'!$A$4:$A$8000,IF(ISNUMBER(SEARCH("Chargable",$A415)),"2-Proposals Chargeable","3-Proposals Regular"),'Timesheet Raw'!$C$4:$C$8000,"*"&amp;$B415&amp;"*",'Timesheet Raw'!$L$4:$L$8000,"&gt;="&amp;MAX(W$5,DATE(2000+VALUE(RIGHT(TRIM($A415),2)),1,1)),'Timesheet Raw'!$L$4:$L$8000,"&lt;="&amp;MIN(W$6,DATE(2000+VALUE(RIGHT(TRIM($A415),2)),12,31))),SUMIFS('Timesheet Raw'!$P$4:$P$8000,'Timesheet Raw'!$B$4:$B$8000,TRIM($A415),'Timesheet Raw'!$C$4:$C$8000,"*"&amp;$B415&amp;"*",'Timesheet Raw'!$L$4:$L$8000,"&gt;="&amp;W$5,'Timesheet Raw'!$L$4:$L$8000,"&lt;="&amp;W$6)))/'Profit Plan'!$B$5)</f>
        <v/>
      </c>
      <c r="X415" s="122" t="str">
        <f>IF($A415="","",(IF(ISNUMBER(SEARCH("Proposal",$A415)),SUMIFS('Timesheet Raw'!$P$4:$P$8000,'Timesheet Raw'!$A$4:$A$8000,IF(ISNUMBER(SEARCH("Chargable",$A415)),"2-Proposals Chargeable","3-Proposals Regular"),'Timesheet Raw'!$C$4:$C$8000,"*"&amp;$B415&amp;"*",'Timesheet Raw'!$L$4:$L$8000,"&gt;="&amp;MAX(X$5,DATE(2000+VALUE(RIGHT(TRIM($A415),2)),1,1)),'Timesheet Raw'!$L$4:$L$8000,"&lt;="&amp;MIN(X$6,DATE(2000+VALUE(RIGHT(TRIM($A415),2)),12,31))),SUMIFS('Timesheet Raw'!$P$4:$P$8000,'Timesheet Raw'!$B$4:$B$8000,TRIM($A415),'Timesheet Raw'!$C$4:$C$8000,"*"&amp;$B415&amp;"*",'Timesheet Raw'!$L$4:$L$8000,"&gt;="&amp;X$5,'Timesheet Raw'!$L$4:$L$8000,"&lt;="&amp;X$6)))/'Profit Plan'!$B$5)</f>
        <v/>
      </c>
      <c r="Y415" s="118">
        <f t="shared" si="102"/>
        <v>0</v>
      </c>
    </row>
    <row r="416" spans="1:25" x14ac:dyDescent="0.3">
      <c r="A416" s="116" t="str">
        <f>IF(Inputs!$A56="","",Inputs!$A56)</f>
        <v/>
      </c>
      <c r="B416" s="116" t="str">
        <f>IF(Inputs!$A56="","",Inputs!$A$92)</f>
        <v/>
      </c>
      <c r="C416" s="116"/>
      <c r="D416" s="122" t="str">
        <f>IF($A416="","",(IF(ISNUMBER(SEARCH("Proposal",$A416)),SUMIFS('Timesheet Raw'!$P$4:$P$8000,'Timesheet Raw'!$A$4:$A$8000,IF(ISNUMBER(SEARCH("Chargable",$A416)),"2-Proposals Chargeable","3-Proposals Regular"),'Timesheet Raw'!$C$4:$C$8000,"*"&amp;$B416&amp;"*",'Timesheet Raw'!$L$4:$L$8000,"&gt;="&amp;MAX(D$5,DATE(2000+VALUE(RIGHT(TRIM($A416),2)),1,1)),'Timesheet Raw'!$L$4:$L$8000,"&lt;="&amp;MIN(D$6,DATE(2000+VALUE(RIGHT(TRIM($A416),2)),12,31))),SUMIFS('Timesheet Raw'!$P$4:$P$8000,'Timesheet Raw'!$B$4:$B$8000,TRIM($A416),'Timesheet Raw'!$C$4:$C$8000,"*"&amp;$B416&amp;"*",'Timesheet Raw'!$L$4:$L$8000,"&gt;="&amp;D$5,'Timesheet Raw'!$L$4:$L$8000,"&lt;="&amp;D$6)))/'Profit Plan'!$B$5)</f>
        <v/>
      </c>
      <c r="E416" s="122" t="str">
        <f>IF($A416="","",(IF(ISNUMBER(SEARCH("Proposal",$A416)),SUMIFS('Timesheet Raw'!$P$4:$P$8000,'Timesheet Raw'!$A$4:$A$8000,IF(ISNUMBER(SEARCH("Chargable",$A416)),"2-Proposals Chargeable","3-Proposals Regular"),'Timesheet Raw'!$C$4:$C$8000,"*"&amp;$B416&amp;"*",'Timesheet Raw'!$L$4:$L$8000,"&gt;="&amp;MAX(E$5,DATE(2000+VALUE(RIGHT(TRIM($A416),2)),1,1)),'Timesheet Raw'!$L$4:$L$8000,"&lt;="&amp;MIN(E$6,DATE(2000+VALUE(RIGHT(TRIM($A416),2)),12,31))),SUMIFS('Timesheet Raw'!$P$4:$P$8000,'Timesheet Raw'!$B$4:$B$8000,TRIM($A416),'Timesheet Raw'!$C$4:$C$8000,"*"&amp;$B416&amp;"*",'Timesheet Raw'!$L$4:$L$8000,"&gt;="&amp;E$5,'Timesheet Raw'!$L$4:$L$8000,"&lt;="&amp;E$6)))/'Profit Plan'!$B$5)</f>
        <v/>
      </c>
      <c r="F416" s="122" t="str">
        <f>IF($A416="","",(IF(ISNUMBER(SEARCH("Proposal",$A416)),SUMIFS('Timesheet Raw'!$P$4:$P$8000,'Timesheet Raw'!$A$4:$A$8000,IF(ISNUMBER(SEARCH("Chargable",$A416)),"2-Proposals Chargeable","3-Proposals Regular"),'Timesheet Raw'!$C$4:$C$8000,"*"&amp;$B416&amp;"*",'Timesheet Raw'!$L$4:$L$8000,"&gt;="&amp;MAX(F$5,DATE(2000+VALUE(RIGHT(TRIM($A416),2)),1,1)),'Timesheet Raw'!$L$4:$L$8000,"&lt;="&amp;MIN(F$6,DATE(2000+VALUE(RIGHT(TRIM($A416),2)),12,31))),SUMIFS('Timesheet Raw'!$P$4:$P$8000,'Timesheet Raw'!$B$4:$B$8000,TRIM($A416),'Timesheet Raw'!$C$4:$C$8000,"*"&amp;$B416&amp;"*",'Timesheet Raw'!$L$4:$L$8000,"&gt;="&amp;F$5,'Timesheet Raw'!$L$4:$L$8000,"&lt;="&amp;F$6)))/'Profit Plan'!$B$5)</f>
        <v/>
      </c>
      <c r="G416" s="122" t="str">
        <f>IF($A416="","",(IF(ISNUMBER(SEARCH("Proposal",$A416)),SUMIFS('Timesheet Raw'!$P$4:$P$8000,'Timesheet Raw'!$A$4:$A$8000,IF(ISNUMBER(SEARCH("Chargable",$A416)),"2-Proposals Chargeable","3-Proposals Regular"),'Timesheet Raw'!$C$4:$C$8000,"*"&amp;$B416&amp;"*",'Timesheet Raw'!$L$4:$L$8000,"&gt;="&amp;MAX(G$5,DATE(2000+VALUE(RIGHT(TRIM($A416),2)),1,1)),'Timesheet Raw'!$L$4:$L$8000,"&lt;="&amp;MIN(G$6,DATE(2000+VALUE(RIGHT(TRIM($A416),2)),12,31))),SUMIFS('Timesheet Raw'!$P$4:$P$8000,'Timesheet Raw'!$B$4:$B$8000,TRIM($A416),'Timesheet Raw'!$C$4:$C$8000,"*"&amp;$B416&amp;"*",'Timesheet Raw'!$L$4:$L$8000,"&gt;="&amp;G$5,'Timesheet Raw'!$L$4:$L$8000,"&lt;="&amp;G$6)))/'Profit Plan'!$B$5)</f>
        <v/>
      </c>
      <c r="H416" s="122" t="str">
        <f>IF($A416="","",(IF(ISNUMBER(SEARCH("Proposal",$A416)),SUMIFS('Timesheet Raw'!$P$4:$P$8000,'Timesheet Raw'!$A$4:$A$8000,IF(ISNUMBER(SEARCH("Chargable",$A416)),"2-Proposals Chargeable","3-Proposals Regular"),'Timesheet Raw'!$C$4:$C$8000,"*"&amp;$B416&amp;"*",'Timesheet Raw'!$L$4:$L$8000,"&gt;="&amp;MAX(H$5,DATE(2000+VALUE(RIGHT(TRIM($A416),2)),1,1)),'Timesheet Raw'!$L$4:$L$8000,"&lt;="&amp;MIN(H$6,DATE(2000+VALUE(RIGHT(TRIM($A416),2)),12,31))),SUMIFS('Timesheet Raw'!$P$4:$P$8000,'Timesheet Raw'!$B$4:$B$8000,TRIM($A416),'Timesheet Raw'!$C$4:$C$8000,"*"&amp;$B416&amp;"*",'Timesheet Raw'!$L$4:$L$8000,"&gt;="&amp;H$5,'Timesheet Raw'!$L$4:$L$8000,"&lt;="&amp;H$6)))/'Profit Plan'!$B$5)</f>
        <v/>
      </c>
      <c r="I416" s="122" t="str">
        <f>IF($A416="","",(IF(ISNUMBER(SEARCH("Proposal",$A416)),SUMIFS('Timesheet Raw'!$P$4:$P$8000,'Timesheet Raw'!$A$4:$A$8000,IF(ISNUMBER(SEARCH("Chargable",$A416)),"2-Proposals Chargeable","3-Proposals Regular"),'Timesheet Raw'!$C$4:$C$8000,"*"&amp;$B416&amp;"*",'Timesheet Raw'!$L$4:$L$8000,"&gt;="&amp;MAX(I$5,DATE(2000+VALUE(RIGHT(TRIM($A416),2)),1,1)),'Timesheet Raw'!$L$4:$L$8000,"&lt;="&amp;MIN(I$6,DATE(2000+VALUE(RIGHT(TRIM($A416),2)),12,31))),SUMIFS('Timesheet Raw'!$P$4:$P$8000,'Timesheet Raw'!$B$4:$B$8000,TRIM($A416),'Timesheet Raw'!$C$4:$C$8000,"*"&amp;$B416&amp;"*",'Timesheet Raw'!$L$4:$L$8000,"&gt;="&amp;I$5,'Timesheet Raw'!$L$4:$L$8000,"&lt;="&amp;I$6)))/'Profit Plan'!$B$5)</f>
        <v/>
      </c>
      <c r="J416" s="122" t="str">
        <f>IF($A416="","",(IF(ISNUMBER(SEARCH("Proposal",$A416)),SUMIFS('Timesheet Raw'!$P$4:$P$8000,'Timesheet Raw'!$A$4:$A$8000,IF(ISNUMBER(SEARCH("Chargable",$A416)),"2-Proposals Chargeable","3-Proposals Regular"),'Timesheet Raw'!$C$4:$C$8000,"*"&amp;$B416&amp;"*",'Timesheet Raw'!$L$4:$L$8000,"&gt;="&amp;MAX(J$5,DATE(2000+VALUE(RIGHT(TRIM($A416),2)),1,1)),'Timesheet Raw'!$L$4:$L$8000,"&lt;="&amp;MIN(J$6,DATE(2000+VALUE(RIGHT(TRIM($A416),2)),12,31))),SUMIFS('Timesheet Raw'!$P$4:$P$8000,'Timesheet Raw'!$B$4:$B$8000,TRIM($A416),'Timesheet Raw'!$C$4:$C$8000,"*"&amp;$B416&amp;"*",'Timesheet Raw'!$L$4:$L$8000,"&gt;="&amp;J$5,'Timesheet Raw'!$L$4:$L$8000,"&lt;="&amp;J$6)))/'Profit Plan'!$B$5)</f>
        <v/>
      </c>
      <c r="K416" s="122" t="str">
        <f>IF($A416="","",(IF(ISNUMBER(SEARCH("Proposal",$A416)),SUMIFS('Timesheet Raw'!$P$4:$P$8000,'Timesheet Raw'!$A$4:$A$8000,IF(ISNUMBER(SEARCH("Chargable",$A416)),"2-Proposals Chargeable","3-Proposals Regular"),'Timesheet Raw'!$C$4:$C$8000,"*"&amp;$B416&amp;"*",'Timesheet Raw'!$L$4:$L$8000,"&gt;="&amp;MAX(K$5,DATE(2000+VALUE(RIGHT(TRIM($A416),2)),1,1)),'Timesheet Raw'!$L$4:$L$8000,"&lt;="&amp;MIN(K$6,DATE(2000+VALUE(RIGHT(TRIM($A416),2)),12,31))),SUMIFS('Timesheet Raw'!$P$4:$P$8000,'Timesheet Raw'!$B$4:$B$8000,TRIM($A416),'Timesheet Raw'!$C$4:$C$8000,"*"&amp;$B416&amp;"*",'Timesheet Raw'!$L$4:$L$8000,"&gt;="&amp;K$5,'Timesheet Raw'!$L$4:$L$8000,"&lt;="&amp;K$6)))/'Profit Plan'!$B$5)</f>
        <v/>
      </c>
      <c r="L416" s="122" t="str">
        <f>IF($A416="","",(IF(ISNUMBER(SEARCH("Proposal",$A416)),SUMIFS('Timesheet Raw'!$P$4:$P$8000,'Timesheet Raw'!$A$4:$A$8000,IF(ISNUMBER(SEARCH("Chargable",$A416)),"2-Proposals Chargeable","3-Proposals Regular"),'Timesheet Raw'!$C$4:$C$8000,"*"&amp;$B416&amp;"*",'Timesheet Raw'!$L$4:$L$8000,"&gt;="&amp;MAX(L$5,DATE(2000+VALUE(RIGHT(TRIM($A416),2)),1,1)),'Timesheet Raw'!$L$4:$L$8000,"&lt;="&amp;MIN(L$6,DATE(2000+VALUE(RIGHT(TRIM($A416),2)),12,31))),SUMIFS('Timesheet Raw'!$P$4:$P$8000,'Timesheet Raw'!$B$4:$B$8000,TRIM($A416),'Timesheet Raw'!$C$4:$C$8000,"*"&amp;$B416&amp;"*",'Timesheet Raw'!$L$4:$L$8000,"&gt;="&amp;L$5,'Timesheet Raw'!$L$4:$L$8000,"&lt;="&amp;L$6)))/'Profit Plan'!$B$5)</f>
        <v/>
      </c>
      <c r="M416" s="122" t="str">
        <f>IF($A416="","",(IF(ISNUMBER(SEARCH("Proposal",$A416)),SUMIFS('Timesheet Raw'!$P$4:$P$8000,'Timesheet Raw'!$A$4:$A$8000,IF(ISNUMBER(SEARCH("Chargable",$A416)),"2-Proposals Chargeable","3-Proposals Regular"),'Timesheet Raw'!$C$4:$C$8000,"*"&amp;$B416&amp;"*",'Timesheet Raw'!$L$4:$L$8000,"&gt;="&amp;MAX(M$5,DATE(2000+VALUE(RIGHT(TRIM($A416),2)),1,1)),'Timesheet Raw'!$L$4:$L$8000,"&lt;="&amp;MIN(M$6,DATE(2000+VALUE(RIGHT(TRIM($A416),2)),12,31))),SUMIFS('Timesheet Raw'!$P$4:$P$8000,'Timesheet Raw'!$B$4:$B$8000,TRIM($A416),'Timesheet Raw'!$C$4:$C$8000,"*"&amp;$B416&amp;"*",'Timesheet Raw'!$L$4:$L$8000,"&gt;="&amp;M$5,'Timesheet Raw'!$L$4:$L$8000,"&lt;="&amp;M$6)))/'Profit Plan'!$B$5)</f>
        <v/>
      </c>
      <c r="N416" s="122" t="str">
        <f>IF($A416="","",(IF(ISNUMBER(SEARCH("Proposal",$A416)),SUMIFS('Timesheet Raw'!$P$4:$P$8000,'Timesheet Raw'!$A$4:$A$8000,IF(ISNUMBER(SEARCH("Chargable",$A416)),"2-Proposals Chargeable","3-Proposals Regular"),'Timesheet Raw'!$C$4:$C$8000,"*"&amp;$B416&amp;"*",'Timesheet Raw'!$L$4:$L$8000,"&gt;="&amp;MAX(N$5,DATE(2000+VALUE(RIGHT(TRIM($A416),2)),1,1)),'Timesheet Raw'!$L$4:$L$8000,"&lt;="&amp;MIN(N$6,DATE(2000+VALUE(RIGHT(TRIM($A416),2)),12,31))),SUMIFS('Timesheet Raw'!$P$4:$P$8000,'Timesheet Raw'!$B$4:$B$8000,TRIM($A416),'Timesheet Raw'!$C$4:$C$8000,"*"&amp;$B416&amp;"*",'Timesheet Raw'!$L$4:$L$8000,"&gt;="&amp;N$5,'Timesheet Raw'!$L$4:$L$8000,"&lt;="&amp;N$6)))/'Profit Plan'!$B$5)</f>
        <v/>
      </c>
      <c r="O416" s="122" t="str">
        <f>IF($A416="","",(IF(ISNUMBER(SEARCH("Proposal",$A416)),SUMIFS('Timesheet Raw'!$P$4:$P$8000,'Timesheet Raw'!$A$4:$A$8000,IF(ISNUMBER(SEARCH("Chargable",$A416)),"2-Proposals Chargeable","3-Proposals Regular"),'Timesheet Raw'!$C$4:$C$8000,"*"&amp;$B416&amp;"*",'Timesheet Raw'!$L$4:$L$8000,"&gt;="&amp;MAX(O$5,DATE(2000+VALUE(RIGHT(TRIM($A416),2)),1,1)),'Timesheet Raw'!$L$4:$L$8000,"&lt;="&amp;MIN(O$6,DATE(2000+VALUE(RIGHT(TRIM($A416),2)),12,31))),SUMIFS('Timesheet Raw'!$P$4:$P$8000,'Timesheet Raw'!$B$4:$B$8000,TRIM($A416),'Timesheet Raw'!$C$4:$C$8000,"*"&amp;$B416&amp;"*",'Timesheet Raw'!$L$4:$L$8000,"&gt;="&amp;O$5,'Timesheet Raw'!$L$4:$L$8000,"&lt;="&amp;O$6)))/'Profit Plan'!$B$5)</f>
        <v/>
      </c>
      <c r="P416" s="122" t="str">
        <f>IF($A416="","",(IF(ISNUMBER(SEARCH("Proposal",$A416)),SUMIFS('Timesheet Raw'!$P$4:$P$8000,'Timesheet Raw'!$A$4:$A$8000,IF(ISNUMBER(SEARCH("Chargable",$A416)),"2-Proposals Chargeable","3-Proposals Regular"),'Timesheet Raw'!$C$4:$C$8000,"*"&amp;$B416&amp;"*",'Timesheet Raw'!$L$4:$L$8000,"&gt;="&amp;MAX(P$5,DATE(2000+VALUE(RIGHT(TRIM($A416),2)),1,1)),'Timesheet Raw'!$L$4:$L$8000,"&lt;="&amp;MIN(P$6,DATE(2000+VALUE(RIGHT(TRIM($A416),2)),12,31))),SUMIFS('Timesheet Raw'!$P$4:$P$8000,'Timesheet Raw'!$B$4:$B$8000,TRIM($A416),'Timesheet Raw'!$C$4:$C$8000,"*"&amp;$B416&amp;"*",'Timesheet Raw'!$L$4:$L$8000,"&gt;="&amp;P$5,'Timesheet Raw'!$L$4:$L$8000,"&lt;="&amp;P$6)))/'Profit Plan'!$B$5)</f>
        <v/>
      </c>
      <c r="Q416" s="122" t="str">
        <f>IF($A416="","",(IF(ISNUMBER(SEARCH("Proposal",$A416)),SUMIFS('Timesheet Raw'!$P$4:$P$8000,'Timesheet Raw'!$A$4:$A$8000,IF(ISNUMBER(SEARCH("Chargable",$A416)),"2-Proposals Chargeable","3-Proposals Regular"),'Timesheet Raw'!$C$4:$C$8000,"*"&amp;$B416&amp;"*",'Timesheet Raw'!$L$4:$L$8000,"&gt;="&amp;MAX(Q$5,DATE(2000+VALUE(RIGHT(TRIM($A416),2)),1,1)),'Timesheet Raw'!$L$4:$L$8000,"&lt;="&amp;MIN(Q$6,DATE(2000+VALUE(RIGHT(TRIM($A416),2)),12,31))),SUMIFS('Timesheet Raw'!$P$4:$P$8000,'Timesheet Raw'!$B$4:$B$8000,TRIM($A416),'Timesheet Raw'!$C$4:$C$8000,"*"&amp;$B416&amp;"*",'Timesheet Raw'!$L$4:$L$8000,"&gt;="&amp;Q$5,'Timesheet Raw'!$L$4:$L$8000,"&lt;="&amp;Q$6)))/'Profit Plan'!$B$5)</f>
        <v/>
      </c>
      <c r="R416" s="122" t="str">
        <f>IF($A416="","",(IF(ISNUMBER(SEARCH("Proposal",$A416)),SUMIFS('Timesheet Raw'!$P$4:$P$8000,'Timesheet Raw'!$A$4:$A$8000,IF(ISNUMBER(SEARCH("Chargable",$A416)),"2-Proposals Chargeable","3-Proposals Regular"),'Timesheet Raw'!$C$4:$C$8000,"*"&amp;$B416&amp;"*",'Timesheet Raw'!$L$4:$L$8000,"&gt;="&amp;MAX(R$5,DATE(2000+VALUE(RIGHT(TRIM($A416),2)),1,1)),'Timesheet Raw'!$L$4:$L$8000,"&lt;="&amp;MIN(R$6,DATE(2000+VALUE(RIGHT(TRIM($A416),2)),12,31))),SUMIFS('Timesheet Raw'!$P$4:$P$8000,'Timesheet Raw'!$B$4:$B$8000,TRIM($A416),'Timesheet Raw'!$C$4:$C$8000,"*"&amp;$B416&amp;"*",'Timesheet Raw'!$L$4:$L$8000,"&gt;="&amp;R$5,'Timesheet Raw'!$L$4:$L$8000,"&lt;="&amp;R$6)))/'Profit Plan'!$B$5)</f>
        <v/>
      </c>
      <c r="S416" s="122" t="str">
        <f>IF($A416="","",(IF(ISNUMBER(SEARCH("Proposal",$A416)),SUMIFS('Timesheet Raw'!$P$4:$P$8000,'Timesheet Raw'!$A$4:$A$8000,IF(ISNUMBER(SEARCH("Chargable",$A416)),"2-Proposals Chargeable","3-Proposals Regular"),'Timesheet Raw'!$C$4:$C$8000,"*"&amp;$B416&amp;"*",'Timesheet Raw'!$L$4:$L$8000,"&gt;="&amp;MAX(S$5,DATE(2000+VALUE(RIGHT(TRIM($A416),2)),1,1)),'Timesheet Raw'!$L$4:$L$8000,"&lt;="&amp;MIN(S$6,DATE(2000+VALUE(RIGHT(TRIM($A416),2)),12,31))),SUMIFS('Timesheet Raw'!$P$4:$P$8000,'Timesheet Raw'!$B$4:$B$8000,TRIM($A416),'Timesheet Raw'!$C$4:$C$8000,"*"&amp;$B416&amp;"*",'Timesheet Raw'!$L$4:$L$8000,"&gt;="&amp;S$5,'Timesheet Raw'!$L$4:$L$8000,"&lt;="&amp;S$6)))/'Profit Plan'!$B$5)</f>
        <v/>
      </c>
      <c r="T416" s="122" t="str">
        <f>IF($A416="","",(IF(ISNUMBER(SEARCH("Proposal",$A416)),SUMIFS('Timesheet Raw'!$P$4:$P$8000,'Timesheet Raw'!$A$4:$A$8000,IF(ISNUMBER(SEARCH("Chargable",$A416)),"2-Proposals Chargeable","3-Proposals Regular"),'Timesheet Raw'!$C$4:$C$8000,"*"&amp;$B416&amp;"*",'Timesheet Raw'!$L$4:$L$8000,"&gt;="&amp;MAX(T$5,DATE(2000+VALUE(RIGHT(TRIM($A416),2)),1,1)),'Timesheet Raw'!$L$4:$L$8000,"&lt;="&amp;MIN(T$6,DATE(2000+VALUE(RIGHT(TRIM($A416),2)),12,31))),SUMIFS('Timesheet Raw'!$P$4:$P$8000,'Timesheet Raw'!$B$4:$B$8000,TRIM($A416),'Timesheet Raw'!$C$4:$C$8000,"*"&amp;$B416&amp;"*",'Timesheet Raw'!$L$4:$L$8000,"&gt;="&amp;T$5,'Timesheet Raw'!$L$4:$L$8000,"&lt;="&amp;T$6)))/'Profit Plan'!$B$5)</f>
        <v/>
      </c>
      <c r="U416" s="122" t="str">
        <f>IF($A416="","",(IF(ISNUMBER(SEARCH("Proposal",$A416)),SUMIFS('Timesheet Raw'!$P$4:$P$8000,'Timesheet Raw'!$A$4:$A$8000,IF(ISNUMBER(SEARCH("Chargable",$A416)),"2-Proposals Chargeable","3-Proposals Regular"),'Timesheet Raw'!$C$4:$C$8000,"*"&amp;$B416&amp;"*",'Timesheet Raw'!$L$4:$L$8000,"&gt;="&amp;MAX(U$5,DATE(2000+VALUE(RIGHT(TRIM($A416),2)),1,1)),'Timesheet Raw'!$L$4:$L$8000,"&lt;="&amp;MIN(U$6,DATE(2000+VALUE(RIGHT(TRIM($A416),2)),12,31))),SUMIFS('Timesheet Raw'!$P$4:$P$8000,'Timesheet Raw'!$B$4:$B$8000,TRIM($A416),'Timesheet Raw'!$C$4:$C$8000,"*"&amp;$B416&amp;"*",'Timesheet Raw'!$L$4:$L$8000,"&gt;="&amp;U$5,'Timesheet Raw'!$L$4:$L$8000,"&lt;="&amp;U$6)))/'Profit Plan'!$B$5)</f>
        <v/>
      </c>
      <c r="V416" s="122" t="str">
        <f>IF($A416="","",(IF(ISNUMBER(SEARCH("Proposal",$A416)),SUMIFS('Timesheet Raw'!$P$4:$P$8000,'Timesheet Raw'!$A$4:$A$8000,IF(ISNUMBER(SEARCH("Chargable",$A416)),"2-Proposals Chargeable","3-Proposals Regular"),'Timesheet Raw'!$C$4:$C$8000,"*"&amp;$B416&amp;"*",'Timesheet Raw'!$L$4:$L$8000,"&gt;="&amp;MAX(V$5,DATE(2000+VALUE(RIGHT(TRIM($A416),2)),1,1)),'Timesheet Raw'!$L$4:$L$8000,"&lt;="&amp;MIN(V$6,DATE(2000+VALUE(RIGHT(TRIM($A416),2)),12,31))),SUMIFS('Timesheet Raw'!$P$4:$P$8000,'Timesheet Raw'!$B$4:$B$8000,TRIM($A416),'Timesheet Raw'!$C$4:$C$8000,"*"&amp;$B416&amp;"*",'Timesheet Raw'!$L$4:$L$8000,"&gt;="&amp;V$5,'Timesheet Raw'!$L$4:$L$8000,"&lt;="&amp;V$6)))/'Profit Plan'!$B$5)</f>
        <v/>
      </c>
      <c r="W416" s="122" t="str">
        <f>IF($A416="","",(IF(ISNUMBER(SEARCH("Proposal",$A416)),SUMIFS('Timesheet Raw'!$P$4:$P$8000,'Timesheet Raw'!$A$4:$A$8000,IF(ISNUMBER(SEARCH("Chargable",$A416)),"2-Proposals Chargeable","3-Proposals Regular"),'Timesheet Raw'!$C$4:$C$8000,"*"&amp;$B416&amp;"*",'Timesheet Raw'!$L$4:$L$8000,"&gt;="&amp;MAX(W$5,DATE(2000+VALUE(RIGHT(TRIM($A416),2)),1,1)),'Timesheet Raw'!$L$4:$L$8000,"&lt;="&amp;MIN(W$6,DATE(2000+VALUE(RIGHT(TRIM($A416),2)),12,31))),SUMIFS('Timesheet Raw'!$P$4:$P$8000,'Timesheet Raw'!$B$4:$B$8000,TRIM($A416),'Timesheet Raw'!$C$4:$C$8000,"*"&amp;$B416&amp;"*",'Timesheet Raw'!$L$4:$L$8000,"&gt;="&amp;W$5,'Timesheet Raw'!$L$4:$L$8000,"&lt;="&amp;W$6)))/'Profit Plan'!$B$5)</f>
        <v/>
      </c>
      <c r="X416" s="122" t="str">
        <f>IF($A416="","",(IF(ISNUMBER(SEARCH("Proposal",$A416)),SUMIFS('Timesheet Raw'!$P$4:$P$8000,'Timesheet Raw'!$A$4:$A$8000,IF(ISNUMBER(SEARCH("Chargable",$A416)),"2-Proposals Chargeable","3-Proposals Regular"),'Timesheet Raw'!$C$4:$C$8000,"*"&amp;$B416&amp;"*",'Timesheet Raw'!$L$4:$L$8000,"&gt;="&amp;MAX(X$5,DATE(2000+VALUE(RIGHT(TRIM($A416),2)),1,1)),'Timesheet Raw'!$L$4:$L$8000,"&lt;="&amp;MIN(X$6,DATE(2000+VALUE(RIGHT(TRIM($A416),2)),12,31))),SUMIFS('Timesheet Raw'!$P$4:$P$8000,'Timesheet Raw'!$B$4:$B$8000,TRIM($A416),'Timesheet Raw'!$C$4:$C$8000,"*"&amp;$B416&amp;"*",'Timesheet Raw'!$L$4:$L$8000,"&gt;="&amp;X$5,'Timesheet Raw'!$L$4:$L$8000,"&lt;="&amp;X$6)))/'Profit Plan'!$B$5)</f>
        <v/>
      </c>
      <c r="Y416" s="118">
        <f t="shared" si="102"/>
        <v>0</v>
      </c>
    </row>
    <row r="417" spans="1:25" x14ac:dyDescent="0.3">
      <c r="A417" s="116" t="str">
        <f>IF(Inputs!$A56="","",Inputs!$A56)</f>
        <v/>
      </c>
      <c r="B417" s="116" t="str">
        <f>IF(Inputs!$A56="","",Inputs!$A$93)</f>
        <v/>
      </c>
      <c r="C417" s="116"/>
      <c r="D417" s="122" t="str">
        <f>IF($A417="","",(IF(ISNUMBER(SEARCH("Proposal",$A417)),SUMIFS('Timesheet Raw'!$P$4:$P$8000,'Timesheet Raw'!$A$4:$A$8000,IF(ISNUMBER(SEARCH("Chargable",$A417)),"2-Proposals Chargeable","3-Proposals Regular"),'Timesheet Raw'!$C$4:$C$8000,"*"&amp;$B417&amp;"*",'Timesheet Raw'!$L$4:$L$8000,"&gt;="&amp;MAX(D$5,DATE(2000+VALUE(RIGHT(TRIM($A417),2)),1,1)),'Timesheet Raw'!$L$4:$L$8000,"&lt;="&amp;MIN(D$6,DATE(2000+VALUE(RIGHT(TRIM($A417),2)),12,31))),SUMIFS('Timesheet Raw'!$P$4:$P$8000,'Timesheet Raw'!$B$4:$B$8000,TRIM($A417),'Timesheet Raw'!$C$4:$C$8000,"*"&amp;$B417&amp;"*",'Timesheet Raw'!$L$4:$L$8000,"&gt;="&amp;D$5,'Timesheet Raw'!$L$4:$L$8000,"&lt;="&amp;D$6)))/'Profit Plan'!$B$5)</f>
        <v/>
      </c>
      <c r="E417" s="122" t="str">
        <f>IF($A417="","",(IF(ISNUMBER(SEARCH("Proposal",$A417)),SUMIFS('Timesheet Raw'!$P$4:$P$8000,'Timesheet Raw'!$A$4:$A$8000,IF(ISNUMBER(SEARCH("Chargable",$A417)),"2-Proposals Chargeable","3-Proposals Regular"),'Timesheet Raw'!$C$4:$C$8000,"*"&amp;$B417&amp;"*",'Timesheet Raw'!$L$4:$L$8000,"&gt;="&amp;MAX(E$5,DATE(2000+VALUE(RIGHT(TRIM($A417),2)),1,1)),'Timesheet Raw'!$L$4:$L$8000,"&lt;="&amp;MIN(E$6,DATE(2000+VALUE(RIGHT(TRIM($A417),2)),12,31))),SUMIFS('Timesheet Raw'!$P$4:$P$8000,'Timesheet Raw'!$B$4:$B$8000,TRIM($A417),'Timesheet Raw'!$C$4:$C$8000,"*"&amp;$B417&amp;"*",'Timesheet Raw'!$L$4:$L$8000,"&gt;="&amp;E$5,'Timesheet Raw'!$L$4:$L$8000,"&lt;="&amp;E$6)))/'Profit Plan'!$B$5)</f>
        <v/>
      </c>
      <c r="F417" s="122" t="str">
        <f>IF($A417="","",(IF(ISNUMBER(SEARCH("Proposal",$A417)),SUMIFS('Timesheet Raw'!$P$4:$P$8000,'Timesheet Raw'!$A$4:$A$8000,IF(ISNUMBER(SEARCH("Chargable",$A417)),"2-Proposals Chargeable","3-Proposals Regular"),'Timesheet Raw'!$C$4:$C$8000,"*"&amp;$B417&amp;"*",'Timesheet Raw'!$L$4:$L$8000,"&gt;="&amp;MAX(F$5,DATE(2000+VALUE(RIGHT(TRIM($A417),2)),1,1)),'Timesheet Raw'!$L$4:$L$8000,"&lt;="&amp;MIN(F$6,DATE(2000+VALUE(RIGHT(TRIM($A417),2)),12,31))),SUMIFS('Timesheet Raw'!$P$4:$P$8000,'Timesheet Raw'!$B$4:$B$8000,TRIM($A417),'Timesheet Raw'!$C$4:$C$8000,"*"&amp;$B417&amp;"*",'Timesheet Raw'!$L$4:$L$8000,"&gt;="&amp;F$5,'Timesheet Raw'!$L$4:$L$8000,"&lt;="&amp;F$6)))/'Profit Plan'!$B$5)</f>
        <v/>
      </c>
      <c r="G417" s="122" t="str">
        <f>IF($A417="","",(IF(ISNUMBER(SEARCH("Proposal",$A417)),SUMIFS('Timesheet Raw'!$P$4:$P$8000,'Timesheet Raw'!$A$4:$A$8000,IF(ISNUMBER(SEARCH("Chargable",$A417)),"2-Proposals Chargeable","3-Proposals Regular"),'Timesheet Raw'!$C$4:$C$8000,"*"&amp;$B417&amp;"*",'Timesheet Raw'!$L$4:$L$8000,"&gt;="&amp;MAX(G$5,DATE(2000+VALUE(RIGHT(TRIM($A417),2)),1,1)),'Timesheet Raw'!$L$4:$L$8000,"&lt;="&amp;MIN(G$6,DATE(2000+VALUE(RIGHT(TRIM($A417),2)),12,31))),SUMIFS('Timesheet Raw'!$P$4:$P$8000,'Timesheet Raw'!$B$4:$B$8000,TRIM($A417),'Timesheet Raw'!$C$4:$C$8000,"*"&amp;$B417&amp;"*",'Timesheet Raw'!$L$4:$L$8000,"&gt;="&amp;G$5,'Timesheet Raw'!$L$4:$L$8000,"&lt;="&amp;G$6)))/'Profit Plan'!$B$5)</f>
        <v/>
      </c>
      <c r="H417" s="122" t="str">
        <f>IF($A417="","",(IF(ISNUMBER(SEARCH("Proposal",$A417)),SUMIFS('Timesheet Raw'!$P$4:$P$8000,'Timesheet Raw'!$A$4:$A$8000,IF(ISNUMBER(SEARCH("Chargable",$A417)),"2-Proposals Chargeable","3-Proposals Regular"),'Timesheet Raw'!$C$4:$C$8000,"*"&amp;$B417&amp;"*",'Timesheet Raw'!$L$4:$L$8000,"&gt;="&amp;MAX(H$5,DATE(2000+VALUE(RIGHT(TRIM($A417),2)),1,1)),'Timesheet Raw'!$L$4:$L$8000,"&lt;="&amp;MIN(H$6,DATE(2000+VALUE(RIGHT(TRIM($A417),2)),12,31))),SUMIFS('Timesheet Raw'!$P$4:$P$8000,'Timesheet Raw'!$B$4:$B$8000,TRIM($A417),'Timesheet Raw'!$C$4:$C$8000,"*"&amp;$B417&amp;"*",'Timesheet Raw'!$L$4:$L$8000,"&gt;="&amp;H$5,'Timesheet Raw'!$L$4:$L$8000,"&lt;="&amp;H$6)))/'Profit Plan'!$B$5)</f>
        <v/>
      </c>
      <c r="I417" s="122" t="str">
        <f>IF($A417="","",(IF(ISNUMBER(SEARCH("Proposal",$A417)),SUMIFS('Timesheet Raw'!$P$4:$P$8000,'Timesheet Raw'!$A$4:$A$8000,IF(ISNUMBER(SEARCH("Chargable",$A417)),"2-Proposals Chargeable","3-Proposals Regular"),'Timesheet Raw'!$C$4:$C$8000,"*"&amp;$B417&amp;"*",'Timesheet Raw'!$L$4:$L$8000,"&gt;="&amp;MAX(I$5,DATE(2000+VALUE(RIGHT(TRIM($A417),2)),1,1)),'Timesheet Raw'!$L$4:$L$8000,"&lt;="&amp;MIN(I$6,DATE(2000+VALUE(RIGHT(TRIM($A417),2)),12,31))),SUMIFS('Timesheet Raw'!$P$4:$P$8000,'Timesheet Raw'!$B$4:$B$8000,TRIM($A417),'Timesheet Raw'!$C$4:$C$8000,"*"&amp;$B417&amp;"*",'Timesheet Raw'!$L$4:$L$8000,"&gt;="&amp;I$5,'Timesheet Raw'!$L$4:$L$8000,"&lt;="&amp;I$6)))/'Profit Plan'!$B$5)</f>
        <v/>
      </c>
      <c r="J417" s="122" t="str">
        <f>IF($A417="","",(IF(ISNUMBER(SEARCH("Proposal",$A417)),SUMIFS('Timesheet Raw'!$P$4:$P$8000,'Timesheet Raw'!$A$4:$A$8000,IF(ISNUMBER(SEARCH("Chargable",$A417)),"2-Proposals Chargeable","3-Proposals Regular"),'Timesheet Raw'!$C$4:$C$8000,"*"&amp;$B417&amp;"*",'Timesheet Raw'!$L$4:$L$8000,"&gt;="&amp;MAX(J$5,DATE(2000+VALUE(RIGHT(TRIM($A417),2)),1,1)),'Timesheet Raw'!$L$4:$L$8000,"&lt;="&amp;MIN(J$6,DATE(2000+VALUE(RIGHT(TRIM($A417),2)),12,31))),SUMIFS('Timesheet Raw'!$P$4:$P$8000,'Timesheet Raw'!$B$4:$B$8000,TRIM($A417),'Timesheet Raw'!$C$4:$C$8000,"*"&amp;$B417&amp;"*",'Timesheet Raw'!$L$4:$L$8000,"&gt;="&amp;J$5,'Timesheet Raw'!$L$4:$L$8000,"&lt;="&amp;J$6)))/'Profit Plan'!$B$5)</f>
        <v/>
      </c>
      <c r="K417" s="122" t="str">
        <f>IF($A417="","",(IF(ISNUMBER(SEARCH("Proposal",$A417)),SUMIFS('Timesheet Raw'!$P$4:$P$8000,'Timesheet Raw'!$A$4:$A$8000,IF(ISNUMBER(SEARCH("Chargable",$A417)),"2-Proposals Chargeable","3-Proposals Regular"),'Timesheet Raw'!$C$4:$C$8000,"*"&amp;$B417&amp;"*",'Timesheet Raw'!$L$4:$L$8000,"&gt;="&amp;MAX(K$5,DATE(2000+VALUE(RIGHT(TRIM($A417),2)),1,1)),'Timesheet Raw'!$L$4:$L$8000,"&lt;="&amp;MIN(K$6,DATE(2000+VALUE(RIGHT(TRIM($A417),2)),12,31))),SUMIFS('Timesheet Raw'!$P$4:$P$8000,'Timesheet Raw'!$B$4:$B$8000,TRIM($A417),'Timesheet Raw'!$C$4:$C$8000,"*"&amp;$B417&amp;"*",'Timesheet Raw'!$L$4:$L$8000,"&gt;="&amp;K$5,'Timesheet Raw'!$L$4:$L$8000,"&lt;="&amp;K$6)))/'Profit Plan'!$B$5)</f>
        <v/>
      </c>
      <c r="L417" s="122" t="str">
        <f>IF($A417="","",(IF(ISNUMBER(SEARCH("Proposal",$A417)),SUMIFS('Timesheet Raw'!$P$4:$P$8000,'Timesheet Raw'!$A$4:$A$8000,IF(ISNUMBER(SEARCH("Chargable",$A417)),"2-Proposals Chargeable","3-Proposals Regular"),'Timesheet Raw'!$C$4:$C$8000,"*"&amp;$B417&amp;"*",'Timesheet Raw'!$L$4:$L$8000,"&gt;="&amp;MAX(L$5,DATE(2000+VALUE(RIGHT(TRIM($A417),2)),1,1)),'Timesheet Raw'!$L$4:$L$8000,"&lt;="&amp;MIN(L$6,DATE(2000+VALUE(RIGHT(TRIM($A417),2)),12,31))),SUMIFS('Timesheet Raw'!$P$4:$P$8000,'Timesheet Raw'!$B$4:$B$8000,TRIM($A417),'Timesheet Raw'!$C$4:$C$8000,"*"&amp;$B417&amp;"*",'Timesheet Raw'!$L$4:$L$8000,"&gt;="&amp;L$5,'Timesheet Raw'!$L$4:$L$8000,"&lt;="&amp;L$6)))/'Profit Plan'!$B$5)</f>
        <v/>
      </c>
      <c r="M417" s="122" t="str">
        <f>IF($A417="","",(IF(ISNUMBER(SEARCH("Proposal",$A417)),SUMIFS('Timesheet Raw'!$P$4:$P$8000,'Timesheet Raw'!$A$4:$A$8000,IF(ISNUMBER(SEARCH("Chargable",$A417)),"2-Proposals Chargeable","3-Proposals Regular"),'Timesheet Raw'!$C$4:$C$8000,"*"&amp;$B417&amp;"*",'Timesheet Raw'!$L$4:$L$8000,"&gt;="&amp;MAX(M$5,DATE(2000+VALUE(RIGHT(TRIM($A417),2)),1,1)),'Timesheet Raw'!$L$4:$L$8000,"&lt;="&amp;MIN(M$6,DATE(2000+VALUE(RIGHT(TRIM($A417),2)),12,31))),SUMIFS('Timesheet Raw'!$P$4:$P$8000,'Timesheet Raw'!$B$4:$B$8000,TRIM($A417),'Timesheet Raw'!$C$4:$C$8000,"*"&amp;$B417&amp;"*",'Timesheet Raw'!$L$4:$L$8000,"&gt;="&amp;M$5,'Timesheet Raw'!$L$4:$L$8000,"&lt;="&amp;M$6)))/'Profit Plan'!$B$5)</f>
        <v/>
      </c>
      <c r="N417" s="122" t="str">
        <f>IF($A417="","",(IF(ISNUMBER(SEARCH("Proposal",$A417)),SUMIFS('Timesheet Raw'!$P$4:$P$8000,'Timesheet Raw'!$A$4:$A$8000,IF(ISNUMBER(SEARCH("Chargable",$A417)),"2-Proposals Chargeable","3-Proposals Regular"),'Timesheet Raw'!$C$4:$C$8000,"*"&amp;$B417&amp;"*",'Timesheet Raw'!$L$4:$L$8000,"&gt;="&amp;MAX(N$5,DATE(2000+VALUE(RIGHT(TRIM($A417),2)),1,1)),'Timesheet Raw'!$L$4:$L$8000,"&lt;="&amp;MIN(N$6,DATE(2000+VALUE(RIGHT(TRIM($A417),2)),12,31))),SUMIFS('Timesheet Raw'!$P$4:$P$8000,'Timesheet Raw'!$B$4:$B$8000,TRIM($A417),'Timesheet Raw'!$C$4:$C$8000,"*"&amp;$B417&amp;"*",'Timesheet Raw'!$L$4:$L$8000,"&gt;="&amp;N$5,'Timesheet Raw'!$L$4:$L$8000,"&lt;="&amp;N$6)))/'Profit Plan'!$B$5)</f>
        <v/>
      </c>
      <c r="O417" s="122" t="str">
        <f>IF($A417="","",(IF(ISNUMBER(SEARCH("Proposal",$A417)),SUMIFS('Timesheet Raw'!$P$4:$P$8000,'Timesheet Raw'!$A$4:$A$8000,IF(ISNUMBER(SEARCH("Chargable",$A417)),"2-Proposals Chargeable","3-Proposals Regular"),'Timesheet Raw'!$C$4:$C$8000,"*"&amp;$B417&amp;"*",'Timesheet Raw'!$L$4:$L$8000,"&gt;="&amp;MAX(O$5,DATE(2000+VALUE(RIGHT(TRIM($A417),2)),1,1)),'Timesheet Raw'!$L$4:$L$8000,"&lt;="&amp;MIN(O$6,DATE(2000+VALUE(RIGHT(TRIM($A417),2)),12,31))),SUMIFS('Timesheet Raw'!$P$4:$P$8000,'Timesheet Raw'!$B$4:$B$8000,TRIM($A417),'Timesheet Raw'!$C$4:$C$8000,"*"&amp;$B417&amp;"*",'Timesheet Raw'!$L$4:$L$8000,"&gt;="&amp;O$5,'Timesheet Raw'!$L$4:$L$8000,"&lt;="&amp;O$6)))/'Profit Plan'!$B$5)</f>
        <v/>
      </c>
      <c r="P417" s="122" t="str">
        <f>IF($A417="","",(IF(ISNUMBER(SEARCH("Proposal",$A417)),SUMIFS('Timesheet Raw'!$P$4:$P$8000,'Timesheet Raw'!$A$4:$A$8000,IF(ISNUMBER(SEARCH("Chargable",$A417)),"2-Proposals Chargeable","3-Proposals Regular"),'Timesheet Raw'!$C$4:$C$8000,"*"&amp;$B417&amp;"*",'Timesheet Raw'!$L$4:$L$8000,"&gt;="&amp;MAX(P$5,DATE(2000+VALUE(RIGHT(TRIM($A417),2)),1,1)),'Timesheet Raw'!$L$4:$L$8000,"&lt;="&amp;MIN(P$6,DATE(2000+VALUE(RIGHT(TRIM($A417),2)),12,31))),SUMIFS('Timesheet Raw'!$P$4:$P$8000,'Timesheet Raw'!$B$4:$B$8000,TRIM($A417),'Timesheet Raw'!$C$4:$C$8000,"*"&amp;$B417&amp;"*",'Timesheet Raw'!$L$4:$L$8000,"&gt;="&amp;P$5,'Timesheet Raw'!$L$4:$L$8000,"&lt;="&amp;P$6)))/'Profit Plan'!$B$5)</f>
        <v/>
      </c>
      <c r="Q417" s="122" t="str">
        <f>IF($A417="","",(IF(ISNUMBER(SEARCH("Proposal",$A417)),SUMIFS('Timesheet Raw'!$P$4:$P$8000,'Timesheet Raw'!$A$4:$A$8000,IF(ISNUMBER(SEARCH("Chargable",$A417)),"2-Proposals Chargeable","3-Proposals Regular"),'Timesheet Raw'!$C$4:$C$8000,"*"&amp;$B417&amp;"*",'Timesheet Raw'!$L$4:$L$8000,"&gt;="&amp;MAX(Q$5,DATE(2000+VALUE(RIGHT(TRIM($A417),2)),1,1)),'Timesheet Raw'!$L$4:$L$8000,"&lt;="&amp;MIN(Q$6,DATE(2000+VALUE(RIGHT(TRIM($A417),2)),12,31))),SUMIFS('Timesheet Raw'!$P$4:$P$8000,'Timesheet Raw'!$B$4:$B$8000,TRIM($A417),'Timesheet Raw'!$C$4:$C$8000,"*"&amp;$B417&amp;"*",'Timesheet Raw'!$L$4:$L$8000,"&gt;="&amp;Q$5,'Timesheet Raw'!$L$4:$L$8000,"&lt;="&amp;Q$6)))/'Profit Plan'!$B$5)</f>
        <v/>
      </c>
      <c r="R417" s="122" t="str">
        <f>IF($A417="","",(IF(ISNUMBER(SEARCH("Proposal",$A417)),SUMIFS('Timesheet Raw'!$P$4:$P$8000,'Timesheet Raw'!$A$4:$A$8000,IF(ISNUMBER(SEARCH("Chargable",$A417)),"2-Proposals Chargeable","3-Proposals Regular"),'Timesheet Raw'!$C$4:$C$8000,"*"&amp;$B417&amp;"*",'Timesheet Raw'!$L$4:$L$8000,"&gt;="&amp;MAX(R$5,DATE(2000+VALUE(RIGHT(TRIM($A417),2)),1,1)),'Timesheet Raw'!$L$4:$L$8000,"&lt;="&amp;MIN(R$6,DATE(2000+VALUE(RIGHT(TRIM($A417),2)),12,31))),SUMIFS('Timesheet Raw'!$P$4:$P$8000,'Timesheet Raw'!$B$4:$B$8000,TRIM($A417),'Timesheet Raw'!$C$4:$C$8000,"*"&amp;$B417&amp;"*",'Timesheet Raw'!$L$4:$L$8000,"&gt;="&amp;R$5,'Timesheet Raw'!$L$4:$L$8000,"&lt;="&amp;R$6)))/'Profit Plan'!$B$5)</f>
        <v/>
      </c>
      <c r="S417" s="122" t="str">
        <f>IF($A417="","",(IF(ISNUMBER(SEARCH("Proposal",$A417)),SUMIFS('Timesheet Raw'!$P$4:$P$8000,'Timesheet Raw'!$A$4:$A$8000,IF(ISNUMBER(SEARCH("Chargable",$A417)),"2-Proposals Chargeable","3-Proposals Regular"),'Timesheet Raw'!$C$4:$C$8000,"*"&amp;$B417&amp;"*",'Timesheet Raw'!$L$4:$L$8000,"&gt;="&amp;MAX(S$5,DATE(2000+VALUE(RIGHT(TRIM($A417),2)),1,1)),'Timesheet Raw'!$L$4:$L$8000,"&lt;="&amp;MIN(S$6,DATE(2000+VALUE(RIGHT(TRIM($A417),2)),12,31))),SUMIFS('Timesheet Raw'!$P$4:$P$8000,'Timesheet Raw'!$B$4:$B$8000,TRIM($A417),'Timesheet Raw'!$C$4:$C$8000,"*"&amp;$B417&amp;"*",'Timesheet Raw'!$L$4:$L$8000,"&gt;="&amp;S$5,'Timesheet Raw'!$L$4:$L$8000,"&lt;="&amp;S$6)))/'Profit Plan'!$B$5)</f>
        <v/>
      </c>
      <c r="T417" s="122" t="str">
        <f>IF($A417="","",(IF(ISNUMBER(SEARCH("Proposal",$A417)),SUMIFS('Timesheet Raw'!$P$4:$P$8000,'Timesheet Raw'!$A$4:$A$8000,IF(ISNUMBER(SEARCH("Chargable",$A417)),"2-Proposals Chargeable","3-Proposals Regular"),'Timesheet Raw'!$C$4:$C$8000,"*"&amp;$B417&amp;"*",'Timesheet Raw'!$L$4:$L$8000,"&gt;="&amp;MAX(T$5,DATE(2000+VALUE(RIGHT(TRIM($A417),2)),1,1)),'Timesheet Raw'!$L$4:$L$8000,"&lt;="&amp;MIN(T$6,DATE(2000+VALUE(RIGHT(TRIM($A417),2)),12,31))),SUMIFS('Timesheet Raw'!$P$4:$P$8000,'Timesheet Raw'!$B$4:$B$8000,TRIM($A417),'Timesheet Raw'!$C$4:$C$8000,"*"&amp;$B417&amp;"*",'Timesheet Raw'!$L$4:$L$8000,"&gt;="&amp;T$5,'Timesheet Raw'!$L$4:$L$8000,"&lt;="&amp;T$6)))/'Profit Plan'!$B$5)</f>
        <v/>
      </c>
      <c r="U417" s="122" t="str">
        <f>IF($A417="","",(IF(ISNUMBER(SEARCH("Proposal",$A417)),SUMIFS('Timesheet Raw'!$P$4:$P$8000,'Timesheet Raw'!$A$4:$A$8000,IF(ISNUMBER(SEARCH("Chargable",$A417)),"2-Proposals Chargeable","3-Proposals Regular"),'Timesheet Raw'!$C$4:$C$8000,"*"&amp;$B417&amp;"*",'Timesheet Raw'!$L$4:$L$8000,"&gt;="&amp;MAX(U$5,DATE(2000+VALUE(RIGHT(TRIM($A417),2)),1,1)),'Timesheet Raw'!$L$4:$L$8000,"&lt;="&amp;MIN(U$6,DATE(2000+VALUE(RIGHT(TRIM($A417),2)),12,31))),SUMIFS('Timesheet Raw'!$P$4:$P$8000,'Timesheet Raw'!$B$4:$B$8000,TRIM($A417),'Timesheet Raw'!$C$4:$C$8000,"*"&amp;$B417&amp;"*",'Timesheet Raw'!$L$4:$L$8000,"&gt;="&amp;U$5,'Timesheet Raw'!$L$4:$L$8000,"&lt;="&amp;U$6)))/'Profit Plan'!$B$5)</f>
        <v/>
      </c>
      <c r="V417" s="122" t="str">
        <f>IF($A417="","",(IF(ISNUMBER(SEARCH("Proposal",$A417)),SUMIFS('Timesheet Raw'!$P$4:$P$8000,'Timesheet Raw'!$A$4:$A$8000,IF(ISNUMBER(SEARCH("Chargable",$A417)),"2-Proposals Chargeable","3-Proposals Regular"),'Timesheet Raw'!$C$4:$C$8000,"*"&amp;$B417&amp;"*",'Timesheet Raw'!$L$4:$L$8000,"&gt;="&amp;MAX(V$5,DATE(2000+VALUE(RIGHT(TRIM($A417),2)),1,1)),'Timesheet Raw'!$L$4:$L$8000,"&lt;="&amp;MIN(V$6,DATE(2000+VALUE(RIGHT(TRIM($A417),2)),12,31))),SUMIFS('Timesheet Raw'!$P$4:$P$8000,'Timesheet Raw'!$B$4:$B$8000,TRIM($A417),'Timesheet Raw'!$C$4:$C$8000,"*"&amp;$B417&amp;"*",'Timesheet Raw'!$L$4:$L$8000,"&gt;="&amp;V$5,'Timesheet Raw'!$L$4:$L$8000,"&lt;="&amp;V$6)))/'Profit Plan'!$B$5)</f>
        <v/>
      </c>
      <c r="W417" s="122" t="str">
        <f>IF($A417="","",(IF(ISNUMBER(SEARCH("Proposal",$A417)),SUMIFS('Timesheet Raw'!$P$4:$P$8000,'Timesheet Raw'!$A$4:$A$8000,IF(ISNUMBER(SEARCH("Chargable",$A417)),"2-Proposals Chargeable","3-Proposals Regular"),'Timesheet Raw'!$C$4:$C$8000,"*"&amp;$B417&amp;"*",'Timesheet Raw'!$L$4:$L$8000,"&gt;="&amp;MAX(W$5,DATE(2000+VALUE(RIGHT(TRIM($A417),2)),1,1)),'Timesheet Raw'!$L$4:$L$8000,"&lt;="&amp;MIN(W$6,DATE(2000+VALUE(RIGHT(TRIM($A417),2)),12,31))),SUMIFS('Timesheet Raw'!$P$4:$P$8000,'Timesheet Raw'!$B$4:$B$8000,TRIM($A417),'Timesheet Raw'!$C$4:$C$8000,"*"&amp;$B417&amp;"*",'Timesheet Raw'!$L$4:$L$8000,"&gt;="&amp;W$5,'Timesheet Raw'!$L$4:$L$8000,"&lt;="&amp;W$6)))/'Profit Plan'!$B$5)</f>
        <v/>
      </c>
      <c r="X417" s="122" t="str">
        <f>IF($A417="","",(IF(ISNUMBER(SEARCH("Proposal",$A417)),SUMIFS('Timesheet Raw'!$P$4:$P$8000,'Timesheet Raw'!$A$4:$A$8000,IF(ISNUMBER(SEARCH("Chargable",$A417)),"2-Proposals Chargeable","3-Proposals Regular"),'Timesheet Raw'!$C$4:$C$8000,"*"&amp;$B417&amp;"*",'Timesheet Raw'!$L$4:$L$8000,"&gt;="&amp;MAX(X$5,DATE(2000+VALUE(RIGHT(TRIM($A417),2)),1,1)),'Timesheet Raw'!$L$4:$L$8000,"&lt;="&amp;MIN(X$6,DATE(2000+VALUE(RIGHT(TRIM($A417),2)),12,31))),SUMIFS('Timesheet Raw'!$P$4:$P$8000,'Timesheet Raw'!$B$4:$B$8000,TRIM($A417),'Timesheet Raw'!$C$4:$C$8000,"*"&amp;$B417&amp;"*",'Timesheet Raw'!$L$4:$L$8000,"&gt;="&amp;X$5,'Timesheet Raw'!$L$4:$L$8000,"&lt;="&amp;X$6)))/'Profit Plan'!$B$5)</f>
        <v/>
      </c>
      <c r="Y417" s="118">
        <f t="shared" si="102"/>
        <v>0</v>
      </c>
    </row>
    <row r="418" spans="1:25" x14ac:dyDescent="0.3">
      <c r="A418" s="116" t="str">
        <f>IF(Inputs!$A57="","",Inputs!$A57)</f>
        <v/>
      </c>
      <c r="B418" s="116" t="str">
        <f>IF(Inputs!$A57="","",Inputs!$A$91)</f>
        <v/>
      </c>
      <c r="C418" s="116"/>
      <c r="D418" s="122" t="str">
        <f>IF($A418="","",(IF(ISNUMBER(SEARCH("Proposal",$A418)),SUMIFS('Timesheet Raw'!$P$4:$P$8000,'Timesheet Raw'!$A$4:$A$8000,IF(ISNUMBER(SEARCH("Chargable",$A418)),"2-Proposals Chargeable","3-Proposals Regular"),'Timesheet Raw'!$C$4:$C$8000,"*"&amp;$B418&amp;"*",'Timesheet Raw'!$L$4:$L$8000,"&gt;="&amp;MAX(D$5,DATE(2000+VALUE(RIGHT(TRIM($A418),2)),1,1)),'Timesheet Raw'!$L$4:$L$8000,"&lt;="&amp;MIN(D$6,DATE(2000+VALUE(RIGHT(TRIM($A418),2)),12,31))),SUMIFS('Timesheet Raw'!$P$4:$P$8000,'Timesheet Raw'!$B$4:$B$8000,TRIM($A418),'Timesheet Raw'!$C$4:$C$8000,"*"&amp;$B418&amp;"*",'Timesheet Raw'!$L$4:$L$8000,"&gt;="&amp;D$5,'Timesheet Raw'!$L$4:$L$8000,"&lt;="&amp;D$6)))/'Profit Plan'!$B$5)</f>
        <v/>
      </c>
      <c r="E418" s="122" t="str">
        <f>IF($A418="","",(IF(ISNUMBER(SEARCH("Proposal",$A418)),SUMIFS('Timesheet Raw'!$P$4:$P$8000,'Timesheet Raw'!$A$4:$A$8000,IF(ISNUMBER(SEARCH("Chargable",$A418)),"2-Proposals Chargeable","3-Proposals Regular"),'Timesheet Raw'!$C$4:$C$8000,"*"&amp;$B418&amp;"*",'Timesheet Raw'!$L$4:$L$8000,"&gt;="&amp;MAX(E$5,DATE(2000+VALUE(RIGHT(TRIM($A418),2)),1,1)),'Timesheet Raw'!$L$4:$L$8000,"&lt;="&amp;MIN(E$6,DATE(2000+VALUE(RIGHT(TRIM($A418),2)),12,31))),SUMIFS('Timesheet Raw'!$P$4:$P$8000,'Timesheet Raw'!$B$4:$B$8000,TRIM($A418),'Timesheet Raw'!$C$4:$C$8000,"*"&amp;$B418&amp;"*",'Timesheet Raw'!$L$4:$L$8000,"&gt;="&amp;E$5,'Timesheet Raw'!$L$4:$L$8000,"&lt;="&amp;E$6)))/'Profit Plan'!$B$5)</f>
        <v/>
      </c>
      <c r="F418" s="122" t="str">
        <f>IF($A418="","",(IF(ISNUMBER(SEARCH("Proposal",$A418)),SUMIFS('Timesheet Raw'!$P$4:$P$8000,'Timesheet Raw'!$A$4:$A$8000,IF(ISNUMBER(SEARCH("Chargable",$A418)),"2-Proposals Chargeable","3-Proposals Regular"),'Timesheet Raw'!$C$4:$C$8000,"*"&amp;$B418&amp;"*",'Timesheet Raw'!$L$4:$L$8000,"&gt;="&amp;MAX(F$5,DATE(2000+VALUE(RIGHT(TRIM($A418),2)),1,1)),'Timesheet Raw'!$L$4:$L$8000,"&lt;="&amp;MIN(F$6,DATE(2000+VALUE(RIGHT(TRIM($A418),2)),12,31))),SUMIFS('Timesheet Raw'!$P$4:$P$8000,'Timesheet Raw'!$B$4:$B$8000,TRIM($A418),'Timesheet Raw'!$C$4:$C$8000,"*"&amp;$B418&amp;"*",'Timesheet Raw'!$L$4:$L$8000,"&gt;="&amp;F$5,'Timesheet Raw'!$L$4:$L$8000,"&lt;="&amp;F$6)))/'Profit Plan'!$B$5)</f>
        <v/>
      </c>
      <c r="G418" s="122" t="str">
        <f>IF($A418="","",(IF(ISNUMBER(SEARCH("Proposal",$A418)),SUMIFS('Timesheet Raw'!$P$4:$P$8000,'Timesheet Raw'!$A$4:$A$8000,IF(ISNUMBER(SEARCH("Chargable",$A418)),"2-Proposals Chargeable","3-Proposals Regular"),'Timesheet Raw'!$C$4:$C$8000,"*"&amp;$B418&amp;"*",'Timesheet Raw'!$L$4:$L$8000,"&gt;="&amp;MAX(G$5,DATE(2000+VALUE(RIGHT(TRIM($A418),2)),1,1)),'Timesheet Raw'!$L$4:$L$8000,"&lt;="&amp;MIN(G$6,DATE(2000+VALUE(RIGHT(TRIM($A418),2)),12,31))),SUMIFS('Timesheet Raw'!$P$4:$P$8000,'Timesheet Raw'!$B$4:$B$8000,TRIM($A418),'Timesheet Raw'!$C$4:$C$8000,"*"&amp;$B418&amp;"*",'Timesheet Raw'!$L$4:$L$8000,"&gt;="&amp;G$5,'Timesheet Raw'!$L$4:$L$8000,"&lt;="&amp;G$6)))/'Profit Plan'!$B$5)</f>
        <v/>
      </c>
      <c r="H418" s="122" t="str">
        <f>IF($A418="","",(IF(ISNUMBER(SEARCH("Proposal",$A418)),SUMIFS('Timesheet Raw'!$P$4:$P$8000,'Timesheet Raw'!$A$4:$A$8000,IF(ISNUMBER(SEARCH("Chargable",$A418)),"2-Proposals Chargeable","3-Proposals Regular"),'Timesheet Raw'!$C$4:$C$8000,"*"&amp;$B418&amp;"*",'Timesheet Raw'!$L$4:$L$8000,"&gt;="&amp;MAX(H$5,DATE(2000+VALUE(RIGHT(TRIM($A418),2)),1,1)),'Timesheet Raw'!$L$4:$L$8000,"&lt;="&amp;MIN(H$6,DATE(2000+VALUE(RIGHT(TRIM($A418),2)),12,31))),SUMIFS('Timesheet Raw'!$P$4:$P$8000,'Timesheet Raw'!$B$4:$B$8000,TRIM($A418),'Timesheet Raw'!$C$4:$C$8000,"*"&amp;$B418&amp;"*",'Timesheet Raw'!$L$4:$L$8000,"&gt;="&amp;H$5,'Timesheet Raw'!$L$4:$L$8000,"&lt;="&amp;H$6)))/'Profit Plan'!$B$5)</f>
        <v/>
      </c>
      <c r="I418" s="122" t="str">
        <f>IF($A418="","",(IF(ISNUMBER(SEARCH("Proposal",$A418)),SUMIFS('Timesheet Raw'!$P$4:$P$8000,'Timesheet Raw'!$A$4:$A$8000,IF(ISNUMBER(SEARCH("Chargable",$A418)),"2-Proposals Chargeable","3-Proposals Regular"),'Timesheet Raw'!$C$4:$C$8000,"*"&amp;$B418&amp;"*",'Timesheet Raw'!$L$4:$L$8000,"&gt;="&amp;MAX(I$5,DATE(2000+VALUE(RIGHT(TRIM($A418),2)),1,1)),'Timesheet Raw'!$L$4:$L$8000,"&lt;="&amp;MIN(I$6,DATE(2000+VALUE(RIGHT(TRIM($A418),2)),12,31))),SUMIFS('Timesheet Raw'!$P$4:$P$8000,'Timesheet Raw'!$B$4:$B$8000,TRIM($A418),'Timesheet Raw'!$C$4:$C$8000,"*"&amp;$B418&amp;"*",'Timesheet Raw'!$L$4:$L$8000,"&gt;="&amp;I$5,'Timesheet Raw'!$L$4:$L$8000,"&lt;="&amp;I$6)))/'Profit Plan'!$B$5)</f>
        <v/>
      </c>
      <c r="J418" s="122" t="str">
        <f>IF($A418="","",(IF(ISNUMBER(SEARCH("Proposal",$A418)),SUMIFS('Timesheet Raw'!$P$4:$P$8000,'Timesheet Raw'!$A$4:$A$8000,IF(ISNUMBER(SEARCH("Chargable",$A418)),"2-Proposals Chargeable","3-Proposals Regular"),'Timesheet Raw'!$C$4:$C$8000,"*"&amp;$B418&amp;"*",'Timesheet Raw'!$L$4:$L$8000,"&gt;="&amp;MAX(J$5,DATE(2000+VALUE(RIGHT(TRIM($A418),2)),1,1)),'Timesheet Raw'!$L$4:$L$8000,"&lt;="&amp;MIN(J$6,DATE(2000+VALUE(RIGHT(TRIM($A418),2)),12,31))),SUMIFS('Timesheet Raw'!$P$4:$P$8000,'Timesheet Raw'!$B$4:$B$8000,TRIM($A418),'Timesheet Raw'!$C$4:$C$8000,"*"&amp;$B418&amp;"*",'Timesheet Raw'!$L$4:$L$8000,"&gt;="&amp;J$5,'Timesheet Raw'!$L$4:$L$8000,"&lt;="&amp;J$6)))/'Profit Plan'!$B$5)</f>
        <v/>
      </c>
      <c r="K418" s="122" t="str">
        <f>IF($A418="","",(IF(ISNUMBER(SEARCH("Proposal",$A418)),SUMIFS('Timesheet Raw'!$P$4:$P$8000,'Timesheet Raw'!$A$4:$A$8000,IF(ISNUMBER(SEARCH("Chargable",$A418)),"2-Proposals Chargeable","3-Proposals Regular"),'Timesheet Raw'!$C$4:$C$8000,"*"&amp;$B418&amp;"*",'Timesheet Raw'!$L$4:$L$8000,"&gt;="&amp;MAX(K$5,DATE(2000+VALUE(RIGHT(TRIM($A418),2)),1,1)),'Timesheet Raw'!$L$4:$L$8000,"&lt;="&amp;MIN(K$6,DATE(2000+VALUE(RIGHT(TRIM($A418),2)),12,31))),SUMIFS('Timesheet Raw'!$P$4:$P$8000,'Timesheet Raw'!$B$4:$B$8000,TRIM($A418),'Timesheet Raw'!$C$4:$C$8000,"*"&amp;$B418&amp;"*",'Timesheet Raw'!$L$4:$L$8000,"&gt;="&amp;K$5,'Timesheet Raw'!$L$4:$L$8000,"&lt;="&amp;K$6)))/'Profit Plan'!$B$5)</f>
        <v/>
      </c>
      <c r="L418" s="122" t="str">
        <f>IF($A418="","",(IF(ISNUMBER(SEARCH("Proposal",$A418)),SUMIFS('Timesheet Raw'!$P$4:$P$8000,'Timesheet Raw'!$A$4:$A$8000,IF(ISNUMBER(SEARCH("Chargable",$A418)),"2-Proposals Chargeable","3-Proposals Regular"),'Timesheet Raw'!$C$4:$C$8000,"*"&amp;$B418&amp;"*",'Timesheet Raw'!$L$4:$L$8000,"&gt;="&amp;MAX(L$5,DATE(2000+VALUE(RIGHT(TRIM($A418),2)),1,1)),'Timesheet Raw'!$L$4:$L$8000,"&lt;="&amp;MIN(L$6,DATE(2000+VALUE(RIGHT(TRIM($A418),2)),12,31))),SUMIFS('Timesheet Raw'!$P$4:$P$8000,'Timesheet Raw'!$B$4:$B$8000,TRIM($A418),'Timesheet Raw'!$C$4:$C$8000,"*"&amp;$B418&amp;"*",'Timesheet Raw'!$L$4:$L$8000,"&gt;="&amp;L$5,'Timesheet Raw'!$L$4:$L$8000,"&lt;="&amp;L$6)))/'Profit Plan'!$B$5)</f>
        <v/>
      </c>
      <c r="M418" s="122" t="str">
        <f>IF($A418="","",(IF(ISNUMBER(SEARCH("Proposal",$A418)),SUMIFS('Timesheet Raw'!$P$4:$P$8000,'Timesheet Raw'!$A$4:$A$8000,IF(ISNUMBER(SEARCH("Chargable",$A418)),"2-Proposals Chargeable","3-Proposals Regular"),'Timesheet Raw'!$C$4:$C$8000,"*"&amp;$B418&amp;"*",'Timesheet Raw'!$L$4:$L$8000,"&gt;="&amp;MAX(M$5,DATE(2000+VALUE(RIGHT(TRIM($A418),2)),1,1)),'Timesheet Raw'!$L$4:$L$8000,"&lt;="&amp;MIN(M$6,DATE(2000+VALUE(RIGHT(TRIM($A418),2)),12,31))),SUMIFS('Timesheet Raw'!$P$4:$P$8000,'Timesheet Raw'!$B$4:$B$8000,TRIM($A418),'Timesheet Raw'!$C$4:$C$8000,"*"&amp;$B418&amp;"*",'Timesheet Raw'!$L$4:$L$8000,"&gt;="&amp;M$5,'Timesheet Raw'!$L$4:$L$8000,"&lt;="&amp;M$6)))/'Profit Plan'!$B$5)</f>
        <v/>
      </c>
      <c r="N418" s="122" t="str">
        <f>IF($A418="","",(IF(ISNUMBER(SEARCH("Proposal",$A418)),SUMIFS('Timesheet Raw'!$P$4:$P$8000,'Timesheet Raw'!$A$4:$A$8000,IF(ISNUMBER(SEARCH("Chargable",$A418)),"2-Proposals Chargeable","3-Proposals Regular"),'Timesheet Raw'!$C$4:$C$8000,"*"&amp;$B418&amp;"*",'Timesheet Raw'!$L$4:$L$8000,"&gt;="&amp;MAX(N$5,DATE(2000+VALUE(RIGHT(TRIM($A418),2)),1,1)),'Timesheet Raw'!$L$4:$L$8000,"&lt;="&amp;MIN(N$6,DATE(2000+VALUE(RIGHT(TRIM($A418),2)),12,31))),SUMIFS('Timesheet Raw'!$P$4:$P$8000,'Timesheet Raw'!$B$4:$B$8000,TRIM($A418),'Timesheet Raw'!$C$4:$C$8000,"*"&amp;$B418&amp;"*",'Timesheet Raw'!$L$4:$L$8000,"&gt;="&amp;N$5,'Timesheet Raw'!$L$4:$L$8000,"&lt;="&amp;N$6)))/'Profit Plan'!$B$5)</f>
        <v/>
      </c>
      <c r="O418" s="122" t="str">
        <f>IF($A418="","",(IF(ISNUMBER(SEARCH("Proposal",$A418)),SUMIFS('Timesheet Raw'!$P$4:$P$8000,'Timesheet Raw'!$A$4:$A$8000,IF(ISNUMBER(SEARCH("Chargable",$A418)),"2-Proposals Chargeable","3-Proposals Regular"),'Timesheet Raw'!$C$4:$C$8000,"*"&amp;$B418&amp;"*",'Timesheet Raw'!$L$4:$L$8000,"&gt;="&amp;MAX(O$5,DATE(2000+VALUE(RIGHT(TRIM($A418),2)),1,1)),'Timesheet Raw'!$L$4:$L$8000,"&lt;="&amp;MIN(O$6,DATE(2000+VALUE(RIGHT(TRIM($A418),2)),12,31))),SUMIFS('Timesheet Raw'!$P$4:$P$8000,'Timesheet Raw'!$B$4:$B$8000,TRIM($A418),'Timesheet Raw'!$C$4:$C$8000,"*"&amp;$B418&amp;"*",'Timesheet Raw'!$L$4:$L$8000,"&gt;="&amp;O$5,'Timesheet Raw'!$L$4:$L$8000,"&lt;="&amp;O$6)))/'Profit Plan'!$B$5)</f>
        <v/>
      </c>
      <c r="P418" s="122" t="str">
        <f>IF($A418="","",(IF(ISNUMBER(SEARCH("Proposal",$A418)),SUMIFS('Timesheet Raw'!$P$4:$P$8000,'Timesheet Raw'!$A$4:$A$8000,IF(ISNUMBER(SEARCH("Chargable",$A418)),"2-Proposals Chargeable","3-Proposals Regular"),'Timesheet Raw'!$C$4:$C$8000,"*"&amp;$B418&amp;"*",'Timesheet Raw'!$L$4:$L$8000,"&gt;="&amp;MAX(P$5,DATE(2000+VALUE(RIGHT(TRIM($A418),2)),1,1)),'Timesheet Raw'!$L$4:$L$8000,"&lt;="&amp;MIN(P$6,DATE(2000+VALUE(RIGHT(TRIM($A418),2)),12,31))),SUMIFS('Timesheet Raw'!$P$4:$P$8000,'Timesheet Raw'!$B$4:$B$8000,TRIM($A418),'Timesheet Raw'!$C$4:$C$8000,"*"&amp;$B418&amp;"*",'Timesheet Raw'!$L$4:$L$8000,"&gt;="&amp;P$5,'Timesheet Raw'!$L$4:$L$8000,"&lt;="&amp;P$6)))/'Profit Plan'!$B$5)</f>
        <v/>
      </c>
      <c r="Q418" s="122" t="str">
        <f>IF($A418="","",(IF(ISNUMBER(SEARCH("Proposal",$A418)),SUMIFS('Timesheet Raw'!$P$4:$P$8000,'Timesheet Raw'!$A$4:$A$8000,IF(ISNUMBER(SEARCH("Chargable",$A418)),"2-Proposals Chargeable","3-Proposals Regular"),'Timesheet Raw'!$C$4:$C$8000,"*"&amp;$B418&amp;"*",'Timesheet Raw'!$L$4:$L$8000,"&gt;="&amp;MAX(Q$5,DATE(2000+VALUE(RIGHT(TRIM($A418),2)),1,1)),'Timesheet Raw'!$L$4:$L$8000,"&lt;="&amp;MIN(Q$6,DATE(2000+VALUE(RIGHT(TRIM($A418),2)),12,31))),SUMIFS('Timesheet Raw'!$P$4:$P$8000,'Timesheet Raw'!$B$4:$B$8000,TRIM($A418),'Timesheet Raw'!$C$4:$C$8000,"*"&amp;$B418&amp;"*",'Timesheet Raw'!$L$4:$L$8000,"&gt;="&amp;Q$5,'Timesheet Raw'!$L$4:$L$8000,"&lt;="&amp;Q$6)))/'Profit Plan'!$B$5)</f>
        <v/>
      </c>
      <c r="R418" s="122" t="str">
        <f>IF($A418="","",(IF(ISNUMBER(SEARCH("Proposal",$A418)),SUMIFS('Timesheet Raw'!$P$4:$P$8000,'Timesheet Raw'!$A$4:$A$8000,IF(ISNUMBER(SEARCH("Chargable",$A418)),"2-Proposals Chargeable","3-Proposals Regular"),'Timesheet Raw'!$C$4:$C$8000,"*"&amp;$B418&amp;"*",'Timesheet Raw'!$L$4:$L$8000,"&gt;="&amp;MAX(R$5,DATE(2000+VALUE(RIGHT(TRIM($A418),2)),1,1)),'Timesheet Raw'!$L$4:$L$8000,"&lt;="&amp;MIN(R$6,DATE(2000+VALUE(RIGHT(TRIM($A418),2)),12,31))),SUMIFS('Timesheet Raw'!$P$4:$P$8000,'Timesheet Raw'!$B$4:$B$8000,TRIM($A418),'Timesheet Raw'!$C$4:$C$8000,"*"&amp;$B418&amp;"*",'Timesheet Raw'!$L$4:$L$8000,"&gt;="&amp;R$5,'Timesheet Raw'!$L$4:$L$8000,"&lt;="&amp;R$6)))/'Profit Plan'!$B$5)</f>
        <v/>
      </c>
      <c r="S418" s="122" t="str">
        <f>IF($A418="","",(IF(ISNUMBER(SEARCH("Proposal",$A418)),SUMIFS('Timesheet Raw'!$P$4:$P$8000,'Timesheet Raw'!$A$4:$A$8000,IF(ISNUMBER(SEARCH("Chargable",$A418)),"2-Proposals Chargeable","3-Proposals Regular"),'Timesheet Raw'!$C$4:$C$8000,"*"&amp;$B418&amp;"*",'Timesheet Raw'!$L$4:$L$8000,"&gt;="&amp;MAX(S$5,DATE(2000+VALUE(RIGHT(TRIM($A418),2)),1,1)),'Timesheet Raw'!$L$4:$L$8000,"&lt;="&amp;MIN(S$6,DATE(2000+VALUE(RIGHT(TRIM($A418),2)),12,31))),SUMIFS('Timesheet Raw'!$P$4:$P$8000,'Timesheet Raw'!$B$4:$B$8000,TRIM($A418),'Timesheet Raw'!$C$4:$C$8000,"*"&amp;$B418&amp;"*",'Timesheet Raw'!$L$4:$L$8000,"&gt;="&amp;S$5,'Timesheet Raw'!$L$4:$L$8000,"&lt;="&amp;S$6)))/'Profit Plan'!$B$5)</f>
        <v/>
      </c>
      <c r="T418" s="122" t="str">
        <f>IF($A418="","",(IF(ISNUMBER(SEARCH("Proposal",$A418)),SUMIFS('Timesheet Raw'!$P$4:$P$8000,'Timesheet Raw'!$A$4:$A$8000,IF(ISNUMBER(SEARCH("Chargable",$A418)),"2-Proposals Chargeable","3-Proposals Regular"),'Timesheet Raw'!$C$4:$C$8000,"*"&amp;$B418&amp;"*",'Timesheet Raw'!$L$4:$L$8000,"&gt;="&amp;MAX(T$5,DATE(2000+VALUE(RIGHT(TRIM($A418),2)),1,1)),'Timesheet Raw'!$L$4:$L$8000,"&lt;="&amp;MIN(T$6,DATE(2000+VALUE(RIGHT(TRIM($A418),2)),12,31))),SUMIFS('Timesheet Raw'!$P$4:$P$8000,'Timesheet Raw'!$B$4:$B$8000,TRIM($A418),'Timesheet Raw'!$C$4:$C$8000,"*"&amp;$B418&amp;"*",'Timesheet Raw'!$L$4:$L$8000,"&gt;="&amp;T$5,'Timesheet Raw'!$L$4:$L$8000,"&lt;="&amp;T$6)))/'Profit Plan'!$B$5)</f>
        <v/>
      </c>
      <c r="U418" s="122" t="str">
        <f>IF($A418="","",(IF(ISNUMBER(SEARCH("Proposal",$A418)),SUMIFS('Timesheet Raw'!$P$4:$P$8000,'Timesheet Raw'!$A$4:$A$8000,IF(ISNUMBER(SEARCH("Chargable",$A418)),"2-Proposals Chargeable","3-Proposals Regular"),'Timesheet Raw'!$C$4:$C$8000,"*"&amp;$B418&amp;"*",'Timesheet Raw'!$L$4:$L$8000,"&gt;="&amp;MAX(U$5,DATE(2000+VALUE(RIGHT(TRIM($A418),2)),1,1)),'Timesheet Raw'!$L$4:$L$8000,"&lt;="&amp;MIN(U$6,DATE(2000+VALUE(RIGHT(TRIM($A418),2)),12,31))),SUMIFS('Timesheet Raw'!$P$4:$P$8000,'Timesheet Raw'!$B$4:$B$8000,TRIM($A418),'Timesheet Raw'!$C$4:$C$8000,"*"&amp;$B418&amp;"*",'Timesheet Raw'!$L$4:$L$8000,"&gt;="&amp;U$5,'Timesheet Raw'!$L$4:$L$8000,"&lt;="&amp;U$6)))/'Profit Plan'!$B$5)</f>
        <v/>
      </c>
      <c r="V418" s="122" t="str">
        <f>IF($A418="","",(IF(ISNUMBER(SEARCH("Proposal",$A418)),SUMIFS('Timesheet Raw'!$P$4:$P$8000,'Timesheet Raw'!$A$4:$A$8000,IF(ISNUMBER(SEARCH("Chargable",$A418)),"2-Proposals Chargeable","3-Proposals Regular"),'Timesheet Raw'!$C$4:$C$8000,"*"&amp;$B418&amp;"*",'Timesheet Raw'!$L$4:$L$8000,"&gt;="&amp;MAX(V$5,DATE(2000+VALUE(RIGHT(TRIM($A418),2)),1,1)),'Timesheet Raw'!$L$4:$L$8000,"&lt;="&amp;MIN(V$6,DATE(2000+VALUE(RIGHT(TRIM($A418),2)),12,31))),SUMIFS('Timesheet Raw'!$P$4:$P$8000,'Timesheet Raw'!$B$4:$B$8000,TRIM($A418),'Timesheet Raw'!$C$4:$C$8000,"*"&amp;$B418&amp;"*",'Timesheet Raw'!$L$4:$L$8000,"&gt;="&amp;V$5,'Timesheet Raw'!$L$4:$L$8000,"&lt;="&amp;V$6)))/'Profit Plan'!$B$5)</f>
        <v/>
      </c>
      <c r="W418" s="122" t="str">
        <f>IF($A418="","",(IF(ISNUMBER(SEARCH("Proposal",$A418)),SUMIFS('Timesheet Raw'!$P$4:$P$8000,'Timesheet Raw'!$A$4:$A$8000,IF(ISNUMBER(SEARCH("Chargable",$A418)),"2-Proposals Chargeable","3-Proposals Regular"),'Timesheet Raw'!$C$4:$C$8000,"*"&amp;$B418&amp;"*",'Timesheet Raw'!$L$4:$L$8000,"&gt;="&amp;MAX(W$5,DATE(2000+VALUE(RIGHT(TRIM($A418),2)),1,1)),'Timesheet Raw'!$L$4:$L$8000,"&lt;="&amp;MIN(W$6,DATE(2000+VALUE(RIGHT(TRIM($A418),2)),12,31))),SUMIFS('Timesheet Raw'!$P$4:$P$8000,'Timesheet Raw'!$B$4:$B$8000,TRIM($A418),'Timesheet Raw'!$C$4:$C$8000,"*"&amp;$B418&amp;"*",'Timesheet Raw'!$L$4:$L$8000,"&gt;="&amp;W$5,'Timesheet Raw'!$L$4:$L$8000,"&lt;="&amp;W$6)))/'Profit Plan'!$B$5)</f>
        <v/>
      </c>
      <c r="X418" s="122" t="str">
        <f>IF($A418="","",(IF(ISNUMBER(SEARCH("Proposal",$A418)),SUMIFS('Timesheet Raw'!$P$4:$P$8000,'Timesheet Raw'!$A$4:$A$8000,IF(ISNUMBER(SEARCH("Chargable",$A418)),"2-Proposals Chargeable","3-Proposals Regular"),'Timesheet Raw'!$C$4:$C$8000,"*"&amp;$B418&amp;"*",'Timesheet Raw'!$L$4:$L$8000,"&gt;="&amp;MAX(X$5,DATE(2000+VALUE(RIGHT(TRIM($A418),2)),1,1)),'Timesheet Raw'!$L$4:$L$8000,"&lt;="&amp;MIN(X$6,DATE(2000+VALUE(RIGHT(TRIM($A418),2)),12,31))),SUMIFS('Timesheet Raw'!$P$4:$P$8000,'Timesheet Raw'!$B$4:$B$8000,TRIM($A418),'Timesheet Raw'!$C$4:$C$8000,"*"&amp;$B418&amp;"*",'Timesheet Raw'!$L$4:$L$8000,"&gt;="&amp;X$5,'Timesheet Raw'!$L$4:$L$8000,"&lt;="&amp;X$6)))/'Profit Plan'!$B$5)</f>
        <v/>
      </c>
      <c r="Y418" s="118">
        <f t="shared" si="102"/>
        <v>0</v>
      </c>
    </row>
    <row r="419" spans="1:25" x14ac:dyDescent="0.3">
      <c r="A419" s="116" t="str">
        <f>IF(Inputs!$A57="","",Inputs!$A57)</f>
        <v/>
      </c>
      <c r="B419" s="116" t="str">
        <f>IF(Inputs!$A57="","",Inputs!$A$92)</f>
        <v/>
      </c>
      <c r="C419" s="116"/>
      <c r="D419" s="122" t="str">
        <f>IF($A419="","",(IF(ISNUMBER(SEARCH("Proposal",$A419)),SUMIFS('Timesheet Raw'!$P$4:$P$8000,'Timesheet Raw'!$A$4:$A$8000,IF(ISNUMBER(SEARCH("Chargable",$A419)),"2-Proposals Chargeable","3-Proposals Regular"),'Timesheet Raw'!$C$4:$C$8000,"*"&amp;$B419&amp;"*",'Timesheet Raw'!$L$4:$L$8000,"&gt;="&amp;MAX(D$5,DATE(2000+VALUE(RIGHT(TRIM($A419),2)),1,1)),'Timesheet Raw'!$L$4:$L$8000,"&lt;="&amp;MIN(D$6,DATE(2000+VALUE(RIGHT(TRIM($A419),2)),12,31))),SUMIFS('Timesheet Raw'!$P$4:$P$8000,'Timesheet Raw'!$B$4:$B$8000,TRIM($A419),'Timesheet Raw'!$C$4:$C$8000,"*"&amp;$B419&amp;"*",'Timesheet Raw'!$L$4:$L$8000,"&gt;="&amp;D$5,'Timesheet Raw'!$L$4:$L$8000,"&lt;="&amp;D$6)))/'Profit Plan'!$B$5)</f>
        <v/>
      </c>
      <c r="E419" s="122" t="str">
        <f>IF($A419="","",(IF(ISNUMBER(SEARCH("Proposal",$A419)),SUMIFS('Timesheet Raw'!$P$4:$P$8000,'Timesheet Raw'!$A$4:$A$8000,IF(ISNUMBER(SEARCH("Chargable",$A419)),"2-Proposals Chargeable","3-Proposals Regular"),'Timesheet Raw'!$C$4:$C$8000,"*"&amp;$B419&amp;"*",'Timesheet Raw'!$L$4:$L$8000,"&gt;="&amp;MAX(E$5,DATE(2000+VALUE(RIGHT(TRIM($A419),2)),1,1)),'Timesheet Raw'!$L$4:$L$8000,"&lt;="&amp;MIN(E$6,DATE(2000+VALUE(RIGHT(TRIM($A419),2)),12,31))),SUMIFS('Timesheet Raw'!$P$4:$P$8000,'Timesheet Raw'!$B$4:$B$8000,TRIM($A419),'Timesheet Raw'!$C$4:$C$8000,"*"&amp;$B419&amp;"*",'Timesheet Raw'!$L$4:$L$8000,"&gt;="&amp;E$5,'Timesheet Raw'!$L$4:$L$8000,"&lt;="&amp;E$6)))/'Profit Plan'!$B$5)</f>
        <v/>
      </c>
      <c r="F419" s="122" t="str">
        <f>IF($A419="","",(IF(ISNUMBER(SEARCH("Proposal",$A419)),SUMIFS('Timesheet Raw'!$P$4:$P$8000,'Timesheet Raw'!$A$4:$A$8000,IF(ISNUMBER(SEARCH("Chargable",$A419)),"2-Proposals Chargeable","3-Proposals Regular"),'Timesheet Raw'!$C$4:$C$8000,"*"&amp;$B419&amp;"*",'Timesheet Raw'!$L$4:$L$8000,"&gt;="&amp;MAX(F$5,DATE(2000+VALUE(RIGHT(TRIM($A419),2)),1,1)),'Timesheet Raw'!$L$4:$L$8000,"&lt;="&amp;MIN(F$6,DATE(2000+VALUE(RIGHT(TRIM($A419),2)),12,31))),SUMIFS('Timesheet Raw'!$P$4:$P$8000,'Timesheet Raw'!$B$4:$B$8000,TRIM($A419),'Timesheet Raw'!$C$4:$C$8000,"*"&amp;$B419&amp;"*",'Timesheet Raw'!$L$4:$L$8000,"&gt;="&amp;F$5,'Timesheet Raw'!$L$4:$L$8000,"&lt;="&amp;F$6)))/'Profit Plan'!$B$5)</f>
        <v/>
      </c>
      <c r="G419" s="122" t="str">
        <f>IF($A419="","",(IF(ISNUMBER(SEARCH("Proposal",$A419)),SUMIFS('Timesheet Raw'!$P$4:$P$8000,'Timesheet Raw'!$A$4:$A$8000,IF(ISNUMBER(SEARCH("Chargable",$A419)),"2-Proposals Chargeable","3-Proposals Regular"),'Timesheet Raw'!$C$4:$C$8000,"*"&amp;$B419&amp;"*",'Timesheet Raw'!$L$4:$L$8000,"&gt;="&amp;MAX(G$5,DATE(2000+VALUE(RIGHT(TRIM($A419),2)),1,1)),'Timesheet Raw'!$L$4:$L$8000,"&lt;="&amp;MIN(G$6,DATE(2000+VALUE(RIGHT(TRIM($A419),2)),12,31))),SUMIFS('Timesheet Raw'!$P$4:$P$8000,'Timesheet Raw'!$B$4:$B$8000,TRIM($A419),'Timesheet Raw'!$C$4:$C$8000,"*"&amp;$B419&amp;"*",'Timesheet Raw'!$L$4:$L$8000,"&gt;="&amp;G$5,'Timesheet Raw'!$L$4:$L$8000,"&lt;="&amp;G$6)))/'Profit Plan'!$B$5)</f>
        <v/>
      </c>
      <c r="H419" s="122" t="str">
        <f>IF($A419="","",(IF(ISNUMBER(SEARCH("Proposal",$A419)),SUMIFS('Timesheet Raw'!$P$4:$P$8000,'Timesheet Raw'!$A$4:$A$8000,IF(ISNUMBER(SEARCH("Chargable",$A419)),"2-Proposals Chargeable","3-Proposals Regular"),'Timesheet Raw'!$C$4:$C$8000,"*"&amp;$B419&amp;"*",'Timesheet Raw'!$L$4:$L$8000,"&gt;="&amp;MAX(H$5,DATE(2000+VALUE(RIGHT(TRIM($A419),2)),1,1)),'Timesheet Raw'!$L$4:$L$8000,"&lt;="&amp;MIN(H$6,DATE(2000+VALUE(RIGHT(TRIM($A419),2)),12,31))),SUMIFS('Timesheet Raw'!$P$4:$P$8000,'Timesheet Raw'!$B$4:$B$8000,TRIM($A419),'Timesheet Raw'!$C$4:$C$8000,"*"&amp;$B419&amp;"*",'Timesheet Raw'!$L$4:$L$8000,"&gt;="&amp;H$5,'Timesheet Raw'!$L$4:$L$8000,"&lt;="&amp;H$6)))/'Profit Plan'!$B$5)</f>
        <v/>
      </c>
      <c r="I419" s="122" t="str">
        <f>IF($A419="","",(IF(ISNUMBER(SEARCH("Proposal",$A419)),SUMIFS('Timesheet Raw'!$P$4:$P$8000,'Timesheet Raw'!$A$4:$A$8000,IF(ISNUMBER(SEARCH("Chargable",$A419)),"2-Proposals Chargeable","3-Proposals Regular"),'Timesheet Raw'!$C$4:$C$8000,"*"&amp;$B419&amp;"*",'Timesheet Raw'!$L$4:$L$8000,"&gt;="&amp;MAX(I$5,DATE(2000+VALUE(RIGHT(TRIM($A419),2)),1,1)),'Timesheet Raw'!$L$4:$L$8000,"&lt;="&amp;MIN(I$6,DATE(2000+VALUE(RIGHT(TRIM($A419),2)),12,31))),SUMIFS('Timesheet Raw'!$P$4:$P$8000,'Timesheet Raw'!$B$4:$B$8000,TRIM($A419),'Timesheet Raw'!$C$4:$C$8000,"*"&amp;$B419&amp;"*",'Timesheet Raw'!$L$4:$L$8000,"&gt;="&amp;I$5,'Timesheet Raw'!$L$4:$L$8000,"&lt;="&amp;I$6)))/'Profit Plan'!$B$5)</f>
        <v/>
      </c>
      <c r="J419" s="122" t="str">
        <f>IF($A419="","",(IF(ISNUMBER(SEARCH("Proposal",$A419)),SUMIFS('Timesheet Raw'!$P$4:$P$8000,'Timesheet Raw'!$A$4:$A$8000,IF(ISNUMBER(SEARCH("Chargable",$A419)),"2-Proposals Chargeable","3-Proposals Regular"),'Timesheet Raw'!$C$4:$C$8000,"*"&amp;$B419&amp;"*",'Timesheet Raw'!$L$4:$L$8000,"&gt;="&amp;MAX(J$5,DATE(2000+VALUE(RIGHT(TRIM($A419),2)),1,1)),'Timesheet Raw'!$L$4:$L$8000,"&lt;="&amp;MIN(J$6,DATE(2000+VALUE(RIGHT(TRIM($A419),2)),12,31))),SUMIFS('Timesheet Raw'!$P$4:$P$8000,'Timesheet Raw'!$B$4:$B$8000,TRIM($A419),'Timesheet Raw'!$C$4:$C$8000,"*"&amp;$B419&amp;"*",'Timesheet Raw'!$L$4:$L$8000,"&gt;="&amp;J$5,'Timesheet Raw'!$L$4:$L$8000,"&lt;="&amp;J$6)))/'Profit Plan'!$B$5)</f>
        <v/>
      </c>
      <c r="K419" s="122" t="str">
        <f>IF($A419="","",(IF(ISNUMBER(SEARCH("Proposal",$A419)),SUMIFS('Timesheet Raw'!$P$4:$P$8000,'Timesheet Raw'!$A$4:$A$8000,IF(ISNUMBER(SEARCH("Chargable",$A419)),"2-Proposals Chargeable","3-Proposals Regular"),'Timesheet Raw'!$C$4:$C$8000,"*"&amp;$B419&amp;"*",'Timesheet Raw'!$L$4:$L$8000,"&gt;="&amp;MAX(K$5,DATE(2000+VALUE(RIGHT(TRIM($A419),2)),1,1)),'Timesheet Raw'!$L$4:$L$8000,"&lt;="&amp;MIN(K$6,DATE(2000+VALUE(RIGHT(TRIM($A419),2)),12,31))),SUMIFS('Timesheet Raw'!$P$4:$P$8000,'Timesheet Raw'!$B$4:$B$8000,TRIM($A419),'Timesheet Raw'!$C$4:$C$8000,"*"&amp;$B419&amp;"*",'Timesheet Raw'!$L$4:$L$8000,"&gt;="&amp;K$5,'Timesheet Raw'!$L$4:$L$8000,"&lt;="&amp;K$6)))/'Profit Plan'!$B$5)</f>
        <v/>
      </c>
      <c r="L419" s="122" t="str">
        <f>IF($A419="","",(IF(ISNUMBER(SEARCH("Proposal",$A419)),SUMIFS('Timesheet Raw'!$P$4:$P$8000,'Timesheet Raw'!$A$4:$A$8000,IF(ISNUMBER(SEARCH("Chargable",$A419)),"2-Proposals Chargeable","3-Proposals Regular"),'Timesheet Raw'!$C$4:$C$8000,"*"&amp;$B419&amp;"*",'Timesheet Raw'!$L$4:$L$8000,"&gt;="&amp;MAX(L$5,DATE(2000+VALUE(RIGHT(TRIM($A419),2)),1,1)),'Timesheet Raw'!$L$4:$L$8000,"&lt;="&amp;MIN(L$6,DATE(2000+VALUE(RIGHT(TRIM($A419),2)),12,31))),SUMIFS('Timesheet Raw'!$P$4:$P$8000,'Timesheet Raw'!$B$4:$B$8000,TRIM($A419),'Timesheet Raw'!$C$4:$C$8000,"*"&amp;$B419&amp;"*",'Timesheet Raw'!$L$4:$L$8000,"&gt;="&amp;L$5,'Timesheet Raw'!$L$4:$L$8000,"&lt;="&amp;L$6)))/'Profit Plan'!$B$5)</f>
        <v/>
      </c>
      <c r="M419" s="122" t="str">
        <f>IF($A419="","",(IF(ISNUMBER(SEARCH("Proposal",$A419)),SUMIFS('Timesheet Raw'!$P$4:$P$8000,'Timesheet Raw'!$A$4:$A$8000,IF(ISNUMBER(SEARCH("Chargable",$A419)),"2-Proposals Chargeable","3-Proposals Regular"),'Timesheet Raw'!$C$4:$C$8000,"*"&amp;$B419&amp;"*",'Timesheet Raw'!$L$4:$L$8000,"&gt;="&amp;MAX(M$5,DATE(2000+VALUE(RIGHT(TRIM($A419),2)),1,1)),'Timesheet Raw'!$L$4:$L$8000,"&lt;="&amp;MIN(M$6,DATE(2000+VALUE(RIGHT(TRIM($A419),2)),12,31))),SUMIFS('Timesheet Raw'!$P$4:$P$8000,'Timesheet Raw'!$B$4:$B$8000,TRIM($A419),'Timesheet Raw'!$C$4:$C$8000,"*"&amp;$B419&amp;"*",'Timesheet Raw'!$L$4:$L$8000,"&gt;="&amp;M$5,'Timesheet Raw'!$L$4:$L$8000,"&lt;="&amp;M$6)))/'Profit Plan'!$B$5)</f>
        <v/>
      </c>
      <c r="N419" s="122" t="str">
        <f>IF($A419="","",(IF(ISNUMBER(SEARCH("Proposal",$A419)),SUMIFS('Timesheet Raw'!$P$4:$P$8000,'Timesheet Raw'!$A$4:$A$8000,IF(ISNUMBER(SEARCH("Chargable",$A419)),"2-Proposals Chargeable","3-Proposals Regular"),'Timesheet Raw'!$C$4:$C$8000,"*"&amp;$B419&amp;"*",'Timesheet Raw'!$L$4:$L$8000,"&gt;="&amp;MAX(N$5,DATE(2000+VALUE(RIGHT(TRIM($A419),2)),1,1)),'Timesheet Raw'!$L$4:$L$8000,"&lt;="&amp;MIN(N$6,DATE(2000+VALUE(RIGHT(TRIM($A419),2)),12,31))),SUMIFS('Timesheet Raw'!$P$4:$P$8000,'Timesheet Raw'!$B$4:$B$8000,TRIM($A419),'Timesheet Raw'!$C$4:$C$8000,"*"&amp;$B419&amp;"*",'Timesheet Raw'!$L$4:$L$8000,"&gt;="&amp;N$5,'Timesheet Raw'!$L$4:$L$8000,"&lt;="&amp;N$6)))/'Profit Plan'!$B$5)</f>
        <v/>
      </c>
      <c r="O419" s="122" t="str">
        <f>IF($A419="","",(IF(ISNUMBER(SEARCH("Proposal",$A419)),SUMIFS('Timesheet Raw'!$P$4:$P$8000,'Timesheet Raw'!$A$4:$A$8000,IF(ISNUMBER(SEARCH("Chargable",$A419)),"2-Proposals Chargeable","3-Proposals Regular"),'Timesheet Raw'!$C$4:$C$8000,"*"&amp;$B419&amp;"*",'Timesheet Raw'!$L$4:$L$8000,"&gt;="&amp;MAX(O$5,DATE(2000+VALUE(RIGHT(TRIM($A419),2)),1,1)),'Timesheet Raw'!$L$4:$L$8000,"&lt;="&amp;MIN(O$6,DATE(2000+VALUE(RIGHT(TRIM($A419),2)),12,31))),SUMIFS('Timesheet Raw'!$P$4:$P$8000,'Timesheet Raw'!$B$4:$B$8000,TRIM($A419),'Timesheet Raw'!$C$4:$C$8000,"*"&amp;$B419&amp;"*",'Timesheet Raw'!$L$4:$L$8000,"&gt;="&amp;O$5,'Timesheet Raw'!$L$4:$L$8000,"&lt;="&amp;O$6)))/'Profit Plan'!$B$5)</f>
        <v/>
      </c>
      <c r="P419" s="122" t="str">
        <f>IF($A419="","",(IF(ISNUMBER(SEARCH("Proposal",$A419)),SUMIFS('Timesheet Raw'!$P$4:$P$8000,'Timesheet Raw'!$A$4:$A$8000,IF(ISNUMBER(SEARCH("Chargable",$A419)),"2-Proposals Chargeable","3-Proposals Regular"),'Timesheet Raw'!$C$4:$C$8000,"*"&amp;$B419&amp;"*",'Timesheet Raw'!$L$4:$L$8000,"&gt;="&amp;MAX(P$5,DATE(2000+VALUE(RIGHT(TRIM($A419),2)),1,1)),'Timesheet Raw'!$L$4:$L$8000,"&lt;="&amp;MIN(P$6,DATE(2000+VALUE(RIGHT(TRIM($A419),2)),12,31))),SUMIFS('Timesheet Raw'!$P$4:$P$8000,'Timesheet Raw'!$B$4:$B$8000,TRIM($A419),'Timesheet Raw'!$C$4:$C$8000,"*"&amp;$B419&amp;"*",'Timesheet Raw'!$L$4:$L$8000,"&gt;="&amp;P$5,'Timesheet Raw'!$L$4:$L$8000,"&lt;="&amp;P$6)))/'Profit Plan'!$B$5)</f>
        <v/>
      </c>
      <c r="Q419" s="122" t="str">
        <f>IF($A419="","",(IF(ISNUMBER(SEARCH("Proposal",$A419)),SUMIFS('Timesheet Raw'!$P$4:$P$8000,'Timesheet Raw'!$A$4:$A$8000,IF(ISNUMBER(SEARCH("Chargable",$A419)),"2-Proposals Chargeable","3-Proposals Regular"),'Timesheet Raw'!$C$4:$C$8000,"*"&amp;$B419&amp;"*",'Timesheet Raw'!$L$4:$L$8000,"&gt;="&amp;MAX(Q$5,DATE(2000+VALUE(RIGHT(TRIM($A419),2)),1,1)),'Timesheet Raw'!$L$4:$L$8000,"&lt;="&amp;MIN(Q$6,DATE(2000+VALUE(RIGHT(TRIM($A419),2)),12,31))),SUMIFS('Timesheet Raw'!$P$4:$P$8000,'Timesheet Raw'!$B$4:$B$8000,TRIM($A419),'Timesheet Raw'!$C$4:$C$8000,"*"&amp;$B419&amp;"*",'Timesheet Raw'!$L$4:$L$8000,"&gt;="&amp;Q$5,'Timesheet Raw'!$L$4:$L$8000,"&lt;="&amp;Q$6)))/'Profit Plan'!$B$5)</f>
        <v/>
      </c>
      <c r="R419" s="122" t="str">
        <f>IF($A419="","",(IF(ISNUMBER(SEARCH("Proposal",$A419)),SUMIFS('Timesheet Raw'!$P$4:$P$8000,'Timesheet Raw'!$A$4:$A$8000,IF(ISNUMBER(SEARCH("Chargable",$A419)),"2-Proposals Chargeable","3-Proposals Regular"),'Timesheet Raw'!$C$4:$C$8000,"*"&amp;$B419&amp;"*",'Timesheet Raw'!$L$4:$L$8000,"&gt;="&amp;MAX(R$5,DATE(2000+VALUE(RIGHT(TRIM($A419),2)),1,1)),'Timesheet Raw'!$L$4:$L$8000,"&lt;="&amp;MIN(R$6,DATE(2000+VALUE(RIGHT(TRIM($A419),2)),12,31))),SUMIFS('Timesheet Raw'!$P$4:$P$8000,'Timesheet Raw'!$B$4:$B$8000,TRIM($A419),'Timesheet Raw'!$C$4:$C$8000,"*"&amp;$B419&amp;"*",'Timesheet Raw'!$L$4:$L$8000,"&gt;="&amp;R$5,'Timesheet Raw'!$L$4:$L$8000,"&lt;="&amp;R$6)))/'Profit Plan'!$B$5)</f>
        <v/>
      </c>
      <c r="S419" s="122" t="str">
        <f>IF($A419="","",(IF(ISNUMBER(SEARCH("Proposal",$A419)),SUMIFS('Timesheet Raw'!$P$4:$P$8000,'Timesheet Raw'!$A$4:$A$8000,IF(ISNUMBER(SEARCH("Chargable",$A419)),"2-Proposals Chargeable","3-Proposals Regular"),'Timesheet Raw'!$C$4:$C$8000,"*"&amp;$B419&amp;"*",'Timesheet Raw'!$L$4:$L$8000,"&gt;="&amp;MAX(S$5,DATE(2000+VALUE(RIGHT(TRIM($A419),2)),1,1)),'Timesheet Raw'!$L$4:$L$8000,"&lt;="&amp;MIN(S$6,DATE(2000+VALUE(RIGHT(TRIM($A419),2)),12,31))),SUMIFS('Timesheet Raw'!$P$4:$P$8000,'Timesheet Raw'!$B$4:$B$8000,TRIM($A419),'Timesheet Raw'!$C$4:$C$8000,"*"&amp;$B419&amp;"*",'Timesheet Raw'!$L$4:$L$8000,"&gt;="&amp;S$5,'Timesheet Raw'!$L$4:$L$8000,"&lt;="&amp;S$6)))/'Profit Plan'!$B$5)</f>
        <v/>
      </c>
      <c r="T419" s="122" t="str">
        <f>IF($A419="","",(IF(ISNUMBER(SEARCH("Proposal",$A419)),SUMIFS('Timesheet Raw'!$P$4:$P$8000,'Timesheet Raw'!$A$4:$A$8000,IF(ISNUMBER(SEARCH("Chargable",$A419)),"2-Proposals Chargeable","3-Proposals Regular"),'Timesheet Raw'!$C$4:$C$8000,"*"&amp;$B419&amp;"*",'Timesheet Raw'!$L$4:$L$8000,"&gt;="&amp;MAX(T$5,DATE(2000+VALUE(RIGHT(TRIM($A419),2)),1,1)),'Timesheet Raw'!$L$4:$L$8000,"&lt;="&amp;MIN(T$6,DATE(2000+VALUE(RIGHT(TRIM($A419),2)),12,31))),SUMIFS('Timesheet Raw'!$P$4:$P$8000,'Timesheet Raw'!$B$4:$B$8000,TRIM($A419),'Timesheet Raw'!$C$4:$C$8000,"*"&amp;$B419&amp;"*",'Timesheet Raw'!$L$4:$L$8000,"&gt;="&amp;T$5,'Timesheet Raw'!$L$4:$L$8000,"&lt;="&amp;T$6)))/'Profit Plan'!$B$5)</f>
        <v/>
      </c>
      <c r="U419" s="122" t="str">
        <f>IF($A419="","",(IF(ISNUMBER(SEARCH("Proposal",$A419)),SUMIFS('Timesheet Raw'!$P$4:$P$8000,'Timesheet Raw'!$A$4:$A$8000,IF(ISNUMBER(SEARCH("Chargable",$A419)),"2-Proposals Chargeable","3-Proposals Regular"),'Timesheet Raw'!$C$4:$C$8000,"*"&amp;$B419&amp;"*",'Timesheet Raw'!$L$4:$L$8000,"&gt;="&amp;MAX(U$5,DATE(2000+VALUE(RIGHT(TRIM($A419),2)),1,1)),'Timesheet Raw'!$L$4:$L$8000,"&lt;="&amp;MIN(U$6,DATE(2000+VALUE(RIGHT(TRIM($A419),2)),12,31))),SUMIFS('Timesheet Raw'!$P$4:$P$8000,'Timesheet Raw'!$B$4:$B$8000,TRIM($A419),'Timesheet Raw'!$C$4:$C$8000,"*"&amp;$B419&amp;"*",'Timesheet Raw'!$L$4:$L$8000,"&gt;="&amp;U$5,'Timesheet Raw'!$L$4:$L$8000,"&lt;="&amp;U$6)))/'Profit Plan'!$B$5)</f>
        <v/>
      </c>
      <c r="V419" s="122" t="str">
        <f>IF($A419="","",(IF(ISNUMBER(SEARCH("Proposal",$A419)),SUMIFS('Timesheet Raw'!$P$4:$P$8000,'Timesheet Raw'!$A$4:$A$8000,IF(ISNUMBER(SEARCH("Chargable",$A419)),"2-Proposals Chargeable","3-Proposals Regular"),'Timesheet Raw'!$C$4:$C$8000,"*"&amp;$B419&amp;"*",'Timesheet Raw'!$L$4:$L$8000,"&gt;="&amp;MAX(V$5,DATE(2000+VALUE(RIGHT(TRIM($A419),2)),1,1)),'Timesheet Raw'!$L$4:$L$8000,"&lt;="&amp;MIN(V$6,DATE(2000+VALUE(RIGHT(TRIM($A419),2)),12,31))),SUMIFS('Timesheet Raw'!$P$4:$P$8000,'Timesheet Raw'!$B$4:$B$8000,TRIM($A419),'Timesheet Raw'!$C$4:$C$8000,"*"&amp;$B419&amp;"*",'Timesheet Raw'!$L$4:$L$8000,"&gt;="&amp;V$5,'Timesheet Raw'!$L$4:$L$8000,"&lt;="&amp;V$6)))/'Profit Plan'!$B$5)</f>
        <v/>
      </c>
      <c r="W419" s="122" t="str">
        <f>IF($A419="","",(IF(ISNUMBER(SEARCH("Proposal",$A419)),SUMIFS('Timesheet Raw'!$P$4:$P$8000,'Timesheet Raw'!$A$4:$A$8000,IF(ISNUMBER(SEARCH("Chargable",$A419)),"2-Proposals Chargeable","3-Proposals Regular"),'Timesheet Raw'!$C$4:$C$8000,"*"&amp;$B419&amp;"*",'Timesheet Raw'!$L$4:$L$8000,"&gt;="&amp;MAX(W$5,DATE(2000+VALUE(RIGHT(TRIM($A419),2)),1,1)),'Timesheet Raw'!$L$4:$L$8000,"&lt;="&amp;MIN(W$6,DATE(2000+VALUE(RIGHT(TRIM($A419),2)),12,31))),SUMIFS('Timesheet Raw'!$P$4:$P$8000,'Timesheet Raw'!$B$4:$B$8000,TRIM($A419),'Timesheet Raw'!$C$4:$C$8000,"*"&amp;$B419&amp;"*",'Timesheet Raw'!$L$4:$L$8000,"&gt;="&amp;W$5,'Timesheet Raw'!$L$4:$L$8000,"&lt;="&amp;W$6)))/'Profit Plan'!$B$5)</f>
        <v/>
      </c>
      <c r="X419" s="122" t="str">
        <f>IF($A419="","",(IF(ISNUMBER(SEARCH("Proposal",$A419)),SUMIFS('Timesheet Raw'!$P$4:$P$8000,'Timesheet Raw'!$A$4:$A$8000,IF(ISNUMBER(SEARCH("Chargable",$A419)),"2-Proposals Chargeable","3-Proposals Regular"),'Timesheet Raw'!$C$4:$C$8000,"*"&amp;$B419&amp;"*",'Timesheet Raw'!$L$4:$L$8000,"&gt;="&amp;MAX(X$5,DATE(2000+VALUE(RIGHT(TRIM($A419),2)),1,1)),'Timesheet Raw'!$L$4:$L$8000,"&lt;="&amp;MIN(X$6,DATE(2000+VALUE(RIGHT(TRIM($A419),2)),12,31))),SUMIFS('Timesheet Raw'!$P$4:$P$8000,'Timesheet Raw'!$B$4:$B$8000,TRIM($A419),'Timesheet Raw'!$C$4:$C$8000,"*"&amp;$B419&amp;"*",'Timesheet Raw'!$L$4:$L$8000,"&gt;="&amp;X$5,'Timesheet Raw'!$L$4:$L$8000,"&lt;="&amp;X$6)))/'Profit Plan'!$B$5)</f>
        <v/>
      </c>
      <c r="Y419" s="118">
        <f t="shared" si="102"/>
        <v>0</v>
      </c>
    </row>
    <row r="420" spans="1:25" x14ac:dyDescent="0.3">
      <c r="A420" s="116" t="str">
        <f>IF(Inputs!$A57="","",Inputs!$A57)</f>
        <v/>
      </c>
      <c r="B420" s="116" t="str">
        <f>IF(Inputs!$A57="","",Inputs!$A$93)</f>
        <v/>
      </c>
      <c r="C420" s="116"/>
      <c r="D420" s="122" t="str">
        <f>IF($A420="","",(IF(ISNUMBER(SEARCH("Proposal",$A420)),SUMIFS('Timesheet Raw'!$P$4:$P$8000,'Timesheet Raw'!$A$4:$A$8000,IF(ISNUMBER(SEARCH("Chargable",$A420)),"2-Proposals Chargeable","3-Proposals Regular"),'Timesheet Raw'!$C$4:$C$8000,"*"&amp;$B420&amp;"*",'Timesheet Raw'!$L$4:$L$8000,"&gt;="&amp;MAX(D$5,DATE(2000+VALUE(RIGHT(TRIM($A420),2)),1,1)),'Timesheet Raw'!$L$4:$L$8000,"&lt;="&amp;MIN(D$6,DATE(2000+VALUE(RIGHT(TRIM($A420),2)),12,31))),SUMIFS('Timesheet Raw'!$P$4:$P$8000,'Timesheet Raw'!$B$4:$B$8000,TRIM($A420),'Timesheet Raw'!$C$4:$C$8000,"*"&amp;$B420&amp;"*",'Timesheet Raw'!$L$4:$L$8000,"&gt;="&amp;D$5,'Timesheet Raw'!$L$4:$L$8000,"&lt;="&amp;D$6)))/'Profit Plan'!$B$5)</f>
        <v/>
      </c>
      <c r="E420" s="122" t="str">
        <f>IF($A420="","",(IF(ISNUMBER(SEARCH("Proposal",$A420)),SUMIFS('Timesheet Raw'!$P$4:$P$8000,'Timesheet Raw'!$A$4:$A$8000,IF(ISNUMBER(SEARCH("Chargable",$A420)),"2-Proposals Chargeable","3-Proposals Regular"),'Timesheet Raw'!$C$4:$C$8000,"*"&amp;$B420&amp;"*",'Timesheet Raw'!$L$4:$L$8000,"&gt;="&amp;MAX(E$5,DATE(2000+VALUE(RIGHT(TRIM($A420),2)),1,1)),'Timesheet Raw'!$L$4:$L$8000,"&lt;="&amp;MIN(E$6,DATE(2000+VALUE(RIGHT(TRIM($A420),2)),12,31))),SUMIFS('Timesheet Raw'!$P$4:$P$8000,'Timesheet Raw'!$B$4:$B$8000,TRIM($A420),'Timesheet Raw'!$C$4:$C$8000,"*"&amp;$B420&amp;"*",'Timesheet Raw'!$L$4:$L$8000,"&gt;="&amp;E$5,'Timesheet Raw'!$L$4:$L$8000,"&lt;="&amp;E$6)))/'Profit Plan'!$B$5)</f>
        <v/>
      </c>
      <c r="F420" s="122" t="str">
        <f>IF($A420="","",(IF(ISNUMBER(SEARCH("Proposal",$A420)),SUMIFS('Timesheet Raw'!$P$4:$P$8000,'Timesheet Raw'!$A$4:$A$8000,IF(ISNUMBER(SEARCH("Chargable",$A420)),"2-Proposals Chargeable","3-Proposals Regular"),'Timesheet Raw'!$C$4:$C$8000,"*"&amp;$B420&amp;"*",'Timesheet Raw'!$L$4:$L$8000,"&gt;="&amp;MAX(F$5,DATE(2000+VALUE(RIGHT(TRIM($A420),2)),1,1)),'Timesheet Raw'!$L$4:$L$8000,"&lt;="&amp;MIN(F$6,DATE(2000+VALUE(RIGHT(TRIM($A420),2)),12,31))),SUMIFS('Timesheet Raw'!$P$4:$P$8000,'Timesheet Raw'!$B$4:$B$8000,TRIM($A420),'Timesheet Raw'!$C$4:$C$8000,"*"&amp;$B420&amp;"*",'Timesheet Raw'!$L$4:$L$8000,"&gt;="&amp;F$5,'Timesheet Raw'!$L$4:$L$8000,"&lt;="&amp;F$6)))/'Profit Plan'!$B$5)</f>
        <v/>
      </c>
      <c r="G420" s="122" t="str">
        <f>IF($A420="","",(IF(ISNUMBER(SEARCH("Proposal",$A420)),SUMIFS('Timesheet Raw'!$P$4:$P$8000,'Timesheet Raw'!$A$4:$A$8000,IF(ISNUMBER(SEARCH("Chargable",$A420)),"2-Proposals Chargeable","3-Proposals Regular"),'Timesheet Raw'!$C$4:$C$8000,"*"&amp;$B420&amp;"*",'Timesheet Raw'!$L$4:$L$8000,"&gt;="&amp;MAX(G$5,DATE(2000+VALUE(RIGHT(TRIM($A420),2)),1,1)),'Timesheet Raw'!$L$4:$L$8000,"&lt;="&amp;MIN(G$6,DATE(2000+VALUE(RIGHT(TRIM($A420),2)),12,31))),SUMIFS('Timesheet Raw'!$P$4:$P$8000,'Timesheet Raw'!$B$4:$B$8000,TRIM($A420),'Timesheet Raw'!$C$4:$C$8000,"*"&amp;$B420&amp;"*",'Timesheet Raw'!$L$4:$L$8000,"&gt;="&amp;G$5,'Timesheet Raw'!$L$4:$L$8000,"&lt;="&amp;G$6)))/'Profit Plan'!$B$5)</f>
        <v/>
      </c>
      <c r="H420" s="122" t="str">
        <f>IF($A420="","",(IF(ISNUMBER(SEARCH("Proposal",$A420)),SUMIFS('Timesheet Raw'!$P$4:$P$8000,'Timesheet Raw'!$A$4:$A$8000,IF(ISNUMBER(SEARCH("Chargable",$A420)),"2-Proposals Chargeable","3-Proposals Regular"),'Timesheet Raw'!$C$4:$C$8000,"*"&amp;$B420&amp;"*",'Timesheet Raw'!$L$4:$L$8000,"&gt;="&amp;MAX(H$5,DATE(2000+VALUE(RIGHT(TRIM($A420),2)),1,1)),'Timesheet Raw'!$L$4:$L$8000,"&lt;="&amp;MIN(H$6,DATE(2000+VALUE(RIGHT(TRIM($A420),2)),12,31))),SUMIFS('Timesheet Raw'!$P$4:$P$8000,'Timesheet Raw'!$B$4:$B$8000,TRIM($A420),'Timesheet Raw'!$C$4:$C$8000,"*"&amp;$B420&amp;"*",'Timesheet Raw'!$L$4:$L$8000,"&gt;="&amp;H$5,'Timesheet Raw'!$L$4:$L$8000,"&lt;="&amp;H$6)))/'Profit Plan'!$B$5)</f>
        <v/>
      </c>
      <c r="I420" s="122" t="str">
        <f>IF($A420="","",(IF(ISNUMBER(SEARCH("Proposal",$A420)),SUMIFS('Timesheet Raw'!$P$4:$P$8000,'Timesheet Raw'!$A$4:$A$8000,IF(ISNUMBER(SEARCH("Chargable",$A420)),"2-Proposals Chargeable","3-Proposals Regular"),'Timesheet Raw'!$C$4:$C$8000,"*"&amp;$B420&amp;"*",'Timesheet Raw'!$L$4:$L$8000,"&gt;="&amp;MAX(I$5,DATE(2000+VALUE(RIGHT(TRIM($A420),2)),1,1)),'Timesheet Raw'!$L$4:$L$8000,"&lt;="&amp;MIN(I$6,DATE(2000+VALUE(RIGHT(TRIM($A420),2)),12,31))),SUMIFS('Timesheet Raw'!$P$4:$P$8000,'Timesheet Raw'!$B$4:$B$8000,TRIM($A420),'Timesheet Raw'!$C$4:$C$8000,"*"&amp;$B420&amp;"*",'Timesheet Raw'!$L$4:$L$8000,"&gt;="&amp;I$5,'Timesheet Raw'!$L$4:$L$8000,"&lt;="&amp;I$6)))/'Profit Plan'!$B$5)</f>
        <v/>
      </c>
      <c r="J420" s="122" t="str">
        <f>IF($A420="","",(IF(ISNUMBER(SEARCH("Proposal",$A420)),SUMIFS('Timesheet Raw'!$P$4:$P$8000,'Timesheet Raw'!$A$4:$A$8000,IF(ISNUMBER(SEARCH("Chargable",$A420)),"2-Proposals Chargeable","3-Proposals Regular"),'Timesheet Raw'!$C$4:$C$8000,"*"&amp;$B420&amp;"*",'Timesheet Raw'!$L$4:$L$8000,"&gt;="&amp;MAX(J$5,DATE(2000+VALUE(RIGHT(TRIM($A420),2)),1,1)),'Timesheet Raw'!$L$4:$L$8000,"&lt;="&amp;MIN(J$6,DATE(2000+VALUE(RIGHT(TRIM($A420),2)),12,31))),SUMIFS('Timesheet Raw'!$P$4:$P$8000,'Timesheet Raw'!$B$4:$B$8000,TRIM($A420),'Timesheet Raw'!$C$4:$C$8000,"*"&amp;$B420&amp;"*",'Timesheet Raw'!$L$4:$L$8000,"&gt;="&amp;J$5,'Timesheet Raw'!$L$4:$L$8000,"&lt;="&amp;J$6)))/'Profit Plan'!$B$5)</f>
        <v/>
      </c>
      <c r="K420" s="122" t="str">
        <f>IF($A420="","",(IF(ISNUMBER(SEARCH("Proposal",$A420)),SUMIFS('Timesheet Raw'!$P$4:$P$8000,'Timesheet Raw'!$A$4:$A$8000,IF(ISNUMBER(SEARCH("Chargable",$A420)),"2-Proposals Chargeable","3-Proposals Regular"),'Timesheet Raw'!$C$4:$C$8000,"*"&amp;$B420&amp;"*",'Timesheet Raw'!$L$4:$L$8000,"&gt;="&amp;MAX(K$5,DATE(2000+VALUE(RIGHT(TRIM($A420),2)),1,1)),'Timesheet Raw'!$L$4:$L$8000,"&lt;="&amp;MIN(K$6,DATE(2000+VALUE(RIGHT(TRIM($A420),2)),12,31))),SUMIFS('Timesheet Raw'!$P$4:$P$8000,'Timesheet Raw'!$B$4:$B$8000,TRIM($A420),'Timesheet Raw'!$C$4:$C$8000,"*"&amp;$B420&amp;"*",'Timesheet Raw'!$L$4:$L$8000,"&gt;="&amp;K$5,'Timesheet Raw'!$L$4:$L$8000,"&lt;="&amp;K$6)))/'Profit Plan'!$B$5)</f>
        <v/>
      </c>
      <c r="L420" s="122" t="str">
        <f>IF($A420="","",(IF(ISNUMBER(SEARCH("Proposal",$A420)),SUMIFS('Timesheet Raw'!$P$4:$P$8000,'Timesheet Raw'!$A$4:$A$8000,IF(ISNUMBER(SEARCH("Chargable",$A420)),"2-Proposals Chargeable","3-Proposals Regular"),'Timesheet Raw'!$C$4:$C$8000,"*"&amp;$B420&amp;"*",'Timesheet Raw'!$L$4:$L$8000,"&gt;="&amp;MAX(L$5,DATE(2000+VALUE(RIGHT(TRIM($A420),2)),1,1)),'Timesheet Raw'!$L$4:$L$8000,"&lt;="&amp;MIN(L$6,DATE(2000+VALUE(RIGHT(TRIM($A420),2)),12,31))),SUMIFS('Timesheet Raw'!$P$4:$P$8000,'Timesheet Raw'!$B$4:$B$8000,TRIM($A420),'Timesheet Raw'!$C$4:$C$8000,"*"&amp;$B420&amp;"*",'Timesheet Raw'!$L$4:$L$8000,"&gt;="&amp;L$5,'Timesheet Raw'!$L$4:$L$8000,"&lt;="&amp;L$6)))/'Profit Plan'!$B$5)</f>
        <v/>
      </c>
      <c r="M420" s="122" t="str">
        <f>IF($A420="","",(IF(ISNUMBER(SEARCH("Proposal",$A420)),SUMIFS('Timesheet Raw'!$P$4:$P$8000,'Timesheet Raw'!$A$4:$A$8000,IF(ISNUMBER(SEARCH("Chargable",$A420)),"2-Proposals Chargeable","3-Proposals Regular"),'Timesheet Raw'!$C$4:$C$8000,"*"&amp;$B420&amp;"*",'Timesheet Raw'!$L$4:$L$8000,"&gt;="&amp;MAX(M$5,DATE(2000+VALUE(RIGHT(TRIM($A420),2)),1,1)),'Timesheet Raw'!$L$4:$L$8000,"&lt;="&amp;MIN(M$6,DATE(2000+VALUE(RIGHT(TRIM($A420),2)),12,31))),SUMIFS('Timesheet Raw'!$P$4:$P$8000,'Timesheet Raw'!$B$4:$B$8000,TRIM($A420),'Timesheet Raw'!$C$4:$C$8000,"*"&amp;$B420&amp;"*",'Timesheet Raw'!$L$4:$L$8000,"&gt;="&amp;M$5,'Timesheet Raw'!$L$4:$L$8000,"&lt;="&amp;M$6)))/'Profit Plan'!$B$5)</f>
        <v/>
      </c>
      <c r="N420" s="122" t="str">
        <f>IF($A420="","",(IF(ISNUMBER(SEARCH("Proposal",$A420)),SUMIFS('Timesheet Raw'!$P$4:$P$8000,'Timesheet Raw'!$A$4:$A$8000,IF(ISNUMBER(SEARCH("Chargable",$A420)),"2-Proposals Chargeable","3-Proposals Regular"),'Timesheet Raw'!$C$4:$C$8000,"*"&amp;$B420&amp;"*",'Timesheet Raw'!$L$4:$L$8000,"&gt;="&amp;MAX(N$5,DATE(2000+VALUE(RIGHT(TRIM($A420),2)),1,1)),'Timesheet Raw'!$L$4:$L$8000,"&lt;="&amp;MIN(N$6,DATE(2000+VALUE(RIGHT(TRIM($A420),2)),12,31))),SUMIFS('Timesheet Raw'!$P$4:$P$8000,'Timesheet Raw'!$B$4:$B$8000,TRIM($A420),'Timesheet Raw'!$C$4:$C$8000,"*"&amp;$B420&amp;"*",'Timesheet Raw'!$L$4:$L$8000,"&gt;="&amp;N$5,'Timesheet Raw'!$L$4:$L$8000,"&lt;="&amp;N$6)))/'Profit Plan'!$B$5)</f>
        <v/>
      </c>
      <c r="O420" s="122" t="str">
        <f>IF($A420="","",(IF(ISNUMBER(SEARCH("Proposal",$A420)),SUMIFS('Timesheet Raw'!$P$4:$P$8000,'Timesheet Raw'!$A$4:$A$8000,IF(ISNUMBER(SEARCH("Chargable",$A420)),"2-Proposals Chargeable","3-Proposals Regular"),'Timesheet Raw'!$C$4:$C$8000,"*"&amp;$B420&amp;"*",'Timesheet Raw'!$L$4:$L$8000,"&gt;="&amp;MAX(O$5,DATE(2000+VALUE(RIGHT(TRIM($A420),2)),1,1)),'Timesheet Raw'!$L$4:$L$8000,"&lt;="&amp;MIN(O$6,DATE(2000+VALUE(RIGHT(TRIM($A420),2)),12,31))),SUMIFS('Timesheet Raw'!$P$4:$P$8000,'Timesheet Raw'!$B$4:$B$8000,TRIM($A420),'Timesheet Raw'!$C$4:$C$8000,"*"&amp;$B420&amp;"*",'Timesheet Raw'!$L$4:$L$8000,"&gt;="&amp;O$5,'Timesheet Raw'!$L$4:$L$8000,"&lt;="&amp;O$6)))/'Profit Plan'!$B$5)</f>
        <v/>
      </c>
      <c r="P420" s="122" t="str">
        <f>IF($A420="","",(IF(ISNUMBER(SEARCH("Proposal",$A420)),SUMIFS('Timesheet Raw'!$P$4:$P$8000,'Timesheet Raw'!$A$4:$A$8000,IF(ISNUMBER(SEARCH("Chargable",$A420)),"2-Proposals Chargeable","3-Proposals Regular"),'Timesheet Raw'!$C$4:$C$8000,"*"&amp;$B420&amp;"*",'Timesheet Raw'!$L$4:$L$8000,"&gt;="&amp;MAX(P$5,DATE(2000+VALUE(RIGHT(TRIM($A420),2)),1,1)),'Timesheet Raw'!$L$4:$L$8000,"&lt;="&amp;MIN(P$6,DATE(2000+VALUE(RIGHT(TRIM($A420),2)),12,31))),SUMIFS('Timesheet Raw'!$P$4:$P$8000,'Timesheet Raw'!$B$4:$B$8000,TRIM($A420),'Timesheet Raw'!$C$4:$C$8000,"*"&amp;$B420&amp;"*",'Timesheet Raw'!$L$4:$L$8000,"&gt;="&amp;P$5,'Timesheet Raw'!$L$4:$L$8000,"&lt;="&amp;P$6)))/'Profit Plan'!$B$5)</f>
        <v/>
      </c>
      <c r="Q420" s="122" t="str">
        <f>IF($A420="","",(IF(ISNUMBER(SEARCH("Proposal",$A420)),SUMIFS('Timesheet Raw'!$P$4:$P$8000,'Timesheet Raw'!$A$4:$A$8000,IF(ISNUMBER(SEARCH("Chargable",$A420)),"2-Proposals Chargeable","3-Proposals Regular"),'Timesheet Raw'!$C$4:$C$8000,"*"&amp;$B420&amp;"*",'Timesheet Raw'!$L$4:$L$8000,"&gt;="&amp;MAX(Q$5,DATE(2000+VALUE(RIGHT(TRIM($A420),2)),1,1)),'Timesheet Raw'!$L$4:$L$8000,"&lt;="&amp;MIN(Q$6,DATE(2000+VALUE(RIGHT(TRIM($A420),2)),12,31))),SUMIFS('Timesheet Raw'!$P$4:$P$8000,'Timesheet Raw'!$B$4:$B$8000,TRIM($A420),'Timesheet Raw'!$C$4:$C$8000,"*"&amp;$B420&amp;"*",'Timesheet Raw'!$L$4:$L$8000,"&gt;="&amp;Q$5,'Timesheet Raw'!$L$4:$L$8000,"&lt;="&amp;Q$6)))/'Profit Plan'!$B$5)</f>
        <v/>
      </c>
      <c r="R420" s="122" t="str">
        <f>IF($A420="","",(IF(ISNUMBER(SEARCH("Proposal",$A420)),SUMIFS('Timesheet Raw'!$P$4:$P$8000,'Timesheet Raw'!$A$4:$A$8000,IF(ISNUMBER(SEARCH("Chargable",$A420)),"2-Proposals Chargeable","3-Proposals Regular"),'Timesheet Raw'!$C$4:$C$8000,"*"&amp;$B420&amp;"*",'Timesheet Raw'!$L$4:$L$8000,"&gt;="&amp;MAX(R$5,DATE(2000+VALUE(RIGHT(TRIM($A420),2)),1,1)),'Timesheet Raw'!$L$4:$L$8000,"&lt;="&amp;MIN(R$6,DATE(2000+VALUE(RIGHT(TRIM($A420),2)),12,31))),SUMIFS('Timesheet Raw'!$P$4:$P$8000,'Timesheet Raw'!$B$4:$B$8000,TRIM($A420),'Timesheet Raw'!$C$4:$C$8000,"*"&amp;$B420&amp;"*",'Timesheet Raw'!$L$4:$L$8000,"&gt;="&amp;R$5,'Timesheet Raw'!$L$4:$L$8000,"&lt;="&amp;R$6)))/'Profit Plan'!$B$5)</f>
        <v/>
      </c>
      <c r="S420" s="122" t="str">
        <f>IF($A420="","",(IF(ISNUMBER(SEARCH("Proposal",$A420)),SUMIFS('Timesheet Raw'!$P$4:$P$8000,'Timesheet Raw'!$A$4:$A$8000,IF(ISNUMBER(SEARCH("Chargable",$A420)),"2-Proposals Chargeable","3-Proposals Regular"),'Timesheet Raw'!$C$4:$C$8000,"*"&amp;$B420&amp;"*",'Timesheet Raw'!$L$4:$L$8000,"&gt;="&amp;MAX(S$5,DATE(2000+VALUE(RIGHT(TRIM($A420),2)),1,1)),'Timesheet Raw'!$L$4:$L$8000,"&lt;="&amp;MIN(S$6,DATE(2000+VALUE(RIGHT(TRIM($A420),2)),12,31))),SUMIFS('Timesheet Raw'!$P$4:$P$8000,'Timesheet Raw'!$B$4:$B$8000,TRIM($A420),'Timesheet Raw'!$C$4:$C$8000,"*"&amp;$B420&amp;"*",'Timesheet Raw'!$L$4:$L$8000,"&gt;="&amp;S$5,'Timesheet Raw'!$L$4:$L$8000,"&lt;="&amp;S$6)))/'Profit Plan'!$B$5)</f>
        <v/>
      </c>
      <c r="T420" s="122" t="str">
        <f>IF($A420="","",(IF(ISNUMBER(SEARCH("Proposal",$A420)),SUMIFS('Timesheet Raw'!$P$4:$P$8000,'Timesheet Raw'!$A$4:$A$8000,IF(ISNUMBER(SEARCH("Chargable",$A420)),"2-Proposals Chargeable","3-Proposals Regular"),'Timesheet Raw'!$C$4:$C$8000,"*"&amp;$B420&amp;"*",'Timesheet Raw'!$L$4:$L$8000,"&gt;="&amp;MAX(T$5,DATE(2000+VALUE(RIGHT(TRIM($A420),2)),1,1)),'Timesheet Raw'!$L$4:$L$8000,"&lt;="&amp;MIN(T$6,DATE(2000+VALUE(RIGHT(TRIM($A420),2)),12,31))),SUMIFS('Timesheet Raw'!$P$4:$P$8000,'Timesheet Raw'!$B$4:$B$8000,TRIM($A420),'Timesheet Raw'!$C$4:$C$8000,"*"&amp;$B420&amp;"*",'Timesheet Raw'!$L$4:$L$8000,"&gt;="&amp;T$5,'Timesheet Raw'!$L$4:$L$8000,"&lt;="&amp;T$6)))/'Profit Plan'!$B$5)</f>
        <v/>
      </c>
      <c r="U420" s="122" t="str">
        <f>IF($A420="","",(IF(ISNUMBER(SEARCH("Proposal",$A420)),SUMIFS('Timesheet Raw'!$P$4:$P$8000,'Timesheet Raw'!$A$4:$A$8000,IF(ISNUMBER(SEARCH("Chargable",$A420)),"2-Proposals Chargeable","3-Proposals Regular"),'Timesheet Raw'!$C$4:$C$8000,"*"&amp;$B420&amp;"*",'Timesheet Raw'!$L$4:$L$8000,"&gt;="&amp;MAX(U$5,DATE(2000+VALUE(RIGHT(TRIM($A420),2)),1,1)),'Timesheet Raw'!$L$4:$L$8000,"&lt;="&amp;MIN(U$6,DATE(2000+VALUE(RIGHT(TRIM($A420),2)),12,31))),SUMIFS('Timesheet Raw'!$P$4:$P$8000,'Timesheet Raw'!$B$4:$B$8000,TRIM($A420),'Timesheet Raw'!$C$4:$C$8000,"*"&amp;$B420&amp;"*",'Timesheet Raw'!$L$4:$L$8000,"&gt;="&amp;U$5,'Timesheet Raw'!$L$4:$L$8000,"&lt;="&amp;U$6)))/'Profit Plan'!$B$5)</f>
        <v/>
      </c>
      <c r="V420" s="122" t="str">
        <f>IF($A420="","",(IF(ISNUMBER(SEARCH("Proposal",$A420)),SUMIFS('Timesheet Raw'!$P$4:$P$8000,'Timesheet Raw'!$A$4:$A$8000,IF(ISNUMBER(SEARCH("Chargable",$A420)),"2-Proposals Chargeable","3-Proposals Regular"),'Timesheet Raw'!$C$4:$C$8000,"*"&amp;$B420&amp;"*",'Timesheet Raw'!$L$4:$L$8000,"&gt;="&amp;MAX(V$5,DATE(2000+VALUE(RIGHT(TRIM($A420),2)),1,1)),'Timesheet Raw'!$L$4:$L$8000,"&lt;="&amp;MIN(V$6,DATE(2000+VALUE(RIGHT(TRIM($A420),2)),12,31))),SUMIFS('Timesheet Raw'!$P$4:$P$8000,'Timesheet Raw'!$B$4:$B$8000,TRIM($A420),'Timesheet Raw'!$C$4:$C$8000,"*"&amp;$B420&amp;"*",'Timesheet Raw'!$L$4:$L$8000,"&gt;="&amp;V$5,'Timesheet Raw'!$L$4:$L$8000,"&lt;="&amp;V$6)))/'Profit Plan'!$B$5)</f>
        <v/>
      </c>
      <c r="W420" s="122" t="str">
        <f>IF($A420="","",(IF(ISNUMBER(SEARCH("Proposal",$A420)),SUMIFS('Timesheet Raw'!$P$4:$P$8000,'Timesheet Raw'!$A$4:$A$8000,IF(ISNUMBER(SEARCH("Chargable",$A420)),"2-Proposals Chargeable","3-Proposals Regular"),'Timesheet Raw'!$C$4:$C$8000,"*"&amp;$B420&amp;"*",'Timesheet Raw'!$L$4:$L$8000,"&gt;="&amp;MAX(W$5,DATE(2000+VALUE(RIGHT(TRIM($A420),2)),1,1)),'Timesheet Raw'!$L$4:$L$8000,"&lt;="&amp;MIN(W$6,DATE(2000+VALUE(RIGHT(TRIM($A420),2)),12,31))),SUMIFS('Timesheet Raw'!$P$4:$P$8000,'Timesheet Raw'!$B$4:$B$8000,TRIM($A420),'Timesheet Raw'!$C$4:$C$8000,"*"&amp;$B420&amp;"*",'Timesheet Raw'!$L$4:$L$8000,"&gt;="&amp;W$5,'Timesheet Raw'!$L$4:$L$8000,"&lt;="&amp;W$6)))/'Profit Plan'!$B$5)</f>
        <v/>
      </c>
      <c r="X420" s="122" t="str">
        <f>IF($A420="","",(IF(ISNUMBER(SEARCH("Proposal",$A420)),SUMIFS('Timesheet Raw'!$P$4:$P$8000,'Timesheet Raw'!$A$4:$A$8000,IF(ISNUMBER(SEARCH("Chargable",$A420)),"2-Proposals Chargeable","3-Proposals Regular"),'Timesheet Raw'!$C$4:$C$8000,"*"&amp;$B420&amp;"*",'Timesheet Raw'!$L$4:$L$8000,"&gt;="&amp;MAX(X$5,DATE(2000+VALUE(RIGHT(TRIM($A420),2)),1,1)),'Timesheet Raw'!$L$4:$L$8000,"&lt;="&amp;MIN(X$6,DATE(2000+VALUE(RIGHT(TRIM($A420),2)),12,31))),SUMIFS('Timesheet Raw'!$P$4:$P$8000,'Timesheet Raw'!$B$4:$B$8000,TRIM($A420),'Timesheet Raw'!$C$4:$C$8000,"*"&amp;$B420&amp;"*",'Timesheet Raw'!$L$4:$L$8000,"&gt;="&amp;X$5,'Timesheet Raw'!$L$4:$L$8000,"&lt;="&amp;X$6)))/'Profit Plan'!$B$5)</f>
        <v/>
      </c>
      <c r="Y420" s="118">
        <f t="shared" si="102"/>
        <v>0</v>
      </c>
    </row>
    <row r="421" spans="1:25" x14ac:dyDescent="0.3">
      <c r="A421" s="116" t="str">
        <f>IF(Inputs!$A58="","",Inputs!$A58)</f>
        <v/>
      </c>
      <c r="B421" s="116" t="str">
        <f>IF(Inputs!$A58="","",Inputs!$A$91)</f>
        <v/>
      </c>
      <c r="C421" s="116"/>
      <c r="D421" s="122" t="str">
        <f>IF($A421="","",(IF(ISNUMBER(SEARCH("Proposal",$A421)),SUMIFS('Timesheet Raw'!$P$4:$P$8000,'Timesheet Raw'!$A$4:$A$8000,IF(ISNUMBER(SEARCH("Chargable",$A421)),"2-Proposals Chargeable","3-Proposals Regular"),'Timesheet Raw'!$C$4:$C$8000,"*"&amp;$B421&amp;"*",'Timesheet Raw'!$L$4:$L$8000,"&gt;="&amp;MAX(D$5,DATE(2000+VALUE(RIGHT(TRIM($A421),2)),1,1)),'Timesheet Raw'!$L$4:$L$8000,"&lt;="&amp;MIN(D$6,DATE(2000+VALUE(RIGHT(TRIM($A421),2)),12,31))),SUMIFS('Timesheet Raw'!$P$4:$P$8000,'Timesheet Raw'!$B$4:$B$8000,TRIM($A421),'Timesheet Raw'!$C$4:$C$8000,"*"&amp;$B421&amp;"*",'Timesheet Raw'!$L$4:$L$8000,"&gt;="&amp;D$5,'Timesheet Raw'!$L$4:$L$8000,"&lt;="&amp;D$6)))/'Profit Plan'!$B$5)</f>
        <v/>
      </c>
      <c r="E421" s="122" t="str">
        <f>IF($A421="","",(IF(ISNUMBER(SEARCH("Proposal",$A421)),SUMIFS('Timesheet Raw'!$P$4:$P$8000,'Timesheet Raw'!$A$4:$A$8000,IF(ISNUMBER(SEARCH("Chargable",$A421)),"2-Proposals Chargeable","3-Proposals Regular"),'Timesheet Raw'!$C$4:$C$8000,"*"&amp;$B421&amp;"*",'Timesheet Raw'!$L$4:$L$8000,"&gt;="&amp;MAX(E$5,DATE(2000+VALUE(RIGHT(TRIM($A421),2)),1,1)),'Timesheet Raw'!$L$4:$L$8000,"&lt;="&amp;MIN(E$6,DATE(2000+VALUE(RIGHT(TRIM($A421),2)),12,31))),SUMIFS('Timesheet Raw'!$P$4:$P$8000,'Timesheet Raw'!$B$4:$B$8000,TRIM($A421),'Timesheet Raw'!$C$4:$C$8000,"*"&amp;$B421&amp;"*",'Timesheet Raw'!$L$4:$L$8000,"&gt;="&amp;E$5,'Timesheet Raw'!$L$4:$L$8000,"&lt;="&amp;E$6)))/'Profit Plan'!$B$5)</f>
        <v/>
      </c>
      <c r="F421" s="122" t="str">
        <f>IF($A421="","",(IF(ISNUMBER(SEARCH("Proposal",$A421)),SUMIFS('Timesheet Raw'!$P$4:$P$8000,'Timesheet Raw'!$A$4:$A$8000,IF(ISNUMBER(SEARCH("Chargable",$A421)),"2-Proposals Chargeable","3-Proposals Regular"),'Timesheet Raw'!$C$4:$C$8000,"*"&amp;$B421&amp;"*",'Timesheet Raw'!$L$4:$L$8000,"&gt;="&amp;MAX(F$5,DATE(2000+VALUE(RIGHT(TRIM($A421),2)),1,1)),'Timesheet Raw'!$L$4:$L$8000,"&lt;="&amp;MIN(F$6,DATE(2000+VALUE(RIGHT(TRIM($A421),2)),12,31))),SUMIFS('Timesheet Raw'!$P$4:$P$8000,'Timesheet Raw'!$B$4:$B$8000,TRIM($A421),'Timesheet Raw'!$C$4:$C$8000,"*"&amp;$B421&amp;"*",'Timesheet Raw'!$L$4:$L$8000,"&gt;="&amp;F$5,'Timesheet Raw'!$L$4:$L$8000,"&lt;="&amp;F$6)))/'Profit Plan'!$B$5)</f>
        <v/>
      </c>
      <c r="G421" s="122" t="str">
        <f>IF($A421="","",(IF(ISNUMBER(SEARCH("Proposal",$A421)),SUMIFS('Timesheet Raw'!$P$4:$P$8000,'Timesheet Raw'!$A$4:$A$8000,IF(ISNUMBER(SEARCH("Chargable",$A421)),"2-Proposals Chargeable","3-Proposals Regular"),'Timesheet Raw'!$C$4:$C$8000,"*"&amp;$B421&amp;"*",'Timesheet Raw'!$L$4:$L$8000,"&gt;="&amp;MAX(G$5,DATE(2000+VALUE(RIGHT(TRIM($A421),2)),1,1)),'Timesheet Raw'!$L$4:$L$8000,"&lt;="&amp;MIN(G$6,DATE(2000+VALUE(RIGHT(TRIM($A421),2)),12,31))),SUMIFS('Timesheet Raw'!$P$4:$P$8000,'Timesheet Raw'!$B$4:$B$8000,TRIM($A421),'Timesheet Raw'!$C$4:$C$8000,"*"&amp;$B421&amp;"*",'Timesheet Raw'!$L$4:$L$8000,"&gt;="&amp;G$5,'Timesheet Raw'!$L$4:$L$8000,"&lt;="&amp;G$6)))/'Profit Plan'!$B$5)</f>
        <v/>
      </c>
      <c r="H421" s="122" t="str">
        <f>IF($A421="","",(IF(ISNUMBER(SEARCH("Proposal",$A421)),SUMIFS('Timesheet Raw'!$P$4:$P$8000,'Timesheet Raw'!$A$4:$A$8000,IF(ISNUMBER(SEARCH("Chargable",$A421)),"2-Proposals Chargeable","3-Proposals Regular"),'Timesheet Raw'!$C$4:$C$8000,"*"&amp;$B421&amp;"*",'Timesheet Raw'!$L$4:$L$8000,"&gt;="&amp;MAX(H$5,DATE(2000+VALUE(RIGHT(TRIM($A421),2)),1,1)),'Timesheet Raw'!$L$4:$L$8000,"&lt;="&amp;MIN(H$6,DATE(2000+VALUE(RIGHT(TRIM($A421),2)),12,31))),SUMIFS('Timesheet Raw'!$P$4:$P$8000,'Timesheet Raw'!$B$4:$B$8000,TRIM($A421),'Timesheet Raw'!$C$4:$C$8000,"*"&amp;$B421&amp;"*",'Timesheet Raw'!$L$4:$L$8000,"&gt;="&amp;H$5,'Timesheet Raw'!$L$4:$L$8000,"&lt;="&amp;H$6)))/'Profit Plan'!$B$5)</f>
        <v/>
      </c>
      <c r="I421" s="122" t="str">
        <f>IF($A421="","",(IF(ISNUMBER(SEARCH("Proposal",$A421)),SUMIFS('Timesheet Raw'!$P$4:$P$8000,'Timesheet Raw'!$A$4:$A$8000,IF(ISNUMBER(SEARCH("Chargable",$A421)),"2-Proposals Chargeable","3-Proposals Regular"),'Timesheet Raw'!$C$4:$C$8000,"*"&amp;$B421&amp;"*",'Timesheet Raw'!$L$4:$L$8000,"&gt;="&amp;MAX(I$5,DATE(2000+VALUE(RIGHT(TRIM($A421),2)),1,1)),'Timesheet Raw'!$L$4:$L$8000,"&lt;="&amp;MIN(I$6,DATE(2000+VALUE(RIGHT(TRIM($A421),2)),12,31))),SUMIFS('Timesheet Raw'!$P$4:$P$8000,'Timesheet Raw'!$B$4:$B$8000,TRIM($A421),'Timesheet Raw'!$C$4:$C$8000,"*"&amp;$B421&amp;"*",'Timesheet Raw'!$L$4:$L$8000,"&gt;="&amp;I$5,'Timesheet Raw'!$L$4:$L$8000,"&lt;="&amp;I$6)))/'Profit Plan'!$B$5)</f>
        <v/>
      </c>
      <c r="J421" s="122" t="str">
        <f>IF($A421="","",(IF(ISNUMBER(SEARCH("Proposal",$A421)),SUMIFS('Timesheet Raw'!$P$4:$P$8000,'Timesheet Raw'!$A$4:$A$8000,IF(ISNUMBER(SEARCH("Chargable",$A421)),"2-Proposals Chargeable","3-Proposals Regular"),'Timesheet Raw'!$C$4:$C$8000,"*"&amp;$B421&amp;"*",'Timesheet Raw'!$L$4:$L$8000,"&gt;="&amp;MAX(J$5,DATE(2000+VALUE(RIGHT(TRIM($A421),2)),1,1)),'Timesheet Raw'!$L$4:$L$8000,"&lt;="&amp;MIN(J$6,DATE(2000+VALUE(RIGHT(TRIM($A421),2)),12,31))),SUMIFS('Timesheet Raw'!$P$4:$P$8000,'Timesheet Raw'!$B$4:$B$8000,TRIM($A421),'Timesheet Raw'!$C$4:$C$8000,"*"&amp;$B421&amp;"*",'Timesheet Raw'!$L$4:$L$8000,"&gt;="&amp;J$5,'Timesheet Raw'!$L$4:$L$8000,"&lt;="&amp;J$6)))/'Profit Plan'!$B$5)</f>
        <v/>
      </c>
      <c r="K421" s="122" t="str">
        <f>IF($A421="","",(IF(ISNUMBER(SEARCH("Proposal",$A421)),SUMIFS('Timesheet Raw'!$P$4:$P$8000,'Timesheet Raw'!$A$4:$A$8000,IF(ISNUMBER(SEARCH("Chargable",$A421)),"2-Proposals Chargeable","3-Proposals Regular"),'Timesheet Raw'!$C$4:$C$8000,"*"&amp;$B421&amp;"*",'Timesheet Raw'!$L$4:$L$8000,"&gt;="&amp;MAX(K$5,DATE(2000+VALUE(RIGHT(TRIM($A421),2)),1,1)),'Timesheet Raw'!$L$4:$L$8000,"&lt;="&amp;MIN(K$6,DATE(2000+VALUE(RIGHT(TRIM($A421),2)),12,31))),SUMIFS('Timesheet Raw'!$P$4:$P$8000,'Timesheet Raw'!$B$4:$B$8000,TRIM($A421),'Timesheet Raw'!$C$4:$C$8000,"*"&amp;$B421&amp;"*",'Timesheet Raw'!$L$4:$L$8000,"&gt;="&amp;K$5,'Timesheet Raw'!$L$4:$L$8000,"&lt;="&amp;K$6)))/'Profit Plan'!$B$5)</f>
        <v/>
      </c>
      <c r="L421" s="122" t="str">
        <f>IF($A421="","",(IF(ISNUMBER(SEARCH("Proposal",$A421)),SUMIFS('Timesheet Raw'!$P$4:$P$8000,'Timesheet Raw'!$A$4:$A$8000,IF(ISNUMBER(SEARCH("Chargable",$A421)),"2-Proposals Chargeable","3-Proposals Regular"),'Timesheet Raw'!$C$4:$C$8000,"*"&amp;$B421&amp;"*",'Timesheet Raw'!$L$4:$L$8000,"&gt;="&amp;MAX(L$5,DATE(2000+VALUE(RIGHT(TRIM($A421),2)),1,1)),'Timesheet Raw'!$L$4:$L$8000,"&lt;="&amp;MIN(L$6,DATE(2000+VALUE(RIGHT(TRIM($A421),2)),12,31))),SUMIFS('Timesheet Raw'!$P$4:$P$8000,'Timesheet Raw'!$B$4:$B$8000,TRIM($A421),'Timesheet Raw'!$C$4:$C$8000,"*"&amp;$B421&amp;"*",'Timesheet Raw'!$L$4:$L$8000,"&gt;="&amp;L$5,'Timesheet Raw'!$L$4:$L$8000,"&lt;="&amp;L$6)))/'Profit Plan'!$B$5)</f>
        <v/>
      </c>
      <c r="M421" s="122" t="str">
        <f>IF($A421="","",(IF(ISNUMBER(SEARCH("Proposal",$A421)),SUMIFS('Timesheet Raw'!$P$4:$P$8000,'Timesheet Raw'!$A$4:$A$8000,IF(ISNUMBER(SEARCH("Chargable",$A421)),"2-Proposals Chargeable","3-Proposals Regular"),'Timesheet Raw'!$C$4:$C$8000,"*"&amp;$B421&amp;"*",'Timesheet Raw'!$L$4:$L$8000,"&gt;="&amp;MAX(M$5,DATE(2000+VALUE(RIGHT(TRIM($A421),2)),1,1)),'Timesheet Raw'!$L$4:$L$8000,"&lt;="&amp;MIN(M$6,DATE(2000+VALUE(RIGHT(TRIM($A421),2)),12,31))),SUMIFS('Timesheet Raw'!$P$4:$P$8000,'Timesheet Raw'!$B$4:$B$8000,TRIM($A421),'Timesheet Raw'!$C$4:$C$8000,"*"&amp;$B421&amp;"*",'Timesheet Raw'!$L$4:$L$8000,"&gt;="&amp;M$5,'Timesheet Raw'!$L$4:$L$8000,"&lt;="&amp;M$6)))/'Profit Plan'!$B$5)</f>
        <v/>
      </c>
      <c r="N421" s="122" t="str">
        <f>IF($A421="","",(IF(ISNUMBER(SEARCH("Proposal",$A421)),SUMIFS('Timesheet Raw'!$P$4:$P$8000,'Timesheet Raw'!$A$4:$A$8000,IF(ISNUMBER(SEARCH("Chargable",$A421)),"2-Proposals Chargeable","3-Proposals Regular"),'Timesheet Raw'!$C$4:$C$8000,"*"&amp;$B421&amp;"*",'Timesheet Raw'!$L$4:$L$8000,"&gt;="&amp;MAX(N$5,DATE(2000+VALUE(RIGHT(TRIM($A421),2)),1,1)),'Timesheet Raw'!$L$4:$L$8000,"&lt;="&amp;MIN(N$6,DATE(2000+VALUE(RIGHT(TRIM($A421),2)),12,31))),SUMIFS('Timesheet Raw'!$P$4:$P$8000,'Timesheet Raw'!$B$4:$B$8000,TRIM($A421),'Timesheet Raw'!$C$4:$C$8000,"*"&amp;$B421&amp;"*",'Timesheet Raw'!$L$4:$L$8000,"&gt;="&amp;N$5,'Timesheet Raw'!$L$4:$L$8000,"&lt;="&amp;N$6)))/'Profit Plan'!$B$5)</f>
        <v/>
      </c>
      <c r="O421" s="122" t="str">
        <f>IF($A421="","",(IF(ISNUMBER(SEARCH("Proposal",$A421)),SUMIFS('Timesheet Raw'!$P$4:$P$8000,'Timesheet Raw'!$A$4:$A$8000,IF(ISNUMBER(SEARCH("Chargable",$A421)),"2-Proposals Chargeable","3-Proposals Regular"),'Timesheet Raw'!$C$4:$C$8000,"*"&amp;$B421&amp;"*",'Timesheet Raw'!$L$4:$L$8000,"&gt;="&amp;MAX(O$5,DATE(2000+VALUE(RIGHT(TRIM($A421),2)),1,1)),'Timesheet Raw'!$L$4:$L$8000,"&lt;="&amp;MIN(O$6,DATE(2000+VALUE(RIGHT(TRIM($A421),2)),12,31))),SUMIFS('Timesheet Raw'!$P$4:$P$8000,'Timesheet Raw'!$B$4:$B$8000,TRIM($A421),'Timesheet Raw'!$C$4:$C$8000,"*"&amp;$B421&amp;"*",'Timesheet Raw'!$L$4:$L$8000,"&gt;="&amp;O$5,'Timesheet Raw'!$L$4:$L$8000,"&lt;="&amp;O$6)))/'Profit Plan'!$B$5)</f>
        <v/>
      </c>
      <c r="P421" s="122" t="str">
        <f>IF($A421="","",(IF(ISNUMBER(SEARCH("Proposal",$A421)),SUMIFS('Timesheet Raw'!$P$4:$P$8000,'Timesheet Raw'!$A$4:$A$8000,IF(ISNUMBER(SEARCH("Chargable",$A421)),"2-Proposals Chargeable","3-Proposals Regular"),'Timesheet Raw'!$C$4:$C$8000,"*"&amp;$B421&amp;"*",'Timesheet Raw'!$L$4:$L$8000,"&gt;="&amp;MAX(P$5,DATE(2000+VALUE(RIGHT(TRIM($A421),2)),1,1)),'Timesheet Raw'!$L$4:$L$8000,"&lt;="&amp;MIN(P$6,DATE(2000+VALUE(RIGHT(TRIM($A421),2)),12,31))),SUMIFS('Timesheet Raw'!$P$4:$P$8000,'Timesheet Raw'!$B$4:$B$8000,TRIM($A421),'Timesheet Raw'!$C$4:$C$8000,"*"&amp;$B421&amp;"*",'Timesheet Raw'!$L$4:$L$8000,"&gt;="&amp;P$5,'Timesheet Raw'!$L$4:$L$8000,"&lt;="&amp;P$6)))/'Profit Plan'!$B$5)</f>
        <v/>
      </c>
      <c r="Q421" s="122" t="str">
        <f>IF($A421="","",(IF(ISNUMBER(SEARCH("Proposal",$A421)),SUMIFS('Timesheet Raw'!$P$4:$P$8000,'Timesheet Raw'!$A$4:$A$8000,IF(ISNUMBER(SEARCH("Chargable",$A421)),"2-Proposals Chargeable","3-Proposals Regular"),'Timesheet Raw'!$C$4:$C$8000,"*"&amp;$B421&amp;"*",'Timesheet Raw'!$L$4:$L$8000,"&gt;="&amp;MAX(Q$5,DATE(2000+VALUE(RIGHT(TRIM($A421),2)),1,1)),'Timesheet Raw'!$L$4:$L$8000,"&lt;="&amp;MIN(Q$6,DATE(2000+VALUE(RIGHT(TRIM($A421),2)),12,31))),SUMIFS('Timesheet Raw'!$P$4:$P$8000,'Timesheet Raw'!$B$4:$B$8000,TRIM($A421),'Timesheet Raw'!$C$4:$C$8000,"*"&amp;$B421&amp;"*",'Timesheet Raw'!$L$4:$L$8000,"&gt;="&amp;Q$5,'Timesheet Raw'!$L$4:$L$8000,"&lt;="&amp;Q$6)))/'Profit Plan'!$B$5)</f>
        <v/>
      </c>
      <c r="R421" s="122" t="str">
        <f>IF($A421="","",(IF(ISNUMBER(SEARCH("Proposal",$A421)),SUMIFS('Timesheet Raw'!$P$4:$P$8000,'Timesheet Raw'!$A$4:$A$8000,IF(ISNUMBER(SEARCH("Chargable",$A421)),"2-Proposals Chargeable","3-Proposals Regular"),'Timesheet Raw'!$C$4:$C$8000,"*"&amp;$B421&amp;"*",'Timesheet Raw'!$L$4:$L$8000,"&gt;="&amp;MAX(R$5,DATE(2000+VALUE(RIGHT(TRIM($A421),2)),1,1)),'Timesheet Raw'!$L$4:$L$8000,"&lt;="&amp;MIN(R$6,DATE(2000+VALUE(RIGHT(TRIM($A421),2)),12,31))),SUMIFS('Timesheet Raw'!$P$4:$P$8000,'Timesheet Raw'!$B$4:$B$8000,TRIM($A421),'Timesheet Raw'!$C$4:$C$8000,"*"&amp;$B421&amp;"*",'Timesheet Raw'!$L$4:$L$8000,"&gt;="&amp;R$5,'Timesheet Raw'!$L$4:$L$8000,"&lt;="&amp;R$6)))/'Profit Plan'!$B$5)</f>
        <v/>
      </c>
      <c r="S421" s="122" t="str">
        <f>IF($A421="","",(IF(ISNUMBER(SEARCH("Proposal",$A421)),SUMIFS('Timesheet Raw'!$P$4:$P$8000,'Timesheet Raw'!$A$4:$A$8000,IF(ISNUMBER(SEARCH("Chargable",$A421)),"2-Proposals Chargeable","3-Proposals Regular"),'Timesheet Raw'!$C$4:$C$8000,"*"&amp;$B421&amp;"*",'Timesheet Raw'!$L$4:$L$8000,"&gt;="&amp;MAX(S$5,DATE(2000+VALUE(RIGHT(TRIM($A421),2)),1,1)),'Timesheet Raw'!$L$4:$L$8000,"&lt;="&amp;MIN(S$6,DATE(2000+VALUE(RIGHT(TRIM($A421),2)),12,31))),SUMIFS('Timesheet Raw'!$P$4:$P$8000,'Timesheet Raw'!$B$4:$B$8000,TRIM($A421),'Timesheet Raw'!$C$4:$C$8000,"*"&amp;$B421&amp;"*",'Timesheet Raw'!$L$4:$L$8000,"&gt;="&amp;S$5,'Timesheet Raw'!$L$4:$L$8000,"&lt;="&amp;S$6)))/'Profit Plan'!$B$5)</f>
        <v/>
      </c>
      <c r="T421" s="122" t="str">
        <f>IF($A421="","",(IF(ISNUMBER(SEARCH("Proposal",$A421)),SUMIFS('Timesheet Raw'!$P$4:$P$8000,'Timesheet Raw'!$A$4:$A$8000,IF(ISNUMBER(SEARCH("Chargable",$A421)),"2-Proposals Chargeable","3-Proposals Regular"),'Timesheet Raw'!$C$4:$C$8000,"*"&amp;$B421&amp;"*",'Timesheet Raw'!$L$4:$L$8000,"&gt;="&amp;MAX(T$5,DATE(2000+VALUE(RIGHT(TRIM($A421),2)),1,1)),'Timesheet Raw'!$L$4:$L$8000,"&lt;="&amp;MIN(T$6,DATE(2000+VALUE(RIGHT(TRIM($A421),2)),12,31))),SUMIFS('Timesheet Raw'!$P$4:$P$8000,'Timesheet Raw'!$B$4:$B$8000,TRIM($A421),'Timesheet Raw'!$C$4:$C$8000,"*"&amp;$B421&amp;"*",'Timesheet Raw'!$L$4:$L$8000,"&gt;="&amp;T$5,'Timesheet Raw'!$L$4:$L$8000,"&lt;="&amp;T$6)))/'Profit Plan'!$B$5)</f>
        <v/>
      </c>
      <c r="U421" s="122" t="str">
        <f>IF($A421="","",(IF(ISNUMBER(SEARCH("Proposal",$A421)),SUMIFS('Timesheet Raw'!$P$4:$P$8000,'Timesheet Raw'!$A$4:$A$8000,IF(ISNUMBER(SEARCH("Chargable",$A421)),"2-Proposals Chargeable","3-Proposals Regular"),'Timesheet Raw'!$C$4:$C$8000,"*"&amp;$B421&amp;"*",'Timesheet Raw'!$L$4:$L$8000,"&gt;="&amp;MAX(U$5,DATE(2000+VALUE(RIGHT(TRIM($A421),2)),1,1)),'Timesheet Raw'!$L$4:$L$8000,"&lt;="&amp;MIN(U$6,DATE(2000+VALUE(RIGHT(TRIM($A421),2)),12,31))),SUMIFS('Timesheet Raw'!$P$4:$P$8000,'Timesheet Raw'!$B$4:$B$8000,TRIM($A421),'Timesheet Raw'!$C$4:$C$8000,"*"&amp;$B421&amp;"*",'Timesheet Raw'!$L$4:$L$8000,"&gt;="&amp;U$5,'Timesheet Raw'!$L$4:$L$8000,"&lt;="&amp;U$6)))/'Profit Plan'!$B$5)</f>
        <v/>
      </c>
      <c r="V421" s="122" t="str">
        <f>IF($A421="","",(IF(ISNUMBER(SEARCH("Proposal",$A421)),SUMIFS('Timesheet Raw'!$P$4:$P$8000,'Timesheet Raw'!$A$4:$A$8000,IF(ISNUMBER(SEARCH("Chargable",$A421)),"2-Proposals Chargeable","3-Proposals Regular"),'Timesheet Raw'!$C$4:$C$8000,"*"&amp;$B421&amp;"*",'Timesheet Raw'!$L$4:$L$8000,"&gt;="&amp;MAX(V$5,DATE(2000+VALUE(RIGHT(TRIM($A421),2)),1,1)),'Timesheet Raw'!$L$4:$L$8000,"&lt;="&amp;MIN(V$6,DATE(2000+VALUE(RIGHT(TRIM($A421),2)),12,31))),SUMIFS('Timesheet Raw'!$P$4:$P$8000,'Timesheet Raw'!$B$4:$B$8000,TRIM($A421),'Timesheet Raw'!$C$4:$C$8000,"*"&amp;$B421&amp;"*",'Timesheet Raw'!$L$4:$L$8000,"&gt;="&amp;V$5,'Timesheet Raw'!$L$4:$L$8000,"&lt;="&amp;V$6)))/'Profit Plan'!$B$5)</f>
        <v/>
      </c>
      <c r="W421" s="122" t="str">
        <f>IF($A421="","",(IF(ISNUMBER(SEARCH("Proposal",$A421)),SUMIFS('Timesheet Raw'!$P$4:$P$8000,'Timesheet Raw'!$A$4:$A$8000,IF(ISNUMBER(SEARCH("Chargable",$A421)),"2-Proposals Chargeable","3-Proposals Regular"),'Timesheet Raw'!$C$4:$C$8000,"*"&amp;$B421&amp;"*",'Timesheet Raw'!$L$4:$L$8000,"&gt;="&amp;MAX(W$5,DATE(2000+VALUE(RIGHT(TRIM($A421),2)),1,1)),'Timesheet Raw'!$L$4:$L$8000,"&lt;="&amp;MIN(W$6,DATE(2000+VALUE(RIGHT(TRIM($A421),2)),12,31))),SUMIFS('Timesheet Raw'!$P$4:$P$8000,'Timesheet Raw'!$B$4:$B$8000,TRIM($A421),'Timesheet Raw'!$C$4:$C$8000,"*"&amp;$B421&amp;"*",'Timesheet Raw'!$L$4:$L$8000,"&gt;="&amp;W$5,'Timesheet Raw'!$L$4:$L$8000,"&lt;="&amp;W$6)))/'Profit Plan'!$B$5)</f>
        <v/>
      </c>
      <c r="X421" s="122" t="str">
        <f>IF($A421="","",(IF(ISNUMBER(SEARCH("Proposal",$A421)),SUMIFS('Timesheet Raw'!$P$4:$P$8000,'Timesheet Raw'!$A$4:$A$8000,IF(ISNUMBER(SEARCH("Chargable",$A421)),"2-Proposals Chargeable","3-Proposals Regular"),'Timesheet Raw'!$C$4:$C$8000,"*"&amp;$B421&amp;"*",'Timesheet Raw'!$L$4:$L$8000,"&gt;="&amp;MAX(X$5,DATE(2000+VALUE(RIGHT(TRIM($A421),2)),1,1)),'Timesheet Raw'!$L$4:$L$8000,"&lt;="&amp;MIN(X$6,DATE(2000+VALUE(RIGHT(TRIM($A421),2)),12,31))),SUMIFS('Timesheet Raw'!$P$4:$P$8000,'Timesheet Raw'!$B$4:$B$8000,TRIM($A421),'Timesheet Raw'!$C$4:$C$8000,"*"&amp;$B421&amp;"*",'Timesheet Raw'!$L$4:$L$8000,"&gt;="&amp;X$5,'Timesheet Raw'!$L$4:$L$8000,"&lt;="&amp;X$6)))/'Profit Plan'!$B$5)</f>
        <v/>
      </c>
      <c r="Y421" s="118">
        <f t="shared" si="102"/>
        <v>0</v>
      </c>
    </row>
    <row r="422" spans="1:25" x14ac:dyDescent="0.3">
      <c r="A422" s="116" t="str">
        <f>IF(Inputs!$A58="","",Inputs!$A58)</f>
        <v/>
      </c>
      <c r="B422" s="116" t="str">
        <f>IF(Inputs!$A58="","",Inputs!$A$92)</f>
        <v/>
      </c>
      <c r="C422" s="116"/>
      <c r="D422" s="122" t="str">
        <f>IF($A422="","",(IF(ISNUMBER(SEARCH("Proposal",$A422)),SUMIFS('Timesheet Raw'!$P$4:$P$8000,'Timesheet Raw'!$A$4:$A$8000,IF(ISNUMBER(SEARCH("Chargable",$A422)),"2-Proposals Chargeable","3-Proposals Regular"),'Timesheet Raw'!$C$4:$C$8000,"*"&amp;$B422&amp;"*",'Timesheet Raw'!$L$4:$L$8000,"&gt;="&amp;MAX(D$5,DATE(2000+VALUE(RIGHT(TRIM($A422),2)),1,1)),'Timesheet Raw'!$L$4:$L$8000,"&lt;="&amp;MIN(D$6,DATE(2000+VALUE(RIGHT(TRIM($A422),2)),12,31))),SUMIFS('Timesheet Raw'!$P$4:$P$8000,'Timesheet Raw'!$B$4:$B$8000,TRIM($A422),'Timesheet Raw'!$C$4:$C$8000,"*"&amp;$B422&amp;"*",'Timesheet Raw'!$L$4:$L$8000,"&gt;="&amp;D$5,'Timesheet Raw'!$L$4:$L$8000,"&lt;="&amp;D$6)))/'Profit Plan'!$B$5)</f>
        <v/>
      </c>
      <c r="E422" s="122" t="str">
        <f>IF($A422="","",(IF(ISNUMBER(SEARCH("Proposal",$A422)),SUMIFS('Timesheet Raw'!$P$4:$P$8000,'Timesheet Raw'!$A$4:$A$8000,IF(ISNUMBER(SEARCH("Chargable",$A422)),"2-Proposals Chargeable","3-Proposals Regular"),'Timesheet Raw'!$C$4:$C$8000,"*"&amp;$B422&amp;"*",'Timesheet Raw'!$L$4:$L$8000,"&gt;="&amp;MAX(E$5,DATE(2000+VALUE(RIGHT(TRIM($A422),2)),1,1)),'Timesheet Raw'!$L$4:$L$8000,"&lt;="&amp;MIN(E$6,DATE(2000+VALUE(RIGHT(TRIM($A422),2)),12,31))),SUMIFS('Timesheet Raw'!$P$4:$P$8000,'Timesheet Raw'!$B$4:$B$8000,TRIM($A422),'Timesheet Raw'!$C$4:$C$8000,"*"&amp;$B422&amp;"*",'Timesheet Raw'!$L$4:$L$8000,"&gt;="&amp;E$5,'Timesheet Raw'!$L$4:$L$8000,"&lt;="&amp;E$6)))/'Profit Plan'!$B$5)</f>
        <v/>
      </c>
      <c r="F422" s="122" t="str">
        <f>IF($A422="","",(IF(ISNUMBER(SEARCH("Proposal",$A422)),SUMIFS('Timesheet Raw'!$P$4:$P$8000,'Timesheet Raw'!$A$4:$A$8000,IF(ISNUMBER(SEARCH("Chargable",$A422)),"2-Proposals Chargeable","3-Proposals Regular"),'Timesheet Raw'!$C$4:$C$8000,"*"&amp;$B422&amp;"*",'Timesheet Raw'!$L$4:$L$8000,"&gt;="&amp;MAX(F$5,DATE(2000+VALUE(RIGHT(TRIM($A422),2)),1,1)),'Timesheet Raw'!$L$4:$L$8000,"&lt;="&amp;MIN(F$6,DATE(2000+VALUE(RIGHT(TRIM($A422),2)),12,31))),SUMIFS('Timesheet Raw'!$P$4:$P$8000,'Timesheet Raw'!$B$4:$B$8000,TRIM($A422),'Timesheet Raw'!$C$4:$C$8000,"*"&amp;$B422&amp;"*",'Timesheet Raw'!$L$4:$L$8000,"&gt;="&amp;F$5,'Timesheet Raw'!$L$4:$L$8000,"&lt;="&amp;F$6)))/'Profit Plan'!$B$5)</f>
        <v/>
      </c>
      <c r="G422" s="122" t="str">
        <f>IF($A422="","",(IF(ISNUMBER(SEARCH("Proposal",$A422)),SUMIFS('Timesheet Raw'!$P$4:$P$8000,'Timesheet Raw'!$A$4:$A$8000,IF(ISNUMBER(SEARCH("Chargable",$A422)),"2-Proposals Chargeable","3-Proposals Regular"),'Timesheet Raw'!$C$4:$C$8000,"*"&amp;$B422&amp;"*",'Timesheet Raw'!$L$4:$L$8000,"&gt;="&amp;MAX(G$5,DATE(2000+VALUE(RIGHT(TRIM($A422),2)),1,1)),'Timesheet Raw'!$L$4:$L$8000,"&lt;="&amp;MIN(G$6,DATE(2000+VALUE(RIGHT(TRIM($A422),2)),12,31))),SUMIFS('Timesheet Raw'!$P$4:$P$8000,'Timesheet Raw'!$B$4:$B$8000,TRIM($A422),'Timesheet Raw'!$C$4:$C$8000,"*"&amp;$B422&amp;"*",'Timesheet Raw'!$L$4:$L$8000,"&gt;="&amp;G$5,'Timesheet Raw'!$L$4:$L$8000,"&lt;="&amp;G$6)))/'Profit Plan'!$B$5)</f>
        <v/>
      </c>
      <c r="H422" s="122" t="str">
        <f>IF($A422="","",(IF(ISNUMBER(SEARCH("Proposal",$A422)),SUMIFS('Timesheet Raw'!$P$4:$P$8000,'Timesheet Raw'!$A$4:$A$8000,IF(ISNUMBER(SEARCH("Chargable",$A422)),"2-Proposals Chargeable","3-Proposals Regular"),'Timesheet Raw'!$C$4:$C$8000,"*"&amp;$B422&amp;"*",'Timesheet Raw'!$L$4:$L$8000,"&gt;="&amp;MAX(H$5,DATE(2000+VALUE(RIGHT(TRIM($A422),2)),1,1)),'Timesheet Raw'!$L$4:$L$8000,"&lt;="&amp;MIN(H$6,DATE(2000+VALUE(RIGHT(TRIM($A422),2)),12,31))),SUMIFS('Timesheet Raw'!$P$4:$P$8000,'Timesheet Raw'!$B$4:$B$8000,TRIM($A422),'Timesheet Raw'!$C$4:$C$8000,"*"&amp;$B422&amp;"*",'Timesheet Raw'!$L$4:$L$8000,"&gt;="&amp;H$5,'Timesheet Raw'!$L$4:$L$8000,"&lt;="&amp;H$6)))/'Profit Plan'!$B$5)</f>
        <v/>
      </c>
      <c r="I422" s="122" t="str">
        <f>IF($A422="","",(IF(ISNUMBER(SEARCH("Proposal",$A422)),SUMIFS('Timesheet Raw'!$P$4:$P$8000,'Timesheet Raw'!$A$4:$A$8000,IF(ISNUMBER(SEARCH("Chargable",$A422)),"2-Proposals Chargeable","3-Proposals Regular"),'Timesheet Raw'!$C$4:$C$8000,"*"&amp;$B422&amp;"*",'Timesheet Raw'!$L$4:$L$8000,"&gt;="&amp;MAX(I$5,DATE(2000+VALUE(RIGHT(TRIM($A422),2)),1,1)),'Timesheet Raw'!$L$4:$L$8000,"&lt;="&amp;MIN(I$6,DATE(2000+VALUE(RIGHT(TRIM($A422),2)),12,31))),SUMIFS('Timesheet Raw'!$P$4:$P$8000,'Timesheet Raw'!$B$4:$B$8000,TRIM($A422),'Timesheet Raw'!$C$4:$C$8000,"*"&amp;$B422&amp;"*",'Timesheet Raw'!$L$4:$L$8000,"&gt;="&amp;I$5,'Timesheet Raw'!$L$4:$L$8000,"&lt;="&amp;I$6)))/'Profit Plan'!$B$5)</f>
        <v/>
      </c>
      <c r="J422" s="122" t="str">
        <f>IF($A422="","",(IF(ISNUMBER(SEARCH("Proposal",$A422)),SUMIFS('Timesheet Raw'!$P$4:$P$8000,'Timesheet Raw'!$A$4:$A$8000,IF(ISNUMBER(SEARCH("Chargable",$A422)),"2-Proposals Chargeable","3-Proposals Regular"),'Timesheet Raw'!$C$4:$C$8000,"*"&amp;$B422&amp;"*",'Timesheet Raw'!$L$4:$L$8000,"&gt;="&amp;MAX(J$5,DATE(2000+VALUE(RIGHT(TRIM($A422),2)),1,1)),'Timesheet Raw'!$L$4:$L$8000,"&lt;="&amp;MIN(J$6,DATE(2000+VALUE(RIGHT(TRIM($A422),2)),12,31))),SUMIFS('Timesheet Raw'!$P$4:$P$8000,'Timesheet Raw'!$B$4:$B$8000,TRIM($A422),'Timesheet Raw'!$C$4:$C$8000,"*"&amp;$B422&amp;"*",'Timesheet Raw'!$L$4:$L$8000,"&gt;="&amp;J$5,'Timesheet Raw'!$L$4:$L$8000,"&lt;="&amp;J$6)))/'Profit Plan'!$B$5)</f>
        <v/>
      </c>
      <c r="K422" s="122" t="str">
        <f>IF($A422="","",(IF(ISNUMBER(SEARCH("Proposal",$A422)),SUMIFS('Timesheet Raw'!$P$4:$P$8000,'Timesheet Raw'!$A$4:$A$8000,IF(ISNUMBER(SEARCH("Chargable",$A422)),"2-Proposals Chargeable","3-Proposals Regular"),'Timesheet Raw'!$C$4:$C$8000,"*"&amp;$B422&amp;"*",'Timesheet Raw'!$L$4:$L$8000,"&gt;="&amp;MAX(K$5,DATE(2000+VALUE(RIGHT(TRIM($A422),2)),1,1)),'Timesheet Raw'!$L$4:$L$8000,"&lt;="&amp;MIN(K$6,DATE(2000+VALUE(RIGHT(TRIM($A422),2)),12,31))),SUMIFS('Timesheet Raw'!$P$4:$P$8000,'Timesheet Raw'!$B$4:$B$8000,TRIM($A422),'Timesheet Raw'!$C$4:$C$8000,"*"&amp;$B422&amp;"*",'Timesheet Raw'!$L$4:$L$8000,"&gt;="&amp;K$5,'Timesheet Raw'!$L$4:$L$8000,"&lt;="&amp;K$6)))/'Profit Plan'!$B$5)</f>
        <v/>
      </c>
      <c r="L422" s="122" t="str">
        <f>IF($A422="","",(IF(ISNUMBER(SEARCH("Proposal",$A422)),SUMIFS('Timesheet Raw'!$P$4:$P$8000,'Timesheet Raw'!$A$4:$A$8000,IF(ISNUMBER(SEARCH("Chargable",$A422)),"2-Proposals Chargeable","3-Proposals Regular"),'Timesheet Raw'!$C$4:$C$8000,"*"&amp;$B422&amp;"*",'Timesheet Raw'!$L$4:$L$8000,"&gt;="&amp;MAX(L$5,DATE(2000+VALUE(RIGHT(TRIM($A422),2)),1,1)),'Timesheet Raw'!$L$4:$L$8000,"&lt;="&amp;MIN(L$6,DATE(2000+VALUE(RIGHT(TRIM($A422),2)),12,31))),SUMIFS('Timesheet Raw'!$P$4:$P$8000,'Timesheet Raw'!$B$4:$B$8000,TRIM($A422),'Timesheet Raw'!$C$4:$C$8000,"*"&amp;$B422&amp;"*",'Timesheet Raw'!$L$4:$L$8000,"&gt;="&amp;L$5,'Timesheet Raw'!$L$4:$L$8000,"&lt;="&amp;L$6)))/'Profit Plan'!$B$5)</f>
        <v/>
      </c>
      <c r="M422" s="122" t="str">
        <f>IF($A422="","",(IF(ISNUMBER(SEARCH("Proposal",$A422)),SUMIFS('Timesheet Raw'!$P$4:$P$8000,'Timesheet Raw'!$A$4:$A$8000,IF(ISNUMBER(SEARCH("Chargable",$A422)),"2-Proposals Chargeable","3-Proposals Regular"),'Timesheet Raw'!$C$4:$C$8000,"*"&amp;$B422&amp;"*",'Timesheet Raw'!$L$4:$L$8000,"&gt;="&amp;MAX(M$5,DATE(2000+VALUE(RIGHT(TRIM($A422),2)),1,1)),'Timesheet Raw'!$L$4:$L$8000,"&lt;="&amp;MIN(M$6,DATE(2000+VALUE(RIGHT(TRIM($A422),2)),12,31))),SUMIFS('Timesheet Raw'!$P$4:$P$8000,'Timesheet Raw'!$B$4:$B$8000,TRIM($A422),'Timesheet Raw'!$C$4:$C$8000,"*"&amp;$B422&amp;"*",'Timesheet Raw'!$L$4:$L$8000,"&gt;="&amp;M$5,'Timesheet Raw'!$L$4:$L$8000,"&lt;="&amp;M$6)))/'Profit Plan'!$B$5)</f>
        <v/>
      </c>
      <c r="N422" s="122" t="str">
        <f>IF($A422="","",(IF(ISNUMBER(SEARCH("Proposal",$A422)),SUMIFS('Timesheet Raw'!$P$4:$P$8000,'Timesheet Raw'!$A$4:$A$8000,IF(ISNUMBER(SEARCH("Chargable",$A422)),"2-Proposals Chargeable","3-Proposals Regular"),'Timesheet Raw'!$C$4:$C$8000,"*"&amp;$B422&amp;"*",'Timesheet Raw'!$L$4:$L$8000,"&gt;="&amp;MAX(N$5,DATE(2000+VALUE(RIGHT(TRIM($A422),2)),1,1)),'Timesheet Raw'!$L$4:$L$8000,"&lt;="&amp;MIN(N$6,DATE(2000+VALUE(RIGHT(TRIM($A422),2)),12,31))),SUMIFS('Timesheet Raw'!$P$4:$P$8000,'Timesheet Raw'!$B$4:$B$8000,TRIM($A422),'Timesheet Raw'!$C$4:$C$8000,"*"&amp;$B422&amp;"*",'Timesheet Raw'!$L$4:$L$8000,"&gt;="&amp;N$5,'Timesheet Raw'!$L$4:$L$8000,"&lt;="&amp;N$6)))/'Profit Plan'!$B$5)</f>
        <v/>
      </c>
      <c r="O422" s="122" t="str">
        <f>IF($A422="","",(IF(ISNUMBER(SEARCH("Proposal",$A422)),SUMIFS('Timesheet Raw'!$P$4:$P$8000,'Timesheet Raw'!$A$4:$A$8000,IF(ISNUMBER(SEARCH("Chargable",$A422)),"2-Proposals Chargeable","3-Proposals Regular"),'Timesheet Raw'!$C$4:$C$8000,"*"&amp;$B422&amp;"*",'Timesheet Raw'!$L$4:$L$8000,"&gt;="&amp;MAX(O$5,DATE(2000+VALUE(RIGHT(TRIM($A422),2)),1,1)),'Timesheet Raw'!$L$4:$L$8000,"&lt;="&amp;MIN(O$6,DATE(2000+VALUE(RIGHT(TRIM($A422),2)),12,31))),SUMIFS('Timesheet Raw'!$P$4:$P$8000,'Timesheet Raw'!$B$4:$B$8000,TRIM($A422),'Timesheet Raw'!$C$4:$C$8000,"*"&amp;$B422&amp;"*",'Timesheet Raw'!$L$4:$L$8000,"&gt;="&amp;O$5,'Timesheet Raw'!$L$4:$L$8000,"&lt;="&amp;O$6)))/'Profit Plan'!$B$5)</f>
        <v/>
      </c>
      <c r="P422" s="122" t="str">
        <f>IF($A422="","",(IF(ISNUMBER(SEARCH("Proposal",$A422)),SUMIFS('Timesheet Raw'!$P$4:$P$8000,'Timesheet Raw'!$A$4:$A$8000,IF(ISNUMBER(SEARCH("Chargable",$A422)),"2-Proposals Chargeable","3-Proposals Regular"),'Timesheet Raw'!$C$4:$C$8000,"*"&amp;$B422&amp;"*",'Timesheet Raw'!$L$4:$L$8000,"&gt;="&amp;MAX(P$5,DATE(2000+VALUE(RIGHT(TRIM($A422),2)),1,1)),'Timesheet Raw'!$L$4:$L$8000,"&lt;="&amp;MIN(P$6,DATE(2000+VALUE(RIGHT(TRIM($A422),2)),12,31))),SUMIFS('Timesheet Raw'!$P$4:$P$8000,'Timesheet Raw'!$B$4:$B$8000,TRIM($A422),'Timesheet Raw'!$C$4:$C$8000,"*"&amp;$B422&amp;"*",'Timesheet Raw'!$L$4:$L$8000,"&gt;="&amp;P$5,'Timesheet Raw'!$L$4:$L$8000,"&lt;="&amp;P$6)))/'Profit Plan'!$B$5)</f>
        <v/>
      </c>
      <c r="Q422" s="122" t="str">
        <f>IF($A422="","",(IF(ISNUMBER(SEARCH("Proposal",$A422)),SUMIFS('Timesheet Raw'!$P$4:$P$8000,'Timesheet Raw'!$A$4:$A$8000,IF(ISNUMBER(SEARCH("Chargable",$A422)),"2-Proposals Chargeable","3-Proposals Regular"),'Timesheet Raw'!$C$4:$C$8000,"*"&amp;$B422&amp;"*",'Timesheet Raw'!$L$4:$L$8000,"&gt;="&amp;MAX(Q$5,DATE(2000+VALUE(RIGHT(TRIM($A422),2)),1,1)),'Timesheet Raw'!$L$4:$L$8000,"&lt;="&amp;MIN(Q$6,DATE(2000+VALUE(RIGHT(TRIM($A422),2)),12,31))),SUMIFS('Timesheet Raw'!$P$4:$P$8000,'Timesheet Raw'!$B$4:$B$8000,TRIM($A422),'Timesheet Raw'!$C$4:$C$8000,"*"&amp;$B422&amp;"*",'Timesheet Raw'!$L$4:$L$8000,"&gt;="&amp;Q$5,'Timesheet Raw'!$L$4:$L$8000,"&lt;="&amp;Q$6)))/'Profit Plan'!$B$5)</f>
        <v/>
      </c>
      <c r="R422" s="122" t="str">
        <f>IF($A422="","",(IF(ISNUMBER(SEARCH("Proposal",$A422)),SUMIFS('Timesheet Raw'!$P$4:$P$8000,'Timesheet Raw'!$A$4:$A$8000,IF(ISNUMBER(SEARCH("Chargable",$A422)),"2-Proposals Chargeable","3-Proposals Regular"),'Timesheet Raw'!$C$4:$C$8000,"*"&amp;$B422&amp;"*",'Timesheet Raw'!$L$4:$L$8000,"&gt;="&amp;MAX(R$5,DATE(2000+VALUE(RIGHT(TRIM($A422),2)),1,1)),'Timesheet Raw'!$L$4:$L$8000,"&lt;="&amp;MIN(R$6,DATE(2000+VALUE(RIGHT(TRIM($A422),2)),12,31))),SUMIFS('Timesheet Raw'!$P$4:$P$8000,'Timesheet Raw'!$B$4:$B$8000,TRIM($A422),'Timesheet Raw'!$C$4:$C$8000,"*"&amp;$B422&amp;"*",'Timesheet Raw'!$L$4:$L$8000,"&gt;="&amp;R$5,'Timesheet Raw'!$L$4:$L$8000,"&lt;="&amp;R$6)))/'Profit Plan'!$B$5)</f>
        <v/>
      </c>
      <c r="S422" s="122" t="str">
        <f>IF($A422="","",(IF(ISNUMBER(SEARCH("Proposal",$A422)),SUMIFS('Timesheet Raw'!$P$4:$P$8000,'Timesheet Raw'!$A$4:$A$8000,IF(ISNUMBER(SEARCH("Chargable",$A422)),"2-Proposals Chargeable","3-Proposals Regular"),'Timesheet Raw'!$C$4:$C$8000,"*"&amp;$B422&amp;"*",'Timesheet Raw'!$L$4:$L$8000,"&gt;="&amp;MAX(S$5,DATE(2000+VALUE(RIGHT(TRIM($A422),2)),1,1)),'Timesheet Raw'!$L$4:$L$8000,"&lt;="&amp;MIN(S$6,DATE(2000+VALUE(RIGHT(TRIM($A422),2)),12,31))),SUMIFS('Timesheet Raw'!$P$4:$P$8000,'Timesheet Raw'!$B$4:$B$8000,TRIM($A422),'Timesheet Raw'!$C$4:$C$8000,"*"&amp;$B422&amp;"*",'Timesheet Raw'!$L$4:$L$8000,"&gt;="&amp;S$5,'Timesheet Raw'!$L$4:$L$8000,"&lt;="&amp;S$6)))/'Profit Plan'!$B$5)</f>
        <v/>
      </c>
      <c r="T422" s="122" t="str">
        <f>IF($A422="","",(IF(ISNUMBER(SEARCH("Proposal",$A422)),SUMIFS('Timesheet Raw'!$P$4:$P$8000,'Timesheet Raw'!$A$4:$A$8000,IF(ISNUMBER(SEARCH("Chargable",$A422)),"2-Proposals Chargeable","3-Proposals Regular"),'Timesheet Raw'!$C$4:$C$8000,"*"&amp;$B422&amp;"*",'Timesheet Raw'!$L$4:$L$8000,"&gt;="&amp;MAX(T$5,DATE(2000+VALUE(RIGHT(TRIM($A422),2)),1,1)),'Timesheet Raw'!$L$4:$L$8000,"&lt;="&amp;MIN(T$6,DATE(2000+VALUE(RIGHT(TRIM($A422),2)),12,31))),SUMIFS('Timesheet Raw'!$P$4:$P$8000,'Timesheet Raw'!$B$4:$B$8000,TRIM($A422),'Timesheet Raw'!$C$4:$C$8000,"*"&amp;$B422&amp;"*",'Timesheet Raw'!$L$4:$L$8000,"&gt;="&amp;T$5,'Timesheet Raw'!$L$4:$L$8000,"&lt;="&amp;T$6)))/'Profit Plan'!$B$5)</f>
        <v/>
      </c>
      <c r="U422" s="122" t="str">
        <f>IF($A422="","",(IF(ISNUMBER(SEARCH("Proposal",$A422)),SUMIFS('Timesheet Raw'!$P$4:$P$8000,'Timesheet Raw'!$A$4:$A$8000,IF(ISNUMBER(SEARCH("Chargable",$A422)),"2-Proposals Chargeable","3-Proposals Regular"),'Timesheet Raw'!$C$4:$C$8000,"*"&amp;$B422&amp;"*",'Timesheet Raw'!$L$4:$L$8000,"&gt;="&amp;MAX(U$5,DATE(2000+VALUE(RIGHT(TRIM($A422),2)),1,1)),'Timesheet Raw'!$L$4:$L$8000,"&lt;="&amp;MIN(U$6,DATE(2000+VALUE(RIGHT(TRIM($A422),2)),12,31))),SUMIFS('Timesheet Raw'!$P$4:$P$8000,'Timesheet Raw'!$B$4:$B$8000,TRIM($A422),'Timesheet Raw'!$C$4:$C$8000,"*"&amp;$B422&amp;"*",'Timesheet Raw'!$L$4:$L$8000,"&gt;="&amp;U$5,'Timesheet Raw'!$L$4:$L$8000,"&lt;="&amp;U$6)))/'Profit Plan'!$B$5)</f>
        <v/>
      </c>
      <c r="V422" s="122" t="str">
        <f>IF($A422="","",(IF(ISNUMBER(SEARCH("Proposal",$A422)),SUMIFS('Timesheet Raw'!$P$4:$P$8000,'Timesheet Raw'!$A$4:$A$8000,IF(ISNUMBER(SEARCH("Chargable",$A422)),"2-Proposals Chargeable","3-Proposals Regular"),'Timesheet Raw'!$C$4:$C$8000,"*"&amp;$B422&amp;"*",'Timesheet Raw'!$L$4:$L$8000,"&gt;="&amp;MAX(V$5,DATE(2000+VALUE(RIGHT(TRIM($A422),2)),1,1)),'Timesheet Raw'!$L$4:$L$8000,"&lt;="&amp;MIN(V$6,DATE(2000+VALUE(RIGHT(TRIM($A422),2)),12,31))),SUMIFS('Timesheet Raw'!$P$4:$P$8000,'Timesheet Raw'!$B$4:$B$8000,TRIM($A422),'Timesheet Raw'!$C$4:$C$8000,"*"&amp;$B422&amp;"*",'Timesheet Raw'!$L$4:$L$8000,"&gt;="&amp;V$5,'Timesheet Raw'!$L$4:$L$8000,"&lt;="&amp;V$6)))/'Profit Plan'!$B$5)</f>
        <v/>
      </c>
      <c r="W422" s="122" t="str">
        <f>IF($A422="","",(IF(ISNUMBER(SEARCH("Proposal",$A422)),SUMIFS('Timesheet Raw'!$P$4:$P$8000,'Timesheet Raw'!$A$4:$A$8000,IF(ISNUMBER(SEARCH("Chargable",$A422)),"2-Proposals Chargeable","3-Proposals Regular"),'Timesheet Raw'!$C$4:$C$8000,"*"&amp;$B422&amp;"*",'Timesheet Raw'!$L$4:$L$8000,"&gt;="&amp;MAX(W$5,DATE(2000+VALUE(RIGHT(TRIM($A422),2)),1,1)),'Timesheet Raw'!$L$4:$L$8000,"&lt;="&amp;MIN(W$6,DATE(2000+VALUE(RIGHT(TRIM($A422),2)),12,31))),SUMIFS('Timesheet Raw'!$P$4:$P$8000,'Timesheet Raw'!$B$4:$B$8000,TRIM($A422),'Timesheet Raw'!$C$4:$C$8000,"*"&amp;$B422&amp;"*",'Timesheet Raw'!$L$4:$L$8000,"&gt;="&amp;W$5,'Timesheet Raw'!$L$4:$L$8000,"&lt;="&amp;W$6)))/'Profit Plan'!$B$5)</f>
        <v/>
      </c>
      <c r="X422" s="122" t="str">
        <f>IF($A422="","",(IF(ISNUMBER(SEARCH("Proposal",$A422)),SUMIFS('Timesheet Raw'!$P$4:$P$8000,'Timesheet Raw'!$A$4:$A$8000,IF(ISNUMBER(SEARCH("Chargable",$A422)),"2-Proposals Chargeable","3-Proposals Regular"),'Timesheet Raw'!$C$4:$C$8000,"*"&amp;$B422&amp;"*",'Timesheet Raw'!$L$4:$L$8000,"&gt;="&amp;MAX(X$5,DATE(2000+VALUE(RIGHT(TRIM($A422),2)),1,1)),'Timesheet Raw'!$L$4:$L$8000,"&lt;="&amp;MIN(X$6,DATE(2000+VALUE(RIGHT(TRIM($A422),2)),12,31))),SUMIFS('Timesheet Raw'!$P$4:$P$8000,'Timesheet Raw'!$B$4:$B$8000,TRIM($A422),'Timesheet Raw'!$C$4:$C$8000,"*"&amp;$B422&amp;"*",'Timesheet Raw'!$L$4:$L$8000,"&gt;="&amp;X$5,'Timesheet Raw'!$L$4:$L$8000,"&lt;="&amp;X$6)))/'Profit Plan'!$B$5)</f>
        <v/>
      </c>
      <c r="Y422" s="118">
        <f t="shared" si="102"/>
        <v>0</v>
      </c>
    </row>
    <row r="423" spans="1:25" x14ac:dyDescent="0.3">
      <c r="A423" s="116" t="str">
        <f>IF(Inputs!$A58="","",Inputs!$A58)</f>
        <v/>
      </c>
      <c r="B423" s="116" t="str">
        <f>IF(Inputs!$A58="","",Inputs!$A$93)</f>
        <v/>
      </c>
      <c r="C423" s="116"/>
      <c r="D423" s="122" t="str">
        <f>IF($A423="","",(IF(ISNUMBER(SEARCH("Proposal",$A423)),SUMIFS('Timesheet Raw'!$P$4:$P$8000,'Timesheet Raw'!$A$4:$A$8000,IF(ISNUMBER(SEARCH("Chargable",$A423)),"2-Proposals Chargeable","3-Proposals Regular"),'Timesheet Raw'!$C$4:$C$8000,"*"&amp;$B423&amp;"*",'Timesheet Raw'!$L$4:$L$8000,"&gt;="&amp;MAX(D$5,DATE(2000+VALUE(RIGHT(TRIM($A423),2)),1,1)),'Timesheet Raw'!$L$4:$L$8000,"&lt;="&amp;MIN(D$6,DATE(2000+VALUE(RIGHT(TRIM($A423),2)),12,31))),SUMIFS('Timesheet Raw'!$P$4:$P$8000,'Timesheet Raw'!$B$4:$B$8000,TRIM($A423),'Timesheet Raw'!$C$4:$C$8000,"*"&amp;$B423&amp;"*",'Timesheet Raw'!$L$4:$L$8000,"&gt;="&amp;D$5,'Timesheet Raw'!$L$4:$L$8000,"&lt;="&amp;D$6)))/'Profit Plan'!$B$5)</f>
        <v/>
      </c>
      <c r="E423" s="122" t="str">
        <f>IF($A423="","",(IF(ISNUMBER(SEARCH("Proposal",$A423)),SUMIFS('Timesheet Raw'!$P$4:$P$8000,'Timesheet Raw'!$A$4:$A$8000,IF(ISNUMBER(SEARCH("Chargable",$A423)),"2-Proposals Chargeable","3-Proposals Regular"),'Timesheet Raw'!$C$4:$C$8000,"*"&amp;$B423&amp;"*",'Timesheet Raw'!$L$4:$L$8000,"&gt;="&amp;MAX(E$5,DATE(2000+VALUE(RIGHT(TRIM($A423),2)),1,1)),'Timesheet Raw'!$L$4:$L$8000,"&lt;="&amp;MIN(E$6,DATE(2000+VALUE(RIGHT(TRIM($A423),2)),12,31))),SUMIFS('Timesheet Raw'!$P$4:$P$8000,'Timesheet Raw'!$B$4:$B$8000,TRIM($A423),'Timesheet Raw'!$C$4:$C$8000,"*"&amp;$B423&amp;"*",'Timesheet Raw'!$L$4:$L$8000,"&gt;="&amp;E$5,'Timesheet Raw'!$L$4:$L$8000,"&lt;="&amp;E$6)))/'Profit Plan'!$B$5)</f>
        <v/>
      </c>
      <c r="F423" s="122" t="str">
        <f>IF($A423="","",(IF(ISNUMBER(SEARCH("Proposal",$A423)),SUMIFS('Timesheet Raw'!$P$4:$P$8000,'Timesheet Raw'!$A$4:$A$8000,IF(ISNUMBER(SEARCH("Chargable",$A423)),"2-Proposals Chargeable","3-Proposals Regular"),'Timesheet Raw'!$C$4:$C$8000,"*"&amp;$B423&amp;"*",'Timesheet Raw'!$L$4:$L$8000,"&gt;="&amp;MAX(F$5,DATE(2000+VALUE(RIGHT(TRIM($A423),2)),1,1)),'Timesheet Raw'!$L$4:$L$8000,"&lt;="&amp;MIN(F$6,DATE(2000+VALUE(RIGHT(TRIM($A423),2)),12,31))),SUMIFS('Timesheet Raw'!$P$4:$P$8000,'Timesheet Raw'!$B$4:$B$8000,TRIM($A423),'Timesheet Raw'!$C$4:$C$8000,"*"&amp;$B423&amp;"*",'Timesheet Raw'!$L$4:$L$8000,"&gt;="&amp;F$5,'Timesheet Raw'!$L$4:$L$8000,"&lt;="&amp;F$6)))/'Profit Plan'!$B$5)</f>
        <v/>
      </c>
      <c r="G423" s="122" t="str">
        <f>IF($A423="","",(IF(ISNUMBER(SEARCH("Proposal",$A423)),SUMIFS('Timesheet Raw'!$P$4:$P$8000,'Timesheet Raw'!$A$4:$A$8000,IF(ISNUMBER(SEARCH("Chargable",$A423)),"2-Proposals Chargeable","3-Proposals Regular"),'Timesheet Raw'!$C$4:$C$8000,"*"&amp;$B423&amp;"*",'Timesheet Raw'!$L$4:$L$8000,"&gt;="&amp;MAX(G$5,DATE(2000+VALUE(RIGHT(TRIM($A423),2)),1,1)),'Timesheet Raw'!$L$4:$L$8000,"&lt;="&amp;MIN(G$6,DATE(2000+VALUE(RIGHT(TRIM($A423),2)),12,31))),SUMIFS('Timesheet Raw'!$P$4:$P$8000,'Timesheet Raw'!$B$4:$B$8000,TRIM($A423),'Timesheet Raw'!$C$4:$C$8000,"*"&amp;$B423&amp;"*",'Timesheet Raw'!$L$4:$L$8000,"&gt;="&amp;G$5,'Timesheet Raw'!$L$4:$L$8000,"&lt;="&amp;G$6)))/'Profit Plan'!$B$5)</f>
        <v/>
      </c>
      <c r="H423" s="122" t="str">
        <f>IF($A423="","",(IF(ISNUMBER(SEARCH("Proposal",$A423)),SUMIFS('Timesheet Raw'!$P$4:$P$8000,'Timesheet Raw'!$A$4:$A$8000,IF(ISNUMBER(SEARCH("Chargable",$A423)),"2-Proposals Chargeable","3-Proposals Regular"),'Timesheet Raw'!$C$4:$C$8000,"*"&amp;$B423&amp;"*",'Timesheet Raw'!$L$4:$L$8000,"&gt;="&amp;MAX(H$5,DATE(2000+VALUE(RIGHT(TRIM($A423),2)),1,1)),'Timesheet Raw'!$L$4:$L$8000,"&lt;="&amp;MIN(H$6,DATE(2000+VALUE(RIGHT(TRIM($A423),2)),12,31))),SUMIFS('Timesheet Raw'!$P$4:$P$8000,'Timesheet Raw'!$B$4:$B$8000,TRIM($A423),'Timesheet Raw'!$C$4:$C$8000,"*"&amp;$B423&amp;"*",'Timesheet Raw'!$L$4:$L$8000,"&gt;="&amp;H$5,'Timesheet Raw'!$L$4:$L$8000,"&lt;="&amp;H$6)))/'Profit Plan'!$B$5)</f>
        <v/>
      </c>
      <c r="I423" s="122" t="str">
        <f>IF($A423="","",(IF(ISNUMBER(SEARCH("Proposal",$A423)),SUMIFS('Timesheet Raw'!$P$4:$P$8000,'Timesheet Raw'!$A$4:$A$8000,IF(ISNUMBER(SEARCH("Chargable",$A423)),"2-Proposals Chargeable","3-Proposals Regular"),'Timesheet Raw'!$C$4:$C$8000,"*"&amp;$B423&amp;"*",'Timesheet Raw'!$L$4:$L$8000,"&gt;="&amp;MAX(I$5,DATE(2000+VALUE(RIGHT(TRIM($A423),2)),1,1)),'Timesheet Raw'!$L$4:$L$8000,"&lt;="&amp;MIN(I$6,DATE(2000+VALUE(RIGHT(TRIM($A423),2)),12,31))),SUMIFS('Timesheet Raw'!$P$4:$P$8000,'Timesheet Raw'!$B$4:$B$8000,TRIM($A423),'Timesheet Raw'!$C$4:$C$8000,"*"&amp;$B423&amp;"*",'Timesheet Raw'!$L$4:$L$8000,"&gt;="&amp;I$5,'Timesheet Raw'!$L$4:$L$8000,"&lt;="&amp;I$6)))/'Profit Plan'!$B$5)</f>
        <v/>
      </c>
      <c r="J423" s="122" t="str">
        <f>IF($A423="","",(IF(ISNUMBER(SEARCH("Proposal",$A423)),SUMIFS('Timesheet Raw'!$P$4:$P$8000,'Timesheet Raw'!$A$4:$A$8000,IF(ISNUMBER(SEARCH("Chargable",$A423)),"2-Proposals Chargeable","3-Proposals Regular"),'Timesheet Raw'!$C$4:$C$8000,"*"&amp;$B423&amp;"*",'Timesheet Raw'!$L$4:$L$8000,"&gt;="&amp;MAX(J$5,DATE(2000+VALUE(RIGHT(TRIM($A423),2)),1,1)),'Timesheet Raw'!$L$4:$L$8000,"&lt;="&amp;MIN(J$6,DATE(2000+VALUE(RIGHT(TRIM($A423),2)),12,31))),SUMIFS('Timesheet Raw'!$P$4:$P$8000,'Timesheet Raw'!$B$4:$B$8000,TRIM($A423),'Timesheet Raw'!$C$4:$C$8000,"*"&amp;$B423&amp;"*",'Timesheet Raw'!$L$4:$L$8000,"&gt;="&amp;J$5,'Timesheet Raw'!$L$4:$L$8000,"&lt;="&amp;J$6)))/'Profit Plan'!$B$5)</f>
        <v/>
      </c>
      <c r="K423" s="122" t="str">
        <f>IF($A423="","",(IF(ISNUMBER(SEARCH("Proposal",$A423)),SUMIFS('Timesheet Raw'!$P$4:$P$8000,'Timesheet Raw'!$A$4:$A$8000,IF(ISNUMBER(SEARCH("Chargable",$A423)),"2-Proposals Chargeable","3-Proposals Regular"),'Timesheet Raw'!$C$4:$C$8000,"*"&amp;$B423&amp;"*",'Timesheet Raw'!$L$4:$L$8000,"&gt;="&amp;MAX(K$5,DATE(2000+VALUE(RIGHT(TRIM($A423),2)),1,1)),'Timesheet Raw'!$L$4:$L$8000,"&lt;="&amp;MIN(K$6,DATE(2000+VALUE(RIGHT(TRIM($A423),2)),12,31))),SUMIFS('Timesheet Raw'!$P$4:$P$8000,'Timesheet Raw'!$B$4:$B$8000,TRIM($A423),'Timesheet Raw'!$C$4:$C$8000,"*"&amp;$B423&amp;"*",'Timesheet Raw'!$L$4:$L$8000,"&gt;="&amp;K$5,'Timesheet Raw'!$L$4:$L$8000,"&lt;="&amp;K$6)))/'Profit Plan'!$B$5)</f>
        <v/>
      </c>
      <c r="L423" s="122" t="str">
        <f>IF($A423="","",(IF(ISNUMBER(SEARCH("Proposal",$A423)),SUMIFS('Timesheet Raw'!$P$4:$P$8000,'Timesheet Raw'!$A$4:$A$8000,IF(ISNUMBER(SEARCH("Chargable",$A423)),"2-Proposals Chargeable","3-Proposals Regular"),'Timesheet Raw'!$C$4:$C$8000,"*"&amp;$B423&amp;"*",'Timesheet Raw'!$L$4:$L$8000,"&gt;="&amp;MAX(L$5,DATE(2000+VALUE(RIGHT(TRIM($A423),2)),1,1)),'Timesheet Raw'!$L$4:$L$8000,"&lt;="&amp;MIN(L$6,DATE(2000+VALUE(RIGHT(TRIM($A423),2)),12,31))),SUMIFS('Timesheet Raw'!$P$4:$P$8000,'Timesheet Raw'!$B$4:$B$8000,TRIM($A423),'Timesheet Raw'!$C$4:$C$8000,"*"&amp;$B423&amp;"*",'Timesheet Raw'!$L$4:$L$8000,"&gt;="&amp;L$5,'Timesheet Raw'!$L$4:$L$8000,"&lt;="&amp;L$6)))/'Profit Plan'!$B$5)</f>
        <v/>
      </c>
      <c r="M423" s="122" t="str">
        <f>IF($A423="","",(IF(ISNUMBER(SEARCH("Proposal",$A423)),SUMIFS('Timesheet Raw'!$P$4:$P$8000,'Timesheet Raw'!$A$4:$A$8000,IF(ISNUMBER(SEARCH("Chargable",$A423)),"2-Proposals Chargeable","3-Proposals Regular"),'Timesheet Raw'!$C$4:$C$8000,"*"&amp;$B423&amp;"*",'Timesheet Raw'!$L$4:$L$8000,"&gt;="&amp;MAX(M$5,DATE(2000+VALUE(RIGHT(TRIM($A423),2)),1,1)),'Timesheet Raw'!$L$4:$L$8000,"&lt;="&amp;MIN(M$6,DATE(2000+VALUE(RIGHT(TRIM($A423),2)),12,31))),SUMIFS('Timesheet Raw'!$P$4:$P$8000,'Timesheet Raw'!$B$4:$B$8000,TRIM($A423),'Timesheet Raw'!$C$4:$C$8000,"*"&amp;$B423&amp;"*",'Timesheet Raw'!$L$4:$L$8000,"&gt;="&amp;M$5,'Timesheet Raw'!$L$4:$L$8000,"&lt;="&amp;M$6)))/'Profit Plan'!$B$5)</f>
        <v/>
      </c>
      <c r="N423" s="122" t="str">
        <f>IF($A423="","",(IF(ISNUMBER(SEARCH("Proposal",$A423)),SUMIFS('Timesheet Raw'!$P$4:$P$8000,'Timesheet Raw'!$A$4:$A$8000,IF(ISNUMBER(SEARCH("Chargable",$A423)),"2-Proposals Chargeable","3-Proposals Regular"),'Timesheet Raw'!$C$4:$C$8000,"*"&amp;$B423&amp;"*",'Timesheet Raw'!$L$4:$L$8000,"&gt;="&amp;MAX(N$5,DATE(2000+VALUE(RIGHT(TRIM($A423),2)),1,1)),'Timesheet Raw'!$L$4:$L$8000,"&lt;="&amp;MIN(N$6,DATE(2000+VALUE(RIGHT(TRIM($A423),2)),12,31))),SUMIFS('Timesheet Raw'!$P$4:$P$8000,'Timesheet Raw'!$B$4:$B$8000,TRIM($A423),'Timesheet Raw'!$C$4:$C$8000,"*"&amp;$B423&amp;"*",'Timesheet Raw'!$L$4:$L$8000,"&gt;="&amp;N$5,'Timesheet Raw'!$L$4:$L$8000,"&lt;="&amp;N$6)))/'Profit Plan'!$B$5)</f>
        <v/>
      </c>
      <c r="O423" s="122" t="str">
        <f>IF($A423="","",(IF(ISNUMBER(SEARCH("Proposal",$A423)),SUMIFS('Timesheet Raw'!$P$4:$P$8000,'Timesheet Raw'!$A$4:$A$8000,IF(ISNUMBER(SEARCH("Chargable",$A423)),"2-Proposals Chargeable","3-Proposals Regular"),'Timesheet Raw'!$C$4:$C$8000,"*"&amp;$B423&amp;"*",'Timesheet Raw'!$L$4:$L$8000,"&gt;="&amp;MAX(O$5,DATE(2000+VALUE(RIGHT(TRIM($A423),2)),1,1)),'Timesheet Raw'!$L$4:$L$8000,"&lt;="&amp;MIN(O$6,DATE(2000+VALUE(RIGHT(TRIM($A423),2)),12,31))),SUMIFS('Timesheet Raw'!$P$4:$P$8000,'Timesheet Raw'!$B$4:$B$8000,TRIM($A423),'Timesheet Raw'!$C$4:$C$8000,"*"&amp;$B423&amp;"*",'Timesheet Raw'!$L$4:$L$8000,"&gt;="&amp;O$5,'Timesheet Raw'!$L$4:$L$8000,"&lt;="&amp;O$6)))/'Profit Plan'!$B$5)</f>
        <v/>
      </c>
      <c r="P423" s="122" t="str">
        <f>IF($A423="","",(IF(ISNUMBER(SEARCH("Proposal",$A423)),SUMIFS('Timesheet Raw'!$P$4:$P$8000,'Timesheet Raw'!$A$4:$A$8000,IF(ISNUMBER(SEARCH("Chargable",$A423)),"2-Proposals Chargeable","3-Proposals Regular"),'Timesheet Raw'!$C$4:$C$8000,"*"&amp;$B423&amp;"*",'Timesheet Raw'!$L$4:$L$8000,"&gt;="&amp;MAX(P$5,DATE(2000+VALUE(RIGHT(TRIM($A423),2)),1,1)),'Timesheet Raw'!$L$4:$L$8000,"&lt;="&amp;MIN(P$6,DATE(2000+VALUE(RIGHT(TRIM($A423),2)),12,31))),SUMIFS('Timesheet Raw'!$P$4:$P$8000,'Timesheet Raw'!$B$4:$B$8000,TRIM($A423),'Timesheet Raw'!$C$4:$C$8000,"*"&amp;$B423&amp;"*",'Timesheet Raw'!$L$4:$L$8000,"&gt;="&amp;P$5,'Timesheet Raw'!$L$4:$L$8000,"&lt;="&amp;P$6)))/'Profit Plan'!$B$5)</f>
        <v/>
      </c>
      <c r="Q423" s="122" t="str">
        <f>IF($A423="","",(IF(ISNUMBER(SEARCH("Proposal",$A423)),SUMIFS('Timesheet Raw'!$P$4:$P$8000,'Timesheet Raw'!$A$4:$A$8000,IF(ISNUMBER(SEARCH("Chargable",$A423)),"2-Proposals Chargeable","3-Proposals Regular"),'Timesheet Raw'!$C$4:$C$8000,"*"&amp;$B423&amp;"*",'Timesheet Raw'!$L$4:$L$8000,"&gt;="&amp;MAX(Q$5,DATE(2000+VALUE(RIGHT(TRIM($A423),2)),1,1)),'Timesheet Raw'!$L$4:$L$8000,"&lt;="&amp;MIN(Q$6,DATE(2000+VALUE(RIGHT(TRIM($A423),2)),12,31))),SUMIFS('Timesheet Raw'!$P$4:$P$8000,'Timesheet Raw'!$B$4:$B$8000,TRIM($A423),'Timesheet Raw'!$C$4:$C$8000,"*"&amp;$B423&amp;"*",'Timesheet Raw'!$L$4:$L$8000,"&gt;="&amp;Q$5,'Timesheet Raw'!$L$4:$L$8000,"&lt;="&amp;Q$6)))/'Profit Plan'!$B$5)</f>
        <v/>
      </c>
      <c r="R423" s="122" t="str">
        <f>IF($A423="","",(IF(ISNUMBER(SEARCH("Proposal",$A423)),SUMIFS('Timesheet Raw'!$P$4:$P$8000,'Timesheet Raw'!$A$4:$A$8000,IF(ISNUMBER(SEARCH("Chargable",$A423)),"2-Proposals Chargeable","3-Proposals Regular"),'Timesheet Raw'!$C$4:$C$8000,"*"&amp;$B423&amp;"*",'Timesheet Raw'!$L$4:$L$8000,"&gt;="&amp;MAX(R$5,DATE(2000+VALUE(RIGHT(TRIM($A423),2)),1,1)),'Timesheet Raw'!$L$4:$L$8000,"&lt;="&amp;MIN(R$6,DATE(2000+VALUE(RIGHT(TRIM($A423),2)),12,31))),SUMIFS('Timesheet Raw'!$P$4:$P$8000,'Timesheet Raw'!$B$4:$B$8000,TRIM($A423),'Timesheet Raw'!$C$4:$C$8000,"*"&amp;$B423&amp;"*",'Timesheet Raw'!$L$4:$L$8000,"&gt;="&amp;R$5,'Timesheet Raw'!$L$4:$L$8000,"&lt;="&amp;R$6)))/'Profit Plan'!$B$5)</f>
        <v/>
      </c>
      <c r="S423" s="122" t="str">
        <f>IF($A423="","",(IF(ISNUMBER(SEARCH("Proposal",$A423)),SUMIFS('Timesheet Raw'!$P$4:$P$8000,'Timesheet Raw'!$A$4:$A$8000,IF(ISNUMBER(SEARCH("Chargable",$A423)),"2-Proposals Chargeable","3-Proposals Regular"),'Timesheet Raw'!$C$4:$C$8000,"*"&amp;$B423&amp;"*",'Timesheet Raw'!$L$4:$L$8000,"&gt;="&amp;MAX(S$5,DATE(2000+VALUE(RIGHT(TRIM($A423),2)),1,1)),'Timesheet Raw'!$L$4:$L$8000,"&lt;="&amp;MIN(S$6,DATE(2000+VALUE(RIGHT(TRIM($A423),2)),12,31))),SUMIFS('Timesheet Raw'!$P$4:$P$8000,'Timesheet Raw'!$B$4:$B$8000,TRIM($A423),'Timesheet Raw'!$C$4:$C$8000,"*"&amp;$B423&amp;"*",'Timesheet Raw'!$L$4:$L$8000,"&gt;="&amp;S$5,'Timesheet Raw'!$L$4:$L$8000,"&lt;="&amp;S$6)))/'Profit Plan'!$B$5)</f>
        <v/>
      </c>
      <c r="T423" s="122" t="str">
        <f>IF($A423="","",(IF(ISNUMBER(SEARCH("Proposal",$A423)),SUMIFS('Timesheet Raw'!$P$4:$P$8000,'Timesheet Raw'!$A$4:$A$8000,IF(ISNUMBER(SEARCH("Chargable",$A423)),"2-Proposals Chargeable","3-Proposals Regular"),'Timesheet Raw'!$C$4:$C$8000,"*"&amp;$B423&amp;"*",'Timesheet Raw'!$L$4:$L$8000,"&gt;="&amp;MAX(T$5,DATE(2000+VALUE(RIGHT(TRIM($A423),2)),1,1)),'Timesheet Raw'!$L$4:$L$8000,"&lt;="&amp;MIN(T$6,DATE(2000+VALUE(RIGHT(TRIM($A423),2)),12,31))),SUMIFS('Timesheet Raw'!$P$4:$P$8000,'Timesheet Raw'!$B$4:$B$8000,TRIM($A423),'Timesheet Raw'!$C$4:$C$8000,"*"&amp;$B423&amp;"*",'Timesheet Raw'!$L$4:$L$8000,"&gt;="&amp;T$5,'Timesheet Raw'!$L$4:$L$8000,"&lt;="&amp;T$6)))/'Profit Plan'!$B$5)</f>
        <v/>
      </c>
      <c r="U423" s="122" t="str">
        <f>IF($A423="","",(IF(ISNUMBER(SEARCH("Proposal",$A423)),SUMIFS('Timesheet Raw'!$P$4:$P$8000,'Timesheet Raw'!$A$4:$A$8000,IF(ISNUMBER(SEARCH("Chargable",$A423)),"2-Proposals Chargeable","3-Proposals Regular"),'Timesheet Raw'!$C$4:$C$8000,"*"&amp;$B423&amp;"*",'Timesheet Raw'!$L$4:$L$8000,"&gt;="&amp;MAX(U$5,DATE(2000+VALUE(RIGHT(TRIM($A423),2)),1,1)),'Timesheet Raw'!$L$4:$L$8000,"&lt;="&amp;MIN(U$6,DATE(2000+VALUE(RIGHT(TRIM($A423),2)),12,31))),SUMIFS('Timesheet Raw'!$P$4:$P$8000,'Timesheet Raw'!$B$4:$B$8000,TRIM($A423),'Timesheet Raw'!$C$4:$C$8000,"*"&amp;$B423&amp;"*",'Timesheet Raw'!$L$4:$L$8000,"&gt;="&amp;U$5,'Timesheet Raw'!$L$4:$L$8000,"&lt;="&amp;U$6)))/'Profit Plan'!$B$5)</f>
        <v/>
      </c>
      <c r="V423" s="122" t="str">
        <f>IF($A423="","",(IF(ISNUMBER(SEARCH("Proposal",$A423)),SUMIFS('Timesheet Raw'!$P$4:$P$8000,'Timesheet Raw'!$A$4:$A$8000,IF(ISNUMBER(SEARCH("Chargable",$A423)),"2-Proposals Chargeable","3-Proposals Regular"),'Timesheet Raw'!$C$4:$C$8000,"*"&amp;$B423&amp;"*",'Timesheet Raw'!$L$4:$L$8000,"&gt;="&amp;MAX(V$5,DATE(2000+VALUE(RIGHT(TRIM($A423),2)),1,1)),'Timesheet Raw'!$L$4:$L$8000,"&lt;="&amp;MIN(V$6,DATE(2000+VALUE(RIGHT(TRIM($A423),2)),12,31))),SUMIFS('Timesheet Raw'!$P$4:$P$8000,'Timesheet Raw'!$B$4:$B$8000,TRIM($A423),'Timesheet Raw'!$C$4:$C$8000,"*"&amp;$B423&amp;"*",'Timesheet Raw'!$L$4:$L$8000,"&gt;="&amp;V$5,'Timesheet Raw'!$L$4:$L$8000,"&lt;="&amp;V$6)))/'Profit Plan'!$B$5)</f>
        <v/>
      </c>
      <c r="W423" s="122" t="str">
        <f>IF($A423="","",(IF(ISNUMBER(SEARCH("Proposal",$A423)),SUMIFS('Timesheet Raw'!$P$4:$P$8000,'Timesheet Raw'!$A$4:$A$8000,IF(ISNUMBER(SEARCH("Chargable",$A423)),"2-Proposals Chargeable","3-Proposals Regular"),'Timesheet Raw'!$C$4:$C$8000,"*"&amp;$B423&amp;"*",'Timesheet Raw'!$L$4:$L$8000,"&gt;="&amp;MAX(W$5,DATE(2000+VALUE(RIGHT(TRIM($A423),2)),1,1)),'Timesheet Raw'!$L$4:$L$8000,"&lt;="&amp;MIN(W$6,DATE(2000+VALUE(RIGHT(TRIM($A423),2)),12,31))),SUMIFS('Timesheet Raw'!$P$4:$P$8000,'Timesheet Raw'!$B$4:$B$8000,TRIM($A423),'Timesheet Raw'!$C$4:$C$8000,"*"&amp;$B423&amp;"*",'Timesheet Raw'!$L$4:$L$8000,"&gt;="&amp;W$5,'Timesheet Raw'!$L$4:$L$8000,"&lt;="&amp;W$6)))/'Profit Plan'!$B$5)</f>
        <v/>
      </c>
      <c r="X423" s="122" t="str">
        <f>IF($A423="","",(IF(ISNUMBER(SEARCH("Proposal",$A423)),SUMIFS('Timesheet Raw'!$P$4:$P$8000,'Timesheet Raw'!$A$4:$A$8000,IF(ISNUMBER(SEARCH("Chargable",$A423)),"2-Proposals Chargeable","3-Proposals Regular"),'Timesheet Raw'!$C$4:$C$8000,"*"&amp;$B423&amp;"*",'Timesheet Raw'!$L$4:$L$8000,"&gt;="&amp;MAX(X$5,DATE(2000+VALUE(RIGHT(TRIM($A423),2)),1,1)),'Timesheet Raw'!$L$4:$L$8000,"&lt;="&amp;MIN(X$6,DATE(2000+VALUE(RIGHT(TRIM($A423),2)),12,31))),SUMIFS('Timesheet Raw'!$P$4:$P$8000,'Timesheet Raw'!$B$4:$B$8000,TRIM($A423),'Timesheet Raw'!$C$4:$C$8000,"*"&amp;$B423&amp;"*",'Timesheet Raw'!$L$4:$L$8000,"&gt;="&amp;X$5,'Timesheet Raw'!$L$4:$L$8000,"&lt;="&amp;X$6)))/'Profit Plan'!$B$5)</f>
        <v/>
      </c>
      <c r="Y423" s="118">
        <f t="shared" si="102"/>
        <v>0</v>
      </c>
    </row>
    <row r="424" spans="1:25" x14ac:dyDescent="0.3">
      <c r="A424" s="116" t="str">
        <f>IF(Inputs!$A59="","",Inputs!$A59)</f>
        <v/>
      </c>
      <c r="B424" s="116" t="str">
        <f>IF(Inputs!$A59="","",Inputs!$A$91)</f>
        <v/>
      </c>
      <c r="C424" s="116"/>
      <c r="D424" s="122" t="str">
        <f>IF($A424="","",(IF(ISNUMBER(SEARCH("Proposal",$A424)),SUMIFS('Timesheet Raw'!$P$4:$P$8000,'Timesheet Raw'!$A$4:$A$8000,IF(ISNUMBER(SEARCH("Chargable",$A424)),"2-Proposals Chargeable","3-Proposals Regular"),'Timesheet Raw'!$C$4:$C$8000,"*"&amp;$B424&amp;"*",'Timesheet Raw'!$L$4:$L$8000,"&gt;="&amp;MAX(D$5,DATE(2000+VALUE(RIGHT(TRIM($A424),2)),1,1)),'Timesheet Raw'!$L$4:$L$8000,"&lt;="&amp;MIN(D$6,DATE(2000+VALUE(RIGHT(TRIM($A424),2)),12,31))),SUMIFS('Timesheet Raw'!$P$4:$P$8000,'Timesheet Raw'!$B$4:$B$8000,TRIM($A424),'Timesheet Raw'!$C$4:$C$8000,"*"&amp;$B424&amp;"*",'Timesheet Raw'!$L$4:$L$8000,"&gt;="&amp;D$5,'Timesheet Raw'!$L$4:$L$8000,"&lt;="&amp;D$6)))/'Profit Plan'!$B$5)</f>
        <v/>
      </c>
      <c r="E424" s="122" t="str">
        <f>IF($A424="","",(IF(ISNUMBER(SEARCH("Proposal",$A424)),SUMIFS('Timesheet Raw'!$P$4:$P$8000,'Timesheet Raw'!$A$4:$A$8000,IF(ISNUMBER(SEARCH("Chargable",$A424)),"2-Proposals Chargeable","3-Proposals Regular"),'Timesheet Raw'!$C$4:$C$8000,"*"&amp;$B424&amp;"*",'Timesheet Raw'!$L$4:$L$8000,"&gt;="&amp;MAX(E$5,DATE(2000+VALUE(RIGHT(TRIM($A424),2)),1,1)),'Timesheet Raw'!$L$4:$L$8000,"&lt;="&amp;MIN(E$6,DATE(2000+VALUE(RIGHT(TRIM($A424),2)),12,31))),SUMIFS('Timesheet Raw'!$P$4:$P$8000,'Timesheet Raw'!$B$4:$B$8000,TRIM($A424),'Timesheet Raw'!$C$4:$C$8000,"*"&amp;$B424&amp;"*",'Timesheet Raw'!$L$4:$L$8000,"&gt;="&amp;E$5,'Timesheet Raw'!$L$4:$L$8000,"&lt;="&amp;E$6)))/'Profit Plan'!$B$5)</f>
        <v/>
      </c>
      <c r="F424" s="122" t="str">
        <f>IF($A424="","",(IF(ISNUMBER(SEARCH("Proposal",$A424)),SUMIFS('Timesheet Raw'!$P$4:$P$8000,'Timesheet Raw'!$A$4:$A$8000,IF(ISNUMBER(SEARCH("Chargable",$A424)),"2-Proposals Chargeable","3-Proposals Regular"),'Timesheet Raw'!$C$4:$C$8000,"*"&amp;$B424&amp;"*",'Timesheet Raw'!$L$4:$L$8000,"&gt;="&amp;MAX(F$5,DATE(2000+VALUE(RIGHT(TRIM($A424),2)),1,1)),'Timesheet Raw'!$L$4:$L$8000,"&lt;="&amp;MIN(F$6,DATE(2000+VALUE(RIGHT(TRIM($A424),2)),12,31))),SUMIFS('Timesheet Raw'!$P$4:$P$8000,'Timesheet Raw'!$B$4:$B$8000,TRIM($A424),'Timesheet Raw'!$C$4:$C$8000,"*"&amp;$B424&amp;"*",'Timesheet Raw'!$L$4:$L$8000,"&gt;="&amp;F$5,'Timesheet Raw'!$L$4:$L$8000,"&lt;="&amp;F$6)))/'Profit Plan'!$B$5)</f>
        <v/>
      </c>
      <c r="G424" s="122" t="str">
        <f>IF($A424="","",(IF(ISNUMBER(SEARCH("Proposal",$A424)),SUMIFS('Timesheet Raw'!$P$4:$P$8000,'Timesheet Raw'!$A$4:$A$8000,IF(ISNUMBER(SEARCH("Chargable",$A424)),"2-Proposals Chargeable","3-Proposals Regular"),'Timesheet Raw'!$C$4:$C$8000,"*"&amp;$B424&amp;"*",'Timesheet Raw'!$L$4:$L$8000,"&gt;="&amp;MAX(G$5,DATE(2000+VALUE(RIGHT(TRIM($A424),2)),1,1)),'Timesheet Raw'!$L$4:$L$8000,"&lt;="&amp;MIN(G$6,DATE(2000+VALUE(RIGHT(TRIM($A424),2)),12,31))),SUMIFS('Timesheet Raw'!$P$4:$P$8000,'Timesheet Raw'!$B$4:$B$8000,TRIM($A424),'Timesheet Raw'!$C$4:$C$8000,"*"&amp;$B424&amp;"*",'Timesheet Raw'!$L$4:$L$8000,"&gt;="&amp;G$5,'Timesheet Raw'!$L$4:$L$8000,"&lt;="&amp;G$6)))/'Profit Plan'!$B$5)</f>
        <v/>
      </c>
      <c r="H424" s="122" t="str">
        <f>IF($A424="","",(IF(ISNUMBER(SEARCH("Proposal",$A424)),SUMIFS('Timesheet Raw'!$P$4:$P$8000,'Timesheet Raw'!$A$4:$A$8000,IF(ISNUMBER(SEARCH("Chargable",$A424)),"2-Proposals Chargeable","3-Proposals Regular"),'Timesheet Raw'!$C$4:$C$8000,"*"&amp;$B424&amp;"*",'Timesheet Raw'!$L$4:$L$8000,"&gt;="&amp;MAX(H$5,DATE(2000+VALUE(RIGHT(TRIM($A424),2)),1,1)),'Timesheet Raw'!$L$4:$L$8000,"&lt;="&amp;MIN(H$6,DATE(2000+VALUE(RIGHT(TRIM($A424),2)),12,31))),SUMIFS('Timesheet Raw'!$P$4:$P$8000,'Timesheet Raw'!$B$4:$B$8000,TRIM($A424),'Timesheet Raw'!$C$4:$C$8000,"*"&amp;$B424&amp;"*",'Timesheet Raw'!$L$4:$L$8000,"&gt;="&amp;H$5,'Timesheet Raw'!$L$4:$L$8000,"&lt;="&amp;H$6)))/'Profit Plan'!$B$5)</f>
        <v/>
      </c>
      <c r="I424" s="122" t="str">
        <f>IF($A424="","",(IF(ISNUMBER(SEARCH("Proposal",$A424)),SUMIFS('Timesheet Raw'!$P$4:$P$8000,'Timesheet Raw'!$A$4:$A$8000,IF(ISNUMBER(SEARCH("Chargable",$A424)),"2-Proposals Chargeable","3-Proposals Regular"),'Timesheet Raw'!$C$4:$C$8000,"*"&amp;$B424&amp;"*",'Timesheet Raw'!$L$4:$L$8000,"&gt;="&amp;MAX(I$5,DATE(2000+VALUE(RIGHT(TRIM($A424),2)),1,1)),'Timesheet Raw'!$L$4:$L$8000,"&lt;="&amp;MIN(I$6,DATE(2000+VALUE(RIGHT(TRIM($A424),2)),12,31))),SUMIFS('Timesheet Raw'!$P$4:$P$8000,'Timesheet Raw'!$B$4:$B$8000,TRIM($A424),'Timesheet Raw'!$C$4:$C$8000,"*"&amp;$B424&amp;"*",'Timesheet Raw'!$L$4:$L$8000,"&gt;="&amp;I$5,'Timesheet Raw'!$L$4:$L$8000,"&lt;="&amp;I$6)))/'Profit Plan'!$B$5)</f>
        <v/>
      </c>
      <c r="J424" s="122" t="str">
        <f>IF($A424="","",(IF(ISNUMBER(SEARCH("Proposal",$A424)),SUMIFS('Timesheet Raw'!$P$4:$P$8000,'Timesheet Raw'!$A$4:$A$8000,IF(ISNUMBER(SEARCH("Chargable",$A424)),"2-Proposals Chargeable","3-Proposals Regular"),'Timesheet Raw'!$C$4:$C$8000,"*"&amp;$B424&amp;"*",'Timesheet Raw'!$L$4:$L$8000,"&gt;="&amp;MAX(J$5,DATE(2000+VALUE(RIGHT(TRIM($A424),2)),1,1)),'Timesheet Raw'!$L$4:$L$8000,"&lt;="&amp;MIN(J$6,DATE(2000+VALUE(RIGHT(TRIM($A424),2)),12,31))),SUMIFS('Timesheet Raw'!$P$4:$P$8000,'Timesheet Raw'!$B$4:$B$8000,TRIM($A424),'Timesheet Raw'!$C$4:$C$8000,"*"&amp;$B424&amp;"*",'Timesheet Raw'!$L$4:$L$8000,"&gt;="&amp;J$5,'Timesheet Raw'!$L$4:$L$8000,"&lt;="&amp;J$6)))/'Profit Plan'!$B$5)</f>
        <v/>
      </c>
      <c r="K424" s="122" t="str">
        <f>IF($A424="","",(IF(ISNUMBER(SEARCH("Proposal",$A424)),SUMIFS('Timesheet Raw'!$P$4:$P$8000,'Timesheet Raw'!$A$4:$A$8000,IF(ISNUMBER(SEARCH("Chargable",$A424)),"2-Proposals Chargeable","3-Proposals Regular"),'Timesheet Raw'!$C$4:$C$8000,"*"&amp;$B424&amp;"*",'Timesheet Raw'!$L$4:$L$8000,"&gt;="&amp;MAX(K$5,DATE(2000+VALUE(RIGHT(TRIM($A424),2)),1,1)),'Timesheet Raw'!$L$4:$L$8000,"&lt;="&amp;MIN(K$6,DATE(2000+VALUE(RIGHT(TRIM($A424),2)),12,31))),SUMIFS('Timesheet Raw'!$P$4:$P$8000,'Timesheet Raw'!$B$4:$B$8000,TRIM($A424),'Timesheet Raw'!$C$4:$C$8000,"*"&amp;$B424&amp;"*",'Timesheet Raw'!$L$4:$L$8000,"&gt;="&amp;K$5,'Timesheet Raw'!$L$4:$L$8000,"&lt;="&amp;K$6)))/'Profit Plan'!$B$5)</f>
        <v/>
      </c>
      <c r="L424" s="122" t="str">
        <f>IF($A424="","",(IF(ISNUMBER(SEARCH("Proposal",$A424)),SUMIFS('Timesheet Raw'!$P$4:$P$8000,'Timesheet Raw'!$A$4:$A$8000,IF(ISNUMBER(SEARCH("Chargable",$A424)),"2-Proposals Chargeable","3-Proposals Regular"),'Timesheet Raw'!$C$4:$C$8000,"*"&amp;$B424&amp;"*",'Timesheet Raw'!$L$4:$L$8000,"&gt;="&amp;MAX(L$5,DATE(2000+VALUE(RIGHT(TRIM($A424),2)),1,1)),'Timesheet Raw'!$L$4:$L$8000,"&lt;="&amp;MIN(L$6,DATE(2000+VALUE(RIGHT(TRIM($A424),2)),12,31))),SUMIFS('Timesheet Raw'!$P$4:$P$8000,'Timesheet Raw'!$B$4:$B$8000,TRIM($A424),'Timesheet Raw'!$C$4:$C$8000,"*"&amp;$B424&amp;"*",'Timesheet Raw'!$L$4:$L$8000,"&gt;="&amp;L$5,'Timesheet Raw'!$L$4:$L$8000,"&lt;="&amp;L$6)))/'Profit Plan'!$B$5)</f>
        <v/>
      </c>
      <c r="M424" s="122" t="str">
        <f>IF($A424="","",(IF(ISNUMBER(SEARCH("Proposal",$A424)),SUMIFS('Timesheet Raw'!$P$4:$P$8000,'Timesheet Raw'!$A$4:$A$8000,IF(ISNUMBER(SEARCH("Chargable",$A424)),"2-Proposals Chargeable","3-Proposals Regular"),'Timesheet Raw'!$C$4:$C$8000,"*"&amp;$B424&amp;"*",'Timesheet Raw'!$L$4:$L$8000,"&gt;="&amp;MAX(M$5,DATE(2000+VALUE(RIGHT(TRIM($A424),2)),1,1)),'Timesheet Raw'!$L$4:$L$8000,"&lt;="&amp;MIN(M$6,DATE(2000+VALUE(RIGHT(TRIM($A424),2)),12,31))),SUMIFS('Timesheet Raw'!$P$4:$P$8000,'Timesheet Raw'!$B$4:$B$8000,TRIM($A424),'Timesheet Raw'!$C$4:$C$8000,"*"&amp;$B424&amp;"*",'Timesheet Raw'!$L$4:$L$8000,"&gt;="&amp;M$5,'Timesheet Raw'!$L$4:$L$8000,"&lt;="&amp;M$6)))/'Profit Plan'!$B$5)</f>
        <v/>
      </c>
      <c r="N424" s="122" t="str">
        <f>IF($A424="","",(IF(ISNUMBER(SEARCH("Proposal",$A424)),SUMIFS('Timesheet Raw'!$P$4:$P$8000,'Timesheet Raw'!$A$4:$A$8000,IF(ISNUMBER(SEARCH("Chargable",$A424)),"2-Proposals Chargeable","3-Proposals Regular"),'Timesheet Raw'!$C$4:$C$8000,"*"&amp;$B424&amp;"*",'Timesheet Raw'!$L$4:$L$8000,"&gt;="&amp;MAX(N$5,DATE(2000+VALUE(RIGHT(TRIM($A424),2)),1,1)),'Timesheet Raw'!$L$4:$L$8000,"&lt;="&amp;MIN(N$6,DATE(2000+VALUE(RIGHT(TRIM($A424),2)),12,31))),SUMIFS('Timesheet Raw'!$P$4:$P$8000,'Timesheet Raw'!$B$4:$B$8000,TRIM($A424),'Timesheet Raw'!$C$4:$C$8000,"*"&amp;$B424&amp;"*",'Timesheet Raw'!$L$4:$L$8000,"&gt;="&amp;N$5,'Timesheet Raw'!$L$4:$L$8000,"&lt;="&amp;N$6)))/'Profit Plan'!$B$5)</f>
        <v/>
      </c>
      <c r="O424" s="122" t="str">
        <f>IF($A424="","",(IF(ISNUMBER(SEARCH("Proposal",$A424)),SUMIFS('Timesheet Raw'!$P$4:$P$8000,'Timesheet Raw'!$A$4:$A$8000,IF(ISNUMBER(SEARCH("Chargable",$A424)),"2-Proposals Chargeable","3-Proposals Regular"),'Timesheet Raw'!$C$4:$C$8000,"*"&amp;$B424&amp;"*",'Timesheet Raw'!$L$4:$L$8000,"&gt;="&amp;MAX(O$5,DATE(2000+VALUE(RIGHT(TRIM($A424),2)),1,1)),'Timesheet Raw'!$L$4:$L$8000,"&lt;="&amp;MIN(O$6,DATE(2000+VALUE(RIGHT(TRIM($A424),2)),12,31))),SUMIFS('Timesheet Raw'!$P$4:$P$8000,'Timesheet Raw'!$B$4:$B$8000,TRIM($A424),'Timesheet Raw'!$C$4:$C$8000,"*"&amp;$B424&amp;"*",'Timesheet Raw'!$L$4:$L$8000,"&gt;="&amp;O$5,'Timesheet Raw'!$L$4:$L$8000,"&lt;="&amp;O$6)))/'Profit Plan'!$B$5)</f>
        <v/>
      </c>
      <c r="P424" s="122" t="str">
        <f>IF($A424="","",(IF(ISNUMBER(SEARCH("Proposal",$A424)),SUMIFS('Timesheet Raw'!$P$4:$P$8000,'Timesheet Raw'!$A$4:$A$8000,IF(ISNUMBER(SEARCH("Chargable",$A424)),"2-Proposals Chargeable","3-Proposals Regular"),'Timesheet Raw'!$C$4:$C$8000,"*"&amp;$B424&amp;"*",'Timesheet Raw'!$L$4:$L$8000,"&gt;="&amp;MAX(P$5,DATE(2000+VALUE(RIGHT(TRIM($A424),2)),1,1)),'Timesheet Raw'!$L$4:$L$8000,"&lt;="&amp;MIN(P$6,DATE(2000+VALUE(RIGHT(TRIM($A424),2)),12,31))),SUMIFS('Timesheet Raw'!$P$4:$P$8000,'Timesheet Raw'!$B$4:$B$8000,TRIM($A424),'Timesheet Raw'!$C$4:$C$8000,"*"&amp;$B424&amp;"*",'Timesheet Raw'!$L$4:$L$8000,"&gt;="&amp;P$5,'Timesheet Raw'!$L$4:$L$8000,"&lt;="&amp;P$6)))/'Profit Plan'!$B$5)</f>
        <v/>
      </c>
      <c r="Q424" s="122" t="str">
        <f>IF($A424="","",(IF(ISNUMBER(SEARCH("Proposal",$A424)),SUMIFS('Timesheet Raw'!$P$4:$P$8000,'Timesheet Raw'!$A$4:$A$8000,IF(ISNUMBER(SEARCH("Chargable",$A424)),"2-Proposals Chargeable","3-Proposals Regular"),'Timesheet Raw'!$C$4:$C$8000,"*"&amp;$B424&amp;"*",'Timesheet Raw'!$L$4:$L$8000,"&gt;="&amp;MAX(Q$5,DATE(2000+VALUE(RIGHT(TRIM($A424),2)),1,1)),'Timesheet Raw'!$L$4:$L$8000,"&lt;="&amp;MIN(Q$6,DATE(2000+VALUE(RIGHT(TRIM($A424),2)),12,31))),SUMIFS('Timesheet Raw'!$P$4:$P$8000,'Timesheet Raw'!$B$4:$B$8000,TRIM($A424),'Timesheet Raw'!$C$4:$C$8000,"*"&amp;$B424&amp;"*",'Timesheet Raw'!$L$4:$L$8000,"&gt;="&amp;Q$5,'Timesheet Raw'!$L$4:$L$8000,"&lt;="&amp;Q$6)))/'Profit Plan'!$B$5)</f>
        <v/>
      </c>
      <c r="R424" s="122" t="str">
        <f>IF($A424="","",(IF(ISNUMBER(SEARCH("Proposal",$A424)),SUMIFS('Timesheet Raw'!$P$4:$P$8000,'Timesheet Raw'!$A$4:$A$8000,IF(ISNUMBER(SEARCH("Chargable",$A424)),"2-Proposals Chargeable","3-Proposals Regular"),'Timesheet Raw'!$C$4:$C$8000,"*"&amp;$B424&amp;"*",'Timesheet Raw'!$L$4:$L$8000,"&gt;="&amp;MAX(R$5,DATE(2000+VALUE(RIGHT(TRIM($A424),2)),1,1)),'Timesheet Raw'!$L$4:$L$8000,"&lt;="&amp;MIN(R$6,DATE(2000+VALUE(RIGHT(TRIM($A424),2)),12,31))),SUMIFS('Timesheet Raw'!$P$4:$P$8000,'Timesheet Raw'!$B$4:$B$8000,TRIM($A424),'Timesheet Raw'!$C$4:$C$8000,"*"&amp;$B424&amp;"*",'Timesheet Raw'!$L$4:$L$8000,"&gt;="&amp;R$5,'Timesheet Raw'!$L$4:$L$8000,"&lt;="&amp;R$6)))/'Profit Plan'!$B$5)</f>
        <v/>
      </c>
      <c r="S424" s="122" t="str">
        <f>IF($A424="","",(IF(ISNUMBER(SEARCH("Proposal",$A424)),SUMIFS('Timesheet Raw'!$P$4:$P$8000,'Timesheet Raw'!$A$4:$A$8000,IF(ISNUMBER(SEARCH("Chargable",$A424)),"2-Proposals Chargeable","3-Proposals Regular"),'Timesheet Raw'!$C$4:$C$8000,"*"&amp;$B424&amp;"*",'Timesheet Raw'!$L$4:$L$8000,"&gt;="&amp;MAX(S$5,DATE(2000+VALUE(RIGHT(TRIM($A424),2)),1,1)),'Timesheet Raw'!$L$4:$L$8000,"&lt;="&amp;MIN(S$6,DATE(2000+VALUE(RIGHT(TRIM($A424),2)),12,31))),SUMIFS('Timesheet Raw'!$P$4:$P$8000,'Timesheet Raw'!$B$4:$B$8000,TRIM($A424),'Timesheet Raw'!$C$4:$C$8000,"*"&amp;$B424&amp;"*",'Timesheet Raw'!$L$4:$L$8000,"&gt;="&amp;S$5,'Timesheet Raw'!$L$4:$L$8000,"&lt;="&amp;S$6)))/'Profit Plan'!$B$5)</f>
        <v/>
      </c>
      <c r="T424" s="122" t="str">
        <f>IF($A424="","",(IF(ISNUMBER(SEARCH("Proposal",$A424)),SUMIFS('Timesheet Raw'!$P$4:$P$8000,'Timesheet Raw'!$A$4:$A$8000,IF(ISNUMBER(SEARCH("Chargable",$A424)),"2-Proposals Chargeable","3-Proposals Regular"),'Timesheet Raw'!$C$4:$C$8000,"*"&amp;$B424&amp;"*",'Timesheet Raw'!$L$4:$L$8000,"&gt;="&amp;MAX(T$5,DATE(2000+VALUE(RIGHT(TRIM($A424),2)),1,1)),'Timesheet Raw'!$L$4:$L$8000,"&lt;="&amp;MIN(T$6,DATE(2000+VALUE(RIGHT(TRIM($A424),2)),12,31))),SUMIFS('Timesheet Raw'!$P$4:$P$8000,'Timesheet Raw'!$B$4:$B$8000,TRIM($A424),'Timesheet Raw'!$C$4:$C$8000,"*"&amp;$B424&amp;"*",'Timesheet Raw'!$L$4:$L$8000,"&gt;="&amp;T$5,'Timesheet Raw'!$L$4:$L$8000,"&lt;="&amp;T$6)))/'Profit Plan'!$B$5)</f>
        <v/>
      </c>
      <c r="U424" s="122" t="str">
        <f>IF($A424="","",(IF(ISNUMBER(SEARCH("Proposal",$A424)),SUMIFS('Timesheet Raw'!$P$4:$P$8000,'Timesheet Raw'!$A$4:$A$8000,IF(ISNUMBER(SEARCH("Chargable",$A424)),"2-Proposals Chargeable","3-Proposals Regular"),'Timesheet Raw'!$C$4:$C$8000,"*"&amp;$B424&amp;"*",'Timesheet Raw'!$L$4:$L$8000,"&gt;="&amp;MAX(U$5,DATE(2000+VALUE(RIGHT(TRIM($A424),2)),1,1)),'Timesheet Raw'!$L$4:$L$8000,"&lt;="&amp;MIN(U$6,DATE(2000+VALUE(RIGHT(TRIM($A424),2)),12,31))),SUMIFS('Timesheet Raw'!$P$4:$P$8000,'Timesheet Raw'!$B$4:$B$8000,TRIM($A424),'Timesheet Raw'!$C$4:$C$8000,"*"&amp;$B424&amp;"*",'Timesheet Raw'!$L$4:$L$8000,"&gt;="&amp;U$5,'Timesheet Raw'!$L$4:$L$8000,"&lt;="&amp;U$6)))/'Profit Plan'!$B$5)</f>
        <v/>
      </c>
      <c r="V424" s="122" t="str">
        <f>IF($A424="","",(IF(ISNUMBER(SEARCH("Proposal",$A424)),SUMIFS('Timesheet Raw'!$P$4:$P$8000,'Timesheet Raw'!$A$4:$A$8000,IF(ISNUMBER(SEARCH("Chargable",$A424)),"2-Proposals Chargeable","3-Proposals Regular"),'Timesheet Raw'!$C$4:$C$8000,"*"&amp;$B424&amp;"*",'Timesheet Raw'!$L$4:$L$8000,"&gt;="&amp;MAX(V$5,DATE(2000+VALUE(RIGHT(TRIM($A424),2)),1,1)),'Timesheet Raw'!$L$4:$L$8000,"&lt;="&amp;MIN(V$6,DATE(2000+VALUE(RIGHT(TRIM($A424),2)),12,31))),SUMIFS('Timesheet Raw'!$P$4:$P$8000,'Timesheet Raw'!$B$4:$B$8000,TRIM($A424),'Timesheet Raw'!$C$4:$C$8000,"*"&amp;$B424&amp;"*",'Timesheet Raw'!$L$4:$L$8000,"&gt;="&amp;V$5,'Timesheet Raw'!$L$4:$L$8000,"&lt;="&amp;V$6)))/'Profit Plan'!$B$5)</f>
        <v/>
      </c>
      <c r="W424" s="122" t="str">
        <f>IF($A424="","",(IF(ISNUMBER(SEARCH("Proposal",$A424)),SUMIFS('Timesheet Raw'!$P$4:$P$8000,'Timesheet Raw'!$A$4:$A$8000,IF(ISNUMBER(SEARCH("Chargable",$A424)),"2-Proposals Chargeable","3-Proposals Regular"),'Timesheet Raw'!$C$4:$C$8000,"*"&amp;$B424&amp;"*",'Timesheet Raw'!$L$4:$L$8000,"&gt;="&amp;MAX(W$5,DATE(2000+VALUE(RIGHT(TRIM($A424),2)),1,1)),'Timesheet Raw'!$L$4:$L$8000,"&lt;="&amp;MIN(W$6,DATE(2000+VALUE(RIGHT(TRIM($A424),2)),12,31))),SUMIFS('Timesheet Raw'!$P$4:$P$8000,'Timesheet Raw'!$B$4:$B$8000,TRIM($A424),'Timesheet Raw'!$C$4:$C$8000,"*"&amp;$B424&amp;"*",'Timesheet Raw'!$L$4:$L$8000,"&gt;="&amp;W$5,'Timesheet Raw'!$L$4:$L$8000,"&lt;="&amp;W$6)))/'Profit Plan'!$B$5)</f>
        <v/>
      </c>
      <c r="X424" s="122" t="str">
        <f>IF($A424="","",(IF(ISNUMBER(SEARCH("Proposal",$A424)),SUMIFS('Timesheet Raw'!$P$4:$P$8000,'Timesheet Raw'!$A$4:$A$8000,IF(ISNUMBER(SEARCH("Chargable",$A424)),"2-Proposals Chargeable","3-Proposals Regular"),'Timesheet Raw'!$C$4:$C$8000,"*"&amp;$B424&amp;"*",'Timesheet Raw'!$L$4:$L$8000,"&gt;="&amp;MAX(X$5,DATE(2000+VALUE(RIGHT(TRIM($A424),2)),1,1)),'Timesheet Raw'!$L$4:$L$8000,"&lt;="&amp;MIN(X$6,DATE(2000+VALUE(RIGHT(TRIM($A424),2)),12,31))),SUMIFS('Timesheet Raw'!$P$4:$P$8000,'Timesheet Raw'!$B$4:$B$8000,TRIM($A424),'Timesheet Raw'!$C$4:$C$8000,"*"&amp;$B424&amp;"*",'Timesheet Raw'!$L$4:$L$8000,"&gt;="&amp;X$5,'Timesheet Raw'!$L$4:$L$8000,"&lt;="&amp;X$6)))/'Profit Plan'!$B$5)</f>
        <v/>
      </c>
      <c r="Y424" s="118">
        <f t="shared" si="102"/>
        <v>0</v>
      </c>
    </row>
    <row r="425" spans="1:25" x14ac:dyDescent="0.3">
      <c r="A425" s="116" t="str">
        <f>IF(Inputs!$A59="","",Inputs!$A59)</f>
        <v/>
      </c>
      <c r="B425" s="116" t="str">
        <f>IF(Inputs!$A59="","",Inputs!$A$92)</f>
        <v/>
      </c>
      <c r="C425" s="116"/>
      <c r="D425" s="122" t="str">
        <f>IF($A425="","",(IF(ISNUMBER(SEARCH("Proposal",$A425)),SUMIFS('Timesheet Raw'!$P$4:$P$8000,'Timesheet Raw'!$A$4:$A$8000,IF(ISNUMBER(SEARCH("Chargable",$A425)),"2-Proposals Chargeable","3-Proposals Regular"),'Timesheet Raw'!$C$4:$C$8000,"*"&amp;$B425&amp;"*",'Timesheet Raw'!$L$4:$L$8000,"&gt;="&amp;MAX(D$5,DATE(2000+VALUE(RIGHT(TRIM($A425),2)),1,1)),'Timesheet Raw'!$L$4:$L$8000,"&lt;="&amp;MIN(D$6,DATE(2000+VALUE(RIGHT(TRIM($A425),2)),12,31))),SUMIFS('Timesheet Raw'!$P$4:$P$8000,'Timesheet Raw'!$B$4:$B$8000,TRIM($A425),'Timesheet Raw'!$C$4:$C$8000,"*"&amp;$B425&amp;"*",'Timesheet Raw'!$L$4:$L$8000,"&gt;="&amp;D$5,'Timesheet Raw'!$L$4:$L$8000,"&lt;="&amp;D$6)))/'Profit Plan'!$B$5)</f>
        <v/>
      </c>
      <c r="E425" s="122" t="str">
        <f>IF($A425="","",(IF(ISNUMBER(SEARCH("Proposal",$A425)),SUMIFS('Timesheet Raw'!$P$4:$P$8000,'Timesheet Raw'!$A$4:$A$8000,IF(ISNUMBER(SEARCH("Chargable",$A425)),"2-Proposals Chargeable","3-Proposals Regular"),'Timesheet Raw'!$C$4:$C$8000,"*"&amp;$B425&amp;"*",'Timesheet Raw'!$L$4:$L$8000,"&gt;="&amp;MAX(E$5,DATE(2000+VALUE(RIGHT(TRIM($A425),2)),1,1)),'Timesheet Raw'!$L$4:$L$8000,"&lt;="&amp;MIN(E$6,DATE(2000+VALUE(RIGHT(TRIM($A425),2)),12,31))),SUMIFS('Timesheet Raw'!$P$4:$P$8000,'Timesheet Raw'!$B$4:$B$8000,TRIM($A425),'Timesheet Raw'!$C$4:$C$8000,"*"&amp;$B425&amp;"*",'Timesheet Raw'!$L$4:$L$8000,"&gt;="&amp;E$5,'Timesheet Raw'!$L$4:$L$8000,"&lt;="&amp;E$6)))/'Profit Plan'!$B$5)</f>
        <v/>
      </c>
      <c r="F425" s="122" t="str">
        <f>IF($A425="","",(IF(ISNUMBER(SEARCH("Proposal",$A425)),SUMIFS('Timesheet Raw'!$P$4:$P$8000,'Timesheet Raw'!$A$4:$A$8000,IF(ISNUMBER(SEARCH("Chargable",$A425)),"2-Proposals Chargeable","3-Proposals Regular"),'Timesheet Raw'!$C$4:$C$8000,"*"&amp;$B425&amp;"*",'Timesheet Raw'!$L$4:$L$8000,"&gt;="&amp;MAX(F$5,DATE(2000+VALUE(RIGHT(TRIM($A425),2)),1,1)),'Timesheet Raw'!$L$4:$L$8000,"&lt;="&amp;MIN(F$6,DATE(2000+VALUE(RIGHT(TRIM($A425),2)),12,31))),SUMIFS('Timesheet Raw'!$P$4:$P$8000,'Timesheet Raw'!$B$4:$B$8000,TRIM($A425),'Timesheet Raw'!$C$4:$C$8000,"*"&amp;$B425&amp;"*",'Timesheet Raw'!$L$4:$L$8000,"&gt;="&amp;F$5,'Timesheet Raw'!$L$4:$L$8000,"&lt;="&amp;F$6)))/'Profit Plan'!$B$5)</f>
        <v/>
      </c>
      <c r="G425" s="122" t="str">
        <f>IF($A425="","",(IF(ISNUMBER(SEARCH("Proposal",$A425)),SUMIFS('Timesheet Raw'!$P$4:$P$8000,'Timesheet Raw'!$A$4:$A$8000,IF(ISNUMBER(SEARCH("Chargable",$A425)),"2-Proposals Chargeable","3-Proposals Regular"),'Timesheet Raw'!$C$4:$C$8000,"*"&amp;$B425&amp;"*",'Timesheet Raw'!$L$4:$L$8000,"&gt;="&amp;MAX(G$5,DATE(2000+VALUE(RIGHT(TRIM($A425),2)),1,1)),'Timesheet Raw'!$L$4:$L$8000,"&lt;="&amp;MIN(G$6,DATE(2000+VALUE(RIGHT(TRIM($A425),2)),12,31))),SUMIFS('Timesheet Raw'!$P$4:$P$8000,'Timesheet Raw'!$B$4:$B$8000,TRIM($A425),'Timesheet Raw'!$C$4:$C$8000,"*"&amp;$B425&amp;"*",'Timesheet Raw'!$L$4:$L$8000,"&gt;="&amp;G$5,'Timesheet Raw'!$L$4:$L$8000,"&lt;="&amp;G$6)))/'Profit Plan'!$B$5)</f>
        <v/>
      </c>
      <c r="H425" s="122" t="str">
        <f>IF($A425="","",(IF(ISNUMBER(SEARCH("Proposal",$A425)),SUMIFS('Timesheet Raw'!$P$4:$P$8000,'Timesheet Raw'!$A$4:$A$8000,IF(ISNUMBER(SEARCH("Chargable",$A425)),"2-Proposals Chargeable","3-Proposals Regular"),'Timesheet Raw'!$C$4:$C$8000,"*"&amp;$B425&amp;"*",'Timesheet Raw'!$L$4:$L$8000,"&gt;="&amp;MAX(H$5,DATE(2000+VALUE(RIGHT(TRIM($A425),2)),1,1)),'Timesheet Raw'!$L$4:$L$8000,"&lt;="&amp;MIN(H$6,DATE(2000+VALUE(RIGHT(TRIM($A425),2)),12,31))),SUMIFS('Timesheet Raw'!$P$4:$P$8000,'Timesheet Raw'!$B$4:$B$8000,TRIM($A425),'Timesheet Raw'!$C$4:$C$8000,"*"&amp;$B425&amp;"*",'Timesheet Raw'!$L$4:$L$8000,"&gt;="&amp;H$5,'Timesheet Raw'!$L$4:$L$8000,"&lt;="&amp;H$6)))/'Profit Plan'!$B$5)</f>
        <v/>
      </c>
      <c r="I425" s="122" t="str">
        <f>IF($A425="","",(IF(ISNUMBER(SEARCH("Proposal",$A425)),SUMIFS('Timesheet Raw'!$P$4:$P$8000,'Timesheet Raw'!$A$4:$A$8000,IF(ISNUMBER(SEARCH("Chargable",$A425)),"2-Proposals Chargeable","3-Proposals Regular"),'Timesheet Raw'!$C$4:$C$8000,"*"&amp;$B425&amp;"*",'Timesheet Raw'!$L$4:$L$8000,"&gt;="&amp;MAX(I$5,DATE(2000+VALUE(RIGHT(TRIM($A425),2)),1,1)),'Timesheet Raw'!$L$4:$L$8000,"&lt;="&amp;MIN(I$6,DATE(2000+VALUE(RIGHT(TRIM($A425),2)),12,31))),SUMIFS('Timesheet Raw'!$P$4:$P$8000,'Timesheet Raw'!$B$4:$B$8000,TRIM($A425),'Timesheet Raw'!$C$4:$C$8000,"*"&amp;$B425&amp;"*",'Timesheet Raw'!$L$4:$L$8000,"&gt;="&amp;I$5,'Timesheet Raw'!$L$4:$L$8000,"&lt;="&amp;I$6)))/'Profit Plan'!$B$5)</f>
        <v/>
      </c>
      <c r="J425" s="122" t="str">
        <f>IF($A425="","",(IF(ISNUMBER(SEARCH("Proposal",$A425)),SUMIFS('Timesheet Raw'!$P$4:$P$8000,'Timesheet Raw'!$A$4:$A$8000,IF(ISNUMBER(SEARCH("Chargable",$A425)),"2-Proposals Chargeable","3-Proposals Regular"),'Timesheet Raw'!$C$4:$C$8000,"*"&amp;$B425&amp;"*",'Timesheet Raw'!$L$4:$L$8000,"&gt;="&amp;MAX(J$5,DATE(2000+VALUE(RIGHT(TRIM($A425),2)),1,1)),'Timesheet Raw'!$L$4:$L$8000,"&lt;="&amp;MIN(J$6,DATE(2000+VALUE(RIGHT(TRIM($A425),2)),12,31))),SUMIFS('Timesheet Raw'!$P$4:$P$8000,'Timesheet Raw'!$B$4:$B$8000,TRIM($A425),'Timesheet Raw'!$C$4:$C$8000,"*"&amp;$B425&amp;"*",'Timesheet Raw'!$L$4:$L$8000,"&gt;="&amp;J$5,'Timesheet Raw'!$L$4:$L$8000,"&lt;="&amp;J$6)))/'Profit Plan'!$B$5)</f>
        <v/>
      </c>
      <c r="K425" s="122" t="str">
        <f>IF($A425="","",(IF(ISNUMBER(SEARCH("Proposal",$A425)),SUMIFS('Timesheet Raw'!$P$4:$P$8000,'Timesheet Raw'!$A$4:$A$8000,IF(ISNUMBER(SEARCH("Chargable",$A425)),"2-Proposals Chargeable","3-Proposals Regular"),'Timesheet Raw'!$C$4:$C$8000,"*"&amp;$B425&amp;"*",'Timesheet Raw'!$L$4:$L$8000,"&gt;="&amp;MAX(K$5,DATE(2000+VALUE(RIGHT(TRIM($A425),2)),1,1)),'Timesheet Raw'!$L$4:$L$8000,"&lt;="&amp;MIN(K$6,DATE(2000+VALUE(RIGHT(TRIM($A425),2)),12,31))),SUMIFS('Timesheet Raw'!$P$4:$P$8000,'Timesheet Raw'!$B$4:$B$8000,TRIM($A425),'Timesheet Raw'!$C$4:$C$8000,"*"&amp;$B425&amp;"*",'Timesheet Raw'!$L$4:$L$8000,"&gt;="&amp;K$5,'Timesheet Raw'!$L$4:$L$8000,"&lt;="&amp;K$6)))/'Profit Plan'!$B$5)</f>
        <v/>
      </c>
      <c r="L425" s="122" t="str">
        <f>IF($A425="","",(IF(ISNUMBER(SEARCH("Proposal",$A425)),SUMIFS('Timesheet Raw'!$P$4:$P$8000,'Timesheet Raw'!$A$4:$A$8000,IF(ISNUMBER(SEARCH("Chargable",$A425)),"2-Proposals Chargeable","3-Proposals Regular"),'Timesheet Raw'!$C$4:$C$8000,"*"&amp;$B425&amp;"*",'Timesheet Raw'!$L$4:$L$8000,"&gt;="&amp;MAX(L$5,DATE(2000+VALUE(RIGHT(TRIM($A425),2)),1,1)),'Timesheet Raw'!$L$4:$L$8000,"&lt;="&amp;MIN(L$6,DATE(2000+VALUE(RIGHT(TRIM($A425),2)),12,31))),SUMIFS('Timesheet Raw'!$P$4:$P$8000,'Timesheet Raw'!$B$4:$B$8000,TRIM($A425),'Timesheet Raw'!$C$4:$C$8000,"*"&amp;$B425&amp;"*",'Timesheet Raw'!$L$4:$L$8000,"&gt;="&amp;L$5,'Timesheet Raw'!$L$4:$L$8000,"&lt;="&amp;L$6)))/'Profit Plan'!$B$5)</f>
        <v/>
      </c>
      <c r="M425" s="122" t="str">
        <f>IF($A425="","",(IF(ISNUMBER(SEARCH("Proposal",$A425)),SUMIFS('Timesheet Raw'!$P$4:$P$8000,'Timesheet Raw'!$A$4:$A$8000,IF(ISNUMBER(SEARCH("Chargable",$A425)),"2-Proposals Chargeable","3-Proposals Regular"),'Timesheet Raw'!$C$4:$C$8000,"*"&amp;$B425&amp;"*",'Timesheet Raw'!$L$4:$L$8000,"&gt;="&amp;MAX(M$5,DATE(2000+VALUE(RIGHT(TRIM($A425),2)),1,1)),'Timesheet Raw'!$L$4:$L$8000,"&lt;="&amp;MIN(M$6,DATE(2000+VALUE(RIGHT(TRIM($A425),2)),12,31))),SUMIFS('Timesheet Raw'!$P$4:$P$8000,'Timesheet Raw'!$B$4:$B$8000,TRIM($A425),'Timesheet Raw'!$C$4:$C$8000,"*"&amp;$B425&amp;"*",'Timesheet Raw'!$L$4:$L$8000,"&gt;="&amp;M$5,'Timesheet Raw'!$L$4:$L$8000,"&lt;="&amp;M$6)))/'Profit Plan'!$B$5)</f>
        <v/>
      </c>
      <c r="N425" s="122" t="str">
        <f>IF($A425="","",(IF(ISNUMBER(SEARCH("Proposal",$A425)),SUMIFS('Timesheet Raw'!$P$4:$P$8000,'Timesheet Raw'!$A$4:$A$8000,IF(ISNUMBER(SEARCH("Chargable",$A425)),"2-Proposals Chargeable","3-Proposals Regular"),'Timesheet Raw'!$C$4:$C$8000,"*"&amp;$B425&amp;"*",'Timesheet Raw'!$L$4:$L$8000,"&gt;="&amp;MAX(N$5,DATE(2000+VALUE(RIGHT(TRIM($A425),2)),1,1)),'Timesheet Raw'!$L$4:$L$8000,"&lt;="&amp;MIN(N$6,DATE(2000+VALUE(RIGHT(TRIM($A425),2)),12,31))),SUMIFS('Timesheet Raw'!$P$4:$P$8000,'Timesheet Raw'!$B$4:$B$8000,TRIM($A425),'Timesheet Raw'!$C$4:$C$8000,"*"&amp;$B425&amp;"*",'Timesheet Raw'!$L$4:$L$8000,"&gt;="&amp;N$5,'Timesheet Raw'!$L$4:$L$8000,"&lt;="&amp;N$6)))/'Profit Plan'!$B$5)</f>
        <v/>
      </c>
      <c r="O425" s="122" t="str">
        <f>IF($A425="","",(IF(ISNUMBER(SEARCH("Proposal",$A425)),SUMIFS('Timesheet Raw'!$P$4:$P$8000,'Timesheet Raw'!$A$4:$A$8000,IF(ISNUMBER(SEARCH("Chargable",$A425)),"2-Proposals Chargeable","3-Proposals Regular"),'Timesheet Raw'!$C$4:$C$8000,"*"&amp;$B425&amp;"*",'Timesheet Raw'!$L$4:$L$8000,"&gt;="&amp;MAX(O$5,DATE(2000+VALUE(RIGHT(TRIM($A425),2)),1,1)),'Timesheet Raw'!$L$4:$L$8000,"&lt;="&amp;MIN(O$6,DATE(2000+VALUE(RIGHT(TRIM($A425),2)),12,31))),SUMIFS('Timesheet Raw'!$P$4:$P$8000,'Timesheet Raw'!$B$4:$B$8000,TRIM($A425),'Timesheet Raw'!$C$4:$C$8000,"*"&amp;$B425&amp;"*",'Timesheet Raw'!$L$4:$L$8000,"&gt;="&amp;O$5,'Timesheet Raw'!$L$4:$L$8000,"&lt;="&amp;O$6)))/'Profit Plan'!$B$5)</f>
        <v/>
      </c>
      <c r="P425" s="122" t="str">
        <f>IF($A425="","",(IF(ISNUMBER(SEARCH("Proposal",$A425)),SUMIFS('Timesheet Raw'!$P$4:$P$8000,'Timesheet Raw'!$A$4:$A$8000,IF(ISNUMBER(SEARCH("Chargable",$A425)),"2-Proposals Chargeable","3-Proposals Regular"),'Timesheet Raw'!$C$4:$C$8000,"*"&amp;$B425&amp;"*",'Timesheet Raw'!$L$4:$L$8000,"&gt;="&amp;MAX(P$5,DATE(2000+VALUE(RIGHT(TRIM($A425),2)),1,1)),'Timesheet Raw'!$L$4:$L$8000,"&lt;="&amp;MIN(P$6,DATE(2000+VALUE(RIGHT(TRIM($A425),2)),12,31))),SUMIFS('Timesheet Raw'!$P$4:$P$8000,'Timesheet Raw'!$B$4:$B$8000,TRIM($A425),'Timesheet Raw'!$C$4:$C$8000,"*"&amp;$B425&amp;"*",'Timesheet Raw'!$L$4:$L$8000,"&gt;="&amp;P$5,'Timesheet Raw'!$L$4:$L$8000,"&lt;="&amp;P$6)))/'Profit Plan'!$B$5)</f>
        <v/>
      </c>
      <c r="Q425" s="122" t="str">
        <f>IF($A425="","",(IF(ISNUMBER(SEARCH("Proposal",$A425)),SUMIFS('Timesheet Raw'!$P$4:$P$8000,'Timesheet Raw'!$A$4:$A$8000,IF(ISNUMBER(SEARCH("Chargable",$A425)),"2-Proposals Chargeable","3-Proposals Regular"),'Timesheet Raw'!$C$4:$C$8000,"*"&amp;$B425&amp;"*",'Timesheet Raw'!$L$4:$L$8000,"&gt;="&amp;MAX(Q$5,DATE(2000+VALUE(RIGHT(TRIM($A425),2)),1,1)),'Timesheet Raw'!$L$4:$L$8000,"&lt;="&amp;MIN(Q$6,DATE(2000+VALUE(RIGHT(TRIM($A425),2)),12,31))),SUMIFS('Timesheet Raw'!$P$4:$P$8000,'Timesheet Raw'!$B$4:$B$8000,TRIM($A425),'Timesheet Raw'!$C$4:$C$8000,"*"&amp;$B425&amp;"*",'Timesheet Raw'!$L$4:$L$8000,"&gt;="&amp;Q$5,'Timesheet Raw'!$L$4:$L$8000,"&lt;="&amp;Q$6)))/'Profit Plan'!$B$5)</f>
        <v/>
      </c>
      <c r="R425" s="122" t="str">
        <f>IF($A425="","",(IF(ISNUMBER(SEARCH("Proposal",$A425)),SUMIFS('Timesheet Raw'!$P$4:$P$8000,'Timesheet Raw'!$A$4:$A$8000,IF(ISNUMBER(SEARCH("Chargable",$A425)),"2-Proposals Chargeable","3-Proposals Regular"),'Timesheet Raw'!$C$4:$C$8000,"*"&amp;$B425&amp;"*",'Timesheet Raw'!$L$4:$L$8000,"&gt;="&amp;MAX(R$5,DATE(2000+VALUE(RIGHT(TRIM($A425),2)),1,1)),'Timesheet Raw'!$L$4:$L$8000,"&lt;="&amp;MIN(R$6,DATE(2000+VALUE(RIGHT(TRIM($A425),2)),12,31))),SUMIFS('Timesheet Raw'!$P$4:$P$8000,'Timesheet Raw'!$B$4:$B$8000,TRIM($A425),'Timesheet Raw'!$C$4:$C$8000,"*"&amp;$B425&amp;"*",'Timesheet Raw'!$L$4:$L$8000,"&gt;="&amp;R$5,'Timesheet Raw'!$L$4:$L$8000,"&lt;="&amp;R$6)))/'Profit Plan'!$B$5)</f>
        <v/>
      </c>
      <c r="S425" s="122" t="str">
        <f>IF($A425="","",(IF(ISNUMBER(SEARCH("Proposal",$A425)),SUMIFS('Timesheet Raw'!$P$4:$P$8000,'Timesheet Raw'!$A$4:$A$8000,IF(ISNUMBER(SEARCH("Chargable",$A425)),"2-Proposals Chargeable","3-Proposals Regular"),'Timesheet Raw'!$C$4:$C$8000,"*"&amp;$B425&amp;"*",'Timesheet Raw'!$L$4:$L$8000,"&gt;="&amp;MAX(S$5,DATE(2000+VALUE(RIGHT(TRIM($A425),2)),1,1)),'Timesheet Raw'!$L$4:$L$8000,"&lt;="&amp;MIN(S$6,DATE(2000+VALUE(RIGHT(TRIM($A425),2)),12,31))),SUMIFS('Timesheet Raw'!$P$4:$P$8000,'Timesheet Raw'!$B$4:$B$8000,TRIM($A425),'Timesheet Raw'!$C$4:$C$8000,"*"&amp;$B425&amp;"*",'Timesheet Raw'!$L$4:$L$8000,"&gt;="&amp;S$5,'Timesheet Raw'!$L$4:$L$8000,"&lt;="&amp;S$6)))/'Profit Plan'!$B$5)</f>
        <v/>
      </c>
      <c r="T425" s="122" t="str">
        <f>IF($A425="","",(IF(ISNUMBER(SEARCH("Proposal",$A425)),SUMIFS('Timesheet Raw'!$P$4:$P$8000,'Timesheet Raw'!$A$4:$A$8000,IF(ISNUMBER(SEARCH("Chargable",$A425)),"2-Proposals Chargeable","3-Proposals Regular"),'Timesheet Raw'!$C$4:$C$8000,"*"&amp;$B425&amp;"*",'Timesheet Raw'!$L$4:$L$8000,"&gt;="&amp;MAX(T$5,DATE(2000+VALUE(RIGHT(TRIM($A425),2)),1,1)),'Timesheet Raw'!$L$4:$L$8000,"&lt;="&amp;MIN(T$6,DATE(2000+VALUE(RIGHT(TRIM($A425),2)),12,31))),SUMIFS('Timesheet Raw'!$P$4:$P$8000,'Timesheet Raw'!$B$4:$B$8000,TRIM($A425),'Timesheet Raw'!$C$4:$C$8000,"*"&amp;$B425&amp;"*",'Timesheet Raw'!$L$4:$L$8000,"&gt;="&amp;T$5,'Timesheet Raw'!$L$4:$L$8000,"&lt;="&amp;T$6)))/'Profit Plan'!$B$5)</f>
        <v/>
      </c>
      <c r="U425" s="122" t="str">
        <f>IF($A425="","",(IF(ISNUMBER(SEARCH("Proposal",$A425)),SUMIFS('Timesheet Raw'!$P$4:$P$8000,'Timesheet Raw'!$A$4:$A$8000,IF(ISNUMBER(SEARCH("Chargable",$A425)),"2-Proposals Chargeable","3-Proposals Regular"),'Timesheet Raw'!$C$4:$C$8000,"*"&amp;$B425&amp;"*",'Timesheet Raw'!$L$4:$L$8000,"&gt;="&amp;MAX(U$5,DATE(2000+VALUE(RIGHT(TRIM($A425),2)),1,1)),'Timesheet Raw'!$L$4:$L$8000,"&lt;="&amp;MIN(U$6,DATE(2000+VALUE(RIGHT(TRIM($A425),2)),12,31))),SUMIFS('Timesheet Raw'!$P$4:$P$8000,'Timesheet Raw'!$B$4:$B$8000,TRIM($A425),'Timesheet Raw'!$C$4:$C$8000,"*"&amp;$B425&amp;"*",'Timesheet Raw'!$L$4:$L$8000,"&gt;="&amp;U$5,'Timesheet Raw'!$L$4:$L$8000,"&lt;="&amp;U$6)))/'Profit Plan'!$B$5)</f>
        <v/>
      </c>
      <c r="V425" s="122" t="str">
        <f>IF($A425="","",(IF(ISNUMBER(SEARCH("Proposal",$A425)),SUMIFS('Timesheet Raw'!$P$4:$P$8000,'Timesheet Raw'!$A$4:$A$8000,IF(ISNUMBER(SEARCH("Chargable",$A425)),"2-Proposals Chargeable","3-Proposals Regular"),'Timesheet Raw'!$C$4:$C$8000,"*"&amp;$B425&amp;"*",'Timesheet Raw'!$L$4:$L$8000,"&gt;="&amp;MAX(V$5,DATE(2000+VALUE(RIGHT(TRIM($A425),2)),1,1)),'Timesheet Raw'!$L$4:$L$8000,"&lt;="&amp;MIN(V$6,DATE(2000+VALUE(RIGHT(TRIM($A425),2)),12,31))),SUMIFS('Timesheet Raw'!$P$4:$P$8000,'Timesheet Raw'!$B$4:$B$8000,TRIM($A425),'Timesheet Raw'!$C$4:$C$8000,"*"&amp;$B425&amp;"*",'Timesheet Raw'!$L$4:$L$8000,"&gt;="&amp;V$5,'Timesheet Raw'!$L$4:$L$8000,"&lt;="&amp;V$6)))/'Profit Plan'!$B$5)</f>
        <v/>
      </c>
      <c r="W425" s="122" t="str">
        <f>IF($A425="","",(IF(ISNUMBER(SEARCH("Proposal",$A425)),SUMIFS('Timesheet Raw'!$P$4:$P$8000,'Timesheet Raw'!$A$4:$A$8000,IF(ISNUMBER(SEARCH("Chargable",$A425)),"2-Proposals Chargeable","3-Proposals Regular"),'Timesheet Raw'!$C$4:$C$8000,"*"&amp;$B425&amp;"*",'Timesheet Raw'!$L$4:$L$8000,"&gt;="&amp;MAX(W$5,DATE(2000+VALUE(RIGHT(TRIM($A425),2)),1,1)),'Timesheet Raw'!$L$4:$L$8000,"&lt;="&amp;MIN(W$6,DATE(2000+VALUE(RIGHT(TRIM($A425),2)),12,31))),SUMIFS('Timesheet Raw'!$P$4:$P$8000,'Timesheet Raw'!$B$4:$B$8000,TRIM($A425),'Timesheet Raw'!$C$4:$C$8000,"*"&amp;$B425&amp;"*",'Timesheet Raw'!$L$4:$L$8000,"&gt;="&amp;W$5,'Timesheet Raw'!$L$4:$L$8000,"&lt;="&amp;W$6)))/'Profit Plan'!$B$5)</f>
        <v/>
      </c>
      <c r="X425" s="122" t="str">
        <f>IF($A425="","",(IF(ISNUMBER(SEARCH("Proposal",$A425)),SUMIFS('Timesheet Raw'!$P$4:$P$8000,'Timesheet Raw'!$A$4:$A$8000,IF(ISNUMBER(SEARCH("Chargable",$A425)),"2-Proposals Chargeable","3-Proposals Regular"),'Timesheet Raw'!$C$4:$C$8000,"*"&amp;$B425&amp;"*",'Timesheet Raw'!$L$4:$L$8000,"&gt;="&amp;MAX(X$5,DATE(2000+VALUE(RIGHT(TRIM($A425),2)),1,1)),'Timesheet Raw'!$L$4:$L$8000,"&lt;="&amp;MIN(X$6,DATE(2000+VALUE(RIGHT(TRIM($A425),2)),12,31))),SUMIFS('Timesheet Raw'!$P$4:$P$8000,'Timesheet Raw'!$B$4:$B$8000,TRIM($A425),'Timesheet Raw'!$C$4:$C$8000,"*"&amp;$B425&amp;"*",'Timesheet Raw'!$L$4:$L$8000,"&gt;="&amp;X$5,'Timesheet Raw'!$L$4:$L$8000,"&lt;="&amp;X$6)))/'Profit Plan'!$B$5)</f>
        <v/>
      </c>
      <c r="Y425" s="118">
        <f t="shared" si="102"/>
        <v>0</v>
      </c>
    </row>
    <row r="426" spans="1:25" x14ac:dyDescent="0.3">
      <c r="A426" s="116" t="str">
        <f>IF(Inputs!$A59="","",Inputs!$A59)</f>
        <v/>
      </c>
      <c r="B426" s="116" t="str">
        <f>IF(Inputs!$A59="","",Inputs!$A$93)</f>
        <v/>
      </c>
      <c r="C426" s="116"/>
      <c r="D426" s="122" t="str">
        <f>IF($A426="","",(IF(ISNUMBER(SEARCH("Proposal",$A426)),SUMIFS('Timesheet Raw'!$P$4:$P$8000,'Timesheet Raw'!$A$4:$A$8000,IF(ISNUMBER(SEARCH("Chargable",$A426)),"2-Proposals Chargeable","3-Proposals Regular"),'Timesheet Raw'!$C$4:$C$8000,"*"&amp;$B426&amp;"*",'Timesheet Raw'!$L$4:$L$8000,"&gt;="&amp;MAX(D$5,DATE(2000+VALUE(RIGHT(TRIM($A426),2)),1,1)),'Timesheet Raw'!$L$4:$L$8000,"&lt;="&amp;MIN(D$6,DATE(2000+VALUE(RIGHT(TRIM($A426),2)),12,31))),SUMIFS('Timesheet Raw'!$P$4:$P$8000,'Timesheet Raw'!$B$4:$B$8000,TRIM($A426),'Timesheet Raw'!$C$4:$C$8000,"*"&amp;$B426&amp;"*",'Timesheet Raw'!$L$4:$L$8000,"&gt;="&amp;D$5,'Timesheet Raw'!$L$4:$L$8000,"&lt;="&amp;D$6)))/'Profit Plan'!$B$5)</f>
        <v/>
      </c>
      <c r="E426" s="122" t="str">
        <f>IF($A426="","",(IF(ISNUMBER(SEARCH("Proposal",$A426)),SUMIFS('Timesheet Raw'!$P$4:$P$8000,'Timesheet Raw'!$A$4:$A$8000,IF(ISNUMBER(SEARCH("Chargable",$A426)),"2-Proposals Chargeable","3-Proposals Regular"),'Timesheet Raw'!$C$4:$C$8000,"*"&amp;$B426&amp;"*",'Timesheet Raw'!$L$4:$L$8000,"&gt;="&amp;MAX(E$5,DATE(2000+VALUE(RIGHT(TRIM($A426),2)),1,1)),'Timesheet Raw'!$L$4:$L$8000,"&lt;="&amp;MIN(E$6,DATE(2000+VALUE(RIGHT(TRIM($A426),2)),12,31))),SUMIFS('Timesheet Raw'!$P$4:$P$8000,'Timesheet Raw'!$B$4:$B$8000,TRIM($A426),'Timesheet Raw'!$C$4:$C$8000,"*"&amp;$B426&amp;"*",'Timesheet Raw'!$L$4:$L$8000,"&gt;="&amp;E$5,'Timesheet Raw'!$L$4:$L$8000,"&lt;="&amp;E$6)))/'Profit Plan'!$B$5)</f>
        <v/>
      </c>
      <c r="F426" s="122" t="str">
        <f>IF($A426="","",(IF(ISNUMBER(SEARCH("Proposal",$A426)),SUMIFS('Timesheet Raw'!$P$4:$P$8000,'Timesheet Raw'!$A$4:$A$8000,IF(ISNUMBER(SEARCH("Chargable",$A426)),"2-Proposals Chargeable","3-Proposals Regular"),'Timesheet Raw'!$C$4:$C$8000,"*"&amp;$B426&amp;"*",'Timesheet Raw'!$L$4:$L$8000,"&gt;="&amp;MAX(F$5,DATE(2000+VALUE(RIGHT(TRIM($A426),2)),1,1)),'Timesheet Raw'!$L$4:$L$8000,"&lt;="&amp;MIN(F$6,DATE(2000+VALUE(RIGHT(TRIM($A426),2)),12,31))),SUMIFS('Timesheet Raw'!$P$4:$P$8000,'Timesheet Raw'!$B$4:$B$8000,TRIM($A426),'Timesheet Raw'!$C$4:$C$8000,"*"&amp;$B426&amp;"*",'Timesheet Raw'!$L$4:$L$8000,"&gt;="&amp;F$5,'Timesheet Raw'!$L$4:$L$8000,"&lt;="&amp;F$6)))/'Profit Plan'!$B$5)</f>
        <v/>
      </c>
      <c r="G426" s="122" t="str">
        <f>IF($A426="","",(IF(ISNUMBER(SEARCH("Proposal",$A426)),SUMIFS('Timesheet Raw'!$P$4:$P$8000,'Timesheet Raw'!$A$4:$A$8000,IF(ISNUMBER(SEARCH("Chargable",$A426)),"2-Proposals Chargeable","3-Proposals Regular"),'Timesheet Raw'!$C$4:$C$8000,"*"&amp;$B426&amp;"*",'Timesheet Raw'!$L$4:$L$8000,"&gt;="&amp;MAX(G$5,DATE(2000+VALUE(RIGHT(TRIM($A426),2)),1,1)),'Timesheet Raw'!$L$4:$L$8000,"&lt;="&amp;MIN(G$6,DATE(2000+VALUE(RIGHT(TRIM($A426),2)),12,31))),SUMIFS('Timesheet Raw'!$P$4:$P$8000,'Timesheet Raw'!$B$4:$B$8000,TRIM($A426),'Timesheet Raw'!$C$4:$C$8000,"*"&amp;$B426&amp;"*",'Timesheet Raw'!$L$4:$L$8000,"&gt;="&amp;G$5,'Timesheet Raw'!$L$4:$L$8000,"&lt;="&amp;G$6)))/'Profit Plan'!$B$5)</f>
        <v/>
      </c>
      <c r="H426" s="122" t="str">
        <f>IF($A426="","",(IF(ISNUMBER(SEARCH("Proposal",$A426)),SUMIFS('Timesheet Raw'!$P$4:$P$8000,'Timesheet Raw'!$A$4:$A$8000,IF(ISNUMBER(SEARCH("Chargable",$A426)),"2-Proposals Chargeable","3-Proposals Regular"),'Timesheet Raw'!$C$4:$C$8000,"*"&amp;$B426&amp;"*",'Timesheet Raw'!$L$4:$L$8000,"&gt;="&amp;MAX(H$5,DATE(2000+VALUE(RIGHT(TRIM($A426),2)),1,1)),'Timesheet Raw'!$L$4:$L$8000,"&lt;="&amp;MIN(H$6,DATE(2000+VALUE(RIGHT(TRIM($A426),2)),12,31))),SUMIFS('Timesheet Raw'!$P$4:$P$8000,'Timesheet Raw'!$B$4:$B$8000,TRIM($A426),'Timesheet Raw'!$C$4:$C$8000,"*"&amp;$B426&amp;"*",'Timesheet Raw'!$L$4:$L$8000,"&gt;="&amp;H$5,'Timesheet Raw'!$L$4:$L$8000,"&lt;="&amp;H$6)))/'Profit Plan'!$B$5)</f>
        <v/>
      </c>
      <c r="I426" s="122" t="str">
        <f>IF($A426="","",(IF(ISNUMBER(SEARCH("Proposal",$A426)),SUMIFS('Timesheet Raw'!$P$4:$P$8000,'Timesheet Raw'!$A$4:$A$8000,IF(ISNUMBER(SEARCH("Chargable",$A426)),"2-Proposals Chargeable","3-Proposals Regular"),'Timesheet Raw'!$C$4:$C$8000,"*"&amp;$B426&amp;"*",'Timesheet Raw'!$L$4:$L$8000,"&gt;="&amp;MAX(I$5,DATE(2000+VALUE(RIGHT(TRIM($A426),2)),1,1)),'Timesheet Raw'!$L$4:$L$8000,"&lt;="&amp;MIN(I$6,DATE(2000+VALUE(RIGHT(TRIM($A426),2)),12,31))),SUMIFS('Timesheet Raw'!$P$4:$P$8000,'Timesheet Raw'!$B$4:$B$8000,TRIM($A426),'Timesheet Raw'!$C$4:$C$8000,"*"&amp;$B426&amp;"*",'Timesheet Raw'!$L$4:$L$8000,"&gt;="&amp;I$5,'Timesheet Raw'!$L$4:$L$8000,"&lt;="&amp;I$6)))/'Profit Plan'!$B$5)</f>
        <v/>
      </c>
      <c r="J426" s="122" t="str">
        <f>IF($A426="","",(IF(ISNUMBER(SEARCH("Proposal",$A426)),SUMIFS('Timesheet Raw'!$P$4:$P$8000,'Timesheet Raw'!$A$4:$A$8000,IF(ISNUMBER(SEARCH("Chargable",$A426)),"2-Proposals Chargeable","3-Proposals Regular"),'Timesheet Raw'!$C$4:$C$8000,"*"&amp;$B426&amp;"*",'Timesheet Raw'!$L$4:$L$8000,"&gt;="&amp;MAX(J$5,DATE(2000+VALUE(RIGHT(TRIM($A426),2)),1,1)),'Timesheet Raw'!$L$4:$L$8000,"&lt;="&amp;MIN(J$6,DATE(2000+VALUE(RIGHT(TRIM($A426),2)),12,31))),SUMIFS('Timesheet Raw'!$P$4:$P$8000,'Timesheet Raw'!$B$4:$B$8000,TRIM($A426),'Timesheet Raw'!$C$4:$C$8000,"*"&amp;$B426&amp;"*",'Timesheet Raw'!$L$4:$L$8000,"&gt;="&amp;J$5,'Timesheet Raw'!$L$4:$L$8000,"&lt;="&amp;J$6)))/'Profit Plan'!$B$5)</f>
        <v/>
      </c>
      <c r="K426" s="122" t="str">
        <f>IF($A426="","",(IF(ISNUMBER(SEARCH("Proposal",$A426)),SUMIFS('Timesheet Raw'!$P$4:$P$8000,'Timesheet Raw'!$A$4:$A$8000,IF(ISNUMBER(SEARCH("Chargable",$A426)),"2-Proposals Chargeable","3-Proposals Regular"),'Timesheet Raw'!$C$4:$C$8000,"*"&amp;$B426&amp;"*",'Timesheet Raw'!$L$4:$L$8000,"&gt;="&amp;MAX(K$5,DATE(2000+VALUE(RIGHT(TRIM($A426),2)),1,1)),'Timesheet Raw'!$L$4:$L$8000,"&lt;="&amp;MIN(K$6,DATE(2000+VALUE(RIGHT(TRIM($A426),2)),12,31))),SUMIFS('Timesheet Raw'!$P$4:$P$8000,'Timesheet Raw'!$B$4:$B$8000,TRIM($A426),'Timesheet Raw'!$C$4:$C$8000,"*"&amp;$B426&amp;"*",'Timesheet Raw'!$L$4:$L$8000,"&gt;="&amp;K$5,'Timesheet Raw'!$L$4:$L$8000,"&lt;="&amp;K$6)))/'Profit Plan'!$B$5)</f>
        <v/>
      </c>
      <c r="L426" s="122" t="str">
        <f>IF($A426="","",(IF(ISNUMBER(SEARCH("Proposal",$A426)),SUMIFS('Timesheet Raw'!$P$4:$P$8000,'Timesheet Raw'!$A$4:$A$8000,IF(ISNUMBER(SEARCH("Chargable",$A426)),"2-Proposals Chargeable","3-Proposals Regular"),'Timesheet Raw'!$C$4:$C$8000,"*"&amp;$B426&amp;"*",'Timesheet Raw'!$L$4:$L$8000,"&gt;="&amp;MAX(L$5,DATE(2000+VALUE(RIGHT(TRIM($A426),2)),1,1)),'Timesheet Raw'!$L$4:$L$8000,"&lt;="&amp;MIN(L$6,DATE(2000+VALUE(RIGHT(TRIM($A426),2)),12,31))),SUMIFS('Timesheet Raw'!$P$4:$P$8000,'Timesheet Raw'!$B$4:$B$8000,TRIM($A426),'Timesheet Raw'!$C$4:$C$8000,"*"&amp;$B426&amp;"*",'Timesheet Raw'!$L$4:$L$8000,"&gt;="&amp;L$5,'Timesheet Raw'!$L$4:$L$8000,"&lt;="&amp;L$6)))/'Profit Plan'!$B$5)</f>
        <v/>
      </c>
      <c r="M426" s="122" t="str">
        <f>IF($A426="","",(IF(ISNUMBER(SEARCH("Proposal",$A426)),SUMIFS('Timesheet Raw'!$P$4:$P$8000,'Timesheet Raw'!$A$4:$A$8000,IF(ISNUMBER(SEARCH("Chargable",$A426)),"2-Proposals Chargeable","3-Proposals Regular"),'Timesheet Raw'!$C$4:$C$8000,"*"&amp;$B426&amp;"*",'Timesheet Raw'!$L$4:$L$8000,"&gt;="&amp;MAX(M$5,DATE(2000+VALUE(RIGHT(TRIM($A426),2)),1,1)),'Timesheet Raw'!$L$4:$L$8000,"&lt;="&amp;MIN(M$6,DATE(2000+VALUE(RIGHT(TRIM($A426),2)),12,31))),SUMIFS('Timesheet Raw'!$P$4:$P$8000,'Timesheet Raw'!$B$4:$B$8000,TRIM($A426),'Timesheet Raw'!$C$4:$C$8000,"*"&amp;$B426&amp;"*",'Timesheet Raw'!$L$4:$L$8000,"&gt;="&amp;M$5,'Timesheet Raw'!$L$4:$L$8000,"&lt;="&amp;M$6)))/'Profit Plan'!$B$5)</f>
        <v/>
      </c>
      <c r="N426" s="122" t="str">
        <f>IF($A426="","",(IF(ISNUMBER(SEARCH("Proposal",$A426)),SUMIFS('Timesheet Raw'!$P$4:$P$8000,'Timesheet Raw'!$A$4:$A$8000,IF(ISNUMBER(SEARCH("Chargable",$A426)),"2-Proposals Chargeable","3-Proposals Regular"),'Timesheet Raw'!$C$4:$C$8000,"*"&amp;$B426&amp;"*",'Timesheet Raw'!$L$4:$L$8000,"&gt;="&amp;MAX(N$5,DATE(2000+VALUE(RIGHT(TRIM($A426),2)),1,1)),'Timesheet Raw'!$L$4:$L$8000,"&lt;="&amp;MIN(N$6,DATE(2000+VALUE(RIGHT(TRIM($A426),2)),12,31))),SUMIFS('Timesheet Raw'!$P$4:$P$8000,'Timesheet Raw'!$B$4:$B$8000,TRIM($A426),'Timesheet Raw'!$C$4:$C$8000,"*"&amp;$B426&amp;"*",'Timesheet Raw'!$L$4:$L$8000,"&gt;="&amp;N$5,'Timesheet Raw'!$L$4:$L$8000,"&lt;="&amp;N$6)))/'Profit Plan'!$B$5)</f>
        <v/>
      </c>
      <c r="O426" s="122" t="str">
        <f>IF($A426="","",(IF(ISNUMBER(SEARCH("Proposal",$A426)),SUMIFS('Timesheet Raw'!$P$4:$P$8000,'Timesheet Raw'!$A$4:$A$8000,IF(ISNUMBER(SEARCH("Chargable",$A426)),"2-Proposals Chargeable","3-Proposals Regular"),'Timesheet Raw'!$C$4:$C$8000,"*"&amp;$B426&amp;"*",'Timesheet Raw'!$L$4:$L$8000,"&gt;="&amp;MAX(O$5,DATE(2000+VALUE(RIGHT(TRIM($A426),2)),1,1)),'Timesheet Raw'!$L$4:$L$8000,"&lt;="&amp;MIN(O$6,DATE(2000+VALUE(RIGHT(TRIM($A426),2)),12,31))),SUMIFS('Timesheet Raw'!$P$4:$P$8000,'Timesheet Raw'!$B$4:$B$8000,TRIM($A426),'Timesheet Raw'!$C$4:$C$8000,"*"&amp;$B426&amp;"*",'Timesheet Raw'!$L$4:$L$8000,"&gt;="&amp;O$5,'Timesheet Raw'!$L$4:$L$8000,"&lt;="&amp;O$6)))/'Profit Plan'!$B$5)</f>
        <v/>
      </c>
      <c r="P426" s="122" t="str">
        <f>IF($A426="","",(IF(ISNUMBER(SEARCH("Proposal",$A426)),SUMIFS('Timesheet Raw'!$P$4:$P$8000,'Timesheet Raw'!$A$4:$A$8000,IF(ISNUMBER(SEARCH("Chargable",$A426)),"2-Proposals Chargeable","3-Proposals Regular"),'Timesheet Raw'!$C$4:$C$8000,"*"&amp;$B426&amp;"*",'Timesheet Raw'!$L$4:$L$8000,"&gt;="&amp;MAX(P$5,DATE(2000+VALUE(RIGHT(TRIM($A426),2)),1,1)),'Timesheet Raw'!$L$4:$L$8000,"&lt;="&amp;MIN(P$6,DATE(2000+VALUE(RIGHT(TRIM($A426),2)),12,31))),SUMIFS('Timesheet Raw'!$P$4:$P$8000,'Timesheet Raw'!$B$4:$B$8000,TRIM($A426),'Timesheet Raw'!$C$4:$C$8000,"*"&amp;$B426&amp;"*",'Timesheet Raw'!$L$4:$L$8000,"&gt;="&amp;P$5,'Timesheet Raw'!$L$4:$L$8000,"&lt;="&amp;P$6)))/'Profit Plan'!$B$5)</f>
        <v/>
      </c>
      <c r="Q426" s="122" t="str">
        <f>IF($A426="","",(IF(ISNUMBER(SEARCH("Proposal",$A426)),SUMIFS('Timesheet Raw'!$P$4:$P$8000,'Timesheet Raw'!$A$4:$A$8000,IF(ISNUMBER(SEARCH("Chargable",$A426)),"2-Proposals Chargeable","3-Proposals Regular"),'Timesheet Raw'!$C$4:$C$8000,"*"&amp;$B426&amp;"*",'Timesheet Raw'!$L$4:$L$8000,"&gt;="&amp;MAX(Q$5,DATE(2000+VALUE(RIGHT(TRIM($A426),2)),1,1)),'Timesheet Raw'!$L$4:$L$8000,"&lt;="&amp;MIN(Q$6,DATE(2000+VALUE(RIGHT(TRIM($A426),2)),12,31))),SUMIFS('Timesheet Raw'!$P$4:$P$8000,'Timesheet Raw'!$B$4:$B$8000,TRIM($A426),'Timesheet Raw'!$C$4:$C$8000,"*"&amp;$B426&amp;"*",'Timesheet Raw'!$L$4:$L$8000,"&gt;="&amp;Q$5,'Timesheet Raw'!$L$4:$L$8000,"&lt;="&amp;Q$6)))/'Profit Plan'!$B$5)</f>
        <v/>
      </c>
      <c r="R426" s="122" t="str">
        <f>IF($A426="","",(IF(ISNUMBER(SEARCH("Proposal",$A426)),SUMIFS('Timesheet Raw'!$P$4:$P$8000,'Timesheet Raw'!$A$4:$A$8000,IF(ISNUMBER(SEARCH("Chargable",$A426)),"2-Proposals Chargeable","3-Proposals Regular"),'Timesheet Raw'!$C$4:$C$8000,"*"&amp;$B426&amp;"*",'Timesheet Raw'!$L$4:$L$8000,"&gt;="&amp;MAX(R$5,DATE(2000+VALUE(RIGHT(TRIM($A426),2)),1,1)),'Timesheet Raw'!$L$4:$L$8000,"&lt;="&amp;MIN(R$6,DATE(2000+VALUE(RIGHT(TRIM($A426),2)),12,31))),SUMIFS('Timesheet Raw'!$P$4:$P$8000,'Timesheet Raw'!$B$4:$B$8000,TRIM($A426),'Timesheet Raw'!$C$4:$C$8000,"*"&amp;$B426&amp;"*",'Timesheet Raw'!$L$4:$L$8000,"&gt;="&amp;R$5,'Timesheet Raw'!$L$4:$L$8000,"&lt;="&amp;R$6)))/'Profit Plan'!$B$5)</f>
        <v/>
      </c>
      <c r="S426" s="122" t="str">
        <f>IF($A426="","",(IF(ISNUMBER(SEARCH("Proposal",$A426)),SUMIFS('Timesheet Raw'!$P$4:$P$8000,'Timesheet Raw'!$A$4:$A$8000,IF(ISNUMBER(SEARCH("Chargable",$A426)),"2-Proposals Chargeable","3-Proposals Regular"),'Timesheet Raw'!$C$4:$C$8000,"*"&amp;$B426&amp;"*",'Timesheet Raw'!$L$4:$L$8000,"&gt;="&amp;MAX(S$5,DATE(2000+VALUE(RIGHT(TRIM($A426),2)),1,1)),'Timesheet Raw'!$L$4:$L$8000,"&lt;="&amp;MIN(S$6,DATE(2000+VALUE(RIGHT(TRIM($A426),2)),12,31))),SUMIFS('Timesheet Raw'!$P$4:$P$8000,'Timesheet Raw'!$B$4:$B$8000,TRIM($A426),'Timesheet Raw'!$C$4:$C$8000,"*"&amp;$B426&amp;"*",'Timesheet Raw'!$L$4:$L$8000,"&gt;="&amp;S$5,'Timesheet Raw'!$L$4:$L$8000,"&lt;="&amp;S$6)))/'Profit Plan'!$B$5)</f>
        <v/>
      </c>
      <c r="T426" s="122" t="str">
        <f>IF($A426="","",(IF(ISNUMBER(SEARCH("Proposal",$A426)),SUMIFS('Timesheet Raw'!$P$4:$P$8000,'Timesheet Raw'!$A$4:$A$8000,IF(ISNUMBER(SEARCH("Chargable",$A426)),"2-Proposals Chargeable","3-Proposals Regular"),'Timesheet Raw'!$C$4:$C$8000,"*"&amp;$B426&amp;"*",'Timesheet Raw'!$L$4:$L$8000,"&gt;="&amp;MAX(T$5,DATE(2000+VALUE(RIGHT(TRIM($A426),2)),1,1)),'Timesheet Raw'!$L$4:$L$8000,"&lt;="&amp;MIN(T$6,DATE(2000+VALUE(RIGHT(TRIM($A426),2)),12,31))),SUMIFS('Timesheet Raw'!$P$4:$P$8000,'Timesheet Raw'!$B$4:$B$8000,TRIM($A426),'Timesheet Raw'!$C$4:$C$8000,"*"&amp;$B426&amp;"*",'Timesheet Raw'!$L$4:$L$8000,"&gt;="&amp;T$5,'Timesheet Raw'!$L$4:$L$8000,"&lt;="&amp;T$6)))/'Profit Plan'!$B$5)</f>
        <v/>
      </c>
      <c r="U426" s="122" t="str">
        <f>IF($A426="","",(IF(ISNUMBER(SEARCH("Proposal",$A426)),SUMIFS('Timesheet Raw'!$P$4:$P$8000,'Timesheet Raw'!$A$4:$A$8000,IF(ISNUMBER(SEARCH("Chargable",$A426)),"2-Proposals Chargeable","3-Proposals Regular"),'Timesheet Raw'!$C$4:$C$8000,"*"&amp;$B426&amp;"*",'Timesheet Raw'!$L$4:$L$8000,"&gt;="&amp;MAX(U$5,DATE(2000+VALUE(RIGHT(TRIM($A426),2)),1,1)),'Timesheet Raw'!$L$4:$L$8000,"&lt;="&amp;MIN(U$6,DATE(2000+VALUE(RIGHT(TRIM($A426),2)),12,31))),SUMIFS('Timesheet Raw'!$P$4:$P$8000,'Timesheet Raw'!$B$4:$B$8000,TRIM($A426),'Timesheet Raw'!$C$4:$C$8000,"*"&amp;$B426&amp;"*",'Timesheet Raw'!$L$4:$L$8000,"&gt;="&amp;U$5,'Timesheet Raw'!$L$4:$L$8000,"&lt;="&amp;U$6)))/'Profit Plan'!$B$5)</f>
        <v/>
      </c>
      <c r="V426" s="122" t="str">
        <f>IF($A426="","",(IF(ISNUMBER(SEARCH("Proposal",$A426)),SUMIFS('Timesheet Raw'!$P$4:$P$8000,'Timesheet Raw'!$A$4:$A$8000,IF(ISNUMBER(SEARCH("Chargable",$A426)),"2-Proposals Chargeable","3-Proposals Regular"),'Timesheet Raw'!$C$4:$C$8000,"*"&amp;$B426&amp;"*",'Timesheet Raw'!$L$4:$L$8000,"&gt;="&amp;MAX(V$5,DATE(2000+VALUE(RIGHT(TRIM($A426),2)),1,1)),'Timesheet Raw'!$L$4:$L$8000,"&lt;="&amp;MIN(V$6,DATE(2000+VALUE(RIGHT(TRIM($A426),2)),12,31))),SUMIFS('Timesheet Raw'!$P$4:$P$8000,'Timesheet Raw'!$B$4:$B$8000,TRIM($A426),'Timesheet Raw'!$C$4:$C$8000,"*"&amp;$B426&amp;"*",'Timesheet Raw'!$L$4:$L$8000,"&gt;="&amp;V$5,'Timesheet Raw'!$L$4:$L$8000,"&lt;="&amp;V$6)))/'Profit Plan'!$B$5)</f>
        <v/>
      </c>
      <c r="W426" s="122" t="str">
        <f>IF($A426="","",(IF(ISNUMBER(SEARCH("Proposal",$A426)),SUMIFS('Timesheet Raw'!$P$4:$P$8000,'Timesheet Raw'!$A$4:$A$8000,IF(ISNUMBER(SEARCH("Chargable",$A426)),"2-Proposals Chargeable","3-Proposals Regular"),'Timesheet Raw'!$C$4:$C$8000,"*"&amp;$B426&amp;"*",'Timesheet Raw'!$L$4:$L$8000,"&gt;="&amp;MAX(W$5,DATE(2000+VALUE(RIGHT(TRIM($A426),2)),1,1)),'Timesheet Raw'!$L$4:$L$8000,"&lt;="&amp;MIN(W$6,DATE(2000+VALUE(RIGHT(TRIM($A426),2)),12,31))),SUMIFS('Timesheet Raw'!$P$4:$P$8000,'Timesheet Raw'!$B$4:$B$8000,TRIM($A426),'Timesheet Raw'!$C$4:$C$8000,"*"&amp;$B426&amp;"*",'Timesheet Raw'!$L$4:$L$8000,"&gt;="&amp;W$5,'Timesheet Raw'!$L$4:$L$8000,"&lt;="&amp;W$6)))/'Profit Plan'!$B$5)</f>
        <v/>
      </c>
      <c r="X426" s="122" t="str">
        <f>IF($A426="","",(IF(ISNUMBER(SEARCH("Proposal",$A426)),SUMIFS('Timesheet Raw'!$P$4:$P$8000,'Timesheet Raw'!$A$4:$A$8000,IF(ISNUMBER(SEARCH("Chargable",$A426)),"2-Proposals Chargeable","3-Proposals Regular"),'Timesheet Raw'!$C$4:$C$8000,"*"&amp;$B426&amp;"*",'Timesheet Raw'!$L$4:$L$8000,"&gt;="&amp;MAX(X$5,DATE(2000+VALUE(RIGHT(TRIM($A426),2)),1,1)),'Timesheet Raw'!$L$4:$L$8000,"&lt;="&amp;MIN(X$6,DATE(2000+VALUE(RIGHT(TRIM($A426),2)),12,31))),SUMIFS('Timesheet Raw'!$P$4:$P$8000,'Timesheet Raw'!$B$4:$B$8000,TRIM($A426),'Timesheet Raw'!$C$4:$C$8000,"*"&amp;$B426&amp;"*",'Timesheet Raw'!$L$4:$L$8000,"&gt;="&amp;X$5,'Timesheet Raw'!$L$4:$L$8000,"&lt;="&amp;X$6)))/'Profit Plan'!$B$5)</f>
        <v/>
      </c>
      <c r="Y426" s="118">
        <f t="shared" si="102"/>
        <v>0</v>
      </c>
    </row>
    <row r="427" spans="1:25" x14ac:dyDescent="0.3">
      <c r="A427" s="116" t="str">
        <f>IF(Inputs!$A60="","",Inputs!$A60)</f>
        <v/>
      </c>
      <c r="B427" s="116" t="str">
        <f>IF(Inputs!$A60="","",Inputs!$A$91)</f>
        <v/>
      </c>
      <c r="C427" s="116"/>
      <c r="D427" s="122" t="str">
        <f>IF($A427="","",(IF(ISNUMBER(SEARCH("Proposal",$A427)),SUMIFS('Timesheet Raw'!$P$4:$P$8000,'Timesheet Raw'!$A$4:$A$8000,IF(ISNUMBER(SEARCH("Chargable",$A427)),"2-Proposals Chargeable","3-Proposals Regular"),'Timesheet Raw'!$C$4:$C$8000,"*"&amp;$B427&amp;"*",'Timesheet Raw'!$L$4:$L$8000,"&gt;="&amp;MAX(D$5,DATE(2000+VALUE(RIGHT(TRIM($A427),2)),1,1)),'Timesheet Raw'!$L$4:$L$8000,"&lt;="&amp;MIN(D$6,DATE(2000+VALUE(RIGHT(TRIM($A427),2)),12,31))),SUMIFS('Timesheet Raw'!$P$4:$P$8000,'Timesheet Raw'!$B$4:$B$8000,TRIM($A427),'Timesheet Raw'!$C$4:$C$8000,"*"&amp;$B427&amp;"*",'Timesheet Raw'!$L$4:$L$8000,"&gt;="&amp;D$5,'Timesheet Raw'!$L$4:$L$8000,"&lt;="&amp;D$6)))/'Profit Plan'!$B$5)</f>
        <v/>
      </c>
      <c r="E427" s="122" t="str">
        <f>IF($A427="","",(IF(ISNUMBER(SEARCH("Proposal",$A427)),SUMIFS('Timesheet Raw'!$P$4:$P$8000,'Timesheet Raw'!$A$4:$A$8000,IF(ISNUMBER(SEARCH("Chargable",$A427)),"2-Proposals Chargeable","3-Proposals Regular"),'Timesheet Raw'!$C$4:$C$8000,"*"&amp;$B427&amp;"*",'Timesheet Raw'!$L$4:$L$8000,"&gt;="&amp;MAX(E$5,DATE(2000+VALUE(RIGHT(TRIM($A427),2)),1,1)),'Timesheet Raw'!$L$4:$L$8000,"&lt;="&amp;MIN(E$6,DATE(2000+VALUE(RIGHT(TRIM($A427),2)),12,31))),SUMIFS('Timesheet Raw'!$P$4:$P$8000,'Timesheet Raw'!$B$4:$B$8000,TRIM($A427),'Timesheet Raw'!$C$4:$C$8000,"*"&amp;$B427&amp;"*",'Timesheet Raw'!$L$4:$L$8000,"&gt;="&amp;E$5,'Timesheet Raw'!$L$4:$L$8000,"&lt;="&amp;E$6)))/'Profit Plan'!$B$5)</f>
        <v/>
      </c>
      <c r="F427" s="122" t="str">
        <f>IF($A427="","",(IF(ISNUMBER(SEARCH("Proposal",$A427)),SUMIFS('Timesheet Raw'!$P$4:$P$8000,'Timesheet Raw'!$A$4:$A$8000,IF(ISNUMBER(SEARCH("Chargable",$A427)),"2-Proposals Chargeable","3-Proposals Regular"),'Timesheet Raw'!$C$4:$C$8000,"*"&amp;$B427&amp;"*",'Timesheet Raw'!$L$4:$L$8000,"&gt;="&amp;MAX(F$5,DATE(2000+VALUE(RIGHT(TRIM($A427),2)),1,1)),'Timesheet Raw'!$L$4:$L$8000,"&lt;="&amp;MIN(F$6,DATE(2000+VALUE(RIGHT(TRIM($A427),2)),12,31))),SUMIFS('Timesheet Raw'!$P$4:$P$8000,'Timesheet Raw'!$B$4:$B$8000,TRIM($A427),'Timesheet Raw'!$C$4:$C$8000,"*"&amp;$B427&amp;"*",'Timesheet Raw'!$L$4:$L$8000,"&gt;="&amp;F$5,'Timesheet Raw'!$L$4:$L$8000,"&lt;="&amp;F$6)))/'Profit Plan'!$B$5)</f>
        <v/>
      </c>
      <c r="G427" s="122" t="str">
        <f>IF($A427="","",(IF(ISNUMBER(SEARCH("Proposal",$A427)),SUMIFS('Timesheet Raw'!$P$4:$P$8000,'Timesheet Raw'!$A$4:$A$8000,IF(ISNUMBER(SEARCH("Chargable",$A427)),"2-Proposals Chargeable","3-Proposals Regular"),'Timesheet Raw'!$C$4:$C$8000,"*"&amp;$B427&amp;"*",'Timesheet Raw'!$L$4:$L$8000,"&gt;="&amp;MAX(G$5,DATE(2000+VALUE(RIGHT(TRIM($A427),2)),1,1)),'Timesheet Raw'!$L$4:$L$8000,"&lt;="&amp;MIN(G$6,DATE(2000+VALUE(RIGHT(TRIM($A427),2)),12,31))),SUMIFS('Timesheet Raw'!$P$4:$P$8000,'Timesheet Raw'!$B$4:$B$8000,TRIM($A427),'Timesheet Raw'!$C$4:$C$8000,"*"&amp;$B427&amp;"*",'Timesheet Raw'!$L$4:$L$8000,"&gt;="&amp;G$5,'Timesheet Raw'!$L$4:$L$8000,"&lt;="&amp;G$6)))/'Profit Plan'!$B$5)</f>
        <v/>
      </c>
      <c r="H427" s="122" t="str">
        <f>IF($A427="","",(IF(ISNUMBER(SEARCH("Proposal",$A427)),SUMIFS('Timesheet Raw'!$P$4:$P$8000,'Timesheet Raw'!$A$4:$A$8000,IF(ISNUMBER(SEARCH("Chargable",$A427)),"2-Proposals Chargeable","3-Proposals Regular"),'Timesheet Raw'!$C$4:$C$8000,"*"&amp;$B427&amp;"*",'Timesheet Raw'!$L$4:$L$8000,"&gt;="&amp;MAX(H$5,DATE(2000+VALUE(RIGHT(TRIM($A427),2)),1,1)),'Timesheet Raw'!$L$4:$L$8000,"&lt;="&amp;MIN(H$6,DATE(2000+VALUE(RIGHT(TRIM($A427),2)),12,31))),SUMIFS('Timesheet Raw'!$P$4:$P$8000,'Timesheet Raw'!$B$4:$B$8000,TRIM($A427),'Timesheet Raw'!$C$4:$C$8000,"*"&amp;$B427&amp;"*",'Timesheet Raw'!$L$4:$L$8000,"&gt;="&amp;H$5,'Timesheet Raw'!$L$4:$L$8000,"&lt;="&amp;H$6)))/'Profit Plan'!$B$5)</f>
        <v/>
      </c>
      <c r="I427" s="122" t="str">
        <f>IF($A427="","",(IF(ISNUMBER(SEARCH("Proposal",$A427)),SUMIFS('Timesheet Raw'!$P$4:$P$8000,'Timesheet Raw'!$A$4:$A$8000,IF(ISNUMBER(SEARCH("Chargable",$A427)),"2-Proposals Chargeable","3-Proposals Regular"),'Timesheet Raw'!$C$4:$C$8000,"*"&amp;$B427&amp;"*",'Timesheet Raw'!$L$4:$L$8000,"&gt;="&amp;MAX(I$5,DATE(2000+VALUE(RIGHT(TRIM($A427),2)),1,1)),'Timesheet Raw'!$L$4:$L$8000,"&lt;="&amp;MIN(I$6,DATE(2000+VALUE(RIGHT(TRIM($A427),2)),12,31))),SUMIFS('Timesheet Raw'!$P$4:$P$8000,'Timesheet Raw'!$B$4:$B$8000,TRIM($A427),'Timesheet Raw'!$C$4:$C$8000,"*"&amp;$B427&amp;"*",'Timesheet Raw'!$L$4:$L$8000,"&gt;="&amp;I$5,'Timesheet Raw'!$L$4:$L$8000,"&lt;="&amp;I$6)))/'Profit Plan'!$B$5)</f>
        <v/>
      </c>
      <c r="J427" s="122" t="str">
        <f>IF($A427="","",(IF(ISNUMBER(SEARCH("Proposal",$A427)),SUMIFS('Timesheet Raw'!$P$4:$P$8000,'Timesheet Raw'!$A$4:$A$8000,IF(ISNUMBER(SEARCH("Chargable",$A427)),"2-Proposals Chargeable","3-Proposals Regular"),'Timesheet Raw'!$C$4:$C$8000,"*"&amp;$B427&amp;"*",'Timesheet Raw'!$L$4:$L$8000,"&gt;="&amp;MAX(J$5,DATE(2000+VALUE(RIGHT(TRIM($A427),2)),1,1)),'Timesheet Raw'!$L$4:$L$8000,"&lt;="&amp;MIN(J$6,DATE(2000+VALUE(RIGHT(TRIM($A427),2)),12,31))),SUMIFS('Timesheet Raw'!$P$4:$P$8000,'Timesheet Raw'!$B$4:$B$8000,TRIM($A427),'Timesheet Raw'!$C$4:$C$8000,"*"&amp;$B427&amp;"*",'Timesheet Raw'!$L$4:$L$8000,"&gt;="&amp;J$5,'Timesheet Raw'!$L$4:$L$8000,"&lt;="&amp;J$6)))/'Profit Plan'!$B$5)</f>
        <v/>
      </c>
      <c r="K427" s="122" t="str">
        <f>IF($A427="","",(IF(ISNUMBER(SEARCH("Proposal",$A427)),SUMIFS('Timesheet Raw'!$P$4:$P$8000,'Timesheet Raw'!$A$4:$A$8000,IF(ISNUMBER(SEARCH("Chargable",$A427)),"2-Proposals Chargeable","3-Proposals Regular"),'Timesheet Raw'!$C$4:$C$8000,"*"&amp;$B427&amp;"*",'Timesheet Raw'!$L$4:$L$8000,"&gt;="&amp;MAX(K$5,DATE(2000+VALUE(RIGHT(TRIM($A427),2)),1,1)),'Timesheet Raw'!$L$4:$L$8000,"&lt;="&amp;MIN(K$6,DATE(2000+VALUE(RIGHT(TRIM($A427),2)),12,31))),SUMIFS('Timesheet Raw'!$P$4:$P$8000,'Timesheet Raw'!$B$4:$B$8000,TRIM($A427),'Timesheet Raw'!$C$4:$C$8000,"*"&amp;$B427&amp;"*",'Timesheet Raw'!$L$4:$L$8000,"&gt;="&amp;K$5,'Timesheet Raw'!$L$4:$L$8000,"&lt;="&amp;K$6)))/'Profit Plan'!$B$5)</f>
        <v/>
      </c>
      <c r="L427" s="122" t="str">
        <f>IF($A427="","",(IF(ISNUMBER(SEARCH("Proposal",$A427)),SUMIFS('Timesheet Raw'!$P$4:$P$8000,'Timesheet Raw'!$A$4:$A$8000,IF(ISNUMBER(SEARCH("Chargable",$A427)),"2-Proposals Chargeable","3-Proposals Regular"),'Timesheet Raw'!$C$4:$C$8000,"*"&amp;$B427&amp;"*",'Timesheet Raw'!$L$4:$L$8000,"&gt;="&amp;MAX(L$5,DATE(2000+VALUE(RIGHT(TRIM($A427),2)),1,1)),'Timesheet Raw'!$L$4:$L$8000,"&lt;="&amp;MIN(L$6,DATE(2000+VALUE(RIGHT(TRIM($A427),2)),12,31))),SUMIFS('Timesheet Raw'!$P$4:$P$8000,'Timesheet Raw'!$B$4:$B$8000,TRIM($A427),'Timesheet Raw'!$C$4:$C$8000,"*"&amp;$B427&amp;"*",'Timesheet Raw'!$L$4:$L$8000,"&gt;="&amp;L$5,'Timesheet Raw'!$L$4:$L$8000,"&lt;="&amp;L$6)))/'Profit Plan'!$B$5)</f>
        <v/>
      </c>
      <c r="M427" s="122" t="str">
        <f>IF($A427="","",(IF(ISNUMBER(SEARCH("Proposal",$A427)),SUMIFS('Timesheet Raw'!$P$4:$P$8000,'Timesheet Raw'!$A$4:$A$8000,IF(ISNUMBER(SEARCH("Chargable",$A427)),"2-Proposals Chargeable","3-Proposals Regular"),'Timesheet Raw'!$C$4:$C$8000,"*"&amp;$B427&amp;"*",'Timesheet Raw'!$L$4:$L$8000,"&gt;="&amp;MAX(M$5,DATE(2000+VALUE(RIGHT(TRIM($A427),2)),1,1)),'Timesheet Raw'!$L$4:$L$8000,"&lt;="&amp;MIN(M$6,DATE(2000+VALUE(RIGHT(TRIM($A427),2)),12,31))),SUMIFS('Timesheet Raw'!$P$4:$P$8000,'Timesheet Raw'!$B$4:$B$8000,TRIM($A427),'Timesheet Raw'!$C$4:$C$8000,"*"&amp;$B427&amp;"*",'Timesheet Raw'!$L$4:$L$8000,"&gt;="&amp;M$5,'Timesheet Raw'!$L$4:$L$8000,"&lt;="&amp;M$6)))/'Profit Plan'!$B$5)</f>
        <v/>
      </c>
      <c r="N427" s="122" t="str">
        <f>IF($A427="","",(IF(ISNUMBER(SEARCH("Proposal",$A427)),SUMIFS('Timesheet Raw'!$P$4:$P$8000,'Timesheet Raw'!$A$4:$A$8000,IF(ISNUMBER(SEARCH("Chargable",$A427)),"2-Proposals Chargeable","3-Proposals Regular"),'Timesheet Raw'!$C$4:$C$8000,"*"&amp;$B427&amp;"*",'Timesheet Raw'!$L$4:$L$8000,"&gt;="&amp;MAX(N$5,DATE(2000+VALUE(RIGHT(TRIM($A427),2)),1,1)),'Timesheet Raw'!$L$4:$L$8000,"&lt;="&amp;MIN(N$6,DATE(2000+VALUE(RIGHT(TRIM($A427),2)),12,31))),SUMIFS('Timesheet Raw'!$P$4:$P$8000,'Timesheet Raw'!$B$4:$B$8000,TRIM($A427),'Timesheet Raw'!$C$4:$C$8000,"*"&amp;$B427&amp;"*",'Timesheet Raw'!$L$4:$L$8000,"&gt;="&amp;N$5,'Timesheet Raw'!$L$4:$L$8000,"&lt;="&amp;N$6)))/'Profit Plan'!$B$5)</f>
        <v/>
      </c>
      <c r="O427" s="122" t="str">
        <f>IF($A427="","",(IF(ISNUMBER(SEARCH("Proposal",$A427)),SUMIFS('Timesheet Raw'!$P$4:$P$8000,'Timesheet Raw'!$A$4:$A$8000,IF(ISNUMBER(SEARCH("Chargable",$A427)),"2-Proposals Chargeable","3-Proposals Regular"),'Timesheet Raw'!$C$4:$C$8000,"*"&amp;$B427&amp;"*",'Timesheet Raw'!$L$4:$L$8000,"&gt;="&amp;MAX(O$5,DATE(2000+VALUE(RIGHT(TRIM($A427),2)),1,1)),'Timesheet Raw'!$L$4:$L$8000,"&lt;="&amp;MIN(O$6,DATE(2000+VALUE(RIGHT(TRIM($A427),2)),12,31))),SUMIFS('Timesheet Raw'!$P$4:$P$8000,'Timesheet Raw'!$B$4:$B$8000,TRIM($A427),'Timesheet Raw'!$C$4:$C$8000,"*"&amp;$B427&amp;"*",'Timesheet Raw'!$L$4:$L$8000,"&gt;="&amp;O$5,'Timesheet Raw'!$L$4:$L$8000,"&lt;="&amp;O$6)))/'Profit Plan'!$B$5)</f>
        <v/>
      </c>
      <c r="P427" s="122" t="str">
        <f>IF($A427="","",(IF(ISNUMBER(SEARCH("Proposal",$A427)),SUMIFS('Timesheet Raw'!$P$4:$P$8000,'Timesheet Raw'!$A$4:$A$8000,IF(ISNUMBER(SEARCH("Chargable",$A427)),"2-Proposals Chargeable","3-Proposals Regular"),'Timesheet Raw'!$C$4:$C$8000,"*"&amp;$B427&amp;"*",'Timesheet Raw'!$L$4:$L$8000,"&gt;="&amp;MAX(P$5,DATE(2000+VALUE(RIGHT(TRIM($A427),2)),1,1)),'Timesheet Raw'!$L$4:$L$8000,"&lt;="&amp;MIN(P$6,DATE(2000+VALUE(RIGHT(TRIM($A427),2)),12,31))),SUMIFS('Timesheet Raw'!$P$4:$P$8000,'Timesheet Raw'!$B$4:$B$8000,TRIM($A427),'Timesheet Raw'!$C$4:$C$8000,"*"&amp;$B427&amp;"*",'Timesheet Raw'!$L$4:$L$8000,"&gt;="&amp;P$5,'Timesheet Raw'!$L$4:$L$8000,"&lt;="&amp;P$6)))/'Profit Plan'!$B$5)</f>
        <v/>
      </c>
      <c r="Q427" s="122" t="str">
        <f>IF($A427="","",(IF(ISNUMBER(SEARCH("Proposal",$A427)),SUMIFS('Timesheet Raw'!$P$4:$P$8000,'Timesheet Raw'!$A$4:$A$8000,IF(ISNUMBER(SEARCH("Chargable",$A427)),"2-Proposals Chargeable","3-Proposals Regular"),'Timesheet Raw'!$C$4:$C$8000,"*"&amp;$B427&amp;"*",'Timesheet Raw'!$L$4:$L$8000,"&gt;="&amp;MAX(Q$5,DATE(2000+VALUE(RIGHT(TRIM($A427),2)),1,1)),'Timesheet Raw'!$L$4:$L$8000,"&lt;="&amp;MIN(Q$6,DATE(2000+VALUE(RIGHT(TRIM($A427),2)),12,31))),SUMIFS('Timesheet Raw'!$P$4:$P$8000,'Timesheet Raw'!$B$4:$B$8000,TRIM($A427),'Timesheet Raw'!$C$4:$C$8000,"*"&amp;$B427&amp;"*",'Timesheet Raw'!$L$4:$L$8000,"&gt;="&amp;Q$5,'Timesheet Raw'!$L$4:$L$8000,"&lt;="&amp;Q$6)))/'Profit Plan'!$B$5)</f>
        <v/>
      </c>
      <c r="R427" s="122" t="str">
        <f>IF($A427="","",(IF(ISNUMBER(SEARCH("Proposal",$A427)),SUMIFS('Timesheet Raw'!$P$4:$P$8000,'Timesheet Raw'!$A$4:$A$8000,IF(ISNUMBER(SEARCH("Chargable",$A427)),"2-Proposals Chargeable","3-Proposals Regular"),'Timesheet Raw'!$C$4:$C$8000,"*"&amp;$B427&amp;"*",'Timesheet Raw'!$L$4:$L$8000,"&gt;="&amp;MAX(R$5,DATE(2000+VALUE(RIGHT(TRIM($A427),2)),1,1)),'Timesheet Raw'!$L$4:$L$8000,"&lt;="&amp;MIN(R$6,DATE(2000+VALUE(RIGHT(TRIM($A427),2)),12,31))),SUMIFS('Timesheet Raw'!$P$4:$P$8000,'Timesheet Raw'!$B$4:$B$8000,TRIM($A427),'Timesheet Raw'!$C$4:$C$8000,"*"&amp;$B427&amp;"*",'Timesheet Raw'!$L$4:$L$8000,"&gt;="&amp;R$5,'Timesheet Raw'!$L$4:$L$8000,"&lt;="&amp;R$6)))/'Profit Plan'!$B$5)</f>
        <v/>
      </c>
      <c r="S427" s="122" t="str">
        <f>IF($A427="","",(IF(ISNUMBER(SEARCH("Proposal",$A427)),SUMIFS('Timesheet Raw'!$P$4:$P$8000,'Timesheet Raw'!$A$4:$A$8000,IF(ISNUMBER(SEARCH("Chargable",$A427)),"2-Proposals Chargeable","3-Proposals Regular"),'Timesheet Raw'!$C$4:$C$8000,"*"&amp;$B427&amp;"*",'Timesheet Raw'!$L$4:$L$8000,"&gt;="&amp;MAX(S$5,DATE(2000+VALUE(RIGHT(TRIM($A427),2)),1,1)),'Timesheet Raw'!$L$4:$L$8000,"&lt;="&amp;MIN(S$6,DATE(2000+VALUE(RIGHT(TRIM($A427),2)),12,31))),SUMIFS('Timesheet Raw'!$P$4:$P$8000,'Timesheet Raw'!$B$4:$B$8000,TRIM($A427),'Timesheet Raw'!$C$4:$C$8000,"*"&amp;$B427&amp;"*",'Timesheet Raw'!$L$4:$L$8000,"&gt;="&amp;S$5,'Timesheet Raw'!$L$4:$L$8000,"&lt;="&amp;S$6)))/'Profit Plan'!$B$5)</f>
        <v/>
      </c>
      <c r="T427" s="122" t="str">
        <f>IF($A427="","",(IF(ISNUMBER(SEARCH("Proposal",$A427)),SUMIFS('Timesheet Raw'!$P$4:$P$8000,'Timesheet Raw'!$A$4:$A$8000,IF(ISNUMBER(SEARCH("Chargable",$A427)),"2-Proposals Chargeable","3-Proposals Regular"),'Timesheet Raw'!$C$4:$C$8000,"*"&amp;$B427&amp;"*",'Timesheet Raw'!$L$4:$L$8000,"&gt;="&amp;MAX(T$5,DATE(2000+VALUE(RIGHT(TRIM($A427),2)),1,1)),'Timesheet Raw'!$L$4:$L$8000,"&lt;="&amp;MIN(T$6,DATE(2000+VALUE(RIGHT(TRIM($A427),2)),12,31))),SUMIFS('Timesheet Raw'!$P$4:$P$8000,'Timesheet Raw'!$B$4:$B$8000,TRIM($A427),'Timesheet Raw'!$C$4:$C$8000,"*"&amp;$B427&amp;"*",'Timesheet Raw'!$L$4:$L$8000,"&gt;="&amp;T$5,'Timesheet Raw'!$L$4:$L$8000,"&lt;="&amp;T$6)))/'Profit Plan'!$B$5)</f>
        <v/>
      </c>
      <c r="U427" s="122" t="str">
        <f>IF($A427="","",(IF(ISNUMBER(SEARCH("Proposal",$A427)),SUMIFS('Timesheet Raw'!$P$4:$P$8000,'Timesheet Raw'!$A$4:$A$8000,IF(ISNUMBER(SEARCH("Chargable",$A427)),"2-Proposals Chargeable","3-Proposals Regular"),'Timesheet Raw'!$C$4:$C$8000,"*"&amp;$B427&amp;"*",'Timesheet Raw'!$L$4:$L$8000,"&gt;="&amp;MAX(U$5,DATE(2000+VALUE(RIGHT(TRIM($A427),2)),1,1)),'Timesheet Raw'!$L$4:$L$8000,"&lt;="&amp;MIN(U$6,DATE(2000+VALUE(RIGHT(TRIM($A427),2)),12,31))),SUMIFS('Timesheet Raw'!$P$4:$P$8000,'Timesheet Raw'!$B$4:$B$8000,TRIM($A427),'Timesheet Raw'!$C$4:$C$8000,"*"&amp;$B427&amp;"*",'Timesheet Raw'!$L$4:$L$8000,"&gt;="&amp;U$5,'Timesheet Raw'!$L$4:$L$8000,"&lt;="&amp;U$6)))/'Profit Plan'!$B$5)</f>
        <v/>
      </c>
      <c r="V427" s="122" t="str">
        <f>IF($A427="","",(IF(ISNUMBER(SEARCH("Proposal",$A427)),SUMIFS('Timesheet Raw'!$P$4:$P$8000,'Timesheet Raw'!$A$4:$A$8000,IF(ISNUMBER(SEARCH("Chargable",$A427)),"2-Proposals Chargeable","3-Proposals Regular"),'Timesheet Raw'!$C$4:$C$8000,"*"&amp;$B427&amp;"*",'Timesheet Raw'!$L$4:$L$8000,"&gt;="&amp;MAX(V$5,DATE(2000+VALUE(RIGHT(TRIM($A427),2)),1,1)),'Timesheet Raw'!$L$4:$L$8000,"&lt;="&amp;MIN(V$6,DATE(2000+VALUE(RIGHT(TRIM($A427),2)),12,31))),SUMIFS('Timesheet Raw'!$P$4:$P$8000,'Timesheet Raw'!$B$4:$B$8000,TRIM($A427),'Timesheet Raw'!$C$4:$C$8000,"*"&amp;$B427&amp;"*",'Timesheet Raw'!$L$4:$L$8000,"&gt;="&amp;V$5,'Timesheet Raw'!$L$4:$L$8000,"&lt;="&amp;V$6)))/'Profit Plan'!$B$5)</f>
        <v/>
      </c>
      <c r="W427" s="122" t="str">
        <f>IF($A427="","",(IF(ISNUMBER(SEARCH("Proposal",$A427)),SUMIFS('Timesheet Raw'!$P$4:$P$8000,'Timesheet Raw'!$A$4:$A$8000,IF(ISNUMBER(SEARCH("Chargable",$A427)),"2-Proposals Chargeable","3-Proposals Regular"),'Timesheet Raw'!$C$4:$C$8000,"*"&amp;$B427&amp;"*",'Timesheet Raw'!$L$4:$L$8000,"&gt;="&amp;MAX(W$5,DATE(2000+VALUE(RIGHT(TRIM($A427),2)),1,1)),'Timesheet Raw'!$L$4:$L$8000,"&lt;="&amp;MIN(W$6,DATE(2000+VALUE(RIGHT(TRIM($A427),2)),12,31))),SUMIFS('Timesheet Raw'!$P$4:$P$8000,'Timesheet Raw'!$B$4:$B$8000,TRIM($A427),'Timesheet Raw'!$C$4:$C$8000,"*"&amp;$B427&amp;"*",'Timesheet Raw'!$L$4:$L$8000,"&gt;="&amp;W$5,'Timesheet Raw'!$L$4:$L$8000,"&lt;="&amp;W$6)))/'Profit Plan'!$B$5)</f>
        <v/>
      </c>
      <c r="X427" s="122" t="str">
        <f>IF($A427="","",(IF(ISNUMBER(SEARCH("Proposal",$A427)),SUMIFS('Timesheet Raw'!$P$4:$P$8000,'Timesheet Raw'!$A$4:$A$8000,IF(ISNUMBER(SEARCH("Chargable",$A427)),"2-Proposals Chargeable","3-Proposals Regular"),'Timesheet Raw'!$C$4:$C$8000,"*"&amp;$B427&amp;"*",'Timesheet Raw'!$L$4:$L$8000,"&gt;="&amp;MAX(X$5,DATE(2000+VALUE(RIGHT(TRIM($A427),2)),1,1)),'Timesheet Raw'!$L$4:$L$8000,"&lt;="&amp;MIN(X$6,DATE(2000+VALUE(RIGHT(TRIM($A427),2)),12,31))),SUMIFS('Timesheet Raw'!$P$4:$P$8000,'Timesheet Raw'!$B$4:$B$8000,TRIM($A427),'Timesheet Raw'!$C$4:$C$8000,"*"&amp;$B427&amp;"*",'Timesheet Raw'!$L$4:$L$8000,"&gt;="&amp;X$5,'Timesheet Raw'!$L$4:$L$8000,"&lt;="&amp;X$6)))/'Profit Plan'!$B$5)</f>
        <v/>
      </c>
      <c r="Y427" s="118">
        <f t="shared" si="102"/>
        <v>0</v>
      </c>
    </row>
    <row r="428" spans="1:25" x14ac:dyDescent="0.3">
      <c r="A428" s="116" t="str">
        <f>IF(Inputs!$A60="","",Inputs!$A60)</f>
        <v/>
      </c>
      <c r="B428" s="116" t="str">
        <f>IF(Inputs!$A60="","",Inputs!$A$92)</f>
        <v/>
      </c>
      <c r="C428" s="116"/>
      <c r="D428" s="122" t="str">
        <f>IF($A428="","",(IF(ISNUMBER(SEARCH("Proposal",$A428)),SUMIFS('Timesheet Raw'!$P$4:$P$8000,'Timesheet Raw'!$A$4:$A$8000,IF(ISNUMBER(SEARCH("Chargable",$A428)),"2-Proposals Chargeable","3-Proposals Regular"),'Timesheet Raw'!$C$4:$C$8000,"*"&amp;$B428&amp;"*",'Timesheet Raw'!$L$4:$L$8000,"&gt;="&amp;MAX(D$5,DATE(2000+VALUE(RIGHT(TRIM($A428),2)),1,1)),'Timesheet Raw'!$L$4:$L$8000,"&lt;="&amp;MIN(D$6,DATE(2000+VALUE(RIGHT(TRIM($A428),2)),12,31))),SUMIFS('Timesheet Raw'!$P$4:$P$8000,'Timesheet Raw'!$B$4:$B$8000,TRIM($A428),'Timesheet Raw'!$C$4:$C$8000,"*"&amp;$B428&amp;"*",'Timesheet Raw'!$L$4:$L$8000,"&gt;="&amp;D$5,'Timesheet Raw'!$L$4:$L$8000,"&lt;="&amp;D$6)))/'Profit Plan'!$B$5)</f>
        <v/>
      </c>
      <c r="E428" s="122" t="str">
        <f>IF($A428="","",(IF(ISNUMBER(SEARCH("Proposal",$A428)),SUMIFS('Timesheet Raw'!$P$4:$P$8000,'Timesheet Raw'!$A$4:$A$8000,IF(ISNUMBER(SEARCH("Chargable",$A428)),"2-Proposals Chargeable","3-Proposals Regular"),'Timesheet Raw'!$C$4:$C$8000,"*"&amp;$B428&amp;"*",'Timesheet Raw'!$L$4:$L$8000,"&gt;="&amp;MAX(E$5,DATE(2000+VALUE(RIGHT(TRIM($A428),2)),1,1)),'Timesheet Raw'!$L$4:$L$8000,"&lt;="&amp;MIN(E$6,DATE(2000+VALUE(RIGHT(TRIM($A428),2)),12,31))),SUMIFS('Timesheet Raw'!$P$4:$P$8000,'Timesheet Raw'!$B$4:$B$8000,TRIM($A428),'Timesheet Raw'!$C$4:$C$8000,"*"&amp;$B428&amp;"*",'Timesheet Raw'!$L$4:$L$8000,"&gt;="&amp;E$5,'Timesheet Raw'!$L$4:$L$8000,"&lt;="&amp;E$6)))/'Profit Plan'!$B$5)</f>
        <v/>
      </c>
      <c r="F428" s="122" t="str">
        <f>IF($A428="","",(IF(ISNUMBER(SEARCH("Proposal",$A428)),SUMIFS('Timesheet Raw'!$P$4:$P$8000,'Timesheet Raw'!$A$4:$A$8000,IF(ISNUMBER(SEARCH("Chargable",$A428)),"2-Proposals Chargeable","3-Proposals Regular"),'Timesheet Raw'!$C$4:$C$8000,"*"&amp;$B428&amp;"*",'Timesheet Raw'!$L$4:$L$8000,"&gt;="&amp;MAX(F$5,DATE(2000+VALUE(RIGHT(TRIM($A428),2)),1,1)),'Timesheet Raw'!$L$4:$L$8000,"&lt;="&amp;MIN(F$6,DATE(2000+VALUE(RIGHT(TRIM($A428),2)),12,31))),SUMIFS('Timesheet Raw'!$P$4:$P$8000,'Timesheet Raw'!$B$4:$B$8000,TRIM($A428),'Timesheet Raw'!$C$4:$C$8000,"*"&amp;$B428&amp;"*",'Timesheet Raw'!$L$4:$L$8000,"&gt;="&amp;F$5,'Timesheet Raw'!$L$4:$L$8000,"&lt;="&amp;F$6)))/'Profit Plan'!$B$5)</f>
        <v/>
      </c>
      <c r="G428" s="122" t="str">
        <f>IF($A428="","",(IF(ISNUMBER(SEARCH("Proposal",$A428)),SUMIFS('Timesheet Raw'!$P$4:$P$8000,'Timesheet Raw'!$A$4:$A$8000,IF(ISNUMBER(SEARCH("Chargable",$A428)),"2-Proposals Chargeable","3-Proposals Regular"),'Timesheet Raw'!$C$4:$C$8000,"*"&amp;$B428&amp;"*",'Timesheet Raw'!$L$4:$L$8000,"&gt;="&amp;MAX(G$5,DATE(2000+VALUE(RIGHT(TRIM($A428),2)),1,1)),'Timesheet Raw'!$L$4:$L$8000,"&lt;="&amp;MIN(G$6,DATE(2000+VALUE(RIGHT(TRIM($A428),2)),12,31))),SUMIFS('Timesheet Raw'!$P$4:$P$8000,'Timesheet Raw'!$B$4:$B$8000,TRIM($A428),'Timesheet Raw'!$C$4:$C$8000,"*"&amp;$B428&amp;"*",'Timesheet Raw'!$L$4:$L$8000,"&gt;="&amp;G$5,'Timesheet Raw'!$L$4:$L$8000,"&lt;="&amp;G$6)))/'Profit Plan'!$B$5)</f>
        <v/>
      </c>
      <c r="H428" s="122" t="str">
        <f>IF($A428="","",(IF(ISNUMBER(SEARCH("Proposal",$A428)),SUMIFS('Timesheet Raw'!$P$4:$P$8000,'Timesheet Raw'!$A$4:$A$8000,IF(ISNUMBER(SEARCH("Chargable",$A428)),"2-Proposals Chargeable","3-Proposals Regular"),'Timesheet Raw'!$C$4:$C$8000,"*"&amp;$B428&amp;"*",'Timesheet Raw'!$L$4:$L$8000,"&gt;="&amp;MAX(H$5,DATE(2000+VALUE(RIGHT(TRIM($A428),2)),1,1)),'Timesheet Raw'!$L$4:$L$8000,"&lt;="&amp;MIN(H$6,DATE(2000+VALUE(RIGHT(TRIM($A428),2)),12,31))),SUMIFS('Timesheet Raw'!$P$4:$P$8000,'Timesheet Raw'!$B$4:$B$8000,TRIM($A428),'Timesheet Raw'!$C$4:$C$8000,"*"&amp;$B428&amp;"*",'Timesheet Raw'!$L$4:$L$8000,"&gt;="&amp;H$5,'Timesheet Raw'!$L$4:$L$8000,"&lt;="&amp;H$6)))/'Profit Plan'!$B$5)</f>
        <v/>
      </c>
      <c r="I428" s="122" t="str">
        <f>IF($A428="","",(IF(ISNUMBER(SEARCH("Proposal",$A428)),SUMIFS('Timesheet Raw'!$P$4:$P$8000,'Timesheet Raw'!$A$4:$A$8000,IF(ISNUMBER(SEARCH("Chargable",$A428)),"2-Proposals Chargeable","3-Proposals Regular"),'Timesheet Raw'!$C$4:$C$8000,"*"&amp;$B428&amp;"*",'Timesheet Raw'!$L$4:$L$8000,"&gt;="&amp;MAX(I$5,DATE(2000+VALUE(RIGHT(TRIM($A428),2)),1,1)),'Timesheet Raw'!$L$4:$L$8000,"&lt;="&amp;MIN(I$6,DATE(2000+VALUE(RIGHT(TRIM($A428),2)),12,31))),SUMIFS('Timesheet Raw'!$P$4:$P$8000,'Timesheet Raw'!$B$4:$B$8000,TRIM($A428),'Timesheet Raw'!$C$4:$C$8000,"*"&amp;$B428&amp;"*",'Timesheet Raw'!$L$4:$L$8000,"&gt;="&amp;I$5,'Timesheet Raw'!$L$4:$L$8000,"&lt;="&amp;I$6)))/'Profit Plan'!$B$5)</f>
        <v/>
      </c>
      <c r="J428" s="122" t="str">
        <f>IF($A428="","",(IF(ISNUMBER(SEARCH("Proposal",$A428)),SUMIFS('Timesheet Raw'!$P$4:$P$8000,'Timesheet Raw'!$A$4:$A$8000,IF(ISNUMBER(SEARCH("Chargable",$A428)),"2-Proposals Chargeable","3-Proposals Regular"),'Timesheet Raw'!$C$4:$C$8000,"*"&amp;$B428&amp;"*",'Timesheet Raw'!$L$4:$L$8000,"&gt;="&amp;MAX(J$5,DATE(2000+VALUE(RIGHT(TRIM($A428),2)),1,1)),'Timesheet Raw'!$L$4:$L$8000,"&lt;="&amp;MIN(J$6,DATE(2000+VALUE(RIGHT(TRIM($A428),2)),12,31))),SUMIFS('Timesheet Raw'!$P$4:$P$8000,'Timesheet Raw'!$B$4:$B$8000,TRIM($A428),'Timesheet Raw'!$C$4:$C$8000,"*"&amp;$B428&amp;"*",'Timesheet Raw'!$L$4:$L$8000,"&gt;="&amp;J$5,'Timesheet Raw'!$L$4:$L$8000,"&lt;="&amp;J$6)))/'Profit Plan'!$B$5)</f>
        <v/>
      </c>
      <c r="K428" s="122" t="str">
        <f>IF($A428="","",(IF(ISNUMBER(SEARCH("Proposal",$A428)),SUMIFS('Timesheet Raw'!$P$4:$P$8000,'Timesheet Raw'!$A$4:$A$8000,IF(ISNUMBER(SEARCH("Chargable",$A428)),"2-Proposals Chargeable","3-Proposals Regular"),'Timesheet Raw'!$C$4:$C$8000,"*"&amp;$B428&amp;"*",'Timesheet Raw'!$L$4:$L$8000,"&gt;="&amp;MAX(K$5,DATE(2000+VALUE(RIGHT(TRIM($A428),2)),1,1)),'Timesheet Raw'!$L$4:$L$8000,"&lt;="&amp;MIN(K$6,DATE(2000+VALUE(RIGHT(TRIM($A428),2)),12,31))),SUMIFS('Timesheet Raw'!$P$4:$P$8000,'Timesheet Raw'!$B$4:$B$8000,TRIM($A428),'Timesheet Raw'!$C$4:$C$8000,"*"&amp;$B428&amp;"*",'Timesheet Raw'!$L$4:$L$8000,"&gt;="&amp;K$5,'Timesheet Raw'!$L$4:$L$8000,"&lt;="&amp;K$6)))/'Profit Plan'!$B$5)</f>
        <v/>
      </c>
      <c r="L428" s="122" t="str">
        <f>IF($A428="","",(IF(ISNUMBER(SEARCH("Proposal",$A428)),SUMIFS('Timesheet Raw'!$P$4:$P$8000,'Timesheet Raw'!$A$4:$A$8000,IF(ISNUMBER(SEARCH("Chargable",$A428)),"2-Proposals Chargeable","3-Proposals Regular"),'Timesheet Raw'!$C$4:$C$8000,"*"&amp;$B428&amp;"*",'Timesheet Raw'!$L$4:$L$8000,"&gt;="&amp;MAX(L$5,DATE(2000+VALUE(RIGHT(TRIM($A428),2)),1,1)),'Timesheet Raw'!$L$4:$L$8000,"&lt;="&amp;MIN(L$6,DATE(2000+VALUE(RIGHT(TRIM($A428),2)),12,31))),SUMIFS('Timesheet Raw'!$P$4:$P$8000,'Timesheet Raw'!$B$4:$B$8000,TRIM($A428),'Timesheet Raw'!$C$4:$C$8000,"*"&amp;$B428&amp;"*",'Timesheet Raw'!$L$4:$L$8000,"&gt;="&amp;L$5,'Timesheet Raw'!$L$4:$L$8000,"&lt;="&amp;L$6)))/'Profit Plan'!$B$5)</f>
        <v/>
      </c>
      <c r="M428" s="122" t="str">
        <f>IF($A428="","",(IF(ISNUMBER(SEARCH("Proposal",$A428)),SUMIFS('Timesheet Raw'!$P$4:$P$8000,'Timesheet Raw'!$A$4:$A$8000,IF(ISNUMBER(SEARCH("Chargable",$A428)),"2-Proposals Chargeable","3-Proposals Regular"),'Timesheet Raw'!$C$4:$C$8000,"*"&amp;$B428&amp;"*",'Timesheet Raw'!$L$4:$L$8000,"&gt;="&amp;MAX(M$5,DATE(2000+VALUE(RIGHT(TRIM($A428),2)),1,1)),'Timesheet Raw'!$L$4:$L$8000,"&lt;="&amp;MIN(M$6,DATE(2000+VALUE(RIGHT(TRIM($A428),2)),12,31))),SUMIFS('Timesheet Raw'!$P$4:$P$8000,'Timesheet Raw'!$B$4:$B$8000,TRIM($A428),'Timesheet Raw'!$C$4:$C$8000,"*"&amp;$B428&amp;"*",'Timesheet Raw'!$L$4:$L$8000,"&gt;="&amp;M$5,'Timesheet Raw'!$L$4:$L$8000,"&lt;="&amp;M$6)))/'Profit Plan'!$B$5)</f>
        <v/>
      </c>
      <c r="N428" s="122" t="str">
        <f>IF($A428="","",(IF(ISNUMBER(SEARCH("Proposal",$A428)),SUMIFS('Timesheet Raw'!$P$4:$P$8000,'Timesheet Raw'!$A$4:$A$8000,IF(ISNUMBER(SEARCH("Chargable",$A428)),"2-Proposals Chargeable","3-Proposals Regular"),'Timesheet Raw'!$C$4:$C$8000,"*"&amp;$B428&amp;"*",'Timesheet Raw'!$L$4:$L$8000,"&gt;="&amp;MAX(N$5,DATE(2000+VALUE(RIGHT(TRIM($A428),2)),1,1)),'Timesheet Raw'!$L$4:$L$8000,"&lt;="&amp;MIN(N$6,DATE(2000+VALUE(RIGHT(TRIM($A428),2)),12,31))),SUMIFS('Timesheet Raw'!$P$4:$P$8000,'Timesheet Raw'!$B$4:$B$8000,TRIM($A428),'Timesheet Raw'!$C$4:$C$8000,"*"&amp;$B428&amp;"*",'Timesheet Raw'!$L$4:$L$8000,"&gt;="&amp;N$5,'Timesheet Raw'!$L$4:$L$8000,"&lt;="&amp;N$6)))/'Profit Plan'!$B$5)</f>
        <v/>
      </c>
      <c r="O428" s="122" t="str">
        <f>IF($A428="","",(IF(ISNUMBER(SEARCH("Proposal",$A428)),SUMIFS('Timesheet Raw'!$P$4:$P$8000,'Timesheet Raw'!$A$4:$A$8000,IF(ISNUMBER(SEARCH("Chargable",$A428)),"2-Proposals Chargeable","3-Proposals Regular"),'Timesheet Raw'!$C$4:$C$8000,"*"&amp;$B428&amp;"*",'Timesheet Raw'!$L$4:$L$8000,"&gt;="&amp;MAX(O$5,DATE(2000+VALUE(RIGHT(TRIM($A428),2)),1,1)),'Timesheet Raw'!$L$4:$L$8000,"&lt;="&amp;MIN(O$6,DATE(2000+VALUE(RIGHT(TRIM($A428),2)),12,31))),SUMIFS('Timesheet Raw'!$P$4:$P$8000,'Timesheet Raw'!$B$4:$B$8000,TRIM($A428),'Timesheet Raw'!$C$4:$C$8000,"*"&amp;$B428&amp;"*",'Timesheet Raw'!$L$4:$L$8000,"&gt;="&amp;O$5,'Timesheet Raw'!$L$4:$L$8000,"&lt;="&amp;O$6)))/'Profit Plan'!$B$5)</f>
        <v/>
      </c>
      <c r="P428" s="122" t="str">
        <f>IF($A428="","",(IF(ISNUMBER(SEARCH("Proposal",$A428)),SUMIFS('Timesheet Raw'!$P$4:$P$8000,'Timesheet Raw'!$A$4:$A$8000,IF(ISNUMBER(SEARCH("Chargable",$A428)),"2-Proposals Chargeable","3-Proposals Regular"),'Timesheet Raw'!$C$4:$C$8000,"*"&amp;$B428&amp;"*",'Timesheet Raw'!$L$4:$L$8000,"&gt;="&amp;MAX(P$5,DATE(2000+VALUE(RIGHT(TRIM($A428),2)),1,1)),'Timesheet Raw'!$L$4:$L$8000,"&lt;="&amp;MIN(P$6,DATE(2000+VALUE(RIGHT(TRIM($A428),2)),12,31))),SUMIFS('Timesheet Raw'!$P$4:$P$8000,'Timesheet Raw'!$B$4:$B$8000,TRIM($A428),'Timesheet Raw'!$C$4:$C$8000,"*"&amp;$B428&amp;"*",'Timesheet Raw'!$L$4:$L$8000,"&gt;="&amp;P$5,'Timesheet Raw'!$L$4:$L$8000,"&lt;="&amp;P$6)))/'Profit Plan'!$B$5)</f>
        <v/>
      </c>
      <c r="Q428" s="122" t="str">
        <f>IF($A428="","",(IF(ISNUMBER(SEARCH("Proposal",$A428)),SUMIFS('Timesheet Raw'!$P$4:$P$8000,'Timesheet Raw'!$A$4:$A$8000,IF(ISNUMBER(SEARCH("Chargable",$A428)),"2-Proposals Chargeable","3-Proposals Regular"),'Timesheet Raw'!$C$4:$C$8000,"*"&amp;$B428&amp;"*",'Timesheet Raw'!$L$4:$L$8000,"&gt;="&amp;MAX(Q$5,DATE(2000+VALUE(RIGHT(TRIM($A428),2)),1,1)),'Timesheet Raw'!$L$4:$L$8000,"&lt;="&amp;MIN(Q$6,DATE(2000+VALUE(RIGHT(TRIM($A428),2)),12,31))),SUMIFS('Timesheet Raw'!$P$4:$P$8000,'Timesheet Raw'!$B$4:$B$8000,TRIM($A428),'Timesheet Raw'!$C$4:$C$8000,"*"&amp;$B428&amp;"*",'Timesheet Raw'!$L$4:$L$8000,"&gt;="&amp;Q$5,'Timesheet Raw'!$L$4:$L$8000,"&lt;="&amp;Q$6)))/'Profit Plan'!$B$5)</f>
        <v/>
      </c>
      <c r="R428" s="122" t="str">
        <f>IF($A428="","",(IF(ISNUMBER(SEARCH("Proposal",$A428)),SUMIFS('Timesheet Raw'!$P$4:$P$8000,'Timesheet Raw'!$A$4:$A$8000,IF(ISNUMBER(SEARCH("Chargable",$A428)),"2-Proposals Chargeable","3-Proposals Regular"),'Timesheet Raw'!$C$4:$C$8000,"*"&amp;$B428&amp;"*",'Timesheet Raw'!$L$4:$L$8000,"&gt;="&amp;MAX(R$5,DATE(2000+VALUE(RIGHT(TRIM($A428),2)),1,1)),'Timesheet Raw'!$L$4:$L$8000,"&lt;="&amp;MIN(R$6,DATE(2000+VALUE(RIGHT(TRIM($A428),2)),12,31))),SUMIFS('Timesheet Raw'!$P$4:$P$8000,'Timesheet Raw'!$B$4:$B$8000,TRIM($A428),'Timesheet Raw'!$C$4:$C$8000,"*"&amp;$B428&amp;"*",'Timesheet Raw'!$L$4:$L$8000,"&gt;="&amp;R$5,'Timesheet Raw'!$L$4:$L$8000,"&lt;="&amp;R$6)))/'Profit Plan'!$B$5)</f>
        <v/>
      </c>
      <c r="S428" s="122" t="str">
        <f>IF($A428="","",(IF(ISNUMBER(SEARCH("Proposal",$A428)),SUMIFS('Timesheet Raw'!$P$4:$P$8000,'Timesheet Raw'!$A$4:$A$8000,IF(ISNUMBER(SEARCH("Chargable",$A428)),"2-Proposals Chargeable","3-Proposals Regular"),'Timesheet Raw'!$C$4:$C$8000,"*"&amp;$B428&amp;"*",'Timesheet Raw'!$L$4:$L$8000,"&gt;="&amp;MAX(S$5,DATE(2000+VALUE(RIGHT(TRIM($A428),2)),1,1)),'Timesheet Raw'!$L$4:$L$8000,"&lt;="&amp;MIN(S$6,DATE(2000+VALUE(RIGHT(TRIM($A428),2)),12,31))),SUMIFS('Timesheet Raw'!$P$4:$P$8000,'Timesheet Raw'!$B$4:$B$8000,TRIM($A428),'Timesheet Raw'!$C$4:$C$8000,"*"&amp;$B428&amp;"*",'Timesheet Raw'!$L$4:$L$8000,"&gt;="&amp;S$5,'Timesheet Raw'!$L$4:$L$8000,"&lt;="&amp;S$6)))/'Profit Plan'!$B$5)</f>
        <v/>
      </c>
      <c r="T428" s="122" t="str">
        <f>IF($A428="","",(IF(ISNUMBER(SEARCH("Proposal",$A428)),SUMIFS('Timesheet Raw'!$P$4:$P$8000,'Timesheet Raw'!$A$4:$A$8000,IF(ISNUMBER(SEARCH("Chargable",$A428)),"2-Proposals Chargeable","3-Proposals Regular"),'Timesheet Raw'!$C$4:$C$8000,"*"&amp;$B428&amp;"*",'Timesheet Raw'!$L$4:$L$8000,"&gt;="&amp;MAX(T$5,DATE(2000+VALUE(RIGHT(TRIM($A428),2)),1,1)),'Timesheet Raw'!$L$4:$L$8000,"&lt;="&amp;MIN(T$6,DATE(2000+VALUE(RIGHT(TRIM($A428),2)),12,31))),SUMIFS('Timesheet Raw'!$P$4:$P$8000,'Timesheet Raw'!$B$4:$B$8000,TRIM($A428),'Timesheet Raw'!$C$4:$C$8000,"*"&amp;$B428&amp;"*",'Timesheet Raw'!$L$4:$L$8000,"&gt;="&amp;T$5,'Timesheet Raw'!$L$4:$L$8000,"&lt;="&amp;T$6)))/'Profit Plan'!$B$5)</f>
        <v/>
      </c>
      <c r="U428" s="122" t="str">
        <f>IF($A428="","",(IF(ISNUMBER(SEARCH("Proposal",$A428)),SUMIFS('Timesheet Raw'!$P$4:$P$8000,'Timesheet Raw'!$A$4:$A$8000,IF(ISNUMBER(SEARCH("Chargable",$A428)),"2-Proposals Chargeable","3-Proposals Regular"),'Timesheet Raw'!$C$4:$C$8000,"*"&amp;$B428&amp;"*",'Timesheet Raw'!$L$4:$L$8000,"&gt;="&amp;MAX(U$5,DATE(2000+VALUE(RIGHT(TRIM($A428),2)),1,1)),'Timesheet Raw'!$L$4:$L$8000,"&lt;="&amp;MIN(U$6,DATE(2000+VALUE(RIGHT(TRIM($A428),2)),12,31))),SUMIFS('Timesheet Raw'!$P$4:$P$8000,'Timesheet Raw'!$B$4:$B$8000,TRIM($A428),'Timesheet Raw'!$C$4:$C$8000,"*"&amp;$B428&amp;"*",'Timesheet Raw'!$L$4:$L$8000,"&gt;="&amp;U$5,'Timesheet Raw'!$L$4:$L$8000,"&lt;="&amp;U$6)))/'Profit Plan'!$B$5)</f>
        <v/>
      </c>
      <c r="V428" s="122" t="str">
        <f>IF($A428="","",(IF(ISNUMBER(SEARCH("Proposal",$A428)),SUMIFS('Timesheet Raw'!$P$4:$P$8000,'Timesheet Raw'!$A$4:$A$8000,IF(ISNUMBER(SEARCH("Chargable",$A428)),"2-Proposals Chargeable","3-Proposals Regular"),'Timesheet Raw'!$C$4:$C$8000,"*"&amp;$B428&amp;"*",'Timesheet Raw'!$L$4:$L$8000,"&gt;="&amp;MAX(V$5,DATE(2000+VALUE(RIGHT(TRIM($A428),2)),1,1)),'Timesheet Raw'!$L$4:$L$8000,"&lt;="&amp;MIN(V$6,DATE(2000+VALUE(RIGHT(TRIM($A428),2)),12,31))),SUMIFS('Timesheet Raw'!$P$4:$P$8000,'Timesheet Raw'!$B$4:$B$8000,TRIM($A428),'Timesheet Raw'!$C$4:$C$8000,"*"&amp;$B428&amp;"*",'Timesheet Raw'!$L$4:$L$8000,"&gt;="&amp;V$5,'Timesheet Raw'!$L$4:$L$8000,"&lt;="&amp;V$6)))/'Profit Plan'!$B$5)</f>
        <v/>
      </c>
      <c r="W428" s="122" t="str">
        <f>IF($A428="","",(IF(ISNUMBER(SEARCH("Proposal",$A428)),SUMIFS('Timesheet Raw'!$P$4:$P$8000,'Timesheet Raw'!$A$4:$A$8000,IF(ISNUMBER(SEARCH("Chargable",$A428)),"2-Proposals Chargeable","3-Proposals Regular"),'Timesheet Raw'!$C$4:$C$8000,"*"&amp;$B428&amp;"*",'Timesheet Raw'!$L$4:$L$8000,"&gt;="&amp;MAX(W$5,DATE(2000+VALUE(RIGHT(TRIM($A428),2)),1,1)),'Timesheet Raw'!$L$4:$L$8000,"&lt;="&amp;MIN(W$6,DATE(2000+VALUE(RIGHT(TRIM($A428),2)),12,31))),SUMIFS('Timesheet Raw'!$P$4:$P$8000,'Timesheet Raw'!$B$4:$B$8000,TRIM($A428),'Timesheet Raw'!$C$4:$C$8000,"*"&amp;$B428&amp;"*",'Timesheet Raw'!$L$4:$L$8000,"&gt;="&amp;W$5,'Timesheet Raw'!$L$4:$L$8000,"&lt;="&amp;W$6)))/'Profit Plan'!$B$5)</f>
        <v/>
      </c>
      <c r="X428" s="122" t="str">
        <f>IF($A428="","",(IF(ISNUMBER(SEARCH("Proposal",$A428)),SUMIFS('Timesheet Raw'!$P$4:$P$8000,'Timesheet Raw'!$A$4:$A$8000,IF(ISNUMBER(SEARCH("Chargable",$A428)),"2-Proposals Chargeable","3-Proposals Regular"),'Timesheet Raw'!$C$4:$C$8000,"*"&amp;$B428&amp;"*",'Timesheet Raw'!$L$4:$L$8000,"&gt;="&amp;MAX(X$5,DATE(2000+VALUE(RIGHT(TRIM($A428),2)),1,1)),'Timesheet Raw'!$L$4:$L$8000,"&lt;="&amp;MIN(X$6,DATE(2000+VALUE(RIGHT(TRIM($A428),2)),12,31))),SUMIFS('Timesheet Raw'!$P$4:$P$8000,'Timesheet Raw'!$B$4:$B$8000,TRIM($A428),'Timesheet Raw'!$C$4:$C$8000,"*"&amp;$B428&amp;"*",'Timesheet Raw'!$L$4:$L$8000,"&gt;="&amp;X$5,'Timesheet Raw'!$L$4:$L$8000,"&lt;="&amp;X$6)))/'Profit Plan'!$B$5)</f>
        <v/>
      </c>
      <c r="Y428" s="118">
        <f t="shared" si="102"/>
        <v>0</v>
      </c>
    </row>
    <row r="429" spans="1:25" x14ac:dyDescent="0.3">
      <c r="A429" s="116" t="str">
        <f>IF(Inputs!$A60="","",Inputs!$A60)</f>
        <v/>
      </c>
      <c r="B429" s="116" t="str">
        <f>IF(Inputs!$A60="","",Inputs!$A$93)</f>
        <v/>
      </c>
      <c r="C429" s="116"/>
      <c r="D429" s="122" t="str">
        <f>IF($A429="","",(IF(ISNUMBER(SEARCH("Proposal",$A429)),SUMIFS('Timesheet Raw'!$P$4:$P$8000,'Timesheet Raw'!$A$4:$A$8000,IF(ISNUMBER(SEARCH("Chargable",$A429)),"2-Proposals Chargeable","3-Proposals Regular"),'Timesheet Raw'!$C$4:$C$8000,"*"&amp;$B429&amp;"*",'Timesheet Raw'!$L$4:$L$8000,"&gt;="&amp;MAX(D$5,DATE(2000+VALUE(RIGHT(TRIM($A429),2)),1,1)),'Timesheet Raw'!$L$4:$L$8000,"&lt;="&amp;MIN(D$6,DATE(2000+VALUE(RIGHT(TRIM($A429),2)),12,31))),SUMIFS('Timesheet Raw'!$P$4:$P$8000,'Timesheet Raw'!$B$4:$B$8000,TRIM($A429),'Timesheet Raw'!$C$4:$C$8000,"*"&amp;$B429&amp;"*",'Timesheet Raw'!$L$4:$L$8000,"&gt;="&amp;D$5,'Timesheet Raw'!$L$4:$L$8000,"&lt;="&amp;D$6)))/'Profit Plan'!$B$5)</f>
        <v/>
      </c>
      <c r="E429" s="122" t="str">
        <f>IF($A429="","",(IF(ISNUMBER(SEARCH("Proposal",$A429)),SUMIFS('Timesheet Raw'!$P$4:$P$8000,'Timesheet Raw'!$A$4:$A$8000,IF(ISNUMBER(SEARCH("Chargable",$A429)),"2-Proposals Chargeable","3-Proposals Regular"),'Timesheet Raw'!$C$4:$C$8000,"*"&amp;$B429&amp;"*",'Timesheet Raw'!$L$4:$L$8000,"&gt;="&amp;MAX(E$5,DATE(2000+VALUE(RIGHT(TRIM($A429),2)),1,1)),'Timesheet Raw'!$L$4:$L$8000,"&lt;="&amp;MIN(E$6,DATE(2000+VALUE(RIGHT(TRIM($A429),2)),12,31))),SUMIFS('Timesheet Raw'!$P$4:$P$8000,'Timesheet Raw'!$B$4:$B$8000,TRIM($A429),'Timesheet Raw'!$C$4:$C$8000,"*"&amp;$B429&amp;"*",'Timesheet Raw'!$L$4:$L$8000,"&gt;="&amp;E$5,'Timesheet Raw'!$L$4:$L$8000,"&lt;="&amp;E$6)))/'Profit Plan'!$B$5)</f>
        <v/>
      </c>
      <c r="F429" s="122" t="str">
        <f>IF($A429="","",(IF(ISNUMBER(SEARCH("Proposal",$A429)),SUMIFS('Timesheet Raw'!$P$4:$P$8000,'Timesheet Raw'!$A$4:$A$8000,IF(ISNUMBER(SEARCH("Chargable",$A429)),"2-Proposals Chargeable","3-Proposals Regular"),'Timesheet Raw'!$C$4:$C$8000,"*"&amp;$B429&amp;"*",'Timesheet Raw'!$L$4:$L$8000,"&gt;="&amp;MAX(F$5,DATE(2000+VALUE(RIGHT(TRIM($A429),2)),1,1)),'Timesheet Raw'!$L$4:$L$8000,"&lt;="&amp;MIN(F$6,DATE(2000+VALUE(RIGHT(TRIM($A429),2)),12,31))),SUMIFS('Timesheet Raw'!$P$4:$P$8000,'Timesheet Raw'!$B$4:$B$8000,TRIM($A429),'Timesheet Raw'!$C$4:$C$8000,"*"&amp;$B429&amp;"*",'Timesheet Raw'!$L$4:$L$8000,"&gt;="&amp;F$5,'Timesheet Raw'!$L$4:$L$8000,"&lt;="&amp;F$6)))/'Profit Plan'!$B$5)</f>
        <v/>
      </c>
      <c r="G429" s="122" t="str">
        <f>IF($A429="","",(IF(ISNUMBER(SEARCH("Proposal",$A429)),SUMIFS('Timesheet Raw'!$P$4:$P$8000,'Timesheet Raw'!$A$4:$A$8000,IF(ISNUMBER(SEARCH("Chargable",$A429)),"2-Proposals Chargeable","3-Proposals Regular"),'Timesheet Raw'!$C$4:$C$8000,"*"&amp;$B429&amp;"*",'Timesheet Raw'!$L$4:$L$8000,"&gt;="&amp;MAX(G$5,DATE(2000+VALUE(RIGHT(TRIM($A429),2)),1,1)),'Timesheet Raw'!$L$4:$L$8000,"&lt;="&amp;MIN(G$6,DATE(2000+VALUE(RIGHT(TRIM($A429),2)),12,31))),SUMIFS('Timesheet Raw'!$P$4:$P$8000,'Timesheet Raw'!$B$4:$B$8000,TRIM($A429),'Timesheet Raw'!$C$4:$C$8000,"*"&amp;$B429&amp;"*",'Timesheet Raw'!$L$4:$L$8000,"&gt;="&amp;G$5,'Timesheet Raw'!$L$4:$L$8000,"&lt;="&amp;G$6)))/'Profit Plan'!$B$5)</f>
        <v/>
      </c>
      <c r="H429" s="122" t="str">
        <f>IF($A429="","",(IF(ISNUMBER(SEARCH("Proposal",$A429)),SUMIFS('Timesheet Raw'!$P$4:$P$8000,'Timesheet Raw'!$A$4:$A$8000,IF(ISNUMBER(SEARCH("Chargable",$A429)),"2-Proposals Chargeable","3-Proposals Regular"),'Timesheet Raw'!$C$4:$C$8000,"*"&amp;$B429&amp;"*",'Timesheet Raw'!$L$4:$L$8000,"&gt;="&amp;MAX(H$5,DATE(2000+VALUE(RIGHT(TRIM($A429),2)),1,1)),'Timesheet Raw'!$L$4:$L$8000,"&lt;="&amp;MIN(H$6,DATE(2000+VALUE(RIGHT(TRIM($A429),2)),12,31))),SUMIFS('Timesheet Raw'!$P$4:$P$8000,'Timesheet Raw'!$B$4:$B$8000,TRIM($A429),'Timesheet Raw'!$C$4:$C$8000,"*"&amp;$B429&amp;"*",'Timesheet Raw'!$L$4:$L$8000,"&gt;="&amp;H$5,'Timesheet Raw'!$L$4:$L$8000,"&lt;="&amp;H$6)))/'Profit Plan'!$B$5)</f>
        <v/>
      </c>
      <c r="I429" s="122" t="str">
        <f>IF($A429="","",(IF(ISNUMBER(SEARCH("Proposal",$A429)),SUMIFS('Timesheet Raw'!$P$4:$P$8000,'Timesheet Raw'!$A$4:$A$8000,IF(ISNUMBER(SEARCH("Chargable",$A429)),"2-Proposals Chargeable","3-Proposals Regular"),'Timesheet Raw'!$C$4:$C$8000,"*"&amp;$B429&amp;"*",'Timesheet Raw'!$L$4:$L$8000,"&gt;="&amp;MAX(I$5,DATE(2000+VALUE(RIGHT(TRIM($A429),2)),1,1)),'Timesheet Raw'!$L$4:$L$8000,"&lt;="&amp;MIN(I$6,DATE(2000+VALUE(RIGHT(TRIM($A429),2)),12,31))),SUMIFS('Timesheet Raw'!$P$4:$P$8000,'Timesheet Raw'!$B$4:$B$8000,TRIM($A429),'Timesheet Raw'!$C$4:$C$8000,"*"&amp;$B429&amp;"*",'Timesheet Raw'!$L$4:$L$8000,"&gt;="&amp;I$5,'Timesheet Raw'!$L$4:$L$8000,"&lt;="&amp;I$6)))/'Profit Plan'!$B$5)</f>
        <v/>
      </c>
      <c r="J429" s="122" t="str">
        <f>IF($A429="","",(IF(ISNUMBER(SEARCH("Proposal",$A429)),SUMIFS('Timesheet Raw'!$P$4:$P$8000,'Timesheet Raw'!$A$4:$A$8000,IF(ISNUMBER(SEARCH("Chargable",$A429)),"2-Proposals Chargeable","3-Proposals Regular"),'Timesheet Raw'!$C$4:$C$8000,"*"&amp;$B429&amp;"*",'Timesheet Raw'!$L$4:$L$8000,"&gt;="&amp;MAX(J$5,DATE(2000+VALUE(RIGHT(TRIM($A429),2)),1,1)),'Timesheet Raw'!$L$4:$L$8000,"&lt;="&amp;MIN(J$6,DATE(2000+VALUE(RIGHT(TRIM($A429),2)),12,31))),SUMIFS('Timesheet Raw'!$P$4:$P$8000,'Timesheet Raw'!$B$4:$B$8000,TRIM($A429),'Timesheet Raw'!$C$4:$C$8000,"*"&amp;$B429&amp;"*",'Timesheet Raw'!$L$4:$L$8000,"&gt;="&amp;J$5,'Timesheet Raw'!$L$4:$L$8000,"&lt;="&amp;J$6)))/'Profit Plan'!$B$5)</f>
        <v/>
      </c>
      <c r="K429" s="122" t="str">
        <f>IF($A429="","",(IF(ISNUMBER(SEARCH("Proposal",$A429)),SUMIFS('Timesheet Raw'!$P$4:$P$8000,'Timesheet Raw'!$A$4:$A$8000,IF(ISNUMBER(SEARCH("Chargable",$A429)),"2-Proposals Chargeable","3-Proposals Regular"),'Timesheet Raw'!$C$4:$C$8000,"*"&amp;$B429&amp;"*",'Timesheet Raw'!$L$4:$L$8000,"&gt;="&amp;MAX(K$5,DATE(2000+VALUE(RIGHT(TRIM($A429),2)),1,1)),'Timesheet Raw'!$L$4:$L$8000,"&lt;="&amp;MIN(K$6,DATE(2000+VALUE(RIGHT(TRIM($A429),2)),12,31))),SUMIFS('Timesheet Raw'!$P$4:$P$8000,'Timesheet Raw'!$B$4:$B$8000,TRIM($A429),'Timesheet Raw'!$C$4:$C$8000,"*"&amp;$B429&amp;"*",'Timesheet Raw'!$L$4:$L$8000,"&gt;="&amp;K$5,'Timesheet Raw'!$L$4:$L$8000,"&lt;="&amp;K$6)))/'Profit Plan'!$B$5)</f>
        <v/>
      </c>
      <c r="L429" s="122" t="str">
        <f>IF($A429="","",(IF(ISNUMBER(SEARCH("Proposal",$A429)),SUMIFS('Timesheet Raw'!$P$4:$P$8000,'Timesheet Raw'!$A$4:$A$8000,IF(ISNUMBER(SEARCH("Chargable",$A429)),"2-Proposals Chargeable","3-Proposals Regular"),'Timesheet Raw'!$C$4:$C$8000,"*"&amp;$B429&amp;"*",'Timesheet Raw'!$L$4:$L$8000,"&gt;="&amp;MAX(L$5,DATE(2000+VALUE(RIGHT(TRIM($A429),2)),1,1)),'Timesheet Raw'!$L$4:$L$8000,"&lt;="&amp;MIN(L$6,DATE(2000+VALUE(RIGHT(TRIM($A429),2)),12,31))),SUMIFS('Timesheet Raw'!$P$4:$P$8000,'Timesheet Raw'!$B$4:$B$8000,TRIM($A429),'Timesheet Raw'!$C$4:$C$8000,"*"&amp;$B429&amp;"*",'Timesheet Raw'!$L$4:$L$8000,"&gt;="&amp;L$5,'Timesheet Raw'!$L$4:$L$8000,"&lt;="&amp;L$6)))/'Profit Plan'!$B$5)</f>
        <v/>
      </c>
      <c r="M429" s="122" t="str">
        <f>IF($A429="","",(IF(ISNUMBER(SEARCH("Proposal",$A429)),SUMIFS('Timesheet Raw'!$P$4:$P$8000,'Timesheet Raw'!$A$4:$A$8000,IF(ISNUMBER(SEARCH("Chargable",$A429)),"2-Proposals Chargeable","3-Proposals Regular"),'Timesheet Raw'!$C$4:$C$8000,"*"&amp;$B429&amp;"*",'Timesheet Raw'!$L$4:$L$8000,"&gt;="&amp;MAX(M$5,DATE(2000+VALUE(RIGHT(TRIM($A429),2)),1,1)),'Timesheet Raw'!$L$4:$L$8000,"&lt;="&amp;MIN(M$6,DATE(2000+VALUE(RIGHT(TRIM($A429),2)),12,31))),SUMIFS('Timesheet Raw'!$P$4:$P$8000,'Timesheet Raw'!$B$4:$B$8000,TRIM($A429),'Timesheet Raw'!$C$4:$C$8000,"*"&amp;$B429&amp;"*",'Timesheet Raw'!$L$4:$L$8000,"&gt;="&amp;M$5,'Timesheet Raw'!$L$4:$L$8000,"&lt;="&amp;M$6)))/'Profit Plan'!$B$5)</f>
        <v/>
      </c>
      <c r="N429" s="122" t="str">
        <f>IF($A429="","",(IF(ISNUMBER(SEARCH("Proposal",$A429)),SUMIFS('Timesheet Raw'!$P$4:$P$8000,'Timesheet Raw'!$A$4:$A$8000,IF(ISNUMBER(SEARCH("Chargable",$A429)),"2-Proposals Chargeable","3-Proposals Regular"),'Timesheet Raw'!$C$4:$C$8000,"*"&amp;$B429&amp;"*",'Timesheet Raw'!$L$4:$L$8000,"&gt;="&amp;MAX(N$5,DATE(2000+VALUE(RIGHT(TRIM($A429),2)),1,1)),'Timesheet Raw'!$L$4:$L$8000,"&lt;="&amp;MIN(N$6,DATE(2000+VALUE(RIGHT(TRIM($A429),2)),12,31))),SUMIFS('Timesheet Raw'!$P$4:$P$8000,'Timesheet Raw'!$B$4:$B$8000,TRIM($A429),'Timesheet Raw'!$C$4:$C$8000,"*"&amp;$B429&amp;"*",'Timesheet Raw'!$L$4:$L$8000,"&gt;="&amp;N$5,'Timesheet Raw'!$L$4:$L$8000,"&lt;="&amp;N$6)))/'Profit Plan'!$B$5)</f>
        <v/>
      </c>
      <c r="O429" s="122" t="str">
        <f>IF($A429="","",(IF(ISNUMBER(SEARCH("Proposal",$A429)),SUMIFS('Timesheet Raw'!$P$4:$P$8000,'Timesheet Raw'!$A$4:$A$8000,IF(ISNUMBER(SEARCH("Chargable",$A429)),"2-Proposals Chargeable","3-Proposals Regular"),'Timesheet Raw'!$C$4:$C$8000,"*"&amp;$B429&amp;"*",'Timesheet Raw'!$L$4:$L$8000,"&gt;="&amp;MAX(O$5,DATE(2000+VALUE(RIGHT(TRIM($A429),2)),1,1)),'Timesheet Raw'!$L$4:$L$8000,"&lt;="&amp;MIN(O$6,DATE(2000+VALUE(RIGHT(TRIM($A429),2)),12,31))),SUMIFS('Timesheet Raw'!$P$4:$P$8000,'Timesheet Raw'!$B$4:$B$8000,TRIM($A429),'Timesheet Raw'!$C$4:$C$8000,"*"&amp;$B429&amp;"*",'Timesheet Raw'!$L$4:$L$8000,"&gt;="&amp;O$5,'Timesheet Raw'!$L$4:$L$8000,"&lt;="&amp;O$6)))/'Profit Plan'!$B$5)</f>
        <v/>
      </c>
      <c r="P429" s="122" t="str">
        <f>IF($A429="","",(IF(ISNUMBER(SEARCH("Proposal",$A429)),SUMIFS('Timesheet Raw'!$P$4:$P$8000,'Timesheet Raw'!$A$4:$A$8000,IF(ISNUMBER(SEARCH("Chargable",$A429)),"2-Proposals Chargeable","3-Proposals Regular"),'Timesheet Raw'!$C$4:$C$8000,"*"&amp;$B429&amp;"*",'Timesheet Raw'!$L$4:$L$8000,"&gt;="&amp;MAX(P$5,DATE(2000+VALUE(RIGHT(TRIM($A429),2)),1,1)),'Timesheet Raw'!$L$4:$L$8000,"&lt;="&amp;MIN(P$6,DATE(2000+VALUE(RIGHT(TRIM($A429),2)),12,31))),SUMIFS('Timesheet Raw'!$P$4:$P$8000,'Timesheet Raw'!$B$4:$B$8000,TRIM($A429),'Timesheet Raw'!$C$4:$C$8000,"*"&amp;$B429&amp;"*",'Timesheet Raw'!$L$4:$L$8000,"&gt;="&amp;P$5,'Timesheet Raw'!$L$4:$L$8000,"&lt;="&amp;P$6)))/'Profit Plan'!$B$5)</f>
        <v/>
      </c>
      <c r="Q429" s="122" t="str">
        <f>IF($A429="","",(IF(ISNUMBER(SEARCH("Proposal",$A429)),SUMIFS('Timesheet Raw'!$P$4:$P$8000,'Timesheet Raw'!$A$4:$A$8000,IF(ISNUMBER(SEARCH("Chargable",$A429)),"2-Proposals Chargeable","3-Proposals Regular"),'Timesheet Raw'!$C$4:$C$8000,"*"&amp;$B429&amp;"*",'Timesheet Raw'!$L$4:$L$8000,"&gt;="&amp;MAX(Q$5,DATE(2000+VALUE(RIGHT(TRIM($A429),2)),1,1)),'Timesheet Raw'!$L$4:$L$8000,"&lt;="&amp;MIN(Q$6,DATE(2000+VALUE(RIGHT(TRIM($A429),2)),12,31))),SUMIFS('Timesheet Raw'!$P$4:$P$8000,'Timesheet Raw'!$B$4:$B$8000,TRIM($A429),'Timesheet Raw'!$C$4:$C$8000,"*"&amp;$B429&amp;"*",'Timesheet Raw'!$L$4:$L$8000,"&gt;="&amp;Q$5,'Timesheet Raw'!$L$4:$L$8000,"&lt;="&amp;Q$6)))/'Profit Plan'!$B$5)</f>
        <v/>
      </c>
      <c r="R429" s="122" t="str">
        <f>IF($A429="","",(IF(ISNUMBER(SEARCH("Proposal",$A429)),SUMIFS('Timesheet Raw'!$P$4:$P$8000,'Timesheet Raw'!$A$4:$A$8000,IF(ISNUMBER(SEARCH("Chargable",$A429)),"2-Proposals Chargeable","3-Proposals Regular"),'Timesheet Raw'!$C$4:$C$8000,"*"&amp;$B429&amp;"*",'Timesheet Raw'!$L$4:$L$8000,"&gt;="&amp;MAX(R$5,DATE(2000+VALUE(RIGHT(TRIM($A429),2)),1,1)),'Timesheet Raw'!$L$4:$L$8000,"&lt;="&amp;MIN(R$6,DATE(2000+VALUE(RIGHT(TRIM($A429),2)),12,31))),SUMIFS('Timesheet Raw'!$P$4:$P$8000,'Timesheet Raw'!$B$4:$B$8000,TRIM($A429),'Timesheet Raw'!$C$4:$C$8000,"*"&amp;$B429&amp;"*",'Timesheet Raw'!$L$4:$L$8000,"&gt;="&amp;R$5,'Timesheet Raw'!$L$4:$L$8000,"&lt;="&amp;R$6)))/'Profit Plan'!$B$5)</f>
        <v/>
      </c>
      <c r="S429" s="122" t="str">
        <f>IF($A429="","",(IF(ISNUMBER(SEARCH("Proposal",$A429)),SUMIFS('Timesheet Raw'!$P$4:$P$8000,'Timesheet Raw'!$A$4:$A$8000,IF(ISNUMBER(SEARCH("Chargable",$A429)),"2-Proposals Chargeable","3-Proposals Regular"),'Timesheet Raw'!$C$4:$C$8000,"*"&amp;$B429&amp;"*",'Timesheet Raw'!$L$4:$L$8000,"&gt;="&amp;MAX(S$5,DATE(2000+VALUE(RIGHT(TRIM($A429),2)),1,1)),'Timesheet Raw'!$L$4:$L$8000,"&lt;="&amp;MIN(S$6,DATE(2000+VALUE(RIGHT(TRIM($A429),2)),12,31))),SUMIFS('Timesheet Raw'!$P$4:$P$8000,'Timesheet Raw'!$B$4:$B$8000,TRIM($A429),'Timesheet Raw'!$C$4:$C$8000,"*"&amp;$B429&amp;"*",'Timesheet Raw'!$L$4:$L$8000,"&gt;="&amp;S$5,'Timesheet Raw'!$L$4:$L$8000,"&lt;="&amp;S$6)))/'Profit Plan'!$B$5)</f>
        <v/>
      </c>
      <c r="T429" s="122" t="str">
        <f>IF($A429="","",(IF(ISNUMBER(SEARCH("Proposal",$A429)),SUMIFS('Timesheet Raw'!$P$4:$P$8000,'Timesheet Raw'!$A$4:$A$8000,IF(ISNUMBER(SEARCH("Chargable",$A429)),"2-Proposals Chargeable","3-Proposals Regular"),'Timesheet Raw'!$C$4:$C$8000,"*"&amp;$B429&amp;"*",'Timesheet Raw'!$L$4:$L$8000,"&gt;="&amp;MAX(T$5,DATE(2000+VALUE(RIGHT(TRIM($A429),2)),1,1)),'Timesheet Raw'!$L$4:$L$8000,"&lt;="&amp;MIN(T$6,DATE(2000+VALUE(RIGHT(TRIM($A429),2)),12,31))),SUMIFS('Timesheet Raw'!$P$4:$P$8000,'Timesheet Raw'!$B$4:$B$8000,TRIM($A429),'Timesheet Raw'!$C$4:$C$8000,"*"&amp;$B429&amp;"*",'Timesheet Raw'!$L$4:$L$8000,"&gt;="&amp;T$5,'Timesheet Raw'!$L$4:$L$8000,"&lt;="&amp;T$6)))/'Profit Plan'!$B$5)</f>
        <v/>
      </c>
      <c r="U429" s="122" t="str">
        <f>IF($A429="","",(IF(ISNUMBER(SEARCH("Proposal",$A429)),SUMIFS('Timesheet Raw'!$P$4:$P$8000,'Timesheet Raw'!$A$4:$A$8000,IF(ISNUMBER(SEARCH("Chargable",$A429)),"2-Proposals Chargeable","3-Proposals Regular"),'Timesheet Raw'!$C$4:$C$8000,"*"&amp;$B429&amp;"*",'Timesheet Raw'!$L$4:$L$8000,"&gt;="&amp;MAX(U$5,DATE(2000+VALUE(RIGHT(TRIM($A429),2)),1,1)),'Timesheet Raw'!$L$4:$L$8000,"&lt;="&amp;MIN(U$6,DATE(2000+VALUE(RIGHT(TRIM($A429),2)),12,31))),SUMIFS('Timesheet Raw'!$P$4:$P$8000,'Timesheet Raw'!$B$4:$B$8000,TRIM($A429),'Timesheet Raw'!$C$4:$C$8000,"*"&amp;$B429&amp;"*",'Timesheet Raw'!$L$4:$L$8000,"&gt;="&amp;U$5,'Timesheet Raw'!$L$4:$L$8000,"&lt;="&amp;U$6)))/'Profit Plan'!$B$5)</f>
        <v/>
      </c>
      <c r="V429" s="122" t="str">
        <f>IF($A429="","",(IF(ISNUMBER(SEARCH("Proposal",$A429)),SUMIFS('Timesheet Raw'!$P$4:$P$8000,'Timesheet Raw'!$A$4:$A$8000,IF(ISNUMBER(SEARCH("Chargable",$A429)),"2-Proposals Chargeable","3-Proposals Regular"),'Timesheet Raw'!$C$4:$C$8000,"*"&amp;$B429&amp;"*",'Timesheet Raw'!$L$4:$L$8000,"&gt;="&amp;MAX(V$5,DATE(2000+VALUE(RIGHT(TRIM($A429),2)),1,1)),'Timesheet Raw'!$L$4:$L$8000,"&lt;="&amp;MIN(V$6,DATE(2000+VALUE(RIGHT(TRIM($A429),2)),12,31))),SUMIFS('Timesheet Raw'!$P$4:$P$8000,'Timesheet Raw'!$B$4:$B$8000,TRIM($A429),'Timesheet Raw'!$C$4:$C$8000,"*"&amp;$B429&amp;"*",'Timesheet Raw'!$L$4:$L$8000,"&gt;="&amp;V$5,'Timesheet Raw'!$L$4:$L$8000,"&lt;="&amp;V$6)))/'Profit Plan'!$B$5)</f>
        <v/>
      </c>
      <c r="W429" s="122" t="str">
        <f>IF($A429="","",(IF(ISNUMBER(SEARCH("Proposal",$A429)),SUMIFS('Timesheet Raw'!$P$4:$P$8000,'Timesheet Raw'!$A$4:$A$8000,IF(ISNUMBER(SEARCH("Chargable",$A429)),"2-Proposals Chargeable","3-Proposals Regular"),'Timesheet Raw'!$C$4:$C$8000,"*"&amp;$B429&amp;"*",'Timesheet Raw'!$L$4:$L$8000,"&gt;="&amp;MAX(W$5,DATE(2000+VALUE(RIGHT(TRIM($A429),2)),1,1)),'Timesheet Raw'!$L$4:$L$8000,"&lt;="&amp;MIN(W$6,DATE(2000+VALUE(RIGHT(TRIM($A429),2)),12,31))),SUMIFS('Timesheet Raw'!$P$4:$P$8000,'Timesheet Raw'!$B$4:$B$8000,TRIM($A429),'Timesheet Raw'!$C$4:$C$8000,"*"&amp;$B429&amp;"*",'Timesheet Raw'!$L$4:$L$8000,"&gt;="&amp;W$5,'Timesheet Raw'!$L$4:$L$8000,"&lt;="&amp;W$6)))/'Profit Plan'!$B$5)</f>
        <v/>
      </c>
      <c r="X429" s="122" t="str">
        <f>IF($A429="","",(IF(ISNUMBER(SEARCH("Proposal",$A429)),SUMIFS('Timesheet Raw'!$P$4:$P$8000,'Timesheet Raw'!$A$4:$A$8000,IF(ISNUMBER(SEARCH("Chargable",$A429)),"2-Proposals Chargeable","3-Proposals Regular"),'Timesheet Raw'!$C$4:$C$8000,"*"&amp;$B429&amp;"*",'Timesheet Raw'!$L$4:$L$8000,"&gt;="&amp;MAX(X$5,DATE(2000+VALUE(RIGHT(TRIM($A429),2)),1,1)),'Timesheet Raw'!$L$4:$L$8000,"&lt;="&amp;MIN(X$6,DATE(2000+VALUE(RIGHT(TRIM($A429),2)),12,31))),SUMIFS('Timesheet Raw'!$P$4:$P$8000,'Timesheet Raw'!$B$4:$B$8000,TRIM($A429),'Timesheet Raw'!$C$4:$C$8000,"*"&amp;$B429&amp;"*",'Timesheet Raw'!$L$4:$L$8000,"&gt;="&amp;X$5,'Timesheet Raw'!$L$4:$L$8000,"&lt;="&amp;X$6)))/'Profit Plan'!$B$5)</f>
        <v/>
      </c>
      <c r="Y429" s="118">
        <f t="shared" si="102"/>
        <v>0</v>
      </c>
    </row>
    <row r="430" spans="1:25" x14ac:dyDescent="0.3">
      <c r="A430" s="116" t="str">
        <f>IF(Inputs!$A61="","",Inputs!$A61)</f>
        <v/>
      </c>
      <c r="B430" s="116" t="str">
        <f>IF(Inputs!$A61="","",Inputs!$A$91)</f>
        <v/>
      </c>
      <c r="C430" s="116"/>
      <c r="D430" s="122" t="str">
        <f>IF($A430="","",(IF(ISNUMBER(SEARCH("Proposal",$A430)),SUMIFS('Timesheet Raw'!$P$4:$P$8000,'Timesheet Raw'!$A$4:$A$8000,IF(ISNUMBER(SEARCH("Chargable",$A430)),"2-Proposals Chargeable","3-Proposals Regular"),'Timesheet Raw'!$C$4:$C$8000,"*"&amp;$B430&amp;"*",'Timesheet Raw'!$L$4:$L$8000,"&gt;="&amp;MAX(D$5,DATE(2000+VALUE(RIGHT(TRIM($A430),2)),1,1)),'Timesheet Raw'!$L$4:$L$8000,"&lt;="&amp;MIN(D$6,DATE(2000+VALUE(RIGHT(TRIM($A430),2)),12,31))),SUMIFS('Timesheet Raw'!$P$4:$P$8000,'Timesheet Raw'!$B$4:$B$8000,TRIM($A430),'Timesheet Raw'!$C$4:$C$8000,"*"&amp;$B430&amp;"*",'Timesheet Raw'!$L$4:$L$8000,"&gt;="&amp;D$5,'Timesheet Raw'!$L$4:$L$8000,"&lt;="&amp;D$6)))/'Profit Plan'!$B$5)</f>
        <v/>
      </c>
      <c r="E430" s="122" t="str">
        <f>IF($A430="","",(IF(ISNUMBER(SEARCH("Proposal",$A430)),SUMIFS('Timesheet Raw'!$P$4:$P$8000,'Timesheet Raw'!$A$4:$A$8000,IF(ISNUMBER(SEARCH("Chargable",$A430)),"2-Proposals Chargeable","3-Proposals Regular"),'Timesheet Raw'!$C$4:$C$8000,"*"&amp;$B430&amp;"*",'Timesheet Raw'!$L$4:$L$8000,"&gt;="&amp;MAX(E$5,DATE(2000+VALUE(RIGHT(TRIM($A430),2)),1,1)),'Timesheet Raw'!$L$4:$L$8000,"&lt;="&amp;MIN(E$6,DATE(2000+VALUE(RIGHT(TRIM($A430),2)),12,31))),SUMIFS('Timesheet Raw'!$P$4:$P$8000,'Timesheet Raw'!$B$4:$B$8000,TRIM($A430),'Timesheet Raw'!$C$4:$C$8000,"*"&amp;$B430&amp;"*",'Timesheet Raw'!$L$4:$L$8000,"&gt;="&amp;E$5,'Timesheet Raw'!$L$4:$L$8000,"&lt;="&amp;E$6)))/'Profit Plan'!$B$5)</f>
        <v/>
      </c>
      <c r="F430" s="122" t="str">
        <f>IF($A430="","",(IF(ISNUMBER(SEARCH("Proposal",$A430)),SUMIFS('Timesheet Raw'!$P$4:$P$8000,'Timesheet Raw'!$A$4:$A$8000,IF(ISNUMBER(SEARCH("Chargable",$A430)),"2-Proposals Chargeable","3-Proposals Regular"),'Timesheet Raw'!$C$4:$C$8000,"*"&amp;$B430&amp;"*",'Timesheet Raw'!$L$4:$L$8000,"&gt;="&amp;MAX(F$5,DATE(2000+VALUE(RIGHT(TRIM($A430),2)),1,1)),'Timesheet Raw'!$L$4:$L$8000,"&lt;="&amp;MIN(F$6,DATE(2000+VALUE(RIGHT(TRIM($A430),2)),12,31))),SUMIFS('Timesheet Raw'!$P$4:$P$8000,'Timesheet Raw'!$B$4:$B$8000,TRIM($A430),'Timesheet Raw'!$C$4:$C$8000,"*"&amp;$B430&amp;"*",'Timesheet Raw'!$L$4:$L$8000,"&gt;="&amp;F$5,'Timesheet Raw'!$L$4:$L$8000,"&lt;="&amp;F$6)))/'Profit Plan'!$B$5)</f>
        <v/>
      </c>
      <c r="G430" s="122" t="str">
        <f>IF($A430="","",(IF(ISNUMBER(SEARCH("Proposal",$A430)),SUMIFS('Timesheet Raw'!$P$4:$P$8000,'Timesheet Raw'!$A$4:$A$8000,IF(ISNUMBER(SEARCH("Chargable",$A430)),"2-Proposals Chargeable","3-Proposals Regular"),'Timesheet Raw'!$C$4:$C$8000,"*"&amp;$B430&amp;"*",'Timesheet Raw'!$L$4:$L$8000,"&gt;="&amp;MAX(G$5,DATE(2000+VALUE(RIGHT(TRIM($A430),2)),1,1)),'Timesheet Raw'!$L$4:$L$8000,"&lt;="&amp;MIN(G$6,DATE(2000+VALUE(RIGHT(TRIM($A430),2)),12,31))),SUMIFS('Timesheet Raw'!$P$4:$P$8000,'Timesheet Raw'!$B$4:$B$8000,TRIM($A430),'Timesheet Raw'!$C$4:$C$8000,"*"&amp;$B430&amp;"*",'Timesheet Raw'!$L$4:$L$8000,"&gt;="&amp;G$5,'Timesheet Raw'!$L$4:$L$8000,"&lt;="&amp;G$6)))/'Profit Plan'!$B$5)</f>
        <v/>
      </c>
      <c r="H430" s="122" t="str">
        <f>IF($A430="","",(IF(ISNUMBER(SEARCH("Proposal",$A430)),SUMIFS('Timesheet Raw'!$P$4:$P$8000,'Timesheet Raw'!$A$4:$A$8000,IF(ISNUMBER(SEARCH("Chargable",$A430)),"2-Proposals Chargeable","3-Proposals Regular"),'Timesheet Raw'!$C$4:$C$8000,"*"&amp;$B430&amp;"*",'Timesheet Raw'!$L$4:$L$8000,"&gt;="&amp;MAX(H$5,DATE(2000+VALUE(RIGHT(TRIM($A430),2)),1,1)),'Timesheet Raw'!$L$4:$L$8000,"&lt;="&amp;MIN(H$6,DATE(2000+VALUE(RIGHT(TRIM($A430),2)),12,31))),SUMIFS('Timesheet Raw'!$P$4:$P$8000,'Timesheet Raw'!$B$4:$B$8000,TRIM($A430),'Timesheet Raw'!$C$4:$C$8000,"*"&amp;$B430&amp;"*",'Timesheet Raw'!$L$4:$L$8000,"&gt;="&amp;H$5,'Timesheet Raw'!$L$4:$L$8000,"&lt;="&amp;H$6)))/'Profit Plan'!$B$5)</f>
        <v/>
      </c>
      <c r="I430" s="122" t="str">
        <f>IF($A430="","",(IF(ISNUMBER(SEARCH("Proposal",$A430)),SUMIFS('Timesheet Raw'!$P$4:$P$8000,'Timesheet Raw'!$A$4:$A$8000,IF(ISNUMBER(SEARCH("Chargable",$A430)),"2-Proposals Chargeable","3-Proposals Regular"),'Timesheet Raw'!$C$4:$C$8000,"*"&amp;$B430&amp;"*",'Timesheet Raw'!$L$4:$L$8000,"&gt;="&amp;MAX(I$5,DATE(2000+VALUE(RIGHT(TRIM($A430),2)),1,1)),'Timesheet Raw'!$L$4:$L$8000,"&lt;="&amp;MIN(I$6,DATE(2000+VALUE(RIGHT(TRIM($A430),2)),12,31))),SUMIFS('Timesheet Raw'!$P$4:$P$8000,'Timesheet Raw'!$B$4:$B$8000,TRIM($A430),'Timesheet Raw'!$C$4:$C$8000,"*"&amp;$B430&amp;"*",'Timesheet Raw'!$L$4:$L$8000,"&gt;="&amp;I$5,'Timesheet Raw'!$L$4:$L$8000,"&lt;="&amp;I$6)))/'Profit Plan'!$B$5)</f>
        <v/>
      </c>
      <c r="J430" s="122" t="str">
        <f>IF($A430="","",(IF(ISNUMBER(SEARCH("Proposal",$A430)),SUMIFS('Timesheet Raw'!$P$4:$P$8000,'Timesheet Raw'!$A$4:$A$8000,IF(ISNUMBER(SEARCH("Chargable",$A430)),"2-Proposals Chargeable","3-Proposals Regular"),'Timesheet Raw'!$C$4:$C$8000,"*"&amp;$B430&amp;"*",'Timesheet Raw'!$L$4:$L$8000,"&gt;="&amp;MAX(J$5,DATE(2000+VALUE(RIGHT(TRIM($A430),2)),1,1)),'Timesheet Raw'!$L$4:$L$8000,"&lt;="&amp;MIN(J$6,DATE(2000+VALUE(RIGHT(TRIM($A430),2)),12,31))),SUMIFS('Timesheet Raw'!$P$4:$P$8000,'Timesheet Raw'!$B$4:$B$8000,TRIM($A430),'Timesheet Raw'!$C$4:$C$8000,"*"&amp;$B430&amp;"*",'Timesheet Raw'!$L$4:$L$8000,"&gt;="&amp;J$5,'Timesheet Raw'!$L$4:$L$8000,"&lt;="&amp;J$6)))/'Profit Plan'!$B$5)</f>
        <v/>
      </c>
      <c r="K430" s="122" t="str">
        <f>IF($A430="","",(IF(ISNUMBER(SEARCH("Proposal",$A430)),SUMIFS('Timesheet Raw'!$P$4:$P$8000,'Timesheet Raw'!$A$4:$A$8000,IF(ISNUMBER(SEARCH("Chargable",$A430)),"2-Proposals Chargeable","3-Proposals Regular"),'Timesheet Raw'!$C$4:$C$8000,"*"&amp;$B430&amp;"*",'Timesheet Raw'!$L$4:$L$8000,"&gt;="&amp;MAX(K$5,DATE(2000+VALUE(RIGHT(TRIM($A430),2)),1,1)),'Timesheet Raw'!$L$4:$L$8000,"&lt;="&amp;MIN(K$6,DATE(2000+VALUE(RIGHT(TRIM($A430),2)),12,31))),SUMIFS('Timesheet Raw'!$P$4:$P$8000,'Timesheet Raw'!$B$4:$B$8000,TRIM($A430),'Timesheet Raw'!$C$4:$C$8000,"*"&amp;$B430&amp;"*",'Timesheet Raw'!$L$4:$L$8000,"&gt;="&amp;K$5,'Timesheet Raw'!$L$4:$L$8000,"&lt;="&amp;K$6)))/'Profit Plan'!$B$5)</f>
        <v/>
      </c>
      <c r="L430" s="122" t="str">
        <f>IF($A430="","",(IF(ISNUMBER(SEARCH("Proposal",$A430)),SUMIFS('Timesheet Raw'!$P$4:$P$8000,'Timesheet Raw'!$A$4:$A$8000,IF(ISNUMBER(SEARCH("Chargable",$A430)),"2-Proposals Chargeable","3-Proposals Regular"),'Timesheet Raw'!$C$4:$C$8000,"*"&amp;$B430&amp;"*",'Timesheet Raw'!$L$4:$L$8000,"&gt;="&amp;MAX(L$5,DATE(2000+VALUE(RIGHT(TRIM($A430),2)),1,1)),'Timesheet Raw'!$L$4:$L$8000,"&lt;="&amp;MIN(L$6,DATE(2000+VALUE(RIGHT(TRIM($A430),2)),12,31))),SUMIFS('Timesheet Raw'!$P$4:$P$8000,'Timesheet Raw'!$B$4:$B$8000,TRIM($A430),'Timesheet Raw'!$C$4:$C$8000,"*"&amp;$B430&amp;"*",'Timesheet Raw'!$L$4:$L$8000,"&gt;="&amp;L$5,'Timesheet Raw'!$L$4:$L$8000,"&lt;="&amp;L$6)))/'Profit Plan'!$B$5)</f>
        <v/>
      </c>
      <c r="M430" s="122" t="str">
        <f>IF($A430="","",(IF(ISNUMBER(SEARCH("Proposal",$A430)),SUMIFS('Timesheet Raw'!$P$4:$P$8000,'Timesheet Raw'!$A$4:$A$8000,IF(ISNUMBER(SEARCH("Chargable",$A430)),"2-Proposals Chargeable","3-Proposals Regular"),'Timesheet Raw'!$C$4:$C$8000,"*"&amp;$B430&amp;"*",'Timesheet Raw'!$L$4:$L$8000,"&gt;="&amp;MAX(M$5,DATE(2000+VALUE(RIGHT(TRIM($A430),2)),1,1)),'Timesheet Raw'!$L$4:$L$8000,"&lt;="&amp;MIN(M$6,DATE(2000+VALUE(RIGHT(TRIM($A430),2)),12,31))),SUMIFS('Timesheet Raw'!$P$4:$P$8000,'Timesheet Raw'!$B$4:$B$8000,TRIM($A430),'Timesheet Raw'!$C$4:$C$8000,"*"&amp;$B430&amp;"*",'Timesheet Raw'!$L$4:$L$8000,"&gt;="&amp;M$5,'Timesheet Raw'!$L$4:$L$8000,"&lt;="&amp;M$6)))/'Profit Plan'!$B$5)</f>
        <v/>
      </c>
      <c r="N430" s="122" t="str">
        <f>IF($A430="","",(IF(ISNUMBER(SEARCH("Proposal",$A430)),SUMIFS('Timesheet Raw'!$P$4:$P$8000,'Timesheet Raw'!$A$4:$A$8000,IF(ISNUMBER(SEARCH("Chargable",$A430)),"2-Proposals Chargeable","3-Proposals Regular"),'Timesheet Raw'!$C$4:$C$8000,"*"&amp;$B430&amp;"*",'Timesheet Raw'!$L$4:$L$8000,"&gt;="&amp;MAX(N$5,DATE(2000+VALUE(RIGHT(TRIM($A430),2)),1,1)),'Timesheet Raw'!$L$4:$L$8000,"&lt;="&amp;MIN(N$6,DATE(2000+VALUE(RIGHT(TRIM($A430),2)),12,31))),SUMIFS('Timesheet Raw'!$P$4:$P$8000,'Timesheet Raw'!$B$4:$B$8000,TRIM($A430),'Timesheet Raw'!$C$4:$C$8000,"*"&amp;$B430&amp;"*",'Timesheet Raw'!$L$4:$L$8000,"&gt;="&amp;N$5,'Timesheet Raw'!$L$4:$L$8000,"&lt;="&amp;N$6)))/'Profit Plan'!$B$5)</f>
        <v/>
      </c>
      <c r="O430" s="122" t="str">
        <f>IF($A430="","",(IF(ISNUMBER(SEARCH("Proposal",$A430)),SUMIFS('Timesheet Raw'!$P$4:$P$8000,'Timesheet Raw'!$A$4:$A$8000,IF(ISNUMBER(SEARCH("Chargable",$A430)),"2-Proposals Chargeable","3-Proposals Regular"),'Timesheet Raw'!$C$4:$C$8000,"*"&amp;$B430&amp;"*",'Timesheet Raw'!$L$4:$L$8000,"&gt;="&amp;MAX(O$5,DATE(2000+VALUE(RIGHT(TRIM($A430),2)),1,1)),'Timesheet Raw'!$L$4:$L$8000,"&lt;="&amp;MIN(O$6,DATE(2000+VALUE(RIGHT(TRIM($A430),2)),12,31))),SUMIFS('Timesheet Raw'!$P$4:$P$8000,'Timesheet Raw'!$B$4:$B$8000,TRIM($A430),'Timesheet Raw'!$C$4:$C$8000,"*"&amp;$B430&amp;"*",'Timesheet Raw'!$L$4:$L$8000,"&gt;="&amp;O$5,'Timesheet Raw'!$L$4:$L$8000,"&lt;="&amp;O$6)))/'Profit Plan'!$B$5)</f>
        <v/>
      </c>
      <c r="P430" s="122" t="str">
        <f>IF($A430="","",(IF(ISNUMBER(SEARCH("Proposal",$A430)),SUMIFS('Timesheet Raw'!$P$4:$P$8000,'Timesheet Raw'!$A$4:$A$8000,IF(ISNUMBER(SEARCH("Chargable",$A430)),"2-Proposals Chargeable","3-Proposals Regular"),'Timesheet Raw'!$C$4:$C$8000,"*"&amp;$B430&amp;"*",'Timesheet Raw'!$L$4:$L$8000,"&gt;="&amp;MAX(P$5,DATE(2000+VALUE(RIGHT(TRIM($A430),2)),1,1)),'Timesheet Raw'!$L$4:$L$8000,"&lt;="&amp;MIN(P$6,DATE(2000+VALUE(RIGHT(TRIM($A430),2)),12,31))),SUMIFS('Timesheet Raw'!$P$4:$P$8000,'Timesheet Raw'!$B$4:$B$8000,TRIM($A430),'Timesheet Raw'!$C$4:$C$8000,"*"&amp;$B430&amp;"*",'Timesheet Raw'!$L$4:$L$8000,"&gt;="&amp;P$5,'Timesheet Raw'!$L$4:$L$8000,"&lt;="&amp;P$6)))/'Profit Plan'!$B$5)</f>
        <v/>
      </c>
      <c r="Q430" s="122" t="str">
        <f>IF($A430="","",(IF(ISNUMBER(SEARCH("Proposal",$A430)),SUMIFS('Timesheet Raw'!$P$4:$P$8000,'Timesheet Raw'!$A$4:$A$8000,IF(ISNUMBER(SEARCH("Chargable",$A430)),"2-Proposals Chargeable","3-Proposals Regular"),'Timesheet Raw'!$C$4:$C$8000,"*"&amp;$B430&amp;"*",'Timesheet Raw'!$L$4:$L$8000,"&gt;="&amp;MAX(Q$5,DATE(2000+VALUE(RIGHT(TRIM($A430),2)),1,1)),'Timesheet Raw'!$L$4:$L$8000,"&lt;="&amp;MIN(Q$6,DATE(2000+VALUE(RIGHT(TRIM($A430),2)),12,31))),SUMIFS('Timesheet Raw'!$P$4:$P$8000,'Timesheet Raw'!$B$4:$B$8000,TRIM($A430),'Timesheet Raw'!$C$4:$C$8000,"*"&amp;$B430&amp;"*",'Timesheet Raw'!$L$4:$L$8000,"&gt;="&amp;Q$5,'Timesheet Raw'!$L$4:$L$8000,"&lt;="&amp;Q$6)))/'Profit Plan'!$B$5)</f>
        <v/>
      </c>
      <c r="R430" s="122" t="str">
        <f>IF($A430="","",(IF(ISNUMBER(SEARCH("Proposal",$A430)),SUMIFS('Timesheet Raw'!$P$4:$P$8000,'Timesheet Raw'!$A$4:$A$8000,IF(ISNUMBER(SEARCH("Chargable",$A430)),"2-Proposals Chargeable","3-Proposals Regular"),'Timesheet Raw'!$C$4:$C$8000,"*"&amp;$B430&amp;"*",'Timesheet Raw'!$L$4:$L$8000,"&gt;="&amp;MAX(R$5,DATE(2000+VALUE(RIGHT(TRIM($A430),2)),1,1)),'Timesheet Raw'!$L$4:$L$8000,"&lt;="&amp;MIN(R$6,DATE(2000+VALUE(RIGHT(TRIM($A430),2)),12,31))),SUMIFS('Timesheet Raw'!$P$4:$P$8000,'Timesheet Raw'!$B$4:$B$8000,TRIM($A430),'Timesheet Raw'!$C$4:$C$8000,"*"&amp;$B430&amp;"*",'Timesheet Raw'!$L$4:$L$8000,"&gt;="&amp;R$5,'Timesheet Raw'!$L$4:$L$8000,"&lt;="&amp;R$6)))/'Profit Plan'!$B$5)</f>
        <v/>
      </c>
      <c r="S430" s="122" t="str">
        <f>IF($A430="","",(IF(ISNUMBER(SEARCH("Proposal",$A430)),SUMIFS('Timesheet Raw'!$P$4:$P$8000,'Timesheet Raw'!$A$4:$A$8000,IF(ISNUMBER(SEARCH("Chargable",$A430)),"2-Proposals Chargeable","3-Proposals Regular"),'Timesheet Raw'!$C$4:$C$8000,"*"&amp;$B430&amp;"*",'Timesheet Raw'!$L$4:$L$8000,"&gt;="&amp;MAX(S$5,DATE(2000+VALUE(RIGHT(TRIM($A430),2)),1,1)),'Timesheet Raw'!$L$4:$L$8000,"&lt;="&amp;MIN(S$6,DATE(2000+VALUE(RIGHT(TRIM($A430),2)),12,31))),SUMIFS('Timesheet Raw'!$P$4:$P$8000,'Timesheet Raw'!$B$4:$B$8000,TRIM($A430),'Timesheet Raw'!$C$4:$C$8000,"*"&amp;$B430&amp;"*",'Timesheet Raw'!$L$4:$L$8000,"&gt;="&amp;S$5,'Timesheet Raw'!$L$4:$L$8000,"&lt;="&amp;S$6)))/'Profit Plan'!$B$5)</f>
        <v/>
      </c>
      <c r="T430" s="122" t="str">
        <f>IF($A430="","",(IF(ISNUMBER(SEARCH("Proposal",$A430)),SUMIFS('Timesheet Raw'!$P$4:$P$8000,'Timesheet Raw'!$A$4:$A$8000,IF(ISNUMBER(SEARCH("Chargable",$A430)),"2-Proposals Chargeable","3-Proposals Regular"),'Timesheet Raw'!$C$4:$C$8000,"*"&amp;$B430&amp;"*",'Timesheet Raw'!$L$4:$L$8000,"&gt;="&amp;MAX(T$5,DATE(2000+VALUE(RIGHT(TRIM($A430),2)),1,1)),'Timesheet Raw'!$L$4:$L$8000,"&lt;="&amp;MIN(T$6,DATE(2000+VALUE(RIGHT(TRIM($A430),2)),12,31))),SUMIFS('Timesheet Raw'!$P$4:$P$8000,'Timesheet Raw'!$B$4:$B$8000,TRIM($A430),'Timesheet Raw'!$C$4:$C$8000,"*"&amp;$B430&amp;"*",'Timesheet Raw'!$L$4:$L$8000,"&gt;="&amp;T$5,'Timesheet Raw'!$L$4:$L$8000,"&lt;="&amp;T$6)))/'Profit Plan'!$B$5)</f>
        <v/>
      </c>
      <c r="U430" s="122" t="str">
        <f>IF($A430="","",(IF(ISNUMBER(SEARCH("Proposal",$A430)),SUMIFS('Timesheet Raw'!$P$4:$P$8000,'Timesheet Raw'!$A$4:$A$8000,IF(ISNUMBER(SEARCH("Chargable",$A430)),"2-Proposals Chargeable","3-Proposals Regular"),'Timesheet Raw'!$C$4:$C$8000,"*"&amp;$B430&amp;"*",'Timesheet Raw'!$L$4:$L$8000,"&gt;="&amp;MAX(U$5,DATE(2000+VALUE(RIGHT(TRIM($A430),2)),1,1)),'Timesheet Raw'!$L$4:$L$8000,"&lt;="&amp;MIN(U$6,DATE(2000+VALUE(RIGHT(TRIM($A430),2)),12,31))),SUMIFS('Timesheet Raw'!$P$4:$P$8000,'Timesheet Raw'!$B$4:$B$8000,TRIM($A430),'Timesheet Raw'!$C$4:$C$8000,"*"&amp;$B430&amp;"*",'Timesheet Raw'!$L$4:$L$8000,"&gt;="&amp;U$5,'Timesheet Raw'!$L$4:$L$8000,"&lt;="&amp;U$6)))/'Profit Plan'!$B$5)</f>
        <v/>
      </c>
      <c r="V430" s="122" t="str">
        <f>IF($A430="","",(IF(ISNUMBER(SEARCH("Proposal",$A430)),SUMIFS('Timesheet Raw'!$P$4:$P$8000,'Timesheet Raw'!$A$4:$A$8000,IF(ISNUMBER(SEARCH("Chargable",$A430)),"2-Proposals Chargeable","3-Proposals Regular"),'Timesheet Raw'!$C$4:$C$8000,"*"&amp;$B430&amp;"*",'Timesheet Raw'!$L$4:$L$8000,"&gt;="&amp;MAX(V$5,DATE(2000+VALUE(RIGHT(TRIM($A430),2)),1,1)),'Timesheet Raw'!$L$4:$L$8000,"&lt;="&amp;MIN(V$6,DATE(2000+VALUE(RIGHT(TRIM($A430),2)),12,31))),SUMIFS('Timesheet Raw'!$P$4:$P$8000,'Timesheet Raw'!$B$4:$B$8000,TRIM($A430),'Timesheet Raw'!$C$4:$C$8000,"*"&amp;$B430&amp;"*",'Timesheet Raw'!$L$4:$L$8000,"&gt;="&amp;V$5,'Timesheet Raw'!$L$4:$L$8000,"&lt;="&amp;V$6)))/'Profit Plan'!$B$5)</f>
        <v/>
      </c>
      <c r="W430" s="122" t="str">
        <f>IF($A430="","",(IF(ISNUMBER(SEARCH("Proposal",$A430)),SUMIFS('Timesheet Raw'!$P$4:$P$8000,'Timesheet Raw'!$A$4:$A$8000,IF(ISNUMBER(SEARCH("Chargable",$A430)),"2-Proposals Chargeable","3-Proposals Regular"),'Timesheet Raw'!$C$4:$C$8000,"*"&amp;$B430&amp;"*",'Timesheet Raw'!$L$4:$L$8000,"&gt;="&amp;MAX(W$5,DATE(2000+VALUE(RIGHT(TRIM($A430),2)),1,1)),'Timesheet Raw'!$L$4:$L$8000,"&lt;="&amp;MIN(W$6,DATE(2000+VALUE(RIGHT(TRIM($A430),2)),12,31))),SUMIFS('Timesheet Raw'!$P$4:$P$8000,'Timesheet Raw'!$B$4:$B$8000,TRIM($A430),'Timesheet Raw'!$C$4:$C$8000,"*"&amp;$B430&amp;"*",'Timesheet Raw'!$L$4:$L$8000,"&gt;="&amp;W$5,'Timesheet Raw'!$L$4:$L$8000,"&lt;="&amp;W$6)))/'Profit Plan'!$B$5)</f>
        <v/>
      </c>
      <c r="X430" s="122" t="str">
        <f>IF($A430="","",(IF(ISNUMBER(SEARCH("Proposal",$A430)),SUMIFS('Timesheet Raw'!$P$4:$P$8000,'Timesheet Raw'!$A$4:$A$8000,IF(ISNUMBER(SEARCH("Chargable",$A430)),"2-Proposals Chargeable","3-Proposals Regular"),'Timesheet Raw'!$C$4:$C$8000,"*"&amp;$B430&amp;"*",'Timesheet Raw'!$L$4:$L$8000,"&gt;="&amp;MAX(X$5,DATE(2000+VALUE(RIGHT(TRIM($A430),2)),1,1)),'Timesheet Raw'!$L$4:$L$8000,"&lt;="&amp;MIN(X$6,DATE(2000+VALUE(RIGHT(TRIM($A430),2)),12,31))),SUMIFS('Timesheet Raw'!$P$4:$P$8000,'Timesheet Raw'!$B$4:$B$8000,TRIM($A430),'Timesheet Raw'!$C$4:$C$8000,"*"&amp;$B430&amp;"*",'Timesheet Raw'!$L$4:$L$8000,"&gt;="&amp;X$5,'Timesheet Raw'!$L$4:$L$8000,"&lt;="&amp;X$6)))/'Profit Plan'!$B$5)</f>
        <v/>
      </c>
      <c r="Y430" s="118">
        <f t="shared" si="102"/>
        <v>0</v>
      </c>
    </row>
    <row r="431" spans="1:25" x14ac:dyDescent="0.3">
      <c r="A431" s="116" t="str">
        <f>IF(Inputs!$A61="","",Inputs!$A61)</f>
        <v/>
      </c>
      <c r="B431" s="116" t="str">
        <f>IF(Inputs!$A61="","",Inputs!$A$92)</f>
        <v/>
      </c>
      <c r="C431" s="116"/>
      <c r="D431" s="122" t="str">
        <f>IF($A431="","",(IF(ISNUMBER(SEARCH("Proposal",$A431)),SUMIFS('Timesheet Raw'!$P$4:$P$8000,'Timesheet Raw'!$A$4:$A$8000,IF(ISNUMBER(SEARCH("Chargable",$A431)),"2-Proposals Chargeable","3-Proposals Regular"),'Timesheet Raw'!$C$4:$C$8000,"*"&amp;$B431&amp;"*",'Timesheet Raw'!$L$4:$L$8000,"&gt;="&amp;MAX(D$5,DATE(2000+VALUE(RIGHT(TRIM($A431),2)),1,1)),'Timesheet Raw'!$L$4:$L$8000,"&lt;="&amp;MIN(D$6,DATE(2000+VALUE(RIGHT(TRIM($A431),2)),12,31))),SUMIFS('Timesheet Raw'!$P$4:$P$8000,'Timesheet Raw'!$B$4:$B$8000,TRIM($A431),'Timesheet Raw'!$C$4:$C$8000,"*"&amp;$B431&amp;"*",'Timesheet Raw'!$L$4:$L$8000,"&gt;="&amp;D$5,'Timesheet Raw'!$L$4:$L$8000,"&lt;="&amp;D$6)))/'Profit Plan'!$B$5)</f>
        <v/>
      </c>
      <c r="E431" s="122" t="str">
        <f>IF($A431="","",(IF(ISNUMBER(SEARCH("Proposal",$A431)),SUMIFS('Timesheet Raw'!$P$4:$P$8000,'Timesheet Raw'!$A$4:$A$8000,IF(ISNUMBER(SEARCH("Chargable",$A431)),"2-Proposals Chargeable","3-Proposals Regular"),'Timesheet Raw'!$C$4:$C$8000,"*"&amp;$B431&amp;"*",'Timesheet Raw'!$L$4:$L$8000,"&gt;="&amp;MAX(E$5,DATE(2000+VALUE(RIGHT(TRIM($A431),2)),1,1)),'Timesheet Raw'!$L$4:$L$8000,"&lt;="&amp;MIN(E$6,DATE(2000+VALUE(RIGHT(TRIM($A431),2)),12,31))),SUMIFS('Timesheet Raw'!$P$4:$P$8000,'Timesheet Raw'!$B$4:$B$8000,TRIM($A431),'Timesheet Raw'!$C$4:$C$8000,"*"&amp;$B431&amp;"*",'Timesheet Raw'!$L$4:$L$8000,"&gt;="&amp;E$5,'Timesheet Raw'!$L$4:$L$8000,"&lt;="&amp;E$6)))/'Profit Plan'!$B$5)</f>
        <v/>
      </c>
      <c r="F431" s="122" t="str">
        <f>IF($A431="","",(IF(ISNUMBER(SEARCH("Proposal",$A431)),SUMIFS('Timesheet Raw'!$P$4:$P$8000,'Timesheet Raw'!$A$4:$A$8000,IF(ISNUMBER(SEARCH("Chargable",$A431)),"2-Proposals Chargeable","3-Proposals Regular"),'Timesheet Raw'!$C$4:$C$8000,"*"&amp;$B431&amp;"*",'Timesheet Raw'!$L$4:$L$8000,"&gt;="&amp;MAX(F$5,DATE(2000+VALUE(RIGHT(TRIM($A431),2)),1,1)),'Timesheet Raw'!$L$4:$L$8000,"&lt;="&amp;MIN(F$6,DATE(2000+VALUE(RIGHT(TRIM($A431),2)),12,31))),SUMIFS('Timesheet Raw'!$P$4:$P$8000,'Timesheet Raw'!$B$4:$B$8000,TRIM($A431),'Timesheet Raw'!$C$4:$C$8000,"*"&amp;$B431&amp;"*",'Timesheet Raw'!$L$4:$L$8000,"&gt;="&amp;F$5,'Timesheet Raw'!$L$4:$L$8000,"&lt;="&amp;F$6)))/'Profit Plan'!$B$5)</f>
        <v/>
      </c>
      <c r="G431" s="122" t="str">
        <f>IF($A431="","",(IF(ISNUMBER(SEARCH("Proposal",$A431)),SUMIFS('Timesheet Raw'!$P$4:$P$8000,'Timesheet Raw'!$A$4:$A$8000,IF(ISNUMBER(SEARCH("Chargable",$A431)),"2-Proposals Chargeable","3-Proposals Regular"),'Timesheet Raw'!$C$4:$C$8000,"*"&amp;$B431&amp;"*",'Timesheet Raw'!$L$4:$L$8000,"&gt;="&amp;MAX(G$5,DATE(2000+VALUE(RIGHT(TRIM($A431),2)),1,1)),'Timesheet Raw'!$L$4:$L$8000,"&lt;="&amp;MIN(G$6,DATE(2000+VALUE(RIGHT(TRIM($A431),2)),12,31))),SUMIFS('Timesheet Raw'!$P$4:$P$8000,'Timesheet Raw'!$B$4:$B$8000,TRIM($A431),'Timesheet Raw'!$C$4:$C$8000,"*"&amp;$B431&amp;"*",'Timesheet Raw'!$L$4:$L$8000,"&gt;="&amp;G$5,'Timesheet Raw'!$L$4:$L$8000,"&lt;="&amp;G$6)))/'Profit Plan'!$B$5)</f>
        <v/>
      </c>
      <c r="H431" s="122" t="str">
        <f>IF($A431="","",(IF(ISNUMBER(SEARCH("Proposal",$A431)),SUMIFS('Timesheet Raw'!$P$4:$P$8000,'Timesheet Raw'!$A$4:$A$8000,IF(ISNUMBER(SEARCH("Chargable",$A431)),"2-Proposals Chargeable","3-Proposals Regular"),'Timesheet Raw'!$C$4:$C$8000,"*"&amp;$B431&amp;"*",'Timesheet Raw'!$L$4:$L$8000,"&gt;="&amp;MAX(H$5,DATE(2000+VALUE(RIGHT(TRIM($A431),2)),1,1)),'Timesheet Raw'!$L$4:$L$8000,"&lt;="&amp;MIN(H$6,DATE(2000+VALUE(RIGHT(TRIM($A431),2)),12,31))),SUMIFS('Timesheet Raw'!$P$4:$P$8000,'Timesheet Raw'!$B$4:$B$8000,TRIM($A431),'Timesheet Raw'!$C$4:$C$8000,"*"&amp;$B431&amp;"*",'Timesheet Raw'!$L$4:$L$8000,"&gt;="&amp;H$5,'Timesheet Raw'!$L$4:$L$8000,"&lt;="&amp;H$6)))/'Profit Plan'!$B$5)</f>
        <v/>
      </c>
      <c r="I431" s="122" t="str">
        <f>IF($A431="","",(IF(ISNUMBER(SEARCH("Proposal",$A431)),SUMIFS('Timesheet Raw'!$P$4:$P$8000,'Timesheet Raw'!$A$4:$A$8000,IF(ISNUMBER(SEARCH("Chargable",$A431)),"2-Proposals Chargeable","3-Proposals Regular"),'Timesheet Raw'!$C$4:$C$8000,"*"&amp;$B431&amp;"*",'Timesheet Raw'!$L$4:$L$8000,"&gt;="&amp;MAX(I$5,DATE(2000+VALUE(RIGHT(TRIM($A431),2)),1,1)),'Timesheet Raw'!$L$4:$L$8000,"&lt;="&amp;MIN(I$6,DATE(2000+VALUE(RIGHT(TRIM($A431),2)),12,31))),SUMIFS('Timesheet Raw'!$P$4:$P$8000,'Timesheet Raw'!$B$4:$B$8000,TRIM($A431),'Timesheet Raw'!$C$4:$C$8000,"*"&amp;$B431&amp;"*",'Timesheet Raw'!$L$4:$L$8000,"&gt;="&amp;I$5,'Timesheet Raw'!$L$4:$L$8000,"&lt;="&amp;I$6)))/'Profit Plan'!$B$5)</f>
        <v/>
      </c>
      <c r="J431" s="122" t="str">
        <f>IF($A431="","",(IF(ISNUMBER(SEARCH("Proposal",$A431)),SUMIFS('Timesheet Raw'!$P$4:$P$8000,'Timesheet Raw'!$A$4:$A$8000,IF(ISNUMBER(SEARCH("Chargable",$A431)),"2-Proposals Chargeable","3-Proposals Regular"),'Timesheet Raw'!$C$4:$C$8000,"*"&amp;$B431&amp;"*",'Timesheet Raw'!$L$4:$L$8000,"&gt;="&amp;MAX(J$5,DATE(2000+VALUE(RIGHT(TRIM($A431),2)),1,1)),'Timesheet Raw'!$L$4:$L$8000,"&lt;="&amp;MIN(J$6,DATE(2000+VALUE(RIGHT(TRIM($A431),2)),12,31))),SUMIFS('Timesheet Raw'!$P$4:$P$8000,'Timesheet Raw'!$B$4:$B$8000,TRIM($A431),'Timesheet Raw'!$C$4:$C$8000,"*"&amp;$B431&amp;"*",'Timesheet Raw'!$L$4:$L$8000,"&gt;="&amp;J$5,'Timesheet Raw'!$L$4:$L$8000,"&lt;="&amp;J$6)))/'Profit Plan'!$B$5)</f>
        <v/>
      </c>
      <c r="K431" s="122" t="str">
        <f>IF($A431="","",(IF(ISNUMBER(SEARCH("Proposal",$A431)),SUMIFS('Timesheet Raw'!$P$4:$P$8000,'Timesheet Raw'!$A$4:$A$8000,IF(ISNUMBER(SEARCH("Chargable",$A431)),"2-Proposals Chargeable","3-Proposals Regular"),'Timesheet Raw'!$C$4:$C$8000,"*"&amp;$B431&amp;"*",'Timesheet Raw'!$L$4:$L$8000,"&gt;="&amp;MAX(K$5,DATE(2000+VALUE(RIGHT(TRIM($A431),2)),1,1)),'Timesheet Raw'!$L$4:$L$8000,"&lt;="&amp;MIN(K$6,DATE(2000+VALUE(RIGHT(TRIM($A431),2)),12,31))),SUMIFS('Timesheet Raw'!$P$4:$P$8000,'Timesheet Raw'!$B$4:$B$8000,TRIM($A431),'Timesheet Raw'!$C$4:$C$8000,"*"&amp;$B431&amp;"*",'Timesheet Raw'!$L$4:$L$8000,"&gt;="&amp;K$5,'Timesheet Raw'!$L$4:$L$8000,"&lt;="&amp;K$6)))/'Profit Plan'!$B$5)</f>
        <v/>
      </c>
      <c r="L431" s="122" t="str">
        <f>IF($A431="","",(IF(ISNUMBER(SEARCH("Proposal",$A431)),SUMIFS('Timesheet Raw'!$P$4:$P$8000,'Timesheet Raw'!$A$4:$A$8000,IF(ISNUMBER(SEARCH("Chargable",$A431)),"2-Proposals Chargeable","3-Proposals Regular"),'Timesheet Raw'!$C$4:$C$8000,"*"&amp;$B431&amp;"*",'Timesheet Raw'!$L$4:$L$8000,"&gt;="&amp;MAX(L$5,DATE(2000+VALUE(RIGHT(TRIM($A431),2)),1,1)),'Timesheet Raw'!$L$4:$L$8000,"&lt;="&amp;MIN(L$6,DATE(2000+VALUE(RIGHT(TRIM($A431),2)),12,31))),SUMIFS('Timesheet Raw'!$P$4:$P$8000,'Timesheet Raw'!$B$4:$B$8000,TRIM($A431),'Timesheet Raw'!$C$4:$C$8000,"*"&amp;$B431&amp;"*",'Timesheet Raw'!$L$4:$L$8000,"&gt;="&amp;L$5,'Timesheet Raw'!$L$4:$L$8000,"&lt;="&amp;L$6)))/'Profit Plan'!$B$5)</f>
        <v/>
      </c>
      <c r="M431" s="122" t="str">
        <f>IF($A431="","",(IF(ISNUMBER(SEARCH("Proposal",$A431)),SUMIFS('Timesheet Raw'!$P$4:$P$8000,'Timesheet Raw'!$A$4:$A$8000,IF(ISNUMBER(SEARCH("Chargable",$A431)),"2-Proposals Chargeable","3-Proposals Regular"),'Timesheet Raw'!$C$4:$C$8000,"*"&amp;$B431&amp;"*",'Timesheet Raw'!$L$4:$L$8000,"&gt;="&amp;MAX(M$5,DATE(2000+VALUE(RIGHT(TRIM($A431),2)),1,1)),'Timesheet Raw'!$L$4:$L$8000,"&lt;="&amp;MIN(M$6,DATE(2000+VALUE(RIGHT(TRIM($A431),2)),12,31))),SUMIFS('Timesheet Raw'!$P$4:$P$8000,'Timesheet Raw'!$B$4:$B$8000,TRIM($A431),'Timesheet Raw'!$C$4:$C$8000,"*"&amp;$B431&amp;"*",'Timesheet Raw'!$L$4:$L$8000,"&gt;="&amp;M$5,'Timesheet Raw'!$L$4:$L$8000,"&lt;="&amp;M$6)))/'Profit Plan'!$B$5)</f>
        <v/>
      </c>
      <c r="N431" s="122" t="str">
        <f>IF($A431="","",(IF(ISNUMBER(SEARCH("Proposal",$A431)),SUMIFS('Timesheet Raw'!$P$4:$P$8000,'Timesheet Raw'!$A$4:$A$8000,IF(ISNUMBER(SEARCH("Chargable",$A431)),"2-Proposals Chargeable","3-Proposals Regular"),'Timesheet Raw'!$C$4:$C$8000,"*"&amp;$B431&amp;"*",'Timesheet Raw'!$L$4:$L$8000,"&gt;="&amp;MAX(N$5,DATE(2000+VALUE(RIGHT(TRIM($A431),2)),1,1)),'Timesheet Raw'!$L$4:$L$8000,"&lt;="&amp;MIN(N$6,DATE(2000+VALUE(RIGHT(TRIM($A431),2)),12,31))),SUMIFS('Timesheet Raw'!$P$4:$P$8000,'Timesheet Raw'!$B$4:$B$8000,TRIM($A431),'Timesheet Raw'!$C$4:$C$8000,"*"&amp;$B431&amp;"*",'Timesheet Raw'!$L$4:$L$8000,"&gt;="&amp;N$5,'Timesheet Raw'!$L$4:$L$8000,"&lt;="&amp;N$6)))/'Profit Plan'!$B$5)</f>
        <v/>
      </c>
      <c r="O431" s="122" t="str">
        <f>IF($A431="","",(IF(ISNUMBER(SEARCH("Proposal",$A431)),SUMIFS('Timesheet Raw'!$P$4:$P$8000,'Timesheet Raw'!$A$4:$A$8000,IF(ISNUMBER(SEARCH("Chargable",$A431)),"2-Proposals Chargeable","3-Proposals Regular"),'Timesheet Raw'!$C$4:$C$8000,"*"&amp;$B431&amp;"*",'Timesheet Raw'!$L$4:$L$8000,"&gt;="&amp;MAX(O$5,DATE(2000+VALUE(RIGHT(TRIM($A431),2)),1,1)),'Timesheet Raw'!$L$4:$L$8000,"&lt;="&amp;MIN(O$6,DATE(2000+VALUE(RIGHT(TRIM($A431),2)),12,31))),SUMIFS('Timesheet Raw'!$P$4:$P$8000,'Timesheet Raw'!$B$4:$B$8000,TRIM($A431),'Timesheet Raw'!$C$4:$C$8000,"*"&amp;$B431&amp;"*",'Timesheet Raw'!$L$4:$L$8000,"&gt;="&amp;O$5,'Timesheet Raw'!$L$4:$L$8000,"&lt;="&amp;O$6)))/'Profit Plan'!$B$5)</f>
        <v/>
      </c>
      <c r="P431" s="122" t="str">
        <f>IF($A431="","",(IF(ISNUMBER(SEARCH("Proposal",$A431)),SUMIFS('Timesheet Raw'!$P$4:$P$8000,'Timesheet Raw'!$A$4:$A$8000,IF(ISNUMBER(SEARCH("Chargable",$A431)),"2-Proposals Chargeable","3-Proposals Regular"),'Timesheet Raw'!$C$4:$C$8000,"*"&amp;$B431&amp;"*",'Timesheet Raw'!$L$4:$L$8000,"&gt;="&amp;MAX(P$5,DATE(2000+VALUE(RIGHT(TRIM($A431),2)),1,1)),'Timesheet Raw'!$L$4:$L$8000,"&lt;="&amp;MIN(P$6,DATE(2000+VALUE(RIGHT(TRIM($A431),2)),12,31))),SUMIFS('Timesheet Raw'!$P$4:$P$8000,'Timesheet Raw'!$B$4:$B$8000,TRIM($A431),'Timesheet Raw'!$C$4:$C$8000,"*"&amp;$B431&amp;"*",'Timesheet Raw'!$L$4:$L$8000,"&gt;="&amp;P$5,'Timesheet Raw'!$L$4:$L$8000,"&lt;="&amp;P$6)))/'Profit Plan'!$B$5)</f>
        <v/>
      </c>
      <c r="Q431" s="122" t="str">
        <f>IF($A431="","",(IF(ISNUMBER(SEARCH("Proposal",$A431)),SUMIFS('Timesheet Raw'!$P$4:$P$8000,'Timesheet Raw'!$A$4:$A$8000,IF(ISNUMBER(SEARCH("Chargable",$A431)),"2-Proposals Chargeable","3-Proposals Regular"),'Timesheet Raw'!$C$4:$C$8000,"*"&amp;$B431&amp;"*",'Timesheet Raw'!$L$4:$L$8000,"&gt;="&amp;MAX(Q$5,DATE(2000+VALUE(RIGHT(TRIM($A431),2)),1,1)),'Timesheet Raw'!$L$4:$L$8000,"&lt;="&amp;MIN(Q$6,DATE(2000+VALUE(RIGHT(TRIM($A431),2)),12,31))),SUMIFS('Timesheet Raw'!$P$4:$P$8000,'Timesheet Raw'!$B$4:$B$8000,TRIM($A431),'Timesheet Raw'!$C$4:$C$8000,"*"&amp;$B431&amp;"*",'Timesheet Raw'!$L$4:$L$8000,"&gt;="&amp;Q$5,'Timesheet Raw'!$L$4:$L$8000,"&lt;="&amp;Q$6)))/'Profit Plan'!$B$5)</f>
        <v/>
      </c>
      <c r="R431" s="122" t="str">
        <f>IF($A431="","",(IF(ISNUMBER(SEARCH("Proposal",$A431)),SUMIFS('Timesheet Raw'!$P$4:$P$8000,'Timesheet Raw'!$A$4:$A$8000,IF(ISNUMBER(SEARCH("Chargable",$A431)),"2-Proposals Chargeable","3-Proposals Regular"),'Timesheet Raw'!$C$4:$C$8000,"*"&amp;$B431&amp;"*",'Timesheet Raw'!$L$4:$L$8000,"&gt;="&amp;MAX(R$5,DATE(2000+VALUE(RIGHT(TRIM($A431),2)),1,1)),'Timesheet Raw'!$L$4:$L$8000,"&lt;="&amp;MIN(R$6,DATE(2000+VALUE(RIGHT(TRIM($A431),2)),12,31))),SUMIFS('Timesheet Raw'!$P$4:$P$8000,'Timesheet Raw'!$B$4:$B$8000,TRIM($A431),'Timesheet Raw'!$C$4:$C$8000,"*"&amp;$B431&amp;"*",'Timesheet Raw'!$L$4:$L$8000,"&gt;="&amp;R$5,'Timesheet Raw'!$L$4:$L$8000,"&lt;="&amp;R$6)))/'Profit Plan'!$B$5)</f>
        <v/>
      </c>
      <c r="S431" s="122" t="str">
        <f>IF($A431="","",(IF(ISNUMBER(SEARCH("Proposal",$A431)),SUMIFS('Timesheet Raw'!$P$4:$P$8000,'Timesheet Raw'!$A$4:$A$8000,IF(ISNUMBER(SEARCH("Chargable",$A431)),"2-Proposals Chargeable","3-Proposals Regular"),'Timesheet Raw'!$C$4:$C$8000,"*"&amp;$B431&amp;"*",'Timesheet Raw'!$L$4:$L$8000,"&gt;="&amp;MAX(S$5,DATE(2000+VALUE(RIGHT(TRIM($A431),2)),1,1)),'Timesheet Raw'!$L$4:$L$8000,"&lt;="&amp;MIN(S$6,DATE(2000+VALUE(RIGHT(TRIM($A431),2)),12,31))),SUMIFS('Timesheet Raw'!$P$4:$P$8000,'Timesheet Raw'!$B$4:$B$8000,TRIM($A431),'Timesheet Raw'!$C$4:$C$8000,"*"&amp;$B431&amp;"*",'Timesheet Raw'!$L$4:$L$8000,"&gt;="&amp;S$5,'Timesheet Raw'!$L$4:$L$8000,"&lt;="&amp;S$6)))/'Profit Plan'!$B$5)</f>
        <v/>
      </c>
      <c r="T431" s="122" t="str">
        <f>IF($A431="","",(IF(ISNUMBER(SEARCH("Proposal",$A431)),SUMIFS('Timesheet Raw'!$P$4:$P$8000,'Timesheet Raw'!$A$4:$A$8000,IF(ISNUMBER(SEARCH("Chargable",$A431)),"2-Proposals Chargeable","3-Proposals Regular"),'Timesheet Raw'!$C$4:$C$8000,"*"&amp;$B431&amp;"*",'Timesheet Raw'!$L$4:$L$8000,"&gt;="&amp;MAX(T$5,DATE(2000+VALUE(RIGHT(TRIM($A431),2)),1,1)),'Timesheet Raw'!$L$4:$L$8000,"&lt;="&amp;MIN(T$6,DATE(2000+VALUE(RIGHT(TRIM($A431),2)),12,31))),SUMIFS('Timesheet Raw'!$P$4:$P$8000,'Timesheet Raw'!$B$4:$B$8000,TRIM($A431),'Timesheet Raw'!$C$4:$C$8000,"*"&amp;$B431&amp;"*",'Timesheet Raw'!$L$4:$L$8000,"&gt;="&amp;T$5,'Timesheet Raw'!$L$4:$L$8000,"&lt;="&amp;T$6)))/'Profit Plan'!$B$5)</f>
        <v/>
      </c>
      <c r="U431" s="122" t="str">
        <f>IF($A431="","",(IF(ISNUMBER(SEARCH("Proposal",$A431)),SUMIFS('Timesheet Raw'!$P$4:$P$8000,'Timesheet Raw'!$A$4:$A$8000,IF(ISNUMBER(SEARCH("Chargable",$A431)),"2-Proposals Chargeable","3-Proposals Regular"),'Timesheet Raw'!$C$4:$C$8000,"*"&amp;$B431&amp;"*",'Timesheet Raw'!$L$4:$L$8000,"&gt;="&amp;MAX(U$5,DATE(2000+VALUE(RIGHT(TRIM($A431),2)),1,1)),'Timesheet Raw'!$L$4:$L$8000,"&lt;="&amp;MIN(U$6,DATE(2000+VALUE(RIGHT(TRIM($A431),2)),12,31))),SUMIFS('Timesheet Raw'!$P$4:$P$8000,'Timesheet Raw'!$B$4:$B$8000,TRIM($A431),'Timesheet Raw'!$C$4:$C$8000,"*"&amp;$B431&amp;"*",'Timesheet Raw'!$L$4:$L$8000,"&gt;="&amp;U$5,'Timesheet Raw'!$L$4:$L$8000,"&lt;="&amp;U$6)))/'Profit Plan'!$B$5)</f>
        <v/>
      </c>
      <c r="V431" s="122" t="str">
        <f>IF($A431="","",(IF(ISNUMBER(SEARCH("Proposal",$A431)),SUMIFS('Timesheet Raw'!$P$4:$P$8000,'Timesheet Raw'!$A$4:$A$8000,IF(ISNUMBER(SEARCH("Chargable",$A431)),"2-Proposals Chargeable","3-Proposals Regular"),'Timesheet Raw'!$C$4:$C$8000,"*"&amp;$B431&amp;"*",'Timesheet Raw'!$L$4:$L$8000,"&gt;="&amp;MAX(V$5,DATE(2000+VALUE(RIGHT(TRIM($A431),2)),1,1)),'Timesheet Raw'!$L$4:$L$8000,"&lt;="&amp;MIN(V$6,DATE(2000+VALUE(RIGHT(TRIM($A431),2)),12,31))),SUMIFS('Timesheet Raw'!$P$4:$P$8000,'Timesheet Raw'!$B$4:$B$8000,TRIM($A431),'Timesheet Raw'!$C$4:$C$8000,"*"&amp;$B431&amp;"*",'Timesheet Raw'!$L$4:$L$8000,"&gt;="&amp;V$5,'Timesheet Raw'!$L$4:$L$8000,"&lt;="&amp;V$6)))/'Profit Plan'!$B$5)</f>
        <v/>
      </c>
      <c r="W431" s="122" t="str">
        <f>IF($A431="","",(IF(ISNUMBER(SEARCH("Proposal",$A431)),SUMIFS('Timesheet Raw'!$P$4:$P$8000,'Timesheet Raw'!$A$4:$A$8000,IF(ISNUMBER(SEARCH("Chargable",$A431)),"2-Proposals Chargeable","3-Proposals Regular"),'Timesheet Raw'!$C$4:$C$8000,"*"&amp;$B431&amp;"*",'Timesheet Raw'!$L$4:$L$8000,"&gt;="&amp;MAX(W$5,DATE(2000+VALUE(RIGHT(TRIM($A431),2)),1,1)),'Timesheet Raw'!$L$4:$L$8000,"&lt;="&amp;MIN(W$6,DATE(2000+VALUE(RIGHT(TRIM($A431),2)),12,31))),SUMIFS('Timesheet Raw'!$P$4:$P$8000,'Timesheet Raw'!$B$4:$B$8000,TRIM($A431),'Timesheet Raw'!$C$4:$C$8000,"*"&amp;$B431&amp;"*",'Timesheet Raw'!$L$4:$L$8000,"&gt;="&amp;W$5,'Timesheet Raw'!$L$4:$L$8000,"&lt;="&amp;W$6)))/'Profit Plan'!$B$5)</f>
        <v/>
      </c>
      <c r="X431" s="122" t="str">
        <f>IF($A431="","",(IF(ISNUMBER(SEARCH("Proposal",$A431)),SUMIFS('Timesheet Raw'!$P$4:$P$8000,'Timesheet Raw'!$A$4:$A$8000,IF(ISNUMBER(SEARCH("Chargable",$A431)),"2-Proposals Chargeable","3-Proposals Regular"),'Timesheet Raw'!$C$4:$C$8000,"*"&amp;$B431&amp;"*",'Timesheet Raw'!$L$4:$L$8000,"&gt;="&amp;MAX(X$5,DATE(2000+VALUE(RIGHT(TRIM($A431),2)),1,1)),'Timesheet Raw'!$L$4:$L$8000,"&lt;="&amp;MIN(X$6,DATE(2000+VALUE(RIGHT(TRIM($A431),2)),12,31))),SUMIFS('Timesheet Raw'!$P$4:$P$8000,'Timesheet Raw'!$B$4:$B$8000,TRIM($A431),'Timesheet Raw'!$C$4:$C$8000,"*"&amp;$B431&amp;"*",'Timesheet Raw'!$L$4:$L$8000,"&gt;="&amp;X$5,'Timesheet Raw'!$L$4:$L$8000,"&lt;="&amp;X$6)))/'Profit Plan'!$B$5)</f>
        <v/>
      </c>
      <c r="Y431" s="118">
        <f t="shared" si="102"/>
        <v>0</v>
      </c>
    </row>
    <row r="432" spans="1:25" x14ac:dyDescent="0.3">
      <c r="A432" s="116" t="str">
        <f>IF(Inputs!$A61="","",Inputs!$A61)</f>
        <v/>
      </c>
      <c r="B432" s="116" t="str">
        <f>IF(Inputs!$A61="","",Inputs!$A$93)</f>
        <v/>
      </c>
      <c r="C432" s="116"/>
      <c r="D432" s="122" t="str">
        <f>IF($A432="","",(IF(ISNUMBER(SEARCH("Proposal",$A432)),SUMIFS('Timesheet Raw'!$P$4:$P$8000,'Timesheet Raw'!$A$4:$A$8000,IF(ISNUMBER(SEARCH("Chargable",$A432)),"2-Proposals Chargeable","3-Proposals Regular"),'Timesheet Raw'!$C$4:$C$8000,"*"&amp;$B432&amp;"*",'Timesheet Raw'!$L$4:$L$8000,"&gt;="&amp;MAX(D$5,DATE(2000+VALUE(RIGHT(TRIM($A432),2)),1,1)),'Timesheet Raw'!$L$4:$L$8000,"&lt;="&amp;MIN(D$6,DATE(2000+VALUE(RIGHT(TRIM($A432),2)),12,31))),SUMIFS('Timesheet Raw'!$P$4:$P$8000,'Timesheet Raw'!$B$4:$B$8000,TRIM($A432),'Timesheet Raw'!$C$4:$C$8000,"*"&amp;$B432&amp;"*",'Timesheet Raw'!$L$4:$L$8000,"&gt;="&amp;D$5,'Timesheet Raw'!$L$4:$L$8000,"&lt;="&amp;D$6)))/'Profit Plan'!$B$5)</f>
        <v/>
      </c>
      <c r="E432" s="122" t="str">
        <f>IF($A432="","",(IF(ISNUMBER(SEARCH("Proposal",$A432)),SUMIFS('Timesheet Raw'!$P$4:$P$8000,'Timesheet Raw'!$A$4:$A$8000,IF(ISNUMBER(SEARCH("Chargable",$A432)),"2-Proposals Chargeable","3-Proposals Regular"),'Timesheet Raw'!$C$4:$C$8000,"*"&amp;$B432&amp;"*",'Timesheet Raw'!$L$4:$L$8000,"&gt;="&amp;MAX(E$5,DATE(2000+VALUE(RIGHT(TRIM($A432),2)),1,1)),'Timesheet Raw'!$L$4:$L$8000,"&lt;="&amp;MIN(E$6,DATE(2000+VALUE(RIGHT(TRIM($A432),2)),12,31))),SUMIFS('Timesheet Raw'!$P$4:$P$8000,'Timesheet Raw'!$B$4:$B$8000,TRIM($A432),'Timesheet Raw'!$C$4:$C$8000,"*"&amp;$B432&amp;"*",'Timesheet Raw'!$L$4:$L$8000,"&gt;="&amp;E$5,'Timesheet Raw'!$L$4:$L$8000,"&lt;="&amp;E$6)))/'Profit Plan'!$B$5)</f>
        <v/>
      </c>
      <c r="F432" s="122" t="str">
        <f>IF($A432="","",(IF(ISNUMBER(SEARCH("Proposal",$A432)),SUMIFS('Timesheet Raw'!$P$4:$P$8000,'Timesheet Raw'!$A$4:$A$8000,IF(ISNUMBER(SEARCH("Chargable",$A432)),"2-Proposals Chargeable","3-Proposals Regular"),'Timesheet Raw'!$C$4:$C$8000,"*"&amp;$B432&amp;"*",'Timesheet Raw'!$L$4:$L$8000,"&gt;="&amp;MAX(F$5,DATE(2000+VALUE(RIGHT(TRIM($A432),2)),1,1)),'Timesheet Raw'!$L$4:$L$8000,"&lt;="&amp;MIN(F$6,DATE(2000+VALUE(RIGHT(TRIM($A432),2)),12,31))),SUMIFS('Timesheet Raw'!$P$4:$P$8000,'Timesheet Raw'!$B$4:$B$8000,TRIM($A432),'Timesheet Raw'!$C$4:$C$8000,"*"&amp;$B432&amp;"*",'Timesheet Raw'!$L$4:$L$8000,"&gt;="&amp;F$5,'Timesheet Raw'!$L$4:$L$8000,"&lt;="&amp;F$6)))/'Profit Plan'!$B$5)</f>
        <v/>
      </c>
      <c r="G432" s="122" t="str">
        <f>IF($A432="","",(IF(ISNUMBER(SEARCH("Proposal",$A432)),SUMIFS('Timesheet Raw'!$P$4:$P$8000,'Timesheet Raw'!$A$4:$A$8000,IF(ISNUMBER(SEARCH("Chargable",$A432)),"2-Proposals Chargeable","3-Proposals Regular"),'Timesheet Raw'!$C$4:$C$8000,"*"&amp;$B432&amp;"*",'Timesheet Raw'!$L$4:$L$8000,"&gt;="&amp;MAX(G$5,DATE(2000+VALUE(RIGHT(TRIM($A432),2)),1,1)),'Timesheet Raw'!$L$4:$L$8000,"&lt;="&amp;MIN(G$6,DATE(2000+VALUE(RIGHT(TRIM($A432),2)),12,31))),SUMIFS('Timesheet Raw'!$P$4:$P$8000,'Timesheet Raw'!$B$4:$B$8000,TRIM($A432),'Timesheet Raw'!$C$4:$C$8000,"*"&amp;$B432&amp;"*",'Timesheet Raw'!$L$4:$L$8000,"&gt;="&amp;G$5,'Timesheet Raw'!$L$4:$L$8000,"&lt;="&amp;G$6)))/'Profit Plan'!$B$5)</f>
        <v/>
      </c>
      <c r="H432" s="122" t="str">
        <f>IF($A432="","",(IF(ISNUMBER(SEARCH("Proposal",$A432)),SUMIFS('Timesheet Raw'!$P$4:$P$8000,'Timesheet Raw'!$A$4:$A$8000,IF(ISNUMBER(SEARCH("Chargable",$A432)),"2-Proposals Chargeable","3-Proposals Regular"),'Timesheet Raw'!$C$4:$C$8000,"*"&amp;$B432&amp;"*",'Timesheet Raw'!$L$4:$L$8000,"&gt;="&amp;MAX(H$5,DATE(2000+VALUE(RIGHT(TRIM($A432),2)),1,1)),'Timesheet Raw'!$L$4:$L$8000,"&lt;="&amp;MIN(H$6,DATE(2000+VALUE(RIGHT(TRIM($A432),2)),12,31))),SUMIFS('Timesheet Raw'!$P$4:$P$8000,'Timesheet Raw'!$B$4:$B$8000,TRIM($A432),'Timesheet Raw'!$C$4:$C$8000,"*"&amp;$B432&amp;"*",'Timesheet Raw'!$L$4:$L$8000,"&gt;="&amp;H$5,'Timesheet Raw'!$L$4:$L$8000,"&lt;="&amp;H$6)))/'Profit Plan'!$B$5)</f>
        <v/>
      </c>
      <c r="I432" s="122" t="str">
        <f>IF($A432="","",(IF(ISNUMBER(SEARCH("Proposal",$A432)),SUMIFS('Timesheet Raw'!$P$4:$P$8000,'Timesheet Raw'!$A$4:$A$8000,IF(ISNUMBER(SEARCH("Chargable",$A432)),"2-Proposals Chargeable","3-Proposals Regular"),'Timesheet Raw'!$C$4:$C$8000,"*"&amp;$B432&amp;"*",'Timesheet Raw'!$L$4:$L$8000,"&gt;="&amp;MAX(I$5,DATE(2000+VALUE(RIGHT(TRIM($A432),2)),1,1)),'Timesheet Raw'!$L$4:$L$8000,"&lt;="&amp;MIN(I$6,DATE(2000+VALUE(RIGHT(TRIM($A432),2)),12,31))),SUMIFS('Timesheet Raw'!$P$4:$P$8000,'Timesheet Raw'!$B$4:$B$8000,TRIM($A432),'Timesheet Raw'!$C$4:$C$8000,"*"&amp;$B432&amp;"*",'Timesheet Raw'!$L$4:$L$8000,"&gt;="&amp;I$5,'Timesheet Raw'!$L$4:$L$8000,"&lt;="&amp;I$6)))/'Profit Plan'!$B$5)</f>
        <v/>
      </c>
      <c r="J432" s="122" t="str">
        <f>IF($A432="","",(IF(ISNUMBER(SEARCH("Proposal",$A432)),SUMIFS('Timesheet Raw'!$P$4:$P$8000,'Timesheet Raw'!$A$4:$A$8000,IF(ISNUMBER(SEARCH("Chargable",$A432)),"2-Proposals Chargeable","3-Proposals Regular"),'Timesheet Raw'!$C$4:$C$8000,"*"&amp;$B432&amp;"*",'Timesheet Raw'!$L$4:$L$8000,"&gt;="&amp;MAX(J$5,DATE(2000+VALUE(RIGHT(TRIM($A432),2)),1,1)),'Timesheet Raw'!$L$4:$L$8000,"&lt;="&amp;MIN(J$6,DATE(2000+VALUE(RIGHT(TRIM($A432),2)),12,31))),SUMIFS('Timesheet Raw'!$P$4:$P$8000,'Timesheet Raw'!$B$4:$B$8000,TRIM($A432),'Timesheet Raw'!$C$4:$C$8000,"*"&amp;$B432&amp;"*",'Timesheet Raw'!$L$4:$L$8000,"&gt;="&amp;J$5,'Timesheet Raw'!$L$4:$L$8000,"&lt;="&amp;J$6)))/'Profit Plan'!$B$5)</f>
        <v/>
      </c>
      <c r="K432" s="122" t="str">
        <f>IF($A432="","",(IF(ISNUMBER(SEARCH("Proposal",$A432)),SUMIFS('Timesheet Raw'!$P$4:$P$8000,'Timesheet Raw'!$A$4:$A$8000,IF(ISNUMBER(SEARCH("Chargable",$A432)),"2-Proposals Chargeable","3-Proposals Regular"),'Timesheet Raw'!$C$4:$C$8000,"*"&amp;$B432&amp;"*",'Timesheet Raw'!$L$4:$L$8000,"&gt;="&amp;MAX(K$5,DATE(2000+VALUE(RIGHT(TRIM($A432),2)),1,1)),'Timesheet Raw'!$L$4:$L$8000,"&lt;="&amp;MIN(K$6,DATE(2000+VALUE(RIGHT(TRIM($A432),2)),12,31))),SUMIFS('Timesheet Raw'!$P$4:$P$8000,'Timesheet Raw'!$B$4:$B$8000,TRIM($A432),'Timesheet Raw'!$C$4:$C$8000,"*"&amp;$B432&amp;"*",'Timesheet Raw'!$L$4:$L$8000,"&gt;="&amp;K$5,'Timesheet Raw'!$L$4:$L$8000,"&lt;="&amp;K$6)))/'Profit Plan'!$B$5)</f>
        <v/>
      </c>
      <c r="L432" s="122" t="str">
        <f>IF($A432="","",(IF(ISNUMBER(SEARCH("Proposal",$A432)),SUMIFS('Timesheet Raw'!$P$4:$P$8000,'Timesheet Raw'!$A$4:$A$8000,IF(ISNUMBER(SEARCH("Chargable",$A432)),"2-Proposals Chargeable","3-Proposals Regular"),'Timesheet Raw'!$C$4:$C$8000,"*"&amp;$B432&amp;"*",'Timesheet Raw'!$L$4:$L$8000,"&gt;="&amp;MAX(L$5,DATE(2000+VALUE(RIGHT(TRIM($A432),2)),1,1)),'Timesheet Raw'!$L$4:$L$8000,"&lt;="&amp;MIN(L$6,DATE(2000+VALUE(RIGHT(TRIM($A432),2)),12,31))),SUMIFS('Timesheet Raw'!$P$4:$P$8000,'Timesheet Raw'!$B$4:$B$8000,TRIM($A432),'Timesheet Raw'!$C$4:$C$8000,"*"&amp;$B432&amp;"*",'Timesheet Raw'!$L$4:$L$8000,"&gt;="&amp;L$5,'Timesheet Raw'!$L$4:$L$8000,"&lt;="&amp;L$6)))/'Profit Plan'!$B$5)</f>
        <v/>
      </c>
      <c r="M432" s="122" t="str">
        <f>IF($A432="","",(IF(ISNUMBER(SEARCH("Proposal",$A432)),SUMIFS('Timesheet Raw'!$P$4:$P$8000,'Timesheet Raw'!$A$4:$A$8000,IF(ISNUMBER(SEARCH("Chargable",$A432)),"2-Proposals Chargeable","3-Proposals Regular"),'Timesheet Raw'!$C$4:$C$8000,"*"&amp;$B432&amp;"*",'Timesheet Raw'!$L$4:$L$8000,"&gt;="&amp;MAX(M$5,DATE(2000+VALUE(RIGHT(TRIM($A432),2)),1,1)),'Timesheet Raw'!$L$4:$L$8000,"&lt;="&amp;MIN(M$6,DATE(2000+VALUE(RIGHT(TRIM($A432),2)),12,31))),SUMIFS('Timesheet Raw'!$P$4:$P$8000,'Timesheet Raw'!$B$4:$B$8000,TRIM($A432),'Timesheet Raw'!$C$4:$C$8000,"*"&amp;$B432&amp;"*",'Timesheet Raw'!$L$4:$L$8000,"&gt;="&amp;M$5,'Timesheet Raw'!$L$4:$L$8000,"&lt;="&amp;M$6)))/'Profit Plan'!$B$5)</f>
        <v/>
      </c>
      <c r="N432" s="122" t="str">
        <f>IF($A432="","",(IF(ISNUMBER(SEARCH("Proposal",$A432)),SUMIFS('Timesheet Raw'!$P$4:$P$8000,'Timesheet Raw'!$A$4:$A$8000,IF(ISNUMBER(SEARCH("Chargable",$A432)),"2-Proposals Chargeable","3-Proposals Regular"),'Timesheet Raw'!$C$4:$C$8000,"*"&amp;$B432&amp;"*",'Timesheet Raw'!$L$4:$L$8000,"&gt;="&amp;MAX(N$5,DATE(2000+VALUE(RIGHT(TRIM($A432),2)),1,1)),'Timesheet Raw'!$L$4:$L$8000,"&lt;="&amp;MIN(N$6,DATE(2000+VALUE(RIGHT(TRIM($A432),2)),12,31))),SUMIFS('Timesheet Raw'!$P$4:$P$8000,'Timesheet Raw'!$B$4:$B$8000,TRIM($A432),'Timesheet Raw'!$C$4:$C$8000,"*"&amp;$B432&amp;"*",'Timesheet Raw'!$L$4:$L$8000,"&gt;="&amp;N$5,'Timesheet Raw'!$L$4:$L$8000,"&lt;="&amp;N$6)))/'Profit Plan'!$B$5)</f>
        <v/>
      </c>
      <c r="O432" s="122" t="str">
        <f>IF($A432="","",(IF(ISNUMBER(SEARCH("Proposal",$A432)),SUMIFS('Timesheet Raw'!$P$4:$P$8000,'Timesheet Raw'!$A$4:$A$8000,IF(ISNUMBER(SEARCH("Chargable",$A432)),"2-Proposals Chargeable","3-Proposals Regular"),'Timesheet Raw'!$C$4:$C$8000,"*"&amp;$B432&amp;"*",'Timesheet Raw'!$L$4:$L$8000,"&gt;="&amp;MAX(O$5,DATE(2000+VALUE(RIGHT(TRIM($A432),2)),1,1)),'Timesheet Raw'!$L$4:$L$8000,"&lt;="&amp;MIN(O$6,DATE(2000+VALUE(RIGHT(TRIM($A432),2)),12,31))),SUMIFS('Timesheet Raw'!$P$4:$P$8000,'Timesheet Raw'!$B$4:$B$8000,TRIM($A432),'Timesheet Raw'!$C$4:$C$8000,"*"&amp;$B432&amp;"*",'Timesheet Raw'!$L$4:$L$8000,"&gt;="&amp;O$5,'Timesheet Raw'!$L$4:$L$8000,"&lt;="&amp;O$6)))/'Profit Plan'!$B$5)</f>
        <v/>
      </c>
      <c r="P432" s="122" t="str">
        <f>IF($A432="","",(IF(ISNUMBER(SEARCH("Proposal",$A432)),SUMIFS('Timesheet Raw'!$P$4:$P$8000,'Timesheet Raw'!$A$4:$A$8000,IF(ISNUMBER(SEARCH("Chargable",$A432)),"2-Proposals Chargeable","3-Proposals Regular"),'Timesheet Raw'!$C$4:$C$8000,"*"&amp;$B432&amp;"*",'Timesheet Raw'!$L$4:$L$8000,"&gt;="&amp;MAX(P$5,DATE(2000+VALUE(RIGHT(TRIM($A432),2)),1,1)),'Timesheet Raw'!$L$4:$L$8000,"&lt;="&amp;MIN(P$6,DATE(2000+VALUE(RIGHT(TRIM($A432),2)),12,31))),SUMIFS('Timesheet Raw'!$P$4:$P$8000,'Timesheet Raw'!$B$4:$B$8000,TRIM($A432),'Timesheet Raw'!$C$4:$C$8000,"*"&amp;$B432&amp;"*",'Timesheet Raw'!$L$4:$L$8000,"&gt;="&amp;P$5,'Timesheet Raw'!$L$4:$L$8000,"&lt;="&amp;P$6)))/'Profit Plan'!$B$5)</f>
        <v/>
      </c>
      <c r="Q432" s="122" t="str">
        <f>IF($A432="","",(IF(ISNUMBER(SEARCH("Proposal",$A432)),SUMIFS('Timesheet Raw'!$P$4:$P$8000,'Timesheet Raw'!$A$4:$A$8000,IF(ISNUMBER(SEARCH("Chargable",$A432)),"2-Proposals Chargeable","3-Proposals Regular"),'Timesheet Raw'!$C$4:$C$8000,"*"&amp;$B432&amp;"*",'Timesheet Raw'!$L$4:$L$8000,"&gt;="&amp;MAX(Q$5,DATE(2000+VALUE(RIGHT(TRIM($A432),2)),1,1)),'Timesheet Raw'!$L$4:$L$8000,"&lt;="&amp;MIN(Q$6,DATE(2000+VALUE(RIGHT(TRIM($A432),2)),12,31))),SUMIFS('Timesheet Raw'!$P$4:$P$8000,'Timesheet Raw'!$B$4:$B$8000,TRIM($A432),'Timesheet Raw'!$C$4:$C$8000,"*"&amp;$B432&amp;"*",'Timesheet Raw'!$L$4:$L$8000,"&gt;="&amp;Q$5,'Timesheet Raw'!$L$4:$L$8000,"&lt;="&amp;Q$6)))/'Profit Plan'!$B$5)</f>
        <v/>
      </c>
      <c r="R432" s="122" t="str">
        <f>IF($A432="","",(IF(ISNUMBER(SEARCH("Proposal",$A432)),SUMIFS('Timesheet Raw'!$P$4:$P$8000,'Timesheet Raw'!$A$4:$A$8000,IF(ISNUMBER(SEARCH("Chargable",$A432)),"2-Proposals Chargeable","3-Proposals Regular"),'Timesheet Raw'!$C$4:$C$8000,"*"&amp;$B432&amp;"*",'Timesheet Raw'!$L$4:$L$8000,"&gt;="&amp;MAX(R$5,DATE(2000+VALUE(RIGHT(TRIM($A432),2)),1,1)),'Timesheet Raw'!$L$4:$L$8000,"&lt;="&amp;MIN(R$6,DATE(2000+VALUE(RIGHT(TRIM($A432),2)),12,31))),SUMIFS('Timesheet Raw'!$P$4:$P$8000,'Timesheet Raw'!$B$4:$B$8000,TRIM($A432),'Timesheet Raw'!$C$4:$C$8000,"*"&amp;$B432&amp;"*",'Timesheet Raw'!$L$4:$L$8000,"&gt;="&amp;R$5,'Timesheet Raw'!$L$4:$L$8000,"&lt;="&amp;R$6)))/'Profit Plan'!$B$5)</f>
        <v/>
      </c>
      <c r="S432" s="122" t="str">
        <f>IF($A432="","",(IF(ISNUMBER(SEARCH("Proposal",$A432)),SUMIFS('Timesheet Raw'!$P$4:$P$8000,'Timesheet Raw'!$A$4:$A$8000,IF(ISNUMBER(SEARCH("Chargable",$A432)),"2-Proposals Chargeable","3-Proposals Regular"),'Timesheet Raw'!$C$4:$C$8000,"*"&amp;$B432&amp;"*",'Timesheet Raw'!$L$4:$L$8000,"&gt;="&amp;MAX(S$5,DATE(2000+VALUE(RIGHT(TRIM($A432),2)),1,1)),'Timesheet Raw'!$L$4:$L$8000,"&lt;="&amp;MIN(S$6,DATE(2000+VALUE(RIGHT(TRIM($A432),2)),12,31))),SUMIFS('Timesheet Raw'!$P$4:$P$8000,'Timesheet Raw'!$B$4:$B$8000,TRIM($A432),'Timesheet Raw'!$C$4:$C$8000,"*"&amp;$B432&amp;"*",'Timesheet Raw'!$L$4:$L$8000,"&gt;="&amp;S$5,'Timesheet Raw'!$L$4:$L$8000,"&lt;="&amp;S$6)))/'Profit Plan'!$B$5)</f>
        <v/>
      </c>
      <c r="T432" s="122" t="str">
        <f>IF($A432="","",(IF(ISNUMBER(SEARCH("Proposal",$A432)),SUMIFS('Timesheet Raw'!$P$4:$P$8000,'Timesheet Raw'!$A$4:$A$8000,IF(ISNUMBER(SEARCH("Chargable",$A432)),"2-Proposals Chargeable","3-Proposals Regular"),'Timesheet Raw'!$C$4:$C$8000,"*"&amp;$B432&amp;"*",'Timesheet Raw'!$L$4:$L$8000,"&gt;="&amp;MAX(T$5,DATE(2000+VALUE(RIGHT(TRIM($A432),2)),1,1)),'Timesheet Raw'!$L$4:$L$8000,"&lt;="&amp;MIN(T$6,DATE(2000+VALUE(RIGHT(TRIM($A432),2)),12,31))),SUMIFS('Timesheet Raw'!$P$4:$P$8000,'Timesheet Raw'!$B$4:$B$8000,TRIM($A432),'Timesheet Raw'!$C$4:$C$8000,"*"&amp;$B432&amp;"*",'Timesheet Raw'!$L$4:$L$8000,"&gt;="&amp;T$5,'Timesheet Raw'!$L$4:$L$8000,"&lt;="&amp;T$6)))/'Profit Plan'!$B$5)</f>
        <v/>
      </c>
      <c r="U432" s="122" t="str">
        <f>IF($A432="","",(IF(ISNUMBER(SEARCH("Proposal",$A432)),SUMIFS('Timesheet Raw'!$P$4:$P$8000,'Timesheet Raw'!$A$4:$A$8000,IF(ISNUMBER(SEARCH("Chargable",$A432)),"2-Proposals Chargeable","3-Proposals Regular"),'Timesheet Raw'!$C$4:$C$8000,"*"&amp;$B432&amp;"*",'Timesheet Raw'!$L$4:$L$8000,"&gt;="&amp;MAX(U$5,DATE(2000+VALUE(RIGHT(TRIM($A432),2)),1,1)),'Timesheet Raw'!$L$4:$L$8000,"&lt;="&amp;MIN(U$6,DATE(2000+VALUE(RIGHT(TRIM($A432),2)),12,31))),SUMIFS('Timesheet Raw'!$P$4:$P$8000,'Timesheet Raw'!$B$4:$B$8000,TRIM($A432),'Timesheet Raw'!$C$4:$C$8000,"*"&amp;$B432&amp;"*",'Timesheet Raw'!$L$4:$L$8000,"&gt;="&amp;U$5,'Timesheet Raw'!$L$4:$L$8000,"&lt;="&amp;U$6)))/'Profit Plan'!$B$5)</f>
        <v/>
      </c>
      <c r="V432" s="122" t="str">
        <f>IF($A432="","",(IF(ISNUMBER(SEARCH("Proposal",$A432)),SUMIFS('Timesheet Raw'!$P$4:$P$8000,'Timesheet Raw'!$A$4:$A$8000,IF(ISNUMBER(SEARCH("Chargable",$A432)),"2-Proposals Chargeable","3-Proposals Regular"),'Timesheet Raw'!$C$4:$C$8000,"*"&amp;$B432&amp;"*",'Timesheet Raw'!$L$4:$L$8000,"&gt;="&amp;MAX(V$5,DATE(2000+VALUE(RIGHT(TRIM($A432),2)),1,1)),'Timesheet Raw'!$L$4:$L$8000,"&lt;="&amp;MIN(V$6,DATE(2000+VALUE(RIGHT(TRIM($A432),2)),12,31))),SUMIFS('Timesheet Raw'!$P$4:$P$8000,'Timesheet Raw'!$B$4:$B$8000,TRIM($A432),'Timesheet Raw'!$C$4:$C$8000,"*"&amp;$B432&amp;"*",'Timesheet Raw'!$L$4:$L$8000,"&gt;="&amp;V$5,'Timesheet Raw'!$L$4:$L$8000,"&lt;="&amp;V$6)))/'Profit Plan'!$B$5)</f>
        <v/>
      </c>
      <c r="W432" s="122" t="str">
        <f>IF($A432="","",(IF(ISNUMBER(SEARCH("Proposal",$A432)),SUMIFS('Timesheet Raw'!$P$4:$P$8000,'Timesheet Raw'!$A$4:$A$8000,IF(ISNUMBER(SEARCH("Chargable",$A432)),"2-Proposals Chargeable","3-Proposals Regular"),'Timesheet Raw'!$C$4:$C$8000,"*"&amp;$B432&amp;"*",'Timesheet Raw'!$L$4:$L$8000,"&gt;="&amp;MAX(W$5,DATE(2000+VALUE(RIGHT(TRIM($A432),2)),1,1)),'Timesheet Raw'!$L$4:$L$8000,"&lt;="&amp;MIN(W$6,DATE(2000+VALUE(RIGHT(TRIM($A432),2)),12,31))),SUMIFS('Timesheet Raw'!$P$4:$P$8000,'Timesheet Raw'!$B$4:$B$8000,TRIM($A432),'Timesheet Raw'!$C$4:$C$8000,"*"&amp;$B432&amp;"*",'Timesheet Raw'!$L$4:$L$8000,"&gt;="&amp;W$5,'Timesheet Raw'!$L$4:$L$8000,"&lt;="&amp;W$6)))/'Profit Plan'!$B$5)</f>
        <v/>
      </c>
      <c r="X432" s="122" t="str">
        <f>IF($A432="","",(IF(ISNUMBER(SEARCH("Proposal",$A432)),SUMIFS('Timesheet Raw'!$P$4:$P$8000,'Timesheet Raw'!$A$4:$A$8000,IF(ISNUMBER(SEARCH("Chargable",$A432)),"2-Proposals Chargeable","3-Proposals Regular"),'Timesheet Raw'!$C$4:$C$8000,"*"&amp;$B432&amp;"*",'Timesheet Raw'!$L$4:$L$8000,"&gt;="&amp;MAX(X$5,DATE(2000+VALUE(RIGHT(TRIM($A432),2)),1,1)),'Timesheet Raw'!$L$4:$L$8000,"&lt;="&amp;MIN(X$6,DATE(2000+VALUE(RIGHT(TRIM($A432),2)),12,31))),SUMIFS('Timesheet Raw'!$P$4:$P$8000,'Timesheet Raw'!$B$4:$B$8000,TRIM($A432),'Timesheet Raw'!$C$4:$C$8000,"*"&amp;$B432&amp;"*",'Timesheet Raw'!$L$4:$L$8000,"&gt;="&amp;X$5,'Timesheet Raw'!$L$4:$L$8000,"&lt;="&amp;X$6)))/'Profit Plan'!$B$5)</f>
        <v/>
      </c>
      <c r="Y432" s="118">
        <f t="shared" si="102"/>
        <v>0</v>
      </c>
    </row>
    <row r="433" spans="1:25" x14ac:dyDescent="0.3">
      <c r="A433" s="116" t="str">
        <f>IF(Inputs!$A62="","",Inputs!$A62)</f>
        <v/>
      </c>
      <c r="B433" s="116" t="str">
        <f>IF(Inputs!$A62="","",Inputs!$A$91)</f>
        <v/>
      </c>
      <c r="C433" s="116"/>
      <c r="D433" s="122" t="str">
        <f>IF($A433="","",(IF(ISNUMBER(SEARCH("Proposal",$A433)),SUMIFS('Timesheet Raw'!$P$4:$P$8000,'Timesheet Raw'!$A$4:$A$8000,IF(ISNUMBER(SEARCH("Chargable",$A433)),"2-Proposals Chargeable","3-Proposals Regular"),'Timesheet Raw'!$C$4:$C$8000,"*"&amp;$B433&amp;"*",'Timesheet Raw'!$L$4:$L$8000,"&gt;="&amp;MAX(D$5,DATE(2000+VALUE(RIGHT(TRIM($A433),2)),1,1)),'Timesheet Raw'!$L$4:$L$8000,"&lt;="&amp;MIN(D$6,DATE(2000+VALUE(RIGHT(TRIM($A433),2)),12,31))),SUMIFS('Timesheet Raw'!$P$4:$P$8000,'Timesheet Raw'!$B$4:$B$8000,TRIM($A433),'Timesheet Raw'!$C$4:$C$8000,"*"&amp;$B433&amp;"*",'Timesheet Raw'!$L$4:$L$8000,"&gt;="&amp;D$5,'Timesheet Raw'!$L$4:$L$8000,"&lt;="&amp;D$6)))/'Profit Plan'!$B$5)</f>
        <v/>
      </c>
      <c r="E433" s="122" t="str">
        <f>IF($A433="","",(IF(ISNUMBER(SEARCH("Proposal",$A433)),SUMIFS('Timesheet Raw'!$P$4:$P$8000,'Timesheet Raw'!$A$4:$A$8000,IF(ISNUMBER(SEARCH("Chargable",$A433)),"2-Proposals Chargeable","3-Proposals Regular"),'Timesheet Raw'!$C$4:$C$8000,"*"&amp;$B433&amp;"*",'Timesheet Raw'!$L$4:$L$8000,"&gt;="&amp;MAX(E$5,DATE(2000+VALUE(RIGHT(TRIM($A433),2)),1,1)),'Timesheet Raw'!$L$4:$L$8000,"&lt;="&amp;MIN(E$6,DATE(2000+VALUE(RIGHT(TRIM($A433),2)),12,31))),SUMIFS('Timesheet Raw'!$P$4:$P$8000,'Timesheet Raw'!$B$4:$B$8000,TRIM($A433),'Timesheet Raw'!$C$4:$C$8000,"*"&amp;$B433&amp;"*",'Timesheet Raw'!$L$4:$L$8000,"&gt;="&amp;E$5,'Timesheet Raw'!$L$4:$L$8000,"&lt;="&amp;E$6)))/'Profit Plan'!$B$5)</f>
        <v/>
      </c>
      <c r="F433" s="122" t="str">
        <f>IF($A433="","",(IF(ISNUMBER(SEARCH("Proposal",$A433)),SUMIFS('Timesheet Raw'!$P$4:$P$8000,'Timesheet Raw'!$A$4:$A$8000,IF(ISNUMBER(SEARCH("Chargable",$A433)),"2-Proposals Chargeable","3-Proposals Regular"),'Timesheet Raw'!$C$4:$C$8000,"*"&amp;$B433&amp;"*",'Timesheet Raw'!$L$4:$L$8000,"&gt;="&amp;MAX(F$5,DATE(2000+VALUE(RIGHT(TRIM($A433),2)),1,1)),'Timesheet Raw'!$L$4:$L$8000,"&lt;="&amp;MIN(F$6,DATE(2000+VALUE(RIGHT(TRIM($A433),2)),12,31))),SUMIFS('Timesheet Raw'!$P$4:$P$8000,'Timesheet Raw'!$B$4:$B$8000,TRIM($A433),'Timesheet Raw'!$C$4:$C$8000,"*"&amp;$B433&amp;"*",'Timesheet Raw'!$L$4:$L$8000,"&gt;="&amp;F$5,'Timesheet Raw'!$L$4:$L$8000,"&lt;="&amp;F$6)))/'Profit Plan'!$B$5)</f>
        <v/>
      </c>
      <c r="G433" s="122" t="str">
        <f>IF($A433="","",(IF(ISNUMBER(SEARCH("Proposal",$A433)),SUMIFS('Timesheet Raw'!$P$4:$P$8000,'Timesheet Raw'!$A$4:$A$8000,IF(ISNUMBER(SEARCH("Chargable",$A433)),"2-Proposals Chargeable","3-Proposals Regular"),'Timesheet Raw'!$C$4:$C$8000,"*"&amp;$B433&amp;"*",'Timesheet Raw'!$L$4:$L$8000,"&gt;="&amp;MAX(G$5,DATE(2000+VALUE(RIGHT(TRIM($A433),2)),1,1)),'Timesheet Raw'!$L$4:$L$8000,"&lt;="&amp;MIN(G$6,DATE(2000+VALUE(RIGHT(TRIM($A433),2)),12,31))),SUMIFS('Timesheet Raw'!$P$4:$P$8000,'Timesheet Raw'!$B$4:$B$8000,TRIM($A433),'Timesheet Raw'!$C$4:$C$8000,"*"&amp;$B433&amp;"*",'Timesheet Raw'!$L$4:$L$8000,"&gt;="&amp;G$5,'Timesheet Raw'!$L$4:$L$8000,"&lt;="&amp;G$6)))/'Profit Plan'!$B$5)</f>
        <v/>
      </c>
      <c r="H433" s="122" t="str">
        <f>IF($A433="","",(IF(ISNUMBER(SEARCH("Proposal",$A433)),SUMIFS('Timesheet Raw'!$P$4:$P$8000,'Timesheet Raw'!$A$4:$A$8000,IF(ISNUMBER(SEARCH("Chargable",$A433)),"2-Proposals Chargeable","3-Proposals Regular"),'Timesheet Raw'!$C$4:$C$8000,"*"&amp;$B433&amp;"*",'Timesheet Raw'!$L$4:$L$8000,"&gt;="&amp;MAX(H$5,DATE(2000+VALUE(RIGHT(TRIM($A433),2)),1,1)),'Timesheet Raw'!$L$4:$L$8000,"&lt;="&amp;MIN(H$6,DATE(2000+VALUE(RIGHT(TRIM($A433),2)),12,31))),SUMIFS('Timesheet Raw'!$P$4:$P$8000,'Timesheet Raw'!$B$4:$B$8000,TRIM($A433),'Timesheet Raw'!$C$4:$C$8000,"*"&amp;$B433&amp;"*",'Timesheet Raw'!$L$4:$L$8000,"&gt;="&amp;H$5,'Timesheet Raw'!$L$4:$L$8000,"&lt;="&amp;H$6)))/'Profit Plan'!$B$5)</f>
        <v/>
      </c>
      <c r="I433" s="122" t="str">
        <f>IF($A433="","",(IF(ISNUMBER(SEARCH("Proposal",$A433)),SUMIFS('Timesheet Raw'!$P$4:$P$8000,'Timesheet Raw'!$A$4:$A$8000,IF(ISNUMBER(SEARCH("Chargable",$A433)),"2-Proposals Chargeable","3-Proposals Regular"),'Timesheet Raw'!$C$4:$C$8000,"*"&amp;$B433&amp;"*",'Timesheet Raw'!$L$4:$L$8000,"&gt;="&amp;MAX(I$5,DATE(2000+VALUE(RIGHT(TRIM($A433),2)),1,1)),'Timesheet Raw'!$L$4:$L$8000,"&lt;="&amp;MIN(I$6,DATE(2000+VALUE(RIGHT(TRIM($A433),2)),12,31))),SUMIFS('Timesheet Raw'!$P$4:$P$8000,'Timesheet Raw'!$B$4:$B$8000,TRIM($A433),'Timesheet Raw'!$C$4:$C$8000,"*"&amp;$B433&amp;"*",'Timesheet Raw'!$L$4:$L$8000,"&gt;="&amp;I$5,'Timesheet Raw'!$L$4:$L$8000,"&lt;="&amp;I$6)))/'Profit Plan'!$B$5)</f>
        <v/>
      </c>
      <c r="J433" s="122" t="str">
        <f>IF($A433="","",(IF(ISNUMBER(SEARCH("Proposal",$A433)),SUMIFS('Timesheet Raw'!$P$4:$P$8000,'Timesheet Raw'!$A$4:$A$8000,IF(ISNUMBER(SEARCH("Chargable",$A433)),"2-Proposals Chargeable","3-Proposals Regular"),'Timesheet Raw'!$C$4:$C$8000,"*"&amp;$B433&amp;"*",'Timesheet Raw'!$L$4:$L$8000,"&gt;="&amp;MAX(J$5,DATE(2000+VALUE(RIGHT(TRIM($A433),2)),1,1)),'Timesheet Raw'!$L$4:$L$8000,"&lt;="&amp;MIN(J$6,DATE(2000+VALUE(RIGHT(TRIM($A433),2)),12,31))),SUMIFS('Timesheet Raw'!$P$4:$P$8000,'Timesheet Raw'!$B$4:$B$8000,TRIM($A433),'Timesheet Raw'!$C$4:$C$8000,"*"&amp;$B433&amp;"*",'Timesheet Raw'!$L$4:$L$8000,"&gt;="&amp;J$5,'Timesheet Raw'!$L$4:$L$8000,"&lt;="&amp;J$6)))/'Profit Plan'!$B$5)</f>
        <v/>
      </c>
      <c r="K433" s="122" t="str">
        <f>IF($A433="","",(IF(ISNUMBER(SEARCH("Proposal",$A433)),SUMIFS('Timesheet Raw'!$P$4:$P$8000,'Timesheet Raw'!$A$4:$A$8000,IF(ISNUMBER(SEARCH("Chargable",$A433)),"2-Proposals Chargeable","3-Proposals Regular"),'Timesheet Raw'!$C$4:$C$8000,"*"&amp;$B433&amp;"*",'Timesheet Raw'!$L$4:$L$8000,"&gt;="&amp;MAX(K$5,DATE(2000+VALUE(RIGHT(TRIM($A433),2)),1,1)),'Timesheet Raw'!$L$4:$L$8000,"&lt;="&amp;MIN(K$6,DATE(2000+VALUE(RIGHT(TRIM($A433),2)),12,31))),SUMIFS('Timesheet Raw'!$P$4:$P$8000,'Timesheet Raw'!$B$4:$B$8000,TRIM($A433),'Timesheet Raw'!$C$4:$C$8000,"*"&amp;$B433&amp;"*",'Timesheet Raw'!$L$4:$L$8000,"&gt;="&amp;K$5,'Timesheet Raw'!$L$4:$L$8000,"&lt;="&amp;K$6)))/'Profit Plan'!$B$5)</f>
        <v/>
      </c>
      <c r="L433" s="122" t="str">
        <f>IF($A433="","",(IF(ISNUMBER(SEARCH("Proposal",$A433)),SUMIFS('Timesheet Raw'!$P$4:$P$8000,'Timesheet Raw'!$A$4:$A$8000,IF(ISNUMBER(SEARCH("Chargable",$A433)),"2-Proposals Chargeable","3-Proposals Regular"),'Timesheet Raw'!$C$4:$C$8000,"*"&amp;$B433&amp;"*",'Timesheet Raw'!$L$4:$L$8000,"&gt;="&amp;MAX(L$5,DATE(2000+VALUE(RIGHT(TRIM($A433),2)),1,1)),'Timesheet Raw'!$L$4:$L$8000,"&lt;="&amp;MIN(L$6,DATE(2000+VALUE(RIGHT(TRIM($A433),2)),12,31))),SUMIFS('Timesheet Raw'!$P$4:$P$8000,'Timesheet Raw'!$B$4:$B$8000,TRIM($A433),'Timesheet Raw'!$C$4:$C$8000,"*"&amp;$B433&amp;"*",'Timesheet Raw'!$L$4:$L$8000,"&gt;="&amp;L$5,'Timesheet Raw'!$L$4:$L$8000,"&lt;="&amp;L$6)))/'Profit Plan'!$B$5)</f>
        <v/>
      </c>
      <c r="M433" s="122" t="str">
        <f>IF($A433="","",(IF(ISNUMBER(SEARCH("Proposal",$A433)),SUMIFS('Timesheet Raw'!$P$4:$P$8000,'Timesheet Raw'!$A$4:$A$8000,IF(ISNUMBER(SEARCH("Chargable",$A433)),"2-Proposals Chargeable","3-Proposals Regular"),'Timesheet Raw'!$C$4:$C$8000,"*"&amp;$B433&amp;"*",'Timesheet Raw'!$L$4:$L$8000,"&gt;="&amp;MAX(M$5,DATE(2000+VALUE(RIGHT(TRIM($A433),2)),1,1)),'Timesheet Raw'!$L$4:$L$8000,"&lt;="&amp;MIN(M$6,DATE(2000+VALUE(RIGHT(TRIM($A433),2)),12,31))),SUMIFS('Timesheet Raw'!$P$4:$P$8000,'Timesheet Raw'!$B$4:$B$8000,TRIM($A433),'Timesheet Raw'!$C$4:$C$8000,"*"&amp;$B433&amp;"*",'Timesheet Raw'!$L$4:$L$8000,"&gt;="&amp;M$5,'Timesheet Raw'!$L$4:$L$8000,"&lt;="&amp;M$6)))/'Profit Plan'!$B$5)</f>
        <v/>
      </c>
      <c r="N433" s="122" t="str">
        <f>IF($A433="","",(IF(ISNUMBER(SEARCH("Proposal",$A433)),SUMIFS('Timesheet Raw'!$P$4:$P$8000,'Timesheet Raw'!$A$4:$A$8000,IF(ISNUMBER(SEARCH("Chargable",$A433)),"2-Proposals Chargeable","3-Proposals Regular"),'Timesheet Raw'!$C$4:$C$8000,"*"&amp;$B433&amp;"*",'Timesheet Raw'!$L$4:$L$8000,"&gt;="&amp;MAX(N$5,DATE(2000+VALUE(RIGHT(TRIM($A433),2)),1,1)),'Timesheet Raw'!$L$4:$L$8000,"&lt;="&amp;MIN(N$6,DATE(2000+VALUE(RIGHT(TRIM($A433),2)),12,31))),SUMIFS('Timesheet Raw'!$P$4:$P$8000,'Timesheet Raw'!$B$4:$B$8000,TRIM($A433),'Timesheet Raw'!$C$4:$C$8000,"*"&amp;$B433&amp;"*",'Timesheet Raw'!$L$4:$L$8000,"&gt;="&amp;N$5,'Timesheet Raw'!$L$4:$L$8000,"&lt;="&amp;N$6)))/'Profit Plan'!$B$5)</f>
        <v/>
      </c>
      <c r="O433" s="122" t="str">
        <f>IF($A433="","",(IF(ISNUMBER(SEARCH("Proposal",$A433)),SUMIFS('Timesheet Raw'!$P$4:$P$8000,'Timesheet Raw'!$A$4:$A$8000,IF(ISNUMBER(SEARCH("Chargable",$A433)),"2-Proposals Chargeable","3-Proposals Regular"),'Timesheet Raw'!$C$4:$C$8000,"*"&amp;$B433&amp;"*",'Timesheet Raw'!$L$4:$L$8000,"&gt;="&amp;MAX(O$5,DATE(2000+VALUE(RIGHT(TRIM($A433),2)),1,1)),'Timesheet Raw'!$L$4:$L$8000,"&lt;="&amp;MIN(O$6,DATE(2000+VALUE(RIGHT(TRIM($A433),2)),12,31))),SUMIFS('Timesheet Raw'!$P$4:$P$8000,'Timesheet Raw'!$B$4:$B$8000,TRIM($A433),'Timesheet Raw'!$C$4:$C$8000,"*"&amp;$B433&amp;"*",'Timesheet Raw'!$L$4:$L$8000,"&gt;="&amp;O$5,'Timesheet Raw'!$L$4:$L$8000,"&lt;="&amp;O$6)))/'Profit Plan'!$B$5)</f>
        <v/>
      </c>
      <c r="P433" s="122" t="str">
        <f>IF($A433="","",(IF(ISNUMBER(SEARCH("Proposal",$A433)),SUMIFS('Timesheet Raw'!$P$4:$P$8000,'Timesheet Raw'!$A$4:$A$8000,IF(ISNUMBER(SEARCH("Chargable",$A433)),"2-Proposals Chargeable","3-Proposals Regular"),'Timesheet Raw'!$C$4:$C$8000,"*"&amp;$B433&amp;"*",'Timesheet Raw'!$L$4:$L$8000,"&gt;="&amp;MAX(P$5,DATE(2000+VALUE(RIGHT(TRIM($A433),2)),1,1)),'Timesheet Raw'!$L$4:$L$8000,"&lt;="&amp;MIN(P$6,DATE(2000+VALUE(RIGHT(TRIM($A433),2)),12,31))),SUMIFS('Timesheet Raw'!$P$4:$P$8000,'Timesheet Raw'!$B$4:$B$8000,TRIM($A433),'Timesheet Raw'!$C$4:$C$8000,"*"&amp;$B433&amp;"*",'Timesheet Raw'!$L$4:$L$8000,"&gt;="&amp;P$5,'Timesheet Raw'!$L$4:$L$8000,"&lt;="&amp;P$6)))/'Profit Plan'!$B$5)</f>
        <v/>
      </c>
      <c r="Q433" s="122" t="str">
        <f>IF($A433="","",(IF(ISNUMBER(SEARCH("Proposal",$A433)),SUMIFS('Timesheet Raw'!$P$4:$P$8000,'Timesheet Raw'!$A$4:$A$8000,IF(ISNUMBER(SEARCH("Chargable",$A433)),"2-Proposals Chargeable","3-Proposals Regular"),'Timesheet Raw'!$C$4:$C$8000,"*"&amp;$B433&amp;"*",'Timesheet Raw'!$L$4:$L$8000,"&gt;="&amp;MAX(Q$5,DATE(2000+VALUE(RIGHT(TRIM($A433),2)),1,1)),'Timesheet Raw'!$L$4:$L$8000,"&lt;="&amp;MIN(Q$6,DATE(2000+VALUE(RIGHT(TRIM($A433),2)),12,31))),SUMIFS('Timesheet Raw'!$P$4:$P$8000,'Timesheet Raw'!$B$4:$B$8000,TRIM($A433),'Timesheet Raw'!$C$4:$C$8000,"*"&amp;$B433&amp;"*",'Timesheet Raw'!$L$4:$L$8000,"&gt;="&amp;Q$5,'Timesheet Raw'!$L$4:$L$8000,"&lt;="&amp;Q$6)))/'Profit Plan'!$B$5)</f>
        <v/>
      </c>
      <c r="R433" s="122" t="str">
        <f>IF($A433="","",(IF(ISNUMBER(SEARCH("Proposal",$A433)),SUMIFS('Timesheet Raw'!$P$4:$P$8000,'Timesheet Raw'!$A$4:$A$8000,IF(ISNUMBER(SEARCH("Chargable",$A433)),"2-Proposals Chargeable","3-Proposals Regular"),'Timesheet Raw'!$C$4:$C$8000,"*"&amp;$B433&amp;"*",'Timesheet Raw'!$L$4:$L$8000,"&gt;="&amp;MAX(R$5,DATE(2000+VALUE(RIGHT(TRIM($A433),2)),1,1)),'Timesheet Raw'!$L$4:$L$8000,"&lt;="&amp;MIN(R$6,DATE(2000+VALUE(RIGHT(TRIM($A433),2)),12,31))),SUMIFS('Timesheet Raw'!$P$4:$P$8000,'Timesheet Raw'!$B$4:$B$8000,TRIM($A433),'Timesheet Raw'!$C$4:$C$8000,"*"&amp;$B433&amp;"*",'Timesheet Raw'!$L$4:$L$8000,"&gt;="&amp;R$5,'Timesheet Raw'!$L$4:$L$8000,"&lt;="&amp;R$6)))/'Profit Plan'!$B$5)</f>
        <v/>
      </c>
      <c r="S433" s="122" t="str">
        <f>IF($A433="","",(IF(ISNUMBER(SEARCH("Proposal",$A433)),SUMIFS('Timesheet Raw'!$P$4:$P$8000,'Timesheet Raw'!$A$4:$A$8000,IF(ISNUMBER(SEARCH("Chargable",$A433)),"2-Proposals Chargeable","3-Proposals Regular"),'Timesheet Raw'!$C$4:$C$8000,"*"&amp;$B433&amp;"*",'Timesheet Raw'!$L$4:$L$8000,"&gt;="&amp;MAX(S$5,DATE(2000+VALUE(RIGHT(TRIM($A433),2)),1,1)),'Timesheet Raw'!$L$4:$L$8000,"&lt;="&amp;MIN(S$6,DATE(2000+VALUE(RIGHT(TRIM($A433),2)),12,31))),SUMIFS('Timesheet Raw'!$P$4:$P$8000,'Timesheet Raw'!$B$4:$B$8000,TRIM($A433),'Timesheet Raw'!$C$4:$C$8000,"*"&amp;$B433&amp;"*",'Timesheet Raw'!$L$4:$L$8000,"&gt;="&amp;S$5,'Timesheet Raw'!$L$4:$L$8000,"&lt;="&amp;S$6)))/'Profit Plan'!$B$5)</f>
        <v/>
      </c>
      <c r="T433" s="122" t="str">
        <f>IF($A433="","",(IF(ISNUMBER(SEARCH("Proposal",$A433)),SUMIFS('Timesheet Raw'!$P$4:$P$8000,'Timesheet Raw'!$A$4:$A$8000,IF(ISNUMBER(SEARCH("Chargable",$A433)),"2-Proposals Chargeable","3-Proposals Regular"),'Timesheet Raw'!$C$4:$C$8000,"*"&amp;$B433&amp;"*",'Timesheet Raw'!$L$4:$L$8000,"&gt;="&amp;MAX(T$5,DATE(2000+VALUE(RIGHT(TRIM($A433),2)),1,1)),'Timesheet Raw'!$L$4:$L$8000,"&lt;="&amp;MIN(T$6,DATE(2000+VALUE(RIGHT(TRIM($A433),2)),12,31))),SUMIFS('Timesheet Raw'!$P$4:$P$8000,'Timesheet Raw'!$B$4:$B$8000,TRIM($A433),'Timesheet Raw'!$C$4:$C$8000,"*"&amp;$B433&amp;"*",'Timesheet Raw'!$L$4:$L$8000,"&gt;="&amp;T$5,'Timesheet Raw'!$L$4:$L$8000,"&lt;="&amp;T$6)))/'Profit Plan'!$B$5)</f>
        <v/>
      </c>
      <c r="U433" s="122" t="str">
        <f>IF($A433="","",(IF(ISNUMBER(SEARCH("Proposal",$A433)),SUMIFS('Timesheet Raw'!$P$4:$P$8000,'Timesheet Raw'!$A$4:$A$8000,IF(ISNUMBER(SEARCH("Chargable",$A433)),"2-Proposals Chargeable","3-Proposals Regular"),'Timesheet Raw'!$C$4:$C$8000,"*"&amp;$B433&amp;"*",'Timesheet Raw'!$L$4:$L$8000,"&gt;="&amp;MAX(U$5,DATE(2000+VALUE(RIGHT(TRIM($A433),2)),1,1)),'Timesheet Raw'!$L$4:$L$8000,"&lt;="&amp;MIN(U$6,DATE(2000+VALUE(RIGHT(TRIM($A433),2)),12,31))),SUMIFS('Timesheet Raw'!$P$4:$P$8000,'Timesheet Raw'!$B$4:$B$8000,TRIM($A433),'Timesheet Raw'!$C$4:$C$8000,"*"&amp;$B433&amp;"*",'Timesheet Raw'!$L$4:$L$8000,"&gt;="&amp;U$5,'Timesheet Raw'!$L$4:$L$8000,"&lt;="&amp;U$6)))/'Profit Plan'!$B$5)</f>
        <v/>
      </c>
      <c r="V433" s="122" t="str">
        <f>IF($A433="","",(IF(ISNUMBER(SEARCH("Proposal",$A433)),SUMIFS('Timesheet Raw'!$P$4:$P$8000,'Timesheet Raw'!$A$4:$A$8000,IF(ISNUMBER(SEARCH("Chargable",$A433)),"2-Proposals Chargeable","3-Proposals Regular"),'Timesheet Raw'!$C$4:$C$8000,"*"&amp;$B433&amp;"*",'Timesheet Raw'!$L$4:$L$8000,"&gt;="&amp;MAX(V$5,DATE(2000+VALUE(RIGHT(TRIM($A433),2)),1,1)),'Timesheet Raw'!$L$4:$L$8000,"&lt;="&amp;MIN(V$6,DATE(2000+VALUE(RIGHT(TRIM($A433),2)),12,31))),SUMIFS('Timesheet Raw'!$P$4:$P$8000,'Timesheet Raw'!$B$4:$B$8000,TRIM($A433),'Timesheet Raw'!$C$4:$C$8000,"*"&amp;$B433&amp;"*",'Timesheet Raw'!$L$4:$L$8000,"&gt;="&amp;V$5,'Timesheet Raw'!$L$4:$L$8000,"&lt;="&amp;V$6)))/'Profit Plan'!$B$5)</f>
        <v/>
      </c>
      <c r="W433" s="122" t="str">
        <f>IF($A433="","",(IF(ISNUMBER(SEARCH("Proposal",$A433)),SUMIFS('Timesheet Raw'!$P$4:$P$8000,'Timesheet Raw'!$A$4:$A$8000,IF(ISNUMBER(SEARCH("Chargable",$A433)),"2-Proposals Chargeable","3-Proposals Regular"),'Timesheet Raw'!$C$4:$C$8000,"*"&amp;$B433&amp;"*",'Timesheet Raw'!$L$4:$L$8000,"&gt;="&amp;MAX(W$5,DATE(2000+VALUE(RIGHT(TRIM($A433),2)),1,1)),'Timesheet Raw'!$L$4:$L$8000,"&lt;="&amp;MIN(W$6,DATE(2000+VALUE(RIGHT(TRIM($A433),2)),12,31))),SUMIFS('Timesheet Raw'!$P$4:$P$8000,'Timesheet Raw'!$B$4:$B$8000,TRIM($A433),'Timesheet Raw'!$C$4:$C$8000,"*"&amp;$B433&amp;"*",'Timesheet Raw'!$L$4:$L$8000,"&gt;="&amp;W$5,'Timesheet Raw'!$L$4:$L$8000,"&lt;="&amp;W$6)))/'Profit Plan'!$B$5)</f>
        <v/>
      </c>
      <c r="X433" s="122" t="str">
        <f>IF($A433="","",(IF(ISNUMBER(SEARCH("Proposal",$A433)),SUMIFS('Timesheet Raw'!$P$4:$P$8000,'Timesheet Raw'!$A$4:$A$8000,IF(ISNUMBER(SEARCH("Chargable",$A433)),"2-Proposals Chargeable","3-Proposals Regular"),'Timesheet Raw'!$C$4:$C$8000,"*"&amp;$B433&amp;"*",'Timesheet Raw'!$L$4:$L$8000,"&gt;="&amp;MAX(X$5,DATE(2000+VALUE(RIGHT(TRIM($A433),2)),1,1)),'Timesheet Raw'!$L$4:$L$8000,"&lt;="&amp;MIN(X$6,DATE(2000+VALUE(RIGHT(TRIM($A433),2)),12,31))),SUMIFS('Timesheet Raw'!$P$4:$P$8000,'Timesheet Raw'!$B$4:$B$8000,TRIM($A433),'Timesheet Raw'!$C$4:$C$8000,"*"&amp;$B433&amp;"*",'Timesheet Raw'!$L$4:$L$8000,"&gt;="&amp;X$5,'Timesheet Raw'!$L$4:$L$8000,"&lt;="&amp;X$6)))/'Profit Plan'!$B$5)</f>
        <v/>
      </c>
      <c r="Y433" s="118">
        <f t="shared" si="102"/>
        <v>0</v>
      </c>
    </row>
    <row r="434" spans="1:25" x14ac:dyDescent="0.3">
      <c r="A434" s="116" t="str">
        <f>IF(Inputs!$A62="","",Inputs!$A62)</f>
        <v/>
      </c>
      <c r="B434" s="116" t="str">
        <f>IF(Inputs!$A62="","",Inputs!$A$92)</f>
        <v/>
      </c>
      <c r="C434" s="116"/>
      <c r="D434" s="122" t="str">
        <f>IF($A434="","",(IF(ISNUMBER(SEARCH("Proposal",$A434)),SUMIFS('Timesheet Raw'!$P$4:$P$8000,'Timesheet Raw'!$A$4:$A$8000,IF(ISNUMBER(SEARCH("Chargable",$A434)),"2-Proposals Chargeable","3-Proposals Regular"),'Timesheet Raw'!$C$4:$C$8000,"*"&amp;$B434&amp;"*",'Timesheet Raw'!$L$4:$L$8000,"&gt;="&amp;MAX(D$5,DATE(2000+VALUE(RIGHT(TRIM($A434),2)),1,1)),'Timesheet Raw'!$L$4:$L$8000,"&lt;="&amp;MIN(D$6,DATE(2000+VALUE(RIGHT(TRIM($A434),2)),12,31))),SUMIFS('Timesheet Raw'!$P$4:$P$8000,'Timesheet Raw'!$B$4:$B$8000,TRIM($A434),'Timesheet Raw'!$C$4:$C$8000,"*"&amp;$B434&amp;"*",'Timesheet Raw'!$L$4:$L$8000,"&gt;="&amp;D$5,'Timesheet Raw'!$L$4:$L$8000,"&lt;="&amp;D$6)))/'Profit Plan'!$B$5)</f>
        <v/>
      </c>
      <c r="E434" s="122" t="str">
        <f>IF($A434="","",(IF(ISNUMBER(SEARCH("Proposal",$A434)),SUMIFS('Timesheet Raw'!$P$4:$P$8000,'Timesheet Raw'!$A$4:$A$8000,IF(ISNUMBER(SEARCH("Chargable",$A434)),"2-Proposals Chargeable","3-Proposals Regular"),'Timesheet Raw'!$C$4:$C$8000,"*"&amp;$B434&amp;"*",'Timesheet Raw'!$L$4:$L$8000,"&gt;="&amp;MAX(E$5,DATE(2000+VALUE(RIGHT(TRIM($A434),2)),1,1)),'Timesheet Raw'!$L$4:$L$8000,"&lt;="&amp;MIN(E$6,DATE(2000+VALUE(RIGHT(TRIM($A434),2)),12,31))),SUMIFS('Timesheet Raw'!$P$4:$P$8000,'Timesheet Raw'!$B$4:$B$8000,TRIM($A434),'Timesheet Raw'!$C$4:$C$8000,"*"&amp;$B434&amp;"*",'Timesheet Raw'!$L$4:$L$8000,"&gt;="&amp;E$5,'Timesheet Raw'!$L$4:$L$8000,"&lt;="&amp;E$6)))/'Profit Plan'!$B$5)</f>
        <v/>
      </c>
      <c r="F434" s="122" t="str">
        <f>IF($A434="","",(IF(ISNUMBER(SEARCH("Proposal",$A434)),SUMIFS('Timesheet Raw'!$P$4:$P$8000,'Timesheet Raw'!$A$4:$A$8000,IF(ISNUMBER(SEARCH("Chargable",$A434)),"2-Proposals Chargeable","3-Proposals Regular"),'Timesheet Raw'!$C$4:$C$8000,"*"&amp;$B434&amp;"*",'Timesheet Raw'!$L$4:$L$8000,"&gt;="&amp;MAX(F$5,DATE(2000+VALUE(RIGHT(TRIM($A434),2)),1,1)),'Timesheet Raw'!$L$4:$L$8000,"&lt;="&amp;MIN(F$6,DATE(2000+VALUE(RIGHT(TRIM($A434),2)),12,31))),SUMIFS('Timesheet Raw'!$P$4:$P$8000,'Timesheet Raw'!$B$4:$B$8000,TRIM($A434),'Timesheet Raw'!$C$4:$C$8000,"*"&amp;$B434&amp;"*",'Timesheet Raw'!$L$4:$L$8000,"&gt;="&amp;F$5,'Timesheet Raw'!$L$4:$L$8000,"&lt;="&amp;F$6)))/'Profit Plan'!$B$5)</f>
        <v/>
      </c>
      <c r="G434" s="122" t="str">
        <f>IF($A434="","",(IF(ISNUMBER(SEARCH("Proposal",$A434)),SUMIFS('Timesheet Raw'!$P$4:$P$8000,'Timesheet Raw'!$A$4:$A$8000,IF(ISNUMBER(SEARCH("Chargable",$A434)),"2-Proposals Chargeable","3-Proposals Regular"),'Timesheet Raw'!$C$4:$C$8000,"*"&amp;$B434&amp;"*",'Timesheet Raw'!$L$4:$L$8000,"&gt;="&amp;MAX(G$5,DATE(2000+VALUE(RIGHT(TRIM($A434),2)),1,1)),'Timesheet Raw'!$L$4:$L$8000,"&lt;="&amp;MIN(G$6,DATE(2000+VALUE(RIGHT(TRIM($A434),2)),12,31))),SUMIFS('Timesheet Raw'!$P$4:$P$8000,'Timesheet Raw'!$B$4:$B$8000,TRIM($A434),'Timesheet Raw'!$C$4:$C$8000,"*"&amp;$B434&amp;"*",'Timesheet Raw'!$L$4:$L$8000,"&gt;="&amp;G$5,'Timesheet Raw'!$L$4:$L$8000,"&lt;="&amp;G$6)))/'Profit Plan'!$B$5)</f>
        <v/>
      </c>
      <c r="H434" s="122" t="str">
        <f>IF($A434="","",(IF(ISNUMBER(SEARCH("Proposal",$A434)),SUMIFS('Timesheet Raw'!$P$4:$P$8000,'Timesheet Raw'!$A$4:$A$8000,IF(ISNUMBER(SEARCH("Chargable",$A434)),"2-Proposals Chargeable","3-Proposals Regular"),'Timesheet Raw'!$C$4:$C$8000,"*"&amp;$B434&amp;"*",'Timesheet Raw'!$L$4:$L$8000,"&gt;="&amp;MAX(H$5,DATE(2000+VALUE(RIGHT(TRIM($A434),2)),1,1)),'Timesheet Raw'!$L$4:$L$8000,"&lt;="&amp;MIN(H$6,DATE(2000+VALUE(RIGHT(TRIM($A434),2)),12,31))),SUMIFS('Timesheet Raw'!$P$4:$P$8000,'Timesheet Raw'!$B$4:$B$8000,TRIM($A434),'Timesheet Raw'!$C$4:$C$8000,"*"&amp;$B434&amp;"*",'Timesheet Raw'!$L$4:$L$8000,"&gt;="&amp;H$5,'Timesheet Raw'!$L$4:$L$8000,"&lt;="&amp;H$6)))/'Profit Plan'!$B$5)</f>
        <v/>
      </c>
      <c r="I434" s="122" t="str">
        <f>IF($A434="","",(IF(ISNUMBER(SEARCH("Proposal",$A434)),SUMIFS('Timesheet Raw'!$P$4:$P$8000,'Timesheet Raw'!$A$4:$A$8000,IF(ISNUMBER(SEARCH("Chargable",$A434)),"2-Proposals Chargeable","3-Proposals Regular"),'Timesheet Raw'!$C$4:$C$8000,"*"&amp;$B434&amp;"*",'Timesheet Raw'!$L$4:$L$8000,"&gt;="&amp;MAX(I$5,DATE(2000+VALUE(RIGHT(TRIM($A434),2)),1,1)),'Timesheet Raw'!$L$4:$L$8000,"&lt;="&amp;MIN(I$6,DATE(2000+VALUE(RIGHT(TRIM($A434),2)),12,31))),SUMIFS('Timesheet Raw'!$P$4:$P$8000,'Timesheet Raw'!$B$4:$B$8000,TRIM($A434),'Timesheet Raw'!$C$4:$C$8000,"*"&amp;$B434&amp;"*",'Timesheet Raw'!$L$4:$L$8000,"&gt;="&amp;I$5,'Timesheet Raw'!$L$4:$L$8000,"&lt;="&amp;I$6)))/'Profit Plan'!$B$5)</f>
        <v/>
      </c>
      <c r="J434" s="122" t="str">
        <f>IF($A434="","",(IF(ISNUMBER(SEARCH("Proposal",$A434)),SUMIFS('Timesheet Raw'!$P$4:$P$8000,'Timesheet Raw'!$A$4:$A$8000,IF(ISNUMBER(SEARCH("Chargable",$A434)),"2-Proposals Chargeable","3-Proposals Regular"),'Timesheet Raw'!$C$4:$C$8000,"*"&amp;$B434&amp;"*",'Timesheet Raw'!$L$4:$L$8000,"&gt;="&amp;MAX(J$5,DATE(2000+VALUE(RIGHT(TRIM($A434),2)),1,1)),'Timesheet Raw'!$L$4:$L$8000,"&lt;="&amp;MIN(J$6,DATE(2000+VALUE(RIGHT(TRIM($A434),2)),12,31))),SUMIFS('Timesheet Raw'!$P$4:$P$8000,'Timesheet Raw'!$B$4:$B$8000,TRIM($A434),'Timesheet Raw'!$C$4:$C$8000,"*"&amp;$B434&amp;"*",'Timesheet Raw'!$L$4:$L$8000,"&gt;="&amp;J$5,'Timesheet Raw'!$L$4:$L$8000,"&lt;="&amp;J$6)))/'Profit Plan'!$B$5)</f>
        <v/>
      </c>
      <c r="K434" s="122" t="str">
        <f>IF($A434="","",(IF(ISNUMBER(SEARCH("Proposal",$A434)),SUMIFS('Timesheet Raw'!$P$4:$P$8000,'Timesheet Raw'!$A$4:$A$8000,IF(ISNUMBER(SEARCH("Chargable",$A434)),"2-Proposals Chargeable","3-Proposals Regular"),'Timesheet Raw'!$C$4:$C$8000,"*"&amp;$B434&amp;"*",'Timesheet Raw'!$L$4:$L$8000,"&gt;="&amp;MAX(K$5,DATE(2000+VALUE(RIGHT(TRIM($A434),2)),1,1)),'Timesheet Raw'!$L$4:$L$8000,"&lt;="&amp;MIN(K$6,DATE(2000+VALUE(RIGHT(TRIM($A434),2)),12,31))),SUMIFS('Timesheet Raw'!$P$4:$P$8000,'Timesheet Raw'!$B$4:$B$8000,TRIM($A434),'Timesheet Raw'!$C$4:$C$8000,"*"&amp;$B434&amp;"*",'Timesheet Raw'!$L$4:$L$8000,"&gt;="&amp;K$5,'Timesheet Raw'!$L$4:$L$8000,"&lt;="&amp;K$6)))/'Profit Plan'!$B$5)</f>
        <v/>
      </c>
      <c r="L434" s="122" t="str">
        <f>IF($A434="","",(IF(ISNUMBER(SEARCH("Proposal",$A434)),SUMIFS('Timesheet Raw'!$P$4:$P$8000,'Timesheet Raw'!$A$4:$A$8000,IF(ISNUMBER(SEARCH("Chargable",$A434)),"2-Proposals Chargeable","3-Proposals Regular"),'Timesheet Raw'!$C$4:$C$8000,"*"&amp;$B434&amp;"*",'Timesheet Raw'!$L$4:$L$8000,"&gt;="&amp;MAX(L$5,DATE(2000+VALUE(RIGHT(TRIM($A434),2)),1,1)),'Timesheet Raw'!$L$4:$L$8000,"&lt;="&amp;MIN(L$6,DATE(2000+VALUE(RIGHT(TRIM($A434),2)),12,31))),SUMIFS('Timesheet Raw'!$P$4:$P$8000,'Timesheet Raw'!$B$4:$B$8000,TRIM($A434),'Timesheet Raw'!$C$4:$C$8000,"*"&amp;$B434&amp;"*",'Timesheet Raw'!$L$4:$L$8000,"&gt;="&amp;L$5,'Timesheet Raw'!$L$4:$L$8000,"&lt;="&amp;L$6)))/'Profit Plan'!$B$5)</f>
        <v/>
      </c>
      <c r="M434" s="122" t="str">
        <f>IF($A434="","",(IF(ISNUMBER(SEARCH("Proposal",$A434)),SUMIFS('Timesheet Raw'!$P$4:$P$8000,'Timesheet Raw'!$A$4:$A$8000,IF(ISNUMBER(SEARCH("Chargable",$A434)),"2-Proposals Chargeable","3-Proposals Regular"),'Timesheet Raw'!$C$4:$C$8000,"*"&amp;$B434&amp;"*",'Timesheet Raw'!$L$4:$L$8000,"&gt;="&amp;MAX(M$5,DATE(2000+VALUE(RIGHT(TRIM($A434),2)),1,1)),'Timesheet Raw'!$L$4:$L$8000,"&lt;="&amp;MIN(M$6,DATE(2000+VALUE(RIGHT(TRIM($A434),2)),12,31))),SUMIFS('Timesheet Raw'!$P$4:$P$8000,'Timesheet Raw'!$B$4:$B$8000,TRIM($A434),'Timesheet Raw'!$C$4:$C$8000,"*"&amp;$B434&amp;"*",'Timesheet Raw'!$L$4:$L$8000,"&gt;="&amp;M$5,'Timesheet Raw'!$L$4:$L$8000,"&lt;="&amp;M$6)))/'Profit Plan'!$B$5)</f>
        <v/>
      </c>
      <c r="N434" s="122" t="str">
        <f>IF($A434="","",(IF(ISNUMBER(SEARCH("Proposal",$A434)),SUMIFS('Timesheet Raw'!$P$4:$P$8000,'Timesheet Raw'!$A$4:$A$8000,IF(ISNUMBER(SEARCH("Chargable",$A434)),"2-Proposals Chargeable","3-Proposals Regular"),'Timesheet Raw'!$C$4:$C$8000,"*"&amp;$B434&amp;"*",'Timesheet Raw'!$L$4:$L$8000,"&gt;="&amp;MAX(N$5,DATE(2000+VALUE(RIGHT(TRIM($A434),2)),1,1)),'Timesheet Raw'!$L$4:$L$8000,"&lt;="&amp;MIN(N$6,DATE(2000+VALUE(RIGHT(TRIM($A434),2)),12,31))),SUMIFS('Timesheet Raw'!$P$4:$P$8000,'Timesheet Raw'!$B$4:$B$8000,TRIM($A434),'Timesheet Raw'!$C$4:$C$8000,"*"&amp;$B434&amp;"*",'Timesheet Raw'!$L$4:$L$8000,"&gt;="&amp;N$5,'Timesheet Raw'!$L$4:$L$8000,"&lt;="&amp;N$6)))/'Profit Plan'!$B$5)</f>
        <v/>
      </c>
      <c r="O434" s="122" t="str">
        <f>IF($A434="","",(IF(ISNUMBER(SEARCH("Proposal",$A434)),SUMIFS('Timesheet Raw'!$P$4:$P$8000,'Timesheet Raw'!$A$4:$A$8000,IF(ISNUMBER(SEARCH("Chargable",$A434)),"2-Proposals Chargeable","3-Proposals Regular"),'Timesheet Raw'!$C$4:$C$8000,"*"&amp;$B434&amp;"*",'Timesheet Raw'!$L$4:$L$8000,"&gt;="&amp;MAX(O$5,DATE(2000+VALUE(RIGHT(TRIM($A434),2)),1,1)),'Timesheet Raw'!$L$4:$L$8000,"&lt;="&amp;MIN(O$6,DATE(2000+VALUE(RIGHT(TRIM($A434),2)),12,31))),SUMIFS('Timesheet Raw'!$P$4:$P$8000,'Timesheet Raw'!$B$4:$B$8000,TRIM($A434),'Timesheet Raw'!$C$4:$C$8000,"*"&amp;$B434&amp;"*",'Timesheet Raw'!$L$4:$L$8000,"&gt;="&amp;O$5,'Timesheet Raw'!$L$4:$L$8000,"&lt;="&amp;O$6)))/'Profit Plan'!$B$5)</f>
        <v/>
      </c>
      <c r="P434" s="122" t="str">
        <f>IF($A434="","",(IF(ISNUMBER(SEARCH("Proposal",$A434)),SUMIFS('Timesheet Raw'!$P$4:$P$8000,'Timesheet Raw'!$A$4:$A$8000,IF(ISNUMBER(SEARCH("Chargable",$A434)),"2-Proposals Chargeable","3-Proposals Regular"),'Timesheet Raw'!$C$4:$C$8000,"*"&amp;$B434&amp;"*",'Timesheet Raw'!$L$4:$L$8000,"&gt;="&amp;MAX(P$5,DATE(2000+VALUE(RIGHT(TRIM($A434),2)),1,1)),'Timesheet Raw'!$L$4:$L$8000,"&lt;="&amp;MIN(P$6,DATE(2000+VALUE(RIGHT(TRIM($A434),2)),12,31))),SUMIFS('Timesheet Raw'!$P$4:$P$8000,'Timesheet Raw'!$B$4:$B$8000,TRIM($A434),'Timesheet Raw'!$C$4:$C$8000,"*"&amp;$B434&amp;"*",'Timesheet Raw'!$L$4:$L$8000,"&gt;="&amp;P$5,'Timesheet Raw'!$L$4:$L$8000,"&lt;="&amp;P$6)))/'Profit Plan'!$B$5)</f>
        <v/>
      </c>
      <c r="Q434" s="122" t="str">
        <f>IF($A434="","",(IF(ISNUMBER(SEARCH("Proposal",$A434)),SUMIFS('Timesheet Raw'!$P$4:$P$8000,'Timesheet Raw'!$A$4:$A$8000,IF(ISNUMBER(SEARCH("Chargable",$A434)),"2-Proposals Chargeable","3-Proposals Regular"),'Timesheet Raw'!$C$4:$C$8000,"*"&amp;$B434&amp;"*",'Timesheet Raw'!$L$4:$L$8000,"&gt;="&amp;MAX(Q$5,DATE(2000+VALUE(RIGHT(TRIM($A434),2)),1,1)),'Timesheet Raw'!$L$4:$L$8000,"&lt;="&amp;MIN(Q$6,DATE(2000+VALUE(RIGHT(TRIM($A434),2)),12,31))),SUMIFS('Timesheet Raw'!$P$4:$P$8000,'Timesheet Raw'!$B$4:$B$8000,TRIM($A434),'Timesheet Raw'!$C$4:$C$8000,"*"&amp;$B434&amp;"*",'Timesheet Raw'!$L$4:$L$8000,"&gt;="&amp;Q$5,'Timesheet Raw'!$L$4:$L$8000,"&lt;="&amp;Q$6)))/'Profit Plan'!$B$5)</f>
        <v/>
      </c>
      <c r="R434" s="122" t="str">
        <f>IF($A434="","",(IF(ISNUMBER(SEARCH("Proposal",$A434)),SUMIFS('Timesheet Raw'!$P$4:$P$8000,'Timesheet Raw'!$A$4:$A$8000,IF(ISNUMBER(SEARCH("Chargable",$A434)),"2-Proposals Chargeable","3-Proposals Regular"),'Timesheet Raw'!$C$4:$C$8000,"*"&amp;$B434&amp;"*",'Timesheet Raw'!$L$4:$L$8000,"&gt;="&amp;MAX(R$5,DATE(2000+VALUE(RIGHT(TRIM($A434),2)),1,1)),'Timesheet Raw'!$L$4:$L$8000,"&lt;="&amp;MIN(R$6,DATE(2000+VALUE(RIGHT(TRIM($A434),2)),12,31))),SUMIFS('Timesheet Raw'!$P$4:$P$8000,'Timesheet Raw'!$B$4:$B$8000,TRIM($A434),'Timesheet Raw'!$C$4:$C$8000,"*"&amp;$B434&amp;"*",'Timesheet Raw'!$L$4:$L$8000,"&gt;="&amp;R$5,'Timesheet Raw'!$L$4:$L$8000,"&lt;="&amp;R$6)))/'Profit Plan'!$B$5)</f>
        <v/>
      </c>
      <c r="S434" s="122" t="str">
        <f>IF($A434="","",(IF(ISNUMBER(SEARCH("Proposal",$A434)),SUMIFS('Timesheet Raw'!$P$4:$P$8000,'Timesheet Raw'!$A$4:$A$8000,IF(ISNUMBER(SEARCH("Chargable",$A434)),"2-Proposals Chargeable","3-Proposals Regular"),'Timesheet Raw'!$C$4:$C$8000,"*"&amp;$B434&amp;"*",'Timesheet Raw'!$L$4:$L$8000,"&gt;="&amp;MAX(S$5,DATE(2000+VALUE(RIGHT(TRIM($A434),2)),1,1)),'Timesheet Raw'!$L$4:$L$8000,"&lt;="&amp;MIN(S$6,DATE(2000+VALUE(RIGHT(TRIM($A434),2)),12,31))),SUMIFS('Timesheet Raw'!$P$4:$P$8000,'Timesheet Raw'!$B$4:$B$8000,TRIM($A434),'Timesheet Raw'!$C$4:$C$8000,"*"&amp;$B434&amp;"*",'Timesheet Raw'!$L$4:$L$8000,"&gt;="&amp;S$5,'Timesheet Raw'!$L$4:$L$8000,"&lt;="&amp;S$6)))/'Profit Plan'!$B$5)</f>
        <v/>
      </c>
      <c r="T434" s="122" t="str">
        <f>IF($A434="","",(IF(ISNUMBER(SEARCH("Proposal",$A434)),SUMIFS('Timesheet Raw'!$P$4:$P$8000,'Timesheet Raw'!$A$4:$A$8000,IF(ISNUMBER(SEARCH("Chargable",$A434)),"2-Proposals Chargeable","3-Proposals Regular"),'Timesheet Raw'!$C$4:$C$8000,"*"&amp;$B434&amp;"*",'Timesheet Raw'!$L$4:$L$8000,"&gt;="&amp;MAX(T$5,DATE(2000+VALUE(RIGHT(TRIM($A434),2)),1,1)),'Timesheet Raw'!$L$4:$L$8000,"&lt;="&amp;MIN(T$6,DATE(2000+VALUE(RIGHT(TRIM($A434),2)),12,31))),SUMIFS('Timesheet Raw'!$P$4:$P$8000,'Timesheet Raw'!$B$4:$B$8000,TRIM($A434),'Timesheet Raw'!$C$4:$C$8000,"*"&amp;$B434&amp;"*",'Timesheet Raw'!$L$4:$L$8000,"&gt;="&amp;T$5,'Timesheet Raw'!$L$4:$L$8000,"&lt;="&amp;T$6)))/'Profit Plan'!$B$5)</f>
        <v/>
      </c>
      <c r="U434" s="122" t="str">
        <f>IF($A434="","",(IF(ISNUMBER(SEARCH("Proposal",$A434)),SUMIFS('Timesheet Raw'!$P$4:$P$8000,'Timesheet Raw'!$A$4:$A$8000,IF(ISNUMBER(SEARCH("Chargable",$A434)),"2-Proposals Chargeable","3-Proposals Regular"),'Timesheet Raw'!$C$4:$C$8000,"*"&amp;$B434&amp;"*",'Timesheet Raw'!$L$4:$L$8000,"&gt;="&amp;MAX(U$5,DATE(2000+VALUE(RIGHT(TRIM($A434),2)),1,1)),'Timesheet Raw'!$L$4:$L$8000,"&lt;="&amp;MIN(U$6,DATE(2000+VALUE(RIGHT(TRIM($A434),2)),12,31))),SUMIFS('Timesheet Raw'!$P$4:$P$8000,'Timesheet Raw'!$B$4:$B$8000,TRIM($A434),'Timesheet Raw'!$C$4:$C$8000,"*"&amp;$B434&amp;"*",'Timesheet Raw'!$L$4:$L$8000,"&gt;="&amp;U$5,'Timesheet Raw'!$L$4:$L$8000,"&lt;="&amp;U$6)))/'Profit Plan'!$B$5)</f>
        <v/>
      </c>
      <c r="V434" s="122" t="str">
        <f>IF($A434="","",(IF(ISNUMBER(SEARCH("Proposal",$A434)),SUMIFS('Timesheet Raw'!$P$4:$P$8000,'Timesheet Raw'!$A$4:$A$8000,IF(ISNUMBER(SEARCH("Chargable",$A434)),"2-Proposals Chargeable","3-Proposals Regular"),'Timesheet Raw'!$C$4:$C$8000,"*"&amp;$B434&amp;"*",'Timesheet Raw'!$L$4:$L$8000,"&gt;="&amp;MAX(V$5,DATE(2000+VALUE(RIGHT(TRIM($A434),2)),1,1)),'Timesheet Raw'!$L$4:$L$8000,"&lt;="&amp;MIN(V$6,DATE(2000+VALUE(RIGHT(TRIM($A434),2)),12,31))),SUMIFS('Timesheet Raw'!$P$4:$P$8000,'Timesheet Raw'!$B$4:$B$8000,TRIM($A434),'Timesheet Raw'!$C$4:$C$8000,"*"&amp;$B434&amp;"*",'Timesheet Raw'!$L$4:$L$8000,"&gt;="&amp;V$5,'Timesheet Raw'!$L$4:$L$8000,"&lt;="&amp;V$6)))/'Profit Plan'!$B$5)</f>
        <v/>
      </c>
      <c r="W434" s="122" t="str">
        <f>IF($A434="","",(IF(ISNUMBER(SEARCH("Proposal",$A434)),SUMIFS('Timesheet Raw'!$P$4:$P$8000,'Timesheet Raw'!$A$4:$A$8000,IF(ISNUMBER(SEARCH("Chargable",$A434)),"2-Proposals Chargeable","3-Proposals Regular"),'Timesheet Raw'!$C$4:$C$8000,"*"&amp;$B434&amp;"*",'Timesheet Raw'!$L$4:$L$8000,"&gt;="&amp;MAX(W$5,DATE(2000+VALUE(RIGHT(TRIM($A434),2)),1,1)),'Timesheet Raw'!$L$4:$L$8000,"&lt;="&amp;MIN(W$6,DATE(2000+VALUE(RIGHT(TRIM($A434),2)),12,31))),SUMIFS('Timesheet Raw'!$P$4:$P$8000,'Timesheet Raw'!$B$4:$B$8000,TRIM($A434),'Timesheet Raw'!$C$4:$C$8000,"*"&amp;$B434&amp;"*",'Timesheet Raw'!$L$4:$L$8000,"&gt;="&amp;W$5,'Timesheet Raw'!$L$4:$L$8000,"&lt;="&amp;W$6)))/'Profit Plan'!$B$5)</f>
        <v/>
      </c>
      <c r="X434" s="122" t="str">
        <f>IF($A434="","",(IF(ISNUMBER(SEARCH("Proposal",$A434)),SUMIFS('Timesheet Raw'!$P$4:$P$8000,'Timesheet Raw'!$A$4:$A$8000,IF(ISNUMBER(SEARCH("Chargable",$A434)),"2-Proposals Chargeable","3-Proposals Regular"),'Timesheet Raw'!$C$4:$C$8000,"*"&amp;$B434&amp;"*",'Timesheet Raw'!$L$4:$L$8000,"&gt;="&amp;MAX(X$5,DATE(2000+VALUE(RIGHT(TRIM($A434),2)),1,1)),'Timesheet Raw'!$L$4:$L$8000,"&lt;="&amp;MIN(X$6,DATE(2000+VALUE(RIGHT(TRIM($A434),2)),12,31))),SUMIFS('Timesheet Raw'!$P$4:$P$8000,'Timesheet Raw'!$B$4:$B$8000,TRIM($A434),'Timesheet Raw'!$C$4:$C$8000,"*"&amp;$B434&amp;"*",'Timesheet Raw'!$L$4:$L$8000,"&gt;="&amp;X$5,'Timesheet Raw'!$L$4:$L$8000,"&lt;="&amp;X$6)))/'Profit Plan'!$B$5)</f>
        <v/>
      </c>
      <c r="Y434" s="118">
        <f t="shared" si="102"/>
        <v>0</v>
      </c>
    </row>
    <row r="435" spans="1:25" x14ac:dyDescent="0.3">
      <c r="A435" s="116" t="str">
        <f>IF(Inputs!$A62="","",Inputs!$A62)</f>
        <v/>
      </c>
      <c r="B435" s="116" t="str">
        <f>IF(Inputs!$A62="","",Inputs!$A$93)</f>
        <v/>
      </c>
      <c r="C435" s="116"/>
      <c r="D435" s="122" t="str">
        <f>IF($A435="","",(IF(ISNUMBER(SEARCH("Proposal",$A435)),SUMIFS('Timesheet Raw'!$P$4:$P$8000,'Timesheet Raw'!$A$4:$A$8000,IF(ISNUMBER(SEARCH("Chargable",$A435)),"2-Proposals Chargeable","3-Proposals Regular"),'Timesheet Raw'!$C$4:$C$8000,"*"&amp;$B435&amp;"*",'Timesheet Raw'!$L$4:$L$8000,"&gt;="&amp;MAX(D$5,DATE(2000+VALUE(RIGHT(TRIM($A435),2)),1,1)),'Timesheet Raw'!$L$4:$L$8000,"&lt;="&amp;MIN(D$6,DATE(2000+VALUE(RIGHT(TRIM($A435),2)),12,31))),SUMIFS('Timesheet Raw'!$P$4:$P$8000,'Timesheet Raw'!$B$4:$B$8000,TRIM($A435),'Timesheet Raw'!$C$4:$C$8000,"*"&amp;$B435&amp;"*",'Timesheet Raw'!$L$4:$L$8000,"&gt;="&amp;D$5,'Timesheet Raw'!$L$4:$L$8000,"&lt;="&amp;D$6)))/'Profit Plan'!$B$5)</f>
        <v/>
      </c>
      <c r="E435" s="122" t="str">
        <f>IF($A435="","",(IF(ISNUMBER(SEARCH("Proposal",$A435)),SUMIFS('Timesheet Raw'!$P$4:$P$8000,'Timesheet Raw'!$A$4:$A$8000,IF(ISNUMBER(SEARCH("Chargable",$A435)),"2-Proposals Chargeable","3-Proposals Regular"),'Timesheet Raw'!$C$4:$C$8000,"*"&amp;$B435&amp;"*",'Timesheet Raw'!$L$4:$L$8000,"&gt;="&amp;MAX(E$5,DATE(2000+VALUE(RIGHT(TRIM($A435),2)),1,1)),'Timesheet Raw'!$L$4:$L$8000,"&lt;="&amp;MIN(E$6,DATE(2000+VALUE(RIGHT(TRIM($A435),2)),12,31))),SUMIFS('Timesheet Raw'!$P$4:$P$8000,'Timesheet Raw'!$B$4:$B$8000,TRIM($A435),'Timesheet Raw'!$C$4:$C$8000,"*"&amp;$B435&amp;"*",'Timesheet Raw'!$L$4:$L$8000,"&gt;="&amp;E$5,'Timesheet Raw'!$L$4:$L$8000,"&lt;="&amp;E$6)))/'Profit Plan'!$B$5)</f>
        <v/>
      </c>
      <c r="F435" s="122" t="str">
        <f>IF($A435="","",(IF(ISNUMBER(SEARCH("Proposal",$A435)),SUMIFS('Timesheet Raw'!$P$4:$P$8000,'Timesheet Raw'!$A$4:$A$8000,IF(ISNUMBER(SEARCH("Chargable",$A435)),"2-Proposals Chargeable","3-Proposals Regular"),'Timesheet Raw'!$C$4:$C$8000,"*"&amp;$B435&amp;"*",'Timesheet Raw'!$L$4:$L$8000,"&gt;="&amp;MAX(F$5,DATE(2000+VALUE(RIGHT(TRIM($A435),2)),1,1)),'Timesheet Raw'!$L$4:$L$8000,"&lt;="&amp;MIN(F$6,DATE(2000+VALUE(RIGHT(TRIM($A435),2)),12,31))),SUMIFS('Timesheet Raw'!$P$4:$P$8000,'Timesheet Raw'!$B$4:$B$8000,TRIM($A435),'Timesheet Raw'!$C$4:$C$8000,"*"&amp;$B435&amp;"*",'Timesheet Raw'!$L$4:$L$8000,"&gt;="&amp;F$5,'Timesheet Raw'!$L$4:$L$8000,"&lt;="&amp;F$6)))/'Profit Plan'!$B$5)</f>
        <v/>
      </c>
      <c r="G435" s="122" t="str">
        <f>IF($A435="","",(IF(ISNUMBER(SEARCH("Proposal",$A435)),SUMIFS('Timesheet Raw'!$P$4:$P$8000,'Timesheet Raw'!$A$4:$A$8000,IF(ISNUMBER(SEARCH("Chargable",$A435)),"2-Proposals Chargeable","3-Proposals Regular"),'Timesheet Raw'!$C$4:$C$8000,"*"&amp;$B435&amp;"*",'Timesheet Raw'!$L$4:$L$8000,"&gt;="&amp;MAX(G$5,DATE(2000+VALUE(RIGHT(TRIM($A435),2)),1,1)),'Timesheet Raw'!$L$4:$L$8000,"&lt;="&amp;MIN(G$6,DATE(2000+VALUE(RIGHT(TRIM($A435),2)),12,31))),SUMIFS('Timesheet Raw'!$P$4:$P$8000,'Timesheet Raw'!$B$4:$B$8000,TRIM($A435),'Timesheet Raw'!$C$4:$C$8000,"*"&amp;$B435&amp;"*",'Timesheet Raw'!$L$4:$L$8000,"&gt;="&amp;G$5,'Timesheet Raw'!$L$4:$L$8000,"&lt;="&amp;G$6)))/'Profit Plan'!$B$5)</f>
        <v/>
      </c>
      <c r="H435" s="122" t="str">
        <f>IF($A435="","",(IF(ISNUMBER(SEARCH("Proposal",$A435)),SUMIFS('Timesheet Raw'!$P$4:$P$8000,'Timesheet Raw'!$A$4:$A$8000,IF(ISNUMBER(SEARCH("Chargable",$A435)),"2-Proposals Chargeable","3-Proposals Regular"),'Timesheet Raw'!$C$4:$C$8000,"*"&amp;$B435&amp;"*",'Timesheet Raw'!$L$4:$L$8000,"&gt;="&amp;MAX(H$5,DATE(2000+VALUE(RIGHT(TRIM($A435),2)),1,1)),'Timesheet Raw'!$L$4:$L$8000,"&lt;="&amp;MIN(H$6,DATE(2000+VALUE(RIGHT(TRIM($A435),2)),12,31))),SUMIFS('Timesheet Raw'!$P$4:$P$8000,'Timesheet Raw'!$B$4:$B$8000,TRIM($A435),'Timesheet Raw'!$C$4:$C$8000,"*"&amp;$B435&amp;"*",'Timesheet Raw'!$L$4:$L$8000,"&gt;="&amp;H$5,'Timesheet Raw'!$L$4:$L$8000,"&lt;="&amp;H$6)))/'Profit Plan'!$B$5)</f>
        <v/>
      </c>
      <c r="I435" s="122" t="str">
        <f>IF($A435="","",(IF(ISNUMBER(SEARCH("Proposal",$A435)),SUMIFS('Timesheet Raw'!$P$4:$P$8000,'Timesheet Raw'!$A$4:$A$8000,IF(ISNUMBER(SEARCH("Chargable",$A435)),"2-Proposals Chargeable","3-Proposals Regular"),'Timesheet Raw'!$C$4:$C$8000,"*"&amp;$B435&amp;"*",'Timesheet Raw'!$L$4:$L$8000,"&gt;="&amp;MAX(I$5,DATE(2000+VALUE(RIGHT(TRIM($A435),2)),1,1)),'Timesheet Raw'!$L$4:$L$8000,"&lt;="&amp;MIN(I$6,DATE(2000+VALUE(RIGHT(TRIM($A435),2)),12,31))),SUMIFS('Timesheet Raw'!$P$4:$P$8000,'Timesheet Raw'!$B$4:$B$8000,TRIM($A435),'Timesheet Raw'!$C$4:$C$8000,"*"&amp;$B435&amp;"*",'Timesheet Raw'!$L$4:$L$8000,"&gt;="&amp;I$5,'Timesheet Raw'!$L$4:$L$8000,"&lt;="&amp;I$6)))/'Profit Plan'!$B$5)</f>
        <v/>
      </c>
      <c r="J435" s="122" t="str">
        <f>IF($A435="","",(IF(ISNUMBER(SEARCH("Proposal",$A435)),SUMIFS('Timesheet Raw'!$P$4:$P$8000,'Timesheet Raw'!$A$4:$A$8000,IF(ISNUMBER(SEARCH("Chargable",$A435)),"2-Proposals Chargeable","3-Proposals Regular"),'Timesheet Raw'!$C$4:$C$8000,"*"&amp;$B435&amp;"*",'Timesheet Raw'!$L$4:$L$8000,"&gt;="&amp;MAX(J$5,DATE(2000+VALUE(RIGHT(TRIM($A435),2)),1,1)),'Timesheet Raw'!$L$4:$L$8000,"&lt;="&amp;MIN(J$6,DATE(2000+VALUE(RIGHT(TRIM($A435),2)),12,31))),SUMIFS('Timesheet Raw'!$P$4:$P$8000,'Timesheet Raw'!$B$4:$B$8000,TRIM($A435),'Timesheet Raw'!$C$4:$C$8000,"*"&amp;$B435&amp;"*",'Timesheet Raw'!$L$4:$L$8000,"&gt;="&amp;J$5,'Timesheet Raw'!$L$4:$L$8000,"&lt;="&amp;J$6)))/'Profit Plan'!$B$5)</f>
        <v/>
      </c>
      <c r="K435" s="122" t="str">
        <f>IF($A435="","",(IF(ISNUMBER(SEARCH("Proposal",$A435)),SUMIFS('Timesheet Raw'!$P$4:$P$8000,'Timesheet Raw'!$A$4:$A$8000,IF(ISNUMBER(SEARCH("Chargable",$A435)),"2-Proposals Chargeable","3-Proposals Regular"),'Timesheet Raw'!$C$4:$C$8000,"*"&amp;$B435&amp;"*",'Timesheet Raw'!$L$4:$L$8000,"&gt;="&amp;MAX(K$5,DATE(2000+VALUE(RIGHT(TRIM($A435),2)),1,1)),'Timesheet Raw'!$L$4:$L$8000,"&lt;="&amp;MIN(K$6,DATE(2000+VALUE(RIGHT(TRIM($A435),2)),12,31))),SUMIFS('Timesheet Raw'!$P$4:$P$8000,'Timesheet Raw'!$B$4:$B$8000,TRIM($A435),'Timesheet Raw'!$C$4:$C$8000,"*"&amp;$B435&amp;"*",'Timesheet Raw'!$L$4:$L$8000,"&gt;="&amp;K$5,'Timesheet Raw'!$L$4:$L$8000,"&lt;="&amp;K$6)))/'Profit Plan'!$B$5)</f>
        <v/>
      </c>
      <c r="L435" s="122" t="str">
        <f>IF($A435="","",(IF(ISNUMBER(SEARCH("Proposal",$A435)),SUMIFS('Timesheet Raw'!$P$4:$P$8000,'Timesheet Raw'!$A$4:$A$8000,IF(ISNUMBER(SEARCH("Chargable",$A435)),"2-Proposals Chargeable","3-Proposals Regular"),'Timesheet Raw'!$C$4:$C$8000,"*"&amp;$B435&amp;"*",'Timesheet Raw'!$L$4:$L$8000,"&gt;="&amp;MAX(L$5,DATE(2000+VALUE(RIGHT(TRIM($A435),2)),1,1)),'Timesheet Raw'!$L$4:$L$8000,"&lt;="&amp;MIN(L$6,DATE(2000+VALUE(RIGHT(TRIM($A435),2)),12,31))),SUMIFS('Timesheet Raw'!$P$4:$P$8000,'Timesheet Raw'!$B$4:$B$8000,TRIM($A435),'Timesheet Raw'!$C$4:$C$8000,"*"&amp;$B435&amp;"*",'Timesheet Raw'!$L$4:$L$8000,"&gt;="&amp;L$5,'Timesheet Raw'!$L$4:$L$8000,"&lt;="&amp;L$6)))/'Profit Plan'!$B$5)</f>
        <v/>
      </c>
      <c r="M435" s="122" t="str">
        <f>IF($A435="","",(IF(ISNUMBER(SEARCH("Proposal",$A435)),SUMIFS('Timesheet Raw'!$P$4:$P$8000,'Timesheet Raw'!$A$4:$A$8000,IF(ISNUMBER(SEARCH("Chargable",$A435)),"2-Proposals Chargeable","3-Proposals Regular"),'Timesheet Raw'!$C$4:$C$8000,"*"&amp;$B435&amp;"*",'Timesheet Raw'!$L$4:$L$8000,"&gt;="&amp;MAX(M$5,DATE(2000+VALUE(RIGHT(TRIM($A435),2)),1,1)),'Timesheet Raw'!$L$4:$L$8000,"&lt;="&amp;MIN(M$6,DATE(2000+VALUE(RIGHT(TRIM($A435),2)),12,31))),SUMIFS('Timesheet Raw'!$P$4:$P$8000,'Timesheet Raw'!$B$4:$B$8000,TRIM($A435),'Timesheet Raw'!$C$4:$C$8000,"*"&amp;$B435&amp;"*",'Timesheet Raw'!$L$4:$L$8000,"&gt;="&amp;M$5,'Timesheet Raw'!$L$4:$L$8000,"&lt;="&amp;M$6)))/'Profit Plan'!$B$5)</f>
        <v/>
      </c>
      <c r="N435" s="122" t="str">
        <f>IF($A435="","",(IF(ISNUMBER(SEARCH("Proposal",$A435)),SUMIFS('Timesheet Raw'!$P$4:$P$8000,'Timesheet Raw'!$A$4:$A$8000,IF(ISNUMBER(SEARCH("Chargable",$A435)),"2-Proposals Chargeable","3-Proposals Regular"),'Timesheet Raw'!$C$4:$C$8000,"*"&amp;$B435&amp;"*",'Timesheet Raw'!$L$4:$L$8000,"&gt;="&amp;MAX(N$5,DATE(2000+VALUE(RIGHT(TRIM($A435),2)),1,1)),'Timesheet Raw'!$L$4:$L$8000,"&lt;="&amp;MIN(N$6,DATE(2000+VALUE(RIGHT(TRIM($A435),2)),12,31))),SUMIFS('Timesheet Raw'!$P$4:$P$8000,'Timesheet Raw'!$B$4:$B$8000,TRIM($A435),'Timesheet Raw'!$C$4:$C$8000,"*"&amp;$B435&amp;"*",'Timesheet Raw'!$L$4:$L$8000,"&gt;="&amp;N$5,'Timesheet Raw'!$L$4:$L$8000,"&lt;="&amp;N$6)))/'Profit Plan'!$B$5)</f>
        <v/>
      </c>
      <c r="O435" s="122" t="str">
        <f>IF($A435="","",(IF(ISNUMBER(SEARCH("Proposal",$A435)),SUMIFS('Timesheet Raw'!$P$4:$P$8000,'Timesheet Raw'!$A$4:$A$8000,IF(ISNUMBER(SEARCH("Chargable",$A435)),"2-Proposals Chargeable","3-Proposals Regular"),'Timesheet Raw'!$C$4:$C$8000,"*"&amp;$B435&amp;"*",'Timesheet Raw'!$L$4:$L$8000,"&gt;="&amp;MAX(O$5,DATE(2000+VALUE(RIGHT(TRIM($A435),2)),1,1)),'Timesheet Raw'!$L$4:$L$8000,"&lt;="&amp;MIN(O$6,DATE(2000+VALUE(RIGHT(TRIM($A435),2)),12,31))),SUMIFS('Timesheet Raw'!$P$4:$P$8000,'Timesheet Raw'!$B$4:$B$8000,TRIM($A435),'Timesheet Raw'!$C$4:$C$8000,"*"&amp;$B435&amp;"*",'Timesheet Raw'!$L$4:$L$8000,"&gt;="&amp;O$5,'Timesheet Raw'!$L$4:$L$8000,"&lt;="&amp;O$6)))/'Profit Plan'!$B$5)</f>
        <v/>
      </c>
      <c r="P435" s="122" t="str">
        <f>IF($A435="","",(IF(ISNUMBER(SEARCH("Proposal",$A435)),SUMIFS('Timesheet Raw'!$P$4:$P$8000,'Timesheet Raw'!$A$4:$A$8000,IF(ISNUMBER(SEARCH("Chargable",$A435)),"2-Proposals Chargeable","3-Proposals Regular"),'Timesheet Raw'!$C$4:$C$8000,"*"&amp;$B435&amp;"*",'Timesheet Raw'!$L$4:$L$8000,"&gt;="&amp;MAX(P$5,DATE(2000+VALUE(RIGHT(TRIM($A435),2)),1,1)),'Timesheet Raw'!$L$4:$L$8000,"&lt;="&amp;MIN(P$6,DATE(2000+VALUE(RIGHT(TRIM($A435),2)),12,31))),SUMIFS('Timesheet Raw'!$P$4:$P$8000,'Timesheet Raw'!$B$4:$B$8000,TRIM($A435),'Timesheet Raw'!$C$4:$C$8000,"*"&amp;$B435&amp;"*",'Timesheet Raw'!$L$4:$L$8000,"&gt;="&amp;P$5,'Timesheet Raw'!$L$4:$L$8000,"&lt;="&amp;P$6)))/'Profit Plan'!$B$5)</f>
        <v/>
      </c>
      <c r="Q435" s="122" t="str">
        <f>IF($A435="","",(IF(ISNUMBER(SEARCH("Proposal",$A435)),SUMIFS('Timesheet Raw'!$P$4:$P$8000,'Timesheet Raw'!$A$4:$A$8000,IF(ISNUMBER(SEARCH("Chargable",$A435)),"2-Proposals Chargeable","3-Proposals Regular"),'Timesheet Raw'!$C$4:$C$8000,"*"&amp;$B435&amp;"*",'Timesheet Raw'!$L$4:$L$8000,"&gt;="&amp;MAX(Q$5,DATE(2000+VALUE(RIGHT(TRIM($A435),2)),1,1)),'Timesheet Raw'!$L$4:$L$8000,"&lt;="&amp;MIN(Q$6,DATE(2000+VALUE(RIGHT(TRIM($A435),2)),12,31))),SUMIFS('Timesheet Raw'!$P$4:$P$8000,'Timesheet Raw'!$B$4:$B$8000,TRIM($A435),'Timesheet Raw'!$C$4:$C$8000,"*"&amp;$B435&amp;"*",'Timesheet Raw'!$L$4:$L$8000,"&gt;="&amp;Q$5,'Timesheet Raw'!$L$4:$L$8000,"&lt;="&amp;Q$6)))/'Profit Plan'!$B$5)</f>
        <v/>
      </c>
      <c r="R435" s="122" t="str">
        <f>IF($A435="","",(IF(ISNUMBER(SEARCH("Proposal",$A435)),SUMIFS('Timesheet Raw'!$P$4:$P$8000,'Timesheet Raw'!$A$4:$A$8000,IF(ISNUMBER(SEARCH("Chargable",$A435)),"2-Proposals Chargeable","3-Proposals Regular"),'Timesheet Raw'!$C$4:$C$8000,"*"&amp;$B435&amp;"*",'Timesheet Raw'!$L$4:$L$8000,"&gt;="&amp;MAX(R$5,DATE(2000+VALUE(RIGHT(TRIM($A435),2)),1,1)),'Timesheet Raw'!$L$4:$L$8000,"&lt;="&amp;MIN(R$6,DATE(2000+VALUE(RIGHT(TRIM($A435),2)),12,31))),SUMIFS('Timesheet Raw'!$P$4:$P$8000,'Timesheet Raw'!$B$4:$B$8000,TRIM($A435),'Timesheet Raw'!$C$4:$C$8000,"*"&amp;$B435&amp;"*",'Timesheet Raw'!$L$4:$L$8000,"&gt;="&amp;R$5,'Timesheet Raw'!$L$4:$L$8000,"&lt;="&amp;R$6)))/'Profit Plan'!$B$5)</f>
        <v/>
      </c>
      <c r="S435" s="122" t="str">
        <f>IF($A435="","",(IF(ISNUMBER(SEARCH("Proposal",$A435)),SUMIFS('Timesheet Raw'!$P$4:$P$8000,'Timesheet Raw'!$A$4:$A$8000,IF(ISNUMBER(SEARCH("Chargable",$A435)),"2-Proposals Chargeable","3-Proposals Regular"),'Timesheet Raw'!$C$4:$C$8000,"*"&amp;$B435&amp;"*",'Timesheet Raw'!$L$4:$L$8000,"&gt;="&amp;MAX(S$5,DATE(2000+VALUE(RIGHT(TRIM($A435),2)),1,1)),'Timesheet Raw'!$L$4:$L$8000,"&lt;="&amp;MIN(S$6,DATE(2000+VALUE(RIGHT(TRIM($A435),2)),12,31))),SUMIFS('Timesheet Raw'!$P$4:$P$8000,'Timesheet Raw'!$B$4:$B$8000,TRIM($A435),'Timesheet Raw'!$C$4:$C$8000,"*"&amp;$B435&amp;"*",'Timesheet Raw'!$L$4:$L$8000,"&gt;="&amp;S$5,'Timesheet Raw'!$L$4:$L$8000,"&lt;="&amp;S$6)))/'Profit Plan'!$B$5)</f>
        <v/>
      </c>
      <c r="T435" s="122" t="str">
        <f>IF($A435="","",(IF(ISNUMBER(SEARCH("Proposal",$A435)),SUMIFS('Timesheet Raw'!$P$4:$P$8000,'Timesheet Raw'!$A$4:$A$8000,IF(ISNUMBER(SEARCH("Chargable",$A435)),"2-Proposals Chargeable","3-Proposals Regular"),'Timesheet Raw'!$C$4:$C$8000,"*"&amp;$B435&amp;"*",'Timesheet Raw'!$L$4:$L$8000,"&gt;="&amp;MAX(T$5,DATE(2000+VALUE(RIGHT(TRIM($A435),2)),1,1)),'Timesheet Raw'!$L$4:$L$8000,"&lt;="&amp;MIN(T$6,DATE(2000+VALUE(RIGHT(TRIM($A435),2)),12,31))),SUMIFS('Timesheet Raw'!$P$4:$P$8000,'Timesheet Raw'!$B$4:$B$8000,TRIM($A435),'Timesheet Raw'!$C$4:$C$8000,"*"&amp;$B435&amp;"*",'Timesheet Raw'!$L$4:$L$8000,"&gt;="&amp;T$5,'Timesheet Raw'!$L$4:$L$8000,"&lt;="&amp;T$6)))/'Profit Plan'!$B$5)</f>
        <v/>
      </c>
      <c r="U435" s="122" t="str">
        <f>IF($A435="","",(IF(ISNUMBER(SEARCH("Proposal",$A435)),SUMIFS('Timesheet Raw'!$P$4:$P$8000,'Timesheet Raw'!$A$4:$A$8000,IF(ISNUMBER(SEARCH("Chargable",$A435)),"2-Proposals Chargeable","3-Proposals Regular"),'Timesheet Raw'!$C$4:$C$8000,"*"&amp;$B435&amp;"*",'Timesheet Raw'!$L$4:$L$8000,"&gt;="&amp;MAX(U$5,DATE(2000+VALUE(RIGHT(TRIM($A435),2)),1,1)),'Timesheet Raw'!$L$4:$L$8000,"&lt;="&amp;MIN(U$6,DATE(2000+VALUE(RIGHT(TRIM($A435),2)),12,31))),SUMIFS('Timesheet Raw'!$P$4:$P$8000,'Timesheet Raw'!$B$4:$B$8000,TRIM($A435),'Timesheet Raw'!$C$4:$C$8000,"*"&amp;$B435&amp;"*",'Timesheet Raw'!$L$4:$L$8000,"&gt;="&amp;U$5,'Timesheet Raw'!$L$4:$L$8000,"&lt;="&amp;U$6)))/'Profit Plan'!$B$5)</f>
        <v/>
      </c>
      <c r="V435" s="122" t="str">
        <f>IF($A435="","",(IF(ISNUMBER(SEARCH("Proposal",$A435)),SUMIFS('Timesheet Raw'!$P$4:$P$8000,'Timesheet Raw'!$A$4:$A$8000,IF(ISNUMBER(SEARCH("Chargable",$A435)),"2-Proposals Chargeable","3-Proposals Regular"),'Timesheet Raw'!$C$4:$C$8000,"*"&amp;$B435&amp;"*",'Timesheet Raw'!$L$4:$L$8000,"&gt;="&amp;MAX(V$5,DATE(2000+VALUE(RIGHT(TRIM($A435),2)),1,1)),'Timesheet Raw'!$L$4:$L$8000,"&lt;="&amp;MIN(V$6,DATE(2000+VALUE(RIGHT(TRIM($A435),2)),12,31))),SUMIFS('Timesheet Raw'!$P$4:$P$8000,'Timesheet Raw'!$B$4:$B$8000,TRIM($A435),'Timesheet Raw'!$C$4:$C$8000,"*"&amp;$B435&amp;"*",'Timesheet Raw'!$L$4:$L$8000,"&gt;="&amp;V$5,'Timesheet Raw'!$L$4:$L$8000,"&lt;="&amp;V$6)))/'Profit Plan'!$B$5)</f>
        <v/>
      </c>
      <c r="W435" s="122" t="str">
        <f>IF($A435="","",(IF(ISNUMBER(SEARCH("Proposal",$A435)),SUMIFS('Timesheet Raw'!$P$4:$P$8000,'Timesheet Raw'!$A$4:$A$8000,IF(ISNUMBER(SEARCH("Chargable",$A435)),"2-Proposals Chargeable","3-Proposals Regular"),'Timesheet Raw'!$C$4:$C$8000,"*"&amp;$B435&amp;"*",'Timesheet Raw'!$L$4:$L$8000,"&gt;="&amp;MAX(W$5,DATE(2000+VALUE(RIGHT(TRIM($A435),2)),1,1)),'Timesheet Raw'!$L$4:$L$8000,"&lt;="&amp;MIN(W$6,DATE(2000+VALUE(RIGHT(TRIM($A435),2)),12,31))),SUMIFS('Timesheet Raw'!$P$4:$P$8000,'Timesheet Raw'!$B$4:$B$8000,TRIM($A435),'Timesheet Raw'!$C$4:$C$8000,"*"&amp;$B435&amp;"*",'Timesheet Raw'!$L$4:$L$8000,"&gt;="&amp;W$5,'Timesheet Raw'!$L$4:$L$8000,"&lt;="&amp;W$6)))/'Profit Plan'!$B$5)</f>
        <v/>
      </c>
      <c r="X435" s="122" t="str">
        <f>IF($A435="","",(IF(ISNUMBER(SEARCH("Proposal",$A435)),SUMIFS('Timesheet Raw'!$P$4:$P$8000,'Timesheet Raw'!$A$4:$A$8000,IF(ISNUMBER(SEARCH("Chargable",$A435)),"2-Proposals Chargeable","3-Proposals Regular"),'Timesheet Raw'!$C$4:$C$8000,"*"&amp;$B435&amp;"*",'Timesheet Raw'!$L$4:$L$8000,"&gt;="&amp;MAX(X$5,DATE(2000+VALUE(RIGHT(TRIM($A435),2)),1,1)),'Timesheet Raw'!$L$4:$L$8000,"&lt;="&amp;MIN(X$6,DATE(2000+VALUE(RIGHT(TRIM($A435),2)),12,31))),SUMIFS('Timesheet Raw'!$P$4:$P$8000,'Timesheet Raw'!$B$4:$B$8000,TRIM($A435),'Timesheet Raw'!$C$4:$C$8000,"*"&amp;$B435&amp;"*",'Timesheet Raw'!$L$4:$L$8000,"&gt;="&amp;X$5,'Timesheet Raw'!$L$4:$L$8000,"&lt;="&amp;X$6)))/'Profit Plan'!$B$5)</f>
        <v/>
      </c>
      <c r="Y435" s="118">
        <f t="shared" si="102"/>
        <v>0</v>
      </c>
    </row>
    <row r="436" spans="1:25" x14ac:dyDescent="0.3">
      <c r="A436" s="116" t="str">
        <f>IF(Inputs!$A63="","",Inputs!$A63)</f>
        <v/>
      </c>
      <c r="B436" s="116" t="str">
        <f>IF(Inputs!$A63="","",Inputs!$A$91)</f>
        <v/>
      </c>
      <c r="C436" s="116"/>
      <c r="D436" s="122" t="str">
        <f>IF($A436="","",(IF(ISNUMBER(SEARCH("Proposal",$A436)),SUMIFS('Timesheet Raw'!$P$4:$P$8000,'Timesheet Raw'!$A$4:$A$8000,IF(ISNUMBER(SEARCH("Chargable",$A436)),"2-Proposals Chargeable","3-Proposals Regular"),'Timesheet Raw'!$C$4:$C$8000,"*"&amp;$B436&amp;"*",'Timesheet Raw'!$L$4:$L$8000,"&gt;="&amp;MAX(D$5,DATE(2000+VALUE(RIGHT(TRIM($A436),2)),1,1)),'Timesheet Raw'!$L$4:$L$8000,"&lt;="&amp;MIN(D$6,DATE(2000+VALUE(RIGHT(TRIM($A436),2)),12,31))),SUMIFS('Timesheet Raw'!$P$4:$P$8000,'Timesheet Raw'!$B$4:$B$8000,TRIM($A436),'Timesheet Raw'!$C$4:$C$8000,"*"&amp;$B436&amp;"*",'Timesheet Raw'!$L$4:$L$8000,"&gt;="&amp;D$5,'Timesheet Raw'!$L$4:$L$8000,"&lt;="&amp;D$6)))/'Profit Plan'!$B$5)</f>
        <v/>
      </c>
      <c r="E436" s="122" t="str">
        <f>IF($A436="","",(IF(ISNUMBER(SEARCH("Proposal",$A436)),SUMIFS('Timesheet Raw'!$P$4:$P$8000,'Timesheet Raw'!$A$4:$A$8000,IF(ISNUMBER(SEARCH("Chargable",$A436)),"2-Proposals Chargeable","3-Proposals Regular"),'Timesheet Raw'!$C$4:$C$8000,"*"&amp;$B436&amp;"*",'Timesheet Raw'!$L$4:$L$8000,"&gt;="&amp;MAX(E$5,DATE(2000+VALUE(RIGHT(TRIM($A436),2)),1,1)),'Timesheet Raw'!$L$4:$L$8000,"&lt;="&amp;MIN(E$6,DATE(2000+VALUE(RIGHT(TRIM($A436),2)),12,31))),SUMIFS('Timesheet Raw'!$P$4:$P$8000,'Timesheet Raw'!$B$4:$B$8000,TRIM($A436),'Timesheet Raw'!$C$4:$C$8000,"*"&amp;$B436&amp;"*",'Timesheet Raw'!$L$4:$L$8000,"&gt;="&amp;E$5,'Timesheet Raw'!$L$4:$L$8000,"&lt;="&amp;E$6)))/'Profit Plan'!$B$5)</f>
        <v/>
      </c>
      <c r="F436" s="122" t="str">
        <f>IF($A436="","",(IF(ISNUMBER(SEARCH("Proposal",$A436)),SUMIFS('Timesheet Raw'!$P$4:$P$8000,'Timesheet Raw'!$A$4:$A$8000,IF(ISNUMBER(SEARCH("Chargable",$A436)),"2-Proposals Chargeable","3-Proposals Regular"),'Timesheet Raw'!$C$4:$C$8000,"*"&amp;$B436&amp;"*",'Timesheet Raw'!$L$4:$L$8000,"&gt;="&amp;MAX(F$5,DATE(2000+VALUE(RIGHT(TRIM($A436),2)),1,1)),'Timesheet Raw'!$L$4:$L$8000,"&lt;="&amp;MIN(F$6,DATE(2000+VALUE(RIGHT(TRIM($A436),2)),12,31))),SUMIFS('Timesheet Raw'!$P$4:$P$8000,'Timesheet Raw'!$B$4:$B$8000,TRIM($A436),'Timesheet Raw'!$C$4:$C$8000,"*"&amp;$B436&amp;"*",'Timesheet Raw'!$L$4:$L$8000,"&gt;="&amp;F$5,'Timesheet Raw'!$L$4:$L$8000,"&lt;="&amp;F$6)))/'Profit Plan'!$B$5)</f>
        <v/>
      </c>
      <c r="G436" s="122" t="str">
        <f>IF($A436="","",(IF(ISNUMBER(SEARCH("Proposal",$A436)),SUMIFS('Timesheet Raw'!$P$4:$P$8000,'Timesheet Raw'!$A$4:$A$8000,IF(ISNUMBER(SEARCH("Chargable",$A436)),"2-Proposals Chargeable","3-Proposals Regular"),'Timesheet Raw'!$C$4:$C$8000,"*"&amp;$B436&amp;"*",'Timesheet Raw'!$L$4:$L$8000,"&gt;="&amp;MAX(G$5,DATE(2000+VALUE(RIGHT(TRIM($A436),2)),1,1)),'Timesheet Raw'!$L$4:$L$8000,"&lt;="&amp;MIN(G$6,DATE(2000+VALUE(RIGHT(TRIM($A436),2)),12,31))),SUMIFS('Timesheet Raw'!$P$4:$P$8000,'Timesheet Raw'!$B$4:$B$8000,TRIM($A436),'Timesheet Raw'!$C$4:$C$8000,"*"&amp;$B436&amp;"*",'Timesheet Raw'!$L$4:$L$8000,"&gt;="&amp;G$5,'Timesheet Raw'!$L$4:$L$8000,"&lt;="&amp;G$6)))/'Profit Plan'!$B$5)</f>
        <v/>
      </c>
      <c r="H436" s="122" t="str">
        <f>IF($A436="","",(IF(ISNUMBER(SEARCH("Proposal",$A436)),SUMIFS('Timesheet Raw'!$P$4:$P$8000,'Timesheet Raw'!$A$4:$A$8000,IF(ISNUMBER(SEARCH("Chargable",$A436)),"2-Proposals Chargeable","3-Proposals Regular"),'Timesheet Raw'!$C$4:$C$8000,"*"&amp;$B436&amp;"*",'Timesheet Raw'!$L$4:$L$8000,"&gt;="&amp;MAX(H$5,DATE(2000+VALUE(RIGHT(TRIM($A436),2)),1,1)),'Timesheet Raw'!$L$4:$L$8000,"&lt;="&amp;MIN(H$6,DATE(2000+VALUE(RIGHT(TRIM($A436),2)),12,31))),SUMIFS('Timesheet Raw'!$P$4:$P$8000,'Timesheet Raw'!$B$4:$B$8000,TRIM($A436),'Timesheet Raw'!$C$4:$C$8000,"*"&amp;$B436&amp;"*",'Timesheet Raw'!$L$4:$L$8000,"&gt;="&amp;H$5,'Timesheet Raw'!$L$4:$L$8000,"&lt;="&amp;H$6)))/'Profit Plan'!$B$5)</f>
        <v/>
      </c>
      <c r="I436" s="122" t="str">
        <f>IF($A436="","",(IF(ISNUMBER(SEARCH("Proposal",$A436)),SUMIFS('Timesheet Raw'!$P$4:$P$8000,'Timesheet Raw'!$A$4:$A$8000,IF(ISNUMBER(SEARCH("Chargable",$A436)),"2-Proposals Chargeable","3-Proposals Regular"),'Timesheet Raw'!$C$4:$C$8000,"*"&amp;$B436&amp;"*",'Timesheet Raw'!$L$4:$L$8000,"&gt;="&amp;MAX(I$5,DATE(2000+VALUE(RIGHT(TRIM($A436),2)),1,1)),'Timesheet Raw'!$L$4:$L$8000,"&lt;="&amp;MIN(I$6,DATE(2000+VALUE(RIGHT(TRIM($A436),2)),12,31))),SUMIFS('Timesheet Raw'!$P$4:$P$8000,'Timesheet Raw'!$B$4:$B$8000,TRIM($A436),'Timesheet Raw'!$C$4:$C$8000,"*"&amp;$B436&amp;"*",'Timesheet Raw'!$L$4:$L$8000,"&gt;="&amp;I$5,'Timesheet Raw'!$L$4:$L$8000,"&lt;="&amp;I$6)))/'Profit Plan'!$B$5)</f>
        <v/>
      </c>
      <c r="J436" s="122" t="str">
        <f>IF($A436="","",(IF(ISNUMBER(SEARCH("Proposal",$A436)),SUMIFS('Timesheet Raw'!$P$4:$P$8000,'Timesheet Raw'!$A$4:$A$8000,IF(ISNUMBER(SEARCH("Chargable",$A436)),"2-Proposals Chargeable","3-Proposals Regular"),'Timesheet Raw'!$C$4:$C$8000,"*"&amp;$B436&amp;"*",'Timesheet Raw'!$L$4:$L$8000,"&gt;="&amp;MAX(J$5,DATE(2000+VALUE(RIGHT(TRIM($A436),2)),1,1)),'Timesheet Raw'!$L$4:$L$8000,"&lt;="&amp;MIN(J$6,DATE(2000+VALUE(RIGHT(TRIM($A436),2)),12,31))),SUMIFS('Timesheet Raw'!$P$4:$P$8000,'Timesheet Raw'!$B$4:$B$8000,TRIM($A436),'Timesheet Raw'!$C$4:$C$8000,"*"&amp;$B436&amp;"*",'Timesheet Raw'!$L$4:$L$8000,"&gt;="&amp;J$5,'Timesheet Raw'!$L$4:$L$8000,"&lt;="&amp;J$6)))/'Profit Plan'!$B$5)</f>
        <v/>
      </c>
      <c r="K436" s="122" t="str">
        <f>IF($A436="","",(IF(ISNUMBER(SEARCH("Proposal",$A436)),SUMIFS('Timesheet Raw'!$P$4:$P$8000,'Timesheet Raw'!$A$4:$A$8000,IF(ISNUMBER(SEARCH("Chargable",$A436)),"2-Proposals Chargeable","3-Proposals Regular"),'Timesheet Raw'!$C$4:$C$8000,"*"&amp;$B436&amp;"*",'Timesheet Raw'!$L$4:$L$8000,"&gt;="&amp;MAX(K$5,DATE(2000+VALUE(RIGHT(TRIM($A436),2)),1,1)),'Timesheet Raw'!$L$4:$L$8000,"&lt;="&amp;MIN(K$6,DATE(2000+VALUE(RIGHT(TRIM($A436),2)),12,31))),SUMIFS('Timesheet Raw'!$P$4:$P$8000,'Timesheet Raw'!$B$4:$B$8000,TRIM($A436),'Timesheet Raw'!$C$4:$C$8000,"*"&amp;$B436&amp;"*",'Timesheet Raw'!$L$4:$L$8000,"&gt;="&amp;K$5,'Timesheet Raw'!$L$4:$L$8000,"&lt;="&amp;K$6)))/'Profit Plan'!$B$5)</f>
        <v/>
      </c>
      <c r="L436" s="122" t="str">
        <f>IF($A436="","",(IF(ISNUMBER(SEARCH("Proposal",$A436)),SUMIFS('Timesheet Raw'!$P$4:$P$8000,'Timesheet Raw'!$A$4:$A$8000,IF(ISNUMBER(SEARCH("Chargable",$A436)),"2-Proposals Chargeable","3-Proposals Regular"),'Timesheet Raw'!$C$4:$C$8000,"*"&amp;$B436&amp;"*",'Timesheet Raw'!$L$4:$L$8000,"&gt;="&amp;MAX(L$5,DATE(2000+VALUE(RIGHT(TRIM($A436),2)),1,1)),'Timesheet Raw'!$L$4:$L$8000,"&lt;="&amp;MIN(L$6,DATE(2000+VALUE(RIGHT(TRIM($A436),2)),12,31))),SUMIFS('Timesheet Raw'!$P$4:$P$8000,'Timesheet Raw'!$B$4:$B$8000,TRIM($A436),'Timesheet Raw'!$C$4:$C$8000,"*"&amp;$B436&amp;"*",'Timesheet Raw'!$L$4:$L$8000,"&gt;="&amp;L$5,'Timesheet Raw'!$L$4:$L$8000,"&lt;="&amp;L$6)))/'Profit Plan'!$B$5)</f>
        <v/>
      </c>
      <c r="M436" s="122" t="str">
        <f>IF($A436="","",(IF(ISNUMBER(SEARCH("Proposal",$A436)),SUMIFS('Timesheet Raw'!$P$4:$P$8000,'Timesheet Raw'!$A$4:$A$8000,IF(ISNUMBER(SEARCH("Chargable",$A436)),"2-Proposals Chargeable","3-Proposals Regular"),'Timesheet Raw'!$C$4:$C$8000,"*"&amp;$B436&amp;"*",'Timesheet Raw'!$L$4:$L$8000,"&gt;="&amp;MAX(M$5,DATE(2000+VALUE(RIGHT(TRIM($A436),2)),1,1)),'Timesheet Raw'!$L$4:$L$8000,"&lt;="&amp;MIN(M$6,DATE(2000+VALUE(RIGHT(TRIM($A436),2)),12,31))),SUMIFS('Timesheet Raw'!$P$4:$P$8000,'Timesheet Raw'!$B$4:$B$8000,TRIM($A436),'Timesheet Raw'!$C$4:$C$8000,"*"&amp;$B436&amp;"*",'Timesheet Raw'!$L$4:$L$8000,"&gt;="&amp;M$5,'Timesheet Raw'!$L$4:$L$8000,"&lt;="&amp;M$6)))/'Profit Plan'!$B$5)</f>
        <v/>
      </c>
      <c r="N436" s="122" t="str">
        <f>IF($A436="","",(IF(ISNUMBER(SEARCH("Proposal",$A436)),SUMIFS('Timesheet Raw'!$P$4:$P$8000,'Timesheet Raw'!$A$4:$A$8000,IF(ISNUMBER(SEARCH("Chargable",$A436)),"2-Proposals Chargeable","3-Proposals Regular"),'Timesheet Raw'!$C$4:$C$8000,"*"&amp;$B436&amp;"*",'Timesheet Raw'!$L$4:$L$8000,"&gt;="&amp;MAX(N$5,DATE(2000+VALUE(RIGHT(TRIM($A436),2)),1,1)),'Timesheet Raw'!$L$4:$L$8000,"&lt;="&amp;MIN(N$6,DATE(2000+VALUE(RIGHT(TRIM($A436),2)),12,31))),SUMIFS('Timesheet Raw'!$P$4:$P$8000,'Timesheet Raw'!$B$4:$B$8000,TRIM($A436),'Timesheet Raw'!$C$4:$C$8000,"*"&amp;$B436&amp;"*",'Timesheet Raw'!$L$4:$L$8000,"&gt;="&amp;N$5,'Timesheet Raw'!$L$4:$L$8000,"&lt;="&amp;N$6)))/'Profit Plan'!$B$5)</f>
        <v/>
      </c>
      <c r="O436" s="122" t="str">
        <f>IF($A436="","",(IF(ISNUMBER(SEARCH("Proposal",$A436)),SUMIFS('Timesheet Raw'!$P$4:$P$8000,'Timesheet Raw'!$A$4:$A$8000,IF(ISNUMBER(SEARCH("Chargable",$A436)),"2-Proposals Chargeable","3-Proposals Regular"),'Timesheet Raw'!$C$4:$C$8000,"*"&amp;$B436&amp;"*",'Timesheet Raw'!$L$4:$L$8000,"&gt;="&amp;MAX(O$5,DATE(2000+VALUE(RIGHT(TRIM($A436),2)),1,1)),'Timesheet Raw'!$L$4:$L$8000,"&lt;="&amp;MIN(O$6,DATE(2000+VALUE(RIGHT(TRIM($A436),2)),12,31))),SUMIFS('Timesheet Raw'!$P$4:$P$8000,'Timesheet Raw'!$B$4:$B$8000,TRIM($A436),'Timesheet Raw'!$C$4:$C$8000,"*"&amp;$B436&amp;"*",'Timesheet Raw'!$L$4:$L$8000,"&gt;="&amp;O$5,'Timesheet Raw'!$L$4:$L$8000,"&lt;="&amp;O$6)))/'Profit Plan'!$B$5)</f>
        <v/>
      </c>
      <c r="P436" s="122" t="str">
        <f>IF($A436="","",(IF(ISNUMBER(SEARCH("Proposal",$A436)),SUMIFS('Timesheet Raw'!$P$4:$P$8000,'Timesheet Raw'!$A$4:$A$8000,IF(ISNUMBER(SEARCH("Chargable",$A436)),"2-Proposals Chargeable","3-Proposals Regular"),'Timesheet Raw'!$C$4:$C$8000,"*"&amp;$B436&amp;"*",'Timesheet Raw'!$L$4:$L$8000,"&gt;="&amp;MAX(P$5,DATE(2000+VALUE(RIGHT(TRIM($A436),2)),1,1)),'Timesheet Raw'!$L$4:$L$8000,"&lt;="&amp;MIN(P$6,DATE(2000+VALUE(RIGHT(TRIM($A436),2)),12,31))),SUMIFS('Timesheet Raw'!$P$4:$P$8000,'Timesheet Raw'!$B$4:$B$8000,TRIM($A436),'Timesheet Raw'!$C$4:$C$8000,"*"&amp;$B436&amp;"*",'Timesheet Raw'!$L$4:$L$8000,"&gt;="&amp;P$5,'Timesheet Raw'!$L$4:$L$8000,"&lt;="&amp;P$6)))/'Profit Plan'!$B$5)</f>
        <v/>
      </c>
      <c r="Q436" s="122" t="str">
        <f>IF($A436="","",(IF(ISNUMBER(SEARCH("Proposal",$A436)),SUMIFS('Timesheet Raw'!$P$4:$P$8000,'Timesheet Raw'!$A$4:$A$8000,IF(ISNUMBER(SEARCH("Chargable",$A436)),"2-Proposals Chargeable","3-Proposals Regular"),'Timesheet Raw'!$C$4:$C$8000,"*"&amp;$B436&amp;"*",'Timesheet Raw'!$L$4:$L$8000,"&gt;="&amp;MAX(Q$5,DATE(2000+VALUE(RIGHT(TRIM($A436),2)),1,1)),'Timesheet Raw'!$L$4:$L$8000,"&lt;="&amp;MIN(Q$6,DATE(2000+VALUE(RIGHT(TRIM($A436),2)),12,31))),SUMIFS('Timesheet Raw'!$P$4:$P$8000,'Timesheet Raw'!$B$4:$B$8000,TRIM($A436),'Timesheet Raw'!$C$4:$C$8000,"*"&amp;$B436&amp;"*",'Timesheet Raw'!$L$4:$L$8000,"&gt;="&amp;Q$5,'Timesheet Raw'!$L$4:$L$8000,"&lt;="&amp;Q$6)))/'Profit Plan'!$B$5)</f>
        <v/>
      </c>
      <c r="R436" s="122" t="str">
        <f>IF($A436="","",(IF(ISNUMBER(SEARCH("Proposal",$A436)),SUMIFS('Timesheet Raw'!$P$4:$P$8000,'Timesheet Raw'!$A$4:$A$8000,IF(ISNUMBER(SEARCH("Chargable",$A436)),"2-Proposals Chargeable","3-Proposals Regular"),'Timesheet Raw'!$C$4:$C$8000,"*"&amp;$B436&amp;"*",'Timesheet Raw'!$L$4:$L$8000,"&gt;="&amp;MAX(R$5,DATE(2000+VALUE(RIGHT(TRIM($A436),2)),1,1)),'Timesheet Raw'!$L$4:$L$8000,"&lt;="&amp;MIN(R$6,DATE(2000+VALUE(RIGHT(TRIM($A436),2)),12,31))),SUMIFS('Timesheet Raw'!$P$4:$P$8000,'Timesheet Raw'!$B$4:$B$8000,TRIM($A436),'Timesheet Raw'!$C$4:$C$8000,"*"&amp;$B436&amp;"*",'Timesheet Raw'!$L$4:$L$8000,"&gt;="&amp;R$5,'Timesheet Raw'!$L$4:$L$8000,"&lt;="&amp;R$6)))/'Profit Plan'!$B$5)</f>
        <v/>
      </c>
      <c r="S436" s="122" t="str">
        <f>IF($A436="","",(IF(ISNUMBER(SEARCH("Proposal",$A436)),SUMIFS('Timesheet Raw'!$P$4:$P$8000,'Timesheet Raw'!$A$4:$A$8000,IF(ISNUMBER(SEARCH("Chargable",$A436)),"2-Proposals Chargeable","3-Proposals Regular"),'Timesheet Raw'!$C$4:$C$8000,"*"&amp;$B436&amp;"*",'Timesheet Raw'!$L$4:$L$8000,"&gt;="&amp;MAX(S$5,DATE(2000+VALUE(RIGHT(TRIM($A436),2)),1,1)),'Timesheet Raw'!$L$4:$L$8000,"&lt;="&amp;MIN(S$6,DATE(2000+VALUE(RIGHT(TRIM($A436),2)),12,31))),SUMIFS('Timesheet Raw'!$P$4:$P$8000,'Timesheet Raw'!$B$4:$B$8000,TRIM($A436),'Timesheet Raw'!$C$4:$C$8000,"*"&amp;$B436&amp;"*",'Timesheet Raw'!$L$4:$L$8000,"&gt;="&amp;S$5,'Timesheet Raw'!$L$4:$L$8000,"&lt;="&amp;S$6)))/'Profit Plan'!$B$5)</f>
        <v/>
      </c>
      <c r="T436" s="122" t="str">
        <f>IF($A436="","",(IF(ISNUMBER(SEARCH("Proposal",$A436)),SUMIFS('Timesheet Raw'!$P$4:$P$8000,'Timesheet Raw'!$A$4:$A$8000,IF(ISNUMBER(SEARCH("Chargable",$A436)),"2-Proposals Chargeable","3-Proposals Regular"),'Timesheet Raw'!$C$4:$C$8000,"*"&amp;$B436&amp;"*",'Timesheet Raw'!$L$4:$L$8000,"&gt;="&amp;MAX(T$5,DATE(2000+VALUE(RIGHT(TRIM($A436),2)),1,1)),'Timesheet Raw'!$L$4:$L$8000,"&lt;="&amp;MIN(T$6,DATE(2000+VALUE(RIGHT(TRIM($A436),2)),12,31))),SUMIFS('Timesheet Raw'!$P$4:$P$8000,'Timesheet Raw'!$B$4:$B$8000,TRIM($A436),'Timesheet Raw'!$C$4:$C$8000,"*"&amp;$B436&amp;"*",'Timesheet Raw'!$L$4:$L$8000,"&gt;="&amp;T$5,'Timesheet Raw'!$L$4:$L$8000,"&lt;="&amp;T$6)))/'Profit Plan'!$B$5)</f>
        <v/>
      </c>
      <c r="U436" s="122" t="str">
        <f>IF($A436="","",(IF(ISNUMBER(SEARCH("Proposal",$A436)),SUMIFS('Timesheet Raw'!$P$4:$P$8000,'Timesheet Raw'!$A$4:$A$8000,IF(ISNUMBER(SEARCH("Chargable",$A436)),"2-Proposals Chargeable","3-Proposals Regular"),'Timesheet Raw'!$C$4:$C$8000,"*"&amp;$B436&amp;"*",'Timesheet Raw'!$L$4:$L$8000,"&gt;="&amp;MAX(U$5,DATE(2000+VALUE(RIGHT(TRIM($A436),2)),1,1)),'Timesheet Raw'!$L$4:$L$8000,"&lt;="&amp;MIN(U$6,DATE(2000+VALUE(RIGHT(TRIM($A436),2)),12,31))),SUMIFS('Timesheet Raw'!$P$4:$P$8000,'Timesheet Raw'!$B$4:$B$8000,TRIM($A436),'Timesheet Raw'!$C$4:$C$8000,"*"&amp;$B436&amp;"*",'Timesheet Raw'!$L$4:$L$8000,"&gt;="&amp;U$5,'Timesheet Raw'!$L$4:$L$8000,"&lt;="&amp;U$6)))/'Profit Plan'!$B$5)</f>
        <v/>
      </c>
      <c r="V436" s="122" t="str">
        <f>IF($A436="","",(IF(ISNUMBER(SEARCH("Proposal",$A436)),SUMIFS('Timesheet Raw'!$P$4:$P$8000,'Timesheet Raw'!$A$4:$A$8000,IF(ISNUMBER(SEARCH("Chargable",$A436)),"2-Proposals Chargeable","3-Proposals Regular"),'Timesheet Raw'!$C$4:$C$8000,"*"&amp;$B436&amp;"*",'Timesheet Raw'!$L$4:$L$8000,"&gt;="&amp;MAX(V$5,DATE(2000+VALUE(RIGHT(TRIM($A436),2)),1,1)),'Timesheet Raw'!$L$4:$L$8000,"&lt;="&amp;MIN(V$6,DATE(2000+VALUE(RIGHT(TRIM($A436),2)),12,31))),SUMIFS('Timesheet Raw'!$P$4:$P$8000,'Timesheet Raw'!$B$4:$B$8000,TRIM($A436),'Timesheet Raw'!$C$4:$C$8000,"*"&amp;$B436&amp;"*",'Timesheet Raw'!$L$4:$L$8000,"&gt;="&amp;V$5,'Timesheet Raw'!$L$4:$L$8000,"&lt;="&amp;V$6)))/'Profit Plan'!$B$5)</f>
        <v/>
      </c>
      <c r="W436" s="122" t="str">
        <f>IF($A436="","",(IF(ISNUMBER(SEARCH("Proposal",$A436)),SUMIFS('Timesheet Raw'!$P$4:$P$8000,'Timesheet Raw'!$A$4:$A$8000,IF(ISNUMBER(SEARCH("Chargable",$A436)),"2-Proposals Chargeable","3-Proposals Regular"),'Timesheet Raw'!$C$4:$C$8000,"*"&amp;$B436&amp;"*",'Timesheet Raw'!$L$4:$L$8000,"&gt;="&amp;MAX(W$5,DATE(2000+VALUE(RIGHT(TRIM($A436),2)),1,1)),'Timesheet Raw'!$L$4:$L$8000,"&lt;="&amp;MIN(W$6,DATE(2000+VALUE(RIGHT(TRIM($A436),2)),12,31))),SUMIFS('Timesheet Raw'!$P$4:$P$8000,'Timesheet Raw'!$B$4:$B$8000,TRIM($A436),'Timesheet Raw'!$C$4:$C$8000,"*"&amp;$B436&amp;"*",'Timesheet Raw'!$L$4:$L$8000,"&gt;="&amp;W$5,'Timesheet Raw'!$L$4:$L$8000,"&lt;="&amp;W$6)))/'Profit Plan'!$B$5)</f>
        <v/>
      </c>
      <c r="X436" s="122" t="str">
        <f>IF($A436="","",(IF(ISNUMBER(SEARCH("Proposal",$A436)),SUMIFS('Timesheet Raw'!$P$4:$P$8000,'Timesheet Raw'!$A$4:$A$8000,IF(ISNUMBER(SEARCH("Chargable",$A436)),"2-Proposals Chargeable","3-Proposals Regular"),'Timesheet Raw'!$C$4:$C$8000,"*"&amp;$B436&amp;"*",'Timesheet Raw'!$L$4:$L$8000,"&gt;="&amp;MAX(X$5,DATE(2000+VALUE(RIGHT(TRIM($A436),2)),1,1)),'Timesheet Raw'!$L$4:$L$8000,"&lt;="&amp;MIN(X$6,DATE(2000+VALUE(RIGHT(TRIM($A436),2)),12,31))),SUMIFS('Timesheet Raw'!$P$4:$P$8000,'Timesheet Raw'!$B$4:$B$8000,TRIM($A436),'Timesheet Raw'!$C$4:$C$8000,"*"&amp;$B436&amp;"*",'Timesheet Raw'!$L$4:$L$8000,"&gt;="&amp;X$5,'Timesheet Raw'!$L$4:$L$8000,"&lt;="&amp;X$6)))/'Profit Plan'!$B$5)</f>
        <v/>
      </c>
      <c r="Y436" s="118">
        <f t="shared" si="102"/>
        <v>0</v>
      </c>
    </row>
    <row r="437" spans="1:25" x14ac:dyDescent="0.3">
      <c r="A437" s="116" t="str">
        <f>IF(Inputs!$A63="","",Inputs!$A63)</f>
        <v/>
      </c>
      <c r="B437" s="116" t="str">
        <f>IF(Inputs!$A63="","",Inputs!$A$92)</f>
        <v/>
      </c>
      <c r="C437" s="116"/>
      <c r="D437" s="122" t="str">
        <f>IF($A437="","",(IF(ISNUMBER(SEARCH("Proposal",$A437)),SUMIFS('Timesheet Raw'!$P$4:$P$8000,'Timesheet Raw'!$A$4:$A$8000,IF(ISNUMBER(SEARCH("Chargable",$A437)),"2-Proposals Chargeable","3-Proposals Regular"),'Timesheet Raw'!$C$4:$C$8000,"*"&amp;$B437&amp;"*",'Timesheet Raw'!$L$4:$L$8000,"&gt;="&amp;MAX(D$5,DATE(2000+VALUE(RIGHT(TRIM($A437),2)),1,1)),'Timesheet Raw'!$L$4:$L$8000,"&lt;="&amp;MIN(D$6,DATE(2000+VALUE(RIGHT(TRIM($A437),2)),12,31))),SUMIFS('Timesheet Raw'!$P$4:$P$8000,'Timesheet Raw'!$B$4:$B$8000,TRIM($A437),'Timesheet Raw'!$C$4:$C$8000,"*"&amp;$B437&amp;"*",'Timesheet Raw'!$L$4:$L$8000,"&gt;="&amp;D$5,'Timesheet Raw'!$L$4:$L$8000,"&lt;="&amp;D$6)))/'Profit Plan'!$B$5)</f>
        <v/>
      </c>
      <c r="E437" s="122" t="str">
        <f>IF($A437="","",(IF(ISNUMBER(SEARCH("Proposal",$A437)),SUMIFS('Timesheet Raw'!$P$4:$P$8000,'Timesheet Raw'!$A$4:$A$8000,IF(ISNUMBER(SEARCH("Chargable",$A437)),"2-Proposals Chargeable","3-Proposals Regular"),'Timesheet Raw'!$C$4:$C$8000,"*"&amp;$B437&amp;"*",'Timesheet Raw'!$L$4:$L$8000,"&gt;="&amp;MAX(E$5,DATE(2000+VALUE(RIGHT(TRIM($A437),2)),1,1)),'Timesheet Raw'!$L$4:$L$8000,"&lt;="&amp;MIN(E$6,DATE(2000+VALUE(RIGHT(TRIM($A437),2)),12,31))),SUMIFS('Timesheet Raw'!$P$4:$P$8000,'Timesheet Raw'!$B$4:$B$8000,TRIM($A437),'Timesheet Raw'!$C$4:$C$8000,"*"&amp;$B437&amp;"*",'Timesheet Raw'!$L$4:$L$8000,"&gt;="&amp;E$5,'Timesheet Raw'!$L$4:$L$8000,"&lt;="&amp;E$6)))/'Profit Plan'!$B$5)</f>
        <v/>
      </c>
      <c r="F437" s="122" t="str">
        <f>IF($A437="","",(IF(ISNUMBER(SEARCH("Proposal",$A437)),SUMIFS('Timesheet Raw'!$P$4:$P$8000,'Timesheet Raw'!$A$4:$A$8000,IF(ISNUMBER(SEARCH("Chargable",$A437)),"2-Proposals Chargeable","3-Proposals Regular"),'Timesheet Raw'!$C$4:$C$8000,"*"&amp;$B437&amp;"*",'Timesheet Raw'!$L$4:$L$8000,"&gt;="&amp;MAX(F$5,DATE(2000+VALUE(RIGHT(TRIM($A437),2)),1,1)),'Timesheet Raw'!$L$4:$L$8000,"&lt;="&amp;MIN(F$6,DATE(2000+VALUE(RIGHT(TRIM($A437),2)),12,31))),SUMIFS('Timesheet Raw'!$P$4:$P$8000,'Timesheet Raw'!$B$4:$B$8000,TRIM($A437),'Timesheet Raw'!$C$4:$C$8000,"*"&amp;$B437&amp;"*",'Timesheet Raw'!$L$4:$L$8000,"&gt;="&amp;F$5,'Timesheet Raw'!$L$4:$L$8000,"&lt;="&amp;F$6)))/'Profit Plan'!$B$5)</f>
        <v/>
      </c>
      <c r="G437" s="122" t="str">
        <f>IF($A437="","",(IF(ISNUMBER(SEARCH("Proposal",$A437)),SUMIFS('Timesheet Raw'!$P$4:$P$8000,'Timesheet Raw'!$A$4:$A$8000,IF(ISNUMBER(SEARCH("Chargable",$A437)),"2-Proposals Chargeable","3-Proposals Regular"),'Timesheet Raw'!$C$4:$C$8000,"*"&amp;$B437&amp;"*",'Timesheet Raw'!$L$4:$L$8000,"&gt;="&amp;MAX(G$5,DATE(2000+VALUE(RIGHT(TRIM($A437),2)),1,1)),'Timesheet Raw'!$L$4:$L$8000,"&lt;="&amp;MIN(G$6,DATE(2000+VALUE(RIGHT(TRIM($A437),2)),12,31))),SUMIFS('Timesheet Raw'!$P$4:$P$8000,'Timesheet Raw'!$B$4:$B$8000,TRIM($A437),'Timesheet Raw'!$C$4:$C$8000,"*"&amp;$B437&amp;"*",'Timesheet Raw'!$L$4:$L$8000,"&gt;="&amp;G$5,'Timesheet Raw'!$L$4:$L$8000,"&lt;="&amp;G$6)))/'Profit Plan'!$B$5)</f>
        <v/>
      </c>
      <c r="H437" s="122" t="str">
        <f>IF($A437="","",(IF(ISNUMBER(SEARCH("Proposal",$A437)),SUMIFS('Timesheet Raw'!$P$4:$P$8000,'Timesheet Raw'!$A$4:$A$8000,IF(ISNUMBER(SEARCH("Chargable",$A437)),"2-Proposals Chargeable","3-Proposals Regular"),'Timesheet Raw'!$C$4:$C$8000,"*"&amp;$B437&amp;"*",'Timesheet Raw'!$L$4:$L$8000,"&gt;="&amp;MAX(H$5,DATE(2000+VALUE(RIGHT(TRIM($A437),2)),1,1)),'Timesheet Raw'!$L$4:$L$8000,"&lt;="&amp;MIN(H$6,DATE(2000+VALUE(RIGHT(TRIM($A437),2)),12,31))),SUMIFS('Timesheet Raw'!$P$4:$P$8000,'Timesheet Raw'!$B$4:$B$8000,TRIM($A437),'Timesheet Raw'!$C$4:$C$8000,"*"&amp;$B437&amp;"*",'Timesheet Raw'!$L$4:$L$8000,"&gt;="&amp;H$5,'Timesheet Raw'!$L$4:$L$8000,"&lt;="&amp;H$6)))/'Profit Plan'!$B$5)</f>
        <v/>
      </c>
      <c r="I437" s="122" t="str">
        <f>IF($A437="","",(IF(ISNUMBER(SEARCH("Proposal",$A437)),SUMIFS('Timesheet Raw'!$P$4:$P$8000,'Timesheet Raw'!$A$4:$A$8000,IF(ISNUMBER(SEARCH("Chargable",$A437)),"2-Proposals Chargeable","3-Proposals Regular"),'Timesheet Raw'!$C$4:$C$8000,"*"&amp;$B437&amp;"*",'Timesheet Raw'!$L$4:$L$8000,"&gt;="&amp;MAX(I$5,DATE(2000+VALUE(RIGHT(TRIM($A437),2)),1,1)),'Timesheet Raw'!$L$4:$L$8000,"&lt;="&amp;MIN(I$6,DATE(2000+VALUE(RIGHT(TRIM($A437),2)),12,31))),SUMIFS('Timesheet Raw'!$P$4:$P$8000,'Timesheet Raw'!$B$4:$B$8000,TRIM($A437),'Timesheet Raw'!$C$4:$C$8000,"*"&amp;$B437&amp;"*",'Timesheet Raw'!$L$4:$L$8000,"&gt;="&amp;I$5,'Timesheet Raw'!$L$4:$L$8000,"&lt;="&amp;I$6)))/'Profit Plan'!$B$5)</f>
        <v/>
      </c>
      <c r="J437" s="122" t="str">
        <f>IF($A437="","",(IF(ISNUMBER(SEARCH("Proposal",$A437)),SUMIFS('Timesheet Raw'!$P$4:$P$8000,'Timesheet Raw'!$A$4:$A$8000,IF(ISNUMBER(SEARCH("Chargable",$A437)),"2-Proposals Chargeable","3-Proposals Regular"),'Timesheet Raw'!$C$4:$C$8000,"*"&amp;$B437&amp;"*",'Timesheet Raw'!$L$4:$L$8000,"&gt;="&amp;MAX(J$5,DATE(2000+VALUE(RIGHT(TRIM($A437),2)),1,1)),'Timesheet Raw'!$L$4:$L$8000,"&lt;="&amp;MIN(J$6,DATE(2000+VALUE(RIGHT(TRIM($A437),2)),12,31))),SUMIFS('Timesheet Raw'!$P$4:$P$8000,'Timesheet Raw'!$B$4:$B$8000,TRIM($A437),'Timesheet Raw'!$C$4:$C$8000,"*"&amp;$B437&amp;"*",'Timesheet Raw'!$L$4:$L$8000,"&gt;="&amp;J$5,'Timesheet Raw'!$L$4:$L$8000,"&lt;="&amp;J$6)))/'Profit Plan'!$B$5)</f>
        <v/>
      </c>
      <c r="K437" s="122" t="str">
        <f>IF($A437="","",(IF(ISNUMBER(SEARCH("Proposal",$A437)),SUMIFS('Timesheet Raw'!$P$4:$P$8000,'Timesheet Raw'!$A$4:$A$8000,IF(ISNUMBER(SEARCH("Chargable",$A437)),"2-Proposals Chargeable","3-Proposals Regular"),'Timesheet Raw'!$C$4:$C$8000,"*"&amp;$B437&amp;"*",'Timesheet Raw'!$L$4:$L$8000,"&gt;="&amp;MAX(K$5,DATE(2000+VALUE(RIGHT(TRIM($A437),2)),1,1)),'Timesheet Raw'!$L$4:$L$8000,"&lt;="&amp;MIN(K$6,DATE(2000+VALUE(RIGHT(TRIM($A437),2)),12,31))),SUMIFS('Timesheet Raw'!$P$4:$P$8000,'Timesheet Raw'!$B$4:$B$8000,TRIM($A437),'Timesheet Raw'!$C$4:$C$8000,"*"&amp;$B437&amp;"*",'Timesheet Raw'!$L$4:$L$8000,"&gt;="&amp;K$5,'Timesheet Raw'!$L$4:$L$8000,"&lt;="&amp;K$6)))/'Profit Plan'!$B$5)</f>
        <v/>
      </c>
      <c r="L437" s="122" t="str">
        <f>IF($A437="","",(IF(ISNUMBER(SEARCH("Proposal",$A437)),SUMIFS('Timesheet Raw'!$P$4:$P$8000,'Timesheet Raw'!$A$4:$A$8000,IF(ISNUMBER(SEARCH("Chargable",$A437)),"2-Proposals Chargeable","3-Proposals Regular"),'Timesheet Raw'!$C$4:$C$8000,"*"&amp;$B437&amp;"*",'Timesheet Raw'!$L$4:$L$8000,"&gt;="&amp;MAX(L$5,DATE(2000+VALUE(RIGHT(TRIM($A437),2)),1,1)),'Timesheet Raw'!$L$4:$L$8000,"&lt;="&amp;MIN(L$6,DATE(2000+VALUE(RIGHT(TRIM($A437),2)),12,31))),SUMIFS('Timesheet Raw'!$P$4:$P$8000,'Timesheet Raw'!$B$4:$B$8000,TRIM($A437),'Timesheet Raw'!$C$4:$C$8000,"*"&amp;$B437&amp;"*",'Timesheet Raw'!$L$4:$L$8000,"&gt;="&amp;L$5,'Timesheet Raw'!$L$4:$L$8000,"&lt;="&amp;L$6)))/'Profit Plan'!$B$5)</f>
        <v/>
      </c>
      <c r="M437" s="122" t="str">
        <f>IF($A437="","",(IF(ISNUMBER(SEARCH("Proposal",$A437)),SUMIFS('Timesheet Raw'!$P$4:$P$8000,'Timesheet Raw'!$A$4:$A$8000,IF(ISNUMBER(SEARCH("Chargable",$A437)),"2-Proposals Chargeable","3-Proposals Regular"),'Timesheet Raw'!$C$4:$C$8000,"*"&amp;$B437&amp;"*",'Timesheet Raw'!$L$4:$L$8000,"&gt;="&amp;MAX(M$5,DATE(2000+VALUE(RIGHT(TRIM($A437),2)),1,1)),'Timesheet Raw'!$L$4:$L$8000,"&lt;="&amp;MIN(M$6,DATE(2000+VALUE(RIGHT(TRIM($A437),2)),12,31))),SUMIFS('Timesheet Raw'!$P$4:$P$8000,'Timesheet Raw'!$B$4:$B$8000,TRIM($A437),'Timesheet Raw'!$C$4:$C$8000,"*"&amp;$B437&amp;"*",'Timesheet Raw'!$L$4:$L$8000,"&gt;="&amp;M$5,'Timesheet Raw'!$L$4:$L$8000,"&lt;="&amp;M$6)))/'Profit Plan'!$B$5)</f>
        <v/>
      </c>
      <c r="N437" s="122" t="str">
        <f>IF($A437="","",(IF(ISNUMBER(SEARCH("Proposal",$A437)),SUMIFS('Timesheet Raw'!$P$4:$P$8000,'Timesheet Raw'!$A$4:$A$8000,IF(ISNUMBER(SEARCH("Chargable",$A437)),"2-Proposals Chargeable","3-Proposals Regular"),'Timesheet Raw'!$C$4:$C$8000,"*"&amp;$B437&amp;"*",'Timesheet Raw'!$L$4:$L$8000,"&gt;="&amp;MAX(N$5,DATE(2000+VALUE(RIGHT(TRIM($A437),2)),1,1)),'Timesheet Raw'!$L$4:$L$8000,"&lt;="&amp;MIN(N$6,DATE(2000+VALUE(RIGHT(TRIM($A437),2)),12,31))),SUMIFS('Timesheet Raw'!$P$4:$P$8000,'Timesheet Raw'!$B$4:$B$8000,TRIM($A437),'Timesheet Raw'!$C$4:$C$8000,"*"&amp;$B437&amp;"*",'Timesheet Raw'!$L$4:$L$8000,"&gt;="&amp;N$5,'Timesheet Raw'!$L$4:$L$8000,"&lt;="&amp;N$6)))/'Profit Plan'!$B$5)</f>
        <v/>
      </c>
      <c r="O437" s="122" t="str">
        <f>IF($A437="","",(IF(ISNUMBER(SEARCH("Proposal",$A437)),SUMIFS('Timesheet Raw'!$P$4:$P$8000,'Timesheet Raw'!$A$4:$A$8000,IF(ISNUMBER(SEARCH("Chargable",$A437)),"2-Proposals Chargeable","3-Proposals Regular"),'Timesheet Raw'!$C$4:$C$8000,"*"&amp;$B437&amp;"*",'Timesheet Raw'!$L$4:$L$8000,"&gt;="&amp;MAX(O$5,DATE(2000+VALUE(RIGHT(TRIM($A437),2)),1,1)),'Timesheet Raw'!$L$4:$L$8000,"&lt;="&amp;MIN(O$6,DATE(2000+VALUE(RIGHT(TRIM($A437),2)),12,31))),SUMIFS('Timesheet Raw'!$P$4:$P$8000,'Timesheet Raw'!$B$4:$B$8000,TRIM($A437),'Timesheet Raw'!$C$4:$C$8000,"*"&amp;$B437&amp;"*",'Timesheet Raw'!$L$4:$L$8000,"&gt;="&amp;O$5,'Timesheet Raw'!$L$4:$L$8000,"&lt;="&amp;O$6)))/'Profit Plan'!$B$5)</f>
        <v/>
      </c>
      <c r="P437" s="122" t="str">
        <f>IF($A437="","",(IF(ISNUMBER(SEARCH("Proposal",$A437)),SUMIFS('Timesheet Raw'!$P$4:$P$8000,'Timesheet Raw'!$A$4:$A$8000,IF(ISNUMBER(SEARCH("Chargable",$A437)),"2-Proposals Chargeable","3-Proposals Regular"),'Timesheet Raw'!$C$4:$C$8000,"*"&amp;$B437&amp;"*",'Timesheet Raw'!$L$4:$L$8000,"&gt;="&amp;MAX(P$5,DATE(2000+VALUE(RIGHT(TRIM($A437),2)),1,1)),'Timesheet Raw'!$L$4:$L$8000,"&lt;="&amp;MIN(P$6,DATE(2000+VALUE(RIGHT(TRIM($A437),2)),12,31))),SUMIFS('Timesheet Raw'!$P$4:$P$8000,'Timesheet Raw'!$B$4:$B$8000,TRIM($A437),'Timesheet Raw'!$C$4:$C$8000,"*"&amp;$B437&amp;"*",'Timesheet Raw'!$L$4:$L$8000,"&gt;="&amp;P$5,'Timesheet Raw'!$L$4:$L$8000,"&lt;="&amp;P$6)))/'Profit Plan'!$B$5)</f>
        <v/>
      </c>
      <c r="Q437" s="122" t="str">
        <f>IF($A437="","",(IF(ISNUMBER(SEARCH("Proposal",$A437)),SUMIFS('Timesheet Raw'!$P$4:$P$8000,'Timesheet Raw'!$A$4:$A$8000,IF(ISNUMBER(SEARCH("Chargable",$A437)),"2-Proposals Chargeable","3-Proposals Regular"),'Timesheet Raw'!$C$4:$C$8000,"*"&amp;$B437&amp;"*",'Timesheet Raw'!$L$4:$L$8000,"&gt;="&amp;MAX(Q$5,DATE(2000+VALUE(RIGHT(TRIM($A437),2)),1,1)),'Timesheet Raw'!$L$4:$L$8000,"&lt;="&amp;MIN(Q$6,DATE(2000+VALUE(RIGHT(TRIM($A437),2)),12,31))),SUMIFS('Timesheet Raw'!$P$4:$P$8000,'Timesheet Raw'!$B$4:$B$8000,TRIM($A437),'Timesheet Raw'!$C$4:$C$8000,"*"&amp;$B437&amp;"*",'Timesheet Raw'!$L$4:$L$8000,"&gt;="&amp;Q$5,'Timesheet Raw'!$L$4:$L$8000,"&lt;="&amp;Q$6)))/'Profit Plan'!$B$5)</f>
        <v/>
      </c>
      <c r="R437" s="122" t="str">
        <f>IF($A437="","",(IF(ISNUMBER(SEARCH("Proposal",$A437)),SUMIFS('Timesheet Raw'!$P$4:$P$8000,'Timesheet Raw'!$A$4:$A$8000,IF(ISNUMBER(SEARCH("Chargable",$A437)),"2-Proposals Chargeable","3-Proposals Regular"),'Timesheet Raw'!$C$4:$C$8000,"*"&amp;$B437&amp;"*",'Timesheet Raw'!$L$4:$L$8000,"&gt;="&amp;MAX(R$5,DATE(2000+VALUE(RIGHT(TRIM($A437),2)),1,1)),'Timesheet Raw'!$L$4:$L$8000,"&lt;="&amp;MIN(R$6,DATE(2000+VALUE(RIGHT(TRIM($A437),2)),12,31))),SUMIFS('Timesheet Raw'!$P$4:$P$8000,'Timesheet Raw'!$B$4:$B$8000,TRIM($A437),'Timesheet Raw'!$C$4:$C$8000,"*"&amp;$B437&amp;"*",'Timesheet Raw'!$L$4:$L$8000,"&gt;="&amp;R$5,'Timesheet Raw'!$L$4:$L$8000,"&lt;="&amp;R$6)))/'Profit Plan'!$B$5)</f>
        <v/>
      </c>
      <c r="S437" s="122" t="str">
        <f>IF($A437="","",(IF(ISNUMBER(SEARCH("Proposal",$A437)),SUMIFS('Timesheet Raw'!$P$4:$P$8000,'Timesheet Raw'!$A$4:$A$8000,IF(ISNUMBER(SEARCH("Chargable",$A437)),"2-Proposals Chargeable","3-Proposals Regular"),'Timesheet Raw'!$C$4:$C$8000,"*"&amp;$B437&amp;"*",'Timesheet Raw'!$L$4:$L$8000,"&gt;="&amp;MAX(S$5,DATE(2000+VALUE(RIGHT(TRIM($A437),2)),1,1)),'Timesheet Raw'!$L$4:$L$8000,"&lt;="&amp;MIN(S$6,DATE(2000+VALUE(RIGHT(TRIM($A437),2)),12,31))),SUMIFS('Timesheet Raw'!$P$4:$P$8000,'Timesheet Raw'!$B$4:$B$8000,TRIM($A437),'Timesheet Raw'!$C$4:$C$8000,"*"&amp;$B437&amp;"*",'Timesheet Raw'!$L$4:$L$8000,"&gt;="&amp;S$5,'Timesheet Raw'!$L$4:$L$8000,"&lt;="&amp;S$6)))/'Profit Plan'!$B$5)</f>
        <v/>
      </c>
      <c r="T437" s="122" t="str">
        <f>IF($A437="","",(IF(ISNUMBER(SEARCH("Proposal",$A437)),SUMIFS('Timesheet Raw'!$P$4:$P$8000,'Timesheet Raw'!$A$4:$A$8000,IF(ISNUMBER(SEARCH("Chargable",$A437)),"2-Proposals Chargeable","3-Proposals Regular"),'Timesheet Raw'!$C$4:$C$8000,"*"&amp;$B437&amp;"*",'Timesheet Raw'!$L$4:$L$8000,"&gt;="&amp;MAX(T$5,DATE(2000+VALUE(RIGHT(TRIM($A437),2)),1,1)),'Timesheet Raw'!$L$4:$L$8000,"&lt;="&amp;MIN(T$6,DATE(2000+VALUE(RIGHT(TRIM($A437),2)),12,31))),SUMIFS('Timesheet Raw'!$P$4:$P$8000,'Timesheet Raw'!$B$4:$B$8000,TRIM($A437),'Timesheet Raw'!$C$4:$C$8000,"*"&amp;$B437&amp;"*",'Timesheet Raw'!$L$4:$L$8000,"&gt;="&amp;T$5,'Timesheet Raw'!$L$4:$L$8000,"&lt;="&amp;T$6)))/'Profit Plan'!$B$5)</f>
        <v/>
      </c>
      <c r="U437" s="122" t="str">
        <f>IF($A437="","",(IF(ISNUMBER(SEARCH("Proposal",$A437)),SUMIFS('Timesheet Raw'!$P$4:$P$8000,'Timesheet Raw'!$A$4:$A$8000,IF(ISNUMBER(SEARCH("Chargable",$A437)),"2-Proposals Chargeable","3-Proposals Regular"),'Timesheet Raw'!$C$4:$C$8000,"*"&amp;$B437&amp;"*",'Timesheet Raw'!$L$4:$L$8000,"&gt;="&amp;MAX(U$5,DATE(2000+VALUE(RIGHT(TRIM($A437),2)),1,1)),'Timesheet Raw'!$L$4:$L$8000,"&lt;="&amp;MIN(U$6,DATE(2000+VALUE(RIGHT(TRIM($A437),2)),12,31))),SUMIFS('Timesheet Raw'!$P$4:$P$8000,'Timesheet Raw'!$B$4:$B$8000,TRIM($A437),'Timesheet Raw'!$C$4:$C$8000,"*"&amp;$B437&amp;"*",'Timesheet Raw'!$L$4:$L$8000,"&gt;="&amp;U$5,'Timesheet Raw'!$L$4:$L$8000,"&lt;="&amp;U$6)))/'Profit Plan'!$B$5)</f>
        <v/>
      </c>
      <c r="V437" s="122" t="str">
        <f>IF($A437="","",(IF(ISNUMBER(SEARCH("Proposal",$A437)),SUMIFS('Timesheet Raw'!$P$4:$P$8000,'Timesheet Raw'!$A$4:$A$8000,IF(ISNUMBER(SEARCH("Chargable",$A437)),"2-Proposals Chargeable","3-Proposals Regular"),'Timesheet Raw'!$C$4:$C$8000,"*"&amp;$B437&amp;"*",'Timesheet Raw'!$L$4:$L$8000,"&gt;="&amp;MAX(V$5,DATE(2000+VALUE(RIGHT(TRIM($A437),2)),1,1)),'Timesheet Raw'!$L$4:$L$8000,"&lt;="&amp;MIN(V$6,DATE(2000+VALUE(RIGHT(TRIM($A437),2)),12,31))),SUMIFS('Timesheet Raw'!$P$4:$P$8000,'Timesheet Raw'!$B$4:$B$8000,TRIM($A437),'Timesheet Raw'!$C$4:$C$8000,"*"&amp;$B437&amp;"*",'Timesheet Raw'!$L$4:$L$8000,"&gt;="&amp;V$5,'Timesheet Raw'!$L$4:$L$8000,"&lt;="&amp;V$6)))/'Profit Plan'!$B$5)</f>
        <v/>
      </c>
      <c r="W437" s="122" t="str">
        <f>IF($A437="","",(IF(ISNUMBER(SEARCH("Proposal",$A437)),SUMIFS('Timesheet Raw'!$P$4:$P$8000,'Timesheet Raw'!$A$4:$A$8000,IF(ISNUMBER(SEARCH("Chargable",$A437)),"2-Proposals Chargeable","3-Proposals Regular"),'Timesheet Raw'!$C$4:$C$8000,"*"&amp;$B437&amp;"*",'Timesheet Raw'!$L$4:$L$8000,"&gt;="&amp;MAX(W$5,DATE(2000+VALUE(RIGHT(TRIM($A437),2)),1,1)),'Timesheet Raw'!$L$4:$L$8000,"&lt;="&amp;MIN(W$6,DATE(2000+VALUE(RIGHT(TRIM($A437),2)),12,31))),SUMIFS('Timesheet Raw'!$P$4:$P$8000,'Timesheet Raw'!$B$4:$B$8000,TRIM($A437),'Timesheet Raw'!$C$4:$C$8000,"*"&amp;$B437&amp;"*",'Timesheet Raw'!$L$4:$L$8000,"&gt;="&amp;W$5,'Timesheet Raw'!$L$4:$L$8000,"&lt;="&amp;W$6)))/'Profit Plan'!$B$5)</f>
        <v/>
      </c>
      <c r="X437" s="122" t="str">
        <f>IF($A437="","",(IF(ISNUMBER(SEARCH("Proposal",$A437)),SUMIFS('Timesheet Raw'!$P$4:$P$8000,'Timesheet Raw'!$A$4:$A$8000,IF(ISNUMBER(SEARCH("Chargable",$A437)),"2-Proposals Chargeable","3-Proposals Regular"),'Timesheet Raw'!$C$4:$C$8000,"*"&amp;$B437&amp;"*",'Timesheet Raw'!$L$4:$L$8000,"&gt;="&amp;MAX(X$5,DATE(2000+VALUE(RIGHT(TRIM($A437),2)),1,1)),'Timesheet Raw'!$L$4:$L$8000,"&lt;="&amp;MIN(X$6,DATE(2000+VALUE(RIGHT(TRIM($A437),2)),12,31))),SUMIFS('Timesheet Raw'!$P$4:$P$8000,'Timesheet Raw'!$B$4:$B$8000,TRIM($A437),'Timesheet Raw'!$C$4:$C$8000,"*"&amp;$B437&amp;"*",'Timesheet Raw'!$L$4:$L$8000,"&gt;="&amp;X$5,'Timesheet Raw'!$L$4:$L$8000,"&lt;="&amp;X$6)))/'Profit Plan'!$B$5)</f>
        <v/>
      </c>
      <c r="Y437" s="118">
        <f t="shared" si="102"/>
        <v>0</v>
      </c>
    </row>
    <row r="438" spans="1:25" x14ac:dyDescent="0.3">
      <c r="A438" s="116" t="str">
        <f>IF(Inputs!$A63="","",Inputs!$A63)</f>
        <v/>
      </c>
      <c r="B438" s="116" t="str">
        <f>IF(Inputs!$A63="","",Inputs!$A$93)</f>
        <v/>
      </c>
      <c r="C438" s="116"/>
      <c r="D438" s="122" t="str">
        <f>IF($A438="","",(IF(ISNUMBER(SEARCH("Proposal",$A438)),SUMIFS('Timesheet Raw'!$P$4:$P$8000,'Timesheet Raw'!$A$4:$A$8000,IF(ISNUMBER(SEARCH("Chargable",$A438)),"2-Proposals Chargeable","3-Proposals Regular"),'Timesheet Raw'!$C$4:$C$8000,"*"&amp;$B438&amp;"*",'Timesheet Raw'!$L$4:$L$8000,"&gt;="&amp;MAX(D$5,DATE(2000+VALUE(RIGHT(TRIM($A438),2)),1,1)),'Timesheet Raw'!$L$4:$L$8000,"&lt;="&amp;MIN(D$6,DATE(2000+VALUE(RIGHT(TRIM($A438),2)),12,31))),SUMIFS('Timesheet Raw'!$P$4:$P$8000,'Timesheet Raw'!$B$4:$B$8000,TRIM($A438),'Timesheet Raw'!$C$4:$C$8000,"*"&amp;$B438&amp;"*",'Timesheet Raw'!$L$4:$L$8000,"&gt;="&amp;D$5,'Timesheet Raw'!$L$4:$L$8000,"&lt;="&amp;D$6)))/'Profit Plan'!$B$5)</f>
        <v/>
      </c>
      <c r="E438" s="122" t="str">
        <f>IF($A438="","",(IF(ISNUMBER(SEARCH("Proposal",$A438)),SUMIFS('Timesheet Raw'!$P$4:$P$8000,'Timesheet Raw'!$A$4:$A$8000,IF(ISNUMBER(SEARCH("Chargable",$A438)),"2-Proposals Chargeable","3-Proposals Regular"),'Timesheet Raw'!$C$4:$C$8000,"*"&amp;$B438&amp;"*",'Timesheet Raw'!$L$4:$L$8000,"&gt;="&amp;MAX(E$5,DATE(2000+VALUE(RIGHT(TRIM($A438),2)),1,1)),'Timesheet Raw'!$L$4:$L$8000,"&lt;="&amp;MIN(E$6,DATE(2000+VALUE(RIGHT(TRIM($A438),2)),12,31))),SUMIFS('Timesheet Raw'!$P$4:$P$8000,'Timesheet Raw'!$B$4:$B$8000,TRIM($A438),'Timesheet Raw'!$C$4:$C$8000,"*"&amp;$B438&amp;"*",'Timesheet Raw'!$L$4:$L$8000,"&gt;="&amp;E$5,'Timesheet Raw'!$L$4:$L$8000,"&lt;="&amp;E$6)))/'Profit Plan'!$B$5)</f>
        <v/>
      </c>
      <c r="F438" s="122" t="str">
        <f>IF($A438="","",(IF(ISNUMBER(SEARCH("Proposal",$A438)),SUMIFS('Timesheet Raw'!$P$4:$P$8000,'Timesheet Raw'!$A$4:$A$8000,IF(ISNUMBER(SEARCH("Chargable",$A438)),"2-Proposals Chargeable","3-Proposals Regular"),'Timesheet Raw'!$C$4:$C$8000,"*"&amp;$B438&amp;"*",'Timesheet Raw'!$L$4:$L$8000,"&gt;="&amp;MAX(F$5,DATE(2000+VALUE(RIGHT(TRIM($A438),2)),1,1)),'Timesheet Raw'!$L$4:$L$8000,"&lt;="&amp;MIN(F$6,DATE(2000+VALUE(RIGHT(TRIM($A438),2)),12,31))),SUMIFS('Timesheet Raw'!$P$4:$P$8000,'Timesheet Raw'!$B$4:$B$8000,TRIM($A438),'Timesheet Raw'!$C$4:$C$8000,"*"&amp;$B438&amp;"*",'Timesheet Raw'!$L$4:$L$8000,"&gt;="&amp;F$5,'Timesheet Raw'!$L$4:$L$8000,"&lt;="&amp;F$6)))/'Profit Plan'!$B$5)</f>
        <v/>
      </c>
      <c r="G438" s="122" t="str">
        <f>IF($A438="","",(IF(ISNUMBER(SEARCH("Proposal",$A438)),SUMIFS('Timesheet Raw'!$P$4:$P$8000,'Timesheet Raw'!$A$4:$A$8000,IF(ISNUMBER(SEARCH("Chargable",$A438)),"2-Proposals Chargeable","3-Proposals Regular"),'Timesheet Raw'!$C$4:$C$8000,"*"&amp;$B438&amp;"*",'Timesheet Raw'!$L$4:$L$8000,"&gt;="&amp;MAX(G$5,DATE(2000+VALUE(RIGHT(TRIM($A438),2)),1,1)),'Timesheet Raw'!$L$4:$L$8000,"&lt;="&amp;MIN(G$6,DATE(2000+VALUE(RIGHT(TRIM($A438),2)),12,31))),SUMIFS('Timesheet Raw'!$P$4:$P$8000,'Timesheet Raw'!$B$4:$B$8000,TRIM($A438),'Timesheet Raw'!$C$4:$C$8000,"*"&amp;$B438&amp;"*",'Timesheet Raw'!$L$4:$L$8000,"&gt;="&amp;G$5,'Timesheet Raw'!$L$4:$L$8000,"&lt;="&amp;G$6)))/'Profit Plan'!$B$5)</f>
        <v/>
      </c>
      <c r="H438" s="122" t="str">
        <f>IF($A438="","",(IF(ISNUMBER(SEARCH("Proposal",$A438)),SUMIFS('Timesheet Raw'!$P$4:$P$8000,'Timesheet Raw'!$A$4:$A$8000,IF(ISNUMBER(SEARCH("Chargable",$A438)),"2-Proposals Chargeable","3-Proposals Regular"),'Timesheet Raw'!$C$4:$C$8000,"*"&amp;$B438&amp;"*",'Timesheet Raw'!$L$4:$L$8000,"&gt;="&amp;MAX(H$5,DATE(2000+VALUE(RIGHT(TRIM($A438),2)),1,1)),'Timesheet Raw'!$L$4:$L$8000,"&lt;="&amp;MIN(H$6,DATE(2000+VALUE(RIGHT(TRIM($A438),2)),12,31))),SUMIFS('Timesheet Raw'!$P$4:$P$8000,'Timesheet Raw'!$B$4:$B$8000,TRIM($A438),'Timesheet Raw'!$C$4:$C$8000,"*"&amp;$B438&amp;"*",'Timesheet Raw'!$L$4:$L$8000,"&gt;="&amp;H$5,'Timesheet Raw'!$L$4:$L$8000,"&lt;="&amp;H$6)))/'Profit Plan'!$B$5)</f>
        <v/>
      </c>
      <c r="I438" s="122" t="str">
        <f>IF($A438="","",(IF(ISNUMBER(SEARCH("Proposal",$A438)),SUMIFS('Timesheet Raw'!$P$4:$P$8000,'Timesheet Raw'!$A$4:$A$8000,IF(ISNUMBER(SEARCH("Chargable",$A438)),"2-Proposals Chargeable","3-Proposals Regular"),'Timesheet Raw'!$C$4:$C$8000,"*"&amp;$B438&amp;"*",'Timesheet Raw'!$L$4:$L$8000,"&gt;="&amp;MAX(I$5,DATE(2000+VALUE(RIGHT(TRIM($A438),2)),1,1)),'Timesheet Raw'!$L$4:$L$8000,"&lt;="&amp;MIN(I$6,DATE(2000+VALUE(RIGHT(TRIM($A438),2)),12,31))),SUMIFS('Timesheet Raw'!$P$4:$P$8000,'Timesheet Raw'!$B$4:$B$8000,TRIM($A438),'Timesheet Raw'!$C$4:$C$8000,"*"&amp;$B438&amp;"*",'Timesheet Raw'!$L$4:$L$8000,"&gt;="&amp;I$5,'Timesheet Raw'!$L$4:$L$8000,"&lt;="&amp;I$6)))/'Profit Plan'!$B$5)</f>
        <v/>
      </c>
      <c r="J438" s="122" t="str">
        <f>IF($A438="","",(IF(ISNUMBER(SEARCH("Proposal",$A438)),SUMIFS('Timesheet Raw'!$P$4:$P$8000,'Timesheet Raw'!$A$4:$A$8000,IF(ISNUMBER(SEARCH("Chargable",$A438)),"2-Proposals Chargeable","3-Proposals Regular"),'Timesheet Raw'!$C$4:$C$8000,"*"&amp;$B438&amp;"*",'Timesheet Raw'!$L$4:$L$8000,"&gt;="&amp;MAX(J$5,DATE(2000+VALUE(RIGHT(TRIM($A438),2)),1,1)),'Timesheet Raw'!$L$4:$L$8000,"&lt;="&amp;MIN(J$6,DATE(2000+VALUE(RIGHT(TRIM($A438),2)),12,31))),SUMIFS('Timesheet Raw'!$P$4:$P$8000,'Timesheet Raw'!$B$4:$B$8000,TRIM($A438),'Timesheet Raw'!$C$4:$C$8000,"*"&amp;$B438&amp;"*",'Timesheet Raw'!$L$4:$L$8000,"&gt;="&amp;J$5,'Timesheet Raw'!$L$4:$L$8000,"&lt;="&amp;J$6)))/'Profit Plan'!$B$5)</f>
        <v/>
      </c>
      <c r="K438" s="122" t="str">
        <f>IF($A438="","",(IF(ISNUMBER(SEARCH("Proposal",$A438)),SUMIFS('Timesheet Raw'!$P$4:$P$8000,'Timesheet Raw'!$A$4:$A$8000,IF(ISNUMBER(SEARCH("Chargable",$A438)),"2-Proposals Chargeable","3-Proposals Regular"),'Timesheet Raw'!$C$4:$C$8000,"*"&amp;$B438&amp;"*",'Timesheet Raw'!$L$4:$L$8000,"&gt;="&amp;MAX(K$5,DATE(2000+VALUE(RIGHT(TRIM($A438),2)),1,1)),'Timesheet Raw'!$L$4:$L$8000,"&lt;="&amp;MIN(K$6,DATE(2000+VALUE(RIGHT(TRIM($A438),2)),12,31))),SUMIFS('Timesheet Raw'!$P$4:$P$8000,'Timesheet Raw'!$B$4:$B$8000,TRIM($A438),'Timesheet Raw'!$C$4:$C$8000,"*"&amp;$B438&amp;"*",'Timesheet Raw'!$L$4:$L$8000,"&gt;="&amp;K$5,'Timesheet Raw'!$L$4:$L$8000,"&lt;="&amp;K$6)))/'Profit Plan'!$B$5)</f>
        <v/>
      </c>
      <c r="L438" s="122" t="str">
        <f>IF($A438="","",(IF(ISNUMBER(SEARCH("Proposal",$A438)),SUMIFS('Timesheet Raw'!$P$4:$P$8000,'Timesheet Raw'!$A$4:$A$8000,IF(ISNUMBER(SEARCH("Chargable",$A438)),"2-Proposals Chargeable","3-Proposals Regular"),'Timesheet Raw'!$C$4:$C$8000,"*"&amp;$B438&amp;"*",'Timesheet Raw'!$L$4:$L$8000,"&gt;="&amp;MAX(L$5,DATE(2000+VALUE(RIGHT(TRIM($A438),2)),1,1)),'Timesheet Raw'!$L$4:$L$8000,"&lt;="&amp;MIN(L$6,DATE(2000+VALUE(RIGHT(TRIM($A438),2)),12,31))),SUMIFS('Timesheet Raw'!$P$4:$P$8000,'Timesheet Raw'!$B$4:$B$8000,TRIM($A438),'Timesheet Raw'!$C$4:$C$8000,"*"&amp;$B438&amp;"*",'Timesheet Raw'!$L$4:$L$8000,"&gt;="&amp;L$5,'Timesheet Raw'!$L$4:$L$8000,"&lt;="&amp;L$6)))/'Profit Plan'!$B$5)</f>
        <v/>
      </c>
      <c r="M438" s="122" t="str">
        <f>IF($A438="","",(IF(ISNUMBER(SEARCH("Proposal",$A438)),SUMIFS('Timesheet Raw'!$P$4:$P$8000,'Timesheet Raw'!$A$4:$A$8000,IF(ISNUMBER(SEARCH("Chargable",$A438)),"2-Proposals Chargeable","3-Proposals Regular"),'Timesheet Raw'!$C$4:$C$8000,"*"&amp;$B438&amp;"*",'Timesheet Raw'!$L$4:$L$8000,"&gt;="&amp;MAX(M$5,DATE(2000+VALUE(RIGHT(TRIM($A438),2)),1,1)),'Timesheet Raw'!$L$4:$L$8000,"&lt;="&amp;MIN(M$6,DATE(2000+VALUE(RIGHT(TRIM($A438),2)),12,31))),SUMIFS('Timesheet Raw'!$P$4:$P$8000,'Timesheet Raw'!$B$4:$B$8000,TRIM($A438),'Timesheet Raw'!$C$4:$C$8000,"*"&amp;$B438&amp;"*",'Timesheet Raw'!$L$4:$L$8000,"&gt;="&amp;M$5,'Timesheet Raw'!$L$4:$L$8000,"&lt;="&amp;M$6)))/'Profit Plan'!$B$5)</f>
        <v/>
      </c>
      <c r="N438" s="122" t="str">
        <f>IF($A438="","",(IF(ISNUMBER(SEARCH("Proposal",$A438)),SUMIFS('Timesheet Raw'!$P$4:$P$8000,'Timesheet Raw'!$A$4:$A$8000,IF(ISNUMBER(SEARCH("Chargable",$A438)),"2-Proposals Chargeable","3-Proposals Regular"),'Timesheet Raw'!$C$4:$C$8000,"*"&amp;$B438&amp;"*",'Timesheet Raw'!$L$4:$L$8000,"&gt;="&amp;MAX(N$5,DATE(2000+VALUE(RIGHT(TRIM($A438),2)),1,1)),'Timesheet Raw'!$L$4:$L$8000,"&lt;="&amp;MIN(N$6,DATE(2000+VALUE(RIGHT(TRIM($A438),2)),12,31))),SUMIFS('Timesheet Raw'!$P$4:$P$8000,'Timesheet Raw'!$B$4:$B$8000,TRIM($A438),'Timesheet Raw'!$C$4:$C$8000,"*"&amp;$B438&amp;"*",'Timesheet Raw'!$L$4:$L$8000,"&gt;="&amp;N$5,'Timesheet Raw'!$L$4:$L$8000,"&lt;="&amp;N$6)))/'Profit Plan'!$B$5)</f>
        <v/>
      </c>
      <c r="O438" s="122" t="str">
        <f>IF($A438="","",(IF(ISNUMBER(SEARCH("Proposal",$A438)),SUMIFS('Timesheet Raw'!$P$4:$P$8000,'Timesheet Raw'!$A$4:$A$8000,IF(ISNUMBER(SEARCH("Chargable",$A438)),"2-Proposals Chargeable","3-Proposals Regular"),'Timesheet Raw'!$C$4:$C$8000,"*"&amp;$B438&amp;"*",'Timesheet Raw'!$L$4:$L$8000,"&gt;="&amp;MAX(O$5,DATE(2000+VALUE(RIGHT(TRIM($A438),2)),1,1)),'Timesheet Raw'!$L$4:$L$8000,"&lt;="&amp;MIN(O$6,DATE(2000+VALUE(RIGHT(TRIM($A438),2)),12,31))),SUMIFS('Timesheet Raw'!$P$4:$P$8000,'Timesheet Raw'!$B$4:$B$8000,TRIM($A438),'Timesheet Raw'!$C$4:$C$8000,"*"&amp;$B438&amp;"*",'Timesheet Raw'!$L$4:$L$8000,"&gt;="&amp;O$5,'Timesheet Raw'!$L$4:$L$8000,"&lt;="&amp;O$6)))/'Profit Plan'!$B$5)</f>
        <v/>
      </c>
      <c r="P438" s="122" t="str">
        <f>IF($A438="","",(IF(ISNUMBER(SEARCH("Proposal",$A438)),SUMIFS('Timesheet Raw'!$P$4:$P$8000,'Timesheet Raw'!$A$4:$A$8000,IF(ISNUMBER(SEARCH("Chargable",$A438)),"2-Proposals Chargeable","3-Proposals Regular"),'Timesheet Raw'!$C$4:$C$8000,"*"&amp;$B438&amp;"*",'Timesheet Raw'!$L$4:$L$8000,"&gt;="&amp;MAX(P$5,DATE(2000+VALUE(RIGHT(TRIM($A438),2)),1,1)),'Timesheet Raw'!$L$4:$L$8000,"&lt;="&amp;MIN(P$6,DATE(2000+VALUE(RIGHT(TRIM($A438),2)),12,31))),SUMIFS('Timesheet Raw'!$P$4:$P$8000,'Timesheet Raw'!$B$4:$B$8000,TRIM($A438),'Timesheet Raw'!$C$4:$C$8000,"*"&amp;$B438&amp;"*",'Timesheet Raw'!$L$4:$L$8000,"&gt;="&amp;P$5,'Timesheet Raw'!$L$4:$L$8000,"&lt;="&amp;P$6)))/'Profit Plan'!$B$5)</f>
        <v/>
      </c>
      <c r="Q438" s="122" t="str">
        <f>IF($A438="","",(IF(ISNUMBER(SEARCH("Proposal",$A438)),SUMIFS('Timesheet Raw'!$P$4:$P$8000,'Timesheet Raw'!$A$4:$A$8000,IF(ISNUMBER(SEARCH("Chargable",$A438)),"2-Proposals Chargeable","3-Proposals Regular"),'Timesheet Raw'!$C$4:$C$8000,"*"&amp;$B438&amp;"*",'Timesheet Raw'!$L$4:$L$8000,"&gt;="&amp;MAX(Q$5,DATE(2000+VALUE(RIGHT(TRIM($A438),2)),1,1)),'Timesheet Raw'!$L$4:$L$8000,"&lt;="&amp;MIN(Q$6,DATE(2000+VALUE(RIGHT(TRIM($A438),2)),12,31))),SUMIFS('Timesheet Raw'!$P$4:$P$8000,'Timesheet Raw'!$B$4:$B$8000,TRIM($A438),'Timesheet Raw'!$C$4:$C$8000,"*"&amp;$B438&amp;"*",'Timesheet Raw'!$L$4:$L$8000,"&gt;="&amp;Q$5,'Timesheet Raw'!$L$4:$L$8000,"&lt;="&amp;Q$6)))/'Profit Plan'!$B$5)</f>
        <v/>
      </c>
      <c r="R438" s="122" t="str">
        <f>IF($A438="","",(IF(ISNUMBER(SEARCH("Proposal",$A438)),SUMIFS('Timesheet Raw'!$P$4:$P$8000,'Timesheet Raw'!$A$4:$A$8000,IF(ISNUMBER(SEARCH("Chargable",$A438)),"2-Proposals Chargeable","3-Proposals Regular"),'Timesheet Raw'!$C$4:$C$8000,"*"&amp;$B438&amp;"*",'Timesheet Raw'!$L$4:$L$8000,"&gt;="&amp;MAX(R$5,DATE(2000+VALUE(RIGHT(TRIM($A438),2)),1,1)),'Timesheet Raw'!$L$4:$L$8000,"&lt;="&amp;MIN(R$6,DATE(2000+VALUE(RIGHT(TRIM($A438),2)),12,31))),SUMIFS('Timesheet Raw'!$P$4:$P$8000,'Timesheet Raw'!$B$4:$B$8000,TRIM($A438),'Timesheet Raw'!$C$4:$C$8000,"*"&amp;$B438&amp;"*",'Timesheet Raw'!$L$4:$L$8000,"&gt;="&amp;R$5,'Timesheet Raw'!$L$4:$L$8000,"&lt;="&amp;R$6)))/'Profit Plan'!$B$5)</f>
        <v/>
      </c>
      <c r="S438" s="122" t="str">
        <f>IF($A438="","",(IF(ISNUMBER(SEARCH("Proposal",$A438)),SUMIFS('Timesheet Raw'!$P$4:$P$8000,'Timesheet Raw'!$A$4:$A$8000,IF(ISNUMBER(SEARCH("Chargable",$A438)),"2-Proposals Chargeable","3-Proposals Regular"),'Timesheet Raw'!$C$4:$C$8000,"*"&amp;$B438&amp;"*",'Timesheet Raw'!$L$4:$L$8000,"&gt;="&amp;MAX(S$5,DATE(2000+VALUE(RIGHT(TRIM($A438),2)),1,1)),'Timesheet Raw'!$L$4:$L$8000,"&lt;="&amp;MIN(S$6,DATE(2000+VALUE(RIGHT(TRIM($A438),2)),12,31))),SUMIFS('Timesheet Raw'!$P$4:$P$8000,'Timesheet Raw'!$B$4:$B$8000,TRIM($A438),'Timesheet Raw'!$C$4:$C$8000,"*"&amp;$B438&amp;"*",'Timesheet Raw'!$L$4:$L$8000,"&gt;="&amp;S$5,'Timesheet Raw'!$L$4:$L$8000,"&lt;="&amp;S$6)))/'Profit Plan'!$B$5)</f>
        <v/>
      </c>
      <c r="T438" s="122" t="str">
        <f>IF($A438="","",(IF(ISNUMBER(SEARCH("Proposal",$A438)),SUMIFS('Timesheet Raw'!$P$4:$P$8000,'Timesheet Raw'!$A$4:$A$8000,IF(ISNUMBER(SEARCH("Chargable",$A438)),"2-Proposals Chargeable","3-Proposals Regular"),'Timesheet Raw'!$C$4:$C$8000,"*"&amp;$B438&amp;"*",'Timesheet Raw'!$L$4:$L$8000,"&gt;="&amp;MAX(T$5,DATE(2000+VALUE(RIGHT(TRIM($A438),2)),1,1)),'Timesheet Raw'!$L$4:$L$8000,"&lt;="&amp;MIN(T$6,DATE(2000+VALUE(RIGHT(TRIM($A438),2)),12,31))),SUMIFS('Timesheet Raw'!$P$4:$P$8000,'Timesheet Raw'!$B$4:$B$8000,TRIM($A438),'Timesheet Raw'!$C$4:$C$8000,"*"&amp;$B438&amp;"*",'Timesheet Raw'!$L$4:$L$8000,"&gt;="&amp;T$5,'Timesheet Raw'!$L$4:$L$8000,"&lt;="&amp;T$6)))/'Profit Plan'!$B$5)</f>
        <v/>
      </c>
      <c r="U438" s="122" t="str">
        <f>IF($A438="","",(IF(ISNUMBER(SEARCH("Proposal",$A438)),SUMIFS('Timesheet Raw'!$P$4:$P$8000,'Timesheet Raw'!$A$4:$A$8000,IF(ISNUMBER(SEARCH("Chargable",$A438)),"2-Proposals Chargeable","3-Proposals Regular"),'Timesheet Raw'!$C$4:$C$8000,"*"&amp;$B438&amp;"*",'Timesheet Raw'!$L$4:$L$8000,"&gt;="&amp;MAX(U$5,DATE(2000+VALUE(RIGHT(TRIM($A438),2)),1,1)),'Timesheet Raw'!$L$4:$L$8000,"&lt;="&amp;MIN(U$6,DATE(2000+VALUE(RIGHT(TRIM($A438),2)),12,31))),SUMIFS('Timesheet Raw'!$P$4:$P$8000,'Timesheet Raw'!$B$4:$B$8000,TRIM($A438),'Timesheet Raw'!$C$4:$C$8000,"*"&amp;$B438&amp;"*",'Timesheet Raw'!$L$4:$L$8000,"&gt;="&amp;U$5,'Timesheet Raw'!$L$4:$L$8000,"&lt;="&amp;U$6)))/'Profit Plan'!$B$5)</f>
        <v/>
      </c>
      <c r="V438" s="122" t="str">
        <f>IF($A438="","",(IF(ISNUMBER(SEARCH("Proposal",$A438)),SUMIFS('Timesheet Raw'!$P$4:$P$8000,'Timesheet Raw'!$A$4:$A$8000,IF(ISNUMBER(SEARCH("Chargable",$A438)),"2-Proposals Chargeable","3-Proposals Regular"),'Timesheet Raw'!$C$4:$C$8000,"*"&amp;$B438&amp;"*",'Timesheet Raw'!$L$4:$L$8000,"&gt;="&amp;MAX(V$5,DATE(2000+VALUE(RIGHT(TRIM($A438),2)),1,1)),'Timesheet Raw'!$L$4:$L$8000,"&lt;="&amp;MIN(V$6,DATE(2000+VALUE(RIGHT(TRIM($A438),2)),12,31))),SUMIFS('Timesheet Raw'!$P$4:$P$8000,'Timesheet Raw'!$B$4:$B$8000,TRIM($A438),'Timesheet Raw'!$C$4:$C$8000,"*"&amp;$B438&amp;"*",'Timesheet Raw'!$L$4:$L$8000,"&gt;="&amp;V$5,'Timesheet Raw'!$L$4:$L$8000,"&lt;="&amp;V$6)))/'Profit Plan'!$B$5)</f>
        <v/>
      </c>
      <c r="W438" s="122" t="str">
        <f>IF($A438="","",(IF(ISNUMBER(SEARCH("Proposal",$A438)),SUMIFS('Timesheet Raw'!$P$4:$P$8000,'Timesheet Raw'!$A$4:$A$8000,IF(ISNUMBER(SEARCH("Chargable",$A438)),"2-Proposals Chargeable","3-Proposals Regular"),'Timesheet Raw'!$C$4:$C$8000,"*"&amp;$B438&amp;"*",'Timesheet Raw'!$L$4:$L$8000,"&gt;="&amp;MAX(W$5,DATE(2000+VALUE(RIGHT(TRIM($A438),2)),1,1)),'Timesheet Raw'!$L$4:$L$8000,"&lt;="&amp;MIN(W$6,DATE(2000+VALUE(RIGHT(TRIM($A438),2)),12,31))),SUMIFS('Timesheet Raw'!$P$4:$P$8000,'Timesheet Raw'!$B$4:$B$8000,TRIM($A438),'Timesheet Raw'!$C$4:$C$8000,"*"&amp;$B438&amp;"*",'Timesheet Raw'!$L$4:$L$8000,"&gt;="&amp;W$5,'Timesheet Raw'!$L$4:$L$8000,"&lt;="&amp;W$6)))/'Profit Plan'!$B$5)</f>
        <v/>
      </c>
      <c r="X438" s="122" t="str">
        <f>IF($A438="","",(IF(ISNUMBER(SEARCH("Proposal",$A438)),SUMIFS('Timesheet Raw'!$P$4:$P$8000,'Timesheet Raw'!$A$4:$A$8000,IF(ISNUMBER(SEARCH("Chargable",$A438)),"2-Proposals Chargeable","3-Proposals Regular"),'Timesheet Raw'!$C$4:$C$8000,"*"&amp;$B438&amp;"*",'Timesheet Raw'!$L$4:$L$8000,"&gt;="&amp;MAX(X$5,DATE(2000+VALUE(RIGHT(TRIM($A438),2)),1,1)),'Timesheet Raw'!$L$4:$L$8000,"&lt;="&amp;MIN(X$6,DATE(2000+VALUE(RIGHT(TRIM($A438),2)),12,31))),SUMIFS('Timesheet Raw'!$P$4:$P$8000,'Timesheet Raw'!$B$4:$B$8000,TRIM($A438),'Timesheet Raw'!$C$4:$C$8000,"*"&amp;$B438&amp;"*",'Timesheet Raw'!$L$4:$L$8000,"&gt;="&amp;X$5,'Timesheet Raw'!$L$4:$L$8000,"&lt;="&amp;X$6)))/'Profit Plan'!$B$5)</f>
        <v/>
      </c>
      <c r="Y438" s="118">
        <f t="shared" si="102"/>
        <v>0</v>
      </c>
    </row>
    <row r="439" spans="1:25" x14ac:dyDescent="0.3">
      <c r="A439" s="116" t="str">
        <f>IF(Inputs!$A64="","",Inputs!$A64)</f>
        <v/>
      </c>
      <c r="B439" s="116" t="str">
        <f>IF(Inputs!$A64="","",Inputs!$A$91)</f>
        <v/>
      </c>
      <c r="C439" s="116"/>
      <c r="D439" s="122" t="str">
        <f>IF($A439="","",(IF(ISNUMBER(SEARCH("Proposal",$A439)),SUMIFS('Timesheet Raw'!$P$4:$P$8000,'Timesheet Raw'!$A$4:$A$8000,IF(ISNUMBER(SEARCH("Chargable",$A439)),"2-Proposals Chargeable","3-Proposals Regular"),'Timesheet Raw'!$C$4:$C$8000,"*"&amp;$B439&amp;"*",'Timesheet Raw'!$L$4:$L$8000,"&gt;="&amp;MAX(D$5,DATE(2000+VALUE(RIGHT(TRIM($A439),2)),1,1)),'Timesheet Raw'!$L$4:$L$8000,"&lt;="&amp;MIN(D$6,DATE(2000+VALUE(RIGHT(TRIM($A439),2)),12,31))),SUMIFS('Timesheet Raw'!$P$4:$P$8000,'Timesheet Raw'!$B$4:$B$8000,TRIM($A439),'Timesheet Raw'!$C$4:$C$8000,"*"&amp;$B439&amp;"*",'Timesheet Raw'!$L$4:$L$8000,"&gt;="&amp;D$5,'Timesheet Raw'!$L$4:$L$8000,"&lt;="&amp;D$6)))/'Profit Plan'!$B$5)</f>
        <v/>
      </c>
      <c r="E439" s="122" t="str">
        <f>IF($A439="","",(IF(ISNUMBER(SEARCH("Proposal",$A439)),SUMIFS('Timesheet Raw'!$P$4:$P$8000,'Timesheet Raw'!$A$4:$A$8000,IF(ISNUMBER(SEARCH("Chargable",$A439)),"2-Proposals Chargeable","3-Proposals Regular"),'Timesheet Raw'!$C$4:$C$8000,"*"&amp;$B439&amp;"*",'Timesheet Raw'!$L$4:$L$8000,"&gt;="&amp;MAX(E$5,DATE(2000+VALUE(RIGHT(TRIM($A439),2)),1,1)),'Timesheet Raw'!$L$4:$L$8000,"&lt;="&amp;MIN(E$6,DATE(2000+VALUE(RIGHT(TRIM($A439),2)),12,31))),SUMIFS('Timesheet Raw'!$P$4:$P$8000,'Timesheet Raw'!$B$4:$B$8000,TRIM($A439),'Timesheet Raw'!$C$4:$C$8000,"*"&amp;$B439&amp;"*",'Timesheet Raw'!$L$4:$L$8000,"&gt;="&amp;E$5,'Timesheet Raw'!$L$4:$L$8000,"&lt;="&amp;E$6)))/'Profit Plan'!$B$5)</f>
        <v/>
      </c>
      <c r="F439" s="122" t="str">
        <f>IF($A439="","",(IF(ISNUMBER(SEARCH("Proposal",$A439)),SUMIFS('Timesheet Raw'!$P$4:$P$8000,'Timesheet Raw'!$A$4:$A$8000,IF(ISNUMBER(SEARCH("Chargable",$A439)),"2-Proposals Chargeable","3-Proposals Regular"),'Timesheet Raw'!$C$4:$C$8000,"*"&amp;$B439&amp;"*",'Timesheet Raw'!$L$4:$L$8000,"&gt;="&amp;MAX(F$5,DATE(2000+VALUE(RIGHT(TRIM($A439),2)),1,1)),'Timesheet Raw'!$L$4:$L$8000,"&lt;="&amp;MIN(F$6,DATE(2000+VALUE(RIGHT(TRIM($A439),2)),12,31))),SUMIFS('Timesheet Raw'!$P$4:$P$8000,'Timesheet Raw'!$B$4:$B$8000,TRIM($A439),'Timesheet Raw'!$C$4:$C$8000,"*"&amp;$B439&amp;"*",'Timesheet Raw'!$L$4:$L$8000,"&gt;="&amp;F$5,'Timesheet Raw'!$L$4:$L$8000,"&lt;="&amp;F$6)))/'Profit Plan'!$B$5)</f>
        <v/>
      </c>
      <c r="G439" s="122" t="str">
        <f>IF($A439="","",(IF(ISNUMBER(SEARCH("Proposal",$A439)),SUMIFS('Timesheet Raw'!$P$4:$P$8000,'Timesheet Raw'!$A$4:$A$8000,IF(ISNUMBER(SEARCH("Chargable",$A439)),"2-Proposals Chargeable","3-Proposals Regular"),'Timesheet Raw'!$C$4:$C$8000,"*"&amp;$B439&amp;"*",'Timesheet Raw'!$L$4:$L$8000,"&gt;="&amp;MAX(G$5,DATE(2000+VALUE(RIGHT(TRIM($A439),2)),1,1)),'Timesheet Raw'!$L$4:$L$8000,"&lt;="&amp;MIN(G$6,DATE(2000+VALUE(RIGHT(TRIM($A439),2)),12,31))),SUMIFS('Timesheet Raw'!$P$4:$P$8000,'Timesheet Raw'!$B$4:$B$8000,TRIM($A439),'Timesheet Raw'!$C$4:$C$8000,"*"&amp;$B439&amp;"*",'Timesheet Raw'!$L$4:$L$8000,"&gt;="&amp;G$5,'Timesheet Raw'!$L$4:$L$8000,"&lt;="&amp;G$6)))/'Profit Plan'!$B$5)</f>
        <v/>
      </c>
      <c r="H439" s="122" t="str">
        <f>IF($A439="","",(IF(ISNUMBER(SEARCH("Proposal",$A439)),SUMIFS('Timesheet Raw'!$P$4:$P$8000,'Timesheet Raw'!$A$4:$A$8000,IF(ISNUMBER(SEARCH("Chargable",$A439)),"2-Proposals Chargeable","3-Proposals Regular"),'Timesheet Raw'!$C$4:$C$8000,"*"&amp;$B439&amp;"*",'Timesheet Raw'!$L$4:$L$8000,"&gt;="&amp;MAX(H$5,DATE(2000+VALUE(RIGHT(TRIM($A439),2)),1,1)),'Timesheet Raw'!$L$4:$L$8000,"&lt;="&amp;MIN(H$6,DATE(2000+VALUE(RIGHT(TRIM($A439),2)),12,31))),SUMIFS('Timesheet Raw'!$P$4:$P$8000,'Timesheet Raw'!$B$4:$B$8000,TRIM($A439),'Timesheet Raw'!$C$4:$C$8000,"*"&amp;$B439&amp;"*",'Timesheet Raw'!$L$4:$L$8000,"&gt;="&amp;H$5,'Timesheet Raw'!$L$4:$L$8000,"&lt;="&amp;H$6)))/'Profit Plan'!$B$5)</f>
        <v/>
      </c>
      <c r="I439" s="122" t="str">
        <f>IF($A439="","",(IF(ISNUMBER(SEARCH("Proposal",$A439)),SUMIFS('Timesheet Raw'!$P$4:$P$8000,'Timesheet Raw'!$A$4:$A$8000,IF(ISNUMBER(SEARCH("Chargable",$A439)),"2-Proposals Chargeable","3-Proposals Regular"),'Timesheet Raw'!$C$4:$C$8000,"*"&amp;$B439&amp;"*",'Timesheet Raw'!$L$4:$L$8000,"&gt;="&amp;MAX(I$5,DATE(2000+VALUE(RIGHT(TRIM($A439),2)),1,1)),'Timesheet Raw'!$L$4:$L$8000,"&lt;="&amp;MIN(I$6,DATE(2000+VALUE(RIGHT(TRIM($A439),2)),12,31))),SUMIFS('Timesheet Raw'!$P$4:$P$8000,'Timesheet Raw'!$B$4:$B$8000,TRIM($A439),'Timesheet Raw'!$C$4:$C$8000,"*"&amp;$B439&amp;"*",'Timesheet Raw'!$L$4:$L$8000,"&gt;="&amp;I$5,'Timesheet Raw'!$L$4:$L$8000,"&lt;="&amp;I$6)))/'Profit Plan'!$B$5)</f>
        <v/>
      </c>
      <c r="J439" s="122" t="str">
        <f>IF($A439="","",(IF(ISNUMBER(SEARCH("Proposal",$A439)),SUMIFS('Timesheet Raw'!$P$4:$P$8000,'Timesheet Raw'!$A$4:$A$8000,IF(ISNUMBER(SEARCH("Chargable",$A439)),"2-Proposals Chargeable","3-Proposals Regular"),'Timesheet Raw'!$C$4:$C$8000,"*"&amp;$B439&amp;"*",'Timesheet Raw'!$L$4:$L$8000,"&gt;="&amp;MAX(J$5,DATE(2000+VALUE(RIGHT(TRIM($A439),2)),1,1)),'Timesheet Raw'!$L$4:$L$8000,"&lt;="&amp;MIN(J$6,DATE(2000+VALUE(RIGHT(TRIM($A439),2)),12,31))),SUMIFS('Timesheet Raw'!$P$4:$P$8000,'Timesheet Raw'!$B$4:$B$8000,TRIM($A439),'Timesheet Raw'!$C$4:$C$8000,"*"&amp;$B439&amp;"*",'Timesheet Raw'!$L$4:$L$8000,"&gt;="&amp;J$5,'Timesheet Raw'!$L$4:$L$8000,"&lt;="&amp;J$6)))/'Profit Plan'!$B$5)</f>
        <v/>
      </c>
      <c r="K439" s="122" t="str">
        <f>IF($A439="","",(IF(ISNUMBER(SEARCH("Proposal",$A439)),SUMIFS('Timesheet Raw'!$P$4:$P$8000,'Timesheet Raw'!$A$4:$A$8000,IF(ISNUMBER(SEARCH("Chargable",$A439)),"2-Proposals Chargeable","3-Proposals Regular"),'Timesheet Raw'!$C$4:$C$8000,"*"&amp;$B439&amp;"*",'Timesheet Raw'!$L$4:$L$8000,"&gt;="&amp;MAX(K$5,DATE(2000+VALUE(RIGHT(TRIM($A439),2)),1,1)),'Timesheet Raw'!$L$4:$L$8000,"&lt;="&amp;MIN(K$6,DATE(2000+VALUE(RIGHT(TRIM($A439),2)),12,31))),SUMIFS('Timesheet Raw'!$P$4:$P$8000,'Timesheet Raw'!$B$4:$B$8000,TRIM($A439),'Timesheet Raw'!$C$4:$C$8000,"*"&amp;$B439&amp;"*",'Timesheet Raw'!$L$4:$L$8000,"&gt;="&amp;K$5,'Timesheet Raw'!$L$4:$L$8000,"&lt;="&amp;K$6)))/'Profit Plan'!$B$5)</f>
        <v/>
      </c>
      <c r="L439" s="122" t="str">
        <f>IF($A439="","",(IF(ISNUMBER(SEARCH("Proposal",$A439)),SUMIFS('Timesheet Raw'!$P$4:$P$8000,'Timesheet Raw'!$A$4:$A$8000,IF(ISNUMBER(SEARCH("Chargable",$A439)),"2-Proposals Chargeable","3-Proposals Regular"),'Timesheet Raw'!$C$4:$C$8000,"*"&amp;$B439&amp;"*",'Timesheet Raw'!$L$4:$L$8000,"&gt;="&amp;MAX(L$5,DATE(2000+VALUE(RIGHT(TRIM($A439),2)),1,1)),'Timesheet Raw'!$L$4:$L$8000,"&lt;="&amp;MIN(L$6,DATE(2000+VALUE(RIGHT(TRIM($A439),2)),12,31))),SUMIFS('Timesheet Raw'!$P$4:$P$8000,'Timesheet Raw'!$B$4:$B$8000,TRIM($A439),'Timesheet Raw'!$C$4:$C$8000,"*"&amp;$B439&amp;"*",'Timesheet Raw'!$L$4:$L$8000,"&gt;="&amp;L$5,'Timesheet Raw'!$L$4:$L$8000,"&lt;="&amp;L$6)))/'Profit Plan'!$B$5)</f>
        <v/>
      </c>
      <c r="M439" s="122" t="str">
        <f>IF($A439="","",(IF(ISNUMBER(SEARCH("Proposal",$A439)),SUMIFS('Timesheet Raw'!$P$4:$P$8000,'Timesheet Raw'!$A$4:$A$8000,IF(ISNUMBER(SEARCH("Chargable",$A439)),"2-Proposals Chargeable","3-Proposals Regular"),'Timesheet Raw'!$C$4:$C$8000,"*"&amp;$B439&amp;"*",'Timesheet Raw'!$L$4:$L$8000,"&gt;="&amp;MAX(M$5,DATE(2000+VALUE(RIGHT(TRIM($A439),2)),1,1)),'Timesheet Raw'!$L$4:$L$8000,"&lt;="&amp;MIN(M$6,DATE(2000+VALUE(RIGHT(TRIM($A439),2)),12,31))),SUMIFS('Timesheet Raw'!$P$4:$P$8000,'Timesheet Raw'!$B$4:$B$8000,TRIM($A439),'Timesheet Raw'!$C$4:$C$8000,"*"&amp;$B439&amp;"*",'Timesheet Raw'!$L$4:$L$8000,"&gt;="&amp;M$5,'Timesheet Raw'!$L$4:$L$8000,"&lt;="&amp;M$6)))/'Profit Plan'!$B$5)</f>
        <v/>
      </c>
      <c r="N439" s="122" t="str">
        <f>IF($A439="","",(IF(ISNUMBER(SEARCH("Proposal",$A439)),SUMIFS('Timesheet Raw'!$P$4:$P$8000,'Timesheet Raw'!$A$4:$A$8000,IF(ISNUMBER(SEARCH("Chargable",$A439)),"2-Proposals Chargeable","3-Proposals Regular"),'Timesheet Raw'!$C$4:$C$8000,"*"&amp;$B439&amp;"*",'Timesheet Raw'!$L$4:$L$8000,"&gt;="&amp;MAX(N$5,DATE(2000+VALUE(RIGHT(TRIM($A439),2)),1,1)),'Timesheet Raw'!$L$4:$L$8000,"&lt;="&amp;MIN(N$6,DATE(2000+VALUE(RIGHT(TRIM($A439),2)),12,31))),SUMIFS('Timesheet Raw'!$P$4:$P$8000,'Timesheet Raw'!$B$4:$B$8000,TRIM($A439),'Timesheet Raw'!$C$4:$C$8000,"*"&amp;$B439&amp;"*",'Timesheet Raw'!$L$4:$L$8000,"&gt;="&amp;N$5,'Timesheet Raw'!$L$4:$L$8000,"&lt;="&amp;N$6)))/'Profit Plan'!$B$5)</f>
        <v/>
      </c>
      <c r="O439" s="122" t="str">
        <f>IF($A439="","",(IF(ISNUMBER(SEARCH("Proposal",$A439)),SUMIFS('Timesheet Raw'!$P$4:$P$8000,'Timesheet Raw'!$A$4:$A$8000,IF(ISNUMBER(SEARCH("Chargable",$A439)),"2-Proposals Chargeable","3-Proposals Regular"),'Timesheet Raw'!$C$4:$C$8000,"*"&amp;$B439&amp;"*",'Timesheet Raw'!$L$4:$L$8000,"&gt;="&amp;MAX(O$5,DATE(2000+VALUE(RIGHT(TRIM($A439),2)),1,1)),'Timesheet Raw'!$L$4:$L$8000,"&lt;="&amp;MIN(O$6,DATE(2000+VALUE(RIGHT(TRIM($A439),2)),12,31))),SUMIFS('Timesheet Raw'!$P$4:$P$8000,'Timesheet Raw'!$B$4:$B$8000,TRIM($A439),'Timesheet Raw'!$C$4:$C$8000,"*"&amp;$B439&amp;"*",'Timesheet Raw'!$L$4:$L$8000,"&gt;="&amp;O$5,'Timesheet Raw'!$L$4:$L$8000,"&lt;="&amp;O$6)))/'Profit Plan'!$B$5)</f>
        <v/>
      </c>
      <c r="P439" s="122" t="str">
        <f>IF($A439="","",(IF(ISNUMBER(SEARCH("Proposal",$A439)),SUMIFS('Timesheet Raw'!$P$4:$P$8000,'Timesheet Raw'!$A$4:$A$8000,IF(ISNUMBER(SEARCH("Chargable",$A439)),"2-Proposals Chargeable","3-Proposals Regular"),'Timesheet Raw'!$C$4:$C$8000,"*"&amp;$B439&amp;"*",'Timesheet Raw'!$L$4:$L$8000,"&gt;="&amp;MAX(P$5,DATE(2000+VALUE(RIGHT(TRIM($A439),2)),1,1)),'Timesheet Raw'!$L$4:$L$8000,"&lt;="&amp;MIN(P$6,DATE(2000+VALUE(RIGHT(TRIM($A439),2)),12,31))),SUMIFS('Timesheet Raw'!$P$4:$P$8000,'Timesheet Raw'!$B$4:$B$8000,TRIM($A439),'Timesheet Raw'!$C$4:$C$8000,"*"&amp;$B439&amp;"*",'Timesheet Raw'!$L$4:$L$8000,"&gt;="&amp;P$5,'Timesheet Raw'!$L$4:$L$8000,"&lt;="&amp;P$6)))/'Profit Plan'!$B$5)</f>
        <v/>
      </c>
      <c r="Q439" s="122" t="str">
        <f>IF($A439="","",(IF(ISNUMBER(SEARCH("Proposal",$A439)),SUMIFS('Timesheet Raw'!$P$4:$P$8000,'Timesheet Raw'!$A$4:$A$8000,IF(ISNUMBER(SEARCH("Chargable",$A439)),"2-Proposals Chargeable","3-Proposals Regular"),'Timesheet Raw'!$C$4:$C$8000,"*"&amp;$B439&amp;"*",'Timesheet Raw'!$L$4:$L$8000,"&gt;="&amp;MAX(Q$5,DATE(2000+VALUE(RIGHT(TRIM($A439),2)),1,1)),'Timesheet Raw'!$L$4:$L$8000,"&lt;="&amp;MIN(Q$6,DATE(2000+VALUE(RIGHT(TRIM($A439),2)),12,31))),SUMIFS('Timesheet Raw'!$P$4:$P$8000,'Timesheet Raw'!$B$4:$B$8000,TRIM($A439),'Timesheet Raw'!$C$4:$C$8000,"*"&amp;$B439&amp;"*",'Timesheet Raw'!$L$4:$L$8000,"&gt;="&amp;Q$5,'Timesheet Raw'!$L$4:$L$8000,"&lt;="&amp;Q$6)))/'Profit Plan'!$B$5)</f>
        <v/>
      </c>
      <c r="R439" s="122" t="str">
        <f>IF($A439="","",(IF(ISNUMBER(SEARCH("Proposal",$A439)),SUMIFS('Timesheet Raw'!$P$4:$P$8000,'Timesheet Raw'!$A$4:$A$8000,IF(ISNUMBER(SEARCH("Chargable",$A439)),"2-Proposals Chargeable","3-Proposals Regular"),'Timesheet Raw'!$C$4:$C$8000,"*"&amp;$B439&amp;"*",'Timesheet Raw'!$L$4:$L$8000,"&gt;="&amp;MAX(R$5,DATE(2000+VALUE(RIGHT(TRIM($A439),2)),1,1)),'Timesheet Raw'!$L$4:$L$8000,"&lt;="&amp;MIN(R$6,DATE(2000+VALUE(RIGHT(TRIM($A439),2)),12,31))),SUMIFS('Timesheet Raw'!$P$4:$P$8000,'Timesheet Raw'!$B$4:$B$8000,TRIM($A439),'Timesheet Raw'!$C$4:$C$8000,"*"&amp;$B439&amp;"*",'Timesheet Raw'!$L$4:$L$8000,"&gt;="&amp;R$5,'Timesheet Raw'!$L$4:$L$8000,"&lt;="&amp;R$6)))/'Profit Plan'!$B$5)</f>
        <v/>
      </c>
      <c r="S439" s="122" t="str">
        <f>IF($A439="","",(IF(ISNUMBER(SEARCH("Proposal",$A439)),SUMIFS('Timesheet Raw'!$P$4:$P$8000,'Timesheet Raw'!$A$4:$A$8000,IF(ISNUMBER(SEARCH("Chargable",$A439)),"2-Proposals Chargeable","3-Proposals Regular"),'Timesheet Raw'!$C$4:$C$8000,"*"&amp;$B439&amp;"*",'Timesheet Raw'!$L$4:$L$8000,"&gt;="&amp;MAX(S$5,DATE(2000+VALUE(RIGHT(TRIM($A439),2)),1,1)),'Timesheet Raw'!$L$4:$L$8000,"&lt;="&amp;MIN(S$6,DATE(2000+VALUE(RIGHT(TRIM($A439),2)),12,31))),SUMIFS('Timesheet Raw'!$P$4:$P$8000,'Timesheet Raw'!$B$4:$B$8000,TRIM($A439),'Timesheet Raw'!$C$4:$C$8000,"*"&amp;$B439&amp;"*",'Timesheet Raw'!$L$4:$L$8000,"&gt;="&amp;S$5,'Timesheet Raw'!$L$4:$L$8000,"&lt;="&amp;S$6)))/'Profit Plan'!$B$5)</f>
        <v/>
      </c>
      <c r="T439" s="122" t="str">
        <f>IF($A439="","",(IF(ISNUMBER(SEARCH("Proposal",$A439)),SUMIFS('Timesheet Raw'!$P$4:$P$8000,'Timesheet Raw'!$A$4:$A$8000,IF(ISNUMBER(SEARCH("Chargable",$A439)),"2-Proposals Chargeable","3-Proposals Regular"),'Timesheet Raw'!$C$4:$C$8000,"*"&amp;$B439&amp;"*",'Timesheet Raw'!$L$4:$L$8000,"&gt;="&amp;MAX(T$5,DATE(2000+VALUE(RIGHT(TRIM($A439),2)),1,1)),'Timesheet Raw'!$L$4:$L$8000,"&lt;="&amp;MIN(T$6,DATE(2000+VALUE(RIGHT(TRIM($A439),2)),12,31))),SUMIFS('Timesheet Raw'!$P$4:$P$8000,'Timesheet Raw'!$B$4:$B$8000,TRIM($A439),'Timesheet Raw'!$C$4:$C$8000,"*"&amp;$B439&amp;"*",'Timesheet Raw'!$L$4:$L$8000,"&gt;="&amp;T$5,'Timesheet Raw'!$L$4:$L$8000,"&lt;="&amp;T$6)))/'Profit Plan'!$B$5)</f>
        <v/>
      </c>
      <c r="U439" s="122" t="str">
        <f>IF($A439="","",(IF(ISNUMBER(SEARCH("Proposal",$A439)),SUMIFS('Timesheet Raw'!$P$4:$P$8000,'Timesheet Raw'!$A$4:$A$8000,IF(ISNUMBER(SEARCH("Chargable",$A439)),"2-Proposals Chargeable","3-Proposals Regular"),'Timesheet Raw'!$C$4:$C$8000,"*"&amp;$B439&amp;"*",'Timesheet Raw'!$L$4:$L$8000,"&gt;="&amp;MAX(U$5,DATE(2000+VALUE(RIGHT(TRIM($A439),2)),1,1)),'Timesheet Raw'!$L$4:$L$8000,"&lt;="&amp;MIN(U$6,DATE(2000+VALUE(RIGHT(TRIM($A439),2)),12,31))),SUMIFS('Timesheet Raw'!$P$4:$P$8000,'Timesheet Raw'!$B$4:$B$8000,TRIM($A439),'Timesheet Raw'!$C$4:$C$8000,"*"&amp;$B439&amp;"*",'Timesheet Raw'!$L$4:$L$8000,"&gt;="&amp;U$5,'Timesheet Raw'!$L$4:$L$8000,"&lt;="&amp;U$6)))/'Profit Plan'!$B$5)</f>
        <v/>
      </c>
      <c r="V439" s="122" t="str">
        <f>IF($A439="","",(IF(ISNUMBER(SEARCH("Proposal",$A439)),SUMIFS('Timesheet Raw'!$P$4:$P$8000,'Timesheet Raw'!$A$4:$A$8000,IF(ISNUMBER(SEARCH("Chargable",$A439)),"2-Proposals Chargeable","3-Proposals Regular"),'Timesheet Raw'!$C$4:$C$8000,"*"&amp;$B439&amp;"*",'Timesheet Raw'!$L$4:$L$8000,"&gt;="&amp;MAX(V$5,DATE(2000+VALUE(RIGHT(TRIM($A439),2)),1,1)),'Timesheet Raw'!$L$4:$L$8000,"&lt;="&amp;MIN(V$6,DATE(2000+VALUE(RIGHT(TRIM($A439),2)),12,31))),SUMIFS('Timesheet Raw'!$P$4:$P$8000,'Timesheet Raw'!$B$4:$B$8000,TRIM($A439),'Timesheet Raw'!$C$4:$C$8000,"*"&amp;$B439&amp;"*",'Timesheet Raw'!$L$4:$L$8000,"&gt;="&amp;V$5,'Timesheet Raw'!$L$4:$L$8000,"&lt;="&amp;V$6)))/'Profit Plan'!$B$5)</f>
        <v/>
      </c>
      <c r="W439" s="122" t="str">
        <f>IF($A439="","",(IF(ISNUMBER(SEARCH("Proposal",$A439)),SUMIFS('Timesheet Raw'!$P$4:$P$8000,'Timesheet Raw'!$A$4:$A$8000,IF(ISNUMBER(SEARCH("Chargable",$A439)),"2-Proposals Chargeable","3-Proposals Regular"),'Timesheet Raw'!$C$4:$C$8000,"*"&amp;$B439&amp;"*",'Timesheet Raw'!$L$4:$L$8000,"&gt;="&amp;MAX(W$5,DATE(2000+VALUE(RIGHT(TRIM($A439),2)),1,1)),'Timesheet Raw'!$L$4:$L$8000,"&lt;="&amp;MIN(W$6,DATE(2000+VALUE(RIGHT(TRIM($A439),2)),12,31))),SUMIFS('Timesheet Raw'!$P$4:$P$8000,'Timesheet Raw'!$B$4:$B$8000,TRIM($A439),'Timesheet Raw'!$C$4:$C$8000,"*"&amp;$B439&amp;"*",'Timesheet Raw'!$L$4:$L$8000,"&gt;="&amp;W$5,'Timesheet Raw'!$L$4:$L$8000,"&lt;="&amp;W$6)))/'Profit Plan'!$B$5)</f>
        <v/>
      </c>
      <c r="X439" s="122" t="str">
        <f>IF($A439="","",(IF(ISNUMBER(SEARCH("Proposal",$A439)),SUMIFS('Timesheet Raw'!$P$4:$P$8000,'Timesheet Raw'!$A$4:$A$8000,IF(ISNUMBER(SEARCH("Chargable",$A439)),"2-Proposals Chargeable","3-Proposals Regular"),'Timesheet Raw'!$C$4:$C$8000,"*"&amp;$B439&amp;"*",'Timesheet Raw'!$L$4:$L$8000,"&gt;="&amp;MAX(X$5,DATE(2000+VALUE(RIGHT(TRIM($A439),2)),1,1)),'Timesheet Raw'!$L$4:$L$8000,"&lt;="&amp;MIN(X$6,DATE(2000+VALUE(RIGHT(TRIM($A439),2)),12,31))),SUMIFS('Timesheet Raw'!$P$4:$P$8000,'Timesheet Raw'!$B$4:$B$8000,TRIM($A439),'Timesheet Raw'!$C$4:$C$8000,"*"&amp;$B439&amp;"*",'Timesheet Raw'!$L$4:$L$8000,"&gt;="&amp;X$5,'Timesheet Raw'!$L$4:$L$8000,"&lt;="&amp;X$6)))/'Profit Plan'!$B$5)</f>
        <v/>
      </c>
      <c r="Y439" s="118">
        <f t="shared" si="102"/>
        <v>0</v>
      </c>
    </row>
    <row r="440" spans="1:25" x14ac:dyDescent="0.3">
      <c r="A440" s="116" t="str">
        <f>IF(Inputs!$A64="","",Inputs!$A64)</f>
        <v/>
      </c>
      <c r="B440" s="116" t="str">
        <f>IF(Inputs!$A64="","",Inputs!$A$92)</f>
        <v/>
      </c>
      <c r="C440" s="116"/>
      <c r="D440" s="122" t="str">
        <f>IF($A440="","",(IF(ISNUMBER(SEARCH("Proposal",$A440)),SUMIFS('Timesheet Raw'!$P$4:$P$8000,'Timesheet Raw'!$A$4:$A$8000,IF(ISNUMBER(SEARCH("Chargable",$A440)),"2-Proposals Chargeable","3-Proposals Regular"),'Timesheet Raw'!$C$4:$C$8000,"*"&amp;$B440&amp;"*",'Timesheet Raw'!$L$4:$L$8000,"&gt;="&amp;MAX(D$5,DATE(2000+VALUE(RIGHT(TRIM($A440),2)),1,1)),'Timesheet Raw'!$L$4:$L$8000,"&lt;="&amp;MIN(D$6,DATE(2000+VALUE(RIGHT(TRIM($A440),2)),12,31))),SUMIFS('Timesheet Raw'!$P$4:$P$8000,'Timesheet Raw'!$B$4:$B$8000,TRIM($A440),'Timesheet Raw'!$C$4:$C$8000,"*"&amp;$B440&amp;"*",'Timesheet Raw'!$L$4:$L$8000,"&gt;="&amp;D$5,'Timesheet Raw'!$L$4:$L$8000,"&lt;="&amp;D$6)))/'Profit Plan'!$B$5)</f>
        <v/>
      </c>
      <c r="E440" s="122" t="str">
        <f>IF($A440="","",(IF(ISNUMBER(SEARCH("Proposal",$A440)),SUMIFS('Timesheet Raw'!$P$4:$P$8000,'Timesheet Raw'!$A$4:$A$8000,IF(ISNUMBER(SEARCH("Chargable",$A440)),"2-Proposals Chargeable","3-Proposals Regular"),'Timesheet Raw'!$C$4:$C$8000,"*"&amp;$B440&amp;"*",'Timesheet Raw'!$L$4:$L$8000,"&gt;="&amp;MAX(E$5,DATE(2000+VALUE(RIGHT(TRIM($A440),2)),1,1)),'Timesheet Raw'!$L$4:$L$8000,"&lt;="&amp;MIN(E$6,DATE(2000+VALUE(RIGHT(TRIM($A440),2)),12,31))),SUMIFS('Timesheet Raw'!$P$4:$P$8000,'Timesheet Raw'!$B$4:$B$8000,TRIM($A440),'Timesheet Raw'!$C$4:$C$8000,"*"&amp;$B440&amp;"*",'Timesheet Raw'!$L$4:$L$8000,"&gt;="&amp;E$5,'Timesheet Raw'!$L$4:$L$8000,"&lt;="&amp;E$6)))/'Profit Plan'!$B$5)</f>
        <v/>
      </c>
      <c r="F440" s="122" t="str">
        <f>IF($A440="","",(IF(ISNUMBER(SEARCH("Proposal",$A440)),SUMIFS('Timesheet Raw'!$P$4:$P$8000,'Timesheet Raw'!$A$4:$A$8000,IF(ISNUMBER(SEARCH("Chargable",$A440)),"2-Proposals Chargeable","3-Proposals Regular"),'Timesheet Raw'!$C$4:$C$8000,"*"&amp;$B440&amp;"*",'Timesheet Raw'!$L$4:$L$8000,"&gt;="&amp;MAX(F$5,DATE(2000+VALUE(RIGHT(TRIM($A440),2)),1,1)),'Timesheet Raw'!$L$4:$L$8000,"&lt;="&amp;MIN(F$6,DATE(2000+VALUE(RIGHT(TRIM($A440),2)),12,31))),SUMIFS('Timesheet Raw'!$P$4:$P$8000,'Timesheet Raw'!$B$4:$B$8000,TRIM($A440),'Timesheet Raw'!$C$4:$C$8000,"*"&amp;$B440&amp;"*",'Timesheet Raw'!$L$4:$L$8000,"&gt;="&amp;F$5,'Timesheet Raw'!$L$4:$L$8000,"&lt;="&amp;F$6)))/'Profit Plan'!$B$5)</f>
        <v/>
      </c>
      <c r="G440" s="122" t="str">
        <f>IF($A440="","",(IF(ISNUMBER(SEARCH("Proposal",$A440)),SUMIFS('Timesheet Raw'!$P$4:$P$8000,'Timesheet Raw'!$A$4:$A$8000,IF(ISNUMBER(SEARCH("Chargable",$A440)),"2-Proposals Chargeable","3-Proposals Regular"),'Timesheet Raw'!$C$4:$C$8000,"*"&amp;$B440&amp;"*",'Timesheet Raw'!$L$4:$L$8000,"&gt;="&amp;MAX(G$5,DATE(2000+VALUE(RIGHT(TRIM($A440),2)),1,1)),'Timesheet Raw'!$L$4:$L$8000,"&lt;="&amp;MIN(G$6,DATE(2000+VALUE(RIGHT(TRIM($A440),2)),12,31))),SUMIFS('Timesheet Raw'!$P$4:$P$8000,'Timesheet Raw'!$B$4:$B$8000,TRIM($A440),'Timesheet Raw'!$C$4:$C$8000,"*"&amp;$B440&amp;"*",'Timesheet Raw'!$L$4:$L$8000,"&gt;="&amp;G$5,'Timesheet Raw'!$L$4:$L$8000,"&lt;="&amp;G$6)))/'Profit Plan'!$B$5)</f>
        <v/>
      </c>
      <c r="H440" s="122" t="str">
        <f>IF($A440="","",(IF(ISNUMBER(SEARCH("Proposal",$A440)),SUMIFS('Timesheet Raw'!$P$4:$P$8000,'Timesheet Raw'!$A$4:$A$8000,IF(ISNUMBER(SEARCH("Chargable",$A440)),"2-Proposals Chargeable","3-Proposals Regular"),'Timesheet Raw'!$C$4:$C$8000,"*"&amp;$B440&amp;"*",'Timesheet Raw'!$L$4:$L$8000,"&gt;="&amp;MAX(H$5,DATE(2000+VALUE(RIGHT(TRIM($A440),2)),1,1)),'Timesheet Raw'!$L$4:$L$8000,"&lt;="&amp;MIN(H$6,DATE(2000+VALUE(RIGHT(TRIM($A440),2)),12,31))),SUMIFS('Timesheet Raw'!$P$4:$P$8000,'Timesheet Raw'!$B$4:$B$8000,TRIM($A440),'Timesheet Raw'!$C$4:$C$8000,"*"&amp;$B440&amp;"*",'Timesheet Raw'!$L$4:$L$8000,"&gt;="&amp;H$5,'Timesheet Raw'!$L$4:$L$8000,"&lt;="&amp;H$6)))/'Profit Plan'!$B$5)</f>
        <v/>
      </c>
      <c r="I440" s="122" t="str">
        <f>IF($A440="","",(IF(ISNUMBER(SEARCH("Proposal",$A440)),SUMIFS('Timesheet Raw'!$P$4:$P$8000,'Timesheet Raw'!$A$4:$A$8000,IF(ISNUMBER(SEARCH("Chargable",$A440)),"2-Proposals Chargeable","3-Proposals Regular"),'Timesheet Raw'!$C$4:$C$8000,"*"&amp;$B440&amp;"*",'Timesheet Raw'!$L$4:$L$8000,"&gt;="&amp;MAX(I$5,DATE(2000+VALUE(RIGHT(TRIM($A440),2)),1,1)),'Timesheet Raw'!$L$4:$L$8000,"&lt;="&amp;MIN(I$6,DATE(2000+VALUE(RIGHT(TRIM($A440),2)),12,31))),SUMIFS('Timesheet Raw'!$P$4:$P$8000,'Timesheet Raw'!$B$4:$B$8000,TRIM($A440),'Timesheet Raw'!$C$4:$C$8000,"*"&amp;$B440&amp;"*",'Timesheet Raw'!$L$4:$L$8000,"&gt;="&amp;I$5,'Timesheet Raw'!$L$4:$L$8000,"&lt;="&amp;I$6)))/'Profit Plan'!$B$5)</f>
        <v/>
      </c>
      <c r="J440" s="122" t="str">
        <f>IF($A440="","",(IF(ISNUMBER(SEARCH("Proposal",$A440)),SUMIFS('Timesheet Raw'!$P$4:$P$8000,'Timesheet Raw'!$A$4:$A$8000,IF(ISNUMBER(SEARCH("Chargable",$A440)),"2-Proposals Chargeable","3-Proposals Regular"),'Timesheet Raw'!$C$4:$C$8000,"*"&amp;$B440&amp;"*",'Timesheet Raw'!$L$4:$L$8000,"&gt;="&amp;MAX(J$5,DATE(2000+VALUE(RIGHT(TRIM($A440),2)),1,1)),'Timesheet Raw'!$L$4:$L$8000,"&lt;="&amp;MIN(J$6,DATE(2000+VALUE(RIGHT(TRIM($A440),2)),12,31))),SUMIFS('Timesheet Raw'!$P$4:$P$8000,'Timesheet Raw'!$B$4:$B$8000,TRIM($A440),'Timesheet Raw'!$C$4:$C$8000,"*"&amp;$B440&amp;"*",'Timesheet Raw'!$L$4:$L$8000,"&gt;="&amp;J$5,'Timesheet Raw'!$L$4:$L$8000,"&lt;="&amp;J$6)))/'Profit Plan'!$B$5)</f>
        <v/>
      </c>
      <c r="K440" s="122" t="str">
        <f>IF($A440="","",(IF(ISNUMBER(SEARCH("Proposal",$A440)),SUMIFS('Timesheet Raw'!$P$4:$P$8000,'Timesheet Raw'!$A$4:$A$8000,IF(ISNUMBER(SEARCH("Chargable",$A440)),"2-Proposals Chargeable","3-Proposals Regular"),'Timesheet Raw'!$C$4:$C$8000,"*"&amp;$B440&amp;"*",'Timesheet Raw'!$L$4:$L$8000,"&gt;="&amp;MAX(K$5,DATE(2000+VALUE(RIGHT(TRIM($A440),2)),1,1)),'Timesheet Raw'!$L$4:$L$8000,"&lt;="&amp;MIN(K$6,DATE(2000+VALUE(RIGHT(TRIM($A440),2)),12,31))),SUMIFS('Timesheet Raw'!$P$4:$P$8000,'Timesheet Raw'!$B$4:$B$8000,TRIM($A440),'Timesheet Raw'!$C$4:$C$8000,"*"&amp;$B440&amp;"*",'Timesheet Raw'!$L$4:$L$8000,"&gt;="&amp;K$5,'Timesheet Raw'!$L$4:$L$8000,"&lt;="&amp;K$6)))/'Profit Plan'!$B$5)</f>
        <v/>
      </c>
      <c r="L440" s="122" t="str">
        <f>IF($A440="","",(IF(ISNUMBER(SEARCH("Proposal",$A440)),SUMIFS('Timesheet Raw'!$P$4:$P$8000,'Timesheet Raw'!$A$4:$A$8000,IF(ISNUMBER(SEARCH("Chargable",$A440)),"2-Proposals Chargeable","3-Proposals Regular"),'Timesheet Raw'!$C$4:$C$8000,"*"&amp;$B440&amp;"*",'Timesheet Raw'!$L$4:$L$8000,"&gt;="&amp;MAX(L$5,DATE(2000+VALUE(RIGHT(TRIM($A440),2)),1,1)),'Timesheet Raw'!$L$4:$L$8000,"&lt;="&amp;MIN(L$6,DATE(2000+VALUE(RIGHT(TRIM($A440),2)),12,31))),SUMIFS('Timesheet Raw'!$P$4:$P$8000,'Timesheet Raw'!$B$4:$B$8000,TRIM($A440),'Timesheet Raw'!$C$4:$C$8000,"*"&amp;$B440&amp;"*",'Timesheet Raw'!$L$4:$L$8000,"&gt;="&amp;L$5,'Timesheet Raw'!$L$4:$L$8000,"&lt;="&amp;L$6)))/'Profit Plan'!$B$5)</f>
        <v/>
      </c>
      <c r="M440" s="122" t="str">
        <f>IF($A440="","",(IF(ISNUMBER(SEARCH("Proposal",$A440)),SUMIFS('Timesheet Raw'!$P$4:$P$8000,'Timesheet Raw'!$A$4:$A$8000,IF(ISNUMBER(SEARCH("Chargable",$A440)),"2-Proposals Chargeable","3-Proposals Regular"),'Timesheet Raw'!$C$4:$C$8000,"*"&amp;$B440&amp;"*",'Timesheet Raw'!$L$4:$L$8000,"&gt;="&amp;MAX(M$5,DATE(2000+VALUE(RIGHT(TRIM($A440),2)),1,1)),'Timesheet Raw'!$L$4:$L$8000,"&lt;="&amp;MIN(M$6,DATE(2000+VALUE(RIGHT(TRIM($A440),2)),12,31))),SUMIFS('Timesheet Raw'!$P$4:$P$8000,'Timesheet Raw'!$B$4:$B$8000,TRIM($A440),'Timesheet Raw'!$C$4:$C$8000,"*"&amp;$B440&amp;"*",'Timesheet Raw'!$L$4:$L$8000,"&gt;="&amp;M$5,'Timesheet Raw'!$L$4:$L$8000,"&lt;="&amp;M$6)))/'Profit Plan'!$B$5)</f>
        <v/>
      </c>
      <c r="N440" s="122" t="str">
        <f>IF($A440="","",(IF(ISNUMBER(SEARCH("Proposal",$A440)),SUMIFS('Timesheet Raw'!$P$4:$P$8000,'Timesheet Raw'!$A$4:$A$8000,IF(ISNUMBER(SEARCH("Chargable",$A440)),"2-Proposals Chargeable","3-Proposals Regular"),'Timesheet Raw'!$C$4:$C$8000,"*"&amp;$B440&amp;"*",'Timesheet Raw'!$L$4:$L$8000,"&gt;="&amp;MAX(N$5,DATE(2000+VALUE(RIGHT(TRIM($A440),2)),1,1)),'Timesheet Raw'!$L$4:$L$8000,"&lt;="&amp;MIN(N$6,DATE(2000+VALUE(RIGHT(TRIM($A440),2)),12,31))),SUMIFS('Timesheet Raw'!$P$4:$P$8000,'Timesheet Raw'!$B$4:$B$8000,TRIM($A440),'Timesheet Raw'!$C$4:$C$8000,"*"&amp;$B440&amp;"*",'Timesheet Raw'!$L$4:$L$8000,"&gt;="&amp;N$5,'Timesheet Raw'!$L$4:$L$8000,"&lt;="&amp;N$6)))/'Profit Plan'!$B$5)</f>
        <v/>
      </c>
      <c r="O440" s="122" t="str">
        <f>IF($A440="","",(IF(ISNUMBER(SEARCH("Proposal",$A440)),SUMIFS('Timesheet Raw'!$P$4:$P$8000,'Timesheet Raw'!$A$4:$A$8000,IF(ISNUMBER(SEARCH("Chargable",$A440)),"2-Proposals Chargeable","3-Proposals Regular"),'Timesheet Raw'!$C$4:$C$8000,"*"&amp;$B440&amp;"*",'Timesheet Raw'!$L$4:$L$8000,"&gt;="&amp;MAX(O$5,DATE(2000+VALUE(RIGHT(TRIM($A440),2)),1,1)),'Timesheet Raw'!$L$4:$L$8000,"&lt;="&amp;MIN(O$6,DATE(2000+VALUE(RIGHT(TRIM($A440),2)),12,31))),SUMIFS('Timesheet Raw'!$P$4:$P$8000,'Timesheet Raw'!$B$4:$B$8000,TRIM($A440),'Timesheet Raw'!$C$4:$C$8000,"*"&amp;$B440&amp;"*",'Timesheet Raw'!$L$4:$L$8000,"&gt;="&amp;O$5,'Timesheet Raw'!$L$4:$L$8000,"&lt;="&amp;O$6)))/'Profit Plan'!$B$5)</f>
        <v/>
      </c>
      <c r="P440" s="122" t="str">
        <f>IF($A440="","",(IF(ISNUMBER(SEARCH("Proposal",$A440)),SUMIFS('Timesheet Raw'!$P$4:$P$8000,'Timesheet Raw'!$A$4:$A$8000,IF(ISNUMBER(SEARCH("Chargable",$A440)),"2-Proposals Chargeable","3-Proposals Regular"),'Timesheet Raw'!$C$4:$C$8000,"*"&amp;$B440&amp;"*",'Timesheet Raw'!$L$4:$L$8000,"&gt;="&amp;MAX(P$5,DATE(2000+VALUE(RIGHT(TRIM($A440),2)),1,1)),'Timesheet Raw'!$L$4:$L$8000,"&lt;="&amp;MIN(P$6,DATE(2000+VALUE(RIGHT(TRIM($A440),2)),12,31))),SUMIFS('Timesheet Raw'!$P$4:$P$8000,'Timesheet Raw'!$B$4:$B$8000,TRIM($A440),'Timesheet Raw'!$C$4:$C$8000,"*"&amp;$B440&amp;"*",'Timesheet Raw'!$L$4:$L$8000,"&gt;="&amp;P$5,'Timesheet Raw'!$L$4:$L$8000,"&lt;="&amp;P$6)))/'Profit Plan'!$B$5)</f>
        <v/>
      </c>
      <c r="Q440" s="122" t="str">
        <f>IF($A440="","",(IF(ISNUMBER(SEARCH("Proposal",$A440)),SUMIFS('Timesheet Raw'!$P$4:$P$8000,'Timesheet Raw'!$A$4:$A$8000,IF(ISNUMBER(SEARCH("Chargable",$A440)),"2-Proposals Chargeable","3-Proposals Regular"),'Timesheet Raw'!$C$4:$C$8000,"*"&amp;$B440&amp;"*",'Timesheet Raw'!$L$4:$L$8000,"&gt;="&amp;MAX(Q$5,DATE(2000+VALUE(RIGHT(TRIM($A440),2)),1,1)),'Timesheet Raw'!$L$4:$L$8000,"&lt;="&amp;MIN(Q$6,DATE(2000+VALUE(RIGHT(TRIM($A440),2)),12,31))),SUMIFS('Timesheet Raw'!$P$4:$P$8000,'Timesheet Raw'!$B$4:$B$8000,TRIM($A440),'Timesheet Raw'!$C$4:$C$8000,"*"&amp;$B440&amp;"*",'Timesheet Raw'!$L$4:$L$8000,"&gt;="&amp;Q$5,'Timesheet Raw'!$L$4:$L$8000,"&lt;="&amp;Q$6)))/'Profit Plan'!$B$5)</f>
        <v/>
      </c>
      <c r="R440" s="122" t="str">
        <f>IF($A440="","",(IF(ISNUMBER(SEARCH("Proposal",$A440)),SUMIFS('Timesheet Raw'!$P$4:$P$8000,'Timesheet Raw'!$A$4:$A$8000,IF(ISNUMBER(SEARCH("Chargable",$A440)),"2-Proposals Chargeable","3-Proposals Regular"),'Timesheet Raw'!$C$4:$C$8000,"*"&amp;$B440&amp;"*",'Timesheet Raw'!$L$4:$L$8000,"&gt;="&amp;MAX(R$5,DATE(2000+VALUE(RIGHT(TRIM($A440),2)),1,1)),'Timesheet Raw'!$L$4:$L$8000,"&lt;="&amp;MIN(R$6,DATE(2000+VALUE(RIGHT(TRIM($A440),2)),12,31))),SUMIFS('Timesheet Raw'!$P$4:$P$8000,'Timesheet Raw'!$B$4:$B$8000,TRIM($A440),'Timesheet Raw'!$C$4:$C$8000,"*"&amp;$B440&amp;"*",'Timesheet Raw'!$L$4:$L$8000,"&gt;="&amp;R$5,'Timesheet Raw'!$L$4:$L$8000,"&lt;="&amp;R$6)))/'Profit Plan'!$B$5)</f>
        <v/>
      </c>
      <c r="S440" s="122" t="str">
        <f>IF($A440="","",(IF(ISNUMBER(SEARCH("Proposal",$A440)),SUMIFS('Timesheet Raw'!$P$4:$P$8000,'Timesheet Raw'!$A$4:$A$8000,IF(ISNUMBER(SEARCH("Chargable",$A440)),"2-Proposals Chargeable","3-Proposals Regular"),'Timesheet Raw'!$C$4:$C$8000,"*"&amp;$B440&amp;"*",'Timesheet Raw'!$L$4:$L$8000,"&gt;="&amp;MAX(S$5,DATE(2000+VALUE(RIGHT(TRIM($A440),2)),1,1)),'Timesheet Raw'!$L$4:$L$8000,"&lt;="&amp;MIN(S$6,DATE(2000+VALUE(RIGHT(TRIM($A440),2)),12,31))),SUMIFS('Timesheet Raw'!$P$4:$P$8000,'Timesheet Raw'!$B$4:$B$8000,TRIM($A440),'Timesheet Raw'!$C$4:$C$8000,"*"&amp;$B440&amp;"*",'Timesheet Raw'!$L$4:$L$8000,"&gt;="&amp;S$5,'Timesheet Raw'!$L$4:$L$8000,"&lt;="&amp;S$6)))/'Profit Plan'!$B$5)</f>
        <v/>
      </c>
      <c r="T440" s="122" t="str">
        <f>IF($A440="","",(IF(ISNUMBER(SEARCH("Proposal",$A440)),SUMIFS('Timesheet Raw'!$P$4:$P$8000,'Timesheet Raw'!$A$4:$A$8000,IF(ISNUMBER(SEARCH("Chargable",$A440)),"2-Proposals Chargeable","3-Proposals Regular"),'Timesheet Raw'!$C$4:$C$8000,"*"&amp;$B440&amp;"*",'Timesheet Raw'!$L$4:$L$8000,"&gt;="&amp;MAX(T$5,DATE(2000+VALUE(RIGHT(TRIM($A440),2)),1,1)),'Timesheet Raw'!$L$4:$L$8000,"&lt;="&amp;MIN(T$6,DATE(2000+VALUE(RIGHT(TRIM($A440),2)),12,31))),SUMIFS('Timesheet Raw'!$P$4:$P$8000,'Timesheet Raw'!$B$4:$B$8000,TRIM($A440),'Timesheet Raw'!$C$4:$C$8000,"*"&amp;$B440&amp;"*",'Timesheet Raw'!$L$4:$L$8000,"&gt;="&amp;T$5,'Timesheet Raw'!$L$4:$L$8000,"&lt;="&amp;T$6)))/'Profit Plan'!$B$5)</f>
        <v/>
      </c>
      <c r="U440" s="122" t="str">
        <f>IF($A440="","",(IF(ISNUMBER(SEARCH("Proposal",$A440)),SUMIFS('Timesheet Raw'!$P$4:$P$8000,'Timesheet Raw'!$A$4:$A$8000,IF(ISNUMBER(SEARCH("Chargable",$A440)),"2-Proposals Chargeable","3-Proposals Regular"),'Timesheet Raw'!$C$4:$C$8000,"*"&amp;$B440&amp;"*",'Timesheet Raw'!$L$4:$L$8000,"&gt;="&amp;MAX(U$5,DATE(2000+VALUE(RIGHT(TRIM($A440),2)),1,1)),'Timesheet Raw'!$L$4:$L$8000,"&lt;="&amp;MIN(U$6,DATE(2000+VALUE(RIGHT(TRIM($A440),2)),12,31))),SUMIFS('Timesheet Raw'!$P$4:$P$8000,'Timesheet Raw'!$B$4:$B$8000,TRIM($A440),'Timesheet Raw'!$C$4:$C$8000,"*"&amp;$B440&amp;"*",'Timesheet Raw'!$L$4:$L$8000,"&gt;="&amp;U$5,'Timesheet Raw'!$L$4:$L$8000,"&lt;="&amp;U$6)))/'Profit Plan'!$B$5)</f>
        <v/>
      </c>
      <c r="V440" s="122" t="str">
        <f>IF($A440="","",(IF(ISNUMBER(SEARCH("Proposal",$A440)),SUMIFS('Timesheet Raw'!$P$4:$P$8000,'Timesheet Raw'!$A$4:$A$8000,IF(ISNUMBER(SEARCH("Chargable",$A440)),"2-Proposals Chargeable","3-Proposals Regular"),'Timesheet Raw'!$C$4:$C$8000,"*"&amp;$B440&amp;"*",'Timesheet Raw'!$L$4:$L$8000,"&gt;="&amp;MAX(V$5,DATE(2000+VALUE(RIGHT(TRIM($A440),2)),1,1)),'Timesheet Raw'!$L$4:$L$8000,"&lt;="&amp;MIN(V$6,DATE(2000+VALUE(RIGHT(TRIM($A440),2)),12,31))),SUMIFS('Timesheet Raw'!$P$4:$P$8000,'Timesheet Raw'!$B$4:$B$8000,TRIM($A440),'Timesheet Raw'!$C$4:$C$8000,"*"&amp;$B440&amp;"*",'Timesheet Raw'!$L$4:$L$8000,"&gt;="&amp;V$5,'Timesheet Raw'!$L$4:$L$8000,"&lt;="&amp;V$6)))/'Profit Plan'!$B$5)</f>
        <v/>
      </c>
      <c r="W440" s="122" t="str">
        <f>IF($A440="","",(IF(ISNUMBER(SEARCH("Proposal",$A440)),SUMIFS('Timesheet Raw'!$P$4:$P$8000,'Timesheet Raw'!$A$4:$A$8000,IF(ISNUMBER(SEARCH("Chargable",$A440)),"2-Proposals Chargeable","3-Proposals Regular"),'Timesheet Raw'!$C$4:$C$8000,"*"&amp;$B440&amp;"*",'Timesheet Raw'!$L$4:$L$8000,"&gt;="&amp;MAX(W$5,DATE(2000+VALUE(RIGHT(TRIM($A440),2)),1,1)),'Timesheet Raw'!$L$4:$L$8000,"&lt;="&amp;MIN(W$6,DATE(2000+VALUE(RIGHT(TRIM($A440),2)),12,31))),SUMIFS('Timesheet Raw'!$P$4:$P$8000,'Timesheet Raw'!$B$4:$B$8000,TRIM($A440),'Timesheet Raw'!$C$4:$C$8000,"*"&amp;$B440&amp;"*",'Timesheet Raw'!$L$4:$L$8000,"&gt;="&amp;W$5,'Timesheet Raw'!$L$4:$L$8000,"&lt;="&amp;W$6)))/'Profit Plan'!$B$5)</f>
        <v/>
      </c>
      <c r="X440" s="122" t="str">
        <f>IF($A440="","",(IF(ISNUMBER(SEARCH("Proposal",$A440)),SUMIFS('Timesheet Raw'!$P$4:$P$8000,'Timesheet Raw'!$A$4:$A$8000,IF(ISNUMBER(SEARCH("Chargable",$A440)),"2-Proposals Chargeable","3-Proposals Regular"),'Timesheet Raw'!$C$4:$C$8000,"*"&amp;$B440&amp;"*",'Timesheet Raw'!$L$4:$L$8000,"&gt;="&amp;MAX(X$5,DATE(2000+VALUE(RIGHT(TRIM($A440),2)),1,1)),'Timesheet Raw'!$L$4:$L$8000,"&lt;="&amp;MIN(X$6,DATE(2000+VALUE(RIGHT(TRIM($A440),2)),12,31))),SUMIFS('Timesheet Raw'!$P$4:$P$8000,'Timesheet Raw'!$B$4:$B$8000,TRIM($A440),'Timesheet Raw'!$C$4:$C$8000,"*"&amp;$B440&amp;"*",'Timesheet Raw'!$L$4:$L$8000,"&gt;="&amp;X$5,'Timesheet Raw'!$L$4:$L$8000,"&lt;="&amp;X$6)))/'Profit Plan'!$B$5)</f>
        <v/>
      </c>
      <c r="Y440" s="118">
        <f t="shared" si="102"/>
        <v>0</v>
      </c>
    </row>
    <row r="441" spans="1:25" x14ac:dyDescent="0.3">
      <c r="A441" s="116" t="str">
        <f>IF(Inputs!$A64="","",Inputs!$A64)</f>
        <v/>
      </c>
      <c r="B441" s="116" t="str">
        <f>IF(Inputs!$A64="","",Inputs!$A$93)</f>
        <v/>
      </c>
      <c r="C441" s="116"/>
      <c r="D441" s="122" t="str">
        <f>IF($A441="","",(IF(ISNUMBER(SEARCH("Proposal",$A441)),SUMIFS('Timesheet Raw'!$P$4:$P$8000,'Timesheet Raw'!$A$4:$A$8000,IF(ISNUMBER(SEARCH("Chargable",$A441)),"2-Proposals Chargeable","3-Proposals Regular"),'Timesheet Raw'!$C$4:$C$8000,"*"&amp;$B441&amp;"*",'Timesheet Raw'!$L$4:$L$8000,"&gt;="&amp;MAX(D$5,DATE(2000+VALUE(RIGHT(TRIM($A441),2)),1,1)),'Timesheet Raw'!$L$4:$L$8000,"&lt;="&amp;MIN(D$6,DATE(2000+VALUE(RIGHT(TRIM($A441),2)),12,31))),SUMIFS('Timesheet Raw'!$P$4:$P$8000,'Timesheet Raw'!$B$4:$B$8000,TRIM($A441),'Timesheet Raw'!$C$4:$C$8000,"*"&amp;$B441&amp;"*",'Timesheet Raw'!$L$4:$L$8000,"&gt;="&amp;D$5,'Timesheet Raw'!$L$4:$L$8000,"&lt;="&amp;D$6)))/'Profit Plan'!$B$5)</f>
        <v/>
      </c>
      <c r="E441" s="122" t="str">
        <f>IF($A441="","",(IF(ISNUMBER(SEARCH("Proposal",$A441)),SUMIFS('Timesheet Raw'!$P$4:$P$8000,'Timesheet Raw'!$A$4:$A$8000,IF(ISNUMBER(SEARCH("Chargable",$A441)),"2-Proposals Chargeable","3-Proposals Regular"),'Timesheet Raw'!$C$4:$C$8000,"*"&amp;$B441&amp;"*",'Timesheet Raw'!$L$4:$L$8000,"&gt;="&amp;MAX(E$5,DATE(2000+VALUE(RIGHT(TRIM($A441),2)),1,1)),'Timesheet Raw'!$L$4:$L$8000,"&lt;="&amp;MIN(E$6,DATE(2000+VALUE(RIGHT(TRIM($A441),2)),12,31))),SUMIFS('Timesheet Raw'!$P$4:$P$8000,'Timesheet Raw'!$B$4:$B$8000,TRIM($A441),'Timesheet Raw'!$C$4:$C$8000,"*"&amp;$B441&amp;"*",'Timesheet Raw'!$L$4:$L$8000,"&gt;="&amp;E$5,'Timesheet Raw'!$L$4:$L$8000,"&lt;="&amp;E$6)))/'Profit Plan'!$B$5)</f>
        <v/>
      </c>
      <c r="F441" s="122" t="str">
        <f>IF($A441="","",(IF(ISNUMBER(SEARCH("Proposal",$A441)),SUMIFS('Timesheet Raw'!$P$4:$P$8000,'Timesheet Raw'!$A$4:$A$8000,IF(ISNUMBER(SEARCH("Chargable",$A441)),"2-Proposals Chargeable","3-Proposals Regular"),'Timesheet Raw'!$C$4:$C$8000,"*"&amp;$B441&amp;"*",'Timesheet Raw'!$L$4:$L$8000,"&gt;="&amp;MAX(F$5,DATE(2000+VALUE(RIGHT(TRIM($A441),2)),1,1)),'Timesheet Raw'!$L$4:$L$8000,"&lt;="&amp;MIN(F$6,DATE(2000+VALUE(RIGHT(TRIM($A441),2)),12,31))),SUMIFS('Timesheet Raw'!$P$4:$P$8000,'Timesheet Raw'!$B$4:$B$8000,TRIM($A441),'Timesheet Raw'!$C$4:$C$8000,"*"&amp;$B441&amp;"*",'Timesheet Raw'!$L$4:$L$8000,"&gt;="&amp;F$5,'Timesheet Raw'!$L$4:$L$8000,"&lt;="&amp;F$6)))/'Profit Plan'!$B$5)</f>
        <v/>
      </c>
      <c r="G441" s="122" t="str">
        <f>IF($A441="","",(IF(ISNUMBER(SEARCH("Proposal",$A441)),SUMIFS('Timesheet Raw'!$P$4:$P$8000,'Timesheet Raw'!$A$4:$A$8000,IF(ISNUMBER(SEARCH("Chargable",$A441)),"2-Proposals Chargeable","3-Proposals Regular"),'Timesheet Raw'!$C$4:$C$8000,"*"&amp;$B441&amp;"*",'Timesheet Raw'!$L$4:$L$8000,"&gt;="&amp;MAX(G$5,DATE(2000+VALUE(RIGHT(TRIM($A441),2)),1,1)),'Timesheet Raw'!$L$4:$L$8000,"&lt;="&amp;MIN(G$6,DATE(2000+VALUE(RIGHT(TRIM($A441),2)),12,31))),SUMIFS('Timesheet Raw'!$P$4:$P$8000,'Timesheet Raw'!$B$4:$B$8000,TRIM($A441),'Timesheet Raw'!$C$4:$C$8000,"*"&amp;$B441&amp;"*",'Timesheet Raw'!$L$4:$L$8000,"&gt;="&amp;G$5,'Timesheet Raw'!$L$4:$L$8000,"&lt;="&amp;G$6)))/'Profit Plan'!$B$5)</f>
        <v/>
      </c>
      <c r="H441" s="122" t="str">
        <f>IF($A441="","",(IF(ISNUMBER(SEARCH("Proposal",$A441)),SUMIFS('Timesheet Raw'!$P$4:$P$8000,'Timesheet Raw'!$A$4:$A$8000,IF(ISNUMBER(SEARCH("Chargable",$A441)),"2-Proposals Chargeable","3-Proposals Regular"),'Timesheet Raw'!$C$4:$C$8000,"*"&amp;$B441&amp;"*",'Timesheet Raw'!$L$4:$L$8000,"&gt;="&amp;MAX(H$5,DATE(2000+VALUE(RIGHT(TRIM($A441),2)),1,1)),'Timesheet Raw'!$L$4:$L$8000,"&lt;="&amp;MIN(H$6,DATE(2000+VALUE(RIGHT(TRIM($A441),2)),12,31))),SUMIFS('Timesheet Raw'!$P$4:$P$8000,'Timesheet Raw'!$B$4:$B$8000,TRIM($A441),'Timesheet Raw'!$C$4:$C$8000,"*"&amp;$B441&amp;"*",'Timesheet Raw'!$L$4:$L$8000,"&gt;="&amp;H$5,'Timesheet Raw'!$L$4:$L$8000,"&lt;="&amp;H$6)))/'Profit Plan'!$B$5)</f>
        <v/>
      </c>
      <c r="I441" s="122" t="str">
        <f>IF($A441="","",(IF(ISNUMBER(SEARCH("Proposal",$A441)),SUMIFS('Timesheet Raw'!$P$4:$P$8000,'Timesheet Raw'!$A$4:$A$8000,IF(ISNUMBER(SEARCH("Chargable",$A441)),"2-Proposals Chargeable","3-Proposals Regular"),'Timesheet Raw'!$C$4:$C$8000,"*"&amp;$B441&amp;"*",'Timesheet Raw'!$L$4:$L$8000,"&gt;="&amp;MAX(I$5,DATE(2000+VALUE(RIGHT(TRIM($A441),2)),1,1)),'Timesheet Raw'!$L$4:$L$8000,"&lt;="&amp;MIN(I$6,DATE(2000+VALUE(RIGHT(TRIM($A441),2)),12,31))),SUMIFS('Timesheet Raw'!$P$4:$P$8000,'Timesheet Raw'!$B$4:$B$8000,TRIM($A441),'Timesheet Raw'!$C$4:$C$8000,"*"&amp;$B441&amp;"*",'Timesheet Raw'!$L$4:$L$8000,"&gt;="&amp;I$5,'Timesheet Raw'!$L$4:$L$8000,"&lt;="&amp;I$6)))/'Profit Plan'!$B$5)</f>
        <v/>
      </c>
      <c r="J441" s="122" t="str">
        <f>IF($A441="","",(IF(ISNUMBER(SEARCH("Proposal",$A441)),SUMIFS('Timesheet Raw'!$P$4:$P$8000,'Timesheet Raw'!$A$4:$A$8000,IF(ISNUMBER(SEARCH("Chargable",$A441)),"2-Proposals Chargeable","3-Proposals Regular"),'Timesheet Raw'!$C$4:$C$8000,"*"&amp;$B441&amp;"*",'Timesheet Raw'!$L$4:$L$8000,"&gt;="&amp;MAX(J$5,DATE(2000+VALUE(RIGHT(TRIM($A441),2)),1,1)),'Timesheet Raw'!$L$4:$L$8000,"&lt;="&amp;MIN(J$6,DATE(2000+VALUE(RIGHT(TRIM($A441),2)),12,31))),SUMIFS('Timesheet Raw'!$P$4:$P$8000,'Timesheet Raw'!$B$4:$B$8000,TRIM($A441),'Timesheet Raw'!$C$4:$C$8000,"*"&amp;$B441&amp;"*",'Timesheet Raw'!$L$4:$L$8000,"&gt;="&amp;J$5,'Timesheet Raw'!$L$4:$L$8000,"&lt;="&amp;J$6)))/'Profit Plan'!$B$5)</f>
        <v/>
      </c>
      <c r="K441" s="122" t="str">
        <f>IF($A441="","",(IF(ISNUMBER(SEARCH("Proposal",$A441)),SUMIFS('Timesheet Raw'!$P$4:$P$8000,'Timesheet Raw'!$A$4:$A$8000,IF(ISNUMBER(SEARCH("Chargable",$A441)),"2-Proposals Chargeable","3-Proposals Regular"),'Timesheet Raw'!$C$4:$C$8000,"*"&amp;$B441&amp;"*",'Timesheet Raw'!$L$4:$L$8000,"&gt;="&amp;MAX(K$5,DATE(2000+VALUE(RIGHT(TRIM($A441),2)),1,1)),'Timesheet Raw'!$L$4:$L$8000,"&lt;="&amp;MIN(K$6,DATE(2000+VALUE(RIGHT(TRIM($A441),2)),12,31))),SUMIFS('Timesheet Raw'!$P$4:$P$8000,'Timesheet Raw'!$B$4:$B$8000,TRIM($A441),'Timesheet Raw'!$C$4:$C$8000,"*"&amp;$B441&amp;"*",'Timesheet Raw'!$L$4:$L$8000,"&gt;="&amp;K$5,'Timesheet Raw'!$L$4:$L$8000,"&lt;="&amp;K$6)))/'Profit Plan'!$B$5)</f>
        <v/>
      </c>
      <c r="L441" s="122" t="str">
        <f>IF($A441="","",(IF(ISNUMBER(SEARCH("Proposal",$A441)),SUMIFS('Timesheet Raw'!$P$4:$P$8000,'Timesheet Raw'!$A$4:$A$8000,IF(ISNUMBER(SEARCH("Chargable",$A441)),"2-Proposals Chargeable","3-Proposals Regular"),'Timesheet Raw'!$C$4:$C$8000,"*"&amp;$B441&amp;"*",'Timesheet Raw'!$L$4:$L$8000,"&gt;="&amp;MAX(L$5,DATE(2000+VALUE(RIGHT(TRIM($A441),2)),1,1)),'Timesheet Raw'!$L$4:$L$8000,"&lt;="&amp;MIN(L$6,DATE(2000+VALUE(RIGHT(TRIM($A441),2)),12,31))),SUMIFS('Timesheet Raw'!$P$4:$P$8000,'Timesheet Raw'!$B$4:$B$8000,TRIM($A441),'Timesheet Raw'!$C$4:$C$8000,"*"&amp;$B441&amp;"*",'Timesheet Raw'!$L$4:$L$8000,"&gt;="&amp;L$5,'Timesheet Raw'!$L$4:$L$8000,"&lt;="&amp;L$6)))/'Profit Plan'!$B$5)</f>
        <v/>
      </c>
      <c r="M441" s="122" t="str">
        <f>IF($A441="","",(IF(ISNUMBER(SEARCH("Proposal",$A441)),SUMIFS('Timesheet Raw'!$P$4:$P$8000,'Timesheet Raw'!$A$4:$A$8000,IF(ISNUMBER(SEARCH("Chargable",$A441)),"2-Proposals Chargeable","3-Proposals Regular"),'Timesheet Raw'!$C$4:$C$8000,"*"&amp;$B441&amp;"*",'Timesheet Raw'!$L$4:$L$8000,"&gt;="&amp;MAX(M$5,DATE(2000+VALUE(RIGHT(TRIM($A441),2)),1,1)),'Timesheet Raw'!$L$4:$L$8000,"&lt;="&amp;MIN(M$6,DATE(2000+VALUE(RIGHT(TRIM($A441),2)),12,31))),SUMIFS('Timesheet Raw'!$P$4:$P$8000,'Timesheet Raw'!$B$4:$B$8000,TRIM($A441),'Timesheet Raw'!$C$4:$C$8000,"*"&amp;$B441&amp;"*",'Timesheet Raw'!$L$4:$L$8000,"&gt;="&amp;M$5,'Timesheet Raw'!$L$4:$L$8000,"&lt;="&amp;M$6)))/'Profit Plan'!$B$5)</f>
        <v/>
      </c>
      <c r="N441" s="122" t="str">
        <f>IF($A441="","",(IF(ISNUMBER(SEARCH("Proposal",$A441)),SUMIFS('Timesheet Raw'!$P$4:$P$8000,'Timesheet Raw'!$A$4:$A$8000,IF(ISNUMBER(SEARCH("Chargable",$A441)),"2-Proposals Chargeable","3-Proposals Regular"),'Timesheet Raw'!$C$4:$C$8000,"*"&amp;$B441&amp;"*",'Timesheet Raw'!$L$4:$L$8000,"&gt;="&amp;MAX(N$5,DATE(2000+VALUE(RIGHT(TRIM($A441),2)),1,1)),'Timesheet Raw'!$L$4:$L$8000,"&lt;="&amp;MIN(N$6,DATE(2000+VALUE(RIGHT(TRIM($A441),2)),12,31))),SUMIFS('Timesheet Raw'!$P$4:$P$8000,'Timesheet Raw'!$B$4:$B$8000,TRIM($A441),'Timesheet Raw'!$C$4:$C$8000,"*"&amp;$B441&amp;"*",'Timesheet Raw'!$L$4:$L$8000,"&gt;="&amp;N$5,'Timesheet Raw'!$L$4:$L$8000,"&lt;="&amp;N$6)))/'Profit Plan'!$B$5)</f>
        <v/>
      </c>
      <c r="O441" s="122" t="str">
        <f>IF($A441="","",(IF(ISNUMBER(SEARCH("Proposal",$A441)),SUMIFS('Timesheet Raw'!$P$4:$P$8000,'Timesheet Raw'!$A$4:$A$8000,IF(ISNUMBER(SEARCH("Chargable",$A441)),"2-Proposals Chargeable","3-Proposals Regular"),'Timesheet Raw'!$C$4:$C$8000,"*"&amp;$B441&amp;"*",'Timesheet Raw'!$L$4:$L$8000,"&gt;="&amp;MAX(O$5,DATE(2000+VALUE(RIGHT(TRIM($A441),2)),1,1)),'Timesheet Raw'!$L$4:$L$8000,"&lt;="&amp;MIN(O$6,DATE(2000+VALUE(RIGHT(TRIM($A441),2)),12,31))),SUMIFS('Timesheet Raw'!$P$4:$P$8000,'Timesheet Raw'!$B$4:$B$8000,TRIM($A441),'Timesheet Raw'!$C$4:$C$8000,"*"&amp;$B441&amp;"*",'Timesheet Raw'!$L$4:$L$8000,"&gt;="&amp;O$5,'Timesheet Raw'!$L$4:$L$8000,"&lt;="&amp;O$6)))/'Profit Plan'!$B$5)</f>
        <v/>
      </c>
      <c r="P441" s="122" t="str">
        <f>IF($A441="","",(IF(ISNUMBER(SEARCH("Proposal",$A441)),SUMIFS('Timesheet Raw'!$P$4:$P$8000,'Timesheet Raw'!$A$4:$A$8000,IF(ISNUMBER(SEARCH("Chargable",$A441)),"2-Proposals Chargeable","3-Proposals Regular"),'Timesheet Raw'!$C$4:$C$8000,"*"&amp;$B441&amp;"*",'Timesheet Raw'!$L$4:$L$8000,"&gt;="&amp;MAX(P$5,DATE(2000+VALUE(RIGHT(TRIM($A441),2)),1,1)),'Timesheet Raw'!$L$4:$L$8000,"&lt;="&amp;MIN(P$6,DATE(2000+VALUE(RIGHT(TRIM($A441),2)),12,31))),SUMIFS('Timesheet Raw'!$P$4:$P$8000,'Timesheet Raw'!$B$4:$B$8000,TRIM($A441),'Timesheet Raw'!$C$4:$C$8000,"*"&amp;$B441&amp;"*",'Timesheet Raw'!$L$4:$L$8000,"&gt;="&amp;P$5,'Timesheet Raw'!$L$4:$L$8000,"&lt;="&amp;P$6)))/'Profit Plan'!$B$5)</f>
        <v/>
      </c>
      <c r="Q441" s="122" t="str">
        <f>IF($A441="","",(IF(ISNUMBER(SEARCH("Proposal",$A441)),SUMIFS('Timesheet Raw'!$P$4:$P$8000,'Timesheet Raw'!$A$4:$A$8000,IF(ISNUMBER(SEARCH("Chargable",$A441)),"2-Proposals Chargeable","3-Proposals Regular"),'Timesheet Raw'!$C$4:$C$8000,"*"&amp;$B441&amp;"*",'Timesheet Raw'!$L$4:$L$8000,"&gt;="&amp;MAX(Q$5,DATE(2000+VALUE(RIGHT(TRIM($A441),2)),1,1)),'Timesheet Raw'!$L$4:$L$8000,"&lt;="&amp;MIN(Q$6,DATE(2000+VALUE(RIGHT(TRIM($A441),2)),12,31))),SUMIFS('Timesheet Raw'!$P$4:$P$8000,'Timesheet Raw'!$B$4:$B$8000,TRIM($A441),'Timesheet Raw'!$C$4:$C$8000,"*"&amp;$B441&amp;"*",'Timesheet Raw'!$L$4:$L$8000,"&gt;="&amp;Q$5,'Timesheet Raw'!$L$4:$L$8000,"&lt;="&amp;Q$6)))/'Profit Plan'!$B$5)</f>
        <v/>
      </c>
      <c r="R441" s="122" t="str">
        <f>IF($A441="","",(IF(ISNUMBER(SEARCH("Proposal",$A441)),SUMIFS('Timesheet Raw'!$P$4:$P$8000,'Timesheet Raw'!$A$4:$A$8000,IF(ISNUMBER(SEARCH("Chargable",$A441)),"2-Proposals Chargeable","3-Proposals Regular"),'Timesheet Raw'!$C$4:$C$8000,"*"&amp;$B441&amp;"*",'Timesheet Raw'!$L$4:$L$8000,"&gt;="&amp;MAX(R$5,DATE(2000+VALUE(RIGHT(TRIM($A441),2)),1,1)),'Timesheet Raw'!$L$4:$L$8000,"&lt;="&amp;MIN(R$6,DATE(2000+VALUE(RIGHT(TRIM($A441),2)),12,31))),SUMIFS('Timesheet Raw'!$P$4:$P$8000,'Timesheet Raw'!$B$4:$B$8000,TRIM($A441),'Timesheet Raw'!$C$4:$C$8000,"*"&amp;$B441&amp;"*",'Timesheet Raw'!$L$4:$L$8000,"&gt;="&amp;R$5,'Timesheet Raw'!$L$4:$L$8000,"&lt;="&amp;R$6)))/'Profit Plan'!$B$5)</f>
        <v/>
      </c>
      <c r="S441" s="122" t="str">
        <f>IF($A441="","",(IF(ISNUMBER(SEARCH("Proposal",$A441)),SUMIFS('Timesheet Raw'!$P$4:$P$8000,'Timesheet Raw'!$A$4:$A$8000,IF(ISNUMBER(SEARCH("Chargable",$A441)),"2-Proposals Chargeable","3-Proposals Regular"),'Timesheet Raw'!$C$4:$C$8000,"*"&amp;$B441&amp;"*",'Timesheet Raw'!$L$4:$L$8000,"&gt;="&amp;MAX(S$5,DATE(2000+VALUE(RIGHT(TRIM($A441),2)),1,1)),'Timesheet Raw'!$L$4:$L$8000,"&lt;="&amp;MIN(S$6,DATE(2000+VALUE(RIGHT(TRIM($A441),2)),12,31))),SUMIFS('Timesheet Raw'!$P$4:$P$8000,'Timesheet Raw'!$B$4:$B$8000,TRIM($A441),'Timesheet Raw'!$C$4:$C$8000,"*"&amp;$B441&amp;"*",'Timesheet Raw'!$L$4:$L$8000,"&gt;="&amp;S$5,'Timesheet Raw'!$L$4:$L$8000,"&lt;="&amp;S$6)))/'Profit Plan'!$B$5)</f>
        <v/>
      </c>
      <c r="T441" s="122" t="str">
        <f>IF($A441="","",(IF(ISNUMBER(SEARCH("Proposal",$A441)),SUMIFS('Timesheet Raw'!$P$4:$P$8000,'Timesheet Raw'!$A$4:$A$8000,IF(ISNUMBER(SEARCH("Chargable",$A441)),"2-Proposals Chargeable","3-Proposals Regular"),'Timesheet Raw'!$C$4:$C$8000,"*"&amp;$B441&amp;"*",'Timesheet Raw'!$L$4:$L$8000,"&gt;="&amp;MAX(T$5,DATE(2000+VALUE(RIGHT(TRIM($A441),2)),1,1)),'Timesheet Raw'!$L$4:$L$8000,"&lt;="&amp;MIN(T$6,DATE(2000+VALUE(RIGHT(TRIM($A441),2)),12,31))),SUMIFS('Timesheet Raw'!$P$4:$P$8000,'Timesheet Raw'!$B$4:$B$8000,TRIM($A441),'Timesheet Raw'!$C$4:$C$8000,"*"&amp;$B441&amp;"*",'Timesheet Raw'!$L$4:$L$8000,"&gt;="&amp;T$5,'Timesheet Raw'!$L$4:$L$8000,"&lt;="&amp;T$6)))/'Profit Plan'!$B$5)</f>
        <v/>
      </c>
      <c r="U441" s="122" t="str">
        <f>IF($A441="","",(IF(ISNUMBER(SEARCH("Proposal",$A441)),SUMIFS('Timesheet Raw'!$P$4:$P$8000,'Timesheet Raw'!$A$4:$A$8000,IF(ISNUMBER(SEARCH("Chargable",$A441)),"2-Proposals Chargeable","3-Proposals Regular"),'Timesheet Raw'!$C$4:$C$8000,"*"&amp;$B441&amp;"*",'Timesheet Raw'!$L$4:$L$8000,"&gt;="&amp;MAX(U$5,DATE(2000+VALUE(RIGHT(TRIM($A441),2)),1,1)),'Timesheet Raw'!$L$4:$L$8000,"&lt;="&amp;MIN(U$6,DATE(2000+VALUE(RIGHT(TRIM($A441),2)),12,31))),SUMIFS('Timesheet Raw'!$P$4:$P$8000,'Timesheet Raw'!$B$4:$B$8000,TRIM($A441),'Timesheet Raw'!$C$4:$C$8000,"*"&amp;$B441&amp;"*",'Timesheet Raw'!$L$4:$L$8000,"&gt;="&amp;U$5,'Timesheet Raw'!$L$4:$L$8000,"&lt;="&amp;U$6)))/'Profit Plan'!$B$5)</f>
        <v/>
      </c>
      <c r="V441" s="122" t="str">
        <f>IF($A441="","",(IF(ISNUMBER(SEARCH("Proposal",$A441)),SUMIFS('Timesheet Raw'!$P$4:$P$8000,'Timesheet Raw'!$A$4:$A$8000,IF(ISNUMBER(SEARCH("Chargable",$A441)),"2-Proposals Chargeable","3-Proposals Regular"),'Timesheet Raw'!$C$4:$C$8000,"*"&amp;$B441&amp;"*",'Timesheet Raw'!$L$4:$L$8000,"&gt;="&amp;MAX(V$5,DATE(2000+VALUE(RIGHT(TRIM($A441),2)),1,1)),'Timesheet Raw'!$L$4:$L$8000,"&lt;="&amp;MIN(V$6,DATE(2000+VALUE(RIGHT(TRIM($A441),2)),12,31))),SUMIFS('Timesheet Raw'!$P$4:$P$8000,'Timesheet Raw'!$B$4:$B$8000,TRIM($A441),'Timesheet Raw'!$C$4:$C$8000,"*"&amp;$B441&amp;"*",'Timesheet Raw'!$L$4:$L$8000,"&gt;="&amp;V$5,'Timesheet Raw'!$L$4:$L$8000,"&lt;="&amp;V$6)))/'Profit Plan'!$B$5)</f>
        <v/>
      </c>
      <c r="W441" s="122" t="str">
        <f>IF($A441="","",(IF(ISNUMBER(SEARCH("Proposal",$A441)),SUMIFS('Timesheet Raw'!$P$4:$P$8000,'Timesheet Raw'!$A$4:$A$8000,IF(ISNUMBER(SEARCH("Chargable",$A441)),"2-Proposals Chargeable","3-Proposals Regular"),'Timesheet Raw'!$C$4:$C$8000,"*"&amp;$B441&amp;"*",'Timesheet Raw'!$L$4:$L$8000,"&gt;="&amp;MAX(W$5,DATE(2000+VALUE(RIGHT(TRIM($A441),2)),1,1)),'Timesheet Raw'!$L$4:$L$8000,"&lt;="&amp;MIN(W$6,DATE(2000+VALUE(RIGHT(TRIM($A441),2)),12,31))),SUMIFS('Timesheet Raw'!$P$4:$P$8000,'Timesheet Raw'!$B$4:$B$8000,TRIM($A441),'Timesheet Raw'!$C$4:$C$8000,"*"&amp;$B441&amp;"*",'Timesheet Raw'!$L$4:$L$8000,"&gt;="&amp;W$5,'Timesheet Raw'!$L$4:$L$8000,"&lt;="&amp;W$6)))/'Profit Plan'!$B$5)</f>
        <v/>
      </c>
      <c r="X441" s="122" t="str">
        <f>IF($A441="","",(IF(ISNUMBER(SEARCH("Proposal",$A441)),SUMIFS('Timesheet Raw'!$P$4:$P$8000,'Timesheet Raw'!$A$4:$A$8000,IF(ISNUMBER(SEARCH("Chargable",$A441)),"2-Proposals Chargeable","3-Proposals Regular"),'Timesheet Raw'!$C$4:$C$8000,"*"&amp;$B441&amp;"*",'Timesheet Raw'!$L$4:$L$8000,"&gt;="&amp;MAX(X$5,DATE(2000+VALUE(RIGHT(TRIM($A441),2)),1,1)),'Timesheet Raw'!$L$4:$L$8000,"&lt;="&amp;MIN(X$6,DATE(2000+VALUE(RIGHT(TRIM($A441),2)),12,31))),SUMIFS('Timesheet Raw'!$P$4:$P$8000,'Timesheet Raw'!$B$4:$B$8000,TRIM($A441),'Timesheet Raw'!$C$4:$C$8000,"*"&amp;$B441&amp;"*",'Timesheet Raw'!$L$4:$L$8000,"&gt;="&amp;X$5,'Timesheet Raw'!$L$4:$L$8000,"&lt;="&amp;X$6)))/'Profit Plan'!$B$5)</f>
        <v/>
      </c>
      <c r="Y441" s="118">
        <f t="shared" si="102"/>
        <v>0</v>
      </c>
    </row>
    <row r="442" spans="1:25" x14ac:dyDescent="0.3">
      <c r="A442" s="116" t="str">
        <f>IF(Inputs!$A65="","",Inputs!$A65)</f>
        <v/>
      </c>
      <c r="B442" s="116" t="str">
        <f>IF(Inputs!$A65="","",Inputs!$A$91)</f>
        <v/>
      </c>
      <c r="C442" s="116"/>
      <c r="D442" s="122" t="str">
        <f>IF($A442="","",(IF(ISNUMBER(SEARCH("Proposal",$A442)),SUMIFS('Timesheet Raw'!$P$4:$P$8000,'Timesheet Raw'!$A$4:$A$8000,IF(ISNUMBER(SEARCH("Chargable",$A442)),"2-Proposals Chargeable","3-Proposals Regular"),'Timesheet Raw'!$C$4:$C$8000,"*"&amp;$B442&amp;"*",'Timesheet Raw'!$L$4:$L$8000,"&gt;="&amp;MAX(D$5,DATE(2000+VALUE(RIGHT(TRIM($A442),2)),1,1)),'Timesheet Raw'!$L$4:$L$8000,"&lt;="&amp;MIN(D$6,DATE(2000+VALUE(RIGHT(TRIM($A442),2)),12,31))),SUMIFS('Timesheet Raw'!$P$4:$P$8000,'Timesheet Raw'!$B$4:$B$8000,TRIM($A442),'Timesheet Raw'!$C$4:$C$8000,"*"&amp;$B442&amp;"*",'Timesheet Raw'!$L$4:$L$8000,"&gt;="&amp;D$5,'Timesheet Raw'!$L$4:$L$8000,"&lt;="&amp;D$6)))/'Profit Plan'!$B$5)</f>
        <v/>
      </c>
      <c r="E442" s="122" t="str">
        <f>IF($A442="","",(IF(ISNUMBER(SEARCH("Proposal",$A442)),SUMIFS('Timesheet Raw'!$P$4:$P$8000,'Timesheet Raw'!$A$4:$A$8000,IF(ISNUMBER(SEARCH("Chargable",$A442)),"2-Proposals Chargeable","3-Proposals Regular"),'Timesheet Raw'!$C$4:$C$8000,"*"&amp;$B442&amp;"*",'Timesheet Raw'!$L$4:$L$8000,"&gt;="&amp;MAX(E$5,DATE(2000+VALUE(RIGHT(TRIM($A442),2)),1,1)),'Timesheet Raw'!$L$4:$L$8000,"&lt;="&amp;MIN(E$6,DATE(2000+VALUE(RIGHT(TRIM($A442),2)),12,31))),SUMIFS('Timesheet Raw'!$P$4:$P$8000,'Timesheet Raw'!$B$4:$B$8000,TRIM($A442),'Timesheet Raw'!$C$4:$C$8000,"*"&amp;$B442&amp;"*",'Timesheet Raw'!$L$4:$L$8000,"&gt;="&amp;E$5,'Timesheet Raw'!$L$4:$L$8000,"&lt;="&amp;E$6)))/'Profit Plan'!$B$5)</f>
        <v/>
      </c>
      <c r="F442" s="122" t="str">
        <f>IF($A442="","",(IF(ISNUMBER(SEARCH("Proposal",$A442)),SUMIFS('Timesheet Raw'!$P$4:$P$8000,'Timesheet Raw'!$A$4:$A$8000,IF(ISNUMBER(SEARCH("Chargable",$A442)),"2-Proposals Chargeable","3-Proposals Regular"),'Timesheet Raw'!$C$4:$C$8000,"*"&amp;$B442&amp;"*",'Timesheet Raw'!$L$4:$L$8000,"&gt;="&amp;MAX(F$5,DATE(2000+VALUE(RIGHT(TRIM($A442),2)),1,1)),'Timesheet Raw'!$L$4:$L$8000,"&lt;="&amp;MIN(F$6,DATE(2000+VALUE(RIGHT(TRIM($A442),2)),12,31))),SUMIFS('Timesheet Raw'!$P$4:$P$8000,'Timesheet Raw'!$B$4:$B$8000,TRIM($A442),'Timesheet Raw'!$C$4:$C$8000,"*"&amp;$B442&amp;"*",'Timesheet Raw'!$L$4:$L$8000,"&gt;="&amp;F$5,'Timesheet Raw'!$L$4:$L$8000,"&lt;="&amp;F$6)))/'Profit Plan'!$B$5)</f>
        <v/>
      </c>
      <c r="G442" s="122" t="str">
        <f>IF($A442="","",(IF(ISNUMBER(SEARCH("Proposal",$A442)),SUMIFS('Timesheet Raw'!$P$4:$P$8000,'Timesheet Raw'!$A$4:$A$8000,IF(ISNUMBER(SEARCH("Chargable",$A442)),"2-Proposals Chargeable","3-Proposals Regular"),'Timesheet Raw'!$C$4:$C$8000,"*"&amp;$B442&amp;"*",'Timesheet Raw'!$L$4:$L$8000,"&gt;="&amp;MAX(G$5,DATE(2000+VALUE(RIGHT(TRIM($A442),2)),1,1)),'Timesheet Raw'!$L$4:$L$8000,"&lt;="&amp;MIN(G$6,DATE(2000+VALUE(RIGHT(TRIM($A442),2)),12,31))),SUMIFS('Timesheet Raw'!$P$4:$P$8000,'Timesheet Raw'!$B$4:$B$8000,TRIM($A442),'Timesheet Raw'!$C$4:$C$8000,"*"&amp;$B442&amp;"*",'Timesheet Raw'!$L$4:$L$8000,"&gt;="&amp;G$5,'Timesheet Raw'!$L$4:$L$8000,"&lt;="&amp;G$6)))/'Profit Plan'!$B$5)</f>
        <v/>
      </c>
      <c r="H442" s="122" t="str">
        <f>IF($A442="","",(IF(ISNUMBER(SEARCH("Proposal",$A442)),SUMIFS('Timesheet Raw'!$P$4:$P$8000,'Timesheet Raw'!$A$4:$A$8000,IF(ISNUMBER(SEARCH("Chargable",$A442)),"2-Proposals Chargeable","3-Proposals Regular"),'Timesheet Raw'!$C$4:$C$8000,"*"&amp;$B442&amp;"*",'Timesheet Raw'!$L$4:$L$8000,"&gt;="&amp;MAX(H$5,DATE(2000+VALUE(RIGHT(TRIM($A442),2)),1,1)),'Timesheet Raw'!$L$4:$L$8000,"&lt;="&amp;MIN(H$6,DATE(2000+VALUE(RIGHT(TRIM($A442),2)),12,31))),SUMIFS('Timesheet Raw'!$P$4:$P$8000,'Timesheet Raw'!$B$4:$B$8000,TRIM($A442),'Timesheet Raw'!$C$4:$C$8000,"*"&amp;$B442&amp;"*",'Timesheet Raw'!$L$4:$L$8000,"&gt;="&amp;H$5,'Timesheet Raw'!$L$4:$L$8000,"&lt;="&amp;H$6)))/'Profit Plan'!$B$5)</f>
        <v/>
      </c>
      <c r="I442" s="122" t="str">
        <f>IF($A442="","",(IF(ISNUMBER(SEARCH("Proposal",$A442)),SUMIFS('Timesheet Raw'!$P$4:$P$8000,'Timesheet Raw'!$A$4:$A$8000,IF(ISNUMBER(SEARCH("Chargable",$A442)),"2-Proposals Chargeable","3-Proposals Regular"),'Timesheet Raw'!$C$4:$C$8000,"*"&amp;$B442&amp;"*",'Timesheet Raw'!$L$4:$L$8000,"&gt;="&amp;MAX(I$5,DATE(2000+VALUE(RIGHT(TRIM($A442),2)),1,1)),'Timesheet Raw'!$L$4:$L$8000,"&lt;="&amp;MIN(I$6,DATE(2000+VALUE(RIGHT(TRIM($A442),2)),12,31))),SUMIFS('Timesheet Raw'!$P$4:$P$8000,'Timesheet Raw'!$B$4:$B$8000,TRIM($A442),'Timesheet Raw'!$C$4:$C$8000,"*"&amp;$B442&amp;"*",'Timesheet Raw'!$L$4:$L$8000,"&gt;="&amp;I$5,'Timesheet Raw'!$L$4:$L$8000,"&lt;="&amp;I$6)))/'Profit Plan'!$B$5)</f>
        <v/>
      </c>
      <c r="J442" s="122" t="str">
        <f>IF($A442="","",(IF(ISNUMBER(SEARCH("Proposal",$A442)),SUMIFS('Timesheet Raw'!$P$4:$P$8000,'Timesheet Raw'!$A$4:$A$8000,IF(ISNUMBER(SEARCH("Chargable",$A442)),"2-Proposals Chargeable","3-Proposals Regular"),'Timesheet Raw'!$C$4:$C$8000,"*"&amp;$B442&amp;"*",'Timesheet Raw'!$L$4:$L$8000,"&gt;="&amp;MAX(J$5,DATE(2000+VALUE(RIGHT(TRIM($A442),2)),1,1)),'Timesheet Raw'!$L$4:$L$8000,"&lt;="&amp;MIN(J$6,DATE(2000+VALUE(RIGHT(TRIM($A442),2)),12,31))),SUMIFS('Timesheet Raw'!$P$4:$P$8000,'Timesheet Raw'!$B$4:$B$8000,TRIM($A442),'Timesheet Raw'!$C$4:$C$8000,"*"&amp;$B442&amp;"*",'Timesheet Raw'!$L$4:$L$8000,"&gt;="&amp;J$5,'Timesheet Raw'!$L$4:$L$8000,"&lt;="&amp;J$6)))/'Profit Plan'!$B$5)</f>
        <v/>
      </c>
      <c r="K442" s="122" t="str">
        <f>IF($A442="","",(IF(ISNUMBER(SEARCH("Proposal",$A442)),SUMIFS('Timesheet Raw'!$P$4:$P$8000,'Timesheet Raw'!$A$4:$A$8000,IF(ISNUMBER(SEARCH("Chargable",$A442)),"2-Proposals Chargeable","3-Proposals Regular"),'Timesheet Raw'!$C$4:$C$8000,"*"&amp;$B442&amp;"*",'Timesheet Raw'!$L$4:$L$8000,"&gt;="&amp;MAX(K$5,DATE(2000+VALUE(RIGHT(TRIM($A442),2)),1,1)),'Timesheet Raw'!$L$4:$L$8000,"&lt;="&amp;MIN(K$6,DATE(2000+VALUE(RIGHT(TRIM($A442),2)),12,31))),SUMIFS('Timesheet Raw'!$P$4:$P$8000,'Timesheet Raw'!$B$4:$B$8000,TRIM($A442),'Timesheet Raw'!$C$4:$C$8000,"*"&amp;$B442&amp;"*",'Timesheet Raw'!$L$4:$L$8000,"&gt;="&amp;K$5,'Timesheet Raw'!$L$4:$L$8000,"&lt;="&amp;K$6)))/'Profit Plan'!$B$5)</f>
        <v/>
      </c>
      <c r="L442" s="122" t="str">
        <f>IF($A442="","",(IF(ISNUMBER(SEARCH("Proposal",$A442)),SUMIFS('Timesheet Raw'!$P$4:$P$8000,'Timesheet Raw'!$A$4:$A$8000,IF(ISNUMBER(SEARCH("Chargable",$A442)),"2-Proposals Chargeable","3-Proposals Regular"),'Timesheet Raw'!$C$4:$C$8000,"*"&amp;$B442&amp;"*",'Timesheet Raw'!$L$4:$L$8000,"&gt;="&amp;MAX(L$5,DATE(2000+VALUE(RIGHT(TRIM($A442),2)),1,1)),'Timesheet Raw'!$L$4:$L$8000,"&lt;="&amp;MIN(L$6,DATE(2000+VALUE(RIGHT(TRIM($A442),2)),12,31))),SUMIFS('Timesheet Raw'!$P$4:$P$8000,'Timesheet Raw'!$B$4:$B$8000,TRIM($A442),'Timesheet Raw'!$C$4:$C$8000,"*"&amp;$B442&amp;"*",'Timesheet Raw'!$L$4:$L$8000,"&gt;="&amp;L$5,'Timesheet Raw'!$L$4:$L$8000,"&lt;="&amp;L$6)))/'Profit Plan'!$B$5)</f>
        <v/>
      </c>
      <c r="M442" s="122" t="str">
        <f>IF($A442="","",(IF(ISNUMBER(SEARCH("Proposal",$A442)),SUMIFS('Timesheet Raw'!$P$4:$P$8000,'Timesheet Raw'!$A$4:$A$8000,IF(ISNUMBER(SEARCH("Chargable",$A442)),"2-Proposals Chargeable","3-Proposals Regular"),'Timesheet Raw'!$C$4:$C$8000,"*"&amp;$B442&amp;"*",'Timesheet Raw'!$L$4:$L$8000,"&gt;="&amp;MAX(M$5,DATE(2000+VALUE(RIGHT(TRIM($A442),2)),1,1)),'Timesheet Raw'!$L$4:$L$8000,"&lt;="&amp;MIN(M$6,DATE(2000+VALUE(RIGHT(TRIM($A442),2)),12,31))),SUMIFS('Timesheet Raw'!$P$4:$P$8000,'Timesheet Raw'!$B$4:$B$8000,TRIM($A442),'Timesheet Raw'!$C$4:$C$8000,"*"&amp;$B442&amp;"*",'Timesheet Raw'!$L$4:$L$8000,"&gt;="&amp;M$5,'Timesheet Raw'!$L$4:$L$8000,"&lt;="&amp;M$6)))/'Profit Plan'!$B$5)</f>
        <v/>
      </c>
      <c r="N442" s="122" t="str">
        <f>IF($A442="","",(IF(ISNUMBER(SEARCH("Proposal",$A442)),SUMIFS('Timesheet Raw'!$P$4:$P$8000,'Timesheet Raw'!$A$4:$A$8000,IF(ISNUMBER(SEARCH("Chargable",$A442)),"2-Proposals Chargeable","3-Proposals Regular"),'Timesheet Raw'!$C$4:$C$8000,"*"&amp;$B442&amp;"*",'Timesheet Raw'!$L$4:$L$8000,"&gt;="&amp;MAX(N$5,DATE(2000+VALUE(RIGHT(TRIM($A442),2)),1,1)),'Timesheet Raw'!$L$4:$L$8000,"&lt;="&amp;MIN(N$6,DATE(2000+VALUE(RIGHT(TRIM($A442),2)),12,31))),SUMIFS('Timesheet Raw'!$P$4:$P$8000,'Timesheet Raw'!$B$4:$B$8000,TRIM($A442),'Timesheet Raw'!$C$4:$C$8000,"*"&amp;$B442&amp;"*",'Timesheet Raw'!$L$4:$L$8000,"&gt;="&amp;N$5,'Timesheet Raw'!$L$4:$L$8000,"&lt;="&amp;N$6)))/'Profit Plan'!$B$5)</f>
        <v/>
      </c>
      <c r="O442" s="122" t="str">
        <f>IF($A442="","",(IF(ISNUMBER(SEARCH("Proposal",$A442)),SUMIFS('Timesheet Raw'!$P$4:$P$8000,'Timesheet Raw'!$A$4:$A$8000,IF(ISNUMBER(SEARCH("Chargable",$A442)),"2-Proposals Chargeable","3-Proposals Regular"),'Timesheet Raw'!$C$4:$C$8000,"*"&amp;$B442&amp;"*",'Timesheet Raw'!$L$4:$L$8000,"&gt;="&amp;MAX(O$5,DATE(2000+VALUE(RIGHT(TRIM($A442),2)),1,1)),'Timesheet Raw'!$L$4:$L$8000,"&lt;="&amp;MIN(O$6,DATE(2000+VALUE(RIGHT(TRIM($A442),2)),12,31))),SUMIFS('Timesheet Raw'!$P$4:$P$8000,'Timesheet Raw'!$B$4:$B$8000,TRIM($A442),'Timesheet Raw'!$C$4:$C$8000,"*"&amp;$B442&amp;"*",'Timesheet Raw'!$L$4:$L$8000,"&gt;="&amp;O$5,'Timesheet Raw'!$L$4:$L$8000,"&lt;="&amp;O$6)))/'Profit Plan'!$B$5)</f>
        <v/>
      </c>
      <c r="P442" s="122" t="str">
        <f>IF($A442="","",(IF(ISNUMBER(SEARCH("Proposal",$A442)),SUMIFS('Timesheet Raw'!$P$4:$P$8000,'Timesheet Raw'!$A$4:$A$8000,IF(ISNUMBER(SEARCH("Chargable",$A442)),"2-Proposals Chargeable","3-Proposals Regular"),'Timesheet Raw'!$C$4:$C$8000,"*"&amp;$B442&amp;"*",'Timesheet Raw'!$L$4:$L$8000,"&gt;="&amp;MAX(P$5,DATE(2000+VALUE(RIGHT(TRIM($A442),2)),1,1)),'Timesheet Raw'!$L$4:$L$8000,"&lt;="&amp;MIN(P$6,DATE(2000+VALUE(RIGHT(TRIM($A442),2)),12,31))),SUMIFS('Timesheet Raw'!$P$4:$P$8000,'Timesheet Raw'!$B$4:$B$8000,TRIM($A442),'Timesheet Raw'!$C$4:$C$8000,"*"&amp;$B442&amp;"*",'Timesheet Raw'!$L$4:$L$8000,"&gt;="&amp;P$5,'Timesheet Raw'!$L$4:$L$8000,"&lt;="&amp;P$6)))/'Profit Plan'!$B$5)</f>
        <v/>
      </c>
      <c r="Q442" s="122" t="str">
        <f>IF($A442="","",(IF(ISNUMBER(SEARCH("Proposal",$A442)),SUMIFS('Timesheet Raw'!$P$4:$P$8000,'Timesheet Raw'!$A$4:$A$8000,IF(ISNUMBER(SEARCH("Chargable",$A442)),"2-Proposals Chargeable","3-Proposals Regular"),'Timesheet Raw'!$C$4:$C$8000,"*"&amp;$B442&amp;"*",'Timesheet Raw'!$L$4:$L$8000,"&gt;="&amp;MAX(Q$5,DATE(2000+VALUE(RIGHT(TRIM($A442),2)),1,1)),'Timesheet Raw'!$L$4:$L$8000,"&lt;="&amp;MIN(Q$6,DATE(2000+VALUE(RIGHT(TRIM($A442),2)),12,31))),SUMIFS('Timesheet Raw'!$P$4:$P$8000,'Timesheet Raw'!$B$4:$B$8000,TRIM($A442),'Timesheet Raw'!$C$4:$C$8000,"*"&amp;$B442&amp;"*",'Timesheet Raw'!$L$4:$L$8000,"&gt;="&amp;Q$5,'Timesheet Raw'!$L$4:$L$8000,"&lt;="&amp;Q$6)))/'Profit Plan'!$B$5)</f>
        <v/>
      </c>
      <c r="R442" s="122" t="str">
        <f>IF($A442="","",(IF(ISNUMBER(SEARCH("Proposal",$A442)),SUMIFS('Timesheet Raw'!$P$4:$P$8000,'Timesheet Raw'!$A$4:$A$8000,IF(ISNUMBER(SEARCH("Chargable",$A442)),"2-Proposals Chargeable","3-Proposals Regular"),'Timesheet Raw'!$C$4:$C$8000,"*"&amp;$B442&amp;"*",'Timesheet Raw'!$L$4:$L$8000,"&gt;="&amp;MAX(R$5,DATE(2000+VALUE(RIGHT(TRIM($A442),2)),1,1)),'Timesheet Raw'!$L$4:$L$8000,"&lt;="&amp;MIN(R$6,DATE(2000+VALUE(RIGHT(TRIM($A442),2)),12,31))),SUMIFS('Timesheet Raw'!$P$4:$P$8000,'Timesheet Raw'!$B$4:$B$8000,TRIM($A442),'Timesheet Raw'!$C$4:$C$8000,"*"&amp;$B442&amp;"*",'Timesheet Raw'!$L$4:$L$8000,"&gt;="&amp;R$5,'Timesheet Raw'!$L$4:$L$8000,"&lt;="&amp;R$6)))/'Profit Plan'!$B$5)</f>
        <v/>
      </c>
      <c r="S442" s="122" t="str">
        <f>IF($A442="","",(IF(ISNUMBER(SEARCH("Proposal",$A442)),SUMIFS('Timesheet Raw'!$P$4:$P$8000,'Timesheet Raw'!$A$4:$A$8000,IF(ISNUMBER(SEARCH("Chargable",$A442)),"2-Proposals Chargeable","3-Proposals Regular"),'Timesheet Raw'!$C$4:$C$8000,"*"&amp;$B442&amp;"*",'Timesheet Raw'!$L$4:$L$8000,"&gt;="&amp;MAX(S$5,DATE(2000+VALUE(RIGHT(TRIM($A442),2)),1,1)),'Timesheet Raw'!$L$4:$L$8000,"&lt;="&amp;MIN(S$6,DATE(2000+VALUE(RIGHT(TRIM($A442),2)),12,31))),SUMIFS('Timesheet Raw'!$P$4:$P$8000,'Timesheet Raw'!$B$4:$B$8000,TRIM($A442),'Timesheet Raw'!$C$4:$C$8000,"*"&amp;$B442&amp;"*",'Timesheet Raw'!$L$4:$L$8000,"&gt;="&amp;S$5,'Timesheet Raw'!$L$4:$L$8000,"&lt;="&amp;S$6)))/'Profit Plan'!$B$5)</f>
        <v/>
      </c>
      <c r="T442" s="122" t="str">
        <f>IF($A442="","",(IF(ISNUMBER(SEARCH("Proposal",$A442)),SUMIFS('Timesheet Raw'!$P$4:$P$8000,'Timesheet Raw'!$A$4:$A$8000,IF(ISNUMBER(SEARCH("Chargable",$A442)),"2-Proposals Chargeable","3-Proposals Regular"),'Timesheet Raw'!$C$4:$C$8000,"*"&amp;$B442&amp;"*",'Timesheet Raw'!$L$4:$L$8000,"&gt;="&amp;MAX(T$5,DATE(2000+VALUE(RIGHT(TRIM($A442),2)),1,1)),'Timesheet Raw'!$L$4:$L$8000,"&lt;="&amp;MIN(T$6,DATE(2000+VALUE(RIGHT(TRIM($A442),2)),12,31))),SUMIFS('Timesheet Raw'!$P$4:$P$8000,'Timesheet Raw'!$B$4:$B$8000,TRIM($A442),'Timesheet Raw'!$C$4:$C$8000,"*"&amp;$B442&amp;"*",'Timesheet Raw'!$L$4:$L$8000,"&gt;="&amp;T$5,'Timesheet Raw'!$L$4:$L$8000,"&lt;="&amp;T$6)))/'Profit Plan'!$B$5)</f>
        <v/>
      </c>
      <c r="U442" s="122" t="str">
        <f>IF($A442="","",(IF(ISNUMBER(SEARCH("Proposal",$A442)),SUMIFS('Timesheet Raw'!$P$4:$P$8000,'Timesheet Raw'!$A$4:$A$8000,IF(ISNUMBER(SEARCH("Chargable",$A442)),"2-Proposals Chargeable","3-Proposals Regular"),'Timesheet Raw'!$C$4:$C$8000,"*"&amp;$B442&amp;"*",'Timesheet Raw'!$L$4:$L$8000,"&gt;="&amp;MAX(U$5,DATE(2000+VALUE(RIGHT(TRIM($A442),2)),1,1)),'Timesheet Raw'!$L$4:$L$8000,"&lt;="&amp;MIN(U$6,DATE(2000+VALUE(RIGHT(TRIM($A442),2)),12,31))),SUMIFS('Timesheet Raw'!$P$4:$P$8000,'Timesheet Raw'!$B$4:$B$8000,TRIM($A442),'Timesheet Raw'!$C$4:$C$8000,"*"&amp;$B442&amp;"*",'Timesheet Raw'!$L$4:$L$8000,"&gt;="&amp;U$5,'Timesheet Raw'!$L$4:$L$8000,"&lt;="&amp;U$6)))/'Profit Plan'!$B$5)</f>
        <v/>
      </c>
      <c r="V442" s="122" t="str">
        <f>IF($A442="","",(IF(ISNUMBER(SEARCH("Proposal",$A442)),SUMIFS('Timesheet Raw'!$P$4:$P$8000,'Timesheet Raw'!$A$4:$A$8000,IF(ISNUMBER(SEARCH("Chargable",$A442)),"2-Proposals Chargeable","3-Proposals Regular"),'Timesheet Raw'!$C$4:$C$8000,"*"&amp;$B442&amp;"*",'Timesheet Raw'!$L$4:$L$8000,"&gt;="&amp;MAX(V$5,DATE(2000+VALUE(RIGHT(TRIM($A442),2)),1,1)),'Timesheet Raw'!$L$4:$L$8000,"&lt;="&amp;MIN(V$6,DATE(2000+VALUE(RIGHT(TRIM($A442),2)),12,31))),SUMIFS('Timesheet Raw'!$P$4:$P$8000,'Timesheet Raw'!$B$4:$B$8000,TRIM($A442),'Timesheet Raw'!$C$4:$C$8000,"*"&amp;$B442&amp;"*",'Timesheet Raw'!$L$4:$L$8000,"&gt;="&amp;V$5,'Timesheet Raw'!$L$4:$L$8000,"&lt;="&amp;V$6)))/'Profit Plan'!$B$5)</f>
        <v/>
      </c>
      <c r="W442" s="122" t="str">
        <f>IF($A442="","",(IF(ISNUMBER(SEARCH("Proposal",$A442)),SUMIFS('Timesheet Raw'!$P$4:$P$8000,'Timesheet Raw'!$A$4:$A$8000,IF(ISNUMBER(SEARCH("Chargable",$A442)),"2-Proposals Chargeable","3-Proposals Regular"),'Timesheet Raw'!$C$4:$C$8000,"*"&amp;$B442&amp;"*",'Timesheet Raw'!$L$4:$L$8000,"&gt;="&amp;MAX(W$5,DATE(2000+VALUE(RIGHT(TRIM($A442),2)),1,1)),'Timesheet Raw'!$L$4:$L$8000,"&lt;="&amp;MIN(W$6,DATE(2000+VALUE(RIGHT(TRIM($A442),2)),12,31))),SUMIFS('Timesheet Raw'!$P$4:$P$8000,'Timesheet Raw'!$B$4:$B$8000,TRIM($A442),'Timesheet Raw'!$C$4:$C$8000,"*"&amp;$B442&amp;"*",'Timesheet Raw'!$L$4:$L$8000,"&gt;="&amp;W$5,'Timesheet Raw'!$L$4:$L$8000,"&lt;="&amp;W$6)))/'Profit Plan'!$B$5)</f>
        <v/>
      </c>
      <c r="X442" s="122" t="str">
        <f>IF($A442="","",(IF(ISNUMBER(SEARCH("Proposal",$A442)),SUMIFS('Timesheet Raw'!$P$4:$P$8000,'Timesheet Raw'!$A$4:$A$8000,IF(ISNUMBER(SEARCH("Chargable",$A442)),"2-Proposals Chargeable","3-Proposals Regular"),'Timesheet Raw'!$C$4:$C$8000,"*"&amp;$B442&amp;"*",'Timesheet Raw'!$L$4:$L$8000,"&gt;="&amp;MAX(X$5,DATE(2000+VALUE(RIGHT(TRIM($A442),2)),1,1)),'Timesheet Raw'!$L$4:$L$8000,"&lt;="&amp;MIN(X$6,DATE(2000+VALUE(RIGHT(TRIM($A442),2)),12,31))),SUMIFS('Timesheet Raw'!$P$4:$P$8000,'Timesheet Raw'!$B$4:$B$8000,TRIM($A442),'Timesheet Raw'!$C$4:$C$8000,"*"&amp;$B442&amp;"*",'Timesheet Raw'!$L$4:$L$8000,"&gt;="&amp;X$5,'Timesheet Raw'!$L$4:$L$8000,"&lt;="&amp;X$6)))/'Profit Plan'!$B$5)</f>
        <v/>
      </c>
      <c r="Y442" s="118">
        <f t="shared" si="102"/>
        <v>0</v>
      </c>
    </row>
    <row r="443" spans="1:25" x14ac:dyDescent="0.3">
      <c r="A443" s="116" t="str">
        <f>IF(Inputs!$A65="","",Inputs!$A65)</f>
        <v/>
      </c>
      <c r="B443" s="116" t="str">
        <f>IF(Inputs!$A65="","",Inputs!$A$92)</f>
        <v/>
      </c>
      <c r="C443" s="116"/>
      <c r="D443" s="122" t="str">
        <f>IF($A443="","",(IF(ISNUMBER(SEARCH("Proposal",$A443)),SUMIFS('Timesheet Raw'!$P$4:$P$8000,'Timesheet Raw'!$A$4:$A$8000,IF(ISNUMBER(SEARCH("Chargable",$A443)),"2-Proposals Chargeable","3-Proposals Regular"),'Timesheet Raw'!$C$4:$C$8000,"*"&amp;$B443&amp;"*",'Timesheet Raw'!$L$4:$L$8000,"&gt;="&amp;MAX(D$5,DATE(2000+VALUE(RIGHT(TRIM($A443),2)),1,1)),'Timesheet Raw'!$L$4:$L$8000,"&lt;="&amp;MIN(D$6,DATE(2000+VALUE(RIGHT(TRIM($A443),2)),12,31))),SUMIFS('Timesheet Raw'!$P$4:$P$8000,'Timesheet Raw'!$B$4:$B$8000,TRIM($A443),'Timesheet Raw'!$C$4:$C$8000,"*"&amp;$B443&amp;"*",'Timesheet Raw'!$L$4:$L$8000,"&gt;="&amp;D$5,'Timesheet Raw'!$L$4:$L$8000,"&lt;="&amp;D$6)))/'Profit Plan'!$B$5)</f>
        <v/>
      </c>
      <c r="E443" s="122" t="str">
        <f>IF($A443="","",(IF(ISNUMBER(SEARCH("Proposal",$A443)),SUMIFS('Timesheet Raw'!$P$4:$P$8000,'Timesheet Raw'!$A$4:$A$8000,IF(ISNUMBER(SEARCH("Chargable",$A443)),"2-Proposals Chargeable","3-Proposals Regular"),'Timesheet Raw'!$C$4:$C$8000,"*"&amp;$B443&amp;"*",'Timesheet Raw'!$L$4:$L$8000,"&gt;="&amp;MAX(E$5,DATE(2000+VALUE(RIGHT(TRIM($A443),2)),1,1)),'Timesheet Raw'!$L$4:$L$8000,"&lt;="&amp;MIN(E$6,DATE(2000+VALUE(RIGHT(TRIM($A443),2)),12,31))),SUMIFS('Timesheet Raw'!$P$4:$P$8000,'Timesheet Raw'!$B$4:$B$8000,TRIM($A443),'Timesheet Raw'!$C$4:$C$8000,"*"&amp;$B443&amp;"*",'Timesheet Raw'!$L$4:$L$8000,"&gt;="&amp;E$5,'Timesheet Raw'!$L$4:$L$8000,"&lt;="&amp;E$6)))/'Profit Plan'!$B$5)</f>
        <v/>
      </c>
      <c r="F443" s="122" t="str">
        <f>IF($A443="","",(IF(ISNUMBER(SEARCH("Proposal",$A443)),SUMIFS('Timesheet Raw'!$P$4:$P$8000,'Timesheet Raw'!$A$4:$A$8000,IF(ISNUMBER(SEARCH("Chargable",$A443)),"2-Proposals Chargeable","3-Proposals Regular"),'Timesheet Raw'!$C$4:$C$8000,"*"&amp;$B443&amp;"*",'Timesheet Raw'!$L$4:$L$8000,"&gt;="&amp;MAX(F$5,DATE(2000+VALUE(RIGHT(TRIM($A443),2)),1,1)),'Timesheet Raw'!$L$4:$L$8000,"&lt;="&amp;MIN(F$6,DATE(2000+VALUE(RIGHT(TRIM($A443),2)),12,31))),SUMIFS('Timesheet Raw'!$P$4:$P$8000,'Timesheet Raw'!$B$4:$B$8000,TRIM($A443),'Timesheet Raw'!$C$4:$C$8000,"*"&amp;$B443&amp;"*",'Timesheet Raw'!$L$4:$L$8000,"&gt;="&amp;F$5,'Timesheet Raw'!$L$4:$L$8000,"&lt;="&amp;F$6)))/'Profit Plan'!$B$5)</f>
        <v/>
      </c>
      <c r="G443" s="122" t="str">
        <f>IF($A443="","",(IF(ISNUMBER(SEARCH("Proposal",$A443)),SUMIFS('Timesheet Raw'!$P$4:$P$8000,'Timesheet Raw'!$A$4:$A$8000,IF(ISNUMBER(SEARCH("Chargable",$A443)),"2-Proposals Chargeable","3-Proposals Regular"),'Timesheet Raw'!$C$4:$C$8000,"*"&amp;$B443&amp;"*",'Timesheet Raw'!$L$4:$L$8000,"&gt;="&amp;MAX(G$5,DATE(2000+VALUE(RIGHT(TRIM($A443),2)),1,1)),'Timesheet Raw'!$L$4:$L$8000,"&lt;="&amp;MIN(G$6,DATE(2000+VALUE(RIGHT(TRIM($A443),2)),12,31))),SUMIFS('Timesheet Raw'!$P$4:$P$8000,'Timesheet Raw'!$B$4:$B$8000,TRIM($A443),'Timesheet Raw'!$C$4:$C$8000,"*"&amp;$B443&amp;"*",'Timesheet Raw'!$L$4:$L$8000,"&gt;="&amp;G$5,'Timesheet Raw'!$L$4:$L$8000,"&lt;="&amp;G$6)))/'Profit Plan'!$B$5)</f>
        <v/>
      </c>
      <c r="H443" s="122" t="str">
        <f>IF($A443="","",(IF(ISNUMBER(SEARCH("Proposal",$A443)),SUMIFS('Timesheet Raw'!$P$4:$P$8000,'Timesheet Raw'!$A$4:$A$8000,IF(ISNUMBER(SEARCH("Chargable",$A443)),"2-Proposals Chargeable","3-Proposals Regular"),'Timesheet Raw'!$C$4:$C$8000,"*"&amp;$B443&amp;"*",'Timesheet Raw'!$L$4:$L$8000,"&gt;="&amp;MAX(H$5,DATE(2000+VALUE(RIGHT(TRIM($A443),2)),1,1)),'Timesheet Raw'!$L$4:$L$8000,"&lt;="&amp;MIN(H$6,DATE(2000+VALUE(RIGHT(TRIM($A443),2)),12,31))),SUMIFS('Timesheet Raw'!$P$4:$P$8000,'Timesheet Raw'!$B$4:$B$8000,TRIM($A443),'Timesheet Raw'!$C$4:$C$8000,"*"&amp;$B443&amp;"*",'Timesheet Raw'!$L$4:$L$8000,"&gt;="&amp;H$5,'Timesheet Raw'!$L$4:$L$8000,"&lt;="&amp;H$6)))/'Profit Plan'!$B$5)</f>
        <v/>
      </c>
      <c r="I443" s="122" t="str">
        <f>IF($A443="","",(IF(ISNUMBER(SEARCH("Proposal",$A443)),SUMIFS('Timesheet Raw'!$P$4:$P$8000,'Timesheet Raw'!$A$4:$A$8000,IF(ISNUMBER(SEARCH("Chargable",$A443)),"2-Proposals Chargeable","3-Proposals Regular"),'Timesheet Raw'!$C$4:$C$8000,"*"&amp;$B443&amp;"*",'Timesheet Raw'!$L$4:$L$8000,"&gt;="&amp;MAX(I$5,DATE(2000+VALUE(RIGHT(TRIM($A443),2)),1,1)),'Timesheet Raw'!$L$4:$L$8000,"&lt;="&amp;MIN(I$6,DATE(2000+VALUE(RIGHT(TRIM($A443),2)),12,31))),SUMIFS('Timesheet Raw'!$P$4:$P$8000,'Timesheet Raw'!$B$4:$B$8000,TRIM($A443),'Timesheet Raw'!$C$4:$C$8000,"*"&amp;$B443&amp;"*",'Timesheet Raw'!$L$4:$L$8000,"&gt;="&amp;I$5,'Timesheet Raw'!$L$4:$L$8000,"&lt;="&amp;I$6)))/'Profit Plan'!$B$5)</f>
        <v/>
      </c>
      <c r="J443" s="122" t="str">
        <f>IF($A443="","",(IF(ISNUMBER(SEARCH("Proposal",$A443)),SUMIFS('Timesheet Raw'!$P$4:$P$8000,'Timesheet Raw'!$A$4:$A$8000,IF(ISNUMBER(SEARCH("Chargable",$A443)),"2-Proposals Chargeable","3-Proposals Regular"),'Timesheet Raw'!$C$4:$C$8000,"*"&amp;$B443&amp;"*",'Timesheet Raw'!$L$4:$L$8000,"&gt;="&amp;MAX(J$5,DATE(2000+VALUE(RIGHT(TRIM($A443),2)),1,1)),'Timesheet Raw'!$L$4:$L$8000,"&lt;="&amp;MIN(J$6,DATE(2000+VALUE(RIGHT(TRIM($A443),2)),12,31))),SUMIFS('Timesheet Raw'!$P$4:$P$8000,'Timesheet Raw'!$B$4:$B$8000,TRIM($A443),'Timesheet Raw'!$C$4:$C$8000,"*"&amp;$B443&amp;"*",'Timesheet Raw'!$L$4:$L$8000,"&gt;="&amp;J$5,'Timesheet Raw'!$L$4:$L$8000,"&lt;="&amp;J$6)))/'Profit Plan'!$B$5)</f>
        <v/>
      </c>
      <c r="K443" s="122" t="str">
        <f>IF($A443="","",(IF(ISNUMBER(SEARCH("Proposal",$A443)),SUMIFS('Timesheet Raw'!$P$4:$P$8000,'Timesheet Raw'!$A$4:$A$8000,IF(ISNUMBER(SEARCH("Chargable",$A443)),"2-Proposals Chargeable","3-Proposals Regular"),'Timesheet Raw'!$C$4:$C$8000,"*"&amp;$B443&amp;"*",'Timesheet Raw'!$L$4:$L$8000,"&gt;="&amp;MAX(K$5,DATE(2000+VALUE(RIGHT(TRIM($A443),2)),1,1)),'Timesheet Raw'!$L$4:$L$8000,"&lt;="&amp;MIN(K$6,DATE(2000+VALUE(RIGHT(TRIM($A443),2)),12,31))),SUMIFS('Timesheet Raw'!$P$4:$P$8000,'Timesheet Raw'!$B$4:$B$8000,TRIM($A443),'Timesheet Raw'!$C$4:$C$8000,"*"&amp;$B443&amp;"*",'Timesheet Raw'!$L$4:$L$8000,"&gt;="&amp;K$5,'Timesheet Raw'!$L$4:$L$8000,"&lt;="&amp;K$6)))/'Profit Plan'!$B$5)</f>
        <v/>
      </c>
      <c r="L443" s="122" t="str">
        <f>IF($A443="","",(IF(ISNUMBER(SEARCH("Proposal",$A443)),SUMIFS('Timesheet Raw'!$P$4:$P$8000,'Timesheet Raw'!$A$4:$A$8000,IF(ISNUMBER(SEARCH("Chargable",$A443)),"2-Proposals Chargeable","3-Proposals Regular"),'Timesheet Raw'!$C$4:$C$8000,"*"&amp;$B443&amp;"*",'Timesheet Raw'!$L$4:$L$8000,"&gt;="&amp;MAX(L$5,DATE(2000+VALUE(RIGHT(TRIM($A443),2)),1,1)),'Timesheet Raw'!$L$4:$L$8000,"&lt;="&amp;MIN(L$6,DATE(2000+VALUE(RIGHT(TRIM($A443),2)),12,31))),SUMIFS('Timesheet Raw'!$P$4:$P$8000,'Timesheet Raw'!$B$4:$B$8000,TRIM($A443),'Timesheet Raw'!$C$4:$C$8000,"*"&amp;$B443&amp;"*",'Timesheet Raw'!$L$4:$L$8000,"&gt;="&amp;L$5,'Timesheet Raw'!$L$4:$L$8000,"&lt;="&amp;L$6)))/'Profit Plan'!$B$5)</f>
        <v/>
      </c>
      <c r="M443" s="122" t="str">
        <f>IF($A443="","",(IF(ISNUMBER(SEARCH("Proposal",$A443)),SUMIFS('Timesheet Raw'!$P$4:$P$8000,'Timesheet Raw'!$A$4:$A$8000,IF(ISNUMBER(SEARCH("Chargable",$A443)),"2-Proposals Chargeable","3-Proposals Regular"),'Timesheet Raw'!$C$4:$C$8000,"*"&amp;$B443&amp;"*",'Timesheet Raw'!$L$4:$L$8000,"&gt;="&amp;MAX(M$5,DATE(2000+VALUE(RIGHT(TRIM($A443),2)),1,1)),'Timesheet Raw'!$L$4:$L$8000,"&lt;="&amp;MIN(M$6,DATE(2000+VALUE(RIGHT(TRIM($A443),2)),12,31))),SUMIFS('Timesheet Raw'!$P$4:$P$8000,'Timesheet Raw'!$B$4:$B$8000,TRIM($A443),'Timesheet Raw'!$C$4:$C$8000,"*"&amp;$B443&amp;"*",'Timesheet Raw'!$L$4:$L$8000,"&gt;="&amp;M$5,'Timesheet Raw'!$L$4:$L$8000,"&lt;="&amp;M$6)))/'Profit Plan'!$B$5)</f>
        <v/>
      </c>
      <c r="N443" s="122" t="str">
        <f>IF($A443="","",(IF(ISNUMBER(SEARCH("Proposal",$A443)),SUMIFS('Timesheet Raw'!$P$4:$P$8000,'Timesheet Raw'!$A$4:$A$8000,IF(ISNUMBER(SEARCH("Chargable",$A443)),"2-Proposals Chargeable","3-Proposals Regular"),'Timesheet Raw'!$C$4:$C$8000,"*"&amp;$B443&amp;"*",'Timesheet Raw'!$L$4:$L$8000,"&gt;="&amp;MAX(N$5,DATE(2000+VALUE(RIGHT(TRIM($A443),2)),1,1)),'Timesheet Raw'!$L$4:$L$8000,"&lt;="&amp;MIN(N$6,DATE(2000+VALUE(RIGHT(TRIM($A443),2)),12,31))),SUMIFS('Timesheet Raw'!$P$4:$P$8000,'Timesheet Raw'!$B$4:$B$8000,TRIM($A443),'Timesheet Raw'!$C$4:$C$8000,"*"&amp;$B443&amp;"*",'Timesheet Raw'!$L$4:$L$8000,"&gt;="&amp;N$5,'Timesheet Raw'!$L$4:$L$8000,"&lt;="&amp;N$6)))/'Profit Plan'!$B$5)</f>
        <v/>
      </c>
      <c r="O443" s="122" t="str">
        <f>IF($A443="","",(IF(ISNUMBER(SEARCH("Proposal",$A443)),SUMIFS('Timesheet Raw'!$P$4:$P$8000,'Timesheet Raw'!$A$4:$A$8000,IF(ISNUMBER(SEARCH("Chargable",$A443)),"2-Proposals Chargeable","3-Proposals Regular"),'Timesheet Raw'!$C$4:$C$8000,"*"&amp;$B443&amp;"*",'Timesheet Raw'!$L$4:$L$8000,"&gt;="&amp;MAX(O$5,DATE(2000+VALUE(RIGHT(TRIM($A443),2)),1,1)),'Timesheet Raw'!$L$4:$L$8000,"&lt;="&amp;MIN(O$6,DATE(2000+VALUE(RIGHT(TRIM($A443),2)),12,31))),SUMIFS('Timesheet Raw'!$P$4:$P$8000,'Timesheet Raw'!$B$4:$B$8000,TRIM($A443),'Timesheet Raw'!$C$4:$C$8000,"*"&amp;$B443&amp;"*",'Timesheet Raw'!$L$4:$L$8000,"&gt;="&amp;O$5,'Timesheet Raw'!$L$4:$L$8000,"&lt;="&amp;O$6)))/'Profit Plan'!$B$5)</f>
        <v/>
      </c>
      <c r="P443" s="122" t="str">
        <f>IF($A443="","",(IF(ISNUMBER(SEARCH("Proposal",$A443)),SUMIFS('Timesheet Raw'!$P$4:$P$8000,'Timesheet Raw'!$A$4:$A$8000,IF(ISNUMBER(SEARCH("Chargable",$A443)),"2-Proposals Chargeable","3-Proposals Regular"),'Timesheet Raw'!$C$4:$C$8000,"*"&amp;$B443&amp;"*",'Timesheet Raw'!$L$4:$L$8000,"&gt;="&amp;MAX(P$5,DATE(2000+VALUE(RIGHT(TRIM($A443),2)),1,1)),'Timesheet Raw'!$L$4:$L$8000,"&lt;="&amp;MIN(P$6,DATE(2000+VALUE(RIGHT(TRIM($A443),2)),12,31))),SUMIFS('Timesheet Raw'!$P$4:$P$8000,'Timesheet Raw'!$B$4:$B$8000,TRIM($A443),'Timesheet Raw'!$C$4:$C$8000,"*"&amp;$B443&amp;"*",'Timesheet Raw'!$L$4:$L$8000,"&gt;="&amp;P$5,'Timesheet Raw'!$L$4:$L$8000,"&lt;="&amp;P$6)))/'Profit Plan'!$B$5)</f>
        <v/>
      </c>
      <c r="Q443" s="122" t="str">
        <f>IF($A443="","",(IF(ISNUMBER(SEARCH("Proposal",$A443)),SUMIFS('Timesheet Raw'!$P$4:$P$8000,'Timesheet Raw'!$A$4:$A$8000,IF(ISNUMBER(SEARCH("Chargable",$A443)),"2-Proposals Chargeable","3-Proposals Regular"),'Timesheet Raw'!$C$4:$C$8000,"*"&amp;$B443&amp;"*",'Timesheet Raw'!$L$4:$L$8000,"&gt;="&amp;MAX(Q$5,DATE(2000+VALUE(RIGHT(TRIM($A443),2)),1,1)),'Timesheet Raw'!$L$4:$L$8000,"&lt;="&amp;MIN(Q$6,DATE(2000+VALUE(RIGHT(TRIM($A443),2)),12,31))),SUMIFS('Timesheet Raw'!$P$4:$P$8000,'Timesheet Raw'!$B$4:$B$8000,TRIM($A443),'Timesheet Raw'!$C$4:$C$8000,"*"&amp;$B443&amp;"*",'Timesheet Raw'!$L$4:$L$8000,"&gt;="&amp;Q$5,'Timesheet Raw'!$L$4:$L$8000,"&lt;="&amp;Q$6)))/'Profit Plan'!$B$5)</f>
        <v/>
      </c>
      <c r="R443" s="122" t="str">
        <f>IF($A443="","",(IF(ISNUMBER(SEARCH("Proposal",$A443)),SUMIFS('Timesheet Raw'!$P$4:$P$8000,'Timesheet Raw'!$A$4:$A$8000,IF(ISNUMBER(SEARCH("Chargable",$A443)),"2-Proposals Chargeable","3-Proposals Regular"),'Timesheet Raw'!$C$4:$C$8000,"*"&amp;$B443&amp;"*",'Timesheet Raw'!$L$4:$L$8000,"&gt;="&amp;MAX(R$5,DATE(2000+VALUE(RIGHT(TRIM($A443),2)),1,1)),'Timesheet Raw'!$L$4:$L$8000,"&lt;="&amp;MIN(R$6,DATE(2000+VALUE(RIGHT(TRIM($A443),2)),12,31))),SUMIFS('Timesheet Raw'!$P$4:$P$8000,'Timesheet Raw'!$B$4:$B$8000,TRIM($A443),'Timesheet Raw'!$C$4:$C$8000,"*"&amp;$B443&amp;"*",'Timesheet Raw'!$L$4:$L$8000,"&gt;="&amp;R$5,'Timesheet Raw'!$L$4:$L$8000,"&lt;="&amp;R$6)))/'Profit Plan'!$B$5)</f>
        <v/>
      </c>
      <c r="S443" s="122" t="str">
        <f>IF($A443="","",(IF(ISNUMBER(SEARCH("Proposal",$A443)),SUMIFS('Timesheet Raw'!$P$4:$P$8000,'Timesheet Raw'!$A$4:$A$8000,IF(ISNUMBER(SEARCH("Chargable",$A443)),"2-Proposals Chargeable","3-Proposals Regular"),'Timesheet Raw'!$C$4:$C$8000,"*"&amp;$B443&amp;"*",'Timesheet Raw'!$L$4:$L$8000,"&gt;="&amp;MAX(S$5,DATE(2000+VALUE(RIGHT(TRIM($A443),2)),1,1)),'Timesheet Raw'!$L$4:$L$8000,"&lt;="&amp;MIN(S$6,DATE(2000+VALUE(RIGHT(TRIM($A443),2)),12,31))),SUMIFS('Timesheet Raw'!$P$4:$P$8000,'Timesheet Raw'!$B$4:$B$8000,TRIM($A443),'Timesheet Raw'!$C$4:$C$8000,"*"&amp;$B443&amp;"*",'Timesheet Raw'!$L$4:$L$8000,"&gt;="&amp;S$5,'Timesheet Raw'!$L$4:$L$8000,"&lt;="&amp;S$6)))/'Profit Plan'!$B$5)</f>
        <v/>
      </c>
      <c r="T443" s="122" t="str">
        <f>IF($A443="","",(IF(ISNUMBER(SEARCH("Proposal",$A443)),SUMIFS('Timesheet Raw'!$P$4:$P$8000,'Timesheet Raw'!$A$4:$A$8000,IF(ISNUMBER(SEARCH("Chargable",$A443)),"2-Proposals Chargeable","3-Proposals Regular"),'Timesheet Raw'!$C$4:$C$8000,"*"&amp;$B443&amp;"*",'Timesheet Raw'!$L$4:$L$8000,"&gt;="&amp;MAX(T$5,DATE(2000+VALUE(RIGHT(TRIM($A443),2)),1,1)),'Timesheet Raw'!$L$4:$L$8000,"&lt;="&amp;MIN(T$6,DATE(2000+VALUE(RIGHT(TRIM($A443),2)),12,31))),SUMIFS('Timesheet Raw'!$P$4:$P$8000,'Timesheet Raw'!$B$4:$B$8000,TRIM($A443),'Timesheet Raw'!$C$4:$C$8000,"*"&amp;$B443&amp;"*",'Timesheet Raw'!$L$4:$L$8000,"&gt;="&amp;T$5,'Timesheet Raw'!$L$4:$L$8000,"&lt;="&amp;T$6)))/'Profit Plan'!$B$5)</f>
        <v/>
      </c>
      <c r="U443" s="122" t="str">
        <f>IF($A443="","",(IF(ISNUMBER(SEARCH("Proposal",$A443)),SUMIFS('Timesheet Raw'!$P$4:$P$8000,'Timesheet Raw'!$A$4:$A$8000,IF(ISNUMBER(SEARCH("Chargable",$A443)),"2-Proposals Chargeable","3-Proposals Regular"),'Timesheet Raw'!$C$4:$C$8000,"*"&amp;$B443&amp;"*",'Timesheet Raw'!$L$4:$L$8000,"&gt;="&amp;MAX(U$5,DATE(2000+VALUE(RIGHT(TRIM($A443),2)),1,1)),'Timesheet Raw'!$L$4:$L$8000,"&lt;="&amp;MIN(U$6,DATE(2000+VALUE(RIGHT(TRIM($A443),2)),12,31))),SUMIFS('Timesheet Raw'!$P$4:$P$8000,'Timesheet Raw'!$B$4:$B$8000,TRIM($A443),'Timesheet Raw'!$C$4:$C$8000,"*"&amp;$B443&amp;"*",'Timesheet Raw'!$L$4:$L$8000,"&gt;="&amp;U$5,'Timesheet Raw'!$L$4:$L$8000,"&lt;="&amp;U$6)))/'Profit Plan'!$B$5)</f>
        <v/>
      </c>
      <c r="V443" s="122" t="str">
        <f>IF($A443="","",(IF(ISNUMBER(SEARCH("Proposal",$A443)),SUMIFS('Timesheet Raw'!$P$4:$P$8000,'Timesheet Raw'!$A$4:$A$8000,IF(ISNUMBER(SEARCH("Chargable",$A443)),"2-Proposals Chargeable","3-Proposals Regular"),'Timesheet Raw'!$C$4:$C$8000,"*"&amp;$B443&amp;"*",'Timesheet Raw'!$L$4:$L$8000,"&gt;="&amp;MAX(V$5,DATE(2000+VALUE(RIGHT(TRIM($A443),2)),1,1)),'Timesheet Raw'!$L$4:$L$8000,"&lt;="&amp;MIN(V$6,DATE(2000+VALUE(RIGHT(TRIM($A443),2)),12,31))),SUMIFS('Timesheet Raw'!$P$4:$P$8000,'Timesheet Raw'!$B$4:$B$8000,TRIM($A443),'Timesheet Raw'!$C$4:$C$8000,"*"&amp;$B443&amp;"*",'Timesheet Raw'!$L$4:$L$8000,"&gt;="&amp;V$5,'Timesheet Raw'!$L$4:$L$8000,"&lt;="&amp;V$6)))/'Profit Plan'!$B$5)</f>
        <v/>
      </c>
      <c r="W443" s="122" t="str">
        <f>IF($A443="","",(IF(ISNUMBER(SEARCH("Proposal",$A443)),SUMIFS('Timesheet Raw'!$P$4:$P$8000,'Timesheet Raw'!$A$4:$A$8000,IF(ISNUMBER(SEARCH("Chargable",$A443)),"2-Proposals Chargeable","3-Proposals Regular"),'Timesheet Raw'!$C$4:$C$8000,"*"&amp;$B443&amp;"*",'Timesheet Raw'!$L$4:$L$8000,"&gt;="&amp;MAX(W$5,DATE(2000+VALUE(RIGHT(TRIM($A443),2)),1,1)),'Timesheet Raw'!$L$4:$L$8000,"&lt;="&amp;MIN(W$6,DATE(2000+VALUE(RIGHT(TRIM($A443),2)),12,31))),SUMIFS('Timesheet Raw'!$P$4:$P$8000,'Timesheet Raw'!$B$4:$B$8000,TRIM($A443),'Timesheet Raw'!$C$4:$C$8000,"*"&amp;$B443&amp;"*",'Timesheet Raw'!$L$4:$L$8000,"&gt;="&amp;W$5,'Timesheet Raw'!$L$4:$L$8000,"&lt;="&amp;W$6)))/'Profit Plan'!$B$5)</f>
        <v/>
      </c>
      <c r="X443" s="122" t="str">
        <f>IF($A443="","",(IF(ISNUMBER(SEARCH("Proposal",$A443)),SUMIFS('Timesheet Raw'!$P$4:$P$8000,'Timesheet Raw'!$A$4:$A$8000,IF(ISNUMBER(SEARCH("Chargable",$A443)),"2-Proposals Chargeable","3-Proposals Regular"),'Timesheet Raw'!$C$4:$C$8000,"*"&amp;$B443&amp;"*",'Timesheet Raw'!$L$4:$L$8000,"&gt;="&amp;MAX(X$5,DATE(2000+VALUE(RIGHT(TRIM($A443),2)),1,1)),'Timesheet Raw'!$L$4:$L$8000,"&lt;="&amp;MIN(X$6,DATE(2000+VALUE(RIGHT(TRIM($A443),2)),12,31))),SUMIFS('Timesheet Raw'!$P$4:$P$8000,'Timesheet Raw'!$B$4:$B$8000,TRIM($A443),'Timesheet Raw'!$C$4:$C$8000,"*"&amp;$B443&amp;"*",'Timesheet Raw'!$L$4:$L$8000,"&gt;="&amp;X$5,'Timesheet Raw'!$L$4:$L$8000,"&lt;="&amp;X$6)))/'Profit Plan'!$B$5)</f>
        <v/>
      </c>
      <c r="Y443" s="118">
        <f t="shared" si="102"/>
        <v>0</v>
      </c>
    </row>
    <row r="444" spans="1:25" x14ac:dyDescent="0.3">
      <c r="A444" s="116" t="str">
        <f>IF(Inputs!$A65="","",Inputs!$A65)</f>
        <v/>
      </c>
      <c r="B444" s="116" t="str">
        <f>IF(Inputs!$A65="","",Inputs!$A$93)</f>
        <v/>
      </c>
      <c r="C444" s="116"/>
      <c r="D444" s="122" t="str">
        <f>IF($A444="","",(IF(ISNUMBER(SEARCH("Proposal",$A444)),SUMIFS('Timesheet Raw'!$P$4:$P$8000,'Timesheet Raw'!$A$4:$A$8000,IF(ISNUMBER(SEARCH("Chargable",$A444)),"2-Proposals Chargeable","3-Proposals Regular"),'Timesheet Raw'!$C$4:$C$8000,"*"&amp;$B444&amp;"*",'Timesheet Raw'!$L$4:$L$8000,"&gt;="&amp;MAX(D$5,DATE(2000+VALUE(RIGHT(TRIM($A444),2)),1,1)),'Timesheet Raw'!$L$4:$L$8000,"&lt;="&amp;MIN(D$6,DATE(2000+VALUE(RIGHT(TRIM($A444),2)),12,31))),SUMIFS('Timesheet Raw'!$P$4:$P$8000,'Timesheet Raw'!$B$4:$B$8000,TRIM($A444),'Timesheet Raw'!$C$4:$C$8000,"*"&amp;$B444&amp;"*",'Timesheet Raw'!$L$4:$L$8000,"&gt;="&amp;D$5,'Timesheet Raw'!$L$4:$L$8000,"&lt;="&amp;D$6)))/'Profit Plan'!$B$5)</f>
        <v/>
      </c>
      <c r="E444" s="122" t="str">
        <f>IF($A444="","",(IF(ISNUMBER(SEARCH("Proposal",$A444)),SUMIFS('Timesheet Raw'!$P$4:$P$8000,'Timesheet Raw'!$A$4:$A$8000,IF(ISNUMBER(SEARCH("Chargable",$A444)),"2-Proposals Chargeable","3-Proposals Regular"),'Timesheet Raw'!$C$4:$C$8000,"*"&amp;$B444&amp;"*",'Timesheet Raw'!$L$4:$L$8000,"&gt;="&amp;MAX(E$5,DATE(2000+VALUE(RIGHT(TRIM($A444),2)),1,1)),'Timesheet Raw'!$L$4:$L$8000,"&lt;="&amp;MIN(E$6,DATE(2000+VALUE(RIGHT(TRIM($A444),2)),12,31))),SUMIFS('Timesheet Raw'!$P$4:$P$8000,'Timesheet Raw'!$B$4:$B$8000,TRIM($A444),'Timesheet Raw'!$C$4:$C$8000,"*"&amp;$B444&amp;"*",'Timesheet Raw'!$L$4:$L$8000,"&gt;="&amp;E$5,'Timesheet Raw'!$L$4:$L$8000,"&lt;="&amp;E$6)))/'Profit Plan'!$B$5)</f>
        <v/>
      </c>
      <c r="F444" s="122" t="str">
        <f>IF($A444="","",(IF(ISNUMBER(SEARCH("Proposal",$A444)),SUMIFS('Timesheet Raw'!$P$4:$P$8000,'Timesheet Raw'!$A$4:$A$8000,IF(ISNUMBER(SEARCH("Chargable",$A444)),"2-Proposals Chargeable","3-Proposals Regular"),'Timesheet Raw'!$C$4:$C$8000,"*"&amp;$B444&amp;"*",'Timesheet Raw'!$L$4:$L$8000,"&gt;="&amp;MAX(F$5,DATE(2000+VALUE(RIGHT(TRIM($A444),2)),1,1)),'Timesheet Raw'!$L$4:$L$8000,"&lt;="&amp;MIN(F$6,DATE(2000+VALUE(RIGHT(TRIM($A444),2)),12,31))),SUMIFS('Timesheet Raw'!$P$4:$P$8000,'Timesheet Raw'!$B$4:$B$8000,TRIM($A444),'Timesheet Raw'!$C$4:$C$8000,"*"&amp;$B444&amp;"*",'Timesheet Raw'!$L$4:$L$8000,"&gt;="&amp;F$5,'Timesheet Raw'!$L$4:$L$8000,"&lt;="&amp;F$6)))/'Profit Plan'!$B$5)</f>
        <v/>
      </c>
      <c r="G444" s="122" t="str">
        <f>IF($A444="","",(IF(ISNUMBER(SEARCH("Proposal",$A444)),SUMIFS('Timesheet Raw'!$P$4:$P$8000,'Timesheet Raw'!$A$4:$A$8000,IF(ISNUMBER(SEARCH("Chargable",$A444)),"2-Proposals Chargeable","3-Proposals Regular"),'Timesheet Raw'!$C$4:$C$8000,"*"&amp;$B444&amp;"*",'Timesheet Raw'!$L$4:$L$8000,"&gt;="&amp;MAX(G$5,DATE(2000+VALUE(RIGHT(TRIM($A444),2)),1,1)),'Timesheet Raw'!$L$4:$L$8000,"&lt;="&amp;MIN(G$6,DATE(2000+VALUE(RIGHT(TRIM($A444),2)),12,31))),SUMIFS('Timesheet Raw'!$P$4:$P$8000,'Timesheet Raw'!$B$4:$B$8000,TRIM($A444),'Timesheet Raw'!$C$4:$C$8000,"*"&amp;$B444&amp;"*",'Timesheet Raw'!$L$4:$L$8000,"&gt;="&amp;G$5,'Timesheet Raw'!$L$4:$L$8000,"&lt;="&amp;G$6)))/'Profit Plan'!$B$5)</f>
        <v/>
      </c>
      <c r="H444" s="122" t="str">
        <f>IF($A444="","",(IF(ISNUMBER(SEARCH("Proposal",$A444)),SUMIFS('Timesheet Raw'!$P$4:$P$8000,'Timesheet Raw'!$A$4:$A$8000,IF(ISNUMBER(SEARCH("Chargable",$A444)),"2-Proposals Chargeable","3-Proposals Regular"),'Timesheet Raw'!$C$4:$C$8000,"*"&amp;$B444&amp;"*",'Timesheet Raw'!$L$4:$L$8000,"&gt;="&amp;MAX(H$5,DATE(2000+VALUE(RIGHT(TRIM($A444),2)),1,1)),'Timesheet Raw'!$L$4:$L$8000,"&lt;="&amp;MIN(H$6,DATE(2000+VALUE(RIGHT(TRIM($A444),2)),12,31))),SUMIFS('Timesheet Raw'!$P$4:$P$8000,'Timesheet Raw'!$B$4:$B$8000,TRIM($A444),'Timesheet Raw'!$C$4:$C$8000,"*"&amp;$B444&amp;"*",'Timesheet Raw'!$L$4:$L$8000,"&gt;="&amp;H$5,'Timesheet Raw'!$L$4:$L$8000,"&lt;="&amp;H$6)))/'Profit Plan'!$B$5)</f>
        <v/>
      </c>
      <c r="I444" s="122" t="str">
        <f>IF($A444="","",(IF(ISNUMBER(SEARCH("Proposal",$A444)),SUMIFS('Timesheet Raw'!$P$4:$P$8000,'Timesheet Raw'!$A$4:$A$8000,IF(ISNUMBER(SEARCH("Chargable",$A444)),"2-Proposals Chargeable","3-Proposals Regular"),'Timesheet Raw'!$C$4:$C$8000,"*"&amp;$B444&amp;"*",'Timesheet Raw'!$L$4:$L$8000,"&gt;="&amp;MAX(I$5,DATE(2000+VALUE(RIGHT(TRIM($A444),2)),1,1)),'Timesheet Raw'!$L$4:$L$8000,"&lt;="&amp;MIN(I$6,DATE(2000+VALUE(RIGHT(TRIM($A444),2)),12,31))),SUMIFS('Timesheet Raw'!$P$4:$P$8000,'Timesheet Raw'!$B$4:$B$8000,TRIM($A444),'Timesheet Raw'!$C$4:$C$8000,"*"&amp;$B444&amp;"*",'Timesheet Raw'!$L$4:$L$8000,"&gt;="&amp;I$5,'Timesheet Raw'!$L$4:$L$8000,"&lt;="&amp;I$6)))/'Profit Plan'!$B$5)</f>
        <v/>
      </c>
      <c r="J444" s="122" t="str">
        <f>IF($A444="","",(IF(ISNUMBER(SEARCH("Proposal",$A444)),SUMIFS('Timesheet Raw'!$P$4:$P$8000,'Timesheet Raw'!$A$4:$A$8000,IF(ISNUMBER(SEARCH("Chargable",$A444)),"2-Proposals Chargeable","3-Proposals Regular"),'Timesheet Raw'!$C$4:$C$8000,"*"&amp;$B444&amp;"*",'Timesheet Raw'!$L$4:$L$8000,"&gt;="&amp;MAX(J$5,DATE(2000+VALUE(RIGHT(TRIM($A444),2)),1,1)),'Timesheet Raw'!$L$4:$L$8000,"&lt;="&amp;MIN(J$6,DATE(2000+VALUE(RIGHT(TRIM($A444),2)),12,31))),SUMIFS('Timesheet Raw'!$P$4:$P$8000,'Timesheet Raw'!$B$4:$B$8000,TRIM($A444),'Timesheet Raw'!$C$4:$C$8000,"*"&amp;$B444&amp;"*",'Timesheet Raw'!$L$4:$L$8000,"&gt;="&amp;J$5,'Timesheet Raw'!$L$4:$L$8000,"&lt;="&amp;J$6)))/'Profit Plan'!$B$5)</f>
        <v/>
      </c>
      <c r="K444" s="122" t="str">
        <f>IF($A444="","",(IF(ISNUMBER(SEARCH("Proposal",$A444)),SUMIFS('Timesheet Raw'!$P$4:$P$8000,'Timesheet Raw'!$A$4:$A$8000,IF(ISNUMBER(SEARCH("Chargable",$A444)),"2-Proposals Chargeable","3-Proposals Regular"),'Timesheet Raw'!$C$4:$C$8000,"*"&amp;$B444&amp;"*",'Timesheet Raw'!$L$4:$L$8000,"&gt;="&amp;MAX(K$5,DATE(2000+VALUE(RIGHT(TRIM($A444),2)),1,1)),'Timesheet Raw'!$L$4:$L$8000,"&lt;="&amp;MIN(K$6,DATE(2000+VALUE(RIGHT(TRIM($A444),2)),12,31))),SUMIFS('Timesheet Raw'!$P$4:$P$8000,'Timesheet Raw'!$B$4:$B$8000,TRIM($A444),'Timesheet Raw'!$C$4:$C$8000,"*"&amp;$B444&amp;"*",'Timesheet Raw'!$L$4:$L$8000,"&gt;="&amp;K$5,'Timesheet Raw'!$L$4:$L$8000,"&lt;="&amp;K$6)))/'Profit Plan'!$B$5)</f>
        <v/>
      </c>
      <c r="L444" s="122" t="str">
        <f>IF($A444="","",(IF(ISNUMBER(SEARCH("Proposal",$A444)),SUMIFS('Timesheet Raw'!$P$4:$P$8000,'Timesheet Raw'!$A$4:$A$8000,IF(ISNUMBER(SEARCH("Chargable",$A444)),"2-Proposals Chargeable","3-Proposals Regular"),'Timesheet Raw'!$C$4:$C$8000,"*"&amp;$B444&amp;"*",'Timesheet Raw'!$L$4:$L$8000,"&gt;="&amp;MAX(L$5,DATE(2000+VALUE(RIGHT(TRIM($A444),2)),1,1)),'Timesheet Raw'!$L$4:$L$8000,"&lt;="&amp;MIN(L$6,DATE(2000+VALUE(RIGHT(TRIM($A444),2)),12,31))),SUMIFS('Timesheet Raw'!$P$4:$P$8000,'Timesheet Raw'!$B$4:$B$8000,TRIM($A444),'Timesheet Raw'!$C$4:$C$8000,"*"&amp;$B444&amp;"*",'Timesheet Raw'!$L$4:$L$8000,"&gt;="&amp;L$5,'Timesheet Raw'!$L$4:$L$8000,"&lt;="&amp;L$6)))/'Profit Plan'!$B$5)</f>
        <v/>
      </c>
      <c r="M444" s="122" t="str">
        <f>IF($A444="","",(IF(ISNUMBER(SEARCH("Proposal",$A444)),SUMIFS('Timesheet Raw'!$P$4:$P$8000,'Timesheet Raw'!$A$4:$A$8000,IF(ISNUMBER(SEARCH("Chargable",$A444)),"2-Proposals Chargeable","3-Proposals Regular"),'Timesheet Raw'!$C$4:$C$8000,"*"&amp;$B444&amp;"*",'Timesheet Raw'!$L$4:$L$8000,"&gt;="&amp;MAX(M$5,DATE(2000+VALUE(RIGHT(TRIM($A444),2)),1,1)),'Timesheet Raw'!$L$4:$L$8000,"&lt;="&amp;MIN(M$6,DATE(2000+VALUE(RIGHT(TRIM($A444),2)),12,31))),SUMIFS('Timesheet Raw'!$P$4:$P$8000,'Timesheet Raw'!$B$4:$B$8000,TRIM($A444),'Timesheet Raw'!$C$4:$C$8000,"*"&amp;$B444&amp;"*",'Timesheet Raw'!$L$4:$L$8000,"&gt;="&amp;M$5,'Timesheet Raw'!$L$4:$L$8000,"&lt;="&amp;M$6)))/'Profit Plan'!$B$5)</f>
        <v/>
      </c>
      <c r="N444" s="122" t="str">
        <f>IF($A444="","",(IF(ISNUMBER(SEARCH("Proposal",$A444)),SUMIFS('Timesheet Raw'!$P$4:$P$8000,'Timesheet Raw'!$A$4:$A$8000,IF(ISNUMBER(SEARCH("Chargable",$A444)),"2-Proposals Chargeable","3-Proposals Regular"),'Timesheet Raw'!$C$4:$C$8000,"*"&amp;$B444&amp;"*",'Timesheet Raw'!$L$4:$L$8000,"&gt;="&amp;MAX(N$5,DATE(2000+VALUE(RIGHT(TRIM($A444),2)),1,1)),'Timesheet Raw'!$L$4:$L$8000,"&lt;="&amp;MIN(N$6,DATE(2000+VALUE(RIGHT(TRIM($A444),2)),12,31))),SUMIFS('Timesheet Raw'!$P$4:$P$8000,'Timesheet Raw'!$B$4:$B$8000,TRIM($A444),'Timesheet Raw'!$C$4:$C$8000,"*"&amp;$B444&amp;"*",'Timesheet Raw'!$L$4:$L$8000,"&gt;="&amp;N$5,'Timesheet Raw'!$L$4:$L$8000,"&lt;="&amp;N$6)))/'Profit Plan'!$B$5)</f>
        <v/>
      </c>
      <c r="O444" s="122" t="str">
        <f>IF($A444="","",(IF(ISNUMBER(SEARCH("Proposal",$A444)),SUMIFS('Timesheet Raw'!$P$4:$P$8000,'Timesheet Raw'!$A$4:$A$8000,IF(ISNUMBER(SEARCH("Chargable",$A444)),"2-Proposals Chargeable","3-Proposals Regular"),'Timesheet Raw'!$C$4:$C$8000,"*"&amp;$B444&amp;"*",'Timesheet Raw'!$L$4:$L$8000,"&gt;="&amp;MAX(O$5,DATE(2000+VALUE(RIGHT(TRIM($A444),2)),1,1)),'Timesheet Raw'!$L$4:$L$8000,"&lt;="&amp;MIN(O$6,DATE(2000+VALUE(RIGHT(TRIM($A444),2)),12,31))),SUMIFS('Timesheet Raw'!$P$4:$P$8000,'Timesheet Raw'!$B$4:$B$8000,TRIM($A444),'Timesheet Raw'!$C$4:$C$8000,"*"&amp;$B444&amp;"*",'Timesheet Raw'!$L$4:$L$8000,"&gt;="&amp;O$5,'Timesheet Raw'!$L$4:$L$8000,"&lt;="&amp;O$6)))/'Profit Plan'!$B$5)</f>
        <v/>
      </c>
      <c r="P444" s="122" t="str">
        <f>IF($A444="","",(IF(ISNUMBER(SEARCH("Proposal",$A444)),SUMIFS('Timesheet Raw'!$P$4:$P$8000,'Timesheet Raw'!$A$4:$A$8000,IF(ISNUMBER(SEARCH("Chargable",$A444)),"2-Proposals Chargeable","3-Proposals Regular"),'Timesheet Raw'!$C$4:$C$8000,"*"&amp;$B444&amp;"*",'Timesheet Raw'!$L$4:$L$8000,"&gt;="&amp;MAX(P$5,DATE(2000+VALUE(RIGHT(TRIM($A444),2)),1,1)),'Timesheet Raw'!$L$4:$L$8000,"&lt;="&amp;MIN(P$6,DATE(2000+VALUE(RIGHT(TRIM($A444),2)),12,31))),SUMIFS('Timesheet Raw'!$P$4:$P$8000,'Timesheet Raw'!$B$4:$B$8000,TRIM($A444),'Timesheet Raw'!$C$4:$C$8000,"*"&amp;$B444&amp;"*",'Timesheet Raw'!$L$4:$L$8000,"&gt;="&amp;P$5,'Timesheet Raw'!$L$4:$L$8000,"&lt;="&amp;P$6)))/'Profit Plan'!$B$5)</f>
        <v/>
      </c>
      <c r="Q444" s="122" t="str">
        <f>IF($A444="","",(IF(ISNUMBER(SEARCH("Proposal",$A444)),SUMIFS('Timesheet Raw'!$P$4:$P$8000,'Timesheet Raw'!$A$4:$A$8000,IF(ISNUMBER(SEARCH("Chargable",$A444)),"2-Proposals Chargeable","3-Proposals Regular"),'Timesheet Raw'!$C$4:$C$8000,"*"&amp;$B444&amp;"*",'Timesheet Raw'!$L$4:$L$8000,"&gt;="&amp;MAX(Q$5,DATE(2000+VALUE(RIGHT(TRIM($A444),2)),1,1)),'Timesheet Raw'!$L$4:$L$8000,"&lt;="&amp;MIN(Q$6,DATE(2000+VALUE(RIGHT(TRIM($A444),2)),12,31))),SUMIFS('Timesheet Raw'!$P$4:$P$8000,'Timesheet Raw'!$B$4:$B$8000,TRIM($A444),'Timesheet Raw'!$C$4:$C$8000,"*"&amp;$B444&amp;"*",'Timesheet Raw'!$L$4:$L$8000,"&gt;="&amp;Q$5,'Timesheet Raw'!$L$4:$L$8000,"&lt;="&amp;Q$6)))/'Profit Plan'!$B$5)</f>
        <v/>
      </c>
      <c r="R444" s="122" t="str">
        <f>IF($A444="","",(IF(ISNUMBER(SEARCH("Proposal",$A444)),SUMIFS('Timesheet Raw'!$P$4:$P$8000,'Timesheet Raw'!$A$4:$A$8000,IF(ISNUMBER(SEARCH("Chargable",$A444)),"2-Proposals Chargeable","3-Proposals Regular"),'Timesheet Raw'!$C$4:$C$8000,"*"&amp;$B444&amp;"*",'Timesheet Raw'!$L$4:$L$8000,"&gt;="&amp;MAX(R$5,DATE(2000+VALUE(RIGHT(TRIM($A444),2)),1,1)),'Timesheet Raw'!$L$4:$L$8000,"&lt;="&amp;MIN(R$6,DATE(2000+VALUE(RIGHT(TRIM($A444),2)),12,31))),SUMIFS('Timesheet Raw'!$P$4:$P$8000,'Timesheet Raw'!$B$4:$B$8000,TRIM($A444),'Timesheet Raw'!$C$4:$C$8000,"*"&amp;$B444&amp;"*",'Timesheet Raw'!$L$4:$L$8000,"&gt;="&amp;R$5,'Timesheet Raw'!$L$4:$L$8000,"&lt;="&amp;R$6)))/'Profit Plan'!$B$5)</f>
        <v/>
      </c>
      <c r="S444" s="122" t="str">
        <f>IF($A444="","",(IF(ISNUMBER(SEARCH("Proposal",$A444)),SUMIFS('Timesheet Raw'!$P$4:$P$8000,'Timesheet Raw'!$A$4:$A$8000,IF(ISNUMBER(SEARCH("Chargable",$A444)),"2-Proposals Chargeable","3-Proposals Regular"),'Timesheet Raw'!$C$4:$C$8000,"*"&amp;$B444&amp;"*",'Timesheet Raw'!$L$4:$L$8000,"&gt;="&amp;MAX(S$5,DATE(2000+VALUE(RIGHT(TRIM($A444),2)),1,1)),'Timesheet Raw'!$L$4:$L$8000,"&lt;="&amp;MIN(S$6,DATE(2000+VALUE(RIGHT(TRIM($A444),2)),12,31))),SUMIFS('Timesheet Raw'!$P$4:$P$8000,'Timesheet Raw'!$B$4:$B$8000,TRIM($A444),'Timesheet Raw'!$C$4:$C$8000,"*"&amp;$B444&amp;"*",'Timesheet Raw'!$L$4:$L$8000,"&gt;="&amp;S$5,'Timesheet Raw'!$L$4:$L$8000,"&lt;="&amp;S$6)))/'Profit Plan'!$B$5)</f>
        <v/>
      </c>
      <c r="T444" s="122" t="str">
        <f>IF($A444="","",(IF(ISNUMBER(SEARCH("Proposal",$A444)),SUMIFS('Timesheet Raw'!$P$4:$P$8000,'Timesheet Raw'!$A$4:$A$8000,IF(ISNUMBER(SEARCH("Chargable",$A444)),"2-Proposals Chargeable","3-Proposals Regular"),'Timesheet Raw'!$C$4:$C$8000,"*"&amp;$B444&amp;"*",'Timesheet Raw'!$L$4:$L$8000,"&gt;="&amp;MAX(T$5,DATE(2000+VALUE(RIGHT(TRIM($A444),2)),1,1)),'Timesheet Raw'!$L$4:$L$8000,"&lt;="&amp;MIN(T$6,DATE(2000+VALUE(RIGHT(TRIM($A444),2)),12,31))),SUMIFS('Timesheet Raw'!$P$4:$P$8000,'Timesheet Raw'!$B$4:$B$8000,TRIM($A444),'Timesheet Raw'!$C$4:$C$8000,"*"&amp;$B444&amp;"*",'Timesheet Raw'!$L$4:$L$8000,"&gt;="&amp;T$5,'Timesheet Raw'!$L$4:$L$8000,"&lt;="&amp;T$6)))/'Profit Plan'!$B$5)</f>
        <v/>
      </c>
      <c r="U444" s="122" t="str">
        <f>IF($A444="","",(IF(ISNUMBER(SEARCH("Proposal",$A444)),SUMIFS('Timesheet Raw'!$P$4:$P$8000,'Timesheet Raw'!$A$4:$A$8000,IF(ISNUMBER(SEARCH("Chargable",$A444)),"2-Proposals Chargeable","3-Proposals Regular"),'Timesheet Raw'!$C$4:$C$8000,"*"&amp;$B444&amp;"*",'Timesheet Raw'!$L$4:$L$8000,"&gt;="&amp;MAX(U$5,DATE(2000+VALUE(RIGHT(TRIM($A444),2)),1,1)),'Timesheet Raw'!$L$4:$L$8000,"&lt;="&amp;MIN(U$6,DATE(2000+VALUE(RIGHT(TRIM($A444),2)),12,31))),SUMIFS('Timesheet Raw'!$P$4:$P$8000,'Timesheet Raw'!$B$4:$B$8000,TRIM($A444),'Timesheet Raw'!$C$4:$C$8000,"*"&amp;$B444&amp;"*",'Timesheet Raw'!$L$4:$L$8000,"&gt;="&amp;U$5,'Timesheet Raw'!$L$4:$L$8000,"&lt;="&amp;U$6)))/'Profit Plan'!$B$5)</f>
        <v/>
      </c>
      <c r="V444" s="122" t="str">
        <f>IF($A444="","",(IF(ISNUMBER(SEARCH("Proposal",$A444)),SUMIFS('Timesheet Raw'!$P$4:$P$8000,'Timesheet Raw'!$A$4:$A$8000,IF(ISNUMBER(SEARCH("Chargable",$A444)),"2-Proposals Chargeable","3-Proposals Regular"),'Timesheet Raw'!$C$4:$C$8000,"*"&amp;$B444&amp;"*",'Timesheet Raw'!$L$4:$L$8000,"&gt;="&amp;MAX(V$5,DATE(2000+VALUE(RIGHT(TRIM($A444),2)),1,1)),'Timesheet Raw'!$L$4:$L$8000,"&lt;="&amp;MIN(V$6,DATE(2000+VALUE(RIGHT(TRIM($A444),2)),12,31))),SUMIFS('Timesheet Raw'!$P$4:$P$8000,'Timesheet Raw'!$B$4:$B$8000,TRIM($A444),'Timesheet Raw'!$C$4:$C$8000,"*"&amp;$B444&amp;"*",'Timesheet Raw'!$L$4:$L$8000,"&gt;="&amp;V$5,'Timesheet Raw'!$L$4:$L$8000,"&lt;="&amp;V$6)))/'Profit Plan'!$B$5)</f>
        <v/>
      </c>
      <c r="W444" s="122" t="str">
        <f>IF($A444="","",(IF(ISNUMBER(SEARCH("Proposal",$A444)),SUMIFS('Timesheet Raw'!$P$4:$P$8000,'Timesheet Raw'!$A$4:$A$8000,IF(ISNUMBER(SEARCH("Chargable",$A444)),"2-Proposals Chargeable","3-Proposals Regular"),'Timesheet Raw'!$C$4:$C$8000,"*"&amp;$B444&amp;"*",'Timesheet Raw'!$L$4:$L$8000,"&gt;="&amp;MAX(W$5,DATE(2000+VALUE(RIGHT(TRIM($A444),2)),1,1)),'Timesheet Raw'!$L$4:$L$8000,"&lt;="&amp;MIN(W$6,DATE(2000+VALUE(RIGHT(TRIM($A444),2)),12,31))),SUMIFS('Timesheet Raw'!$P$4:$P$8000,'Timesheet Raw'!$B$4:$B$8000,TRIM($A444),'Timesheet Raw'!$C$4:$C$8000,"*"&amp;$B444&amp;"*",'Timesheet Raw'!$L$4:$L$8000,"&gt;="&amp;W$5,'Timesheet Raw'!$L$4:$L$8000,"&lt;="&amp;W$6)))/'Profit Plan'!$B$5)</f>
        <v/>
      </c>
      <c r="X444" s="122" t="str">
        <f>IF($A444="","",(IF(ISNUMBER(SEARCH("Proposal",$A444)),SUMIFS('Timesheet Raw'!$P$4:$P$8000,'Timesheet Raw'!$A$4:$A$8000,IF(ISNUMBER(SEARCH("Chargable",$A444)),"2-Proposals Chargeable","3-Proposals Regular"),'Timesheet Raw'!$C$4:$C$8000,"*"&amp;$B444&amp;"*",'Timesheet Raw'!$L$4:$L$8000,"&gt;="&amp;MAX(X$5,DATE(2000+VALUE(RIGHT(TRIM($A444),2)),1,1)),'Timesheet Raw'!$L$4:$L$8000,"&lt;="&amp;MIN(X$6,DATE(2000+VALUE(RIGHT(TRIM($A444),2)),12,31))),SUMIFS('Timesheet Raw'!$P$4:$P$8000,'Timesheet Raw'!$B$4:$B$8000,TRIM($A444),'Timesheet Raw'!$C$4:$C$8000,"*"&amp;$B444&amp;"*",'Timesheet Raw'!$L$4:$L$8000,"&gt;="&amp;X$5,'Timesheet Raw'!$L$4:$L$8000,"&lt;="&amp;X$6)))/'Profit Plan'!$B$5)</f>
        <v/>
      </c>
      <c r="Y444" s="118">
        <f t="shared" si="102"/>
        <v>0</v>
      </c>
    </row>
    <row r="445" spans="1:25" x14ac:dyDescent="0.3">
      <c r="A445" s="116" t="str">
        <f>IF(Inputs!$A66="","",Inputs!$A66)</f>
        <v/>
      </c>
      <c r="B445" s="116" t="str">
        <f>IF(Inputs!$A66="","",Inputs!$A$91)</f>
        <v/>
      </c>
      <c r="C445" s="116"/>
      <c r="D445" s="122" t="str">
        <f>IF($A445="","",(IF(ISNUMBER(SEARCH("Proposal",$A445)),SUMIFS('Timesheet Raw'!$P$4:$P$8000,'Timesheet Raw'!$A$4:$A$8000,IF(ISNUMBER(SEARCH("Chargable",$A445)),"2-Proposals Chargeable","3-Proposals Regular"),'Timesheet Raw'!$C$4:$C$8000,"*"&amp;$B445&amp;"*",'Timesheet Raw'!$L$4:$L$8000,"&gt;="&amp;MAX(D$5,DATE(2000+VALUE(RIGHT(TRIM($A445),2)),1,1)),'Timesheet Raw'!$L$4:$L$8000,"&lt;="&amp;MIN(D$6,DATE(2000+VALUE(RIGHT(TRIM($A445),2)),12,31))),SUMIFS('Timesheet Raw'!$P$4:$P$8000,'Timesheet Raw'!$B$4:$B$8000,TRIM($A445),'Timesheet Raw'!$C$4:$C$8000,"*"&amp;$B445&amp;"*",'Timesheet Raw'!$L$4:$L$8000,"&gt;="&amp;D$5,'Timesheet Raw'!$L$4:$L$8000,"&lt;="&amp;D$6)))/'Profit Plan'!$B$5)</f>
        <v/>
      </c>
      <c r="E445" s="122" t="str">
        <f>IF($A445="","",(IF(ISNUMBER(SEARCH("Proposal",$A445)),SUMIFS('Timesheet Raw'!$P$4:$P$8000,'Timesheet Raw'!$A$4:$A$8000,IF(ISNUMBER(SEARCH("Chargable",$A445)),"2-Proposals Chargeable","3-Proposals Regular"),'Timesheet Raw'!$C$4:$C$8000,"*"&amp;$B445&amp;"*",'Timesheet Raw'!$L$4:$L$8000,"&gt;="&amp;MAX(E$5,DATE(2000+VALUE(RIGHT(TRIM($A445),2)),1,1)),'Timesheet Raw'!$L$4:$L$8000,"&lt;="&amp;MIN(E$6,DATE(2000+VALUE(RIGHT(TRIM($A445),2)),12,31))),SUMIFS('Timesheet Raw'!$P$4:$P$8000,'Timesheet Raw'!$B$4:$B$8000,TRIM($A445),'Timesheet Raw'!$C$4:$C$8000,"*"&amp;$B445&amp;"*",'Timesheet Raw'!$L$4:$L$8000,"&gt;="&amp;E$5,'Timesheet Raw'!$L$4:$L$8000,"&lt;="&amp;E$6)))/'Profit Plan'!$B$5)</f>
        <v/>
      </c>
      <c r="F445" s="122" t="str">
        <f>IF($A445="","",(IF(ISNUMBER(SEARCH("Proposal",$A445)),SUMIFS('Timesheet Raw'!$P$4:$P$8000,'Timesheet Raw'!$A$4:$A$8000,IF(ISNUMBER(SEARCH("Chargable",$A445)),"2-Proposals Chargeable","3-Proposals Regular"),'Timesheet Raw'!$C$4:$C$8000,"*"&amp;$B445&amp;"*",'Timesheet Raw'!$L$4:$L$8000,"&gt;="&amp;MAX(F$5,DATE(2000+VALUE(RIGHT(TRIM($A445),2)),1,1)),'Timesheet Raw'!$L$4:$L$8000,"&lt;="&amp;MIN(F$6,DATE(2000+VALUE(RIGHT(TRIM($A445),2)),12,31))),SUMIFS('Timesheet Raw'!$P$4:$P$8000,'Timesheet Raw'!$B$4:$B$8000,TRIM($A445),'Timesheet Raw'!$C$4:$C$8000,"*"&amp;$B445&amp;"*",'Timesheet Raw'!$L$4:$L$8000,"&gt;="&amp;F$5,'Timesheet Raw'!$L$4:$L$8000,"&lt;="&amp;F$6)))/'Profit Plan'!$B$5)</f>
        <v/>
      </c>
      <c r="G445" s="122" t="str">
        <f>IF($A445="","",(IF(ISNUMBER(SEARCH("Proposal",$A445)),SUMIFS('Timesheet Raw'!$P$4:$P$8000,'Timesheet Raw'!$A$4:$A$8000,IF(ISNUMBER(SEARCH("Chargable",$A445)),"2-Proposals Chargeable","3-Proposals Regular"),'Timesheet Raw'!$C$4:$C$8000,"*"&amp;$B445&amp;"*",'Timesheet Raw'!$L$4:$L$8000,"&gt;="&amp;MAX(G$5,DATE(2000+VALUE(RIGHT(TRIM($A445),2)),1,1)),'Timesheet Raw'!$L$4:$L$8000,"&lt;="&amp;MIN(G$6,DATE(2000+VALUE(RIGHT(TRIM($A445),2)),12,31))),SUMIFS('Timesheet Raw'!$P$4:$P$8000,'Timesheet Raw'!$B$4:$B$8000,TRIM($A445),'Timesheet Raw'!$C$4:$C$8000,"*"&amp;$B445&amp;"*",'Timesheet Raw'!$L$4:$L$8000,"&gt;="&amp;G$5,'Timesheet Raw'!$L$4:$L$8000,"&lt;="&amp;G$6)))/'Profit Plan'!$B$5)</f>
        <v/>
      </c>
      <c r="H445" s="122" t="str">
        <f>IF($A445="","",(IF(ISNUMBER(SEARCH("Proposal",$A445)),SUMIFS('Timesheet Raw'!$P$4:$P$8000,'Timesheet Raw'!$A$4:$A$8000,IF(ISNUMBER(SEARCH("Chargable",$A445)),"2-Proposals Chargeable","3-Proposals Regular"),'Timesheet Raw'!$C$4:$C$8000,"*"&amp;$B445&amp;"*",'Timesheet Raw'!$L$4:$L$8000,"&gt;="&amp;MAX(H$5,DATE(2000+VALUE(RIGHT(TRIM($A445),2)),1,1)),'Timesheet Raw'!$L$4:$L$8000,"&lt;="&amp;MIN(H$6,DATE(2000+VALUE(RIGHT(TRIM($A445),2)),12,31))),SUMIFS('Timesheet Raw'!$P$4:$P$8000,'Timesheet Raw'!$B$4:$B$8000,TRIM($A445),'Timesheet Raw'!$C$4:$C$8000,"*"&amp;$B445&amp;"*",'Timesheet Raw'!$L$4:$L$8000,"&gt;="&amp;H$5,'Timesheet Raw'!$L$4:$L$8000,"&lt;="&amp;H$6)))/'Profit Plan'!$B$5)</f>
        <v/>
      </c>
      <c r="I445" s="122" t="str">
        <f>IF($A445="","",(IF(ISNUMBER(SEARCH("Proposal",$A445)),SUMIFS('Timesheet Raw'!$P$4:$P$8000,'Timesheet Raw'!$A$4:$A$8000,IF(ISNUMBER(SEARCH("Chargable",$A445)),"2-Proposals Chargeable","3-Proposals Regular"),'Timesheet Raw'!$C$4:$C$8000,"*"&amp;$B445&amp;"*",'Timesheet Raw'!$L$4:$L$8000,"&gt;="&amp;MAX(I$5,DATE(2000+VALUE(RIGHT(TRIM($A445),2)),1,1)),'Timesheet Raw'!$L$4:$L$8000,"&lt;="&amp;MIN(I$6,DATE(2000+VALUE(RIGHT(TRIM($A445),2)),12,31))),SUMIFS('Timesheet Raw'!$P$4:$P$8000,'Timesheet Raw'!$B$4:$B$8000,TRIM($A445),'Timesheet Raw'!$C$4:$C$8000,"*"&amp;$B445&amp;"*",'Timesheet Raw'!$L$4:$L$8000,"&gt;="&amp;I$5,'Timesheet Raw'!$L$4:$L$8000,"&lt;="&amp;I$6)))/'Profit Plan'!$B$5)</f>
        <v/>
      </c>
      <c r="J445" s="122" t="str">
        <f>IF($A445="","",(IF(ISNUMBER(SEARCH("Proposal",$A445)),SUMIFS('Timesheet Raw'!$P$4:$P$8000,'Timesheet Raw'!$A$4:$A$8000,IF(ISNUMBER(SEARCH("Chargable",$A445)),"2-Proposals Chargeable","3-Proposals Regular"),'Timesheet Raw'!$C$4:$C$8000,"*"&amp;$B445&amp;"*",'Timesheet Raw'!$L$4:$L$8000,"&gt;="&amp;MAX(J$5,DATE(2000+VALUE(RIGHT(TRIM($A445),2)),1,1)),'Timesheet Raw'!$L$4:$L$8000,"&lt;="&amp;MIN(J$6,DATE(2000+VALUE(RIGHT(TRIM($A445),2)),12,31))),SUMIFS('Timesheet Raw'!$P$4:$P$8000,'Timesheet Raw'!$B$4:$B$8000,TRIM($A445),'Timesheet Raw'!$C$4:$C$8000,"*"&amp;$B445&amp;"*",'Timesheet Raw'!$L$4:$L$8000,"&gt;="&amp;J$5,'Timesheet Raw'!$L$4:$L$8000,"&lt;="&amp;J$6)))/'Profit Plan'!$B$5)</f>
        <v/>
      </c>
      <c r="K445" s="122" t="str">
        <f>IF($A445="","",(IF(ISNUMBER(SEARCH("Proposal",$A445)),SUMIFS('Timesheet Raw'!$P$4:$P$8000,'Timesheet Raw'!$A$4:$A$8000,IF(ISNUMBER(SEARCH("Chargable",$A445)),"2-Proposals Chargeable","3-Proposals Regular"),'Timesheet Raw'!$C$4:$C$8000,"*"&amp;$B445&amp;"*",'Timesheet Raw'!$L$4:$L$8000,"&gt;="&amp;MAX(K$5,DATE(2000+VALUE(RIGHT(TRIM($A445),2)),1,1)),'Timesheet Raw'!$L$4:$L$8000,"&lt;="&amp;MIN(K$6,DATE(2000+VALUE(RIGHT(TRIM($A445),2)),12,31))),SUMIFS('Timesheet Raw'!$P$4:$P$8000,'Timesheet Raw'!$B$4:$B$8000,TRIM($A445),'Timesheet Raw'!$C$4:$C$8000,"*"&amp;$B445&amp;"*",'Timesheet Raw'!$L$4:$L$8000,"&gt;="&amp;K$5,'Timesheet Raw'!$L$4:$L$8000,"&lt;="&amp;K$6)))/'Profit Plan'!$B$5)</f>
        <v/>
      </c>
      <c r="L445" s="122" t="str">
        <f>IF($A445="","",(IF(ISNUMBER(SEARCH("Proposal",$A445)),SUMIFS('Timesheet Raw'!$P$4:$P$8000,'Timesheet Raw'!$A$4:$A$8000,IF(ISNUMBER(SEARCH("Chargable",$A445)),"2-Proposals Chargeable","3-Proposals Regular"),'Timesheet Raw'!$C$4:$C$8000,"*"&amp;$B445&amp;"*",'Timesheet Raw'!$L$4:$L$8000,"&gt;="&amp;MAX(L$5,DATE(2000+VALUE(RIGHT(TRIM($A445),2)),1,1)),'Timesheet Raw'!$L$4:$L$8000,"&lt;="&amp;MIN(L$6,DATE(2000+VALUE(RIGHT(TRIM($A445),2)),12,31))),SUMIFS('Timesheet Raw'!$P$4:$P$8000,'Timesheet Raw'!$B$4:$B$8000,TRIM($A445),'Timesheet Raw'!$C$4:$C$8000,"*"&amp;$B445&amp;"*",'Timesheet Raw'!$L$4:$L$8000,"&gt;="&amp;L$5,'Timesheet Raw'!$L$4:$L$8000,"&lt;="&amp;L$6)))/'Profit Plan'!$B$5)</f>
        <v/>
      </c>
      <c r="M445" s="122" t="str">
        <f>IF($A445="","",(IF(ISNUMBER(SEARCH("Proposal",$A445)),SUMIFS('Timesheet Raw'!$P$4:$P$8000,'Timesheet Raw'!$A$4:$A$8000,IF(ISNUMBER(SEARCH("Chargable",$A445)),"2-Proposals Chargeable","3-Proposals Regular"),'Timesheet Raw'!$C$4:$C$8000,"*"&amp;$B445&amp;"*",'Timesheet Raw'!$L$4:$L$8000,"&gt;="&amp;MAX(M$5,DATE(2000+VALUE(RIGHT(TRIM($A445),2)),1,1)),'Timesheet Raw'!$L$4:$L$8000,"&lt;="&amp;MIN(M$6,DATE(2000+VALUE(RIGHT(TRIM($A445),2)),12,31))),SUMIFS('Timesheet Raw'!$P$4:$P$8000,'Timesheet Raw'!$B$4:$B$8000,TRIM($A445),'Timesheet Raw'!$C$4:$C$8000,"*"&amp;$B445&amp;"*",'Timesheet Raw'!$L$4:$L$8000,"&gt;="&amp;M$5,'Timesheet Raw'!$L$4:$L$8000,"&lt;="&amp;M$6)))/'Profit Plan'!$B$5)</f>
        <v/>
      </c>
      <c r="N445" s="122" t="str">
        <f>IF($A445="","",(IF(ISNUMBER(SEARCH("Proposal",$A445)),SUMIFS('Timesheet Raw'!$P$4:$P$8000,'Timesheet Raw'!$A$4:$A$8000,IF(ISNUMBER(SEARCH("Chargable",$A445)),"2-Proposals Chargeable","3-Proposals Regular"),'Timesheet Raw'!$C$4:$C$8000,"*"&amp;$B445&amp;"*",'Timesheet Raw'!$L$4:$L$8000,"&gt;="&amp;MAX(N$5,DATE(2000+VALUE(RIGHT(TRIM($A445),2)),1,1)),'Timesheet Raw'!$L$4:$L$8000,"&lt;="&amp;MIN(N$6,DATE(2000+VALUE(RIGHT(TRIM($A445),2)),12,31))),SUMIFS('Timesheet Raw'!$P$4:$P$8000,'Timesheet Raw'!$B$4:$B$8000,TRIM($A445),'Timesheet Raw'!$C$4:$C$8000,"*"&amp;$B445&amp;"*",'Timesheet Raw'!$L$4:$L$8000,"&gt;="&amp;N$5,'Timesheet Raw'!$L$4:$L$8000,"&lt;="&amp;N$6)))/'Profit Plan'!$B$5)</f>
        <v/>
      </c>
      <c r="O445" s="122" t="str">
        <f>IF($A445="","",(IF(ISNUMBER(SEARCH("Proposal",$A445)),SUMIFS('Timesheet Raw'!$P$4:$P$8000,'Timesheet Raw'!$A$4:$A$8000,IF(ISNUMBER(SEARCH("Chargable",$A445)),"2-Proposals Chargeable","3-Proposals Regular"),'Timesheet Raw'!$C$4:$C$8000,"*"&amp;$B445&amp;"*",'Timesheet Raw'!$L$4:$L$8000,"&gt;="&amp;MAX(O$5,DATE(2000+VALUE(RIGHT(TRIM($A445),2)),1,1)),'Timesheet Raw'!$L$4:$L$8000,"&lt;="&amp;MIN(O$6,DATE(2000+VALUE(RIGHT(TRIM($A445),2)),12,31))),SUMIFS('Timesheet Raw'!$P$4:$P$8000,'Timesheet Raw'!$B$4:$B$8000,TRIM($A445),'Timesheet Raw'!$C$4:$C$8000,"*"&amp;$B445&amp;"*",'Timesheet Raw'!$L$4:$L$8000,"&gt;="&amp;O$5,'Timesheet Raw'!$L$4:$L$8000,"&lt;="&amp;O$6)))/'Profit Plan'!$B$5)</f>
        <v/>
      </c>
      <c r="P445" s="122" t="str">
        <f>IF($A445="","",(IF(ISNUMBER(SEARCH("Proposal",$A445)),SUMIFS('Timesheet Raw'!$P$4:$P$8000,'Timesheet Raw'!$A$4:$A$8000,IF(ISNUMBER(SEARCH("Chargable",$A445)),"2-Proposals Chargeable","3-Proposals Regular"),'Timesheet Raw'!$C$4:$C$8000,"*"&amp;$B445&amp;"*",'Timesheet Raw'!$L$4:$L$8000,"&gt;="&amp;MAX(P$5,DATE(2000+VALUE(RIGHT(TRIM($A445),2)),1,1)),'Timesheet Raw'!$L$4:$L$8000,"&lt;="&amp;MIN(P$6,DATE(2000+VALUE(RIGHT(TRIM($A445),2)),12,31))),SUMIFS('Timesheet Raw'!$P$4:$P$8000,'Timesheet Raw'!$B$4:$B$8000,TRIM($A445),'Timesheet Raw'!$C$4:$C$8000,"*"&amp;$B445&amp;"*",'Timesheet Raw'!$L$4:$L$8000,"&gt;="&amp;P$5,'Timesheet Raw'!$L$4:$L$8000,"&lt;="&amp;P$6)))/'Profit Plan'!$B$5)</f>
        <v/>
      </c>
      <c r="Q445" s="122" t="str">
        <f>IF($A445="","",(IF(ISNUMBER(SEARCH("Proposal",$A445)),SUMIFS('Timesheet Raw'!$P$4:$P$8000,'Timesheet Raw'!$A$4:$A$8000,IF(ISNUMBER(SEARCH("Chargable",$A445)),"2-Proposals Chargeable","3-Proposals Regular"),'Timesheet Raw'!$C$4:$C$8000,"*"&amp;$B445&amp;"*",'Timesheet Raw'!$L$4:$L$8000,"&gt;="&amp;MAX(Q$5,DATE(2000+VALUE(RIGHT(TRIM($A445),2)),1,1)),'Timesheet Raw'!$L$4:$L$8000,"&lt;="&amp;MIN(Q$6,DATE(2000+VALUE(RIGHT(TRIM($A445),2)),12,31))),SUMIFS('Timesheet Raw'!$P$4:$P$8000,'Timesheet Raw'!$B$4:$B$8000,TRIM($A445),'Timesheet Raw'!$C$4:$C$8000,"*"&amp;$B445&amp;"*",'Timesheet Raw'!$L$4:$L$8000,"&gt;="&amp;Q$5,'Timesheet Raw'!$L$4:$L$8000,"&lt;="&amp;Q$6)))/'Profit Plan'!$B$5)</f>
        <v/>
      </c>
      <c r="R445" s="122" t="str">
        <f>IF($A445="","",(IF(ISNUMBER(SEARCH("Proposal",$A445)),SUMIFS('Timesheet Raw'!$P$4:$P$8000,'Timesheet Raw'!$A$4:$A$8000,IF(ISNUMBER(SEARCH("Chargable",$A445)),"2-Proposals Chargeable","3-Proposals Regular"),'Timesheet Raw'!$C$4:$C$8000,"*"&amp;$B445&amp;"*",'Timesheet Raw'!$L$4:$L$8000,"&gt;="&amp;MAX(R$5,DATE(2000+VALUE(RIGHT(TRIM($A445),2)),1,1)),'Timesheet Raw'!$L$4:$L$8000,"&lt;="&amp;MIN(R$6,DATE(2000+VALUE(RIGHT(TRIM($A445),2)),12,31))),SUMIFS('Timesheet Raw'!$P$4:$P$8000,'Timesheet Raw'!$B$4:$B$8000,TRIM($A445),'Timesheet Raw'!$C$4:$C$8000,"*"&amp;$B445&amp;"*",'Timesheet Raw'!$L$4:$L$8000,"&gt;="&amp;R$5,'Timesheet Raw'!$L$4:$L$8000,"&lt;="&amp;R$6)))/'Profit Plan'!$B$5)</f>
        <v/>
      </c>
      <c r="S445" s="122" t="str">
        <f>IF($A445="","",(IF(ISNUMBER(SEARCH("Proposal",$A445)),SUMIFS('Timesheet Raw'!$P$4:$P$8000,'Timesheet Raw'!$A$4:$A$8000,IF(ISNUMBER(SEARCH("Chargable",$A445)),"2-Proposals Chargeable","3-Proposals Regular"),'Timesheet Raw'!$C$4:$C$8000,"*"&amp;$B445&amp;"*",'Timesheet Raw'!$L$4:$L$8000,"&gt;="&amp;MAX(S$5,DATE(2000+VALUE(RIGHT(TRIM($A445),2)),1,1)),'Timesheet Raw'!$L$4:$L$8000,"&lt;="&amp;MIN(S$6,DATE(2000+VALUE(RIGHT(TRIM($A445),2)),12,31))),SUMIFS('Timesheet Raw'!$P$4:$P$8000,'Timesheet Raw'!$B$4:$B$8000,TRIM($A445),'Timesheet Raw'!$C$4:$C$8000,"*"&amp;$B445&amp;"*",'Timesheet Raw'!$L$4:$L$8000,"&gt;="&amp;S$5,'Timesheet Raw'!$L$4:$L$8000,"&lt;="&amp;S$6)))/'Profit Plan'!$B$5)</f>
        <v/>
      </c>
      <c r="T445" s="122" t="str">
        <f>IF($A445="","",(IF(ISNUMBER(SEARCH("Proposal",$A445)),SUMIFS('Timesheet Raw'!$P$4:$P$8000,'Timesheet Raw'!$A$4:$A$8000,IF(ISNUMBER(SEARCH("Chargable",$A445)),"2-Proposals Chargeable","3-Proposals Regular"),'Timesheet Raw'!$C$4:$C$8000,"*"&amp;$B445&amp;"*",'Timesheet Raw'!$L$4:$L$8000,"&gt;="&amp;MAX(T$5,DATE(2000+VALUE(RIGHT(TRIM($A445),2)),1,1)),'Timesheet Raw'!$L$4:$L$8000,"&lt;="&amp;MIN(T$6,DATE(2000+VALUE(RIGHT(TRIM($A445),2)),12,31))),SUMIFS('Timesheet Raw'!$P$4:$P$8000,'Timesheet Raw'!$B$4:$B$8000,TRIM($A445),'Timesheet Raw'!$C$4:$C$8000,"*"&amp;$B445&amp;"*",'Timesheet Raw'!$L$4:$L$8000,"&gt;="&amp;T$5,'Timesheet Raw'!$L$4:$L$8000,"&lt;="&amp;T$6)))/'Profit Plan'!$B$5)</f>
        <v/>
      </c>
      <c r="U445" s="122" t="str">
        <f>IF($A445="","",(IF(ISNUMBER(SEARCH("Proposal",$A445)),SUMIFS('Timesheet Raw'!$P$4:$P$8000,'Timesheet Raw'!$A$4:$A$8000,IF(ISNUMBER(SEARCH("Chargable",$A445)),"2-Proposals Chargeable","3-Proposals Regular"),'Timesheet Raw'!$C$4:$C$8000,"*"&amp;$B445&amp;"*",'Timesheet Raw'!$L$4:$L$8000,"&gt;="&amp;MAX(U$5,DATE(2000+VALUE(RIGHT(TRIM($A445),2)),1,1)),'Timesheet Raw'!$L$4:$L$8000,"&lt;="&amp;MIN(U$6,DATE(2000+VALUE(RIGHT(TRIM($A445),2)),12,31))),SUMIFS('Timesheet Raw'!$P$4:$P$8000,'Timesheet Raw'!$B$4:$B$8000,TRIM($A445),'Timesheet Raw'!$C$4:$C$8000,"*"&amp;$B445&amp;"*",'Timesheet Raw'!$L$4:$L$8000,"&gt;="&amp;U$5,'Timesheet Raw'!$L$4:$L$8000,"&lt;="&amp;U$6)))/'Profit Plan'!$B$5)</f>
        <v/>
      </c>
      <c r="V445" s="122" t="str">
        <f>IF($A445="","",(IF(ISNUMBER(SEARCH("Proposal",$A445)),SUMIFS('Timesheet Raw'!$P$4:$P$8000,'Timesheet Raw'!$A$4:$A$8000,IF(ISNUMBER(SEARCH("Chargable",$A445)),"2-Proposals Chargeable","3-Proposals Regular"),'Timesheet Raw'!$C$4:$C$8000,"*"&amp;$B445&amp;"*",'Timesheet Raw'!$L$4:$L$8000,"&gt;="&amp;MAX(V$5,DATE(2000+VALUE(RIGHT(TRIM($A445),2)),1,1)),'Timesheet Raw'!$L$4:$L$8000,"&lt;="&amp;MIN(V$6,DATE(2000+VALUE(RIGHT(TRIM($A445),2)),12,31))),SUMIFS('Timesheet Raw'!$P$4:$P$8000,'Timesheet Raw'!$B$4:$B$8000,TRIM($A445),'Timesheet Raw'!$C$4:$C$8000,"*"&amp;$B445&amp;"*",'Timesheet Raw'!$L$4:$L$8000,"&gt;="&amp;V$5,'Timesheet Raw'!$L$4:$L$8000,"&lt;="&amp;V$6)))/'Profit Plan'!$B$5)</f>
        <v/>
      </c>
      <c r="W445" s="122" t="str">
        <f>IF($A445="","",(IF(ISNUMBER(SEARCH("Proposal",$A445)),SUMIFS('Timesheet Raw'!$P$4:$P$8000,'Timesheet Raw'!$A$4:$A$8000,IF(ISNUMBER(SEARCH("Chargable",$A445)),"2-Proposals Chargeable","3-Proposals Regular"),'Timesheet Raw'!$C$4:$C$8000,"*"&amp;$B445&amp;"*",'Timesheet Raw'!$L$4:$L$8000,"&gt;="&amp;MAX(W$5,DATE(2000+VALUE(RIGHT(TRIM($A445),2)),1,1)),'Timesheet Raw'!$L$4:$L$8000,"&lt;="&amp;MIN(W$6,DATE(2000+VALUE(RIGHT(TRIM($A445),2)),12,31))),SUMIFS('Timesheet Raw'!$P$4:$P$8000,'Timesheet Raw'!$B$4:$B$8000,TRIM($A445),'Timesheet Raw'!$C$4:$C$8000,"*"&amp;$B445&amp;"*",'Timesheet Raw'!$L$4:$L$8000,"&gt;="&amp;W$5,'Timesheet Raw'!$L$4:$L$8000,"&lt;="&amp;W$6)))/'Profit Plan'!$B$5)</f>
        <v/>
      </c>
      <c r="X445" s="122" t="str">
        <f>IF($A445="","",(IF(ISNUMBER(SEARCH("Proposal",$A445)),SUMIFS('Timesheet Raw'!$P$4:$P$8000,'Timesheet Raw'!$A$4:$A$8000,IF(ISNUMBER(SEARCH("Chargable",$A445)),"2-Proposals Chargeable","3-Proposals Regular"),'Timesheet Raw'!$C$4:$C$8000,"*"&amp;$B445&amp;"*",'Timesheet Raw'!$L$4:$L$8000,"&gt;="&amp;MAX(X$5,DATE(2000+VALUE(RIGHT(TRIM($A445),2)),1,1)),'Timesheet Raw'!$L$4:$L$8000,"&lt;="&amp;MIN(X$6,DATE(2000+VALUE(RIGHT(TRIM($A445),2)),12,31))),SUMIFS('Timesheet Raw'!$P$4:$P$8000,'Timesheet Raw'!$B$4:$B$8000,TRIM($A445),'Timesheet Raw'!$C$4:$C$8000,"*"&amp;$B445&amp;"*",'Timesheet Raw'!$L$4:$L$8000,"&gt;="&amp;X$5,'Timesheet Raw'!$L$4:$L$8000,"&lt;="&amp;X$6)))/'Profit Plan'!$B$5)</f>
        <v/>
      </c>
      <c r="Y445" s="118">
        <f t="shared" si="102"/>
        <v>0</v>
      </c>
    </row>
    <row r="446" spans="1:25" x14ac:dyDescent="0.3">
      <c r="A446" s="116" t="str">
        <f>IF(Inputs!$A66="","",Inputs!$A66)</f>
        <v/>
      </c>
      <c r="B446" s="116" t="str">
        <f>IF(Inputs!$A66="","",Inputs!$A$92)</f>
        <v/>
      </c>
      <c r="C446" s="116"/>
      <c r="D446" s="122" t="str">
        <f>IF($A446="","",(IF(ISNUMBER(SEARCH("Proposal",$A446)),SUMIFS('Timesheet Raw'!$P$4:$P$8000,'Timesheet Raw'!$A$4:$A$8000,IF(ISNUMBER(SEARCH("Chargable",$A446)),"2-Proposals Chargeable","3-Proposals Regular"),'Timesheet Raw'!$C$4:$C$8000,"*"&amp;$B446&amp;"*",'Timesheet Raw'!$L$4:$L$8000,"&gt;="&amp;MAX(D$5,DATE(2000+VALUE(RIGHT(TRIM($A446),2)),1,1)),'Timesheet Raw'!$L$4:$L$8000,"&lt;="&amp;MIN(D$6,DATE(2000+VALUE(RIGHT(TRIM($A446),2)),12,31))),SUMIFS('Timesheet Raw'!$P$4:$P$8000,'Timesheet Raw'!$B$4:$B$8000,TRIM($A446),'Timesheet Raw'!$C$4:$C$8000,"*"&amp;$B446&amp;"*",'Timesheet Raw'!$L$4:$L$8000,"&gt;="&amp;D$5,'Timesheet Raw'!$L$4:$L$8000,"&lt;="&amp;D$6)))/'Profit Plan'!$B$5)</f>
        <v/>
      </c>
      <c r="E446" s="122" t="str">
        <f>IF($A446="","",(IF(ISNUMBER(SEARCH("Proposal",$A446)),SUMIFS('Timesheet Raw'!$P$4:$P$8000,'Timesheet Raw'!$A$4:$A$8000,IF(ISNUMBER(SEARCH("Chargable",$A446)),"2-Proposals Chargeable","3-Proposals Regular"),'Timesheet Raw'!$C$4:$C$8000,"*"&amp;$B446&amp;"*",'Timesheet Raw'!$L$4:$L$8000,"&gt;="&amp;MAX(E$5,DATE(2000+VALUE(RIGHT(TRIM($A446),2)),1,1)),'Timesheet Raw'!$L$4:$L$8000,"&lt;="&amp;MIN(E$6,DATE(2000+VALUE(RIGHT(TRIM($A446),2)),12,31))),SUMIFS('Timesheet Raw'!$P$4:$P$8000,'Timesheet Raw'!$B$4:$B$8000,TRIM($A446),'Timesheet Raw'!$C$4:$C$8000,"*"&amp;$B446&amp;"*",'Timesheet Raw'!$L$4:$L$8000,"&gt;="&amp;E$5,'Timesheet Raw'!$L$4:$L$8000,"&lt;="&amp;E$6)))/'Profit Plan'!$B$5)</f>
        <v/>
      </c>
      <c r="F446" s="122" t="str">
        <f>IF($A446="","",(IF(ISNUMBER(SEARCH("Proposal",$A446)),SUMIFS('Timesheet Raw'!$P$4:$P$8000,'Timesheet Raw'!$A$4:$A$8000,IF(ISNUMBER(SEARCH("Chargable",$A446)),"2-Proposals Chargeable","3-Proposals Regular"),'Timesheet Raw'!$C$4:$C$8000,"*"&amp;$B446&amp;"*",'Timesheet Raw'!$L$4:$L$8000,"&gt;="&amp;MAX(F$5,DATE(2000+VALUE(RIGHT(TRIM($A446),2)),1,1)),'Timesheet Raw'!$L$4:$L$8000,"&lt;="&amp;MIN(F$6,DATE(2000+VALUE(RIGHT(TRIM($A446),2)),12,31))),SUMIFS('Timesheet Raw'!$P$4:$P$8000,'Timesheet Raw'!$B$4:$B$8000,TRIM($A446),'Timesheet Raw'!$C$4:$C$8000,"*"&amp;$B446&amp;"*",'Timesheet Raw'!$L$4:$L$8000,"&gt;="&amp;F$5,'Timesheet Raw'!$L$4:$L$8000,"&lt;="&amp;F$6)))/'Profit Plan'!$B$5)</f>
        <v/>
      </c>
      <c r="G446" s="122" t="str">
        <f>IF($A446="","",(IF(ISNUMBER(SEARCH("Proposal",$A446)),SUMIFS('Timesheet Raw'!$P$4:$P$8000,'Timesheet Raw'!$A$4:$A$8000,IF(ISNUMBER(SEARCH("Chargable",$A446)),"2-Proposals Chargeable","3-Proposals Regular"),'Timesheet Raw'!$C$4:$C$8000,"*"&amp;$B446&amp;"*",'Timesheet Raw'!$L$4:$L$8000,"&gt;="&amp;MAX(G$5,DATE(2000+VALUE(RIGHT(TRIM($A446),2)),1,1)),'Timesheet Raw'!$L$4:$L$8000,"&lt;="&amp;MIN(G$6,DATE(2000+VALUE(RIGHT(TRIM($A446),2)),12,31))),SUMIFS('Timesheet Raw'!$P$4:$P$8000,'Timesheet Raw'!$B$4:$B$8000,TRIM($A446),'Timesheet Raw'!$C$4:$C$8000,"*"&amp;$B446&amp;"*",'Timesheet Raw'!$L$4:$L$8000,"&gt;="&amp;G$5,'Timesheet Raw'!$L$4:$L$8000,"&lt;="&amp;G$6)))/'Profit Plan'!$B$5)</f>
        <v/>
      </c>
      <c r="H446" s="122" t="str">
        <f>IF($A446="","",(IF(ISNUMBER(SEARCH("Proposal",$A446)),SUMIFS('Timesheet Raw'!$P$4:$P$8000,'Timesheet Raw'!$A$4:$A$8000,IF(ISNUMBER(SEARCH("Chargable",$A446)),"2-Proposals Chargeable","3-Proposals Regular"),'Timesheet Raw'!$C$4:$C$8000,"*"&amp;$B446&amp;"*",'Timesheet Raw'!$L$4:$L$8000,"&gt;="&amp;MAX(H$5,DATE(2000+VALUE(RIGHT(TRIM($A446),2)),1,1)),'Timesheet Raw'!$L$4:$L$8000,"&lt;="&amp;MIN(H$6,DATE(2000+VALUE(RIGHT(TRIM($A446),2)),12,31))),SUMIFS('Timesheet Raw'!$P$4:$P$8000,'Timesheet Raw'!$B$4:$B$8000,TRIM($A446),'Timesheet Raw'!$C$4:$C$8000,"*"&amp;$B446&amp;"*",'Timesheet Raw'!$L$4:$L$8000,"&gt;="&amp;H$5,'Timesheet Raw'!$L$4:$L$8000,"&lt;="&amp;H$6)))/'Profit Plan'!$B$5)</f>
        <v/>
      </c>
      <c r="I446" s="122" t="str">
        <f>IF($A446="","",(IF(ISNUMBER(SEARCH("Proposal",$A446)),SUMIFS('Timesheet Raw'!$P$4:$P$8000,'Timesheet Raw'!$A$4:$A$8000,IF(ISNUMBER(SEARCH("Chargable",$A446)),"2-Proposals Chargeable","3-Proposals Regular"),'Timesheet Raw'!$C$4:$C$8000,"*"&amp;$B446&amp;"*",'Timesheet Raw'!$L$4:$L$8000,"&gt;="&amp;MAX(I$5,DATE(2000+VALUE(RIGHT(TRIM($A446),2)),1,1)),'Timesheet Raw'!$L$4:$L$8000,"&lt;="&amp;MIN(I$6,DATE(2000+VALUE(RIGHT(TRIM($A446),2)),12,31))),SUMIFS('Timesheet Raw'!$P$4:$P$8000,'Timesheet Raw'!$B$4:$B$8000,TRIM($A446),'Timesheet Raw'!$C$4:$C$8000,"*"&amp;$B446&amp;"*",'Timesheet Raw'!$L$4:$L$8000,"&gt;="&amp;I$5,'Timesheet Raw'!$L$4:$L$8000,"&lt;="&amp;I$6)))/'Profit Plan'!$B$5)</f>
        <v/>
      </c>
      <c r="J446" s="122" t="str">
        <f>IF($A446="","",(IF(ISNUMBER(SEARCH("Proposal",$A446)),SUMIFS('Timesheet Raw'!$P$4:$P$8000,'Timesheet Raw'!$A$4:$A$8000,IF(ISNUMBER(SEARCH("Chargable",$A446)),"2-Proposals Chargeable","3-Proposals Regular"),'Timesheet Raw'!$C$4:$C$8000,"*"&amp;$B446&amp;"*",'Timesheet Raw'!$L$4:$L$8000,"&gt;="&amp;MAX(J$5,DATE(2000+VALUE(RIGHT(TRIM($A446),2)),1,1)),'Timesheet Raw'!$L$4:$L$8000,"&lt;="&amp;MIN(J$6,DATE(2000+VALUE(RIGHT(TRIM($A446),2)),12,31))),SUMIFS('Timesheet Raw'!$P$4:$P$8000,'Timesheet Raw'!$B$4:$B$8000,TRIM($A446),'Timesheet Raw'!$C$4:$C$8000,"*"&amp;$B446&amp;"*",'Timesheet Raw'!$L$4:$L$8000,"&gt;="&amp;J$5,'Timesheet Raw'!$L$4:$L$8000,"&lt;="&amp;J$6)))/'Profit Plan'!$B$5)</f>
        <v/>
      </c>
      <c r="K446" s="122" t="str">
        <f>IF($A446="","",(IF(ISNUMBER(SEARCH("Proposal",$A446)),SUMIFS('Timesheet Raw'!$P$4:$P$8000,'Timesheet Raw'!$A$4:$A$8000,IF(ISNUMBER(SEARCH("Chargable",$A446)),"2-Proposals Chargeable","3-Proposals Regular"),'Timesheet Raw'!$C$4:$C$8000,"*"&amp;$B446&amp;"*",'Timesheet Raw'!$L$4:$L$8000,"&gt;="&amp;MAX(K$5,DATE(2000+VALUE(RIGHT(TRIM($A446),2)),1,1)),'Timesheet Raw'!$L$4:$L$8000,"&lt;="&amp;MIN(K$6,DATE(2000+VALUE(RIGHT(TRIM($A446),2)),12,31))),SUMIFS('Timesheet Raw'!$P$4:$P$8000,'Timesheet Raw'!$B$4:$B$8000,TRIM($A446),'Timesheet Raw'!$C$4:$C$8000,"*"&amp;$B446&amp;"*",'Timesheet Raw'!$L$4:$L$8000,"&gt;="&amp;K$5,'Timesheet Raw'!$L$4:$L$8000,"&lt;="&amp;K$6)))/'Profit Plan'!$B$5)</f>
        <v/>
      </c>
      <c r="L446" s="122" t="str">
        <f>IF($A446="","",(IF(ISNUMBER(SEARCH("Proposal",$A446)),SUMIFS('Timesheet Raw'!$P$4:$P$8000,'Timesheet Raw'!$A$4:$A$8000,IF(ISNUMBER(SEARCH("Chargable",$A446)),"2-Proposals Chargeable","3-Proposals Regular"),'Timesheet Raw'!$C$4:$C$8000,"*"&amp;$B446&amp;"*",'Timesheet Raw'!$L$4:$L$8000,"&gt;="&amp;MAX(L$5,DATE(2000+VALUE(RIGHT(TRIM($A446),2)),1,1)),'Timesheet Raw'!$L$4:$L$8000,"&lt;="&amp;MIN(L$6,DATE(2000+VALUE(RIGHT(TRIM($A446),2)),12,31))),SUMIFS('Timesheet Raw'!$P$4:$P$8000,'Timesheet Raw'!$B$4:$B$8000,TRIM($A446),'Timesheet Raw'!$C$4:$C$8000,"*"&amp;$B446&amp;"*",'Timesheet Raw'!$L$4:$L$8000,"&gt;="&amp;L$5,'Timesheet Raw'!$L$4:$L$8000,"&lt;="&amp;L$6)))/'Profit Plan'!$B$5)</f>
        <v/>
      </c>
      <c r="M446" s="122" t="str">
        <f>IF($A446="","",(IF(ISNUMBER(SEARCH("Proposal",$A446)),SUMIFS('Timesheet Raw'!$P$4:$P$8000,'Timesheet Raw'!$A$4:$A$8000,IF(ISNUMBER(SEARCH("Chargable",$A446)),"2-Proposals Chargeable","3-Proposals Regular"),'Timesheet Raw'!$C$4:$C$8000,"*"&amp;$B446&amp;"*",'Timesheet Raw'!$L$4:$L$8000,"&gt;="&amp;MAX(M$5,DATE(2000+VALUE(RIGHT(TRIM($A446),2)),1,1)),'Timesheet Raw'!$L$4:$L$8000,"&lt;="&amp;MIN(M$6,DATE(2000+VALUE(RIGHT(TRIM($A446),2)),12,31))),SUMIFS('Timesheet Raw'!$P$4:$P$8000,'Timesheet Raw'!$B$4:$B$8000,TRIM($A446),'Timesheet Raw'!$C$4:$C$8000,"*"&amp;$B446&amp;"*",'Timesheet Raw'!$L$4:$L$8000,"&gt;="&amp;M$5,'Timesheet Raw'!$L$4:$L$8000,"&lt;="&amp;M$6)))/'Profit Plan'!$B$5)</f>
        <v/>
      </c>
      <c r="N446" s="122" t="str">
        <f>IF($A446="","",(IF(ISNUMBER(SEARCH("Proposal",$A446)),SUMIFS('Timesheet Raw'!$P$4:$P$8000,'Timesheet Raw'!$A$4:$A$8000,IF(ISNUMBER(SEARCH("Chargable",$A446)),"2-Proposals Chargeable","3-Proposals Regular"),'Timesheet Raw'!$C$4:$C$8000,"*"&amp;$B446&amp;"*",'Timesheet Raw'!$L$4:$L$8000,"&gt;="&amp;MAX(N$5,DATE(2000+VALUE(RIGHT(TRIM($A446),2)),1,1)),'Timesheet Raw'!$L$4:$L$8000,"&lt;="&amp;MIN(N$6,DATE(2000+VALUE(RIGHT(TRIM($A446),2)),12,31))),SUMIFS('Timesheet Raw'!$P$4:$P$8000,'Timesheet Raw'!$B$4:$B$8000,TRIM($A446),'Timesheet Raw'!$C$4:$C$8000,"*"&amp;$B446&amp;"*",'Timesheet Raw'!$L$4:$L$8000,"&gt;="&amp;N$5,'Timesheet Raw'!$L$4:$L$8000,"&lt;="&amp;N$6)))/'Profit Plan'!$B$5)</f>
        <v/>
      </c>
      <c r="O446" s="122" t="str">
        <f>IF($A446="","",(IF(ISNUMBER(SEARCH("Proposal",$A446)),SUMIFS('Timesheet Raw'!$P$4:$P$8000,'Timesheet Raw'!$A$4:$A$8000,IF(ISNUMBER(SEARCH("Chargable",$A446)),"2-Proposals Chargeable","3-Proposals Regular"),'Timesheet Raw'!$C$4:$C$8000,"*"&amp;$B446&amp;"*",'Timesheet Raw'!$L$4:$L$8000,"&gt;="&amp;MAX(O$5,DATE(2000+VALUE(RIGHT(TRIM($A446),2)),1,1)),'Timesheet Raw'!$L$4:$L$8000,"&lt;="&amp;MIN(O$6,DATE(2000+VALUE(RIGHT(TRIM($A446),2)),12,31))),SUMIFS('Timesheet Raw'!$P$4:$P$8000,'Timesheet Raw'!$B$4:$B$8000,TRIM($A446),'Timesheet Raw'!$C$4:$C$8000,"*"&amp;$B446&amp;"*",'Timesheet Raw'!$L$4:$L$8000,"&gt;="&amp;O$5,'Timesheet Raw'!$L$4:$L$8000,"&lt;="&amp;O$6)))/'Profit Plan'!$B$5)</f>
        <v/>
      </c>
      <c r="P446" s="122" t="str">
        <f>IF($A446="","",(IF(ISNUMBER(SEARCH("Proposal",$A446)),SUMIFS('Timesheet Raw'!$P$4:$P$8000,'Timesheet Raw'!$A$4:$A$8000,IF(ISNUMBER(SEARCH("Chargable",$A446)),"2-Proposals Chargeable","3-Proposals Regular"),'Timesheet Raw'!$C$4:$C$8000,"*"&amp;$B446&amp;"*",'Timesheet Raw'!$L$4:$L$8000,"&gt;="&amp;MAX(P$5,DATE(2000+VALUE(RIGHT(TRIM($A446),2)),1,1)),'Timesheet Raw'!$L$4:$L$8000,"&lt;="&amp;MIN(P$6,DATE(2000+VALUE(RIGHT(TRIM($A446),2)),12,31))),SUMIFS('Timesheet Raw'!$P$4:$P$8000,'Timesheet Raw'!$B$4:$B$8000,TRIM($A446),'Timesheet Raw'!$C$4:$C$8000,"*"&amp;$B446&amp;"*",'Timesheet Raw'!$L$4:$L$8000,"&gt;="&amp;P$5,'Timesheet Raw'!$L$4:$L$8000,"&lt;="&amp;P$6)))/'Profit Plan'!$B$5)</f>
        <v/>
      </c>
      <c r="Q446" s="122" t="str">
        <f>IF($A446="","",(IF(ISNUMBER(SEARCH("Proposal",$A446)),SUMIFS('Timesheet Raw'!$P$4:$P$8000,'Timesheet Raw'!$A$4:$A$8000,IF(ISNUMBER(SEARCH("Chargable",$A446)),"2-Proposals Chargeable","3-Proposals Regular"),'Timesheet Raw'!$C$4:$C$8000,"*"&amp;$B446&amp;"*",'Timesheet Raw'!$L$4:$L$8000,"&gt;="&amp;MAX(Q$5,DATE(2000+VALUE(RIGHT(TRIM($A446),2)),1,1)),'Timesheet Raw'!$L$4:$L$8000,"&lt;="&amp;MIN(Q$6,DATE(2000+VALUE(RIGHT(TRIM($A446),2)),12,31))),SUMIFS('Timesheet Raw'!$P$4:$P$8000,'Timesheet Raw'!$B$4:$B$8000,TRIM($A446),'Timesheet Raw'!$C$4:$C$8000,"*"&amp;$B446&amp;"*",'Timesheet Raw'!$L$4:$L$8000,"&gt;="&amp;Q$5,'Timesheet Raw'!$L$4:$L$8000,"&lt;="&amp;Q$6)))/'Profit Plan'!$B$5)</f>
        <v/>
      </c>
      <c r="R446" s="122" t="str">
        <f>IF($A446="","",(IF(ISNUMBER(SEARCH("Proposal",$A446)),SUMIFS('Timesheet Raw'!$P$4:$P$8000,'Timesheet Raw'!$A$4:$A$8000,IF(ISNUMBER(SEARCH("Chargable",$A446)),"2-Proposals Chargeable","3-Proposals Regular"),'Timesheet Raw'!$C$4:$C$8000,"*"&amp;$B446&amp;"*",'Timesheet Raw'!$L$4:$L$8000,"&gt;="&amp;MAX(R$5,DATE(2000+VALUE(RIGHT(TRIM($A446),2)),1,1)),'Timesheet Raw'!$L$4:$L$8000,"&lt;="&amp;MIN(R$6,DATE(2000+VALUE(RIGHT(TRIM($A446),2)),12,31))),SUMIFS('Timesheet Raw'!$P$4:$P$8000,'Timesheet Raw'!$B$4:$B$8000,TRIM($A446),'Timesheet Raw'!$C$4:$C$8000,"*"&amp;$B446&amp;"*",'Timesheet Raw'!$L$4:$L$8000,"&gt;="&amp;R$5,'Timesheet Raw'!$L$4:$L$8000,"&lt;="&amp;R$6)))/'Profit Plan'!$B$5)</f>
        <v/>
      </c>
      <c r="S446" s="122" t="str">
        <f>IF($A446="","",(IF(ISNUMBER(SEARCH("Proposal",$A446)),SUMIFS('Timesheet Raw'!$P$4:$P$8000,'Timesheet Raw'!$A$4:$A$8000,IF(ISNUMBER(SEARCH("Chargable",$A446)),"2-Proposals Chargeable","3-Proposals Regular"),'Timesheet Raw'!$C$4:$C$8000,"*"&amp;$B446&amp;"*",'Timesheet Raw'!$L$4:$L$8000,"&gt;="&amp;MAX(S$5,DATE(2000+VALUE(RIGHT(TRIM($A446),2)),1,1)),'Timesheet Raw'!$L$4:$L$8000,"&lt;="&amp;MIN(S$6,DATE(2000+VALUE(RIGHT(TRIM($A446),2)),12,31))),SUMIFS('Timesheet Raw'!$P$4:$P$8000,'Timesheet Raw'!$B$4:$B$8000,TRIM($A446),'Timesheet Raw'!$C$4:$C$8000,"*"&amp;$B446&amp;"*",'Timesheet Raw'!$L$4:$L$8000,"&gt;="&amp;S$5,'Timesheet Raw'!$L$4:$L$8000,"&lt;="&amp;S$6)))/'Profit Plan'!$B$5)</f>
        <v/>
      </c>
      <c r="T446" s="122" t="str">
        <f>IF($A446="","",(IF(ISNUMBER(SEARCH("Proposal",$A446)),SUMIFS('Timesheet Raw'!$P$4:$P$8000,'Timesheet Raw'!$A$4:$A$8000,IF(ISNUMBER(SEARCH("Chargable",$A446)),"2-Proposals Chargeable","3-Proposals Regular"),'Timesheet Raw'!$C$4:$C$8000,"*"&amp;$B446&amp;"*",'Timesheet Raw'!$L$4:$L$8000,"&gt;="&amp;MAX(T$5,DATE(2000+VALUE(RIGHT(TRIM($A446),2)),1,1)),'Timesheet Raw'!$L$4:$L$8000,"&lt;="&amp;MIN(T$6,DATE(2000+VALUE(RIGHT(TRIM($A446),2)),12,31))),SUMIFS('Timesheet Raw'!$P$4:$P$8000,'Timesheet Raw'!$B$4:$B$8000,TRIM($A446),'Timesheet Raw'!$C$4:$C$8000,"*"&amp;$B446&amp;"*",'Timesheet Raw'!$L$4:$L$8000,"&gt;="&amp;T$5,'Timesheet Raw'!$L$4:$L$8000,"&lt;="&amp;T$6)))/'Profit Plan'!$B$5)</f>
        <v/>
      </c>
      <c r="U446" s="122" t="str">
        <f>IF($A446="","",(IF(ISNUMBER(SEARCH("Proposal",$A446)),SUMIFS('Timesheet Raw'!$P$4:$P$8000,'Timesheet Raw'!$A$4:$A$8000,IF(ISNUMBER(SEARCH("Chargable",$A446)),"2-Proposals Chargeable","3-Proposals Regular"),'Timesheet Raw'!$C$4:$C$8000,"*"&amp;$B446&amp;"*",'Timesheet Raw'!$L$4:$L$8000,"&gt;="&amp;MAX(U$5,DATE(2000+VALUE(RIGHT(TRIM($A446),2)),1,1)),'Timesheet Raw'!$L$4:$L$8000,"&lt;="&amp;MIN(U$6,DATE(2000+VALUE(RIGHT(TRIM($A446),2)),12,31))),SUMIFS('Timesheet Raw'!$P$4:$P$8000,'Timesheet Raw'!$B$4:$B$8000,TRIM($A446),'Timesheet Raw'!$C$4:$C$8000,"*"&amp;$B446&amp;"*",'Timesheet Raw'!$L$4:$L$8000,"&gt;="&amp;U$5,'Timesheet Raw'!$L$4:$L$8000,"&lt;="&amp;U$6)))/'Profit Plan'!$B$5)</f>
        <v/>
      </c>
      <c r="V446" s="122" t="str">
        <f>IF($A446="","",(IF(ISNUMBER(SEARCH("Proposal",$A446)),SUMIFS('Timesheet Raw'!$P$4:$P$8000,'Timesheet Raw'!$A$4:$A$8000,IF(ISNUMBER(SEARCH("Chargable",$A446)),"2-Proposals Chargeable","3-Proposals Regular"),'Timesheet Raw'!$C$4:$C$8000,"*"&amp;$B446&amp;"*",'Timesheet Raw'!$L$4:$L$8000,"&gt;="&amp;MAX(V$5,DATE(2000+VALUE(RIGHT(TRIM($A446),2)),1,1)),'Timesheet Raw'!$L$4:$L$8000,"&lt;="&amp;MIN(V$6,DATE(2000+VALUE(RIGHT(TRIM($A446),2)),12,31))),SUMIFS('Timesheet Raw'!$P$4:$P$8000,'Timesheet Raw'!$B$4:$B$8000,TRIM($A446),'Timesheet Raw'!$C$4:$C$8000,"*"&amp;$B446&amp;"*",'Timesheet Raw'!$L$4:$L$8000,"&gt;="&amp;V$5,'Timesheet Raw'!$L$4:$L$8000,"&lt;="&amp;V$6)))/'Profit Plan'!$B$5)</f>
        <v/>
      </c>
      <c r="W446" s="122" t="str">
        <f>IF($A446="","",(IF(ISNUMBER(SEARCH("Proposal",$A446)),SUMIFS('Timesheet Raw'!$P$4:$P$8000,'Timesheet Raw'!$A$4:$A$8000,IF(ISNUMBER(SEARCH("Chargable",$A446)),"2-Proposals Chargeable","3-Proposals Regular"),'Timesheet Raw'!$C$4:$C$8000,"*"&amp;$B446&amp;"*",'Timesheet Raw'!$L$4:$L$8000,"&gt;="&amp;MAX(W$5,DATE(2000+VALUE(RIGHT(TRIM($A446),2)),1,1)),'Timesheet Raw'!$L$4:$L$8000,"&lt;="&amp;MIN(W$6,DATE(2000+VALUE(RIGHT(TRIM($A446),2)),12,31))),SUMIFS('Timesheet Raw'!$P$4:$P$8000,'Timesheet Raw'!$B$4:$B$8000,TRIM($A446),'Timesheet Raw'!$C$4:$C$8000,"*"&amp;$B446&amp;"*",'Timesheet Raw'!$L$4:$L$8000,"&gt;="&amp;W$5,'Timesheet Raw'!$L$4:$L$8000,"&lt;="&amp;W$6)))/'Profit Plan'!$B$5)</f>
        <v/>
      </c>
      <c r="X446" s="122" t="str">
        <f>IF($A446="","",(IF(ISNUMBER(SEARCH("Proposal",$A446)),SUMIFS('Timesheet Raw'!$P$4:$P$8000,'Timesheet Raw'!$A$4:$A$8000,IF(ISNUMBER(SEARCH("Chargable",$A446)),"2-Proposals Chargeable","3-Proposals Regular"),'Timesheet Raw'!$C$4:$C$8000,"*"&amp;$B446&amp;"*",'Timesheet Raw'!$L$4:$L$8000,"&gt;="&amp;MAX(X$5,DATE(2000+VALUE(RIGHT(TRIM($A446),2)),1,1)),'Timesheet Raw'!$L$4:$L$8000,"&lt;="&amp;MIN(X$6,DATE(2000+VALUE(RIGHT(TRIM($A446),2)),12,31))),SUMIFS('Timesheet Raw'!$P$4:$P$8000,'Timesheet Raw'!$B$4:$B$8000,TRIM($A446),'Timesheet Raw'!$C$4:$C$8000,"*"&amp;$B446&amp;"*",'Timesheet Raw'!$L$4:$L$8000,"&gt;="&amp;X$5,'Timesheet Raw'!$L$4:$L$8000,"&lt;="&amp;X$6)))/'Profit Plan'!$B$5)</f>
        <v/>
      </c>
      <c r="Y446" s="118">
        <f t="shared" si="102"/>
        <v>0</v>
      </c>
    </row>
    <row r="447" spans="1:25" x14ac:dyDescent="0.3">
      <c r="A447" s="116" t="str">
        <f>IF(Inputs!$A66="","",Inputs!$A66)</f>
        <v/>
      </c>
      <c r="B447" s="116" t="str">
        <f>IF(Inputs!$A66="","",Inputs!$A$93)</f>
        <v/>
      </c>
      <c r="C447" s="116"/>
      <c r="D447" s="122" t="str">
        <f>IF($A447="","",(IF(ISNUMBER(SEARCH("Proposal",$A447)),SUMIFS('Timesheet Raw'!$P$4:$P$8000,'Timesheet Raw'!$A$4:$A$8000,IF(ISNUMBER(SEARCH("Chargable",$A447)),"2-Proposals Chargeable","3-Proposals Regular"),'Timesheet Raw'!$C$4:$C$8000,"*"&amp;$B447&amp;"*",'Timesheet Raw'!$L$4:$L$8000,"&gt;="&amp;MAX(D$5,DATE(2000+VALUE(RIGHT(TRIM($A447),2)),1,1)),'Timesheet Raw'!$L$4:$L$8000,"&lt;="&amp;MIN(D$6,DATE(2000+VALUE(RIGHT(TRIM($A447),2)),12,31))),SUMIFS('Timesheet Raw'!$P$4:$P$8000,'Timesheet Raw'!$B$4:$B$8000,TRIM($A447),'Timesheet Raw'!$C$4:$C$8000,"*"&amp;$B447&amp;"*",'Timesheet Raw'!$L$4:$L$8000,"&gt;="&amp;D$5,'Timesheet Raw'!$L$4:$L$8000,"&lt;="&amp;D$6)))/'Profit Plan'!$B$5)</f>
        <v/>
      </c>
      <c r="E447" s="122" t="str">
        <f>IF($A447="","",(IF(ISNUMBER(SEARCH("Proposal",$A447)),SUMIFS('Timesheet Raw'!$P$4:$P$8000,'Timesheet Raw'!$A$4:$A$8000,IF(ISNUMBER(SEARCH("Chargable",$A447)),"2-Proposals Chargeable","3-Proposals Regular"),'Timesheet Raw'!$C$4:$C$8000,"*"&amp;$B447&amp;"*",'Timesheet Raw'!$L$4:$L$8000,"&gt;="&amp;MAX(E$5,DATE(2000+VALUE(RIGHT(TRIM($A447),2)),1,1)),'Timesheet Raw'!$L$4:$L$8000,"&lt;="&amp;MIN(E$6,DATE(2000+VALUE(RIGHT(TRIM($A447),2)),12,31))),SUMIFS('Timesheet Raw'!$P$4:$P$8000,'Timesheet Raw'!$B$4:$B$8000,TRIM($A447),'Timesheet Raw'!$C$4:$C$8000,"*"&amp;$B447&amp;"*",'Timesheet Raw'!$L$4:$L$8000,"&gt;="&amp;E$5,'Timesheet Raw'!$L$4:$L$8000,"&lt;="&amp;E$6)))/'Profit Plan'!$B$5)</f>
        <v/>
      </c>
      <c r="F447" s="122" t="str">
        <f>IF($A447="","",(IF(ISNUMBER(SEARCH("Proposal",$A447)),SUMIFS('Timesheet Raw'!$P$4:$P$8000,'Timesheet Raw'!$A$4:$A$8000,IF(ISNUMBER(SEARCH("Chargable",$A447)),"2-Proposals Chargeable","3-Proposals Regular"),'Timesheet Raw'!$C$4:$C$8000,"*"&amp;$B447&amp;"*",'Timesheet Raw'!$L$4:$L$8000,"&gt;="&amp;MAX(F$5,DATE(2000+VALUE(RIGHT(TRIM($A447),2)),1,1)),'Timesheet Raw'!$L$4:$L$8000,"&lt;="&amp;MIN(F$6,DATE(2000+VALUE(RIGHT(TRIM($A447),2)),12,31))),SUMIFS('Timesheet Raw'!$P$4:$P$8000,'Timesheet Raw'!$B$4:$B$8000,TRIM($A447),'Timesheet Raw'!$C$4:$C$8000,"*"&amp;$B447&amp;"*",'Timesheet Raw'!$L$4:$L$8000,"&gt;="&amp;F$5,'Timesheet Raw'!$L$4:$L$8000,"&lt;="&amp;F$6)))/'Profit Plan'!$B$5)</f>
        <v/>
      </c>
      <c r="G447" s="122" t="str">
        <f>IF($A447="","",(IF(ISNUMBER(SEARCH("Proposal",$A447)),SUMIFS('Timesheet Raw'!$P$4:$P$8000,'Timesheet Raw'!$A$4:$A$8000,IF(ISNUMBER(SEARCH("Chargable",$A447)),"2-Proposals Chargeable","3-Proposals Regular"),'Timesheet Raw'!$C$4:$C$8000,"*"&amp;$B447&amp;"*",'Timesheet Raw'!$L$4:$L$8000,"&gt;="&amp;MAX(G$5,DATE(2000+VALUE(RIGHT(TRIM($A447),2)),1,1)),'Timesheet Raw'!$L$4:$L$8000,"&lt;="&amp;MIN(G$6,DATE(2000+VALUE(RIGHT(TRIM($A447),2)),12,31))),SUMIFS('Timesheet Raw'!$P$4:$P$8000,'Timesheet Raw'!$B$4:$B$8000,TRIM($A447),'Timesheet Raw'!$C$4:$C$8000,"*"&amp;$B447&amp;"*",'Timesheet Raw'!$L$4:$L$8000,"&gt;="&amp;G$5,'Timesheet Raw'!$L$4:$L$8000,"&lt;="&amp;G$6)))/'Profit Plan'!$B$5)</f>
        <v/>
      </c>
      <c r="H447" s="122" t="str">
        <f>IF($A447="","",(IF(ISNUMBER(SEARCH("Proposal",$A447)),SUMIFS('Timesheet Raw'!$P$4:$P$8000,'Timesheet Raw'!$A$4:$A$8000,IF(ISNUMBER(SEARCH("Chargable",$A447)),"2-Proposals Chargeable","3-Proposals Regular"),'Timesheet Raw'!$C$4:$C$8000,"*"&amp;$B447&amp;"*",'Timesheet Raw'!$L$4:$L$8000,"&gt;="&amp;MAX(H$5,DATE(2000+VALUE(RIGHT(TRIM($A447),2)),1,1)),'Timesheet Raw'!$L$4:$L$8000,"&lt;="&amp;MIN(H$6,DATE(2000+VALUE(RIGHT(TRIM($A447),2)),12,31))),SUMIFS('Timesheet Raw'!$P$4:$P$8000,'Timesheet Raw'!$B$4:$B$8000,TRIM($A447),'Timesheet Raw'!$C$4:$C$8000,"*"&amp;$B447&amp;"*",'Timesheet Raw'!$L$4:$L$8000,"&gt;="&amp;H$5,'Timesheet Raw'!$L$4:$L$8000,"&lt;="&amp;H$6)))/'Profit Plan'!$B$5)</f>
        <v/>
      </c>
      <c r="I447" s="122" t="str">
        <f>IF($A447="","",(IF(ISNUMBER(SEARCH("Proposal",$A447)),SUMIFS('Timesheet Raw'!$P$4:$P$8000,'Timesheet Raw'!$A$4:$A$8000,IF(ISNUMBER(SEARCH("Chargable",$A447)),"2-Proposals Chargeable","3-Proposals Regular"),'Timesheet Raw'!$C$4:$C$8000,"*"&amp;$B447&amp;"*",'Timesheet Raw'!$L$4:$L$8000,"&gt;="&amp;MAX(I$5,DATE(2000+VALUE(RIGHT(TRIM($A447),2)),1,1)),'Timesheet Raw'!$L$4:$L$8000,"&lt;="&amp;MIN(I$6,DATE(2000+VALUE(RIGHT(TRIM($A447),2)),12,31))),SUMIFS('Timesheet Raw'!$P$4:$P$8000,'Timesheet Raw'!$B$4:$B$8000,TRIM($A447),'Timesheet Raw'!$C$4:$C$8000,"*"&amp;$B447&amp;"*",'Timesheet Raw'!$L$4:$L$8000,"&gt;="&amp;I$5,'Timesheet Raw'!$L$4:$L$8000,"&lt;="&amp;I$6)))/'Profit Plan'!$B$5)</f>
        <v/>
      </c>
      <c r="J447" s="122" t="str">
        <f>IF($A447="","",(IF(ISNUMBER(SEARCH("Proposal",$A447)),SUMIFS('Timesheet Raw'!$P$4:$P$8000,'Timesheet Raw'!$A$4:$A$8000,IF(ISNUMBER(SEARCH("Chargable",$A447)),"2-Proposals Chargeable","3-Proposals Regular"),'Timesheet Raw'!$C$4:$C$8000,"*"&amp;$B447&amp;"*",'Timesheet Raw'!$L$4:$L$8000,"&gt;="&amp;MAX(J$5,DATE(2000+VALUE(RIGHT(TRIM($A447),2)),1,1)),'Timesheet Raw'!$L$4:$L$8000,"&lt;="&amp;MIN(J$6,DATE(2000+VALUE(RIGHT(TRIM($A447),2)),12,31))),SUMIFS('Timesheet Raw'!$P$4:$P$8000,'Timesheet Raw'!$B$4:$B$8000,TRIM($A447),'Timesheet Raw'!$C$4:$C$8000,"*"&amp;$B447&amp;"*",'Timesheet Raw'!$L$4:$L$8000,"&gt;="&amp;J$5,'Timesheet Raw'!$L$4:$L$8000,"&lt;="&amp;J$6)))/'Profit Plan'!$B$5)</f>
        <v/>
      </c>
      <c r="K447" s="122" t="str">
        <f>IF($A447="","",(IF(ISNUMBER(SEARCH("Proposal",$A447)),SUMIFS('Timesheet Raw'!$P$4:$P$8000,'Timesheet Raw'!$A$4:$A$8000,IF(ISNUMBER(SEARCH("Chargable",$A447)),"2-Proposals Chargeable","3-Proposals Regular"),'Timesheet Raw'!$C$4:$C$8000,"*"&amp;$B447&amp;"*",'Timesheet Raw'!$L$4:$L$8000,"&gt;="&amp;MAX(K$5,DATE(2000+VALUE(RIGHT(TRIM($A447),2)),1,1)),'Timesheet Raw'!$L$4:$L$8000,"&lt;="&amp;MIN(K$6,DATE(2000+VALUE(RIGHT(TRIM($A447),2)),12,31))),SUMIFS('Timesheet Raw'!$P$4:$P$8000,'Timesheet Raw'!$B$4:$B$8000,TRIM($A447),'Timesheet Raw'!$C$4:$C$8000,"*"&amp;$B447&amp;"*",'Timesheet Raw'!$L$4:$L$8000,"&gt;="&amp;K$5,'Timesheet Raw'!$L$4:$L$8000,"&lt;="&amp;K$6)))/'Profit Plan'!$B$5)</f>
        <v/>
      </c>
      <c r="L447" s="122" t="str">
        <f>IF($A447="","",(IF(ISNUMBER(SEARCH("Proposal",$A447)),SUMIFS('Timesheet Raw'!$P$4:$P$8000,'Timesheet Raw'!$A$4:$A$8000,IF(ISNUMBER(SEARCH("Chargable",$A447)),"2-Proposals Chargeable","3-Proposals Regular"),'Timesheet Raw'!$C$4:$C$8000,"*"&amp;$B447&amp;"*",'Timesheet Raw'!$L$4:$L$8000,"&gt;="&amp;MAX(L$5,DATE(2000+VALUE(RIGHT(TRIM($A447),2)),1,1)),'Timesheet Raw'!$L$4:$L$8000,"&lt;="&amp;MIN(L$6,DATE(2000+VALUE(RIGHT(TRIM($A447),2)),12,31))),SUMIFS('Timesheet Raw'!$P$4:$P$8000,'Timesheet Raw'!$B$4:$B$8000,TRIM($A447),'Timesheet Raw'!$C$4:$C$8000,"*"&amp;$B447&amp;"*",'Timesheet Raw'!$L$4:$L$8000,"&gt;="&amp;L$5,'Timesheet Raw'!$L$4:$L$8000,"&lt;="&amp;L$6)))/'Profit Plan'!$B$5)</f>
        <v/>
      </c>
      <c r="M447" s="122" t="str">
        <f>IF($A447="","",(IF(ISNUMBER(SEARCH("Proposal",$A447)),SUMIFS('Timesheet Raw'!$P$4:$P$8000,'Timesheet Raw'!$A$4:$A$8000,IF(ISNUMBER(SEARCH("Chargable",$A447)),"2-Proposals Chargeable","3-Proposals Regular"),'Timesheet Raw'!$C$4:$C$8000,"*"&amp;$B447&amp;"*",'Timesheet Raw'!$L$4:$L$8000,"&gt;="&amp;MAX(M$5,DATE(2000+VALUE(RIGHT(TRIM($A447),2)),1,1)),'Timesheet Raw'!$L$4:$L$8000,"&lt;="&amp;MIN(M$6,DATE(2000+VALUE(RIGHT(TRIM($A447),2)),12,31))),SUMIFS('Timesheet Raw'!$P$4:$P$8000,'Timesheet Raw'!$B$4:$B$8000,TRIM($A447),'Timesheet Raw'!$C$4:$C$8000,"*"&amp;$B447&amp;"*",'Timesheet Raw'!$L$4:$L$8000,"&gt;="&amp;M$5,'Timesheet Raw'!$L$4:$L$8000,"&lt;="&amp;M$6)))/'Profit Plan'!$B$5)</f>
        <v/>
      </c>
      <c r="N447" s="122" t="str">
        <f>IF($A447="","",(IF(ISNUMBER(SEARCH("Proposal",$A447)),SUMIFS('Timesheet Raw'!$P$4:$P$8000,'Timesheet Raw'!$A$4:$A$8000,IF(ISNUMBER(SEARCH("Chargable",$A447)),"2-Proposals Chargeable","3-Proposals Regular"),'Timesheet Raw'!$C$4:$C$8000,"*"&amp;$B447&amp;"*",'Timesheet Raw'!$L$4:$L$8000,"&gt;="&amp;MAX(N$5,DATE(2000+VALUE(RIGHT(TRIM($A447),2)),1,1)),'Timesheet Raw'!$L$4:$L$8000,"&lt;="&amp;MIN(N$6,DATE(2000+VALUE(RIGHT(TRIM($A447),2)),12,31))),SUMIFS('Timesheet Raw'!$P$4:$P$8000,'Timesheet Raw'!$B$4:$B$8000,TRIM($A447),'Timesheet Raw'!$C$4:$C$8000,"*"&amp;$B447&amp;"*",'Timesheet Raw'!$L$4:$L$8000,"&gt;="&amp;N$5,'Timesheet Raw'!$L$4:$L$8000,"&lt;="&amp;N$6)))/'Profit Plan'!$B$5)</f>
        <v/>
      </c>
      <c r="O447" s="122" t="str">
        <f>IF($A447="","",(IF(ISNUMBER(SEARCH("Proposal",$A447)),SUMIFS('Timesheet Raw'!$P$4:$P$8000,'Timesheet Raw'!$A$4:$A$8000,IF(ISNUMBER(SEARCH("Chargable",$A447)),"2-Proposals Chargeable","3-Proposals Regular"),'Timesheet Raw'!$C$4:$C$8000,"*"&amp;$B447&amp;"*",'Timesheet Raw'!$L$4:$L$8000,"&gt;="&amp;MAX(O$5,DATE(2000+VALUE(RIGHT(TRIM($A447),2)),1,1)),'Timesheet Raw'!$L$4:$L$8000,"&lt;="&amp;MIN(O$6,DATE(2000+VALUE(RIGHT(TRIM($A447),2)),12,31))),SUMIFS('Timesheet Raw'!$P$4:$P$8000,'Timesheet Raw'!$B$4:$B$8000,TRIM($A447),'Timesheet Raw'!$C$4:$C$8000,"*"&amp;$B447&amp;"*",'Timesheet Raw'!$L$4:$L$8000,"&gt;="&amp;O$5,'Timesheet Raw'!$L$4:$L$8000,"&lt;="&amp;O$6)))/'Profit Plan'!$B$5)</f>
        <v/>
      </c>
      <c r="P447" s="122" t="str">
        <f>IF($A447="","",(IF(ISNUMBER(SEARCH("Proposal",$A447)),SUMIFS('Timesheet Raw'!$P$4:$P$8000,'Timesheet Raw'!$A$4:$A$8000,IF(ISNUMBER(SEARCH("Chargable",$A447)),"2-Proposals Chargeable","3-Proposals Regular"),'Timesheet Raw'!$C$4:$C$8000,"*"&amp;$B447&amp;"*",'Timesheet Raw'!$L$4:$L$8000,"&gt;="&amp;MAX(P$5,DATE(2000+VALUE(RIGHT(TRIM($A447),2)),1,1)),'Timesheet Raw'!$L$4:$L$8000,"&lt;="&amp;MIN(P$6,DATE(2000+VALUE(RIGHT(TRIM($A447),2)),12,31))),SUMIFS('Timesheet Raw'!$P$4:$P$8000,'Timesheet Raw'!$B$4:$B$8000,TRIM($A447),'Timesheet Raw'!$C$4:$C$8000,"*"&amp;$B447&amp;"*",'Timesheet Raw'!$L$4:$L$8000,"&gt;="&amp;P$5,'Timesheet Raw'!$L$4:$L$8000,"&lt;="&amp;P$6)))/'Profit Plan'!$B$5)</f>
        <v/>
      </c>
      <c r="Q447" s="122" t="str">
        <f>IF($A447="","",(IF(ISNUMBER(SEARCH("Proposal",$A447)),SUMIFS('Timesheet Raw'!$P$4:$P$8000,'Timesheet Raw'!$A$4:$A$8000,IF(ISNUMBER(SEARCH("Chargable",$A447)),"2-Proposals Chargeable","3-Proposals Regular"),'Timesheet Raw'!$C$4:$C$8000,"*"&amp;$B447&amp;"*",'Timesheet Raw'!$L$4:$L$8000,"&gt;="&amp;MAX(Q$5,DATE(2000+VALUE(RIGHT(TRIM($A447),2)),1,1)),'Timesheet Raw'!$L$4:$L$8000,"&lt;="&amp;MIN(Q$6,DATE(2000+VALUE(RIGHT(TRIM($A447),2)),12,31))),SUMIFS('Timesheet Raw'!$P$4:$P$8000,'Timesheet Raw'!$B$4:$B$8000,TRIM($A447),'Timesheet Raw'!$C$4:$C$8000,"*"&amp;$B447&amp;"*",'Timesheet Raw'!$L$4:$L$8000,"&gt;="&amp;Q$5,'Timesheet Raw'!$L$4:$L$8000,"&lt;="&amp;Q$6)))/'Profit Plan'!$B$5)</f>
        <v/>
      </c>
      <c r="R447" s="122" t="str">
        <f>IF($A447="","",(IF(ISNUMBER(SEARCH("Proposal",$A447)),SUMIFS('Timesheet Raw'!$P$4:$P$8000,'Timesheet Raw'!$A$4:$A$8000,IF(ISNUMBER(SEARCH("Chargable",$A447)),"2-Proposals Chargeable","3-Proposals Regular"),'Timesheet Raw'!$C$4:$C$8000,"*"&amp;$B447&amp;"*",'Timesheet Raw'!$L$4:$L$8000,"&gt;="&amp;MAX(R$5,DATE(2000+VALUE(RIGHT(TRIM($A447),2)),1,1)),'Timesheet Raw'!$L$4:$L$8000,"&lt;="&amp;MIN(R$6,DATE(2000+VALUE(RIGHT(TRIM($A447),2)),12,31))),SUMIFS('Timesheet Raw'!$P$4:$P$8000,'Timesheet Raw'!$B$4:$B$8000,TRIM($A447),'Timesheet Raw'!$C$4:$C$8000,"*"&amp;$B447&amp;"*",'Timesheet Raw'!$L$4:$L$8000,"&gt;="&amp;R$5,'Timesheet Raw'!$L$4:$L$8000,"&lt;="&amp;R$6)))/'Profit Plan'!$B$5)</f>
        <v/>
      </c>
      <c r="S447" s="122" t="str">
        <f>IF($A447="","",(IF(ISNUMBER(SEARCH("Proposal",$A447)),SUMIFS('Timesheet Raw'!$P$4:$P$8000,'Timesheet Raw'!$A$4:$A$8000,IF(ISNUMBER(SEARCH("Chargable",$A447)),"2-Proposals Chargeable","3-Proposals Regular"),'Timesheet Raw'!$C$4:$C$8000,"*"&amp;$B447&amp;"*",'Timesheet Raw'!$L$4:$L$8000,"&gt;="&amp;MAX(S$5,DATE(2000+VALUE(RIGHT(TRIM($A447),2)),1,1)),'Timesheet Raw'!$L$4:$L$8000,"&lt;="&amp;MIN(S$6,DATE(2000+VALUE(RIGHT(TRIM($A447),2)),12,31))),SUMIFS('Timesheet Raw'!$P$4:$P$8000,'Timesheet Raw'!$B$4:$B$8000,TRIM($A447),'Timesheet Raw'!$C$4:$C$8000,"*"&amp;$B447&amp;"*",'Timesheet Raw'!$L$4:$L$8000,"&gt;="&amp;S$5,'Timesheet Raw'!$L$4:$L$8000,"&lt;="&amp;S$6)))/'Profit Plan'!$B$5)</f>
        <v/>
      </c>
      <c r="T447" s="122" t="str">
        <f>IF($A447="","",(IF(ISNUMBER(SEARCH("Proposal",$A447)),SUMIFS('Timesheet Raw'!$P$4:$P$8000,'Timesheet Raw'!$A$4:$A$8000,IF(ISNUMBER(SEARCH("Chargable",$A447)),"2-Proposals Chargeable","3-Proposals Regular"),'Timesheet Raw'!$C$4:$C$8000,"*"&amp;$B447&amp;"*",'Timesheet Raw'!$L$4:$L$8000,"&gt;="&amp;MAX(T$5,DATE(2000+VALUE(RIGHT(TRIM($A447),2)),1,1)),'Timesheet Raw'!$L$4:$L$8000,"&lt;="&amp;MIN(T$6,DATE(2000+VALUE(RIGHT(TRIM($A447),2)),12,31))),SUMIFS('Timesheet Raw'!$P$4:$P$8000,'Timesheet Raw'!$B$4:$B$8000,TRIM($A447),'Timesheet Raw'!$C$4:$C$8000,"*"&amp;$B447&amp;"*",'Timesheet Raw'!$L$4:$L$8000,"&gt;="&amp;T$5,'Timesheet Raw'!$L$4:$L$8000,"&lt;="&amp;T$6)))/'Profit Plan'!$B$5)</f>
        <v/>
      </c>
      <c r="U447" s="122" t="str">
        <f>IF($A447="","",(IF(ISNUMBER(SEARCH("Proposal",$A447)),SUMIFS('Timesheet Raw'!$P$4:$P$8000,'Timesheet Raw'!$A$4:$A$8000,IF(ISNUMBER(SEARCH("Chargable",$A447)),"2-Proposals Chargeable","3-Proposals Regular"),'Timesheet Raw'!$C$4:$C$8000,"*"&amp;$B447&amp;"*",'Timesheet Raw'!$L$4:$L$8000,"&gt;="&amp;MAX(U$5,DATE(2000+VALUE(RIGHT(TRIM($A447),2)),1,1)),'Timesheet Raw'!$L$4:$L$8000,"&lt;="&amp;MIN(U$6,DATE(2000+VALUE(RIGHT(TRIM($A447),2)),12,31))),SUMIFS('Timesheet Raw'!$P$4:$P$8000,'Timesheet Raw'!$B$4:$B$8000,TRIM($A447),'Timesheet Raw'!$C$4:$C$8000,"*"&amp;$B447&amp;"*",'Timesheet Raw'!$L$4:$L$8000,"&gt;="&amp;U$5,'Timesheet Raw'!$L$4:$L$8000,"&lt;="&amp;U$6)))/'Profit Plan'!$B$5)</f>
        <v/>
      </c>
      <c r="V447" s="122" t="str">
        <f>IF($A447="","",(IF(ISNUMBER(SEARCH("Proposal",$A447)),SUMIFS('Timesheet Raw'!$P$4:$P$8000,'Timesheet Raw'!$A$4:$A$8000,IF(ISNUMBER(SEARCH("Chargable",$A447)),"2-Proposals Chargeable","3-Proposals Regular"),'Timesheet Raw'!$C$4:$C$8000,"*"&amp;$B447&amp;"*",'Timesheet Raw'!$L$4:$L$8000,"&gt;="&amp;MAX(V$5,DATE(2000+VALUE(RIGHT(TRIM($A447),2)),1,1)),'Timesheet Raw'!$L$4:$L$8000,"&lt;="&amp;MIN(V$6,DATE(2000+VALUE(RIGHT(TRIM($A447),2)),12,31))),SUMIFS('Timesheet Raw'!$P$4:$P$8000,'Timesheet Raw'!$B$4:$B$8000,TRIM($A447),'Timesheet Raw'!$C$4:$C$8000,"*"&amp;$B447&amp;"*",'Timesheet Raw'!$L$4:$L$8000,"&gt;="&amp;V$5,'Timesheet Raw'!$L$4:$L$8000,"&lt;="&amp;V$6)))/'Profit Plan'!$B$5)</f>
        <v/>
      </c>
      <c r="W447" s="122" t="str">
        <f>IF($A447="","",(IF(ISNUMBER(SEARCH("Proposal",$A447)),SUMIFS('Timesheet Raw'!$P$4:$P$8000,'Timesheet Raw'!$A$4:$A$8000,IF(ISNUMBER(SEARCH("Chargable",$A447)),"2-Proposals Chargeable","3-Proposals Regular"),'Timesheet Raw'!$C$4:$C$8000,"*"&amp;$B447&amp;"*",'Timesheet Raw'!$L$4:$L$8000,"&gt;="&amp;MAX(W$5,DATE(2000+VALUE(RIGHT(TRIM($A447),2)),1,1)),'Timesheet Raw'!$L$4:$L$8000,"&lt;="&amp;MIN(W$6,DATE(2000+VALUE(RIGHT(TRIM($A447),2)),12,31))),SUMIFS('Timesheet Raw'!$P$4:$P$8000,'Timesheet Raw'!$B$4:$B$8000,TRIM($A447),'Timesheet Raw'!$C$4:$C$8000,"*"&amp;$B447&amp;"*",'Timesheet Raw'!$L$4:$L$8000,"&gt;="&amp;W$5,'Timesheet Raw'!$L$4:$L$8000,"&lt;="&amp;W$6)))/'Profit Plan'!$B$5)</f>
        <v/>
      </c>
      <c r="X447" s="122" t="str">
        <f>IF($A447="","",(IF(ISNUMBER(SEARCH("Proposal",$A447)),SUMIFS('Timesheet Raw'!$P$4:$P$8000,'Timesheet Raw'!$A$4:$A$8000,IF(ISNUMBER(SEARCH("Chargable",$A447)),"2-Proposals Chargeable","3-Proposals Regular"),'Timesheet Raw'!$C$4:$C$8000,"*"&amp;$B447&amp;"*",'Timesheet Raw'!$L$4:$L$8000,"&gt;="&amp;MAX(X$5,DATE(2000+VALUE(RIGHT(TRIM($A447),2)),1,1)),'Timesheet Raw'!$L$4:$L$8000,"&lt;="&amp;MIN(X$6,DATE(2000+VALUE(RIGHT(TRIM($A447),2)),12,31))),SUMIFS('Timesheet Raw'!$P$4:$P$8000,'Timesheet Raw'!$B$4:$B$8000,TRIM($A447),'Timesheet Raw'!$C$4:$C$8000,"*"&amp;$B447&amp;"*",'Timesheet Raw'!$L$4:$L$8000,"&gt;="&amp;X$5,'Timesheet Raw'!$L$4:$L$8000,"&lt;="&amp;X$6)))/'Profit Plan'!$B$5)</f>
        <v/>
      </c>
      <c r="Y447" s="118">
        <f t="shared" si="102"/>
        <v>0</v>
      </c>
    </row>
    <row r="448" spans="1:25" x14ac:dyDescent="0.3">
      <c r="A448" s="116" t="str">
        <f>IF(Inputs!$A67="","",Inputs!$A67)</f>
        <v/>
      </c>
      <c r="B448" s="116" t="str">
        <f>IF(Inputs!$A67="","",Inputs!$A$91)</f>
        <v/>
      </c>
      <c r="C448" s="116"/>
      <c r="D448" s="122" t="str">
        <f>IF($A448="","",(IF(ISNUMBER(SEARCH("Proposal",$A448)),SUMIFS('Timesheet Raw'!$P$4:$P$8000,'Timesheet Raw'!$A$4:$A$8000,IF(ISNUMBER(SEARCH("Chargable",$A448)),"2-Proposals Chargeable","3-Proposals Regular"),'Timesheet Raw'!$C$4:$C$8000,"*"&amp;$B448&amp;"*",'Timesheet Raw'!$L$4:$L$8000,"&gt;="&amp;MAX(D$5,DATE(2000+VALUE(RIGHT(TRIM($A448),2)),1,1)),'Timesheet Raw'!$L$4:$L$8000,"&lt;="&amp;MIN(D$6,DATE(2000+VALUE(RIGHT(TRIM($A448),2)),12,31))),SUMIFS('Timesheet Raw'!$P$4:$P$8000,'Timesheet Raw'!$B$4:$B$8000,TRIM($A448),'Timesheet Raw'!$C$4:$C$8000,"*"&amp;$B448&amp;"*",'Timesheet Raw'!$L$4:$L$8000,"&gt;="&amp;D$5,'Timesheet Raw'!$L$4:$L$8000,"&lt;="&amp;D$6)))/'Profit Plan'!$B$5)</f>
        <v/>
      </c>
      <c r="E448" s="122" t="str">
        <f>IF($A448="","",(IF(ISNUMBER(SEARCH("Proposal",$A448)),SUMIFS('Timesheet Raw'!$P$4:$P$8000,'Timesheet Raw'!$A$4:$A$8000,IF(ISNUMBER(SEARCH("Chargable",$A448)),"2-Proposals Chargeable","3-Proposals Regular"),'Timesheet Raw'!$C$4:$C$8000,"*"&amp;$B448&amp;"*",'Timesheet Raw'!$L$4:$L$8000,"&gt;="&amp;MAX(E$5,DATE(2000+VALUE(RIGHT(TRIM($A448),2)),1,1)),'Timesheet Raw'!$L$4:$L$8000,"&lt;="&amp;MIN(E$6,DATE(2000+VALUE(RIGHT(TRIM($A448),2)),12,31))),SUMIFS('Timesheet Raw'!$P$4:$P$8000,'Timesheet Raw'!$B$4:$B$8000,TRIM($A448),'Timesheet Raw'!$C$4:$C$8000,"*"&amp;$B448&amp;"*",'Timesheet Raw'!$L$4:$L$8000,"&gt;="&amp;E$5,'Timesheet Raw'!$L$4:$L$8000,"&lt;="&amp;E$6)))/'Profit Plan'!$B$5)</f>
        <v/>
      </c>
      <c r="F448" s="122" t="str">
        <f>IF($A448="","",(IF(ISNUMBER(SEARCH("Proposal",$A448)),SUMIFS('Timesheet Raw'!$P$4:$P$8000,'Timesheet Raw'!$A$4:$A$8000,IF(ISNUMBER(SEARCH("Chargable",$A448)),"2-Proposals Chargeable","3-Proposals Regular"),'Timesheet Raw'!$C$4:$C$8000,"*"&amp;$B448&amp;"*",'Timesheet Raw'!$L$4:$L$8000,"&gt;="&amp;MAX(F$5,DATE(2000+VALUE(RIGHT(TRIM($A448),2)),1,1)),'Timesheet Raw'!$L$4:$L$8000,"&lt;="&amp;MIN(F$6,DATE(2000+VALUE(RIGHT(TRIM($A448),2)),12,31))),SUMIFS('Timesheet Raw'!$P$4:$P$8000,'Timesheet Raw'!$B$4:$B$8000,TRIM($A448),'Timesheet Raw'!$C$4:$C$8000,"*"&amp;$B448&amp;"*",'Timesheet Raw'!$L$4:$L$8000,"&gt;="&amp;F$5,'Timesheet Raw'!$L$4:$L$8000,"&lt;="&amp;F$6)))/'Profit Plan'!$B$5)</f>
        <v/>
      </c>
      <c r="G448" s="122" t="str">
        <f>IF($A448="","",(IF(ISNUMBER(SEARCH("Proposal",$A448)),SUMIFS('Timesheet Raw'!$P$4:$P$8000,'Timesheet Raw'!$A$4:$A$8000,IF(ISNUMBER(SEARCH("Chargable",$A448)),"2-Proposals Chargeable","3-Proposals Regular"),'Timesheet Raw'!$C$4:$C$8000,"*"&amp;$B448&amp;"*",'Timesheet Raw'!$L$4:$L$8000,"&gt;="&amp;MAX(G$5,DATE(2000+VALUE(RIGHT(TRIM($A448),2)),1,1)),'Timesheet Raw'!$L$4:$L$8000,"&lt;="&amp;MIN(G$6,DATE(2000+VALUE(RIGHT(TRIM($A448),2)),12,31))),SUMIFS('Timesheet Raw'!$P$4:$P$8000,'Timesheet Raw'!$B$4:$B$8000,TRIM($A448),'Timesheet Raw'!$C$4:$C$8000,"*"&amp;$B448&amp;"*",'Timesheet Raw'!$L$4:$L$8000,"&gt;="&amp;G$5,'Timesheet Raw'!$L$4:$L$8000,"&lt;="&amp;G$6)))/'Profit Plan'!$B$5)</f>
        <v/>
      </c>
      <c r="H448" s="122" t="str">
        <f>IF($A448="","",(IF(ISNUMBER(SEARCH("Proposal",$A448)),SUMIFS('Timesheet Raw'!$P$4:$P$8000,'Timesheet Raw'!$A$4:$A$8000,IF(ISNUMBER(SEARCH("Chargable",$A448)),"2-Proposals Chargeable","3-Proposals Regular"),'Timesheet Raw'!$C$4:$C$8000,"*"&amp;$B448&amp;"*",'Timesheet Raw'!$L$4:$L$8000,"&gt;="&amp;MAX(H$5,DATE(2000+VALUE(RIGHT(TRIM($A448),2)),1,1)),'Timesheet Raw'!$L$4:$L$8000,"&lt;="&amp;MIN(H$6,DATE(2000+VALUE(RIGHT(TRIM($A448),2)),12,31))),SUMIFS('Timesheet Raw'!$P$4:$P$8000,'Timesheet Raw'!$B$4:$B$8000,TRIM($A448),'Timesheet Raw'!$C$4:$C$8000,"*"&amp;$B448&amp;"*",'Timesheet Raw'!$L$4:$L$8000,"&gt;="&amp;H$5,'Timesheet Raw'!$L$4:$L$8000,"&lt;="&amp;H$6)))/'Profit Plan'!$B$5)</f>
        <v/>
      </c>
      <c r="I448" s="122" t="str">
        <f>IF($A448="","",(IF(ISNUMBER(SEARCH("Proposal",$A448)),SUMIFS('Timesheet Raw'!$P$4:$P$8000,'Timesheet Raw'!$A$4:$A$8000,IF(ISNUMBER(SEARCH("Chargable",$A448)),"2-Proposals Chargeable","3-Proposals Regular"),'Timesheet Raw'!$C$4:$C$8000,"*"&amp;$B448&amp;"*",'Timesheet Raw'!$L$4:$L$8000,"&gt;="&amp;MAX(I$5,DATE(2000+VALUE(RIGHT(TRIM($A448),2)),1,1)),'Timesheet Raw'!$L$4:$L$8000,"&lt;="&amp;MIN(I$6,DATE(2000+VALUE(RIGHT(TRIM($A448),2)),12,31))),SUMIFS('Timesheet Raw'!$P$4:$P$8000,'Timesheet Raw'!$B$4:$B$8000,TRIM($A448),'Timesheet Raw'!$C$4:$C$8000,"*"&amp;$B448&amp;"*",'Timesheet Raw'!$L$4:$L$8000,"&gt;="&amp;I$5,'Timesheet Raw'!$L$4:$L$8000,"&lt;="&amp;I$6)))/'Profit Plan'!$B$5)</f>
        <v/>
      </c>
      <c r="J448" s="122" t="str">
        <f>IF($A448="","",(IF(ISNUMBER(SEARCH("Proposal",$A448)),SUMIFS('Timesheet Raw'!$P$4:$P$8000,'Timesheet Raw'!$A$4:$A$8000,IF(ISNUMBER(SEARCH("Chargable",$A448)),"2-Proposals Chargeable","3-Proposals Regular"),'Timesheet Raw'!$C$4:$C$8000,"*"&amp;$B448&amp;"*",'Timesheet Raw'!$L$4:$L$8000,"&gt;="&amp;MAX(J$5,DATE(2000+VALUE(RIGHT(TRIM($A448),2)),1,1)),'Timesheet Raw'!$L$4:$L$8000,"&lt;="&amp;MIN(J$6,DATE(2000+VALUE(RIGHT(TRIM($A448),2)),12,31))),SUMIFS('Timesheet Raw'!$P$4:$P$8000,'Timesheet Raw'!$B$4:$B$8000,TRIM($A448),'Timesheet Raw'!$C$4:$C$8000,"*"&amp;$B448&amp;"*",'Timesheet Raw'!$L$4:$L$8000,"&gt;="&amp;J$5,'Timesheet Raw'!$L$4:$L$8000,"&lt;="&amp;J$6)))/'Profit Plan'!$B$5)</f>
        <v/>
      </c>
      <c r="K448" s="122" t="str">
        <f>IF($A448="","",(IF(ISNUMBER(SEARCH("Proposal",$A448)),SUMIFS('Timesheet Raw'!$P$4:$P$8000,'Timesheet Raw'!$A$4:$A$8000,IF(ISNUMBER(SEARCH("Chargable",$A448)),"2-Proposals Chargeable","3-Proposals Regular"),'Timesheet Raw'!$C$4:$C$8000,"*"&amp;$B448&amp;"*",'Timesheet Raw'!$L$4:$L$8000,"&gt;="&amp;MAX(K$5,DATE(2000+VALUE(RIGHT(TRIM($A448),2)),1,1)),'Timesheet Raw'!$L$4:$L$8000,"&lt;="&amp;MIN(K$6,DATE(2000+VALUE(RIGHT(TRIM($A448),2)),12,31))),SUMIFS('Timesheet Raw'!$P$4:$P$8000,'Timesheet Raw'!$B$4:$B$8000,TRIM($A448),'Timesheet Raw'!$C$4:$C$8000,"*"&amp;$B448&amp;"*",'Timesheet Raw'!$L$4:$L$8000,"&gt;="&amp;K$5,'Timesheet Raw'!$L$4:$L$8000,"&lt;="&amp;K$6)))/'Profit Plan'!$B$5)</f>
        <v/>
      </c>
      <c r="L448" s="122" t="str">
        <f>IF($A448="","",(IF(ISNUMBER(SEARCH("Proposal",$A448)),SUMIFS('Timesheet Raw'!$P$4:$P$8000,'Timesheet Raw'!$A$4:$A$8000,IF(ISNUMBER(SEARCH("Chargable",$A448)),"2-Proposals Chargeable","3-Proposals Regular"),'Timesheet Raw'!$C$4:$C$8000,"*"&amp;$B448&amp;"*",'Timesheet Raw'!$L$4:$L$8000,"&gt;="&amp;MAX(L$5,DATE(2000+VALUE(RIGHT(TRIM($A448),2)),1,1)),'Timesheet Raw'!$L$4:$L$8000,"&lt;="&amp;MIN(L$6,DATE(2000+VALUE(RIGHT(TRIM($A448),2)),12,31))),SUMIFS('Timesheet Raw'!$P$4:$P$8000,'Timesheet Raw'!$B$4:$B$8000,TRIM($A448),'Timesheet Raw'!$C$4:$C$8000,"*"&amp;$B448&amp;"*",'Timesheet Raw'!$L$4:$L$8000,"&gt;="&amp;L$5,'Timesheet Raw'!$L$4:$L$8000,"&lt;="&amp;L$6)))/'Profit Plan'!$B$5)</f>
        <v/>
      </c>
      <c r="M448" s="122" t="str">
        <f>IF($A448="","",(IF(ISNUMBER(SEARCH("Proposal",$A448)),SUMIFS('Timesheet Raw'!$P$4:$P$8000,'Timesheet Raw'!$A$4:$A$8000,IF(ISNUMBER(SEARCH("Chargable",$A448)),"2-Proposals Chargeable","3-Proposals Regular"),'Timesheet Raw'!$C$4:$C$8000,"*"&amp;$B448&amp;"*",'Timesheet Raw'!$L$4:$L$8000,"&gt;="&amp;MAX(M$5,DATE(2000+VALUE(RIGHT(TRIM($A448),2)),1,1)),'Timesheet Raw'!$L$4:$L$8000,"&lt;="&amp;MIN(M$6,DATE(2000+VALUE(RIGHT(TRIM($A448),2)),12,31))),SUMIFS('Timesheet Raw'!$P$4:$P$8000,'Timesheet Raw'!$B$4:$B$8000,TRIM($A448),'Timesheet Raw'!$C$4:$C$8000,"*"&amp;$B448&amp;"*",'Timesheet Raw'!$L$4:$L$8000,"&gt;="&amp;M$5,'Timesheet Raw'!$L$4:$L$8000,"&lt;="&amp;M$6)))/'Profit Plan'!$B$5)</f>
        <v/>
      </c>
      <c r="N448" s="122" t="str">
        <f>IF($A448="","",(IF(ISNUMBER(SEARCH("Proposal",$A448)),SUMIFS('Timesheet Raw'!$P$4:$P$8000,'Timesheet Raw'!$A$4:$A$8000,IF(ISNUMBER(SEARCH("Chargable",$A448)),"2-Proposals Chargeable","3-Proposals Regular"),'Timesheet Raw'!$C$4:$C$8000,"*"&amp;$B448&amp;"*",'Timesheet Raw'!$L$4:$L$8000,"&gt;="&amp;MAX(N$5,DATE(2000+VALUE(RIGHT(TRIM($A448),2)),1,1)),'Timesheet Raw'!$L$4:$L$8000,"&lt;="&amp;MIN(N$6,DATE(2000+VALUE(RIGHT(TRIM($A448),2)),12,31))),SUMIFS('Timesheet Raw'!$P$4:$P$8000,'Timesheet Raw'!$B$4:$B$8000,TRIM($A448),'Timesheet Raw'!$C$4:$C$8000,"*"&amp;$B448&amp;"*",'Timesheet Raw'!$L$4:$L$8000,"&gt;="&amp;N$5,'Timesheet Raw'!$L$4:$L$8000,"&lt;="&amp;N$6)))/'Profit Plan'!$B$5)</f>
        <v/>
      </c>
      <c r="O448" s="122" t="str">
        <f>IF($A448="","",(IF(ISNUMBER(SEARCH("Proposal",$A448)),SUMIFS('Timesheet Raw'!$P$4:$P$8000,'Timesheet Raw'!$A$4:$A$8000,IF(ISNUMBER(SEARCH("Chargable",$A448)),"2-Proposals Chargeable","3-Proposals Regular"),'Timesheet Raw'!$C$4:$C$8000,"*"&amp;$B448&amp;"*",'Timesheet Raw'!$L$4:$L$8000,"&gt;="&amp;MAX(O$5,DATE(2000+VALUE(RIGHT(TRIM($A448),2)),1,1)),'Timesheet Raw'!$L$4:$L$8000,"&lt;="&amp;MIN(O$6,DATE(2000+VALUE(RIGHT(TRIM($A448),2)),12,31))),SUMIFS('Timesheet Raw'!$P$4:$P$8000,'Timesheet Raw'!$B$4:$B$8000,TRIM($A448),'Timesheet Raw'!$C$4:$C$8000,"*"&amp;$B448&amp;"*",'Timesheet Raw'!$L$4:$L$8000,"&gt;="&amp;O$5,'Timesheet Raw'!$L$4:$L$8000,"&lt;="&amp;O$6)))/'Profit Plan'!$B$5)</f>
        <v/>
      </c>
      <c r="P448" s="122" t="str">
        <f>IF($A448="","",(IF(ISNUMBER(SEARCH("Proposal",$A448)),SUMIFS('Timesheet Raw'!$P$4:$P$8000,'Timesheet Raw'!$A$4:$A$8000,IF(ISNUMBER(SEARCH("Chargable",$A448)),"2-Proposals Chargeable","3-Proposals Regular"),'Timesheet Raw'!$C$4:$C$8000,"*"&amp;$B448&amp;"*",'Timesheet Raw'!$L$4:$L$8000,"&gt;="&amp;MAX(P$5,DATE(2000+VALUE(RIGHT(TRIM($A448),2)),1,1)),'Timesheet Raw'!$L$4:$L$8000,"&lt;="&amp;MIN(P$6,DATE(2000+VALUE(RIGHT(TRIM($A448),2)),12,31))),SUMIFS('Timesheet Raw'!$P$4:$P$8000,'Timesheet Raw'!$B$4:$B$8000,TRIM($A448),'Timesheet Raw'!$C$4:$C$8000,"*"&amp;$B448&amp;"*",'Timesheet Raw'!$L$4:$L$8000,"&gt;="&amp;P$5,'Timesheet Raw'!$L$4:$L$8000,"&lt;="&amp;P$6)))/'Profit Plan'!$B$5)</f>
        <v/>
      </c>
      <c r="Q448" s="122" t="str">
        <f>IF($A448="","",(IF(ISNUMBER(SEARCH("Proposal",$A448)),SUMIFS('Timesheet Raw'!$P$4:$P$8000,'Timesheet Raw'!$A$4:$A$8000,IF(ISNUMBER(SEARCH("Chargable",$A448)),"2-Proposals Chargeable","3-Proposals Regular"),'Timesheet Raw'!$C$4:$C$8000,"*"&amp;$B448&amp;"*",'Timesheet Raw'!$L$4:$L$8000,"&gt;="&amp;MAX(Q$5,DATE(2000+VALUE(RIGHT(TRIM($A448),2)),1,1)),'Timesheet Raw'!$L$4:$L$8000,"&lt;="&amp;MIN(Q$6,DATE(2000+VALUE(RIGHT(TRIM($A448),2)),12,31))),SUMIFS('Timesheet Raw'!$P$4:$P$8000,'Timesheet Raw'!$B$4:$B$8000,TRIM($A448),'Timesheet Raw'!$C$4:$C$8000,"*"&amp;$B448&amp;"*",'Timesheet Raw'!$L$4:$L$8000,"&gt;="&amp;Q$5,'Timesheet Raw'!$L$4:$L$8000,"&lt;="&amp;Q$6)))/'Profit Plan'!$B$5)</f>
        <v/>
      </c>
      <c r="R448" s="122" t="str">
        <f>IF($A448="","",(IF(ISNUMBER(SEARCH("Proposal",$A448)),SUMIFS('Timesheet Raw'!$P$4:$P$8000,'Timesheet Raw'!$A$4:$A$8000,IF(ISNUMBER(SEARCH("Chargable",$A448)),"2-Proposals Chargeable","3-Proposals Regular"),'Timesheet Raw'!$C$4:$C$8000,"*"&amp;$B448&amp;"*",'Timesheet Raw'!$L$4:$L$8000,"&gt;="&amp;MAX(R$5,DATE(2000+VALUE(RIGHT(TRIM($A448),2)),1,1)),'Timesheet Raw'!$L$4:$L$8000,"&lt;="&amp;MIN(R$6,DATE(2000+VALUE(RIGHT(TRIM($A448),2)),12,31))),SUMIFS('Timesheet Raw'!$P$4:$P$8000,'Timesheet Raw'!$B$4:$B$8000,TRIM($A448),'Timesheet Raw'!$C$4:$C$8000,"*"&amp;$B448&amp;"*",'Timesheet Raw'!$L$4:$L$8000,"&gt;="&amp;R$5,'Timesheet Raw'!$L$4:$L$8000,"&lt;="&amp;R$6)))/'Profit Plan'!$B$5)</f>
        <v/>
      </c>
      <c r="S448" s="122" t="str">
        <f>IF($A448="","",(IF(ISNUMBER(SEARCH("Proposal",$A448)),SUMIFS('Timesheet Raw'!$P$4:$P$8000,'Timesheet Raw'!$A$4:$A$8000,IF(ISNUMBER(SEARCH("Chargable",$A448)),"2-Proposals Chargeable","3-Proposals Regular"),'Timesheet Raw'!$C$4:$C$8000,"*"&amp;$B448&amp;"*",'Timesheet Raw'!$L$4:$L$8000,"&gt;="&amp;MAX(S$5,DATE(2000+VALUE(RIGHT(TRIM($A448),2)),1,1)),'Timesheet Raw'!$L$4:$L$8000,"&lt;="&amp;MIN(S$6,DATE(2000+VALUE(RIGHT(TRIM($A448),2)),12,31))),SUMIFS('Timesheet Raw'!$P$4:$P$8000,'Timesheet Raw'!$B$4:$B$8000,TRIM($A448),'Timesheet Raw'!$C$4:$C$8000,"*"&amp;$B448&amp;"*",'Timesheet Raw'!$L$4:$L$8000,"&gt;="&amp;S$5,'Timesheet Raw'!$L$4:$L$8000,"&lt;="&amp;S$6)))/'Profit Plan'!$B$5)</f>
        <v/>
      </c>
      <c r="T448" s="122" t="str">
        <f>IF($A448="","",(IF(ISNUMBER(SEARCH("Proposal",$A448)),SUMIFS('Timesheet Raw'!$P$4:$P$8000,'Timesheet Raw'!$A$4:$A$8000,IF(ISNUMBER(SEARCH("Chargable",$A448)),"2-Proposals Chargeable","3-Proposals Regular"),'Timesheet Raw'!$C$4:$C$8000,"*"&amp;$B448&amp;"*",'Timesheet Raw'!$L$4:$L$8000,"&gt;="&amp;MAX(T$5,DATE(2000+VALUE(RIGHT(TRIM($A448),2)),1,1)),'Timesheet Raw'!$L$4:$L$8000,"&lt;="&amp;MIN(T$6,DATE(2000+VALUE(RIGHT(TRIM($A448),2)),12,31))),SUMIFS('Timesheet Raw'!$P$4:$P$8000,'Timesheet Raw'!$B$4:$B$8000,TRIM($A448),'Timesheet Raw'!$C$4:$C$8000,"*"&amp;$B448&amp;"*",'Timesheet Raw'!$L$4:$L$8000,"&gt;="&amp;T$5,'Timesheet Raw'!$L$4:$L$8000,"&lt;="&amp;T$6)))/'Profit Plan'!$B$5)</f>
        <v/>
      </c>
      <c r="U448" s="122" t="str">
        <f>IF($A448="","",(IF(ISNUMBER(SEARCH("Proposal",$A448)),SUMIFS('Timesheet Raw'!$P$4:$P$8000,'Timesheet Raw'!$A$4:$A$8000,IF(ISNUMBER(SEARCH("Chargable",$A448)),"2-Proposals Chargeable","3-Proposals Regular"),'Timesheet Raw'!$C$4:$C$8000,"*"&amp;$B448&amp;"*",'Timesheet Raw'!$L$4:$L$8000,"&gt;="&amp;MAX(U$5,DATE(2000+VALUE(RIGHT(TRIM($A448),2)),1,1)),'Timesheet Raw'!$L$4:$L$8000,"&lt;="&amp;MIN(U$6,DATE(2000+VALUE(RIGHT(TRIM($A448),2)),12,31))),SUMIFS('Timesheet Raw'!$P$4:$P$8000,'Timesheet Raw'!$B$4:$B$8000,TRIM($A448),'Timesheet Raw'!$C$4:$C$8000,"*"&amp;$B448&amp;"*",'Timesheet Raw'!$L$4:$L$8000,"&gt;="&amp;U$5,'Timesheet Raw'!$L$4:$L$8000,"&lt;="&amp;U$6)))/'Profit Plan'!$B$5)</f>
        <v/>
      </c>
      <c r="V448" s="122" t="str">
        <f>IF($A448="","",(IF(ISNUMBER(SEARCH("Proposal",$A448)),SUMIFS('Timesheet Raw'!$P$4:$P$8000,'Timesheet Raw'!$A$4:$A$8000,IF(ISNUMBER(SEARCH("Chargable",$A448)),"2-Proposals Chargeable","3-Proposals Regular"),'Timesheet Raw'!$C$4:$C$8000,"*"&amp;$B448&amp;"*",'Timesheet Raw'!$L$4:$L$8000,"&gt;="&amp;MAX(V$5,DATE(2000+VALUE(RIGHT(TRIM($A448),2)),1,1)),'Timesheet Raw'!$L$4:$L$8000,"&lt;="&amp;MIN(V$6,DATE(2000+VALUE(RIGHT(TRIM($A448),2)),12,31))),SUMIFS('Timesheet Raw'!$P$4:$P$8000,'Timesheet Raw'!$B$4:$B$8000,TRIM($A448),'Timesheet Raw'!$C$4:$C$8000,"*"&amp;$B448&amp;"*",'Timesheet Raw'!$L$4:$L$8000,"&gt;="&amp;V$5,'Timesheet Raw'!$L$4:$L$8000,"&lt;="&amp;V$6)))/'Profit Plan'!$B$5)</f>
        <v/>
      </c>
      <c r="W448" s="122" t="str">
        <f>IF($A448="","",(IF(ISNUMBER(SEARCH("Proposal",$A448)),SUMIFS('Timesheet Raw'!$P$4:$P$8000,'Timesheet Raw'!$A$4:$A$8000,IF(ISNUMBER(SEARCH("Chargable",$A448)),"2-Proposals Chargeable","3-Proposals Regular"),'Timesheet Raw'!$C$4:$C$8000,"*"&amp;$B448&amp;"*",'Timesheet Raw'!$L$4:$L$8000,"&gt;="&amp;MAX(W$5,DATE(2000+VALUE(RIGHT(TRIM($A448),2)),1,1)),'Timesheet Raw'!$L$4:$L$8000,"&lt;="&amp;MIN(W$6,DATE(2000+VALUE(RIGHT(TRIM($A448),2)),12,31))),SUMIFS('Timesheet Raw'!$P$4:$P$8000,'Timesheet Raw'!$B$4:$B$8000,TRIM($A448),'Timesheet Raw'!$C$4:$C$8000,"*"&amp;$B448&amp;"*",'Timesheet Raw'!$L$4:$L$8000,"&gt;="&amp;W$5,'Timesheet Raw'!$L$4:$L$8000,"&lt;="&amp;W$6)))/'Profit Plan'!$B$5)</f>
        <v/>
      </c>
      <c r="X448" s="122" t="str">
        <f>IF($A448="","",(IF(ISNUMBER(SEARCH("Proposal",$A448)),SUMIFS('Timesheet Raw'!$P$4:$P$8000,'Timesheet Raw'!$A$4:$A$8000,IF(ISNUMBER(SEARCH("Chargable",$A448)),"2-Proposals Chargeable","3-Proposals Regular"),'Timesheet Raw'!$C$4:$C$8000,"*"&amp;$B448&amp;"*",'Timesheet Raw'!$L$4:$L$8000,"&gt;="&amp;MAX(X$5,DATE(2000+VALUE(RIGHT(TRIM($A448),2)),1,1)),'Timesheet Raw'!$L$4:$L$8000,"&lt;="&amp;MIN(X$6,DATE(2000+VALUE(RIGHT(TRIM($A448),2)),12,31))),SUMIFS('Timesheet Raw'!$P$4:$P$8000,'Timesheet Raw'!$B$4:$B$8000,TRIM($A448),'Timesheet Raw'!$C$4:$C$8000,"*"&amp;$B448&amp;"*",'Timesheet Raw'!$L$4:$L$8000,"&gt;="&amp;X$5,'Timesheet Raw'!$L$4:$L$8000,"&lt;="&amp;X$6)))/'Profit Plan'!$B$5)</f>
        <v/>
      </c>
      <c r="Y448" s="118">
        <f t="shared" si="102"/>
        <v>0</v>
      </c>
    </row>
    <row r="449" spans="1:25" x14ac:dyDescent="0.3">
      <c r="A449" s="116" t="str">
        <f>IF(Inputs!$A67="","",Inputs!$A67)</f>
        <v/>
      </c>
      <c r="B449" s="116" t="str">
        <f>IF(Inputs!$A67="","",Inputs!$A$92)</f>
        <v/>
      </c>
      <c r="C449" s="116"/>
      <c r="D449" s="122" t="str">
        <f>IF($A449="","",(IF(ISNUMBER(SEARCH("Proposal",$A449)),SUMIFS('Timesheet Raw'!$P$4:$P$8000,'Timesheet Raw'!$A$4:$A$8000,IF(ISNUMBER(SEARCH("Chargable",$A449)),"2-Proposals Chargeable","3-Proposals Regular"),'Timesheet Raw'!$C$4:$C$8000,"*"&amp;$B449&amp;"*",'Timesheet Raw'!$L$4:$L$8000,"&gt;="&amp;MAX(D$5,DATE(2000+VALUE(RIGHT(TRIM($A449),2)),1,1)),'Timesheet Raw'!$L$4:$L$8000,"&lt;="&amp;MIN(D$6,DATE(2000+VALUE(RIGHT(TRIM($A449),2)),12,31))),SUMIFS('Timesheet Raw'!$P$4:$P$8000,'Timesheet Raw'!$B$4:$B$8000,TRIM($A449),'Timesheet Raw'!$C$4:$C$8000,"*"&amp;$B449&amp;"*",'Timesheet Raw'!$L$4:$L$8000,"&gt;="&amp;D$5,'Timesheet Raw'!$L$4:$L$8000,"&lt;="&amp;D$6)))/'Profit Plan'!$B$5)</f>
        <v/>
      </c>
      <c r="E449" s="122" t="str">
        <f>IF($A449="","",(IF(ISNUMBER(SEARCH("Proposal",$A449)),SUMIFS('Timesheet Raw'!$P$4:$P$8000,'Timesheet Raw'!$A$4:$A$8000,IF(ISNUMBER(SEARCH("Chargable",$A449)),"2-Proposals Chargeable","3-Proposals Regular"),'Timesheet Raw'!$C$4:$C$8000,"*"&amp;$B449&amp;"*",'Timesheet Raw'!$L$4:$L$8000,"&gt;="&amp;MAX(E$5,DATE(2000+VALUE(RIGHT(TRIM($A449),2)),1,1)),'Timesheet Raw'!$L$4:$L$8000,"&lt;="&amp;MIN(E$6,DATE(2000+VALUE(RIGHT(TRIM($A449),2)),12,31))),SUMIFS('Timesheet Raw'!$P$4:$P$8000,'Timesheet Raw'!$B$4:$B$8000,TRIM($A449),'Timesheet Raw'!$C$4:$C$8000,"*"&amp;$B449&amp;"*",'Timesheet Raw'!$L$4:$L$8000,"&gt;="&amp;E$5,'Timesheet Raw'!$L$4:$L$8000,"&lt;="&amp;E$6)))/'Profit Plan'!$B$5)</f>
        <v/>
      </c>
      <c r="F449" s="122" t="str">
        <f>IF($A449="","",(IF(ISNUMBER(SEARCH("Proposal",$A449)),SUMIFS('Timesheet Raw'!$P$4:$P$8000,'Timesheet Raw'!$A$4:$A$8000,IF(ISNUMBER(SEARCH("Chargable",$A449)),"2-Proposals Chargeable","3-Proposals Regular"),'Timesheet Raw'!$C$4:$C$8000,"*"&amp;$B449&amp;"*",'Timesheet Raw'!$L$4:$L$8000,"&gt;="&amp;MAX(F$5,DATE(2000+VALUE(RIGHT(TRIM($A449),2)),1,1)),'Timesheet Raw'!$L$4:$L$8000,"&lt;="&amp;MIN(F$6,DATE(2000+VALUE(RIGHT(TRIM($A449),2)),12,31))),SUMIFS('Timesheet Raw'!$P$4:$P$8000,'Timesheet Raw'!$B$4:$B$8000,TRIM($A449),'Timesheet Raw'!$C$4:$C$8000,"*"&amp;$B449&amp;"*",'Timesheet Raw'!$L$4:$L$8000,"&gt;="&amp;F$5,'Timesheet Raw'!$L$4:$L$8000,"&lt;="&amp;F$6)))/'Profit Plan'!$B$5)</f>
        <v/>
      </c>
      <c r="G449" s="122" t="str">
        <f>IF($A449="","",(IF(ISNUMBER(SEARCH("Proposal",$A449)),SUMIFS('Timesheet Raw'!$P$4:$P$8000,'Timesheet Raw'!$A$4:$A$8000,IF(ISNUMBER(SEARCH("Chargable",$A449)),"2-Proposals Chargeable","3-Proposals Regular"),'Timesheet Raw'!$C$4:$C$8000,"*"&amp;$B449&amp;"*",'Timesheet Raw'!$L$4:$L$8000,"&gt;="&amp;MAX(G$5,DATE(2000+VALUE(RIGHT(TRIM($A449),2)),1,1)),'Timesheet Raw'!$L$4:$L$8000,"&lt;="&amp;MIN(G$6,DATE(2000+VALUE(RIGHT(TRIM($A449),2)),12,31))),SUMIFS('Timesheet Raw'!$P$4:$P$8000,'Timesheet Raw'!$B$4:$B$8000,TRIM($A449),'Timesheet Raw'!$C$4:$C$8000,"*"&amp;$B449&amp;"*",'Timesheet Raw'!$L$4:$L$8000,"&gt;="&amp;G$5,'Timesheet Raw'!$L$4:$L$8000,"&lt;="&amp;G$6)))/'Profit Plan'!$B$5)</f>
        <v/>
      </c>
      <c r="H449" s="122" t="str">
        <f>IF($A449="","",(IF(ISNUMBER(SEARCH("Proposal",$A449)),SUMIFS('Timesheet Raw'!$P$4:$P$8000,'Timesheet Raw'!$A$4:$A$8000,IF(ISNUMBER(SEARCH("Chargable",$A449)),"2-Proposals Chargeable","3-Proposals Regular"),'Timesheet Raw'!$C$4:$C$8000,"*"&amp;$B449&amp;"*",'Timesheet Raw'!$L$4:$L$8000,"&gt;="&amp;MAX(H$5,DATE(2000+VALUE(RIGHT(TRIM($A449),2)),1,1)),'Timesheet Raw'!$L$4:$L$8000,"&lt;="&amp;MIN(H$6,DATE(2000+VALUE(RIGHT(TRIM($A449),2)),12,31))),SUMIFS('Timesheet Raw'!$P$4:$P$8000,'Timesheet Raw'!$B$4:$B$8000,TRIM($A449),'Timesheet Raw'!$C$4:$C$8000,"*"&amp;$B449&amp;"*",'Timesheet Raw'!$L$4:$L$8000,"&gt;="&amp;H$5,'Timesheet Raw'!$L$4:$L$8000,"&lt;="&amp;H$6)))/'Profit Plan'!$B$5)</f>
        <v/>
      </c>
      <c r="I449" s="122" t="str">
        <f>IF($A449="","",(IF(ISNUMBER(SEARCH("Proposal",$A449)),SUMIFS('Timesheet Raw'!$P$4:$P$8000,'Timesheet Raw'!$A$4:$A$8000,IF(ISNUMBER(SEARCH("Chargable",$A449)),"2-Proposals Chargeable","3-Proposals Regular"),'Timesheet Raw'!$C$4:$C$8000,"*"&amp;$B449&amp;"*",'Timesheet Raw'!$L$4:$L$8000,"&gt;="&amp;MAX(I$5,DATE(2000+VALUE(RIGHT(TRIM($A449),2)),1,1)),'Timesheet Raw'!$L$4:$L$8000,"&lt;="&amp;MIN(I$6,DATE(2000+VALUE(RIGHT(TRIM($A449),2)),12,31))),SUMIFS('Timesheet Raw'!$P$4:$P$8000,'Timesheet Raw'!$B$4:$B$8000,TRIM($A449),'Timesheet Raw'!$C$4:$C$8000,"*"&amp;$B449&amp;"*",'Timesheet Raw'!$L$4:$L$8000,"&gt;="&amp;I$5,'Timesheet Raw'!$L$4:$L$8000,"&lt;="&amp;I$6)))/'Profit Plan'!$B$5)</f>
        <v/>
      </c>
      <c r="J449" s="122" t="str">
        <f>IF($A449="","",(IF(ISNUMBER(SEARCH("Proposal",$A449)),SUMIFS('Timesheet Raw'!$P$4:$P$8000,'Timesheet Raw'!$A$4:$A$8000,IF(ISNUMBER(SEARCH("Chargable",$A449)),"2-Proposals Chargeable","3-Proposals Regular"),'Timesheet Raw'!$C$4:$C$8000,"*"&amp;$B449&amp;"*",'Timesheet Raw'!$L$4:$L$8000,"&gt;="&amp;MAX(J$5,DATE(2000+VALUE(RIGHT(TRIM($A449),2)),1,1)),'Timesheet Raw'!$L$4:$L$8000,"&lt;="&amp;MIN(J$6,DATE(2000+VALUE(RIGHT(TRIM($A449),2)),12,31))),SUMIFS('Timesheet Raw'!$P$4:$P$8000,'Timesheet Raw'!$B$4:$B$8000,TRIM($A449),'Timesheet Raw'!$C$4:$C$8000,"*"&amp;$B449&amp;"*",'Timesheet Raw'!$L$4:$L$8000,"&gt;="&amp;J$5,'Timesheet Raw'!$L$4:$L$8000,"&lt;="&amp;J$6)))/'Profit Plan'!$B$5)</f>
        <v/>
      </c>
      <c r="K449" s="122" t="str">
        <f>IF($A449="","",(IF(ISNUMBER(SEARCH("Proposal",$A449)),SUMIFS('Timesheet Raw'!$P$4:$P$8000,'Timesheet Raw'!$A$4:$A$8000,IF(ISNUMBER(SEARCH("Chargable",$A449)),"2-Proposals Chargeable","3-Proposals Regular"),'Timesheet Raw'!$C$4:$C$8000,"*"&amp;$B449&amp;"*",'Timesheet Raw'!$L$4:$L$8000,"&gt;="&amp;MAX(K$5,DATE(2000+VALUE(RIGHT(TRIM($A449),2)),1,1)),'Timesheet Raw'!$L$4:$L$8000,"&lt;="&amp;MIN(K$6,DATE(2000+VALUE(RIGHT(TRIM($A449),2)),12,31))),SUMIFS('Timesheet Raw'!$P$4:$P$8000,'Timesheet Raw'!$B$4:$B$8000,TRIM($A449),'Timesheet Raw'!$C$4:$C$8000,"*"&amp;$B449&amp;"*",'Timesheet Raw'!$L$4:$L$8000,"&gt;="&amp;K$5,'Timesheet Raw'!$L$4:$L$8000,"&lt;="&amp;K$6)))/'Profit Plan'!$B$5)</f>
        <v/>
      </c>
      <c r="L449" s="122" t="str">
        <f>IF($A449="","",(IF(ISNUMBER(SEARCH("Proposal",$A449)),SUMIFS('Timesheet Raw'!$P$4:$P$8000,'Timesheet Raw'!$A$4:$A$8000,IF(ISNUMBER(SEARCH("Chargable",$A449)),"2-Proposals Chargeable","3-Proposals Regular"),'Timesheet Raw'!$C$4:$C$8000,"*"&amp;$B449&amp;"*",'Timesheet Raw'!$L$4:$L$8000,"&gt;="&amp;MAX(L$5,DATE(2000+VALUE(RIGHT(TRIM($A449),2)),1,1)),'Timesheet Raw'!$L$4:$L$8000,"&lt;="&amp;MIN(L$6,DATE(2000+VALUE(RIGHT(TRIM($A449),2)),12,31))),SUMIFS('Timesheet Raw'!$P$4:$P$8000,'Timesheet Raw'!$B$4:$B$8000,TRIM($A449),'Timesheet Raw'!$C$4:$C$8000,"*"&amp;$B449&amp;"*",'Timesheet Raw'!$L$4:$L$8000,"&gt;="&amp;L$5,'Timesheet Raw'!$L$4:$L$8000,"&lt;="&amp;L$6)))/'Profit Plan'!$B$5)</f>
        <v/>
      </c>
      <c r="M449" s="122" t="str">
        <f>IF($A449="","",(IF(ISNUMBER(SEARCH("Proposal",$A449)),SUMIFS('Timesheet Raw'!$P$4:$P$8000,'Timesheet Raw'!$A$4:$A$8000,IF(ISNUMBER(SEARCH("Chargable",$A449)),"2-Proposals Chargeable","3-Proposals Regular"),'Timesheet Raw'!$C$4:$C$8000,"*"&amp;$B449&amp;"*",'Timesheet Raw'!$L$4:$L$8000,"&gt;="&amp;MAX(M$5,DATE(2000+VALUE(RIGHT(TRIM($A449),2)),1,1)),'Timesheet Raw'!$L$4:$L$8000,"&lt;="&amp;MIN(M$6,DATE(2000+VALUE(RIGHT(TRIM($A449),2)),12,31))),SUMIFS('Timesheet Raw'!$P$4:$P$8000,'Timesheet Raw'!$B$4:$B$8000,TRIM($A449),'Timesheet Raw'!$C$4:$C$8000,"*"&amp;$B449&amp;"*",'Timesheet Raw'!$L$4:$L$8000,"&gt;="&amp;M$5,'Timesheet Raw'!$L$4:$L$8000,"&lt;="&amp;M$6)))/'Profit Plan'!$B$5)</f>
        <v/>
      </c>
      <c r="N449" s="122" t="str">
        <f>IF($A449="","",(IF(ISNUMBER(SEARCH("Proposal",$A449)),SUMIFS('Timesheet Raw'!$P$4:$P$8000,'Timesheet Raw'!$A$4:$A$8000,IF(ISNUMBER(SEARCH("Chargable",$A449)),"2-Proposals Chargeable","3-Proposals Regular"),'Timesheet Raw'!$C$4:$C$8000,"*"&amp;$B449&amp;"*",'Timesheet Raw'!$L$4:$L$8000,"&gt;="&amp;MAX(N$5,DATE(2000+VALUE(RIGHT(TRIM($A449),2)),1,1)),'Timesheet Raw'!$L$4:$L$8000,"&lt;="&amp;MIN(N$6,DATE(2000+VALUE(RIGHT(TRIM($A449),2)),12,31))),SUMIFS('Timesheet Raw'!$P$4:$P$8000,'Timesheet Raw'!$B$4:$B$8000,TRIM($A449),'Timesheet Raw'!$C$4:$C$8000,"*"&amp;$B449&amp;"*",'Timesheet Raw'!$L$4:$L$8000,"&gt;="&amp;N$5,'Timesheet Raw'!$L$4:$L$8000,"&lt;="&amp;N$6)))/'Profit Plan'!$B$5)</f>
        <v/>
      </c>
      <c r="O449" s="122" t="str">
        <f>IF($A449="","",(IF(ISNUMBER(SEARCH("Proposal",$A449)),SUMIFS('Timesheet Raw'!$P$4:$P$8000,'Timesheet Raw'!$A$4:$A$8000,IF(ISNUMBER(SEARCH("Chargable",$A449)),"2-Proposals Chargeable","3-Proposals Regular"),'Timesheet Raw'!$C$4:$C$8000,"*"&amp;$B449&amp;"*",'Timesheet Raw'!$L$4:$L$8000,"&gt;="&amp;MAX(O$5,DATE(2000+VALUE(RIGHT(TRIM($A449),2)),1,1)),'Timesheet Raw'!$L$4:$L$8000,"&lt;="&amp;MIN(O$6,DATE(2000+VALUE(RIGHT(TRIM($A449),2)),12,31))),SUMIFS('Timesheet Raw'!$P$4:$P$8000,'Timesheet Raw'!$B$4:$B$8000,TRIM($A449),'Timesheet Raw'!$C$4:$C$8000,"*"&amp;$B449&amp;"*",'Timesheet Raw'!$L$4:$L$8000,"&gt;="&amp;O$5,'Timesheet Raw'!$L$4:$L$8000,"&lt;="&amp;O$6)))/'Profit Plan'!$B$5)</f>
        <v/>
      </c>
      <c r="P449" s="122" t="str">
        <f>IF($A449="","",(IF(ISNUMBER(SEARCH("Proposal",$A449)),SUMIFS('Timesheet Raw'!$P$4:$P$8000,'Timesheet Raw'!$A$4:$A$8000,IF(ISNUMBER(SEARCH("Chargable",$A449)),"2-Proposals Chargeable","3-Proposals Regular"),'Timesheet Raw'!$C$4:$C$8000,"*"&amp;$B449&amp;"*",'Timesheet Raw'!$L$4:$L$8000,"&gt;="&amp;MAX(P$5,DATE(2000+VALUE(RIGHT(TRIM($A449),2)),1,1)),'Timesheet Raw'!$L$4:$L$8000,"&lt;="&amp;MIN(P$6,DATE(2000+VALUE(RIGHT(TRIM($A449),2)),12,31))),SUMIFS('Timesheet Raw'!$P$4:$P$8000,'Timesheet Raw'!$B$4:$B$8000,TRIM($A449),'Timesheet Raw'!$C$4:$C$8000,"*"&amp;$B449&amp;"*",'Timesheet Raw'!$L$4:$L$8000,"&gt;="&amp;P$5,'Timesheet Raw'!$L$4:$L$8000,"&lt;="&amp;P$6)))/'Profit Plan'!$B$5)</f>
        <v/>
      </c>
      <c r="Q449" s="122" t="str">
        <f>IF($A449="","",(IF(ISNUMBER(SEARCH("Proposal",$A449)),SUMIFS('Timesheet Raw'!$P$4:$P$8000,'Timesheet Raw'!$A$4:$A$8000,IF(ISNUMBER(SEARCH("Chargable",$A449)),"2-Proposals Chargeable","3-Proposals Regular"),'Timesheet Raw'!$C$4:$C$8000,"*"&amp;$B449&amp;"*",'Timesheet Raw'!$L$4:$L$8000,"&gt;="&amp;MAX(Q$5,DATE(2000+VALUE(RIGHT(TRIM($A449),2)),1,1)),'Timesheet Raw'!$L$4:$L$8000,"&lt;="&amp;MIN(Q$6,DATE(2000+VALUE(RIGHT(TRIM($A449),2)),12,31))),SUMIFS('Timesheet Raw'!$P$4:$P$8000,'Timesheet Raw'!$B$4:$B$8000,TRIM($A449),'Timesheet Raw'!$C$4:$C$8000,"*"&amp;$B449&amp;"*",'Timesheet Raw'!$L$4:$L$8000,"&gt;="&amp;Q$5,'Timesheet Raw'!$L$4:$L$8000,"&lt;="&amp;Q$6)))/'Profit Plan'!$B$5)</f>
        <v/>
      </c>
      <c r="R449" s="122" t="str">
        <f>IF($A449="","",(IF(ISNUMBER(SEARCH("Proposal",$A449)),SUMIFS('Timesheet Raw'!$P$4:$P$8000,'Timesheet Raw'!$A$4:$A$8000,IF(ISNUMBER(SEARCH("Chargable",$A449)),"2-Proposals Chargeable","3-Proposals Regular"),'Timesheet Raw'!$C$4:$C$8000,"*"&amp;$B449&amp;"*",'Timesheet Raw'!$L$4:$L$8000,"&gt;="&amp;MAX(R$5,DATE(2000+VALUE(RIGHT(TRIM($A449),2)),1,1)),'Timesheet Raw'!$L$4:$L$8000,"&lt;="&amp;MIN(R$6,DATE(2000+VALUE(RIGHT(TRIM($A449),2)),12,31))),SUMIFS('Timesheet Raw'!$P$4:$P$8000,'Timesheet Raw'!$B$4:$B$8000,TRIM($A449),'Timesheet Raw'!$C$4:$C$8000,"*"&amp;$B449&amp;"*",'Timesheet Raw'!$L$4:$L$8000,"&gt;="&amp;R$5,'Timesheet Raw'!$L$4:$L$8000,"&lt;="&amp;R$6)))/'Profit Plan'!$B$5)</f>
        <v/>
      </c>
      <c r="S449" s="122" t="str">
        <f>IF($A449="","",(IF(ISNUMBER(SEARCH("Proposal",$A449)),SUMIFS('Timesheet Raw'!$P$4:$P$8000,'Timesheet Raw'!$A$4:$A$8000,IF(ISNUMBER(SEARCH("Chargable",$A449)),"2-Proposals Chargeable","3-Proposals Regular"),'Timesheet Raw'!$C$4:$C$8000,"*"&amp;$B449&amp;"*",'Timesheet Raw'!$L$4:$L$8000,"&gt;="&amp;MAX(S$5,DATE(2000+VALUE(RIGHT(TRIM($A449),2)),1,1)),'Timesheet Raw'!$L$4:$L$8000,"&lt;="&amp;MIN(S$6,DATE(2000+VALUE(RIGHT(TRIM($A449),2)),12,31))),SUMIFS('Timesheet Raw'!$P$4:$P$8000,'Timesheet Raw'!$B$4:$B$8000,TRIM($A449),'Timesheet Raw'!$C$4:$C$8000,"*"&amp;$B449&amp;"*",'Timesheet Raw'!$L$4:$L$8000,"&gt;="&amp;S$5,'Timesheet Raw'!$L$4:$L$8000,"&lt;="&amp;S$6)))/'Profit Plan'!$B$5)</f>
        <v/>
      </c>
      <c r="T449" s="122" t="str">
        <f>IF($A449="","",(IF(ISNUMBER(SEARCH("Proposal",$A449)),SUMIFS('Timesheet Raw'!$P$4:$P$8000,'Timesheet Raw'!$A$4:$A$8000,IF(ISNUMBER(SEARCH("Chargable",$A449)),"2-Proposals Chargeable","3-Proposals Regular"),'Timesheet Raw'!$C$4:$C$8000,"*"&amp;$B449&amp;"*",'Timesheet Raw'!$L$4:$L$8000,"&gt;="&amp;MAX(T$5,DATE(2000+VALUE(RIGHT(TRIM($A449),2)),1,1)),'Timesheet Raw'!$L$4:$L$8000,"&lt;="&amp;MIN(T$6,DATE(2000+VALUE(RIGHT(TRIM($A449),2)),12,31))),SUMIFS('Timesheet Raw'!$P$4:$P$8000,'Timesheet Raw'!$B$4:$B$8000,TRIM($A449),'Timesheet Raw'!$C$4:$C$8000,"*"&amp;$B449&amp;"*",'Timesheet Raw'!$L$4:$L$8000,"&gt;="&amp;T$5,'Timesheet Raw'!$L$4:$L$8000,"&lt;="&amp;T$6)))/'Profit Plan'!$B$5)</f>
        <v/>
      </c>
      <c r="U449" s="122" t="str">
        <f>IF($A449="","",(IF(ISNUMBER(SEARCH("Proposal",$A449)),SUMIFS('Timesheet Raw'!$P$4:$P$8000,'Timesheet Raw'!$A$4:$A$8000,IF(ISNUMBER(SEARCH("Chargable",$A449)),"2-Proposals Chargeable","3-Proposals Regular"),'Timesheet Raw'!$C$4:$C$8000,"*"&amp;$B449&amp;"*",'Timesheet Raw'!$L$4:$L$8000,"&gt;="&amp;MAX(U$5,DATE(2000+VALUE(RIGHT(TRIM($A449),2)),1,1)),'Timesheet Raw'!$L$4:$L$8000,"&lt;="&amp;MIN(U$6,DATE(2000+VALUE(RIGHT(TRIM($A449),2)),12,31))),SUMIFS('Timesheet Raw'!$P$4:$P$8000,'Timesheet Raw'!$B$4:$B$8000,TRIM($A449),'Timesheet Raw'!$C$4:$C$8000,"*"&amp;$B449&amp;"*",'Timesheet Raw'!$L$4:$L$8000,"&gt;="&amp;U$5,'Timesheet Raw'!$L$4:$L$8000,"&lt;="&amp;U$6)))/'Profit Plan'!$B$5)</f>
        <v/>
      </c>
      <c r="V449" s="122" t="str">
        <f>IF($A449="","",(IF(ISNUMBER(SEARCH("Proposal",$A449)),SUMIFS('Timesheet Raw'!$P$4:$P$8000,'Timesheet Raw'!$A$4:$A$8000,IF(ISNUMBER(SEARCH("Chargable",$A449)),"2-Proposals Chargeable","3-Proposals Regular"),'Timesheet Raw'!$C$4:$C$8000,"*"&amp;$B449&amp;"*",'Timesheet Raw'!$L$4:$L$8000,"&gt;="&amp;MAX(V$5,DATE(2000+VALUE(RIGHT(TRIM($A449),2)),1,1)),'Timesheet Raw'!$L$4:$L$8000,"&lt;="&amp;MIN(V$6,DATE(2000+VALUE(RIGHT(TRIM($A449),2)),12,31))),SUMIFS('Timesheet Raw'!$P$4:$P$8000,'Timesheet Raw'!$B$4:$B$8000,TRIM($A449),'Timesheet Raw'!$C$4:$C$8000,"*"&amp;$B449&amp;"*",'Timesheet Raw'!$L$4:$L$8000,"&gt;="&amp;V$5,'Timesheet Raw'!$L$4:$L$8000,"&lt;="&amp;V$6)))/'Profit Plan'!$B$5)</f>
        <v/>
      </c>
      <c r="W449" s="122" t="str">
        <f>IF($A449="","",(IF(ISNUMBER(SEARCH("Proposal",$A449)),SUMIFS('Timesheet Raw'!$P$4:$P$8000,'Timesheet Raw'!$A$4:$A$8000,IF(ISNUMBER(SEARCH("Chargable",$A449)),"2-Proposals Chargeable","3-Proposals Regular"),'Timesheet Raw'!$C$4:$C$8000,"*"&amp;$B449&amp;"*",'Timesheet Raw'!$L$4:$L$8000,"&gt;="&amp;MAX(W$5,DATE(2000+VALUE(RIGHT(TRIM($A449),2)),1,1)),'Timesheet Raw'!$L$4:$L$8000,"&lt;="&amp;MIN(W$6,DATE(2000+VALUE(RIGHT(TRIM($A449),2)),12,31))),SUMIFS('Timesheet Raw'!$P$4:$P$8000,'Timesheet Raw'!$B$4:$B$8000,TRIM($A449),'Timesheet Raw'!$C$4:$C$8000,"*"&amp;$B449&amp;"*",'Timesheet Raw'!$L$4:$L$8000,"&gt;="&amp;W$5,'Timesheet Raw'!$L$4:$L$8000,"&lt;="&amp;W$6)))/'Profit Plan'!$B$5)</f>
        <v/>
      </c>
      <c r="X449" s="122" t="str">
        <f>IF($A449="","",(IF(ISNUMBER(SEARCH("Proposal",$A449)),SUMIFS('Timesheet Raw'!$P$4:$P$8000,'Timesheet Raw'!$A$4:$A$8000,IF(ISNUMBER(SEARCH("Chargable",$A449)),"2-Proposals Chargeable","3-Proposals Regular"),'Timesheet Raw'!$C$4:$C$8000,"*"&amp;$B449&amp;"*",'Timesheet Raw'!$L$4:$L$8000,"&gt;="&amp;MAX(X$5,DATE(2000+VALUE(RIGHT(TRIM($A449),2)),1,1)),'Timesheet Raw'!$L$4:$L$8000,"&lt;="&amp;MIN(X$6,DATE(2000+VALUE(RIGHT(TRIM($A449),2)),12,31))),SUMIFS('Timesheet Raw'!$P$4:$P$8000,'Timesheet Raw'!$B$4:$B$8000,TRIM($A449),'Timesheet Raw'!$C$4:$C$8000,"*"&amp;$B449&amp;"*",'Timesheet Raw'!$L$4:$L$8000,"&gt;="&amp;X$5,'Timesheet Raw'!$L$4:$L$8000,"&lt;="&amp;X$6)))/'Profit Plan'!$B$5)</f>
        <v/>
      </c>
      <c r="Y449" s="118">
        <f t="shared" si="102"/>
        <v>0</v>
      </c>
    </row>
    <row r="450" spans="1:25" x14ac:dyDescent="0.3">
      <c r="A450" s="116" t="str">
        <f>IF(Inputs!$A67="","",Inputs!$A67)</f>
        <v/>
      </c>
      <c r="B450" s="116" t="str">
        <f>IF(Inputs!$A67="","",Inputs!$A$93)</f>
        <v/>
      </c>
      <c r="C450" s="116"/>
      <c r="D450" s="122" t="str">
        <f>IF($A450="","",(IF(ISNUMBER(SEARCH("Proposal",$A450)),SUMIFS('Timesheet Raw'!$P$4:$P$8000,'Timesheet Raw'!$A$4:$A$8000,IF(ISNUMBER(SEARCH("Chargable",$A450)),"2-Proposals Chargeable","3-Proposals Regular"),'Timesheet Raw'!$C$4:$C$8000,"*"&amp;$B450&amp;"*",'Timesheet Raw'!$L$4:$L$8000,"&gt;="&amp;MAX(D$5,DATE(2000+VALUE(RIGHT(TRIM($A450),2)),1,1)),'Timesheet Raw'!$L$4:$L$8000,"&lt;="&amp;MIN(D$6,DATE(2000+VALUE(RIGHT(TRIM($A450),2)),12,31))),SUMIFS('Timesheet Raw'!$P$4:$P$8000,'Timesheet Raw'!$B$4:$B$8000,TRIM($A450),'Timesheet Raw'!$C$4:$C$8000,"*"&amp;$B450&amp;"*",'Timesheet Raw'!$L$4:$L$8000,"&gt;="&amp;D$5,'Timesheet Raw'!$L$4:$L$8000,"&lt;="&amp;D$6)))/'Profit Plan'!$B$5)</f>
        <v/>
      </c>
      <c r="E450" s="122" t="str">
        <f>IF($A450="","",(IF(ISNUMBER(SEARCH("Proposal",$A450)),SUMIFS('Timesheet Raw'!$P$4:$P$8000,'Timesheet Raw'!$A$4:$A$8000,IF(ISNUMBER(SEARCH("Chargable",$A450)),"2-Proposals Chargeable","3-Proposals Regular"),'Timesheet Raw'!$C$4:$C$8000,"*"&amp;$B450&amp;"*",'Timesheet Raw'!$L$4:$L$8000,"&gt;="&amp;MAX(E$5,DATE(2000+VALUE(RIGHT(TRIM($A450),2)),1,1)),'Timesheet Raw'!$L$4:$L$8000,"&lt;="&amp;MIN(E$6,DATE(2000+VALUE(RIGHT(TRIM($A450),2)),12,31))),SUMIFS('Timesheet Raw'!$P$4:$P$8000,'Timesheet Raw'!$B$4:$B$8000,TRIM($A450),'Timesheet Raw'!$C$4:$C$8000,"*"&amp;$B450&amp;"*",'Timesheet Raw'!$L$4:$L$8000,"&gt;="&amp;E$5,'Timesheet Raw'!$L$4:$L$8000,"&lt;="&amp;E$6)))/'Profit Plan'!$B$5)</f>
        <v/>
      </c>
      <c r="F450" s="122" t="str">
        <f>IF($A450="","",(IF(ISNUMBER(SEARCH("Proposal",$A450)),SUMIFS('Timesheet Raw'!$P$4:$P$8000,'Timesheet Raw'!$A$4:$A$8000,IF(ISNUMBER(SEARCH("Chargable",$A450)),"2-Proposals Chargeable","3-Proposals Regular"),'Timesheet Raw'!$C$4:$C$8000,"*"&amp;$B450&amp;"*",'Timesheet Raw'!$L$4:$L$8000,"&gt;="&amp;MAX(F$5,DATE(2000+VALUE(RIGHT(TRIM($A450),2)),1,1)),'Timesheet Raw'!$L$4:$L$8000,"&lt;="&amp;MIN(F$6,DATE(2000+VALUE(RIGHT(TRIM($A450),2)),12,31))),SUMIFS('Timesheet Raw'!$P$4:$P$8000,'Timesheet Raw'!$B$4:$B$8000,TRIM($A450),'Timesheet Raw'!$C$4:$C$8000,"*"&amp;$B450&amp;"*",'Timesheet Raw'!$L$4:$L$8000,"&gt;="&amp;F$5,'Timesheet Raw'!$L$4:$L$8000,"&lt;="&amp;F$6)))/'Profit Plan'!$B$5)</f>
        <v/>
      </c>
      <c r="G450" s="122" t="str">
        <f>IF($A450="","",(IF(ISNUMBER(SEARCH("Proposal",$A450)),SUMIFS('Timesheet Raw'!$P$4:$P$8000,'Timesheet Raw'!$A$4:$A$8000,IF(ISNUMBER(SEARCH("Chargable",$A450)),"2-Proposals Chargeable","3-Proposals Regular"),'Timesheet Raw'!$C$4:$C$8000,"*"&amp;$B450&amp;"*",'Timesheet Raw'!$L$4:$L$8000,"&gt;="&amp;MAX(G$5,DATE(2000+VALUE(RIGHT(TRIM($A450),2)),1,1)),'Timesheet Raw'!$L$4:$L$8000,"&lt;="&amp;MIN(G$6,DATE(2000+VALUE(RIGHT(TRIM($A450),2)),12,31))),SUMIFS('Timesheet Raw'!$P$4:$P$8000,'Timesheet Raw'!$B$4:$B$8000,TRIM($A450),'Timesheet Raw'!$C$4:$C$8000,"*"&amp;$B450&amp;"*",'Timesheet Raw'!$L$4:$L$8000,"&gt;="&amp;G$5,'Timesheet Raw'!$L$4:$L$8000,"&lt;="&amp;G$6)))/'Profit Plan'!$B$5)</f>
        <v/>
      </c>
      <c r="H450" s="122" t="str">
        <f>IF($A450="","",(IF(ISNUMBER(SEARCH("Proposal",$A450)),SUMIFS('Timesheet Raw'!$P$4:$P$8000,'Timesheet Raw'!$A$4:$A$8000,IF(ISNUMBER(SEARCH("Chargable",$A450)),"2-Proposals Chargeable","3-Proposals Regular"),'Timesheet Raw'!$C$4:$C$8000,"*"&amp;$B450&amp;"*",'Timesheet Raw'!$L$4:$L$8000,"&gt;="&amp;MAX(H$5,DATE(2000+VALUE(RIGHT(TRIM($A450),2)),1,1)),'Timesheet Raw'!$L$4:$L$8000,"&lt;="&amp;MIN(H$6,DATE(2000+VALUE(RIGHT(TRIM($A450),2)),12,31))),SUMIFS('Timesheet Raw'!$P$4:$P$8000,'Timesheet Raw'!$B$4:$B$8000,TRIM($A450),'Timesheet Raw'!$C$4:$C$8000,"*"&amp;$B450&amp;"*",'Timesheet Raw'!$L$4:$L$8000,"&gt;="&amp;H$5,'Timesheet Raw'!$L$4:$L$8000,"&lt;="&amp;H$6)))/'Profit Plan'!$B$5)</f>
        <v/>
      </c>
      <c r="I450" s="122" t="str">
        <f>IF($A450="","",(IF(ISNUMBER(SEARCH("Proposal",$A450)),SUMIFS('Timesheet Raw'!$P$4:$P$8000,'Timesheet Raw'!$A$4:$A$8000,IF(ISNUMBER(SEARCH("Chargable",$A450)),"2-Proposals Chargeable","3-Proposals Regular"),'Timesheet Raw'!$C$4:$C$8000,"*"&amp;$B450&amp;"*",'Timesheet Raw'!$L$4:$L$8000,"&gt;="&amp;MAX(I$5,DATE(2000+VALUE(RIGHT(TRIM($A450),2)),1,1)),'Timesheet Raw'!$L$4:$L$8000,"&lt;="&amp;MIN(I$6,DATE(2000+VALUE(RIGHT(TRIM($A450),2)),12,31))),SUMIFS('Timesheet Raw'!$P$4:$P$8000,'Timesheet Raw'!$B$4:$B$8000,TRIM($A450),'Timesheet Raw'!$C$4:$C$8000,"*"&amp;$B450&amp;"*",'Timesheet Raw'!$L$4:$L$8000,"&gt;="&amp;I$5,'Timesheet Raw'!$L$4:$L$8000,"&lt;="&amp;I$6)))/'Profit Plan'!$B$5)</f>
        <v/>
      </c>
      <c r="J450" s="122" t="str">
        <f>IF($A450="","",(IF(ISNUMBER(SEARCH("Proposal",$A450)),SUMIFS('Timesheet Raw'!$P$4:$P$8000,'Timesheet Raw'!$A$4:$A$8000,IF(ISNUMBER(SEARCH("Chargable",$A450)),"2-Proposals Chargeable","3-Proposals Regular"),'Timesheet Raw'!$C$4:$C$8000,"*"&amp;$B450&amp;"*",'Timesheet Raw'!$L$4:$L$8000,"&gt;="&amp;MAX(J$5,DATE(2000+VALUE(RIGHT(TRIM($A450),2)),1,1)),'Timesheet Raw'!$L$4:$L$8000,"&lt;="&amp;MIN(J$6,DATE(2000+VALUE(RIGHT(TRIM($A450),2)),12,31))),SUMIFS('Timesheet Raw'!$P$4:$P$8000,'Timesheet Raw'!$B$4:$B$8000,TRIM($A450),'Timesheet Raw'!$C$4:$C$8000,"*"&amp;$B450&amp;"*",'Timesheet Raw'!$L$4:$L$8000,"&gt;="&amp;J$5,'Timesheet Raw'!$L$4:$L$8000,"&lt;="&amp;J$6)))/'Profit Plan'!$B$5)</f>
        <v/>
      </c>
      <c r="K450" s="122" t="str">
        <f>IF($A450="","",(IF(ISNUMBER(SEARCH("Proposal",$A450)),SUMIFS('Timesheet Raw'!$P$4:$P$8000,'Timesheet Raw'!$A$4:$A$8000,IF(ISNUMBER(SEARCH("Chargable",$A450)),"2-Proposals Chargeable","3-Proposals Regular"),'Timesheet Raw'!$C$4:$C$8000,"*"&amp;$B450&amp;"*",'Timesheet Raw'!$L$4:$L$8000,"&gt;="&amp;MAX(K$5,DATE(2000+VALUE(RIGHT(TRIM($A450),2)),1,1)),'Timesheet Raw'!$L$4:$L$8000,"&lt;="&amp;MIN(K$6,DATE(2000+VALUE(RIGHT(TRIM($A450),2)),12,31))),SUMIFS('Timesheet Raw'!$P$4:$P$8000,'Timesheet Raw'!$B$4:$B$8000,TRIM($A450),'Timesheet Raw'!$C$4:$C$8000,"*"&amp;$B450&amp;"*",'Timesheet Raw'!$L$4:$L$8000,"&gt;="&amp;K$5,'Timesheet Raw'!$L$4:$L$8000,"&lt;="&amp;K$6)))/'Profit Plan'!$B$5)</f>
        <v/>
      </c>
      <c r="L450" s="122" t="str">
        <f>IF($A450="","",(IF(ISNUMBER(SEARCH("Proposal",$A450)),SUMIFS('Timesheet Raw'!$P$4:$P$8000,'Timesheet Raw'!$A$4:$A$8000,IF(ISNUMBER(SEARCH("Chargable",$A450)),"2-Proposals Chargeable","3-Proposals Regular"),'Timesheet Raw'!$C$4:$C$8000,"*"&amp;$B450&amp;"*",'Timesheet Raw'!$L$4:$L$8000,"&gt;="&amp;MAX(L$5,DATE(2000+VALUE(RIGHT(TRIM($A450),2)),1,1)),'Timesheet Raw'!$L$4:$L$8000,"&lt;="&amp;MIN(L$6,DATE(2000+VALUE(RIGHT(TRIM($A450),2)),12,31))),SUMIFS('Timesheet Raw'!$P$4:$P$8000,'Timesheet Raw'!$B$4:$B$8000,TRIM($A450),'Timesheet Raw'!$C$4:$C$8000,"*"&amp;$B450&amp;"*",'Timesheet Raw'!$L$4:$L$8000,"&gt;="&amp;L$5,'Timesheet Raw'!$L$4:$L$8000,"&lt;="&amp;L$6)))/'Profit Plan'!$B$5)</f>
        <v/>
      </c>
      <c r="M450" s="122" t="str">
        <f>IF($A450="","",(IF(ISNUMBER(SEARCH("Proposal",$A450)),SUMIFS('Timesheet Raw'!$P$4:$P$8000,'Timesheet Raw'!$A$4:$A$8000,IF(ISNUMBER(SEARCH("Chargable",$A450)),"2-Proposals Chargeable","3-Proposals Regular"),'Timesheet Raw'!$C$4:$C$8000,"*"&amp;$B450&amp;"*",'Timesheet Raw'!$L$4:$L$8000,"&gt;="&amp;MAX(M$5,DATE(2000+VALUE(RIGHT(TRIM($A450),2)),1,1)),'Timesheet Raw'!$L$4:$L$8000,"&lt;="&amp;MIN(M$6,DATE(2000+VALUE(RIGHT(TRIM($A450),2)),12,31))),SUMIFS('Timesheet Raw'!$P$4:$P$8000,'Timesheet Raw'!$B$4:$B$8000,TRIM($A450),'Timesheet Raw'!$C$4:$C$8000,"*"&amp;$B450&amp;"*",'Timesheet Raw'!$L$4:$L$8000,"&gt;="&amp;M$5,'Timesheet Raw'!$L$4:$L$8000,"&lt;="&amp;M$6)))/'Profit Plan'!$B$5)</f>
        <v/>
      </c>
      <c r="N450" s="122" t="str">
        <f>IF($A450="","",(IF(ISNUMBER(SEARCH("Proposal",$A450)),SUMIFS('Timesheet Raw'!$P$4:$P$8000,'Timesheet Raw'!$A$4:$A$8000,IF(ISNUMBER(SEARCH("Chargable",$A450)),"2-Proposals Chargeable","3-Proposals Regular"),'Timesheet Raw'!$C$4:$C$8000,"*"&amp;$B450&amp;"*",'Timesheet Raw'!$L$4:$L$8000,"&gt;="&amp;MAX(N$5,DATE(2000+VALUE(RIGHT(TRIM($A450),2)),1,1)),'Timesheet Raw'!$L$4:$L$8000,"&lt;="&amp;MIN(N$6,DATE(2000+VALUE(RIGHT(TRIM($A450),2)),12,31))),SUMIFS('Timesheet Raw'!$P$4:$P$8000,'Timesheet Raw'!$B$4:$B$8000,TRIM($A450),'Timesheet Raw'!$C$4:$C$8000,"*"&amp;$B450&amp;"*",'Timesheet Raw'!$L$4:$L$8000,"&gt;="&amp;N$5,'Timesheet Raw'!$L$4:$L$8000,"&lt;="&amp;N$6)))/'Profit Plan'!$B$5)</f>
        <v/>
      </c>
      <c r="O450" s="122" t="str">
        <f>IF($A450="","",(IF(ISNUMBER(SEARCH("Proposal",$A450)),SUMIFS('Timesheet Raw'!$P$4:$P$8000,'Timesheet Raw'!$A$4:$A$8000,IF(ISNUMBER(SEARCH("Chargable",$A450)),"2-Proposals Chargeable","3-Proposals Regular"),'Timesheet Raw'!$C$4:$C$8000,"*"&amp;$B450&amp;"*",'Timesheet Raw'!$L$4:$L$8000,"&gt;="&amp;MAX(O$5,DATE(2000+VALUE(RIGHT(TRIM($A450),2)),1,1)),'Timesheet Raw'!$L$4:$L$8000,"&lt;="&amp;MIN(O$6,DATE(2000+VALUE(RIGHT(TRIM($A450),2)),12,31))),SUMIFS('Timesheet Raw'!$P$4:$P$8000,'Timesheet Raw'!$B$4:$B$8000,TRIM($A450),'Timesheet Raw'!$C$4:$C$8000,"*"&amp;$B450&amp;"*",'Timesheet Raw'!$L$4:$L$8000,"&gt;="&amp;O$5,'Timesheet Raw'!$L$4:$L$8000,"&lt;="&amp;O$6)))/'Profit Plan'!$B$5)</f>
        <v/>
      </c>
      <c r="P450" s="122" t="str">
        <f>IF($A450="","",(IF(ISNUMBER(SEARCH("Proposal",$A450)),SUMIFS('Timesheet Raw'!$P$4:$P$8000,'Timesheet Raw'!$A$4:$A$8000,IF(ISNUMBER(SEARCH("Chargable",$A450)),"2-Proposals Chargeable","3-Proposals Regular"),'Timesheet Raw'!$C$4:$C$8000,"*"&amp;$B450&amp;"*",'Timesheet Raw'!$L$4:$L$8000,"&gt;="&amp;MAX(P$5,DATE(2000+VALUE(RIGHT(TRIM($A450),2)),1,1)),'Timesheet Raw'!$L$4:$L$8000,"&lt;="&amp;MIN(P$6,DATE(2000+VALUE(RIGHT(TRIM($A450),2)),12,31))),SUMIFS('Timesheet Raw'!$P$4:$P$8000,'Timesheet Raw'!$B$4:$B$8000,TRIM($A450),'Timesheet Raw'!$C$4:$C$8000,"*"&amp;$B450&amp;"*",'Timesheet Raw'!$L$4:$L$8000,"&gt;="&amp;P$5,'Timesheet Raw'!$L$4:$L$8000,"&lt;="&amp;P$6)))/'Profit Plan'!$B$5)</f>
        <v/>
      </c>
      <c r="Q450" s="122" t="str">
        <f>IF($A450="","",(IF(ISNUMBER(SEARCH("Proposal",$A450)),SUMIFS('Timesheet Raw'!$P$4:$P$8000,'Timesheet Raw'!$A$4:$A$8000,IF(ISNUMBER(SEARCH("Chargable",$A450)),"2-Proposals Chargeable","3-Proposals Regular"),'Timesheet Raw'!$C$4:$C$8000,"*"&amp;$B450&amp;"*",'Timesheet Raw'!$L$4:$L$8000,"&gt;="&amp;MAX(Q$5,DATE(2000+VALUE(RIGHT(TRIM($A450),2)),1,1)),'Timesheet Raw'!$L$4:$L$8000,"&lt;="&amp;MIN(Q$6,DATE(2000+VALUE(RIGHT(TRIM($A450),2)),12,31))),SUMIFS('Timesheet Raw'!$P$4:$P$8000,'Timesheet Raw'!$B$4:$B$8000,TRIM($A450),'Timesheet Raw'!$C$4:$C$8000,"*"&amp;$B450&amp;"*",'Timesheet Raw'!$L$4:$L$8000,"&gt;="&amp;Q$5,'Timesheet Raw'!$L$4:$L$8000,"&lt;="&amp;Q$6)))/'Profit Plan'!$B$5)</f>
        <v/>
      </c>
      <c r="R450" s="122" t="str">
        <f>IF($A450="","",(IF(ISNUMBER(SEARCH("Proposal",$A450)),SUMIFS('Timesheet Raw'!$P$4:$P$8000,'Timesheet Raw'!$A$4:$A$8000,IF(ISNUMBER(SEARCH("Chargable",$A450)),"2-Proposals Chargeable","3-Proposals Regular"),'Timesheet Raw'!$C$4:$C$8000,"*"&amp;$B450&amp;"*",'Timesheet Raw'!$L$4:$L$8000,"&gt;="&amp;MAX(R$5,DATE(2000+VALUE(RIGHT(TRIM($A450),2)),1,1)),'Timesheet Raw'!$L$4:$L$8000,"&lt;="&amp;MIN(R$6,DATE(2000+VALUE(RIGHT(TRIM($A450),2)),12,31))),SUMIFS('Timesheet Raw'!$P$4:$P$8000,'Timesheet Raw'!$B$4:$B$8000,TRIM($A450),'Timesheet Raw'!$C$4:$C$8000,"*"&amp;$B450&amp;"*",'Timesheet Raw'!$L$4:$L$8000,"&gt;="&amp;R$5,'Timesheet Raw'!$L$4:$L$8000,"&lt;="&amp;R$6)))/'Profit Plan'!$B$5)</f>
        <v/>
      </c>
      <c r="S450" s="122" t="str">
        <f>IF($A450="","",(IF(ISNUMBER(SEARCH("Proposal",$A450)),SUMIFS('Timesheet Raw'!$P$4:$P$8000,'Timesheet Raw'!$A$4:$A$8000,IF(ISNUMBER(SEARCH("Chargable",$A450)),"2-Proposals Chargeable","3-Proposals Regular"),'Timesheet Raw'!$C$4:$C$8000,"*"&amp;$B450&amp;"*",'Timesheet Raw'!$L$4:$L$8000,"&gt;="&amp;MAX(S$5,DATE(2000+VALUE(RIGHT(TRIM($A450),2)),1,1)),'Timesheet Raw'!$L$4:$L$8000,"&lt;="&amp;MIN(S$6,DATE(2000+VALUE(RIGHT(TRIM($A450),2)),12,31))),SUMIFS('Timesheet Raw'!$P$4:$P$8000,'Timesheet Raw'!$B$4:$B$8000,TRIM($A450),'Timesheet Raw'!$C$4:$C$8000,"*"&amp;$B450&amp;"*",'Timesheet Raw'!$L$4:$L$8000,"&gt;="&amp;S$5,'Timesheet Raw'!$L$4:$L$8000,"&lt;="&amp;S$6)))/'Profit Plan'!$B$5)</f>
        <v/>
      </c>
      <c r="T450" s="122" t="str">
        <f>IF($A450="","",(IF(ISNUMBER(SEARCH("Proposal",$A450)),SUMIFS('Timesheet Raw'!$P$4:$P$8000,'Timesheet Raw'!$A$4:$A$8000,IF(ISNUMBER(SEARCH("Chargable",$A450)),"2-Proposals Chargeable","3-Proposals Regular"),'Timesheet Raw'!$C$4:$C$8000,"*"&amp;$B450&amp;"*",'Timesheet Raw'!$L$4:$L$8000,"&gt;="&amp;MAX(T$5,DATE(2000+VALUE(RIGHT(TRIM($A450),2)),1,1)),'Timesheet Raw'!$L$4:$L$8000,"&lt;="&amp;MIN(T$6,DATE(2000+VALUE(RIGHT(TRIM($A450),2)),12,31))),SUMIFS('Timesheet Raw'!$P$4:$P$8000,'Timesheet Raw'!$B$4:$B$8000,TRIM($A450),'Timesheet Raw'!$C$4:$C$8000,"*"&amp;$B450&amp;"*",'Timesheet Raw'!$L$4:$L$8000,"&gt;="&amp;T$5,'Timesheet Raw'!$L$4:$L$8000,"&lt;="&amp;T$6)))/'Profit Plan'!$B$5)</f>
        <v/>
      </c>
      <c r="U450" s="122" t="str">
        <f>IF($A450="","",(IF(ISNUMBER(SEARCH("Proposal",$A450)),SUMIFS('Timesheet Raw'!$P$4:$P$8000,'Timesheet Raw'!$A$4:$A$8000,IF(ISNUMBER(SEARCH("Chargable",$A450)),"2-Proposals Chargeable","3-Proposals Regular"),'Timesheet Raw'!$C$4:$C$8000,"*"&amp;$B450&amp;"*",'Timesheet Raw'!$L$4:$L$8000,"&gt;="&amp;MAX(U$5,DATE(2000+VALUE(RIGHT(TRIM($A450),2)),1,1)),'Timesheet Raw'!$L$4:$L$8000,"&lt;="&amp;MIN(U$6,DATE(2000+VALUE(RIGHT(TRIM($A450),2)),12,31))),SUMIFS('Timesheet Raw'!$P$4:$P$8000,'Timesheet Raw'!$B$4:$B$8000,TRIM($A450),'Timesheet Raw'!$C$4:$C$8000,"*"&amp;$B450&amp;"*",'Timesheet Raw'!$L$4:$L$8000,"&gt;="&amp;U$5,'Timesheet Raw'!$L$4:$L$8000,"&lt;="&amp;U$6)))/'Profit Plan'!$B$5)</f>
        <v/>
      </c>
      <c r="V450" s="122" t="str">
        <f>IF($A450="","",(IF(ISNUMBER(SEARCH("Proposal",$A450)),SUMIFS('Timesheet Raw'!$P$4:$P$8000,'Timesheet Raw'!$A$4:$A$8000,IF(ISNUMBER(SEARCH("Chargable",$A450)),"2-Proposals Chargeable","3-Proposals Regular"),'Timesheet Raw'!$C$4:$C$8000,"*"&amp;$B450&amp;"*",'Timesheet Raw'!$L$4:$L$8000,"&gt;="&amp;MAX(V$5,DATE(2000+VALUE(RIGHT(TRIM($A450),2)),1,1)),'Timesheet Raw'!$L$4:$L$8000,"&lt;="&amp;MIN(V$6,DATE(2000+VALUE(RIGHT(TRIM($A450),2)),12,31))),SUMIFS('Timesheet Raw'!$P$4:$P$8000,'Timesheet Raw'!$B$4:$B$8000,TRIM($A450),'Timesheet Raw'!$C$4:$C$8000,"*"&amp;$B450&amp;"*",'Timesheet Raw'!$L$4:$L$8000,"&gt;="&amp;V$5,'Timesheet Raw'!$L$4:$L$8000,"&lt;="&amp;V$6)))/'Profit Plan'!$B$5)</f>
        <v/>
      </c>
      <c r="W450" s="122" t="str">
        <f>IF($A450="","",(IF(ISNUMBER(SEARCH("Proposal",$A450)),SUMIFS('Timesheet Raw'!$P$4:$P$8000,'Timesheet Raw'!$A$4:$A$8000,IF(ISNUMBER(SEARCH("Chargable",$A450)),"2-Proposals Chargeable","3-Proposals Regular"),'Timesheet Raw'!$C$4:$C$8000,"*"&amp;$B450&amp;"*",'Timesheet Raw'!$L$4:$L$8000,"&gt;="&amp;MAX(W$5,DATE(2000+VALUE(RIGHT(TRIM($A450),2)),1,1)),'Timesheet Raw'!$L$4:$L$8000,"&lt;="&amp;MIN(W$6,DATE(2000+VALUE(RIGHT(TRIM($A450),2)),12,31))),SUMIFS('Timesheet Raw'!$P$4:$P$8000,'Timesheet Raw'!$B$4:$B$8000,TRIM($A450),'Timesheet Raw'!$C$4:$C$8000,"*"&amp;$B450&amp;"*",'Timesheet Raw'!$L$4:$L$8000,"&gt;="&amp;W$5,'Timesheet Raw'!$L$4:$L$8000,"&lt;="&amp;W$6)))/'Profit Plan'!$B$5)</f>
        <v/>
      </c>
      <c r="X450" s="122" t="str">
        <f>IF($A450="","",(IF(ISNUMBER(SEARCH("Proposal",$A450)),SUMIFS('Timesheet Raw'!$P$4:$P$8000,'Timesheet Raw'!$A$4:$A$8000,IF(ISNUMBER(SEARCH("Chargable",$A450)),"2-Proposals Chargeable","3-Proposals Regular"),'Timesheet Raw'!$C$4:$C$8000,"*"&amp;$B450&amp;"*",'Timesheet Raw'!$L$4:$L$8000,"&gt;="&amp;MAX(X$5,DATE(2000+VALUE(RIGHT(TRIM($A450),2)),1,1)),'Timesheet Raw'!$L$4:$L$8000,"&lt;="&amp;MIN(X$6,DATE(2000+VALUE(RIGHT(TRIM($A450),2)),12,31))),SUMIFS('Timesheet Raw'!$P$4:$P$8000,'Timesheet Raw'!$B$4:$B$8000,TRIM($A450),'Timesheet Raw'!$C$4:$C$8000,"*"&amp;$B450&amp;"*",'Timesheet Raw'!$L$4:$L$8000,"&gt;="&amp;X$5,'Timesheet Raw'!$L$4:$L$8000,"&lt;="&amp;X$6)))/'Profit Plan'!$B$5)</f>
        <v/>
      </c>
      <c r="Y450" s="118">
        <f t="shared" si="102"/>
        <v>0</v>
      </c>
    </row>
    <row r="451" spans="1:25" x14ac:dyDescent="0.3">
      <c r="A451" s="116" t="str">
        <f>IF(Inputs!$A68="","",Inputs!$A68)</f>
        <v/>
      </c>
      <c r="B451" s="116" t="str">
        <f>IF(Inputs!$A68="","",Inputs!$A$91)</f>
        <v/>
      </c>
      <c r="C451" s="116"/>
      <c r="D451" s="122" t="str">
        <f>IF($A451="","",(IF(ISNUMBER(SEARCH("Proposal",$A451)),SUMIFS('Timesheet Raw'!$P$4:$P$8000,'Timesheet Raw'!$A$4:$A$8000,IF(ISNUMBER(SEARCH("Chargable",$A451)),"2-Proposals Chargeable","3-Proposals Regular"),'Timesheet Raw'!$C$4:$C$8000,"*"&amp;$B451&amp;"*",'Timesheet Raw'!$L$4:$L$8000,"&gt;="&amp;MAX(D$5,DATE(2000+VALUE(RIGHT(TRIM($A451),2)),1,1)),'Timesheet Raw'!$L$4:$L$8000,"&lt;="&amp;MIN(D$6,DATE(2000+VALUE(RIGHT(TRIM($A451),2)),12,31))),SUMIFS('Timesheet Raw'!$P$4:$P$8000,'Timesheet Raw'!$B$4:$B$8000,TRIM($A451),'Timesheet Raw'!$C$4:$C$8000,"*"&amp;$B451&amp;"*",'Timesheet Raw'!$L$4:$L$8000,"&gt;="&amp;D$5,'Timesheet Raw'!$L$4:$L$8000,"&lt;="&amp;D$6)))/'Profit Plan'!$B$5)</f>
        <v/>
      </c>
      <c r="E451" s="122" t="str">
        <f>IF($A451="","",(IF(ISNUMBER(SEARCH("Proposal",$A451)),SUMIFS('Timesheet Raw'!$P$4:$P$8000,'Timesheet Raw'!$A$4:$A$8000,IF(ISNUMBER(SEARCH("Chargable",$A451)),"2-Proposals Chargeable","3-Proposals Regular"),'Timesheet Raw'!$C$4:$C$8000,"*"&amp;$B451&amp;"*",'Timesheet Raw'!$L$4:$L$8000,"&gt;="&amp;MAX(E$5,DATE(2000+VALUE(RIGHT(TRIM($A451),2)),1,1)),'Timesheet Raw'!$L$4:$L$8000,"&lt;="&amp;MIN(E$6,DATE(2000+VALUE(RIGHT(TRIM($A451),2)),12,31))),SUMIFS('Timesheet Raw'!$P$4:$P$8000,'Timesheet Raw'!$B$4:$B$8000,TRIM($A451),'Timesheet Raw'!$C$4:$C$8000,"*"&amp;$B451&amp;"*",'Timesheet Raw'!$L$4:$L$8000,"&gt;="&amp;E$5,'Timesheet Raw'!$L$4:$L$8000,"&lt;="&amp;E$6)))/'Profit Plan'!$B$5)</f>
        <v/>
      </c>
      <c r="F451" s="122" t="str">
        <f>IF($A451="","",(IF(ISNUMBER(SEARCH("Proposal",$A451)),SUMIFS('Timesheet Raw'!$P$4:$P$8000,'Timesheet Raw'!$A$4:$A$8000,IF(ISNUMBER(SEARCH("Chargable",$A451)),"2-Proposals Chargeable","3-Proposals Regular"),'Timesheet Raw'!$C$4:$C$8000,"*"&amp;$B451&amp;"*",'Timesheet Raw'!$L$4:$L$8000,"&gt;="&amp;MAX(F$5,DATE(2000+VALUE(RIGHT(TRIM($A451),2)),1,1)),'Timesheet Raw'!$L$4:$L$8000,"&lt;="&amp;MIN(F$6,DATE(2000+VALUE(RIGHT(TRIM($A451),2)),12,31))),SUMIFS('Timesheet Raw'!$P$4:$P$8000,'Timesheet Raw'!$B$4:$B$8000,TRIM($A451),'Timesheet Raw'!$C$4:$C$8000,"*"&amp;$B451&amp;"*",'Timesheet Raw'!$L$4:$L$8000,"&gt;="&amp;F$5,'Timesheet Raw'!$L$4:$L$8000,"&lt;="&amp;F$6)))/'Profit Plan'!$B$5)</f>
        <v/>
      </c>
      <c r="G451" s="122" t="str">
        <f>IF($A451="","",(IF(ISNUMBER(SEARCH("Proposal",$A451)),SUMIFS('Timesheet Raw'!$P$4:$P$8000,'Timesheet Raw'!$A$4:$A$8000,IF(ISNUMBER(SEARCH("Chargable",$A451)),"2-Proposals Chargeable","3-Proposals Regular"),'Timesheet Raw'!$C$4:$C$8000,"*"&amp;$B451&amp;"*",'Timesheet Raw'!$L$4:$L$8000,"&gt;="&amp;MAX(G$5,DATE(2000+VALUE(RIGHT(TRIM($A451),2)),1,1)),'Timesheet Raw'!$L$4:$L$8000,"&lt;="&amp;MIN(G$6,DATE(2000+VALUE(RIGHT(TRIM($A451),2)),12,31))),SUMIFS('Timesheet Raw'!$P$4:$P$8000,'Timesheet Raw'!$B$4:$B$8000,TRIM($A451),'Timesheet Raw'!$C$4:$C$8000,"*"&amp;$B451&amp;"*",'Timesheet Raw'!$L$4:$L$8000,"&gt;="&amp;G$5,'Timesheet Raw'!$L$4:$L$8000,"&lt;="&amp;G$6)))/'Profit Plan'!$B$5)</f>
        <v/>
      </c>
      <c r="H451" s="122" t="str">
        <f>IF($A451="","",(IF(ISNUMBER(SEARCH("Proposal",$A451)),SUMIFS('Timesheet Raw'!$P$4:$P$8000,'Timesheet Raw'!$A$4:$A$8000,IF(ISNUMBER(SEARCH("Chargable",$A451)),"2-Proposals Chargeable","3-Proposals Regular"),'Timesheet Raw'!$C$4:$C$8000,"*"&amp;$B451&amp;"*",'Timesheet Raw'!$L$4:$L$8000,"&gt;="&amp;MAX(H$5,DATE(2000+VALUE(RIGHT(TRIM($A451),2)),1,1)),'Timesheet Raw'!$L$4:$L$8000,"&lt;="&amp;MIN(H$6,DATE(2000+VALUE(RIGHT(TRIM($A451),2)),12,31))),SUMIFS('Timesheet Raw'!$P$4:$P$8000,'Timesheet Raw'!$B$4:$B$8000,TRIM($A451),'Timesheet Raw'!$C$4:$C$8000,"*"&amp;$B451&amp;"*",'Timesheet Raw'!$L$4:$L$8000,"&gt;="&amp;H$5,'Timesheet Raw'!$L$4:$L$8000,"&lt;="&amp;H$6)))/'Profit Plan'!$B$5)</f>
        <v/>
      </c>
      <c r="I451" s="122" t="str">
        <f>IF($A451="","",(IF(ISNUMBER(SEARCH("Proposal",$A451)),SUMIFS('Timesheet Raw'!$P$4:$P$8000,'Timesheet Raw'!$A$4:$A$8000,IF(ISNUMBER(SEARCH("Chargable",$A451)),"2-Proposals Chargeable","3-Proposals Regular"),'Timesheet Raw'!$C$4:$C$8000,"*"&amp;$B451&amp;"*",'Timesheet Raw'!$L$4:$L$8000,"&gt;="&amp;MAX(I$5,DATE(2000+VALUE(RIGHT(TRIM($A451),2)),1,1)),'Timesheet Raw'!$L$4:$L$8000,"&lt;="&amp;MIN(I$6,DATE(2000+VALUE(RIGHT(TRIM($A451),2)),12,31))),SUMIFS('Timesheet Raw'!$P$4:$P$8000,'Timesheet Raw'!$B$4:$B$8000,TRIM($A451),'Timesheet Raw'!$C$4:$C$8000,"*"&amp;$B451&amp;"*",'Timesheet Raw'!$L$4:$L$8000,"&gt;="&amp;I$5,'Timesheet Raw'!$L$4:$L$8000,"&lt;="&amp;I$6)))/'Profit Plan'!$B$5)</f>
        <v/>
      </c>
      <c r="J451" s="122" t="str">
        <f>IF($A451="","",(IF(ISNUMBER(SEARCH("Proposal",$A451)),SUMIFS('Timesheet Raw'!$P$4:$P$8000,'Timesheet Raw'!$A$4:$A$8000,IF(ISNUMBER(SEARCH("Chargable",$A451)),"2-Proposals Chargeable","3-Proposals Regular"),'Timesheet Raw'!$C$4:$C$8000,"*"&amp;$B451&amp;"*",'Timesheet Raw'!$L$4:$L$8000,"&gt;="&amp;MAX(J$5,DATE(2000+VALUE(RIGHT(TRIM($A451),2)),1,1)),'Timesheet Raw'!$L$4:$L$8000,"&lt;="&amp;MIN(J$6,DATE(2000+VALUE(RIGHT(TRIM($A451),2)),12,31))),SUMIFS('Timesheet Raw'!$P$4:$P$8000,'Timesheet Raw'!$B$4:$B$8000,TRIM($A451),'Timesheet Raw'!$C$4:$C$8000,"*"&amp;$B451&amp;"*",'Timesheet Raw'!$L$4:$L$8000,"&gt;="&amp;J$5,'Timesheet Raw'!$L$4:$L$8000,"&lt;="&amp;J$6)))/'Profit Plan'!$B$5)</f>
        <v/>
      </c>
      <c r="K451" s="122" t="str">
        <f>IF($A451="","",(IF(ISNUMBER(SEARCH("Proposal",$A451)),SUMIFS('Timesheet Raw'!$P$4:$P$8000,'Timesheet Raw'!$A$4:$A$8000,IF(ISNUMBER(SEARCH("Chargable",$A451)),"2-Proposals Chargeable","3-Proposals Regular"),'Timesheet Raw'!$C$4:$C$8000,"*"&amp;$B451&amp;"*",'Timesheet Raw'!$L$4:$L$8000,"&gt;="&amp;MAX(K$5,DATE(2000+VALUE(RIGHT(TRIM($A451),2)),1,1)),'Timesheet Raw'!$L$4:$L$8000,"&lt;="&amp;MIN(K$6,DATE(2000+VALUE(RIGHT(TRIM($A451),2)),12,31))),SUMIFS('Timesheet Raw'!$P$4:$P$8000,'Timesheet Raw'!$B$4:$B$8000,TRIM($A451),'Timesheet Raw'!$C$4:$C$8000,"*"&amp;$B451&amp;"*",'Timesheet Raw'!$L$4:$L$8000,"&gt;="&amp;K$5,'Timesheet Raw'!$L$4:$L$8000,"&lt;="&amp;K$6)))/'Profit Plan'!$B$5)</f>
        <v/>
      </c>
      <c r="L451" s="122" t="str">
        <f>IF($A451="","",(IF(ISNUMBER(SEARCH("Proposal",$A451)),SUMIFS('Timesheet Raw'!$P$4:$P$8000,'Timesheet Raw'!$A$4:$A$8000,IF(ISNUMBER(SEARCH("Chargable",$A451)),"2-Proposals Chargeable","3-Proposals Regular"),'Timesheet Raw'!$C$4:$C$8000,"*"&amp;$B451&amp;"*",'Timesheet Raw'!$L$4:$L$8000,"&gt;="&amp;MAX(L$5,DATE(2000+VALUE(RIGHT(TRIM($A451),2)),1,1)),'Timesheet Raw'!$L$4:$L$8000,"&lt;="&amp;MIN(L$6,DATE(2000+VALUE(RIGHT(TRIM($A451),2)),12,31))),SUMIFS('Timesheet Raw'!$P$4:$P$8000,'Timesheet Raw'!$B$4:$B$8000,TRIM($A451),'Timesheet Raw'!$C$4:$C$8000,"*"&amp;$B451&amp;"*",'Timesheet Raw'!$L$4:$L$8000,"&gt;="&amp;L$5,'Timesheet Raw'!$L$4:$L$8000,"&lt;="&amp;L$6)))/'Profit Plan'!$B$5)</f>
        <v/>
      </c>
      <c r="M451" s="122" t="str">
        <f>IF($A451="","",(IF(ISNUMBER(SEARCH("Proposal",$A451)),SUMIFS('Timesheet Raw'!$P$4:$P$8000,'Timesheet Raw'!$A$4:$A$8000,IF(ISNUMBER(SEARCH("Chargable",$A451)),"2-Proposals Chargeable","3-Proposals Regular"),'Timesheet Raw'!$C$4:$C$8000,"*"&amp;$B451&amp;"*",'Timesheet Raw'!$L$4:$L$8000,"&gt;="&amp;MAX(M$5,DATE(2000+VALUE(RIGHT(TRIM($A451),2)),1,1)),'Timesheet Raw'!$L$4:$L$8000,"&lt;="&amp;MIN(M$6,DATE(2000+VALUE(RIGHT(TRIM($A451),2)),12,31))),SUMIFS('Timesheet Raw'!$P$4:$P$8000,'Timesheet Raw'!$B$4:$B$8000,TRIM($A451),'Timesheet Raw'!$C$4:$C$8000,"*"&amp;$B451&amp;"*",'Timesheet Raw'!$L$4:$L$8000,"&gt;="&amp;M$5,'Timesheet Raw'!$L$4:$L$8000,"&lt;="&amp;M$6)))/'Profit Plan'!$B$5)</f>
        <v/>
      </c>
      <c r="N451" s="122" t="str">
        <f>IF($A451="","",(IF(ISNUMBER(SEARCH("Proposal",$A451)),SUMIFS('Timesheet Raw'!$P$4:$P$8000,'Timesheet Raw'!$A$4:$A$8000,IF(ISNUMBER(SEARCH("Chargable",$A451)),"2-Proposals Chargeable","3-Proposals Regular"),'Timesheet Raw'!$C$4:$C$8000,"*"&amp;$B451&amp;"*",'Timesheet Raw'!$L$4:$L$8000,"&gt;="&amp;MAX(N$5,DATE(2000+VALUE(RIGHT(TRIM($A451),2)),1,1)),'Timesheet Raw'!$L$4:$L$8000,"&lt;="&amp;MIN(N$6,DATE(2000+VALUE(RIGHT(TRIM($A451),2)),12,31))),SUMIFS('Timesheet Raw'!$P$4:$P$8000,'Timesheet Raw'!$B$4:$B$8000,TRIM($A451),'Timesheet Raw'!$C$4:$C$8000,"*"&amp;$B451&amp;"*",'Timesheet Raw'!$L$4:$L$8000,"&gt;="&amp;N$5,'Timesheet Raw'!$L$4:$L$8000,"&lt;="&amp;N$6)))/'Profit Plan'!$B$5)</f>
        <v/>
      </c>
      <c r="O451" s="122" t="str">
        <f>IF($A451="","",(IF(ISNUMBER(SEARCH("Proposal",$A451)),SUMIFS('Timesheet Raw'!$P$4:$P$8000,'Timesheet Raw'!$A$4:$A$8000,IF(ISNUMBER(SEARCH("Chargable",$A451)),"2-Proposals Chargeable","3-Proposals Regular"),'Timesheet Raw'!$C$4:$C$8000,"*"&amp;$B451&amp;"*",'Timesheet Raw'!$L$4:$L$8000,"&gt;="&amp;MAX(O$5,DATE(2000+VALUE(RIGHT(TRIM($A451),2)),1,1)),'Timesheet Raw'!$L$4:$L$8000,"&lt;="&amp;MIN(O$6,DATE(2000+VALUE(RIGHT(TRIM($A451),2)),12,31))),SUMIFS('Timesheet Raw'!$P$4:$P$8000,'Timesheet Raw'!$B$4:$B$8000,TRIM($A451),'Timesheet Raw'!$C$4:$C$8000,"*"&amp;$B451&amp;"*",'Timesheet Raw'!$L$4:$L$8000,"&gt;="&amp;O$5,'Timesheet Raw'!$L$4:$L$8000,"&lt;="&amp;O$6)))/'Profit Plan'!$B$5)</f>
        <v/>
      </c>
      <c r="P451" s="122" t="str">
        <f>IF($A451="","",(IF(ISNUMBER(SEARCH("Proposal",$A451)),SUMIFS('Timesheet Raw'!$P$4:$P$8000,'Timesheet Raw'!$A$4:$A$8000,IF(ISNUMBER(SEARCH("Chargable",$A451)),"2-Proposals Chargeable","3-Proposals Regular"),'Timesheet Raw'!$C$4:$C$8000,"*"&amp;$B451&amp;"*",'Timesheet Raw'!$L$4:$L$8000,"&gt;="&amp;MAX(P$5,DATE(2000+VALUE(RIGHT(TRIM($A451),2)),1,1)),'Timesheet Raw'!$L$4:$L$8000,"&lt;="&amp;MIN(P$6,DATE(2000+VALUE(RIGHT(TRIM($A451),2)),12,31))),SUMIFS('Timesheet Raw'!$P$4:$P$8000,'Timesheet Raw'!$B$4:$B$8000,TRIM($A451),'Timesheet Raw'!$C$4:$C$8000,"*"&amp;$B451&amp;"*",'Timesheet Raw'!$L$4:$L$8000,"&gt;="&amp;P$5,'Timesheet Raw'!$L$4:$L$8000,"&lt;="&amp;P$6)))/'Profit Plan'!$B$5)</f>
        <v/>
      </c>
      <c r="Q451" s="122" t="str">
        <f>IF($A451="","",(IF(ISNUMBER(SEARCH("Proposal",$A451)),SUMIFS('Timesheet Raw'!$P$4:$P$8000,'Timesheet Raw'!$A$4:$A$8000,IF(ISNUMBER(SEARCH("Chargable",$A451)),"2-Proposals Chargeable","3-Proposals Regular"),'Timesheet Raw'!$C$4:$C$8000,"*"&amp;$B451&amp;"*",'Timesheet Raw'!$L$4:$L$8000,"&gt;="&amp;MAX(Q$5,DATE(2000+VALUE(RIGHT(TRIM($A451),2)),1,1)),'Timesheet Raw'!$L$4:$L$8000,"&lt;="&amp;MIN(Q$6,DATE(2000+VALUE(RIGHT(TRIM($A451),2)),12,31))),SUMIFS('Timesheet Raw'!$P$4:$P$8000,'Timesheet Raw'!$B$4:$B$8000,TRIM($A451),'Timesheet Raw'!$C$4:$C$8000,"*"&amp;$B451&amp;"*",'Timesheet Raw'!$L$4:$L$8000,"&gt;="&amp;Q$5,'Timesheet Raw'!$L$4:$L$8000,"&lt;="&amp;Q$6)))/'Profit Plan'!$B$5)</f>
        <v/>
      </c>
      <c r="R451" s="122" t="str">
        <f>IF($A451="","",(IF(ISNUMBER(SEARCH("Proposal",$A451)),SUMIFS('Timesheet Raw'!$P$4:$P$8000,'Timesheet Raw'!$A$4:$A$8000,IF(ISNUMBER(SEARCH("Chargable",$A451)),"2-Proposals Chargeable","3-Proposals Regular"),'Timesheet Raw'!$C$4:$C$8000,"*"&amp;$B451&amp;"*",'Timesheet Raw'!$L$4:$L$8000,"&gt;="&amp;MAX(R$5,DATE(2000+VALUE(RIGHT(TRIM($A451),2)),1,1)),'Timesheet Raw'!$L$4:$L$8000,"&lt;="&amp;MIN(R$6,DATE(2000+VALUE(RIGHT(TRIM($A451),2)),12,31))),SUMIFS('Timesheet Raw'!$P$4:$P$8000,'Timesheet Raw'!$B$4:$B$8000,TRIM($A451),'Timesheet Raw'!$C$4:$C$8000,"*"&amp;$B451&amp;"*",'Timesheet Raw'!$L$4:$L$8000,"&gt;="&amp;R$5,'Timesheet Raw'!$L$4:$L$8000,"&lt;="&amp;R$6)))/'Profit Plan'!$B$5)</f>
        <v/>
      </c>
      <c r="S451" s="122" t="str">
        <f>IF($A451="","",(IF(ISNUMBER(SEARCH("Proposal",$A451)),SUMIFS('Timesheet Raw'!$P$4:$P$8000,'Timesheet Raw'!$A$4:$A$8000,IF(ISNUMBER(SEARCH("Chargable",$A451)),"2-Proposals Chargeable","3-Proposals Regular"),'Timesheet Raw'!$C$4:$C$8000,"*"&amp;$B451&amp;"*",'Timesheet Raw'!$L$4:$L$8000,"&gt;="&amp;MAX(S$5,DATE(2000+VALUE(RIGHT(TRIM($A451),2)),1,1)),'Timesheet Raw'!$L$4:$L$8000,"&lt;="&amp;MIN(S$6,DATE(2000+VALUE(RIGHT(TRIM($A451),2)),12,31))),SUMIFS('Timesheet Raw'!$P$4:$P$8000,'Timesheet Raw'!$B$4:$B$8000,TRIM($A451),'Timesheet Raw'!$C$4:$C$8000,"*"&amp;$B451&amp;"*",'Timesheet Raw'!$L$4:$L$8000,"&gt;="&amp;S$5,'Timesheet Raw'!$L$4:$L$8000,"&lt;="&amp;S$6)))/'Profit Plan'!$B$5)</f>
        <v/>
      </c>
      <c r="T451" s="122" t="str">
        <f>IF($A451="","",(IF(ISNUMBER(SEARCH("Proposal",$A451)),SUMIFS('Timesheet Raw'!$P$4:$P$8000,'Timesheet Raw'!$A$4:$A$8000,IF(ISNUMBER(SEARCH("Chargable",$A451)),"2-Proposals Chargeable","3-Proposals Regular"),'Timesheet Raw'!$C$4:$C$8000,"*"&amp;$B451&amp;"*",'Timesheet Raw'!$L$4:$L$8000,"&gt;="&amp;MAX(T$5,DATE(2000+VALUE(RIGHT(TRIM($A451),2)),1,1)),'Timesheet Raw'!$L$4:$L$8000,"&lt;="&amp;MIN(T$6,DATE(2000+VALUE(RIGHT(TRIM($A451),2)),12,31))),SUMIFS('Timesheet Raw'!$P$4:$P$8000,'Timesheet Raw'!$B$4:$B$8000,TRIM($A451),'Timesheet Raw'!$C$4:$C$8000,"*"&amp;$B451&amp;"*",'Timesheet Raw'!$L$4:$L$8000,"&gt;="&amp;T$5,'Timesheet Raw'!$L$4:$L$8000,"&lt;="&amp;T$6)))/'Profit Plan'!$B$5)</f>
        <v/>
      </c>
      <c r="U451" s="122" t="str">
        <f>IF($A451="","",(IF(ISNUMBER(SEARCH("Proposal",$A451)),SUMIFS('Timesheet Raw'!$P$4:$P$8000,'Timesheet Raw'!$A$4:$A$8000,IF(ISNUMBER(SEARCH("Chargable",$A451)),"2-Proposals Chargeable","3-Proposals Regular"),'Timesheet Raw'!$C$4:$C$8000,"*"&amp;$B451&amp;"*",'Timesheet Raw'!$L$4:$L$8000,"&gt;="&amp;MAX(U$5,DATE(2000+VALUE(RIGHT(TRIM($A451),2)),1,1)),'Timesheet Raw'!$L$4:$L$8000,"&lt;="&amp;MIN(U$6,DATE(2000+VALUE(RIGHT(TRIM($A451),2)),12,31))),SUMIFS('Timesheet Raw'!$P$4:$P$8000,'Timesheet Raw'!$B$4:$B$8000,TRIM($A451),'Timesheet Raw'!$C$4:$C$8000,"*"&amp;$B451&amp;"*",'Timesheet Raw'!$L$4:$L$8000,"&gt;="&amp;U$5,'Timesheet Raw'!$L$4:$L$8000,"&lt;="&amp;U$6)))/'Profit Plan'!$B$5)</f>
        <v/>
      </c>
      <c r="V451" s="122" t="str">
        <f>IF($A451="","",(IF(ISNUMBER(SEARCH("Proposal",$A451)),SUMIFS('Timesheet Raw'!$P$4:$P$8000,'Timesheet Raw'!$A$4:$A$8000,IF(ISNUMBER(SEARCH("Chargable",$A451)),"2-Proposals Chargeable","3-Proposals Regular"),'Timesheet Raw'!$C$4:$C$8000,"*"&amp;$B451&amp;"*",'Timesheet Raw'!$L$4:$L$8000,"&gt;="&amp;MAX(V$5,DATE(2000+VALUE(RIGHT(TRIM($A451),2)),1,1)),'Timesheet Raw'!$L$4:$L$8000,"&lt;="&amp;MIN(V$6,DATE(2000+VALUE(RIGHT(TRIM($A451),2)),12,31))),SUMIFS('Timesheet Raw'!$P$4:$P$8000,'Timesheet Raw'!$B$4:$B$8000,TRIM($A451),'Timesheet Raw'!$C$4:$C$8000,"*"&amp;$B451&amp;"*",'Timesheet Raw'!$L$4:$L$8000,"&gt;="&amp;V$5,'Timesheet Raw'!$L$4:$L$8000,"&lt;="&amp;V$6)))/'Profit Plan'!$B$5)</f>
        <v/>
      </c>
      <c r="W451" s="122" t="str">
        <f>IF($A451="","",(IF(ISNUMBER(SEARCH("Proposal",$A451)),SUMIFS('Timesheet Raw'!$P$4:$P$8000,'Timesheet Raw'!$A$4:$A$8000,IF(ISNUMBER(SEARCH("Chargable",$A451)),"2-Proposals Chargeable","3-Proposals Regular"),'Timesheet Raw'!$C$4:$C$8000,"*"&amp;$B451&amp;"*",'Timesheet Raw'!$L$4:$L$8000,"&gt;="&amp;MAX(W$5,DATE(2000+VALUE(RIGHT(TRIM($A451),2)),1,1)),'Timesheet Raw'!$L$4:$L$8000,"&lt;="&amp;MIN(W$6,DATE(2000+VALUE(RIGHT(TRIM($A451),2)),12,31))),SUMIFS('Timesheet Raw'!$P$4:$P$8000,'Timesheet Raw'!$B$4:$B$8000,TRIM($A451),'Timesheet Raw'!$C$4:$C$8000,"*"&amp;$B451&amp;"*",'Timesheet Raw'!$L$4:$L$8000,"&gt;="&amp;W$5,'Timesheet Raw'!$L$4:$L$8000,"&lt;="&amp;W$6)))/'Profit Plan'!$B$5)</f>
        <v/>
      </c>
      <c r="X451" s="122" t="str">
        <f>IF($A451="","",(IF(ISNUMBER(SEARCH("Proposal",$A451)),SUMIFS('Timesheet Raw'!$P$4:$P$8000,'Timesheet Raw'!$A$4:$A$8000,IF(ISNUMBER(SEARCH("Chargable",$A451)),"2-Proposals Chargeable","3-Proposals Regular"),'Timesheet Raw'!$C$4:$C$8000,"*"&amp;$B451&amp;"*",'Timesheet Raw'!$L$4:$L$8000,"&gt;="&amp;MAX(X$5,DATE(2000+VALUE(RIGHT(TRIM($A451),2)),1,1)),'Timesheet Raw'!$L$4:$L$8000,"&lt;="&amp;MIN(X$6,DATE(2000+VALUE(RIGHT(TRIM($A451),2)),12,31))),SUMIFS('Timesheet Raw'!$P$4:$P$8000,'Timesheet Raw'!$B$4:$B$8000,TRIM($A451),'Timesheet Raw'!$C$4:$C$8000,"*"&amp;$B451&amp;"*",'Timesheet Raw'!$L$4:$L$8000,"&gt;="&amp;X$5,'Timesheet Raw'!$L$4:$L$8000,"&lt;="&amp;X$6)))/'Profit Plan'!$B$5)</f>
        <v/>
      </c>
      <c r="Y451" s="118">
        <f t="shared" si="102"/>
        <v>0</v>
      </c>
    </row>
    <row r="452" spans="1:25" x14ac:dyDescent="0.3">
      <c r="A452" s="116" t="str">
        <f>IF(Inputs!$A68="","",Inputs!$A68)</f>
        <v/>
      </c>
      <c r="B452" s="116" t="str">
        <f>IF(Inputs!$A68="","",Inputs!$A$92)</f>
        <v/>
      </c>
      <c r="C452" s="116"/>
      <c r="D452" s="122" t="str">
        <f>IF($A452="","",(IF(ISNUMBER(SEARCH("Proposal",$A452)),SUMIFS('Timesheet Raw'!$P$4:$P$8000,'Timesheet Raw'!$A$4:$A$8000,IF(ISNUMBER(SEARCH("Chargable",$A452)),"2-Proposals Chargeable","3-Proposals Regular"),'Timesheet Raw'!$C$4:$C$8000,"*"&amp;$B452&amp;"*",'Timesheet Raw'!$L$4:$L$8000,"&gt;="&amp;MAX(D$5,DATE(2000+VALUE(RIGHT(TRIM($A452),2)),1,1)),'Timesheet Raw'!$L$4:$L$8000,"&lt;="&amp;MIN(D$6,DATE(2000+VALUE(RIGHT(TRIM($A452),2)),12,31))),SUMIFS('Timesheet Raw'!$P$4:$P$8000,'Timesheet Raw'!$B$4:$B$8000,TRIM($A452),'Timesheet Raw'!$C$4:$C$8000,"*"&amp;$B452&amp;"*",'Timesheet Raw'!$L$4:$L$8000,"&gt;="&amp;D$5,'Timesheet Raw'!$L$4:$L$8000,"&lt;="&amp;D$6)))/'Profit Plan'!$B$5)</f>
        <v/>
      </c>
      <c r="E452" s="122" t="str">
        <f>IF($A452="","",(IF(ISNUMBER(SEARCH("Proposal",$A452)),SUMIFS('Timesheet Raw'!$P$4:$P$8000,'Timesheet Raw'!$A$4:$A$8000,IF(ISNUMBER(SEARCH("Chargable",$A452)),"2-Proposals Chargeable","3-Proposals Regular"),'Timesheet Raw'!$C$4:$C$8000,"*"&amp;$B452&amp;"*",'Timesheet Raw'!$L$4:$L$8000,"&gt;="&amp;MAX(E$5,DATE(2000+VALUE(RIGHT(TRIM($A452),2)),1,1)),'Timesheet Raw'!$L$4:$L$8000,"&lt;="&amp;MIN(E$6,DATE(2000+VALUE(RIGHT(TRIM($A452),2)),12,31))),SUMIFS('Timesheet Raw'!$P$4:$P$8000,'Timesheet Raw'!$B$4:$B$8000,TRIM($A452),'Timesheet Raw'!$C$4:$C$8000,"*"&amp;$B452&amp;"*",'Timesheet Raw'!$L$4:$L$8000,"&gt;="&amp;E$5,'Timesheet Raw'!$L$4:$L$8000,"&lt;="&amp;E$6)))/'Profit Plan'!$B$5)</f>
        <v/>
      </c>
      <c r="F452" s="122" t="str">
        <f>IF($A452="","",(IF(ISNUMBER(SEARCH("Proposal",$A452)),SUMIFS('Timesheet Raw'!$P$4:$P$8000,'Timesheet Raw'!$A$4:$A$8000,IF(ISNUMBER(SEARCH("Chargable",$A452)),"2-Proposals Chargeable","3-Proposals Regular"),'Timesheet Raw'!$C$4:$C$8000,"*"&amp;$B452&amp;"*",'Timesheet Raw'!$L$4:$L$8000,"&gt;="&amp;MAX(F$5,DATE(2000+VALUE(RIGHT(TRIM($A452),2)),1,1)),'Timesheet Raw'!$L$4:$L$8000,"&lt;="&amp;MIN(F$6,DATE(2000+VALUE(RIGHT(TRIM($A452),2)),12,31))),SUMIFS('Timesheet Raw'!$P$4:$P$8000,'Timesheet Raw'!$B$4:$B$8000,TRIM($A452),'Timesheet Raw'!$C$4:$C$8000,"*"&amp;$B452&amp;"*",'Timesheet Raw'!$L$4:$L$8000,"&gt;="&amp;F$5,'Timesheet Raw'!$L$4:$L$8000,"&lt;="&amp;F$6)))/'Profit Plan'!$B$5)</f>
        <v/>
      </c>
      <c r="G452" s="122" t="str">
        <f>IF($A452="","",(IF(ISNUMBER(SEARCH("Proposal",$A452)),SUMIFS('Timesheet Raw'!$P$4:$P$8000,'Timesheet Raw'!$A$4:$A$8000,IF(ISNUMBER(SEARCH("Chargable",$A452)),"2-Proposals Chargeable","3-Proposals Regular"),'Timesheet Raw'!$C$4:$C$8000,"*"&amp;$B452&amp;"*",'Timesheet Raw'!$L$4:$L$8000,"&gt;="&amp;MAX(G$5,DATE(2000+VALUE(RIGHT(TRIM($A452),2)),1,1)),'Timesheet Raw'!$L$4:$L$8000,"&lt;="&amp;MIN(G$6,DATE(2000+VALUE(RIGHT(TRIM($A452),2)),12,31))),SUMIFS('Timesheet Raw'!$P$4:$P$8000,'Timesheet Raw'!$B$4:$B$8000,TRIM($A452),'Timesheet Raw'!$C$4:$C$8000,"*"&amp;$B452&amp;"*",'Timesheet Raw'!$L$4:$L$8000,"&gt;="&amp;G$5,'Timesheet Raw'!$L$4:$L$8000,"&lt;="&amp;G$6)))/'Profit Plan'!$B$5)</f>
        <v/>
      </c>
      <c r="H452" s="122" t="str">
        <f>IF($A452="","",(IF(ISNUMBER(SEARCH("Proposal",$A452)),SUMIFS('Timesheet Raw'!$P$4:$P$8000,'Timesheet Raw'!$A$4:$A$8000,IF(ISNUMBER(SEARCH("Chargable",$A452)),"2-Proposals Chargeable","3-Proposals Regular"),'Timesheet Raw'!$C$4:$C$8000,"*"&amp;$B452&amp;"*",'Timesheet Raw'!$L$4:$L$8000,"&gt;="&amp;MAX(H$5,DATE(2000+VALUE(RIGHT(TRIM($A452),2)),1,1)),'Timesheet Raw'!$L$4:$L$8000,"&lt;="&amp;MIN(H$6,DATE(2000+VALUE(RIGHT(TRIM($A452),2)),12,31))),SUMIFS('Timesheet Raw'!$P$4:$P$8000,'Timesheet Raw'!$B$4:$B$8000,TRIM($A452),'Timesheet Raw'!$C$4:$C$8000,"*"&amp;$B452&amp;"*",'Timesheet Raw'!$L$4:$L$8000,"&gt;="&amp;H$5,'Timesheet Raw'!$L$4:$L$8000,"&lt;="&amp;H$6)))/'Profit Plan'!$B$5)</f>
        <v/>
      </c>
      <c r="I452" s="122" t="str">
        <f>IF($A452="","",(IF(ISNUMBER(SEARCH("Proposal",$A452)),SUMIFS('Timesheet Raw'!$P$4:$P$8000,'Timesheet Raw'!$A$4:$A$8000,IF(ISNUMBER(SEARCH("Chargable",$A452)),"2-Proposals Chargeable","3-Proposals Regular"),'Timesheet Raw'!$C$4:$C$8000,"*"&amp;$B452&amp;"*",'Timesheet Raw'!$L$4:$L$8000,"&gt;="&amp;MAX(I$5,DATE(2000+VALUE(RIGHT(TRIM($A452),2)),1,1)),'Timesheet Raw'!$L$4:$L$8000,"&lt;="&amp;MIN(I$6,DATE(2000+VALUE(RIGHT(TRIM($A452),2)),12,31))),SUMIFS('Timesheet Raw'!$P$4:$P$8000,'Timesheet Raw'!$B$4:$B$8000,TRIM($A452),'Timesheet Raw'!$C$4:$C$8000,"*"&amp;$B452&amp;"*",'Timesheet Raw'!$L$4:$L$8000,"&gt;="&amp;I$5,'Timesheet Raw'!$L$4:$L$8000,"&lt;="&amp;I$6)))/'Profit Plan'!$B$5)</f>
        <v/>
      </c>
      <c r="J452" s="122" t="str">
        <f>IF($A452="","",(IF(ISNUMBER(SEARCH("Proposal",$A452)),SUMIFS('Timesheet Raw'!$P$4:$P$8000,'Timesheet Raw'!$A$4:$A$8000,IF(ISNUMBER(SEARCH("Chargable",$A452)),"2-Proposals Chargeable","3-Proposals Regular"),'Timesheet Raw'!$C$4:$C$8000,"*"&amp;$B452&amp;"*",'Timesheet Raw'!$L$4:$L$8000,"&gt;="&amp;MAX(J$5,DATE(2000+VALUE(RIGHT(TRIM($A452),2)),1,1)),'Timesheet Raw'!$L$4:$L$8000,"&lt;="&amp;MIN(J$6,DATE(2000+VALUE(RIGHT(TRIM($A452),2)),12,31))),SUMIFS('Timesheet Raw'!$P$4:$P$8000,'Timesheet Raw'!$B$4:$B$8000,TRIM($A452),'Timesheet Raw'!$C$4:$C$8000,"*"&amp;$B452&amp;"*",'Timesheet Raw'!$L$4:$L$8000,"&gt;="&amp;J$5,'Timesheet Raw'!$L$4:$L$8000,"&lt;="&amp;J$6)))/'Profit Plan'!$B$5)</f>
        <v/>
      </c>
      <c r="K452" s="122" t="str">
        <f>IF($A452="","",(IF(ISNUMBER(SEARCH("Proposal",$A452)),SUMIFS('Timesheet Raw'!$P$4:$P$8000,'Timesheet Raw'!$A$4:$A$8000,IF(ISNUMBER(SEARCH("Chargable",$A452)),"2-Proposals Chargeable","3-Proposals Regular"),'Timesheet Raw'!$C$4:$C$8000,"*"&amp;$B452&amp;"*",'Timesheet Raw'!$L$4:$L$8000,"&gt;="&amp;MAX(K$5,DATE(2000+VALUE(RIGHT(TRIM($A452),2)),1,1)),'Timesheet Raw'!$L$4:$L$8000,"&lt;="&amp;MIN(K$6,DATE(2000+VALUE(RIGHT(TRIM($A452),2)),12,31))),SUMIFS('Timesheet Raw'!$P$4:$P$8000,'Timesheet Raw'!$B$4:$B$8000,TRIM($A452),'Timesheet Raw'!$C$4:$C$8000,"*"&amp;$B452&amp;"*",'Timesheet Raw'!$L$4:$L$8000,"&gt;="&amp;K$5,'Timesheet Raw'!$L$4:$L$8000,"&lt;="&amp;K$6)))/'Profit Plan'!$B$5)</f>
        <v/>
      </c>
      <c r="L452" s="122" t="str">
        <f>IF($A452="","",(IF(ISNUMBER(SEARCH("Proposal",$A452)),SUMIFS('Timesheet Raw'!$P$4:$P$8000,'Timesheet Raw'!$A$4:$A$8000,IF(ISNUMBER(SEARCH("Chargable",$A452)),"2-Proposals Chargeable","3-Proposals Regular"),'Timesheet Raw'!$C$4:$C$8000,"*"&amp;$B452&amp;"*",'Timesheet Raw'!$L$4:$L$8000,"&gt;="&amp;MAX(L$5,DATE(2000+VALUE(RIGHT(TRIM($A452),2)),1,1)),'Timesheet Raw'!$L$4:$L$8000,"&lt;="&amp;MIN(L$6,DATE(2000+VALUE(RIGHT(TRIM($A452),2)),12,31))),SUMIFS('Timesheet Raw'!$P$4:$P$8000,'Timesheet Raw'!$B$4:$B$8000,TRIM($A452),'Timesheet Raw'!$C$4:$C$8000,"*"&amp;$B452&amp;"*",'Timesheet Raw'!$L$4:$L$8000,"&gt;="&amp;L$5,'Timesheet Raw'!$L$4:$L$8000,"&lt;="&amp;L$6)))/'Profit Plan'!$B$5)</f>
        <v/>
      </c>
      <c r="M452" s="122" t="str">
        <f>IF($A452="","",(IF(ISNUMBER(SEARCH("Proposal",$A452)),SUMIFS('Timesheet Raw'!$P$4:$P$8000,'Timesheet Raw'!$A$4:$A$8000,IF(ISNUMBER(SEARCH("Chargable",$A452)),"2-Proposals Chargeable","3-Proposals Regular"),'Timesheet Raw'!$C$4:$C$8000,"*"&amp;$B452&amp;"*",'Timesheet Raw'!$L$4:$L$8000,"&gt;="&amp;MAX(M$5,DATE(2000+VALUE(RIGHT(TRIM($A452),2)),1,1)),'Timesheet Raw'!$L$4:$L$8000,"&lt;="&amp;MIN(M$6,DATE(2000+VALUE(RIGHT(TRIM($A452),2)),12,31))),SUMIFS('Timesheet Raw'!$P$4:$P$8000,'Timesheet Raw'!$B$4:$B$8000,TRIM($A452),'Timesheet Raw'!$C$4:$C$8000,"*"&amp;$B452&amp;"*",'Timesheet Raw'!$L$4:$L$8000,"&gt;="&amp;M$5,'Timesheet Raw'!$L$4:$L$8000,"&lt;="&amp;M$6)))/'Profit Plan'!$B$5)</f>
        <v/>
      </c>
      <c r="N452" s="122" t="str">
        <f>IF($A452="","",(IF(ISNUMBER(SEARCH("Proposal",$A452)),SUMIFS('Timesheet Raw'!$P$4:$P$8000,'Timesheet Raw'!$A$4:$A$8000,IF(ISNUMBER(SEARCH("Chargable",$A452)),"2-Proposals Chargeable","3-Proposals Regular"),'Timesheet Raw'!$C$4:$C$8000,"*"&amp;$B452&amp;"*",'Timesheet Raw'!$L$4:$L$8000,"&gt;="&amp;MAX(N$5,DATE(2000+VALUE(RIGHT(TRIM($A452),2)),1,1)),'Timesheet Raw'!$L$4:$L$8000,"&lt;="&amp;MIN(N$6,DATE(2000+VALUE(RIGHT(TRIM($A452),2)),12,31))),SUMIFS('Timesheet Raw'!$P$4:$P$8000,'Timesheet Raw'!$B$4:$B$8000,TRIM($A452),'Timesheet Raw'!$C$4:$C$8000,"*"&amp;$B452&amp;"*",'Timesheet Raw'!$L$4:$L$8000,"&gt;="&amp;N$5,'Timesheet Raw'!$L$4:$L$8000,"&lt;="&amp;N$6)))/'Profit Plan'!$B$5)</f>
        <v/>
      </c>
      <c r="O452" s="122" t="str">
        <f>IF($A452="","",(IF(ISNUMBER(SEARCH("Proposal",$A452)),SUMIFS('Timesheet Raw'!$P$4:$P$8000,'Timesheet Raw'!$A$4:$A$8000,IF(ISNUMBER(SEARCH("Chargable",$A452)),"2-Proposals Chargeable","3-Proposals Regular"),'Timesheet Raw'!$C$4:$C$8000,"*"&amp;$B452&amp;"*",'Timesheet Raw'!$L$4:$L$8000,"&gt;="&amp;MAX(O$5,DATE(2000+VALUE(RIGHT(TRIM($A452),2)),1,1)),'Timesheet Raw'!$L$4:$L$8000,"&lt;="&amp;MIN(O$6,DATE(2000+VALUE(RIGHT(TRIM($A452),2)),12,31))),SUMIFS('Timesheet Raw'!$P$4:$P$8000,'Timesheet Raw'!$B$4:$B$8000,TRIM($A452),'Timesheet Raw'!$C$4:$C$8000,"*"&amp;$B452&amp;"*",'Timesheet Raw'!$L$4:$L$8000,"&gt;="&amp;O$5,'Timesheet Raw'!$L$4:$L$8000,"&lt;="&amp;O$6)))/'Profit Plan'!$B$5)</f>
        <v/>
      </c>
      <c r="P452" s="122" t="str">
        <f>IF($A452="","",(IF(ISNUMBER(SEARCH("Proposal",$A452)),SUMIFS('Timesheet Raw'!$P$4:$P$8000,'Timesheet Raw'!$A$4:$A$8000,IF(ISNUMBER(SEARCH("Chargable",$A452)),"2-Proposals Chargeable","3-Proposals Regular"),'Timesheet Raw'!$C$4:$C$8000,"*"&amp;$B452&amp;"*",'Timesheet Raw'!$L$4:$L$8000,"&gt;="&amp;MAX(P$5,DATE(2000+VALUE(RIGHT(TRIM($A452),2)),1,1)),'Timesheet Raw'!$L$4:$L$8000,"&lt;="&amp;MIN(P$6,DATE(2000+VALUE(RIGHT(TRIM($A452),2)),12,31))),SUMIFS('Timesheet Raw'!$P$4:$P$8000,'Timesheet Raw'!$B$4:$B$8000,TRIM($A452),'Timesheet Raw'!$C$4:$C$8000,"*"&amp;$B452&amp;"*",'Timesheet Raw'!$L$4:$L$8000,"&gt;="&amp;P$5,'Timesheet Raw'!$L$4:$L$8000,"&lt;="&amp;P$6)))/'Profit Plan'!$B$5)</f>
        <v/>
      </c>
      <c r="Q452" s="122" t="str">
        <f>IF($A452="","",(IF(ISNUMBER(SEARCH("Proposal",$A452)),SUMIFS('Timesheet Raw'!$P$4:$P$8000,'Timesheet Raw'!$A$4:$A$8000,IF(ISNUMBER(SEARCH("Chargable",$A452)),"2-Proposals Chargeable","3-Proposals Regular"),'Timesheet Raw'!$C$4:$C$8000,"*"&amp;$B452&amp;"*",'Timesheet Raw'!$L$4:$L$8000,"&gt;="&amp;MAX(Q$5,DATE(2000+VALUE(RIGHT(TRIM($A452),2)),1,1)),'Timesheet Raw'!$L$4:$L$8000,"&lt;="&amp;MIN(Q$6,DATE(2000+VALUE(RIGHT(TRIM($A452),2)),12,31))),SUMIFS('Timesheet Raw'!$P$4:$P$8000,'Timesheet Raw'!$B$4:$B$8000,TRIM($A452),'Timesheet Raw'!$C$4:$C$8000,"*"&amp;$B452&amp;"*",'Timesheet Raw'!$L$4:$L$8000,"&gt;="&amp;Q$5,'Timesheet Raw'!$L$4:$L$8000,"&lt;="&amp;Q$6)))/'Profit Plan'!$B$5)</f>
        <v/>
      </c>
      <c r="R452" s="122" t="str">
        <f>IF($A452="","",(IF(ISNUMBER(SEARCH("Proposal",$A452)),SUMIFS('Timesheet Raw'!$P$4:$P$8000,'Timesheet Raw'!$A$4:$A$8000,IF(ISNUMBER(SEARCH("Chargable",$A452)),"2-Proposals Chargeable","3-Proposals Regular"),'Timesheet Raw'!$C$4:$C$8000,"*"&amp;$B452&amp;"*",'Timesheet Raw'!$L$4:$L$8000,"&gt;="&amp;MAX(R$5,DATE(2000+VALUE(RIGHT(TRIM($A452),2)),1,1)),'Timesheet Raw'!$L$4:$L$8000,"&lt;="&amp;MIN(R$6,DATE(2000+VALUE(RIGHT(TRIM($A452),2)),12,31))),SUMIFS('Timesheet Raw'!$P$4:$P$8000,'Timesheet Raw'!$B$4:$B$8000,TRIM($A452),'Timesheet Raw'!$C$4:$C$8000,"*"&amp;$B452&amp;"*",'Timesheet Raw'!$L$4:$L$8000,"&gt;="&amp;R$5,'Timesheet Raw'!$L$4:$L$8000,"&lt;="&amp;R$6)))/'Profit Plan'!$B$5)</f>
        <v/>
      </c>
      <c r="S452" s="122" t="str">
        <f>IF($A452="","",(IF(ISNUMBER(SEARCH("Proposal",$A452)),SUMIFS('Timesheet Raw'!$P$4:$P$8000,'Timesheet Raw'!$A$4:$A$8000,IF(ISNUMBER(SEARCH("Chargable",$A452)),"2-Proposals Chargeable","3-Proposals Regular"),'Timesheet Raw'!$C$4:$C$8000,"*"&amp;$B452&amp;"*",'Timesheet Raw'!$L$4:$L$8000,"&gt;="&amp;MAX(S$5,DATE(2000+VALUE(RIGHT(TRIM($A452),2)),1,1)),'Timesheet Raw'!$L$4:$L$8000,"&lt;="&amp;MIN(S$6,DATE(2000+VALUE(RIGHT(TRIM($A452),2)),12,31))),SUMIFS('Timesheet Raw'!$P$4:$P$8000,'Timesheet Raw'!$B$4:$B$8000,TRIM($A452),'Timesheet Raw'!$C$4:$C$8000,"*"&amp;$B452&amp;"*",'Timesheet Raw'!$L$4:$L$8000,"&gt;="&amp;S$5,'Timesheet Raw'!$L$4:$L$8000,"&lt;="&amp;S$6)))/'Profit Plan'!$B$5)</f>
        <v/>
      </c>
      <c r="T452" s="122" t="str">
        <f>IF($A452="","",(IF(ISNUMBER(SEARCH("Proposal",$A452)),SUMIFS('Timesheet Raw'!$P$4:$P$8000,'Timesheet Raw'!$A$4:$A$8000,IF(ISNUMBER(SEARCH("Chargable",$A452)),"2-Proposals Chargeable","3-Proposals Regular"),'Timesheet Raw'!$C$4:$C$8000,"*"&amp;$B452&amp;"*",'Timesheet Raw'!$L$4:$L$8000,"&gt;="&amp;MAX(T$5,DATE(2000+VALUE(RIGHT(TRIM($A452),2)),1,1)),'Timesheet Raw'!$L$4:$L$8000,"&lt;="&amp;MIN(T$6,DATE(2000+VALUE(RIGHT(TRIM($A452),2)),12,31))),SUMIFS('Timesheet Raw'!$P$4:$P$8000,'Timesheet Raw'!$B$4:$B$8000,TRIM($A452),'Timesheet Raw'!$C$4:$C$8000,"*"&amp;$B452&amp;"*",'Timesheet Raw'!$L$4:$L$8000,"&gt;="&amp;T$5,'Timesheet Raw'!$L$4:$L$8000,"&lt;="&amp;T$6)))/'Profit Plan'!$B$5)</f>
        <v/>
      </c>
      <c r="U452" s="122" t="str">
        <f>IF($A452="","",(IF(ISNUMBER(SEARCH("Proposal",$A452)),SUMIFS('Timesheet Raw'!$P$4:$P$8000,'Timesheet Raw'!$A$4:$A$8000,IF(ISNUMBER(SEARCH("Chargable",$A452)),"2-Proposals Chargeable","3-Proposals Regular"),'Timesheet Raw'!$C$4:$C$8000,"*"&amp;$B452&amp;"*",'Timesheet Raw'!$L$4:$L$8000,"&gt;="&amp;MAX(U$5,DATE(2000+VALUE(RIGHT(TRIM($A452),2)),1,1)),'Timesheet Raw'!$L$4:$L$8000,"&lt;="&amp;MIN(U$6,DATE(2000+VALUE(RIGHT(TRIM($A452),2)),12,31))),SUMIFS('Timesheet Raw'!$P$4:$P$8000,'Timesheet Raw'!$B$4:$B$8000,TRIM($A452),'Timesheet Raw'!$C$4:$C$8000,"*"&amp;$B452&amp;"*",'Timesheet Raw'!$L$4:$L$8000,"&gt;="&amp;U$5,'Timesheet Raw'!$L$4:$L$8000,"&lt;="&amp;U$6)))/'Profit Plan'!$B$5)</f>
        <v/>
      </c>
      <c r="V452" s="122" t="str">
        <f>IF($A452="","",(IF(ISNUMBER(SEARCH("Proposal",$A452)),SUMIFS('Timesheet Raw'!$P$4:$P$8000,'Timesheet Raw'!$A$4:$A$8000,IF(ISNUMBER(SEARCH("Chargable",$A452)),"2-Proposals Chargeable","3-Proposals Regular"),'Timesheet Raw'!$C$4:$C$8000,"*"&amp;$B452&amp;"*",'Timesheet Raw'!$L$4:$L$8000,"&gt;="&amp;MAX(V$5,DATE(2000+VALUE(RIGHT(TRIM($A452),2)),1,1)),'Timesheet Raw'!$L$4:$L$8000,"&lt;="&amp;MIN(V$6,DATE(2000+VALUE(RIGHT(TRIM($A452),2)),12,31))),SUMIFS('Timesheet Raw'!$P$4:$P$8000,'Timesheet Raw'!$B$4:$B$8000,TRIM($A452),'Timesheet Raw'!$C$4:$C$8000,"*"&amp;$B452&amp;"*",'Timesheet Raw'!$L$4:$L$8000,"&gt;="&amp;V$5,'Timesheet Raw'!$L$4:$L$8000,"&lt;="&amp;V$6)))/'Profit Plan'!$B$5)</f>
        <v/>
      </c>
      <c r="W452" s="122" t="str">
        <f>IF($A452="","",(IF(ISNUMBER(SEARCH("Proposal",$A452)),SUMIFS('Timesheet Raw'!$P$4:$P$8000,'Timesheet Raw'!$A$4:$A$8000,IF(ISNUMBER(SEARCH("Chargable",$A452)),"2-Proposals Chargeable","3-Proposals Regular"),'Timesheet Raw'!$C$4:$C$8000,"*"&amp;$B452&amp;"*",'Timesheet Raw'!$L$4:$L$8000,"&gt;="&amp;MAX(W$5,DATE(2000+VALUE(RIGHT(TRIM($A452),2)),1,1)),'Timesheet Raw'!$L$4:$L$8000,"&lt;="&amp;MIN(W$6,DATE(2000+VALUE(RIGHT(TRIM($A452),2)),12,31))),SUMIFS('Timesheet Raw'!$P$4:$P$8000,'Timesheet Raw'!$B$4:$B$8000,TRIM($A452),'Timesheet Raw'!$C$4:$C$8000,"*"&amp;$B452&amp;"*",'Timesheet Raw'!$L$4:$L$8000,"&gt;="&amp;W$5,'Timesheet Raw'!$L$4:$L$8000,"&lt;="&amp;W$6)))/'Profit Plan'!$B$5)</f>
        <v/>
      </c>
      <c r="X452" s="122" t="str">
        <f>IF($A452="","",(IF(ISNUMBER(SEARCH("Proposal",$A452)),SUMIFS('Timesheet Raw'!$P$4:$P$8000,'Timesheet Raw'!$A$4:$A$8000,IF(ISNUMBER(SEARCH("Chargable",$A452)),"2-Proposals Chargeable","3-Proposals Regular"),'Timesheet Raw'!$C$4:$C$8000,"*"&amp;$B452&amp;"*",'Timesheet Raw'!$L$4:$L$8000,"&gt;="&amp;MAX(X$5,DATE(2000+VALUE(RIGHT(TRIM($A452),2)),1,1)),'Timesheet Raw'!$L$4:$L$8000,"&lt;="&amp;MIN(X$6,DATE(2000+VALUE(RIGHT(TRIM($A452),2)),12,31))),SUMIFS('Timesheet Raw'!$P$4:$P$8000,'Timesheet Raw'!$B$4:$B$8000,TRIM($A452),'Timesheet Raw'!$C$4:$C$8000,"*"&amp;$B452&amp;"*",'Timesheet Raw'!$L$4:$L$8000,"&gt;="&amp;X$5,'Timesheet Raw'!$L$4:$L$8000,"&lt;="&amp;X$6)))/'Profit Plan'!$B$5)</f>
        <v/>
      </c>
      <c r="Y452" s="118">
        <f t="shared" si="102"/>
        <v>0</v>
      </c>
    </row>
    <row r="453" spans="1:25" x14ac:dyDescent="0.3">
      <c r="A453" s="116" t="str">
        <f>IF(Inputs!$A68="","",Inputs!$A68)</f>
        <v/>
      </c>
      <c r="B453" s="116" t="str">
        <f>IF(Inputs!$A68="","",Inputs!$A$93)</f>
        <v/>
      </c>
      <c r="C453" s="116"/>
      <c r="D453" s="122" t="str">
        <f>IF($A453="","",(IF(ISNUMBER(SEARCH("Proposal",$A453)),SUMIFS('Timesheet Raw'!$P$4:$P$8000,'Timesheet Raw'!$A$4:$A$8000,IF(ISNUMBER(SEARCH("Chargable",$A453)),"2-Proposals Chargeable","3-Proposals Regular"),'Timesheet Raw'!$C$4:$C$8000,"*"&amp;$B453&amp;"*",'Timesheet Raw'!$L$4:$L$8000,"&gt;="&amp;MAX(D$5,DATE(2000+VALUE(RIGHT(TRIM($A453),2)),1,1)),'Timesheet Raw'!$L$4:$L$8000,"&lt;="&amp;MIN(D$6,DATE(2000+VALUE(RIGHT(TRIM($A453),2)),12,31))),SUMIFS('Timesheet Raw'!$P$4:$P$8000,'Timesheet Raw'!$B$4:$B$8000,TRIM($A453),'Timesheet Raw'!$C$4:$C$8000,"*"&amp;$B453&amp;"*",'Timesheet Raw'!$L$4:$L$8000,"&gt;="&amp;D$5,'Timesheet Raw'!$L$4:$L$8000,"&lt;="&amp;D$6)))/'Profit Plan'!$B$5)</f>
        <v/>
      </c>
      <c r="E453" s="122" t="str">
        <f>IF($A453="","",(IF(ISNUMBER(SEARCH("Proposal",$A453)),SUMIFS('Timesheet Raw'!$P$4:$P$8000,'Timesheet Raw'!$A$4:$A$8000,IF(ISNUMBER(SEARCH("Chargable",$A453)),"2-Proposals Chargeable","3-Proposals Regular"),'Timesheet Raw'!$C$4:$C$8000,"*"&amp;$B453&amp;"*",'Timesheet Raw'!$L$4:$L$8000,"&gt;="&amp;MAX(E$5,DATE(2000+VALUE(RIGHT(TRIM($A453),2)),1,1)),'Timesheet Raw'!$L$4:$L$8000,"&lt;="&amp;MIN(E$6,DATE(2000+VALUE(RIGHT(TRIM($A453),2)),12,31))),SUMIFS('Timesheet Raw'!$P$4:$P$8000,'Timesheet Raw'!$B$4:$B$8000,TRIM($A453),'Timesheet Raw'!$C$4:$C$8000,"*"&amp;$B453&amp;"*",'Timesheet Raw'!$L$4:$L$8000,"&gt;="&amp;E$5,'Timesheet Raw'!$L$4:$L$8000,"&lt;="&amp;E$6)))/'Profit Plan'!$B$5)</f>
        <v/>
      </c>
      <c r="F453" s="122" t="str">
        <f>IF($A453="","",(IF(ISNUMBER(SEARCH("Proposal",$A453)),SUMIFS('Timesheet Raw'!$P$4:$P$8000,'Timesheet Raw'!$A$4:$A$8000,IF(ISNUMBER(SEARCH("Chargable",$A453)),"2-Proposals Chargeable","3-Proposals Regular"),'Timesheet Raw'!$C$4:$C$8000,"*"&amp;$B453&amp;"*",'Timesheet Raw'!$L$4:$L$8000,"&gt;="&amp;MAX(F$5,DATE(2000+VALUE(RIGHT(TRIM($A453),2)),1,1)),'Timesheet Raw'!$L$4:$L$8000,"&lt;="&amp;MIN(F$6,DATE(2000+VALUE(RIGHT(TRIM($A453),2)),12,31))),SUMIFS('Timesheet Raw'!$P$4:$P$8000,'Timesheet Raw'!$B$4:$B$8000,TRIM($A453),'Timesheet Raw'!$C$4:$C$8000,"*"&amp;$B453&amp;"*",'Timesheet Raw'!$L$4:$L$8000,"&gt;="&amp;F$5,'Timesheet Raw'!$L$4:$L$8000,"&lt;="&amp;F$6)))/'Profit Plan'!$B$5)</f>
        <v/>
      </c>
      <c r="G453" s="122" t="str">
        <f>IF($A453="","",(IF(ISNUMBER(SEARCH("Proposal",$A453)),SUMIFS('Timesheet Raw'!$P$4:$P$8000,'Timesheet Raw'!$A$4:$A$8000,IF(ISNUMBER(SEARCH("Chargable",$A453)),"2-Proposals Chargeable","3-Proposals Regular"),'Timesheet Raw'!$C$4:$C$8000,"*"&amp;$B453&amp;"*",'Timesheet Raw'!$L$4:$L$8000,"&gt;="&amp;MAX(G$5,DATE(2000+VALUE(RIGHT(TRIM($A453),2)),1,1)),'Timesheet Raw'!$L$4:$L$8000,"&lt;="&amp;MIN(G$6,DATE(2000+VALUE(RIGHT(TRIM($A453),2)),12,31))),SUMIFS('Timesheet Raw'!$P$4:$P$8000,'Timesheet Raw'!$B$4:$B$8000,TRIM($A453),'Timesheet Raw'!$C$4:$C$8000,"*"&amp;$B453&amp;"*",'Timesheet Raw'!$L$4:$L$8000,"&gt;="&amp;G$5,'Timesheet Raw'!$L$4:$L$8000,"&lt;="&amp;G$6)))/'Profit Plan'!$B$5)</f>
        <v/>
      </c>
      <c r="H453" s="122" t="str">
        <f>IF($A453="","",(IF(ISNUMBER(SEARCH("Proposal",$A453)),SUMIFS('Timesheet Raw'!$P$4:$P$8000,'Timesheet Raw'!$A$4:$A$8000,IF(ISNUMBER(SEARCH("Chargable",$A453)),"2-Proposals Chargeable","3-Proposals Regular"),'Timesheet Raw'!$C$4:$C$8000,"*"&amp;$B453&amp;"*",'Timesheet Raw'!$L$4:$L$8000,"&gt;="&amp;MAX(H$5,DATE(2000+VALUE(RIGHT(TRIM($A453),2)),1,1)),'Timesheet Raw'!$L$4:$L$8000,"&lt;="&amp;MIN(H$6,DATE(2000+VALUE(RIGHT(TRIM($A453),2)),12,31))),SUMIFS('Timesheet Raw'!$P$4:$P$8000,'Timesheet Raw'!$B$4:$B$8000,TRIM($A453),'Timesheet Raw'!$C$4:$C$8000,"*"&amp;$B453&amp;"*",'Timesheet Raw'!$L$4:$L$8000,"&gt;="&amp;H$5,'Timesheet Raw'!$L$4:$L$8000,"&lt;="&amp;H$6)))/'Profit Plan'!$B$5)</f>
        <v/>
      </c>
      <c r="I453" s="122" t="str">
        <f>IF($A453="","",(IF(ISNUMBER(SEARCH("Proposal",$A453)),SUMIFS('Timesheet Raw'!$P$4:$P$8000,'Timesheet Raw'!$A$4:$A$8000,IF(ISNUMBER(SEARCH("Chargable",$A453)),"2-Proposals Chargeable","3-Proposals Regular"),'Timesheet Raw'!$C$4:$C$8000,"*"&amp;$B453&amp;"*",'Timesheet Raw'!$L$4:$L$8000,"&gt;="&amp;MAX(I$5,DATE(2000+VALUE(RIGHT(TRIM($A453),2)),1,1)),'Timesheet Raw'!$L$4:$L$8000,"&lt;="&amp;MIN(I$6,DATE(2000+VALUE(RIGHT(TRIM($A453),2)),12,31))),SUMIFS('Timesheet Raw'!$P$4:$P$8000,'Timesheet Raw'!$B$4:$B$8000,TRIM($A453),'Timesheet Raw'!$C$4:$C$8000,"*"&amp;$B453&amp;"*",'Timesheet Raw'!$L$4:$L$8000,"&gt;="&amp;I$5,'Timesheet Raw'!$L$4:$L$8000,"&lt;="&amp;I$6)))/'Profit Plan'!$B$5)</f>
        <v/>
      </c>
      <c r="J453" s="122" t="str">
        <f>IF($A453="","",(IF(ISNUMBER(SEARCH("Proposal",$A453)),SUMIFS('Timesheet Raw'!$P$4:$P$8000,'Timesheet Raw'!$A$4:$A$8000,IF(ISNUMBER(SEARCH("Chargable",$A453)),"2-Proposals Chargeable","3-Proposals Regular"),'Timesheet Raw'!$C$4:$C$8000,"*"&amp;$B453&amp;"*",'Timesheet Raw'!$L$4:$L$8000,"&gt;="&amp;MAX(J$5,DATE(2000+VALUE(RIGHT(TRIM($A453),2)),1,1)),'Timesheet Raw'!$L$4:$L$8000,"&lt;="&amp;MIN(J$6,DATE(2000+VALUE(RIGHT(TRIM($A453),2)),12,31))),SUMIFS('Timesheet Raw'!$P$4:$P$8000,'Timesheet Raw'!$B$4:$B$8000,TRIM($A453),'Timesheet Raw'!$C$4:$C$8000,"*"&amp;$B453&amp;"*",'Timesheet Raw'!$L$4:$L$8000,"&gt;="&amp;J$5,'Timesheet Raw'!$L$4:$L$8000,"&lt;="&amp;J$6)))/'Profit Plan'!$B$5)</f>
        <v/>
      </c>
      <c r="K453" s="122" t="str">
        <f>IF($A453="","",(IF(ISNUMBER(SEARCH("Proposal",$A453)),SUMIFS('Timesheet Raw'!$P$4:$P$8000,'Timesheet Raw'!$A$4:$A$8000,IF(ISNUMBER(SEARCH("Chargable",$A453)),"2-Proposals Chargeable","3-Proposals Regular"),'Timesheet Raw'!$C$4:$C$8000,"*"&amp;$B453&amp;"*",'Timesheet Raw'!$L$4:$L$8000,"&gt;="&amp;MAX(K$5,DATE(2000+VALUE(RIGHT(TRIM($A453),2)),1,1)),'Timesheet Raw'!$L$4:$L$8000,"&lt;="&amp;MIN(K$6,DATE(2000+VALUE(RIGHT(TRIM($A453),2)),12,31))),SUMIFS('Timesheet Raw'!$P$4:$P$8000,'Timesheet Raw'!$B$4:$B$8000,TRIM($A453),'Timesheet Raw'!$C$4:$C$8000,"*"&amp;$B453&amp;"*",'Timesheet Raw'!$L$4:$L$8000,"&gt;="&amp;K$5,'Timesheet Raw'!$L$4:$L$8000,"&lt;="&amp;K$6)))/'Profit Plan'!$B$5)</f>
        <v/>
      </c>
      <c r="L453" s="122" t="str">
        <f>IF($A453="","",(IF(ISNUMBER(SEARCH("Proposal",$A453)),SUMIFS('Timesheet Raw'!$P$4:$P$8000,'Timesheet Raw'!$A$4:$A$8000,IF(ISNUMBER(SEARCH("Chargable",$A453)),"2-Proposals Chargeable","3-Proposals Regular"),'Timesheet Raw'!$C$4:$C$8000,"*"&amp;$B453&amp;"*",'Timesheet Raw'!$L$4:$L$8000,"&gt;="&amp;MAX(L$5,DATE(2000+VALUE(RIGHT(TRIM($A453),2)),1,1)),'Timesheet Raw'!$L$4:$L$8000,"&lt;="&amp;MIN(L$6,DATE(2000+VALUE(RIGHT(TRIM($A453),2)),12,31))),SUMIFS('Timesheet Raw'!$P$4:$P$8000,'Timesheet Raw'!$B$4:$B$8000,TRIM($A453),'Timesheet Raw'!$C$4:$C$8000,"*"&amp;$B453&amp;"*",'Timesheet Raw'!$L$4:$L$8000,"&gt;="&amp;L$5,'Timesheet Raw'!$L$4:$L$8000,"&lt;="&amp;L$6)))/'Profit Plan'!$B$5)</f>
        <v/>
      </c>
      <c r="M453" s="122" t="str">
        <f>IF($A453="","",(IF(ISNUMBER(SEARCH("Proposal",$A453)),SUMIFS('Timesheet Raw'!$P$4:$P$8000,'Timesheet Raw'!$A$4:$A$8000,IF(ISNUMBER(SEARCH("Chargable",$A453)),"2-Proposals Chargeable","3-Proposals Regular"),'Timesheet Raw'!$C$4:$C$8000,"*"&amp;$B453&amp;"*",'Timesheet Raw'!$L$4:$L$8000,"&gt;="&amp;MAX(M$5,DATE(2000+VALUE(RIGHT(TRIM($A453),2)),1,1)),'Timesheet Raw'!$L$4:$L$8000,"&lt;="&amp;MIN(M$6,DATE(2000+VALUE(RIGHT(TRIM($A453),2)),12,31))),SUMIFS('Timesheet Raw'!$P$4:$P$8000,'Timesheet Raw'!$B$4:$B$8000,TRIM($A453),'Timesheet Raw'!$C$4:$C$8000,"*"&amp;$B453&amp;"*",'Timesheet Raw'!$L$4:$L$8000,"&gt;="&amp;M$5,'Timesheet Raw'!$L$4:$L$8000,"&lt;="&amp;M$6)))/'Profit Plan'!$B$5)</f>
        <v/>
      </c>
      <c r="N453" s="122" t="str">
        <f>IF($A453="","",(IF(ISNUMBER(SEARCH("Proposal",$A453)),SUMIFS('Timesheet Raw'!$P$4:$P$8000,'Timesheet Raw'!$A$4:$A$8000,IF(ISNUMBER(SEARCH("Chargable",$A453)),"2-Proposals Chargeable","3-Proposals Regular"),'Timesheet Raw'!$C$4:$C$8000,"*"&amp;$B453&amp;"*",'Timesheet Raw'!$L$4:$L$8000,"&gt;="&amp;MAX(N$5,DATE(2000+VALUE(RIGHT(TRIM($A453),2)),1,1)),'Timesheet Raw'!$L$4:$L$8000,"&lt;="&amp;MIN(N$6,DATE(2000+VALUE(RIGHT(TRIM($A453),2)),12,31))),SUMIFS('Timesheet Raw'!$P$4:$P$8000,'Timesheet Raw'!$B$4:$B$8000,TRIM($A453),'Timesheet Raw'!$C$4:$C$8000,"*"&amp;$B453&amp;"*",'Timesheet Raw'!$L$4:$L$8000,"&gt;="&amp;N$5,'Timesheet Raw'!$L$4:$L$8000,"&lt;="&amp;N$6)))/'Profit Plan'!$B$5)</f>
        <v/>
      </c>
      <c r="O453" s="122" t="str">
        <f>IF($A453="","",(IF(ISNUMBER(SEARCH("Proposal",$A453)),SUMIFS('Timesheet Raw'!$P$4:$P$8000,'Timesheet Raw'!$A$4:$A$8000,IF(ISNUMBER(SEARCH("Chargable",$A453)),"2-Proposals Chargeable","3-Proposals Regular"),'Timesheet Raw'!$C$4:$C$8000,"*"&amp;$B453&amp;"*",'Timesheet Raw'!$L$4:$L$8000,"&gt;="&amp;MAX(O$5,DATE(2000+VALUE(RIGHT(TRIM($A453),2)),1,1)),'Timesheet Raw'!$L$4:$L$8000,"&lt;="&amp;MIN(O$6,DATE(2000+VALUE(RIGHT(TRIM($A453),2)),12,31))),SUMIFS('Timesheet Raw'!$P$4:$P$8000,'Timesheet Raw'!$B$4:$B$8000,TRIM($A453),'Timesheet Raw'!$C$4:$C$8000,"*"&amp;$B453&amp;"*",'Timesheet Raw'!$L$4:$L$8000,"&gt;="&amp;O$5,'Timesheet Raw'!$L$4:$L$8000,"&lt;="&amp;O$6)))/'Profit Plan'!$B$5)</f>
        <v/>
      </c>
      <c r="P453" s="122" t="str">
        <f>IF($A453="","",(IF(ISNUMBER(SEARCH("Proposal",$A453)),SUMIFS('Timesheet Raw'!$P$4:$P$8000,'Timesheet Raw'!$A$4:$A$8000,IF(ISNUMBER(SEARCH("Chargable",$A453)),"2-Proposals Chargeable","3-Proposals Regular"),'Timesheet Raw'!$C$4:$C$8000,"*"&amp;$B453&amp;"*",'Timesheet Raw'!$L$4:$L$8000,"&gt;="&amp;MAX(P$5,DATE(2000+VALUE(RIGHT(TRIM($A453),2)),1,1)),'Timesheet Raw'!$L$4:$L$8000,"&lt;="&amp;MIN(P$6,DATE(2000+VALUE(RIGHT(TRIM($A453),2)),12,31))),SUMIFS('Timesheet Raw'!$P$4:$P$8000,'Timesheet Raw'!$B$4:$B$8000,TRIM($A453),'Timesheet Raw'!$C$4:$C$8000,"*"&amp;$B453&amp;"*",'Timesheet Raw'!$L$4:$L$8000,"&gt;="&amp;P$5,'Timesheet Raw'!$L$4:$L$8000,"&lt;="&amp;P$6)))/'Profit Plan'!$B$5)</f>
        <v/>
      </c>
      <c r="Q453" s="122" t="str">
        <f>IF($A453="","",(IF(ISNUMBER(SEARCH("Proposal",$A453)),SUMIFS('Timesheet Raw'!$P$4:$P$8000,'Timesheet Raw'!$A$4:$A$8000,IF(ISNUMBER(SEARCH("Chargable",$A453)),"2-Proposals Chargeable","3-Proposals Regular"),'Timesheet Raw'!$C$4:$C$8000,"*"&amp;$B453&amp;"*",'Timesheet Raw'!$L$4:$L$8000,"&gt;="&amp;MAX(Q$5,DATE(2000+VALUE(RIGHT(TRIM($A453),2)),1,1)),'Timesheet Raw'!$L$4:$L$8000,"&lt;="&amp;MIN(Q$6,DATE(2000+VALUE(RIGHT(TRIM($A453),2)),12,31))),SUMIFS('Timesheet Raw'!$P$4:$P$8000,'Timesheet Raw'!$B$4:$B$8000,TRIM($A453),'Timesheet Raw'!$C$4:$C$8000,"*"&amp;$B453&amp;"*",'Timesheet Raw'!$L$4:$L$8000,"&gt;="&amp;Q$5,'Timesheet Raw'!$L$4:$L$8000,"&lt;="&amp;Q$6)))/'Profit Plan'!$B$5)</f>
        <v/>
      </c>
      <c r="R453" s="122" t="str">
        <f>IF($A453="","",(IF(ISNUMBER(SEARCH("Proposal",$A453)),SUMIFS('Timesheet Raw'!$P$4:$P$8000,'Timesheet Raw'!$A$4:$A$8000,IF(ISNUMBER(SEARCH("Chargable",$A453)),"2-Proposals Chargeable","3-Proposals Regular"),'Timesheet Raw'!$C$4:$C$8000,"*"&amp;$B453&amp;"*",'Timesheet Raw'!$L$4:$L$8000,"&gt;="&amp;MAX(R$5,DATE(2000+VALUE(RIGHT(TRIM($A453),2)),1,1)),'Timesheet Raw'!$L$4:$L$8000,"&lt;="&amp;MIN(R$6,DATE(2000+VALUE(RIGHT(TRIM($A453),2)),12,31))),SUMIFS('Timesheet Raw'!$P$4:$P$8000,'Timesheet Raw'!$B$4:$B$8000,TRIM($A453),'Timesheet Raw'!$C$4:$C$8000,"*"&amp;$B453&amp;"*",'Timesheet Raw'!$L$4:$L$8000,"&gt;="&amp;R$5,'Timesheet Raw'!$L$4:$L$8000,"&lt;="&amp;R$6)))/'Profit Plan'!$B$5)</f>
        <v/>
      </c>
      <c r="S453" s="122" t="str">
        <f>IF($A453="","",(IF(ISNUMBER(SEARCH("Proposal",$A453)),SUMIFS('Timesheet Raw'!$P$4:$P$8000,'Timesheet Raw'!$A$4:$A$8000,IF(ISNUMBER(SEARCH("Chargable",$A453)),"2-Proposals Chargeable","3-Proposals Regular"),'Timesheet Raw'!$C$4:$C$8000,"*"&amp;$B453&amp;"*",'Timesheet Raw'!$L$4:$L$8000,"&gt;="&amp;MAX(S$5,DATE(2000+VALUE(RIGHT(TRIM($A453),2)),1,1)),'Timesheet Raw'!$L$4:$L$8000,"&lt;="&amp;MIN(S$6,DATE(2000+VALUE(RIGHT(TRIM($A453),2)),12,31))),SUMIFS('Timesheet Raw'!$P$4:$P$8000,'Timesheet Raw'!$B$4:$B$8000,TRIM($A453),'Timesheet Raw'!$C$4:$C$8000,"*"&amp;$B453&amp;"*",'Timesheet Raw'!$L$4:$L$8000,"&gt;="&amp;S$5,'Timesheet Raw'!$L$4:$L$8000,"&lt;="&amp;S$6)))/'Profit Plan'!$B$5)</f>
        <v/>
      </c>
      <c r="T453" s="122" t="str">
        <f>IF($A453="","",(IF(ISNUMBER(SEARCH("Proposal",$A453)),SUMIFS('Timesheet Raw'!$P$4:$P$8000,'Timesheet Raw'!$A$4:$A$8000,IF(ISNUMBER(SEARCH("Chargable",$A453)),"2-Proposals Chargeable","3-Proposals Regular"),'Timesheet Raw'!$C$4:$C$8000,"*"&amp;$B453&amp;"*",'Timesheet Raw'!$L$4:$L$8000,"&gt;="&amp;MAX(T$5,DATE(2000+VALUE(RIGHT(TRIM($A453),2)),1,1)),'Timesheet Raw'!$L$4:$L$8000,"&lt;="&amp;MIN(T$6,DATE(2000+VALUE(RIGHT(TRIM($A453),2)),12,31))),SUMIFS('Timesheet Raw'!$P$4:$P$8000,'Timesheet Raw'!$B$4:$B$8000,TRIM($A453),'Timesheet Raw'!$C$4:$C$8000,"*"&amp;$B453&amp;"*",'Timesheet Raw'!$L$4:$L$8000,"&gt;="&amp;T$5,'Timesheet Raw'!$L$4:$L$8000,"&lt;="&amp;T$6)))/'Profit Plan'!$B$5)</f>
        <v/>
      </c>
      <c r="U453" s="122" t="str">
        <f>IF($A453="","",(IF(ISNUMBER(SEARCH("Proposal",$A453)),SUMIFS('Timesheet Raw'!$P$4:$P$8000,'Timesheet Raw'!$A$4:$A$8000,IF(ISNUMBER(SEARCH("Chargable",$A453)),"2-Proposals Chargeable","3-Proposals Regular"),'Timesheet Raw'!$C$4:$C$8000,"*"&amp;$B453&amp;"*",'Timesheet Raw'!$L$4:$L$8000,"&gt;="&amp;MAX(U$5,DATE(2000+VALUE(RIGHT(TRIM($A453),2)),1,1)),'Timesheet Raw'!$L$4:$L$8000,"&lt;="&amp;MIN(U$6,DATE(2000+VALUE(RIGHT(TRIM($A453),2)),12,31))),SUMIFS('Timesheet Raw'!$P$4:$P$8000,'Timesheet Raw'!$B$4:$B$8000,TRIM($A453),'Timesheet Raw'!$C$4:$C$8000,"*"&amp;$B453&amp;"*",'Timesheet Raw'!$L$4:$L$8000,"&gt;="&amp;U$5,'Timesheet Raw'!$L$4:$L$8000,"&lt;="&amp;U$6)))/'Profit Plan'!$B$5)</f>
        <v/>
      </c>
      <c r="V453" s="122" t="str">
        <f>IF($A453="","",(IF(ISNUMBER(SEARCH("Proposal",$A453)),SUMIFS('Timesheet Raw'!$P$4:$P$8000,'Timesheet Raw'!$A$4:$A$8000,IF(ISNUMBER(SEARCH("Chargable",$A453)),"2-Proposals Chargeable","3-Proposals Regular"),'Timesheet Raw'!$C$4:$C$8000,"*"&amp;$B453&amp;"*",'Timesheet Raw'!$L$4:$L$8000,"&gt;="&amp;MAX(V$5,DATE(2000+VALUE(RIGHT(TRIM($A453),2)),1,1)),'Timesheet Raw'!$L$4:$L$8000,"&lt;="&amp;MIN(V$6,DATE(2000+VALUE(RIGHT(TRIM($A453),2)),12,31))),SUMIFS('Timesheet Raw'!$P$4:$P$8000,'Timesheet Raw'!$B$4:$B$8000,TRIM($A453),'Timesheet Raw'!$C$4:$C$8000,"*"&amp;$B453&amp;"*",'Timesheet Raw'!$L$4:$L$8000,"&gt;="&amp;V$5,'Timesheet Raw'!$L$4:$L$8000,"&lt;="&amp;V$6)))/'Profit Plan'!$B$5)</f>
        <v/>
      </c>
      <c r="W453" s="122" t="str">
        <f>IF($A453="","",(IF(ISNUMBER(SEARCH("Proposal",$A453)),SUMIFS('Timesheet Raw'!$P$4:$P$8000,'Timesheet Raw'!$A$4:$A$8000,IF(ISNUMBER(SEARCH("Chargable",$A453)),"2-Proposals Chargeable","3-Proposals Regular"),'Timesheet Raw'!$C$4:$C$8000,"*"&amp;$B453&amp;"*",'Timesheet Raw'!$L$4:$L$8000,"&gt;="&amp;MAX(W$5,DATE(2000+VALUE(RIGHT(TRIM($A453),2)),1,1)),'Timesheet Raw'!$L$4:$L$8000,"&lt;="&amp;MIN(W$6,DATE(2000+VALUE(RIGHT(TRIM($A453),2)),12,31))),SUMIFS('Timesheet Raw'!$P$4:$P$8000,'Timesheet Raw'!$B$4:$B$8000,TRIM($A453),'Timesheet Raw'!$C$4:$C$8000,"*"&amp;$B453&amp;"*",'Timesheet Raw'!$L$4:$L$8000,"&gt;="&amp;W$5,'Timesheet Raw'!$L$4:$L$8000,"&lt;="&amp;W$6)))/'Profit Plan'!$B$5)</f>
        <v/>
      </c>
      <c r="X453" s="122" t="str">
        <f>IF($A453="","",(IF(ISNUMBER(SEARCH("Proposal",$A453)),SUMIFS('Timesheet Raw'!$P$4:$P$8000,'Timesheet Raw'!$A$4:$A$8000,IF(ISNUMBER(SEARCH("Chargable",$A453)),"2-Proposals Chargeable","3-Proposals Regular"),'Timesheet Raw'!$C$4:$C$8000,"*"&amp;$B453&amp;"*",'Timesheet Raw'!$L$4:$L$8000,"&gt;="&amp;MAX(X$5,DATE(2000+VALUE(RIGHT(TRIM($A453),2)),1,1)),'Timesheet Raw'!$L$4:$L$8000,"&lt;="&amp;MIN(X$6,DATE(2000+VALUE(RIGHT(TRIM($A453),2)),12,31))),SUMIFS('Timesheet Raw'!$P$4:$P$8000,'Timesheet Raw'!$B$4:$B$8000,TRIM($A453),'Timesheet Raw'!$C$4:$C$8000,"*"&amp;$B453&amp;"*",'Timesheet Raw'!$L$4:$L$8000,"&gt;="&amp;X$5,'Timesheet Raw'!$L$4:$L$8000,"&lt;="&amp;X$6)))/'Profit Plan'!$B$5)</f>
        <v/>
      </c>
      <c r="Y453" s="118">
        <f t="shared" si="102"/>
        <v>0</v>
      </c>
    </row>
    <row r="454" spans="1:25" x14ac:dyDescent="0.3">
      <c r="A454" s="116" t="str">
        <f>IF(Inputs!$A69="","",Inputs!$A69)</f>
        <v/>
      </c>
      <c r="B454" s="116" t="str">
        <f>IF(Inputs!$A69="","",Inputs!$A$91)</f>
        <v/>
      </c>
      <c r="C454" s="116"/>
      <c r="D454" s="122" t="str">
        <f>IF($A454="","",(IF(ISNUMBER(SEARCH("Proposal",$A454)),SUMIFS('Timesheet Raw'!$P$4:$P$8000,'Timesheet Raw'!$A$4:$A$8000,IF(ISNUMBER(SEARCH("Chargable",$A454)),"2-Proposals Chargeable","3-Proposals Regular"),'Timesheet Raw'!$C$4:$C$8000,"*"&amp;$B454&amp;"*",'Timesheet Raw'!$L$4:$L$8000,"&gt;="&amp;MAX(D$5,DATE(2000+VALUE(RIGHT(TRIM($A454),2)),1,1)),'Timesheet Raw'!$L$4:$L$8000,"&lt;="&amp;MIN(D$6,DATE(2000+VALUE(RIGHT(TRIM($A454),2)),12,31))),SUMIFS('Timesheet Raw'!$P$4:$P$8000,'Timesheet Raw'!$B$4:$B$8000,TRIM($A454),'Timesheet Raw'!$C$4:$C$8000,"*"&amp;$B454&amp;"*",'Timesheet Raw'!$L$4:$L$8000,"&gt;="&amp;D$5,'Timesheet Raw'!$L$4:$L$8000,"&lt;="&amp;D$6)))/'Profit Plan'!$B$5)</f>
        <v/>
      </c>
      <c r="E454" s="122" t="str">
        <f>IF($A454="","",(IF(ISNUMBER(SEARCH("Proposal",$A454)),SUMIFS('Timesheet Raw'!$P$4:$P$8000,'Timesheet Raw'!$A$4:$A$8000,IF(ISNUMBER(SEARCH("Chargable",$A454)),"2-Proposals Chargeable","3-Proposals Regular"),'Timesheet Raw'!$C$4:$C$8000,"*"&amp;$B454&amp;"*",'Timesheet Raw'!$L$4:$L$8000,"&gt;="&amp;MAX(E$5,DATE(2000+VALUE(RIGHT(TRIM($A454),2)),1,1)),'Timesheet Raw'!$L$4:$L$8000,"&lt;="&amp;MIN(E$6,DATE(2000+VALUE(RIGHT(TRIM($A454),2)),12,31))),SUMIFS('Timesheet Raw'!$P$4:$P$8000,'Timesheet Raw'!$B$4:$B$8000,TRIM($A454),'Timesheet Raw'!$C$4:$C$8000,"*"&amp;$B454&amp;"*",'Timesheet Raw'!$L$4:$L$8000,"&gt;="&amp;E$5,'Timesheet Raw'!$L$4:$L$8000,"&lt;="&amp;E$6)))/'Profit Plan'!$B$5)</f>
        <v/>
      </c>
      <c r="F454" s="122" t="str">
        <f>IF($A454="","",(IF(ISNUMBER(SEARCH("Proposal",$A454)),SUMIFS('Timesheet Raw'!$P$4:$P$8000,'Timesheet Raw'!$A$4:$A$8000,IF(ISNUMBER(SEARCH("Chargable",$A454)),"2-Proposals Chargeable","3-Proposals Regular"),'Timesheet Raw'!$C$4:$C$8000,"*"&amp;$B454&amp;"*",'Timesheet Raw'!$L$4:$L$8000,"&gt;="&amp;MAX(F$5,DATE(2000+VALUE(RIGHT(TRIM($A454),2)),1,1)),'Timesheet Raw'!$L$4:$L$8000,"&lt;="&amp;MIN(F$6,DATE(2000+VALUE(RIGHT(TRIM($A454),2)),12,31))),SUMIFS('Timesheet Raw'!$P$4:$P$8000,'Timesheet Raw'!$B$4:$B$8000,TRIM($A454),'Timesheet Raw'!$C$4:$C$8000,"*"&amp;$B454&amp;"*",'Timesheet Raw'!$L$4:$L$8000,"&gt;="&amp;F$5,'Timesheet Raw'!$L$4:$L$8000,"&lt;="&amp;F$6)))/'Profit Plan'!$B$5)</f>
        <v/>
      </c>
      <c r="G454" s="122" t="str">
        <f>IF($A454="","",(IF(ISNUMBER(SEARCH("Proposal",$A454)),SUMIFS('Timesheet Raw'!$P$4:$P$8000,'Timesheet Raw'!$A$4:$A$8000,IF(ISNUMBER(SEARCH("Chargable",$A454)),"2-Proposals Chargeable","3-Proposals Regular"),'Timesheet Raw'!$C$4:$C$8000,"*"&amp;$B454&amp;"*",'Timesheet Raw'!$L$4:$L$8000,"&gt;="&amp;MAX(G$5,DATE(2000+VALUE(RIGHT(TRIM($A454),2)),1,1)),'Timesheet Raw'!$L$4:$L$8000,"&lt;="&amp;MIN(G$6,DATE(2000+VALUE(RIGHT(TRIM($A454),2)),12,31))),SUMIFS('Timesheet Raw'!$P$4:$P$8000,'Timesheet Raw'!$B$4:$B$8000,TRIM($A454),'Timesheet Raw'!$C$4:$C$8000,"*"&amp;$B454&amp;"*",'Timesheet Raw'!$L$4:$L$8000,"&gt;="&amp;G$5,'Timesheet Raw'!$L$4:$L$8000,"&lt;="&amp;G$6)))/'Profit Plan'!$B$5)</f>
        <v/>
      </c>
      <c r="H454" s="122" t="str">
        <f>IF($A454="","",(IF(ISNUMBER(SEARCH("Proposal",$A454)),SUMIFS('Timesheet Raw'!$P$4:$P$8000,'Timesheet Raw'!$A$4:$A$8000,IF(ISNUMBER(SEARCH("Chargable",$A454)),"2-Proposals Chargeable","3-Proposals Regular"),'Timesheet Raw'!$C$4:$C$8000,"*"&amp;$B454&amp;"*",'Timesheet Raw'!$L$4:$L$8000,"&gt;="&amp;MAX(H$5,DATE(2000+VALUE(RIGHT(TRIM($A454),2)),1,1)),'Timesheet Raw'!$L$4:$L$8000,"&lt;="&amp;MIN(H$6,DATE(2000+VALUE(RIGHT(TRIM($A454),2)),12,31))),SUMIFS('Timesheet Raw'!$P$4:$P$8000,'Timesheet Raw'!$B$4:$B$8000,TRIM($A454),'Timesheet Raw'!$C$4:$C$8000,"*"&amp;$B454&amp;"*",'Timesheet Raw'!$L$4:$L$8000,"&gt;="&amp;H$5,'Timesheet Raw'!$L$4:$L$8000,"&lt;="&amp;H$6)))/'Profit Plan'!$B$5)</f>
        <v/>
      </c>
      <c r="I454" s="122" t="str">
        <f>IF($A454="","",(IF(ISNUMBER(SEARCH("Proposal",$A454)),SUMIFS('Timesheet Raw'!$P$4:$P$8000,'Timesheet Raw'!$A$4:$A$8000,IF(ISNUMBER(SEARCH("Chargable",$A454)),"2-Proposals Chargeable","3-Proposals Regular"),'Timesheet Raw'!$C$4:$C$8000,"*"&amp;$B454&amp;"*",'Timesheet Raw'!$L$4:$L$8000,"&gt;="&amp;MAX(I$5,DATE(2000+VALUE(RIGHT(TRIM($A454),2)),1,1)),'Timesheet Raw'!$L$4:$L$8000,"&lt;="&amp;MIN(I$6,DATE(2000+VALUE(RIGHT(TRIM($A454),2)),12,31))),SUMIFS('Timesheet Raw'!$P$4:$P$8000,'Timesheet Raw'!$B$4:$B$8000,TRIM($A454),'Timesheet Raw'!$C$4:$C$8000,"*"&amp;$B454&amp;"*",'Timesheet Raw'!$L$4:$L$8000,"&gt;="&amp;I$5,'Timesheet Raw'!$L$4:$L$8000,"&lt;="&amp;I$6)))/'Profit Plan'!$B$5)</f>
        <v/>
      </c>
      <c r="J454" s="122" t="str">
        <f>IF($A454="","",(IF(ISNUMBER(SEARCH("Proposal",$A454)),SUMIFS('Timesheet Raw'!$P$4:$P$8000,'Timesheet Raw'!$A$4:$A$8000,IF(ISNUMBER(SEARCH("Chargable",$A454)),"2-Proposals Chargeable","3-Proposals Regular"),'Timesheet Raw'!$C$4:$C$8000,"*"&amp;$B454&amp;"*",'Timesheet Raw'!$L$4:$L$8000,"&gt;="&amp;MAX(J$5,DATE(2000+VALUE(RIGHT(TRIM($A454),2)),1,1)),'Timesheet Raw'!$L$4:$L$8000,"&lt;="&amp;MIN(J$6,DATE(2000+VALUE(RIGHT(TRIM($A454),2)),12,31))),SUMIFS('Timesheet Raw'!$P$4:$P$8000,'Timesheet Raw'!$B$4:$B$8000,TRIM($A454),'Timesheet Raw'!$C$4:$C$8000,"*"&amp;$B454&amp;"*",'Timesheet Raw'!$L$4:$L$8000,"&gt;="&amp;J$5,'Timesheet Raw'!$L$4:$L$8000,"&lt;="&amp;J$6)))/'Profit Plan'!$B$5)</f>
        <v/>
      </c>
      <c r="K454" s="122" t="str">
        <f>IF($A454="","",(IF(ISNUMBER(SEARCH("Proposal",$A454)),SUMIFS('Timesheet Raw'!$P$4:$P$8000,'Timesheet Raw'!$A$4:$A$8000,IF(ISNUMBER(SEARCH("Chargable",$A454)),"2-Proposals Chargeable","3-Proposals Regular"),'Timesheet Raw'!$C$4:$C$8000,"*"&amp;$B454&amp;"*",'Timesheet Raw'!$L$4:$L$8000,"&gt;="&amp;MAX(K$5,DATE(2000+VALUE(RIGHT(TRIM($A454),2)),1,1)),'Timesheet Raw'!$L$4:$L$8000,"&lt;="&amp;MIN(K$6,DATE(2000+VALUE(RIGHT(TRIM($A454),2)),12,31))),SUMIFS('Timesheet Raw'!$P$4:$P$8000,'Timesheet Raw'!$B$4:$B$8000,TRIM($A454),'Timesheet Raw'!$C$4:$C$8000,"*"&amp;$B454&amp;"*",'Timesheet Raw'!$L$4:$L$8000,"&gt;="&amp;K$5,'Timesheet Raw'!$L$4:$L$8000,"&lt;="&amp;K$6)))/'Profit Plan'!$B$5)</f>
        <v/>
      </c>
      <c r="L454" s="122" t="str">
        <f>IF($A454="","",(IF(ISNUMBER(SEARCH("Proposal",$A454)),SUMIFS('Timesheet Raw'!$P$4:$P$8000,'Timesheet Raw'!$A$4:$A$8000,IF(ISNUMBER(SEARCH("Chargable",$A454)),"2-Proposals Chargeable","3-Proposals Regular"),'Timesheet Raw'!$C$4:$C$8000,"*"&amp;$B454&amp;"*",'Timesheet Raw'!$L$4:$L$8000,"&gt;="&amp;MAX(L$5,DATE(2000+VALUE(RIGHT(TRIM($A454),2)),1,1)),'Timesheet Raw'!$L$4:$L$8000,"&lt;="&amp;MIN(L$6,DATE(2000+VALUE(RIGHT(TRIM($A454),2)),12,31))),SUMIFS('Timesheet Raw'!$P$4:$P$8000,'Timesheet Raw'!$B$4:$B$8000,TRIM($A454),'Timesheet Raw'!$C$4:$C$8000,"*"&amp;$B454&amp;"*",'Timesheet Raw'!$L$4:$L$8000,"&gt;="&amp;L$5,'Timesheet Raw'!$L$4:$L$8000,"&lt;="&amp;L$6)))/'Profit Plan'!$B$5)</f>
        <v/>
      </c>
      <c r="M454" s="122" t="str">
        <f>IF($A454="","",(IF(ISNUMBER(SEARCH("Proposal",$A454)),SUMIFS('Timesheet Raw'!$P$4:$P$8000,'Timesheet Raw'!$A$4:$A$8000,IF(ISNUMBER(SEARCH("Chargable",$A454)),"2-Proposals Chargeable","3-Proposals Regular"),'Timesheet Raw'!$C$4:$C$8000,"*"&amp;$B454&amp;"*",'Timesheet Raw'!$L$4:$L$8000,"&gt;="&amp;MAX(M$5,DATE(2000+VALUE(RIGHT(TRIM($A454),2)),1,1)),'Timesheet Raw'!$L$4:$L$8000,"&lt;="&amp;MIN(M$6,DATE(2000+VALUE(RIGHT(TRIM($A454),2)),12,31))),SUMIFS('Timesheet Raw'!$P$4:$P$8000,'Timesheet Raw'!$B$4:$B$8000,TRIM($A454),'Timesheet Raw'!$C$4:$C$8000,"*"&amp;$B454&amp;"*",'Timesheet Raw'!$L$4:$L$8000,"&gt;="&amp;M$5,'Timesheet Raw'!$L$4:$L$8000,"&lt;="&amp;M$6)))/'Profit Plan'!$B$5)</f>
        <v/>
      </c>
      <c r="N454" s="122" t="str">
        <f>IF($A454="","",(IF(ISNUMBER(SEARCH("Proposal",$A454)),SUMIFS('Timesheet Raw'!$P$4:$P$8000,'Timesheet Raw'!$A$4:$A$8000,IF(ISNUMBER(SEARCH("Chargable",$A454)),"2-Proposals Chargeable","3-Proposals Regular"),'Timesheet Raw'!$C$4:$C$8000,"*"&amp;$B454&amp;"*",'Timesheet Raw'!$L$4:$L$8000,"&gt;="&amp;MAX(N$5,DATE(2000+VALUE(RIGHT(TRIM($A454),2)),1,1)),'Timesheet Raw'!$L$4:$L$8000,"&lt;="&amp;MIN(N$6,DATE(2000+VALUE(RIGHT(TRIM($A454),2)),12,31))),SUMIFS('Timesheet Raw'!$P$4:$P$8000,'Timesheet Raw'!$B$4:$B$8000,TRIM($A454),'Timesheet Raw'!$C$4:$C$8000,"*"&amp;$B454&amp;"*",'Timesheet Raw'!$L$4:$L$8000,"&gt;="&amp;N$5,'Timesheet Raw'!$L$4:$L$8000,"&lt;="&amp;N$6)))/'Profit Plan'!$B$5)</f>
        <v/>
      </c>
      <c r="O454" s="122" t="str">
        <f>IF($A454="","",(IF(ISNUMBER(SEARCH("Proposal",$A454)),SUMIFS('Timesheet Raw'!$P$4:$P$8000,'Timesheet Raw'!$A$4:$A$8000,IF(ISNUMBER(SEARCH("Chargable",$A454)),"2-Proposals Chargeable","3-Proposals Regular"),'Timesheet Raw'!$C$4:$C$8000,"*"&amp;$B454&amp;"*",'Timesheet Raw'!$L$4:$L$8000,"&gt;="&amp;MAX(O$5,DATE(2000+VALUE(RIGHT(TRIM($A454),2)),1,1)),'Timesheet Raw'!$L$4:$L$8000,"&lt;="&amp;MIN(O$6,DATE(2000+VALUE(RIGHT(TRIM($A454),2)),12,31))),SUMIFS('Timesheet Raw'!$P$4:$P$8000,'Timesheet Raw'!$B$4:$B$8000,TRIM($A454),'Timesheet Raw'!$C$4:$C$8000,"*"&amp;$B454&amp;"*",'Timesheet Raw'!$L$4:$L$8000,"&gt;="&amp;O$5,'Timesheet Raw'!$L$4:$L$8000,"&lt;="&amp;O$6)))/'Profit Plan'!$B$5)</f>
        <v/>
      </c>
      <c r="P454" s="122" t="str">
        <f>IF($A454="","",(IF(ISNUMBER(SEARCH("Proposal",$A454)),SUMIFS('Timesheet Raw'!$P$4:$P$8000,'Timesheet Raw'!$A$4:$A$8000,IF(ISNUMBER(SEARCH("Chargable",$A454)),"2-Proposals Chargeable","3-Proposals Regular"),'Timesheet Raw'!$C$4:$C$8000,"*"&amp;$B454&amp;"*",'Timesheet Raw'!$L$4:$L$8000,"&gt;="&amp;MAX(P$5,DATE(2000+VALUE(RIGHT(TRIM($A454),2)),1,1)),'Timesheet Raw'!$L$4:$L$8000,"&lt;="&amp;MIN(P$6,DATE(2000+VALUE(RIGHT(TRIM($A454),2)),12,31))),SUMIFS('Timesheet Raw'!$P$4:$P$8000,'Timesheet Raw'!$B$4:$B$8000,TRIM($A454),'Timesheet Raw'!$C$4:$C$8000,"*"&amp;$B454&amp;"*",'Timesheet Raw'!$L$4:$L$8000,"&gt;="&amp;P$5,'Timesheet Raw'!$L$4:$L$8000,"&lt;="&amp;P$6)))/'Profit Plan'!$B$5)</f>
        <v/>
      </c>
      <c r="Q454" s="122" t="str">
        <f>IF($A454="","",(IF(ISNUMBER(SEARCH("Proposal",$A454)),SUMIFS('Timesheet Raw'!$P$4:$P$8000,'Timesheet Raw'!$A$4:$A$8000,IF(ISNUMBER(SEARCH("Chargable",$A454)),"2-Proposals Chargeable","3-Proposals Regular"),'Timesheet Raw'!$C$4:$C$8000,"*"&amp;$B454&amp;"*",'Timesheet Raw'!$L$4:$L$8000,"&gt;="&amp;MAX(Q$5,DATE(2000+VALUE(RIGHT(TRIM($A454),2)),1,1)),'Timesheet Raw'!$L$4:$L$8000,"&lt;="&amp;MIN(Q$6,DATE(2000+VALUE(RIGHT(TRIM($A454),2)),12,31))),SUMIFS('Timesheet Raw'!$P$4:$P$8000,'Timesheet Raw'!$B$4:$B$8000,TRIM($A454),'Timesheet Raw'!$C$4:$C$8000,"*"&amp;$B454&amp;"*",'Timesheet Raw'!$L$4:$L$8000,"&gt;="&amp;Q$5,'Timesheet Raw'!$L$4:$L$8000,"&lt;="&amp;Q$6)))/'Profit Plan'!$B$5)</f>
        <v/>
      </c>
      <c r="R454" s="122" t="str">
        <f>IF($A454="","",(IF(ISNUMBER(SEARCH("Proposal",$A454)),SUMIFS('Timesheet Raw'!$P$4:$P$8000,'Timesheet Raw'!$A$4:$A$8000,IF(ISNUMBER(SEARCH("Chargable",$A454)),"2-Proposals Chargeable","3-Proposals Regular"),'Timesheet Raw'!$C$4:$C$8000,"*"&amp;$B454&amp;"*",'Timesheet Raw'!$L$4:$L$8000,"&gt;="&amp;MAX(R$5,DATE(2000+VALUE(RIGHT(TRIM($A454),2)),1,1)),'Timesheet Raw'!$L$4:$L$8000,"&lt;="&amp;MIN(R$6,DATE(2000+VALUE(RIGHT(TRIM($A454),2)),12,31))),SUMIFS('Timesheet Raw'!$P$4:$P$8000,'Timesheet Raw'!$B$4:$B$8000,TRIM($A454),'Timesheet Raw'!$C$4:$C$8000,"*"&amp;$B454&amp;"*",'Timesheet Raw'!$L$4:$L$8000,"&gt;="&amp;R$5,'Timesheet Raw'!$L$4:$L$8000,"&lt;="&amp;R$6)))/'Profit Plan'!$B$5)</f>
        <v/>
      </c>
      <c r="S454" s="122" t="str">
        <f>IF($A454="","",(IF(ISNUMBER(SEARCH("Proposal",$A454)),SUMIFS('Timesheet Raw'!$P$4:$P$8000,'Timesheet Raw'!$A$4:$A$8000,IF(ISNUMBER(SEARCH("Chargable",$A454)),"2-Proposals Chargeable","3-Proposals Regular"),'Timesheet Raw'!$C$4:$C$8000,"*"&amp;$B454&amp;"*",'Timesheet Raw'!$L$4:$L$8000,"&gt;="&amp;MAX(S$5,DATE(2000+VALUE(RIGHT(TRIM($A454),2)),1,1)),'Timesheet Raw'!$L$4:$L$8000,"&lt;="&amp;MIN(S$6,DATE(2000+VALUE(RIGHT(TRIM($A454),2)),12,31))),SUMIFS('Timesheet Raw'!$P$4:$P$8000,'Timesheet Raw'!$B$4:$B$8000,TRIM($A454),'Timesheet Raw'!$C$4:$C$8000,"*"&amp;$B454&amp;"*",'Timesheet Raw'!$L$4:$L$8000,"&gt;="&amp;S$5,'Timesheet Raw'!$L$4:$L$8000,"&lt;="&amp;S$6)))/'Profit Plan'!$B$5)</f>
        <v/>
      </c>
      <c r="T454" s="122" t="str">
        <f>IF($A454="","",(IF(ISNUMBER(SEARCH("Proposal",$A454)),SUMIFS('Timesheet Raw'!$P$4:$P$8000,'Timesheet Raw'!$A$4:$A$8000,IF(ISNUMBER(SEARCH("Chargable",$A454)),"2-Proposals Chargeable","3-Proposals Regular"),'Timesheet Raw'!$C$4:$C$8000,"*"&amp;$B454&amp;"*",'Timesheet Raw'!$L$4:$L$8000,"&gt;="&amp;MAX(T$5,DATE(2000+VALUE(RIGHT(TRIM($A454),2)),1,1)),'Timesheet Raw'!$L$4:$L$8000,"&lt;="&amp;MIN(T$6,DATE(2000+VALUE(RIGHT(TRIM($A454),2)),12,31))),SUMIFS('Timesheet Raw'!$P$4:$P$8000,'Timesheet Raw'!$B$4:$B$8000,TRIM($A454),'Timesheet Raw'!$C$4:$C$8000,"*"&amp;$B454&amp;"*",'Timesheet Raw'!$L$4:$L$8000,"&gt;="&amp;T$5,'Timesheet Raw'!$L$4:$L$8000,"&lt;="&amp;T$6)))/'Profit Plan'!$B$5)</f>
        <v/>
      </c>
      <c r="U454" s="122" t="str">
        <f>IF($A454="","",(IF(ISNUMBER(SEARCH("Proposal",$A454)),SUMIFS('Timesheet Raw'!$P$4:$P$8000,'Timesheet Raw'!$A$4:$A$8000,IF(ISNUMBER(SEARCH("Chargable",$A454)),"2-Proposals Chargeable","3-Proposals Regular"),'Timesheet Raw'!$C$4:$C$8000,"*"&amp;$B454&amp;"*",'Timesheet Raw'!$L$4:$L$8000,"&gt;="&amp;MAX(U$5,DATE(2000+VALUE(RIGHT(TRIM($A454),2)),1,1)),'Timesheet Raw'!$L$4:$L$8000,"&lt;="&amp;MIN(U$6,DATE(2000+VALUE(RIGHT(TRIM($A454),2)),12,31))),SUMIFS('Timesheet Raw'!$P$4:$P$8000,'Timesheet Raw'!$B$4:$B$8000,TRIM($A454),'Timesheet Raw'!$C$4:$C$8000,"*"&amp;$B454&amp;"*",'Timesheet Raw'!$L$4:$L$8000,"&gt;="&amp;U$5,'Timesheet Raw'!$L$4:$L$8000,"&lt;="&amp;U$6)))/'Profit Plan'!$B$5)</f>
        <v/>
      </c>
      <c r="V454" s="122" t="str">
        <f>IF($A454="","",(IF(ISNUMBER(SEARCH("Proposal",$A454)),SUMIFS('Timesheet Raw'!$P$4:$P$8000,'Timesheet Raw'!$A$4:$A$8000,IF(ISNUMBER(SEARCH("Chargable",$A454)),"2-Proposals Chargeable","3-Proposals Regular"),'Timesheet Raw'!$C$4:$C$8000,"*"&amp;$B454&amp;"*",'Timesheet Raw'!$L$4:$L$8000,"&gt;="&amp;MAX(V$5,DATE(2000+VALUE(RIGHT(TRIM($A454),2)),1,1)),'Timesheet Raw'!$L$4:$L$8000,"&lt;="&amp;MIN(V$6,DATE(2000+VALUE(RIGHT(TRIM($A454),2)),12,31))),SUMIFS('Timesheet Raw'!$P$4:$P$8000,'Timesheet Raw'!$B$4:$B$8000,TRIM($A454),'Timesheet Raw'!$C$4:$C$8000,"*"&amp;$B454&amp;"*",'Timesheet Raw'!$L$4:$L$8000,"&gt;="&amp;V$5,'Timesheet Raw'!$L$4:$L$8000,"&lt;="&amp;V$6)))/'Profit Plan'!$B$5)</f>
        <v/>
      </c>
      <c r="W454" s="122" t="str">
        <f>IF($A454="","",(IF(ISNUMBER(SEARCH("Proposal",$A454)),SUMIFS('Timesheet Raw'!$P$4:$P$8000,'Timesheet Raw'!$A$4:$A$8000,IF(ISNUMBER(SEARCH("Chargable",$A454)),"2-Proposals Chargeable","3-Proposals Regular"),'Timesheet Raw'!$C$4:$C$8000,"*"&amp;$B454&amp;"*",'Timesheet Raw'!$L$4:$L$8000,"&gt;="&amp;MAX(W$5,DATE(2000+VALUE(RIGHT(TRIM($A454),2)),1,1)),'Timesheet Raw'!$L$4:$L$8000,"&lt;="&amp;MIN(W$6,DATE(2000+VALUE(RIGHT(TRIM($A454),2)),12,31))),SUMIFS('Timesheet Raw'!$P$4:$P$8000,'Timesheet Raw'!$B$4:$B$8000,TRIM($A454),'Timesheet Raw'!$C$4:$C$8000,"*"&amp;$B454&amp;"*",'Timesheet Raw'!$L$4:$L$8000,"&gt;="&amp;W$5,'Timesheet Raw'!$L$4:$L$8000,"&lt;="&amp;W$6)))/'Profit Plan'!$B$5)</f>
        <v/>
      </c>
      <c r="X454" s="122" t="str">
        <f>IF($A454="","",(IF(ISNUMBER(SEARCH("Proposal",$A454)),SUMIFS('Timesheet Raw'!$P$4:$P$8000,'Timesheet Raw'!$A$4:$A$8000,IF(ISNUMBER(SEARCH("Chargable",$A454)),"2-Proposals Chargeable","3-Proposals Regular"),'Timesheet Raw'!$C$4:$C$8000,"*"&amp;$B454&amp;"*",'Timesheet Raw'!$L$4:$L$8000,"&gt;="&amp;MAX(X$5,DATE(2000+VALUE(RIGHT(TRIM($A454),2)),1,1)),'Timesheet Raw'!$L$4:$L$8000,"&lt;="&amp;MIN(X$6,DATE(2000+VALUE(RIGHT(TRIM($A454),2)),12,31))),SUMIFS('Timesheet Raw'!$P$4:$P$8000,'Timesheet Raw'!$B$4:$B$8000,TRIM($A454),'Timesheet Raw'!$C$4:$C$8000,"*"&amp;$B454&amp;"*",'Timesheet Raw'!$L$4:$L$8000,"&gt;="&amp;X$5,'Timesheet Raw'!$L$4:$L$8000,"&lt;="&amp;X$6)))/'Profit Plan'!$B$5)</f>
        <v/>
      </c>
      <c r="Y454" s="118">
        <f t="shared" si="102"/>
        <v>0</v>
      </c>
    </row>
    <row r="455" spans="1:25" x14ac:dyDescent="0.3">
      <c r="A455" s="116" t="str">
        <f>IF(Inputs!$A69="","",Inputs!$A69)</f>
        <v/>
      </c>
      <c r="B455" s="116" t="str">
        <f>IF(Inputs!$A69="","",Inputs!$A$92)</f>
        <v/>
      </c>
      <c r="C455" s="116"/>
      <c r="D455" s="122" t="str">
        <f>IF($A455="","",(IF(ISNUMBER(SEARCH("Proposal",$A455)),SUMIFS('Timesheet Raw'!$P$4:$P$8000,'Timesheet Raw'!$A$4:$A$8000,IF(ISNUMBER(SEARCH("Chargable",$A455)),"2-Proposals Chargeable","3-Proposals Regular"),'Timesheet Raw'!$C$4:$C$8000,"*"&amp;$B455&amp;"*",'Timesheet Raw'!$L$4:$L$8000,"&gt;="&amp;MAX(D$5,DATE(2000+VALUE(RIGHT(TRIM($A455),2)),1,1)),'Timesheet Raw'!$L$4:$L$8000,"&lt;="&amp;MIN(D$6,DATE(2000+VALUE(RIGHT(TRIM($A455),2)),12,31))),SUMIFS('Timesheet Raw'!$P$4:$P$8000,'Timesheet Raw'!$B$4:$B$8000,TRIM($A455),'Timesheet Raw'!$C$4:$C$8000,"*"&amp;$B455&amp;"*",'Timesheet Raw'!$L$4:$L$8000,"&gt;="&amp;D$5,'Timesheet Raw'!$L$4:$L$8000,"&lt;="&amp;D$6)))/'Profit Plan'!$B$5)</f>
        <v/>
      </c>
      <c r="E455" s="122" t="str">
        <f>IF($A455="","",(IF(ISNUMBER(SEARCH("Proposal",$A455)),SUMIFS('Timesheet Raw'!$P$4:$P$8000,'Timesheet Raw'!$A$4:$A$8000,IF(ISNUMBER(SEARCH("Chargable",$A455)),"2-Proposals Chargeable","3-Proposals Regular"),'Timesheet Raw'!$C$4:$C$8000,"*"&amp;$B455&amp;"*",'Timesheet Raw'!$L$4:$L$8000,"&gt;="&amp;MAX(E$5,DATE(2000+VALUE(RIGHT(TRIM($A455),2)),1,1)),'Timesheet Raw'!$L$4:$L$8000,"&lt;="&amp;MIN(E$6,DATE(2000+VALUE(RIGHT(TRIM($A455),2)),12,31))),SUMIFS('Timesheet Raw'!$P$4:$P$8000,'Timesheet Raw'!$B$4:$B$8000,TRIM($A455),'Timesheet Raw'!$C$4:$C$8000,"*"&amp;$B455&amp;"*",'Timesheet Raw'!$L$4:$L$8000,"&gt;="&amp;E$5,'Timesheet Raw'!$L$4:$L$8000,"&lt;="&amp;E$6)))/'Profit Plan'!$B$5)</f>
        <v/>
      </c>
      <c r="F455" s="122" t="str">
        <f>IF($A455="","",(IF(ISNUMBER(SEARCH("Proposal",$A455)),SUMIFS('Timesheet Raw'!$P$4:$P$8000,'Timesheet Raw'!$A$4:$A$8000,IF(ISNUMBER(SEARCH("Chargable",$A455)),"2-Proposals Chargeable","3-Proposals Regular"),'Timesheet Raw'!$C$4:$C$8000,"*"&amp;$B455&amp;"*",'Timesheet Raw'!$L$4:$L$8000,"&gt;="&amp;MAX(F$5,DATE(2000+VALUE(RIGHT(TRIM($A455),2)),1,1)),'Timesheet Raw'!$L$4:$L$8000,"&lt;="&amp;MIN(F$6,DATE(2000+VALUE(RIGHT(TRIM($A455),2)),12,31))),SUMIFS('Timesheet Raw'!$P$4:$P$8000,'Timesheet Raw'!$B$4:$B$8000,TRIM($A455),'Timesheet Raw'!$C$4:$C$8000,"*"&amp;$B455&amp;"*",'Timesheet Raw'!$L$4:$L$8000,"&gt;="&amp;F$5,'Timesheet Raw'!$L$4:$L$8000,"&lt;="&amp;F$6)))/'Profit Plan'!$B$5)</f>
        <v/>
      </c>
      <c r="G455" s="122" t="str">
        <f>IF($A455="","",(IF(ISNUMBER(SEARCH("Proposal",$A455)),SUMIFS('Timesheet Raw'!$P$4:$P$8000,'Timesheet Raw'!$A$4:$A$8000,IF(ISNUMBER(SEARCH("Chargable",$A455)),"2-Proposals Chargeable","3-Proposals Regular"),'Timesheet Raw'!$C$4:$C$8000,"*"&amp;$B455&amp;"*",'Timesheet Raw'!$L$4:$L$8000,"&gt;="&amp;MAX(G$5,DATE(2000+VALUE(RIGHT(TRIM($A455),2)),1,1)),'Timesheet Raw'!$L$4:$L$8000,"&lt;="&amp;MIN(G$6,DATE(2000+VALUE(RIGHT(TRIM($A455),2)),12,31))),SUMIFS('Timesheet Raw'!$P$4:$P$8000,'Timesheet Raw'!$B$4:$B$8000,TRIM($A455),'Timesheet Raw'!$C$4:$C$8000,"*"&amp;$B455&amp;"*",'Timesheet Raw'!$L$4:$L$8000,"&gt;="&amp;G$5,'Timesheet Raw'!$L$4:$L$8000,"&lt;="&amp;G$6)))/'Profit Plan'!$B$5)</f>
        <v/>
      </c>
      <c r="H455" s="122" t="str">
        <f>IF($A455="","",(IF(ISNUMBER(SEARCH("Proposal",$A455)),SUMIFS('Timesheet Raw'!$P$4:$P$8000,'Timesheet Raw'!$A$4:$A$8000,IF(ISNUMBER(SEARCH("Chargable",$A455)),"2-Proposals Chargeable","3-Proposals Regular"),'Timesheet Raw'!$C$4:$C$8000,"*"&amp;$B455&amp;"*",'Timesheet Raw'!$L$4:$L$8000,"&gt;="&amp;MAX(H$5,DATE(2000+VALUE(RIGHT(TRIM($A455),2)),1,1)),'Timesheet Raw'!$L$4:$L$8000,"&lt;="&amp;MIN(H$6,DATE(2000+VALUE(RIGHT(TRIM($A455),2)),12,31))),SUMIFS('Timesheet Raw'!$P$4:$P$8000,'Timesheet Raw'!$B$4:$B$8000,TRIM($A455),'Timesheet Raw'!$C$4:$C$8000,"*"&amp;$B455&amp;"*",'Timesheet Raw'!$L$4:$L$8000,"&gt;="&amp;H$5,'Timesheet Raw'!$L$4:$L$8000,"&lt;="&amp;H$6)))/'Profit Plan'!$B$5)</f>
        <v/>
      </c>
      <c r="I455" s="122" t="str">
        <f>IF($A455="","",(IF(ISNUMBER(SEARCH("Proposal",$A455)),SUMIFS('Timesheet Raw'!$P$4:$P$8000,'Timesheet Raw'!$A$4:$A$8000,IF(ISNUMBER(SEARCH("Chargable",$A455)),"2-Proposals Chargeable","3-Proposals Regular"),'Timesheet Raw'!$C$4:$C$8000,"*"&amp;$B455&amp;"*",'Timesheet Raw'!$L$4:$L$8000,"&gt;="&amp;MAX(I$5,DATE(2000+VALUE(RIGHT(TRIM($A455),2)),1,1)),'Timesheet Raw'!$L$4:$L$8000,"&lt;="&amp;MIN(I$6,DATE(2000+VALUE(RIGHT(TRIM($A455),2)),12,31))),SUMIFS('Timesheet Raw'!$P$4:$P$8000,'Timesheet Raw'!$B$4:$B$8000,TRIM($A455),'Timesheet Raw'!$C$4:$C$8000,"*"&amp;$B455&amp;"*",'Timesheet Raw'!$L$4:$L$8000,"&gt;="&amp;I$5,'Timesheet Raw'!$L$4:$L$8000,"&lt;="&amp;I$6)))/'Profit Plan'!$B$5)</f>
        <v/>
      </c>
      <c r="J455" s="122" t="str">
        <f>IF($A455="","",(IF(ISNUMBER(SEARCH("Proposal",$A455)),SUMIFS('Timesheet Raw'!$P$4:$P$8000,'Timesheet Raw'!$A$4:$A$8000,IF(ISNUMBER(SEARCH("Chargable",$A455)),"2-Proposals Chargeable","3-Proposals Regular"),'Timesheet Raw'!$C$4:$C$8000,"*"&amp;$B455&amp;"*",'Timesheet Raw'!$L$4:$L$8000,"&gt;="&amp;MAX(J$5,DATE(2000+VALUE(RIGHT(TRIM($A455),2)),1,1)),'Timesheet Raw'!$L$4:$L$8000,"&lt;="&amp;MIN(J$6,DATE(2000+VALUE(RIGHT(TRIM($A455),2)),12,31))),SUMIFS('Timesheet Raw'!$P$4:$P$8000,'Timesheet Raw'!$B$4:$B$8000,TRIM($A455),'Timesheet Raw'!$C$4:$C$8000,"*"&amp;$B455&amp;"*",'Timesheet Raw'!$L$4:$L$8000,"&gt;="&amp;J$5,'Timesheet Raw'!$L$4:$L$8000,"&lt;="&amp;J$6)))/'Profit Plan'!$B$5)</f>
        <v/>
      </c>
      <c r="K455" s="122" t="str">
        <f>IF($A455="","",(IF(ISNUMBER(SEARCH("Proposal",$A455)),SUMIFS('Timesheet Raw'!$P$4:$P$8000,'Timesheet Raw'!$A$4:$A$8000,IF(ISNUMBER(SEARCH("Chargable",$A455)),"2-Proposals Chargeable","3-Proposals Regular"),'Timesheet Raw'!$C$4:$C$8000,"*"&amp;$B455&amp;"*",'Timesheet Raw'!$L$4:$L$8000,"&gt;="&amp;MAX(K$5,DATE(2000+VALUE(RIGHT(TRIM($A455),2)),1,1)),'Timesheet Raw'!$L$4:$L$8000,"&lt;="&amp;MIN(K$6,DATE(2000+VALUE(RIGHT(TRIM($A455),2)),12,31))),SUMIFS('Timesheet Raw'!$P$4:$P$8000,'Timesheet Raw'!$B$4:$B$8000,TRIM($A455),'Timesheet Raw'!$C$4:$C$8000,"*"&amp;$B455&amp;"*",'Timesheet Raw'!$L$4:$L$8000,"&gt;="&amp;K$5,'Timesheet Raw'!$L$4:$L$8000,"&lt;="&amp;K$6)))/'Profit Plan'!$B$5)</f>
        <v/>
      </c>
      <c r="L455" s="122" t="str">
        <f>IF($A455="","",(IF(ISNUMBER(SEARCH("Proposal",$A455)),SUMIFS('Timesheet Raw'!$P$4:$P$8000,'Timesheet Raw'!$A$4:$A$8000,IF(ISNUMBER(SEARCH("Chargable",$A455)),"2-Proposals Chargeable","3-Proposals Regular"),'Timesheet Raw'!$C$4:$C$8000,"*"&amp;$B455&amp;"*",'Timesheet Raw'!$L$4:$L$8000,"&gt;="&amp;MAX(L$5,DATE(2000+VALUE(RIGHT(TRIM($A455),2)),1,1)),'Timesheet Raw'!$L$4:$L$8000,"&lt;="&amp;MIN(L$6,DATE(2000+VALUE(RIGHT(TRIM($A455),2)),12,31))),SUMIFS('Timesheet Raw'!$P$4:$P$8000,'Timesheet Raw'!$B$4:$B$8000,TRIM($A455),'Timesheet Raw'!$C$4:$C$8000,"*"&amp;$B455&amp;"*",'Timesheet Raw'!$L$4:$L$8000,"&gt;="&amp;L$5,'Timesheet Raw'!$L$4:$L$8000,"&lt;="&amp;L$6)))/'Profit Plan'!$B$5)</f>
        <v/>
      </c>
      <c r="M455" s="122" t="str">
        <f>IF($A455="","",(IF(ISNUMBER(SEARCH("Proposal",$A455)),SUMIFS('Timesheet Raw'!$P$4:$P$8000,'Timesheet Raw'!$A$4:$A$8000,IF(ISNUMBER(SEARCH("Chargable",$A455)),"2-Proposals Chargeable","3-Proposals Regular"),'Timesheet Raw'!$C$4:$C$8000,"*"&amp;$B455&amp;"*",'Timesheet Raw'!$L$4:$L$8000,"&gt;="&amp;MAX(M$5,DATE(2000+VALUE(RIGHT(TRIM($A455),2)),1,1)),'Timesheet Raw'!$L$4:$L$8000,"&lt;="&amp;MIN(M$6,DATE(2000+VALUE(RIGHT(TRIM($A455),2)),12,31))),SUMIFS('Timesheet Raw'!$P$4:$P$8000,'Timesheet Raw'!$B$4:$B$8000,TRIM($A455),'Timesheet Raw'!$C$4:$C$8000,"*"&amp;$B455&amp;"*",'Timesheet Raw'!$L$4:$L$8000,"&gt;="&amp;M$5,'Timesheet Raw'!$L$4:$L$8000,"&lt;="&amp;M$6)))/'Profit Plan'!$B$5)</f>
        <v/>
      </c>
      <c r="N455" s="122" t="str">
        <f>IF($A455="","",(IF(ISNUMBER(SEARCH("Proposal",$A455)),SUMIFS('Timesheet Raw'!$P$4:$P$8000,'Timesheet Raw'!$A$4:$A$8000,IF(ISNUMBER(SEARCH("Chargable",$A455)),"2-Proposals Chargeable","3-Proposals Regular"),'Timesheet Raw'!$C$4:$C$8000,"*"&amp;$B455&amp;"*",'Timesheet Raw'!$L$4:$L$8000,"&gt;="&amp;MAX(N$5,DATE(2000+VALUE(RIGHT(TRIM($A455),2)),1,1)),'Timesheet Raw'!$L$4:$L$8000,"&lt;="&amp;MIN(N$6,DATE(2000+VALUE(RIGHT(TRIM($A455),2)),12,31))),SUMIFS('Timesheet Raw'!$P$4:$P$8000,'Timesheet Raw'!$B$4:$B$8000,TRIM($A455),'Timesheet Raw'!$C$4:$C$8000,"*"&amp;$B455&amp;"*",'Timesheet Raw'!$L$4:$L$8000,"&gt;="&amp;N$5,'Timesheet Raw'!$L$4:$L$8000,"&lt;="&amp;N$6)))/'Profit Plan'!$B$5)</f>
        <v/>
      </c>
      <c r="O455" s="122" t="str">
        <f>IF($A455="","",(IF(ISNUMBER(SEARCH("Proposal",$A455)),SUMIFS('Timesheet Raw'!$P$4:$P$8000,'Timesheet Raw'!$A$4:$A$8000,IF(ISNUMBER(SEARCH("Chargable",$A455)),"2-Proposals Chargeable","3-Proposals Regular"),'Timesheet Raw'!$C$4:$C$8000,"*"&amp;$B455&amp;"*",'Timesheet Raw'!$L$4:$L$8000,"&gt;="&amp;MAX(O$5,DATE(2000+VALUE(RIGHT(TRIM($A455),2)),1,1)),'Timesheet Raw'!$L$4:$L$8000,"&lt;="&amp;MIN(O$6,DATE(2000+VALUE(RIGHT(TRIM($A455),2)),12,31))),SUMIFS('Timesheet Raw'!$P$4:$P$8000,'Timesheet Raw'!$B$4:$B$8000,TRIM($A455),'Timesheet Raw'!$C$4:$C$8000,"*"&amp;$B455&amp;"*",'Timesheet Raw'!$L$4:$L$8000,"&gt;="&amp;O$5,'Timesheet Raw'!$L$4:$L$8000,"&lt;="&amp;O$6)))/'Profit Plan'!$B$5)</f>
        <v/>
      </c>
      <c r="P455" s="122" t="str">
        <f>IF($A455="","",(IF(ISNUMBER(SEARCH("Proposal",$A455)),SUMIFS('Timesheet Raw'!$P$4:$P$8000,'Timesheet Raw'!$A$4:$A$8000,IF(ISNUMBER(SEARCH("Chargable",$A455)),"2-Proposals Chargeable","3-Proposals Regular"),'Timesheet Raw'!$C$4:$C$8000,"*"&amp;$B455&amp;"*",'Timesheet Raw'!$L$4:$L$8000,"&gt;="&amp;MAX(P$5,DATE(2000+VALUE(RIGHT(TRIM($A455),2)),1,1)),'Timesheet Raw'!$L$4:$L$8000,"&lt;="&amp;MIN(P$6,DATE(2000+VALUE(RIGHT(TRIM($A455),2)),12,31))),SUMIFS('Timesheet Raw'!$P$4:$P$8000,'Timesheet Raw'!$B$4:$B$8000,TRIM($A455),'Timesheet Raw'!$C$4:$C$8000,"*"&amp;$B455&amp;"*",'Timesheet Raw'!$L$4:$L$8000,"&gt;="&amp;P$5,'Timesheet Raw'!$L$4:$L$8000,"&lt;="&amp;P$6)))/'Profit Plan'!$B$5)</f>
        <v/>
      </c>
      <c r="Q455" s="122" t="str">
        <f>IF($A455="","",(IF(ISNUMBER(SEARCH("Proposal",$A455)),SUMIFS('Timesheet Raw'!$P$4:$P$8000,'Timesheet Raw'!$A$4:$A$8000,IF(ISNUMBER(SEARCH("Chargable",$A455)),"2-Proposals Chargeable","3-Proposals Regular"),'Timesheet Raw'!$C$4:$C$8000,"*"&amp;$B455&amp;"*",'Timesheet Raw'!$L$4:$L$8000,"&gt;="&amp;MAX(Q$5,DATE(2000+VALUE(RIGHT(TRIM($A455),2)),1,1)),'Timesheet Raw'!$L$4:$L$8000,"&lt;="&amp;MIN(Q$6,DATE(2000+VALUE(RIGHT(TRIM($A455),2)),12,31))),SUMIFS('Timesheet Raw'!$P$4:$P$8000,'Timesheet Raw'!$B$4:$B$8000,TRIM($A455),'Timesheet Raw'!$C$4:$C$8000,"*"&amp;$B455&amp;"*",'Timesheet Raw'!$L$4:$L$8000,"&gt;="&amp;Q$5,'Timesheet Raw'!$L$4:$L$8000,"&lt;="&amp;Q$6)))/'Profit Plan'!$B$5)</f>
        <v/>
      </c>
      <c r="R455" s="122" t="str">
        <f>IF($A455="","",(IF(ISNUMBER(SEARCH("Proposal",$A455)),SUMIFS('Timesheet Raw'!$P$4:$P$8000,'Timesheet Raw'!$A$4:$A$8000,IF(ISNUMBER(SEARCH("Chargable",$A455)),"2-Proposals Chargeable","3-Proposals Regular"),'Timesheet Raw'!$C$4:$C$8000,"*"&amp;$B455&amp;"*",'Timesheet Raw'!$L$4:$L$8000,"&gt;="&amp;MAX(R$5,DATE(2000+VALUE(RIGHT(TRIM($A455),2)),1,1)),'Timesheet Raw'!$L$4:$L$8000,"&lt;="&amp;MIN(R$6,DATE(2000+VALUE(RIGHT(TRIM($A455),2)),12,31))),SUMIFS('Timesheet Raw'!$P$4:$P$8000,'Timesheet Raw'!$B$4:$B$8000,TRIM($A455),'Timesheet Raw'!$C$4:$C$8000,"*"&amp;$B455&amp;"*",'Timesheet Raw'!$L$4:$L$8000,"&gt;="&amp;R$5,'Timesheet Raw'!$L$4:$L$8000,"&lt;="&amp;R$6)))/'Profit Plan'!$B$5)</f>
        <v/>
      </c>
      <c r="S455" s="122" t="str">
        <f>IF($A455="","",(IF(ISNUMBER(SEARCH("Proposal",$A455)),SUMIFS('Timesheet Raw'!$P$4:$P$8000,'Timesheet Raw'!$A$4:$A$8000,IF(ISNUMBER(SEARCH("Chargable",$A455)),"2-Proposals Chargeable","3-Proposals Regular"),'Timesheet Raw'!$C$4:$C$8000,"*"&amp;$B455&amp;"*",'Timesheet Raw'!$L$4:$L$8000,"&gt;="&amp;MAX(S$5,DATE(2000+VALUE(RIGHT(TRIM($A455),2)),1,1)),'Timesheet Raw'!$L$4:$L$8000,"&lt;="&amp;MIN(S$6,DATE(2000+VALUE(RIGHT(TRIM($A455),2)),12,31))),SUMIFS('Timesheet Raw'!$P$4:$P$8000,'Timesheet Raw'!$B$4:$B$8000,TRIM($A455),'Timesheet Raw'!$C$4:$C$8000,"*"&amp;$B455&amp;"*",'Timesheet Raw'!$L$4:$L$8000,"&gt;="&amp;S$5,'Timesheet Raw'!$L$4:$L$8000,"&lt;="&amp;S$6)))/'Profit Plan'!$B$5)</f>
        <v/>
      </c>
      <c r="T455" s="122" t="str">
        <f>IF($A455="","",(IF(ISNUMBER(SEARCH("Proposal",$A455)),SUMIFS('Timesheet Raw'!$P$4:$P$8000,'Timesheet Raw'!$A$4:$A$8000,IF(ISNUMBER(SEARCH("Chargable",$A455)),"2-Proposals Chargeable","3-Proposals Regular"),'Timesheet Raw'!$C$4:$C$8000,"*"&amp;$B455&amp;"*",'Timesheet Raw'!$L$4:$L$8000,"&gt;="&amp;MAX(T$5,DATE(2000+VALUE(RIGHT(TRIM($A455),2)),1,1)),'Timesheet Raw'!$L$4:$L$8000,"&lt;="&amp;MIN(T$6,DATE(2000+VALUE(RIGHT(TRIM($A455),2)),12,31))),SUMIFS('Timesheet Raw'!$P$4:$P$8000,'Timesheet Raw'!$B$4:$B$8000,TRIM($A455),'Timesheet Raw'!$C$4:$C$8000,"*"&amp;$B455&amp;"*",'Timesheet Raw'!$L$4:$L$8000,"&gt;="&amp;T$5,'Timesheet Raw'!$L$4:$L$8000,"&lt;="&amp;T$6)))/'Profit Plan'!$B$5)</f>
        <v/>
      </c>
      <c r="U455" s="122" t="str">
        <f>IF($A455="","",(IF(ISNUMBER(SEARCH("Proposal",$A455)),SUMIFS('Timesheet Raw'!$P$4:$P$8000,'Timesheet Raw'!$A$4:$A$8000,IF(ISNUMBER(SEARCH("Chargable",$A455)),"2-Proposals Chargeable","3-Proposals Regular"),'Timesheet Raw'!$C$4:$C$8000,"*"&amp;$B455&amp;"*",'Timesheet Raw'!$L$4:$L$8000,"&gt;="&amp;MAX(U$5,DATE(2000+VALUE(RIGHT(TRIM($A455),2)),1,1)),'Timesheet Raw'!$L$4:$L$8000,"&lt;="&amp;MIN(U$6,DATE(2000+VALUE(RIGHT(TRIM($A455),2)),12,31))),SUMIFS('Timesheet Raw'!$P$4:$P$8000,'Timesheet Raw'!$B$4:$B$8000,TRIM($A455),'Timesheet Raw'!$C$4:$C$8000,"*"&amp;$B455&amp;"*",'Timesheet Raw'!$L$4:$L$8000,"&gt;="&amp;U$5,'Timesheet Raw'!$L$4:$L$8000,"&lt;="&amp;U$6)))/'Profit Plan'!$B$5)</f>
        <v/>
      </c>
      <c r="V455" s="122" t="str">
        <f>IF($A455="","",(IF(ISNUMBER(SEARCH("Proposal",$A455)),SUMIFS('Timesheet Raw'!$P$4:$P$8000,'Timesheet Raw'!$A$4:$A$8000,IF(ISNUMBER(SEARCH("Chargable",$A455)),"2-Proposals Chargeable","3-Proposals Regular"),'Timesheet Raw'!$C$4:$C$8000,"*"&amp;$B455&amp;"*",'Timesheet Raw'!$L$4:$L$8000,"&gt;="&amp;MAX(V$5,DATE(2000+VALUE(RIGHT(TRIM($A455),2)),1,1)),'Timesheet Raw'!$L$4:$L$8000,"&lt;="&amp;MIN(V$6,DATE(2000+VALUE(RIGHT(TRIM($A455),2)),12,31))),SUMIFS('Timesheet Raw'!$P$4:$P$8000,'Timesheet Raw'!$B$4:$B$8000,TRIM($A455),'Timesheet Raw'!$C$4:$C$8000,"*"&amp;$B455&amp;"*",'Timesheet Raw'!$L$4:$L$8000,"&gt;="&amp;V$5,'Timesheet Raw'!$L$4:$L$8000,"&lt;="&amp;V$6)))/'Profit Plan'!$B$5)</f>
        <v/>
      </c>
      <c r="W455" s="122" t="str">
        <f>IF($A455="","",(IF(ISNUMBER(SEARCH("Proposal",$A455)),SUMIFS('Timesheet Raw'!$P$4:$P$8000,'Timesheet Raw'!$A$4:$A$8000,IF(ISNUMBER(SEARCH("Chargable",$A455)),"2-Proposals Chargeable","3-Proposals Regular"),'Timesheet Raw'!$C$4:$C$8000,"*"&amp;$B455&amp;"*",'Timesheet Raw'!$L$4:$L$8000,"&gt;="&amp;MAX(W$5,DATE(2000+VALUE(RIGHT(TRIM($A455),2)),1,1)),'Timesheet Raw'!$L$4:$L$8000,"&lt;="&amp;MIN(W$6,DATE(2000+VALUE(RIGHT(TRIM($A455),2)),12,31))),SUMIFS('Timesheet Raw'!$P$4:$P$8000,'Timesheet Raw'!$B$4:$B$8000,TRIM($A455),'Timesheet Raw'!$C$4:$C$8000,"*"&amp;$B455&amp;"*",'Timesheet Raw'!$L$4:$L$8000,"&gt;="&amp;W$5,'Timesheet Raw'!$L$4:$L$8000,"&lt;="&amp;W$6)))/'Profit Plan'!$B$5)</f>
        <v/>
      </c>
      <c r="X455" s="122" t="str">
        <f>IF($A455="","",(IF(ISNUMBER(SEARCH("Proposal",$A455)),SUMIFS('Timesheet Raw'!$P$4:$P$8000,'Timesheet Raw'!$A$4:$A$8000,IF(ISNUMBER(SEARCH("Chargable",$A455)),"2-Proposals Chargeable","3-Proposals Regular"),'Timesheet Raw'!$C$4:$C$8000,"*"&amp;$B455&amp;"*",'Timesheet Raw'!$L$4:$L$8000,"&gt;="&amp;MAX(X$5,DATE(2000+VALUE(RIGHT(TRIM($A455),2)),1,1)),'Timesheet Raw'!$L$4:$L$8000,"&lt;="&amp;MIN(X$6,DATE(2000+VALUE(RIGHT(TRIM($A455),2)),12,31))),SUMIFS('Timesheet Raw'!$P$4:$P$8000,'Timesheet Raw'!$B$4:$B$8000,TRIM($A455),'Timesheet Raw'!$C$4:$C$8000,"*"&amp;$B455&amp;"*",'Timesheet Raw'!$L$4:$L$8000,"&gt;="&amp;X$5,'Timesheet Raw'!$L$4:$L$8000,"&lt;="&amp;X$6)))/'Profit Plan'!$B$5)</f>
        <v/>
      </c>
      <c r="Y455" s="118">
        <f t="shared" si="102"/>
        <v>0</v>
      </c>
    </row>
    <row r="456" spans="1:25" x14ac:dyDescent="0.3">
      <c r="A456" s="116" t="str">
        <f>IF(Inputs!$A69="","",Inputs!$A69)</f>
        <v/>
      </c>
      <c r="B456" s="116" t="str">
        <f>IF(Inputs!$A69="","",Inputs!$A$93)</f>
        <v/>
      </c>
      <c r="C456" s="116"/>
      <c r="D456" s="122" t="str">
        <f>IF($A456="","",(IF(ISNUMBER(SEARCH("Proposal",$A456)),SUMIFS('Timesheet Raw'!$P$4:$P$8000,'Timesheet Raw'!$A$4:$A$8000,IF(ISNUMBER(SEARCH("Chargable",$A456)),"2-Proposals Chargeable","3-Proposals Regular"),'Timesheet Raw'!$C$4:$C$8000,"*"&amp;$B456&amp;"*",'Timesheet Raw'!$L$4:$L$8000,"&gt;="&amp;MAX(D$5,DATE(2000+VALUE(RIGHT(TRIM($A456),2)),1,1)),'Timesheet Raw'!$L$4:$L$8000,"&lt;="&amp;MIN(D$6,DATE(2000+VALUE(RIGHT(TRIM($A456),2)),12,31))),SUMIFS('Timesheet Raw'!$P$4:$P$8000,'Timesheet Raw'!$B$4:$B$8000,TRIM($A456),'Timesheet Raw'!$C$4:$C$8000,"*"&amp;$B456&amp;"*",'Timesheet Raw'!$L$4:$L$8000,"&gt;="&amp;D$5,'Timesheet Raw'!$L$4:$L$8000,"&lt;="&amp;D$6)))/'Profit Plan'!$B$5)</f>
        <v/>
      </c>
      <c r="E456" s="122" t="str">
        <f>IF($A456="","",(IF(ISNUMBER(SEARCH("Proposal",$A456)),SUMIFS('Timesheet Raw'!$P$4:$P$8000,'Timesheet Raw'!$A$4:$A$8000,IF(ISNUMBER(SEARCH("Chargable",$A456)),"2-Proposals Chargeable","3-Proposals Regular"),'Timesheet Raw'!$C$4:$C$8000,"*"&amp;$B456&amp;"*",'Timesheet Raw'!$L$4:$L$8000,"&gt;="&amp;MAX(E$5,DATE(2000+VALUE(RIGHT(TRIM($A456),2)),1,1)),'Timesheet Raw'!$L$4:$L$8000,"&lt;="&amp;MIN(E$6,DATE(2000+VALUE(RIGHT(TRIM($A456),2)),12,31))),SUMIFS('Timesheet Raw'!$P$4:$P$8000,'Timesheet Raw'!$B$4:$B$8000,TRIM($A456),'Timesheet Raw'!$C$4:$C$8000,"*"&amp;$B456&amp;"*",'Timesheet Raw'!$L$4:$L$8000,"&gt;="&amp;E$5,'Timesheet Raw'!$L$4:$L$8000,"&lt;="&amp;E$6)))/'Profit Plan'!$B$5)</f>
        <v/>
      </c>
      <c r="F456" s="122" t="str">
        <f>IF($A456="","",(IF(ISNUMBER(SEARCH("Proposal",$A456)),SUMIFS('Timesheet Raw'!$P$4:$P$8000,'Timesheet Raw'!$A$4:$A$8000,IF(ISNUMBER(SEARCH("Chargable",$A456)),"2-Proposals Chargeable","3-Proposals Regular"),'Timesheet Raw'!$C$4:$C$8000,"*"&amp;$B456&amp;"*",'Timesheet Raw'!$L$4:$L$8000,"&gt;="&amp;MAX(F$5,DATE(2000+VALUE(RIGHT(TRIM($A456),2)),1,1)),'Timesheet Raw'!$L$4:$L$8000,"&lt;="&amp;MIN(F$6,DATE(2000+VALUE(RIGHT(TRIM($A456),2)),12,31))),SUMIFS('Timesheet Raw'!$P$4:$P$8000,'Timesheet Raw'!$B$4:$B$8000,TRIM($A456),'Timesheet Raw'!$C$4:$C$8000,"*"&amp;$B456&amp;"*",'Timesheet Raw'!$L$4:$L$8000,"&gt;="&amp;F$5,'Timesheet Raw'!$L$4:$L$8000,"&lt;="&amp;F$6)))/'Profit Plan'!$B$5)</f>
        <v/>
      </c>
      <c r="G456" s="122" t="str">
        <f>IF($A456="","",(IF(ISNUMBER(SEARCH("Proposal",$A456)),SUMIFS('Timesheet Raw'!$P$4:$P$8000,'Timesheet Raw'!$A$4:$A$8000,IF(ISNUMBER(SEARCH("Chargable",$A456)),"2-Proposals Chargeable","3-Proposals Regular"),'Timesheet Raw'!$C$4:$C$8000,"*"&amp;$B456&amp;"*",'Timesheet Raw'!$L$4:$L$8000,"&gt;="&amp;MAX(G$5,DATE(2000+VALUE(RIGHT(TRIM($A456),2)),1,1)),'Timesheet Raw'!$L$4:$L$8000,"&lt;="&amp;MIN(G$6,DATE(2000+VALUE(RIGHT(TRIM($A456),2)),12,31))),SUMIFS('Timesheet Raw'!$P$4:$P$8000,'Timesheet Raw'!$B$4:$B$8000,TRIM($A456),'Timesheet Raw'!$C$4:$C$8000,"*"&amp;$B456&amp;"*",'Timesheet Raw'!$L$4:$L$8000,"&gt;="&amp;G$5,'Timesheet Raw'!$L$4:$L$8000,"&lt;="&amp;G$6)))/'Profit Plan'!$B$5)</f>
        <v/>
      </c>
      <c r="H456" s="122" t="str">
        <f>IF($A456="","",(IF(ISNUMBER(SEARCH("Proposal",$A456)),SUMIFS('Timesheet Raw'!$P$4:$P$8000,'Timesheet Raw'!$A$4:$A$8000,IF(ISNUMBER(SEARCH("Chargable",$A456)),"2-Proposals Chargeable","3-Proposals Regular"),'Timesheet Raw'!$C$4:$C$8000,"*"&amp;$B456&amp;"*",'Timesheet Raw'!$L$4:$L$8000,"&gt;="&amp;MAX(H$5,DATE(2000+VALUE(RIGHT(TRIM($A456),2)),1,1)),'Timesheet Raw'!$L$4:$L$8000,"&lt;="&amp;MIN(H$6,DATE(2000+VALUE(RIGHT(TRIM($A456),2)),12,31))),SUMIFS('Timesheet Raw'!$P$4:$P$8000,'Timesheet Raw'!$B$4:$B$8000,TRIM($A456),'Timesheet Raw'!$C$4:$C$8000,"*"&amp;$B456&amp;"*",'Timesheet Raw'!$L$4:$L$8000,"&gt;="&amp;H$5,'Timesheet Raw'!$L$4:$L$8000,"&lt;="&amp;H$6)))/'Profit Plan'!$B$5)</f>
        <v/>
      </c>
      <c r="I456" s="122" t="str">
        <f>IF($A456="","",(IF(ISNUMBER(SEARCH("Proposal",$A456)),SUMIFS('Timesheet Raw'!$P$4:$P$8000,'Timesheet Raw'!$A$4:$A$8000,IF(ISNUMBER(SEARCH("Chargable",$A456)),"2-Proposals Chargeable","3-Proposals Regular"),'Timesheet Raw'!$C$4:$C$8000,"*"&amp;$B456&amp;"*",'Timesheet Raw'!$L$4:$L$8000,"&gt;="&amp;MAX(I$5,DATE(2000+VALUE(RIGHT(TRIM($A456),2)),1,1)),'Timesheet Raw'!$L$4:$L$8000,"&lt;="&amp;MIN(I$6,DATE(2000+VALUE(RIGHT(TRIM($A456),2)),12,31))),SUMIFS('Timesheet Raw'!$P$4:$P$8000,'Timesheet Raw'!$B$4:$B$8000,TRIM($A456),'Timesheet Raw'!$C$4:$C$8000,"*"&amp;$B456&amp;"*",'Timesheet Raw'!$L$4:$L$8000,"&gt;="&amp;I$5,'Timesheet Raw'!$L$4:$L$8000,"&lt;="&amp;I$6)))/'Profit Plan'!$B$5)</f>
        <v/>
      </c>
      <c r="J456" s="122" t="str">
        <f>IF($A456="","",(IF(ISNUMBER(SEARCH("Proposal",$A456)),SUMIFS('Timesheet Raw'!$P$4:$P$8000,'Timesheet Raw'!$A$4:$A$8000,IF(ISNUMBER(SEARCH("Chargable",$A456)),"2-Proposals Chargeable","3-Proposals Regular"),'Timesheet Raw'!$C$4:$C$8000,"*"&amp;$B456&amp;"*",'Timesheet Raw'!$L$4:$L$8000,"&gt;="&amp;MAX(J$5,DATE(2000+VALUE(RIGHT(TRIM($A456),2)),1,1)),'Timesheet Raw'!$L$4:$L$8000,"&lt;="&amp;MIN(J$6,DATE(2000+VALUE(RIGHT(TRIM($A456),2)),12,31))),SUMIFS('Timesheet Raw'!$P$4:$P$8000,'Timesheet Raw'!$B$4:$B$8000,TRIM($A456),'Timesheet Raw'!$C$4:$C$8000,"*"&amp;$B456&amp;"*",'Timesheet Raw'!$L$4:$L$8000,"&gt;="&amp;J$5,'Timesheet Raw'!$L$4:$L$8000,"&lt;="&amp;J$6)))/'Profit Plan'!$B$5)</f>
        <v/>
      </c>
      <c r="K456" s="122" t="str">
        <f>IF($A456="","",(IF(ISNUMBER(SEARCH("Proposal",$A456)),SUMIFS('Timesheet Raw'!$P$4:$P$8000,'Timesheet Raw'!$A$4:$A$8000,IF(ISNUMBER(SEARCH("Chargable",$A456)),"2-Proposals Chargeable","3-Proposals Regular"),'Timesheet Raw'!$C$4:$C$8000,"*"&amp;$B456&amp;"*",'Timesheet Raw'!$L$4:$L$8000,"&gt;="&amp;MAX(K$5,DATE(2000+VALUE(RIGHT(TRIM($A456),2)),1,1)),'Timesheet Raw'!$L$4:$L$8000,"&lt;="&amp;MIN(K$6,DATE(2000+VALUE(RIGHT(TRIM($A456),2)),12,31))),SUMIFS('Timesheet Raw'!$P$4:$P$8000,'Timesheet Raw'!$B$4:$B$8000,TRIM($A456),'Timesheet Raw'!$C$4:$C$8000,"*"&amp;$B456&amp;"*",'Timesheet Raw'!$L$4:$L$8000,"&gt;="&amp;K$5,'Timesheet Raw'!$L$4:$L$8000,"&lt;="&amp;K$6)))/'Profit Plan'!$B$5)</f>
        <v/>
      </c>
      <c r="L456" s="122" t="str">
        <f>IF($A456="","",(IF(ISNUMBER(SEARCH("Proposal",$A456)),SUMIFS('Timesheet Raw'!$P$4:$P$8000,'Timesheet Raw'!$A$4:$A$8000,IF(ISNUMBER(SEARCH("Chargable",$A456)),"2-Proposals Chargeable","3-Proposals Regular"),'Timesheet Raw'!$C$4:$C$8000,"*"&amp;$B456&amp;"*",'Timesheet Raw'!$L$4:$L$8000,"&gt;="&amp;MAX(L$5,DATE(2000+VALUE(RIGHT(TRIM($A456),2)),1,1)),'Timesheet Raw'!$L$4:$L$8000,"&lt;="&amp;MIN(L$6,DATE(2000+VALUE(RIGHT(TRIM($A456),2)),12,31))),SUMIFS('Timesheet Raw'!$P$4:$P$8000,'Timesheet Raw'!$B$4:$B$8000,TRIM($A456),'Timesheet Raw'!$C$4:$C$8000,"*"&amp;$B456&amp;"*",'Timesheet Raw'!$L$4:$L$8000,"&gt;="&amp;L$5,'Timesheet Raw'!$L$4:$L$8000,"&lt;="&amp;L$6)))/'Profit Plan'!$B$5)</f>
        <v/>
      </c>
      <c r="M456" s="122" t="str">
        <f>IF($A456="","",(IF(ISNUMBER(SEARCH("Proposal",$A456)),SUMIFS('Timesheet Raw'!$P$4:$P$8000,'Timesheet Raw'!$A$4:$A$8000,IF(ISNUMBER(SEARCH("Chargable",$A456)),"2-Proposals Chargeable","3-Proposals Regular"),'Timesheet Raw'!$C$4:$C$8000,"*"&amp;$B456&amp;"*",'Timesheet Raw'!$L$4:$L$8000,"&gt;="&amp;MAX(M$5,DATE(2000+VALUE(RIGHT(TRIM($A456),2)),1,1)),'Timesheet Raw'!$L$4:$L$8000,"&lt;="&amp;MIN(M$6,DATE(2000+VALUE(RIGHT(TRIM($A456),2)),12,31))),SUMIFS('Timesheet Raw'!$P$4:$P$8000,'Timesheet Raw'!$B$4:$B$8000,TRIM($A456),'Timesheet Raw'!$C$4:$C$8000,"*"&amp;$B456&amp;"*",'Timesheet Raw'!$L$4:$L$8000,"&gt;="&amp;M$5,'Timesheet Raw'!$L$4:$L$8000,"&lt;="&amp;M$6)))/'Profit Plan'!$B$5)</f>
        <v/>
      </c>
      <c r="N456" s="122" t="str">
        <f>IF($A456="","",(IF(ISNUMBER(SEARCH("Proposal",$A456)),SUMIFS('Timesheet Raw'!$P$4:$P$8000,'Timesheet Raw'!$A$4:$A$8000,IF(ISNUMBER(SEARCH("Chargable",$A456)),"2-Proposals Chargeable","3-Proposals Regular"),'Timesheet Raw'!$C$4:$C$8000,"*"&amp;$B456&amp;"*",'Timesheet Raw'!$L$4:$L$8000,"&gt;="&amp;MAX(N$5,DATE(2000+VALUE(RIGHT(TRIM($A456),2)),1,1)),'Timesheet Raw'!$L$4:$L$8000,"&lt;="&amp;MIN(N$6,DATE(2000+VALUE(RIGHT(TRIM($A456),2)),12,31))),SUMIFS('Timesheet Raw'!$P$4:$P$8000,'Timesheet Raw'!$B$4:$B$8000,TRIM($A456),'Timesheet Raw'!$C$4:$C$8000,"*"&amp;$B456&amp;"*",'Timesheet Raw'!$L$4:$L$8000,"&gt;="&amp;N$5,'Timesheet Raw'!$L$4:$L$8000,"&lt;="&amp;N$6)))/'Profit Plan'!$B$5)</f>
        <v/>
      </c>
      <c r="O456" s="122" t="str">
        <f>IF($A456="","",(IF(ISNUMBER(SEARCH("Proposal",$A456)),SUMIFS('Timesheet Raw'!$P$4:$P$8000,'Timesheet Raw'!$A$4:$A$8000,IF(ISNUMBER(SEARCH("Chargable",$A456)),"2-Proposals Chargeable","3-Proposals Regular"),'Timesheet Raw'!$C$4:$C$8000,"*"&amp;$B456&amp;"*",'Timesheet Raw'!$L$4:$L$8000,"&gt;="&amp;MAX(O$5,DATE(2000+VALUE(RIGHT(TRIM($A456),2)),1,1)),'Timesheet Raw'!$L$4:$L$8000,"&lt;="&amp;MIN(O$6,DATE(2000+VALUE(RIGHT(TRIM($A456),2)),12,31))),SUMIFS('Timesheet Raw'!$P$4:$P$8000,'Timesheet Raw'!$B$4:$B$8000,TRIM($A456),'Timesheet Raw'!$C$4:$C$8000,"*"&amp;$B456&amp;"*",'Timesheet Raw'!$L$4:$L$8000,"&gt;="&amp;O$5,'Timesheet Raw'!$L$4:$L$8000,"&lt;="&amp;O$6)))/'Profit Plan'!$B$5)</f>
        <v/>
      </c>
      <c r="P456" s="122" t="str">
        <f>IF($A456="","",(IF(ISNUMBER(SEARCH("Proposal",$A456)),SUMIFS('Timesheet Raw'!$P$4:$P$8000,'Timesheet Raw'!$A$4:$A$8000,IF(ISNUMBER(SEARCH("Chargable",$A456)),"2-Proposals Chargeable","3-Proposals Regular"),'Timesheet Raw'!$C$4:$C$8000,"*"&amp;$B456&amp;"*",'Timesheet Raw'!$L$4:$L$8000,"&gt;="&amp;MAX(P$5,DATE(2000+VALUE(RIGHT(TRIM($A456),2)),1,1)),'Timesheet Raw'!$L$4:$L$8000,"&lt;="&amp;MIN(P$6,DATE(2000+VALUE(RIGHT(TRIM($A456),2)),12,31))),SUMIFS('Timesheet Raw'!$P$4:$P$8000,'Timesheet Raw'!$B$4:$B$8000,TRIM($A456),'Timesheet Raw'!$C$4:$C$8000,"*"&amp;$B456&amp;"*",'Timesheet Raw'!$L$4:$L$8000,"&gt;="&amp;P$5,'Timesheet Raw'!$L$4:$L$8000,"&lt;="&amp;P$6)))/'Profit Plan'!$B$5)</f>
        <v/>
      </c>
      <c r="Q456" s="122" t="str">
        <f>IF($A456="","",(IF(ISNUMBER(SEARCH("Proposal",$A456)),SUMIFS('Timesheet Raw'!$P$4:$P$8000,'Timesheet Raw'!$A$4:$A$8000,IF(ISNUMBER(SEARCH("Chargable",$A456)),"2-Proposals Chargeable","3-Proposals Regular"),'Timesheet Raw'!$C$4:$C$8000,"*"&amp;$B456&amp;"*",'Timesheet Raw'!$L$4:$L$8000,"&gt;="&amp;MAX(Q$5,DATE(2000+VALUE(RIGHT(TRIM($A456),2)),1,1)),'Timesheet Raw'!$L$4:$L$8000,"&lt;="&amp;MIN(Q$6,DATE(2000+VALUE(RIGHT(TRIM($A456),2)),12,31))),SUMIFS('Timesheet Raw'!$P$4:$P$8000,'Timesheet Raw'!$B$4:$B$8000,TRIM($A456),'Timesheet Raw'!$C$4:$C$8000,"*"&amp;$B456&amp;"*",'Timesheet Raw'!$L$4:$L$8000,"&gt;="&amp;Q$5,'Timesheet Raw'!$L$4:$L$8000,"&lt;="&amp;Q$6)))/'Profit Plan'!$B$5)</f>
        <v/>
      </c>
      <c r="R456" s="122" t="str">
        <f>IF($A456="","",(IF(ISNUMBER(SEARCH("Proposal",$A456)),SUMIFS('Timesheet Raw'!$P$4:$P$8000,'Timesheet Raw'!$A$4:$A$8000,IF(ISNUMBER(SEARCH("Chargable",$A456)),"2-Proposals Chargeable","3-Proposals Regular"),'Timesheet Raw'!$C$4:$C$8000,"*"&amp;$B456&amp;"*",'Timesheet Raw'!$L$4:$L$8000,"&gt;="&amp;MAX(R$5,DATE(2000+VALUE(RIGHT(TRIM($A456),2)),1,1)),'Timesheet Raw'!$L$4:$L$8000,"&lt;="&amp;MIN(R$6,DATE(2000+VALUE(RIGHT(TRIM($A456),2)),12,31))),SUMIFS('Timesheet Raw'!$P$4:$P$8000,'Timesheet Raw'!$B$4:$B$8000,TRIM($A456),'Timesheet Raw'!$C$4:$C$8000,"*"&amp;$B456&amp;"*",'Timesheet Raw'!$L$4:$L$8000,"&gt;="&amp;R$5,'Timesheet Raw'!$L$4:$L$8000,"&lt;="&amp;R$6)))/'Profit Plan'!$B$5)</f>
        <v/>
      </c>
      <c r="S456" s="122" t="str">
        <f>IF($A456="","",(IF(ISNUMBER(SEARCH("Proposal",$A456)),SUMIFS('Timesheet Raw'!$P$4:$P$8000,'Timesheet Raw'!$A$4:$A$8000,IF(ISNUMBER(SEARCH("Chargable",$A456)),"2-Proposals Chargeable","3-Proposals Regular"),'Timesheet Raw'!$C$4:$C$8000,"*"&amp;$B456&amp;"*",'Timesheet Raw'!$L$4:$L$8000,"&gt;="&amp;MAX(S$5,DATE(2000+VALUE(RIGHT(TRIM($A456),2)),1,1)),'Timesheet Raw'!$L$4:$L$8000,"&lt;="&amp;MIN(S$6,DATE(2000+VALUE(RIGHT(TRIM($A456),2)),12,31))),SUMIFS('Timesheet Raw'!$P$4:$P$8000,'Timesheet Raw'!$B$4:$B$8000,TRIM($A456),'Timesheet Raw'!$C$4:$C$8000,"*"&amp;$B456&amp;"*",'Timesheet Raw'!$L$4:$L$8000,"&gt;="&amp;S$5,'Timesheet Raw'!$L$4:$L$8000,"&lt;="&amp;S$6)))/'Profit Plan'!$B$5)</f>
        <v/>
      </c>
      <c r="T456" s="122" t="str">
        <f>IF($A456="","",(IF(ISNUMBER(SEARCH("Proposal",$A456)),SUMIFS('Timesheet Raw'!$P$4:$P$8000,'Timesheet Raw'!$A$4:$A$8000,IF(ISNUMBER(SEARCH("Chargable",$A456)),"2-Proposals Chargeable","3-Proposals Regular"),'Timesheet Raw'!$C$4:$C$8000,"*"&amp;$B456&amp;"*",'Timesheet Raw'!$L$4:$L$8000,"&gt;="&amp;MAX(T$5,DATE(2000+VALUE(RIGHT(TRIM($A456),2)),1,1)),'Timesheet Raw'!$L$4:$L$8000,"&lt;="&amp;MIN(T$6,DATE(2000+VALUE(RIGHT(TRIM($A456),2)),12,31))),SUMIFS('Timesheet Raw'!$P$4:$P$8000,'Timesheet Raw'!$B$4:$B$8000,TRIM($A456),'Timesheet Raw'!$C$4:$C$8000,"*"&amp;$B456&amp;"*",'Timesheet Raw'!$L$4:$L$8000,"&gt;="&amp;T$5,'Timesheet Raw'!$L$4:$L$8000,"&lt;="&amp;T$6)))/'Profit Plan'!$B$5)</f>
        <v/>
      </c>
      <c r="U456" s="122" t="str">
        <f>IF($A456="","",(IF(ISNUMBER(SEARCH("Proposal",$A456)),SUMIFS('Timesheet Raw'!$P$4:$P$8000,'Timesheet Raw'!$A$4:$A$8000,IF(ISNUMBER(SEARCH("Chargable",$A456)),"2-Proposals Chargeable","3-Proposals Regular"),'Timesheet Raw'!$C$4:$C$8000,"*"&amp;$B456&amp;"*",'Timesheet Raw'!$L$4:$L$8000,"&gt;="&amp;MAX(U$5,DATE(2000+VALUE(RIGHT(TRIM($A456),2)),1,1)),'Timesheet Raw'!$L$4:$L$8000,"&lt;="&amp;MIN(U$6,DATE(2000+VALUE(RIGHT(TRIM($A456),2)),12,31))),SUMIFS('Timesheet Raw'!$P$4:$P$8000,'Timesheet Raw'!$B$4:$B$8000,TRIM($A456),'Timesheet Raw'!$C$4:$C$8000,"*"&amp;$B456&amp;"*",'Timesheet Raw'!$L$4:$L$8000,"&gt;="&amp;U$5,'Timesheet Raw'!$L$4:$L$8000,"&lt;="&amp;U$6)))/'Profit Plan'!$B$5)</f>
        <v/>
      </c>
      <c r="V456" s="122" t="str">
        <f>IF($A456="","",(IF(ISNUMBER(SEARCH("Proposal",$A456)),SUMIFS('Timesheet Raw'!$P$4:$P$8000,'Timesheet Raw'!$A$4:$A$8000,IF(ISNUMBER(SEARCH("Chargable",$A456)),"2-Proposals Chargeable","3-Proposals Regular"),'Timesheet Raw'!$C$4:$C$8000,"*"&amp;$B456&amp;"*",'Timesheet Raw'!$L$4:$L$8000,"&gt;="&amp;MAX(V$5,DATE(2000+VALUE(RIGHT(TRIM($A456),2)),1,1)),'Timesheet Raw'!$L$4:$L$8000,"&lt;="&amp;MIN(V$6,DATE(2000+VALUE(RIGHT(TRIM($A456),2)),12,31))),SUMIFS('Timesheet Raw'!$P$4:$P$8000,'Timesheet Raw'!$B$4:$B$8000,TRIM($A456),'Timesheet Raw'!$C$4:$C$8000,"*"&amp;$B456&amp;"*",'Timesheet Raw'!$L$4:$L$8000,"&gt;="&amp;V$5,'Timesheet Raw'!$L$4:$L$8000,"&lt;="&amp;V$6)))/'Profit Plan'!$B$5)</f>
        <v/>
      </c>
      <c r="W456" s="122" t="str">
        <f>IF($A456="","",(IF(ISNUMBER(SEARCH("Proposal",$A456)),SUMIFS('Timesheet Raw'!$P$4:$P$8000,'Timesheet Raw'!$A$4:$A$8000,IF(ISNUMBER(SEARCH("Chargable",$A456)),"2-Proposals Chargeable","3-Proposals Regular"),'Timesheet Raw'!$C$4:$C$8000,"*"&amp;$B456&amp;"*",'Timesheet Raw'!$L$4:$L$8000,"&gt;="&amp;MAX(W$5,DATE(2000+VALUE(RIGHT(TRIM($A456),2)),1,1)),'Timesheet Raw'!$L$4:$L$8000,"&lt;="&amp;MIN(W$6,DATE(2000+VALUE(RIGHT(TRIM($A456),2)),12,31))),SUMIFS('Timesheet Raw'!$P$4:$P$8000,'Timesheet Raw'!$B$4:$B$8000,TRIM($A456),'Timesheet Raw'!$C$4:$C$8000,"*"&amp;$B456&amp;"*",'Timesheet Raw'!$L$4:$L$8000,"&gt;="&amp;W$5,'Timesheet Raw'!$L$4:$L$8000,"&lt;="&amp;W$6)))/'Profit Plan'!$B$5)</f>
        <v/>
      </c>
      <c r="X456" s="122" t="str">
        <f>IF($A456="","",(IF(ISNUMBER(SEARCH("Proposal",$A456)),SUMIFS('Timesheet Raw'!$P$4:$P$8000,'Timesheet Raw'!$A$4:$A$8000,IF(ISNUMBER(SEARCH("Chargable",$A456)),"2-Proposals Chargeable","3-Proposals Regular"),'Timesheet Raw'!$C$4:$C$8000,"*"&amp;$B456&amp;"*",'Timesheet Raw'!$L$4:$L$8000,"&gt;="&amp;MAX(X$5,DATE(2000+VALUE(RIGHT(TRIM($A456),2)),1,1)),'Timesheet Raw'!$L$4:$L$8000,"&lt;="&amp;MIN(X$6,DATE(2000+VALUE(RIGHT(TRIM($A456),2)),12,31))),SUMIFS('Timesheet Raw'!$P$4:$P$8000,'Timesheet Raw'!$B$4:$B$8000,TRIM($A456),'Timesheet Raw'!$C$4:$C$8000,"*"&amp;$B456&amp;"*",'Timesheet Raw'!$L$4:$L$8000,"&gt;="&amp;X$5,'Timesheet Raw'!$L$4:$L$8000,"&lt;="&amp;X$6)))/'Profit Plan'!$B$5)</f>
        <v/>
      </c>
      <c r="Y456" s="118">
        <f t="shared" si="102"/>
        <v>0</v>
      </c>
    </row>
    <row r="457" spans="1:25" x14ac:dyDescent="0.3">
      <c r="A457" s="116" t="str">
        <f>IF(Inputs!$A70="","",Inputs!$A70)</f>
        <v/>
      </c>
      <c r="B457" s="116" t="str">
        <f>IF(Inputs!$A70="","",Inputs!$A$91)</f>
        <v/>
      </c>
      <c r="C457" s="116"/>
      <c r="D457" s="122" t="str">
        <f>IF($A457="","",(IF(ISNUMBER(SEARCH("Proposal",$A457)),SUMIFS('Timesheet Raw'!$P$4:$P$8000,'Timesheet Raw'!$A$4:$A$8000,IF(ISNUMBER(SEARCH("Chargable",$A457)),"2-Proposals Chargeable","3-Proposals Regular"),'Timesheet Raw'!$C$4:$C$8000,"*"&amp;$B457&amp;"*",'Timesheet Raw'!$L$4:$L$8000,"&gt;="&amp;MAX(D$5,DATE(2000+VALUE(RIGHT(TRIM($A457),2)),1,1)),'Timesheet Raw'!$L$4:$L$8000,"&lt;="&amp;MIN(D$6,DATE(2000+VALUE(RIGHT(TRIM($A457),2)),12,31))),SUMIFS('Timesheet Raw'!$P$4:$P$8000,'Timesheet Raw'!$B$4:$B$8000,TRIM($A457),'Timesheet Raw'!$C$4:$C$8000,"*"&amp;$B457&amp;"*",'Timesheet Raw'!$L$4:$L$8000,"&gt;="&amp;D$5,'Timesheet Raw'!$L$4:$L$8000,"&lt;="&amp;D$6)))/'Profit Plan'!$B$5)</f>
        <v/>
      </c>
      <c r="E457" s="122" t="str">
        <f>IF($A457="","",(IF(ISNUMBER(SEARCH("Proposal",$A457)),SUMIFS('Timesheet Raw'!$P$4:$P$8000,'Timesheet Raw'!$A$4:$A$8000,IF(ISNUMBER(SEARCH("Chargable",$A457)),"2-Proposals Chargeable","3-Proposals Regular"),'Timesheet Raw'!$C$4:$C$8000,"*"&amp;$B457&amp;"*",'Timesheet Raw'!$L$4:$L$8000,"&gt;="&amp;MAX(E$5,DATE(2000+VALUE(RIGHT(TRIM($A457),2)),1,1)),'Timesheet Raw'!$L$4:$L$8000,"&lt;="&amp;MIN(E$6,DATE(2000+VALUE(RIGHT(TRIM($A457),2)),12,31))),SUMIFS('Timesheet Raw'!$P$4:$P$8000,'Timesheet Raw'!$B$4:$B$8000,TRIM($A457),'Timesheet Raw'!$C$4:$C$8000,"*"&amp;$B457&amp;"*",'Timesheet Raw'!$L$4:$L$8000,"&gt;="&amp;E$5,'Timesheet Raw'!$L$4:$L$8000,"&lt;="&amp;E$6)))/'Profit Plan'!$B$5)</f>
        <v/>
      </c>
      <c r="F457" s="122" t="str">
        <f>IF($A457="","",(IF(ISNUMBER(SEARCH("Proposal",$A457)),SUMIFS('Timesheet Raw'!$P$4:$P$8000,'Timesheet Raw'!$A$4:$A$8000,IF(ISNUMBER(SEARCH("Chargable",$A457)),"2-Proposals Chargeable","3-Proposals Regular"),'Timesheet Raw'!$C$4:$C$8000,"*"&amp;$B457&amp;"*",'Timesheet Raw'!$L$4:$L$8000,"&gt;="&amp;MAX(F$5,DATE(2000+VALUE(RIGHT(TRIM($A457),2)),1,1)),'Timesheet Raw'!$L$4:$L$8000,"&lt;="&amp;MIN(F$6,DATE(2000+VALUE(RIGHT(TRIM($A457),2)),12,31))),SUMIFS('Timesheet Raw'!$P$4:$P$8000,'Timesheet Raw'!$B$4:$B$8000,TRIM($A457),'Timesheet Raw'!$C$4:$C$8000,"*"&amp;$B457&amp;"*",'Timesheet Raw'!$L$4:$L$8000,"&gt;="&amp;F$5,'Timesheet Raw'!$L$4:$L$8000,"&lt;="&amp;F$6)))/'Profit Plan'!$B$5)</f>
        <v/>
      </c>
      <c r="G457" s="122" t="str">
        <f>IF($A457="","",(IF(ISNUMBER(SEARCH("Proposal",$A457)),SUMIFS('Timesheet Raw'!$P$4:$P$8000,'Timesheet Raw'!$A$4:$A$8000,IF(ISNUMBER(SEARCH("Chargable",$A457)),"2-Proposals Chargeable","3-Proposals Regular"),'Timesheet Raw'!$C$4:$C$8000,"*"&amp;$B457&amp;"*",'Timesheet Raw'!$L$4:$L$8000,"&gt;="&amp;MAX(G$5,DATE(2000+VALUE(RIGHT(TRIM($A457),2)),1,1)),'Timesheet Raw'!$L$4:$L$8000,"&lt;="&amp;MIN(G$6,DATE(2000+VALUE(RIGHT(TRIM($A457),2)),12,31))),SUMIFS('Timesheet Raw'!$P$4:$P$8000,'Timesheet Raw'!$B$4:$B$8000,TRIM($A457),'Timesheet Raw'!$C$4:$C$8000,"*"&amp;$B457&amp;"*",'Timesheet Raw'!$L$4:$L$8000,"&gt;="&amp;G$5,'Timesheet Raw'!$L$4:$L$8000,"&lt;="&amp;G$6)))/'Profit Plan'!$B$5)</f>
        <v/>
      </c>
      <c r="H457" s="122" t="str">
        <f>IF($A457="","",(IF(ISNUMBER(SEARCH("Proposal",$A457)),SUMIFS('Timesheet Raw'!$P$4:$P$8000,'Timesheet Raw'!$A$4:$A$8000,IF(ISNUMBER(SEARCH("Chargable",$A457)),"2-Proposals Chargeable","3-Proposals Regular"),'Timesheet Raw'!$C$4:$C$8000,"*"&amp;$B457&amp;"*",'Timesheet Raw'!$L$4:$L$8000,"&gt;="&amp;MAX(H$5,DATE(2000+VALUE(RIGHT(TRIM($A457),2)),1,1)),'Timesheet Raw'!$L$4:$L$8000,"&lt;="&amp;MIN(H$6,DATE(2000+VALUE(RIGHT(TRIM($A457),2)),12,31))),SUMIFS('Timesheet Raw'!$P$4:$P$8000,'Timesheet Raw'!$B$4:$B$8000,TRIM($A457),'Timesheet Raw'!$C$4:$C$8000,"*"&amp;$B457&amp;"*",'Timesheet Raw'!$L$4:$L$8000,"&gt;="&amp;H$5,'Timesheet Raw'!$L$4:$L$8000,"&lt;="&amp;H$6)))/'Profit Plan'!$B$5)</f>
        <v/>
      </c>
      <c r="I457" s="122" t="str">
        <f>IF($A457="","",(IF(ISNUMBER(SEARCH("Proposal",$A457)),SUMIFS('Timesheet Raw'!$P$4:$P$8000,'Timesheet Raw'!$A$4:$A$8000,IF(ISNUMBER(SEARCH("Chargable",$A457)),"2-Proposals Chargeable","3-Proposals Regular"),'Timesheet Raw'!$C$4:$C$8000,"*"&amp;$B457&amp;"*",'Timesheet Raw'!$L$4:$L$8000,"&gt;="&amp;MAX(I$5,DATE(2000+VALUE(RIGHT(TRIM($A457),2)),1,1)),'Timesheet Raw'!$L$4:$L$8000,"&lt;="&amp;MIN(I$6,DATE(2000+VALUE(RIGHT(TRIM($A457),2)),12,31))),SUMIFS('Timesheet Raw'!$P$4:$P$8000,'Timesheet Raw'!$B$4:$B$8000,TRIM($A457),'Timesheet Raw'!$C$4:$C$8000,"*"&amp;$B457&amp;"*",'Timesheet Raw'!$L$4:$L$8000,"&gt;="&amp;I$5,'Timesheet Raw'!$L$4:$L$8000,"&lt;="&amp;I$6)))/'Profit Plan'!$B$5)</f>
        <v/>
      </c>
      <c r="J457" s="122" t="str">
        <f>IF($A457="","",(IF(ISNUMBER(SEARCH("Proposal",$A457)),SUMIFS('Timesheet Raw'!$P$4:$P$8000,'Timesheet Raw'!$A$4:$A$8000,IF(ISNUMBER(SEARCH("Chargable",$A457)),"2-Proposals Chargeable","3-Proposals Regular"),'Timesheet Raw'!$C$4:$C$8000,"*"&amp;$B457&amp;"*",'Timesheet Raw'!$L$4:$L$8000,"&gt;="&amp;MAX(J$5,DATE(2000+VALUE(RIGHT(TRIM($A457),2)),1,1)),'Timesheet Raw'!$L$4:$L$8000,"&lt;="&amp;MIN(J$6,DATE(2000+VALUE(RIGHT(TRIM($A457),2)),12,31))),SUMIFS('Timesheet Raw'!$P$4:$P$8000,'Timesheet Raw'!$B$4:$B$8000,TRIM($A457),'Timesheet Raw'!$C$4:$C$8000,"*"&amp;$B457&amp;"*",'Timesheet Raw'!$L$4:$L$8000,"&gt;="&amp;J$5,'Timesheet Raw'!$L$4:$L$8000,"&lt;="&amp;J$6)))/'Profit Plan'!$B$5)</f>
        <v/>
      </c>
      <c r="K457" s="122" t="str">
        <f>IF($A457="","",(IF(ISNUMBER(SEARCH("Proposal",$A457)),SUMIFS('Timesheet Raw'!$P$4:$P$8000,'Timesheet Raw'!$A$4:$A$8000,IF(ISNUMBER(SEARCH("Chargable",$A457)),"2-Proposals Chargeable","3-Proposals Regular"),'Timesheet Raw'!$C$4:$C$8000,"*"&amp;$B457&amp;"*",'Timesheet Raw'!$L$4:$L$8000,"&gt;="&amp;MAX(K$5,DATE(2000+VALUE(RIGHT(TRIM($A457),2)),1,1)),'Timesheet Raw'!$L$4:$L$8000,"&lt;="&amp;MIN(K$6,DATE(2000+VALUE(RIGHT(TRIM($A457),2)),12,31))),SUMIFS('Timesheet Raw'!$P$4:$P$8000,'Timesheet Raw'!$B$4:$B$8000,TRIM($A457),'Timesheet Raw'!$C$4:$C$8000,"*"&amp;$B457&amp;"*",'Timesheet Raw'!$L$4:$L$8000,"&gt;="&amp;K$5,'Timesheet Raw'!$L$4:$L$8000,"&lt;="&amp;K$6)))/'Profit Plan'!$B$5)</f>
        <v/>
      </c>
      <c r="L457" s="122" t="str">
        <f>IF($A457="","",(IF(ISNUMBER(SEARCH("Proposal",$A457)),SUMIFS('Timesheet Raw'!$P$4:$P$8000,'Timesheet Raw'!$A$4:$A$8000,IF(ISNUMBER(SEARCH("Chargable",$A457)),"2-Proposals Chargeable","3-Proposals Regular"),'Timesheet Raw'!$C$4:$C$8000,"*"&amp;$B457&amp;"*",'Timesheet Raw'!$L$4:$L$8000,"&gt;="&amp;MAX(L$5,DATE(2000+VALUE(RIGHT(TRIM($A457),2)),1,1)),'Timesheet Raw'!$L$4:$L$8000,"&lt;="&amp;MIN(L$6,DATE(2000+VALUE(RIGHT(TRIM($A457),2)),12,31))),SUMIFS('Timesheet Raw'!$P$4:$P$8000,'Timesheet Raw'!$B$4:$B$8000,TRIM($A457),'Timesheet Raw'!$C$4:$C$8000,"*"&amp;$B457&amp;"*",'Timesheet Raw'!$L$4:$L$8000,"&gt;="&amp;L$5,'Timesheet Raw'!$L$4:$L$8000,"&lt;="&amp;L$6)))/'Profit Plan'!$B$5)</f>
        <v/>
      </c>
      <c r="M457" s="122" t="str">
        <f>IF($A457="","",(IF(ISNUMBER(SEARCH("Proposal",$A457)),SUMIFS('Timesheet Raw'!$P$4:$P$8000,'Timesheet Raw'!$A$4:$A$8000,IF(ISNUMBER(SEARCH("Chargable",$A457)),"2-Proposals Chargeable","3-Proposals Regular"),'Timesheet Raw'!$C$4:$C$8000,"*"&amp;$B457&amp;"*",'Timesheet Raw'!$L$4:$L$8000,"&gt;="&amp;MAX(M$5,DATE(2000+VALUE(RIGHT(TRIM($A457),2)),1,1)),'Timesheet Raw'!$L$4:$L$8000,"&lt;="&amp;MIN(M$6,DATE(2000+VALUE(RIGHT(TRIM($A457),2)),12,31))),SUMIFS('Timesheet Raw'!$P$4:$P$8000,'Timesheet Raw'!$B$4:$B$8000,TRIM($A457),'Timesheet Raw'!$C$4:$C$8000,"*"&amp;$B457&amp;"*",'Timesheet Raw'!$L$4:$L$8000,"&gt;="&amp;M$5,'Timesheet Raw'!$L$4:$L$8000,"&lt;="&amp;M$6)))/'Profit Plan'!$B$5)</f>
        <v/>
      </c>
      <c r="N457" s="122" t="str">
        <f>IF($A457="","",(IF(ISNUMBER(SEARCH("Proposal",$A457)),SUMIFS('Timesheet Raw'!$P$4:$P$8000,'Timesheet Raw'!$A$4:$A$8000,IF(ISNUMBER(SEARCH("Chargable",$A457)),"2-Proposals Chargeable","3-Proposals Regular"),'Timesheet Raw'!$C$4:$C$8000,"*"&amp;$B457&amp;"*",'Timesheet Raw'!$L$4:$L$8000,"&gt;="&amp;MAX(N$5,DATE(2000+VALUE(RIGHT(TRIM($A457),2)),1,1)),'Timesheet Raw'!$L$4:$L$8000,"&lt;="&amp;MIN(N$6,DATE(2000+VALUE(RIGHT(TRIM($A457),2)),12,31))),SUMIFS('Timesheet Raw'!$P$4:$P$8000,'Timesheet Raw'!$B$4:$B$8000,TRIM($A457),'Timesheet Raw'!$C$4:$C$8000,"*"&amp;$B457&amp;"*",'Timesheet Raw'!$L$4:$L$8000,"&gt;="&amp;N$5,'Timesheet Raw'!$L$4:$L$8000,"&lt;="&amp;N$6)))/'Profit Plan'!$B$5)</f>
        <v/>
      </c>
      <c r="O457" s="122" t="str">
        <f>IF($A457="","",(IF(ISNUMBER(SEARCH("Proposal",$A457)),SUMIFS('Timesheet Raw'!$P$4:$P$8000,'Timesheet Raw'!$A$4:$A$8000,IF(ISNUMBER(SEARCH("Chargable",$A457)),"2-Proposals Chargeable","3-Proposals Regular"),'Timesheet Raw'!$C$4:$C$8000,"*"&amp;$B457&amp;"*",'Timesheet Raw'!$L$4:$L$8000,"&gt;="&amp;MAX(O$5,DATE(2000+VALUE(RIGHT(TRIM($A457),2)),1,1)),'Timesheet Raw'!$L$4:$L$8000,"&lt;="&amp;MIN(O$6,DATE(2000+VALUE(RIGHT(TRIM($A457),2)),12,31))),SUMIFS('Timesheet Raw'!$P$4:$P$8000,'Timesheet Raw'!$B$4:$B$8000,TRIM($A457),'Timesheet Raw'!$C$4:$C$8000,"*"&amp;$B457&amp;"*",'Timesheet Raw'!$L$4:$L$8000,"&gt;="&amp;O$5,'Timesheet Raw'!$L$4:$L$8000,"&lt;="&amp;O$6)))/'Profit Plan'!$B$5)</f>
        <v/>
      </c>
      <c r="P457" s="122" t="str">
        <f>IF($A457="","",(IF(ISNUMBER(SEARCH("Proposal",$A457)),SUMIFS('Timesheet Raw'!$P$4:$P$8000,'Timesheet Raw'!$A$4:$A$8000,IF(ISNUMBER(SEARCH("Chargable",$A457)),"2-Proposals Chargeable","3-Proposals Regular"),'Timesheet Raw'!$C$4:$C$8000,"*"&amp;$B457&amp;"*",'Timesheet Raw'!$L$4:$L$8000,"&gt;="&amp;MAX(P$5,DATE(2000+VALUE(RIGHT(TRIM($A457),2)),1,1)),'Timesheet Raw'!$L$4:$L$8000,"&lt;="&amp;MIN(P$6,DATE(2000+VALUE(RIGHT(TRIM($A457),2)),12,31))),SUMIFS('Timesheet Raw'!$P$4:$P$8000,'Timesheet Raw'!$B$4:$B$8000,TRIM($A457),'Timesheet Raw'!$C$4:$C$8000,"*"&amp;$B457&amp;"*",'Timesheet Raw'!$L$4:$L$8000,"&gt;="&amp;P$5,'Timesheet Raw'!$L$4:$L$8000,"&lt;="&amp;P$6)))/'Profit Plan'!$B$5)</f>
        <v/>
      </c>
      <c r="Q457" s="122" t="str">
        <f>IF($A457="","",(IF(ISNUMBER(SEARCH("Proposal",$A457)),SUMIFS('Timesheet Raw'!$P$4:$P$8000,'Timesheet Raw'!$A$4:$A$8000,IF(ISNUMBER(SEARCH("Chargable",$A457)),"2-Proposals Chargeable","3-Proposals Regular"),'Timesheet Raw'!$C$4:$C$8000,"*"&amp;$B457&amp;"*",'Timesheet Raw'!$L$4:$L$8000,"&gt;="&amp;MAX(Q$5,DATE(2000+VALUE(RIGHT(TRIM($A457),2)),1,1)),'Timesheet Raw'!$L$4:$L$8000,"&lt;="&amp;MIN(Q$6,DATE(2000+VALUE(RIGHT(TRIM($A457),2)),12,31))),SUMIFS('Timesheet Raw'!$P$4:$P$8000,'Timesheet Raw'!$B$4:$B$8000,TRIM($A457),'Timesheet Raw'!$C$4:$C$8000,"*"&amp;$B457&amp;"*",'Timesheet Raw'!$L$4:$L$8000,"&gt;="&amp;Q$5,'Timesheet Raw'!$L$4:$L$8000,"&lt;="&amp;Q$6)))/'Profit Plan'!$B$5)</f>
        <v/>
      </c>
      <c r="R457" s="122" t="str">
        <f>IF($A457="","",(IF(ISNUMBER(SEARCH("Proposal",$A457)),SUMIFS('Timesheet Raw'!$P$4:$P$8000,'Timesheet Raw'!$A$4:$A$8000,IF(ISNUMBER(SEARCH("Chargable",$A457)),"2-Proposals Chargeable","3-Proposals Regular"),'Timesheet Raw'!$C$4:$C$8000,"*"&amp;$B457&amp;"*",'Timesheet Raw'!$L$4:$L$8000,"&gt;="&amp;MAX(R$5,DATE(2000+VALUE(RIGHT(TRIM($A457),2)),1,1)),'Timesheet Raw'!$L$4:$L$8000,"&lt;="&amp;MIN(R$6,DATE(2000+VALUE(RIGHT(TRIM($A457),2)),12,31))),SUMIFS('Timesheet Raw'!$P$4:$P$8000,'Timesheet Raw'!$B$4:$B$8000,TRIM($A457),'Timesheet Raw'!$C$4:$C$8000,"*"&amp;$B457&amp;"*",'Timesheet Raw'!$L$4:$L$8000,"&gt;="&amp;R$5,'Timesheet Raw'!$L$4:$L$8000,"&lt;="&amp;R$6)))/'Profit Plan'!$B$5)</f>
        <v/>
      </c>
      <c r="S457" s="122" t="str">
        <f>IF($A457="","",(IF(ISNUMBER(SEARCH("Proposal",$A457)),SUMIFS('Timesheet Raw'!$P$4:$P$8000,'Timesheet Raw'!$A$4:$A$8000,IF(ISNUMBER(SEARCH("Chargable",$A457)),"2-Proposals Chargeable","3-Proposals Regular"),'Timesheet Raw'!$C$4:$C$8000,"*"&amp;$B457&amp;"*",'Timesheet Raw'!$L$4:$L$8000,"&gt;="&amp;MAX(S$5,DATE(2000+VALUE(RIGHT(TRIM($A457),2)),1,1)),'Timesheet Raw'!$L$4:$L$8000,"&lt;="&amp;MIN(S$6,DATE(2000+VALUE(RIGHT(TRIM($A457),2)),12,31))),SUMIFS('Timesheet Raw'!$P$4:$P$8000,'Timesheet Raw'!$B$4:$B$8000,TRIM($A457),'Timesheet Raw'!$C$4:$C$8000,"*"&amp;$B457&amp;"*",'Timesheet Raw'!$L$4:$L$8000,"&gt;="&amp;S$5,'Timesheet Raw'!$L$4:$L$8000,"&lt;="&amp;S$6)))/'Profit Plan'!$B$5)</f>
        <v/>
      </c>
      <c r="T457" s="122" t="str">
        <f>IF($A457="","",(IF(ISNUMBER(SEARCH("Proposal",$A457)),SUMIFS('Timesheet Raw'!$P$4:$P$8000,'Timesheet Raw'!$A$4:$A$8000,IF(ISNUMBER(SEARCH("Chargable",$A457)),"2-Proposals Chargeable","3-Proposals Regular"),'Timesheet Raw'!$C$4:$C$8000,"*"&amp;$B457&amp;"*",'Timesheet Raw'!$L$4:$L$8000,"&gt;="&amp;MAX(T$5,DATE(2000+VALUE(RIGHT(TRIM($A457),2)),1,1)),'Timesheet Raw'!$L$4:$L$8000,"&lt;="&amp;MIN(T$6,DATE(2000+VALUE(RIGHT(TRIM($A457),2)),12,31))),SUMIFS('Timesheet Raw'!$P$4:$P$8000,'Timesheet Raw'!$B$4:$B$8000,TRIM($A457),'Timesheet Raw'!$C$4:$C$8000,"*"&amp;$B457&amp;"*",'Timesheet Raw'!$L$4:$L$8000,"&gt;="&amp;T$5,'Timesheet Raw'!$L$4:$L$8000,"&lt;="&amp;T$6)))/'Profit Plan'!$B$5)</f>
        <v/>
      </c>
      <c r="U457" s="122" t="str">
        <f>IF($A457="","",(IF(ISNUMBER(SEARCH("Proposal",$A457)),SUMIFS('Timesheet Raw'!$P$4:$P$8000,'Timesheet Raw'!$A$4:$A$8000,IF(ISNUMBER(SEARCH("Chargable",$A457)),"2-Proposals Chargeable","3-Proposals Regular"),'Timesheet Raw'!$C$4:$C$8000,"*"&amp;$B457&amp;"*",'Timesheet Raw'!$L$4:$L$8000,"&gt;="&amp;MAX(U$5,DATE(2000+VALUE(RIGHT(TRIM($A457),2)),1,1)),'Timesheet Raw'!$L$4:$L$8000,"&lt;="&amp;MIN(U$6,DATE(2000+VALUE(RIGHT(TRIM($A457),2)),12,31))),SUMIFS('Timesheet Raw'!$P$4:$P$8000,'Timesheet Raw'!$B$4:$B$8000,TRIM($A457),'Timesheet Raw'!$C$4:$C$8000,"*"&amp;$B457&amp;"*",'Timesheet Raw'!$L$4:$L$8000,"&gt;="&amp;U$5,'Timesheet Raw'!$L$4:$L$8000,"&lt;="&amp;U$6)))/'Profit Plan'!$B$5)</f>
        <v/>
      </c>
      <c r="V457" s="122" t="str">
        <f>IF($A457="","",(IF(ISNUMBER(SEARCH("Proposal",$A457)),SUMIFS('Timesheet Raw'!$P$4:$P$8000,'Timesheet Raw'!$A$4:$A$8000,IF(ISNUMBER(SEARCH("Chargable",$A457)),"2-Proposals Chargeable","3-Proposals Regular"),'Timesheet Raw'!$C$4:$C$8000,"*"&amp;$B457&amp;"*",'Timesheet Raw'!$L$4:$L$8000,"&gt;="&amp;MAX(V$5,DATE(2000+VALUE(RIGHT(TRIM($A457),2)),1,1)),'Timesheet Raw'!$L$4:$L$8000,"&lt;="&amp;MIN(V$6,DATE(2000+VALUE(RIGHT(TRIM($A457),2)),12,31))),SUMIFS('Timesheet Raw'!$P$4:$P$8000,'Timesheet Raw'!$B$4:$B$8000,TRIM($A457),'Timesheet Raw'!$C$4:$C$8000,"*"&amp;$B457&amp;"*",'Timesheet Raw'!$L$4:$L$8000,"&gt;="&amp;V$5,'Timesheet Raw'!$L$4:$L$8000,"&lt;="&amp;V$6)))/'Profit Plan'!$B$5)</f>
        <v/>
      </c>
      <c r="W457" s="122" t="str">
        <f>IF($A457="","",(IF(ISNUMBER(SEARCH("Proposal",$A457)),SUMIFS('Timesheet Raw'!$P$4:$P$8000,'Timesheet Raw'!$A$4:$A$8000,IF(ISNUMBER(SEARCH("Chargable",$A457)),"2-Proposals Chargeable","3-Proposals Regular"),'Timesheet Raw'!$C$4:$C$8000,"*"&amp;$B457&amp;"*",'Timesheet Raw'!$L$4:$L$8000,"&gt;="&amp;MAX(W$5,DATE(2000+VALUE(RIGHT(TRIM($A457),2)),1,1)),'Timesheet Raw'!$L$4:$L$8000,"&lt;="&amp;MIN(W$6,DATE(2000+VALUE(RIGHT(TRIM($A457),2)),12,31))),SUMIFS('Timesheet Raw'!$P$4:$P$8000,'Timesheet Raw'!$B$4:$B$8000,TRIM($A457),'Timesheet Raw'!$C$4:$C$8000,"*"&amp;$B457&amp;"*",'Timesheet Raw'!$L$4:$L$8000,"&gt;="&amp;W$5,'Timesheet Raw'!$L$4:$L$8000,"&lt;="&amp;W$6)))/'Profit Plan'!$B$5)</f>
        <v/>
      </c>
      <c r="X457" s="122" t="str">
        <f>IF($A457="","",(IF(ISNUMBER(SEARCH("Proposal",$A457)),SUMIFS('Timesheet Raw'!$P$4:$P$8000,'Timesheet Raw'!$A$4:$A$8000,IF(ISNUMBER(SEARCH("Chargable",$A457)),"2-Proposals Chargeable","3-Proposals Regular"),'Timesheet Raw'!$C$4:$C$8000,"*"&amp;$B457&amp;"*",'Timesheet Raw'!$L$4:$L$8000,"&gt;="&amp;MAX(X$5,DATE(2000+VALUE(RIGHT(TRIM($A457),2)),1,1)),'Timesheet Raw'!$L$4:$L$8000,"&lt;="&amp;MIN(X$6,DATE(2000+VALUE(RIGHT(TRIM($A457),2)),12,31))),SUMIFS('Timesheet Raw'!$P$4:$P$8000,'Timesheet Raw'!$B$4:$B$8000,TRIM($A457),'Timesheet Raw'!$C$4:$C$8000,"*"&amp;$B457&amp;"*",'Timesheet Raw'!$L$4:$L$8000,"&gt;="&amp;X$5,'Timesheet Raw'!$L$4:$L$8000,"&lt;="&amp;X$6)))/'Profit Plan'!$B$5)</f>
        <v/>
      </c>
      <c r="Y457" s="118">
        <f t="shared" ref="Y457:Y504" si="103">SUM(D457:X457)</f>
        <v>0</v>
      </c>
    </row>
    <row r="458" spans="1:25" x14ac:dyDescent="0.3">
      <c r="A458" s="116" t="str">
        <f>IF(Inputs!$A70="","",Inputs!$A70)</f>
        <v/>
      </c>
      <c r="B458" s="116" t="str">
        <f>IF(Inputs!$A70="","",Inputs!$A$92)</f>
        <v/>
      </c>
      <c r="C458" s="116"/>
      <c r="D458" s="122" t="str">
        <f>IF($A458="","",(IF(ISNUMBER(SEARCH("Proposal",$A458)),SUMIFS('Timesheet Raw'!$P$4:$P$8000,'Timesheet Raw'!$A$4:$A$8000,IF(ISNUMBER(SEARCH("Chargable",$A458)),"2-Proposals Chargeable","3-Proposals Regular"),'Timesheet Raw'!$C$4:$C$8000,"*"&amp;$B458&amp;"*",'Timesheet Raw'!$L$4:$L$8000,"&gt;="&amp;MAX(D$5,DATE(2000+VALUE(RIGHT(TRIM($A458),2)),1,1)),'Timesheet Raw'!$L$4:$L$8000,"&lt;="&amp;MIN(D$6,DATE(2000+VALUE(RIGHT(TRIM($A458),2)),12,31))),SUMIFS('Timesheet Raw'!$P$4:$P$8000,'Timesheet Raw'!$B$4:$B$8000,TRIM($A458),'Timesheet Raw'!$C$4:$C$8000,"*"&amp;$B458&amp;"*",'Timesheet Raw'!$L$4:$L$8000,"&gt;="&amp;D$5,'Timesheet Raw'!$L$4:$L$8000,"&lt;="&amp;D$6)))/'Profit Plan'!$B$5)</f>
        <v/>
      </c>
      <c r="E458" s="122" t="str">
        <f>IF($A458="","",(IF(ISNUMBER(SEARCH("Proposal",$A458)),SUMIFS('Timesheet Raw'!$P$4:$P$8000,'Timesheet Raw'!$A$4:$A$8000,IF(ISNUMBER(SEARCH("Chargable",$A458)),"2-Proposals Chargeable","3-Proposals Regular"),'Timesheet Raw'!$C$4:$C$8000,"*"&amp;$B458&amp;"*",'Timesheet Raw'!$L$4:$L$8000,"&gt;="&amp;MAX(E$5,DATE(2000+VALUE(RIGHT(TRIM($A458),2)),1,1)),'Timesheet Raw'!$L$4:$L$8000,"&lt;="&amp;MIN(E$6,DATE(2000+VALUE(RIGHT(TRIM($A458),2)),12,31))),SUMIFS('Timesheet Raw'!$P$4:$P$8000,'Timesheet Raw'!$B$4:$B$8000,TRIM($A458),'Timesheet Raw'!$C$4:$C$8000,"*"&amp;$B458&amp;"*",'Timesheet Raw'!$L$4:$L$8000,"&gt;="&amp;E$5,'Timesheet Raw'!$L$4:$L$8000,"&lt;="&amp;E$6)))/'Profit Plan'!$B$5)</f>
        <v/>
      </c>
      <c r="F458" s="122" t="str">
        <f>IF($A458="","",(IF(ISNUMBER(SEARCH("Proposal",$A458)),SUMIFS('Timesheet Raw'!$P$4:$P$8000,'Timesheet Raw'!$A$4:$A$8000,IF(ISNUMBER(SEARCH("Chargable",$A458)),"2-Proposals Chargeable","3-Proposals Regular"),'Timesheet Raw'!$C$4:$C$8000,"*"&amp;$B458&amp;"*",'Timesheet Raw'!$L$4:$L$8000,"&gt;="&amp;MAX(F$5,DATE(2000+VALUE(RIGHT(TRIM($A458),2)),1,1)),'Timesheet Raw'!$L$4:$L$8000,"&lt;="&amp;MIN(F$6,DATE(2000+VALUE(RIGHT(TRIM($A458),2)),12,31))),SUMIFS('Timesheet Raw'!$P$4:$P$8000,'Timesheet Raw'!$B$4:$B$8000,TRIM($A458),'Timesheet Raw'!$C$4:$C$8000,"*"&amp;$B458&amp;"*",'Timesheet Raw'!$L$4:$L$8000,"&gt;="&amp;F$5,'Timesheet Raw'!$L$4:$L$8000,"&lt;="&amp;F$6)))/'Profit Plan'!$B$5)</f>
        <v/>
      </c>
      <c r="G458" s="122" t="str">
        <f>IF($A458="","",(IF(ISNUMBER(SEARCH("Proposal",$A458)),SUMIFS('Timesheet Raw'!$P$4:$P$8000,'Timesheet Raw'!$A$4:$A$8000,IF(ISNUMBER(SEARCH("Chargable",$A458)),"2-Proposals Chargeable","3-Proposals Regular"),'Timesheet Raw'!$C$4:$C$8000,"*"&amp;$B458&amp;"*",'Timesheet Raw'!$L$4:$L$8000,"&gt;="&amp;MAX(G$5,DATE(2000+VALUE(RIGHT(TRIM($A458),2)),1,1)),'Timesheet Raw'!$L$4:$L$8000,"&lt;="&amp;MIN(G$6,DATE(2000+VALUE(RIGHT(TRIM($A458),2)),12,31))),SUMIFS('Timesheet Raw'!$P$4:$P$8000,'Timesheet Raw'!$B$4:$B$8000,TRIM($A458),'Timesheet Raw'!$C$4:$C$8000,"*"&amp;$B458&amp;"*",'Timesheet Raw'!$L$4:$L$8000,"&gt;="&amp;G$5,'Timesheet Raw'!$L$4:$L$8000,"&lt;="&amp;G$6)))/'Profit Plan'!$B$5)</f>
        <v/>
      </c>
      <c r="H458" s="122" t="str">
        <f>IF($A458="","",(IF(ISNUMBER(SEARCH("Proposal",$A458)),SUMIFS('Timesheet Raw'!$P$4:$P$8000,'Timesheet Raw'!$A$4:$A$8000,IF(ISNUMBER(SEARCH("Chargable",$A458)),"2-Proposals Chargeable","3-Proposals Regular"),'Timesheet Raw'!$C$4:$C$8000,"*"&amp;$B458&amp;"*",'Timesheet Raw'!$L$4:$L$8000,"&gt;="&amp;MAX(H$5,DATE(2000+VALUE(RIGHT(TRIM($A458),2)),1,1)),'Timesheet Raw'!$L$4:$L$8000,"&lt;="&amp;MIN(H$6,DATE(2000+VALUE(RIGHT(TRIM($A458),2)),12,31))),SUMIFS('Timesheet Raw'!$P$4:$P$8000,'Timesheet Raw'!$B$4:$B$8000,TRIM($A458),'Timesheet Raw'!$C$4:$C$8000,"*"&amp;$B458&amp;"*",'Timesheet Raw'!$L$4:$L$8000,"&gt;="&amp;H$5,'Timesheet Raw'!$L$4:$L$8000,"&lt;="&amp;H$6)))/'Profit Plan'!$B$5)</f>
        <v/>
      </c>
      <c r="I458" s="122" t="str">
        <f>IF($A458="","",(IF(ISNUMBER(SEARCH("Proposal",$A458)),SUMIFS('Timesheet Raw'!$P$4:$P$8000,'Timesheet Raw'!$A$4:$A$8000,IF(ISNUMBER(SEARCH("Chargable",$A458)),"2-Proposals Chargeable","3-Proposals Regular"),'Timesheet Raw'!$C$4:$C$8000,"*"&amp;$B458&amp;"*",'Timesheet Raw'!$L$4:$L$8000,"&gt;="&amp;MAX(I$5,DATE(2000+VALUE(RIGHT(TRIM($A458),2)),1,1)),'Timesheet Raw'!$L$4:$L$8000,"&lt;="&amp;MIN(I$6,DATE(2000+VALUE(RIGHT(TRIM($A458),2)),12,31))),SUMIFS('Timesheet Raw'!$P$4:$P$8000,'Timesheet Raw'!$B$4:$B$8000,TRIM($A458),'Timesheet Raw'!$C$4:$C$8000,"*"&amp;$B458&amp;"*",'Timesheet Raw'!$L$4:$L$8000,"&gt;="&amp;I$5,'Timesheet Raw'!$L$4:$L$8000,"&lt;="&amp;I$6)))/'Profit Plan'!$B$5)</f>
        <v/>
      </c>
      <c r="J458" s="122" t="str">
        <f>IF($A458="","",(IF(ISNUMBER(SEARCH("Proposal",$A458)),SUMIFS('Timesheet Raw'!$P$4:$P$8000,'Timesheet Raw'!$A$4:$A$8000,IF(ISNUMBER(SEARCH("Chargable",$A458)),"2-Proposals Chargeable","3-Proposals Regular"),'Timesheet Raw'!$C$4:$C$8000,"*"&amp;$B458&amp;"*",'Timesheet Raw'!$L$4:$L$8000,"&gt;="&amp;MAX(J$5,DATE(2000+VALUE(RIGHT(TRIM($A458),2)),1,1)),'Timesheet Raw'!$L$4:$L$8000,"&lt;="&amp;MIN(J$6,DATE(2000+VALUE(RIGHT(TRIM($A458),2)),12,31))),SUMIFS('Timesheet Raw'!$P$4:$P$8000,'Timesheet Raw'!$B$4:$B$8000,TRIM($A458),'Timesheet Raw'!$C$4:$C$8000,"*"&amp;$B458&amp;"*",'Timesheet Raw'!$L$4:$L$8000,"&gt;="&amp;J$5,'Timesheet Raw'!$L$4:$L$8000,"&lt;="&amp;J$6)))/'Profit Plan'!$B$5)</f>
        <v/>
      </c>
      <c r="K458" s="122" t="str">
        <f>IF($A458="","",(IF(ISNUMBER(SEARCH("Proposal",$A458)),SUMIFS('Timesheet Raw'!$P$4:$P$8000,'Timesheet Raw'!$A$4:$A$8000,IF(ISNUMBER(SEARCH("Chargable",$A458)),"2-Proposals Chargeable","3-Proposals Regular"),'Timesheet Raw'!$C$4:$C$8000,"*"&amp;$B458&amp;"*",'Timesheet Raw'!$L$4:$L$8000,"&gt;="&amp;MAX(K$5,DATE(2000+VALUE(RIGHT(TRIM($A458),2)),1,1)),'Timesheet Raw'!$L$4:$L$8000,"&lt;="&amp;MIN(K$6,DATE(2000+VALUE(RIGHT(TRIM($A458),2)),12,31))),SUMIFS('Timesheet Raw'!$P$4:$P$8000,'Timesheet Raw'!$B$4:$B$8000,TRIM($A458),'Timesheet Raw'!$C$4:$C$8000,"*"&amp;$B458&amp;"*",'Timesheet Raw'!$L$4:$L$8000,"&gt;="&amp;K$5,'Timesheet Raw'!$L$4:$L$8000,"&lt;="&amp;K$6)))/'Profit Plan'!$B$5)</f>
        <v/>
      </c>
      <c r="L458" s="122" t="str">
        <f>IF($A458="","",(IF(ISNUMBER(SEARCH("Proposal",$A458)),SUMIFS('Timesheet Raw'!$P$4:$P$8000,'Timesheet Raw'!$A$4:$A$8000,IF(ISNUMBER(SEARCH("Chargable",$A458)),"2-Proposals Chargeable","3-Proposals Regular"),'Timesheet Raw'!$C$4:$C$8000,"*"&amp;$B458&amp;"*",'Timesheet Raw'!$L$4:$L$8000,"&gt;="&amp;MAX(L$5,DATE(2000+VALUE(RIGHT(TRIM($A458),2)),1,1)),'Timesheet Raw'!$L$4:$L$8000,"&lt;="&amp;MIN(L$6,DATE(2000+VALUE(RIGHT(TRIM($A458),2)),12,31))),SUMIFS('Timesheet Raw'!$P$4:$P$8000,'Timesheet Raw'!$B$4:$B$8000,TRIM($A458),'Timesheet Raw'!$C$4:$C$8000,"*"&amp;$B458&amp;"*",'Timesheet Raw'!$L$4:$L$8000,"&gt;="&amp;L$5,'Timesheet Raw'!$L$4:$L$8000,"&lt;="&amp;L$6)))/'Profit Plan'!$B$5)</f>
        <v/>
      </c>
      <c r="M458" s="122" t="str">
        <f>IF($A458="","",(IF(ISNUMBER(SEARCH("Proposal",$A458)),SUMIFS('Timesheet Raw'!$P$4:$P$8000,'Timesheet Raw'!$A$4:$A$8000,IF(ISNUMBER(SEARCH("Chargable",$A458)),"2-Proposals Chargeable","3-Proposals Regular"),'Timesheet Raw'!$C$4:$C$8000,"*"&amp;$B458&amp;"*",'Timesheet Raw'!$L$4:$L$8000,"&gt;="&amp;MAX(M$5,DATE(2000+VALUE(RIGHT(TRIM($A458),2)),1,1)),'Timesheet Raw'!$L$4:$L$8000,"&lt;="&amp;MIN(M$6,DATE(2000+VALUE(RIGHT(TRIM($A458),2)),12,31))),SUMIFS('Timesheet Raw'!$P$4:$P$8000,'Timesheet Raw'!$B$4:$B$8000,TRIM($A458),'Timesheet Raw'!$C$4:$C$8000,"*"&amp;$B458&amp;"*",'Timesheet Raw'!$L$4:$L$8000,"&gt;="&amp;M$5,'Timesheet Raw'!$L$4:$L$8000,"&lt;="&amp;M$6)))/'Profit Plan'!$B$5)</f>
        <v/>
      </c>
      <c r="N458" s="122" t="str">
        <f>IF($A458="","",(IF(ISNUMBER(SEARCH("Proposal",$A458)),SUMIFS('Timesheet Raw'!$P$4:$P$8000,'Timesheet Raw'!$A$4:$A$8000,IF(ISNUMBER(SEARCH("Chargable",$A458)),"2-Proposals Chargeable","3-Proposals Regular"),'Timesheet Raw'!$C$4:$C$8000,"*"&amp;$B458&amp;"*",'Timesheet Raw'!$L$4:$L$8000,"&gt;="&amp;MAX(N$5,DATE(2000+VALUE(RIGHT(TRIM($A458),2)),1,1)),'Timesheet Raw'!$L$4:$L$8000,"&lt;="&amp;MIN(N$6,DATE(2000+VALUE(RIGHT(TRIM($A458),2)),12,31))),SUMIFS('Timesheet Raw'!$P$4:$P$8000,'Timesheet Raw'!$B$4:$B$8000,TRIM($A458),'Timesheet Raw'!$C$4:$C$8000,"*"&amp;$B458&amp;"*",'Timesheet Raw'!$L$4:$L$8000,"&gt;="&amp;N$5,'Timesheet Raw'!$L$4:$L$8000,"&lt;="&amp;N$6)))/'Profit Plan'!$B$5)</f>
        <v/>
      </c>
      <c r="O458" s="122" t="str">
        <f>IF($A458="","",(IF(ISNUMBER(SEARCH("Proposal",$A458)),SUMIFS('Timesheet Raw'!$P$4:$P$8000,'Timesheet Raw'!$A$4:$A$8000,IF(ISNUMBER(SEARCH("Chargable",$A458)),"2-Proposals Chargeable","3-Proposals Regular"),'Timesheet Raw'!$C$4:$C$8000,"*"&amp;$B458&amp;"*",'Timesheet Raw'!$L$4:$L$8000,"&gt;="&amp;MAX(O$5,DATE(2000+VALUE(RIGHT(TRIM($A458),2)),1,1)),'Timesheet Raw'!$L$4:$L$8000,"&lt;="&amp;MIN(O$6,DATE(2000+VALUE(RIGHT(TRIM($A458),2)),12,31))),SUMIFS('Timesheet Raw'!$P$4:$P$8000,'Timesheet Raw'!$B$4:$B$8000,TRIM($A458),'Timesheet Raw'!$C$4:$C$8000,"*"&amp;$B458&amp;"*",'Timesheet Raw'!$L$4:$L$8000,"&gt;="&amp;O$5,'Timesheet Raw'!$L$4:$L$8000,"&lt;="&amp;O$6)))/'Profit Plan'!$B$5)</f>
        <v/>
      </c>
      <c r="P458" s="122" t="str">
        <f>IF($A458="","",(IF(ISNUMBER(SEARCH("Proposal",$A458)),SUMIFS('Timesheet Raw'!$P$4:$P$8000,'Timesheet Raw'!$A$4:$A$8000,IF(ISNUMBER(SEARCH("Chargable",$A458)),"2-Proposals Chargeable","3-Proposals Regular"),'Timesheet Raw'!$C$4:$C$8000,"*"&amp;$B458&amp;"*",'Timesheet Raw'!$L$4:$L$8000,"&gt;="&amp;MAX(P$5,DATE(2000+VALUE(RIGHT(TRIM($A458),2)),1,1)),'Timesheet Raw'!$L$4:$L$8000,"&lt;="&amp;MIN(P$6,DATE(2000+VALUE(RIGHT(TRIM($A458),2)),12,31))),SUMIFS('Timesheet Raw'!$P$4:$P$8000,'Timesheet Raw'!$B$4:$B$8000,TRIM($A458),'Timesheet Raw'!$C$4:$C$8000,"*"&amp;$B458&amp;"*",'Timesheet Raw'!$L$4:$L$8000,"&gt;="&amp;P$5,'Timesheet Raw'!$L$4:$L$8000,"&lt;="&amp;P$6)))/'Profit Plan'!$B$5)</f>
        <v/>
      </c>
      <c r="Q458" s="122" t="str">
        <f>IF($A458="","",(IF(ISNUMBER(SEARCH("Proposal",$A458)),SUMIFS('Timesheet Raw'!$P$4:$P$8000,'Timesheet Raw'!$A$4:$A$8000,IF(ISNUMBER(SEARCH("Chargable",$A458)),"2-Proposals Chargeable","3-Proposals Regular"),'Timesheet Raw'!$C$4:$C$8000,"*"&amp;$B458&amp;"*",'Timesheet Raw'!$L$4:$L$8000,"&gt;="&amp;MAX(Q$5,DATE(2000+VALUE(RIGHT(TRIM($A458),2)),1,1)),'Timesheet Raw'!$L$4:$L$8000,"&lt;="&amp;MIN(Q$6,DATE(2000+VALUE(RIGHT(TRIM($A458),2)),12,31))),SUMIFS('Timesheet Raw'!$P$4:$P$8000,'Timesheet Raw'!$B$4:$B$8000,TRIM($A458),'Timesheet Raw'!$C$4:$C$8000,"*"&amp;$B458&amp;"*",'Timesheet Raw'!$L$4:$L$8000,"&gt;="&amp;Q$5,'Timesheet Raw'!$L$4:$L$8000,"&lt;="&amp;Q$6)))/'Profit Plan'!$B$5)</f>
        <v/>
      </c>
      <c r="R458" s="122" t="str">
        <f>IF($A458="","",(IF(ISNUMBER(SEARCH("Proposal",$A458)),SUMIFS('Timesheet Raw'!$P$4:$P$8000,'Timesheet Raw'!$A$4:$A$8000,IF(ISNUMBER(SEARCH("Chargable",$A458)),"2-Proposals Chargeable","3-Proposals Regular"),'Timesheet Raw'!$C$4:$C$8000,"*"&amp;$B458&amp;"*",'Timesheet Raw'!$L$4:$L$8000,"&gt;="&amp;MAX(R$5,DATE(2000+VALUE(RIGHT(TRIM($A458),2)),1,1)),'Timesheet Raw'!$L$4:$L$8000,"&lt;="&amp;MIN(R$6,DATE(2000+VALUE(RIGHT(TRIM($A458),2)),12,31))),SUMIFS('Timesheet Raw'!$P$4:$P$8000,'Timesheet Raw'!$B$4:$B$8000,TRIM($A458),'Timesheet Raw'!$C$4:$C$8000,"*"&amp;$B458&amp;"*",'Timesheet Raw'!$L$4:$L$8000,"&gt;="&amp;R$5,'Timesheet Raw'!$L$4:$L$8000,"&lt;="&amp;R$6)))/'Profit Plan'!$B$5)</f>
        <v/>
      </c>
      <c r="S458" s="122" t="str">
        <f>IF($A458="","",(IF(ISNUMBER(SEARCH("Proposal",$A458)),SUMIFS('Timesheet Raw'!$P$4:$P$8000,'Timesheet Raw'!$A$4:$A$8000,IF(ISNUMBER(SEARCH("Chargable",$A458)),"2-Proposals Chargeable","3-Proposals Regular"),'Timesheet Raw'!$C$4:$C$8000,"*"&amp;$B458&amp;"*",'Timesheet Raw'!$L$4:$L$8000,"&gt;="&amp;MAX(S$5,DATE(2000+VALUE(RIGHT(TRIM($A458),2)),1,1)),'Timesheet Raw'!$L$4:$L$8000,"&lt;="&amp;MIN(S$6,DATE(2000+VALUE(RIGHT(TRIM($A458),2)),12,31))),SUMIFS('Timesheet Raw'!$P$4:$P$8000,'Timesheet Raw'!$B$4:$B$8000,TRIM($A458),'Timesheet Raw'!$C$4:$C$8000,"*"&amp;$B458&amp;"*",'Timesheet Raw'!$L$4:$L$8000,"&gt;="&amp;S$5,'Timesheet Raw'!$L$4:$L$8000,"&lt;="&amp;S$6)))/'Profit Plan'!$B$5)</f>
        <v/>
      </c>
      <c r="T458" s="122" t="str">
        <f>IF($A458="","",(IF(ISNUMBER(SEARCH("Proposal",$A458)),SUMIFS('Timesheet Raw'!$P$4:$P$8000,'Timesheet Raw'!$A$4:$A$8000,IF(ISNUMBER(SEARCH("Chargable",$A458)),"2-Proposals Chargeable","3-Proposals Regular"),'Timesheet Raw'!$C$4:$C$8000,"*"&amp;$B458&amp;"*",'Timesheet Raw'!$L$4:$L$8000,"&gt;="&amp;MAX(T$5,DATE(2000+VALUE(RIGHT(TRIM($A458),2)),1,1)),'Timesheet Raw'!$L$4:$L$8000,"&lt;="&amp;MIN(T$6,DATE(2000+VALUE(RIGHT(TRIM($A458),2)),12,31))),SUMIFS('Timesheet Raw'!$P$4:$P$8000,'Timesheet Raw'!$B$4:$B$8000,TRIM($A458),'Timesheet Raw'!$C$4:$C$8000,"*"&amp;$B458&amp;"*",'Timesheet Raw'!$L$4:$L$8000,"&gt;="&amp;T$5,'Timesheet Raw'!$L$4:$L$8000,"&lt;="&amp;T$6)))/'Profit Plan'!$B$5)</f>
        <v/>
      </c>
      <c r="U458" s="122" t="str">
        <f>IF($A458="","",(IF(ISNUMBER(SEARCH("Proposal",$A458)),SUMIFS('Timesheet Raw'!$P$4:$P$8000,'Timesheet Raw'!$A$4:$A$8000,IF(ISNUMBER(SEARCH("Chargable",$A458)),"2-Proposals Chargeable","3-Proposals Regular"),'Timesheet Raw'!$C$4:$C$8000,"*"&amp;$B458&amp;"*",'Timesheet Raw'!$L$4:$L$8000,"&gt;="&amp;MAX(U$5,DATE(2000+VALUE(RIGHT(TRIM($A458),2)),1,1)),'Timesheet Raw'!$L$4:$L$8000,"&lt;="&amp;MIN(U$6,DATE(2000+VALUE(RIGHT(TRIM($A458),2)),12,31))),SUMIFS('Timesheet Raw'!$P$4:$P$8000,'Timesheet Raw'!$B$4:$B$8000,TRIM($A458),'Timesheet Raw'!$C$4:$C$8000,"*"&amp;$B458&amp;"*",'Timesheet Raw'!$L$4:$L$8000,"&gt;="&amp;U$5,'Timesheet Raw'!$L$4:$L$8000,"&lt;="&amp;U$6)))/'Profit Plan'!$B$5)</f>
        <v/>
      </c>
      <c r="V458" s="122" t="str">
        <f>IF($A458="","",(IF(ISNUMBER(SEARCH("Proposal",$A458)),SUMIFS('Timesheet Raw'!$P$4:$P$8000,'Timesheet Raw'!$A$4:$A$8000,IF(ISNUMBER(SEARCH("Chargable",$A458)),"2-Proposals Chargeable","3-Proposals Regular"),'Timesheet Raw'!$C$4:$C$8000,"*"&amp;$B458&amp;"*",'Timesheet Raw'!$L$4:$L$8000,"&gt;="&amp;MAX(V$5,DATE(2000+VALUE(RIGHT(TRIM($A458),2)),1,1)),'Timesheet Raw'!$L$4:$L$8000,"&lt;="&amp;MIN(V$6,DATE(2000+VALUE(RIGHT(TRIM($A458),2)),12,31))),SUMIFS('Timesheet Raw'!$P$4:$P$8000,'Timesheet Raw'!$B$4:$B$8000,TRIM($A458),'Timesheet Raw'!$C$4:$C$8000,"*"&amp;$B458&amp;"*",'Timesheet Raw'!$L$4:$L$8000,"&gt;="&amp;V$5,'Timesheet Raw'!$L$4:$L$8000,"&lt;="&amp;V$6)))/'Profit Plan'!$B$5)</f>
        <v/>
      </c>
      <c r="W458" s="122" t="str">
        <f>IF($A458="","",(IF(ISNUMBER(SEARCH("Proposal",$A458)),SUMIFS('Timesheet Raw'!$P$4:$P$8000,'Timesheet Raw'!$A$4:$A$8000,IF(ISNUMBER(SEARCH("Chargable",$A458)),"2-Proposals Chargeable","3-Proposals Regular"),'Timesheet Raw'!$C$4:$C$8000,"*"&amp;$B458&amp;"*",'Timesheet Raw'!$L$4:$L$8000,"&gt;="&amp;MAX(W$5,DATE(2000+VALUE(RIGHT(TRIM($A458),2)),1,1)),'Timesheet Raw'!$L$4:$L$8000,"&lt;="&amp;MIN(W$6,DATE(2000+VALUE(RIGHT(TRIM($A458),2)),12,31))),SUMIFS('Timesheet Raw'!$P$4:$P$8000,'Timesheet Raw'!$B$4:$B$8000,TRIM($A458),'Timesheet Raw'!$C$4:$C$8000,"*"&amp;$B458&amp;"*",'Timesheet Raw'!$L$4:$L$8000,"&gt;="&amp;W$5,'Timesheet Raw'!$L$4:$L$8000,"&lt;="&amp;W$6)))/'Profit Plan'!$B$5)</f>
        <v/>
      </c>
      <c r="X458" s="122" t="str">
        <f>IF($A458="","",(IF(ISNUMBER(SEARCH("Proposal",$A458)),SUMIFS('Timesheet Raw'!$P$4:$P$8000,'Timesheet Raw'!$A$4:$A$8000,IF(ISNUMBER(SEARCH("Chargable",$A458)),"2-Proposals Chargeable","3-Proposals Regular"),'Timesheet Raw'!$C$4:$C$8000,"*"&amp;$B458&amp;"*",'Timesheet Raw'!$L$4:$L$8000,"&gt;="&amp;MAX(X$5,DATE(2000+VALUE(RIGHT(TRIM($A458),2)),1,1)),'Timesheet Raw'!$L$4:$L$8000,"&lt;="&amp;MIN(X$6,DATE(2000+VALUE(RIGHT(TRIM($A458),2)),12,31))),SUMIFS('Timesheet Raw'!$P$4:$P$8000,'Timesheet Raw'!$B$4:$B$8000,TRIM($A458),'Timesheet Raw'!$C$4:$C$8000,"*"&amp;$B458&amp;"*",'Timesheet Raw'!$L$4:$L$8000,"&gt;="&amp;X$5,'Timesheet Raw'!$L$4:$L$8000,"&lt;="&amp;X$6)))/'Profit Plan'!$B$5)</f>
        <v/>
      </c>
      <c r="Y458" s="118">
        <f t="shared" si="103"/>
        <v>0</v>
      </c>
    </row>
    <row r="459" spans="1:25" x14ac:dyDescent="0.3">
      <c r="A459" s="116" t="str">
        <f>IF(Inputs!$A70="","",Inputs!$A70)</f>
        <v/>
      </c>
      <c r="B459" s="116" t="str">
        <f>IF(Inputs!$A70="","",Inputs!$A$93)</f>
        <v/>
      </c>
      <c r="C459" s="116"/>
      <c r="D459" s="122" t="str">
        <f>IF($A459="","",(IF(ISNUMBER(SEARCH("Proposal",$A459)),SUMIFS('Timesheet Raw'!$P$4:$P$8000,'Timesheet Raw'!$A$4:$A$8000,IF(ISNUMBER(SEARCH("Chargable",$A459)),"2-Proposals Chargeable","3-Proposals Regular"),'Timesheet Raw'!$C$4:$C$8000,"*"&amp;$B459&amp;"*",'Timesheet Raw'!$L$4:$L$8000,"&gt;="&amp;MAX(D$5,DATE(2000+VALUE(RIGHT(TRIM($A459),2)),1,1)),'Timesheet Raw'!$L$4:$L$8000,"&lt;="&amp;MIN(D$6,DATE(2000+VALUE(RIGHT(TRIM($A459),2)),12,31))),SUMIFS('Timesheet Raw'!$P$4:$P$8000,'Timesheet Raw'!$B$4:$B$8000,TRIM($A459),'Timesheet Raw'!$C$4:$C$8000,"*"&amp;$B459&amp;"*",'Timesheet Raw'!$L$4:$L$8000,"&gt;="&amp;D$5,'Timesheet Raw'!$L$4:$L$8000,"&lt;="&amp;D$6)))/'Profit Plan'!$B$5)</f>
        <v/>
      </c>
      <c r="E459" s="122" t="str">
        <f>IF($A459="","",(IF(ISNUMBER(SEARCH("Proposal",$A459)),SUMIFS('Timesheet Raw'!$P$4:$P$8000,'Timesheet Raw'!$A$4:$A$8000,IF(ISNUMBER(SEARCH("Chargable",$A459)),"2-Proposals Chargeable","3-Proposals Regular"),'Timesheet Raw'!$C$4:$C$8000,"*"&amp;$B459&amp;"*",'Timesheet Raw'!$L$4:$L$8000,"&gt;="&amp;MAX(E$5,DATE(2000+VALUE(RIGHT(TRIM($A459),2)),1,1)),'Timesheet Raw'!$L$4:$L$8000,"&lt;="&amp;MIN(E$6,DATE(2000+VALUE(RIGHT(TRIM($A459),2)),12,31))),SUMIFS('Timesheet Raw'!$P$4:$P$8000,'Timesheet Raw'!$B$4:$B$8000,TRIM($A459),'Timesheet Raw'!$C$4:$C$8000,"*"&amp;$B459&amp;"*",'Timesheet Raw'!$L$4:$L$8000,"&gt;="&amp;E$5,'Timesheet Raw'!$L$4:$L$8000,"&lt;="&amp;E$6)))/'Profit Plan'!$B$5)</f>
        <v/>
      </c>
      <c r="F459" s="122" t="str">
        <f>IF($A459="","",(IF(ISNUMBER(SEARCH("Proposal",$A459)),SUMIFS('Timesheet Raw'!$P$4:$P$8000,'Timesheet Raw'!$A$4:$A$8000,IF(ISNUMBER(SEARCH("Chargable",$A459)),"2-Proposals Chargeable","3-Proposals Regular"),'Timesheet Raw'!$C$4:$C$8000,"*"&amp;$B459&amp;"*",'Timesheet Raw'!$L$4:$L$8000,"&gt;="&amp;MAX(F$5,DATE(2000+VALUE(RIGHT(TRIM($A459),2)),1,1)),'Timesheet Raw'!$L$4:$L$8000,"&lt;="&amp;MIN(F$6,DATE(2000+VALUE(RIGHT(TRIM($A459),2)),12,31))),SUMIFS('Timesheet Raw'!$P$4:$P$8000,'Timesheet Raw'!$B$4:$B$8000,TRIM($A459),'Timesheet Raw'!$C$4:$C$8000,"*"&amp;$B459&amp;"*",'Timesheet Raw'!$L$4:$L$8000,"&gt;="&amp;F$5,'Timesheet Raw'!$L$4:$L$8000,"&lt;="&amp;F$6)))/'Profit Plan'!$B$5)</f>
        <v/>
      </c>
      <c r="G459" s="122" t="str">
        <f>IF($A459="","",(IF(ISNUMBER(SEARCH("Proposal",$A459)),SUMIFS('Timesheet Raw'!$P$4:$P$8000,'Timesheet Raw'!$A$4:$A$8000,IF(ISNUMBER(SEARCH("Chargable",$A459)),"2-Proposals Chargeable","3-Proposals Regular"),'Timesheet Raw'!$C$4:$C$8000,"*"&amp;$B459&amp;"*",'Timesheet Raw'!$L$4:$L$8000,"&gt;="&amp;MAX(G$5,DATE(2000+VALUE(RIGHT(TRIM($A459),2)),1,1)),'Timesheet Raw'!$L$4:$L$8000,"&lt;="&amp;MIN(G$6,DATE(2000+VALUE(RIGHT(TRIM($A459),2)),12,31))),SUMIFS('Timesheet Raw'!$P$4:$P$8000,'Timesheet Raw'!$B$4:$B$8000,TRIM($A459),'Timesheet Raw'!$C$4:$C$8000,"*"&amp;$B459&amp;"*",'Timesheet Raw'!$L$4:$L$8000,"&gt;="&amp;G$5,'Timesheet Raw'!$L$4:$L$8000,"&lt;="&amp;G$6)))/'Profit Plan'!$B$5)</f>
        <v/>
      </c>
      <c r="H459" s="122" t="str">
        <f>IF($A459="","",(IF(ISNUMBER(SEARCH("Proposal",$A459)),SUMIFS('Timesheet Raw'!$P$4:$P$8000,'Timesheet Raw'!$A$4:$A$8000,IF(ISNUMBER(SEARCH("Chargable",$A459)),"2-Proposals Chargeable","3-Proposals Regular"),'Timesheet Raw'!$C$4:$C$8000,"*"&amp;$B459&amp;"*",'Timesheet Raw'!$L$4:$L$8000,"&gt;="&amp;MAX(H$5,DATE(2000+VALUE(RIGHT(TRIM($A459),2)),1,1)),'Timesheet Raw'!$L$4:$L$8000,"&lt;="&amp;MIN(H$6,DATE(2000+VALUE(RIGHT(TRIM($A459),2)),12,31))),SUMIFS('Timesheet Raw'!$P$4:$P$8000,'Timesheet Raw'!$B$4:$B$8000,TRIM($A459),'Timesheet Raw'!$C$4:$C$8000,"*"&amp;$B459&amp;"*",'Timesheet Raw'!$L$4:$L$8000,"&gt;="&amp;H$5,'Timesheet Raw'!$L$4:$L$8000,"&lt;="&amp;H$6)))/'Profit Plan'!$B$5)</f>
        <v/>
      </c>
      <c r="I459" s="122" t="str">
        <f>IF($A459="","",(IF(ISNUMBER(SEARCH("Proposal",$A459)),SUMIFS('Timesheet Raw'!$P$4:$P$8000,'Timesheet Raw'!$A$4:$A$8000,IF(ISNUMBER(SEARCH("Chargable",$A459)),"2-Proposals Chargeable","3-Proposals Regular"),'Timesheet Raw'!$C$4:$C$8000,"*"&amp;$B459&amp;"*",'Timesheet Raw'!$L$4:$L$8000,"&gt;="&amp;MAX(I$5,DATE(2000+VALUE(RIGHT(TRIM($A459),2)),1,1)),'Timesheet Raw'!$L$4:$L$8000,"&lt;="&amp;MIN(I$6,DATE(2000+VALUE(RIGHT(TRIM($A459),2)),12,31))),SUMIFS('Timesheet Raw'!$P$4:$P$8000,'Timesheet Raw'!$B$4:$B$8000,TRIM($A459),'Timesheet Raw'!$C$4:$C$8000,"*"&amp;$B459&amp;"*",'Timesheet Raw'!$L$4:$L$8000,"&gt;="&amp;I$5,'Timesheet Raw'!$L$4:$L$8000,"&lt;="&amp;I$6)))/'Profit Plan'!$B$5)</f>
        <v/>
      </c>
      <c r="J459" s="122" t="str">
        <f>IF($A459="","",(IF(ISNUMBER(SEARCH("Proposal",$A459)),SUMIFS('Timesheet Raw'!$P$4:$P$8000,'Timesheet Raw'!$A$4:$A$8000,IF(ISNUMBER(SEARCH("Chargable",$A459)),"2-Proposals Chargeable","3-Proposals Regular"),'Timesheet Raw'!$C$4:$C$8000,"*"&amp;$B459&amp;"*",'Timesheet Raw'!$L$4:$L$8000,"&gt;="&amp;MAX(J$5,DATE(2000+VALUE(RIGHT(TRIM($A459),2)),1,1)),'Timesheet Raw'!$L$4:$L$8000,"&lt;="&amp;MIN(J$6,DATE(2000+VALUE(RIGHT(TRIM($A459),2)),12,31))),SUMIFS('Timesheet Raw'!$P$4:$P$8000,'Timesheet Raw'!$B$4:$B$8000,TRIM($A459),'Timesheet Raw'!$C$4:$C$8000,"*"&amp;$B459&amp;"*",'Timesheet Raw'!$L$4:$L$8000,"&gt;="&amp;J$5,'Timesheet Raw'!$L$4:$L$8000,"&lt;="&amp;J$6)))/'Profit Plan'!$B$5)</f>
        <v/>
      </c>
      <c r="K459" s="122" t="str">
        <f>IF($A459="","",(IF(ISNUMBER(SEARCH("Proposal",$A459)),SUMIFS('Timesheet Raw'!$P$4:$P$8000,'Timesheet Raw'!$A$4:$A$8000,IF(ISNUMBER(SEARCH("Chargable",$A459)),"2-Proposals Chargeable","3-Proposals Regular"),'Timesheet Raw'!$C$4:$C$8000,"*"&amp;$B459&amp;"*",'Timesheet Raw'!$L$4:$L$8000,"&gt;="&amp;MAX(K$5,DATE(2000+VALUE(RIGHT(TRIM($A459),2)),1,1)),'Timesheet Raw'!$L$4:$L$8000,"&lt;="&amp;MIN(K$6,DATE(2000+VALUE(RIGHT(TRIM($A459),2)),12,31))),SUMIFS('Timesheet Raw'!$P$4:$P$8000,'Timesheet Raw'!$B$4:$B$8000,TRIM($A459),'Timesheet Raw'!$C$4:$C$8000,"*"&amp;$B459&amp;"*",'Timesheet Raw'!$L$4:$L$8000,"&gt;="&amp;K$5,'Timesheet Raw'!$L$4:$L$8000,"&lt;="&amp;K$6)))/'Profit Plan'!$B$5)</f>
        <v/>
      </c>
      <c r="L459" s="122" t="str">
        <f>IF($A459="","",(IF(ISNUMBER(SEARCH("Proposal",$A459)),SUMIFS('Timesheet Raw'!$P$4:$P$8000,'Timesheet Raw'!$A$4:$A$8000,IF(ISNUMBER(SEARCH("Chargable",$A459)),"2-Proposals Chargeable","3-Proposals Regular"),'Timesheet Raw'!$C$4:$C$8000,"*"&amp;$B459&amp;"*",'Timesheet Raw'!$L$4:$L$8000,"&gt;="&amp;MAX(L$5,DATE(2000+VALUE(RIGHT(TRIM($A459),2)),1,1)),'Timesheet Raw'!$L$4:$L$8000,"&lt;="&amp;MIN(L$6,DATE(2000+VALUE(RIGHT(TRIM($A459),2)),12,31))),SUMIFS('Timesheet Raw'!$P$4:$P$8000,'Timesheet Raw'!$B$4:$B$8000,TRIM($A459),'Timesheet Raw'!$C$4:$C$8000,"*"&amp;$B459&amp;"*",'Timesheet Raw'!$L$4:$L$8000,"&gt;="&amp;L$5,'Timesheet Raw'!$L$4:$L$8000,"&lt;="&amp;L$6)))/'Profit Plan'!$B$5)</f>
        <v/>
      </c>
      <c r="M459" s="122" t="str">
        <f>IF($A459="","",(IF(ISNUMBER(SEARCH("Proposal",$A459)),SUMIFS('Timesheet Raw'!$P$4:$P$8000,'Timesheet Raw'!$A$4:$A$8000,IF(ISNUMBER(SEARCH("Chargable",$A459)),"2-Proposals Chargeable","3-Proposals Regular"),'Timesheet Raw'!$C$4:$C$8000,"*"&amp;$B459&amp;"*",'Timesheet Raw'!$L$4:$L$8000,"&gt;="&amp;MAX(M$5,DATE(2000+VALUE(RIGHT(TRIM($A459),2)),1,1)),'Timesheet Raw'!$L$4:$L$8000,"&lt;="&amp;MIN(M$6,DATE(2000+VALUE(RIGHT(TRIM($A459),2)),12,31))),SUMIFS('Timesheet Raw'!$P$4:$P$8000,'Timesheet Raw'!$B$4:$B$8000,TRIM($A459),'Timesheet Raw'!$C$4:$C$8000,"*"&amp;$B459&amp;"*",'Timesheet Raw'!$L$4:$L$8000,"&gt;="&amp;M$5,'Timesheet Raw'!$L$4:$L$8000,"&lt;="&amp;M$6)))/'Profit Plan'!$B$5)</f>
        <v/>
      </c>
      <c r="N459" s="122" t="str">
        <f>IF($A459="","",(IF(ISNUMBER(SEARCH("Proposal",$A459)),SUMIFS('Timesheet Raw'!$P$4:$P$8000,'Timesheet Raw'!$A$4:$A$8000,IF(ISNUMBER(SEARCH("Chargable",$A459)),"2-Proposals Chargeable","3-Proposals Regular"),'Timesheet Raw'!$C$4:$C$8000,"*"&amp;$B459&amp;"*",'Timesheet Raw'!$L$4:$L$8000,"&gt;="&amp;MAX(N$5,DATE(2000+VALUE(RIGHT(TRIM($A459),2)),1,1)),'Timesheet Raw'!$L$4:$L$8000,"&lt;="&amp;MIN(N$6,DATE(2000+VALUE(RIGHT(TRIM($A459),2)),12,31))),SUMIFS('Timesheet Raw'!$P$4:$P$8000,'Timesheet Raw'!$B$4:$B$8000,TRIM($A459),'Timesheet Raw'!$C$4:$C$8000,"*"&amp;$B459&amp;"*",'Timesheet Raw'!$L$4:$L$8000,"&gt;="&amp;N$5,'Timesheet Raw'!$L$4:$L$8000,"&lt;="&amp;N$6)))/'Profit Plan'!$B$5)</f>
        <v/>
      </c>
      <c r="O459" s="122" t="str">
        <f>IF($A459="","",(IF(ISNUMBER(SEARCH("Proposal",$A459)),SUMIFS('Timesheet Raw'!$P$4:$P$8000,'Timesheet Raw'!$A$4:$A$8000,IF(ISNUMBER(SEARCH("Chargable",$A459)),"2-Proposals Chargeable","3-Proposals Regular"),'Timesheet Raw'!$C$4:$C$8000,"*"&amp;$B459&amp;"*",'Timesheet Raw'!$L$4:$L$8000,"&gt;="&amp;MAX(O$5,DATE(2000+VALUE(RIGHT(TRIM($A459),2)),1,1)),'Timesheet Raw'!$L$4:$L$8000,"&lt;="&amp;MIN(O$6,DATE(2000+VALUE(RIGHT(TRIM($A459),2)),12,31))),SUMIFS('Timesheet Raw'!$P$4:$P$8000,'Timesheet Raw'!$B$4:$B$8000,TRIM($A459),'Timesheet Raw'!$C$4:$C$8000,"*"&amp;$B459&amp;"*",'Timesheet Raw'!$L$4:$L$8000,"&gt;="&amp;O$5,'Timesheet Raw'!$L$4:$L$8000,"&lt;="&amp;O$6)))/'Profit Plan'!$B$5)</f>
        <v/>
      </c>
      <c r="P459" s="122" t="str">
        <f>IF($A459="","",(IF(ISNUMBER(SEARCH("Proposal",$A459)),SUMIFS('Timesheet Raw'!$P$4:$P$8000,'Timesheet Raw'!$A$4:$A$8000,IF(ISNUMBER(SEARCH("Chargable",$A459)),"2-Proposals Chargeable","3-Proposals Regular"),'Timesheet Raw'!$C$4:$C$8000,"*"&amp;$B459&amp;"*",'Timesheet Raw'!$L$4:$L$8000,"&gt;="&amp;MAX(P$5,DATE(2000+VALUE(RIGHT(TRIM($A459),2)),1,1)),'Timesheet Raw'!$L$4:$L$8000,"&lt;="&amp;MIN(P$6,DATE(2000+VALUE(RIGHT(TRIM($A459),2)),12,31))),SUMIFS('Timesheet Raw'!$P$4:$P$8000,'Timesheet Raw'!$B$4:$B$8000,TRIM($A459),'Timesheet Raw'!$C$4:$C$8000,"*"&amp;$B459&amp;"*",'Timesheet Raw'!$L$4:$L$8000,"&gt;="&amp;P$5,'Timesheet Raw'!$L$4:$L$8000,"&lt;="&amp;P$6)))/'Profit Plan'!$B$5)</f>
        <v/>
      </c>
      <c r="Q459" s="122" t="str">
        <f>IF($A459="","",(IF(ISNUMBER(SEARCH("Proposal",$A459)),SUMIFS('Timesheet Raw'!$P$4:$P$8000,'Timesheet Raw'!$A$4:$A$8000,IF(ISNUMBER(SEARCH("Chargable",$A459)),"2-Proposals Chargeable","3-Proposals Regular"),'Timesheet Raw'!$C$4:$C$8000,"*"&amp;$B459&amp;"*",'Timesheet Raw'!$L$4:$L$8000,"&gt;="&amp;MAX(Q$5,DATE(2000+VALUE(RIGHT(TRIM($A459),2)),1,1)),'Timesheet Raw'!$L$4:$L$8000,"&lt;="&amp;MIN(Q$6,DATE(2000+VALUE(RIGHT(TRIM($A459),2)),12,31))),SUMIFS('Timesheet Raw'!$P$4:$P$8000,'Timesheet Raw'!$B$4:$B$8000,TRIM($A459),'Timesheet Raw'!$C$4:$C$8000,"*"&amp;$B459&amp;"*",'Timesheet Raw'!$L$4:$L$8000,"&gt;="&amp;Q$5,'Timesheet Raw'!$L$4:$L$8000,"&lt;="&amp;Q$6)))/'Profit Plan'!$B$5)</f>
        <v/>
      </c>
      <c r="R459" s="122" t="str">
        <f>IF($A459="","",(IF(ISNUMBER(SEARCH("Proposal",$A459)),SUMIFS('Timesheet Raw'!$P$4:$P$8000,'Timesheet Raw'!$A$4:$A$8000,IF(ISNUMBER(SEARCH("Chargable",$A459)),"2-Proposals Chargeable","3-Proposals Regular"),'Timesheet Raw'!$C$4:$C$8000,"*"&amp;$B459&amp;"*",'Timesheet Raw'!$L$4:$L$8000,"&gt;="&amp;MAX(R$5,DATE(2000+VALUE(RIGHT(TRIM($A459),2)),1,1)),'Timesheet Raw'!$L$4:$L$8000,"&lt;="&amp;MIN(R$6,DATE(2000+VALUE(RIGHT(TRIM($A459),2)),12,31))),SUMIFS('Timesheet Raw'!$P$4:$P$8000,'Timesheet Raw'!$B$4:$B$8000,TRIM($A459),'Timesheet Raw'!$C$4:$C$8000,"*"&amp;$B459&amp;"*",'Timesheet Raw'!$L$4:$L$8000,"&gt;="&amp;R$5,'Timesheet Raw'!$L$4:$L$8000,"&lt;="&amp;R$6)))/'Profit Plan'!$B$5)</f>
        <v/>
      </c>
      <c r="S459" s="122" t="str">
        <f>IF($A459="","",(IF(ISNUMBER(SEARCH("Proposal",$A459)),SUMIFS('Timesheet Raw'!$P$4:$P$8000,'Timesheet Raw'!$A$4:$A$8000,IF(ISNUMBER(SEARCH("Chargable",$A459)),"2-Proposals Chargeable","3-Proposals Regular"),'Timesheet Raw'!$C$4:$C$8000,"*"&amp;$B459&amp;"*",'Timesheet Raw'!$L$4:$L$8000,"&gt;="&amp;MAX(S$5,DATE(2000+VALUE(RIGHT(TRIM($A459),2)),1,1)),'Timesheet Raw'!$L$4:$L$8000,"&lt;="&amp;MIN(S$6,DATE(2000+VALUE(RIGHT(TRIM($A459),2)),12,31))),SUMIFS('Timesheet Raw'!$P$4:$P$8000,'Timesheet Raw'!$B$4:$B$8000,TRIM($A459),'Timesheet Raw'!$C$4:$C$8000,"*"&amp;$B459&amp;"*",'Timesheet Raw'!$L$4:$L$8000,"&gt;="&amp;S$5,'Timesheet Raw'!$L$4:$L$8000,"&lt;="&amp;S$6)))/'Profit Plan'!$B$5)</f>
        <v/>
      </c>
      <c r="T459" s="122" t="str">
        <f>IF($A459="","",(IF(ISNUMBER(SEARCH("Proposal",$A459)),SUMIFS('Timesheet Raw'!$P$4:$P$8000,'Timesheet Raw'!$A$4:$A$8000,IF(ISNUMBER(SEARCH("Chargable",$A459)),"2-Proposals Chargeable","3-Proposals Regular"),'Timesheet Raw'!$C$4:$C$8000,"*"&amp;$B459&amp;"*",'Timesheet Raw'!$L$4:$L$8000,"&gt;="&amp;MAX(T$5,DATE(2000+VALUE(RIGHT(TRIM($A459),2)),1,1)),'Timesheet Raw'!$L$4:$L$8000,"&lt;="&amp;MIN(T$6,DATE(2000+VALUE(RIGHT(TRIM($A459),2)),12,31))),SUMIFS('Timesheet Raw'!$P$4:$P$8000,'Timesheet Raw'!$B$4:$B$8000,TRIM($A459),'Timesheet Raw'!$C$4:$C$8000,"*"&amp;$B459&amp;"*",'Timesheet Raw'!$L$4:$L$8000,"&gt;="&amp;T$5,'Timesheet Raw'!$L$4:$L$8000,"&lt;="&amp;T$6)))/'Profit Plan'!$B$5)</f>
        <v/>
      </c>
      <c r="U459" s="122" t="str">
        <f>IF($A459="","",(IF(ISNUMBER(SEARCH("Proposal",$A459)),SUMIFS('Timesheet Raw'!$P$4:$P$8000,'Timesheet Raw'!$A$4:$A$8000,IF(ISNUMBER(SEARCH("Chargable",$A459)),"2-Proposals Chargeable","3-Proposals Regular"),'Timesheet Raw'!$C$4:$C$8000,"*"&amp;$B459&amp;"*",'Timesheet Raw'!$L$4:$L$8000,"&gt;="&amp;MAX(U$5,DATE(2000+VALUE(RIGHT(TRIM($A459),2)),1,1)),'Timesheet Raw'!$L$4:$L$8000,"&lt;="&amp;MIN(U$6,DATE(2000+VALUE(RIGHT(TRIM($A459),2)),12,31))),SUMIFS('Timesheet Raw'!$P$4:$P$8000,'Timesheet Raw'!$B$4:$B$8000,TRIM($A459),'Timesheet Raw'!$C$4:$C$8000,"*"&amp;$B459&amp;"*",'Timesheet Raw'!$L$4:$L$8000,"&gt;="&amp;U$5,'Timesheet Raw'!$L$4:$L$8000,"&lt;="&amp;U$6)))/'Profit Plan'!$B$5)</f>
        <v/>
      </c>
      <c r="V459" s="122" t="str">
        <f>IF($A459="","",(IF(ISNUMBER(SEARCH("Proposal",$A459)),SUMIFS('Timesheet Raw'!$P$4:$P$8000,'Timesheet Raw'!$A$4:$A$8000,IF(ISNUMBER(SEARCH("Chargable",$A459)),"2-Proposals Chargeable","3-Proposals Regular"),'Timesheet Raw'!$C$4:$C$8000,"*"&amp;$B459&amp;"*",'Timesheet Raw'!$L$4:$L$8000,"&gt;="&amp;MAX(V$5,DATE(2000+VALUE(RIGHT(TRIM($A459),2)),1,1)),'Timesheet Raw'!$L$4:$L$8000,"&lt;="&amp;MIN(V$6,DATE(2000+VALUE(RIGHT(TRIM($A459),2)),12,31))),SUMIFS('Timesheet Raw'!$P$4:$P$8000,'Timesheet Raw'!$B$4:$B$8000,TRIM($A459),'Timesheet Raw'!$C$4:$C$8000,"*"&amp;$B459&amp;"*",'Timesheet Raw'!$L$4:$L$8000,"&gt;="&amp;V$5,'Timesheet Raw'!$L$4:$L$8000,"&lt;="&amp;V$6)))/'Profit Plan'!$B$5)</f>
        <v/>
      </c>
      <c r="W459" s="122" t="str">
        <f>IF($A459="","",(IF(ISNUMBER(SEARCH("Proposal",$A459)),SUMIFS('Timesheet Raw'!$P$4:$P$8000,'Timesheet Raw'!$A$4:$A$8000,IF(ISNUMBER(SEARCH("Chargable",$A459)),"2-Proposals Chargeable","3-Proposals Regular"),'Timesheet Raw'!$C$4:$C$8000,"*"&amp;$B459&amp;"*",'Timesheet Raw'!$L$4:$L$8000,"&gt;="&amp;MAX(W$5,DATE(2000+VALUE(RIGHT(TRIM($A459),2)),1,1)),'Timesheet Raw'!$L$4:$L$8000,"&lt;="&amp;MIN(W$6,DATE(2000+VALUE(RIGHT(TRIM($A459),2)),12,31))),SUMIFS('Timesheet Raw'!$P$4:$P$8000,'Timesheet Raw'!$B$4:$B$8000,TRIM($A459),'Timesheet Raw'!$C$4:$C$8000,"*"&amp;$B459&amp;"*",'Timesheet Raw'!$L$4:$L$8000,"&gt;="&amp;W$5,'Timesheet Raw'!$L$4:$L$8000,"&lt;="&amp;W$6)))/'Profit Plan'!$B$5)</f>
        <v/>
      </c>
      <c r="X459" s="122" t="str">
        <f>IF($A459="","",(IF(ISNUMBER(SEARCH("Proposal",$A459)),SUMIFS('Timesheet Raw'!$P$4:$P$8000,'Timesheet Raw'!$A$4:$A$8000,IF(ISNUMBER(SEARCH("Chargable",$A459)),"2-Proposals Chargeable","3-Proposals Regular"),'Timesheet Raw'!$C$4:$C$8000,"*"&amp;$B459&amp;"*",'Timesheet Raw'!$L$4:$L$8000,"&gt;="&amp;MAX(X$5,DATE(2000+VALUE(RIGHT(TRIM($A459),2)),1,1)),'Timesheet Raw'!$L$4:$L$8000,"&lt;="&amp;MIN(X$6,DATE(2000+VALUE(RIGHT(TRIM($A459),2)),12,31))),SUMIFS('Timesheet Raw'!$P$4:$P$8000,'Timesheet Raw'!$B$4:$B$8000,TRIM($A459),'Timesheet Raw'!$C$4:$C$8000,"*"&amp;$B459&amp;"*",'Timesheet Raw'!$L$4:$L$8000,"&gt;="&amp;X$5,'Timesheet Raw'!$L$4:$L$8000,"&lt;="&amp;X$6)))/'Profit Plan'!$B$5)</f>
        <v/>
      </c>
      <c r="Y459" s="118">
        <f t="shared" si="103"/>
        <v>0</v>
      </c>
    </row>
    <row r="460" spans="1:25" x14ac:dyDescent="0.3">
      <c r="A460" s="116" t="str">
        <f>IF(Inputs!$A71="","",Inputs!$A71)</f>
        <v/>
      </c>
      <c r="B460" s="116" t="str">
        <f>IF(Inputs!$A71="","",Inputs!$A$91)</f>
        <v/>
      </c>
      <c r="C460" s="116"/>
      <c r="D460" s="122" t="str">
        <f>IF($A460="","",(IF(ISNUMBER(SEARCH("Proposal",$A460)),SUMIFS('Timesheet Raw'!$P$4:$P$8000,'Timesheet Raw'!$A$4:$A$8000,IF(ISNUMBER(SEARCH("Chargable",$A460)),"2-Proposals Chargeable","3-Proposals Regular"),'Timesheet Raw'!$C$4:$C$8000,"*"&amp;$B460&amp;"*",'Timesheet Raw'!$L$4:$L$8000,"&gt;="&amp;MAX(D$5,DATE(2000+VALUE(RIGHT(TRIM($A460),2)),1,1)),'Timesheet Raw'!$L$4:$L$8000,"&lt;="&amp;MIN(D$6,DATE(2000+VALUE(RIGHT(TRIM($A460),2)),12,31))),SUMIFS('Timesheet Raw'!$P$4:$P$8000,'Timesheet Raw'!$B$4:$B$8000,TRIM($A460),'Timesheet Raw'!$C$4:$C$8000,"*"&amp;$B460&amp;"*",'Timesheet Raw'!$L$4:$L$8000,"&gt;="&amp;D$5,'Timesheet Raw'!$L$4:$L$8000,"&lt;="&amp;D$6)))/'Profit Plan'!$B$5)</f>
        <v/>
      </c>
      <c r="E460" s="122" t="str">
        <f>IF($A460="","",(IF(ISNUMBER(SEARCH("Proposal",$A460)),SUMIFS('Timesheet Raw'!$P$4:$P$8000,'Timesheet Raw'!$A$4:$A$8000,IF(ISNUMBER(SEARCH("Chargable",$A460)),"2-Proposals Chargeable","3-Proposals Regular"),'Timesheet Raw'!$C$4:$C$8000,"*"&amp;$B460&amp;"*",'Timesheet Raw'!$L$4:$L$8000,"&gt;="&amp;MAX(E$5,DATE(2000+VALUE(RIGHT(TRIM($A460),2)),1,1)),'Timesheet Raw'!$L$4:$L$8000,"&lt;="&amp;MIN(E$6,DATE(2000+VALUE(RIGHT(TRIM($A460),2)),12,31))),SUMIFS('Timesheet Raw'!$P$4:$P$8000,'Timesheet Raw'!$B$4:$B$8000,TRIM($A460),'Timesheet Raw'!$C$4:$C$8000,"*"&amp;$B460&amp;"*",'Timesheet Raw'!$L$4:$L$8000,"&gt;="&amp;E$5,'Timesheet Raw'!$L$4:$L$8000,"&lt;="&amp;E$6)))/'Profit Plan'!$B$5)</f>
        <v/>
      </c>
      <c r="F460" s="122" t="str">
        <f>IF($A460="","",(IF(ISNUMBER(SEARCH("Proposal",$A460)),SUMIFS('Timesheet Raw'!$P$4:$P$8000,'Timesheet Raw'!$A$4:$A$8000,IF(ISNUMBER(SEARCH("Chargable",$A460)),"2-Proposals Chargeable","3-Proposals Regular"),'Timesheet Raw'!$C$4:$C$8000,"*"&amp;$B460&amp;"*",'Timesheet Raw'!$L$4:$L$8000,"&gt;="&amp;MAX(F$5,DATE(2000+VALUE(RIGHT(TRIM($A460),2)),1,1)),'Timesheet Raw'!$L$4:$L$8000,"&lt;="&amp;MIN(F$6,DATE(2000+VALUE(RIGHT(TRIM($A460),2)),12,31))),SUMIFS('Timesheet Raw'!$P$4:$P$8000,'Timesheet Raw'!$B$4:$B$8000,TRIM($A460),'Timesheet Raw'!$C$4:$C$8000,"*"&amp;$B460&amp;"*",'Timesheet Raw'!$L$4:$L$8000,"&gt;="&amp;F$5,'Timesheet Raw'!$L$4:$L$8000,"&lt;="&amp;F$6)))/'Profit Plan'!$B$5)</f>
        <v/>
      </c>
      <c r="G460" s="122" t="str">
        <f>IF($A460="","",(IF(ISNUMBER(SEARCH("Proposal",$A460)),SUMIFS('Timesheet Raw'!$P$4:$P$8000,'Timesheet Raw'!$A$4:$A$8000,IF(ISNUMBER(SEARCH("Chargable",$A460)),"2-Proposals Chargeable","3-Proposals Regular"),'Timesheet Raw'!$C$4:$C$8000,"*"&amp;$B460&amp;"*",'Timesheet Raw'!$L$4:$L$8000,"&gt;="&amp;MAX(G$5,DATE(2000+VALUE(RIGHT(TRIM($A460),2)),1,1)),'Timesheet Raw'!$L$4:$L$8000,"&lt;="&amp;MIN(G$6,DATE(2000+VALUE(RIGHT(TRIM($A460),2)),12,31))),SUMIFS('Timesheet Raw'!$P$4:$P$8000,'Timesheet Raw'!$B$4:$B$8000,TRIM($A460),'Timesheet Raw'!$C$4:$C$8000,"*"&amp;$B460&amp;"*",'Timesheet Raw'!$L$4:$L$8000,"&gt;="&amp;G$5,'Timesheet Raw'!$L$4:$L$8000,"&lt;="&amp;G$6)))/'Profit Plan'!$B$5)</f>
        <v/>
      </c>
      <c r="H460" s="122" t="str">
        <f>IF($A460="","",(IF(ISNUMBER(SEARCH("Proposal",$A460)),SUMIFS('Timesheet Raw'!$P$4:$P$8000,'Timesheet Raw'!$A$4:$A$8000,IF(ISNUMBER(SEARCH("Chargable",$A460)),"2-Proposals Chargeable","3-Proposals Regular"),'Timesheet Raw'!$C$4:$C$8000,"*"&amp;$B460&amp;"*",'Timesheet Raw'!$L$4:$L$8000,"&gt;="&amp;MAX(H$5,DATE(2000+VALUE(RIGHT(TRIM($A460),2)),1,1)),'Timesheet Raw'!$L$4:$L$8000,"&lt;="&amp;MIN(H$6,DATE(2000+VALUE(RIGHT(TRIM($A460),2)),12,31))),SUMIFS('Timesheet Raw'!$P$4:$P$8000,'Timesheet Raw'!$B$4:$B$8000,TRIM($A460),'Timesheet Raw'!$C$4:$C$8000,"*"&amp;$B460&amp;"*",'Timesheet Raw'!$L$4:$L$8000,"&gt;="&amp;H$5,'Timesheet Raw'!$L$4:$L$8000,"&lt;="&amp;H$6)))/'Profit Plan'!$B$5)</f>
        <v/>
      </c>
      <c r="I460" s="122" t="str">
        <f>IF($A460="","",(IF(ISNUMBER(SEARCH("Proposal",$A460)),SUMIFS('Timesheet Raw'!$P$4:$P$8000,'Timesheet Raw'!$A$4:$A$8000,IF(ISNUMBER(SEARCH("Chargable",$A460)),"2-Proposals Chargeable","3-Proposals Regular"),'Timesheet Raw'!$C$4:$C$8000,"*"&amp;$B460&amp;"*",'Timesheet Raw'!$L$4:$L$8000,"&gt;="&amp;MAX(I$5,DATE(2000+VALUE(RIGHT(TRIM($A460),2)),1,1)),'Timesheet Raw'!$L$4:$L$8000,"&lt;="&amp;MIN(I$6,DATE(2000+VALUE(RIGHT(TRIM($A460),2)),12,31))),SUMIFS('Timesheet Raw'!$P$4:$P$8000,'Timesheet Raw'!$B$4:$B$8000,TRIM($A460),'Timesheet Raw'!$C$4:$C$8000,"*"&amp;$B460&amp;"*",'Timesheet Raw'!$L$4:$L$8000,"&gt;="&amp;I$5,'Timesheet Raw'!$L$4:$L$8000,"&lt;="&amp;I$6)))/'Profit Plan'!$B$5)</f>
        <v/>
      </c>
      <c r="J460" s="122" t="str">
        <f>IF($A460="","",(IF(ISNUMBER(SEARCH("Proposal",$A460)),SUMIFS('Timesheet Raw'!$P$4:$P$8000,'Timesheet Raw'!$A$4:$A$8000,IF(ISNUMBER(SEARCH("Chargable",$A460)),"2-Proposals Chargeable","3-Proposals Regular"),'Timesheet Raw'!$C$4:$C$8000,"*"&amp;$B460&amp;"*",'Timesheet Raw'!$L$4:$L$8000,"&gt;="&amp;MAX(J$5,DATE(2000+VALUE(RIGHT(TRIM($A460),2)),1,1)),'Timesheet Raw'!$L$4:$L$8000,"&lt;="&amp;MIN(J$6,DATE(2000+VALUE(RIGHT(TRIM($A460),2)),12,31))),SUMIFS('Timesheet Raw'!$P$4:$P$8000,'Timesheet Raw'!$B$4:$B$8000,TRIM($A460),'Timesheet Raw'!$C$4:$C$8000,"*"&amp;$B460&amp;"*",'Timesheet Raw'!$L$4:$L$8000,"&gt;="&amp;J$5,'Timesheet Raw'!$L$4:$L$8000,"&lt;="&amp;J$6)))/'Profit Plan'!$B$5)</f>
        <v/>
      </c>
      <c r="K460" s="122" t="str">
        <f>IF($A460="","",(IF(ISNUMBER(SEARCH("Proposal",$A460)),SUMIFS('Timesheet Raw'!$P$4:$P$8000,'Timesheet Raw'!$A$4:$A$8000,IF(ISNUMBER(SEARCH("Chargable",$A460)),"2-Proposals Chargeable","3-Proposals Regular"),'Timesheet Raw'!$C$4:$C$8000,"*"&amp;$B460&amp;"*",'Timesheet Raw'!$L$4:$L$8000,"&gt;="&amp;MAX(K$5,DATE(2000+VALUE(RIGHT(TRIM($A460),2)),1,1)),'Timesheet Raw'!$L$4:$L$8000,"&lt;="&amp;MIN(K$6,DATE(2000+VALUE(RIGHT(TRIM($A460),2)),12,31))),SUMIFS('Timesheet Raw'!$P$4:$P$8000,'Timesheet Raw'!$B$4:$B$8000,TRIM($A460),'Timesheet Raw'!$C$4:$C$8000,"*"&amp;$B460&amp;"*",'Timesheet Raw'!$L$4:$L$8000,"&gt;="&amp;K$5,'Timesheet Raw'!$L$4:$L$8000,"&lt;="&amp;K$6)))/'Profit Plan'!$B$5)</f>
        <v/>
      </c>
      <c r="L460" s="122" t="str">
        <f>IF($A460="","",(IF(ISNUMBER(SEARCH("Proposal",$A460)),SUMIFS('Timesheet Raw'!$P$4:$P$8000,'Timesheet Raw'!$A$4:$A$8000,IF(ISNUMBER(SEARCH("Chargable",$A460)),"2-Proposals Chargeable","3-Proposals Regular"),'Timesheet Raw'!$C$4:$C$8000,"*"&amp;$B460&amp;"*",'Timesheet Raw'!$L$4:$L$8000,"&gt;="&amp;MAX(L$5,DATE(2000+VALUE(RIGHT(TRIM($A460),2)),1,1)),'Timesheet Raw'!$L$4:$L$8000,"&lt;="&amp;MIN(L$6,DATE(2000+VALUE(RIGHT(TRIM($A460),2)),12,31))),SUMIFS('Timesheet Raw'!$P$4:$P$8000,'Timesheet Raw'!$B$4:$B$8000,TRIM($A460),'Timesheet Raw'!$C$4:$C$8000,"*"&amp;$B460&amp;"*",'Timesheet Raw'!$L$4:$L$8000,"&gt;="&amp;L$5,'Timesheet Raw'!$L$4:$L$8000,"&lt;="&amp;L$6)))/'Profit Plan'!$B$5)</f>
        <v/>
      </c>
      <c r="M460" s="122" t="str">
        <f>IF($A460="","",(IF(ISNUMBER(SEARCH("Proposal",$A460)),SUMIFS('Timesheet Raw'!$P$4:$P$8000,'Timesheet Raw'!$A$4:$A$8000,IF(ISNUMBER(SEARCH("Chargable",$A460)),"2-Proposals Chargeable","3-Proposals Regular"),'Timesheet Raw'!$C$4:$C$8000,"*"&amp;$B460&amp;"*",'Timesheet Raw'!$L$4:$L$8000,"&gt;="&amp;MAX(M$5,DATE(2000+VALUE(RIGHT(TRIM($A460),2)),1,1)),'Timesheet Raw'!$L$4:$L$8000,"&lt;="&amp;MIN(M$6,DATE(2000+VALUE(RIGHT(TRIM($A460),2)),12,31))),SUMIFS('Timesheet Raw'!$P$4:$P$8000,'Timesheet Raw'!$B$4:$B$8000,TRIM($A460),'Timesheet Raw'!$C$4:$C$8000,"*"&amp;$B460&amp;"*",'Timesheet Raw'!$L$4:$L$8000,"&gt;="&amp;M$5,'Timesheet Raw'!$L$4:$L$8000,"&lt;="&amp;M$6)))/'Profit Plan'!$B$5)</f>
        <v/>
      </c>
      <c r="N460" s="122" t="str">
        <f>IF($A460="","",(IF(ISNUMBER(SEARCH("Proposal",$A460)),SUMIFS('Timesheet Raw'!$P$4:$P$8000,'Timesheet Raw'!$A$4:$A$8000,IF(ISNUMBER(SEARCH("Chargable",$A460)),"2-Proposals Chargeable","3-Proposals Regular"),'Timesheet Raw'!$C$4:$C$8000,"*"&amp;$B460&amp;"*",'Timesheet Raw'!$L$4:$L$8000,"&gt;="&amp;MAX(N$5,DATE(2000+VALUE(RIGHT(TRIM($A460),2)),1,1)),'Timesheet Raw'!$L$4:$L$8000,"&lt;="&amp;MIN(N$6,DATE(2000+VALUE(RIGHT(TRIM($A460),2)),12,31))),SUMIFS('Timesheet Raw'!$P$4:$P$8000,'Timesheet Raw'!$B$4:$B$8000,TRIM($A460),'Timesheet Raw'!$C$4:$C$8000,"*"&amp;$B460&amp;"*",'Timesheet Raw'!$L$4:$L$8000,"&gt;="&amp;N$5,'Timesheet Raw'!$L$4:$L$8000,"&lt;="&amp;N$6)))/'Profit Plan'!$B$5)</f>
        <v/>
      </c>
      <c r="O460" s="122" t="str">
        <f>IF($A460="","",(IF(ISNUMBER(SEARCH("Proposal",$A460)),SUMIFS('Timesheet Raw'!$P$4:$P$8000,'Timesheet Raw'!$A$4:$A$8000,IF(ISNUMBER(SEARCH("Chargable",$A460)),"2-Proposals Chargeable","3-Proposals Regular"),'Timesheet Raw'!$C$4:$C$8000,"*"&amp;$B460&amp;"*",'Timesheet Raw'!$L$4:$L$8000,"&gt;="&amp;MAX(O$5,DATE(2000+VALUE(RIGHT(TRIM($A460),2)),1,1)),'Timesheet Raw'!$L$4:$L$8000,"&lt;="&amp;MIN(O$6,DATE(2000+VALUE(RIGHT(TRIM($A460),2)),12,31))),SUMIFS('Timesheet Raw'!$P$4:$P$8000,'Timesheet Raw'!$B$4:$B$8000,TRIM($A460),'Timesheet Raw'!$C$4:$C$8000,"*"&amp;$B460&amp;"*",'Timesheet Raw'!$L$4:$L$8000,"&gt;="&amp;O$5,'Timesheet Raw'!$L$4:$L$8000,"&lt;="&amp;O$6)))/'Profit Plan'!$B$5)</f>
        <v/>
      </c>
      <c r="P460" s="122" t="str">
        <f>IF($A460="","",(IF(ISNUMBER(SEARCH("Proposal",$A460)),SUMIFS('Timesheet Raw'!$P$4:$P$8000,'Timesheet Raw'!$A$4:$A$8000,IF(ISNUMBER(SEARCH("Chargable",$A460)),"2-Proposals Chargeable","3-Proposals Regular"),'Timesheet Raw'!$C$4:$C$8000,"*"&amp;$B460&amp;"*",'Timesheet Raw'!$L$4:$L$8000,"&gt;="&amp;MAX(P$5,DATE(2000+VALUE(RIGHT(TRIM($A460),2)),1,1)),'Timesheet Raw'!$L$4:$L$8000,"&lt;="&amp;MIN(P$6,DATE(2000+VALUE(RIGHT(TRIM($A460),2)),12,31))),SUMIFS('Timesheet Raw'!$P$4:$P$8000,'Timesheet Raw'!$B$4:$B$8000,TRIM($A460),'Timesheet Raw'!$C$4:$C$8000,"*"&amp;$B460&amp;"*",'Timesheet Raw'!$L$4:$L$8000,"&gt;="&amp;P$5,'Timesheet Raw'!$L$4:$L$8000,"&lt;="&amp;P$6)))/'Profit Plan'!$B$5)</f>
        <v/>
      </c>
      <c r="Q460" s="122" t="str">
        <f>IF($A460="","",(IF(ISNUMBER(SEARCH("Proposal",$A460)),SUMIFS('Timesheet Raw'!$P$4:$P$8000,'Timesheet Raw'!$A$4:$A$8000,IF(ISNUMBER(SEARCH("Chargable",$A460)),"2-Proposals Chargeable","3-Proposals Regular"),'Timesheet Raw'!$C$4:$C$8000,"*"&amp;$B460&amp;"*",'Timesheet Raw'!$L$4:$L$8000,"&gt;="&amp;MAX(Q$5,DATE(2000+VALUE(RIGHT(TRIM($A460),2)),1,1)),'Timesheet Raw'!$L$4:$L$8000,"&lt;="&amp;MIN(Q$6,DATE(2000+VALUE(RIGHT(TRIM($A460),2)),12,31))),SUMIFS('Timesheet Raw'!$P$4:$P$8000,'Timesheet Raw'!$B$4:$B$8000,TRIM($A460),'Timesheet Raw'!$C$4:$C$8000,"*"&amp;$B460&amp;"*",'Timesheet Raw'!$L$4:$L$8000,"&gt;="&amp;Q$5,'Timesheet Raw'!$L$4:$L$8000,"&lt;="&amp;Q$6)))/'Profit Plan'!$B$5)</f>
        <v/>
      </c>
      <c r="R460" s="122" t="str">
        <f>IF($A460="","",(IF(ISNUMBER(SEARCH("Proposal",$A460)),SUMIFS('Timesheet Raw'!$P$4:$P$8000,'Timesheet Raw'!$A$4:$A$8000,IF(ISNUMBER(SEARCH("Chargable",$A460)),"2-Proposals Chargeable","3-Proposals Regular"),'Timesheet Raw'!$C$4:$C$8000,"*"&amp;$B460&amp;"*",'Timesheet Raw'!$L$4:$L$8000,"&gt;="&amp;MAX(R$5,DATE(2000+VALUE(RIGHT(TRIM($A460),2)),1,1)),'Timesheet Raw'!$L$4:$L$8000,"&lt;="&amp;MIN(R$6,DATE(2000+VALUE(RIGHT(TRIM($A460),2)),12,31))),SUMIFS('Timesheet Raw'!$P$4:$P$8000,'Timesheet Raw'!$B$4:$B$8000,TRIM($A460),'Timesheet Raw'!$C$4:$C$8000,"*"&amp;$B460&amp;"*",'Timesheet Raw'!$L$4:$L$8000,"&gt;="&amp;R$5,'Timesheet Raw'!$L$4:$L$8000,"&lt;="&amp;R$6)))/'Profit Plan'!$B$5)</f>
        <v/>
      </c>
      <c r="S460" s="122" t="str">
        <f>IF($A460="","",(IF(ISNUMBER(SEARCH("Proposal",$A460)),SUMIFS('Timesheet Raw'!$P$4:$P$8000,'Timesheet Raw'!$A$4:$A$8000,IF(ISNUMBER(SEARCH("Chargable",$A460)),"2-Proposals Chargeable","3-Proposals Regular"),'Timesheet Raw'!$C$4:$C$8000,"*"&amp;$B460&amp;"*",'Timesheet Raw'!$L$4:$L$8000,"&gt;="&amp;MAX(S$5,DATE(2000+VALUE(RIGHT(TRIM($A460),2)),1,1)),'Timesheet Raw'!$L$4:$L$8000,"&lt;="&amp;MIN(S$6,DATE(2000+VALUE(RIGHT(TRIM($A460),2)),12,31))),SUMIFS('Timesheet Raw'!$P$4:$P$8000,'Timesheet Raw'!$B$4:$B$8000,TRIM($A460),'Timesheet Raw'!$C$4:$C$8000,"*"&amp;$B460&amp;"*",'Timesheet Raw'!$L$4:$L$8000,"&gt;="&amp;S$5,'Timesheet Raw'!$L$4:$L$8000,"&lt;="&amp;S$6)))/'Profit Plan'!$B$5)</f>
        <v/>
      </c>
      <c r="T460" s="122" t="str">
        <f>IF($A460="","",(IF(ISNUMBER(SEARCH("Proposal",$A460)),SUMIFS('Timesheet Raw'!$P$4:$P$8000,'Timesheet Raw'!$A$4:$A$8000,IF(ISNUMBER(SEARCH("Chargable",$A460)),"2-Proposals Chargeable","3-Proposals Regular"),'Timesheet Raw'!$C$4:$C$8000,"*"&amp;$B460&amp;"*",'Timesheet Raw'!$L$4:$L$8000,"&gt;="&amp;MAX(T$5,DATE(2000+VALUE(RIGHT(TRIM($A460),2)),1,1)),'Timesheet Raw'!$L$4:$L$8000,"&lt;="&amp;MIN(T$6,DATE(2000+VALUE(RIGHT(TRIM($A460),2)),12,31))),SUMIFS('Timesheet Raw'!$P$4:$P$8000,'Timesheet Raw'!$B$4:$B$8000,TRIM($A460),'Timesheet Raw'!$C$4:$C$8000,"*"&amp;$B460&amp;"*",'Timesheet Raw'!$L$4:$L$8000,"&gt;="&amp;T$5,'Timesheet Raw'!$L$4:$L$8000,"&lt;="&amp;T$6)))/'Profit Plan'!$B$5)</f>
        <v/>
      </c>
      <c r="U460" s="122" t="str">
        <f>IF($A460="","",(IF(ISNUMBER(SEARCH("Proposal",$A460)),SUMIFS('Timesheet Raw'!$P$4:$P$8000,'Timesheet Raw'!$A$4:$A$8000,IF(ISNUMBER(SEARCH("Chargable",$A460)),"2-Proposals Chargeable","3-Proposals Regular"),'Timesheet Raw'!$C$4:$C$8000,"*"&amp;$B460&amp;"*",'Timesheet Raw'!$L$4:$L$8000,"&gt;="&amp;MAX(U$5,DATE(2000+VALUE(RIGHT(TRIM($A460),2)),1,1)),'Timesheet Raw'!$L$4:$L$8000,"&lt;="&amp;MIN(U$6,DATE(2000+VALUE(RIGHT(TRIM($A460),2)),12,31))),SUMIFS('Timesheet Raw'!$P$4:$P$8000,'Timesheet Raw'!$B$4:$B$8000,TRIM($A460),'Timesheet Raw'!$C$4:$C$8000,"*"&amp;$B460&amp;"*",'Timesheet Raw'!$L$4:$L$8000,"&gt;="&amp;U$5,'Timesheet Raw'!$L$4:$L$8000,"&lt;="&amp;U$6)))/'Profit Plan'!$B$5)</f>
        <v/>
      </c>
      <c r="V460" s="122" t="str">
        <f>IF($A460="","",(IF(ISNUMBER(SEARCH("Proposal",$A460)),SUMIFS('Timesheet Raw'!$P$4:$P$8000,'Timesheet Raw'!$A$4:$A$8000,IF(ISNUMBER(SEARCH("Chargable",$A460)),"2-Proposals Chargeable","3-Proposals Regular"),'Timesheet Raw'!$C$4:$C$8000,"*"&amp;$B460&amp;"*",'Timesheet Raw'!$L$4:$L$8000,"&gt;="&amp;MAX(V$5,DATE(2000+VALUE(RIGHT(TRIM($A460),2)),1,1)),'Timesheet Raw'!$L$4:$L$8000,"&lt;="&amp;MIN(V$6,DATE(2000+VALUE(RIGHT(TRIM($A460),2)),12,31))),SUMIFS('Timesheet Raw'!$P$4:$P$8000,'Timesheet Raw'!$B$4:$B$8000,TRIM($A460),'Timesheet Raw'!$C$4:$C$8000,"*"&amp;$B460&amp;"*",'Timesheet Raw'!$L$4:$L$8000,"&gt;="&amp;V$5,'Timesheet Raw'!$L$4:$L$8000,"&lt;="&amp;V$6)))/'Profit Plan'!$B$5)</f>
        <v/>
      </c>
      <c r="W460" s="122" t="str">
        <f>IF($A460="","",(IF(ISNUMBER(SEARCH("Proposal",$A460)),SUMIFS('Timesheet Raw'!$P$4:$P$8000,'Timesheet Raw'!$A$4:$A$8000,IF(ISNUMBER(SEARCH("Chargable",$A460)),"2-Proposals Chargeable","3-Proposals Regular"),'Timesheet Raw'!$C$4:$C$8000,"*"&amp;$B460&amp;"*",'Timesheet Raw'!$L$4:$L$8000,"&gt;="&amp;MAX(W$5,DATE(2000+VALUE(RIGHT(TRIM($A460),2)),1,1)),'Timesheet Raw'!$L$4:$L$8000,"&lt;="&amp;MIN(W$6,DATE(2000+VALUE(RIGHT(TRIM($A460),2)),12,31))),SUMIFS('Timesheet Raw'!$P$4:$P$8000,'Timesheet Raw'!$B$4:$B$8000,TRIM($A460),'Timesheet Raw'!$C$4:$C$8000,"*"&amp;$B460&amp;"*",'Timesheet Raw'!$L$4:$L$8000,"&gt;="&amp;W$5,'Timesheet Raw'!$L$4:$L$8000,"&lt;="&amp;W$6)))/'Profit Plan'!$B$5)</f>
        <v/>
      </c>
      <c r="X460" s="122" t="str">
        <f>IF($A460="","",(IF(ISNUMBER(SEARCH("Proposal",$A460)),SUMIFS('Timesheet Raw'!$P$4:$P$8000,'Timesheet Raw'!$A$4:$A$8000,IF(ISNUMBER(SEARCH("Chargable",$A460)),"2-Proposals Chargeable","3-Proposals Regular"),'Timesheet Raw'!$C$4:$C$8000,"*"&amp;$B460&amp;"*",'Timesheet Raw'!$L$4:$L$8000,"&gt;="&amp;MAX(X$5,DATE(2000+VALUE(RIGHT(TRIM($A460),2)),1,1)),'Timesheet Raw'!$L$4:$L$8000,"&lt;="&amp;MIN(X$6,DATE(2000+VALUE(RIGHT(TRIM($A460),2)),12,31))),SUMIFS('Timesheet Raw'!$P$4:$P$8000,'Timesheet Raw'!$B$4:$B$8000,TRIM($A460),'Timesheet Raw'!$C$4:$C$8000,"*"&amp;$B460&amp;"*",'Timesheet Raw'!$L$4:$L$8000,"&gt;="&amp;X$5,'Timesheet Raw'!$L$4:$L$8000,"&lt;="&amp;X$6)))/'Profit Plan'!$B$5)</f>
        <v/>
      </c>
      <c r="Y460" s="118">
        <f t="shared" si="103"/>
        <v>0</v>
      </c>
    </row>
    <row r="461" spans="1:25" x14ac:dyDescent="0.3">
      <c r="A461" s="116" t="str">
        <f>IF(Inputs!$A71="","",Inputs!$A71)</f>
        <v/>
      </c>
      <c r="B461" s="116" t="str">
        <f>IF(Inputs!$A71="","",Inputs!$A$92)</f>
        <v/>
      </c>
      <c r="C461" s="116"/>
      <c r="D461" s="122" t="str">
        <f>IF($A461="","",(IF(ISNUMBER(SEARCH("Proposal",$A461)),SUMIFS('Timesheet Raw'!$P$4:$P$8000,'Timesheet Raw'!$A$4:$A$8000,IF(ISNUMBER(SEARCH("Chargable",$A461)),"2-Proposals Chargeable","3-Proposals Regular"),'Timesheet Raw'!$C$4:$C$8000,"*"&amp;$B461&amp;"*",'Timesheet Raw'!$L$4:$L$8000,"&gt;="&amp;MAX(D$5,DATE(2000+VALUE(RIGHT(TRIM($A461),2)),1,1)),'Timesheet Raw'!$L$4:$L$8000,"&lt;="&amp;MIN(D$6,DATE(2000+VALUE(RIGHT(TRIM($A461),2)),12,31))),SUMIFS('Timesheet Raw'!$P$4:$P$8000,'Timesheet Raw'!$B$4:$B$8000,TRIM($A461),'Timesheet Raw'!$C$4:$C$8000,"*"&amp;$B461&amp;"*",'Timesheet Raw'!$L$4:$L$8000,"&gt;="&amp;D$5,'Timesheet Raw'!$L$4:$L$8000,"&lt;="&amp;D$6)))/'Profit Plan'!$B$5)</f>
        <v/>
      </c>
      <c r="E461" s="122" t="str">
        <f>IF($A461="","",(IF(ISNUMBER(SEARCH("Proposal",$A461)),SUMIFS('Timesheet Raw'!$P$4:$P$8000,'Timesheet Raw'!$A$4:$A$8000,IF(ISNUMBER(SEARCH("Chargable",$A461)),"2-Proposals Chargeable","3-Proposals Regular"),'Timesheet Raw'!$C$4:$C$8000,"*"&amp;$B461&amp;"*",'Timesheet Raw'!$L$4:$L$8000,"&gt;="&amp;MAX(E$5,DATE(2000+VALUE(RIGHT(TRIM($A461),2)),1,1)),'Timesheet Raw'!$L$4:$L$8000,"&lt;="&amp;MIN(E$6,DATE(2000+VALUE(RIGHT(TRIM($A461),2)),12,31))),SUMIFS('Timesheet Raw'!$P$4:$P$8000,'Timesheet Raw'!$B$4:$B$8000,TRIM($A461),'Timesheet Raw'!$C$4:$C$8000,"*"&amp;$B461&amp;"*",'Timesheet Raw'!$L$4:$L$8000,"&gt;="&amp;E$5,'Timesheet Raw'!$L$4:$L$8000,"&lt;="&amp;E$6)))/'Profit Plan'!$B$5)</f>
        <v/>
      </c>
      <c r="F461" s="122" t="str">
        <f>IF($A461="","",(IF(ISNUMBER(SEARCH("Proposal",$A461)),SUMIFS('Timesheet Raw'!$P$4:$P$8000,'Timesheet Raw'!$A$4:$A$8000,IF(ISNUMBER(SEARCH("Chargable",$A461)),"2-Proposals Chargeable","3-Proposals Regular"),'Timesheet Raw'!$C$4:$C$8000,"*"&amp;$B461&amp;"*",'Timesheet Raw'!$L$4:$L$8000,"&gt;="&amp;MAX(F$5,DATE(2000+VALUE(RIGHT(TRIM($A461),2)),1,1)),'Timesheet Raw'!$L$4:$L$8000,"&lt;="&amp;MIN(F$6,DATE(2000+VALUE(RIGHT(TRIM($A461),2)),12,31))),SUMIFS('Timesheet Raw'!$P$4:$P$8000,'Timesheet Raw'!$B$4:$B$8000,TRIM($A461),'Timesheet Raw'!$C$4:$C$8000,"*"&amp;$B461&amp;"*",'Timesheet Raw'!$L$4:$L$8000,"&gt;="&amp;F$5,'Timesheet Raw'!$L$4:$L$8000,"&lt;="&amp;F$6)))/'Profit Plan'!$B$5)</f>
        <v/>
      </c>
      <c r="G461" s="122" t="str">
        <f>IF($A461="","",(IF(ISNUMBER(SEARCH("Proposal",$A461)),SUMIFS('Timesheet Raw'!$P$4:$P$8000,'Timesheet Raw'!$A$4:$A$8000,IF(ISNUMBER(SEARCH("Chargable",$A461)),"2-Proposals Chargeable","3-Proposals Regular"),'Timesheet Raw'!$C$4:$C$8000,"*"&amp;$B461&amp;"*",'Timesheet Raw'!$L$4:$L$8000,"&gt;="&amp;MAX(G$5,DATE(2000+VALUE(RIGHT(TRIM($A461),2)),1,1)),'Timesheet Raw'!$L$4:$L$8000,"&lt;="&amp;MIN(G$6,DATE(2000+VALUE(RIGHT(TRIM($A461),2)),12,31))),SUMIFS('Timesheet Raw'!$P$4:$P$8000,'Timesheet Raw'!$B$4:$B$8000,TRIM($A461),'Timesheet Raw'!$C$4:$C$8000,"*"&amp;$B461&amp;"*",'Timesheet Raw'!$L$4:$L$8000,"&gt;="&amp;G$5,'Timesheet Raw'!$L$4:$L$8000,"&lt;="&amp;G$6)))/'Profit Plan'!$B$5)</f>
        <v/>
      </c>
      <c r="H461" s="122" t="str">
        <f>IF($A461="","",(IF(ISNUMBER(SEARCH("Proposal",$A461)),SUMIFS('Timesheet Raw'!$P$4:$P$8000,'Timesheet Raw'!$A$4:$A$8000,IF(ISNUMBER(SEARCH("Chargable",$A461)),"2-Proposals Chargeable","3-Proposals Regular"),'Timesheet Raw'!$C$4:$C$8000,"*"&amp;$B461&amp;"*",'Timesheet Raw'!$L$4:$L$8000,"&gt;="&amp;MAX(H$5,DATE(2000+VALUE(RIGHT(TRIM($A461),2)),1,1)),'Timesheet Raw'!$L$4:$L$8000,"&lt;="&amp;MIN(H$6,DATE(2000+VALUE(RIGHT(TRIM($A461),2)),12,31))),SUMIFS('Timesheet Raw'!$P$4:$P$8000,'Timesheet Raw'!$B$4:$B$8000,TRIM($A461),'Timesheet Raw'!$C$4:$C$8000,"*"&amp;$B461&amp;"*",'Timesheet Raw'!$L$4:$L$8000,"&gt;="&amp;H$5,'Timesheet Raw'!$L$4:$L$8000,"&lt;="&amp;H$6)))/'Profit Plan'!$B$5)</f>
        <v/>
      </c>
      <c r="I461" s="122" t="str">
        <f>IF($A461="","",(IF(ISNUMBER(SEARCH("Proposal",$A461)),SUMIFS('Timesheet Raw'!$P$4:$P$8000,'Timesheet Raw'!$A$4:$A$8000,IF(ISNUMBER(SEARCH("Chargable",$A461)),"2-Proposals Chargeable","3-Proposals Regular"),'Timesheet Raw'!$C$4:$C$8000,"*"&amp;$B461&amp;"*",'Timesheet Raw'!$L$4:$L$8000,"&gt;="&amp;MAX(I$5,DATE(2000+VALUE(RIGHT(TRIM($A461),2)),1,1)),'Timesheet Raw'!$L$4:$L$8000,"&lt;="&amp;MIN(I$6,DATE(2000+VALUE(RIGHT(TRIM($A461),2)),12,31))),SUMIFS('Timesheet Raw'!$P$4:$P$8000,'Timesheet Raw'!$B$4:$B$8000,TRIM($A461),'Timesheet Raw'!$C$4:$C$8000,"*"&amp;$B461&amp;"*",'Timesheet Raw'!$L$4:$L$8000,"&gt;="&amp;I$5,'Timesheet Raw'!$L$4:$L$8000,"&lt;="&amp;I$6)))/'Profit Plan'!$B$5)</f>
        <v/>
      </c>
      <c r="J461" s="122" t="str">
        <f>IF($A461="","",(IF(ISNUMBER(SEARCH("Proposal",$A461)),SUMIFS('Timesheet Raw'!$P$4:$P$8000,'Timesheet Raw'!$A$4:$A$8000,IF(ISNUMBER(SEARCH("Chargable",$A461)),"2-Proposals Chargeable","3-Proposals Regular"),'Timesheet Raw'!$C$4:$C$8000,"*"&amp;$B461&amp;"*",'Timesheet Raw'!$L$4:$L$8000,"&gt;="&amp;MAX(J$5,DATE(2000+VALUE(RIGHT(TRIM($A461),2)),1,1)),'Timesheet Raw'!$L$4:$L$8000,"&lt;="&amp;MIN(J$6,DATE(2000+VALUE(RIGHT(TRIM($A461),2)),12,31))),SUMIFS('Timesheet Raw'!$P$4:$P$8000,'Timesheet Raw'!$B$4:$B$8000,TRIM($A461),'Timesheet Raw'!$C$4:$C$8000,"*"&amp;$B461&amp;"*",'Timesheet Raw'!$L$4:$L$8000,"&gt;="&amp;J$5,'Timesheet Raw'!$L$4:$L$8000,"&lt;="&amp;J$6)))/'Profit Plan'!$B$5)</f>
        <v/>
      </c>
      <c r="K461" s="122" t="str">
        <f>IF($A461="","",(IF(ISNUMBER(SEARCH("Proposal",$A461)),SUMIFS('Timesheet Raw'!$P$4:$P$8000,'Timesheet Raw'!$A$4:$A$8000,IF(ISNUMBER(SEARCH("Chargable",$A461)),"2-Proposals Chargeable","3-Proposals Regular"),'Timesheet Raw'!$C$4:$C$8000,"*"&amp;$B461&amp;"*",'Timesheet Raw'!$L$4:$L$8000,"&gt;="&amp;MAX(K$5,DATE(2000+VALUE(RIGHT(TRIM($A461),2)),1,1)),'Timesheet Raw'!$L$4:$L$8000,"&lt;="&amp;MIN(K$6,DATE(2000+VALUE(RIGHT(TRIM($A461),2)),12,31))),SUMIFS('Timesheet Raw'!$P$4:$P$8000,'Timesheet Raw'!$B$4:$B$8000,TRIM($A461),'Timesheet Raw'!$C$4:$C$8000,"*"&amp;$B461&amp;"*",'Timesheet Raw'!$L$4:$L$8000,"&gt;="&amp;K$5,'Timesheet Raw'!$L$4:$L$8000,"&lt;="&amp;K$6)))/'Profit Plan'!$B$5)</f>
        <v/>
      </c>
      <c r="L461" s="122" t="str">
        <f>IF($A461="","",(IF(ISNUMBER(SEARCH("Proposal",$A461)),SUMIFS('Timesheet Raw'!$P$4:$P$8000,'Timesheet Raw'!$A$4:$A$8000,IF(ISNUMBER(SEARCH("Chargable",$A461)),"2-Proposals Chargeable","3-Proposals Regular"),'Timesheet Raw'!$C$4:$C$8000,"*"&amp;$B461&amp;"*",'Timesheet Raw'!$L$4:$L$8000,"&gt;="&amp;MAX(L$5,DATE(2000+VALUE(RIGHT(TRIM($A461),2)),1,1)),'Timesheet Raw'!$L$4:$L$8000,"&lt;="&amp;MIN(L$6,DATE(2000+VALUE(RIGHT(TRIM($A461),2)),12,31))),SUMIFS('Timesheet Raw'!$P$4:$P$8000,'Timesheet Raw'!$B$4:$B$8000,TRIM($A461),'Timesheet Raw'!$C$4:$C$8000,"*"&amp;$B461&amp;"*",'Timesheet Raw'!$L$4:$L$8000,"&gt;="&amp;L$5,'Timesheet Raw'!$L$4:$L$8000,"&lt;="&amp;L$6)))/'Profit Plan'!$B$5)</f>
        <v/>
      </c>
      <c r="M461" s="122" t="str">
        <f>IF($A461="","",(IF(ISNUMBER(SEARCH("Proposal",$A461)),SUMIFS('Timesheet Raw'!$P$4:$P$8000,'Timesheet Raw'!$A$4:$A$8000,IF(ISNUMBER(SEARCH("Chargable",$A461)),"2-Proposals Chargeable","3-Proposals Regular"),'Timesheet Raw'!$C$4:$C$8000,"*"&amp;$B461&amp;"*",'Timesheet Raw'!$L$4:$L$8000,"&gt;="&amp;MAX(M$5,DATE(2000+VALUE(RIGHT(TRIM($A461),2)),1,1)),'Timesheet Raw'!$L$4:$L$8000,"&lt;="&amp;MIN(M$6,DATE(2000+VALUE(RIGHT(TRIM($A461),2)),12,31))),SUMIFS('Timesheet Raw'!$P$4:$P$8000,'Timesheet Raw'!$B$4:$B$8000,TRIM($A461),'Timesheet Raw'!$C$4:$C$8000,"*"&amp;$B461&amp;"*",'Timesheet Raw'!$L$4:$L$8000,"&gt;="&amp;M$5,'Timesheet Raw'!$L$4:$L$8000,"&lt;="&amp;M$6)))/'Profit Plan'!$B$5)</f>
        <v/>
      </c>
      <c r="N461" s="122" t="str">
        <f>IF($A461="","",(IF(ISNUMBER(SEARCH("Proposal",$A461)),SUMIFS('Timesheet Raw'!$P$4:$P$8000,'Timesheet Raw'!$A$4:$A$8000,IF(ISNUMBER(SEARCH("Chargable",$A461)),"2-Proposals Chargeable","3-Proposals Regular"),'Timesheet Raw'!$C$4:$C$8000,"*"&amp;$B461&amp;"*",'Timesheet Raw'!$L$4:$L$8000,"&gt;="&amp;MAX(N$5,DATE(2000+VALUE(RIGHT(TRIM($A461),2)),1,1)),'Timesheet Raw'!$L$4:$L$8000,"&lt;="&amp;MIN(N$6,DATE(2000+VALUE(RIGHT(TRIM($A461),2)),12,31))),SUMIFS('Timesheet Raw'!$P$4:$P$8000,'Timesheet Raw'!$B$4:$B$8000,TRIM($A461),'Timesheet Raw'!$C$4:$C$8000,"*"&amp;$B461&amp;"*",'Timesheet Raw'!$L$4:$L$8000,"&gt;="&amp;N$5,'Timesheet Raw'!$L$4:$L$8000,"&lt;="&amp;N$6)))/'Profit Plan'!$B$5)</f>
        <v/>
      </c>
      <c r="O461" s="122" t="str">
        <f>IF($A461="","",(IF(ISNUMBER(SEARCH("Proposal",$A461)),SUMIFS('Timesheet Raw'!$P$4:$P$8000,'Timesheet Raw'!$A$4:$A$8000,IF(ISNUMBER(SEARCH("Chargable",$A461)),"2-Proposals Chargeable","3-Proposals Regular"),'Timesheet Raw'!$C$4:$C$8000,"*"&amp;$B461&amp;"*",'Timesheet Raw'!$L$4:$L$8000,"&gt;="&amp;MAX(O$5,DATE(2000+VALUE(RIGHT(TRIM($A461),2)),1,1)),'Timesheet Raw'!$L$4:$L$8000,"&lt;="&amp;MIN(O$6,DATE(2000+VALUE(RIGHT(TRIM($A461),2)),12,31))),SUMIFS('Timesheet Raw'!$P$4:$P$8000,'Timesheet Raw'!$B$4:$B$8000,TRIM($A461),'Timesheet Raw'!$C$4:$C$8000,"*"&amp;$B461&amp;"*",'Timesheet Raw'!$L$4:$L$8000,"&gt;="&amp;O$5,'Timesheet Raw'!$L$4:$L$8000,"&lt;="&amp;O$6)))/'Profit Plan'!$B$5)</f>
        <v/>
      </c>
      <c r="P461" s="122" t="str">
        <f>IF($A461="","",(IF(ISNUMBER(SEARCH("Proposal",$A461)),SUMIFS('Timesheet Raw'!$P$4:$P$8000,'Timesheet Raw'!$A$4:$A$8000,IF(ISNUMBER(SEARCH("Chargable",$A461)),"2-Proposals Chargeable","3-Proposals Regular"),'Timesheet Raw'!$C$4:$C$8000,"*"&amp;$B461&amp;"*",'Timesheet Raw'!$L$4:$L$8000,"&gt;="&amp;MAX(P$5,DATE(2000+VALUE(RIGHT(TRIM($A461),2)),1,1)),'Timesheet Raw'!$L$4:$L$8000,"&lt;="&amp;MIN(P$6,DATE(2000+VALUE(RIGHT(TRIM($A461),2)),12,31))),SUMIFS('Timesheet Raw'!$P$4:$P$8000,'Timesheet Raw'!$B$4:$B$8000,TRIM($A461),'Timesheet Raw'!$C$4:$C$8000,"*"&amp;$B461&amp;"*",'Timesheet Raw'!$L$4:$L$8000,"&gt;="&amp;P$5,'Timesheet Raw'!$L$4:$L$8000,"&lt;="&amp;P$6)))/'Profit Plan'!$B$5)</f>
        <v/>
      </c>
      <c r="Q461" s="122" t="str">
        <f>IF($A461="","",(IF(ISNUMBER(SEARCH("Proposal",$A461)),SUMIFS('Timesheet Raw'!$P$4:$P$8000,'Timesheet Raw'!$A$4:$A$8000,IF(ISNUMBER(SEARCH("Chargable",$A461)),"2-Proposals Chargeable","3-Proposals Regular"),'Timesheet Raw'!$C$4:$C$8000,"*"&amp;$B461&amp;"*",'Timesheet Raw'!$L$4:$L$8000,"&gt;="&amp;MAX(Q$5,DATE(2000+VALUE(RIGHT(TRIM($A461),2)),1,1)),'Timesheet Raw'!$L$4:$L$8000,"&lt;="&amp;MIN(Q$6,DATE(2000+VALUE(RIGHT(TRIM($A461),2)),12,31))),SUMIFS('Timesheet Raw'!$P$4:$P$8000,'Timesheet Raw'!$B$4:$B$8000,TRIM($A461),'Timesheet Raw'!$C$4:$C$8000,"*"&amp;$B461&amp;"*",'Timesheet Raw'!$L$4:$L$8000,"&gt;="&amp;Q$5,'Timesheet Raw'!$L$4:$L$8000,"&lt;="&amp;Q$6)))/'Profit Plan'!$B$5)</f>
        <v/>
      </c>
      <c r="R461" s="122" t="str">
        <f>IF($A461="","",(IF(ISNUMBER(SEARCH("Proposal",$A461)),SUMIFS('Timesheet Raw'!$P$4:$P$8000,'Timesheet Raw'!$A$4:$A$8000,IF(ISNUMBER(SEARCH("Chargable",$A461)),"2-Proposals Chargeable","3-Proposals Regular"),'Timesheet Raw'!$C$4:$C$8000,"*"&amp;$B461&amp;"*",'Timesheet Raw'!$L$4:$L$8000,"&gt;="&amp;MAX(R$5,DATE(2000+VALUE(RIGHT(TRIM($A461),2)),1,1)),'Timesheet Raw'!$L$4:$L$8000,"&lt;="&amp;MIN(R$6,DATE(2000+VALUE(RIGHT(TRIM($A461),2)),12,31))),SUMIFS('Timesheet Raw'!$P$4:$P$8000,'Timesheet Raw'!$B$4:$B$8000,TRIM($A461),'Timesheet Raw'!$C$4:$C$8000,"*"&amp;$B461&amp;"*",'Timesheet Raw'!$L$4:$L$8000,"&gt;="&amp;R$5,'Timesheet Raw'!$L$4:$L$8000,"&lt;="&amp;R$6)))/'Profit Plan'!$B$5)</f>
        <v/>
      </c>
      <c r="S461" s="122" t="str">
        <f>IF($A461="","",(IF(ISNUMBER(SEARCH("Proposal",$A461)),SUMIFS('Timesheet Raw'!$P$4:$P$8000,'Timesheet Raw'!$A$4:$A$8000,IF(ISNUMBER(SEARCH("Chargable",$A461)),"2-Proposals Chargeable","3-Proposals Regular"),'Timesheet Raw'!$C$4:$C$8000,"*"&amp;$B461&amp;"*",'Timesheet Raw'!$L$4:$L$8000,"&gt;="&amp;MAX(S$5,DATE(2000+VALUE(RIGHT(TRIM($A461),2)),1,1)),'Timesheet Raw'!$L$4:$L$8000,"&lt;="&amp;MIN(S$6,DATE(2000+VALUE(RIGHT(TRIM($A461),2)),12,31))),SUMIFS('Timesheet Raw'!$P$4:$P$8000,'Timesheet Raw'!$B$4:$B$8000,TRIM($A461),'Timesheet Raw'!$C$4:$C$8000,"*"&amp;$B461&amp;"*",'Timesheet Raw'!$L$4:$L$8000,"&gt;="&amp;S$5,'Timesheet Raw'!$L$4:$L$8000,"&lt;="&amp;S$6)))/'Profit Plan'!$B$5)</f>
        <v/>
      </c>
      <c r="T461" s="122" t="str">
        <f>IF($A461="","",(IF(ISNUMBER(SEARCH("Proposal",$A461)),SUMIFS('Timesheet Raw'!$P$4:$P$8000,'Timesheet Raw'!$A$4:$A$8000,IF(ISNUMBER(SEARCH("Chargable",$A461)),"2-Proposals Chargeable","3-Proposals Regular"),'Timesheet Raw'!$C$4:$C$8000,"*"&amp;$B461&amp;"*",'Timesheet Raw'!$L$4:$L$8000,"&gt;="&amp;MAX(T$5,DATE(2000+VALUE(RIGHT(TRIM($A461),2)),1,1)),'Timesheet Raw'!$L$4:$L$8000,"&lt;="&amp;MIN(T$6,DATE(2000+VALUE(RIGHT(TRIM($A461),2)),12,31))),SUMIFS('Timesheet Raw'!$P$4:$P$8000,'Timesheet Raw'!$B$4:$B$8000,TRIM($A461),'Timesheet Raw'!$C$4:$C$8000,"*"&amp;$B461&amp;"*",'Timesheet Raw'!$L$4:$L$8000,"&gt;="&amp;T$5,'Timesheet Raw'!$L$4:$L$8000,"&lt;="&amp;T$6)))/'Profit Plan'!$B$5)</f>
        <v/>
      </c>
      <c r="U461" s="122" t="str">
        <f>IF($A461="","",(IF(ISNUMBER(SEARCH("Proposal",$A461)),SUMIFS('Timesheet Raw'!$P$4:$P$8000,'Timesheet Raw'!$A$4:$A$8000,IF(ISNUMBER(SEARCH("Chargable",$A461)),"2-Proposals Chargeable","3-Proposals Regular"),'Timesheet Raw'!$C$4:$C$8000,"*"&amp;$B461&amp;"*",'Timesheet Raw'!$L$4:$L$8000,"&gt;="&amp;MAX(U$5,DATE(2000+VALUE(RIGHT(TRIM($A461),2)),1,1)),'Timesheet Raw'!$L$4:$L$8000,"&lt;="&amp;MIN(U$6,DATE(2000+VALUE(RIGHT(TRIM($A461),2)),12,31))),SUMIFS('Timesheet Raw'!$P$4:$P$8000,'Timesheet Raw'!$B$4:$B$8000,TRIM($A461),'Timesheet Raw'!$C$4:$C$8000,"*"&amp;$B461&amp;"*",'Timesheet Raw'!$L$4:$L$8000,"&gt;="&amp;U$5,'Timesheet Raw'!$L$4:$L$8000,"&lt;="&amp;U$6)))/'Profit Plan'!$B$5)</f>
        <v/>
      </c>
      <c r="V461" s="122" t="str">
        <f>IF($A461="","",(IF(ISNUMBER(SEARCH("Proposal",$A461)),SUMIFS('Timesheet Raw'!$P$4:$P$8000,'Timesheet Raw'!$A$4:$A$8000,IF(ISNUMBER(SEARCH("Chargable",$A461)),"2-Proposals Chargeable","3-Proposals Regular"),'Timesheet Raw'!$C$4:$C$8000,"*"&amp;$B461&amp;"*",'Timesheet Raw'!$L$4:$L$8000,"&gt;="&amp;MAX(V$5,DATE(2000+VALUE(RIGHT(TRIM($A461),2)),1,1)),'Timesheet Raw'!$L$4:$L$8000,"&lt;="&amp;MIN(V$6,DATE(2000+VALUE(RIGHT(TRIM($A461),2)),12,31))),SUMIFS('Timesheet Raw'!$P$4:$P$8000,'Timesheet Raw'!$B$4:$B$8000,TRIM($A461),'Timesheet Raw'!$C$4:$C$8000,"*"&amp;$B461&amp;"*",'Timesheet Raw'!$L$4:$L$8000,"&gt;="&amp;V$5,'Timesheet Raw'!$L$4:$L$8000,"&lt;="&amp;V$6)))/'Profit Plan'!$B$5)</f>
        <v/>
      </c>
      <c r="W461" s="122" t="str">
        <f>IF($A461="","",(IF(ISNUMBER(SEARCH("Proposal",$A461)),SUMIFS('Timesheet Raw'!$P$4:$P$8000,'Timesheet Raw'!$A$4:$A$8000,IF(ISNUMBER(SEARCH("Chargable",$A461)),"2-Proposals Chargeable","3-Proposals Regular"),'Timesheet Raw'!$C$4:$C$8000,"*"&amp;$B461&amp;"*",'Timesheet Raw'!$L$4:$L$8000,"&gt;="&amp;MAX(W$5,DATE(2000+VALUE(RIGHT(TRIM($A461),2)),1,1)),'Timesheet Raw'!$L$4:$L$8000,"&lt;="&amp;MIN(W$6,DATE(2000+VALUE(RIGHT(TRIM($A461),2)),12,31))),SUMIFS('Timesheet Raw'!$P$4:$P$8000,'Timesheet Raw'!$B$4:$B$8000,TRIM($A461),'Timesheet Raw'!$C$4:$C$8000,"*"&amp;$B461&amp;"*",'Timesheet Raw'!$L$4:$L$8000,"&gt;="&amp;W$5,'Timesheet Raw'!$L$4:$L$8000,"&lt;="&amp;W$6)))/'Profit Plan'!$B$5)</f>
        <v/>
      </c>
      <c r="X461" s="122" t="str">
        <f>IF($A461="","",(IF(ISNUMBER(SEARCH("Proposal",$A461)),SUMIFS('Timesheet Raw'!$P$4:$P$8000,'Timesheet Raw'!$A$4:$A$8000,IF(ISNUMBER(SEARCH("Chargable",$A461)),"2-Proposals Chargeable","3-Proposals Regular"),'Timesheet Raw'!$C$4:$C$8000,"*"&amp;$B461&amp;"*",'Timesheet Raw'!$L$4:$L$8000,"&gt;="&amp;MAX(X$5,DATE(2000+VALUE(RIGHT(TRIM($A461),2)),1,1)),'Timesheet Raw'!$L$4:$L$8000,"&lt;="&amp;MIN(X$6,DATE(2000+VALUE(RIGHT(TRIM($A461),2)),12,31))),SUMIFS('Timesheet Raw'!$P$4:$P$8000,'Timesheet Raw'!$B$4:$B$8000,TRIM($A461),'Timesheet Raw'!$C$4:$C$8000,"*"&amp;$B461&amp;"*",'Timesheet Raw'!$L$4:$L$8000,"&gt;="&amp;X$5,'Timesheet Raw'!$L$4:$L$8000,"&lt;="&amp;X$6)))/'Profit Plan'!$B$5)</f>
        <v/>
      </c>
      <c r="Y461" s="118">
        <f t="shared" si="103"/>
        <v>0</v>
      </c>
    </row>
    <row r="462" spans="1:25" x14ac:dyDescent="0.3">
      <c r="A462" s="116" t="str">
        <f>IF(Inputs!$A71="","",Inputs!$A71)</f>
        <v/>
      </c>
      <c r="B462" s="116" t="str">
        <f>IF(Inputs!$A71="","",Inputs!$A$93)</f>
        <v/>
      </c>
      <c r="C462" s="116"/>
      <c r="D462" s="122" t="str">
        <f>IF($A462="","",(IF(ISNUMBER(SEARCH("Proposal",$A462)),SUMIFS('Timesheet Raw'!$P$4:$P$8000,'Timesheet Raw'!$A$4:$A$8000,IF(ISNUMBER(SEARCH("Chargable",$A462)),"2-Proposals Chargeable","3-Proposals Regular"),'Timesheet Raw'!$C$4:$C$8000,"*"&amp;$B462&amp;"*",'Timesheet Raw'!$L$4:$L$8000,"&gt;="&amp;MAX(D$5,DATE(2000+VALUE(RIGHT(TRIM($A462),2)),1,1)),'Timesheet Raw'!$L$4:$L$8000,"&lt;="&amp;MIN(D$6,DATE(2000+VALUE(RIGHT(TRIM($A462),2)),12,31))),SUMIFS('Timesheet Raw'!$P$4:$P$8000,'Timesheet Raw'!$B$4:$B$8000,TRIM($A462),'Timesheet Raw'!$C$4:$C$8000,"*"&amp;$B462&amp;"*",'Timesheet Raw'!$L$4:$L$8000,"&gt;="&amp;D$5,'Timesheet Raw'!$L$4:$L$8000,"&lt;="&amp;D$6)))/'Profit Plan'!$B$5)</f>
        <v/>
      </c>
      <c r="E462" s="122" t="str">
        <f>IF($A462="","",(IF(ISNUMBER(SEARCH("Proposal",$A462)),SUMIFS('Timesheet Raw'!$P$4:$P$8000,'Timesheet Raw'!$A$4:$A$8000,IF(ISNUMBER(SEARCH("Chargable",$A462)),"2-Proposals Chargeable","3-Proposals Regular"),'Timesheet Raw'!$C$4:$C$8000,"*"&amp;$B462&amp;"*",'Timesheet Raw'!$L$4:$L$8000,"&gt;="&amp;MAX(E$5,DATE(2000+VALUE(RIGHT(TRIM($A462),2)),1,1)),'Timesheet Raw'!$L$4:$L$8000,"&lt;="&amp;MIN(E$6,DATE(2000+VALUE(RIGHT(TRIM($A462),2)),12,31))),SUMIFS('Timesheet Raw'!$P$4:$P$8000,'Timesheet Raw'!$B$4:$B$8000,TRIM($A462),'Timesheet Raw'!$C$4:$C$8000,"*"&amp;$B462&amp;"*",'Timesheet Raw'!$L$4:$L$8000,"&gt;="&amp;E$5,'Timesheet Raw'!$L$4:$L$8000,"&lt;="&amp;E$6)))/'Profit Plan'!$B$5)</f>
        <v/>
      </c>
      <c r="F462" s="122" t="str">
        <f>IF($A462="","",(IF(ISNUMBER(SEARCH("Proposal",$A462)),SUMIFS('Timesheet Raw'!$P$4:$P$8000,'Timesheet Raw'!$A$4:$A$8000,IF(ISNUMBER(SEARCH("Chargable",$A462)),"2-Proposals Chargeable","3-Proposals Regular"),'Timesheet Raw'!$C$4:$C$8000,"*"&amp;$B462&amp;"*",'Timesheet Raw'!$L$4:$L$8000,"&gt;="&amp;MAX(F$5,DATE(2000+VALUE(RIGHT(TRIM($A462),2)),1,1)),'Timesheet Raw'!$L$4:$L$8000,"&lt;="&amp;MIN(F$6,DATE(2000+VALUE(RIGHT(TRIM($A462),2)),12,31))),SUMIFS('Timesheet Raw'!$P$4:$P$8000,'Timesheet Raw'!$B$4:$B$8000,TRIM($A462),'Timesheet Raw'!$C$4:$C$8000,"*"&amp;$B462&amp;"*",'Timesheet Raw'!$L$4:$L$8000,"&gt;="&amp;F$5,'Timesheet Raw'!$L$4:$L$8000,"&lt;="&amp;F$6)))/'Profit Plan'!$B$5)</f>
        <v/>
      </c>
      <c r="G462" s="122" t="str">
        <f>IF($A462="","",(IF(ISNUMBER(SEARCH("Proposal",$A462)),SUMIFS('Timesheet Raw'!$P$4:$P$8000,'Timesheet Raw'!$A$4:$A$8000,IF(ISNUMBER(SEARCH("Chargable",$A462)),"2-Proposals Chargeable","3-Proposals Regular"),'Timesheet Raw'!$C$4:$C$8000,"*"&amp;$B462&amp;"*",'Timesheet Raw'!$L$4:$L$8000,"&gt;="&amp;MAX(G$5,DATE(2000+VALUE(RIGHT(TRIM($A462),2)),1,1)),'Timesheet Raw'!$L$4:$L$8000,"&lt;="&amp;MIN(G$6,DATE(2000+VALUE(RIGHT(TRIM($A462),2)),12,31))),SUMIFS('Timesheet Raw'!$P$4:$P$8000,'Timesheet Raw'!$B$4:$B$8000,TRIM($A462),'Timesheet Raw'!$C$4:$C$8000,"*"&amp;$B462&amp;"*",'Timesheet Raw'!$L$4:$L$8000,"&gt;="&amp;G$5,'Timesheet Raw'!$L$4:$L$8000,"&lt;="&amp;G$6)))/'Profit Plan'!$B$5)</f>
        <v/>
      </c>
      <c r="H462" s="122" t="str">
        <f>IF($A462="","",(IF(ISNUMBER(SEARCH("Proposal",$A462)),SUMIFS('Timesheet Raw'!$P$4:$P$8000,'Timesheet Raw'!$A$4:$A$8000,IF(ISNUMBER(SEARCH("Chargable",$A462)),"2-Proposals Chargeable","3-Proposals Regular"),'Timesheet Raw'!$C$4:$C$8000,"*"&amp;$B462&amp;"*",'Timesheet Raw'!$L$4:$L$8000,"&gt;="&amp;MAX(H$5,DATE(2000+VALUE(RIGHT(TRIM($A462),2)),1,1)),'Timesheet Raw'!$L$4:$L$8000,"&lt;="&amp;MIN(H$6,DATE(2000+VALUE(RIGHT(TRIM($A462),2)),12,31))),SUMIFS('Timesheet Raw'!$P$4:$P$8000,'Timesheet Raw'!$B$4:$B$8000,TRIM($A462),'Timesheet Raw'!$C$4:$C$8000,"*"&amp;$B462&amp;"*",'Timesheet Raw'!$L$4:$L$8000,"&gt;="&amp;H$5,'Timesheet Raw'!$L$4:$L$8000,"&lt;="&amp;H$6)))/'Profit Plan'!$B$5)</f>
        <v/>
      </c>
      <c r="I462" s="122" t="str">
        <f>IF($A462="","",(IF(ISNUMBER(SEARCH("Proposal",$A462)),SUMIFS('Timesheet Raw'!$P$4:$P$8000,'Timesheet Raw'!$A$4:$A$8000,IF(ISNUMBER(SEARCH("Chargable",$A462)),"2-Proposals Chargeable","3-Proposals Regular"),'Timesheet Raw'!$C$4:$C$8000,"*"&amp;$B462&amp;"*",'Timesheet Raw'!$L$4:$L$8000,"&gt;="&amp;MAX(I$5,DATE(2000+VALUE(RIGHT(TRIM($A462),2)),1,1)),'Timesheet Raw'!$L$4:$L$8000,"&lt;="&amp;MIN(I$6,DATE(2000+VALUE(RIGHT(TRIM($A462),2)),12,31))),SUMIFS('Timesheet Raw'!$P$4:$P$8000,'Timesheet Raw'!$B$4:$B$8000,TRIM($A462),'Timesheet Raw'!$C$4:$C$8000,"*"&amp;$B462&amp;"*",'Timesheet Raw'!$L$4:$L$8000,"&gt;="&amp;I$5,'Timesheet Raw'!$L$4:$L$8000,"&lt;="&amp;I$6)))/'Profit Plan'!$B$5)</f>
        <v/>
      </c>
      <c r="J462" s="122" t="str">
        <f>IF($A462="","",(IF(ISNUMBER(SEARCH("Proposal",$A462)),SUMIFS('Timesheet Raw'!$P$4:$P$8000,'Timesheet Raw'!$A$4:$A$8000,IF(ISNUMBER(SEARCH("Chargable",$A462)),"2-Proposals Chargeable","3-Proposals Regular"),'Timesheet Raw'!$C$4:$C$8000,"*"&amp;$B462&amp;"*",'Timesheet Raw'!$L$4:$L$8000,"&gt;="&amp;MAX(J$5,DATE(2000+VALUE(RIGHT(TRIM($A462),2)),1,1)),'Timesheet Raw'!$L$4:$L$8000,"&lt;="&amp;MIN(J$6,DATE(2000+VALUE(RIGHT(TRIM($A462),2)),12,31))),SUMIFS('Timesheet Raw'!$P$4:$P$8000,'Timesheet Raw'!$B$4:$B$8000,TRIM($A462),'Timesheet Raw'!$C$4:$C$8000,"*"&amp;$B462&amp;"*",'Timesheet Raw'!$L$4:$L$8000,"&gt;="&amp;J$5,'Timesheet Raw'!$L$4:$L$8000,"&lt;="&amp;J$6)))/'Profit Plan'!$B$5)</f>
        <v/>
      </c>
      <c r="K462" s="122" t="str">
        <f>IF($A462="","",(IF(ISNUMBER(SEARCH("Proposal",$A462)),SUMIFS('Timesheet Raw'!$P$4:$P$8000,'Timesheet Raw'!$A$4:$A$8000,IF(ISNUMBER(SEARCH("Chargable",$A462)),"2-Proposals Chargeable","3-Proposals Regular"),'Timesheet Raw'!$C$4:$C$8000,"*"&amp;$B462&amp;"*",'Timesheet Raw'!$L$4:$L$8000,"&gt;="&amp;MAX(K$5,DATE(2000+VALUE(RIGHT(TRIM($A462),2)),1,1)),'Timesheet Raw'!$L$4:$L$8000,"&lt;="&amp;MIN(K$6,DATE(2000+VALUE(RIGHT(TRIM($A462),2)),12,31))),SUMIFS('Timesheet Raw'!$P$4:$P$8000,'Timesheet Raw'!$B$4:$B$8000,TRIM($A462),'Timesheet Raw'!$C$4:$C$8000,"*"&amp;$B462&amp;"*",'Timesheet Raw'!$L$4:$L$8000,"&gt;="&amp;K$5,'Timesheet Raw'!$L$4:$L$8000,"&lt;="&amp;K$6)))/'Profit Plan'!$B$5)</f>
        <v/>
      </c>
      <c r="L462" s="122" t="str">
        <f>IF($A462="","",(IF(ISNUMBER(SEARCH("Proposal",$A462)),SUMIFS('Timesheet Raw'!$P$4:$P$8000,'Timesheet Raw'!$A$4:$A$8000,IF(ISNUMBER(SEARCH("Chargable",$A462)),"2-Proposals Chargeable","3-Proposals Regular"),'Timesheet Raw'!$C$4:$C$8000,"*"&amp;$B462&amp;"*",'Timesheet Raw'!$L$4:$L$8000,"&gt;="&amp;MAX(L$5,DATE(2000+VALUE(RIGHT(TRIM($A462),2)),1,1)),'Timesheet Raw'!$L$4:$L$8000,"&lt;="&amp;MIN(L$6,DATE(2000+VALUE(RIGHT(TRIM($A462),2)),12,31))),SUMIFS('Timesheet Raw'!$P$4:$P$8000,'Timesheet Raw'!$B$4:$B$8000,TRIM($A462),'Timesheet Raw'!$C$4:$C$8000,"*"&amp;$B462&amp;"*",'Timesheet Raw'!$L$4:$L$8000,"&gt;="&amp;L$5,'Timesheet Raw'!$L$4:$L$8000,"&lt;="&amp;L$6)))/'Profit Plan'!$B$5)</f>
        <v/>
      </c>
      <c r="M462" s="122" t="str">
        <f>IF($A462="","",(IF(ISNUMBER(SEARCH("Proposal",$A462)),SUMIFS('Timesheet Raw'!$P$4:$P$8000,'Timesheet Raw'!$A$4:$A$8000,IF(ISNUMBER(SEARCH("Chargable",$A462)),"2-Proposals Chargeable","3-Proposals Regular"),'Timesheet Raw'!$C$4:$C$8000,"*"&amp;$B462&amp;"*",'Timesheet Raw'!$L$4:$L$8000,"&gt;="&amp;MAX(M$5,DATE(2000+VALUE(RIGHT(TRIM($A462),2)),1,1)),'Timesheet Raw'!$L$4:$L$8000,"&lt;="&amp;MIN(M$6,DATE(2000+VALUE(RIGHT(TRIM($A462),2)),12,31))),SUMIFS('Timesheet Raw'!$P$4:$P$8000,'Timesheet Raw'!$B$4:$B$8000,TRIM($A462),'Timesheet Raw'!$C$4:$C$8000,"*"&amp;$B462&amp;"*",'Timesheet Raw'!$L$4:$L$8000,"&gt;="&amp;M$5,'Timesheet Raw'!$L$4:$L$8000,"&lt;="&amp;M$6)))/'Profit Plan'!$B$5)</f>
        <v/>
      </c>
      <c r="N462" s="122" t="str">
        <f>IF($A462="","",(IF(ISNUMBER(SEARCH("Proposal",$A462)),SUMIFS('Timesheet Raw'!$P$4:$P$8000,'Timesheet Raw'!$A$4:$A$8000,IF(ISNUMBER(SEARCH("Chargable",$A462)),"2-Proposals Chargeable","3-Proposals Regular"),'Timesheet Raw'!$C$4:$C$8000,"*"&amp;$B462&amp;"*",'Timesheet Raw'!$L$4:$L$8000,"&gt;="&amp;MAX(N$5,DATE(2000+VALUE(RIGHT(TRIM($A462),2)),1,1)),'Timesheet Raw'!$L$4:$L$8000,"&lt;="&amp;MIN(N$6,DATE(2000+VALUE(RIGHT(TRIM($A462),2)),12,31))),SUMIFS('Timesheet Raw'!$P$4:$P$8000,'Timesheet Raw'!$B$4:$B$8000,TRIM($A462),'Timesheet Raw'!$C$4:$C$8000,"*"&amp;$B462&amp;"*",'Timesheet Raw'!$L$4:$L$8000,"&gt;="&amp;N$5,'Timesheet Raw'!$L$4:$L$8000,"&lt;="&amp;N$6)))/'Profit Plan'!$B$5)</f>
        <v/>
      </c>
      <c r="O462" s="122" t="str">
        <f>IF($A462="","",(IF(ISNUMBER(SEARCH("Proposal",$A462)),SUMIFS('Timesheet Raw'!$P$4:$P$8000,'Timesheet Raw'!$A$4:$A$8000,IF(ISNUMBER(SEARCH("Chargable",$A462)),"2-Proposals Chargeable","3-Proposals Regular"),'Timesheet Raw'!$C$4:$C$8000,"*"&amp;$B462&amp;"*",'Timesheet Raw'!$L$4:$L$8000,"&gt;="&amp;MAX(O$5,DATE(2000+VALUE(RIGHT(TRIM($A462),2)),1,1)),'Timesheet Raw'!$L$4:$L$8000,"&lt;="&amp;MIN(O$6,DATE(2000+VALUE(RIGHT(TRIM($A462),2)),12,31))),SUMIFS('Timesheet Raw'!$P$4:$P$8000,'Timesheet Raw'!$B$4:$B$8000,TRIM($A462),'Timesheet Raw'!$C$4:$C$8000,"*"&amp;$B462&amp;"*",'Timesheet Raw'!$L$4:$L$8000,"&gt;="&amp;O$5,'Timesheet Raw'!$L$4:$L$8000,"&lt;="&amp;O$6)))/'Profit Plan'!$B$5)</f>
        <v/>
      </c>
      <c r="P462" s="122" t="str">
        <f>IF($A462="","",(IF(ISNUMBER(SEARCH("Proposal",$A462)),SUMIFS('Timesheet Raw'!$P$4:$P$8000,'Timesheet Raw'!$A$4:$A$8000,IF(ISNUMBER(SEARCH("Chargable",$A462)),"2-Proposals Chargeable","3-Proposals Regular"),'Timesheet Raw'!$C$4:$C$8000,"*"&amp;$B462&amp;"*",'Timesheet Raw'!$L$4:$L$8000,"&gt;="&amp;MAX(P$5,DATE(2000+VALUE(RIGHT(TRIM($A462),2)),1,1)),'Timesheet Raw'!$L$4:$L$8000,"&lt;="&amp;MIN(P$6,DATE(2000+VALUE(RIGHT(TRIM($A462),2)),12,31))),SUMIFS('Timesheet Raw'!$P$4:$P$8000,'Timesheet Raw'!$B$4:$B$8000,TRIM($A462),'Timesheet Raw'!$C$4:$C$8000,"*"&amp;$B462&amp;"*",'Timesheet Raw'!$L$4:$L$8000,"&gt;="&amp;P$5,'Timesheet Raw'!$L$4:$L$8000,"&lt;="&amp;P$6)))/'Profit Plan'!$B$5)</f>
        <v/>
      </c>
      <c r="Q462" s="122" t="str">
        <f>IF($A462="","",(IF(ISNUMBER(SEARCH("Proposal",$A462)),SUMIFS('Timesheet Raw'!$P$4:$P$8000,'Timesheet Raw'!$A$4:$A$8000,IF(ISNUMBER(SEARCH("Chargable",$A462)),"2-Proposals Chargeable","3-Proposals Regular"),'Timesheet Raw'!$C$4:$C$8000,"*"&amp;$B462&amp;"*",'Timesheet Raw'!$L$4:$L$8000,"&gt;="&amp;MAX(Q$5,DATE(2000+VALUE(RIGHT(TRIM($A462),2)),1,1)),'Timesheet Raw'!$L$4:$L$8000,"&lt;="&amp;MIN(Q$6,DATE(2000+VALUE(RIGHT(TRIM($A462),2)),12,31))),SUMIFS('Timesheet Raw'!$P$4:$P$8000,'Timesheet Raw'!$B$4:$B$8000,TRIM($A462),'Timesheet Raw'!$C$4:$C$8000,"*"&amp;$B462&amp;"*",'Timesheet Raw'!$L$4:$L$8000,"&gt;="&amp;Q$5,'Timesheet Raw'!$L$4:$L$8000,"&lt;="&amp;Q$6)))/'Profit Plan'!$B$5)</f>
        <v/>
      </c>
      <c r="R462" s="122" t="str">
        <f>IF($A462="","",(IF(ISNUMBER(SEARCH("Proposal",$A462)),SUMIFS('Timesheet Raw'!$P$4:$P$8000,'Timesheet Raw'!$A$4:$A$8000,IF(ISNUMBER(SEARCH("Chargable",$A462)),"2-Proposals Chargeable","3-Proposals Regular"),'Timesheet Raw'!$C$4:$C$8000,"*"&amp;$B462&amp;"*",'Timesheet Raw'!$L$4:$L$8000,"&gt;="&amp;MAX(R$5,DATE(2000+VALUE(RIGHT(TRIM($A462),2)),1,1)),'Timesheet Raw'!$L$4:$L$8000,"&lt;="&amp;MIN(R$6,DATE(2000+VALUE(RIGHT(TRIM($A462),2)),12,31))),SUMIFS('Timesheet Raw'!$P$4:$P$8000,'Timesheet Raw'!$B$4:$B$8000,TRIM($A462),'Timesheet Raw'!$C$4:$C$8000,"*"&amp;$B462&amp;"*",'Timesheet Raw'!$L$4:$L$8000,"&gt;="&amp;R$5,'Timesheet Raw'!$L$4:$L$8000,"&lt;="&amp;R$6)))/'Profit Plan'!$B$5)</f>
        <v/>
      </c>
      <c r="S462" s="122" t="str">
        <f>IF($A462="","",(IF(ISNUMBER(SEARCH("Proposal",$A462)),SUMIFS('Timesheet Raw'!$P$4:$P$8000,'Timesheet Raw'!$A$4:$A$8000,IF(ISNUMBER(SEARCH("Chargable",$A462)),"2-Proposals Chargeable","3-Proposals Regular"),'Timesheet Raw'!$C$4:$C$8000,"*"&amp;$B462&amp;"*",'Timesheet Raw'!$L$4:$L$8000,"&gt;="&amp;MAX(S$5,DATE(2000+VALUE(RIGHT(TRIM($A462),2)),1,1)),'Timesheet Raw'!$L$4:$L$8000,"&lt;="&amp;MIN(S$6,DATE(2000+VALUE(RIGHT(TRIM($A462),2)),12,31))),SUMIFS('Timesheet Raw'!$P$4:$P$8000,'Timesheet Raw'!$B$4:$B$8000,TRIM($A462),'Timesheet Raw'!$C$4:$C$8000,"*"&amp;$B462&amp;"*",'Timesheet Raw'!$L$4:$L$8000,"&gt;="&amp;S$5,'Timesheet Raw'!$L$4:$L$8000,"&lt;="&amp;S$6)))/'Profit Plan'!$B$5)</f>
        <v/>
      </c>
      <c r="T462" s="122" t="str">
        <f>IF($A462="","",(IF(ISNUMBER(SEARCH("Proposal",$A462)),SUMIFS('Timesheet Raw'!$P$4:$P$8000,'Timesheet Raw'!$A$4:$A$8000,IF(ISNUMBER(SEARCH("Chargable",$A462)),"2-Proposals Chargeable","3-Proposals Regular"),'Timesheet Raw'!$C$4:$C$8000,"*"&amp;$B462&amp;"*",'Timesheet Raw'!$L$4:$L$8000,"&gt;="&amp;MAX(T$5,DATE(2000+VALUE(RIGHT(TRIM($A462),2)),1,1)),'Timesheet Raw'!$L$4:$L$8000,"&lt;="&amp;MIN(T$6,DATE(2000+VALUE(RIGHT(TRIM($A462),2)),12,31))),SUMIFS('Timesheet Raw'!$P$4:$P$8000,'Timesheet Raw'!$B$4:$B$8000,TRIM($A462),'Timesheet Raw'!$C$4:$C$8000,"*"&amp;$B462&amp;"*",'Timesheet Raw'!$L$4:$L$8000,"&gt;="&amp;T$5,'Timesheet Raw'!$L$4:$L$8000,"&lt;="&amp;T$6)))/'Profit Plan'!$B$5)</f>
        <v/>
      </c>
      <c r="U462" s="122" t="str">
        <f>IF($A462="","",(IF(ISNUMBER(SEARCH("Proposal",$A462)),SUMIFS('Timesheet Raw'!$P$4:$P$8000,'Timesheet Raw'!$A$4:$A$8000,IF(ISNUMBER(SEARCH("Chargable",$A462)),"2-Proposals Chargeable","3-Proposals Regular"),'Timesheet Raw'!$C$4:$C$8000,"*"&amp;$B462&amp;"*",'Timesheet Raw'!$L$4:$L$8000,"&gt;="&amp;MAX(U$5,DATE(2000+VALUE(RIGHT(TRIM($A462),2)),1,1)),'Timesheet Raw'!$L$4:$L$8000,"&lt;="&amp;MIN(U$6,DATE(2000+VALUE(RIGHT(TRIM($A462),2)),12,31))),SUMIFS('Timesheet Raw'!$P$4:$P$8000,'Timesheet Raw'!$B$4:$B$8000,TRIM($A462),'Timesheet Raw'!$C$4:$C$8000,"*"&amp;$B462&amp;"*",'Timesheet Raw'!$L$4:$L$8000,"&gt;="&amp;U$5,'Timesheet Raw'!$L$4:$L$8000,"&lt;="&amp;U$6)))/'Profit Plan'!$B$5)</f>
        <v/>
      </c>
      <c r="V462" s="122" t="str">
        <f>IF($A462="","",(IF(ISNUMBER(SEARCH("Proposal",$A462)),SUMIFS('Timesheet Raw'!$P$4:$P$8000,'Timesheet Raw'!$A$4:$A$8000,IF(ISNUMBER(SEARCH("Chargable",$A462)),"2-Proposals Chargeable","3-Proposals Regular"),'Timesheet Raw'!$C$4:$C$8000,"*"&amp;$B462&amp;"*",'Timesheet Raw'!$L$4:$L$8000,"&gt;="&amp;MAX(V$5,DATE(2000+VALUE(RIGHT(TRIM($A462),2)),1,1)),'Timesheet Raw'!$L$4:$L$8000,"&lt;="&amp;MIN(V$6,DATE(2000+VALUE(RIGHT(TRIM($A462),2)),12,31))),SUMIFS('Timesheet Raw'!$P$4:$P$8000,'Timesheet Raw'!$B$4:$B$8000,TRIM($A462),'Timesheet Raw'!$C$4:$C$8000,"*"&amp;$B462&amp;"*",'Timesheet Raw'!$L$4:$L$8000,"&gt;="&amp;V$5,'Timesheet Raw'!$L$4:$L$8000,"&lt;="&amp;V$6)))/'Profit Plan'!$B$5)</f>
        <v/>
      </c>
      <c r="W462" s="122" t="str">
        <f>IF($A462="","",(IF(ISNUMBER(SEARCH("Proposal",$A462)),SUMIFS('Timesheet Raw'!$P$4:$P$8000,'Timesheet Raw'!$A$4:$A$8000,IF(ISNUMBER(SEARCH("Chargable",$A462)),"2-Proposals Chargeable","3-Proposals Regular"),'Timesheet Raw'!$C$4:$C$8000,"*"&amp;$B462&amp;"*",'Timesheet Raw'!$L$4:$L$8000,"&gt;="&amp;MAX(W$5,DATE(2000+VALUE(RIGHT(TRIM($A462),2)),1,1)),'Timesheet Raw'!$L$4:$L$8000,"&lt;="&amp;MIN(W$6,DATE(2000+VALUE(RIGHT(TRIM($A462),2)),12,31))),SUMIFS('Timesheet Raw'!$P$4:$P$8000,'Timesheet Raw'!$B$4:$B$8000,TRIM($A462),'Timesheet Raw'!$C$4:$C$8000,"*"&amp;$B462&amp;"*",'Timesheet Raw'!$L$4:$L$8000,"&gt;="&amp;W$5,'Timesheet Raw'!$L$4:$L$8000,"&lt;="&amp;W$6)))/'Profit Plan'!$B$5)</f>
        <v/>
      </c>
      <c r="X462" s="122" t="str">
        <f>IF($A462="","",(IF(ISNUMBER(SEARCH("Proposal",$A462)),SUMIFS('Timesheet Raw'!$P$4:$P$8000,'Timesheet Raw'!$A$4:$A$8000,IF(ISNUMBER(SEARCH("Chargable",$A462)),"2-Proposals Chargeable","3-Proposals Regular"),'Timesheet Raw'!$C$4:$C$8000,"*"&amp;$B462&amp;"*",'Timesheet Raw'!$L$4:$L$8000,"&gt;="&amp;MAX(X$5,DATE(2000+VALUE(RIGHT(TRIM($A462),2)),1,1)),'Timesheet Raw'!$L$4:$L$8000,"&lt;="&amp;MIN(X$6,DATE(2000+VALUE(RIGHT(TRIM($A462),2)),12,31))),SUMIFS('Timesheet Raw'!$P$4:$P$8000,'Timesheet Raw'!$B$4:$B$8000,TRIM($A462),'Timesheet Raw'!$C$4:$C$8000,"*"&amp;$B462&amp;"*",'Timesheet Raw'!$L$4:$L$8000,"&gt;="&amp;X$5,'Timesheet Raw'!$L$4:$L$8000,"&lt;="&amp;X$6)))/'Profit Plan'!$B$5)</f>
        <v/>
      </c>
      <c r="Y462" s="118">
        <f t="shared" si="103"/>
        <v>0</v>
      </c>
    </row>
    <row r="463" spans="1:25" x14ac:dyDescent="0.3">
      <c r="A463" s="116" t="str">
        <f>IF(Inputs!$A72="","",Inputs!$A72)</f>
        <v/>
      </c>
      <c r="B463" s="116" t="str">
        <f>IF(Inputs!$A72="","",Inputs!$A$91)</f>
        <v/>
      </c>
      <c r="C463" s="116"/>
      <c r="D463" s="122" t="str">
        <f>IF($A463="","",(IF(ISNUMBER(SEARCH("Proposal",$A463)),SUMIFS('Timesheet Raw'!$P$4:$P$8000,'Timesheet Raw'!$A$4:$A$8000,IF(ISNUMBER(SEARCH("Chargable",$A463)),"2-Proposals Chargeable","3-Proposals Regular"),'Timesheet Raw'!$C$4:$C$8000,"*"&amp;$B463&amp;"*",'Timesheet Raw'!$L$4:$L$8000,"&gt;="&amp;MAX(D$5,DATE(2000+VALUE(RIGHT(TRIM($A463),2)),1,1)),'Timesheet Raw'!$L$4:$L$8000,"&lt;="&amp;MIN(D$6,DATE(2000+VALUE(RIGHT(TRIM($A463),2)),12,31))),SUMIFS('Timesheet Raw'!$P$4:$P$8000,'Timesheet Raw'!$B$4:$B$8000,TRIM($A463),'Timesheet Raw'!$C$4:$C$8000,"*"&amp;$B463&amp;"*",'Timesheet Raw'!$L$4:$L$8000,"&gt;="&amp;D$5,'Timesheet Raw'!$L$4:$L$8000,"&lt;="&amp;D$6)))/'Profit Plan'!$B$5)</f>
        <v/>
      </c>
      <c r="E463" s="122" t="str">
        <f>IF($A463="","",(IF(ISNUMBER(SEARCH("Proposal",$A463)),SUMIFS('Timesheet Raw'!$P$4:$P$8000,'Timesheet Raw'!$A$4:$A$8000,IF(ISNUMBER(SEARCH("Chargable",$A463)),"2-Proposals Chargeable","3-Proposals Regular"),'Timesheet Raw'!$C$4:$C$8000,"*"&amp;$B463&amp;"*",'Timesheet Raw'!$L$4:$L$8000,"&gt;="&amp;MAX(E$5,DATE(2000+VALUE(RIGHT(TRIM($A463),2)),1,1)),'Timesheet Raw'!$L$4:$L$8000,"&lt;="&amp;MIN(E$6,DATE(2000+VALUE(RIGHT(TRIM($A463),2)),12,31))),SUMIFS('Timesheet Raw'!$P$4:$P$8000,'Timesheet Raw'!$B$4:$B$8000,TRIM($A463),'Timesheet Raw'!$C$4:$C$8000,"*"&amp;$B463&amp;"*",'Timesheet Raw'!$L$4:$L$8000,"&gt;="&amp;E$5,'Timesheet Raw'!$L$4:$L$8000,"&lt;="&amp;E$6)))/'Profit Plan'!$B$5)</f>
        <v/>
      </c>
      <c r="F463" s="122" t="str">
        <f>IF($A463="","",(IF(ISNUMBER(SEARCH("Proposal",$A463)),SUMIFS('Timesheet Raw'!$P$4:$P$8000,'Timesheet Raw'!$A$4:$A$8000,IF(ISNUMBER(SEARCH("Chargable",$A463)),"2-Proposals Chargeable","3-Proposals Regular"),'Timesheet Raw'!$C$4:$C$8000,"*"&amp;$B463&amp;"*",'Timesheet Raw'!$L$4:$L$8000,"&gt;="&amp;MAX(F$5,DATE(2000+VALUE(RIGHT(TRIM($A463),2)),1,1)),'Timesheet Raw'!$L$4:$L$8000,"&lt;="&amp;MIN(F$6,DATE(2000+VALUE(RIGHT(TRIM($A463),2)),12,31))),SUMIFS('Timesheet Raw'!$P$4:$P$8000,'Timesheet Raw'!$B$4:$B$8000,TRIM($A463),'Timesheet Raw'!$C$4:$C$8000,"*"&amp;$B463&amp;"*",'Timesheet Raw'!$L$4:$L$8000,"&gt;="&amp;F$5,'Timesheet Raw'!$L$4:$L$8000,"&lt;="&amp;F$6)))/'Profit Plan'!$B$5)</f>
        <v/>
      </c>
      <c r="G463" s="122" t="str">
        <f>IF($A463="","",(IF(ISNUMBER(SEARCH("Proposal",$A463)),SUMIFS('Timesheet Raw'!$P$4:$P$8000,'Timesheet Raw'!$A$4:$A$8000,IF(ISNUMBER(SEARCH("Chargable",$A463)),"2-Proposals Chargeable","3-Proposals Regular"),'Timesheet Raw'!$C$4:$C$8000,"*"&amp;$B463&amp;"*",'Timesheet Raw'!$L$4:$L$8000,"&gt;="&amp;MAX(G$5,DATE(2000+VALUE(RIGHT(TRIM($A463),2)),1,1)),'Timesheet Raw'!$L$4:$L$8000,"&lt;="&amp;MIN(G$6,DATE(2000+VALUE(RIGHT(TRIM($A463),2)),12,31))),SUMIFS('Timesheet Raw'!$P$4:$P$8000,'Timesheet Raw'!$B$4:$B$8000,TRIM($A463),'Timesheet Raw'!$C$4:$C$8000,"*"&amp;$B463&amp;"*",'Timesheet Raw'!$L$4:$L$8000,"&gt;="&amp;G$5,'Timesheet Raw'!$L$4:$L$8000,"&lt;="&amp;G$6)))/'Profit Plan'!$B$5)</f>
        <v/>
      </c>
      <c r="H463" s="122" t="str">
        <f>IF($A463="","",(IF(ISNUMBER(SEARCH("Proposal",$A463)),SUMIFS('Timesheet Raw'!$P$4:$P$8000,'Timesheet Raw'!$A$4:$A$8000,IF(ISNUMBER(SEARCH("Chargable",$A463)),"2-Proposals Chargeable","3-Proposals Regular"),'Timesheet Raw'!$C$4:$C$8000,"*"&amp;$B463&amp;"*",'Timesheet Raw'!$L$4:$L$8000,"&gt;="&amp;MAX(H$5,DATE(2000+VALUE(RIGHT(TRIM($A463),2)),1,1)),'Timesheet Raw'!$L$4:$L$8000,"&lt;="&amp;MIN(H$6,DATE(2000+VALUE(RIGHT(TRIM($A463),2)),12,31))),SUMIFS('Timesheet Raw'!$P$4:$P$8000,'Timesheet Raw'!$B$4:$B$8000,TRIM($A463),'Timesheet Raw'!$C$4:$C$8000,"*"&amp;$B463&amp;"*",'Timesheet Raw'!$L$4:$L$8000,"&gt;="&amp;H$5,'Timesheet Raw'!$L$4:$L$8000,"&lt;="&amp;H$6)))/'Profit Plan'!$B$5)</f>
        <v/>
      </c>
      <c r="I463" s="122" t="str">
        <f>IF($A463="","",(IF(ISNUMBER(SEARCH("Proposal",$A463)),SUMIFS('Timesheet Raw'!$P$4:$P$8000,'Timesheet Raw'!$A$4:$A$8000,IF(ISNUMBER(SEARCH("Chargable",$A463)),"2-Proposals Chargeable","3-Proposals Regular"),'Timesheet Raw'!$C$4:$C$8000,"*"&amp;$B463&amp;"*",'Timesheet Raw'!$L$4:$L$8000,"&gt;="&amp;MAX(I$5,DATE(2000+VALUE(RIGHT(TRIM($A463),2)),1,1)),'Timesheet Raw'!$L$4:$L$8000,"&lt;="&amp;MIN(I$6,DATE(2000+VALUE(RIGHT(TRIM($A463),2)),12,31))),SUMIFS('Timesheet Raw'!$P$4:$P$8000,'Timesheet Raw'!$B$4:$B$8000,TRIM($A463),'Timesheet Raw'!$C$4:$C$8000,"*"&amp;$B463&amp;"*",'Timesheet Raw'!$L$4:$L$8000,"&gt;="&amp;I$5,'Timesheet Raw'!$L$4:$L$8000,"&lt;="&amp;I$6)))/'Profit Plan'!$B$5)</f>
        <v/>
      </c>
      <c r="J463" s="122" t="str">
        <f>IF($A463="","",(IF(ISNUMBER(SEARCH("Proposal",$A463)),SUMIFS('Timesheet Raw'!$P$4:$P$8000,'Timesheet Raw'!$A$4:$A$8000,IF(ISNUMBER(SEARCH("Chargable",$A463)),"2-Proposals Chargeable","3-Proposals Regular"),'Timesheet Raw'!$C$4:$C$8000,"*"&amp;$B463&amp;"*",'Timesheet Raw'!$L$4:$L$8000,"&gt;="&amp;MAX(J$5,DATE(2000+VALUE(RIGHT(TRIM($A463),2)),1,1)),'Timesheet Raw'!$L$4:$L$8000,"&lt;="&amp;MIN(J$6,DATE(2000+VALUE(RIGHT(TRIM($A463),2)),12,31))),SUMIFS('Timesheet Raw'!$P$4:$P$8000,'Timesheet Raw'!$B$4:$B$8000,TRIM($A463),'Timesheet Raw'!$C$4:$C$8000,"*"&amp;$B463&amp;"*",'Timesheet Raw'!$L$4:$L$8000,"&gt;="&amp;J$5,'Timesheet Raw'!$L$4:$L$8000,"&lt;="&amp;J$6)))/'Profit Plan'!$B$5)</f>
        <v/>
      </c>
      <c r="K463" s="122" t="str">
        <f>IF($A463="","",(IF(ISNUMBER(SEARCH("Proposal",$A463)),SUMIFS('Timesheet Raw'!$P$4:$P$8000,'Timesheet Raw'!$A$4:$A$8000,IF(ISNUMBER(SEARCH("Chargable",$A463)),"2-Proposals Chargeable","3-Proposals Regular"),'Timesheet Raw'!$C$4:$C$8000,"*"&amp;$B463&amp;"*",'Timesheet Raw'!$L$4:$L$8000,"&gt;="&amp;MAX(K$5,DATE(2000+VALUE(RIGHT(TRIM($A463),2)),1,1)),'Timesheet Raw'!$L$4:$L$8000,"&lt;="&amp;MIN(K$6,DATE(2000+VALUE(RIGHT(TRIM($A463),2)),12,31))),SUMIFS('Timesheet Raw'!$P$4:$P$8000,'Timesheet Raw'!$B$4:$B$8000,TRIM($A463),'Timesheet Raw'!$C$4:$C$8000,"*"&amp;$B463&amp;"*",'Timesheet Raw'!$L$4:$L$8000,"&gt;="&amp;K$5,'Timesheet Raw'!$L$4:$L$8000,"&lt;="&amp;K$6)))/'Profit Plan'!$B$5)</f>
        <v/>
      </c>
      <c r="L463" s="122" t="str">
        <f>IF($A463="","",(IF(ISNUMBER(SEARCH("Proposal",$A463)),SUMIFS('Timesheet Raw'!$P$4:$P$8000,'Timesheet Raw'!$A$4:$A$8000,IF(ISNUMBER(SEARCH("Chargable",$A463)),"2-Proposals Chargeable","3-Proposals Regular"),'Timesheet Raw'!$C$4:$C$8000,"*"&amp;$B463&amp;"*",'Timesheet Raw'!$L$4:$L$8000,"&gt;="&amp;MAX(L$5,DATE(2000+VALUE(RIGHT(TRIM($A463),2)),1,1)),'Timesheet Raw'!$L$4:$L$8000,"&lt;="&amp;MIN(L$6,DATE(2000+VALUE(RIGHT(TRIM($A463),2)),12,31))),SUMIFS('Timesheet Raw'!$P$4:$P$8000,'Timesheet Raw'!$B$4:$B$8000,TRIM($A463),'Timesheet Raw'!$C$4:$C$8000,"*"&amp;$B463&amp;"*",'Timesheet Raw'!$L$4:$L$8000,"&gt;="&amp;L$5,'Timesheet Raw'!$L$4:$L$8000,"&lt;="&amp;L$6)))/'Profit Plan'!$B$5)</f>
        <v/>
      </c>
      <c r="M463" s="122" t="str">
        <f>IF($A463="","",(IF(ISNUMBER(SEARCH("Proposal",$A463)),SUMIFS('Timesheet Raw'!$P$4:$P$8000,'Timesheet Raw'!$A$4:$A$8000,IF(ISNUMBER(SEARCH("Chargable",$A463)),"2-Proposals Chargeable","3-Proposals Regular"),'Timesheet Raw'!$C$4:$C$8000,"*"&amp;$B463&amp;"*",'Timesheet Raw'!$L$4:$L$8000,"&gt;="&amp;MAX(M$5,DATE(2000+VALUE(RIGHT(TRIM($A463),2)),1,1)),'Timesheet Raw'!$L$4:$L$8000,"&lt;="&amp;MIN(M$6,DATE(2000+VALUE(RIGHT(TRIM($A463),2)),12,31))),SUMIFS('Timesheet Raw'!$P$4:$P$8000,'Timesheet Raw'!$B$4:$B$8000,TRIM($A463),'Timesheet Raw'!$C$4:$C$8000,"*"&amp;$B463&amp;"*",'Timesheet Raw'!$L$4:$L$8000,"&gt;="&amp;M$5,'Timesheet Raw'!$L$4:$L$8000,"&lt;="&amp;M$6)))/'Profit Plan'!$B$5)</f>
        <v/>
      </c>
      <c r="N463" s="122" t="str">
        <f>IF($A463="","",(IF(ISNUMBER(SEARCH("Proposal",$A463)),SUMIFS('Timesheet Raw'!$P$4:$P$8000,'Timesheet Raw'!$A$4:$A$8000,IF(ISNUMBER(SEARCH("Chargable",$A463)),"2-Proposals Chargeable","3-Proposals Regular"),'Timesheet Raw'!$C$4:$C$8000,"*"&amp;$B463&amp;"*",'Timesheet Raw'!$L$4:$L$8000,"&gt;="&amp;MAX(N$5,DATE(2000+VALUE(RIGHT(TRIM($A463),2)),1,1)),'Timesheet Raw'!$L$4:$L$8000,"&lt;="&amp;MIN(N$6,DATE(2000+VALUE(RIGHT(TRIM($A463),2)),12,31))),SUMIFS('Timesheet Raw'!$P$4:$P$8000,'Timesheet Raw'!$B$4:$B$8000,TRIM($A463),'Timesheet Raw'!$C$4:$C$8000,"*"&amp;$B463&amp;"*",'Timesheet Raw'!$L$4:$L$8000,"&gt;="&amp;N$5,'Timesheet Raw'!$L$4:$L$8000,"&lt;="&amp;N$6)))/'Profit Plan'!$B$5)</f>
        <v/>
      </c>
      <c r="O463" s="122" t="str">
        <f>IF($A463="","",(IF(ISNUMBER(SEARCH("Proposal",$A463)),SUMIFS('Timesheet Raw'!$P$4:$P$8000,'Timesheet Raw'!$A$4:$A$8000,IF(ISNUMBER(SEARCH("Chargable",$A463)),"2-Proposals Chargeable","3-Proposals Regular"),'Timesheet Raw'!$C$4:$C$8000,"*"&amp;$B463&amp;"*",'Timesheet Raw'!$L$4:$L$8000,"&gt;="&amp;MAX(O$5,DATE(2000+VALUE(RIGHT(TRIM($A463),2)),1,1)),'Timesheet Raw'!$L$4:$L$8000,"&lt;="&amp;MIN(O$6,DATE(2000+VALUE(RIGHT(TRIM($A463),2)),12,31))),SUMIFS('Timesheet Raw'!$P$4:$P$8000,'Timesheet Raw'!$B$4:$B$8000,TRIM($A463),'Timesheet Raw'!$C$4:$C$8000,"*"&amp;$B463&amp;"*",'Timesheet Raw'!$L$4:$L$8000,"&gt;="&amp;O$5,'Timesheet Raw'!$L$4:$L$8000,"&lt;="&amp;O$6)))/'Profit Plan'!$B$5)</f>
        <v/>
      </c>
      <c r="P463" s="122" t="str">
        <f>IF($A463="","",(IF(ISNUMBER(SEARCH("Proposal",$A463)),SUMIFS('Timesheet Raw'!$P$4:$P$8000,'Timesheet Raw'!$A$4:$A$8000,IF(ISNUMBER(SEARCH("Chargable",$A463)),"2-Proposals Chargeable","3-Proposals Regular"),'Timesheet Raw'!$C$4:$C$8000,"*"&amp;$B463&amp;"*",'Timesheet Raw'!$L$4:$L$8000,"&gt;="&amp;MAX(P$5,DATE(2000+VALUE(RIGHT(TRIM($A463),2)),1,1)),'Timesheet Raw'!$L$4:$L$8000,"&lt;="&amp;MIN(P$6,DATE(2000+VALUE(RIGHT(TRIM($A463),2)),12,31))),SUMIFS('Timesheet Raw'!$P$4:$P$8000,'Timesheet Raw'!$B$4:$B$8000,TRIM($A463),'Timesheet Raw'!$C$4:$C$8000,"*"&amp;$B463&amp;"*",'Timesheet Raw'!$L$4:$L$8000,"&gt;="&amp;P$5,'Timesheet Raw'!$L$4:$L$8000,"&lt;="&amp;P$6)))/'Profit Plan'!$B$5)</f>
        <v/>
      </c>
      <c r="Q463" s="122" t="str">
        <f>IF($A463="","",(IF(ISNUMBER(SEARCH("Proposal",$A463)),SUMIFS('Timesheet Raw'!$P$4:$P$8000,'Timesheet Raw'!$A$4:$A$8000,IF(ISNUMBER(SEARCH("Chargable",$A463)),"2-Proposals Chargeable","3-Proposals Regular"),'Timesheet Raw'!$C$4:$C$8000,"*"&amp;$B463&amp;"*",'Timesheet Raw'!$L$4:$L$8000,"&gt;="&amp;MAX(Q$5,DATE(2000+VALUE(RIGHT(TRIM($A463),2)),1,1)),'Timesheet Raw'!$L$4:$L$8000,"&lt;="&amp;MIN(Q$6,DATE(2000+VALUE(RIGHT(TRIM($A463),2)),12,31))),SUMIFS('Timesheet Raw'!$P$4:$P$8000,'Timesheet Raw'!$B$4:$B$8000,TRIM($A463),'Timesheet Raw'!$C$4:$C$8000,"*"&amp;$B463&amp;"*",'Timesheet Raw'!$L$4:$L$8000,"&gt;="&amp;Q$5,'Timesheet Raw'!$L$4:$L$8000,"&lt;="&amp;Q$6)))/'Profit Plan'!$B$5)</f>
        <v/>
      </c>
      <c r="R463" s="122" t="str">
        <f>IF($A463="","",(IF(ISNUMBER(SEARCH("Proposal",$A463)),SUMIFS('Timesheet Raw'!$P$4:$P$8000,'Timesheet Raw'!$A$4:$A$8000,IF(ISNUMBER(SEARCH("Chargable",$A463)),"2-Proposals Chargeable","3-Proposals Regular"),'Timesheet Raw'!$C$4:$C$8000,"*"&amp;$B463&amp;"*",'Timesheet Raw'!$L$4:$L$8000,"&gt;="&amp;MAX(R$5,DATE(2000+VALUE(RIGHT(TRIM($A463),2)),1,1)),'Timesheet Raw'!$L$4:$L$8000,"&lt;="&amp;MIN(R$6,DATE(2000+VALUE(RIGHT(TRIM($A463),2)),12,31))),SUMIFS('Timesheet Raw'!$P$4:$P$8000,'Timesheet Raw'!$B$4:$B$8000,TRIM($A463),'Timesheet Raw'!$C$4:$C$8000,"*"&amp;$B463&amp;"*",'Timesheet Raw'!$L$4:$L$8000,"&gt;="&amp;R$5,'Timesheet Raw'!$L$4:$L$8000,"&lt;="&amp;R$6)))/'Profit Plan'!$B$5)</f>
        <v/>
      </c>
      <c r="S463" s="122" t="str">
        <f>IF($A463="","",(IF(ISNUMBER(SEARCH("Proposal",$A463)),SUMIFS('Timesheet Raw'!$P$4:$P$8000,'Timesheet Raw'!$A$4:$A$8000,IF(ISNUMBER(SEARCH("Chargable",$A463)),"2-Proposals Chargeable","3-Proposals Regular"),'Timesheet Raw'!$C$4:$C$8000,"*"&amp;$B463&amp;"*",'Timesheet Raw'!$L$4:$L$8000,"&gt;="&amp;MAX(S$5,DATE(2000+VALUE(RIGHT(TRIM($A463),2)),1,1)),'Timesheet Raw'!$L$4:$L$8000,"&lt;="&amp;MIN(S$6,DATE(2000+VALUE(RIGHT(TRIM($A463),2)),12,31))),SUMIFS('Timesheet Raw'!$P$4:$P$8000,'Timesheet Raw'!$B$4:$B$8000,TRIM($A463),'Timesheet Raw'!$C$4:$C$8000,"*"&amp;$B463&amp;"*",'Timesheet Raw'!$L$4:$L$8000,"&gt;="&amp;S$5,'Timesheet Raw'!$L$4:$L$8000,"&lt;="&amp;S$6)))/'Profit Plan'!$B$5)</f>
        <v/>
      </c>
      <c r="T463" s="122" t="str">
        <f>IF($A463="","",(IF(ISNUMBER(SEARCH("Proposal",$A463)),SUMIFS('Timesheet Raw'!$P$4:$P$8000,'Timesheet Raw'!$A$4:$A$8000,IF(ISNUMBER(SEARCH("Chargable",$A463)),"2-Proposals Chargeable","3-Proposals Regular"),'Timesheet Raw'!$C$4:$C$8000,"*"&amp;$B463&amp;"*",'Timesheet Raw'!$L$4:$L$8000,"&gt;="&amp;MAX(T$5,DATE(2000+VALUE(RIGHT(TRIM($A463),2)),1,1)),'Timesheet Raw'!$L$4:$L$8000,"&lt;="&amp;MIN(T$6,DATE(2000+VALUE(RIGHT(TRIM($A463),2)),12,31))),SUMIFS('Timesheet Raw'!$P$4:$P$8000,'Timesheet Raw'!$B$4:$B$8000,TRIM($A463),'Timesheet Raw'!$C$4:$C$8000,"*"&amp;$B463&amp;"*",'Timesheet Raw'!$L$4:$L$8000,"&gt;="&amp;T$5,'Timesheet Raw'!$L$4:$L$8000,"&lt;="&amp;T$6)))/'Profit Plan'!$B$5)</f>
        <v/>
      </c>
      <c r="U463" s="122" t="str">
        <f>IF($A463="","",(IF(ISNUMBER(SEARCH("Proposal",$A463)),SUMIFS('Timesheet Raw'!$P$4:$P$8000,'Timesheet Raw'!$A$4:$A$8000,IF(ISNUMBER(SEARCH("Chargable",$A463)),"2-Proposals Chargeable","3-Proposals Regular"),'Timesheet Raw'!$C$4:$C$8000,"*"&amp;$B463&amp;"*",'Timesheet Raw'!$L$4:$L$8000,"&gt;="&amp;MAX(U$5,DATE(2000+VALUE(RIGHT(TRIM($A463),2)),1,1)),'Timesheet Raw'!$L$4:$L$8000,"&lt;="&amp;MIN(U$6,DATE(2000+VALUE(RIGHT(TRIM($A463),2)),12,31))),SUMIFS('Timesheet Raw'!$P$4:$P$8000,'Timesheet Raw'!$B$4:$B$8000,TRIM($A463),'Timesheet Raw'!$C$4:$C$8000,"*"&amp;$B463&amp;"*",'Timesheet Raw'!$L$4:$L$8000,"&gt;="&amp;U$5,'Timesheet Raw'!$L$4:$L$8000,"&lt;="&amp;U$6)))/'Profit Plan'!$B$5)</f>
        <v/>
      </c>
      <c r="V463" s="122" t="str">
        <f>IF($A463="","",(IF(ISNUMBER(SEARCH("Proposal",$A463)),SUMIFS('Timesheet Raw'!$P$4:$P$8000,'Timesheet Raw'!$A$4:$A$8000,IF(ISNUMBER(SEARCH("Chargable",$A463)),"2-Proposals Chargeable","3-Proposals Regular"),'Timesheet Raw'!$C$4:$C$8000,"*"&amp;$B463&amp;"*",'Timesheet Raw'!$L$4:$L$8000,"&gt;="&amp;MAX(V$5,DATE(2000+VALUE(RIGHT(TRIM($A463),2)),1,1)),'Timesheet Raw'!$L$4:$L$8000,"&lt;="&amp;MIN(V$6,DATE(2000+VALUE(RIGHT(TRIM($A463),2)),12,31))),SUMIFS('Timesheet Raw'!$P$4:$P$8000,'Timesheet Raw'!$B$4:$B$8000,TRIM($A463),'Timesheet Raw'!$C$4:$C$8000,"*"&amp;$B463&amp;"*",'Timesheet Raw'!$L$4:$L$8000,"&gt;="&amp;V$5,'Timesheet Raw'!$L$4:$L$8000,"&lt;="&amp;V$6)))/'Profit Plan'!$B$5)</f>
        <v/>
      </c>
      <c r="W463" s="122" t="str">
        <f>IF($A463="","",(IF(ISNUMBER(SEARCH("Proposal",$A463)),SUMIFS('Timesheet Raw'!$P$4:$P$8000,'Timesheet Raw'!$A$4:$A$8000,IF(ISNUMBER(SEARCH("Chargable",$A463)),"2-Proposals Chargeable","3-Proposals Regular"),'Timesheet Raw'!$C$4:$C$8000,"*"&amp;$B463&amp;"*",'Timesheet Raw'!$L$4:$L$8000,"&gt;="&amp;MAX(W$5,DATE(2000+VALUE(RIGHT(TRIM($A463),2)),1,1)),'Timesheet Raw'!$L$4:$L$8000,"&lt;="&amp;MIN(W$6,DATE(2000+VALUE(RIGHT(TRIM($A463),2)),12,31))),SUMIFS('Timesheet Raw'!$P$4:$P$8000,'Timesheet Raw'!$B$4:$B$8000,TRIM($A463),'Timesheet Raw'!$C$4:$C$8000,"*"&amp;$B463&amp;"*",'Timesheet Raw'!$L$4:$L$8000,"&gt;="&amp;W$5,'Timesheet Raw'!$L$4:$L$8000,"&lt;="&amp;W$6)))/'Profit Plan'!$B$5)</f>
        <v/>
      </c>
      <c r="X463" s="122" t="str">
        <f>IF($A463="","",(IF(ISNUMBER(SEARCH("Proposal",$A463)),SUMIFS('Timesheet Raw'!$P$4:$P$8000,'Timesheet Raw'!$A$4:$A$8000,IF(ISNUMBER(SEARCH("Chargable",$A463)),"2-Proposals Chargeable","3-Proposals Regular"),'Timesheet Raw'!$C$4:$C$8000,"*"&amp;$B463&amp;"*",'Timesheet Raw'!$L$4:$L$8000,"&gt;="&amp;MAX(X$5,DATE(2000+VALUE(RIGHT(TRIM($A463),2)),1,1)),'Timesheet Raw'!$L$4:$L$8000,"&lt;="&amp;MIN(X$6,DATE(2000+VALUE(RIGHT(TRIM($A463),2)),12,31))),SUMIFS('Timesheet Raw'!$P$4:$P$8000,'Timesheet Raw'!$B$4:$B$8000,TRIM($A463),'Timesheet Raw'!$C$4:$C$8000,"*"&amp;$B463&amp;"*",'Timesheet Raw'!$L$4:$L$8000,"&gt;="&amp;X$5,'Timesheet Raw'!$L$4:$L$8000,"&lt;="&amp;X$6)))/'Profit Plan'!$B$5)</f>
        <v/>
      </c>
      <c r="Y463" s="118">
        <f t="shared" si="103"/>
        <v>0</v>
      </c>
    </row>
    <row r="464" spans="1:25" x14ac:dyDescent="0.3">
      <c r="A464" s="116" t="str">
        <f>IF(Inputs!$A72="","",Inputs!$A72)</f>
        <v/>
      </c>
      <c r="B464" s="116" t="str">
        <f>IF(Inputs!$A72="","",Inputs!$A$92)</f>
        <v/>
      </c>
      <c r="C464" s="116"/>
      <c r="D464" s="122" t="str">
        <f>IF($A464="","",(IF(ISNUMBER(SEARCH("Proposal",$A464)),SUMIFS('Timesheet Raw'!$P$4:$P$8000,'Timesheet Raw'!$A$4:$A$8000,IF(ISNUMBER(SEARCH("Chargable",$A464)),"2-Proposals Chargeable","3-Proposals Regular"),'Timesheet Raw'!$C$4:$C$8000,"*"&amp;$B464&amp;"*",'Timesheet Raw'!$L$4:$L$8000,"&gt;="&amp;MAX(D$5,DATE(2000+VALUE(RIGHT(TRIM($A464),2)),1,1)),'Timesheet Raw'!$L$4:$L$8000,"&lt;="&amp;MIN(D$6,DATE(2000+VALUE(RIGHT(TRIM($A464),2)),12,31))),SUMIFS('Timesheet Raw'!$P$4:$P$8000,'Timesheet Raw'!$B$4:$B$8000,TRIM($A464),'Timesheet Raw'!$C$4:$C$8000,"*"&amp;$B464&amp;"*",'Timesheet Raw'!$L$4:$L$8000,"&gt;="&amp;D$5,'Timesheet Raw'!$L$4:$L$8000,"&lt;="&amp;D$6)))/'Profit Plan'!$B$5)</f>
        <v/>
      </c>
      <c r="E464" s="122" t="str">
        <f>IF($A464="","",(IF(ISNUMBER(SEARCH("Proposal",$A464)),SUMIFS('Timesheet Raw'!$P$4:$P$8000,'Timesheet Raw'!$A$4:$A$8000,IF(ISNUMBER(SEARCH("Chargable",$A464)),"2-Proposals Chargeable","3-Proposals Regular"),'Timesheet Raw'!$C$4:$C$8000,"*"&amp;$B464&amp;"*",'Timesheet Raw'!$L$4:$L$8000,"&gt;="&amp;MAX(E$5,DATE(2000+VALUE(RIGHT(TRIM($A464),2)),1,1)),'Timesheet Raw'!$L$4:$L$8000,"&lt;="&amp;MIN(E$6,DATE(2000+VALUE(RIGHT(TRIM($A464),2)),12,31))),SUMIFS('Timesheet Raw'!$P$4:$P$8000,'Timesheet Raw'!$B$4:$B$8000,TRIM($A464),'Timesheet Raw'!$C$4:$C$8000,"*"&amp;$B464&amp;"*",'Timesheet Raw'!$L$4:$L$8000,"&gt;="&amp;E$5,'Timesheet Raw'!$L$4:$L$8000,"&lt;="&amp;E$6)))/'Profit Plan'!$B$5)</f>
        <v/>
      </c>
      <c r="F464" s="122" t="str">
        <f>IF($A464="","",(IF(ISNUMBER(SEARCH("Proposal",$A464)),SUMIFS('Timesheet Raw'!$P$4:$P$8000,'Timesheet Raw'!$A$4:$A$8000,IF(ISNUMBER(SEARCH("Chargable",$A464)),"2-Proposals Chargeable","3-Proposals Regular"),'Timesheet Raw'!$C$4:$C$8000,"*"&amp;$B464&amp;"*",'Timesheet Raw'!$L$4:$L$8000,"&gt;="&amp;MAX(F$5,DATE(2000+VALUE(RIGHT(TRIM($A464),2)),1,1)),'Timesheet Raw'!$L$4:$L$8000,"&lt;="&amp;MIN(F$6,DATE(2000+VALUE(RIGHT(TRIM($A464),2)),12,31))),SUMIFS('Timesheet Raw'!$P$4:$P$8000,'Timesheet Raw'!$B$4:$B$8000,TRIM($A464),'Timesheet Raw'!$C$4:$C$8000,"*"&amp;$B464&amp;"*",'Timesheet Raw'!$L$4:$L$8000,"&gt;="&amp;F$5,'Timesheet Raw'!$L$4:$L$8000,"&lt;="&amp;F$6)))/'Profit Plan'!$B$5)</f>
        <v/>
      </c>
      <c r="G464" s="122" t="str">
        <f>IF($A464="","",(IF(ISNUMBER(SEARCH("Proposal",$A464)),SUMIFS('Timesheet Raw'!$P$4:$P$8000,'Timesheet Raw'!$A$4:$A$8000,IF(ISNUMBER(SEARCH("Chargable",$A464)),"2-Proposals Chargeable","3-Proposals Regular"),'Timesheet Raw'!$C$4:$C$8000,"*"&amp;$B464&amp;"*",'Timesheet Raw'!$L$4:$L$8000,"&gt;="&amp;MAX(G$5,DATE(2000+VALUE(RIGHT(TRIM($A464),2)),1,1)),'Timesheet Raw'!$L$4:$L$8000,"&lt;="&amp;MIN(G$6,DATE(2000+VALUE(RIGHT(TRIM($A464),2)),12,31))),SUMIFS('Timesheet Raw'!$P$4:$P$8000,'Timesheet Raw'!$B$4:$B$8000,TRIM($A464),'Timesheet Raw'!$C$4:$C$8000,"*"&amp;$B464&amp;"*",'Timesheet Raw'!$L$4:$L$8000,"&gt;="&amp;G$5,'Timesheet Raw'!$L$4:$L$8000,"&lt;="&amp;G$6)))/'Profit Plan'!$B$5)</f>
        <v/>
      </c>
      <c r="H464" s="122" t="str">
        <f>IF($A464="","",(IF(ISNUMBER(SEARCH("Proposal",$A464)),SUMIFS('Timesheet Raw'!$P$4:$P$8000,'Timesheet Raw'!$A$4:$A$8000,IF(ISNUMBER(SEARCH("Chargable",$A464)),"2-Proposals Chargeable","3-Proposals Regular"),'Timesheet Raw'!$C$4:$C$8000,"*"&amp;$B464&amp;"*",'Timesheet Raw'!$L$4:$L$8000,"&gt;="&amp;MAX(H$5,DATE(2000+VALUE(RIGHT(TRIM($A464),2)),1,1)),'Timesheet Raw'!$L$4:$L$8000,"&lt;="&amp;MIN(H$6,DATE(2000+VALUE(RIGHT(TRIM($A464),2)),12,31))),SUMIFS('Timesheet Raw'!$P$4:$P$8000,'Timesheet Raw'!$B$4:$B$8000,TRIM($A464),'Timesheet Raw'!$C$4:$C$8000,"*"&amp;$B464&amp;"*",'Timesheet Raw'!$L$4:$L$8000,"&gt;="&amp;H$5,'Timesheet Raw'!$L$4:$L$8000,"&lt;="&amp;H$6)))/'Profit Plan'!$B$5)</f>
        <v/>
      </c>
      <c r="I464" s="122" t="str">
        <f>IF($A464="","",(IF(ISNUMBER(SEARCH("Proposal",$A464)),SUMIFS('Timesheet Raw'!$P$4:$P$8000,'Timesheet Raw'!$A$4:$A$8000,IF(ISNUMBER(SEARCH("Chargable",$A464)),"2-Proposals Chargeable","3-Proposals Regular"),'Timesheet Raw'!$C$4:$C$8000,"*"&amp;$B464&amp;"*",'Timesheet Raw'!$L$4:$L$8000,"&gt;="&amp;MAX(I$5,DATE(2000+VALUE(RIGHT(TRIM($A464),2)),1,1)),'Timesheet Raw'!$L$4:$L$8000,"&lt;="&amp;MIN(I$6,DATE(2000+VALUE(RIGHT(TRIM($A464),2)),12,31))),SUMIFS('Timesheet Raw'!$P$4:$P$8000,'Timesheet Raw'!$B$4:$B$8000,TRIM($A464),'Timesheet Raw'!$C$4:$C$8000,"*"&amp;$B464&amp;"*",'Timesheet Raw'!$L$4:$L$8000,"&gt;="&amp;I$5,'Timesheet Raw'!$L$4:$L$8000,"&lt;="&amp;I$6)))/'Profit Plan'!$B$5)</f>
        <v/>
      </c>
      <c r="J464" s="122" t="str">
        <f>IF($A464="","",(IF(ISNUMBER(SEARCH("Proposal",$A464)),SUMIFS('Timesheet Raw'!$P$4:$P$8000,'Timesheet Raw'!$A$4:$A$8000,IF(ISNUMBER(SEARCH("Chargable",$A464)),"2-Proposals Chargeable","3-Proposals Regular"),'Timesheet Raw'!$C$4:$C$8000,"*"&amp;$B464&amp;"*",'Timesheet Raw'!$L$4:$L$8000,"&gt;="&amp;MAX(J$5,DATE(2000+VALUE(RIGHT(TRIM($A464),2)),1,1)),'Timesheet Raw'!$L$4:$L$8000,"&lt;="&amp;MIN(J$6,DATE(2000+VALUE(RIGHT(TRIM($A464),2)),12,31))),SUMIFS('Timesheet Raw'!$P$4:$P$8000,'Timesheet Raw'!$B$4:$B$8000,TRIM($A464),'Timesheet Raw'!$C$4:$C$8000,"*"&amp;$B464&amp;"*",'Timesheet Raw'!$L$4:$L$8000,"&gt;="&amp;J$5,'Timesheet Raw'!$L$4:$L$8000,"&lt;="&amp;J$6)))/'Profit Plan'!$B$5)</f>
        <v/>
      </c>
      <c r="K464" s="122" t="str">
        <f>IF($A464="","",(IF(ISNUMBER(SEARCH("Proposal",$A464)),SUMIFS('Timesheet Raw'!$P$4:$P$8000,'Timesheet Raw'!$A$4:$A$8000,IF(ISNUMBER(SEARCH("Chargable",$A464)),"2-Proposals Chargeable","3-Proposals Regular"),'Timesheet Raw'!$C$4:$C$8000,"*"&amp;$B464&amp;"*",'Timesheet Raw'!$L$4:$L$8000,"&gt;="&amp;MAX(K$5,DATE(2000+VALUE(RIGHT(TRIM($A464),2)),1,1)),'Timesheet Raw'!$L$4:$L$8000,"&lt;="&amp;MIN(K$6,DATE(2000+VALUE(RIGHT(TRIM($A464),2)),12,31))),SUMIFS('Timesheet Raw'!$P$4:$P$8000,'Timesheet Raw'!$B$4:$B$8000,TRIM($A464),'Timesheet Raw'!$C$4:$C$8000,"*"&amp;$B464&amp;"*",'Timesheet Raw'!$L$4:$L$8000,"&gt;="&amp;K$5,'Timesheet Raw'!$L$4:$L$8000,"&lt;="&amp;K$6)))/'Profit Plan'!$B$5)</f>
        <v/>
      </c>
      <c r="L464" s="122" t="str">
        <f>IF($A464="","",(IF(ISNUMBER(SEARCH("Proposal",$A464)),SUMIFS('Timesheet Raw'!$P$4:$P$8000,'Timesheet Raw'!$A$4:$A$8000,IF(ISNUMBER(SEARCH("Chargable",$A464)),"2-Proposals Chargeable","3-Proposals Regular"),'Timesheet Raw'!$C$4:$C$8000,"*"&amp;$B464&amp;"*",'Timesheet Raw'!$L$4:$L$8000,"&gt;="&amp;MAX(L$5,DATE(2000+VALUE(RIGHT(TRIM($A464),2)),1,1)),'Timesheet Raw'!$L$4:$L$8000,"&lt;="&amp;MIN(L$6,DATE(2000+VALUE(RIGHT(TRIM($A464),2)),12,31))),SUMIFS('Timesheet Raw'!$P$4:$P$8000,'Timesheet Raw'!$B$4:$B$8000,TRIM($A464),'Timesheet Raw'!$C$4:$C$8000,"*"&amp;$B464&amp;"*",'Timesheet Raw'!$L$4:$L$8000,"&gt;="&amp;L$5,'Timesheet Raw'!$L$4:$L$8000,"&lt;="&amp;L$6)))/'Profit Plan'!$B$5)</f>
        <v/>
      </c>
      <c r="M464" s="122" t="str">
        <f>IF($A464="","",(IF(ISNUMBER(SEARCH("Proposal",$A464)),SUMIFS('Timesheet Raw'!$P$4:$P$8000,'Timesheet Raw'!$A$4:$A$8000,IF(ISNUMBER(SEARCH("Chargable",$A464)),"2-Proposals Chargeable","3-Proposals Regular"),'Timesheet Raw'!$C$4:$C$8000,"*"&amp;$B464&amp;"*",'Timesheet Raw'!$L$4:$L$8000,"&gt;="&amp;MAX(M$5,DATE(2000+VALUE(RIGHT(TRIM($A464),2)),1,1)),'Timesheet Raw'!$L$4:$L$8000,"&lt;="&amp;MIN(M$6,DATE(2000+VALUE(RIGHT(TRIM($A464),2)),12,31))),SUMIFS('Timesheet Raw'!$P$4:$P$8000,'Timesheet Raw'!$B$4:$B$8000,TRIM($A464),'Timesheet Raw'!$C$4:$C$8000,"*"&amp;$B464&amp;"*",'Timesheet Raw'!$L$4:$L$8000,"&gt;="&amp;M$5,'Timesheet Raw'!$L$4:$L$8000,"&lt;="&amp;M$6)))/'Profit Plan'!$B$5)</f>
        <v/>
      </c>
      <c r="N464" s="122" t="str">
        <f>IF($A464="","",(IF(ISNUMBER(SEARCH("Proposal",$A464)),SUMIFS('Timesheet Raw'!$P$4:$P$8000,'Timesheet Raw'!$A$4:$A$8000,IF(ISNUMBER(SEARCH("Chargable",$A464)),"2-Proposals Chargeable","3-Proposals Regular"),'Timesheet Raw'!$C$4:$C$8000,"*"&amp;$B464&amp;"*",'Timesheet Raw'!$L$4:$L$8000,"&gt;="&amp;MAX(N$5,DATE(2000+VALUE(RIGHT(TRIM($A464),2)),1,1)),'Timesheet Raw'!$L$4:$L$8000,"&lt;="&amp;MIN(N$6,DATE(2000+VALUE(RIGHT(TRIM($A464),2)),12,31))),SUMIFS('Timesheet Raw'!$P$4:$P$8000,'Timesheet Raw'!$B$4:$B$8000,TRIM($A464),'Timesheet Raw'!$C$4:$C$8000,"*"&amp;$B464&amp;"*",'Timesheet Raw'!$L$4:$L$8000,"&gt;="&amp;N$5,'Timesheet Raw'!$L$4:$L$8000,"&lt;="&amp;N$6)))/'Profit Plan'!$B$5)</f>
        <v/>
      </c>
      <c r="O464" s="122" t="str">
        <f>IF($A464="","",(IF(ISNUMBER(SEARCH("Proposal",$A464)),SUMIFS('Timesheet Raw'!$P$4:$P$8000,'Timesheet Raw'!$A$4:$A$8000,IF(ISNUMBER(SEARCH("Chargable",$A464)),"2-Proposals Chargeable","3-Proposals Regular"),'Timesheet Raw'!$C$4:$C$8000,"*"&amp;$B464&amp;"*",'Timesheet Raw'!$L$4:$L$8000,"&gt;="&amp;MAX(O$5,DATE(2000+VALUE(RIGHT(TRIM($A464),2)),1,1)),'Timesheet Raw'!$L$4:$L$8000,"&lt;="&amp;MIN(O$6,DATE(2000+VALUE(RIGHT(TRIM($A464),2)),12,31))),SUMIFS('Timesheet Raw'!$P$4:$P$8000,'Timesheet Raw'!$B$4:$B$8000,TRIM($A464),'Timesheet Raw'!$C$4:$C$8000,"*"&amp;$B464&amp;"*",'Timesheet Raw'!$L$4:$L$8000,"&gt;="&amp;O$5,'Timesheet Raw'!$L$4:$L$8000,"&lt;="&amp;O$6)))/'Profit Plan'!$B$5)</f>
        <v/>
      </c>
      <c r="P464" s="122" t="str">
        <f>IF($A464="","",(IF(ISNUMBER(SEARCH("Proposal",$A464)),SUMIFS('Timesheet Raw'!$P$4:$P$8000,'Timesheet Raw'!$A$4:$A$8000,IF(ISNUMBER(SEARCH("Chargable",$A464)),"2-Proposals Chargeable","3-Proposals Regular"),'Timesheet Raw'!$C$4:$C$8000,"*"&amp;$B464&amp;"*",'Timesheet Raw'!$L$4:$L$8000,"&gt;="&amp;MAX(P$5,DATE(2000+VALUE(RIGHT(TRIM($A464),2)),1,1)),'Timesheet Raw'!$L$4:$L$8000,"&lt;="&amp;MIN(P$6,DATE(2000+VALUE(RIGHT(TRIM($A464),2)),12,31))),SUMIFS('Timesheet Raw'!$P$4:$P$8000,'Timesheet Raw'!$B$4:$B$8000,TRIM($A464),'Timesheet Raw'!$C$4:$C$8000,"*"&amp;$B464&amp;"*",'Timesheet Raw'!$L$4:$L$8000,"&gt;="&amp;P$5,'Timesheet Raw'!$L$4:$L$8000,"&lt;="&amp;P$6)))/'Profit Plan'!$B$5)</f>
        <v/>
      </c>
      <c r="Q464" s="122" t="str">
        <f>IF($A464="","",(IF(ISNUMBER(SEARCH("Proposal",$A464)),SUMIFS('Timesheet Raw'!$P$4:$P$8000,'Timesheet Raw'!$A$4:$A$8000,IF(ISNUMBER(SEARCH("Chargable",$A464)),"2-Proposals Chargeable","3-Proposals Regular"),'Timesheet Raw'!$C$4:$C$8000,"*"&amp;$B464&amp;"*",'Timesheet Raw'!$L$4:$L$8000,"&gt;="&amp;MAX(Q$5,DATE(2000+VALUE(RIGHT(TRIM($A464),2)),1,1)),'Timesheet Raw'!$L$4:$L$8000,"&lt;="&amp;MIN(Q$6,DATE(2000+VALUE(RIGHT(TRIM($A464),2)),12,31))),SUMIFS('Timesheet Raw'!$P$4:$P$8000,'Timesheet Raw'!$B$4:$B$8000,TRIM($A464),'Timesheet Raw'!$C$4:$C$8000,"*"&amp;$B464&amp;"*",'Timesheet Raw'!$L$4:$L$8000,"&gt;="&amp;Q$5,'Timesheet Raw'!$L$4:$L$8000,"&lt;="&amp;Q$6)))/'Profit Plan'!$B$5)</f>
        <v/>
      </c>
      <c r="R464" s="122" t="str">
        <f>IF($A464="","",(IF(ISNUMBER(SEARCH("Proposal",$A464)),SUMIFS('Timesheet Raw'!$P$4:$P$8000,'Timesheet Raw'!$A$4:$A$8000,IF(ISNUMBER(SEARCH("Chargable",$A464)),"2-Proposals Chargeable","3-Proposals Regular"),'Timesheet Raw'!$C$4:$C$8000,"*"&amp;$B464&amp;"*",'Timesheet Raw'!$L$4:$L$8000,"&gt;="&amp;MAX(R$5,DATE(2000+VALUE(RIGHT(TRIM($A464),2)),1,1)),'Timesheet Raw'!$L$4:$L$8000,"&lt;="&amp;MIN(R$6,DATE(2000+VALUE(RIGHT(TRIM($A464),2)),12,31))),SUMIFS('Timesheet Raw'!$P$4:$P$8000,'Timesheet Raw'!$B$4:$B$8000,TRIM($A464),'Timesheet Raw'!$C$4:$C$8000,"*"&amp;$B464&amp;"*",'Timesheet Raw'!$L$4:$L$8000,"&gt;="&amp;R$5,'Timesheet Raw'!$L$4:$L$8000,"&lt;="&amp;R$6)))/'Profit Plan'!$B$5)</f>
        <v/>
      </c>
      <c r="S464" s="122" t="str">
        <f>IF($A464="","",(IF(ISNUMBER(SEARCH("Proposal",$A464)),SUMIFS('Timesheet Raw'!$P$4:$P$8000,'Timesheet Raw'!$A$4:$A$8000,IF(ISNUMBER(SEARCH("Chargable",$A464)),"2-Proposals Chargeable","3-Proposals Regular"),'Timesheet Raw'!$C$4:$C$8000,"*"&amp;$B464&amp;"*",'Timesheet Raw'!$L$4:$L$8000,"&gt;="&amp;MAX(S$5,DATE(2000+VALUE(RIGHT(TRIM($A464),2)),1,1)),'Timesheet Raw'!$L$4:$L$8000,"&lt;="&amp;MIN(S$6,DATE(2000+VALUE(RIGHT(TRIM($A464),2)),12,31))),SUMIFS('Timesheet Raw'!$P$4:$P$8000,'Timesheet Raw'!$B$4:$B$8000,TRIM($A464),'Timesheet Raw'!$C$4:$C$8000,"*"&amp;$B464&amp;"*",'Timesheet Raw'!$L$4:$L$8000,"&gt;="&amp;S$5,'Timesheet Raw'!$L$4:$L$8000,"&lt;="&amp;S$6)))/'Profit Plan'!$B$5)</f>
        <v/>
      </c>
      <c r="T464" s="122" t="str">
        <f>IF($A464="","",(IF(ISNUMBER(SEARCH("Proposal",$A464)),SUMIFS('Timesheet Raw'!$P$4:$P$8000,'Timesheet Raw'!$A$4:$A$8000,IF(ISNUMBER(SEARCH("Chargable",$A464)),"2-Proposals Chargeable","3-Proposals Regular"),'Timesheet Raw'!$C$4:$C$8000,"*"&amp;$B464&amp;"*",'Timesheet Raw'!$L$4:$L$8000,"&gt;="&amp;MAX(T$5,DATE(2000+VALUE(RIGHT(TRIM($A464),2)),1,1)),'Timesheet Raw'!$L$4:$L$8000,"&lt;="&amp;MIN(T$6,DATE(2000+VALUE(RIGHT(TRIM($A464),2)),12,31))),SUMIFS('Timesheet Raw'!$P$4:$P$8000,'Timesheet Raw'!$B$4:$B$8000,TRIM($A464),'Timesheet Raw'!$C$4:$C$8000,"*"&amp;$B464&amp;"*",'Timesheet Raw'!$L$4:$L$8000,"&gt;="&amp;T$5,'Timesheet Raw'!$L$4:$L$8000,"&lt;="&amp;T$6)))/'Profit Plan'!$B$5)</f>
        <v/>
      </c>
      <c r="U464" s="122" t="str">
        <f>IF($A464="","",(IF(ISNUMBER(SEARCH("Proposal",$A464)),SUMIFS('Timesheet Raw'!$P$4:$P$8000,'Timesheet Raw'!$A$4:$A$8000,IF(ISNUMBER(SEARCH("Chargable",$A464)),"2-Proposals Chargeable","3-Proposals Regular"),'Timesheet Raw'!$C$4:$C$8000,"*"&amp;$B464&amp;"*",'Timesheet Raw'!$L$4:$L$8000,"&gt;="&amp;MAX(U$5,DATE(2000+VALUE(RIGHT(TRIM($A464),2)),1,1)),'Timesheet Raw'!$L$4:$L$8000,"&lt;="&amp;MIN(U$6,DATE(2000+VALUE(RIGHT(TRIM($A464),2)),12,31))),SUMIFS('Timesheet Raw'!$P$4:$P$8000,'Timesheet Raw'!$B$4:$B$8000,TRIM($A464),'Timesheet Raw'!$C$4:$C$8000,"*"&amp;$B464&amp;"*",'Timesheet Raw'!$L$4:$L$8000,"&gt;="&amp;U$5,'Timesheet Raw'!$L$4:$L$8000,"&lt;="&amp;U$6)))/'Profit Plan'!$B$5)</f>
        <v/>
      </c>
      <c r="V464" s="122" t="str">
        <f>IF($A464="","",(IF(ISNUMBER(SEARCH("Proposal",$A464)),SUMIFS('Timesheet Raw'!$P$4:$P$8000,'Timesheet Raw'!$A$4:$A$8000,IF(ISNUMBER(SEARCH("Chargable",$A464)),"2-Proposals Chargeable","3-Proposals Regular"),'Timesheet Raw'!$C$4:$C$8000,"*"&amp;$B464&amp;"*",'Timesheet Raw'!$L$4:$L$8000,"&gt;="&amp;MAX(V$5,DATE(2000+VALUE(RIGHT(TRIM($A464),2)),1,1)),'Timesheet Raw'!$L$4:$L$8000,"&lt;="&amp;MIN(V$6,DATE(2000+VALUE(RIGHT(TRIM($A464),2)),12,31))),SUMIFS('Timesheet Raw'!$P$4:$P$8000,'Timesheet Raw'!$B$4:$B$8000,TRIM($A464),'Timesheet Raw'!$C$4:$C$8000,"*"&amp;$B464&amp;"*",'Timesheet Raw'!$L$4:$L$8000,"&gt;="&amp;V$5,'Timesheet Raw'!$L$4:$L$8000,"&lt;="&amp;V$6)))/'Profit Plan'!$B$5)</f>
        <v/>
      </c>
      <c r="W464" s="122" t="str">
        <f>IF($A464="","",(IF(ISNUMBER(SEARCH("Proposal",$A464)),SUMIFS('Timesheet Raw'!$P$4:$P$8000,'Timesheet Raw'!$A$4:$A$8000,IF(ISNUMBER(SEARCH("Chargable",$A464)),"2-Proposals Chargeable","3-Proposals Regular"),'Timesheet Raw'!$C$4:$C$8000,"*"&amp;$B464&amp;"*",'Timesheet Raw'!$L$4:$L$8000,"&gt;="&amp;MAX(W$5,DATE(2000+VALUE(RIGHT(TRIM($A464),2)),1,1)),'Timesheet Raw'!$L$4:$L$8000,"&lt;="&amp;MIN(W$6,DATE(2000+VALUE(RIGHT(TRIM($A464),2)),12,31))),SUMIFS('Timesheet Raw'!$P$4:$P$8000,'Timesheet Raw'!$B$4:$B$8000,TRIM($A464),'Timesheet Raw'!$C$4:$C$8000,"*"&amp;$B464&amp;"*",'Timesheet Raw'!$L$4:$L$8000,"&gt;="&amp;W$5,'Timesheet Raw'!$L$4:$L$8000,"&lt;="&amp;W$6)))/'Profit Plan'!$B$5)</f>
        <v/>
      </c>
      <c r="X464" s="122" t="str">
        <f>IF($A464="","",(IF(ISNUMBER(SEARCH("Proposal",$A464)),SUMIFS('Timesheet Raw'!$P$4:$P$8000,'Timesheet Raw'!$A$4:$A$8000,IF(ISNUMBER(SEARCH("Chargable",$A464)),"2-Proposals Chargeable","3-Proposals Regular"),'Timesheet Raw'!$C$4:$C$8000,"*"&amp;$B464&amp;"*",'Timesheet Raw'!$L$4:$L$8000,"&gt;="&amp;MAX(X$5,DATE(2000+VALUE(RIGHT(TRIM($A464),2)),1,1)),'Timesheet Raw'!$L$4:$L$8000,"&lt;="&amp;MIN(X$6,DATE(2000+VALUE(RIGHT(TRIM($A464),2)),12,31))),SUMIFS('Timesheet Raw'!$P$4:$P$8000,'Timesheet Raw'!$B$4:$B$8000,TRIM($A464),'Timesheet Raw'!$C$4:$C$8000,"*"&amp;$B464&amp;"*",'Timesheet Raw'!$L$4:$L$8000,"&gt;="&amp;X$5,'Timesheet Raw'!$L$4:$L$8000,"&lt;="&amp;X$6)))/'Profit Plan'!$B$5)</f>
        <v/>
      </c>
      <c r="Y464" s="118">
        <f t="shared" si="103"/>
        <v>0</v>
      </c>
    </row>
    <row r="465" spans="1:25" x14ac:dyDescent="0.3">
      <c r="A465" s="116" t="str">
        <f>IF(Inputs!$A72="","",Inputs!$A72)</f>
        <v/>
      </c>
      <c r="B465" s="116" t="str">
        <f>IF(Inputs!$A72="","",Inputs!$A$93)</f>
        <v/>
      </c>
      <c r="C465" s="116"/>
      <c r="D465" s="122" t="str">
        <f>IF($A465="","",(IF(ISNUMBER(SEARCH("Proposal",$A465)),SUMIFS('Timesheet Raw'!$P$4:$P$8000,'Timesheet Raw'!$A$4:$A$8000,IF(ISNUMBER(SEARCH("Chargable",$A465)),"2-Proposals Chargeable","3-Proposals Regular"),'Timesheet Raw'!$C$4:$C$8000,"*"&amp;$B465&amp;"*",'Timesheet Raw'!$L$4:$L$8000,"&gt;="&amp;MAX(D$5,DATE(2000+VALUE(RIGHT(TRIM($A465),2)),1,1)),'Timesheet Raw'!$L$4:$L$8000,"&lt;="&amp;MIN(D$6,DATE(2000+VALUE(RIGHT(TRIM($A465),2)),12,31))),SUMIFS('Timesheet Raw'!$P$4:$P$8000,'Timesheet Raw'!$B$4:$B$8000,TRIM($A465),'Timesheet Raw'!$C$4:$C$8000,"*"&amp;$B465&amp;"*",'Timesheet Raw'!$L$4:$L$8000,"&gt;="&amp;D$5,'Timesheet Raw'!$L$4:$L$8000,"&lt;="&amp;D$6)))/'Profit Plan'!$B$5)</f>
        <v/>
      </c>
      <c r="E465" s="122" t="str">
        <f>IF($A465="","",(IF(ISNUMBER(SEARCH("Proposal",$A465)),SUMIFS('Timesheet Raw'!$P$4:$P$8000,'Timesheet Raw'!$A$4:$A$8000,IF(ISNUMBER(SEARCH("Chargable",$A465)),"2-Proposals Chargeable","3-Proposals Regular"),'Timesheet Raw'!$C$4:$C$8000,"*"&amp;$B465&amp;"*",'Timesheet Raw'!$L$4:$L$8000,"&gt;="&amp;MAX(E$5,DATE(2000+VALUE(RIGHT(TRIM($A465),2)),1,1)),'Timesheet Raw'!$L$4:$L$8000,"&lt;="&amp;MIN(E$6,DATE(2000+VALUE(RIGHT(TRIM($A465),2)),12,31))),SUMIFS('Timesheet Raw'!$P$4:$P$8000,'Timesheet Raw'!$B$4:$B$8000,TRIM($A465),'Timesheet Raw'!$C$4:$C$8000,"*"&amp;$B465&amp;"*",'Timesheet Raw'!$L$4:$L$8000,"&gt;="&amp;E$5,'Timesheet Raw'!$L$4:$L$8000,"&lt;="&amp;E$6)))/'Profit Plan'!$B$5)</f>
        <v/>
      </c>
      <c r="F465" s="122" t="str">
        <f>IF($A465="","",(IF(ISNUMBER(SEARCH("Proposal",$A465)),SUMIFS('Timesheet Raw'!$P$4:$P$8000,'Timesheet Raw'!$A$4:$A$8000,IF(ISNUMBER(SEARCH("Chargable",$A465)),"2-Proposals Chargeable","3-Proposals Regular"),'Timesheet Raw'!$C$4:$C$8000,"*"&amp;$B465&amp;"*",'Timesheet Raw'!$L$4:$L$8000,"&gt;="&amp;MAX(F$5,DATE(2000+VALUE(RIGHT(TRIM($A465),2)),1,1)),'Timesheet Raw'!$L$4:$L$8000,"&lt;="&amp;MIN(F$6,DATE(2000+VALUE(RIGHT(TRIM($A465),2)),12,31))),SUMIFS('Timesheet Raw'!$P$4:$P$8000,'Timesheet Raw'!$B$4:$B$8000,TRIM($A465),'Timesheet Raw'!$C$4:$C$8000,"*"&amp;$B465&amp;"*",'Timesheet Raw'!$L$4:$L$8000,"&gt;="&amp;F$5,'Timesheet Raw'!$L$4:$L$8000,"&lt;="&amp;F$6)))/'Profit Plan'!$B$5)</f>
        <v/>
      </c>
      <c r="G465" s="122" t="str">
        <f>IF($A465="","",(IF(ISNUMBER(SEARCH("Proposal",$A465)),SUMIFS('Timesheet Raw'!$P$4:$P$8000,'Timesheet Raw'!$A$4:$A$8000,IF(ISNUMBER(SEARCH("Chargable",$A465)),"2-Proposals Chargeable","3-Proposals Regular"),'Timesheet Raw'!$C$4:$C$8000,"*"&amp;$B465&amp;"*",'Timesheet Raw'!$L$4:$L$8000,"&gt;="&amp;MAX(G$5,DATE(2000+VALUE(RIGHT(TRIM($A465),2)),1,1)),'Timesheet Raw'!$L$4:$L$8000,"&lt;="&amp;MIN(G$6,DATE(2000+VALUE(RIGHT(TRIM($A465),2)),12,31))),SUMIFS('Timesheet Raw'!$P$4:$P$8000,'Timesheet Raw'!$B$4:$B$8000,TRIM($A465),'Timesheet Raw'!$C$4:$C$8000,"*"&amp;$B465&amp;"*",'Timesheet Raw'!$L$4:$L$8000,"&gt;="&amp;G$5,'Timesheet Raw'!$L$4:$L$8000,"&lt;="&amp;G$6)))/'Profit Plan'!$B$5)</f>
        <v/>
      </c>
      <c r="H465" s="122" t="str">
        <f>IF($A465="","",(IF(ISNUMBER(SEARCH("Proposal",$A465)),SUMIFS('Timesheet Raw'!$P$4:$P$8000,'Timesheet Raw'!$A$4:$A$8000,IF(ISNUMBER(SEARCH("Chargable",$A465)),"2-Proposals Chargeable","3-Proposals Regular"),'Timesheet Raw'!$C$4:$C$8000,"*"&amp;$B465&amp;"*",'Timesheet Raw'!$L$4:$L$8000,"&gt;="&amp;MAX(H$5,DATE(2000+VALUE(RIGHT(TRIM($A465),2)),1,1)),'Timesheet Raw'!$L$4:$L$8000,"&lt;="&amp;MIN(H$6,DATE(2000+VALUE(RIGHT(TRIM($A465),2)),12,31))),SUMIFS('Timesheet Raw'!$P$4:$P$8000,'Timesheet Raw'!$B$4:$B$8000,TRIM($A465),'Timesheet Raw'!$C$4:$C$8000,"*"&amp;$B465&amp;"*",'Timesheet Raw'!$L$4:$L$8000,"&gt;="&amp;H$5,'Timesheet Raw'!$L$4:$L$8000,"&lt;="&amp;H$6)))/'Profit Plan'!$B$5)</f>
        <v/>
      </c>
      <c r="I465" s="122" t="str">
        <f>IF($A465="","",(IF(ISNUMBER(SEARCH("Proposal",$A465)),SUMIFS('Timesheet Raw'!$P$4:$P$8000,'Timesheet Raw'!$A$4:$A$8000,IF(ISNUMBER(SEARCH("Chargable",$A465)),"2-Proposals Chargeable","3-Proposals Regular"),'Timesheet Raw'!$C$4:$C$8000,"*"&amp;$B465&amp;"*",'Timesheet Raw'!$L$4:$L$8000,"&gt;="&amp;MAX(I$5,DATE(2000+VALUE(RIGHT(TRIM($A465),2)),1,1)),'Timesheet Raw'!$L$4:$L$8000,"&lt;="&amp;MIN(I$6,DATE(2000+VALUE(RIGHT(TRIM($A465),2)),12,31))),SUMIFS('Timesheet Raw'!$P$4:$P$8000,'Timesheet Raw'!$B$4:$B$8000,TRIM($A465),'Timesheet Raw'!$C$4:$C$8000,"*"&amp;$B465&amp;"*",'Timesheet Raw'!$L$4:$L$8000,"&gt;="&amp;I$5,'Timesheet Raw'!$L$4:$L$8000,"&lt;="&amp;I$6)))/'Profit Plan'!$B$5)</f>
        <v/>
      </c>
      <c r="J465" s="122" t="str">
        <f>IF($A465="","",(IF(ISNUMBER(SEARCH("Proposal",$A465)),SUMIFS('Timesheet Raw'!$P$4:$P$8000,'Timesheet Raw'!$A$4:$A$8000,IF(ISNUMBER(SEARCH("Chargable",$A465)),"2-Proposals Chargeable","3-Proposals Regular"),'Timesheet Raw'!$C$4:$C$8000,"*"&amp;$B465&amp;"*",'Timesheet Raw'!$L$4:$L$8000,"&gt;="&amp;MAX(J$5,DATE(2000+VALUE(RIGHT(TRIM($A465),2)),1,1)),'Timesheet Raw'!$L$4:$L$8000,"&lt;="&amp;MIN(J$6,DATE(2000+VALUE(RIGHT(TRIM($A465),2)),12,31))),SUMIFS('Timesheet Raw'!$P$4:$P$8000,'Timesheet Raw'!$B$4:$B$8000,TRIM($A465),'Timesheet Raw'!$C$4:$C$8000,"*"&amp;$B465&amp;"*",'Timesheet Raw'!$L$4:$L$8000,"&gt;="&amp;J$5,'Timesheet Raw'!$L$4:$L$8000,"&lt;="&amp;J$6)))/'Profit Plan'!$B$5)</f>
        <v/>
      </c>
      <c r="K465" s="122" t="str">
        <f>IF($A465="","",(IF(ISNUMBER(SEARCH("Proposal",$A465)),SUMIFS('Timesheet Raw'!$P$4:$P$8000,'Timesheet Raw'!$A$4:$A$8000,IF(ISNUMBER(SEARCH("Chargable",$A465)),"2-Proposals Chargeable","3-Proposals Regular"),'Timesheet Raw'!$C$4:$C$8000,"*"&amp;$B465&amp;"*",'Timesheet Raw'!$L$4:$L$8000,"&gt;="&amp;MAX(K$5,DATE(2000+VALUE(RIGHT(TRIM($A465),2)),1,1)),'Timesheet Raw'!$L$4:$L$8000,"&lt;="&amp;MIN(K$6,DATE(2000+VALUE(RIGHT(TRIM($A465),2)),12,31))),SUMIFS('Timesheet Raw'!$P$4:$P$8000,'Timesheet Raw'!$B$4:$B$8000,TRIM($A465),'Timesheet Raw'!$C$4:$C$8000,"*"&amp;$B465&amp;"*",'Timesheet Raw'!$L$4:$L$8000,"&gt;="&amp;K$5,'Timesheet Raw'!$L$4:$L$8000,"&lt;="&amp;K$6)))/'Profit Plan'!$B$5)</f>
        <v/>
      </c>
      <c r="L465" s="122" t="str">
        <f>IF($A465="","",(IF(ISNUMBER(SEARCH("Proposal",$A465)),SUMIFS('Timesheet Raw'!$P$4:$P$8000,'Timesheet Raw'!$A$4:$A$8000,IF(ISNUMBER(SEARCH("Chargable",$A465)),"2-Proposals Chargeable","3-Proposals Regular"),'Timesheet Raw'!$C$4:$C$8000,"*"&amp;$B465&amp;"*",'Timesheet Raw'!$L$4:$L$8000,"&gt;="&amp;MAX(L$5,DATE(2000+VALUE(RIGHT(TRIM($A465),2)),1,1)),'Timesheet Raw'!$L$4:$L$8000,"&lt;="&amp;MIN(L$6,DATE(2000+VALUE(RIGHT(TRIM($A465),2)),12,31))),SUMIFS('Timesheet Raw'!$P$4:$P$8000,'Timesheet Raw'!$B$4:$B$8000,TRIM($A465),'Timesheet Raw'!$C$4:$C$8000,"*"&amp;$B465&amp;"*",'Timesheet Raw'!$L$4:$L$8000,"&gt;="&amp;L$5,'Timesheet Raw'!$L$4:$L$8000,"&lt;="&amp;L$6)))/'Profit Plan'!$B$5)</f>
        <v/>
      </c>
      <c r="M465" s="122" t="str">
        <f>IF($A465="","",(IF(ISNUMBER(SEARCH("Proposal",$A465)),SUMIFS('Timesheet Raw'!$P$4:$P$8000,'Timesheet Raw'!$A$4:$A$8000,IF(ISNUMBER(SEARCH("Chargable",$A465)),"2-Proposals Chargeable","3-Proposals Regular"),'Timesheet Raw'!$C$4:$C$8000,"*"&amp;$B465&amp;"*",'Timesheet Raw'!$L$4:$L$8000,"&gt;="&amp;MAX(M$5,DATE(2000+VALUE(RIGHT(TRIM($A465),2)),1,1)),'Timesheet Raw'!$L$4:$L$8000,"&lt;="&amp;MIN(M$6,DATE(2000+VALUE(RIGHT(TRIM($A465),2)),12,31))),SUMIFS('Timesheet Raw'!$P$4:$P$8000,'Timesheet Raw'!$B$4:$B$8000,TRIM($A465),'Timesheet Raw'!$C$4:$C$8000,"*"&amp;$B465&amp;"*",'Timesheet Raw'!$L$4:$L$8000,"&gt;="&amp;M$5,'Timesheet Raw'!$L$4:$L$8000,"&lt;="&amp;M$6)))/'Profit Plan'!$B$5)</f>
        <v/>
      </c>
      <c r="N465" s="122" t="str">
        <f>IF($A465="","",(IF(ISNUMBER(SEARCH("Proposal",$A465)),SUMIFS('Timesheet Raw'!$P$4:$P$8000,'Timesheet Raw'!$A$4:$A$8000,IF(ISNUMBER(SEARCH("Chargable",$A465)),"2-Proposals Chargeable","3-Proposals Regular"),'Timesheet Raw'!$C$4:$C$8000,"*"&amp;$B465&amp;"*",'Timesheet Raw'!$L$4:$L$8000,"&gt;="&amp;MAX(N$5,DATE(2000+VALUE(RIGHT(TRIM($A465),2)),1,1)),'Timesheet Raw'!$L$4:$L$8000,"&lt;="&amp;MIN(N$6,DATE(2000+VALUE(RIGHT(TRIM($A465),2)),12,31))),SUMIFS('Timesheet Raw'!$P$4:$P$8000,'Timesheet Raw'!$B$4:$B$8000,TRIM($A465),'Timesheet Raw'!$C$4:$C$8000,"*"&amp;$B465&amp;"*",'Timesheet Raw'!$L$4:$L$8000,"&gt;="&amp;N$5,'Timesheet Raw'!$L$4:$L$8000,"&lt;="&amp;N$6)))/'Profit Plan'!$B$5)</f>
        <v/>
      </c>
      <c r="O465" s="122" t="str">
        <f>IF($A465="","",(IF(ISNUMBER(SEARCH("Proposal",$A465)),SUMIFS('Timesheet Raw'!$P$4:$P$8000,'Timesheet Raw'!$A$4:$A$8000,IF(ISNUMBER(SEARCH("Chargable",$A465)),"2-Proposals Chargeable","3-Proposals Regular"),'Timesheet Raw'!$C$4:$C$8000,"*"&amp;$B465&amp;"*",'Timesheet Raw'!$L$4:$L$8000,"&gt;="&amp;MAX(O$5,DATE(2000+VALUE(RIGHT(TRIM($A465),2)),1,1)),'Timesheet Raw'!$L$4:$L$8000,"&lt;="&amp;MIN(O$6,DATE(2000+VALUE(RIGHT(TRIM($A465),2)),12,31))),SUMIFS('Timesheet Raw'!$P$4:$P$8000,'Timesheet Raw'!$B$4:$B$8000,TRIM($A465),'Timesheet Raw'!$C$4:$C$8000,"*"&amp;$B465&amp;"*",'Timesheet Raw'!$L$4:$L$8000,"&gt;="&amp;O$5,'Timesheet Raw'!$L$4:$L$8000,"&lt;="&amp;O$6)))/'Profit Plan'!$B$5)</f>
        <v/>
      </c>
      <c r="P465" s="122" t="str">
        <f>IF($A465="","",(IF(ISNUMBER(SEARCH("Proposal",$A465)),SUMIFS('Timesheet Raw'!$P$4:$P$8000,'Timesheet Raw'!$A$4:$A$8000,IF(ISNUMBER(SEARCH("Chargable",$A465)),"2-Proposals Chargeable","3-Proposals Regular"),'Timesheet Raw'!$C$4:$C$8000,"*"&amp;$B465&amp;"*",'Timesheet Raw'!$L$4:$L$8000,"&gt;="&amp;MAX(P$5,DATE(2000+VALUE(RIGHT(TRIM($A465),2)),1,1)),'Timesheet Raw'!$L$4:$L$8000,"&lt;="&amp;MIN(P$6,DATE(2000+VALUE(RIGHT(TRIM($A465),2)),12,31))),SUMIFS('Timesheet Raw'!$P$4:$P$8000,'Timesheet Raw'!$B$4:$B$8000,TRIM($A465),'Timesheet Raw'!$C$4:$C$8000,"*"&amp;$B465&amp;"*",'Timesheet Raw'!$L$4:$L$8000,"&gt;="&amp;P$5,'Timesheet Raw'!$L$4:$L$8000,"&lt;="&amp;P$6)))/'Profit Plan'!$B$5)</f>
        <v/>
      </c>
      <c r="Q465" s="122" t="str">
        <f>IF($A465="","",(IF(ISNUMBER(SEARCH("Proposal",$A465)),SUMIFS('Timesheet Raw'!$P$4:$P$8000,'Timesheet Raw'!$A$4:$A$8000,IF(ISNUMBER(SEARCH("Chargable",$A465)),"2-Proposals Chargeable","3-Proposals Regular"),'Timesheet Raw'!$C$4:$C$8000,"*"&amp;$B465&amp;"*",'Timesheet Raw'!$L$4:$L$8000,"&gt;="&amp;MAX(Q$5,DATE(2000+VALUE(RIGHT(TRIM($A465),2)),1,1)),'Timesheet Raw'!$L$4:$L$8000,"&lt;="&amp;MIN(Q$6,DATE(2000+VALUE(RIGHT(TRIM($A465),2)),12,31))),SUMIFS('Timesheet Raw'!$P$4:$P$8000,'Timesheet Raw'!$B$4:$B$8000,TRIM($A465),'Timesheet Raw'!$C$4:$C$8000,"*"&amp;$B465&amp;"*",'Timesheet Raw'!$L$4:$L$8000,"&gt;="&amp;Q$5,'Timesheet Raw'!$L$4:$L$8000,"&lt;="&amp;Q$6)))/'Profit Plan'!$B$5)</f>
        <v/>
      </c>
      <c r="R465" s="122" t="str">
        <f>IF($A465="","",(IF(ISNUMBER(SEARCH("Proposal",$A465)),SUMIFS('Timesheet Raw'!$P$4:$P$8000,'Timesheet Raw'!$A$4:$A$8000,IF(ISNUMBER(SEARCH("Chargable",$A465)),"2-Proposals Chargeable","3-Proposals Regular"),'Timesheet Raw'!$C$4:$C$8000,"*"&amp;$B465&amp;"*",'Timesheet Raw'!$L$4:$L$8000,"&gt;="&amp;MAX(R$5,DATE(2000+VALUE(RIGHT(TRIM($A465),2)),1,1)),'Timesheet Raw'!$L$4:$L$8000,"&lt;="&amp;MIN(R$6,DATE(2000+VALUE(RIGHT(TRIM($A465),2)),12,31))),SUMIFS('Timesheet Raw'!$P$4:$P$8000,'Timesheet Raw'!$B$4:$B$8000,TRIM($A465),'Timesheet Raw'!$C$4:$C$8000,"*"&amp;$B465&amp;"*",'Timesheet Raw'!$L$4:$L$8000,"&gt;="&amp;R$5,'Timesheet Raw'!$L$4:$L$8000,"&lt;="&amp;R$6)))/'Profit Plan'!$B$5)</f>
        <v/>
      </c>
      <c r="S465" s="122" t="str">
        <f>IF($A465="","",(IF(ISNUMBER(SEARCH("Proposal",$A465)),SUMIFS('Timesheet Raw'!$P$4:$P$8000,'Timesheet Raw'!$A$4:$A$8000,IF(ISNUMBER(SEARCH("Chargable",$A465)),"2-Proposals Chargeable","3-Proposals Regular"),'Timesheet Raw'!$C$4:$C$8000,"*"&amp;$B465&amp;"*",'Timesheet Raw'!$L$4:$L$8000,"&gt;="&amp;MAX(S$5,DATE(2000+VALUE(RIGHT(TRIM($A465),2)),1,1)),'Timesheet Raw'!$L$4:$L$8000,"&lt;="&amp;MIN(S$6,DATE(2000+VALUE(RIGHT(TRIM($A465),2)),12,31))),SUMIFS('Timesheet Raw'!$P$4:$P$8000,'Timesheet Raw'!$B$4:$B$8000,TRIM($A465),'Timesheet Raw'!$C$4:$C$8000,"*"&amp;$B465&amp;"*",'Timesheet Raw'!$L$4:$L$8000,"&gt;="&amp;S$5,'Timesheet Raw'!$L$4:$L$8000,"&lt;="&amp;S$6)))/'Profit Plan'!$B$5)</f>
        <v/>
      </c>
      <c r="T465" s="122" t="str">
        <f>IF($A465="","",(IF(ISNUMBER(SEARCH("Proposal",$A465)),SUMIFS('Timesheet Raw'!$P$4:$P$8000,'Timesheet Raw'!$A$4:$A$8000,IF(ISNUMBER(SEARCH("Chargable",$A465)),"2-Proposals Chargeable","3-Proposals Regular"),'Timesheet Raw'!$C$4:$C$8000,"*"&amp;$B465&amp;"*",'Timesheet Raw'!$L$4:$L$8000,"&gt;="&amp;MAX(T$5,DATE(2000+VALUE(RIGHT(TRIM($A465),2)),1,1)),'Timesheet Raw'!$L$4:$L$8000,"&lt;="&amp;MIN(T$6,DATE(2000+VALUE(RIGHT(TRIM($A465),2)),12,31))),SUMIFS('Timesheet Raw'!$P$4:$P$8000,'Timesheet Raw'!$B$4:$B$8000,TRIM($A465),'Timesheet Raw'!$C$4:$C$8000,"*"&amp;$B465&amp;"*",'Timesheet Raw'!$L$4:$L$8000,"&gt;="&amp;T$5,'Timesheet Raw'!$L$4:$L$8000,"&lt;="&amp;T$6)))/'Profit Plan'!$B$5)</f>
        <v/>
      </c>
      <c r="U465" s="122" t="str">
        <f>IF($A465="","",(IF(ISNUMBER(SEARCH("Proposal",$A465)),SUMIFS('Timesheet Raw'!$P$4:$P$8000,'Timesheet Raw'!$A$4:$A$8000,IF(ISNUMBER(SEARCH("Chargable",$A465)),"2-Proposals Chargeable","3-Proposals Regular"),'Timesheet Raw'!$C$4:$C$8000,"*"&amp;$B465&amp;"*",'Timesheet Raw'!$L$4:$L$8000,"&gt;="&amp;MAX(U$5,DATE(2000+VALUE(RIGHT(TRIM($A465),2)),1,1)),'Timesheet Raw'!$L$4:$L$8000,"&lt;="&amp;MIN(U$6,DATE(2000+VALUE(RIGHT(TRIM($A465),2)),12,31))),SUMIFS('Timesheet Raw'!$P$4:$P$8000,'Timesheet Raw'!$B$4:$B$8000,TRIM($A465),'Timesheet Raw'!$C$4:$C$8000,"*"&amp;$B465&amp;"*",'Timesheet Raw'!$L$4:$L$8000,"&gt;="&amp;U$5,'Timesheet Raw'!$L$4:$L$8000,"&lt;="&amp;U$6)))/'Profit Plan'!$B$5)</f>
        <v/>
      </c>
      <c r="V465" s="122" t="str">
        <f>IF($A465="","",(IF(ISNUMBER(SEARCH("Proposal",$A465)),SUMIFS('Timesheet Raw'!$P$4:$P$8000,'Timesheet Raw'!$A$4:$A$8000,IF(ISNUMBER(SEARCH("Chargable",$A465)),"2-Proposals Chargeable","3-Proposals Regular"),'Timesheet Raw'!$C$4:$C$8000,"*"&amp;$B465&amp;"*",'Timesheet Raw'!$L$4:$L$8000,"&gt;="&amp;MAX(V$5,DATE(2000+VALUE(RIGHT(TRIM($A465),2)),1,1)),'Timesheet Raw'!$L$4:$L$8000,"&lt;="&amp;MIN(V$6,DATE(2000+VALUE(RIGHT(TRIM($A465),2)),12,31))),SUMIFS('Timesheet Raw'!$P$4:$P$8000,'Timesheet Raw'!$B$4:$B$8000,TRIM($A465),'Timesheet Raw'!$C$4:$C$8000,"*"&amp;$B465&amp;"*",'Timesheet Raw'!$L$4:$L$8000,"&gt;="&amp;V$5,'Timesheet Raw'!$L$4:$L$8000,"&lt;="&amp;V$6)))/'Profit Plan'!$B$5)</f>
        <v/>
      </c>
      <c r="W465" s="122" t="str">
        <f>IF($A465="","",(IF(ISNUMBER(SEARCH("Proposal",$A465)),SUMIFS('Timesheet Raw'!$P$4:$P$8000,'Timesheet Raw'!$A$4:$A$8000,IF(ISNUMBER(SEARCH("Chargable",$A465)),"2-Proposals Chargeable","3-Proposals Regular"),'Timesheet Raw'!$C$4:$C$8000,"*"&amp;$B465&amp;"*",'Timesheet Raw'!$L$4:$L$8000,"&gt;="&amp;MAX(W$5,DATE(2000+VALUE(RIGHT(TRIM($A465),2)),1,1)),'Timesheet Raw'!$L$4:$L$8000,"&lt;="&amp;MIN(W$6,DATE(2000+VALUE(RIGHT(TRIM($A465),2)),12,31))),SUMIFS('Timesheet Raw'!$P$4:$P$8000,'Timesheet Raw'!$B$4:$B$8000,TRIM($A465),'Timesheet Raw'!$C$4:$C$8000,"*"&amp;$B465&amp;"*",'Timesheet Raw'!$L$4:$L$8000,"&gt;="&amp;W$5,'Timesheet Raw'!$L$4:$L$8000,"&lt;="&amp;W$6)))/'Profit Plan'!$B$5)</f>
        <v/>
      </c>
      <c r="X465" s="122" t="str">
        <f>IF($A465="","",(IF(ISNUMBER(SEARCH("Proposal",$A465)),SUMIFS('Timesheet Raw'!$P$4:$P$8000,'Timesheet Raw'!$A$4:$A$8000,IF(ISNUMBER(SEARCH("Chargable",$A465)),"2-Proposals Chargeable","3-Proposals Regular"),'Timesheet Raw'!$C$4:$C$8000,"*"&amp;$B465&amp;"*",'Timesheet Raw'!$L$4:$L$8000,"&gt;="&amp;MAX(X$5,DATE(2000+VALUE(RIGHT(TRIM($A465),2)),1,1)),'Timesheet Raw'!$L$4:$L$8000,"&lt;="&amp;MIN(X$6,DATE(2000+VALUE(RIGHT(TRIM($A465),2)),12,31))),SUMIFS('Timesheet Raw'!$P$4:$P$8000,'Timesheet Raw'!$B$4:$B$8000,TRIM($A465),'Timesheet Raw'!$C$4:$C$8000,"*"&amp;$B465&amp;"*",'Timesheet Raw'!$L$4:$L$8000,"&gt;="&amp;X$5,'Timesheet Raw'!$L$4:$L$8000,"&lt;="&amp;X$6)))/'Profit Plan'!$B$5)</f>
        <v/>
      </c>
      <c r="Y465" s="118">
        <f t="shared" si="103"/>
        <v>0</v>
      </c>
    </row>
    <row r="466" spans="1:25" x14ac:dyDescent="0.3">
      <c r="A466" s="116" t="str">
        <f>IF(Inputs!$A73="","",Inputs!$A73)</f>
        <v/>
      </c>
      <c r="B466" s="116" t="str">
        <f>IF(Inputs!$A73="","",Inputs!$A$91)</f>
        <v/>
      </c>
      <c r="C466" s="116"/>
      <c r="D466" s="122" t="str">
        <f>IF($A466="","",(IF(ISNUMBER(SEARCH("Proposal",$A466)),SUMIFS('Timesheet Raw'!$P$4:$P$8000,'Timesheet Raw'!$A$4:$A$8000,IF(ISNUMBER(SEARCH("Chargable",$A466)),"2-Proposals Chargeable","3-Proposals Regular"),'Timesheet Raw'!$C$4:$C$8000,"*"&amp;$B466&amp;"*",'Timesheet Raw'!$L$4:$L$8000,"&gt;="&amp;MAX(D$5,DATE(2000+VALUE(RIGHT(TRIM($A466),2)),1,1)),'Timesheet Raw'!$L$4:$L$8000,"&lt;="&amp;MIN(D$6,DATE(2000+VALUE(RIGHT(TRIM($A466),2)),12,31))),SUMIFS('Timesheet Raw'!$P$4:$P$8000,'Timesheet Raw'!$B$4:$B$8000,TRIM($A466),'Timesheet Raw'!$C$4:$C$8000,"*"&amp;$B466&amp;"*",'Timesheet Raw'!$L$4:$L$8000,"&gt;="&amp;D$5,'Timesheet Raw'!$L$4:$L$8000,"&lt;="&amp;D$6)))/'Profit Plan'!$B$5)</f>
        <v/>
      </c>
      <c r="E466" s="122" t="str">
        <f>IF($A466="","",(IF(ISNUMBER(SEARCH("Proposal",$A466)),SUMIFS('Timesheet Raw'!$P$4:$P$8000,'Timesheet Raw'!$A$4:$A$8000,IF(ISNUMBER(SEARCH("Chargable",$A466)),"2-Proposals Chargeable","3-Proposals Regular"),'Timesheet Raw'!$C$4:$C$8000,"*"&amp;$B466&amp;"*",'Timesheet Raw'!$L$4:$L$8000,"&gt;="&amp;MAX(E$5,DATE(2000+VALUE(RIGHT(TRIM($A466),2)),1,1)),'Timesheet Raw'!$L$4:$L$8000,"&lt;="&amp;MIN(E$6,DATE(2000+VALUE(RIGHT(TRIM($A466),2)),12,31))),SUMIFS('Timesheet Raw'!$P$4:$P$8000,'Timesheet Raw'!$B$4:$B$8000,TRIM($A466),'Timesheet Raw'!$C$4:$C$8000,"*"&amp;$B466&amp;"*",'Timesheet Raw'!$L$4:$L$8000,"&gt;="&amp;E$5,'Timesheet Raw'!$L$4:$L$8000,"&lt;="&amp;E$6)))/'Profit Plan'!$B$5)</f>
        <v/>
      </c>
      <c r="F466" s="122" t="str">
        <f>IF($A466="","",(IF(ISNUMBER(SEARCH("Proposal",$A466)),SUMIFS('Timesheet Raw'!$P$4:$P$8000,'Timesheet Raw'!$A$4:$A$8000,IF(ISNUMBER(SEARCH("Chargable",$A466)),"2-Proposals Chargeable","3-Proposals Regular"),'Timesheet Raw'!$C$4:$C$8000,"*"&amp;$B466&amp;"*",'Timesheet Raw'!$L$4:$L$8000,"&gt;="&amp;MAX(F$5,DATE(2000+VALUE(RIGHT(TRIM($A466),2)),1,1)),'Timesheet Raw'!$L$4:$L$8000,"&lt;="&amp;MIN(F$6,DATE(2000+VALUE(RIGHT(TRIM($A466),2)),12,31))),SUMIFS('Timesheet Raw'!$P$4:$P$8000,'Timesheet Raw'!$B$4:$B$8000,TRIM($A466),'Timesheet Raw'!$C$4:$C$8000,"*"&amp;$B466&amp;"*",'Timesheet Raw'!$L$4:$L$8000,"&gt;="&amp;F$5,'Timesheet Raw'!$L$4:$L$8000,"&lt;="&amp;F$6)))/'Profit Plan'!$B$5)</f>
        <v/>
      </c>
      <c r="G466" s="122" t="str">
        <f>IF($A466="","",(IF(ISNUMBER(SEARCH("Proposal",$A466)),SUMIFS('Timesheet Raw'!$P$4:$P$8000,'Timesheet Raw'!$A$4:$A$8000,IF(ISNUMBER(SEARCH("Chargable",$A466)),"2-Proposals Chargeable","3-Proposals Regular"),'Timesheet Raw'!$C$4:$C$8000,"*"&amp;$B466&amp;"*",'Timesheet Raw'!$L$4:$L$8000,"&gt;="&amp;MAX(G$5,DATE(2000+VALUE(RIGHT(TRIM($A466),2)),1,1)),'Timesheet Raw'!$L$4:$L$8000,"&lt;="&amp;MIN(G$6,DATE(2000+VALUE(RIGHT(TRIM($A466),2)),12,31))),SUMIFS('Timesheet Raw'!$P$4:$P$8000,'Timesheet Raw'!$B$4:$B$8000,TRIM($A466),'Timesheet Raw'!$C$4:$C$8000,"*"&amp;$B466&amp;"*",'Timesheet Raw'!$L$4:$L$8000,"&gt;="&amp;G$5,'Timesheet Raw'!$L$4:$L$8000,"&lt;="&amp;G$6)))/'Profit Plan'!$B$5)</f>
        <v/>
      </c>
      <c r="H466" s="122" t="str">
        <f>IF($A466="","",(IF(ISNUMBER(SEARCH("Proposal",$A466)),SUMIFS('Timesheet Raw'!$P$4:$P$8000,'Timesheet Raw'!$A$4:$A$8000,IF(ISNUMBER(SEARCH("Chargable",$A466)),"2-Proposals Chargeable","3-Proposals Regular"),'Timesheet Raw'!$C$4:$C$8000,"*"&amp;$B466&amp;"*",'Timesheet Raw'!$L$4:$L$8000,"&gt;="&amp;MAX(H$5,DATE(2000+VALUE(RIGHT(TRIM($A466),2)),1,1)),'Timesheet Raw'!$L$4:$L$8000,"&lt;="&amp;MIN(H$6,DATE(2000+VALUE(RIGHT(TRIM($A466),2)),12,31))),SUMIFS('Timesheet Raw'!$P$4:$P$8000,'Timesheet Raw'!$B$4:$B$8000,TRIM($A466),'Timesheet Raw'!$C$4:$C$8000,"*"&amp;$B466&amp;"*",'Timesheet Raw'!$L$4:$L$8000,"&gt;="&amp;H$5,'Timesheet Raw'!$L$4:$L$8000,"&lt;="&amp;H$6)))/'Profit Plan'!$B$5)</f>
        <v/>
      </c>
      <c r="I466" s="122" t="str">
        <f>IF($A466="","",(IF(ISNUMBER(SEARCH("Proposal",$A466)),SUMIFS('Timesheet Raw'!$P$4:$P$8000,'Timesheet Raw'!$A$4:$A$8000,IF(ISNUMBER(SEARCH("Chargable",$A466)),"2-Proposals Chargeable","3-Proposals Regular"),'Timesheet Raw'!$C$4:$C$8000,"*"&amp;$B466&amp;"*",'Timesheet Raw'!$L$4:$L$8000,"&gt;="&amp;MAX(I$5,DATE(2000+VALUE(RIGHT(TRIM($A466),2)),1,1)),'Timesheet Raw'!$L$4:$L$8000,"&lt;="&amp;MIN(I$6,DATE(2000+VALUE(RIGHT(TRIM($A466),2)),12,31))),SUMIFS('Timesheet Raw'!$P$4:$P$8000,'Timesheet Raw'!$B$4:$B$8000,TRIM($A466),'Timesheet Raw'!$C$4:$C$8000,"*"&amp;$B466&amp;"*",'Timesheet Raw'!$L$4:$L$8000,"&gt;="&amp;I$5,'Timesheet Raw'!$L$4:$L$8000,"&lt;="&amp;I$6)))/'Profit Plan'!$B$5)</f>
        <v/>
      </c>
      <c r="J466" s="122" t="str">
        <f>IF($A466="","",(IF(ISNUMBER(SEARCH("Proposal",$A466)),SUMIFS('Timesheet Raw'!$P$4:$P$8000,'Timesheet Raw'!$A$4:$A$8000,IF(ISNUMBER(SEARCH("Chargable",$A466)),"2-Proposals Chargeable","3-Proposals Regular"),'Timesheet Raw'!$C$4:$C$8000,"*"&amp;$B466&amp;"*",'Timesheet Raw'!$L$4:$L$8000,"&gt;="&amp;MAX(J$5,DATE(2000+VALUE(RIGHT(TRIM($A466),2)),1,1)),'Timesheet Raw'!$L$4:$L$8000,"&lt;="&amp;MIN(J$6,DATE(2000+VALUE(RIGHT(TRIM($A466),2)),12,31))),SUMIFS('Timesheet Raw'!$P$4:$P$8000,'Timesheet Raw'!$B$4:$B$8000,TRIM($A466),'Timesheet Raw'!$C$4:$C$8000,"*"&amp;$B466&amp;"*",'Timesheet Raw'!$L$4:$L$8000,"&gt;="&amp;J$5,'Timesheet Raw'!$L$4:$L$8000,"&lt;="&amp;J$6)))/'Profit Plan'!$B$5)</f>
        <v/>
      </c>
      <c r="K466" s="122" t="str">
        <f>IF($A466="","",(IF(ISNUMBER(SEARCH("Proposal",$A466)),SUMIFS('Timesheet Raw'!$P$4:$P$8000,'Timesheet Raw'!$A$4:$A$8000,IF(ISNUMBER(SEARCH("Chargable",$A466)),"2-Proposals Chargeable","3-Proposals Regular"),'Timesheet Raw'!$C$4:$C$8000,"*"&amp;$B466&amp;"*",'Timesheet Raw'!$L$4:$L$8000,"&gt;="&amp;MAX(K$5,DATE(2000+VALUE(RIGHT(TRIM($A466),2)),1,1)),'Timesheet Raw'!$L$4:$L$8000,"&lt;="&amp;MIN(K$6,DATE(2000+VALUE(RIGHT(TRIM($A466),2)),12,31))),SUMIFS('Timesheet Raw'!$P$4:$P$8000,'Timesheet Raw'!$B$4:$B$8000,TRIM($A466),'Timesheet Raw'!$C$4:$C$8000,"*"&amp;$B466&amp;"*",'Timesheet Raw'!$L$4:$L$8000,"&gt;="&amp;K$5,'Timesheet Raw'!$L$4:$L$8000,"&lt;="&amp;K$6)))/'Profit Plan'!$B$5)</f>
        <v/>
      </c>
      <c r="L466" s="122" t="str">
        <f>IF($A466="","",(IF(ISNUMBER(SEARCH("Proposal",$A466)),SUMIFS('Timesheet Raw'!$P$4:$P$8000,'Timesheet Raw'!$A$4:$A$8000,IF(ISNUMBER(SEARCH("Chargable",$A466)),"2-Proposals Chargeable","3-Proposals Regular"),'Timesheet Raw'!$C$4:$C$8000,"*"&amp;$B466&amp;"*",'Timesheet Raw'!$L$4:$L$8000,"&gt;="&amp;MAX(L$5,DATE(2000+VALUE(RIGHT(TRIM($A466),2)),1,1)),'Timesheet Raw'!$L$4:$L$8000,"&lt;="&amp;MIN(L$6,DATE(2000+VALUE(RIGHT(TRIM($A466),2)),12,31))),SUMIFS('Timesheet Raw'!$P$4:$P$8000,'Timesheet Raw'!$B$4:$B$8000,TRIM($A466),'Timesheet Raw'!$C$4:$C$8000,"*"&amp;$B466&amp;"*",'Timesheet Raw'!$L$4:$L$8000,"&gt;="&amp;L$5,'Timesheet Raw'!$L$4:$L$8000,"&lt;="&amp;L$6)))/'Profit Plan'!$B$5)</f>
        <v/>
      </c>
      <c r="M466" s="122" t="str">
        <f>IF($A466="","",(IF(ISNUMBER(SEARCH("Proposal",$A466)),SUMIFS('Timesheet Raw'!$P$4:$P$8000,'Timesheet Raw'!$A$4:$A$8000,IF(ISNUMBER(SEARCH("Chargable",$A466)),"2-Proposals Chargeable","3-Proposals Regular"),'Timesheet Raw'!$C$4:$C$8000,"*"&amp;$B466&amp;"*",'Timesheet Raw'!$L$4:$L$8000,"&gt;="&amp;MAX(M$5,DATE(2000+VALUE(RIGHT(TRIM($A466),2)),1,1)),'Timesheet Raw'!$L$4:$L$8000,"&lt;="&amp;MIN(M$6,DATE(2000+VALUE(RIGHT(TRIM($A466),2)),12,31))),SUMIFS('Timesheet Raw'!$P$4:$P$8000,'Timesheet Raw'!$B$4:$B$8000,TRIM($A466),'Timesheet Raw'!$C$4:$C$8000,"*"&amp;$B466&amp;"*",'Timesheet Raw'!$L$4:$L$8000,"&gt;="&amp;M$5,'Timesheet Raw'!$L$4:$L$8000,"&lt;="&amp;M$6)))/'Profit Plan'!$B$5)</f>
        <v/>
      </c>
      <c r="N466" s="122" t="str">
        <f>IF($A466="","",(IF(ISNUMBER(SEARCH("Proposal",$A466)),SUMIFS('Timesheet Raw'!$P$4:$P$8000,'Timesheet Raw'!$A$4:$A$8000,IF(ISNUMBER(SEARCH("Chargable",$A466)),"2-Proposals Chargeable","3-Proposals Regular"),'Timesheet Raw'!$C$4:$C$8000,"*"&amp;$B466&amp;"*",'Timesheet Raw'!$L$4:$L$8000,"&gt;="&amp;MAX(N$5,DATE(2000+VALUE(RIGHT(TRIM($A466),2)),1,1)),'Timesheet Raw'!$L$4:$L$8000,"&lt;="&amp;MIN(N$6,DATE(2000+VALUE(RIGHT(TRIM($A466),2)),12,31))),SUMIFS('Timesheet Raw'!$P$4:$P$8000,'Timesheet Raw'!$B$4:$B$8000,TRIM($A466),'Timesheet Raw'!$C$4:$C$8000,"*"&amp;$B466&amp;"*",'Timesheet Raw'!$L$4:$L$8000,"&gt;="&amp;N$5,'Timesheet Raw'!$L$4:$L$8000,"&lt;="&amp;N$6)))/'Profit Plan'!$B$5)</f>
        <v/>
      </c>
      <c r="O466" s="122" t="str">
        <f>IF($A466="","",(IF(ISNUMBER(SEARCH("Proposal",$A466)),SUMIFS('Timesheet Raw'!$P$4:$P$8000,'Timesheet Raw'!$A$4:$A$8000,IF(ISNUMBER(SEARCH("Chargable",$A466)),"2-Proposals Chargeable","3-Proposals Regular"),'Timesheet Raw'!$C$4:$C$8000,"*"&amp;$B466&amp;"*",'Timesheet Raw'!$L$4:$L$8000,"&gt;="&amp;MAX(O$5,DATE(2000+VALUE(RIGHT(TRIM($A466),2)),1,1)),'Timesheet Raw'!$L$4:$L$8000,"&lt;="&amp;MIN(O$6,DATE(2000+VALUE(RIGHT(TRIM($A466),2)),12,31))),SUMIFS('Timesheet Raw'!$P$4:$P$8000,'Timesheet Raw'!$B$4:$B$8000,TRIM($A466),'Timesheet Raw'!$C$4:$C$8000,"*"&amp;$B466&amp;"*",'Timesheet Raw'!$L$4:$L$8000,"&gt;="&amp;O$5,'Timesheet Raw'!$L$4:$L$8000,"&lt;="&amp;O$6)))/'Profit Plan'!$B$5)</f>
        <v/>
      </c>
      <c r="P466" s="122" t="str">
        <f>IF($A466="","",(IF(ISNUMBER(SEARCH("Proposal",$A466)),SUMIFS('Timesheet Raw'!$P$4:$P$8000,'Timesheet Raw'!$A$4:$A$8000,IF(ISNUMBER(SEARCH("Chargable",$A466)),"2-Proposals Chargeable","3-Proposals Regular"),'Timesheet Raw'!$C$4:$C$8000,"*"&amp;$B466&amp;"*",'Timesheet Raw'!$L$4:$L$8000,"&gt;="&amp;MAX(P$5,DATE(2000+VALUE(RIGHT(TRIM($A466),2)),1,1)),'Timesheet Raw'!$L$4:$L$8000,"&lt;="&amp;MIN(P$6,DATE(2000+VALUE(RIGHT(TRIM($A466),2)),12,31))),SUMIFS('Timesheet Raw'!$P$4:$P$8000,'Timesheet Raw'!$B$4:$B$8000,TRIM($A466),'Timesheet Raw'!$C$4:$C$8000,"*"&amp;$B466&amp;"*",'Timesheet Raw'!$L$4:$L$8000,"&gt;="&amp;P$5,'Timesheet Raw'!$L$4:$L$8000,"&lt;="&amp;P$6)))/'Profit Plan'!$B$5)</f>
        <v/>
      </c>
      <c r="Q466" s="122" t="str">
        <f>IF($A466="","",(IF(ISNUMBER(SEARCH("Proposal",$A466)),SUMIFS('Timesheet Raw'!$P$4:$P$8000,'Timesheet Raw'!$A$4:$A$8000,IF(ISNUMBER(SEARCH("Chargable",$A466)),"2-Proposals Chargeable","3-Proposals Regular"),'Timesheet Raw'!$C$4:$C$8000,"*"&amp;$B466&amp;"*",'Timesheet Raw'!$L$4:$L$8000,"&gt;="&amp;MAX(Q$5,DATE(2000+VALUE(RIGHT(TRIM($A466),2)),1,1)),'Timesheet Raw'!$L$4:$L$8000,"&lt;="&amp;MIN(Q$6,DATE(2000+VALUE(RIGHT(TRIM($A466),2)),12,31))),SUMIFS('Timesheet Raw'!$P$4:$P$8000,'Timesheet Raw'!$B$4:$B$8000,TRIM($A466),'Timesheet Raw'!$C$4:$C$8000,"*"&amp;$B466&amp;"*",'Timesheet Raw'!$L$4:$L$8000,"&gt;="&amp;Q$5,'Timesheet Raw'!$L$4:$L$8000,"&lt;="&amp;Q$6)))/'Profit Plan'!$B$5)</f>
        <v/>
      </c>
      <c r="R466" s="122" t="str">
        <f>IF($A466="","",(IF(ISNUMBER(SEARCH("Proposal",$A466)),SUMIFS('Timesheet Raw'!$P$4:$P$8000,'Timesheet Raw'!$A$4:$A$8000,IF(ISNUMBER(SEARCH("Chargable",$A466)),"2-Proposals Chargeable","3-Proposals Regular"),'Timesheet Raw'!$C$4:$C$8000,"*"&amp;$B466&amp;"*",'Timesheet Raw'!$L$4:$L$8000,"&gt;="&amp;MAX(R$5,DATE(2000+VALUE(RIGHT(TRIM($A466),2)),1,1)),'Timesheet Raw'!$L$4:$L$8000,"&lt;="&amp;MIN(R$6,DATE(2000+VALUE(RIGHT(TRIM($A466),2)),12,31))),SUMIFS('Timesheet Raw'!$P$4:$P$8000,'Timesheet Raw'!$B$4:$B$8000,TRIM($A466),'Timesheet Raw'!$C$4:$C$8000,"*"&amp;$B466&amp;"*",'Timesheet Raw'!$L$4:$L$8000,"&gt;="&amp;R$5,'Timesheet Raw'!$L$4:$L$8000,"&lt;="&amp;R$6)))/'Profit Plan'!$B$5)</f>
        <v/>
      </c>
      <c r="S466" s="122" t="str">
        <f>IF($A466="","",(IF(ISNUMBER(SEARCH("Proposal",$A466)),SUMIFS('Timesheet Raw'!$P$4:$P$8000,'Timesheet Raw'!$A$4:$A$8000,IF(ISNUMBER(SEARCH("Chargable",$A466)),"2-Proposals Chargeable","3-Proposals Regular"),'Timesheet Raw'!$C$4:$C$8000,"*"&amp;$B466&amp;"*",'Timesheet Raw'!$L$4:$L$8000,"&gt;="&amp;MAX(S$5,DATE(2000+VALUE(RIGHT(TRIM($A466),2)),1,1)),'Timesheet Raw'!$L$4:$L$8000,"&lt;="&amp;MIN(S$6,DATE(2000+VALUE(RIGHT(TRIM($A466),2)),12,31))),SUMIFS('Timesheet Raw'!$P$4:$P$8000,'Timesheet Raw'!$B$4:$B$8000,TRIM($A466),'Timesheet Raw'!$C$4:$C$8000,"*"&amp;$B466&amp;"*",'Timesheet Raw'!$L$4:$L$8000,"&gt;="&amp;S$5,'Timesheet Raw'!$L$4:$L$8000,"&lt;="&amp;S$6)))/'Profit Plan'!$B$5)</f>
        <v/>
      </c>
      <c r="T466" s="122" t="str">
        <f>IF($A466="","",(IF(ISNUMBER(SEARCH("Proposal",$A466)),SUMIFS('Timesheet Raw'!$P$4:$P$8000,'Timesheet Raw'!$A$4:$A$8000,IF(ISNUMBER(SEARCH("Chargable",$A466)),"2-Proposals Chargeable","3-Proposals Regular"),'Timesheet Raw'!$C$4:$C$8000,"*"&amp;$B466&amp;"*",'Timesheet Raw'!$L$4:$L$8000,"&gt;="&amp;MAX(T$5,DATE(2000+VALUE(RIGHT(TRIM($A466),2)),1,1)),'Timesheet Raw'!$L$4:$L$8000,"&lt;="&amp;MIN(T$6,DATE(2000+VALUE(RIGHT(TRIM($A466),2)),12,31))),SUMIFS('Timesheet Raw'!$P$4:$P$8000,'Timesheet Raw'!$B$4:$B$8000,TRIM($A466),'Timesheet Raw'!$C$4:$C$8000,"*"&amp;$B466&amp;"*",'Timesheet Raw'!$L$4:$L$8000,"&gt;="&amp;T$5,'Timesheet Raw'!$L$4:$L$8000,"&lt;="&amp;T$6)))/'Profit Plan'!$B$5)</f>
        <v/>
      </c>
      <c r="U466" s="122" t="str">
        <f>IF($A466="","",(IF(ISNUMBER(SEARCH("Proposal",$A466)),SUMIFS('Timesheet Raw'!$P$4:$P$8000,'Timesheet Raw'!$A$4:$A$8000,IF(ISNUMBER(SEARCH("Chargable",$A466)),"2-Proposals Chargeable","3-Proposals Regular"),'Timesheet Raw'!$C$4:$C$8000,"*"&amp;$B466&amp;"*",'Timesheet Raw'!$L$4:$L$8000,"&gt;="&amp;MAX(U$5,DATE(2000+VALUE(RIGHT(TRIM($A466),2)),1,1)),'Timesheet Raw'!$L$4:$L$8000,"&lt;="&amp;MIN(U$6,DATE(2000+VALUE(RIGHT(TRIM($A466),2)),12,31))),SUMIFS('Timesheet Raw'!$P$4:$P$8000,'Timesheet Raw'!$B$4:$B$8000,TRIM($A466),'Timesheet Raw'!$C$4:$C$8000,"*"&amp;$B466&amp;"*",'Timesheet Raw'!$L$4:$L$8000,"&gt;="&amp;U$5,'Timesheet Raw'!$L$4:$L$8000,"&lt;="&amp;U$6)))/'Profit Plan'!$B$5)</f>
        <v/>
      </c>
      <c r="V466" s="122" t="str">
        <f>IF($A466="","",(IF(ISNUMBER(SEARCH("Proposal",$A466)),SUMIFS('Timesheet Raw'!$P$4:$P$8000,'Timesheet Raw'!$A$4:$A$8000,IF(ISNUMBER(SEARCH("Chargable",$A466)),"2-Proposals Chargeable","3-Proposals Regular"),'Timesheet Raw'!$C$4:$C$8000,"*"&amp;$B466&amp;"*",'Timesheet Raw'!$L$4:$L$8000,"&gt;="&amp;MAX(V$5,DATE(2000+VALUE(RIGHT(TRIM($A466),2)),1,1)),'Timesheet Raw'!$L$4:$L$8000,"&lt;="&amp;MIN(V$6,DATE(2000+VALUE(RIGHT(TRIM($A466),2)),12,31))),SUMIFS('Timesheet Raw'!$P$4:$P$8000,'Timesheet Raw'!$B$4:$B$8000,TRIM($A466),'Timesheet Raw'!$C$4:$C$8000,"*"&amp;$B466&amp;"*",'Timesheet Raw'!$L$4:$L$8000,"&gt;="&amp;V$5,'Timesheet Raw'!$L$4:$L$8000,"&lt;="&amp;V$6)))/'Profit Plan'!$B$5)</f>
        <v/>
      </c>
      <c r="W466" s="122" t="str">
        <f>IF($A466="","",(IF(ISNUMBER(SEARCH("Proposal",$A466)),SUMIFS('Timesheet Raw'!$P$4:$P$8000,'Timesheet Raw'!$A$4:$A$8000,IF(ISNUMBER(SEARCH("Chargable",$A466)),"2-Proposals Chargeable","3-Proposals Regular"),'Timesheet Raw'!$C$4:$C$8000,"*"&amp;$B466&amp;"*",'Timesheet Raw'!$L$4:$L$8000,"&gt;="&amp;MAX(W$5,DATE(2000+VALUE(RIGHT(TRIM($A466),2)),1,1)),'Timesheet Raw'!$L$4:$L$8000,"&lt;="&amp;MIN(W$6,DATE(2000+VALUE(RIGHT(TRIM($A466),2)),12,31))),SUMIFS('Timesheet Raw'!$P$4:$P$8000,'Timesheet Raw'!$B$4:$B$8000,TRIM($A466),'Timesheet Raw'!$C$4:$C$8000,"*"&amp;$B466&amp;"*",'Timesheet Raw'!$L$4:$L$8000,"&gt;="&amp;W$5,'Timesheet Raw'!$L$4:$L$8000,"&lt;="&amp;W$6)))/'Profit Plan'!$B$5)</f>
        <v/>
      </c>
      <c r="X466" s="122" t="str">
        <f>IF($A466="","",(IF(ISNUMBER(SEARCH("Proposal",$A466)),SUMIFS('Timesheet Raw'!$P$4:$P$8000,'Timesheet Raw'!$A$4:$A$8000,IF(ISNUMBER(SEARCH("Chargable",$A466)),"2-Proposals Chargeable","3-Proposals Regular"),'Timesheet Raw'!$C$4:$C$8000,"*"&amp;$B466&amp;"*",'Timesheet Raw'!$L$4:$L$8000,"&gt;="&amp;MAX(X$5,DATE(2000+VALUE(RIGHT(TRIM($A466),2)),1,1)),'Timesheet Raw'!$L$4:$L$8000,"&lt;="&amp;MIN(X$6,DATE(2000+VALUE(RIGHT(TRIM($A466),2)),12,31))),SUMIFS('Timesheet Raw'!$P$4:$P$8000,'Timesheet Raw'!$B$4:$B$8000,TRIM($A466),'Timesheet Raw'!$C$4:$C$8000,"*"&amp;$B466&amp;"*",'Timesheet Raw'!$L$4:$L$8000,"&gt;="&amp;X$5,'Timesheet Raw'!$L$4:$L$8000,"&lt;="&amp;X$6)))/'Profit Plan'!$B$5)</f>
        <v/>
      </c>
      <c r="Y466" s="118">
        <f t="shared" si="103"/>
        <v>0</v>
      </c>
    </row>
    <row r="467" spans="1:25" x14ac:dyDescent="0.3">
      <c r="A467" s="116" t="str">
        <f>IF(Inputs!$A73="","",Inputs!$A73)</f>
        <v/>
      </c>
      <c r="B467" s="116" t="str">
        <f>IF(Inputs!$A73="","",Inputs!$A$92)</f>
        <v/>
      </c>
      <c r="C467" s="116"/>
      <c r="D467" s="122" t="str">
        <f>IF($A467="","",(IF(ISNUMBER(SEARCH("Proposal",$A467)),SUMIFS('Timesheet Raw'!$P$4:$P$8000,'Timesheet Raw'!$A$4:$A$8000,IF(ISNUMBER(SEARCH("Chargable",$A467)),"2-Proposals Chargeable","3-Proposals Regular"),'Timesheet Raw'!$C$4:$C$8000,"*"&amp;$B467&amp;"*",'Timesheet Raw'!$L$4:$L$8000,"&gt;="&amp;MAX(D$5,DATE(2000+VALUE(RIGHT(TRIM($A467),2)),1,1)),'Timesheet Raw'!$L$4:$L$8000,"&lt;="&amp;MIN(D$6,DATE(2000+VALUE(RIGHT(TRIM($A467),2)),12,31))),SUMIFS('Timesheet Raw'!$P$4:$P$8000,'Timesheet Raw'!$B$4:$B$8000,TRIM($A467),'Timesheet Raw'!$C$4:$C$8000,"*"&amp;$B467&amp;"*",'Timesheet Raw'!$L$4:$L$8000,"&gt;="&amp;D$5,'Timesheet Raw'!$L$4:$L$8000,"&lt;="&amp;D$6)))/'Profit Plan'!$B$5)</f>
        <v/>
      </c>
      <c r="E467" s="122" t="str">
        <f>IF($A467="","",(IF(ISNUMBER(SEARCH("Proposal",$A467)),SUMIFS('Timesheet Raw'!$P$4:$P$8000,'Timesheet Raw'!$A$4:$A$8000,IF(ISNUMBER(SEARCH("Chargable",$A467)),"2-Proposals Chargeable","3-Proposals Regular"),'Timesheet Raw'!$C$4:$C$8000,"*"&amp;$B467&amp;"*",'Timesheet Raw'!$L$4:$L$8000,"&gt;="&amp;MAX(E$5,DATE(2000+VALUE(RIGHT(TRIM($A467),2)),1,1)),'Timesheet Raw'!$L$4:$L$8000,"&lt;="&amp;MIN(E$6,DATE(2000+VALUE(RIGHT(TRIM($A467),2)),12,31))),SUMIFS('Timesheet Raw'!$P$4:$P$8000,'Timesheet Raw'!$B$4:$B$8000,TRIM($A467),'Timesheet Raw'!$C$4:$C$8000,"*"&amp;$B467&amp;"*",'Timesheet Raw'!$L$4:$L$8000,"&gt;="&amp;E$5,'Timesheet Raw'!$L$4:$L$8000,"&lt;="&amp;E$6)))/'Profit Plan'!$B$5)</f>
        <v/>
      </c>
      <c r="F467" s="122" t="str">
        <f>IF($A467="","",(IF(ISNUMBER(SEARCH("Proposal",$A467)),SUMIFS('Timesheet Raw'!$P$4:$P$8000,'Timesheet Raw'!$A$4:$A$8000,IF(ISNUMBER(SEARCH("Chargable",$A467)),"2-Proposals Chargeable","3-Proposals Regular"),'Timesheet Raw'!$C$4:$C$8000,"*"&amp;$B467&amp;"*",'Timesheet Raw'!$L$4:$L$8000,"&gt;="&amp;MAX(F$5,DATE(2000+VALUE(RIGHT(TRIM($A467),2)),1,1)),'Timesheet Raw'!$L$4:$L$8000,"&lt;="&amp;MIN(F$6,DATE(2000+VALUE(RIGHT(TRIM($A467),2)),12,31))),SUMIFS('Timesheet Raw'!$P$4:$P$8000,'Timesheet Raw'!$B$4:$B$8000,TRIM($A467),'Timesheet Raw'!$C$4:$C$8000,"*"&amp;$B467&amp;"*",'Timesheet Raw'!$L$4:$L$8000,"&gt;="&amp;F$5,'Timesheet Raw'!$L$4:$L$8000,"&lt;="&amp;F$6)))/'Profit Plan'!$B$5)</f>
        <v/>
      </c>
      <c r="G467" s="122" t="str">
        <f>IF($A467="","",(IF(ISNUMBER(SEARCH("Proposal",$A467)),SUMIFS('Timesheet Raw'!$P$4:$P$8000,'Timesheet Raw'!$A$4:$A$8000,IF(ISNUMBER(SEARCH("Chargable",$A467)),"2-Proposals Chargeable","3-Proposals Regular"),'Timesheet Raw'!$C$4:$C$8000,"*"&amp;$B467&amp;"*",'Timesheet Raw'!$L$4:$L$8000,"&gt;="&amp;MAX(G$5,DATE(2000+VALUE(RIGHT(TRIM($A467),2)),1,1)),'Timesheet Raw'!$L$4:$L$8000,"&lt;="&amp;MIN(G$6,DATE(2000+VALUE(RIGHT(TRIM($A467),2)),12,31))),SUMIFS('Timesheet Raw'!$P$4:$P$8000,'Timesheet Raw'!$B$4:$B$8000,TRIM($A467),'Timesheet Raw'!$C$4:$C$8000,"*"&amp;$B467&amp;"*",'Timesheet Raw'!$L$4:$L$8000,"&gt;="&amp;G$5,'Timesheet Raw'!$L$4:$L$8000,"&lt;="&amp;G$6)))/'Profit Plan'!$B$5)</f>
        <v/>
      </c>
      <c r="H467" s="122" t="str">
        <f>IF($A467="","",(IF(ISNUMBER(SEARCH("Proposal",$A467)),SUMIFS('Timesheet Raw'!$P$4:$P$8000,'Timesheet Raw'!$A$4:$A$8000,IF(ISNUMBER(SEARCH("Chargable",$A467)),"2-Proposals Chargeable","3-Proposals Regular"),'Timesheet Raw'!$C$4:$C$8000,"*"&amp;$B467&amp;"*",'Timesheet Raw'!$L$4:$L$8000,"&gt;="&amp;MAX(H$5,DATE(2000+VALUE(RIGHT(TRIM($A467),2)),1,1)),'Timesheet Raw'!$L$4:$L$8000,"&lt;="&amp;MIN(H$6,DATE(2000+VALUE(RIGHT(TRIM($A467),2)),12,31))),SUMIFS('Timesheet Raw'!$P$4:$P$8000,'Timesheet Raw'!$B$4:$B$8000,TRIM($A467),'Timesheet Raw'!$C$4:$C$8000,"*"&amp;$B467&amp;"*",'Timesheet Raw'!$L$4:$L$8000,"&gt;="&amp;H$5,'Timesheet Raw'!$L$4:$L$8000,"&lt;="&amp;H$6)))/'Profit Plan'!$B$5)</f>
        <v/>
      </c>
      <c r="I467" s="122" t="str">
        <f>IF($A467="","",(IF(ISNUMBER(SEARCH("Proposal",$A467)),SUMIFS('Timesheet Raw'!$P$4:$P$8000,'Timesheet Raw'!$A$4:$A$8000,IF(ISNUMBER(SEARCH("Chargable",$A467)),"2-Proposals Chargeable","3-Proposals Regular"),'Timesheet Raw'!$C$4:$C$8000,"*"&amp;$B467&amp;"*",'Timesheet Raw'!$L$4:$L$8000,"&gt;="&amp;MAX(I$5,DATE(2000+VALUE(RIGHT(TRIM($A467),2)),1,1)),'Timesheet Raw'!$L$4:$L$8000,"&lt;="&amp;MIN(I$6,DATE(2000+VALUE(RIGHT(TRIM($A467),2)),12,31))),SUMIFS('Timesheet Raw'!$P$4:$P$8000,'Timesheet Raw'!$B$4:$B$8000,TRIM($A467),'Timesheet Raw'!$C$4:$C$8000,"*"&amp;$B467&amp;"*",'Timesheet Raw'!$L$4:$L$8000,"&gt;="&amp;I$5,'Timesheet Raw'!$L$4:$L$8000,"&lt;="&amp;I$6)))/'Profit Plan'!$B$5)</f>
        <v/>
      </c>
      <c r="J467" s="122" t="str">
        <f>IF($A467="","",(IF(ISNUMBER(SEARCH("Proposal",$A467)),SUMIFS('Timesheet Raw'!$P$4:$P$8000,'Timesheet Raw'!$A$4:$A$8000,IF(ISNUMBER(SEARCH("Chargable",$A467)),"2-Proposals Chargeable","3-Proposals Regular"),'Timesheet Raw'!$C$4:$C$8000,"*"&amp;$B467&amp;"*",'Timesheet Raw'!$L$4:$L$8000,"&gt;="&amp;MAX(J$5,DATE(2000+VALUE(RIGHT(TRIM($A467),2)),1,1)),'Timesheet Raw'!$L$4:$L$8000,"&lt;="&amp;MIN(J$6,DATE(2000+VALUE(RIGHT(TRIM($A467),2)),12,31))),SUMIFS('Timesheet Raw'!$P$4:$P$8000,'Timesheet Raw'!$B$4:$B$8000,TRIM($A467),'Timesheet Raw'!$C$4:$C$8000,"*"&amp;$B467&amp;"*",'Timesheet Raw'!$L$4:$L$8000,"&gt;="&amp;J$5,'Timesheet Raw'!$L$4:$L$8000,"&lt;="&amp;J$6)))/'Profit Plan'!$B$5)</f>
        <v/>
      </c>
      <c r="K467" s="122" t="str">
        <f>IF($A467="","",(IF(ISNUMBER(SEARCH("Proposal",$A467)),SUMIFS('Timesheet Raw'!$P$4:$P$8000,'Timesheet Raw'!$A$4:$A$8000,IF(ISNUMBER(SEARCH("Chargable",$A467)),"2-Proposals Chargeable","3-Proposals Regular"),'Timesheet Raw'!$C$4:$C$8000,"*"&amp;$B467&amp;"*",'Timesheet Raw'!$L$4:$L$8000,"&gt;="&amp;MAX(K$5,DATE(2000+VALUE(RIGHT(TRIM($A467),2)),1,1)),'Timesheet Raw'!$L$4:$L$8000,"&lt;="&amp;MIN(K$6,DATE(2000+VALUE(RIGHT(TRIM($A467),2)),12,31))),SUMIFS('Timesheet Raw'!$P$4:$P$8000,'Timesheet Raw'!$B$4:$B$8000,TRIM($A467),'Timesheet Raw'!$C$4:$C$8000,"*"&amp;$B467&amp;"*",'Timesheet Raw'!$L$4:$L$8000,"&gt;="&amp;K$5,'Timesheet Raw'!$L$4:$L$8000,"&lt;="&amp;K$6)))/'Profit Plan'!$B$5)</f>
        <v/>
      </c>
      <c r="L467" s="122" t="str">
        <f>IF($A467="","",(IF(ISNUMBER(SEARCH("Proposal",$A467)),SUMIFS('Timesheet Raw'!$P$4:$P$8000,'Timesheet Raw'!$A$4:$A$8000,IF(ISNUMBER(SEARCH("Chargable",$A467)),"2-Proposals Chargeable","3-Proposals Regular"),'Timesheet Raw'!$C$4:$C$8000,"*"&amp;$B467&amp;"*",'Timesheet Raw'!$L$4:$L$8000,"&gt;="&amp;MAX(L$5,DATE(2000+VALUE(RIGHT(TRIM($A467),2)),1,1)),'Timesheet Raw'!$L$4:$L$8000,"&lt;="&amp;MIN(L$6,DATE(2000+VALUE(RIGHT(TRIM($A467),2)),12,31))),SUMIFS('Timesheet Raw'!$P$4:$P$8000,'Timesheet Raw'!$B$4:$B$8000,TRIM($A467),'Timesheet Raw'!$C$4:$C$8000,"*"&amp;$B467&amp;"*",'Timesheet Raw'!$L$4:$L$8000,"&gt;="&amp;L$5,'Timesheet Raw'!$L$4:$L$8000,"&lt;="&amp;L$6)))/'Profit Plan'!$B$5)</f>
        <v/>
      </c>
      <c r="M467" s="122" t="str">
        <f>IF($A467="","",(IF(ISNUMBER(SEARCH("Proposal",$A467)),SUMIFS('Timesheet Raw'!$P$4:$P$8000,'Timesheet Raw'!$A$4:$A$8000,IF(ISNUMBER(SEARCH("Chargable",$A467)),"2-Proposals Chargeable","3-Proposals Regular"),'Timesheet Raw'!$C$4:$C$8000,"*"&amp;$B467&amp;"*",'Timesheet Raw'!$L$4:$L$8000,"&gt;="&amp;MAX(M$5,DATE(2000+VALUE(RIGHT(TRIM($A467),2)),1,1)),'Timesheet Raw'!$L$4:$L$8000,"&lt;="&amp;MIN(M$6,DATE(2000+VALUE(RIGHT(TRIM($A467),2)),12,31))),SUMIFS('Timesheet Raw'!$P$4:$P$8000,'Timesheet Raw'!$B$4:$B$8000,TRIM($A467),'Timesheet Raw'!$C$4:$C$8000,"*"&amp;$B467&amp;"*",'Timesheet Raw'!$L$4:$L$8000,"&gt;="&amp;M$5,'Timesheet Raw'!$L$4:$L$8000,"&lt;="&amp;M$6)))/'Profit Plan'!$B$5)</f>
        <v/>
      </c>
      <c r="N467" s="122" t="str">
        <f>IF($A467="","",(IF(ISNUMBER(SEARCH("Proposal",$A467)),SUMIFS('Timesheet Raw'!$P$4:$P$8000,'Timesheet Raw'!$A$4:$A$8000,IF(ISNUMBER(SEARCH("Chargable",$A467)),"2-Proposals Chargeable","3-Proposals Regular"),'Timesheet Raw'!$C$4:$C$8000,"*"&amp;$B467&amp;"*",'Timesheet Raw'!$L$4:$L$8000,"&gt;="&amp;MAX(N$5,DATE(2000+VALUE(RIGHT(TRIM($A467),2)),1,1)),'Timesheet Raw'!$L$4:$L$8000,"&lt;="&amp;MIN(N$6,DATE(2000+VALUE(RIGHT(TRIM($A467),2)),12,31))),SUMIFS('Timesheet Raw'!$P$4:$P$8000,'Timesheet Raw'!$B$4:$B$8000,TRIM($A467),'Timesheet Raw'!$C$4:$C$8000,"*"&amp;$B467&amp;"*",'Timesheet Raw'!$L$4:$L$8000,"&gt;="&amp;N$5,'Timesheet Raw'!$L$4:$L$8000,"&lt;="&amp;N$6)))/'Profit Plan'!$B$5)</f>
        <v/>
      </c>
      <c r="O467" s="122" t="str">
        <f>IF($A467="","",(IF(ISNUMBER(SEARCH("Proposal",$A467)),SUMIFS('Timesheet Raw'!$P$4:$P$8000,'Timesheet Raw'!$A$4:$A$8000,IF(ISNUMBER(SEARCH("Chargable",$A467)),"2-Proposals Chargeable","3-Proposals Regular"),'Timesheet Raw'!$C$4:$C$8000,"*"&amp;$B467&amp;"*",'Timesheet Raw'!$L$4:$L$8000,"&gt;="&amp;MAX(O$5,DATE(2000+VALUE(RIGHT(TRIM($A467),2)),1,1)),'Timesheet Raw'!$L$4:$L$8000,"&lt;="&amp;MIN(O$6,DATE(2000+VALUE(RIGHT(TRIM($A467),2)),12,31))),SUMIFS('Timesheet Raw'!$P$4:$P$8000,'Timesheet Raw'!$B$4:$B$8000,TRIM($A467),'Timesheet Raw'!$C$4:$C$8000,"*"&amp;$B467&amp;"*",'Timesheet Raw'!$L$4:$L$8000,"&gt;="&amp;O$5,'Timesheet Raw'!$L$4:$L$8000,"&lt;="&amp;O$6)))/'Profit Plan'!$B$5)</f>
        <v/>
      </c>
      <c r="P467" s="122" t="str">
        <f>IF($A467="","",(IF(ISNUMBER(SEARCH("Proposal",$A467)),SUMIFS('Timesheet Raw'!$P$4:$P$8000,'Timesheet Raw'!$A$4:$A$8000,IF(ISNUMBER(SEARCH("Chargable",$A467)),"2-Proposals Chargeable","3-Proposals Regular"),'Timesheet Raw'!$C$4:$C$8000,"*"&amp;$B467&amp;"*",'Timesheet Raw'!$L$4:$L$8000,"&gt;="&amp;MAX(P$5,DATE(2000+VALUE(RIGHT(TRIM($A467),2)),1,1)),'Timesheet Raw'!$L$4:$L$8000,"&lt;="&amp;MIN(P$6,DATE(2000+VALUE(RIGHT(TRIM($A467),2)),12,31))),SUMIFS('Timesheet Raw'!$P$4:$P$8000,'Timesheet Raw'!$B$4:$B$8000,TRIM($A467),'Timesheet Raw'!$C$4:$C$8000,"*"&amp;$B467&amp;"*",'Timesheet Raw'!$L$4:$L$8000,"&gt;="&amp;P$5,'Timesheet Raw'!$L$4:$L$8000,"&lt;="&amp;P$6)))/'Profit Plan'!$B$5)</f>
        <v/>
      </c>
      <c r="Q467" s="122" t="str">
        <f>IF($A467="","",(IF(ISNUMBER(SEARCH("Proposal",$A467)),SUMIFS('Timesheet Raw'!$P$4:$P$8000,'Timesheet Raw'!$A$4:$A$8000,IF(ISNUMBER(SEARCH("Chargable",$A467)),"2-Proposals Chargeable","3-Proposals Regular"),'Timesheet Raw'!$C$4:$C$8000,"*"&amp;$B467&amp;"*",'Timesheet Raw'!$L$4:$L$8000,"&gt;="&amp;MAX(Q$5,DATE(2000+VALUE(RIGHT(TRIM($A467),2)),1,1)),'Timesheet Raw'!$L$4:$L$8000,"&lt;="&amp;MIN(Q$6,DATE(2000+VALUE(RIGHT(TRIM($A467),2)),12,31))),SUMIFS('Timesheet Raw'!$P$4:$P$8000,'Timesheet Raw'!$B$4:$B$8000,TRIM($A467),'Timesheet Raw'!$C$4:$C$8000,"*"&amp;$B467&amp;"*",'Timesheet Raw'!$L$4:$L$8000,"&gt;="&amp;Q$5,'Timesheet Raw'!$L$4:$L$8000,"&lt;="&amp;Q$6)))/'Profit Plan'!$B$5)</f>
        <v/>
      </c>
      <c r="R467" s="122" t="str">
        <f>IF($A467="","",(IF(ISNUMBER(SEARCH("Proposal",$A467)),SUMIFS('Timesheet Raw'!$P$4:$P$8000,'Timesheet Raw'!$A$4:$A$8000,IF(ISNUMBER(SEARCH("Chargable",$A467)),"2-Proposals Chargeable","3-Proposals Regular"),'Timesheet Raw'!$C$4:$C$8000,"*"&amp;$B467&amp;"*",'Timesheet Raw'!$L$4:$L$8000,"&gt;="&amp;MAX(R$5,DATE(2000+VALUE(RIGHT(TRIM($A467),2)),1,1)),'Timesheet Raw'!$L$4:$L$8000,"&lt;="&amp;MIN(R$6,DATE(2000+VALUE(RIGHT(TRIM($A467),2)),12,31))),SUMIFS('Timesheet Raw'!$P$4:$P$8000,'Timesheet Raw'!$B$4:$B$8000,TRIM($A467),'Timesheet Raw'!$C$4:$C$8000,"*"&amp;$B467&amp;"*",'Timesheet Raw'!$L$4:$L$8000,"&gt;="&amp;R$5,'Timesheet Raw'!$L$4:$L$8000,"&lt;="&amp;R$6)))/'Profit Plan'!$B$5)</f>
        <v/>
      </c>
      <c r="S467" s="122" t="str">
        <f>IF($A467="","",(IF(ISNUMBER(SEARCH("Proposal",$A467)),SUMIFS('Timesheet Raw'!$P$4:$P$8000,'Timesheet Raw'!$A$4:$A$8000,IF(ISNUMBER(SEARCH("Chargable",$A467)),"2-Proposals Chargeable","3-Proposals Regular"),'Timesheet Raw'!$C$4:$C$8000,"*"&amp;$B467&amp;"*",'Timesheet Raw'!$L$4:$L$8000,"&gt;="&amp;MAX(S$5,DATE(2000+VALUE(RIGHT(TRIM($A467),2)),1,1)),'Timesheet Raw'!$L$4:$L$8000,"&lt;="&amp;MIN(S$6,DATE(2000+VALUE(RIGHT(TRIM($A467),2)),12,31))),SUMIFS('Timesheet Raw'!$P$4:$P$8000,'Timesheet Raw'!$B$4:$B$8000,TRIM($A467),'Timesheet Raw'!$C$4:$C$8000,"*"&amp;$B467&amp;"*",'Timesheet Raw'!$L$4:$L$8000,"&gt;="&amp;S$5,'Timesheet Raw'!$L$4:$L$8000,"&lt;="&amp;S$6)))/'Profit Plan'!$B$5)</f>
        <v/>
      </c>
      <c r="T467" s="122" t="str">
        <f>IF($A467="","",(IF(ISNUMBER(SEARCH("Proposal",$A467)),SUMIFS('Timesheet Raw'!$P$4:$P$8000,'Timesheet Raw'!$A$4:$A$8000,IF(ISNUMBER(SEARCH("Chargable",$A467)),"2-Proposals Chargeable","3-Proposals Regular"),'Timesheet Raw'!$C$4:$C$8000,"*"&amp;$B467&amp;"*",'Timesheet Raw'!$L$4:$L$8000,"&gt;="&amp;MAX(T$5,DATE(2000+VALUE(RIGHT(TRIM($A467),2)),1,1)),'Timesheet Raw'!$L$4:$L$8000,"&lt;="&amp;MIN(T$6,DATE(2000+VALUE(RIGHT(TRIM($A467),2)),12,31))),SUMIFS('Timesheet Raw'!$P$4:$P$8000,'Timesheet Raw'!$B$4:$B$8000,TRIM($A467),'Timesheet Raw'!$C$4:$C$8000,"*"&amp;$B467&amp;"*",'Timesheet Raw'!$L$4:$L$8000,"&gt;="&amp;T$5,'Timesheet Raw'!$L$4:$L$8000,"&lt;="&amp;T$6)))/'Profit Plan'!$B$5)</f>
        <v/>
      </c>
      <c r="U467" s="122" t="str">
        <f>IF($A467="","",(IF(ISNUMBER(SEARCH("Proposal",$A467)),SUMIFS('Timesheet Raw'!$P$4:$P$8000,'Timesheet Raw'!$A$4:$A$8000,IF(ISNUMBER(SEARCH("Chargable",$A467)),"2-Proposals Chargeable","3-Proposals Regular"),'Timesheet Raw'!$C$4:$C$8000,"*"&amp;$B467&amp;"*",'Timesheet Raw'!$L$4:$L$8000,"&gt;="&amp;MAX(U$5,DATE(2000+VALUE(RIGHT(TRIM($A467),2)),1,1)),'Timesheet Raw'!$L$4:$L$8000,"&lt;="&amp;MIN(U$6,DATE(2000+VALUE(RIGHT(TRIM($A467),2)),12,31))),SUMIFS('Timesheet Raw'!$P$4:$P$8000,'Timesheet Raw'!$B$4:$B$8000,TRIM($A467),'Timesheet Raw'!$C$4:$C$8000,"*"&amp;$B467&amp;"*",'Timesheet Raw'!$L$4:$L$8000,"&gt;="&amp;U$5,'Timesheet Raw'!$L$4:$L$8000,"&lt;="&amp;U$6)))/'Profit Plan'!$B$5)</f>
        <v/>
      </c>
      <c r="V467" s="122" t="str">
        <f>IF($A467="","",(IF(ISNUMBER(SEARCH("Proposal",$A467)),SUMIFS('Timesheet Raw'!$P$4:$P$8000,'Timesheet Raw'!$A$4:$A$8000,IF(ISNUMBER(SEARCH("Chargable",$A467)),"2-Proposals Chargeable","3-Proposals Regular"),'Timesheet Raw'!$C$4:$C$8000,"*"&amp;$B467&amp;"*",'Timesheet Raw'!$L$4:$L$8000,"&gt;="&amp;MAX(V$5,DATE(2000+VALUE(RIGHT(TRIM($A467),2)),1,1)),'Timesheet Raw'!$L$4:$L$8000,"&lt;="&amp;MIN(V$6,DATE(2000+VALUE(RIGHT(TRIM($A467),2)),12,31))),SUMIFS('Timesheet Raw'!$P$4:$P$8000,'Timesheet Raw'!$B$4:$B$8000,TRIM($A467),'Timesheet Raw'!$C$4:$C$8000,"*"&amp;$B467&amp;"*",'Timesheet Raw'!$L$4:$L$8000,"&gt;="&amp;V$5,'Timesheet Raw'!$L$4:$L$8000,"&lt;="&amp;V$6)))/'Profit Plan'!$B$5)</f>
        <v/>
      </c>
      <c r="W467" s="122" t="str">
        <f>IF($A467="","",(IF(ISNUMBER(SEARCH("Proposal",$A467)),SUMIFS('Timesheet Raw'!$P$4:$P$8000,'Timesheet Raw'!$A$4:$A$8000,IF(ISNUMBER(SEARCH("Chargable",$A467)),"2-Proposals Chargeable","3-Proposals Regular"),'Timesheet Raw'!$C$4:$C$8000,"*"&amp;$B467&amp;"*",'Timesheet Raw'!$L$4:$L$8000,"&gt;="&amp;MAX(W$5,DATE(2000+VALUE(RIGHT(TRIM($A467),2)),1,1)),'Timesheet Raw'!$L$4:$L$8000,"&lt;="&amp;MIN(W$6,DATE(2000+VALUE(RIGHT(TRIM($A467),2)),12,31))),SUMIFS('Timesheet Raw'!$P$4:$P$8000,'Timesheet Raw'!$B$4:$B$8000,TRIM($A467),'Timesheet Raw'!$C$4:$C$8000,"*"&amp;$B467&amp;"*",'Timesheet Raw'!$L$4:$L$8000,"&gt;="&amp;W$5,'Timesheet Raw'!$L$4:$L$8000,"&lt;="&amp;W$6)))/'Profit Plan'!$B$5)</f>
        <v/>
      </c>
      <c r="X467" s="122" t="str">
        <f>IF($A467="","",(IF(ISNUMBER(SEARCH("Proposal",$A467)),SUMIFS('Timesheet Raw'!$P$4:$P$8000,'Timesheet Raw'!$A$4:$A$8000,IF(ISNUMBER(SEARCH("Chargable",$A467)),"2-Proposals Chargeable","3-Proposals Regular"),'Timesheet Raw'!$C$4:$C$8000,"*"&amp;$B467&amp;"*",'Timesheet Raw'!$L$4:$L$8000,"&gt;="&amp;MAX(X$5,DATE(2000+VALUE(RIGHT(TRIM($A467),2)),1,1)),'Timesheet Raw'!$L$4:$L$8000,"&lt;="&amp;MIN(X$6,DATE(2000+VALUE(RIGHT(TRIM($A467),2)),12,31))),SUMIFS('Timesheet Raw'!$P$4:$P$8000,'Timesheet Raw'!$B$4:$B$8000,TRIM($A467),'Timesheet Raw'!$C$4:$C$8000,"*"&amp;$B467&amp;"*",'Timesheet Raw'!$L$4:$L$8000,"&gt;="&amp;X$5,'Timesheet Raw'!$L$4:$L$8000,"&lt;="&amp;X$6)))/'Profit Plan'!$B$5)</f>
        <v/>
      </c>
      <c r="Y467" s="118">
        <f t="shared" si="103"/>
        <v>0</v>
      </c>
    </row>
    <row r="468" spans="1:25" x14ac:dyDescent="0.3">
      <c r="A468" s="116" t="str">
        <f>IF(Inputs!$A73="","",Inputs!$A73)</f>
        <v/>
      </c>
      <c r="B468" s="116" t="str">
        <f>IF(Inputs!$A73="","",Inputs!$A$93)</f>
        <v/>
      </c>
      <c r="C468" s="116"/>
      <c r="D468" s="122" t="str">
        <f>IF($A468="","",(IF(ISNUMBER(SEARCH("Proposal",$A468)),SUMIFS('Timesheet Raw'!$P$4:$P$8000,'Timesheet Raw'!$A$4:$A$8000,IF(ISNUMBER(SEARCH("Chargable",$A468)),"2-Proposals Chargeable","3-Proposals Regular"),'Timesheet Raw'!$C$4:$C$8000,"*"&amp;$B468&amp;"*",'Timesheet Raw'!$L$4:$L$8000,"&gt;="&amp;MAX(D$5,DATE(2000+VALUE(RIGHT(TRIM($A468),2)),1,1)),'Timesheet Raw'!$L$4:$L$8000,"&lt;="&amp;MIN(D$6,DATE(2000+VALUE(RIGHT(TRIM($A468),2)),12,31))),SUMIFS('Timesheet Raw'!$P$4:$P$8000,'Timesheet Raw'!$B$4:$B$8000,TRIM($A468),'Timesheet Raw'!$C$4:$C$8000,"*"&amp;$B468&amp;"*",'Timesheet Raw'!$L$4:$L$8000,"&gt;="&amp;D$5,'Timesheet Raw'!$L$4:$L$8000,"&lt;="&amp;D$6)))/'Profit Plan'!$B$5)</f>
        <v/>
      </c>
      <c r="E468" s="122" t="str">
        <f>IF($A468="","",(IF(ISNUMBER(SEARCH("Proposal",$A468)),SUMIFS('Timesheet Raw'!$P$4:$P$8000,'Timesheet Raw'!$A$4:$A$8000,IF(ISNUMBER(SEARCH("Chargable",$A468)),"2-Proposals Chargeable","3-Proposals Regular"),'Timesheet Raw'!$C$4:$C$8000,"*"&amp;$B468&amp;"*",'Timesheet Raw'!$L$4:$L$8000,"&gt;="&amp;MAX(E$5,DATE(2000+VALUE(RIGHT(TRIM($A468),2)),1,1)),'Timesheet Raw'!$L$4:$L$8000,"&lt;="&amp;MIN(E$6,DATE(2000+VALUE(RIGHT(TRIM($A468),2)),12,31))),SUMIFS('Timesheet Raw'!$P$4:$P$8000,'Timesheet Raw'!$B$4:$B$8000,TRIM($A468),'Timesheet Raw'!$C$4:$C$8000,"*"&amp;$B468&amp;"*",'Timesheet Raw'!$L$4:$L$8000,"&gt;="&amp;E$5,'Timesheet Raw'!$L$4:$L$8000,"&lt;="&amp;E$6)))/'Profit Plan'!$B$5)</f>
        <v/>
      </c>
      <c r="F468" s="122" t="str">
        <f>IF($A468="","",(IF(ISNUMBER(SEARCH("Proposal",$A468)),SUMIFS('Timesheet Raw'!$P$4:$P$8000,'Timesheet Raw'!$A$4:$A$8000,IF(ISNUMBER(SEARCH("Chargable",$A468)),"2-Proposals Chargeable","3-Proposals Regular"),'Timesheet Raw'!$C$4:$C$8000,"*"&amp;$B468&amp;"*",'Timesheet Raw'!$L$4:$L$8000,"&gt;="&amp;MAX(F$5,DATE(2000+VALUE(RIGHT(TRIM($A468),2)),1,1)),'Timesheet Raw'!$L$4:$L$8000,"&lt;="&amp;MIN(F$6,DATE(2000+VALUE(RIGHT(TRIM($A468),2)),12,31))),SUMIFS('Timesheet Raw'!$P$4:$P$8000,'Timesheet Raw'!$B$4:$B$8000,TRIM($A468),'Timesheet Raw'!$C$4:$C$8000,"*"&amp;$B468&amp;"*",'Timesheet Raw'!$L$4:$L$8000,"&gt;="&amp;F$5,'Timesheet Raw'!$L$4:$L$8000,"&lt;="&amp;F$6)))/'Profit Plan'!$B$5)</f>
        <v/>
      </c>
      <c r="G468" s="122" t="str">
        <f>IF($A468="","",(IF(ISNUMBER(SEARCH("Proposal",$A468)),SUMIFS('Timesheet Raw'!$P$4:$P$8000,'Timesheet Raw'!$A$4:$A$8000,IF(ISNUMBER(SEARCH("Chargable",$A468)),"2-Proposals Chargeable","3-Proposals Regular"),'Timesheet Raw'!$C$4:$C$8000,"*"&amp;$B468&amp;"*",'Timesheet Raw'!$L$4:$L$8000,"&gt;="&amp;MAX(G$5,DATE(2000+VALUE(RIGHT(TRIM($A468),2)),1,1)),'Timesheet Raw'!$L$4:$L$8000,"&lt;="&amp;MIN(G$6,DATE(2000+VALUE(RIGHT(TRIM($A468),2)),12,31))),SUMIFS('Timesheet Raw'!$P$4:$P$8000,'Timesheet Raw'!$B$4:$B$8000,TRIM($A468),'Timesheet Raw'!$C$4:$C$8000,"*"&amp;$B468&amp;"*",'Timesheet Raw'!$L$4:$L$8000,"&gt;="&amp;G$5,'Timesheet Raw'!$L$4:$L$8000,"&lt;="&amp;G$6)))/'Profit Plan'!$B$5)</f>
        <v/>
      </c>
      <c r="H468" s="122" t="str">
        <f>IF($A468="","",(IF(ISNUMBER(SEARCH("Proposal",$A468)),SUMIFS('Timesheet Raw'!$P$4:$P$8000,'Timesheet Raw'!$A$4:$A$8000,IF(ISNUMBER(SEARCH("Chargable",$A468)),"2-Proposals Chargeable","3-Proposals Regular"),'Timesheet Raw'!$C$4:$C$8000,"*"&amp;$B468&amp;"*",'Timesheet Raw'!$L$4:$L$8000,"&gt;="&amp;MAX(H$5,DATE(2000+VALUE(RIGHT(TRIM($A468),2)),1,1)),'Timesheet Raw'!$L$4:$L$8000,"&lt;="&amp;MIN(H$6,DATE(2000+VALUE(RIGHT(TRIM($A468),2)),12,31))),SUMIFS('Timesheet Raw'!$P$4:$P$8000,'Timesheet Raw'!$B$4:$B$8000,TRIM($A468),'Timesheet Raw'!$C$4:$C$8000,"*"&amp;$B468&amp;"*",'Timesheet Raw'!$L$4:$L$8000,"&gt;="&amp;H$5,'Timesheet Raw'!$L$4:$L$8000,"&lt;="&amp;H$6)))/'Profit Plan'!$B$5)</f>
        <v/>
      </c>
      <c r="I468" s="122" t="str">
        <f>IF($A468="","",(IF(ISNUMBER(SEARCH("Proposal",$A468)),SUMIFS('Timesheet Raw'!$P$4:$P$8000,'Timesheet Raw'!$A$4:$A$8000,IF(ISNUMBER(SEARCH("Chargable",$A468)),"2-Proposals Chargeable","3-Proposals Regular"),'Timesheet Raw'!$C$4:$C$8000,"*"&amp;$B468&amp;"*",'Timesheet Raw'!$L$4:$L$8000,"&gt;="&amp;MAX(I$5,DATE(2000+VALUE(RIGHT(TRIM($A468),2)),1,1)),'Timesheet Raw'!$L$4:$L$8000,"&lt;="&amp;MIN(I$6,DATE(2000+VALUE(RIGHT(TRIM($A468),2)),12,31))),SUMIFS('Timesheet Raw'!$P$4:$P$8000,'Timesheet Raw'!$B$4:$B$8000,TRIM($A468),'Timesheet Raw'!$C$4:$C$8000,"*"&amp;$B468&amp;"*",'Timesheet Raw'!$L$4:$L$8000,"&gt;="&amp;I$5,'Timesheet Raw'!$L$4:$L$8000,"&lt;="&amp;I$6)))/'Profit Plan'!$B$5)</f>
        <v/>
      </c>
      <c r="J468" s="122" t="str">
        <f>IF($A468="","",(IF(ISNUMBER(SEARCH("Proposal",$A468)),SUMIFS('Timesheet Raw'!$P$4:$P$8000,'Timesheet Raw'!$A$4:$A$8000,IF(ISNUMBER(SEARCH("Chargable",$A468)),"2-Proposals Chargeable","3-Proposals Regular"),'Timesheet Raw'!$C$4:$C$8000,"*"&amp;$B468&amp;"*",'Timesheet Raw'!$L$4:$L$8000,"&gt;="&amp;MAX(J$5,DATE(2000+VALUE(RIGHT(TRIM($A468),2)),1,1)),'Timesheet Raw'!$L$4:$L$8000,"&lt;="&amp;MIN(J$6,DATE(2000+VALUE(RIGHT(TRIM($A468),2)),12,31))),SUMIFS('Timesheet Raw'!$P$4:$P$8000,'Timesheet Raw'!$B$4:$B$8000,TRIM($A468),'Timesheet Raw'!$C$4:$C$8000,"*"&amp;$B468&amp;"*",'Timesheet Raw'!$L$4:$L$8000,"&gt;="&amp;J$5,'Timesheet Raw'!$L$4:$L$8000,"&lt;="&amp;J$6)))/'Profit Plan'!$B$5)</f>
        <v/>
      </c>
      <c r="K468" s="122" t="str">
        <f>IF($A468="","",(IF(ISNUMBER(SEARCH("Proposal",$A468)),SUMIFS('Timesheet Raw'!$P$4:$P$8000,'Timesheet Raw'!$A$4:$A$8000,IF(ISNUMBER(SEARCH("Chargable",$A468)),"2-Proposals Chargeable","3-Proposals Regular"),'Timesheet Raw'!$C$4:$C$8000,"*"&amp;$B468&amp;"*",'Timesheet Raw'!$L$4:$L$8000,"&gt;="&amp;MAX(K$5,DATE(2000+VALUE(RIGHT(TRIM($A468),2)),1,1)),'Timesheet Raw'!$L$4:$L$8000,"&lt;="&amp;MIN(K$6,DATE(2000+VALUE(RIGHT(TRIM($A468),2)),12,31))),SUMIFS('Timesheet Raw'!$P$4:$P$8000,'Timesheet Raw'!$B$4:$B$8000,TRIM($A468),'Timesheet Raw'!$C$4:$C$8000,"*"&amp;$B468&amp;"*",'Timesheet Raw'!$L$4:$L$8000,"&gt;="&amp;K$5,'Timesheet Raw'!$L$4:$L$8000,"&lt;="&amp;K$6)))/'Profit Plan'!$B$5)</f>
        <v/>
      </c>
      <c r="L468" s="122" t="str">
        <f>IF($A468="","",(IF(ISNUMBER(SEARCH("Proposal",$A468)),SUMIFS('Timesheet Raw'!$P$4:$P$8000,'Timesheet Raw'!$A$4:$A$8000,IF(ISNUMBER(SEARCH("Chargable",$A468)),"2-Proposals Chargeable","3-Proposals Regular"),'Timesheet Raw'!$C$4:$C$8000,"*"&amp;$B468&amp;"*",'Timesheet Raw'!$L$4:$L$8000,"&gt;="&amp;MAX(L$5,DATE(2000+VALUE(RIGHT(TRIM($A468),2)),1,1)),'Timesheet Raw'!$L$4:$L$8000,"&lt;="&amp;MIN(L$6,DATE(2000+VALUE(RIGHT(TRIM($A468),2)),12,31))),SUMIFS('Timesheet Raw'!$P$4:$P$8000,'Timesheet Raw'!$B$4:$B$8000,TRIM($A468),'Timesheet Raw'!$C$4:$C$8000,"*"&amp;$B468&amp;"*",'Timesheet Raw'!$L$4:$L$8000,"&gt;="&amp;L$5,'Timesheet Raw'!$L$4:$L$8000,"&lt;="&amp;L$6)))/'Profit Plan'!$B$5)</f>
        <v/>
      </c>
      <c r="M468" s="122" t="str">
        <f>IF($A468="","",(IF(ISNUMBER(SEARCH("Proposal",$A468)),SUMIFS('Timesheet Raw'!$P$4:$P$8000,'Timesheet Raw'!$A$4:$A$8000,IF(ISNUMBER(SEARCH("Chargable",$A468)),"2-Proposals Chargeable","3-Proposals Regular"),'Timesheet Raw'!$C$4:$C$8000,"*"&amp;$B468&amp;"*",'Timesheet Raw'!$L$4:$L$8000,"&gt;="&amp;MAX(M$5,DATE(2000+VALUE(RIGHT(TRIM($A468),2)),1,1)),'Timesheet Raw'!$L$4:$L$8000,"&lt;="&amp;MIN(M$6,DATE(2000+VALUE(RIGHT(TRIM($A468),2)),12,31))),SUMIFS('Timesheet Raw'!$P$4:$P$8000,'Timesheet Raw'!$B$4:$B$8000,TRIM($A468),'Timesheet Raw'!$C$4:$C$8000,"*"&amp;$B468&amp;"*",'Timesheet Raw'!$L$4:$L$8000,"&gt;="&amp;M$5,'Timesheet Raw'!$L$4:$L$8000,"&lt;="&amp;M$6)))/'Profit Plan'!$B$5)</f>
        <v/>
      </c>
      <c r="N468" s="122" t="str">
        <f>IF($A468="","",(IF(ISNUMBER(SEARCH("Proposal",$A468)),SUMIFS('Timesheet Raw'!$P$4:$P$8000,'Timesheet Raw'!$A$4:$A$8000,IF(ISNUMBER(SEARCH("Chargable",$A468)),"2-Proposals Chargeable","3-Proposals Regular"),'Timesheet Raw'!$C$4:$C$8000,"*"&amp;$B468&amp;"*",'Timesheet Raw'!$L$4:$L$8000,"&gt;="&amp;MAX(N$5,DATE(2000+VALUE(RIGHT(TRIM($A468),2)),1,1)),'Timesheet Raw'!$L$4:$L$8000,"&lt;="&amp;MIN(N$6,DATE(2000+VALUE(RIGHT(TRIM($A468),2)),12,31))),SUMIFS('Timesheet Raw'!$P$4:$P$8000,'Timesheet Raw'!$B$4:$B$8000,TRIM($A468),'Timesheet Raw'!$C$4:$C$8000,"*"&amp;$B468&amp;"*",'Timesheet Raw'!$L$4:$L$8000,"&gt;="&amp;N$5,'Timesheet Raw'!$L$4:$L$8000,"&lt;="&amp;N$6)))/'Profit Plan'!$B$5)</f>
        <v/>
      </c>
      <c r="O468" s="122" t="str">
        <f>IF($A468="","",(IF(ISNUMBER(SEARCH("Proposal",$A468)),SUMIFS('Timesheet Raw'!$P$4:$P$8000,'Timesheet Raw'!$A$4:$A$8000,IF(ISNUMBER(SEARCH("Chargable",$A468)),"2-Proposals Chargeable","3-Proposals Regular"),'Timesheet Raw'!$C$4:$C$8000,"*"&amp;$B468&amp;"*",'Timesheet Raw'!$L$4:$L$8000,"&gt;="&amp;MAX(O$5,DATE(2000+VALUE(RIGHT(TRIM($A468),2)),1,1)),'Timesheet Raw'!$L$4:$L$8000,"&lt;="&amp;MIN(O$6,DATE(2000+VALUE(RIGHT(TRIM($A468),2)),12,31))),SUMIFS('Timesheet Raw'!$P$4:$P$8000,'Timesheet Raw'!$B$4:$B$8000,TRIM($A468),'Timesheet Raw'!$C$4:$C$8000,"*"&amp;$B468&amp;"*",'Timesheet Raw'!$L$4:$L$8000,"&gt;="&amp;O$5,'Timesheet Raw'!$L$4:$L$8000,"&lt;="&amp;O$6)))/'Profit Plan'!$B$5)</f>
        <v/>
      </c>
      <c r="P468" s="122" t="str">
        <f>IF($A468="","",(IF(ISNUMBER(SEARCH("Proposal",$A468)),SUMIFS('Timesheet Raw'!$P$4:$P$8000,'Timesheet Raw'!$A$4:$A$8000,IF(ISNUMBER(SEARCH("Chargable",$A468)),"2-Proposals Chargeable","3-Proposals Regular"),'Timesheet Raw'!$C$4:$C$8000,"*"&amp;$B468&amp;"*",'Timesheet Raw'!$L$4:$L$8000,"&gt;="&amp;MAX(P$5,DATE(2000+VALUE(RIGHT(TRIM($A468),2)),1,1)),'Timesheet Raw'!$L$4:$L$8000,"&lt;="&amp;MIN(P$6,DATE(2000+VALUE(RIGHT(TRIM($A468),2)),12,31))),SUMIFS('Timesheet Raw'!$P$4:$P$8000,'Timesheet Raw'!$B$4:$B$8000,TRIM($A468),'Timesheet Raw'!$C$4:$C$8000,"*"&amp;$B468&amp;"*",'Timesheet Raw'!$L$4:$L$8000,"&gt;="&amp;P$5,'Timesheet Raw'!$L$4:$L$8000,"&lt;="&amp;P$6)))/'Profit Plan'!$B$5)</f>
        <v/>
      </c>
      <c r="Q468" s="122" t="str">
        <f>IF($A468="","",(IF(ISNUMBER(SEARCH("Proposal",$A468)),SUMIFS('Timesheet Raw'!$P$4:$P$8000,'Timesheet Raw'!$A$4:$A$8000,IF(ISNUMBER(SEARCH("Chargable",$A468)),"2-Proposals Chargeable","3-Proposals Regular"),'Timesheet Raw'!$C$4:$C$8000,"*"&amp;$B468&amp;"*",'Timesheet Raw'!$L$4:$L$8000,"&gt;="&amp;MAX(Q$5,DATE(2000+VALUE(RIGHT(TRIM($A468),2)),1,1)),'Timesheet Raw'!$L$4:$L$8000,"&lt;="&amp;MIN(Q$6,DATE(2000+VALUE(RIGHT(TRIM($A468),2)),12,31))),SUMIFS('Timesheet Raw'!$P$4:$P$8000,'Timesheet Raw'!$B$4:$B$8000,TRIM($A468),'Timesheet Raw'!$C$4:$C$8000,"*"&amp;$B468&amp;"*",'Timesheet Raw'!$L$4:$L$8000,"&gt;="&amp;Q$5,'Timesheet Raw'!$L$4:$L$8000,"&lt;="&amp;Q$6)))/'Profit Plan'!$B$5)</f>
        <v/>
      </c>
      <c r="R468" s="122" t="str">
        <f>IF($A468="","",(IF(ISNUMBER(SEARCH("Proposal",$A468)),SUMIFS('Timesheet Raw'!$P$4:$P$8000,'Timesheet Raw'!$A$4:$A$8000,IF(ISNUMBER(SEARCH("Chargable",$A468)),"2-Proposals Chargeable","3-Proposals Regular"),'Timesheet Raw'!$C$4:$C$8000,"*"&amp;$B468&amp;"*",'Timesheet Raw'!$L$4:$L$8000,"&gt;="&amp;MAX(R$5,DATE(2000+VALUE(RIGHT(TRIM($A468),2)),1,1)),'Timesheet Raw'!$L$4:$L$8000,"&lt;="&amp;MIN(R$6,DATE(2000+VALUE(RIGHT(TRIM($A468),2)),12,31))),SUMIFS('Timesheet Raw'!$P$4:$P$8000,'Timesheet Raw'!$B$4:$B$8000,TRIM($A468),'Timesheet Raw'!$C$4:$C$8000,"*"&amp;$B468&amp;"*",'Timesheet Raw'!$L$4:$L$8000,"&gt;="&amp;R$5,'Timesheet Raw'!$L$4:$L$8000,"&lt;="&amp;R$6)))/'Profit Plan'!$B$5)</f>
        <v/>
      </c>
      <c r="S468" s="122" t="str">
        <f>IF($A468="","",(IF(ISNUMBER(SEARCH("Proposal",$A468)),SUMIFS('Timesheet Raw'!$P$4:$P$8000,'Timesheet Raw'!$A$4:$A$8000,IF(ISNUMBER(SEARCH("Chargable",$A468)),"2-Proposals Chargeable","3-Proposals Regular"),'Timesheet Raw'!$C$4:$C$8000,"*"&amp;$B468&amp;"*",'Timesheet Raw'!$L$4:$L$8000,"&gt;="&amp;MAX(S$5,DATE(2000+VALUE(RIGHT(TRIM($A468),2)),1,1)),'Timesheet Raw'!$L$4:$L$8000,"&lt;="&amp;MIN(S$6,DATE(2000+VALUE(RIGHT(TRIM($A468),2)),12,31))),SUMIFS('Timesheet Raw'!$P$4:$P$8000,'Timesheet Raw'!$B$4:$B$8000,TRIM($A468),'Timesheet Raw'!$C$4:$C$8000,"*"&amp;$B468&amp;"*",'Timesheet Raw'!$L$4:$L$8000,"&gt;="&amp;S$5,'Timesheet Raw'!$L$4:$L$8000,"&lt;="&amp;S$6)))/'Profit Plan'!$B$5)</f>
        <v/>
      </c>
      <c r="T468" s="122" t="str">
        <f>IF($A468="","",(IF(ISNUMBER(SEARCH("Proposal",$A468)),SUMIFS('Timesheet Raw'!$P$4:$P$8000,'Timesheet Raw'!$A$4:$A$8000,IF(ISNUMBER(SEARCH("Chargable",$A468)),"2-Proposals Chargeable","3-Proposals Regular"),'Timesheet Raw'!$C$4:$C$8000,"*"&amp;$B468&amp;"*",'Timesheet Raw'!$L$4:$L$8000,"&gt;="&amp;MAX(T$5,DATE(2000+VALUE(RIGHT(TRIM($A468),2)),1,1)),'Timesheet Raw'!$L$4:$L$8000,"&lt;="&amp;MIN(T$6,DATE(2000+VALUE(RIGHT(TRIM($A468),2)),12,31))),SUMIFS('Timesheet Raw'!$P$4:$P$8000,'Timesheet Raw'!$B$4:$B$8000,TRIM($A468),'Timesheet Raw'!$C$4:$C$8000,"*"&amp;$B468&amp;"*",'Timesheet Raw'!$L$4:$L$8000,"&gt;="&amp;T$5,'Timesheet Raw'!$L$4:$L$8000,"&lt;="&amp;T$6)))/'Profit Plan'!$B$5)</f>
        <v/>
      </c>
      <c r="U468" s="122" t="str">
        <f>IF($A468="","",(IF(ISNUMBER(SEARCH("Proposal",$A468)),SUMIFS('Timesheet Raw'!$P$4:$P$8000,'Timesheet Raw'!$A$4:$A$8000,IF(ISNUMBER(SEARCH("Chargable",$A468)),"2-Proposals Chargeable","3-Proposals Regular"),'Timesheet Raw'!$C$4:$C$8000,"*"&amp;$B468&amp;"*",'Timesheet Raw'!$L$4:$L$8000,"&gt;="&amp;MAX(U$5,DATE(2000+VALUE(RIGHT(TRIM($A468),2)),1,1)),'Timesheet Raw'!$L$4:$L$8000,"&lt;="&amp;MIN(U$6,DATE(2000+VALUE(RIGHT(TRIM($A468),2)),12,31))),SUMIFS('Timesheet Raw'!$P$4:$P$8000,'Timesheet Raw'!$B$4:$B$8000,TRIM($A468),'Timesheet Raw'!$C$4:$C$8000,"*"&amp;$B468&amp;"*",'Timesheet Raw'!$L$4:$L$8000,"&gt;="&amp;U$5,'Timesheet Raw'!$L$4:$L$8000,"&lt;="&amp;U$6)))/'Profit Plan'!$B$5)</f>
        <v/>
      </c>
      <c r="V468" s="122" t="str">
        <f>IF($A468="","",(IF(ISNUMBER(SEARCH("Proposal",$A468)),SUMIFS('Timesheet Raw'!$P$4:$P$8000,'Timesheet Raw'!$A$4:$A$8000,IF(ISNUMBER(SEARCH("Chargable",$A468)),"2-Proposals Chargeable","3-Proposals Regular"),'Timesheet Raw'!$C$4:$C$8000,"*"&amp;$B468&amp;"*",'Timesheet Raw'!$L$4:$L$8000,"&gt;="&amp;MAX(V$5,DATE(2000+VALUE(RIGHT(TRIM($A468),2)),1,1)),'Timesheet Raw'!$L$4:$L$8000,"&lt;="&amp;MIN(V$6,DATE(2000+VALUE(RIGHT(TRIM($A468),2)),12,31))),SUMIFS('Timesheet Raw'!$P$4:$P$8000,'Timesheet Raw'!$B$4:$B$8000,TRIM($A468),'Timesheet Raw'!$C$4:$C$8000,"*"&amp;$B468&amp;"*",'Timesheet Raw'!$L$4:$L$8000,"&gt;="&amp;V$5,'Timesheet Raw'!$L$4:$L$8000,"&lt;="&amp;V$6)))/'Profit Plan'!$B$5)</f>
        <v/>
      </c>
      <c r="W468" s="122" t="str">
        <f>IF($A468="","",(IF(ISNUMBER(SEARCH("Proposal",$A468)),SUMIFS('Timesheet Raw'!$P$4:$P$8000,'Timesheet Raw'!$A$4:$A$8000,IF(ISNUMBER(SEARCH("Chargable",$A468)),"2-Proposals Chargeable","3-Proposals Regular"),'Timesheet Raw'!$C$4:$C$8000,"*"&amp;$B468&amp;"*",'Timesheet Raw'!$L$4:$L$8000,"&gt;="&amp;MAX(W$5,DATE(2000+VALUE(RIGHT(TRIM($A468),2)),1,1)),'Timesheet Raw'!$L$4:$L$8000,"&lt;="&amp;MIN(W$6,DATE(2000+VALUE(RIGHT(TRIM($A468),2)),12,31))),SUMIFS('Timesheet Raw'!$P$4:$P$8000,'Timesheet Raw'!$B$4:$B$8000,TRIM($A468),'Timesheet Raw'!$C$4:$C$8000,"*"&amp;$B468&amp;"*",'Timesheet Raw'!$L$4:$L$8000,"&gt;="&amp;W$5,'Timesheet Raw'!$L$4:$L$8000,"&lt;="&amp;W$6)))/'Profit Plan'!$B$5)</f>
        <v/>
      </c>
      <c r="X468" s="122" t="str">
        <f>IF($A468="","",(IF(ISNUMBER(SEARCH("Proposal",$A468)),SUMIFS('Timesheet Raw'!$P$4:$P$8000,'Timesheet Raw'!$A$4:$A$8000,IF(ISNUMBER(SEARCH("Chargable",$A468)),"2-Proposals Chargeable","3-Proposals Regular"),'Timesheet Raw'!$C$4:$C$8000,"*"&amp;$B468&amp;"*",'Timesheet Raw'!$L$4:$L$8000,"&gt;="&amp;MAX(X$5,DATE(2000+VALUE(RIGHT(TRIM($A468),2)),1,1)),'Timesheet Raw'!$L$4:$L$8000,"&lt;="&amp;MIN(X$6,DATE(2000+VALUE(RIGHT(TRIM($A468),2)),12,31))),SUMIFS('Timesheet Raw'!$P$4:$P$8000,'Timesheet Raw'!$B$4:$B$8000,TRIM($A468),'Timesheet Raw'!$C$4:$C$8000,"*"&amp;$B468&amp;"*",'Timesheet Raw'!$L$4:$L$8000,"&gt;="&amp;X$5,'Timesheet Raw'!$L$4:$L$8000,"&lt;="&amp;X$6)))/'Profit Plan'!$B$5)</f>
        <v/>
      </c>
      <c r="Y468" s="118">
        <f t="shared" si="103"/>
        <v>0</v>
      </c>
    </row>
    <row r="469" spans="1:25" x14ac:dyDescent="0.3">
      <c r="A469" s="116" t="str">
        <f>IF(Inputs!$A74="","",Inputs!$A74)</f>
        <v/>
      </c>
      <c r="B469" s="116" t="str">
        <f>IF(Inputs!$A74="","",Inputs!$A$91)</f>
        <v/>
      </c>
      <c r="C469" s="116"/>
      <c r="D469" s="122" t="str">
        <f>IF($A469="","",(IF(ISNUMBER(SEARCH("Proposal",$A469)),SUMIFS('Timesheet Raw'!$P$4:$P$8000,'Timesheet Raw'!$A$4:$A$8000,IF(ISNUMBER(SEARCH("Chargable",$A469)),"2-Proposals Chargeable","3-Proposals Regular"),'Timesheet Raw'!$C$4:$C$8000,"*"&amp;$B469&amp;"*",'Timesheet Raw'!$L$4:$L$8000,"&gt;="&amp;MAX(D$5,DATE(2000+VALUE(RIGHT(TRIM($A469),2)),1,1)),'Timesheet Raw'!$L$4:$L$8000,"&lt;="&amp;MIN(D$6,DATE(2000+VALUE(RIGHT(TRIM($A469),2)),12,31))),SUMIFS('Timesheet Raw'!$P$4:$P$8000,'Timesheet Raw'!$B$4:$B$8000,TRIM($A469),'Timesheet Raw'!$C$4:$C$8000,"*"&amp;$B469&amp;"*",'Timesheet Raw'!$L$4:$L$8000,"&gt;="&amp;D$5,'Timesheet Raw'!$L$4:$L$8000,"&lt;="&amp;D$6)))/'Profit Plan'!$B$5)</f>
        <v/>
      </c>
      <c r="E469" s="122" t="str">
        <f>IF($A469="","",(IF(ISNUMBER(SEARCH("Proposal",$A469)),SUMIFS('Timesheet Raw'!$P$4:$P$8000,'Timesheet Raw'!$A$4:$A$8000,IF(ISNUMBER(SEARCH("Chargable",$A469)),"2-Proposals Chargeable","3-Proposals Regular"),'Timesheet Raw'!$C$4:$C$8000,"*"&amp;$B469&amp;"*",'Timesheet Raw'!$L$4:$L$8000,"&gt;="&amp;MAX(E$5,DATE(2000+VALUE(RIGHT(TRIM($A469),2)),1,1)),'Timesheet Raw'!$L$4:$L$8000,"&lt;="&amp;MIN(E$6,DATE(2000+VALUE(RIGHT(TRIM($A469),2)),12,31))),SUMIFS('Timesheet Raw'!$P$4:$P$8000,'Timesheet Raw'!$B$4:$B$8000,TRIM($A469),'Timesheet Raw'!$C$4:$C$8000,"*"&amp;$B469&amp;"*",'Timesheet Raw'!$L$4:$L$8000,"&gt;="&amp;E$5,'Timesheet Raw'!$L$4:$L$8000,"&lt;="&amp;E$6)))/'Profit Plan'!$B$5)</f>
        <v/>
      </c>
      <c r="F469" s="122" t="str">
        <f>IF($A469="","",(IF(ISNUMBER(SEARCH("Proposal",$A469)),SUMIFS('Timesheet Raw'!$P$4:$P$8000,'Timesheet Raw'!$A$4:$A$8000,IF(ISNUMBER(SEARCH("Chargable",$A469)),"2-Proposals Chargeable","3-Proposals Regular"),'Timesheet Raw'!$C$4:$C$8000,"*"&amp;$B469&amp;"*",'Timesheet Raw'!$L$4:$L$8000,"&gt;="&amp;MAX(F$5,DATE(2000+VALUE(RIGHT(TRIM($A469),2)),1,1)),'Timesheet Raw'!$L$4:$L$8000,"&lt;="&amp;MIN(F$6,DATE(2000+VALUE(RIGHT(TRIM($A469),2)),12,31))),SUMIFS('Timesheet Raw'!$P$4:$P$8000,'Timesheet Raw'!$B$4:$B$8000,TRIM($A469),'Timesheet Raw'!$C$4:$C$8000,"*"&amp;$B469&amp;"*",'Timesheet Raw'!$L$4:$L$8000,"&gt;="&amp;F$5,'Timesheet Raw'!$L$4:$L$8000,"&lt;="&amp;F$6)))/'Profit Plan'!$B$5)</f>
        <v/>
      </c>
      <c r="G469" s="122" t="str">
        <f>IF($A469="","",(IF(ISNUMBER(SEARCH("Proposal",$A469)),SUMIFS('Timesheet Raw'!$P$4:$P$8000,'Timesheet Raw'!$A$4:$A$8000,IF(ISNUMBER(SEARCH("Chargable",$A469)),"2-Proposals Chargeable","3-Proposals Regular"),'Timesheet Raw'!$C$4:$C$8000,"*"&amp;$B469&amp;"*",'Timesheet Raw'!$L$4:$L$8000,"&gt;="&amp;MAX(G$5,DATE(2000+VALUE(RIGHT(TRIM($A469),2)),1,1)),'Timesheet Raw'!$L$4:$L$8000,"&lt;="&amp;MIN(G$6,DATE(2000+VALUE(RIGHT(TRIM($A469),2)),12,31))),SUMIFS('Timesheet Raw'!$P$4:$P$8000,'Timesheet Raw'!$B$4:$B$8000,TRIM($A469),'Timesheet Raw'!$C$4:$C$8000,"*"&amp;$B469&amp;"*",'Timesheet Raw'!$L$4:$L$8000,"&gt;="&amp;G$5,'Timesheet Raw'!$L$4:$L$8000,"&lt;="&amp;G$6)))/'Profit Plan'!$B$5)</f>
        <v/>
      </c>
      <c r="H469" s="122" t="str">
        <f>IF($A469="","",(IF(ISNUMBER(SEARCH("Proposal",$A469)),SUMIFS('Timesheet Raw'!$P$4:$P$8000,'Timesheet Raw'!$A$4:$A$8000,IF(ISNUMBER(SEARCH("Chargable",$A469)),"2-Proposals Chargeable","3-Proposals Regular"),'Timesheet Raw'!$C$4:$C$8000,"*"&amp;$B469&amp;"*",'Timesheet Raw'!$L$4:$L$8000,"&gt;="&amp;MAX(H$5,DATE(2000+VALUE(RIGHT(TRIM($A469),2)),1,1)),'Timesheet Raw'!$L$4:$L$8000,"&lt;="&amp;MIN(H$6,DATE(2000+VALUE(RIGHT(TRIM($A469),2)),12,31))),SUMIFS('Timesheet Raw'!$P$4:$P$8000,'Timesheet Raw'!$B$4:$B$8000,TRIM($A469),'Timesheet Raw'!$C$4:$C$8000,"*"&amp;$B469&amp;"*",'Timesheet Raw'!$L$4:$L$8000,"&gt;="&amp;H$5,'Timesheet Raw'!$L$4:$L$8000,"&lt;="&amp;H$6)))/'Profit Plan'!$B$5)</f>
        <v/>
      </c>
      <c r="I469" s="122" t="str">
        <f>IF($A469="","",(IF(ISNUMBER(SEARCH("Proposal",$A469)),SUMIFS('Timesheet Raw'!$P$4:$P$8000,'Timesheet Raw'!$A$4:$A$8000,IF(ISNUMBER(SEARCH("Chargable",$A469)),"2-Proposals Chargeable","3-Proposals Regular"),'Timesheet Raw'!$C$4:$C$8000,"*"&amp;$B469&amp;"*",'Timesheet Raw'!$L$4:$L$8000,"&gt;="&amp;MAX(I$5,DATE(2000+VALUE(RIGHT(TRIM($A469),2)),1,1)),'Timesheet Raw'!$L$4:$L$8000,"&lt;="&amp;MIN(I$6,DATE(2000+VALUE(RIGHT(TRIM($A469),2)),12,31))),SUMIFS('Timesheet Raw'!$P$4:$P$8000,'Timesheet Raw'!$B$4:$B$8000,TRIM($A469),'Timesheet Raw'!$C$4:$C$8000,"*"&amp;$B469&amp;"*",'Timesheet Raw'!$L$4:$L$8000,"&gt;="&amp;I$5,'Timesheet Raw'!$L$4:$L$8000,"&lt;="&amp;I$6)))/'Profit Plan'!$B$5)</f>
        <v/>
      </c>
      <c r="J469" s="122" t="str">
        <f>IF($A469="","",(IF(ISNUMBER(SEARCH("Proposal",$A469)),SUMIFS('Timesheet Raw'!$P$4:$P$8000,'Timesheet Raw'!$A$4:$A$8000,IF(ISNUMBER(SEARCH("Chargable",$A469)),"2-Proposals Chargeable","3-Proposals Regular"),'Timesheet Raw'!$C$4:$C$8000,"*"&amp;$B469&amp;"*",'Timesheet Raw'!$L$4:$L$8000,"&gt;="&amp;MAX(J$5,DATE(2000+VALUE(RIGHT(TRIM($A469),2)),1,1)),'Timesheet Raw'!$L$4:$L$8000,"&lt;="&amp;MIN(J$6,DATE(2000+VALUE(RIGHT(TRIM($A469),2)),12,31))),SUMIFS('Timesheet Raw'!$P$4:$P$8000,'Timesheet Raw'!$B$4:$B$8000,TRIM($A469),'Timesheet Raw'!$C$4:$C$8000,"*"&amp;$B469&amp;"*",'Timesheet Raw'!$L$4:$L$8000,"&gt;="&amp;J$5,'Timesheet Raw'!$L$4:$L$8000,"&lt;="&amp;J$6)))/'Profit Plan'!$B$5)</f>
        <v/>
      </c>
      <c r="K469" s="122" t="str">
        <f>IF($A469="","",(IF(ISNUMBER(SEARCH("Proposal",$A469)),SUMIFS('Timesheet Raw'!$P$4:$P$8000,'Timesheet Raw'!$A$4:$A$8000,IF(ISNUMBER(SEARCH("Chargable",$A469)),"2-Proposals Chargeable","3-Proposals Regular"),'Timesheet Raw'!$C$4:$C$8000,"*"&amp;$B469&amp;"*",'Timesheet Raw'!$L$4:$L$8000,"&gt;="&amp;MAX(K$5,DATE(2000+VALUE(RIGHT(TRIM($A469),2)),1,1)),'Timesheet Raw'!$L$4:$L$8000,"&lt;="&amp;MIN(K$6,DATE(2000+VALUE(RIGHT(TRIM($A469),2)),12,31))),SUMIFS('Timesheet Raw'!$P$4:$P$8000,'Timesheet Raw'!$B$4:$B$8000,TRIM($A469),'Timesheet Raw'!$C$4:$C$8000,"*"&amp;$B469&amp;"*",'Timesheet Raw'!$L$4:$L$8000,"&gt;="&amp;K$5,'Timesheet Raw'!$L$4:$L$8000,"&lt;="&amp;K$6)))/'Profit Plan'!$B$5)</f>
        <v/>
      </c>
      <c r="L469" s="122" t="str">
        <f>IF($A469="","",(IF(ISNUMBER(SEARCH("Proposal",$A469)),SUMIFS('Timesheet Raw'!$P$4:$P$8000,'Timesheet Raw'!$A$4:$A$8000,IF(ISNUMBER(SEARCH("Chargable",$A469)),"2-Proposals Chargeable","3-Proposals Regular"),'Timesheet Raw'!$C$4:$C$8000,"*"&amp;$B469&amp;"*",'Timesheet Raw'!$L$4:$L$8000,"&gt;="&amp;MAX(L$5,DATE(2000+VALUE(RIGHT(TRIM($A469),2)),1,1)),'Timesheet Raw'!$L$4:$L$8000,"&lt;="&amp;MIN(L$6,DATE(2000+VALUE(RIGHT(TRIM($A469),2)),12,31))),SUMIFS('Timesheet Raw'!$P$4:$P$8000,'Timesheet Raw'!$B$4:$B$8000,TRIM($A469),'Timesheet Raw'!$C$4:$C$8000,"*"&amp;$B469&amp;"*",'Timesheet Raw'!$L$4:$L$8000,"&gt;="&amp;L$5,'Timesheet Raw'!$L$4:$L$8000,"&lt;="&amp;L$6)))/'Profit Plan'!$B$5)</f>
        <v/>
      </c>
      <c r="M469" s="122" t="str">
        <f>IF($A469="","",(IF(ISNUMBER(SEARCH("Proposal",$A469)),SUMIFS('Timesheet Raw'!$P$4:$P$8000,'Timesheet Raw'!$A$4:$A$8000,IF(ISNUMBER(SEARCH("Chargable",$A469)),"2-Proposals Chargeable","3-Proposals Regular"),'Timesheet Raw'!$C$4:$C$8000,"*"&amp;$B469&amp;"*",'Timesheet Raw'!$L$4:$L$8000,"&gt;="&amp;MAX(M$5,DATE(2000+VALUE(RIGHT(TRIM($A469),2)),1,1)),'Timesheet Raw'!$L$4:$L$8000,"&lt;="&amp;MIN(M$6,DATE(2000+VALUE(RIGHT(TRIM($A469),2)),12,31))),SUMIFS('Timesheet Raw'!$P$4:$P$8000,'Timesheet Raw'!$B$4:$B$8000,TRIM($A469),'Timesheet Raw'!$C$4:$C$8000,"*"&amp;$B469&amp;"*",'Timesheet Raw'!$L$4:$L$8000,"&gt;="&amp;M$5,'Timesheet Raw'!$L$4:$L$8000,"&lt;="&amp;M$6)))/'Profit Plan'!$B$5)</f>
        <v/>
      </c>
      <c r="N469" s="122" t="str">
        <f>IF($A469="","",(IF(ISNUMBER(SEARCH("Proposal",$A469)),SUMIFS('Timesheet Raw'!$P$4:$P$8000,'Timesheet Raw'!$A$4:$A$8000,IF(ISNUMBER(SEARCH("Chargable",$A469)),"2-Proposals Chargeable","3-Proposals Regular"),'Timesheet Raw'!$C$4:$C$8000,"*"&amp;$B469&amp;"*",'Timesheet Raw'!$L$4:$L$8000,"&gt;="&amp;MAX(N$5,DATE(2000+VALUE(RIGHT(TRIM($A469),2)),1,1)),'Timesheet Raw'!$L$4:$L$8000,"&lt;="&amp;MIN(N$6,DATE(2000+VALUE(RIGHT(TRIM($A469),2)),12,31))),SUMIFS('Timesheet Raw'!$P$4:$P$8000,'Timesheet Raw'!$B$4:$B$8000,TRIM($A469),'Timesheet Raw'!$C$4:$C$8000,"*"&amp;$B469&amp;"*",'Timesheet Raw'!$L$4:$L$8000,"&gt;="&amp;N$5,'Timesheet Raw'!$L$4:$L$8000,"&lt;="&amp;N$6)))/'Profit Plan'!$B$5)</f>
        <v/>
      </c>
      <c r="O469" s="122" t="str">
        <f>IF($A469="","",(IF(ISNUMBER(SEARCH("Proposal",$A469)),SUMIFS('Timesheet Raw'!$P$4:$P$8000,'Timesheet Raw'!$A$4:$A$8000,IF(ISNUMBER(SEARCH("Chargable",$A469)),"2-Proposals Chargeable","3-Proposals Regular"),'Timesheet Raw'!$C$4:$C$8000,"*"&amp;$B469&amp;"*",'Timesheet Raw'!$L$4:$L$8000,"&gt;="&amp;MAX(O$5,DATE(2000+VALUE(RIGHT(TRIM($A469),2)),1,1)),'Timesheet Raw'!$L$4:$L$8000,"&lt;="&amp;MIN(O$6,DATE(2000+VALUE(RIGHT(TRIM($A469),2)),12,31))),SUMIFS('Timesheet Raw'!$P$4:$P$8000,'Timesheet Raw'!$B$4:$B$8000,TRIM($A469),'Timesheet Raw'!$C$4:$C$8000,"*"&amp;$B469&amp;"*",'Timesheet Raw'!$L$4:$L$8000,"&gt;="&amp;O$5,'Timesheet Raw'!$L$4:$L$8000,"&lt;="&amp;O$6)))/'Profit Plan'!$B$5)</f>
        <v/>
      </c>
      <c r="P469" s="122" t="str">
        <f>IF($A469="","",(IF(ISNUMBER(SEARCH("Proposal",$A469)),SUMIFS('Timesheet Raw'!$P$4:$P$8000,'Timesheet Raw'!$A$4:$A$8000,IF(ISNUMBER(SEARCH("Chargable",$A469)),"2-Proposals Chargeable","3-Proposals Regular"),'Timesheet Raw'!$C$4:$C$8000,"*"&amp;$B469&amp;"*",'Timesheet Raw'!$L$4:$L$8000,"&gt;="&amp;MAX(P$5,DATE(2000+VALUE(RIGHT(TRIM($A469),2)),1,1)),'Timesheet Raw'!$L$4:$L$8000,"&lt;="&amp;MIN(P$6,DATE(2000+VALUE(RIGHT(TRIM($A469),2)),12,31))),SUMIFS('Timesheet Raw'!$P$4:$P$8000,'Timesheet Raw'!$B$4:$B$8000,TRIM($A469),'Timesheet Raw'!$C$4:$C$8000,"*"&amp;$B469&amp;"*",'Timesheet Raw'!$L$4:$L$8000,"&gt;="&amp;P$5,'Timesheet Raw'!$L$4:$L$8000,"&lt;="&amp;P$6)))/'Profit Plan'!$B$5)</f>
        <v/>
      </c>
      <c r="Q469" s="122" t="str">
        <f>IF($A469="","",(IF(ISNUMBER(SEARCH("Proposal",$A469)),SUMIFS('Timesheet Raw'!$P$4:$P$8000,'Timesheet Raw'!$A$4:$A$8000,IF(ISNUMBER(SEARCH("Chargable",$A469)),"2-Proposals Chargeable","3-Proposals Regular"),'Timesheet Raw'!$C$4:$C$8000,"*"&amp;$B469&amp;"*",'Timesheet Raw'!$L$4:$L$8000,"&gt;="&amp;MAX(Q$5,DATE(2000+VALUE(RIGHT(TRIM($A469),2)),1,1)),'Timesheet Raw'!$L$4:$L$8000,"&lt;="&amp;MIN(Q$6,DATE(2000+VALUE(RIGHT(TRIM($A469),2)),12,31))),SUMIFS('Timesheet Raw'!$P$4:$P$8000,'Timesheet Raw'!$B$4:$B$8000,TRIM($A469),'Timesheet Raw'!$C$4:$C$8000,"*"&amp;$B469&amp;"*",'Timesheet Raw'!$L$4:$L$8000,"&gt;="&amp;Q$5,'Timesheet Raw'!$L$4:$L$8000,"&lt;="&amp;Q$6)))/'Profit Plan'!$B$5)</f>
        <v/>
      </c>
      <c r="R469" s="122" t="str">
        <f>IF($A469="","",(IF(ISNUMBER(SEARCH("Proposal",$A469)),SUMIFS('Timesheet Raw'!$P$4:$P$8000,'Timesheet Raw'!$A$4:$A$8000,IF(ISNUMBER(SEARCH("Chargable",$A469)),"2-Proposals Chargeable","3-Proposals Regular"),'Timesheet Raw'!$C$4:$C$8000,"*"&amp;$B469&amp;"*",'Timesheet Raw'!$L$4:$L$8000,"&gt;="&amp;MAX(R$5,DATE(2000+VALUE(RIGHT(TRIM($A469),2)),1,1)),'Timesheet Raw'!$L$4:$L$8000,"&lt;="&amp;MIN(R$6,DATE(2000+VALUE(RIGHT(TRIM($A469),2)),12,31))),SUMIFS('Timesheet Raw'!$P$4:$P$8000,'Timesheet Raw'!$B$4:$B$8000,TRIM($A469),'Timesheet Raw'!$C$4:$C$8000,"*"&amp;$B469&amp;"*",'Timesheet Raw'!$L$4:$L$8000,"&gt;="&amp;R$5,'Timesheet Raw'!$L$4:$L$8000,"&lt;="&amp;R$6)))/'Profit Plan'!$B$5)</f>
        <v/>
      </c>
      <c r="S469" s="122" t="str">
        <f>IF($A469="","",(IF(ISNUMBER(SEARCH("Proposal",$A469)),SUMIFS('Timesheet Raw'!$P$4:$P$8000,'Timesheet Raw'!$A$4:$A$8000,IF(ISNUMBER(SEARCH("Chargable",$A469)),"2-Proposals Chargeable","3-Proposals Regular"),'Timesheet Raw'!$C$4:$C$8000,"*"&amp;$B469&amp;"*",'Timesheet Raw'!$L$4:$L$8000,"&gt;="&amp;MAX(S$5,DATE(2000+VALUE(RIGHT(TRIM($A469),2)),1,1)),'Timesheet Raw'!$L$4:$L$8000,"&lt;="&amp;MIN(S$6,DATE(2000+VALUE(RIGHT(TRIM($A469),2)),12,31))),SUMIFS('Timesheet Raw'!$P$4:$P$8000,'Timesheet Raw'!$B$4:$B$8000,TRIM($A469),'Timesheet Raw'!$C$4:$C$8000,"*"&amp;$B469&amp;"*",'Timesheet Raw'!$L$4:$L$8000,"&gt;="&amp;S$5,'Timesheet Raw'!$L$4:$L$8000,"&lt;="&amp;S$6)))/'Profit Plan'!$B$5)</f>
        <v/>
      </c>
      <c r="T469" s="122" t="str">
        <f>IF($A469="","",(IF(ISNUMBER(SEARCH("Proposal",$A469)),SUMIFS('Timesheet Raw'!$P$4:$P$8000,'Timesheet Raw'!$A$4:$A$8000,IF(ISNUMBER(SEARCH("Chargable",$A469)),"2-Proposals Chargeable","3-Proposals Regular"),'Timesheet Raw'!$C$4:$C$8000,"*"&amp;$B469&amp;"*",'Timesheet Raw'!$L$4:$L$8000,"&gt;="&amp;MAX(T$5,DATE(2000+VALUE(RIGHT(TRIM($A469),2)),1,1)),'Timesheet Raw'!$L$4:$L$8000,"&lt;="&amp;MIN(T$6,DATE(2000+VALUE(RIGHT(TRIM($A469),2)),12,31))),SUMIFS('Timesheet Raw'!$P$4:$P$8000,'Timesheet Raw'!$B$4:$B$8000,TRIM($A469),'Timesheet Raw'!$C$4:$C$8000,"*"&amp;$B469&amp;"*",'Timesheet Raw'!$L$4:$L$8000,"&gt;="&amp;T$5,'Timesheet Raw'!$L$4:$L$8000,"&lt;="&amp;T$6)))/'Profit Plan'!$B$5)</f>
        <v/>
      </c>
      <c r="U469" s="122" t="str">
        <f>IF($A469="","",(IF(ISNUMBER(SEARCH("Proposal",$A469)),SUMIFS('Timesheet Raw'!$P$4:$P$8000,'Timesheet Raw'!$A$4:$A$8000,IF(ISNUMBER(SEARCH("Chargable",$A469)),"2-Proposals Chargeable","3-Proposals Regular"),'Timesheet Raw'!$C$4:$C$8000,"*"&amp;$B469&amp;"*",'Timesheet Raw'!$L$4:$L$8000,"&gt;="&amp;MAX(U$5,DATE(2000+VALUE(RIGHT(TRIM($A469),2)),1,1)),'Timesheet Raw'!$L$4:$L$8000,"&lt;="&amp;MIN(U$6,DATE(2000+VALUE(RIGHT(TRIM($A469),2)),12,31))),SUMIFS('Timesheet Raw'!$P$4:$P$8000,'Timesheet Raw'!$B$4:$B$8000,TRIM($A469),'Timesheet Raw'!$C$4:$C$8000,"*"&amp;$B469&amp;"*",'Timesheet Raw'!$L$4:$L$8000,"&gt;="&amp;U$5,'Timesheet Raw'!$L$4:$L$8000,"&lt;="&amp;U$6)))/'Profit Plan'!$B$5)</f>
        <v/>
      </c>
      <c r="V469" s="122" t="str">
        <f>IF($A469="","",(IF(ISNUMBER(SEARCH("Proposal",$A469)),SUMIFS('Timesheet Raw'!$P$4:$P$8000,'Timesheet Raw'!$A$4:$A$8000,IF(ISNUMBER(SEARCH("Chargable",$A469)),"2-Proposals Chargeable","3-Proposals Regular"),'Timesheet Raw'!$C$4:$C$8000,"*"&amp;$B469&amp;"*",'Timesheet Raw'!$L$4:$L$8000,"&gt;="&amp;MAX(V$5,DATE(2000+VALUE(RIGHT(TRIM($A469),2)),1,1)),'Timesheet Raw'!$L$4:$L$8000,"&lt;="&amp;MIN(V$6,DATE(2000+VALUE(RIGHT(TRIM($A469),2)),12,31))),SUMIFS('Timesheet Raw'!$P$4:$P$8000,'Timesheet Raw'!$B$4:$B$8000,TRIM($A469),'Timesheet Raw'!$C$4:$C$8000,"*"&amp;$B469&amp;"*",'Timesheet Raw'!$L$4:$L$8000,"&gt;="&amp;V$5,'Timesheet Raw'!$L$4:$L$8000,"&lt;="&amp;V$6)))/'Profit Plan'!$B$5)</f>
        <v/>
      </c>
      <c r="W469" s="122" t="str">
        <f>IF($A469="","",(IF(ISNUMBER(SEARCH("Proposal",$A469)),SUMIFS('Timesheet Raw'!$P$4:$P$8000,'Timesheet Raw'!$A$4:$A$8000,IF(ISNUMBER(SEARCH("Chargable",$A469)),"2-Proposals Chargeable","3-Proposals Regular"),'Timesheet Raw'!$C$4:$C$8000,"*"&amp;$B469&amp;"*",'Timesheet Raw'!$L$4:$L$8000,"&gt;="&amp;MAX(W$5,DATE(2000+VALUE(RIGHT(TRIM($A469),2)),1,1)),'Timesheet Raw'!$L$4:$L$8000,"&lt;="&amp;MIN(W$6,DATE(2000+VALUE(RIGHT(TRIM($A469),2)),12,31))),SUMIFS('Timesheet Raw'!$P$4:$P$8000,'Timesheet Raw'!$B$4:$B$8000,TRIM($A469),'Timesheet Raw'!$C$4:$C$8000,"*"&amp;$B469&amp;"*",'Timesheet Raw'!$L$4:$L$8000,"&gt;="&amp;W$5,'Timesheet Raw'!$L$4:$L$8000,"&lt;="&amp;W$6)))/'Profit Plan'!$B$5)</f>
        <v/>
      </c>
      <c r="X469" s="122" t="str">
        <f>IF($A469="","",(IF(ISNUMBER(SEARCH("Proposal",$A469)),SUMIFS('Timesheet Raw'!$P$4:$P$8000,'Timesheet Raw'!$A$4:$A$8000,IF(ISNUMBER(SEARCH("Chargable",$A469)),"2-Proposals Chargeable","3-Proposals Regular"),'Timesheet Raw'!$C$4:$C$8000,"*"&amp;$B469&amp;"*",'Timesheet Raw'!$L$4:$L$8000,"&gt;="&amp;MAX(X$5,DATE(2000+VALUE(RIGHT(TRIM($A469),2)),1,1)),'Timesheet Raw'!$L$4:$L$8000,"&lt;="&amp;MIN(X$6,DATE(2000+VALUE(RIGHT(TRIM($A469),2)),12,31))),SUMIFS('Timesheet Raw'!$P$4:$P$8000,'Timesheet Raw'!$B$4:$B$8000,TRIM($A469),'Timesheet Raw'!$C$4:$C$8000,"*"&amp;$B469&amp;"*",'Timesheet Raw'!$L$4:$L$8000,"&gt;="&amp;X$5,'Timesheet Raw'!$L$4:$L$8000,"&lt;="&amp;X$6)))/'Profit Plan'!$B$5)</f>
        <v/>
      </c>
      <c r="Y469" s="118">
        <f t="shared" si="103"/>
        <v>0</v>
      </c>
    </row>
    <row r="470" spans="1:25" x14ac:dyDescent="0.3">
      <c r="A470" s="116" t="str">
        <f>IF(Inputs!$A74="","",Inputs!$A74)</f>
        <v/>
      </c>
      <c r="B470" s="116" t="str">
        <f>IF(Inputs!$A74="","",Inputs!$A$92)</f>
        <v/>
      </c>
      <c r="C470" s="116"/>
      <c r="D470" s="122" t="str">
        <f>IF($A470="","",(IF(ISNUMBER(SEARCH("Proposal",$A470)),SUMIFS('Timesheet Raw'!$P$4:$P$8000,'Timesheet Raw'!$A$4:$A$8000,IF(ISNUMBER(SEARCH("Chargable",$A470)),"2-Proposals Chargeable","3-Proposals Regular"),'Timesheet Raw'!$C$4:$C$8000,"*"&amp;$B470&amp;"*",'Timesheet Raw'!$L$4:$L$8000,"&gt;="&amp;MAX(D$5,DATE(2000+VALUE(RIGHT(TRIM($A470),2)),1,1)),'Timesheet Raw'!$L$4:$L$8000,"&lt;="&amp;MIN(D$6,DATE(2000+VALUE(RIGHT(TRIM($A470),2)),12,31))),SUMIFS('Timesheet Raw'!$P$4:$P$8000,'Timesheet Raw'!$B$4:$B$8000,TRIM($A470),'Timesheet Raw'!$C$4:$C$8000,"*"&amp;$B470&amp;"*",'Timesheet Raw'!$L$4:$L$8000,"&gt;="&amp;D$5,'Timesheet Raw'!$L$4:$L$8000,"&lt;="&amp;D$6)))/'Profit Plan'!$B$5)</f>
        <v/>
      </c>
      <c r="E470" s="122" t="str">
        <f>IF($A470="","",(IF(ISNUMBER(SEARCH("Proposal",$A470)),SUMIFS('Timesheet Raw'!$P$4:$P$8000,'Timesheet Raw'!$A$4:$A$8000,IF(ISNUMBER(SEARCH("Chargable",$A470)),"2-Proposals Chargeable","3-Proposals Regular"),'Timesheet Raw'!$C$4:$C$8000,"*"&amp;$B470&amp;"*",'Timesheet Raw'!$L$4:$L$8000,"&gt;="&amp;MAX(E$5,DATE(2000+VALUE(RIGHT(TRIM($A470),2)),1,1)),'Timesheet Raw'!$L$4:$L$8000,"&lt;="&amp;MIN(E$6,DATE(2000+VALUE(RIGHT(TRIM($A470),2)),12,31))),SUMIFS('Timesheet Raw'!$P$4:$P$8000,'Timesheet Raw'!$B$4:$B$8000,TRIM($A470),'Timesheet Raw'!$C$4:$C$8000,"*"&amp;$B470&amp;"*",'Timesheet Raw'!$L$4:$L$8000,"&gt;="&amp;E$5,'Timesheet Raw'!$L$4:$L$8000,"&lt;="&amp;E$6)))/'Profit Plan'!$B$5)</f>
        <v/>
      </c>
      <c r="F470" s="122" t="str">
        <f>IF($A470="","",(IF(ISNUMBER(SEARCH("Proposal",$A470)),SUMIFS('Timesheet Raw'!$P$4:$P$8000,'Timesheet Raw'!$A$4:$A$8000,IF(ISNUMBER(SEARCH("Chargable",$A470)),"2-Proposals Chargeable","3-Proposals Regular"),'Timesheet Raw'!$C$4:$C$8000,"*"&amp;$B470&amp;"*",'Timesheet Raw'!$L$4:$L$8000,"&gt;="&amp;MAX(F$5,DATE(2000+VALUE(RIGHT(TRIM($A470),2)),1,1)),'Timesheet Raw'!$L$4:$L$8000,"&lt;="&amp;MIN(F$6,DATE(2000+VALUE(RIGHT(TRIM($A470),2)),12,31))),SUMIFS('Timesheet Raw'!$P$4:$P$8000,'Timesheet Raw'!$B$4:$B$8000,TRIM($A470),'Timesheet Raw'!$C$4:$C$8000,"*"&amp;$B470&amp;"*",'Timesheet Raw'!$L$4:$L$8000,"&gt;="&amp;F$5,'Timesheet Raw'!$L$4:$L$8000,"&lt;="&amp;F$6)))/'Profit Plan'!$B$5)</f>
        <v/>
      </c>
      <c r="G470" s="122" t="str">
        <f>IF($A470="","",(IF(ISNUMBER(SEARCH("Proposal",$A470)),SUMIFS('Timesheet Raw'!$P$4:$P$8000,'Timesheet Raw'!$A$4:$A$8000,IF(ISNUMBER(SEARCH("Chargable",$A470)),"2-Proposals Chargeable","3-Proposals Regular"),'Timesheet Raw'!$C$4:$C$8000,"*"&amp;$B470&amp;"*",'Timesheet Raw'!$L$4:$L$8000,"&gt;="&amp;MAX(G$5,DATE(2000+VALUE(RIGHT(TRIM($A470),2)),1,1)),'Timesheet Raw'!$L$4:$L$8000,"&lt;="&amp;MIN(G$6,DATE(2000+VALUE(RIGHT(TRIM($A470),2)),12,31))),SUMIFS('Timesheet Raw'!$P$4:$P$8000,'Timesheet Raw'!$B$4:$B$8000,TRIM($A470),'Timesheet Raw'!$C$4:$C$8000,"*"&amp;$B470&amp;"*",'Timesheet Raw'!$L$4:$L$8000,"&gt;="&amp;G$5,'Timesheet Raw'!$L$4:$L$8000,"&lt;="&amp;G$6)))/'Profit Plan'!$B$5)</f>
        <v/>
      </c>
      <c r="H470" s="122" t="str">
        <f>IF($A470="","",(IF(ISNUMBER(SEARCH("Proposal",$A470)),SUMIFS('Timesheet Raw'!$P$4:$P$8000,'Timesheet Raw'!$A$4:$A$8000,IF(ISNUMBER(SEARCH("Chargable",$A470)),"2-Proposals Chargeable","3-Proposals Regular"),'Timesheet Raw'!$C$4:$C$8000,"*"&amp;$B470&amp;"*",'Timesheet Raw'!$L$4:$L$8000,"&gt;="&amp;MAX(H$5,DATE(2000+VALUE(RIGHT(TRIM($A470),2)),1,1)),'Timesheet Raw'!$L$4:$L$8000,"&lt;="&amp;MIN(H$6,DATE(2000+VALUE(RIGHT(TRIM($A470),2)),12,31))),SUMIFS('Timesheet Raw'!$P$4:$P$8000,'Timesheet Raw'!$B$4:$B$8000,TRIM($A470),'Timesheet Raw'!$C$4:$C$8000,"*"&amp;$B470&amp;"*",'Timesheet Raw'!$L$4:$L$8000,"&gt;="&amp;H$5,'Timesheet Raw'!$L$4:$L$8000,"&lt;="&amp;H$6)))/'Profit Plan'!$B$5)</f>
        <v/>
      </c>
      <c r="I470" s="122" t="str">
        <f>IF($A470="","",(IF(ISNUMBER(SEARCH("Proposal",$A470)),SUMIFS('Timesheet Raw'!$P$4:$P$8000,'Timesheet Raw'!$A$4:$A$8000,IF(ISNUMBER(SEARCH("Chargable",$A470)),"2-Proposals Chargeable","3-Proposals Regular"),'Timesheet Raw'!$C$4:$C$8000,"*"&amp;$B470&amp;"*",'Timesheet Raw'!$L$4:$L$8000,"&gt;="&amp;MAX(I$5,DATE(2000+VALUE(RIGHT(TRIM($A470),2)),1,1)),'Timesheet Raw'!$L$4:$L$8000,"&lt;="&amp;MIN(I$6,DATE(2000+VALUE(RIGHT(TRIM($A470),2)),12,31))),SUMIFS('Timesheet Raw'!$P$4:$P$8000,'Timesheet Raw'!$B$4:$B$8000,TRIM($A470),'Timesheet Raw'!$C$4:$C$8000,"*"&amp;$B470&amp;"*",'Timesheet Raw'!$L$4:$L$8000,"&gt;="&amp;I$5,'Timesheet Raw'!$L$4:$L$8000,"&lt;="&amp;I$6)))/'Profit Plan'!$B$5)</f>
        <v/>
      </c>
      <c r="J470" s="122" t="str">
        <f>IF($A470="","",(IF(ISNUMBER(SEARCH("Proposal",$A470)),SUMIFS('Timesheet Raw'!$P$4:$P$8000,'Timesheet Raw'!$A$4:$A$8000,IF(ISNUMBER(SEARCH("Chargable",$A470)),"2-Proposals Chargeable","3-Proposals Regular"),'Timesheet Raw'!$C$4:$C$8000,"*"&amp;$B470&amp;"*",'Timesheet Raw'!$L$4:$L$8000,"&gt;="&amp;MAX(J$5,DATE(2000+VALUE(RIGHT(TRIM($A470),2)),1,1)),'Timesheet Raw'!$L$4:$L$8000,"&lt;="&amp;MIN(J$6,DATE(2000+VALUE(RIGHT(TRIM($A470),2)),12,31))),SUMIFS('Timesheet Raw'!$P$4:$P$8000,'Timesheet Raw'!$B$4:$B$8000,TRIM($A470),'Timesheet Raw'!$C$4:$C$8000,"*"&amp;$B470&amp;"*",'Timesheet Raw'!$L$4:$L$8000,"&gt;="&amp;J$5,'Timesheet Raw'!$L$4:$L$8000,"&lt;="&amp;J$6)))/'Profit Plan'!$B$5)</f>
        <v/>
      </c>
      <c r="K470" s="122" t="str">
        <f>IF($A470="","",(IF(ISNUMBER(SEARCH("Proposal",$A470)),SUMIFS('Timesheet Raw'!$P$4:$P$8000,'Timesheet Raw'!$A$4:$A$8000,IF(ISNUMBER(SEARCH("Chargable",$A470)),"2-Proposals Chargeable","3-Proposals Regular"),'Timesheet Raw'!$C$4:$C$8000,"*"&amp;$B470&amp;"*",'Timesheet Raw'!$L$4:$L$8000,"&gt;="&amp;MAX(K$5,DATE(2000+VALUE(RIGHT(TRIM($A470),2)),1,1)),'Timesheet Raw'!$L$4:$L$8000,"&lt;="&amp;MIN(K$6,DATE(2000+VALUE(RIGHT(TRIM($A470),2)),12,31))),SUMIFS('Timesheet Raw'!$P$4:$P$8000,'Timesheet Raw'!$B$4:$B$8000,TRIM($A470),'Timesheet Raw'!$C$4:$C$8000,"*"&amp;$B470&amp;"*",'Timesheet Raw'!$L$4:$L$8000,"&gt;="&amp;K$5,'Timesheet Raw'!$L$4:$L$8000,"&lt;="&amp;K$6)))/'Profit Plan'!$B$5)</f>
        <v/>
      </c>
      <c r="L470" s="122" t="str">
        <f>IF($A470="","",(IF(ISNUMBER(SEARCH("Proposal",$A470)),SUMIFS('Timesheet Raw'!$P$4:$P$8000,'Timesheet Raw'!$A$4:$A$8000,IF(ISNUMBER(SEARCH("Chargable",$A470)),"2-Proposals Chargeable","3-Proposals Regular"),'Timesheet Raw'!$C$4:$C$8000,"*"&amp;$B470&amp;"*",'Timesheet Raw'!$L$4:$L$8000,"&gt;="&amp;MAX(L$5,DATE(2000+VALUE(RIGHT(TRIM($A470),2)),1,1)),'Timesheet Raw'!$L$4:$L$8000,"&lt;="&amp;MIN(L$6,DATE(2000+VALUE(RIGHT(TRIM($A470),2)),12,31))),SUMIFS('Timesheet Raw'!$P$4:$P$8000,'Timesheet Raw'!$B$4:$B$8000,TRIM($A470),'Timesheet Raw'!$C$4:$C$8000,"*"&amp;$B470&amp;"*",'Timesheet Raw'!$L$4:$L$8000,"&gt;="&amp;L$5,'Timesheet Raw'!$L$4:$L$8000,"&lt;="&amp;L$6)))/'Profit Plan'!$B$5)</f>
        <v/>
      </c>
      <c r="M470" s="122" t="str">
        <f>IF($A470="","",(IF(ISNUMBER(SEARCH("Proposal",$A470)),SUMIFS('Timesheet Raw'!$P$4:$P$8000,'Timesheet Raw'!$A$4:$A$8000,IF(ISNUMBER(SEARCH("Chargable",$A470)),"2-Proposals Chargeable","3-Proposals Regular"),'Timesheet Raw'!$C$4:$C$8000,"*"&amp;$B470&amp;"*",'Timesheet Raw'!$L$4:$L$8000,"&gt;="&amp;MAX(M$5,DATE(2000+VALUE(RIGHT(TRIM($A470),2)),1,1)),'Timesheet Raw'!$L$4:$L$8000,"&lt;="&amp;MIN(M$6,DATE(2000+VALUE(RIGHT(TRIM($A470),2)),12,31))),SUMIFS('Timesheet Raw'!$P$4:$P$8000,'Timesheet Raw'!$B$4:$B$8000,TRIM($A470),'Timesheet Raw'!$C$4:$C$8000,"*"&amp;$B470&amp;"*",'Timesheet Raw'!$L$4:$L$8000,"&gt;="&amp;M$5,'Timesheet Raw'!$L$4:$L$8000,"&lt;="&amp;M$6)))/'Profit Plan'!$B$5)</f>
        <v/>
      </c>
      <c r="N470" s="122" t="str">
        <f>IF($A470="","",(IF(ISNUMBER(SEARCH("Proposal",$A470)),SUMIFS('Timesheet Raw'!$P$4:$P$8000,'Timesheet Raw'!$A$4:$A$8000,IF(ISNUMBER(SEARCH("Chargable",$A470)),"2-Proposals Chargeable","3-Proposals Regular"),'Timesheet Raw'!$C$4:$C$8000,"*"&amp;$B470&amp;"*",'Timesheet Raw'!$L$4:$L$8000,"&gt;="&amp;MAX(N$5,DATE(2000+VALUE(RIGHT(TRIM($A470),2)),1,1)),'Timesheet Raw'!$L$4:$L$8000,"&lt;="&amp;MIN(N$6,DATE(2000+VALUE(RIGHT(TRIM($A470),2)),12,31))),SUMIFS('Timesheet Raw'!$P$4:$P$8000,'Timesheet Raw'!$B$4:$B$8000,TRIM($A470),'Timesheet Raw'!$C$4:$C$8000,"*"&amp;$B470&amp;"*",'Timesheet Raw'!$L$4:$L$8000,"&gt;="&amp;N$5,'Timesheet Raw'!$L$4:$L$8000,"&lt;="&amp;N$6)))/'Profit Plan'!$B$5)</f>
        <v/>
      </c>
      <c r="O470" s="122" t="str">
        <f>IF($A470="","",(IF(ISNUMBER(SEARCH("Proposal",$A470)),SUMIFS('Timesheet Raw'!$P$4:$P$8000,'Timesheet Raw'!$A$4:$A$8000,IF(ISNUMBER(SEARCH("Chargable",$A470)),"2-Proposals Chargeable","3-Proposals Regular"),'Timesheet Raw'!$C$4:$C$8000,"*"&amp;$B470&amp;"*",'Timesheet Raw'!$L$4:$L$8000,"&gt;="&amp;MAX(O$5,DATE(2000+VALUE(RIGHT(TRIM($A470),2)),1,1)),'Timesheet Raw'!$L$4:$L$8000,"&lt;="&amp;MIN(O$6,DATE(2000+VALUE(RIGHT(TRIM($A470),2)),12,31))),SUMIFS('Timesheet Raw'!$P$4:$P$8000,'Timesheet Raw'!$B$4:$B$8000,TRIM($A470),'Timesheet Raw'!$C$4:$C$8000,"*"&amp;$B470&amp;"*",'Timesheet Raw'!$L$4:$L$8000,"&gt;="&amp;O$5,'Timesheet Raw'!$L$4:$L$8000,"&lt;="&amp;O$6)))/'Profit Plan'!$B$5)</f>
        <v/>
      </c>
      <c r="P470" s="122" t="str">
        <f>IF($A470="","",(IF(ISNUMBER(SEARCH("Proposal",$A470)),SUMIFS('Timesheet Raw'!$P$4:$P$8000,'Timesheet Raw'!$A$4:$A$8000,IF(ISNUMBER(SEARCH("Chargable",$A470)),"2-Proposals Chargeable","3-Proposals Regular"),'Timesheet Raw'!$C$4:$C$8000,"*"&amp;$B470&amp;"*",'Timesheet Raw'!$L$4:$L$8000,"&gt;="&amp;MAX(P$5,DATE(2000+VALUE(RIGHT(TRIM($A470),2)),1,1)),'Timesheet Raw'!$L$4:$L$8000,"&lt;="&amp;MIN(P$6,DATE(2000+VALUE(RIGHT(TRIM($A470),2)),12,31))),SUMIFS('Timesheet Raw'!$P$4:$P$8000,'Timesheet Raw'!$B$4:$B$8000,TRIM($A470),'Timesheet Raw'!$C$4:$C$8000,"*"&amp;$B470&amp;"*",'Timesheet Raw'!$L$4:$L$8000,"&gt;="&amp;P$5,'Timesheet Raw'!$L$4:$L$8000,"&lt;="&amp;P$6)))/'Profit Plan'!$B$5)</f>
        <v/>
      </c>
      <c r="Q470" s="122" t="str">
        <f>IF($A470="","",(IF(ISNUMBER(SEARCH("Proposal",$A470)),SUMIFS('Timesheet Raw'!$P$4:$P$8000,'Timesheet Raw'!$A$4:$A$8000,IF(ISNUMBER(SEARCH("Chargable",$A470)),"2-Proposals Chargeable","3-Proposals Regular"),'Timesheet Raw'!$C$4:$C$8000,"*"&amp;$B470&amp;"*",'Timesheet Raw'!$L$4:$L$8000,"&gt;="&amp;MAX(Q$5,DATE(2000+VALUE(RIGHT(TRIM($A470),2)),1,1)),'Timesheet Raw'!$L$4:$L$8000,"&lt;="&amp;MIN(Q$6,DATE(2000+VALUE(RIGHT(TRIM($A470),2)),12,31))),SUMIFS('Timesheet Raw'!$P$4:$P$8000,'Timesheet Raw'!$B$4:$B$8000,TRIM($A470),'Timesheet Raw'!$C$4:$C$8000,"*"&amp;$B470&amp;"*",'Timesheet Raw'!$L$4:$L$8000,"&gt;="&amp;Q$5,'Timesheet Raw'!$L$4:$L$8000,"&lt;="&amp;Q$6)))/'Profit Plan'!$B$5)</f>
        <v/>
      </c>
      <c r="R470" s="122" t="str">
        <f>IF($A470="","",(IF(ISNUMBER(SEARCH("Proposal",$A470)),SUMIFS('Timesheet Raw'!$P$4:$P$8000,'Timesheet Raw'!$A$4:$A$8000,IF(ISNUMBER(SEARCH("Chargable",$A470)),"2-Proposals Chargeable","3-Proposals Regular"),'Timesheet Raw'!$C$4:$C$8000,"*"&amp;$B470&amp;"*",'Timesheet Raw'!$L$4:$L$8000,"&gt;="&amp;MAX(R$5,DATE(2000+VALUE(RIGHT(TRIM($A470),2)),1,1)),'Timesheet Raw'!$L$4:$L$8000,"&lt;="&amp;MIN(R$6,DATE(2000+VALUE(RIGHT(TRIM($A470),2)),12,31))),SUMIFS('Timesheet Raw'!$P$4:$P$8000,'Timesheet Raw'!$B$4:$B$8000,TRIM($A470),'Timesheet Raw'!$C$4:$C$8000,"*"&amp;$B470&amp;"*",'Timesheet Raw'!$L$4:$L$8000,"&gt;="&amp;R$5,'Timesheet Raw'!$L$4:$L$8000,"&lt;="&amp;R$6)))/'Profit Plan'!$B$5)</f>
        <v/>
      </c>
      <c r="S470" s="122" t="str">
        <f>IF($A470="","",(IF(ISNUMBER(SEARCH("Proposal",$A470)),SUMIFS('Timesheet Raw'!$P$4:$P$8000,'Timesheet Raw'!$A$4:$A$8000,IF(ISNUMBER(SEARCH("Chargable",$A470)),"2-Proposals Chargeable","3-Proposals Regular"),'Timesheet Raw'!$C$4:$C$8000,"*"&amp;$B470&amp;"*",'Timesheet Raw'!$L$4:$L$8000,"&gt;="&amp;MAX(S$5,DATE(2000+VALUE(RIGHT(TRIM($A470),2)),1,1)),'Timesheet Raw'!$L$4:$L$8000,"&lt;="&amp;MIN(S$6,DATE(2000+VALUE(RIGHT(TRIM($A470),2)),12,31))),SUMIFS('Timesheet Raw'!$P$4:$P$8000,'Timesheet Raw'!$B$4:$B$8000,TRIM($A470),'Timesheet Raw'!$C$4:$C$8000,"*"&amp;$B470&amp;"*",'Timesheet Raw'!$L$4:$L$8000,"&gt;="&amp;S$5,'Timesheet Raw'!$L$4:$L$8000,"&lt;="&amp;S$6)))/'Profit Plan'!$B$5)</f>
        <v/>
      </c>
      <c r="T470" s="122" t="str">
        <f>IF($A470="","",(IF(ISNUMBER(SEARCH("Proposal",$A470)),SUMIFS('Timesheet Raw'!$P$4:$P$8000,'Timesheet Raw'!$A$4:$A$8000,IF(ISNUMBER(SEARCH("Chargable",$A470)),"2-Proposals Chargeable","3-Proposals Regular"),'Timesheet Raw'!$C$4:$C$8000,"*"&amp;$B470&amp;"*",'Timesheet Raw'!$L$4:$L$8000,"&gt;="&amp;MAX(T$5,DATE(2000+VALUE(RIGHT(TRIM($A470),2)),1,1)),'Timesheet Raw'!$L$4:$L$8000,"&lt;="&amp;MIN(T$6,DATE(2000+VALUE(RIGHT(TRIM($A470),2)),12,31))),SUMIFS('Timesheet Raw'!$P$4:$P$8000,'Timesheet Raw'!$B$4:$B$8000,TRIM($A470),'Timesheet Raw'!$C$4:$C$8000,"*"&amp;$B470&amp;"*",'Timesheet Raw'!$L$4:$L$8000,"&gt;="&amp;T$5,'Timesheet Raw'!$L$4:$L$8000,"&lt;="&amp;T$6)))/'Profit Plan'!$B$5)</f>
        <v/>
      </c>
      <c r="U470" s="122" t="str">
        <f>IF($A470="","",(IF(ISNUMBER(SEARCH("Proposal",$A470)),SUMIFS('Timesheet Raw'!$P$4:$P$8000,'Timesheet Raw'!$A$4:$A$8000,IF(ISNUMBER(SEARCH("Chargable",$A470)),"2-Proposals Chargeable","3-Proposals Regular"),'Timesheet Raw'!$C$4:$C$8000,"*"&amp;$B470&amp;"*",'Timesheet Raw'!$L$4:$L$8000,"&gt;="&amp;MAX(U$5,DATE(2000+VALUE(RIGHT(TRIM($A470),2)),1,1)),'Timesheet Raw'!$L$4:$L$8000,"&lt;="&amp;MIN(U$6,DATE(2000+VALUE(RIGHT(TRIM($A470),2)),12,31))),SUMIFS('Timesheet Raw'!$P$4:$P$8000,'Timesheet Raw'!$B$4:$B$8000,TRIM($A470),'Timesheet Raw'!$C$4:$C$8000,"*"&amp;$B470&amp;"*",'Timesheet Raw'!$L$4:$L$8000,"&gt;="&amp;U$5,'Timesheet Raw'!$L$4:$L$8000,"&lt;="&amp;U$6)))/'Profit Plan'!$B$5)</f>
        <v/>
      </c>
      <c r="V470" s="122" t="str">
        <f>IF($A470="","",(IF(ISNUMBER(SEARCH("Proposal",$A470)),SUMIFS('Timesheet Raw'!$P$4:$P$8000,'Timesheet Raw'!$A$4:$A$8000,IF(ISNUMBER(SEARCH("Chargable",$A470)),"2-Proposals Chargeable","3-Proposals Regular"),'Timesheet Raw'!$C$4:$C$8000,"*"&amp;$B470&amp;"*",'Timesheet Raw'!$L$4:$L$8000,"&gt;="&amp;MAX(V$5,DATE(2000+VALUE(RIGHT(TRIM($A470),2)),1,1)),'Timesheet Raw'!$L$4:$L$8000,"&lt;="&amp;MIN(V$6,DATE(2000+VALUE(RIGHT(TRIM($A470),2)),12,31))),SUMIFS('Timesheet Raw'!$P$4:$P$8000,'Timesheet Raw'!$B$4:$B$8000,TRIM($A470),'Timesheet Raw'!$C$4:$C$8000,"*"&amp;$B470&amp;"*",'Timesheet Raw'!$L$4:$L$8000,"&gt;="&amp;V$5,'Timesheet Raw'!$L$4:$L$8000,"&lt;="&amp;V$6)))/'Profit Plan'!$B$5)</f>
        <v/>
      </c>
      <c r="W470" s="122" t="str">
        <f>IF($A470="","",(IF(ISNUMBER(SEARCH("Proposal",$A470)),SUMIFS('Timesheet Raw'!$P$4:$P$8000,'Timesheet Raw'!$A$4:$A$8000,IF(ISNUMBER(SEARCH("Chargable",$A470)),"2-Proposals Chargeable","3-Proposals Regular"),'Timesheet Raw'!$C$4:$C$8000,"*"&amp;$B470&amp;"*",'Timesheet Raw'!$L$4:$L$8000,"&gt;="&amp;MAX(W$5,DATE(2000+VALUE(RIGHT(TRIM($A470),2)),1,1)),'Timesheet Raw'!$L$4:$L$8000,"&lt;="&amp;MIN(W$6,DATE(2000+VALUE(RIGHT(TRIM($A470),2)),12,31))),SUMIFS('Timesheet Raw'!$P$4:$P$8000,'Timesheet Raw'!$B$4:$B$8000,TRIM($A470),'Timesheet Raw'!$C$4:$C$8000,"*"&amp;$B470&amp;"*",'Timesheet Raw'!$L$4:$L$8000,"&gt;="&amp;W$5,'Timesheet Raw'!$L$4:$L$8000,"&lt;="&amp;W$6)))/'Profit Plan'!$B$5)</f>
        <v/>
      </c>
      <c r="X470" s="122" t="str">
        <f>IF($A470="","",(IF(ISNUMBER(SEARCH("Proposal",$A470)),SUMIFS('Timesheet Raw'!$P$4:$P$8000,'Timesheet Raw'!$A$4:$A$8000,IF(ISNUMBER(SEARCH("Chargable",$A470)),"2-Proposals Chargeable","3-Proposals Regular"),'Timesheet Raw'!$C$4:$C$8000,"*"&amp;$B470&amp;"*",'Timesheet Raw'!$L$4:$L$8000,"&gt;="&amp;MAX(X$5,DATE(2000+VALUE(RIGHT(TRIM($A470),2)),1,1)),'Timesheet Raw'!$L$4:$L$8000,"&lt;="&amp;MIN(X$6,DATE(2000+VALUE(RIGHT(TRIM($A470),2)),12,31))),SUMIFS('Timesheet Raw'!$P$4:$P$8000,'Timesheet Raw'!$B$4:$B$8000,TRIM($A470),'Timesheet Raw'!$C$4:$C$8000,"*"&amp;$B470&amp;"*",'Timesheet Raw'!$L$4:$L$8000,"&gt;="&amp;X$5,'Timesheet Raw'!$L$4:$L$8000,"&lt;="&amp;X$6)))/'Profit Plan'!$B$5)</f>
        <v/>
      </c>
      <c r="Y470" s="118">
        <f t="shared" si="103"/>
        <v>0</v>
      </c>
    </row>
    <row r="471" spans="1:25" x14ac:dyDescent="0.3">
      <c r="A471" s="116" t="str">
        <f>IF(Inputs!$A74="","",Inputs!$A74)</f>
        <v/>
      </c>
      <c r="B471" s="116" t="str">
        <f>IF(Inputs!$A74="","",Inputs!$A$93)</f>
        <v/>
      </c>
      <c r="C471" s="116"/>
      <c r="D471" s="122" t="str">
        <f>IF($A471="","",(IF(ISNUMBER(SEARCH("Proposal",$A471)),SUMIFS('Timesheet Raw'!$P$4:$P$8000,'Timesheet Raw'!$A$4:$A$8000,IF(ISNUMBER(SEARCH("Chargable",$A471)),"2-Proposals Chargeable","3-Proposals Regular"),'Timesheet Raw'!$C$4:$C$8000,"*"&amp;$B471&amp;"*",'Timesheet Raw'!$L$4:$L$8000,"&gt;="&amp;MAX(D$5,DATE(2000+VALUE(RIGHT(TRIM($A471),2)),1,1)),'Timesheet Raw'!$L$4:$L$8000,"&lt;="&amp;MIN(D$6,DATE(2000+VALUE(RIGHT(TRIM($A471),2)),12,31))),SUMIFS('Timesheet Raw'!$P$4:$P$8000,'Timesheet Raw'!$B$4:$B$8000,TRIM($A471),'Timesheet Raw'!$C$4:$C$8000,"*"&amp;$B471&amp;"*",'Timesheet Raw'!$L$4:$L$8000,"&gt;="&amp;D$5,'Timesheet Raw'!$L$4:$L$8000,"&lt;="&amp;D$6)))/'Profit Plan'!$B$5)</f>
        <v/>
      </c>
      <c r="E471" s="122" t="str">
        <f>IF($A471="","",(IF(ISNUMBER(SEARCH("Proposal",$A471)),SUMIFS('Timesheet Raw'!$P$4:$P$8000,'Timesheet Raw'!$A$4:$A$8000,IF(ISNUMBER(SEARCH("Chargable",$A471)),"2-Proposals Chargeable","3-Proposals Regular"),'Timesheet Raw'!$C$4:$C$8000,"*"&amp;$B471&amp;"*",'Timesheet Raw'!$L$4:$L$8000,"&gt;="&amp;MAX(E$5,DATE(2000+VALUE(RIGHT(TRIM($A471),2)),1,1)),'Timesheet Raw'!$L$4:$L$8000,"&lt;="&amp;MIN(E$6,DATE(2000+VALUE(RIGHT(TRIM($A471),2)),12,31))),SUMIFS('Timesheet Raw'!$P$4:$P$8000,'Timesheet Raw'!$B$4:$B$8000,TRIM($A471),'Timesheet Raw'!$C$4:$C$8000,"*"&amp;$B471&amp;"*",'Timesheet Raw'!$L$4:$L$8000,"&gt;="&amp;E$5,'Timesheet Raw'!$L$4:$L$8000,"&lt;="&amp;E$6)))/'Profit Plan'!$B$5)</f>
        <v/>
      </c>
      <c r="F471" s="122" t="str">
        <f>IF($A471="","",(IF(ISNUMBER(SEARCH("Proposal",$A471)),SUMIFS('Timesheet Raw'!$P$4:$P$8000,'Timesheet Raw'!$A$4:$A$8000,IF(ISNUMBER(SEARCH("Chargable",$A471)),"2-Proposals Chargeable","3-Proposals Regular"),'Timesheet Raw'!$C$4:$C$8000,"*"&amp;$B471&amp;"*",'Timesheet Raw'!$L$4:$L$8000,"&gt;="&amp;MAX(F$5,DATE(2000+VALUE(RIGHT(TRIM($A471),2)),1,1)),'Timesheet Raw'!$L$4:$L$8000,"&lt;="&amp;MIN(F$6,DATE(2000+VALUE(RIGHT(TRIM($A471),2)),12,31))),SUMIFS('Timesheet Raw'!$P$4:$P$8000,'Timesheet Raw'!$B$4:$B$8000,TRIM($A471),'Timesheet Raw'!$C$4:$C$8000,"*"&amp;$B471&amp;"*",'Timesheet Raw'!$L$4:$L$8000,"&gt;="&amp;F$5,'Timesheet Raw'!$L$4:$L$8000,"&lt;="&amp;F$6)))/'Profit Plan'!$B$5)</f>
        <v/>
      </c>
      <c r="G471" s="122" t="str">
        <f>IF($A471="","",(IF(ISNUMBER(SEARCH("Proposal",$A471)),SUMIFS('Timesheet Raw'!$P$4:$P$8000,'Timesheet Raw'!$A$4:$A$8000,IF(ISNUMBER(SEARCH("Chargable",$A471)),"2-Proposals Chargeable","3-Proposals Regular"),'Timesheet Raw'!$C$4:$C$8000,"*"&amp;$B471&amp;"*",'Timesheet Raw'!$L$4:$L$8000,"&gt;="&amp;MAX(G$5,DATE(2000+VALUE(RIGHT(TRIM($A471),2)),1,1)),'Timesheet Raw'!$L$4:$L$8000,"&lt;="&amp;MIN(G$6,DATE(2000+VALUE(RIGHT(TRIM($A471),2)),12,31))),SUMIFS('Timesheet Raw'!$P$4:$P$8000,'Timesheet Raw'!$B$4:$B$8000,TRIM($A471),'Timesheet Raw'!$C$4:$C$8000,"*"&amp;$B471&amp;"*",'Timesheet Raw'!$L$4:$L$8000,"&gt;="&amp;G$5,'Timesheet Raw'!$L$4:$L$8000,"&lt;="&amp;G$6)))/'Profit Plan'!$B$5)</f>
        <v/>
      </c>
      <c r="H471" s="122" t="str">
        <f>IF($A471="","",(IF(ISNUMBER(SEARCH("Proposal",$A471)),SUMIFS('Timesheet Raw'!$P$4:$P$8000,'Timesheet Raw'!$A$4:$A$8000,IF(ISNUMBER(SEARCH("Chargable",$A471)),"2-Proposals Chargeable","3-Proposals Regular"),'Timesheet Raw'!$C$4:$C$8000,"*"&amp;$B471&amp;"*",'Timesheet Raw'!$L$4:$L$8000,"&gt;="&amp;MAX(H$5,DATE(2000+VALUE(RIGHT(TRIM($A471),2)),1,1)),'Timesheet Raw'!$L$4:$L$8000,"&lt;="&amp;MIN(H$6,DATE(2000+VALUE(RIGHT(TRIM($A471),2)),12,31))),SUMIFS('Timesheet Raw'!$P$4:$P$8000,'Timesheet Raw'!$B$4:$B$8000,TRIM($A471),'Timesheet Raw'!$C$4:$C$8000,"*"&amp;$B471&amp;"*",'Timesheet Raw'!$L$4:$L$8000,"&gt;="&amp;H$5,'Timesheet Raw'!$L$4:$L$8000,"&lt;="&amp;H$6)))/'Profit Plan'!$B$5)</f>
        <v/>
      </c>
      <c r="I471" s="122" t="str">
        <f>IF($A471="","",(IF(ISNUMBER(SEARCH("Proposal",$A471)),SUMIFS('Timesheet Raw'!$P$4:$P$8000,'Timesheet Raw'!$A$4:$A$8000,IF(ISNUMBER(SEARCH("Chargable",$A471)),"2-Proposals Chargeable","3-Proposals Regular"),'Timesheet Raw'!$C$4:$C$8000,"*"&amp;$B471&amp;"*",'Timesheet Raw'!$L$4:$L$8000,"&gt;="&amp;MAX(I$5,DATE(2000+VALUE(RIGHT(TRIM($A471),2)),1,1)),'Timesheet Raw'!$L$4:$L$8000,"&lt;="&amp;MIN(I$6,DATE(2000+VALUE(RIGHT(TRIM($A471),2)),12,31))),SUMIFS('Timesheet Raw'!$P$4:$P$8000,'Timesheet Raw'!$B$4:$B$8000,TRIM($A471),'Timesheet Raw'!$C$4:$C$8000,"*"&amp;$B471&amp;"*",'Timesheet Raw'!$L$4:$L$8000,"&gt;="&amp;I$5,'Timesheet Raw'!$L$4:$L$8000,"&lt;="&amp;I$6)))/'Profit Plan'!$B$5)</f>
        <v/>
      </c>
      <c r="J471" s="122" t="str">
        <f>IF($A471="","",(IF(ISNUMBER(SEARCH("Proposal",$A471)),SUMIFS('Timesheet Raw'!$P$4:$P$8000,'Timesheet Raw'!$A$4:$A$8000,IF(ISNUMBER(SEARCH("Chargable",$A471)),"2-Proposals Chargeable","3-Proposals Regular"),'Timesheet Raw'!$C$4:$C$8000,"*"&amp;$B471&amp;"*",'Timesheet Raw'!$L$4:$L$8000,"&gt;="&amp;MAX(J$5,DATE(2000+VALUE(RIGHT(TRIM($A471),2)),1,1)),'Timesheet Raw'!$L$4:$L$8000,"&lt;="&amp;MIN(J$6,DATE(2000+VALUE(RIGHT(TRIM($A471),2)),12,31))),SUMIFS('Timesheet Raw'!$P$4:$P$8000,'Timesheet Raw'!$B$4:$B$8000,TRIM($A471),'Timesheet Raw'!$C$4:$C$8000,"*"&amp;$B471&amp;"*",'Timesheet Raw'!$L$4:$L$8000,"&gt;="&amp;J$5,'Timesheet Raw'!$L$4:$L$8000,"&lt;="&amp;J$6)))/'Profit Plan'!$B$5)</f>
        <v/>
      </c>
      <c r="K471" s="122" t="str">
        <f>IF($A471="","",(IF(ISNUMBER(SEARCH("Proposal",$A471)),SUMIFS('Timesheet Raw'!$P$4:$P$8000,'Timesheet Raw'!$A$4:$A$8000,IF(ISNUMBER(SEARCH("Chargable",$A471)),"2-Proposals Chargeable","3-Proposals Regular"),'Timesheet Raw'!$C$4:$C$8000,"*"&amp;$B471&amp;"*",'Timesheet Raw'!$L$4:$L$8000,"&gt;="&amp;MAX(K$5,DATE(2000+VALUE(RIGHT(TRIM($A471),2)),1,1)),'Timesheet Raw'!$L$4:$L$8000,"&lt;="&amp;MIN(K$6,DATE(2000+VALUE(RIGHT(TRIM($A471),2)),12,31))),SUMIFS('Timesheet Raw'!$P$4:$P$8000,'Timesheet Raw'!$B$4:$B$8000,TRIM($A471),'Timesheet Raw'!$C$4:$C$8000,"*"&amp;$B471&amp;"*",'Timesheet Raw'!$L$4:$L$8000,"&gt;="&amp;K$5,'Timesheet Raw'!$L$4:$L$8000,"&lt;="&amp;K$6)))/'Profit Plan'!$B$5)</f>
        <v/>
      </c>
      <c r="L471" s="122" t="str">
        <f>IF($A471="","",(IF(ISNUMBER(SEARCH("Proposal",$A471)),SUMIFS('Timesheet Raw'!$P$4:$P$8000,'Timesheet Raw'!$A$4:$A$8000,IF(ISNUMBER(SEARCH("Chargable",$A471)),"2-Proposals Chargeable","3-Proposals Regular"),'Timesheet Raw'!$C$4:$C$8000,"*"&amp;$B471&amp;"*",'Timesheet Raw'!$L$4:$L$8000,"&gt;="&amp;MAX(L$5,DATE(2000+VALUE(RIGHT(TRIM($A471),2)),1,1)),'Timesheet Raw'!$L$4:$L$8000,"&lt;="&amp;MIN(L$6,DATE(2000+VALUE(RIGHT(TRIM($A471),2)),12,31))),SUMIFS('Timesheet Raw'!$P$4:$P$8000,'Timesheet Raw'!$B$4:$B$8000,TRIM($A471),'Timesheet Raw'!$C$4:$C$8000,"*"&amp;$B471&amp;"*",'Timesheet Raw'!$L$4:$L$8000,"&gt;="&amp;L$5,'Timesheet Raw'!$L$4:$L$8000,"&lt;="&amp;L$6)))/'Profit Plan'!$B$5)</f>
        <v/>
      </c>
      <c r="M471" s="122" t="str">
        <f>IF($A471="","",(IF(ISNUMBER(SEARCH("Proposal",$A471)),SUMIFS('Timesheet Raw'!$P$4:$P$8000,'Timesheet Raw'!$A$4:$A$8000,IF(ISNUMBER(SEARCH("Chargable",$A471)),"2-Proposals Chargeable","3-Proposals Regular"),'Timesheet Raw'!$C$4:$C$8000,"*"&amp;$B471&amp;"*",'Timesheet Raw'!$L$4:$L$8000,"&gt;="&amp;MAX(M$5,DATE(2000+VALUE(RIGHT(TRIM($A471),2)),1,1)),'Timesheet Raw'!$L$4:$L$8000,"&lt;="&amp;MIN(M$6,DATE(2000+VALUE(RIGHT(TRIM($A471),2)),12,31))),SUMIFS('Timesheet Raw'!$P$4:$P$8000,'Timesheet Raw'!$B$4:$B$8000,TRIM($A471),'Timesheet Raw'!$C$4:$C$8000,"*"&amp;$B471&amp;"*",'Timesheet Raw'!$L$4:$L$8000,"&gt;="&amp;M$5,'Timesheet Raw'!$L$4:$L$8000,"&lt;="&amp;M$6)))/'Profit Plan'!$B$5)</f>
        <v/>
      </c>
      <c r="N471" s="122" t="str">
        <f>IF($A471="","",(IF(ISNUMBER(SEARCH("Proposal",$A471)),SUMIFS('Timesheet Raw'!$P$4:$P$8000,'Timesheet Raw'!$A$4:$A$8000,IF(ISNUMBER(SEARCH("Chargable",$A471)),"2-Proposals Chargeable","3-Proposals Regular"),'Timesheet Raw'!$C$4:$C$8000,"*"&amp;$B471&amp;"*",'Timesheet Raw'!$L$4:$L$8000,"&gt;="&amp;MAX(N$5,DATE(2000+VALUE(RIGHT(TRIM($A471),2)),1,1)),'Timesheet Raw'!$L$4:$L$8000,"&lt;="&amp;MIN(N$6,DATE(2000+VALUE(RIGHT(TRIM($A471),2)),12,31))),SUMIFS('Timesheet Raw'!$P$4:$P$8000,'Timesheet Raw'!$B$4:$B$8000,TRIM($A471),'Timesheet Raw'!$C$4:$C$8000,"*"&amp;$B471&amp;"*",'Timesheet Raw'!$L$4:$L$8000,"&gt;="&amp;N$5,'Timesheet Raw'!$L$4:$L$8000,"&lt;="&amp;N$6)))/'Profit Plan'!$B$5)</f>
        <v/>
      </c>
      <c r="O471" s="122" t="str">
        <f>IF($A471="","",(IF(ISNUMBER(SEARCH("Proposal",$A471)),SUMIFS('Timesheet Raw'!$P$4:$P$8000,'Timesheet Raw'!$A$4:$A$8000,IF(ISNUMBER(SEARCH("Chargable",$A471)),"2-Proposals Chargeable","3-Proposals Regular"),'Timesheet Raw'!$C$4:$C$8000,"*"&amp;$B471&amp;"*",'Timesheet Raw'!$L$4:$L$8000,"&gt;="&amp;MAX(O$5,DATE(2000+VALUE(RIGHT(TRIM($A471),2)),1,1)),'Timesheet Raw'!$L$4:$L$8000,"&lt;="&amp;MIN(O$6,DATE(2000+VALUE(RIGHT(TRIM($A471),2)),12,31))),SUMIFS('Timesheet Raw'!$P$4:$P$8000,'Timesheet Raw'!$B$4:$B$8000,TRIM($A471),'Timesheet Raw'!$C$4:$C$8000,"*"&amp;$B471&amp;"*",'Timesheet Raw'!$L$4:$L$8000,"&gt;="&amp;O$5,'Timesheet Raw'!$L$4:$L$8000,"&lt;="&amp;O$6)))/'Profit Plan'!$B$5)</f>
        <v/>
      </c>
      <c r="P471" s="122" t="str">
        <f>IF($A471="","",(IF(ISNUMBER(SEARCH("Proposal",$A471)),SUMIFS('Timesheet Raw'!$P$4:$P$8000,'Timesheet Raw'!$A$4:$A$8000,IF(ISNUMBER(SEARCH("Chargable",$A471)),"2-Proposals Chargeable","3-Proposals Regular"),'Timesheet Raw'!$C$4:$C$8000,"*"&amp;$B471&amp;"*",'Timesheet Raw'!$L$4:$L$8000,"&gt;="&amp;MAX(P$5,DATE(2000+VALUE(RIGHT(TRIM($A471),2)),1,1)),'Timesheet Raw'!$L$4:$L$8000,"&lt;="&amp;MIN(P$6,DATE(2000+VALUE(RIGHT(TRIM($A471),2)),12,31))),SUMIFS('Timesheet Raw'!$P$4:$P$8000,'Timesheet Raw'!$B$4:$B$8000,TRIM($A471),'Timesheet Raw'!$C$4:$C$8000,"*"&amp;$B471&amp;"*",'Timesheet Raw'!$L$4:$L$8000,"&gt;="&amp;P$5,'Timesheet Raw'!$L$4:$L$8000,"&lt;="&amp;P$6)))/'Profit Plan'!$B$5)</f>
        <v/>
      </c>
      <c r="Q471" s="122" t="str">
        <f>IF($A471="","",(IF(ISNUMBER(SEARCH("Proposal",$A471)),SUMIFS('Timesheet Raw'!$P$4:$P$8000,'Timesheet Raw'!$A$4:$A$8000,IF(ISNUMBER(SEARCH("Chargable",$A471)),"2-Proposals Chargeable","3-Proposals Regular"),'Timesheet Raw'!$C$4:$C$8000,"*"&amp;$B471&amp;"*",'Timesheet Raw'!$L$4:$L$8000,"&gt;="&amp;MAX(Q$5,DATE(2000+VALUE(RIGHT(TRIM($A471),2)),1,1)),'Timesheet Raw'!$L$4:$L$8000,"&lt;="&amp;MIN(Q$6,DATE(2000+VALUE(RIGHT(TRIM($A471),2)),12,31))),SUMIFS('Timesheet Raw'!$P$4:$P$8000,'Timesheet Raw'!$B$4:$B$8000,TRIM($A471),'Timesheet Raw'!$C$4:$C$8000,"*"&amp;$B471&amp;"*",'Timesheet Raw'!$L$4:$L$8000,"&gt;="&amp;Q$5,'Timesheet Raw'!$L$4:$L$8000,"&lt;="&amp;Q$6)))/'Profit Plan'!$B$5)</f>
        <v/>
      </c>
      <c r="R471" s="122" t="str">
        <f>IF($A471="","",(IF(ISNUMBER(SEARCH("Proposal",$A471)),SUMIFS('Timesheet Raw'!$P$4:$P$8000,'Timesheet Raw'!$A$4:$A$8000,IF(ISNUMBER(SEARCH("Chargable",$A471)),"2-Proposals Chargeable","3-Proposals Regular"),'Timesheet Raw'!$C$4:$C$8000,"*"&amp;$B471&amp;"*",'Timesheet Raw'!$L$4:$L$8000,"&gt;="&amp;MAX(R$5,DATE(2000+VALUE(RIGHT(TRIM($A471),2)),1,1)),'Timesheet Raw'!$L$4:$L$8000,"&lt;="&amp;MIN(R$6,DATE(2000+VALUE(RIGHT(TRIM($A471),2)),12,31))),SUMIFS('Timesheet Raw'!$P$4:$P$8000,'Timesheet Raw'!$B$4:$B$8000,TRIM($A471),'Timesheet Raw'!$C$4:$C$8000,"*"&amp;$B471&amp;"*",'Timesheet Raw'!$L$4:$L$8000,"&gt;="&amp;R$5,'Timesheet Raw'!$L$4:$L$8000,"&lt;="&amp;R$6)))/'Profit Plan'!$B$5)</f>
        <v/>
      </c>
      <c r="S471" s="122" t="str">
        <f>IF($A471="","",(IF(ISNUMBER(SEARCH("Proposal",$A471)),SUMIFS('Timesheet Raw'!$P$4:$P$8000,'Timesheet Raw'!$A$4:$A$8000,IF(ISNUMBER(SEARCH("Chargable",$A471)),"2-Proposals Chargeable","3-Proposals Regular"),'Timesheet Raw'!$C$4:$C$8000,"*"&amp;$B471&amp;"*",'Timesheet Raw'!$L$4:$L$8000,"&gt;="&amp;MAX(S$5,DATE(2000+VALUE(RIGHT(TRIM($A471),2)),1,1)),'Timesheet Raw'!$L$4:$L$8000,"&lt;="&amp;MIN(S$6,DATE(2000+VALUE(RIGHT(TRIM($A471),2)),12,31))),SUMIFS('Timesheet Raw'!$P$4:$P$8000,'Timesheet Raw'!$B$4:$B$8000,TRIM($A471),'Timesheet Raw'!$C$4:$C$8000,"*"&amp;$B471&amp;"*",'Timesheet Raw'!$L$4:$L$8000,"&gt;="&amp;S$5,'Timesheet Raw'!$L$4:$L$8000,"&lt;="&amp;S$6)))/'Profit Plan'!$B$5)</f>
        <v/>
      </c>
      <c r="T471" s="122" t="str">
        <f>IF($A471="","",(IF(ISNUMBER(SEARCH("Proposal",$A471)),SUMIFS('Timesheet Raw'!$P$4:$P$8000,'Timesheet Raw'!$A$4:$A$8000,IF(ISNUMBER(SEARCH("Chargable",$A471)),"2-Proposals Chargeable","3-Proposals Regular"),'Timesheet Raw'!$C$4:$C$8000,"*"&amp;$B471&amp;"*",'Timesheet Raw'!$L$4:$L$8000,"&gt;="&amp;MAX(T$5,DATE(2000+VALUE(RIGHT(TRIM($A471),2)),1,1)),'Timesheet Raw'!$L$4:$L$8000,"&lt;="&amp;MIN(T$6,DATE(2000+VALUE(RIGHT(TRIM($A471),2)),12,31))),SUMIFS('Timesheet Raw'!$P$4:$P$8000,'Timesheet Raw'!$B$4:$B$8000,TRIM($A471),'Timesheet Raw'!$C$4:$C$8000,"*"&amp;$B471&amp;"*",'Timesheet Raw'!$L$4:$L$8000,"&gt;="&amp;T$5,'Timesheet Raw'!$L$4:$L$8000,"&lt;="&amp;T$6)))/'Profit Plan'!$B$5)</f>
        <v/>
      </c>
      <c r="U471" s="122" t="str">
        <f>IF($A471="","",(IF(ISNUMBER(SEARCH("Proposal",$A471)),SUMIFS('Timesheet Raw'!$P$4:$P$8000,'Timesheet Raw'!$A$4:$A$8000,IF(ISNUMBER(SEARCH("Chargable",$A471)),"2-Proposals Chargeable","3-Proposals Regular"),'Timesheet Raw'!$C$4:$C$8000,"*"&amp;$B471&amp;"*",'Timesheet Raw'!$L$4:$L$8000,"&gt;="&amp;MAX(U$5,DATE(2000+VALUE(RIGHT(TRIM($A471),2)),1,1)),'Timesheet Raw'!$L$4:$L$8000,"&lt;="&amp;MIN(U$6,DATE(2000+VALUE(RIGHT(TRIM($A471),2)),12,31))),SUMIFS('Timesheet Raw'!$P$4:$P$8000,'Timesheet Raw'!$B$4:$B$8000,TRIM($A471),'Timesheet Raw'!$C$4:$C$8000,"*"&amp;$B471&amp;"*",'Timesheet Raw'!$L$4:$L$8000,"&gt;="&amp;U$5,'Timesheet Raw'!$L$4:$L$8000,"&lt;="&amp;U$6)))/'Profit Plan'!$B$5)</f>
        <v/>
      </c>
      <c r="V471" s="122" t="str">
        <f>IF($A471="","",(IF(ISNUMBER(SEARCH("Proposal",$A471)),SUMIFS('Timesheet Raw'!$P$4:$P$8000,'Timesheet Raw'!$A$4:$A$8000,IF(ISNUMBER(SEARCH("Chargable",$A471)),"2-Proposals Chargeable","3-Proposals Regular"),'Timesheet Raw'!$C$4:$C$8000,"*"&amp;$B471&amp;"*",'Timesheet Raw'!$L$4:$L$8000,"&gt;="&amp;MAX(V$5,DATE(2000+VALUE(RIGHT(TRIM($A471),2)),1,1)),'Timesheet Raw'!$L$4:$L$8000,"&lt;="&amp;MIN(V$6,DATE(2000+VALUE(RIGHT(TRIM($A471),2)),12,31))),SUMIFS('Timesheet Raw'!$P$4:$P$8000,'Timesheet Raw'!$B$4:$B$8000,TRIM($A471),'Timesheet Raw'!$C$4:$C$8000,"*"&amp;$B471&amp;"*",'Timesheet Raw'!$L$4:$L$8000,"&gt;="&amp;V$5,'Timesheet Raw'!$L$4:$L$8000,"&lt;="&amp;V$6)))/'Profit Plan'!$B$5)</f>
        <v/>
      </c>
      <c r="W471" s="122" t="str">
        <f>IF($A471="","",(IF(ISNUMBER(SEARCH("Proposal",$A471)),SUMIFS('Timesheet Raw'!$P$4:$P$8000,'Timesheet Raw'!$A$4:$A$8000,IF(ISNUMBER(SEARCH("Chargable",$A471)),"2-Proposals Chargeable","3-Proposals Regular"),'Timesheet Raw'!$C$4:$C$8000,"*"&amp;$B471&amp;"*",'Timesheet Raw'!$L$4:$L$8000,"&gt;="&amp;MAX(W$5,DATE(2000+VALUE(RIGHT(TRIM($A471),2)),1,1)),'Timesheet Raw'!$L$4:$L$8000,"&lt;="&amp;MIN(W$6,DATE(2000+VALUE(RIGHT(TRIM($A471),2)),12,31))),SUMIFS('Timesheet Raw'!$P$4:$P$8000,'Timesheet Raw'!$B$4:$B$8000,TRIM($A471),'Timesheet Raw'!$C$4:$C$8000,"*"&amp;$B471&amp;"*",'Timesheet Raw'!$L$4:$L$8000,"&gt;="&amp;W$5,'Timesheet Raw'!$L$4:$L$8000,"&lt;="&amp;W$6)))/'Profit Plan'!$B$5)</f>
        <v/>
      </c>
      <c r="X471" s="122" t="str">
        <f>IF($A471="","",(IF(ISNUMBER(SEARCH("Proposal",$A471)),SUMIFS('Timesheet Raw'!$P$4:$P$8000,'Timesheet Raw'!$A$4:$A$8000,IF(ISNUMBER(SEARCH("Chargable",$A471)),"2-Proposals Chargeable","3-Proposals Regular"),'Timesheet Raw'!$C$4:$C$8000,"*"&amp;$B471&amp;"*",'Timesheet Raw'!$L$4:$L$8000,"&gt;="&amp;MAX(X$5,DATE(2000+VALUE(RIGHT(TRIM($A471),2)),1,1)),'Timesheet Raw'!$L$4:$L$8000,"&lt;="&amp;MIN(X$6,DATE(2000+VALUE(RIGHT(TRIM($A471),2)),12,31))),SUMIFS('Timesheet Raw'!$P$4:$P$8000,'Timesheet Raw'!$B$4:$B$8000,TRIM($A471),'Timesheet Raw'!$C$4:$C$8000,"*"&amp;$B471&amp;"*",'Timesheet Raw'!$L$4:$L$8000,"&gt;="&amp;X$5,'Timesheet Raw'!$L$4:$L$8000,"&lt;="&amp;X$6)))/'Profit Plan'!$B$5)</f>
        <v/>
      </c>
      <c r="Y471" s="118">
        <f t="shared" si="103"/>
        <v>0</v>
      </c>
    </row>
    <row r="472" spans="1:25" x14ac:dyDescent="0.3">
      <c r="A472" s="116" t="str">
        <f>IF(Inputs!$A75="","",Inputs!$A75)</f>
        <v/>
      </c>
      <c r="B472" s="116" t="str">
        <f>IF(Inputs!$A75="","",Inputs!$A$91)</f>
        <v/>
      </c>
      <c r="C472" s="116"/>
      <c r="D472" s="122" t="str">
        <f>IF($A472="","",(IF(ISNUMBER(SEARCH("Proposal",$A472)),SUMIFS('Timesheet Raw'!$P$4:$P$8000,'Timesheet Raw'!$A$4:$A$8000,IF(ISNUMBER(SEARCH("Chargable",$A472)),"2-Proposals Chargeable","3-Proposals Regular"),'Timesheet Raw'!$C$4:$C$8000,"*"&amp;$B472&amp;"*",'Timesheet Raw'!$L$4:$L$8000,"&gt;="&amp;MAX(D$5,DATE(2000+VALUE(RIGHT(TRIM($A472),2)),1,1)),'Timesheet Raw'!$L$4:$L$8000,"&lt;="&amp;MIN(D$6,DATE(2000+VALUE(RIGHT(TRIM($A472),2)),12,31))),SUMIFS('Timesheet Raw'!$P$4:$P$8000,'Timesheet Raw'!$B$4:$B$8000,TRIM($A472),'Timesheet Raw'!$C$4:$C$8000,"*"&amp;$B472&amp;"*",'Timesheet Raw'!$L$4:$L$8000,"&gt;="&amp;D$5,'Timesheet Raw'!$L$4:$L$8000,"&lt;="&amp;D$6)))/'Profit Plan'!$B$5)</f>
        <v/>
      </c>
      <c r="E472" s="122" t="str">
        <f>IF($A472="","",(IF(ISNUMBER(SEARCH("Proposal",$A472)),SUMIFS('Timesheet Raw'!$P$4:$P$8000,'Timesheet Raw'!$A$4:$A$8000,IF(ISNUMBER(SEARCH("Chargable",$A472)),"2-Proposals Chargeable","3-Proposals Regular"),'Timesheet Raw'!$C$4:$C$8000,"*"&amp;$B472&amp;"*",'Timesheet Raw'!$L$4:$L$8000,"&gt;="&amp;MAX(E$5,DATE(2000+VALUE(RIGHT(TRIM($A472),2)),1,1)),'Timesheet Raw'!$L$4:$L$8000,"&lt;="&amp;MIN(E$6,DATE(2000+VALUE(RIGHT(TRIM($A472),2)),12,31))),SUMIFS('Timesheet Raw'!$P$4:$P$8000,'Timesheet Raw'!$B$4:$B$8000,TRIM($A472),'Timesheet Raw'!$C$4:$C$8000,"*"&amp;$B472&amp;"*",'Timesheet Raw'!$L$4:$L$8000,"&gt;="&amp;E$5,'Timesheet Raw'!$L$4:$L$8000,"&lt;="&amp;E$6)))/'Profit Plan'!$B$5)</f>
        <v/>
      </c>
      <c r="F472" s="122" t="str">
        <f>IF($A472="","",(IF(ISNUMBER(SEARCH("Proposal",$A472)),SUMIFS('Timesheet Raw'!$P$4:$P$8000,'Timesheet Raw'!$A$4:$A$8000,IF(ISNUMBER(SEARCH("Chargable",$A472)),"2-Proposals Chargeable","3-Proposals Regular"),'Timesheet Raw'!$C$4:$C$8000,"*"&amp;$B472&amp;"*",'Timesheet Raw'!$L$4:$L$8000,"&gt;="&amp;MAX(F$5,DATE(2000+VALUE(RIGHT(TRIM($A472),2)),1,1)),'Timesheet Raw'!$L$4:$L$8000,"&lt;="&amp;MIN(F$6,DATE(2000+VALUE(RIGHT(TRIM($A472),2)),12,31))),SUMIFS('Timesheet Raw'!$P$4:$P$8000,'Timesheet Raw'!$B$4:$B$8000,TRIM($A472),'Timesheet Raw'!$C$4:$C$8000,"*"&amp;$B472&amp;"*",'Timesheet Raw'!$L$4:$L$8000,"&gt;="&amp;F$5,'Timesheet Raw'!$L$4:$L$8000,"&lt;="&amp;F$6)))/'Profit Plan'!$B$5)</f>
        <v/>
      </c>
      <c r="G472" s="122" t="str">
        <f>IF($A472="","",(IF(ISNUMBER(SEARCH("Proposal",$A472)),SUMIFS('Timesheet Raw'!$P$4:$P$8000,'Timesheet Raw'!$A$4:$A$8000,IF(ISNUMBER(SEARCH("Chargable",$A472)),"2-Proposals Chargeable","3-Proposals Regular"),'Timesheet Raw'!$C$4:$C$8000,"*"&amp;$B472&amp;"*",'Timesheet Raw'!$L$4:$L$8000,"&gt;="&amp;MAX(G$5,DATE(2000+VALUE(RIGHT(TRIM($A472),2)),1,1)),'Timesheet Raw'!$L$4:$L$8000,"&lt;="&amp;MIN(G$6,DATE(2000+VALUE(RIGHT(TRIM($A472),2)),12,31))),SUMIFS('Timesheet Raw'!$P$4:$P$8000,'Timesheet Raw'!$B$4:$B$8000,TRIM($A472),'Timesheet Raw'!$C$4:$C$8000,"*"&amp;$B472&amp;"*",'Timesheet Raw'!$L$4:$L$8000,"&gt;="&amp;G$5,'Timesheet Raw'!$L$4:$L$8000,"&lt;="&amp;G$6)))/'Profit Plan'!$B$5)</f>
        <v/>
      </c>
      <c r="H472" s="122" t="str">
        <f>IF($A472="","",(IF(ISNUMBER(SEARCH("Proposal",$A472)),SUMIFS('Timesheet Raw'!$P$4:$P$8000,'Timesheet Raw'!$A$4:$A$8000,IF(ISNUMBER(SEARCH("Chargable",$A472)),"2-Proposals Chargeable","3-Proposals Regular"),'Timesheet Raw'!$C$4:$C$8000,"*"&amp;$B472&amp;"*",'Timesheet Raw'!$L$4:$L$8000,"&gt;="&amp;MAX(H$5,DATE(2000+VALUE(RIGHT(TRIM($A472),2)),1,1)),'Timesheet Raw'!$L$4:$L$8000,"&lt;="&amp;MIN(H$6,DATE(2000+VALUE(RIGHT(TRIM($A472),2)),12,31))),SUMIFS('Timesheet Raw'!$P$4:$P$8000,'Timesheet Raw'!$B$4:$B$8000,TRIM($A472),'Timesheet Raw'!$C$4:$C$8000,"*"&amp;$B472&amp;"*",'Timesheet Raw'!$L$4:$L$8000,"&gt;="&amp;H$5,'Timesheet Raw'!$L$4:$L$8000,"&lt;="&amp;H$6)))/'Profit Plan'!$B$5)</f>
        <v/>
      </c>
      <c r="I472" s="122" t="str">
        <f>IF($A472="","",(IF(ISNUMBER(SEARCH("Proposal",$A472)),SUMIFS('Timesheet Raw'!$P$4:$P$8000,'Timesheet Raw'!$A$4:$A$8000,IF(ISNUMBER(SEARCH("Chargable",$A472)),"2-Proposals Chargeable","3-Proposals Regular"),'Timesheet Raw'!$C$4:$C$8000,"*"&amp;$B472&amp;"*",'Timesheet Raw'!$L$4:$L$8000,"&gt;="&amp;MAX(I$5,DATE(2000+VALUE(RIGHT(TRIM($A472),2)),1,1)),'Timesheet Raw'!$L$4:$L$8000,"&lt;="&amp;MIN(I$6,DATE(2000+VALUE(RIGHT(TRIM($A472),2)),12,31))),SUMIFS('Timesheet Raw'!$P$4:$P$8000,'Timesheet Raw'!$B$4:$B$8000,TRIM($A472),'Timesheet Raw'!$C$4:$C$8000,"*"&amp;$B472&amp;"*",'Timesheet Raw'!$L$4:$L$8000,"&gt;="&amp;I$5,'Timesheet Raw'!$L$4:$L$8000,"&lt;="&amp;I$6)))/'Profit Plan'!$B$5)</f>
        <v/>
      </c>
      <c r="J472" s="122" t="str">
        <f>IF($A472="","",(IF(ISNUMBER(SEARCH("Proposal",$A472)),SUMIFS('Timesheet Raw'!$P$4:$P$8000,'Timesheet Raw'!$A$4:$A$8000,IF(ISNUMBER(SEARCH("Chargable",$A472)),"2-Proposals Chargeable","3-Proposals Regular"),'Timesheet Raw'!$C$4:$C$8000,"*"&amp;$B472&amp;"*",'Timesheet Raw'!$L$4:$L$8000,"&gt;="&amp;MAX(J$5,DATE(2000+VALUE(RIGHT(TRIM($A472),2)),1,1)),'Timesheet Raw'!$L$4:$L$8000,"&lt;="&amp;MIN(J$6,DATE(2000+VALUE(RIGHT(TRIM($A472),2)),12,31))),SUMIFS('Timesheet Raw'!$P$4:$P$8000,'Timesheet Raw'!$B$4:$B$8000,TRIM($A472),'Timesheet Raw'!$C$4:$C$8000,"*"&amp;$B472&amp;"*",'Timesheet Raw'!$L$4:$L$8000,"&gt;="&amp;J$5,'Timesheet Raw'!$L$4:$L$8000,"&lt;="&amp;J$6)))/'Profit Plan'!$B$5)</f>
        <v/>
      </c>
      <c r="K472" s="122" t="str">
        <f>IF($A472="","",(IF(ISNUMBER(SEARCH("Proposal",$A472)),SUMIFS('Timesheet Raw'!$P$4:$P$8000,'Timesheet Raw'!$A$4:$A$8000,IF(ISNUMBER(SEARCH("Chargable",$A472)),"2-Proposals Chargeable","3-Proposals Regular"),'Timesheet Raw'!$C$4:$C$8000,"*"&amp;$B472&amp;"*",'Timesheet Raw'!$L$4:$L$8000,"&gt;="&amp;MAX(K$5,DATE(2000+VALUE(RIGHT(TRIM($A472),2)),1,1)),'Timesheet Raw'!$L$4:$L$8000,"&lt;="&amp;MIN(K$6,DATE(2000+VALUE(RIGHT(TRIM($A472),2)),12,31))),SUMIFS('Timesheet Raw'!$P$4:$P$8000,'Timesheet Raw'!$B$4:$B$8000,TRIM($A472),'Timesheet Raw'!$C$4:$C$8000,"*"&amp;$B472&amp;"*",'Timesheet Raw'!$L$4:$L$8000,"&gt;="&amp;K$5,'Timesheet Raw'!$L$4:$L$8000,"&lt;="&amp;K$6)))/'Profit Plan'!$B$5)</f>
        <v/>
      </c>
      <c r="L472" s="122" t="str">
        <f>IF($A472="","",(IF(ISNUMBER(SEARCH("Proposal",$A472)),SUMIFS('Timesheet Raw'!$P$4:$P$8000,'Timesheet Raw'!$A$4:$A$8000,IF(ISNUMBER(SEARCH("Chargable",$A472)),"2-Proposals Chargeable","3-Proposals Regular"),'Timesheet Raw'!$C$4:$C$8000,"*"&amp;$B472&amp;"*",'Timesheet Raw'!$L$4:$L$8000,"&gt;="&amp;MAX(L$5,DATE(2000+VALUE(RIGHT(TRIM($A472),2)),1,1)),'Timesheet Raw'!$L$4:$L$8000,"&lt;="&amp;MIN(L$6,DATE(2000+VALUE(RIGHT(TRIM($A472),2)),12,31))),SUMIFS('Timesheet Raw'!$P$4:$P$8000,'Timesheet Raw'!$B$4:$B$8000,TRIM($A472),'Timesheet Raw'!$C$4:$C$8000,"*"&amp;$B472&amp;"*",'Timesheet Raw'!$L$4:$L$8000,"&gt;="&amp;L$5,'Timesheet Raw'!$L$4:$L$8000,"&lt;="&amp;L$6)))/'Profit Plan'!$B$5)</f>
        <v/>
      </c>
      <c r="M472" s="122" t="str">
        <f>IF($A472="","",(IF(ISNUMBER(SEARCH("Proposal",$A472)),SUMIFS('Timesheet Raw'!$P$4:$P$8000,'Timesheet Raw'!$A$4:$A$8000,IF(ISNUMBER(SEARCH("Chargable",$A472)),"2-Proposals Chargeable","3-Proposals Regular"),'Timesheet Raw'!$C$4:$C$8000,"*"&amp;$B472&amp;"*",'Timesheet Raw'!$L$4:$L$8000,"&gt;="&amp;MAX(M$5,DATE(2000+VALUE(RIGHT(TRIM($A472),2)),1,1)),'Timesheet Raw'!$L$4:$L$8000,"&lt;="&amp;MIN(M$6,DATE(2000+VALUE(RIGHT(TRIM($A472),2)),12,31))),SUMIFS('Timesheet Raw'!$P$4:$P$8000,'Timesheet Raw'!$B$4:$B$8000,TRIM($A472),'Timesheet Raw'!$C$4:$C$8000,"*"&amp;$B472&amp;"*",'Timesheet Raw'!$L$4:$L$8000,"&gt;="&amp;M$5,'Timesheet Raw'!$L$4:$L$8000,"&lt;="&amp;M$6)))/'Profit Plan'!$B$5)</f>
        <v/>
      </c>
      <c r="N472" s="122" t="str">
        <f>IF($A472="","",(IF(ISNUMBER(SEARCH("Proposal",$A472)),SUMIFS('Timesheet Raw'!$P$4:$P$8000,'Timesheet Raw'!$A$4:$A$8000,IF(ISNUMBER(SEARCH("Chargable",$A472)),"2-Proposals Chargeable","3-Proposals Regular"),'Timesheet Raw'!$C$4:$C$8000,"*"&amp;$B472&amp;"*",'Timesheet Raw'!$L$4:$L$8000,"&gt;="&amp;MAX(N$5,DATE(2000+VALUE(RIGHT(TRIM($A472),2)),1,1)),'Timesheet Raw'!$L$4:$L$8000,"&lt;="&amp;MIN(N$6,DATE(2000+VALUE(RIGHT(TRIM($A472),2)),12,31))),SUMIFS('Timesheet Raw'!$P$4:$P$8000,'Timesheet Raw'!$B$4:$B$8000,TRIM($A472),'Timesheet Raw'!$C$4:$C$8000,"*"&amp;$B472&amp;"*",'Timesheet Raw'!$L$4:$L$8000,"&gt;="&amp;N$5,'Timesheet Raw'!$L$4:$L$8000,"&lt;="&amp;N$6)))/'Profit Plan'!$B$5)</f>
        <v/>
      </c>
      <c r="O472" s="122" t="str">
        <f>IF($A472="","",(IF(ISNUMBER(SEARCH("Proposal",$A472)),SUMIFS('Timesheet Raw'!$P$4:$P$8000,'Timesheet Raw'!$A$4:$A$8000,IF(ISNUMBER(SEARCH("Chargable",$A472)),"2-Proposals Chargeable","3-Proposals Regular"),'Timesheet Raw'!$C$4:$C$8000,"*"&amp;$B472&amp;"*",'Timesheet Raw'!$L$4:$L$8000,"&gt;="&amp;MAX(O$5,DATE(2000+VALUE(RIGHT(TRIM($A472),2)),1,1)),'Timesheet Raw'!$L$4:$L$8000,"&lt;="&amp;MIN(O$6,DATE(2000+VALUE(RIGHT(TRIM($A472),2)),12,31))),SUMIFS('Timesheet Raw'!$P$4:$P$8000,'Timesheet Raw'!$B$4:$B$8000,TRIM($A472),'Timesheet Raw'!$C$4:$C$8000,"*"&amp;$B472&amp;"*",'Timesheet Raw'!$L$4:$L$8000,"&gt;="&amp;O$5,'Timesheet Raw'!$L$4:$L$8000,"&lt;="&amp;O$6)))/'Profit Plan'!$B$5)</f>
        <v/>
      </c>
      <c r="P472" s="122" t="str">
        <f>IF($A472="","",(IF(ISNUMBER(SEARCH("Proposal",$A472)),SUMIFS('Timesheet Raw'!$P$4:$P$8000,'Timesheet Raw'!$A$4:$A$8000,IF(ISNUMBER(SEARCH("Chargable",$A472)),"2-Proposals Chargeable","3-Proposals Regular"),'Timesheet Raw'!$C$4:$C$8000,"*"&amp;$B472&amp;"*",'Timesheet Raw'!$L$4:$L$8000,"&gt;="&amp;MAX(P$5,DATE(2000+VALUE(RIGHT(TRIM($A472),2)),1,1)),'Timesheet Raw'!$L$4:$L$8000,"&lt;="&amp;MIN(P$6,DATE(2000+VALUE(RIGHT(TRIM($A472),2)),12,31))),SUMIFS('Timesheet Raw'!$P$4:$P$8000,'Timesheet Raw'!$B$4:$B$8000,TRIM($A472),'Timesheet Raw'!$C$4:$C$8000,"*"&amp;$B472&amp;"*",'Timesheet Raw'!$L$4:$L$8000,"&gt;="&amp;P$5,'Timesheet Raw'!$L$4:$L$8000,"&lt;="&amp;P$6)))/'Profit Plan'!$B$5)</f>
        <v/>
      </c>
      <c r="Q472" s="122" t="str">
        <f>IF($A472="","",(IF(ISNUMBER(SEARCH("Proposal",$A472)),SUMIFS('Timesheet Raw'!$P$4:$P$8000,'Timesheet Raw'!$A$4:$A$8000,IF(ISNUMBER(SEARCH("Chargable",$A472)),"2-Proposals Chargeable","3-Proposals Regular"),'Timesheet Raw'!$C$4:$C$8000,"*"&amp;$B472&amp;"*",'Timesheet Raw'!$L$4:$L$8000,"&gt;="&amp;MAX(Q$5,DATE(2000+VALUE(RIGHT(TRIM($A472),2)),1,1)),'Timesheet Raw'!$L$4:$L$8000,"&lt;="&amp;MIN(Q$6,DATE(2000+VALUE(RIGHT(TRIM($A472),2)),12,31))),SUMIFS('Timesheet Raw'!$P$4:$P$8000,'Timesheet Raw'!$B$4:$B$8000,TRIM($A472),'Timesheet Raw'!$C$4:$C$8000,"*"&amp;$B472&amp;"*",'Timesheet Raw'!$L$4:$L$8000,"&gt;="&amp;Q$5,'Timesheet Raw'!$L$4:$L$8000,"&lt;="&amp;Q$6)))/'Profit Plan'!$B$5)</f>
        <v/>
      </c>
      <c r="R472" s="122" t="str">
        <f>IF($A472="","",(IF(ISNUMBER(SEARCH("Proposal",$A472)),SUMIFS('Timesheet Raw'!$P$4:$P$8000,'Timesheet Raw'!$A$4:$A$8000,IF(ISNUMBER(SEARCH("Chargable",$A472)),"2-Proposals Chargeable","3-Proposals Regular"),'Timesheet Raw'!$C$4:$C$8000,"*"&amp;$B472&amp;"*",'Timesheet Raw'!$L$4:$L$8000,"&gt;="&amp;MAX(R$5,DATE(2000+VALUE(RIGHT(TRIM($A472),2)),1,1)),'Timesheet Raw'!$L$4:$L$8000,"&lt;="&amp;MIN(R$6,DATE(2000+VALUE(RIGHT(TRIM($A472),2)),12,31))),SUMIFS('Timesheet Raw'!$P$4:$P$8000,'Timesheet Raw'!$B$4:$B$8000,TRIM($A472),'Timesheet Raw'!$C$4:$C$8000,"*"&amp;$B472&amp;"*",'Timesheet Raw'!$L$4:$L$8000,"&gt;="&amp;R$5,'Timesheet Raw'!$L$4:$L$8000,"&lt;="&amp;R$6)))/'Profit Plan'!$B$5)</f>
        <v/>
      </c>
      <c r="S472" s="122" t="str">
        <f>IF($A472="","",(IF(ISNUMBER(SEARCH("Proposal",$A472)),SUMIFS('Timesheet Raw'!$P$4:$P$8000,'Timesheet Raw'!$A$4:$A$8000,IF(ISNUMBER(SEARCH("Chargable",$A472)),"2-Proposals Chargeable","3-Proposals Regular"),'Timesheet Raw'!$C$4:$C$8000,"*"&amp;$B472&amp;"*",'Timesheet Raw'!$L$4:$L$8000,"&gt;="&amp;MAX(S$5,DATE(2000+VALUE(RIGHT(TRIM($A472),2)),1,1)),'Timesheet Raw'!$L$4:$L$8000,"&lt;="&amp;MIN(S$6,DATE(2000+VALUE(RIGHT(TRIM($A472),2)),12,31))),SUMIFS('Timesheet Raw'!$P$4:$P$8000,'Timesheet Raw'!$B$4:$B$8000,TRIM($A472),'Timesheet Raw'!$C$4:$C$8000,"*"&amp;$B472&amp;"*",'Timesheet Raw'!$L$4:$L$8000,"&gt;="&amp;S$5,'Timesheet Raw'!$L$4:$L$8000,"&lt;="&amp;S$6)))/'Profit Plan'!$B$5)</f>
        <v/>
      </c>
      <c r="T472" s="122" t="str">
        <f>IF($A472="","",(IF(ISNUMBER(SEARCH("Proposal",$A472)),SUMIFS('Timesheet Raw'!$P$4:$P$8000,'Timesheet Raw'!$A$4:$A$8000,IF(ISNUMBER(SEARCH("Chargable",$A472)),"2-Proposals Chargeable","3-Proposals Regular"),'Timesheet Raw'!$C$4:$C$8000,"*"&amp;$B472&amp;"*",'Timesheet Raw'!$L$4:$L$8000,"&gt;="&amp;MAX(T$5,DATE(2000+VALUE(RIGHT(TRIM($A472),2)),1,1)),'Timesheet Raw'!$L$4:$L$8000,"&lt;="&amp;MIN(T$6,DATE(2000+VALUE(RIGHT(TRIM($A472),2)),12,31))),SUMIFS('Timesheet Raw'!$P$4:$P$8000,'Timesheet Raw'!$B$4:$B$8000,TRIM($A472),'Timesheet Raw'!$C$4:$C$8000,"*"&amp;$B472&amp;"*",'Timesheet Raw'!$L$4:$L$8000,"&gt;="&amp;T$5,'Timesheet Raw'!$L$4:$L$8000,"&lt;="&amp;T$6)))/'Profit Plan'!$B$5)</f>
        <v/>
      </c>
      <c r="U472" s="122" t="str">
        <f>IF($A472="","",(IF(ISNUMBER(SEARCH("Proposal",$A472)),SUMIFS('Timesheet Raw'!$P$4:$P$8000,'Timesheet Raw'!$A$4:$A$8000,IF(ISNUMBER(SEARCH("Chargable",$A472)),"2-Proposals Chargeable","3-Proposals Regular"),'Timesheet Raw'!$C$4:$C$8000,"*"&amp;$B472&amp;"*",'Timesheet Raw'!$L$4:$L$8000,"&gt;="&amp;MAX(U$5,DATE(2000+VALUE(RIGHT(TRIM($A472),2)),1,1)),'Timesheet Raw'!$L$4:$L$8000,"&lt;="&amp;MIN(U$6,DATE(2000+VALUE(RIGHT(TRIM($A472),2)),12,31))),SUMIFS('Timesheet Raw'!$P$4:$P$8000,'Timesheet Raw'!$B$4:$B$8000,TRIM($A472),'Timesheet Raw'!$C$4:$C$8000,"*"&amp;$B472&amp;"*",'Timesheet Raw'!$L$4:$L$8000,"&gt;="&amp;U$5,'Timesheet Raw'!$L$4:$L$8000,"&lt;="&amp;U$6)))/'Profit Plan'!$B$5)</f>
        <v/>
      </c>
      <c r="V472" s="122" t="str">
        <f>IF($A472="","",(IF(ISNUMBER(SEARCH("Proposal",$A472)),SUMIFS('Timesheet Raw'!$P$4:$P$8000,'Timesheet Raw'!$A$4:$A$8000,IF(ISNUMBER(SEARCH("Chargable",$A472)),"2-Proposals Chargeable","3-Proposals Regular"),'Timesheet Raw'!$C$4:$C$8000,"*"&amp;$B472&amp;"*",'Timesheet Raw'!$L$4:$L$8000,"&gt;="&amp;MAX(V$5,DATE(2000+VALUE(RIGHT(TRIM($A472),2)),1,1)),'Timesheet Raw'!$L$4:$L$8000,"&lt;="&amp;MIN(V$6,DATE(2000+VALUE(RIGHT(TRIM($A472),2)),12,31))),SUMIFS('Timesheet Raw'!$P$4:$P$8000,'Timesheet Raw'!$B$4:$B$8000,TRIM($A472),'Timesheet Raw'!$C$4:$C$8000,"*"&amp;$B472&amp;"*",'Timesheet Raw'!$L$4:$L$8000,"&gt;="&amp;V$5,'Timesheet Raw'!$L$4:$L$8000,"&lt;="&amp;V$6)))/'Profit Plan'!$B$5)</f>
        <v/>
      </c>
      <c r="W472" s="122" t="str">
        <f>IF($A472="","",(IF(ISNUMBER(SEARCH("Proposal",$A472)),SUMIFS('Timesheet Raw'!$P$4:$P$8000,'Timesheet Raw'!$A$4:$A$8000,IF(ISNUMBER(SEARCH("Chargable",$A472)),"2-Proposals Chargeable","3-Proposals Regular"),'Timesheet Raw'!$C$4:$C$8000,"*"&amp;$B472&amp;"*",'Timesheet Raw'!$L$4:$L$8000,"&gt;="&amp;MAX(W$5,DATE(2000+VALUE(RIGHT(TRIM($A472),2)),1,1)),'Timesheet Raw'!$L$4:$L$8000,"&lt;="&amp;MIN(W$6,DATE(2000+VALUE(RIGHT(TRIM($A472),2)),12,31))),SUMIFS('Timesheet Raw'!$P$4:$P$8000,'Timesheet Raw'!$B$4:$B$8000,TRIM($A472),'Timesheet Raw'!$C$4:$C$8000,"*"&amp;$B472&amp;"*",'Timesheet Raw'!$L$4:$L$8000,"&gt;="&amp;W$5,'Timesheet Raw'!$L$4:$L$8000,"&lt;="&amp;W$6)))/'Profit Plan'!$B$5)</f>
        <v/>
      </c>
      <c r="X472" s="122" t="str">
        <f>IF($A472="","",(IF(ISNUMBER(SEARCH("Proposal",$A472)),SUMIFS('Timesheet Raw'!$P$4:$P$8000,'Timesheet Raw'!$A$4:$A$8000,IF(ISNUMBER(SEARCH("Chargable",$A472)),"2-Proposals Chargeable","3-Proposals Regular"),'Timesheet Raw'!$C$4:$C$8000,"*"&amp;$B472&amp;"*",'Timesheet Raw'!$L$4:$L$8000,"&gt;="&amp;MAX(X$5,DATE(2000+VALUE(RIGHT(TRIM($A472),2)),1,1)),'Timesheet Raw'!$L$4:$L$8000,"&lt;="&amp;MIN(X$6,DATE(2000+VALUE(RIGHT(TRIM($A472),2)),12,31))),SUMIFS('Timesheet Raw'!$P$4:$P$8000,'Timesheet Raw'!$B$4:$B$8000,TRIM($A472),'Timesheet Raw'!$C$4:$C$8000,"*"&amp;$B472&amp;"*",'Timesheet Raw'!$L$4:$L$8000,"&gt;="&amp;X$5,'Timesheet Raw'!$L$4:$L$8000,"&lt;="&amp;X$6)))/'Profit Plan'!$B$5)</f>
        <v/>
      </c>
      <c r="Y472" s="118">
        <f t="shared" si="103"/>
        <v>0</v>
      </c>
    </row>
    <row r="473" spans="1:25" x14ac:dyDescent="0.3">
      <c r="A473" s="116" t="str">
        <f>IF(Inputs!$A75="","",Inputs!$A75)</f>
        <v/>
      </c>
      <c r="B473" s="116" t="str">
        <f>IF(Inputs!$A75="","",Inputs!$A$92)</f>
        <v/>
      </c>
      <c r="C473" s="116"/>
      <c r="D473" s="122" t="str">
        <f>IF($A473="","",(IF(ISNUMBER(SEARCH("Proposal",$A473)),SUMIFS('Timesheet Raw'!$P$4:$P$8000,'Timesheet Raw'!$A$4:$A$8000,IF(ISNUMBER(SEARCH("Chargable",$A473)),"2-Proposals Chargeable","3-Proposals Regular"),'Timesheet Raw'!$C$4:$C$8000,"*"&amp;$B473&amp;"*",'Timesheet Raw'!$L$4:$L$8000,"&gt;="&amp;MAX(D$5,DATE(2000+VALUE(RIGHT(TRIM($A473),2)),1,1)),'Timesheet Raw'!$L$4:$L$8000,"&lt;="&amp;MIN(D$6,DATE(2000+VALUE(RIGHT(TRIM($A473),2)),12,31))),SUMIFS('Timesheet Raw'!$P$4:$P$8000,'Timesheet Raw'!$B$4:$B$8000,TRIM($A473),'Timesheet Raw'!$C$4:$C$8000,"*"&amp;$B473&amp;"*",'Timesheet Raw'!$L$4:$L$8000,"&gt;="&amp;D$5,'Timesheet Raw'!$L$4:$L$8000,"&lt;="&amp;D$6)))/'Profit Plan'!$B$5)</f>
        <v/>
      </c>
      <c r="E473" s="122" t="str">
        <f>IF($A473="","",(IF(ISNUMBER(SEARCH("Proposal",$A473)),SUMIFS('Timesheet Raw'!$P$4:$P$8000,'Timesheet Raw'!$A$4:$A$8000,IF(ISNUMBER(SEARCH("Chargable",$A473)),"2-Proposals Chargeable","3-Proposals Regular"),'Timesheet Raw'!$C$4:$C$8000,"*"&amp;$B473&amp;"*",'Timesheet Raw'!$L$4:$L$8000,"&gt;="&amp;MAX(E$5,DATE(2000+VALUE(RIGHT(TRIM($A473),2)),1,1)),'Timesheet Raw'!$L$4:$L$8000,"&lt;="&amp;MIN(E$6,DATE(2000+VALUE(RIGHT(TRIM($A473),2)),12,31))),SUMIFS('Timesheet Raw'!$P$4:$P$8000,'Timesheet Raw'!$B$4:$B$8000,TRIM($A473),'Timesheet Raw'!$C$4:$C$8000,"*"&amp;$B473&amp;"*",'Timesheet Raw'!$L$4:$L$8000,"&gt;="&amp;E$5,'Timesheet Raw'!$L$4:$L$8000,"&lt;="&amp;E$6)))/'Profit Plan'!$B$5)</f>
        <v/>
      </c>
      <c r="F473" s="122" t="str">
        <f>IF($A473="","",(IF(ISNUMBER(SEARCH("Proposal",$A473)),SUMIFS('Timesheet Raw'!$P$4:$P$8000,'Timesheet Raw'!$A$4:$A$8000,IF(ISNUMBER(SEARCH("Chargable",$A473)),"2-Proposals Chargeable","3-Proposals Regular"),'Timesheet Raw'!$C$4:$C$8000,"*"&amp;$B473&amp;"*",'Timesheet Raw'!$L$4:$L$8000,"&gt;="&amp;MAX(F$5,DATE(2000+VALUE(RIGHT(TRIM($A473),2)),1,1)),'Timesheet Raw'!$L$4:$L$8000,"&lt;="&amp;MIN(F$6,DATE(2000+VALUE(RIGHT(TRIM($A473),2)),12,31))),SUMIFS('Timesheet Raw'!$P$4:$P$8000,'Timesheet Raw'!$B$4:$B$8000,TRIM($A473),'Timesheet Raw'!$C$4:$C$8000,"*"&amp;$B473&amp;"*",'Timesheet Raw'!$L$4:$L$8000,"&gt;="&amp;F$5,'Timesheet Raw'!$L$4:$L$8000,"&lt;="&amp;F$6)))/'Profit Plan'!$B$5)</f>
        <v/>
      </c>
      <c r="G473" s="122" t="str">
        <f>IF($A473="","",(IF(ISNUMBER(SEARCH("Proposal",$A473)),SUMIFS('Timesheet Raw'!$P$4:$P$8000,'Timesheet Raw'!$A$4:$A$8000,IF(ISNUMBER(SEARCH("Chargable",$A473)),"2-Proposals Chargeable","3-Proposals Regular"),'Timesheet Raw'!$C$4:$C$8000,"*"&amp;$B473&amp;"*",'Timesheet Raw'!$L$4:$L$8000,"&gt;="&amp;MAX(G$5,DATE(2000+VALUE(RIGHT(TRIM($A473),2)),1,1)),'Timesheet Raw'!$L$4:$L$8000,"&lt;="&amp;MIN(G$6,DATE(2000+VALUE(RIGHT(TRIM($A473),2)),12,31))),SUMIFS('Timesheet Raw'!$P$4:$P$8000,'Timesheet Raw'!$B$4:$B$8000,TRIM($A473),'Timesheet Raw'!$C$4:$C$8000,"*"&amp;$B473&amp;"*",'Timesheet Raw'!$L$4:$L$8000,"&gt;="&amp;G$5,'Timesheet Raw'!$L$4:$L$8000,"&lt;="&amp;G$6)))/'Profit Plan'!$B$5)</f>
        <v/>
      </c>
      <c r="H473" s="122" t="str">
        <f>IF($A473="","",(IF(ISNUMBER(SEARCH("Proposal",$A473)),SUMIFS('Timesheet Raw'!$P$4:$P$8000,'Timesheet Raw'!$A$4:$A$8000,IF(ISNUMBER(SEARCH("Chargable",$A473)),"2-Proposals Chargeable","3-Proposals Regular"),'Timesheet Raw'!$C$4:$C$8000,"*"&amp;$B473&amp;"*",'Timesheet Raw'!$L$4:$L$8000,"&gt;="&amp;MAX(H$5,DATE(2000+VALUE(RIGHT(TRIM($A473),2)),1,1)),'Timesheet Raw'!$L$4:$L$8000,"&lt;="&amp;MIN(H$6,DATE(2000+VALUE(RIGHT(TRIM($A473),2)),12,31))),SUMIFS('Timesheet Raw'!$P$4:$P$8000,'Timesheet Raw'!$B$4:$B$8000,TRIM($A473),'Timesheet Raw'!$C$4:$C$8000,"*"&amp;$B473&amp;"*",'Timesheet Raw'!$L$4:$L$8000,"&gt;="&amp;H$5,'Timesheet Raw'!$L$4:$L$8000,"&lt;="&amp;H$6)))/'Profit Plan'!$B$5)</f>
        <v/>
      </c>
      <c r="I473" s="122" t="str">
        <f>IF($A473="","",(IF(ISNUMBER(SEARCH("Proposal",$A473)),SUMIFS('Timesheet Raw'!$P$4:$P$8000,'Timesheet Raw'!$A$4:$A$8000,IF(ISNUMBER(SEARCH("Chargable",$A473)),"2-Proposals Chargeable","3-Proposals Regular"),'Timesheet Raw'!$C$4:$C$8000,"*"&amp;$B473&amp;"*",'Timesheet Raw'!$L$4:$L$8000,"&gt;="&amp;MAX(I$5,DATE(2000+VALUE(RIGHT(TRIM($A473),2)),1,1)),'Timesheet Raw'!$L$4:$L$8000,"&lt;="&amp;MIN(I$6,DATE(2000+VALUE(RIGHT(TRIM($A473),2)),12,31))),SUMIFS('Timesheet Raw'!$P$4:$P$8000,'Timesheet Raw'!$B$4:$B$8000,TRIM($A473),'Timesheet Raw'!$C$4:$C$8000,"*"&amp;$B473&amp;"*",'Timesheet Raw'!$L$4:$L$8000,"&gt;="&amp;I$5,'Timesheet Raw'!$L$4:$L$8000,"&lt;="&amp;I$6)))/'Profit Plan'!$B$5)</f>
        <v/>
      </c>
      <c r="J473" s="122" t="str">
        <f>IF($A473="","",(IF(ISNUMBER(SEARCH("Proposal",$A473)),SUMIFS('Timesheet Raw'!$P$4:$P$8000,'Timesheet Raw'!$A$4:$A$8000,IF(ISNUMBER(SEARCH("Chargable",$A473)),"2-Proposals Chargeable","3-Proposals Regular"),'Timesheet Raw'!$C$4:$C$8000,"*"&amp;$B473&amp;"*",'Timesheet Raw'!$L$4:$L$8000,"&gt;="&amp;MAX(J$5,DATE(2000+VALUE(RIGHT(TRIM($A473),2)),1,1)),'Timesheet Raw'!$L$4:$L$8000,"&lt;="&amp;MIN(J$6,DATE(2000+VALUE(RIGHT(TRIM($A473),2)),12,31))),SUMIFS('Timesheet Raw'!$P$4:$P$8000,'Timesheet Raw'!$B$4:$B$8000,TRIM($A473),'Timesheet Raw'!$C$4:$C$8000,"*"&amp;$B473&amp;"*",'Timesheet Raw'!$L$4:$L$8000,"&gt;="&amp;J$5,'Timesheet Raw'!$L$4:$L$8000,"&lt;="&amp;J$6)))/'Profit Plan'!$B$5)</f>
        <v/>
      </c>
      <c r="K473" s="122" t="str">
        <f>IF($A473="","",(IF(ISNUMBER(SEARCH("Proposal",$A473)),SUMIFS('Timesheet Raw'!$P$4:$P$8000,'Timesheet Raw'!$A$4:$A$8000,IF(ISNUMBER(SEARCH("Chargable",$A473)),"2-Proposals Chargeable","3-Proposals Regular"),'Timesheet Raw'!$C$4:$C$8000,"*"&amp;$B473&amp;"*",'Timesheet Raw'!$L$4:$L$8000,"&gt;="&amp;MAX(K$5,DATE(2000+VALUE(RIGHT(TRIM($A473),2)),1,1)),'Timesheet Raw'!$L$4:$L$8000,"&lt;="&amp;MIN(K$6,DATE(2000+VALUE(RIGHT(TRIM($A473),2)),12,31))),SUMIFS('Timesheet Raw'!$P$4:$P$8000,'Timesheet Raw'!$B$4:$B$8000,TRIM($A473),'Timesheet Raw'!$C$4:$C$8000,"*"&amp;$B473&amp;"*",'Timesheet Raw'!$L$4:$L$8000,"&gt;="&amp;K$5,'Timesheet Raw'!$L$4:$L$8000,"&lt;="&amp;K$6)))/'Profit Plan'!$B$5)</f>
        <v/>
      </c>
      <c r="L473" s="122" t="str">
        <f>IF($A473="","",(IF(ISNUMBER(SEARCH("Proposal",$A473)),SUMIFS('Timesheet Raw'!$P$4:$P$8000,'Timesheet Raw'!$A$4:$A$8000,IF(ISNUMBER(SEARCH("Chargable",$A473)),"2-Proposals Chargeable","3-Proposals Regular"),'Timesheet Raw'!$C$4:$C$8000,"*"&amp;$B473&amp;"*",'Timesheet Raw'!$L$4:$L$8000,"&gt;="&amp;MAX(L$5,DATE(2000+VALUE(RIGHT(TRIM($A473),2)),1,1)),'Timesheet Raw'!$L$4:$L$8000,"&lt;="&amp;MIN(L$6,DATE(2000+VALUE(RIGHT(TRIM($A473),2)),12,31))),SUMIFS('Timesheet Raw'!$P$4:$P$8000,'Timesheet Raw'!$B$4:$B$8000,TRIM($A473),'Timesheet Raw'!$C$4:$C$8000,"*"&amp;$B473&amp;"*",'Timesheet Raw'!$L$4:$L$8000,"&gt;="&amp;L$5,'Timesheet Raw'!$L$4:$L$8000,"&lt;="&amp;L$6)))/'Profit Plan'!$B$5)</f>
        <v/>
      </c>
      <c r="M473" s="122" t="str">
        <f>IF($A473="","",(IF(ISNUMBER(SEARCH("Proposal",$A473)),SUMIFS('Timesheet Raw'!$P$4:$P$8000,'Timesheet Raw'!$A$4:$A$8000,IF(ISNUMBER(SEARCH("Chargable",$A473)),"2-Proposals Chargeable","3-Proposals Regular"),'Timesheet Raw'!$C$4:$C$8000,"*"&amp;$B473&amp;"*",'Timesheet Raw'!$L$4:$L$8000,"&gt;="&amp;MAX(M$5,DATE(2000+VALUE(RIGHT(TRIM($A473),2)),1,1)),'Timesheet Raw'!$L$4:$L$8000,"&lt;="&amp;MIN(M$6,DATE(2000+VALUE(RIGHT(TRIM($A473),2)),12,31))),SUMIFS('Timesheet Raw'!$P$4:$P$8000,'Timesheet Raw'!$B$4:$B$8000,TRIM($A473),'Timesheet Raw'!$C$4:$C$8000,"*"&amp;$B473&amp;"*",'Timesheet Raw'!$L$4:$L$8000,"&gt;="&amp;M$5,'Timesheet Raw'!$L$4:$L$8000,"&lt;="&amp;M$6)))/'Profit Plan'!$B$5)</f>
        <v/>
      </c>
      <c r="N473" s="122" t="str">
        <f>IF($A473="","",(IF(ISNUMBER(SEARCH("Proposal",$A473)),SUMIFS('Timesheet Raw'!$P$4:$P$8000,'Timesheet Raw'!$A$4:$A$8000,IF(ISNUMBER(SEARCH("Chargable",$A473)),"2-Proposals Chargeable","3-Proposals Regular"),'Timesheet Raw'!$C$4:$C$8000,"*"&amp;$B473&amp;"*",'Timesheet Raw'!$L$4:$L$8000,"&gt;="&amp;MAX(N$5,DATE(2000+VALUE(RIGHT(TRIM($A473),2)),1,1)),'Timesheet Raw'!$L$4:$L$8000,"&lt;="&amp;MIN(N$6,DATE(2000+VALUE(RIGHT(TRIM($A473),2)),12,31))),SUMIFS('Timesheet Raw'!$P$4:$P$8000,'Timesheet Raw'!$B$4:$B$8000,TRIM($A473),'Timesheet Raw'!$C$4:$C$8000,"*"&amp;$B473&amp;"*",'Timesheet Raw'!$L$4:$L$8000,"&gt;="&amp;N$5,'Timesheet Raw'!$L$4:$L$8000,"&lt;="&amp;N$6)))/'Profit Plan'!$B$5)</f>
        <v/>
      </c>
      <c r="O473" s="122" t="str">
        <f>IF($A473="","",(IF(ISNUMBER(SEARCH("Proposal",$A473)),SUMIFS('Timesheet Raw'!$P$4:$P$8000,'Timesheet Raw'!$A$4:$A$8000,IF(ISNUMBER(SEARCH("Chargable",$A473)),"2-Proposals Chargeable","3-Proposals Regular"),'Timesheet Raw'!$C$4:$C$8000,"*"&amp;$B473&amp;"*",'Timesheet Raw'!$L$4:$L$8000,"&gt;="&amp;MAX(O$5,DATE(2000+VALUE(RIGHT(TRIM($A473),2)),1,1)),'Timesheet Raw'!$L$4:$L$8000,"&lt;="&amp;MIN(O$6,DATE(2000+VALUE(RIGHT(TRIM($A473),2)),12,31))),SUMIFS('Timesheet Raw'!$P$4:$P$8000,'Timesheet Raw'!$B$4:$B$8000,TRIM($A473),'Timesheet Raw'!$C$4:$C$8000,"*"&amp;$B473&amp;"*",'Timesheet Raw'!$L$4:$L$8000,"&gt;="&amp;O$5,'Timesheet Raw'!$L$4:$L$8000,"&lt;="&amp;O$6)))/'Profit Plan'!$B$5)</f>
        <v/>
      </c>
      <c r="P473" s="122" t="str">
        <f>IF($A473="","",(IF(ISNUMBER(SEARCH("Proposal",$A473)),SUMIFS('Timesheet Raw'!$P$4:$P$8000,'Timesheet Raw'!$A$4:$A$8000,IF(ISNUMBER(SEARCH("Chargable",$A473)),"2-Proposals Chargeable","3-Proposals Regular"),'Timesheet Raw'!$C$4:$C$8000,"*"&amp;$B473&amp;"*",'Timesheet Raw'!$L$4:$L$8000,"&gt;="&amp;MAX(P$5,DATE(2000+VALUE(RIGHT(TRIM($A473),2)),1,1)),'Timesheet Raw'!$L$4:$L$8000,"&lt;="&amp;MIN(P$6,DATE(2000+VALUE(RIGHT(TRIM($A473),2)),12,31))),SUMIFS('Timesheet Raw'!$P$4:$P$8000,'Timesheet Raw'!$B$4:$B$8000,TRIM($A473),'Timesheet Raw'!$C$4:$C$8000,"*"&amp;$B473&amp;"*",'Timesheet Raw'!$L$4:$L$8000,"&gt;="&amp;P$5,'Timesheet Raw'!$L$4:$L$8000,"&lt;="&amp;P$6)))/'Profit Plan'!$B$5)</f>
        <v/>
      </c>
      <c r="Q473" s="122" t="str">
        <f>IF($A473="","",(IF(ISNUMBER(SEARCH("Proposal",$A473)),SUMIFS('Timesheet Raw'!$P$4:$P$8000,'Timesheet Raw'!$A$4:$A$8000,IF(ISNUMBER(SEARCH("Chargable",$A473)),"2-Proposals Chargeable","3-Proposals Regular"),'Timesheet Raw'!$C$4:$C$8000,"*"&amp;$B473&amp;"*",'Timesheet Raw'!$L$4:$L$8000,"&gt;="&amp;MAX(Q$5,DATE(2000+VALUE(RIGHT(TRIM($A473),2)),1,1)),'Timesheet Raw'!$L$4:$L$8000,"&lt;="&amp;MIN(Q$6,DATE(2000+VALUE(RIGHT(TRIM($A473),2)),12,31))),SUMIFS('Timesheet Raw'!$P$4:$P$8000,'Timesheet Raw'!$B$4:$B$8000,TRIM($A473),'Timesheet Raw'!$C$4:$C$8000,"*"&amp;$B473&amp;"*",'Timesheet Raw'!$L$4:$L$8000,"&gt;="&amp;Q$5,'Timesheet Raw'!$L$4:$L$8000,"&lt;="&amp;Q$6)))/'Profit Plan'!$B$5)</f>
        <v/>
      </c>
      <c r="R473" s="122" t="str">
        <f>IF($A473="","",(IF(ISNUMBER(SEARCH("Proposal",$A473)),SUMIFS('Timesheet Raw'!$P$4:$P$8000,'Timesheet Raw'!$A$4:$A$8000,IF(ISNUMBER(SEARCH("Chargable",$A473)),"2-Proposals Chargeable","3-Proposals Regular"),'Timesheet Raw'!$C$4:$C$8000,"*"&amp;$B473&amp;"*",'Timesheet Raw'!$L$4:$L$8000,"&gt;="&amp;MAX(R$5,DATE(2000+VALUE(RIGHT(TRIM($A473),2)),1,1)),'Timesheet Raw'!$L$4:$L$8000,"&lt;="&amp;MIN(R$6,DATE(2000+VALUE(RIGHT(TRIM($A473),2)),12,31))),SUMIFS('Timesheet Raw'!$P$4:$P$8000,'Timesheet Raw'!$B$4:$B$8000,TRIM($A473),'Timesheet Raw'!$C$4:$C$8000,"*"&amp;$B473&amp;"*",'Timesheet Raw'!$L$4:$L$8000,"&gt;="&amp;R$5,'Timesheet Raw'!$L$4:$L$8000,"&lt;="&amp;R$6)))/'Profit Plan'!$B$5)</f>
        <v/>
      </c>
      <c r="S473" s="122" t="str">
        <f>IF($A473="","",(IF(ISNUMBER(SEARCH("Proposal",$A473)),SUMIFS('Timesheet Raw'!$P$4:$P$8000,'Timesheet Raw'!$A$4:$A$8000,IF(ISNUMBER(SEARCH("Chargable",$A473)),"2-Proposals Chargeable","3-Proposals Regular"),'Timesheet Raw'!$C$4:$C$8000,"*"&amp;$B473&amp;"*",'Timesheet Raw'!$L$4:$L$8000,"&gt;="&amp;MAX(S$5,DATE(2000+VALUE(RIGHT(TRIM($A473),2)),1,1)),'Timesheet Raw'!$L$4:$L$8000,"&lt;="&amp;MIN(S$6,DATE(2000+VALUE(RIGHT(TRIM($A473),2)),12,31))),SUMIFS('Timesheet Raw'!$P$4:$P$8000,'Timesheet Raw'!$B$4:$B$8000,TRIM($A473),'Timesheet Raw'!$C$4:$C$8000,"*"&amp;$B473&amp;"*",'Timesheet Raw'!$L$4:$L$8000,"&gt;="&amp;S$5,'Timesheet Raw'!$L$4:$L$8000,"&lt;="&amp;S$6)))/'Profit Plan'!$B$5)</f>
        <v/>
      </c>
      <c r="T473" s="122" t="str">
        <f>IF($A473="","",(IF(ISNUMBER(SEARCH("Proposal",$A473)),SUMIFS('Timesheet Raw'!$P$4:$P$8000,'Timesheet Raw'!$A$4:$A$8000,IF(ISNUMBER(SEARCH("Chargable",$A473)),"2-Proposals Chargeable","3-Proposals Regular"),'Timesheet Raw'!$C$4:$C$8000,"*"&amp;$B473&amp;"*",'Timesheet Raw'!$L$4:$L$8000,"&gt;="&amp;MAX(T$5,DATE(2000+VALUE(RIGHT(TRIM($A473),2)),1,1)),'Timesheet Raw'!$L$4:$L$8000,"&lt;="&amp;MIN(T$6,DATE(2000+VALUE(RIGHT(TRIM($A473),2)),12,31))),SUMIFS('Timesheet Raw'!$P$4:$P$8000,'Timesheet Raw'!$B$4:$B$8000,TRIM($A473),'Timesheet Raw'!$C$4:$C$8000,"*"&amp;$B473&amp;"*",'Timesheet Raw'!$L$4:$L$8000,"&gt;="&amp;T$5,'Timesheet Raw'!$L$4:$L$8000,"&lt;="&amp;T$6)))/'Profit Plan'!$B$5)</f>
        <v/>
      </c>
      <c r="U473" s="122" t="str">
        <f>IF($A473="","",(IF(ISNUMBER(SEARCH("Proposal",$A473)),SUMIFS('Timesheet Raw'!$P$4:$P$8000,'Timesheet Raw'!$A$4:$A$8000,IF(ISNUMBER(SEARCH("Chargable",$A473)),"2-Proposals Chargeable","3-Proposals Regular"),'Timesheet Raw'!$C$4:$C$8000,"*"&amp;$B473&amp;"*",'Timesheet Raw'!$L$4:$L$8000,"&gt;="&amp;MAX(U$5,DATE(2000+VALUE(RIGHT(TRIM($A473),2)),1,1)),'Timesheet Raw'!$L$4:$L$8000,"&lt;="&amp;MIN(U$6,DATE(2000+VALUE(RIGHT(TRIM($A473),2)),12,31))),SUMIFS('Timesheet Raw'!$P$4:$P$8000,'Timesheet Raw'!$B$4:$B$8000,TRIM($A473),'Timesheet Raw'!$C$4:$C$8000,"*"&amp;$B473&amp;"*",'Timesheet Raw'!$L$4:$L$8000,"&gt;="&amp;U$5,'Timesheet Raw'!$L$4:$L$8000,"&lt;="&amp;U$6)))/'Profit Plan'!$B$5)</f>
        <v/>
      </c>
      <c r="V473" s="122" t="str">
        <f>IF($A473="","",(IF(ISNUMBER(SEARCH("Proposal",$A473)),SUMIFS('Timesheet Raw'!$P$4:$P$8000,'Timesheet Raw'!$A$4:$A$8000,IF(ISNUMBER(SEARCH("Chargable",$A473)),"2-Proposals Chargeable","3-Proposals Regular"),'Timesheet Raw'!$C$4:$C$8000,"*"&amp;$B473&amp;"*",'Timesheet Raw'!$L$4:$L$8000,"&gt;="&amp;MAX(V$5,DATE(2000+VALUE(RIGHT(TRIM($A473),2)),1,1)),'Timesheet Raw'!$L$4:$L$8000,"&lt;="&amp;MIN(V$6,DATE(2000+VALUE(RIGHT(TRIM($A473),2)),12,31))),SUMIFS('Timesheet Raw'!$P$4:$P$8000,'Timesheet Raw'!$B$4:$B$8000,TRIM($A473),'Timesheet Raw'!$C$4:$C$8000,"*"&amp;$B473&amp;"*",'Timesheet Raw'!$L$4:$L$8000,"&gt;="&amp;V$5,'Timesheet Raw'!$L$4:$L$8000,"&lt;="&amp;V$6)))/'Profit Plan'!$B$5)</f>
        <v/>
      </c>
      <c r="W473" s="122" t="str">
        <f>IF($A473="","",(IF(ISNUMBER(SEARCH("Proposal",$A473)),SUMIFS('Timesheet Raw'!$P$4:$P$8000,'Timesheet Raw'!$A$4:$A$8000,IF(ISNUMBER(SEARCH("Chargable",$A473)),"2-Proposals Chargeable","3-Proposals Regular"),'Timesheet Raw'!$C$4:$C$8000,"*"&amp;$B473&amp;"*",'Timesheet Raw'!$L$4:$L$8000,"&gt;="&amp;MAX(W$5,DATE(2000+VALUE(RIGHT(TRIM($A473),2)),1,1)),'Timesheet Raw'!$L$4:$L$8000,"&lt;="&amp;MIN(W$6,DATE(2000+VALUE(RIGHT(TRIM($A473),2)),12,31))),SUMIFS('Timesheet Raw'!$P$4:$P$8000,'Timesheet Raw'!$B$4:$B$8000,TRIM($A473),'Timesheet Raw'!$C$4:$C$8000,"*"&amp;$B473&amp;"*",'Timesheet Raw'!$L$4:$L$8000,"&gt;="&amp;W$5,'Timesheet Raw'!$L$4:$L$8000,"&lt;="&amp;W$6)))/'Profit Plan'!$B$5)</f>
        <v/>
      </c>
      <c r="X473" s="122" t="str">
        <f>IF($A473="","",(IF(ISNUMBER(SEARCH("Proposal",$A473)),SUMIFS('Timesheet Raw'!$P$4:$P$8000,'Timesheet Raw'!$A$4:$A$8000,IF(ISNUMBER(SEARCH("Chargable",$A473)),"2-Proposals Chargeable","3-Proposals Regular"),'Timesheet Raw'!$C$4:$C$8000,"*"&amp;$B473&amp;"*",'Timesheet Raw'!$L$4:$L$8000,"&gt;="&amp;MAX(X$5,DATE(2000+VALUE(RIGHT(TRIM($A473),2)),1,1)),'Timesheet Raw'!$L$4:$L$8000,"&lt;="&amp;MIN(X$6,DATE(2000+VALUE(RIGHT(TRIM($A473),2)),12,31))),SUMIFS('Timesheet Raw'!$P$4:$P$8000,'Timesheet Raw'!$B$4:$B$8000,TRIM($A473),'Timesheet Raw'!$C$4:$C$8000,"*"&amp;$B473&amp;"*",'Timesheet Raw'!$L$4:$L$8000,"&gt;="&amp;X$5,'Timesheet Raw'!$L$4:$L$8000,"&lt;="&amp;X$6)))/'Profit Plan'!$B$5)</f>
        <v/>
      </c>
      <c r="Y473" s="118">
        <f t="shared" si="103"/>
        <v>0</v>
      </c>
    </row>
    <row r="474" spans="1:25" x14ac:dyDescent="0.3">
      <c r="A474" s="116" t="str">
        <f>IF(Inputs!$A75="","",Inputs!$A75)</f>
        <v/>
      </c>
      <c r="B474" s="116" t="str">
        <f>IF(Inputs!$A75="","",Inputs!$A$93)</f>
        <v/>
      </c>
      <c r="C474" s="116"/>
      <c r="D474" s="122" t="str">
        <f>IF($A474="","",(IF(ISNUMBER(SEARCH("Proposal",$A474)),SUMIFS('Timesheet Raw'!$P$4:$P$8000,'Timesheet Raw'!$A$4:$A$8000,IF(ISNUMBER(SEARCH("Chargable",$A474)),"2-Proposals Chargeable","3-Proposals Regular"),'Timesheet Raw'!$C$4:$C$8000,"*"&amp;$B474&amp;"*",'Timesheet Raw'!$L$4:$L$8000,"&gt;="&amp;MAX(D$5,DATE(2000+VALUE(RIGHT(TRIM($A474),2)),1,1)),'Timesheet Raw'!$L$4:$L$8000,"&lt;="&amp;MIN(D$6,DATE(2000+VALUE(RIGHT(TRIM($A474),2)),12,31))),SUMIFS('Timesheet Raw'!$P$4:$P$8000,'Timesheet Raw'!$B$4:$B$8000,TRIM($A474),'Timesheet Raw'!$C$4:$C$8000,"*"&amp;$B474&amp;"*",'Timesheet Raw'!$L$4:$L$8000,"&gt;="&amp;D$5,'Timesheet Raw'!$L$4:$L$8000,"&lt;="&amp;D$6)))/'Profit Plan'!$B$5)</f>
        <v/>
      </c>
      <c r="E474" s="122" t="str">
        <f>IF($A474="","",(IF(ISNUMBER(SEARCH("Proposal",$A474)),SUMIFS('Timesheet Raw'!$P$4:$P$8000,'Timesheet Raw'!$A$4:$A$8000,IF(ISNUMBER(SEARCH("Chargable",$A474)),"2-Proposals Chargeable","3-Proposals Regular"),'Timesheet Raw'!$C$4:$C$8000,"*"&amp;$B474&amp;"*",'Timesheet Raw'!$L$4:$L$8000,"&gt;="&amp;MAX(E$5,DATE(2000+VALUE(RIGHT(TRIM($A474),2)),1,1)),'Timesheet Raw'!$L$4:$L$8000,"&lt;="&amp;MIN(E$6,DATE(2000+VALUE(RIGHT(TRIM($A474),2)),12,31))),SUMIFS('Timesheet Raw'!$P$4:$P$8000,'Timesheet Raw'!$B$4:$B$8000,TRIM($A474),'Timesheet Raw'!$C$4:$C$8000,"*"&amp;$B474&amp;"*",'Timesheet Raw'!$L$4:$L$8000,"&gt;="&amp;E$5,'Timesheet Raw'!$L$4:$L$8000,"&lt;="&amp;E$6)))/'Profit Plan'!$B$5)</f>
        <v/>
      </c>
      <c r="F474" s="122" t="str">
        <f>IF($A474="","",(IF(ISNUMBER(SEARCH("Proposal",$A474)),SUMIFS('Timesheet Raw'!$P$4:$P$8000,'Timesheet Raw'!$A$4:$A$8000,IF(ISNUMBER(SEARCH("Chargable",$A474)),"2-Proposals Chargeable","3-Proposals Regular"),'Timesheet Raw'!$C$4:$C$8000,"*"&amp;$B474&amp;"*",'Timesheet Raw'!$L$4:$L$8000,"&gt;="&amp;MAX(F$5,DATE(2000+VALUE(RIGHT(TRIM($A474),2)),1,1)),'Timesheet Raw'!$L$4:$L$8000,"&lt;="&amp;MIN(F$6,DATE(2000+VALUE(RIGHT(TRIM($A474),2)),12,31))),SUMIFS('Timesheet Raw'!$P$4:$P$8000,'Timesheet Raw'!$B$4:$B$8000,TRIM($A474),'Timesheet Raw'!$C$4:$C$8000,"*"&amp;$B474&amp;"*",'Timesheet Raw'!$L$4:$L$8000,"&gt;="&amp;F$5,'Timesheet Raw'!$L$4:$L$8000,"&lt;="&amp;F$6)))/'Profit Plan'!$B$5)</f>
        <v/>
      </c>
      <c r="G474" s="122" t="str">
        <f>IF($A474="","",(IF(ISNUMBER(SEARCH("Proposal",$A474)),SUMIFS('Timesheet Raw'!$P$4:$P$8000,'Timesheet Raw'!$A$4:$A$8000,IF(ISNUMBER(SEARCH("Chargable",$A474)),"2-Proposals Chargeable","3-Proposals Regular"),'Timesheet Raw'!$C$4:$C$8000,"*"&amp;$B474&amp;"*",'Timesheet Raw'!$L$4:$L$8000,"&gt;="&amp;MAX(G$5,DATE(2000+VALUE(RIGHT(TRIM($A474),2)),1,1)),'Timesheet Raw'!$L$4:$L$8000,"&lt;="&amp;MIN(G$6,DATE(2000+VALUE(RIGHT(TRIM($A474),2)),12,31))),SUMIFS('Timesheet Raw'!$P$4:$P$8000,'Timesheet Raw'!$B$4:$B$8000,TRIM($A474),'Timesheet Raw'!$C$4:$C$8000,"*"&amp;$B474&amp;"*",'Timesheet Raw'!$L$4:$L$8000,"&gt;="&amp;G$5,'Timesheet Raw'!$L$4:$L$8000,"&lt;="&amp;G$6)))/'Profit Plan'!$B$5)</f>
        <v/>
      </c>
      <c r="H474" s="122" t="str">
        <f>IF($A474="","",(IF(ISNUMBER(SEARCH("Proposal",$A474)),SUMIFS('Timesheet Raw'!$P$4:$P$8000,'Timesheet Raw'!$A$4:$A$8000,IF(ISNUMBER(SEARCH("Chargable",$A474)),"2-Proposals Chargeable","3-Proposals Regular"),'Timesheet Raw'!$C$4:$C$8000,"*"&amp;$B474&amp;"*",'Timesheet Raw'!$L$4:$L$8000,"&gt;="&amp;MAX(H$5,DATE(2000+VALUE(RIGHT(TRIM($A474),2)),1,1)),'Timesheet Raw'!$L$4:$L$8000,"&lt;="&amp;MIN(H$6,DATE(2000+VALUE(RIGHT(TRIM($A474),2)),12,31))),SUMIFS('Timesheet Raw'!$P$4:$P$8000,'Timesheet Raw'!$B$4:$B$8000,TRIM($A474),'Timesheet Raw'!$C$4:$C$8000,"*"&amp;$B474&amp;"*",'Timesheet Raw'!$L$4:$L$8000,"&gt;="&amp;H$5,'Timesheet Raw'!$L$4:$L$8000,"&lt;="&amp;H$6)))/'Profit Plan'!$B$5)</f>
        <v/>
      </c>
      <c r="I474" s="122" t="str">
        <f>IF($A474="","",(IF(ISNUMBER(SEARCH("Proposal",$A474)),SUMIFS('Timesheet Raw'!$P$4:$P$8000,'Timesheet Raw'!$A$4:$A$8000,IF(ISNUMBER(SEARCH("Chargable",$A474)),"2-Proposals Chargeable","3-Proposals Regular"),'Timesheet Raw'!$C$4:$C$8000,"*"&amp;$B474&amp;"*",'Timesheet Raw'!$L$4:$L$8000,"&gt;="&amp;MAX(I$5,DATE(2000+VALUE(RIGHT(TRIM($A474),2)),1,1)),'Timesheet Raw'!$L$4:$L$8000,"&lt;="&amp;MIN(I$6,DATE(2000+VALUE(RIGHT(TRIM($A474),2)),12,31))),SUMIFS('Timesheet Raw'!$P$4:$P$8000,'Timesheet Raw'!$B$4:$B$8000,TRIM($A474),'Timesheet Raw'!$C$4:$C$8000,"*"&amp;$B474&amp;"*",'Timesheet Raw'!$L$4:$L$8000,"&gt;="&amp;I$5,'Timesheet Raw'!$L$4:$L$8000,"&lt;="&amp;I$6)))/'Profit Plan'!$B$5)</f>
        <v/>
      </c>
      <c r="J474" s="122" t="str">
        <f>IF($A474="","",(IF(ISNUMBER(SEARCH("Proposal",$A474)),SUMIFS('Timesheet Raw'!$P$4:$P$8000,'Timesheet Raw'!$A$4:$A$8000,IF(ISNUMBER(SEARCH("Chargable",$A474)),"2-Proposals Chargeable","3-Proposals Regular"),'Timesheet Raw'!$C$4:$C$8000,"*"&amp;$B474&amp;"*",'Timesheet Raw'!$L$4:$L$8000,"&gt;="&amp;MAX(J$5,DATE(2000+VALUE(RIGHT(TRIM($A474),2)),1,1)),'Timesheet Raw'!$L$4:$L$8000,"&lt;="&amp;MIN(J$6,DATE(2000+VALUE(RIGHT(TRIM($A474),2)),12,31))),SUMIFS('Timesheet Raw'!$P$4:$P$8000,'Timesheet Raw'!$B$4:$B$8000,TRIM($A474),'Timesheet Raw'!$C$4:$C$8000,"*"&amp;$B474&amp;"*",'Timesheet Raw'!$L$4:$L$8000,"&gt;="&amp;J$5,'Timesheet Raw'!$L$4:$L$8000,"&lt;="&amp;J$6)))/'Profit Plan'!$B$5)</f>
        <v/>
      </c>
      <c r="K474" s="122" t="str">
        <f>IF($A474="","",(IF(ISNUMBER(SEARCH("Proposal",$A474)),SUMIFS('Timesheet Raw'!$P$4:$P$8000,'Timesheet Raw'!$A$4:$A$8000,IF(ISNUMBER(SEARCH("Chargable",$A474)),"2-Proposals Chargeable","3-Proposals Regular"),'Timesheet Raw'!$C$4:$C$8000,"*"&amp;$B474&amp;"*",'Timesheet Raw'!$L$4:$L$8000,"&gt;="&amp;MAX(K$5,DATE(2000+VALUE(RIGHT(TRIM($A474),2)),1,1)),'Timesheet Raw'!$L$4:$L$8000,"&lt;="&amp;MIN(K$6,DATE(2000+VALUE(RIGHT(TRIM($A474),2)),12,31))),SUMIFS('Timesheet Raw'!$P$4:$P$8000,'Timesheet Raw'!$B$4:$B$8000,TRIM($A474),'Timesheet Raw'!$C$4:$C$8000,"*"&amp;$B474&amp;"*",'Timesheet Raw'!$L$4:$L$8000,"&gt;="&amp;K$5,'Timesheet Raw'!$L$4:$L$8000,"&lt;="&amp;K$6)))/'Profit Plan'!$B$5)</f>
        <v/>
      </c>
      <c r="L474" s="122" t="str">
        <f>IF($A474="","",(IF(ISNUMBER(SEARCH("Proposal",$A474)),SUMIFS('Timesheet Raw'!$P$4:$P$8000,'Timesheet Raw'!$A$4:$A$8000,IF(ISNUMBER(SEARCH("Chargable",$A474)),"2-Proposals Chargeable","3-Proposals Regular"),'Timesheet Raw'!$C$4:$C$8000,"*"&amp;$B474&amp;"*",'Timesheet Raw'!$L$4:$L$8000,"&gt;="&amp;MAX(L$5,DATE(2000+VALUE(RIGHT(TRIM($A474),2)),1,1)),'Timesheet Raw'!$L$4:$L$8000,"&lt;="&amp;MIN(L$6,DATE(2000+VALUE(RIGHT(TRIM($A474),2)),12,31))),SUMIFS('Timesheet Raw'!$P$4:$P$8000,'Timesheet Raw'!$B$4:$B$8000,TRIM($A474),'Timesheet Raw'!$C$4:$C$8000,"*"&amp;$B474&amp;"*",'Timesheet Raw'!$L$4:$L$8000,"&gt;="&amp;L$5,'Timesheet Raw'!$L$4:$L$8000,"&lt;="&amp;L$6)))/'Profit Plan'!$B$5)</f>
        <v/>
      </c>
      <c r="M474" s="122" t="str">
        <f>IF($A474="","",(IF(ISNUMBER(SEARCH("Proposal",$A474)),SUMIFS('Timesheet Raw'!$P$4:$P$8000,'Timesheet Raw'!$A$4:$A$8000,IF(ISNUMBER(SEARCH("Chargable",$A474)),"2-Proposals Chargeable","3-Proposals Regular"),'Timesheet Raw'!$C$4:$C$8000,"*"&amp;$B474&amp;"*",'Timesheet Raw'!$L$4:$L$8000,"&gt;="&amp;MAX(M$5,DATE(2000+VALUE(RIGHT(TRIM($A474),2)),1,1)),'Timesheet Raw'!$L$4:$L$8000,"&lt;="&amp;MIN(M$6,DATE(2000+VALUE(RIGHT(TRIM($A474),2)),12,31))),SUMIFS('Timesheet Raw'!$P$4:$P$8000,'Timesheet Raw'!$B$4:$B$8000,TRIM($A474),'Timesheet Raw'!$C$4:$C$8000,"*"&amp;$B474&amp;"*",'Timesheet Raw'!$L$4:$L$8000,"&gt;="&amp;M$5,'Timesheet Raw'!$L$4:$L$8000,"&lt;="&amp;M$6)))/'Profit Plan'!$B$5)</f>
        <v/>
      </c>
      <c r="N474" s="122" t="str">
        <f>IF($A474="","",(IF(ISNUMBER(SEARCH("Proposal",$A474)),SUMIFS('Timesheet Raw'!$P$4:$P$8000,'Timesheet Raw'!$A$4:$A$8000,IF(ISNUMBER(SEARCH("Chargable",$A474)),"2-Proposals Chargeable","3-Proposals Regular"),'Timesheet Raw'!$C$4:$C$8000,"*"&amp;$B474&amp;"*",'Timesheet Raw'!$L$4:$L$8000,"&gt;="&amp;MAX(N$5,DATE(2000+VALUE(RIGHT(TRIM($A474),2)),1,1)),'Timesheet Raw'!$L$4:$L$8000,"&lt;="&amp;MIN(N$6,DATE(2000+VALUE(RIGHT(TRIM($A474),2)),12,31))),SUMIFS('Timesheet Raw'!$P$4:$P$8000,'Timesheet Raw'!$B$4:$B$8000,TRIM($A474),'Timesheet Raw'!$C$4:$C$8000,"*"&amp;$B474&amp;"*",'Timesheet Raw'!$L$4:$L$8000,"&gt;="&amp;N$5,'Timesheet Raw'!$L$4:$L$8000,"&lt;="&amp;N$6)))/'Profit Plan'!$B$5)</f>
        <v/>
      </c>
      <c r="O474" s="122" t="str">
        <f>IF($A474="","",(IF(ISNUMBER(SEARCH("Proposal",$A474)),SUMIFS('Timesheet Raw'!$P$4:$P$8000,'Timesheet Raw'!$A$4:$A$8000,IF(ISNUMBER(SEARCH("Chargable",$A474)),"2-Proposals Chargeable","3-Proposals Regular"),'Timesheet Raw'!$C$4:$C$8000,"*"&amp;$B474&amp;"*",'Timesheet Raw'!$L$4:$L$8000,"&gt;="&amp;MAX(O$5,DATE(2000+VALUE(RIGHT(TRIM($A474),2)),1,1)),'Timesheet Raw'!$L$4:$L$8000,"&lt;="&amp;MIN(O$6,DATE(2000+VALUE(RIGHT(TRIM($A474),2)),12,31))),SUMIFS('Timesheet Raw'!$P$4:$P$8000,'Timesheet Raw'!$B$4:$B$8000,TRIM($A474),'Timesheet Raw'!$C$4:$C$8000,"*"&amp;$B474&amp;"*",'Timesheet Raw'!$L$4:$L$8000,"&gt;="&amp;O$5,'Timesheet Raw'!$L$4:$L$8000,"&lt;="&amp;O$6)))/'Profit Plan'!$B$5)</f>
        <v/>
      </c>
      <c r="P474" s="122" t="str">
        <f>IF($A474="","",(IF(ISNUMBER(SEARCH("Proposal",$A474)),SUMIFS('Timesheet Raw'!$P$4:$P$8000,'Timesheet Raw'!$A$4:$A$8000,IF(ISNUMBER(SEARCH("Chargable",$A474)),"2-Proposals Chargeable","3-Proposals Regular"),'Timesheet Raw'!$C$4:$C$8000,"*"&amp;$B474&amp;"*",'Timesheet Raw'!$L$4:$L$8000,"&gt;="&amp;MAX(P$5,DATE(2000+VALUE(RIGHT(TRIM($A474),2)),1,1)),'Timesheet Raw'!$L$4:$L$8000,"&lt;="&amp;MIN(P$6,DATE(2000+VALUE(RIGHT(TRIM($A474),2)),12,31))),SUMIFS('Timesheet Raw'!$P$4:$P$8000,'Timesheet Raw'!$B$4:$B$8000,TRIM($A474),'Timesheet Raw'!$C$4:$C$8000,"*"&amp;$B474&amp;"*",'Timesheet Raw'!$L$4:$L$8000,"&gt;="&amp;P$5,'Timesheet Raw'!$L$4:$L$8000,"&lt;="&amp;P$6)))/'Profit Plan'!$B$5)</f>
        <v/>
      </c>
      <c r="Q474" s="122" t="str">
        <f>IF($A474="","",(IF(ISNUMBER(SEARCH("Proposal",$A474)),SUMIFS('Timesheet Raw'!$P$4:$P$8000,'Timesheet Raw'!$A$4:$A$8000,IF(ISNUMBER(SEARCH("Chargable",$A474)),"2-Proposals Chargeable","3-Proposals Regular"),'Timesheet Raw'!$C$4:$C$8000,"*"&amp;$B474&amp;"*",'Timesheet Raw'!$L$4:$L$8000,"&gt;="&amp;MAX(Q$5,DATE(2000+VALUE(RIGHT(TRIM($A474),2)),1,1)),'Timesheet Raw'!$L$4:$L$8000,"&lt;="&amp;MIN(Q$6,DATE(2000+VALUE(RIGHT(TRIM($A474),2)),12,31))),SUMIFS('Timesheet Raw'!$P$4:$P$8000,'Timesheet Raw'!$B$4:$B$8000,TRIM($A474),'Timesheet Raw'!$C$4:$C$8000,"*"&amp;$B474&amp;"*",'Timesheet Raw'!$L$4:$L$8000,"&gt;="&amp;Q$5,'Timesheet Raw'!$L$4:$L$8000,"&lt;="&amp;Q$6)))/'Profit Plan'!$B$5)</f>
        <v/>
      </c>
      <c r="R474" s="122" t="str">
        <f>IF($A474="","",(IF(ISNUMBER(SEARCH("Proposal",$A474)),SUMIFS('Timesheet Raw'!$P$4:$P$8000,'Timesheet Raw'!$A$4:$A$8000,IF(ISNUMBER(SEARCH("Chargable",$A474)),"2-Proposals Chargeable","3-Proposals Regular"),'Timesheet Raw'!$C$4:$C$8000,"*"&amp;$B474&amp;"*",'Timesheet Raw'!$L$4:$L$8000,"&gt;="&amp;MAX(R$5,DATE(2000+VALUE(RIGHT(TRIM($A474),2)),1,1)),'Timesheet Raw'!$L$4:$L$8000,"&lt;="&amp;MIN(R$6,DATE(2000+VALUE(RIGHT(TRIM($A474),2)),12,31))),SUMIFS('Timesheet Raw'!$P$4:$P$8000,'Timesheet Raw'!$B$4:$B$8000,TRIM($A474),'Timesheet Raw'!$C$4:$C$8000,"*"&amp;$B474&amp;"*",'Timesheet Raw'!$L$4:$L$8000,"&gt;="&amp;R$5,'Timesheet Raw'!$L$4:$L$8000,"&lt;="&amp;R$6)))/'Profit Plan'!$B$5)</f>
        <v/>
      </c>
      <c r="S474" s="122" t="str">
        <f>IF($A474="","",(IF(ISNUMBER(SEARCH("Proposal",$A474)),SUMIFS('Timesheet Raw'!$P$4:$P$8000,'Timesheet Raw'!$A$4:$A$8000,IF(ISNUMBER(SEARCH("Chargable",$A474)),"2-Proposals Chargeable","3-Proposals Regular"),'Timesheet Raw'!$C$4:$C$8000,"*"&amp;$B474&amp;"*",'Timesheet Raw'!$L$4:$L$8000,"&gt;="&amp;MAX(S$5,DATE(2000+VALUE(RIGHT(TRIM($A474),2)),1,1)),'Timesheet Raw'!$L$4:$L$8000,"&lt;="&amp;MIN(S$6,DATE(2000+VALUE(RIGHT(TRIM($A474),2)),12,31))),SUMIFS('Timesheet Raw'!$P$4:$P$8000,'Timesheet Raw'!$B$4:$B$8000,TRIM($A474),'Timesheet Raw'!$C$4:$C$8000,"*"&amp;$B474&amp;"*",'Timesheet Raw'!$L$4:$L$8000,"&gt;="&amp;S$5,'Timesheet Raw'!$L$4:$L$8000,"&lt;="&amp;S$6)))/'Profit Plan'!$B$5)</f>
        <v/>
      </c>
      <c r="T474" s="122" t="str">
        <f>IF($A474="","",(IF(ISNUMBER(SEARCH("Proposal",$A474)),SUMIFS('Timesheet Raw'!$P$4:$P$8000,'Timesheet Raw'!$A$4:$A$8000,IF(ISNUMBER(SEARCH("Chargable",$A474)),"2-Proposals Chargeable","3-Proposals Regular"),'Timesheet Raw'!$C$4:$C$8000,"*"&amp;$B474&amp;"*",'Timesheet Raw'!$L$4:$L$8000,"&gt;="&amp;MAX(T$5,DATE(2000+VALUE(RIGHT(TRIM($A474),2)),1,1)),'Timesheet Raw'!$L$4:$L$8000,"&lt;="&amp;MIN(T$6,DATE(2000+VALUE(RIGHT(TRIM($A474),2)),12,31))),SUMIFS('Timesheet Raw'!$P$4:$P$8000,'Timesheet Raw'!$B$4:$B$8000,TRIM($A474),'Timesheet Raw'!$C$4:$C$8000,"*"&amp;$B474&amp;"*",'Timesheet Raw'!$L$4:$L$8000,"&gt;="&amp;T$5,'Timesheet Raw'!$L$4:$L$8000,"&lt;="&amp;T$6)))/'Profit Plan'!$B$5)</f>
        <v/>
      </c>
      <c r="U474" s="122" t="str">
        <f>IF($A474="","",(IF(ISNUMBER(SEARCH("Proposal",$A474)),SUMIFS('Timesheet Raw'!$P$4:$P$8000,'Timesheet Raw'!$A$4:$A$8000,IF(ISNUMBER(SEARCH("Chargable",$A474)),"2-Proposals Chargeable","3-Proposals Regular"),'Timesheet Raw'!$C$4:$C$8000,"*"&amp;$B474&amp;"*",'Timesheet Raw'!$L$4:$L$8000,"&gt;="&amp;MAX(U$5,DATE(2000+VALUE(RIGHT(TRIM($A474),2)),1,1)),'Timesheet Raw'!$L$4:$L$8000,"&lt;="&amp;MIN(U$6,DATE(2000+VALUE(RIGHT(TRIM($A474),2)),12,31))),SUMIFS('Timesheet Raw'!$P$4:$P$8000,'Timesheet Raw'!$B$4:$B$8000,TRIM($A474),'Timesheet Raw'!$C$4:$C$8000,"*"&amp;$B474&amp;"*",'Timesheet Raw'!$L$4:$L$8000,"&gt;="&amp;U$5,'Timesheet Raw'!$L$4:$L$8000,"&lt;="&amp;U$6)))/'Profit Plan'!$B$5)</f>
        <v/>
      </c>
      <c r="V474" s="122" t="str">
        <f>IF($A474="","",(IF(ISNUMBER(SEARCH("Proposal",$A474)),SUMIFS('Timesheet Raw'!$P$4:$P$8000,'Timesheet Raw'!$A$4:$A$8000,IF(ISNUMBER(SEARCH("Chargable",$A474)),"2-Proposals Chargeable","3-Proposals Regular"),'Timesheet Raw'!$C$4:$C$8000,"*"&amp;$B474&amp;"*",'Timesheet Raw'!$L$4:$L$8000,"&gt;="&amp;MAX(V$5,DATE(2000+VALUE(RIGHT(TRIM($A474),2)),1,1)),'Timesheet Raw'!$L$4:$L$8000,"&lt;="&amp;MIN(V$6,DATE(2000+VALUE(RIGHT(TRIM($A474),2)),12,31))),SUMIFS('Timesheet Raw'!$P$4:$P$8000,'Timesheet Raw'!$B$4:$B$8000,TRIM($A474),'Timesheet Raw'!$C$4:$C$8000,"*"&amp;$B474&amp;"*",'Timesheet Raw'!$L$4:$L$8000,"&gt;="&amp;V$5,'Timesheet Raw'!$L$4:$L$8000,"&lt;="&amp;V$6)))/'Profit Plan'!$B$5)</f>
        <v/>
      </c>
      <c r="W474" s="122" t="str">
        <f>IF($A474="","",(IF(ISNUMBER(SEARCH("Proposal",$A474)),SUMIFS('Timesheet Raw'!$P$4:$P$8000,'Timesheet Raw'!$A$4:$A$8000,IF(ISNUMBER(SEARCH("Chargable",$A474)),"2-Proposals Chargeable","3-Proposals Regular"),'Timesheet Raw'!$C$4:$C$8000,"*"&amp;$B474&amp;"*",'Timesheet Raw'!$L$4:$L$8000,"&gt;="&amp;MAX(W$5,DATE(2000+VALUE(RIGHT(TRIM($A474),2)),1,1)),'Timesheet Raw'!$L$4:$L$8000,"&lt;="&amp;MIN(W$6,DATE(2000+VALUE(RIGHT(TRIM($A474),2)),12,31))),SUMIFS('Timesheet Raw'!$P$4:$P$8000,'Timesheet Raw'!$B$4:$B$8000,TRIM($A474),'Timesheet Raw'!$C$4:$C$8000,"*"&amp;$B474&amp;"*",'Timesheet Raw'!$L$4:$L$8000,"&gt;="&amp;W$5,'Timesheet Raw'!$L$4:$L$8000,"&lt;="&amp;W$6)))/'Profit Plan'!$B$5)</f>
        <v/>
      </c>
      <c r="X474" s="122" t="str">
        <f>IF($A474="","",(IF(ISNUMBER(SEARCH("Proposal",$A474)),SUMIFS('Timesheet Raw'!$P$4:$P$8000,'Timesheet Raw'!$A$4:$A$8000,IF(ISNUMBER(SEARCH("Chargable",$A474)),"2-Proposals Chargeable","3-Proposals Regular"),'Timesheet Raw'!$C$4:$C$8000,"*"&amp;$B474&amp;"*",'Timesheet Raw'!$L$4:$L$8000,"&gt;="&amp;MAX(X$5,DATE(2000+VALUE(RIGHT(TRIM($A474),2)),1,1)),'Timesheet Raw'!$L$4:$L$8000,"&lt;="&amp;MIN(X$6,DATE(2000+VALUE(RIGHT(TRIM($A474),2)),12,31))),SUMIFS('Timesheet Raw'!$P$4:$P$8000,'Timesheet Raw'!$B$4:$B$8000,TRIM($A474),'Timesheet Raw'!$C$4:$C$8000,"*"&amp;$B474&amp;"*",'Timesheet Raw'!$L$4:$L$8000,"&gt;="&amp;X$5,'Timesheet Raw'!$L$4:$L$8000,"&lt;="&amp;X$6)))/'Profit Plan'!$B$5)</f>
        <v/>
      </c>
      <c r="Y474" s="118">
        <f t="shared" si="103"/>
        <v>0</v>
      </c>
    </row>
    <row r="475" spans="1:25" x14ac:dyDescent="0.3">
      <c r="A475" s="116" t="str">
        <f>IF(Inputs!$A76="","",Inputs!$A76)</f>
        <v/>
      </c>
      <c r="B475" s="116" t="str">
        <f>IF(Inputs!$A76="","",Inputs!$A$91)</f>
        <v/>
      </c>
      <c r="C475" s="116"/>
      <c r="D475" s="122" t="str">
        <f>IF($A475="","",(IF(ISNUMBER(SEARCH("Proposal",$A475)),SUMIFS('Timesheet Raw'!$P$4:$P$8000,'Timesheet Raw'!$A$4:$A$8000,IF(ISNUMBER(SEARCH("Chargable",$A475)),"2-Proposals Chargeable","3-Proposals Regular"),'Timesheet Raw'!$C$4:$C$8000,"*"&amp;$B475&amp;"*",'Timesheet Raw'!$L$4:$L$8000,"&gt;="&amp;MAX(D$5,DATE(2000+VALUE(RIGHT(TRIM($A475),2)),1,1)),'Timesheet Raw'!$L$4:$L$8000,"&lt;="&amp;MIN(D$6,DATE(2000+VALUE(RIGHT(TRIM($A475),2)),12,31))),SUMIFS('Timesheet Raw'!$P$4:$P$8000,'Timesheet Raw'!$B$4:$B$8000,TRIM($A475),'Timesheet Raw'!$C$4:$C$8000,"*"&amp;$B475&amp;"*",'Timesheet Raw'!$L$4:$L$8000,"&gt;="&amp;D$5,'Timesheet Raw'!$L$4:$L$8000,"&lt;="&amp;D$6)))/'Profit Plan'!$B$5)</f>
        <v/>
      </c>
      <c r="E475" s="122" t="str">
        <f>IF($A475="","",(IF(ISNUMBER(SEARCH("Proposal",$A475)),SUMIFS('Timesheet Raw'!$P$4:$P$8000,'Timesheet Raw'!$A$4:$A$8000,IF(ISNUMBER(SEARCH("Chargable",$A475)),"2-Proposals Chargeable","3-Proposals Regular"),'Timesheet Raw'!$C$4:$C$8000,"*"&amp;$B475&amp;"*",'Timesheet Raw'!$L$4:$L$8000,"&gt;="&amp;MAX(E$5,DATE(2000+VALUE(RIGHT(TRIM($A475),2)),1,1)),'Timesheet Raw'!$L$4:$L$8000,"&lt;="&amp;MIN(E$6,DATE(2000+VALUE(RIGHT(TRIM($A475),2)),12,31))),SUMIFS('Timesheet Raw'!$P$4:$P$8000,'Timesheet Raw'!$B$4:$B$8000,TRIM($A475),'Timesheet Raw'!$C$4:$C$8000,"*"&amp;$B475&amp;"*",'Timesheet Raw'!$L$4:$L$8000,"&gt;="&amp;E$5,'Timesheet Raw'!$L$4:$L$8000,"&lt;="&amp;E$6)))/'Profit Plan'!$B$5)</f>
        <v/>
      </c>
      <c r="F475" s="122" t="str">
        <f>IF($A475="","",(IF(ISNUMBER(SEARCH("Proposal",$A475)),SUMIFS('Timesheet Raw'!$P$4:$P$8000,'Timesheet Raw'!$A$4:$A$8000,IF(ISNUMBER(SEARCH("Chargable",$A475)),"2-Proposals Chargeable","3-Proposals Regular"),'Timesheet Raw'!$C$4:$C$8000,"*"&amp;$B475&amp;"*",'Timesheet Raw'!$L$4:$L$8000,"&gt;="&amp;MAX(F$5,DATE(2000+VALUE(RIGHT(TRIM($A475),2)),1,1)),'Timesheet Raw'!$L$4:$L$8000,"&lt;="&amp;MIN(F$6,DATE(2000+VALUE(RIGHT(TRIM($A475),2)),12,31))),SUMIFS('Timesheet Raw'!$P$4:$P$8000,'Timesheet Raw'!$B$4:$B$8000,TRIM($A475),'Timesheet Raw'!$C$4:$C$8000,"*"&amp;$B475&amp;"*",'Timesheet Raw'!$L$4:$L$8000,"&gt;="&amp;F$5,'Timesheet Raw'!$L$4:$L$8000,"&lt;="&amp;F$6)))/'Profit Plan'!$B$5)</f>
        <v/>
      </c>
      <c r="G475" s="122" t="str">
        <f>IF($A475="","",(IF(ISNUMBER(SEARCH("Proposal",$A475)),SUMIFS('Timesheet Raw'!$P$4:$P$8000,'Timesheet Raw'!$A$4:$A$8000,IF(ISNUMBER(SEARCH("Chargable",$A475)),"2-Proposals Chargeable","3-Proposals Regular"),'Timesheet Raw'!$C$4:$C$8000,"*"&amp;$B475&amp;"*",'Timesheet Raw'!$L$4:$L$8000,"&gt;="&amp;MAX(G$5,DATE(2000+VALUE(RIGHT(TRIM($A475),2)),1,1)),'Timesheet Raw'!$L$4:$L$8000,"&lt;="&amp;MIN(G$6,DATE(2000+VALUE(RIGHT(TRIM($A475),2)),12,31))),SUMIFS('Timesheet Raw'!$P$4:$P$8000,'Timesheet Raw'!$B$4:$B$8000,TRIM($A475),'Timesheet Raw'!$C$4:$C$8000,"*"&amp;$B475&amp;"*",'Timesheet Raw'!$L$4:$L$8000,"&gt;="&amp;G$5,'Timesheet Raw'!$L$4:$L$8000,"&lt;="&amp;G$6)))/'Profit Plan'!$B$5)</f>
        <v/>
      </c>
      <c r="H475" s="122" t="str">
        <f>IF($A475="","",(IF(ISNUMBER(SEARCH("Proposal",$A475)),SUMIFS('Timesheet Raw'!$P$4:$P$8000,'Timesheet Raw'!$A$4:$A$8000,IF(ISNUMBER(SEARCH("Chargable",$A475)),"2-Proposals Chargeable","3-Proposals Regular"),'Timesheet Raw'!$C$4:$C$8000,"*"&amp;$B475&amp;"*",'Timesheet Raw'!$L$4:$L$8000,"&gt;="&amp;MAX(H$5,DATE(2000+VALUE(RIGHT(TRIM($A475),2)),1,1)),'Timesheet Raw'!$L$4:$L$8000,"&lt;="&amp;MIN(H$6,DATE(2000+VALUE(RIGHT(TRIM($A475),2)),12,31))),SUMIFS('Timesheet Raw'!$P$4:$P$8000,'Timesheet Raw'!$B$4:$B$8000,TRIM($A475),'Timesheet Raw'!$C$4:$C$8000,"*"&amp;$B475&amp;"*",'Timesheet Raw'!$L$4:$L$8000,"&gt;="&amp;H$5,'Timesheet Raw'!$L$4:$L$8000,"&lt;="&amp;H$6)))/'Profit Plan'!$B$5)</f>
        <v/>
      </c>
      <c r="I475" s="122" t="str">
        <f>IF($A475="","",(IF(ISNUMBER(SEARCH("Proposal",$A475)),SUMIFS('Timesheet Raw'!$P$4:$P$8000,'Timesheet Raw'!$A$4:$A$8000,IF(ISNUMBER(SEARCH("Chargable",$A475)),"2-Proposals Chargeable","3-Proposals Regular"),'Timesheet Raw'!$C$4:$C$8000,"*"&amp;$B475&amp;"*",'Timesheet Raw'!$L$4:$L$8000,"&gt;="&amp;MAX(I$5,DATE(2000+VALUE(RIGHT(TRIM($A475),2)),1,1)),'Timesheet Raw'!$L$4:$L$8000,"&lt;="&amp;MIN(I$6,DATE(2000+VALUE(RIGHT(TRIM($A475),2)),12,31))),SUMIFS('Timesheet Raw'!$P$4:$P$8000,'Timesheet Raw'!$B$4:$B$8000,TRIM($A475),'Timesheet Raw'!$C$4:$C$8000,"*"&amp;$B475&amp;"*",'Timesheet Raw'!$L$4:$L$8000,"&gt;="&amp;I$5,'Timesheet Raw'!$L$4:$L$8000,"&lt;="&amp;I$6)))/'Profit Plan'!$B$5)</f>
        <v/>
      </c>
      <c r="J475" s="122" t="str">
        <f>IF($A475="","",(IF(ISNUMBER(SEARCH("Proposal",$A475)),SUMIFS('Timesheet Raw'!$P$4:$P$8000,'Timesheet Raw'!$A$4:$A$8000,IF(ISNUMBER(SEARCH("Chargable",$A475)),"2-Proposals Chargeable","3-Proposals Regular"),'Timesheet Raw'!$C$4:$C$8000,"*"&amp;$B475&amp;"*",'Timesheet Raw'!$L$4:$L$8000,"&gt;="&amp;MAX(J$5,DATE(2000+VALUE(RIGHT(TRIM($A475),2)),1,1)),'Timesheet Raw'!$L$4:$L$8000,"&lt;="&amp;MIN(J$6,DATE(2000+VALUE(RIGHT(TRIM($A475),2)),12,31))),SUMIFS('Timesheet Raw'!$P$4:$P$8000,'Timesheet Raw'!$B$4:$B$8000,TRIM($A475),'Timesheet Raw'!$C$4:$C$8000,"*"&amp;$B475&amp;"*",'Timesheet Raw'!$L$4:$L$8000,"&gt;="&amp;J$5,'Timesheet Raw'!$L$4:$L$8000,"&lt;="&amp;J$6)))/'Profit Plan'!$B$5)</f>
        <v/>
      </c>
      <c r="K475" s="122" t="str">
        <f>IF($A475="","",(IF(ISNUMBER(SEARCH("Proposal",$A475)),SUMIFS('Timesheet Raw'!$P$4:$P$8000,'Timesheet Raw'!$A$4:$A$8000,IF(ISNUMBER(SEARCH("Chargable",$A475)),"2-Proposals Chargeable","3-Proposals Regular"),'Timesheet Raw'!$C$4:$C$8000,"*"&amp;$B475&amp;"*",'Timesheet Raw'!$L$4:$L$8000,"&gt;="&amp;MAX(K$5,DATE(2000+VALUE(RIGHT(TRIM($A475),2)),1,1)),'Timesheet Raw'!$L$4:$L$8000,"&lt;="&amp;MIN(K$6,DATE(2000+VALUE(RIGHT(TRIM($A475),2)),12,31))),SUMIFS('Timesheet Raw'!$P$4:$P$8000,'Timesheet Raw'!$B$4:$B$8000,TRIM($A475),'Timesheet Raw'!$C$4:$C$8000,"*"&amp;$B475&amp;"*",'Timesheet Raw'!$L$4:$L$8000,"&gt;="&amp;K$5,'Timesheet Raw'!$L$4:$L$8000,"&lt;="&amp;K$6)))/'Profit Plan'!$B$5)</f>
        <v/>
      </c>
      <c r="L475" s="122" t="str">
        <f>IF($A475="","",(IF(ISNUMBER(SEARCH("Proposal",$A475)),SUMIFS('Timesheet Raw'!$P$4:$P$8000,'Timesheet Raw'!$A$4:$A$8000,IF(ISNUMBER(SEARCH("Chargable",$A475)),"2-Proposals Chargeable","3-Proposals Regular"),'Timesheet Raw'!$C$4:$C$8000,"*"&amp;$B475&amp;"*",'Timesheet Raw'!$L$4:$L$8000,"&gt;="&amp;MAX(L$5,DATE(2000+VALUE(RIGHT(TRIM($A475),2)),1,1)),'Timesheet Raw'!$L$4:$L$8000,"&lt;="&amp;MIN(L$6,DATE(2000+VALUE(RIGHT(TRIM($A475),2)),12,31))),SUMIFS('Timesheet Raw'!$P$4:$P$8000,'Timesheet Raw'!$B$4:$B$8000,TRIM($A475),'Timesheet Raw'!$C$4:$C$8000,"*"&amp;$B475&amp;"*",'Timesheet Raw'!$L$4:$L$8000,"&gt;="&amp;L$5,'Timesheet Raw'!$L$4:$L$8000,"&lt;="&amp;L$6)))/'Profit Plan'!$B$5)</f>
        <v/>
      </c>
      <c r="M475" s="122" t="str">
        <f>IF($A475="","",(IF(ISNUMBER(SEARCH("Proposal",$A475)),SUMIFS('Timesheet Raw'!$P$4:$P$8000,'Timesheet Raw'!$A$4:$A$8000,IF(ISNUMBER(SEARCH("Chargable",$A475)),"2-Proposals Chargeable","3-Proposals Regular"),'Timesheet Raw'!$C$4:$C$8000,"*"&amp;$B475&amp;"*",'Timesheet Raw'!$L$4:$L$8000,"&gt;="&amp;MAX(M$5,DATE(2000+VALUE(RIGHT(TRIM($A475),2)),1,1)),'Timesheet Raw'!$L$4:$L$8000,"&lt;="&amp;MIN(M$6,DATE(2000+VALUE(RIGHT(TRIM($A475),2)),12,31))),SUMIFS('Timesheet Raw'!$P$4:$P$8000,'Timesheet Raw'!$B$4:$B$8000,TRIM($A475),'Timesheet Raw'!$C$4:$C$8000,"*"&amp;$B475&amp;"*",'Timesheet Raw'!$L$4:$L$8000,"&gt;="&amp;M$5,'Timesheet Raw'!$L$4:$L$8000,"&lt;="&amp;M$6)))/'Profit Plan'!$B$5)</f>
        <v/>
      </c>
      <c r="N475" s="122" t="str">
        <f>IF($A475="","",(IF(ISNUMBER(SEARCH("Proposal",$A475)),SUMIFS('Timesheet Raw'!$P$4:$P$8000,'Timesheet Raw'!$A$4:$A$8000,IF(ISNUMBER(SEARCH("Chargable",$A475)),"2-Proposals Chargeable","3-Proposals Regular"),'Timesheet Raw'!$C$4:$C$8000,"*"&amp;$B475&amp;"*",'Timesheet Raw'!$L$4:$L$8000,"&gt;="&amp;MAX(N$5,DATE(2000+VALUE(RIGHT(TRIM($A475),2)),1,1)),'Timesheet Raw'!$L$4:$L$8000,"&lt;="&amp;MIN(N$6,DATE(2000+VALUE(RIGHT(TRIM($A475),2)),12,31))),SUMIFS('Timesheet Raw'!$P$4:$P$8000,'Timesheet Raw'!$B$4:$B$8000,TRIM($A475),'Timesheet Raw'!$C$4:$C$8000,"*"&amp;$B475&amp;"*",'Timesheet Raw'!$L$4:$L$8000,"&gt;="&amp;N$5,'Timesheet Raw'!$L$4:$L$8000,"&lt;="&amp;N$6)))/'Profit Plan'!$B$5)</f>
        <v/>
      </c>
      <c r="O475" s="122" t="str">
        <f>IF($A475="","",(IF(ISNUMBER(SEARCH("Proposal",$A475)),SUMIFS('Timesheet Raw'!$P$4:$P$8000,'Timesheet Raw'!$A$4:$A$8000,IF(ISNUMBER(SEARCH("Chargable",$A475)),"2-Proposals Chargeable","3-Proposals Regular"),'Timesheet Raw'!$C$4:$C$8000,"*"&amp;$B475&amp;"*",'Timesheet Raw'!$L$4:$L$8000,"&gt;="&amp;MAX(O$5,DATE(2000+VALUE(RIGHT(TRIM($A475),2)),1,1)),'Timesheet Raw'!$L$4:$L$8000,"&lt;="&amp;MIN(O$6,DATE(2000+VALUE(RIGHT(TRIM($A475),2)),12,31))),SUMIFS('Timesheet Raw'!$P$4:$P$8000,'Timesheet Raw'!$B$4:$B$8000,TRIM($A475),'Timesheet Raw'!$C$4:$C$8000,"*"&amp;$B475&amp;"*",'Timesheet Raw'!$L$4:$L$8000,"&gt;="&amp;O$5,'Timesheet Raw'!$L$4:$L$8000,"&lt;="&amp;O$6)))/'Profit Plan'!$B$5)</f>
        <v/>
      </c>
      <c r="P475" s="122" t="str">
        <f>IF($A475="","",(IF(ISNUMBER(SEARCH("Proposal",$A475)),SUMIFS('Timesheet Raw'!$P$4:$P$8000,'Timesheet Raw'!$A$4:$A$8000,IF(ISNUMBER(SEARCH("Chargable",$A475)),"2-Proposals Chargeable","3-Proposals Regular"),'Timesheet Raw'!$C$4:$C$8000,"*"&amp;$B475&amp;"*",'Timesheet Raw'!$L$4:$L$8000,"&gt;="&amp;MAX(P$5,DATE(2000+VALUE(RIGHT(TRIM($A475),2)),1,1)),'Timesheet Raw'!$L$4:$L$8000,"&lt;="&amp;MIN(P$6,DATE(2000+VALUE(RIGHT(TRIM($A475),2)),12,31))),SUMIFS('Timesheet Raw'!$P$4:$P$8000,'Timesheet Raw'!$B$4:$B$8000,TRIM($A475),'Timesheet Raw'!$C$4:$C$8000,"*"&amp;$B475&amp;"*",'Timesheet Raw'!$L$4:$L$8000,"&gt;="&amp;P$5,'Timesheet Raw'!$L$4:$L$8000,"&lt;="&amp;P$6)))/'Profit Plan'!$B$5)</f>
        <v/>
      </c>
      <c r="Q475" s="122" t="str">
        <f>IF($A475="","",(IF(ISNUMBER(SEARCH("Proposal",$A475)),SUMIFS('Timesheet Raw'!$P$4:$P$8000,'Timesheet Raw'!$A$4:$A$8000,IF(ISNUMBER(SEARCH("Chargable",$A475)),"2-Proposals Chargeable","3-Proposals Regular"),'Timesheet Raw'!$C$4:$C$8000,"*"&amp;$B475&amp;"*",'Timesheet Raw'!$L$4:$L$8000,"&gt;="&amp;MAX(Q$5,DATE(2000+VALUE(RIGHT(TRIM($A475),2)),1,1)),'Timesheet Raw'!$L$4:$L$8000,"&lt;="&amp;MIN(Q$6,DATE(2000+VALUE(RIGHT(TRIM($A475),2)),12,31))),SUMIFS('Timesheet Raw'!$P$4:$P$8000,'Timesheet Raw'!$B$4:$B$8000,TRIM($A475),'Timesheet Raw'!$C$4:$C$8000,"*"&amp;$B475&amp;"*",'Timesheet Raw'!$L$4:$L$8000,"&gt;="&amp;Q$5,'Timesheet Raw'!$L$4:$L$8000,"&lt;="&amp;Q$6)))/'Profit Plan'!$B$5)</f>
        <v/>
      </c>
      <c r="R475" s="122" t="str">
        <f>IF($A475="","",(IF(ISNUMBER(SEARCH("Proposal",$A475)),SUMIFS('Timesheet Raw'!$P$4:$P$8000,'Timesheet Raw'!$A$4:$A$8000,IF(ISNUMBER(SEARCH("Chargable",$A475)),"2-Proposals Chargeable","3-Proposals Regular"),'Timesheet Raw'!$C$4:$C$8000,"*"&amp;$B475&amp;"*",'Timesheet Raw'!$L$4:$L$8000,"&gt;="&amp;MAX(R$5,DATE(2000+VALUE(RIGHT(TRIM($A475),2)),1,1)),'Timesheet Raw'!$L$4:$L$8000,"&lt;="&amp;MIN(R$6,DATE(2000+VALUE(RIGHT(TRIM($A475),2)),12,31))),SUMIFS('Timesheet Raw'!$P$4:$P$8000,'Timesheet Raw'!$B$4:$B$8000,TRIM($A475),'Timesheet Raw'!$C$4:$C$8000,"*"&amp;$B475&amp;"*",'Timesheet Raw'!$L$4:$L$8000,"&gt;="&amp;R$5,'Timesheet Raw'!$L$4:$L$8000,"&lt;="&amp;R$6)))/'Profit Plan'!$B$5)</f>
        <v/>
      </c>
      <c r="S475" s="122" t="str">
        <f>IF($A475="","",(IF(ISNUMBER(SEARCH("Proposal",$A475)),SUMIFS('Timesheet Raw'!$P$4:$P$8000,'Timesheet Raw'!$A$4:$A$8000,IF(ISNUMBER(SEARCH("Chargable",$A475)),"2-Proposals Chargeable","3-Proposals Regular"),'Timesheet Raw'!$C$4:$C$8000,"*"&amp;$B475&amp;"*",'Timesheet Raw'!$L$4:$L$8000,"&gt;="&amp;MAX(S$5,DATE(2000+VALUE(RIGHT(TRIM($A475),2)),1,1)),'Timesheet Raw'!$L$4:$L$8000,"&lt;="&amp;MIN(S$6,DATE(2000+VALUE(RIGHT(TRIM($A475),2)),12,31))),SUMIFS('Timesheet Raw'!$P$4:$P$8000,'Timesheet Raw'!$B$4:$B$8000,TRIM($A475),'Timesheet Raw'!$C$4:$C$8000,"*"&amp;$B475&amp;"*",'Timesheet Raw'!$L$4:$L$8000,"&gt;="&amp;S$5,'Timesheet Raw'!$L$4:$L$8000,"&lt;="&amp;S$6)))/'Profit Plan'!$B$5)</f>
        <v/>
      </c>
      <c r="T475" s="122" t="str">
        <f>IF($A475="","",(IF(ISNUMBER(SEARCH("Proposal",$A475)),SUMIFS('Timesheet Raw'!$P$4:$P$8000,'Timesheet Raw'!$A$4:$A$8000,IF(ISNUMBER(SEARCH("Chargable",$A475)),"2-Proposals Chargeable","3-Proposals Regular"),'Timesheet Raw'!$C$4:$C$8000,"*"&amp;$B475&amp;"*",'Timesheet Raw'!$L$4:$L$8000,"&gt;="&amp;MAX(T$5,DATE(2000+VALUE(RIGHT(TRIM($A475),2)),1,1)),'Timesheet Raw'!$L$4:$L$8000,"&lt;="&amp;MIN(T$6,DATE(2000+VALUE(RIGHT(TRIM($A475),2)),12,31))),SUMIFS('Timesheet Raw'!$P$4:$P$8000,'Timesheet Raw'!$B$4:$B$8000,TRIM($A475),'Timesheet Raw'!$C$4:$C$8000,"*"&amp;$B475&amp;"*",'Timesheet Raw'!$L$4:$L$8000,"&gt;="&amp;T$5,'Timesheet Raw'!$L$4:$L$8000,"&lt;="&amp;T$6)))/'Profit Plan'!$B$5)</f>
        <v/>
      </c>
      <c r="U475" s="122" t="str">
        <f>IF($A475="","",(IF(ISNUMBER(SEARCH("Proposal",$A475)),SUMIFS('Timesheet Raw'!$P$4:$P$8000,'Timesheet Raw'!$A$4:$A$8000,IF(ISNUMBER(SEARCH("Chargable",$A475)),"2-Proposals Chargeable","3-Proposals Regular"),'Timesheet Raw'!$C$4:$C$8000,"*"&amp;$B475&amp;"*",'Timesheet Raw'!$L$4:$L$8000,"&gt;="&amp;MAX(U$5,DATE(2000+VALUE(RIGHT(TRIM($A475),2)),1,1)),'Timesheet Raw'!$L$4:$L$8000,"&lt;="&amp;MIN(U$6,DATE(2000+VALUE(RIGHT(TRIM($A475),2)),12,31))),SUMIFS('Timesheet Raw'!$P$4:$P$8000,'Timesheet Raw'!$B$4:$B$8000,TRIM($A475),'Timesheet Raw'!$C$4:$C$8000,"*"&amp;$B475&amp;"*",'Timesheet Raw'!$L$4:$L$8000,"&gt;="&amp;U$5,'Timesheet Raw'!$L$4:$L$8000,"&lt;="&amp;U$6)))/'Profit Plan'!$B$5)</f>
        <v/>
      </c>
      <c r="V475" s="122" t="str">
        <f>IF($A475="","",(IF(ISNUMBER(SEARCH("Proposal",$A475)),SUMIFS('Timesheet Raw'!$P$4:$P$8000,'Timesheet Raw'!$A$4:$A$8000,IF(ISNUMBER(SEARCH("Chargable",$A475)),"2-Proposals Chargeable","3-Proposals Regular"),'Timesheet Raw'!$C$4:$C$8000,"*"&amp;$B475&amp;"*",'Timesheet Raw'!$L$4:$L$8000,"&gt;="&amp;MAX(V$5,DATE(2000+VALUE(RIGHT(TRIM($A475),2)),1,1)),'Timesheet Raw'!$L$4:$L$8000,"&lt;="&amp;MIN(V$6,DATE(2000+VALUE(RIGHT(TRIM($A475),2)),12,31))),SUMIFS('Timesheet Raw'!$P$4:$P$8000,'Timesheet Raw'!$B$4:$B$8000,TRIM($A475),'Timesheet Raw'!$C$4:$C$8000,"*"&amp;$B475&amp;"*",'Timesheet Raw'!$L$4:$L$8000,"&gt;="&amp;V$5,'Timesheet Raw'!$L$4:$L$8000,"&lt;="&amp;V$6)))/'Profit Plan'!$B$5)</f>
        <v/>
      </c>
      <c r="W475" s="122" t="str">
        <f>IF($A475="","",(IF(ISNUMBER(SEARCH("Proposal",$A475)),SUMIFS('Timesheet Raw'!$P$4:$P$8000,'Timesheet Raw'!$A$4:$A$8000,IF(ISNUMBER(SEARCH("Chargable",$A475)),"2-Proposals Chargeable","3-Proposals Regular"),'Timesheet Raw'!$C$4:$C$8000,"*"&amp;$B475&amp;"*",'Timesheet Raw'!$L$4:$L$8000,"&gt;="&amp;MAX(W$5,DATE(2000+VALUE(RIGHT(TRIM($A475),2)),1,1)),'Timesheet Raw'!$L$4:$L$8000,"&lt;="&amp;MIN(W$6,DATE(2000+VALUE(RIGHT(TRIM($A475),2)),12,31))),SUMIFS('Timesheet Raw'!$P$4:$P$8000,'Timesheet Raw'!$B$4:$B$8000,TRIM($A475),'Timesheet Raw'!$C$4:$C$8000,"*"&amp;$B475&amp;"*",'Timesheet Raw'!$L$4:$L$8000,"&gt;="&amp;W$5,'Timesheet Raw'!$L$4:$L$8000,"&lt;="&amp;W$6)))/'Profit Plan'!$B$5)</f>
        <v/>
      </c>
      <c r="X475" s="122" t="str">
        <f>IF($A475="","",(IF(ISNUMBER(SEARCH("Proposal",$A475)),SUMIFS('Timesheet Raw'!$P$4:$P$8000,'Timesheet Raw'!$A$4:$A$8000,IF(ISNUMBER(SEARCH("Chargable",$A475)),"2-Proposals Chargeable","3-Proposals Regular"),'Timesheet Raw'!$C$4:$C$8000,"*"&amp;$B475&amp;"*",'Timesheet Raw'!$L$4:$L$8000,"&gt;="&amp;MAX(X$5,DATE(2000+VALUE(RIGHT(TRIM($A475),2)),1,1)),'Timesheet Raw'!$L$4:$L$8000,"&lt;="&amp;MIN(X$6,DATE(2000+VALUE(RIGHT(TRIM($A475),2)),12,31))),SUMIFS('Timesheet Raw'!$P$4:$P$8000,'Timesheet Raw'!$B$4:$B$8000,TRIM($A475),'Timesheet Raw'!$C$4:$C$8000,"*"&amp;$B475&amp;"*",'Timesheet Raw'!$L$4:$L$8000,"&gt;="&amp;X$5,'Timesheet Raw'!$L$4:$L$8000,"&lt;="&amp;X$6)))/'Profit Plan'!$B$5)</f>
        <v/>
      </c>
      <c r="Y475" s="118">
        <f t="shared" si="103"/>
        <v>0</v>
      </c>
    </row>
    <row r="476" spans="1:25" x14ac:dyDescent="0.3">
      <c r="A476" s="116" t="str">
        <f>IF(Inputs!$A76="","",Inputs!$A76)</f>
        <v/>
      </c>
      <c r="B476" s="116" t="str">
        <f>IF(Inputs!$A76="","",Inputs!$A$92)</f>
        <v/>
      </c>
      <c r="C476" s="116"/>
      <c r="D476" s="122" t="str">
        <f>IF($A476="","",(IF(ISNUMBER(SEARCH("Proposal",$A476)),SUMIFS('Timesheet Raw'!$P$4:$P$8000,'Timesheet Raw'!$A$4:$A$8000,IF(ISNUMBER(SEARCH("Chargable",$A476)),"2-Proposals Chargeable","3-Proposals Regular"),'Timesheet Raw'!$C$4:$C$8000,"*"&amp;$B476&amp;"*",'Timesheet Raw'!$L$4:$L$8000,"&gt;="&amp;MAX(D$5,DATE(2000+VALUE(RIGHT(TRIM($A476),2)),1,1)),'Timesheet Raw'!$L$4:$L$8000,"&lt;="&amp;MIN(D$6,DATE(2000+VALUE(RIGHT(TRIM($A476),2)),12,31))),SUMIFS('Timesheet Raw'!$P$4:$P$8000,'Timesheet Raw'!$B$4:$B$8000,TRIM($A476),'Timesheet Raw'!$C$4:$C$8000,"*"&amp;$B476&amp;"*",'Timesheet Raw'!$L$4:$L$8000,"&gt;="&amp;D$5,'Timesheet Raw'!$L$4:$L$8000,"&lt;="&amp;D$6)))/'Profit Plan'!$B$5)</f>
        <v/>
      </c>
      <c r="E476" s="122" t="str">
        <f>IF($A476="","",(IF(ISNUMBER(SEARCH("Proposal",$A476)),SUMIFS('Timesheet Raw'!$P$4:$P$8000,'Timesheet Raw'!$A$4:$A$8000,IF(ISNUMBER(SEARCH("Chargable",$A476)),"2-Proposals Chargeable","3-Proposals Regular"),'Timesheet Raw'!$C$4:$C$8000,"*"&amp;$B476&amp;"*",'Timesheet Raw'!$L$4:$L$8000,"&gt;="&amp;MAX(E$5,DATE(2000+VALUE(RIGHT(TRIM($A476),2)),1,1)),'Timesheet Raw'!$L$4:$L$8000,"&lt;="&amp;MIN(E$6,DATE(2000+VALUE(RIGHT(TRIM($A476),2)),12,31))),SUMIFS('Timesheet Raw'!$P$4:$P$8000,'Timesheet Raw'!$B$4:$B$8000,TRIM($A476),'Timesheet Raw'!$C$4:$C$8000,"*"&amp;$B476&amp;"*",'Timesheet Raw'!$L$4:$L$8000,"&gt;="&amp;E$5,'Timesheet Raw'!$L$4:$L$8000,"&lt;="&amp;E$6)))/'Profit Plan'!$B$5)</f>
        <v/>
      </c>
      <c r="F476" s="122" t="str">
        <f>IF($A476="","",(IF(ISNUMBER(SEARCH("Proposal",$A476)),SUMIFS('Timesheet Raw'!$P$4:$P$8000,'Timesheet Raw'!$A$4:$A$8000,IF(ISNUMBER(SEARCH("Chargable",$A476)),"2-Proposals Chargeable","3-Proposals Regular"),'Timesheet Raw'!$C$4:$C$8000,"*"&amp;$B476&amp;"*",'Timesheet Raw'!$L$4:$L$8000,"&gt;="&amp;MAX(F$5,DATE(2000+VALUE(RIGHT(TRIM($A476),2)),1,1)),'Timesheet Raw'!$L$4:$L$8000,"&lt;="&amp;MIN(F$6,DATE(2000+VALUE(RIGHT(TRIM($A476),2)),12,31))),SUMIFS('Timesheet Raw'!$P$4:$P$8000,'Timesheet Raw'!$B$4:$B$8000,TRIM($A476),'Timesheet Raw'!$C$4:$C$8000,"*"&amp;$B476&amp;"*",'Timesheet Raw'!$L$4:$L$8000,"&gt;="&amp;F$5,'Timesheet Raw'!$L$4:$L$8000,"&lt;="&amp;F$6)))/'Profit Plan'!$B$5)</f>
        <v/>
      </c>
      <c r="G476" s="122" t="str">
        <f>IF($A476="","",(IF(ISNUMBER(SEARCH("Proposal",$A476)),SUMIFS('Timesheet Raw'!$P$4:$P$8000,'Timesheet Raw'!$A$4:$A$8000,IF(ISNUMBER(SEARCH("Chargable",$A476)),"2-Proposals Chargeable","3-Proposals Regular"),'Timesheet Raw'!$C$4:$C$8000,"*"&amp;$B476&amp;"*",'Timesheet Raw'!$L$4:$L$8000,"&gt;="&amp;MAX(G$5,DATE(2000+VALUE(RIGHT(TRIM($A476),2)),1,1)),'Timesheet Raw'!$L$4:$L$8000,"&lt;="&amp;MIN(G$6,DATE(2000+VALUE(RIGHT(TRIM($A476),2)),12,31))),SUMIFS('Timesheet Raw'!$P$4:$P$8000,'Timesheet Raw'!$B$4:$B$8000,TRIM($A476),'Timesheet Raw'!$C$4:$C$8000,"*"&amp;$B476&amp;"*",'Timesheet Raw'!$L$4:$L$8000,"&gt;="&amp;G$5,'Timesheet Raw'!$L$4:$L$8000,"&lt;="&amp;G$6)))/'Profit Plan'!$B$5)</f>
        <v/>
      </c>
      <c r="H476" s="122" t="str">
        <f>IF($A476="","",(IF(ISNUMBER(SEARCH("Proposal",$A476)),SUMIFS('Timesheet Raw'!$P$4:$P$8000,'Timesheet Raw'!$A$4:$A$8000,IF(ISNUMBER(SEARCH("Chargable",$A476)),"2-Proposals Chargeable","3-Proposals Regular"),'Timesheet Raw'!$C$4:$C$8000,"*"&amp;$B476&amp;"*",'Timesheet Raw'!$L$4:$L$8000,"&gt;="&amp;MAX(H$5,DATE(2000+VALUE(RIGHT(TRIM($A476),2)),1,1)),'Timesheet Raw'!$L$4:$L$8000,"&lt;="&amp;MIN(H$6,DATE(2000+VALUE(RIGHT(TRIM($A476),2)),12,31))),SUMIFS('Timesheet Raw'!$P$4:$P$8000,'Timesheet Raw'!$B$4:$B$8000,TRIM($A476),'Timesheet Raw'!$C$4:$C$8000,"*"&amp;$B476&amp;"*",'Timesheet Raw'!$L$4:$L$8000,"&gt;="&amp;H$5,'Timesheet Raw'!$L$4:$L$8000,"&lt;="&amp;H$6)))/'Profit Plan'!$B$5)</f>
        <v/>
      </c>
      <c r="I476" s="122" t="str">
        <f>IF($A476="","",(IF(ISNUMBER(SEARCH("Proposal",$A476)),SUMIFS('Timesheet Raw'!$P$4:$P$8000,'Timesheet Raw'!$A$4:$A$8000,IF(ISNUMBER(SEARCH("Chargable",$A476)),"2-Proposals Chargeable","3-Proposals Regular"),'Timesheet Raw'!$C$4:$C$8000,"*"&amp;$B476&amp;"*",'Timesheet Raw'!$L$4:$L$8000,"&gt;="&amp;MAX(I$5,DATE(2000+VALUE(RIGHT(TRIM($A476),2)),1,1)),'Timesheet Raw'!$L$4:$L$8000,"&lt;="&amp;MIN(I$6,DATE(2000+VALUE(RIGHT(TRIM($A476),2)),12,31))),SUMIFS('Timesheet Raw'!$P$4:$P$8000,'Timesheet Raw'!$B$4:$B$8000,TRIM($A476),'Timesheet Raw'!$C$4:$C$8000,"*"&amp;$B476&amp;"*",'Timesheet Raw'!$L$4:$L$8000,"&gt;="&amp;I$5,'Timesheet Raw'!$L$4:$L$8000,"&lt;="&amp;I$6)))/'Profit Plan'!$B$5)</f>
        <v/>
      </c>
      <c r="J476" s="122" t="str">
        <f>IF($A476="","",(IF(ISNUMBER(SEARCH("Proposal",$A476)),SUMIFS('Timesheet Raw'!$P$4:$P$8000,'Timesheet Raw'!$A$4:$A$8000,IF(ISNUMBER(SEARCH("Chargable",$A476)),"2-Proposals Chargeable","3-Proposals Regular"),'Timesheet Raw'!$C$4:$C$8000,"*"&amp;$B476&amp;"*",'Timesheet Raw'!$L$4:$L$8000,"&gt;="&amp;MAX(J$5,DATE(2000+VALUE(RIGHT(TRIM($A476),2)),1,1)),'Timesheet Raw'!$L$4:$L$8000,"&lt;="&amp;MIN(J$6,DATE(2000+VALUE(RIGHT(TRIM($A476),2)),12,31))),SUMIFS('Timesheet Raw'!$P$4:$P$8000,'Timesheet Raw'!$B$4:$B$8000,TRIM($A476),'Timesheet Raw'!$C$4:$C$8000,"*"&amp;$B476&amp;"*",'Timesheet Raw'!$L$4:$L$8000,"&gt;="&amp;J$5,'Timesheet Raw'!$L$4:$L$8000,"&lt;="&amp;J$6)))/'Profit Plan'!$B$5)</f>
        <v/>
      </c>
      <c r="K476" s="122" t="str">
        <f>IF($A476="","",(IF(ISNUMBER(SEARCH("Proposal",$A476)),SUMIFS('Timesheet Raw'!$P$4:$P$8000,'Timesheet Raw'!$A$4:$A$8000,IF(ISNUMBER(SEARCH("Chargable",$A476)),"2-Proposals Chargeable","3-Proposals Regular"),'Timesheet Raw'!$C$4:$C$8000,"*"&amp;$B476&amp;"*",'Timesheet Raw'!$L$4:$L$8000,"&gt;="&amp;MAX(K$5,DATE(2000+VALUE(RIGHT(TRIM($A476),2)),1,1)),'Timesheet Raw'!$L$4:$L$8000,"&lt;="&amp;MIN(K$6,DATE(2000+VALUE(RIGHT(TRIM($A476),2)),12,31))),SUMIFS('Timesheet Raw'!$P$4:$P$8000,'Timesheet Raw'!$B$4:$B$8000,TRIM($A476),'Timesheet Raw'!$C$4:$C$8000,"*"&amp;$B476&amp;"*",'Timesheet Raw'!$L$4:$L$8000,"&gt;="&amp;K$5,'Timesheet Raw'!$L$4:$L$8000,"&lt;="&amp;K$6)))/'Profit Plan'!$B$5)</f>
        <v/>
      </c>
      <c r="L476" s="122" t="str">
        <f>IF($A476="","",(IF(ISNUMBER(SEARCH("Proposal",$A476)),SUMIFS('Timesheet Raw'!$P$4:$P$8000,'Timesheet Raw'!$A$4:$A$8000,IF(ISNUMBER(SEARCH("Chargable",$A476)),"2-Proposals Chargeable","3-Proposals Regular"),'Timesheet Raw'!$C$4:$C$8000,"*"&amp;$B476&amp;"*",'Timesheet Raw'!$L$4:$L$8000,"&gt;="&amp;MAX(L$5,DATE(2000+VALUE(RIGHT(TRIM($A476),2)),1,1)),'Timesheet Raw'!$L$4:$L$8000,"&lt;="&amp;MIN(L$6,DATE(2000+VALUE(RIGHT(TRIM($A476),2)),12,31))),SUMIFS('Timesheet Raw'!$P$4:$P$8000,'Timesheet Raw'!$B$4:$B$8000,TRIM($A476),'Timesheet Raw'!$C$4:$C$8000,"*"&amp;$B476&amp;"*",'Timesheet Raw'!$L$4:$L$8000,"&gt;="&amp;L$5,'Timesheet Raw'!$L$4:$L$8000,"&lt;="&amp;L$6)))/'Profit Plan'!$B$5)</f>
        <v/>
      </c>
      <c r="M476" s="122" t="str">
        <f>IF($A476="","",(IF(ISNUMBER(SEARCH("Proposal",$A476)),SUMIFS('Timesheet Raw'!$P$4:$P$8000,'Timesheet Raw'!$A$4:$A$8000,IF(ISNUMBER(SEARCH("Chargable",$A476)),"2-Proposals Chargeable","3-Proposals Regular"),'Timesheet Raw'!$C$4:$C$8000,"*"&amp;$B476&amp;"*",'Timesheet Raw'!$L$4:$L$8000,"&gt;="&amp;MAX(M$5,DATE(2000+VALUE(RIGHT(TRIM($A476),2)),1,1)),'Timesheet Raw'!$L$4:$L$8000,"&lt;="&amp;MIN(M$6,DATE(2000+VALUE(RIGHT(TRIM($A476),2)),12,31))),SUMIFS('Timesheet Raw'!$P$4:$P$8000,'Timesheet Raw'!$B$4:$B$8000,TRIM($A476),'Timesheet Raw'!$C$4:$C$8000,"*"&amp;$B476&amp;"*",'Timesheet Raw'!$L$4:$L$8000,"&gt;="&amp;M$5,'Timesheet Raw'!$L$4:$L$8000,"&lt;="&amp;M$6)))/'Profit Plan'!$B$5)</f>
        <v/>
      </c>
      <c r="N476" s="122" t="str">
        <f>IF($A476="","",(IF(ISNUMBER(SEARCH("Proposal",$A476)),SUMIFS('Timesheet Raw'!$P$4:$P$8000,'Timesheet Raw'!$A$4:$A$8000,IF(ISNUMBER(SEARCH("Chargable",$A476)),"2-Proposals Chargeable","3-Proposals Regular"),'Timesheet Raw'!$C$4:$C$8000,"*"&amp;$B476&amp;"*",'Timesheet Raw'!$L$4:$L$8000,"&gt;="&amp;MAX(N$5,DATE(2000+VALUE(RIGHT(TRIM($A476),2)),1,1)),'Timesheet Raw'!$L$4:$L$8000,"&lt;="&amp;MIN(N$6,DATE(2000+VALUE(RIGHT(TRIM($A476),2)),12,31))),SUMIFS('Timesheet Raw'!$P$4:$P$8000,'Timesheet Raw'!$B$4:$B$8000,TRIM($A476),'Timesheet Raw'!$C$4:$C$8000,"*"&amp;$B476&amp;"*",'Timesheet Raw'!$L$4:$L$8000,"&gt;="&amp;N$5,'Timesheet Raw'!$L$4:$L$8000,"&lt;="&amp;N$6)))/'Profit Plan'!$B$5)</f>
        <v/>
      </c>
      <c r="O476" s="122" t="str">
        <f>IF($A476="","",(IF(ISNUMBER(SEARCH("Proposal",$A476)),SUMIFS('Timesheet Raw'!$P$4:$P$8000,'Timesheet Raw'!$A$4:$A$8000,IF(ISNUMBER(SEARCH("Chargable",$A476)),"2-Proposals Chargeable","3-Proposals Regular"),'Timesheet Raw'!$C$4:$C$8000,"*"&amp;$B476&amp;"*",'Timesheet Raw'!$L$4:$L$8000,"&gt;="&amp;MAX(O$5,DATE(2000+VALUE(RIGHT(TRIM($A476),2)),1,1)),'Timesheet Raw'!$L$4:$L$8000,"&lt;="&amp;MIN(O$6,DATE(2000+VALUE(RIGHT(TRIM($A476),2)),12,31))),SUMIFS('Timesheet Raw'!$P$4:$P$8000,'Timesheet Raw'!$B$4:$B$8000,TRIM($A476),'Timesheet Raw'!$C$4:$C$8000,"*"&amp;$B476&amp;"*",'Timesheet Raw'!$L$4:$L$8000,"&gt;="&amp;O$5,'Timesheet Raw'!$L$4:$L$8000,"&lt;="&amp;O$6)))/'Profit Plan'!$B$5)</f>
        <v/>
      </c>
      <c r="P476" s="122" t="str">
        <f>IF($A476="","",(IF(ISNUMBER(SEARCH("Proposal",$A476)),SUMIFS('Timesheet Raw'!$P$4:$P$8000,'Timesheet Raw'!$A$4:$A$8000,IF(ISNUMBER(SEARCH("Chargable",$A476)),"2-Proposals Chargeable","3-Proposals Regular"),'Timesheet Raw'!$C$4:$C$8000,"*"&amp;$B476&amp;"*",'Timesheet Raw'!$L$4:$L$8000,"&gt;="&amp;MAX(P$5,DATE(2000+VALUE(RIGHT(TRIM($A476),2)),1,1)),'Timesheet Raw'!$L$4:$L$8000,"&lt;="&amp;MIN(P$6,DATE(2000+VALUE(RIGHT(TRIM($A476),2)),12,31))),SUMIFS('Timesheet Raw'!$P$4:$P$8000,'Timesheet Raw'!$B$4:$B$8000,TRIM($A476),'Timesheet Raw'!$C$4:$C$8000,"*"&amp;$B476&amp;"*",'Timesheet Raw'!$L$4:$L$8000,"&gt;="&amp;P$5,'Timesheet Raw'!$L$4:$L$8000,"&lt;="&amp;P$6)))/'Profit Plan'!$B$5)</f>
        <v/>
      </c>
      <c r="Q476" s="122" t="str">
        <f>IF($A476="","",(IF(ISNUMBER(SEARCH("Proposal",$A476)),SUMIFS('Timesheet Raw'!$P$4:$P$8000,'Timesheet Raw'!$A$4:$A$8000,IF(ISNUMBER(SEARCH("Chargable",$A476)),"2-Proposals Chargeable","3-Proposals Regular"),'Timesheet Raw'!$C$4:$C$8000,"*"&amp;$B476&amp;"*",'Timesheet Raw'!$L$4:$L$8000,"&gt;="&amp;MAX(Q$5,DATE(2000+VALUE(RIGHT(TRIM($A476),2)),1,1)),'Timesheet Raw'!$L$4:$L$8000,"&lt;="&amp;MIN(Q$6,DATE(2000+VALUE(RIGHT(TRIM($A476),2)),12,31))),SUMIFS('Timesheet Raw'!$P$4:$P$8000,'Timesheet Raw'!$B$4:$B$8000,TRIM($A476),'Timesheet Raw'!$C$4:$C$8000,"*"&amp;$B476&amp;"*",'Timesheet Raw'!$L$4:$L$8000,"&gt;="&amp;Q$5,'Timesheet Raw'!$L$4:$L$8000,"&lt;="&amp;Q$6)))/'Profit Plan'!$B$5)</f>
        <v/>
      </c>
      <c r="R476" s="122" t="str">
        <f>IF($A476="","",(IF(ISNUMBER(SEARCH("Proposal",$A476)),SUMIFS('Timesheet Raw'!$P$4:$P$8000,'Timesheet Raw'!$A$4:$A$8000,IF(ISNUMBER(SEARCH("Chargable",$A476)),"2-Proposals Chargeable","3-Proposals Regular"),'Timesheet Raw'!$C$4:$C$8000,"*"&amp;$B476&amp;"*",'Timesheet Raw'!$L$4:$L$8000,"&gt;="&amp;MAX(R$5,DATE(2000+VALUE(RIGHT(TRIM($A476),2)),1,1)),'Timesheet Raw'!$L$4:$L$8000,"&lt;="&amp;MIN(R$6,DATE(2000+VALUE(RIGHT(TRIM($A476),2)),12,31))),SUMIFS('Timesheet Raw'!$P$4:$P$8000,'Timesheet Raw'!$B$4:$B$8000,TRIM($A476),'Timesheet Raw'!$C$4:$C$8000,"*"&amp;$B476&amp;"*",'Timesheet Raw'!$L$4:$L$8000,"&gt;="&amp;R$5,'Timesheet Raw'!$L$4:$L$8000,"&lt;="&amp;R$6)))/'Profit Plan'!$B$5)</f>
        <v/>
      </c>
      <c r="S476" s="122" t="str">
        <f>IF($A476="","",(IF(ISNUMBER(SEARCH("Proposal",$A476)),SUMIFS('Timesheet Raw'!$P$4:$P$8000,'Timesheet Raw'!$A$4:$A$8000,IF(ISNUMBER(SEARCH("Chargable",$A476)),"2-Proposals Chargeable","3-Proposals Regular"),'Timesheet Raw'!$C$4:$C$8000,"*"&amp;$B476&amp;"*",'Timesheet Raw'!$L$4:$L$8000,"&gt;="&amp;MAX(S$5,DATE(2000+VALUE(RIGHT(TRIM($A476),2)),1,1)),'Timesheet Raw'!$L$4:$L$8000,"&lt;="&amp;MIN(S$6,DATE(2000+VALUE(RIGHT(TRIM($A476),2)),12,31))),SUMIFS('Timesheet Raw'!$P$4:$P$8000,'Timesheet Raw'!$B$4:$B$8000,TRIM($A476),'Timesheet Raw'!$C$4:$C$8000,"*"&amp;$B476&amp;"*",'Timesheet Raw'!$L$4:$L$8000,"&gt;="&amp;S$5,'Timesheet Raw'!$L$4:$L$8000,"&lt;="&amp;S$6)))/'Profit Plan'!$B$5)</f>
        <v/>
      </c>
      <c r="T476" s="122" t="str">
        <f>IF($A476="","",(IF(ISNUMBER(SEARCH("Proposal",$A476)),SUMIFS('Timesheet Raw'!$P$4:$P$8000,'Timesheet Raw'!$A$4:$A$8000,IF(ISNUMBER(SEARCH("Chargable",$A476)),"2-Proposals Chargeable","3-Proposals Regular"),'Timesheet Raw'!$C$4:$C$8000,"*"&amp;$B476&amp;"*",'Timesheet Raw'!$L$4:$L$8000,"&gt;="&amp;MAX(T$5,DATE(2000+VALUE(RIGHT(TRIM($A476),2)),1,1)),'Timesheet Raw'!$L$4:$L$8000,"&lt;="&amp;MIN(T$6,DATE(2000+VALUE(RIGHT(TRIM($A476),2)),12,31))),SUMIFS('Timesheet Raw'!$P$4:$P$8000,'Timesheet Raw'!$B$4:$B$8000,TRIM($A476),'Timesheet Raw'!$C$4:$C$8000,"*"&amp;$B476&amp;"*",'Timesheet Raw'!$L$4:$L$8000,"&gt;="&amp;T$5,'Timesheet Raw'!$L$4:$L$8000,"&lt;="&amp;T$6)))/'Profit Plan'!$B$5)</f>
        <v/>
      </c>
      <c r="U476" s="122" t="str">
        <f>IF($A476="","",(IF(ISNUMBER(SEARCH("Proposal",$A476)),SUMIFS('Timesheet Raw'!$P$4:$P$8000,'Timesheet Raw'!$A$4:$A$8000,IF(ISNUMBER(SEARCH("Chargable",$A476)),"2-Proposals Chargeable","3-Proposals Regular"),'Timesheet Raw'!$C$4:$C$8000,"*"&amp;$B476&amp;"*",'Timesheet Raw'!$L$4:$L$8000,"&gt;="&amp;MAX(U$5,DATE(2000+VALUE(RIGHT(TRIM($A476),2)),1,1)),'Timesheet Raw'!$L$4:$L$8000,"&lt;="&amp;MIN(U$6,DATE(2000+VALUE(RIGHT(TRIM($A476),2)),12,31))),SUMIFS('Timesheet Raw'!$P$4:$P$8000,'Timesheet Raw'!$B$4:$B$8000,TRIM($A476),'Timesheet Raw'!$C$4:$C$8000,"*"&amp;$B476&amp;"*",'Timesheet Raw'!$L$4:$L$8000,"&gt;="&amp;U$5,'Timesheet Raw'!$L$4:$L$8000,"&lt;="&amp;U$6)))/'Profit Plan'!$B$5)</f>
        <v/>
      </c>
      <c r="V476" s="122" t="str">
        <f>IF($A476="","",(IF(ISNUMBER(SEARCH("Proposal",$A476)),SUMIFS('Timesheet Raw'!$P$4:$P$8000,'Timesheet Raw'!$A$4:$A$8000,IF(ISNUMBER(SEARCH("Chargable",$A476)),"2-Proposals Chargeable","3-Proposals Regular"),'Timesheet Raw'!$C$4:$C$8000,"*"&amp;$B476&amp;"*",'Timesheet Raw'!$L$4:$L$8000,"&gt;="&amp;MAX(V$5,DATE(2000+VALUE(RIGHT(TRIM($A476),2)),1,1)),'Timesheet Raw'!$L$4:$L$8000,"&lt;="&amp;MIN(V$6,DATE(2000+VALUE(RIGHT(TRIM($A476),2)),12,31))),SUMIFS('Timesheet Raw'!$P$4:$P$8000,'Timesheet Raw'!$B$4:$B$8000,TRIM($A476),'Timesheet Raw'!$C$4:$C$8000,"*"&amp;$B476&amp;"*",'Timesheet Raw'!$L$4:$L$8000,"&gt;="&amp;V$5,'Timesheet Raw'!$L$4:$L$8000,"&lt;="&amp;V$6)))/'Profit Plan'!$B$5)</f>
        <v/>
      </c>
      <c r="W476" s="122" t="str">
        <f>IF($A476="","",(IF(ISNUMBER(SEARCH("Proposal",$A476)),SUMIFS('Timesheet Raw'!$P$4:$P$8000,'Timesheet Raw'!$A$4:$A$8000,IF(ISNUMBER(SEARCH("Chargable",$A476)),"2-Proposals Chargeable","3-Proposals Regular"),'Timesheet Raw'!$C$4:$C$8000,"*"&amp;$B476&amp;"*",'Timesheet Raw'!$L$4:$L$8000,"&gt;="&amp;MAX(W$5,DATE(2000+VALUE(RIGHT(TRIM($A476),2)),1,1)),'Timesheet Raw'!$L$4:$L$8000,"&lt;="&amp;MIN(W$6,DATE(2000+VALUE(RIGHT(TRIM($A476),2)),12,31))),SUMIFS('Timesheet Raw'!$P$4:$P$8000,'Timesheet Raw'!$B$4:$B$8000,TRIM($A476),'Timesheet Raw'!$C$4:$C$8000,"*"&amp;$B476&amp;"*",'Timesheet Raw'!$L$4:$L$8000,"&gt;="&amp;W$5,'Timesheet Raw'!$L$4:$L$8000,"&lt;="&amp;W$6)))/'Profit Plan'!$B$5)</f>
        <v/>
      </c>
      <c r="X476" s="122" t="str">
        <f>IF($A476="","",(IF(ISNUMBER(SEARCH("Proposal",$A476)),SUMIFS('Timesheet Raw'!$P$4:$P$8000,'Timesheet Raw'!$A$4:$A$8000,IF(ISNUMBER(SEARCH("Chargable",$A476)),"2-Proposals Chargeable","3-Proposals Regular"),'Timesheet Raw'!$C$4:$C$8000,"*"&amp;$B476&amp;"*",'Timesheet Raw'!$L$4:$L$8000,"&gt;="&amp;MAX(X$5,DATE(2000+VALUE(RIGHT(TRIM($A476),2)),1,1)),'Timesheet Raw'!$L$4:$L$8000,"&lt;="&amp;MIN(X$6,DATE(2000+VALUE(RIGHT(TRIM($A476),2)),12,31))),SUMIFS('Timesheet Raw'!$P$4:$P$8000,'Timesheet Raw'!$B$4:$B$8000,TRIM($A476),'Timesheet Raw'!$C$4:$C$8000,"*"&amp;$B476&amp;"*",'Timesheet Raw'!$L$4:$L$8000,"&gt;="&amp;X$5,'Timesheet Raw'!$L$4:$L$8000,"&lt;="&amp;X$6)))/'Profit Plan'!$B$5)</f>
        <v/>
      </c>
      <c r="Y476" s="118">
        <f t="shared" si="103"/>
        <v>0</v>
      </c>
    </row>
    <row r="477" spans="1:25" x14ac:dyDescent="0.3">
      <c r="A477" s="116" t="str">
        <f>IF(Inputs!$A76="","",Inputs!$A76)</f>
        <v/>
      </c>
      <c r="B477" s="116" t="str">
        <f>IF(Inputs!$A76="","",Inputs!$A$93)</f>
        <v/>
      </c>
      <c r="C477" s="116"/>
      <c r="D477" s="122" t="str">
        <f>IF($A477="","",(IF(ISNUMBER(SEARCH("Proposal",$A477)),SUMIFS('Timesheet Raw'!$P$4:$P$8000,'Timesheet Raw'!$A$4:$A$8000,IF(ISNUMBER(SEARCH("Chargable",$A477)),"2-Proposals Chargeable","3-Proposals Regular"),'Timesheet Raw'!$C$4:$C$8000,"*"&amp;$B477&amp;"*",'Timesheet Raw'!$L$4:$L$8000,"&gt;="&amp;MAX(D$5,DATE(2000+VALUE(RIGHT(TRIM($A477),2)),1,1)),'Timesheet Raw'!$L$4:$L$8000,"&lt;="&amp;MIN(D$6,DATE(2000+VALUE(RIGHT(TRIM($A477),2)),12,31))),SUMIFS('Timesheet Raw'!$P$4:$P$8000,'Timesheet Raw'!$B$4:$B$8000,TRIM($A477),'Timesheet Raw'!$C$4:$C$8000,"*"&amp;$B477&amp;"*",'Timesheet Raw'!$L$4:$L$8000,"&gt;="&amp;D$5,'Timesheet Raw'!$L$4:$L$8000,"&lt;="&amp;D$6)))/'Profit Plan'!$B$5)</f>
        <v/>
      </c>
      <c r="E477" s="122" t="str">
        <f>IF($A477="","",(IF(ISNUMBER(SEARCH("Proposal",$A477)),SUMIFS('Timesheet Raw'!$P$4:$P$8000,'Timesheet Raw'!$A$4:$A$8000,IF(ISNUMBER(SEARCH("Chargable",$A477)),"2-Proposals Chargeable","3-Proposals Regular"),'Timesheet Raw'!$C$4:$C$8000,"*"&amp;$B477&amp;"*",'Timesheet Raw'!$L$4:$L$8000,"&gt;="&amp;MAX(E$5,DATE(2000+VALUE(RIGHT(TRIM($A477),2)),1,1)),'Timesheet Raw'!$L$4:$L$8000,"&lt;="&amp;MIN(E$6,DATE(2000+VALUE(RIGHT(TRIM($A477),2)),12,31))),SUMIFS('Timesheet Raw'!$P$4:$P$8000,'Timesheet Raw'!$B$4:$B$8000,TRIM($A477),'Timesheet Raw'!$C$4:$C$8000,"*"&amp;$B477&amp;"*",'Timesheet Raw'!$L$4:$L$8000,"&gt;="&amp;E$5,'Timesheet Raw'!$L$4:$L$8000,"&lt;="&amp;E$6)))/'Profit Plan'!$B$5)</f>
        <v/>
      </c>
      <c r="F477" s="122" t="str">
        <f>IF($A477="","",(IF(ISNUMBER(SEARCH("Proposal",$A477)),SUMIFS('Timesheet Raw'!$P$4:$P$8000,'Timesheet Raw'!$A$4:$A$8000,IF(ISNUMBER(SEARCH("Chargable",$A477)),"2-Proposals Chargeable","3-Proposals Regular"),'Timesheet Raw'!$C$4:$C$8000,"*"&amp;$B477&amp;"*",'Timesheet Raw'!$L$4:$L$8000,"&gt;="&amp;MAX(F$5,DATE(2000+VALUE(RIGHT(TRIM($A477),2)),1,1)),'Timesheet Raw'!$L$4:$L$8000,"&lt;="&amp;MIN(F$6,DATE(2000+VALUE(RIGHT(TRIM($A477),2)),12,31))),SUMIFS('Timesheet Raw'!$P$4:$P$8000,'Timesheet Raw'!$B$4:$B$8000,TRIM($A477),'Timesheet Raw'!$C$4:$C$8000,"*"&amp;$B477&amp;"*",'Timesheet Raw'!$L$4:$L$8000,"&gt;="&amp;F$5,'Timesheet Raw'!$L$4:$L$8000,"&lt;="&amp;F$6)))/'Profit Plan'!$B$5)</f>
        <v/>
      </c>
      <c r="G477" s="122" t="str">
        <f>IF($A477="","",(IF(ISNUMBER(SEARCH("Proposal",$A477)),SUMIFS('Timesheet Raw'!$P$4:$P$8000,'Timesheet Raw'!$A$4:$A$8000,IF(ISNUMBER(SEARCH("Chargable",$A477)),"2-Proposals Chargeable","3-Proposals Regular"),'Timesheet Raw'!$C$4:$C$8000,"*"&amp;$B477&amp;"*",'Timesheet Raw'!$L$4:$L$8000,"&gt;="&amp;MAX(G$5,DATE(2000+VALUE(RIGHT(TRIM($A477),2)),1,1)),'Timesheet Raw'!$L$4:$L$8000,"&lt;="&amp;MIN(G$6,DATE(2000+VALUE(RIGHT(TRIM($A477),2)),12,31))),SUMIFS('Timesheet Raw'!$P$4:$P$8000,'Timesheet Raw'!$B$4:$B$8000,TRIM($A477),'Timesheet Raw'!$C$4:$C$8000,"*"&amp;$B477&amp;"*",'Timesheet Raw'!$L$4:$L$8000,"&gt;="&amp;G$5,'Timesheet Raw'!$L$4:$L$8000,"&lt;="&amp;G$6)))/'Profit Plan'!$B$5)</f>
        <v/>
      </c>
      <c r="H477" s="122" t="str">
        <f>IF($A477="","",(IF(ISNUMBER(SEARCH("Proposal",$A477)),SUMIFS('Timesheet Raw'!$P$4:$P$8000,'Timesheet Raw'!$A$4:$A$8000,IF(ISNUMBER(SEARCH("Chargable",$A477)),"2-Proposals Chargeable","3-Proposals Regular"),'Timesheet Raw'!$C$4:$C$8000,"*"&amp;$B477&amp;"*",'Timesheet Raw'!$L$4:$L$8000,"&gt;="&amp;MAX(H$5,DATE(2000+VALUE(RIGHT(TRIM($A477),2)),1,1)),'Timesheet Raw'!$L$4:$L$8000,"&lt;="&amp;MIN(H$6,DATE(2000+VALUE(RIGHT(TRIM($A477),2)),12,31))),SUMIFS('Timesheet Raw'!$P$4:$P$8000,'Timesheet Raw'!$B$4:$B$8000,TRIM($A477),'Timesheet Raw'!$C$4:$C$8000,"*"&amp;$B477&amp;"*",'Timesheet Raw'!$L$4:$L$8000,"&gt;="&amp;H$5,'Timesheet Raw'!$L$4:$L$8000,"&lt;="&amp;H$6)))/'Profit Plan'!$B$5)</f>
        <v/>
      </c>
      <c r="I477" s="122" t="str">
        <f>IF($A477="","",(IF(ISNUMBER(SEARCH("Proposal",$A477)),SUMIFS('Timesheet Raw'!$P$4:$P$8000,'Timesheet Raw'!$A$4:$A$8000,IF(ISNUMBER(SEARCH("Chargable",$A477)),"2-Proposals Chargeable","3-Proposals Regular"),'Timesheet Raw'!$C$4:$C$8000,"*"&amp;$B477&amp;"*",'Timesheet Raw'!$L$4:$L$8000,"&gt;="&amp;MAX(I$5,DATE(2000+VALUE(RIGHT(TRIM($A477),2)),1,1)),'Timesheet Raw'!$L$4:$L$8000,"&lt;="&amp;MIN(I$6,DATE(2000+VALUE(RIGHT(TRIM($A477),2)),12,31))),SUMIFS('Timesheet Raw'!$P$4:$P$8000,'Timesheet Raw'!$B$4:$B$8000,TRIM($A477),'Timesheet Raw'!$C$4:$C$8000,"*"&amp;$B477&amp;"*",'Timesheet Raw'!$L$4:$L$8000,"&gt;="&amp;I$5,'Timesheet Raw'!$L$4:$L$8000,"&lt;="&amp;I$6)))/'Profit Plan'!$B$5)</f>
        <v/>
      </c>
      <c r="J477" s="122" t="str">
        <f>IF($A477="","",(IF(ISNUMBER(SEARCH("Proposal",$A477)),SUMIFS('Timesheet Raw'!$P$4:$P$8000,'Timesheet Raw'!$A$4:$A$8000,IF(ISNUMBER(SEARCH("Chargable",$A477)),"2-Proposals Chargeable","3-Proposals Regular"),'Timesheet Raw'!$C$4:$C$8000,"*"&amp;$B477&amp;"*",'Timesheet Raw'!$L$4:$L$8000,"&gt;="&amp;MAX(J$5,DATE(2000+VALUE(RIGHT(TRIM($A477),2)),1,1)),'Timesheet Raw'!$L$4:$L$8000,"&lt;="&amp;MIN(J$6,DATE(2000+VALUE(RIGHT(TRIM($A477),2)),12,31))),SUMIFS('Timesheet Raw'!$P$4:$P$8000,'Timesheet Raw'!$B$4:$B$8000,TRIM($A477),'Timesheet Raw'!$C$4:$C$8000,"*"&amp;$B477&amp;"*",'Timesheet Raw'!$L$4:$L$8000,"&gt;="&amp;J$5,'Timesheet Raw'!$L$4:$L$8000,"&lt;="&amp;J$6)))/'Profit Plan'!$B$5)</f>
        <v/>
      </c>
      <c r="K477" s="122" t="str">
        <f>IF($A477="","",(IF(ISNUMBER(SEARCH("Proposal",$A477)),SUMIFS('Timesheet Raw'!$P$4:$P$8000,'Timesheet Raw'!$A$4:$A$8000,IF(ISNUMBER(SEARCH("Chargable",$A477)),"2-Proposals Chargeable","3-Proposals Regular"),'Timesheet Raw'!$C$4:$C$8000,"*"&amp;$B477&amp;"*",'Timesheet Raw'!$L$4:$L$8000,"&gt;="&amp;MAX(K$5,DATE(2000+VALUE(RIGHT(TRIM($A477),2)),1,1)),'Timesheet Raw'!$L$4:$L$8000,"&lt;="&amp;MIN(K$6,DATE(2000+VALUE(RIGHT(TRIM($A477),2)),12,31))),SUMIFS('Timesheet Raw'!$P$4:$P$8000,'Timesheet Raw'!$B$4:$B$8000,TRIM($A477),'Timesheet Raw'!$C$4:$C$8000,"*"&amp;$B477&amp;"*",'Timesheet Raw'!$L$4:$L$8000,"&gt;="&amp;K$5,'Timesheet Raw'!$L$4:$L$8000,"&lt;="&amp;K$6)))/'Profit Plan'!$B$5)</f>
        <v/>
      </c>
      <c r="L477" s="122" t="str">
        <f>IF($A477="","",(IF(ISNUMBER(SEARCH("Proposal",$A477)),SUMIFS('Timesheet Raw'!$P$4:$P$8000,'Timesheet Raw'!$A$4:$A$8000,IF(ISNUMBER(SEARCH("Chargable",$A477)),"2-Proposals Chargeable","3-Proposals Regular"),'Timesheet Raw'!$C$4:$C$8000,"*"&amp;$B477&amp;"*",'Timesheet Raw'!$L$4:$L$8000,"&gt;="&amp;MAX(L$5,DATE(2000+VALUE(RIGHT(TRIM($A477),2)),1,1)),'Timesheet Raw'!$L$4:$L$8000,"&lt;="&amp;MIN(L$6,DATE(2000+VALUE(RIGHT(TRIM($A477),2)),12,31))),SUMIFS('Timesheet Raw'!$P$4:$P$8000,'Timesheet Raw'!$B$4:$B$8000,TRIM($A477),'Timesheet Raw'!$C$4:$C$8000,"*"&amp;$B477&amp;"*",'Timesheet Raw'!$L$4:$L$8000,"&gt;="&amp;L$5,'Timesheet Raw'!$L$4:$L$8000,"&lt;="&amp;L$6)))/'Profit Plan'!$B$5)</f>
        <v/>
      </c>
      <c r="M477" s="122" t="str">
        <f>IF($A477="","",(IF(ISNUMBER(SEARCH("Proposal",$A477)),SUMIFS('Timesheet Raw'!$P$4:$P$8000,'Timesheet Raw'!$A$4:$A$8000,IF(ISNUMBER(SEARCH("Chargable",$A477)),"2-Proposals Chargeable","3-Proposals Regular"),'Timesheet Raw'!$C$4:$C$8000,"*"&amp;$B477&amp;"*",'Timesheet Raw'!$L$4:$L$8000,"&gt;="&amp;MAX(M$5,DATE(2000+VALUE(RIGHT(TRIM($A477),2)),1,1)),'Timesheet Raw'!$L$4:$L$8000,"&lt;="&amp;MIN(M$6,DATE(2000+VALUE(RIGHT(TRIM($A477),2)),12,31))),SUMIFS('Timesheet Raw'!$P$4:$P$8000,'Timesheet Raw'!$B$4:$B$8000,TRIM($A477),'Timesheet Raw'!$C$4:$C$8000,"*"&amp;$B477&amp;"*",'Timesheet Raw'!$L$4:$L$8000,"&gt;="&amp;M$5,'Timesheet Raw'!$L$4:$L$8000,"&lt;="&amp;M$6)))/'Profit Plan'!$B$5)</f>
        <v/>
      </c>
      <c r="N477" s="122" t="str">
        <f>IF($A477="","",(IF(ISNUMBER(SEARCH("Proposal",$A477)),SUMIFS('Timesheet Raw'!$P$4:$P$8000,'Timesheet Raw'!$A$4:$A$8000,IF(ISNUMBER(SEARCH("Chargable",$A477)),"2-Proposals Chargeable","3-Proposals Regular"),'Timesheet Raw'!$C$4:$C$8000,"*"&amp;$B477&amp;"*",'Timesheet Raw'!$L$4:$L$8000,"&gt;="&amp;MAX(N$5,DATE(2000+VALUE(RIGHT(TRIM($A477),2)),1,1)),'Timesheet Raw'!$L$4:$L$8000,"&lt;="&amp;MIN(N$6,DATE(2000+VALUE(RIGHT(TRIM($A477),2)),12,31))),SUMIFS('Timesheet Raw'!$P$4:$P$8000,'Timesheet Raw'!$B$4:$B$8000,TRIM($A477),'Timesheet Raw'!$C$4:$C$8000,"*"&amp;$B477&amp;"*",'Timesheet Raw'!$L$4:$L$8000,"&gt;="&amp;N$5,'Timesheet Raw'!$L$4:$L$8000,"&lt;="&amp;N$6)))/'Profit Plan'!$B$5)</f>
        <v/>
      </c>
      <c r="O477" s="122" t="str">
        <f>IF($A477="","",(IF(ISNUMBER(SEARCH("Proposal",$A477)),SUMIFS('Timesheet Raw'!$P$4:$P$8000,'Timesheet Raw'!$A$4:$A$8000,IF(ISNUMBER(SEARCH("Chargable",$A477)),"2-Proposals Chargeable","3-Proposals Regular"),'Timesheet Raw'!$C$4:$C$8000,"*"&amp;$B477&amp;"*",'Timesheet Raw'!$L$4:$L$8000,"&gt;="&amp;MAX(O$5,DATE(2000+VALUE(RIGHT(TRIM($A477),2)),1,1)),'Timesheet Raw'!$L$4:$L$8000,"&lt;="&amp;MIN(O$6,DATE(2000+VALUE(RIGHT(TRIM($A477),2)),12,31))),SUMIFS('Timesheet Raw'!$P$4:$P$8000,'Timesheet Raw'!$B$4:$B$8000,TRIM($A477),'Timesheet Raw'!$C$4:$C$8000,"*"&amp;$B477&amp;"*",'Timesheet Raw'!$L$4:$L$8000,"&gt;="&amp;O$5,'Timesheet Raw'!$L$4:$L$8000,"&lt;="&amp;O$6)))/'Profit Plan'!$B$5)</f>
        <v/>
      </c>
      <c r="P477" s="122" t="str">
        <f>IF($A477="","",(IF(ISNUMBER(SEARCH("Proposal",$A477)),SUMIFS('Timesheet Raw'!$P$4:$P$8000,'Timesheet Raw'!$A$4:$A$8000,IF(ISNUMBER(SEARCH("Chargable",$A477)),"2-Proposals Chargeable","3-Proposals Regular"),'Timesheet Raw'!$C$4:$C$8000,"*"&amp;$B477&amp;"*",'Timesheet Raw'!$L$4:$L$8000,"&gt;="&amp;MAX(P$5,DATE(2000+VALUE(RIGHT(TRIM($A477),2)),1,1)),'Timesheet Raw'!$L$4:$L$8000,"&lt;="&amp;MIN(P$6,DATE(2000+VALUE(RIGHT(TRIM($A477),2)),12,31))),SUMIFS('Timesheet Raw'!$P$4:$P$8000,'Timesheet Raw'!$B$4:$B$8000,TRIM($A477),'Timesheet Raw'!$C$4:$C$8000,"*"&amp;$B477&amp;"*",'Timesheet Raw'!$L$4:$L$8000,"&gt;="&amp;P$5,'Timesheet Raw'!$L$4:$L$8000,"&lt;="&amp;P$6)))/'Profit Plan'!$B$5)</f>
        <v/>
      </c>
      <c r="Q477" s="122" t="str">
        <f>IF($A477="","",(IF(ISNUMBER(SEARCH("Proposal",$A477)),SUMIFS('Timesheet Raw'!$P$4:$P$8000,'Timesheet Raw'!$A$4:$A$8000,IF(ISNUMBER(SEARCH("Chargable",$A477)),"2-Proposals Chargeable","3-Proposals Regular"),'Timesheet Raw'!$C$4:$C$8000,"*"&amp;$B477&amp;"*",'Timesheet Raw'!$L$4:$L$8000,"&gt;="&amp;MAX(Q$5,DATE(2000+VALUE(RIGHT(TRIM($A477),2)),1,1)),'Timesheet Raw'!$L$4:$L$8000,"&lt;="&amp;MIN(Q$6,DATE(2000+VALUE(RIGHT(TRIM($A477),2)),12,31))),SUMIFS('Timesheet Raw'!$P$4:$P$8000,'Timesheet Raw'!$B$4:$B$8000,TRIM($A477),'Timesheet Raw'!$C$4:$C$8000,"*"&amp;$B477&amp;"*",'Timesheet Raw'!$L$4:$L$8000,"&gt;="&amp;Q$5,'Timesheet Raw'!$L$4:$L$8000,"&lt;="&amp;Q$6)))/'Profit Plan'!$B$5)</f>
        <v/>
      </c>
      <c r="R477" s="122" t="str">
        <f>IF($A477="","",(IF(ISNUMBER(SEARCH("Proposal",$A477)),SUMIFS('Timesheet Raw'!$P$4:$P$8000,'Timesheet Raw'!$A$4:$A$8000,IF(ISNUMBER(SEARCH("Chargable",$A477)),"2-Proposals Chargeable","3-Proposals Regular"),'Timesheet Raw'!$C$4:$C$8000,"*"&amp;$B477&amp;"*",'Timesheet Raw'!$L$4:$L$8000,"&gt;="&amp;MAX(R$5,DATE(2000+VALUE(RIGHT(TRIM($A477),2)),1,1)),'Timesheet Raw'!$L$4:$L$8000,"&lt;="&amp;MIN(R$6,DATE(2000+VALUE(RIGHT(TRIM($A477),2)),12,31))),SUMIFS('Timesheet Raw'!$P$4:$P$8000,'Timesheet Raw'!$B$4:$B$8000,TRIM($A477),'Timesheet Raw'!$C$4:$C$8000,"*"&amp;$B477&amp;"*",'Timesheet Raw'!$L$4:$L$8000,"&gt;="&amp;R$5,'Timesheet Raw'!$L$4:$L$8000,"&lt;="&amp;R$6)))/'Profit Plan'!$B$5)</f>
        <v/>
      </c>
      <c r="S477" s="122" t="str">
        <f>IF($A477="","",(IF(ISNUMBER(SEARCH("Proposal",$A477)),SUMIFS('Timesheet Raw'!$P$4:$P$8000,'Timesheet Raw'!$A$4:$A$8000,IF(ISNUMBER(SEARCH("Chargable",$A477)),"2-Proposals Chargeable","3-Proposals Regular"),'Timesheet Raw'!$C$4:$C$8000,"*"&amp;$B477&amp;"*",'Timesheet Raw'!$L$4:$L$8000,"&gt;="&amp;MAX(S$5,DATE(2000+VALUE(RIGHT(TRIM($A477),2)),1,1)),'Timesheet Raw'!$L$4:$L$8000,"&lt;="&amp;MIN(S$6,DATE(2000+VALUE(RIGHT(TRIM($A477),2)),12,31))),SUMIFS('Timesheet Raw'!$P$4:$P$8000,'Timesheet Raw'!$B$4:$B$8000,TRIM($A477),'Timesheet Raw'!$C$4:$C$8000,"*"&amp;$B477&amp;"*",'Timesheet Raw'!$L$4:$L$8000,"&gt;="&amp;S$5,'Timesheet Raw'!$L$4:$L$8000,"&lt;="&amp;S$6)))/'Profit Plan'!$B$5)</f>
        <v/>
      </c>
      <c r="T477" s="122" t="str">
        <f>IF($A477="","",(IF(ISNUMBER(SEARCH("Proposal",$A477)),SUMIFS('Timesheet Raw'!$P$4:$P$8000,'Timesheet Raw'!$A$4:$A$8000,IF(ISNUMBER(SEARCH("Chargable",$A477)),"2-Proposals Chargeable","3-Proposals Regular"),'Timesheet Raw'!$C$4:$C$8000,"*"&amp;$B477&amp;"*",'Timesheet Raw'!$L$4:$L$8000,"&gt;="&amp;MAX(T$5,DATE(2000+VALUE(RIGHT(TRIM($A477),2)),1,1)),'Timesheet Raw'!$L$4:$L$8000,"&lt;="&amp;MIN(T$6,DATE(2000+VALUE(RIGHT(TRIM($A477),2)),12,31))),SUMIFS('Timesheet Raw'!$P$4:$P$8000,'Timesheet Raw'!$B$4:$B$8000,TRIM($A477),'Timesheet Raw'!$C$4:$C$8000,"*"&amp;$B477&amp;"*",'Timesheet Raw'!$L$4:$L$8000,"&gt;="&amp;T$5,'Timesheet Raw'!$L$4:$L$8000,"&lt;="&amp;T$6)))/'Profit Plan'!$B$5)</f>
        <v/>
      </c>
      <c r="U477" s="122" t="str">
        <f>IF($A477="","",(IF(ISNUMBER(SEARCH("Proposal",$A477)),SUMIFS('Timesheet Raw'!$P$4:$P$8000,'Timesheet Raw'!$A$4:$A$8000,IF(ISNUMBER(SEARCH("Chargable",$A477)),"2-Proposals Chargeable","3-Proposals Regular"),'Timesheet Raw'!$C$4:$C$8000,"*"&amp;$B477&amp;"*",'Timesheet Raw'!$L$4:$L$8000,"&gt;="&amp;MAX(U$5,DATE(2000+VALUE(RIGHT(TRIM($A477),2)),1,1)),'Timesheet Raw'!$L$4:$L$8000,"&lt;="&amp;MIN(U$6,DATE(2000+VALUE(RIGHT(TRIM($A477),2)),12,31))),SUMIFS('Timesheet Raw'!$P$4:$P$8000,'Timesheet Raw'!$B$4:$B$8000,TRIM($A477),'Timesheet Raw'!$C$4:$C$8000,"*"&amp;$B477&amp;"*",'Timesheet Raw'!$L$4:$L$8000,"&gt;="&amp;U$5,'Timesheet Raw'!$L$4:$L$8000,"&lt;="&amp;U$6)))/'Profit Plan'!$B$5)</f>
        <v/>
      </c>
      <c r="V477" s="122" t="str">
        <f>IF($A477="","",(IF(ISNUMBER(SEARCH("Proposal",$A477)),SUMIFS('Timesheet Raw'!$P$4:$P$8000,'Timesheet Raw'!$A$4:$A$8000,IF(ISNUMBER(SEARCH("Chargable",$A477)),"2-Proposals Chargeable","3-Proposals Regular"),'Timesheet Raw'!$C$4:$C$8000,"*"&amp;$B477&amp;"*",'Timesheet Raw'!$L$4:$L$8000,"&gt;="&amp;MAX(V$5,DATE(2000+VALUE(RIGHT(TRIM($A477),2)),1,1)),'Timesheet Raw'!$L$4:$L$8000,"&lt;="&amp;MIN(V$6,DATE(2000+VALUE(RIGHT(TRIM($A477),2)),12,31))),SUMIFS('Timesheet Raw'!$P$4:$P$8000,'Timesheet Raw'!$B$4:$B$8000,TRIM($A477),'Timesheet Raw'!$C$4:$C$8000,"*"&amp;$B477&amp;"*",'Timesheet Raw'!$L$4:$L$8000,"&gt;="&amp;V$5,'Timesheet Raw'!$L$4:$L$8000,"&lt;="&amp;V$6)))/'Profit Plan'!$B$5)</f>
        <v/>
      </c>
      <c r="W477" s="122" t="str">
        <f>IF($A477="","",(IF(ISNUMBER(SEARCH("Proposal",$A477)),SUMIFS('Timesheet Raw'!$P$4:$P$8000,'Timesheet Raw'!$A$4:$A$8000,IF(ISNUMBER(SEARCH("Chargable",$A477)),"2-Proposals Chargeable","3-Proposals Regular"),'Timesheet Raw'!$C$4:$C$8000,"*"&amp;$B477&amp;"*",'Timesheet Raw'!$L$4:$L$8000,"&gt;="&amp;MAX(W$5,DATE(2000+VALUE(RIGHT(TRIM($A477),2)),1,1)),'Timesheet Raw'!$L$4:$L$8000,"&lt;="&amp;MIN(W$6,DATE(2000+VALUE(RIGHT(TRIM($A477),2)),12,31))),SUMIFS('Timesheet Raw'!$P$4:$P$8000,'Timesheet Raw'!$B$4:$B$8000,TRIM($A477),'Timesheet Raw'!$C$4:$C$8000,"*"&amp;$B477&amp;"*",'Timesheet Raw'!$L$4:$L$8000,"&gt;="&amp;W$5,'Timesheet Raw'!$L$4:$L$8000,"&lt;="&amp;W$6)))/'Profit Plan'!$B$5)</f>
        <v/>
      </c>
      <c r="X477" s="122" t="str">
        <f>IF($A477="","",(IF(ISNUMBER(SEARCH("Proposal",$A477)),SUMIFS('Timesheet Raw'!$P$4:$P$8000,'Timesheet Raw'!$A$4:$A$8000,IF(ISNUMBER(SEARCH("Chargable",$A477)),"2-Proposals Chargeable","3-Proposals Regular"),'Timesheet Raw'!$C$4:$C$8000,"*"&amp;$B477&amp;"*",'Timesheet Raw'!$L$4:$L$8000,"&gt;="&amp;MAX(X$5,DATE(2000+VALUE(RIGHT(TRIM($A477),2)),1,1)),'Timesheet Raw'!$L$4:$L$8000,"&lt;="&amp;MIN(X$6,DATE(2000+VALUE(RIGHT(TRIM($A477),2)),12,31))),SUMIFS('Timesheet Raw'!$P$4:$P$8000,'Timesheet Raw'!$B$4:$B$8000,TRIM($A477),'Timesheet Raw'!$C$4:$C$8000,"*"&amp;$B477&amp;"*",'Timesheet Raw'!$L$4:$L$8000,"&gt;="&amp;X$5,'Timesheet Raw'!$L$4:$L$8000,"&lt;="&amp;X$6)))/'Profit Plan'!$B$5)</f>
        <v/>
      </c>
      <c r="Y477" s="118">
        <f t="shared" si="103"/>
        <v>0</v>
      </c>
    </row>
    <row r="478" spans="1:25" x14ac:dyDescent="0.3">
      <c r="A478" s="116" t="str">
        <f>IF(Inputs!$A77="","",Inputs!$A77)</f>
        <v/>
      </c>
      <c r="B478" s="116" t="str">
        <f>IF(Inputs!$A77="","",Inputs!$A$91)</f>
        <v/>
      </c>
      <c r="C478" s="116"/>
      <c r="D478" s="122" t="str">
        <f>IF($A478="","",(IF(ISNUMBER(SEARCH("Proposal",$A478)),SUMIFS('Timesheet Raw'!$P$4:$P$8000,'Timesheet Raw'!$A$4:$A$8000,IF(ISNUMBER(SEARCH("Chargable",$A478)),"2-Proposals Chargeable","3-Proposals Regular"),'Timesheet Raw'!$C$4:$C$8000,"*"&amp;$B478&amp;"*",'Timesheet Raw'!$L$4:$L$8000,"&gt;="&amp;MAX(D$5,DATE(2000+VALUE(RIGHT(TRIM($A478),2)),1,1)),'Timesheet Raw'!$L$4:$L$8000,"&lt;="&amp;MIN(D$6,DATE(2000+VALUE(RIGHT(TRIM($A478),2)),12,31))),SUMIFS('Timesheet Raw'!$P$4:$P$8000,'Timesheet Raw'!$B$4:$B$8000,TRIM($A478),'Timesheet Raw'!$C$4:$C$8000,"*"&amp;$B478&amp;"*",'Timesheet Raw'!$L$4:$L$8000,"&gt;="&amp;D$5,'Timesheet Raw'!$L$4:$L$8000,"&lt;="&amp;D$6)))/'Profit Plan'!$B$5)</f>
        <v/>
      </c>
      <c r="E478" s="122" t="str">
        <f>IF($A478="","",(IF(ISNUMBER(SEARCH("Proposal",$A478)),SUMIFS('Timesheet Raw'!$P$4:$P$8000,'Timesheet Raw'!$A$4:$A$8000,IF(ISNUMBER(SEARCH("Chargable",$A478)),"2-Proposals Chargeable","3-Proposals Regular"),'Timesheet Raw'!$C$4:$C$8000,"*"&amp;$B478&amp;"*",'Timesheet Raw'!$L$4:$L$8000,"&gt;="&amp;MAX(E$5,DATE(2000+VALUE(RIGHT(TRIM($A478),2)),1,1)),'Timesheet Raw'!$L$4:$L$8000,"&lt;="&amp;MIN(E$6,DATE(2000+VALUE(RIGHT(TRIM($A478),2)),12,31))),SUMIFS('Timesheet Raw'!$P$4:$P$8000,'Timesheet Raw'!$B$4:$B$8000,TRIM($A478),'Timesheet Raw'!$C$4:$C$8000,"*"&amp;$B478&amp;"*",'Timesheet Raw'!$L$4:$L$8000,"&gt;="&amp;E$5,'Timesheet Raw'!$L$4:$L$8000,"&lt;="&amp;E$6)))/'Profit Plan'!$B$5)</f>
        <v/>
      </c>
      <c r="F478" s="122" t="str">
        <f>IF($A478="","",(IF(ISNUMBER(SEARCH("Proposal",$A478)),SUMIFS('Timesheet Raw'!$P$4:$P$8000,'Timesheet Raw'!$A$4:$A$8000,IF(ISNUMBER(SEARCH("Chargable",$A478)),"2-Proposals Chargeable","3-Proposals Regular"),'Timesheet Raw'!$C$4:$C$8000,"*"&amp;$B478&amp;"*",'Timesheet Raw'!$L$4:$L$8000,"&gt;="&amp;MAX(F$5,DATE(2000+VALUE(RIGHT(TRIM($A478),2)),1,1)),'Timesheet Raw'!$L$4:$L$8000,"&lt;="&amp;MIN(F$6,DATE(2000+VALUE(RIGHT(TRIM($A478),2)),12,31))),SUMIFS('Timesheet Raw'!$P$4:$P$8000,'Timesheet Raw'!$B$4:$B$8000,TRIM($A478),'Timesheet Raw'!$C$4:$C$8000,"*"&amp;$B478&amp;"*",'Timesheet Raw'!$L$4:$L$8000,"&gt;="&amp;F$5,'Timesheet Raw'!$L$4:$L$8000,"&lt;="&amp;F$6)))/'Profit Plan'!$B$5)</f>
        <v/>
      </c>
      <c r="G478" s="122" t="str">
        <f>IF($A478="","",(IF(ISNUMBER(SEARCH("Proposal",$A478)),SUMIFS('Timesheet Raw'!$P$4:$P$8000,'Timesheet Raw'!$A$4:$A$8000,IF(ISNUMBER(SEARCH("Chargable",$A478)),"2-Proposals Chargeable","3-Proposals Regular"),'Timesheet Raw'!$C$4:$C$8000,"*"&amp;$B478&amp;"*",'Timesheet Raw'!$L$4:$L$8000,"&gt;="&amp;MAX(G$5,DATE(2000+VALUE(RIGHT(TRIM($A478),2)),1,1)),'Timesheet Raw'!$L$4:$L$8000,"&lt;="&amp;MIN(G$6,DATE(2000+VALUE(RIGHT(TRIM($A478),2)),12,31))),SUMIFS('Timesheet Raw'!$P$4:$P$8000,'Timesheet Raw'!$B$4:$B$8000,TRIM($A478),'Timesheet Raw'!$C$4:$C$8000,"*"&amp;$B478&amp;"*",'Timesheet Raw'!$L$4:$L$8000,"&gt;="&amp;G$5,'Timesheet Raw'!$L$4:$L$8000,"&lt;="&amp;G$6)))/'Profit Plan'!$B$5)</f>
        <v/>
      </c>
      <c r="H478" s="122" t="str">
        <f>IF($A478="","",(IF(ISNUMBER(SEARCH("Proposal",$A478)),SUMIFS('Timesheet Raw'!$P$4:$P$8000,'Timesheet Raw'!$A$4:$A$8000,IF(ISNUMBER(SEARCH("Chargable",$A478)),"2-Proposals Chargeable","3-Proposals Regular"),'Timesheet Raw'!$C$4:$C$8000,"*"&amp;$B478&amp;"*",'Timesheet Raw'!$L$4:$L$8000,"&gt;="&amp;MAX(H$5,DATE(2000+VALUE(RIGHT(TRIM($A478),2)),1,1)),'Timesheet Raw'!$L$4:$L$8000,"&lt;="&amp;MIN(H$6,DATE(2000+VALUE(RIGHT(TRIM($A478),2)),12,31))),SUMIFS('Timesheet Raw'!$P$4:$P$8000,'Timesheet Raw'!$B$4:$B$8000,TRIM($A478),'Timesheet Raw'!$C$4:$C$8000,"*"&amp;$B478&amp;"*",'Timesheet Raw'!$L$4:$L$8000,"&gt;="&amp;H$5,'Timesheet Raw'!$L$4:$L$8000,"&lt;="&amp;H$6)))/'Profit Plan'!$B$5)</f>
        <v/>
      </c>
      <c r="I478" s="122" t="str">
        <f>IF($A478="","",(IF(ISNUMBER(SEARCH("Proposal",$A478)),SUMIFS('Timesheet Raw'!$P$4:$P$8000,'Timesheet Raw'!$A$4:$A$8000,IF(ISNUMBER(SEARCH("Chargable",$A478)),"2-Proposals Chargeable","3-Proposals Regular"),'Timesheet Raw'!$C$4:$C$8000,"*"&amp;$B478&amp;"*",'Timesheet Raw'!$L$4:$L$8000,"&gt;="&amp;MAX(I$5,DATE(2000+VALUE(RIGHT(TRIM($A478),2)),1,1)),'Timesheet Raw'!$L$4:$L$8000,"&lt;="&amp;MIN(I$6,DATE(2000+VALUE(RIGHT(TRIM($A478),2)),12,31))),SUMIFS('Timesheet Raw'!$P$4:$P$8000,'Timesheet Raw'!$B$4:$B$8000,TRIM($A478),'Timesheet Raw'!$C$4:$C$8000,"*"&amp;$B478&amp;"*",'Timesheet Raw'!$L$4:$L$8000,"&gt;="&amp;I$5,'Timesheet Raw'!$L$4:$L$8000,"&lt;="&amp;I$6)))/'Profit Plan'!$B$5)</f>
        <v/>
      </c>
      <c r="J478" s="122" t="str">
        <f>IF($A478="","",(IF(ISNUMBER(SEARCH("Proposal",$A478)),SUMIFS('Timesheet Raw'!$P$4:$P$8000,'Timesheet Raw'!$A$4:$A$8000,IF(ISNUMBER(SEARCH("Chargable",$A478)),"2-Proposals Chargeable","3-Proposals Regular"),'Timesheet Raw'!$C$4:$C$8000,"*"&amp;$B478&amp;"*",'Timesheet Raw'!$L$4:$L$8000,"&gt;="&amp;MAX(J$5,DATE(2000+VALUE(RIGHT(TRIM($A478),2)),1,1)),'Timesheet Raw'!$L$4:$L$8000,"&lt;="&amp;MIN(J$6,DATE(2000+VALUE(RIGHT(TRIM($A478),2)),12,31))),SUMIFS('Timesheet Raw'!$P$4:$P$8000,'Timesheet Raw'!$B$4:$B$8000,TRIM($A478),'Timesheet Raw'!$C$4:$C$8000,"*"&amp;$B478&amp;"*",'Timesheet Raw'!$L$4:$L$8000,"&gt;="&amp;J$5,'Timesheet Raw'!$L$4:$L$8000,"&lt;="&amp;J$6)))/'Profit Plan'!$B$5)</f>
        <v/>
      </c>
      <c r="K478" s="122" t="str">
        <f>IF($A478="","",(IF(ISNUMBER(SEARCH("Proposal",$A478)),SUMIFS('Timesheet Raw'!$P$4:$P$8000,'Timesheet Raw'!$A$4:$A$8000,IF(ISNUMBER(SEARCH("Chargable",$A478)),"2-Proposals Chargeable","3-Proposals Regular"),'Timesheet Raw'!$C$4:$C$8000,"*"&amp;$B478&amp;"*",'Timesheet Raw'!$L$4:$L$8000,"&gt;="&amp;MAX(K$5,DATE(2000+VALUE(RIGHT(TRIM($A478),2)),1,1)),'Timesheet Raw'!$L$4:$L$8000,"&lt;="&amp;MIN(K$6,DATE(2000+VALUE(RIGHT(TRIM($A478),2)),12,31))),SUMIFS('Timesheet Raw'!$P$4:$P$8000,'Timesheet Raw'!$B$4:$B$8000,TRIM($A478),'Timesheet Raw'!$C$4:$C$8000,"*"&amp;$B478&amp;"*",'Timesheet Raw'!$L$4:$L$8000,"&gt;="&amp;K$5,'Timesheet Raw'!$L$4:$L$8000,"&lt;="&amp;K$6)))/'Profit Plan'!$B$5)</f>
        <v/>
      </c>
      <c r="L478" s="122" t="str">
        <f>IF($A478="","",(IF(ISNUMBER(SEARCH("Proposal",$A478)),SUMIFS('Timesheet Raw'!$P$4:$P$8000,'Timesheet Raw'!$A$4:$A$8000,IF(ISNUMBER(SEARCH("Chargable",$A478)),"2-Proposals Chargeable","3-Proposals Regular"),'Timesheet Raw'!$C$4:$C$8000,"*"&amp;$B478&amp;"*",'Timesheet Raw'!$L$4:$L$8000,"&gt;="&amp;MAX(L$5,DATE(2000+VALUE(RIGHT(TRIM($A478),2)),1,1)),'Timesheet Raw'!$L$4:$L$8000,"&lt;="&amp;MIN(L$6,DATE(2000+VALUE(RIGHT(TRIM($A478),2)),12,31))),SUMIFS('Timesheet Raw'!$P$4:$P$8000,'Timesheet Raw'!$B$4:$B$8000,TRIM($A478),'Timesheet Raw'!$C$4:$C$8000,"*"&amp;$B478&amp;"*",'Timesheet Raw'!$L$4:$L$8000,"&gt;="&amp;L$5,'Timesheet Raw'!$L$4:$L$8000,"&lt;="&amp;L$6)))/'Profit Plan'!$B$5)</f>
        <v/>
      </c>
      <c r="M478" s="122" t="str">
        <f>IF($A478="","",(IF(ISNUMBER(SEARCH("Proposal",$A478)),SUMIFS('Timesheet Raw'!$P$4:$P$8000,'Timesheet Raw'!$A$4:$A$8000,IF(ISNUMBER(SEARCH("Chargable",$A478)),"2-Proposals Chargeable","3-Proposals Regular"),'Timesheet Raw'!$C$4:$C$8000,"*"&amp;$B478&amp;"*",'Timesheet Raw'!$L$4:$L$8000,"&gt;="&amp;MAX(M$5,DATE(2000+VALUE(RIGHT(TRIM($A478),2)),1,1)),'Timesheet Raw'!$L$4:$L$8000,"&lt;="&amp;MIN(M$6,DATE(2000+VALUE(RIGHT(TRIM($A478),2)),12,31))),SUMIFS('Timesheet Raw'!$P$4:$P$8000,'Timesheet Raw'!$B$4:$B$8000,TRIM($A478),'Timesheet Raw'!$C$4:$C$8000,"*"&amp;$B478&amp;"*",'Timesheet Raw'!$L$4:$L$8000,"&gt;="&amp;M$5,'Timesheet Raw'!$L$4:$L$8000,"&lt;="&amp;M$6)))/'Profit Plan'!$B$5)</f>
        <v/>
      </c>
      <c r="N478" s="122" t="str">
        <f>IF($A478="","",(IF(ISNUMBER(SEARCH("Proposal",$A478)),SUMIFS('Timesheet Raw'!$P$4:$P$8000,'Timesheet Raw'!$A$4:$A$8000,IF(ISNUMBER(SEARCH("Chargable",$A478)),"2-Proposals Chargeable","3-Proposals Regular"),'Timesheet Raw'!$C$4:$C$8000,"*"&amp;$B478&amp;"*",'Timesheet Raw'!$L$4:$L$8000,"&gt;="&amp;MAX(N$5,DATE(2000+VALUE(RIGHT(TRIM($A478),2)),1,1)),'Timesheet Raw'!$L$4:$L$8000,"&lt;="&amp;MIN(N$6,DATE(2000+VALUE(RIGHT(TRIM($A478),2)),12,31))),SUMIFS('Timesheet Raw'!$P$4:$P$8000,'Timesheet Raw'!$B$4:$B$8000,TRIM($A478),'Timesheet Raw'!$C$4:$C$8000,"*"&amp;$B478&amp;"*",'Timesheet Raw'!$L$4:$L$8000,"&gt;="&amp;N$5,'Timesheet Raw'!$L$4:$L$8000,"&lt;="&amp;N$6)))/'Profit Plan'!$B$5)</f>
        <v/>
      </c>
      <c r="O478" s="122" t="str">
        <f>IF($A478="","",(IF(ISNUMBER(SEARCH("Proposal",$A478)),SUMIFS('Timesheet Raw'!$P$4:$P$8000,'Timesheet Raw'!$A$4:$A$8000,IF(ISNUMBER(SEARCH("Chargable",$A478)),"2-Proposals Chargeable","3-Proposals Regular"),'Timesheet Raw'!$C$4:$C$8000,"*"&amp;$B478&amp;"*",'Timesheet Raw'!$L$4:$L$8000,"&gt;="&amp;MAX(O$5,DATE(2000+VALUE(RIGHT(TRIM($A478),2)),1,1)),'Timesheet Raw'!$L$4:$L$8000,"&lt;="&amp;MIN(O$6,DATE(2000+VALUE(RIGHT(TRIM($A478),2)),12,31))),SUMIFS('Timesheet Raw'!$P$4:$P$8000,'Timesheet Raw'!$B$4:$B$8000,TRIM($A478),'Timesheet Raw'!$C$4:$C$8000,"*"&amp;$B478&amp;"*",'Timesheet Raw'!$L$4:$L$8000,"&gt;="&amp;O$5,'Timesheet Raw'!$L$4:$L$8000,"&lt;="&amp;O$6)))/'Profit Plan'!$B$5)</f>
        <v/>
      </c>
      <c r="P478" s="122" t="str">
        <f>IF($A478="","",(IF(ISNUMBER(SEARCH("Proposal",$A478)),SUMIFS('Timesheet Raw'!$P$4:$P$8000,'Timesheet Raw'!$A$4:$A$8000,IF(ISNUMBER(SEARCH("Chargable",$A478)),"2-Proposals Chargeable","3-Proposals Regular"),'Timesheet Raw'!$C$4:$C$8000,"*"&amp;$B478&amp;"*",'Timesheet Raw'!$L$4:$L$8000,"&gt;="&amp;MAX(P$5,DATE(2000+VALUE(RIGHT(TRIM($A478),2)),1,1)),'Timesheet Raw'!$L$4:$L$8000,"&lt;="&amp;MIN(P$6,DATE(2000+VALUE(RIGHT(TRIM($A478),2)),12,31))),SUMIFS('Timesheet Raw'!$P$4:$P$8000,'Timesheet Raw'!$B$4:$B$8000,TRIM($A478),'Timesheet Raw'!$C$4:$C$8000,"*"&amp;$B478&amp;"*",'Timesheet Raw'!$L$4:$L$8000,"&gt;="&amp;P$5,'Timesheet Raw'!$L$4:$L$8000,"&lt;="&amp;P$6)))/'Profit Plan'!$B$5)</f>
        <v/>
      </c>
      <c r="Q478" s="122" t="str">
        <f>IF($A478="","",(IF(ISNUMBER(SEARCH("Proposal",$A478)),SUMIFS('Timesheet Raw'!$P$4:$P$8000,'Timesheet Raw'!$A$4:$A$8000,IF(ISNUMBER(SEARCH("Chargable",$A478)),"2-Proposals Chargeable","3-Proposals Regular"),'Timesheet Raw'!$C$4:$C$8000,"*"&amp;$B478&amp;"*",'Timesheet Raw'!$L$4:$L$8000,"&gt;="&amp;MAX(Q$5,DATE(2000+VALUE(RIGHT(TRIM($A478),2)),1,1)),'Timesheet Raw'!$L$4:$L$8000,"&lt;="&amp;MIN(Q$6,DATE(2000+VALUE(RIGHT(TRIM($A478),2)),12,31))),SUMIFS('Timesheet Raw'!$P$4:$P$8000,'Timesheet Raw'!$B$4:$B$8000,TRIM($A478),'Timesheet Raw'!$C$4:$C$8000,"*"&amp;$B478&amp;"*",'Timesheet Raw'!$L$4:$L$8000,"&gt;="&amp;Q$5,'Timesheet Raw'!$L$4:$L$8000,"&lt;="&amp;Q$6)))/'Profit Plan'!$B$5)</f>
        <v/>
      </c>
      <c r="R478" s="122" t="str">
        <f>IF($A478="","",(IF(ISNUMBER(SEARCH("Proposal",$A478)),SUMIFS('Timesheet Raw'!$P$4:$P$8000,'Timesheet Raw'!$A$4:$A$8000,IF(ISNUMBER(SEARCH("Chargable",$A478)),"2-Proposals Chargeable","3-Proposals Regular"),'Timesheet Raw'!$C$4:$C$8000,"*"&amp;$B478&amp;"*",'Timesheet Raw'!$L$4:$L$8000,"&gt;="&amp;MAX(R$5,DATE(2000+VALUE(RIGHT(TRIM($A478),2)),1,1)),'Timesheet Raw'!$L$4:$L$8000,"&lt;="&amp;MIN(R$6,DATE(2000+VALUE(RIGHT(TRIM($A478),2)),12,31))),SUMIFS('Timesheet Raw'!$P$4:$P$8000,'Timesheet Raw'!$B$4:$B$8000,TRIM($A478),'Timesheet Raw'!$C$4:$C$8000,"*"&amp;$B478&amp;"*",'Timesheet Raw'!$L$4:$L$8000,"&gt;="&amp;R$5,'Timesheet Raw'!$L$4:$L$8000,"&lt;="&amp;R$6)))/'Profit Plan'!$B$5)</f>
        <v/>
      </c>
      <c r="S478" s="122" t="str">
        <f>IF($A478="","",(IF(ISNUMBER(SEARCH("Proposal",$A478)),SUMIFS('Timesheet Raw'!$P$4:$P$8000,'Timesheet Raw'!$A$4:$A$8000,IF(ISNUMBER(SEARCH("Chargable",$A478)),"2-Proposals Chargeable","3-Proposals Regular"),'Timesheet Raw'!$C$4:$C$8000,"*"&amp;$B478&amp;"*",'Timesheet Raw'!$L$4:$L$8000,"&gt;="&amp;MAX(S$5,DATE(2000+VALUE(RIGHT(TRIM($A478),2)),1,1)),'Timesheet Raw'!$L$4:$L$8000,"&lt;="&amp;MIN(S$6,DATE(2000+VALUE(RIGHT(TRIM($A478),2)),12,31))),SUMIFS('Timesheet Raw'!$P$4:$P$8000,'Timesheet Raw'!$B$4:$B$8000,TRIM($A478),'Timesheet Raw'!$C$4:$C$8000,"*"&amp;$B478&amp;"*",'Timesheet Raw'!$L$4:$L$8000,"&gt;="&amp;S$5,'Timesheet Raw'!$L$4:$L$8000,"&lt;="&amp;S$6)))/'Profit Plan'!$B$5)</f>
        <v/>
      </c>
      <c r="T478" s="122" t="str">
        <f>IF($A478="","",(IF(ISNUMBER(SEARCH("Proposal",$A478)),SUMIFS('Timesheet Raw'!$P$4:$P$8000,'Timesheet Raw'!$A$4:$A$8000,IF(ISNUMBER(SEARCH("Chargable",$A478)),"2-Proposals Chargeable","3-Proposals Regular"),'Timesheet Raw'!$C$4:$C$8000,"*"&amp;$B478&amp;"*",'Timesheet Raw'!$L$4:$L$8000,"&gt;="&amp;MAX(T$5,DATE(2000+VALUE(RIGHT(TRIM($A478),2)),1,1)),'Timesheet Raw'!$L$4:$L$8000,"&lt;="&amp;MIN(T$6,DATE(2000+VALUE(RIGHT(TRIM($A478),2)),12,31))),SUMIFS('Timesheet Raw'!$P$4:$P$8000,'Timesheet Raw'!$B$4:$B$8000,TRIM($A478),'Timesheet Raw'!$C$4:$C$8000,"*"&amp;$B478&amp;"*",'Timesheet Raw'!$L$4:$L$8000,"&gt;="&amp;T$5,'Timesheet Raw'!$L$4:$L$8000,"&lt;="&amp;T$6)))/'Profit Plan'!$B$5)</f>
        <v/>
      </c>
      <c r="U478" s="122" t="str">
        <f>IF($A478="","",(IF(ISNUMBER(SEARCH("Proposal",$A478)),SUMIFS('Timesheet Raw'!$P$4:$P$8000,'Timesheet Raw'!$A$4:$A$8000,IF(ISNUMBER(SEARCH("Chargable",$A478)),"2-Proposals Chargeable","3-Proposals Regular"),'Timesheet Raw'!$C$4:$C$8000,"*"&amp;$B478&amp;"*",'Timesheet Raw'!$L$4:$L$8000,"&gt;="&amp;MAX(U$5,DATE(2000+VALUE(RIGHT(TRIM($A478),2)),1,1)),'Timesheet Raw'!$L$4:$L$8000,"&lt;="&amp;MIN(U$6,DATE(2000+VALUE(RIGHT(TRIM($A478),2)),12,31))),SUMIFS('Timesheet Raw'!$P$4:$P$8000,'Timesheet Raw'!$B$4:$B$8000,TRIM($A478),'Timesheet Raw'!$C$4:$C$8000,"*"&amp;$B478&amp;"*",'Timesheet Raw'!$L$4:$L$8000,"&gt;="&amp;U$5,'Timesheet Raw'!$L$4:$L$8000,"&lt;="&amp;U$6)))/'Profit Plan'!$B$5)</f>
        <v/>
      </c>
      <c r="V478" s="122" t="str">
        <f>IF($A478="","",(IF(ISNUMBER(SEARCH("Proposal",$A478)),SUMIFS('Timesheet Raw'!$P$4:$P$8000,'Timesheet Raw'!$A$4:$A$8000,IF(ISNUMBER(SEARCH("Chargable",$A478)),"2-Proposals Chargeable","3-Proposals Regular"),'Timesheet Raw'!$C$4:$C$8000,"*"&amp;$B478&amp;"*",'Timesheet Raw'!$L$4:$L$8000,"&gt;="&amp;MAX(V$5,DATE(2000+VALUE(RIGHT(TRIM($A478),2)),1,1)),'Timesheet Raw'!$L$4:$L$8000,"&lt;="&amp;MIN(V$6,DATE(2000+VALUE(RIGHT(TRIM($A478),2)),12,31))),SUMIFS('Timesheet Raw'!$P$4:$P$8000,'Timesheet Raw'!$B$4:$B$8000,TRIM($A478),'Timesheet Raw'!$C$4:$C$8000,"*"&amp;$B478&amp;"*",'Timesheet Raw'!$L$4:$L$8000,"&gt;="&amp;V$5,'Timesheet Raw'!$L$4:$L$8000,"&lt;="&amp;V$6)))/'Profit Plan'!$B$5)</f>
        <v/>
      </c>
      <c r="W478" s="122" t="str">
        <f>IF($A478="","",(IF(ISNUMBER(SEARCH("Proposal",$A478)),SUMIFS('Timesheet Raw'!$P$4:$P$8000,'Timesheet Raw'!$A$4:$A$8000,IF(ISNUMBER(SEARCH("Chargable",$A478)),"2-Proposals Chargeable","3-Proposals Regular"),'Timesheet Raw'!$C$4:$C$8000,"*"&amp;$B478&amp;"*",'Timesheet Raw'!$L$4:$L$8000,"&gt;="&amp;MAX(W$5,DATE(2000+VALUE(RIGHT(TRIM($A478),2)),1,1)),'Timesheet Raw'!$L$4:$L$8000,"&lt;="&amp;MIN(W$6,DATE(2000+VALUE(RIGHT(TRIM($A478),2)),12,31))),SUMIFS('Timesheet Raw'!$P$4:$P$8000,'Timesheet Raw'!$B$4:$B$8000,TRIM($A478),'Timesheet Raw'!$C$4:$C$8000,"*"&amp;$B478&amp;"*",'Timesheet Raw'!$L$4:$L$8000,"&gt;="&amp;W$5,'Timesheet Raw'!$L$4:$L$8000,"&lt;="&amp;W$6)))/'Profit Plan'!$B$5)</f>
        <v/>
      </c>
      <c r="X478" s="122" t="str">
        <f>IF($A478="","",(IF(ISNUMBER(SEARCH("Proposal",$A478)),SUMIFS('Timesheet Raw'!$P$4:$P$8000,'Timesheet Raw'!$A$4:$A$8000,IF(ISNUMBER(SEARCH("Chargable",$A478)),"2-Proposals Chargeable","3-Proposals Regular"),'Timesheet Raw'!$C$4:$C$8000,"*"&amp;$B478&amp;"*",'Timesheet Raw'!$L$4:$L$8000,"&gt;="&amp;MAX(X$5,DATE(2000+VALUE(RIGHT(TRIM($A478),2)),1,1)),'Timesheet Raw'!$L$4:$L$8000,"&lt;="&amp;MIN(X$6,DATE(2000+VALUE(RIGHT(TRIM($A478),2)),12,31))),SUMIFS('Timesheet Raw'!$P$4:$P$8000,'Timesheet Raw'!$B$4:$B$8000,TRIM($A478),'Timesheet Raw'!$C$4:$C$8000,"*"&amp;$B478&amp;"*",'Timesheet Raw'!$L$4:$L$8000,"&gt;="&amp;X$5,'Timesheet Raw'!$L$4:$L$8000,"&lt;="&amp;X$6)))/'Profit Plan'!$B$5)</f>
        <v/>
      </c>
      <c r="Y478" s="118">
        <f t="shared" si="103"/>
        <v>0</v>
      </c>
    </row>
    <row r="479" spans="1:25" x14ac:dyDescent="0.3">
      <c r="A479" s="116" t="str">
        <f>IF(Inputs!$A77="","",Inputs!$A77)</f>
        <v/>
      </c>
      <c r="B479" s="116" t="str">
        <f>IF(Inputs!$A77="","",Inputs!$A$92)</f>
        <v/>
      </c>
      <c r="C479" s="116"/>
      <c r="D479" s="122" t="str">
        <f>IF($A479="","",(IF(ISNUMBER(SEARCH("Proposal",$A479)),SUMIFS('Timesheet Raw'!$P$4:$P$8000,'Timesheet Raw'!$A$4:$A$8000,IF(ISNUMBER(SEARCH("Chargable",$A479)),"2-Proposals Chargeable","3-Proposals Regular"),'Timesheet Raw'!$C$4:$C$8000,"*"&amp;$B479&amp;"*",'Timesheet Raw'!$L$4:$L$8000,"&gt;="&amp;MAX(D$5,DATE(2000+VALUE(RIGHT(TRIM($A479),2)),1,1)),'Timesheet Raw'!$L$4:$L$8000,"&lt;="&amp;MIN(D$6,DATE(2000+VALUE(RIGHT(TRIM($A479),2)),12,31))),SUMIFS('Timesheet Raw'!$P$4:$P$8000,'Timesheet Raw'!$B$4:$B$8000,TRIM($A479),'Timesheet Raw'!$C$4:$C$8000,"*"&amp;$B479&amp;"*",'Timesheet Raw'!$L$4:$L$8000,"&gt;="&amp;D$5,'Timesheet Raw'!$L$4:$L$8000,"&lt;="&amp;D$6)))/'Profit Plan'!$B$5)</f>
        <v/>
      </c>
      <c r="E479" s="122" t="str">
        <f>IF($A479="","",(IF(ISNUMBER(SEARCH("Proposal",$A479)),SUMIFS('Timesheet Raw'!$P$4:$P$8000,'Timesheet Raw'!$A$4:$A$8000,IF(ISNUMBER(SEARCH("Chargable",$A479)),"2-Proposals Chargeable","3-Proposals Regular"),'Timesheet Raw'!$C$4:$C$8000,"*"&amp;$B479&amp;"*",'Timesheet Raw'!$L$4:$L$8000,"&gt;="&amp;MAX(E$5,DATE(2000+VALUE(RIGHT(TRIM($A479),2)),1,1)),'Timesheet Raw'!$L$4:$L$8000,"&lt;="&amp;MIN(E$6,DATE(2000+VALUE(RIGHT(TRIM($A479),2)),12,31))),SUMIFS('Timesheet Raw'!$P$4:$P$8000,'Timesheet Raw'!$B$4:$B$8000,TRIM($A479),'Timesheet Raw'!$C$4:$C$8000,"*"&amp;$B479&amp;"*",'Timesheet Raw'!$L$4:$L$8000,"&gt;="&amp;E$5,'Timesheet Raw'!$L$4:$L$8000,"&lt;="&amp;E$6)))/'Profit Plan'!$B$5)</f>
        <v/>
      </c>
      <c r="F479" s="122" t="str">
        <f>IF($A479="","",(IF(ISNUMBER(SEARCH("Proposal",$A479)),SUMIFS('Timesheet Raw'!$P$4:$P$8000,'Timesheet Raw'!$A$4:$A$8000,IF(ISNUMBER(SEARCH("Chargable",$A479)),"2-Proposals Chargeable","3-Proposals Regular"),'Timesheet Raw'!$C$4:$C$8000,"*"&amp;$B479&amp;"*",'Timesheet Raw'!$L$4:$L$8000,"&gt;="&amp;MAX(F$5,DATE(2000+VALUE(RIGHT(TRIM($A479),2)),1,1)),'Timesheet Raw'!$L$4:$L$8000,"&lt;="&amp;MIN(F$6,DATE(2000+VALUE(RIGHT(TRIM($A479),2)),12,31))),SUMIFS('Timesheet Raw'!$P$4:$P$8000,'Timesheet Raw'!$B$4:$B$8000,TRIM($A479),'Timesheet Raw'!$C$4:$C$8000,"*"&amp;$B479&amp;"*",'Timesheet Raw'!$L$4:$L$8000,"&gt;="&amp;F$5,'Timesheet Raw'!$L$4:$L$8000,"&lt;="&amp;F$6)))/'Profit Plan'!$B$5)</f>
        <v/>
      </c>
      <c r="G479" s="122" t="str">
        <f>IF($A479="","",(IF(ISNUMBER(SEARCH("Proposal",$A479)),SUMIFS('Timesheet Raw'!$P$4:$P$8000,'Timesheet Raw'!$A$4:$A$8000,IF(ISNUMBER(SEARCH("Chargable",$A479)),"2-Proposals Chargeable","3-Proposals Regular"),'Timesheet Raw'!$C$4:$C$8000,"*"&amp;$B479&amp;"*",'Timesheet Raw'!$L$4:$L$8000,"&gt;="&amp;MAX(G$5,DATE(2000+VALUE(RIGHT(TRIM($A479),2)),1,1)),'Timesheet Raw'!$L$4:$L$8000,"&lt;="&amp;MIN(G$6,DATE(2000+VALUE(RIGHT(TRIM($A479),2)),12,31))),SUMIFS('Timesheet Raw'!$P$4:$P$8000,'Timesheet Raw'!$B$4:$B$8000,TRIM($A479),'Timesheet Raw'!$C$4:$C$8000,"*"&amp;$B479&amp;"*",'Timesheet Raw'!$L$4:$L$8000,"&gt;="&amp;G$5,'Timesheet Raw'!$L$4:$L$8000,"&lt;="&amp;G$6)))/'Profit Plan'!$B$5)</f>
        <v/>
      </c>
      <c r="H479" s="122" t="str">
        <f>IF($A479="","",(IF(ISNUMBER(SEARCH("Proposal",$A479)),SUMIFS('Timesheet Raw'!$P$4:$P$8000,'Timesheet Raw'!$A$4:$A$8000,IF(ISNUMBER(SEARCH("Chargable",$A479)),"2-Proposals Chargeable","3-Proposals Regular"),'Timesheet Raw'!$C$4:$C$8000,"*"&amp;$B479&amp;"*",'Timesheet Raw'!$L$4:$L$8000,"&gt;="&amp;MAX(H$5,DATE(2000+VALUE(RIGHT(TRIM($A479),2)),1,1)),'Timesheet Raw'!$L$4:$L$8000,"&lt;="&amp;MIN(H$6,DATE(2000+VALUE(RIGHT(TRIM($A479),2)),12,31))),SUMIFS('Timesheet Raw'!$P$4:$P$8000,'Timesheet Raw'!$B$4:$B$8000,TRIM($A479),'Timesheet Raw'!$C$4:$C$8000,"*"&amp;$B479&amp;"*",'Timesheet Raw'!$L$4:$L$8000,"&gt;="&amp;H$5,'Timesheet Raw'!$L$4:$L$8000,"&lt;="&amp;H$6)))/'Profit Plan'!$B$5)</f>
        <v/>
      </c>
      <c r="I479" s="122" t="str">
        <f>IF($A479="","",(IF(ISNUMBER(SEARCH("Proposal",$A479)),SUMIFS('Timesheet Raw'!$P$4:$P$8000,'Timesheet Raw'!$A$4:$A$8000,IF(ISNUMBER(SEARCH("Chargable",$A479)),"2-Proposals Chargeable","3-Proposals Regular"),'Timesheet Raw'!$C$4:$C$8000,"*"&amp;$B479&amp;"*",'Timesheet Raw'!$L$4:$L$8000,"&gt;="&amp;MAX(I$5,DATE(2000+VALUE(RIGHT(TRIM($A479),2)),1,1)),'Timesheet Raw'!$L$4:$L$8000,"&lt;="&amp;MIN(I$6,DATE(2000+VALUE(RIGHT(TRIM($A479),2)),12,31))),SUMIFS('Timesheet Raw'!$P$4:$P$8000,'Timesheet Raw'!$B$4:$B$8000,TRIM($A479),'Timesheet Raw'!$C$4:$C$8000,"*"&amp;$B479&amp;"*",'Timesheet Raw'!$L$4:$L$8000,"&gt;="&amp;I$5,'Timesheet Raw'!$L$4:$L$8000,"&lt;="&amp;I$6)))/'Profit Plan'!$B$5)</f>
        <v/>
      </c>
      <c r="J479" s="122" t="str">
        <f>IF($A479="","",(IF(ISNUMBER(SEARCH("Proposal",$A479)),SUMIFS('Timesheet Raw'!$P$4:$P$8000,'Timesheet Raw'!$A$4:$A$8000,IF(ISNUMBER(SEARCH("Chargable",$A479)),"2-Proposals Chargeable","3-Proposals Regular"),'Timesheet Raw'!$C$4:$C$8000,"*"&amp;$B479&amp;"*",'Timesheet Raw'!$L$4:$L$8000,"&gt;="&amp;MAX(J$5,DATE(2000+VALUE(RIGHT(TRIM($A479),2)),1,1)),'Timesheet Raw'!$L$4:$L$8000,"&lt;="&amp;MIN(J$6,DATE(2000+VALUE(RIGHT(TRIM($A479),2)),12,31))),SUMIFS('Timesheet Raw'!$P$4:$P$8000,'Timesheet Raw'!$B$4:$B$8000,TRIM($A479),'Timesheet Raw'!$C$4:$C$8000,"*"&amp;$B479&amp;"*",'Timesheet Raw'!$L$4:$L$8000,"&gt;="&amp;J$5,'Timesheet Raw'!$L$4:$L$8000,"&lt;="&amp;J$6)))/'Profit Plan'!$B$5)</f>
        <v/>
      </c>
      <c r="K479" s="122" t="str">
        <f>IF($A479="","",(IF(ISNUMBER(SEARCH("Proposal",$A479)),SUMIFS('Timesheet Raw'!$P$4:$P$8000,'Timesheet Raw'!$A$4:$A$8000,IF(ISNUMBER(SEARCH("Chargable",$A479)),"2-Proposals Chargeable","3-Proposals Regular"),'Timesheet Raw'!$C$4:$C$8000,"*"&amp;$B479&amp;"*",'Timesheet Raw'!$L$4:$L$8000,"&gt;="&amp;MAX(K$5,DATE(2000+VALUE(RIGHT(TRIM($A479),2)),1,1)),'Timesheet Raw'!$L$4:$L$8000,"&lt;="&amp;MIN(K$6,DATE(2000+VALUE(RIGHT(TRIM($A479),2)),12,31))),SUMIFS('Timesheet Raw'!$P$4:$P$8000,'Timesheet Raw'!$B$4:$B$8000,TRIM($A479),'Timesheet Raw'!$C$4:$C$8000,"*"&amp;$B479&amp;"*",'Timesheet Raw'!$L$4:$L$8000,"&gt;="&amp;K$5,'Timesheet Raw'!$L$4:$L$8000,"&lt;="&amp;K$6)))/'Profit Plan'!$B$5)</f>
        <v/>
      </c>
      <c r="L479" s="122" t="str">
        <f>IF($A479="","",(IF(ISNUMBER(SEARCH("Proposal",$A479)),SUMIFS('Timesheet Raw'!$P$4:$P$8000,'Timesheet Raw'!$A$4:$A$8000,IF(ISNUMBER(SEARCH("Chargable",$A479)),"2-Proposals Chargeable","3-Proposals Regular"),'Timesheet Raw'!$C$4:$C$8000,"*"&amp;$B479&amp;"*",'Timesheet Raw'!$L$4:$L$8000,"&gt;="&amp;MAX(L$5,DATE(2000+VALUE(RIGHT(TRIM($A479),2)),1,1)),'Timesheet Raw'!$L$4:$L$8000,"&lt;="&amp;MIN(L$6,DATE(2000+VALUE(RIGHT(TRIM($A479),2)),12,31))),SUMIFS('Timesheet Raw'!$P$4:$P$8000,'Timesheet Raw'!$B$4:$B$8000,TRIM($A479),'Timesheet Raw'!$C$4:$C$8000,"*"&amp;$B479&amp;"*",'Timesheet Raw'!$L$4:$L$8000,"&gt;="&amp;L$5,'Timesheet Raw'!$L$4:$L$8000,"&lt;="&amp;L$6)))/'Profit Plan'!$B$5)</f>
        <v/>
      </c>
      <c r="M479" s="122" t="str">
        <f>IF($A479="","",(IF(ISNUMBER(SEARCH("Proposal",$A479)),SUMIFS('Timesheet Raw'!$P$4:$P$8000,'Timesheet Raw'!$A$4:$A$8000,IF(ISNUMBER(SEARCH("Chargable",$A479)),"2-Proposals Chargeable","3-Proposals Regular"),'Timesheet Raw'!$C$4:$C$8000,"*"&amp;$B479&amp;"*",'Timesheet Raw'!$L$4:$L$8000,"&gt;="&amp;MAX(M$5,DATE(2000+VALUE(RIGHT(TRIM($A479),2)),1,1)),'Timesheet Raw'!$L$4:$L$8000,"&lt;="&amp;MIN(M$6,DATE(2000+VALUE(RIGHT(TRIM($A479),2)),12,31))),SUMIFS('Timesheet Raw'!$P$4:$P$8000,'Timesheet Raw'!$B$4:$B$8000,TRIM($A479),'Timesheet Raw'!$C$4:$C$8000,"*"&amp;$B479&amp;"*",'Timesheet Raw'!$L$4:$L$8000,"&gt;="&amp;M$5,'Timesheet Raw'!$L$4:$L$8000,"&lt;="&amp;M$6)))/'Profit Plan'!$B$5)</f>
        <v/>
      </c>
      <c r="N479" s="122" t="str">
        <f>IF($A479="","",(IF(ISNUMBER(SEARCH("Proposal",$A479)),SUMIFS('Timesheet Raw'!$P$4:$P$8000,'Timesheet Raw'!$A$4:$A$8000,IF(ISNUMBER(SEARCH("Chargable",$A479)),"2-Proposals Chargeable","3-Proposals Regular"),'Timesheet Raw'!$C$4:$C$8000,"*"&amp;$B479&amp;"*",'Timesheet Raw'!$L$4:$L$8000,"&gt;="&amp;MAX(N$5,DATE(2000+VALUE(RIGHT(TRIM($A479),2)),1,1)),'Timesheet Raw'!$L$4:$L$8000,"&lt;="&amp;MIN(N$6,DATE(2000+VALUE(RIGHT(TRIM($A479),2)),12,31))),SUMIFS('Timesheet Raw'!$P$4:$P$8000,'Timesheet Raw'!$B$4:$B$8000,TRIM($A479),'Timesheet Raw'!$C$4:$C$8000,"*"&amp;$B479&amp;"*",'Timesheet Raw'!$L$4:$L$8000,"&gt;="&amp;N$5,'Timesheet Raw'!$L$4:$L$8000,"&lt;="&amp;N$6)))/'Profit Plan'!$B$5)</f>
        <v/>
      </c>
      <c r="O479" s="122" t="str">
        <f>IF($A479="","",(IF(ISNUMBER(SEARCH("Proposal",$A479)),SUMIFS('Timesheet Raw'!$P$4:$P$8000,'Timesheet Raw'!$A$4:$A$8000,IF(ISNUMBER(SEARCH("Chargable",$A479)),"2-Proposals Chargeable","3-Proposals Regular"),'Timesheet Raw'!$C$4:$C$8000,"*"&amp;$B479&amp;"*",'Timesheet Raw'!$L$4:$L$8000,"&gt;="&amp;MAX(O$5,DATE(2000+VALUE(RIGHT(TRIM($A479),2)),1,1)),'Timesheet Raw'!$L$4:$L$8000,"&lt;="&amp;MIN(O$6,DATE(2000+VALUE(RIGHT(TRIM($A479),2)),12,31))),SUMIFS('Timesheet Raw'!$P$4:$P$8000,'Timesheet Raw'!$B$4:$B$8000,TRIM($A479),'Timesheet Raw'!$C$4:$C$8000,"*"&amp;$B479&amp;"*",'Timesheet Raw'!$L$4:$L$8000,"&gt;="&amp;O$5,'Timesheet Raw'!$L$4:$L$8000,"&lt;="&amp;O$6)))/'Profit Plan'!$B$5)</f>
        <v/>
      </c>
      <c r="P479" s="122" t="str">
        <f>IF($A479="","",(IF(ISNUMBER(SEARCH("Proposal",$A479)),SUMIFS('Timesheet Raw'!$P$4:$P$8000,'Timesheet Raw'!$A$4:$A$8000,IF(ISNUMBER(SEARCH("Chargable",$A479)),"2-Proposals Chargeable","3-Proposals Regular"),'Timesheet Raw'!$C$4:$C$8000,"*"&amp;$B479&amp;"*",'Timesheet Raw'!$L$4:$L$8000,"&gt;="&amp;MAX(P$5,DATE(2000+VALUE(RIGHT(TRIM($A479),2)),1,1)),'Timesheet Raw'!$L$4:$L$8000,"&lt;="&amp;MIN(P$6,DATE(2000+VALUE(RIGHT(TRIM($A479),2)),12,31))),SUMIFS('Timesheet Raw'!$P$4:$P$8000,'Timesheet Raw'!$B$4:$B$8000,TRIM($A479),'Timesheet Raw'!$C$4:$C$8000,"*"&amp;$B479&amp;"*",'Timesheet Raw'!$L$4:$L$8000,"&gt;="&amp;P$5,'Timesheet Raw'!$L$4:$L$8000,"&lt;="&amp;P$6)))/'Profit Plan'!$B$5)</f>
        <v/>
      </c>
      <c r="Q479" s="122" t="str">
        <f>IF($A479="","",(IF(ISNUMBER(SEARCH("Proposal",$A479)),SUMIFS('Timesheet Raw'!$P$4:$P$8000,'Timesheet Raw'!$A$4:$A$8000,IF(ISNUMBER(SEARCH("Chargable",$A479)),"2-Proposals Chargeable","3-Proposals Regular"),'Timesheet Raw'!$C$4:$C$8000,"*"&amp;$B479&amp;"*",'Timesheet Raw'!$L$4:$L$8000,"&gt;="&amp;MAX(Q$5,DATE(2000+VALUE(RIGHT(TRIM($A479),2)),1,1)),'Timesheet Raw'!$L$4:$L$8000,"&lt;="&amp;MIN(Q$6,DATE(2000+VALUE(RIGHT(TRIM($A479),2)),12,31))),SUMIFS('Timesheet Raw'!$P$4:$P$8000,'Timesheet Raw'!$B$4:$B$8000,TRIM($A479),'Timesheet Raw'!$C$4:$C$8000,"*"&amp;$B479&amp;"*",'Timesheet Raw'!$L$4:$L$8000,"&gt;="&amp;Q$5,'Timesheet Raw'!$L$4:$L$8000,"&lt;="&amp;Q$6)))/'Profit Plan'!$B$5)</f>
        <v/>
      </c>
      <c r="R479" s="122" t="str">
        <f>IF($A479="","",(IF(ISNUMBER(SEARCH("Proposal",$A479)),SUMIFS('Timesheet Raw'!$P$4:$P$8000,'Timesheet Raw'!$A$4:$A$8000,IF(ISNUMBER(SEARCH("Chargable",$A479)),"2-Proposals Chargeable","3-Proposals Regular"),'Timesheet Raw'!$C$4:$C$8000,"*"&amp;$B479&amp;"*",'Timesheet Raw'!$L$4:$L$8000,"&gt;="&amp;MAX(R$5,DATE(2000+VALUE(RIGHT(TRIM($A479),2)),1,1)),'Timesheet Raw'!$L$4:$L$8000,"&lt;="&amp;MIN(R$6,DATE(2000+VALUE(RIGHT(TRIM($A479),2)),12,31))),SUMIFS('Timesheet Raw'!$P$4:$P$8000,'Timesheet Raw'!$B$4:$B$8000,TRIM($A479),'Timesheet Raw'!$C$4:$C$8000,"*"&amp;$B479&amp;"*",'Timesheet Raw'!$L$4:$L$8000,"&gt;="&amp;R$5,'Timesheet Raw'!$L$4:$L$8000,"&lt;="&amp;R$6)))/'Profit Plan'!$B$5)</f>
        <v/>
      </c>
      <c r="S479" s="122" t="str">
        <f>IF($A479="","",(IF(ISNUMBER(SEARCH("Proposal",$A479)),SUMIFS('Timesheet Raw'!$P$4:$P$8000,'Timesheet Raw'!$A$4:$A$8000,IF(ISNUMBER(SEARCH("Chargable",$A479)),"2-Proposals Chargeable","3-Proposals Regular"),'Timesheet Raw'!$C$4:$C$8000,"*"&amp;$B479&amp;"*",'Timesheet Raw'!$L$4:$L$8000,"&gt;="&amp;MAX(S$5,DATE(2000+VALUE(RIGHT(TRIM($A479),2)),1,1)),'Timesheet Raw'!$L$4:$L$8000,"&lt;="&amp;MIN(S$6,DATE(2000+VALUE(RIGHT(TRIM($A479),2)),12,31))),SUMIFS('Timesheet Raw'!$P$4:$P$8000,'Timesheet Raw'!$B$4:$B$8000,TRIM($A479),'Timesheet Raw'!$C$4:$C$8000,"*"&amp;$B479&amp;"*",'Timesheet Raw'!$L$4:$L$8000,"&gt;="&amp;S$5,'Timesheet Raw'!$L$4:$L$8000,"&lt;="&amp;S$6)))/'Profit Plan'!$B$5)</f>
        <v/>
      </c>
      <c r="T479" s="122" t="str">
        <f>IF($A479="","",(IF(ISNUMBER(SEARCH("Proposal",$A479)),SUMIFS('Timesheet Raw'!$P$4:$P$8000,'Timesheet Raw'!$A$4:$A$8000,IF(ISNUMBER(SEARCH("Chargable",$A479)),"2-Proposals Chargeable","3-Proposals Regular"),'Timesheet Raw'!$C$4:$C$8000,"*"&amp;$B479&amp;"*",'Timesheet Raw'!$L$4:$L$8000,"&gt;="&amp;MAX(T$5,DATE(2000+VALUE(RIGHT(TRIM($A479),2)),1,1)),'Timesheet Raw'!$L$4:$L$8000,"&lt;="&amp;MIN(T$6,DATE(2000+VALUE(RIGHT(TRIM($A479),2)),12,31))),SUMIFS('Timesheet Raw'!$P$4:$P$8000,'Timesheet Raw'!$B$4:$B$8000,TRIM($A479),'Timesheet Raw'!$C$4:$C$8000,"*"&amp;$B479&amp;"*",'Timesheet Raw'!$L$4:$L$8000,"&gt;="&amp;T$5,'Timesheet Raw'!$L$4:$L$8000,"&lt;="&amp;T$6)))/'Profit Plan'!$B$5)</f>
        <v/>
      </c>
      <c r="U479" s="122" t="str">
        <f>IF($A479="","",(IF(ISNUMBER(SEARCH("Proposal",$A479)),SUMIFS('Timesheet Raw'!$P$4:$P$8000,'Timesheet Raw'!$A$4:$A$8000,IF(ISNUMBER(SEARCH("Chargable",$A479)),"2-Proposals Chargeable","3-Proposals Regular"),'Timesheet Raw'!$C$4:$C$8000,"*"&amp;$B479&amp;"*",'Timesheet Raw'!$L$4:$L$8000,"&gt;="&amp;MAX(U$5,DATE(2000+VALUE(RIGHT(TRIM($A479),2)),1,1)),'Timesheet Raw'!$L$4:$L$8000,"&lt;="&amp;MIN(U$6,DATE(2000+VALUE(RIGHT(TRIM($A479),2)),12,31))),SUMIFS('Timesheet Raw'!$P$4:$P$8000,'Timesheet Raw'!$B$4:$B$8000,TRIM($A479),'Timesheet Raw'!$C$4:$C$8000,"*"&amp;$B479&amp;"*",'Timesheet Raw'!$L$4:$L$8000,"&gt;="&amp;U$5,'Timesheet Raw'!$L$4:$L$8000,"&lt;="&amp;U$6)))/'Profit Plan'!$B$5)</f>
        <v/>
      </c>
      <c r="V479" s="122" t="str">
        <f>IF($A479="","",(IF(ISNUMBER(SEARCH("Proposal",$A479)),SUMIFS('Timesheet Raw'!$P$4:$P$8000,'Timesheet Raw'!$A$4:$A$8000,IF(ISNUMBER(SEARCH("Chargable",$A479)),"2-Proposals Chargeable","3-Proposals Regular"),'Timesheet Raw'!$C$4:$C$8000,"*"&amp;$B479&amp;"*",'Timesheet Raw'!$L$4:$L$8000,"&gt;="&amp;MAX(V$5,DATE(2000+VALUE(RIGHT(TRIM($A479),2)),1,1)),'Timesheet Raw'!$L$4:$L$8000,"&lt;="&amp;MIN(V$6,DATE(2000+VALUE(RIGHT(TRIM($A479),2)),12,31))),SUMIFS('Timesheet Raw'!$P$4:$P$8000,'Timesheet Raw'!$B$4:$B$8000,TRIM($A479),'Timesheet Raw'!$C$4:$C$8000,"*"&amp;$B479&amp;"*",'Timesheet Raw'!$L$4:$L$8000,"&gt;="&amp;V$5,'Timesheet Raw'!$L$4:$L$8000,"&lt;="&amp;V$6)))/'Profit Plan'!$B$5)</f>
        <v/>
      </c>
      <c r="W479" s="122" t="str">
        <f>IF($A479="","",(IF(ISNUMBER(SEARCH("Proposal",$A479)),SUMIFS('Timesheet Raw'!$P$4:$P$8000,'Timesheet Raw'!$A$4:$A$8000,IF(ISNUMBER(SEARCH("Chargable",$A479)),"2-Proposals Chargeable","3-Proposals Regular"),'Timesheet Raw'!$C$4:$C$8000,"*"&amp;$B479&amp;"*",'Timesheet Raw'!$L$4:$L$8000,"&gt;="&amp;MAX(W$5,DATE(2000+VALUE(RIGHT(TRIM($A479),2)),1,1)),'Timesheet Raw'!$L$4:$L$8000,"&lt;="&amp;MIN(W$6,DATE(2000+VALUE(RIGHT(TRIM($A479),2)),12,31))),SUMIFS('Timesheet Raw'!$P$4:$P$8000,'Timesheet Raw'!$B$4:$B$8000,TRIM($A479),'Timesheet Raw'!$C$4:$C$8000,"*"&amp;$B479&amp;"*",'Timesheet Raw'!$L$4:$L$8000,"&gt;="&amp;W$5,'Timesheet Raw'!$L$4:$L$8000,"&lt;="&amp;W$6)))/'Profit Plan'!$B$5)</f>
        <v/>
      </c>
      <c r="X479" s="122" t="str">
        <f>IF($A479="","",(IF(ISNUMBER(SEARCH("Proposal",$A479)),SUMIFS('Timesheet Raw'!$P$4:$P$8000,'Timesheet Raw'!$A$4:$A$8000,IF(ISNUMBER(SEARCH("Chargable",$A479)),"2-Proposals Chargeable","3-Proposals Regular"),'Timesheet Raw'!$C$4:$C$8000,"*"&amp;$B479&amp;"*",'Timesheet Raw'!$L$4:$L$8000,"&gt;="&amp;MAX(X$5,DATE(2000+VALUE(RIGHT(TRIM($A479),2)),1,1)),'Timesheet Raw'!$L$4:$L$8000,"&lt;="&amp;MIN(X$6,DATE(2000+VALUE(RIGHT(TRIM($A479),2)),12,31))),SUMIFS('Timesheet Raw'!$P$4:$P$8000,'Timesheet Raw'!$B$4:$B$8000,TRIM($A479),'Timesheet Raw'!$C$4:$C$8000,"*"&amp;$B479&amp;"*",'Timesheet Raw'!$L$4:$L$8000,"&gt;="&amp;X$5,'Timesheet Raw'!$L$4:$L$8000,"&lt;="&amp;X$6)))/'Profit Plan'!$B$5)</f>
        <v/>
      </c>
      <c r="Y479" s="118">
        <f t="shared" si="103"/>
        <v>0</v>
      </c>
    </row>
    <row r="480" spans="1:25" x14ac:dyDescent="0.3">
      <c r="A480" s="116" t="str">
        <f>IF(Inputs!$A77="","",Inputs!$A77)</f>
        <v/>
      </c>
      <c r="B480" s="116" t="str">
        <f>IF(Inputs!$A77="","",Inputs!$A$93)</f>
        <v/>
      </c>
      <c r="C480" s="116"/>
      <c r="D480" s="122" t="str">
        <f>IF($A480="","",(IF(ISNUMBER(SEARCH("Proposal",$A480)),SUMIFS('Timesheet Raw'!$P$4:$P$8000,'Timesheet Raw'!$A$4:$A$8000,IF(ISNUMBER(SEARCH("Chargable",$A480)),"2-Proposals Chargeable","3-Proposals Regular"),'Timesheet Raw'!$C$4:$C$8000,"*"&amp;$B480&amp;"*",'Timesheet Raw'!$L$4:$L$8000,"&gt;="&amp;MAX(D$5,DATE(2000+VALUE(RIGHT(TRIM($A480),2)),1,1)),'Timesheet Raw'!$L$4:$L$8000,"&lt;="&amp;MIN(D$6,DATE(2000+VALUE(RIGHT(TRIM($A480),2)),12,31))),SUMIFS('Timesheet Raw'!$P$4:$P$8000,'Timesheet Raw'!$B$4:$B$8000,TRIM($A480),'Timesheet Raw'!$C$4:$C$8000,"*"&amp;$B480&amp;"*",'Timesheet Raw'!$L$4:$L$8000,"&gt;="&amp;D$5,'Timesheet Raw'!$L$4:$L$8000,"&lt;="&amp;D$6)))/'Profit Plan'!$B$5)</f>
        <v/>
      </c>
      <c r="E480" s="122" t="str">
        <f>IF($A480="","",(IF(ISNUMBER(SEARCH("Proposal",$A480)),SUMIFS('Timesheet Raw'!$P$4:$P$8000,'Timesheet Raw'!$A$4:$A$8000,IF(ISNUMBER(SEARCH("Chargable",$A480)),"2-Proposals Chargeable","3-Proposals Regular"),'Timesheet Raw'!$C$4:$C$8000,"*"&amp;$B480&amp;"*",'Timesheet Raw'!$L$4:$L$8000,"&gt;="&amp;MAX(E$5,DATE(2000+VALUE(RIGHT(TRIM($A480),2)),1,1)),'Timesheet Raw'!$L$4:$L$8000,"&lt;="&amp;MIN(E$6,DATE(2000+VALUE(RIGHT(TRIM($A480),2)),12,31))),SUMIFS('Timesheet Raw'!$P$4:$P$8000,'Timesheet Raw'!$B$4:$B$8000,TRIM($A480),'Timesheet Raw'!$C$4:$C$8000,"*"&amp;$B480&amp;"*",'Timesheet Raw'!$L$4:$L$8000,"&gt;="&amp;E$5,'Timesheet Raw'!$L$4:$L$8000,"&lt;="&amp;E$6)))/'Profit Plan'!$B$5)</f>
        <v/>
      </c>
      <c r="F480" s="122" t="str">
        <f>IF($A480="","",(IF(ISNUMBER(SEARCH("Proposal",$A480)),SUMIFS('Timesheet Raw'!$P$4:$P$8000,'Timesheet Raw'!$A$4:$A$8000,IF(ISNUMBER(SEARCH("Chargable",$A480)),"2-Proposals Chargeable","3-Proposals Regular"),'Timesheet Raw'!$C$4:$C$8000,"*"&amp;$B480&amp;"*",'Timesheet Raw'!$L$4:$L$8000,"&gt;="&amp;MAX(F$5,DATE(2000+VALUE(RIGHT(TRIM($A480),2)),1,1)),'Timesheet Raw'!$L$4:$L$8000,"&lt;="&amp;MIN(F$6,DATE(2000+VALUE(RIGHT(TRIM($A480),2)),12,31))),SUMIFS('Timesheet Raw'!$P$4:$P$8000,'Timesheet Raw'!$B$4:$B$8000,TRIM($A480),'Timesheet Raw'!$C$4:$C$8000,"*"&amp;$B480&amp;"*",'Timesheet Raw'!$L$4:$L$8000,"&gt;="&amp;F$5,'Timesheet Raw'!$L$4:$L$8000,"&lt;="&amp;F$6)))/'Profit Plan'!$B$5)</f>
        <v/>
      </c>
      <c r="G480" s="122" t="str">
        <f>IF($A480="","",(IF(ISNUMBER(SEARCH("Proposal",$A480)),SUMIFS('Timesheet Raw'!$P$4:$P$8000,'Timesheet Raw'!$A$4:$A$8000,IF(ISNUMBER(SEARCH("Chargable",$A480)),"2-Proposals Chargeable","3-Proposals Regular"),'Timesheet Raw'!$C$4:$C$8000,"*"&amp;$B480&amp;"*",'Timesheet Raw'!$L$4:$L$8000,"&gt;="&amp;MAX(G$5,DATE(2000+VALUE(RIGHT(TRIM($A480),2)),1,1)),'Timesheet Raw'!$L$4:$L$8000,"&lt;="&amp;MIN(G$6,DATE(2000+VALUE(RIGHT(TRIM($A480),2)),12,31))),SUMIFS('Timesheet Raw'!$P$4:$P$8000,'Timesheet Raw'!$B$4:$B$8000,TRIM($A480),'Timesheet Raw'!$C$4:$C$8000,"*"&amp;$B480&amp;"*",'Timesheet Raw'!$L$4:$L$8000,"&gt;="&amp;G$5,'Timesheet Raw'!$L$4:$L$8000,"&lt;="&amp;G$6)))/'Profit Plan'!$B$5)</f>
        <v/>
      </c>
      <c r="H480" s="122" t="str">
        <f>IF($A480="","",(IF(ISNUMBER(SEARCH("Proposal",$A480)),SUMIFS('Timesheet Raw'!$P$4:$P$8000,'Timesheet Raw'!$A$4:$A$8000,IF(ISNUMBER(SEARCH("Chargable",$A480)),"2-Proposals Chargeable","3-Proposals Regular"),'Timesheet Raw'!$C$4:$C$8000,"*"&amp;$B480&amp;"*",'Timesheet Raw'!$L$4:$L$8000,"&gt;="&amp;MAX(H$5,DATE(2000+VALUE(RIGHT(TRIM($A480),2)),1,1)),'Timesheet Raw'!$L$4:$L$8000,"&lt;="&amp;MIN(H$6,DATE(2000+VALUE(RIGHT(TRIM($A480),2)),12,31))),SUMIFS('Timesheet Raw'!$P$4:$P$8000,'Timesheet Raw'!$B$4:$B$8000,TRIM($A480),'Timesheet Raw'!$C$4:$C$8000,"*"&amp;$B480&amp;"*",'Timesheet Raw'!$L$4:$L$8000,"&gt;="&amp;H$5,'Timesheet Raw'!$L$4:$L$8000,"&lt;="&amp;H$6)))/'Profit Plan'!$B$5)</f>
        <v/>
      </c>
      <c r="I480" s="122" t="str">
        <f>IF($A480="","",(IF(ISNUMBER(SEARCH("Proposal",$A480)),SUMIFS('Timesheet Raw'!$P$4:$P$8000,'Timesheet Raw'!$A$4:$A$8000,IF(ISNUMBER(SEARCH("Chargable",$A480)),"2-Proposals Chargeable","3-Proposals Regular"),'Timesheet Raw'!$C$4:$C$8000,"*"&amp;$B480&amp;"*",'Timesheet Raw'!$L$4:$L$8000,"&gt;="&amp;MAX(I$5,DATE(2000+VALUE(RIGHT(TRIM($A480),2)),1,1)),'Timesheet Raw'!$L$4:$L$8000,"&lt;="&amp;MIN(I$6,DATE(2000+VALUE(RIGHT(TRIM($A480),2)),12,31))),SUMIFS('Timesheet Raw'!$P$4:$P$8000,'Timesheet Raw'!$B$4:$B$8000,TRIM($A480),'Timesheet Raw'!$C$4:$C$8000,"*"&amp;$B480&amp;"*",'Timesheet Raw'!$L$4:$L$8000,"&gt;="&amp;I$5,'Timesheet Raw'!$L$4:$L$8000,"&lt;="&amp;I$6)))/'Profit Plan'!$B$5)</f>
        <v/>
      </c>
      <c r="J480" s="122" t="str">
        <f>IF($A480="","",(IF(ISNUMBER(SEARCH("Proposal",$A480)),SUMIFS('Timesheet Raw'!$P$4:$P$8000,'Timesheet Raw'!$A$4:$A$8000,IF(ISNUMBER(SEARCH("Chargable",$A480)),"2-Proposals Chargeable","3-Proposals Regular"),'Timesheet Raw'!$C$4:$C$8000,"*"&amp;$B480&amp;"*",'Timesheet Raw'!$L$4:$L$8000,"&gt;="&amp;MAX(J$5,DATE(2000+VALUE(RIGHT(TRIM($A480),2)),1,1)),'Timesheet Raw'!$L$4:$L$8000,"&lt;="&amp;MIN(J$6,DATE(2000+VALUE(RIGHT(TRIM($A480),2)),12,31))),SUMIFS('Timesheet Raw'!$P$4:$P$8000,'Timesheet Raw'!$B$4:$B$8000,TRIM($A480),'Timesheet Raw'!$C$4:$C$8000,"*"&amp;$B480&amp;"*",'Timesheet Raw'!$L$4:$L$8000,"&gt;="&amp;J$5,'Timesheet Raw'!$L$4:$L$8000,"&lt;="&amp;J$6)))/'Profit Plan'!$B$5)</f>
        <v/>
      </c>
      <c r="K480" s="122" t="str">
        <f>IF($A480="","",(IF(ISNUMBER(SEARCH("Proposal",$A480)),SUMIFS('Timesheet Raw'!$P$4:$P$8000,'Timesheet Raw'!$A$4:$A$8000,IF(ISNUMBER(SEARCH("Chargable",$A480)),"2-Proposals Chargeable","3-Proposals Regular"),'Timesheet Raw'!$C$4:$C$8000,"*"&amp;$B480&amp;"*",'Timesheet Raw'!$L$4:$L$8000,"&gt;="&amp;MAX(K$5,DATE(2000+VALUE(RIGHT(TRIM($A480),2)),1,1)),'Timesheet Raw'!$L$4:$L$8000,"&lt;="&amp;MIN(K$6,DATE(2000+VALUE(RIGHT(TRIM($A480),2)),12,31))),SUMIFS('Timesheet Raw'!$P$4:$P$8000,'Timesheet Raw'!$B$4:$B$8000,TRIM($A480),'Timesheet Raw'!$C$4:$C$8000,"*"&amp;$B480&amp;"*",'Timesheet Raw'!$L$4:$L$8000,"&gt;="&amp;K$5,'Timesheet Raw'!$L$4:$L$8000,"&lt;="&amp;K$6)))/'Profit Plan'!$B$5)</f>
        <v/>
      </c>
      <c r="L480" s="122" t="str">
        <f>IF($A480="","",(IF(ISNUMBER(SEARCH("Proposal",$A480)),SUMIFS('Timesheet Raw'!$P$4:$P$8000,'Timesheet Raw'!$A$4:$A$8000,IF(ISNUMBER(SEARCH("Chargable",$A480)),"2-Proposals Chargeable","3-Proposals Regular"),'Timesheet Raw'!$C$4:$C$8000,"*"&amp;$B480&amp;"*",'Timesheet Raw'!$L$4:$L$8000,"&gt;="&amp;MAX(L$5,DATE(2000+VALUE(RIGHT(TRIM($A480),2)),1,1)),'Timesheet Raw'!$L$4:$L$8000,"&lt;="&amp;MIN(L$6,DATE(2000+VALUE(RIGHT(TRIM($A480),2)),12,31))),SUMIFS('Timesheet Raw'!$P$4:$P$8000,'Timesheet Raw'!$B$4:$B$8000,TRIM($A480),'Timesheet Raw'!$C$4:$C$8000,"*"&amp;$B480&amp;"*",'Timesheet Raw'!$L$4:$L$8000,"&gt;="&amp;L$5,'Timesheet Raw'!$L$4:$L$8000,"&lt;="&amp;L$6)))/'Profit Plan'!$B$5)</f>
        <v/>
      </c>
      <c r="M480" s="122" t="str">
        <f>IF($A480="","",(IF(ISNUMBER(SEARCH("Proposal",$A480)),SUMIFS('Timesheet Raw'!$P$4:$P$8000,'Timesheet Raw'!$A$4:$A$8000,IF(ISNUMBER(SEARCH("Chargable",$A480)),"2-Proposals Chargeable","3-Proposals Regular"),'Timesheet Raw'!$C$4:$C$8000,"*"&amp;$B480&amp;"*",'Timesheet Raw'!$L$4:$L$8000,"&gt;="&amp;MAX(M$5,DATE(2000+VALUE(RIGHT(TRIM($A480),2)),1,1)),'Timesheet Raw'!$L$4:$L$8000,"&lt;="&amp;MIN(M$6,DATE(2000+VALUE(RIGHT(TRIM($A480),2)),12,31))),SUMIFS('Timesheet Raw'!$P$4:$P$8000,'Timesheet Raw'!$B$4:$B$8000,TRIM($A480),'Timesheet Raw'!$C$4:$C$8000,"*"&amp;$B480&amp;"*",'Timesheet Raw'!$L$4:$L$8000,"&gt;="&amp;M$5,'Timesheet Raw'!$L$4:$L$8000,"&lt;="&amp;M$6)))/'Profit Plan'!$B$5)</f>
        <v/>
      </c>
      <c r="N480" s="122" t="str">
        <f>IF($A480="","",(IF(ISNUMBER(SEARCH("Proposal",$A480)),SUMIFS('Timesheet Raw'!$P$4:$P$8000,'Timesheet Raw'!$A$4:$A$8000,IF(ISNUMBER(SEARCH("Chargable",$A480)),"2-Proposals Chargeable","3-Proposals Regular"),'Timesheet Raw'!$C$4:$C$8000,"*"&amp;$B480&amp;"*",'Timesheet Raw'!$L$4:$L$8000,"&gt;="&amp;MAX(N$5,DATE(2000+VALUE(RIGHT(TRIM($A480),2)),1,1)),'Timesheet Raw'!$L$4:$L$8000,"&lt;="&amp;MIN(N$6,DATE(2000+VALUE(RIGHT(TRIM($A480),2)),12,31))),SUMIFS('Timesheet Raw'!$P$4:$P$8000,'Timesheet Raw'!$B$4:$B$8000,TRIM($A480),'Timesheet Raw'!$C$4:$C$8000,"*"&amp;$B480&amp;"*",'Timesheet Raw'!$L$4:$L$8000,"&gt;="&amp;N$5,'Timesheet Raw'!$L$4:$L$8000,"&lt;="&amp;N$6)))/'Profit Plan'!$B$5)</f>
        <v/>
      </c>
      <c r="O480" s="122" t="str">
        <f>IF($A480="","",(IF(ISNUMBER(SEARCH("Proposal",$A480)),SUMIFS('Timesheet Raw'!$P$4:$P$8000,'Timesheet Raw'!$A$4:$A$8000,IF(ISNUMBER(SEARCH("Chargable",$A480)),"2-Proposals Chargeable","3-Proposals Regular"),'Timesheet Raw'!$C$4:$C$8000,"*"&amp;$B480&amp;"*",'Timesheet Raw'!$L$4:$L$8000,"&gt;="&amp;MAX(O$5,DATE(2000+VALUE(RIGHT(TRIM($A480),2)),1,1)),'Timesheet Raw'!$L$4:$L$8000,"&lt;="&amp;MIN(O$6,DATE(2000+VALUE(RIGHT(TRIM($A480),2)),12,31))),SUMIFS('Timesheet Raw'!$P$4:$P$8000,'Timesheet Raw'!$B$4:$B$8000,TRIM($A480),'Timesheet Raw'!$C$4:$C$8000,"*"&amp;$B480&amp;"*",'Timesheet Raw'!$L$4:$L$8000,"&gt;="&amp;O$5,'Timesheet Raw'!$L$4:$L$8000,"&lt;="&amp;O$6)))/'Profit Plan'!$B$5)</f>
        <v/>
      </c>
      <c r="P480" s="122" t="str">
        <f>IF($A480="","",(IF(ISNUMBER(SEARCH("Proposal",$A480)),SUMIFS('Timesheet Raw'!$P$4:$P$8000,'Timesheet Raw'!$A$4:$A$8000,IF(ISNUMBER(SEARCH("Chargable",$A480)),"2-Proposals Chargeable","3-Proposals Regular"),'Timesheet Raw'!$C$4:$C$8000,"*"&amp;$B480&amp;"*",'Timesheet Raw'!$L$4:$L$8000,"&gt;="&amp;MAX(P$5,DATE(2000+VALUE(RIGHT(TRIM($A480),2)),1,1)),'Timesheet Raw'!$L$4:$L$8000,"&lt;="&amp;MIN(P$6,DATE(2000+VALUE(RIGHT(TRIM($A480),2)),12,31))),SUMIFS('Timesheet Raw'!$P$4:$P$8000,'Timesheet Raw'!$B$4:$B$8000,TRIM($A480),'Timesheet Raw'!$C$4:$C$8000,"*"&amp;$B480&amp;"*",'Timesheet Raw'!$L$4:$L$8000,"&gt;="&amp;P$5,'Timesheet Raw'!$L$4:$L$8000,"&lt;="&amp;P$6)))/'Profit Plan'!$B$5)</f>
        <v/>
      </c>
      <c r="Q480" s="122" t="str">
        <f>IF($A480="","",(IF(ISNUMBER(SEARCH("Proposal",$A480)),SUMIFS('Timesheet Raw'!$P$4:$P$8000,'Timesheet Raw'!$A$4:$A$8000,IF(ISNUMBER(SEARCH("Chargable",$A480)),"2-Proposals Chargeable","3-Proposals Regular"),'Timesheet Raw'!$C$4:$C$8000,"*"&amp;$B480&amp;"*",'Timesheet Raw'!$L$4:$L$8000,"&gt;="&amp;MAX(Q$5,DATE(2000+VALUE(RIGHT(TRIM($A480),2)),1,1)),'Timesheet Raw'!$L$4:$L$8000,"&lt;="&amp;MIN(Q$6,DATE(2000+VALUE(RIGHT(TRIM($A480),2)),12,31))),SUMIFS('Timesheet Raw'!$P$4:$P$8000,'Timesheet Raw'!$B$4:$B$8000,TRIM($A480),'Timesheet Raw'!$C$4:$C$8000,"*"&amp;$B480&amp;"*",'Timesheet Raw'!$L$4:$L$8000,"&gt;="&amp;Q$5,'Timesheet Raw'!$L$4:$L$8000,"&lt;="&amp;Q$6)))/'Profit Plan'!$B$5)</f>
        <v/>
      </c>
      <c r="R480" s="122" t="str">
        <f>IF($A480="","",(IF(ISNUMBER(SEARCH("Proposal",$A480)),SUMIFS('Timesheet Raw'!$P$4:$P$8000,'Timesheet Raw'!$A$4:$A$8000,IF(ISNUMBER(SEARCH("Chargable",$A480)),"2-Proposals Chargeable","3-Proposals Regular"),'Timesheet Raw'!$C$4:$C$8000,"*"&amp;$B480&amp;"*",'Timesheet Raw'!$L$4:$L$8000,"&gt;="&amp;MAX(R$5,DATE(2000+VALUE(RIGHT(TRIM($A480),2)),1,1)),'Timesheet Raw'!$L$4:$L$8000,"&lt;="&amp;MIN(R$6,DATE(2000+VALUE(RIGHT(TRIM($A480),2)),12,31))),SUMIFS('Timesheet Raw'!$P$4:$P$8000,'Timesheet Raw'!$B$4:$B$8000,TRIM($A480),'Timesheet Raw'!$C$4:$C$8000,"*"&amp;$B480&amp;"*",'Timesheet Raw'!$L$4:$L$8000,"&gt;="&amp;R$5,'Timesheet Raw'!$L$4:$L$8000,"&lt;="&amp;R$6)))/'Profit Plan'!$B$5)</f>
        <v/>
      </c>
      <c r="S480" s="122" t="str">
        <f>IF($A480="","",(IF(ISNUMBER(SEARCH("Proposal",$A480)),SUMIFS('Timesheet Raw'!$P$4:$P$8000,'Timesheet Raw'!$A$4:$A$8000,IF(ISNUMBER(SEARCH("Chargable",$A480)),"2-Proposals Chargeable","3-Proposals Regular"),'Timesheet Raw'!$C$4:$C$8000,"*"&amp;$B480&amp;"*",'Timesheet Raw'!$L$4:$L$8000,"&gt;="&amp;MAX(S$5,DATE(2000+VALUE(RIGHT(TRIM($A480),2)),1,1)),'Timesheet Raw'!$L$4:$L$8000,"&lt;="&amp;MIN(S$6,DATE(2000+VALUE(RIGHT(TRIM($A480),2)),12,31))),SUMIFS('Timesheet Raw'!$P$4:$P$8000,'Timesheet Raw'!$B$4:$B$8000,TRIM($A480),'Timesheet Raw'!$C$4:$C$8000,"*"&amp;$B480&amp;"*",'Timesheet Raw'!$L$4:$L$8000,"&gt;="&amp;S$5,'Timesheet Raw'!$L$4:$L$8000,"&lt;="&amp;S$6)))/'Profit Plan'!$B$5)</f>
        <v/>
      </c>
      <c r="T480" s="122" t="str">
        <f>IF($A480="","",(IF(ISNUMBER(SEARCH("Proposal",$A480)),SUMIFS('Timesheet Raw'!$P$4:$P$8000,'Timesheet Raw'!$A$4:$A$8000,IF(ISNUMBER(SEARCH("Chargable",$A480)),"2-Proposals Chargeable","3-Proposals Regular"),'Timesheet Raw'!$C$4:$C$8000,"*"&amp;$B480&amp;"*",'Timesheet Raw'!$L$4:$L$8000,"&gt;="&amp;MAX(T$5,DATE(2000+VALUE(RIGHT(TRIM($A480),2)),1,1)),'Timesheet Raw'!$L$4:$L$8000,"&lt;="&amp;MIN(T$6,DATE(2000+VALUE(RIGHT(TRIM($A480),2)),12,31))),SUMIFS('Timesheet Raw'!$P$4:$P$8000,'Timesheet Raw'!$B$4:$B$8000,TRIM($A480),'Timesheet Raw'!$C$4:$C$8000,"*"&amp;$B480&amp;"*",'Timesheet Raw'!$L$4:$L$8000,"&gt;="&amp;T$5,'Timesheet Raw'!$L$4:$L$8000,"&lt;="&amp;T$6)))/'Profit Plan'!$B$5)</f>
        <v/>
      </c>
      <c r="U480" s="122" t="str">
        <f>IF($A480="","",(IF(ISNUMBER(SEARCH("Proposal",$A480)),SUMIFS('Timesheet Raw'!$P$4:$P$8000,'Timesheet Raw'!$A$4:$A$8000,IF(ISNUMBER(SEARCH("Chargable",$A480)),"2-Proposals Chargeable","3-Proposals Regular"),'Timesheet Raw'!$C$4:$C$8000,"*"&amp;$B480&amp;"*",'Timesheet Raw'!$L$4:$L$8000,"&gt;="&amp;MAX(U$5,DATE(2000+VALUE(RIGHT(TRIM($A480),2)),1,1)),'Timesheet Raw'!$L$4:$L$8000,"&lt;="&amp;MIN(U$6,DATE(2000+VALUE(RIGHT(TRIM($A480),2)),12,31))),SUMIFS('Timesheet Raw'!$P$4:$P$8000,'Timesheet Raw'!$B$4:$B$8000,TRIM($A480),'Timesheet Raw'!$C$4:$C$8000,"*"&amp;$B480&amp;"*",'Timesheet Raw'!$L$4:$L$8000,"&gt;="&amp;U$5,'Timesheet Raw'!$L$4:$L$8000,"&lt;="&amp;U$6)))/'Profit Plan'!$B$5)</f>
        <v/>
      </c>
      <c r="V480" s="122" t="str">
        <f>IF($A480="","",(IF(ISNUMBER(SEARCH("Proposal",$A480)),SUMIFS('Timesheet Raw'!$P$4:$P$8000,'Timesheet Raw'!$A$4:$A$8000,IF(ISNUMBER(SEARCH("Chargable",$A480)),"2-Proposals Chargeable","3-Proposals Regular"),'Timesheet Raw'!$C$4:$C$8000,"*"&amp;$B480&amp;"*",'Timesheet Raw'!$L$4:$L$8000,"&gt;="&amp;MAX(V$5,DATE(2000+VALUE(RIGHT(TRIM($A480),2)),1,1)),'Timesheet Raw'!$L$4:$L$8000,"&lt;="&amp;MIN(V$6,DATE(2000+VALUE(RIGHT(TRIM($A480),2)),12,31))),SUMIFS('Timesheet Raw'!$P$4:$P$8000,'Timesheet Raw'!$B$4:$B$8000,TRIM($A480),'Timesheet Raw'!$C$4:$C$8000,"*"&amp;$B480&amp;"*",'Timesheet Raw'!$L$4:$L$8000,"&gt;="&amp;V$5,'Timesheet Raw'!$L$4:$L$8000,"&lt;="&amp;V$6)))/'Profit Plan'!$B$5)</f>
        <v/>
      </c>
      <c r="W480" s="122" t="str">
        <f>IF($A480="","",(IF(ISNUMBER(SEARCH("Proposal",$A480)),SUMIFS('Timesheet Raw'!$P$4:$P$8000,'Timesheet Raw'!$A$4:$A$8000,IF(ISNUMBER(SEARCH("Chargable",$A480)),"2-Proposals Chargeable","3-Proposals Regular"),'Timesheet Raw'!$C$4:$C$8000,"*"&amp;$B480&amp;"*",'Timesheet Raw'!$L$4:$L$8000,"&gt;="&amp;MAX(W$5,DATE(2000+VALUE(RIGHT(TRIM($A480),2)),1,1)),'Timesheet Raw'!$L$4:$L$8000,"&lt;="&amp;MIN(W$6,DATE(2000+VALUE(RIGHT(TRIM($A480),2)),12,31))),SUMIFS('Timesheet Raw'!$P$4:$P$8000,'Timesheet Raw'!$B$4:$B$8000,TRIM($A480),'Timesheet Raw'!$C$4:$C$8000,"*"&amp;$B480&amp;"*",'Timesheet Raw'!$L$4:$L$8000,"&gt;="&amp;W$5,'Timesheet Raw'!$L$4:$L$8000,"&lt;="&amp;W$6)))/'Profit Plan'!$B$5)</f>
        <v/>
      </c>
      <c r="X480" s="122" t="str">
        <f>IF($A480="","",(IF(ISNUMBER(SEARCH("Proposal",$A480)),SUMIFS('Timesheet Raw'!$P$4:$P$8000,'Timesheet Raw'!$A$4:$A$8000,IF(ISNUMBER(SEARCH("Chargable",$A480)),"2-Proposals Chargeable","3-Proposals Regular"),'Timesheet Raw'!$C$4:$C$8000,"*"&amp;$B480&amp;"*",'Timesheet Raw'!$L$4:$L$8000,"&gt;="&amp;MAX(X$5,DATE(2000+VALUE(RIGHT(TRIM($A480),2)),1,1)),'Timesheet Raw'!$L$4:$L$8000,"&lt;="&amp;MIN(X$6,DATE(2000+VALUE(RIGHT(TRIM($A480),2)),12,31))),SUMIFS('Timesheet Raw'!$P$4:$P$8000,'Timesheet Raw'!$B$4:$B$8000,TRIM($A480),'Timesheet Raw'!$C$4:$C$8000,"*"&amp;$B480&amp;"*",'Timesheet Raw'!$L$4:$L$8000,"&gt;="&amp;X$5,'Timesheet Raw'!$L$4:$L$8000,"&lt;="&amp;X$6)))/'Profit Plan'!$B$5)</f>
        <v/>
      </c>
      <c r="Y480" s="118">
        <f t="shared" si="103"/>
        <v>0</v>
      </c>
    </row>
    <row r="481" spans="1:25" x14ac:dyDescent="0.3">
      <c r="A481" s="116" t="str">
        <f>IF(Inputs!$A78="","",Inputs!$A78)</f>
        <v/>
      </c>
      <c r="B481" s="116" t="str">
        <f>IF(Inputs!$A78="","",Inputs!$A$91)</f>
        <v/>
      </c>
      <c r="C481" s="116"/>
      <c r="D481" s="122" t="str">
        <f>IF($A481="","",(IF(ISNUMBER(SEARCH("Proposal",$A481)),SUMIFS('Timesheet Raw'!$P$4:$P$8000,'Timesheet Raw'!$A$4:$A$8000,IF(ISNUMBER(SEARCH("Chargable",$A481)),"2-Proposals Chargeable","3-Proposals Regular"),'Timesheet Raw'!$C$4:$C$8000,"*"&amp;$B481&amp;"*",'Timesheet Raw'!$L$4:$L$8000,"&gt;="&amp;MAX(D$5,DATE(2000+VALUE(RIGHT(TRIM($A481),2)),1,1)),'Timesheet Raw'!$L$4:$L$8000,"&lt;="&amp;MIN(D$6,DATE(2000+VALUE(RIGHT(TRIM($A481),2)),12,31))),SUMIFS('Timesheet Raw'!$P$4:$P$8000,'Timesheet Raw'!$B$4:$B$8000,TRIM($A481),'Timesheet Raw'!$C$4:$C$8000,"*"&amp;$B481&amp;"*",'Timesheet Raw'!$L$4:$L$8000,"&gt;="&amp;D$5,'Timesheet Raw'!$L$4:$L$8000,"&lt;="&amp;D$6)))/'Profit Plan'!$B$5)</f>
        <v/>
      </c>
      <c r="E481" s="122" t="str">
        <f>IF($A481="","",(IF(ISNUMBER(SEARCH("Proposal",$A481)),SUMIFS('Timesheet Raw'!$P$4:$P$8000,'Timesheet Raw'!$A$4:$A$8000,IF(ISNUMBER(SEARCH("Chargable",$A481)),"2-Proposals Chargeable","3-Proposals Regular"),'Timesheet Raw'!$C$4:$C$8000,"*"&amp;$B481&amp;"*",'Timesheet Raw'!$L$4:$L$8000,"&gt;="&amp;MAX(E$5,DATE(2000+VALUE(RIGHT(TRIM($A481),2)),1,1)),'Timesheet Raw'!$L$4:$L$8000,"&lt;="&amp;MIN(E$6,DATE(2000+VALUE(RIGHT(TRIM($A481),2)),12,31))),SUMIFS('Timesheet Raw'!$P$4:$P$8000,'Timesheet Raw'!$B$4:$B$8000,TRIM($A481),'Timesheet Raw'!$C$4:$C$8000,"*"&amp;$B481&amp;"*",'Timesheet Raw'!$L$4:$L$8000,"&gt;="&amp;E$5,'Timesheet Raw'!$L$4:$L$8000,"&lt;="&amp;E$6)))/'Profit Plan'!$B$5)</f>
        <v/>
      </c>
      <c r="F481" s="122" t="str">
        <f>IF($A481="","",(IF(ISNUMBER(SEARCH("Proposal",$A481)),SUMIFS('Timesheet Raw'!$P$4:$P$8000,'Timesheet Raw'!$A$4:$A$8000,IF(ISNUMBER(SEARCH("Chargable",$A481)),"2-Proposals Chargeable","3-Proposals Regular"),'Timesheet Raw'!$C$4:$C$8000,"*"&amp;$B481&amp;"*",'Timesheet Raw'!$L$4:$L$8000,"&gt;="&amp;MAX(F$5,DATE(2000+VALUE(RIGHT(TRIM($A481),2)),1,1)),'Timesheet Raw'!$L$4:$L$8000,"&lt;="&amp;MIN(F$6,DATE(2000+VALUE(RIGHT(TRIM($A481),2)),12,31))),SUMIFS('Timesheet Raw'!$P$4:$P$8000,'Timesheet Raw'!$B$4:$B$8000,TRIM($A481),'Timesheet Raw'!$C$4:$C$8000,"*"&amp;$B481&amp;"*",'Timesheet Raw'!$L$4:$L$8000,"&gt;="&amp;F$5,'Timesheet Raw'!$L$4:$L$8000,"&lt;="&amp;F$6)))/'Profit Plan'!$B$5)</f>
        <v/>
      </c>
      <c r="G481" s="122" t="str">
        <f>IF($A481="","",(IF(ISNUMBER(SEARCH("Proposal",$A481)),SUMIFS('Timesheet Raw'!$P$4:$P$8000,'Timesheet Raw'!$A$4:$A$8000,IF(ISNUMBER(SEARCH("Chargable",$A481)),"2-Proposals Chargeable","3-Proposals Regular"),'Timesheet Raw'!$C$4:$C$8000,"*"&amp;$B481&amp;"*",'Timesheet Raw'!$L$4:$L$8000,"&gt;="&amp;MAX(G$5,DATE(2000+VALUE(RIGHT(TRIM($A481),2)),1,1)),'Timesheet Raw'!$L$4:$L$8000,"&lt;="&amp;MIN(G$6,DATE(2000+VALUE(RIGHT(TRIM($A481),2)),12,31))),SUMIFS('Timesheet Raw'!$P$4:$P$8000,'Timesheet Raw'!$B$4:$B$8000,TRIM($A481),'Timesheet Raw'!$C$4:$C$8000,"*"&amp;$B481&amp;"*",'Timesheet Raw'!$L$4:$L$8000,"&gt;="&amp;G$5,'Timesheet Raw'!$L$4:$L$8000,"&lt;="&amp;G$6)))/'Profit Plan'!$B$5)</f>
        <v/>
      </c>
      <c r="H481" s="122" t="str">
        <f>IF($A481="","",(IF(ISNUMBER(SEARCH("Proposal",$A481)),SUMIFS('Timesheet Raw'!$P$4:$P$8000,'Timesheet Raw'!$A$4:$A$8000,IF(ISNUMBER(SEARCH("Chargable",$A481)),"2-Proposals Chargeable","3-Proposals Regular"),'Timesheet Raw'!$C$4:$C$8000,"*"&amp;$B481&amp;"*",'Timesheet Raw'!$L$4:$L$8000,"&gt;="&amp;MAX(H$5,DATE(2000+VALUE(RIGHT(TRIM($A481),2)),1,1)),'Timesheet Raw'!$L$4:$L$8000,"&lt;="&amp;MIN(H$6,DATE(2000+VALUE(RIGHT(TRIM($A481),2)),12,31))),SUMIFS('Timesheet Raw'!$P$4:$P$8000,'Timesheet Raw'!$B$4:$B$8000,TRIM($A481),'Timesheet Raw'!$C$4:$C$8000,"*"&amp;$B481&amp;"*",'Timesheet Raw'!$L$4:$L$8000,"&gt;="&amp;H$5,'Timesheet Raw'!$L$4:$L$8000,"&lt;="&amp;H$6)))/'Profit Plan'!$B$5)</f>
        <v/>
      </c>
      <c r="I481" s="122" t="str">
        <f>IF($A481="","",(IF(ISNUMBER(SEARCH("Proposal",$A481)),SUMIFS('Timesheet Raw'!$P$4:$P$8000,'Timesheet Raw'!$A$4:$A$8000,IF(ISNUMBER(SEARCH("Chargable",$A481)),"2-Proposals Chargeable","3-Proposals Regular"),'Timesheet Raw'!$C$4:$C$8000,"*"&amp;$B481&amp;"*",'Timesheet Raw'!$L$4:$L$8000,"&gt;="&amp;MAX(I$5,DATE(2000+VALUE(RIGHT(TRIM($A481),2)),1,1)),'Timesheet Raw'!$L$4:$L$8000,"&lt;="&amp;MIN(I$6,DATE(2000+VALUE(RIGHT(TRIM($A481),2)),12,31))),SUMIFS('Timesheet Raw'!$P$4:$P$8000,'Timesheet Raw'!$B$4:$B$8000,TRIM($A481),'Timesheet Raw'!$C$4:$C$8000,"*"&amp;$B481&amp;"*",'Timesheet Raw'!$L$4:$L$8000,"&gt;="&amp;I$5,'Timesheet Raw'!$L$4:$L$8000,"&lt;="&amp;I$6)))/'Profit Plan'!$B$5)</f>
        <v/>
      </c>
      <c r="J481" s="122" t="str">
        <f>IF($A481="","",(IF(ISNUMBER(SEARCH("Proposal",$A481)),SUMIFS('Timesheet Raw'!$P$4:$P$8000,'Timesheet Raw'!$A$4:$A$8000,IF(ISNUMBER(SEARCH("Chargable",$A481)),"2-Proposals Chargeable","3-Proposals Regular"),'Timesheet Raw'!$C$4:$C$8000,"*"&amp;$B481&amp;"*",'Timesheet Raw'!$L$4:$L$8000,"&gt;="&amp;MAX(J$5,DATE(2000+VALUE(RIGHT(TRIM($A481),2)),1,1)),'Timesheet Raw'!$L$4:$L$8000,"&lt;="&amp;MIN(J$6,DATE(2000+VALUE(RIGHT(TRIM($A481),2)),12,31))),SUMIFS('Timesheet Raw'!$P$4:$P$8000,'Timesheet Raw'!$B$4:$B$8000,TRIM($A481),'Timesheet Raw'!$C$4:$C$8000,"*"&amp;$B481&amp;"*",'Timesheet Raw'!$L$4:$L$8000,"&gt;="&amp;J$5,'Timesheet Raw'!$L$4:$L$8000,"&lt;="&amp;J$6)))/'Profit Plan'!$B$5)</f>
        <v/>
      </c>
      <c r="K481" s="122" t="str">
        <f>IF($A481="","",(IF(ISNUMBER(SEARCH("Proposal",$A481)),SUMIFS('Timesheet Raw'!$P$4:$P$8000,'Timesheet Raw'!$A$4:$A$8000,IF(ISNUMBER(SEARCH("Chargable",$A481)),"2-Proposals Chargeable","3-Proposals Regular"),'Timesheet Raw'!$C$4:$C$8000,"*"&amp;$B481&amp;"*",'Timesheet Raw'!$L$4:$L$8000,"&gt;="&amp;MAX(K$5,DATE(2000+VALUE(RIGHT(TRIM($A481),2)),1,1)),'Timesheet Raw'!$L$4:$L$8000,"&lt;="&amp;MIN(K$6,DATE(2000+VALUE(RIGHT(TRIM($A481),2)),12,31))),SUMIFS('Timesheet Raw'!$P$4:$P$8000,'Timesheet Raw'!$B$4:$B$8000,TRIM($A481),'Timesheet Raw'!$C$4:$C$8000,"*"&amp;$B481&amp;"*",'Timesheet Raw'!$L$4:$L$8000,"&gt;="&amp;K$5,'Timesheet Raw'!$L$4:$L$8000,"&lt;="&amp;K$6)))/'Profit Plan'!$B$5)</f>
        <v/>
      </c>
      <c r="L481" s="122" t="str">
        <f>IF($A481="","",(IF(ISNUMBER(SEARCH("Proposal",$A481)),SUMIFS('Timesheet Raw'!$P$4:$P$8000,'Timesheet Raw'!$A$4:$A$8000,IF(ISNUMBER(SEARCH("Chargable",$A481)),"2-Proposals Chargeable","3-Proposals Regular"),'Timesheet Raw'!$C$4:$C$8000,"*"&amp;$B481&amp;"*",'Timesheet Raw'!$L$4:$L$8000,"&gt;="&amp;MAX(L$5,DATE(2000+VALUE(RIGHT(TRIM($A481),2)),1,1)),'Timesheet Raw'!$L$4:$L$8000,"&lt;="&amp;MIN(L$6,DATE(2000+VALUE(RIGHT(TRIM($A481),2)),12,31))),SUMIFS('Timesheet Raw'!$P$4:$P$8000,'Timesheet Raw'!$B$4:$B$8000,TRIM($A481),'Timesheet Raw'!$C$4:$C$8000,"*"&amp;$B481&amp;"*",'Timesheet Raw'!$L$4:$L$8000,"&gt;="&amp;L$5,'Timesheet Raw'!$L$4:$L$8000,"&lt;="&amp;L$6)))/'Profit Plan'!$B$5)</f>
        <v/>
      </c>
      <c r="M481" s="122" t="str">
        <f>IF($A481="","",(IF(ISNUMBER(SEARCH("Proposal",$A481)),SUMIFS('Timesheet Raw'!$P$4:$P$8000,'Timesheet Raw'!$A$4:$A$8000,IF(ISNUMBER(SEARCH("Chargable",$A481)),"2-Proposals Chargeable","3-Proposals Regular"),'Timesheet Raw'!$C$4:$C$8000,"*"&amp;$B481&amp;"*",'Timesheet Raw'!$L$4:$L$8000,"&gt;="&amp;MAX(M$5,DATE(2000+VALUE(RIGHT(TRIM($A481),2)),1,1)),'Timesheet Raw'!$L$4:$L$8000,"&lt;="&amp;MIN(M$6,DATE(2000+VALUE(RIGHT(TRIM($A481),2)),12,31))),SUMIFS('Timesheet Raw'!$P$4:$P$8000,'Timesheet Raw'!$B$4:$B$8000,TRIM($A481),'Timesheet Raw'!$C$4:$C$8000,"*"&amp;$B481&amp;"*",'Timesheet Raw'!$L$4:$L$8000,"&gt;="&amp;M$5,'Timesheet Raw'!$L$4:$L$8000,"&lt;="&amp;M$6)))/'Profit Plan'!$B$5)</f>
        <v/>
      </c>
      <c r="N481" s="122" t="str">
        <f>IF($A481="","",(IF(ISNUMBER(SEARCH("Proposal",$A481)),SUMIFS('Timesheet Raw'!$P$4:$P$8000,'Timesheet Raw'!$A$4:$A$8000,IF(ISNUMBER(SEARCH("Chargable",$A481)),"2-Proposals Chargeable","3-Proposals Regular"),'Timesheet Raw'!$C$4:$C$8000,"*"&amp;$B481&amp;"*",'Timesheet Raw'!$L$4:$L$8000,"&gt;="&amp;MAX(N$5,DATE(2000+VALUE(RIGHT(TRIM($A481),2)),1,1)),'Timesheet Raw'!$L$4:$L$8000,"&lt;="&amp;MIN(N$6,DATE(2000+VALUE(RIGHT(TRIM($A481),2)),12,31))),SUMIFS('Timesheet Raw'!$P$4:$P$8000,'Timesheet Raw'!$B$4:$B$8000,TRIM($A481),'Timesheet Raw'!$C$4:$C$8000,"*"&amp;$B481&amp;"*",'Timesheet Raw'!$L$4:$L$8000,"&gt;="&amp;N$5,'Timesheet Raw'!$L$4:$L$8000,"&lt;="&amp;N$6)))/'Profit Plan'!$B$5)</f>
        <v/>
      </c>
      <c r="O481" s="122" t="str">
        <f>IF($A481="","",(IF(ISNUMBER(SEARCH("Proposal",$A481)),SUMIFS('Timesheet Raw'!$P$4:$P$8000,'Timesheet Raw'!$A$4:$A$8000,IF(ISNUMBER(SEARCH("Chargable",$A481)),"2-Proposals Chargeable","3-Proposals Regular"),'Timesheet Raw'!$C$4:$C$8000,"*"&amp;$B481&amp;"*",'Timesheet Raw'!$L$4:$L$8000,"&gt;="&amp;MAX(O$5,DATE(2000+VALUE(RIGHT(TRIM($A481),2)),1,1)),'Timesheet Raw'!$L$4:$L$8000,"&lt;="&amp;MIN(O$6,DATE(2000+VALUE(RIGHT(TRIM($A481),2)),12,31))),SUMIFS('Timesheet Raw'!$P$4:$P$8000,'Timesheet Raw'!$B$4:$B$8000,TRIM($A481),'Timesheet Raw'!$C$4:$C$8000,"*"&amp;$B481&amp;"*",'Timesheet Raw'!$L$4:$L$8000,"&gt;="&amp;O$5,'Timesheet Raw'!$L$4:$L$8000,"&lt;="&amp;O$6)))/'Profit Plan'!$B$5)</f>
        <v/>
      </c>
      <c r="P481" s="122" t="str">
        <f>IF($A481="","",(IF(ISNUMBER(SEARCH("Proposal",$A481)),SUMIFS('Timesheet Raw'!$P$4:$P$8000,'Timesheet Raw'!$A$4:$A$8000,IF(ISNUMBER(SEARCH("Chargable",$A481)),"2-Proposals Chargeable","3-Proposals Regular"),'Timesheet Raw'!$C$4:$C$8000,"*"&amp;$B481&amp;"*",'Timesheet Raw'!$L$4:$L$8000,"&gt;="&amp;MAX(P$5,DATE(2000+VALUE(RIGHT(TRIM($A481),2)),1,1)),'Timesheet Raw'!$L$4:$L$8000,"&lt;="&amp;MIN(P$6,DATE(2000+VALUE(RIGHT(TRIM($A481),2)),12,31))),SUMIFS('Timesheet Raw'!$P$4:$P$8000,'Timesheet Raw'!$B$4:$B$8000,TRIM($A481),'Timesheet Raw'!$C$4:$C$8000,"*"&amp;$B481&amp;"*",'Timesheet Raw'!$L$4:$L$8000,"&gt;="&amp;P$5,'Timesheet Raw'!$L$4:$L$8000,"&lt;="&amp;P$6)))/'Profit Plan'!$B$5)</f>
        <v/>
      </c>
      <c r="Q481" s="122" t="str">
        <f>IF($A481="","",(IF(ISNUMBER(SEARCH("Proposal",$A481)),SUMIFS('Timesheet Raw'!$P$4:$P$8000,'Timesheet Raw'!$A$4:$A$8000,IF(ISNUMBER(SEARCH("Chargable",$A481)),"2-Proposals Chargeable","3-Proposals Regular"),'Timesheet Raw'!$C$4:$C$8000,"*"&amp;$B481&amp;"*",'Timesheet Raw'!$L$4:$L$8000,"&gt;="&amp;MAX(Q$5,DATE(2000+VALUE(RIGHT(TRIM($A481),2)),1,1)),'Timesheet Raw'!$L$4:$L$8000,"&lt;="&amp;MIN(Q$6,DATE(2000+VALUE(RIGHT(TRIM($A481),2)),12,31))),SUMIFS('Timesheet Raw'!$P$4:$P$8000,'Timesheet Raw'!$B$4:$B$8000,TRIM($A481),'Timesheet Raw'!$C$4:$C$8000,"*"&amp;$B481&amp;"*",'Timesheet Raw'!$L$4:$L$8000,"&gt;="&amp;Q$5,'Timesheet Raw'!$L$4:$L$8000,"&lt;="&amp;Q$6)))/'Profit Plan'!$B$5)</f>
        <v/>
      </c>
      <c r="R481" s="122" t="str">
        <f>IF($A481="","",(IF(ISNUMBER(SEARCH("Proposal",$A481)),SUMIFS('Timesheet Raw'!$P$4:$P$8000,'Timesheet Raw'!$A$4:$A$8000,IF(ISNUMBER(SEARCH("Chargable",$A481)),"2-Proposals Chargeable","3-Proposals Regular"),'Timesheet Raw'!$C$4:$C$8000,"*"&amp;$B481&amp;"*",'Timesheet Raw'!$L$4:$L$8000,"&gt;="&amp;MAX(R$5,DATE(2000+VALUE(RIGHT(TRIM($A481),2)),1,1)),'Timesheet Raw'!$L$4:$L$8000,"&lt;="&amp;MIN(R$6,DATE(2000+VALUE(RIGHT(TRIM($A481),2)),12,31))),SUMIFS('Timesheet Raw'!$P$4:$P$8000,'Timesheet Raw'!$B$4:$B$8000,TRIM($A481),'Timesheet Raw'!$C$4:$C$8000,"*"&amp;$B481&amp;"*",'Timesheet Raw'!$L$4:$L$8000,"&gt;="&amp;R$5,'Timesheet Raw'!$L$4:$L$8000,"&lt;="&amp;R$6)))/'Profit Plan'!$B$5)</f>
        <v/>
      </c>
      <c r="S481" s="122" t="str">
        <f>IF($A481="","",(IF(ISNUMBER(SEARCH("Proposal",$A481)),SUMIFS('Timesheet Raw'!$P$4:$P$8000,'Timesheet Raw'!$A$4:$A$8000,IF(ISNUMBER(SEARCH("Chargable",$A481)),"2-Proposals Chargeable","3-Proposals Regular"),'Timesheet Raw'!$C$4:$C$8000,"*"&amp;$B481&amp;"*",'Timesheet Raw'!$L$4:$L$8000,"&gt;="&amp;MAX(S$5,DATE(2000+VALUE(RIGHT(TRIM($A481),2)),1,1)),'Timesheet Raw'!$L$4:$L$8000,"&lt;="&amp;MIN(S$6,DATE(2000+VALUE(RIGHT(TRIM($A481),2)),12,31))),SUMIFS('Timesheet Raw'!$P$4:$P$8000,'Timesheet Raw'!$B$4:$B$8000,TRIM($A481),'Timesheet Raw'!$C$4:$C$8000,"*"&amp;$B481&amp;"*",'Timesheet Raw'!$L$4:$L$8000,"&gt;="&amp;S$5,'Timesheet Raw'!$L$4:$L$8000,"&lt;="&amp;S$6)))/'Profit Plan'!$B$5)</f>
        <v/>
      </c>
      <c r="T481" s="122" t="str">
        <f>IF($A481="","",(IF(ISNUMBER(SEARCH("Proposal",$A481)),SUMIFS('Timesheet Raw'!$P$4:$P$8000,'Timesheet Raw'!$A$4:$A$8000,IF(ISNUMBER(SEARCH("Chargable",$A481)),"2-Proposals Chargeable","3-Proposals Regular"),'Timesheet Raw'!$C$4:$C$8000,"*"&amp;$B481&amp;"*",'Timesheet Raw'!$L$4:$L$8000,"&gt;="&amp;MAX(T$5,DATE(2000+VALUE(RIGHT(TRIM($A481),2)),1,1)),'Timesheet Raw'!$L$4:$L$8000,"&lt;="&amp;MIN(T$6,DATE(2000+VALUE(RIGHT(TRIM($A481),2)),12,31))),SUMIFS('Timesheet Raw'!$P$4:$P$8000,'Timesheet Raw'!$B$4:$B$8000,TRIM($A481),'Timesheet Raw'!$C$4:$C$8000,"*"&amp;$B481&amp;"*",'Timesheet Raw'!$L$4:$L$8000,"&gt;="&amp;T$5,'Timesheet Raw'!$L$4:$L$8000,"&lt;="&amp;T$6)))/'Profit Plan'!$B$5)</f>
        <v/>
      </c>
      <c r="U481" s="122" t="str">
        <f>IF($A481="","",(IF(ISNUMBER(SEARCH("Proposal",$A481)),SUMIFS('Timesheet Raw'!$P$4:$P$8000,'Timesheet Raw'!$A$4:$A$8000,IF(ISNUMBER(SEARCH("Chargable",$A481)),"2-Proposals Chargeable","3-Proposals Regular"),'Timesheet Raw'!$C$4:$C$8000,"*"&amp;$B481&amp;"*",'Timesheet Raw'!$L$4:$L$8000,"&gt;="&amp;MAX(U$5,DATE(2000+VALUE(RIGHT(TRIM($A481),2)),1,1)),'Timesheet Raw'!$L$4:$L$8000,"&lt;="&amp;MIN(U$6,DATE(2000+VALUE(RIGHT(TRIM($A481),2)),12,31))),SUMIFS('Timesheet Raw'!$P$4:$P$8000,'Timesheet Raw'!$B$4:$B$8000,TRIM($A481),'Timesheet Raw'!$C$4:$C$8000,"*"&amp;$B481&amp;"*",'Timesheet Raw'!$L$4:$L$8000,"&gt;="&amp;U$5,'Timesheet Raw'!$L$4:$L$8000,"&lt;="&amp;U$6)))/'Profit Plan'!$B$5)</f>
        <v/>
      </c>
      <c r="V481" s="122" t="str">
        <f>IF($A481="","",(IF(ISNUMBER(SEARCH("Proposal",$A481)),SUMIFS('Timesheet Raw'!$P$4:$P$8000,'Timesheet Raw'!$A$4:$A$8000,IF(ISNUMBER(SEARCH("Chargable",$A481)),"2-Proposals Chargeable","3-Proposals Regular"),'Timesheet Raw'!$C$4:$C$8000,"*"&amp;$B481&amp;"*",'Timesheet Raw'!$L$4:$L$8000,"&gt;="&amp;MAX(V$5,DATE(2000+VALUE(RIGHT(TRIM($A481),2)),1,1)),'Timesheet Raw'!$L$4:$L$8000,"&lt;="&amp;MIN(V$6,DATE(2000+VALUE(RIGHT(TRIM($A481),2)),12,31))),SUMIFS('Timesheet Raw'!$P$4:$P$8000,'Timesheet Raw'!$B$4:$B$8000,TRIM($A481),'Timesheet Raw'!$C$4:$C$8000,"*"&amp;$B481&amp;"*",'Timesheet Raw'!$L$4:$L$8000,"&gt;="&amp;V$5,'Timesheet Raw'!$L$4:$L$8000,"&lt;="&amp;V$6)))/'Profit Plan'!$B$5)</f>
        <v/>
      </c>
      <c r="W481" s="122" t="str">
        <f>IF($A481="","",(IF(ISNUMBER(SEARCH("Proposal",$A481)),SUMIFS('Timesheet Raw'!$P$4:$P$8000,'Timesheet Raw'!$A$4:$A$8000,IF(ISNUMBER(SEARCH("Chargable",$A481)),"2-Proposals Chargeable","3-Proposals Regular"),'Timesheet Raw'!$C$4:$C$8000,"*"&amp;$B481&amp;"*",'Timesheet Raw'!$L$4:$L$8000,"&gt;="&amp;MAX(W$5,DATE(2000+VALUE(RIGHT(TRIM($A481),2)),1,1)),'Timesheet Raw'!$L$4:$L$8000,"&lt;="&amp;MIN(W$6,DATE(2000+VALUE(RIGHT(TRIM($A481),2)),12,31))),SUMIFS('Timesheet Raw'!$P$4:$P$8000,'Timesheet Raw'!$B$4:$B$8000,TRIM($A481),'Timesheet Raw'!$C$4:$C$8000,"*"&amp;$B481&amp;"*",'Timesheet Raw'!$L$4:$L$8000,"&gt;="&amp;W$5,'Timesheet Raw'!$L$4:$L$8000,"&lt;="&amp;W$6)))/'Profit Plan'!$B$5)</f>
        <v/>
      </c>
      <c r="X481" s="122" t="str">
        <f>IF($A481="","",(IF(ISNUMBER(SEARCH("Proposal",$A481)),SUMIFS('Timesheet Raw'!$P$4:$P$8000,'Timesheet Raw'!$A$4:$A$8000,IF(ISNUMBER(SEARCH("Chargable",$A481)),"2-Proposals Chargeable","3-Proposals Regular"),'Timesheet Raw'!$C$4:$C$8000,"*"&amp;$B481&amp;"*",'Timesheet Raw'!$L$4:$L$8000,"&gt;="&amp;MAX(X$5,DATE(2000+VALUE(RIGHT(TRIM($A481),2)),1,1)),'Timesheet Raw'!$L$4:$L$8000,"&lt;="&amp;MIN(X$6,DATE(2000+VALUE(RIGHT(TRIM($A481),2)),12,31))),SUMIFS('Timesheet Raw'!$P$4:$P$8000,'Timesheet Raw'!$B$4:$B$8000,TRIM($A481),'Timesheet Raw'!$C$4:$C$8000,"*"&amp;$B481&amp;"*",'Timesheet Raw'!$L$4:$L$8000,"&gt;="&amp;X$5,'Timesheet Raw'!$L$4:$L$8000,"&lt;="&amp;X$6)))/'Profit Plan'!$B$5)</f>
        <v/>
      </c>
      <c r="Y481" s="118">
        <f t="shared" si="103"/>
        <v>0</v>
      </c>
    </row>
    <row r="482" spans="1:25" x14ac:dyDescent="0.3">
      <c r="A482" s="116" t="str">
        <f>IF(Inputs!$A78="","",Inputs!$A78)</f>
        <v/>
      </c>
      <c r="B482" s="116" t="str">
        <f>IF(Inputs!$A78="","",Inputs!$A$92)</f>
        <v/>
      </c>
      <c r="C482" s="116"/>
      <c r="D482" s="122" t="str">
        <f>IF($A482="","",(IF(ISNUMBER(SEARCH("Proposal",$A482)),SUMIFS('Timesheet Raw'!$P$4:$P$8000,'Timesheet Raw'!$A$4:$A$8000,IF(ISNUMBER(SEARCH("Chargable",$A482)),"2-Proposals Chargeable","3-Proposals Regular"),'Timesheet Raw'!$C$4:$C$8000,"*"&amp;$B482&amp;"*",'Timesheet Raw'!$L$4:$L$8000,"&gt;="&amp;MAX(D$5,DATE(2000+VALUE(RIGHT(TRIM($A482),2)),1,1)),'Timesheet Raw'!$L$4:$L$8000,"&lt;="&amp;MIN(D$6,DATE(2000+VALUE(RIGHT(TRIM($A482),2)),12,31))),SUMIFS('Timesheet Raw'!$P$4:$P$8000,'Timesheet Raw'!$B$4:$B$8000,TRIM($A482),'Timesheet Raw'!$C$4:$C$8000,"*"&amp;$B482&amp;"*",'Timesheet Raw'!$L$4:$L$8000,"&gt;="&amp;D$5,'Timesheet Raw'!$L$4:$L$8000,"&lt;="&amp;D$6)))/'Profit Plan'!$B$5)</f>
        <v/>
      </c>
      <c r="E482" s="122" t="str">
        <f>IF($A482="","",(IF(ISNUMBER(SEARCH("Proposal",$A482)),SUMIFS('Timesheet Raw'!$P$4:$P$8000,'Timesheet Raw'!$A$4:$A$8000,IF(ISNUMBER(SEARCH("Chargable",$A482)),"2-Proposals Chargeable","3-Proposals Regular"),'Timesheet Raw'!$C$4:$C$8000,"*"&amp;$B482&amp;"*",'Timesheet Raw'!$L$4:$L$8000,"&gt;="&amp;MAX(E$5,DATE(2000+VALUE(RIGHT(TRIM($A482),2)),1,1)),'Timesheet Raw'!$L$4:$L$8000,"&lt;="&amp;MIN(E$6,DATE(2000+VALUE(RIGHT(TRIM($A482),2)),12,31))),SUMIFS('Timesheet Raw'!$P$4:$P$8000,'Timesheet Raw'!$B$4:$B$8000,TRIM($A482),'Timesheet Raw'!$C$4:$C$8000,"*"&amp;$B482&amp;"*",'Timesheet Raw'!$L$4:$L$8000,"&gt;="&amp;E$5,'Timesheet Raw'!$L$4:$L$8000,"&lt;="&amp;E$6)))/'Profit Plan'!$B$5)</f>
        <v/>
      </c>
      <c r="F482" s="122" t="str">
        <f>IF($A482="","",(IF(ISNUMBER(SEARCH("Proposal",$A482)),SUMIFS('Timesheet Raw'!$P$4:$P$8000,'Timesheet Raw'!$A$4:$A$8000,IF(ISNUMBER(SEARCH("Chargable",$A482)),"2-Proposals Chargeable","3-Proposals Regular"),'Timesheet Raw'!$C$4:$C$8000,"*"&amp;$B482&amp;"*",'Timesheet Raw'!$L$4:$L$8000,"&gt;="&amp;MAX(F$5,DATE(2000+VALUE(RIGHT(TRIM($A482),2)),1,1)),'Timesheet Raw'!$L$4:$L$8000,"&lt;="&amp;MIN(F$6,DATE(2000+VALUE(RIGHT(TRIM($A482),2)),12,31))),SUMIFS('Timesheet Raw'!$P$4:$P$8000,'Timesheet Raw'!$B$4:$B$8000,TRIM($A482),'Timesheet Raw'!$C$4:$C$8000,"*"&amp;$B482&amp;"*",'Timesheet Raw'!$L$4:$L$8000,"&gt;="&amp;F$5,'Timesheet Raw'!$L$4:$L$8000,"&lt;="&amp;F$6)))/'Profit Plan'!$B$5)</f>
        <v/>
      </c>
      <c r="G482" s="122" t="str">
        <f>IF($A482="","",(IF(ISNUMBER(SEARCH("Proposal",$A482)),SUMIFS('Timesheet Raw'!$P$4:$P$8000,'Timesheet Raw'!$A$4:$A$8000,IF(ISNUMBER(SEARCH("Chargable",$A482)),"2-Proposals Chargeable","3-Proposals Regular"),'Timesheet Raw'!$C$4:$C$8000,"*"&amp;$B482&amp;"*",'Timesheet Raw'!$L$4:$L$8000,"&gt;="&amp;MAX(G$5,DATE(2000+VALUE(RIGHT(TRIM($A482),2)),1,1)),'Timesheet Raw'!$L$4:$L$8000,"&lt;="&amp;MIN(G$6,DATE(2000+VALUE(RIGHT(TRIM($A482),2)),12,31))),SUMIFS('Timesheet Raw'!$P$4:$P$8000,'Timesheet Raw'!$B$4:$B$8000,TRIM($A482),'Timesheet Raw'!$C$4:$C$8000,"*"&amp;$B482&amp;"*",'Timesheet Raw'!$L$4:$L$8000,"&gt;="&amp;G$5,'Timesheet Raw'!$L$4:$L$8000,"&lt;="&amp;G$6)))/'Profit Plan'!$B$5)</f>
        <v/>
      </c>
      <c r="H482" s="122" t="str">
        <f>IF($A482="","",(IF(ISNUMBER(SEARCH("Proposal",$A482)),SUMIFS('Timesheet Raw'!$P$4:$P$8000,'Timesheet Raw'!$A$4:$A$8000,IF(ISNUMBER(SEARCH("Chargable",$A482)),"2-Proposals Chargeable","3-Proposals Regular"),'Timesheet Raw'!$C$4:$C$8000,"*"&amp;$B482&amp;"*",'Timesheet Raw'!$L$4:$L$8000,"&gt;="&amp;MAX(H$5,DATE(2000+VALUE(RIGHT(TRIM($A482),2)),1,1)),'Timesheet Raw'!$L$4:$L$8000,"&lt;="&amp;MIN(H$6,DATE(2000+VALUE(RIGHT(TRIM($A482),2)),12,31))),SUMIFS('Timesheet Raw'!$P$4:$P$8000,'Timesheet Raw'!$B$4:$B$8000,TRIM($A482),'Timesheet Raw'!$C$4:$C$8000,"*"&amp;$B482&amp;"*",'Timesheet Raw'!$L$4:$L$8000,"&gt;="&amp;H$5,'Timesheet Raw'!$L$4:$L$8000,"&lt;="&amp;H$6)))/'Profit Plan'!$B$5)</f>
        <v/>
      </c>
      <c r="I482" s="122" t="str">
        <f>IF($A482="","",(IF(ISNUMBER(SEARCH("Proposal",$A482)),SUMIFS('Timesheet Raw'!$P$4:$P$8000,'Timesheet Raw'!$A$4:$A$8000,IF(ISNUMBER(SEARCH("Chargable",$A482)),"2-Proposals Chargeable","3-Proposals Regular"),'Timesheet Raw'!$C$4:$C$8000,"*"&amp;$B482&amp;"*",'Timesheet Raw'!$L$4:$L$8000,"&gt;="&amp;MAX(I$5,DATE(2000+VALUE(RIGHT(TRIM($A482),2)),1,1)),'Timesheet Raw'!$L$4:$L$8000,"&lt;="&amp;MIN(I$6,DATE(2000+VALUE(RIGHT(TRIM($A482),2)),12,31))),SUMIFS('Timesheet Raw'!$P$4:$P$8000,'Timesheet Raw'!$B$4:$B$8000,TRIM($A482),'Timesheet Raw'!$C$4:$C$8000,"*"&amp;$B482&amp;"*",'Timesheet Raw'!$L$4:$L$8000,"&gt;="&amp;I$5,'Timesheet Raw'!$L$4:$L$8000,"&lt;="&amp;I$6)))/'Profit Plan'!$B$5)</f>
        <v/>
      </c>
      <c r="J482" s="122" t="str">
        <f>IF($A482="","",(IF(ISNUMBER(SEARCH("Proposal",$A482)),SUMIFS('Timesheet Raw'!$P$4:$P$8000,'Timesheet Raw'!$A$4:$A$8000,IF(ISNUMBER(SEARCH("Chargable",$A482)),"2-Proposals Chargeable","3-Proposals Regular"),'Timesheet Raw'!$C$4:$C$8000,"*"&amp;$B482&amp;"*",'Timesheet Raw'!$L$4:$L$8000,"&gt;="&amp;MAX(J$5,DATE(2000+VALUE(RIGHT(TRIM($A482),2)),1,1)),'Timesheet Raw'!$L$4:$L$8000,"&lt;="&amp;MIN(J$6,DATE(2000+VALUE(RIGHT(TRIM($A482),2)),12,31))),SUMIFS('Timesheet Raw'!$P$4:$P$8000,'Timesheet Raw'!$B$4:$B$8000,TRIM($A482),'Timesheet Raw'!$C$4:$C$8000,"*"&amp;$B482&amp;"*",'Timesheet Raw'!$L$4:$L$8000,"&gt;="&amp;J$5,'Timesheet Raw'!$L$4:$L$8000,"&lt;="&amp;J$6)))/'Profit Plan'!$B$5)</f>
        <v/>
      </c>
      <c r="K482" s="122" t="str">
        <f>IF($A482="","",(IF(ISNUMBER(SEARCH("Proposal",$A482)),SUMIFS('Timesheet Raw'!$P$4:$P$8000,'Timesheet Raw'!$A$4:$A$8000,IF(ISNUMBER(SEARCH("Chargable",$A482)),"2-Proposals Chargeable","3-Proposals Regular"),'Timesheet Raw'!$C$4:$C$8000,"*"&amp;$B482&amp;"*",'Timesheet Raw'!$L$4:$L$8000,"&gt;="&amp;MAX(K$5,DATE(2000+VALUE(RIGHT(TRIM($A482),2)),1,1)),'Timesheet Raw'!$L$4:$L$8000,"&lt;="&amp;MIN(K$6,DATE(2000+VALUE(RIGHT(TRIM($A482),2)),12,31))),SUMIFS('Timesheet Raw'!$P$4:$P$8000,'Timesheet Raw'!$B$4:$B$8000,TRIM($A482),'Timesheet Raw'!$C$4:$C$8000,"*"&amp;$B482&amp;"*",'Timesheet Raw'!$L$4:$L$8000,"&gt;="&amp;K$5,'Timesheet Raw'!$L$4:$L$8000,"&lt;="&amp;K$6)))/'Profit Plan'!$B$5)</f>
        <v/>
      </c>
      <c r="L482" s="122" t="str">
        <f>IF($A482="","",(IF(ISNUMBER(SEARCH("Proposal",$A482)),SUMIFS('Timesheet Raw'!$P$4:$P$8000,'Timesheet Raw'!$A$4:$A$8000,IF(ISNUMBER(SEARCH("Chargable",$A482)),"2-Proposals Chargeable","3-Proposals Regular"),'Timesheet Raw'!$C$4:$C$8000,"*"&amp;$B482&amp;"*",'Timesheet Raw'!$L$4:$L$8000,"&gt;="&amp;MAX(L$5,DATE(2000+VALUE(RIGHT(TRIM($A482),2)),1,1)),'Timesheet Raw'!$L$4:$L$8000,"&lt;="&amp;MIN(L$6,DATE(2000+VALUE(RIGHT(TRIM($A482),2)),12,31))),SUMIFS('Timesheet Raw'!$P$4:$P$8000,'Timesheet Raw'!$B$4:$B$8000,TRIM($A482),'Timesheet Raw'!$C$4:$C$8000,"*"&amp;$B482&amp;"*",'Timesheet Raw'!$L$4:$L$8000,"&gt;="&amp;L$5,'Timesheet Raw'!$L$4:$L$8000,"&lt;="&amp;L$6)))/'Profit Plan'!$B$5)</f>
        <v/>
      </c>
      <c r="M482" s="122" t="str">
        <f>IF($A482="","",(IF(ISNUMBER(SEARCH("Proposal",$A482)),SUMIFS('Timesheet Raw'!$P$4:$P$8000,'Timesheet Raw'!$A$4:$A$8000,IF(ISNUMBER(SEARCH("Chargable",$A482)),"2-Proposals Chargeable","3-Proposals Regular"),'Timesheet Raw'!$C$4:$C$8000,"*"&amp;$B482&amp;"*",'Timesheet Raw'!$L$4:$L$8000,"&gt;="&amp;MAX(M$5,DATE(2000+VALUE(RIGHT(TRIM($A482),2)),1,1)),'Timesheet Raw'!$L$4:$L$8000,"&lt;="&amp;MIN(M$6,DATE(2000+VALUE(RIGHT(TRIM($A482),2)),12,31))),SUMIFS('Timesheet Raw'!$P$4:$P$8000,'Timesheet Raw'!$B$4:$B$8000,TRIM($A482),'Timesheet Raw'!$C$4:$C$8000,"*"&amp;$B482&amp;"*",'Timesheet Raw'!$L$4:$L$8000,"&gt;="&amp;M$5,'Timesheet Raw'!$L$4:$L$8000,"&lt;="&amp;M$6)))/'Profit Plan'!$B$5)</f>
        <v/>
      </c>
      <c r="N482" s="122" t="str">
        <f>IF($A482="","",(IF(ISNUMBER(SEARCH("Proposal",$A482)),SUMIFS('Timesheet Raw'!$P$4:$P$8000,'Timesheet Raw'!$A$4:$A$8000,IF(ISNUMBER(SEARCH("Chargable",$A482)),"2-Proposals Chargeable","3-Proposals Regular"),'Timesheet Raw'!$C$4:$C$8000,"*"&amp;$B482&amp;"*",'Timesheet Raw'!$L$4:$L$8000,"&gt;="&amp;MAX(N$5,DATE(2000+VALUE(RIGHT(TRIM($A482),2)),1,1)),'Timesheet Raw'!$L$4:$L$8000,"&lt;="&amp;MIN(N$6,DATE(2000+VALUE(RIGHT(TRIM($A482),2)),12,31))),SUMIFS('Timesheet Raw'!$P$4:$P$8000,'Timesheet Raw'!$B$4:$B$8000,TRIM($A482),'Timesheet Raw'!$C$4:$C$8000,"*"&amp;$B482&amp;"*",'Timesheet Raw'!$L$4:$L$8000,"&gt;="&amp;N$5,'Timesheet Raw'!$L$4:$L$8000,"&lt;="&amp;N$6)))/'Profit Plan'!$B$5)</f>
        <v/>
      </c>
      <c r="O482" s="122" t="str">
        <f>IF($A482="","",(IF(ISNUMBER(SEARCH("Proposal",$A482)),SUMIFS('Timesheet Raw'!$P$4:$P$8000,'Timesheet Raw'!$A$4:$A$8000,IF(ISNUMBER(SEARCH("Chargable",$A482)),"2-Proposals Chargeable","3-Proposals Regular"),'Timesheet Raw'!$C$4:$C$8000,"*"&amp;$B482&amp;"*",'Timesheet Raw'!$L$4:$L$8000,"&gt;="&amp;MAX(O$5,DATE(2000+VALUE(RIGHT(TRIM($A482),2)),1,1)),'Timesheet Raw'!$L$4:$L$8000,"&lt;="&amp;MIN(O$6,DATE(2000+VALUE(RIGHT(TRIM($A482),2)),12,31))),SUMIFS('Timesheet Raw'!$P$4:$P$8000,'Timesheet Raw'!$B$4:$B$8000,TRIM($A482),'Timesheet Raw'!$C$4:$C$8000,"*"&amp;$B482&amp;"*",'Timesheet Raw'!$L$4:$L$8000,"&gt;="&amp;O$5,'Timesheet Raw'!$L$4:$L$8000,"&lt;="&amp;O$6)))/'Profit Plan'!$B$5)</f>
        <v/>
      </c>
      <c r="P482" s="122" t="str">
        <f>IF($A482="","",(IF(ISNUMBER(SEARCH("Proposal",$A482)),SUMIFS('Timesheet Raw'!$P$4:$P$8000,'Timesheet Raw'!$A$4:$A$8000,IF(ISNUMBER(SEARCH("Chargable",$A482)),"2-Proposals Chargeable","3-Proposals Regular"),'Timesheet Raw'!$C$4:$C$8000,"*"&amp;$B482&amp;"*",'Timesheet Raw'!$L$4:$L$8000,"&gt;="&amp;MAX(P$5,DATE(2000+VALUE(RIGHT(TRIM($A482),2)),1,1)),'Timesheet Raw'!$L$4:$L$8000,"&lt;="&amp;MIN(P$6,DATE(2000+VALUE(RIGHT(TRIM($A482),2)),12,31))),SUMIFS('Timesheet Raw'!$P$4:$P$8000,'Timesheet Raw'!$B$4:$B$8000,TRIM($A482),'Timesheet Raw'!$C$4:$C$8000,"*"&amp;$B482&amp;"*",'Timesheet Raw'!$L$4:$L$8000,"&gt;="&amp;P$5,'Timesheet Raw'!$L$4:$L$8000,"&lt;="&amp;P$6)))/'Profit Plan'!$B$5)</f>
        <v/>
      </c>
      <c r="Q482" s="122" t="str">
        <f>IF($A482="","",(IF(ISNUMBER(SEARCH("Proposal",$A482)),SUMIFS('Timesheet Raw'!$P$4:$P$8000,'Timesheet Raw'!$A$4:$A$8000,IF(ISNUMBER(SEARCH("Chargable",$A482)),"2-Proposals Chargeable","3-Proposals Regular"),'Timesheet Raw'!$C$4:$C$8000,"*"&amp;$B482&amp;"*",'Timesheet Raw'!$L$4:$L$8000,"&gt;="&amp;MAX(Q$5,DATE(2000+VALUE(RIGHT(TRIM($A482),2)),1,1)),'Timesheet Raw'!$L$4:$L$8000,"&lt;="&amp;MIN(Q$6,DATE(2000+VALUE(RIGHT(TRIM($A482),2)),12,31))),SUMIFS('Timesheet Raw'!$P$4:$P$8000,'Timesheet Raw'!$B$4:$B$8000,TRIM($A482),'Timesheet Raw'!$C$4:$C$8000,"*"&amp;$B482&amp;"*",'Timesheet Raw'!$L$4:$L$8000,"&gt;="&amp;Q$5,'Timesheet Raw'!$L$4:$L$8000,"&lt;="&amp;Q$6)))/'Profit Plan'!$B$5)</f>
        <v/>
      </c>
      <c r="R482" s="122" t="str">
        <f>IF($A482="","",(IF(ISNUMBER(SEARCH("Proposal",$A482)),SUMIFS('Timesheet Raw'!$P$4:$P$8000,'Timesheet Raw'!$A$4:$A$8000,IF(ISNUMBER(SEARCH("Chargable",$A482)),"2-Proposals Chargeable","3-Proposals Regular"),'Timesheet Raw'!$C$4:$C$8000,"*"&amp;$B482&amp;"*",'Timesheet Raw'!$L$4:$L$8000,"&gt;="&amp;MAX(R$5,DATE(2000+VALUE(RIGHT(TRIM($A482),2)),1,1)),'Timesheet Raw'!$L$4:$L$8000,"&lt;="&amp;MIN(R$6,DATE(2000+VALUE(RIGHT(TRIM($A482),2)),12,31))),SUMIFS('Timesheet Raw'!$P$4:$P$8000,'Timesheet Raw'!$B$4:$B$8000,TRIM($A482),'Timesheet Raw'!$C$4:$C$8000,"*"&amp;$B482&amp;"*",'Timesheet Raw'!$L$4:$L$8000,"&gt;="&amp;R$5,'Timesheet Raw'!$L$4:$L$8000,"&lt;="&amp;R$6)))/'Profit Plan'!$B$5)</f>
        <v/>
      </c>
      <c r="S482" s="122" t="str">
        <f>IF($A482="","",(IF(ISNUMBER(SEARCH("Proposal",$A482)),SUMIFS('Timesheet Raw'!$P$4:$P$8000,'Timesheet Raw'!$A$4:$A$8000,IF(ISNUMBER(SEARCH("Chargable",$A482)),"2-Proposals Chargeable","3-Proposals Regular"),'Timesheet Raw'!$C$4:$C$8000,"*"&amp;$B482&amp;"*",'Timesheet Raw'!$L$4:$L$8000,"&gt;="&amp;MAX(S$5,DATE(2000+VALUE(RIGHT(TRIM($A482),2)),1,1)),'Timesheet Raw'!$L$4:$L$8000,"&lt;="&amp;MIN(S$6,DATE(2000+VALUE(RIGHT(TRIM($A482),2)),12,31))),SUMIFS('Timesheet Raw'!$P$4:$P$8000,'Timesheet Raw'!$B$4:$B$8000,TRIM($A482),'Timesheet Raw'!$C$4:$C$8000,"*"&amp;$B482&amp;"*",'Timesheet Raw'!$L$4:$L$8000,"&gt;="&amp;S$5,'Timesheet Raw'!$L$4:$L$8000,"&lt;="&amp;S$6)))/'Profit Plan'!$B$5)</f>
        <v/>
      </c>
      <c r="T482" s="122" t="str">
        <f>IF($A482="","",(IF(ISNUMBER(SEARCH("Proposal",$A482)),SUMIFS('Timesheet Raw'!$P$4:$P$8000,'Timesheet Raw'!$A$4:$A$8000,IF(ISNUMBER(SEARCH("Chargable",$A482)),"2-Proposals Chargeable","3-Proposals Regular"),'Timesheet Raw'!$C$4:$C$8000,"*"&amp;$B482&amp;"*",'Timesheet Raw'!$L$4:$L$8000,"&gt;="&amp;MAX(T$5,DATE(2000+VALUE(RIGHT(TRIM($A482),2)),1,1)),'Timesheet Raw'!$L$4:$L$8000,"&lt;="&amp;MIN(T$6,DATE(2000+VALUE(RIGHT(TRIM($A482),2)),12,31))),SUMIFS('Timesheet Raw'!$P$4:$P$8000,'Timesheet Raw'!$B$4:$B$8000,TRIM($A482),'Timesheet Raw'!$C$4:$C$8000,"*"&amp;$B482&amp;"*",'Timesheet Raw'!$L$4:$L$8000,"&gt;="&amp;T$5,'Timesheet Raw'!$L$4:$L$8000,"&lt;="&amp;T$6)))/'Profit Plan'!$B$5)</f>
        <v/>
      </c>
      <c r="U482" s="122" t="str">
        <f>IF($A482="","",(IF(ISNUMBER(SEARCH("Proposal",$A482)),SUMIFS('Timesheet Raw'!$P$4:$P$8000,'Timesheet Raw'!$A$4:$A$8000,IF(ISNUMBER(SEARCH("Chargable",$A482)),"2-Proposals Chargeable","3-Proposals Regular"),'Timesheet Raw'!$C$4:$C$8000,"*"&amp;$B482&amp;"*",'Timesheet Raw'!$L$4:$L$8000,"&gt;="&amp;MAX(U$5,DATE(2000+VALUE(RIGHT(TRIM($A482),2)),1,1)),'Timesheet Raw'!$L$4:$L$8000,"&lt;="&amp;MIN(U$6,DATE(2000+VALUE(RIGHT(TRIM($A482),2)),12,31))),SUMIFS('Timesheet Raw'!$P$4:$P$8000,'Timesheet Raw'!$B$4:$B$8000,TRIM($A482),'Timesheet Raw'!$C$4:$C$8000,"*"&amp;$B482&amp;"*",'Timesheet Raw'!$L$4:$L$8000,"&gt;="&amp;U$5,'Timesheet Raw'!$L$4:$L$8000,"&lt;="&amp;U$6)))/'Profit Plan'!$B$5)</f>
        <v/>
      </c>
      <c r="V482" s="122" t="str">
        <f>IF($A482="","",(IF(ISNUMBER(SEARCH("Proposal",$A482)),SUMIFS('Timesheet Raw'!$P$4:$P$8000,'Timesheet Raw'!$A$4:$A$8000,IF(ISNUMBER(SEARCH("Chargable",$A482)),"2-Proposals Chargeable","3-Proposals Regular"),'Timesheet Raw'!$C$4:$C$8000,"*"&amp;$B482&amp;"*",'Timesheet Raw'!$L$4:$L$8000,"&gt;="&amp;MAX(V$5,DATE(2000+VALUE(RIGHT(TRIM($A482),2)),1,1)),'Timesheet Raw'!$L$4:$L$8000,"&lt;="&amp;MIN(V$6,DATE(2000+VALUE(RIGHT(TRIM($A482),2)),12,31))),SUMIFS('Timesheet Raw'!$P$4:$P$8000,'Timesheet Raw'!$B$4:$B$8000,TRIM($A482),'Timesheet Raw'!$C$4:$C$8000,"*"&amp;$B482&amp;"*",'Timesheet Raw'!$L$4:$L$8000,"&gt;="&amp;V$5,'Timesheet Raw'!$L$4:$L$8000,"&lt;="&amp;V$6)))/'Profit Plan'!$B$5)</f>
        <v/>
      </c>
      <c r="W482" s="122" t="str">
        <f>IF($A482="","",(IF(ISNUMBER(SEARCH("Proposal",$A482)),SUMIFS('Timesheet Raw'!$P$4:$P$8000,'Timesheet Raw'!$A$4:$A$8000,IF(ISNUMBER(SEARCH("Chargable",$A482)),"2-Proposals Chargeable","3-Proposals Regular"),'Timesheet Raw'!$C$4:$C$8000,"*"&amp;$B482&amp;"*",'Timesheet Raw'!$L$4:$L$8000,"&gt;="&amp;MAX(W$5,DATE(2000+VALUE(RIGHT(TRIM($A482),2)),1,1)),'Timesheet Raw'!$L$4:$L$8000,"&lt;="&amp;MIN(W$6,DATE(2000+VALUE(RIGHT(TRIM($A482),2)),12,31))),SUMIFS('Timesheet Raw'!$P$4:$P$8000,'Timesheet Raw'!$B$4:$B$8000,TRIM($A482),'Timesheet Raw'!$C$4:$C$8000,"*"&amp;$B482&amp;"*",'Timesheet Raw'!$L$4:$L$8000,"&gt;="&amp;W$5,'Timesheet Raw'!$L$4:$L$8000,"&lt;="&amp;W$6)))/'Profit Plan'!$B$5)</f>
        <v/>
      </c>
      <c r="X482" s="122" t="str">
        <f>IF($A482="","",(IF(ISNUMBER(SEARCH("Proposal",$A482)),SUMIFS('Timesheet Raw'!$P$4:$P$8000,'Timesheet Raw'!$A$4:$A$8000,IF(ISNUMBER(SEARCH("Chargable",$A482)),"2-Proposals Chargeable","3-Proposals Regular"),'Timesheet Raw'!$C$4:$C$8000,"*"&amp;$B482&amp;"*",'Timesheet Raw'!$L$4:$L$8000,"&gt;="&amp;MAX(X$5,DATE(2000+VALUE(RIGHT(TRIM($A482),2)),1,1)),'Timesheet Raw'!$L$4:$L$8000,"&lt;="&amp;MIN(X$6,DATE(2000+VALUE(RIGHT(TRIM($A482),2)),12,31))),SUMIFS('Timesheet Raw'!$P$4:$P$8000,'Timesheet Raw'!$B$4:$B$8000,TRIM($A482),'Timesheet Raw'!$C$4:$C$8000,"*"&amp;$B482&amp;"*",'Timesheet Raw'!$L$4:$L$8000,"&gt;="&amp;X$5,'Timesheet Raw'!$L$4:$L$8000,"&lt;="&amp;X$6)))/'Profit Plan'!$B$5)</f>
        <v/>
      </c>
      <c r="Y482" s="118">
        <f t="shared" si="103"/>
        <v>0</v>
      </c>
    </row>
    <row r="483" spans="1:25" x14ac:dyDescent="0.3">
      <c r="A483" s="116" t="str">
        <f>IF(Inputs!$A78="","",Inputs!$A78)</f>
        <v/>
      </c>
      <c r="B483" s="116" t="str">
        <f>IF(Inputs!$A78="","",Inputs!$A$93)</f>
        <v/>
      </c>
      <c r="C483" s="116"/>
      <c r="D483" s="122" t="str">
        <f>IF($A483="","",(IF(ISNUMBER(SEARCH("Proposal",$A483)),SUMIFS('Timesheet Raw'!$P$4:$P$8000,'Timesheet Raw'!$A$4:$A$8000,IF(ISNUMBER(SEARCH("Chargable",$A483)),"2-Proposals Chargeable","3-Proposals Regular"),'Timesheet Raw'!$C$4:$C$8000,"*"&amp;$B483&amp;"*",'Timesheet Raw'!$L$4:$L$8000,"&gt;="&amp;MAX(D$5,DATE(2000+VALUE(RIGHT(TRIM($A483),2)),1,1)),'Timesheet Raw'!$L$4:$L$8000,"&lt;="&amp;MIN(D$6,DATE(2000+VALUE(RIGHT(TRIM($A483),2)),12,31))),SUMIFS('Timesheet Raw'!$P$4:$P$8000,'Timesheet Raw'!$B$4:$B$8000,TRIM($A483),'Timesheet Raw'!$C$4:$C$8000,"*"&amp;$B483&amp;"*",'Timesheet Raw'!$L$4:$L$8000,"&gt;="&amp;D$5,'Timesheet Raw'!$L$4:$L$8000,"&lt;="&amp;D$6)))/'Profit Plan'!$B$5)</f>
        <v/>
      </c>
      <c r="E483" s="122" t="str">
        <f>IF($A483="","",(IF(ISNUMBER(SEARCH("Proposal",$A483)),SUMIFS('Timesheet Raw'!$P$4:$P$8000,'Timesheet Raw'!$A$4:$A$8000,IF(ISNUMBER(SEARCH("Chargable",$A483)),"2-Proposals Chargeable","3-Proposals Regular"),'Timesheet Raw'!$C$4:$C$8000,"*"&amp;$B483&amp;"*",'Timesheet Raw'!$L$4:$L$8000,"&gt;="&amp;MAX(E$5,DATE(2000+VALUE(RIGHT(TRIM($A483),2)),1,1)),'Timesheet Raw'!$L$4:$L$8000,"&lt;="&amp;MIN(E$6,DATE(2000+VALUE(RIGHT(TRIM($A483),2)),12,31))),SUMIFS('Timesheet Raw'!$P$4:$P$8000,'Timesheet Raw'!$B$4:$B$8000,TRIM($A483),'Timesheet Raw'!$C$4:$C$8000,"*"&amp;$B483&amp;"*",'Timesheet Raw'!$L$4:$L$8000,"&gt;="&amp;E$5,'Timesheet Raw'!$L$4:$L$8000,"&lt;="&amp;E$6)))/'Profit Plan'!$B$5)</f>
        <v/>
      </c>
      <c r="F483" s="122" t="str">
        <f>IF($A483="","",(IF(ISNUMBER(SEARCH("Proposal",$A483)),SUMIFS('Timesheet Raw'!$P$4:$P$8000,'Timesheet Raw'!$A$4:$A$8000,IF(ISNUMBER(SEARCH("Chargable",$A483)),"2-Proposals Chargeable","3-Proposals Regular"),'Timesheet Raw'!$C$4:$C$8000,"*"&amp;$B483&amp;"*",'Timesheet Raw'!$L$4:$L$8000,"&gt;="&amp;MAX(F$5,DATE(2000+VALUE(RIGHT(TRIM($A483),2)),1,1)),'Timesheet Raw'!$L$4:$L$8000,"&lt;="&amp;MIN(F$6,DATE(2000+VALUE(RIGHT(TRIM($A483),2)),12,31))),SUMIFS('Timesheet Raw'!$P$4:$P$8000,'Timesheet Raw'!$B$4:$B$8000,TRIM($A483),'Timesheet Raw'!$C$4:$C$8000,"*"&amp;$B483&amp;"*",'Timesheet Raw'!$L$4:$L$8000,"&gt;="&amp;F$5,'Timesheet Raw'!$L$4:$L$8000,"&lt;="&amp;F$6)))/'Profit Plan'!$B$5)</f>
        <v/>
      </c>
      <c r="G483" s="122" t="str">
        <f>IF($A483="","",(IF(ISNUMBER(SEARCH("Proposal",$A483)),SUMIFS('Timesheet Raw'!$P$4:$P$8000,'Timesheet Raw'!$A$4:$A$8000,IF(ISNUMBER(SEARCH("Chargable",$A483)),"2-Proposals Chargeable","3-Proposals Regular"),'Timesheet Raw'!$C$4:$C$8000,"*"&amp;$B483&amp;"*",'Timesheet Raw'!$L$4:$L$8000,"&gt;="&amp;MAX(G$5,DATE(2000+VALUE(RIGHT(TRIM($A483),2)),1,1)),'Timesheet Raw'!$L$4:$L$8000,"&lt;="&amp;MIN(G$6,DATE(2000+VALUE(RIGHT(TRIM($A483),2)),12,31))),SUMIFS('Timesheet Raw'!$P$4:$P$8000,'Timesheet Raw'!$B$4:$B$8000,TRIM($A483),'Timesheet Raw'!$C$4:$C$8000,"*"&amp;$B483&amp;"*",'Timesheet Raw'!$L$4:$L$8000,"&gt;="&amp;G$5,'Timesheet Raw'!$L$4:$L$8000,"&lt;="&amp;G$6)))/'Profit Plan'!$B$5)</f>
        <v/>
      </c>
      <c r="H483" s="122" t="str">
        <f>IF($A483="","",(IF(ISNUMBER(SEARCH("Proposal",$A483)),SUMIFS('Timesheet Raw'!$P$4:$P$8000,'Timesheet Raw'!$A$4:$A$8000,IF(ISNUMBER(SEARCH("Chargable",$A483)),"2-Proposals Chargeable","3-Proposals Regular"),'Timesheet Raw'!$C$4:$C$8000,"*"&amp;$B483&amp;"*",'Timesheet Raw'!$L$4:$L$8000,"&gt;="&amp;MAX(H$5,DATE(2000+VALUE(RIGHT(TRIM($A483),2)),1,1)),'Timesheet Raw'!$L$4:$L$8000,"&lt;="&amp;MIN(H$6,DATE(2000+VALUE(RIGHT(TRIM($A483),2)),12,31))),SUMIFS('Timesheet Raw'!$P$4:$P$8000,'Timesheet Raw'!$B$4:$B$8000,TRIM($A483),'Timesheet Raw'!$C$4:$C$8000,"*"&amp;$B483&amp;"*",'Timesheet Raw'!$L$4:$L$8000,"&gt;="&amp;H$5,'Timesheet Raw'!$L$4:$L$8000,"&lt;="&amp;H$6)))/'Profit Plan'!$B$5)</f>
        <v/>
      </c>
      <c r="I483" s="122" t="str">
        <f>IF($A483="","",(IF(ISNUMBER(SEARCH("Proposal",$A483)),SUMIFS('Timesheet Raw'!$P$4:$P$8000,'Timesheet Raw'!$A$4:$A$8000,IF(ISNUMBER(SEARCH("Chargable",$A483)),"2-Proposals Chargeable","3-Proposals Regular"),'Timesheet Raw'!$C$4:$C$8000,"*"&amp;$B483&amp;"*",'Timesheet Raw'!$L$4:$L$8000,"&gt;="&amp;MAX(I$5,DATE(2000+VALUE(RIGHT(TRIM($A483),2)),1,1)),'Timesheet Raw'!$L$4:$L$8000,"&lt;="&amp;MIN(I$6,DATE(2000+VALUE(RIGHT(TRIM($A483),2)),12,31))),SUMIFS('Timesheet Raw'!$P$4:$P$8000,'Timesheet Raw'!$B$4:$B$8000,TRIM($A483),'Timesheet Raw'!$C$4:$C$8000,"*"&amp;$B483&amp;"*",'Timesheet Raw'!$L$4:$L$8000,"&gt;="&amp;I$5,'Timesheet Raw'!$L$4:$L$8000,"&lt;="&amp;I$6)))/'Profit Plan'!$B$5)</f>
        <v/>
      </c>
      <c r="J483" s="122" t="str">
        <f>IF($A483="","",(IF(ISNUMBER(SEARCH("Proposal",$A483)),SUMIFS('Timesheet Raw'!$P$4:$P$8000,'Timesheet Raw'!$A$4:$A$8000,IF(ISNUMBER(SEARCH("Chargable",$A483)),"2-Proposals Chargeable","3-Proposals Regular"),'Timesheet Raw'!$C$4:$C$8000,"*"&amp;$B483&amp;"*",'Timesheet Raw'!$L$4:$L$8000,"&gt;="&amp;MAX(J$5,DATE(2000+VALUE(RIGHT(TRIM($A483),2)),1,1)),'Timesheet Raw'!$L$4:$L$8000,"&lt;="&amp;MIN(J$6,DATE(2000+VALUE(RIGHT(TRIM($A483),2)),12,31))),SUMIFS('Timesheet Raw'!$P$4:$P$8000,'Timesheet Raw'!$B$4:$B$8000,TRIM($A483),'Timesheet Raw'!$C$4:$C$8000,"*"&amp;$B483&amp;"*",'Timesheet Raw'!$L$4:$L$8000,"&gt;="&amp;J$5,'Timesheet Raw'!$L$4:$L$8000,"&lt;="&amp;J$6)))/'Profit Plan'!$B$5)</f>
        <v/>
      </c>
      <c r="K483" s="122" t="str">
        <f>IF($A483="","",(IF(ISNUMBER(SEARCH("Proposal",$A483)),SUMIFS('Timesheet Raw'!$P$4:$P$8000,'Timesheet Raw'!$A$4:$A$8000,IF(ISNUMBER(SEARCH("Chargable",$A483)),"2-Proposals Chargeable","3-Proposals Regular"),'Timesheet Raw'!$C$4:$C$8000,"*"&amp;$B483&amp;"*",'Timesheet Raw'!$L$4:$L$8000,"&gt;="&amp;MAX(K$5,DATE(2000+VALUE(RIGHT(TRIM($A483),2)),1,1)),'Timesheet Raw'!$L$4:$L$8000,"&lt;="&amp;MIN(K$6,DATE(2000+VALUE(RIGHT(TRIM($A483),2)),12,31))),SUMIFS('Timesheet Raw'!$P$4:$P$8000,'Timesheet Raw'!$B$4:$B$8000,TRIM($A483),'Timesheet Raw'!$C$4:$C$8000,"*"&amp;$B483&amp;"*",'Timesheet Raw'!$L$4:$L$8000,"&gt;="&amp;K$5,'Timesheet Raw'!$L$4:$L$8000,"&lt;="&amp;K$6)))/'Profit Plan'!$B$5)</f>
        <v/>
      </c>
      <c r="L483" s="122" t="str">
        <f>IF($A483="","",(IF(ISNUMBER(SEARCH("Proposal",$A483)),SUMIFS('Timesheet Raw'!$P$4:$P$8000,'Timesheet Raw'!$A$4:$A$8000,IF(ISNUMBER(SEARCH("Chargable",$A483)),"2-Proposals Chargeable","3-Proposals Regular"),'Timesheet Raw'!$C$4:$C$8000,"*"&amp;$B483&amp;"*",'Timesheet Raw'!$L$4:$L$8000,"&gt;="&amp;MAX(L$5,DATE(2000+VALUE(RIGHT(TRIM($A483),2)),1,1)),'Timesheet Raw'!$L$4:$L$8000,"&lt;="&amp;MIN(L$6,DATE(2000+VALUE(RIGHT(TRIM($A483),2)),12,31))),SUMIFS('Timesheet Raw'!$P$4:$P$8000,'Timesheet Raw'!$B$4:$B$8000,TRIM($A483),'Timesheet Raw'!$C$4:$C$8000,"*"&amp;$B483&amp;"*",'Timesheet Raw'!$L$4:$L$8000,"&gt;="&amp;L$5,'Timesheet Raw'!$L$4:$L$8000,"&lt;="&amp;L$6)))/'Profit Plan'!$B$5)</f>
        <v/>
      </c>
      <c r="M483" s="122" t="str">
        <f>IF($A483="","",(IF(ISNUMBER(SEARCH("Proposal",$A483)),SUMIFS('Timesheet Raw'!$P$4:$P$8000,'Timesheet Raw'!$A$4:$A$8000,IF(ISNUMBER(SEARCH("Chargable",$A483)),"2-Proposals Chargeable","3-Proposals Regular"),'Timesheet Raw'!$C$4:$C$8000,"*"&amp;$B483&amp;"*",'Timesheet Raw'!$L$4:$L$8000,"&gt;="&amp;MAX(M$5,DATE(2000+VALUE(RIGHT(TRIM($A483),2)),1,1)),'Timesheet Raw'!$L$4:$L$8000,"&lt;="&amp;MIN(M$6,DATE(2000+VALUE(RIGHT(TRIM($A483),2)),12,31))),SUMIFS('Timesheet Raw'!$P$4:$P$8000,'Timesheet Raw'!$B$4:$B$8000,TRIM($A483),'Timesheet Raw'!$C$4:$C$8000,"*"&amp;$B483&amp;"*",'Timesheet Raw'!$L$4:$L$8000,"&gt;="&amp;M$5,'Timesheet Raw'!$L$4:$L$8000,"&lt;="&amp;M$6)))/'Profit Plan'!$B$5)</f>
        <v/>
      </c>
      <c r="N483" s="122" t="str">
        <f>IF($A483="","",(IF(ISNUMBER(SEARCH("Proposal",$A483)),SUMIFS('Timesheet Raw'!$P$4:$P$8000,'Timesheet Raw'!$A$4:$A$8000,IF(ISNUMBER(SEARCH("Chargable",$A483)),"2-Proposals Chargeable","3-Proposals Regular"),'Timesheet Raw'!$C$4:$C$8000,"*"&amp;$B483&amp;"*",'Timesheet Raw'!$L$4:$L$8000,"&gt;="&amp;MAX(N$5,DATE(2000+VALUE(RIGHT(TRIM($A483),2)),1,1)),'Timesheet Raw'!$L$4:$L$8000,"&lt;="&amp;MIN(N$6,DATE(2000+VALUE(RIGHT(TRIM($A483),2)),12,31))),SUMIFS('Timesheet Raw'!$P$4:$P$8000,'Timesheet Raw'!$B$4:$B$8000,TRIM($A483),'Timesheet Raw'!$C$4:$C$8000,"*"&amp;$B483&amp;"*",'Timesheet Raw'!$L$4:$L$8000,"&gt;="&amp;N$5,'Timesheet Raw'!$L$4:$L$8000,"&lt;="&amp;N$6)))/'Profit Plan'!$B$5)</f>
        <v/>
      </c>
      <c r="O483" s="122" t="str">
        <f>IF($A483="","",(IF(ISNUMBER(SEARCH("Proposal",$A483)),SUMIFS('Timesheet Raw'!$P$4:$P$8000,'Timesheet Raw'!$A$4:$A$8000,IF(ISNUMBER(SEARCH("Chargable",$A483)),"2-Proposals Chargeable","3-Proposals Regular"),'Timesheet Raw'!$C$4:$C$8000,"*"&amp;$B483&amp;"*",'Timesheet Raw'!$L$4:$L$8000,"&gt;="&amp;MAX(O$5,DATE(2000+VALUE(RIGHT(TRIM($A483),2)),1,1)),'Timesheet Raw'!$L$4:$L$8000,"&lt;="&amp;MIN(O$6,DATE(2000+VALUE(RIGHT(TRIM($A483),2)),12,31))),SUMIFS('Timesheet Raw'!$P$4:$P$8000,'Timesheet Raw'!$B$4:$B$8000,TRIM($A483),'Timesheet Raw'!$C$4:$C$8000,"*"&amp;$B483&amp;"*",'Timesheet Raw'!$L$4:$L$8000,"&gt;="&amp;O$5,'Timesheet Raw'!$L$4:$L$8000,"&lt;="&amp;O$6)))/'Profit Plan'!$B$5)</f>
        <v/>
      </c>
      <c r="P483" s="122" t="str">
        <f>IF($A483="","",(IF(ISNUMBER(SEARCH("Proposal",$A483)),SUMIFS('Timesheet Raw'!$P$4:$P$8000,'Timesheet Raw'!$A$4:$A$8000,IF(ISNUMBER(SEARCH("Chargable",$A483)),"2-Proposals Chargeable","3-Proposals Regular"),'Timesheet Raw'!$C$4:$C$8000,"*"&amp;$B483&amp;"*",'Timesheet Raw'!$L$4:$L$8000,"&gt;="&amp;MAX(P$5,DATE(2000+VALUE(RIGHT(TRIM($A483),2)),1,1)),'Timesheet Raw'!$L$4:$L$8000,"&lt;="&amp;MIN(P$6,DATE(2000+VALUE(RIGHT(TRIM($A483),2)),12,31))),SUMIFS('Timesheet Raw'!$P$4:$P$8000,'Timesheet Raw'!$B$4:$B$8000,TRIM($A483),'Timesheet Raw'!$C$4:$C$8000,"*"&amp;$B483&amp;"*",'Timesheet Raw'!$L$4:$L$8000,"&gt;="&amp;P$5,'Timesheet Raw'!$L$4:$L$8000,"&lt;="&amp;P$6)))/'Profit Plan'!$B$5)</f>
        <v/>
      </c>
      <c r="Q483" s="122" t="str">
        <f>IF($A483="","",(IF(ISNUMBER(SEARCH("Proposal",$A483)),SUMIFS('Timesheet Raw'!$P$4:$P$8000,'Timesheet Raw'!$A$4:$A$8000,IF(ISNUMBER(SEARCH("Chargable",$A483)),"2-Proposals Chargeable","3-Proposals Regular"),'Timesheet Raw'!$C$4:$C$8000,"*"&amp;$B483&amp;"*",'Timesheet Raw'!$L$4:$L$8000,"&gt;="&amp;MAX(Q$5,DATE(2000+VALUE(RIGHT(TRIM($A483),2)),1,1)),'Timesheet Raw'!$L$4:$L$8000,"&lt;="&amp;MIN(Q$6,DATE(2000+VALUE(RIGHT(TRIM($A483),2)),12,31))),SUMIFS('Timesheet Raw'!$P$4:$P$8000,'Timesheet Raw'!$B$4:$B$8000,TRIM($A483),'Timesheet Raw'!$C$4:$C$8000,"*"&amp;$B483&amp;"*",'Timesheet Raw'!$L$4:$L$8000,"&gt;="&amp;Q$5,'Timesheet Raw'!$L$4:$L$8000,"&lt;="&amp;Q$6)))/'Profit Plan'!$B$5)</f>
        <v/>
      </c>
      <c r="R483" s="122" t="str">
        <f>IF($A483="","",(IF(ISNUMBER(SEARCH("Proposal",$A483)),SUMIFS('Timesheet Raw'!$P$4:$P$8000,'Timesheet Raw'!$A$4:$A$8000,IF(ISNUMBER(SEARCH("Chargable",$A483)),"2-Proposals Chargeable","3-Proposals Regular"),'Timesheet Raw'!$C$4:$C$8000,"*"&amp;$B483&amp;"*",'Timesheet Raw'!$L$4:$L$8000,"&gt;="&amp;MAX(R$5,DATE(2000+VALUE(RIGHT(TRIM($A483),2)),1,1)),'Timesheet Raw'!$L$4:$L$8000,"&lt;="&amp;MIN(R$6,DATE(2000+VALUE(RIGHT(TRIM($A483),2)),12,31))),SUMIFS('Timesheet Raw'!$P$4:$P$8000,'Timesheet Raw'!$B$4:$B$8000,TRIM($A483),'Timesheet Raw'!$C$4:$C$8000,"*"&amp;$B483&amp;"*",'Timesheet Raw'!$L$4:$L$8000,"&gt;="&amp;R$5,'Timesheet Raw'!$L$4:$L$8000,"&lt;="&amp;R$6)))/'Profit Plan'!$B$5)</f>
        <v/>
      </c>
      <c r="S483" s="122" t="str">
        <f>IF($A483="","",(IF(ISNUMBER(SEARCH("Proposal",$A483)),SUMIFS('Timesheet Raw'!$P$4:$P$8000,'Timesheet Raw'!$A$4:$A$8000,IF(ISNUMBER(SEARCH("Chargable",$A483)),"2-Proposals Chargeable","3-Proposals Regular"),'Timesheet Raw'!$C$4:$C$8000,"*"&amp;$B483&amp;"*",'Timesheet Raw'!$L$4:$L$8000,"&gt;="&amp;MAX(S$5,DATE(2000+VALUE(RIGHT(TRIM($A483),2)),1,1)),'Timesheet Raw'!$L$4:$L$8000,"&lt;="&amp;MIN(S$6,DATE(2000+VALUE(RIGHT(TRIM($A483),2)),12,31))),SUMIFS('Timesheet Raw'!$P$4:$P$8000,'Timesheet Raw'!$B$4:$B$8000,TRIM($A483),'Timesheet Raw'!$C$4:$C$8000,"*"&amp;$B483&amp;"*",'Timesheet Raw'!$L$4:$L$8000,"&gt;="&amp;S$5,'Timesheet Raw'!$L$4:$L$8000,"&lt;="&amp;S$6)))/'Profit Plan'!$B$5)</f>
        <v/>
      </c>
      <c r="T483" s="122" t="str">
        <f>IF($A483="","",(IF(ISNUMBER(SEARCH("Proposal",$A483)),SUMIFS('Timesheet Raw'!$P$4:$P$8000,'Timesheet Raw'!$A$4:$A$8000,IF(ISNUMBER(SEARCH("Chargable",$A483)),"2-Proposals Chargeable","3-Proposals Regular"),'Timesheet Raw'!$C$4:$C$8000,"*"&amp;$B483&amp;"*",'Timesheet Raw'!$L$4:$L$8000,"&gt;="&amp;MAX(T$5,DATE(2000+VALUE(RIGHT(TRIM($A483),2)),1,1)),'Timesheet Raw'!$L$4:$L$8000,"&lt;="&amp;MIN(T$6,DATE(2000+VALUE(RIGHT(TRIM($A483),2)),12,31))),SUMIFS('Timesheet Raw'!$P$4:$P$8000,'Timesheet Raw'!$B$4:$B$8000,TRIM($A483),'Timesheet Raw'!$C$4:$C$8000,"*"&amp;$B483&amp;"*",'Timesheet Raw'!$L$4:$L$8000,"&gt;="&amp;T$5,'Timesheet Raw'!$L$4:$L$8000,"&lt;="&amp;T$6)))/'Profit Plan'!$B$5)</f>
        <v/>
      </c>
      <c r="U483" s="122" t="str">
        <f>IF($A483="","",(IF(ISNUMBER(SEARCH("Proposal",$A483)),SUMIFS('Timesheet Raw'!$P$4:$P$8000,'Timesheet Raw'!$A$4:$A$8000,IF(ISNUMBER(SEARCH("Chargable",$A483)),"2-Proposals Chargeable","3-Proposals Regular"),'Timesheet Raw'!$C$4:$C$8000,"*"&amp;$B483&amp;"*",'Timesheet Raw'!$L$4:$L$8000,"&gt;="&amp;MAX(U$5,DATE(2000+VALUE(RIGHT(TRIM($A483),2)),1,1)),'Timesheet Raw'!$L$4:$L$8000,"&lt;="&amp;MIN(U$6,DATE(2000+VALUE(RIGHT(TRIM($A483),2)),12,31))),SUMIFS('Timesheet Raw'!$P$4:$P$8000,'Timesheet Raw'!$B$4:$B$8000,TRIM($A483),'Timesheet Raw'!$C$4:$C$8000,"*"&amp;$B483&amp;"*",'Timesheet Raw'!$L$4:$L$8000,"&gt;="&amp;U$5,'Timesheet Raw'!$L$4:$L$8000,"&lt;="&amp;U$6)))/'Profit Plan'!$B$5)</f>
        <v/>
      </c>
      <c r="V483" s="122" t="str">
        <f>IF($A483="","",(IF(ISNUMBER(SEARCH("Proposal",$A483)),SUMIFS('Timesheet Raw'!$P$4:$P$8000,'Timesheet Raw'!$A$4:$A$8000,IF(ISNUMBER(SEARCH("Chargable",$A483)),"2-Proposals Chargeable","3-Proposals Regular"),'Timesheet Raw'!$C$4:$C$8000,"*"&amp;$B483&amp;"*",'Timesheet Raw'!$L$4:$L$8000,"&gt;="&amp;MAX(V$5,DATE(2000+VALUE(RIGHT(TRIM($A483),2)),1,1)),'Timesheet Raw'!$L$4:$L$8000,"&lt;="&amp;MIN(V$6,DATE(2000+VALUE(RIGHT(TRIM($A483),2)),12,31))),SUMIFS('Timesheet Raw'!$P$4:$P$8000,'Timesheet Raw'!$B$4:$B$8000,TRIM($A483),'Timesheet Raw'!$C$4:$C$8000,"*"&amp;$B483&amp;"*",'Timesheet Raw'!$L$4:$L$8000,"&gt;="&amp;V$5,'Timesheet Raw'!$L$4:$L$8000,"&lt;="&amp;V$6)))/'Profit Plan'!$B$5)</f>
        <v/>
      </c>
      <c r="W483" s="122" t="str">
        <f>IF($A483="","",(IF(ISNUMBER(SEARCH("Proposal",$A483)),SUMIFS('Timesheet Raw'!$P$4:$P$8000,'Timesheet Raw'!$A$4:$A$8000,IF(ISNUMBER(SEARCH("Chargable",$A483)),"2-Proposals Chargeable","3-Proposals Regular"),'Timesheet Raw'!$C$4:$C$8000,"*"&amp;$B483&amp;"*",'Timesheet Raw'!$L$4:$L$8000,"&gt;="&amp;MAX(W$5,DATE(2000+VALUE(RIGHT(TRIM($A483),2)),1,1)),'Timesheet Raw'!$L$4:$L$8000,"&lt;="&amp;MIN(W$6,DATE(2000+VALUE(RIGHT(TRIM($A483),2)),12,31))),SUMIFS('Timesheet Raw'!$P$4:$P$8000,'Timesheet Raw'!$B$4:$B$8000,TRIM($A483),'Timesheet Raw'!$C$4:$C$8000,"*"&amp;$B483&amp;"*",'Timesheet Raw'!$L$4:$L$8000,"&gt;="&amp;W$5,'Timesheet Raw'!$L$4:$L$8000,"&lt;="&amp;W$6)))/'Profit Plan'!$B$5)</f>
        <v/>
      </c>
      <c r="X483" s="122" t="str">
        <f>IF($A483="","",(IF(ISNUMBER(SEARCH("Proposal",$A483)),SUMIFS('Timesheet Raw'!$P$4:$P$8000,'Timesheet Raw'!$A$4:$A$8000,IF(ISNUMBER(SEARCH("Chargable",$A483)),"2-Proposals Chargeable","3-Proposals Regular"),'Timesheet Raw'!$C$4:$C$8000,"*"&amp;$B483&amp;"*",'Timesheet Raw'!$L$4:$L$8000,"&gt;="&amp;MAX(X$5,DATE(2000+VALUE(RIGHT(TRIM($A483),2)),1,1)),'Timesheet Raw'!$L$4:$L$8000,"&lt;="&amp;MIN(X$6,DATE(2000+VALUE(RIGHT(TRIM($A483),2)),12,31))),SUMIFS('Timesheet Raw'!$P$4:$P$8000,'Timesheet Raw'!$B$4:$B$8000,TRIM($A483),'Timesheet Raw'!$C$4:$C$8000,"*"&amp;$B483&amp;"*",'Timesheet Raw'!$L$4:$L$8000,"&gt;="&amp;X$5,'Timesheet Raw'!$L$4:$L$8000,"&lt;="&amp;X$6)))/'Profit Plan'!$B$5)</f>
        <v/>
      </c>
      <c r="Y483" s="118">
        <f t="shared" si="103"/>
        <v>0</v>
      </c>
    </row>
    <row r="484" spans="1:25" x14ac:dyDescent="0.3">
      <c r="A484" s="116" t="str">
        <f>IF(Inputs!$A79="","",Inputs!$A79)</f>
        <v/>
      </c>
      <c r="B484" s="116" t="str">
        <f>IF(Inputs!$A79="","",Inputs!$A$91)</f>
        <v/>
      </c>
      <c r="C484" s="116"/>
      <c r="D484" s="122" t="str">
        <f>IF($A484="","",(IF(ISNUMBER(SEARCH("Proposal",$A484)),SUMIFS('Timesheet Raw'!$P$4:$P$8000,'Timesheet Raw'!$A$4:$A$8000,IF(ISNUMBER(SEARCH("Chargable",$A484)),"2-Proposals Chargeable","3-Proposals Regular"),'Timesheet Raw'!$C$4:$C$8000,"*"&amp;$B484&amp;"*",'Timesheet Raw'!$L$4:$L$8000,"&gt;="&amp;MAX(D$5,DATE(2000+VALUE(RIGHT(TRIM($A484),2)),1,1)),'Timesheet Raw'!$L$4:$L$8000,"&lt;="&amp;MIN(D$6,DATE(2000+VALUE(RIGHT(TRIM($A484),2)),12,31))),SUMIFS('Timesheet Raw'!$P$4:$P$8000,'Timesheet Raw'!$B$4:$B$8000,TRIM($A484),'Timesheet Raw'!$C$4:$C$8000,"*"&amp;$B484&amp;"*",'Timesheet Raw'!$L$4:$L$8000,"&gt;="&amp;D$5,'Timesheet Raw'!$L$4:$L$8000,"&lt;="&amp;D$6)))/'Profit Plan'!$B$5)</f>
        <v/>
      </c>
      <c r="E484" s="122" t="str">
        <f>IF($A484="","",(IF(ISNUMBER(SEARCH("Proposal",$A484)),SUMIFS('Timesheet Raw'!$P$4:$P$8000,'Timesheet Raw'!$A$4:$A$8000,IF(ISNUMBER(SEARCH("Chargable",$A484)),"2-Proposals Chargeable","3-Proposals Regular"),'Timesheet Raw'!$C$4:$C$8000,"*"&amp;$B484&amp;"*",'Timesheet Raw'!$L$4:$L$8000,"&gt;="&amp;MAX(E$5,DATE(2000+VALUE(RIGHT(TRIM($A484),2)),1,1)),'Timesheet Raw'!$L$4:$L$8000,"&lt;="&amp;MIN(E$6,DATE(2000+VALUE(RIGHT(TRIM($A484),2)),12,31))),SUMIFS('Timesheet Raw'!$P$4:$P$8000,'Timesheet Raw'!$B$4:$B$8000,TRIM($A484),'Timesheet Raw'!$C$4:$C$8000,"*"&amp;$B484&amp;"*",'Timesheet Raw'!$L$4:$L$8000,"&gt;="&amp;E$5,'Timesheet Raw'!$L$4:$L$8000,"&lt;="&amp;E$6)))/'Profit Plan'!$B$5)</f>
        <v/>
      </c>
      <c r="F484" s="122" t="str">
        <f>IF($A484="","",(IF(ISNUMBER(SEARCH("Proposal",$A484)),SUMIFS('Timesheet Raw'!$P$4:$P$8000,'Timesheet Raw'!$A$4:$A$8000,IF(ISNUMBER(SEARCH("Chargable",$A484)),"2-Proposals Chargeable","3-Proposals Regular"),'Timesheet Raw'!$C$4:$C$8000,"*"&amp;$B484&amp;"*",'Timesheet Raw'!$L$4:$L$8000,"&gt;="&amp;MAX(F$5,DATE(2000+VALUE(RIGHT(TRIM($A484),2)),1,1)),'Timesheet Raw'!$L$4:$L$8000,"&lt;="&amp;MIN(F$6,DATE(2000+VALUE(RIGHT(TRIM($A484),2)),12,31))),SUMIFS('Timesheet Raw'!$P$4:$P$8000,'Timesheet Raw'!$B$4:$B$8000,TRIM($A484),'Timesheet Raw'!$C$4:$C$8000,"*"&amp;$B484&amp;"*",'Timesheet Raw'!$L$4:$L$8000,"&gt;="&amp;F$5,'Timesheet Raw'!$L$4:$L$8000,"&lt;="&amp;F$6)))/'Profit Plan'!$B$5)</f>
        <v/>
      </c>
      <c r="G484" s="122" t="str">
        <f>IF($A484="","",(IF(ISNUMBER(SEARCH("Proposal",$A484)),SUMIFS('Timesheet Raw'!$P$4:$P$8000,'Timesheet Raw'!$A$4:$A$8000,IF(ISNUMBER(SEARCH("Chargable",$A484)),"2-Proposals Chargeable","3-Proposals Regular"),'Timesheet Raw'!$C$4:$C$8000,"*"&amp;$B484&amp;"*",'Timesheet Raw'!$L$4:$L$8000,"&gt;="&amp;MAX(G$5,DATE(2000+VALUE(RIGHT(TRIM($A484),2)),1,1)),'Timesheet Raw'!$L$4:$L$8000,"&lt;="&amp;MIN(G$6,DATE(2000+VALUE(RIGHT(TRIM($A484),2)),12,31))),SUMIFS('Timesheet Raw'!$P$4:$P$8000,'Timesheet Raw'!$B$4:$B$8000,TRIM($A484),'Timesheet Raw'!$C$4:$C$8000,"*"&amp;$B484&amp;"*",'Timesheet Raw'!$L$4:$L$8000,"&gt;="&amp;G$5,'Timesheet Raw'!$L$4:$L$8000,"&lt;="&amp;G$6)))/'Profit Plan'!$B$5)</f>
        <v/>
      </c>
      <c r="H484" s="122" t="str">
        <f>IF($A484="","",(IF(ISNUMBER(SEARCH("Proposal",$A484)),SUMIFS('Timesheet Raw'!$P$4:$P$8000,'Timesheet Raw'!$A$4:$A$8000,IF(ISNUMBER(SEARCH("Chargable",$A484)),"2-Proposals Chargeable","3-Proposals Regular"),'Timesheet Raw'!$C$4:$C$8000,"*"&amp;$B484&amp;"*",'Timesheet Raw'!$L$4:$L$8000,"&gt;="&amp;MAX(H$5,DATE(2000+VALUE(RIGHT(TRIM($A484),2)),1,1)),'Timesheet Raw'!$L$4:$L$8000,"&lt;="&amp;MIN(H$6,DATE(2000+VALUE(RIGHT(TRIM($A484),2)),12,31))),SUMIFS('Timesheet Raw'!$P$4:$P$8000,'Timesheet Raw'!$B$4:$B$8000,TRIM($A484),'Timesheet Raw'!$C$4:$C$8000,"*"&amp;$B484&amp;"*",'Timesheet Raw'!$L$4:$L$8000,"&gt;="&amp;H$5,'Timesheet Raw'!$L$4:$L$8000,"&lt;="&amp;H$6)))/'Profit Plan'!$B$5)</f>
        <v/>
      </c>
      <c r="I484" s="122" t="str">
        <f>IF($A484="","",(IF(ISNUMBER(SEARCH("Proposal",$A484)),SUMIFS('Timesheet Raw'!$P$4:$P$8000,'Timesheet Raw'!$A$4:$A$8000,IF(ISNUMBER(SEARCH("Chargable",$A484)),"2-Proposals Chargeable","3-Proposals Regular"),'Timesheet Raw'!$C$4:$C$8000,"*"&amp;$B484&amp;"*",'Timesheet Raw'!$L$4:$L$8000,"&gt;="&amp;MAX(I$5,DATE(2000+VALUE(RIGHT(TRIM($A484),2)),1,1)),'Timesheet Raw'!$L$4:$L$8000,"&lt;="&amp;MIN(I$6,DATE(2000+VALUE(RIGHT(TRIM($A484),2)),12,31))),SUMIFS('Timesheet Raw'!$P$4:$P$8000,'Timesheet Raw'!$B$4:$B$8000,TRIM($A484),'Timesheet Raw'!$C$4:$C$8000,"*"&amp;$B484&amp;"*",'Timesheet Raw'!$L$4:$L$8000,"&gt;="&amp;I$5,'Timesheet Raw'!$L$4:$L$8000,"&lt;="&amp;I$6)))/'Profit Plan'!$B$5)</f>
        <v/>
      </c>
      <c r="J484" s="122" t="str">
        <f>IF($A484="","",(IF(ISNUMBER(SEARCH("Proposal",$A484)),SUMIFS('Timesheet Raw'!$P$4:$P$8000,'Timesheet Raw'!$A$4:$A$8000,IF(ISNUMBER(SEARCH("Chargable",$A484)),"2-Proposals Chargeable","3-Proposals Regular"),'Timesheet Raw'!$C$4:$C$8000,"*"&amp;$B484&amp;"*",'Timesheet Raw'!$L$4:$L$8000,"&gt;="&amp;MAX(J$5,DATE(2000+VALUE(RIGHT(TRIM($A484),2)),1,1)),'Timesheet Raw'!$L$4:$L$8000,"&lt;="&amp;MIN(J$6,DATE(2000+VALUE(RIGHT(TRIM($A484),2)),12,31))),SUMIFS('Timesheet Raw'!$P$4:$P$8000,'Timesheet Raw'!$B$4:$B$8000,TRIM($A484),'Timesheet Raw'!$C$4:$C$8000,"*"&amp;$B484&amp;"*",'Timesheet Raw'!$L$4:$L$8000,"&gt;="&amp;J$5,'Timesheet Raw'!$L$4:$L$8000,"&lt;="&amp;J$6)))/'Profit Plan'!$B$5)</f>
        <v/>
      </c>
      <c r="K484" s="122" t="str">
        <f>IF($A484="","",(IF(ISNUMBER(SEARCH("Proposal",$A484)),SUMIFS('Timesheet Raw'!$P$4:$P$8000,'Timesheet Raw'!$A$4:$A$8000,IF(ISNUMBER(SEARCH("Chargable",$A484)),"2-Proposals Chargeable","3-Proposals Regular"),'Timesheet Raw'!$C$4:$C$8000,"*"&amp;$B484&amp;"*",'Timesheet Raw'!$L$4:$L$8000,"&gt;="&amp;MAX(K$5,DATE(2000+VALUE(RIGHT(TRIM($A484),2)),1,1)),'Timesheet Raw'!$L$4:$L$8000,"&lt;="&amp;MIN(K$6,DATE(2000+VALUE(RIGHT(TRIM($A484),2)),12,31))),SUMIFS('Timesheet Raw'!$P$4:$P$8000,'Timesheet Raw'!$B$4:$B$8000,TRIM($A484),'Timesheet Raw'!$C$4:$C$8000,"*"&amp;$B484&amp;"*",'Timesheet Raw'!$L$4:$L$8000,"&gt;="&amp;K$5,'Timesheet Raw'!$L$4:$L$8000,"&lt;="&amp;K$6)))/'Profit Plan'!$B$5)</f>
        <v/>
      </c>
      <c r="L484" s="122" t="str">
        <f>IF($A484="","",(IF(ISNUMBER(SEARCH("Proposal",$A484)),SUMIFS('Timesheet Raw'!$P$4:$P$8000,'Timesheet Raw'!$A$4:$A$8000,IF(ISNUMBER(SEARCH("Chargable",$A484)),"2-Proposals Chargeable","3-Proposals Regular"),'Timesheet Raw'!$C$4:$C$8000,"*"&amp;$B484&amp;"*",'Timesheet Raw'!$L$4:$L$8000,"&gt;="&amp;MAX(L$5,DATE(2000+VALUE(RIGHT(TRIM($A484),2)),1,1)),'Timesheet Raw'!$L$4:$L$8000,"&lt;="&amp;MIN(L$6,DATE(2000+VALUE(RIGHT(TRIM($A484),2)),12,31))),SUMIFS('Timesheet Raw'!$P$4:$P$8000,'Timesheet Raw'!$B$4:$B$8000,TRIM($A484),'Timesheet Raw'!$C$4:$C$8000,"*"&amp;$B484&amp;"*",'Timesheet Raw'!$L$4:$L$8000,"&gt;="&amp;L$5,'Timesheet Raw'!$L$4:$L$8000,"&lt;="&amp;L$6)))/'Profit Plan'!$B$5)</f>
        <v/>
      </c>
      <c r="M484" s="122" t="str">
        <f>IF($A484="","",(IF(ISNUMBER(SEARCH("Proposal",$A484)),SUMIFS('Timesheet Raw'!$P$4:$P$8000,'Timesheet Raw'!$A$4:$A$8000,IF(ISNUMBER(SEARCH("Chargable",$A484)),"2-Proposals Chargeable","3-Proposals Regular"),'Timesheet Raw'!$C$4:$C$8000,"*"&amp;$B484&amp;"*",'Timesheet Raw'!$L$4:$L$8000,"&gt;="&amp;MAX(M$5,DATE(2000+VALUE(RIGHT(TRIM($A484),2)),1,1)),'Timesheet Raw'!$L$4:$L$8000,"&lt;="&amp;MIN(M$6,DATE(2000+VALUE(RIGHT(TRIM($A484),2)),12,31))),SUMIFS('Timesheet Raw'!$P$4:$P$8000,'Timesheet Raw'!$B$4:$B$8000,TRIM($A484),'Timesheet Raw'!$C$4:$C$8000,"*"&amp;$B484&amp;"*",'Timesheet Raw'!$L$4:$L$8000,"&gt;="&amp;M$5,'Timesheet Raw'!$L$4:$L$8000,"&lt;="&amp;M$6)))/'Profit Plan'!$B$5)</f>
        <v/>
      </c>
      <c r="N484" s="122" t="str">
        <f>IF($A484="","",(IF(ISNUMBER(SEARCH("Proposal",$A484)),SUMIFS('Timesheet Raw'!$P$4:$P$8000,'Timesheet Raw'!$A$4:$A$8000,IF(ISNUMBER(SEARCH("Chargable",$A484)),"2-Proposals Chargeable","3-Proposals Regular"),'Timesheet Raw'!$C$4:$C$8000,"*"&amp;$B484&amp;"*",'Timesheet Raw'!$L$4:$L$8000,"&gt;="&amp;MAX(N$5,DATE(2000+VALUE(RIGHT(TRIM($A484),2)),1,1)),'Timesheet Raw'!$L$4:$L$8000,"&lt;="&amp;MIN(N$6,DATE(2000+VALUE(RIGHT(TRIM($A484),2)),12,31))),SUMIFS('Timesheet Raw'!$P$4:$P$8000,'Timesheet Raw'!$B$4:$B$8000,TRIM($A484),'Timesheet Raw'!$C$4:$C$8000,"*"&amp;$B484&amp;"*",'Timesheet Raw'!$L$4:$L$8000,"&gt;="&amp;N$5,'Timesheet Raw'!$L$4:$L$8000,"&lt;="&amp;N$6)))/'Profit Plan'!$B$5)</f>
        <v/>
      </c>
      <c r="O484" s="122" t="str">
        <f>IF($A484="","",(IF(ISNUMBER(SEARCH("Proposal",$A484)),SUMIFS('Timesheet Raw'!$P$4:$P$8000,'Timesheet Raw'!$A$4:$A$8000,IF(ISNUMBER(SEARCH("Chargable",$A484)),"2-Proposals Chargeable","3-Proposals Regular"),'Timesheet Raw'!$C$4:$C$8000,"*"&amp;$B484&amp;"*",'Timesheet Raw'!$L$4:$L$8000,"&gt;="&amp;MAX(O$5,DATE(2000+VALUE(RIGHT(TRIM($A484),2)),1,1)),'Timesheet Raw'!$L$4:$L$8000,"&lt;="&amp;MIN(O$6,DATE(2000+VALUE(RIGHT(TRIM($A484),2)),12,31))),SUMIFS('Timesheet Raw'!$P$4:$P$8000,'Timesheet Raw'!$B$4:$B$8000,TRIM($A484),'Timesheet Raw'!$C$4:$C$8000,"*"&amp;$B484&amp;"*",'Timesheet Raw'!$L$4:$L$8000,"&gt;="&amp;O$5,'Timesheet Raw'!$L$4:$L$8000,"&lt;="&amp;O$6)))/'Profit Plan'!$B$5)</f>
        <v/>
      </c>
      <c r="P484" s="122" t="str">
        <f>IF($A484="","",(IF(ISNUMBER(SEARCH("Proposal",$A484)),SUMIFS('Timesheet Raw'!$P$4:$P$8000,'Timesheet Raw'!$A$4:$A$8000,IF(ISNUMBER(SEARCH("Chargable",$A484)),"2-Proposals Chargeable","3-Proposals Regular"),'Timesheet Raw'!$C$4:$C$8000,"*"&amp;$B484&amp;"*",'Timesheet Raw'!$L$4:$L$8000,"&gt;="&amp;MAX(P$5,DATE(2000+VALUE(RIGHT(TRIM($A484),2)),1,1)),'Timesheet Raw'!$L$4:$L$8000,"&lt;="&amp;MIN(P$6,DATE(2000+VALUE(RIGHT(TRIM($A484),2)),12,31))),SUMIFS('Timesheet Raw'!$P$4:$P$8000,'Timesheet Raw'!$B$4:$B$8000,TRIM($A484),'Timesheet Raw'!$C$4:$C$8000,"*"&amp;$B484&amp;"*",'Timesheet Raw'!$L$4:$L$8000,"&gt;="&amp;P$5,'Timesheet Raw'!$L$4:$L$8000,"&lt;="&amp;P$6)))/'Profit Plan'!$B$5)</f>
        <v/>
      </c>
      <c r="Q484" s="122" t="str">
        <f>IF($A484="","",(IF(ISNUMBER(SEARCH("Proposal",$A484)),SUMIFS('Timesheet Raw'!$P$4:$P$8000,'Timesheet Raw'!$A$4:$A$8000,IF(ISNUMBER(SEARCH("Chargable",$A484)),"2-Proposals Chargeable","3-Proposals Regular"),'Timesheet Raw'!$C$4:$C$8000,"*"&amp;$B484&amp;"*",'Timesheet Raw'!$L$4:$L$8000,"&gt;="&amp;MAX(Q$5,DATE(2000+VALUE(RIGHT(TRIM($A484),2)),1,1)),'Timesheet Raw'!$L$4:$L$8000,"&lt;="&amp;MIN(Q$6,DATE(2000+VALUE(RIGHT(TRIM($A484),2)),12,31))),SUMIFS('Timesheet Raw'!$P$4:$P$8000,'Timesheet Raw'!$B$4:$B$8000,TRIM($A484),'Timesheet Raw'!$C$4:$C$8000,"*"&amp;$B484&amp;"*",'Timesheet Raw'!$L$4:$L$8000,"&gt;="&amp;Q$5,'Timesheet Raw'!$L$4:$L$8000,"&lt;="&amp;Q$6)))/'Profit Plan'!$B$5)</f>
        <v/>
      </c>
      <c r="R484" s="122" t="str">
        <f>IF($A484="","",(IF(ISNUMBER(SEARCH("Proposal",$A484)),SUMIFS('Timesheet Raw'!$P$4:$P$8000,'Timesheet Raw'!$A$4:$A$8000,IF(ISNUMBER(SEARCH("Chargable",$A484)),"2-Proposals Chargeable","3-Proposals Regular"),'Timesheet Raw'!$C$4:$C$8000,"*"&amp;$B484&amp;"*",'Timesheet Raw'!$L$4:$L$8000,"&gt;="&amp;MAX(R$5,DATE(2000+VALUE(RIGHT(TRIM($A484),2)),1,1)),'Timesheet Raw'!$L$4:$L$8000,"&lt;="&amp;MIN(R$6,DATE(2000+VALUE(RIGHT(TRIM($A484),2)),12,31))),SUMIFS('Timesheet Raw'!$P$4:$P$8000,'Timesheet Raw'!$B$4:$B$8000,TRIM($A484),'Timesheet Raw'!$C$4:$C$8000,"*"&amp;$B484&amp;"*",'Timesheet Raw'!$L$4:$L$8000,"&gt;="&amp;R$5,'Timesheet Raw'!$L$4:$L$8000,"&lt;="&amp;R$6)))/'Profit Plan'!$B$5)</f>
        <v/>
      </c>
      <c r="S484" s="122" t="str">
        <f>IF($A484="","",(IF(ISNUMBER(SEARCH("Proposal",$A484)),SUMIFS('Timesheet Raw'!$P$4:$P$8000,'Timesheet Raw'!$A$4:$A$8000,IF(ISNUMBER(SEARCH("Chargable",$A484)),"2-Proposals Chargeable","3-Proposals Regular"),'Timesheet Raw'!$C$4:$C$8000,"*"&amp;$B484&amp;"*",'Timesheet Raw'!$L$4:$L$8000,"&gt;="&amp;MAX(S$5,DATE(2000+VALUE(RIGHT(TRIM($A484),2)),1,1)),'Timesheet Raw'!$L$4:$L$8000,"&lt;="&amp;MIN(S$6,DATE(2000+VALUE(RIGHT(TRIM($A484),2)),12,31))),SUMIFS('Timesheet Raw'!$P$4:$P$8000,'Timesheet Raw'!$B$4:$B$8000,TRIM($A484),'Timesheet Raw'!$C$4:$C$8000,"*"&amp;$B484&amp;"*",'Timesheet Raw'!$L$4:$L$8000,"&gt;="&amp;S$5,'Timesheet Raw'!$L$4:$L$8000,"&lt;="&amp;S$6)))/'Profit Plan'!$B$5)</f>
        <v/>
      </c>
      <c r="T484" s="122" t="str">
        <f>IF($A484="","",(IF(ISNUMBER(SEARCH("Proposal",$A484)),SUMIFS('Timesheet Raw'!$P$4:$P$8000,'Timesheet Raw'!$A$4:$A$8000,IF(ISNUMBER(SEARCH("Chargable",$A484)),"2-Proposals Chargeable","3-Proposals Regular"),'Timesheet Raw'!$C$4:$C$8000,"*"&amp;$B484&amp;"*",'Timesheet Raw'!$L$4:$L$8000,"&gt;="&amp;MAX(T$5,DATE(2000+VALUE(RIGHT(TRIM($A484),2)),1,1)),'Timesheet Raw'!$L$4:$L$8000,"&lt;="&amp;MIN(T$6,DATE(2000+VALUE(RIGHT(TRIM($A484),2)),12,31))),SUMIFS('Timesheet Raw'!$P$4:$P$8000,'Timesheet Raw'!$B$4:$B$8000,TRIM($A484),'Timesheet Raw'!$C$4:$C$8000,"*"&amp;$B484&amp;"*",'Timesheet Raw'!$L$4:$L$8000,"&gt;="&amp;T$5,'Timesheet Raw'!$L$4:$L$8000,"&lt;="&amp;T$6)))/'Profit Plan'!$B$5)</f>
        <v/>
      </c>
      <c r="U484" s="122" t="str">
        <f>IF($A484="","",(IF(ISNUMBER(SEARCH("Proposal",$A484)),SUMIFS('Timesheet Raw'!$P$4:$P$8000,'Timesheet Raw'!$A$4:$A$8000,IF(ISNUMBER(SEARCH("Chargable",$A484)),"2-Proposals Chargeable","3-Proposals Regular"),'Timesheet Raw'!$C$4:$C$8000,"*"&amp;$B484&amp;"*",'Timesheet Raw'!$L$4:$L$8000,"&gt;="&amp;MAX(U$5,DATE(2000+VALUE(RIGHT(TRIM($A484),2)),1,1)),'Timesheet Raw'!$L$4:$L$8000,"&lt;="&amp;MIN(U$6,DATE(2000+VALUE(RIGHT(TRIM($A484),2)),12,31))),SUMIFS('Timesheet Raw'!$P$4:$P$8000,'Timesheet Raw'!$B$4:$B$8000,TRIM($A484),'Timesheet Raw'!$C$4:$C$8000,"*"&amp;$B484&amp;"*",'Timesheet Raw'!$L$4:$L$8000,"&gt;="&amp;U$5,'Timesheet Raw'!$L$4:$L$8000,"&lt;="&amp;U$6)))/'Profit Plan'!$B$5)</f>
        <v/>
      </c>
      <c r="V484" s="122" t="str">
        <f>IF($A484="","",(IF(ISNUMBER(SEARCH("Proposal",$A484)),SUMIFS('Timesheet Raw'!$P$4:$P$8000,'Timesheet Raw'!$A$4:$A$8000,IF(ISNUMBER(SEARCH("Chargable",$A484)),"2-Proposals Chargeable","3-Proposals Regular"),'Timesheet Raw'!$C$4:$C$8000,"*"&amp;$B484&amp;"*",'Timesheet Raw'!$L$4:$L$8000,"&gt;="&amp;MAX(V$5,DATE(2000+VALUE(RIGHT(TRIM($A484),2)),1,1)),'Timesheet Raw'!$L$4:$L$8000,"&lt;="&amp;MIN(V$6,DATE(2000+VALUE(RIGHT(TRIM($A484),2)),12,31))),SUMIFS('Timesheet Raw'!$P$4:$P$8000,'Timesheet Raw'!$B$4:$B$8000,TRIM($A484),'Timesheet Raw'!$C$4:$C$8000,"*"&amp;$B484&amp;"*",'Timesheet Raw'!$L$4:$L$8000,"&gt;="&amp;V$5,'Timesheet Raw'!$L$4:$L$8000,"&lt;="&amp;V$6)))/'Profit Plan'!$B$5)</f>
        <v/>
      </c>
      <c r="W484" s="122" t="str">
        <f>IF($A484="","",(IF(ISNUMBER(SEARCH("Proposal",$A484)),SUMIFS('Timesheet Raw'!$P$4:$P$8000,'Timesheet Raw'!$A$4:$A$8000,IF(ISNUMBER(SEARCH("Chargable",$A484)),"2-Proposals Chargeable","3-Proposals Regular"),'Timesheet Raw'!$C$4:$C$8000,"*"&amp;$B484&amp;"*",'Timesheet Raw'!$L$4:$L$8000,"&gt;="&amp;MAX(W$5,DATE(2000+VALUE(RIGHT(TRIM($A484),2)),1,1)),'Timesheet Raw'!$L$4:$L$8000,"&lt;="&amp;MIN(W$6,DATE(2000+VALUE(RIGHT(TRIM($A484),2)),12,31))),SUMIFS('Timesheet Raw'!$P$4:$P$8000,'Timesheet Raw'!$B$4:$B$8000,TRIM($A484),'Timesheet Raw'!$C$4:$C$8000,"*"&amp;$B484&amp;"*",'Timesheet Raw'!$L$4:$L$8000,"&gt;="&amp;W$5,'Timesheet Raw'!$L$4:$L$8000,"&lt;="&amp;W$6)))/'Profit Plan'!$B$5)</f>
        <v/>
      </c>
      <c r="X484" s="122" t="str">
        <f>IF($A484="","",(IF(ISNUMBER(SEARCH("Proposal",$A484)),SUMIFS('Timesheet Raw'!$P$4:$P$8000,'Timesheet Raw'!$A$4:$A$8000,IF(ISNUMBER(SEARCH("Chargable",$A484)),"2-Proposals Chargeable","3-Proposals Regular"),'Timesheet Raw'!$C$4:$C$8000,"*"&amp;$B484&amp;"*",'Timesheet Raw'!$L$4:$L$8000,"&gt;="&amp;MAX(X$5,DATE(2000+VALUE(RIGHT(TRIM($A484),2)),1,1)),'Timesheet Raw'!$L$4:$L$8000,"&lt;="&amp;MIN(X$6,DATE(2000+VALUE(RIGHT(TRIM($A484),2)),12,31))),SUMIFS('Timesheet Raw'!$P$4:$P$8000,'Timesheet Raw'!$B$4:$B$8000,TRIM($A484),'Timesheet Raw'!$C$4:$C$8000,"*"&amp;$B484&amp;"*",'Timesheet Raw'!$L$4:$L$8000,"&gt;="&amp;X$5,'Timesheet Raw'!$L$4:$L$8000,"&lt;="&amp;X$6)))/'Profit Plan'!$B$5)</f>
        <v/>
      </c>
      <c r="Y484" s="118">
        <f t="shared" si="103"/>
        <v>0</v>
      </c>
    </row>
    <row r="485" spans="1:25" x14ac:dyDescent="0.3">
      <c r="A485" s="116" t="str">
        <f>IF(Inputs!$A79="","",Inputs!$A79)</f>
        <v/>
      </c>
      <c r="B485" s="116" t="str">
        <f>IF(Inputs!$A79="","",Inputs!$A$92)</f>
        <v/>
      </c>
      <c r="C485" s="116"/>
      <c r="D485" s="122" t="str">
        <f>IF($A485="","",(IF(ISNUMBER(SEARCH("Proposal",$A485)),SUMIFS('Timesheet Raw'!$P$4:$P$8000,'Timesheet Raw'!$A$4:$A$8000,IF(ISNUMBER(SEARCH("Chargable",$A485)),"2-Proposals Chargeable","3-Proposals Regular"),'Timesheet Raw'!$C$4:$C$8000,"*"&amp;$B485&amp;"*",'Timesheet Raw'!$L$4:$L$8000,"&gt;="&amp;MAX(D$5,DATE(2000+VALUE(RIGHT(TRIM($A485),2)),1,1)),'Timesheet Raw'!$L$4:$L$8000,"&lt;="&amp;MIN(D$6,DATE(2000+VALUE(RIGHT(TRIM($A485),2)),12,31))),SUMIFS('Timesheet Raw'!$P$4:$P$8000,'Timesheet Raw'!$B$4:$B$8000,TRIM($A485),'Timesheet Raw'!$C$4:$C$8000,"*"&amp;$B485&amp;"*",'Timesheet Raw'!$L$4:$L$8000,"&gt;="&amp;D$5,'Timesheet Raw'!$L$4:$L$8000,"&lt;="&amp;D$6)))/'Profit Plan'!$B$5)</f>
        <v/>
      </c>
      <c r="E485" s="122" t="str">
        <f>IF($A485="","",(IF(ISNUMBER(SEARCH("Proposal",$A485)),SUMIFS('Timesheet Raw'!$P$4:$P$8000,'Timesheet Raw'!$A$4:$A$8000,IF(ISNUMBER(SEARCH("Chargable",$A485)),"2-Proposals Chargeable","3-Proposals Regular"),'Timesheet Raw'!$C$4:$C$8000,"*"&amp;$B485&amp;"*",'Timesheet Raw'!$L$4:$L$8000,"&gt;="&amp;MAX(E$5,DATE(2000+VALUE(RIGHT(TRIM($A485),2)),1,1)),'Timesheet Raw'!$L$4:$L$8000,"&lt;="&amp;MIN(E$6,DATE(2000+VALUE(RIGHT(TRIM($A485),2)),12,31))),SUMIFS('Timesheet Raw'!$P$4:$P$8000,'Timesheet Raw'!$B$4:$B$8000,TRIM($A485),'Timesheet Raw'!$C$4:$C$8000,"*"&amp;$B485&amp;"*",'Timesheet Raw'!$L$4:$L$8000,"&gt;="&amp;E$5,'Timesheet Raw'!$L$4:$L$8000,"&lt;="&amp;E$6)))/'Profit Plan'!$B$5)</f>
        <v/>
      </c>
      <c r="F485" s="122" t="str">
        <f>IF($A485="","",(IF(ISNUMBER(SEARCH("Proposal",$A485)),SUMIFS('Timesheet Raw'!$P$4:$P$8000,'Timesheet Raw'!$A$4:$A$8000,IF(ISNUMBER(SEARCH("Chargable",$A485)),"2-Proposals Chargeable","3-Proposals Regular"),'Timesheet Raw'!$C$4:$C$8000,"*"&amp;$B485&amp;"*",'Timesheet Raw'!$L$4:$L$8000,"&gt;="&amp;MAX(F$5,DATE(2000+VALUE(RIGHT(TRIM($A485),2)),1,1)),'Timesheet Raw'!$L$4:$L$8000,"&lt;="&amp;MIN(F$6,DATE(2000+VALUE(RIGHT(TRIM($A485),2)),12,31))),SUMIFS('Timesheet Raw'!$P$4:$P$8000,'Timesheet Raw'!$B$4:$B$8000,TRIM($A485),'Timesheet Raw'!$C$4:$C$8000,"*"&amp;$B485&amp;"*",'Timesheet Raw'!$L$4:$L$8000,"&gt;="&amp;F$5,'Timesheet Raw'!$L$4:$L$8000,"&lt;="&amp;F$6)))/'Profit Plan'!$B$5)</f>
        <v/>
      </c>
      <c r="G485" s="122" t="str">
        <f>IF($A485="","",(IF(ISNUMBER(SEARCH("Proposal",$A485)),SUMIFS('Timesheet Raw'!$P$4:$P$8000,'Timesheet Raw'!$A$4:$A$8000,IF(ISNUMBER(SEARCH("Chargable",$A485)),"2-Proposals Chargeable","3-Proposals Regular"),'Timesheet Raw'!$C$4:$C$8000,"*"&amp;$B485&amp;"*",'Timesheet Raw'!$L$4:$L$8000,"&gt;="&amp;MAX(G$5,DATE(2000+VALUE(RIGHT(TRIM($A485),2)),1,1)),'Timesheet Raw'!$L$4:$L$8000,"&lt;="&amp;MIN(G$6,DATE(2000+VALUE(RIGHT(TRIM($A485),2)),12,31))),SUMIFS('Timesheet Raw'!$P$4:$P$8000,'Timesheet Raw'!$B$4:$B$8000,TRIM($A485),'Timesheet Raw'!$C$4:$C$8000,"*"&amp;$B485&amp;"*",'Timesheet Raw'!$L$4:$L$8000,"&gt;="&amp;G$5,'Timesheet Raw'!$L$4:$L$8000,"&lt;="&amp;G$6)))/'Profit Plan'!$B$5)</f>
        <v/>
      </c>
      <c r="H485" s="122" t="str">
        <f>IF($A485="","",(IF(ISNUMBER(SEARCH("Proposal",$A485)),SUMIFS('Timesheet Raw'!$P$4:$P$8000,'Timesheet Raw'!$A$4:$A$8000,IF(ISNUMBER(SEARCH("Chargable",$A485)),"2-Proposals Chargeable","3-Proposals Regular"),'Timesheet Raw'!$C$4:$C$8000,"*"&amp;$B485&amp;"*",'Timesheet Raw'!$L$4:$L$8000,"&gt;="&amp;MAX(H$5,DATE(2000+VALUE(RIGHT(TRIM($A485),2)),1,1)),'Timesheet Raw'!$L$4:$L$8000,"&lt;="&amp;MIN(H$6,DATE(2000+VALUE(RIGHT(TRIM($A485),2)),12,31))),SUMIFS('Timesheet Raw'!$P$4:$P$8000,'Timesheet Raw'!$B$4:$B$8000,TRIM($A485),'Timesheet Raw'!$C$4:$C$8000,"*"&amp;$B485&amp;"*",'Timesheet Raw'!$L$4:$L$8000,"&gt;="&amp;H$5,'Timesheet Raw'!$L$4:$L$8000,"&lt;="&amp;H$6)))/'Profit Plan'!$B$5)</f>
        <v/>
      </c>
      <c r="I485" s="122" t="str">
        <f>IF($A485="","",(IF(ISNUMBER(SEARCH("Proposal",$A485)),SUMIFS('Timesheet Raw'!$P$4:$P$8000,'Timesheet Raw'!$A$4:$A$8000,IF(ISNUMBER(SEARCH("Chargable",$A485)),"2-Proposals Chargeable","3-Proposals Regular"),'Timesheet Raw'!$C$4:$C$8000,"*"&amp;$B485&amp;"*",'Timesheet Raw'!$L$4:$L$8000,"&gt;="&amp;MAX(I$5,DATE(2000+VALUE(RIGHT(TRIM($A485),2)),1,1)),'Timesheet Raw'!$L$4:$L$8000,"&lt;="&amp;MIN(I$6,DATE(2000+VALUE(RIGHT(TRIM($A485),2)),12,31))),SUMIFS('Timesheet Raw'!$P$4:$P$8000,'Timesheet Raw'!$B$4:$B$8000,TRIM($A485),'Timesheet Raw'!$C$4:$C$8000,"*"&amp;$B485&amp;"*",'Timesheet Raw'!$L$4:$L$8000,"&gt;="&amp;I$5,'Timesheet Raw'!$L$4:$L$8000,"&lt;="&amp;I$6)))/'Profit Plan'!$B$5)</f>
        <v/>
      </c>
      <c r="J485" s="122" t="str">
        <f>IF($A485="","",(IF(ISNUMBER(SEARCH("Proposal",$A485)),SUMIFS('Timesheet Raw'!$P$4:$P$8000,'Timesheet Raw'!$A$4:$A$8000,IF(ISNUMBER(SEARCH("Chargable",$A485)),"2-Proposals Chargeable","3-Proposals Regular"),'Timesheet Raw'!$C$4:$C$8000,"*"&amp;$B485&amp;"*",'Timesheet Raw'!$L$4:$L$8000,"&gt;="&amp;MAX(J$5,DATE(2000+VALUE(RIGHT(TRIM($A485),2)),1,1)),'Timesheet Raw'!$L$4:$L$8000,"&lt;="&amp;MIN(J$6,DATE(2000+VALUE(RIGHT(TRIM($A485),2)),12,31))),SUMIFS('Timesheet Raw'!$P$4:$P$8000,'Timesheet Raw'!$B$4:$B$8000,TRIM($A485),'Timesheet Raw'!$C$4:$C$8000,"*"&amp;$B485&amp;"*",'Timesheet Raw'!$L$4:$L$8000,"&gt;="&amp;J$5,'Timesheet Raw'!$L$4:$L$8000,"&lt;="&amp;J$6)))/'Profit Plan'!$B$5)</f>
        <v/>
      </c>
      <c r="K485" s="122" t="str">
        <f>IF($A485="","",(IF(ISNUMBER(SEARCH("Proposal",$A485)),SUMIFS('Timesheet Raw'!$P$4:$P$8000,'Timesheet Raw'!$A$4:$A$8000,IF(ISNUMBER(SEARCH("Chargable",$A485)),"2-Proposals Chargeable","3-Proposals Regular"),'Timesheet Raw'!$C$4:$C$8000,"*"&amp;$B485&amp;"*",'Timesheet Raw'!$L$4:$L$8000,"&gt;="&amp;MAX(K$5,DATE(2000+VALUE(RIGHT(TRIM($A485),2)),1,1)),'Timesheet Raw'!$L$4:$L$8000,"&lt;="&amp;MIN(K$6,DATE(2000+VALUE(RIGHT(TRIM($A485),2)),12,31))),SUMIFS('Timesheet Raw'!$P$4:$P$8000,'Timesheet Raw'!$B$4:$B$8000,TRIM($A485),'Timesheet Raw'!$C$4:$C$8000,"*"&amp;$B485&amp;"*",'Timesheet Raw'!$L$4:$L$8000,"&gt;="&amp;K$5,'Timesheet Raw'!$L$4:$L$8000,"&lt;="&amp;K$6)))/'Profit Plan'!$B$5)</f>
        <v/>
      </c>
      <c r="L485" s="122" t="str">
        <f>IF($A485="","",(IF(ISNUMBER(SEARCH("Proposal",$A485)),SUMIFS('Timesheet Raw'!$P$4:$P$8000,'Timesheet Raw'!$A$4:$A$8000,IF(ISNUMBER(SEARCH("Chargable",$A485)),"2-Proposals Chargeable","3-Proposals Regular"),'Timesheet Raw'!$C$4:$C$8000,"*"&amp;$B485&amp;"*",'Timesheet Raw'!$L$4:$L$8000,"&gt;="&amp;MAX(L$5,DATE(2000+VALUE(RIGHT(TRIM($A485),2)),1,1)),'Timesheet Raw'!$L$4:$L$8000,"&lt;="&amp;MIN(L$6,DATE(2000+VALUE(RIGHT(TRIM($A485),2)),12,31))),SUMIFS('Timesheet Raw'!$P$4:$P$8000,'Timesheet Raw'!$B$4:$B$8000,TRIM($A485),'Timesheet Raw'!$C$4:$C$8000,"*"&amp;$B485&amp;"*",'Timesheet Raw'!$L$4:$L$8000,"&gt;="&amp;L$5,'Timesheet Raw'!$L$4:$L$8000,"&lt;="&amp;L$6)))/'Profit Plan'!$B$5)</f>
        <v/>
      </c>
      <c r="M485" s="122" t="str">
        <f>IF($A485="","",(IF(ISNUMBER(SEARCH("Proposal",$A485)),SUMIFS('Timesheet Raw'!$P$4:$P$8000,'Timesheet Raw'!$A$4:$A$8000,IF(ISNUMBER(SEARCH("Chargable",$A485)),"2-Proposals Chargeable","3-Proposals Regular"),'Timesheet Raw'!$C$4:$C$8000,"*"&amp;$B485&amp;"*",'Timesheet Raw'!$L$4:$L$8000,"&gt;="&amp;MAX(M$5,DATE(2000+VALUE(RIGHT(TRIM($A485),2)),1,1)),'Timesheet Raw'!$L$4:$L$8000,"&lt;="&amp;MIN(M$6,DATE(2000+VALUE(RIGHT(TRIM($A485),2)),12,31))),SUMIFS('Timesheet Raw'!$P$4:$P$8000,'Timesheet Raw'!$B$4:$B$8000,TRIM($A485),'Timesheet Raw'!$C$4:$C$8000,"*"&amp;$B485&amp;"*",'Timesheet Raw'!$L$4:$L$8000,"&gt;="&amp;M$5,'Timesheet Raw'!$L$4:$L$8000,"&lt;="&amp;M$6)))/'Profit Plan'!$B$5)</f>
        <v/>
      </c>
      <c r="N485" s="122" t="str">
        <f>IF($A485="","",(IF(ISNUMBER(SEARCH("Proposal",$A485)),SUMIFS('Timesheet Raw'!$P$4:$P$8000,'Timesheet Raw'!$A$4:$A$8000,IF(ISNUMBER(SEARCH("Chargable",$A485)),"2-Proposals Chargeable","3-Proposals Regular"),'Timesheet Raw'!$C$4:$C$8000,"*"&amp;$B485&amp;"*",'Timesheet Raw'!$L$4:$L$8000,"&gt;="&amp;MAX(N$5,DATE(2000+VALUE(RIGHT(TRIM($A485),2)),1,1)),'Timesheet Raw'!$L$4:$L$8000,"&lt;="&amp;MIN(N$6,DATE(2000+VALUE(RIGHT(TRIM($A485),2)),12,31))),SUMIFS('Timesheet Raw'!$P$4:$P$8000,'Timesheet Raw'!$B$4:$B$8000,TRIM($A485),'Timesheet Raw'!$C$4:$C$8000,"*"&amp;$B485&amp;"*",'Timesheet Raw'!$L$4:$L$8000,"&gt;="&amp;N$5,'Timesheet Raw'!$L$4:$L$8000,"&lt;="&amp;N$6)))/'Profit Plan'!$B$5)</f>
        <v/>
      </c>
      <c r="O485" s="122" t="str">
        <f>IF($A485="","",(IF(ISNUMBER(SEARCH("Proposal",$A485)),SUMIFS('Timesheet Raw'!$P$4:$P$8000,'Timesheet Raw'!$A$4:$A$8000,IF(ISNUMBER(SEARCH("Chargable",$A485)),"2-Proposals Chargeable","3-Proposals Regular"),'Timesheet Raw'!$C$4:$C$8000,"*"&amp;$B485&amp;"*",'Timesheet Raw'!$L$4:$L$8000,"&gt;="&amp;MAX(O$5,DATE(2000+VALUE(RIGHT(TRIM($A485),2)),1,1)),'Timesheet Raw'!$L$4:$L$8000,"&lt;="&amp;MIN(O$6,DATE(2000+VALUE(RIGHT(TRIM($A485),2)),12,31))),SUMIFS('Timesheet Raw'!$P$4:$P$8000,'Timesheet Raw'!$B$4:$B$8000,TRIM($A485),'Timesheet Raw'!$C$4:$C$8000,"*"&amp;$B485&amp;"*",'Timesheet Raw'!$L$4:$L$8000,"&gt;="&amp;O$5,'Timesheet Raw'!$L$4:$L$8000,"&lt;="&amp;O$6)))/'Profit Plan'!$B$5)</f>
        <v/>
      </c>
      <c r="P485" s="122" t="str">
        <f>IF($A485="","",(IF(ISNUMBER(SEARCH("Proposal",$A485)),SUMIFS('Timesheet Raw'!$P$4:$P$8000,'Timesheet Raw'!$A$4:$A$8000,IF(ISNUMBER(SEARCH("Chargable",$A485)),"2-Proposals Chargeable","3-Proposals Regular"),'Timesheet Raw'!$C$4:$C$8000,"*"&amp;$B485&amp;"*",'Timesheet Raw'!$L$4:$L$8000,"&gt;="&amp;MAX(P$5,DATE(2000+VALUE(RIGHT(TRIM($A485),2)),1,1)),'Timesheet Raw'!$L$4:$L$8000,"&lt;="&amp;MIN(P$6,DATE(2000+VALUE(RIGHT(TRIM($A485),2)),12,31))),SUMIFS('Timesheet Raw'!$P$4:$P$8000,'Timesheet Raw'!$B$4:$B$8000,TRIM($A485),'Timesheet Raw'!$C$4:$C$8000,"*"&amp;$B485&amp;"*",'Timesheet Raw'!$L$4:$L$8000,"&gt;="&amp;P$5,'Timesheet Raw'!$L$4:$L$8000,"&lt;="&amp;P$6)))/'Profit Plan'!$B$5)</f>
        <v/>
      </c>
      <c r="Q485" s="122" t="str">
        <f>IF($A485="","",(IF(ISNUMBER(SEARCH("Proposal",$A485)),SUMIFS('Timesheet Raw'!$P$4:$P$8000,'Timesheet Raw'!$A$4:$A$8000,IF(ISNUMBER(SEARCH("Chargable",$A485)),"2-Proposals Chargeable","3-Proposals Regular"),'Timesheet Raw'!$C$4:$C$8000,"*"&amp;$B485&amp;"*",'Timesheet Raw'!$L$4:$L$8000,"&gt;="&amp;MAX(Q$5,DATE(2000+VALUE(RIGHT(TRIM($A485),2)),1,1)),'Timesheet Raw'!$L$4:$L$8000,"&lt;="&amp;MIN(Q$6,DATE(2000+VALUE(RIGHT(TRIM($A485),2)),12,31))),SUMIFS('Timesheet Raw'!$P$4:$P$8000,'Timesheet Raw'!$B$4:$B$8000,TRIM($A485),'Timesheet Raw'!$C$4:$C$8000,"*"&amp;$B485&amp;"*",'Timesheet Raw'!$L$4:$L$8000,"&gt;="&amp;Q$5,'Timesheet Raw'!$L$4:$L$8000,"&lt;="&amp;Q$6)))/'Profit Plan'!$B$5)</f>
        <v/>
      </c>
      <c r="R485" s="122" t="str">
        <f>IF($A485="","",(IF(ISNUMBER(SEARCH("Proposal",$A485)),SUMIFS('Timesheet Raw'!$P$4:$P$8000,'Timesheet Raw'!$A$4:$A$8000,IF(ISNUMBER(SEARCH("Chargable",$A485)),"2-Proposals Chargeable","3-Proposals Regular"),'Timesheet Raw'!$C$4:$C$8000,"*"&amp;$B485&amp;"*",'Timesheet Raw'!$L$4:$L$8000,"&gt;="&amp;MAX(R$5,DATE(2000+VALUE(RIGHT(TRIM($A485),2)),1,1)),'Timesheet Raw'!$L$4:$L$8000,"&lt;="&amp;MIN(R$6,DATE(2000+VALUE(RIGHT(TRIM($A485),2)),12,31))),SUMIFS('Timesheet Raw'!$P$4:$P$8000,'Timesheet Raw'!$B$4:$B$8000,TRIM($A485),'Timesheet Raw'!$C$4:$C$8000,"*"&amp;$B485&amp;"*",'Timesheet Raw'!$L$4:$L$8000,"&gt;="&amp;R$5,'Timesheet Raw'!$L$4:$L$8000,"&lt;="&amp;R$6)))/'Profit Plan'!$B$5)</f>
        <v/>
      </c>
      <c r="S485" s="122" t="str">
        <f>IF($A485="","",(IF(ISNUMBER(SEARCH("Proposal",$A485)),SUMIFS('Timesheet Raw'!$P$4:$P$8000,'Timesheet Raw'!$A$4:$A$8000,IF(ISNUMBER(SEARCH("Chargable",$A485)),"2-Proposals Chargeable","3-Proposals Regular"),'Timesheet Raw'!$C$4:$C$8000,"*"&amp;$B485&amp;"*",'Timesheet Raw'!$L$4:$L$8000,"&gt;="&amp;MAX(S$5,DATE(2000+VALUE(RIGHT(TRIM($A485),2)),1,1)),'Timesheet Raw'!$L$4:$L$8000,"&lt;="&amp;MIN(S$6,DATE(2000+VALUE(RIGHT(TRIM($A485),2)),12,31))),SUMIFS('Timesheet Raw'!$P$4:$P$8000,'Timesheet Raw'!$B$4:$B$8000,TRIM($A485),'Timesheet Raw'!$C$4:$C$8000,"*"&amp;$B485&amp;"*",'Timesheet Raw'!$L$4:$L$8000,"&gt;="&amp;S$5,'Timesheet Raw'!$L$4:$L$8000,"&lt;="&amp;S$6)))/'Profit Plan'!$B$5)</f>
        <v/>
      </c>
      <c r="T485" s="122" t="str">
        <f>IF($A485="","",(IF(ISNUMBER(SEARCH("Proposal",$A485)),SUMIFS('Timesheet Raw'!$P$4:$P$8000,'Timesheet Raw'!$A$4:$A$8000,IF(ISNUMBER(SEARCH("Chargable",$A485)),"2-Proposals Chargeable","3-Proposals Regular"),'Timesheet Raw'!$C$4:$C$8000,"*"&amp;$B485&amp;"*",'Timesheet Raw'!$L$4:$L$8000,"&gt;="&amp;MAX(T$5,DATE(2000+VALUE(RIGHT(TRIM($A485),2)),1,1)),'Timesheet Raw'!$L$4:$L$8000,"&lt;="&amp;MIN(T$6,DATE(2000+VALUE(RIGHT(TRIM($A485),2)),12,31))),SUMIFS('Timesheet Raw'!$P$4:$P$8000,'Timesheet Raw'!$B$4:$B$8000,TRIM($A485),'Timesheet Raw'!$C$4:$C$8000,"*"&amp;$B485&amp;"*",'Timesheet Raw'!$L$4:$L$8000,"&gt;="&amp;T$5,'Timesheet Raw'!$L$4:$L$8000,"&lt;="&amp;T$6)))/'Profit Plan'!$B$5)</f>
        <v/>
      </c>
      <c r="U485" s="122" t="str">
        <f>IF($A485="","",(IF(ISNUMBER(SEARCH("Proposal",$A485)),SUMIFS('Timesheet Raw'!$P$4:$P$8000,'Timesheet Raw'!$A$4:$A$8000,IF(ISNUMBER(SEARCH("Chargable",$A485)),"2-Proposals Chargeable","3-Proposals Regular"),'Timesheet Raw'!$C$4:$C$8000,"*"&amp;$B485&amp;"*",'Timesheet Raw'!$L$4:$L$8000,"&gt;="&amp;MAX(U$5,DATE(2000+VALUE(RIGHT(TRIM($A485),2)),1,1)),'Timesheet Raw'!$L$4:$L$8000,"&lt;="&amp;MIN(U$6,DATE(2000+VALUE(RIGHT(TRIM($A485),2)),12,31))),SUMIFS('Timesheet Raw'!$P$4:$P$8000,'Timesheet Raw'!$B$4:$B$8000,TRIM($A485),'Timesheet Raw'!$C$4:$C$8000,"*"&amp;$B485&amp;"*",'Timesheet Raw'!$L$4:$L$8000,"&gt;="&amp;U$5,'Timesheet Raw'!$L$4:$L$8000,"&lt;="&amp;U$6)))/'Profit Plan'!$B$5)</f>
        <v/>
      </c>
      <c r="V485" s="122" t="str">
        <f>IF($A485="","",(IF(ISNUMBER(SEARCH("Proposal",$A485)),SUMIFS('Timesheet Raw'!$P$4:$P$8000,'Timesheet Raw'!$A$4:$A$8000,IF(ISNUMBER(SEARCH("Chargable",$A485)),"2-Proposals Chargeable","3-Proposals Regular"),'Timesheet Raw'!$C$4:$C$8000,"*"&amp;$B485&amp;"*",'Timesheet Raw'!$L$4:$L$8000,"&gt;="&amp;MAX(V$5,DATE(2000+VALUE(RIGHT(TRIM($A485),2)),1,1)),'Timesheet Raw'!$L$4:$L$8000,"&lt;="&amp;MIN(V$6,DATE(2000+VALUE(RIGHT(TRIM($A485),2)),12,31))),SUMIFS('Timesheet Raw'!$P$4:$P$8000,'Timesheet Raw'!$B$4:$B$8000,TRIM($A485),'Timesheet Raw'!$C$4:$C$8000,"*"&amp;$B485&amp;"*",'Timesheet Raw'!$L$4:$L$8000,"&gt;="&amp;V$5,'Timesheet Raw'!$L$4:$L$8000,"&lt;="&amp;V$6)))/'Profit Plan'!$B$5)</f>
        <v/>
      </c>
      <c r="W485" s="122" t="str">
        <f>IF($A485="","",(IF(ISNUMBER(SEARCH("Proposal",$A485)),SUMIFS('Timesheet Raw'!$P$4:$P$8000,'Timesheet Raw'!$A$4:$A$8000,IF(ISNUMBER(SEARCH("Chargable",$A485)),"2-Proposals Chargeable","3-Proposals Regular"),'Timesheet Raw'!$C$4:$C$8000,"*"&amp;$B485&amp;"*",'Timesheet Raw'!$L$4:$L$8000,"&gt;="&amp;MAX(W$5,DATE(2000+VALUE(RIGHT(TRIM($A485),2)),1,1)),'Timesheet Raw'!$L$4:$L$8000,"&lt;="&amp;MIN(W$6,DATE(2000+VALUE(RIGHT(TRIM($A485),2)),12,31))),SUMIFS('Timesheet Raw'!$P$4:$P$8000,'Timesheet Raw'!$B$4:$B$8000,TRIM($A485),'Timesheet Raw'!$C$4:$C$8000,"*"&amp;$B485&amp;"*",'Timesheet Raw'!$L$4:$L$8000,"&gt;="&amp;W$5,'Timesheet Raw'!$L$4:$L$8000,"&lt;="&amp;W$6)))/'Profit Plan'!$B$5)</f>
        <v/>
      </c>
      <c r="X485" s="122" t="str">
        <f>IF($A485="","",(IF(ISNUMBER(SEARCH("Proposal",$A485)),SUMIFS('Timesheet Raw'!$P$4:$P$8000,'Timesheet Raw'!$A$4:$A$8000,IF(ISNUMBER(SEARCH("Chargable",$A485)),"2-Proposals Chargeable","3-Proposals Regular"),'Timesheet Raw'!$C$4:$C$8000,"*"&amp;$B485&amp;"*",'Timesheet Raw'!$L$4:$L$8000,"&gt;="&amp;MAX(X$5,DATE(2000+VALUE(RIGHT(TRIM($A485),2)),1,1)),'Timesheet Raw'!$L$4:$L$8000,"&lt;="&amp;MIN(X$6,DATE(2000+VALUE(RIGHT(TRIM($A485),2)),12,31))),SUMIFS('Timesheet Raw'!$P$4:$P$8000,'Timesheet Raw'!$B$4:$B$8000,TRIM($A485),'Timesheet Raw'!$C$4:$C$8000,"*"&amp;$B485&amp;"*",'Timesheet Raw'!$L$4:$L$8000,"&gt;="&amp;X$5,'Timesheet Raw'!$L$4:$L$8000,"&lt;="&amp;X$6)))/'Profit Plan'!$B$5)</f>
        <v/>
      </c>
      <c r="Y485" s="118">
        <f t="shared" si="103"/>
        <v>0</v>
      </c>
    </row>
    <row r="486" spans="1:25" x14ac:dyDescent="0.3">
      <c r="A486" s="116" t="str">
        <f>IF(Inputs!$A79="","",Inputs!$A79)</f>
        <v/>
      </c>
      <c r="B486" s="116" t="str">
        <f>IF(Inputs!$A79="","",Inputs!$A$93)</f>
        <v/>
      </c>
      <c r="C486" s="116"/>
      <c r="D486" s="122" t="str">
        <f>IF($A486="","",(IF(ISNUMBER(SEARCH("Proposal",$A486)),SUMIFS('Timesheet Raw'!$P$4:$P$8000,'Timesheet Raw'!$A$4:$A$8000,IF(ISNUMBER(SEARCH("Chargable",$A486)),"2-Proposals Chargeable","3-Proposals Regular"),'Timesheet Raw'!$C$4:$C$8000,"*"&amp;$B486&amp;"*",'Timesheet Raw'!$L$4:$L$8000,"&gt;="&amp;MAX(D$5,DATE(2000+VALUE(RIGHT(TRIM($A486),2)),1,1)),'Timesheet Raw'!$L$4:$L$8000,"&lt;="&amp;MIN(D$6,DATE(2000+VALUE(RIGHT(TRIM($A486),2)),12,31))),SUMIFS('Timesheet Raw'!$P$4:$P$8000,'Timesheet Raw'!$B$4:$B$8000,TRIM($A486),'Timesheet Raw'!$C$4:$C$8000,"*"&amp;$B486&amp;"*",'Timesheet Raw'!$L$4:$L$8000,"&gt;="&amp;D$5,'Timesheet Raw'!$L$4:$L$8000,"&lt;="&amp;D$6)))/'Profit Plan'!$B$5)</f>
        <v/>
      </c>
      <c r="E486" s="122" t="str">
        <f>IF($A486="","",(IF(ISNUMBER(SEARCH("Proposal",$A486)),SUMIFS('Timesheet Raw'!$P$4:$P$8000,'Timesheet Raw'!$A$4:$A$8000,IF(ISNUMBER(SEARCH("Chargable",$A486)),"2-Proposals Chargeable","3-Proposals Regular"),'Timesheet Raw'!$C$4:$C$8000,"*"&amp;$B486&amp;"*",'Timesheet Raw'!$L$4:$L$8000,"&gt;="&amp;MAX(E$5,DATE(2000+VALUE(RIGHT(TRIM($A486),2)),1,1)),'Timesheet Raw'!$L$4:$L$8000,"&lt;="&amp;MIN(E$6,DATE(2000+VALUE(RIGHT(TRIM($A486),2)),12,31))),SUMIFS('Timesheet Raw'!$P$4:$P$8000,'Timesheet Raw'!$B$4:$B$8000,TRIM($A486),'Timesheet Raw'!$C$4:$C$8000,"*"&amp;$B486&amp;"*",'Timesheet Raw'!$L$4:$L$8000,"&gt;="&amp;E$5,'Timesheet Raw'!$L$4:$L$8000,"&lt;="&amp;E$6)))/'Profit Plan'!$B$5)</f>
        <v/>
      </c>
      <c r="F486" s="122" t="str">
        <f>IF($A486="","",(IF(ISNUMBER(SEARCH("Proposal",$A486)),SUMIFS('Timesheet Raw'!$P$4:$P$8000,'Timesheet Raw'!$A$4:$A$8000,IF(ISNUMBER(SEARCH("Chargable",$A486)),"2-Proposals Chargeable","3-Proposals Regular"),'Timesheet Raw'!$C$4:$C$8000,"*"&amp;$B486&amp;"*",'Timesheet Raw'!$L$4:$L$8000,"&gt;="&amp;MAX(F$5,DATE(2000+VALUE(RIGHT(TRIM($A486),2)),1,1)),'Timesheet Raw'!$L$4:$L$8000,"&lt;="&amp;MIN(F$6,DATE(2000+VALUE(RIGHT(TRIM($A486),2)),12,31))),SUMIFS('Timesheet Raw'!$P$4:$P$8000,'Timesheet Raw'!$B$4:$B$8000,TRIM($A486),'Timesheet Raw'!$C$4:$C$8000,"*"&amp;$B486&amp;"*",'Timesheet Raw'!$L$4:$L$8000,"&gt;="&amp;F$5,'Timesheet Raw'!$L$4:$L$8000,"&lt;="&amp;F$6)))/'Profit Plan'!$B$5)</f>
        <v/>
      </c>
      <c r="G486" s="122" t="str">
        <f>IF($A486="","",(IF(ISNUMBER(SEARCH("Proposal",$A486)),SUMIFS('Timesheet Raw'!$P$4:$P$8000,'Timesheet Raw'!$A$4:$A$8000,IF(ISNUMBER(SEARCH("Chargable",$A486)),"2-Proposals Chargeable","3-Proposals Regular"),'Timesheet Raw'!$C$4:$C$8000,"*"&amp;$B486&amp;"*",'Timesheet Raw'!$L$4:$L$8000,"&gt;="&amp;MAX(G$5,DATE(2000+VALUE(RIGHT(TRIM($A486),2)),1,1)),'Timesheet Raw'!$L$4:$L$8000,"&lt;="&amp;MIN(G$6,DATE(2000+VALUE(RIGHT(TRIM($A486),2)),12,31))),SUMIFS('Timesheet Raw'!$P$4:$P$8000,'Timesheet Raw'!$B$4:$B$8000,TRIM($A486),'Timesheet Raw'!$C$4:$C$8000,"*"&amp;$B486&amp;"*",'Timesheet Raw'!$L$4:$L$8000,"&gt;="&amp;G$5,'Timesheet Raw'!$L$4:$L$8000,"&lt;="&amp;G$6)))/'Profit Plan'!$B$5)</f>
        <v/>
      </c>
      <c r="H486" s="122" t="str">
        <f>IF($A486="","",(IF(ISNUMBER(SEARCH("Proposal",$A486)),SUMIFS('Timesheet Raw'!$P$4:$P$8000,'Timesheet Raw'!$A$4:$A$8000,IF(ISNUMBER(SEARCH("Chargable",$A486)),"2-Proposals Chargeable","3-Proposals Regular"),'Timesheet Raw'!$C$4:$C$8000,"*"&amp;$B486&amp;"*",'Timesheet Raw'!$L$4:$L$8000,"&gt;="&amp;MAX(H$5,DATE(2000+VALUE(RIGHT(TRIM($A486),2)),1,1)),'Timesheet Raw'!$L$4:$L$8000,"&lt;="&amp;MIN(H$6,DATE(2000+VALUE(RIGHT(TRIM($A486),2)),12,31))),SUMIFS('Timesheet Raw'!$P$4:$P$8000,'Timesheet Raw'!$B$4:$B$8000,TRIM($A486),'Timesheet Raw'!$C$4:$C$8000,"*"&amp;$B486&amp;"*",'Timesheet Raw'!$L$4:$L$8000,"&gt;="&amp;H$5,'Timesheet Raw'!$L$4:$L$8000,"&lt;="&amp;H$6)))/'Profit Plan'!$B$5)</f>
        <v/>
      </c>
      <c r="I486" s="122" t="str">
        <f>IF($A486="","",(IF(ISNUMBER(SEARCH("Proposal",$A486)),SUMIFS('Timesheet Raw'!$P$4:$P$8000,'Timesheet Raw'!$A$4:$A$8000,IF(ISNUMBER(SEARCH("Chargable",$A486)),"2-Proposals Chargeable","3-Proposals Regular"),'Timesheet Raw'!$C$4:$C$8000,"*"&amp;$B486&amp;"*",'Timesheet Raw'!$L$4:$L$8000,"&gt;="&amp;MAX(I$5,DATE(2000+VALUE(RIGHT(TRIM($A486),2)),1,1)),'Timesheet Raw'!$L$4:$L$8000,"&lt;="&amp;MIN(I$6,DATE(2000+VALUE(RIGHT(TRIM($A486),2)),12,31))),SUMIFS('Timesheet Raw'!$P$4:$P$8000,'Timesheet Raw'!$B$4:$B$8000,TRIM($A486),'Timesheet Raw'!$C$4:$C$8000,"*"&amp;$B486&amp;"*",'Timesheet Raw'!$L$4:$L$8000,"&gt;="&amp;I$5,'Timesheet Raw'!$L$4:$L$8000,"&lt;="&amp;I$6)))/'Profit Plan'!$B$5)</f>
        <v/>
      </c>
      <c r="J486" s="122" t="str">
        <f>IF($A486="","",(IF(ISNUMBER(SEARCH("Proposal",$A486)),SUMIFS('Timesheet Raw'!$P$4:$P$8000,'Timesheet Raw'!$A$4:$A$8000,IF(ISNUMBER(SEARCH("Chargable",$A486)),"2-Proposals Chargeable","3-Proposals Regular"),'Timesheet Raw'!$C$4:$C$8000,"*"&amp;$B486&amp;"*",'Timesheet Raw'!$L$4:$L$8000,"&gt;="&amp;MAX(J$5,DATE(2000+VALUE(RIGHT(TRIM($A486),2)),1,1)),'Timesheet Raw'!$L$4:$L$8000,"&lt;="&amp;MIN(J$6,DATE(2000+VALUE(RIGHT(TRIM($A486),2)),12,31))),SUMIFS('Timesheet Raw'!$P$4:$P$8000,'Timesheet Raw'!$B$4:$B$8000,TRIM($A486),'Timesheet Raw'!$C$4:$C$8000,"*"&amp;$B486&amp;"*",'Timesheet Raw'!$L$4:$L$8000,"&gt;="&amp;J$5,'Timesheet Raw'!$L$4:$L$8000,"&lt;="&amp;J$6)))/'Profit Plan'!$B$5)</f>
        <v/>
      </c>
      <c r="K486" s="122" t="str">
        <f>IF($A486="","",(IF(ISNUMBER(SEARCH("Proposal",$A486)),SUMIFS('Timesheet Raw'!$P$4:$P$8000,'Timesheet Raw'!$A$4:$A$8000,IF(ISNUMBER(SEARCH("Chargable",$A486)),"2-Proposals Chargeable","3-Proposals Regular"),'Timesheet Raw'!$C$4:$C$8000,"*"&amp;$B486&amp;"*",'Timesheet Raw'!$L$4:$L$8000,"&gt;="&amp;MAX(K$5,DATE(2000+VALUE(RIGHT(TRIM($A486),2)),1,1)),'Timesheet Raw'!$L$4:$L$8000,"&lt;="&amp;MIN(K$6,DATE(2000+VALUE(RIGHT(TRIM($A486),2)),12,31))),SUMIFS('Timesheet Raw'!$P$4:$P$8000,'Timesheet Raw'!$B$4:$B$8000,TRIM($A486),'Timesheet Raw'!$C$4:$C$8000,"*"&amp;$B486&amp;"*",'Timesheet Raw'!$L$4:$L$8000,"&gt;="&amp;K$5,'Timesheet Raw'!$L$4:$L$8000,"&lt;="&amp;K$6)))/'Profit Plan'!$B$5)</f>
        <v/>
      </c>
      <c r="L486" s="122" t="str">
        <f>IF($A486="","",(IF(ISNUMBER(SEARCH("Proposal",$A486)),SUMIFS('Timesheet Raw'!$P$4:$P$8000,'Timesheet Raw'!$A$4:$A$8000,IF(ISNUMBER(SEARCH("Chargable",$A486)),"2-Proposals Chargeable","3-Proposals Regular"),'Timesheet Raw'!$C$4:$C$8000,"*"&amp;$B486&amp;"*",'Timesheet Raw'!$L$4:$L$8000,"&gt;="&amp;MAX(L$5,DATE(2000+VALUE(RIGHT(TRIM($A486),2)),1,1)),'Timesheet Raw'!$L$4:$L$8000,"&lt;="&amp;MIN(L$6,DATE(2000+VALUE(RIGHT(TRIM($A486),2)),12,31))),SUMIFS('Timesheet Raw'!$P$4:$P$8000,'Timesheet Raw'!$B$4:$B$8000,TRIM($A486),'Timesheet Raw'!$C$4:$C$8000,"*"&amp;$B486&amp;"*",'Timesheet Raw'!$L$4:$L$8000,"&gt;="&amp;L$5,'Timesheet Raw'!$L$4:$L$8000,"&lt;="&amp;L$6)))/'Profit Plan'!$B$5)</f>
        <v/>
      </c>
      <c r="M486" s="122" t="str">
        <f>IF($A486="","",(IF(ISNUMBER(SEARCH("Proposal",$A486)),SUMIFS('Timesheet Raw'!$P$4:$P$8000,'Timesheet Raw'!$A$4:$A$8000,IF(ISNUMBER(SEARCH("Chargable",$A486)),"2-Proposals Chargeable","3-Proposals Regular"),'Timesheet Raw'!$C$4:$C$8000,"*"&amp;$B486&amp;"*",'Timesheet Raw'!$L$4:$L$8000,"&gt;="&amp;MAX(M$5,DATE(2000+VALUE(RIGHT(TRIM($A486),2)),1,1)),'Timesheet Raw'!$L$4:$L$8000,"&lt;="&amp;MIN(M$6,DATE(2000+VALUE(RIGHT(TRIM($A486),2)),12,31))),SUMIFS('Timesheet Raw'!$P$4:$P$8000,'Timesheet Raw'!$B$4:$B$8000,TRIM($A486),'Timesheet Raw'!$C$4:$C$8000,"*"&amp;$B486&amp;"*",'Timesheet Raw'!$L$4:$L$8000,"&gt;="&amp;M$5,'Timesheet Raw'!$L$4:$L$8000,"&lt;="&amp;M$6)))/'Profit Plan'!$B$5)</f>
        <v/>
      </c>
      <c r="N486" s="122" t="str">
        <f>IF($A486="","",(IF(ISNUMBER(SEARCH("Proposal",$A486)),SUMIFS('Timesheet Raw'!$P$4:$P$8000,'Timesheet Raw'!$A$4:$A$8000,IF(ISNUMBER(SEARCH("Chargable",$A486)),"2-Proposals Chargeable","3-Proposals Regular"),'Timesheet Raw'!$C$4:$C$8000,"*"&amp;$B486&amp;"*",'Timesheet Raw'!$L$4:$L$8000,"&gt;="&amp;MAX(N$5,DATE(2000+VALUE(RIGHT(TRIM($A486),2)),1,1)),'Timesheet Raw'!$L$4:$L$8000,"&lt;="&amp;MIN(N$6,DATE(2000+VALUE(RIGHT(TRIM($A486),2)),12,31))),SUMIFS('Timesheet Raw'!$P$4:$P$8000,'Timesheet Raw'!$B$4:$B$8000,TRIM($A486),'Timesheet Raw'!$C$4:$C$8000,"*"&amp;$B486&amp;"*",'Timesheet Raw'!$L$4:$L$8000,"&gt;="&amp;N$5,'Timesheet Raw'!$L$4:$L$8000,"&lt;="&amp;N$6)))/'Profit Plan'!$B$5)</f>
        <v/>
      </c>
      <c r="O486" s="122" t="str">
        <f>IF($A486="","",(IF(ISNUMBER(SEARCH("Proposal",$A486)),SUMIFS('Timesheet Raw'!$P$4:$P$8000,'Timesheet Raw'!$A$4:$A$8000,IF(ISNUMBER(SEARCH("Chargable",$A486)),"2-Proposals Chargeable","3-Proposals Regular"),'Timesheet Raw'!$C$4:$C$8000,"*"&amp;$B486&amp;"*",'Timesheet Raw'!$L$4:$L$8000,"&gt;="&amp;MAX(O$5,DATE(2000+VALUE(RIGHT(TRIM($A486),2)),1,1)),'Timesheet Raw'!$L$4:$L$8000,"&lt;="&amp;MIN(O$6,DATE(2000+VALUE(RIGHT(TRIM($A486),2)),12,31))),SUMIFS('Timesheet Raw'!$P$4:$P$8000,'Timesheet Raw'!$B$4:$B$8000,TRIM($A486),'Timesheet Raw'!$C$4:$C$8000,"*"&amp;$B486&amp;"*",'Timesheet Raw'!$L$4:$L$8000,"&gt;="&amp;O$5,'Timesheet Raw'!$L$4:$L$8000,"&lt;="&amp;O$6)))/'Profit Plan'!$B$5)</f>
        <v/>
      </c>
      <c r="P486" s="122" t="str">
        <f>IF($A486="","",(IF(ISNUMBER(SEARCH("Proposal",$A486)),SUMIFS('Timesheet Raw'!$P$4:$P$8000,'Timesheet Raw'!$A$4:$A$8000,IF(ISNUMBER(SEARCH("Chargable",$A486)),"2-Proposals Chargeable","3-Proposals Regular"),'Timesheet Raw'!$C$4:$C$8000,"*"&amp;$B486&amp;"*",'Timesheet Raw'!$L$4:$L$8000,"&gt;="&amp;MAX(P$5,DATE(2000+VALUE(RIGHT(TRIM($A486),2)),1,1)),'Timesheet Raw'!$L$4:$L$8000,"&lt;="&amp;MIN(P$6,DATE(2000+VALUE(RIGHT(TRIM($A486),2)),12,31))),SUMIFS('Timesheet Raw'!$P$4:$P$8000,'Timesheet Raw'!$B$4:$B$8000,TRIM($A486),'Timesheet Raw'!$C$4:$C$8000,"*"&amp;$B486&amp;"*",'Timesheet Raw'!$L$4:$L$8000,"&gt;="&amp;P$5,'Timesheet Raw'!$L$4:$L$8000,"&lt;="&amp;P$6)))/'Profit Plan'!$B$5)</f>
        <v/>
      </c>
      <c r="Q486" s="122" t="str">
        <f>IF($A486="","",(IF(ISNUMBER(SEARCH("Proposal",$A486)),SUMIFS('Timesheet Raw'!$P$4:$P$8000,'Timesheet Raw'!$A$4:$A$8000,IF(ISNUMBER(SEARCH("Chargable",$A486)),"2-Proposals Chargeable","3-Proposals Regular"),'Timesheet Raw'!$C$4:$C$8000,"*"&amp;$B486&amp;"*",'Timesheet Raw'!$L$4:$L$8000,"&gt;="&amp;MAX(Q$5,DATE(2000+VALUE(RIGHT(TRIM($A486),2)),1,1)),'Timesheet Raw'!$L$4:$L$8000,"&lt;="&amp;MIN(Q$6,DATE(2000+VALUE(RIGHT(TRIM($A486),2)),12,31))),SUMIFS('Timesheet Raw'!$P$4:$P$8000,'Timesheet Raw'!$B$4:$B$8000,TRIM($A486),'Timesheet Raw'!$C$4:$C$8000,"*"&amp;$B486&amp;"*",'Timesheet Raw'!$L$4:$L$8000,"&gt;="&amp;Q$5,'Timesheet Raw'!$L$4:$L$8000,"&lt;="&amp;Q$6)))/'Profit Plan'!$B$5)</f>
        <v/>
      </c>
      <c r="R486" s="122" t="str">
        <f>IF($A486="","",(IF(ISNUMBER(SEARCH("Proposal",$A486)),SUMIFS('Timesheet Raw'!$P$4:$P$8000,'Timesheet Raw'!$A$4:$A$8000,IF(ISNUMBER(SEARCH("Chargable",$A486)),"2-Proposals Chargeable","3-Proposals Regular"),'Timesheet Raw'!$C$4:$C$8000,"*"&amp;$B486&amp;"*",'Timesheet Raw'!$L$4:$L$8000,"&gt;="&amp;MAX(R$5,DATE(2000+VALUE(RIGHT(TRIM($A486),2)),1,1)),'Timesheet Raw'!$L$4:$L$8000,"&lt;="&amp;MIN(R$6,DATE(2000+VALUE(RIGHT(TRIM($A486),2)),12,31))),SUMIFS('Timesheet Raw'!$P$4:$P$8000,'Timesheet Raw'!$B$4:$B$8000,TRIM($A486),'Timesheet Raw'!$C$4:$C$8000,"*"&amp;$B486&amp;"*",'Timesheet Raw'!$L$4:$L$8000,"&gt;="&amp;R$5,'Timesheet Raw'!$L$4:$L$8000,"&lt;="&amp;R$6)))/'Profit Plan'!$B$5)</f>
        <v/>
      </c>
      <c r="S486" s="122" t="str">
        <f>IF($A486="","",(IF(ISNUMBER(SEARCH("Proposal",$A486)),SUMIFS('Timesheet Raw'!$P$4:$P$8000,'Timesheet Raw'!$A$4:$A$8000,IF(ISNUMBER(SEARCH("Chargable",$A486)),"2-Proposals Chargeable","3-Proposals Regular"),'Timesheet Raw'!$C$4:$C$8000,"*"&amp;$B486&amp;"*",'Timesheet Raw'!$L$4:$L$8000,"&gt;="&amp;MAX(S$5,DATE(2000+VALUE(RIGHT(TRIM($A486),2)),1,1)),'Timesheet Raw'!$L$4:$L$8000,"&lt;="&amp;MIN(S$6,DATE(2000+VALUE(RIGHT(TRIM($A486),2)),12,31))),SUMIFS('Timesheet Raw'!$P$4:$P$8000,'Timesheet Raw'!$B$4:$B$8000,TRIM($A486),'Timesheet Raw'!$C$4:$C$8000,"*"&amp;$B486&amp;"*",'Timesheet Raw'!$L$4:$L$8000,"&gt;="&amp;S$5,'Timesheet Raw'!$L$4:$L$8000,"&lt;="&amp;S$6)))/'Profit Plan'!$B$5)</f>
        <v/>
      </c>
      <c r="T486" s="122" t="str">
        <f>IF($A486="","",(IF(ISNUMBER(SEARCH("Proposal",$A486)),SUMIFS('Timesheet Raw'!$P$4:$P$8000,'Timesheet Raw'!$A$4:$A$8000,IF(ISNUMBER(SEARCH("Chargable",$A486)),"2-Proposals Chargeable","3-Proposals Regular"),'Timesheet Raw'!$C$4:$C$8000,"*"&amp;$B486&amp;"*",'Timesheet Raw'!$L$4:$L$8000,"&gt;="&amp;MAX(T$5,DATE(2000+VALUE(RIGHT(TRIM($A486),2)),1,1)),'Timesheet Raw'!$L$4:$L$8000,"&lt;="&amp;MIN(T$6,DATE(2000+VALUE(RIGHT(TRIM($A486),2)),12,31))),SUMIFS('Timesheet Raw'!$P$4:$P$8000,'Timesheet Raw'!$B$4:$B$8000,TRIM($A486),'Timesheet Raw'!$C$4:$C$8000,"*"&amp;$B486&amp;"*",'Timesheet Raw'!$L$4:$L$8000,"&gt;="&amp;T$5,'Timesheet Raw'!$L$4:$L$8000,"&lt;="&amp;T$6)))/'Profit Plan'!$B$5)</f>
        <v/>
      </c>
      <c r="U486" s="122" t="str">
        <f>IF($A486="","",(IF(ISNUMBER(SEARCH("Proposal",$A486)),SUMIFS('Timesheet Raw'!$P$4:$P$8000,'Timesheet Raw'!$A$4:$A$8000,IF(ISNUMBER(SEARCH("Chargable",$A486)),"2-Proposals Chargeable","3-Proposals Regular"),'Timesheet Raw'!$C$4:$C$8000,"*"&amp;$B486&amp;"*",'Timesheet Raw'!$L$4:$L$8000,"&gt;="&amp;MAX(U$5,DATE(2000+VALUE(RIGHT(TRIM($A486),2)),1,1)),'Timesheet Raw'!$L$4:$L$8000,"&lt;="&amp;MIN(U$6,DATE(2000+VALUE(RIGHT(TRIM($A486),2)),12,31))),SUMIFS('Timesheet Raw'!$P$4:$P$8000,'Timesheet Raw'!$B$4:$B$8000,TRIM($A486),'Timesheet Raw'!$C$4:$C$8000,"*"&amp;$B486&amp;"*",'Timesheet Raw'!$L$4:$L$8000,"&gt;="&amp;U$5,'Timesheet Raw'!$L$4:$L$8000,"&lt;="&amp;U$6)))/'Profit Plan'!$B$5)</f>
        <v/>
      </c>
      <c r="V486" s="122" t="str">
        <f>IF($A486="","",(IF(ISNUMBER(SEARCH("Proposal",$A486)),SUMIFS('Timesheet Raw'!$P$4:$P$8000,'Timesheet Raw'!$A$4:$A$8000,IF(ISNUMBER(SEARCH("Chargable",$A486)),"2-Proposals Chargeable","3-Proposals Regular"),'Timesheet Raw'!$C$4:$C$8000,"*"&amp;$B486&amp;"*",'Timesheet Raw'!$L$4:$L$8000,"&gt;="&amp;MAX(V$5,DATE(2000+VALUE(RIGHT(TRIM($A486),2)),1,1)),'Timesheet Raw'!$L$4:$L$8000,"&lt;="&amp;MIN(V$6,DATE(2000+VALUE(RIGHT(TRIM($A486),2)),12,31))),SUMIFS('Timesheet Raw'!$P$4:$P$8000,'Timesheet Raw'!$B$4:$B$8000,TRIM($A486),'Timesheet Raw'!$C$4:$C$8000,"*"&amp;$B486&amp;"*",'Timesheet Raw'!$L$4:$L$8000,"&gt;="&amp;V$5,'Timesheet Raw'!$L$4:$L$8000,"&lt;="&amp;V$6)))/'Profit Plan'!$B$5)</f>
        <v/>
      </c>
      <c r="W486" s="122" t="str">
        <f>IF($A486="","",(IF(ISNUMBER(SEARCH("Proposal",$A486)),SUMIFS('Timesheet Raw'!$P$4:$P$8000,'Timesheet Raw'!$A$4:$A$8000,IF(ISNUMBER(SEARCH("Chargable",$A486)),"2-Proposals Chargeable","3-Proposals Regular"),'Timesheet Raw'!$C$4:$C$8000,"*"&amp;$B486&amp;"*",'Timesheet Raw'!$L$4:$L$8000,"&gt;="&amp;MAX(W$5,DATE(2000+VALUE(RIGHT(TRIM($A486),2)),1,1)),'Timesheet Raw'!$L$4:$L$8000,"&lt;="&amp;MIN(W$6,DATE(2000+VALUE(RIGHT(TRIM($A486),2)),12,31))),SUMIFS('Timesheet Raw'!$P$4:$P$8000,'Timesheet Raw'!$B$4:$B$8000,TRIM($A486),'Timesheet Raw'!$C$4:$C$8000,"*"&amp;$B486&amp;"*",'Timesheet Raw'!$L$4:$L$8000,"&gt;="&amp;W$5,'Timesheet Raw'!$L$4:$L$8000,"&lt;="&amp;W$6)))/'Profit Plan'!$B$5)</f>
        <v/>
      </c>
      <c r="X486" s="122" t="str">
        <f>IF($A486="","",(IF(ISNUMBER(SEARCH("Proposal",$A486)),SUMIFS('Timesheet Raw'!$P$4:$P$8000,'Timesheet Raw'!$A$4:$A$8000,IF(ISNUMBER(SEARCH("Chargable",$A486)),"2-Proposals Chargeable","3-Proposals Regular"),'Timesheet Raw'!$C$4:$C$8000,"*"&amp;$B486&amp;"*",'Timesheet Raw'!$L$4:$L$8000,"&gt;="&amp;MAX(X$5,DATE(2000+VALUE(RIGHT(TRIM($A486),2)),1,1)),'Timesheet Raw'!$L$4:$L$8000,"&lt;="&amp;MIN(X$6,DATE(2000+VALUE(RIGHT(TRIM($A486),2)),12,31))),SUMIFS('Timesheet Raw'!$P$4:$P$8000,'Timesheet Raw'!$B$4:$B$8000,TRIM($A486),'Timesheet Raw'!$C$4:$C$8000,"*"&amp;$B486&amp;"*",'Timesheet Raw'!$L$4:$L$8000,"&gt;="&amp;X$5,'Timesheet Raw'!$L$4:$L$8000,"&lt;="&amp;X$6)))/'Profit Plan'!$B$5)</f>
        <v/>
      </c>
      <c r="Y486" s="118">
        <f t="shared" si="103"/>
        <v>0</v>
      </c>
    </row>
    <row r="487" spans="1:25" x14ac:dyDescent="0.3">
      <c r="A487" s="116" t="str">
        <f>IF(Inputs!$A80="","",Inputs!$A80)</f>
        <v/>
      </c>
      <c r="B487" s="116" t="str">
        <f>IF(Inputs!$A80="","",Inputs!$A$91)</f>
        <v/>
      </c>
      <c r="C487" s="116"/>
      <c r="D487" s="122" t="str">
        <f>IF($A487="","",(IF(ISNUMBER(SEARCH("Proposal",$A487)),SUMIFS('Timesheet Raw'!$P$4:$P$8000,'Timesheet Raw'!$A$4:$A$8000,IF(ISNUMBER(SEARCH("Chargable",$A487)),"2-Proposals Chargeable","3-Proposals Regular"),'Timesheet Raw'!$C$4:$C$8000,"*"&amp;$B487&amp;"*",'Timesheet Raw'!$L$4:$L$8000,"&gt;="&amp;MAX(D$5,DATE(2000+VALUE(RIGHT(TRIM($A487),2)),1,1)),'Timesheet Raw'!$L$4:$L$8000,"&lt;="&amp;MIN(D$6,DATE(2000+VALUE(RIGHT(TRIM($A487),2)),12,31))),SUMIFS('Timesheet Raw'!$P$4:$P$8000,'Timesheet Raw'!$B$4:$B$8000,TRIM($A487),'Timesheet Raw'!$C$4:$C$8000,"*"&amp;$B487&amp;"*",'Timesheet Raw'!$L$4:$L$8000,"&gt;="&amp;D$5,'Timesheet Raw'!$L$4:$L$8000,"&lt;="&amp;D$6)))/'Profit Plan'!$B$5)</f>
        <v/>
      </c>
      <c r="E487" s="122" t="str">
        <f>IF($A487="","",(IF(ISNUMBER(SEARCH("Proposal",$A487)),SUMIFS('Timesheet Raw'!$P$4:$P$8000,'Timesheet Raw'!$A$4:$A$8000,IF(ISNUMBER(SEARCH("Chargable",$A487)),"2-Proposals Chargeable","3-Proposals Regular"),'Timesheet Raw'!$C$4:$C$8000,"*"&amp;$B487&amp;"*",'Timesheet Raw'!$L$4:$L$8000,"&gt;="&amp;MAX(E$5,DATE(2000+VALUE(RIGHT(TRIM($A487),2)),1,1)),'Timesheet Raw'!$L$4:$L$8000,"&lt;="&amp;MIN(E$6,DATE(2000+VALUE(RIGHT(TRIM($A487),2)),12,31))),SUMIFS('Timesheet Raw'!$P$4:$P$8000,'Timesheet Raw'!$B$4:$B$8000,TRIM($A487),'Timesheet Raw'!$C$4:$C$8000,"*"&amp;$B487&amp;"*",'Timesheet Raw'!$L$4:$L$8000,"&gt;="&amp;E$5,'Timesheet Raw'!$L$4:$L$8000,"&lt;="&amp;E$6)))/'Profit Plan'!$B$5)</f>
        <v/>
      </c>
      <c r="F487" s="122" t="str">
        <f>IF($A487="","",(IF(ISNUMBER(SEARCH("Proposal",$A487)),SUMIFS('Timesheet Raw'!$P$4:$P$8000,'Timesheet Raw'!$A$4:$A$8000,IF(ISNUMBER(SEARCH("Chargable",$A487)),"2-Proposals Chargeable","3-Proposals Regular"),'Timesheet Raw'!$C$4:$C$8000,"*"&amp;$B487&amp;"*",'Timesheet Raw'!$L$4:$L$8000,"&gt;="&amp;MAX(F$5,DATE(2000+VALUE(RIGHT(TRIM($A487),2)),1,1)),'Timesheet Raw'!$L$4:$L$8000,"&lt;="&amp;MIN(F$6,DATE(2000+VALUE(RIGHT(TRIM($A487),2)),12,31))),SUMIFS('Timesheet Raw'!$P$4:$P$8000,'Timesheet Raw'!$B$4:$B$8000,TRIM($A487),'Timesheet Raw'!$C$4:$C$8000,"*"&amp;$B487&amp;"*",'Timesheet Raw'!$L$4:$L$8000,"&gt;="&amp;F$5,'Timesheet Raw'!$L$4:$L$8000,"&lt;="&amp;F$6)))/'Profit Plan'!$B$5)</f>
        <v/>
      </c>
      <c r="G487" s="122" t="str">
        <f>IF($A487="","",(IF(ISNUMBER(SEARCH("Proposal",$A487)),SUMIFS('Timesheet Raw'!$P$4:$P$8000,'Timesheet Raw'!$A$4:$A$8000,IF(ISNUMBER(SEARCH("Chargable",$A487)),"2-Proposals Chargeable","3-Proposals Regular"),'Timesheet Raw'!$C$4:$C$8000,"*"&amp;$B487&amp;"*",'Timesheet Raw'!$L$4:$L$8000,"&gt;="&amp;MAX(G$5,DATE(2000+VALUE(RIGHT(TRIM($A487),2)),1,1)),'Timesheet Raw'!$L$4:$L$8000,"&lt;="&amp;MIN(G$6,DATE(2000+VALUE(RIGHT(TRIM($A487),2)),12,31))),SUMIFS('Timesheet Raw'!$P$4:$P$8000,'Timesheet Raw'!$B$4:$B$8000,TRIM($A487),'Timesheet Raw'!$C$4:$C$8000,"*"&amp;$B487&amp;"*",'Timesheet Raw'!$L$4:$L$8000,"&gt;="&amp;G$5,'Timesheet Raw'!$L$4:$L$8000,"&lt;="&amp;G$6)))/'Profit Plan'!$B$5)</f>
        <v/>
      </c>
      <c r="H487" s="122" t="str">
        <f>IF($A487="","",(IF(ISNUMBER(SEARCH("Proposal",$A487)),SUMIFS('Timesheet Raw'!$P$4:$P$8000,'Timesheet Raw'!$A$4:$A$8000,IF(ISNUMBER(SEARCH("Chargable",$A487)),"2-Proposals Chargeable","3-Proposals Regular"),'Timesheet Raw'!$C$4:$C$8000,"*"&amp;$B487&amp;"*",'Timesheet Raw'!$L$4:$L$8000,"&gt;="&amp;MAX(H$5,DATE(2000+VALUE(RIGHT(TRIM($A487),2)),1,1)),'Timesheet Raw'!$L$4:$L$8000,"&lt;="&amp;MIN(H$6,DATE(2000+VALUE(RIGHT(TRIM($A487),2)),12,31))),SUMIFS('Timesheet Raw'!$P$4:$P$8000,'Timesheet Raw'!$B$4:$B$8000,TRIM($A487),'Timesheet Raw'!$C$4:$C$8000,"*"&amp;$B487&amp;"*",'Timesheet Raw'!$L$4:$L$8000,"&gt;="&amp;H$5,'Timesheet Raw'!$L$4:$L$8000,"&lt;="&amp;H$6)))/'Profit Plan'!$B$5)</f>
        <v/>
      </c>
      <c r="I487" s="122" t="str">
        <f>IF($A487="","",(IF(ISNUMBER(SEARCH("Proposal",$A487)),SUMIFS('Timesheet Raw'!$P$4:$P$8000,'Timesheet Raw'!$A$4:$A$8000,IF(ISNUMBER(SEARCH("Chargable",$A487)),"2-Proposals Chargeable","3-Proposals Regular"),'Timesheet Raw'!$C$4:$C$8000,"*"&amp;$B487&amp;"*",'Timesheet Raw'!$L$4:$L$8000,"&gt;="&amp;MAX(I$5,DATE(2000+VALUE(RIGHT(TRIM($A487),2)),1,1)),'Timesheet Raw'!$L$4:$L$8000,"&lt;="&amp;MIN(I$6,DATE(2000+VALUE(RIGHT(TRIM($A487),2)),12,31))),SUMIFS('Timesheet Raw'!$P$4:$P$8000,'Timesheet Raw'!$B$4:$B$8000,TRIM($A487),'Timesheet Raw'!$C$4:$C$8000,"*"&amp;$B487&amp;"*",'Timesheet Raw'!$L$4:$L$8000,"&gt;="&amp;I$5,'Timesheet Raw'!$L$4:$L$8000,"&lt;="&amp;I$6)))/'Profit Plan'!$B$5)</f>
        <v/>
      </c>
      <c r="J487" s="122" t="str">
        <f>IF($A487="","",(IF(ISNUMBER(SEARCH("Proposal",$A487)),SUMIFS('Timesheet Raw'!$P$4:$P$8000,'Timesheet Raw'!$A$4:$A$8000,IF(ISNUMBER(SEARCH("Chargable",$A487)),"2-Proposals Chargeable","3-Proposals Regular"),'Timesheet Raw'!$C$4:$C$8000,"*"&amp;$B487&amp;"*",'Timesheet Raw'!$L$4:$L$8000,"&gt;="&amp;MAX(J$5,DATE(2000+VALUE(RIGHT(TRIM($A487),2)),1,1)),'Timesheet Raw'!$L$4:$L$8000,"&lt;="&amp;MIN(J$6,DATE(2000+VALUE(RIGHT(TRIM($A487),2)),12,31))),SUMIFS('Timesheet Raw'!$P$4:$P$8000,'Timesheet Raw'!$B$4:$B$8000,TRIM($A487),'Timesheet Raw'!$C$4:$C$8000,"*"&amp;$B487&amp;"*",'Timesheet Raw'!$L$4:$L$8000,"&gt;="&amp;J$5,'Timesheet Raw'!$L$4:$L$8000,"&lt;="&amp;J$6)))/'Profit Plan'!$B$5)</f>
        <v/>
      </c>
      <c r="K487" s="122" t="str">
        <f>IF($A487="","",(IF(ISNUMBER(SEARCH("Proposal",$A487)),SUMIFS('Timesheet Raw'!$P$4:$P$8000,'Timesheet Raw'!$A$4:$A$8000,IF(ISNUMBER(SEARCH("Chargable",$A487)),"2-Proposals Chargeable","3-Proposals Regular"),'Timesheet Raw'!$C$4:$C$8000,"*"&amp;$B487&amp;"*",'Timesheet Raw'!$L$4:$L$8000,"&gt;="&amp;MAX(K$5,DATE(2000+VALUE(RIGHT(TRIM($A487),2)),1,1)),'Timesheet Raw'!$L$4:$L$8000,"&lt;="&amp;MIN(K$6,DATE(2000+VALUE(RIGHT(TRIM($A487),2)),12,31))),SUMIFS('Timesheet Raw'!$P$4:$P$8000,'Timesheet Raw'!$B$4:$B$8000,TRIM($A487),'Timesheet Raw'!$C$4:$C$8000,"*"&amp;$B487&amp;"*",'Timesheet Raw'!$L$4:$L$8000,"&gt;="&amp;K$5,'Timesheet Raw'!$L$4:$L$8000,"&lt;="&amp;K$6)))/'Profit Plan'!$B$5)</f>
        <v/>
      </c>
      <c r="L487" s="122" t="str">
        <f>IF($A487="","",(IF(ISNUMBER(SEARCH("Proposal",$A487)),SUMIFS('Timesheet Raw'!$P$4:$P$8000,'Timesheet Raw'!$A$4:$A$8000,IF(ISNUMBER(SEARCH("Chargable",$A487)),"2-Proposals Chargeable","3-Proposals Regular"),'Timesheet Raw'!$C$4:$C$8000,"*"&amp;$B487&amp;"*",'Timesheet Raw'!$L$4:$L$8000,"&gt;="&amp;MAX(L$5,DATE(2000+VALUE(RIGHT(TRIM($A487),2)),1,1)),'Timesheet Raw'!$L$4:$L$8000,"&lt;="&amp;MIN(L$6,DATE(2000+VALUE(RIGHT(TRIM($A487),2)),12,31))),SUMIFS('Timesheet Raw'!$P$4:$P$8000,'Timesheet Raw'!$B$4:$B$8000,TRIM($A487),'Timesheet Raw'!$C$4:$C$8000,"*"&amp;$B487&amp;"*",'Timesheet Raw'!$L$4:$L$8000,"&gt;="&amp;L$5,'Timesheet Raw'!$L$4:$L$8000,"&lt;="&amp;L$6)))/'Profit Plan'!$B$5)</f>
        <v/>
      </c>
      <c r="M487" s="122" t="str">
        <f>IF($A487="","",(IF(ISNUMBER(SEARCH("Proposal",$A487)),SUMIFS('Timesheet Raw'!$P$4:$P$8000,'Timesheet Raw'!$A$4:$A$8000,IF(ISNUMBER(SEARCH("Chargable",$A487)),"2-Proposals Chargeable","3-Proposals Regular"),'Timesheet Raw'!$C$4:$C$8000,"*"&amp;$B487&amp;"*",'Timesheet Raw'!$L$4:$L$8000,"&gt;="&amp;MAX(M$5,DATE(2000+VALUE(RIGHT(TRIM($A487),2)),1,1)),'Timesheet Raw'!$L$4:$L$8000,"&lt;="&amp;MIN(M$6,DATE(2000+VALUE(RIGHT(TRIM($A487),2)),12,31))),SUMIFS('Timesheet Raw'!$P$4:$P$8000,'Timesheet Raw'!$B$4:$B$8000,TRIM($A487),'Timesheet Raw'!$C$4:$C$8000,"*"&amp;$B487&amp;"*",'Timesheet Raw'!$L$4:$L$8000,"&gt;="&amp;M$5,'Timesheet Raw'!$L$4:$L$8000,"&lt;="&amp;M$6)))/'Profit Plan'!$B$5)</f>
        <v/>
      </c>
      <c r="N487" s="122" t="str">
        <f>IF($A487="","",(IF(ISNUMBER(SEARCH("Proposal",$A487)),SUMIFS('Timesheet Raw'!$P$4:$P$8000,'Timesheet Raw'!$A$4:$A$8000,IF(ISNUMBER(SEARCH("Chargable",$A487)),"2-Proposals Chargeable","3-Proposals Regular"),'Timesheet Raw'!$C$4:$C$8000,"*"&amp;$B487&amp;"*",'Timesheet Raw'!$L$4:$L$8000,"&gt;="&amp;MAX(N$5,DATE(2000+VALUE(RIGHT(TRIM($A487),2)),1,1)),'Timesheet Raw'!$L$4:$L$8000,"&lt;="&amp;MIN(N$6,DATE(2000+VALUE(RIGHT(TRIM($A487),2)),12,31))),SUMIFS('Timesheet Raw'!$P$4:$P$8000,'Timesheet Raw'!$B$4:$B$8000,TRIM($A487),'Timesheet Raw'!$C$4:$C$8000,"*"&amp;$B487&amp;"*",'Timesheet Raw'!$L$4:$L$8000,"&gt;="&amp;N$5,'Timesheet Raw'!$L$4:$L$8000,"&lt;="&amp;N$6)))/'Profit Plan'!$B$5)</f>
        <v/>
      </c>
      <c r="O487" s="122" t="str">
        <f>IF($A487="","",(IF(ISNUMBER(SEARCH("Proposal",$A487)),SUMIFS('Timesheet Raw'!$P$4:$P$8000,'Timesheet Raw'!$A$4:$A$8000,IF(ISNUMBER(SEARCH("Chargable",$A487)),"2-Proposals Chargeable","3-Proposals Regular"),'Timesheet Raw'!$C$4:$C$8000,"*"&amp;$B487&amp;"*",'Timesheet Raw'!$L$4:$L$8000,"&gt;="&amp;MAX(O$5,DATE(2000+VALUE(RIGHT(TRIM($A487),2)),1,1)),'Timesheet Raw'!$L$4:$L$8000,"&lt;="&amp;MIN(O$6,DATE(2000+VALUE(RIGHT(TRIM($A487),2)),12,31))),SUMIFS('Timesheet Raw'!$P$4:$P$8000,'Timesheet Raw'!$B$4:$B$8000,TRIM($A487),'Timesheet Raw'!$C$4:$C$8000,"*"&amp;$B487&amp;"*",'Timesheet Raw'!$L$4:$L$8000,"&gt;="&amp;O$5,'Timesheet Raw'!$L$4:$L$8000,"&lt;="&amp;O$6)))/'Profit Plan'!$B$5)</f>
        <v/>
      </c>
      <c r="P487" s="122" t="str">
        <f>IF($A487="","",(IF(ISNUMBER(SEARCH("Proposal",$A487)),SUMIFS('Timesheet Raw'!$P$4:$P$8000,'Timesheet Raw'!$A$4:$A$8000,IF(ISNUMBER(SEARCH("Chargable",$A487)),"2-Proposals Chargeable","3-Proposals Regular"),'Timesheet Raw'!$C$4:$C$8000,"*"&amp;$B487&amp;"*",'Timesheet Raw'!$L$4:$L$8000,"&gt;="&amp;MAX(P$5,DATE(2000+VALUE(RIGHT(TRIM($A487),2)),1,1)),'Timesheet Raw'!$L$4:$L$8000,"&lt;="&amp;MIN(P$6,DATE(2000+VALUE(RIGHT(TRIM($A487),2)),12,31))),SUMIFS('Timesheet Raw'!$P$4:$P$8000,'Timesheet Raw'!$B$4:$B$8000,TRIM($A487),'Timesheet Raw'!$C$4:$C$8000,"*"&amp;$B487&amp;"*",'Timesheet Raw'!$L$4:$L$8000,"&gt;="&amp;P$5,'Timesheet Raw'!$L$4:$L$8000,"&lt;="&amp;P$6)))/'Profit Plan'!$B$5)</f>
        <v/>
      </c>
      <c r="Q487" s="122" t="str">
        <f>IF($A487="","",(IF(ISNUMBER(SEARCH("Proposal",$A487)),SUMIFS('Timesheet Raw'!$P$4:$P$8000,'Timesheet Raw'!$A$4:$A$8000,IF(ISNUMBER(SEARCH("Chargable",$A487)),"2-Proposals Chargeable","3-Proposals Regular"),'Timesheet Raw'!$C$4:$C$8000,"*"&amp;$B487&amp;"*",'Timesheet Raw'!$L$4:$L$8000,"&gt;="&amp;MAX(Q$5,DATE(2000+VALUE(RIGHT(TRIM($A487),2)),1,1)),'Timesheet Raw'!$L$4:$L$8000,"&lt;="&amp;MIN(Q$6,DATE(2000+VALUE(RIGHT(TRIM($A487),2)),12,31))),SUMIFS('Timesheet Raw'!$P$4:$P$8000,'Timesheet Raw'!$B$4:$B$8000,TRIM($A487),'Timesheet Raw'!$C$4:$C$8000,"*"&amp;$B487&amp;"*",'Timesheet Raw'!$L$4:$L$8000,"&gt;="&amp;Q$5,'Timesheet Raw'!$L$4:$L$8000,"&lt;="&amp;Q$6)))/'Profit Plan'!$B$5)</f>
        <v/>
      </c>
      <c r="R487" s="122" t="str">
        <f>IF($A487="","",(IF(ISNUMBER(SEARCH("Proposal",$A487)),SUMIFS('Timesheet Raw'!$P$4:$P$8000,'Timesheet Raw'!$A$4:$A$8000,IF(ISNUMBER(SEARCH("Chargable",$A487)),"2-Proposals Chargeable","3-Proposals Regular"),'Timesheet Raw'!$C$4:$C$8000,"*"&amp;$B487&amp;"*",'Timesheet Raw'!$L$4:$L$8000,"&gt;="&amp;MAX(R$5,DATE(2000+VALUE(RIGHT(TRIM($A487),2)),1,1)),'Timesheet Raw'!$L$4:$L$8000,"&lt;="&amp;MIN(R$6,DATE(2000+VALUE(RIGHT(TRIM($A487),2)),12,31))),SUMIFS('Timesheet Raw'!$P$4:$P$8000,'Timesheet Raw'!$B$4:$B$8000,TRIM($A487),'Timesheet Raw'!$C$4:$C$8000,"*"&amp;$B487&amp;"*",'Timesheet Raw'!$L$4:$L$8000,"&gt;="&amp;R$5,'Timesheet Raw'!$L$4:$L$8000,"&lt;="&amp;R$6)))/'Profit Plan'!$B$5)</f>
        <v/>
      </c>
      <c r="S487" s="122" t="str">
        <f>IF($A487="","",(IF(ISNUMBER(SEARCH("Proposal",$A487)),SUMIFS('Timesheet Raw'!$P$4:$P$8000,'Timesheet Raw'!$A$4:$A$8000,IF(ISNUMBER(SEARCH("Chargable",$A487)),"2-Proposals Chargeable","3-Proposals Regular"),'Timesheet Raw'!$C$4:$C$8000,"*"&amp;$B487&amp;"*",'Timesheet Raw'!$L$4:$L$8000,"&gt;="&amp;MAX(S$5,DATE(2000+VALUE(RIGHT(TRIM($A487),2)),1,1)),'Timesheet Raw'!$L$4:$L$8000,"&lt;="&amp;MIN(S$6,DATE(2000+VALUE(RIGHT(TRIM($A487),2)),12,31))),SUMIFS('Timesheet Raw'!$P$4:$P$8000,'Timesheet Raw'!$B$4:$B$8000,TRIM($A487),'Timesheet Raw'!$C$4:$C$8000,"*"&amp;$B487&amp;"*",'Timesheet Raw'!$L$4:$L$8000,"&gt;="&amp;S$5,'Timesheet Raw'!$L$4:$L$8000,"&lt;="&amp;S$6)))/'Profit Plan'!$B$5)</f>
        <v/>
      </c>
      <c r="T487" s="122" t="str">
        <f>IF($A487="","",(IF(ISNUMBER(SEARCH("Proposal",$A487)),SUMIFS('Timesheet Raw'!$P$4:$P$8000,'Timesheet Raw'!$A$4:$A$8000,IF(ISNUMBER(SEARCH("Chargable",$A487)),"2-Proposals Chargeable","3-Proposals Regular"),'Timesheet Raw'!$C$4:$C$8000,"*"&amp;$B487&amp;"*",'Timesheet Raw'!$L$4:$L$8000,"&gt;="&amp;MAX(T$5,DATE(2000+VALUE(RIGHT(TRIM($A487),2)),1,1)),'Timesheet Raw'!$L$4:$L$8000,"&lt;="&amp;MIN(T$6,DATE(2000+VALUE(RIGHT(TRIM($A487),2)),12,31))),SUMIFS('Timesheet Raw'!$P$4:$P$8000,'Timesheet Raw'!$B$4:$B$8000,TRIM($A487),'Timesheet Raw'!$C$4:$C$8000,"*"&amp;$B487&amp;"*",'Timesheet Raw'!$L$4:$L$8000,"&gt;="&amp;T$5,'Timesheet Raw'!$L$4:$L$8000,"&lt;="&amp;T$6)))/'Profit Plan'!$B$5)</f>
        <v/>
      </c>
      <c r="U487" s="122" t="str">
        <f>IF($A487="","",(IF(ISNUMBER(SEARCH("Proposal",$A487)),SUMIFS('Timesheet Raw'!$P$4:$P$8000,'Timesheet Raw'!$A$4:$A$8000,IF(ISNUMBER(SEARCH("Chargable",$A487)),"2-Proposals Chargeable","3-Proposals Regular"),'Timesheet Raw'!$C$4:$C$8000,"*"&amp;$B487&amp;"*",'Timesheet Raw'!$L$4:$L$8000,"&gt;="&amp;MAX(U$5,DATE(2000+VALUE(RIGHT(TRIM($A487),2)),1,1)),'Timesheet Raw'!$L$4:$L$8000,"&lt;="&amp;MIN(U$6,DATE(2000+VALUE(RIGHT(TRIM($A487),2)),12,31))),SUMIFS('Timesheet Raw'!$P$4:$P$8000,'Timesheet Raw'!$B$4:$B$8000,TRIM($A487),'Timesheet Raw'!$C$4:$C$8000,"*"&amp;$B487&amp;"*",'Timesheet Raw'!$L$4:$L$8000,"&gt;="&amp;U$5,'Timesheet Raw'!$L$4:$L$8000,"&lt;="&amp;U$6)))/'Profit Plan'!$B$5)</f>
        <v/>
      </c>
      <c r="V487" s="122" t="str">
        <f>IF($A487="","",(IF(ISNUMBER(SEARCH("Proposal",$A487)),SUMIFS('Timesheet Raw'!$P$4:$P$8000,'Timesheet Raw'!$A$4:$A$8000,IF(ISNUMBER(SEARCH("Chargable",$A487)),"2-Proposals Chargeable","3-Proposals Regular"),'Timesheet Raw'!$C$4:$C$8000,"*"&amp;$B487&amp;"*",'Timesheet Raw'!$L$4:$L$8000,"&gt;="&amp;MAX(V$5,DATE(2000+VALUE(RIGHT(TRIM($A487),2)),1,1)),'Timesheet Raw'!$L$4:$L$8000,"&lt;="&amp;MIN(V$6,DATE(2000+VALUE(RIGHT(TRIM($A487),2)),12,31))),SUMIFS('Timesheet Raw'!$P$4:$P$8000,'Timesheet Raw'!$B$4:$B$8000,TRIM($A487),'Timesheet Raw'!$C$4:$C$8000,"*"&amp;$B487&amp;"*",'Timesheet Raw'!$L$4:$L$8000,"&gt;="&amp;V$5,'Timesheet Raw'!$L$4:$L$8000,"&lt;="&amp;V$6)))/'Profit Plan'!$B$5)</f>
        <v/>
      </c>
      <c r="W487" s="122" t="str">
        <f>IF($A487="","",(IF(ISNUMBER(SEARCH("Proposal",$A487)),SUMIFS('Timesheet Raw'!$P$4:$P$8000,'Timesheet Raw'!$A$4:$A$8000,IF(ISNUMBER(SEARCH("Chargable",$A487)),"2-Proposals Chargeable","3-Proposals Regular"),'Timesheet Raw'!$C$4:$C$8000,"*"&amp;$B487&amp;"*",'Timesheet Raw'!$L$4:$L$8000,"&gt;="&amp;MAX(W$5,DATE(2000+VALUE(RIGHT(TRIM($A487),2)),1,1)),'Timesheet Raw'!$L$4:$L$8000,"&lt;="&amp;MIN(W$6,DATE(2000+VALUE(RIGHT(TRIM($A487),2)),12,31))),SUMIFS('Timesheet Raw'!$P$4:$P$8000,'Timesheet Raw'!$B$4:$B$8000,TRIM($A487),'Timesheet Raw'!$C$4:$C$8000,"*"&amp;$B487&amp;"*",'Timesheet Raw'!$L$4:$L$8000,"&gt;="&amp;W$5,'Timesheet Raw'!$L$4:$L$8000,"&lt;="&amp;W$6)))/'Profit Plan'!$B$5)</f>
        <v/>
      </c>
      <c r="X487" s="122" t="str">
        <f>IF($A487="","",(IF(ISNUMBER(SEARCH("Proposal",$A487)),SUMIFS('Timesheet Raw'!$P$4:$P$8000,'Timesheet Raw'!$A$4:$A$8000,IF(ISNUMBER(SEARCH("Chargable",$A487)),"2-Proposals Chargeable","3-Proposals Regular"),'Timesheet Raw'!$C$4:$C$8000,"*"&amp;$B487&amp;"*",'Timesheet Raw'!$L$4:$L$8000,"&gt;="&amp;MAX(X$5,DATE(2000+VALUE(RIGHT(TRIM($A487),2)),1,1)),'Timesheet Raw'!$L$4:$L$8000,"&lt;="&amp;MIN(X$6,DATE(2000+VALUE(RIGHT(TRIM($A487),2)),12,31))),SUMIFS('Timesheet Raw'!$P$4:$P$8000,'Timesheet Raw'!$B$4:$B$8000,TRIM($A487),'Timesheet Raw'!$C$4:$C$8000,"*"&amp;$B487&amp;"*",'Timesheet Raw'!$L$4:$L$8000,"&gt;="&amp;X$5,'Timesheet Raw'!$L$4:$L$8000,"&lt;="&amp;X$6)))/'Profit Plan'!$B$5)</f>
        <v/>
      </c>
      <c r="Y487" s="118">
        <f t="shared" si="103"/>
        <v>0</v>
      </c>
    </row>
    <row r="488" spans="1:25" x14ac:dyDescent="0.3">
      <c r="A488" s="116" t="str">
        <f>IF(Inputs!$A80="","",Inputs!$A80)</f>
        <v/>
      </c>
      <c r="B488" s="116" t="str">
        <f>IF(Inputs!$A80="","",Inputs!$A$92)</f>
        <v/>
      </c>
      <c r="C488" s="116"/>
      <c r="D488" s="122" t="str">
        <f>IF($A488="","",(IF(ISNUMBER(SEARCH("Proposal",$A488)),SUMIFS('Timesheet Raw'!$P$4:$P$8000,'Timesheet Raw'!$A$4:$A$8000,IF(ISNUMBER(SEARCH("Chargable",$A488)),"2-Proposals Chargeable","3-Proposals Regular"),'Timesheet Raw'!$C$4:$C$8000,"*"&amp;$B488&amp;"*",'Timesheet Raw'!$L$4:$L$8000,"&gt;="&amp;MAX(D$5,DATE(2000+VALUE(RIGHT(TRIM($A488),2)),1,1)),'Timesheet Raw'!$L$4:$L$8000,"&lt;="&amp;MIN(D$6,DATE(2000+VALUE(RIGHT(TRIM($A488),2)),12,31))),SUMIFS('Timesheet Raw'!$P$4:$P$8000,'Timesheet Raw'!$B$4:$B$8000,TRIM($A488),'Timesheet Raw'!$C$4:$C$8000,"*"&amp;$B488&amp;"*",'Timesheet Raw'!$L$4:$L$8000,"&gt;="&amp;D$5,'Timesheet Raw'!$L$4:$L$8000,"&lt;="&amp;D$6)))/'Profit Plan'!$B$5)</f>
        <v/>
      </c>
      <c r="E488" s="122" t="str">
        <f>IF($A488="","",(IF(ISNUMBER(SEARCH("Proposal",$A488)),SUMIFS('Timesheet Raw'!$P$4:$P$8000,'Timesheet Raw'!$A$4:$A$8000,IF(ISNUMBER(SEARCH("Chargable",$A488)),"2-Proposals Chargeable","3-Proposals Regular"),'Timesheet Raw'!$C$4:$C$8000,"*"&amp;$B488&amp;"*",'Timesheet Raw'!$L$4:$L$8000,"&gt;="&amp;MAX(E$5,DATE(2000+VALUE(RIGHT(TRIM($A488),2)),1,1)),'Timesheet Raw'!$L$4:$L$8000,"&lt;="&amp;MIN(E$6,DATE(2000+VALUE(RIGHT(TRIM($A488),2)),12,31))),SUMIFS('Timesheet Raw'!$P$4:$P$8000,'Timesheet Raw'!$B$4:$B$8000,TRIM($A488),'Timesheet Raw'!$C$4:$C$8000,"*"&amp;$B488&amp;"*",'Timesheet Raw'!$L$4:$L$8000,"&gt;="&amp;E$5,'Timesheet Raw'!$L$4:$L$8000,"&lt;="&amp;E$6)))/'Profit Plan'!$B$5)</f>
        <v/>
      </c>
      <c r="F488" s="122" t="str">
        <f>IF($A488="","",(IF(ISNUMBER(SEARCH("Proposal",$A488)),SUMIFS('Timesheet Raw'!$P$4:$P$8000,'Timesheet Raw'!$A$4:$A$8000,IF(ISNUMBER(SEARCH("Chargable",$A488)),"2-Proposals Chargeable","3-Proposals Regular"),'Timesheet Raw'!$C$4:$C$8000,"*"&amp;$B488&amp;"*",'Timesheet Raw'!$L$4:$L$8000,"&gt;="&amp;MAX(F$5,DATE(2000+VALUE(RIGHT(TRIM($A488),2)),1,1)),'Timesheet Raw'!$L$4:$L$8000,"&lt;="&amp;MIN(F$6,DATE(2000+VALUE(RIGHT(TRIM($A488),2)),12,31))),SUMIFS('Timesheet Raw'!$P$4:$P$8000,'Timesheet Raw'!$B$4:$B$8000,TRIM($A488),'Timesheet Raw'!$C$4:$C$8000,"*"&amp;$B488&amp;"*",'Timesheet Raw'!$L$4:$L$8000,"&gt;="&amp;F$5,'Timesheet Raw'!$L$4:$L$8000,"&lt;="&amp;F$6)))/'Profit Plan'!$B$5)</f>
        <v/>
      </c>
      <c r="G488" s="122" t="str">
        <f>IF($A488="","",(IF(ISNUMBER(SEARCH("Proposal",$A488)),SUMIFS('Timesheet Raw'!$P$4:$P$8000,'Timesheet Raw'!$A$4:$A$8000,IF(ISNUMBER(SEARCH("Chargable",$A488)),"2-Proposals Chargeable","3-Proposals Regular"),'Timesheet Raw'!$C$4:$C$8000,"*"&amp;$B488&amp;"*",'Timesheet Raw'!$L$4:$L$8000,"&gt;="&amp;MAX(G$5,DATE(2000+VALUE(RIGHT(TRIM($A488),2)),1,1)),'Timesheet Raw'!$L$4:$L$8000,"&lt;="&amp;MIN(G$6,DATE(2000+VALUE(RIGHT(TRIM($A488),2)),12,31))),SUMIFS('Timesheet Raw'!$P$4:$P$8000,'Timesheet Raw'!$B$4:$B$8000,TRIM($A488),'Timesheet Raw'!$C$4:$C$8000,"*"&amp;$B488&amp;"*",'Timesheet Raw'!$L$4:$L$8000,"&gt;="&amp;G$5,'Timesheet Raw'!$L$4:$L$8000,"&lt;="&amp;G$6)))/'Profit Plan'!$B$5)</f>
        <v/>
      </c>
      <c r="H488" s="122" t="str">
        <f>IF($A488="","",(IF(ISNUMBER(SEARCH("Proposal",$A488)),SUMIFS('Timesheet Raw'!$P$4:$P$8000,'Timesheet Raw'!$A$4:$A$8000,IF(ISNUMBER(SEARCH("Chargable",$A488)),"2-Proposals Chargeable","3-Proposals Regular"),'Timesheet Raw'!$C$4:$C$8000,"*"&amp;$B488&amp;"*",'Timesheet Raw'!$L$4:$L$8000,"&gt;="&amp;MAX(H$5,DATE(2000+VALUE(RIGHT(TRIM($A488),2)),1,1)),'Timesheet Raw'!$L$4:$L$8000,"&lt;="&amp;MIN(H$6,DATE(2000+VALUE(RIGHT(TRIM($A488),2)),12,31))),SUMIFS('Timesheet Raw'!$P$4:$P$8000,'Timesheet Raw'!$B$4:$B$8000,TRIM($A488),'Timesheet Raw'!$C$4:$C$8000,"*"&amp;$B488&amp;"*",'Timesheet Raw'!$L$4:$L$8000,"&gt;="&amp;H$5,'Timesheet Raw'!$L$4:$L$8000,"&lt;="&amp;H$6)))/'Profit Plan'!$B$5)</f>
        <v/>
      </c>
      <c r="I488" s="122" t="str">
        <f>IF($A488="","",(IF(ISNUMBER(SEARCH("Proposal",$A488)),SUMIFS('Timesheet Raw'!$P$4:$P$8000,'Timesheet Raw'!$A$4:$A$8000,IF(ISNUMBER(SEARCH("Chargable",$A488)),"2-Proposals Chargeable","3-Proposals Regular"),'Timesheet Raw'!$C$4:$C$8000,"*"&amp;$B488&amp;"*",'Timesheet Raw'!$L$4:$L$8000,"&gt;="&amp;MAX(I$5,DATE(2000+VALUE(RIGHT(TRIM($A488),2)),1,1)),'Timesheet Raw'!$L$4:$L$8000,"&lt;="&amp;MIN(I$6,DATE(2000+VALUE(RIGHT(TRIM($A488),2)),12,31))),SUMIFS('Timesheet Raw'!$P$4:$P$8000,'Timesheet Raw'!$B$4:$B$8000,TRIM($A488),'Timesheet Raw'!$C$4:$C$8000,"*"&amp;$B488&amp;"*",'Timesheet Raw'!$L$4:$L$8000,"&gt;="&amp;I$5,'Timesheet Raw'!$L$4:$L$8000,"&lt;="&amp;I$6)))/'Profit Plan'!$B$5)</f>
        <v/>
      </c>
      <c r="J488" s="122" t="str">
        <f>IF($A488="","",(IF(ISNUMBER(SEARCH("Proposal",$A488)),SUMIFS('Timesheet Raw'!$P$4:$P$8000,'Timesheet Raw'!$A$4:$A$8000,IF(ISNUMBER(SEARCH("Chargable",$A488)),"2-Proposals Chargeable","3-Proposals Regular"),'Timesheet Raw'!$C$4:$C$8000,"*"&amp;$B488&amp;"*",'Timesheet Raw'!$L$4:$L$8000,"&gt;="&amp;MAX(J$5,DATE(2000+VALUE(RIGHT(TRIM($A488),2)),1,1)),'Timesheet Raw'!$L$4:$L$8000,"&lt;="&amp;MIN(J$6,DATE(2000+VALUE(RIGHT(TRIM($A488),2)),12,31))),SUMIFS('Timesheet Raw'!$P$4:$P$8000,'Timesheet Raw'!$B$4:$B$8000,TRIM($A488),'Timesheet Raw'!$C$4:$C$8000,"*"&amp;$B488&amp;"*",'Timesheet Raw'!$L$4:$L$8000,"&gt;="&amp;J$5,'Timesheet Raw'!$L$4:$L$8000,"&lt;="&amp;J$6)))/'Profit Plan'!$B$5)</f>
        <v/>
      </c>
      <c r="K488" s="122" t="str">
        <f>IF($A488="","",(IF(ISNUMBER(SEARCH("Proposal",$A488)),SUMIFS('Timesheet Raw'!$P$4:$P$8000,'Timesheet Raw'!$A$4:$A$8000,IF(ISNUMBER(SEARCH("Chargable",$A488)),"2-Proposals Chargeable","3-Proposals Regular"),'Timesheet Raw'!$C$4:$C$8000,"*"&amp;$B488&amp;"*",'Timesheet Raw'!$L$4:$L$8000,"&gt;="&amp;MAX(K$5,DATE(2000+VALUE(RIGHT(TRIM($A488),2)),1,1)),'Timesheet Raw'!$L$4:$L$8000,"&lt;="&amp;MIN(K$6,DATE(2000+VALUE(RIGHT(TRIM($A488),2)),12,31))),SUMIFS('Timesheet Raw'!$P$4:$P$8000,'Timesheet Raw'!$B$4:$B$8000,TRIM($A488),'Timesheet Raw'!$C$4:$C$8000,"*"&amp;$B488&amp;"*",'Timesheet Raw'!$L$4:$L$8000,"&gt;="&amp;K$5,'Timesheet Raw'!$L$4:$L$8000,"&lt;="&amp;K$6)))/'Profit Plan'!$B$5)</f>
        <v/>
      </c>
      <c r="L488" s="122" t="str">
        <f>IF($A488="","",(IF(ISNUMBER(SEARCH("Proposal",$A488)),SUMIFS('Timesheet Raw'!$P$4:$P$8000,'Timesheet Raw'!$A$4:$A$8000,IF(ISNUMBER(SEARCH("Chargable",$A488)),"2-Proposals Chargeable","3-Proposals Regular"),'Timesheet Raw'!$C$4:$C$8000,"*"&amp;$B488&amp;"*",'Timesheet Raw'!$L$4:$L$8000,"&gt;="&amp;MAX(L$5,DATE(2000+VALUE(RIGHT(TRIM($A488),2)),1,1)),'Timesheet Raw'!$L$4:$L$8000,"&lt;="&amp;MIN(L$6,DATE(2000+VALUE(RIGHT(TRIM($A488),2)),12,31))),SUMIFS('Timesheet Raw'!$P$4:$P$8000,'Timesheet Raw'!$B$4:$B$8000,TRIM($A488),'Timesheet Raw'!$C$4:$C$8000,"*"&amp;$B488&amp;"*",'Timesheet Raw'!$L$4:$L$8000,"&gt;="&amp;L$5,'Timesheet Raw'!$L$4:$L$8000,"&lt;="&amp;L$6)))/'Profit Plan'!$B$5)</f>
        <v/>
      </c>
      <c r="M488" s="122" t="str">
        <f>IF($A488="","",(IF(ISNUMBER(SEARCH("Proposal",$A488)),SUMIFS('Timesheet Raw'!$P$4:$P$8000,'Timesheet Raw'!$A$4:$A$8000,IF(ISNUMBER(SEARCH("Chargable",$A488)),"2-Proposals Chargeable","3-Proposals Regular"),'Timesheet Raw'!$C$4:$C$8000,"*"&amp;$B488&amp;"*",'Timesheet Raw'!$L$4:$L$8000,"&gt;="&amp;MAX(M$5,DATE(2000+VALUE(RIGHT(TRIM($A488),2)),1,1)),'Timesheet Raw'!$L$4:$L$8000,"&lt;="&amp;MIN(M$6,DATE(2000+VALUE(RIGHT(TRIM($A488),2)),12,31))),SUMIFS('Timesheet Raw'!$P$4:$P$8000,'Timesheet Raw'!$B$4:$B$8000,TRIM($A488),'Timesheet Raw'!$C$4:$C$8000,"*"&amp;$B488&amp;"*",'Timesheet Raw'!$L$4:$L$8000,"&gt;="&amp;M$5,'Timesheet Raw'!$L$4:$L$8000,"&lt;="&amp;M$6)))/'Profit Plan'!$B$5)</f>
        <v/>
      </c>
      <c r="N488" s="122" t="str">
        <f>IF($A488="","",(IF(ISNUMBER(SEARCH("Proposal",$A488)),SUMIFS('Timesheet Raw'!$P$4:$P$8000,'Timesheet Raw'!$A$4:$A$8000,IF(ISNUMBER(SEARCH("Chargable",$A488)),"2-Proposals Chargeable","3-Proposals Regular"),'Timesheet Raw'!$C$4:$C$8000,"*"&amp;$B488&amp;"*",'Timesheet Raw'!$L$4:$L$8000,"&gt;="&amp;MAX(N$5,DATE(2000+VALUE(RIGHT(TRIM($A488),2)),1,1)),'Timesheet Raw'!$L$4:$L$8000,"&lt;="&amp;MIN(N$6,DATE(2000+VALUE(RIGHT(TRIM($A488),2)),12,31))),SUMIFS('Timesheet Raw'!$P$4:$P$8000,'Timesheet Raw'!$B$4:$B$8000,TRIM($A488),'Timesheet Raw'!$C$4:$C$8000,"*"&amp;$B488&amp;"*",'Timesheet Raw'!$L$4:$L$8000,"&gt;="&amp;N$5,'Timesheet Raw'!$L$4:$L$8000,"&lt;="&amp;N$6)))/'Profit Plan'!$B$5)</f>
        <v/>
      </c>
      <c r="O488" s="122" t="str">
        <f>IF($A488="","",(IF(ISNUMBER(SEARCH("Proposal",$A488)),SUMIFS('Timesheet Raw'!$P$4:$P$8000,'Timesheet Raw'!$A$4:$A$8000,IF(ISNUMBER(SEARCH("Chargable",$A488)),"2-Proposals Chargeable","3-Proposals Regular"),'Timesheet Raw'!$C$4:$C$8000,"*"&amp;$B488&amp;"*",'Timesheet Raw'!$L$4:$L$8000,"&gt;="&amp;MAX(O$5,DATE(2000+VALUE(RIGHT(TRIM($A488),2)),1,1)),'Timesheet Raw'!$L$4:$L$8000,"&lt;="&amp;MIN(O$6,DATE(2000+VALUE(RIGHT(TRIM($A488),2)),12,31))),SUMIFS('Timesheet Raw'!$P$4:$P$8000,'Timesheet Raw'!$B$4:$B$8000,TRIM($A488),'Timesheet Raw'!$C$4:$C$8000,"*"&amp;$B488&amp;"*",'Timesheet Raw'!$L$4:$L$8000,"&gt;="&amp;O$5,'Timesheet Raw'!$L$4:$L$8000,"&lt;="&amp;O$6)))/'Profit Plan'!$B$5)</f>
        <v/>
      </c>
      <c r="P488" s="122" t="str">
        <f>IF($A488="","",(IF(ISNUMBER(SEARCH("Proposal",$A488)),SUMIFS('Timesheet Raw'!$P$4:$P$8000,'Timesheet Raw'!$A$4:$A$8000,IF(ISNUMBER(SEARCH("Chargable",$A488)),"2-Proposals Chargeable","3-Proposals Regular"),'Timesheet Raw'!$C$4:$C$8000,"*"&amp;$B488&amp;"*",'Timesheet Raw'!$L$4:$L$8000,"&gt;="&amp;MAX(P$5,DATE(2000+VALUE(RIGHT(TRIM($A488),2)),1,1)),'Timesheet Raw'!$L$4:$L$8000,"&lt;="&amp;MIN(P$6,DATE(2000+VALUE(RIGHT(TRIM($A488),2)),12,31))),SUMIFS('Timesheet Raw'!$P$4:$P$8000,'Timesheet Raw'!$B$4:$B$8000,TRIM($A488),'Timesheet Raw'!$C$4:$C$8000,"*"&amp;$B488&amp;"*",'Timesheet Raw'!$L$4:$L$8000,"&gt;="&amp;P$5,'Timesheet Raw'!$L$4:$L$8000,"&lt;="&amp;P$6)))/'Profit Plan'!$B$5)</f>
        <v/>
      </c>
      <c r="Q488" s="122" t="str">
        <f>IF($A488="","",(IF(ISNUMBER(SEARCH("Proposal",$A488)),SUMIFS('Timesheet Raw'!$P$4:$P$8000,'Timesheet Raw'!$A$4:$A$8000,IF(ISNUMBER(SEARCH("Chargable",$A488)),"2-Proposals Chargeable","3-Proposals Regular"),'Timesheet Raw'!$C$4:$C$8000,"*"&amp;$B488&amp;"*",'Timesheet Raw'!$L$4:$L$8000,"&gt;="&amp;MAX(Q$5,DATE(2000+VALUE(RIGHT(TRIM($A488),2)),1,1)),'Timesheet Raw'!$L$4:$L$8000,"&lt;="&amp;MIN(Q$6,DATE(2000+VALUE(RIGHT(TRIM($A488),2)),12,31))),SUMIFS('Timesheet Raw'!$P$4:$P$8000,'Timesheet Raw'!$B$4:$B$8000,TRIM($A488),'Timesheet Raw'!$C$4:$C$8000,"*"&amp;$B488&amp;"*",'Timesheet Raw'!$L$4:$L$8000,"&gt;="&amp;Q$5,'Timesheet Raw'!$L$4:$L$8000,"&lt;="&amp;Q$6)))/'Profit Plan'!$B$5)</f>
        <v/>
      </c>
      <c r="R488" s="122" t="str">
        <f>IF($A488="","",(IF(ISNUMBER(SEARCH("Proposal",$A488)),SUMIFS('Timesheet Raw'!$P$4:$P$8000,'Timesheet Raw'!$A$4:$A$8000,IF(ISNUMBER(SEARCH("Chargable",$A488)),"2-Proposals Chargeable","3-Proposals Regular"),'Timesheet Raw'!$C$4:$C$8000,"*"&amp;$B488&amp;"*",'Timesheet Raw'!$L$4:$L$8000,"&gt;="&amp;MAX(R$5,DATE(2000+VALUE(RIGHT(TRIM($A488),2)),1,1)),'Timesheet Raw'!$L$4:$L$8000,"&lt;="&amp;MIN(R$6,DATE(2000+VALUE(RIGHT(TRIM($A488),2)),12,31))),SUMIFS('Timesheet Raw'!$P$4:$P$8000,'Timesheet Raw'!$B$4:$B$8000,TRIM($A488),'Timesheet Raw'!$C$4:$C$8000,"*"&amp;$B488&amp;"*",'Timesheet Raw'!$L$4:$L$8000,"&gt;="&amp;R$5,'Timesheet Raw'!$L$4:$L$8000,"&lt;="&amp;R$6)))/'Profit Plan'!$B$5)</f>
        <v/>
      </c>
      <c r="S488" s="122" t="str">
        <f>IF($A488="","",(IF(ISNUMBER(SEARCH("Proposal",$A488)),SUMIFS('Timesheet Raw'!$P$4:$P$8000,'Timesheet Raw'!$A$4:$A$8000,IF(ISNUMBER(SEARCH("Chargable",$A488)),"2-Proposals Chargeable","3-Proposals Regular"),'Timesheet Raw'!$C$4:$C$8000,"*"&amp;$B488&amp;"*",'Timesheet Raw'!$L$4:$L$8000,"&gt;="&amp;MAX(S$5,DATE(2000+VALUE(RIGHT(TRIM($A488),2)),1,1)),'Timesheet Raw'!$L$4:$L$8000,"&lt;="&amp;MIN(S$6,DATE(2000+VALUE(RIGHT(TRIM($A488),2)),12,31))),SUMIFS('Timesheet Raw'!$P$4:$P$8000,'Timesheet Raw'!$B$4:$B$8000,TRIM($A488),'Timesheet Raw'!$C$4:$C$8000,"*"&amp;$B488&amp;"*",'Timesheet Raw'!$L$4:$L$8000,"&gt;="&amp;S$5,'Timesheet Raw'!$L$4:$L$8000,"&lt;="&amp;S$6)))/'Profit Plan'!$B$5)</f>
        <v/>
      </c>
      <c r="T488" s="122" t="str">
        <f>IF($A488="","",(IF(ISNUMBER(SEARCH("Proposal",$A488)),SUMIFS('Timesheet Raw'!$P$4:$P$8000,'Timesheet Raw'!$A$4:$A$8000,IF(ISNUMBER(SEARCH("Chargable",$A488)),"2-Proposals Chargeable","3-Proposals Regular"),'Timesheet Raw'!$C$4:$C$8000,"*"&amp;$B488&amp;"*",'Timesheet Raw'!$L$4:$L$8000,"&gt;="&amp;MAX(T$5,DATE(2000+VALUE(RIGHT(TRIM($A488),2)),1,1)),'Timesheet Raw'!$L$4:$L$8000,"&lt;="&amp;MIN(T$6,DATE(2000+VALUE(RIGHT(TRIM($A488),2)),12,31))),SUMIFS('Timesheet Raw'!$P$4:$P$8000,'Timesheet Raw'!$B$4:$B$8000,TRIM($A488),'Timesheet Raw'!$C$4:$C$8000,"*"&amp;$B488&amp;"*",'Timesheet Raw'!$L$4:$L$8000,"&gt;="&amp;T$5,'Timesheet Raw'!$L$4:$L$8000,"&lt;="&amp;T$6)))/'Profit Plan'!$B$5)</f>
        <v/>
      </c>
      <c r="U488" s="122" t="str">
        <f>IF($A488="","",(IF(ISNUMBER(SEARCH("Proposal",$A488)),SUMIFS('Timesheet Raw'!$P$4:$P$8000,'Timesheet Raw'!$A$4:$A$8000,IF(ISNUMBER(SEARCH("Chargable",$A488)),"2-Proposals Chargeable","3-Proposals Regular"),'Timesheet Raw'!$C$4:$C$8000,"*"&amp;$B488&amp;"*",'Timesheet Raw'!$L$4:$L$8000,"&gt;="&amp;MAX(U$5,DATE(2000+VALUE(RIGHT(TRIM($A488),2)),1,1)),'Timesheet Raw'!$L$4:$L$8000,"&lt;="&amp;MIN(U$6,DATE(2000+VALUE(RIGHT(TRIM($A488),2)),12,31))),SUMIFS('Timesheet Raw'!$P$4:$P$8000,'Timesheet Raw'!$B$4:$B$8000,TRIM($A488),'Timesheet Raw'!$C$4:$C$8000,"*"&amp;$B488&amp;"*",'Timesheet Raw'!$L$4:$L$8000,"&gt;="&amp;U$5,'Timesheet Raw'!$L$4:$L$8000,"&lt;="&amp;U$6)))/'Profit Plan'!$B$5)</f>
        <v/>
      </c>
      <c r="V488" s="122" t="str">
        <f>IF($A488="","",(IF(ISNUMBER(SEARCH("Proposal",$A488)),SUMIFS('Timesheet Raw'!$P$4:$P$8000,'Timesheet Raw'!$A$4:$A$8000,IF(ISNUMBER(SEARCH("Chargable",$A488)),"2-Proposals Chargeable","3-Proposals Regular"),'Timesheet Raw'!$C$4:$C$8000,"*"&amp;$B488&amp;"*",'Timesheet Raw'!$L$4:$L$8000,"&gt;="&amp;MAX(V$5,DATE(2000+VALUE(RIGHT(TRIM($A488),2)),1,1)),'Timesheet Raw'!$L$4:$L$8000,"&lt;="&amp;MIN(V$6,DATE(2000+VALUE(RIGHT(TRIM($A488),2)),12,31))),SUMIFS('Timesheet Raw'!$P$4:$P$8000,'Timesheet Raw'!$B$4:$B$8000,TRIM($A488),'Timesheet Raw'!$C$4:$C$8000,"*"&amp;$B488&amp;"*",'Timesheet Raw'!$L$4:$L$8000,"&gt;="&amp;V$5,'Timesheet Raw'!$L$4:$L$8000,"&lt;="&amp;V$6)))/'Profit Plan'!$B$5)</f>
        <v/>
      </c>
      <c r="W488" s="122" t="str">
        <f>IF($A488="","",(IF(ISNUMBER(SEARCH("Proposal",$A488)),SUMIFS('Timesheet Raw'!$P$4:$P$8000,'Timesheet Raw'!$A$4:$A$8000,IF(ISNUMBER(SEARCH("Chargable",$A488)),"2-Proposals Chargeable","3-Proposals Regular"),'Timesheet Raw'!$C$4:$C$8000,"*"&amp;$B488&amp;"*",'Timesheet Raw'!$L$4:$L$8000,"&gt;="&amp;MAX(W$5,DATE(2000+VALUE(RIGHT(TRIM($A488),2)),1,1)),'Timesheet Raw'!$L$4:$L$8000,"&lt;="&amp;MIN(W$6,DATE(2000+VALUE(RIGHT(TRIM($A488),2)),12,31))),SUMIFS('Timesheet Raw'!$P$4:$P$8000,'Timesheet Raw'!$B$4:$B$8000,TRIM($A488),'Timesheet Raw'!$C$4:$C$8000,"*"&amp;$B488&amp;"*",'Timesheet Raw'!$L$4:$L$8000,"&gt;="&amp;W$5,'Timesheet Raw'!$L$4:$L$8000,"&lt;="&amp;W$6)))/'Profit Plan'!$B$5)</f>
        <v/>
      </c>
      <c r="X488" s="122" t="str">
        <f>IF($A488="","",(IF(ISNUMBER(SEARCH("Proposal",$A488)),SUMIFS('Timesheet Raw'!$P$4:$P$8000,'Timesheet Raw'!$A$4:$A$8000,IF(ISNUMBER(SEARCH("Chargable",$A488)),"2-Proposals Chargeable","3-Proposals Regular"),'Timesheet Raw'!$C$4:$C$8000,"*"&amp;$B488&amp;"*",'Timesheet Raw'!$L$4:$L$8000,"&gt;="&amp;MAX(X$5,DATE(2000+VALUE(RIGHT(TRIM($A488),2)),1,1)),'Timesheet Raw'!$L$4:$L$8000,"&lt;="&amp;MIN(X$6,DATE(2000+VALUE(RIGHT(TRIM($A488),2)),12,31))),SUMIFS('Timesheet Raw'!$P$4:$P$8000,'Timesheet Raw'!$B$4:$B$8000,TRIM($A488),'Timesheet Raw'!$C$4:$C$8000,"*"&amp;$B488&amp;"*",'Timesheet Raw'!$L$4:$L$8000,"&gt;="&amp;X$5,'Timesheet Raw'!$L$4:$L$8000,"&lt;="&amp;X$6)))/'Profit Plan'!$B$5)</f>
        <v/>
      </c>
      <c r="Y488" s="118">
        <f t="shared" si="103"/>
        <v>0</v>
      </c>
    </row>
    <row r="489" spans="1:25" x14ac:dyDescent="0.3">
      <c r="A489" s="116" t="str">
        <f>IF(Inputs!$A80="","",Inputs!$A80)</f>
        <v/>
      </c>
      <c r="B489" s="116" t="str">
        <f>IF(Inputs!$A80="","",Inputs!$A$93)</f>
        <v/>
      </c>
      <c r="C489" s="116"/>
      <c r="D489" s="122" t="str">
        <f>IF($A489="","",(IF(ISNUMBER(SEARCH("Proposal",$A489)),SUMIFS('Timesheet Raw'!$P$4:$P$8000,'Timesheet Raw'!$A$4:$A$8000,IF(ISNUMBER(SEARCH("Chargable",$A489)),"2-Proposals Chargeable","3-Proposals Regular"),'Timesheet Raw'!$C$4:$C$8000,"*"&amp;$B489&amp;"*",'Timesheet Raw'!$L$4:$L$8000,"&gt;="&amp;MAX(D$5,DATE(2000+VALUE(RIGHT(TRIM($A489),2)),1,1)),'Timesheet Raw'!$L$4:$L$8000,"&lt;="&amp;MIN(D$6,DATE(2000+VALUE(RIGHT(TRIM($A489),2)),12,31))),SUMIFS('Timesheet Raw'!$P$4:$P$8000,'Timesheet Raw'!$B$4:$B$8000,TRIM($A489),'Timesheet Raw'!$C$4:$C$8000,"*"&amp;$B489&amp;"*",'Timesheet Raw'!$L$4:$L$8000,"&gt;="&amp;D$5,'Timesheet Raw'!$L$4:$L$8000,"&lt;="&amp;D$6)))/'Profit Plan'!$B$5)</f>
        <v/>
      </c>
      <c r="E489" s="122" t="str">
        <f>IF($A489="","",(IF(ISNUMBER(SEARCH("Proposal",$A489)),SUMIFS('Timesheet Raw'!$P$4:$P$8000,'Timesheet Raw'!$A$4:$A$8000,IF(ISNUMBER(SEARCH("Chargable",$A489)),"2-Proposals Chargeable","3-Proposals Regular"),'Timesheet Raw'!$C$4:$C$8000,"*"&amp;$B489&amp;"*",'Timesheet Raw'!$L$4:$L$8000,"&gt;="&amp;MAX(E$5,DATE(2000+VALUE(RIGHT(TRIM($A489),2)),1,1)),'Timesheet Raw'!$L$4:$L$8000,"&lt;="&amp;MIN(E$6,DATE(2000+VALUE(RIGHT(TRIM($A489),2)),12,31))),SUMIFS('Timesheet Raw'!$P$4:$P$8000,'Timesheet Raw'!$B$4:$B$8000,TRIM($A489),'Timesheet Raw'!$C$4:$C$8000,"*"&amp;$B489&amp;"*",'Timesheet Raw'!$L$4:$L$8000,"&gt;="&amp;E$5,'Timesheet Raw'!$L$4:$L$8000,"&lt;="&amp;E$6)))/'Profit Plan'!$B$5)</f>
        <v/>
      </c>
      <c r="F489" s="122" t="str">
        <f>IF($A489="","",(IF(ISNUMBER(SEARCH("Proposal",$A489)),SUMIFS('Timesheet Raw'!$P$4:$P$8000,'Timesheet Raw'!$A$4:$A$8000,IF(ISNUMBER(SEARCH("Chargable",$A489)),"2-Proposals Chargeable","3-Proposals Regular"),'Timesheet Raw'!$C$4:$C$8000,"*"&amp;$B489&amp;"*",'Timesheet Raw'!$L$4:$L$8000,"&gt;="&amp;MAX(F$5,DATE(2000+VALUE(RIGHT(TRIM($A489),2)),1,1)),'Timesheet Raw'!$L$4:$L$8000,"&lt;="&amp;MIN(F$6,DATE(2000+VALUE(RIGHT(TRIM($A489),2)),12,31))),SUMIFS('Timesheet Raw'!$P$4:$P$8000,'Timesheet Raw'!$B$4:$B$8000,TRIM($A489),'Timesheet Raw'!$C$4:$C$8000,"*"&amp;$B489&amp;"*",'Timesheet Raw'!$L$4:$L$8000,"&gt;="&amp;F$5,'Timesheet Raw'!$L$4:$L$8000,"&lt;="&amp;F$6)))/'Profit Plan'!$B$5)</f>
        <v/>
      </c>
      <c r="G489" s="122" t="str">
        <f>IF($A489="","",(IF(ISNUMBER(SEARCH("Proposal",$A489)),SUMIFS('Timesheet Raw'!$P$4:$P$8000,'Timesheet Raw'!$A$4:$A$8000,IF(ISNUMBER(SEARCH("Chargable",$A489)),"2-Proposals Chargeable","3-Proposals Regular"),'Timesheet Raw'!$C$4:$C$8000,"*"&amp;$B489&amp;"*",'Timesheet Raw'!$L$4:$L$8000,"&gt;="&amp;MAX(G$5,DATE(2000+VALUE(RIGHT(TRIM($A489),2)),1,1)),'Timesheet Raw'!$L$4:$L$8000,"&lt;="&amp;MIN(G$6,DATE(2000+VALUE(RIGHT(TRIM($A489),2)),12,31))),SUMIFS('Timesheet Raw'!$P$4:$P$8000,'Timesheet Raw'!$B$4:$B$8000,TRIM($A489),'Timesheet Raw'!$C$4:$C$8000,"*"&amp;$B489&amp;"*",'Timesheet Raw'!$L$4:$L$8000,"&gt;="&amp;G$5,'Timesheet Raw'!$L$4:$L$8000,"&lt;="&amp;G$6)))/'Profit Plan'!$B$5)</f>
        <v/>
      </c>
      <c r="H489" s="122" t="str">
        <f>IF($A489="","",(IF(ISNUMBER(SEARCH("Proposal",$A489)),SUMIFS('Timesheet Raw'!$P$4:$P$8000,'Timesheet Raw'!$A$4:$A$8000,IF(ISNUMBER(SEARCH("Chargable",$A489)),"2-Proposals Chargeable","3-Proposals Regular"),'Timesheet Raw'!$C$4:$C$8000,"*"&amp;$B489&amp;"*",'Timesheet Raw'!$L$4:$L$8000,"&gt;="&amp;MAX(H$5,DATE(2000+VALUE(RIGHT(TRIM($A489),2)),1,1)),'Timesheet Raw'!$L$4:$L$8000,"&lt;="&amp;MIN(H$6,DATE(2000+VALUE(RIGHT(TRIM($A489),2)),12,31))),SUMIFS('Timesheet Raw'!$P$4:$P$8000,'Timesheet Raw'!$B$4:$B$8000,TRIM($A489),'Timesheet Raw'!$C$4:$C$8000,"*"&amp;$B489&amp;"*",'Timesheet Raw'!$L$4:$L$8000,"&gt;="&amp;H$5,'Timesheet Raw'!$L$4:$L$8000,"&lt;="&amp;H$6)))/'Profit Plan'!$B$5)</f>
        <v/>
      </c>
      <c r="I489" s="122" t="str">
        <f>IF($A489="","",(IF(ISNUMBER(SEARCH("Proposal",$A489)),SUMIFS('Timesheet Raw'!$P$4:$P$8000,'Timesheet Raw'!$A$4:$A$8000,IF(ISNUMBER(SEARCH("Chargable",$A489)),"2-Proposals Chargeable","3-Proposals Regular"),'Timesheet Raw'!$C$4:$C$8000,"*"&amp;$B489&amp;"*",'Timesheet Raw'!$L$4:$L$8000,"&gt;="&amp;MAX(I$5,DATE(2000+VALUE(RIGHT(TRIM($A489),2)),1,1)),'Timesheet Raw'!$L$4:$L$8000,"&lt;="&amp;MIN(I$6,DATE(2000+VALUE(RIGHT(TRIM($A489),2)),12,31))),SUMIFS('Timesheet Raw'!$P$4:$P$8000,'Timesheet Raw'!$B$4:$B$8000,TRIM($A489),'Timesheet Raw'!$C$4:$C$8000,"*"&amp;$B489&amp;"*",'Timesheet Raw'!$L$4:$L$8000,"&gt;="&amp;I$5,'Timesheet Raw'!$L$4:$L$8000,"&lt;="&amp;I$6)))/'Profit Plan'!$B$5)</f>
        <v/>
      </c>
      <c r="J489" s="122" t="str">
        <f>IF($A489="","",(IF(ISNUMBER(SEARCH("Proposal",$A489)),SUMIFS('Timesheet Raw'!$P$4:$P$8000,'Timesheet Raw'!$A$4:$A$8000,IF(ISNUMBER(SEARCH("Chargable",$A489)),"2-Proposals Chargeable","3-Proposals Regular"),'Timesheet Raw'!$C$4:$C$8000,"*"&amp;$B489&amp;"*",'Timesheet Raw'!$L$4:$L$8000,"&gt;="&amp;MAX(J$5,DATE(2000+VALUE(RIGHT(TRIM($A489),2)),1,1)),'Timesheet Raw'!$L$4:$L$8000,"&lt;="&amp;MIN(J$6,DATE(2000+VALUE(RIGHT(TRIM($A489),2)),12,31))),SUMIFS('Timesheet Raw'!$P$4:$P$8000,'Timesheet Raw'!$B$4:$B$8000,TRIM($A489),'Timesheet Raw'!$C$4:$C$8000,"*"&amp;$B489&amp;"*",'Timesheet Raw'!$L$4:$L$8000,"&gt;="&amp;J$5,'Timesheet Raw'!$L$4:$L$8000,"&lt;="&amp;J$6)))/'Profit Plan'!$B$5)</f>
        <v/>
      </c>
      <c r="K489" s="122" t="str">
        <f>IF($A489="","",(IF(ISNUMBER(SEARCH("Proposal",$A489)),SUMIFS('Timesheet Raw'!$P$4:$P$8000,'Timesheet Raw'!$A$4:$A$8000,IF(ISNUMBER(SEARCH("Chargable",$A489)),"2-Proposals Chargeable","3-Proposals Regular"),'Timesheet Raw'!$C$4:$C$8000,"*"&amp;$B489&amp;"*",'Timesheet Raw'!$L$4:$L$8000,"&gt;="&amp;MAX(K$5,DATE(2000+VALUE(RIGHT(TRIM($A489),2)),1,1)),'Timesheet Raw'!$L$4:$L$8000,"&lt;="&amp;MIN(K$6,DATE(2000+VALUE(RIGHT(TRIM($A489),2)),12,31))),SUMIFS('Timesheet Raw'!$P$4:$P$8000,'Timesheet Raw'!$B$4:$B$8000,TRIM($A489),'Timesheet Raw'!$C$4:$C$8000,"*"&amp;$B489&amp;"*",'Timesheet Raw'!$L$4:$L$8000,"&gt;="&amp;K$5,'Timesheet Raw'!$L$4:$L$8000,"&lt;="&amp;K$6)))/'Profit Plan'!$B$5)</f>
        <v/>
      </c>
      <c r="L489" s="122" t="str">
        <f>IF($A489="","",(IF(ISNUMBER(SEARCH("Proposal",$A489)),SUMIFS('Timesheet Raw'!$P$4:$P$8000,'Timesheet Raw'!$A$4:$A$8000,IF(ISNUMBER(SEARCH("Chargable",$A489)),"2-Proposals Chargeable","3-Proposals Regular"),'Timesheet Raw'!$C$4:$C$8000,"*"&amp;$B489&amp;"*",'Timesheet Raw'!$L$4:$L$8000,"&gt;="&amp;MAX(L$5,DATE(2000+VALUE(RIGHT(TRIM($A489),2)),1,1)),'Timesheet Raw'!$L$4:$L$8000,"&lt;="&amp;MIN(L$6,DATE(2000+VALUE(RIGHT(TRIM($A489),2)),12,31))),SUMIFS('Timesheet Raw'!$P$4:$P$8000,'Timesheet Raw'!$B$4:$B$8000,TRIM($A489),'Timesheet Raw'!$C$4:$C$8000,"*"&amp;$B489&amp;"*",'Timesheet Raw'!$L$4:$L$8000,"&gt;="&amp;L$5,'Timesheet Raw'!$L$4:$L$8000,"&lt;="&amp;L$6)))/'Profit Plan'!$B$5)</f>
        <v/>
      </c>
      <c r="M489" s="122" t="str">
        <f>IF($A489="","",(IF(ISNUMBER(SEARCH("Proposal",$A489)),SUMIFS('Timesheet Raw'!$P$4:$P$8000,'Timesheet Raw'!$A$4:$A$8000,IF(ISNUMBER(SEARCH("Chargable",$A489)),"2-Proposals Chargeable","3-Proposals Regular"),'Timesheet Raw'!$C$4:$C$8000,"*"&amp;$B489&amp;"*",'Timesheet Raw'!$L$4:$L$8000,"&gt;="&amp;MAX(M$5,DATE(2000+VALUE(RIGHT(TRIM($A489),2)),1,1)),'Timesheet Raw'!$L$4:$L$8000,"&lt;="&amp;MIN(M$6,DATE(2000+VALUE(RIGHT(TRIM($A489),2)),12,31))),SUMIFS('Timesheet Raw'!$P$4:$P$8000,'Timesheet Raw'!$B$4:$B$8000,TRIM($A489),'Timesheet Raw'!$C$4:$C$8000,"*"&amp;$B489&amp;"*",'Timesheet Raw'!$L$4:$L$8000,"&gt;="&amp;M$5,'Timesheet Raw'!$L$4:$L$8000,"&lt;="&amp;M$6)))/'Profit Plan'!$B$5)</f>
        <v/>
      </c>
      <c r="N489" s="122" t="str">
        <f>IF($A489="","",(IF(ISNUMBER(SEARCH("Proposal",$A489)),SUMIFS('Timesheet Raw'!$P$4:$P$8000,'Timesheet Raw'!$A$4:$A$8000,IF(ISNUMBER(SEARCH("Chargable",$A489)),"2-Proposals Chargeable","3-Proposals Regular"),'Timesheet Raw'!$C$4:$C$8000,"*"&amp;$B489&amp;"*",'Timesheet Raw'!$L$4:$L$8000,"&gt;="&amp;MAX(N$5,DATE(2000+VALUE(RIGHT(TRIM($A489),2)),1,1)),'Timesheet Raw'!$L$4:$L$8000,"&lt;="&amp;MIN(N$6,DATE(2000+VALUE(RIGHT(TRIM($A489),2)),12,31))),SUMIFS('Timesheet Raw'!$P$4:$P$8000,'Timesheet Raw'!$B$4:$B$8000,TRIM($A489),'Timesheet Raw'!$C$4:$C$8000,"*"&amp;$B489&amp;"*",'Timesheet Raw'!$L$4:$L$8000,"&gt;="&amp;N$5,'Timesheet Raw'!$L$4:$L$8000,"&lt;="&amp;N$6)))/'Profit Plan'!$B$5)</f>
        <v/>
      </c>
      <c r="O489" s="122" t="str">
        <f>IF($A489="","",(IF(ISNUMBER(SEARCH("Proposal",$A489)),SUMIFS('Timesheet Raw'!$P$4:$P$8000,'Timesheet Raw'!$A$4:$A$8000,IF(ISNUMBER(SEARCH("Chargable",$A489)),"2-Proposals Chargeable","3-Proposals Regular"),'Timesheet Raw'!$C$4:$C$8000,"*"&amp;$B489&amp;"*",'Timesheet Raw'!$L$4:$L$8000,"&gt;="&amp;MAX(O$5,DATE(2000+VALUE(RIGHT(TRIM($A489),2)),1,1)),'Timesheet Raw'!$L$4:$L$8000,"&lt;="&amp;MIN(O$6,DATE(2000+VALUE(RIGHT(TRIM($A489),2)),12,31))),SUMIFS('Timesheet Raw'!$P$4:$P$8000,'Timesheet Raw'!$B$4:$B$8000,TRIM($A489),'Timesheet Raw'!$C$4:$C$8000,"*"&amp;$B489&amp;"*",'Timesheet Raw'!$L$4:$L$8000,"&gt;="&amp;O$5,'Timesheet Raw'!$L$4:$L$8000,"&lt;="&amp;O$6)))/'Profit Plan'!$B$5)</f>
        <v/>
      </c>
      <c r="P489" s="122" t="str">
        <f>IF($A489="","",(IF(ISNUMBER(SEARCH("Proposal",$A489)),SUMIFS('Timesheet Raw'!$P$4:$P$8000,'Timesheet Raw'!$A$4:$A$8000,IF(ISNUMBER(SEARCH("Chargable",$A489)),"2-Proposals Chargeable","3-Proposals Regular"),'Timesheet Raw'!$C$4:$C$8000,"*"&amp;$B489&amp;"*",'Timesheet Raw'!$L$4:$L$8000,"&gt;="&amp;MAX(P$5,DATE(2000+VALUE(RIGHT(TRIM($A489),2)),1,1)),'Timesheet Raw'!$L$4:$L$8000,"&lt;="&amp;MIN(P$6,DATE(2000+VALUE(RIGHT(TRIM($A489),2)),12,31))),SUMIFS('Timesheet Raw'!$P$4:$P$8000,'Timesheet Raw'!$B$4:$B$8000,TRIM($A489),'Timesheet Raw'!$C$4:$C$8000,"*"&amp;$B489&amp;"*",'Timesheet Raw'!$L$4:$L$8000,"&gt;="&amp;P$5,'Timesheet Raw'!$L$4:$L$8000,"&lt;="&amp;P$6)))/'Profit Plan'!$B$5)</f>
        <v/>
      </c>
      <c r="Q489" s="122" t="str">
        <f>IF($A489="","",(IF(ISNUMBER(SEARCH("Proposal",$A489)),SUMIFS('Timesheet Raw'!$P$4:$P$8000,'Timesheet Raw'!$A$4:$A$8000,IF(ISNUMBER(SEARCH("Chargable",$A489)),"2-Proposals Chargeable","3-Proposals Regular"),'Timesheet Raw'!$C$4:$C$8000,"*"&amp;$B489&amp;"*",'Timesheet Raw'!$L$4:$L$8000,"&gt;="&amp;MAX(Q$5,DATE(2000+VALUE(RIGHT(TRIM($A489),2)),1,1)),'Timesheet Raw'!$L$4:$L$8000,"&lt;="&amp;MIN(Q$6,DATE(2000+VALUE(RIGHT(TRIM($A489),2)),12,31))),SUMIFS('Timesheet Raw'!$P$4:$P$8000,'Timesheet Raw'!$B$4:$B$8000,TRIM($A489),'Timesheet Raw'!$C$4:$C$8000,"*"&amp;$B489&amp;"*",'Timesheet Raw'!$L$4:$L$8000,"&gt;="&amp;Q$5,'Timesheet Raw'!$L$4:$L$8000,"&lt;="&amp;Q$6)))/'Profit Plan'!$B$5)</f>
        <v/>
      </c>
      <c r="R489" s="122" t="str">
        <f>IF($A489="","",(IF(ISNUMBER(SEARCH("Proposal",$A489)),SUMIFS('Timesheet Raw'!$P$4:$P$8000,'Timesheet Raw'!$A$4:$A$8000,IF(ISNUMBER(SEARCH("Chargable",$A489)),"2-Proposals Chargeable","3-Proposals Regular"),'Timesheet Raw'!$C$4:$C$8000,"*"&amp;$B489&amp;"*",'Timesheet Raw'!$L$4:$L$8000,"&gt;="&amp;MAX(R$5,DATE(2000+VALUE(RIGHT(TRIM($A489),2)),1,1)),'Timesheet Raw'!$L$4:$L$8000,"&lt;="&amp;MIN(R$6,DATE(2000+VALUE(RIGHT(TRIM($A489),2)),12,31))),SUMIFS('Timesheet Raw'!$P$4:$P$8000,'Timesheet Raw'!$B$4:$B$8000,TRIM($A489),'Timesheet Raw'!$C$4:$C$8000,"*"&amp;$B489&amp;"*",'Timesheet Raw'!$L$4:$L$8000,"&gt;="&amp;R$5,'Timesheet Raw'!$L$4:$L$8000,"&lt;="&amp;R$6)))/'Profit Plan'!$B$5)</f>
        <v/>
      </c>
      <c r="S489" s="122" t="str">
        <f>IF($A489="","",(IF(ISNUMBER(SEARCH("Proposal",$A489)),SUMIFS('Timesheet Raw'!$P$4:$P$8000,'Timesheet Raw'!$A$4:$A$8000,IF(ISNUMBER(SEARCH("Chargable",$A489)),"2-Proposals Chargeable","3-Proposals Regular"),'Timesheet Raw'!$C$4:$C$8000,"*"&amp;$B489&amp;"*",'Timesheet Raw'!$L$4:$L$8000,"&gt;="&amp;MAX(S$5,DATE(2000+VALUE(RIGHT(TRIM($A489),2)),1,1)),'Timesheet Raw'!$L$4:$L$8000,"&lt;="&amp;MIN(S$6,DATE(2000+VALUE(RIGHT(TRIM($A489),2)),12,31))),SUMIFS('Timesheet Raw'!$P$4:$P$8000,'Timesheet Raw'!$B$4:$B$8000,TRIM($A489),'Timesheet Raw'!$C$4:$C$8000,"*"&amp;$B489&amp;"*",'Timesheet Raw'!$L$4:$L$8000,"&gt;="&amp;S$5,'Timesheet Raw'!$L$4:$L$8000,"&lt;="&amp;S$6)))/'Profit Plan'!$B$5)</f>
        <v/>
      </c>
      <c r="T489" s="122" t="str">
        <f>IF($A489="","",(IF(ISNUMBER(SEARCH("Proposal",$A489)),SUMIFS('Timesheet Raw'!$P$4:$P$8000,'Timesheet Raw'!$A$4:$A$8000,IF(ISNUMBER(SEARCH("Chargable",$A489)),"2-Proposals Chargeable","3-Proposals Regular"),'Timesheet Raw'!$C$4:$C$8000,"*"&amp;$B489&amp;"*",'Timesheet Raw'!$L$4:$L$8000,"&gt;="&amp;MAX(T$5,DATE(2000+VALUE(RIGHT(TRIM($A489),2)),1,1)),'Timesheet Raw'!$L$4:$L$8000,"&lt;="&amp;MIN(T$6,DATE(2000+VALUE(RIGHT(TRIM($A489),2)),12,31))),SUMIFS('Timesheet Raw'!$P$4:$P$8000,'Timesheet Raw'!$B$4:$B$8000,TRIM($A489),'Timesheet Raw'!$C$4:$C$8000,"*"&amp;$B489&amp;"*",'Timesheet Raw'!$L$4:$L$8000,"&gt;="&amp;T$5,'Timesheet Raw'!$L$4:$L$8000,"&lt;="&amp;T$6)))/'Profit Plan'!$B$5)</f>
        <v/>
      </c>
      <c r="U489" s="122" t="str">
        <f>IF($A489="","",(IF(ISNUMBER(SEARCH("Proposal",$A489)),SUMIFS('Timesheet Raw'!$P$4:$P$8000,'Timesheet Raw'!$A$4:$A$8000,IF(ISNUMBER(SEARCH("Chargable",$A489)),"2-Proposals Chargeable","3-Proposals Regular"),'Timesheet Raw'!$C$4:$C$8000,"*"&amp;$B489&amp;"*",'Timesheet Raw'!$L$4:$L$8000,"&gt;="&amp;MAX(U$5,DATE(2000+VALUE(RIGHT(TRIM($A489),2)),1,1)),'Timesheet Raw'!$L$4:$L$8000,"&lt;="&amp;MIN(U$6,DATE(2000+VALUE(RIGHT(TRIM($A489),2)),12,31))),SUMIFS('Timesheet Raw'!$P$4:$P$8000,'Timesheet Raw'!$B$4:$B$8000,TRIM($A489),'Timesheet Raw'!$C$4:$C$8000,"*"&amp;$B489&amp;"*",'Timesheet Raw'!$L$4:$L$8000,"&gt;="&amp;U$5,'Timesheet Raw'!$L$4:$L$8000,"&lt;="&amp;U$6)))/'Profit Plan'!$B$5)</f>
        <v/>
      </c>
      <c r="V489" s="122" t="str">
        <f>IF($A489="","",(IF(ISNUMBER(SEARCH("Proposal",$A489)),SUMIFS('Timesheet Raw'!$P$4:$P$8000,'Timesheet Raw'!$A$4:$A$8000,IF(ISNUMBER(SEARCH("Chargable",$A489)),"2-Proposals Chargeable","3-Proposals Regular"),'Timesheet Raw'!$C$4:$C$8000,"*"&amp;$B489&amp;"*",'Timesheet Raw'!$L$4:$L$8000,"&gt;="&amp;MAX(V$5,DATE(2000+VALUE(RIGHT(TRIM($A489),2)),1,1)),'Timesheet Raw'!$L$4:$L$8000,"&lt;="&amp;MIN(V$6,DATE(2000+VALUE(RIGHT(TRIM($A489),2)),12,31))),SUMIFS('Timesheet Raw'!$P$4:$P$8000,'Timesheet Raw'!$B$4:$B$8000,TRIM($A489),'Timesheet Raw'!$C$4:$C$8000,"*"&amp;$B489&amp;"*",'Timesheet Raw'!$L$4:$L$8000,"&gt;="&amp;V$5,'Timesheet Raw'!$L$4:$L$8000,"&lt;="&amp;V$6)))/'Profit Plan'!$B$5)</f>
        <v/>
      </c>
      <c r="W489" s="122" t="str">
        <f>IF($A489="","",(IF(ISNUMBER(SEARCH("Proposal",$A489)),SUMIFS('Timesheet Raw'!$P$4:$P$8000,'Timesheet Raw'!$A$4:$A$8000,IF(ISNUMBER(SEARCH("Chargable",$A489)),"2-Proposals Chargeable","3-Proposals Regular"),'Timesheet Raw'!$C$4:$C$8000,"*"&amp;$B489&amp;"*",'Timesheet Raw'!$L$4:$L$8000,"&gt;="&amp;MAX(W$5,DATE(2000+VALUE(RIGHT(TRIM($A489),2)),1,1)),'Timesheet Raw'!$L$4:$L$8000,"&lt;="&amp;MIN(W$6,DATE(2000+VALUE(RIGHT(TRIM($A489),2)),12,31))),SUMIFS('Timesheet Raw'!$P$4:$P$8000,'Timesheet Raw'!$B$4:$B$8000,TRIM($A489),'Timesheet Raw'!$C$4:$C$8000,"*"&amp;$B489&amp;"*",'Timesheet Raw'!$L$4:$L$8000,"&gt;="&amp;W$5,'Timesheet Raw'!$L$4:$L$8000,"&lt;="&amp;W$6)))/'Profit Plan'!$B$5)</f>
        <v/>
      </c>
      <c r="X489" s="122" t="str">
        <f>IF($A489="","",(IF(ISNUMBER(SEARCH("Proposal",$A489)),SUMIFS('Timesheet Raw'!$P$4:$P$8000,'Timesheet Raw'!$A$4:$A$8000,IF(ISNUMBER(SEARCH("Chargable",$A489)),"2-Proposals Chargeable","3-Proposals Regular"),'Timesheet Raw'!$C$4:$C$8000,"*"&amp;$B489&amp;"*",'Timesheet Raw'!$L$4:$L$8000,"&gt;="&amp;MAX(X$5,DATE(2000+VALUE(RIGHT(TRIM($A489),2)),1,1)),'Timesheet Raw'!$L$4:$L$8000,"&lt;="&amp;MIN(X$6,DATE(2000+VALUE(RIGHT(TRIM($A489),2)),12,31))),SUMIFS('Timesheet Raw'!$P$4:$P$8000,'Timesheet Raw'!$B$4:$B$8000,TRIM($A489),'Timesheet Raw'!$C$4:$C$8000,"*"&amp;$B489&amp;"*",'Timesheet Raw'!$L$4:$L$8000,"&gt;="&amp;X$5,'Timesheet Raw'!$L$4:$L$8000,"&lt;="&amp;X$6)))/'Profit Plan'!$B$5)</f>
        <v/>
      </c>
      <c r="Y489" s="118">
        <f t="shared" si="103"/>
        <v>0</v>
      </c>
    </row>
    <row r="490" spans="1:25" x14ac:dyDescent="0.3">
      <c r="A490" s="116" t="str">
        <f>IF(Inputs!$A81="","",Inputs!$A81)</f>
        <v/>
      </c>
      <c r="B490" s="116" t="str">
        <f>IF(Inputs!$A81="","",Inputs!$A$91)</f>
        <v/>
      </c>
      <c r="C490" s="116"/>
      <c r="D490" s="122" t="str">
        <f>IF($A490="","",(IF(ISNUMBER(SEARCH("Proposal",$A490)),SUMIFS('Timesheet Raw'!$P$4:$P$8000,'Timesheet Raw'!$A$4:$A$8000,IF(ISNUMBER(SEARCH("Chargable",$A490)),"2-Proposals Chargeable","3-Proposals Regular"),'Timesheet Raw'!$C$4:$C$8000,"*"&amp;$B490&amp;"*",'Timesheet Raw'!$L$4:$L$8000,"&gt;="&amp;MAX(D$5,DATE(2000+VALUE(RIGHT(TRIM($A490),2)),1,1)),'Timesheet Raw'!$L$4:$L$8000,"&lt;="&amp;MIN(D$6,DATE(2000+VALUE(RIGHT(TRIM($A490),2)),12,31))),SUMIFS('Timesheet Raw'!$P$4:$P$8000,'Timesheet Raw'!$B$4:$B$8000,TRIM($A490),'Timesheet Raw'!$C$4:$C$8000,"*"&amp;$B490&amp;"*",'Timesheet Raw'!$L$4:$L$8000,"&gt;="&amp;D$5,'Timesheet Raw'!$L$4:$L$8000,"&lt;="&amp;D$6)))/'Profit Plan'!$B$5)</f>
        <v/>
      </c>
      <c r="E490" s="122" t="str">
        <f>IF($A490="","",(IF(ISNUMBER(SEARCH("Proposal",$A490)),SUMIFS('Timesheet Raw'!$P$4:$P$8000,'Timesheet Raw'!$A$4:$A$8000,IF(ISNUMBER(SEARCH("Chargable",$A490)),"2-Proposals Chargeable","3-Proposals Regular"),'Timesheet Raw'!$C$4:$C$8000,"*"&amp;$B490&amp;"*",'Timesheet Raw'!$L$4:$L$8000,"&gt;="&amp;MAX(E$5,DATE(2000+VALUE(RIGHT(TRIM($A490),2)),1,1)),'Timesheet Raw'!$L$4:$L$8000,"&lt;="&amp;MIN(E$6,DATE(2000+VALUE(RIGHT(TRIM($A490),2)),12,31))),SUMIFS('Timesheet Raw'!$P$4:$P$8000,'Timesheet Raw'!$B$4:$B$8000,TRIM($A490),'Timesheet Raw'!$C$4:$C$8000,"*"&amp;$B490&amp;"*",'Timesheet Raw'!$L$4:$L$8000,"&gt;="&amp;E$5,'Timesheet Raw'!$L$4:$L$8000,"&lt;="&amp;E$6)))/'Profit Plan'!$B$5)</f>
        <v/>
      </c>
      <c r="F490" s="122" t="str">
        <f>IF($A490="","",(IF(ISNUMBER(SEARCH("Proposal",$A490)),SUMIFS('Timesheet Raw'!$P$4:$P$8000,'Timesheet Raw'!$A$4:$A$8000,IF(ISNUMBER(SEARCH("Chargable",$A490)),"2-Proposals Chargeable","3-Proposals Regular"),'Timesheet Raw'!$C$4:$C$8000,"*"&amp;$B490&amp;"*",'Timesheet Raw'!$L$4:$L$8000,"&gt;="&amp;MAX(F$5,DATE(2000+VALUE(RIGHT(TRIM($A490),2)),1,1)),'Timesheet Raw'!$L$4:$L$8000,"&lt;="&amp;MIN(F$6,DATE(2000+VALUE(RIGHT(TRIM($A490),2)),12,31))),SUMIFS('Timesheet Raw'!$P$4:$P$8000,'Timesheet Raw'!$B$4:$B$8000,TRIM($A490),'Timesheet Raw'!$C$4:$C$8000,"*"&amp;$B490&amp;"*",'Timesheet Raw'!$L$4:$L$8000,"&gt;="&amp;F$5,'Timesheet Raw'!$L$4:$L$8000,"&lt;="&amp;F$6)))/'Profit Plan'!$B$5)</f>
        <v/>
      </c>
      <c r="G490" s="122" t="str">
        <f>IF($A490="","",(IF(ISNUMBER(SEARCH("Proposal",$A490)),SUMIFS('Timesheet Raw'!$P$4:$P$8000,'Timesheet Raw'!$A$4:$A$8000,IF(ISNUMBER(SEARCH("Chargable",$A490)),"2-Proposals Chargeable","3-Proposals Regular"),'Timesheet Raw'!$C$4:$C$8000,"*"&amp;$B490&amp;"*",'Timesheet Raw'!$L$4:$L$8000,"&gt;="&amp;MAX(G$5,DATE(2000+VALUE(RIGHT(TRIM($A490),2)),1,1)),'Timesheet Raw'!$L$4:$L$8000,"&lt;="&amp;MIN(G$6,DATE(2000+VALUE(RIGHT(TRIM($A490),2)),12,31))),SUMIFS('Timesheet Raw'!$P$4:$P$8000,'Timesheet Raw'!$B$4:$B$8000,TRIM($A490),'Timesheet Raw'!$C$4:$C$8000,"*"&amp;$B490&amp;"*",'Timesheet Raw'!$L$4:$L$8000,"&gt;="&amp;G$5,'Timesheet Raw'!$L$4:$L$8000,"&lt;="&amp;G$6)))/'Profit Plan'!$B$5)</f>
        <v/>
      </c>
      <c r="H490" s="122" t="str">
        <f>IF($A490="","",(IF(ISNUMBER(SEARCH("Proposal",$A490)),SUMIFS('Timesheet Raw'!$P$4:$P$8000,'Timesheet Raw'!$A$4:$A$8000,IF(ISNUMBER(SEARCH("Chargable",$A490)),"2-Proposals Chargeable","3-Proposals Regular"),'Timesheet Raw'!$C$4:$C$8000,"*"&amp;$B490&amp;"*",'Timesheet Raw'!$L$4:$L$8000,"&gt;="&amp;MAX(H$5,DATE(2000+VALUE(RIGHT(TRIM($A490),2)),1,1)),'Timesheet Raw'!$L$4:$L$8000,"&lt;="&amp;MIN(H$6,DATE(2000+VALUE(RIGHT(TRIM($A490),2)),12,31))),SUMIFS('Timesheet Raw'!$P$4:$P$8000,'Timesheet Raw'!$B$4:$B$8000,TRIM($A490),'Timesheet Raw'!$C$4:$C$8000,"*"&amp;$B490&amp;"*",'Timesheet Raw'!$L$4:$L$8000,"&gt;="&amp;H$5,'Timesheet Raw'!$L$4:$L$8000,"&lt;="&amp;H$6)))/'Profit Plan'!$B$5)</f>
        <v/>
      </c>
      <c r="I490" s="122" t="str">
        <f>IF($A490="","",(IF(ISNUMBER(SEARCH("Proposal",$A490)),SUMIFS('Timesheet Raw'!$P$4:$P$8000,'Timesheet Raw'!$A$4:$A$8000,IF(ISNUMBER(SEARCH("Chargable",$A490)),"2-Proposals Chargeable","3-Proposals Regular"),'Timesheet Raw'!$C$4:$C$8000,"*"&amp;$B490&amp;"*",'Timesheet Raw'!$L$4:$L$8000,"&gt;="&amp;MAX(I$5,DATE(2000+VALUE(RIGHT(TRIM($A490),2)),1,1)),'Timesheet Raw'!$L$4:$L$8000,"&lt;="&amp;MIN(I$6,DATE(2000+VALUE(RIGHT(TRIM($A490),2)),12,31))),SUMIFS('Timesheet Raw'!$P$4:$P$8000,'Timesheet Raw'!$B$4:$B$8000,TRIM($A490),'Timesheet Raw'!$C$4:$C$8000,"*"&amp;$B490&amp;"*",'Timesheet Raw'!$L$4:$L$8000,"&gt;="&amp;I$5,'Timesheet Raw'!$L$4:$L$8000,"&lt;="&amp;I$6)))/'Profit Plan'!$B$5)</f>
        <v/>
      </c>
      <c r="J490" s="122" t="str">
        <f>IF($A490="","",(IF(ISNUMBER(SEARCH("Proposal",$A490)),SUMIFS('Timesheet Raw'!$P$4:$P$8000,'Timesheet Raw'!$A$4:$A$8000,IF(ISNUMBER(SEARCH("Chargable",$A490)),"2-Proposals Chargeable","3-Proposals Regular"),'Timesheet Raw'!$C$4:$C$8000,"*"&amp;$B490&amp;"*",'Timesheet Raw'!$L$4:$L$8000,"&gt;="&amp;MAX(J$5,DATE(2000+VALUE(RIGHT(TRIM($A490),2)),1,1)),'Timesheet Raw'!$L$4:$L$8000,"&lt;="&amp;MIN(J$6,DATE(2000+VALUE(RIGHT(TRIM($A490),2)),12,31))),SUMIFS('Timesheet Raw'!$P$4:$P$8000,'Timesheet Raw'!$B$4:$B$8000,TRIM($A490),'Timesheet Raw'!$C$4:$C$8000,"*"&amp;$B490&amp;"*",'Timesheet Raw'!$L$4:$L$8000,"&gt;="&amp;J$5,'Timesheet Raw'!$L$4:$L$8000,"&lt;="&amp;J$6)))/'Profit Plan'!$B$5)</f>
        <v/>
      </c>
      <c r="K490" s="122" t="str">
        <f>IF($A490="","",(IF(ISNUMBER(SEARCH("Proposal",$A490)),SUMIFS('Timesheet Raw'!$P$4:$P$8000,'Timesheet Raw'!$A$4:$A$8000,IF(ISNUMBER(SEARCH("Chargable",$A490)),"2-Proposals Chargeable","3-Proposals Regular"),'Timesheet Raw'!$C$4:$C$8000,"*"&amp;$B490&amp;"*",'Timesheet Raw'!$L$4:$L$8000,"&gt;="&amp;MAX(K$5,DATE(2000+VALUE(RIGHT(TRIM($A490),2)),1,1)),'Timesheet Raw'!$L$4:$L$8000,"&lt;="&amp;MIN(K$6,DATE(2000+VALUE(RIGHT(TRIM($A490),2)),12,31))),SUMIFS('Timesheet Raw'!$P$4:$P$8000,'Timesheet Raw'!$B$4:$B$8000,TRIM($A490),'Timesheet Raw'!$C$4:$C$8000,"*"&amp;$B490&amp;"*",'Timesheet Raw'!$L$4:$L$8000,"&gt;="&amp;K$5,'Timesheet Raw'!$L$4:$L$8000,"&lt;="&amp;K$6)))/'Profit Plan'!$B$5)</f>
        <v/>
      </c>
      <c r="L490" s="122" t="str">
        <f>IF($A490="","",(IF(ISNUMBER(SEARCH("Proposal",$A490)),SUMIFS('Timesheet Raw'!$P$4:$P$8000,'Timesheet Raw'!$A$4:$A$8000,IF(ISNUMBER(SEARCH("Chargable",$A490)),"2-Proposals Chargeable","3-Proposals Regular"),'Timesheet Raw'!$C$4:$C$8000,"*"&amp;$B490&amp;"*",'Timesheet Raw'!$L$4:$L$8000,"&gt;="&amp;MAX(L$5,DATE(2000+VALUE(RIGHT(TRIM($A490),2)),1,1)),'Timesheet Raw'!$L$4:$L$8000,"&lt;="&amp;MIN(L$6,DATE(2000+VALUE(RIGHT(TRIM($A490),2)),12,31))),SUMIFS('Timesheet Raw'!$P$4:$P$8000,'Timesheet Raw'!$B$4:$B$8000,TRIM($A490),'Timesheet Raw'!$C$4:$C$8000,"*"&amp;$B490&amp;"*",'Timesheet Raw'!$L$4:$L$8000,"&gt;="&amp;L$5,'Timesheet Raw'!$L$4:$L$8000,"&lt;="&amp;L$6)))/'Profit Plan'!$B$5)</f>
        <v/>
      </c>
      <c r="M490" s="122" t="str">
        <f>IF($A490="","",(IF(ISNUMBER(SEARCH("Proposal",$A490)),SUMIFS('Timesheet Raw'!$P$4:$P$8000,'Timesheet Raw'!$A$4:$A$8000,IF(ISNUMBER(SEARCH("Chargable",$A490)),"2-Proposals Chargeable","3-Proposals Regular"),'Timesheet Raw'!$C$4:$C$8000,"*"&amp;$B490&amp;"*",'Timesheet Raw'!$L$4:$L$8000,"&gt;="&amp;MAX(M$5,DATE(2000+VALUE(RIGHT(TRIM($A490),2)),1,1)),'Timesheet Raw'!$L$4:$L$8000,"&lt;="&amp;MIN(M$6,DATE(2000+VALUE(RIGHT(TRIM($A490),2)),12,31))),SUMIFS('Timesheet Raw'!$P$4:$P$8000,'Timesheet Raw'!$B$4:$B$8000,TRIM($A490),'Timesheet Raw'!$C$4:$C$8000,"*"&amp;$B490&amp;"*",'Timesheet Raw'!$L$4:$L$8000,"&gt;="&amp;M$5,'Timesheet Raw'!$L$4:$L$8000,"&lt;="&amp;M$6)))/'Profit Plan'!$B$5)</f>
        <v/>
      </c>
      <c r="N490" s="122" t="str">
        <f>IF($A490="","",(IF(ISNUMBER(SEARCH("Proposal",$A490)),SUMIFS('Timesheet Raw'!$P$4:$P$8000,'Timesheet Raw'!$A$4:$A$8000,IF(ISNUMBER(SEARCH("Chargable",$A490)),"2-Proposals Chargeable","3-Proposals Regular"),'Timesheet Raw'!$C$4:$C$8000,"*"&amp;$B490&amp;"*",'Timesheet Raw'!$L$4:$L$8000,"&gt;="&amp;MAX(N$5,DATE(2000+VALUE(RIGHT(TRIM($A490),2)),1,1)),'Timesheet Raw'!$L$4:$L$8000,"&lt;="&amp;MIN(N$6,DATE(2000+VALUE(RIGHT(TRIM($A490),2)),12,31))),SUMIFS('Timesheet Raw'!$P$4:$P$8000,'Timesheet Raw'!$B$4:$B$8000,TRIM($A490),'Timesheet Raw'!$C$4:$C$8000,"*"&amp;$B490&amp;"*",'Timesheet Raw'!$L$4:$L$8000,"&gt;="&amp;N$5,'Timesheet Raw'!$L$4:$L$8000,"&lt;="&amp;N$6)))/'Profit Plan'!$B$5)</f>
        <v/>
      </c>
      <c r="O490" s="122" t="str">
        <f>IF($A490="","",(IF(ISNUMBER(SEARCH("Proposal",$A490)),SUMIFS('Timesheet Raw'!$P$4:$P$8000,'Timesheet Raw'!$A$4:$A$8000,IF(ISNUMBER(SEARCH("Chargable",$A490)),"2-Proposals Chargeable","3-Proposals Regular"),'Timesheet Raw'!$C$4:$C$8000,"*"&amp;$B490&amp;"*",'Timesheet Raw'!$L$4:$L$8000,"&gt;="&amp;MAX(O$5,DATE(2000+VALUE(RIGHT(TRIM($A490),2)),1,1)),'Timesheet Raw'!$L$4:$L$8000,"&lt;="&amp;MIN(O$6,DATE(2000+VALUE(RIGHT(TRIM($A490),2)),12,31))),SUMIFS('Timesheet Raw'!$P$4:$P$8000,'Timesheet Raw'!$B$4:$B$8000,TRIM($A490),'Timesheet Raw'!$C$4:$C$8000,"*"&amp;$B490&amp;"*",'Timesheet Raw'!$L$4:$L$8000,"&gt;="&amp;O$5,'Timesheet Raw'!$L$4:$L$8000,"&lt;="&amp;O$6)))/'Profit Plan'!$B$5)</f>
        <v/>
      </c>
      <c r="P490" s="122" t="str">
        <f>IF($A490="","",(IF(ISNUMBER(SEARCH("Proposal",$A490)),SUMIFS('Timesheet Raw'!$P$4:$P$8000,'Timesheet Raw'!$A$4:$A$8000,IF(ISNUMBER(SEARCH("Chargable",$A490)),"2-Proposals Chargeable","3-Proposals Regular"),'Timesheet Raw'!$C$4:$C$8000,"*"&amp;$B490&amp;"*",'Timesheet Raw'!$L$4:$L$8000,"&gt;="&amp;MAX(P$5,DATE(2000+VALUE(RIGHT(TRIM($A490),2)),1,1)),'Timesheet Raw'!$L$4:$L$8000,"&lt;="&amp;MIN(P$6,DATE(2000+VALUE(RIGHT(TRIM($A490),2)),12,31))),SUMIFS('Timesheet Raw'!$P$4:$P$8000,'Timesheet Raw'!$B$4:$B$8000,TRIM($A490),'Timesheet Raw'!$C$4:$C$8000,"*"&amp;$B490&amp;"*",'Timesheet Raw'!$L$4:$L$8000,"&gt;="&amp;P$5,'Timesheet Raw'!$L$4:$L$8000,"&lt;="&amp;P$6)))/'Profit Plan'!$B$5)</f>
        <v/>
      </c>
      <c r="Q490" s="122" t="str">
        <f>IF($A490="","",(IF(ISNUMBER(SEARCH("Proposal",$A490)),SUMIFS('Timesheet Raw'!$P$4:$P$8000,'Timesheet Raw'!$A$4:$A$8000,IF(ISNUMBER(SEARCH("Chargable",$A490)),"2-Proposals Chargeable","3-Proposals Regular"),'Timesheet Raw'!$C$4:$C$8000,"*"&amp;$B490&amp;"*",'Timesheet Raw'!$L$4:$L$8000,"&gt;="&amp;MAX(Q$5,DATE(2000+VALUE(RIGHT(TRIM($A490),2)),1,1)),'Timesheet Raw'!$L$4:$L$8000,"&lt;="&amp;MIN(Q$6,DATE(2000+VALUE(RIGHT(TRIM($A490),2)),12,31))),SUMIFS('Timesheet Raw'!$P$4:$P$8000,'Timesheet Raw'!$B$4:$B$8000,TRIM($A490),'Timesheet Raw'!$C$4:$C$8000,"*"&amp;$B490&amp;"*",'Timesheet Raw'!$L$4:$L$8000,"&gt;="&amp;Q$5,'Timesheet Raw'!$L$4:$L$8000,"&lt;="&amp;Q$6)))/'Profit Plan'!$B$5)</f>
        <v/>
      </c>
      <c r="R490" s="122" t="str">
        <f>IF($A490="","",(IF(ISNUMBER(SEARCH("Proposal",$A490)),SUMIFS('Timesheet Raw'!$P$4:$P$8000,'Timesheet Raw'!$A$4:$A$8000,IF(ISNUMBER(SEARCH("Chargable",$A490)),"2-Proposals Chargeable","3-Proposals Regular"),'Timesheet Raw'!$C$4:$C$8000,"*"&amp;$B490&amp;"*",'Timesheet Raw'!$L$4:$L$8000,"&gt;="&amp;MAX(R$5,DATE(2000+VALUE(RIGHT(TRIM($A490),2)),1,1)),'Timesheet Raw'!$L$4:$L$8000,"&lt;="&amp;MIN(R$6,DATE(2000+VALUE(RIGHT(TRIM($A490),2)),12,31))),SUMIFS('Timesheet Raw'!$P$4:$P$8000,'Timesheet Raw'!$B$4:$B$8000,TRIM($A490),'Timesheet Raw'!$C$4:$C$8000,"*"&amp;$B490&amp;"*",'Timesheet Raw'!$L$4:$L$8000,"&gt;="&amp;R$5,'Timesheet Raw'!$L$4:$L$8000,"&lt;="&amp;R$6)))/'Profit Plan'!$B$5)</f>
        <v/>
      </c>
      <c r="S490" s="122" t="str">
        <f>IF($A490="","",(IF(ISNUMBER(SEARCH("Proposal",$A490)),SUMIFS('Timesheet Raw'!$P$4:$P$8000,'Timesheet Raw'!$A$4:$A$8000,IF(ISNUMBER(SEARCH("Chargable",$A490)),"2-Proposals Chargeable","3-Proposals Regular"),'Timesheet Raw'!$C$4:$C$8000,"*"&amp;$B490&amp;"*",'Timesheet Raw'!$L$4:$L$8000,"&gt;="&amp;MAX(S$5,DATE(2000+VALUE(RIGHT(TRIM($A490),2)),1,1)),'Timesheet Raw'!$L$4:$L$8000,"&lt;="&amp;MIN(S$6,DATE(2000+VALUE(RIGHT(TRIM($A490),2)),12,31))),SUMIFS('Timesheet Raw'!$P$4:$P$8000,'Timesheet Raw'!$B$4:$B$8000,TRIM($A490),'Timesheet Raw'!$C$4:$C$8000,"*"&amp;$B490&amp;"*",'Timesheet Raw'!$L$4:$L$8000,"&gt;="&amp;S$5,'Timesheet Raw'!$L$4:$L$8000,"&lt;="&amp;S$6)))/'Profit Plan'!$B$5)</f>
        <v/>
      </c>
      <c r="T490" s="122" t="str">
        <f>IF($A490="","",(IF(ISNUMBER(SEARCH("Proposal",$A490)),SUMIFS('Timesheet Raw'!$P$4:$P$8000,'Timesheet Raw'!$A$4:$A$8000,IF(ISNUMBER(SEARCH("Chargable",$A490)),"2-Proposals Chargeable","3-Proposals Regular"),'Timesheet Raw'!$C$4:$C$8000,"*"&amp;$B490&amp;"*",'Timesheet Raw'!$L$4:$L$8000,"&gt;="&amp;MAX(T$5,DATE(2000+VALUE(RIGHT(TRIM($A490),2)),1,1)),'Timesheet Raw'!$L$4:$L$8000,"&lt;="&amp;MIN(T$6,DATE(2000+VALUE(RIGHT(TRIM($A490),2)),12,31))),SUMIFS('Timesheet Raw'!$P$4:$P$8000,'Timesheet Raw'!$B$4:$B$8000,TRIM($A490),'Timesheet Raw'!$C$4:$C$8000,"*"&amp;$B490&amp;"*",'Timesheet Raw'!$L$4:$L$8000,"&gt;="&amp;T$5,'Timesheet Raw'!$L$4:$L$8000,"&lt;="&amp;T$6)))/'Profit Plan'!$B$5)</f>
        <v/>
      </c>
      <c r="U490" s="122" t="str">
        <f>IF($A490="","",(IF(ISNUMBER(SEARCH("Proposal",$A490)),SUMIFS('Timesheet Raw'!$P$4:$P$8000,'Timesheet Raw'!$A$4:$A$8000,IF(ISNUMBER(SEARCH("Chargable",$A490)),"2-Proposals Chargeable","3-Proposals Regular"),'Timesheet Raw'!$C$4:$C$8000,"*"&amp;$B490&amp;"*",'Timesheet Raw'!$L$4:$L$8000,"&gt;="&amp;MAX(U$5,DATE(2000+VALUE(RIGHT(TRIM($A490),2)),1,1)),'Timesheet Raw'!$L$4:$L$8000,"&lt;="&amp;MIN(U$6,DATE(2000+VALUE(RIGHT(TRIM($A490),2)),12,31))),SUMIFS('Timesheet Raw'!$P$4:$P$8000,'Timesheet Raw'!$B$4:$B$8000,TRIM($A490),'Timesheet Raw'!$C$4:$C$8000,"*"&amp;$B490&amp;"*",'Timesheet Raw'!$L$4:$L$8000,"&gt;="&amp;U$5,'Timesheet Raw'!$L$4:$L$8000,"&lt;="&amp;U$6)))/'Profit Plan'!$B$5)</f>
        <v/>
      </c>
      <c r="V490" s="122" t="str">
        <f>IF($A490="","",(IF(ISNUMBER(SEARCH("Proposal",$A490)),SUMIFS('Timesheet Raw'!$P$4:$P$8000,'Timesheet Raw'!$A$4:$A$8000,IF(ISNUMBER(SEARCH("Chargable",$A490)),"2-Proposals Chargeable","3-Proposals Regular"),'Timesheet Raw'!$C$4:$C$8000,"*"&amp;$B490&amp;"*",'Timesheet Raw'!$L$4:$L$8000,"&gt;="&amp;MAX(V$5,DATE(2000+VALUE(RIGHT(TRIM($A490),2)),1,1)),'Timesheet Raw'!$L$4:$L$8000,"&lt;="&amp;MIN(V$6,DATE(2000+VALUE(RIGHT(TRIM($A490),2)),12,31))),SUMIFS('Timesheet Raw'!$P$4:$P$8000,'Timesheet Raw'!$B$4:$B$8000,TRIM($A490),'Timesheet Raw'!$C$4:$C$8000,"*"&amp;$B490&amp;"*",'Timesheet Raw'!$L$4:$L$8000,"&gt;="&amp;V$5,'Timesheet Raw'!$L$4:$L$8000,"&lt;="&amp;V$6)))/'Profit Plan'!$B$5)</f>
        <v/>
      </c>
      <c r="W490" s="122" t="str">
        <f>IF($A490="","",(IF(ISNUMBER(SEARCH("Proposal",$A490)),SUMIFS('Timesheet Raw'!$P$4:$P$8000,'Timesheet Raw'!$A$4:$A$8000,IF(ISNUMBER(SEARCH("Chargable",$A490)),"2-Proposals Chargeable","3-Proposals Regular"),'Timesheet Raw'!$C$4:$C$8000,"*"&amp;$B490&amp;"*",'Timesheet Raw'!$L$4:$L$8000,"&gt;="&amp;MAX(W$5,DATE(2000+VALUE(RIGHT(TRIM($A490),2)),1,1)),'Timesheet Raw'!$L$4:$L$8000,"&lt;="&amp;MIN(W$6,DATE(2000+VALUE(RIGHT(TRIM($A490),2)),12,31))),SUMIFS('Timesheet Raw'!$P$4:$P$8000,'Timesheet Raw'!$B$4:$B$8000,TRIM($A490),'Timesheet Raw'!$C$4:$C$8000,"*"&amp;$B490&amp;"*",'Timesheet Raw'!$L$4:$L$8000,"&gt;="&amp;W$5,'Timesheet Raw'!$L$4:$L$8000,"&lt;="&amp;W$6)))/'Profit Plan'!$B$5)</f>
        <v/>
      </c>
      <c r="X490" s="122" t="str">
        <f>IF($A490="","",(IF(ISNUMBER(SEARCH("Proposal",$A490)),SUMIFS('Timesheet Raw'!$P$4:$P$8000,'Timesheet Raw'!$A$4:$A$8000,IF(ISNUMBER(SEARCH("Chargable",$A490)),"2-Proposals Chargeable","3-Proposals Regular"),'Timesheet Raw'!$C$4:$C$8000,"*"&amp;$B490&amp;"*",'Timesheet Raw'!$L$4:$L$8000,"&gt;="&amp;MAX(X$5,DATE(2000+VALUE(RIGHT(TRIM($A490),2)),1,1)),'Timesheet Raw'!$L$4:$L$8000,"&lt;="&amp;MIN(X$6,DATE(2000+VALUE(RIGHT(TRIM($A490),2)),12,31))),SUMIFS('Timesheet Raw'!$P$4:$P$8000,'Timesheet Raw'!$B$4:$B$8000,TRIM($A490),'Timesheet Raw'!$C$4:$C$8000,"*"&amp;$B490&amp;"*",'Timesheet Raw'!$L$4:$L$8000,"&gt;="&amp;X$5,'Timesheet Raw'!$L$4:$L$8000,"&lt;="&amp;X$6)))/'Profit Plan'!$B$5)</f>
        <v/>
      </c>
      <c r="Y490" s="118">
        <f t="shared" si="103"/>
        <v>0</v>
      </c>
    </row>
    <row r="491" spans="1:25" x14ac:dyDescent="0.3">
      <c r="A491" s="116" t="str">
        <f>IF(Inputs!$A81="","",Inputs!$A81)</f>
        <v/>
      </c>
      <c r="B491" s="116" t="str">
        <f>IF(Inputs!$A81="","",Inputs!$A$92)</f>
        <v/>
      </c>
      <c r="C491" s="116"/>
      <c r="D491" s="122" t="str">
        <f>IF($A491="","",(IF(ISNUMBER(SEARCH("Proposal",$A491)),SUMIFS('Timesheet Raw'!$P$4:$P$8000,'Timesheet Raw'!$A$4:$A$8000,IF(ISNUMBER(SEARCH("Chargable",$A491)),"2-Proposals Chargeable","3-Proposals Regular"),'Timesheet Raw'!$C$4:$C$8000,"*"&amp;$B491&amp;"*",'Timesheet Raw'!$L$4:$L$8000,"&gt;="&amp;MAX(D$5,DATE(2000+VALUE(RIGHT(TRIM($A491),2)),1,1)),'Timesheet Raw'!$L$4:$L$8000,"&lt;="&amp;MIN(D$6,DATE(2000+VALUE(RIGHT(TRIM($A491),2)),12,31))),SUMIFS('Timesheet Raw'!$P$4:$P$8000,'Timesheet Raw'!$B$4:$B$8000,TRIM($A491),'Timesheet Raw'!$C$4:$C$8000,"*"&amp;$B491&amp;"*",'Timesheet Raw'!$L$4:$L$8000,"&gt;="&amp;D$5,'Timesheet Raw'!$L$4:$L$8000,"&lt;="&amp;D$6)))/'Profit Plan'!$B$5)</f>
        <v/>
      </c>
      <c r="E491" s="122" t="str">
        <f>IF($A491="","",(IF(ISNUMBER(SEARCH("Proposal",$A491)),SUMIFS('Timesheet Raw'!$P$4:$P$8000,'Timesheet Raw'!$A$4:$A$8000,IF(ISNUMBER(SEARCH("Chargable",$A491)),"2-Proposals Chargeable","3-Proposals Regular"),'Timesheet Raw'!$C$4:$C$8000,"*"&amp;$B491&amp;"*",'Timesheet Raw'!$L$4:$L$8000,"&gt;="&amp;MAX(E$5,DATE(2000+VALUE(RIGHT(TRIM($A491),2)),1,1)),'Timesheet Raw'!$L$4:$L$8000,"&lt;="&amp;MIN(E$6,DATE(2000+VALUE(RIGHT(TRIM($A491),2)),12,31))),SUMIFS('Timesheet Raw'!$P$4:$P$8000,'Timesheet Raw'!$B$4:$B$8000,TRIM($A491),'Timesheet Raw'!$C$4:$C$8000,"*"&amp;$B491&amp;"*",'Timesheet Raw'!$L$4:$L$8000,"&gt;="&amp;E$5,'Timesheet Raw'!$L$4:$L$8000,"&lt;="&amp;E$6)))/'Profit Plan'!$B$5)</f>
        <v/>
      </c>
      <c r="F491" s="122" t="str">
        <f>IF($A491="","",(IF(ISNUMBER(SEARCH("Proposal",$A491)),SUMIFS('Timesheet Raw'!$P$4:$P$8000,'Timesheet Raw'!$A$4:$A$8000,IF(ISNUMBER(SEARCH("Chargable",$A491)),"2-Proposals Chargeable","3-Proposals Regular"),'Timesheet Raw'!$C$4:$C$8000,"*"&amp;$B491&amp;"*",'Timesheet Raw'!$L$4:$L$8000,"&gt;="&amp;MAX(F$5,DATE(2000+VALUE(RIGHT(TRIM($A491),2)),1,1)),'Timesheet Raw'!$L$4:$L$8000,"&lt;="&amp;MIN(F$6,DATE(2000+VALUE(RIGHT(TRIM($A491),2)),12,31))),SUMIFS('Timesheet Raw'!$P$4:$P$8000,'Timesheet Raw'!$B$4:$B$8000,TRIM($A491),'Timesheet Raw'!$C$4:$C$8000,"*"&amp;$B491&amp;"*",'Timesheet Raw'!$L$4:$L$8000,"&gt;="&amp;F$5,'Timesheet Raw'!$L$4:$L$8000,"&lt;="&amp;F$6)))/'Profit Plan'!$B$5)</f>
        <v/>
      </c>
      <c r="G491" s="122" t="str">
        <f>IF($A491="","",(IF(ISNUMBER(SEARCH("Proposal",$A491)),SUMIFS('Timesheet Raw'!$P$4:$P$8000,'Timesheet Raw'!$A$4:$A$8000,IF(ISNUMBER(SEARCH("Chargable",$A491)),"2-Proposals Chargeable","3-Proposals Regular"),'Timesheet Raw'!$C$4:$C$8000,"*"&amp;$B491&amp;"*",'Timesheet Raw'!$L$4:$L$8000,"&gt;="&amp;MAX(G$5,DATE(2000+VALUE(RIGHT(TRIM($A491),2)),1,1)),'Timesheet Raw'!$L$4:$L$8000,"&lt;="&amp;MIN(G$6,DATE(2000+VALUE(RIGHT(TRIM($A491),2)),12,31))),SUMIFS('Timesheet Raw'!$P$4:$P$8000,'Timesheet Raw'!$B$4:$B$8000,TRIM($A491),'Timesheet Raw'!$C$4:$C$8000,"*"&amp;$B491&amp;"*",'Timesheet Raw'!$L$4:$L$8000,"&gt;="&amp;G$5,'Timesheet Raw'!$L$4:$L$8000,"&lt;="&amp;G$6)))/'Profit Plan'!$B$5)</f>
        <v/>
      </c>
      <c r="H491" s="122" t="str">
        <f>IF($A491="","",(IF(ISNUMBER(SEARCH("Proposal",$A491)),SUMIFS('Timesheet Raw'!$P$4:$P$8000,'Timesheet Raw'!$A$4:$A$8000,IF(ISNUMBER(SEARCH("Chargable",$A491)),"2-Proposals Chargeable","3-Proposals Regular"),'Timesheet Raw'!$C$4:$C$8000,"*"&amp;$B491&amp;"*",'Timesheet Raw'!$L$4:$L$8000,"&gt;="&amp;MAX(H$5,DATE(2000+VALUE(RIGHT(TRIM($A491),2)),1,1)),'Timesheet Raw'!$L$4:$L$8000,"&lt;="&amp;MIN(H$6,DATE(2000+VALUE(RIGHT(TRIM($A491),2)),12,31))),SUMIFS('Timesheet Raw'!$P$4:$P$8000,'Timesheet Raw'!$B$4:$B$8000,TRIM($A491),'Timesheet Raw'!$C$4:$C$8000,"*"&amp;$B491&amp;"*",'Timesheet Raw'!$L$4:$L$8000,"&gt;="&amp;H$5,'Timesheet Raw'!$L$4:$L$8000,"&lt;="&amp;H$6)))/'Profit Plan'!$B$5)</f>
        <v/>
      </c>
      <c r="I491" s="122" t="str">
        <f>IF($A491="","",(IF(ISNUMBER(SEARCH("Proposal",$A491)),SUMIFS('Timesheet Raw'!$P$4:$P$8000,'Timesheet Raw'!$A$4:$A$8000,IF(ISNUMBER(SEARCH("Chargable",$A491)),"2-Proposals Chargeable","3-Proposals Regular"),'Timesheet Raw'!$C$4:$C$8000,"*"&amp;$B491&amp;"*",'Timesheet Raw'!$L$4:$L$8000,"&gt;="&amp;MAX(I$5,DATE(2000+VALUE(RIGHT(TRIM($A491),2)),1,1)),'Timesheet Raw'!$L$4:$L$8000,"&lt;="&amp;MIN(I$6,DATE(2000+VALUE(RIGHT(TRIM($A491),2)),12,31))),SUMIFS('Timesheet Raw'!$P$4:$P$8000,'Timesheet Raw'!$B$4:$B$8000,TRIM($A491),'Timesheet Raw'!$C$4:$C$8000,"*"&amp;$B491&amp;"*",'Timesheet Raw'!$L$4:$L$8000,"&gt;="&amp;I$5,'Timesheet Raw'!$L$4:$L$8000,"&lt;="&amp;I$6)))/'Profit Plan'!$B$5)</f>
        <v/>
      </c>
      <c r="J491" s="122" t="str">
        <f>IF($A491="","",(IF(ISNUMBER(SEARCH("Proposal",$A491)),SUMIFS('Timesheet Raw'!$P$4:$P$8000,'Timesheet Raw'!$A$4:$A$8000,IF(ISNUMBER(SEARCH("Chargable",$A491)),"2-Proposals Chargeable","3-Proposals Regular"),'Timesheet Raw'!$C$4:$C$8000,"*"&amp;$B491&amp;"*",'Timesheet Raw'!$L$4:$L$8000,"&gt;="&amp;MAX(J$5,DATE(2000+VALUE(RIGHT(TRIM($A491),2)),1,1)),'Timesheet Raw'!$L$4:$L$8000,"&lt;="&amp;MIN(J$6,DATE(2000+VALUE(RIGHT(TRIM($A491),2)),12,31))),SUMIFS('Timesheet Raw'!$P$4:$P$8000,'Timesheet Raw'!$B$4:$B$8000,TRIM($A491),'Timesheet Raw'!$C$4:$C$8000,"*"&amp;$B491&amp;"*",'Timesheet Raw'!$L$4:$L$8000,"&gt;="&amp;J$5,'Timesheet Raw'!$L$4:$L$8000,"&lt;="&amp;J$6)))/'Profit Plan'!$B$5)</f>
        <v/>
      </c>
      <c r="K491" s="122" t="str">
        <f>IF($A491="","",(IF(ISNUMBER(SEARCH("Proposal",$A491)),SUMIFS('Timesheet Raw'!$P$4:$P$8000,'Timesheet Raw'!$A$4:$A$8000,IF(ISNUMBER(SEARCH("Chargable",$A491)),"2-Proposals Chargeable","3-Proposals Regular"),'Timesheet Raw'!$C$4:$C$8000,"*"&amp;$B491&amp;"*",'Timesheet Raw'!$L$4:$L$8000,"&gt;="&amp;MAX(K$5,DATE(2000+VALUE(RIGHT(TRIM($A491),2)),1,1)),'Timesheet Raw'!$L$4:$L$8000,"&lt;="&amp;MIN(K$6,DATE(2000+VALUE(RIGHT(TRIM($A491),2)),12,31))),SUMIFS('Timesheet Raw'!$P$4:$P$8000,'Timesheet Raw'!$B$4:$B$8000,TRIM($A491),'Timesheet Raw'!$C$4:$C$8000,"*"&amp;$B491&amp;"*",'Timesheet Raw'!$L$4:$L$8000,"&gt;="&amp;K$5,'Timesheet Raw'!$L$4:$L$8000,"&lt;="&amp;K$6)))/'Profit Plan'!$B$5)</f>
        <v/>
      </c>
      <c r="L491" s="122" t="str">
        <f>IF($A491="","",(IF(ISNUMBER(SEARCH("Proposal",$A491)),SUMIFS('Timesheet Raw'!$P$4:$P$8000,'Timesheet Raw'!$A$4:$A$8000,IF(ISNUMBER(SEARCH("Chargable",$A491)),"2-Proposals Chargeable","3-Proposals Regular"),'Timesheet Raw'!$C$4:$C$8000,"*"&amp;$B491&amp;"*",'Timesheet Raw'!$L$4:$L$8000,"&gt;="&amp;MAX(L$5,DATE(2000+VALUE(RIGHT(TRIM($A491),2)),1,1)),'Timesheet Raw'!$L$4:$L$8000,"&lt;="&amp;MIN(L$6,DATE(2000+VALUE(RIGHT(TRIM($A491),2)),12,31))),SUMIFS('Timesheet Raw'!$P$4:$P$8000,'Timesheet Raw'!$B$4:$B$8000,TRIM($A491),'Timesheet Raw'!$C$4:$C$8000,"*"&amp;$B491&amp;"*",'Timesheet Raw'!$L$4:$L$8000,"&gt;="&amp;L$5,'Timesheet Raw'!$L$4:$L$8000,"&lt;="&amp;L$6)))/'Profit Plan'!$B$5)</f>
        <v/>
      </c>
      <c r="M491" s="122" t="str">
        <f>IF($A491="","",(IF(ISNUMBER(SEARCH("Proposal",$A491)),SUMIFS('Timesheet Raw'!$P$4:$P$8000,'Timesheet Raw'!$A$4:$A$8000,IF(ISNUMBER(SEARCH("Chargable",$A491)),"2-Proposals Chargeable","3-Proposals Regular"),'Timesheet Raw'!$C$4:$C$8000,"*"&amp;$B491&amp;"*",'Timesheet Raw'!$L$4:$L$8000,"&gt;="&amp;MAX(M$5,DATE(2000+VALUE(RIGHT(TRIM($A491),2)),1,1)),'Timesheet Raw'!$L$4:$L$8000,"&lt;="&amp;MIN(M$6,DATE(2000+VALUE(RIGHT(TRIM($A491),2)),12,31))),SUMIFS('Timesheet Raw'!$P$4:$P$8000,'Timesheet Raw'!$B$4:$B$8000,TRIM($A491),'Timesheet Raw'!$C$4:$C$8000,"*"&amp;$B491&amp;"*",'Timesheet Raw'!$L$4:$L$8000,"&gt;="&amp;M$5,'Timesheet Raw'!$L$4:$L$8000,"&lt;="&amp;M$6)))/'Profit Plan'!$B$5)</f>
        <v/>
      </c>
      <c r="N491" s="122" t="str">
        <f>IF($A491="","",(IF(ISNUMBER(SEARCH("Proposal",$A491)),SUMIFS('Timesheet Raw'!$P$4:$P$8000,'Timesheet Raw'!$A$4:$A$8000,IF(ISNUMBER(SEARCH("Chargable",$A491)),"2-Proposals Chargeable","3-Proposals Regular"),'Timesheet Raw'!$C$4:$C$8000,"*"&amp;$B491&amp;"*",'Timesheet Raw'!$L$4:$L$8000,"&gt;="&amp;MAX(N$5,DATE(2000+VALUE(RIGHT(TRIM($A491),2)),1,1)),'Timesheet Raw'!$L$4:$L$8000,"&lt;="&amp;MIN(N$6,DATE(2000+VALUE(RIGHT(TRIM($A491),2)),12,31))),SUMIFS('Timesheet Raw'!$P$4:$P$8000,'Timesheet Raw'!$B$4:$B$8000,TRIM($A491),'Timesheet Raw'!$C$4:$C$8000,"*"&amp;$B491&amp;"*",'Timesheet Raw'!$L$4:$L$8000,"&gt;="&amp;N$5,'Timesheet Raw'!$L$4:$L$8000,"&lt;="&amp;N$6)))/'Profit Plan'!$B$5)</f>
        <v/>
      </c>
      <c r="O491" s="122" t="str">
        <f>IF($A491="","",(IF(ISNUMBER(SEARCH("Proposal",$A491)),SUMIFS('Timesheet Raw'!$P$4:$P$8000,'Timesheet Raw'!$A$4:$A$8000,IF(ISNUMBER(SEARCH("Chargable",$A491)),"2-Proposals Chargeable","3-Proposals Regular"),'Timesheet Raw'!$C$4:$C$8000,"*"&amp;$B491&amp;"*",'Timesheet Raw'!$L$4:$L$8000,"&gt;="&amp;MAX(O$5,DATE(2000+VALUE(RIGHT(TRIM($A491),2)),1,1)),'Timesheet Raw'!$L$4:$L$8000,"&lt;="&amp;MIN(O$6,DATE(2000+VALUE(RIGHT(TRIM($A491),2)),12,31))),SUMIFS('Timesheet Raw'!$P$4:$P$8000,'Timesheet Raw'!$B$4:$B$8000,TRIM($A491),'Timesheet Raw'!$C$4:$C$8000,"*"&amp;$B491&amp;"*",'Timesheet Raw'!$L$4:$L$8000,"&gt;="&amp;O$5,'Timesheet Raw'!$L$4:$L$8000,"&lt;="&amp;O$6)))/'Profit Plan'!$B$5)</f>
        <v/>
      </c>
      <c r="P491" s="122" t="str">
        <f>IF($A491="","",(IF(ISNUMBER(SEARCH("Proposal",$A491)),SUMIFS('Timesheet Raw'!$P$4:$P$8000,'Timesheet Raw'!$A$4:$A$8000,IF(ISNUMBER(SEARCH("Chargable",$A491)),"2-Proposals Chargeable","3-Proposals Regular"),'Timesheet Raw'!$C$4:$C$8000,"*"&amp;$B491&amp;"*",'Timesheet Raw'!$L$4:$L$8000,"&gt;="&amp;MAX(P$5,DATE(2000+VALUE(RIGHT(TRIM($A491),2)),1,1)),'Timesheet Raw'!$L$4:$L$8000,"&lt;="&amp;MIN(P$6,DATE(2000+VALUE(RIGHT(TRIM($A491),2)),12,31))),SUMIFS('Timesheet Raw'!$P$4:$P$8000,'Timesheet Raw'!$B$4:$B$8000,TRIM($A491),'Timesheet Raw'!$C$4:$C$8000,"*"&amp;$B491&amp;"*",'Timesheet Raw'!$L$4:$L$8000,"&gt;="&amp;P$5,'Timesheet Raw'!$L$4:$L$8000,"&lt;="&amp;P$6)))/'Profit Plan'!$B$5)</f>
        <v/>
      </c>
      <c r="Q491" s="122" t="str">
        <f>IF($A491="","",(IF(ISNUMBER(SEARCH("Proposal",$A491)),SUMIFS('Timesheet Raw'!$P$4:$P$8000,'Timesheet Raw'!$A$4:$A$8000,IF(ISNUMBER(SEARCH("Chargable",$A491)),"2-Proposals Chargeable","3-Proposals Regular"),'Timesheet Raw'!$C$4:$C$8000,"*"&amp;$B491&amp;"*",'Timesheet Raw'!$L$4:$L$8000,"&gt;="&amp;MAX(Q$5,DATE(2000+VALUE(RIGHT(TRIM($A491),2)),1,1)),'Timesheet Raw'!$L$4:$L$8000,"&lt;="&amp;MIN(Q$6,DATE(2000+VALUE(RIGHT(TRIM($A491),2)),12,31))),SUMIFS('Timesheet Raw'!$P$4:$P$8000,'Timesheet Raw'!$B$4:$B$8000,TRIM($A491),'Timesheet Raw'!$C$4:$C$8000,"*"&amp;$B491&amp;"*",'Timesheet Raw'!$L$4:$L$8000,"&gt;="&amp;Q$5,'Timesheet Raw'!$L$4:$L$8000,"&lt;="&amp;Q$6)))/'Profit Plan'!$B$5)</f>
        <v/>
      </c>
      <c r="R491" s="122" t="str">
        <f>IF($A491="","",(IF(ISNUMBER(SEARCH("Proposal",$A491)),SUMIFS('Timesheet Raw'!$P$4:$P$8000,'Timesheet Raw'!$A$4:$A$8000,IF(ISNUMBER(SEARCH("Chargable",$A491)),"2-Proposals Chargeable","3-Proposals Regular"),'Timesheet Raw'!$C$4:$C$8000,"*"&amp;$B491&amp;"*",'Timesheet Raw'!$L$4:$L$8000,"&gt;="&amp;MAX(R$5,DATE(2000+VALUE(RIGHT(TRIM($A491),2)),1,1)),'Timesheet Raw'!$L$4:$L$8000,"&lt;="&amp;MIN(R$6,DATE(2000+VALUE(RIGHT(TRIM($A491),2)),12,31))),SUMIFS('Timesheet Raw'!$P$4:$P$8000,'Timesheet Raw'!$B$4:$B$8000,TRIM($A491),'Timesheet Raw'!$C$4:$C$8000,"*"&amp;$B491&amp;"*",'Timesheet Raw'!$L$4:$L$8000,"&gt;="&amp;R$5,'Timesheet Raw'!$L$4:$L$8000,"&lt;="&amp;R$6)))/'Profit Plan'!$B$5)</f>
        <v/>
      </c>
      <c r="S491" s="122" t="str">
        <f>IF($A491="","",(IF(ISNUMBER(SEARCH("Proposal",$A491)),SUMIFS('Timesheet Raw'!$P$4:$P$8000,'Timesheet Raw'!$A$4:$A$8000,IF(ISNUMBER(SEARCH("Chargable",$A491)),"2-Proposals Chargeable","3-Proposals Regular"),'Timesheet Raw'!$C$4:$C$8000,"*"&amp;$B491&amp;"*",'Timesheet Raw'!$L$4:$L$8000,"&gt;="&amp;MAX(S$5,DATE(2000+VALUE(RIGHT(TRIM($A491),2)),1,1)),'Timesheet Raw'!$L$4:$L$8000,"&lt;="&amp;MIN(S$6,DATE(2000+VALUE(RIGHT(TRIM($A491),2)),12,31))),SUMIFS('Timesheet Raw'!$P$4:$P$8000,'Timesheet Raw'!$B$4:$B$8000,TRIM($A491),'Timesheet Raw'!$C$4:$C$8000,"*"&amp;$B491&amp;"*",'Timesheet Raw'!$L$4:$L$8000,"&gt;="&amp;S$5,'Timesheet Raw'!$L$4:$L$8000,"&lt;="&amp;S$6)))/'Profit Plan'!$B$5)</f>
        <v/>
      </c>
      <c r="T491" s="122" t="str">
        <f>IF($A491="","",(IF(ISNUMBER(SEARCH("Proposal",$A491)),SUMIFS('Timesheet Raw'!$P$4:$P$8000,'Timesheet Raw'!$A$4:$A$8000,IF(ISNUMBER(SEARCH("Chargable",$A491)),"2-Proposals Chargeable","3-Proposals Regular"),'Timesheet Raw'!$C$4:$C$8000,"*"&amp;$B491&amp;"*",'Timesheet Raw'!$L$4:$L$8000,"&gt;="&amp;MAX(T$5,DATE(2000+VALUE(RIGHT(TRIM($A491),2)),1,1)),'Timesheet Raw'!$L$4:$L$8000,"&lt;="&amp;MIN(T$6,DATE(2000+VALUE(RIGHT(TRIM($A491),2)),12,31))),SUMIFS('Timesheet Raw'!$P$4:$P$8000,'Timesheet Raw'!$B$4:$B$8000,TRIM($A491),'Timesheet Raw'!$C$4:$C$8000,"*"&amp;$B491&amp;"*",'Timesheet Raw'!$L$4:$L$8000,"&gt;="&amp;T$5,'Timesheet Raw'!$L$4:$L$8000,"&lt;="&amp;T$6)))/'Profit Plan'!$B$5)</f>
        <v/>
      </c>
      <c r="U491" s="122" t="str">
        <f>IF($A491="","",(IF(ISNUMBER(SEARCH("Proposal",$A491)),SUMIFS('Timesheet Raw'!$P$4:$P$8000,'Timesheet Raw'!$A$4:$A$8000,IF(ISNUMBER(SEARCH("Chargable",$A491)),"2-Proposals Chargeable","3-Proposals Regular"),'Timesheet Raw'!$C$4:$C$8000,"*"&amp;$B491&amp;"*",'Timesheet Raw'!$L$4:$L$8000,"&gt;="&amp;MAX(U$5,DATE(2000+VALUE(RIGHT(TRIM($A491),2)),1,1)),'Timesheet Raw'!$L$4:$L$8000,"&lt;="&amp;MIN(U$6,DATE(2000+VALUE(RIGHT(TRIM($A491),2)),12,31))),SUMIFS('Timesheet Raw'!$P$4:$P$8000,'Timesheet Raw'!$B$4:$B$8000,TRIM($A491),'Timesheet Raw'!$C$4:$C$8000,"*"&amp;$B491&amp;"*",'Timesheet Raw'!$L$4:$L$8000,"&gt;="&amp;U$5,'Timesheet Raw'!$L$4:$L$8000,"&lt;="&amp;U$6)))/'Profit Plan'!$B$5)</f>
        <v/>
      </c>
      <c r="V491" s="122" t="str">
        <f>IF($A491="","",(IF(ISNUMBER(SEARCH("Proposal",$A491)),SUMIFS('Timesheet Raw'!$P$4:$P$8000,'Timesheet Raw'!$A$4:$A$8000,IF(ISNUMBER(SEARCH("Chargable",$A491)),"2-Proposals Chargeable","3-Proposals Regular"),'Timesheet Raw'!$C$4:$C$8000,"*"&amp;$B491&amp;"*",'Timesheet Raw'!$L$4:$L$8000,"&gt;="&amp;MAX(V$5,DATE(2000+VALUE(RIGHT(TRIM($A491),2)),1,1)),'Timesheet Raw'!$L$4:$L$8000,"&lt;="&amp;MIN(V$6,DATE(2000+VALUE(RIGHT(TRIM($A491),2)),12,31))),SUMIFS('Timesheet Raw'!$P$4:$P$8000,'Timesheet Raw'!$B$4:$B$8000,TRIM($A491),'Timesheet Raw'!$C$4:$C$8000,"*"&amp;$B491&amp;"*",'Timesheet Raw'!$L$4:$L$8000,"&gt;="&amp;V$5,'Timesheet Raw'!$L$4:$L$8000,"&lt;="&amp;V$6)))/'Profit Plan'!$B$5)</f>
        <v/>
      </c>
      <c r="W491" s="122" t="str">
        <f>IF($A491="","",(IF(ISNUMBER(SEARCH("Proposal",$A491)),SUMIFS('Timesheet Raw'!$P$4:$P$8000,'Timesheet Raw'!$A$4:$A$8000,IF(ISNUMBER(SEARCH("Chargable",$A491)),"2-Proposals Chargeable","3-Proposals Regular"),'Timesheet Raw'!$C$4:$C$8000,"*"&amp;$B491&amp;"*",'Timesheet Raw'!$L$4:$L$8000,"&gt;="&amp;MAX(W$5,DATE(2000+VALUE(RIGHT(TRIM($A491),2)),1,1)),'Timesheet Raw'!$L$4:$L$8000,"&lt;="&amp;MIN(W$6,DATE(2000+VALUE(RIGHT(TRIM($A491),2)),12,31))),SUMIFS('Timesheet Raw'!$P$4:$P$8000,'Timesheet Raw'!$B$4:$B$8000,TRIM($A491),'Timesheet Raw'!$C$4:$C$8000,"*"&amp;$B491&amp;"*",'Timesheet Raw'!$L$4:$L$8000,"&gt;="&amp;W$5,'Timesheet Raw'!$L$4:$L$8000,"&lt;="&amp;W$6)))/'Profit Plan'!$B$5)</f>
        <v/>
      </c>
      <c r="X491" s="122" t="str">
        <f>IF($A491="","",(IF(ISNUMBER(SEARCH("Proposal",$A491)),SUMIFS('Timesheet Raw'!$P$4:$P$8000,'Timesheet Raw'!$A$4:$A$8000,IF(ISNUMBER(SEARCH("Chargable",$A491)),"2-Proposals Chargeable","3-Proposals Regular"),'Timesheet Raw'!$C$4:$C$8000,"*"&amp;$B491&amp;"*",'Timesheet Raw'!$L$4:$L$8000,"&gt;="&amp;MAX(X$5,DATE(2000+VALUE(RIGHT(TRIM($A491),2)),1,1)),'Timesheet Raw'!$L$4:$L$8000,"&lt;="&amp;MIN(X$6,DATE(2000+VALUE(RIGHT(TRIM($A491),2)),12,31))),SUMIFS('Timesheet Raw'!$P$4:$P$8000,'Timesheet Raw'!$B$4:$B$8000,TRIM($A491),'Timesheet Raw'!$C$4:$C$8000,"*"&amp;$B491&amp;"*",'Timesheet Raw'!$L$4:$L$8000,"&gt;="&amp;X$5,'Timesheet Raw'!$L$4:$L$8000,"&lt;="&amp;X$6)))/'Profit Plan'!$B$5)</f>
        <v/>
      </c>
      <c r="Y491" s="118">
        <f t="shared" si="103"/>
        <v>0</v>
      </c>
    </row>
    <row r="492" spans="1:25" x14ac:dyDescent="0.3">
      <c r="A492" s="116" t="str">
        <f>IF(Inputs!$A81="","",Inputs!$A81)</f>
        <v/>
      </c>
      <c r="B492" s="116" t="str">
        <f>IF(Inputs!$A81="","",Inputs!$A$93)</f>
        <v/>
      </c>
      <c r="C492" s="116"/>
      <c r="D492" s="122" t="str">
        <f>IF($A492="","",(IF(ISNUMBER(SEARCH("Proposal",$A492)),SUMIFS('Timesheet Raw'!$P$4:$P$8000,'Timesheet Raw'!$A$4:$A$8000,IF(ISNUMBER(SEARCH("Chargable",$A492)),"2-Proposals Chargeable","3-Proposals Regular"),'Timesheet Raw'!$C$4:$C$8000,"*"&amp;$B492&amp;"*",'Timesheet Raw'!$L$4:$L$8000,"&gt;="&amp;MAX(D$5,DATE(2000+VALUE(RIGHT(TRIM($A492),2)),1,1)),'Timesheet Raw'!$L$4:$L$8000,"&lt;="&amp;MIN(D$6,DATE(2000+VALUE(RIGHT(TRIM($A492),2)),12,31))),SUMIFS('Timesheet Raw'!$P$4:$P$8000,'Timesheet Raw'!$B$4:$B$8000,TRIM($A492),'Timesheet Raw'!$C$4:$C$8000,"*"&amp;$B492&amp;"*",'Timesheet Raw'!$L$4:$L$8000,"&gt;="&amp;D$5,'Timesheet Raw'!$L$4:$L$8000,"&lt;="&amp;D$6)))/'Profit Plan'!$B$5)</f>
        <v/>
      </c>
      <c r="E492" s="122" t="str">
        <f>IF($A492="","",(IF(ISNUMBER(SEARCH("Proposal",$A492)),SUMIFS('Timesheet Raw'!$P$4:$P$8000,'Timesheet Raw'!$A$4:$A$8000,IF(ISNUMBER(SEARCH("Chargable",$A492)),"2-Proposals Chargeable","3-Proposals Regular"),'Timesheet Raw'!$C$4:$C$8000,"*"&amp;$B492&amp;"*",'Timesheet Raw'!$L$4:$L$8000,"&gt;="&amp;MAX(E$5,DATE(2000+VALUE(RIGHT(TRIM($A492),2)),1,1)),'Timesheet Raw'!$L$4:$L$8000,"&lt;="&amp;MIN(E$6,DATE(2000+VALUE(RIGHT(TRIM($A492),2)),12,31))),SUMIFS('Timesheet Raw'!$P$4:$P$8000,'Timesheet Raw'!$B$4:$B$8000,TRIM($A492),'Timesheet Raw'!$C$4:$C$8000,"*"&amp;$B492&amp;"*",'Timesheet Raw'!$L$4:$L$8000,"&gt;="&amp;E$5,'Timesheet Raw'!$L$4:$L$8000,"&lt;="&amp;E$6)))/'Profit Plan'!$B$5)</f>
        <v/>
      </c>
      <c r="F492" s="122" t="str">
        <f>IF($A492="","",(IF(ISNUMBER(SEARCH("Proposal",$A492)),SUMIFS('Timesheet Raw'!$P$4:$P$8000,'Timesheet Raw'!$A$4:$A$8000,IF(ISNUMBER(SEARCH("Chargable",$A492)),"2-Proposals Chargeable","3-Proposals Regular"),'Timesheet Raw'!$C$4:$C$8000,"*"&amp;$B492&amp;"*",'Timesheet Raw'!$L$4:$L$8000,"&gt;="&amp;MAX(F$5,DATE(2000+VALUE(RIGHT(TRIM($A492),2)),1,1)),'Timesheet Raw'!$L$4:$L$8000,"&lt;="&amp;MIN(F$6,DATE(2000+VALUE(RIGHT(TRIM($A492),2)),12,31))),SUMIFS('Timesheet Raw'!$P$4:$P$8000,'Timesheet Raw'!$B$4:$B$8000,TRIM($A492),'Timesheet Raw'!$C$4:$C$8000,"*"&amp;$B492&amp;"*",'Timesheet Raw'!$L$4:$L$8000,"&gt;="&amp;F$5,'Timesheet Raw'!$L$4:$L$8000,"&lt;="&amp;F$6)))/'Profit Plan'!$B$5)</f>
        <v/>
      </c>
      <c r="G492" s="122" t="str">
        <f>IF($A492="","",(IF(ISNUMBER(SEARCH("Proposal",$A492)),SUMIFS('Timesheet Raw'!$P$4:$P$8000,'Timesheet Raw'!$A$4:$A$8000,IF(ISNUMBER(SEARCH("Chargable",$A492)),"2-Proposals Chargeable","3-Proposals Regular"),'Timesheet Raw'!$C$4:$C$8000,"*"&amp;$B492&amp;"*",'Timesheet Raw'!$L$4:$L$8000,"&gt;="&amp;MAX(G$5,DATE(2000+VALUE(RIGHT(TRIM($A492),2)),1,1)),'Timesheet Raw'!$L$4:$L$8000,"&lt;="&amp;MIN(G$6,DATE(2000+VALUE(RIGHT(TRIM($A492),2)),12,31))),SUMIFS('Timesheet Raw'!$P$4:$P$8000,'Timesheet Raw'!$B$4:$B$8000,TRIM($A492),'Timesheet Raw'!$C$4:$C$8000,"*"&amp;$B492&amp;"*",'Timesheet Raw'!$L$4:$L$8000,"&gt;="&amp;G$5,'Timesheet Raw'!$L$4:$L$8000,"&lt;="&amp;G$6)))/'Profit Plan'!$B$5)</f>
        <v/>
      </c>
      <c r="H492" s="122" t="str">
        <f>IF($A492="","",(IF(ISNUMBER(SEARCH("Proposal",$A492)),SUMIFS('Timesheet Raw'!$P$4:$P$8000,'Timesheet Raw'!$A$4:$A$8000,IF(ISNUMBER(SEARCH("Chargable",$A492)),"2-Proposals Chargeable","3-Proposals Regular"),'Timesheet Raw'!$C$4:$C$8000,"*"&amp;$B492&amp;"*",'Timesheet Raw'!$L$4:$L$8000,"&gt;="&amp;MAX(H$5,DATE(2000+VALUE(RIGHT(TRIM($A492),2)),1,1)),'Timesheet Raw'!$L$4:$L$8000,"&lt;="&amp;MIN(H$6,DATE(2000+VALUE(RIGHT(TRIM($A492),2)),12,31))),SUMIFS('Timesheet Raw'!$P$4:$P$8000,'Timesheet Raw'!$B$4:$B$8000,TRIM($A492),'Timesheet Raw'!$C$4:$C$8000,"*"&amp;$B492&amp;"*",'Timesheet Raw'!$L$4:$L$8000,"&gt;="&amp;H$5,'Timesheet Raw'!$L$4:$L$8000,"&lt;="&amp;H$6)))/'Profit Plan'!$B$5)</f>
        <v/>
      </c>
      <c r="I492" s="122" t="str">
        <f>IF($A492="","",(IF(ISNUMBER(SEARCH("Proposal",$A492)),SUMIFS('Timesheet Raw'!$P$4:$P$8000,'Timesheet Raw'!$A$4:$A$8000,IF(ISNUMBER(SEARCH("Chargable",$A492)),"2-Proposals Chargeable","3-Proposals Regular"),'Timesheet Raw'!$C$4:$C$8000,"*"&amp;$B492&amp;"*",'Timesheet Raw'!$L$4:$L$8000,"&gt;="&amp;MAX(I$5,DATE(2000+VALUE(RIGHT(TRIM($A492),2)),1,1)),'Timesheet Raw'!$L$4:$L$8000,"&lt;="&amp;MIN(I$6,DATE(2000+VALUE(RIGHT(TRIM($A492),2)),12,31))),SUMIFS('Timesheet Raw'!$P$4:$P$8000,'Timesheet Raw'!$B$4:$B$8000,TRIM($A492),'Timesheet Raw'!$C$4:$C$8000,"*"&amp;$B492&amp;"*",'Timesheet Raw'!$L$4:$L$8000,"&gt;="&amp;I$5,'Timesheet Raw'!$L$4:$L$8000,"&lt;="&amp;I$6)))/'Profit Plan'!$B$5)</f>
        <v/>
      </c>
      <c r="J492" s="122" t="str">
        <f>IF($A492="","",(IF(ISNUMBER(SEARCH("Proposal",$A492)),SUMIFS('Timesheet Raw'!$P$4:$P$8000,'Timesheet Raw'!$A$4:$A$8000,IF(ISNUMBER(SEARCH("Chargable",$A492)),"2-Proposals Chargeable","3-Proposals Regular"),'Timesheet Raw'!$C$4:$C$8000,"*"&amp;$B492&amp;"*",'Timesheet Raw'!$L$4:$L$8000,"&gt;="&amp;MAX(J$5,DATE(2000+VALUE(RIGHT(TRIM($A492),2)),1,1)),'Timesheet Raw'!$L$4:$L$8000,"&lt;="&amp;MIN(J$6,DATE(2000+VALUE(RIGHT(TRIM($A492),2)),12,31))),SUMIFS('Timesheet Raw'!$P$4:$P$8000,'Timesheet Raw'!$B$4:$B$8000,TRIM($A492),'Timesheet Raw'!$C$4:$C$8000,"*"&amp;$B492&amp;"*",'Timesheet Raw'!$L$4:$L$8000,"&gt;="&amp;J$5,'Timesheet Raw'!$L$4:$L$8000,"&lt;="&amp;J$6)))/'Profit Plan'!$B$5)</f>
        <v/>
      </c>
      <c r="K492" s="122" t="str">
        <f>IF($A492="","",(IF(ISNUMBER(SEARCH("Proposal",$A492)),SUMIFS('Timesheet Raw'!$P$4:$P$8000,'Timesheet Raw'!$A$4:$A$8000,IF(ISNUMBER(SEARCH("Chargable",$A492)),"2-Proposals Chargeable","3-Proposals Regular"),'Timesheet Raw'!$C$4:$C$8000,"*"&amp;$B492&amp;"*",'Timesheet Raw'!$L$4:$L$8000,"&gt;="&amp;MAX(K$5,DATE(2000+VALUE(RIGHT(TRIM($A492),2)),1,1)),'Timesheet Raw'!$L$4:$L$8000,"&lt;="&amp;MIN(K$6,DATE(2000+VALUE(RIGHT(TRIM($A492),2)),12,31))),SUMIFS('Timesheet Raw'!$P$4:$P$8000,'Timesheet Raw'!$B$4:$B$8000,TRIM($A492),'Timesheet Raw'!$C$4:$C$8000,"*"&amp;$B492&amp;"*",'Timesheet Raw'!$L$4:$L$8000,"&gt;="&amp;K$5,'Timesheet Raw'!$L$4:$L$8000,"&lt;="&amp;K$6)))/'Profit Plan'!$B$5)</f>
        <v/>
      </c>
      <c r="L492" s="122" t="str">
        <f>IF($A492="","",(IF(ISNUMBER(SEARCH("Proposal",$A492)),SUMIFS('Timesheet Raw'!$P$4:$P$8000,'Timesheet Raw'!$A$4:$A$8000,IF(ISNUMBER(SEARCH("Chargable",$A492)),"2-Proposals Chargeable","3-Proposals Regular"),'Timesheet Raw'!$C$4:$C$8000,"*"&amp;$B492&amp;"*",'Timesheet Raw'!$L$4:$L$8000,"&gt;="&amp;MAX(L$5,DATE(2000+VALUE(RIGHT(TRIM($A492),2)),1,1)),'Timesheet Raw'!$L$4:$L$8000,"&lt;="&amp;MIN(L$6,DATE(2000+VALUE(RIGHT(TRIM($A492),2)),12,31))),SUMIFS('Timesheet Raw'!$P$4:$P$8000,'Timesheet Raw'!$B$4:$B$8000,TRIM($A492),'Timesheet Raw'!$C$4:$C$8000,"*"&amp;$B492&amp;"*",'Timesheet Raw'!$L$4:$L$8000,"&gt;="&amp;L$5,'Timesheet Raw'!$L$4:$L$8000,"&lt;="&amp;L$6)))/'Profit Plan'!$B$5)</f>
        <v/>
      </c>
      <c r="M492" s="122" t="str">
        <f>IF($A492="","",(IF(ISNUMBER(SEARCH("Proposal",$A492)),SUMIFS('Timesheet Raw'!$P$4:$P$8000,'Timesheet Raw'!$A$4:$A$8000,IF(ISNUMBER(SEARCH("Chargable",$A492)),"2-Proposals Chargeable","3-Proposals Regular"),'Timesheet Raw'!$C$4:$C$8000,"*"&amp;$B492&amp;"*",'Timesheet Raw'!$L$4:$L$8000,"&gt;="&amp;MAX(M$5,DATE(2000+VALUE(RIGHT(TRIM($A492),2)),1,1)),'Timesheet Raw'!$L$4:$L$8000,"&lt;="&amp;MIN(M$6,DATE(2000+VALUE(RIGHT(TRIM($A492),2)),12,31))),SUMIFS('Timesheet Raw'!$P$4:$P$8000,'Timesheet Raw'!$B$4:$B$8000,TRIM($A492),'Timesheet Raw'!$C$4:$C$8000,"*"&amp;$B492&amp;"*",'Timesheet Raw'!$L$4:$L$8000,"&gt;="&amp;M$5,'Timesheet Raw'!$L$4:$L$8000,"&lt;="&amp;M$6)))/'Profit Plan'!$B$5)</f>
        <v/>
      </c>
      <c r="N492" s="122" t="str">
        <f>IF($A492="","",(IF(ISNUMBER(SEARCH("Proposal",$A492)),SUMIFS('Timesheet Raw'!$P$4:$P$8000,'Timesheet Raw'!$A$4:$A$8000,IF(ISNUMBER(SEARCH("Chargable",$A492)),"2-Proposals Chargeable","3-Proposals Regular"),'Timesheet Raw'!$C$4:$C$8000,"*"&amp;$B492&amp;"*",'Timesheet Raw'!$L$4:$L$8000,"&gt;="&amp;MAX(N$5,DATE(2000+VALUE(RIGHT(TRIM($A492),2)),1,1)),'Timesheet Raw'!$L$4:$L$8000,"&lt;="&amp;MIN(N$6,DATE(2000+VALUE(RIGHT(TRIM($A492),2)),12,31))),SUMIFS('Timesheet Raw'!$P$4:$P$8000,'Timesheet Raw'!$B$4:$B$8000,TRIM($A492),'Timesheet Raw'!$C$4:$C$8000,"*"&amp;$B492&amp;"*",'Timesheet Raw'!$L$4:$L$8000,"&gt;="&amp;N$5,'Timesheet Raw'!$L$4:$L$8000,"&lt;="&amp;N$6)))/'Profit Plan'!$B$5)</f>
        <v/>
      </c>
      <c r="O492" s="122" t="str">
        <f>IF($A492="","",(IF(ISNUMBER(SEARCH("Proposal",$A492)),SUMIFS('Timesheet Raw'!$P$4:$P$8000,'Timesheet Raw'!$A$4:$A$8000,IF(ISNUMBER(SEARCH("Chargable",$A492)),"2-Proposals Chargeable","3-Proposals Regular"),'Timesheet Raw'!$C$4:$C$8000,"*"&amp;$B492&amp;"*",'Timesheet Raw'!$L$4:$L$8000,"&gt;="&amp;MAX(O$5,DATE(2000+VALUE(RIGHT(TRIM($A492),2)),1,1)),'Timesheet Raw'!$L$4:$L$8000,"&lt;="&amp;MIN(O$6,DATE(2000+VALUE(RIGHT(TRIM($A492),2)),12,31))),SUMIFS('Timesheet Raw'!$P$4:$P$8000,'Timesheet Raw'!$B$4:$B$8000,TRIM($A492),'Timesheet Raw'!$C$4:$C$8000,"*"&amp;$B492&amp;"*",'Timesheet Raw'!$L$4:$L$8000,"&gt;="&amp;O$5,'Timesheet Raw'!$L$4:$L$8000,"&lt;="&amp;O$6)))/'Profit Plan'!$B$5)</f>
        <v/>
      </c>
      <c r="P492" s="122" t="str">
        <f>IF($A492="","",(IF(ISNUMBER(SEARCH("Proposal",$A492)),SUMIFS('Timesheet Raw'!$P$4:$P$8000,'Timesheet Raw'!$A$4:$A$8000,IF(ISNUMBER(SEARCH("Chargable",$A492)),"2-Proposals Chargeable","3-Proposals Regular"),'Timesheet Raw'!$C$4:$C$8000,"*"&amp;$B492&amp;"*",'Timesheet Raw'!$L$4:$L$8000,"&gt;="&amp;MAX(P$5,DATE(2000+VALUE(RIGHT(TRIM($A492),2)),1,1)),'Timesheet Raw'!$L$4:$L$8000,"&lt;="&amp;MIN(P$6,DATE(2000+VALUE(RIGHT(TRIM($A492),2)),12,31))),SUMIFS('Timesheet Raw'!$P$4:$P$8000,'Timesheet Raw'!$B$4:$B$8000,TRIM($A492),'Timesheet Raw'!$C$4:$C$8000,"*"&amp;$B492&amp;"*",'Timesheet Raw'!$L$4:$L$8000,"&gt;="&amp;P$5,'Timesheet Raw'!$L$4:$L$8000,"&lt;="&amp;P$6)))/'Profit Plan'!$B$5)</f>
        <v/>
      </c>
      <c r="Q492" s="122" t="str">
        <f>IF($A492="","",(IF(ISNUMBER(SEARCH("Proposal",$A492)),SUMIFS('Timesheet Raw'!$P$4:$P$8000,'Timesheet Raw'!$A$4:$A$8000,IF(ISNUMBER(SEARCH("Chargable",$A492)),"2-Proposals Chargeable","3-Proposals Regular"),'Timesheet Raw'!$C$4:$C$8000,"*"&amp;$B492&amp;"*",'Timesheet Raw'!$L$4:$L$8000,"&gt;="&amp;MAX(Q$5,DATE(2000+VALUE(RIGHT(TRIM($A492),2)),1,1)),'Timesheet Raw'!$L$4:$L$8000,"&lt;="&amp;MIN(Q$6,DATE(2000+VALUE(RIGHT(TRIM($A492),2)),12,31))),SUMIFS('Timesheet Raw'!$P$4:$P$8000,'Timesheet Raw'!$B$4:$B$8000,TRIM($A492),'Timesheet Raw'!$C$4:$C$8000,"*"&amp;$B492&amp;"*",'Timesheet Raw'!$L$4:$L$8000,"&gt;="&amp;Q$5,'Timesheet Raw'!$L$4:$L$8000,"&lt;="&amp;Q$6)))/'Profit Plan'!$B$5)</f>
        <v/>
      </c>
      <c r="R492" s="122" t="str">
        <f>IF($A492="","",(IF(ISNUMBER(SEARCH("Proposal",$A492)),SUMIFS('Timesheet Raw'!$P$4:$P$8000,'Timesheet Raw'!$A$4:$A$8000,IF(ISNUMBER(SEARCH("Chargable",$A492)),"2-Proposals Chargeable","3-Proposals Regular"),'Timesheet Raw'!$C$4:$C$8000,"*"&amp;$B492&amp;"*",'Timesheet Raw'!$L$4:$L$8000,"&gt;="&amp;MAX(R$5,DATE(2000+VALUE(RIGHT(TRIM($A492),2)),1,1)),'Timesheet Raw'!$L$4:$L$8000,"&lt;="&amp;MIN(R$6,DATE(2000+VALUE(RIGHT(TRIM($A492),2)),12,31))),SUMIFS('Timesheet Raw'!$P$4:$P$8000,'Timesheet Raw'!$B$4:$B$8000,TRIM($A492),'Timesheet Raw'!$C$4:$C$8000,"*"&amp;$B492&amp;"*",'Timesheet Raw'!$L$4:$L$8000,"&gt;="&amp;R$5,'Timesheet Raw'!$L$4:$L$8000,"&lt;="&amp;R$6)))/'Profit Plan'!$B$5)</f>
        <v/>
      </c>
      <c r="S492" s="122" t="str">
        <f>IF($A492="","",(IF(ISNUMBER(SEARCH("Proposal",$A492)),SUMIFS('Timesheet Raw'!$P$4:$P$8000,'Timesheet Raw'!$A$4:$A$8000,IF(ISNUMBER(SEARCH("Chargable",$A492)),"2-Proposals Chargeable","3-Proposals Regular"),'Timesheet Raw'!$C$4:$C$8000,"*"&amp;$B492&amp;"*",'Timesheet Raw'!$L$4:$L$8000,"&gt;="&amp;MAX(S$5,DATE(2000+VALUE(RIGHT(TRIM($A492),2)),1,1)),'Timesheet Raw'!$L$4:$L$8000,"&lt;="&amp;MIN(S$6,DATE(2000+VALUE(RIGHT(TRIM($A492),2)),12,31))),SUMIFS('Timesheet Raw'!$P$4:$P$8000,'Timesheet Raw'!$B$4:$B$8000,TRIM($A492),'Timesheet Raw'!$C$4:$C$8000,"*"&amp;$B492&amp;"*",'Timesheet Raw'!$L$4:$L$8000,"&gt;="&amp;S$5,'Timesheet Raw'!$L$4:$L$8000,"&lt;="&amp;S$6)))/'Profit Plan'!$B$5)</f>
        <v/>
      </c>
      <c r="T492" s="122" t="str">
        <f>IF($A492="","",(IF(ISNUMBER(SEARCH("Proposal",$A492)),SUMIFS('Timesheet Raw'!$P$4:$P$8000,'Timesheet Raw'!$A$4:$A$8000,IF(ISNUMBER(SEARCH("Chargable",$A492)),"2-Proposals Chargeable","3-Proposals Regular"),'Timesheet Raw'!$C$4:$C$8000,"*"&amp;$B492&amp;"*",'Timesheet Raw'!$L$4:$L$8000,"&gt;="&amp;MAX(T$5,DATE(2000+VALUE(RIGHT(TRIM($A492),2)),1,1)),'Timesheet Raw'!$L$4:$L$8000,"&lt;="&amp;MIN(T$6,DATE(2000+VALUE(RIGHT(TRIM($A492),2)),12,31))),SUMIFS('Timesheet Raw'!$P$4:$P$8000,'Timesheet Raw'!$B$4:$B$8000,TRIM($A492),'Timesheet Raw'!$C$4:$C$8000,"*"&amp;$B492&amp;"*",'Timesheet Raw'!$L$4:$L$8000,"&gt;="&amp;T$5,'Timesheet Raw'!$L$4:$L$8000,"&lt;="&amp;T$6)))/'Profit Plan'!$B$5)</f>
        <v/>
      </c>
      <c r="U492" s="122" t="str">
        <f>IF($A492="","",(IF(ISNUMBER(SEARCH("Proposal",$A492)),SUMIFS('Timesheet Raw'!$P$4:$P$8000,'Timesheet Raw'!$A$4:$A$8000,IF(ISNUMBER(SEARCH("Chargable",$A492)),"2-Proposals Chargeable","3-Proposals Regular"),'Timesheet Raw'!$C$4:$C$8000,"*"&amp;$B492&amp;"*",'Timesheet Raw'!$L$4:$L$8000,"&gt;="&amp;MAX(U$5,DATE(2000+VALUE(RIGHT(TRIM($A492),2)),1,1)),'Timesheet Raw'!$L$4:$L$8000,"&lt;="&amp;MIN(U$6,DATE(2000+VALUE(RIGHT(TRIM($A492),2)),12,31))),SUMIFS('Timesheet Raw'!$P$4:$P$8000,'Timesheet Raw'!$B$4:$B$8000,TRIM($A492),'Timesheet Raw'!$C$4:$C$8000,"*"&amp;$B492&amp;"*",'Timesheet Raw'!$L$4:$L$8000,"&gt;="&amp;U$5,'Timesheet Raw'!$L$4:$L$8000,"&lt;="&amp;U$6)))/'Profit Plan'!$B$5)</f>
        <v/>
      </c>
      <c r="V492" s="122" t="str">
        <f>IF($A492="","",(IF(ISNUMBER(SEARCH("Proposal",$A492)),SUMIFS('Timesheet Raw'!$P$4:$P$8000,'Timesheet Raw'!$A$4:$A$8000,IF(ISNUMBER(SEARCH("Chargable",$A492)),"2-Proposals Chargeable","3-Proposals Regular"),'Timesheet Raw'!$C$4:$C$8000,"*"&amp;$B492&amp;"*",'Timesheet Raw'!$L$4:$L$8000,"&gt;="&amp;MAX(V$5,DATE(2000+VALUE(RIGHT(TRIM($A492),2)),1,1)),'Timesheet Raw'!$L$4:$L$8000,"&lt;="&amp;MIN(V$6,DATE(2000+VALUE(RIGHT(TRIM($A492),2)),12,31))),SUMIFS('Timesheet Raw'!$P$4:$P$8000,'Timesheet Raw'!$B$4:$B$8000,TRIM($A492),'Timesheet Raw'!$C$4:$C$8000,"*"&amp;$B492&amp;"*",'Timesheet Raw'!$L$4:$L$8000,"&gt;="&amp;V$5,'Timesheet Raw'!$L$4:$L$8000,"&lt;="&amp;V$6)))/'Profit Plan'!$B$5)</f>
        <v/>
      </c>
      <c r="W492" s="122" t="str">
        <f>IF($A492="","",(IF(ISNUMBER(SEARCH("Proposal",$A492)),SUMIFS('Timesheet Raw'!$P$4:$P$8000,'Timesheet Raw'!$A$4:$A$8000,IF(ISNUMBER(SEARCH("Chargable",$A492)),"2-Proposals Chargeable","3-Proposals Regular"),'Timesheet Raw'!$C$4:$C$8000,"*"&amp;$B492&amp;"*",'Timesheet Raw'!$L$4:$L$8000,"&gt;="&amp;MAX(W$5,DATE(2000+VALUE(RIGHT(TRIM($A492),2)),1,1)),'Timesheet Raw'!$L$4:$L$8000,"&lt;="&amp;MIN(W$6,DATE(2000+VALUE(RIGHT(TRIM($A492),2)),12,31))),SUMIFS('Timesheet Raw'!$P$4:$P$8000,'Timesheet Raw'!$B$4:$B$8000,TRIM($A492),'Timesheet Raw'!$C$4:$C$8000,"*"&amp;$B492&amp;"*",'Timesheet Raw'!$L$4:$L$8000,"&gt;="&amp;W$5,'Timesheet Raw'!$L$4:$L$8000,"&lt;="&amp;W$6)))/'Profit Plan'!$B$5)</f>
        <v/>
      </c>
      <c r="X492" s="122" t="str">
        <f>IF($A492="","",(IF(ISNUMBER(SEARCH("Proposal",$A492)),SUMIFS('Timesheet Raw'!$P$4:$P$8000,'Timesheet Raw'!$A$4:$A$8000,IF(ISNUMBER(SEARCH("Chargable",$A492)),"2-Proposals Chargeable","3-Proposals Regular"),'Timesheet Raw'!$C$4:$C$8000,"*"&amp;$B492&amp;"*",'Timesheet Raw'!$L$4:$L$8000,"&gt;="&amp;MAX(X$5,DATE(2000+VALUE(RIGHT(TRIM($A492),2)),1,1)),'Timesheet Raw'!$L$4:$L$8000,"&lt;="&amp;MIN(X$6,DATE(2000+VALUE(RIGHT(TRIM($A492),2)),12,31))),SUMIFS('Timesheet Raw'!$P$4:$P$8000,'Timesheet Raw'!$B$4:$B$8000,TRIM($A492),'Timesheet Raw'!$C$4:$C$8000,"*"&amp;$B492&amp;"*",'Timesheet Raw'!$L$4:$L$8000,"&gt;="&amp;X$5,'Timesheet Raw'!$L$4:$L$8000,"&lt;="&amp;X$6)))/'Profit Plan'!$B$5)</f>
        <v/>
      </c>
      <c r="Y492" s="118">
        <f t="shared" si="103"/>
        <v>0</v>
      </c>
    </row>
    <row r="493" spans="1:25" x14ac:dyDescent="0.3">
      <c r="A493" s="116" t="str">
        <f>IF(Inputs!$A82="","",Inputs!$A82)</f>
        <v/>
      </c>
      <c r="B493" s="116" t="str">
        <f>IF(Inputs!$A82="","",Inputs!$A$91)</f>
        <v/>
      </c>
      <c r="C493" s="116"/>
      <c r="D493" s="122" t="str">
        <f>IF($A493="","",(IF(ISNUMBER(SEARCH("Proposal",$A493)),SUMIFS('Timesheet Raw'!$P$4:$P$8000,'Timesheet Raw'!$A$4:$A$8000,IF(ISNUMBER(SEARCH("Chargable",$A493)),"2-Proposals Chargeable","3-Proposals Regular"),'Timesheet Raw'!$C$4:$C$8000,"*"&amp;$B493&amp;"*",'Timesheet Raw'!$L$4:$L$8000,"&gt;="&amp;MAX(D$5,DATE(2000+VALUE(RIGHT(TRIM($A493),2)),1,1)),'Timesheet Raw'!$L$4:$L$8000,"&lt;="&amp;MIN(D$6,DATE(2000+VALUE(RIGHT(TRIM($A493),2)),12,31))),SUMIFS('Timesheet Raw'!$P$4:$P$8000,'Timesheet Raw'!$B$4:$B$8000,TRIM($A493),'Timesheet Raw'!$C$4:$C$8000,"*"&amp;$B493&amp;"*",'Timesheet Raw'!$L$4:$L$8000,"&gt;="&amp;D$5,'Timesheet Raw'!$L$4:$L$8000,"&lt;="&amp;D$6)))/'Profit Plan'!$B$5)</f>
        <v/>
      </c>
      <c r="E493" s="122" t="str">
        <f>IF($A493="","",(IF(ISNUMBER(SEARCH("Proposal",$A493)),SUMIFS('Timesheet Raw'!$P$4:$P$8000,'Timesheet Raw'!$A$4:$A$8000,IF(ISNUMBER(SEARCH("Chargable",$A493)),"2-Proposals Chargeable","3-Proposals Regular"),'Timesheet Raw'!$C$4:$C$8000,"*"&amp;$B493&amp;"*",'Timesheet Raw'!$L$4:$L$8000,"&gt;="&amp;MAX(E$5,DATE(2000+VALUE(RIGHT(TRIM($A493),2)),1,1)),'Timesheet Raw'!$L$4:$L$8000,"&lt;="&amp;MIN(E$6,DATE(2000+VALUE(RIGHT(TRIM($A493),2)),12,31))),SUMIFS('Timesheet Raw'!$P$4:$P$8000,'Timesheet Raw'!$B$4:$B$8000,TRIM($A493),'Timesheet Raw'!$C$4:$C$8000,"*"&amp;$B493&amp;"*",'Timesheet Raw'!$L$4:$L$8000,"&gt;="&amp;E$5,'Timesheet Raw'!$L$4:$L$8000,"&lt;="&amp;E$6)))/'Profit Plan'!$B$5)</f>
        <v/>
      </c>
      <c r="F493" s="122" t="str">
        <f>IF($A493="","",(IF(ISNUMBER(SEARCH("Proposal",$A493)),SUMIFS('Timesheet Raw'!$P$4:$P$8000,'Timesheet Raw'!$A$4:$A$8000,IF(ISNUMBER(SEARCH("Chargable",$A493)),"2-Proposals Chargeable","3-Proposals Regular"),'Timesheet Raw'!$C$4:$C$8000,"*"&amp;$B493&amp;"*",'Timesheet Raw'!$L$4:$L$8000,"&gt;="&amp;MAX(F$5,DATE(2000+VALUE(RIGHT(TRIM($A493),2)),1,1)),'Timesheet Raw'!$L$4:$L$8000,"&lt;="&amp;MIN(F$6,DATE(2000+VALUE(RIGHT(TRIM($A493),2)),12,31))),SUMIFS('Timesheet Raw'!$P$4:$P$8000,'Timesheet Raw'!$B$4:$B$8000,TRIM($A493),'Timesheet Raw'!$C$4:$C$8000,"*"&amp;$B493&amp;"*",'Timesheet Raw'!$L$4:$L$8000,"&gt;="&amp;F$5,'Timesheet Raw'!$L$4:$L$8000,"&lt;="&amp;F$6)))/'Profit Plan'!$B$5)</f>
        <v/>
      </c>
      <c r="G493" s="122" t="str">
        <f>IF($A493="","",(IF(ISNUMBER(SEARCH("Proposal",$A493)),SUMIFS('Timesheet Raw'!$P$4:$P$8000,'Timesheet Raw'!$A$4:$A$8000,IF(ISNUMBER(SEARCH("Chargable",$A493)),"2-Proposals Chargeable","3-Proposals Regular"),'Timesheet Raw'!$C$4:$C$8000,"*"&amp;$B493&amp;"*",'Timesheet Raw'!$L$4:$L$8000,"&gt;="&amp;MAX(G$5,DATE(2000+VALUE(RIGHT(TRIM($A493),2)),1,1)),'Timesheet Raw'!$L$4:$L$8000,"&lt;="&amp;MIN(G$6,DATE(2000+VALUE(RIGHT(TRIM($A493),2)),12,31))),SUMIFS('Timesheet Raw'!$P$4:$P$8000,'Timesheet Raw'!$B$4:$B$8000,TRIM($A493),'Timesheet Raw'!$C$4:$C$8000,"*"&amp;$B493&amp;"*",'Timesheet Raw'!$L$4:$L$8000,"&gt;="&amp;G$5,'Timesheet Raw'!$L$4:$L$8000,"&lt;="&amp;G$6)))/'Profit Plan'!$B$5)</f>
        <v/>
      </c>
      <c r="H493" s="122" t="str">
        <f>IF($A493="","",(IF(ISNUMBER(SEARCH("Proposal",$A493)),SUMIFS('Timesheet Raw'!$P$4:$P$8000,'Timesheet Raw'!$A$4:$A$8000,IF(ISNUMBER(SEARCH("Chargable",$A493)),"2-Proposals Chargeable","3-Proposals Regular"),'Timesheet Raw'!$C$4:$C$8000,"*"&amp;$B493&amp;"*",'Timesheet Raw'!$L$4:$L$8000,"&gt;="&amp;MAX(H$5,DATE(2000+VALUE(RIGHT(TRIM($A493),2)),1,1)),'Timesheet Raw'!$L$4:$L$8000,"&lt;="&amp;MIN(H$6,DATE(2000+VALUE(RIGHT(TRIM($A493),2)),12,31))),SUMIFS('Timesheet Raw'!$P$4:$P$8000,'Timesheet Raw'!$B$4:$B$8000,TRIM($A493),'Timesheet Raw'!$C$4:$C$8000,"*"&amp;$B493&amp;"*",'Timesheet Raw'!$L$4:$L$8000,"&gt;="&amp;H$5,'Timesheet Raw'!$L$4:$L$8000,"&lt;="&amp;H$6)))/'Profit Plan'!$B$5)</f>
        <v/>
      </c>
      <c r="I493" s="122" t="str">
        <f>IF($A493="","",(IF(ISNUMBER(SEARCH("Proposal",$A493)),SUMIFS('Timesheet Raw'!$P$4:$P$8000,'Timesheet Raw'!$A$4:$A$8000,IF(ISNUMBER(SEARCH("Chargable",$A493)),"2-Proposals Chargeable","3-Proposals Regular"),'Timesheet Raw'!$C$4:$C$8000,"*"&amp;$B493&amp;"*",'Timesheet Raw'!$L$4:$L$8000,"&gt;="&amp;MAX(I$5,DATE(2000+VALUE(RIGHT(TRIM($A493),2)),1,1)),'Timesheet Raw'!$L$4:$L$8000,"&lt;="&amp;MIN(I$6,DATE(2000+VALUE(RIGHT(TRIM($A493),2)),12,31))),SUMIFS('Timesheet Raw'!$P$4:$P$8000,'Timesheet Raw'!$B$4:$B$8000,TRIM($A493),'Timesheet Raw'!$C$4:$C$8000,"*"&amp;$B493&amp;"*",'Timesheet Raw'!$L$4:$L$8000,"&gt;="&amp;I$5,'Timesheet Raw'!$L$4:$L$8000,"&lt;="&amp;I$6)))/'Profit Plan'!$B$5)</f>
        <v/>
      </c>
      <c r="J493" s="122" t="str">
        <f>IF($A493="","",(IF(ISNUMBER(SEARCH("Proposal",$A493)),SUMIFS('Timesheet Raw'!$P$4:$P$8000,'Timesheet Raw'!$A$4:$A$8000,IF(ISNUMBER(SEARCH("Chargable",$A493)),"2-Proposals Chargeable","3-Proposals Regular"),'Timesheet Raw'!$C$4:$C$8000,"*"&amp;$B493&amp;"*",'Timesheet Raw'!$L$4:$L$8000,"&gt;="&amp;MAX(J$5,DATE(2000+VALUE(RIGHT(TRIM($A493),2)),1,1)),'Timesheet Raw'!$L$4:$L$8000,"&lt;="&amp;MIN(J$6,DATE(2000+VALUE(RIGHT(TRIM($A493),2)),12,31))),SUMIFS('Timesheet Raw'!$P$4:$P$8000,'Timesheet Raw'!$B$4:$B$8000,TRIM($A493),'Timesheet Raw'!$C$4:$C$8000,"*"&amp;$B493&amp;"*",'Timesheet Raw'!$L$4:$L$8000,"&gt;="&amp;J$5,'Timesheet Raw'!$L$4:$L$8000,"&lt;="&amp;J$6)))/'Profit Plan'!$B$5)</f>
        <v/>
      </c>
      <c r="K493" s="122" t="str">
        <f>IF($A493="","",(IF(ISNUMBER(SEARCH("Proposal",$A493)),SUMIFS('Timesheet Raw'!$P$4:$P$8000,'Timesheet Raw'!$A$4:$A$8000,IF(ISNUMBER(SEARCH("Chargable",$A493)),"2-Proposals Chargeable","3-Proposals Regular"),'Timesheet Raw'!$C$4:$C$8000,"*"&amp;$B493&amp;"*",'Timesheet Raw'!$L$4:$L$8000,"&gt;="&amp;MAX(K$5,DATE(2000+VALUE(RIGHT(TRIM($A493),2)),1,1)),'Timesheet Raw'!$L$4:$L$8000,"&lt;="&amp;MIN(K$6,DATE(2000+VALUE(RIGHT(TRIM($A493),2)),12,31))),SUMIFS('Timesheet Raw'!$P$4:$P$8000,'Timesheet Raw'!$B$4:$B$8000,TRIM($A493),'Timesheet Raw'!$C$4:$C$8000,"*"&amp;$B493&amp;"*",'Timesheet Raw'!$L$4:$L$8000,"&gt;="&amp;K$5,'Timesheet Raw'!$L$4:$L$8000,"&lt;="&amp;K$6)))/'Profit Plan'!$B$5)</f>
        <v/>
      </c>
      <c r="L493" s="122" t="str">
        <f>IF($A493="","",(IF(ISNUMBER(SEARCH("Proposal",$A493)),SUMIFS('Timesheet Raw'!$P$4:$P$8000,'Timesheet Raw'!$A$4:$A$8000,IF(ISNUMBER(SEARCH("Chargable",$A493)),"2-Proposals Chargeable","3-Proposals Regular"),'Timesheet Raw'!$C$4:$C$8000,"*"&amp;$B493&amp;"*",'Timesheet Raw'!$L$4:$L$8000,"&gt;="&amp;MAX(L$5,DATE(2000+VALUE(RIGHT(TRIM($A493),2)),1,1)),'Timesheet Raw'!$L$4:$L$8000,"&lt;="&amp;MIN(L$6,DATE(2000+VALUE(RIGHT(TRIM($A493),2)),12,31))),SUMIFS('Timesheet Raw'!$P$4:$P$8000,'Timesheet Raw'!$B$4:$B$8000,TRIM($A493),'Timesheet Raw'!$C$4:$C$8000,"*"&amp;$B493&amp;"*",'Timesheet Raw'!$L$4:$L$8000,"&gt;="&amp;L$5,'Timesheet Raw'!$L$4:$L$8000,"&lt;="&amp;L$6)))/'Profit Plan'!$B$5)</f>
        <v/>
      </c>
      <c r="M493" s="122" t="str">
        <f>IF($A493="","",(IF(ISNUMBER(SEARCH("Proposal",$A493)),SUMIFS('Timesheet Raw'!$P$4:$P$8000,'Timesheet Raw'!$A$4:$A$8000,IF(ISNUMBER(SEARCH("Chargable",$A493)),"2-Proposals Chargeable","3-Proposals Regular"),'Timesheet Raw'!$C$4:$C$8000,"*"&amp;$B493&amp;"*",'Timesheet Raw'!$L$4:$L$8000,"&gt;="&amp;MAX(M$5,DATE(2000+VALUE(RIGHT(TRIM($A493),2)),1,1)),'Timesheet Raw'!$L$4:$L$8000,"&lt;="&amp;MIN(M$6,DATE(2000+VALUE(RIGHT(TRIM($A493),2)),12,31))),SUMIFS('Timesheet Raw'!$P$4:$P$8000,'Timesheet Raw'!$B$4:$B$8000,TRIM($A493),'Timesheet Raw'!$C$4:$C$8000,"*"&amp;$B493&amp;"*",'Timesheet Raw'!$L$4:$L$8000,"&gt;="&amp;M$5,'Timesheet Raw'!$L$4:$L$8000,"&lt;="&amp;M$6)))/'Profit Plan'!$B$5)</f>
        <v/>
      </c>
      <c r="N493" s="122" t="str">
        <f>IF($A493="","",(IF(ISNUMBER(SEARCH("Proposal",$A493)),SUMIFS('Timesheet Raw'!$P$4:$P$8000,'Timesheet Raw'!$A$4:$A$8000,IF(ISNUMBER(SEARCH("Chargable",$A493)),"2-Proposals Chargeable","3-Proposals Regular"),'Timesheet Raw'!$C$4:$C$8000,"*"&amp;$B493&amp;"*",'Timesheet Raw'!$L$4:$L$8000,"&gt;="&amp;MAX(N$5,DATE(2000+VALUE(RIGHT(TRIM($A493),2)),1,1)),'Timesheet Raw'!$L$4:$L$8000,"&lt;="&amp;MIN(N$6,DATE(2000+VALUE(RIGHT(TRIM($A493),2)),12,31))),SUMIFS('Timesheet Raw'!$P$4:$P$8000,'Timesheet Raw'!$B$4:$B$8000,TRIM($A493),'Timesheet Raw'!$C$4:$C$8000,"*"&amp;$B493&amp;"*",'Timesheet Raw'!$L$4:$L$8000,"&gt;="&amp;N$5,'Timesheet Raw'!$L$4:$L$8000,"&lt;="&amp;N$6)))/'Profit Plan'!$B$5)</f>
        <v/>
      </c>
      <c r="O493" s="122" t="str">
        <f>IF($A493="","",(IF(ISNUMBER(SEARCH("Proposal",$A493)),SUMIFS('Timesheet Raw'!$P$4:$P$8000,'Timesheet Raw'!$A$4:$A$8000,IF(ISNUMBER(SEARCH("Chargable",$A493)),"2-Proposals Chargeable","3-Proposals Regular"),'Timesheet Raw'!$C$4:$C$8000,"*"&amp;$B493&amp;"*",'Timesheet Raw'!$L$4:$L$8000,"&gt;="&amp;MAX(O$5,DATE(2000+VALUE(RIGHT(TRIM($A493),2)),1,1)),'Timesheet Raw'!$L$4:$L$8000,"&lt;="&amp;MIN(O$6,DATE(2000+VALUE(RIGHT(TRIM($A493),2)),12,31))),SUMIFS('Timesheet Raw'!$P$4:$P$8000,'Timesheet Raw'!$B$4:$B$8000,TRIM($A493),'Timesheet Raw'!$C$4:$C$8000,"*"&amp;$B493&amp;"*",'Timesheet Raw'!$L$4:$L$8000,"&gt;="&amp;O$5,'Timesheet Raw'!$L$4:$L$8000,"&lt;="&amp;O$6)))/'Profit Plan'!$B$5)</f>
        <v/>
      </c>
      <c r="P493" s="122" t="str">
        <f>IF($A493="","",(IF(ISNUMBER(SEARCH("Proposal",$A493)),SUMIFS('Timesheet Raw'!$P$4:$P$8000,'Timesheet Raw'!$A$4:$A$8000,IF(ISNUMBER(SEARCH("Chargable",$A493)),"2-Proposals Chargeable","3-Proposals Regular"),'Timesheet Raw'!$C$4:$C$8000,"*"&amp;$B493&amp;"*",'Timesheet Raw'!$L$4:$L$8000,"&gt;="&amp;MAX(P$5,DATE(2000+VALUE(RIGHT(TRIM($A493),2)),1,1)),'Timesheet Raw'!$L$4:$L$8000,"&lt;="&amp;MIN(P$6,DATE(2000+VALUE(RIGHT(TRIM($A493),2)),12,31))),SUMIFS('Timesheet Raw'!$P$4:$P$8000,'Timesheet Raw'!$B$4:$B$8000,TRIM($A493),'Timesheet Raw'!$C$4:$C$8000,"*"&amp;$B493&amp;"*",'Timesheet Raw'!$L$4:$L$8000,"&gt;="&amp;P$5,'Timesheet Raw'!$L$4:$L$8000,"&lt;="&amp;P$6)))/'Profit Plan'!$B$5)</f>
        <v/>
      </c>
      <c r="Q493" s="122" t="str">
        <f>IF($A493="","",(IF(ISNUMBER(SEARCH("Proposal",$A493)),SUMIFS('Timesheet Raw'!$P$4:$P$8000,'Timesheet Raw'!$A$4:$A$8000,IF(ISNUMBER(SEARCH("Chargable",$A493)),"2-Proposals Chargeable","3-Proposals Regular"),'Timesheet Raw'!$C$4:$C$8000,"*"&amp;$B493&amp;"*",'Timesheet Raw'!$L$4:$L$8000,"&gt;="&amp;MAX(Q$5,DATE(2000+VALUE(RIGHT(TRIM($A493),2)),1,1)),'Timesheet Raw'!$L$4:$L$8000,"&lt;="&amp;MIN(Q$6,DATE(2000+VALUE(RIGHT(TRIM($A493),2)),12,31))),SUMIFS('Timesheet Raw'!$P$4:$P$8000,'Timesheet Raw'!$B$4:$B$8000,TRIM($A493),'Timesheet Raw'!$C$4:$C$8000,"*"&amp;$B493&amp;"*",'Timesheet Raw'!$L$4:$L$8000,"&gt;="&amp;Q$5,'Timesheet Raw'!$L$4:$L$8000,"&lt;="&amp;Q$6)))/'Profit Plan'!$B$5)</f>
        <v/>
      </c>
      <c r="R493" s="122" t="str">
        <f>IF($A493="","",(IF(ISNUMBER(SEARCH("Proposal",$A493)),SUMIFS('Timesheet Raw'!$P$4:$P$8000,'Timesheet Raw'!$A$4:$A$8000,IF(ISNUMBER(SEARCH("Chargable",$A493)),"2-Proposals Chargeable","3-Proposals Regular"),'Timesheet Raw'!$C$4:$C$8000,"*"&amp;$B493&amp;"*",'Timesheet Raw'!$L$4:$L$8000,"&gt;="&amp;MAX(R$5,DATE(2000+VALUE(RIGHT(TRIM($A493),2)),1,1)),'Timesheet Raw'!$L$4:$L$8000,"&lt;="&amp;MIN(R$6,DATE(2000+VALUE(RIGHT(TRIM($A493),2)),12,31))),SUMIFS('Timesheet Raw'!$P$4:$P$8000,'Timesheet Raw'!$B$4:$B$8000,TRIM($A493),'Timesheet Raw'!$C$4:$C$8000,"*"&amp;$B493&amp;"*",'Timesheet Raw'!$L$4:$L$8000,"&gt;="&amp;R$5,'Timesheet Raw'!$L$4:$L$8000,"&lt;="&amp;R$6)))/'Profit Plan'!$B$5)</f>
        <v/>
      </c>
      <c r="S493" s="122" t="str">
        <f>IF($A493="","",(IF(ISNUMBER(SEARCH("Proposal",$A493)),SUMIFS('Timesheet Raw'!$P$4:$P$8000,'Timesheet Raw'!$A$4:$A$8000,IF(ISNUMBER(SEARCH("Chargable",$A493)),"2-Proposals Chargeable","3-Proposals Regular"),'Timesheet Raw'!$C$4:$C$8000,"*"&amp;$B493&amp;"*",'Timesheet Raw'!$L$4:$L$8000,"&gt;="&amp;MAX(S$5,DATE(2000+VALUE(RIGHT(TRIM($A493),2)),1,1)),'Timesheet Raw'!$L$4:$L$8000,"&lt;="&amp;MIN(S$6,DATE(2000+VALUE(RIGHT(TRIM($A493),2)),12,31))),SUMIFS('Timesheet Raw'!$P$4:$P$8000,'Timesheet Raw'!$B$4:$B$8000,TRIM($A493),'Timesheet Raw'!$C$4:$C$8000,"*"&amp;$B493&amp;"*",'Timesheet Raw'!$L$4:$L$8000,"&gt;="&amp;S$5,'Timesheet Raw'!$L$4:$L$8000,"&lt;="&amp;S$6)))/'Profit Plan'!$B$5)</f>
        <v/>
      </c>
      <c r="T493" s="122" t="str">
        <f>IF($A493="","",(IF(ISNUMBER(SEARCH("Proposal",$A493)),SUMIFS('Timesheet Raw'!$P$4:$P$8000,'Timesheet Raw'!$A$4:$A$8000,IF(ISNUMBER(SEARCH("Chargable",$A493)),"2-Proposals Chargeable","3-Proposals Regular"),'Timesheet Raw'!$C$4:$C$8000,"*"&amp;$B493&amp;"*",'Timesheet Raw'!$L$4:$L$8000,"&gt;="&amp;MAX(T$5,DATE(2000+VALUE(RIGHT(TRIM($A493),2)),1,1)),'Timesheet Raw'!$L$4:$L$8000,"&lt;="&amp;MIN(T$6,DATE(2000+VALUE(RIGHT(TRIM($A493),2)),12,31))),SUMIFS('Timesheet Raw'!$P$4:$P$8000,'Timesheet Raw'!$B$4:$B$8000,TRIM($A493),'Timesheet Raw'!$C$4:$C$8000,"*"&amp;$B493&amp;"*",'Timesheet Raw'!$L$4:$L$8000,"&gt;="&amp;T$5,'Timesheet Raw'!$L$4:$L$8000,"&lt;="&amp;T$6)))/'Profit Plan'!$B$5)</f>
        <v/>
      </c>
      <c r="U493" s="122" t="str">
        <f>IF($A493="","",(IF(ISNUMBER(SEARCH("Proposal",$A493)),SUMIFS('Timesheet Raw'!$P$4:$P$8000,'Timesheet Raw'!$A$4:$A$8000,IF(ISNUMBER(SEARCH("Chargable",$A493)),"2-Proposals Chargeable","3-Proposals Regular"),'Timesheet Raw'!$C$4:$C$8000,"*"&amp;$B493&amp;"*",'Timesheet Raw'!$L$4:$L$8000,"&gt;="&amp;MAX(U$5,DATE(2000+VALUE(RIGHT(TRIM($A493),2)),1,1)),'Timesheet Raw'!$L$4:$L$8000,"&lt;="&amp;MIN(U$6,DATE(2000+VALUE(RIGHT(TRIM($A493),2)),12,31))),SUMIFS('Timesheet Raw'!$P$4:$P$8000,'Timesheet Raw'!$B$4:$B$8000,TRIM($A493),'Timesheet Raw'!$C$4:$C$8000,"*"&amp;$B493&amp;"*",'Timesheet Raw'!$L$4:$L$8000,"&gt;="&amp;U$5,'Timesheet Raw'!$L$4:$L$8000,"&lt;="&amp;U$6)))/'Profit Plan'!$B$5)</f>
        <v/>
      </c>
      <c r="V493" s="122" t="str">
        <f>IF($A493="","",(IF(ISNUMBER(SEARCH("Proposal",$A493)),SUMIFS('Timesheet Raw'!$P$4:$P$8000,'Timesheet Raw'!$A$4:$A$8000,IF(ISNUMBER(SEARCH("Chargable",$A493)),"2-Proposals Chargeable","3-Proposals Regular"),'Timesheet Raw'!$C$4:$C$8000,"*"&amp;$B493&amp;"*",'Timesheet Raw'!$L$4:$L$8000,"&gt;="&amp;MAX(V$5,DATE(2000+VALUE(RIGHT(TRIM($A493),2)),1,1)),'Timesheet Raw'!$L$4:$L$8000,"&lt;="&amp;MIN(V$6,DATE(2000+VALUE(RIGHT(TRIM($A493),2)),12,31))),SUMIFS('Timesheet Raw'!$P$4:$P$8000,'Timesheet Raw'!$B$4:$B$8000,TRIM($A493),'Timesheet Raw'!$C$4:$C$8000,"*"&amp;$B493&amp;"*",'Timesheet Raw'!$L$4:$L$8000,"&gt;="&amp;V$5,'Timesheet Raw'!$L$4:$L$8000,"&lt;="&amp;V$6)))/'Profit Plan'!$B$5)</f>
        <v/>
      </c>
      <c r="W493" s="122" t="str">
        <f>IF($A493="","",(IF(ISNUMBER(SEARCH("Proposal",$A493)),SUMIFS('Timesheet Raw'!$P$4:$P$8000,'Timesheet Raw'!$A$4:$A$8000,IF(ISNUMBER(SEARCH("Chargable",$A493)),"2-Proposals Chargeable","3-Proposals Regular"),'Timesheet Raw'!$C$4:$C$8000,"*"&amp;$B493&amp;"*",'Timesheet Raw'!$L$4:$L$8000,"&gt;="&amp;MAX(W$5,DATE(2000+VALUE(RIGHT(TRIM($A493),2)),1,1)),'Timesheet Raw'!$L$4:$L$8000,"&lt;="&amp;MIN(W$6,DATE(2000+VALUE(RIGHT(TRIM($A493),2)),12,31))),SUMIFS('Timesheet Raw'!$P$4:$P$8000,'Timesheet Raw'!$B$4:$B$8000,TRIM($A493),'Timesheet Raw'!$C$4:$C$8000,"*"&amp;$B493&amp;"*",'Timesheet Raw'!$L$4:$L$8000,"&gt;="&amp;W$5,'Timesheet Raw'!$L$4:$L$8000,"&lt;="&amp;W$6)))/'Profit Plan'!$B$5)</f>
        <v/>
      </c>
      <c r="X493" s="122" t="str">
        <f>IF($A493="","",(IF(ISNUMBER(SEARCH("Proposal",$A493)),SUMIFS('Timesheet Raw'!$P$4:$P$8000,'Timesheet Raw'!$A$4:$A$8000,IF(ISNUMBER(SEARCH("Chargable",$A493)),"2-Proposals Chargeable","3-Proposals Regular"),'Timesheet Raw'!$C$4:$C$8000,"*"&amp;$B493&amp;"*",'Timesheet Raw'!$L$4:$L$8000,"&gt;="&amp;MAX(X$5,DATE(2000+VALUE(RIGHT(TRIM($A493),2)),1,1)),'Timesheet Raw'!$L$4:$L$8000,"&lt;="&amp;MIN(X$6,DATE(2000+VALUE(RIGHT(TRIM($A493),2)),12,31))),SUMIFS('Timesheet Raw'!$P$4:$P$8000,'Timesheet Raw'!$B$4:$B$8000,TRIM($A493),'Timesheet Raw'!$C$4:$C$8000,"*"&amp;$B493&amp;"*",'Timesheet Raw'!$L$4:$L$8000,"&gt;="&amp;X$5,'Timesheet Raw'!$L$4:$L$8000,"&lt;="&amp;X$6)))/'Profit Plan'!$B$5)</f>
        <v/>
      </c>
      <c r="Y493" s="118">
        <f t="shared" si="103"/>
        <v>0</v>
      </c>
    </row>
    <row r="494" spans="1:25" x14ac:dyDescent="0.3">
      <c r="A494" s="116" t="str">
        <f>IF(Inputs!$A82="","",Inputs!$A82)</f>
        <v/>
      </c>
      <c r="B494" s="116" t="str">
        <f>IF(Inputs!$A82="","",Inputs!$A$92)</f>
        <v/>
      </c>
      <c r="C494" s="116"/>
      <c r="D494" s="122" t="str">
        <f>IF($A494="","",(IF(ISNUMBER(SEARCH("Proposal",$A494)),SUMIFS('Timesheet Raw'!$P$4:$P$8000,'Timesheet Raw'!$A$4:$A$8000,IF(ISNUMBER(SEARCH("Chargable",$A494)),"2-Proposals Chargeable","3-Proposals Regular"),'Timesheet Raw'!$C$4:$C$8000,"*"&amp;$B494&amp;"*",'Timesheet Raw'!$L$4:$L$8000,"&gt;="&amp;MAX(D$5,DATE(2000+VALUE(RIGHT(TRIM($A494),2)),1,1)),'Timesheet Raw'!$L$4:$L$8000,"&lt;="&amp;MIN(D$6,DATE(2000+VALUE(RIGHT(TRIM($A494),2)),12,31))),SUMIFS('Timesheet Raw'!$P$4:$P$8000,'Timesheet Raw'!$B$4:$B$8000,TRIM($A494),'Timesheet Raw'!$C$4:$C$8000,"*"&amp;$B494&amp;"*",'Timesheet Raw'!$L$4:$L$8000,"&gt;="&amp;D$5,'Timesheet Raw'!$L$4:$L$8000,"&lt;="&amp;D$6)))/'Profit Plan'!$B$5)</f>
        <v/>
      </c>
      <c r="E494" s="122" t="str">
        <f>IF($A494="","",(IF(ISNUMBER(SEARCH("Proposal",$A494)),SUMIFS('Timesheet Raw'!$P$4:$P$8000,'Timesheet Raw'!$A$4:$A$8000,IF(ISNUMBER(SEARCH("Chargable",$A494)),"2-Proposals Chargeable","3-Proposals Regular"),'Timesheet Raw'!$C$4:$C$8000,"*"&amp;$B494&amp;"*",'Timesheet Raw'!$L$4:$L$8000,"&gt;="&amp;MAX(E$5,DATE(2000+VALUE(RIGHT(TRIM($A494),2)),1,1)),'Timesheet Raw'!$L$4:$L$8000,"&lt;="&amp;MIN(E$6,DATE(2000+VALUE(RIGHT(TRIM($A494),2)),12,31))),SUMIFS('Timesheet Raw'!$P$4:$P$8000,'Timesheet Raw'!$B$4:$B$8000,TRIM($A494),'Timesheet Raw'!$C$4:$C$8000,"*"&amp;$B494&amp;"*",'Timesheet Raw'!$L$4:$L$8000,"&gt;="&amp;E$5,'Timesheet Raw'!$L$4:$L$8000,"&lt;="&amp;E$6)))/'Profit Plan'!$B$5)</f>
        <v/>
      </c>
      <c r="F494" s="122" t="str">
        <f>IF($A494="","",(IF(ISNUMBER(SEARCH("Proposal",$A494)),SUMIFS('Timesheet Raw'!$P$4:$P$8000,'Timesheet Raw'!$A$4:$A$8000,IF(ISNUMBER(SEARCH("Chargable",$A494)),"2-Proposals Chargeable","3-Proposals Regular"),'Timesheet Raw'!$C$4:$C$8000,"*"&amp;$B494&amp;"*",'Timesheet Raw'!$L$4:$L$8000,"&gt;="&amp;MAX(F$5,DATE(2000+VALUE(RIGHT(TRIM($A494),2)),1,1)),'Timesheet Raw'!$L$4:$L$8000,"&lt;="&amp;MIN(F$6,DATE(2000+VALUE(RIGHT(TRIM($A494),2)),12,31))),SUMIFS('Timesheet Raw'!$P$4:$P$8000,'Timesheet Raw'!$B$4:$B$8000,TRIM($A494),'Timesheet Raw'!$C$4:$C$8000,"*"&amp;$B494&amp;"*",'Timesheet Raw'!$L$4:$L$8000,"&gt;="&amp;F$5,'Timesheet Raw'!$L$4:$L$8000,"&lt;="&amp;F$6)))/'Profit Plan'!$B$5)</f>
        <v/>
      </c>
      <c r="G494" s="122" t="str">
        <f>IF($A494="","",(IF(ISNUMBER(SEARCH("Proposal",$A494)),SUMIFS('Timesheet Raw'!$P$4:$P$8000,'Timesheet Raw'!$A$4:$A$8000,IF(ISNUMBER(SEARCH("Chargable",$A494)),"2-Proposals Chargeable","3-Proposals Regular"),'Timesheet Raw'!$C$4:$C$8000,"*"&amp;$B494&amp;"*",'Timesheet Raw'!$L$4:$L$8000,"&gt;="&amp;MAX(G$5,DATE(2000+VALUE(RIGHT(TRIM($A494),2)),1,1)),'Timesheet Raw'!$L$4:$L$8000,"&lt;="&amp;MIN(G$6,DATE(2000+VALUE(RIGHT(TRIM($A494),2)),12,31))),SUMIFS('Timesheet Raw'!$P$4:$P$8000,'Timesheet Raw'!$B$4:$B$8000,TRIM($A494),'Timesheet Raw'!$C$4:$C$8000,"*"&amp;$B494&amp;"*",'Timesheet Raw'!$L$4:$L$8000,"&gt;="&amp;G$5,'Timesheet Raw'!$L$4:$L$8000,"&lt;="&amp;G$6)))/'Profit Plan'!$B$5)</f>
        <v/>
      </c>
      <c r="H494" s="122" t="str">
        <f>IF($A494="","",(IF(ISNUMBER(SEARCH("Proposal",$A494)),SUMIFS('Timesheet Raw'!$P$4:$P$8000,'Timesheet Raw'!$A$4:$A$8000,IF(ISNUMBER(SEARCH("Chargable",$A494)),"2-Proposals Chargeable","3-Proposals Regular"),'Timesheet Raw'!$C$4:$C$8000,"*"&amp;$B494&amp;"*",'Timesheet Raw'!$L$4:$L$8000,"&gt;="&amp;MAX(H$5,DATE(2000+VALUE(RIGHT(TRIM($A494),2)),1,1)),'Timesheet Raw'!$L$4:$L$8000,"&lt;="&amp;MIN(H$6,DATE(2000+VALUE(RIGHT(TRIM($A494),2)),12,31))),SUMIFS('Timesheet Raw'!$P$4:$P$8000,'Timesheet Raw'!$B$4:$B$8000,TRIM($A494),'Timesheet Raw'!$C$4:$C$8000,"*"&amp;$B494&amp;"*",'Timesheet Raw'!$L$4:$L$8000,"&gt;="&amp;H$5,'Timesheet Raw'!$L$4:$L$8000,"&lt;="&amp;H$6)))/'Profit Plan'!$B$5)</f>
        <v/>
      </c>
      <c r="I494" s="122" t="str">
        <f>IF($A494="","",(IF(ISNUMBER(SEARCH("Proposal",$A494)),SUMIFS('Timesheet Raw'!$P$4:$P$8000,'Timesheet Raw'!$A$4:$A$8000,IF(ISNUMBER(SEARCH("Chargable",$A494)),"2-Proposals Chargeable","3-Proposals Regular"),'Timesheet Raw'!$C$4:$C$8000,"*"&amp;$B494&amp;"*",'Timesheet Raw'!$L$4:$L$8000,"&gt;="&amp;MAX(I$5,DATE(2000+VALUE(RIGHT(TRIM($A494),2)),1,1)),'Timesheet Raw'!$L$4:$L$8000,"&lt;="&amp;MIN(I$6,DATE(2000+VALUE(RIGHT(TRIM($A494),2)),12,31))),SUMIFS('Timesheet Raw'!$P$4:$P$8000,'Timesheet Raw'!$B$4:$B$8000,TRIM($A494),'Timesheet Raw'!$C$4:$C$8000,"*"&amp;$B494&amp;"*",'Timesheet Raw'!$L$4:$L$8000,"&gt;="&amp;I$5,'Timesheet Raw'!$L$4:$L$8000,"&lt;="&amp;I$6)))/'Profit Plan'!$B$5)</f>
        <v/>
      </c>
      <c r="J494" s="122" t="str">
        <f>IF($A494="","",(IF(ISNUMBER(SEARCH("Proposal",$A494)),SUMIFS('Timesheet Raw'!$P$4:$P$8000,'Timesheet Raw'!$A$4:$A$8000,IF(ISNUMBER(SEARCH("Chargable",$A494)),"2-Proposals Chargeable","3-Proposals Regular"),'Timesheet Raw'!$C$4:$C$8000,"*"&amp;$B494&amp;"*",'Timesheet Raw'!$L$4:$L$8000,"&gt;="&amp;MAX(J$5,DATE(2000+VALUE(RIGHT(TRIM($A494),2)),1,1)),'Timesheet Raw'!$L$4:$L$8000,"&lt;="&amp;MIN(J$6,DATE(2000+VALUE(RIGHT(TRIM($A494),2)),12,31))),SUMIFS('Timesheet Raw'!$P$4:$P$8000,'Timesheet Raw'!$B$4:$B$8000,TRIM($A494),'Timesheet Raw'!$C$4:$C$8000,"*"&amp;$B494&amp;"*",'Timesheet Raw'!$L$4:$L$8000,"&gt;="&amp;J$5,'Timesheet Raw'!$L$4:$L$8000,"&lt;="&amp;J$6)))/'Profit Plan'!$B$5)</f>
        <v/>
      </c>
      <c r="K494" s="122" t="str">
        <f>IF($A494="","",(IF(ISNUMBER(SEARCH("Proposal",$A494)),SUMIFS('Timesheet Raw'!$P$4:$P$8000,'Timesheet Raw'!$A$4:$A$8000,IF(ISNUMBER(SEARCH("Chargable",$A494)),"2-Proposals Chargeable","3-Proposals Regular"),'Timesheet Raw'!$C$4:$C$8000,"*"&amp;$B494&amp;"*",'Timesheet Raw'!$L$4:$L$8000,"&gt;="&amp;MAX(K$5,DATE(2000+VALUE(RIGHT(TRIM($A494),2)),1,1)),'Timesheet Raw'!$L$4:$L$8000,"&lt;="&amp;MIN(K$6,DATE(2000+VALUE(RIGHT(TRIM($A494),2)),12,31))),SUMIFS('Timesheet Raw'!$P$4:$P$8000,'Timesheet Raw'!$B$4:$B$8000,TRIM($A494),'Timesheet Raw'!$C$4:$C$8000,"*"&amp;$B494&amp;"*",'Timesheet Raw'!$L$4:$L$8000,"&gt;="&amp;K$5,'Timesheet Raw'!$L$4:$L$8000,"&lt;="&amp;K$6)))/'Profit Plan'!$B$5)</f>
        <v/>
      </c>
      <c r="L494" s="122" t="str">
        <f>IF($A494="","",(IF(ISNUMBER(SEARCH("Proposal",$A494)),SUMIFS('Timesheet Raw'!$P$4:$P$8000,'Timesheet Raw'!$A$4:$A$8000,IF(ISNUMBER(SEARCH("Chargable",$A494)),"2-Proposals Chargeable","3-Proposals Regular"),'Timesheet Raw'!$C$4:$C$8000,"*"&amp;$B494&amp;"*",'Timesheet Raw'!$L$4:$L$8000,"&gt;="&amp;MAX(L$5,DATE(2000+VALUE(RIGHT(TRIM($A494),2)),1,1)),'Timesheet Raw'!$L$4:$L$8000,"&lt;="&amp;MIN(L$6,DATE(2000+VALUE(RIGHT(TRIM($A494),2)),12,31))),SUMIFS('Timesheet Raw'!$P$4:$P$8000,'Timesheet Raw'!$B$4:$B$8000,TRIM($A494),'Timesheet Raw'!$C$4:$C$8000,"*"&amp;$B494&amp;"*",'Timesheet Raw'!$L$4:$L$8000,"&gt;="&amp;L$5,'Timesheet Raw'!$L$4:$L$8000,"&lt;="&amp;L$6)))/'Profit Plan'!$B$5)</f>
        <v/>
      </c>
      <c r="M494" s="122" t="str">
        <f>IF($A494="","",(IF(ISNUMBER(SEARCH("Proposal",$A494)),SUMIFS('Timesheet Raw'!$P$4:$P$8000,'Timesheet Raw'!$A$4:$A$8000,IF(ISNUMBER(SEARCH("Chargable",$A494)),"2-Proposals Chargeable","3-Proposals Regular"),'Timesheet Raw'!$C$4:$C$8000,"*"&amp;$B494&amp;"*",'Timesheet Raw'!$L$4:$L$8000,"&gt;="&amp;MAX(M$5,DATE(2000+VALUE(RIGHT(TRIM($A494),2)),1,1)),'Timesheet Raw'!$L$4:$L$8000,"&lt;="&amp;MIN(M$6,DATE(2000+VALUE(RIGHT(TRIM($A494),2)),12,31))),SUMIFS('Timesheet Raw'!$P$4:$P$8000,'Timesheet Raw'!$B$4:$B$8000,TRIM($A494),'Timesheet Raw'!$C$4:$C$8000,"*"&amp;$B494&amp;"*",'Timesheet Raw'!$L$4:$L$8000,"&gt;="&amp;M$5,'Timesheet Raw'!$L$4:$L$8000,"&lt;="&amp;M$6)))/'Profit Plan'!$B$5)</f>
        <v/>
      </c>
      <c r="N494" s="122" t="str">
        <f>IF($A494="","",(IF(ISNUMBER(SEARCH("Proposal",$A494)),SUMIFS('Timesheet Raw'!$P$4:$P$8000,'Timesheet Raw'!$A$4:$A$8000,IF(ISNUMBER(SEARCH("Chargable",$A494)),"2-Proposals Chargeable","3-Proposals Regular"),'Timesheet Raw'!$C$4:$C$8000,"*"&amp;$B494&amp;"*",'Timesheet Raw'!$L$4:$L$8000,"&gt;="&amp;MAX(N$5,DATE(2000+VALUE(RIGHT(TRIM($A494),2)),1,1)),'Timesheet Raw'!$L$4:$L$8000,"&lt;="&amp;MIN(N$6,DATE(2000+VALUE(RIGHT(TRIM($A494),2)),12,31))),SUMIFS('Timesheet Raw'!$P$4:$P$8000,'Timesheet Raw'!$B$4:$B$8000,TRIM($A494),'Timesheet Raw'!$C$4:$C$8000,"*"&amp;$B494&amp;"*",'Timesheet Raw'!$L$4:$L$8000,"&gt;="&amp;N$5,'Timesheet Raw'!$L$4:$L$8000,"&lt;="&amp;N$6)))/'Profit Plan'!$B$5)</f>
        <v/>
      </c>
      <c r="O494" s="122" t="str">
        <f>IF($A494="","",(IF(ISNUMBER(SEARCH("Proposal",$A494)),SUMIFS('Timesheet Raw'!$P$4:$P$8000,'Timesheet Raw'!$A$4:$A$8000,IF(ISNUMBER(SEARCH("Chargable",$A494)),"2-Proposals Chargeable","3-Proposals Regular"),'Timesheet Raw'!$C$4:$C$8000,"*"&amp;$B494&amp;"*",'Timesheet Raw'!$L$4:$L$8000,"&gt;="&amp;MAX(O$5,DATE(2000+VALUE(RIGHT(TRIM($A494),2)),1,1)),'Timesheet Raw'!$L$4:$L$8000,"&lt;="&amp;MIN(O$6,DATE(2000+VALUE(RIGHT(TRIM($A494),2)),12,31))),SUMIFS('Timesheet Raw'!$P$4:$P$8000,'Timesheet Raw'!$B$4:$B$8000,TRIM($A494),'Timesheet Raw'!$C$4:$C$8000,"*"&amp;$B494&amp;"*",'Timesheet Raw'!$L$4:$L$8000,"&gt;="&amp;O$5,'Timesheet Raw'!$L$4:$L$8000,"&lt;="&amp;O$6)))/'Profit Plan'!$B$5)</f>
        <v/>
      </c>
      <c r="P494" s="122" t="str">
        <f>IF($A494="","",(IF(ISNUMBER(SEARCH("Proposal",$A494)),SUMIFS('Timesheet Raw'!$P$4:$P$8000,'Timesheet Raw'!$A$4:$A$8000,IF(ISNUMBER(SEARCH("Chargable",$A494)),"2-Proposals Chargeable","3-Proposals Regular"),'Timesheet Raw'!$C$4:$C$8000,"*"&amp;$B494&amp;"*",'Timesheet Raw'!$L$4:$L$8000,"&gt;="&amp;MAX(P$5,DATE(2000+VALUE(RIGHT(TRIM($A494),2)),1,1)),'Timesheet Raw'!$L$4:$L$8000,"&lt;="&amp;MIN(P$6,DATE(2000+VALUE(RIGHT(TRIM($A494),2)),12,31))),SUMIFS('Timesheet Raw'!$P$4:$P$8000,'Timesheet Raw'!$B$4:$B$8000,TRIM($A494),'Timesheet Raw'!$C$4:$C$8000,"*"&amp;$B494&amp;"*",'Timesheet Raw'!$L$4:$L$8000,"&gt;="&amp;P$5,'Timesheet Raw'!$L$4:$L$8000,"&lt;="&amp;P$6)))/'Profit Plan'!$B$5)</f>
        <v/>
      </c>
      <c r="Q494" s="122" t="str">
        <f>IF($A494="","",(IF(ISNUMBER(SEARCH("Proposal",$A494)),SUMIFS('Timesheet Raw'!$P$4:$P$8000,'Timesheet Raw'!$A$4:$A$8000,IF(ISNUMBER(SEARCH("Chargable",$A494)),"2-Proposals Chargeable","3-Proposals Regular"),'Timesheet Raw'!$C$4:$C$8000,"*"&amp;$B494&amp;"*",'Timesheet Raw'!$L$4:$L$8000,"&gt;="&amp;MAX(Q$5,DATE(2000+VALUE(RIGHT(TRIM($A494),2)),1,1)),'Timesheet Raw'!$L$4:$L$8000,"&lt;="&amp;MIN(Q$6,DATE(2000+VALUE(RIGHT(TRIM($A494),2)),12,31))),SUMIFS('Timesheet Raw'!$P$4:$P$8000,'Timesheet Raw'!$B$4:$B$8000,TRIM($A494),'Timesheet Raw'!$C$4:$C$8000,"*"&amp;$B494&amp;"*",'Timesheet Raw'!$L$4:$L$8000,"&gt;="&amp;Q$5,'Timesheet Raw'!$L$4:$L$8000,"&lt;="&amp;Q$6)))/'Profit Plan'!$B$5)</f>
        <v/>
      </c>
      <c r="R494" s="122" t="str">
        <f>IF($A494="","",(IF(ISNUMBER(SEARCH("Proposal",$A494)),SUMIFS('Timesheet Raw'!$P$4:$P$8000,'Timesheet Raw'!$A$4:$A$8000,IF(ISNUMBER(SEARCH("Chargable",$A494)),"2-Proposals Chargeable","3-Proposals Regular"),'Timesheet Raw'!$C$4:$C$8000,"*"&amp;$B494&amp;"*",'Timesheet Raw'!$L$4:$L$8000,"&gt;="&amp;MAX(R$5,DATE(2000+VALUE(RIGHT(TRIM($A494),2)),1,1)),'Timesheet Raw'!$L$4:$L$8000,"&lt;="&amp;MIN(R$6,DATE(2000+VALUE(RIGHT(TRIM($A494),2)),12,31))),SUMIFS('Timesheet Raw'!$P$4:$P$8000,'Timesheet Raw'!$B$4:$B$8000,TRIM($A494),'Timesheet Raw'!$C$4:$C$8000,"*"&amp;$B494&amp;"*",'Timesheet Raw'!$L$4:$L$8000,"&gt;="&amp;R$5,'Timesheet Raw'!$L$4:$L$8000,"&lt;="&amp;R$6)))/'Profit Plan'!$B$5)</f>
        <v/>
      </c>
      <c r="S494" s="122" t="str">
        <f>IF($A494="","",(IF(ISNUMBER(SEARCH("Proposal",$A494)),SUMIFS('Timesheet Raw'!$P$4:$P$8000,'Timesheet Raw'!$A$4:$A$8000,IF(ISNUMBER(SEARCH("Chargable",$A494)),"2-Proposals Chargeable","3-Proposals Regular"),'Timesheet Raw'!$C$4:$C$8000,"*"&amp;$B494&amp;"*",'Timesheet Raw'!$L$4:$L$8000,"&gt;="&amp;MAX(S$5,DATE(2000+VALUE(RIGHT(TRIM($A494),2)),1,1)),'Timesheet Raw'!$L$4:$L$8000,"&lt;="&amp;MIN(S$6,DATE(2000+VALUE(RIGHT(TRIM($A494),2)),12,31))),SUMIFS('Timesheet Raw'!$P$4:$P$8000,'Timesheet Raw'!$B$4:$B$8000,TRIM($A494),'Timesheet Raw'!$C$4:$C$8000,"*"&amp;$B494&amp;"*",'Timesheet Raw'!$L$4:$L$8000,"&gt;="&amp;S$5,'Timesheet Raw'!$L$4:$L$8000,"&lt;="&amp;S$6)))/'Profit Plan'!$B$5)</f>
        <v/>
      </c>
      <c r="T494" s="122" t="str">
        <f>IF($A494="","",(IF(ISNUMBER(SEARCH("Proposal",$A494)),SUMIFS('Timesheet Raw'!$P$4:$P$8000,'Timesheet Raw'!$A$4:$A$8000,IF(ISNUMBER(SEARCH("Chargable",$A494)),"2-Proposals Chargeable","3-Proposals Regular"),'Timesheet Raw'!$C$4:$C$8000,"*"&amp;$B494&amp;"*",'Timesheet Raw'!$L$4:$L$8000,"&gt;="&amp;MAX(T$5,DATE(2000+VALUE(RIGHT(TRIM($A494),2)),1,1)),'Timesheet Raw'!$L$4:$L$8000,"&lt;="&amp;MIN(T$6,DATE(2000+VALUE(RIGHT(TRIM($A494),2)),12,31))),SUMIFS('Timesheet Raw'!$P$4:$P$8000,'Timesheet Raw'!$B$4:$B$8000,TRIM($A494),'Timesheet Raw'!$C$4:$C$8000,"*"&amp;$B494&amp;"*",'Timesheet Raw'!$L$4:$L$8000,"&gt;="&amp;T$5,'Timesheet Raw'!$L$4:$L$8000,"&lt;="&amp;T$6)))/'Profit Plan'!$B$5)</f>
        <v/>
      </c>
      <c r="U494" s="122" t="str">
        <f>IF($A494="","",(IF(ISNUMBER(SEARCH("Proposal",$A494)),SUMIFS('Timesheet Raw'!$P$4:$P$8000,'Timesheet Raw'!$A$4:$A$8000,IF(ISNUMBER(SEARCH("Chargable",$A494)),"2-Proposals Chargeable","3-Proposals Regular"),'Timesheet Raw'!$C$4:$C$8000,"*"&amp;$B494&amp;"*",'Timesheet Raw'!$L$4:$L$8000,"&gt;="&amp;MAX(U$5,DATE(2000+VALUE(RIGHT(TRIM($A494),2)),1,1)),'Timesheet Raw'!$L$4:$L$8000,"&lt;="&amp;MIN(U$6,DATE(2000+VALUE(RIGHT(TRIM($A494),2)),12,31))),SUMIFS('Timesheet Raw'!$P$4:$P$8000,'Timesheet Raw'!$B$4:$B$8000,TRIM($A494),'Timesheet Raw'!$C$4:$C$8000,"*"&amp;$B494&amp;"*",'Timesheet Raw'!$L$4:$L$8000,"&gt;="&amp;U$5,'Timesheet Raw'!$L$4:$L$8000,"&lt;="&amp;U$6)))/'Profit Plan'!$B$5)</f>
        <v/>
      </c>
      <c r="V494" s="122" t="str">
        <f>IF($A494="","",(IF(ISNUMBER(SEARCH("Proposal",$A494)),SUMIFS('Timesheet Raw'!$P$4:$P$8000,'Timesheet Raw'!$A$4:$A$8000,IF(ISNUMBER(SEARCH("Chargable",$A494)),"2-Proposals Chargeable","3-Proposals Regular"),'Timesheet Raw'!$C$4:$C$8000,"*"&amp;$B494&amp;"*",'Timesheet Raw'!$L$4:$L$8000,"&gt;="&amp;MAX(V$5,DATE(2000+VALUE(RIGHT(TRIM($A494),2)),1,1)),'Timesheet Raw'!$L$4:$L$8000,"&lt;="&amp;MIN(V$6,DATE(2000+VALUE(RIGHT(TRIM($A494),2)),12,31))),SUMIFS('Timesheet Raw'!$P$4:$P$8000,'Timesheet Raw'!$B$4:$B$8000,TRIM($A494),'Timesheet Raw'!$C$4:$C$8000,"*"&amp;$B494&amp;"*",'Timesheet Raw'!$L$4:$L$8000,"&gt;="&amp;V$5,'Timesheet Raw'!$L$4:$L$8000,"&lt;="&amp;V$6)))/'Profit Plan'!$B$5)</f>
        <v/>
      </c>
      <c r="W494" s="122" t="str">
        <f>IF($A494="","",(IF(ISNUMBER(SEARCH("Proposal",$A494)),SUMIFS('Timesheet Raw'!$P$4:$P$8000,'Timesheet Raw'!$A$4:$A$8000,IF(ISNUMBER(SEARCH("Chargable",$A494)),"2-Proposals Chargeable","3-Proposals Regular"),'Timesheet Raw'!$C$4:$C$8000,"*"&amp;$B494&amp;"*",'Timesheet Raw'!$L$4:$L$8000,"&gt;="&amp;MAX(W$5,DATE(2000+VALUE(RIGHT(TRIM($A494),2)),1,1)),'Timesheet Raw'!$L$4:$L$8000,"&lt;="&amp;MIN(W$6,DATE(2000+VALUE(RIGHT(TRIM($A494),2)),12,31))),SUMIFS('Timesheet Raw'!$P$4:$P$8000,'Timesheet Raw'!$B$4:$B$8000,TRIM($A494),'Timesheet Raw'!$C$4:$C$8000,"*"&amp;$B494&amp;"*",'Timesheet Raw'!$L$4:$L$8000,"&gt;="&amp;W$5,'Timesheet Raw'!$L$4:$L$8000,"&lt;="&amp;W$6)))/'Profit Plan'!$B$5)</f>
        <v/>
      </c>
      <c r="X494" s="122" t="str">
        <f>IF($A494="","",(IF(ISNUMBER(SEARCH("Proposal",$A494)),SUMIFS('Timesheet Raw'!$P$4:$P$8000,'Timesheet Raw'!$A$4:$A$8000,IF(ISNUMBER(SEARCH("Chargable",$A494)),"2-Proposals Chargeable","3-Proposals Regular"),'Timesheet Raw'!$C$4:$C$8000,"*"&amp;$B494&amp;"*",'Timesheet Raw'!$L$4:$L$8000,"&gt;="&amp;MAX(X$5,DATE(2000+VALUE(RIGHT(TRIM($A494),2)),1,1)),'Timesheet Raw'!$L$4:$L$8000,"&lt;="&amp;MIN(X$6,DATE(2000+VALUE(RIGHT(TRIM($A494),2)),12,31))),SUMIFS('Timesheet Raw'!$P$4:$P$8000,'Timesheet Raw'!$B$4:$B$8000,TRIM($A494),'Timesheet Raw'!$C$4:$C$8000,"*"&amp;$B494&amp;"*",'Timesheet Raw'!$L$4:$L$8000,"&gt;="&amp;X$5,'Timesheet Raw'!$L$4:$L$8000,"&lt;="&amp;X$6)))/'Profit Plan'!$B$5)</f>
        <v/>
      </c>
      <c r="Y494" s="118">
        <f t="shared" si="103"/>
        <v>0</v>
      </c>
    </row>
    <row r="495" spans="1:25" x14ac:dyDescent="0.3">
      <c r="A495" s="116" t="str">
        <f>IF(Inputs!$A82="","",Inputs!$A82)</f>
        <v/>
      </c>
      <c r="B495" s="116" t="str">
        <f>IF(Inputs!$A82="","",Inputs!$A$93)</f>
        <v/>
      </c>
      <c r="C495" s="116"/>
      <c r="D495" s="122" t="str">
        <f>IF($A495="","",(IF(ISNUMBER(SEARCH("Proposal",$A495)),SUMIFS('Timesheet Raw'!$P$4:$P$8000,'Timesheet Raw'!$A$4:$A$8000,IF(ISNUMBER(SEARCH("Chargable",$A495)),"2-Proposals Chargeable","3-Proposals Regular"),'Timesheet Raw'!$C$4:$C$8000,"*"&amp;$B495&amp;"*",'Timesheet Raw'!$L$4:$L$8000,"&gt;="&amp;MAX(D$5,DATE(2000+VALUE(RIGHT(TRIM($A495),2)),1,1)),'Timesheet Raw'!$L$4:$L$8000,"&lt;="&amp;MIN(D$6,DATE(2000+VALUE(RIGHT(TRIM($A495),2)),12,31))),SUMIFS('Timesheet Raw'!$P$4:$P$8000,'Timesheet Raw'!$B$4:$B$8000,TRIM($A495),'Timesheet Raw'!$C$4:$C$8000,"*"&amp;$B495&amp;"*",'Timesheet Raw'!$L$4:$L$8000,"&gt;="&amp;D$5,'Timesheet Raw'!$L$4:$L$8000,"&lt;="&amp;D$6)))/'Profit Plan'!$B$5)</f>
        <v/>
      </c>
      <c r="E495" s="122" t="str">
        <f>IF($A495="","",(IF(ISNUMBER(SEARCH("Proposal",$A495)),SUMIFS('Timesheet Raw'!$P$4:$P$8000,'Timesheet Raw'!$A$4:$A$8000,IF(ISNUMBER(SEARCH("Chargable",$A495)),"2-Proposals Chargeable","3-Proposals Regular"),'Timesheet Raw'!$C$4:$C$8000,"*"&amp;$B495&amp;"*",'Timesheet Raw'!$L$4:$L$8000,"&gt;="&amp;MAX(E$5,DATE(2000+VALUE(RIGHT(TRIM($A495),2)),1,1)),'Timesheet Raw'!$L$4:$L$8000,"&lt;="&amp;MIN(E$6,DATE(2000+VALUE(RIGHT(TRIM($A495),2)),12,31))),SUMIFS('Timesheet Raw'!$P$4:$P$8000,'Timesheet Raw'!$B$4:$B$8000,TRIM($A495),'Timesheet Raw'!$C$4:$C$8000,"*"&amp;$B495&amp;"*",'Timesheet Raw'!$L$4:$L$8000,"&gt;="&amp;E$5,'Timesheet Raw'!$L$4:$L$8000,"&lt;="&amp;E$6)))/'Profit Plan'!$B$5)</f>
        <v/>
      </c>
      <c r="F495" s="122" t="str">
        <f>IF($A495="","",(IF(ISNUMBER(SEARCH("Proposal",$A495)),SUMIFS('Timesheet Raw'!$P$4:$P$8000,'Timesheet Raw'!$A$4:$A$8000,IF(ISNUMBER(SEARCH("Chargable",$A495)),"2-Proposals Chargeable","3-Proposals Regular"),'Timesheet Raw'!$C$4:$C$8000,"*"&amp;$B495&amp;"*",'Timesheet Raw'!$L$4:$L$8000,"&gt;="&amp;MAX(F$5,DATE(2000+VALUE(RIGHT(TRIM($A495),2)),1,1)),'Timesheet Raw'!$L$4:$L$8000,"&lt;="&amp;MIN(F$6,DATE(2000+VALUE(RIGHT(TRIM($A495),2)),12,31))),SUMIFS('Timesheet Raw'!$P$4:$P$8000,'Timesheet Raw'!$B$4:$B$8000,TRIM($A495),'Timesheet Raw'!$C$4:$C$8000,"*"&amp;$B495&amp;"*",'Timesheet Raw'!$L$4:$L$8000,"&gt;="&amp;F$5,'Timesheet Raw'!$L$4:$L$8000,"&lt;="&amp;F$6)))/'Profit Plan'!$B$5)</f>
        <v/>
      </c>
      <c r="G495" s="122" t="str">
        <f>IF($A495="","",(IF(ISNUMBER(SEARCH("Proposal",$A495)),SUMIFS('Timesheet Raw'!$P$4:$P$8000,'Timesheet Raw'!$A$4:$A$8000,IF(ISNUMBER(SEARCH("Chargable",$A495)),"2-Proposals Chargeable","3-Proposals Regular"),'Timesheet Raw'!$C$4:$C$8000,"*"&amp;$B495&amp;"*",'Timesheet Raw'!$L$4:$L$8000,"&gt;="&amp;MAX(G$5,DATE(2000+VALUE(RIGHT(TRIM($A495),2)),1,1)),'Timesheet Raw'!$L$4:$L$8000,"&lt;="&amp;MIN(G$6,DATE(2000+VALUE(RIGHT(TRIM($A495),2)),12,31))),SUMIFS('Timesheet Raw'!$P$4:$P$8000,'Timesheet Raw'!$B$4:$B$8000,TRIM($A495),'Timesheet Raw'!$C$4:$C$8000,"*"&amp;$B495&amp;"*",'Timesheet Raw'!$L$4:$L$8000,"&gt;="&amp;G$5,'Timesheet Raw'!$L$4:$L$8000,"&lt;="&amp;G$6)))/'Profit Plan'!$B$5)</f>
        <v/>
      </c>
      <c r="H495" s="122" t="str">
        <f>IF($A495="","",(IF(ISNUMBER(SEARCH("Proposal",$A495)),SUMIFS('Timesheet Raw'!$P$4:$P$8000,'Timesheet Raw'!$A$4:$A$8000,IF(ISNUMBER(SEARCH("Chargable",$A495)),"2-Proposals Chargeable","3-Proposals Regular"),'Timesheet Raw'!$C$4:$C$8000,"*"&amp;$B495&amp;"*",'Timesheet Raw'!$L$4:$L$8000,"&gt;="&amp;MAX(H$5,DATE(2000+VALUE(RIGHT(TRIM($A495),2)),1,1)),'Timesheet Raw'!$L$4:$L$8000,"&lt;="&amp;MIN(H$6,DATE(2000+VALUE(RIGHT(TRIM($A495),2)),12,31))),SUMIFS('Timesheet Raw'!$P$4:$P$8000,'Timesheet Raw'!$B$4:$B$8000,TRIM($A495),'Timesheet Raw'!$C$4:$C$8000,"*"&amp;$B495&amp;"*",'Timesheet Raw'!$L$4:$L$8000,"&gt;="&amp;H$5,'Timesheet Raw'!$L$4:$L$8000,"&lt;="&amp;H$6)))/'Profit Plan'!$B$5)</f>
        <v/>
      </c>
      <c r="I495" s="122" t="str">
        <f>IF($A495="","",(IF(ISNUMBER(SEARCH("Proposal",$A495)),SUMIFS('Timesheet Raw'!$P$4:$P$8000,'Timesheet Raw'!$A$4:$A$8000,IF(ISNUMBER(SEARCH("Chargable",$A495)),"2-Proposals Chargeable","3-Proposals Regular"),'Timesheet Raw'!$C$4:$C$8000,"*"&amp;$B495&amp;"*",'Timesheet Raw'!$L$4:$L$8000,"&gt;="&amp;MAX(I$5,DATE(2000+VALUE(RIGHT(TRIM($A495),2)),1,1)),'Timesheet Raw'!$L$4:$L$8000,"&lt;="&amp;MIN(I$6,DATE(2000+VALUE(RIGHT(TRIM($A495),2)),12,31))),SUMIFS('Timesheet Raw'!$P$4:$P$8000,'Timesheet Raw'!$B$4:$B$8000,TRIM($A495),'Timesheet Raw'!$C$4:$C$8000,"*"&amp;$B495&amp;"*",'Timesheet Raw'!$L$4:$L$8000,"&gt;="&amp;I$5,'Timesheet Raw'!$L$4:$L$8000,"&lt;="&amp;I$6)))/'Profit Plan'!$B$5)</f>
        <v/>
      </c>
      <c r="J495" s="122" t="str">
        <f>IF($A495="","",(IF(ISNUMBER(SEARCH("Proposal",$A495)),SUMIFS('Timesheet Raw'!$P$4:$P$8000,'Timesheet Raw'!$A$4:$A$8000,IF(ISNUMBER(SEARCH("Chargable",$A495)),"2-Proposals Chargeable","3-Proposals Regular"),'Timesheet Raw'!$C$4:$C$8000,"*"&amp;$B495&amp;"*",'Timesheet Raw'!$L$4:$L$8000,"&gt;="&amp;MAX(J$5,DATE(2000+VALUE(RIGHT(TRIM($A495),2)),1,1)),'Timesheet Raw'!$L$4:$L$8000,"&lt;="&amp;MIN(J$6,DATE(2000+VALUE(RIGHT(TRIM($A495),2)),12,31))),SUMIFS('Timesheet Raw'!$P$4:$P$8000,'Timesheet Raw'!$B$4:$B$8000,TRIM($A495),'Timesheet Raw'!$C$4:$C$8000,"*"&amp;$B495&amp;"*",'Timesheet Raw'!$L$4:$L$8000,"&gt;="&amp;J$5,'Timesheet Raw'!$L$4:$L$8000,"&lt;="&amp;J$6)))/'Profit Plan'!$B$5)</f>
        <v/>
      </c>
      <c r="K495" s="122" t="str">
        <f>IF($A495="","",(IF(ISNUMBER(SEARCH("Proposal",$A495)),SUMIFS('Timesheet Raw'!$P$4:$P$8000,'Timesheet Raw'!$A$4:$A$8000,IF(ISNUMBER(SEARCH("Chargable",$A495)),"2-Proposals Chargeable","3-Proposals Regular"),'Timesheet Raw'!$C$4:$C$8000,"*"&amp;$B495&amp;"*",'Timesheet Raw'!$L$4:$L$8000,"&gt;="&amp;MAX(K$5,DATE(2000+VALUE(RIGHT(TRIM($A495),2)),1,1)),'Timesheet Raw'!$L$4:$L$8000,"&lt;="&amp;MIN(K$6,DATE(2000+VALUE(RIGHT(TRIM($A495),2)),12,31))),SUMIFS('Timesheet Raw'!$P$4:$P$8000,'Timesheet Raw'!$B$4:$B$8000,TRIM($A495),'Timesheet Raw'!$C$4:$C$8000,"*"&amp;$B495&amp;"*",'Timesheet Raw'!$L$4:$L$8000,"&gt;="&amp;K$5,'Timesheet Raw'!$L$4:$L$8000,"&lt;="&amp;K$6)))/'Profit Plan'!$B$5)</f>
        <v/>
      </c>
      <c r="L495" s="122" t="str">
        <f>IF($A495="","",(IF(ISNUMBER(SEARCH("Proposal",$A495)),SUMIFS('Timesheet Raw'!$P$4:$P$8000,'Timesheet Raw'!$A$4:$A$8000,IF(ISNUMBER(SEARCH("Chargable",$A495)),"2-Proposals Chargeable","3-Proposals Regular"),'Timesheet Raw'!$C$4:$C$8000,"*"&amp;$B495&amp;"*",'Timesheet Raw'!$L$4:$L$8000,"&gt;="&amp;MAX(L$5,DATE(2000+VALUE(RIGHT(TRIM($A495),2)),1,1)),'Timesheet Raw'!$L$4:$L$8000,"&lt;="&amp;MIN(L$6,DATE(2000+VALUE(RIGHT(TRIM($A495),2)),12,31))),SUMIFS('Timesheet Raw'!$P$4:$P$8000,'Timesheet Raw'!$B$4:$B$8000,TRIM($A495),'Timesheet Raw'!$C$4:$C$8000,"*"&amp;$B495&amp;"*",'Timesheet Raw'!$L$4:$L$8000,"&gt;="&amp;L$5,'Timesheet Raw'!$L$4:$L$8000,"&lt;="&amp;L$6)))/'Profit Plan'!$B$5)</f>
        <v/>
      </c>
      <c r="M495" s="122" t="str">
        <f>IF($A495="","",(IF(ISNUMBER(SEARCH("Proposal",$A495)),SUMIFS('Timesheet Raw'!$P$4:$P$8000,'Timesheet Raw'!$A$4:$A$8000,IF(ISNUMBER(SEARCH("Chargable",$A495)),"2-Proposals Chargeable","3-Proposals Regular"),'Timesheet Raw'!$C$4:$C$8000,"*"&amp;$B495&amp;"*",'Timesheet Raw'!$L$4:$L$8000,"&gt;="&amp;MAX(M$5,DATE(2000+VALUE(RIGHT(TRIM($A495),2)),1,1)),'Timesheet Raw'!$L$4:$L$8000,"&lt;="&amp;MIN(M$6,DATE(2000+VALUE(RIGHT(TRIM($A495),2)),12,31))),SUMIFS('Timesheet Raw'!$P$4:$P$8000,'Timesheet Raw'!$B$4:$B$8000,TRIM($A495),'Timesheet Raw'!$C$4:$C$8000,"*"&amp;$B495&amp;"*",'Timesheet Raw'!$L$4:$L$8000,"&gt;="&amp;M$5,'Timesheet Raw'!$L$4:$L$8000,"&lt;="&amp;M$6)))/'Profit Plan'!$B$5)</f>
        <v/>
      </c>
      <c r="N495" s="122" t="str">
        <f>IF($A495="","",(IF(ISNUMBER(SEARCH("Proposal",$A495)),SUMIFS('Timesheet Raw'!$P$4:$P$8000,'Timesheet Raw'!$A$4:$A$8000,IF(ISNUMBER(SEARCH("Chargable",$A495)),"2-Proposals Chargeable","3-Proposals Regular"),'Timesheet Raw'!$C$4:$C$8000,"*"&amp;$B495&amp;"*",'Timesheet Raw'!$L$4:$L$8000,"&gt;="&amp;MAX(N$5,DATE(2000+VALUE(RIGHT(TRIM($A495),2)),1,1)),'Timesheet Raw'!$L$4:$L$8000,"&lt;="&amp;MIN(N$6,DATE(2000+VALUE(RIGHT(TRIM($A495),2)),12,31))),SUMIFS('Timesheet Raw'!$P$4:$P$8000,'Timesheet Raw'!$B$4:$B$8000,TRIM($A495),'Timesheet Raw'!$C$4:$C$8000,"*"&amp;$B495&amp;"*",'Timesheet Raw'!$L$4:$L$8000,"&gt;="&amp;N$5,'Timesheet Raw'!$L$4:$L$8000,"&lt;="&amp;N$6)))/'Profit Plan'!$B$5)</f>
        <v/>
      </c>
      <c r="O495" s="122" t="str">
        <f>IF($A495="","",(IF(ISNUMBER(SEARCH("Proposal",$A495)),SUMIFS('Timesheet Raw'!$P$4:$P$8000,'Timesheet Raw'!$A$4:$A$8000,IF(ISNUMBER(SEARCH("Chargable",$A495)),"2-Proposals Chargeable","3-Proposals Regular"),'Timesheet Raw'!$C$4:$C$8000,"*"&amp;$B495&amp;"*",'Timesheet Raw'!$L$4:$L$8000,"&gt;="&amp;MAX(O$5,DATE(2000+VALUE(RIGHT(TRIM($A495),2)),1,1)),'Timesheet Raw'!$L$4:$L$8000,"&lt;="&amp;MIN(O$6,DATE(2000+VALUE(RIGHT(TRIM($A495),2)),12,31))),SUMIFS('Timesheet Raw'!$P$4:$P$8000,'Timesheet Raw'!$B$4:$B$8000,TRIM($A495),'Timesheet Raw'!$C$4:$C$8000,"*"&amp;$B495&amp;"*",'Timesheet Raw'!$L$4:$L$8000,"&gt;="&amp;O$5,'Timesheet Raw'!$L$4:$L$8000,"&lt;="&amp;O$6)))/'Profit Plan'!$B$5)</f>
        <v/>
      </c>
      <c r="P495" s="122" t="str">
        <f>IF($A495="","",(IF(ISNUMBER(SEARCH("Proposal",$A495)),SUMIFS('Timesheet Raw'!$P$4:$P$8000,'Timesheet Raw'!$A$4:$A$8000,IF(ISNUMBER(SEARCH("Chargable",$A495)),"2-Proposals Chargeable","3-Proposals Regular"),'Timesheet Raw'!$C$4:$C$8000,"*"&amp;$B495&amp;"*",'Timesheet Raw'!$L$4:$L$8000,"&gt;="&amp;MAX(P$5,DATE(2000+VALUE(RIGHT(TRIM($A495),2)),1,1)),'Timesheet Raw'!$L$4:$L$8000,"&lt;="&amp;MIN(P$6,DATE(2000+VALUE(RIGHT(TRIM($A495),2)),12,31))),SUMIFS('Timesheet Raw'!$P$4:$P$8000,'Timesheet Raw'!$B$4:$B$8000,TRIM($A495),'Timesheet Raw'!$C$4:$C$8000,"*"&amp;$B495&amp;"*",'Timesheet Raw'!$L$4:$L$8000,"&gt;="&amp;P$5,'Timesheet Raw'!$L$4:$L$8000,"&lt;="&amp;P$6)))/'Profit Plan'!$B$5)</f>
        <v/>
      </c>
      <c r="Q495" s="122" t="str">
        <f>IF($A495="","",(IF(ISNUMBER(SEARCH("Proposal",$A495)),SUMIFS('Timesheet Raw'!$P$4:$P$8000,'Timesheet Raw'!$A$4:$A$8000,IF(ISNUMBER(SEARCH("Chargable",$A495)),"2-Proposals Chargeable","3-Proposals Regular"),'Timesheet Raw'!$C$4:$C$8000,"*"&amp;$B495&amp;"*",'Timesheet Raw'!$L$4:$L$8000,"&gt;="&amp;MAX(Q$5,DATE(2000+VALUE(RIGHT(TRIM($A495),2)),1,1)),'Timesheet Raw'!$L$4:$L$8000,"&lt;="&amp;MIN(Q$6,DATE(2000+VALUE(RIGHT(TRIM($A495),2)),12,31))),SUMIFS('Timesheet Raw'!$P$4:$P$8000,'Timesheet Raw'!$B$4:$B$8000,TRIM($A495),'Timesheet Raw'!$C$4:$C$8000,"*"&amp;$B495&amp;"*",'Timesheet Raw'!$L$4:$L$8000,"&gt;="&amp;Q$5,'Timesheet Raw'!$L$4:$L$8000,"&lt;="&amp;Q$6)))/'Profit Plan'!$B$5)</f>
        <v/>
      </c>
      <c r="R495" s="122" t="str">
        <f>IF($A495="","",(IF(ISNUMBER(SEARCH("Proposal",$A495)),SUMIFS('Timesheet Raw'!$P$4:$P$8000,'Timesheet Raw'!$A$4:$A$8000,IF(ISNUMBER(SEARCH("Chargable",$A495)),"2-Proposals Chargeable","3-Proposals Regular"),'Timesheet Raw'!$C$4:$C$8000,"*"&amp;$B495&amp;"*",'Timesheet Raw'!$L$4:$L$8000,"&gt;="&amp;MAX(R$5,DATE(2000+VALUE(RIGHT(TRIM($A495),2)),1,1)),'Timesheet Raw'!$L$4:$L$8000,"&lt;="&amp;MIN(R$6,DATE(2000+VALUE(RIGHT(TRIM($A495),2)),12,31))),SUMIFS('Timesheet Raw'!$P$4:$P$8000,'Timesheet Raw'!$B$4:$B$8000,TRIM($A495),'Timesheet Raw'!$C$4:$C$8000,"*"&amp;$B495&amp;"*",'Timesheet Raw'!$L$4:$L$8000,"&gt;="&amp;R$5,'Timesheet Raw'!$L$4:$L$8000,"&lt;="&amp;R$6)))/'Profit Plan'!$B$5)</f>
        <v/>
      </c>
      <c r="S495" s="122" t="str">
        <f>IF($A495="","",(IF(ISNUMBER(SEARCH("Proposal",$A495)),SUMIFS('Timesheet Raw'!$P$4:$P$8000,'Timesheet Raw'!$A$4:$A$8000,IF(ISNUMBER(SEARCH("Chargable",$A495)),"2-Proposals Chargeable","3-Proposals Regular"),'Timesheet Raw'!$C$4:$C$8000,"*"&amp;$B495&amp;"*",'Timesheet Raw'!$L$4:$L$8000,"&gt;="&amp;MAX(S$5,DATE(2000+VALUE(RIGHT(TRIM($A495),2)),1,1)),'Timesheet Raw'!$L$4:$L$8000,"&lt;="&amp;MIN(S$6,DATE(2000+VALUE(RIGHT(TRIM($A495),2)),12,31))),SUMIFS('Timesheet Raw'!$P$4:$P$8000,'Timesheet Raw'!$B$4:$B$8000,TRIM($A495),'Timesheet Raw'!$C$4:$C$8000,"*"&amp;$B495&amp;"*",'Timesheet Raw'!$L$4:$L$8000,"&gt;="&amp;S$5,'Timesheet Raw'!$L$4:$L$8000,"&lt;="&amp;S$6)))/'Profit Plan'!$B$5)</f>
        <v/>
      </c>
      <c r="T495" s="122" t="str">
        <f>IF($A495="","",(IF(ISNUMBER(SEARCH("Proposal",$A495)),SUMIFS('Timesheet Raw'!$P$4:$P$8000,'Timesheet Raw'!$A$4:$A$8000,IF(ISNUMBER(SEARCH("Chargable",$A495)),"2-Proposals Chargeable","3-Proposals Regular"),'Timesheet Raw'!$C$4:$C$8000,"*"&amp;$B495&amp;"*",'Timesheet Raw'!$L$4:$L$8000,"&gt;="&amp;MAX(T$5,DATE(2000+VALUE(RIGHT(TRIM($A495),2)),1,1)),'Timesheet Raw'!$L$4:$L$8000,"&lt;="&amp;MIN(T$6,DATE(2000+VALUE(RIGHT(TRIM($A495),2)),12,31))),SUMIFS('Timesheet Raw'!$P$4:$P$8000,'Timesheet Raw'!$B$4:$B$8000,TRIM($A495),'Timesheet Raw'!$C$4:$C$8000,"*"&amp;$B495&amp;"*",'Timesheet Raw'!$L$4:$L$8000,"&gt;="&amp;T$5,'Timesheet Raw'!$L$4:$L$8000,"&lt;="&amp;T$6)))/'Profit Plan'!$B$5)</f>
        <v/>
      </c>
      <c r="U495" s="122" t="str">
        <f>IF($A495="","",(IF(ISNUMBER(SEARCH("Proposal",$A495)),SUMIFS('Timesheet Raw'!$P$4:$P$8000,'Timesheet Raw'!$A$4:$A$8000,IF(ISNUMBER(SEARCH("Chargable",$A495)),"2-Proposals Chargeable","3-Proposals Regular"),'Timesheet Raw'!$C$4:$C$8000,"*"&amp;$B495&amp;"*",'Timesheet Raw'!$L$4:$L$8000,"&gt;="&amp;MAX(U$5,DATE(2000+VALUE(RIGHT(TRIM($A495),2)),1,1)),'Timesheet Raw'!$L$4:$L$8000,"&lt;="&amp;MIN(U$6,DATE(2000+VALUE(RIGHT(TRIM($A495),2)),12,31))),SUMIFS('Timesheet Raw'!$P$4:$P$8000,'Timesheet Raw'!$B$4:$B$8000,TRIM($A495),'Timesheet Raw'!$C$4:$C$8000,"*"&amp;$B495&amp;"*",'Timesheet Raw'!$L$4:$L$8000,"&gt;="&amp;U$5,'Timesheet Raw'!$L$4:$L$8000,"&lt;="&amp;U$6)))/'Profit Plan'!$B$5)</f>
        <v/>
      </c>
      <c r="V495" s="122" t="str">
        <f>IF($A495="","",(IF(ISNUMBER(SEARCH("Proposal",$A495)),SUMIFS('Timesheet Raw'!$P$4:$P$8000,'Timesheet Raw'!$A$4:$A$8000,IF(ISNUMBER(SEARCH("Chargable",$A495)),"2-Proposals Chargeable","3-Proposals Regular"),'Timesheet Raw'!$C$4:$C$8000,"*"&amp;$B495&amp;"*",'Timesheet Raw'!$L$4:$L$8000,"&gt;="&amp;MAX(V$5,DATE(2000+VALUE(RIGHT(TRIM($A495),2)),1,1)),'Timesheet Raw'!$L$4:$L$8000,"&lt;="&amp;MIN(V$6,DATE(2000+VALUE(RIGHT(TRIM($A495),2)),12,31))),SUMIFS('Timesheet Raw'!$P$4:$P$8000,'Timesheet Raw'!$B$4:$B$8000,TRIM($A495),'Timesheet Raw'!$C$4:$C$8000,"*"&amp;$B495&amp;"*",'Timesheet Raw'!$L$4:$L$8000,"&gt;="&amp;V$5,'Timesheet Raw'!$L$4:$L$8000,"&lt;="&amp;V$6)))/'Profit Plan'!$B$5)</f>
        <v/>
      </c>
      <c r="W495" s="122" t="str">
        <f>IF($A495="","",(IF(ISNUMBER(SEARCH("Proposal",$A495)),SUMIFS('Timesheet Raw'!$P$4:$P$8000,'Timesheet Raw'!$A$4:$A$8000,IF(ISNUMBER(SEARCH("Chargable",$A495)),"2-Proposals Chargeable","3-Proposals Regular"),'Timesheet Raw'!$C$4:$C$8000,"*"&amp;$B495&amp;"*",'Timesheet Raw'!$L$4:$L$8000,"&gt;="&amp;MAX(W$5,DATE(2000+VALUE(RIGHT(TRIM($A495),2)),1,1)),'Timesheet Raw'!$L$4:$L$8000,"&lt;="&amp;MIN(W$6,DATE(2000+VALUE(RIGHT(TRIM($A495),2)),12,31))),SUMIFS('Timesheet Raw'!$P$4:$P$8000,'Timesheet Raw'!$B$4:$B$8000,TRIM($A495),'Timesheet Raw'!$C$4:$C$8000,"*"&amp;$B495&amp;"*",'Timesheet Raw'!$L$4:$L$8000,"&gt;="&amp;W$5,'Timesheet Raw'!$L$4:$L$8000,"&lt;="&amp;W$6)))/'Profit Plan'!$B$5)</f>
        <v/>
      </c>
      <c r="X495" s="122" t="str">
        <f>IF($A495="","",(IF(ISNUMBER(SEARCH("Proposal",$A495)),SUMIFS('Timesheet Raw'!$P$4:$P$8000,'Timesheet Raw'!$A$4:$A$8000,IF(ISNUMBER(SEARCH("Chargable",$A495)),"2-Proposals Chargeable","3-Proposals Regular"),'Timesheet Raw'!$C$4:$C$8000,"*"&amp;$B495&amp;"*",'Timesheet Raw'!$L$4:$L$8000,"&gt;="&amp;MAX(X$5,DATE(2000+VALUE(RIGHT(TRIM($A495),2)),1,1)),'Timesheet Raw'!$L$4:$L$8000,"&lt;="&amp;MIN(X$6,DATE(2000+VALUE(RIGHT(TRIM($A495),2)),12,31))),SUMIFS('Timesheet Raw'!$P$4:$P$8000,'Timesheet Raw'!$B$4:$B$8000,TRIM($A495),'Timesheet Raw'!$C$4:$C$8000,"*"&amp;$B495&amp;"*",'Timesheet Raw'!$L$4:$L$8000,"&gt;="&amp;X$5,'Timesheet Raw'!$L$4:$L$8000,"&lt;="&amp;X$6)))/'Profit Plan'!$B$5)</f>
        <v/>
      </c>
      <c r="Y495" s="118">
        <f t="shared" si="103"/>
        <v>0</v>
      </c>
    </row>
    <row r="496" spans="1:25" x14ac:dyDescent="0.3">
      <c r="A496" s="116" t="str">
        <f>IF(Inputs!$A83="","",Inputs!$A83)</f>
        <v/>
      </c>
      <c r="B496" s="116" t="str">
        <f>IF(Inputs!$A83="","",Inputs!$A$91)</f>
        <v/>
      </c>
      <c r="C496" s="116"/>
      <c r="D496" s="122" t="str">
        <f>IF($A496="","",(IF(ISNUMBER(SEARCH("Proposal",$A496)),SUMIFS('Timesheet Raw'!$P$4:$P$8000,'Timesheet Raw'!$A$4:$A$8000,IF(ISNUMBER(SEARCH("Chargable",$A496)),"2-Proposals Chargeable","3-Proposals Regular"),'Timesheet Raw'!$C$4:$C$8000,"*"&amp;$B496&amp;"*",'Timesheet Raw'!$L$4:$L$8000,"&gt;="&amp;MAX(D$5,DATE(2000+VALUE(RIGHT(TRIM($A496),2)),1,1)),'Timesheet Raw'!$L$4:$L$8000,"&lt;="&amp;MIN(D$6,DATE(2000+VALUE(RIGHT(TRIM($A496),2)),12,31))),SUMIFS('Timesheet Raw'!$P$4:$P$8000,'Timesheet Raw'!$B$4:$B$8000,TRIM($A496),'Timesheet Raw'!$C$4:$C$8000,"*"&amp;$B496&amp;"*",'Timesheet Raw'!$L$4:$L$8000,"&gt;="&amp;D$5,'Timesheet Raw'!$L$4:$L$8000,"&lt;="&amp;D$6)))/'Profit Plan'!$B$5)</f>
        <v/>
      </c>
      <c r="E496" s="122" t="str">
        <f>IF($A496="","",(IF(ISNUMBER(SEARCH("Proposal",$A496)),SUMIFS('Timesheet Raw'!$P$4:$P$8000,'Timesheet Raw'!$A$4:$A$8000,IF(ISNUMBER(SEARCH("Chargable",$A496)),"2-Proposals Chargeable","3-Proposals Regular"),'Timesheet Raw'!$C$4:$C$8000,"*"&amp;$B496&amp;"*",'Timesheet Raw'!$L$4:$L$8000,"&gt;="&amp;MAX(E$5,DATE(2000+VALUE(RIGHT(TRIM($A496),2)),1,1)),'Timesheet Raw'!$L$4:$L$8000,"&lt;="&amp;MIN(E$6,DATE(2000+VALUE(RIGHT(TRIM($A496),2)),12,31))),SUMIFS('Timesheet Raw'!$P$4:$P$8000,'Timesheet Raw'!$B$4:$B$8000,TRIM($A496),'Timesheet Raw'!$C$4:$C$8000,"*"&amp;$B496&amp;"*",'Timesheet Raw'!$L$4:$L$8000,"&gt;="&amp;E$5,'Timesheet Raw'!$L$4:$L$8000,"&lt;="&amp;E$6)))/'Profit Plan'!$B$5)</f>
        <v/>
      </c>
      <c r="F496" s="122" t="str">
        <f>IF($A496="","",(IF(ISNUMBER(SEARCH("Proposal",$A496)),SUMIFS('Timesheet Raw'!$P$4:$P$8000,'Timesheet Raw'!$A$4:$A$8000,IF(ISNUMBER(SEARCH("Chargable",$A496)),"2-Proposals Chargeable","3-Proposals Regular"),'Timesheet Raw'!$C$4:$C$8000,"*"&amp;$B496&amp;"*",'Timesheet Raw'!$L$4:$L$8000,"&gt;="&amp;MAX(F$5,DATE(2000+VALUE(RIGHT(TRIM($A496),2)),1,1)),'Timesheet Raw'!$L$4:$L$8000,"&lt;="&amp;MIN(F$6,DATE(2000+VALUE(RIGHT(TRIM($A496),2)),12,31))),SUMIFS('Timesheet Raw'!$P$4:$P$8000,'Timesheet Raw'!$B$4:$B$8000,TRIM($A496),'Timesheet Raw'!$C$4:$C$8000,"*"&amp;$B496&amp;"*",'Timesheet Raw'!$L$4:$L$8000,"&gt;="&amp;F$5,'Timesheet Raw'!$L$4:$L$8000,"&lt;="&amp;F$6)))/'Profit Plan'!$B$5)</f>
        <v/>
      </c>
      <c r="G496" s="122" t="str">
        <f>IF($A496="","",(IF(ISNUMBER(SEARCH("Proposal",$A496)),SUMIFS('Timesheet Raw'!$P$4:$P$8000,'Timesheet Raw'!$A$4:$A$8000,IF(ISNUMBER(SEARCH("Chargable",$A496)),"2-Proposals Chargeable","3-Proposals Regular"),'Timesheet Raw'!$C$4:$C$8000,"*"&amp;$B496&amp;"*",'Timesheet Raw'!$L$4:$L$8000,"&gt;="&amp;MAX(G$5,DATE(2000+VALUE(RIGHT(TRIM($A496),2)),1,1)),'Timesheet Raw'!$L$4:$L$8000,"&lt;="&amp;MIN(G$6,DATE(2000+VALUE(RIGHT(TRIM($A496),2)),12,31))),SUMIFS('Timesheet Raw'!$P$4:$P$8000,'Timesheet Raw'!$B$4:$B$8000,TRIM($A496),'Timesheet Raw'!$C$4:$C$8000,"*"&amp;$B496&amp;"*",'Timesheet Raw'!$L$4:$L$8000,"&gt;="&amp;G$5,'Timesheet Raw'!$L$4:$L$8000,"&lt;="&amp;G$6)))/'Profit Plan'!$B$5)</f>
        <v/>
      </c>
      <c r="H496" s="122" t="str">
        <f>IF($A496="","",(IF(ISNUMBER(SEARCH("Proposal",$A496)),SUMIFS('Timesheet Raw'!$P$4:$P$8000,'Timesheet Raw'!$A$4:$A$8000,IF(ISNUMBER(SEARCH("Chargable",$A496)),"2-Proposals Chargeable","3-Proposals Regular"),'Timesheet Raw'!$C$4:$C$8000,"*"&amp;$B496&amp;"*",'Timesheet Raw'!$L$4:$L$8000,"&gt;="&amp;MAX(H$5,DATE(2000+VALUE(RIGHT(TRIM($A496),2)),1,1)),'Timesheet Raw'!$L$4:$L$8000,"&lt;="&amp;MIN(H$6,DATE(2000+VALUE(RIGHT(TRIM($A496),2)),12,31))),SUMIFS('Timesheet Raw'!$P$4:$P$8000,'Timesheet Raw'!$B$4:$B$8000,TRIM($A496),'Timesheet Raw'!$C$4:$C$8000,"*"&amp;$B496&amp;"*",'Timesheet Raw'!$L$4:$L$8000,"&gt;="&amp;H$5,'Timesheet Raw'!$L$4:$L$8000,"&lt;="&amp;H$6)))/'Profit Plan'!$B$5)</f>
        <v/>
      </c>
      <c r="I496" s="122" t="str">
        <f>IF($A496="","",(IF(ISNUMBER(SEARCH("Proposal",$A496)),SUMIFS('Timesheet Raw'!$P$4:$P$8000,'Timesheet Raw'!$A$4:$A$8000,IF(ISNUMBER(SEARCH("Chargable",$A496)),"2-Proposals Chargeable","3-Proposals Regular"),'Timesheet Raw'!$C$4:$C$8000,"*"&amp;$B496&amp;"*",'Timesheet Raw'!$L$4:$L$8000,"&gt;="&amp;MAX(I$5,DATE(2000+VALUE(RIGHT(TRIM($A496),2)),1,1)),'Timesheet Raw'!$L$4:$L$8000,"&lt;="&amp;MIN(I$6,DATE(2000+VALUE(RIGHT(TRIM($A496),2)),12,31))),SUMIFS('Timesheet Raw'!$P$4:$P$8000,'Timesheet Raw'!$B$4:$B$8000,TRIM($A496),'Timesheet Raw'!$C$4:$C$8000,"*"&amp;$B496&amp;"*",'Timesheet Raw'!$L$4:$L$8000,"&gt;="&amp;I$5,'Timesheet Raw'!$L$4:$L$8000,"&lt;="&amp;I$6)))/'Profit Plan'!$B$5)</f>
        <v/>
      </c>
      <c r="J496" s="122" t="str">
        <f>IF($A496="","",(IF(ISNUMBER(SEARCH("Proposal",$A496)),SUMIFS('Timesheet Raw'!$P$4:$P$8000,'Timesheet Raw'!$A$4:$A$8000,IF(ISNUMBER(SEARCH("Chargable",$A496)),"2-Proposals Chargeable","3-Proposals Regular"),'Timesheet Raw'!$C$4:$C$8000,"*"&amp;$B496&amp;"*",'Timesheet Raw'!$L$4:$L$8000,"&gt;="&amp;MAX(J$5,DATE(2000+VALUE(RIGHT(TRIM($A496),2)),1,1)),'Timesheet Raw'!$L$4:$L$8000,"&lt;="&amp;MIN(J$6,DATE(2000+VALUE(RIGHT(TRIM($A496),2)),12,31))),SUMIFS('Timesheet Raw'!$P$4:$P$8000,'Timesheet Raw'!$B$4:$B$8000,TRIM($A496),'Timesheet Raw'!$C$4:$C$8000,"*"&amp;$B496&amp;"*",'Timesheet Raw'!$L$4:$L$8000,"&gt;="&amp;J$5,'Timesheet Raw'!$L$4:$L$8000,"&lt;="&amp;J$6)))/'Profit Plan'!$B$5)</f>
        <v/>
      </c>
      <c r="K496" s="122" t="str">
        <f>IF($A496="","",(IF(ISNUMBER(SEARCH("Proposal",$A496)),SUMIFS('Timesheet Raw'!$P$4:$P$8000,'Timesheet Raw'!$A$4:$A$8000,IF(ISNUMBER(SEARCH("Chargable",$A496)),"2-Proposals Chargeable","3-Proposals Regular"),'Timesheet Raw'!$C$4:$C$8000,"*"&amp;$B496&amp;"*",'Timesheet Raw'!$L$4:$L$8000,"&gt;="&amp;MAX(K$5,DATE(2000+VALUE(RIGHT(TRIM($A496),2)),1,1)),'Timesheet Raw'!$L$4:$L$8000,"&lt;="&amp;MIN(K$6,DATE(2000+VALUE(RIGHT(TRIM($A496),2)),12,31))),SUMIFS('Timesheet Raw'!$P$4:$P$8000,'Timesheet Raw'!$B$4:$B$8000,TRIM($A496),'Timesheet Raw'!$C$4:$C$8000,"*"&amp;$B496&amp;"*",'Timesheet Raw'!$L$4:$L$8000,"&gt;="&amp;K$5,'Timesheet Raw'!$L$4:$L$8000,"&lt;="&amp;K$6)))/'Profit Plan'!$B$5)</f>
        <v/>
      </c>
      <c r="L496" s="122" t="str">
        <f>IF($A496="","",(IF(ISNUMBER(SEARCH("Proposal",$A496)),SUMIFS('Timesheet Raw'!$P$4:$P$8000,'Timesheet Raw'!$A$4:$A$8000,IF(ISNUMBER(SEARCH("Chargable",$A496)),"2-Proposals Chargeable","3-Proposals Regular"),'Timesheet Raw'!$C$4:$C$8000,"*"&amp;$B496&amp;"*",'Timesheet Raw'!$L$4:$L$8000,"&gt;="&amp;MAX(L$5,DATE(2000+VALUE(RIGHT(TRIM($A496),2)),1,1)),'Timesheet Raw'!$L$4:$L$8000,"&lt;="&amp;MIN(L$6,DATE(2000+VALUE(RIGHT(TRIM($A496),2)),12,31))),SUMIFS('Timesheet Raw'!$P$4:$P$8000,'Timesheet Raw'!$B$4:$B$8000,TRIM($A496),'Timesheet Raw'!$C$4:$C$8000,"*"&amp;$B496&amp;"*",'Timesheet Raw'!$L$4:$L$8000,"&gt;="&amp;L$5,'Timesheet Raw'!$L$4:$L$8000,"&lt;="&amp;L$6)))/'Profit Plan'!$B$5)</f>
        <v/>
      </c>
      <c r="M496" s="122" t="str">
        <f>IF($A496="","",(IF(ISNUMBER(SEARCH("Proposal",$A496)),SUMIFS('Timesheet Raw'!$P$4:$P$8000,'Timesheet Raw'!$A$4:$A$8000,IF(ISNUMBER(SEARCH("Chargable",$A496)),"2-Proposals Chargeable","3-Proposals Regular"),'Timesheet Raw'!$C$4:$C$8000,"*"&amp;$B496&amp;"*",'Timesheet Raw'!$L$4:$L$8000,"&gt;="&amp;MAX(M$5,DATE(2000+VALUE(RIGHT(TRIM($A496),2)),1,1)),'Timesheet Raw'!$L$4:$L$8000,"&lt;="&amp;MIN(M$6,DATE(2000+VALUE(RIGHT(TRIM($A496),2)),12,31))),SUMIFS('Timesheet Raw'!$P$4:$P$8000,'Timesheet Raw'!$B$4:$B$8000,TRIM($A496),'Timesheet Raw'!$C$4:$C$8000,"*"&amp;$B496&amp;"*",'Timesheet Raw'!$L$4:$L$8000,"&gt;="&amp;M$5,'Timesheet Raw'!$L$4:$L$8000,"&lt;="&amp;M$6)))/'Profit Plan'!$B$5)</f>
        <v/>
      </c>
      <c r="N496" s="122" t="str">
        <f>IF($A496="","",(IF(ISNUMBER(SEARCH("Proposal",$A496)),SUMIFS('Timesheet Raw'!$P$4:$P$8000,'Timesheet Raw'!$A$4:$A$8000,IF(ISNUMBER(SEARCH("Chargable",$A496)),"2-Proposals Chargeable","3-Proposals Regular"),'Timesheet Raw'!$C$4:$C$8000,"*"&amp;$B496&amp;"*",'Timesheet Raw'!$L$4:$L$8000,"&gt;="&amp;MAX(N$5,DATE(2000+VALUE(RIGHT(TRIM($A496),2)),1,1)),'Timesheet Raw'!$L$4:$L$8000,"&lt;="&amp;MIN(N$6,DATE(2000+VALUE(RIGHT(TRIM($A496),2)),12,31))),SUMIFS('Timesheet Raw'!$P$4:$P$8000,'Timesheet Raw'!$B$4:$B$8000,TRIM($A496),'Timesheet Raw'!$C$4:$C$8000,"*"&amp;$B496&amp;"*",'Timesheet Raw'!$L$4:$L$8000,"&gt;="&amp;N$5,'Timesheet Raw'!$L$4:$L$8000,"&lt;="&amp;N$6)))/'Profit Plan'!$B$5)</f>
        <v/>
      </c>
      <c r="O496" s="122" t="str">
        <f>IF($A496="","",(IF(ISNUMBER(SEARCH("Proposal",$A496)),SUMIFS('Timesheet Raw'!$P$4:$P$8000,'Timesheet Raw'!$A$4:$A$8000,IF(ISNUMBER(SEARCH("Chargable",$A496)),"2-Proposals Chargeable","3-Proposals Regular"),'Timesheet Raw'!$C$4:$C$8000,"*"&amp;$B496&amp;"*",'Timesheet Raw'!$L$4:$L$8000,"&gt;="&amp;MAX(O$5,DATE(2000+VALUE(RIGHT(TRIM($A496),2)),1,1)),'Timesheet Raw'!$L$4:$L$8000,"&lt;="&amp;MIN(O$6,DATE(2000+VALUE(RIGHT(TRIM($A496),2)),12,31))),SUMIFS('Timesheet Raw'!$P$4:$P$8000,'Timesheet Raw'!$B$4:$B$8000,TRIM($A496),'Timesheet Raw'!$C$4:$C$8000,"*"&amp;$B496&amp;"*",'Timesheet Raw'!$L$4:$L$8000,"&gt;="&amp;O$5,'Timesheet Raw'!$L$4:$L$8000,"&lt;="&amp;O$6)))/'Profit Plan'!$B$5)</f>
        <v/>
      </c>
      <c r="P496" s="122" t="str">
        <f>IF($A496="","",(IF(ISNUMBER(SEARCH("Proposal",$A496)),SUMIFS('Timesheet Raw'!$P$4:$P$8000,'Timesheet Raw'!$A$4:$A$8000,IF(ISNUMBER(SEARCH("Chargable",$A496)),"2-Proposals Chargeable","3-Proposals Regular"),'Timesheet Raw'!$C$4:$C$8000,"*"&amp;$B496&amp;"*",'Timesheet Raw'!$L$4:$L$8000,"&gt;="&amp;MAX(P$5,DATE(2000+VALUE(RIGHT(TRIM($A496),2)),1,1)),'Timesheet Raw'!$L$4:$L$8000,"&lt;="&amp;MIN(P$6,DATE(2000+VALUE(RIGHT(TRIM($A496),2)),12,31))),SUMIFS('Timesheet Raw'!$P$4:$P$8000,'Timesheet Raw'!$B$4:$B$8000,TRIM($A496),'Timesheet Raw'!$C$4:$C$8000,"*"&amp;$B496&amp;"*",'Timesheet Raw'!$L$4:$L$8000,"&gt;="&amp;P$5,'Timesheet Raw'!$L$4:$L$8000,"&lt;="&amp;P$6)))/'Profit Plan'!$B$5)</f>
        <v/>
      </c>
      <c r="Q496" s="122" t="str">
        <f>IF($A496="","",(IF(ISNUMBER(SEARCH("Proposal",$A496)),SUMIFS('Timesheet Raw'!$P$4:$P$8000,'Timesheet Raw'!$A$4:$A$8000,IF(ISNUMBER(SEARCH("Chargable",$A496)),"2-Proposals Chargeable","3-Proposals Regular"),'Timesheet Raw'!$C$4:$C$8000,"*"&amp;$B496&amp;"*",'Timesheet Raw'!$L$4:$L$8000,"&gt;="&amp;MAX(Q$5,DATE(2000+VALUE(RIGHT(TRIM($A496),2)),1,1)),'Timesheet Raw'!$L$4:$L$8000,"&lt;="&amp;MIN(Q$6,DATE(2000+VALUE(RIGHT(TRIM($A496),2)),12,31))),SUMIFS('Timesheet Raw'!$P$4:$P$8000,'Timesheet Raw'!$B$4:$B$8000,TRIM($A496),'Timesheet Raw'!$C$4:$C$8000,"*"&amp;$B496&amp;"*",'Timesheet Raw'!$L$4:$L$8000,"&gt;="&amp;Q$5,'Timesheet Raw'!$L$4:$L$8000,"&lt;="&amp;Q$6)))/'Profit Plan'!$B$5)</f>
        <v/>
      </c>
      <c r="R496" s="122" t="str">
        <f>IF($A496="","",(IF(ISNUMBER(SEARCH("Proposal",$A496)),SUMIFS('Timesheet Raw'!$P$4:$P$8000,'Timesheet Raw'!$A$4:$A$8000,IF(ISNUMBER(SEARCH("Chargable",$A496)),"2-Proposals Chargeable","3-Proposals Regular"),'Timesheet Raw'!$C$4:$C$8000,"*"&amp;$B496&amp;"*",'Timesheet Raw'!$L$4:$L$8000,"&gt;="&amp;MAX(R$5,DATE(2000+VALUE(RIGHT(TRIM($A496),2)),1,1)),'Timesheet Raw'!$L$4:$L$8000,"&lt;="&amp;MIN(R$6,DATE(2000+VALUE(RIGHT(TRIM($A496),2)),12,31))),SUMIFS('Timesheet Raw'!$P$4:$P$8000,'Timesheet Raw'!$B$4:$B$8000,TRIM($A496),'Timesheet Raw'!$C$4:$C$8000,"*"&amp;$B496&amp;"*",'Timesheet Raw'!$L$4:$L$8000,"&gt;="&amp;R$5,'Timesheet Raw'!$L$4:$L$8000,"&lt;="&amp;R$6)))/'Profit Plan'!$B$5)</f>
        <v/>
      </c>
      <c r="S496" s="122" t="str">
        <f>IF($A496="","",(IF(ISNUMBER(SEARCH("Proposal",$A496)),SUMIFS('Timesheet Raw'!$P$4:$P$8000,'Timesheet Raw'!$A$4:$A$8000,IF(ISNUMBER(SEARCH("Chargable",$A496)),"2-Proposals Chargeable","3-Proposals Regular"),'Timesheet Raw'!$C$4:$C$8000,"*"&amp;$B496&amp;"*",'Timesheet Raw'!$L$4:$L$8000,"&gt;="&amp;MAX(S$5,DATE(2000+VALUE(RIGHT(TRIM($A496),2)),1,1)),'Timesheet Raw'!$L$4:$L$8000,"&lt;="&amp;MIN(S$6,DATE(2000+VALUE(RIGHT(TRIM($A496),2)),12,31))),SUMIFS('Timesheet Raw'!$P$4:$P$8000,'Timesheet Raw'!$B$4:$B$8000,TRIM($A496),'Timesheet Raw'!$C$4:$C$8000,"*"&amp;$B496&amp;"*",'Timesheet Raw'!$L$4:$L$8000,"&gt;="&amp;S$5,'Timesheet Raw'!$L$4:$L$8000,"&lt;="&amp;S$6)))/'Profit Plan'!$B$5)</f>
        <v/>
      </c>
      <c r="T496" s="122" t="str">
        <f>IF($A496="","",(IF(ISNUMBER(SEARCH("Proposal",$A496)),SUMIFS('Timesheet Raw'!$P$4:$P$8000,'Timesheet Raw'!$A$4:$A$8000,IF(ISNUMBER(SEARCH("Chargable",$A496)),"2-Proposals Chargeable","3-Proposals Regular"),'Timesheet Raw'!$C$4:$C$8000,"*"&amp;$B496&amp;"*",'Timesheet Raw'!$L$4:$L$8000,"&gt;="&amp;MAX(T$5,DATE(2000+VALUE(RIGHT(TRIM($A496),2)),1,1)),'Timesheet Raw'!$L$4:$L$8000,"&lt;="&amp;MIN(T$6,DATE(2000+VALUE(RIGHT(TRIM($A496),2)),12,31))),SUMIFS('Timesheet Raw'!$P$4:$P$8000,'Timesheet Raw'!$B$4:$B$8000,TRIM($A496),'Timesheet Raw'!$C$4:$C$8000,"*"&amp;$B496&amp;"*",'Timesheet Raw'!$L$4:$L$8000,"&gt;="&amp;T$5,'Timesheet Raw'!$L$4:$L$8000,"&lt;="&amp;T$6)))/'Profit Plan'!$B$5)</f>
        <v/>
      </c>
      <c r="U496" s="122" t="str">
        <f>IF($A496="","",(IF(ISNUMBER(SEARCH("Proposal",$A496)),SUMIFS('Timesheet Raw'!$P$4:$P$8000,'Timesheet Raw'!$A$4:$A$8000,IF(ISNUMBER(SEARCH("Chargable",$A496)),"2-Proposals Chargeable","3-Proposals Regular"),'Timesheet Raw'!$C$4:$C$8000,"*"&amp;$B496&amp;"*",'Timesheet Raw'!$L$4:$L$8000,"&gt;="&amp;MAX(U$5,DATE(2000+VALUE(RIGHT(TRIM($A496),2)),1,1)),'Timesheet Raw'!$L$4:$L$8000,"&lt;="&amp;MIN(U$6,DATE(2000+VALUE(RIGHT(TRIM($A496),2)),12,31))),SUMIFS('Timesheet Raw'!$P$4:$P$8000,'Timesheet Raw'!$B$4:$B$8000,TRIM($A496),'Timesheet Raw'!$C$4:$C$8000,"*"&amp;$B496&amp;"*",'Timesheet Raw'!$L$4:$L$8000,"&gt;="&amp;U$5,'Timesheet Raw'!$L$4:$L$8000,"&lt;="&amp;U$6)))/'Profit Plan'!$B$5)</f>
        <v/>
      </c>
      <c r="V496" s="122" t="str">
        <f>IF($A496="","",(IF(ISNUMBER(SEARCH("Proposal",$A496)),SUMIFS('Timesheet Raw'!$P$4:$P$8000,'Timesheet Raw'!$A$4:$A$8000,IF(ISNUMBER(SEARCH("Chargable",$A496)),"2-Proposals Chargeable","3-Proposals Regular"),'Timesheet Raw'!$C$4:$C$8000,"*"&amp;$B496&amp;"*",'Timesheet Raw'!$L$4:$L$8000,"&gt;="&amp;MAX(V$5,DATE(2000+VALUE(RIGHT(TRIM($A496),2)),1,1)),'Timesheet Raw'!$L$4:$L$8000,"&lt;="&amp;MIN(V$6,DATE(2000+VALUE(RIGHT(TRIM($A496),2)),12,31))),SUMIFS('Timesheet Raw'!$P$4:$P$8000,'Timesheet Raw'!$B$4:$B$8000,TRIM($A496),'Timesheet Raw'!$C$4:$C$8000,"*"&amp;$B496&amp;"*",'Timesheet Raw'!$L$4:$L$8000,"&gt;="&amp;V$5,'Timesheet Raw'!$L$4:$L$8000,"&lt;="&amp;V$6)))/'Profit Plan'!$B$5)</f>
        <v/>
      </c>
      <c r="W496" s="122" t="str">
        <f>IF($A496="","",(IF(ISNUMBER(SEARCH("Proposal",$A496)),SUMIFS('Timesheet Raw'!$P$4:$P$8000,'Timesheet Raw'!$A$4:$A$8000,IF(ISNUMBER(SEARCH("Chargable",$A496)),"2-Proposals Chargeable","3-Proposals Regular"),'Timesheet Raw'!$C$4:$C$8000,"*"&amp;$B496&amp;"*",'Timesheet Raw'!$L$4:$L$8000,"&gt;="&amp;MAX(W$5,DATE(2000+VALUE(RIGHT(TRIM($A496),2)),1,1)),'Timesheet Raw'!$L$4:$L$8000,"&lt;="&amp;MIN(W$6,DATE(2000+VALUE(RIGHT(TRIM($A496),2)),12,31))),SUMIFS('Timesheet Raw'!$P$4:$P$8000,'Timesheet Raw'!$B$4:$B$8000,TRIM($A496),'Timesheet Raw'!$C$4:$C$8000,"*"&amp;$B496&amp;"*",'Timesheet Raw'!$L$4:$L$8000,"&gt;="&amp;W$5,'Timesheet Raw'!$L$4:$L$8000,"&lt;="&amp;W$6)))/'Profit Plan'!$B$5)</f>
        <v/>
      </c>
      <c r="X496" s="122" t="str">
        <f>IF($A496="","",(IF(ISNUMBER(SEARCH("Proposal",$A496)),SUMIFS('Timesheet Raw'!$P$4:$P$8000,'Timesheet Raw'!$A$4:$A$8000,IF(ISNUMBER(SEARCH("Chargable",$A496)),"2-Proposals Chargeable","3-Proposals Regular"),'Timesheet Raw'!$C$4:$C$8000,"*"&amp;$B496&amp;"*",'Timesheet Raw'!$L$4:$L$8000,"&gt;="&amp;MAX(X$5,DATE(2000+VALUE(RIGHT(TRIM($A496),2)),1,1)),'Timesheet Raw'!$L$4:$L$8000,"&lt;="&amp;MIN(X$6,DATE(2000+VALUE(RIGHT(TRIM($A496),2)),12,31))),SUMIFS('Timesheet Raw'!$P$4:$P$8000,'Timesheet Raw'!$B$4:$B$8000,TRIM($A496),'Timesheet Raw'!$C$4:$C$8000,"*"&amp;$B496&amp;"*",'Timesheet Raw'!$L$4:$L$8000,"&gt;="&amp;X$5,'Timesheet Raw'!$L$4:$L$8000,"&lt;="&amp;X$6)))/'Profit Plan'!$B$5)</f>
        <v/>
      </c>
      <c r="Y496" s="118">
        <f t="shared" si="103"/>
        <v>0</v>
      </c>
    </row>
    <row r="497" spans="1:25" x14ac:dyDescent="0.3">
      <c r="A497" s="116" t="str">
        <f>IF(Inputs!$A83="","",Inputs!$A83)</f>
        <v/>
      </c>
      <c r="B497" s="116" t="str">
        <f>IF(Inputs!$A83="","",Inputs!$A$92)</f>
        <v/>
      </c>
      <c r="C497" s="116"/>
      <c r="D497" s="122" t="str">
        <f>IF($A497="","",(IF(ISNUMBER(SEARCH("Proposal",$A497)),SUMIFS('Timesheet Raw'!$P$4:$P$8000,'Timesheet Raw'!$A$4:$A$8000,IF(ISNUMBER(SEARCH("Chargable",$A497)),"2-Proposals Chargeable","3-Proposals Regular"),'Timesheet Raw'!$C$4:$C$8000,"*"&amp;$B497&amp;"*",'Timesheet Raw'!$L$4:$L$8000,"&gt;="&amp;MAX(D$5,DATE(2000+VALUE(RIGHT(TRIM($A497),2)),1,1)),'Timesheet Raw'!$L$4:$L$8000,"&lt;="&amp;MIN(D$6,DATE(2000+VALUE(RIGHT(TRIM($A497),2)),12,31))),SUMIFS('Timesheet Raw'!$P$4:$P$8000,'Timesheet Raw'!$B$4:$B$8000,TRIM($A497),'Timesheet Raw'!$C$4:$C$8000,"*"&amp;$B497&amp;"*",'Timesheet Raw'!$L$4:$L$8000,"&gt;="&amp;D$5,'Timesheet Raw'!$L$4:$L$8000,"&lt;="&amp;D$6)))/'Profit Plan'!$B$5)</f>
        <v/>
      </c>
      <c r="E497" s="122" t="str">
        <f>IF($A497="","",(IF(ISNUMBER(SEARCH("Proposal",$A497)),SUMIFS('Timesheet Raw'!$P$4:$P$8000,'Timesheet Raw'!$A$4:$A$8000,IF(ISNUMBER(SEARCH("Chargable",$A497)),"2-Proposals Chargeable","3-Proposals Regular"),'Timesheet Raw'!$C$4:$C$8000,"*"&amp;$B497&amp;"*",'Timesheet Raw'!$L$4:$L$8000,"&gt;="&amp;MAX(E$5,DATE(2000+VALUE(RIGHT(TRIM($A497),2)),1,1)),'Timesheet Raw'!$L$4:$L$8000,"&lt;="&amp;MIN(E$6,DATE(2000+VALUE(RIGHT(TRIM($A497),2)),12,31))),SUMIFS('Timesheet Raw'!$P$4:$P$8000,'Timesheet Raw'!$B$4:$B$8000,TRIM($A497),'Timesheet Raw'!$C$4:$C$8000,"*"&amp;$B497&amp;"*",'Timesheet Raw'!$L$4:$L$8000,"&gt;="&amp;E$5,'Timesheet Raw'!$L$4:$L$8000,"&lt;="&amp;E$6)))/'Profit Plan'!$B$5)</f>
        <v/>
      </c>
      <c r="F497" s="122" t="str">
        <f>IF($A497="","",(IF(ISNUMBER(SEARCH("Proposal",$A497)),SUMIFS('Timesheet Raw'!$P$4:$P$8000,'Timesheet Raw'!$A$4:$A$8000,IF(ISNUMBER(SEARCH("Chargable",$A497)),"2-Proposals Chargeable","3-Proposals Regular"),'Timesheet Raw'!$C$4:$C$8000,"*"&amp;$B497&amp;"*",'Timesheet Raw'!$L$4:$L$8000,"&gt;="&amp;MAX(F$5,DATE(2000+VALUE(RIGHT(TRIM($A497),2)),1,1)),'Timesheet Raw'!$L$4:$L$8000,"&lt;="&amp;MIN(F$6,DATE(2000+VALUE(RIGHT(TRIM($A497),2)),12,31))),SUMIFS('Timesheet Raw'!$P$4:$P$8000,'Timesheet Raw'!$B$4:$B$8000,TRIM($A497),'Timesheet Raw'!$C$4:$C$8000,"*"&amp;$B497&amp;"*",'Timesheet Raw'!$L$4:$L$8000,"&gt;="&amp;F$5,'Timesheet Raw'!$L$4:$L$8000,"&lt;="&amp;F$6)))/'Profit Plan'!$B$5)</f>
        <v/>
      </c>
      <c r="G497" s="122" t="str">
        <f>IF($A497="","",(IF(ISNUMBER(SEARCH("Proposal",$A497)),SUMIFS('Timesheet Raw'!$P$4:$P$8000,'Timesheet Raw'!$A$4:$A$8000,IF(ISNUMBER(SEARCH("Chargable",$A497)),"2-Proposals Chargeable","3-Proposals Regular"),'Timesheet Raw'!$C$4:$C$8000,"*"&amp;$B497&amp;"*",'Timesheet Raw'!$L$4:$L$8000,"&gt;="&amp;MAX(G$5,DATE(2000+VALUE(RIGHT(TRIM($A497),2)),1,1)),'Timesheet Raw'!$L$4:$L$8000,"&lt;="&amp;MIN(G$6,DATE(2000+VALUE(RIGHT(TRIM($A497),2)),12,31))),SUMIFS('Timesheet Raw'!$P$4:$P$8000,'Timesheet Raw'!$B$4:$B$8000,TRIM($A497),'Timesheet Raw'!$C$4:$C$8000,"*"&amp;$B497&amp;"*",'Timesheet Raw'!$L$4:$L$8000,"&gt;="&amp;G$5,'Timesheet Raw'!$L$4:$L$8000,"&lt;="&amp;G$6)))/'Profit Plan'!$B$5)</f>
        <v/>
      </c>
      <c r="H497" s="122" t="str">
        <f>IF($A497="","",(IF(ISNUMBER(SEARCH("Proposal",$A497)),SUMIFS('Timesheet Raw'!$P$4:$P$8000,'Timesheet Raw'!$A$4:$A$8000,IF(ISNUMBER(SEARCH("Chargable",$A497)),"2-Proposals Chargeable","3-Proposals Regular"),'Timesheet Raw'!$C$4:$C$8000,"*"&amp;$B497&amp;"*",'Timesheet Raw'!$L$4:$L$8000,"&gt;="&amp;MAX(H$5,DATE(2000+VALUE(RIGHT(TRIM($A497),2)),1,1)),'Timesheet Raw'!$L$4:$L$8000,"&lt;="&amp;MIN(H$6,DATE(2000+VALUE(RIGHT(TRIM($A497),2)),12,31))),SUMIFS('Timesheet Raw'!$P$4:$P$8000,'Timesheet Raw'!$B$4:$B$8000,TRIM($A497),'Timesheet Raw'!$C$4:$C$8000,"*"&amp;$B497&amp;"*",'Timesheet Raw'!$L$4:$L$8000,"&gt;="&amp;H$5,'Timesheet Raw'!$L$4:$L$8000,"&lt;="&amp;H$6)))/'Profit Plan'!$B$5)</f>
        <v/>
      </c>
      <c r="I497" s="122" t="str">
        <f>IF($A497="","",(IF(ISNUMBER(SEARCH("Proposal",$A497)),SUMIFS('Timesheet Raw'!$P$4:$P$8000,'Timesheet Raw'!$A$4:$A$8000,IF(ISNUMBER(SEARCH("Chargable",$A497)),"2-Proposals Chargeable","3-Proposals Regular"),'Timesheet Raw'!$C$4:$C$8000,"*"&amp;$B497&amp;"*",'Timesheet Raw'!$L$4:$L$8000,"&gt;="&amp;MAX(I$5,DATE(2000+VALUE(RIGHT(TRIM($A497),2)),1,1)),'Timesheet Raw'!$L$4:$L$8000,"&lt;="&amp;MIN(I$6,DATE(2000+VALUE(RIGHT(TRIM($A497),2)),12,31))),SUMIFS('Timesheet Raw'!$P$4:$P$8000,'Timesheet Raw'!$B$4:$B$8000,TRIM($A497),'Timesheet Raw'!$C$4:$C$8000,"*"&amp;$B497&amp;"*",'Timesheet Raw'!$L$4:$L$8000,"&gt;="&amp;I$5,'Timesheet Raw'!$L$4:$L$8000,"&lt;="&amp;I$6)))/'Profit Plan'!$B$5)</f>
        <v/>
      </c>
      <c r="J497" s="122" t="str">
        <f>IF($A497="","",(IF(ISNUMBER(SEARCH("Proposal",$A497)),SUMIFS('Timesheet Raw'!$P$4:$P$8000,'Timesheet Raw'!$A$4:$A$8000,IF(ISNUMBER(SEARCH("Chargable",$A497)),"2-Proposals Chargeable","3-Proposals Regular"),'Timesheet Raw'!$C$4:$C$8000,"*"&amp;$B497&amp;"*",'Timesheet Raw'!$L$4:$L$8000,"&gt;="&amp;MAX(J$5,DATE(2000+VALUE(RIGHT(TRIM($A497),2)),1,1)),'Timesheet Raw'!$L$4:$L$8000,"&lt;="&amp;MIN(J$6,DATE(2000+VALUE(RIGHT(TRIM($A497),2)),12,31))),SUMIFS('Timesheet Raw'!$P$4:$P$8000,'Timesheet Raw'!$B$4:$B$8000,TRIM($A497),'Timesheet Raw'!$C$4:$C$8000,"*"&amp;$B497&amp;"*",'Timesheet Raw'!$L$4:$L$8000,"&gt;="&amp;J$5,'Timesheet Raw'!$L$4:$L$8000,"&lt;="&amp;J$6)))/'Profit Plan'!$B$5)</f>
        <v/>
      </c>
      <c r="K497" s="122" t="str">
        <f>IF($A497="","",(IF(ISNUMBER(SEARCH("Proposal",$A497)),SUMIFS('Timesheet Raw'!$P$4:$P$8000,'Timesheet Raw'!$A$4:$A$8000,IF(ISNUMBER(SEARCH("Chargable",$A497)),"2-Proposals Chargeable","3-Proposals Regular"),'Timesheet Raw'!$C$4:$C$8000,"*"&amp;$B497&amp;"*",'Timesheet Raw'!$L$4:$L$8000,"&gt;="&amp;MAX(K$5,DATE(2000+VALUE(RIGHT(TRIM($A497),2)),1,1)),'Timesheet Raw'!$L$4:$L$8000,"&lt;="&amp;MIN(K$6,DATE(2000+VALUE(RIGHT(TRIM($A497),2)),12,31))),SUMIFS('Timesheet Raw'!$P$4:$P$8000,'Timesheet Raw'!$B$4:$B$8000,TRIM($A497),'Timesheet Raw'!$C$4:$C$8000,"*"&amp;$B497&amp;"*",'Timesheet Raw'!$L$4:$L$8000,"&gt;="&amp;K$5,'Timesheet Raw'!$L$4:$L$8000,"&lt;="&amp;K$6)))/'Profit Plan'!$B$5)</f>
        <v/>
      </c>
      <c r="L497" s="122" t="str">
        <f>IF($A497="","",(IF(ISNUMBER(SEARCH("Proposal",$A497)),SUMIFS('Timesheet Raw'!$P$4:$P$8000,'Timesheet Raw'!$A$4:$A$8000,IF(ISNUMBER(SEARCH("Chargable",$A497)),"2-Proposals Chargeable","3-Proposals Regular"),'Timesheet Raw'!$C$4:$C$8000,"*"&amp;$B497&amp;"*",'Timesheet Raw'!$L$4:$L$8000,"&gt;="&amp;MAX(L$5,DATE(2000+VALUE(RIGHT(TRIM($A497),2)),1,1)),'Timesheet Raw'!$L$4:$L$8000,"&lt;="&amp;MIN(L$6,DATE(2000+VALUE(RIGHT(TRIM($A497),2)),12,31))),SUMIFS('Timesheet Raw'!$P$4:$P$8000,'Timesheet Raw'!$B$4:$B$8000,TRIM($A497),'Timesheet Raw'!$C$4:$C$8000,"*"&amp;$B497&amp;"*",'Timesheet Raw'!$L$4:$L$8000,"&gt;="&amp;L$5,'Timesheet Raw'!$L$4:$L$8000,"&lt;="&amp;L$6)))/'Profit Plan'!$B$5)</f>
        <v/>
      </c>
      <c r="M497" s="122" t="str">
        <f>IF($A497="","",(IF(ISNUMBER(SEARCH("Proposal",$A497)),SUMIFS('Timesheet Raw'!$P$4:$P$8000,'Timesheet Raw'!$A$4:$A$8000,IF(ISNUMBER(SEARCH("Chargable",$A497)),"2-Proposals Chargeable","3-Proposals Regular"),'Timesheet Raw'!$C$4:$C$8000,"*"&amp;$B497&amp;"*",'Timesheet Raw'!$L$4:$L$8000,"&gt;="&amp;MAX(M$5,DATE(2000+VALUE(RIGHT(TRIM($A497),2)),1,1)),'Timesheet Raw'!$L$4:$L$8000,"&lt;="&amp;MIN(M$6,DATE(2000+VALUE(RIGHT(TRIM($A497),2)),12,31))),SUMIFS('Timesheet Raw'!$P$4:$P$8000,'Timesheet Raw'!$B$4:$B$8000,TRIM($A497),'Timesheet Raw'!$C$4:$C$8000,"*"&amp;$B497&amp;"*",'Timesheet Raw'!$L$4:$L$8000,"&gt;="&amp;M$5,'Timesheet Raw'!$L$4:$L$8000,"&lt;="&amp;M$6)))/'Profit Plan'!$B$5)</f>
        <v/>
      </c>
      <c r="N497" s="122" t="str">
        <f>IF($A497="","",(IF(ISNUMBER(SEARCH("Proposal",$A497)),SUMIFS('Timesheet Raw'!$P$4:$P$8000,'Timesheet Raw'!$A$4:$A$8000,IF(ISNUMBER(SEARCH("Chargable",$A497)),"2-Proposals Chargeable","3-Proposals Regular"),'Timesheet Raw'!$C$4:$C$8000,"*"&amp;$B497&amp;"*",'Timesheet Raw'!$L$4:$L$8000,"&gt;="&amp;MAX(N$5,DATE(2000+VALUE(RIGHT(TRIM($A497),2)),1,1)),'Timesheet Raw'!$L$4:$L$8000,"&lt;="&amp;MIN(N$6,DATE(2000+VALUE(RIGHT(TRIM($A497),2)),12,31))),SUMIFS('Timesheet Raw'!$P$4:$P$8000,'Timesheet Raw'!$B$4:$B$8000,TRIM($A497),'Timesheet Raw'!$C$4:$C$8000,"*"&amp;$B497&amp;"*",'Timesheet Raw'!$L$4:$L$8000,"&gt;="&amp;N$5,'Timesheet Raw'!$L$4:$L$8000,"&lt;="&amp;N$6)))/'Profit Plan'!$B$5)</f>
        <v/>
      </c>
      <c r="O497" s="122" t="str">
        <f>IF($A497="","",(IF(ISNUMBER(SEARCH("Proposal",$A497)),SUMIFS('Timesheet Raw'!$P$4:$P$8000,'Timesheet Raw'!$A$4:$A$8000,IF(ISNUMBER(SEARCH("Chargable",$A497)),"2-Proposals Chargeable","3-Proposals Regular"),'Timesheet Raw'!$C$4:$C$8000,"*"&amp;$B497&amp;"*",'Timesheet Raw'!$L$4:$L$8000,"&gt;="&amp;MAX(O$5,DATE(2000+VALUE(RIGHT(TRIM($A497),2)),1,1)),'Timesheet Raw'!$L$4:$L$8000,"&lt;="&amp;MIN(O$6,DATE(2000+VALUE(RIGHT(TRIM($A497),2)),12,31))),SUMIFS('Timesheet Raw'!$P$4:$P$8000,'Timesheet Raw'!$B$4:$B$8000,TRIM($A497),'Timesheet Raw'!$C$4:$C$8000,"*"&amp;$B497&amp;"*",'Timesheet Raw'!$L$4:$L$8000,"&gt;="&amp;O$5,'Timesheet Raw'!$L$4:$L$8000,"&lt;="&amp;O$6)))/'Profit Plan'!$B$5)</f>
        <v/>
      </c>
      <c r="P497" s="122" t="str">
        <f>IF($A497="","",(IF(ISNUMBER(SEARCH("Proposal",$A497)),SUMIFS('Timesheet Raw'!$P$4:$P$8000,'Timesheet Raw'!$A$4:$A$8000,IF(ISNUMBER(SEARCH("Chargable",$A497)),"2-Proposals Chargeable","3-Proposals Regular"),'Timesheet Raw'!$C$4:$C$8000,"*"&amp;$B497&amp;"*",'Timesheet Raw'!$L$4:$L$8000,"&gt;="&amp;MAX(P$5,DATE(2000+VALUE(RIGHT(TRIM($A497),2)),1,1)),'Timesheet Raw'!$L$4:$L$8000,"&lt;="&amp;MIN(P$6,DATE(2000+VALUE(RIGHT(TRIM($A497),2)),12,31))),SUMIFS('Timesheet Raw'!$P$4:$P$8000,'Timesheet Raw'!$B$4:$B$8000,TRIM($A497),'Timesheet Raw'!$C$4:$C$8000,"*"&amp;$B497&amp;"*",'Timesheet Raw'!$L$4:$L$8000,"&gt;="&amp;P$5,'Timesheet Raw'!$L$4:$L$8000,"&lt;="&amp;P$6)))/'Profit Plan'!$B$5)</f>
        <v/>
      </c>
      <c r="Q497" s="122" t="str">
        <f>IF($A497="","",(IF(ISNUMBER(SEARCH("Proposal",$A497)),SUMIFS('Timesheet Raw'!$P$4:$P$8000,'Timesheet Raw'!$A$4:$A$8000,IF(ISNUMBER(SEARCH("Chargable",$A497)),"2-Proposals Chargeable","3-Proposals Regular"),'Timesheet Raw'!$C$4:$C$8000,"*"&amp;$B497&amp;"*",'Timesheet Raw'!$L$4:$L$8000,"&gt;="&amp;MAX(Q$5,DATE(2000+VALUE(RIGHT(TRIM($A497),2)),1,1)),'Timesheet Raw'!$L$4:$L$8000,"&lt;="&amp;MIN(Q$6,DATE(2000+VALUE(RIGHT(TRIM($A497),2)),12,31))),SUMIFS('Timesheet Raw'!$P$4:$P$8000,'Timesheet Raw'!$B$4:$B$8000,TRIM($A497),'Timesheet Raw'!$C$4:$C$8000,"*"&amp;$B497&amp;"*",'Timesheet Raw'!$L$4:$L$8000,"&gt;="&amp;Q$5,'Timesheet Raw'!$L$4:$L$8000,"&lt;="&amp;Q$6)))/'Profit Plan'!$B$5)</f>
        <v/>
      </c>
      <c r="R497" s="122" t="str">
        <f>IF($A497="","",(IF(ISNUMBER(SEARCH("Proposal",$A497)),SUMIFS('Timesheet Raw'!$P$4:$P$8000,'Timesheet Raw'!$A$4:$A$8000,IF(ISNUMBER(SEARCH("Chargable",$A497)),"2-Proposals Chargeable","3-Proposals Regular"),'Timesheet Raw'!$C$4:$C$8000,"*"&amp;$B497&amp;"*",'Timesheet Raw'!$L$4:$L$8000,"&gt;="&amp;MAX(R$5,DATE(2000+VALUE(RIGHT(TRIM($A497),2)),1,1)),'Timesheet Raw'!$L$4:$L$8000,"&lt;="&amp;MIN(R$6,DATE(2000+VALUE(RIGHT(TRIM($A497),2)),12,31))),SUMIFS('Timesheet Raw'!$P$4:$P$8000,'Timesheet Raw'!$B$4:$B$8000,TRIM($A497),'Timesheet Raw'!$C$4:$C$8000,"*"&amp;$B497&amp;"*",'Timesheet Raw'!$L$4:$L$8000,"&gt;="&amp;R$5,'Timesheet Raw'!$L$4:$L$8000,"&lt;="&amp;R$6)))/'Profit Plan'!$B$5)</f>
        <v/>
      </c>
      <c r="S497" s="122" t="str">
        <f>IF($A497="","",(IF(ISNUMBER(SEARCH("Proposal",$A497)),SUMIFS('Timesheet Raw'!$P$4:$P$8000,'Timesheet Raw'!$A$4:$A$8000,IF(ISNUMBER(SEARCH("Chargable",$A497)),"2-Proposals Chargeable","3-Proposals Regular"),'Timesheet Raw'!$C$4:$C$8000,"*"&amp;$B497&amp;"*",'Timesheet Raw'!$L$4:$L$8000,"&gt;="&amp;MAX(S$5,DATE(2000+VALUE(RIGHT(TRIM($A497),2)),1,1)),'Timesheet Raw'!$L$4:$L$8000,"&lt;="&amp;MIN(S$6,DATE(2000+VALUE(RIGHT(TRIM($A497),2)),12,31))),SUMIFS('Timesheet Raw'!$P$4:$P$8000,'Timesheet Raw'!$B$4:$B$8000,TRIM($A497),'Timesheet Raw'!$C$4:$C$8000,"*"&amp;$B497&amp;"*",'Timesheet Raw'!$L$4:$L$8000,"&gt;="&amp;S$5,'Timesheet Raw'!$L$4:$L$8000,"&lt;="&amp;S$6)))/'Profit Plan'!$B$5)</f>
        <v/>
      </c>
      <c r="T497" s="122" t="str">
        <f>IF($A497="","",(IF(ISNUMBER(SEARCH("Proposal",$A497)),SUMIFS('Timesheet Raw'!$P$4:$P$8000,'Timesheet Raw'!$A$4:$A$8000,IF(ISNUMBER(SEARCH("Chargable",$A497)),"2-Proposals Chargeable","3-Proposals Regular"),'Timesheet Raw'!$C$4:$C$8000,"*"&amp;$B497&amp;"*",'Timesheet Raw'!$L$4:$L$8000,"&gt;="&amp;MAX(T$5,DATE(2000+VALUE(RIGHT(TRIM($A497),2)),1,1)),'Timesheet Raw'!$L$4:$L$8000,"&lt;="&amp;MIN(T$6,DATE(2000+VALUE(RIGHT(TRIM($A497),2)),12,31))),SUMIFS('Timesheet Raw'!$P$4:$P$8000,'Timesheet Raw'!$B$4:$B$8000,TRIM($A497),'Timesheet Raw'!$C$4:$C$8000,"*"&amp;$B497&amp;"*",'Timesheet Raw'!$L$4:$L$8000,"&gt;="&amp;T$5,'Timesheet Raw'!$L$4:$L$8000,"&lt;="&amp;T$6)))/'Profit Plan'!$B$5)</f>
        <v/>
      </c>
      <c r="U497" s="122" t="str">
        <f>IF($A497="","",(IF(ISNUMBER(SEARCH("Proposal",$A497)),SUMIFS('Timesheet Raw'!$P$4:$P$8000,'Timesheet Raw'!$A$4:$A$8000,IF(ISNUMBER(SEARCH("Chargable",$A497)),"2-Proposals Chargeable","3-Proposals Regular"),'Timesheet Raw'!$C$4:$C$8000,"*"&amp;$B497&amp;"*",'Timesheet Raw'!$L$4:$L$8000,"&gt;="&amp;MAX(U$5,DATE(2000+VALUE(RIGHT(TRIM($A497),2)),1,1)),'Timesheet Raw'!$L$4:$L$8000,"&lt;="&amp;MIN(U$6,DATE(2000+VALUE(RIGHT(TRIM($A497),2)),12,31))),SUMIFS('Timesheet Raw'!$P$4:$P$8000,'Timesheet Raw'!$B$4:$B$8000,TRIM($A497),'Timesheet Raw'!$C$4:$C$8000,"*"&amp;$B497&amp;"*",'Timesheet Raw'!$L$4:$L$8000,"&gt;="&amp;U$5,'Timesheet Raw'!$L$4:$L$8000,"&lt;="&amp;U$6)))/'Profit Plan'!$B$5)</f>
        <v/>
      </c>
      <c r="V497" s="122" t="str">
        <f>IF($A497="","",(IF(ISNUMBER(SEARCH("Proposal",$A497)),SUMIFS('Timesheet Raw'!$P$4:$P$8000,'Timesheet Raw'!$A$4:$A$8000,IF(ISNUMBER(SEARCH("Chargable",$A497)),"2-Proposals Chargeable","3-Proposals Regular"),'Timesheet Raw'!$C$4:$C$8000,"*"&amp;$B497&amp;"*",'Timesheet Raw'!$L$4:$L$8000,"&gt;="&amp;MAX(V$5,DATE(2000+VALUE(RIGHT(TRIM($A497),2)),1,1)),'Timesheet Raw'!$L$4:$L$8000,"&lt;="&amp;MIN(V$6,DATE(2000+VALUE(RIGHT(TRIM($A497),2)),12,31))),SUMIFS('Timesheet Raw'!$P$4:$P$8000,'Timesheet Raw'!$B$4:$B$8000,TRIM($A497),'Timesheet Raw'!$C$4:$C$8000,"*"&amp;$B497&amp;"*",'Timesheet Raw'!$L$4:$L$8000,"&gt;="&amp;V$5,'Timesheet Raw'!$L$4:$L$8000,"&lt;="&amp;V$6)))/'Profit Plan'!$B$5)</f>
        <v/>
      </c>
      <c r="W497" s="122" t="str">
        <f>IF($A497="","",(IF(ISNUMBER(SEARCH("Proposal",$A497)),SUMIFS('Timesheet Raw'!$P$4:$P$8000,'Timesheet Raw'!$A$4:$A$8000,IF(ISNUMBER(SEARCH("Chargable",$A497)),"2-Proposals Chargeable","3-Proposals Regular"),'Timesheet Raw'!$C$4:$C$8000,"*"&amp;$B497&amp;"*",'Timesheet Raw'!$L$4:$L$8000,"&gt;="&amp;MAX(W$5,DATE(2000+VALUE(RIGHT(TRIM($A497),2)),1,1)),'Timesheet Raw'!$L$4:$L$8000,"&lt;="&amp;MIN(W$6,DATE(2000+VALUE(RIGHT(TRIM($A497),2)),12,31))),SUMIFS('Timesheet Raw'!$P$4:$P$8000,'Timesheet Raw'!$B$4:$B$8000,TRIM($A497),'Timesheet Raw'!$C$4:$C$8000,"*"&amp;$B497&amp;"*",'Timesheet Raw'!$L$4:$L$8000,"&gt;="&amp;W$5,'Timesheet Raw'!$L$4:$L$8000,"&lt;="&amp;W$6)))/'Profit Plan'!$B$5)</f>
        <v/>
      </c>
      <c r="X497" s="122" t="str">
        <f>IF($A497="","",(IF(ISNUMBER(SEARCH("Proposal",$A497)),SUMIFS('Timesheet Raw'!$P$4:$P$8000,'Timesheet Raw'!$A$4:$A$8000,IF(ISNUMBER(SEARCH("Chargable",$A497)),"2-Proposals Chargeable","3-Proposals Regular"),'Timesheet Raw'!$C$4:$C$8000,"*"&amp;$B497&amp;"*",'Timesheet Raw'!$L$4:$L$8000,"&gt;="&amp;MAX(X$5,DATE(2000+VALUE(RIGHT(TRIM($A497),2)),1,1)),'Timesheet Raw'!$L$4:$L$8000,"&lt;="&amp;MIN(X$6,DATE(2000+VALUE(RIGHT(TRIM($A497),2)),12,31))),SUMIFS('Timesheet Raw'!$P$4:$P$8000,'Timesheet Raw'!$B$4:$B$8000,TRIM($A497),'Timesheet Raw'!$C$4:$C$8000,"*"&amp;$B497&amp;"*",'Timesheet Raw'!$L$4:$L$8000,"&gt;="&amp;X$5,'Timesheet Raw'!$L$4:$L$8000,"&lt;="&amp;X$6)))/'Profit Plan'!$B$5)</f>
        <v/>
      </c>
      <c r="Y497" s="118">
        <f t="shared" si="103"/>
        <v>0</v>
      </c>
    </row>
    <row r="498" spans="1:25" x14ac:dyDescent="0.3">
      <c r="A498" s="116" t="str">
        <f>IF(Inputs!$A83="","",Inputs!$A83)</f>
        <v/>
      </c>
      <c r="B498" s="116" t="str">
        <f>IF(Inputs!$A83="","",Inputs!$A$93)</f>
        <v/>
      </c>
      <c r="C498" s="116"/>
      <c r="D498" s="122" t="str">
        <f>IF($A498="","",(IF(ISNUMBER(SEARCH("Proposal",$A498)),SUMIFS('Timesheet Raw'!$P$4:$P$8000,'Timesheet Raw'!$A$4:$A$8000,IF(ISNUMBER(SEARCH("Chargable",$A498)),"2-Proposals Chargeable","3-Proposals Regular"),'Timesheet Raw'!$C$4:$C$8000,"*"&amp;$B498&amp;"*",'Timesheet Raw'!$L$4:$L$8000,"&gt;="&amp;MAX(D$5,DATE(2000+VALUE(RIGHT(TRIM($A498),2)),1,1)),'Timesheet Raw'!$L$4:$L$8000,"&lt;="&amp;MIN(D$6,DATE(2000+VALUE(RIGHT(TRIM($A498),2)),12,31))),SUMIFS('Timesheet Raw'!$P$4:$P$8000,'Timesheet Raw'!$B$4:$B$8000,TRIM($A498),'Timesheet Raw'!$C$4:$C$8000,"*"&amp;$B498&amp;"*",'Timesheet Raw'!$L$4:$L$8000,"&gt;="&amp;D$5,'Timesheet Raw'!$L$4:$L$8000,"&lt;="&amp;D$6)))/'Profit Plan'!$B$5)</f>
        <v/>
      </c>
      <c r="E498" s="122" t="str">
        <f>IF($A498="","",(IF(ISNUMBER(SEARCH("Proposal",$A498)),SUMIFS('Timesheet Raw'!$P$4:$P$8000,'Timesheet Raw'!$A$4:$A$8000,IF(ISNUMBER(SEARCH("Chargable",$A498)),"2-Proposals Chargeable","3-Proposals Regular"),'Timesheet Raw'!$C$4:$C$8000,"*"&amp;$B498&amp;"*",'Timesheet Raw'!$L$4:$L$8000,"&gt;="&amp;MAX(E$5,DATE(2000+VALUE(RIGHT(TRIM($A498),2)),1,1)),'Timesheet Raw'!$L$4:$L$8000,"&lt;="&amp;MIN(E$6,DATE(2000+VALUE(RIGHT(TRIM($A498),2)),12,31))),SUMIFS('Timesheet Raw'!$P$4:$P$8000,'Timesheet Raw'!$B$4:$B$8000,TRIM($A498),'Timesheet Raw'!$C$4:$C$8000,"*"&amp;$B498&amp;"*",'Timesheet Raw'!$L$4:$L$8000,"&gt;="&amp;E$5,'Timesheet Raw'!$L$4:$L$8000,"&lt;="&amp;E$6)))/'Profit Plan'!$B$5)</f>
        <v/>
      </c>
      <c r="F498" s="122" t="str">
        <f>IF($A498="","",(IF(ISNUMBER(SEARCH("Proposal",$A498)),SUMIFS('Timesheet Raw'!$P$4:$P$8000,'Timesheet Raw'!$A$4:$A$8000,IF(ISNUMBER(SEARCH("Chargable",$A498)),"2-Proposals Chargeable","3-Proposals Regular"),'Timesheet Raw'!$C$4:$C$8000,"*"&amp;$B498&amp;"*",'Timesheet Raw'!$L$4:$L$8000,"&gt;="&amp;MAX(F$5,DATE(2000+VALUE(RIGHT(TRIM($A498),2)),1,1)),'Timesheet Raw'!$L$4:$L$8000,"&lt;="&amp;MIN(F$6,DATE(2000+VALUE(RIGHT(TRIM($A498),2)),12,31))),SUMIFS('Timesheet Raw'!$P$4:$P$8000,'Timesheet Raw'!$B$4:$B$8000,TRIM($A498),'Timesheet Raw'!$C$4:$C$8000,"*"&amp;$B498&amp;"*",'Timesheet Raw'!$L$4:$L$8000,"&gt;="&amp;F$5,'Timesheet Raw'!$L$4:$L$8000,"&lt;="&amp;F$6)))/'Profit Plan'!$B$5)</f>
        <v/>
      </c>
      <c r="G498" s="122" t="str">
        <f>IF($A498="","",(IF(ISNUMBER(SEARCH("Proposal",$A498)),SUMIFS('Timesheet Raw'!$P$4:$P$8000,'Timesheet Raw'!$A$4:$A$8000,IF(ISNUMBER(SEARCH("Chargable",$A498)),"2-Proposals Chargeable","3-Proposals Regular"),'Timesheet Raw'!$C$4:$C$8000,"*"&amp;$B498&amp;"*",'Timesheet Raw'!$L$4:$L$8000,"&gt;="&amp;MAX(G$5,DATE(2000+VALUE(RIGHT(TRIM($A498),2)),1,1)),'Timesheet Raw'!$L$4:$L$8000,"&lt;="&amp;MIN(G$6,DATE(2000+VALUE(RIGHT(TRIM($A498),2)),12,31))),SUMIFS('Timesheet Raw'!$P$4:$P$8000,'Timesheet Raw'!$B$4:$B$8000,TRIM($A498),'Timesheet Raw'!$C$4:$C$8000,"*"&amp;$B498&amp;"*",'Timesheet Raw'!$L$4:$L$8000,"&gt;="&amp;G$5,'Timesheet Raw'!$L$4:$L$8000,"&lt;="&amp;G$6)))/'Profit Plan'!$B$5)</f>
        <v/>
      </c>
      <c r="H498" s="122" t="str">
        <f>IF($A498="","",(IF(ISNUMBER(SEARCH("Proposal",$A498)),SUMIFS('Timesheet Raw'!$P$4:$P$8000,'Timesheet Raw'!$A$4:$A$8000,IF(ISNUMBER(SEARCH("Chargable",$A498)),"2-Proposals Chargeable","3-Proposals Regular"),'Timesheet Raw'!$C$4:$C$8000,"*"&amp;$B498&amp;"*",'Timesheet Raw'!$L$4:$L$8000,"&gt;="&amp;MAX(H$5,DATE(2000+VALUE(RIGHT(TRIM($A498),2)),1,1)),'Timesheet Raw'!$L$4:$L$8000,"&lt;="&amp;MIN(H$6,DATE(2000+VALUE(RIGHT(TRIM($A498),2)),12,31))),SUMIFS('Timesheet Raw'!$P$4:$P$8000,'Timesheet Raw'!$B$4:$B$8000,TRIM($A498),'Timesheet Raw'!$C$4:$C$8000,"*"&amp;$B498&amp;"*",'Timesheet Raw'!$L$4:$L$8000,"&gt;="&amp;H$5,'Timesheet Raw'!$L$4:$L$8000,"&lt;="&amp;H$6)))/'Profit Plan'!$B$5)</f>
        <v/>
      </c>
      <c r="I498" s="122" t="str">
        <f>IF($A498="","",(IF(ISNUMBER(SEARCH("Proposal",$A498)),SUMIFS('Timesheet Raw'!$P$4:$P$8000,'Timesheet Raw'!$A$4:$A$8000,IF(ISNUMBER(SEARCH("Chargable",$A498)),"2-Proposals Chargeable","3-Proposals Regular"),'Timesheet Raw'!$C$4:$C$8000,"*"&amp;$B498&amp;"*",'Timesheet Raw'!$L$4:$L$8000,"&gt;="&amp;MAX(I$5,DATE(2000+VALUE(RIGHT(TRIM($A498),2)),1,1)),'Timesheet Raw'!$L$4:$L$8000,"&lt;="&amp;MIN(I$6,DATE(2000+VALUE(RIGHT(TRIM($A498),2)),12,31))),SUMIFS('Timesheet Raw'!$P$4:$P$8000,'Timesheet Raw'!$B$4:$B$8000,TRIM($A498),'Timesheet Raw'!$C$4:$C$8000,"*"&amp;$B498&amp;"*",'Timesheet Raw'!$L$4:$L$8000,"&gt;="&amp;I$5,'Timesheet Raw'!$L$4:$L$8000,"&lt;="&amp;I$6)))/'Profit Plan'!$B$5)</f>
        <v/>
      </c>
      <c r="J498" s="122" t="str">
        <f>IF($A498="","",(IF(ISNUMBER(SEARCH("Proposal",$A498)),SUMIFS('Timesheet Raw'!$P$4:$P$8000,'Timesheet Raw'!$A$4:$A$8000,IF(ISNUMBER(SEARCH("Chargable",$A498)),"2-Proposals Chargeable","3-Proposals Regular"),'Timesheet Raw'!$C$4:$C$8000,"*"&amp;$B498&amp;"*",'Timesheet Raw'!$L$4:$L$8000,"&gt;="&amp;MAX(J$5,DATE(2000+VALUE(RIGHT(TRIM($A498),2)),1,1)),'Timesheet Raw'!$L$4:$L$8000,"&lt;="&amp;MIN(J$6,DATE(2000+VALUE(RIGHT(TRIM($A498),2)),12,31))),SUMIFS('Timesheet Raw'!$P$4:$P$8000,'Timesheet Raw'!$B$4:$B$8000,TRIM($A498),'Timesheet Raw'!$C$4:$C$8000,"*"&amp;$B498&amp;"*",'Timesheet Raw'!$L$4:$L$8000,"&gt;="&amp;J$5,'Timesheet Raw'!$L$4:$L$8000,"&lt;="&amp;J$6)))/'Profit Plan'!$B$5)</f>
        <v/>
      </c>
      <c r="K498" s="122" t="str">
        <f>IF($A498="","",(IF(ISNUMBER(SEARCH("Proposal",$A498)),SUMIFS('Timesheet Raw'!$P$4:$P$8000,'Timesheet Raw'!$A$4:$A$8000,IF(ISNUMBER(SEARCH("Chargable",$A498)),"2-Proposals Chargeable","3-Proposals Regular"),'Timesheet Raw'!$C$4:$C$8000,"*"&amp;$B498&amp;"*",'Timesheet Raw'!$L$4:$L$8000,"&gt;="&amp;MAX(K$5,DATE(2000+VALUE(RIGHT(TRIM($A498),2)),1,1)),'Timesheet Raw'!$L$4:$L$8000,"&lt;="&amp;MIN(K$6,DATE(2000+VALUE(RIGHT(TRIM($A498),2)),12,31))),SUMIFS('Timesheet Raw'!$P$4:$P$8000,'Timesheet Raw'!$B$4:$B$8000,TRIM($A498),'Timesheet Raw'!$C$4:$C$8000,"*"&amp;$B498&amp;"*",'Timesheet Raw'!$L$4:$L$8000,"&gt;="&amp;K$5,'Timesheet Raw'!$L$4:$L$8000,"&lt;="&amp;K$6)))/'Profit Plan'!$B$5)</f>
        <v/>
      </c>
      <c r="L498" s="122" t="str">
        <f>IF($A498="","",(IF(ISNUMBER(SEARCH("Proposal",$A498)),SUMIFS('Timesheet Raw'!$P$4:$P$8000,'Timesheet Raw'!$A$4:$A$8000,IF(ISNUMBER(SEARCH("Chargable",$A498)),"2-Proposals Chargeable","3-Proposals Regular"),'Timesheet Raw'!$C$4:$C$8000,"*"&amp;$B498&amp;"*",'Timesheet Raw'!$L$4:$L$8000,"&gt;="&amp;MAX(L$5,DATE(2000+VALUE(RIGHT(TRIM($A498),2)),1,1)),'Timesheet Raw'!$L$4:$L$8000,"&lt;="&amp;MIN(L$6,DATE(2000+VALUE(RIGHT(TRIM($A498),2)),12,31))),SUMIFS('Timesheet Raw'!$P$4:$P$8000,'Timesheet Raw'!$B$4:$B$8000,TRIM($A498),'Timesheet Raw'!$C$4:$C$8000,"*"&amp;$B498&amp;"*",'Timesheet Raw'!$L$4:$L$8000,"&gt;="&amp;L$5,'Timesheet Raw'!$L$4:$L$8000,"&lt;="&amp;L$6)))/'Profit Plan'!$B$5)</f>
        <v/>
      </c>
      <c r="M498" s="122" t="str">
        <f>IF($A498="","",(IF(ISNUMBER(SEARCH("Proposal",$A498)),SUMIFS('Timesheet Raw'!$P$4:$P$8000,'Timesheet Raw'!$A$4:$A$8000,IF(ISNUMBER(SEARCH("Chargable",$A498)),"2-Proposals Chargeable","3-Proposals Regular"),'Timesheet Raw'!$C$4:$C$8000,"*"&amp;$B498&amp;"*",'Timesheet Raw'!$L$4:$L$8000,"&gt;="&amp;MAX(M$5,DATE(2000+VALUE(RIGHT(TRIM($A498),2)),1,1)),'Timesheet Raw'!$L$4:$L$8000,"&lt;="&amp;MIN(M$6,DATE(2000+VALUE(RIGHT(TRIM($A498),2)),12,31))),SUMIFS('Timesheet Raw'!$P$4:$P$8000,'Timesheet Raw'!$B$4:$B$8000,TRIM($A498),'Timesheet Raw'!$C$4:$C$8000,"*"&amp;$B498&amp;"*",'Timesheet Raw'!$L$4:$L$8000,"&gt;="&amp;M$5,'Timesheet Raw'!$L$4:$L$8000,"&lt;="&amp;M$6)))/'Profit Plan'!$B$5)</f>
        <v/>
      </c>
      <c r="N498" s="122" t="str">
        <f>IF($A498="","",(IF(ISNUMBER(SEARCH("Proposal",$A498)),SUMIFS('Timesheet Raw'!$P$4:$P$8000,'Timesheet Raw'!$A$4:$A$8000,IF(ISNUMBER(SEARCH("Chargable",$A498)),"2-Proposals Chargeable","3-Proposals Regular"),'Timesheet Raw'!$C$4:$C$8000,"*"&amp;$B498&amp;"*",'Timesheet Raw'!$L$4:$L$8000,"&gt;="&amp;MAX(N$5,DATE(2000+VALUE(RIGHT(TRIM($A498),2)),1,1)),'Timesheet Raw'!$L$4:$L$8000,"&lt;="&amp;MIN(N$6,DATE(2000+VALUE(RIGHT(TRIM($A498),2)),12,31))),SUMIFS('Timesheet Raw'!$P$4:$P$8000,'Timesheet Raw'!$B$4:$B$8000,TRIM($A498),'Timesheet Raw'!$C$4:$C$8000,"*"&amp;$B498&amp;"*",'Timesheet Raw'!$L$4:$L$8000,"&gt;="&amp;N$5,'Timesheet Raw'!$L$4:$L$8000,"&lt;="&amp;N$6)))/'Profit Plan'!$B$5)</f>
        <v/>
      </c>
      <c r="O498" s="122" t="str">
        <f>IF($A498="","",(IF(ISNUMBER(SEARCH("Proposal",$A498)),SUMIFS('Timesheet Raw'!$P$4:$P$8000,'Timesheet Raw'!$A$4:$A$8000,IF(ISNUMBER(SEARCH("Chargable",$A498)),"2-Proposals Chargeable","3-Proposals Regular"),'Timesheet Raw'!$C$4:$C$8000,"*"&amp;$B498&amp;"*",'Timesheet Raw'!$L$4:$L$8000,"&gt;="&amp;MAX(O$5,DATE(2000+VALUE(RIGHT(TRIM($A498),2)),1,1)),'Timesheet Raw'!$L$4:$L$8000,"&lt;="&amp;MIN(O$6,DATE(2000+VALUE(RIGHT(TRIM($A498),2)),12,31))),SUMIFS('Timesheet Raw'!$P$4:$P$8000,'Timesheet Raw'!$B$4:$B$8000,TRIM($A498),'Timesheet Raw'!$C$4:$C$8000,"*"&amp;$B498&amp;"*",'Timesheet Raw'!$L$4:$L$8000,"&gt;="&amp;O$5,'Timesheet Raw'!$L$4:$L$8000,"&lt;="&amp;O$6)))/'Profit Plan'!$B$5)</f>
        <v/>
      </c>
      <c r="P498" s="122" t="str">
        <f>IF($A498="","",(IF(ISNUMBER(SEARCH("Proposal",$A498)),SUMIFS('Timesheet Raw'!$P$4:$P$8000,'Timesheet Raw'!$A$4:$A$8000,IF(ISNUMBER(SEARCH("Chargable",$A498)),"2-Proposals Chargeable","3-Proposals Regular"),'Timesheet Raw'!$C$4:$C$8000,"*"&amp;$B498&amp;"*",'Timesheet Raw'!$L$4:$L$8000,"&gt;="&amp;MAX(P$5,DATE(2000+VALUE(RIGHT(TRIM($A498),2)),1,1)),'Timesheet Raw'!$L$4:$L$8000,"&lt;="&amp;MIN(P$6,DATE(2000+VALUE(RIGHT(TRIM($A498),2)),12,31))),SUMIFS('Timesheet Raw'!$P$4:$P$8000,'Timesheet Raw'!$B$4:$B$8000,TRIM($A498),'Timesheet Raw'!$C$4:$C$8000,"*"&amp;$B498&amp;"*",'Timesheet Raw'!$L$4:$L$8000,"&gt;="&amp;P$5,'Timesheet Raw'!$L$4:$L$8000,"&lt;="&amp;P$6)))/'Profit Plan'!$B$5)</f>
        <v/>
      </c>
      <c r="Q498" s="122" t="str">
        <f>IF($A498="","",(IF(ISNUMBER(SEARCH("Proposal",$A498)),SUMIFS('Timesheet Raw'!$P$4:$P$8000,'Timesheet Raw'!$A$4:$A$8000,IF(ISNUMBER(SEARCH("Chargable",$A498)),"2-Proposals Chargeable","3-Proposals Regular"),'Timesheet Raw'!$C$4:$C$8000,"*"&amp;$B498&amp;"*",'Timesheet Raw'!$L$4:$L$8000,"&gt;="&amp;MAX(Q$5,DATE(2000+VALUE(RIGHT(TRIM($A498),2)),1,1)),'Timesheet Raw'!$L$4:$L$8000,"&lt;="&amp;MIN(Q$6,DATE(2000+VALUE(RIGHT(TRIM($A498),2)),12,31))),SUMIFS('Timesheet Raw'!$P$4:$P$8000,'Timesheet Raw'!$B$4:$B$8000,TRIM($A498),'Timesheet Raw'!$C$4:$C$8000,"*"&amp;$B498&amp;"*",'Timesheet Raw'!$L$4:$L$8000,"&gt;="&amp;Q$5,'Timesheet Raw'!$L$4:$L$8000,"&lt;="&amp;Q$6)))/'Profit Plan'!$B$5)</f>
        <v/>
      </c>
      <c r="R498" s="122" t="str">
        <f>IF($A498="","",(IF(ISNUMBER(SEARCH("Proposal",$A498)),SUMIFS('Timesheet Raw'!$P$4:$P$8000,'Timesheet Raw'!$A$4:$A$8000,IF(ISNUMBER(SEARCH("Chargable",$A498)),"2-Proposals Chargeable","3-Proposals Regular"),'Timesheet Raw'!$C$4:$C$8000,"*"&amp;$B498&amp;"*",'Timesheet Raw'!$L$4:$L$8000,"&gt;="&amp;MAX(R$5,DATE(2000+VALUE(RIGHT(TRIM($A498),2)),1,1)),'Timesheet Raw'!$L$4:$L$8000,"&lt;="&amp;MIN(R$6,DATE(2000+VALUE(RIGHT(TRIM($A498),2)),12,31))),SUMIFS('Timesheet Raw'!$P$4:$P$8000,'Timesheet Raw'!$B$4:$B$8000,TRIM($A498),'Timesheet Raw'!$C$4:$C$8000,"*"&amp;$B498&amp;"*",'Timesheet Raw'!$L$4:$L$8000,"&gt;="&amp;R$5,'Timesheet Raw'!$L$4:$L$8000,"&lt;="&amp;R$6)))/'Profit Plan'!$B$5)</f>
        <v/>
      </c>
      <c r="S498" s="122" t="str">
        <f>IF($A498="","",(IF(ISNUMBER(SEARCH("Proposal",$A498)),SUMIFS('Timesheet Raw'!$P$4:$P$8000,'Timesheet Raw'!$A$4:$A$8000,IF(ISNUMBER(SEARCH("Chargable",$A498)),"2-Proposals Chargeable","3-Proposals Regular"),'Timesheet Raw'!$C$4:$C$8000,"*"&amp;$B498&amp;"*",'Timesheet Raw'!$L$4:$L$8000,"&gt;="&amp;MAX(S$5,DATE(2000+VALUE(RIGHT(TRIM($A498),2)),1,1)),'Timesheet Raw'!$L$4:$L$8000,"&lt;="&amp;MIN(S$6,DATE(2000+VALUE(RIGHT(TRIM($A498),2)),12,31))),SUMIFS('Timesheet Raw'!$P$4:$P$8000,'Timesheet Raw'!$B$4:$B$8000,TRIM($A498),'Timesheet Raw'!$C$4:$C$8000,"*"&amp;$B498&amp;"*",'Timesheet Raw'!$L$4:$L$8000,"&gt;="&amp;S$5,'Timesheet Raw'!$L$4:$L$8000,"&lt;="&amp;S$6)))/'Profit Plan'!$B$5)</f>
        <v/>
      </c>
      <c r="T498" s="122" t="str">
        <f>IF($A498="","",(IF(ISNUMBER(SEARCH("Proposal",$A498)),SUMIFS('Timesheet Raw'!$P$4:$P$8000,'Timesheet Raw'!$A$4:$A$8000,IF(ISNUMBER(SEARCH("Chargable",$A498)),"2-Proposals Chargeable","3-Proposals Regular"),'Timesheet Raw'!$C$4:$C$8000,"*"&amp;$B498&amp;"*",'Timesheet Raw'!$L$4:$L$8000,"&gt;="&amp;MAX(T$5,DATE(2000+VALUE(RIGHT(TRIM($A498),2)),1,1)),'Timesheet Raw'!$L$4:$L$8000,"&lt;="&amp;MIN(T$6,DATE(2000+VALUE(RIGHT(TRIM($A498),2)),12,31))),SUMIFS('Timesheet Raw'!$P$4:$P$8000,'Timesheet Raw'!$B$4:$B$8000,TRIM($A498),'Timesheet Raw'!$C$4:$C$8000,"*"&amp;$B498&amp;"*",'Timesheet Raw'!$L$4:$L$8000,"&gt;="&amp;T$5,'Timesheet Raw'!$L$4:$L$8000,"&lt;="&amp;T$6)))/'Profit Plan'!$B$5)</f>
        <v/>
      </c>
      <c r="U498" s="122" t="str">
        <f>IF($A498="","",(IF(ISNUMBER(SEARCH("Proposal",$A498)),SUMIFS('Timesheet Raw'!$P$4:$P$8000,'Timesheet Raw'!$A$4:$A$8000,IF(ISNUMBER(SEARCH("Chargable",$A498)),"2-Proposals Chargeable","3-Proposals Regular"),'Timesheet Raw'!$C$4:$C$8000,"*"&amp;$B498&amp;"*",'Timesheet Raw'!$L$4:$L$8000,"&gt;="&amp;MAX(U$5,DATE(2000+VALUE(RIGHT(TRIM($A498),2)),1,1)),'Timesheet Raw'!$L$4:$L$8000,"&lt;="&amp;MIN(U$6,DATE(2000+VALUE(RIGHT(TRIM($A498),2)),12,31))),SUMIFS('Timesheet Raw'!$P$4:$P$8000,'Timesheet Raw'!$B$4:$B$8000,TRIM($A498),'Timesheet Raw'!$C$4:$C$8000,"*"&amp;$B498&amp;"*",'Timesheet Raw'!$L$4:$L$8000,"&gt;="&amp;U$5,'Timesheet Raw'!$L$4:$L$8000,"&lt;="&amp;U$6)))/'Profit Plan'!$B$5)</f>
        <v/>
      </c>
      <c r="V498" s="122" t="str">
        <f>IF($A498="","",(IF(ISNUMBER(SEARCH("Proposal",$A498)),SUMIFS('Timesheet Raw'!$P$4:$P$8000,'Timesheet Raw'!$A$4:$A$8000,IF(ISNUMBER(SEARCH("Chargable",$A498)),"2-Proposals Chargeable","3-Proposals Regular"),'Timesheet Raw'!$C$4:$C$8000,"*"&amp;$B498&amp;"*",'Timesheet Raw'!$L$4:$L$8000,"&gt;="&amp;MAX(V$5,DATE(2000+VALUE(RIGHT(TRIM($A498),2)),1,1)),'Timesheet Raw'!$L$4:$L$8000,"&lt;="&amp;MIN(V$6,DATE(2000+VALUE(RIGHT(TRIM($A498),2)),12,31))),SUMIFS('Timesheet Raw'!$P$4:$P$8000,'Timesheet Raw'!$B$4:$B$8000,TRIM($A498),'Timesheet Raw'!$C$4:$C$8000,"*"&amp;$B498&amp;"*",'Timesheet Raw'!$L$4:$L$8000,"&gt;="&amp;V$5,'Timesheet Raw'!$L$4:$L$8000,"&lt;="&amp;V$6)))/'Profit Plan'!$B$5)</f>
        <v/>
      </c>
      <c r="W498" s="122" t="str">
        <f>IF($A498="","",(IF(ISNUMBER(SEARCH("Proposal",$A498)),SUMIFS('Timesheet Raw'!$P$4:$P$8000,'Timesheet Raw'!$A$4:$A$8000,IF(ISNUMBER(SEARCH("Chargable",$A498)),"2-Proposals Chargeable","3-Proposals Regular"),'Timesheet Raw'!$C$4:$C$8000,"*"&amp;$B498&amp;"*",'Timesheet Raw'!$L$4:$L$8000,"&gt;="&amp;MAX(W$5,DATE(2000+VALUE(RIGHT(TRIM($A498),2)),1,1)),'Timesheet Raw'!$L$4:$L$8000,"&lt;="&amp;MIN(W$6,DATE(2000+VALUE(RIGHT(TRIM($A498),2)),12,31))),SUMIFS('Timesheet Raw'!$P$4:$P$8000,'Timesheet Raw'!$B$4:$B$8000,TRIM($A498),'Timesheet Raw'!$C$4:$C$8000,"*"&amp;$B498&amp;"*",'Timesheet Raw'!$L$4:$L$8000,"&gt;="&amp;W$5,'Timesheet Raw'!$L$4:$L$8000,"&lt;="&amp;W$6)))/'Profit Plan'!$B$5)</f>
        <v/>
      </c>
      <c r="X498" s="122" t="str">
        <f>IF($A498="","",(IF(ISNUMBER(SEARCH("Proposal",$A498)),SUMIFS('Timesheet Raw'!$P$4:$P$8000,'Timesheet Raw'!$A$4:$A$8000,IF(ISNUMBER(SEARCH("Chargable",$A498)),"2-Proposals Chargeable","3-Proposals Regular"),'Timesheet Raw'!$C$4:$C$8000,"*"&amp;$B498&amp;"*",'Timesheet Raw'!$L$4:$L$8000,"&gt;="&amp;MAX(X$5,DATE(2000+VALUE(RIGHT(TRIM($A498),2)),1,1)),'Timesheet Raw'!$L$4:$L$8000,"&lt;="&amp;MIN(X$6,DATE(2000+VALUE(RIGHT(TRIM($A498),2)),12,31))),SUMIFS('Timesheet Raw'!$P$4:$P$8000,'Timesheet Raw'!$B$4:$B$8000,TRIM($A498),'Timesheet Raw'!$C$4:$C$8000,"*"&amp;$B498&amp;"*",'Timesheet Raw'!$L$4:$L$8000,"&gt;="&amp;X$5,'Timesheet Raw'!$L$4:$L$8000,"&lt;="&amp;X$6)))/'Profit Plan'!$B$5)</f>
        <v/>
      </c>
      <c r="Y498" s="118">
        <f t="shared" si="103"/>
        <v>0</v>
      </c>
    </row>
    <row r="499" spans="1:25" x14ac:dyDescent="0.3">
      <c r="A499" s="116" t="str">
        <f>IF(Inputs!$A84="","",Inputs!$A84)</f>
        <v/>
      </c>
      <c r="B499" s="116" t="str">
        <f>IF(Inputs!$A84="","",Inputs!$A$91)</f>
        <v/>
      </c>
      <c r="C499" s="116"/>
      <c r="D499" s="122" t="str">
        <f>IF($A499="","",(IF(ISNUMBER(SEARCH("Proposal",$A499)),SUMIFS('Timesheet Raw'!$P$4:$P$8000,'Timesheet Raw'!$A$4:$A$8000,IF(ISNUMBER(SEARCH("Chargable",$A499)),"2-Proposals Chargeable","3-Proposals Regular"),'Timesheet Raw'!$C$4:$C$8000,"*"&amp;$B499&amp;"*",'Timesheet Raw'!$L$4:$L$8000,"&gt;="&amp;MAX(D$5,DATE(2000+VALUE(RIGHT(TRIM($A499),2)),1,1)),'Timesheet Raw'!$L$4:$L$8000,"&lt;="&amp;MIN(D$6,DATE(2000+VALUE(RIGHT(TRIM($A499),2)),12,31))),SUMIFS('Timesheet Raw'!$P$4:$P$8000,'Timesheet Raw'!$B$4:$B$8000,TRIM($A499),'Timesheet Raw'!$C$4:$C$8000,"*"&amp;$B499&amp;"*",'Timesheet Raw'!$L$4:$L$8000,"&gt;="&amp;D$5,'Timesheet Raw'!$L$4:$L$8000,"&lt;="&amp;D$6)))/'Profit Plan'!$B$5)</f>
        <v/>
      </c>
      <c r="E499" s="122" t="str">
        <f>IF($A499="","",(IF(ISNUMBER(SEARCH("Proposal",$A499)),SUMIFS('Timesheet Raw'!$P$4:$P$8000,'Timesheet Raw'!$A$4:$A$8000,IF(ISNUMBER(SEARCH("Chargable",$A499)),"2-Proposals Chargeable","3-Proposals Regular"),'Timesheet Raw'!$C$4:$C$8000,"*"&amp;$B499&amp;"*",'Timesheet Raw'!$L$4:$L$8000,"&gt;="&amp;MAX(E$5,DATE(2000+VALUE(RIGHT(TRIM($A499),2)),1,1)),'Timesheet Raw'!$L$4:$L$8000,"&lt;="&amp;MIN(E$6,DATE(2000+VALUE(RIGHT(TRIM($A499),2)),12,31))),SUMIFS('Timesheet Raw'!$P$4:$P$8000,'Timesheet Raw'!$B$4:$B$8000,TRIM($A499),'Timesheet Raw'!$C$4:$C$8000,"*"&amp;$B499&amp;"*",'Timesheet Raw'!$L$4:$L$8000,"&gt;="&amp;E$5,'Timesheet Raw'!$L$4:$L$8000,"&lt;="&amp;E$6)))/'Profit Plan'!$B$5)</f>
        <v/>
      </c>
      <c r="F499" s="122" t="str">
        <f>IF($A499="","",(IF(ISNUMBER(SEARCH("Proposal",$A499)),SUMIFS('Timesheet Raw'!$P$4:$P$8000,'Timesheet Raw'!$A$4:$A$8000,IF(ISNUMBER(SEARCH("Chargable",$A499)),"2-Proposals Chargeable","3-Proposals Regular"),'Timesheet Raw'!$C$4:$C$8000,"*"&amp;$B499&amp;"*",'Timesheet Raw'!$L$4:$L$8000,"&gt;="&amp;MAX(F$5,DATE(2000+VALUE(RIGHT(TRIM($A499),2)),1,1)),'Timesheet Raw'!$L$4:$L$8000,"&lt;="&amp;MIN(F$6,DATE(2000+VALUE(RIGHT(TRIM($A499),2)),12,31))),SUMIFS('Timesheet Raw'!$P$4:$P$8000,'Timesheet Raw'!$B$4:$B$8000,TRIM($A499),'Timesheet Raw'!$C$4:$C$8000,"*"&amp;$B499&amp;"*",'Timesheet Raw'!$L$4:$L$8000,"&gt;="&amp;F$5,'Timesheet Raw'!$L$4:$L$8000,"&lt;="&amp;F$6)))/'Profit Plan'!$B$5)</f>
        <v/>
      </c>
      <c r="G499" s="122" t="str">
        <f>IF($A499="","",(IF(ISNUMBER(SEARCH("Proposal",$A499)),SUMIFS('Timesheet Raw'!$P$4:$P$8000,'Timesheet Raw'!$A$4:$A$8000,IF(ISNUMBER(SEARCH("Chargable",$A499)),"2-Proposals Chargeable","3-Proposals Regular"),'Timesheet Raw'!$C$4:$C$8000,"*"&amp;$B499&amp;"*",'Timesheet Raw'!$L$4:$L$8000,"&gt;="&amp;MAX(G$5,DATE(2000+VALUE(RIGHT(TRIM($A499),2)),1,1)),'Timesheet Raw'!$L$4:$L$8000,"&lt;="&amp;MIN(G$6,DATE(2000+VALUE(RIGHT(TRIM($A499),2)),12,31))),SUMIFS('Timesheet Raw'!$P$4:$P$8000,'Timesheet Raw'!$B$4:$B$8000,TRIM($A499),'Timesheet Raw'!$C$4:$C$8000,"*"&amp;$B499&amp;"*",'Timesheet Raw'!$L$4:$L$8000,"&gt;="&amp;G$5,'Timesheet Raw'!$L$4:$L$8000,"&lt;="&amp;G$6)))/'Profit Plan'!$B$5)</f>
        <v/>
      </c>
      <c r="H499" s="122" t="str">
        <f>IF($A499="","",(IF(ISNUMBER(SEARCH("Proposal",$A499)),SUMIFS('Timesheet Raw'!$P$4:$P$8000,'Timesheet Raw'!$A$4:$A$8000,IF(ISNUMBER(SEARCH("Chargable",$A499)),"2-Proposals Chargeable","3-Proposals Regular"),'Timesheet Raw'!$C$4:$C$8000,"*"&amp;$B499&amp;"*",'Timesheet Raw'!$L$4:$L$8000,"&gt;="&amp;MAX(H$5,DATE(2000+VALUE(RIGHT(TRIM($A499),2)),1,1)),'Timesheet Raw'!$L$4:$L$8000,"&lt;="&amp;MIN(H$6,DATE(2000+VALUE(RIGHT(TRIM($A499),2)),12,31))),SUMIFS('Timesheet Raw'!$P$4:$P$8000,'Timesheet Raw'!$B$4:$B$8000,TRIM($A499),'Timesheet Raw'!$C$4:$C$8000,"*"&amp;$B499&amp;"*",'Timesheet Raw'!$L$4:$L$8000,"&gt;="&amp;H$5,'Timesheet Raw'!$L$4:$L$8000,"&lt;="&amp;H$6)))/'Profit Plan'!$B$5)</f>
        <v/>
      </c>
      <c r="I499" s="122" t="str">
        <f>IF($A499="","",(IF(ISNUMBER(SEARCH("Proposal",$A499)),SUMIFS('Timesheet Raw'!$P$4:$P$8000,'Timesheet Raw'!$A$4:$A$8000,IF(ISNUMBER(SEARCH("Chargable",$A499)),"2-Proposals Chargeable","3-Proposals Regular"),'Timesheet Raw'!$C$4:$C$8000,"*"&amp;$B499&amp;"*",'Timesheet Raw'!$L$4:$L$8000,"&gt;="&amp;MAX(I$5,DATE(2000+VALUE(RIGHT(TRIM($A499),2)),1,1)),'Timesheet Raw'!$L$4:$L$8000,"&lt;="&amp;MIN(I$6,DATE(2000+VALUE(RIGHT(TRIM($A499),2)),12,31))),SUMIFS('Timesheet Raw'!$P$4:$P$8000,'Timesheet Raw'!$B$4:$B$8000,TRIM($A499),'Timesheet Raw'!$C$4:$C$8000,"*"&amp;$B499&amp;"*",'Timesheet Raw'!$L$4:$L$8000,"&gt;="&amp;I$5,'Timesheet Raw'!$L$4:$L$8000,"&lt;="&amp;I$6)))/'Profit Plan'!$B$5)</f>
        <v/>
      </c>
      <c r="J499" s="122" t="str">
        <f>IF($A499="","",(IF(ISNUMBER(SEARCH("Proposal",$A499)),SUMIFS('Timesheet Raw'!$P$4:$P$8000,'Timesheet Raw'!$A$4:$A$8000,IF(ISNUMBER(SEARCH("Chargable",$A499)),"2-Proposals Chargeable","3-Proposals Regular"),'Timesheet Raw'!$C$4:$C$8000,"*"&amp;$B499&amp;"*",'Timesheet Raw'!$L$4:$L$8000,"&gt;="&amp;MAX(J$5,DATE(2000+VALUE(RIGHT(TRIM($A499),2)),1,1)),'Timesheet Raw'!$L$4:$L$8000,"&lt;="&amp;MIN(J$6,DATE(2000+VALUE(RIGHT(TRIM($A499),2)),12,31))),SUMIFS('Timesheet Raw'!$P$4:$P$8000,'Timesheet Raw'!$B$4:$B$8000,TRIM($A499),'Timesheet Raw'!$C$4:$C$8000,"*"&amp;$B499&amp;"*",'Timesheet Raw'!$L$4:$L$8000,"&gt;="&amp;J$5,'Timesheet Raw'!$L$4:$L$8000,"&lt;="&amp;J$6)))/'Profit Plan'!$B$5)</f>
        <v/>
      </c>
      <c r="K499" s="122" t="str">
        <f>IF($A499="","",(IF(ISNUMBER(SEARCH("Proposal",$A499)),SUMIFS('Timesheet Raw'!$P$4:$P$8000,'Timesheet Raw'!$A$4:$A$8000,IF(ISNUMBER(SEARCH("Chargable",$A499)),"2-Proposals Chargeable","3-Proposals Regular"),'Timesheet Raw'!$C$4:$C$8000,"*"&amp;$B499&amp;"*",'Timesheet Raw'!$L$4:$L$8000,"&gt;="&amp;MAX(K$5,DATE(2000+VALUE(RIGHT(TRIM($A499),2)),1,1)),'Timesheet Raw'!$L$4:$L$8000,"&lt;="&amp;MIN(K$6,DATE(2000+VALUE(RIGHT(TRIM($A499),2)),12,31))),SUMIFS('Timesheet Raw'!$P$4:$P$8000,'Timesheet Raw'!$B$4:$B$8000,TRIM($A499),'Timesheet Raw'!$C$4:$C$8000,"*"&amp;$B499&amp;"*",'Timesheet Raw'!$L$4:$L$8000,"&gt;="&amp;K$5,'Timesheet Raw'!$L$4:$L$8000,"&lt;="&amp;K$6)))/'Profit Plan'!$B$5)</f>
        <v/>
      </c>
      <c r="L499" s="122" t="str">
        <f>IF($A499="","",(IF(ISNUMBER(SEARCH("Proposal",$A499)),SUMIFS('Timesheet Raw'!$P$4:$P$8000,'Timesheet Raw'!$A$4:$A$8000,IF(ISNUMBER(SEARCH("Chargable",$A499)),"2-Proposals Chargeable","3-Proposals Regular"),'Timesheet Raw'!$C$4:$C$8000,"*"&amp;$B499&amp;"*",'Timesheet Raw'!$L$4:$L$8000,"&gt;="&amp;MAX(L$5,DATE(2000+VALUE(RIGHT(TRIM($A499),2)),1,1)),'Timesheet Raw'!$L$4:$L$8000,"&lt;="&amp;MIN(L$6,DATE(2000+VALUE(RIGHT(TRIM($A499),2)),12,31))),SUMIFS('Timesheet Raw'!$P$4:$P$8000,'Timesheet Raw'!$B$4:$B$8000,TRIM($A499),'Timesheet Raw'!$C$4:$C$8000,"*"&amp;$B499&amp;"*",'Timesheet Raw'!$L$4:$L$8000,"&gt;="&amp;L$5,'Timesheet Raw'!$L$4:$L$8000,"&lt;="&amp;L$6)))/'Profit Plan'!$B$5)</f>
        <v/>
      </c>
      <c r="M499" s="122" t="str">
        <f>IF($A499="","",(IF(ISNUMBER(SEARCH("Proposal",$A499)),SUMIFS('Timesheet Raw'!$P$4:$P$8000,'Timesheet Raw'!$A$4:$A$8000,IF(ISNUMBER(SEARCH("Chargable",$A499)),"2-Proposals Chargeable","3-Proposals Regular"),'Timesheet Raw'!$C$4:$C$8000,"*"&amp;$B499&amp;"*",'Timesheet Raw'!$L$4:$L$8000,"&gt;="&amp;MAX(M$5,DATE(2000+VALUE(RIGHT(TRIM($A499),2)),1,1)),'Timesheet Raw'!$L$4:$L$8000,"&lt;="&amp;MIN(M$6,DATE(2000+VALUE(RIGHT(TRIM($A499),2)),12,31))),SUMIFS('Timesheet Raw'!$P$4:$P$8000,'Timesheet Raw'!$B$4:$B$8000,TRIM($A499),'Timesheet Raw'!$C$4:$C$8000,"*"&amp;$B499&amp;"*",'Timesheet Raw'!$L$4:$L$8000,"&gt;="&amp;M$5,'Timesheet Raw'!$L$4:$L$8000,"&lt;="&amp;M$6)))/'Profit Plan'!$B$5)</f>
        <v/>
      </c>
      <c r="N499" s="122" t="str">
        <f>IF($A499="","",(IF(ISNUMBER(SEARCH("Proposal",$A499)),SUMIFS('Timesheet Raw'!$P$4:$P$8000,'Timesheet Raw'!$A$4:$A$8000,IF(ISNUMBER(SEARCH("Chargable",$A499)),"2-Proposals Chargeable","3-Proposals Regular"),'Timesheet Raw'!$C$4:$C$8000,"*"&amp;$B499&amp;"*",'Timesheet Raw'!$L$4:$L$8000,"&gt;="&amp;MAX(N$5,DATE(2000+VALUE(RIGHT(TRIM($A499),2)),1,1)),'Timesheet Raw'!$L$4:$L$8000,"&lt;="&amp;MIN(N$6,DATE(2000+VALUE(RIGHT(TRIM($A499),2)),12,31))),SUMIFS('Timesheet Raw'!$P$4:$P$8000,'Timesheet Raw'!$B$4:$B$8000,TRIM($A499),'Timesheet Raw'!$C$4:$C$8000,"*"&amp;$B499&amp;"*",'Timesheet Raw'!$L$4:$L$8000,"&gt;="&amp;N$5,'Timesheet Raw'!$L$4:$L$8000,"&lt;="&amp;N$6)))/'Profit Plan'!$B$5)</f>
        <v/>
      </c>
      <c r="O499" s="122" t="str">
        <f>IF($A499="","",(IF(ISNUMBER(SEARCH("Proposal",$A499)),SUMIFS('Timesheet Raw'!$P$4:$P$8000,'Timesheet Raw'!$A$4:$A$8000,IF(ISNUMBER(SEARCH("Chargable",$A499)),"2-Proposals Chargeable","3-Proposals Regular"),'Timesheet Raw'!$C$4:$C$8000,"*"&amp;$B499&amp;"*",'Timesheet Raw'!$L$4:$L$8000,"&gt;="&amp;MAX(O$5,DATE(2000+VALUE(RIGHT(TRIM($A499),2)),1,1)),'Timesheet Raw'!$L$4:$L$8000,"&lt;="&amp;MIN(O$6,DATE(2000+VALUE(RIGHT(TRIM($A499),2)),12,31))),SUMIFS('Timesheet Raw'!$P$4:$P$8000,'Timesheet Raw'!$B$4:$B$8000,TRIM($A499),'Timesheet Raw'!$C$4:$C$8000,"*"&amp;$B499&amp;"*",'Timesheet Raw'!$L$4:$L$8000,"&gt;="&amp;O$5,'Timesheet Raw'!$L$4:$L$8000,"&lt;="&amp;O$6)))/'Profit Plan'!$B$5)</f>
        <v/>
      </c>
      <c r="P499" s="122" t="str">
        <f>IF($A499="","",(IF(ISNUMBER(SEARCH("Proposal",$A499)),SUMIFS('Timesheet Raw'!$P$4:$P$8000,'Timesheet Raw'!$A$4:$A$8000,IF(ISNUMBER(SEARCH("Chargable",$A499)),"2-Proposals Chargeable","3-Proposals Regular"),'Timesheet Raw'!$C$4:$C$8000,"*"&amp;$B499&amp;"*",'Timesheet Raw'!$L$4:$L$8000,"&gt;="&amp;MAX(P$5,DATE(2000+VALUE(RIGHT(TRIM($A499),2)),1,1)),'Timesheet Raw'!$L$4:$L$8000,"&lt;="&amp;MIN(P$6,DATE(2000+VALUE(RIGHT(TRIM($A499),2)),12,31))),SUMIFS('Timesheet Raw'!$P$4:$P$8000,'Timesheet Raw'!$B$4:$B$8000,TRIM($A499),'Timesheet Raw'!$C$4:$C$8000,"*"&amp;$B499&amp;"*",'Timesheet Raw'!$L$4:$L$8000,"&gt;="&amp;P$5,'Timesheet Raw'!$L$4:$L$8000,"&lt;="&amp;P$6)))/'Profit Plan'!$B$5)</f>
        <v/>
      </c>
      <c r="Q499" s="122" t="str">
        <f>IF($A499="","",(IF(ISNUMBER(SEARCH("Proposal",$A499)),SUMIFS('Timesheet Raw'!$P$4:$P$8000,'Timesheet Raw'!$A$4:$A$8000,IF(ISNUMBER(SEARCH("Chargable",$A499)),"2-Proposals Chargeable","3-Proposals Regular"),'Timesheet Raw'!$C$4:$C$8000,"*"&amp;$B499&amp;"*",'Timesheet Raw'!$L$4:$L$8000,"&gt;="&amp;MAX(Q$5,DATE(2000+VALUE(RIGHT(TRIM($A499),2)),1,1)),'Timesheet Raw'!$L$4:$L$8000,"&lt;="&amp;MIN(Q$6,DATE(2000+VALUE(RIGHT(TRIM($A499),2)),12,31))),SUMIFS('Timesheet Raw'!$P$4:$P$8000,'Timesheet Raw'!$B$4:$B$8000,TRIM($A499),'Timesheet Raw'!$C$4:$C$8000,"*"&amp;$B499&amp;"*",'Timesheet Raw'!$L$4:$L$8000,"&gt;="&amp;Q$5,'Timesheet Raw'!$L$4:$L$8000,"&lt;="&amp;Q$6)))/'Profit Plan'!$B$5)</f>
        <v/>
      </c>
      <c r="R499" s="122" t="str">
        <f>IF($A499="","",(IF(ISNUMBER(SEARCH("Proposal",$A499)),SUMIFS('Timesheet Raw'!$P$4:$P$8000,'Timesheet Raw'!$A$4:$A$8000,IF(ISNUMBER(SEARCH("Chargable",$A499)),"2-Proposals Chargeable","3-Proposals Regular"),'Timesheet Raw'!$C$4:$C$8000,"*"&amp;$B499&amp;"*",'Timesheet Raw'!$L$4:$L$8000,"&gt;="&amp;MAX(R$5,DATE(2000+VALUE(RIGHT(TRIM($A499),2)),1,1)),'Timesheet Raw'!$L$4:$L$8000,"&lt;="&amp;MIN(R$6,DATE(2000+VALUE(RIGHT(TRIM($A499),2)),12,31))),SUMIFS('Timesheet Raw'!$P$4:$P$8000,'Timesheet Raw'!$B$4:$B$8000,TRIM($A499),'Timesheet Raw'!$C$4:$C$8000,"*"&amp;$B499&amp;"*",'Timesheet Raw'!$L$4:$L$8000,"&gt;="&amp;R$5,'Timesheet Raw'!$L$4:$L$8000,"&lt;="&amp;R$6)))/'Profit Plan'!$B$5)</f>
        <v/>
      </c>
      <c r="S499" s="122" t="str">
        <f>IF($A499="","",(IF(ISNUMBER(SEARCH("Proposal",$A499)),SUMIFS('Timesheet Raw'!$P$4:$P$8000,'Timesheet Raw'!$A$4:$A$8000,IF(ISNUMBER(SEARCH("Chargable",$A499)),"2-Proposals Chargeable","3-Proposals Regular"),'Timesheet Raw'!$C$4:$C$8000,"*"&amp;$B499&amp;"*",'Timesheet Raw'!$L$4:$L$8000,"&gt;="&amp;MAX(S$5,DATE(2000+VALUE(RIGHT(TRIM($A499),2)),1,1)),'Timesheet Raw'!$L$4:$L$8000,"&lt;="&amp;MIN(S$6,DATE(2000+VALUE(RIGHT(TRIM($A499),2)),12,31))),SUMIFS('Timesheet Raw'!$P$4:$P$8000,'Timesheet Raw'!$B$4:$B$8000,TRIM($A499),'Timesheet Raw'!$C$4:$C$8000,"*"&amp;$B499&amp;"*",'Timesheet Raw'!$L$4:$L$8000,"&gt;="&amp;S$5,'Timesheet Raw'!$L$4:$L$8000,"&lt;="&amp;S$6)))/'Profit Plan'!$B$5)</f>
        <v/>
      </c>
      <c r="T499" s="122" t="str">
        <f>IF($A499="","",(IF(ISNUMBER(SEARCH("Proposal",$A499)),SUMIFS('Timesheet Raw'!$P$4:$P$8000,'Timesheet Raw'!$A$4:$A$8000,IF(ISNUMBER(SEARCH("Chargable",$A499)),"2-Proposals Chargeable","3-Proposals Regular"),'Timesheet Raw'!$C$4:$C$8000,"*"&amp;$B499&amp;"*",'Timesheet Raw'!$L$4:$L$8000,"&gt;="&amp;MAX(T$5,DATE(2000+VALUE(RIGHT(TRIM($A499),2)),1,1)),'Timesheet Raw'!$L$4:$L$8000,"&lt;="&amp;MIN(T$6,DATE(2000+VALUE(RIGHT(TRIM($A499),2)),12,31))),SUMIFS('Timesheet Raw'!$P$4:$P$8000,'Timesheet Raw'!$B$4:$B$8000,TRIM($A499),'Timesheet Raw'!$C$4:$C$8000,"*"&amp;$B499&amp;"*",'Timesheet Raw'!$L$4:$L$8000,"&gt;="&amp;T$5,'Timesheet Raw'!$L$4:$L$8000,"&lt;="&amp;T$6)))/'Profit Plan'!$B$5)</f>
        <v/>
      </c>
      <c r="U499" s="122" t="str">
        <f>IF($A499="","",(IF(ISNUMBER(SEARCH("Proposal",$A499)),SUMIFS('Timesheet Raw'!$P$4:$P$8000,'Timesheet Raw'!$A$4:$A$8000,IF(ISNUMBER(SEARCH("Chargable",$A499)),"2-Proposals Chargeable","3-Proposals Regular"),'Timesheet Raw'!$C$4:$C$8000,"*"&amp;$B499&amp;"*",'Timesheet Raw'!$L$4:$L$8000,"&gt;="&amp;MAX(U$5,DATE(2000+VALUE(RIGHT(TRIM($A499),2)),1,1)),'Timesheet Raw'!$L$4:$L$8000,"&lt;="&amp;MIN(U$6,DATE(2000+VALUE(RIGHT(TRIM($A499),2)),12,31))),SUMIFS('Timesheet Raw'!$P$4:$P$8000,'Timesheet Raw'!$B$4:$B$8000,TRIM($A499),'Timesheet Raw'!$C$4:$C$8000,"*"&amp;$B499&amp;"*",'Timesheet Raw'!$L$4:$L$8000,"&gt;="&amp;U$5,'Timesheet Raw'!$L$4:$L$8000,"&lt;="&amp;U$6)))/'Profit Plan'!$B$5)</f>
        <v/>
      </c>
      <c r="V499" s="122" t="str">
        <f>IF($A499="","",(IF(ISNUMBER(SEARCH("Proposal",$A499)),SUMIFS('Timesheet Raw'!$P$4:$P$8000,'Timesheet Raw'!$A$4:$A$8000,IF(ISNUMBER(SEARCH("Chargable",$A499)),"2-Proposals Chargeable","3-Proposals Regular"),'Timesheet Raw'!$C$4:$C$8000,"*"&amp;$B499&amp;"*",'Timesheet Raw'!$L$4:$L$8000,"&gt;="&amp;MAX(V$5,DATE(2000+VALUE(RIGHT(TRIM($A499),2)),1,1)),'Timesheet Raw'!$L$4:$L$8000,"&lt;="&amp;MIN(V$6,DATE(2000+VALUE(RIGHT(TRIM($A499),2)),12,31))),SUMIFS('Timesheet Raw'!$P$4:$P$8000,'Timesheet Raw'!$B$4:$B$8000,TRIM($A499),'Timesheet Raw'!$C$4:$C$8000,"*"&amp;$B499&amp;"*",'Timesheet Raw'!$L$4:$L$8000,"&gt;="&amp;V$5,'Timesheet Raw'!$L$4:$L$8000,"&lt;="&amp;V$6)))/'Profit Plan'!$B$5)</f>
        <v/>
      </c>
      <c r="W499" s="122" t="str">
        <f>IF($A499="","",(IF(ISNUMBER(SEARCH("Proposal",$A499)),SUMIFS('Timesheet Raw'!$P$4:$P$8000,'Timesheet Raw'!$A$4:$A$8000,IF(ISNUMBER(SEARCH("Chargable",$A499)),"2-Proposals Chargeable","3-Proposals Regular"),'Timesheet Raw'!$C$4:$C$8000,"*"&amp;$B499&amp;"*",'Timesheet Raw'!$L$4:$L$8000,"&gt;="&amp;MAX(W$5,DATE(2000+VALUE(RIGHT(TRIM($A499),2)),1,1)),'Timesheet Raw'!$L$4:$L$8000,"&lt;="&amp;MIN(W$6,DATE(2000+VALUE(RIGHT(TRIM($A499),2)),12,31))),SUMIFS('Timesheet Raw'!$P$4:$P$8000,'Timesheet Raw'!$B$4:$B$8000,TRIM($A499),'Timesheet Raw'!$C$4:$C$8000,"*"&amp;$B499&amp;"*",'Timesheet Raw'!$L$4:$L$8000,"&gt;="&amp;W$5,'Timesheet Raw'!$L$4:$L$8000,"&lt;="&amp;W$6)))/'Profit Plan'!$B$5)</f>
        <v/>
      </c>
      <c r="X499" s="122" t="str">
        <f>IF($A499="","",(IF(ISNUMBER(SEARCH("Proposal",$A499)),SUMIFS('Timesheet Raw'!$P$4:$P$8000,'Timesheet Raw'!$A$4:$A$8000,IF(ISNUMBER(SEARCH("Chargable",$A499)),"2-Proposals Chargeable","3-Proposals Regular"),'Timesheet Raw'!$C$4:$C$8000,"*"&amp;$B499&amp;"*",'Timesheet Raw'!$L$4:$L$8000,"&gt;="&amp;MAX(X$5,DATE(2000+VALUE(RIGHT(TRIM($A499),2)),1,1)),'Timesheet Raw'!$L$4:$L$8000,"&lt;="&amp;MIN(X$6,DATE(2000+VALUE(RIGHT(TRIM($A499),2)),12,31))),SUMIFS('Timesheet Raw'!$P$4:$P$8000,'Timesheet Raw'!$B$4:$B$8000,TRIM($A499),'Timesheet Raw'!$C$4:$C$8000,"*"&amp;$B499&amp;"*",'Timesheet Raw'!$L$4:$L$8000,"&gt;="&amp;X$5,'Timesheet Raw'!$L$4:$L$8000,"&lt;="&amp;X$6)))/'Profit Plan'!$B$5)</f>
        <v/>
      </c>
      <c r="Y499" s="118">
        <f t="shared" si="103"/>
        <v>0</v>
      </c>
    </row>
    <row r="500" spans="1:25" x14ac:dyDescent="0.3">
      <c r="A500" s="116" t="str">
        <f>IF(Inputs!$A84="","",Inputs!$A84)</f>
        <v/>
      </c>
      <c r="B500" s="116" t="str">
        <f>IF(Inputs!$A84="","",Inputs!$A$92)</f>
        <v/>
      </c>
      <c r="C500" s="116"/>
      <c r="D500" s="122" t="str">
        <f>IF($A500="","",(IF(ISNUMBER(SEARCH("Proposal",$A500)),SUMIFS('Timesheet Raw'!$P$4:$P$8000,'Timesheet Raw'!$A$4:$A$8000,IF(ISNUMBER(SEARCH("Chargable",$A500)),"2-Proposals Chargeable","3-Proposals Regular"),'Timesheet Raw'!$C$4:$C$8000,"*"&amp;$B500&amp;"*",'Timesheet Raw'!$L$4:$L$8000,"&gt;="&amp;MAX(D$5,DATE(2000+VALUE(RIGHT(TRIM($A500),2)),1,1)),'Timesheet Raw'!$L$4:$L$8000,"&lt;="&amp;MIN(D$6,DATE(2000+VALUE(RIGHT(TRIM($A500),2)),12,31))),SUMIFS('Timesheet Raw'!$P$4:$P$8000,'Timesheet Raw'!$B$4:$B$8000,TRIM($A500),'Timesheet Raw'!$C$4:$C$8000,"*"&amp;$B500&amp;"*",'Timesheet Raw'!$L$4:$L$8000,"&gt;="&amp;D$5,'Timesheet Raw'!$L$4:$L$8000,"&lt;="&amp;D$6)))/'Profit Plan'!$B$5)</f>
        <v/>
      </c>
      <c r="E500" s="122" t="str">
        <f>IF($A500="","",(IF(ISNUMBER(SEARCH("Proposal",$A500)),SUMIFS('Timesheet Raw'!$P$4:$P$8000,'Timesheet Raw'!$A$4:$A$8000,IF(ISNUMBER(SEARCH("Chargable",$A500)),"2-Proposals Chargeable","3-Proposals Regular"),'Timesheet Raw'!$C$4:$C$8000,"*"&amp;$B500&amp;"*",'Timesheet Raw'!$L$4:$L$8000,"&gt;="&amp;MAX(E$5,DATE(2000+VALUE(RIGHT(TRIM($A500),2)),1,1)),'Timesheet Raw'!$L$4:$L$8000,"&lt;="&amp;MIN(E$6,DATE(2000+VALUE(RIGHT(TRIM($A500),2)),12,31))),SUMIFS('Timesheet Raw'!$P$4:$P$8000,'Timesheet Raw'!$B$4:$B$8000,TRIM($A500),'Timesheet Raw'!$C$4:$C$8000,"*"&amp;$B500&amp;"*",'Timesheet Raw'!$L$4:$L$8000,"&gt;="&amp;E$5,'Timesheet Raw'!$L$4:$L$8000,"&lt;="&amp;E$6)))/'Profit Plan'!$B$5)</f>
        <v/>
      </c>
      <c r="F500" s="122" t="str">
        <f>IF($A500="","",(IF(ISNUMBER(SEARCH("Proposal",$A500)),SUMIFS('Timesheet Raw'!$P$4:$P$8000,'Timesheet Raw'!$A$4:$A$8000,IF(ISNUMBER(SEARCH("Chargable",$A500)),"2-Proposals Chargeable","3-Proposals Regular"),'Timesheet Raw'!$C$4:$C$8000,"*"&amp;$B500&amp;"*",'Timesheet Raw'!$L$4:$L$8000,"&gt;="&amp;MAX(F$5,DATE(2000+VALUE(RIGHT(TRIM($A500),2)),1,1)),'Timesheet Raw'!$L$4:$L$8000,"&lt;="&amp;MIN(F$6,DATE(2000+VALUE(RIGHT(TRIM($A500),2)),12,31))),SUMIFS('Timesheet Raw'!$P$4:$P$8000,'Timesheet Raw'!$B$4:$B$8000,TRIM($A500),'Timesheet Raw'!$C$4:$C$8000,"*"&amp;$B500&amp;"*",'Timesheet Raw'!$L$4:$L$8000,"&gt;="&amp;F$5,'Timesheet Raw'!$L$4:$L$8000,"&lt;="&amp;F$6)))/'Profit Plan'!$B$5)</f>
        <v/>
      </c>
      <c r="G500" s="122" t="str">
        <f>IF($A500="","",(IF(ISNUMBER(SEARCH("Proposal",$A500)),SUMIFS('Timesheet Raw'!$P$4:$P$8000,'Timesheet Raw'!$A$4:$A$8000,IF(ISNUMBER(SEARCH("Chargable",$A500)),"2-Proposals Chargeable","3-Proposals Regular"),'Timesheet Raw'!$C$4:$C$8000,"*"&amp;$B500&amp;"*",'Timesheet Raw'!$L$4:$L$8000,"&gt;="&amp;MAX(G$5,DATE(2000+VALUE(RIGHT(TRIM($A500),2)),1,1)),'Timesheet Raw'!$L$4:$L$8000,"&lt;="&amp;MIN(G$6,DATE(2000+VALUE(RIGHT(TRIM($A500),2)),12,31))),SUMIFS('Timesheet Raw'!$P$4:$P$8000,'Timesheet Raw'!$B$4:$B$8000,TRIM($A500),'Timesheet Raw'!$C$4:$C$8000,"*"&amp;$B500&amp;"*",'Timesheet Raw'!$L$4:$L$8000,"&gt;="&amp;G$5,'Timesheet Raw'!$L$4:$L$8000,"&lt;="&amp;G$6)))/'Profit Plan'!$B$5)</f>
        <v/>
      </c>
      <c r="H500" s="122" t="str">
        <f>IF($A500="","",(IF(ISNUMBER(SEARCH("Proposal",$A500)),SUMIFS('Timesheet Raw'!$P$4:$P$8000,'Timesheet Raw'!$A$4:$A$8000,IF(ISNUMBER(SEARCH("Chargable",$A500)),"2-Proposals Chargeable","3-Proposals Regular"),'Timesheet Raw'!$C$4:$C$8000,"*"&amp;$B500&amp;"*",'Timesheet Raw'!$L$4:$L$8000,"&gt;="&amp;MAX(H$5,DATE(2000+VALUE(RIGHT(TRIM($A500),2)),1,1)),'Timesheet Raw'!$L$4:$L$8000,"&lt;="&amp;MIN(H$6,DATE(2000+VALUE(RIGHT(TRIM($A500),2)),12,31))),SUMIFS('Timesheet Raw'!$P$4:$P$8000,'Timesheet Raw'!$B$4:$B$8000,TRIM($A500),'Timesheet Raw'!$C$4:$C$8000,"*"&amp;$B500&amp;"*",'Timesheet Raw'!$L$4:$L$8000,"&gt;="&amp;H$5,'Timesheet Raw'!$L$4:$L$8000,"&lt;="&amp;H$6)))/'Profit Plan'!$B$5)</f>
        <v/>
      </c>
      <c r="I500" s="122" t="str">
        <f>IF($A500="","",(IF(ISNUMBER(SEARCH("Proposal",$A500)),SUMIFS('Timesheet Raw'!$P$4:$P$8000,'Timesheet Raw'!$A$4:$A$8000,IF(ISNUMBER(SEARCH("Chargable",$A500)),"2-Proposals Chargeable","3-Proposals Regular"),'Timesheet Raw'!$C$4:$C$8000,"*"&amp;$B500&amp;"*",'Timesheet Raw'!$L$4:$L$8000,"&gt;="&amp;MAX(I$5,DATE(2000+VALUE(RIGHT(TRIM($A500),2)),1,1)),'Timesheet Raw'!$L$4:$L$8000,"&lt;="&amp;MIN(I$6,DATE(2000+VALUE(RIGHT(TRIM($A500),2)),12,31))),SUMIFS('Timesheet Raw'!$P$4:$P$8000,'Timesheet Raw'!$B$4:$B$8000,TRIM($A500),'Timesheet Raw'!$C$4:$C$8000,"*"&amp;$B500&amp;"*",'Timesheet Raw'!$L$4:$L$8000,"&gt;="&amp;I$5,'Timesheet Raw'!$L$4:$L$8000,"&lt;="&amp;I$6)))/'Profit Plan'!$B$5)</f>
        <v/>
      </c>
      <c r="J500" s="122" t="str">
        <f>IF($A500="","",(IF(ISNUMBER(SEARCH("Proposal",$A500)),SUMIFS('Timesheet Raw'!$P$4:$P$8000,'Timesheet Raw'!$A$4:$A$8000,IF(ISNUMBER(SEARCH("Chargable",$A500)),"2-Proposals Chargeable","3-Proposals Regular"),'Timesheet Raw'!$C$4:$C$8000,"*"&amp;$B500&amp;"*",'Timesheet Raw'!$L$4:$L$8000,"&gt;="&amp;MAX(J$5,DATE(2000+VALUE(RIGHT(TRIM($A500),2)),1,1)),'Timesheet Raw'!$L$4:$L$8000,"&lt;="&amp;MIN(J$6,DATE(2000+VALUE(RIGHT(TRIM($A500),2)),12,31))),SUMIFS('Timesheet Raw'!$P$4:$P$8000,'Timesheet Raw'!$B$4:$B$8000,TRIM($A500),'Timesheet Raw'!$C$4:$C$8000,"*"&amp;$B500&amp;"*",'Timesheet Raw'!$L$4:$L$8000,"&gt;="&amp;J$5,'Timesheet Raw'!$L$4:$L$8000,"&lt;="&amp;J$6)))/'Profit Plan'!$B$5)</f>
        <v/>
      </c>
      <c r="K500" s="122" t="str">
        <f>IF($A500="","",(IF(ISNUMBER(SEARCH("Proposal",$A500)),SUMIFS('Timesheet Raw'!$P$4:$P$8000,'Timesheet Raw'!$A$4:$A$8000,IF(ISNUMBER(SEARCH("Chargable",$A500)),"2-Proposals Chargeable","3-Proposals Regular"),'Timesheet Raw'!$C$4:$C$8000,"*"&amp;$B500&amp;"*",'Timesheet Raw'!$L$4:$L$8000,"&gt;="&amp;MAX(K$5,DATE(2000+VALUE(RIGHT(TRIM($A500),2)),1,1)),'Timesheet Raw'!$L$4:$L$8000,"&lt;="&amp;MIN(K$6,DATE(2000+VALUE(RIGHT(TRIM($A500),2)),12,31))),SUMIFS('Timesheet Raw'!$P$4:$P$8000,'Timesheet Raw'!$B$4:$B$8000,TRIM($A500),'Timesheet Raw'!$C$4:$C$8000,"*"&amp;$B500&amp;"*",'Timesheet Raw'!$L$4:$L$8000,"&gt;="&amp;K$5,'Timesheet Raw'!$L$4:$L$8000,"&lt;="&amp;K$6)))/'Profit Plan'!$B$5)</f>
        <v/>
      </c>
      <c r="L500" s="122" t="str">
        <f>IF($A500="","",(IF(ISNUMBER(SEARCH("Proposal",$A500)),SUMIFS('Timesheet Raw'!$P$4:$P$8000,'Timesheet Raw'!$A$4:$A$8000,IF(ISNUMBER(SEARCH("Chargable",$A500)),"2-Proposals Chargeable","3-Proposals Regular"),'Timesheet Raw'!$C$4:$C$8000,"*"&amp;$B500&amp;"*",'Timesheet Raw'!$L$4:$L$8000,"&gt;="&amp;MAX(L$5,DATE(2000+VALUE(RIGHT(TRIM($A500),2)),1,1)),'Timesheet Raw'!$L$4:$L$8000,"&lt;="&amp;MIN(L$6,DATE(2000+VALUE(RIGHT(TRIM($A500),2)),12,31))),SUMIFS('Timesheet Raw'!$P$4:$P$8000,'Timesheet Raw'!$B$4:$B$8000,TRIM($A500),'Timesheet Raw'!$C$4:$C$8000,"*"&amp;$B500&amp;"*",'Timesheet Raw'!$L$4:$L$8000,"&gt;="&amp;L$5,'Timesheet Raw'!$L$4:$L$8000,"&lt;="&amp;L$6)))/'Profit Plan'!$B$5)</f>
        <v/>
      </c>
      <c r="M500" s="122" t="str">
        <f>IF($A500="","",(IF(ISNUMBER(SEARCH("Proposal",$A500)),SUMIFS('Timesheet Raw'!$P$4:$P$8000,'Timesheet Raw'!$A$4:$A$8000,IF(ISNUMBER(SEARCH("Chargable",$A500)),"2-Proposals Chargeable","3-Proposals Regular"),'Timesheet Raw'!$C$4:$C$8000,"*"&amp;$B500&amp;"*",'Timesheet Raw'!$L$4:$L$8000,"&gt;="&amp;MAX(M$5,DATE(2000+VALUE(RIGHT(TRIM($A500),2)),1,1)),'Timesheet Raw'!$L$4:$L$8000,"&lt;="&amp;MIN(M$6,DATE(2000+VALUE(RIGHT(TRIM($A500),2)),12,31))),SUMIFS('Timesheet Raw'!$P$4:$P$8000,'Timesheet Raw'!$B$4:$B$8000,TRIM($A500),'Timesheet Raw'!$C$4:$C$8000,"*"&amp;$B500&amp;"*",'Timesheet Raw'!$L$4:$L$8000,"&gt;="&amp;M$5,'Timesheet Raw'!$L$4:$L$8000,"&lt;="&amp;M$6)))/'Profit Plan'!$B$5)</f>
        <v/>
      </c>
      <c r="N500" s="122" t="str">
        <f>IF($A500="","",(IF(ISNUMBER(SEARCH("Proposal",$A500)),SUMIFS('Timesheet Raw'!$P$4:$P$8000,'Timesheet Raw'!$A$4:$A$8000,IF(ISNUMBER(SEARCH("Chargable",$A500)),"2-Proposals Chargeable","3-Proposals Regular"),'Timesheet Raw'!$C$4:$C$8000,"*"&amp;$B500&amp;"*",'Timesheet Raw'!$L$4:$L$8000,"&gt;="&amp;MAX(N$5,DATE(2000+VALUE(RIGHT(TRIM($A500),2)),1,1)),'Timesheet Raw'!$L$4:$L$8000,"&lt;="&amp;MIN(N$6,DATE(2000+VALUE(RIGHT(TRIM($A500),2)),12,31))),SUMIFS('Timesheet Raw'!$P$4:$P$8000,'Timesheet Raw'!$B$4:$B$8000,TRIM($A500),'Timesheet Raw'!$C$4:$C$8000,"*"&amp;$B500&amp;"*",'Timesheet Raw'!$L$4:$L$8000,"&gt;="&amp;N$5,'Timesheet Raw'!$L$4:$L$8000,"&lt;="&amp;N$6)))/'Profit Plan'!$B$5)</f>
        <v/>
      </c>
      <c r="O500" s="122" t="str">
        <f>IF($A500="","",(IF(ISNUMBER(SEARCH("Proposal",$A500)),SUMIFS('Timesheet Raw'!$P$4:$P$8000,'Timesheet Raw'!$A$4:$A$8000,IF(ISNUMBER(SEARCH("Chargable",$A500)),"2-Proposals Chargeable","3-Proposals Regular"),'Timesheet Raw'!$C$4:$C$8000,"*"&amp;$B500&amp;"*",'Timesheet Raw'!$L$4:$L$8000,"&gt;="&amp;MAX(O$5,DATE(2000+VALUE(RIGHT(TRIM($A500),2)),1,1)),'Timesheet Raw'!$L$4:$L$8000,"&lt;="&amp;MIN(O$6,DATE(2000+VALUE(RIGHT(TRIM($A500),2)),12,31))),SUMIFS('Timesheet Raw'!$P$4:$P$8000,'Timesheet Raw'!$B$4:$B$8000,TRIM($A500),'Timesheet Raw'!$C$4:$C$8000,"*"&amp;$B500&amp;"*",'Timesheet Raw'!$L$4:$L$8000,"&gt;="&amp;O$5,'Timesheet Raw'!$L$4:$L$8000,"&lt;="&amp;O$6)))/'Profit Plan'!$B$5)</f>
        <v/>
      </c>
      <c r="P500" s="122" t="str">
        <f>IF($A500="","",(IF(ISNUMBER(SEARCH("Proposal",$A500)),SUMIFS('Timesheet Raw'!$P$4:$P$8000,'Timesheet Raw'!$A$4:$A$8000,IF(ISNUMBER(SEARCH("Chargable",$A500)),"2-Proposals Chargeable","3-Proposals Regular"),'Timesheet Raw'!$C$4:$C$8000,"*"&amp;$B500&amp;"*",'Timesheet Raw'!$L$4:$L$8000,"&gt;="&amp;MAX(P$5,DATE(2000+VALUE(RIGHT(TRIM($A500),2)),1,1)),'Timesheet Raw'!$L$4:$L$8000,"&lt;="&amp;MIN(P$6,DATE(2000+VALUE(RIGHT(TRIM($A500),2)),12,31))),SUMIFS('Timesheet Raw'!$P$4:$P$8000,'Timesheet Raw'!$B$4:$B$8000,TRIM($A500),'Timesheet Raw'!$C$4:$C$8000,"*"&amp;$B500&amp;"*",'Timesheet Raw'!$L$4:$L$8000,"&gt;="&amp;P$5,'Timesheet Raw'!$L$4:$L$8000,"&lt;="&amp;P$6)))/'Profit Plan'!$B$5)</f>
        <v/>
      </c>
      <c r="Q500" s="122" t="str">
        <f>IF($A500="","",(IF(ISNUMBER(SEARCH("Proposal",$A500)),SUMIFS('Timesheet Raw'!$P$4:$P$8000,'Timesheet Raw'!$A$4:$A$8000,IF(ISNUMBER(SEARCH("Chargable",$A500)),"2-Proposals Chargeable","3-Proposals Regular"),'Timesheet Raw'!$C$4:$C$8000,"*"&amp;$B500&amp;"*",'Timesheet Raw'!$L$4:$L$8000,"&gt;="&amp;MAX(Q$5,DATE(2000+VALUE(RIGHT(TRIM($A500),2)),1,1)),'Timesheet Raw'!$L$4:$L$8000,"&lt;="&amp;MIN(Q$6,DATE(2000+VALUE(RIGHT(TRIM($A500),2)),12,31))),SUMIFS('Timesheet Raw'!$P$4:$P$8000,'Timesheet Raw'!$B$4:$B$8000,TRIM($A500),'Timesheet Raw'!$C$4:$C$8000,"*"&amp;$B500&amp;"*",'Timesheet Raw'!$L$4:$L$8000,"&gt;="&amp;Q$5,'Timesheet Raw'!$L$4:$L$8000,"&lt;="&amp;Q$6)))/'Profit Plan'!$B$5)</f>
        <v/>
      </c>
      <c r="R500" s="122" t="str">
        <f>IF($A500="","",(IF(ISNUMBER(SEARCH("Proposal",$A500)),SUMIFS('Timesheet Raw'!$P$4:$P$8000,'Timesheet Raw'!$A$4:$A$8000,IF(ISNUMBER(SEARCH("Chargable",$A500)),"2-Proposals Chargeable","3-Proposals Regular"),'Timesheet Raw'!$C$4:$C$8000,"*"&amp;$B500&amp;"*",'Timesheet Raw'!$L$4:$L$8000,"&gt;="&amp;MAX(R$5,DATE(2000+VALUE(RIGHT(TRIM($A500),2)),1,1)),'Timesheet Raw'!$L$4:$L$8000,"&lt;="&amp;MIN(R$6,DATE(2000+VALUE(RIGHT(TRIM($A500),2)),12,31))),SUMIFS('Timesheet Raw'!$P$4:$P$8000,'Timesheet Raw'!$B$4:$B$8000,TRIM($A500),'Timesheet Raw'!$C$4:$C$8000,"*"&amp;$B500&amp;"*",'Timesheet Raw'!$L$4:$L$8000,"&gt;="&amp;R$5,'Timesheet Raw'!$L$4:$L$8000,"&lt;="&amp;R$6)))/'Profit Plan'!$B$5)</f>
        <v/>
      </c>
      <c r="S500" s="122" t="str">
        <f>IF($A500="","",(IF(ISNUMBER(SEARCH("Proposal",$A500)),SUMIFS('Timesheet Raw'!$P$4:$P$8000,'Timesheet Raw'!$A$4:$A$8000,IF(ISNUMBER(SEARCH("Chargable",$A500)),"2-Proposals Chargeable","3-Proposals Regular"),'Timesheet Raw'!$C$4:$C$8000,"*"&amp;$B500&amp;"*",'Timesheet Raw'!$L$4:$L$8000,"&gt;="&amp;MAX(S$5,DATE(2000+VALUE(RIGHT(TRIM($A500),2)),1,1)),'Timesheet Raw'!$L$4:$L$8000,"&lt;="&amp;MIN(S$6,DATE(2000+VALUE(RIGHT(TRIM($A500),2)),12,31))),SUMIFS('Timesheet Raw'!$P$4:$P$8000,'Timesheet Raw'!$B$4:$B$8000,TRIM($A500),'Timesheet Raw'!$C$4:$C$8000,"*"&amp;$B500&amp;"*",'Timesheet Raw'!$L$4:$L$8000,"&gt;="&amp;S$5,'Timesheet Raw'!$L$4:$L$8000,"&lt;="&amp;S$6)))/'Profit Plan'!$B$5)</f>
        <v/>
      </c>
      <c r="T500" s="122" t="str">
        <f>IF($A500="","",(IF(ISNUMBER(SEARCH("Proposal",$A500)),SUMIFS('Timesheet Raw'!$P$4:$P$8000,'Timesheet Raw'!$A$4:$A$8000,IF(ISNUMBER(SEARCH("Chargable",$A500)),"2-Proposals Chargeable","3-Proposals Regular"),'Timesheet Raw'!$C$4:$C$8000,"*"&amp;$B500&amp;"*",'Timesheet Raw'!$L$4:$L$8000,"&gt;="&amp;MAX(T$5,DATE(2000+VALUE(RIGHT(TRIM($A500),2)),1,1)),'Timesheet Raw'!$L$4:$L$8000,"&lt;="&amp;MIN(T$6,DATE(2000+VALUE(RIGHT(TRIM($A500),2)),12,31))),SUMIFS('Timesheet Raw'!$P$4:$P$8000,'Timesheet Raw'!$B$4:$B$8000,TRIM($A500),'Timesheet Raw'!$C$4:$C$8000,"*"&amp;$B500&amp;"*",'Timesheet Raw'!$L$4:$L$8000,"&gt;="&amp;T$5,'Timesheet Raw'!$L$4:$L$8000,"&lt;="&amp;T$6)))/'Profit Plan'!$B$5)</f>
        <v/>
      </c>
      <c r="U500" s="122" t="str">
        <f>IF($A500="","",(IF(ISNUMBER(SEARCH("Proposal",$A500)),SUMIFS('Timesheet Raw'!$P$4:$P$8000,'Timesheet Raw'!$A$4:$A$8000,IF(ISNUMBER(SEARCH("Chargable",$A500)),"2-Proposals Chargeable","3-Proposals Regular"),'Timesheet Raw'!$C$4:$C$8000,"*"&amp;$B500&amp;"*",'Timesheet Raw'!$L$4:$L$8000,"&gt;="&amp;MAX(U$5,DATE(2000+VALUE(RIGHT(TRIM($A500),2)),1,1)),'Timesheet Raw'!$L$4:$L$8000,"&lt;="&amp;MIN(U$6,DATE(2000+VALUE(RIGHT(TRIM($A500),2)),12,31))),SUMIFS('Timesheet Raw'!$P$4:$P$8000,'Timesheet Raw'!$B$4:$B$8000,TRIM($A500),'Timesheet Raw'!$C$4:$C$8000,"*"&amp;$B500&amp;"*",'Timesheet Raw'!$L$4:$L$8000,"&gt;="&amp;U$5,'Timesheet Raw'!$L$4:$L$8000,"&lt;="&amp;U$6)))/'Profit Plan'!$B$5)</f>
        <v/>
      </c>
      <c r="V500" s="122" t="str">
        <f>IF($A500="","",(IF(ISNUMBER(SEARCH("Proposal",$A500)),SUMIFS('Timesheet Raw'!$P$4:$P$8000,'Timesheet Raw'!$A$4:$A$8000,IF(ISNUMBER(SEARCH("Chargable",$A500)),"2-Proposals Chargeable","3-Proposals Regular"),'Timesheet Raw'!$C$4:$C$8000,"*"&amp;$B500&amp;"*",'Timesheet Raw'!$L$4:$L$8000,"&gt;="&amp;MAX(V$5,DATE(2000+VALUE(RIGHT(TRIM($A500),2)),1,1)),'Timesheet Raw'!$L$4:$L$8000,"&lt;="&amp;MIN(V$6,DATE(2000+VALUE(RIGHT(TRIM($A500),2)),12,31))),SUMIFS('Timesheet Raw'!$P$4:$P$8000,'Timesheet Raw'!$B$4:$B$8000,TRIM($A500),'Timesheet Raw'!$C$4:$C$8000,"*"&amp;$B500&amp;"*",'Timesheet Raw'!$L$4:$L$8000,"&gt;="&amp;V$5,'Timesheet Raw'!$L$4:$L$8000,"&lt;="&amp;V$6)))/'Profit Plan'!$B$5)</f>
        <v/>
      </c>
      <c r="W500" s="122" t="str">
        <f>IF($A500="","",(IF(ISNUMBER(SEARCH("Proposal",$A500)),SUMIFS('Timesheet Raw'!$P$4:$P$8000,'Timesheet Raw'!$A$4:$A$8000,IF(ISNUMBER(SEARCH("Chargable",$A500)),"2-Proposals Chargeable","3-Proposals Regular"),'Timesheet Raw'!$C$4:$C$8000,"*"&amp;$B500&amp;"*",'Timesheet Raw'!$L$4:$L$8000,"&gt;="&amp;MAX(W$5,DATE(2000+VALUE(RIGHT(TRIM($A500),2)),1,1)),'Timesheet Raw'!$L$4:$L$8000,"&lt;="&amp;MIN(W$6,DATE(2000+VALUE(RIGHT(TRIM($A500),2)),12,31))),SUMIFS('Timesheet Raw'!$P$4:$P$8000,'Timesheet Raw'!$B$4:$B$8000,TRIM($A500),'Timesheet Raw'!$C$4:$C$8000,"*"&amp;$B500&amp;"*",'Timesheet Raw'!$L$4:$L$8000,"&gt;="&amp;W$5,'Timesheet Raw'!$L$4:$L$8000,"&lt;="&amp;W$6)))/'Profit Plan'!$B$5)</f>
        <v/>
      </c>
      <c r="X500" s="122" t="str">
        <f>IF($A500="","",(IF(ISNUMBER(SEARCH("Proposal",$A500)),SUMIFS('Timesheet Raw'!$P$4:$P$8000,'Timesheet Raw'!$A$4:$A$8000,IF(ISNUMBER(SEARCH("Chargable",$A500)),"2-Proposals Chargeable","3-Proposals Regular"),'Timesheet Raw'!$C$4:$C$8000,"*"&amp;$B500&amp;"*",'Timesheet Raw'!$L$4:$L$8000,"&gt;="&amp;MAX(X$5,DATE(2000+VALUE(RIGHT(TRIM($A500),2)),1,1)),'Timesheet Raw'!$L$4:$L$8000,"&lt;="&amp;MIN(X$6,DATE(2000+VALUE(RIGHT(TRIM($A500),2)),12,31))),SUMIFS('Timesheet Raw'!$P$4:$P$8000,'Timesheet Raw'!$B$4:$B$8000,TRIM($A500),'Timesheet Raw'!$C$4:$C$8000,"*"&amp;$B500&amp;"*",'Timesheet Raw'!$L$4:$L$8000,"&gt;="&amp;X$5,'Timesheet Raw'!$L$4:$L$8000,"&lt;="&amp;X$6)))/'Profit Plan'!$B$5)</f>
        <v/>
      </c>
      <c r="Y500" s="118">
        <f t="shared" si="103"/>
        <v>0</v>
      </c>
    </row>
    <row r="501" spans="1:25" x14ac:dyDescent="0.3">
      <c r="A501" s="116" t="str">
        <f>IF(Inputs!$A84="","",Inputs!$A84)</f>
        <v/>
      </c>
      <c r="B501" s="116" t="str">
        <f>IF(Inputs!$A84="","",Inputs!$A$93)</f>
        <v/>
      </c>
      <c r="C501" s="116"/>
      <c r="D501" s="122" t="str">
        <f>IF($A501="","",(IF(ISNUMBER(SEARCH("Proposal",$A501)),SUMIFS('Timesheet Raw'!$P$4:$P$8000,'Timesheet Raw'!$A$4:$A$8000,IF(ISNUMBER(SEARCH("Chargable",$A501)),"2-Proposals Chargeable","3-Proposals Regular"),'Timesheet Raw'!$C$4:$C$8000,"*"&amp;$B501&amp;"*",'Timesheet Raw'!$L$4:$L$8000,"&gt;="&amp;MAX(D$5,DATE(2000+VALUE(RIGHT(TRIM($A501),2)),1,1)),'Timesheet Raw'!$L$4:$L$8000,"&lt;="&amp;MIN(D$6,DATE(2000+VALUE(RIGHT(TRIM($A501),2)),12,31))),SUMIFS('Timesheet Raw'!$P$4:$P$8000,'Timesheet Raw'!$B$4:$B$8000,TRIM($A501),'Timesheet Raw'!$C$4:$C$8000,"*"&amp;$B501&amp;"*",'Timesheet Raw'!$L$4:$L$8000,"&gt;="&amp;D$5,'Timesheet Raw'!$L$4:$L$8000,"&lt;="&amp;D$6)))/'Profit Plan'!$B$5)</f>
        <v/>
      </c>
      <c r="E501" s="122" t="str">
        <f>IF($A501="","",(IF(ISNUMBER(SEARCH("Proposal",$A501)),SUMIFS('Timesheet Raw'!$P$4:$P$8000,'Timesheet Raw'!$A$4:$A$8000,IF(ISNUMBER(SEARCH("Chargable",$A501)),"2-Proposals Chargeable","3-Proposals Regular"),'Timesheet Raw'!$C$4:$C$8000,"*"&amp;$B501&amp;"*",'Timesheet Raw'!$L$4:$L$8000,"&gt;="&amp;MAX(E$5,DATE(2000+VALUE(RIGHT(TRIM($A501),2)),1,1)),'Timesheet Raw'!$L$4:$L$8000,"&lt;="&amp;MIN(E$6,DATE(2000+VALUE(RIGHT(TRIM($A501),2)),12,31))),SUMIFS('Timesheet Raw'!$P$4:$P$8000,'Timesheet Raw'!$B$4:$B$8000,TRIM($A501),'Timesheet Raw'!$C$4:$C$8000,"*"&amp;$B501&amp;"*",'Timesheet Raw'!$L$4:$L$8000,"&gt;="&amp;E$5,'Timesheet Raw'!$L$4:$L$8000,"&lt;="&amp;E$6)))/'Profit Plan'!$B$5)</f>
        <v/>
      </c>
      <c r="F501" s="122" t="str">
        <f>IF($A501="","",(IF(ISNUMBER(SEARCH("Proposal",$A501)),SUMIFS('Timesheet Raw'!$P$4:$P$8000,'Timesheet Raw'!$A$4:$A$8000,IF(ISNUMBER(SEARCH("Chargable",$A501)),"2-Proposals Chargeable","3-Proposals Regular"),'Timesheet Raw'!$C$4:$C$8000,"*"&amp;$B501&amp;"*",'Timesheet Raw'!$L$4:$L$8000,"&gt;="&amp;MAX(F$5,DATE(2000+VALUE(RIGHT(TRIM($A501),2)),1,1)),'Timesheet Raw'!$L$4:$L$8000,"&lt;="&amp;MIN(F$6,DATE(2000+VALUE(RIGHT(TRIM($A501),2)),12,31))),SUMIFS('Timesheet Raw'!$P$4:$P$8000,'Timesheet Raw'!$B$4:$B$8000,TRIM($A501),'Timesheet Raw'!$C$4:$C$8000,"*"&amp;$B501&amp;"*",'Timesheet Raw'!$L$4:$L$8000,"&gt;="&amp;F$5,'Timesheet Raw'!$L$4:$L$8000,"&lt;="&amp;F$6)))/'Profit Plan'!$B$5)</f>
        <v/>
      </c>
      <c r="G501" s="122" t="str">
        <f>IF($A501="","",(IF(ISNUMBER(SEARCH("Proposal",$A501)),SUMIFS('Timesheet Raw'!$P$4:$P$8000,'Timesheet Raw'!$A$4:$A$8000,IF(ISNUMBER(SEARCH("Chargable",$A501)),"2-Proposals Chargeable","3-Proposals Regular"),'Timesheet Raw'!$C$4:$C$8000,"*"&amp;$B501&amp;"*",'Timesheet Raw'!$L$4:$L$8000,"&gt;="&amp;MAX(G$5,DATE(2000+VALUE(RIGHT(TRIM($A501),2)),1,1)),'Timesheet Raw'!$L$4:$L$8000,"&lt;="&amp;MIN(G$6,DATE(2000+VALUE(RIGHT(TRIM($A501),2)),12,31))),SUMIFS('Timesheet Raw'!$P$4:$P$8000,'Timesheet Raw'!$B$4:$B$8000,TRIM($A501),'Timesheet Raw'!$C$4:$C$8000,"*"&amp;$B501&amp;"*",'Timesheet Raw'!$L$4:$L$8000,"&gt;="&amp;G$5,'Timesheet Raw'!$L$4:$L$8000,"&lt;="&amp;G$6)))/'Profit Plan'!$B$5)</f>
        <v/>
      </c>
      <c r="H501" s="122" t="str">
        <f>IF($A501="","",(IF(ISNUMBER(SEARCH("Proposal",$A501)),SUMIFS('Timesheet Raw'!$P$4:$P$8000,'Timesheet Raw'!$A$4:$A$8000,IF(ISNUMBER(SEARCH("Chargable",$A501)),"2-Proposals Chargeable","3-Proposals Regular"),'Timesheet Raw'!$C$4:$C$8000,"*"&amp;$B501&amp;"*",'Timesheet Raw'!$L$4:$L$8000,"&gt;="&amp;MAX(H$5,DATE(2000+VALUE(RIGHT(TRIM($A501),2)),1,1)),'Timesheet Raw'!$L$4:$L$8000,"&lt;="&amp;MIN(H$6,DATE(2000+VALUE(RIGHT(TRIM($A501),2)),12,31))),SUMIFS('Timesheet Raw'!$P$4:$P$8000,'Timesheet Raw'!$B$4:$B$8000,TRIM($A501),'Timesheet Raw'!$C$4:$C$8000,"*"&amp;$B501&amp;"*",'Timesheet Raw'!$L$4:$L$8000,"&gt;="&amp;H$5,'Timesheet Raw'!$L$4:$L$8000,"&lt;="&amp;H$6)))/'Profit Plan'!$B$5)</f>
        <v/>
      </c>
      <c r="I501" s="122" t="str">
        <f>IF($A501="","",(IF(ISNUMBER(SEARCH("Proposal",$A501)),SUMIFS('Timesheet Raw'!$P$4:$P$8000,'Timesheet Raw'!$A$4:$A$8000,IF(ISNUMBER(SEARCH("Chargable",$A501)),"2-Proposals Chargeable","3-Proposals Regular"),'Timesheet Raw'!$C$4:$C$8000,"*"&amp;$B501&amp;"*",'Timesheet Raw'!$L$4:$L$8000,"&gt;="&amp;MAX(I$5,DATE(2000+VALUE(RIGHT(TRIM($A501),2)),1,1)),'Timesheet Raw'!$L$4:$L$8000,"&lt;="&amp;MIN(I$6,DATE(2000+VALUE(RIGHT(TRIM($A501),2)),12,31))),SUMIFS('Timesheet Raw'!$P$4:$P$8000,'Timesheet Raw'!$B$4:$B$8000,TRIM($A501),'Timesheet Raw'!$C$4:$C$8000,"*"&amp;$B501&amp;"*",'Timesheet Raw'!$L$4:$L$8000,"&gt;="&amp;I$5,'Timesheet Raw'!$L$4:$L$8000,"&lt;="&amp;I$6)))/'Profit Plan'!$B$5)</f>
        <v/>
      </c>
      <c r="J501" s="122" t="str">
        <f>IF($A501="","",(IF(ISNUMBER(SEARCH("Proposal",$A501)),SUMIFS('Timesheet Raw'!$P$4:$P$8000,'Timesheet Raw'!$A$4:$A$8000,IF(ISNUMBER(SEARCH("Chargable",$A501)),"2-Proposals Chargeable","3-Proposals Regular"),'Timesheet Raw'!$C$4:$C$8000,"*"&amp;$B501&amp;"*",'Timesheet Raw'!$L$4:$L$8000,"&gt;="&amp;MAX(J$5,DATE(2000+VALUE(RIGHT(TRIM($A501),2)),1,1)),'Timesheet Raw'!$L$4:$L$8000,"&lt;="&amp;MIN(J$6,DATE(2000+VALUE(RIGHT(TRIM($A501),2)),12,31))),SUMIFS('Timesheet Raw'!$P$4:$P$8000,'Timesheet Raw'!$B$4:$B$8000,TRIM($A501),'Timesheet Raw'!$C$4:$C$8000,"*"&amp;$B501&amp;"*",'Timesheet Raw'!$L$4:$L$8000,"&gt;="&amp;J$5,'Timesheet Raw'!$L$4:$L$8000,"&lt;="&amp;J$6)))/'Profit Plan'!$B$5)</f>
        <v/>
      </c>
      <c r="K501" s="122" t="str">
        <f>IF($A501="","",(IF(ISNUMBER(SEARCH("Proposal",$A501)),SUMIFS('Timesheet Raw'!$P$4:$P$8000,'Timesheet Raw'!$A$4:$A$8000,IF(ISNUMBER(SEARCH("Chargable",$A501)),"2-Proposals Chargeable","3-Proposals Regular"),'Timesheet Raw'!$C$4:$C$8000,"*"&amp;$B501&amp;"*",'Timesheet Raw'!$L$4:$L$8000,"&gt;="&amp;MAX(K$5,DATE(2000+VALUE(RIGHT(TRIM($A501),2)),1,1)),'Timesheet Raw'!$L$4:$L$8000,"&lt;="&amp;MIN(K$6,DATE(2000+VALUE(RIGHT(TRIM($A501),2)),12,31))),SUMIFS('Timesheet Raw'!$P$4:$P$8000,'Timesheet Raw'!$B$4:$B$8000,TRIM($A501),'Timesheet Raw'!$C$4:$C$8000,"*"&amp;$B501&amp;"*",'Timesheet Raw'!$L$4:$L$8000,"&gt;="&amp;K$5,'Timesheet Raw'!$L$4:$L$8000,"&lt;="&amp;K$6)))/'Profit Plan'!$B$5)</f>
        <v/>
      </c>
      <c r="L501" s="122" t="str">
        <f>IF($A501="","",(IF(ISNUMBER(SEARCH("Proposal",$A501)),SUMIFS('Timesheet Raw'!$P$4:$P$8000,'Timesheet Raw'!$A$4:$A$8000,IF(ISNUMBER(SEARCH("Chargable",$A501)),"2-Proposals Chargeable","3-Proposals Regular"),'Timesheet Raw'!$C$4:$C$8000,"*"&amp;$B501&amp;"*",'Timesheet Raw'!$L$4:$L$8000,"&gt;="&amp;MAX(L$5,DATE(2000+VALUE(RIGHT(TRIM($A501),2)),1,1)),'Timesheet Raw'!$L$4:$L$8000,"&lt;="&amp;MIN(L$6,DATE(2000+VALUE(RIGHT(TRIM($A501),2)),12,31))),SUMIFS('Timesheet Raw'!$P$4:$P$8000,'Timesheet Raw'!$B$4:$B$8000,TRIM($A501),'Timesheet Raw'!$C$4:$C$8000,"*"&amp;$B501&amp;"*",'Timesheet Raw'!$L$4:$L$8000,"&gt;="&amp;L$5,'Timesheet Raw'!$L$4:$L$8000,"&lt;="&amp;L$6)))/'Profit Plan'!$B$5)</f>
        <v/>
      </c>
      <c r="M501" s="122" t="str">
        <f>IF($A501="","",(IF(ISNUMBER(SEARCH("Proposal",$A501)),SUMIFS('Timesheet Raw'!$P$4:$P$8000,'Timesheet Raw'!$A$4:$A$8000,IF(ISNUMBER(SEARCH("Chargable",$A501)),"2-Proposals Chargeable","3-Proposals Regular"),'Timesheet Raw'!$C$4:$C$8000,"*"&amp;$B501&amp;"*",'Timesheet Raw'!$L$4:$L$8000,"&gt;="&amp;MAX(M$5,DATE(2000+VALUE(RIGHT(TRIM($A501),2)),1,1)),'Timesheet Raw'!$L$4:$L$8000,"&lt;="&amp;MIN(M$6,DATE(2000+VALUE(RIGHT(TRIM($A501),2)),12,31))),SUMIFS('Timesheet Raw'!$P$4:$P$8000,'Timesheet Raw'!$B$4:$B$8000,TRIM($A501),'Timesheet Raw'!$C$4:$C$8000,"*"&amp;$B501&amp;"*",'Timesheet Raw'!$L$4:$L$8000,"&gt;="&amp;M$5,'Timesheet Raw'!$L$4:$L$8000,"&lt;="&amp;M$6)))/'Profit Plan'!$B$5)</f>
        <v/>
      </c>
      <c r="N501" s="122" t="str">
        <f>IF($A501="","",(IF(ISNUMBER(SEARCH("Proposal",$A501)),SUMIFS('Timesheet Raw'!$P$4:$P$8000,'Timesheet Raw'!$A$4:$A$8000,IF(ISNUMBER(SEARCH("Chargable",$A501)),"2-Proposals Chargeable","3-Proposals Regular"),'Timesheet Raw'!$C$4:$C$8000,"*"&amp;$B501&amp;"*",'Timesheet Raw'!$L$4:$L$8000,"&gt;="&amp;MAX(N$5,DATE(2000+VALUE(RIGHT(TRIM($A501),2)),1,1)),'Timesheet Raw'!$L$4:$L$8000,"&lt;="&amp;MIN(N$6,DATE(2000+VALUE(RIGHT(TRIM($A501),2)),12,31))),SUMIFS('Timesheet Raw'!$P$4:$P$8000,'Timesheet Raw'!$B$4:$B$8000,TRIM($A501),'Timesheet Raw'!$C$4:$C$8000,"*"&amp;$B501&amp;"*",'Timesheet Raw'!$L$4:$L$8000,"&gt;="&amp;N$5,'Timesheet Raw'!$L$4:$L$8000,"&lt;="&amp;N$6)))/'Profit Plan'!$B$5)</f>
        <v/>
      </c>
      <c r="O501" s="122" t="str">
        <f>IF($A501="","",(IF(ISNUMBER(SEARCH("Proposal",$A501)),SUMIFS('Timesheet Raw'!$P$4:$P$8000,'Timesheet Raw'!$A$4:$A$8000,IF(ISNUMBER(SEARCH("Chargable",$A501)),"2-Proposals Chargeable","3-Proposals Regular"),'Timesheet Raw'!$C$4:$C$8000,"*"&amp;$B501&amp;"*",'Timesheet Raw'!$L$4:$L$8000,"&gt;="&amp;MAX(O$5,DATE(2000+VALUE(RIGHT(TRIM($A501),2)),1,1)),'Timesheet Raw'!$L$4:$L$8000,"&lt;="&amp;MIN(O$6,DATE(2000+VALUE(RIGHT(TRIM($A501),2)),12,31))),SUMIFS('Timesheet Raw'!$P$4:$P$8000,'Timesheet Raw'!$B$4:$B$8000,TRIM($A501),'Timesheet Raw'!$C$4:$C$8000,"*"&amp;$B501&amp;"*",'Timesheet Raw'!$L$4:$L$8000,"&gt;="&amp;O$5,'Timesheet Raw'!$L$4:$L$8000,"&lt;="&amp;O$6)))/'Profit Plan'!$B$5)</f>
        <v/>
      </c>
      <c r="P501" s="122" t="str">
        <f>IF($A501="","",(IF(ISNUMBER(SEARCH("Proposal",$A501)),SUMIFS('Timesheet Raw'!$P$4:$P$8000,'Timesheet Raw'!$A$4:$A$8000,IF(ISNUMBER(SEARCH("Chargable",$A501)),"2-Proposals Chargeable","3-Proposals Regular"),'Timesheet Raw'!$C$4:$C$8000,"*"&amp;$B501&amp;"*",'Timesheet Raw'!$L$4:$L$8000,"&gt;="&amp;MAX(P$5,DATE(2000+VALUE(RIGHT(TRIM($A501),2)),1,1)),'Timesheet Raw'!$L$4:$L$8000,"&lt;="&amp;MIN(P$6,DATE(2000+VALUE(RIGHT(TRIM($A501),2)),12,31))),SUMIFS('Timesheet Raw'!$P$4:$P$8000,'Timesheet Raw'!$B$4:$B$8000,TRIM($A501),'Timesheet Raw'!$C$4:$C$8000,"*"&amp;$B501&amp;"*",'Timesheet Raw'!$L$4:$L$8000,"&gt;="&amp;P$5,'Timesheet Raw'!$L$4:$L$8000,"&lt;="&amp;P$6)))/'Profit Plan'!$B$5)</f>
        <v/>
      </c>
      <c r="Q501" s="122" t="str">
        <f>IF($A501="","",(IF(ISNUMBER(SEARCH("Proposal",$A501)),SUMIFS('Timesheet Raw'!$P$4:$P$8000,'Timesheet Raw'!$A$4:$A$8000,IF(ISNUMBER(SEARCH("Chargable",$A501)),"2-Proposals Chargeable","3-Proposals Regular"),'Timesheet Raw'!$C$4:$C$8000,"*"&amp;$B501&amp;"*",'Timesheet Raw'!$L$4:$L$8000,"&gt;="&amp;MAX(Q$5,DATE(2000+VALUE(RIGHT(TRIM($A501),2)),1,1)),'Timesheet Raw'!$L$4:$L$8000,"&lt;="&amp;MIN(Q$6,DATE(2000+VALUE(RIGHT(TRIM($A501),2)),12,31))),SUMIFS('Timesheet Raw'!$P$4:$P$8000,'Timesheet Raw'!$B$4:$B$8000,TRIM($A501),'Timesheet Raw'!$C$4:$C$8000,"*"&amp;$B501&amp;"*",'Timesheet Raw'!$L$4:$L$8000,"&gt;="&amp;Q$5,'Timesheet Raw'!$L$4:$L$8000,"&lt;="&amp;Q$6)))/'Profit Plan'!$B$5)</f>
        <v/>
      </c>
      <c r="R501" s="122" t="str">
        <f>IF($A501="","",(IF(ISNUMBER(SEARCH("Proposal",$A501)),SUMIFS('Timesheet Raw'!$P$4:$P$8000,'Timesheet Raw'!$A$4:$A$8000,IF(ISNUMBER(SEARCH("Chargable",$A501)),"2-Proposals Chargeable","3-Proposals Regular"),'Timesheet Raw'!$C$4:$C$8000,"*"&amp;$B501&amp;"*",'Timesheet Raw'!$L$4:$L$8000,"&gt;="&amp;MAX(R$5,DATE(2000+VALUE(RIGHT(TRIM($A501),2)),1,1)),'Timesheet Raw'!$L$4:$L$8000,"&lt;="&amp;MIN(R$6,DATE(2000+VALUE(RIGHT(TRIM($A501),2)),12,31))),SUMIFS('Timesheet Raw'!$P$4:$P$8000,'Timesheet Raw'!$B$4:$B$8000,TRIM($A501),'Timesheet Raw'!$C$4:$C$8000,"*"&amp;$B501&amp;"*",'Timesheet Raw'!$L$4:$L$8000,"&gt;="&amp;R$5,'Timesheet Raw'!$L$4:$L$8000,"&lt;="&amp;R$6)))/'Profit Plan'!$B$5)</f>
        <v/>
      </c>
      <c r="S501" s="122" t="str">
        <f>IF($A501="","",(IF(ISNUMBER(SEARCH("Proposal",$A501)),SUMIFS('Timesheet Raw'!$P$4:$P$8000,'Timesheet Raw'!$A$4:$A$8000,IF(ISNUMBER(SEARCH("Chargable",$A501)),"2-Proposals Chargeable","3-Proposals Regular"),'Timesheet Raw'!$C$4:$C$8000,"*"&amp;$B501&amp;"*",'Timesheet Raw'!$L$4:$L$8000,"&gt;="&amp;MAX(S$5,DATE(2000+VALUE(RIGHT(TRIM($A501),2)),1,1)),'Timesheet Raw'!$L$4:$L$8000,"&lt;="&amp;MIN(S$6,DATE(2000+VALUE(RIGHT(TRIM($A501),2)),12,31))),SUMIFS('Timesheet Raw'!$P$4:$P$8000,'Timesheet Raw'!$B$4:$B$8000,TRIM($A501),'Timesheet Raw'!$C$4:$C$8000,"*"&amp;$B501&amp;"*",'Timesheet Raw'!$L$4:$L$8000,"&gt;="&amp;S$5,'Timesheet Raw'!$L$4:$L$8000,"&lt;="&amp;S$6)))/'Profit Plan'!$B$5)</f>
        <v/>
      </c>
      <c r="T501" s="122" t="str">
        <f>IF($A501="","",(IF(ISNUMBER(SEARCH("Proposal",$A501)),SUMIFS('Timesheet Raw'!$P$4:$P$8000,'Timesheet Raw'!$A$4:$A$8000,IF(ISNUMBER(SEARCH("Chargable",$A501)),"2-Proposals Chargeable","3-Proposals Regular"),'Timesheet Raw'!$C$4:$C$8000,"*"&amp;$B501&amp;"*",'Timesheet Raw'!$L$4:$L$8000,"&gt;="&amp;MAX(T$5,DATE(2000+VALUE(RIGHT(TRIM($A501),2)),1,1)),'Timesheet Raw'!$L$4:$L$8000,"&lt;="&amp;MIN(T$6,DATE(2000+VALUE(RIGHT(TRIM($A501),2)),12,31))),SUMIFS('Timesheet Raw'!$P$4:$P$8000,'Timesheet Raw'!$B$4:$B$8000,TRIM($A501),'Timesheet Raw'!$C$4:$C$8000,"*"&amp;$B501&amp;"*",'Timesheet Raw'!$L$4:$L$8000,"&gt;="&amp;T$5,'Timesheet Raw'!$L$4:$L$8000,"&lt;="&amp;T$6)))/'Profit Plan'!$B$5)</f>
        <v/>
      </c>
      <c r="U501" s="122" t="str">
        <f>IF($A501="","",(IF(ISNUMBER(SEARCH("Proposal",$A501)),SUMIFS('Timesheet Raw'!$P$4:$P$8000,'Timesheet Raw'!$A$4:$A$8000,IF(ISNUMBER(SEARCH("Chargable",$A501)),"2-Proposals Chargeable","3-Proposals Regular"),'Timesheet Raw'!$C$4:$C$8000,"*"&amp;$B501&amp;"*",'Timesheet Raw'!$L$4:$L$8000,"&gt;="&amp;MAX(U$5,DATE(2000+VALUE(RIGHT(TRIM($A501),2)),1,1)),'Timesheet Raw'!$L$4:$L$8000,"&lt;="&amp;MIN(U$6,DATE(2000+VALUE(RIGHT(TRIM($A501),2)),12,31))),SUMIFS('Timesheet Raw'!$P$4:$P$8000,'Timesheet Raw'!$B$4:$B$8000,TRIM($A501),'Timesheet Raw'!$C$4:$C$8000,"*"&amp;$B501&amp;"*",'Timesheet Raw'!$L$4:$L$8000,"&gt;="&amp;U$5,'Timesheet Raw'!$L$4:$L$8000,"&lt;="&amp;U$6)))/'Profit Plan'!$B$5)</f>
        <v/>
      </c>
      <c r="V501" s="122" t="str">
        <f>IF($A501="","",(IF(ISNUMBER(SEARCH("Proposal",$A501)),SUMIFS('Timesheet Raw'!$P$4:$P$8000,'Timesheet Raw'!$A$4:$A$8000,IF(ISNUMBER(SEARCH("Chargable",$A501)),"2-Proposals Chargeable","3-Proposals Regular"),'Timesheet Raw'!$C$4:$C$8000,"*"&amp;$B501&amp;"*",'Timesheet Raw'!$L$4:$L$8000,"&gt;="&amp;MAX(V$5,DATE(2000+VALUE(RIGHT(TRIM($A501),2)),1,1)),'Timesheet Raw'!$L$4:$L$8000,"&lt;="&amp;MIN(V$6,DATE(2000+VALUE(RIGHT(TRIM($A501),2)),12,31))),SUMIFS('Timesheet Raw'!$P$4:$P$8000,'Timesheet Raw'!$B$4:$B$8000,TRIM($A501),'Timesheet Raw'!$C$4:$C$8000,"*"&amp;$B501&amp;"*",'Timesheet Raw'!$L$4:$L$8000,"&gt;="&amp;V$5,'Timesheet Raw'!$L$4:$L$8000,"&lt;="&amp;V$6)))/'Profit Plan'!$B$5)</f>
        <v/>
      </c>
      <c r="W501" s="122" t="str">
        <f>IF($A501="","",(IF(ISNUMBER(SEARCH("Proposal",$A501)),SUMIFS('Timesheet Raw'!$P$4:$P$8000,'Timesheet Raw'!$A$4:$A$8000,IF(ISNUMBER(SEARCH("Chargable",$A501)),"2-Proposals Chargeable","3-Proposals Regular"),'Timesheet Raw'!$C$4:$C$8000,"*"&amp;$B501&amp;"*",'Timesheet Raw'!$L$4:$L$8000,"&gt;="&amp;MAX(W$5,DATE(2000+VALUE(RIGHT(TRIM($A501),2)),1,1)),'Timesheet Raw'!$L$4:$L$8000,"&lt;="&amp;MIN(W$6,DATE(2000+VALUE(RIGHT(TRIM($A501),2)),12,31))),SUMIFS('Timesheet Raw'!$P$4:$P$8000,'Timesheet Raw'!$B$4:$B$8000,TRIM($A501),'Timesheet Raw'!$C$4:$C$8000,"*"&amp;$B501&amp;"*",'Timesheet Raw'!$L$4:$L$8000,"&gt;="&amp;W$5,'Timesheet Raw'!$L$4:$L$8000,"&lt;="&amp;W$6)))/'Profit Plan'!$B$5)</f>
        <v/>
      </c>
      <c r="X501" s="122" t="str">
        <f>IF($A501="","",(IF(ISNUMBER(SEARCH("Proposal",$A501)),SUMIFS('Timesheet Raw'!$P$4:$P$8000,'Timesheet Raw'!$A$4:$A$8000,IF(ISNUMBER(SEARCH("Chargable",$A501)),"2-Proposals Chargeable","3-Proposals Regular"),'Timesheet Raw'!$C$4:$C$8000,"*"&amp;$B501&amp;"*",'Timesheet Raw'!$L$4:$L$8000,"&gt;="&amp;MAX(X$5,DATE(2000+VALUE(RIGHT(TRIM($A501),2)),1,1)),'Timesheet Raw'!$L$4:$L$8000,"&lt;="&amp;MIN(X$6,DATE(2000+VALUE(RIGHT(TRIM($A501),2)),12,31))),SUMIFS('Timesheet Raw'!$P$4:$P$8000,'Timesheet Raw'!$B$4:$B$8000,TRIM($A501),'Timesheet Raw'!$C$4:$C$8000,"*"&amp;$B501&amp;"*",'Timesheet Raw'!$L$4:$L$8000,"&gt;="&amp;X$5,'Timesheet Raw'!$L$4:$L$8000,"&lt;="&amp;X$6)))/'Profit Plan'!$B$5)</f>
        <v/>
      </c>
      <c r="Y501" s="118">
        <f t="shared" si="103"/>
        <v>0</v>
      </c>
    </row>
    <row r="502" spans="1:25" x14ac:dyDescent="0.3">
      <c r="A502" s="116" t="str">
        <f>IF(Inputs!$A85="","",Inputs!$A85)</f>
        <v/>
      </c>
      <c r="B502" s="116" t="str">
        <f>IF(Inputs!$A85="","",Inputs!$A$91)</f>
        <v/>
      </c>
      <c r="C502" s="116"/>
      <c r="D502" s="122" t="str">
        <f>IF($A502="","",(IF(ISNUMBER(SEARCH("Proposal",$A502)),SUMIFS('Timesheet Raw'!$P$4:$P$8000,'Timesheet Raw'!$A$4:$A$8000,IF(ISNUMBER(SEARCH("Chargable",$A502)),"2-Proposals Chargeable","3-Proposals Regular"),'Timesheet Raw'!$C$4:$C$8000,"*"&amp;$B502&amp;"*",'Timesheet Raw'!$L$4:$L$8000,"&gt;="&amp;MAX(D$5,DATE(2000+VALUE(RIGHT(TRIM($A502),2)),1,1)),'Timesheet Raw'!$L$4:$L$8000,"&lt;="&amp;MIN(D$6,DATE(2000+VALUE(RIGHT(TRIM($A502),2)),12,31))),SUMIFS('Timesheet Raw'!$P$4:$P$8000,'Timesheet Raw'!$B$4:$B$8000,TRIM($A502),'Timesheet Raw'!$C$4:$C$8000,"*"&amp;$B502&amp;"*",'Timesheet Raw'!$L$4:$L$8000,"&gt;="&amp;D$5,'Timesheet Raw'!$L$4:$L$8000,"&lt;="&amp;D$6)))/'Profit Plan'!$B$5)</f>
        <v/>
      </c>
      <c r="E502" s="122" t="str">
        <f>IF($A502="","",(IF(ISNUMBER(SEARCH("Proposal",$A502)),SUMIFS('Timesheet Raw'!$P$4:$P$8000,'Timesheet Raw'!$A$4:$A$8000,IF(ISNUMBER(SEARCH("Chargable",$A502)),"2-Proposals Chargeable","3-Proposals Regular"),'Timesheet Raw'!$C$4:$C$8000,"*"&amp;$B502&amp;"*",'Timesheet Raw'!$L$4:$L$8000,"&gt;="&amp;MAX(E$5,DATE(2000+VALUE(RIGHT(TRIM($A502),2)),1,1)),'Timesheet Raw'!$L$4:$L$8000,"&lt;="&amp;MIN(E$6,DATE(2000+VALUE(RIGHT(TRIM($A502),2)),12,31))),SUMIFS('Timesheet Raw'!$P$4:$P$8000,'Timesheet Raw'!$B$4:$B$8000,TRIM($A502),'Timesheet Raw'!$C$4:$C$8000,"*"&amp;$B502&amp;"*",'Timesheet Raw'!$L$4:$L$8000,"&gt;="&amp;E$5,'Timesheet Raw'!$L$4:$L$8000,"&lt;="&amp;E$6)))/'Profit Plan'!$B$5)</f>
        <v/>
      </c>
      <c r="F502" s="122" t="str">
        <f>IF($A502="","",(IF(ISNUMBER(SEARCH("Proposal",$A502)),SUMIFS('Timesheet Raw'!$P$4:$P$8000,'Timesheet Raw'!$A$4:$A$8000,IF(ISNUMBER(SEARCH("Chargable",$A502)),"2-Proposals Chargeable","3-Proposals Regular"),'Timesheet Raw'!$C$4:$C$8000,"*"&amp;$B502&amp;"*",'Timesheet Raw'!$L$4:$L$8000,"&gt;="&amp;MAX(F$5,DATE(2000+VALUE(RIGHT(TRIM($A502),2)),1,1)),'Timesheet Raw'!$L$4:$L$8000,"&lt;="&amp;MIN(F$6,DATE(2000+VALUE(RIGHT(TRIM($A502),2)),12,31))),SUMIFS('Timesheet Raw'!$P$4:$P$8000,'Timesheet Raw'!$B$4:$B$8000,TRIM($A502),'Timesheet Raw'!$C$4:$C$8000,"*"&amp;$B502&amp;"*",'Timesheet Raw'!$L$4:$L$8000,"&gt;="&amp;F$5,'Timesheet Raw'!$L$4:$L$8000,"&lt;="&amp;F$6)))/'Profit Plan'!$B$5)</f>
        <v/>
      </c>
      <c r="G502" s="122" t="str">
        <f>IF($A502="","",(IF(ISNUMBER(SEARCH("Proposal",$A502)),SUMIFS('Timesheet Raw'!$P$4:$P$8000,'Timesheet Raw'!$A$4:$A$8000,IF(ISNUMBER(SEARCH("Chargable",$A502)),"2-Proposals Chargeable","3-Proposals Regular"),'Timesheet Raw'!$C$4:$C$8000,"*"&amp;$B502&amp;"*",'Timesheet Raw'!$L$4:$L$8000,"&gt;="&amp;MAX(G$5,DATE(2000+VALUE(RIGHT(TRIM($A502),2)),1,1)),'Timesheet Raw'!$L$4:$L$8000,"&lt;="&amp;MIN(G$6,DATE(2000+VALUE(RIGHT(TRIM($A502),2)),12,31))),SUMIFS('Timesheet Raw'!$P$4:$P$8000,'Timesheet Raw'!$B$4:$B$8000,TRIM($A502),'Timesheet Raw'!$C$4:$C$8000,"*"&amp;$B502&amp;"*",'Timesheet Raw'!$L$4:$L$8000,"&gt;="&amp;G$5,'Timesheet Raw'!$L$4:$L$8000,"&lt;="&amp;G$6)))/'Profit Plan'!$B$5)</f>
        <v/>
      </c>
      <c r="H502" s="122" t="str">
        <f>IF($A502="","",(IF(ISNUMBER(SEARCH("Proposal",$A502)),SUMIFS('Timesheet Raw'!$P$4:$P$8000,'Timesheet Raw'!$A$4:$A$8000,IF(ISNUMBER(SEARCH("Chargable",$A502)),"2-Proposals Chargeable","3-Proposals Regular"),'Timesheet Raw'!$C$4:$C$8000,"*"&amp;$B502&amp;"*",'Timesheet Raw'!$L$4:$L$8000,"&gt;="&amp;MAX(H$5,DATE(2000+VALUE(RIGHT(TRIM($A502),2)),1,1)),'Timesheet Raw'!$L$4:$L$8000,"&lt;="&amp;MIN(H$6,DATE(2000+VALUE(RIGHT(TRIM($A502),2)),12,31))),SUMIFS('Timesheet Raw'!$P$4:$P$8000,'Timesheet Raw'!$B$4:$B$8000,TRIM($A502),'Timesheet Raw'!$C$4:$C$8000,"*"&amp;$B502&amp;"*",'Timesheet Raw'!$L$4:$L$8000,"&gt;="&amp;H$5,'Timesheet Raw'!$L$4:$L$8000,"&lt;="&amp;H$6)))/'Profit Plan'!$B$5)</f>
        <v/>
      </c>
      <c r="I502" s="122" t="str">
        <f>IF($A502="","",(IF(ISNUMBER(SEARCH("Proposal",$A502)),SUMIFS('Timesheet Raw'!$P$4:$P$8000,'Timesheet Raw'!$A$4:$A$8000,IF(ISNUMBER(SEARCH("Chargable",$A502)),"2-Proposals Chargeable","3-Proposals Regular"),'Timesheet Raw'!$C$4:$C$8000,"*"&amp;$B502&amp;"*",'Timesheet Raw'!$L$4:$L$8000,"&gt;="&amp;MAX(I$5,DATE(2000+VALUE(RIGHT(TRIM($A502),2)),1,1)),'Timesheet Raw'!$L$4:$L$8000,"&lt;="&amp;MIN(I$6,DATE(2000+VALUE(RIGHT(TRIM($A502),2)),12,31))),SUMIFS('Timesheet Raw'!$P$4:$P$8000,'Timesheet Raw'!$B$4:$B$8000,TRIM($A502),'Timesheet Raw'!$C$4:$C$8000,"*"&amp;$B502&amp;"*",'Timesheet Raw'!$L$4:$L$8000,"&gt;="&amp;I$5,'Timesheet Raw'!$L$4:$L$8000,"&lt;="&amp;I$6)))/'Profit Plan'!$B$5)</f>
        <v/>
      </c>
      <c r="J502" s="122" t="str">
        <f>IF($A502="","",(IF(ISNUMBER(SEARCH("Proposal",$A502)),SUMIFS('Timesheet Raw'!$P$4:$P$8000,'Timesheet Raw'!$A$4:$A$8000,IF(ISNUMBER(SEARCH("Chargable",$A502)),"2-Proposals Chargeable","3-Proposals Regular"),'Timesheet Raw'!$C$4:$C$8000,"*"&amp;$B502&amp;"*",'Timesheet Raw'!$L$4:$L$8000,"&gt;="&amp;MAX(J$5,DATE(2000+VALUE(RIGHT(TRIM($A502),2)),1,1)),'Timesheet Raw'!$L$4:$L$8000,"&lt;="&amp;MIN(J$6,DATE(2000+VALUE(RIGHT(TRIM($A502),2)),12,31))),SUMIFS('Timesheet Raw'!$P$4:$P$8000,'Timesheet Raw'!$B$4:$B$8000,TRIM($A502),'Timesheet Raw'!$C$4:$C$8000,"*"&amp;$B502&amp;"*",'Timesheet Raw'!$L$4:$L$8000,"&gt;="&amp;J$5,'Timesheet Raw'!$L$4:$L$8000,"&lt;="&amp;J$6)))/'Profit Plan'!$B$5)</f>
        <v/>
      </c>
      <c r="K502" s="122" t="str">
        <f>IF($A502="","",(IF(ISNUMBER(SEARCH("Proposal",$A502)),SUMIFS('Timesheet Raw'!$P$4:$P$8000,'Timesheet Raw'!$A$4:$A$8000,IF(ISNUMBER(SEARCH("Chargable",$A502)),"2-Proposals Chargeable","3-Proposals Regular"),'Timesheet Raw'!$C$4:$C$8000,"*"&amp;$B502&amp;"*",'Timesheet Raw'!$L$4:$L$8000,"&gt;="&amp;MAX(K$5,DATE(2000+VALUE(RIGHT(TRIM($A502),2)),1,1)),'Timesheet Raw'!$L$4:$L$8000,"&lt;="&amp;MIN(K$6,DATE(2000+VALUE(RIGHT(TRIM($A502),2)),12,31))),SUMIFS('Timesheet Raw'!$P$4:$P$8000,'Timesheet Raw'!$B$4:$B$8000,TRIM($A502),'Timesheet Raw'!$C$4:$C$8000,"*"&amp;$B502&amp;"*",'Timesheet Raw'!$L$4:$L$8000,"&gt;="&amp;K$5,'Timesheet Raw'!$L$4:$L$8000,"&lt;="&amp;K$6)))/'Profit Plan'!$B$5)</f>
        <v/>
      </c>
      <c r="L502" s="122" t="str">
        <f>IF($A502="","",(IF(ISNUMBER(SEARCH("Proposal",$A502)),SUMIFS('Timesheet Raw'!$P$4:$P$8000,'Timesheet Raw'!$A$4:$A$8000,IF(ISNUMBER(SEARCH("Chargable",$A502)),"2-Proposals Chargeable","3-Proposals Regular"),'Timesheet Raw'!$C$4:$C$8000,"*"&amp;$B502&amp;"*",'Timesheet Raw'!$L$4:$L$8000,"&gt;="&amp;MAX(L$5,DATE(2000+VALUE(RIGHT(TRIM($A502),2)),1,1)),'Timesheet Raw'!$L$4:$L$8000,"&lt;="&amp;MIN(L$6,DATE(2000+VALUE(RIGHT(TRIM($A502),2)),12,31))),SUMIFS('Timesheet Raw'!$P$4:$P$8000,'Timesheet Raw'!$B$4:$B$8000,TRIM($A502),'Timesheet Raw'!$C$4:$C$8000,"*"&amp;$B502&amp;"*",'Timesheet Raw'!$L$4:$L$8000,"&gt;="&amp;L$5,'Timesheet Raw'!$L$4:$L$8000,"&lt;="&amp;L$6)))/'Profit Plan'!$B$5)</f>
        <v/>
      </c>
      <c r="M502" s="122" t="str">
        <f>IF($A502="","",(IF(ISNUMBER(SEARCH("Proposal",$A502)),SUMIFS('Timesheet Raw'!$P$4:$P$8000,'Timesheet Raw'!$A$4:$A$8000,IF(ISNUMBER(SEARCH("Chargable",$A502)),"2-Proposals Chargeable","3-Proposals Regular"),'Timesheet Raw'!$C$4:$C$8000,"*"&amp;$B502&amp;"*",'Timesheet Raw'!$L$4:$L$8000,"&gt;="&amp;MAX(M$5,DATE(2000+VALUE(RIGHT(TRIM($A502),2)),1,1)),'Timesheet Raw'!$L$4:$L$8000,"&lt;="&amp;MIN(M$6,DATE(2000+VALUE(RIGHT(TRIM($A502),2)),12,31))),SUMIFS('Timesheet Raw'!$P$4:$P$8000,'Timesheet Raw'!$B$4:$B$8000,TRIM($A502),'Timesheet Raw'!$C$4:$C$8000,"*"&amp;$B502&amp;"*",'Timesheet Raw'!$L$4:$L$8000,"&gt;="&amp;M$5,'Timesheet Raw'!$L$4:$L$8000,"&lt;="&amp;M$6)))/'Profit Plan'!$B$5)</f>
        <v/>
      </c>
      <c r="N502" s="122" t="str">
        <f>IF($A502="","",(IF(ISNUMBER(SEARCH("Proposal",$A502)),SUMIFS('Timesheet Raw'!$P$4:$P$8000,'Timesheet Raw'!$A$4:$A$8000,IF(ISNUMBER(SEARCH("Chargable",$A502)),"2-Proposals Chargeable","3-Proposals Regular"),'Timesheet Raw'!$C$4:$C$8000,"*"&amp;$B502&amp;"*",'Timesheet Raw'!$L$4:$L$8000,"&gt;="&amp;MAX(N$5,DATE(2000+VALUE(RIGHT(TRIM($A502),2)),1,1)),'Timesheet Raw'!$L$4:$L$8000,"&lt;="&amp;MIN(N$6,DATE(2000+VALUE(RIGHT(TRIM($A502),2)),12,31))),SUMIFS('Timesheet Raw'!$P$4:$P$8000,'Timesheet Raw'!$B$4:$B$8000,TRIM($A502),'Timesheet Raw'!$C$4:$C$8000,"*"&amp;$B502&amp;"*",'Timesheet Raw'!$L$4:$L$8000,"&gt;="&amp;N$5,'Timesheet Raw'!$L$4:$L$8000,"&lt;="&amp;N$6)))/'Profit Plan'!$B$5)</f>
        <v/>
      </c>
      <c r="O502" s="122" t="str">
        <f>IF($A502="","",(IF(ISNUMBER(SEARCH("Proposal",$A502)),SUMIFS('Timesheet Raw'!$P$4:$P$8000,'Timesheet Raw'!$A$4:$A$8000,IF(ISNUMBER(SEARCH("Chargable",$A502)),"2-Proposals Chargeable","3-Proposals Regular"),'Timesheet Raw'!$C$4:$C$8000,"*"&amp;$B502&amp;"*",'Timesheet Raw'!$L$4:$L$8000,"&gt;="&amp;MAX(O$5,DATE(2000+VALUE(RIGHT(TRIM($A502),2)),1,1)),'Timesheet Raw'!$L$4:$L$8000,"&lt;="&amp;MIN(O$6,DATE(2000+VALUE(RIGHT(TRIM($A502),2)),12,31))),SUMIFS('Timesheet Raw'!$P$4:$P$8000,'Timesheet Raw'!$B$4:$B$8000,TRIM($A502),'Timesheet Raw'!$C$4:$C$8000,"*"&amp;$B502&amp;"*",'Timesheet Raw'!$L$4:$L$8000,"&gt;="&amp;O$5,'Timesheet Raw'!$L$4:$L$8000,"&lt;="&amp;O$6)))/'Profit Plan'!$B$5)</f>
        <v/>
      </c>
      <c r="P502" s="122" t="str">
        <f>IF($A502="","",(IF(ISNUMBER(SEARCH("Proposal",$A502)),SUMIFS('Timesheet Raw'!$P$4:$P$8000,'Timesheet Raw'!$A$4:$A$8000,IF(ISNUMBER(SEARCH("Chargable",$A502)),"2-Proposals Chargeable","3-Proposals Regular"),'Timesheet Raw'!$C$4:$C$8000,"*"&amp;$B502&amp;"*",'Timesheet Raw'!$L$4:$L$8000,"&gt;="&amp;MAX(P$5,DATE(2000+VALUE(RIGHT(TRIM($A502),2)),1,1)),'Timesheet Raw'!$L$4:$L$8000,"&lt;="&amp;MIN(P$6,DATE(2000+VALUE(RIGHT(TRIM($A502),2)),12,31))),SUMIFS('Timesheet Raw'!$P$4:$P$8000,'Timesheet Raw'!$B$4:$B$8000,TRIM($A502),'Timesheet Raw'!$C$4:$C$8000,"*"&amp;$B502&amp;"*",'Timesheet Raw'!$L$4:$L$8000,"&gt;="&amp;P$5,'Timesheet Raw'!$L$4:$L$8000,"&lt;="&amp;P$6)))/'Profit Plan'!$B$5)</f>
        <v/>
      </c>
      <c r="Q502" s="122" t="str">
        <f>IF($A502="","",(IF(ISNUMBER(SEARCH("Proposal",$A502)),SUMIFS('Timesheet Raw'!$P$4:$P$8000,'Timesheet Raw'!$A$4:$A$8000,IF(ISNUMBER(SEARCH("Chargable",$A502)),"2-Proposals Chargeable","3-Proposals Regular"),'Timesheet Raw'!$C$4:$C$8000,"*"&amp;$B502&amp;"*",'Timesheet Raw'!$L$4:$L$8000,"&gt;="&amp;MAX(Q$5,DATE(2000+VALUE(RIGHT(TRIM($A502),2)),1,1)),'Timesheet Raw'!$L$4:$L$8000,"&lt;="&amp;MIN(Q$6,DATE(2000+VALUE(RIGHT(TRIM($A502),2)),12,31))),SUMIFS('Timesheet Raw'!$P$4:$P$8000,'Timesheet Raw'!$B$4:$B$8000,TRIM($A502),'Timesheet Raw'!$C$4:$C$8000,"*"&amp;$B502&amp;"*",'Timesheet Raw'!$L$4:$L$8000,"&gt;="&amp;Q$5,'Timesheet Raw'!$L$4:$L$8000,"&lt;="&amp;Q$6)))/'Profit Plan'!$B$5)</f>
        <v/>
      </c>
      <c r="R502" s="122" t="str">
        <f>IF($A502="","",(IF(ISNUMBER(SEARCH("Proposal",$A502)),SUMIFS('Timesheet Raw'!$P$4:$P$8000,'Timesheet Raw'!$A$4:$A$8000,IF(ISNUMBER(SEARCH("Chargable",$A502)),"2-Proposals Chargeable","3-Proposals Regular"),'Timesheet Raw'!$C$4:$C$8000,"*"&amp;$B502&amp;"*",'Timesheet Raw'!$L$4:$L$8000,"&gt;="&amp;MAX(R$5,DATE(2000+VALUE(RIGHT(TRIM($A502),2)),1,1)),'Timesheet Raw'!$L$4:$L$8000,"&lt;="&amp;MIN(R$6,DATE(2000+VALUE(RIGHT(TRIM($A502),2)),12,31))),SUMIFS('Timesheet Raw'!$P$4:$P$8000,'Timesheet Raw'!$B$4:$B$8000,TRIM($A502),'Timesheet Raw'!$C$4:$C$8000,"*"&amp;$B502&amp;"*",'Timesheet Raw'!$L$4:$L$8000,"&gt;="&amp;R$5,'Timesheet Raw'!$L$4:$L$8000,"&lt;="&amp;R$6)))/'Profit Plan'!$B$5)</f>
        <v/>
      </c>
      <c r="S502" s="122" t="str">
        <f>IF($A502="","",(IF(ISNUMBER(SEARCH("Proposal",$A502)),SUMIFS('Timesheet Raw'!$P$4:$P$8000,'Timesheet Raw'!$A$4:$A$8000,IF(ISNUMBER(SEARCH("Chargable",$A502)),"2-Proposals Chargeable","3-Proposals Regular"),'Timesheet Raw'!$C$4:$C$8000,"*"&amp;$B502&amp;"*",'Timesheet Raw'!$L$4:$L$8000,"&gt;="&amp;MAX(S$5,DATE(2000+VALUE(RIGHT(TRIM($A502),2)),1,1)),'Timesheet Raw'!$L$4:$L$8000,"&lt;="&amp;MIN(S$6,DATE(2000+VALUE(RIGHT(TRIM($A502),2)),12,31))),SUMIFS('Timesheet Raw'!$P$4:$P$8000,'Timesheet Raw'!$B$4:$B$8000,TRIM($A502),'Timesheet Raw'!$C$4:$C$8000,"*"&amp;$B502&amp;"*",'Timesheet Raw'!$L$4:$L$8000,"&gt;="&amp;S$5,'Timesheet Raw'!$L$4:$L$8000,"&lt;="&amp;S$6)))/'Profit Plan'!$B$5)</f>
        <v/>
      </c>
      <c r="T502" s="122" t="str">
        <f>IF($A502="","",(IF(ISNUMBER(SEARCH("Proposal",$A502)),SUMIFS('Timesheet Raw'!$P$4:$P$8000,'Timesheet Raw'!$A$4:$A$8000,IF(ISNUMBER(SEARCH("Chargable",$A502)),"2-Proposals Chargeable","3-Proposals Regular"),'Timesheet Raw'!$C$4:$C$8000,"*"&amp;$B502&amp;"*",'Timesheet Raw'!$L$4:$L$8000,"&gt;="&amp;MAX(T$5,DATE(2000+VALUE(RIGHT(TRIM($A502),2)),1,1)),'Timesheet Raw'!$L$4:$L$8000,"&lt;="&amp;MIN(T$6,DATE(2000+VALUE(RIGHT(TRIM($A502),2)),12,31))),SUMIFS('Timesheet Raw'!$P$4:$P$8000,'Timesheet Raw'!$B$4:$B$8000,TRIM($A502),'Timesheet Raw'!$C$4:$C$8000,"*"&amp;$B502&amp;"*",'Timesheet Raw'!$L$4:$L$8000,"&gt;="&amp;T$5,'Timesheet Raw'!$L$4:$L$8000,"&lt;="&amp;T$6)))/'Profit Plan'!$B$5)</f>
        <v/>
      </c>
      <c r="U502" s="122" t="str">
        <f>IF($A502="","",(IF(ISNUMBER(SEARCH("Proposal",$A502)),SUMIFS('Timesheet Raw'!$P$4:$P$8000,'Timesheet Raw'!$A$4:$A$8000,IF(ISNUMBER(SEARCH("Chargable",$A502)),"2-Proposals Chargeable","3-Proposals Regular"),'Timesheet Raw'!$C$4:$C$8000,"*"&amp;$B502&amp;"*",'Timesheet Raw'!$L$4:$L$8000,"&gt;="&amp;MAX(U$5,DATE(2000+VALUE(RIGHT(TRIM($A502),2)),1,1)),'Timesheet Raw'!$L$4:$L$8000,"&lt;="&amp;MIN(U$6,DATE(2000+VALUE(RIGHT(TRIM($A502),2)),12,31))),SUMIFS('Timesheet Raw'!$P$4:$P$8000,'Timesheet Raw'!$B$4:$B$8000,TRIM($A502),'Timesheet Raw'!$C$4:$C$8000,"*"&amp;$B502&amp;"*",'Timesheet Raw'!$L$4:$L$8000,"&gt;="&amp;U$5,'Timesheet Raw'!$L$4:$L$8000,"&lt;="&amp;U$6)))/'Profit Plan'!$B$5)</f>
        <v/>
      </c>
      <c r="V502" s="122" t="str">
        <f>IF($A502="","",(IF(ISNUMBER(SEARCH("Proposal",$A502)),SUMIFS('Timesheet Raw'!$P$4:$P$8000,'Timesheet Raw'!$A$4:$A$8000,IF(ISNUMBER(SEARCH("Chargable",$A502)),"2-Proposals Chargeable","3-Proposals Regular"),'Timesheet Raw'!$C$4:$C$8000,"*"&amp;$B502&amp;"*",'Timesheet Raw'!$L$4:$L$8000,"&gt;="&amp;MAX(V$5,DATE(2000+VALUE(RIGHT(TRIM($A502),2)),1,1)),'Timesheet Raw'!$L$4:$L$8000,"&lt;="&amp;MIN(V$6,DATE(2000+VALUE(RIGHT(TRIM($A502),2)),12,31))),SUMIFS('Timesheet Raw'!$P$4:$P$8000,'Timesheet Raw'!$B$4:$B$8000,TRIM($A502),'Timesheet Raw'!$C$4:$C$8000,"*"&amp;$B502&amp;"*",'Timesheet Raw'!$L$4:$L$8000,"&gt;="&amp;V$5,'Timesheet Raw'!$L$4:$L$8000,"&lt;="&amp;V$6)))/'Profit Plan'!$B$5)</f>
        <v/>
      </c>
      <c r="W502" s="122" t="str">
        <f>IF($A502="","",(IF(ISNUMBER(SEARCH("Proposal",$A502)),SUMIFS('Timesheet Raw'!$P$4:$P$8000,'Timesheet Raw'!$A$4:$A$8000,IF(ISNUMBER(SEARCH("Chargable",$A502)),"2-Proposals Chargeable","3-Proposals Regular"),'Timesheet Raw'!$C$4:$C$8000,"*"&amp;$B502&amp;"*",'Timesheet Raw'!$L$4:$L$8000,"&gt;="&amp;MAX(W$5,DATE(2000+VALUE(RIGHT(TRIM($A502),2)),1,1)),'Timesheet Raw'!$L$4:$L$8000,"&lt;="&amp;MIN(W$6,DATE(2000+VALUE(RIGHT(TRIM($A502),2)),12,31))),SUMIFS('Timesheet Raw'!$P$4:$P$8000,'Timesheet Raw'!$B$4:$B$8000,TRIM($A502),'Timesheet Raw'!$C$4:$C$8000,"*"&amp;$B502&amp;"*",'Timesheet Raw'!$L$4:$L$8000,"&gt;="&amp;W$5,'Timesheet Raw'!$L$4:$L$8000,"&lt;="&amp;W$6)))/'Profit Plan'!$B$5)</f>
        <v/>
      </c>
      <c r="X502" s="122" t="str">
        <f>IF($A502="","",(IF(ISNUMBER(SEARCH("Proposal",$A502)),SUMIFS('Timesheet Raw'!$P$4:$P$8000,'Timesheet Raw'!$A$4:$A$8000,IF(ISNUMBER(SEARCH("Chargable",$A502)),"2-Proposals Chargeable","3-Proposals Regular"),'Timesheet Raw'!$C$4:$C$8000,"*"&amp;$B502&amp;"*",'Timesheet Raw'!$L$4:$L$8000,"&gt;="&amp;MAX(X$5,DATE(2000+VALUE(RIGHT(TRIM($A502),2)),1,1)),'Timesheet Raw'!$L$4:$L$8000,"&lt;="&amp;MIN(X$6,DATE(2000+VALUE(RIGHT(TRIM($A502),2)),12,31))),SUMIFS('Timesheet Raw'!$P$4:$P$8000,'Timesheet Raw'!$B$4:$B$8000,TRIM($A502),'Timesheet Raw'!$C$4:$C$8000,"*"&amp;$B502&amp;"*",'Timesheet Raw'!$L$4:$L$8000,"&gt;="&amp;X$5,'Timesheet Raw'!$L$4:$L$8000,"&lt;="&amp;X$6)))/'Profit Plan'!$B$5)</f>
        <v/>
      </c>
      <c r="Y502" s="118">
        <f t="shared" si="103"/>
        <v>0</v>
      </c>
    </row>
    <row r="503" spans="1:25" x14ac:dyDescent="0.3">
      <c r="A503" s="116" t="str">
        <f>IF(Inputs!$A85="","",Inputs!$A85)</f>
        <v/>
      </c>
      <c r="B503" s="116" t="str">
        <f>IF(Inputs!$A85="","",Inputs!$A$92)</f>
        <v/>
      </c>
      <c r="C503" s="116"/>
      <c r="D503" s="122" t="str">
        <f>IF($A503="","",(IF(ISNUMBER(SEARCH("Proposal",$A503)),SUMIFS('Timesheet Raw'!$P$4:$P$8000,'Timesheet Raw'!$A$4:$A$8000,IF(ISNUMBER(SEARCH("Chargable",$A503)),"2-Proposals Chargeable","3-Proposals Regular"),'Timesheet Raw'!$C$4:$C$8000,"*"&amp;$B503&amp;"*",'Timesheet Raw'!$L$4:$L$8000,"&gt;="&amp;MAX(D$5,DATE(2000+VALUE(RIGHT(TRIM($A503),2)),1,1)),'Timesheet Raw'!$L$4:$L$8000,"&lt;="&amp;MIN(D$6,DATE(2000+VALUE(RIGHT(TRIM($A503),2)),12,31))),SUMIFS('Timesheet Raw'!$P$4:$P$8000,'Timesheet Raw'!$B$4:$B$8000,TRIM($A503),'Timesheet Raw'!$C$4:$C$8000,"*"&amp;$B503&amp;"*",'Timesheet Raw'!$L$4:$L$8000,"&gt;="&amp;D$5,'Timesheet Raw'!$L$4:$L$8000,"&lt;="&amp;D$6)))/'Profit Plan'!$B$5)</f>
        <v/>
      </c>
      <c r="E503" s="122" t="str">
        <f>IF($A503="","",(IF(ISNUMBER(SEARCH("Proposal",$A503)),SUMIFS('Timesheet Raw'!$P$4:$P$8000,'Timesheet Raw'!$A$4:$A$8000,IF(ISNUMBER(SEARCH("Chargable",$A503)),"2-Proposals Chargeable","3-Proposals Regular"),'Timesheet Raw'!$C$4:$C$8000,"*"&amp;$B503&amp;"*",'Timesheet Raw'!$L$4:$L$8000,"&gt;="&amp;MAX(E$5,DATE(2000+VALUE(RIGHT(TRIM($A503),2)),1,1)),'Timesheet Raw'!$L$4:$L$8000,"&lt;="&amp;MIN(E$6,DATE(2000+VALUE(RIGHT(TRIM($A503),2)),12,31))),SUMIFS('Timesheet Raw'!$P$4:$P$8000,'Timesheet Raw'!$B$4:$B$8000,TRIM($A503),'Timesheet Raw'!$C$4:$C$8000,"*"&amp;$B503&amp;"*",'Timesheet Raw'!$L$4:$L$8000,"&gt;="&amp;E$5,'Timesheet Raw'!$L$4:$L$8000,"&lt;="&amp;E$6)))/'Profit Plan'!$B$5)</f>
        <v/>
      </c>
      <c r="F503" s="122" t="str">
        <f>IF($A503="","",(IF(ISNUMBER(SEARCH("Proposal",$A503)),SUMIFS('Timesheet Raw'!$P$4:$P$8000,'Timesheet Raw'!$A$4:$A$8000,IF(ISNUMBER(SEARCH("Chargable",$A503)),"2-Proposals Chargeable","3-Proposals Regular"),'Timesheet Raw'!$C$4:$C$8000,"*"&amp;$B503&amp;"*",'Timesheet Raw'!$L$4:$L$8000,"&gt;="&amp;MAX(F$5,DATE(2000+VALUE(RIGHT(TRIM($A503),2)),1,1)),'Timesheet Raw'!$L$4:$L$8000,"&lt;="&amp;MIN(F$6,DATE(2000+VALUE(RIGHT(TRIM($A503),2)),12,31))),SUMIFS('Timesheet Raw'!$P$4:$P$8000,'Timesheet Raw'!$B$4:$B$8000,TRIM($A503),'Timesheet Raw'!$C$4:$C$8000,"*"&amp;$B503&amp;"*",'Timesheet Raw'!$L$4:$L$8000,"&gt;="&amp;F$5,'Timesheet Raw'!$L$4:$L$8000,"&lt;="&amp;F$6)))/'Profit Plan'!$B$5)</f>
        <v/>
      </c>
      <c r="G503" s="122" t="str">
        <f>IF($A503="","",(IF(ISNUMBER(SEARCH("Proposal",$A503)),SUMIFS('Timesheet Raw'!$P$4:$P$8000,'Timesheet Raw'!$A$4:$A$8000,IF(ISNUMBER(SEARCH("Chargable",$A503)),"2-Proposals Chargeable","3-Proposals Regular"),'Timesheet Raw'!$C$4:$C$8000,"*"&amp;$B503&amp;"*",'Timesheet Raw'!$L$4:$L$8000,"&gt;="&amp;MAX(G$5,DATE(2000+VALUE(RIGHT(TRIM($A503),2)),1,1)),'Timesheet Raw'!$L$4:$L$8000,"&lt;="&amp;MIN(G$6,DATE(2000+VALUE(RIGHT(TRIM($A503),2)),12,31))),SUMIFS('Timesheet Raw'!$P$4:$P$8000,'Timesheet Raw'!$B$4:$B$8000,TRIM($A503),'Timesheet Raw'!$C$4:$C$8000,"*"&amp;$B503&amp;"*",'Timesheet Raw'!$L$4:$L$8000,"&gt;="&amp;G$5,'Timesheet Raw'!$L$4:$L$8000,"&lt;="&amp;G$6)))/'Profit Plan'!$B$5)</f>
        <v/>
      </c>
      <c r="H503" s="122" t="str">
        <f>IF($A503="","",(IF(ISNUMBER(SEARCH("Proposal",$A503)),SUMIFS('Timesheet Raw'!$P$4:$P$8000,'Timesheet Raw'!$A$4:$A$8000,IF(ISNUMBER(SEARCH("Chargable",$A503)),"2-Proposals Chargeable","3-Proposals Regular"),'Timesheet Raw'!$C$4:$C$8000,"*"&amp;$B503&amp;"*",'Timesheet Raw'!$L$4:$L$8000,"&gt;="&amp;MAX(H$5,DATE(2000+VALUE(RIGHT(TRIM($A503),2)),1,1)),'Timesheet Raw'!$L$4:$L$8000,"&lt;="&amp;MIN(H$6,DATE(2000+VALUE(RIGHT(TRIM($A503),2)),12,31))),SUMIFS('Timesheet Raw'!$P$4:$P$8000,'Timesheet Raw'!$B$4:$B$8000,TRIM($A503),'Timesheet Raw'!$C$4:$C$8000,"*"&amp;$B503&amp;"*",'Timesheet Raw'!$L$4:$L$8000,"&gt;="&amp;H$5,'Timesheet Raw'!$L$4:$L$8000,"&lt;="&amp;H$6)))/'Profit Plan'!$B$5)</f>
        <v/>
      </c>
      <c r="I503" s="122" t="str">
        <f>IF($A503="","",(IF(ISNUMBER(SEARCH("Proposal",$A503)),SUMIFS('Timesheet Raw'!$P$4:$P$8000,'Timesheet Raw'!$A$4:$A$8000,IF(ISNUMBER(SEARCH("Chargable",$A503)),"2-Proposals Chargeable","3-Proposals Regular"),'Timesheet Raw'!$C$4:$C$8000,"*"&amp;$B503&amp;"*",'Timesheet Raw'!$L$4:$L$8000,"&gt;="&amp;MAX(I$5,DATE(2000+VALUE(RIGHT(TRIM($A503),2)),1,1)),'Timesheet Raw'!$L$4:$L$8000,"&lt;="&amp;MIN(I$6,DATE(2000+VALUE(RIGHT(TRIM($A503),2)),12,31))),SUMIFS('Timesheet Raw'!$P$4:$P$8000,'Timesheet Raw'!$B$4:$B$8000,TRIM($A503),'Timesheet Raw'!$C$4:$C$8000,"*"&amp;$B503&amp;"*",'Timesheet Raw'!$L$4:$L$8000,"&gt;="&amp;I$5,'Timesheet Raw'!$L$4:$L$8000,"&lt;="&amp;I$6)))/'Profit Plan'!$B$5)</f>
        <v/>
      </c>
      <c r="J503" s="122" t="str">
        <f>IF($A503="","",(IF(ISNUMBER(SEARCH("Proposal",$A503)),SUMIFS('Timesheet Raw'!$P$4:$P$8000,'Timesheet Raw'!$A$4:$A$8000,IF(ISNUMBER(SEARCH("Chargable",$A503)),"2-Proposals Chargeable","3-Proposals Regular"),'Timesheet Raw'!$C$4:$C$8000,"*"&amp;$B503&amp;"*",'Timesheet Raw'!$L$4:$L$8000,"&gt;="&amp;MAX(J$5,DATE(2000+VALUE(RIGHT(TRIM($A503),2)),1,1)),'Timesheet Raw'!$L$4:$L$8000,"&lt;="&amp;MIN(J$6,DATE(2000+VALUE(RIGHT(TRIM($A503),2)),12,31))),SUMIFS('Timesheet Raw'!$P$4:$P$8000,'Timesheet Raw'!$B$4:$B$8000,TRIM($A503),'Timesheet Raw'!$C$4:$C$8000,"*"&amp;$B503&amp;"*",'Timesheet Raw'!$L$4:$L$8000,"&gt;="&amp;J$5,'Timesheet Raw'!$L$4:$L$8000,"&lt;="&amp;J$6)))/'Profit Plan'!$B$5)</f>
        <v/>
      </c>
      <c r="K503" s="122" t="str">
        <f>IF($A503="","",(IF(ISNUMBER(SEARCH("Proposal",$A503)),SUMIFS('Timesheet Raw'!$P$4:$P$8000,'Timesheet Raw'!$A$4:$A$8000,IF(ISNUMBER(SEARCH("Chargable",$A503)),"2-Proposals Chargeable","3-Proposals Regular"),'Timesheet Raw'!$C$4:$C$8000,"*"&amp;$B503&amp;"*",'Timesheet Raw'!$L$4:$L$8000,"&gt;="&amp;MAX(K$5,DATE(2000+VALUE(RIGHT(TRIM($A503),2)),1,1)),'Timesheet Raw'!$L$4:$L$8000,"&lt;="&amp;MIN(K$6,DATE(2000+VALUE(RIGHT(TRIM($A503),2)),12,31))),SUMIFS('Timesheet Raw'!$P$4:$P$8000,'Timesheet Raw'!$B$4:$B$8000,TRIM($A503),'Timesheet Raw'!$C$4:$C$8000,"*"&amp;$B503&amp;"*",'Timesheet Raw'!$L$4:$L$8000,"&gt;="&amp;K$5,'Timesheet Raw'!$L$4:$L$8000,"&lt;="&amp;K$6)))/'Profit Plan'!$B$5)</f>
        <v/>
      </c>
      <c r="L503" s="122" t="str">
        <f>IF($A503="","",(IF(ISNUMBER(SEARCH("Proposal",$A503)),SUMIFS('Timesheet Raw'!$P$4:$P$8000,'Timesheet Raw'!$A$4:$A$8000,IF(ISNUMBER(SEARCH("Chargable",$A503)),"2-Proposals Chargeable","3-Proposals Regular"),'Timesheet Raw'!$C$4:$C$8000,"*"&amp;$B503&amp;"*",'Timesheet Raw'!$L$4:$L$8000,"&gt;="&amp;MAX(L$5,DATE(2000+VALUE(RIGHT(TRIM($A503),2)),1,1)),'Timesheet Raw'!$L$4:$L$8000,"&lt;="&amp;MIN(L$6,DATE(2000+VALUE(RIGHT(TRIM($A503),2)),12,31))),SUMIFS('Timesheet Raw'!$P$4:$P$8000,'Timesheet Raw'!$B$4:$B$8000,TRIM($A503),'Timesheet Raw'!$C$4:$C$8000,"*"&amp;$B503&amp;"*",'Timesheet Raw'!$L$4:$L$8000,"&gt;="&amp;L$5,'Timesheet Raw'!$L$4:$L$8000,"&lt;="&amp;L$6)))/'Profit Plan'!$B$5)</f>
        <v/>
      </c>
      <c r="M503" s="122" t="str">
        <f>IF($A503="","",(IF(ISNUMBER(SEARCH("Proposal",$A503)),SUMIFS('Timesheet Raw'!$P$4:$P$8000,'Timesheet Raw'!$A$4:$A$8000,IF(ISNUMBER(SEARCH("Chargable",$A503)),"2-Proposals Chargeable","3-Proposals Regular"),'Timesheet Raw'!$C$4:$C$8000,"*"&amp;$B503&amp;"*",'Timesheet Raw'!$L$4:$L$8000,"&gt;="&amp;MAX(M$5,DATE(2000+VALUE(RIGHT(TRIM($A503),2)),1,1)),'Timesheet Raw'!$L$4:$L$8000,"&lt;="&amp;MIN(M$6,DATE(2000+VALUE(RIGHT(TRIM($A503),2)),12,31))),SUMIFS('Timesheet Raw'!$P$4:$P$8000,'Timesheet Raw'!$B$4:$B$8000,TRIM($A503),'Timesheet Raw'!$C$4:$C$8000,"*"&amp;$B503&amp;"*",'Timesheet Raw'!$L$4:$L$8000,"&gt;="&amp;M$5,'Timesheet Raw'!$L$4:$L$8000,"&lt;="&amp;M$6)))/'Profit Plan'!$B$5)</f>
        <v/>
      </c>
      <c r="N503" s="122" t="str">
        <f>IF($A503="","",(IF(ISNUMBER(SEARCH("Proposal",$A503)),SUMIFS('Timesheet Raw'!$P$4:$P$8000,'Timesheet Raw'!$A$4:$A$8000,IF(ISNUMBER(SEARCH("Chargable",$A503)),"2-Proposals Chargeable","3-Proposals Regular"),'Timesheet Raw'!$C$4:$C$8000,"*"&amp;$B503&amp;"*",'Timesheet Raw'!$L$4:$L$8000,"&gt;="&amp;MAX(N$5,DATE(2000+VALUE(RIGHT(TRIM($A503),2)),1,1)),'Timesheet Raw'!$L$4:$L$8000,"&lt;="&amp;MIN(N$6,DATE(2000+VALUE(RIGHT(TRIM($A503),2)),12,31))),SUMIFS('Timesheet Raw'!$P$4:$P$8000,'Timesheet Raw'!$B$4:$B$8000,TRIM($A503),'Timesheet Raw'!$C$4:$C$8000,"*"&amp;$B503&amp;"*",'Timesheet Raw'!$L$4:$L$8000,"&gt;="&amp;N$5,'Timesheet Raw'!$L$4:$L$8000,"&lt;="&amp;N$6)))/'Profit Plan'!$B$5)</f>
        <v/>
      </c>
      <c r="O503" s="122" t="str">
        <f>IF($A503="","",(IF(ISNUMBER(SEARCH("Proposal",$A503)),SUMIFS('Timesheet Raw'!$P$4:$P$8000,'Timesheet Raw'!$A$4:$A$8000,IF(ISNUMBER(SEARCH("Chargable",$A503)),"2-Proposals Chargeable","3-Proposals Regular"),'Timesheet Raw'!$C$4:$C$8000,"*"&amp;$B503&amp;"*",'Timesheet Raw'!$L$4:$L$8000,"&gt;="&amp;MAX(O$5,DATE(2000+VALUE(RIGHT(TRIM($A503),2)),1,1)),'Timesheet Raw'!$L$4:$L$8000,"&lt;="&amp;MIN(O$6,DATE(2000+VALUE(RIGHT(TRIM($A503),2)),12,31))),SUMIFS('Timesheet Raw'!$P$4:$P$8000,'Timesheet Raw'!$B$4:$B$8000,TRIM($A503),'Timesheet Raw'!$C$4:$C$8000,"*"&amp;$B503&amp;"*",'Timesheet Raw'!$L$4:$L$8000,"&gt;="&amp;O$5,'Timesheet Raw'!$L$4:$L$8000,"&lt;="&amp;O$6)))/'Profit Plan'!$B$5)</f>
        <v/>
      </c>
      <c r="P503" s="122" t="str">
        <f>IF($A503="","",(IF(ISNUMBER(SEARCH("Proposal",$A503)),SUMIFS('Timesheet Raw'!$P$4:$P$8000,'Timesheet Raw'!$A$4:$A$8000,IF(ISNUMBER(SEARCH("Chargable",$A503)),"2-Proposals Chargeable","3-Proposals Regular"),'Timesheet Raw'!$C$4:$C$8000,"*"&amp;$B503&amp;"*",'Timesheet Raw'!$L$4:$L$8000,"&gt;="&amp;MAX(P$5,DATE(2000+VALUE(RIGHT(TRIM($A503),2)),1,1)),'Timesheet Raw'!$L$4:$L$8000,"&lt;="&amp;MIN(P$6,DATE(2000+VALUE(RIGHT(TRIM($A503),2)),12,31))),SUMIFS('Timesheet Raw'!$P$4:$P$8000,'Timesheet Raw'!$B$4:$B$8000,TRIM($A503),'Timesheet Raw'!$C$4:$C$8000,"*"&amp;$B503&amp;"*",'Timesheet Raw'!$L$4:$L$8000,"&gt;="&amp;P$5,'Timesheet Raw'!$L$4:$L$8000,"&lt;="&amp;P$6)))/'Profit Plan'!$B$5)</f>
        <v/>
      </c>
      <c r="Q503" s="122" t="str">
        <f>IF($A503="","",(IF(ISNUMBER(SEARCH("Proposal",$A503)),SUMIFS('Timesheet Raw'!$P$4:$P$8000,'Timesheet Raw'!$A$4:$A$8000,IF(ISNUMBER(SEARCH("Chargable",$A503)),"2-Proposals Chargeable","3-Proposals Regular"),'Timesheet Raw'!$C$4:$C$8000,"*"&amp;$B503&amp;"*",'Timesheet Raw'!$L$4:$L$8000,"&gt;="&amp;MAX(Q$5,DATE(2000+VALUE(RIGHT(TRIM($A503),2)),1,1)),'Timesheet Raw'!$L$4:$L$8000,"&lt;="&amp;MIN(Q$6,DATE(2000+VALUE(RIGHT(TRIM($A503),2)),12,31))),SUMIFS('Timesheet Raw'!$P$4:$P$8000,'Timesheet Raw'!$B$4:$B$8000,TRIM($A503),'Timesheet Raw'!$C$4:$C$8000,"*"&amp;$B503&amp;"*",'Timesheet Raw'!$L$4:$L$8000,"&gt;="&amp;Q$5,'Timesheet Raw'!$L$4:$L$8000,"&lt;="&amp;Q$6)))/'Profit Plan'!$B$5)</f>
        <v/>
      </c>
      <c r="R503" s="122" t="str">
        <f>IF($A503="","",(IF(ISNUMBER(SEARCH("Proposal",$A503)),SUMIFS('Timesheet Raw'!$P$4:$P$8000,'Timesheet Raw'!$A$4:$A$8000,IF(ISNUMBER(SEARCH("Chargable",$A503)),"2-Proposals Chargeable","3-Proposals Regular"),'Timesheet Raw'!$C$4:$C$8000,"*"&amp;$B503&amp;"*",'Timesheet Raw'!$L$4:$L$8000,"&gt;="&amp;MAX(R$5,DATE(2000+VALUE(RIGHT(TRIM($A503),2)),1,1)),'Timesheet Raw'!$L$4:$L$8000,"&lt;="&amp;MIN(R$6,DATE(2000+VALUE(RIGHT(TRIM($A503),2)),12,31))),SUMIFS('Timesheet Raw'!$P$4:$P$8000,'Timesheet Raw'!$B$4:$B$8000,TRIM($A503),'Timesheet Raw'!$C$4:$C$8000,"*"&amp;$B503&amp;"*",'Timesheet Raw'!$L$4:$L$8000,"&gt;="&amp;R$5,'Timesheet Raw'!$L$4:$L$8000,"&lt;="&amp;R$6)))/'Profit Plan'!$B$5)</f>
        <v/>
      </c>
      <c r="S503" s="122" t="str">
        <f>IF($A503="","",(IF(ISNUMBER(SEARCH("Proposal",$A503)),SUMIFS('Timesheet Raw'!$P$4:$P$8000,'Timesheet Raw'!$A$4:$A$8000,IF(ISNUMBER(SEARCH("Chargable",$A503)),"2-Proposals Chargeable","3-Proposals Regular"),'Timesheet Raw'!$C$4:$C$8000,"*"&amp;$B503&amp;"*",'Timesheet Raw'!$L$4:$L$8000,"&gt;="&amp;MAX(S$5,DATE(2000+VALUE(RIGHT(TRIM($A503),2)),1,1)),'Timesheet Raw'!$L$4:$L$8000,"&lt;="&amp;MIN(S$6,DATE(2000+VALUE(RIGHT(TRIM($A503),2)),12,31))),SUMIFS('Timesheet Raw'!$P$4:$P$8000,'Timesheet Raw'!$B$4:$B$8000,TRIM($A503),'Timesheet Raw'!$C$4:$C$8000,"*"&amp;$B503&amp;"*",'Timesheet Raw'!$L$4:$L$8000,"&gt;="&amp;S$5,'Timesheet Raw'!$L$4:$L$8000,"&lt;="&amp;S$6)))/'Profit Plan'!$B$5)</f>
        <v/>
      </c>
      <c r="T503" s="122" t="str">
        <f>IF($A503="","",(IF(ISNUMBER(SEARCH("Proposal",$A503)),SUMIFS('Timesheet Raw'!$P$4:$P$8000,'Timesheet Raw'!$A$4:$A$8000,IF(ISNUMBER(SEARCH("Chargable",$A503)),"2-Proposals Chargeable","3-Proposals Regular"),'Timesheet Raw'!$C$4:$C$8000,"*"&amp;$B503&amp;"*",'Timesheet Raw'!$L$4:$L$8000,"&gt;="&amp;MAX(T$5,DATE(2000+VALUE(RIGHT(TRIM($A503),2)),1,1)),'Timesheet Raw'!$L$4:$L$8000,"&lt;="&amp;MIN(T$6,DATE(2000+VALUE(RIGHT(TRIM($A503),2)),12,31))),SUMIFS('Timesheet Raw'!$P$4:$P$8000,'Timesheet Raw'!$B$4:$B$8000,TRIM($A503),'Timesheet Raw'!$C$4:$C$8000,"*"&amp;$B503&amp;"*",'Timesheet Raw'!$L$4:$L$8000,"&gt;="&amp;T$5,'Timesheet Raw'!$L$4:$L$8000,"&lt;="&amp;T$6)))/'Profit Plan'!$B$5)</f>
        <v/>
      </c>
      <c r="U503" s="122" t="str">
        <f>IF($A503="","",(IF(ISNUMBER(SEARCH("Proposal",$A503)),SUMIFS('Timesheet Raw'!$P$4:$P$8000,'Timesheet Raw'!$A$4:$A$8000,IF(ISNUMBER(SEARCH("Chargable",$A503)),"2-Proposals Chargeable","3-Proposals Regular"),'Timesheet Raw'!$C$4:$C$8000,"*"&amp;$B503&amp;"*",'Timesheet Raw'!$L$4:$L$8000,"&gt;="&amp;MAX(U$5,DATE(2000+VALUE(RIGHT(TRIM($A503),2)),1,1)),'Timesheet Raw'!$L$4:$L$8000,"&lt;="&amp;MIN(U$6,DATE(2000+VALUE(RIGHT(TRIM($A503),2)),12,31))),SUMIFS('Timesheet Raw'!$P$4:$P$8000,'Timesheet Raw'!$B$4:$B$8000,TRIM($A503),'Timesheet Raw'!$C$4:$C$8000,"*"&amp;$B503&amp;"*",'Timesheet Raw'!$L$4:$L$8000,"&gt;="&amp;U$5,'Timesheet Raw'!$L$4:$L$8000,"&lt;="&amp;U$6)))/'Profit Plan'!$B$5)</f>
        <v/>
      </c>
      <c r="V503" s="122" t="str">
        <f>IF($A503="","",(IF(ISNUMBER(SEARCH("Proposal",$A503)),SUMIFS('Timesheet Raw'!$P$4:$P$8000,'Timesheet Raw'!$A$4:$A$8000,IF(ISNUMBER(SEARCH("Chargable",$A503)),"2-Proposals Chargeable","3-Proposals Regular"),'Timesheet Raw'!$C$4:$C$8000,"*"&amp;$B503&amp;"*",'Timesheet Raw'!$L$4:$L$8000,"&gt;="&amp;MAX(V$5,DATE(2000+VALUE(RIGHT(TRIM($A503),2)),1,1)),'Timesheet Raw'!$L$4:$L$8000,"&lt;="&amp;MIN(V$6,DATE(2000+VALUE(RIGHT(TRIM($A503),2)),12,31))),SUMIFS('Timesheet Raw'!$P$4:$P$8000,'Timesheet Raw'!$B$4:$B$8000,TRIM($A503),'Timesheet Raw'!$C$4:$C$8000,"*"&amp;$B503&amp;"*",'Timesheet Raw'!$L$4:$L$8000,"&gt;="&amp;V$5,'Timesheet Raw'!$L$4:$L$8000,"&lt;="&amp;V$6)))/'Profit Plan'!$B$5)</f>
        <v/>
      </c>
      <c r="W503" s="122" t="str">
        <f>IF($A503="","",(IF(ISNUMBER(SEARCH("Proposal",$A503)),SUMIFS('Timesheet Raw'!$P$4:$P$8000,'Timesheet Raw'!$A$4:$A$8000,IF(ISNUMBER(SEARCH("Chargable",$A503)),"2-Proposals Chargeable","3-Proposals Regular"),'Timesheet Raw'!$C$4:$C$8000,"*"&amp;$B503&amp;"*",'Timesheet Raw'!$L$4:$L$8000,"&gt;="&amp;MAX(W$5,DATE(2000+VALUE(RIGHT(TRIM($A503),2)),1,1)),'Timesheet Raw'!$L$4:$L$8000,"&lt;="&amp;MIN(W$6,DATE(2000+VALUE(RIGHT(TRIM($A503),2)),12,31))),SUMIFS('Timesheet Raw'!$P$4:$P$8000,'Timesheet Raw'!$B$4:$B$8000,TRIM($A503),'Timesheet Raw'!$C$4:$C$8000,"*"&amp;$B503&amp;"*",'Timesheet Raw'!$L$4:$L$8000,"&gt;="&amp;W$5,'Timesheet Raw'!$L$4:$L$8000,"&lt;="&amp;W$6)))/'Profit Plan'!$B$5)</f>
        <v/>
      </c>
      <c r="X503" s="122" t="str">
        <f>IF($A503="","",(IF(ISNUMBER(SEARCH("Proposal",$A503)),SUMIFS('Timesheet Raw'!$P$4:$P$8000,'Timesheet Raw'!$A$4:$A$8000,IF(ISNUMBER(SEARCH("Chargable",$A503)),"2-Proposals Chargeable","3-Proposals Regular"),'Timesheet Raw'!$C$4:$C$8000,"*"&amp;$B503&amp;"*",'Timesheet Raw'!$L$4:$L$8000,"&gt;="&amp;MAX(X$5,DATE(2000+VALUE(RIGHT(TRIM($A503),2)),1,1)),'Timesheet Raw'!$L$4:$L$8000,"&lt;="&amp;MIN(X$6,DATE(2000+VALUE(RIGHT(TRIM($A503),2)),12,31))),SUMIFS('Timesheet Raw'!$P$4:$P$8000,'Timesheet Raw'!$B$4:$B$8000,TRIM($A503),'Timesheet Raw'!$C$4:$C$8000,"*"&amp;$B503&amp;"*",'Timesheet Raw'!$L$4:$L$8000,"&gt;="&amp;X$5,'Timesheet Raw'!$L$4:$L$8000,"&lt;="&amp;X$6)))/'Profit Plan'!$B$5)</f>
        <v/>
      </c>
      <c r="Y503" s="118">
        <f t="shared" si="103"/>
        <v>0</v>
      </c>
    </row>
    <row r="504" spans="1:25" x14ac:dyDescent="0.3">
      <c r="A504" s="116" t="str">
        <f>IF(Inputs!$A85="","",Inputs!$A85)</f>
        <v/>
      </c>
      <c r="B504" s="116" t="str">
        <f>IF(Inputs!$A85="","",Inputs!$A$93)</f>
        <v/>
      </c>
      <c r="C504" s="116"/>
      <c r="D504" s="122" t="str">
        <f>IF($A504="","",(IF(ISNUMBER(SEARCH("Proposal",$A504)),SUMIFS('Timesheet Raw'!$P$4:$P$8000,'Timesheet Raw'!$A$4:$A$8000,IF(ISNUMBER(SEARCH("Chargable",$A504)),"2-Proposals Chargeable","3-Proposals Regular"),'Timesheet Raw'!$C$4:$C$8000,"*"&amp;$B504&amp;"*",'Timesheet Raw'!$L$4:$L$8000,"&gt;="&amp;MAX(D$5,DATE(2000+VALUE(RIGHT(TRIM($A504),2)),1,1)),'Timesheet Raw'!$L$4:$L$8000,"&lt;="&amp;MIN(D$6,DATE(2000+VALUE(RIGHT(TRIM($A504),2)),12,31))),SUMIFS('Timesheet Raw'!$P$4:$P$8000,'Timesheet Raw'!$B$4:$B$8000,TRIM($A504),'Timesheet Raw'!$C$4:$C$8000,"*"&amp;$B504&amp;"*",'Timesheet Raw'!$L$4:$L$8000,"&gt;="&amp;D$5,'Timesheet Raw'!$L$4:$L$8000,"&lt;="&amp;D$6)))/'Profit Plan'!$B$5)</f>
        <v/>
      </c>
      <c r="E504" s="122" t="str">
        <f>IF($A504="","",(IF(ISNUMBER(SEARCH("Proposal",$A504)),SUMIFS('Timesheet Raw'!$P$4:$P$8000,'Timesheet Raw'!$A$4:$A$8000,IF(ISNUMBER(SEARCH("Chargable",$A504)),"2-Proposals Chargeable","3-Proposals Regular"),'Timesheet Raw'!$C$4:$C$8000,"*"&amp;$B504&amp;"*",'Timesheet Raw'!$L$4:$L$8000,"&gt;="&amp;MAX(E$5,DATE(2000+VALUE(RIGHT(TRIM($A504),2)),1,1)),'Timesheet Raw'!$L$4:$L$8000,"&lt;="&amp;MIN(E$6,DATE(2000+VALUE(RIGHT(TRIM($A504),2)),12,31))),SUMIFS('Timesheet Raw'!$P$4:$P$8000,'Timesheet Raw'!$B$4:$B$8000,TRIM($A504),'Timesheet Raw'!$C$4:$C$8000,"*"&amp;$B504&amp;"*",'Timesheet Raw'!$L$4:$L$8000,"&gt;="&amp;E$5,'Timesheet Raw'!$L$4:$L$8000,"&lt;="&amp;E$6)))/'Profit Plan'!$B$5)</f>
        <v/>
      </c>
      <c r="F504" s="122" t="str">
        <f>IF($A504="","",(IF(ISNUMBER(SEARCH("Proposal",$A504)),SUMIFS('Timesheet Raw'!$P$4:$P$8000,'Timesheet Raw'!$A$4:$A$8000,IF(ISNUMBER(SEARCH("Chargable",$A504)),"2-Proposals Chargeable","3-Proposals Regular"),'Timesheet Raw'!$C$4:$C$8000,"*"&amp;$B504&amp;"*",'Timesheet Raw'!$L$4:$L$8000,"&gt;="&amp;MAX(F$5,DATE(2000+VALUE(RIGHT(TRIM($A504),2)),1,1)),'Timesheet Raw'!$L$4:$L$8000,"&lt;="&amp;MIN(F$6,DATE(2000+VALUE(RIGHT(TRIM($A504),2)),12,31))),SUMIFS('Timesheet Raw'!$P$4:$P$8000,'Timesheet Raw'!$B$4:$B$8000,TRIM($A504),'Timesheet Raw'!$C$4:$C$8000,"*"&amp;$B504&amp;"*",'Timesheet Raw'!$L$4:$L$8000,"&gt;="&amp;F$5,'Timesheet Raw'!$L$4:$L$8000,"&lt;="&amp;F$6)))/'Profit Plan'!$B$5)</f>
        <v/>
      </c>
      <c r="G504" s="122" t="str">
        <f>IF($A504="","",(IF(ISNUMBER(SEARCH("Proposal",$A504)),SUMIFS('Timesheet Raw'!$P$4:$P$8000,'Timesheet Raw'!$A$4:$A$8000,IF(ISNUMBER(SEARCH("Chargable",$A504)),"2-Proposals Chargeable","3-Proposals Regular"),'Timesheet Raw'!$C$4:$C$8000,"*"&amp;$B504&amp;"*",'Timesheet Raw'!$L$4:$L$8000,"&gt;="&amp;MAX(G$5,DATE(2000+VALUE(RIGHT(TRIM($A504),2)),1,1)),'Timesheet Raw'!$L$4:$L$8000,"&lt;="&amp;MIN(G$6,DATE(2000+VALUE(RIGHT(TRIM($A504),2)),12,31))),SUMIFS('Timesheet Raw'!$P$4:$P$8000,'Timesheet Raw'!$B$4:$B$8000,TRIM($A504),'Timesheet Raw'!$C$4:$C$8000,"*"&amp;$B504&amp;"*",'Timesheet Raw'!$L$4:$L$8000,"&gt;="&amp;G$5,'Timesheet Raw'!$L$4:$L$8000,"&lt;="&amp;G$6)))/'Profit Plan'!$B$5)</f>
        <v/>
      </c>
      <c r="H504" s="122" t="str">
        <f>IF($A504="","",(IF(ISNUMBER(SEARCH("Proposal",$A504)),SUMIFS('Timesheet Raw'!$P$4:$P$8000,'Timesheet Raw'!$A$4:$A$8000,IF(ISNUMBER(SEARCH("Chargable",$A504)),"2-Proposals Chargeable","3-Proposals Regular"),'Timesheet Raw'!$C$4:$C$8000,"*"&amp;$B504&amp;"*",'Timesheet Raw'!$L$4:$L$8000,"&gt;="&amp;MAX(H$5,DATE(2000+VALUE(RIGHT(TRIM($A504),2)),1,1)),'Timesheet Raw'!$L$4:$L$8000,"&lt;="&amp;MIN(H$6,DATE(2000+VALUE(RIGHT(TRIM($A504),2)),12,31))),SUMIFS('Timesheet Raw'!$P$4:$P$8000,'Timesheet Raw'!$B$4:$B$8000,TRIM($A504),'Timesheet Raw'!$C$4:$C$8000,"*"&amp;$B504&amp;"*",'Timesheet Raw'!$L$4:$L$8000,"&gt;="&amp;H$5,'Timesheet Raw'!$L$4:$L$8000,"&lt;="&amp;H$6)))/'Profit Plan'!$B$5)</f>
        <v/>
      </c>
      <c r="I504" s="122" t="str">
        <f>IF($A504="","",(IF(ISNUMBER(SEARCH("Proposal",$A504)),SUMIFS('Timesheet Raw'!$P$4:$P$8000,'Timesheet Raw'!$A$4:$A$8000,IF(ISNUMBER(SEARCH("Chargable",$A504)),"2-Proposals Chargeable","3-Proposals Regular"),'Timesheet Raw'!$C$4:$C$8000,"*"&amp;$B504&amp;"*",'Timesheet Raw'!$L$4:$L$8000,"&gt;="&amp;MAX(I$5,DATE(2000+VALUE(RIGHT(TRIM($A504),2)),1,1)),'Timesheet Raw'!$L$4:$L$8000,"&lt;="&amp;MIN(I$6,DATE(2000+VALUE(RIGHT(TRIM($A504),2)),12,31))),SUMIFS('Timesheet Raw'!$P$4:$P$8000,'Timesheet Raw'!$B$4:$B$8000,TRIM($A504),'Timesheet Raw'!$C$4:$C$8000,"*"&amp;$B504&amp;"*",'Timesheet Raw'!$L$4:$L$8000,"&gt;="&amp;I$5,'Timesheet Raw'!$L$4:$L$8000,"&lt;="&amp;I$6)))/'Profit Plan'!$B$5)</f>
        <v/>
      </c>
      <c r="J504" s="122" t="str">
        <f>IF($A504="","",(IF(ISNUMBER(SEARCH("Proposal",$A504)),SUMIFS('Timesheet Raw'!$P$4:$P$8000,'Timesheet Raw'!$A$4:$A$8000,IF(ISNUMBER(SEARCH("Chargable",$A504)),"2-Proposals Chargeable","3-Proposals Regular"),'Timesheet Raw'!$C$4:$C$8000,"*"&amp;$B504&amp;"*",'Timesheet Raw'!$L$4:$L$8000,"&gt;="&amp;MAX(J$5,DATE(2000+VALUE(RIGHT(TRIM($A504),2)),1,1)),'Timesheet Raw'!$L$4:$L$8000,"&lt;="&amp;MIN(J$6,DATE(2000+VALUE(RIGHT(TRIM($A504),2)),12,31))),SUMIFS('Timesheet Raw'!$P$4:$P$8000,'Timesheet Raw'!$B$4:$B$8000,TRIM($A504),'Timesheet Raw'!$C$4:$C$8000,"*"&amp;$B504&amp;"*",'Timesheet Raw'!$L$4:$L$8000,"&gt;="&amp;J$5,'Timesheet Raw'!$L$4:$L$8000,"&lt;="&amp;J$6)))/'Profit Plan'!$B$5)</f>
        <v/>
      </c>
      <c r="K504" s="122" t="str">
        <f>IF($A504="","",(IF(ISNUMBER(SEARCH("Proposal",$A504)),SUMIFS('Timesheet Raw'!$P$4:$P$8000,'Timesheet Raw'!$A$4:$A$8000,IF(ISNUMBER(SEARCH("Chargable",$A504)),"2-Proposals Chargeable","3-Proposals Regular"),'Timesheet Raw'!$C$4:$C$8000,"*"&amp;$B504&amp;"*",'Timesheet Raw'!$L$4:$L$8000,"&gt;="&amp;MAX(K$5,DATE(2000+VALUE(RIGHT(TRIM($A504),2)),1,1)),'Timesheet Raw'!$L$4:$L$8000,"&lt;="&amp;MIN(K$6,DATE(2000+VALUE(RIGHT(TRIM($A504),2)),12,31))),SUMIFS('Timesheet Raw'!$P$4:$P$8000,'Timesheet Raw'!$B$4:$B$8000,TRIM($A504),'Timesheet Raw'!$C$4:$C$8000,"*"&amp;$B504&amp;"*",'Timesheet Raw'!$L$4:$L$8000,"&gt;="&amp;K$5,'Timesheet Raw'!$L$4:$L$8000,"&lt;="&amp;K$6)))/'Profit Plan'!$B$5)</f>
        <v/>
      </c>
      <c r="L504" s="122" t="str">
        <f>IF($A504="","",(IF(ISNUMBER(SEARCH("Proposal",$A504)),SUMIFS('Timesheet Raw'!$P$4:$P$8000,'Timesheet Raw'!$A$4:$A$8000,IF(ISNUMBER(SEARCH("Chargable",$A504)),"2-Proposals Chargeable","3-Proposals Regular"),'Timesheet Raw'!$C$4:$C$8000,"*"&amp;$B504&amp;"*",'Timesheet Raw'!$L$4:$L$8000,"&gt;="&amp;MAX(L$5,DATE(2000+VALUE(RIGHT(TRIM($A504),2)),1,1)),'Timesheet Raw'!$L$4:$L$8000,"&lt;="&amp;MIN(L$6,DATE(2000+VALUE(RIGHT(TRIM($A504),2)),12,31))),SUMIFS('Timesheet Raw'!$P$4:$P$8000,'Timesheet Raw'!$B$4:$B$8000,TRIM($A504),'Timesheet Raw'!$C$4:$C$8000,"*"&amp;$B504&amp;"*",'Timesheet Raw'!$L$4:$L$8000,"&gt;="&amp;L$5,'Timesheet Raw'!$L$4:$L$8000,"&lt;="&amp;L$6)))/'Profit Plan'!$B$5)</f>
        <v/>
      </c>
      <c r="M504" s="122" t="str">
        <f>IF($A504="","",(IF(ISNUMBER(SEARCH("Proposal",$A504)),SUMIFS('Timesheet Raw'!$P$4:$P$8000,'Timesheet Raw'!$A$4:$A$8000,IF(ISNUMBER(SEARCH("Chargable",$A504)),"2-Proposals Chargeable","3-Proposals Regular"),'Timesheet Raw'!$C$4:$C$8000,"*"&amp;$B504&amp;"*",'Timesheet Raw'!$L$4:$L$8000,"&gt;="&amp;MAX(M$5,DATE(2000+VALUE(RIGHT(TRIM($A504),2)),1,1)),'Timesheet Raw'!$L$4:$L$8000,"&lt;="&amp;MIN(M$6,DATE(2000+VALUE(RIGHT(TRIM($A504),2)),12,31))),SUMIFS('Timesheet Raw'!$P$4:$P$8000,'Timesheet Raw'!$B$4:$B$8000,TRIM($A504),'Timesheet Raw'!$C$4:$C$8000,"*"&amp;$B504&amp;"*",'Timesheet Raw'!$L$4:$L$8000,"&gt;="&amp;M$5,'Timesheet Raw'!$L$4:$L$8000,"&lt;="&amp;M$6)))/'Profit Plan'!$B$5)</f>
        <v/>
      </c>
      <c r="N504" s="122" t="str">
        <f>IF($A504="","",(IF(ISNUMBER(SEARCH("Proposal",$A504)),SUMIFS('Timesheet Raw'!$P$4:$P$8000,'Timesheet Raw'!$A$4:$A$8000,IF(ISNUMBER(SEARCH("Chargable",$A504)),"2-Proposals Chargeable","3-Proposals Regular"),'Timesheet Raw'!$C$4:$C$8000,"*"&amp;$B504&amp;"*",'Timesheet Raw'!$L$4:$L$8000,"&gt;="&amp;MAX(N$5,DATE(2000+VALUE(RIGHT(TRIM($A504),2)),1,1)),'Timesheet Raw'!$L$4:$L$8000,"&lt;="&amp;MIN(N$6,DATE(2000+VALUE(RIGHT(TRIM($A504),2)),12,31))),SUMIFS('Timesheet Raw'!$P$4:$P$8000,'Timesheet Raw'!$B$4:$B$8000,TRIM($A504),'Timesheet Raw'!$C$4:$C$8000,"*"&amp;$B504&amp;"*",'Timesheet Raw'!$L$4:$L$8000,"&gt;="&amp;N$5,'Timesheet Raw'!$L$4:$L$8000,"&lt;="&amp;N$6)))/'Profit Plan'!$B$5)</f>
        <v/>
      </c>
      <c r="O504" s="122" t="str">
        <f>IF($A504="","",(IF(ISNUMBER(SEARCH("Proposal",$A504)),SUMIFS('Timesheet Raw'!$P$4:$P$8000,'Timesheet Raw'!$A$4:$A$8000,IF(ISNUMBER(SEARCH("Chargable",$A504)),"2-Proposals Chargeable","3-Proposals Regular"),'Timesheet Raw'!$C$4:$C$8000,"*"&amp;$B504&amp;"*",'Timesheet Raw'!$L$4:$L$8000,"&gt;="&amp;MAX(O$5,DATE(2000+VALUE(RIGHT(TRIM($A504),2)),1,1)),'Timesheet Raw'!$L$4:$L$8000,"&lt;="&amp;MIN(O$6,DATE(2000+VALUE(RIGHT(TRIM($A504),2)),12,31))),SUMIFS('Timesheet Raw'!$P$4:$P$8000,'Timesheet Raw'!$B$4:$B$8000,TRIM($A504),'Timesheet Raw'!$C$4:$C$8000,"*"&amp;$B504&amp;"*",'Timesheet Raw'!$L$4:$L$8000,"&gt;="&amp;O$5,'Timesheet Raw'!$L$4:$L$8000,"&lt;="&amp;O$6)))/'Profit Plan'!$B$5)</f>
        <v/>
      </c>
      <c r="P504" s="122" t="str">
        <f>IF($A504="","",(IF(ISNUMBER(SEARCH("Proposal",$A504)),SUMIFS('Timesheet Raw'!$P$4:$P$8000,'Timesheet Raw'!$A$4:$A$8000,IF(ISNUMBER(SEARCH("Chargable",$A504)),"2-Proposals Chargeable","3-Proposals Regular"),'Timesheet Raw'!$C$4:$C$8000,"*"&amp;$B504&amp;"*",'Timesheet Raw'!$L$4:$L$8000,"&gt;="&amp;MAX(P$5,DATE(2000+VALUE(RIGHT(TRIM($A504),2)),1,1)),'Timesheet Raw'!$L$4:$L$8000,"&lt;="&amp;MIN(P$6,DATE(2000+VALUE(RIGHT(TRIM($A504),2)),12,31))),SUMIFS('Timesheet Raw'!$P$4:$P$8000,'Timesheet Raw'!$B$4:$B$8000,TRIM($A504),'Timesheet Raw'!$C$4:$C$8000,"*"&amp;$B504&amp;"*",'Timesheet Raw'!$L$4:$L$8000,"&gt;="&amp;P$5,'Timesheet Raw'!$L$4:$L$8000,"&lt;="&amp;P$6)))/'Profit Plan'!$B$5)</f>
        <v/>
      </c>
      <c r="Q504" s="122" t="str">
        <f>IF($A504="","",(IF(ISNUMBER(SEARCH("Proposal",$A504)),SUMIFS('Timesheet Raw'!$P$4:$P$8000,'Timesheet Raw'!$A$4:$A$8000,IF(ISNUMBER(SEARCH("Chargable",$A504)),"2-Proposals Chargeable","3-Proposals Regular"),'Timesheet Raw'!$C$4:$C$8000,"*"&amp;$B504&amp;"*",'Timesheet Raw'!$L$4:$L$8000,"&gt;="&amp;MAX(Q$5,DATE(2000+VALUE(RIGHT(TRIM($A504),2)),1,1)),'Timesheet Raw'!$L$4:$L$8000,"&lt;="&amp;MIN(Q$6,DATE(2000+VALUE(RIGHT(TRIM($A504),2)),12,31))),SUMIFS('Timesheet Raw'!$P$4:$P$8000,'Timesheet Raw'!$B$4:$B$8000,TRIM($A504),'Timesheet Raw'!$C$4:$C$8000,"*"&amp;$B504&amp;"*",'Timesheet Raw'!$L$4:$L$8000,"&gt;="&amp;Q$5,'Timesheet Raw'!$L$4:$L$8000,"&lt;="&amp;Q$6)))/'Profit Plan'!$B$5)</f>
        <v/>
      </c>
      <c r="R504" s="122" t="str">
        <f>IF($A504="","",(IF(ISNUMBER(SEARCH("Proposal",$A504)),SUMIFS('Timesheet Raw'!$P$4:$P$8000,'Timesheet Raw'!$A$4:$A$8000,IF(ISNUMBER(SEARCH("Chargable",$A504)),"2-Proposals Chargeable","3-Proposals Regular"),'Timesheet Raw'!$C$4:$C$8000,"*"&amp;$B504&amp;"*",'Timesheet Raw'!$L$4:$L$8000,"&gt;="&amp;MAX(R$5,DATE(2000+VALUE(RIGHT(TRIM($A504),2)),1,1)),'Timesheet Raw'!$L$4:$L$8000,"&lt;="&amp;MIN(R$6,DATE(2000+VALUE(RIGHT(TRIM($A504),2)),12,31))),SUMIFS('Timesheet Raw'!$P$4:$P$8000,'Timesheet Raw'!$B$4:$B$8000,TRIM($A504),'Timesheet Raw'!$C$4:$C$8000,"*"&amp;$B504&amp;"*",'Timesheet Raw'!$L$4:$L$8000,"&gt;="&amp;R$5,'Timesheet Raw'!$L$4:$L$8000,"&lt;="&amp;R$6)))/'Profit Plan'!$B$5)</f>
        <v/>
      </c>
      <c r="S504" s="122" t="str">
        <f>IF($A504="","",(IF(ISNUMBER(SEARCH("Proposal",$A504)),SUMIFS('Timesheet Raw'!$P$4:$P$8000,'Timesheet Raw'!$A$4:$A$8000,IF(ISNUMBER(SEARCH("Chargable",$A504)),"2-Proposals Chargeable","3-Proposals Regular"),'Timesheet Raw'!$C$4:$C$8000,"*"&amp;$B504&amp;"*",'Timesheet Raw'!$L$4:$L$8000,"&gt;="&amp;MAX(S$5,DATE(2000+VALUE(RIGHT(TRIM($A504),2)),1,1)),'Timesheet Raw'!$L$4:$L$8000,"&lt;="&amp;MIN(S$6,DATE(2000+VALUE(RIGHT(TRIM($A504),2)),12,31))),SUMIFS('Timesheet Raw'!$P$4:$P$8000,'Timesheet Raw'!$B$4:$B$8000,TRIM($A504),'Timesheet Raw'!$C$4:$C$8000,"*"&amp;$B504&amp;"*",'Timesheet Raw'!$L$4:$L$8000,"&gt;="&amp;S$5,'Timesheet Raw'!$L$4:$L$8000,"&lt;="&amp;S$6)))/'Profit Plan'!$B$5)</f>
        <v/>
      </c>
      <c r="T504" s="122" t="str">
        <f>IF($A504="","",(IF(ISNUMBER(SEARCH("Proposal",$A504)),SUMIFS('Timesheet Raw'!$P$4:$P$8000,'Timesheet Raw'!$A$4:$A$8000,IF(ISNUMBER(SEARCH("Chargable",$A504)),"2-Proposals Chargeable","3-Proposals Regular"),'Timesheet Raw'!$C$4:$C$8000,"*"&amp;$B504&amp;"*",'Timesheet Raw'!$L$4:$L$8000,"&gt;="&amp;MAX(T$5,DATE(2000+VALUE(RIGHT(TRIM($A504),2)),1,1)),'Timesheet Raw'!$L$4:$L$8000,"&lt;="&amp;MIN(T$6,DATE(2000+VALUE(RIGHT(TRIM($A504),2)),12,31))),SUMIFS('Timesheet Raw'!$P$4:$P$8000,'Timesheet Raw'!$B$4:$B$8000,TRIM($A504),'Timesheet Raw'!$C$4:$C$8000,"*"&amp;$B504&amp;"*",'Timesheet Raw'!$L$4:$L$8000,"&gt;="&amp;T$5,'Timesheet Raw'!$L$4:$L$8000,"&lt;="&amp;T$6)))/'Profit Plan'!$B$5)</f>
        <v/>
      </c>
      <c r="U504" s="122" t="str">
        <f>IF($A504="","",(IF(ISNUMBER(SEARCH("Proposal",$A504)),SUMIFS('Timesheet Raw'!$P$4:$P$8000,'Timesheet Raw'!$A$4:$A$8000,IF(ISNUMBER(SEARCH("Chargable",$A504)),"2-Proposals Chargeable","3-Proposals Regular"),'Timesheet Raw'!$C$4:$C$8000,"*"&amp;$B504&amp;"*",'Timesheet Raw'!$L$4:$L$8000,"&gt;="&amp;MAX(U$5,DATE(2000+VALUE(RIGHT(TRIM($A504),2)),1,1)),'Timesheet Raw'!$L$4:$L$8000,"&lt;="&amp;MIN(U$6,DATE(2000+VALUE(RIGHT(TRIM($A504),2)),12,31))),SUMIFS('Timesheet Raw'!$P$4:$P$8000,'Timesheet Raw'!$B$4:$B$8000,TRIM($A504),'Timesheet Raw'!$C$4:$C$8000,"*"&amp;$B504&amp;"*",'Timesheet Raw'!$L$4:$L$8000,"&gt;="&amp;U$5,'Timesheet Raw'!$L$4:$L$8000,"&lt;="&amp;U$6)))/'Profit Plan'!$B$5)</f>
        <v/>
      </c>
      <c r="V504" s="122" t="str">
        <f>IF($A504="","",(IF(ISNUMBER(SEARCH("Proposal",$A504)),SUMIFS('Timesheet Raw'!$P$4:$P$8000,'Timesheet Raw'!$A$4:$A$8000,IF(ISNUMBER(SEARCH("Chargable",$A504)),"2-Proposals Chargeable","3-Proposals Regular"),'Timesheet Raw'!$C$4:$C$8000,"*"&amp;$B504&amp;"*",'Timesheet Raw'!$L$4:$L$8000,"&gt;="&amp;MAX(V$5,DATE(2000+VALUE(RIGHT(TRIM($A504),2)),1,1)),'Timesheet Raw'!$L$4:$L$8000,"&lt;="&amp;MIN(V$6,DATE(2000+VALUE(RIGHT(TRIM($A504),2)),12,31))),SUMIFS('Timesheet Raw'!$P$4:$P$8000,'Timesheet Raw'!$B$4:$B$8000,TRIM($A504),'Timesheet Raw'!$C$4:$C$8000,"*"&amp;$B504&amp;"*",'Timesheet Raw'!$L$4:$L$8000,"&gt;="&amp;V$5,'Timesheet Raw'!$L$4:$L$8000,"&lt;="&amp;V$6)))/'Profit Plan'!$B$5)</f>
        <v/>
      </c>
      <c r="W504" s="122" t="str">
        <f>IF($A504="","",(IF(ISNUMBER(SEARCH("Proposal",$A504)),SUMIFS('Timesheet Raw'!$P$4:$P$8000,'Timesheet Raw'!$A$4:$A$8000,IF(ISNUMBER(SEARCH("Chargable",$A504)),"2-Proposals Chargeable","3-Proposals Regular"),'Timesheet Raw'!$C$4:$C$8000,"*"&amp;$B504&amp;"*",'Timesheet Raw'!$L$4:$L$8000,"&gt;="&amp;MAX(W$5,DATE(2000+VALUE(RIGHT(TRIM($A504),2)),1,1)),'Timesheet Raw'!$L$4:$L$8000,"&lt;="&amp;MIN(W$6,DATE(2000+VALUE(RIGHT(TRIM($A504),2)),12,31))),SUMIFS('Timesheet Raw'!$P$4:$P$8000,'Timesheet Raw'!$B$4:$B$8000,TRIM($A504),'Timesheet Raw'!$C$4:$C$8000,"*"&amp;$B504&amp;"*",'Timesheet Raw'!$L$4:$L$8000,"&gt;="&amp;W$5,'Timesheet Raw'!$L$4:$L$8000,"&lt;="&amp;W$6)))/'Profit Plan'!$B$5)</f>
        <v/>
      </c>
      <c r="X504" s="122" t="str">
        <f>IF($A504="","",(IF(ISNUMBER(SEARCH("Proposal",$A504)),SUMIFS('Timesheet Raw'!$P$4:$P$8000,'Timesheet Raw'!$A$4:$A$8000,IF(ISNUMBER(SEARCH("Chargable",$A504)),"2-Proposals Chargeable","3-Proposals Regular"),'Timesheet Raw'!$C$4:$C$8000,"*"&amp;$B504&amp;"*",'Timesheet Raw'!$L$4:$L$8000,"&gt;="&amp;MAX(X$5,DATE(2000+VALUE(RIGHT(TRIM($A504),2)),1,1)),'Timesheet Raw'!$L$4:$L$8000,"&lt;="&amp;MIN(X$6,DATE(2000+VALUE(RIGHT(TRIM($A504),2)),12,31))),SUMIFS('Timesheet Raw'!$P$4:$P$8000,'Timesheet Raw'!$B$4:$B$8000,TRIM($A504),'Timesheet Raw'!$C$4:$C$8000,"*"&amp;$B504&amp;"*",'Timesheet Raw'!$L$4:$L$8000,"&gt;="&amp;X$5,'Timesheet Raw'!$L$4:$L$8000,"&lt;="&amp;X$6)))/'Profit Plan'!$B$5)</f>
        <v/>
      </c>
      <c r="Y504" s="118">
        <f t="shared" si="103"/>
        <v>0</v>
      </c>
    </row>
    <row r="505" spans="1:25" x14ac:dyDescent="0.3">
      <c r="A505" s="119" t="s">
        <v>58</v>
      </c>
      <c r="B505" s="119"/>
      <c r="C505" s="119"/>
      <c r="D505" s="120">
        <f t="shared" ref="D505:Y505" si="104">SUM(D265:D504)</f>
        <v>1.2472972972972971</v>
      </c>
      <c r="E505" s="120">
        <f t="shared" si="104"/>
        <v>3.736486486486486</v>
      </c>
      <c r="F505" s="120">
        <f t="shared" si="104"/>
        <v>3.4824324324324323</v>
      </c>
      <c r="G505" s="120">
        <f t="shared" si="104"/>
        <v>5.9310810810810812</v>
      </c>
      <c r="H505" s="120">
        <f t="shared" si="104"/>
        <v>8.0783783783783782</v>
      </c>
      <c r="I505" s="120">
        <f t="shared" si="104"/>
        <v>7.2337837837837862</v>
      </c>
      <c r="J505" s="120">
        <f t="shared" si="104"/>
        <v>5.9608108108108109</v>
      </c>
      <c r="K505" s="120">
        <f t="shared" si="104"/>
        <v>8.7851351351351372</v>
      </c>
      <c r="L505" s="120">
        <f t="shared" si="104"/>
        <v>8.1783783783783761</v>
      </c>
      <c r="M505" s="120">
        <f t="shared" si="104"/>
        <v>6.6445945945945946</v>
      </c>
      <c r="N505" s="120">
        <f t="shared" si="104"/>
        <v>7.7986486486486468</v>
      </c>
      <c r="O505" s="120">
        <f t="shared" si="104"/>
        <v>3.4648648648648654</v>
      </c>
      <c r="P505" s="120">
        <f t="shared" si="104"/>
        <v>0</v>
      </c>
      <c r="Q505" s="120">
        <f t="shared" si="104"/>
        <v>0</v>
      </c>
      <c r="R505" s="120">
        <f t="shared" si="104"/>
        <v>0</v>
      </c>
      <c r="S505" s="120">
        <f t="shared" si="104"/>
        <v>0</v>
      </c>
      <c r="T505" s="120">
        <f t="shared" si="104"/>
        <v>0</v>
      </c>
      <c r="U505" s="120">
        <f t="shared" si="104"/>
        <v>0</v>
      </c>
      <c r="V505" s="120">
        <f t="shared" si="104"/>
        <v>0</v>
      </c>
      <c r="W505" s="120">
        <f t="shared" si="104"/>
        <v>0</v>
      </c>
      <c r="X505" s="120">
        <f t="shared" si="104"/>
        <v>0</v>
      </c>
      <c r="Y505" s="120">
        <f t="shared" si="104"/>
        <v>70.541891891891865</v>
      </c>
    </row>
    <row r="508" spans="1:25" ht="19.95" customHeight="1" x14ac:dyDescent="0.3">
      <c r="A508" s="330" t="s">
        <v>64</v>
      </c>
      <c r="B508" s="330"/>
      <c r="C508" s="330"/>
      <c r="D508" s="330"/>
      <c r="E508" s="330"/>
      <c r="F508" s="330"/>
      <c r="G508" s="330"/>
      <c r="H508" s="330"/>
      <c r="I508" s="330"/>
      <c r="J508" s="330"/>
      <c r="K508" s="330"/>
      <c r="L508" s="330"/>
      <c r="M508" s="330"/>
      <c r="N508" s="330"/>
      <c r="O508" s="330"/>
      <c r="P508" s="330"/>
      <c r="Q508" s="330"/>
      <c r="R508" s="330"/>
      <c r="S508" s="330"/>
      <c r="T508" s="330"/>
      <c r="U508" s="330"/>
      <c r="V508" s="330"/>
      <c r="W508" s="330"/>
      <c r="X508" s="330"/>
      <c r="Y508" s="330"/>
    </row>
    <row r="509" spans="1:25" x14ac:dyDescent="0.3">
      <c r="A509" s="123" t="s">
        <v>35</v>
      </c>
      <c r="B509" s="124"/>
      <c r="C509" s="124"/>
      <c r="D509" s="124" t="str">
        <f t="shared" ref="D509:X509" si="105">D$4</f>
        <v>Opening</v>
      </c>
      <c r="E509" s="124" t="str">
        <f t="shared" si="105"/>
        <v>Q1-24</v>
      </c>
      <c r="F509" s="124" t="str">
        <f t="shared" si="105"/>
        <v>Q2-24</v>
      </c>
      <c r="G509" s="124" t="str">
        <f t="shared" si="105"/>
        <v>Q3-24</v>
      </c>
      <c r="H509" s="124" t="str">
        <f t="shared" si="105"/>
        <v>Q4-24</v>
      </c>
      <c r="I509" s="124" t="str">
        <f t="shared" si="105"/>
        <v>Q1-25</v>
      </c>
      <c r="J509" s="124" t="str">
        <f t="shared" si="105"/>
        <v>Q2-25</v>
      </c>
      <c r="K509" s="124" t="str">
        <f t="shared" si="105"/>
        <v>Q3-25</v>
      </c>
      <c r="L509" s="124" t="str">
        <f t="shared" si="105"/>
        <v>Q4-25</v>
      </c>
      <c r="M509" s="124" t="str">
        <f t="shared" si="105"/>
        <v>Q1-26</v>
      </c>
      <c r="N509" s="124" t="str">
        <f t="shared" si="105"/>
        <v>Q2-26</v>
      </c>
      <c r="O509" s="124" t="str">
        <f t="shared" si="105"/>
        <v>Q3-26</v>
      </c>
      <c r="P509" s="124" t="str">
        <f t="shared" si="105"/>
        <v>Q4-26</v>
      </c>
      <c r="Q509" s="124" t="str">
        <f t="shared" si="105"/>
        <v>Q1-27</v>
      </c>
      <c r="R509" s="124" t="str">
        <f t="shared" si="105"/>
        <v>Q2-27</v>
      </c>
      <c r="S509" s="124" t="str">
        <f t="shared" si="105"/>
        <v>Q3-27</v>
      </c>
      <c r="T509" s="124" t="str">
        <f t="shared" si="105"/>
        <v>Q4-27</v>
      </c>
      <c r="U509" s="124" t="str">
        <f t="shared" si="105"/>
        <v>Q1-28</v>
      </c>
      <c r="V509" s="124" t="str">
        <f t="shared" si="105"/>
        <v>Q2-28</v>
      </c>
      <c r="W509" s="124" t="str">
        <f t="shared" si="105"/>
        <v>Q3-28</v>
      </c>
      <c r="X509" s="124" t="str">
        <f t="shared" si="105"/>
        <v>Q4-28</v>
      </c>
      <c r="Y509" s="124" t="s">
        <v>4</v>
      </c>
    </row>
    <row r="510" spans="1:25" x14ac:dyDescent="0.3">
      <c r="A510" s="116" t="str">
        <f>IF(Inputs!$A6="","",Inputs!$A6)</f>
        <v>N25178-0100D</v>
      </c>
      <c r="B510" s="116"/>
      <c r="C510" s="116"/>
      <c r="D510" s="118">
        <f t="shared" ref="D510:M519" si="106">IF($A510="",0,SUMIF($A$265:$A$504,$A510,D$265:D$504))</f>
        <v>0</v>
      </c>
      <c r="E510" s="118">
        <f t="shared" si="106"/>
        <v>0</v>
      </c>
      <c r="F510" s="118">
        <f t="shared" si="106"/>
        <v>0</v>
      </c>
      <c r="G510" s="118">
        <f t="shared" si="106"/>
        <v>0</v>
      </c>
      <c r="H510" s="118">
        <f t="shared" si="106"/>
        <v>0</v>
      </c>
      <c r="I510" s="118">
        <f t="shared" si="106"/>
        <v>0</v>
      </c>
      <c r="J510" s="118">
        <f t="shared" si="106"/>
        <v>0</v>
      </c>
      <c r="K510" s="118">
        <f t="shared" si="106"/>
        <v>0</v>
      </c>
      <c r="L510" s="118">
        <f t="shared" si="106"/>
        <v>0</v>
      </c>
      <c r="M510" s="118">
        <f t="shared" si="106"/>
        <v>0</v>
      </c>
      <c r="N510" s="118">
        <f t="shared" ref="N510:X519" si="107">IF($A510="",0,SUMIF($A$265:$A$504,$A510,N$265:N$504))</f>
        <v>0</v>
      </c>
      <c r="O510" s="118">
        <f t="shared" si="107"/>
        <v>0</v>
      </c>
      <c r="P510" s="118">
        <f t="shared" si="107"/>
        <v>0</v>
      </c>
      <c r="Q510" s="118">
        <f t="shared" si="107"/>
        <v>0</v>
      </c>
      <c r="R510" s="118">
        <f t="shared" si="107"/>
        <v>0</v>
      </c>
      <c r="S510" s="118">
        <f t="shared" si="107"/>
        <v>0</v>
      </c>
      <c r="T510" s="118">
        <f t="shared" si="107"/>
        <v>0</v>
      </c>
      <c r="U510" s="118">
        <f t="shared" si="107"/>
        <v>0</v>
      </c>
      <c r="V510" s="118">
        <f t="shared" si="107"/>
        <v>0</v>
      </c>
      <c r="W510" s="118">
        <f t="shared" si="107"/>
        <v>0</v>
      </c>
      <c r="X510" s="118">
        <f t="shared" si="107"/>
        <v>0</v>
      </c>
      <c r="Y510" s="118">
        <f t="shared" ref="Y510:Y541" si="108">SUM(D510:X510)</f>
        <v>0</v>
      </c>
    </row>
    <row r="511" spans="1:25" x14ac:dyDescent="0.3">
      <c r="A511" s="116" t="str">
        <f>IF(Inputs!$A7="","",Inputs!$A7)</f>
        <v>E26084-0100D</v>
      </c>
      <c r="B511" s="116"/>
      <c r="C511" s="116"/>
      <c r="D511" s="118">
        <f t="shared" si="106"/>
        <v>0</v>
      </c>
      <c r="E511" s="118">
        <f t="shared" si="106"/>
        <v>0</v>
      </c>
      <c r="F511" s="118">
        <f t="shared" si="106"/>
        <v>0</v>
      </c>
      <c r="G511" s="118">
        <f t="shared" si="106"/>
        <v>0</v>
      </c>
      <c r="H511" s="118">
        <f t="shared" si="106"/>
        <v>0</v>
      </c>
      <c r="I511" s="118">
        <f t="shared" si="106"/>
        <v>0</v>
      </c>
      <c r="J511" s="118">
        <f t="shared" si="106"/>
        <v>0</v>
      </c>
      <c r="K511" s="118">
        <f t="shared" si="106"/>
        <v>0</v>
      </c>
      <c r="L511" s="118">
        <f t="shared" si="106"/>
        <v>0</v>
      </c>
      <c r="M511" s="118">
        <f t="shared" si="106"/>
        <v>0</v>
      </c>
      <c r="N511" s="118">
        <f t="shared" si="107"/>
        <v>0</v>
      </c>
      <c r="O511" s="118">
        <f t="shared" si="107"/>
        <v>0.22567567567567567</v>
      </c>
      <c r="P511" s="118">
        <f t="shared" si="107"/>
        <v>0</v>
      </c>
      <c r="Q511" s="118">
        <f t="shared" si="107"/>
        <v>0</v>
      </c>
      <c r="R511" s="118">
        <f t="shared" si="107"/>
        <v>0</v>
      </c>
      <c r="S511" s="118">
        <f t="shared" si="107"/>
        <v>0</v>
      </c>
      <c r="T511" s="118">
        <f t="shared" si="107"/>
        <v>0</v>
      </c>
      <c r="U511" s="118">
        <f t="shared" si="107"/>
        <v>0</v>
      </c>
      <c r="V511" s="118">
        <f t="shared" si="107"/>
        <v>0</v>
      </c>
      <c r="W511" s="118">
        <f t="shared" si="107"/>
        <v>0</v>
      </c>
      <c r="X511" s="118">
        <f t="shared" si="107"/>
        <v>0</v>
      </c>
      <c r="Y511" s="118">
        <f t="shared" si="108"/>
        <v>0.22567567567567567</v>
      </c>
    </row>
    <row r="512" spans="1:25" x14ac:dyDescent="0.3">
      <c r="A512" s="116" t="str">
        <f>IF(Inputs!$A8="","",Inputs!$A8)</f>
        <v>N25185-0100D</v>
      </c>
      <c r="B512" s="116"/>
      <c r="C512" s="116"/>
      <c r="D512" s="118">
        <f t="shared" si="106"/>
        <v>0</v>
      </c>
      <c r="E512" s="118">
        <f t="shared" si="106"/>
        <v>0</v>
      </c>
      <c r="F512" s="118">
        <f t="shared" si="106"/>
        <v>0</v>
      </c>
      <c r="G512" s="118">
        <f t="shared" si="106"/>
        <v>0</v>
      </c>
      <c r="H512" s="118">
        <f t="shared" si="106"/>
        <v>0</v>
      </c>
      <c r="I512" s="118">
        <f t="shared" si="106"/>
        <v>0</v>
      </c>
      <c r="J512" s="118">
        <f t="shared" si="106"/>
        <v>0</v>
      </c>
      <c r="K512" s="118">
        <f t="shared" si="106"/>
        <v>0</v>
      </c>
      <c r="L512" s="118">
        <f t="shared" si="106"/>
        <v>4.9986486486486488</v>
      </c>
      <c r="M512" s="118">
        <f t="shared" si="106"/>
        <v>4.2905405405405403</v>
      </c>
      <c r="N512" s="118">
        <f t="shared" si="107"/>
        <v>6.2283783783783777</v>
      </c>
      <c r="O512" s="118">
        <f t="shared" si="107"/>
        <v>2.9986486486486488</v>
      </c>
      <c r="P512" s="118">
        <f t="shared" si="107"/>
        <v>0</v>
      </c>
      <c r="Q512" s="118">
        <f t="shared" si="107"/>
        <v>0</v>
      </c>
      <c r="R512" s="118">
        <f t="shared" si="107"/>
        <v>0</v>
      </c>
      <c r="S512" s="118">
        <f t="shared" si="107"/>
        <v>0</v>
      </c>
      <c r="T512" s="118">
        <f t="shared" si="107"/>
        <v>0</v>
      </c>
      <c r="U512" s="118">
        <f t="shared" si="107"/>
        <v>0</v>
      </c>
      <c r="V512" s="118">
        <f t="shared" si="107"/>
        <v>0</v>
      </c>
      <c r="W512" s="118">
        <f t="shared" si="107"/>
        <v>0</v>
      </c>
      <c r="X512" s="118">
        <f t="shared" si="107"/>
        <v>0</v>
      </c>
      <c r="Y512" s="118">
        <f t="shared" si="108"/>
        <v>18.516216216216215</v>
      </c>
    </row>
    <row r="513" spans="1:25" x14ac:dyDescent="0.3">
      <c r="A513" s="116" t="str">
        <f>IF(Inputs!$A9="","",Inputs!$A9)</f>
        <v>AN22137-0100D</v>
      </c>
      <c r="B513" s="116"/>
      <c r="C513" s="116"/>
      <c r="D513" s="118">
        <f t="shared" si="106"/>
        <v>0</v>
      </c>
      <c r="E513" s="118">
        <f t="shared" si="106"/>
        <v>0</v>
      </c>
      <c r="F513" s="118">
        <f t="shared" si="106"/>
        <v>0.40675675675675677</v>
      </c>
      <c r="G513" s="118">
        <f t="shared" si="106"/>
        <v>0.99459459459459465</v>
      </c>
      <c r="H513" s="118">
        <f t="shared" si="106"/>
        <v>0</v>
      </c>
      <c r="I513" s="118">
        <f t="shared" si="106"/>
        <v>0</v>
      </c>
      <c r="J513" s="118">
        <f t="shared" si="106"/>
        <v>0</v>
      </c>
      <c r="K513" s="118">
        <f t="shared" si="106"/>
        <v>0</v>
      </c>
      <c r="L513" s="118">
        <f t="shared" si="106"/>
        <v>0</v>
      </c>
      <c r="M513" s="118">
        <f t="shared" si="106"/>
        <v>0</v>
      </c>
      <c r="N513" s="118">
        <f t="shared" si="107"/>
        <v>0</v>
      </c>
      <c r="O513" s="118">
        <f t="shared" si="107"/>
        <v>0</v>
      </c>
      <c r="P513" s="118">
        <f t="shared" si="107"/>
        <v>0</v>
      </c>
      <c r="Q513" s="118">
        <f t="shared" si="107"/>
        <v>0</v>
      </c>
      <c r="R513" s="118">
        <f t="shared" si="107"/>
        <v>0</v>
      </c>
      <c r="S513" s="118">
        <f t="shared" si="107"/>
        <v>0</v>
      </c>
      <c r="T513" s="118">
        <f t="shared" si="107"/>
        <v>0</v>
      </c>
      <c r="U513" s="118">
        <f t="shared" si="107"/>
        <v>0</v>
      </c>
      <c r="V513" s="118">
        <f t="shared" si="107"/>
        <v>0</v>
      </c>
      <c r="W513" s="118">
        <f t="shared" si="107"/>
        <v>0</v>
      </c>
      <c r="X513" s="118">
        <f t="shared" si="107"/>
        <v>0</v>
      </c>
      <c r="Y513" s="118">
        <f t="shared" si="108"/>
        <v>1.4013513513513514</v>
      </c>
    </row>
    <row r="514" spans="1:25" x14ac:dyDescent="0.3">
      <c r="A514" s="116" t="str">
        <f>IF(Inputs!$A10="","",Inputs!$A10)</f>
        <v>D26058-0100D</v>
      </c>
      <c r="B514" s="116"/>
      <c r="C514" s="116"/>
      <c r="D514" s="118">
        <f t="shared" si="106"/>
        <v>0</v>
      </c>
      <c r="E514" s="118">
        <f t="shared" si="106"/>
        <v>0</v>
      </c>
      <c r="F514" s="118">
        <f t="shared" si="106"/>
        <v>0</v>
      </c>
      <c r="G514" s="118">
        <f t="shared" si="106"/>
        <v>0</v>
      </c>
      <c r="H514" s="118">
        <f t="shared" si="106"/>
        <v>0</v>
      </c>
      <c r="I514" s="118">
        <f t="shared" si="106"/>
        <v>0</v>
      </c>
      <c r="J514" s="118">
        <f t="shared" si="106"/>
        <v>0</v>
      </c>
      <c r="K514" s="118">
        <f t="shared" si="106"/>
        <v>0</v>
      </c>
      <c r="L514" s="118">
        <f t="shared" si="106"/>
        <v>0</v>
      </c>
      <c r="M514" s="118">
        <f t="shared" si="106"/>
        <v>0</v>
      </c>
      <c r="N514" s="118">
        <f t="shared" si="107"/>
        <v>0</v>
      </c>
      <c r="O514" s="118">
        <f t="shared" si="107"/>
        <v>0</v>
      </c>
      <c r="P514" s="118">
        <f t="shared" si="107"/>
        <v>0</v>
      </c>
      <c r="Q514" s="118">
        <f t="shared" si="107"/>
        <v>0</v>
      </c>
      <c r="R514" s="118">
        <f t="shared" si="107"/>
        <v>0</v>
      </c>
      <c r="S514" s="118">
        <f t="shared" si="107"/>
        <v>0</v>
      </c>
      <c r="T514" s="118">
        <f t="shared" si="107"/>
        <v>0</v>
      </c>
      <c r="U514" s="118">
        <f t="shared" si="107"/>
        <v>0</v>
      </c>
      <c r="V514" s="118">
        <f t="shared" si="107"/>
        <v>0</v>
      </c>
      <c r="W514" s="118">
        <f t="shared" si="107"/>
        <v>0</v>
      </c>
      <c r="X514" s="118">
        <f t="shared" si="107"/>
        <v>0</v>
      </c>
      <c r="Y514" s="118">
        <f t="shared" si="108"/>
        <v>0</v>
      </c>
    </row>
    <row r="515" spans="1:25" x14ac:dyDescent="0.3">
      <c r="A515" s="116" t="str">
        <f>IF(Inputs!$A11="","",Inputs!$A11)</f>
        <v xml:space="preserve">AD24217-0100D </v>
      </c>
      <c r="B515" s="116"/>
      <c r="C515" s="116"/>
      <c r="D515" s="118">
        <f t="shared" si="106"/>
        <v>0</v>
      </c>
      <c r="E515" s="118">
        <f t="shared" si="106"/>
        <v>0</v>
      </c>
      <c r="F515" s="118">
        <f t="shared" si="106"/>
        <v>0</v>
      </c>
      <c r="G515" s="118">
        <f t="shared" si="106"/>
        <v>0</v>
      </c>
      <c r="H515" s="118">
        <f t="shared" si="106"/>
        <v>0</v>
      </c>
      <c r="I515" s="118">
        <f t="shared" si="106"/>
        <v>0.11621621621621622</v>
      </c>
      <c r="J515" s="118">
        <f t="shared" si="106"/>
        <v>1.7891891891891893</v>
      </c>
      <c r="K515" s="118">
        <f t="shared" si="106"/>
        <v>0.59324324324324329</v>
      </c>
      <c r="L515" s="118">
        <f t="shared" si="106"/>
        <v>0.10135135135135136</v>
      </c>
      <c r="M515" s="118">
        <f t="shared" si="106"/>
        <v>0</v>
      </c>
      <c r="N515" s="118">
        <f t="shared" si="107"/>
        <v>0</v>
      </c>
      <c r="O515" s="118">
        <f t="shared" si="107"/>
        <v>0</v>
      </c>
      <c r="P515" s="118">
        <f t="shared" si="107"/>
        <v>0</v>
      </c>
      <c r="Q515" s="118">
        <f t="shared" si="107"/>
        <v>0</v>
      </c>
      <c r="R515" s="118">
        <f t="shared" si="107"/>
        <v>0</v>
      </c>
      <c r="S515" s="118">
        <f t="shared" si="107"/>
        <v>0</v>
      </c>
      <c r="T515" s="118">
        <f t="shared" si="107"/>
        <v>0</v>
      </c>
      <c r="U515" s="118">
        <f t="shared" si="107"/>
        <v>0</v>
      </c>
      <c r="V515" s="118">
        <f t="shared" si="107"/>
        <v>0</v>
      </c>
      <c r="W515" s="118">
        <f t="shared" si="107"/>
        <v>0</v>
      </c>
      <c r="X515" s="118">
        <f t="shared" si="107"/>
        <v>0</v>
      </c>
      <c r="Y515" s="118">
        <f t="shared" si="108"/>
        <v>2.6</v>
      </c>
    </row>
    <row r="516" spans="1:25" x14ac:dyDescent="0.3">
      <c r="A516" s="116" t="str">
        <f>IF(Inputs!$A12="","",Inputs!$A12)</f>
        <v>AN23207-0500D</v>
      </c>
      <c r="B516" s="116"/>
      <c r="C516" s="116"/>
      <c r="D516" s="118">
        <f t="shared" si="106"/>
        <v>0</v>
      </c>
      <c r="E516" s="118">
        <f t="shared" si="106"/>
        <v>0</v>
      </c>
      <c r="F516" s="118">
        <f t="shared" si="106"/>
        <v>0</v>
      </c>
      <c r="G516" s="118">
        <f t="shared" si="106"/>
        <v>0</v>
      </c>
      <c r="H516" s="118">
        <f t="shared" si="106"/>
        <v>0</v>
      </c>
      <c r="I516" s="118">
        <f t="shared" si="106"/>
        <v>0</v>
      </c>
      <c r="J516" s="118">
        <f t="shared" si="106"/>
        <v>0</v>
      </c>
      <c r="K516" s="118">
        <f t="shared" si="106"/>
        <v>0</v>
      </c>
      <c r="L516" s="118">
        <f t="shared" si="106"/>
        <v>0</v>
      </c>
      <c r="M516" s="118">
        <f t="shared" si="106"/>
        <v>0</v>
      </c>
      <c r="N516" s="118">
        <f t="shared" si="107"/>
        <v>0</v>
      </c>
      <c r="O516" s="118">
        <f t="shared" si="107"/>
        <v>0</v>
      </c>
      <c r="P516" s="118">
        <f t="shared" si="107"/>
        <v>0</v>
      </c>
      <c r="Q516" s="118">
        <f t="shared" si="107"/>
        <v>0</v>
      </c>
      <c r="R516" s="118">
        <f t="shared" si="107"/>
        <v>0</v>
      </c>
      <c r="S516" s="118">
        <f t="shared" si="107"/>
        <v>0</v>
      </c>
      <c r="T516" s="118">
        <f t="shared" si="107"/>
        <v>0</v>
      </c>
      <c r="U516" s="118">
        <f t="shared" si="107"/>
        <v>0</v>
      </c>
      <c r="V516" s="118">
        <f t="shared" si="107"/>
        <v>0</v>
      </c>
      <c r="W516" s="118">
        <f t="shared" si="107"/>
        <v>0</v>
      </c>
      <c r="X516" s="118">
        <f t="shared" si="107"/>
        <v>0</v>
      </c>
      <c r="Y516" s="118">
        <f t="shared" si="108"/>
        <v>0</v>
      </c>
    </row>
    <row r="517" spans="1:25" x14ac:dyDescent="0.3">
      <c r="A517" s="116" t="str">
        <f>IF(Inputs!$A13="","",Inputs!$A13)</f>
        <v>AN23276-0100D</v>
      </c>
      <c r="B517" s="116"/>
      <c r="C517" s="116"/>
      <c r="D517" s="118">
        <f t="shared" si="106"/>
        <v>0</v>
      </c>
      <c r="E517" s="118">
        <f t="shared" si="106"/>
        <v>0</v>
      </c>
      <c r="F517" s="118">
        <f t="shared" si="106"/>
        <v>3.783783783783784E-2</v>
      </c>
      <c r="G517" s="118">
        <f t="shared" si="106"/>
        <v>0.74594594594594599</v>
      </c>
      <c r="H517" s="118">
        <f t="shared" si="106"/>
        <v>0</v>
      </c>
      <c r="I517" s="118">
        <f t="shared" si="106"/>
        <v>0</v>
      </c>
      <c r="J517" s="118">
        <f t="shared" si="106"/>
        <v>0.10540540540540541</v>
      </c>
      <c r="K517" s="118">
        <f t="shared" si="106"/>
        <v>0</v>
      </c>
      <c r="L517" s="118">
        <f t="shared" si="106"/>
        <v>0</v>
      </c>
      <c r="M517" s="118">
        <f t="shared" si="106"/>
        <v>0</v>
      </c>
      <c r="N517" s="118">
        <f t="shared" si="107"/>
        <v>0</v>
      </c>
      <c r="O517" s="118">
        <f t="shared" si="107"/>
        <v>0</v>
      </c>
      <c r="P517" s="118">
        <f t="shared" si="107"/>
        <v>0</v>
      </c>
      <c r="Q517" s="118">
        <f t="shared" si="107"/>
        <v>0</v>
      </c>
      <c r="R517" s="118">
        <f t="shared" si="107"/>
        <v>0</v>
      </c>
      <c r="S517" s="118">
        <f t="shared" si="107"/>
        <v>0</v>
      </c>
      <c r="T517" s="118">
        <f t="shared" si="107"/>
        <v>0</v>
      </c>
      <c r="U517" s="118">
        <f t="shared" si="107"/>
        <v>0</v>
      </c>
      <c r="V517" s="118">
        <f t="shared" si="107"/>
        <v>0</v>
      </c>
      <c r="W517" s="118">
        <f t="shared" si="107"/>
        <v>0</v>
      </c>
      <c r="X517" s="118">
        <f t="shared" si="107"/>
        <v>0</v>
      </c>
      <c r="Y517" s="118">
        <f t="shared" si="108"/>
        <v>0.88918918918918921</v>
      </c>
    </row>
    <row r="518" spans="1:25" x14ac:dyDescent="0.3">
      <c r="A518" s="116" t="str">
        <f>IF(Inputs!$A14="","",Inputs!$A14)</f>
        <v>AN24073-0100D</v>
      </c>
      <c r="B518" s="116"/>
      <c r="C518" s="116"/>
      <c r="D518" s="118">
        <f t="shared" si="106"/>
        <v>0</v>
      </c>
      <c r="E518" s="118">
        <f t="shared" si="106"/>
        <v>0</v>
      </c>
      <c r="F518" s="118">
        <f t="shared" si="106"/>
        <v>0</v>
      </c>
      <c r="G518" s="118">
        <f t="shared" si="106"/>
        <v>0</v>
      </c>
      <c r="H518" s="118">
        <f t="shared" si="106"/>
        <v>0</v>
      </c>
      <c r="I518" s="118">
        <f t="shared" si="106"/>
        <v>0</v>
      </c>
      <c r="J518" s="118">
        <f t="shared" si="106"/>
        <v>0</v>
      </c>
      <c r="K518" s="118">
        <f t="shared" si="106"/>
        <v>0.91081081081081083</v>
      </c>
      <c r="L518" s="118">
        <f t="shared" si="106"/>
        <v>1.3513513513513514E-2</v>
      </c>
      <c r="M518" s="118">
        <f t="shared" si="106"/>
        <v>0</v>
      </c>
      <c r="N518" s="118">
        <f t="shared" si="107"/>
        <v>0</v>
      </c>
      <c r="O518" s="118">
        <f t="shared" si="107"/>
        <v>0</v>
      </c>
      <c r="P518" s="118">
        <f t="shared" si="107"/>
        <v>0</v>
      </c>
      <c r="Q518" s="118">
        <f t="shared" si="107"/>
        <v>0</v>
      </c>
      <c r="R518" s="118">
        <f t="shared" si="107"/>
        <v>0</v>
      </c>
      <c r="S518" s="118">
        <f t="shared" si="107"/>
        <v>0</v>
      </c>
      <c r="T518" s="118">
        <f t="shared" si="107"/>
        <v>0</v>
      </c>
      <c r="U518" s="118">
        <f t="shared" si="107"/>
        <v>0</v>
      </c>
      <c r="V518" s="118">
        <f t="shared" si="107"/>
        <v>0</v>
      </c>
      <c r="W518" s="118">
        <f t="shared" si="107"/>
        <v>0</v>
      </c>
      <c r="X518" s="118">
        <f t="shared" si="107"/>
        <v>0</v>
      </c>
      <c r="Y518" s="118">
        <f t="shared" si="108"/>
        <v>0.92432432432432432</v>
      </c>
    </row>
    <row r="519" spans="1:25" x14ac:dyDescent="0.3">
      <c r="A519" s="116" t="str">
        <f>IF(Inputs!$A15="","",Inputs!$A15)</f>
        <v>AN24140-0100R</v>
      </c>
      <c r="B519" s="116"/>
      <c r="C519" s="116"/>
      <c r="D519" s="118">
        <f t="shared" si="106"/>
        <v>0</v>
      </c>
      <c r="E519" s="118">
        <f t="shared" si="106"/>
        <v>0</v>
      </c>
      <c r="F519" s="118">
        <f t="shared" si="106"/>
        <v>0</v>
      </c>
      <c r="G519" s="118">
        <f t="shared" si="106"/>
        <v>0</v>
      </c>
      <c r="H519" s="118">
        <f t="shared" si="106"/>
        <v>6.7567567567567571E-2</v>
      </c>
      <c r="I519" s="118">
        <f t="shared" si="106"/>
        <v>0.25810810810810814</v>
      </c>
      <c r="J519" s="118">
        <f t="shared" si="106"/>
        <v>0.15000000000000002</v>
      </c>
      <c r="K519" s="118">
        <f t="shared" si="106"/>
        <v>5.4054054054054057E-3</v>
      </c>
      <c r="L519" s="118">
        <f t="shared" si="106"/>
        <v>0</v>
      </c>
      <c r="M519" s="118">
        <f t="shared" si="106"/>
        <v>2.1621621621621623E-2</v>
      </c>
      <c r="N519" s="118">
        <f t="shared" si="107"/>
        <v>0</v>
      </c>
      <c r="O519" s="118">
        <f t="shared" si="107"/>
        <v>0</v>
      </c>
      <c r="P519" s="118">
        <f t="shared" si="107"/>
        <v>0</v>
      </c>
      <c r="Q519" s="118">
        <f t="shared" si="107"/>
        <v>0</v>
      </c>
      <c r="R519" s="118">
        <f t="shared" si="107"/>
        <v>0</v>
      </c>
      <c r="S519" s="118">
        <f t="shared" si="107"/>
        <v>0</v>
      </c>
      <c r="T519" s="118">
        <f t="shared" si="107"/>
        <v>0</v>
      </c>
      <c r="U519" s="118">
        <f t="shared" si="107"/>
        <v>0</v>
      </c>
      <c r="V519" s="118">
        <f t="shared" si="107"/>
        <v>0</v>
      </c>
      <c r="W519" s="118">
        <f t="shared" si="107"/>
        <v>0</v>
      </c>
      <c r="X519" s="118">
        <f t="shared" si="107"/>
        <v>0</v>
      </c>
      <c r="Y519" s="118">
        <f t="shared" si="108"/>
        <v>0.50270270270270268</v>
      </c>
    </row>
    <row r="520" spans="1:25" x14ac:dyDescent="0.3">
      <c r="A520" s="116" t="str">
        <f>IF(Inputs!$A16="","",Inputs!$A16)</f>
        <v>CS24035-0100D</v>
      </c>
      <c r="B520" s="116"/>
      <c r="C520" s="116"/>
      <c r="D520" s="118">
        <f t="shared" ref="D520:M529" si="109">IF($A520="",0,SUMIF($A$265:$A$504,$A520,D$265:D$504))</f>
        <v>0</v>
      </c>
      <c r="E520" s="118">
        <f t="shared" si="109"/>
        <v>3.2432432432432434E-2</v>
      </c>
      <c r="F520" s="118">
        <f t="shared" si="109"/>
        <v>0</v>
      </c>
      <c r="G520" s="118">
        <f t="shared" si="109"/>
        <v>0</v>
      </c>
      <c r="H520" s="118">
        <f t="shared" si="109"/>
        <v>0</v>
      </c>
      <c r="I520" s="118">
        <f t="shared" si="109"/>
        <v>2.7027027027027029E-2</v>
      </c>
      <c r="J520" s="118">
        <f t="shared" si="109"/>
        <v>0</v>
      </c>
      <c r="K520" s="118">
        <f t="shared" si="109"/>
        <v>0</v>
      </c>
      <c r="L520" s="118">
        <f t="shared" si="109"/>
        <v>2.5027027027027025</v>
      </c>
      <c r="M520" s="118">
        <f t="shared" si="109"/>
        <v>0.21081081081081082</v>
      </c>
      <c r="N520" s="118">
        <f t="shared" ref="N520:X529" si="110">IF($A520="",0,SUMIF($A$265:$A$504,$A520,N$265:N$504))</f>
        <v>0.35945945945945945</v>
      </c>
      <c r="O520" s="118">
        <f t="shared" si="110"/>
        <v>0</v>
      </c>
      <c r="P520" s="118">
        <f t="shared" si="110"/>
        <v>0</v>
      </c>
      <c r="Q520" s="118">
        <f t="shared" si="110"/>
        <v>0</v>
      </c>
      <c r="R520" s="118">
        <f t="shared" si="110"/>
        <v>0</v>
      </c>
      <c r="S520" s="118">
        <f t="shared" si="110"/>
        <v>0</v>
      </c>
      <c r="T520" s="118">
        <f t="shared" si="110"/>
        <v>0</v>
      </c>
      <c r="U520" s="118">
        <f t="shared" si="110"/>
        <v>0</v>
      </c>
      <c r="V520" s="118">
        <f t="shared" si="110"/>
        <v>0</v>
      </c>
      <c r="W520" s="118">
        <f t="shared" si="110"/>
        <v>0</v>
      </c>
      <c r="X520" s="118">
        <f t="shared" si="110"/>
        <v>0</v>
      </c>
      <c r="Y520" s="118">
        <f t="shared" si="108"/>
        <v>3.1324324324324322</v>
      </c>
    </row>
    <row r="521" spans="1:25" x14ac:dyDescent="0.3">
      <c r="A521" s="116" t="str">
        <f>IF(Inputs!$A17="","",Inputs!$A17)</f>
        <v>E24181-0100D</v>
      </c>
      <c r="B521" s="116"/>
      <c r="C521" s="116"/>
      <c r="D521" s="118">
        <f t="shared" si="109"/>
        <v>0</v>
      </c>
      <c r="E521" s="118">
        <f t="shared" si="109"/>
        <v>0</v>
      </c>
      <c r="F521" s="118">
        <f t="shared" si="109"/>
        <v>0</v>
      </c>
      <c r="G521" s="118">
        <f t="shared" si="109"/>
        <v>0</v>
      </c>
      <c r="H521" s="118">
        <f t="shared" si="109"/>
        <v>0</v>
      </c>
      <c r="I521" s="118">
        <f t="shared" si="109"/>
        <v>0</v>
      </c>
      <c r="J521" s="118">
        <f t="shared" si="109"/>
        <v>0</v>
      </c>
      <c r="K521" s="118">
        <f t="shared" si="109"/>
        <v>0</v>
      </c>
      <c r="L521" s="118">
        <f t="shared" si="109"/>
        <v>0</v>
      </c>
      <c r="M521" s="118">
        <f t="shared" si="109"/>
        <v>0</v>
      </c>
      <c r="N521" s="118">
        <f t="shared" si="110"/>
        <v>0</v>
      </c>
      <c r="O521" s="118">
        <f t="shared" si="110"/>
        <v>0</v>
      </c>
      <c r="P521" s="118">
        <f t="shared" si="110"/>
        <v>0</v>
      </c>
      <c r="Q521" s="118">
        <f t="shared" si="110"/>
        <v>0</v>
      </c>
      <c r="R521" s="118">
        <f t="shared" si="110"/>
        <v>0</v>
      </c>
      <c r="S521" s="118">
        <f t="shared" si="110"/>
        <v>0</v>
      </c>
      <c r="T521" s="118">
        <f t="shared" si="110"/>
        <v>0</v>
      </c>
      <c r="U521" s="118">
        <f t="shared" si="110"/>
        <v>0</v>
      </c>
      <c r="V521" s="118">
        <f t="shared" si="110"/>
        <v>0</v>
      </c>
      <c r="W521" s="118">
        <f t="shared" si="110"/>
        <v>0</v>
      </c>
      <c r="X521" s="118">
        <f t="shared" si="110"/>
        <v>0</v>
      </c>
      <c r="Y521" s="118">
        <f t="shared" si="108"/>
        <v>0</v>
      </c>
    </row>
    <row r="522" spans="1:25" x14ac:dyDescent="0.3">
      <c r="A522" s="116" t="str">
        <f>IF(Inputs!$A18="","",Inputs!$A18)</f>
        <v>J23152-0100D</v>
      </c>
      <c r="B522" s="116"/>
      <c r="C522" s="116"/>
      <c r="D522" s="118">
        <f t="shared" si="109"/>
        <v>9.45945945945946E-2</v>
      </c>
      <c r="E522" s="118">
        <f t="shared" si="109"/>
        <v>0</v>
      </c>
      <c r="F522" s="118">
        <f t="shared" si="109"/>
        <v>0</v>
      </c>
      <c r="G522" s="118">
        <f t="shared" si="109"/>
        <v>0</v>
      </c>
      <c r="H522" s="118">
        <f t="shared" si="109"/>
        <v>0</v>
      </c>
      <c r="I522" s="118">
        <f t="shared" si="109"/>
        <v>0</v>
      </c>
      <c r="J522" s="118">
        <f t="shared" si="109"/>
        <v>0</v>
      </c>
      <c r="K522" s="118">
        <f t="shared" si="109"/>
        <v>1.6216216216216217E-2</v>
      </c>
      <c r="L522" s="118">
        <f t="shared" si="109"/>
        <v>0</v>
      </c>
      <c r="M522" s="118">
        <f t="shared" si="109"/>
        <v>0</v>
      </c>
      <c r="N522" s="118">
        <f t="shared" si="110"/>
        <v>0</v>
      </c>
      <c r="O522" s="118">
        <f t="shared" si="110"/>
        <v>0</v>
      </c>
      <c r="P522" s="118">
        <f t="shared" si="110"/>
        <v>0</v>
      </c>
      <c r="Q522" s="118">
        <f t="shared" si="110"/>
        <v>0</v>
      </c>
      <c r="R522" s="118">
        <f t="shared" si="110"/>
        <v>0</v>
      </c>
      <c r="S522" s="118">
        <f t="shared" si="110"/>
        <v>0</v>
      </c>
      <c r="T522" s="118">
        <f t="shared" si="110"/>
        <v>0</v>
      </c>
      <c r="U522" s="118">
        <f t="shared" si="110"/>
        <v>0</v>
      </c>
      <c r="V522" s="118">
        <f t="shared" si="110"/>
        <v>0</v>
      </c>
      <c r="W522" s="118">
        <f t="shared" si="110"/>
        <v>0</v>
      </c>
      <c r="X522" s="118">
        <f t="shared" si="110"/>
        <v>0</v>
      </c>
      <c r="Y522" s="118">
        <f t="shared" si="108"/>
        <v>0.11081081081081082</v>
      </c>
    </row>
    <row r="523" spans="1:25" x14ac:dyDescent="0.3">
      <c r="A523" s="116" t="str">
        <f>IF(Inputs!$A19="","",Inputs!$A19)</f>
        <v>Q25008-0100D</v>
      </c>
      <c r="B523" s="116"/>
      <c r="C523" s="116"/>
      <c r="D523" s="118">
        <f t="shared" si="109"/>
        <v>0</v>
      </c>
      <c r="E523" s="118">
        <f t="shared" si="109"/>
        <v>0</v>
      </c>
      <c r="F523" s="118">
        <f t="shared" si="109"/>
        <v>0</v>
      </c>
      <c r="G523" s="118">
        <f t="shared" si="109"/>
        <v>0</v>
      </c>
      <c r="H523" s="118">
        <f t="shared" si="109"/>
        <v>0</v>
      </c>
      <c r="I523" s="118">
        <f t="shared" si="109"/>
        <v>3.2432432432432434E-2</v>
      </c>
      <c r="J523" s="118">
        <f t="shared" si="109"/>
        <v>0</v>
      </c>
      <c r="K523" s="118">
        <f t="shared" si="109"/>
        <v>0</v>
      </c>
      <c r="L523" s="118">
        <f t="shared" si="109"/>
        <v>8.3783783783783788E-2</v>
      </c>
      <c r="M523" s="118">
        <f t="shared" si="109"/>
        <v>1.0067567567567568</v>
      </c>
      <c r="N523" s="118">
        <f t="shared" si="110"/>
        <v>0.64459459459459456</v>
      </c>
      <c r="O523" s="118">
        <f t="shared" si="110"/>
        <v>0.16216216216216217</v>
      </c>
      <c r="P523" s="118">
        <f t="shared" si="110"/>
        <v>0</v>
      </c>
      <c r="Q523" s="118">
        <f t="shared" si="110"/>
        <v>0</v>
      </c>
      <c r="R523" s="118">
        <f t="shared" si="110"/>
        <v>0</v>
      </c>
      <c r="S523" s="118">
        <f t="shared" si="110"/>
        <v>0</v>
      </c>
      <c r="T523" s="118">
        <f t="shared" si="110"/>
        <v>0</v>
      </c>
      <c r="U523" s="118">
        <f t="shared" si="110"/>
        <v>0</v>
      </c>
      <c r="V523" s="118">
        <f t="shared" si="110"/>
        <v>0</v>
      </c>
      <c r="W523" s="118">
        <f t="shared" si="110"/>
        <v>0</v>
      </c>
      <c r="X523" s="118">
        <f t="shared" si="110"/>
        <v>0</v>
      </c>
      <c r="Y523" s="118">
        <f t="shared" si="108"/>
        <v>1.9297297297297296</v>
      </c>
    </row>
    <row r="524" spans="1:25" x14ac:dyDescent="0.3">
      <c r="A524" s="116" t="str">
        <f>IF(Inputs!$A20="","",Inputs!$A20)</f>
        <v>S24014-0101D</v>
      </c>
      <c r="B524" s="116"/>
      <c r="C524" s="116"/>
      <c r="D524" s="118">
        <f t="shared" si="109"/>
        <v>0</v>
      </c>
      <c r="E524" s="118">
        <f t="shared" si="109"/>
        <v>1.0459459459459459</v>
      </c>
      <c r="F524" s="118">
        <f t="shared" si="109"/>
        <v>1.2067567567567568</v>
      </c>
      <c r="G524" s="118">
        <f t="shared" si="109"/>
        <v>0.1891891891891892</v>
      </c>
      <c r="H524" s="118">
        <f t="shared" si="109"/>
        <v>0</v>
      </c>
      <c r="I524" s="118">
        <f t="shared" si="109"/>
        <v>0</v>
      </c>
      <c r="J524" s="118">
        <f t="shared" si="109"/>
        <v>0</v>
      </c>
      <c r="K524" s="118">
        <f t="shared" si="109"/>
        <v>0</v>
      </c>
      <c r="L524" s="118">
        <f t="shared" si="109"/>
        <v>0</v>
      </c>
      <c r="M524" s="118">
        <f t="shared" si="109"/>
        <v>0</v>
      </c>
      <c r="N524" s="118">
        <f t="shared" si="110"/>
        <v>0</v>
      </c>
      <c r="O524" s="118">
        <f t="shared" si="110"/>
        <v>0</v>
      </c>
      <c r="P524" s="118">
        <f t="shared" si="110"/>
        <v>0</v>
      </c>
      <c r="Q524" s="118">
        <f t="shared" si="110"/>
        <v>0</v>
      </c>
      <c r="R524" s="118">
        <f t="shared" si="110"/>
        <v>0</v>
      </c>
      <c r="S524" s="118">
        <f t="shared" si="110"/>
        <v>0</v>
      </c>
      <c r="T524" s="118">
        <f t="shared" si="110"/>
        <v>0</v>
      </c>
      <c r="U524" s="118">
        <f t="shared" si="110"/>
        <v>0</v>
      </c>
      <c r="V524" s="118">
        <f t="shared" si="110"/>
        <v>0</v>
      </c>
      <c r="W524" s="118">
        <f t="shared" si="110"/>
        <v>0</v>
      </c>
      <c r="X524" s="118">
        <f t="shared" si="110"/>
        <v>0</v>
      </c>
      <c r="Y524" s="118">
        <f t="shared" si="108"/>
        <v>2.4418918918918915</v>
      </c>
    </row>
    <row r="525" spans="1:25" x14ac:dyDescent="0.3">
      <c r="A525" s="116" t="str">
        <f>IF(Inputs!$A21="","",Inputs!$A21)</f>
        <v>S24014-0102D</v>
      </c>
      <c r="B525" s="116"/>
      <c r="C525" s="116"/>
      <c r="D525" s="118">
        <f t="shared" si="109"/>
        <v>0</v>
      </c>
      <c r="E525" s="118">
        <f t="shared" si="109"/>
        <v>0</v>
      </c>
      <c r="F525" s="118">
        <f t="shared" si="109"/>
        <v>0</v>
      </c>
      <c r="G525" s="118">
        <f t="shared" si="109"/>
        <v>0</v>
      </c>
      <c r="H525" s="118">
        <f t="shared" si="109"/>
        <v>0</v>
      </c>
      <c r="I525" s="118">
        <f t="shared" si="109"/>
        <v>0</v>
      </c>
      <c r="J525" s="118">
        <f t="shared" si="109"/>
        <v>0.98108108108108105</v>
      </c>
      <c r="K525" s="118">
        <f t="shared" si="109"/>
        <v>1.6743243243243242</v>
      </c>
      <c r="L525" s="118">
        <f t="shared" si="109"/>
        <v>0</v>
      </c>
      <c r="M525" s="118">
        <f t="shared" si="109"/>
        <v>0</v>
      </c>
      <c r="N525" s="118">
        <f t="shared" si="110"/>
        <v>0</v>
      </c>
      <c r="O525" s="118">
        <f t="shared" si="110"/>
        <v>0</v>
      </c>
      <c r="P525" s="118">
        <f t="shared" si="110"/>
        <v>0</v>
      </c>
      <c r="Q525" s="118">
        <f t="shared" si="110"/>
        <v>0</v>
      </c>
      <c r="R525" s="118">
        <f t="shared" si="110"/>
        <v>0</v>
      </c>
      <c r="S525" s="118">
        <f t="shared" si="110"/>
        <v>0</v>
      </c>
      <c r="T525" s="118">
        <f t="shared" si="110"/>
        <v>0</v>
      </c>
      <c r="U525" s="118">
        <f t="shared" si="110"/>
        <v>0</v>
      </c>
      <c r="V525" s="118">
        <f t="shared" si="110"/>
        <v>0</v>
      </c>
      <c r="W525" s="118">
        <f t="shared" si="110"/>
        <v>0</v>
      </c>
      <c r="X525" s="118">
        <f t="shared" si="110"/>
        <v>0</v>
      </c>
      <c r="Y525" s="118">
        <f t="shared" si="108"/>
        <v>2.6554054054054053</v>
      </c>
    </row>
    <row r="526" spans="1:25" x14ac:dyDescent="0.3">
      <c r="A526" s="116" t="str">
        <f>IF(Inputs!$A22="","",Inputs!$A22)</f>
        <v>S24014-0103D</v>
      </c>
      <c r="B526" s="116"/>
      <c r="C526" s="116"/>
      <c r="D526" s="118">
        <f t="shared" si="109"/>
        <v>0</v>
      </c>
      <c r="E526" s="118">
        <f t="shared" si="109"/>
        <v>0</v>
      </c>
      <c r="F526" s="118">
        <f t="shared" si="109"/>
        <v>0</v>
      </c>
      <c r="G526" s="118">
        <f t="shared" si="109"/>
        <v>0.44189189189189187</v>
      </c>
      <c r="H526" s="118">
        <f t="shared" si="109"/>
        <v>3.9081081081081082</v>
      </c>
      <c r="I526" s="118">
        <f t="shared" si="109"/>
        <v>0</v>
      </c>
      <c r="J526" s="118">
        <f t="shared" si="109"/>
        <v>0</v>
      </c>
      <c r="K526" s="118">
        <f t="shared" si="109"/>
        <v>0</v>
      </c>
      <c r="L526" s="118">
        <f t="shared" si="109"/>
        <v>0</v>
      </c>
      <c r="M526" s="118">
        <f t="shared" si="109"/>
        <v>0</v>
      </c>
      <c r="N526" s="118">
        <f t="shared" si="110"/>
        <v>0</v>
      </c>
      <c r="O526" s="118">
        <f t="shared" si="110"/>
        <v>0</v>
      </c>
      <c r="P526" s="118">
        <f t="shared" si="110"/>
        <v>0</v>
      </c>
      <c r="Q526" s="118">
        <f t="shared" si="110"/>
        <v>0</v>
      </c>
      <c r="R526" s="118">
        <f t="shared" si="110"/>
        <v>0</v>
      </c>
      <c r="S526" s="118">
        <f t="shared" si="110"/>
        <v>0</v>
      </c>
      <c r="T526" s="118">
        <f t="shared" si="110"/>
        <v>0</v>
      </c>
      <c r="U526" s="118">
        <f t="shared" si="110"/>
        <v>0</v>
      </c>
      <c r="V526" s="118">
        <f t="shared" si="110"/>
        <v>0</v>
      </c>
      <c r="W526" s="118">
        <f t="shared" si="110"/>
        <v>0</v>
      </c>
      <c r="X526" s="118">
        <f t="shared" si="110"/>
        <v>0</v>
      </c>
      <c r="Y526" s="118">
        <f t="shared" si="108"/>
        <v>4.3499999999999996</v>
      </c>
    </row>
    <row r="527" spans="1:25" x14ac:dyDescent="0.3">
      <c r="A527" s="116" t="str">
        <f>IF(Inputs!$A23="","",Inputs!$A23)</f>
        <v>S24014-0104D</v>
      </c>
      <c r="B527" s="116"/>
      <c r="C527" s="116"/>
      <c r="D527" s="118">
        <f t="shared" si="109"/>
        <v>0</v>
      </c>
      <c r="E527" s="118">
        <f t="shared" si="109"/>
        <v>0</v>
      </c>
      <c r="F527" s="118">
        <f t="shared" si="109"/>
        <v>0</v>
      </c>
      <c r="G527" s="118">
        <f t="shared" si="109"/>
        <v>0.25540540540540541</v>
      </c>
      <c r="H527" s="118">
        <f t="shared" si="109"/>
        <v>0.28918918918918918</v>
      </c>
      <c r="I527" s="118">
        <f t="shared" si="109"/>
        <v>4.3243243243243246E-2</v>
      </c>
      <c r="J527" s="118">
        <f t="shared" si="109"/>
        <v>0.41891891891891891</v>
      </c>
      <c r="K527" s="118">
        <f t="shared" si="109"/>
        <v>0.20945945945945946</v>
      </c>
      <c r="L527" s="118">
        <f t="shared" si="109"/>
        <v>0</v>
      </c>
      <c r="M527" s="118">
        <f t="shared" si="109"/>
        <v>0</v>
      </c>
      <c r="N527" s="118">
        <f t="shared" si="110"/>
        <v>0</v>
      </c>
      <c r="O527" s="118">
        <f t="shared" si="110"/>
        <v>0</v>
      </c>
      <c r="P527" s="118">
        <f t="shared" si="110"/>
        <v>0</v>
      </c>
      <c r="Q527" s="118">
        <f t="shared" si="110"/>
        <v>0</v>
      </c>
      <c r="R527" s="118">
        <f t="shared" si="110"/>
        <v>0</v>
      </c>
      <c r="S527" s="118">
        <f t="shared" si="110"/>
        <v>0</v>
      </c>
      <c r="T527" s="118">
        <f t="shared" si="110"/>
        <v>0</v>
      </c>
      <c r="U527" s="118">
        <f t="shared" si="110"/>
        <v>0</v>
      </c>
      <c r="V527" s="118">
        <f t="shared" si="110"/>
        <v>0</v>
      </c>
      <c r="W527" s="118">
        <f t="shared" si="110"/>
        <v>0</v>
      </c>
      <c r="X527" s="118">
        <f t="shared" si="110"/>
        <v>0</v>
      </c>
      <c r="Y527" s="118">
        <f t="shared" si="108"/>
        <v>1.2162162162162162</v>
      </c>
    </row>
    <row r="528" spans="1:25" x14ac:dyDescent="0.3">
      <c r="A528" s="116" t="str">
        <f>IF(Inputs!$A24="","",Inputs!$A24)</f>
        <v>S22058-0700D</v>
      </c>
      <c r="B528" s="116"/>
      <c r="C528" s="116"/>
      <c r="D528" s="118">
        <f t="shared" si="109"/>
        <v>0</v>
      </c>
      <c r="E528" s="118">
        <f t="shared" si="109"/>
        <v>0</v>
      </c>
      <c r="F528" s="118">
        <f t="shared" si="109"/>
        <v>9.3243243243243248E-2</v>
      </c>
      <c r="G528" s="118">
        <f t="shared" si="109"/>
        <v>2.1621621621621623E-2</v>
      </c>
      <c r="H528" s="118">
        <f t="shared" si="109"/>
        <v>0.57837837837837835</v>
      </c>
      <c r="I528" s="118">
        <f t="shared" si="109"/>
        <v>3.2013513513513514</v>
      </c>
      <c r="J528" s="118">
        <f t="shared" si="109"/>
        <v>0.31486486486486487</v>
      </c>
      <c r="K528" s="118">
        <f t="shared" si="109"/>
        <v>0.70540540540540542</v>
      </c>
      <c r="L528" s="118">
        <f t="shared" si="109"/>
        <v>0.20135135135135135</v>
      </c>
      <c r="M528" s="118">
        <f t="shared" si="109"/>
        <v>0</v>
      </c>
      <c r="N528" s="118">
        <f t="shared" si="110"/>
        <v>0</v>
      </c>
      <c r="O528" s="118">
        <f t="shared" si="110"/>
        <v>0</v>
      </c>
      <c r="P528" s="118">
        <f t="shared" si="110"/>
        <v>0</v>
      </c>
      <c r="Q528" s="118">
        <f t="shared" si="110"/>
        <v>0</v>
      </c>
      <c r="R528" s="118">
        <f t="shared" si="110"/>
        <v>0</v>
      </c>
      <c r="S528" s="118">
        <f t="shared" si="110"/>
        <v>0</v>
      </c>
      <c r="T528" s="118">
        <f t="shared" si="110"/>
        <v>0</v>
      </c>
      <c r="U528" s="118">
        <f t="shared" si="110"/>
        <v>0</v>
      </c>
      <c r="V528" s="118">
        <f t="shared" si="110"/>
        <v>0</v>
      </c>
      <c r="W528" s="118">
        <f t="shared" si="110"/>
        <v>0</v>
      </c>
      <c r="X528" s="118">
        <f t="shared" si="110"/>
        <v>0</v>
      </c>
      <c r="Y528" s="118">
        <f t="shared" si="108"/>
        <v>5.1162162162162161</v>
      </c>
    </row>
    <row r="529" spans="1:25" x14ac:dyDescent="0.3">
      <c r="A529" s="116" t="str">
        <f>IF(Inputs!$A25="","",Inputs!$A25)</f>
        <v>AN24185-0100R</v>
      </c>
      <c r="B529" s="116"/>
      <c r="C529" s="116"/>
      <c r="D529" s="118">
        <f t="shared" si="109"/>
        <v>0</v>
      </c>
      <c r="E529" s="118">
        <f t="shared" si="109"/>
        <v>0</v>
      </c>
      <c r="F529" s="118">
        <f t="shared" si="109"/>
        <v>0</v>
      </c>
      <c r="G529" s="118">
        <f t="shared" si="109"/>
        <v>0</v>
      </c>
      <c r="H529" s="118">
        <f t="shared" si="109"/>
        <v>1.1310810810810812</v>
      </c>
      <c r="I529" s="118">
        <f t="shared" si="109"/>
        <v>0.73918918918918919</v>
      </c>
      <c r="J529" s="118">
        <f t="shared" si="109"/>
        <v>0.27297297297297296</v>
      </c>
      <c r="K529" s="118">
        <f t="shared" si="109"/>
        <v>0.58378378378378382</v>
      </c>
      <c r="L529" s="118">
        <f t="shared" si="109"/>
        <v>0.1</v>
      </c>
      <c r="M529" s="118">
        <f t="shared" si="109"/>
        <v>0.13378378378378378</v>
      </c>
      <c r="N529" s="118">
        <f t="shared" si="110"/>
        <v>0</v>
      </c>
      <c r="O529" s="118">
        <f t="shared" si="110"/>
        <v>0</v>
      </c>
      <c r="P529" s="118">
        <f t="shared" si="110"/>
        <v>0</v>
      </c>
      <c r="Q529" s="118">
        <f t="shared" si="110"/>
        <v>0</v>
      </c>
      <c r="R529" s="118">
        <f t="shared" si="110"/>
        <v>0</v>
      </c>
      <c r="S529" s="118">
        <f t="shared" si="110"/>
        <v>0</v>
      </c>
      <c r="T529" s="118">
        <f t="shared" si="110"/>
        <v>0</v>
      </c>
      <c r="U529" s="118">
        <f t="shared" si="110"/>
        <v>0</v>
      </c>
      <c r="V529" s="118">
        <f t="shared" si="110"/>
        <v>0</v>
      </c>
      <c r="W529" s="118">
        <f t="shared" si="110"/>
        <v>0</v>
      </c>
      <c r="X529" s="118">
        <f t="shared" si="110"/>
        <v>0</v>
      </c>
      <c r="Y529" s="118">
        <f t="shared" si="108"/>
        <v>2.9608108108108113</v>
      </c>
    </row>
    <row r="530" spans="1:25" x14ac:dyDescent="0.3">
      <c r="A530" s="116" t="str">
        <f>IF(Inputs!$A26="","",Inputs!$A26)</f>
        <v>AN24135-0100R</v>
      </c>
      <c r="B530" s="116"/>
      <c r="C530" s="116"/>
      <c r="D530" s="118">
        <f t="shared" ref="D530:M539" si="111">IF($A530="",0,SUMIF($A$265:$A$504,$A530,D$265:D$504))</f>
        <v>0</v>
      </c>
      <c r="E530" s="118">
        <f t="shared" si="111"/>
        <v>0</v>
      </c>
      <c r="F530" s="118">
        <f t="shared" si="111"/>
        <v>0</v>
      </c>
      <c r="G530" s="118">
        <f t="shared" si="111"/>
        <v>0</v>
      </c>
      <c r="H530" s="118">
        <f t="shared" si="111"/>
        <v>0.4702702702702703</v>
      </c>
      <c r="I530" s="118">
        <f t="shared" si="111"/>
        <v>0.55945945945945952</v>
      </c>
      <c r="J530" s="118">
        <f t="shared" si="111"/>
        <v>0.322972972972973</v>
      </c>
      <c r="K530" s="118">
        <f t="shared" si="111"/>
        <v>0.45135135135135135</v>
      </c>
      <c r="L530" s="118">
        <f t="shared" si="111"/>
        <v>2.7027027027027029E-2</v>
      </c>
      <c r="M530" s="118">
        <f t="shared" si="111"/>
        <v>0</v>
      </c>
      <c r="N530" s="118">
        <f t="shared" ref="N530:X539" si="112">IF($A530="",0,SUMIF($A$265:$A$504,$A530,N$265:N$504))</f>
        <v>0</v>
      </c>
      <c r="O530" s="118">
        <f t="shared" si="112"/>
        <v>0</v>
      </c>
      <c r="P530" s="118">
        <f t="shared" si="112"/>
        <v>0</v>
      </c>
      <c r="Q530" s="118">
        <f t="shared" si="112"/>
        <v>0</v>
      </c>
      <c r="R530" s="118">
        <f t="shared" si="112"/>
        <v>0</v>
      </c>
      <c r="S530" s="118">
        <f t="shared" si="112"/>
        <v>0</v>
      </c>
      <c r="T530" s="118">
        <f t="shared" si="112"/>
        <v>0</v>
      </c>
      <c r="U530" s="118">
        <f t="shared" si="112"/>
        <v>0</v>
      </c>
      <c r="V530" s="118">
        <f t="shared" si="112"/>
        <v>0</v>
      </c>
      <c r="W530" s="118">
        <f t="shared" si="112"/>
        <v>0</v>
      </c>
      <c r="X530" s="118">
        <f t="shared" si="112"/>
        <v>0</v>
      </c>
      <c r="Y530" s="118">
        <f t="shared" si="108"/>
        <v>1.8310810810810814</v>
      </c>
    </row>
    <row r="531" spans="1:25" x14ac:dyDescent="0.3">
      <c r="A531" s="116" t="str">
        <f>IF(Inputs!$A27="","",Inputs!$A27)</f>
        <v>AN23232-0100D</v>
      </c>
      <c r="B531" s="116"/>
      <c r="C531" s="116"/>
      <c r="D531" s="118">
        <f t="shared" si="111"/>
        <v>1.0878378378378379</v>
      </c>
      <c r="E531" s="118">
        <f t="shared" si="111"/>
        <v>1.7702702702702702</v>
      </c>
      <c r="F531" s="118">
        <f t="shared" si="111"/>
        <v>0.30135135135135138</v>
      </c>
      <c r="G531" s="118">
        <f t="shared" si="111"/>
        <v>0.10135135135135136</v>
      </c>
      <c r="H531" s="118">
        <f t="shared" si="111"/>
        <v>0</v>
      </c>
      <c r="I531" s="118">
        <f t="shared" si="111"/>
        <v>0</v>
      </c>
      <c r="J531" s="118">
        <f t="shared" si="111"/>
        <v>4.1891891891891894E-2</v>
      </c>
      <c r="K531" s="118">
        <f t="shared" si="111"/>
        <v>0</v>
      </c>
      <c r="L531" s="118">
        <f t="shared" si="111"/>
        <v>0</v>
      </c>
      <c r="M531" s="118">
        <f t="shared" si="111"/>
        <v>0</v>
      </c>
      <c r="N531" s="118">
        <f t="shared" si="112"/>
        <v>0</v>
      </c>
      <c r="O531" s="118">
        <f t="shared" si="112"/>
        <v>0</v>
      </c>
      <c r="P531" s="118">
        <f t="shared" si="112"/>
        <v>0</v>
      </c>
      <c r="Q531" s="118">
        <f t="shared" si="112"/>
        <v>0</v>
      </c>
      <c r="R531" s="118">
        <f t="shared" si="112"/>
        <v>0</v>
      </c>
      <c r="S531" s="118">
        <f t="shared" si="112"/>
        <v>0</v>
      </c>
      <c r="T531" s="118">
        <f t="shared" si="112"/>
        <v>0</v>
      </c>
      <c r="U531" s="118">
        <f t="shared" si="112"/>
        <v>0</v>
      </c>
      <c r="V531" s="118">
        <f t="shared" si="112"/>
        <v>0</v>
      </c>
      <c r="W531" s="118">
        <f t="shared" si="112"/>
        <v>0</v>
      </c>
      <c r="X531" s="118">
        <f t="shared" si="112"/>
        <v>0</v>
      </c>
      <c r="Y531" s="118">
        <f t="shared" si="108"/>
        <v>3.3027027027027027</v>
      </c>
    </row>
    <row r="532" spans="1:25" x14ac:dyDescent="0.3">
      <c r="A532" s="116" t="str">
        <f>IF(Inputs!$A28="","",Inputs!$A28)</f>
        <v>AN23108-0100R</v>
      </c>
      <c r="B532" s="116"/>
      <c r="C532" s="116"/>
      <c r="D532" s="118">
        <f t="shared" si="111"/>
        <v>0</v>
      </c>
      <c r="E532" s="118">
        <f t="shared" si="111"/>
        <v>0</v>
      </c>
      <c r="F532" s="118">
        <f t="shared" si="111"/>
        <v>0</v>
      </c>
      <c r="G532" s="118">
        <f t="shared" si="111"/>
        <v>0</v>
      </c>
      <c r="H532" s="118">
        <f t="shared" si="111"/>
        <v>0</v>
      </c>
      <c r="I532" s="118">
        <f t="shared" si="111"/>
        <v>9.1891891891891897E-2</v>
      </c>
      <c r="J532" s="118">
        <f t="shared" si="111"/>
        <v>5.4054054054054057E-3</v>
      </c>
      <c r="K532" s="118">
        <f t="shared" si="111"/>
        <v>0</v>
      </c>
      <c r="L532" s="118">
        <f t="shared" si="111"/>
        <v>4.4594594594594597E-2</v>
      </c>
      <c r="M532" s="118">
        <f t="shared" si="111"/>
        <v>0.2472972972972973</v>
      </c>
      <c r="N532" s="118">
        <f t="shared" si="112"/>
        <v>0.35945945945945945</v>
      </c>
      <c r="O532" s="118">
        <f t="shared" si="112"/>
        <v>7.8378378378378383E-2</v>
      </c>
      <c r="P532" s="118">
        <f t="shared" si="112"/>
        <v>0</v>
      </c>
      <c r="Q532" s="118">
        <f t="shared" si="112"/>
        <v>0</v>
      </c>
      <c r="R532" s="118">
        <f t="shared" si="112"/>
        <v>0</v>
      </c>
      <c r="S532" s="118">
        <f t="shared" si="112"/>
        <v>0</v>
      </c>
      <c r="T532" s="118">
        <f t="shared" si="112"/>
        <v>0</v>
      </c>
      <c r="U532" s="118">
        <f t="shared" si="112"/>
        <v>0</v>
      </c>
      <c r="V532" s="118">
        <f t="shared" si="112"/>
        <v>0</v>
      </c>
      <c r="W532" s="118">
        <f t="shared" si="112"/>
        <v>0</v>
      </c>
      <c r="X532" s="118">
        <f t="shared" si="112"/>
        <v>0</v>
      </c>
      <c r="Y532" s="118">
        <f t="shared" si="108"/>
        <v>0.82702702702702702</v>
      </c>
    </row>
    <row r="533" spans="1:25" x14ac:dyDescent="0.3">
      <c r="A533" s="116" t="str">
        <f>IF(Inputs!$A29="","",Inputs!$A29)</f>
        <v>TA24246-0200R</v>
      </c>
      <c r="B533" s="116"/>
      <c r="C533" s="116"/>
      <c r="D533" s="118">
        <f t="shared" si="111"/>
        <v>0</v>
      </c>
      <c r="E533" s="118">
        <f t="shared" si="111"/>
        <v>0</v>
      </c>
      <c r="F533" s="118">
        <f t="shared" si="111"/>
        <v>0</v>
      </c>
      <c r="G533" s="118">
        <f t="shared" si="111"/>
        <v>0</v>
      </c>
      <c r="H533" s="118">
        <f t="shared" si="111"/>
        <v>0</v>
      </c>
      <c r="I533" s="118">
        <f t="shared" si="111"/>
        <v>0</v>
      </c>
      <c r="J533" s="118">
        <f t="shared" si="111"/>
        <v>0.50540540540540535</v>
      </c>
      <c r="K533" s="118">
        <f t="shared" si="111"/>
        <v>0.7675675675675675</v>
      </c>
      <c r="L533" s="118">
        <f t="shared" si="111"/>
        <v>4.5945945945945948E-2</v>
      </c>
      <c r="M533" s="118">
        <f t="shared" si="111"/>
        <v>7.7027027027027031E-2</v>
      </c>
      <c r="N533" s="118">
        <f t="shared" si="112"/>
        <v>2.1621621621621623E-2</v>
      </c>
      <c r="O533" s="118">
        <f t="shared" si="112"/>
        <v>0</v>
      </c>
      <c r="P533" s="118">
        <f t="shared" si="112"/>
        <v>0</v>
      </c>
      <c r="Q533" s="118">
        <f t="shared" si="112"/>
        <v>0</v>
      </c>
      <c r="R533" s="118">
        <f t="shared" si="112"/>
        <v>0</v>
      </c>
      <c r="S533" s="118">
        <f t="shared" si="112"/>
        <v>0</v>
      </c>
      <c r="T533" s="118">
        <f t="shared" si="112"/>
        <v>0</v>
      </c>
      <c r="U533" s="118">
        <f t="shared" si="112"/>
        <v>0</v>
      </c>
      <c r="V533" s="118">
        <f t="shared" si="112"/>
        <v>0</v>
      </c>
      <c r="W533" s="118">
        <f t="shared" si="112"/>
        <v>0</v>
      </c>
      <c r="X533" s="118">
        <f t="shared" si="112"/>
        <v>0</v>
      </c>
      <c r="Y533" s="118">
        <f t="shared" si="108"/>
        <v>1.4175675675675674</v>
      </c>
    </row>
    <row r="534" spans="1:25" x14ac:dyDescent="0.3">
      <c r="A534" s="116" t="str">
        <f>IF(Inputs!$A30="","",Inputs!$A30)</f>
        <v>S22058-0900D</v>
      </c>
      <c r="B534" s="116"/>
      <c r="C534" s="116"/>
      <c r="D534" s="118">
        <f t="shared" si="111"/>
        <v>0</v>
      </c>
      <c r="E534" s="118">
        <f t="shared" si="111"/>
        <v>0</v>
      </c>
      <c r="F534" s="118">
        <f t="shared" si="111"/>
        <v>0</v>
      </c>
      <c r="G534" s="118">
        <f t="shared" si="111"/>
        <v>0</v>
      </c>
      <c r="H534" s="118">
        <f t="shared" si="111"/>
        <v>2.1621621621621623E-2</v>
      </c>
      <c r="I534" s="118">
        <f t="shared" si="111"/>
        <v>7.4324324324324328E-2</v>
      </c>
      <c r="J534" s="118">
        <f t="shared" si="111"/>
        <v>0</v>
      </c>
      <c r="K534" s="118">
        <f t="shared" si="111"/>
        <v>0</v>
      </c>
      <c r="L534" s="118">
        <f t="shared" si="111"/>
        <v>0</v>
      </c>
      <c r="M534" s="118">
        <f t="shared" si="111"/>
        <v>0</v>
      </c>
      <c r="N534" s="118">
        <f t="shared" si="112"/>
        <v>0</v>
      </c>
      <c r="O534" s="118">
        <f t="shared" si="112"/>
        <v>0</v>
      </c>
      <c r="P534" s="118">
        <f t="shared" si="112"/>
        <v>0</v>
      </c>
      <c r="Q534" s="118">
        <f t="shared" si="112"/>
        <v>0</v>
      </c>
      <c r="R534" s="118">
        <f t="shared" si="112"/>
        <v>0</v>
      </c>
      <c r="S534" s="118">
        <f t="shared" si="112"/>
        <v>0</v>
      </c>
      <c r="T534" s="118">
        <f t="shared" si="112"/>
        <v>0</v>
      </c>
      <c r="U534" s="118">
        <f t="shared" si="112"/>
        <v>0</v>
      </c>
      <c r="V534" s="118">
        <f t="shared" si="112"/>
        <v>0</v>
      </c>
      <c r="W534" s="118">
        <f t="shared" si="112"/>
        <v>0</v>
      </c>
      <c r="X534" s="118">
        <f t="shared" si="112"/>
        <v>0</v>
      </c>
      <c r="Y534" s="118">
        <f t="shared" si="108"/>
        <v>9.5945945945945951E-2</v>
      </c>
    </row>
    <row r="535" spans="1:25" x14ac:dyDescent="0.3">
      <c r="A535" s="116" t="str">
        <f>IF(Inputs!$A31="","",Inputs!$A31)</f>
        <v>S22058-0400D</v>
      </c>
      <c r="B535" s="116"/>
      <c r="C535" s="116"/>
      <c r="D535" s="118">
        <f t="shared" si="111"/>
        <v>1.0810810810810811E-2</v>
      </c>
      <c r="E535" s="118">
        <f t="shared" si="111"/>
        <v>1.891891891891892E-2</v>
      </c>
      <c r="F535" s="118">
        <f t="shared" si="111"/>
        <v>0</v>
      </c>
      <c r="G535" s="118">
        <f t="shared" si="111"/>
        <v>0</v>
      </c>
      <c r="H535" s="118">
        <f t="shared" si="111"/>
        <v>0</v>
      </c>
      <c r="I535" s="118">
        <f t="shared" si="111"/>
        <v>0</v>
      </c>
      <c r="J535" s="118">
        <f t="shared" si="111"/>
        <v>1.0810810810810811E-2</v>
      </c>
      <c r="K535" s="118">
        <f t="shared" si="111"/>
        <v>0</v>
      </c>
      <c r="L535" s="118">
        <f t="shared" si="111"/>
        <v>0</v>
      </c>
      <c r="M535" s="118">
        <f t="shared" si="111"/>
        <v>0</v>
      </c>
      <c r="N535" s="118">
        <f t="shared" si="112"/>
        <v>0</v>
      </c>
      <c r="O535" s="118">
        <f t="shared" si="112"/>
        <v>0</v>
      </c>
      <c r="P535" s="118">
        <f t="shared" si="112"/>
        <v>0</v>
      </c>
      <c r="Q535" s="118">
        <f t="shared" si="112"/>
        <v>0</v>
      </c>
      <c r="R535" s="118">
        <f t="shared" si="112"/>
        <v>0</v>
      </c>
      <c r="S535" s="118">
        <f t="shared" si="112"/>
        <v>0</v>
      </c>
      <c r="T535" s="118">
        <f t="shared" si="112"/>
        <v>0</v>
      </c>
      <c r="U535" s="118">
        <f t="shared" si="112"/>
        <v>0</v>
      </c>
      <c r="V535" s="118">
        <f t="shared" si="112"/>
        <v>0</v>
      </c>
      <c r="W535" s="118">
        <f t="shared" si="112"/>
        <v>0</v>
      </c>
      <c r="X535" s="118">
        <f t="shared" si="112"/>
        <v>0</v>
      </c>
      <c r="Y535" s="118">
        <f t="shared" si="108"/>
        <v>4.0540540540540543E-2</v>
      </c>
    </row>
    <row r="536" spans="1:25" x14ac:dyDescent="0.3">
      <c r="A536" s="116" t="str">
        <f>IF(Inputs!$A32="","",Inputs!$A32)</f>
        <v>Proposals 25</v>
      </c>
      <c r="B536" s="116"/>
      <c r="C536" s="116"/>
      <c r="D536" s="118">
        <f t="shared" si="111"/>
        <v>0</v>
      </c>
      <c r="E536" s="118">
        <f t="shared" si="111"/>
        <v>0</v>
      </c>
      <c r="F536" s="118">
        <f t="shared" si="111"/>
        <v>0</v>
      </c>
      <c r="G536" s="118">
        <f t="shared" si="111"/>
        <v>0</v>
      </c>
      <c r="H536" s="118">
        <f t="shared" si="111"/>
        <v>0</v>
      </c>
      <c r="I536" s="118">
        <f t="shared" si="111"/>
        <v>0.44864864864864867</v>
      </c>
      <c r="J536" s="118">
        <f t="shared" si="111"/>
        <v>0.27972972972972976</v>
      </c>
      <c r="K536" s="118">
        <f t="shared" si="111"/>
        <v>1.3283783783783785</v>
      </c>
      <c r="L536" s="118">
        <f t="shared" si="111"/>
        <v>2.7027027027027029E-2</v>
      </c>
      <c r="M536" s="118">
        <f t="shared" si="111"/>
        <v>0</v>
      </c>
      <c r="N536" s="118">
        <f t="shared" si="112"/>
        <v>0</v>
      </c>
      <c r="O536" s="118">
        <f t="shared" si="112"/>
        <v>0</v>
      </c>
      <c r="P536" s="118">
        <f t="shared" si="112"/>
        <v>0</v>
      </c>
      <c r="Q536" s="118">
        <f t="shared" si="112"/>
        <v>0</v>
      </c>
      <c r="R536" s="118">
        <f t="shared" si="112"/>
        <v>0</v>
      </c>
      <c r="S536" s="118">
        <f t="shared" si="112"/>
        <v>0</v>
      </c>
      <c r="T536" s="118">
        <f t="shared" si="112"/>
        <v>0</v>
      </c>
      <c r="U536" s="118">
        <f t="shared" si="112"/>
        <v>0</v>
      </c>
      <c r="V536" s="118">
        <f t="shared" si="112"/>
        <v>0</v>
      </c>
      <c r="W536" s="118">
        <f t="shared" si="112"/>
        <v>0</v>
      </c>
      <c r="X536" s="118">
        <f t="shared" si="112"/>
        <v>0</v>
      </c>
      <c r="Y536" s="118">
        <f t="shared" si="108"/>
        <v>2.083783783783784</v>
      </c>
    </row>
    <row r="537" spans="1:25" x14ac:dyDescent="0.3">
      <c r="A537" s="116" t="str">
        <f>IF(Inputs!$A33="","",Inputs!$A33)</f>
        <v>Chargable Proposals 25</v>
      </c>
      <c r="B537" s="116"/>
      <c r="C537" s="116"/>
      <c r="D537" s="118">
        <f t="shared" si="111"/>
        <v>0</v>
      </c>
      <c r="E537" s="118">
        <f t="shared" si="111"/>
        <v>0</v>
      </c>
      <c r="F537" s="118">
        <f t="shared" si="111"/>
        <v>0</v>
      </c>
      <c r="G537" s="118">
        <f t="shared" si="111"/>
        <v>0</v>
      </c>
      <c r="H537" s="118">
        <f t="shared" si="111"/>
        <v>0</v>
      </c>
      <c r="I537" s="118">
        <f t="shared" si="111"/>
        <v>1.6418918918918919</v>
      </c>
      <c r="J537" s="118">
        <f t="shared" si="111"/>
        <v>0.76216216216216215</v>
      </c>
      <c r="K537" s="118">
        <f t="shared" si="111"/>
        <v>1.5391891891891891</v>
      </c>
      <c r="L537" s="118">
        <f t="shared" si="111"/>
        <v>0</v>
      </c>
      <c r="M537" s="118">
        <f t="shared" si="111"/>
        <v>0</v>
      </c>
      <c r="N537" s="118">
        <f t="shared" si="112"/>
        <v>0</v>
      </c>
      <c r="O537" s="118">
        <f t="shared" si="112"/>
        <v>0</v>
      </c>
      <c r="P537" s="118">
        <f t="shared" si="112"/>
        <v>0</v>
      </c>
      <c r="Q537" s="118">
        <f t="shared" si="112"/>
        <v>0</v>
      </c>
      <c r="R537" s="118">
        <f t="shared" si="112"/>
        <v>0</v>
      </c>
      <c r="S537" s="118">
        <f t="shared" si="112"/>
        <v>0</v>
      </c>
      <c r="T537" s="118">
        <f t="shared" si="112"/>
        <v>0</v>
      </c>
      <c r="U537" s="118">
        <f t="shared" si="112"/>
        <v>0</v>
      </c>
      <c r="V537" s="118">
        <f t="shared" si="112"/>
        <v>0</v>
      </c>
      <c r="W537" s="118">
        <f t="shared" si="112"/>
        <v>0</v>
      </c>
      <c r="X537" s="118">
        <f t="shared" si="112"/>
        <v>0</v>
      </c>
      <c r="Y537" s="118">
        <f t="shared" si="108"/>
        <v>3.9432432432432432</v>
      </c>
    </row>
    <row r="538" spans="1:25" x14ac:dyDescent="0.3">
      <c r="A538" s="116" t="str">
        <f>IF(Inputs!$A34="","",Inputs!$A34)</f>
        <v>AD23051-0101D</v>
      </c>
      <c r="B538" s="116"/>
      <c r="C538" s="116"/>
      <c r="D538" s="118">
        <f t="shared" si="111"/>
        <v>2.1621621621621623E-2</v>
      </c>
      <c r="E538" s="118">
        <f t="shared" si="111"/>
        <v>0.12027027027027028</v>
      </c>
      <c r="F538" s="118">
        <f t="shared" si="111"/>
        <v>0</v>
      </c>
      <c r="G538" s="118">
        <f t="shared" si="111"/>
        <v>0</v>
      </c>
      <c r="H538" s="118">
        <f t="shared" si="111"/>
        <v>0</v>
      </c>
      <c r="I538" s="118">
        <f t="shared" si="111"/>
        <v>0</v>
      </c>
      <c r="J538" s="118">
        <f t="shared" si="111"/>
        <v>0</v>
      </c>
      <c r="K538" s="118">
        <f t="shared" si="111"/>
        <v>0</v>
      </c>
      <c r="L538" s="118">
        <f t="shared" si="111"/>
        <v>0</v>
      </c>
      <c r="M538" s="118">
        <f t="shared" si="111"/>
        <v>0</v>
      </c>
      <c r="N538" s="118">
        <f t="shared" si="112"/>
        <v>0</v>
      </c>
      <c r="O538" s="118">
        <f t="shared" si="112"/>
        <v>0</v>
      </c>
      <c r="P538" s="118">
        <f t="shared" si="112"/>
        <v>0</v>
      </c>
      <c r="Q538" s="118">
        <f t="shared" si="112"/>
        <v>0</v>
      </c>
      <c r="R538" s="118">
        <f t="shared" si="112"/>
        <v>0</v>
      </c>
      <c r="S538" s="118">
        <f t="shared" si="112"/>
        <v>0</v>
      </c>
      <c r="T538" s="118">
        <f t="shared" si="112"/>
        <v>0</v>
      </c>
      <c r="U538" s="118">
        <f t="shared" si="112"/>
        <v>0</v>
      </c>
      <c r="V538" s="118">
        <f t="shared" si="112"/>
        <v>0</v>
      </c>
      <c r="W538" s="118">
        <f t="shared" si="112"/>
        <v>0</v>
      </c>
      <c r="X538" s="118">
        <f t="shared" si="112"/>
        <v>0</v>
      </c>
      <c r="Y538" s="118">
        <f t="shared" si="108"/>
        <v>0.14189189189189189</v>
      </c>
    </row>
    <row r="539" spans="1:25" x14ac:dyDescent="0.3">
      <c r="A539" s="116" t="str">
        <f>IF(Inputs!$A35="","",Inputs!$A35)</f>
        <v>AN21146-0100R</v>
      </c>
      <c r="B539" s="116"/>
      <c r="C539" s="116"/>
      <c r="D539" s="118">
        <f t="shared" si="111"/>
        <v>0</v>
      </c>
      <c r="E539" s="118">
        <f t="shared" si="111"/>
        <v>0</v>
      </c>
      <c r="F539" s="118">
        <f t="shared" si="111"/>
        <v>4.4594594594594597E-2</v>
      </c>
      <c r="G539" s="118">
        <f t="shared" si="111"/>
        <v>0.47432432432432436</v>
      </c>
      <c r="H539" s="118">
        <f t="shared" si="111"/>
        <v>0</v>
      </c>
      <c r="I539" s="118">
        <f t="shared" si="111"/>
        <v>0</v>
      </c>
      <c r="J539" s="118">
        <f t="shared" si="111"/>
        <v>0</v>
      </c>
      <c r="K539" s="118">
        <f t="shared" si="111"/>
        <v>0</v>
      </c>
      <c r="L539" s="118">
        <f t="shared" si="111"/>
        <v>0</v>
      </c>
      <c r="M539" s="118">
        <f t="shared" si="111"/>
        <v>0</v>
      </c>
      <c r="N539" s="118">
        <f t="shared" si="112"/>
        <v>0</v>
      </c>
      <c r="O539" s="118">
        <f t="shared" si="112"/>
        <v>0</v>
      </c>
      <c r="P539" s="118">
        <f t="shared" si="112"/>
        <v>0</v>
      </c>
      <c r="Q539" s="118">
        <f t="shared" si="112"/>
        <v>0</v>
      </c>
      <c r="R539" s="118">
        <f t="shared" si="112"/>
        <v>0</v>
      </c>
      <c r="S539" s="118">
        <f t="shared" si="112"/>
        <v>0</v>
      </c>
      <c r="T539" s="118">
        <f t="shared" si="112"/>
        <v>0</v>
      </c>
      <c r="U539" s="118">
        <f t="shared" si="112"/>
        <v>0</v>
      </c>
      <c r="V539" s="118">
        <f t="shared" si="112"/>
        <v>0</v>
      </c>
      <c r="W539" s="118">
        <f t="shared" si="112"/>
        <v>0</v>
      </c>
      <c r="X539" s="118">
        <f t="shared" si="112"/>
        <v>0</v>
      </c>
      <c r="Y539" s="118">
        <f t="shared" si="108"/>
        <v>0.51891891891891895</v>
      </c>
    </row>
    <row r="540" spans="1:25" x14ac:dyDescent="0.3">
      <c r="A540" s="116" t="str">
        <f>IF(Inputs!$A36="","",Inputs!$A36)</f>
        <v>N23106-0100D</v>
      </c>
      <c r="B540" s="116"/>
      <c r="C540" s="116"/>
      <c r="D540" s="118">
        <f t="shared" ref="D540:M549" si="113">IF($A540="",0,SUMIF($A$265:$A$504,$A540,D$265:D$504))</f>
        <v>0</v>
      </c>
      <c r="E540" s="118">
        <f t="shared" si="113"/>
        <v>0</v>
      </c>
      <c r="F540" s="118">
        <f t="shared" si="113"/>
        <v>0.1581081081081081</v>
      </c>
      <c r="G540" s="118">
        <f t="shared" si="113"/>
        <v>2.3432432432432431</v>
      </c>
      <c r="H540" s="118">
        <f t="shared" si="113"/>
        <v>0.3472972972972973</v>
      </c>
      <c r="I540" s="118">
        <f t="shared" si="113"/>
        <v>0</v>
      </c>
      <c r="J540" s="118">
        <f t="shared" si="113"/>
        <v>0</v>
      </c>
      <c r="K540" s="118">
        <f t="shared" si="113"/>
        <v>0</v>
      </c>
      <c r="L540" s="118">
        <f t="shared" si="113"/>
        <v>3.2432432432432434E-2</v>
      </c>
      <c r="M540" s="118">
        <f t="shared" si="113"/>
        <v>0.44054054054054054</v>
      </c>
      <c r="N540" s="118">
        <f t="shared" ref="N540:X549" si="114">IF($A540="",0,SUMIF($A$265:$A$504,$A540,N$265:N$504))</f>
        <v>0</v>
      </c>
      <c r="O540" s="118">
        <f t="shared" si="114"/>
        <v>0</v>
      </c>
      <c r="P540" s="118">
        <f t="shared" si="114"/>
        <v>0</v>
      </c>
      <c r="Q540" s="118">
        <f t="shared" si="114"/>
        <v>0</v>
      </c>
      <c r="R540" s="118">
        <f t="shared" si="114"/>
        <v>0</v>
      </c>
      <c r="S540" s="118">
        <f t="shared" si="114"/>
        <v>0</v>
      </c>
      <c r="T540" s="118">
        <f t="shared" si="114"/>
        <v>0</v>
      </c>
      <c r="U540" s="118">
        <f t="shared" si="114"/>
        <v>0</v>
      </c>
      <c r="V540" s="118">
        <f t="shared" si="114"/>
        <v>0</v>
      </c>
      <c r="W540" s="118">
        <f t="shared" si="114"/>
        <v>0</v>
      </c>
      <c r="X540" s="118">
        <f t="shared" si="114"/>
        <v>0</v>
      </c>
      <c r="Y540" s="118">
        <f t="shared" si="108"/>
        <v>3.3216216216216217</v>
      </c>
    </row>
    <row r="541" spans="1:25" x14ac:dyDescent="0.3">
      <c r="A541" s="116" t="str">
        <f>IF(Inputs!$A37="","",Inputs!$A37)</f>
        <v>OM23030-0100D</v>
      </c>
      <c r="B541" s="116"/>
      <c r="C541" s="116"/>
      <c r="D541" s="118">
        <f t="shared" si="113"/>
        <v>0</v>
      </c>
      <c r="E541" s="118">
        <f t="shared" si="113"/>
        <v>0.14729729729729729</v>
      </c>
      <c r="F541" s="118">
        <f t="shared" si="113"/>
        <v>0</v>
      </c>
      <c r="G541" s="118">
        <f t="shared" si="113"/>
        <v>0</v>
      </c>
      <c r="H541" s="118">
        <f t="shared" si="113"/>
        <v>0</v>
      </c>
      <c r="I541" s="118">
        <f t="shared" si="113"/>
        <v>0</v>
      </c>
      <c r="J541" s="118">
        <f t="shared" si="113"/>
        <v>0</v>
      </c>
      <c r="K541" s="118">
        <f t="shared" si="113"/>
        <v>0</v>
      </c>
      <c r="L541" s="118">
        <f t="shared" si="113"/>
        <v>0</v>
      </c>
      <c r="M541" s="118">
        <f t="shared" si="113"/>
        <v>0</v>
      </c>
      <c r="N541" s="118">
        <f t="shared" si="114"/>
        <v>0</v>
      </c>
      <c r="O541" s="118">
        <f t="shared" si="114"/>
        <v>0</v>
      </c>
      <c r="P541" s="118">
        <f t="shared" si="114"/>
        <v>0</v>
      </c>
      <c r="Q541" s="118">
        <f t="shared" si="114"/>
        <v>0</v>
      </c>
      <c r="R541" s="118">
        <f t="shared" si="114"/>
        <v>0</v>
      </c>
      <c r="S541" s="118">
        <f t="shared" si="114"/>
        <v>0</v>
      </c>
      <c r="T541" s="118">
        <f t="shared" si="114"/>
        <v>0</v>
      </c>
      <c r="U541" s="118">
        <f t="shared" si="114"/>
        <v>0</v>
      </c>
      <c r="V541" s="118">
        <f t="shared" si="114"/>
        <v>0</v>
      </c>
      <c r="W541" s="118">
        <f t="shared" si="114"/>
        <v>0</v>
      </c>
      <c r="X541" s="118">
        <f t="shared" si="114"/>
        <v>0</v>
      </c>
      <c r="Y541" s="118">
        <f t="shared" si="108"/>
        <v>0.14729729729729729</v>
      </c>
    </row>
    <row r="542" spans="1:25" x14ac:dyDescent="0.3">
      <c r="A542" s="116" t="str">
        <f>IF(Inputs!$A38="","",Inputs!$A38)</f>
        <v>Chargable Proposals 24</v>
      </c>
      <c r="B542" s="116"/>
      <c r="C542" s="116"/>
      <c r="D542" s="118">
        <f t="shared" si="113"/>
        <v>0</v>
      </c>
      <c r="E542" s="118">
        <f t="shared" si="113"/>
        <v>0.46756756756756757</v>
      </c>
      <c r="F542" s="118">
        <f t="shared" si="113"/>
        <v>0.95405405405405408</v>
      </c>
      <c r="G542" s="118">
        <f t="shared" si="113"/>
        <v>0</v>
      </c>
      <c r="H542" s="118">
        <f t="shared" si="113"/>
        <v>0.43243243243243246</v>
      </c>
      <c r="I542" s="118">
        <f t="shared" si="113"/>
        <v>0</v>
      </c>
      <c r="J542" s="118">
        <f t="shared" si="113"/>
        <v>0</v>
      </c>
      <c r="K542" s="118">
        <f t="shared" si="113"/>
        <v>0</v>
      </c>
      <c r="L542" s="118">
        <f t="shared" si="113"/>
        <v>0</v>
      </c>
      <c r="M542" s="118">
        <f t="shared" si="113"/>
        <v>0</v>
      </c>
      <c r="N542" s="118">
        <f t="shared" si="114"/>
        <v>0</v>
      </c>
      <c r="O542" s="118">
        <f t="shared" si="114"/>
        <v>0</v>
      </c>
      <c r="P542" s="118">
        <f t="shared" si="114"/>
        <v>0</v>
      </c>
      <c r="Q542" s="118">
        <f t="shared" si="114"/>
        <v>0</v>
      </c>
      <c r="R542" s="118">
        <f t="shared" si="114"/>
        <v>0</v>
      </c>
      <c r="S542" s="118">
        <f t="shared" si="114"/>
        <v>0</v>
      </c>
      <c r="T542" s="118">
        <f t="shared" si="114"/>
        <v>0</v>
      </c>
      <c r="U542" s="118">
        <f t="shared" si="114"/>
        <v>0</v>
      </c>
      <c r="V542" s="118">
        <f t="shared" si="114"/>
        <v>0</v>
      </c>
      <c r="W542" s="118">
        <f t="shared" si="114"/>
        <v>0</v>
      </c>
      <c r="X542" s="118">
        <f t="shared" si="114"/>
        <v>0</v>
      </c>
      <c r="Y542" s="118">
        <f t="shared" ref="Y542:Y573" si="115">SUM(D542:X542)</f>
        <v>1.8540540540540542</v>
      </c>
    </row>
    <row r="543" spans="1:25" x14ac:dyDescent="0.3">
      <c r="A543" s="116" t="str">
        <f>IF(Inputs!$A39="","",Inputs!$A39)</f>
        <v>Proposals 24</v>
      </c>
      <c r="B543" s="116"/>
      <c r="C543" s="116"/>
      <c r="D543" s="118">
        <f t="shared" si="113"/>
        <v>0</v>
      </c>
      <c r="E543" s="118">
        <f t="shared" si="113"/>
        <v>6.621621621621622E-2</v>
      </c>
      <c r="F543" s="118">
        <f t="shared" si="113"/>
        <v>9.5945945945945951E-2</v>
      </c>
      <c r="G543" s="118">
        <f t="shared" si="113"/>
        <v>1.6216216216216217E-2</v>
      </c>
      <c r="H543" s="118">
        <f t="shared" si="113"/>
        <v>0.35810810810810811</v>
      </c>
      <c r="I543" s="118">
        <f t="shared" si="113"/>
        <v>0</v>
      </c>
      <c r="J543" s="118">
        <f t="shared" si="113"/>
        <v>0</v>
      </c>
      <c r="K543" s="118">
        <f t="shared" si="113"/>
        <v>0</v>
      </c>
      <c r="L543" s="118">
        <f t="shared" si="113"/>
        <v>0</v>
      </c>
      <c r="M543" s="118">
        <f t="shared" si="113"/>
        <v>0</v>
      </c>
      <c r="N543" s="118">
        <f t="shared" si="114"/>
        <v>0</v>
      </c>
      <c r="O543" s="118">
        <f t="shared" si="114"/>
        <v>0</v>
      </c>
      <c r="P543" s="118">
        <f t="shared" si="114"/>
        <v>0</v>
      </c>
      <c r="Q543" s="118">
        <f t="shared" si="114"/>
        <v>0</v>
      </c>
      <c r="R543" s="118">
        <f t="shared" si="114"/>
        <v>0</v>
      </c>
      <c r="S543" s="118">
        <f t="shared" si="114"/>
        <v>0</v>
      </c>
      <c r="T543" s="118">
        <f t="shared" si="114"/>
        <v>0</v>
      </c>
      <c r="U543" s="118">
        <f t="shared" si="114"/>
        <v>0</v>
      </c>
      <c r="V543" s="118">
        <f t="shared" si="114"/>
        <v>0</v>
      </c>
      <c r="W543" s="118">
        <f t="shared" si="114"/>
        <v>0</v>
      </c>
      <c r="X543" s="118">
        <f t="shared" si="114"/>
        <v>0</v>
      </c>
      <c r="Y543" s="118">
        <f t="shared" si="115"/>
        <v>0.53648648648648645</v>
      </c>
    </row>
    <row r="544" spans="1:25" x14ac:dyDescent="0.3">
      <c r="A544" s="116" t="str">
        <f>IF(Inputs!$A40="","",Inputs!$A40)</f>
        <v>S23204-0100D</v>
      </c>
      <c r="B544" s="116"/>
      <c r="C544" s="116"/>
      <c r="D544" s="118">
        <f t="shared" si="113"/>
        <v>0</v>
      </c>
      <c r="E544" s="118">
        <f t="shared" si="113"/>
        <v>4.5945945945945948E-2</v>
      </c>
      <c r="F544" s="118">
        <f t="shared" si="113"/>
        <v>0</v>
      </c>
      <c r="G544" s="118">
        <f t="shared" si="113"/>
        <v>0</v>
      </c>
      <c r="H544" s="118">
        <f t="shared" si="113"/>
        <v>0</v>
      </c>
      <c r="I544" s="118">
        <f t="shared" si="113"/>
        <v>0</v>
      </c>
      <c r="J544" s="118">
        <f t="shared" si="113"/>
        <v>0</v>
      </c>
      <c r="K544" s="118">
        <f t="shared" si="113"/>
        <v>0</v>
      </c>
      <c r="L544" s="118">
        <f t="shared" si="113"/>
        <v>0</v>
      </c>
      <c r="M544" s="118">
        <f t="shared" si="113"/>
        <v>0</v>
      </c>
      <c r="N544" s="118">
        <f t="shared" si="114"/>
        <v>0</v>
      </c>
      <c r="O544" s="118">
        <f t="shared" si="114"/>
        <v>0</v>
      </c>
      <c r="P544" s="118">
        <f t="shared" si="114"/>
        <v>0</v>
      </c>
      <c r="Q544" s="118">
        <f t="shared" si="114"/>
        <v>0</v>
      </c>
      <c r="R544" s="118">
        <f t="shared" si="114"/>
        <v>0</v>
      </c>
      <c r="S544" s="118">
        <f t="shared" si="114"/>
        <v>0</v>
      </c>
      <c r="T544" s="118">
        <f t="shared" si="114"/>
        <v>0</v>
      </c>
      <c r="U544" s="118">
        <f t="shared" si="114"/>
        <v>0</v>
      </c>
      <c r="V544" s="118">
        <f t="shared" si="114"/>
        <v>0</v>
      </c>
      <c r="W544" s="118">
        <f t="shared" si="114"/>
        <v>0</v>
      </c>
      <c r="X544" s="118">
        <f t="shared" si="114"/>
        <v>0</v>
      </c>
      <c r="Y544" s="118">
        <f t="shared" si="115"/>
        <v>4.5945945945945948E-2</v>
      </c>
    </row>
    <row r="545" spans="1:25" x14ac:dyDescent="0.3">
      <c r="A545" s="116" t="str">
        <f>IF(Inputs!$A41="","",Inputs!$A41)</f>
        <v>S24100-0100D</v>
      </c>
      <c r="B545" s="116"/>
      <c r="C545" s="116"/>
      <c r="D545" s="118">
        <f t="shared" si="113"/>
        <v>0</v>
      </c>
      <c r="E545" s="118">
        <f t="shared" si="113"/>
        <v>0</v>
      </c>
      <c r="F545" s="118">
        <f t="shared" si="113"/>
        <v>0.18378378378378379</v>
      </c>
      <c r="G545" s="118">
        <f t="shared" si="113"/>
        <v>0.3472972972972973</v>
      </c>
      <c r="H545" s="118">
        <f t="shared" si="113"/>
        <v>0.47432432432432436</v>
      </c>
      <c r="I545" s="118">
        <f t="shared" si="113"/>
        <v>0</v>
      </c>
      <c r="J545" s="118">
        <f t="shared" si="113"/>
        <v>0</v>
      </c>
      <c r="K545" s="118">
        <f t="shared" si="113"/>
        <v>0</v>
      </c>
      <c r="L545" s="118">
        <f t="shared" si="113"/>
        <v>0</v>
      </c>
      <c r="M545" s="118">
        <f t="shared" si="113"/>
        <v>0</v>
      </c>
      <c r="N545" s="118">
        <f t="shared" si="114"/>
        <v>0</v>
      </c>
      <c r="O545" s="118">
        <f t="shared" si="114"/>
        <v>0</v>
      </c>
      <c r="P545" s="118">
        <f t="shared" si="114"/>
        <v>0</v>
      </c>
      <c r="Q545" s="118">
        <f t="shared" si="114"/>
        <v>0</v>
      </c>
      <c r="R545" s="118">
        <f t="shared" si="114"/>
        <v>0</v>
      </c>
      <c r="S545" s="118">
        <f t="shared" si="114"/>
        <v>0</v>
      </c>
      <c r="T545" s="118">
        <f t="shared" si="114"/>
        <v>0</v>
      </c>
      <c r="U545" s="118">
        <f t="shared" si="114"/>
        <v>0</v>
      </c>
      <c r="V545" s="118">
        <f t="shared" si="114"/>
        <v>0</v>
      </c>
      <c r="W545" s="118">
        <f t="shared" si="114"/>
        <v>0</v>
      </c>
      <c r="X545" s="118">
        <f t="shared" si="114"/>
        <v>0</v>
      </c>
      <c r="Y545" s="118">
        <f t="shared" si="115"/>
        <v>1.0054054054054054</v>
      </c>
    </row>
    <row r="546" spans="1:25" x14ac:dyDescent="0.3">
      <c r="A546" s="116" t="str">
        <f>IF(Inputs!$A42="","",Inputs!$A42)</f>
        <v>TA23011-0100R</v>
      </c>
      <c r="B546" s="116"/>
      <c r="C546" s="116"/>
      <c r="D546" s="118">
        <f t="shared" si="113"/>
        <v>3.2432432432432434E-2</v>
      </c>
      <c r="E546" s="118">
        <f t="shared" si="113"/>
        <v>2.1621621621621623E-2</v>
      </c>
      <c r="F546" s="118">
        <f t="shared" si="113"/>
        <v>0</v>
      </c>
      <c r="G546" s="118">
        <f t="shared" si="113"/>
        <v>0</v>
      </c>
      <c r="H546" s="118">
        <f t="shared" si="113"/>
        <v>0</v>
      </c>
      <c r="I546" s="118">
        <f t="shared" si="113"/>
        <v>0</v>
      </c>
      <c r="J546" s="118">
        <f t="shared" si="113"/>
        <v>0</v>
      </c>
      <c r="K546" s="118">
        <f t="shared" si="113"/>
        <v>0</v>
      </c>
      <c r="L546" s="118">
        <f t="shared" si="113"/>
        <v>0</v>
      </c>
      <c r="M546" s="118">
        <f t="shared" si="113"/>
        <v>0</v>
      </c>
      <c r="N546" s="118">
        <f t="shared" si="114"/>
        <v>0</v>
      </c>
      <c r="O546" s="118">
        <f t="shared" si="114"/>
        <v>0</v>
      </c>
      <c r="P546" s="118">
        <f t="shared" si="114"/>
        <v>0</v>
      </c>
      <c r="Q546" s="118">
        <f t="shared" si="114"/>
        <v>0</v>
      </c>
      <c r="R546" s="118">
        <f t="shared" si="114"/>
        <v>0</v>
      </c>
      <c r="S546" s="118">
        <f t="shared" si="114"/>
        <v>0</v>
      </c>
      <c r="T546" s="118">
        <f t="shared" si="114"/>
        <v>0</v>
      </c>
      <c r="U546" s="118">
        <f t="shared" si="114"/>
        <v>0</v>
      </c>
      <c r="V546" s="118">
        <f t="shared" si="114"/>
        <v>0</v>
      </c>
      <c r="W546" s="118">
        <f t="shared" si="114"/>
        <v>0</v>
      </c>
      <c r="X546" s="118">
        <f t="shared" si="114"/>
        <v>0</v>
      </c>
      <c r="Y546" s="118">
        <f t="shared" si="115"/>
        <v>5.4054054054054057E-2</v>
      </c>
    </row>
    <row r="547" spans="1:25" x14ac:dyDescent="0.3">
      <c r="A547" s="116" t="str">
        <f>IF(Inputs!$A43="","",Inputs!$A43)</f>
        <v>AL25148-0100D</v>
      </c>
      <c r="B547" s="116"/>
      <c r="C547" s="116"/>
      <c r="D547" s="118">
        <f t="shared" si="113"/>
        <v>0</v>
      </c>
      <c r="E547" s="118">
        <f t="shared" si="113"/>
        <v>0</v>
      </c>
      <c r="F547" s="118">
        <f t="shared" si="113"/>
        <v>0</v>
      </c>
      <c r="G547" s="118">
        <f t="shared" si="113"/>
        <v>0</v>
      </c>
      <c r="H547" s="118">
        <f t="shared" si="113"/>
        <v>0</v>
      </c>
      <c r="I547" s="118">
        <f t="shared" si="113"/>
        <v>0</v>
      </c>
      <c r="J547" s="118">
        <f t="shared" si="113"/>
        <v>0</v>
      </c>
      <c r="K547" s="118">
        <f t="shared" si="113"/>
        <v>0</v>
      </c>
      <c r="L547" s="118">
        <f t="shared" si="113"/>
        <v>0</v>
      </c>
      <c r="M547" s="118">
        <f t="shared" si="113"/>
        <v>0</v>
      </c>
      <c r="N547" s="118">
        <f t="shared" si="114"/>
        <v>0</v>
      </c>
      <c r="O547" s="118">
        <f t="shared" si="114"/>
        <v>0</v>
      </c>
      <c r="P547" s="118">
        <f t="shared" si="114"/>
        <v>0</v>
      </c>
      <c r="Q547" s="118">
        <f t="shared" si="114"/>
        <v>0</v>
      </c>
      <c r="R547" s="118">
        <f t="shared" si="114"/>
        <v>0</v>
      </c>
      <c r="S547" s="118">
        <f t="shared" si="114"/>
        <v>0</v>
      </c>
      <c r="T547" s="118">
        <f t="shared" si="114"/>
        <v>0</v>
      </c>
      <c r="U547" s="118">
        <f t="shared" si="114"/>
        <v>0</v>
      </c>
      <c r="V547" s="118">
        <f t="shared" si="114"/>
        <v>0</v>
      </c>
      <c r="W547" s="118">
        <f t="shared" si="114"/>
        <v>0</v>
      </c>
      <c r="X547" s="118">
        <f t="shared" si="114"/>
        <v>0</v>
      </c>
      <c r="Y547" s="118">
        <f t="shared" si="115"/>
        <v>0</v>
      </c>
    </row>
    <row r="548" spans="1:25" x14ac:dyDescent="0.3">
      <c r="A548" s="116" t="str">
        <f>IF(Inputs!$A44="","",Inputs!$A44)</f>
        <v>Chargable Proposals 26</v>
      </c>
      <c r="B548" s="116"/>
      <c r="C548" s="116"/>
      <c r="D548" s="118">
        <f t="shared" si="113"/>
        <v>0</v>
      </c>
      <c r="E548" s="118">
        <f t="shared" si="113"/>
        <v>0</v>
      </c>
      <c r="F548" s="118">
        <f t="shared" si="113"/>
        <v>0</v>
      </c>
      <c r="G548" s="118">
        <f t="shared" si="113"/>
        <v>0</v>
      </c>
      <c r="H548" s="118">
        <f t="shared" si="113"/>
        <v>0</v>
      </c>
      <c r="I548" s="118">
        <f t="shared" si="113"/>
        <v>0</v>
      </c>
      <c r="J548" s="118">
        <f t="shared" si="113"/>
        <v>0</v>
      </c>
      <c r="K548" s="118">
        <f t="shared" si="113"/>
        <v>0</v>
      </c>
      <c r="L548" s="118">
        <f t="shared" si="113"/>
        <v>0</v>
      </c>
      <c r="M548" s="118">
        <f t="shared" si="113"/>
        <v>0.14594594594594595</v>
      </c>
      <c r="N548" s="118">
        <f t="shared" si="114"/>
        <v>0.18513513513513513</v>
      </c>
      <c r="O548" s="118">
        <f t="shared" si="114"/>
        <v>0</v>
      </c>
      <c r="P548" s="118">
        <f t="shared" si="114"/>
        <v>0</v>
      </c>
      <c r="Q548" s="118">
        <f t="shared" si="114"/>
        <v>0</v>
      </c>
      <c r="R548" s="118">
        <f t="shared" si="114"/>
        <v>0</v>
      </c>
      <c r="S548" s="118">
        <f t="shared" si="114"/>
        <v>0</v>
      </c>
      <c r="T548" s="118">
        <f t="shared" si="114"/>
        <v>0</v>
      </c>
      <c r="U548" s="118">
        <f t="shared" si="114"/>
        <v>0</v>
      </c>
      <c r="V548" s="118">
        <f t="shared" si="114"/>
        <v>0</v>
      </c>
      <c r="W548" s="118">
        <f t="shared" si="114"/>
        <v>0</v>
      </c>
      <c r="X548" s="118">
        <f t="shared" si="114"/>
        <v>0</v>
      </c>
      <c r="Y548" s="118">
        <f t="shared" si="115"/>
        <v>0.33108108108108109</v>
      </c>
    </row>
    <row r="549" spans="1:25" x14ac:dyDescent="0.3">
      <c r="A549" s="116" t="str">
        <f>IF(Inputs!$A45="","",Inputs!$A45)</f>
        <v/>
      </c>
      <c r="B549" s="116"/>
      <c r="C549" s="116"/>
      <c r="D549" s="118">
        <f t="shared" si="113"/>
        <v>0</v>
      </c>
      <c r="E549" s="118">
        <f t="shared" si="113"/>
        <v>0</v>
      </c>
      <c r="F549" s="118">
        <f t="shared" si="113"/>
        <v>0</v>
      </c>
      <c r="G549" s="118">
        <f t="shared" si="113"/>
        <v>0</v>
      </c>
      <c r="H549" s="118">
        <f t="shared" si="113"/>
        <v>0</v>
      </c>
      <c r="I549" s="118">
        <f t="shared" si="113"/>
        <v>0</v>
      </c>
      <c r="J549" s="118">
        <f t="shared" si="113"/>
        <v>0</v>
      </c>
      <c r="K549" s="118">
        <f t="shared" si="113"/>
        <v>0</v>
      </c>
      <c r="L549" s="118">
        <f t="shared" si="113"/>
        <v>0</v>
      </c>
      <c r="M549" s="118">
        <f t="shared" si="113"/>
        <v>0</v>
      </c>
      <c r="N549" s="118">
        <f t="shared" si="114"/>
        <v>0</v>
      </c>
      <c r="O549" s="118">
        <f t="shared" si="114"/>
        <v>0</v>
      </c>
      <c r="P549" s="118">
        <f t="shared" si="114"/>
        <v>0</v>
      </c>
      <c r="Q549" s="118">
        <f t="shared" si="114"/>
        <v>0</v>
      </c>
      <c r="R549" s="118">
        <f t="shared" si="114"/>
        <v>0</v>
      </c>
      <c r="S549" s="118">
        <f t="shared" si="114"/>
        <v>0</v>
      </c>
      <c r="T549" s="118">
        <f t="shared" si="114"/>
        <v>0</v>
      </c>
      <c r="U549" s="118">
        <f t="shared" si="114"/>
        <v>0</v>
      </c>
      <c r="V549" s="118">
        <f t="shared" si="114"/>
        <v>0</v>
      </c>
      <c r="W549" s="118">
        <f t="shared" si="114"/>
        <v>0</v>
      </c>
      <c r="X549" s="118">
        <f t="shared" si="114"/>
        <v>0</v>
      </c>
      <c r="Y549" s="118">
        <f t="shared" si="115"/>
        <v>0</v>
      </c>
    </row>
    <row r="550" spans="1:25" x14ac:dyDescent="0.3">
      <c r="A550" s="116" t="str">
        <f>IF(Inputs!$A46="","",Inputs!$A46)</f>
        <v>Proposals 26</v>
      </c>
      <c r="B550" s="116"/>
      <c r="C550" s="116"/>
      <c r="D550" s="118">
        <f t="shared" ref="D550:M559" si="116">IF($A550="",0,SUMIF($A$265:$A$504,$A550,D$265:D$504))</f>
        <v>0</v>
      </c>
      <c r="E550" s="118">
        <f t="shared" si="116"/>
        <v>0</v>
      </c>
      <c r="F550" s="118">
        <f t="shared" si="116"/>
        <v>0</v>
      </c>
      <c r="G550" s="118">
        <f t="shared" si="116"/>
        <v>0</v>
      </c>
      <c r="H550" s="118">
        <f t="shared" si="116"/>
        <v>0</v>
      </c>
      <c r="I550" s="118">
        <f t="shared" si="116"/>
        <v>0</v>
      </c>
      <c r="J550" s="118">
        <f t="shared" si="116"/>
        <v>0</v>
      </c>
      <c r="K550" s="118">
        <f t="shared" si="116"/>
        <v>0</v>
      </c>
      <c r="L550" s="118">
        <f t="shared" si="116"/>
        <v>0</v>
      </c>
      <c r="M550" s="118">
        <f t="shared" si="116"/>
        <v>7.0270270270270274E-2</v>
      </c>
      <c r="N550" s="118">
        <f t="shared" ref="N550:X559" si="117">IF($A550="",0,SUMIF($A$265:$A$504,$A550,N$265:N$504))</f>
        <v>0</v>
      </c>
      <c r="O550" s="118">
        <f t="shared" si="117"/>
        <v>0</v>
      </c>
      <c r="P550" s="118">
        <f t="shared" si="117"/>
        <v>0</v>
      </c>
      <c r="Q550" s="118">
        <f t="shared" si="117"/>
        <v>0</v>
      </c>
      <c r="R550" s="118">
        <f t="shared" si="117"/>
        <v>0</v>
      </c>
      <c r="S550" s="118">
        <f t="shared" si="117"/>
        <v>0</v>
      </c>
      <c r="T550" s="118">
        <f t="shared" si="117"/>
        <v>0</v>
      </c>
      <c r="U550" s="118">
        <f t="shared" si="117"/>
        <v>0</v>
      </c>
      <c r="V550" s="118">
        <f t="shared" si="117"/>
        <v>0</v>
      </c>
      <c r="W550" s="118">
        <f t="shared" si="117"/>
        <v>0</v>
      </c>
      <c r="X550" s="118">
        <f t="shared" si="117"/>
        <v>0</v>
      </c>
      <c r="Y550" s="118">
        <f t="shared" si="115"/>
        <v>7.0270270270270274E-2</v>
      </c>
    </row>
    <row r="551" spans="1:25" x14ac:dyDescent="0.3">
      <c r="A551" s="116" t="str">
        <f>IF(Inputs!$A47="","",Inputs!$A47)</f>
        <v/>
      </c>
      <c r="B551" s="116"/>
      <c r="C551" s="116"/>
      <c r="D551" s="118">
        <f t="shared" si="116"/>
        <v>0</v>
      </c>
      <c r="E551" s="118">
        <f t="shared" si="116"/>
        <v>0</v>
      </c>
      <c r="F551" s="118">
        <f t="shared" si="116"/>
        <v>0</v>
      </c>
      <c r="G551" s="118">
        <f t="shared" si="116"/>
        <v>0</v>
      </c>
      <c r="H551" s="118">
        <f t="shared" si="116"/>
        <v>0</v>
      </c>
      <c r="I551" s="118">
        <f t="shared" si="116"/>
        <v>0</v>
      </c>
      <c r="J551" s="118">
        <f t="shared" si="116"/>
        <v>0</v>
      </c>
      <c r="K551" s="118">
        <f t="shared" si="116"/>
        <v>0</v>
      </c>
      <c r="L551" s="118">
        <f t="shared" si="116"/>
        <v>0</v>
      </c>
      <c r="M551" s="118">
        <f t="shared" si="116"/>
        <v>0</v>
      </c>
      <c r="N551" s="118">
        <f t="shared" si="117"/>
        <v>0</v>
      </c>
      <c r="O551" s="118">
        <f t="shared" si="117"/>
        <v>0</v>
      </c>
      <c r="P551" s="118">
        <f t="shared" si="117"/>
        <v>0</v>
      </c>
      <c r="Q551" s="118">
        <f t="shared" si="117"/>
        <v>0</v>
      </c>
      <c r="R551" s="118">
        <f t="shared" si="117"/>
        <v>0</v>
      </c>
      <c r="S551" s="118">
        <f t="shared" si="117"/>
        <v>0</v>
      </c>
      <c r="T551" s="118">
        <f t="shared" si="117"/>
        <v>0</v>
      </c>
      <c r="U551" s="118">
        <f t="shared" si="117"/>
        <v>0</v>
      </c>
      <c r="V551" s="118">
        <f t="shared" si="117"/>
        <v>0</v>
      </c>
      <c r="W551" s="118">
        <f t="shared" si="117"/>
        <v>0</v>
      </c>
      <c r="X551" s="118">
        <f t="shared" si="117"/>
        <v>0</v>
      </c>
      <c r="Y551" s="118">
        <f t="shared" si="115"/>
        <v>0</v>
      </c>
    </row>
    <row r="552" spans="1:25" x14ac:dyDescent="0.3">
      <c r="A552" s="116" t="str">
        <f>IF(Inputs!$A48="","",Inputs!$A48)</f>
        <v/>
      </c>
      <c r="B552" s="116"/>
      <c r="C552" s="116"/>
      <c r="D552" s="118">
        <f t="shared" si="116"/>
        <v>0</v>
      </c>
      <c r="E552" s="118">
        <f t="shared" si="116"/>
        <v>0</v>
      </c>
      <c r="F552" s="118">
        <f t="shared" si="116"/>
        <v>0</v>
      </c>
      <c r="G552" s="118">
        <f t="shared" si="116"/>
        <v>0</v>
      </c>
      <c r="H552" s="118">
        <f t="shared" si="116"/>
        <v>0</v>
      </c>
      <c r="I552" s="118">
        <f t="shared" si="116"/>
        <v>0</v>
      </c>
      <c r="J552" s="118">
        <f t="shared" si="116"/>
        <v>0</v>
      </c>
      <c r="K552" s="118">
        <f t="shared" si="116"/>
        <v>0</v>
      </c>
      <c r="L552" s="118">
        <f t="shared" si="116"/>
        <v>0</v>
      </c>
      <c r="M552" s="118">
        <f t="shared" si="116"/>
        <v>0</v>
      </c>
      <c r="N552" s="118">
        <f t="shared" si="117"/>
        <v>0</v>
      </c>
      <c r="O552" s="118">
        <f t="shared" si="117"/>
        <v>0</v>
      </c>
      <c r="P552" s="118">
        <f t="shared" si="117"/>
        <v>0</v>
      </c>
      <c r="Q552" s="118">
        <f t="shared" si="117"/>
        <v>0</v>
      </c>
      <c r="R552" s="118">
        <f t="shared" si="117"/>
        <v>0</v>
      </c>
      <c r="S552" s="118">
        <f t="shared" si="117"/>
        <v>0</v>
      </c>
      <c r="T552" s="118">
        <f t="shared" si="117"/>
        <v>0</v>
      </c>
      <c r="U552" s="118">
        <f t="shared" si="117"/>
        <v>0</v>
      </c>
      <c r="V552" s="118">
        <f t="shared" si="117"/>
        <v>0</v>
      </c>
      <c r="W552" s="118">
        <f t="shared" si="117"/>
        <v>0</v>
      </c>
      <c r="X552" s="118">
        <f t="shared" si="117"/>
        <v>0</v>
      </c>
      <c r="Y552" s="118">
        <f t="shared" si="115"/>
        <v>0</v>
      </c>
    </row>
    <row r="553" spans="1:25" x14ac:dyDescent="0.3">
      <c r="A553" s="116" t="str">
        <f>IF(Inputs!$A49="","",Inputs!$A49)</f>
        <v/>
      </c>
      <c r="B553" s="116"/>
      <c r="C553" s="116"/>
      <c r="D553" s="118">
        <f t="shared" si="116"/>
        <v>0</v>
      </c>
      <c r="E553" s="118">
        <f t="shared" si="116"/>
        <v>0</v>
      </c>
      <c r="F553" s="118">
        <f t="shared" si="116"/>
        <v>0</v>
      </c>
      <c r="G553" s="118">
        <f t="shared" si="116"/>
        <v>0</v>
      </c>
      <c r="H553" s="118">
        <f t="shared" si="116"/>
        <v>0</v>
      </c>
      <c r="I553" s="118">
        <f t="shared" si="116"/>
        <v>0</v>
      </c>
      <c r="J553" s="118">
        <f t="shared" si="116"/>
        <v>0</v>
      </c>
      <c r="K553" s="118">
        <f t="shared" si="116"/>
        <v>0</v>
      </c>
      <c r="L553" s="118">
        <f t="shared" si="116"/>
        <v>0</v>
      </c>
      <c r="M553" s="118">
        <f t="shared" si="116"/>
        <v>0</v>
      </c>
      <c r="N553" s="118">
        <f t="shared" si="117"/>
        <v>0</v>
      </c>
      <c r="O553" s="118">
        <f t="shared" si="117"/>
        <v>0</v>
      </c>
      <c r="P553" s="118">
        <f t="shared" si="117"/>
        <v>0</v>
      </c>
      <c r="Q553" s="118">
        <f t="shared" si="117"/>
        <v>0</v>
      </c>
      <c r="R553" s="118">
        <f t="shared" si="117"/>
        <v>0</v>
      </c>
      <c r="S553" s="118">
        <f t="shared" si="117"/>
        <v>0</v>
      </c>
      <c r="T553" s="118">
        <f t="shared" si="117"/>
        <v>0</v>
      </c>
      <c r="U553" s="118">
        <f t="shared" si="117"/>
        <v>0</v>
      </c>
      <c r="V553" s="118">
        <f t="shared" si="117"/>
        <v>0</v>
      </c>
      <c r="W553" s="118">
        <f t="shared" si="117"/>
        <v>0</v>
      </c>
      <c r="X553" s="118">
        <f t="shared" si="117"/>
        <v>0</v>
      </c>
      <c r="Y553" s="118">
        <f t="shared" si="115"/>
        <v>0</v>
      </c>
    </row>
    <row r="554" spans="1:25" x14ac:dyDescent="0.3">
      <c r="A554" s="116" t="str">
        <f>IF(Inputs!$A50="","",Inputs!$A50)</f>
        <v/>
      </c>
      <c r="B554" s="116"/>
      <c r="C554" s="116"/>
      <c r="D554" s="118">
        <f t="shared" si="116"/>
        <v>0</v>
      </c>
      <c r="E554" s="118">
        <f t="shared" si="116"/>
        <v>0</v>
      </c>
      <c r="F554" s="118">
        <f t="shared" si="116"/>
        <v>0</v>
      </c>
      <c r="G554" s="118">
        <f t="shared" si="116"/>
        <v>0</v>
      </c>
      <c r="H554" s="118">
        <f t="shared" si="116"/>
        <v>0</v>
      </c>
      <c r="I554" s="118">
        <f t="shared" si="116"/>
        <v>0</v>
      </c>
      <c r="J554" s="118">
        <f t="shared" si="116"/>
        <v>0</v>
      </c>
      <c r="K554" s="118">
        <f t="shared" si="116"/>
        <v>0</v>
      </c>
      <c r="L554" s="118">
        <f t="shared" si="116"/>
        <v>0</v>
      </c>
      <c r="M554" s="118">
        <f t="shared" si="116"/>
        <v>0</v>
      </c>
      <c r="N554" s="118">
        <f t="shared" si="117"/>
        <v>0</v>
      </c>
      <c r="O554" s="118">
        <f t="shared" si="117"/>
        <v>0</v>
      </c>
      <c r="P554" s="118">
        <f t="shared" si="117"/>
        <v>0</v>
      </c>
      <c r="Q554" s="118">
        <f t="shared" si="117"/>
        <v>0</v>
      </c>
      <c r="R554" s="118">
        <f t="shared" si="117"/>
        <v>0</v>
      </c>
      <c r="S554" s="118">
        <f t="shared" si="117"/>
        <v>0</v>
      </c>
      <c r="T554" s="118">
        <f t="shared" si="117"/>
        <v>0</v>
      </c>
      <c r="U554" s="118">
        <f t="shared" si="117"/>
        <v>0</v>
      </c>
      <c r="V554" s="118">
        <f t="shared" si="117"/>
        <v>0</v>
      </c>
      <c r="W554" s="118">
        <f t="shared" si="117"/>
        <v>0</v>
      </c>
      <c r="X554" s="118">
        <f t="shared" si="117"/>
        <v>0</v>
      </c>
      <c r="Y554" s="118">
        <f t="shared" si="115"/>
        <v>0</v>
      </c>
    </row>
    <row r="555" spans="1:25" x14ac:dyDescent="0.3">
      <c r="A555" s="116" t="str">
        <f>IF(Inputs!$A51="","",Inputs!$A51)</f>
        <v/>
      </c>
      <c r="B555" s="116"/>
      <c r="C555" s="116"/>
      <c r="D555" s="118">
        <f t="shared" si="116"/>
        <v>0</v>
      </c>
      <c r="E555" s="118">
        <f t="shared" si="116"/>
        <v>0</v>
      </c>
      <c r="F555" s="118">
        <f t="shared" si="116"/>
        <v>0</v>
      </c>
      <c r="G555" s="118">
        <f t="shared" si="116"/>
        <v>0</v>
      </c>
      <c r="H555" s="118">
        <f t="shared" si="116"/>
        <v>0</v>
      </c>
      <c r="I555" s="118">
        <f t="shared" si="116"/>
        <v>0</v>
      </c>
      <c r="J555" s="118">
        <f t="shared" si="116"/>
        <v>0</v>
      </c>
      <c r="K555" s="118">
        <f t="shared" si="116"/>
        <v>0</v>
      </c>
      <c r="L555" s="118">
        <f t="shared" si="116"/>
        <v>0</v>
      </c>
      <c r="M555" s="118">
        <f t="shared" si="116"/>
        <v>0</v>
      </c>
      <c r="N555" s="118">
        <f t="shared" si="117"/>
        <v>0</v>
      </c>
      <c r="O555" s="118">
        <f t="shared" si="117"/>
        <v>0</v>
      </c>
      <c r="P555" s="118">
        <f t="shared" si="117"/>
        <v>0</v>
      </c>
      <c r="Q555" s="118">
        <f t="shared" si="117"/>
        <v>0</v>
      </c>
      <c r="R555" s="118">
        <f t="shared" si="117"/>
        <v>0</v>
      </c>
      <c r="S555" s="118">
        <f t="shared" si="117"/>
        <v>0</v>
      </c>
      <c r="T555" s="118">
        <f t="shared" si="117"/>
        <v>0</v>
      </c>
      <c r="U555" s="118">
        <f t="shared" si="117"/>
        <v>0</v>
      </c>
      <c r="V555" s="118">
        <f t="shared" si="117"/>
        <v>0</v>
      </c>
      <c r="W555" s="118">
        <f t="shared" si="117"/>
        <v>0</v>
      </c>
      <c r="X555" s="118">
        <f t="shared" si="117"/>
        <v>0</v>
      </c>
      <c r="Y555" s="118">
        <f t="shared" si="115"/>
        <v>0</v>
      </c>
    </row>
    <row r="556" spans="1:25" x14ac:dyDescent="0.3">
      <c r="A556" s="116" t="str">
        <f>IF(Inputs!$A52="","",Inputs!$A52)</f>
        <v/>
      </c>
      <c r="B556" s="116"/>
      <c r="C556" s="116"/>
      <c r="D556" s="118">
        <f t="shared" si="116"/>
        <v>0</v>
      </c>
      <c r="E556" s="118">
        <f t="shared" si="116"/>
        <v>0</v>
      </c>
      <c r="F556" s="118">
        <f t="shared" si="116"/>
        <v>0</v>
      </c>
      <c r="G556" s="118">
        <f t="shared" si="116"/>
        <v>0</v>
      </c>
      <c r="H556" s="118">
        <f t="shared" si="116"/>
        <v>0</v>
      </c>
      <c r="I556" s="118">
        <f t="shared" si="116"/>
        <v>0</v>
      </c>
      <c r="J556" s="118">
        <f t="shared" si="116"/>
        <v>0</v>
      </c>
      <c r="K556" s="118">
        <f t="shared" si="116"/>
        <v>0</v>
      </c>
      <c r="L556" s="118">
        <f t="shared" si="116"/>
        <v>0</v>
      </c>
      <c r="M556" s="118">
        <f t="shared" si="116"/>
        <v>0</v>
      </c>
      <c r="N556" s="118">
        <f t="shared" si="117"/>
        <v>0</v>
      </c>
      <c r="O556" s="118">
        <f t="shared" si="117"/>
        <v>0</v>
      </c>
      <c r="P556" s="118">
        <f t="shared" si="117"/>
        <v>0</v>
      </c>
      <c r="Q556" s="118">
        <f t="shared" si="117"/>
        <v>0</v>
      </c>
      <c r="R556" s="118">
        <f t="shared" si="117"/>
        <v>0</v>
      </c>
      <c r="S556" s="118">
        <f t="shared" si="117"/>
        <v>0</v>
      </c>
      <c r="T556" s="118">
        <f t="shared" si="117"/>
        <v>0</v>
      </c>
      <c r="U556" s="118">
        <f t="shared" si="117"/>
        <v>0</v>
      </c>
      <c r="V556" s="118">
        <f t="shared" si="117"/>
        <v>0</v>
      </c>
      <c r="W556" s="118">
        <f t="shared" si="117"/>
        <v>0</v>
      </c>
      <c r="X556" s="118">
        <f t="shared" si="117"/>
        <v>0</v>
      </c>
      <c r="Y556" s="118">
        <f t="shared" si="115"/>
        <v>0</v>
      </c>
    </row>
    <row r="557" spans="1:25" x14ac:dyDescent="0.3">
      <c r="A557" s="116" t="str">
        <f>IF(Inputs!$A53="","",Inputs!$A53)</f>
        <v/>
      </c>
      <c r="B557" s="116"/>
      <c r="C557" s="116"/>
      <c r="D557" s="118">
        <f t="shared" si="116"/>
        <v>0</v>
      </c>
      <c r="E557" s="118">
        <f t="shared" si="116"/>
        <v>0</v>
      </c>
      <c r="F557" s="118">
        <f t="shared" si="116"/>
        <v>0</v>
      </c>
      <c r="G557" s="118">
        <f t="shared" si="116"/>
        <v>0</v>
      </c>
      <c r="H557" s="118">
        <f t="shared" si="116"/>
        <v>0</v>
      </c>
      <c r="I557" s="118">
        <f t="shared" si="116"/>
        <v>0</v>
      </c>
      <c r="J557" s="118">
        <f t="shared" si="116"/>
        <v>0</v>
      </c>
      <c r="K557" s="118">
        <f t="shared" si="116"/>
        <v>0</v>
      </c>
      <c r="L557" s="118">
        <f t="shared" si="116"/>
        <v>0</v>
      </c>
      <c r="M557" s="118">
        <f t="shared" si="116"/>
        <v>0</v>
      </c>
      <c r="N557" s="118">
        <f t="shared" si="117"/>
        <v>0</v>
      </c>
      <c r="O557" s="118">
        <f t="shared" si="117"/>
        <v>0</v>
      </c>
      <c r="P557" s="118">
        <f t="shared" si="117"/>
        <v>0</v>
      </c>
      <c r="Q557" s="118">
        <f t="shared" si="117"/>
        <v>0</v>
      </c>
      <c r="R557" s="118">
        <f t="shared" si="117"/>
        <v>0</v>
      </c>
      <c r="S557" s="118">
        <f t="shared" si="117"/>
        <v>0</v>
      </c>
      <c r="T557" s="118">
        <f t="shared" si="117"/>
        <v>0</v>
      </c>
      <c r="U557" s="118">
        <f t="shared" si="117"/>
        <v>0</v>
      </c>
      <c r="V557" s="118">
        <f t="shared" si="117"/>
        <v>0</v>
      </c>
      <c r="W557" s="118">
        <f t="shared" si="117"/>
        <v>0</v>
      </c>
      <c r="X557" s="118">
        <f t="shared" si="117"/>
        <v>0</v>
      </c>
      <c r="Y557" s="118">
        <f t="shared" si="115"/>
        <v>0</v>
      </c>
    </row>
    <row r="558" spans="1:25" x14ac:dyDescent="0.3">
      <c r="A558" s="116" t="str">
        <f>IF(Inputs!$A54="","",Inputs!$A54)</f>
        <v/>
      </c>
      <c r="B558" s="116"/>
      <c r="C558" s="116"/>
      <c r="D558" s="118">
        <f t="shared" si="116"/>
        <v>0</v>
      </c>
      <c r="E558" s="118">
        <f t="shared" si="116"/>
        <v>0</v>
      </c>
      <c r="F558" s="118">
        <f t="shared" si="116"/>
        <v>0</v>
      </c>
      <c r="G558" s="118">
        <f t="shared" si="116"/>
        <v>0</v>
      </c>
      <c r="H558" s="118">
        <f t="shared" si="116"/>
        <v>0</v>
      </c>
      <c r="I558" s="118">
        <f t="shared" si="116"/>
        <v>0</v>
      </c>
      <c r="J558" s="118">
        <f t="shared" si="116"/>
        <v>0</v>
      </c>
      <c r="K558" s="118">
        <f t="shared" si="116"/>
        <v>0</v>
      </c>
      <c r="L558" s="118">
        <f t="shared" si="116"/>
        <v>0</v>
      </c>
      <c r="M558" s="118">
        <f t="shared" si="116"/>
        <v>0</v>
      </c>
      <c r="N558" s="118">
        <f t="shared" si="117"/>
        <v>0</v>
      </c>
      <c r="O558" s="118">
        <f t="shared" si="117"/>
        <v>0</v>
      </c>
      <c r="P558" s="118">
        <f t="shared" si="117"/>
        <v>0</v>
      </c>
      <c r="Q558" s="118">
        <f t="shared" si="117"/>
        <v>0</v>
      </c>
      <c r="R558" s="118">
        <f t="shared" si="117"/>
        <v>0</v>
      </c>
      <c r="S558" s="118">
        <f t="shared" si="117"/>
        <v>0</v>
      </c>
      <c r="T558" s="118">
        <f t="shared" si="117"/>
        <v>0</v>
      </c>
      <c r="U558" s="118">
        <f t="shared" si="117"/>
        <v>0</v>
      </c>
      <c r="V558" s="118">
        <f t="shared" si="117"/>
        <v>0</v>
      </c>
      <c r="W558" s="118">
        <f t="shared" si="117"/>
        <v>0</v>
      </c>
      <c r="X558" s="118">
        <f t="shared" si="117"/>
        <v>0</v>
      </c>
      <c r="Y558" s="118">
        <f t="shared" si="115"/>
        <v>0</v>
      </c>
    </row>
    <row r="559" spans="1:25" x14ac:dyDescent="0.3">
      <c r="A559" s="116" t="str">
        <f>IF(Inputs!$A55="","",Inputs!$A55)</f>
        <v/>
      </c>
      <c r="B559" s="116"/>
      <c r="C559" s="116"/>
      <c r="D559" s="118">
        <f t="shared" si="116"/>
        <v>0</v>
      </c>
      <c r="E559" s="118">
        <f t="shared" si="116"/>
        <v>0</v>
      </c>
      <c r="F559" s="118">
        <f t="shared" si="116"/>
        <v>0</v>
      </c>
      <c r="G559" s="118">
        <f t="shared" si="116"/>
        <v>0</v>
      </c>
      <c r="H559" s="118">
        <f t="shared" si="116"/>
        <v>0</v>
      </c>
      <c r="I559" s="118">
        <f t="shared" si="116"/>
        <v>0</v>
      </c>
      <c r="J559" s="118">
        <f t="shared" si="116"/>
        <v>0</v>
      </c>
      <c r="K559" s="118">
        <f t="shared" si="116"/>
        <v>0</v>
      </c>
      <c r="L559" s="118">
        <f t="shared" si="116"/>
        <v>0</v>
      </c>
      <c r="M559" s="118">
        <f t="shared" si="116"/>
        <v>0</v>
      </c>
      <c r="N559" s="118">
        <f t="shared" si="117"/>
        <v>0</v>
      </c>
      <c r="O559" s="118">
        <f t="shared" si="117"/>
        <v>0</v>
      </c>
      <c r="P559" s="118">
        <f t="shared" si="117"/>
        <v>0</v>
      </c>
      <c r="Q559" s="118">
        <f t="shared" si="117"/>
        <v>0</v>
      </c>
      <c r="R559" s="118">
        <f t="shared" si="117"/>
        <v>0</v>
      </c>
      <c r="S559" s="118">
        <f t="shared" si="117"/>
        <v>0</v>
      </c>
      <c r="T559" s="118">
        <f t="shared" si="117"/>
        <v>0</v>
      </c>
      <c r="U559" s="118">
        <f t="shared" si="117"/>
        <v>0</v>
      </c>
      <c r="V559" s="118">
        <f t="shared" si="117"/>
        <v>0</v>
      </c>
      <c r="W559" s="118">
        <f t="shared" si="117"/>
        <v>0</v>
      </c>
      <c r="X559" s="118">
        <f t="shared" si="117"/>
        <v>0</v>
      </c>
      <c r="Y559" s="118">
        <f t="shared" si="115"/>
        <v>0</v>
      </c>
    </row>
    <row r="560" spans="1:25" x14ac:dyDescent="0.3">
      <c r="A560" s="116" t="str">
        <f>IF(Inputs!$A56="","",Inputs!$A56)</f>
        <v/>
      </c>
      <c r="B560" s="116"/>
      <c r="C560" s="116"/>
      <c r="D560" s="118">
        <f t="shared" ref="D560:M569" si="118">IF($A560="",0,SUMIF($A$265:$A$504,$A560,D$265:D$504))</f>
        <v>0</v>
      </c>
      <c r="E560" s="118">
        <f t="shared" si="118"/>
        <v>0</v>
      </c>
      <c r="F560" s="118">
        <f t="shared" si="118"/>
        <v>0</v>
      </c>
      <c r="G560" s="118">
        <f t="shared" si="118"/>
        <v>0</v>
      </c>
      <c r="H560" s="118">
        <f t="shared" si="118"/>
        <v>0</v>
      </c>
      <c r="I560" s="118">
        <f t="shared" si="118"/>
        <v>0</v>
      </c>
      <c r="J560" s="118">
        <f t="shared" si="118"/>
        <v>0</v>
      </c>
      <c r="K560" s="118">
        <f t="shared" si="118"/>
        <v>0</v>
      </c>
      <c r="L560" s="118">
        <f t="shared" si="118"/>
        <v>0</v>
      </c>
      <c r="M560" s="118">
        <f t="shared" si="118"/>
        <v>0</v>
      </c>
      <c r="N560" s="118">
        <f t="shared" ref="N560:X569" si="119">IF($A560="",0,SUMIF($A$265:$A$504,$A560,N$265:N$504))</f>
        <v>0</v>
      </c>
      <c r="O560" s="118">
        <f t="shared" si="119"/>
        <v>0</v>
      </c>
      <c r="P560" s="118">
        <f t="shared" si="119"/>
        <v>0</v>
      </c>
      <c r="Q560" s="118">
        <f t="shared" si="119"/>
        <v>0</v>
      </c>
      <c r="R560" s="118">
        <f t="shared" si="119"/>
        <v>0</v>
      </c>
      <c r="S560" s="118">
        <f t="shared" si="119"/>
        <v>0</v>
      </c>
      <c r="T560" s="118">
        <f t="shared" si="119"/>
        <v>0</v>
      </c>
      <c r="U560" s="118">
        <f t="shared" si="119"/>
        <v>0</v>
      </c>
      <c r="V560" s="118">
        <f t="shared" si="119"/>
        <v>0</v>
      </c>
      <c r="W560" s="118">
        <f t="shared" si="119"/>
        <v>0</v>
      </c>
      <c r="X560" s="118">
        <f t="shared" si="119"/>
        <v>0</v>
      </c>
      <c r="Y560" s="118">
        <f t="shared" si="115"/>
        <v>0</v>
      </c>
    </row>
    <row r="561" spans="1:25" x14ac:dyDescent="0.3">
      <c r="A561" s="116" t="str">
        <f>IF(Inputs!$A57="","",Inputs!$A57)</f>
        <v/>
      </c>
      <c r="B561" s="116"/>
      <c r="C561" s="116"/>
      <c r="D561" s="118">
        <f t="shared" si="118"/>
        <v>0</v>
      </c>
      <c r="E561" s="118">
        <f t="shared" si="118"/>
        <v>0</v>
      </c>
      <c r="F561" s="118">
        <f t="shared" si="118"/>
        <v>0</v>
      </c>
      <c r="G561" s="118">
        <f t="shared" si="118"/>
        <v>0</v>
      </c>
      <c r="H561" s="118">
        <f t="shared" si="118"/>
        <v>0</v>
      </c>
      <c r="I561" s="118">
        <f t="shared" si="118"/>
        <v>0</v>
      </c>
      <c r="J561" s="118">
        <f t="shared" si="118"/>
        <v>0</v>
      </c>
      <c r="K561" s="118">
        <f t="shared" si="118"/>
        <v>0</v>
      </c>
      <c r="L561" s="118">
        <f t="shared" si="118"/>
        <v>0</v>
      </c>
      <c r="M561" s="118">
        <f t="shared" si="118"/>
        <v>0</v>
      </c>
      <c r="N561" s="118">
        <f t="shared" si="119"/>
        <v>0</v>
      </c>
      <c r="O561" s="118">
        <f t="shared" si="119"/>
        <v>0</v>
      </c>
      <c r="P561" s="118">
        <f t="shared" si="119"/>
        <v>0</v>
      </c>
      <c r="Q561" s="118">
        <f t="shared" si="119"/>
        <v>0</v>
      </c>
      <c r="R561" s="118">
        <f t="shared" si="119"/>
        <v>0</v>
      </c>
      <c r="S561" s="118">
        <f t="shared" si="119"/>
        <v>0</v>
      </c>
      <c r="T561" s="118">
        <f t="shared" si="119"/>
        <v>0</v>
      </c>
      <c r="U561" s="118">
        <f t="shared" si="119"/>
        <v>0</v>
      </c>
      <c r="V561" s="118">
        <f t="shared" si="119"/>
        <v>0</v>
      </c>
      <c r="W561" s="118">
        <f t="shared" si="119"/>
        <v>0</v>
      </c>
      <c r="X561" s="118">
        <f t="shared" si="119"/>
        <v>0</v>
      </c>
      <c r="Y561" s="118">
        <f t="shared" si="115"/>
        <v>0</v>
      </c>
    </row>
    <row r="562" spans="1:25" x14ac:dyDescent="0.3">
      <c r="A562" s="116" t="str">
        <f>IF(Inputs!$A58="","",Inputs!$A58)</f>
        <v/>
      </c>
      <c r="B562" s="116"/>
      <c r="C562" s="116"/>
      <c r="D562" s="118">
        <f t="shared" si="118"/>
        <v>0</v>
      </c>
      <c r="E562" s="118">
        <f t="shared" si="118"/>
        <v>0</v>
      </c>
      <c r="F562" s="118">
        <f t="shared" si="118"/>
        <v>0</v>
      </c>
      <c r="G562" s="118">
        <f t="shared" si="118"/>
        <v>0</v>
      </c>
      <c r="H562" s="118">
        <f t="shared" si="118"/>
        <v>0</v>
      </c>
      <c r="I562" s="118">
        <f t="shared" si="118"/>
        <v>0</v>
      </c>
      <c r="J562" s="118">
        <f t="shared" si="118"/>
        <v>0</v>
      </c>
      <c r="K562" s="118">
        <f t="shared" si="118"/>
        <v>0</v>
      </c>
      <c r="L562" s="118">
        <f t="shared" si="118"/>
        <v>0</v>
      </c>
      <c r="M562" s="118">
        <f t="shared" si="118"/>
        <v>0</v>
      </c>
      <c r="N562" s="118">
        <f t="shared" si="119"/>
        <v>0</v>
      </c>
      <c r="O562" s="118">
        <f t="shared" si="119"/>
        <v>0</v>
      </c>
      <c r="P562" s="118">
        <f t="shared" si="119"/>
        <v>0</v>
      </c>
      <c r="Q562" s="118">
        <f t="shared" si="119"/>
        <v>0</v>
      </c>
      <c r="R562" s="118">
        <f t="shared" si="119"/>
        <v>0</v>
      </c>
      <c r="S562" s="118">
        <f t="shared" si="119"/>
        <v>0</v>
      </c>
      <c r="T562" s="118">
        <f t="shared" si="119"/>
        <v>0</v>
      </c>
      <c r="U562" s="118">
        <f t="shared" si="119"/>
        <v>0</v>
      </c>
      <c r="V562" s="118">
        <f t="shared" si="119"/>
        <v>0</v>
      </c>
      <c r="W562" s="118">
        <f t="shared" si="119"/>
        <v>0</v>
      </c>
      <c r="X562" s="118">
        <f t="shared" si="119"/>
        <v>0</v>
      </c>
      <c r="Y562" s="118">
        <f t="shared" si="115"/>
        <v>0</v>
      </c>
    </row>
    <row r="563" spans="1:25" x14ac:dyDescent="0.3">
      <c r="A563" s="116" t="str">
        <f>IF(Inputs!$A59="","",Inputs!$A59)</f>
        <v/>
      </c>
      <c r="B563" s="116"/>
      <c r="C563" s="116"/>
      <c r="D563" s="118">
        <f t="shared" si="118"/>
        <v>0</v>
      </c>
      <c r="E563" s="118">
        <f t="shared" si="118"/>
        <v>0</v>
      </c>
      <c r="F563" s="118">
        <f t="shared" si="118"/>
        <v>0</v>
      </c>
      <c r="G563" s="118">
        <f t="shared" si="118"/>
        <v>0</v>
      </c>
      <c r="H563" s="118">
        <f t="shared" si="118"/>
        <v>0</v>
      </c>
      <c r="I563" s="118">
        <f t="shared" si="118"/>
        <v>0</v>
      </c>
      <c r="J563" s="118">
        <f t="shared" si="118"/>
        <v>0</v>
      </c>
      <c r="K563" s="118">
        <f t="shared" si="118"/>
        <v>0</v>
      </c>
      <c r="L563" s="118">
        <f t="shared" si="118"/>
        <v>0</v>
      </c>
      <c r="M563" s="118">
        <f t="shared" si="118"/>
        <v>0</v>
      </c>
      <c r="N563" s="118">
        <f t="shared" si="119"/>
        <v>0</v>
      </c>
      <c r="O563" s="118">
        <f t="shared" si="119"/>
        <v>0</v>
      </c>
      <c r="P563" s="118">
        <f t="shared" si="119"/>
        <v>0</v>
      </c>
      <c r="Q563" s="118">
        <f t="shared" si="119"/>
        <v>0</v>
      </c>
      <c r="R563" s="118">
        <f t="shared" si="119"/>
        <v>0</v>
      </c>
      <c r="S563" s="118">
        <f t="shared" si="119"/>
        <v>0</v>
      </c>
      <c r="T563" s="118">
        <f t="shared" si="119"/>
        <v>0</v>
      </c>
      <c r="U563" s="118">
        <f t="shared" si="119"/>
        <v>0</v>
      </c>
      <c r="V563" s="118">
        <f t="shared" si="119"/>
        <v>0</v>
      </c>
      <c r="W563" s="118">
        <f t="shared" si="119"/>
        <v>0</v>
      </c>
      <c r="X563" s="118">
        <f t="shared" si="119"/>
        <v>0</v>
      </c>
      <c r="Y563" s="118">
        <f t="shared" si="115"/>
        <v>0</v>
      </c>
    </row>
    <row r="564" spans="1:25" x14ac:dyDescent="0.3">
      <c r="A564" s="116" t="str">
        <f>IF(Inputs!$A60="","",Inputs!$A60)</f>
        <v/>
      </c>
      <c r="B564" s="116"/>
      <c r="C564" s="116"/>
      <c r="D564" s="118">
        <f t="shared" si="118"/>
        <v>0</v>
      </c>
      <c r="E564" s="118">
        <f t="shared" si="118"/>
        <v>0</v>
      </c>
      <c r="F564" s="118">
        <f t="shared" si="118"/>
        <v>0</v>
      </c>
      <c r="G564" s="118">
        <f t="shared" si="118"/>
        <v>0</v>
      </c>
      <c r="H564" s="118">
        <f t="shared" si="118"/>
        <v>0</v>
      </c>
      <c r="I564" s="118">
        <f t="shared" si="118"/>
        <v>0</v>
      </c>
      <c r="J564" s="118">
        <f t="shared" si="118"/>
        <v>0</v>
      </c>
      <c r="K564" s="118">
        <f t="shared" si="118"/>
        <v>0</v>
      </c>
      <c r="L564" s="118">
        <f t="shared" si="118"/>
        <v>0</v>
      </c>
      <c r="M564" s="118">
        <f t="shared" si="118"/>
        <v>0</v>
      </c>
      <c r="N564" s="118">
        <f t="shared" si="119"/>
        <v>0</v>
      </c>
      <c r="O564" s="118">
        <f t="shared" si="119"/>
        <v>0</v>
      </c>
      <c r="P564" s="118">
        <f t="shared" si="119"/>
        <v>0</v>
      </c>
      <c r="Q564" s="118">
        <f t="shared" si="119"/>
        <v>0</v>
      </c>
      <c r="R564" s="118">
        <f t="shared" si="119"/>
        <v>0</v>
      </c>
      <c r="S564" s="118">
        <f t="shared" si="119"/>
        <v>0</v>
      </c>
      <c r="T564" s="118">
        <f t="shared" si="119"/>
        <v>0</v>
      </c>
      <c r="U564" s="118">
        <f t="shared" si="119"/>
        <v>0</v>
      </c>
      <c r="V564" s="118">
        <f t="shared" si="119"/>
        <v>0</v>
      </c>
      <c r="W564" s="118">
        <f t="shared" si="119"/>
        <v>0</v>
      </c>
      <c r="X564" s="118">
        <f t="shared" si="119"/>
        <v>0</v>
      </c>
      <c r="Y564" s="118">
        <f t="shared" si="115"/>
        <v>0</v>
      </c>
    </row>
    <row r="565" spans="1:25" x14ac:dyDescent="0.3">
      <c r="A565" s="116" t="str">
        <f>IF(Inputs!$A61="","",Inputs!$A61)</f>
        <v/>
      </c>
      <c r="B565" s="116"/>
      <c r="C565" s="116"/>
      <c r="D565" s="118">
        <f t="shared" si="118"/>
        <v>0</v>
      </c>
      <c r="E565" s="118">
        <f t="shared" si="118"/>
        <v>0</v>
      </c>
      <c r="F565" s="118">
        <f t="shared" si="118"/>
        <v>0</v>
      </c>
      <c r="G565" s="118">
        <f t="shared" si="118"/>
        <v>0</v>
      </c>
      <c r="H565" s="118">
        <f t="shared" si="118"/>
        <v>0</v>
      </c>
      <c r="I565" s="118">
        <f t="shared" si="118"/>
        <v>0</v>
      </c>
      <c r="J565" s="118">
        <f t="shared" si="118"/>
        <v>0</v>
      </c>
      <c r="K565" s="118">
        <f t="shared" si="118"/>
        <v>0</v>
      </c>
      <c r="L565" s="118">
        <f t="shared" si="118"/>
        <v>0</v>
      </c>
      <c r="M565" s="118">
        <f t="shared" si="118"/>
        <v>0</v>
      </c>
      <c r="N565" s="118">
        <f t="shared" si="119"/>
        <v>0</v>
      </c>
      <c r="O565" s="118">
        <f t="shared" si="119"/>
        <v>0</v>
      </c>
      <c r="P565" s="118">
        <f t="shared" si="119"/>
        <v>0</v>
      </c>
      <c r="Q565" s="118">
        <f t="shared" si="119"/>
        <v>0</v>
      </c>
      <c r="R565" s="118">
        <f t="shared" si="119"/>
        <v>0</v>
      </c>
      <c r="S565" s="118">
        <f t="shared" si="119"/>
        <v>0</v>
      </c>
      <c r="T565" s="118">
        <f t="shared" si="119"/>
        <v>0</v>
      </c>
      <c r="U565" s="118">
        <f t="shared" si="119"/>
        <v>0</v>
      </c>
      <c r="V565" s="118">
        <f t="shared" si="119"/>
        <v>0</v>
      </c>
      <c r="W565" s="118">
        <f t="shared" si="119"/>
        <v>0</v>
      </c>
      <c r="X565" s="118">
        <f t="shared" si="119"/>
        <v>0</v>
      </c>
      <c r="Y565" s="118">
        <f t="shared" si="115"/>
        <v>0</v>
      </c>
    </row>
    <row r="566" spans="1:25" x14ac:dyDescent="0.3">
      <c r="A566" s="116" t="str">
        <f>IF(Inputs!$A62="","",Inputs!$A62)</f>
        <v/>
      </c>
      <c r="B566" s="116"/>
      <c r="C566" s="116"/>
      <c r="D566" s="118">
        <f t="shared" si="118"/>
        <v>0</v>
      </c>
      <c r="E566" s="118">
        <f t="shared" si="118"/>
        <v>0</v>
      </c>
      <c r="F566" s="118">
        <f t="shared" si="118"/>
        <v>0</v>
      </c>
      <c r="G566" s="118">
        <f t="shared" si="118"/>
        <v>0</v>
      </c>
      <c r="H566" s="118">
        <f t="shared" si="118"/>
        <v>0</v>
      </c>
      <c r="I566" s="118">
        <f t="shared" si="118"/>
        <v>0</v>
      </c>
      <c r="J566" s="118">
        <f t="shared" si="118"/>
        <v>0</v>
      </c>
      <c r="K566" s="118">
        <f t="shared" si="118"/>
        <v>0</v>
      </c>
      <c r="L566" s="118">
        <f t="shared" si="118"/>
        <v>0</v>
      </c>
      <c r="M566" s="118">
        <f t="shared" si="118"/>
        <v>0</v>
      </c>
      <c r="N566" s="118">
        <f t="shared" si="119"/>
        <v>0</v>
      </c>
      <c r="O566" s="118">
        <f t="shared" si="119"/>
        <v>0</v>
      </c>
      <c r="P566" s="118">
        <f t="shared" si="119"/>
        <v>0</v>
      </c>
      <c r="Q566" s="118">
        <f t="shared" si="119"/>
        <v>0</v>
      </c>
      <c r="R566" s="118">
        <f t="shared" si="119"/>
        <v>0</v>
      </c>
      <c r="S566" s="118">
        <f t="shared" si="119"/>
        <v>0</v>
      </c>
      <c r="T566" s="118">
        <f t="shared" si="119"/>
        <v>0</v>
      </c>
      <c r="U566" s="118">
        <f t="shared" si="119"/>
        <v>0</v>
      </c>
      <c r="V566" s="118">
        <f t="shared" si="119"/>
        <v>0</v>
      </c>
      <c r="W566" s="118">
        <f t="shared" si="119"/>
        <v>0</v>
      </c>
      <c r="X566" s="118">
        <f t="shared" si="119"/>
        <v>0</v>
      </c>
      <c r="Y566" s="118">
        <f t="shared" si="115"/>
        <v>0</v>
      </c>
    </row>
    <row r="567" spans="1:25" x14ac:dyDescent="0.3">
      <c r="A567" s="116" t="str">
        <f>IF(Inputs!$A63="","",Inputs!$A63)</f>
        <v/>
      </c>
      <c r="B567" s="116"/>
      <c r="C567" s="116"/>
      <c r="D567" s="118">
        <f t="shared" si="118"/>
        <v>0</v>
      </c>
      <c r="E567" s="118">
        <f t="shared" si="118"/>
        <v>0</v>
      </c>
      <c r="F567" s="118">
        <f t="shared" si="118"/>
        <v>0</v>
      </c>
      <c r="G567" s="118">
        <f t="shared" si="118"/>
        <v>0</v>
      </c>
      <c r="H567" s="118">
        <f t="shared" si="118"/>
        <v>0</v>
      </c>
      <c r="I567" s="118">
        <f t="shared" si="118"/>
        <v>0</v>
      </c>
      <c r="J567" s="118">
        <f t="shared" si="118"/>
        <v>0</v>
      </c>
      <c r="K567" s="118">
        <f t="shared" si="118"/>
        <v>0</v>
      </c>
      <c r="L567" s="118">
        <f t="shared" si="118"/>
        <v>0</v>
      </c>
      <c r="M567" s="118">
        <f t="shared" si="118"/>
        <v>0</v>
      </c>
      <c r="N567" s="118">
        <f t="shared" si="119"/>
        <v>0</v>
      </c>
      <c r="O567" s="118">
        <f t="shared" si="119"/>
        <v>0</v>
      </c>
      <c r="P567" s="118">
        <f t="shared" si="119"/>
        <v>0</v>
      </c>
      <c r="Q567" s="118">
        <f t="shared" si="119"/>
        <v>0</v>
      </c>
      <c r="R567" s="118">
        <f t="shared" si="119"/>
        <v>0</v>
      </c>
      <c r="S567" s="118">
        <f t="shared" si="119"/>
        <v>0</v>
      </c>
      <c r="T567" s="118">
        <f t="shared" si="119"/>
        <v>0</v>
      </c>
      <c r="U567" s="118">
        <f t="shared" si="119"/>
        <v>0</v>
      </c>
      <c r="V567" s="118">
        <f t="shared" si="119"/>
        <v>0</v>
      </c>
      <c r="W567" s="118">
        <f t="shared" si="119"/>
        <v>0</v>
      </c>
      <c r="X567" s="118">
        <f t="shared" si="119"/>
        <v>0</v>
      </c>
      <c r="Y567" s="118">
        <f t="shared" si="115"/>
        <v>0</v>
      </c>
    </row>
    <row r="568" spans="1:25" x14ac:dyDescent="0.3">
      <c r="A568" s="116" t="str">
        <f>IF(Inputs!$A64="","",Inputs!$A64)</f>
        <v/>
      </c>
      <c r="B568" s="116"/>
      <c r="C568" s="116"/>
      <c r="D568" s="118">
        <f t="shared" si="118"/>
        <v>0</v>
      </c>
      <c r="E568" s="118">
        <f t="shared" si="118"/>
        <v>0</v>
      </c>
      <c r="F568" s="118">
        <f t="shared" si="118"/>
        <v>0</v>
      </c>
      <c r="G568" s="118">
        <f t="shared" si="118"/>
        <v>0</v>
      </c>
      <c r="H568" s="118">
        <f t="shared" si="118"/>
        <v>0</v>
      </c>
      <c r="I568" s="118">
        <f t="shared" si="118"/>
        <v>0</v>
      </c>
      <c r="J568" s="118">
        <f t="shared" si="118"/>
        <v>0</v>
      </c>
      <c r="K568" s="118">
        <f t="shared" si="118"/>
        <v>0</v>
      </c>
      <c r="L568" s="118">
        <f t="shared" si="118"/>
        <v>0</v>
      </c>
      <c r="M568" s="118">
        <f t="shared" si="118"/>
        <v>0</v>
      </c>
      <c r="N568" s="118">
        <f t="shared" si="119"/>
        <v>0</v>
      </c>
      <c r="O568" s="118">
        <f t="shared" si="119"/>
        <v>0</v>
      </c>
      <c r="P568" s="118">
        <f t="shared" si="119"/>
        <v>0</v>
      </c>
      <c r="Q568" s="118">
        <f t="shared" si="119"/>
        <v>0</v>
      </c>
      <c r="R568" s="118">
        <f t="shared" si="119"/>
        <v>0</v>
      </c>
      <c r="S568" s="118">
        <f t="shared" si="119"/>
        <v>0</v>
      </c>
      <c r="T568" s="118">
        <f t="shared" si="119"/>
        <v>0</v>
      </c>
      <c r="U568" s="118">
        <f t="shared" si="119"/>
        <v>0</v>
      </c>
      <c r="V568" s="118">
        <f t="shared" si="119"/>
        <v>0</v>
      </c>
      <c r="W568" s="118">
        <f t="shared" si="119"/>
        <v>0</v>
      </c>
      <c r="X568" s="118">
        <f t="shared" si="119"/>
        <v>0</v>
      </c>
      <c r="Y568" s="118">
        <f t="shared" si="115"/>
        <v>0</v>
      </c>
    </row>
    <row r="569" spans="1:25" x14ac:dyDescent="0.3">
      <c r="A569" s="116" t="str">
        <f>IF(Inputs!$A65="","",Inputs!$A65)</f>
        <v/>
      </c>
      <c r="B569" s="116"/>
      <c r="C569" s="116"/>
      <c r="D569" s="118">
        <f t="shared" si="118"/>
        <v>0</v>
      </c>
      <c r="E569" s="118">
        <f t="shared" si="118"/>
        <v>0</v>
      </c>
      <c r="F569" s="118">
        <f t="shared" si="118"/>
        <v>0</v>
      </c>
      <c r="G569" s="118">
        <f t="shared" si="118"/>
        <v>0</v>
      </c>
      <c r="H569" s="118">
        <f t="shared" si="118"/>
        <v>0</v>
      </c>
      <c r="I569" s="118">
        <f t="shared" si="118"/>
        <v>0</v>
      </c>
      <c r="J569" s="118">
        <f t="shared" si="118"/>
        <v>0</v>
      </c>
      <c r="K569" s="118">
        <f t="shared" si="118"/>
        <v>0</v>
      </c>
      <c r="L569" s="118">
        <f t="shared" si="118"/>
        <v>0</v>
      </c>
      <c r="M569" s="118">
        <f t="shared" si="118"/>
        <v>0</v>
      </c>
      <c r="N569" s="118">
        <f t="shared" si="119"/>
        <v>0</v>
      </c>
      <c r="O569" s="118">
        <f t="shared" si="119"/>
        <v>0</v>
      </c>
      <c r="P569" s="118">
        <f t="shared" si="119"/>
        <v>0</v>
      </c>
      <c r="Q569" s="118">
        <f t="shared" si="119"/>
        <v>0</v>
      </c>
      <c r="R569" s="118">
        <f t="shared" si="119"/>
        <v>0</v>
      </c>
      <c r="S569" s="118">
        <f t="shared" si="119"/>
        <v>0</v>
      </c>
      <c r="T569" s="118">
        <f t="shared" si="119"/>
        <v>0</v>
      </c>
      <c r="U569" s="118">
        <f t="shared" si="119"/>
        <v>0</v>
      </c>
      <c r="V569" s="118">
        <f t="shared" si="119"/>
        <v>0</v>
      </c>
      <c r="W569" s="118">
        <f t="shared" si="119"/>
        <v>0</v>
      </c>
      <c r="X569" s="118">
        <f t="shared" si="119"/>
        <v>0</v>
      </c>
      <c r="Y569" s="118">
        <f t="shared" si="115"/>
        <v>0</v>
      </c>
    </row>
    <row r="570" spans="1:25" x14ac:dyDescent="0.3">
      <c r="A570" s="116" t="str">
        <f>IF(Inputs!$A66="","",Inputs!$A66)</f>
        <v/>
      </c>
      <c r="B570" s="116"/>
      <c r="C570" s="116"/>
      <c r="D570" s="118">
        <f t="shared" ref="D570:M579" si="120">IF($A570="",0,SUMIF($A$265:$A$504,$A570,D$265:D$504))</f>
        <v>0</v>
      </c>
      <c r="E570" s="118">
        <f t="shared" si="120"/>
        <v>0</v>
      </c>
      <c r="F570" s="118">
        <f t="shared" si="120"/>
        <v>0</v>
      </c>
      <c r="G570" s="118">
        <f t="shared" si="120"/>
        <v>0</v>
      </c>
      <c r="H570" s="118">
        <f t="shared" si="120"/>
        <v>0</v>
      </c>
      <c r="I570" s="118">
        <f t="shared" si="120"/>
        <v>0</v>
      </c>
      <c r="J570" s="118">
        <f t="shared" si="120"/>
        <v>0</v>
      </c>
      <c r="K570" s="118">
        <f t="shared" si="120"/>
        <v>0</v>
      </c>
      <c r="L570" s="118">
        <f t="shared" si="120"/>
        <v>0</v>
      </c>
      <c r="M570" s="118">
        <f t="shared" si="120"/>
        <v>0</v>
      </c>
      <c r="N570" s="118">
        <f t="shared" ref="N570:X579" si="121">IF($A570="",0,SUMIF($A$265:$A$504,$A570,N$265:N$504))</f>
        <v>0</v>
      </c>
      <c r="O570" s="118">
        <f t="shared" si="121"/>
        <v>0</v>
      </c>
      <c r="P570" s="118">
        <f t="shared" si="121"/>
        <v>0</v>
      </c>
      <c r="Q570" s="118">
        <f t="shared" si="121"/>
        <v>0</v>
      </c>
      <c r="R570" s="118">
        <f t="shared" si="121"/>
        <v>0</v>
      </c>
      <c r="S570" s="118">
        <f t="shared" si="121"/>
        <v>0</v>
      </c>
      <c r="T570" s="118">
        <f t="shared" si="121"/>
        <v>0</v>
      </c>
      <c r="U570" s="118">
        <f t="shared" si="121"/>
        <v>0</v>
      </c>
      <c r="V570" s="118">
        <f t="shared" si="121"/>
        <v>0</v>
      </c>
      <c r="W570" s="118">
        <f t="shared" si="121"/>
        <v>0</v>
      </c>
      <c r="X570" s="118">
        <f t="shared" si="121"/>
        <v>0</v>
      </c>
      <c r="Y570" s="118">
        <f t="shared" si="115"/>
        <v>0</v>
      </c>
    </row>
    <row r="571" spans="1:25" x14ac:dyDescent="0.3">
      <c r="A571" s="116" t="str">
        <f>IF(Inputs!$A67="","",Inputs!$A67)</f>
        <v/>
      </c>
      <c r="B571" s="116"/>
      <c r="C571" s="116"/>
      <c r="D571" s="118">
        <f t="shared" si="120"/>
        <v>0</v>
      </c>
      <c r="E571" s="118">
        <f t="shared" si="120"/>
        <v>0</v>
      </c>
      <c r="F571" s="118">
        <f t="shared" si="120"/>
        <v>0</v>
      </c>
      <c r="G571" s="118">
        <f t="shared" si="120"/>
        <v>0</v>
      </c>
      <c r="H571" s="118">
        <f t="shared" si="120"/>
        <v>0</v>
      </c>
      <c r="I571" s="118">
        <f t="shared" si="120"/>
        <v>0</v>
      </c>
      <c r="J571" s="118">
        <f t="shared" si="120"/>
        <v>0</v>
      </c>
      <c r="K571" s="118">
        <f t="shared" si="120"/>
        <v>0</v>
      </c>
      <c r="L571" s="118">
        <f t="shared" si="120"/>
        <v>0</v>
      </c>
      <c r="M571" s="118">
        <f t="shared" si="120"/>
        <v>0</v>
      </c>
      <c r="N571" s="118">
        <f t="shared" si="121"/>
        <v>0</v>
      </c>
      <c r="O571" s="118">
        <f t="shared" si="121"/>
        <v>0</v>
      </c>
      <c r="P571" s="118">
        <f t="shared" si="121"/>
        <v>0</v>
      </c>
      <c r="Q571" s="118">
        <f t="shared" si="121"/>
        <v>0</v>
      </c>
      <c r="R571" s="118">
        <f t="shared" si="121"/>
        <v>0</v>
      </c>
      <c r="S571" s="118">
        <f t="shared" si="121"/>
        <v>0</v>
      </c>
      <c r="T571" s="118">
        <f t="shared" si="121"/>
        <v>0</v>
      </c>
      <c r="U571" s="118">
        <f t="shared" si="121"/>
        <v>0</v>
      </c>
      <c r="V571" s="118">
        <f t="shared" si="121"/>
        <v>0</v>
      </c>
      <c r="W571" s="118">
        <f t="shared" si="121"/>
        <v>0</v>
      </c>
      <c r="X571" s="118">
        <f t="shared" si="121"/>
        <v>0</v>
      </c>
      <c r="Y571" s="118">
        <f t="shared" si="115"/>
        <v>0</v>
      </c>
    </row>
    <row r="572" spans="1:25" x14ac:dyDescent="0.3">
      <c r="A572" s="116" t="str">
        <f>IF(Inputs!$A68="","",Inputs!$A68)</f>
        <v/>
      </c>
      <c r="B572" s="116"/>
      <c r="C572" s="116"/>
      <c r="D572" s="118">
        <f t="shared" si="120"/>
        <v>0</v>
      </c>
      <c r="E572" s="118">
        <f t="shared" si="120"/>
        <v>0</v>
      </c>
      <c r="F572" s="118">
        <f t="shared" si="120"/>
        <v>0</v>
      </c>
      <c r="G572" s="118">
        <f t="shared" si="120"/>
        <v>0</v>
      </c>
      <c r="H572" s="118">
        <f t="shared" si="120"/>
        <v>0</v>
      </c>
      <c r="I572" s="118">
        <f t="shared" si="120"/>
        <v>0</v>
      </c>
      <c r="J572" s="118">
        <f t="shared" si="120"/>
        <v>0</v>
      </c>
      <c r="K572" s="118">
        <f t="shared" si="120"/>
        <v>0</v>
      </c>
      <c r="L572" s="118">
        <f t="shared" si="120"/>
        <v>0</v>
      </c>
      <c r="M572" s="118">
        <f t="shared" si="120"/>
        <v>0</v>
      </c>
      <c r="N572" s="118">
        <f t="shared" si="121"/>
        <v>0</v>
      </c>
      <c r="O572" s="118">
        <f t="shared" si="121"/>
        <v>0</v>
      </c>
      <c r="P572" s="118">
        <f t="shared" si="121"/>
        <v>0</v>
      </c>
      <c r="Q572" s="118">
        <f t="shared" si="121"/>
        <v>0</v>
      </c>
      <c r="R572" s="118">
        <f t="shared" si="121"/>
        <v>0</v>
      </c>
      <c r="S572" s="118">
        <f t="shared" si="121"/>
        <v>0</v>
      </c>
      <c r="T572" s="118">
        <f t="shared" si="121"/>
        <v>0</v>
      </c>
      <c r="U572" s="118">
        <f t="shared" si="121"/>
        <v>0</v>
      </c>
      <c r="V572" s="118">
        <f t="shared" si="121"/>
        <v>0</v>
      </c>
      <c r="W572" s="118">
        <f t="shared" si="121"/>
        <v>0</v>
      </c>
      <c r="X572" s="118">
        <f t="shared" si="121"/>
        <v>0</v>
      </c>
      <c r="Y572" s="118">
        <f t="shared" si="115"/>
        <v>0</v>
      </c>
    </row>
    <row r="573" spans="1:25" x14ac:dyDescent="0.3">
      <c r="A573" s="116" t="str">
        <f>IF(Inputs!$A69="","",Inputs!$A69)</f>
        <v/>
      </c>
      <c r="B573" s="116"/>
      <c r="C573" s="116"/>
      <c r="D573" s="118">
        <f t="shared" si="120"/>
        <v>0</v>
      </c>
      <c r="E573" s="118">
        <f t="shared" si="120"/>
        <v>0</v>
      </c>
      <c r="F573" s="118">
        <f t="shared" si="120"/>
        <v>0</v>
      </c>
      <c r="G573" s="118">
        <f t="shared" si="120"/>
        <v>0</v>
      </c>
      <c r="H573" s="118">
        <f t="shared" si="120"/>
        <v>0</v>
      </c>
      <c r="I573" s="118">
        <f t="shared" si="120"/>
        <v>0</v>
      </c>
      <c r="J573" s="118">
        <f t="shared" si="120"/>
        <v>0</v>
      </c>
      <c r="K573" s="118">
        <f t="shared" si="120"/>
        <v>0</v>
      </c>
      <c r="L573" s="118">
        <f t="shared" si="120"/>
        <v>0</v>
      </c>
      <c r="M573" s="118">
        <f t="shared" si="120"/>
        <v>0</v>
      </c>
      <c r="N573" s="118">
        <f t="shared" si="121"/>
        <v>0</v>
      </c>
      <c r="O573" s="118">
        <f t="shared" si="121"/>
        <v>0</v>
      </c>
      <c r="P573" s="118">
        <f t="shared" si="121"/>
        <v>0</v>
      </c>
      <c r="Q573" s="118">
        <f t="shared" si="121"/>
        <v>0</v>
      </c>
      <c r="R573" s="118">
        <f t="shared" si="121"/>
        <v>0</v>
      </c>
      <c r="S573" s="118">
        <f t="shared" si="121"/>
        <v>0</v>
      </c>
      <c r="T573" s="118">
        <f t="shared" si="121"/>
        <v>0</v>
      </c>
      <c r="U573" s="118">
        <f t="shared" si="121"/>
        <v>0</v>
      </c>
      <c r="V573" s="118">
        <f t="shared" si="121"/>
        <v>0</v>
      </c>
      <c r="W573" s="118">
        <f t="shared" si="121"/>
        <v>0</v>
      </c>
      <c r="X573" s="118">
        <f t="shared" si="121"/>
        <v>0</v>
      </c>
      <c r="Y573" s="118">
        <f t="shared" si="115"/>
        <v>0</v>
      </c>
    </row>
    <row r="574" spans="1:25" x14ac:dyDescent="0.3">
      <c r="A574" s="116" t="str">
        <f>IF(Inputs!$A70="","",Inputs!$A70)</f>
        <v/>
      </c>
      <c r="B574" s="116"/>
      <c r="C574" s="116"/>
      <c r="D574" s="118">
        <f t="shared" si="120"/>
        <v>0</v>
      </c>
      <c r="E574" s="118">
        <f t="shared" si="120"/>
        <v>0</v>
      </c>
      <c r="F574" s="118">
        <f t="shared" si="120"/>
        <v>0</v>
      </c>
      <c r="G574" s="118">
        <f t="shared" si="120"/>
        <v>0</v>
      </c>
      <c r="H574" s="118">
        <f t="shared" si="120"/>
        <v>0</v>
      </c>
      <c r="I574" s="118">
        <f t="shared" si="120"/>
        <v>0</v>
      </c>
      <c r="J574" s="118">
        <f t="shared" si="120"/>
        <v>0</v>
      </c>
      <c r="K574" s="118">
        <f t="shared" si="120"/>
        <v>0</v>
      </c>
      <c r="L574" s="118">
        <f t="shared" si="120"/>
        <v>0</v>
      </c>
      <c r="M574" s="118">
        <f t="shared" si="120"/>
        <v>0</v>
      </c>
      <c r="N574" s="118">
        <f t="shared" si="121"/>
        <v>0</v>
      </c>
      <c r="O574" s="118">
        <f t="shared" si="121"/>
        <v>0</v>
      </c>
      <c r="P574" s="118">
        <f t="shared" si="121"/>
        <v>0</v>
      </c>
      <c r="Q574" s="118">
        <f t="shared" si="121"/>
        <v>0</v>
      </c>
      <c r="R574" s="118">
        <f t="shared" si="121"/>
        <v>0</v>
      </c>
      <c r="S574" s="118">
        <f t="shared" si="121"/>
        <v>0</v>
      </c>
      <c r="T574" s="118">
        <f t="shared" si="121"/>
        <v>0</v>
      </c>
      <c r="U574" s="118">
        <f t="shared" si="121"/>
        <v>0</v>
      </c>
      <c r="V574" s="118">
        <f t="shared" si="121"/>
        <v>0</v>
      </c>
      <c r="W574" s="118">
        <f t="shared" si="121"/>
        <v>0</v>
      </c>
      <c r="X574" s="118">
        <f t="shared" si="121"/>
        <v>0</v>
      </c>
      <c r="Y574" s="118">
        <f t="shared" ref="Y574:Y589" si="122">SUM(D574:X574)</f>
        <v>0</v>
      </c>
    </row>
    <row r="575" spans="1:25" x14ac:dyDescent="0.3">
      <c r="A575" s="116" t="str">
        <f>IF(Inputs!$A71="","",Inputs!$A71)</f>
        <v/>
      </c>
      <c r="B575" s="116"/>
      <c r="C575" s="116"/>
      <c r="D575" s="118">
        <f t="shared" si="120"/>
        <v>0</v>
      </c>
      <c r="E575" s="118">
        <f t="shared" si="120"/>
        <v>0</v>
      </c>
      <c r="F575" s="118">
        <f t="shared" si="120"/>
        <v>0</v>
      </c>
      <c r="G575" s="118">
        <f t="shared" si="120"/>
        <v>0</v>
      </c>
      <c r="H575" s="118">
        <f t="shared" si="120"/>
        <v>0</v>
      </c>
      <c r="I575" s="118">
        <f t="shared" si="120"/>
        <v>0</v>
      </c>
      <c r="J575" s="118">
        <f t="shared" si="120"/>
        <v>0</v>
      </c>
      <c r="K575" s="118">
        <f t="shared" si="120"/>
        <v>0</v>
      </c>
      <c r="L575" s="118">
        <f t="shared" si="120"/>
        <v>0</v>
      </c>
      <c r="M575" s="118">
        <f t="shared" si="120"/>
        <v>0</v>
      </c>
      <c r="N575" s="118">
        <f t="shared" si="121"/>
        <v>0</v>
      </c>
      <c r="O575" s="118">
        <f t="shared" si="121"/>
        <v>0</v>
      </c>
      <c r="P575" s="118">
        <f t="shared" si="121"/>
        <v>0</v>
      </c>
      <c r="Q575" s="118">
        <f t="shared" si="121"/>
        <v>0</v>
      </c>
      <c r="R575" s="118">
        <f t="shared" si="121"/>
        <v>0</v>
      </c>
      <c r="S575" s="118">
        <f t="shared" si="121"/>
        <v>0</v>
      </c>
      <c r="T575" s="118">
        <f t="shared" si="121"/>
        <v>0</v>
      </c>
      <c r="U575" s="118">
        <f t="shared" si="121"/>
        <v>0</v>
      </c>
      <c r="V575" s="118">
        <f t="shared" si="121"/>
        <v>0</v>
      </c>
      <c r="W575" s="118">
        <f t="shared" si="121"/>
        <v>0</v>
      </c>
      <c r="X575" s="118">
        <f t="shared" si="121"/>
        <v>0</v>
      </c>
      <c r="Y575" s="118">
        <f t="shared" si="122"/>
        <v>0</v>
      </c>
    </row>
    <row r="576" spans="1:25" x14ac:dyDescent="0.3">
      <c r="A576" s="116" t="str">
        <f>IF(Inputs!$A72="","",Inputs!$A72)</f>
        <v/>
      </c>
      <c r="B576" s="116"/>
      <c r="C576" s="116"/>
      <c r="D576" s="118">
        <f t="shared" si="120"/>
        <v>0</v>
      </c>
      <c r="E576" s="118">
        <f t="shared" si="120"/>
        <v>0</v>
      </c>
      <c r="F576" s="118">
        <f t="shared" si="120"/>
        <v>0</v>
      </c>
      <c r="G576" s="118">
        <f t="shared" si="120"/>
        <v>0</v>
      </c>
      <c r="H576" s="118">
        <f t="shared" si="120"/>
        <v>0</v>
      </c>
      <c r="I576" s="118">
        <f t="shared" si="120"/>
        <v>0</v>
      </c>
      <c r="J576" s="118">
        <f t="shared" si="120"/>
        <v>0</v>
      </c>
      <c r="K576" s="118">
        <f t="shared" si="120"/>
        <v>0</v>
      </c>
      <c r="L576" s="118">
        <f t="shared" si="120"/>
        <v>0</v>
      </c>
      <c r="M576" s="118">
        <f t="shared" si="120"/>
        <v>0</v>
      </c>
      <c r="N576" s="118">
        <f t="shared" si="121"/>
        <v>0</v>
      </c>
      <c r="O576" s="118">
        <f t="shared" si="121"/>
        <v>0</v>
      </c>
      <c r="P576" s="118">
        <f t="shared" si="121"/>
        <v>0</v>
      </c>
      <c r="Q576" s="118">
        <f t="shared" si="121"/>
        <v>0</v>
      </c>
      <c r="R576" s="118">
        <f t="shared" si="121"/>
        <v>0</v>
      </c>
      <c r="S576" s="118">
        <f t="shared" si="121"/>
        <v>0</v>
      </c>
      <c r="T576" s="118">
        <f t="shared" si="121"/>
        <v>0</v>
      </c>
      <c r="U576" s="118">
        <f t="shared" si="121"/>
        <v>0</v>
      </c>
      <c r="V576" s="118">
        <f t="shared" si="121"/>
        <v>0</v>
      </c>
      <c r="W576" s="118">
        <f t="shared" si="121"/>
        <v>0</v>
      </c>
      <c r="X576" s="118">
        <f t="shared" si="121"/>
        <v>0</v>
      </c>
      <c r="Y576" s="118">
        <f t="shared" si="122"/>
        <v>0</v>
      </c>
    </row>
    <row r="577" spans="1:25" x14ac:dyDescent="0.3">
      <c r="A577" s="116" t="str">
        <f>IF(Inputs!$A73="","",Inputs!$A73)</f>
        <v/>
      </c>
      <c r="B577" s="116"/>
      <c r="C577" s="116"/>
      <c r="D577" s="118">
        <f t="shared" si="120"/>
        <v>0</v>
      </c>
      <c r="E577" s="118">
        <f t="shared" si="120"/>
        <v>0</v>
      </c>
      <c r="F577" s="118">
        <f t="shared" si="120"/>
        <v>0</v>
      </c>
      <c r="G577" s="118">
        <f t="shared" si="120"/>
        <v>0</v>
      </c>
      <c r="H577" s="118">
        <f t="shared" si="120"/>
        <v>0</v>
      </c>
      <c r="I577" s="118">
        <f t="shared" si="120"/>
        <v>0</v>
      </c>
      <c r="J577" s="118">
        <f t="shared" si="120"/>
        <v>0</v>
      </c>
      <c r="K577" s="118">
        <f t="shared" si="120"/>
        <v>0</v>
      </c>
      <c r="L577" s="118">
        <f t="shared" si="120"/>
        <v>0</v>
      </c>
      <c r="M577" s="118">
        <f t="shared" si="120"/>
        <v>0</v>
      </c>
      <c r="N577" s="118">
        <f t="shared" si="121"/>
        <v>0</v>
      </c>
      <c r="O577" s="118">
        <f t="shared" si="121"/>
        <v>0</v>
      </c>
      <c r="P577" s="118">
        <f t="shared" si="121"/>
        <v>0</v>
      </c>
      <c r="Q577" s="118">
        <f t="shared" si="121"/>
        <v>0</v>
      </c>
      <c r="R577" s="118">
        <f t="shared" si="121"/>
        <v>0</v>
      </c>
      <c r="S577" s="118">
        <f t="shared" si="121"/>
        <v>0</v>
      </c>
      <c r="T577" s="118">
        <f t="shared" si="121"/>
        <v>0</v>
      </c>
      <c r="U577" s="118">
        <f t="shared" si="121"/>
        <v>0</v>
      </c>
      <c r="V577" s="118">
        <f t="shared" si="121"/>
        <v>0</v>
      </c>
      <c r="W577" s="118">
        <f t="shared" si="121"/>
        <v>0</v>
      </c>
      <c r="X577" s="118">
        <f t="shared" si="121"/>
        <v>0</v>
      </c>
      <c r="Y577" s="118">
        <f t="shared" si="122"/>
        <v>0</v>
      </c>
    </row>
    <row r="578" spans="1:25" x14ac:dyDescent="0.3">
      <c r="A578" s="116" t="str">
        <f>IF(Inputs!$A74="","",Inputs!$A74)</f>
        <v/>
      </c>
      <c r="B578" s="116"/>
      <c r="C578" s="116"/>
      <c r="D578" s="118">
        <f t="shared" si="120"/>
        <v>0</v>
      </c>
      <c r="E578" s="118">
        <f t="shared" si="120"/>
        <v>0</v>
      </c>
      <c r="F578" s="118">
        <f t="shared" si="120"/>
        <v>0</v>
      </c>
      <c r="G578" s="118">
        <f t="shared" si="120"/>
        <v>0</v>
      </c>
      <c r="H578" s="118">
        <f t="shared" si="120"/>
        <v>0</v>
      </c>
      <c r="I578" s="118">
        <f t="shared" si="120"/>
        <v>0</v>
      </c>
      <c r="J578" s="118">
        <f t="shared" si="120"/>
        <v>0</v>
      </c>
      <c r="K578" s="118">
        <f t="shared" si="120"/>
        <v>0</v>
      </c>
      <c r="L578" s="118">
        <f t="shared" si="120"/>
        <v>0</v>
      </c>
      <c r="M578" s="118">
        <f t="shared" si="120"/>
        <v>0</v>
      </c>
      <c r="N578" s="118">
        <f t="shared" si="121"/>
        <v>0</v>
      </c>
      <c r="O578" s="118">
        <f t="shared" si="121"/>
        <v>0</v>
      </c>
      <c r="P578" s="118">
        <f t="shared" si="121"/>
        <v>0</v>
      </c>
      <c r="Q578" s="118">
        <f t="shared" si="121"/>
        <v>0</v>
      </c>
      <c r="R578" s="118">
        <f t="shared" si="121"/>
        <v>0</v>
      </c>
      <c r="S578" s="118">
        <f t="shared" si="121"/>
        <v>0</v>
      </c>
      <c r="T578" s="118">
        <f t="shared" si="121"/>
        <v>0</v>
      </c>
      <c r="U578" s="118">
        <f t="shared" si="121"/>
        <v>0</v>
      </c>
      <c r="V578" s="118">
        <f t="shared" si="121"/>
        <v>0</v>
      </c>
      <c r="W578" s="118">
        <f t="shared" si="121"/>
        <v>0</v>
      </c>
      <c r="X578" s="118">
        <f t="shared" si="121"/>
        <v>0</v>
      </c>
      <c r="Y578" s="118">
        <f t="shared" si="122"/>
        <v>0</v>
      </c>
    </row>
    <row r="579" spans="1:25" x14ac:dyDescent="0.3">
      <c r="A579" s="116" t="str">
        <f>IF(Inputs!$A75="","",Inputs!$A75)</f>
        <v/>
      </c>
      <c r="B579" s="116"/>
      <c r="C579" s="116"/>
      <c r="D579" s="118">
        <f t="shared" si="120"/>
        <v>0</v>
      </c>
      <c r="E579" s="118">
        <f t="shared" si="120"/>
        <v>0</v>
      </c>
      <c r="F579" s="118">
        <f t="shared" si="120"/>
        <v>0</v>
      </c>
      <c r="G579" s="118">
        <f t="shared" si="120"/>
        <v>0</v>
      </c>
      <c r="H579" s="118">
        <f t="shared" si="120"/>
        <v>0</v>
      </c>
      <c r="I579" s="118">
        <f t="shared" si="120"/>
        <v>0</v>
      </c>
      <c r="J579" s="118">
        <f t="shared" si="120"/>
        <v>0</v>
      </c>
      <c r="K579" s="118">
        <f t="shared" si="120"/>
        <v>0</v>
      </c>
      <c r="L579" s="118">
        <f t="shared" si="120"/>
        <v>0</v>
      </c>
      <c r="M579" s="118">
        <f t="shared" si="120"/>
        <v>0</v>
      </c>
      <c r="N579" s="118">
        <f t="shared" si="121"/>
        <v>0</v>
      </c>
      <c r="O579" s="118">
        <f t="shared" si="121"/>
        <v>0</v>
      </c>
      <c r="P579" s="118">
        <f t="shared" si="121"/>
        <v>0</v>
      </c>
      <c r="Q579" s="118">
        <f t="shared" si="121"/>
        <v>0</v>
      </c>
      <c r="R579" s="118">
        <f t="shared" si="121"/>
        <v>0</v>
      </c>
      <c r="S579" s="118">
        <f t="shared" si="121"/>
        <v>0</v>
      </c>
      <c r="T579" s="118">
        <f t="shared" si="121"/>
        <v>0</v>
      </c>
      <c r="U579" s="118">
        <f t="shared" si="121"/>
        <v>0</v>
      </c>
      <c r="V579" s="118">
        <f t="shared" si="121"/>
        <v>0</v>
      </c>
      <c r="W579" s="118">
        <f t="shared" si="121"/>
        <v>0</v>
      </c>
      <c r="X579" s="118">
        <f t="shared" si="121"/>
        <v>0</v>
      </c>
      <c r="Y579" s="118">
        <f t="shared" si="122"/>
        <v>0</v>
      </c>
    </row>
    <row r="580" spans="1:25" x14ac:dyDescent="0.3">
      <c r="A580" s="116" t="str">
        <f>IF(Inputs!$A76="","",Inputs!$A76)</f>
        <v/>
      </c>
      <c r="B580" s="116"/>
      <c r="C580" s="116"/>
      <c r="D580" s="118">
        <f t="shared" ref="D580:M589" si="123">IF($A580="",0,SUMIF($A$265:$A$504,$A580,D$265:D$504))</f>
        <v>0</v>
      </c>
      <c r="E580" s="118">
        <f t="shared" si="123"/>
        <v>0</v>
      </c>
      <c r="F580" s="118">
        <f t="shared" si="123"/>
        <v>0</v>
      </c>
      <c r="G580" s="118">
        <f t="shared" si="123"/>
        <v>0</v>
      </c>
      <c r="H580" s="118">
        <f t="shared" si="123"/>
        <v>0</v>
      </c>
      <c r="I580" s="118">
        <f t="shared" si="123"/>
        <v>0</v>
      </c>
      <c r="J580" s="118">
        <f t="shared" si="123"/>
        <v>0</v>
      </c>
      <c r="K580" s="118">
        <f t="shared" si="123"/>
        <v>0</v>
      </c>
      <c r="L580" s="118">
        <f t="shared" si="123"/>
        <v>0</v>
      </c>
      <c r="M580" s="118">
        <f t="shared" si="123"/>
        <v>0</v>
      </c>
      <c r="N580" s="118">
        <f t="shared" ref="N580:X589" si="124">IF($A580="",0,SUMIF($A$265:$A$504,$A580,N$265:N$504))</f>
        <v>0</v>
      </c>
      <c r="O580" s="118">
        <f t="shared" si="124"/>
        <v>0</v>
      </c>
      <c r="P580" s="118">
        <f t="shared" si="124"/>
        <v>0</v>
      </c>
      <c r="Q580" s="118">
        <f t="shared" si="124"/>
        <v>0</v>
      </c>
      <c r="R580" s="118">
        <f t="shared" si="124"/>
        <v>0</v>
      </c>
      <c r="S580" s="118">
        <f t="shared" si="124"/>
        <v>0</v>
      </c>
      <c r="T580" s="118">
        <f t="shared" si="124"/>
        <v>0</v>
      </c>
      <c r="U580" s="118">
        <f t="shared" si="124"/>
        <v>0</v>
      </c>
      <c r="V580" s="118">
        <f t="shared" si="124"/>
        <v>0</v>
      </c>
      <c r="W580" s="118">
        <f t="shared" si="124"/>
        <v>0</v>
      </c>
      <c r="X580" s="118">
        <f t="shared" si="124"/>
        <v>0</v>
      </c>
      <c r="Y580" s="118">
        <f t="shared" si="122"/>
        <v>0</v>
      </c>
    </row>
    <row r="581" spans="1:25" x14ac:dyDescent="0.3">
      <c r="A581" s="116" t="str">
        <f>IF(Inputs!$A77="","",Inputs!$A77)</f>
        <v/>
      </c>
      <c r="B581" s="116"/>
      <c r="C581" s="116"/>
      <c r="D581" s="118">
        <f t="shared" si="123"/>
        <v>0</v>
      </c>
      <c r="E581" s="118">
        <f t="shared" si="123"/>
        <v>0</v>
      </c>
      <c r="F581" s="118">
        <f t="shared" si="123"/>
        <v>0</v>
      </c>
      <c r="G581" s="118">
        <f t="shared" si="123"/>
        <v>0</v>
      </c>
      <c r="H581" s="118">
        <f t="shared" si="123"/>
        <v>0</v>
      </c>
      <c r="I581" s="118">
        <f t="shared" si="123"/>
        <v>0</v>
      </c>
      <c r="J581" s="118">
        <f t="shared" si="123"/>
        <v>0</v>
      </c>
      <c r="K581" s="118">
        <f t="shared" si="123"/>
        <v>0</v>
      </c>
      <c r="L581" s="118">
        <f t="shared" si="123"/>
        <v>0</v>
      </c>
      <c r="M581" s="118">
        <f t="shared" si="123"/>
        <v>0</v>
      </c>
      <c r="N581" s="118">
        <f t="shared" si="124"/>
        <v>0</v>
      </c>
      <c r="O581" s="118">
        <f t="shared" si="124"/>
        <v>0</v>
      </c>
      <c r="P581" s="118">
        <f t="shared" si="124"/>
        <v>0</v>
      </c>
      <c r="Q581" s="118">
        <f t="shared" si="124"/>
        <v>0</v>
      </c>
      <c r="R581" s="118">
        <f t="shared" si="124"/>
        <v>0</v>
      </c>
      <c r="S581" s="118">
        <f t="shared" si="124"/>
        <v>0</v>
      </c>
      <c r="T581" s="118">
        <f t="shared" si="124"/>
        <v>0</v>
      </c>
      <c r="U581" s="118">
        <f t="shared" si="124"/>
        <v>0</v>
      </c>
      <c r="V581" s="118">
        <f t="shared" si="124"/>
        <v>0</v>
      </c>
      <c r="W581" s="118">
        <f t="shared" si="124"/>
        <v>0</v>
      </c>
      <c r="X581" s="118">
        <f t="shared" si="124"/>
        <v>0</v>
      </c>
      <c r="Y581" s="118">
        <f t="shared" si="122"/>
        <v>0</v>
      </c>
    </row>
    <row r="582" spans="1:25" x14ac:dyDescent="0.3">
      <c r="A582" s="116" t="str">
        <f>IF(Inputs!$A78="","",Inputs!$A78)</f>
        <v/>
      </c>
      <c r="B582" s="116"/>
      <c r="C582" s="116"/>
      <c r="D582" s="118">
        <f t="shared" si="123"/>
        <v>0</v>
      </c>
      <c r="E582" s="118">
        <f t="shared" si="123"/>
        <v>0</v>
      </c>
      <c r="F582" s="118">
        <f t="shared" si="123"/>
        <v>0</v>
      </c>
      <c r="G582" s="118">
        <f t="shared" si="123"/>
        <v>0</v>
      </c>
      <c r="H582" s="118">
        <f t="shared" si="123"/>
        <v>0</v>
      </c>
      <c r="I582" s="118">
        <f t="shared" si="123"/>
        <v>0</v>
      </c>
      <c r="J582" s="118">
        <f t="shared" si="123"/>
        <v>0</v>
      </c>
      <c r="K582" s="118">
        <f t="shared" si="123"/>
        <v>0</v>
      </c>
      <c r="L582" s="118">
        <f t="shared" si="123"/>
        <v>0</v>
      </c>
      <c r="M582" s="118">
        <f t="shared" si="123"/>
        <v>0</v>
      </c>
      <c r="N582" s="118">
        <f t="shared" si="124"/>
        <v>0</v>
      </c>
      <c r="O582" s="118">
        <f t="shared" si="124"/>
        <v>0</v>
      </c>
      <c r="P582" s="118">
        <f t="shared" si="124"/>
        <v>0</v>
      </c>
      <c r="Q582" s="118">
        <f t="shared" si="124"/>
        <v>0</v>
      </c>
      <c r="R582" s="118">
        <f t="shared" si="124"/>
        <v>0</v>
      </c>
      <c r="S582" s="118">
        <f t="shared" si="124"/>
        <v>0</v>
      </c>
      <c r="T582" s="118">
        <f t="shared" si="124"/>
        <v>0</v>
      </c>
      <c r="U582" s="118">
        <f t="shared" si="124"/>
        <v>0</v>
      </c>
      <c r="V582" s="118">
        <f t="shared" si="124"/>
        <v>0</v>
      </c>
      <c r="W582" s="118">
        <f t="shared" si="124"/>
        <v>0</v>
      </c>
      <c r="X582" s="118">
        <f t="shared" si="124"/>
        <v>0</v>
      </c>
      <c r="Y582" s="118">
        <f t="shared" si="122"/>
        <v>0</v>
      </c>
    </row>
    <row r="583" spans="1:25" x14ac:dyDescent="0.3">
      <c r="A583" s="116" t="str">
        <f>IF(Inputs!$A79="","",Inputs!$A79)</f>
        <v/>
      </c>
      <c r="B583" s="116"/>
      <c r="C583" s="116"/>
      <c r="D583" s="118">
        <f t="shared" si="123"/>
        <v>0</v>
      </c>
      <c r="E583" s="118">
        <f t="shared" si="123"/>
        <v>0</v>
      </c>
      <c r="F583" s="118">
        <f t="shared" si="123"/>
        <v>0</v>
      </c>
      <c r="G583" s="118">
        <f t="shared" si="123"/>
        <v>0</v>
      </c>
      <c r="H583" s="118">
        <f t="shared" si="123"/>
        <v>0</v>
      </c>
      <c r="I583" s="118">
        <f t="shared" si="123"/>
        <v>0</v>
      </c>
      <c r="J583" s="118">
        <f t="shared" si="123"/>
        <v>0</v>
      </c>
      <c r="K583" s="118">
        <f t="shared" si="123"/>
        <v>0</v>
      </c>
      <c r="L583" s="118">
        <f t="shared" si="123"/>
        <v>0</v>
      </c>
      <c r="M583" s="118">
        <f t="shared" si="123"/>
        <v>0</v>
      </c>
      <c r="N583" s="118">
        <f t="shared" si="124"/>
        <v>0</v>
      </c>
      <c r="O583" s="118">
        <f t="shared" si="124"/>
        <v>0</v>
      </c>
      <c r="P583" s="118">
        <f t="shared" si="124"/>
        <v>0</v>
      </c>
      <c r="Q583" s="118">
        <f t="shared" si="124"/>
        <v>0</v>
      </c>
      <c r="R583" s="118">
        <f t="shared" si="124"/>
        <v>0</v>
      </c>
      <c r="S583" s="118">
        <f t="shared" si="124"/>
        <v>0</v>
      </c>
      <c r="T583" s="118">
        <f t="shared" si="124"/>
        <v>0</v>
      </c>
      <c r="U583" s="118">
        <f t="shared" si="124"/>
        <v>0</v>
      </c>
      <c r="V583" s="118">
        <f t="shared" si="124"/>
        <v>0</v>
      </c>
      <c r="W583" s="118">
        <f t="shared" si="124"/>
        <v>0</v>
      </c>
      <c r="X583" s="118">
        <f t="shared" si="124"/>
        <v>0</v>
      </c>
      <c r="Y583" s="118">
        <f t="shared" si="122"/>
        <v>0</v>
      </c>
    </row>
    <row r="584" spans="1:25" x14ac:dyDescent="0.3">
      <c r="A584" s="116" t="str">
        <f>IF(Inputs!$A80="","",Inputs!$A80)</f>
        <v/>
      </c>
      <c r="B584" s="116"/>
      <c r="C584" s="116"/>
      <c r="D584" s="118">
        <f t="shared" si="123"/>
        <v>0</v>
      </c>
      <c r="E584" s="118">
        <f t="shared" si="123"/>
        <v>0</v>
      </c>
      <c r="F584" s="118">
        <f t="shared" si="123"/>
        <v>0</v>
      </c>
      <c r="G584" s="118">
        <f t="shared" si="123"/>
        <v>0</v>
      </c>
      <c r="H584" s="118">
        <f t="shared" si="123"/>
        <v>0</v>
      </c>
      <c r="I584" s="118">
        <f t="shared" si="123"/>
        <v>0</v>
      </c>
      <c r="J584" s="118">
        <f t="shared" si="123"/>
        <v>0</v>
      </c>
      <c r="K584" s="118">
        <f t="shared" si="123"/>
        <v>0</v>
      </c>
      <c r="L584" s="118">
        <f t="shared" si="123"/>
        <v>0</v>
      </c>
      <c r="M584" s="118">
        <f t="shared" si="123"/>
        <v>0</v>
      </c>
      <c r="N584" s="118">
        <f t="shared" si="124"/>
        <v>0</v>
      </c>
      <c r="O584" s="118">
        <f t="shared" si="124"/>
        <v>0</v>
      </c>
      <c r="P584" s="118">
        <f t="shared" si="124"/>
        <v>0</v>
      </c>
      <c r="Q584" s="118">
        <f t="shared" si="124"/>
        <v>0</v>
      </c>
      <c r="R584" s="118">
        <f t="shared" si="124"/>
        <v>0</v>
      </c>
      <c r="S584" s="118">
        <f t="shared" si="124"/>
        <v>0</v>
      </c>
      <c r="T584" s="118">
        <f t="shared" si="124"/>
        <v>0</v>
      </c>
      <c r="U584" s="118">
        <f t="shared" si="124"/>
        <v>0</v>
      </c>
      <c r="V584" s="118">
        <f t="shared" si="124"/>
        <v>0</v>
      </c>
      <c r="W584" s="118">
        <f t="shared" si="124"/>
        <v>0</v>
      </c>
      <c r="X584" s="118">
        <f t="shared" si="124"/>
        <v>0</v>
      </c>
      <c r="Y584" s="118">
        <f t="shared" si="122"/>
        <v>0</v>
      </c>
    </row>
    <row r="585" spans="1:25" x14ac:dyDescent="0.3">
      <c r="A585" s="116" t="str">
        <f>IF(Inputs!$A81="","",Inputs!$A81)</f>
        <v/>
      </c>
      <c r="B585" s="116"/>
      <c r="C585" s="116"/>
      <c r="D585" s="118">
        <f t="shared" si="123"/>
        <v>0</v>
      </c>
      <c r="E585" s="118">
        <f t="shared" si="123"/>
        <v>0</v>
      </c>
      <c r="F585" s="118">
        <f t="shared" si="123"/>
        <v>0</v>
      </c>
      <c r="G585" s="118">
        <f t="shared" si="123"/>
        <v>0</v>
      </c>
      <c r="H585" s="118">
        <f t="shared" si="123"/>
        <v>0</v>
      </c>
      <c r="I585" s="118">
        <f t="shared" si="123"/>
        <v>0</v>
      </c>
      <c r="J585" s="118">
        <f t="shared" si="123"/>
        <v>0</v>
      </c>
      <c r="K585" s="118">
        <f t="shared" si="123"/>
        <v>0</v>
      </c>
      <c r="L585" s="118">
        <f t="shared" si="123"/>
        <v>0</v>
      </c>
      <c r="M585" s="118">
        <f t="shared" si="123"/>
        <v>0</v>
      </c>
      <c r="N585" s="118">
        <f t="shared" si="124"/>
        <v>0</v>
      </c>
      <c r="O585" s="118">
        <f t="shared" si="124"/>
        <v>0</v>
      </c>
      <c r="P585" s="118">
        <f t="shared" si="124"/>
        <v>0</v>
      </c>
      <c r="Q585" s="118">
        <f t="shared" si="124"/>
        <v>0</v>
      </c>
      <c r="R585" s="118">
        <f t="shared" si="124"/>
        <v>0</v>
      </c>
      <c r="S585" s="118">
        <f t="shared" si="124"/>
        <v>0</v>
      </c>
      <c r="T585" s="118">
        <f t="shared" si="124"/>
        <v>0</v>
      </c>
      <c r="U585" s="118">
        <f t="shared" si="124"/>
        <v>0</v>
      </c>
      <c r="V585" s="118">
        <f t="shared" si="124"/>
        <v>0</v>
      </c>
      <c r="W585" s="118">
        <f t="shared" si="124"/>
        <v>0</v>
      </c>
      <c r="X585" s="118">
        <f t="shared" si="124"/>
        <v>0</v>
      </c>
      <c r="Y585" s="118">
        <f t="shared" si="122"/>
        <v>0</v>
      </c>
    </row>
    <row r="586" spans="1:25" x14ac:dyDescent="0.3">
      <c r="A586" s="116" t="str">
        <f>IF(Inputs!$A82="","",Inputs!$A82)</f>
        <v/>
      </c>
      <c r="B586" s="116"/>
      <c r="C586" s="116"/>
      <c r="D586" s="118">
        <f t="shared" si="123"/>
        <v>0</v>
      </c>
      <c r="E586" s="118">
        <f t="shared" si="123"/>
        <v>0</v>
      </c>
      <c r="F586" s="118">
        <f t="shared" si="123"/>
        <v>0</v>
      </c>
      <c r="G586" s="118">
        <f t="shared" si="123"/>
        <v>0</v>
      </c>
      <c r="H586" s="118">
        <f t="shared" si="123"/>
        <v>0</v>
      </c>
      <c r="I586" s="118">
        <f t="shared" si="123"/>
        <v>0</v>
      </c>
      <c r="J586" s="118">
        <f t="shared" si="123"/>
        <v>0</v>
      </c>
      <c r="K586" s="118">
        <f t="shared" si="123"/>
        <v>0</v>
      </c>
      <c r="L586" s="118">
        <f t="shared" si="123"/>
        <v>0</v>
      </c>
      <c r="M586" s="118">
        <f t="shared" si="123"/>
        <v>0</v>
      </c>
      <c r="N586" s="118">
        <f t="shared" si="124"/>
        <v>0</v>
      </c>
      <c r="O586" s="118">
        <f t="shared" si="124"/>
        <v>0</v>
      </c>
      <c r="P586" s="118">
        <f t="shared" si="124"/>
        <v>0</v>
      </c>
      <c r="Q586" s="118">
        <f t="shared" si="124"/>
        <v>0</v>
      </c>
      <c r="R586" s="118">
        <f t="shared" si="124"/>
        <v>0</v>
      </c>
      <c r="S586" s="118">
        <f t="shared" si="124"/>
        <v>0</v>
      </c>
      <c r="T586" s="118">
        <f t="shared" si="124"/>
        <v>0</v>
      </c>
      <c r="U586" s="118">
        <f t="shared" si="124"/>
        <v>0</v>
      </c>
      <c r="V586" s="118">
        <f t="shared" si="124"/>
        <v>0</v>
      </c>
      <c r="W586" s="118">
        <f t="shared" si="124"/>
        <v>0</v>
      </c>
      <c r="X586" s="118">
        <f t="shared" si="124"/>
        <v>0</v>
      </c>
      <c r="Y586" s="118">
        <f t="shared" si="122"/>
        <v>0</v>
      </c>
    </row>
    <row r="587" spans="1:25" x14ac:dyDescent="0.3">
      <c r="A587" s="116" t="str">
        <f>IF(Inputs!$A83="","",Inputs!$A83)</f>
        <v/>
      </c>
      <c r="B587" s="116"/>
      <c r="C587" s="116"/>
      <c r="D587" s="118">
        <f t="shared" si="123"/>
        <v>0</v>
      </c>
      <c r="E587" s="118">
        <f t="shared" si="123"/>
        <v>0</v>
      </c>
      <c r="F587" s="118">
        <f t="shared" si="123"/>
        <v>0</v>
      </c>
      <c r="G587" s="118">
        <f t="shared" si="123"/>
        <v>0</v>
      </c>
      <c r="H587" s="118">
        <f t="shared" si="123"/>
        <v>0</v>
      </c>
      <c r="I587" s="118">
        <f t="shared" si="123"/>
        <v>0</v>
      </c>
      <c r="J587" s="118">
        <f t="shared" si="123"/>
        <v>0</v>
      </c>
      <c r="K587" s="118">
        <f t="shared" si="123"/>
        <v>0</v>
      </c>
      <c r="L587" s="118">
        <f t="shared" si="123"/>
        <v>0</v>
      </c>
      <c r="M587" s="118">
        <f t="shared" si="123"/>
        <v>0</v>
      </c>
      <c r="N587" s="118">
        <f t="shared" si="124"/>
        <v>0</v>
      </c>
      <c r="O587" s="118">
        <f t="shared" si="124"/>
        <v>0</v>
      </c>
      <c r="P587" s="118">
        <f t="shared" si="124"/>
        <v>0</v>
      </c>
      <c r="Q587" s="118">
        <f t="shared" si="124"/>
        <v>0</v>
      </c>
      <c r="R587" s="118">
        <f t="shared" si="124"/>
        <v>0</v>
      </c>
      <c r="S587" s="118">
        <f t="shared" si="124"/>
        <v>0</v>
      </c>
      <c r="T587" s="118">
        <f t="shared" si="124"/>
        <v>0</v>
      </c>
      <c r="U587" s="118">
        <f t="shared" si="124"/>
        <v>0</v>
      </c>
      <c r="V587" s="118">
        <f t="shared" si="124"/>
        <v>0</v>
      </c>
      <c r="W587" s="118">
        <f t="shared" si="124"/>
        <v>0</v>
      </c>
      <c r="X587" s="118">
        <f t="shared" si="124"/>
        <v>0</v>
      </c>
      <c r="Y587" s="118">
        <f t="shared" si="122"/>
        <v>0</v>
      </c>
    </row>
    <row r="588" spans="1:25" x14ac:dyDescent="0.3">
      <c r="A588" s="116" t="str">
        <f>IF(Inputs!$A84="","",Inputs!$A84)</f>
        <v/>
      </c>
      <c r="B588" s="116"/>
      <c r="C588" s="116"/>
      <c r="D588" s="118">
        <f t="shared" si="123"/>
        <v>0</v>
      </c>
      <c r="E588" s="118">
        <f t="shared" si="123"/>
        <v>0</v>
      </c>
      <c r="F588" s="118">
        <f t="shared" si="123"/>
        <v>0</v>
      </c>
      <c r="G588" s="118">
        <f t="shared" si="123"/>
        <v>0</v>
      </c>
      <c r="H588" s="118">
        <f t="shared" si="123"/>
        <v>0</v>
      </c>
      <c r="I588" s="118">
        <f t="shared" si="123"/>
        <v>0</v>
      </c>
      <c r="J588" s="118">
        <f t="shared" si="123"/>
        <v>0</v>
      </c>
      <c r="K588" s="118">
        <f t="shared" si="123"/>
        <v>0</v>
      </c>
      <c r="L588" s="118">
        <f t="shared" si="123"/>
        <v>0</v>
      </c>
      <c r="M588" s="118">
        <f t="shared" si="123"/>
        <v>0</v>
      </c>
      <c r="N588" s="118">
        <f t="shared" si="124"/>
        <v>0</v>
      </c>
      <c r="O588" s="118">
        <f t="shared" si="124"/>
        <v>0</v>
      </c>
      <c r="P588" s="118">
        <f t="shared" si="124"/>
        <v>0</v>
      </c>
      <c r="Q588" s="118">
        <f t="shared" si="124"/>
        <v>0</v>
      </c>
      <c r="R588" s="118">
        <f t="shared" si="124"/>
        <v>0</v>
      </c>
      <c r="S588" s="118">
        <f t="shared" si="124"/>
        <v>0</v>
      </c>
      <c r="T588" s="118">
        <f t="shared" si="124"/>
        <v>0</v>
      </c>
      <c r="U588" s="118">
        <f t="shared" si="124"/>
        <v>0</v>
      </c>
      <c r="V588" s="118">
        <f t="shared" si="124"/>
        <v>0</v>
      </c>
      <c r="W588" s="118">
        <f t="shared" si="124"/>
        <v>0</v>
      </c>
      <c r="X588" s="118">
        <f t="shared" si="124"/>
        <v>0</v>
      </c>
      <c r="Y588" s="118">
        <f t="shared" si="122"/>
        <v>0</v>
      </c>
    </row>
    <row r="589" spans="1:25" x14ac:dyDescent="0.3">
      <c r="A589" s="116" t="str">
        <f>IF(Inputs!$A85="","",Inputs!$A85)</f>
        <v/>
      </c>
      <c r="B589" s="116"/>
      <c r="C589" s="116"/>
      <c r="D589" s="118">
        <f t="shared" si="123"/>
        <v>0</v>
      </c>
      <c r="E589" s="118">
        <f t="shared" si="123"/>
        <v>0</v>
      </c>
      <c r="F589" s="118">
        <f t="shared" si="123"/>
        <v>0</v>
      </c>
      <c r="G589" s="118">
        <f t="shared" si="123"/>
        <v>0</v>
      </c>
      <c r="H589" s="118">
        <f t="shared" si="123"/>
        <v>0</v>
      </c>
      <c r="I589" s="118">
        <f t="shared" si="123"/>
        <v>0</v>
      </c>
      <c r="J589" s="118">
        <f t="shared" si="123"/>
        <v>0</v>
      </c>
      <c r="K589" s="118">
        <f t="shared" si="123"/>
        <v>0</v>
      </c>
      <c r="L589" s="118">
        <f t="shared" si="123"/>
        <v>0</v>
      </c>
      <c r="M589" s="118">
        <f t="shared" si="123"/>
        <v>0</v>
      </c>
      <c r="N589" s="118">
        <f t="shared" si="124"/>
        <v>0</v>
      </c>
      <c r="O589" s="118">
        <f t="shared" si="124"/>
        <v>0</v>
      </c>
      <c r="P589" s="118">
        <f t="shared" si="124"/>
        <v>0</v>
      </c>
      <c r="Q589" s="118">
        <f t="shared" si="124"/>
        <v>0</v>
      </c>
      <c r="R589" s="118">
        <f t="shared" si="124"/>
        <v>0</v>
      </c>
      <c r="S589" s="118">
        <f t="shared" si="124"/>
        <v>0</v>
      </c>
      <c r="T589" s="118">
        <f t="shared" si="124"/>
        <v>0</v>
      </c>
      <c r="U589" s="118">
        <f t="shared" si="124"/>
        <v>0</v>
      </c>
      <c r="V589" s="118">
        <f t="shared" si="124"/>
        <v>0</v>
      </c>
      <c r="W589" s="118">
        <f t="shared" si="124"/>
        <v>0</v>
      </c>
      <c r="X589" s="118">
        <f t="shared" si="124"/>
        <v>0</v>
      </c>
      <c r="Y589" s="118">
        <f t="shared" si="122"/>
        <v>0</v>
      </c>
    </row>
    <row r="590" spans="1:25" x14ac:dyDescent="0.3">
      <c r="A590" s="119" t="s">
        <v>45</v>
      </c>
      <c r="B590" s="119"/>
      <c r="C590" s="119"/>
      <c r="D590" s="120">
        <f t="shared" ref="D590:Y590" si="125">SUM(D510:D589)</f>
        <v>1.2472972972972971</v>
      </c>
      <c r="E590" s="120">
        <f t="shared" si="125"/>
        <v>3.7364864864864868</v>
      </c>
      <c r="F590" s="120">
        <f t="shared" si="125"/>
        <v>3.4824324324324323</v>
      </c>
      <c r="G590" s="120">
        <f t="shared" si="125"/>
        <v>5.9310810810810803</v>
      </c>
      <c r="H590" s="120">
        <f t="shared" si="125"/>
        <v>8.0783783783783782</v>
      </c>
      <c r="I590" s="120">
        <f t="shared" si="125"/>
        <v>7.2337837837837844</v>
      </c>
      <c r="J590" s="120">
        <f t="shared" si="125"/>
        <v>5.96081081081081</v>
      </c>
      <c r="K590" s="120">
        <f t="shared" si="125"/>
        <v>8.7851351351351354</v>
      </c>
      <c r="L590" s="120">
        <f t="shared" si="125"/>
        <v>8.1783783783783761</v>
      </c>
      <c r="M590" s="120">
        <f t="shared" si="125"/>
        <v>6.6445945945945946</v>
      </c>
      <c r="N590" s="120">
        <f t="shared" si="125"/>
        <v>7.7986486486486468</v>
      </c>
      <c r="O590" s="120">
        <f t="shared" si="125"/>
        <v>3.464864864864865</v>
      </c>
      <c r="P590" s="120">
        <f t="shared" si="125"/>
        <v>0</v>
      </c>
      <c r="Q590" s="120">
        <f t="shared" si="125"/>
        <v>0</v>
      </c>
      <c r="R590" s="120">
        <f t="shared" si="125"/>
        <v>0</v>
      </c>
      <c r="S590" s="120">
        <f t="shared" si="125"/>
        <v>0</v>
      </c>
      <c r="T590" s="120">
        <f t="shared" si="125"/>
        <v>0</v>
      </c>
      <c r="U590" s="120">
        <f t="shared" si="125"/>
        <v>0</v>
      </c>
      <c r="V590" s="120">
        <f t="shared" si="125"/>
        <v>0</v>
      </c>
      <c r="W590" s="120">
        <f t="shared" si="125"/>
        <v>0</v>
      </c>
      <c r="X590" s="120">
        <f t="shared" si="125"/>
        <v>0</v>
      </c>
      <c r="Y590" s="120">
        <f t="shared" si="125"/>
        <v>70.541891891891893</v>
      </c>
    </row>
    <row r="593" spans="1:25" ht="19.95" customHeight="1" x14ac:dyDescent="0.3">
      <c r="A593" s="330" t="s">
        <v>65</v>
      </c>
      <c r="B593" s="330"/>
      <c r="C593" s="330"/>
      <c r="D593" s="330"/>
      <c r="E593" s="330"/>
      <c r="F593" s="330"/>
      <c r="G593" s="330"/>
      <c r="H593" s="330"/>
      <c r="I593" s="330"/>
      <c r="J593" s="330"/>
      <c r="K593" s="330"/>
      <c r="L593" s="330"/>
      <c r="M593" s="330"/>
      <c r="N593" s="330"/>
      <c r="O593" s="330"/>
      <c r="P593" s="330"/>
      <c r="Q593" s="330"/>
      <c r="R593" s="330"/>
      <c r="S593" s="330"/>
      <c r="T593" s="330"/>
      <c r="U593" s="330"/>
      <c r="V593" s="330"/>
      <c r="W593" s="330"/>
      <c r="X593" s="330"/>
      <c r="Y593" s="330"/>
    </row>
    <row r="594" spans="1:25" x14ac:dyDescent="0.3">
      <c r="A594" s="123" t="s">
        <v>35</v>
      </c>
      <c r="B594" s="124"/>
      <c r="C594" s="124"/>
      <c r="D594" s="124" t="str">
        <f t="shared" ref="D594:X594" si="126">D$4</f>
        <v>Opening</v>
      </c>
      <c r="E594" s="124" t="str">
        <f t="shared" si="126"/>
        <v>Q1-24</v>
      </c>
      <c r="F594" s="124" t="str">
        <f t="shared" si="126"/>
        <v>Q2-24</v>
      </c>
      <c r="G594" s="124" t="str">
        <f t="shared" si="126"/>
        <v>Q3-24</v>
      </c>
      <c r="H594" s="124" t="str">
        <f t="shared" si="126"/>
        <v>Q4-24</v>
      </c>
      <c r="I594" s="124" t="str">
        <f t="shared" si="126"/>
        <v>Q1-25</v>
      </c>
      <c r="J594" s="124" t="str">
        <f t="shared" si="126"/>
        <v>Q2-25</v>
      </c>
      <c r="K594" s="124" t="str">
        <f t="shared" si="126"/>
        <v>Q3-25</v>
      </c>
      <c r="L594" s="124" t="str">
        <f t="shared" si="126"/>
        <v>Q4-25</v>
      </c>
      <c r="M594" s="124" t="str">
        <f t="shared" si="126"/>
        <v>Q1-26</v>
      </c>
      <c r="N594" s="124" t="str">
        <f t="shared" si="126"/>
        <v>Q2-26</v>
      </c>
      <c r="O594" s="124" t="str">
        <f t="shared" si="126"/>
        <v>Q3-26</v>
      </c>
      <c r="P594" s="124" t="str">
        <f t="shared" si="126"/>
        <v>Q4-26</v>
      </c>
      <c r="Q594" s="124" t="str">
        <f t="shared" si="126"/>
        <v>Q1-27</v>
      </c>
      <c r="R594" s="124" t="str">
        <f t="shared" si="126"/>
        <v>Q2-27</v>
      </c>
      <c r="S594" s="124" t="str">
        <f t="shared" si="126"/>
        <v>Q3-27</v>
      </c>
      <c r="T594" s="124" t="str">
        <f t="shared" si="126"/>
        <v>Q4-27</v>
      </c>
      <c r="U594" s="124" t="str">
        <f t="shared" si="126"/>
        <v>Q1-28</v>
      </c>
      <c r="V594" s="124" t="str">
        <f t="shared" si="126"/>
        <v>Q2-28</v>
      </c>
      <c r="W594" s="124" t="str">
        <f t="shared" si="126"/>
        <v>Q3-28</v>
      </c>
      <c r="X594" s="124" t="str">
        <f t="shared" si="126"/>
        <v>Q4-28</v>
      </c>
      <c r="Y594" s="124" t="s">
        <v>4</v>
      </c>
    </row>
    <row r="595" spans="1:25" x14ac:dyDescent="0.3">
      <c r="A595" s="116" t="str">
        <f>IF(Inputs!$A6="","",Inputs!$A6)</f>
        <v>N25178-0100D</v>
      </c>
      <c r="B595" s="116"/>
      <c r="C595" s="116"/>
      <c r="D595" s="118">
        <f>IF(OR($A595="",$Y510=0),0,D510/$Y510*Inputs!$S6)</f>
        <v>0</v>
      </c>
      <c r="E595" s="118">
        <f>IF(OR($A595="",$Y510=0),0,E510/$Y510*Inputs!$S6)</f>
        <v>0</v>
      </c>
      <c r="F595" s="118">
        <f>IF(OR($A595="",$Y510=0),0,F510/$Y510*Inputs!$S6)</f>
        <v>0</v>
      </c>
      <c r="G595" s="118">
        <f>IF(OR($A595="",$Y510=0),0,G510/$Y510*Inputs!$S6)</f>
        <v>0</v>
      </c>
      <c r="H595" s="118">
        <f>IF(OR($A595="",$Y510=0),0,H510/$Y510*Inputs!$S6)</f>
        <v>0</v>
      </c>
      <c r="I595" s="118">
        <f>IF(OR($A595="",$Y510=0),0,I510/$Y510*Inputs!$S6)</f>
        <v>0</v>
      </c>
      <c r="J595" s="118">
        <f>IF(OR($A595="",$Y510=0),0,J510/$Y510*Inputs!$S6)</f>
        <v>0</v>
      </c>
      <c r="K595" s="118">
        <f>IF(OR($A595="",$Y510=0),0,K510/$Y510*Inputs!$S6)</f>
        <v>0</v>
      </c>
      <c r="L595" s="118">
        <f>IF(OR($A595="",$Y510=0),0,L510/$Y510*Inputs!$S6)</f>
        <v>0</v>
      </c>
      <c r="M595" s="118">
        <f>IF(OR($A595="",$Y510=0),0,M510/$Y510*Inputs!$S6)</f>
        <v>0</v>
      </c>
      <c r="N595" s="118">
        <f>IF(OR($A595="",$Y510=0),0,N510/$Y510*Inputs!$S6)</f>
        <v>0</v>
      </c>
      <c r="O595" s="118">
        <f>IF(OR($A595="",$Y510=0),0,O510/$Y510*Inputs!$S6)</f>
        <v>0</v>
      </c>
      <c r="P595" s="118">
        <f>IF(OR($A595="",$Y510=0),0,P510/$Y510*Inputs!$S6)</f>
        <v>0</v>
      </c>
      <c r="Q595" s="118">
        <f>IF(OR($A595="",$Y510=0),0,Q510/$Y510*Inputs!$S6)</f>
        <v>0</v>
      </c>
      <c r="R595" s="118">
        <f>IF(OR($A595="",$Y510=0),0,R510/$Y510*Inputs!$S6)</f>
        <v>0</v>
      </c>
      <c r="S595" s="118">
        <f>IF(OR($A595="",$Y510=0),0,S510/$Y510*Inputs!$S6)</f>
        <v>0</v>
      </c>
      <c r="T595" s="118">
        <f>IF(OR($A595="",$Y510=0),0,T510/$Y510*Inputs!$S6)</f>
        <v>0</v>
      </c>
      <c r="U595" s="118">
        <f>IF(OR($A595="",$Y510=0),0,U510/$Y510*Inputs!$S6)</f>
        <v>0</v>
      </c>
      <c r="V595" s="118">
        <f>IF(OR($A595="",$Y510=0),0,V510/$Y510*Inputs!$S6)</f>
        <v>0</v>
      </c>
      <c r="W595" s="118">
        <f>IF(OR($A595="",$Y510=0),0,W510/$Y510*Inputs!$S6)</f>
        <v>0</v>
      </c>
      <c r="X595" s="118">
        <f>IF(OR($A595="",$Y510=0),0,X510/$Y510*Inputs!$S6)</f>
        <v>0</v>
      </c>
      <c r="Y595" s="118">
        <f t="shared" ref="Y595:Y626" si="127">SUM(D595:X595)</f>
        <v>0</v>
      </c>
    </row>
    <row r="596" spans="1:25" x14ac:dyDescent="0.3">
      <c r="A596" s="116" t="str">
        <f>IF(Inputs!$A7="","",Inputs!$A7)</f>
        <v>E26084-0100D</v>
      </c>
      <c r="B596" s="116"/>
      <c r="C596" s="116"/>
      <c r="D596" s="118">
        <f>IF(OR($A596="",$Y511=0),0,D511/$Y511*Inputs!$S7)</f>
        <v>0</v>
      </c>
      <c r="E596" s="118">
        <f>IF(OR($A596="",$Y511=0),0,E511/$Y511*Inputs!$S7)</f>
        <v>0</v>
      </c>
      <c r="F596" s="118">
        <f>IF(OR($A596="",$Y511=0),0,F511/$Y511*Inputs!$S7)</f>
        <v>0</v>
      </c>
      <c r="G596" s="118">
        <f>IF(OR($A596="",$Y511=0),0,G511/$Y511*Inputs!$S7)</f>
        <v>0</v>
      </c>
      <c r="H596" s="118">
        <f>IF(OR($A596="",$Y511=0),0,H511/$Y511*Inputs!$S7)</f>
        <v>0</v>
      </c>
      <c r="I596" s="118">
        <f>IF(OR($A596="",$Y511=0),0,I511/$Y511*Inputs!$S7)</f>
        <v>0</v>
      </c>
      <c r="J596" s="118">
        <f>IF(OR($A596="",$Y511=0),0,J511/$Y511*Inputs!$S7)</f>
        <v>0</v>
      </c>
      <c r="K596" s="118">
        <f>IF(OR($A596="",$Y511=0),0,K511/$Y511*Inputs!$S7)</f>
        <v>0</v>
      </c>
      <c r="L596" s="118">
        <f>IF(OR($A596="",$Y511=0),0,L511/$Y511*Inputs!$S7)</f>
        <v>0</v>
      </c>
      <c r="M596" s="118">
        <f>IF(OR($A596="",$Y511=0),0,M511/$Y511*Inputs!$S7)</f>
        <v>0</v>
      </c>
      <c r="N596" s="118">
        <f>IF(OR($A596="",$Y511=0),0,N511/$Y511*Inputs!$S7)</f>
        <v>0</v>
      </c>
      <c r="O596" s="118">
        <f>IF(OR($A596="",$Y511=0),0,O511/$Y511*Inputs!$S7)</f>
        <v>0.48750000000000004</v>
      </c>
      <c r="P596" s="118">
        <f>IF(OR($A596="",$Y511=0),0,P511/$Y511*Inputs!$S7)</f>
        <v>0</v>
      </c>
      <c r="Q596" s="118">
        <f>IF(OR($A596="",$Y511=0),0,Q511/$Y511*Inputs!$S7)</f>
        <v>0</v>
      </c>
      <c r="R596" s="118">
        <f>IF(OR($A596="",$Y511=0),0,R511/$Y511*Inputs!$S7)</f>
        <v>0</v>
      </c>
      <c r="S596" s="118">
        <f>IF(OR($A596="",$Y511=0),0,S511/$Y511*Inputs!$S7)</f>
        <v>0</v>
      </c>
      <c r="T596" s="118">
        <f>IF(OR($A596="",$Y511=0),0,T511/$Y511*Inputs!$S7)</f>
        <v>0</v>
      </c>
      <c r="U596" s="118">
        <f>IF(OR($A596="",$Y511=0),0,U511/$Y511*Inputs!$S7)</f>
        <v>0</v>
      </c>
      <c r="V596" s="118">
        <f>IF(OR($A596="",$Y511=0),0,V511/$Y511*Inputs!$S7)</f>
        <v>0</v>
      </c>
      <c r="W596" s="118">
        <f>IF(OR($A596="",$Y511=0),0,W511/$Y511*Inputs!$S7)</f>
        <v>0</v>
      </c>
      <c r="X596" s="118">
        <f>IF(OR($A596="",$Y511=0),0,X511/$Y511*Inputs!$S7)</f>
        <v>0</v>
      </c>
      <c r="Y596" s="118">
        <f t="shared" si="127"/>
        <v>0.48750000000000004</v>
      </c>
    </row>
    <row r="597" spans="1:25" x14ac:dyDescent="0.3">
      <c r="A597" s="116" t="str">
        <f>IF(Inputs!$A8="","",Inputs!$A8)</f>
        <v>N25185-0100D</v>
      </c>
      <c r="B597" s="116"/>
      <c r="C597" s="116"/>
      <c r="D597" s="118">
        <f>IF(OR($A597="",$Y512=0),0,D512/$Y512*Inputs!$S8)</f>
        <v>0</v>
      </c>
      <c r="E597" s="118">
        <f>IF(OR($A597="",$Y512=0),0,E512/$Y512*Inputs!$S8)</f>
        <v>0</v>
      </c>
      <c r="F597" s="118">
        <f>IF(OR($A597="",$Y512=0),0,F512/$Y512*Inputs!$S8)</f>
        <v>0</v>
      </c>
      <c r="G597" s="118">
        <f>IF(OR($A597="",$Y512=0),0,G512/$Y512*Inputs!$S8)</f>
        <v>0</v>
      </c>
      <c r="H597" s="118">
        <f>IF(OR($A597="",$Y512=0),0,H512/$Y512*Inputs!$S8)</f>
        <v>0</v>
      </c>
      <c r="I597" s="118">
        <f>IF(OR($A597="",$Y512=0),0,I512/$Y512*Inputs!$S8)</f>
        <v>0</v>
      </c>
      <c r="J597" s="118">
        <f>IF(OR($A597="",$Y512=0),0,J512/$Y512*Inputs!$S8)</f>
        <v>0</v>
      </c>
      <c r="K597" s="118">
        <f>IF(OR($A597="",$Y512=0),0,K512/$Y512*Inputs!$S8)</f>
        <v>0</v>
      </c>
      <c r="L597" s="118">
        <f>IF(OR($A597="",$Y512=0),0,L512/$Y512*Inputs!$S8)</f>
        <v>2.2179962049335864</v>
      </c>
      <c r="M597" s="118">
        <f>IF(OR($A597="",$Y512=0),0,M512/$Y512*Inputs!$S8)</f>
        <v>1.9037950664136623</v>
      </c>
      <c r="N597" s="118">
        <f>IF(OR($A597="",$Y512=0),0,N512/$Y512*Inputs!$S8)</f>
        <v>2.7636508538899425</v>
      </c>
      <c r="O597" s="118">
        <f>IF(OR($A597="",$Y512=0),0,O512/$Y512*Inputs!$S8)</f>
        <v>1.3305578747628084</v>
      </c>
      <c r="P597" s="118">
        <f>IF(OR($A597="",$Y512=0),0,P512/$Y512*Inputs!$S8)</f>
        <v>0</v>
      </c>
      <c r="Q597" s="118">
        <f>IF(OR($A597="",$Y512=0),0,Q512/$Y512*Inputs!$S8)</f>
        <v>0</v>
      </c>
      <c r="R597" s="118">
        <f>IF(OR($A597="",$Y512=0),0,R512/$Y512*Inputs!$S8)</f>
        <v>0</v>
      </c>
      <c r="S597" s="118">
        <f>IF(OR($A597="",$Y512=0),0,S512/$Y512*Inputs!$S8)</f>
        <v>0</v>
      </c>
      <c r="T597" s="118">
        <f>IF(OR($A597="",$Y512=0),0,T512/$Y512*Inputs!$S8)</f>
        <v>0</v>
      </c>
      <c r="U597" s="118">
        <f>IF(OR($A597="",$Y512=0),0,U512/$Y512*Inputs!$S8)</f>
        <v>0</v>
      </c>
      <c r="V597" s="118">
        <f>IF(OR($A597="",$Y512=0),0,V512/$Y512*Inputs!$S8)</f>
        <v>0</v>
      </c>
      <c r="W597" s="118">
        <f>IF(OR($A597="",$Y512=0),0,W512/$Y512*Inputs!$S8)</f>
        <v>0</v>
      </c>
      <c r="X597" s="118">
        <f>IF(OR($A597="",$Y512=0),0,X512/$Y512*Inputs!$S8)</f>
        <v>0</v>
      </c>
      <c r="Y597" s="118">
        <f t="shared" si="127"/>
        <v>8.2159999999999993</v>
      </c>
    </row>
    <row r="598" spans="1:25" x14ac:dyDescent="0.3">
      <c r="A598" s="116" t="str">
        <f>IF(Inputs!$A9="","",Inputs!$A9)</f>
        <v>AN22137-0100D</v>
      </c>
      <c r="B598" s="116"/>
      <c r="C598" s="116"/>
      <c r="D598" s="118">
        <f>IF(OR($A598="",$Y513=0),0,D513/$Y513*Inputs!$S9)</f>
        <v>0</v>
      </c>
      <c r="E598" s="118">
        <f>IF(OR($A598="",$Y513=0),0,E513/$Y513*Inputs!$S9)</f>
        <v>0</v>
      </c>
      <c r="F598" s="118">
        <f>IF(OR($A598="",$Y513=0),0,F513/$Y513*Inputs!$S9)</f>
        <v>0</v>
      </c>
      <c r="G598" s="118">
        <f>IF(OR($A598="",$Y513=0),0,G513/$Y513*Inputs!$S9)</f>
        <v>0</v>
      </c>
      <c r="H598" s="118">
        <f>IF(OR($A598="",$Y513=0),0,H513/$Y513*Inputs!$S9)</f>
        <v>0</v>
      </c>
      <c r="I598" s="118">
        <f>IF(OR($A598="",$Y513=0),0,I513/$Y513*Inputs!$S9)</f>
        <v>0</v>
      </c>
      <c r="J598" s="118">
        <f>IF(OR($A598="",$Y513=0),0,J513/$Y513*Inputs!$S9)</f>
        <v>0</v>
      </c>
      <c r="K598" s="118">
        <f>IF(OR($A598="",$Y513=0),0,K513/$Y513*Inputs!$S9)</f>
        <v>0</v>
      </c>
      <c r="L598" s="118">
        <f>IF(OR($A598="",$Y513=0),0,L513/$Y513*Inputs!$S9)</f>
        <v>0</v>
      </c>
      <c r="M598" s="118">
        <f>IF(OR($A598="",$Y513=0),0,M513/$Y513*Inputs!$S9)</f>
        <v>0</v>
      </c>
      <c r="N598" s="118">
        <f>IF(OR($A598="",$Y513=0),0,N513/$Y513*Inputs!$S9)</f>
        <v>0</v>
      </c>
      <c r="O598" s="118">
        <f>IF(OR($A598="",$Y513=0),0,O513/$Y513*Inputs!$S9)</f>
        <v>0</v>
      </c>
      <c r="P598" s="118">
        <f>IF(OR($A598="",$Y513=0),0,P513/$Y513*Inputs!$S9)</f>
        <v>0</v>
      </c>
      <c r="Q598" s="118">
        <f>IF(OR($A598="",$Y513=0),0,Q513/$Y513*Inputs!$S9)</f>
        <v>0</v>
      </c>
      <c r="R598" s="118">
        <f>IF(OR($A598="",$Y513=0),0,R513/$Y513*Inputs!$S9)</f>
        <v>0</v>
      </c>
      <c r="S598" s="118">
        <f>IF(OR($A598="",$Y513=0),0,S513/$Y513*Inputs!$S9)</f>
        <v>0</v>
      </c>
      <c r="T598" s="118">
        <f>IF(OR($A598="",$Y513=0),0,T513/$Y513*Inputs!$S9)</f>
        <v>0</v>
      </c>
      <c r="U598" s="118">
        <f>IF(OR($A598="",$Y513=0),0,U513/$Y513*Inputs!$S9)</f>
        <v>0</v>
      </c>
      <c r="V598" s="118">
        <f>IF(OR($A598="",$Y513=0),0,V513/$Y513*Inputs!$S9)</f>
        <v>0</v>
      </c>
      <c r="W598" s="118">
        <f>IF(OR($A598="",$Y513=0),0,W513/$Y513*Inputs!$S9)</f>
        <v>0</v>
      </c>
      <c r="X598" s="118">
        <f>IF(OR($A598="",$Y513=0),0,X513/$Y513*Inputs!$S9)</f>
        <v>0</v>
      </c>
      <c r="Y598" s="118">
        <f t="shared" si="127"/>
        <v>0</v>
      </c>
    </row>
    <row r="599" spans="1:25" x14ac:dyDescent="0.3">
      <c r="A599" s="116" t="str">
        <f>IF(Inputs!$A10="","",Inputs!$A10)</f>
        <v>D26058-0100D</v>
      </c>
      <c r="B599" s="116"/>
      <c r="C599" s="116"/>
      <c r="D599" s="118">
        <f>IF(OR($A599="",$Y514=0),0,D514/$Y514*Inputs!$S10)</f>
        <v>0</v>
      </c>
      <c r="E599" s="118">
        <f>IF(OR($A599="",$Y514=0),0,E514/$Y514*Inputs!$S10)</f>
        <v>0</v>
      </c>
      <c r="F599" s="118">
        <f>IF(OR($A599="",$Y514=0),0,F514/$Y514*Inputs!$S10)</f>
        <v>0</v>
      </c>
      <c r="G599" s="118">
        <f>IF(OR($A599="",$Y514=0),0,G514/$Y514*Inputs!$S10)</f>
        <v>0</v>
      </c>
      <c r="H599" s="118">
        <f>IF(OR($A599="",$Y514=0),0,H514/$Y514*Inputs!$S10)</f>
        <v>0</v>
      </c>
      <c r="I599" s="118">
        <f>IF(OR($A599="",$Y514=0),0,I514/$Y514*Inputs!$S10)</f>
        <v>0</v>
      </c>
      <c r="J599" s="118">
        <f>IF(OR($A599="",$Y514=0),0,J514/$Y514*Inputs!$S10)</f>
        <v>0</v>
      </c>
      <c r="K599" s="118">
        <f>IF(OR($A599="",$Y514=0),0,K514/$Y514*Inputs!$S10)</f>
        <v>0</v>
      </c>
      <c r="L599" s="118">
        <f>IF(OR($A599="",$Y514=0),0,L514/$Y514*Inputs!$S10)</f>
        <v>0</v>
      </c>
      <c r="M599" s="118">
        <f>IF(OR($A599="",$Y514=0),0,M514/$Y514*Inputs!$S10)</f>
        <v>0</v>
      </c>
      <c r="N599" s="118">
        <f>IF(OR($A599="",$Y514=0),0,N514/$Y514*Inputs!$S10)</f>
        <v>0</v>
      </c>
      <c r="O599" s="118">
        <f>IF(OR($A599="",$Y514=0),0,O514/$Y514*Inputs!$S10)</f>
        <v>0</v>
      </c>
      <c r="P599" s="118">
        <f>IF(OR($A599="",$Y514=0),0,P514/$Y514*Inputs!$S10)</f>
        <v>0</v>
      </c>
      <c r="Q599" s="118">
        <f>IF(OR($A599="",$Y514=0),0,Q514/$Y514*Inputs!$S10)</f>
        <v>0</v>
      </c>
      <c r="R599" s="118">
        <f>IF(OR($A599="",$Y514=0),0,R514/$Y514*Inputs!$S10)</f>
        <v>0</v>
      </c>
      <c r="S599" s="118">
        <f>IF(OR($A599="",$Y514=0),0,S514/$Y514*Inputs!$S10)</f>
        <v>0</v>
      </c>
      <c r="T599" s="118">
        <f>IF(OR($A599="",$Y514=0),0,T514/$Y514*Inputs!$S10)</f>
        <v>0</v>
      </c>
      <c r="U599" s="118">
        <f>IF(OR($A599="",$Y514=0),0,U514/$Y514*Inputs!$S10)</f>
        <v>0</v>
      </c>
      <c r="V599" s="118">
        <f>IF(OR($A599="",$Y514=0),0,V514/$Y514*Inputs!$S10)</f>
        <v>0</v>
      </c>
      <c r="W599" s="118">
        <f>IF(OR($A599="",$Y514=0),0,W514/$Y514*Inputs!$S10)</f>
        <v>0</v>
      </c>
      <c r="X599" s="118">
        <f>IF(OR($A599="",$Y514=0),0,X514/$Y514*Inputs!$S10)</f>
        <v>0</v>
      </c>
      <c r="Y599" s="118">
        <f t="shared" si="127"/>
        <v>0</v>
      </c>
    </row>
    <row r="600" spans="1:25" x14ac:dyDescent="0.3">
      <c r="A600" s="116" t="str">
        <f>IF(Inputs!$A11="","",Inputs!$A11)</f>
        <v xml:space="preserve">AD24217-0100D </v>
      </c>
      <c r="B600" s="116"/>
      <c r="C600" s="116"/>
      <c r="D600" s="118">
        <f>IF(OR($A600="",$Y515=0),0,D515/$Y515*Inputs!$S11)</f>
        <v>0</v>
      </c>
      <c r="E600" s="118">
        <f>IF(OR($A600="",$Y515=0),0,E515/$Y515*Inputs!$S11)</f>
        <v>0</v>
      </c>
      <c r="F600" s="118">
        <f>IF(OR($A600="",$Y515=0),0,F515/$Y515*Inputs!$S11)</f>
        <v>0</v>
      </c>
      <c r="G600" s="118">
        <f>IF(OR($A600="",$Y515=0),0,G515/$Y515*Inputs!$S11)</f>
        <v>0</v>
      </c>
      <c r="H600" s="118">
        <f>IF(OR($A600="",$Y515=0),0,H515/$Y515*Inputs!$S11)</f>
        <v>0</v>
      </c>
      <c r="I600" s="118">
        <f>IF(OR($A600="",$Y515=0),0,I515/$Y515*Inputs!$S11)</f>
        <v>0.1340956340956341</v>
      </c>
      <c r="J600" s="118">
        <f>IF(OR($A600="",$Y515=0),0,J515/$Y515*Inputs!$S11)</f>
        <v>2.0644490644490645</v>
      </c>
      <c r="K600" s="118">
        <f>IF(OR($A600="",$Y515=0),0,K515/$Y515*Inputs!$S11)</f>
        <v>0.68451143451143448</v>
      </c>
      <c r="L600" s="118">
        <f>IF(OR($A600="",$Y515=0),0,L515/$Y515*Inputs!$S11)</f>
        <v>0.11694386694386695</v>
      </c>
      <c r="M600" s="118">
        <f>IF(OR($A600="",$Y515=0),0,M515/$Y515*Inputs!$S11)</f>
        <v>0</v>
      </c>
      <c r="N600" s="118">
        <f>IF(OR($A600="",$Y515=0),0,N515/$Y515*Inputs!$S11)</f>
        <v>0</v>
      </c>
      <c r="O600" s="118">
        <f>IF(OR($A600="",$Y515=0),0,O515/$Y515*Inputs!$S11)</f>
        <v>0</v>
      </c>
      <c r="P600" s="118">
        <f>IF(OR($A600="",$Y515=0),0,P515/$Y515*Inputs!$S11)</f>
        <v>0</v>
      </c>
      <c r="Q600" s="118">
        <f>IF(OR($A600="",$Y515=0),0,Q515/$Y515*Inputs!$S11)</f>
        <v>0</v>
      </c>
      <c r="R600" s="118">
        <f>IF(OR($A600="",$Y515=0),0,R515/$Y515*Inputs!$S11)</f>
        <v>0</v>
      </c>
      <c r="S600" s="118">
        <f>IF(OR($A600="",$Y515=0),0,S515/$Y515*Inputs!$S11)</f>
        <v>0</v>
      </c>
      <c r="T600" s="118">
        <f>IF(OR($A600="",$Y515=0),0,T515/$Y515*Inputs!$S11)</f>
        <v>0</v>
      </c>
      <c r="U600" s="118">
        <f>IF(OR($A600="",$Y515=0),0,U515/$Y515*Inputs!$S11)</f>
        <v>0</v>
      </c>
      <c r="V600" s="118">
        <f>IF(OR($A600="",$Y515=0),0,V515/$Y515*Inputs!$S11)</f>
        <v>0</v>
      </c>
      <c r="W600" s="118">
        <f>IF(OR($A600="",$Y515=0),0,W515/$Y515*Inputs!$S11)</f>
        <v>0</v>
      </c>
      <c r="X600" s="118">
        <f>IF(OR($A600="",$Y515=0),0,X515/$Y515*Inputs!$S11)</f>
        <v>0</v>
      </c>
      <c r="Y600" s="118">
        <f t="shared" si="127"/>
        <v>3</v>
      </c>
    </row>
    <row r="601" spans="1:25" x14ac:dyDescent="0.3">
      <c r="A601" s="116" t="str">
        <f>IF(Inputs!$A12="","",Inputs!$A12)</f>
        <v>AN23207-0500D</v>
      </c>
      <c r="B601" s="116"/>
      <c r="C601" s="116"/>
      <c r="D601" s="118">
        <f>IF(OR($A601="",$Y516=0),0,D516/$Y516*Inputs!$S12)</f>
        <v>0</v>
      </c>
      <c r="E601" s="118">
        <f>IF(OR($A601="",$Y516=0),0,E516/$Y516*Inputs!$S12)</f>
        <v>0</v>
      </c>
      <c r="F601" s="118">
        <f>IF(OR($A601="",$Y516=0),0,F516/$Y516*Inputs!$S12)</f>
        <v>0</v>
      </c>
      <c r="G601" s="118">
        <f>IF(OR($A601="",$Y516=0),0,G516/$Y516*Inputs!$S12)</f>
        <v>0</v>
      </c>
      <c r="H601" s="118">
        <f>IF(OR($A601="",$Y516=0),0,H516/$Y516*Inputs!$S12)</f>
        <v>0</v>
      </c>
      <c r="I601" s="118">
        <f>IF(OR($A601="",$Y516=0),0,I516/$Y516*Inputs!$S12)</f>
        <v>0</v>
      </c>
      <c r="J601" s="118">
        <f>IF(OR($A601="",$Y516=0),0,J516/$Y516*Inputs!$S12)</f>
        <v>0</v>
      </c>
      <c r="K601" s="118">
        <f>IF(OR($A601="",$Y516=0),0,K516/$Y516*Inputs!$S12)</f>
        <v>0</v>
      </c>
      <c r="L601" s="118">
        <f>IF(OR($A601="",$Y516=0),0,L516/$Y516*Inputs!$S12)</f>
        <v>0</v>
      </c>
      <c r="M601" s="118">
        <f>IF(OR($A601="",$Y516=0),0,M516/$Y516*Inputs!$S12)</f>
        <v>0</v>
      </c>
      <c r="N601" s="118">
        <f>IF(OR($A601="",$Y516=0),0,N516/$Y516*Inputs!$S12)</f>
        <v>0</v>
      </c>
      <c r="O601" s="118">
        <f>IF(OR($A601="",$Y516=0),0,O516/$Y516*Inputs!$S12)</f>
        <v>0</v>
      </c>
      <c r="P601" s="118">
        <f>IF(OR($A601="",$Y516=0),0,P516/$Y516*Inputs!$S12)</f>
        <v>0</v>
      </c>
      <c r="Q601" s="118">
        <f>IF(OR($A601="",$Y516=0),0,Q516/$Y516*Inputs!$S12)</f>
        <v>0</v>
      </c>
      <c r="R601" s="118">
        <f>IF(OR($A601="",$Y516=0),0,R516/$Y516*Inputs!$S12)</f>
        <v>0</v>
      </c>
      <c r="S601" s="118">
        <f>IF(OR($A601="",$Y516=0),0,S516/$Y516*Inputs!$S12)</f>
        <v>0</v>
      </c>
      <c r="T601" s="118">
        <f>IF(OR($A601="",$Y516=0),0,T516/$Y516*Inputs!$S12)</f>
        <v>0</v>
      </c>
      <c r="U601" s="118">
        <f>IF(OR($A601="",$Y516=0),0,U516/$Y516*Inputs!$S12)</f>
        <v>0</v>
      </c>
      <c r="V601" s="118">
        <f>IF(OR($A601="",$Y516=0),0,V516/$Y516*Inputs!$S12)</f>
        <v>0</v>
      </c>
      <c r="W601" s="118">
        <f>IF(OR($A601="",$Y516=0),0,W516/$Y516*Inputs!$S12)</f>
        <v>0</v>
      </c>
      <c r="X601" s="118">
        <f>IF(OR($A601="",$Y516=0),0,X516/$Y516*Inputs!$S12)</f>
        <v>0</v>
      </c>
      <c r="Y601" s="118">
        <f t="shared" si="127"/>
        <v>0</v>
      </c>
    </row>
    <row r="602" spans="1:25" x14ac:dyDescent="0.3">
      <c r="A602" s="116" t="str">
        <f>IF(Inputs!$A13="","",Inputs!$A13)</f>
        <v>AN23276-0100D</v>
      </c>
      <c r="B602" s="116"/>
      <c r="C602" s="116"/>
      <c r="D602" s="118">
        <f>IF(OR($A602="",$Y517=0),0,D517/$Y517*Inputs!$S13)</f>
        <v>0</v>
      </c>
      <c r="E602" s="118">
        <f>IF(OR($A602="",$Y517=0),0,E517/$Y517*Inputs!$S13)</f>
        <v>0</v>
      </c>
      <c r="F602" s="118">
        <f>IF(OR($A602="",$Y517=0),0,F517/$Y517*Inputs!$S13)</f>
        <v>0.19148936170212766</v>
      </c>
      <c r="G602" s="118">
        <f>IF(OR($A602="",$Y517=0),0,G517/$Y517*Inputs!$S13)</f>
        <v>3.7750759878419453</v>
      </c>
      <c r="H602" s="118">
        <f>IF(OR($A602="",$Y517=0),0,H517/$Y517*Inputs!$S13)</f>
        <v>0</v>
      </c>
      <c r="I602" s="118">
        <f>IF(OR($A602="",$Y517=0),0,I517/$Y517*Inputs!$S13)</f>
        <v>0</v>
      </c>
      <c r="J602" s="118">
        <f>IF(OR($A602="",$Y517=0),0,J517/$Y517*Inputs!$S13)</f>
        <v>0.53343465045592708</v>
      </c>
      <c r="K602" s="118">
        <f>IF(OR($A602="",$Y517=0),0,K517/$Y517*Inputs!$S13)</f>
        <v>0</v>
      </c>
      <c r="L602" s="118">
        <f>IF(OR($A602="",$Y517=0),0,L517/$Y517*Inputs!$S13)</f>
        <v>0</v>
      </c>
      <c r="M602" s="118">
        <f>IF(OR($A602="",$Y517=0),0,M517/$Y517*Inputs!$S13)</f>
        <v>0</v>
      </c>
      <c r="N602" s="118">
        <f>IF(OR($A602="",$Y517=0),0,N517/$Y517*Inputs!$S13)</f>
        <v>0</v>
      </c>
      <c r="O602" s="118">
        <f>IF(OR($A602="",$Y517=0),0,O517/$Y517*Inputs!$S13)</f>
        <v>0</v>
      </c>
      <c r="P602" s="118">
        <f>IF(OR($A602="",$Y517=0),0,P517/$Y517*Inputs!$S13)</f>
        <v>0</v>
      </c>
      <c r="Q602" s="118">
        <f>IF(OR($A602="",$Y517=0),0,Q517/$Y517*Inputs!$S13)</f>
        <v>0</v>
      </c>
      <c r="R602" s="118">
        <f>IF(OR($A602="",$Y517=0),0,R517/$Y517*Inputs!$S13)</f>
        <v>0</v>
      </c>
      <c r="S602" s="118">
        <f>IF(OR($A602="",$Y517=0),0,S517/$Y517*Inputs!$S13)</f>
        <v>0</v>
      </c>
      <c r="T602" s="118">
        <f>IF(OR($A602="",$Y517=0),0,T517/$Y517*Inputs!$S13)</f>
        <v>0</v>
      </c>
      <c r="U602" s="118">
        <f>IF(OR($A602="",$Y517=0),0,U517/$Y517*Inputs!$S13)</f>
        <v>0</v>
      </c>
      <c r="V602" s="118">
        <f>IF(OR($A602="",$Y517=0),0,V517/$Y517*Inputs!$S13)</f>
        <v>0</v>
      </c>
      <c r="W602" s="118">
        <f>IF(OR($A602="",$Y517=0),0,W517/$Y517*Inputs!$S13)</f>
        <v>0</v>
      </c>
      <c r="X602" s="118">
        <f>IF(OR($A602="",$Y517=0),0,X517/$Y517*Inputs!$S13)</f>
        <v>0</v>
      </c>
      <c r="Y602" s="118">
        <f t="shared" si="127"/>
        <v>4.5</v>
      </c>
    </row>
    <row r="603" spans="1:25" x14ac:dyDescent="0.3">
      <c r="A603" s="116" t="str">
        <f>IF(Inputs!$A14="","",Inputs!$A14)</f>
        <v>AN24073-0100D</v>
      </c>
      <c r="B603" s="116"/>
      <c r="C603" s="116"/>
      <c r="D603" s="118">
        <f>IF(OR($A603="",$Y518=0),0,D518/$Y518*Inputs!$S14)</f>
        <v>0</v>
      </c>
      <c r="E603" s="118">
        <f>IF(OR($A603="",$Y518=0),0,E518/$Y518*Inputs!$S14)</f>
        <v>0</v>
      </c>
      <c r="F603" s="118">
        <f>IF(OR($A603="",$Y518=0),0,F518/$Y518*Inputs!$S14)</f>
        <v>0</v>
      </c>
      <c r="G603" s="118">
        <f>IF(OR($A603="",$Y518=0),0,G518/$Y518*Inputs!$S14)</f>
        <v>0</v>
      </c>
      <c r="H603" s="118">
        <f>IF(OR($A603="",$Y518=0),0,H518/$Y518*Inputs!$S14)</f>
        <v>0</v>
      </c>
      <c r="I603" s="118">
        <f>IF(OR($A603="",$Y518=0),0,I518/$Y518*Inputs!$S14)</f>
        <v>0</v>
      </c>
      <c r="J603" s="118">
        <f>IF(OR($A603="",$Y518=0),0,J518/$Y518*Inputs!$S14)</f>
        <v>0</v>
      </c>
      <c r="K603" s="118">
        <f>IF(OR($A603="",$Y518=0),0,K518/$Y518*Inputs!$S14)</f>
        <v>1.1085526315789473</v>
      </c>
      <c r="L603" s="118">
        <f>IF(OR($A603="",$Y518=0),0,L518/$Y518*Inputs!$S14)</f>
        <v>1.6447368421052634E-2</v>
      </c>
      <c r="M603" s="118">
        <f>IF(OR($A603="",$Y518=0),0,M518/$Y518*Inputs!$S14)</f>
        <v>0</v>
      </c>
      <c r="N603" s="118">
        <f>IF(OR($A603="",$Y518=0),0,N518/$Y518*Inputs!$S14)</f>
        <v>0</v>
      </c>
      <c r="O603" s="118">
        <f>IF(OR($A603="",$Y518=0),0,O518/$Y518*Inputs!$S14)</f>
        <v>0</v>
      </c>
      <c r="P603" s="118">
        <f>IF(OR($A603="",$Y518=0),0,P518/$Y518*Inputs!$S14)</f>
        <v>0</v>
      </c>
      <c r="Q603" s="118">
        <f>IF(OR($A603="",$Y518=0),0,Q518/$Y518*Inputs!$S14)</f>
        <v>0</v>
      </c>
      <c r="R603" s="118">
        <f>IF(OR($A603="",$Y518=0),0,R518/$Y518*Inputs!$S14)</f>
        <v>0</v>
      </c>
      <c r="S603" s="118">
        <f>IF(OR($A603="",$Y518=0),0,S518/$Y518*Inputs!$S14)</f>
        <v>0</v>
      </c>
      <c r="T603" s="118">
        <f>IF(OR($A603="",$Y518=0),0,T518/$Y518*Inputs!$S14)</f>
        <v>0</v>
      </c>
      <c r="U603" s="118">
        <f>IF(OR($A603="",$Y518=0),0,U518/$Y518*Inputs!$S14)</f>
        <v>0</v>
      </c>
      <c r="V603" s="118">
        <f>IF(OR($A603="",$Y518=0),0,V518/$Y518*Inputs!$S14)</f>
        <v>0</v>
      </c>
      <c r="W603" s="118">
        <f>IF(OR($A603="",$Y518=0),0,W518/$Y518*Inputs!$S14)</f>
        <v>0</v>
      </c>
      <c r="X603" s="118">
        <f>IF(OR($A603="",$Y518=0),0,X518/$Y518*Inputs!$S14)</f>
        <v>0</v>
      </c>
      <c r="Y603" s="118">
        <f t="shared" si="127"/>
        <v>1.125</v>
      </c>
    </row>
    <row r="604" spans="1:25" x14ac:dyDescent="0.3">
      <c r="A604" s="116" t="str">
        <f>IF(Inputs!$A15="","",Inputs!$A15)</f>
        <v>AN24140-0100R</v>
      </c>
      <c r="B604" s="116"/>
      <c r="C604" s="116"/>
      <c r="D604" s="118">
        <f>IF(OR($A604="",$Y519=0),0,D519/$Y519*Inputs!$S15)</f>
        <v>0</v>
      </c>
      <c r="E604" s="118">
        <f>IF(OR($A604="",$Y519=0),0,E519/$Y519*Inputs!$S15)</f>
        <v>0</v>
      </c>
      <c r="F604" s="118">
        <f>IF(OR($A604="",$Y519=0),0,F519/$Y519*Inputs!$S15)</f>
        <v>0</v>
      </c>
      <c r="G604" s="118">
        <f>IF(OR($A604="",$Y519=0),0,G519/$Y519*Inputs!$S15)</f>
        <v>0</v>
      </c>
      <c r="H604" s="118">
        <f>IF(OR($A604="",$Y519=0),0,H519/$Y519*Inputs!$S15)</f>
        <v>2.0161290322580652E-2</v>
      </c>
      <c r="I604" s="118">
        <f>IF(OR($A604="",$Y519=0),0,I519/$Y519*Inputs!$S15)</f>
        <v>7.7016129032258088E-2</v>
      </c>
      <c r="J604" s="118">
        <f>IF(OR($A604="",$Y519=0),0,J519/$Y519*Inputs!$S15)</f>
        <v>4.4758064516129049E-2</v>
      </c>
      <c r="K604" s="118">
        <f>IF(OR($A604="",$Y519=0),0,K519/$Y519*Inputs!$S15)</f>
        <v>1.612903225806452E-3</v>
      </c>
      <c r="L604" s="118">
        <f>IF(OR($A604="",$Y519=0),0,L519/$Y519*Inputs!$S15)</f>
        <v>0</v>
      </c>
      <c r="M604" s="118">
        <f>IF(OR($A604="",$Y519=0),0,M519/$Y519*Inputs!$S15)</f>
        <v>6.4516129032258082E-3</v>
      </c>
      <c r="N604" s="118">
        <f>IF(OR($A604="",$Y519=0),0,N519/$Y519*Inputs!$S15)</f>
        <v>0</v>
      </c>
      <c r="O604" s="118">
        <f>IF(OR($A604="",$Y519=0),0,O519/$Y519*Inputs!$S15)</f>
        <v>0</v>
      </c>
      <c r="P604" s="118">
        <f>IF(OR($A604="",$Y519=0),0,P519/$Y519*Inputs!$S15)</f>
        <v>0</v>
      </c>
      <c r="Q604" s="118">
        <f>IF(OR($A604="",$Y519=0),0,Q519/$Y519*Inputs!$S15)</f>
        <v>0</v>
      </c>
      <c r="R604" s="118">
        <f>IF(OR($A604="",$Y519=0),0,R519/$Y519*Inputs!$S15)</f>
        <v>0</v>
      </c>
      <c r="S604" s="118">
        <f>IF(OR($A604="",$Y519=0),0,S519/$Y519*Inputs!$S15)</f>
        <v>0</v>
      </c>
      <c r="T604" s="118">
        <f>IF(OR($A604="",$Y519=0),0,T519/$Y519*Inputs!$S15)</f>
        <v>0</v>
      </c>
      <c r="U604" s="118">
        <f>IF(OR($A604="",$Y519=0),0,U519/$Y519*Inputs!$S15)</f>
        <v>0</v>
      </c>
      <c r="V604" s="118">
        <f>IF(OR($A604="",$Y519=0),0,V519/$Y519*Inputs!$S15)</f>
        <v>0</v>
      </c>
      <c r="W604" s="118">
        <f>IF(OR($A604="",$Y519=0),0,W519/$Y519*Inputs!$S15)</f>
        <v>0</v>
      </c>
      <c r="X604" s="118">
        <f>IF(OR($A604="",$Y519=0),0,X519/$Y519*Inputs!$S15)</f>
        <v>0</v>
      </c>
      <c r="Y604" s="118">
        <f t="shared" si="127"/>
        <v>0.15000000000000005</v>
      </c>
    </row>
    <row r="605" spans="1:25" x14ac:dyDescent="0.3">
      <c r="A605" s="116" t="str">
        <f>IF(Inputs!$A16="","",Inputs!$A16)</f>
        <v>CS24035-0100D</v>
      </c>
      <c r="B605" s="116"/>
      <c r="C605" s="116"/>
      <c r="D605" s="118">
        <f>IF(OR($A605="",$Y520=0),0,D520/$Y520*Inputs!$S16)</f>
        <v>0</v>
      </c>
      <c r="E605" s="118">
        <f>IF(OR($A605="",$Y520=0),0,E520/$Y520*Inputs!$S16)</f>
        <v>3.5202761000862816E-2</v>
      </c>
      <c r="F605" s="118">
        <f>IF(OR($A605="",$Y520=0),0,F520/$Y520*Inputs!$S16)</f>
        <v>0</v>
      </c>
      <c r="G605" s="118">
        <f>IF(OR($A605="",$Y520=0),0,G520/$Y520*Inputs!$S16)</f>
        <v>0</v>
      </c>
      <c r="H605" s="118">
        <f>IF(OR($A605="",$Y520=0),0,H520/$Y520*Inputs!$S16)</f>
        <v>0</v>
      </c>
      <c r="I605" s="118">
        <f>IF(OR($A605="",$Y520=0),0,I520/$Y520*Inputs!$S16)</f>
        <v>2.9335634167385684E-2</v>
      </c>
      <c r="J605" s="118">
        <f>IF(OR($A605="",$Y520=0),0,J520/$Y520*Inputs!$S16)</f>
        <v>0</v>
      </c>
      <c r="K605" s="118">
        <f>IF(OR($A605="",$Y520=0),0,K520/$Y520*Inputs!$S16)</f>
        <v>0</v>
      </c>
      <c r="L605" s="118">
        <f>IF(OR($A605="",$Y520=0),0,L520/$Y520*Inputs!$S16)</f>
        <v>2.7164797238999139</v>
      </c>
      <c r="M605" s="118">
        <f>IF(OR($A605="",$Y520=0),0,M520/$Y520*Inputs!$S16)</f>
        <v>0.22881794650560827</v>
      </c>
      <c r="N605" s="118">
        <f>IF(OR($A605="",$Y520=0),0,N520/$Y520*Inputs!$S16)</f>
        <v>0.39016393442622949</v>
      </c>
      <c r="O605" s="118">
        <f>IF(OR($A605="",$Y520=0),0,O520/$Y520*Inputs!$S16)</f>
        <v>0</v>
      </c>
      <c r="P605" s="118">
        <f>IF(OR($A605="",$Y520=0),0,P520/$Y520*Inputs!$S16)</f>
        <v>0</v>
      </c>
      <c r="Q605" s="118">
        <f>IF(OR($A605="",$Y520=0),0,Q520/$Y520*Inputs!$S16)</f>
        <v>0</v>
      </c>
      <c r="R605" s="118">
        <f>IF(OR($A605="",$Y520=0),0,R520/$Y520*Inputs!$S16)</f>
        <v>0</v>
      </c>
      <c r="S605" s="118">
        <f>IF(OR($A605="",$Y520=0),0,S520/$Y520*Inputs!$S16)</f>
        <v>0</v>
      </c>
      <c r="T605" s="118">
        <f>IF(OR($A605="",$Y520=0),0,T520/$Y520*Inputs!$S16)</f>
        <v>0</v>
      </c>
      <c r="U605" s="118">
        <f>IF(OR($A605="",$Y520=0),0,U520/$Y520*Inputs!$S16)</f>
        <v>0</v>
      </c>
      <c r="V605" s="118">
        <f>IF(OR($A605="",$Y520=0),0,V520/$Y520*Inputs!$S16)</f>
        <v>0</v>
      </c>
      <c r="W605" s="118">
        <f>IF(OR($A605="",$Y520=0),0,W520/$Y520*Inputs!$S16)</f>
        <v>0</v>
      </c>
      <c r="X605" s="118">
        <f>IF(OR($A605="",$Y520=0),0,X520/$Y520*Inputs!$S16)</f>
        <v>0</v>
      </c>
      <c r="Y605" s="118">
        <f t="shared" si="127"/>
        <v>3.4000000000000004</v>
      </c>
    </row>
    <row r="606" spans="1:25" x14ac:dyDescent="0.3">
      <c r="A606" s="116" t="str">
        <f>IF(Inputs!$A17="","",Inputs!$A17)</f>
        <v>E24181-0100D</v>
      </c>
      <c r="B606" s="116"/>
      <c r="C606" s="116"/>
      <c r="D606" s="118">
        <f>IF(OR($A606="",$Y521=0),0,D521/$Y521*Inputs!$S17)</f>
        <v>0</v>
      </c>
      <c r="E606" s="118">
        <f>IF(OR($A606="",$Y521=0),0,E521/$Y521*Inputs!$S17)</f>
        <v>0</v>
      </c>
      <c r="F606" s="118">
        <f>IF(OR($A606="",$Y521=0),0,F521/$Y521*Inputs!$S17)</f>
        <v>0</v>
      </c>
      <c r="G606" s="118">
        <f>IF(OR($A606="",$Y521=0),0,G521/$Y521*Inputs!$S17)</f>
        <v>0</v>
      </c>
      <c r="H606" s="118">
        <f>IF(OR($A606="",$Y521=0),0,H521/$Y521*Inputs!$S17)</f>
        <v>0</v>
      </c>
      <c r="I606" s="118">
        <f>IF(OR($A606="",$Y521=0),0,I521/$Y521*Inputs!$S17)</f>
        <v>0</v>
      </c>
      <c r="J606" s="118">
        <f>IF(OR($A606="",$Y521=0),0,J521/$Y521*Inputs!$S17)</f>
        <v>0</v>
      </c>
      <c r="K606" s="118">
        <f>IF(OR($A606="",$Y521=0),0,K521/$Y521*Inputs!$S17)</f>
        <v>0</v>
      </c>
      <c r="L606" s="118">
        <f>IF(OR($A606="",$Y521=0),0,L521/$Y521*Inputs!$S17)</f>
        <v>0</v>
      </c>
      <c r="M606" s="118">
        <f>IF(OR($A606="",$Y521=0),0,M521/$Y521*Inputs!$S17)</f>
        <v>0</v>
      </c>
      <c r="N606" s="118">
        <f>IF(OR($A606="",$Y521=0),0,N521/$Y521*Inputs!$S17)</f>
        <v>0</v>
      </c>
      <c r="O606" s="118">
        <f>IF(OR($A606="",$Y521=0),0,O521/$Y521*Inputs!$S17)</f>
        <v>0</v>
      </c>
      <c r="P606" s="118">
        <f>IF(OR($A606="",$Y521=0),0,P521/$Y521*Inputs!$S17)</f>
        <v>0</v>
      </c>
      <c r="Q606" s="118">
        <f>IF(OR($A606="",$Y521=0),0,Q521/$Y521*Inputs!$S17)</f>
        <v>0</v>
      </c>
      <c r="R606" s="118">
        <f>IF(OR($A606="",$Y521=0),0,R521/$Y521*Inputs!$S17)</f>
        <v>0</v>
      </c>
      <c r="S606" s="118">
        <f>IF(OR($A606="",$Y521=0),0,S521/$Y521*Inputs!$S17)</f>
        <v>0</v>
      </c>
      <c r="T606" s="118">
        <f>IF(OR($A606="",$Y521=0),0,T521/$Y521*Inputs!$S17)</f>
        <v>0</v>
      </c>
      <c r="U606" s="118">
        <f>IF(OR($A606="",$Y521=0),0,U521/$Y521*Inputs!$S17)</f>
        <v>0</v>
      </c>
      <c r="V606" s="118">
        <f>IF(OR($A606="",$Y521=0),0,V521/$Y521*Inputs!$S17)</f>
        <v>0</v>
      </c>
      <c r="W606" s="118">
        <f>IF(OR($A606="",$Y521=0),0,W521/$Y521*Inputs!$S17)</f>
        <v>0</v>
      </c>
      <c r="X606" s="118">
        <f>IF(OR($A606="",$Y521=0),0,X521/$Y521*Inputs!$S17)</f>
        <v>0</v>
      </c>
      <c r="Y606" s="118">
        <f t="shared" si="127"/>
        <v>0</v>
      </c>
    </row>
    <row r="607" spans="1:25" x14ac:dyDescent="0.3">
      <c r="A607" s="116" t="str">
        <f>IF(Inputs!$A18="","",Inputs!$A18)</f>
        <v>J23152-0100D</v>
      </c>
      <c r="B607" s="116"/>
      <c r="C607" s="116"/>
      <c r="D607" s="118">
        <f>IF(OR($A607="",$Y522=0),0,D522/$Y522*Inputs!$S18)</f>
        <v>0.42682926829268292</v>
      </c>
      <c r="E607" s="118">
        <f>IF(OR($A607="",$Y522=0),0,E522/$Y522*Inputs!$S18)</f>
        <v>0</v>
      </c>
      <c r="F607" s="118">
        <f>IF(OR($A607="",$Y522=0),0,F522/$Y522*Inputs!$S18)</f>
        <v>0</v>
      </c>
      <c r="G607" s="118">
        <f>IF(OR($A607="",$Y522=0),0,G522/$Y522*Inputs!$S18)</f>
        <v>0</v>
      </c>
      <c r="H607" s="118">
        <f>IF(OR($A607="",$Y522=0),0,H522/$Y522*Inputs!$S18)</f>
        <v>0</v>
      </c>
      <c r="I607" s="118">
        <f>IF(OR($A607="",$Y522=0),0,I522/$Y522*Inputs!$S18)</f>
        <v>0</v>
      </c>
      <c r="J607" s="118">
        <f>IF(OR($A607="",$Y522=0),0,J522/$Y522*Inputs!$S18)</f>
        <v>0</v>
      </c>
      <c r="K607" s="118">
        <f>IF(OR($A607="",$Y522=0),0,K522/$Y522*Inputs!$S18)</f>
        <v>7.3170731707317069E-2</v>
      </c>
      <c r="L607" s="118">
        <f>IF(OR($A607="",$Y522=0),0,L522/$Y522*Inputs!$S18)</f>
        <v>0</v>
      </c>
      <c r="M607" s="118">
        <f>IF(OR($A607="",$Y522=0),0,M522/$Y522*Inputs!$S18)</f>
        <v>0</v>
      </c>
      <c r="N607" s="118">
        <f>IF(OR($A607="",$Y522=0),0,N522/$Y522*Inputs!$S18)</f>
        <v>0</v>
      </c>
      <c r="O607" s="118">
        <f>IF(OR($A607="",$Y522=0),0,O522/$Y522*Inputs!$S18)</f>
        <v>0</v>
      </c>
      <c r="P607" s="118">
        <f>IF(OR($A607="",$Y522=0),0,P522/$Y522*Inputs!$S18)</f>
        <v>0</v>
      </c>
      <c r="Q607" s="118">
        <f>IF(OR($A607="",$Y522=0),0,Q522/$Y522*Inputs!$S18)</f>
        <v>0</v>
      </c>
      <c r="R607" s="118">
        <f>IF(OR($A607="",$Y522=0),0,R522/$Y522*Inputs!$S18)</f>
        <v>0</v>
      </c>
      <c r="S607" s="118">
        <f>IF(OR($A607="",$Y522=0),0,S522/$Y522*Inputs!$S18)</f>
        <v>0</v>
      </c>
      <c r="T607" s="118">
        <f>IF(OR($A607="",$Y522=0),0,T522/$Y522*Inputs!$S18)</f>
        <v>0</v>
      </c>
      <c r="U607" s="118">
        <f>IF(OR($A607="",$Y522=0),0,U522/$Y522*Inputs!$S18)</f>
        <v>0</v>
      </c>
      <c r="V607" s="118">
        <f>IF(OR($A607="",$Y522=0),0,V522/$Y522*Inputs!$S18)</f>
        <v>0</v>
      </c>
      <c r="W607" s="118">
        <f>IF(OR($A607="",$Y522=0),0,W522/$Y522*Inputs!$S18)</f>
        <v>0</v>
      </c>
      <c r="X607" s="118">
        <f>IF(OR($A607="",$Y522=0),0,X522/$Y522*Inputs!$S18)</f>
        <v>0</v>
      </c>
      <c r="Y607" s="118">
        <f t="shared" si="127"/>
        <v>0.5</v>
      </c>
    </row>
    <row r="608" spans="1:25" x14ac:dyDescent="0.3">
      <c r="A608" s="116" t="str">
        <f>IF(Inputs!$A19="","",Inputs!$A19)</f>
        <v>Q25008-0100D</v>
      </c>
      <c r="B608" s="116"/>
      <c r="C608" s="116"/>
      <c r="D608" s="118">
        <f>IF(OR($A608="",$Y523=0),0,D523/$Y523*Inputs!$S19)</f>
        <v>0</v>
      </c>
      <c r="E608" s="118">
        <f>IF(OR($A608="",$Y523=0),0,E523/$Y523*Inputs!$S19)</f>
        <v>0</v>
      </c>
      <c r="F608" s="118">
        <f>IF(OR($A608="",$Y523=0),0,F523/$Y523*Inputs!$S19)</f>
        <v>0</v>
      </c>
      <c r="G608" s="118">
        <f>IF(OR($A608="",$Y523=0),0,G523/$Y523*Inputs!$S19)</f>
        <v>0</v>
      </c>
      <c r="H608" s="118">
        <f>IF(OR($A608="",$Y523=0),0,H523/$Y523*Inputs!$S19)</f>
        <v>0</v>
      </c>
      <c r="I608" s="118">
        <f>IF(OR($A608="",$Y523=0),0,I523/$Y523*Inputs!$S19)</f>
        <v>8.4033613445378158E-2</v>
      </c>
      <c r="J608" s="118">
        <f>IF(OR($A608="",$Y523=0),0,J523/$Y523*Inputs!$S19)</f>
        <v>0</v>
      </c>
      <c r="K608" s="118">
        <f>IF(OR($A608="",$Y523=0),0,K523/$Y523*Inputs!$S19)</f>
        <v>0</v>
      </c>
      <c r="L608" s="118">
        <f>IF(OR($A608="",$Y523=0),0,L523/$Y523*Inputs!$S19)</f>
        <v>0.21708683473389359</v>
      </c>
      <c r="M608" s="118">
        <f>IF(OR($A608="",$Y523=0),0,M523/$Y523*Inputs!$S19)</f>
        <v>2.6085434173669468</v>
      </c>
      <c r="N608" s="118">
        <f>IF(OR($A608="",$Y523=0),0,N523/$Y523*Inputs!$S19)</f>
        <v>1.670168067226891</v>
      </c>
      <c r="O608" s="118">
        <f>IF(OR($A608="",$Y523=0),0,O523/$Y523*Inputs!$S19)</f>
        <v>0.42016806722689082</v>
      </c>
      <c r="P608" s="118">
        <f>IF(OR($A608="",$Y523=0),0,P523/$Y523*Inputs!$S19)</f>
        <v>0</v>
      </c>
      <c r="Q608" s="118">
        <f>IF(OR($A608="",$Y523=0),0,Q523/$Y523*Inputs!$S19)</f>
        <v>0</v>
      </c>
      <c r="R608" s="118">
        <f>IF(OR($A608="",$Y523=0),0,R523/$Y523*Inputs!$S19)</f>
        <v>0</v>
      </c>
      <c r="S608" s="118">
        <f>IF(OR($A608="",$Y523=0),0,S523/$Y523*Inputs!$S19)</f>
        <v>0</v>
      </c>
      <c r="T608" s="118">
        <f>IF(OR($A608="",$Y523=0),0,T523/$Y523*Inputs!$S19)</f>
        <v>0</v>
      </c>
      <c r="U608" s="118">
        <f>IF(OR($A608="",$Y523=0),0,U523/$Y523*Inputs!$S19)</f>
        <v>0</v>
      </c>
      <c r="V608" s="118">
        <f>IF(OR($A608="",$Y523=0),0,V523/$Y523*Inputs!$S19)</f>
        <v>0</v>
      </c>
      <c r="W608" s="118">
        <f>IF(OR($A608="",$Y523=0),0,W523/$Y523*Inputs!$S19)</f>
        <v>0</v>
      </c>
      <c r="X608" s="118">
        <f>IF(OR($A608="",$Y523=0),0,X523/$Y523*Inputs!$S19)</f>
        <v>0</v>
      </c>
      <c r="Y608" s="118">
        <f t="shared" si="127"/>
        <v>5.0000000000000009</v>
      </c>
    </row>
    <row r="609" spans="1:25" x14ac:dyDescent="0.3">
      <c r="A609" s="116" t="str">
        <f>IF(Inputs!$A20="","",Inputs!$A20)</f>
        <v>S24014-0101D</v>
      </c>
      <c r="B609" s="116"/>
      <c r="C609" s="116"/>
      <c r="D609" s="118">
        <f>IF(OR($A609="",$Y524=0),0,D524/$Y524*Inputs!$S20)</f>
        <v>0</v>
      </c>
      <c r="E609" s="118">
        <f>IF(OR($A609="",$Y524=0),0,E524/$Y524*Inputs!$S20)</f>
        <v>9.1106696181516345</v>
      </c>
      <c r="F609" s="118">
        <f>IF(OR($A609="",$Y524=0),0,F524/$Y524*Inputs!$S20)</f>
        <v>10.511405644714998</v>
      </c>
      <c r="G609" s="118">
        <f>IF(OR($A609="",$Y524=0),0,G524/$Y524*Inputs!$S20)</f>
        <v>1.6479247371333705</v>
      </c>
      <c r="H609" s="118">
        <f>IF(OR($A609="",$Y524=0),0,H524/$Y524*Inputs!$S20)</f>
        <v>0</v>
      </c>
      <c r="I609" s="118">
        <f>IF(OR($A609="",$Y524=0),0,I524/$Y524*Inputs!$S20)</f>
        <v>0</v>
      </c>
      <c r="J609" s="118">
        <f>IF(OR($A609="",$Y524=0),0,J524/$Y524*Inputs!$S20)</f>
        <v>0</v>
      </c>
      <c r="K609" s="118">
        <f>IF(OR($A609="",$Y524=0),0,K524/$Y524*Inputs!$S20)</f>
        <v>0</v>
      </c>
      <c r="L609" s="118">
        <f>IF(OR($A609="",$Y524=0),0,L524/$Y524*Inputs!$S20)</f>
        <v>0</v>
      </c>
      <c r="M609" s="118">
        <f>IF(OR($A609="",$Y524=0),0,M524/$Y524*Inputs!$S20)</f>
        <v>0</v>
      </c>
      <c r="N609" s="118">
        <f>IF(OR($A609="",$Y524=0),0,N524/$Y524*Inputs!$S20)</f>
        <v>0</v>
      </c>
      <c r="O609" s="118">
        <f>IF(OR($A609="",$Y524=0),0,O524/$Y524*Inputs!$S20)</f>
        <v>0</v>
      </c>
      <c r="P609" s="118">
        <f>IF(OR($A609="",$Y524=0),0,P524/$Y524*Inputs!$S20)</f>
        <v>0</v>
      </c>
      <c r="Q609" s="118">
        <f>IF(OR($A609="",$Y524=0),0,Q524/$Y524*Inputs!$S20)</f>
        <v>0</v>
      </c>
      <c r="R609" s="118">
        <f>IF(OR($A609="",$Y524=0),0,R524/$Y524*Inputs!$S20)</f>
        <v>0</v>
      </c>
      <c r="S609" s="118">
        <f>IF(OR($A609="",$Y524=0),0,S524/$Y524*Inputs!$S20)</f>
        <v>0</v>
      </c>
      <c r="T609" s="118">
        <f>IF(OR($A609="",$Y524=0),0,T524/$Y524*Inputs!$S20)</f>
        <v>0</v>
      </c>
      <c r="U609" s="118">
        <f>IF(OR($A609="",$Y524=0),0,U524/$Y524*Inputs!$S20)</f>
        <v>0</v>
      </c>
      <c r="V609" s="118">
        <f>IF(OR($A609="",$Y524=0),0,V524/$Y524*Inputs!$S20)</f>
        <v>0</v>
      </c>
      <c r="W609" s="118">
        <f>IF(OR($A609="",$Y524=0),0,W524/$Y524*Inputs!$S20)</f>
        <v>0</v>
      </c>
      <c r="X609" s="118">
        <f>IF(OR($A609="",$Y524=0),0,X524/$Y524*Inputs!$S20)</f>
        <v>0</v>
      </c>
      <c r="Y609" s="118">
        <f t="shared" si="127"/>
        <v>21.27</v>
      </c>
    </row>
    <row r="610" spans="1:25" x14ac:dyDescent="0.3">
      <c r="A610" s="116" t="str">
        <f>IF(Inputs!$A21="","",Inputs!$A21)</f>
        <v>S24014-0102D</v>
      </c>
      <c r="B610" s="116"/>
      <c r="C610" s="116"/>
      <c r="D610" s="118">
        <f>IF(OR($A610="",$Y525=0),0,D525/$Y525*Inputs!$S21)</f>
        <v>0</v>
      </c>
      <c r="E610" s="118">
        <f>IF(OR($A610="",$Y525=0),0,E525/$Y525*Inputs!$S21)</f>
        <v>0</v>
      </c>
      <c r="F610" s="118">
        <f>IF(OR($A610="",$Y525=0),0,F525/$Y525*Inputs!$S21)</f>
        <v>0</v>
      </c>
      <c r="G610" s="118">
        <f>IF(OR($A610="",$Y525=0),0,G525/$Y525*Inputs!$S21)</f>
        <v>0</v>
      </c>
      <c r="H610" s="118">
        <f>IF(OR($A610="",$Y525=0),0,H525/$Y525*Inputs!$S21)</f>
        <v>0</v>
      </c>
      <c r="I610" s="118">
        <f>IF(OR($A610="",$Y525=0),0,I525/$Y525*Inputs!$S21)</f>
        <v>0</v>
      </c>
      <c r="J610" s="118">
        <f>IF(OR($A610="",$Y525=0),0,J525/$Y525*Inputs!$S21)</f>
        <v>2.8153282442748093</v>
      </c>
      <c r="K610" s="118">
        <f>IF(OR($A610="",$Y525=0),0,K525/$Y525*Inputs!$S21)</f>
        <v>4.8046717557251908</v>
      </c>
      <c r="L610" s="118">
        <f>IF(OR($A610="",$Y525=0),0,L525/$Y525*Inputs!$S21)</f>
        <v>0</v>
      </c>
      <c r="M610" s="118">
        <f>IF(OR($A610="",$Y525=0),0,M525/$Y525*Inputs!$S21)</f>
        <v>0</v>
      </c>
      <c r="N610" s="118">
        <f>IF(OR($A610="",$Y525=0),0,N525/$Y525*Inputs!$S21)</f>
        <v>0</v>
      </c>
      <c r="O610" s="118">
        <f>IF(OR($A610="",$Y525=0),0,O525/$Y525*Inputs!$S21)</f>
        <v>0</v>
      </c>
      <c r="P610" s="118">
        <f>IF(OR($A610="",$Y525=0),0,P525/$Y525*Inputs!$S21)</f>
        <v>0</v>
      </c>
      <c r="Q610" s="118">
        <f>IF(OR($A610="",$Y525=0),0,Q525/$Y525*Inputs!$S21)</f>
        <v>0</v>
      </c>
      <c r="R610" s="118">
        <f>IF(OR($A610="",$Y525=0),0,R525/$Y525*Inputs!$S21)</f>
        <v>0</v>
      </c>
      <c r="S610" s="118">
        <f>IF(OR($A610="",$Y525=0),0,S525/$Y525*Inputs!$S21)</f>
        <v>0</v>
      </c>
      <c r="T610" s="118">
        <f>IF(OR($A610="",$Y525=0),0,T525/$Y525*Inputs!$S21)</f>
        <v>0</v>
      </c>
      <c r="U610" s="118">
        <f>IF(OR($A610="",$Y525=0),0,U525/$Y525*Inputs!$S21)</f>
        <v>0</v>
      </c>
      <c r="V610" s="118">
        <f>IF(OR($A610="",$Y525=0),0,V525/$Y525*Inputs!$S21)</f>
        <v>0</v>
      </c>
      <c r="W610" s="118">
        <f>IF(OR($A610="",$Y525=0),0,W525/$Y525*Inputs!$S21)</f>
        <v>0</v>
      </c>
      <c r="X610" s="118">
        <f>IF(OR($A610="",$Y525=0),0,X525/$Y525*Inputs!$S21)</f>
        <v>0</v>
      </c>
      <c r="Y610" s="118">
        <f t="shared" si="127"/>
        <v>7.62</v>
      </c>
    </row>
    <row r="611" spans="1:25" x14ac:dyDescent="0.3">
      <c r="A611" s="116" t="str">
        <f>IF(Inputs!$A22="","",Inputs!$A22)</f>
        <v>S24014-0103D</v>
      </c>
      <c r="B611" s="116"/>
      <c r="C611" s="116"/>
      <c r="D611" s="118">
        <f>IF(OR($A611="",$Y526=0),0,D526/$Y526*Inputs!$S22)</f>
        <v>0</v>
      </c>
      <c r="E611" s="118">
        <f>IF(OR($A611="",$Y526=0),0,E526/$Y526*Inputs!$S22)</f>
        <v>0</v>
      </c>
      <c r="F611" s="118">
        <f>IF(OR($A611="",$Y526=0),0,F526/$Y526*Inputs!$S22)</f>
        <v>0</v>
      </c>
      <c r="G611" s="118">
        <f>IF(OR($A611="",$Y526=0),0,G526/$Y526*Inputs!$S22)</f>
        <v>0.64607642124883513</v>
      </c>
      <c r="H611" s="118">
        <f>IF(OR($A611="",$Y526=0),0,H526/$Y526*Inputs!$S22)</f>
        <v>5.7139235787511655</v>
      </c>
      <c r="I611" s="118">
        <f>IF(OR($A611="",$Y526=0),0,I526/$Y526*Inputs!$S22)</f>
        <v>0</v>
      </c>
      <c r="J611" s="118">
        <f>IF(OR($A611="",$Y526=0),0,J526/$Y526*Inputs!$S22)</f>
        <v>0</v>
      </c>
      <c r="K611" s="118">
        <f>IF(OR($A611="",$Y526=0),0,K526/$Y526*Inputs!$S22)</f>
        <v>0</v>
      </c>
      <c r="L611" s="118">
        <f>IF(OR($A611="",$Y526=0),0,L526/$Y526*Inputs!$S22)</f>
        <v>0</v>
      </c>
      <c r="M611" s="118">
        <f>IF(OR($A611="",$Y526=0),0,M526/$Y526*Inputs!$S22)</f>
        <v>0</v>
      </c>
      <c r="N611" s="118">
        <f>IF(OR($A611="",$Y526=0),0,N526/$Y526*Inputs!$S22)</f>
        <v>0</v>
      </c>
      <c r="O611" s="118">
        <f>IF(OR($A611="",$Y526=0),0,O526/$Y526*Inputs!$S22)</f>
        <v>0</v>
      </c>
      <c r="P611" s="118">
        <f>IF(OR($A611="",$Y526=0),0,P526/$Y526*Inputs!$S22)</f>
        <v>0</v>
      </c>
      <c r="Q611" s="118">
        <f>IF(OR($A611="",$Y526=0),0,Q526/$Y526*Inputs!$S22)</f>
        <v>0</v>
      </c>
      <c r="R611" s="118">
        <f>IF(OR($A611="",$Y526=0),0,R526/$Y526*Inputs!$S22)</f>
        <v>0</v>
      </c>
      <c r="S611" s="118">
        <f>IF(OR($A611="",$Y526=0),0,S526/$Y526*Inputs!$S22)</f>
        <v>0</v>
      </c>
      <c r="T611" s="118">
        <f>IF(OR($A611="",$Y526=0),0,T526/$Y526*Inputs!$S22)</f>
        <v>0</v>
      </c>
      <c r="U611" s="118">
        <f>IF(OR($A611="",$Y526=0),0,U526/$Y526*Inputs!$S22)</f>
        <v>0</v>
      </c>
      <c r="V611" s="118">
        <f>IF(OR($A611="",$Y526=0),0,V526/$Y526*Inputs!$S22)</f>
        <v>0</v>
      </c>
      <c r="W611" s="118">
        <f>IF(OR($A611="",$Y526=0),0,W526/$Y526*Inputs!$S22)</f>
        <v>0</v>
      </c>
      <c r="X611" s="118">
        <f>IF(OR($A611="",$Y526=0),0,X526/$Y526*Inputs!$S22)</f>
        <v>0</v>
      </c>
      <c r="Y611" s="118">
        <f t="shared" si="127"/>
        <v>6.36</v>
      </c>
    </row>
    <row r="612" spans="1:25" x14ac:dyDescent="0.3">
      <c r="A612" s="116" t="str">
        <f>IF(Inputs!$A23="","",Inputs!$A23)</f>
        <v>S24014-0104D</v>
      </c>
      <c r="B612" s="116"/>
      <c r="C612" s="116"/>
      <c r="D612" s="118">
        <f>IF(OR($A612="",$Y527=0),0,D527/$Y527*Inputs!$S23)</f>
        <v>0</v>
      </c>
      <c r="E612" s="118">
        <f>IF(OR($A612="",$Y527=0),0,E527/$Y527*Inputs!$S23)</f>
        <v>0</v>
      </c>
      <c r="F612" s="118">
        <f>IF(OR($A612="",$Y527=0),0,F527/$Y527*Inputs!$S23)</f>
        <v>0</v>
      </c>
      <c r="G612" s="118">
        <f>IF(OR($A612="",$Y527=0),0,G527/$Y527*Inputs!$S23)</f>
        <v>2.5263</v>
      </c>
      <c r="H612" s="118">
        <f>IF(OR($A612="",$Y527=0),0,H527/$Y527*Inputs!$S23)</f>
        <v>2.860466666666666</v>
      </c>
      <c r="I612" s="118">
        <f>IF(OR($A612="",$Y527=0),0,I527/$Y527*Inputs!$S23)</f>
        <v>0.4277333333333333</v>
      </c>
      <c r="J612" s="118">
        <f>IF(OR($A612="",$Y527=0),0,J527/$Y527*Inputs!$S23)</f>
        <v>4.1436666666666664</v>
      </c>
      <c r="K612" s="118">
        <f>IF(OR($A612="",$Y527=0),0,K527/$Y527*Inputs!$S23)</f>
        <v>2.0718333333333332</v>
      </c>
      <c r="L612" s="118">
        <f>IF(OR($A612="",$Y527=0),0,L527/$Y527*Inputs!$S23)</f>
        <v>0</v>
      </c>
      <c r="M612" s="118">
        <f>IF(OR($A612="",$Y527=0),0,M527/$Y527*Inputs!$S23)</f>
        <v>0</v>
      </c>
      <c r="N612" s="118">
        <f>IF(OR($A612="",$Y527=0),0,N527/$Y527*Inputs!$S23)</f>
        <v>0</v>
      </c>
      <c r="O612" s="118">
        <f>IF(OR($A612="",$Y527=0),0,O527/$Y527*Inputs!$S23)</f>
        <v>0</v>
      </c>
      <c r="P612" s="118">
        <f>IF(OR($A612="",$Y527=0),0,P527/$Y527*Inputs!$S23)</f>
        <v>0</v>
      </c>
      <c r="Q612" s="118">
        <f>IF(OR($A612="",$Y527=0),0,Q527/$Y527*Inputs!$S23)</f>
        <v>0</v>
      </c>
      <c r="R612" s="118">
        <f>IF(OR($A612="",$Y527=0),0,R527/$Y527*Inputs!$S23)</f>
        <v>0</v>
      </c>
      <c r="S612" s="118">
        <f>IF(OR($A612="",$Y527=0),0,S527/$Y527*Inputs!$S23)</f>
        <v>0</v>
      </c>
      <c r="T612" s="118">
        <f>IF(OR($A612="",$Y527=0),0,T527/$Y527*Inputs!$S23)</f>
        <v>0</v>
      </c>
      <c r="U612" s="118">
        <f>IF(OR($A612="",$Y527=0),0,U527/$Y527*Inputs!$S23)</f>
        <v>0</v>
      </c>
      <c r="V612" s="118">
        <f>IF(OR($A612="",$Y527=0),0,V527/$Y527*Inputs!$S23)</f>
        <v>0</v>
      </c>
      <c r="W612" s="118">
        <f>IF(OR($A612="",$Y527=0),0,W527/$Y527*Inputs!$S23)</f>
        <v>0</v>
      </c>
      <c r="X612" s="118">
        <f>IF(OR($A612="",$Y527=0),0,X527/$Y527*Inputs!$S23)</f>
        <v>0</v>
      </c>
      <c r="Y612" s="118">
        <f t="shared" si="127"/>
        <v>12.030000000000001</v>
      </c>
    </row>
    <row r="613" spans="1:25" x14ac:dyDescent="0.3">
      <c r="A613" s="116" t="str">
        <f>IF(Inputs!$A24="","",Inputs!$A24)</f>
        <v>S22058-0700D</v>
      </c>
      <c r="B613" s="116"/>
      <c r="C613" s="116"/>
      <c r="D613" s="118">
        <f>IF(OR($A613="",$Y528=0),0,D528/$Y528*Inputs!$S24)</f>
        <v>0</v>
      </c>
      <c r="E613" s="118">
        <f>IF(OR($A613="",$Y528=0),0,E528/$Y528*Inputs!$S24)</f>
        <v>0</v>
      </c>
      <c r="F613" s="118">
        <f>IF(OR($A613="",$Y528=0),0,F528/$Y528*Inputs!$S24)</f>
        <v>0.1093502377179081</v>
      </c>
      <c r="G613" s="118">
        <f>IF(OR($A613="",$Y528=0),0,G528/$Y528*Inputs!$S24)</f>
        <v>2.5356576862123614E-2</v>
      </c>
      <c r="H613" s="118">
        <f>IF(OR($A613="",$Y528=0),0,H528/$Y528*Inputs!$S24)</f>
        <v>0.6782884310618067</v>
      </c>
      <c r="I613" s="118">
        <f>IF(OR($A613="",$Y528=0),0,I528/$Y528*Inputs!$S24)</f>
        <v>3.7543581616481778</v>
      </c>
      <c r="J613" s="118">
        <f>IF(OR($A613="",$Y528=0),0,J528/$Y528*Inputs!$S24)</f>
        <v>0.36925515055467517</v>
      </c>
      <c r="K613" s="118">
        <f>IF(OR($A613="",$Y528=0),0,K528/$Y528*Inputs!$S24)</f>
        <v>0.82725832012678291</v>
      </c>
      <c r="L613" s="118">
        <f>IF(OR($A613="",$Y528=0),0,L528/$Y528*Inputs!$S24)</f>
        <v>0.23613312202852615</v>
      </c>
      <c r="M613" s="118">
        <f>IF(OR($A613="",$Y528=0),0,M528/$Y528*Inputs!$S24)</f>
        <v>0</v>
      </c>
      <c r="N613" s="118">
        <f>IF(OR($A613="",$Y528=0),0,N528/$Y528*Inputs!$S24)</f>
        <v>0</v>
      </c>
      <c r="O613" s="118">
        <f>IF(OR($A613="",$Y528=0),0,O528/$Y528*Inputs!$S24)</f>
        <v>0</v>
      </c>
      <c r="P613" s="118">
        <f>IF(OR($A613="",$Y528=0),0,P528/$Y528*Inputs!$S24)</f>
        <v>0</v>
      </c>
      <c r="Q613" s="118">
        <f>IF(OR($A613="",$Y528=0),0,Q528/$Y528*Inputs!$S24)</f>
        <v>0</v>
      </c>
      <c r="R613" s="118">
        <f>IF(OR($A613="",$Y528=0),0,R528/$Y528*Inputs!$S24)</f>
        <v>0</v>
      </c>
      <c r="S613" s="118">
        <f>IF(OR($A613="",$Y528=0),0,S528/$Y528*Inputs!$S24)</f>
        <v>0</v>
      </c>
      <c r="T613" s="118">
        <f>IF(OR($A613="",$Y528=0),0,T528/$Y528*Inputs!$S24)</f>
        <v>0</v>
      </c>
      <c r="U613" s="118">
        <f>IF(OR($A613="",$Y528=0),0,U528/$Y528*Inputs!$S24)</f>
        <v>0</v>
      </c>
      <c r="V613" s="118">
        <f>IF(OR($A613="",$Y528=0),0,V528/$Y528*Inputs!$S24)</f>
        <v>0</v>
      </c>
      <c r="W613" s="118">
        <f>IF(OR($A613="",$Y528=0),0,W528/$Y528*Inputs!$S24)</f>
        <v>0</v>
      </c>
      <c r="X613" s="118">
        <f>IF(OR($A613="",$Y528=0),0,X528/$Y528*Inputs!$S24)</f>
        <v>0</v>
      </c>
      <c r="Y613" s="118">
        <f t="shared" si="127"/>
        <v>6</v>
      </c>
    </row>
    <row r="614" spans="1:25" x14ac:dyDescent="0.3">
      <c r="A614" s="116" t="str">
        <f>IF(Inputs!$A25="","",Inputs!$A25)</f>
        <v>AN24185-0100R</v>
      </c>
      <c r="B614" s="116"/>
      <c r="C614" s="116"/>
      <c r="D614" s="118">
        <f>IF(OR($A614="",$Y529=0),0,D529/$Y529*Inputs!$S25)</f>
        <v>0</v>
      </c>
      <c r="E614" s="118">
        <f>IF(OR($A614="",$Y529=0),0,E529/$Y529*Inputs!$S25)</f>
        <v>0</v>
      </c>
      <c r="F614" s="118">
        <f>IF(OR($A614="",$Y529=0),0,F529/$Y529*Inputs!$S25)</f>
        <v>0</v>
      </c>
      <c r="G614" s="118">
        <f>IF(OR($A614="",$Y529=0),0,G529/$Y529*Inputs!$S25)</f>
        <v>0</v>
      </c>
      <c r="H614" s="118">
        <f>IF(OR($A614="",$Y529=0),0,H529/$Y529*Inputs!$S25)</f>
        <v>1.528069374714742</v>
      </c>
      <c r="I614" s="118">
        <f>IF(OR($A614="",$Y529=0),0,I529/$Y529*Inputs!$S25)</f>
        <v>0.99863076220903679</v>
      </c>
      <c r="J614" s="118">
        <f>IF(OR($A614="",$Y529=0),0,J529/$Y529*Inputs!$S25)</f>
        <v>0.3687813783660428</v>
      </c>
      <c r="K614" s="118">
        <f>IF(OR($A614="",$Y529=0),0,K529/$Y529*Inputs!$S25)</f>
        <v>0.78868096759470552</v>
      </c>
      <c r="L614" s="118">
        <f>IF(OR($A614="",$Y529=0),0,L529/$Y529*Inputs!$S25)</f>
        <v>0.13509812870835233</v>
      </c>
      <c r="M614" s="118">
        <f>IF(OR($A614="",$Y529=0),0,M529/$Y529*Inputs!$S25)</f>
        <v>0.18073938840712001</v>
      </c>
      <c r="N614" s="118">
        <f>IF(OR($A614="",$Y529=0),0,N529/$Y529*Inputs!$S25)</f>
        <v>0</v>
      </c>
      <c r="O614" s="118">
        <f>IF(OR($A614="",$Y529=0),0,O529/$Y529*Inputs!$S25)</f>
        <v>0</v>
      </c>
      <c r="P614" s="118">
        <f>IF(OR($A614="",$Y529=0),0,P529/$Y529*Inputs!$S25)</f>
        <v>0</v>
      </c>
      <c r="Q614" s="118">
        <f>IF(OR($A614="",$Y529=0),0,Q529/$Y529*Inputs!$S25)</f>
        <v>0</v>
      </c>
      <c r="R614" s="118">
        <f>IF(OR($A614="",$Y529=0),0,R529/$Y529*Inputs!$S25)</f>
        <v>0</v>
      </c>
      <c r="S614" s="118">
        <f>IF(OR($A614="",$Y529=0),0,S529/$Y529*Inputs!$S25)</f>
        <v>0</v>
      </c>
      <c r="T614" s="118">
        <f>IF(OR($A614="",$Y529=0),0,T529/$Y529*Inputs!$S25)</f>
        <v>0</v>
      </c>
      <c r="U614" s="118">
        <f>IF(OR($A614="",$Y529=0),0,U529/$Y529*Inputs!$S25)</f>
        <v>0</v>
      </c>
      <c r="V614" s="118">
        <f>IF(OR($A614="",$Y529=0),0,V529/$Y529*Inputs!$S25)</f>
        <v>0</v>
      </c>
      <c r="W614" s="118">
        <f>IF(OR($A614="",$Y529=0),0,W529/$Y529*Inputs!$S25)</f>
        <v>0</v>
      </c>
      <c r="X614" s="118">
        <f>IF(OR($A614="",$Y529=0),0,X529/$Y529*Inputs!$S25)</f>
        <v>0</v>
      </c>
      <c r="Y614" s="118">
        <f t="shared" si="127"/>
        <v>3.9999999999999991</v>
      </c>
    </row>
    <row r="615" spans="1:25" x14ac:dyDescent="0.3">
      <c r="A615" s="116" t="str">
        <f>IF(Inputs!$A26="","",Inputs!$A26)</f>
        <v>AN24135-0100R</v>
      </c>
      <c r="B615" s="116"/>
      <c r="C615" s="116"/>
      <c r="D615" s="118">
        <f>IF(OR($A615="",$Y530=0),0,D530/$Y530*Inputs!$S26)</f>
        <v>0</v>
      </c>
      <c r="E615" s="118">
        <f>IF(OR($A615="",$Y530=0),0,E530/$Y530*Inputs!$S26)</f>
        <v>0</v>
      </c>
      <c r="F615" s="118">
        <f>IF(OR($A615="",$Y530=0),0,F530/$Y530*Inputs!$S26)</f>
        <v>0</v>
      </c>
      <c r="G615" s="118">
        <f>IF(OR($A615="",$Y530=0),0,G530/$Y530*Inputs!$S26)</f>
        <v>0</v>
      </c>
      <c r="H615" s="118">
        <f>IF(OR($A615="",$Y530=0),0,H530/$Y530*Inputs!$S26)</f>
        <v>0.10273062730627305</v>
      </c>
      <c r="I615" s="118">
        <f>IF(OR($A615="",$Y530=0),0,I530/$Y530*Inputs!$S26)</f>
        <v>0.1222140221402214</v>
      </c>
      <c r="J615" s="118">
        <f>IF(OR($A615="",$Y530=0),0,J530/$Y530*Inputs!$S26)</f>
        <v>7.055350553505535E-2</v>
      </c>
      <c r="K615" s="118">
        <f>IF(OR($A615="",$Y530=0),0,K530/$Y530*Inputs!$S26)</f>
        <v>9.8597785977859773E-2</v>
      </c>
      <c r="L615" s="118">
        <f>IF(OR($A615="",$Y530=0),0,L530/$Y530*Inputs!$S26)</f>
        <v>5.9040590405904057E-3</v>
      </c>
      <c r="M615" s="118">
        <f>IF(OR($A615="",$Y530=0),0,M530/$Y530*Inputs!$S26)</f>
        <v>0</v>
      </c>
      <c r="N615" s="118">
        <f>IF(OR($A615="",$Y530=0),0,N530/$Y530*Inputs!$S26)</f>
        <v>0</v>
      </c>
      <c r="O615" s="118">
        <f>IF(OR($A615="",$Y530=0),0,O530/$Y530*Inputs!$S26)</f>
        <v>0</v>
      </c>
      <c r="P615" s="118">
        <f>IF(OR($A615="",$Y530=0),0,P530/$Y530*Inputs!$S26)</f>
        <v>0</v>
      </c>
      <c r="Q615" s="118">
        <f>IF(OR($A615="",$Y530=0),0,Q530/$Y530*Inputs!$S26)</f>
        <v>0</v>
      </c>
      <c r="R615" s="118">
        <f>IF(OR($A615="",$Y530=0),0,R530/$Y530*Inputs!$S26)</f>
        <v>0</v>
      </c>
      <c r="S615" s="118">
        <f>IF(OR($A615="",$Y530=0),0,S530/$Y530*Inputs!$S26)</f>
        <v>0</v>
      </c>
      <c r="T615" s="118">
        <f>IF(OR($A615="",$Y530=0),0,T530/$Y530*Inputs!$S26)</f>
        <v>0</v>
      </c>
      <c r="U615" s="118">
        <f>IF(OR($A615="",$Y530=0),0,U530/$Y530*Inputs!$S26)</f>
        <v>0</v>
      </c>
      <c r="V615" s="118">
        <f>IF(OR($A615="",$Y530=0),0,V530/$Y530*Inputs!$S26)</f>
        <v>0</v>
      </c>
      <c r="W615" s="118">
        <f>IF(OR($A615="",$Y530=0),0,W530/$Y530*Inputs!$S26)</f>
        <v>0</v>
      </c>
      <c r="X615" s="118">
        <f>IF(OR($A615="",$Y530=0),0,X530/$Y530*Inputs!$S26)</f>
        <v>0</v>
      </c>
      <c r="Y615" s="118">
        <f t="shared" si="127"/>
        <v>0.39999999999999997</v>
      </c>
    </row>
    <row r="616" spans="1:25" x14ac:dyDescent="0.3">
      <c r="A616" s="116" t="str">
        <f>IF(Inputs!$A27="","",Inputs!$A27)</f>
        <v>AN23232-0100D</v>
      </c>
      <c r="B616" s="116"/>
      <c r="C616" s="116"/>
      <c r="D616" s="118">
        <f>IF(OR($A616="",$Y531=0),0,D531/$Y531*Inputs!$S27)</f>
        <v>0.98813420621931258</v>
      </c>
      <c r="E616" s="118">
        <f>IF(OR($A616="",$Y531=0),0,E531/$Y531*Inputs!$S27)</f>
        <v>1.6080196399345335</v>
      </c>
      <c r="F616" s="118">
        <f>IF(OR($A616="",$Y531=0),0,F531/$Y531*Inputs!$S27)</f>
        <v>0.27373158756137483</v>
      </c>
      <c r="G616" s="118">
        <f>IF(OR($A616="",$Y531=0),0,G531/$Y531*Inputs!$S27)</f>
        <v>9.2062193126022915E-2</v>
      </c>
      <c r="H616" s="118">
        <f>IF(OR($A616="",$Y531=0),0,H531/$Y531*Inputs!$S27)</f>
        <v>0</v>
      </c>
      <c r="I616" s="118">
        <f>IF(OR($A616="",$Y531=0),0,I531/$Y531*Inputs!$S27)</f>
        <v>0</v>
      </c>
      <c r="J616" s="118">
        <f>IF(OR($A616="",$Y531=0),0,J531/$Y531*Inputs!$S27)</f>
        <v>3.8052373158756134E-2</v>
      </c>
      <c r="K616" s="118">
        <f>IF(OR($A616="",$Y531=0),0,K531/$Y531*Inputs!$S27)</f>
        <v>0</v>
      </c>
      <c r="L616" s="118">
        <f>IF(OR($A616="",$Y531=0),0,L531/$Y531*Inputs!$S27)</f>
        <v>0</v>
      </c>
      <c r="M616" s="118">
        <f>IF(OR($A616="",$Y531=0),0,M531/$Y531*Inputs!$S27)</f>
        <v>0</v>
      </c>
      <c r="N616" s="118">
        <f>IF(OR($A616="",$Y531=0),0,N531/$Y531*Inputs!$S27)</f>
        <v>0</v>
      </c>
      <c r="O616" s="118">
        <f>IF(OR($A616="",$Y531=0),0,O531/$Y531*Inputs!$S27)</f>
        <v>0</v>
      </c>
      <c r="P616" s="118">
        <f>IF(OR($A616="",$Y531=0),0,P531/$Y531*Inputs!$S27)</f>
        <v>0</v>
      </c>
      <c r="Q616" s="118">
        <f>IF(OR($A616="",$Y531=0),0,Q531/$Y531*Inputs!$S27)</f>
        <v>0</v>
      </c>
      <c r="R616" s="118">
        <f>IF(OR($A616="",$Y531=0),0,R531/$Y531*Inputs!$S27)</f>
        <v>0</v>
      </c>
      <c r="S616" s="118">
        <f>IF(OR($A616="",$Y531=0),0,S531/$Y531*Inputs!$S27)</f>
        <v>0</v>
      </c>
      <c r="T616" s="118">
        <f>IF(OR($A616="",$Y531=0),0,T531/$Y531*Inputs!$S27)</f>
        <v>0</v>
      </c>
      <c r="U616" s="118">
        <f>IF(OR($A616="",$Y531=0),0,U531/$Y531*Inputs!$S27)</f>
        <v>0</v>
      </c>
      <c r="V616" s="118">
        <f>IF(OR($A616="",$Y531=0),0,V531/$Y531*Inputs!$S27)</f>
        <v>0</v>
      </c>
      <c r="W616" s="118">
        <f>IF(OR($A616="",$Y531=0),0,W531/$Y531*Inputs!$S27)</f>
        <v>0</v>
      </c>
      <c r="X616" s="118">
        <f>IF(OR($A616="",$Y531=0),0,X531/$Y531*Inputs!$S27)</f>
        <v>0</v>
      </c>
      <c r="Y616" s="118">
        <f t="shared" si="127"/>
        <v>3</v>
      </c>
    </row>
    <row r="617" spans="1:25" x14ac:dyDescent="0.3">
      <c r="A617" s="116" t="str">
        <f>IF(Inputs!$A28="","",Inputs!$A28)</f>
        <v>AN23108-0100R</v>
      </c>
      <c r="B617" s="116"/>
      <c r="C617" s="116"/>
      <c r="D617" s="118">
        <f>IF(OR($A617="",$Y532=0),0,D532/$Y532*Inputs!$S28)</f>
        <v>0</v>
      </c>
      <c r="E617" s="118">
        <f>IF(OR($A617="",$Y532=0),0,E532/$Y532*Inputs!$S28)</f>
        <v>0</v>
      </c>
      <c r="F617" s="118">
        <f>IF(OR($A617="",$Y532=0),0,F532/$Y532*Inputs!$S28)</f>
        <v>0</v>
      </c>
      <c r="G617" s="118">
        <f>IF(OR($A617="",$Y532=0),0,G532/$Y532*Inputs!$S28)</f>
        <v>0</v>
      </c>
      <c r="H617" s="118">
        <f>IF(OR($A617="",$Y532=0),0,H532/$Y532*Inputs!$S28)</f>
        <v>0</v>
      </c>
      <c r="I617" s="118">
        <f>IF(OR($A617="",$Y532=0),0,I532/$Y532*Inputs!$S28)</f>
        <v>2.2222222222222227E-2</v>
      </c>
      <c r="J617" s="118">
        <f>IF(OR($A617="",$Y532=0),0,J532/$Y532*Inputs!$S28)</f>
        <v>1.3071895424836603E-3</v>
      </c>
      <c r="K617" s="118">
        <f>IF(OR($A617="",$Y532=0),0,K532/$Y532*Inputs!$S28)</f>
        <v>0</v>
      </c>
      <c r="L617" s="118">
        <f>IF(OR($A617="",$Y532=0),0,L532/$Y532*Inputs!$S28)</f>
        <v>1.0784313725490198E-2</v>
      </c>
      <c r="M617" s="118">
        <f>IF(OR($A617="",$Y532=0),0,M532/$Y532*Inputs!$S28)</f>
        <v>5.9803921568627454E-2</v>
      </c>
      <c r="N617" s="118">
        <f>IF(OR($A617="",$Y532=0),0,N532/$Y532*Inputs!$S28)</f>
        <v>8.6928104575163409E-2</v>
      </c>
      <c r="O617" s="118">
        <f>IF(OR($A617="",$Y532=0),0,O532/$Y532*Inputs!$S28)</f>
        <v>1.8954248366013074E-2</v>
      </c>
      <c r="P617" s="118">
        <f>IF(OR($A617="",$Y532=0),0,P532/$Y532*Inputs!$S28)</f>
        <v>0</v>
      </c>
      <c r="Q617" s="118">
        <f>IF(OR($A617="",$Y532=0),0,Q532/$Y532*Inputs!$S28)</f>
        <v>0</v>
      </c>
      <c r="R617" s="118">
        <f>IF(OR($A617="",$Y532=0),0,R532/$Y532*Inputs!$S28)</f>
        <v>0</v>
      </c>
      <c r="S617" s="118">
        <f>IF(OR($A617="",$Y532=0),0,S532/$Y532*Inputs!$S28)</f>
        <v>0</v>
      </c>
      <c r="T617" s="118">
        <f>IF(OR($A617="",$Y532=0),0,T532/$Y532*Inputs!$S28)</f>
        <v>0</v>
      </c>
      <c r="U617" s="118">
        <f>IF(OR($A617="",$Y532=0),0,U532/$Y532*Inputs!$S28)</f>
        <v>0</v>
      </c>
      <c r="V617" s="118">
        <f>IF(OR($A617="",$Y532=0),0,V532/$Y532*Inputs!$S28)</f>
        <v>0</v>
      </c>
      <c r="W617" s="118">
        <f>IF(OR($A617="",$Y532=0),0,W532/$Y532*Inputs!$S28)</f>
        <v>0</v>
      </c>
      <c r="X617" s="118">
        <f>IF(OR($A617="",$Y532=0),0,X532/$Y532*Inputs!$S28)</f>
        <v>0</v>
      </c>
      <c r="Y617" s="118">
        <f t="shared" si="127"/>
        <v>0.2</v>
      </c>
    </row>
    <row r="618" spans="1:25" x14ac:dyDescent="0.3">
      <c r="A618" s="116" t="str">
        <f>IF(Inputs!$A29="","",Inputs!$A29)</f>
        <v>TA24246-0200R</v>
      </c>
      <c r="B618" s="116"/>
      <c r="C618" s="116"/>
      <c r="D618" s="118">
        <f>IF(OR($A618="",$Y533=0),0,D533/$Y533*Inputs!$S29)</f>
        <v>0</v>
      </c>
      <c r="E618" s="118">
        <f>IF(OR($A618="",$Y533=0),0,E533/$Y533*Inputs!$S29)</f>
        <v>0</v>
      </c>
      <c r="F618" s="118">
        <f>IF(OR($A618="",$Y533=0),0,F533/$Y533*Inputs!$S29)</f>
        <v>0</v>
      </c>
      <c r="G618" s="118">
        <f>IF(OR($A618="",$Y533=0),0,G533/$Y533*Inputs!$S29)</f>
        <v>0</v>
      </c>
      <c r="H618" s="118">
        <f>IF(OR($A618="",$Y533=0),0,H533/$Y533*Inputs!$S29)</f>
        <v>0</v>
      </c>
      <c r="I618" s="118">
        <f>IF(OR($A618="",$Y533=0),0,I533/$Y533*Inputs!$S29)</f>
        <v>0</v>
      </c>
      <c r="J618" s="118">
        <f>IF(OR($A618="",$Y533=0),0,J533/$Y533*Inputs!$S29)</f>
        <v>0.21391801715919923</v>
      </c>
      <c r="K618" s="118">
        <f>IF(OR($A618="",$Y533=0),0,K533/$Y533*Inputs!$S29)</f>
        <v>0.32488083889418495</v>
      </c>
      <c r="L618" s="118">
        <f>IF(OR($A618="",$Y533=0),0,L533/$Y533*Inputs!$S29)</f>
        <v>1.9447092469018115E-2</v>
      </c>
      <c r="M618" s="118">
        <f>IF(OR($A618="",$Y533=0),0,M533/$Y533*Inputs!$S29)</f>
        <v>3.2602478551000957E-2</v>
      </c>
      <c r="N618" s="118">
        <f>IF(OR($A618="",$Y533=0),0,N533/$Y533*Inputs!$S29)</f>
        <v>9.1515729265967596E-3</v>
      </c>
      <c r="O618" s="118">
        <f>IF(OR($A618="",$Y533=0),0,O533/$Y533*Inputs!$S29)</f>
        <v>0</v>
      </c>
      <c r="P618" s="118">
        <f>IF(OR($A618="",$Y533=0),0,P533/$Y533*Inputs!$S29)</f>
        <v>0</v>
      </c>
      <c r="Q618" s="118">
        <f>IF(OR($A618="",$Y533=0),0,Q533/$Y533*Inputs!$S29)</f>
        <v>0</v>
      </c>
      <c r="R618" s="118">
        <f>IF(OR($A618="",$Y533=0),0,R533/$Y533*Inputs!$S29)</f>
        <v>0</v>
      </c>
      <c r="S618" s="118">
        <f>IF(OR($A618="",$Y533=0),0,S533/$Y533*Inputs!$S29)</f>
        <v>0</v>
      </c>
      <c r="T618" s="118">
        <f>IF(OR($A618="",$Y533=0),0,T533/$Y533*Inputs!$S29)</f>
        <v>0</v>
      </c>
      <c r="U618" s="118">
        <f>IF(OR($A618="",$Y533=0),0,U533/$Y533*Inputs!$S29)</f>
        <v>0</v>
      </c>
      <c r="V618" s="118">
        <f>IF(OR($A618="",$Y533=0),0,V533/$Y533*Inputs!$S29)</f>
        <v>0</v>
      </c>
      <c r="W618" s="118">
        <f>IF(OR($A618="",$Y533=0),0,W533/$Y533*Inputs!$S29)</f>
        <v>0</v>
      </c>
      <c r="X618" s="118">
        <f>IF(OR($A618="",$Y533=0),0,X533/$Y533*Inputs!$S29)</f>
        <v>0</v>
      </c>
      <c r="Y618" s="118">
        <f t="shared" si="127"/>
        <v>0.6</v>
      </c>
    </row>
    <row r="619" spans="1:25" x14ac:dyDescent="0.3">
      <c r="A619" s="116" t="str">
        <f>IF(Inputs!$A30="","",Inputs!$A30)</f>
        <v>S22058-0900D</v>
      </c>
      <c r="B619" s="116"/>
      <c r="C619" s="116"/>
      <c r="D619" s="118">
        <f>IF(OR($A619="",$Y534=0),0,D534/$Y534*Inputs!$S30)</f>
        <v>0</v>
      </c>
      <c r="E619" s="118">
        <f>IF(OR($A619="",$Y534=0),0,E534/$Y534*Inputs!$S30)</f>
        <v>0</v>
      </c>
      <c r="F619" s="118">
        <f>IF(OR($A619="",$Y534=0),0,F534/$Y534*Inputs!$S30)</f>
        <v>0</v>
      </c>
      <c r="G619" s="118">
        <f>IF(OR($A619="",$Y534=0),0,G534/$Y534*Inputs!$S30)</f>
        <v>0</v>
      </c>
      <c r="H619" s="118">
        <f>IF(OR($A619="",$Y534=0),0,H534/$Y534*Inputs!$S30)</f>
        <v>5.6338028169014086E-2</v>
      </c>
      <c r="I619" s="118">
        <f>IF(OR($A619="",$Y534=0),0,I534/$Y534*Inputs!$S30)</f>
        <v>0.19366197183098591</v>
      </c>
      <c r="J619" s="118">
        <f>IF(OR($A619="",$Y534=0),0,J534/$Y534*Inputs!$S30)</f>
        <v>0</v>
      </c>
      <c r="K619" s="118">
        <f>IF(OR($A619="",$Y534=0),0,K534/$Y534*Inputs!$S30)</f>
        <v>0</v>
      </c>
      <c r="L619" s="118">
        <f>IF(OR($A619="",$Y534=0),0,L534/$Y534*Inputs!$S30)</f>
        <v>0</v>
      </c>
      <c r="M619" s="118">
        <f>IF(OR($A619="",$Y534=0),0,M534/$Y534*Inputs!$S30)</f>
        <v>0</v>
      </c>
      <c r="N619" s="118">
        <f>IF(OR($A619="",$Y534=0),0,N534/$Y534*Inputs!$S30)</f>
        <v>0</v>
      </c>
      <c r="O619" s="118">
        <f>IF(OR($A619="",$Y534=0),0,O534/$Y534*Inputs!$S30)</f>
        <v>0</v>
      </c>
      <c r="P619" s="118">
        <f>IF(OR($A619="",$Y534=0),0,P534/$Y534*Inputs!$S30)</f>
        <v>0</v>
      </c>
      <c r="Q619" s="118">
        <f>IF(OR($A619="",$Y534=0),0,Q534/$Y534*Inputs!$S30)</f>
        <v>0</v>
      </c>
      <c r="R619" s="118">
        <f>IF(OR($A619="",$Y534=0),0,R534/$Y534*Inputs!$S30)</f>
        <v>0</v>
      </c>
      <c r="S619" s="118">
        <f>IF(OR($A619="",$Y534=0),0,S534/$Y534*Inputs!$S30)</f>
        <v>0</v>
      </c>
      <c r="T619" s="118">
        <f>IF(OR($A619="",$Y534=0),0,T534/$Y534*Inputs!$S30)</f>
        <v>0</v>
      </c>
      <c r="U619" s="118">
        <f>IF(OR($A619="",$Y534=0),0,U534/$Y534*Inputs!$S30)</f>
        <v>0</v>
      </c>
      <c r="V619" s="118">
        <f>IF(OR($A619="",$Y534=0),0,V534/$Y534*Inputs!$S30)</f>
        <v>0</v>
      </c>
      <c r="W619" s="118">
        <f>IF(OR($A619="",$Y534=0),0,W534/$Y534*Inputs!$S30)</f>
        <v>0</v>
      </c>
      <c r="X619" s="118">
        <f>IF(OR($A619="",$Y534=0),0,X534/$Y534*Inputs!$S30)</f>
        <v>0</v>
      </c>
      <c r="Y619" s="118">
        <f t="shared" si="127"/>
        <v>0.25</v>
      </c>
    </row>
    <row r="620" spans="1:25" x14ac:dyDescent="0.3">
      <c r="A620" s="116" t="str">
        <f>IF(Inputs!$A31="","",Inputs!$A31)</f>
        <v>S22058-0400D</v>
      </c>
      <c r="B620" s="116"/>
      <c r="C620" s="116"/>
      <c r="D620" s="118">
        <f>IF(OR($A620="",$Y535=0),0,D535/$Y535*Inputs!$S31)</f>
        <v>0.13333333333333333</v>
      </c>
      <c r="E620" s="118">
        <f>IF(OR($A620="",$Y535=0),0,E535/$Y535*Inputs!$S31)</f>
        <v>0.23333333333333334</v>
      </c>
      <c r="F620" s="118">
        <f>IF(OR($A620="",$Y535=0),0,F535/$Y535*Inputs!$S31)</f>
        <v>0</v>
      </c>
      <c r="G620" s="118">
        <f>IF(OR($A620="",$Y535=0),0,G535/$Y535*Inputs!$S31)</f>
        <v>0</v>
      </c>
      <c r="H620" s="118">
        <f>IF(OR($A620="",$Y535=0),0,H535/$Y535*Inputs!$S31)</f>
        <v>0</v>
      </c>
      <c r="I620" s="118">
        <f>IF(OR($A620="",$Y535=0),0,I535/$Y535*Inputs!$S31)</f>
        <v>0</v>
      </c>
      <c r="J620" s="118">
        <f>IF(OR($A620="",$Y535=0),0,J535/$Y535*Inputs!$S31)</f>
        <v>0.13333333333333333</v>
      </c>
      <c r="K620" s="118">
        <f>IF(OR($A620="",$Y535=0),0,K535/$Y535*Inputs!$S31)</f>
        <v>0</v>
      </c>
      <c r="L620" s="118">
        <f>IF(OR($A620="",$Y535=0),0,L535/$Y535*Inputs!$S31)</f>
        <v>0</v>
      </c>
      <c r="M620" s="118">
        <f>IF(OR($A620="",$Y535=0),0,M535/$Y535*Inputs!$S31)</f>
        <v>0</v>
      </c>
      <c r="N620" s="118">
        <f>IF(OR($A620="",$Y535=0),0,N535/$Y535*Inputs!$S31)</f>
        <v>0</v>
      </c>
      <c r="O620" s="118">
        <f>IF(OR($A620="",$Y535=0),0,O535/$Y535*Inputs!$S31)</f>
        <v>0</v>
      </c>
      <c r="P620" s="118">
        <f>IF(OR($A620="",$Y535=0),0,P535/$Y535*Inputs!$S31)</f>
        <v>0</v>
      </c>
      <c r="Q620" s="118">
        <f>IF(OR($A620="",$Y535=0),0,Q535/$Y535*Inputs!$S31)</f>
        <v>0</v>
      </c>
      <c r="R620" s="118">
        <f>IF(OR($A620="",$Y535=0),0,R535/$Y535*Inputs!$S31)</f>
        <v>0</v>
      </c>
      <c r="S620" s="118">
        <f>IF(OR($A620="",$Y535=0),0,S535/$Y535*Inputs!$S31)</f>
        <v>0</v>
      </c>
      <c r="T620" s="118">
        <f>IF(OR($A620="",$Y535=0),0,T535/$Y535*Inputs!$S31)</f>
        <v>0</v>
      </c>
      <c r="U620" s="118">
        <f>IF(OR($A620="",$Y535=0),0,U535/$Y535*Inputs!$S31)</f>
        <v>0</v>
      </c>
      <c r="V620" s="118">
        <f>IF(OR($A620="",$Y535=0),0,V535/$Y535*Inputs!$S31)</f>
        <v>0</v>
      </c>
      <c r="W620" s="118">
        <f>IF(OR($A620="",$Y535=0),0,W535/$Y535*Inputs!$S31)</f>
        <v>0</v>
      </c>
      <c r="X620" s="118">
        <f>IF(OR($A620="",$Y535=0),0,X535/$Y535*Inputs!$S31)</f>
        <v>0</v>
      </c>
      <c r="Y620" s="118">
        <f t="shared" si="127"/>
        <v>0.5</v>
      </c>
    </row>
    <row r="621" spans="1:25" x14ac:dyDescent="0.3">
      <c r="A621" s="116" t="str">
        <f>IF(Inputs!$A32="","",Inputs!$A32)</f>
        <v>Proposals 25</v>
      </c>
      <c r="B621" s="116"/>
      <c r="C621" s="116"/>
      <c r="D621" s="118">
        <f>IF(OR($A621="",$Y536=0),0,D536/$Y536*Inputs!$S32)</f>
        <v>0</v>
      </c>
      <c r="E621" s="118">
        <f>IF(OR($A621="",$Y536=0),0,E536/$Y536*Inputs!$S32)</f>
        <v>0</v>
      </c>
      <c r="F621" s="118">
        <f>IF(OR($A621="",$Y536=0),0,F536/$Y536*Inputs!$S32)</f>
        <v>0</v>
      </c>
      <c r="G621" s="118">
        <f>IF(OR($A621="",$Y536=0),0,G536/$Y536*Inputs!$S32)</f>
        <v>0</v>
      </c>
      <c r="H621" s="118">
        <f>IF(OR($A621="",$Y536=0),0,H536/$Y536*Inputs!$S32)</f>
        <v>0</v>
      </c>
      <c r="I621" s="118">
        <f>IF(OR($A621="",$Y536=0),0,I536/$Y536*Inputs!$S32)</f>
        <v>0.40907911802853431</v>
      </c>
      <c r="J621" s="118">
        <f>IF(OR($A621="",$Y536=0),0,J536/$Y536*Inputs!$S32)</f>
        <v>0.25505836575875485</v>
      </c>
      <c r="K621" s="118">
        <f>IF(OR($A621="",$Y536=0),0,K536/$Y536*Inputs!$S32)</f>
        <v>1.211219195849546</v>
      </c>
      <c r="L621" s="118">
        <f>IF(OR($A621="",$Y536=0),0,L536/$Y536*Inputs!$S32)</f>
        <v>2.4643320363164717E-2</v>
      </c>
      <c r="M621" s="118">
        <f>IF(OR($A621="",$Y536=0),0,M536/$Y536*Inputs!$S32)</f>
        <v>0</v>
      </c>
      <c r="N621" s="118">
        <f>IF(OR($A621="",$Y536=0),0,N536/$Y536*Inputs!$S32)</f>
        <v>0</v>
      </c>
      <c r="O621" s="118">
        <f>IF(OR($A621="",$Y536=0),0,O536/$Y536*Inputs!$S32)</f>
        <v>0</v>
      </c>
      <c r="P621" s="118">
        <f>IF(OR($A621="",$Y536=0),0,P536/$Y536*Inputs!$S32)</f>
        <v>0</v>
      </c>
      <c r="Q621" s="118">
        <f>IF(OR($A621="",$Y536=0),0,Q536/$Y536*Inputs!$S32)</f>
        <v>0</v>
      </c>
      <c r="R621" s="118">
        <f>IF(OR($A621="",$Y536=0),0,R536/$Y536*Inputs!$S32)</f>
        <v>0</v>
      </c>
      <c r="S621" s="118">
        <f>IF(OR($A621="",$Y536=0),0,S536/$Y536*Inputs!$S32)</f>
        <v>0</v>
      </c>
      <c r="T621" s="118">
        <f>IF(OR($A621="",$Y536=0),0,T536/$Y536*Inputs!$S32)</f>
        <v>0</v>
      </c>
      <c r="U621" s="118">
        <f>IF(OR($A621="",$Y536=0),0,U536/$Y536*Inputs!$S32)</f>
        <v>0</v>
      </c>
      <c r="V621" s="118">
        <f>IF(OR($A621="",$Y536=0),0,V536/$Y536*Inputs!$S32)</f>
        <v>0</v>
      </c>
      <c r="W621" s="118">
        <f>IF(OR($A621="",$Y536=0),0,W536/$Y536*Inputs!$S32)</f>
        <v>0</v>
      </c>
      <c r="X621" s="118">
        <f>IF(OR($A621="",$Y536=0),0,X536/$Y536*Inputs!$S32)</f>
        <v>0</v>
      </c>
      <c r="Y621" s="118">
        <f t="shared" si="127"/>
        <v>1.8999999999999997</v>
      </c>
    </row>
    <row r="622" spans="1:25" x14ac:dyDescent="0.3">
      <c r="A622" s="116" t="str">
        <f>IF(Inputs!$A33="","",Inputs!$A33)</f>
        <v>Chargable Proposals 25</v>
      </c>
      <c r="B622" s="116"/>
      <c r="C622" s="116"/>
      <c r="D622" s="118">
        <f>IF(OR($A622="",$Y537=0),0,D537/$Y537*Inputs!$S33)</f>
        <v>0</v>
      </c>
      <c r="E622" s="118">
        <f>IF(OR($A622="",$Y537=0),0,E537/$Y537*Inputs!$S33)</f>
        <v>0</v>
      </c>
      <c r="F622" s="118">
        <f>IF(OR($A622="",$Y537=0),0,F537/$Y537*Inputs!$S33)</f>
        <v>0</v>
      </c>
      <c r="G622" s="118">
        <f>IF(OR($A622="",$Y537=0),0,G537/$Y537*Inputs!$S33)</f>
        <v>0</v>
      </c>
      <c r="H622" s="118">
        <f>IF(OR($A622="",$Y537=0),0,H537/$Y537*Inputs!$S33)</f>
        <v>0</v>
      </c>
      <c r="I622" s="118">
        <f>IF(OR($A622="",$Y537=0),0,I537/$Y537*Inputs!$S33)</f>
        <v>1.2491432488005483</v>
      </c>
      <c r="J622" s="118">
        <f>IF(OR($A622="",$Y537=0),0,J537/$Y537*Inputs!$S33)</f>
        <v>0.57984921178889648</v>
      </c>
      <c r="K622" s="118">
        <f>IF(OR($A622="",$Y537=0),0,K537/$Y537*Inputs!$S33)</f>
        <v>1.1710075394105552</v>
      </c>
      <c r="L622" s="118">
        <f>IF(OR($A622="",$Y537=0),0,L537/$Y537*Inputs!$S33)</f>
        <v>0</v>
      </c>
      <c r="M622" s="118">
        <f>IF(OR($A622="",$Y537=0),0,M537/$Y537*Inputs!$S33)</f>
        <v>0</v>
      </c>
      <c r="N622" s="118">
        <f>IF(OR($A622="",$Y537=0),0,N537/$Y537*Inputs!$S33)</f>
        <v>0</v>
      </c>
      <c r="O622" s="118">
        <f>IF(OR($A622="",$Y537=0),0,O537/$Y537*Inputs!$S33)</f>
        <v>0</v>
      </c>
      <c r="P622" s="118">
        <f>IF(OR($A622="",$Y537=0),0,P537/$Y537*Inputs!$S33)</f>
        <v>0</v>
      </c>
      <c r="Q622" s="118">
        <f>IF(OR($A622="",$Y537=0),0,Q537/$Y537*Inputs!$S33)</f>
        <v>0</v>
      </c>
      <c r="R622" s="118">
        <f>IF(OR($A622="",$Y537=0),0,R537/$Y537*Inputs!$S33)</f>
        <v>0</v>
      </c>
      <c r="S622" s="118">
        <f>IF(OR($A622="",$Y537=0),0,S537/$Y537*Inputs!$S33)</f>
        <v>0</v>
      </c>
      <c r="T622" s="118">
        <f>IF(OR($A622="",$Y537=0),0,T537/$Y537*Inputs!$S33)</f>
        <v>0</v>
      </c>
      <c r="U622" s="118">
        <f>IF(OR($A622="",$Y537=0),0,U537/$Y537*Inputs!$S33)</f>
        <v>0</v>
      </c>
      <c r="V622" s="118">
        <f>IF(OR($A622="",$Y537=0),0,V537/$Y537*Inputs!$S33)</f>
        <v>0</v>
      </c>
      <c r="W622" s="118">
        <f>IF(OR($A622="",$Y537=0),0,W537/$Y537*Inputs!$S33)</f>
        <v>0</v>
      </c>
      <c r="X622" s="118">
        <f>IF(OR($A622="",$Y537=0),0,X537/$Y537*Inputs!$S33)</f>
        <v>0</v>
      </c>
      <c r="Y622" s="118">
        <f t="shared" si="127"/>
        <v>3</v>
      </c>
    </row>
    <row r="623" spans="1:25" x14ac:dyDescent="0.3">
      <c r="A623" s="116" t="str">
        <f>IF(Inputs!$A34="","",Inputs!$A34)</f>
        <v>AD23051-0101D</v>
      </c>
      <c r="B623" s="116"/>
      <c r="C623" s="116"/>
      <c r="D623" s="118">
        <f>IF(OR($A623="",$Y538=0),0,D538/$Y538*Inputs!$S34)</f>
        <v>7.6190476190476197E-2</v>
      </c>
      <c r="E623" s="118">
        <f>IF(OR($A623="",$Y538=0),0,E538/$Y538*Inputs!$S34)</f>
        <v>0.42380952380952386</v>
      </c>
      <c r="F623" s="118">
        <f>IF(OR($A623="",$Y538=0),0,F538/$Y538*Inputs!$S34)</f>
        <v>0</v>
      </c>
      <c r="G623" s="118">
        <f>IF(OR($A623="",$Y538=0),0,G538/$Y538*Inputs!$S34)</f>
        <v>0</v>
      </c>
      <c r="H623" s="118">
        <f>IF(OR($A623="",$Y538=0),0,H538/$Y538*Inputs!$S34)</f>
        <v>0</v>
      </c>
      <c r="I623" s="118">
        <f>IF(OR($A623="",$Y538=0),0,I538/$Y538*Inputs!$S34)</f>
        <v>0</v>
      </c>
      <c r="J623" s="118">
        <f>IF(OR($A623="",$Y538=0),0,J538/$Y538*Inputs!$S34)</f>
        <v>0</v>
      </c>
      <c r="K623" s="118">
        <f>IF(OR($A623="",$Y538=0),0,K538/$Y538*Inputs!$S34)</f>
        <v>0</v>
      </c>
      <c r="L623" s="118">
        <f>IF(OR($A623="",$Y538=0),0,L538/$Y538*Inputs!$S34)</f>
        <v>0</v>
      </c>
      <c r="M623" s="118">
        <f>IF(OR($A623="",$Y538=0),0,M538/$Y538*Inputs!$S34)</f>
        <v>0</v>
      </c>
      <c r="N623" s="118">
        <f>IF(OR($A623="",$Y538=0),0,N538/$Y538*Inputs!$S34)</f>
        <v>0</v>
      </c>
      <c r="O623" s="118">
        <f>IF(OR($A623="",$Y538=0),0,O538/$Y538*Inputs!$S34)</f>
        <v>0</v>
      </c>
      <c r="P623" s="118">
        <f>IF(OR($A623="",$Y538=0),0,P538/$Y538*Inputs!$S34)</f>
        <v>0</v>
      </c>
      <c r="Q623" s="118">
        <f>IF(OR($A623="",$Y538=0),0,Q538/$Y538*Inputs!$S34)</f>
        <v>0</v>
      </c>
      <c r="R623" s="118">
        <f>IF(OR($A623="",$Y538=0),0,R538/$Y538*Inputs!$S34)</f>
        <v>0</v>
      </c>
      <c r="S623" s="118">
        <f>IF(OR($A623="",$Y538=0),0,S538/$Y538*Inputs!$S34)</f>
        <v>0</v>
      </c>
      <c r="T623" s="118">
        <f>IF(OR($A623="",$Y538=0),0,T538/$Y538*Inputs!$S34)</f>
        <v>0</v>
      </c>
      <c r="U623" s="118">
        <f>IF(OR($A623="",$Y538=0),0,U538/$Y538*Inputs!$S34)</f>
        <v>0</v>
      </c>
      <c r="V623" s="118">
        <f>IF(OR($A623="",$Y538=0),0,V538/$Y538*Inputs!$S34)</f>
        <v>0</v>
      </c>
      <c r="W623" s="118">
        <f>IF(OR($A623="",$Y538=0),0,W538/$Y538*Inputs!$S34)</f>
        <v>0</v>
      </c>
      <c r="X623" s="118">
        <f>IF(OR($A623="",$Y538=0),0,X538/$Y538*Inputs!$S34)</f>
        <v>0</v>
      </c>
      <c r="Y623" s="118">
        <f t="shared" si="127"/>
        <v>0.5</v>
      </c>
    </row>
    <row r="624" spans="1:25" x14ac:dyDescent="0.3">
      <c r="A624" s="116" t="str">
        <f>IF(Inputs!$A35="","",Inputs!$A35)</f>
        <v>AN21146-0100R</v>
      </c>
      <c r="B624" s="116"/>
      <c r="C624" s="116"/>
      <c r="D624" s="118">
        <f>IF(OR($A624="",$Y539=0),0,D539/$Y539*Inputs!$S35)</f>
        <v>0</v>
      </c>
      <c r="E624" s="118">
        <f>IF(OR($A624="",$Y539=0),0,E539/$Y539*Inputs!$S35)</f>
        <v>0</v>
      </c>
      <c r="F624" s="118">
        <f>IF(OR($A624="",$Y539=0),0,F539/$Y539*Inputs!$S35)</f>
        <v>0.2578125</v>
      </c>
      <c r="G624" s="118">
        <f>IF(OR($A624="",$Y539=0),0,G539/$Y539*Inputs!$S35)</f>
        <v>2.7421875</v>
      </c>
      <c r="H624" s="118">
        <f>IF(OR($A624="",$Y539=0),0,H539/$Y539*Inputs!$S35)</f>
        <v>0</v>
      </c>
      <c r="I624" s="118">
        <f>IF(OR($A624="",$Y539=0),0,I539/$Y539*Inputs!$S35)</f>
        <v>0</v>
      </c>
      <c r="J624" s="118">
        <f>IF(OR($A624="",$Y539=0),0,J539/$Y539*Inputs!$S35)</f>
        <v>0</v>
      </c>
      <c r="K624" s="118">
        <f>IF(OR($A624="",$Y539=0),0,K539/$Y539*Inputs!$S35)</f>
        <v>0</v>
      </c>
      <c r="L624" s="118">
        <f>IF(OR($A624="",$Y539=0),0,L539/$Y539*Inputs!$S35)</f>
        <v>0</v>
      </c>
      <c r="M624" s="118">
        <f>IF(OR($A624="",$Y539=0),0,M539/$Y539*Inputs!$S35)</f>
        <v>0</v>
      </c>
      <c r="N624" s="118">
        <f>IF(OR($A624="",$Y539=0),0,N539/$Y539*Inputs!$S35)</f>
        <v>0</v>
      </c>
      <c r="O624" s="118">
        <f>IF(OR($A624="",$Y539=0),0,O539/$Y539*Inputs!$S35)</f>
        <v>0</v>
      </c>
      <c r="P624" s="118">
        <f>IF(OR($A624="",$Y539=0),0,P539/$Y539*Inputs!$S35)</f>
        <v>0</v>
      </c>
      <c r="Q624" s="118">
        <f>IF(OR($A624="",$Y539=0),0,Q539/$Y539*Inputs!$S35)</f>
        <v>0</v>
      </c>
      <c r="R624" s="118">
        <f>IF(OR($A624="",$Y539=0),0,R539/$Y539*Inputs!$S35)</f>
        <v>0</v>
      </c>
      <c r="S624" s="118">
        <f>IF(OR($A624="",$Y539=0),0,S539/$Y539*Inputs!$S35)</f>
        <v>0</v>
      </c>
      <c r="T624" s="118">
        <f>IF(OR($A624="",$Y539=0),0,T539/$Y539*Inputs!$S35)</f>
        <v>0</v>
      </c>
      <c r="U624" s="118">
        <f>IF(OR($A624="",$Y539=0),0,U539/$Y539*Inputs!$S35)</f>
        <v>0</v>
      </c>
      <c r="V624" s="118">
        <f>IF(OR($A624="",$Y539=0),0,V539/$Y539*Inputs!$S35)</f>
        <v>0</v>
      </c>
      <c r="W624" s="118">
        <f>IF(OR($A624="",$Y539=0),0,W539/$Y539*Inputs!$S35)</f>
        <v>0</v>
      </c>
      <c r="X624" s="118">
        <f>IF(OR($A624="",$Y539=0),0,X539/$Y539*Inputs!$S35)</f>
        <v>0</v>
      </c>
      <c r="Y624" s="118">
        <f t="shared" si="127"/>
        <v>3</v>
      </c>
    </row>
    <row r="625" spans="1:25" x14ac:dyDescent="0.3">
      <c r="A625" s="116" t="str">
        <f>IF(Inputs!$A36="","",Inputs!$A36)</f>
        <v>N23106-0100D</v>
      </c>
      <c r="B625" s="116"/>
      <c r="C625" s="116"/>
      <c r="D625" s="118">
        <f>IF(OR($A625="",$Y540=0),0,D540/$Y540*Inputs!$S36)</f>
        <v>0</v>
      </c>
      <c r="E625" s="118">
        <f>IF(OR($A625="",$Y540=0),0,E540/$Y540*Inputs!$S36)</f>
        <v>0</v>
      </c>
      <c r="F625" s="118">
        <f>IF(OR($A625="",$Y540=0),0,F540/$Y540*Inputs!$S36)</f>
        <v>0.23799837266069976</v>
      </c>
      <c r="G625" s="118">
        <f>IF(OR($A625="",$Y540=0),0,G540/$Y540*Inputs!$S36)</f>
        <v>3.5272579332790883</v>
      </c>
      <c r="H625" s="118">
        <f>IF(OR($A625="",$Y540=0),0,H540/$Y540*Inputs!$S36)</f>
        <v>0.52278275020341747</v>
      </c>
      <c r="I625" s="118">
        <f>IF(OR($A625="",$Y540=0),0,I540/$Y540*Inputs!$S36)</f>
        <v>0</v>
      </c>
      <c r="J625" s="118">
        <f>IF(OR($A625="",$Y540=0),0,J540/$Y540*Inputs!$S36)</f>
        <v>0</v>
      </c>
      <c r="K625" s="118">
        <f>IF(OR($A625="",$Y540=0),0,K540/$Y540*Inputs!$S36)</f>
        <v>0</v>
      </c>
      <c r="L625" s="118">
        <f>IF(OR($A625="",$Y540=0),0,L540/$Y540*Inputs!$S36)</f>
        <v>4.8820179007323029E-2</v>
      </c>
      <c r="M625" s="118">
        <f>IF(OR($A625="",$Y540=0),0,M540/$Y540*Inputs!$S36)</f>
        <v>0.66314076484947115</v>
      </c>
      <c r="N625" s="118">
        <f>IF(OR($A625="",$Y540=0),0,N540/$Y540*Inputs!$S36)</f>
        <v>0</v>
      </c>
      <c r="O625" s="118">
        <f>IF(OR($A625="",$Y540=0),0,O540/$Y540*Inputs!$S36)</f>
        <v>0</v>
      </c>
      <c r="P625" s="118">
        <f>IF(OR($A625="",$Y540=0),0,P540/$Y540*Inputs!$S36)</f>
        <v>0</v>
      </c>
      <c r="Q625" s="118">
        <f>IF(OR($A625="",$Y540=0),0,Q540/$Y540*Inputs!$S36)</f>
        <v>0</v>
      </c>
      <c r="R625" s="118">
        <f>IF(OR($A625="",$Y540=0),0,R540/$Y540*Inputs!$S36)</f>
        <v>0</v>
      </c>
      <c r="S625" s="118">
        <f>IF(OR($A625="",$Y540=0),0,S540/$Y540*Inputs!$S36)</f>
        <v>0</v>
      </c>
      <c r="T625" s="118">
        <f>IF(OR($A625="",$Y540=0),0,T540/$Y540*Inputs!$S36)</f>
        <v>0</v>
      </c>
      <c r="U625" s="118">
        <f>IF(OR($A625="",$Y540=0),0,U540/$Y540*Inputs!$S36)</f>
        <v>0</v>
      </c>
      <c r="V625" s="118">
        <f>IF(OR($A625="",$Y540=0),0,V540/$Y540*Inputs!$S36)</f>
        <v>0</v>
      </c>
      <c r="W625" s="118">
        <f>IF(OR($A625="",$Y540=0),0,W540/$Y540*Inputs!$S36)</f>
        <v>0</v>
      </c>
      <c r="X625" s="118">
        <f>IF(OR($A625="",$Y540=0),0,X540/$Y540*Inputs!$S36)</f>
        <v>0</v>
      </c>
      <c r="Y625" s="118">
        <f t="shared" si="127"/>
        <v>4.9999999999999991</v>
      </c>
    </row>
    <row r="626" spans="1:25" x14ac:dyDescent="0.3">
      <c r="A626" s="116" t="str">
        <f>IF(Inputs!$A37="","",Inputs!$A37)</f>
        <v>OM23030-0100D</v>
      </c>
      <c r="B626" s="116"/>
      <c r="C626" s="116"/>
      <c r="D626" s="118">
        <f>IF(OR($A626="",$Y541=0),0,D541/$Y541*Inputs!$S37)</f>
        <v>0</v>
      </c>
      <c r="E626" s="118">
        <f>IF(OR($A626="",$Y541=0),0,E541/$Y541*Inputs!$S37)</f>
        <v>0.25</v>
      </c>
      <c r="F626" s="118">
        <f>IF(OR($A626="",$Y541=0),0,F541/$Y541*Inputs!$S37)</f>
        <v>0</v>
      </c>
      <c r="G626" s="118">
        <f>IF(OR($A626="",$Y541=0),0,G541/$Y541*Inputs!$S37)</f>
        <v>0</v>
      </c>
      <c r="H626" s="118">
        <f>IF(OR($A626="",$Y541=0),0,H541/$Y541*Inputs!$S37)</f>
        <v>0</v>
      </c>
      <c r="I626" s="118">
        <f>IF(OR($A626="",$Y541=0),0,I541/$Y541*Inputs!$S37)</f>
        <v>0</v>
      </c>
      <c r="J626" s="118">
        <f>IF(OR($A626="",$Y541=0),0,J541/$Y541*Inputs!$S37)</f>
        <v>0</v>
      </c>
      <c r="K626" s="118">
        <f>IF(OR($A626="",$Y541=0),0,K541/$Y541*Inputs!$S37)</f>
        <v>0</v>
      </c>
      <c r="L626" s="118">
        <f>IF(OR($A626="",$Y541=0),0,L541/$Y541*Inputs!$S37)</f>
        <v>0</v>
      </c>
      <c r="M626" s="118">
        <f>IF(OR($A626="",$Y541=0),0,M541/$Y541*Inputs!$S37)</f>
        <v>0</v>
      </c>
      <c r="N626" s="118">
        <f>IF(OR($A626="",$Y541=0),0,N541/$Y541*Inputs!$S37)</f>
        <v>0</v>
      </c>
      <c r="O626" s="118">
        <f>IF(OR($A626="",$Y541=0),0,O541/$Y541*Inputs!$S37)</f>
        <v>0</v>
      </c>
      <c r="P626" s="118">
        <f>IF(OR($A626="",$Y541=0),0,P541/$Y541*Inputs!$S37)</f>
        <v>0</v>
      </c>
      <c r="Q626" s="118">
        <f>IF(OR($A626="",$Y541=0),0,Q541/$Y541*Inputs!$S37)</f>
        <v>0</v>
      </c>
      <c r="R626" s="118">
        <f>IF(OR($A626="",$Y541=0),0,R541/$Y541*Inputs!$S37)</f>
        <v>0</v>
      </c>
      <c r="S626" s="118">
        <f>IF(OR($A626="",$Y541=0),0,S541/$Y541*Inputs!$S37)</f>
        <v>0</v>
      </c>
      <c r="T626" s="118">
        <f>IF(OR($A626="",$Y541=0),0,T541/$Y541*Inputs!$S37)</f>
        <v>0</v>
      </c>
      <c r="U626" s="118">
        <f>IF(OR($A626="",$Y541=0),0,U541/$Y541*Inputs!$S37)</f>
        <v>0</v>
      </c>
      <c r="V626" s="118">
        <f>IF(OR($A626="",$Y541=0),0,V541/$Y541*Inputs!$S37)</f>
        <v>0</v>
      </c>
      <c r="W626" s="118">
        <f>IF(OR($A626="",$Y541=0),0,W541/$Y541*Inputs!$S37)</f>
        <v>0</v>
      </c>
      <c r="X626" s="118">
        <f>IF(OR($A626="",$Y541=0),0,X541/$Y541*Inputs!$S37)</f>
        <v>0</v>
      </c>
      <c r="Y626" s="118">
        <f t="shared" si="127"/>
        <v>0.25</v>
      </c>
    </row>
    <row r="627" spans="1:25" x14ac:dyDescent="0.3">
      <c r="A627" s="116" t="str">
        <f>IF(Inputs!$A38="","",Inputs!$A38)</f>
        <v>Chargable Proposals 24</v>
      </c>
      <c r="B627" s="116"/>
      <c r="C627" s="116"/>
      <c r="D627" s="118">
        <f>IF(OR($A627="",$Y542=0),0,D542/$Y542*Inputs!$S38)</f>
        <v>0</v>
      </c>
      <c r="E627" s="118">
        <f>IF(OR($A627="",$Y542=0),0,E542/$Y542*Inputs!$S38)</f>
        <v>0.56741982507288624</v>
      </c>
      <c r="F627" s="118">
        <f>IF(OR($A627="",$Y542=0),0,F542/$Y542*Inputs!$S38)</f>
        <v>1.1577988338192418</v>
      </c>
      <c r="G627" s="118">
        <f>IF(OR($A627="",$Y542=0),0,G542/$Y542*Inputs!$S38)</f>
        <v>0</v>
      </c>
      <c r="H627" s="118">
        <f>IF(OR($A627="",$Y542=0),0,H542/$Y542*Inputs!$S38)</f>
        <v>0.52478134110787167</v>
      </c>
      <c r="I627" s="118">
        <f>IF(OR($A627="",$Y542=0),0,I542/$Y542*Inputs!$S38)</f>
        <v>0</v>
      </c>
      <c r="J627" s="118">
        <f>IF(OR($A627="",$Y542=0),0,J542/$Y542*Inputs!$S38)</f>
        <v>0</v>
      </c>
      <c r="K627" s="118">
        <f>IF(OR($A627="",$Y542=0),0,K542/$Y542*Inputs!$S38)</f>
        <v>0</v>
      </c>
      <c r="L627" s="118">
        <f>IF(OR($A627="",$Y542=0),0,L542/$Y542*Inputs!$S38)</f>
        <v>0</v>
      </c>
      <c r="M627" s="118">
        <f>IF(OR($A627="",$Y542=0),0,M542/$Y542*Inputs!$S38)</f>
        <v>0</v>
      </c>
      <c r="N627" s="118">
        <f>IF(OR($A627="",$Y542=0),0,N542/$Y542*Inputs!$S38)</f>
        <v>0</v>
      </c>
      <c r="O627" s="118">
        <f>IF(OR($A627="",$Y542=0),0,O542/$Y542*Inputs!$S38)</f>
        <v>0</v>
      </c>
      <c r="P627" s="118">
        <f>IF(OR($A627="",$Y542=0),0,P542/$Y542*Inputs!$S38)</f>
        <v>0</v>
      </c>
      <c r="Q627" s="118">
        <f>IF(OR($A627="",$Y542=0),0,Q542/$Y542*Inputs!$S38)</f>
        <v>0</v>
      </c>
      <c r="R627" s="118">
        <f>IF(OR($A627="",$Y542=0),0,R542/$Y542*Inputs!$S38)</f>
        <v>0</v>
      </c>
      <c r="S627" s="118">
        <f>IF(OR($A627="",$Y542=0),0,S542/$Y542*Inputs!$S38)</f>
        <v>0</v>
      </c>
      <c r="T627" s="118">
        <f>IF(OR($A627="",$Y542=0),0,T542/$Y542*Inputs!$S38)</f>
        <v>0</v>
      </c>
      <c r="U627" s="118">
        <f>IF(OR($A627="",$Y542=0),0,U542/$Y542*Inputs!$S38)</f>
        <v>0</v>
      </c>
      <c r="V627" s="118">
        <f>IF(OR($A627="",$Y542=0),0,V542/$Y542*Inputs!$S38)</f>
        <v>0</v>
      </c>
      <c r="W627" s="118">
        <f>IF(OR($A627="",$Y542=0),0,W542/$Y542*Inputs!$S38)</f>
        <v>0</v>
      </c>
      <c r="X627" s="118">
        <f>IF(OR($A627="",$Y542=0),0,X542/$Y542*Inputs!$S38)</f>
        <v>0</v>
      </c>
      <c r="Y627" s="118">
        <f t="shared" ref="Y627:Y658" si="128">SUM(D627:X627)</f>
        <v>2.2499999999999996</v>
      </c>
    </row>
    <row r="628" spans="1:25" x14ac:dyDescent="0.3">
      <c r="A628" s="116" t="str">
        <f>IF(Inputs!$A39="","",Inputs!$A39)</f>
        <v>Proposals 24</v>
      </c>
      <c r="B628" s="116"/>
      <c r="C628" s="116"/>
      <c r="D628" s="118">
        <f>IF(OR($A628="",$Y543=0),0,D543/$Y543*Inputs!$S39)</f>
        <v>0</v>
      </c>
      <c r="E628" s="118">
        <f>IF(OR($A628="",$Y543=0),0,E543/$Y543*Inputs!$S39)</f>
        <v>0.13576826196473554</v>
      </c>
      <c r="F628" s="118">
        <f>IF(OR($A628="",$Y543=0),0,F543/$Y543*Inputs!$S39)</f>
        <v>0.19672544080604537</v>
      </c>
      <c r="G628" s="118">
        <f>IF(OR($A628="",$Y543=0),0,G543/$Y543*Inputs!$S39)</f>
        <v>3.324937027707809E-2</v>
      </c>
      <c r="H628" s="118">
        <f>IF(OR($A628="",$Y543=0),0,H543/$Y543*Inputs!$S39)</f>
        <v>0.73425692695214118</v>
      </c>
      <c r="I628" s="118">
        <f>IF(OR($A628="",$Y543=0),0,I543/$Y543*Inputs!$S39)</f>
        <v>0</v>
      </c>
      <c r="J628" s="118">
        <f>IF(OR($A628="",$Y543=0),0,J543/$Y543*Inputs!$S39)</f>
        <v>0</v>
      </c>
      <c r="K628" s="118">
        <f>IF(OR($A628="",$Y543=0),0,K543/$Y543*Inputs!$S39)</f>
        <v>0</v>
      </c>
      <c r="L628" s="118">
        <f>IF(OR($A628="",$Y543=0),0,L543/$Y543*Inputs!$S39)</f>
        <v>0</v>
      </c>
      <c r="M628" s="118">
        <f>IF(OR($A628="",$Y543=0),0,M543/$Y543*Inputs!$S39)</f>
        <v>0</v>
      </c>
      <c r="N628" s="118">
        <f>IF(OR($A628="",$Y543=0),0,N543/$Y543*Inputs!$S39)</f>
        <v>0</v>
      </c>
      <c r="O628" s="118">
        <f>IF(OR($A628="",$Y543=0),0,O543/$Y543*Inputs!$S39)</f>
        <v>0</v>
      </c>
      <c r="P628" s="118">
        <f>IF(OR($A628="",$Y543=0),0,P543/$Y543*Inputs!$S39)</f>
        <v>0</v>
      </c>
      <c r="Q628" s="118">
        <f>IF(OR($A628="",$Y543=0),0,Q543/$Y543*Inputs!$S39)</f>
        <v>0</v>
      </c>
      <c r="R628" s="118">
        <f>IF(OR($A628="",$Y543=0),0,R543/$Y543*Inputs!$S39)</f>
        <v>0</v>
      </c>
      <c r="S628" s="118">
        <f>IF(OR($A628="",$Y543=0),0,S543/$Y543*Inputs!$S39)</f>
        <v>0</v>
      </c>
      <c r="T628" s="118">
        <f>IF(OR($A628="",$Y543=0),0,T543/$Y543*Inputs!$S39)</f>
        <v>0</v>
      </c>
      <c r="U628" s="118">
        <f>IF(OR($A628="",$Y543=0),0,U543/$Y543*Inputs!$S39)</f>
        <v>0</v>
      </c>
      <c r="V628" s="118">
        <f>IF(OR($A628="",$Y543=0),0,V543/$Y543*Inputs!$S39)</f>
        <v>0</v>
      </c>
      <c r="W628" s="118">
        <f>IF(OR($A628="",$Y543=0),0,W543/$Y543*Inputs!$S39)</f>
        <v>0</v>
      </c>
      <c r="X628" s="118">
        <f>IF(OR($A628="",$Y543=0),0,X543/$Y543*Inputs!$S39)</f>
        <v>0</v>
      </c>
      <c r="Y628" s="118">
        <f t="shared" si="128"/>
        <v>1.1000000000000001</v>
      </c>
    </row>
    <row r="629" spans="1:25" x14ac:dyDescent="0.3">
      <c r="A629" s="116" t="str">
        <f>IF(Inputs!$A40="","",Inputs!$A40)</f>
        <v>S23204-0100D</v>
      </c>
      <c r="B629" s="116"/>
      <c r="C629" s="116"/>
      <c r="D629" s="118">
        <f>IF(OR($A629="",$Y544=0),0,D544/$Y544*Inputs!$S40)</f>
        <v>0</v>
      </c>
      <c r="E629" s="118">
        <f>IF(OR($A629="",$Y544=0),0,E544/$Y544*Inputs!$S40)</f>
        <v>1.5</v>
      </c>
      <c r="F629" s="118">
        <f>IF(OR($A629="",$Y544=0),0,F544/$Y544*Inputs!$S40)</f>
        <v>0</v>
      </c>
      <c r="G629" s="118">
        <f>IF(OR($A629="",$Y544=0),0,G544/$Y544*Inputs!$S40)</f>
        <v>0</v>
      </c>
      <c r="H629" s="118">
        <f>IF(OR($A629="",$Y544=0),0,H544/$Y544*Inputs!$S40)</f>
        <v>0</v>
      </c>
      <c r="I629" s="118">
        <f>IF(OR($A629="",$Y544=0),0,I544/$Y544*Inputs!$S40)</f>
        <v>0</v>
      </c>
      <c r="J629" s="118">
        <f>IF(OR($A629="",$Y544=0),0,J544/$Y544*Inputs!$S40)</f>
        <v>0</v>
      </c>
      <c r="K629" s="118">
        <f>IF(OR($A629="",$Y544=0),0,K544/$Y544*Inputs!$S40)</f>
        <v>0</v>
      </c>
      <c r="L629" s="118">
        <f>IF(OR($A629="",$Y544=0),0,L544/$Y544*Inputs!$S40)</f>
        <v>0</v>
      </c>
      <c r="M629" s="118">
        <f>IF(OR($A629="",$Y544=0),0,M544/$Y544*Inputs!$S40)</f>
        <v>0</v>
      </c>
      <c r="N629" s="118">
        <f>IF(OR($A629="",$Y544=0),0,N544/$Y544*Inputs!$S40)</f>
        <v>0</v>
      </c>
      <c r="O629" s="118">
        <f>IF(OR($A629="",$Y544=0),0,O544/$Y544*Inputs!$S40)</f>
        <v>0</v>
      </c>
      <c r="P629" s="118">
        <f>IF(OR($A629="",$Y544=0),0,P544/$Y544*Inputs!$S40)</f>
        <v>0</v>
      </c>
      <c r="Q629" s="118">
        <f>IF(OR($A629="",$Y544=0),0,Q544/$Y544*Inputs!$S40)</f>
        <v>0</v>
      </c>
      <c r="R629" s="118">
        <f>IF(OR($A629="",$Y544=0),0,R544/$Y544*Inputs!$S40)</f>
        <v>0</v>
      </c>
      <c r="S629" s="118">
        <f>IF(OR($A629="",$Y544=0),0,S544/$Y544*Inputs!$S40)</f>
        <v>0</v>
      </c>
      <c r="T629" s="118">
        <f>IF(OR($A629="",$Y544=0),0,T544/$Y544*Inputs!$S40)</f>
        <v>0</v>
      </c>
      <c r="U629" s="118">
        <f>IF(OR($A629="",$Y544=0),0,U544/$Y544*Inputs!$S40)</f>
        <v>0</v>
      </c>
      <c r="V629" s="118">
        <f>IF(OR($A629="",$Y544=0),0,V544/$Y544*Inputs!$S40)</f>
        <v>0</v>
      </c>
      <c r="W629" s="118">
        <f>IF(OR($A629="",$Y544=0),0,W544/$Y544*Inputs!$S40)</f>
        <v>0</v>
      </c>
      <c r="X629" s="118">
        <f>IF(OR($A629="",$Y544=0),0,X544/$Y544*Inputs!$S40)</f>
        <v>0</v>
      </c>
      <c r="Y629" s="118">
        <f t="shared" si="128"/>
        <v>1.5</v>
      </c>
    </row>
    <row r="630" spans="1:25" x14ac:dyDescent="0.3">
      <c r="A630" s="116" t="str">
        <f>IF(Inputs!$A41="","",Inputs!$A41)</f>
        <v>S24100-0100D</v>
      </c>
      <c r="B630" s="116"/>
      <c r="C630" s="116"/>
      <c r="D630" s="118">
        <f>IF(OR($A630="",$Y545=0),0,D545/$Y545*Inputs!$S41)</f>
        <v>0</v>
      </c>
      <c r="E630" s="118">
        <f>IF(OR($A630="",$Y545=0),0,E545/$Y545*Inputs!$S41)</f>
        <v>0</v>
      </c>
      <c r="F630" s="118">
        <f>IF(OR($A630="",$Y545=0),0,F545/$Y545*Inputs!$S41)</f>
        <v>0.54838709677419362</v>
      </c>
      <c r="G630" s="118">
        <f>IF(OR($A630="",$Y545=0),0,G545/$Y545*Inputs!$S41)</f>
        <v>1.0362903225806452</v>
      </c>
      <c r="H630" s="118">
        <f>IF(OR($A630="",$Y545=0),0,H545/$Y545*Inputs!$S41)</f>
        <v>1.4153225806451615</v>
      </c>
      <c r="I630" s="118">
        <f>IF(OR($A630="",$Y545=0),0,I545/$Y545*Inputs!$S41)</f>
        <v>0</v>
      </c>
      <c r="J630" s="118">
        <f>IF(OR($A630="",$Y545=0),0,J545/$Y545*Inputs!$S41)</f>
        <v>0</v>
      </c>
      <c r="K630" s="118">
        <f>IF(OR($A630="",$Y545=0),0,K545/$Y545*Inputs!$S41)</f>
        <v>0</v>
      </c>
      <c r="L630" s="118">
        <f>IF(OR($A630="",$Y545=0),0,L545/$Y545*Inputs!$S41)</f>
        <v>0</v>
      </c>
      <c r="M630" s="118">
        <f>IF(OR($A630="",$Y545=0),0,M545/$Y545*Inputs!$S41)</f>
        <v>0</v>
      </c>
      <c r="N630" s="118">
        <f>IF(OR($A630="",$Y545=0),0,N545/$Y545*Inputs!$S41)</f>
        <v>0</v>
      </c>
      <c r="O630" s="118">
        <f>IF(OR($A630="",$Y545=0),0,O545/$Y545*Inputs!$S41)</f>
        <v>0</v>
      </c>
      <c r="P630" s="118">
        <f>IF(OR($A630="",$Y545=0),0,P545/$Y545*Inputs!$S41)</f>
        <v>0</v>
      </c>
      <c r="Q630" s="118">
        <f>IF(OR($A630="",$Y545=0),0,Q545/$Y545*Inputs!$S41)</f>
        <v>0</v>
      </c>
      <c r="R630" s="118">
        <f>IF(OR($A630="",$Y545=0),0,R545/$Y545*Inputs!$S41)</f>
        <v>0</v>
      </c>
      <c r="S630" s="118">
        <f>IF(OR($A630="",$Y545=0),0,S545/$Y545*Inputs!$S41)</f>
        <v>0</v>
      </c>
      <c r="T630" s="118">
        <f>IF(OR($A630="",$Y545=0),0,T545/$Y545*Inputs!$S41)</f>
        <v>0</v>
      </c>
      <c r="U630" s="118">
        <f>IF(OR($A630="",$Y545=0),0,U545/$Y545*Inputs!$S41)</f>
        <v>0</v>
      </c>
      <c r="V630" s="118">
        <f>IF(OR($A630="",$Y545=0),0,V545/$Y545*Inputs!$S41)</f>
        <v>0</v>
      </c>
      <c r="W630" s="118">
        <f>IF(OR($A630="",$Y545=0),0,W545/$Y545*Inputs!$S41)</f>
        <v>0</v>
      </c>
      <c r="X630" s="118">
        <f>IF(OR($A630="",$Y545=0),0,X545/$Y545*Inputs!$S41)</f>
        <v>0</v>
      </c>
      <c r="Y630" s="118">
        <f t="shared" si="128"/>
        <v>3.0000000000000004</v>
      </c>
    </row>
    <row r="631" spans="1:25" x14ac:dyDescent="0.3">
      <c r="A631" s="116" t="str">
        <f>IF(Inputs!$A42="","",Inputs!$A42)</f>
        <v>TA23011-0100R</v>
      </c>
      <c r="B631" s="116"/>
      <c r="C631" s="116"/>
      <c r="D631" s="118">
        <f>IF(OR($A631="",$Y546=0),0,D546/$Y546*Inputs!$S42)</f>
        <v>0.06</v>
      </c>
      <c r="E631" s="118">
        <f>IF(OR($A631="",$Y546=0),0,E546/$Y546*Inputs!$S42)</f>
        <v>4.0000000000000008E-2</v>
      </c>
      <c r="F631" s="118">
        <f>IF(OR($A631="",$Y546=0),0,F546/$Y546*Inputs!$S42)</f>
        <v>0</v>
      </c>
      <c r="G631" s="118">
        <f>IF(OR($A631="",$Y546=0),0,G546/$Y546*Inputs!$S42)</f>
        <v>0</v>
      </c>
      <c r="H631" s="118">
        <f>IF(OR($A631="",$Y546=0),0,H546/$Y546*Inputs!$S42)</f>
        <v>0</v>
      </c>
      <c r="I631" s="118">
        <f>IF(OR($A631="",$Y546=0),0,I546/$Y546*Inputs!$S42)</f>
        <v>0</v>
      </c>
      <c r="J631" s="118">
        <f>IF(OR($A631="",$Y546=0),0,J546/$Y546*Inputs!$S42)</f>
        <v>0</v>
      </c>
      <c r="K631" s="118">
        <f>IF(OR($A631="",$Y546=0),0,K546/$Y546*Inputs!$S42)</f>
        <v>0</v>
      </c>
      <c r="L631" s="118">
        <f>IF(OR($A631="",$Y546=0),0,L546/$Y546*Inputs!$S42)</f>
        <v>0</v>
      </c>
      <c r="M631" s="118">
        <f>IF(OR($A631="",$Y546=0),0,M546/$Y546*Inputs!$S42)</f>
        <v>0</v>
      </c>
      <c r="N631" s="118">
        <f>IF(OR($A631="",$Y546=0),0,N546/$Y546*Inputs!$S42)</f>
        <v>0</v>
      </c>
      <c r="O631" s="118">
        <f>IF(OR($A631="",$Y546=0),0,O546/$Y546*Inputs!$S42)</f>
        <v>0</v>
      </c>
      <c r="P631" s="118">
        <f>IF(OR($A631="",$Y546=0),0,P546/$Y546*Inputs!$S42)</f>
        <v>0</v>
      </c>
      <c r="Q631" s="118">
        <f>IF(OR($A631="",$Y546=0),0,Q546/$Y546*Inputs!$S42)</f>
        <v>0</v>
      </c>
      <c r="R631" s="118">
        <f>IF(OR($A631="",$Y546=0),0,R546/$Y546*Inputs!$S42)</f>
        <v>0</v>
      </c>
      <c r="S631" s="118">
        <f>IF(OR($A631="",$Y546=0),0,S546/$Y546*Inputs!$S42)</f>
        <v>0</v>
      </c>
      <c r="T631" s="118">
        <f>IF(OR($A631="",$Y546=0),0,T546/$Y546*Inputs!$S42)</f>
        <v>0</v>
      </c>
      <c r="U631" s="118">
        <f>IF(OR($A631="",$Y546=0),0,U546/$Y546*Inputs!$S42)</f>
        <v>0</v>
      </c>
      <c r="V631" s="118">
        <f>IF(OR($A631="",$Y546=0),0,V546/$Y546*Inputs!$S42)</f>
        <v>0</v>
      </c>
      <c r="W631" s="118">
        <f>IF(OR($A631="",$Y546=0),0,W546/$Y546*Inputs!$S42)</f>
        <v>0</v>
      </c>
      <c r="X631" s="118">
        <f>IF(OR($A631="",$Y546=0),0,X546/$Y546*Inputs!$S42)</f>
        <v>0</v>
      </c>
      <c r="Y631" s="118">
        <f t="shared" si="128"/>
        <v>0.1</v>
      </c>
    </row>
    <row r="632" spans="1:25" x14ac:dyDescent="0.3">
      <c r="A632" s="116" t="str">
        <f>IF(Inputs!$A43="","",Inputs!$A43)</f>
        <v>AL25148-0100D</v>
      </c>
      <c r="B632" s="116"/>
      <c r="C632" s="116"/>
      <c r="D632" s="118">
        <f>IF(OR($A632="",$Y547=0),0,D547/$Y547*Inputs!$S43)</f>
        <v>0</v>
      </c>
      <c r="E632" s="118">
        <f>IF(OR($A632="",$Y547=0),0,E547/$Y547*Inputs!$S43)</f>
        <v>0</v>
      </c>
      <c r="F632" s="118">
        <f>IF(OR($A632="",$Y547=0),0,F547/$Y547*Inputs!$S43)</f>
        <v>0</v>
      </c>
      <c r="G632" s="118">
        <f>IF(OR($A632="",$Y547=0),0,G547/$Y547*Inputs!$S43)</f>
        <v>0</v>
      </c>
      <c r="H632" s="118">
        <f>IF(OR($A632="",$Y547=0),0,H547/$Y547*Inputs!$S43)</f>
        <v>0</v>
      </c>
      <c r="I632" s="118">
        <f>IF(OR($A632="",$Y547=0),0,I547/$Y547*Inputs!$S43)</f>
        <v>0</v>
      </c>
      <c r="J632" s="118">
        <f>IF(OR($A632="",$Y547=0),0,J547/$Y547*Inputs!$S43)</f>
        <v>0</v>
      </c>
      <c r="K632" s="118">
        <f>IF(OR($A632="",$Y547=0),0,K547/$Y547*Inputs!$S43)</f>
        <v>0</v>
      </c>
      <c r="L632" s="118">
        <f>IF(OR($A632="",$Y547=0),0,L547/$Y547*Inputs!$S43)</f>
        <v>0</v>
      </c>
      <c r="M632" s="118">
        <f>IF(OR($A632="",$Y547=0),0,M547/$Y547*Inputs!$S43)</f>
        <v>0</v>
      </c>
      <c r="N632" s="118">
        <f>IF(OR($A632="",$Y547=0),0,N547/$Y547*Inputs!$S43)</f>
        <v>0</v>
      </c>
      <c r="O632" s="118">
        <f>IF(OR($A632="",$Y547=0),0,O547/$Y547*Inputs!$S43)</f>
        <v>0</v>
      </c>
      <c r="P632" s="118">
        <f>IF(OR($A632="",$Y547=0),0,P547/$Y547*Inputs!$S43)</f>
        <v>0</v>
      </c>
      <c r="Q632" s="118">
        <f>IF(OR($A632="",$Y547=0),0,Q547/$Y547*Inputs!$S43)</f>
        <v>0</v>
      </c>
      <c r="R632" s="118">
        <f>IF(OR($A632="",$Y547=0),0,R547/$Y547*Inputs!$S43)</f>
        <v>0</v>
      </c>
      <c r="S632" s="118">
        <f>IF(OR($A632="",$Y547=0),0,S547/$Y547*Inputs!$S43)</f>
        <v>0</v>
      </c>
      <c r="T632" s="118">
        <f>IF(OR($A632="",$Y547=0),0,T547/$Y547*Inputs!$S43)</f>
        <v>0</v>
      </c>
      <c r="U632" s="118">
        <f>IF(OR($A632="",$Y547=0),0,U547/$Y547*Inputs!$S43)</f>
        <v>0</v>
      </c>
      <c r="V632" s="118">
        <f>IF(OR($A632="",$Y547=0),0,V547/$Y547*Inputs!$S43)</f>
        <v>0</v>
      </c>
      <c r="W632" s="118">
        <f>IF(OR($A632="",$Y547=0),0,W547/$Y547*Inputs!$S43)</f>
        <v>0</v>
      </c>
      <c r="X632" s="118">
        <f>IF(OR($A632="",$Y547=0),0,X547/$Y547*Inputs!$S43)</f>
        <v>0</v>
      </c>
      <c r="Y632" s="118">
        <f t="shared" si="128"/>
        <v>0</v>
      </c>
    </row>
    <row r="633" spans="1:25" x14ac:dyDescent="0.3">
      <c r="A633" s="116" t="str">
        <f>IF(Inputs!$A44="","",Inputs!$A44)</f>
        <v>Chargable Proposals 26</v>
      </c>
      <c r="B633" s="116"/>
      <c r="C633" s="116"/>
      <c r="D633" s="118">
        <f>IF(OR($A633="",$Y548=0),0,D548/$Y548*Inputs!$S44)</f>
        <v>0</v>
      </c>
      <c r="E633" s="118">
        <f>IF(OR($A633="",$Y548=0),0,E548/$Y548*Inputs!$S44)</f>
        <v>0</v>
      </c>
      <c r="F633" s="118">
        <f>IF(OR($A633="",$Y548=0),0,F548/$Y548*Inputs!$S44)</f>
        <v>0</v>
      </c>
      <c r="G633" s="118">
        <f>IF(OR($A633="",$Y548=0),0,G548/$Y548*Inputs!$S44)</f>
        <v>0</v>
      </c>
      <c r="H633" s="118">
        <f>IF(OR($A633="",$Y548=0),0,H548/$Y548*Inputs!$S44)</f>
        <v>0</v>
      </c>
      <c r="I633" s="118">
        <f>IF(OR($A633="",$Y548=0),0,I548/$Y548*Inputs!$S44)</f>
        <v>0</v>
      </c>
      <c r="J633" s="118">
        <f>IF(OR($A633="",$Y548=0),0,J548/$Y548*Inputs!$S44)</f>
        <v>0</v>
      </c>
      <c r="K633" s="118">
        <f>IF(OR($A633="",$Y548=0),0,K548/$Y548*Inputs!$S44)</f>
        <v>0</v>
      </c>
      <c r="L633" s="118">
        <f>IF(OR($A633="",$Y548=0),0,L548/$Y548*Inputs!$S44)</f>
        <v>0</v>
      </c>
      <c r="M633" s="118">
        <f>IF(OR($A633="",$Y548=0),0,M548/$Y548*Inputs!$S44)</f>
        <v>0.49591836734693878</v>
      </c>
      <c r="N633" s="118">
        <f>IF(OR($A633="",$Y548=0),0,N548/$Y548*Inputs!$S44)</f>
        <v>0.62908163265306116</v>
      </c>
      <c r="O633" s="118">
        <f>IF(OR($A633="",$Y548=0),0,O548/$Y548*Inputs!$S44)</f>
        <v>0</v>
      </c>
      <c r="P633" s="118">
        <f>IF(OR($A633="",$Y548=0),0,P548/$Y548*Inputs!$S44)</f>
        <v>0</v>
      </c>
      <c r="Q633" s="118">
        <f>IF(OR($A633="",$Y548=0),0,Q548/$Y548*Inputs!$S44)</f>
        <v>0</v>
      </c>
      <c r="R633" s="118">
        <f>IF(OR($A633="",$Y548=0),0,R548/$Y548*Inputs!$S44)</f>
        <v>0</v>
      </c>
      <c r="S633" s="118">
        <f>IF(OR($A633="",$Y548=0),0,S548/$Y548*Inputs!$S44)</f>
        <v>0</v>
      </c>
      <c r="T633" s="118">
        <f>IF(OR($A633="",$Y548=0),0,T548/$Y548*Inputs!$S44)</f>
        <v>0</v>
      </c>
      <c r="U633" s="118">
        <f>IF(OR($A633="",$Y548=0),0,U548/$Y548*Inputs!$S44)</f>
        <v>0</v>
      </c>
      <c r="V633" s="118">
        <f>IF(OR($A633="",$Y548=0),0,V548/$Y548*Inputs!$S44)</f>
        <v>0</v>
      </c>
      <c r="W633" s="118">
        <f>IF(OR($A633="",$Y548=0),0,W548/$Y548*Inputs!$S44)</f>
        <v>0</v>
      </c>
      <c r="X633" s="118">
        <f>IF(OR($A633="",$Y548=0),0,X548/$Y548*Inputs!$S44)</f>
        <v>0</v>
      </c>
      <c r="Y633" s="118">
        <f t="shared" si="128"/>
        <v>1.125</v>
      </c>
    </row>
    <row r="634" spans="1:25" x14ac:dyDescent="0.3">
      <c r="A634" s="116" t="str">
        <f>IF(Inputs!$A45="","",Inputs!$A45)</f>
        <v/>
      </c>
      <c r="B634" s="116"/>
      <c r="C634" s="116"/>
      <c r="D634" s="118">
        <f>IF(OR($A634="",$Y549=0),0,D549/$Y549*Inputs!$S45)</f>
        <v>0</v>
      </c>
      <c r="E634" s="118">
        <f>IF(OR($A634="",$Y549=0),0,E549/$Y549*Inputs!$S45)</f>
        <v>0</v>
      </c>
      <c r="F634" s="118">
        <f>IF(OR($A634="",$Y549=0),0,F549/$Y549*Inputs!$S45)</f>
        <v>0</v>
      </c>
      <c r="G634" s="118">
        <f>IF(OR($A634="",$Y549=0),0,G549/$Y549*Inputs!$S45)</f>
        <v>0</v>
      </c>
      <c r="H634" s="118">
        <f>IF(OR($A634="",$Y549=0),0,H549/$Y549*Inputs!$S45)</f>
        <v>0</v>
      </c>
      <c r="I634" s="118">
        <f>IF(OR($A634="",$Y549=0),0,I549/$Y549*Inputs!$S45)</f>
        <v>0</v>
      </c>
      <c r="J634" s="118">
        <f>IF(OR($A634="",$Y549=0),0,J549/$Y549*Inputs!$S45)</f>
        <v>0</v>
      </c>
      <c r="K634" s="118">
        <f>IF(OR($A634="",$Y549=0),0,K549/$Y549*Inputs!$S45)</f>
        <v>0</v>
      </c>
      <c r="L634" s="118">
        <f>IF(OR($A634="",$Y549=0),0,L549/$Y549*Inputs!$S45)</f>
        <v>0</v>
      </c>
      <c r="M634" s="118">
        <f>IF(OR($A634="",$Y549=0),0,M549/$Y549*Inputs!$S45)</f>
        <v>0</v>
      </c>
      <c r="N634" s="118">
        <f>IF(OR($A634="",$Y549=0),0,N549/$Y549*Inputs!$S45)</f>
        <v>0</v>
      </c>
      <c r="O634" s="118">
        <f>IF(OR($A634="",$Y549=0),0,O549/$Y549*Inputs!$S45)</f>
        <v>0</v>
      </c>
      <c r="P634" s="118">
        <f>IF(OR($A634="",$Y549=0),0,P549/$Y549*Inputs!$S45)</f>
        <v>0</v>
      </c>
      <c r="Q634" s="118">
        <f>IF(OR($A634="",$Y549=0),0,Q549/$Y549*Inputs!$S45)</f>
        <v>0</v>
      </c>
      <c r="R634" s="118">
        <f>IF(OR($A634="",$Y549=0),0,R549/$Y549*Inputs!$S45)</f>
        <v>0</v>
      </c>
      <c r="S634" s="118">
        <f>IF(OR($A634="",$Y549=0),0,S549/$Y549*Inputs!$S45)</f>
        <v>0</v>
      </c>
      <c r="T634" s="118">
        <f>IF(OR($A634="",$Y549=0),0,T549/$Y549*Inputs!$S45)</f>
        <v>0</v>
      </c>
      <c r="U634" s="118">
        <f>IF(OR($A634="",$Y549=0),0,U549/$Y549*Inputs!$S45)</f>
        <v>0</v>
      </c>
      <c r="V634" s="118">
        <f>IF(OR($A634="",$Y549=0),0,V549/$Y549*Inputs!$S45)</f>
        <v>0</v>
      </c>
      <c r="W634" s="118">
        <f>IF(OR($A634="",$Y549=0),0,W549/$Y549*Inputs!$S45)</f>
        <v>0</v>
      </c>
      <c r="X634" s="118">
        <f>IF(OR($A634="",$Y549=0),0,X549/$Y549*Inputs!$S45)</f>
        <v>0</v>
      </c>
      <c r="Y634" s="118">
        <f t="shared" si="128"/>
        <v>0</v>
      </c>
    </row>
    <row r="635" spans="1:25" x14ac:dyDescent="0.3">
      <c r="A635" s="116" t="str">
        <f>IF(Inputs!$A46="","",Inputs!$A46)</f>
        <v>Proposals 26</v>
      </c>
      <c r="B635" s="116"/>
      <c r="C635" s="116"/>
      <c r="D635" s="118">
        <f>IF(OR($A635="",$Y550=0),0,D550/$Y550*Inputs!$S46)</f>
        <v>0</v>
      </c>
      <c r="E635" s="118">
        <f>IF(OR($A635="",$Y550=0),0,E550/$Y550*Inputs!$S46)</f>
        <v>0</v>
      </c>
      <c r="F635" s="118">
        <f>IF(OR($A635="",$Y550=0),0,F550/$Y550*Inputs!$S46)</f>
        <v>0</v>
      </c>
      <c r="G635" s="118">
        <f>IF(OR($A635="",$Y550=0),0,G550/$Y550*Inputs!$S46)</f>
        <v>0</v>
      </c>
      <c r="H635" s="118">
        <f>IF(OR($A635="",$Y550=0),0,H550/$Y550*Inputs!$S46)</f>
        <v>0</v>
      </c>
      <c r="I635" s="118">
        <f>IF(OR($A635="",$Y550=0),0,I550/$Y550*Inputs!$S46)</f>
        <v>0</v>
      </c>
      <c r="J635" s="118">
        <f>IF(OR($A635="",$Y550=0),0,J550/$Y550*Inputs!$S46)</f>
        <v>0</v>
      </c>
      <c r="K635" s="118">
        <f>IF(OR($A635="",$Y550=0),0,K550/$Y550*Inputs!$S46)</f>
        <v>0</v>
      </c>
      <c r="L635" s="118">
        <f>IF(OR($A635="",$Y550=0),0,L550/$Y550*Inputs!$S46)</f>
        <v>0</v>
      </c>
      <c r="M635" s="118">
        <f>IF(OR($A635="",$Y550=0),0,M550/$Y550*Inputs!$S46)</f>
        <v>0.2</v>
      </c>
      <c r="N635" s="118">
        <f>IF(OR($A635="",$Y550=0),0,N550/$Y550*Inputs!$S46)</f>
        <v>0</v>
      </c>
      <c r="O635" s="118">
        <f>IF(OR($A635="",$Y550=0),0,O550/$Y550*Inputs!$S46)</f>
        <v>0</v>
      </c>
      <c r="P635" s="118">
        <f>IF(OR($A635="",$Y550=0),0,P550/$Y550*Inputs!$S46)</f>
        <v>0</v>
      </c>
      <c r="Q635" s="118">
        <f>IF(OR($A635="",$Y550=0),0,Q550/$Y550*Inputs!$S46)</f>
        <v>0</v>
      </c>
      <c r="R635" s="118">
        <f>IF(OR($A635="",$Y550=0),0,R550/$Y550*Inputs!$S46)</f>
        <v>0</v>
      </c>
      <c r="S635" s="118">
        <f>IF(OR($A635="",$Y550=0),0,S550/$Y550*Inputs!$S46)</f>
        <v>0</v>
      </c>
      <c r="T635" s="118">
        <f>IF(OR($A635="",$Y550=0),0,T550/$Y550*Inputs!$S46)</f>
        <v>0</v>
      </c>
      <c r="U635" s="118">
        <f>IF(OR($A635="",$Y550=0),0,U550/$Y550*Inputs!$S46)</f>
        <v>0</v>
      </c>
      <c r="V635" s="118">
        <f>IF(OR($A635="",$Y550=0),0,V550/$Y550*Inputs!$S46)</f>
        <v>0</v>
      </c>
      <c r="W635" s="118">
        <f>IF(OR($A635="",$Y550=0),0,W550/$Y550*Inputs!$S46)</f>
        <v>0</v>
      </c>
      <c r="X635" s="118">
        <f>IF(OR($A635="",$Y550=0),0,X550/$Y550*Inputs!$S46)</f>
        <v>0</v>
      </c>
      <c r="Y635" s="118">
        <f t="shared" si="128"/>
        <v>0.2</v>
      </c>
    </row>
    <row r="636" spans="1:25" x14ac:dyDescent="0.3">
      <c r="A636" s="116" t="str">
        <f>IF(Inputs!$A47="","",Inputs!$A47)</f>
        <v/>
      </c>
      <c r="B636" s="116"/>
      <c r="C636" s="116"/>
      <c r="D636" s="118">
        <f>IF(OR($A636="",$Y551=0),0,D551/$Y551*Inputs!$S47)</f>
        <v>0</v>
      </c>
      <c r="E636" s="118">
        <f>IF(OR($A636="",$Y551=0),0,E551/$Y551*Inputs!$S47)</f>
        <v>0</v>
      </c>
      <c r="F636" s="118">
        <f>IF(OR($A636="",$Y551=0),0,F551/$Y551*Inputs!$S47)</f>
        <v>0</v>
      </c>
      <c r="G636" s="118">
        <f>IF(OR($A636="",$Y551=0),0,G551/$Y551*Inputs!$S47)</f>
        <v>0</v>
      </c>
      <c r="H636" s="118">
        <f>IF(OR($A636="",$Y551=0),0,H551/$Y551*Inputs!$S47)</f>
        <v>0</v>
      </c>
      <c r="I636" s="118">
        <f>IF(OR($A636="",$Y551=0),0,I551/$Y551*Inputs!$S47)</f>
        <v>0</v>
      </c>
      <c r="J636" s="118">
        <f>IF(OR($A636="",$Y551=0),0,J551/$Y551*Inputs!$S47)</f>
        <v>0</v>
      </c>
      <c r="K636" s="118">
        <f>IF(OR($A636="",$Y551=0),0,K551/$Y551*Inputs!$S47)</f>
        <v>0</v>
      </c>
      <c r="L636" s="118">
        <f>IF(OR($A636="",$Y551=0),0,L551/$Y551*Inputs!$S47)</f>
        <v>0</v>
      </c>
      <c r="M636" s="118">
        <f>IF(OR($A636="",$Y551=0),0,M551/$Y551*Inputs!$S47)</f>
        <v>0</v>
      </c>
      <c r="N636" s="118">
        <f>IF(OR($A636="",$Y551=0),0,N551/$Y551*Inputs!$S47)</f>
        <v>0</v>
      </c>
      <c r="O636" s="118">
        <f>IF(OR($A636="",$Y551=0),0,O551/$Y551*Inputs!$S47)</f>
        <v>0</v>
      </c>
      <c r="P636" s="118">
        <f>IF(OR($A636="",$Y551=0),0,P551/$Y551*Inputs!$S47)</f>
        <v>0</v>
      </c>
      <c r="Q636" s="118">
        <f>IF(OR($A636="",$Y551=0),0,Q551/$Y551*Inputs!$S47)</f>
        <v>0</v>
      </c>
      <c r="R636" s="118">
        <f>IF(OR($A636="",$Y551=0),0,R551/$Y551*Inputs!$S47)</f>
        <v>0</v>
      </c>
      <c r="S636" s="118">
        <f>IF(OR($A636="",$Y551=0),0,S551/$Y551*Inputs!$S47)</f>
        <v>0</v>
      </c>
      <c r="T636" s="118">
        <f>IF(OR($A636="",$Y551=0),0,T551/$Y551*Inputs!$S47)</f>
        <v>0</v>
      </c>
      <c r="U636" s="118">
        <f>IF(OR($A636="",$Y551=0),0,U551/$Y551*Inputs!$S47)</f>
        <v>0</v>
      </c>
      <c r="V636" s="118">
        <f>IF(OR($A636="",$Y551=0),0,V551/$Y551*Inputs!$S47)</f>
        <v>0</v>
      </c>
      <c r="W636" s="118">
        <f>IF(OR($A636="",$Y551=0),0,W551/$Y551*Inputs!$S47)</f>
        <v>0</v>
      </c>
      <c r="X636" s="118">
        <f>IF(OR($A636="",$Y551=0),0,X551/$Y551*Inputs!$S47)</f>
        <v>0</v>
      </c>
      <c r="Y636" s="118">
        <f t="shared" si="128"/>
        <v>0</v>
      </c>
    </row>
    <row r="637" spans="1:25" x14ac:dyDescent="0.3">
      <c r="A637" s="116" t="str">
        <f>IF(Inputs!$A48="","",Inputs!$A48)</f>
        <v/>
      </c>
      <c r="B637" s="116"/>
      <c r="C637" s="116"/>
      <c r="D637" s="118">
        <f>IF(OR($A637="",$Y552=0),0,D552/$Y552*Inputs!$S48)</f>
        <v>0</v>
      </c>
      <c r="E637" s="118">
        <f>IF(OR($A637="",$Y552=0),0,E552/$Y552*Inputs!$S48)</f>
        <v>0</v>
      </c>
      <c r="F637" s="118">
        <f>IF(OR($A637="",$Y552=0),0,F552/$Y552*Inputs!$S48)</f>
        <v>0</v>
      </c>
      <c r="G637" s="118">
        <f>IF(OR($A637="",$Y552=0),0,G552/$Y552*Inputs!$S48)</f>
        <v>0</v>
      </c>
      <c r="H637" s="118">
        <f>IF(OR($A637="",$Y552=0),0,H552/$Y552*Inputs!$S48)</f>
        <v>0</v>
      </c>
      <c r="I637" s="118">
        <f>IF(OR($A637="",$Y552=0),0,I552/$Y552*Inputs!$S48)</f>
        <v>0</v>
      </c>
      <c r="J637" s="118">
        <f>IF(OR($A637="",$Y552=0),0,J552/$Y552*Inputs!$S48)</f>
        <v>0</v>
      </c>
      <c r="K637" s="118">
        <f>IF(OR($A637="",$Y552=0),0,K552/$Y552*Inputs!$S48)</f>
        <v>0</v>
      </c>
      <c r="L637" s="118">
        <f>IF(OR($A637="",$Y552=0),0,L552/$Y552*Inputs!$S48)</f>
        <v>0</v>
      </c>
      <c r="M637" s="118">
        <f>IF(OR($A637="",$Y552=0),0,M552/$Y552*Inputs!$S48)</f>
        <v>0</v>
      </c>
      <c r="N637" s="118">
        <f>IF(OR($A637="",$Y552=0),0,N552/$Y552*Inputs!$S48)</f>
        <v>0</v>
      </c>
      <c r="O637" s="118">
        <f>IF(OR($A637="",$Y552=0),0,O552/$Y552*Inputs!$S48)</f>
        <v>0</v>
      </c>
      <c r="P637" s="118">
        <f>IF(OR($A637="",$Y552=0),0,P552/$Y552*Inputs!$S48)</f>
        <v>0</v>
      </c>
      <c r="Q637" s="118">
        <f>IF(OR($A637="",$Y552=0),0,Q552/$Y552*Inputs!$S48)</f>
        <v>0</v>
      </c>
      <c r="R637" s="118">
        <f>IF(OR($A637="",$Y552=0),0,R552/$Y552*Inputs!$S48)</f>
        <v>0</v>
      </c>
      <c r="S637" s="118">
        <f>IF(OR($A637="",$Y552=0),0,S552/$Y552*Inputs!$S48)</f>
        <v>0</v>
      </c>
      <c r="T637" s="118">
        <f>IF(OR($A637="",$Y552=0),0,T552/$Y552*Inputs!$S48)</f>
        <v>0</v>
      </c>
      <c r="U637" s="118">
        <f>IF(OR($A637="",$Y552=0),0,U552/$Y552*Inputs!$S48)</f>
        <v>0</v>
      </c>
      <c r="V637" s="118">
        <f>IF(OR($A637="",$Y552=0),0,V552/$Y552*Inputs!$S48)</f>
        <v>0</v>
      </c>
      <c r="W637" s="118">
        <f>IF(OR($A637="",$Y552=0),0,W552/$Y552*Inputs!$S48)</f>
        <v>0</v>
      </c>
      <c r="X637" s="118">
        <f>IF(OR($A637="",$Y552=0),0,X552/$Y552*Inputs!$S48)</f>
        <v>0</v>
      </c>
      <c r="Y637" s="118">
        <f t="shared" si="128"/>
        <v>0</v>
      </c>
    </row>
    <row r="638" spans="1:25" x14ac:dyDescent="0.3">
      <c r="A638" s="116" t="str">
        <f>IF(Inputs!$A49="","",Inputs!$A49)</f>
        <v/>
      </c>
      <c r="B638" s="116"/>
      <c r="C638" s="116"/>
      <c r="D638" s="118">
        <f>IF(OR($A638="",$Y553=0),0,D553/$Y553*Inputs!$S49)</f>
        <v>0</v>
      </c>
      <c r="E638" s="118">
        <f>IF(OR($A638="",$Y553=0),0,E553/$Y553*Inputs!$S49)</f>
        <v>0</v>
      </c>
      <c r="F638" s="118">
        <f>IF(OR($A638="",$Y553=0),0,F553/$Y553*Inputs!$S49)</f>
        <v>0</v>
      </c>
      <c r="G638" s="118">
        <f>IF(OR($A638="",$Y553=0),0,G553/$Y553*Inputs!$S49)</f>
        <v>0</v>
      </c>
      <c r="H638" s="118">
        <f>IF(OR($A638="",$Y553=0),0,H553/$Y553*Inputs!$S49)</f>
        <v>0</v>
      </c>
      <c r="I638" s="118">
        <f>IF(OR($A638="",$Y553=0),0,I553/$Y553*Inputs!$S49)</f>
        <v>0</v>
      </c>
      <c r="J638" s="118">
        <f>IF(OR($A638="",$Y553=0),0,J553/$Y553*Inputs!$S49)</f>
        <v>0</v>
      </c>
      <c r="K638" s="118">
        <f>IF(OR($A638="",$Y553=0),0,K553/$Y553*Inputs!$S49)</f>
        <v>0</v>
      </c>
      <c r="L638" s="118">
        <f>IF(OR($A638="",$Y553=0),0,L553/$Y553*Inputs!$S49)</f>
        <v>0</v>
      </c>
      <c r="M638" s="118">
        <f>IF(OR($A638="",$Y553=0),0,M553/$Y553*Inputs!$S49)</f>
        <v>0</v>
      </c>
      <c r="N638" s="118">
        <f>IF(OR($A638="",$Y553=0),0,N553/$Y553*Inputs!$S49)</f>
        <v>0</v>
      </c>
      <c r="O638" s="118">
        <f>IF(OR($A638="",$Y553=0),0,O553/$Y553*Inputs!$S49)</f>
        <v>0</v>
      </c>
      <c r="P638" s="118">
        <f>IF(OR($A638="",$Y553=0),0,P553/$Y553*Inputs!$S49)</f>
        <v>0</v>
      </c>
      <c r="Q638" s="118">
        <f>IF(OR($A638="",$Y553=0),0,Q553/$Y553*Inputs!$S49)</f>
        <v>0</v>
      </c>
      <c r="R638" s="118">
        <f>IF(OR($A638="",$Y553=0),0,R553/$Y553*Inputs!$S49)</f>
        <v>0</v>
      </c>
      <c r="S638" s="118">
        <f>IF(OR($A638="",$Y553=0),0,S553/$Y553*Inputs!$S49)</f>
        <v>0</v>
      </c>
      <c r="T638" s="118">
        <f>IF(OR($A638="",$Y553=0),0,T553/$Y553*Inputs!$S49)</f>
        <v>0</v>
      </c>
      <c r="U638" s="118">
        <f>IF(OR($A638="",$Y553=0),0,U553/$Y553*Inputs!$S49)</f>
        <v>0</v>
      </c>
      <c r="V638" s="118">
        <f>IF(OR($A638="",$Y553=0),0,V553/$Y553*Inputs!$S49)</f>
        <v>0</v>
      </c>
      <c r="W638" s="118">
        <f>IF(OR($A638="",$Y553=0),0,W553/$Y553*Inputs!$S49)</f>
        <v>0</v>
      </c>
      <c r="X638" s="118">
        <f>IF(OR($A638="",$Y553=0),0,X553/$Y553*Inputs!$S49)</f>
        <v>0</v>
      </c>
      <c r="Y638" s="118">
        <f t="shared" si="128"/>
        <v>0</v>
      </c>
    </row>
    <row r="639" spans="1:25" x14ac:dyDescent="0.3">
      <c r="A639" s="116" t="str">
        <f>IF(Inputs!$A50="","",Inputs!$A50)</f>
        <v/>
      </c>
      <c r="B639" s="116"/>
      <c r="C639" s="116"/>
      <c r="D639" s="118">
        <f>IF(OR($A639="",$Y554=0),0,D554/$Y554*Inputs!$S50)</f>
        <v>0</v>
      </c>
      <c r="E639" s="118">
        <f>IF(OR($A639="",$Y554=0),0,E554/$Y554*Inputs!$S50)</f>
        <v>0</v>
      </c>
      <c r="F639" s="118">
        <f>IF(OR($A639="",$Y554=0),0,F554/$Y554*Inputs!$S50)</f>
        <v>0</v>
      </c>
      <c r="G639" s="118">
        <f>IF(OR($A639="",$Y554=0),0,G554/$Y554*Inputs!$S50)</f>
        <v>0</v>
      </c>
      <c r="H639" s="118">
        <f>IF(OR($A639="",$Y554=0),0,H554/$Y554*Inputs!$S50)</f>
        <v>0</v>
      </c>
      <c r="I639" s="118">
        <f>IF(OR($A639="",$Y554=0),0,I554/$Y554*Inputs!$S50)</f>
        <v>0</v>
      </c>
      <c r="J639" s="118">
        <f>IF(OR($A639="",$Y554=0),0,J554/$Y554*Inputs!$S50)</f>
        <v>0</v>
      </c>
      <c r="K639" s="118">
        <f>IF(OR($A639="",$Y554=0),0,K554/$Y554*Inputs!$S50)</f>
        <v>0</v>
      </c>
      <c r="L639" s="118">
        <f>IF(OR($A639="",$Y554=0),0,L554/$Y554*Inputs!$S50)</f>
        <v>0</v>
      </c>
      <c r="M639" s="118">
        <f>IF(OR($A639="",$Y554=0),0,M554/$Y554*Inputs!$S50)</f>
        <v>0</v>
      </c>
      <c r="N639" s="118">
        <f>IF(OR($A639="",$Y554=0),0,N554/$Y554*Inputs!$S50)</f>
        <v>0</v>
      </c>
      <c r="O639" s="118">
        <f>IF(OR($A639="",$Y554=0),0,O554/$Y554*Inputs!$S50)</f>
        <v>0</v>
      </c>
      <c r="P639" s="118">
        <f>IF(OR($A639="",$Y554=0),0,P554/$Y554*Inputs!$S50)</f>
        <v>0</v>
      </c>
      <c r="Q639" s="118">
        <f>IF(OR($A639="",$Y554=0),0,Q554/$Y554*Inputs!$S50)</f>
        <v>0</v>
      </c>
      <c r="R639" s="118">
        <f>IF(OR($A639="",$Y554=0),0,R554/$Y554*Inputs!$S50)</f>
        <v>0</v>
      </c>
      <c r="S639" s="118">
        <f>IF(OR($A639="",$Y554=0),0,S554/$Y554*Inputs!$S50)</f>
        <v>0</v>
      </c>
      <c r="T639" s="118">
        <f>IF(OR($A639="",$Y554=0),0,T554/$Y554*Inputs!$S50)</f>
        <v>0</v>
      </c>
      <c r="U639" s="118">
        <f>IF(OR($A639="",$Y554=0),0,U554/$Y554*Inputs!$S50)</f>
        <v>0</v>
      </c>
      <c r="V639" s="118">
        <f>IF(OR($A639="",$Y554=0),0,V554/$Y554*Inputs!$S50)</f>
        <v>0</v>
      </c>
      <c r="W639" s="118">
        <f>IF(OR($A639="",$Y554=0),0,W554/$Y554*Inputs!$S50)</f>
        <v>0</v>
      </c>
      <c r="X639" s="118">
        <f>IF(OR($A639="",$Y554=0),0,X554/$Y554*Inputs!$S50)</f>
        <v>0</v>
      </c>
      <c r="Y639" s="118">
        <f t="shared" si="128"/>
        <v>0</v>
      </c>
    </row>
    <row r="640" spans="1:25" x14ac:dyDescent="0.3">
      <c r="A640" s="116" t="str">
        <f>IF(Inputs!$A51="","",Inputs!$A51)</f>
        <v/>
      </c>
      <c r="B640" s="116"/>
      <c r="C640" s="116"/>
      <c r="D640" s="118">
        <f>IF(OR($A640="",$Y555=0),0,D555/$Y555*Inputs!$S51)</f>
        <v>0</v>
      </c>
      <c r="E640" s="118">
        <f>IF(OR($A640="",$Y555=0),0,E555/$Y555*Inputs!$S51)</f>
        <v>0</v>
      </c>
      <c r="F640" s="118">
        <f>IF(OR($A640="",$Y555=0),0,F555/$Y555*Inputs!$S51)</f>
        <v>0</v>
      </c>
      <c r="G640" s="118">
        <f>IF(OR($A640="",$Y555=0),0,G555/$Y555*Inputs!$S51)</f>
        <v>0</v>
      </c>
      <c r="H640" s="118">
        <f>IF(OR($A640="",$Y555=0),0,H555/$Y555*Inputs!$S51)</f>
        <v>0</v>
      </c>
      <c r="I640" s="118">
        <f>IF(OR($A640="",$Y555=0),0,I555/$Y555*Inputs!$S51)</f>
        <v>0</v>
      </c>
      <c r="J640" s="118">
        <f>IF(OR($A640="",$Y555=0),0,J555/$Y555*Inputs!$S51)</f>
        <v>0</v>
      </c>
      <c r="K640" s="118">
        <f>IF(OR($A640="",$Y555=0),0,K555/$Y555*Inputs!$S51)</f>
        <v>0</v>
      </c>
      <c r="L640" s="118">
        <f>IF(OR($A640="",$Y555=0),0,L555/$Y555*Inputs!$S51)</f>
        <v>0</v>
      </c>
      <c r="M640" s="118">
        <f>IF(OR($A640="",$Y555=0),0,M555/$Y555*Inputs!$S51)</f>
        <v>0</v>
      </c>
      <c r="N640" s="118">
        <f>IF(OR($A640="",$Y555=0),0,N555/$Y555*Inputs!$S51)</f>
        <v>0</v>
      </c>
      <c r="O640" s="118">
        <f>IF(OR($A640="",$Y555=0),0,O555/$Y555*Inputs!$S51)</f>
        <v>0</v>
      </c>
      <c r="P640" s="118">
        <f>IF(OR($A640="",$Y555=0),0,P555/$Y555*Inputs!$S51)</f>
        <v>0</v>
      </c>
      <c r="Q640" s="118">
        <f>IF(OR($A640="",$Y555=0),0,Q555/$Y555*Inputs!$S51)</f>
        <v>0</v>
      </c>
      <c r="R640" s="118">
        <f>IF(OR($A640="",$Y555=0),0,R555/$Y555*Inputs!$S51)</f>
        <v>0</v>
      </c>
      <c r="S640" s="118">
        <f>IF(OR($A640="",$Y555=0),0,S555/$Y555*Inputs!$S51)</f>
        <v>0</v>
      </c>
      <c r="T640" s="118">
        <f>IF(OR($A640="",$Y555=0),0,T555/$Y555*Inputs!$S51)</f>
        <v>0</v>
      </c>
      <c r="U640" s="118">
        <f>IF(OR($A640="",$Y555=0),0,U555/$Y555*Inputs!$S51)</f>
        <v>0</v>
      </c>
      <c r="V640" s="118">
        <f>IF(OR($A640="",$Y555=0),0,V555/$Y555*Inputs!$S51)</f>
        <v>0</v>
      </c>
      <c r="W640" s="118">
        <f>IF(OR($A640="",$Y555=0),0,W555/$Y555*Inputs!$S51)</f>
        <v>0</v>
      </c>
      <c r="X640" s="118">
        <f>IF(OR($A640="",$Y555=0),0,X555/$Y555*Inputs!$S51)</f>
        <v>0</v>
      </c>
      <c r="Y640" s="118">
        <f t="shared" si="128"/>
        <v>0</v>
      </c>
    </row>
    <row r="641" spans="1:25" x14ac:dyDescent="0.3">
      <c r="A641" s="116" t="str">
        <f>IF(Inputs!$A52="","",Inputs!$A52)</f>
        <v/>
      </c>
      <c r="B641" s="116"/>
      <c r="C641" s="116"/>
      <c r="D641" s="118">
        <f>IF(OR($A641="",$Y556=0),0,D556/$Y556*Inputs!$S52)</f>
        <v>0</v>
      </c>
      <c r="E641" s="118">
        <f>IF(OR($A641="",$Y556=0),0,E556/$Y556*Inputs!$S52)</f>
        <v>0</v>
      </c>
      <c r="F641" s="118">
        <f>IF(OR($A641="",$Y556=0),0,F556/$Y556*Inputs!$S52)</f>
        <v>0</v>
      </c>
      <c r="G641" s="118">
        <f>IF(OR($A641="",$Y556=0),0,G556/$Y556*Inputs!$S52)</f>
        <v>0</v>
      </c>
      <c r="H641" s="118">
        <f>IF(OR($A641="",$Y556=0),0,H556/$Y556*Inputs!$S52)</f>
        <v>0</v>
      </c>
      <c r="I641" s="118">
        <f>IF(OR($A641="",$Y556=0),0,I556/$Y556*Inputs!$S52)</f>
        <v>0</v>
      </c>
      <c r="J641" s="118">
        <f>IF(OR($A641="",$Y556=0),0,J556/$Y556*Inputs!$S52)</f>
        <v>0</v>
      </c>
      <c r="K641" s="118">
        <f>IF(OR($A641="",$Y556=0),0,K556/$Y556*Inputs!$S52)</f>
        <v>0</v>
      </c>
      <c r="L641" s="118">
        <f>IF(OR($A641="",$Y556=0),0,L556/$Y556*Inputs!$S52)</f>
        <v>0</v>
      </c>
      <c r="M641" s="118">
        <f>IF(OR($A641="",$Y556=0),0,M556/$Y556*Inputs!$S52)</f>
        <v>0</v>
      </c>
      <c r="N641" s="118">
        <f>IF(OR($A641="",$Y556=0),0,N556/$Y556*Inputs!$S52)</f>
        <v>0</v>
      </c>
      <c r="O641" s="118">
        <f>IF(OR($A641="",$Y556=0),0,O556/$Y556*Inputs!$S52)</f>
        <v>0</v>
      </c>
      <c r="P641" s="118">
        <f>IF(OR($A641="",$Y556=0),0,P556/$Y556*Inputs!$S52)</f>
        <v>0</v>
      </c>
      <c r="Q641" s="118">
        <f>IF(OR($A641="",$Y556=0),0,Q556/$Y556*Inputs!$S52)</f>
        <v>0</v>
      </c>
      <c r="R641" s="118">
        <f>IF(OR($A641="",$Y556=0),0,R556/$Y556*Inputs!$S52)</f>
        <v>0</v>
      </c>
      <c r="S641" s="118">
        <f>IF(OR($A641="",$Y556=0),0,S556/$Y556*Inputs!$S52)</f>
        <v>0</v>
      </c>
      <c r="T641" s="118">
        <f>IF(OR($A641="",$Y556=0),0,T556/$Y556*Inputs!$S52)</f>
        <v>0</v>
      </c>
      <c r="U641" s="118">
        <f>IF(OR($A641="",$Y556=0),0,U556/$Y556*Inputs!$S52)</f>
        <v>0</v>
      </c>
      <c r="V641" s="118">
        <f>IF(OR($A641="",$Y556=0),0,V556/$Y556*Inputs!$S52)</f>
        <v>0</v>
      </c>
      <c r="W641" s="118">
        <f>IF(OR($A641="",$Y556=0),0,W556/$Y556*Inputs!$S52)</f>
        <v>0</v>
      </c>
      <c r="X641" s="118">
        <f>IF(OR($A641="",$Y556=0),0,X556/$Y556*Inputs!$S52)</f>
        <v>0</v>
      </c>
      <c r="Y641" s="118">
        <f t="shared" si="128"/>
        <v>0</v>
      </c>
    </row>
    <row r="642" spans="1:25" x14ac:dyDescent="0.3">
      <c r="A642" s="116" t="str">
        <f>IF(Inputs!$A53="","",Inputs!$A53)</f>
        <v/>
      </c>
      <c r="B642" s="116"/>
      <c r="C642" s="116"/>
      <c r="D642" s="118">
        <f>IF(OR($A642="",$Y557=0),0,D557/$Y557*Inputs!$S53)</f>
        <v>0</v>
      </c>
      <c r="E642" s="118">
        <f>IF(OR($A642="",$Y557=0),0,E557/$Y557*Inputs!$S53)</f>
        <v>0</v>
      </c>
      <c r="F642" s="118">
        <f>IF(OR($A642="",$Y557=0),0,F557/$Y557*Inputs!$S53)</f>
        <v>0</v>
      </c>
      <c r="G642" s="118">
        <f>IF(OR($A642="",$Y557=0),0,G557/$Y557*Inputs!$S53)</f>
        <v>0</v>
      </c>
      <c r="H642" s="118">
        <f>IF(OR($A642="",$Y557=0),0,H557/$Y557*Inputs!$S53)</f>
        <v>0</v>
      </c>
      <c r="I642" s="118">
        <f>IF(OR($A642="",$Y557=0),0,I557/$Y557*Inputs!$S53)</f>
        <v>0</v>
      </c>
      <c r="J642" s="118">
        <f>IF(OR($A642="",$Y557=0),0,J557/$Y557*Inputs!$S53)</f>
        <v>0</v>
      </c>
      <c r="K642" s="118">
        <f>IF(OR($A642="",$Y557=0),0,K557/$Y557*Inputs!$S53)</f>
        <v>0</v>
      </c>
      <c r="L642" s="118">
        <f>IF(OR($A642="",$Y557=0),0,L557/$Y557*Inputs!$S53)</f>
        <v>0</v>
      </c>
      <c r="M642" s="118">
        <f>IF(OR($A642="",$Y557=0),0,M557/$Y557*Inputs!$S53)</f>
        <v>0</v>
      </c>
      <c r="N642" s="118">
        <f>IF(OR($A642="",$Y557=0),0,N557/$Y557*Inputs!$S53)</f>
        <v>0</v>
      </c>
      <c r="O642" s="118">
        <f>IF(OR($A642="",$Y557=0),0,O557/$Y557*Inputs!$S53)</f>
        <v>0</v>
      </c>
      <c r="P642" s="118">
        <f>IF(OR($A642="",$Y557=0),0,P557/$Y557*Inputs!$S53)</f>
        <v>0</v>
      </c>
      <c r="Q642" s="118">
        <f>IF(OR($A642="",$Y557=0),0,Q557/$Y557*Inputs!$S53)</f>
        <v>0</v>
      </c>
      <c r="R642" s="118">
        <f>IF(OR($A642="",$Y557=0),0,R557/$Y557*Inputs!$S53)</f>
        <v>0</v>
      </c>
      <c r="S642" s="118">
        <f>IF(OR($A642="",$Y557=0),0,S557/$Y557*Inputs!$S53)</f>
        <v>0</v>
      </c>
      <c r="T642" s="118">
        <f>IF(OR($A642="",$Y557=0),0,T557/$Y557*Inputs!$S53)</f>
        <v>0</v>
      </c>
      <c r="U642" s="118">
        <f>IF(OR($A642="",$Y557=0),0,U557/$Y557*Inputs!$S53)</f>
        <v>0</v>
      </c>
      <c r="V642" s="118">
        <f>IF(OR($A642="",$Y557=0),0,V557/$Y557*Inputs!$S53)</f>
        <v>0</v>
      </c>
      <c r="W642" s="118">
        <f>IF(OR($A642="",$Y557=0),0,W557/$Y557*Inputs!$S53)</f>
        <v>0</v>
      </c>
      <c r="X642" s="118">
        <f>IF(OR($A642="",$Y557=0),0,X557/$Y557*Inputs!$S53)</f>
        <v>0</v>
      </c>
      <c r="Y642" s="118">
        <f t="shared" si="128"/>
        <v>0</v>
      </c>
    </row>
    <row r="643" spans="1:25" x14ac:dyDescent="0.3">
      <c r="A643" s="116" t="str">
        <f>IF(Inputs!$A54="","",Inputs!$A54)</f>
        <v/>
      </c>
      <c r="B643" s="116"/>
      <c r="C643" s="116"/>
      <c r="D643" s="118">
        <f>IF(OR($A643="",$Y558=0),0,D558/$Y558*Inputs!$S54)</f>
        <v>0</v>
      </c>
      <c r="E643" s="118">
        <f>IF(OR($A643="",$Y558=0),0,E558/$Y558*Inputs!$S54)</f>
        <v>0</v>
      </c>
      <c r="F643" s="118">
        <f>IF(OR($A643="",$Y558=0),0,F558/$Y558*Inputs!$S54)</f>
        <v>0</v>
      </c>
      <c r="G643" s="118">
        <f>IF(OR($A643="",$Y558=0),0,G558/$Y558*Inputs!$S54)</f>
        <v>0</v>
      </c>
      <c r="H643" s="118">
        <f>IF(OR($A643="",$Y558=0),0,H558/$Y558*Inputs!$S54)</f>
        <v>0</v>
      </c>
      <c r="I643" s="118">
        <f>IF(OR($A643="",$Y558=0),0,I558/$Y558*Inputs!$S54)</f>
        <v>0</v>
      </c>
      <c r="J643" s="118">
        <f>IF(OR($A643="",$Y558=0),0,J558/$Y558*Inputs!$S54)</f>
        <v>0</v>
      </c>
      <c r="K643" s="118">
        <f>IF(OR($A643="",$Y558=0),0,K558/$Y558*Inputs!$S54)</f>
        <v>0</v>
      </c>
      <c r="L643" s="118">
        <f>IF(OR($A643="",$Y558=0),0,L558/$Y558*Inputs!$S54)</f>
        <v>0</v>
      </c>
      <c r="M643" s="118">
        <f>IF(OR($A643="",$Y558=0),0,M558/$Y558*Inputs!$S54)</f>
        <v>0</v>
      </c>
      <c r="N643" s="118">
        <f>IF(OR($A643="",$Y558=0),0,N558/$Y558*Inputs!$S54)</f>
        <v>0</v>
      </c>
      <c r="O643" s="118">
        <f>IF(OR($A643="",$Y558=0),0,O558/$Y558*Inputs!$S54)</f>
        <v>0</v>
      </c>
      <c r="P643" s="118">
        <f>IF(OR($A643="",$Y558=0),0,P558/$Y558*Inputs!$S54)</f>
        <v>0</v>
      </c>
      <c r="Q643" s="118">
        <f>IF(OR($A643="",$Y558=0),0,Q558/$Y558*Inputs!$S54)</f>
        <v>0</v>
      </c>
      <c r="R643" s="118">
        <f>IF(OR($A643="",$Y558=0),0,R558/$Y558*Inputs!$S54)</f>
        <v>0</v>
      </c>
      <c r="S643" s="118">
        <f>IF(OR($A643="",$Y558=0),0,S558/$Y558*Inputs!$S54)</f>
        <v>0</v>
      </c>
      <c r="T643" s="118">
        <f>IF(OR($A643="",$Y558=0),0,T558/$Y558*Inputs!$S54)</f>
        <v>0</v>
      </c>
      <c r="U643" s="118">
        <f>IF(OR($A643="",$Y558=0),0,U558/$Y558*Inputs!$S54)</f>
        <v>0</v>
      </c>
      <c r="V643" s="118">
        <f>IF(OR($A643="",$Y558=0),0,V558/$Y558*Inputs!$S54)</f>
        <v>0</v>
      </c>
      <c r="W643" s="118">
        <f>IF(OR($A643="",$Y558=0),0,W558/$Y558*Inputs!$S54)</f>
        <v>0</v>
      </c>
      <c r="X643" s="118">
        <f>IF(OR($A643="",$Y558=0),0,X558/$Y558*Inputs!$S54)</f>
        <v>0</v>
      </c>
      <c r="Y643" s="118">
        <f t="shared" si="128"/>
        <v>0</v>
      </c>
    </row>
    <row r="644" spans="1:25" x14ac:dyDescent="0.3">
      <c r="A644" s="116" t="str">
        <f>IF(Inputs!$A55="","",Inputs!$A55)</f>
        <v/>
      </c>
      <c r="B644" s="116"/>
      <c r="C644" s="116"/>
      <c r="D644" s="118">
        <f>IF(OR($A644="",$Y559=0),0,D559/$Y559*Inputs!$S55)</f>
        <v>0</v>
      </c>
      <c r="E644" s="118">
        <f>IF(OR($A644="",$Y559=0),0,E559/$Y559*Inputs!$S55)</f>
        <v>0</v>
      </c>
      <c r="F644" s="118">
        <f>IF(OR($A644="",$Y559=0),0,F559/$Y559*Inputs!$S55)</f>
        <v>0</v>
      </c>
      <c r="G644" s="118">
        <f>IF(OR($A644="",$Y559=0),0,G559/$Y559*Inputs!$S55)</f>
        <v>0</v>
      </c>
      <c r="H644" s="118">
        <f>IF(OR($A644="",$Y559=0),0,H559/$Y559*Inputs!$S55)</f>
        <v>0</v>
      </c>
      <c r="I644" s="118">
        <f>IF(OR($A644="",$Y559=0),0,I559/$Y559*Inputs!$S55)</f>
        <v>0</v>
      </c>
      <c r="J644" s="118">
        <f>IF(OR($A644="",$Y559=0),0,J559/$Y559*Inputs!$S55)</f>
        <v>0</v>
      </c>
      <c r="K644" s="118">
        <f>IF(OR($A644="",$Y559=0),0,K559/$Y559*Inputs!$S55)</f>
        <v>0</v>
      </c>
      <c r="L644" s="118">
        <f>IF(OR($A644="",$Y559=0),0,L559/$Y559*Inputs!$S55)</f>
        <v>0</v>
      </c>
      <c r="M644" s="118">
        <f>IF(OR($A644="",$Y559=0),0,M559/$Y559*Inputs!$S55)</f>
        <v>0</v>
      </c>
      <c r="N644" s="118">
        <f>IF(OR($A644="",$Y559=0),0,N559/$Y559*Inputs!$S55)</f>
        <v>0</v>
      </c>
      <c r="O644" s="118">
        <f>IF(OR($A644="",$Y559=0),0,O559/$Y559*Inputs!$S55)</f>
        <v>0</v>
      </c>
      <c r="P644" s="118">
        <f>IF(OR($A644="",$Y559=0),0,P559/$Y559*Inputs!$S55)</f>
        <v>0</v>
      </c>
      <c r="Q644" s="118">
        <f>IF(OR($A644="",$Y559=0),0,Q559/$Y559*Inputs!$S55)</f>
        <v>0</v>
      </c>
      <c r="R644" s="118">
        <f>IF(OR($A644="",$Y559=0),0,R559/$Y559*Inputs!$S55)</f>
        <v>0</v>
      </c>
      <c r="S644" s="118">
        <f>IF(OR($A644="",$Y559=0),0,S559/$Y559*Inputs!$S55)</f>
        <v>0</v>
      </c>
      <c r="T644" s="118">
        <f>IF(OR($A644="",$Y559=0),0,T559/$Y559*Inputs!$S55)</f>
        <v>0</v>
      </c>
      <c r="U644" s="118">
        <f>IF(OR($A644="",$Y559=0),0,U559/$Y559*Inputs!$S55)</f>
        <v>0</v>
      </c>
      <c r="V644" s="118">
        <f>IF(OR($A644="",$Y559=0),0,V559/$Y559*Inputs!$S55)</f>
        <v>0</v>
      </c>
      <c r="W644" s="118">
        <f>IF(OR($A644="",$Y559=0),0,W559/$Y559*Inputs!$S55)</f>
        <v>0</v>
      </c>
      <c r="X644" s="118">
        <f>IF(OR($A644="",$Y559=0),0,X559/$Y559*Inputs!$S55)</f>
        <v>0</v>
      </c>
      <c r="Y644" s="118">
        <f t="shared" si="128"/>
        <v>0</v>
      </c>
    </row>
    <row r="645" spans="1:25" x14ac:dyDescent="0.3">
      <c r="A645" s="116" t="str">
        <f>IF(Inputs!$A56="","",Inputs!$A56)</f>
        <v/>
      </c>
      <c r="B645" s="116"/>
      <c r="C645" s="116"/>
      <c r="D645" s="118">
        <f>IF(OR($A645="",$Y560=0),0,D560/$Y560*Inputs!$S56)</f>
        <v>0</v>
      </c>
      <c r="E645" s="118">
        <f>IF(OR($A645="",$Y560=0),0,E560/$Y560*Inputs!$S56)</f>
        <v>0</v>
      </c>
      <c r="F645" s="118">
        <f>IF(OR($A645="",$Y560=0),0,F560/$Y560*Inputs!$S56)</f>
        <v>0</v>
      </c>
      <c r="G645" s="118">
        <f>IF(OR($A645="",$Y560=0),0,G560/$Y560*Inputs!$S56)</f>
        <v>0</v>
      </c>
      <c r="H645" s="118">
        <f>IF(OR($A645="",$Y560=0),0,H560/$Y560*Inputs!$S56)</f>
        <v>0</v>
      </c>
      <c r="I645" s="118">
        <f>IF(OR($A645="",$Y560=0),0,I560/$Y560*Inputs!$S56)</f>
        <v>0</v>
      </c>
      <c r="J645" s="118">
        <f>IF(OR($A645="",$Y560=0),0,J560/$Y560*Inputs!$S56)</f>
        <v>0</v>
      </c>
      <c r="K645" s="118">
        <f>IF(OR($A645="",$Y560=0),0,K560/$Y560*Inputs!$S56)</f>
        <v>0</v>
      </c>
      <c r="L645" s="118">
        <f>IF(OR($A645="",$Y560=0),0,L560/$Y560*Inputs!$S56)</f>
        <v>0</v>
      </c>
      <c r="M645" s="118">
        <f>IF(OR($A645="",$Y560=0),0,M560/$Y560*Inputs!$S56)</f>
        <v>0</v>
      </c>
      <c r="N645" s="118">
        <f>IF(OR($A645="",$Y560=0),0,N560/$Y560*Inputs!$S56)</f>
        <v>0</v>
      </c>
      <c r="O645" s="118">
        <f>IF(OR($A645="",$Y560=0),0,O560/$Y560*Inputs!$S56)</f>
        <v>0</v>
      </c>
      <c r="P645" s="118">
        <f>IF(OR($A645="",$Y560=0),0,P560/$Y560*Inputs!$S56)</f>
        <v>0</v>
      </c>
      <c r="Q645" s="118">
        <f>IF(OR($A645="",$Y560=0),0,Q560/$Y560*Inputs!$S56)</f>
        <v>0</v>
      </c>
      <c r="R645" s="118">
        <f>IF(OR($A645="",$Y560=0),0,R560/$Y560*Inputs!$S56)</f>
        <v>0</v>
      </c>
      <c r="S645" s="118">
        <f>IF(OR($A645="",$Y560=0),0,S560/$Y560*Inputs!$S56)</f>
        <v>0</v>
      </c>
      <c r="T645" s="118">
        <f>IF(OR($A645="",$Y560=0),0,T560/$Y560*Inputs!$S56)</f>
        <v>0</v>
      </c>
      <c r="U645" s="118">
        <f>IF(OR($A645="",$Y560=0),0,U560/$Y560*Inputs!$S56)</f>
        <v>0</v>
      </c>
      <c r="V645" s="118">
        <f>IF(OR($A645="",$Y560=0),0,V560/$Y560*Inputs!$S56)</f>
        <v>0</v>
      </c>
      <c r="W645" s="118">
        <f>IF(OR($A645="",$Y560=0),0,W560/$Y560*Inputs!$S56)</f>
        <v>0</v>
      </c>
      <c r="X645" s="118">
        <f>IF(OR($A645="",$Y560=0),0,X560/$Y560*Inputs!$S56)</f>
        <v>0</v>
      </c>
      <c r="Y645" s="118">
        <f t="shared" si="128"/>
        <v>0</v>
      </c>
    </row>
    <row r="646" spans="1:25" x14ac:dyDescent="0.3">
      <c r="A646" s="116" t="str">
        <f>IF(Inputs!$A57="","",Inputs!$A57)</f>
        <v/>
      </c>
      <c r="B646" s="116"/>
      <c r="C646" s="116"/>
      <c r="D646" s="118">
        <f>IF(OR($A646="",$Y561=0),0,D561/$Y561*Inputs!$S57)</f>
        <v>0</v>
      </c>
      <c r="E646" s="118">
        <f>IF(OR($A646="",$Y561=0),0,E561/$Y561*Inputs!$S57)</f>
        <v>0</v>
      </c>
      <c r="F646" s="118">
        <f>IF(OR($A646="",$Y561=0),0,F561/$Y561*Inputs!$S57)</f>
        <v>0</v>
      </c>
      <c r="G646" s="118">
        <f>IF(OR($A646="",$Y561=0),0,G561/$Y561*Inputs!$S57)</f>
        <v>0</v>
      </c>
      <c r="H646" s="118">
        <f>IF(OR($A646="",$Y561=0),0,H561/$Y561*Inputs!$S57)</f>
        <v>0</v>
      </c>
      <c r="I646" s="118">
        <f>IF(OR($A646="",$Y561=0),0,I561/$Y561*Inputs!$S57)</f>
        <v>0</v>
      </c>
      <c r="J646" s="118">
        <f>IF(OR($A646="",$Y561=0),0,J561/$Y561*Inputs!$S57)</f>
        <v>0</v>
      </c>
      <c r="K646" s="118">
        <f>IF(OR($A646="",$Y561=0),0,K561/$Y561*Inputs!$S57)</f>
        <v>0</v>
      </c>
      <c r="L646" s="118">
        <f>IF(OR($A646="",$Y561=0),0,L561/$Y561*Inputs!$S57)</f>
        <v>0</v>
      </c>
      <c r="M646" s="118">
        <f>IF(OR($A646="",$Y561=0),0,M561/$Y561*Inputs!$S57)</f>
        <v>0</v>
      </c>
      <c r="N646" s="118">
        <f>IF(OR($A646="",$Y561=0),0,N561/$Y561*Inputs!$S57)</f>
        <v>0</v>
      </c>
      <c r="O646" s="118">
        <f>IF(OR($A646="",$Y561=0),0,O561/$Y561*Inputs!$S57)</f>
        <v>0</v>
      </c>
      <c r="P646" s="118">
        <f>IF(OR($A646="",$Y561=0),0,P561/$Y561*Inputs!$S57)</f>
        <v>0</v>
      </c>
      <c r="Q646" s="118">
        <f>IF(OR($A646="",$Y561=0),0,Q561/$Y561*Inputs!$S57)</f>
        <v>0</v>
      </c>
      <c r="R646" s="118">
        <f>IF(OR($A646="",$Y561=0),0,R561/$Y561*Inputs!$S57)</f>
        <v>0</v>
      </c>
      <c r="S646" s="118">
        <f>IF(OR($A646="",$Y561=0),0,S561/$Y561*Inputs!$S57)</f>
        <v>0</v>
      </c>
      <c r="T646" s="118">
        <f>IF(OR($A646="",$Y561=0),0,T561/$Y561*Inputs!$S57)</f>
        <v>0</v>
      </c>
      <c r="U646" s="118">
        <f>IF(OR($A646="",$Y561=0),0,U561/$Y561*Inputs!$S57)</f>
        <v>0</v>
      </c>
      <c r="V646" s="118">
        <f>IF(OR($A646="",$Y561=0),0,V561/$Y561*Inputs!$S57)</f>
        <v>0</v>
      </c>
      <c r="W646" s="118">
        <f>IF(OR($A646="",$Y561=0),0,W561/$Y561*Inputs!$S57)</f>
        <v>0</v>
      </c>
      <c r="X646" s="118">
        <f>IF(OR($A646="",$Y561=0),0,X561/$Y561*Inputs!$S57)</f>
        <v>0</v>
      </c>
      <c r="Y646" s="118">
        <f t="shared" si="128"/>
        <v>0</v>
      </c>
    </row>
    <row r="647" spans="1:25" x14ac:dyDescent="0.3">
      <c r="A647" s="116" t="str">
        <f>IF(Inputs!$A58="","",Inputs!$A58)</f>
        <v/>
      </c>
      <c r="B647" s="116"/>
      <c r="C647" s="116"/>
      <c r="D647" s="118">
        <f>IF(OR($A647="",$Y562=0),0,D562/$Y562*Inputs!$S58)</f>
        <v>0</v>
      </c>
      <c r="E647" s="118">
        <f>IF(OR($A647="",$Y562=0),0,E562/$Y562*Inputs!$S58)</f>
        <v>0</v>
      </c>
      <c r="F647" s="118">
        <f>IF(OR($A647="",$Y562=0),0,F562/$Y562*Inputs!$S58)</f>
        <v>0</v>
      </c>
      <c r="G647" s="118">
        <f>IF(OR($A647="",$Y562=0),0,G562/$Y562*Inputs!$S58)</f>
        <v>0</v>
      </c>
      <c r="H647" s="118">
        <f>IF(OR($A647="",$Y562=0),0,H562/$Y562*Inputs!$S58)</f>
        <v>0</v>
      </c>
      <c r="I647" s="118">
        <f>IF(OR($A647="",$Y562=0),0,I562/$Y562*Inputs!$S58)</f>
        <v>0</v>
      </c>
      <c r="J647" s="118">
        <f>IF(OR($A647="",$Y562=0),0,J562/$Y562*Inputs!$S58)</f>
        <v>0</v>
      </c>
      <c r="K647" s="118">
        <f>IF(OR($A647="",$Y562=0),0,K562/$Y562*Inputs!$S58)</f>
        <v>0</v>
      </c>
      <c r="L647" s="118">
        <f>IF(OR($A647="",$Y562=0),0,L562/$Y562*Inputs!$S58)</f>
        <v>0</v>
      </c>
      <c r="M647" s="118">
        <f>IF(OR($A647="",$Y562=0),0,M562/$Y562*Inputs!$S58)</f>
        <v>0</v>
      </c>
      <c r="N647" s="118">
        <f>IF(OR($A647="",$Y562=0),0,N562/$Y562*Inputs!$S58)</f>
        <v>0</v>
      </c>
      <c r="O647" s="118">
        <f>IF(OR($A647="",$Y562=0),0,O562/$Y562*Inputs!$S58)</f>
        <v>0</v>
      </c>
      <c r="P647" s="118">
        <f>IF(OR($A647="",$Y562=0),0,P562/$Y562*Inputs!$S58)</f>
        <v>0</v>
      </c>
      <c r="Q647" s="118">
        <f>IF(OR($A647="",$Y562=0),0,Q562/$Y562*Inputs!$S58)</f>
        <v>0</v>
      </c>
      <c r="R647" s="118">
        <f>IF(OR($A647="",$Y562=0),0,R562/$Y562*Inputs!$S58)</f>
        <v>0</v>
      </c>
      <c r="S647" s="118">
        <f>IF(OR($A647="",$Y562=0),0,S562/$Y562*Inputs!$S58)</f>
        <v>0</v>
      </c>
      <c r="T647" s="118">
        <f>IF(OR($A647="",$Y562=0),0,T562/$Y562*Inputs!$S58)</f>
        <v>0</v>
      </c>
      <c r="U647" s="118">
        <f>IF(OR($A647="",$Y562=0),0,U562/$Y562*Inputs!$S58)</f>
        <v>0</v>
      </c>
      <c r="V647" s="118">
        <f>IF(OR($A647="",$Y562=0),0,V562/$Y562*Inputs!$S58)</f>
        <v>0</v>
      </c>
      <c r="W647" s="118">
        <f>IF(OR($A647="",$Y562=0),0,W562/$Y562*Inputs!$S58)</f>
        <v>0</v>
      </c>
      <c r="X647" s="118">
        <f>IF(OR($A647="",$Y562=0),0,X562/$Y562*Inputs!$S58)</f>
        <v>0</v>
      </c>
      <c r="Y647" s="118">
        <f t="shared" si="128"/>
        <v>0</v>
      </c>
    </row>
    <row r="648" spans="1:25" x14ac:dyDescent="0.3">
      <c r="A648" s="116" t="str">
        <f>IF(Inputs!$A59="","",Inputs!$A59)</f>
        <v/>
      </c>
      <c r="B648" s="116"/>
      <c r="C648" s="116"/>
      <c r="D648" s="118">
        <f>IF(OR($A648="",$Y563=0),0,D563/$Y563*Inputs!$S59)</f>
        <v>0</v>
      </c>
      <c r="E648" s="118">
        <f>IF(OR($A648="",$Y563=0),0,E563/$Y563*Inputs!$S59)</f>
        <v>0</v>
      </c>
      <c r="F648" s="118">
        <f>IF(OR($A648="",$Y563=0),0,F563/$Y563*Inputs!$S59)</f>
        <v>0</v>
      </c>
      <c r="G648" s="118">
        <f>IF(OR($A648="",$Y563=0),0,G563/$Y563*Inputs!$S59)</f>
        <v>0</v>
      </c>
      <c r="H648" s="118">
        <f>IF(OR($A648="",$Y563=0),0,H563/$Y563*Inputs!$S59)</f>
        <v>0</v>
      </c>
      <c r="I648" s="118">
        <f>IF(OR($A648="",$Y563=0),0,I563/$Y563*Inputs!$S59)</f>
        <v>0</v>
      </c>
      <c r="J648" s="118">
        <f>IF(OR($A648="",$Y563=0),0,J563/$Y563*Inputs!$S59)</f>
        <v>0</v>
      </c>
      <c r="K648" s="118">
        <f>IF(OR($A648="",$Y563=0),0,K563/$Y563*Inputs!$S59)</f>
        <v>0</v>
      </c>
      <c r="L648" s="118">
        <f>IF(OR($A648="",$Y563=0),0,L563/$Y563*Inputs!$S59)</f>
        <v>0</v>
      </c>
      <c r="M648" s="118">
        <f>IF(OR($A648="",$Y563=0),0,M563/$Y563*Inputs!$S59)</f>
        <v>0</v>
      </c>
      <c r="N648" s="118">
        <f>IF(OR($A648="",$Y563=0),0,N563/$Y563*Inputs!$S59)</f>
        <v>0</v>
      </c>
      <c r="O648" s="118">
        <f>IF(OR($A648="",$Y563=0),0,O563/$Y563*Inputs!$S59)</f>
        <v>0</v>
      </c>
      <c r="P648" s="118">
        <f>IF(OR($A648="",$Y563=0),0,P563/$Y563*Inputs!$S59)</f>
        <v>0</v>
      </c>
      <c r="Q648" s="118">
        <f>IF(OR($A648="",$Y563=0),0,Q563/$Y563*Inputs!$S59)</f>
        <v>0</v>
      </c>
      <c r="R648" s="118">
        <f>IF(OR($A648="",$Y563=0),0,R563/$Y563*Inputs!$S59)</f>
        <v>0</v>
      </c>
      <c r="S648" s="118">
        <f>IF(OR($A648="",$Y563=0),0,S563/$Y563*Inputs!$S59)</f>
        <v>0</v>
      </c>
      <c r="T648" s="118">
        <f>IF(OR($A648="",$Y563=0),0,T563/$Y563*Inputs!$S59)</f>
        <v>0</v>
      </c>
      <c r="U648" s="118">
        <f>IF(OR($A648="",$Y563=0),0,U563/$Y563*Inputs!$S59)</f>
        <v>0</v>
      </c>
      <c r="V648" s="118">
        <f>IF(OR($A648="",$Y563=0),0,V563/$Y563*Inputs!$S59)</f>
        <v>0</v>
      </c>
      <c r="W648" s="118">
        <f>IF(OR($A648="",$Y563=0),0,W563/$Y563*Inputs!$S59)</f>
        <v>0</v>
      </c>
      <c r="X648" s="118">
        <f>IF(OR($A648="",$Y563=0),0,X563/$Y563*Inputs!$S59)</f>
        <v>0</v>
      </c>
      <c r="Y648" s="118">
        <f t="shared" si="128"/>
        <v>0</v>
      </c>
    </row>
    <row r="649" spans="1:25" x14ac:dyDescent="0.3">
      <c r="A649" s="116" t="str">
        <f>IF(Inputs!$A60="","",Inputs!$A60)</f>
        <v/>
      </c>
      <c r="B649" s="116"/>
      <c r="C649" s="116"/>
      <c r="D649" s="118">
        <f>IF(OR($A649="",$Y564=0),0,D564/$Y564*Inputs!$S60)</f>
        <v>0</v>
      </c>
      <c r="E649" s="118">
        <f>IF(OR($A649="",$Y564=0),0,E564/$Y564*Inputs!$S60)</f>
        <v>0</v>
      </c>
      <c r="F649" s="118">
        <f>IF(OR($A649="",$Y564=0),0,F564/$Y564*Inputs!$S60)</f>
        <v>0</v>
      </c>
      <c r="G649" s="118">
        <f>IF(OR($A649="",$Y564=0),0,G564/$Y564*Inputs!$S60)</f>
        <v>0</v>
      </c>
      <c r="H649" s="118">
        <f>IF(OR($A649="",$Y564=0),0,H564/$Y564*Inputs!$S60)</f>
        <v>0</v>
      </c>
      <c r="I649" s="118">
        <f>IF(OR($A649="",$Y564=0),0,I564/$Y564*Inputs!$S60)</f>
        <v>0</v>
      </c>
      <c r="J649" s="118">
        <f>IF(OR($A649="",$Y564=0),0,J564/$Y564*Inputs!$S60)</f>
        <v>0</v>
      </c>
      <c r="K649" s="118">
        <f>IF(OR($A649="",$Y564=0),0,K564/$Y564*Inputs!$S60)</f>
        <v>0</v>
      </c>
      <c r="L649" s="118">
        <f>IF(OR($A649="",$Y564=0),0,L564/$Y564*Inputs!$S60)</f>
        <v>0</v>
      </c>
      <c r="M649" s="118">
        <f>IF(OR($A649="",$Y564=0),0,M564/$Y564*Inputs!$S60)</f>
        <v>0</v>
      </c>
      <c r="N649" s="118">
        <f>IF(OR($A649="",$Y564=0),0,N564/$Y564*Inputs!$S60)</f>
        <v>0</v>
      </c>
      <c r="O649" s="118">
        <f>IF(OR($A649="",$Y564=0),0,O564/$Y564*Inputs!$S60)</f>
        <v>0</v>
      </c>
      <c r="P649" s="118">
        <f>IF(OR($A649="",$Y564=0),0,P564/$Y564*Inputs!$S60)</f>
        <v>0</v>
      </c>
      <c r="Q649" s="118">
        <f>IF(OR($A649="",$Y564=0),0,Q564/$Y564*Inputs!$S60)</f>
        <v>0</v>
      </c>
      <c r="R649" s="118">
        <f>IF(OR($A649="",$Y564=0),0,R564/$Y564*Inputs!$S60)</f>
        <v>0</v>
      </c>
      <c r="S649" s="118">
        <f>IF(OR($A649="",$Y564=0),0,S564/$Y564*Inputs!$S60)</f>
        <v>0</v>
      </c>
      <c r="T649" s="118">
        <f>IF(OR($A649="",$Y564=0),0,T564/$Y564*Inputs!$S60)</f>
        <v>0</v>
      </c>
      <c r="U649" s="118">
        <f>IF(OR($A649="",$Y564=0),0,U564/$Y564*Inputs!$S60)</f>
        <v>0</v>
      </c>
      <c r="V649" s="118">
        <f>IF(OR($A649="",$Y564=0),0,V564/$Y564*Inputs!$S60)</f>
        <v>0</v>
      </c>
      <c r="W649" s="118">
        <f>IF(OR($A649="",$Y564=0),0,W564/$Y564*Inputs!$S60)</f>
        <v>0</v>
      </c>
      <c r="X649" s="118">
        <f>IF(OR($A649="",$Y564=0),0,X564/$Y564*Inputs!$S60)</f>
        <v>0</v>
      </c>
      <c r="Y649" s="118">
        <f t="shared" si="128"/>
        <v>0</v>
      </c>
    </row>
    <row r="650" spans="1:25" x14ac:dyDescent="0.3">
      <c r="A650" s="116" t="str">
        <f>IF(Inputs!$A61="","",Inputs!$A61)</f>
        <v/>
      </c>
      <c r="B650" s="116"/>
      <c r="C650" s="116"/>
      <c r="D650" s="118">
        <f>IF(OR($A650="",$Y565=0),0,D565/$Y565*Inputs!$S61)</f>
        <v>0</v>
      </c>
      <c r="E650" s="118">
        <f>IF(OR($A650="",$Y565=0),0,E565/$Y565*Inputs!$S61)</f>
        <v>0</v>
      </c>
      <c r="F650" s="118">
        <f>IF(OR($A650="",$Y565=0),0,F565/$Y565*Inputs!$S61)</f>
        <v>0</v>
      </c>
      <c r="G650" s="118">
        <f>IF(OR($A650="",$Y565=0),0,G565/$Y565*Inputs!$S61)</f>
        <v>0</v>
      </c>
      <c r="H650" s="118">
        <f>IF(OR($A650="",$Y565=0),0,H565/$Y565*Inputs!$S61)</f>
        <v>0</v>
      </c>
      <c r="I650" s="118">
        <f>IF(OR($A650="",$Y565=0),0,I565/$Y565*Inputs!$S61)</f>
        <v>0</v>
      </c>
      <c r="J650" s="118">
        <f>IF(OR($A650="",$Y565=0),0,J565/$Y565*Inputs!$S61)</f>
        <v>0</v>
      </c>
      <c r="K650" s="118">
        <f>IF(OR($A650="",$Y565=0),0,K565/$Y565*Inputs!$S61)</f>
        <v>0</v>
      </c>
      <c r="L650" s="118">
        <f>IF(OR($A650="",$Y565=0),0,L565/$Y565*Inputs!$S61)</f>
        <v>0</v>
      </c>
      <c r="M650" s="118">
        <f>IF(OR($A650="",$Y565=0),0,M565/$Y565*Inputs!$S61)</f>
        <v>0</v>
      </c>
      <c r="N650" s="118">
        <f>IF(OR($A650="",$Y565=0),0,N565/$Y565*Inputs!$S61)</f>
        <v>0</v>
      </c>
      <c r="O650" s="118">
        <f>IF(OR($A650="",$Y565=0),0,O565/$Y565*Inputs!$S61)</f>
        <v>0</v>
      </c>
      <c r="P650" s="118">
        <f>IF(OR($A650="",$Y565=0),0,P565/$Y565*Inputs!$S61)</f>
        <v>0</v>
      </c>
      <c r="Q650" s="118">
        <f>IF(OR($A650="",$Y565=0),0,Q565/$Y565*Inputs!$S61)</f>
        <v>0</v>
      </c>
      <c r="R650" s="118">
        <f>IF(OR($A650="",$Y565=0),0,R565/$Y565*Inputs!$S61)</f>
        <v>0</v>
      </c>
      <c r="S650" s="118">
        <f>IF(OR($A650="",$Y565=0),0,S565/$Y565*Inputs!$S61)</f>
        <v>0</v>
      </c>
      <c r="T650" s="118">
        <f>IF(OR($A650="",$Y565=0),0,T565/$Y565*Inputs!$S61)</f>
        <v>0</v>
      </c>
      <c r="U650" s="118">
        <f>IF(OR($A650="",$Y565=0),0,U565/$Y565*Inputs!$S61)</f>
        <v>0</v>
      </c>
      <c r="V650" s="118">
        <f>IF(OR($A650="",$Y565=0),0,V565/$Y565*Inputs!$S61)</f>
        <v>0</v>
      </c>
      <c r="W650" s="118">
        <f>IF(OR($A650="",$Y565=0),0,W565/$Y565*Inputs!$S61)</f>
        <v>0</v>
      </c>
      <c r="X650" s="118">
        <f>IF(OR($A650="",$Y565=0),0,X565/$Y565*Inputs!$S61)</f>
        <v>0</v>
      </c>
      <c r="Y650" s="118">
        <f t="shared" si="128"/>
        <v>0</v>
      </c>
    </row>
    <row r="651" spans="1:25" x14ac:dyDescent="0.3">
      <c r="A651" s="116" t="str">
        <f>IF(Inputs!$A62="","",Inputs!$A62)</f>
        <v/>
      </c>
      <c r="B651" s="116"/>
      <c r="C651" s="116"/>
      <c r="D651" s="118">
        <f>IF(OR($A651="",$Y566=0),0,D566/$Y566*Inputs!$S62)</f>
        <v>0</v>
      </c>
      <c r="E651" s="118">
        <f>IF(OR($A651="",$Y566=0),0,E566/$Y566*Inputs!$S62)</f>
        <v>0</v>
      </c>
      <c r="F651" s="118">
        <f>IF(OR($A651="",$Y566=0),0,F566/$Y566*Inputs!$S62)</f>
        <v>0</v>
      </c>
      <c r="G651" s="118">
        <f>IF(OR($A651="",$Y566=0),0,G566/$Y566*Inputs!$S62)</f>
        <v>0</v>
      </c>
      <c r="H651" s="118">
        <f>IF(OR($A651="",$Y566=0),0,H566/$Y566*Inputs!$S62)</f>
        <v>0</v>
      </c>
      <c r="I651" s="118">
        <f>IF(OR($A651="",$Y566=0),0,I566/$Y566*Inputs!$S62)</f>
        <v>0</v>
      </c>
      <c r="J651" s="118">
        <f>IF(OR($A651="",$Y566=0),0,J566/$Y566*Inputs!$S62)</f>
        <v>0</v>
      </c>
      <c r="K651" s="118">
        <f>IF(OR($A651="",$Y566=0),0,K566/$Y566*Inputs!$S62)</f>
        <v>0</v>
      </c>
      <c r="L651" s="118">
        <f>IF(OR($A651="",$Y566=0),0,L566/$Y566*Inputs!$S62)</f>
        <v>0</v>
      </c>
      <c r="M651" s="118">
        <f>IF(OR($A651="",$Y566=0),0,M566/$Y566*Inputs!$S62)</f>
        <v>0</v>
      </c>
      <c r="N651" s="118">
        <f>IF(OR($A651="",$Y566=0),0,N566/$Y566*Inputs!$S62)</f>
        <v>0</v>
      </c>
      <c r="O651" s="118">
        <f>IF(OR($A651="",$Y566=0),0,O566/$Y566*Inputs!$S62)</f>
        <v>0</v>
      </c>
      <c r="P651" s="118">
        <f>IF(OR($A651="",$Y566=0),0,P566/$Y566*Inputs!$S62)</f>
        <v>0</v>
      </c>
      <c r="Q651" s="118">
        <f>IF(OR($A651="",$Y566=0),0,Q566/$Y566*Inputs!$S62)</f>
        <v>0</v>
      </c>
      <c r="R651" s="118">
        <f>IF(OR($A651="",$Y566=0),0,R566/$Y566*Inputs!$S62)</f>
        <v>0</v>
      </c>
      <c r="S651" s="118">
        <f>IF(OR($A651="",$Y566=0),0,S566/$Y566*Inputs!$S62)</f>
        <v>0</v>
      </c>
      <c r="T651" s="118">
        <f>IF(OR($A651="",$Y566=0),0,T566/$Y566*Inputs!$S62)</f>
        <v>0</v>
      </c>
      <c r="U651" s="118">
        <f>IF(OR($A651="",$Y566=0),0,U566/$Y566*Inputs!$S62)</f>
        <v>0</v>
      </c>
      <c r="V651" s="118">
        <f>IF(OR($A651="",$Y566=0),0,V566/$Y566*Inputs!$S62)</f>
        <v>0</v>
      </c>
      <c r="W651" s="118">
        <f>IF(OR($A651="",$Y566=0),0,W566/$Y566*Inputs!$S62)</f>
        <v>0</v>
      </c>
      <c r="X651" s="118">
        <f>IF(OR($A651="",$Y566=0),0,X566/$Y566*Inputs!$S62)</f>
        <v>0</v>
      </c>
      <c r="Y651" s="118">
        <f t="shared" si="128"/>
        <v>0</v>
      </c>
    </row>
    <row r="652" spans="1:25" x14ac:dyDescent="0.3">
      <c r="A652" s="116" t="str">
        <f>IF(Inputs!$A63="","",Inputs!$A63)</f>
        <v/>
      </c>
      <c r="B652" s="116"/>
      <c r="C652" s="116"/>
      <c r="D652" s="118">
        <f>IF(OR($A652="",$Y567=0),0,D567/$Y567*Inputs!$S63)</f>
        <v>0</v>
      </c>
      <c r="E652" s="118">
        <f>IF(OR($A652="",$Y567=0),0,E567/$Y567*Inputs!$S63)</f>
        <v>0</v>
      </c>
      <c r="F652" s="118">
        <f>IF(OR($A652="",$Y567=0),0,F567/$Y567*Inputs!$S63)</f>
        <v>0</v>
      </c>
      <c r="G652" s="118">
        <f>IF(OR($A652="",$Y567=0),0,G567/$Y567*Inputs!$S63)</f>
        <v>0</v>
      </c>
      <c r="H652" s="118">
        <f>IF(OR($A652="",$Y567=0),0,H567/$Y567*Inputs!$S63)</f>
        <v>0</v>
      </c>
      <c r="I652" s="118">
        <f>IF(OR($A652="",$Y567=0),0,I567/$Y567*Inputs!$S63)</f>
        <v>0</v>
      </c>
      <c r="J652" s="118">
        <f>IF(OR($A652="",$Y567=0),0,J567/$Y567*Inputs!$S63)</f>
        <v>0</v>
      </c>
      <c r="K652" s="118">
        <f>IF(OR($A652="",$Y567=0),0,K567/$Y567*Inputs!$S63)</f>
        <v>0</v>
      </c>
      <c r="L652" s="118">
        <f>IF(OR($A652="",$Y567=0),0,L567/$Y567*Inputs!$S63)</f>
        <v>0</v>
      </c>
      <c r="M652" s="118">
        <f>IF(OR($A652="",$Y567=0),0,M567/$Y567*Inputs!$S63)</f>
        <v>0</v>
      </c>
      <c r="N652" s="118">
        <f>IF(OR($A652="",$Y567=0),0,N567/$Y567*Inputs!$S63)</f>
        <v>0</v>
      </c>
      <c r="O652" s="118">
        <f>IF(OR($A652="",$Y567=0),0,O567/$Y567*Inputs!$S63)</f>
        <v>0</v>
      </c>
      <c r="P652" s="118">
        <f>IF(OR($A652="",$Y567=0),0,P567/$Y567*Inputs!$S63)</f>
        <v>0</v>
      </c>
      <c r="Q652" s="118">
        <f>IF(OR($A652="",$Y567=0),0,Q567/$Y567*Inputs!$S63)</f>
        <v>0</v>
      </c>
      <c r="R652" s="118">
        <f>IF(OR($A652="",$Y567=0),0,R567/$Y567*Inputs!$S63)</f>
        <v>0</v>
      </c>
      <c r="S652" s="118">
        <f>IF(OR($A652="",$Y567=0),0,S567/$Y567*Inputs!$S63)</f>
        <v>0</v>
      </c>
      <c r="T652" s="118">
        <f>IF(OR($A652="",$Y567=0),0,T567/$Y567*Inputs!$S63)</f>
        <v>0</v>
      </c>
      <c r="U652" s="118">
        <f>IF(OR($A652="",$Y567=0),0,U567/$Y567*Inputs!$S63)</f>
        <v>0</v>
      </c>
      <c r="V652" s="118">
        <f>IF(OR($A652="",$Y567=0),0,V567/$Y567*Inputs!$S63)</f>
        <v>0</v>
      </c>
      <c r="W652" s="118">
        <f>IF(OR($A652="",$Y567=0),0,W567/$Y567*Inputs!$S63)</f>
        <v>0</v>
      </c>
      <c r="X652" s="118">
        <f>IF(OR($A652="",$Y567=0),0,X567/$Y567*Inputs!$S63)</f>
        <v>0</v>
      </c>
      <c r="Y652" s="118">
        <f t="shared" si="128"/>
        <v>0</v>
      </c>
    </row>
    <row r="653" spans="1:25" x14ac:dyDescent="0.3">
      <c r="A653" s="116" t="str">
        <f>IF(Inputs!$A64="","",Inputs!$A64)</f>
        <v/>
      </c>
      <c r="B653" s="116"/>
      <c r="C653" s="116"/>
      <c r="D653" s="118">
        <f>IF(OR($A653="",$Y568=0),0,D568/$Y568*Inputs!$S64)</f>
        <v>0</v>
      </c>
      <c r="E653" s="118">
        <f>IF(OR($A653="",$Y568=0),0,E568/$Y568*Inputs!$S64)</f>
        <v>0</v>
      </c>
      <c r="F653" s="118">
        <f>IF(OR($A653="",$Y568=0),0,F568/$Y568*Inputs!$S64)</f>
        <v>0</v>
      </c>
      <c r="G653" s="118">
        <f>IF(OR($A653="",$Y568=0),0,G568/$Y568*Inputs!$S64)</f>
        <v>0</v>
      </c>
      <c r="H653" s="118">
        <f>IF(OR($A653="",$Y568=0),0,H568/$Y568*Inputs!$S64)</f>
        <v>0</v>
      </c>
      <c r="I653" s="118">
        <f>IF(OR($A653="",$Y568=0),0,I568/$Y568*Inputs!$S64)</f>
        <v>0</v>
      </c>
      <c r="J653" s="118">
        <f>IF(OR($A653="",$Y568=0),0,J568/$Y568*Inputs!$S64)</f>
        <v>0</v>
      </c>
      <c r="K653" s="118">
        <f>IF(OR($A653="",$Y568=0),0,K568/$Y568*Inputs!$S64)</f>
        <v>0</v>
      </c>
      <c r="L653" s="118">
        <f>IF(OR($A653="",$Y568=0),0,L568/$Y568*Inputs!$S64)</f>
        <v>0</v>
      </c>
      <c r="M653" s="118">
        <f>IF(OR($A653="",$Y568=0),0,M568/$Y568*Inputs!$S64)</f>
        <v>0</v>
      </c>
      <c r="N653" s="118">
        <f>IF(OR($A653="",$Y568=0),0,N568/$Y568*Inputs!$S64)</f>
        <v>0</v>
      </c>
      <c r="O653" s="118">
        <f>IF(OR($A653="",$Y568=0),0,O568/$Y568*Inputs!$S64)</f>
        <v>0</v>
      </c>
      <c r="P653" s="118">
        <f>IF(OR($A653="",$Y568=0),0,P568/$Y568*Inputs!$S64)</f>
        <v>0</v>
      </c>
      <c r="Q653" s="118">
        <f>IF(OR($A653="",$Y568=0),0,Q568/$Y568*Inputs!$S64)</f>
        <v>0</v>
      </c>
      <c r="R653" s="118">
        <f>IF(OR($A653="",$Y568=0),0,R568/$Y568*Inputs!$S64)</f>
        <v>0</v>
      </c>
      <c r="S653" s="118">
        <f>IF(OR($A653="",$Y568=0),0,S568/$Y568*Inputs!$S64)</f>
        <v>0</v>
      </c>
      <c r="T653" s="118">
        <f>IF(OR($A653="",$Y568=0),0,T568/$Y568*Inputs!$S64)</f>
        <v>0</v>
      </c>
      <c r="U653" s="118">
        <f>IF(OR($A653="",$Y568=0),0,U568/$Y568*Inputs!$S64)</f>
        <v>0</v>
      </c>
      <c r="V653" s="118">
        <f>IF(OR($A653="",$Y568=0),0,V568/$Y568*Inputs!$S64)</f>
        <v>0</v>
      </c>
      <c r="W653" s="118">
        <f>IF(OR($A653="",$Y568=0),0,W568/$Y568*Inputs!$S64)</f>
        <v>0</v>
      </c>
      <c r="X653" s="118">
        <f>IF(OR($A653="",$Y568=0),0,X568/$Y568*Inputs!$S64)</f>
        <v>0</v>
      </c>
      <c r="Y653" s="118">
        <f t="shared" si="128"/>
        <v>0</v>
      </c>
    </row>
    <row r="654" spans="1:25" x14ac:dyDescent="0.3">
      <c r="A654" s="116" t="str">
        <f>IF(Inputs!$A65="","",Inputs!$A65)</f>
        <v/>
      </c>
      <c r="B654" s="116"/>
      <c r="C654" s="116"/>
      <c r="D654" s="118">
        <f>IF(OR($A654="",$Y569=0),0,D569/$Y569*Inputs!$S65)</f>
        <v>0</v>
      </c>
      <c r="E654" s="118">
        <f>IF(OR($A654="",$Y569=0),0,E569/$Y569*Inputs!$S65)</f>
        <v>0</v>
      </c>
      <c r="F654" s="118">
        <f>IF(OR($A654="",$Y569=0),0,F569/$Y569*Inputs!$S65)</f>
        <v>0</v>
      </c>
      <c r="G654" s="118">
        <f>IF(OR($A654="",$Y569=0),0,G569/$Y569*Inputs!$S65)</f>
        <v>0</v>
      </c>
      <c r="H654" s="118">
        <f>IF(OR($A654="",$Y569=0),0,H569/$Y569*Inputs!$S65)</f>
        <v>0</v>
      </c>
      <c r="I654" s="118">
        <f>IF(OR($A654="",$Y569=0),0,I569/$Y569*Inputs!$S65)</f>
        <v>0</v>
      </c>
      <c r="J654" s="118">
        <f>IF(OR($A654="",$Y569=0),0,J569/$Y569*Inputs!$S65)</f>
        <v>0</v>
      </c>
      <c r="K654" s="118">
        <f>IF(OR($A654="",$Y569=0),0,K569/$Y569*Inputs!$S65)</f>
        <v>0</v>
      </c>
      <c r="L654" s="118">
        <f>IF(OR($A654="",$Y569=0),0,L569/$Y569*Inputs!$S65)</f>
        <v>0</v>
      </c>
      <c r="M654" s="118">
        <f>IF(OR($A654="",$Y569=0),0,M569/$Y569*Inputs!$S65)</f>
        <v>0</v>
      </c>
      <c r="N654" s="118">
        <f>IF(OR($A654="",$Y569=0),0,N569/$Y569*Inputs!$S65)</f>
        <v>0</v>
      </c>
      <c r="O654" s="118">
        <f>IF(OR($A654="",$Y569=0),0,O569/$Y569*Inputs!$S65)</f>
        <v>0</v>
      </c>
      <c r="P654" s="118">
        <f>IF(OR($A654="",$Y569=0),0,P569/$Y569*Inputs!$S65)</f>
        <v>0</v>
      </c>
      <c r="Q654" s="118">
        <f>IF(OR($A654="",$Y569=0),0,Q569/$Y569*Inputs!$S65)</f>
        <v>0</v>
      </c>
      <c r="R654" s="118">
        <f>IF(OR($A654="",$Y569=0),0,R569/$Y569*Inputs!$S65)</f>
        <v>0</v>
      </c>
      <c r="S654" s="118">
        <f>IF(OR($A654="",$Y569=0),0,S569/$Y569*Inputs!$S65)</f>
        <v>0</v>
      </c>
      <c r="T654" s="118">
        <f>IF(OR($A654="",$Y569=0),0,T569/$Y569*Inputs!$S65)</f>
        <v>0</v>
      </c>
      <c r="U654" s="118">
        <f>IF(OR($A654="",$Y569=0),0,U569/$Y569*Inputs!$S65)</f>
        <v>0</v>
      </c>
      <c r="V654" s="118">
        <f>IF(OR($A654="",$Y569=0),0,V569/$Y569*Inputs!$S65)</f>
        <v>0</v>
      </c>
      <c r="W654" s="118">
        <f>IF(OR($A654="",$Y569=0),0,W569/$Y569*Inputs!$S65)</f>
        <v>0</v>
      </c>
      <c r="X654" s="118">
        <f>IF(OR($A654="",$Y569=0),0,X569/$Y569*Inputs!$S65)</f>
        <v>0</v>
      </c>
      <c r="Y654" s="118">
        <f t="shared" si="128"/>
        <v>0</v>
      </c>
    </row>
    <row r="655" spans="1:25" x14ac:dyDescent="0.3">
      <c r="A655" s="116" t="str">
        <f>IF(Inputs!$A66="","",Inputs!$A66)</f>
        <v/>
      </c>
      <c r="B655" s="116"/>
      <c r="C655" s="116"/>
      <c r="D655" s="118">
        <f>IF(OR($A655="",$Y570=0),0,D570/$Y570*Inputs!$S66)</f>
        <v>0</v>
      </c>
      <c r="E655" s="118">
        <f>IF(OR($A655="",$Y570=0),0,E570/$Y570*Inputs!$S66)</f>
        <v>0</v>
      </c>
      <c r="F655" s="118">
        <f>IF(OR($A655="",$Y570=0),0,F570/$Y570*Inputs!$S66)</f>
        <v>0</v>
      </c>
      <c r="G655" s="118">
        <f>IF(OR($A655="",$Y570=0),0,G570/$Y570*Inputs!$S66)</f>
        <v>0</v>
      </c>
      <c r="H655" s="118">
        <f>IF(OR($A655="",$Y570=0),0,H570/$Y570*Inputs!$S66)</f>
        <v>0</v>
      </c>
      <c r="I655" s="118">
        <f>IF(OR($A655="",$Y570=0),0,I570/$Y570*Inputs!$S66)</f>
        <v>0</v>
      </c>
      <c r="J655" s="118">
        <f>IF(OR($A655="",$Y570=0),0,J570/$Y570*Inputs!$S66)</f>
        <v>0</v>
      </c>
      <c r="K655" s="118">
        <f>IF(OR($A655="",$Y570=0),0,K570/$Y570*Inputs!$S66)</f>
        <v>0</v>
      </c>
      <c r="L655" s="118">
        <f>IF(OR($A655="",$Y570=0),0,L570/$Y570*Inputs!$S66)</f>
        <v>0</v>
      </c>
      <c r="M655" s="118">
        <f>IF(OR($A655="",$Y570=0),0,M570/$Y570*Inputs!$S66)</f>
        <v>0</v>
      </c>
      <c r="N655" s="118">
        <f>IF(OR($A655="",$Y570=0),0,N570/$Y570*Inputs!$S66)</f>
        <v>0</v>
      </c>
      <c r="O655" s="118">
        <f>IF(OR($A655="",$Y570=0),0,O570/$Y570*Inputs!$S66)</f>
        <v>0</v>
      </c>
      <c r="P655" s="118">
        <f>IF(OR($A655="",$Y570=0),0,P570/$Y570*Inputs!$S66)</f>
        <v>0</v>
      </c>
      <c r="Q655" s="118">
        <f>IF(OR($A655="",$Y570=0),0,Q570/$Y570*Inputs!$S66)</f>
        <v>0</v>
      </c>
      <c r="R655" s="118">
        <f>IF(OR($A655="",$Y570=0),0,R570/$Y570*Inputs!$S66)</f>
        <v>0</v>
      </c>
      <c r="S655" s="118">
        <f>IF(OR($A655="",$Y570=0),0,S570/$Y570*Inputs!$S66)</f>
        <v>0</v>
      </c>
      <c r="T655" s="118">
        <f>IF(OR($A655="",$Y570=0),0,T570/$Y570*Inputs!$S66)</f>
        <v>0</v>
      </c>
      <c r="U655" s="118">
        <f>IF(OR($A655="",$Y570=0),0,U570/$Y570*Inputs!$S66)</f>
        <v>0</v>
      </c>
      <c r="V655" s="118">
        <f>IF(OR($A655="",$Y570=0),0,V570/$Y570*Inputs!$S66)</f>
        <v>0</v>
      </c>
      <c r="W655" s="118">
        <f>IF(OR($A655="",$Y570=0),0,W570/$Y570*Inputs!$S66)</f>
        <v>0</v>
      </c>
      <c r="X655" s="118">
        <f>IF(OR($A655="",$Y570=0),0,X570/$Y570*Inputs!$S66)</f>
        <v>0</v>
      </c>
      <c r="Y655" s="118">
        <f t="shared" si="128"/>
        <v>0</v>
      </c>
    </row>
    <row r="656" spans="1:25" x14ac:dyDescent="0.3">
      <c r="A656" s="116" t="str">
        <f>IF(Inputs!$A67="","",Inputs!$A67)</f>
        <v/>
      </c>
      <c r="B656" s="116"/>
      <c r="C656" s="116"/>
      <c r="D656" s="118">
        <f>IF(OR($A656="",$Y571=0),0,D571/$Y571*Inputs!$S67)</f>
        <v>0</v>
      </c>
      <c r="E656" s="118">
        <f>IF(OR($A656="",$Y571=0),0,E571/$Y571*Inputs!$S67)</f>
        <v>0</v>
      </c>
      <c r="F656" s="118">
        <f>IF(OR($A656="",$Y571=0),0,F571/$Y571*Inputs!$S67)</f>
        <v>0</v>
      </c>
      <c r="G656" s="118">
        <f>IF(OR($A656="",$Y571=0),0,G571/$Y571*Inputs!$S67)</f>
        <v>0</v>
      </c>
      <c r="H656" s="118">
        <f>IF(OR($A656="",$Y571=0),0,H571/$Y571*Inputs!$S67)</f>
        <v>0</v>
      </c>
      <c r="I656" s="118">
        <f>IF(OR($A656="",$Y571=0),0,I571/$Y571*Inputs!$S67)</f>
        <v>0</v>
      </c>
      <c r="J656" s="118">
        <f>IF(OR($A656="",$Y571=0),0,J571/$Y571*Inputs!$S67)</f>
        <v>0</v>
      </c>
      <c r="K656" s="118">
        <f>IF(OR($A656="",$Y571=0),0,K571/$Y571*Inputs!$S67)</f>
        <v>0</v>
      </c>
      <c r="L656" s="118">
        <f>IF(OR($A656="",$Y571=0),0,L571/$Y571*Inputs!$S67)</f>
        <v>0</v>
      </c>
      <c r="M656" s="118">
        <f>IF(OR($A656="",$Y571=0),0,M571/$Y571*Inputs!$S67)</f>
        <v>0</v>
      </c>
      <c r="N656" s="118">
        <f>IF(OR($A656="",$Y571=0),0,N571/$Y571*Inputs!$S67)</f>
        <v>0</v>
      </c>
      <c r="O656" s="118">
        <f>IF(OR($A656="",$Y571=0),0,O571/$Y571*Inputs!$S67)</f>
        <v>0</v>
      </c>
      <c r="P656" s="118">
        <f>IF(OR($A656="",$Y571=0),0,P571/$Y571*Inputs!$S67)</f>
        <v>0</v>
      </c>
      <c r="Q656" s="118">
        <f>IF(OR($A656="",$Y571=0),0,Q571/$Y571*Inputs!$S67)</f>
        <v>0</v>
      </c>
      <c r="R656" s="118">
        <f>IF(OR($A656="",$Y571=0),0,R571/$Y571*Inputs!$S67)</f>
        <v>0</v>
      </c>
      <c r="S656" s="118">
        <f>IF(OR($A656="",$Y571=0),0,S571/$Y571*Inputs!$S67)</f>
        <v>0</v>
      </c>
      <c r="T656" s="118">
        <f>IF(OR($A656="",$Y571=0),0,T571/$Y571*Inputs!$S67)</f>
        <v>0</v>
      </c>
      <c r="U656" s="118">
        <f>IF(OR($A656="",$Y571=0),0,U571/$Y571*Inputs!$S67)</f>
        <v>0</v>
      </c>
      <c r="V656" s="118">
        <f>IF(OR($A656="",$Y571=0),0,V571/$Y571*Inputs!$S67)</f>
        <v>0</v>
      </c>
      <c r="W656" s="118">
        <f>IF(OR($A656="",$Y571=0),0,W571/$Y571*Inputs!$S67)</f>
        <v>0</v>
      </c>
      <c r="X656" s="118">
        <f>IF(OR($A656="",$Y571=0),0,X571/$Y571*Inputs!$S67)</f>
        <v>0</v>
      </c>
      <c r="Y656" s="118">
        <f t="shared" si="128"/>
        <v>0</v>
      </c>
    </row>
    <row r="657" spans="1:25" x14ac:dyDescent="0.3">
      <c r="A657" s="116" t="str">
        <f>IF(Inputs!$A68="","",Inputs!$A68)</f>
        <v/>
      </c>
      <c r="B657" s="116"/>
      <c r="C657" s="116"/>
      <c r="D657" s="118">
        <f>IF(OR($A657="",$Y572=0),0,D572/$Y572*Inputs!$S68)</f>
        <v>0</v>
      </c>
      <c r="E657" s="118">
        <f>IF(OR($A657="",$Y572=0),0,E572/$Y572*Inputs!$S68)</f>
        <v>0</v>
      </c>
      <c r="F657" s="118">
        <f>IF(OR($A657="",$Y572=0),0,F572/$Y572*Inputs!$S68)</f>
        <v>0</v>
      </c>
      <c r="G657" s="118">
        <f>IF(OR($A657="",$Y572=0),0,G572/$Y572*Inputs!$S68)</f>
        <v>0</v>
      </c>
      <c r="H657" s="118">
        <f>IF(OR($A657="",$Y572=0),0,H572/$Y572*Inputs!$S68)</f>
        <v>0</v>
      </c>
      <c r="I657" s="118">
        <f>IF(OR($A657="",$Y572=0),0,I572/$Y572*Inputs!$S68)</f>
        <v>0</v>
      </c>
      <c r="J657" s="118">
        <f>IF(OR($A657="",$Y572=0),0,J572/$Y572*Inputs!$S68)</f>
        <v>0</v>
      </c>
      <c r="K657" s="118">
        <f>IF(OR($A657="",$Y572=0),0,K572/$Y572*Inputs!$S68)</f>
        <v>0</v>
      </c>
      <c r="L657" s="118">
        <f>IF(OR($A657="",$Y572=0),0,L572/$Y572*Inputs!$S68)</f>
        <v>0</v>
      </c>
      <c r="M657" s="118">
        <f>IF(OR($A657="",$Y572=0),0,M572/$Y572*Inputs!$S68)</f>
        <v>0</v>
      </c>
      <c r="N657" s="118">
        <f>IF(OR($A657="",$Y572=0),0,N572/$Y572*Inputs!$S68)</f>
        <v>0</v>
      </c>
      <c r="O657" s="118">
        <f>IF(OR($A657="",$Y572=0),0,O572/$Y572*Inputs!$S68)</f>
        <v>0</v>
      </c>
      <c r="P657" s="118">
        <f>IF(OR($A657="",$Y572=0),0,P572/$Y572*Inputs!$S68)</f>
        <v>0</v>
      </c>
      <c r="Q657" s="118">
        <f>IF(OR($A657="",$Y572=0),0,Q572/$Y572*Inputs!$S68)</f>
        <v>0</v>
      </c>
      <c r="R657" s="118">
        <f>IF(OR($A657="",$Y572=0),0,R572/$Y572*Inputs!$S68)</f>
        <v>0</v>
      </c>
      <c r="S657" s="118">
        <f>IF(OR($A657="",$Y572=0),0,S572/$Y572*Inputs!$S68)</f>
        <v>0</v>
      </c>
      <c r="T657" s="118">
        <f>IF(OR($A657="",$Y572=0),0,T572/$Y572*Inputs!$S68)</f>
        <v>0</v>
      </c>
      <c r="U657" s="118">
        <f>IF(OR($A657="",$Y572=0),0,U572/$Y572*Inputs!$S68)</f>
        <v>0</v>
      </c>
      <c r="V657" s="118">
        <f>IF(OR($A657="",$Y572=0),0,V572/$Y572*Inputs!$S68)</f>
        <v>0</v>
      </c>
      <c r="W657" s="118">
        <f>IF(OR($A657="",$Y572=0),0,W572/$Y572*Inputs!$S68)</f>
        <v>0</v>
      </c>
      <c r="X657" s="118">
        <f>IF(OR($A657="",$Y572=0),0,X572/$Y572*Inputs!$S68)</f>
        <v>0</v>
      </c>
      <c r="Y657" s="118">
        <f t="shared" si="128"/>
        <v>0</v>
      </c>
    </row>
    <row r="658" spans="1:25" x14ac:dyDescent="0.3">
      <c r="A658" s="116" t="str">
        <f>IF(Inputs!$A69="","",Inputs!$A69)</f>
        <v/>
      </c>
      <c r="B658" s="116"/>
      <c r="C658" s="116"/>
      <c r="D658" s="118">
        <f>IF(OR($A658="",$Y573=0),0,D573/$Y573*Inputs!$S69)</f>
        <v>0</v>
      </c>
      <c r="E658" s="118">
        <f>IF(OR($A658="",$Y573=0),0,E573/$Y573*Inputs!$S69)</f>
        <v>0</v>
      </c>
      <c r="F658" s="118">
        <f>IF(OR($A658="",$Y573=0),0,F573/$Y573*Inputs!$S69)</f>
        <v>0</v>
      </c>
      <c r="G658" s="118">
        <f>IF(OR($A658="",$Y573=0),0,G573/$Y573*Inputs!$S69)</f>
        <v>0</v>
      </c>
      <c r="H658" s="118">
        <f>IF(OR($A658="",$Y573=0),0,H573/$Y573*Inputs!$S69)</f>
        <v>0</v>
      </c>
      <c r="I658" s="118">
        <f>IF(OR($A658="",$Y573=0),0,I573/$Y573*Inputs!$S69)</f>
        <v>0</v>
      </c>
      <c r="J658" s="118">
        <f>IF(OR($A658="",$Y573=0),0,J573/$Y573*Inputs!$S69)</f>
        <v>0</v>
      </c>
      <c r="K658" s="118">
        <f>IF(OR($A658="",$Y573=0),0,K573/$Y573*Inputs!$S69)</f>
        <v>0</v>
      </c>
      <c r="L658" s="118">
        <f>IF(OR($A658="",$Y573=0),0,L573/$Y573*Inputs!$S69)</f>
        <v>0</v>
      </c>
      <c r="M658" s="118">
        <f>IF(OR($A658="",$Y573=0),0,M573/$Y573*Inputs!$S69)</f>
        <v>0</v>
      </c>
      <c r="N658" s="118">
        <f>IF(OR($A658="",$Y573=0),0,N573/$Y573*Inputs!$S69)</f>
        <v>0</v>
      </c>
      <c r="O658" s="118">
        <f>IF(OR($A658="",$Y573=0),0,O573/$Y573*Inputs!$S69)</f>
        <v>0</v>
      </c>
      <c r="P658" s="118">
        <f>IF(OR($A658="",$Y573=0),0,P573/$Y573*Inputs!$S69)</f>
        <v>0</v>
      </c>
      <c r="Q658" s="118">
        <f>IF(OR($A658="",$Y573=0),0,Q573/$Y573*Inputs!$S69)</f>
        <v>0</v>
      </c>
      <c r="R658" s="118">
        <f>IF(OR($A658="",$Y573=0),0,R573/$Y573*Inputs!$S69)</f>
        <v>0</v>
      </c>
      <c r="S658" s="118">
        <f>IF(OR($A658="",$Y573=0),0,S573/$Y573*Inputs!$S69)</f>
        <v>0</v>
      </c>
      <c r="T658" s="118">
        <f>IF(OR($A658="",$Y573=0),0,T573/$Y573*Inputs!$S69)</f>
        <v>0</v>
      </c>
      <c r="U658" s="118">
        <f>IF(OR($A658="",$Y573=0),0,U573/$Y573*Inputs!$S69)</f>
        <v>0</v>
      </c>
      <c r="V658" s="118">
        <f>IF(OR($A658="",$Y573=0),0,V573/$Y573*Inputs!$S69)</f>
        <v>0</v>
      </c>
      <c r="W658" s="118">
        <f>IF(OR($A658="",$Y573=0),0,W573/$Y573*Inputs!$S69)</f>
        <v>0</v>
      </c>
      <c r="X658" s="118">
        <f>IF(OR($A658="",$Y573=0),0,X573/$Y573*Inputs!$S69)</f>
        <v>0</v>
      </c>
      <c r="Y658" s="118">
        <f t="shared" si="128"/>
        <v>0</v>
      </c>
    </row>
    <row r="659" spans="1:25" x14ac:dyDescent="0.3">
      <c r="A659" s="116" t="str">
        <f>IF(Inputs!$A70="","",Inputs!$A70)</f>
        <v/>
      </c>
      <c r="B659" s="116"/>
      <c r="C659" s="116"/>
      <c r="D659" s="118">
        <f>IF(OR($A659="",$Y574=0),0,D574/$Y574*Inputs!$S70)</f>
        <v>0</v>
      </c>
      <c r="E659" s="118">
        <f>IF(OR($A659="",$Y574=0),0,E574/$Y574*Inputs!$S70)</f>
        <v>0</v>
      </c>
      <c r="F659" s="118">
        <f>IF(OR($A659="",$Y574=0),0,F574/$Y574*Inputs!$S70)</f>
        <v>0</v>
      </c>
      <c r="G659" s="118">
        <f>IF(OR($A659="",$Y574=0),0,G574/$Y574*Inputs!$S70)</f>
        <v>0</v>
      </c>
      <c r="H659" s="118">
        <f>IF(OR($A659="",$Y574=0),0,H574/$Y574*Inputs!$S70)</f>
        <v>0</v>
      </c>
      <c r="I659" s="118">
        <f>IF(OR($A659="",$Y574=0),0,I574/$Y574*Inputs!$S70)</f>
        <v>0</v>
      </c>
      <c r="J659" s="118">
        <f>IF(OR($A659="",$Y574=0),0,J574/$Y574*Inputs!$S70)</f>
        <v>0</v>
      </c>
      <c r="K659" s="118">
        <f>IF(OR($A659="",$Y574=0),0,K574/$Y574*Inputs!$S70)</f>
        <v>0</v>
      </c>
      <c r="L659" s="118">
        <f>IF(OR($A659="",$Y574=0),0,L574/$Y574*Inputs!$S70)</f>
        <v>0</v>
      </c>
      <c r="M659" s="118">
        <f>IF(OR($A659="",$Y574=0),0,M574/$Y574*Inputs!$S70)</f>
        <v>0</v>
      </c>
      <c r="N659" s="118">
        <f>IF(OR($A659="",$Y574=0),0,N574/$Y574*Inputs!$S70)</f>
        <v>0</v>
      </c>
      <c r="O659" s="118">
        <f>IF(OR($A659="",$Y574=0),0,O574/$Y574*Inputs!$S70)</f>
        <v>0</v>
      </c>
      <c r="P659" s="118">
        <f>IF(OR($A659="",$Y574=0),0,P574/$Y574*Inputs!$S70)</f>
        <v>0</v>
      </c>
      <c r="Q659" s="118">
        <f>IF(OR($A659="",$Y574=0),0,Q574/$Y574*Inputs!$S70)</f>
        <v>0</v>
      </c>
      <c r="R659" s="118">
        <f>IF(OR($A659="",$Y574=0),0,R574/$Y574*Inputs!$S70)</f>
        <v>0</v>
      </c>
      <c r="S659" s="118">
        <f>IF(OR($A659="",$Y574=0),0,S574/$Y574*Inputs!$S70)</f>
        <v>0</v>
      </c>
      <c r="T659" s="118">
        <f>IF(OR($A659="",$Y574=0),0,T574/$Y574*Inputs!$S70)</f>
        <v>0</v>
      </c>
      <c r="U659" s="118">
        <f>IF(OR($A659="",$Y574=0),0,U574/$Y574*Inputs!$S70)</f>
        <v>0</v>
      </c>
      <c r="V659" s="118">
        <f>IF(OR($A659="",$Y574=0),0,V574/$Y574*Inputs!$S70)</f>
        <v>0</v>
      </c>
      <c r="W659" s="118">
        <f>IF(OR($A659="",$Y574=0),0,W574/$Y574*Inputs!$S70)</f>
        <v>0</v>
      </c>
      <c r="X659" s="118">
        <f>IF(OR($A659="",$Y574=0),0,X574/$Y574*Inputs!$S70)</f>
        <v>0</v>
      </c>
      <c r="Y659" s="118">
        <f t="shared" ref="Y659:Y674" si="129">SUM(D659:X659)</f>
        <v>0</v>
      </c>
    </row>
    <row r="660" spans="1:25" x14ac:dyDescent="0.3">
      <c r="A660" s="116" t="str">
        <f>IF(Inputs!$A71="","",Inputs!$A71)</f>
        <v/>
      </c>
      <c r="B660" s="116"/>
      <c r="C660" s="116"/>
      <c r="D660" s="118">
        <f>IF(OR($A660="",$Y575=0),0,D575/$Y575*Inputs!$S71)</f>
        <v>0</v>
      </c>
      <c r="E660" s="118">
        <f>IF(OR($A660="",$Y575=0),0,E575/$Y575*Inputs!$S71)</f>
        <v>0</v>
      </c>
      <c r="F660" s="118">
        <f>IF(OR($A660="",$Y575=0),0,F575/$Y575*Inputs!$S71)</f>
        <v>0</v>
      </c>
      <c r="G660" s="118">
        <f>IF(OR($A660="",$Y575=0),0,G575/$Y575*Inputs!$S71)</f>
        <v>0</v>
      </c>
      <c r="H660" s="118">
        <f>IF(OR($A660="",$Y575=0),0,H575/$Y575*Inputs!$S71)</f>
        <v>0</v>
      </c>
      <c r="I660" s="118">
        <f>IF(OR($A660="",$Y575=0),0,I575/$Y575*Inputs!$S71)</f>
        <v>0</v>
      </c>
      <c r="J660" s="118">
        <f>IF(OR($A660="",$Y575=0),0,J575/$Y575*Inputs!$S71)</f>
        <v>0</v>
      </c>
      <c r="K660" s="118">
        <f>IF(OR($A660="",$Y575=0),0,K575/$Y575*Inputs!$S71)</f>
        <v>0</v>
      </c>
      <c r="L660" s="118">
        <f>IF(OR($A660="",$Y575=0),0,L575/$Y575*Inputs!$S71)</f>
        <v>0</v>
      </c>
      <c r="M660" s="118">
        <f>IF(OR($A660="",$Y575=0),0,M575/$Y575*Inputs!$S71)</f>
        <v>0</v>
      </c>
      <c r="N660" s="118">
        <f>IF(OR($A660="",$Y575=0),0,N575/$Y575*Inputs!$S71)</f>
        <v>0</v>
      </c>
      <c r="O660" s="118">
        <f>IF(OR($A660="",$Y575=0),0,O575/$Y575*Inputs!$S71)</f>
        <v>0</v>
      </c>
      <c r="P660" s="118">
        <f>IF(OR($A660="",$Y575=0),0,P575/$Y575*Inputs!$S71)</f>
        <v>0</v>
      </c>
      <c r="Q660" s="118">
        <f>IF(OR($A660="",$Y575=0),0,Q575/$Y575*Inputs!$S71)</f>
        <v>0</v>
      </c>
      <c r="R660" s="118">
        <f>IF(OR($A660="",$Y575=0),0,R575/$Y575*Inputs!$S71)</f>
        <v>0</v>
      </c>
      <c r="S660" s="118">
        <f>IF(OR($A660="",$Y575=0),0,S575/$Y575*Inputs!$S71)</f>
        <v>0</v>
      </c>
      <c r="T660" s="118">
        <f>IF(OR($A660="",$Y575=0),0,T575/$Y575*Inputs!$S71)</f>
        <v>0</v>
      </c>
      <c r="U660" s="118">
        <f>IF(OR($A660="",$Y575=0),0,U575/$Y575*Inputs!$S71)</f>
        <v>0</v>
      </c>
      <c r="V660" s="118">
        <f>IF(OR($A660="",$Y575=0),0,V575/$Y575*Inputs!$S71)</f>
        <v>0</v>
      </c>
      <c r="W660" s="118">
        <f>IF(OR($A660="",$Y575=0),0,W575/$Y575*Inputs!$S71)</f>
        <v>0</v>
      </c>
      <c r="X660" s="118">
        <f>IF(OR($A660="",$Y575=0),0,X575/$Y575*Inputs!$S71)</f>
        <v>0</v>
      </c>
      <c r="Y660" s="118">
        <f t="shared" si="129"/>
        <v>0</v>
      </c>
    </row>
    <row r="661" spans="1:25" x14ac:dyDescent="0.3">
      <c r="A661" s="116" t="str">
        <f>IF(Inputs!$A72="","",Inputs!$A72)</f>
        <v/>
      </c>
      <c r="B661" s="116"/>
      <c r="C661" s="116"/>
      <c r="D661" s="118">
        <f>IF(OR($A661="",$Y576=0),0,D576/$Y576*Inputs!$S72)</f>
        <v>0</v>
      </c>
      <c r="E661" s="118">
        <f>IF(OR($A661="",$Y576=0),0,E576/$Y576*Inputs!$S72)</f>
        <v>0</v>
      </c>
      <c r="F661" s="118">
        <f>IF(OR($A661="",$Y576=0),0,F576/$Y576*Inputs!$S72)</f>
        <v>0</v>
      </c>
      <c r="G661" s="118">
        <f>IF(OR($A661="",$Y576=0),0,G576/$Y576*Inputs!$S72)</f>
        <v>0</v>
      </c>
      <c r="H661" s="118">
        <f>IF(OR($A661="",$Y576=0),0,H576/$Y576*Inputs!$S72)</f>
        <v>0</v>
      </c>
      <c r="I661" s="118">
        <f>IF(OR($A661="",$Y576=0),0,I576/$Y576*Inputs!$S72)</f>
        <v>0</v>
      </c>
      <c r="J661" s="118">
        <f>IF(OR($A661="",$Y576=0),0,J576/$Y576*Inputs!$S72)</f>
        <v>0</v>
      </c>
      <c r="K661" s="118">
        <f>IF(OR($A661="",$Y576=0),0,K576/$Y576*Inputs!$S72)</f>
        <v>0</v>
      </c>
      <c r="L661" s="118">
        <f>IF(OR($A661="",$Y576=0),0,L576/$Y576*Inputs!$S72)</f>
        <v>0</v>
      </c>
      <c r="M661" s="118">
        <f>IF(OR($A661="",$Y576=0),0,M576/$Y576*Inputs!$S72)</f>
        <v>0</v>
      </c>
      <c r="N661" s="118">
        <f>IF(OR($A661="",$Y576=0),0,N576/$Y576*Inputs!$S72)</f>
        <v>0</v>
      </c>
      <c r="O661" s="118">
        <f>IF(OR($A661="",$Y576=0),0,O576/$Y576*Inputs!$S72)</f>
        <v>0</v>
      </c>
      <c r="P661" s="118">
        <f>IF(OR($A661="",$Y576=0),0,P576/$Y576*Inputs!$S72)</f>
        <v>0</v>
      </c>
      <c r="Q661" s="118">
        <f>IF(OR($A661="",$Y576=0),0,Q576/$Y576*Inputs!$S72)</f>
        <v>0</v>
      </c>
      <c r="R661" s="118">
        <f>IF(OR($A661="",$Y576=0),0,R576/$Y576*Inputs!$S72)</f>
        <v>0</v>
      </c>
      <c r="S661" s="118">
        <f>IF(OR($A661="",$Y576=0),0,S576/$Y576*Inputs!$S72)</f>
        <v>0</v>
      </c>
      <c r="T661" s="118">
        <f>IF(OR($A661="",$Y576=0),0,T576/$Y576*Inputs!$S72)</f>
        <v>0</v>
      </c>
      <c r="U661" s="118">
        <f>IF(OR($A661="",$Y576=0),0,U576/$Y576*Inputs!$S72)</f>
        <v>0</v>
      </c>
      <c r="V661" s="118">
        <f>IF(OR($A661="",$Y576=0),0,V576/$Y576*Inputs!$S72)</f>
        <v>0</v>
      </c>
      <c r="W661" s="118">
        <f>IF(OR($A661="",$Y576=0),0,W576/$Y576*Inputs!$S72)</f>
        <v>0</v>
      </c>
      <c r="X661" s="118">
        <f>IF(OR($A661="",$Y576=0),0,X576/$Y576*Inputs!$S72)</f>
        <v>0</v>
      </c>
      <c r="Y661" s="118">
        <f t="shared" si="129"/>
        <v>0</v>
      </c>
    </row>
    <row r="662" spans="1:25" x14ac:dyDescent="0.3">
      <c r="A662" s="116" t="str">
        <f>IF(Inputs!$A73="","",Inputs!$A73)</f>
        <v/>
      </c>
      <c r="B662" s="116"/>
      <c r="C662" s="116"/>
      <c r="D662" s="118">
        <f>IF(OR($A662="",$Y577=0),0,D577/$Y577*Inputs!$S73)</f>
        <v>0</v>
      </c>
      <c r="E662" s="118">
        <f>IF(OR($A662="",$Y577=0),0,E577/$Y577*Inputs!$S73)</f>
        <v>0</v>
      </c>
      <c r="F662" s="118">
        <f>IF(OR($A662="",$Y577=0),0,F577/$Y577*Inputs!$S73)</f>
        <v>0</v>
      </c>
      <c r="G662" s="118">
        <f>IF(OR($A662="",$Y577=0),0,G577/$Y577*Inputs!$S73)</f>
        <v>0</v>
      </c>
      <c r="H662" s="118">
        <f>IF(OR($A662="",$Y577=0),0,H577/$Y577*Inputs!$S73)</f>
        <v>0</v>
      </c>
      <c r="I662" s="118">
        <f>IF(OR($A662="",$Y577=0),0,I577/$Y577*Inputs!$S73)</f>
        <v>0</v>
      </c>
      <c r="J662" s="118">
        <f>IF(OR($A662="",$Y577=0),0,J577/$Y577*Inputs!$S73)</f>
        <v>0</v>
      </c>
      <c r="K662" s="118">
        <f>IF(OR($A662="",$Y577=0),0,K577/$Y577*Inputs!$S73)</f>
        <v>0</v>
      </c>
      <c r="L662" s="118">
        <f>IF(OR($A662="",$Y577=0),0,L577/$Y577*Inputs!$S73)</f>
        <v>0</v>
      </c>
      <c r="M662" s="118">
        <f>IF(OR($A662="",$Y577=0),0,M577/$Y577*Inputs!$S73)</f>
        <v>0</v>
      </c>
      <c r="N662" s="118">
        <f>IF(OR($A662="",$Y577=0),0,N577/$Y577*Inputs!$S73)</f>
        <v>0</v>
      </c>
      <c r="O662" s="118">
        <f>IF(OR($A662="",$Y577=0),0,O577/$Y577*Inputs!$S73)</f>
        <v>0</v>
      </c>
      <c r="P662" s="118">
        <f>IF(OR($A662="",$Y577=0),0,P577/$Y577*Inputs!$S73)</f>
        <v>0</v>
      </c>
      <c r="Q662" s="118">
        <f>IF(OR($A662="",$Y577=0),0,Q577/$Y577*Inputs!$S73)</f>
        <v>0</v>
      </c>
      <c r="R662" s="118">
        <f>IF(OR($A662="",$Y577=0),0,R577/$Y577*Inputs!$S73)</f>
        <v>0</v>
      </c>
      <c r="S662" s="118">
        <f>IF(OR($A662="",$Y577=0),0,S577/$Y577*Inputs!$S73)</f>
        <v>0</v>
      </c>
      <c r="T662" s="118">
        <f>IF(OR($A662="",$Y577=0),0,T577/$Y577*Inputs!$S73)</f>
        <v>0</v>
      </c>
      <c r="U662" s="118">
        <f>IF(OR($A662="",$Y577=0),0,U577/$Y577*Inputs!$S73)</f>
        <v>0</v>
      </c>
      <c r="V662" s="118">
        <f>IF(OR($A662="",$Y577=0),0,V577/$Y577*Inputs!$S73)</f>
        <v>0</v>
      </c>
      <c r="W662" s="118">
        <f>IF(OR($A662="",$Y577=0),0,W577/$Y577*Inputs!$S73)</f>
        <v>0</v>
      </c>
      <c r="X662" s="118">
        <f>IF(OR($A662="",$Y577=0),0,X577/$Y577*Inputs!$S73)</f>
        <v>0</v>
      </c>
      <c r="Y662" s="118">
        <f t="shared" si="129"/>
        <v>0</v>
      </c>
    </row>
    <row r="663" spans="1:25" x14ac:dyDescent="0.3">
      <c r="A663" s="116" t="str">
        <f>IF(Inputs!$A74="","",Inputs!$A74)</f>
        <v/>
      </c>
      <c r="B663" s="116"/>
      <c r="C663" s="116"/>
      <c r="D663" s="118">
        <f>IF(OR($A663="",$Y578=0),0,D578/$Y578*Inputs!$S74)</f>
        <v>0</v>
      </c>
      <c r="E663" s="118">
        <f>IF(OR($A663="",$Y578=0),0,E578/$Y578*Inputs!$S74)</f>
        <v>0</v>
      </c>
      <c r="F663" s="118">
        <f>IF(OR($A663="",$Y578=0),0,F578/$Y578*Inputs!$S74)</f>
        <v>0</v>
      </c>
      <c r="G663" s="118">
        <f>IF(OR($A663="",$Y578=0),0,G578/$Y578*Inputs!$S74)</f>
        <v>0</v>
      </c>
      <c r="H663" s="118">
        <f>IF(OR($A663="",$Y578=0),0,H578/$Y578*Inputs!$S74)</f>
        <v>0</v>
      </c>
      <c r="I663" s="118">
        <f>IF(OR($A663="",$Y578=0),0,I578/$Y578*Inputs!$S74)</f>
        <v>0</v>
      </c>
      <c r="J663" s="118">
        <f>IF(OR($A663="",$Y578=0),0,J578/$Y578*Inputs!$S74)</f>
        <v>0</v>
      </c>
      <c r="K663" s="118">
        <f>IF(OR($A663="",$Y578=0),0,K578/$Y578*Inputs!$S74)</f>
        <v>0</v>
      </c>
      <c r="L663" s="118">
        <f>IF(OR($A663="",$Y578=0),0,L578/$Y578*Inputs!$S74)</f>
        <v>0</v>
      </c>
      <c r="M663" s="118">
        <f>IF(OR($A663="",$Y578=0),0,M578/$Y578*Inputs!$S74)</f>
        <v>0</v>
      </c>
      <c r="N663" s="118">
        <f>IF(OR($A663="",$Y578=0),0,N578/$Y578*Inputs!$S74)</f>
        <v>0</v>
      </c>
      <c r="O663" s="118">
        <f>IF(OR($A663="",$Y578=0),0,O578/$Y578*Inputs!$S74)</f>
        <v>0</v>
      </c>
      <c r="P663" s="118">
        <f>IF(OR($A663="",$Y578=0),0,P578/$Y578*Inputs!$S74)</f>
        <v>0</v>
      </c>
      <c r="Q663" s="118">
        <f>IF(OR($A663="",$Y578=0),0,Q578/$Y578*Inputs!$S74)</f>
        <v>0</v>
      </c>
      <c r="R663" s="118">
        <f>IF(OR($A663="",$Y578=0),0,R578/$Y578*Inputs!$S74)</f>
        <v>0</v>
      </c>
      <c r="S663" s="118">
        <f>IF(OR($A663="",$Y578=0),0,S578/$Y578*Inputs!$S74)</f>
        <v>0</v>
      </c>
      <c r="T663" s="118">
        <f>IF(OR($A663="",$Y578=0),0,T578/$Y578*Inputs!$S74)</f>
        <v>0</v>
      </c>
      <c r="U663" s="118">
        <f>IF(OR($A663="",$Y578=0),0,U578/$Y578*Inputs!$S74)</f>
        <v>0</v>
      </c>
      <c r="V663" s="118">
        <f>IF(OR($A663="",$Y578=0),0,V578/$Y578*Inputs!$S74)</f>
        <v>0</v>
      </c>
      <c r="W663" s="118">
        <f>IF(OR($A663="",$Y578=0),0,W578/$Y578*Inputs!$S74)</f>
        <v>0</v>
      </c>
      <c r="X663" s="118">
        <f>IF(OR($A663="",$Y578=0),0,X578/$Y578*Inputs!$S74)</f>
        <v>0</v>
      </c>
      <c r="Y663" s="118">
        <f t="shared" si="129"/>
        <v>0</v>
      </c>
    </row>
    <row r="664" spans="1:25" x14ac:dyDescent="0.3">
      <c r="A664" s="116" t="str">
        <f>IF(Inputs!$A75="","",Inputs!$A75)</f>
        <v/>
      </c>
      <c r="B664" s="116"/>
      <c r="C664" s="116"/>
      <c r="D664" s="118">
        <f>IF(OR($A664="",$Y579=0),0,D579/$Y579*Inputs!$S75)</f>
        <v>0</v>
      </c>
      <c r="E664" s="118">
        <f>IF(OR($A664="",$Y579=0),0,E579/$Y579*Inputs!$S75)</f>
        <v>0</v>
      </c>
      <c r="F664" s="118">
        <f>IF(OR($A664="",$Y579=0),0,F579/$Y579*Inputs!$S75)</f>
        <v>0</v>
      </c>
      <c r="G664" s="118">
        <f>IF(OR($A664="",$Y579=0),0,G579/$Y579*Inputs!$S75)</f>
        <v>0</v>
      </c>
      <c r="H664" s="118">
        <f>IF(OR($A664="",$Y579=0),0,H579/$Y579*Inputs!$S75)</f>
        <v>0</v>
      </c>
      <c r="I664" s="118">
        <f>IF(OR($A664="",$Y579=0),0,I579/$Y579*Inputs!$S75)</f>
        <v>0</v>
      </c>
      <c r="J664" s="118">
        <f>IF(OR($A664="",$Y579=0),0,J579/$Y579*Inputs!$S75)</f>
        <v>0</v>
      </c>
      <c r="K664" s="118">
        <f>IF(OR($A664="",$Y579=0),0,K579/$Y579*Inputs!$S75)</f>
        <v>0</v>
      </c>
      <c r="L664" s="118">
        <f>IF(OR($A664="",$Y579=0),0,L579/$Y579*Inputs!$S75)</f>
        <v>0</v>
      </c>
      <c r="M664" s="118">
        <f>IF(OR($A664="",$Y579=0),0,M579/$Y579*Inputs!$S75)</f>
        <v>0</v>
      </c>
      <c r="N664" s="118">
        <f>IF(OR($A664="",$Y579=0),0,N579/$Y579*Inputs!$S75)</f>
        <v>0</v>
      </c>
      <c r="O664" s="118">
        <f>IF(OR($A664="",$Y579=0),0,O579/$Y579*Inputs!$S75)</f>
        <v>0</v>
      </c>
      <c r="P664" s="118">
        <f>IF(OR($A664="",$Y579=0),0,P579/$Y579*Inputs!$S75)</f>
        <v>0</v>
      </c>
      <c r="Q664" s="118">
        <f>IF(OR($A664="",$Y579=0),0,Q579/$Y579*Inputs!$S75)</f>
        <v>0</v>
      </c>
      <c r="R664" s="118">
        <f>IF(OR($A664="",$Y579=0),0,R579/$Y579*Inputs!$S75)</f>
        <v>0</v>
      </c>
      <c r="S664" s="118">
        <f>IF(OR($A664="",$Y579=0),0,S579/$Y579*Inputs!$S75)</f>
        <v>0</v>
      </c>
      <c r="T664" s="118">
        <f>IF(OR($A664="",$Y579=0),0,T579/$Y579*Inputs!$S75)</f>
        <v>0</v>
      </c>
      <c r="U664" s="118">
        <f>IF(OR($A664="",$Y579=0),0,U579/$Y579*Inputs!$S75)</f>
        <v>0</v>
      </c>
      <c r="V664" s="118">
        <f>IF(OR($A664="",$Y579=0),0,V579/$Y579*Inputs!$S75)</f>
        <v>0</v>
      </c>
      <c r="W664" s="118">
        <f>IF(OR($A664="",$Y579=0),0,W579/$Y579*Inputs!$S75)</f>
        <v>0</v>
      </c>
      <c r="X664" s="118">
        <f>IF(OR($A664="",$Y579=0),0,X579/$Y579*Inputs!$S75)</f>
        <v>0</v>
      </c>
      <c r="Y664" s="118">
        <f t="shared" si="129"/>
        <v>0</v>
      </c>
    </row>
    <row r="665" spans="1:25" x14ac:dyDescent="0.3">
      <c r="A665" s="116" t="str">
        <f>IF(Inputs!$A76="","",Inputs!$A76)</f>
        <v/>
      </c>
      <c r="B665" s="116"/>
      <c r="C665" s="116"/>
      <c r="D665" s="118">
        <f>IF(OR($A665="",$Y580=0),0,D580/$Y580*Inputs!$S76)</f>
        <v>0</v>
      </c>
      <c r="E665" s="118">
        <f>IF(OR($A665="",$Y580=0),0,E580/$Y580*Inputs!$S76)</f>
        <v>0</v>
      </c>
      <c r="F665" s="118">
        <f>IF(OR($A665="",$Y580=0),0,F580/$Y580*Inputs!$S76)</f>
        <v>0</v>
      </c>
      <c r="G665" s="118">
        <f>IF(OR($A665="",$Y580=0),0,G580/$Y580*Inputs!$S76)</f>
        <v>0</v>
      </c>
      <c r="H665" s="118">
        <f>IF(OR($A665="",$Y580=0),0,H580/$Y580*Inputs!$S76)</f>
        <v>0</v>
      </c>
      <c r="I665" s="118">
        <f>IF(OR($A665="",$Y580=0),0,I580/$Y580*Inputs!$S76)</f>
        <v>0</v>
      </c>
      <c r="J665" s="118">
        <f>IF(OR($A665="",$Y580=0),0,J580/$Y580*Inputs!$S76)</f>
        <v>0</v>
      </c>
      <c r="K665" s="118">
        <f>IF(OR($A665="",$Y580=0),0,K580/$Y580*Inputs!$S76)</f>
        <v>0</v>
      </c>
      <c r="L665" s="118">
        <f>IF(OR($A665="",$Y580=0),0,L580/$Y580*Inputs!$S76)</f>
        <v>0</v>
      </c>
      <c r="M665" s="118">
        <f>IF(OR($A665="",$Y580=0),0,M580/$Y580*Inputs!$S76)</f>
        <v>0</v>
      </c>
      <c r="N665" s="118">
        <f>IF(OR($A665="",$Y580=0),0,N580/$Y580*Inputs!$S76)</f>
        <v>0</v>
      </c>
      <c r="O665" s="118">
        <f>IF(OR($A665="",$Y580=0),0,O580/$Y580*Inputs!$S76)</f>
        <v>0</v>
      </c>
      <c r="P665" s="118">
        <f>IF(OR($A665="",$Y580=0),0,P580/$Y580*Inputs!$S76)</f>
        <v>0</v>
      </c>
      <c r="Q665" s="118">
        <f>IF(OR($A665="",$Y580=0),0,Q580/$Y580*Inputs!$S76)</f>
        <v>0</v>
      </c>
      <c r="R665" s="118">
        <f>IF(OR($A665="",$Y580=0),0,R580/$Y580*Inputs!$S76)</f>
        <v>0</v>
      </c>
      <c r="S665" s="118">
        <f>IF(OR($A665="",$Y580=0),0,S580/$Y580*Inputs!$S76)</f>
        <v>0</v>
      </c>
      <c r="T665" s="118">
        <f>IF(OR($A665="",$Y580=0),0,T580/$Y580*Inputs!$S76)</f>
        <v>0</v>
      </c>
      <c r="U665" s="118">
        <f>IF(OR($A665="",$Y580=0),0,U580/$Y580*Inputs!$S76)</f>
        <v>0</v>
      </c>
      <c r="V665" s="118">
        <f>IF(OR($A665="",$Y580=0),0,V580/$Y580*Inputs!$S76)</f>
        <v>0</v>
      </c>
      <c r="W665" s="118">
        <f>IF(OR($A665="",$Y580=0),0,W580/$Y580*Inputs!$S76)</f>
        <v>0</v>
      </c>
      <c r="X665" s="118">
        <f>IF(OR($A665="",$Y580=0),0,X580/$Y580*Inputs!$S76)</f>
        <v>0</v>
      </c>
      <c r="Y665" s="118">
        <f t="shared" si="129"/>
        <v>0</v>
      </c>
    </row>
    <row r="666" spans="1:25" x14ac:dyDescent="0.3">
      <c r="A666" s="116" t="str">
        <f>IF(Inputs!$A77="","",Inputs!$A77)</f>
        <v/>
      </c>
      <c r="B666" s="116"/>
      <c r="C666" s="116"/>
      <c r="D666" s="118">
        <f>IF(OR($A666="",$Y581=0),0,D581/$Y581*Inputs!$S77)</f>
        <v>0</v>
      </c>
      <c r="E666" s="118">
        <f>IF(OR($A666="",$Y581=0),0,E581/$Y581*Inputs!$S77)</f>
        <v>0</v>
      </c>
      <c r="F666" s="118">
        <f>IF(OR($A666="",$Y581=0),0,F581/$Y581*Inputs!$S77)</f>
        <v>0</v>
      </c>
      <c r="G666" s="118">
        <f>IF(OR($A666="",$Y581=0),0,G581/$Y581*Inputs!$S77)</f>
        <v>0</v>
      </c>
      <c r="H666" s="118">
        <f>IF(OR($A666="",$Y581=0),0,H581/$Y581*Inputs!$S77)</f>
        <v>0</v>
      </c>
      <c r="I666" s="118">
        <f>IF(OR($A666="",$Y581=0),0,I581/$Y581*Inputs!$S77)</f>
        <v>0</v>
      </c>
      <c r="J666" s="118">
        <f>IF(OR($A666="",$Y581=0),0,J581/$Y581*Inputs!$S77)</f>
        <v>0</v>
      </c>
      <c r="K666" s="118">
        <f>IF(OR($A666="",$Y581=0),0,K581/$Y581*Inputs!$S77)</f>
        <v>0</v>
      </c>
      <c r="L666" s="118">
        <f>IF(OR($A666="",$Y581=0),0,L581/$Y581*Inputs!$S77)</f>
        <v>0</v>
      </c>
      <c r="M666" s="118">
        <f>IF(OR($A666="",$Y581=0),0,M581/$Y581*Inputs!$S77)</f>
        <v>0</v>
      </c>
      <c r="N666" s="118">
        <f>IF(OR($A666="",$Y581=0),0,N581/$Y581*Inputs!$S77)</f>
        <v>0</v>
      </c>
      <c r="O666" s="118">
        <f>IF(OR($A666="",$Y581=0),0,O581/$Y581*Inputs!$S77)</f>
        <v>0</v>
      </c>
      <c r="P666" s="118">
        <f>IF(OR($A666="",$Y581=0),0,P581/$Y581*Inputs!$S77)</f>
        <v>0</v>
      </c>
      <c r="Q666" s="118">
        <f>IF(OR($A666="",$Y581=0),0,Q581/$Y581*Inputs!$S77)</f>
        <v>0</v>
      </c>
      <c r="R666" s="118">
        <f>IF(OR($A666="",$Y581=0),0,R581/$Y581*Inputs!$S77)</f>
        <v>0</v>
      </c>
      <c r="S666" s="118">
        <f>IF(OR($A666="",$Y581=0),0,S581/$Y581*Inputs!$S77)</f>
        <v>0</v>
      </c>
      <c r="T666" s="118">
        <f>IF(OR($A666="",$Y581=0),0,T581/$Y581*Inputs!$S77)</f>
        <v>0</v>
      </c>
      <c r="U666" s="118">
        <f>IF(OR($A666="",$Y581=0),0,U581/$Y581*Inputs!$S77)</f>
        <v>0</v>
      </c>
      <c r="V666" s="118">
        <f>IF(OR($A666="",$Y581=0),0,V581/$Y581*Inputs!$S77)</f>
        <v>0</v>
      </c>
      <c r="W666" s="118">
        <f>IF(OR($A666="",$Y581=0),0,W581/$Y581*Inputs!$S77)</f>
        <v>0</v>
      </c>
      <c r="X666" s="118">
        <f>IF(OR($A666="",$Y581=0),0,X581/$Y581*Inputs!$S77)</f>
        <v>0</v>
      </c>
      <c r="Y666" s="118">
        <f t="shared" si="129"/>
        <v>0</v>
      </c>
    </row>
    <row r="667" spans="1:25" x14ac:dyDescent="0.3">
      <c r="A667" s="116" t="str">
        <f>IF(Inputs!$A78="","",Inputs!$A78)</f>
        <v/>
      </c>
      <c r="B667" s="116"/>
      <c r="C667" s="116"/>
      <c r="D667" s="118">
        <f>IF(OR($A667="",$Y582=0),0,D582/$Y582*Inputs!$S78)</f>
        <v>0</v>
      </c>
      <c r="E667" s="118">
        <f>IF(OR($A667="",$Y582=0),0,E582/$Y582*Inputs!$S78)</f>
        <v>0</v>
      </c>
      <c r="F667" s="118">
        <f>IF(OR($A667="",$Y582=0),0,F582/$Y582*Inputs!$S78)</f>
        <v>0</v>
      </c>
      <c r="G667" s="118">
        <f>IF(OR($A667="",$Y582=0),0,G582/$Y582*Inputs!$S78)</f>
        <v>0</v>
      </c>
      <c r="H667" s="118">
        <f>IF(OR($A667="",$Y582=0),0,H582/$Y582*Inputs!$S78)</f>
        <v>0</v>
      </c>
      <c r="I667" s="118">
        <f>IF(OR($A667="",$Y582=0),0,I582/$Y582*Inputs!$S78)</f>
        <v>0</v>
      </c>
      <c r="J667" s="118">
        <f>IF(OR($A667="",$Y582=0),0,J582/$Y582*Inputs!$S78)</f>
        <v>0</v>
      </c>
      <c r="K667" s="118">
        <f>IF(OR($A667="",$Y582=0),0,K582/$Y582*Inputs!$S78)</f>
        <v>0</v>
      </c>
      <c r="L667" s="118">
        <f>IF(OR($A667="",$Y582=0),0,L582/$Y582*Inputs!$S78)</f>
        <v>0</v>
      </c>
      <c r="M667" s="118">
        <f>IF(OR($A667="",$Y582=0),0,M582/$Y582*Inputs!$S78)</f>
        <v>0</v>
      </c>
      <c r="N667" s="118">
        <f>IF(OR($A667="",$Y582=0),0,N582/$Y582*Inputs!$S78)</f>
        <v>0</v>
      </c>
      <c r="O667" s="118">
        <f>IF(OR($A667="",$Y582=0),0,O582/$Y582*Inputs!$S78)</f>
        <v>0</v>
      </c>
      <c r="P667" s="118">
        <f>IF(OR($A667="",$Y582=0),0,P582/$Y582*Inputs!$S78)</f>
        <v>0</v>
      </c>
      <c r="Q667" s="118">
        <f>IF(OR($A667="",$Y582=0),0,Q582/$Y582*Inputs!$S78)</f>
        <v>0</v>
      </c>
      <c r="R667" s="118">
        <f>IF(OR($A667="",$Y582=0),0,R582/$Y582*Inputs!$S78)</f>
        <v>0</v>
      </c>
      <c r="S667" s="118">
        <f>IF(OR($A667="",$Y582=0),0,S582/$Y582*Inputs!$S78)</f>
        <v>0</v>
      </c>
      <c r="T667" s="118">
        <f>IF(OR($A667="",$Y582=0),0,T582/$Y582*Inputs!$S78)</f>
        <v>0</v>
      </c>
      <c r="U667" s="118">
        <f>IF(OR($A667="",$Y582=0),0,U582/$Y582*Inputs!$S78)</f>
        <v>0</v>
      </c>
      <c r="V667" s="118">
        <f>IF(OR($A667="",$Y582=0),0,V582/$Y582*Inputs!$S78)</f>
        <v>0</v>
      </c>
      <c r="W667" s="118">
        <f>IF(OR($A667="",$Y582=0),0,W582/$Y582*Inputs!$S78)</f>
        <v>0</v>
      </c>
      <c r="X667" s="118">
        <f>IF(OR($A667="",$Y582=0),0,X582/$Y582*Inputs!$S78)</f>
        <v>0</v>
      </c>
      <c r="Y667" s="118">
        <f t="shared" si="129"/>
        <v>0</v>
      </c>
    </row>
    <row r="668" spans="1:25" x14ac:dyDescent="0.3">
      <c r="A668" s="116" t="str">
        <f>IF(Inputs!$A79="","",Inputs!$A79)</f>
        <v/>
      </c>
      <c r="B668" s="116"/>
      <c r="C668" s="116"/>
      <c r="D668" s="118">
        <f>IF(OR($A668="",$Y583=0),0,D583/$Y583*Inputs!$S79)</f>
        <v>0</v>
      </c>
      <c r="E668" s="118">
        <f>IF(OR($A668="",$Y583=0),0,E583/$Y583*Inputs!$S79)</f>
        <v>0</v>
      </c>
      <c r="F668" s="118">
        <f>IF(OR($A668="",$Y583=0),0,F583/$Y583*Inputs!$S79)</f>
        <v>0</v>
      </c>
      <c r="G668" s="118">
        <f>IF(OR($A668="",$Y583=0),0,G583/$Y583*Inputs!$S79)</f>
        <v>0</v>
      </c>
      <c r="H668" s="118">
        <f>IF(OR($A668="",$Y583=0),0,H583/$Y583*Inputs!$S79)</f>
        <v>0</v>
      </c>
      <c r="I668" s="118">
        <f>IF(OR($A668="",$Y583=0),0,I583/$Y583*Inputs!$S79)</f>
        <v>0</v>
      </c>
      <c r="J668" s="118">
        <f>IF(OR($A668="",$Y583=0),0,J583/$Y583*Inputs!$S79)</f>
        <v>0</v>
      </c>
      <c r="K668" s="118">
        <f>IF(OR($A668="",$Y583=0),0,K583/$Y583*Inputs!$S79)</f>
        <v>0</v>
      </c>
      <c r="L668" s="118">
        <f>IF(OR($A668="",$Y583=0),0,L583/$Y583*Inputs!$S79)</f>
        <v>0</v>
      </c>
      <c r="M668" s="118">
        <f>IF(OR($A668="",$Y583=0),0,M583/$Y583*Inputs!$S79)</f>
        <v>0</v>
      </c>
      <c r="N668" s="118">
        <f>IF(OR($A668="",$Y583=0),0,N583/$Y583*Inputs!$S79)</f>
        <v>0</v>
      </c>
      <c r="O668" s="118">
        <f>IF(OR($A668="",$Y583=0),0,O583/$Y583*Inputs!$S79)</f>
        <v>0</v>
      </c>
      <c r="P668" s="118">
        <f>IF(OR($A668="",$Y583=0),0,P583/$Y583*Inputs!$S79)</f>
        <v>0</v>
      </c>
      <c r="Q668" s="118">
        <f>IF(OR($A668="",$Y583=0),0,Q583/$Y583*Inputs!$S79)</f>
        <v>0</v>
      </c>
      <c r="R668" s="118">
        <f>IF(OR($A668="",$Y583=0),0,R583/$Y583*Inputs!$S79)</f>
        <v>0</v>
      </c>
      <c r="S668" s="118">
        <f>IF(OR($A668="",$Y583=0),0,S583/$Y583*Inputs!$S79)</f>
        <v>0</v>
      </c>
      <c r="T668" s="118">
        <f>IF(OR($A668="",$Y583=0),0,T583/$Y583*Inputs!$S79)</f>
        <v>0</v>
      </c>
      <c r="U668" s="118">
        <f>IF(OR($A668="",$Y583=0),0,U583/$Y583*Inputs!$S79)</f>
        <v>0</v>
      </c>
      <c r="V668" s="118">
        <f>IF(OR($A668="",$Y583=0),0,V583/$Y583*Inputs!$S79)</f>
        <v>0</v>
      </c>
      <c r="W668" s="118">
        <f>IF(OR($A668="",$Y583=0),0,W583/$Y583*Inputs!$S79)</f>
        <v>0</v>
      </c>
      <c r="X668" s="118">
        <f>IF(OR($A668="",$Y583=0),0,X583/$Y583*Inputs!$S79)</f>
        <v>0</v>
      </c>
      <c r="Y668" s="118">
        <f t="shared" si="129"/>
        <v>0</v>
      </c>
    </row>
    <row r="669" spans="1:25" x14ac:dyDescent="0.3">
      <c r="A669" s="116" t="str">
        <f>IF(Inputs!$A80="","",Inputs!$A80)</f>
        <v/>
      </c>
      <c r="B669" s="116"/>
      <c r="C669" s="116"/>
      <c r="D669" s="118">
        <f>IF(OR($A669="",$Y584=0),0,D584/$Y584*Inputs!$S80)</f>
        <v>0</v>
      </c>
      <c r="E669" s="118">
        <f>IF(OR($A669="",$Y584=0),0,E584/$Y584*Inputs!$S80)</f>
        <v>0</v>
      </c>
      <c r="F669" s="118">
        <f>IF(OR($A669="",$Y584=0),0,F584/$Y584*Inputs!$S80)</f>
        <v>0</v>
      </c>
      <c r="G669" s="118">
        <f>IF(OR($A669="",$Y584=0),0,G584/$Y584*Inputs!$S80)</f>
        <v>0</v>
      </c>
      <c r="H669" s="118">
        <f>IF(OR($A669="",$Y584=0),0,H584/$Y584*Inputs!$S80)</f>
        <v>0</v>
      </c>
      <c r="I669" s="118">
        <f>IF(OR($A669="",$Y584=0),0,I584/$Y584*Inputs!$S80)</f>
        <v>0</v>
      </c>
      <c r="J669" s="118">
        <f>IF(OR($A669="",$Y584=0),0,J584/$Y584*Inputs!$S80)</f>
        <v>0</v>
      </c>
      <c r="K669" s="118">
        <f>IF(OR($A669="",$Y584=0),0,K584/$Y584*Inputs!$S80)</f>
        <v>0</v>
      </c>
      <c r="L669" s="118">
        <f>IF(OR($A669="",$Y584=0),0,L584/$Y584*Inputs!$S80)</f>
        <v>0</v>
      </c>
      <c r="M669" s="118">
        <f>IF(OR($A669="",$Y584=0),0,M584/$Y584*Inputs!$S80)</f>
        <v>0</v>
      </c>
      <c r="N669" s="118">
        <f>IF(OR($A669="",$Y584=0),0,N584/$Y584*Inputs!$S80)</f>
        <v>0</v>
      </c>
      <c r="O669" s="118">
        <f>IF(OR($A669="",$Y584=0),0,O584/$Y584*Inputs!$S80)</f>
        <v>0</v>
      </c>
      <c r="P669" s="118">
        <f>IF(OR($A669="",$Y584=0),0,P584/$Y584*Inputs!$S80)</f>
        <v>0</v>
      </c>
      <c r="Q669" s="118">
        <f>IF(OR($A669="",$Y584=0),0,Q584/$Y584*Inputs!$S80)</f>
        <v>0</v>
      </c>
      <c r="R669" s="118">
        <f>IF(OR($A669="",$Y584=0),0,R584/$Y584*Inputs!$S80)</f>
        <v>0</v>
      </c>
      <c r="S669" s="118">
        <f>IF(OR($A669="",$Y584=0),0,S584/$Y584*Inputs!$S80)</f>
        <v>0</v>
      </c>
      <c r="T669" s="118">
        <f>IF(OR($A669="",$Y584=0),0,T584/$Y584*Inputs!$S80)</f>
        <v>0</v>
      </c>
      <c r="U669" s="118">
        <f>IF(OR($A669="",$Y584=0),0,U584/$Y584*Inputs!$S80)</f>
        <v>0</v>
      </c>
      <c r="V669" s="118">
        <f>IF(OR($A669="",$Y584=0),0,V584/$Y584*Inputs!$S80)</f>
        <v>0</v>
      </c>
      <c r="W669" s="118">
        <f>IF(OR($A669="",$Y584=0),0,W584/$Y584*Inputs!$S80)</f>
        <v>0</v>
      </c>
      <c r="X669" s="118">
        <f>IF(OR($A669="",$Y584=0),0,X584/$Y584*Inputs!$S80)</f>
        <v>0</v>
      </c>
      <c r="Y669" s="118">
        <f t="shared" si="129"/>
        <v>0</v>
      </c>
    </row>
    <row r="670" spans="1:25" x14ac:dyDescent="0.3">
      <c r="A670" s="116" t="str">
        <f>IF(Inputs!$A81="","",Inputs!$A81)</f>
        <v/>
      </c>
      <c r="B670" s="116"/>
      <c r="C670" s="116"/>
      <c r="D670" s="118">
        <f>IF(OR($A670="",$Y585=0),0,D585/$Y585*Inputs!$S81)</f>
        <v>0</v>
      </c>
      <c r="E670" s="118">
        <f>IF(OR($A670="",$Y585=0),0,E585/$Y585*Inputs!$S81)</f>
        <v>0</v>
      </c>
      <c r="F670" s="118">
        <f>IF(OR($A670="",$Y585=0),0,F585/$Y585*Inputs!$S81)</f>
        <v>0</v>
      </c>
      <c r="G670" s="118">
        <f>IF(OR($A670="",$Y585=0),0,G585/$Y585*Inputs!$S81)</f>
        <v>0</v>
      </c>
      <c r="H670" s="118">
        <f>IF(OR($A670="",$Y585=0),0,H585/$Y585*Inputs!$S81)</f>
        <v>0</v>
      </c>
      <c r="I670" s="118">
        <f>IF(OR($A670="",$Y585=0),0,I585/$Y585*Inputs!$S81)</f>
        <v>0</v>
      </c>
      <c r="J670" s="118">
        <f>IF(OR($A670="",$Y585=0),0,J585/$Y585*Inputs!$S81)</f>
        <v>0</v>
      </c>
      <c r="K670" s="118">
        <f>IF(OR($A670="",$Y585=0),0,K585/$Y585*Inputs!$S81)</f>
        <v>0</v>
      </c>
      <c r="L670" s="118">
        <f>IF(OR($A670="",$Y585=0),0,L585/$Y585*Inputs!$S81)</f>
        <v>0</v>
      </c>
      <c r="M670" s="118">
        <f>IF(OR($A670="",$Y585=0),0,M585/$Y585*Inputs!$S81)</f>
        <v>0</v>
      </c>
      <c r="N670" s="118">
        <f>IF(OR($A670="",$Y585=0),0,N585/$Y585*Inputs!$S81)</f>
        <v>0</v>
      </c>
      <c r="O670" s="118">
        <f>IF(OR($A670="",$Y585=0),0,O585/$Y585*Inputs!$S81)</f>
        <v>0</v>
      </c>
      <c r="P670" s="118">
        <f>IF(OR($A670="",$Y585=0),0,P585/$Y585*Inputs!$S81)</f>
        <v>0</v>
      </c>
      <c r="Q670" s="118">
        <f>IF(OR($A670="",$Y585=0),0,Q585/$Y585*Inputs!$S81)</f>
        <v>0</v>
      </c>
      <c r="R670" s="118">
        <f>IF(OR($A670="",$Y585=0),0,R585/$Y585*Inputs!$S81)</f>
        <v>0</v>
      </c>
      <c r="S670" s="118">
        <f>IF(OR($A670="",$Y585=0),0,S585/$Y585*Inputs!$S81)</f>
        <v>0</v>
      </c>
      <c r="T670" s="118">
        <f>IF(OR($A670="",$Y585=0),0,T585/$Y585*Inputs!$S81)</f>
        <v>0</v>
      </c>
      <c r="U670" s="118">
        <f>IF(OR($A670="",$Y585=0),0,U585/$Y585*Inputs!$S81)</f>
        <v>0</v>
      </c>
      <c r="V670" s="118">
        <f>IF(OR($A670="",$Y585=0),0,V585/$Y585*Inputs!$S81)</f>
        <v>0</v>
      </c>
      <c r="W670" s="118">
        <f>IF(OR($A670="",$Y585=0),0,W585/$Y585*Inputs!$S81)</f>
        <v>0</v>
      </c>
      <c r="X670" s="118">
        <f>IF(OR($A670="",$Y585=0),0,X585/$Y585*Inputs!$S81)</f>
        <v>0</v>
      </c>
      <c r="Y670" s="118">
        <f t="shared" si="129"/>
        <v>0</v>
      </c>
    </row>
    <row r="671" spans="1:25" x14ac:dyDescent="0.3">
      <c r="A671" s="116" t="str">
        <f>IF(Inputs!$A82="","",Inputs!$A82)</f>
        <v/>
      </c>
      <c r="B671" s="116"/>
      <c r="C671" s="116"/>
      <c r="D671" s="118">
        <f>IF(OR($A671="",$Y586=0),0,D586/$Y586*Inputs!$S82)</f>
        <v>0</v>
      </c>
      <c r="E671" s="118">
        <f>IF(OR($A671="",$Y586=0),0,E586/$Y586*Inputs!$S82)</f>
        <v>0</v>
      </c>
      <c r="F671" s="118">
        <f>IF(OR($A671="",$Y586=0),0,F586/$Y586*Inputs!$S82)</f>
        <v>0</v>
      </c>
      <c r="G671" s="118">
        <f>IF(OR($A671="",$Y586=0),0,G586/$Y586*Inputs!$S82)</f>
        <v>0</v>
      </c>
      <c r="H671" s="118">
        <f>IF(OR($A671="",$Y586=0),0,H586/$Y586*Inputs!$S82)</f>
        <v>0</v>
      </c>
      <c r="I671" s="118">
        <f>IF(OR($A671="",$Y586=0),0,I586/$Y586*Inputs!$S82)</f>
        <v>0</v>
      </c>
      <c r="J671" s="118">
        <f>IF(OR($A671="",$Y586=0),0,J586/$Y586*Inputs!$S82)</f>
        <v>0</v>
      </c>
      <c r="K671" s="118">
        <f>IF(OR($A671="",$Y586=0),0,K586/$Y586*Inputs!$S82)</f>
        <v>0</v>
      </c>
      <c r="L671" s="118">
        <f>IF(OR($A671="",$Y586=0),0,L586/$Y586*Inputs!$S82)</f>
        <v>0</v>
      </c>
      <c r="M671" s="118">
        <f>IF(OR($A671="",$Y586=0),0,M586/$Y586*Inputs!$S82)</f>
        <v>0</v>
      </c>
      <c r="N671" s="118">
        <f>IF(OR($A671="",$Y586=0),0,N586/$Y586*Inputs!$S82)</f>
        <v>0</v>
      </c>
      <c r="O671" s="118">
        <f>IF(OR($A671="",$Y586=0),0,O586/$Y586*Inputs!$S82)</f>
        <v>0</v>
      </c>
      <c r="P671" s="118">
        <f>IF(OR($A671="",$Y586=0),0,P586/$Y586*Inputs!$S82)</f>
        <v>0</v>
      </c>
      <c r="Q671" s="118">
        <f>IF(OR($A671="",$Y586=0),0,Q586/$Y586*Inputs!$S82)</f>
        <v>0</v>
      </c>
      <c r="R671" s="118">
        <f>IF(OR($A671="",$Y586=0),0,R586/$Y586*Inputs!$S82)</f>
        <v>0</v>
      </c>
      <c r="S671" s="118">
        <f>IF(OR($A671="",$Y586=0),0,S586/$Y586*Inputs!$S82)</f>
        <v>0</v>
      </c>
      <c r="T671" s="118">
        <f>IF(OR($A671="",$Y586=0),0,T586/$Y586*Inputs!$S82)</f>
        <v>0</v>
      </c>
      <c r="U671" s="118">
        <f>IF(OR($A671="",$Y586=0),0,U586/$Y586*Inputs!$S82)</f>
        <v>0</v>
      </c>
      <c r="V671" s="118">
        <f>IF(OR($A671="",$Y586=0),0,V586/$Y586*Inputs!$S82)</f>
        <v>0</v>
      </c>
      <c r="W671" s="118">
        <f>IF(OR($A671="",$Y586=0),0,W586/$Y586*Inputs!$S82)</f>
        <v>0</v>
      </c>
      <c r="X671" s="118">
        <f>IF(OR($A671="",$Y586=0),0,X586/$Y586*Inputs!$S82)</f>
        <v>0</v>
      </c>
      <c r="Y671" s="118">
        <f t="shared" si="129"/>
        <v>0</v>
      </c>
    </row>
    <row r="672" spans="1:25" x14ac:dyDescent="0.3">
      <c r="A672" s="116" t="str">
        <f>IF(Inputs!$A83="","",Inputs!$A83)</f>
        <v/>
      </c>
      <c r="B672" s="116"/>
      <c r="C672" s="116"/>
      <c r="D672" s="118">
        <f>IF(OR($A672="",$Y587=0),0,D587/$Y587*Inputs!$S83)</f>
        <v>0</v>
      </c>
      <c r="E672" s="118">
        <f>IF(OR($A672="",$Y587=0),0,E587/$Y587*Inputs!$S83)</f>
        <v>0</v>
      </c>
      <c r="F672" s="118">
        <f>IF(OR($A672="",$Y587=0),0,F587/$Y587*Inputs!$S83)</f>
        <v>0</v>
      </c>
      <c r="G672" s="118">
        <f>IF(OR($A672="",$Y587=0),0,G587/$Y587*Inputs!$S83)</f>
        <v>0</v>
      </c>
      <c r="H672" s="118">
        <f>IF(OR($A672="",$Y587=0),0,H587/$Y587*Inputs!$S83)</f>
        <v>0</v>
      </c>
      <c r="I672" s="118">
        <f>IF(OR($A672="",$Y587=0),0,I587/$Y587*Inputs!$S83)</f>
        <v>0</v>
      </c>
      <c r="J672" s="118">
        <f>IF(OR($A672="",$Y587=0),0,J587/$Y587*Inputs!$S83)</f>
        <v>0</v>
      </c>
      <c r="K672" s="118">
        <f>IF(OR($A672="",$Y587=0),0,K587/$Y587*Inputs!$S83)</f>
        <v>0</v>
      </c>
      <c r="L672" s="118">
        <f>IF(OR($A672="",$Y587=0),0,L587/$Y587*Inputs!$S83)</f>
        <v>0</v>
      </c>
      <c r="M672" s="118">
        <f>IF(OR($A672="",$Y587=0),0,M587/$Y587*Inputs!$S83)</f>
        <v>0</v>
      </c>
      <c r="N672" s="118">
        <f>IF(OR($A672="",$Y587=0),0,N587/$Y587*Inputs!$S83)</f>
        <v>0</v>
      </c>
      <c r="O672" s="118">
        <f>IF(OR($A672="",$Y587=0),0,O587/$Y587*Inputs!$S83)</f>
        <v>0</v>
      </c>
      <c r="P672" s="118">
        <f>IF(OR($A672="",$Y587=0),0,P587/$Y587*Inputs!$S83)</f>
        <v>0</v>
      </c>
      <c r="Q672" s="118">
        <f>IF(OR($A672="",$Y587=0),0,Q587/$Y587*Inputs!$S83)</f>
        <v>0</v>
      </c>
      <c r="R672" s="118">
        <f>IF(OR($A672="",$Y587=0),0,R587/$Y587*Inputs!$S83)</f>
        <v>0</v>
      </c>
      <c r="S672" s="118">
        <f>IF(OR($A672="",$Y587=0),0,S587/$Y587*Inputs!$S83)</f>
        <v>0</v>
      </c>
      <c r="T672" s="118">
        <f>IF(OR($A672="",$Y587=0),0,T587/$Y587*Inputs!$S83)</f>
        <v>0</v>
      </c>
      <c r="U672" s="118">
        <f>IF(OR($A672="",$Y587=0),0,U587/$Y587*Inputs!$S83)</f>
        <v>0</v>
      </c>
      <c r="V672" s="118">
        <f>IF(OR($A672="",$Y587=0),0,V587/$Y587*Inputs!$S83)</f>
        <v>0</v>
      </c>
      <c r="W672" s="118">
        <f>IF(OR($A672="",$Y587=0),0,W587/$Y587*Inputs!$S83)</f>
        <v>0</v>
      </c>
      <c r="X672" s="118">
        <f>IF(OR($A672="",$Y587=0),0,X587/$Y587*Inputs!$S83)</f>
        <v>0</v>
      </c>
      <c r="Y672" s="118">
        <f t="shared" si="129"/>
        <v>0</v>
      </c>
    </row>
    <row r="673" spans="1:25" x14ac:dyDescent="0.3">
      <c r="A673" s="116" t="str">
        <f>IF(Inputs!$A84="","",Inputs!$A84)</f>
        <v/>
      </c>
      <c r="B673" s="116"/>
      <c r="C673" s="116"/>
      <c r="D673" s="118">
        <f>IF(OR($A673="",$Y588=0),0,D588/$Y588*Inputs!$S84)</f>
        <v>0</v>
      </c>
      <c r="E673" s="118">
        <f>IF(OR($A673="",$Y588=0),0,E588/$Y588*Inputs!$S84)</f>
        <v>0</v>
      </c>
      <c r="F673" s="118">
        <f>IF(OR($A673="",$Y588=0),0,F588/$Y588*Inputs!$S84)</f>
        <v>0</v>
      </c>
      <c r="G673" s="118">
        <f>IF(OR($A673="",$Y588=0),0,G588/$Y588*Inputs!$S84)</f>
        <v>0</v>
      </c>
      <c r="H673" s="118">
        <f>IF(OR($A673="",$Y588=0),0,H588/$Y588*Inputs!$S84)</f>
        <v>0</v>
      </c>
      <c r="I673" s="118">
        <f>IF(OR($A673="",$Y588=0),0,I588/$Y588*Inputs!$S84)</f>
        <v>0</v>
      </c>
      <c r="J673" s="118">
        <f>IF(OR($A673="",$Y588=0),0,J588/$Y588*Inputs!$S84)</f>
        <v>0</v>
      </c>
      <c r="K673" s="118">
        <f>IF(OR($A673="",$Y588=0),0,K588/$Y588*Inputs!$S84)</f>
        <v>0</v>
      </c>
      <c r="L673" s="118">
        <f>IF(OR($A673="",$Y588=0),0,L588/$Y588*Inputs!$S84)</f>
        <v>0</v>
      </c>
      <c r="M673" s="118">
        <f>IF(OR($A673="",$Y588=0),0,M588/$Y588*Inputs!$S84)</f>
        <v>0</v>
      </c>
      <c r="N673" s="118">
        <f>IF(OR($A673="",$Y588=0),0,N588/$Y588*Inputs!$S84)</f>
        <v>0</v>
      </c>
      <c r="O673" s="118">
        <f>IF(OR($A673="",$Y588=0),0,O588/$Y588*Inputs!$S84)</f>
        <v>0</v>
      </c>
      <c r="P673" s="118">
        <f>IF(OR($A673="",$Y588=0),0,P588/$Y588*Inputs!$S84)</f>
        <v>0</v>
      </c>
      <c r="Q673" s="118">
        <f>IF(OR($A673="",$Y588=0),0,Q588/$Y588*Inputs!$S84)</f>
        <v>0</v>
      </c>
      <c r="R673" s="118">
        <f>IF(OR($A673="",$Y588=0),0,R588/$Y588*Inputs!$S84)</f>
        <v>0</v>
      </c>
      <c r="S673" s="118">
        <f>IF(OR($A673="",$Y588=0),0,S588/$Y588*Inputs!$S84)</f>
        <v>0</v>
      </c>
      <c r="T673" s="118">
        <f>IF(OR($A673="",$Y588=0),0,T588/$Y588*Inputs!$S84)</f>
        <v>0</v>
      </c>
      <c r="U673" s="118">
        <f>IF(OR($A673="",$Y588=0),0,U588/$Y588*Inputs!$S84)</f>
        <v>0</v>
      </c>
      <c r="V673" s="118">
        <f>IF(OR($A673="",$Y588=0),0,V588/$Y588*Inputs!$S84)</f>
        <v>0</v>
      </c>
      <c r="W673" s="118">
        <f>IF(OR($A673="",$Y588=0),0,W588/$Y588*Inputs!$S84)</f>
        <v>0</v>
      </c>
      <c r="X673" s="118">
        <f>IF(OR($A673="",$Y588=0),0,X588/$Y588*Inputs!$S84)</f>
        <v>0</v>
      </c>
      <c r="Y673" s="118">
        <f t="shared" si="129"/>
        <v>0</v>
      </c>
    </row>
    <row r="674" spans="1:25" x14ac:dyDescent="0.3">
      <c r="A674" s="116" t="str">
        <f>IF(Inputs!$A85="","",Inputs!$A85)</f>
        <v/>
      </c>
      <c r="B674" s="116"/>
      <c r="C674" s="116"/>
      <c r="D674" s="118">
        <f>IF(OR($A674="",$Y589=0),0,D589/$Y589*Inputs!$S85)</f>
        <v>0</v>
      </c>
      <c r="E674" s="118">
        <f>IF(OR($A674="",$Y589=0),0,E589/$Y589*Inputs!$S85)</f>
        <v>0</v>
      </c>
      <c r="F674" s="118">
        <f>IF(OR($A674="",$Y589=0),0,F589/$Y589*Inputs!$S85)</f>
        <v>0</v>
      </c>
      <c r="G674" s="118">
        <f>IF(OR($A674="",$Y589=0),0,G589/$Y589*Inputs!$S85)</f>
        <v>0</v>
      </c>
      <c r="H674" s="118">
        <f>IF(OR($A674="",$Y589=0),0,H589/$Y589*Inputs!$S85)</f>
        <v>0</v>
      </c>
      <c r="I674" s="118">
        <f>IF(OR($A674="",$Y589=0),0,I589/$Y589*Inputs!$S85)</f>
        <v>0</v>
      </c>
      <c r="J674" s="118">
        <f>IF(OR($A674="",$Y589=0),0,J589/$Y589*Inputs!$S85)</f>
        <v>0</v>
      </c>
      <c r="K674" s="118">
        <f>IF(OR($A674="",$Y589=0),0,K589/$Y589*Inputs!$S85)</f>
        <v>0</v>
      </c>
      <c r="L674" s="118">
        <f>IF(OR($A674="",$Y589=0),0,L589/$Y589*Inputs!$S85)</f>
        <v>0</v>
      </c>
      <c r="M674" s="118">
        <f>IF(OR($A674="",$Y589=0),0,M589/$Y589*Inputs!$S85)</f>
        <v>0</v>
      </c>
      <c r="N674" s="118">
        <f>IF(OR($A674="",$Y589=0),0,N589/$Y589*Inputs!$S85)</f>
        <v>0</v>
      </c>
      <c r="O674" s="118">
        <f>IF(OR($A674="",$Y589=0),0,O589/$Y589*Inputs!$S85)</f>
        <v>0</v>
      </c>
      <c r="P674" s="118">
        <f>IF(OR($A674="",$Y589=0),0,P589/$Y589*Inputs!$S85)</f>
        <v>0</v>
      </c>
      <c r="Q674" s="118">
        <f>IF(OR($A674="",$Y589=0),0,Q589/$Y589*Inputs!$S85)</f>
        <v>0</v>
      </c>
      <c r="R674" s="118">
        <f>IF(OR($A674="",$Y589=0),0,R589/$Y589*Inputs!$S85)</f>
        <v>0</v>
      </c>
      <c r="S674" s="118">
        <f>IF(OR($A674="",$Y589=0),0,S589/$Y589*Inputs!$S85)</f>
        <v>0</v>
      </c>
      <c r="T674" s="118">
        <f>IF(OR($A674="",$Y589=0),0,T589/$Y589*Inputs!$S85)</f>
        <v>0</v>
      </c>
      <c r="U674" s="118">
        <f>IF(OR($A674="",$Y589=0),0,U589/$Y589*Inputs!$S85)</f>
        <v>0</v>
      </c>
      <c r="V674" s="118">
        <f>IF(OR($A674="",$Y589=0),0,V589/$Y589*Inputs!$S85)</f>
        <v>0</v>
      </c>
      <c r="W674" s="118">
        <f>IF(OR($A674="",$Y589=0),0,W589/$Y589*Inputs!$S85)</f>
        <v>0</v>
      </c>
      <c r="X674" s="118">
        <f>IF(OR($A674="",$Y589=0),0,X589/$Y589*Inputs!$S85)</f>
        <v>0</v>
      </c>
      <c r="Y674" s="118">
        <f t="shared" si="129"/>
        <v>0</v>
      </c>
    </row>
    <row r="675" spans="1:25" x14ac:dyDescent="0.3">
      <c r="A675" s="119" t="s">
        <v>45</v>
      </c>
      <c r="B675" s="119"/>
      <c r="C675" s="119"/>
      <c r="D675" s="120">
        <f t="shared" ref="D675:Y675" si="130">SUM(D595:D674)</f>
        <v>1.6844872840358049</v>
      </c>
      <c r="E675" s="120">
        <f t="shared" si="130"/>
        <v>13.904222963267506</v>
      </c>
      <c r="F675" s="120">
        <f t="shared" si="130"/>
        <v>13.484699075756589</v>
      </c>
      <c r="G675" s="120">
        <f t="shared" si="130"/>
        <v>16.051781042349106</v>
      </c>
      <c r="H675" s="120">
        <f t="shared" si="130"/>
        <v>14.157121595900842</v>
      </c>
      <c r="I675" s="120">
        <f t="shared" si="130"/>
        <v>7.501523850953717</v>
      </c>
      <c r="J675" s="120">
        <f t="shared" si="130"/>
        <v>11.631745215559794</v>
      </c>
      <c r="K675" s="120">
        <f t="shared" si="130"/>
        <v>13.165997437935664</v>
      </c>
      <c r="L675" s="120">
        <f t="shared" si="130"/>
        <v>5.7657842142747784</v>
      </c>
      <c r="M675" s="120">
        <f t="shared" si="130"/>
        <v>6.3798129639126016</v>
      </c>
      <c r="N675" s="120">
        <f t="shared" si="130"/>
        <v>5.5491441656978839</v>
      </c>
      <c r="O675" s="120">
        <f t="shared" si="130"/>
        <v>2.2571801903557125</v>
      </c>
      <c r="P675" s="120">
        <f t="shared" si="130"/>
        <v>0</v>
      </c>
      <c r="Q675" s="120">
        <f t="shared" si="130"/>
        <v>0</v>
      </c>
      <c r="R675" s="120">
        <f t="shared" si="130"/>
        <v>0</v>
      </c>
      <c r="S675" s="120">
        <f t="shared" si="130"/>
        <v>0</v>
      </c>
      <c r="T675" s="120">
        <f t="shared" si="130"/>
        <v>0</v>
      </c>
      <c r="U675" s="120">
        <f t="shared" si="130"/>
        <v>0</v>
      </c>
      <c r="V675" s="120">
        <f t="shared" si="130"/>
        <v>0</v>
      </c>
      <c r="W675" s="120">
        <f t="shared" si="130"/>
        <v>0</v>
      </c>
      <c r="X675" s="120">
        <f t="shared" si="130"/>
        <v>0</v>
      </c>
      <c r="Y675" s="120">
        <f t="shared" si="130"/>
        <v>111.5335</v>
      </c>
    </row>
    <row r="678" spans="1:25" ht="19.95" customHeight="1" x14ac:dyDescent="0.3">
      <c r="A678" s="330" t="s">
        <v>66</v>
      </c>
      <c r="B678" s="330"/>
      <c r="C678" s="330"/>
      <c r="D678" s="330"/>
      <c r="E678" s="330"/>
      <c r="F678" s="330"/>
      <c r="G678" s="330"/>
      <c r="H678" s="330"/>
      <c r="I678" s="330"/>
      <c r="J678" s="330"/>
      <c r="K678" s="330"/>
      <c r="L678" s="330"/>
      <c r="M678" s="330"/>
      <c r="N678" s="330"/>
      <c r="O678" s="330"/>
      <c r="P678" s="330"/>
      <c r="Q678" s="330"/>
      <c r="R678" s="330"/>
      <c r="S678" s="330"/>
      <c r="T678" s="330"/>
      <c r="U678" s="330"/>
      <c r="V678" s="330"/>
      <c r="W678" s="330"/>
      <c r="X678" s="330"/>
      <c r="Y678" s="330"/>
    </row>
    <row r="679" spans="1:25" x14ac:dyDescent="0.3">
      <c r="A679" s="123" t="s">
        <v>9</v>
      </c>
      <c r="B679" s="124"/>
      <c r="C679" s="124"/>
      <c r="D679" s="124" t="str">
        <f t="shared" ref="D679:X679" si="131">D$4</f>
        <v>Opening</v>
      </c>
      <c r="E679" s="124" t="str">
        <f t="shared" si="131"/>
        <v>Q1-24</v>
      </c>
      <c r="F679" s="124" t="str">
        <f t="shared" si="131"/>
        <v>Q2-24</v>
      </c>
      <c r="G679" s="124" t="str">
        <f t="shared" si="131"/>
        <v>Q3-24</v>
      </c>
      <c r="H679" s="124" t="str">
        <f t="shared" si="131"/>
        <v>Q4-24</v>
      </c>
      <c r="I679" s="124" t="str">
        <f t="shared" si="131"/>
        <v>Q1-25</v>
      </c>
      <c r="J679" s="124" t="str">
        <f t="shared" si="131"/>
        <v>Q2-25</v>
      </c>
      <c r="K679" s="124" t="str">
        <f t="shared" si="131"/>
        <v>Q3-25</v>
      </c>
      <c r="L679" s="124" t="str">
        <f t="shared" si="131"/>
        <v>Q4-25</v>
      </c>
      <c r="M679" s="124" t="str">
        <f t="shared" si="131"/>
        <v>Q1-26</v>
      </c>
      <c r="N679" s="124" t="str">
        <f t="shared" si="131"/>
        <v>Q2-26</v>
      </c>
      <c r="O679" s="124" t="str">
        <f t="shared" si="131"/>
        <v>Q3-26</v>
      </c>
      <c r="P679" s="124" t="str">
        <f t="shared" si="131"/>
        <v>Q4-26</v>
      </c>
      <c r="Q679" s="124" t="str">
        <f t="shared" si="131"/>
        <v>Q1-27</v>
      </c>
      <c r="R679" s="124" t="str">
        <f t="shared" si="131"/>
        <v>Q2-27</v>
      </c>
      <c r="S679" s="124" t="str">
        <f t="shared" si="131"/>
        <v>Q3-27</v>
      </c>
      <c r="T679" s="124" t="str">
        <f t="shared" si="131"/>
        <v>Q4-27</v>
      </c>
      <c r="U679" s="124" t="str">
        <f t="shared" si="131"/>
        <v>Q1-28</v>
      </c>
      <c r="V679" s="124" t="str">
        <f t="shared" si="131"/>
        <v>Q2-28</v>
      </c>
      <c r="W679" s="124" t="str">
        <f t="shared" si="131"/>
        <v>Q3-28</v>
      </c>
      <c r="X679" s="124" t="str">
        <f t="shared" si="131"/>
        <v>Q4-28</v>
      </c>
      <c r="Y679" s="124" t="s">
        <v>4</v>
      </c>
    </row>
    <row r="680" spans="1:25" x14ac:dyDescent="0.3">
      <c r="A680" s="116" t="str">
        <f>Inputs!$A$91</f>
        <v>Ahmed</v>
      </c>
      <c r="B680" s="116"/>
      <c r="C680" s="116"/>
      <c r="D680" s="118">
        <f t="shared" ref="D680:M682" si="132">SUMIF($B$265:$B$504,$A680,D$265:D$504)</f>
        <v>1.2472972972972971</v>
      </c>
      <c r="E680" s="118">
        <f t="shared" si="132"/>
        <v>2.8959459459459458</v>
      </c>
      <c r="F680" s="118">
        <f t="shared" si="132"/>
        <v>2.3378378378378382</v>
      </c>
      <c r="G680" s="118">
        <f t="shared" si="132"/>
        <v>2.7391891891891889</v>
      </c>
      <c r="H680" s="118">
        <f t="shared" si="132"/>
        <v>2.7729729729729726</v>
      </c>
      <c r="I680" s="118">
        <f t="shared" si="132"/>
        <v>2.224324324324324</v>
      </c>
      <c r="J680" s="118">
        <f t="shared" si="132"/>
        <v>2.0716216216216217</v>
      </c>
      <c r="K680" s="118">
        <f t="shared" si="132"/>
        <v>2.2554054054054054</v>
      </c>
      <c r="L680" s="118">
        <f t="shared" si="132"/>
        <v>2.7081081081081084</v>
      </c>
      <c r="M680" s="118">
        <f t="shared" si="132"/>
        <v>2.2689189189189189</v>
      </c>
      <c r="N680" s="118">
        <f t="shared" ref="N680:X682" si="133">SUMIF($B$265:$B$504,$A680,N$265:N$504)</f>
        <v>2.7554054054054058</v>
      </c>
      <c r="O680" s="118">
        <f t="shared" si="133"/>
        <v>0.69729729729729728</v>
      </c>
      <c r="P680" s="118">
        <f t="shared" si="133"/>
        <v>0</v>
      </c>
      <c r="Q680" s="118">
        <f t="shared" si="133"/>
        <v>0</v>
      </c>
      <c r="R680" s="118">
        <f t="shared" si="133"/>
        <v>0</v>
      </c>
      <c r="S680" s="118">
        <f t="shared" si="133"/>
        <v>0</v>
      </c>
      <c r="T680" s="118">
        <f t="shared" si="133"/>
        <v>0</v>
      </c>
      <c r="U680" s="118">
        <f t="shared" si="133"/>
        <v>0</v>
      </c>
      <c r="V680" s="118">
        <f t="shared" si="133"/>
        <v>0</v>
      </c>
      <c r="W680" s="118">
        <f t="shared" si="133"/>
        <v>0</v>
      </c>
      <c r="X680" s="118">
        <f t="shared" si="133"/>
        <v>0</v>
      </c>
      <c r="Y680" s="118">
        <f>SUM(D680:X680)</f>
        <v>26.974324324324321</v>
      </c>
    </row>
    <row r="681" spans="1:25" x14ac:dyDescent="0.3">
      <c r="A681" s="116" t="str">
        <f>Inputs!$A$92</f>
        <v>Osama</v>
      </c>
      <c r="B681" s="116"/>
      <c r="C681" s="116"/>
      <c r="D681" s="118">
        <f t="shared" si="132"/>
        <v>0</v>
      </c>
      <c r="E681" s="118">
        <f t="shared" si="132"/>
        <v>0.84054054054054061</v>
      </c>
      <c r="F681" s="118">
        <f t="shared" si="132"/>
        <v>1.1445945945945946</v>
      </c>
      <c r="G681" s="118">
        <f t="shared" si="132"/>
        <v>1.9243243243243242</v>
      </c>
      <c r="H681" s="118">
        <f t="shared" si="132"/>
        <v>3.0054054054054049</v>
      </c>
      <c r="I681" s="118">
        <f t="shared" si="132"/>
        <v>2.5621621621621622</v>
      </c>
      <c r="J681" s="118">
        <f t="shared" si="132"/>
        <v>2.1459459459459458</v>
      </c>
      <c r="K681" s="118">
        <f t="shared" si="132"/>
        <v>3.2472972972972971</v>
      </c>
      <c r="L681" s="118">
        <f t="shared" si="132"/>
        <v>2.7648648648648653</v>
      </c>
      <c r="M681" s="118">
        <f t="shared" si="132"/>
        <v>2.137837837837838</v>
      </c>
      <c r="N681" s="118">
        <f t="shared" si="133"/>
        <v>2.5378378378378379</v>
      </c>
      <c r="O681" s="118">
        <f t="shared" si="133"/>
        <v>1.318918918918919</v>
      </c>
      <c r="P681" s="118">
        <f t="shared" si="133"/>
        <v>0</v>
      </c>
      <c r="Q681" s="118">
        <f t="shared" si="133"/>
        <v>0</v>
      </c>
      <c r="R681" s="118">
        <f t="shared" si="133"/>
        <v>0</v>
      </c>
      <c r="S681" s="118">
        <f t="shared" si="133"/>
        <v>0</v>
      </c>
      <c r="T681" s="118">
        <f t="shared" si="133"/>
        <v>0</v>
      </c>
      <c r="U681" s="118">
        <f t="shared" si="133"/>
        <v>0</v>
      </c>
      <c r="V681" s="118">
        <f t="shared" si="133"/>
        <v>0</v>
      </c>
      <c r="W681" s="118">
        <f t="shared" si="133"/>
        <v>0</v>
      </c>
      <c r="X681" s="118">
        <f t="shared" si="133"/>
        <v>0</v>
      </c>
      <c r="Y681" s="118">
        <f>SUM(D681:X681)</f>
        <v>23.629729729729728</v>
      </c>
    </row>
    <row r="682" spans="1:25" x14ac:dyDescent="0.3">
      <c r="A682" s="116" t="str">
        <f>Inputs!$A$93</f>
        <v>Kirolos</v>
      </c>
      <c r="B682" s="116"/>
      <c r="C682" s="116"/>
      <c r="D682" s="118">
        <f t="shared" si="132"/>
        <v>0</v>
      </c>
      <c r="E682" s="118">
        <f t="shared" si="132"/>
        <v>0</v>
      </c>
      <c r="F682" s="118">
        <f t="shared" si="132"/>
        <v>0</v>
      </c>
      <c r="G682" s="118">
        <f t="shared" si="132"/>
        <v>1.2675675675675677</v>
      </c>
      <c r="H682" s="118">
        <f t="shared" si="132"/>
        <v>2.2999999999999998</v>
      </c>
      <c r="I682" s="118">
        <f t="shared" si="132"/>
        <v>2.4472972972972973</v>
      </c>
      <c r="J682" s="118">
        <f t="shared" si="132"/>
        <v>1.7432432432432432</v>
      </c>
      <c r="K682" s="118">
        <f t="shared" si="132"/>
        <v>3.2824324324324325</v>
      </c>
      <c r="L682" s="118">
        <f t="shared" si="132"/>
        <v>2.7054054054054055</v>
      </c>
      <c r="M682" s="118">
        <f t="shared" si="132"/>
        <v>2.2378378378378376</v>
      </c>
      <c r="N682" s="118">
        <f t="shared" si="133"/>
        <v>2.5054054054054054</v>
      </c>
      <c r="O682" s="118">
        <f t="shared" si="133"/>
        <v>1.4486486486486487</v>
      </c>
      <c r="P682" s="118">
        <f t="shared" si="133"/>
        <v>0</v>
      </c>
      <c r="Q682" s="118">
        <f t="shared" si="133"/>
        <v>0</v>
      </c>
      <c r="R682" s="118">
        <f t="shared" si="133"/>
        <v>0</v>
      </c>
      <c r="S682" s="118">
        <f t="shared" si="133"/>
        <v>0</v>
      </c>
      <c r="T682" s="118">
        <f t="shared" si="133"/>
        <v>0</v>
      </c>
      <c r="U682" s="118">
        <f t="shared" si="133"/>
        <v>0</v>
      </c>
      <c r="V682" s="118">
        <f t="shared" si="133"/>
        <v>0</v>
      </c>
      <c r="W682" s="118">
        <f t="shared" si="133"/>
        <v>0</v>
      </c>
      <c r="X682" s="118">
        <f t="shared" si="133"/>
        <v>0</v>
      </c>
      <c r="Y682" s="118">
        <f>SUM(D682:X682)</f>
        <v>19.93783783783784</v>
      </c>
    </row>
    <row r="683" spans="1:25" x14ac:dyDescent="0.3">
      <c r="A683" s="119" t="s">
        <v>45</v>
      </c>
      <c r="B683" s="119"/>
      <c r="C683" s="119"/>
      <c r="D683" s="120">
        <f t="shared" ref="D683:Y683" si="134">SUM(D680:D682)</f>
        <v>1.2472972972972971</v>
      </c>
      <c r="E683" s="120">
        <f t="shared" si="134"/>
        <v>3.7364864864864864</v>
      </c>
      <c r="F683" s="120">
        <f t="shared" si="134"/>
        <v>3.4824324324324327</v>
      </c>
      <c r="G683" s="120">
        <f t="shared" si="134"/>
        <v>5.9310810810810803</v>
      </c>
      <c r="H683" s="120">
        <f t="shared" si="134"/>
        <v>8.0783783783783782</v>
      </c>
      <c r="I683" s="120">
        <f t="shared" si="134"/>
        <v>7.2337837837837835</v>
      </c>
      <c r="J683" s="120">
        <f t="shared" si="134"/>
        <v>5.96081081081081</v>
      </c>
      <c r="K683" s="120">
        <f t="shared" si="134"/>
        <v>8.7851351351351354</v>
      </c>
      <c r="L683" s="120">
        <f t="shared" si="134"/>
        <v>8.1783783783783797</v>
      </c>
      <c r="M683" s="120">
        <f t="shared" si="134"/>
        <v>6.6445945945945937</v>
      </c>
      <c r="N683" s="120">
        <f t="shared" si="134"/>
        <v>7.7986486486486495</v>
      </c>
      <c r="O683" s="120">
        <f t="shared" si="134"/>
        <v>3.4648648648648654</v>
      </c>
      <c r="P683" s="120">
        <f t="shared" si="134"/>
        <v>0</v>
      </c>
      <c r="Q683" s="120">
        <f t="shared" si="134"/>
        <v>0</v>
      </c>
      <c r="R683" s="120">
        <f t="shared" si="134"/>
        <v>0</v>
      </c>
      <c r="S683" s="120">
        <f t="shared" si="134"/>
        <v>0</v>
      </c>
      <c r="T683" s="120">
        <f t="shared" si="134"/>
        <v>0</v>
      </c>
      <c r="U683" s="120">
        <f t="shared" si="134"/>
        <v>0</v>
      </c>
      <c r="V683" s="120">
        <f t="shared" si="134"/>
        <v>0</v>
      </c>
      <c r="W683" s="120">
        <f t="shared" si="134"/>
        <v>0</v>
      </c>
      <c r="X683" s="120">
        <f t="shared" si="134"/>
        <v>0</v>
      </c>
      <c r="Y683" s="120">
        <f t="shared" si="134"/>
        <v>70.541891891891879</v>
      </c>
    </row>
  </sheetData>
  <mergeCells count="8">
    <mergeCell ref="A1:Y1"/>
    <mergeCell ref="A8:Y8"/>
    <mergeCell ref="A593:Y593"/>
    <mergeCell ref="A678:Y678"/>
    <mergeCell ref="A93:Y93"/>
    <mergeCell ref="A178:Y178"/>
    <mergeCell ref="A263:Y263"/>
    <mergeCell ref="A508:Y508"/>
  </mergeCells>
  <pageMargins left="0.7" right="0.7" top="0.75" bottom="0.75" header="0.3" footer="0.3"/>
  <pageSetup paperSize="0" fitToWidth="2" fitToHeight="2" orientation="landscape"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83C4F-3880-4062-A455-31F5D402BEF0}">
  <sheetPr>
    <tabColor rgb="FF2E9B57"/>
    <pageSetUpPr fitToPage="1"/>
  </sheetPr>
  <dimension ref="A1:Y63"/>
  <sheetViews>
    <sheetView showGridLines="0" topLeftCell="A17" workbookViewId="0">
      <pane xSplit="3" topLeftCell="E1" activePane="topRight" state="frozen"/>
      <selection activeCell="A23" sqref="A23"/>
      <selection pane="topRight" activeCell="A9" sqref="A9"/>
    </sheetView>
  </sheetViews>
  <sheetFormatPr defaultRowHeight="14.4" x14ac:dyDescent="0.3"/>
  <cols>
    <col min="1" max="1" width="48.5546875" customWidth="1"/>
    <col min="2" max="2" width="9.6640625" customWidth="1"/>
    <col min="3" max="3" width="2.5546875" customWidth="1"/>
    <col min="4" max="4" width="14.77734375" customWidth="1"/>
    <col min="5" max="24" width="13.33203125" customWidth="1"/>
    <col min="25" max="25" width="16.33203125" customWidth="1"/>
  </cols>
  <sheetData>
    <row r="1" spans="1:25" ht="30" customHeight="1" x14ac:dyDescent="0.3">
      <c r="A1" s="295" t="s">
        <v>67</v>
      </c>
      <c r="B1" s="294"/>
      <c r="C1" s="294"/>
      <c r="D1" s="294"/>
      <c r="E1" s="294"/>
      <c r="F1" s="294"/>
      <c r="G1" s="294"/>
      <c r="H1" s="294"/>
      <c r="I1" s="294"/>
      <c r="J1" s="294"/>
      <c r="K1" s="294"/>
      <c r="L1" s="294"/>
      <c r="M1" s="294"/>
      <c r="N1" s="294"/>
      <c r="O1" s="294"/>
      <c r="P1" s="294"/>
      <c r="Q1" s="294"/>
      <c r="R1" s="294"/>
      <c r="S1" s="294"/>
      <c r="T1" s="294"/>
      <c r="U1" s="294"/>
      <c r="V1" s="294"/>
      <c r="W1" s="294"/>
      <c r="X1" s="294"/>
      <c r="Y1" s="294"/>
    </row>
    <row r="2" spans="1:25" x14ac:dyDescent="0.3">
      <c r="A2" s="1"/>
      <c r="B2" s="1"/>
      <c r="C2" s="1"/>
      <c r="D2" s="1"/>
      <c r="E2" s="1"/>
      <c r="F2" s="1"/>
      <c r="G2" s="1"/>
      <c r="H2" s="1"/>
      <c r="I2" s="1"/>
      <c r="J2" s="1"/>
      <c r="K2" s="1"/>
      <c r="L2" s="1"/>
      <c r="M2" s="1"/>
      <c r="N2" s="1"/>
      <c r="O2" s="1"/>
      <c r="P2" s="1"/>
      <c r="Q2" s="1"/>
      <c r="R2" s="1"/>
      <c r="S2" s="1"/>
      <c r="T2" s="1"/>
      <c r="U2" s="1"/>
      <c r="V2" s="1"/>
      <c r="W2" s="1"/>
      <c r="X2" s="1"/>
      <c r="Y2" s="1"/>
    </row>
    <row r="3" spans="1:25" x14ac:dyDescent="0.3">
      <c r="A3" s="49" t="s">
        <v>50</v>
      </c>
      <c r="B3" s="49"/>
      <c r="C3" s="49"/>
      <c r="D3" s="50">
        <f>Phasing!D$3</f>
        <v>2023</v>
      </c>
      <c r="E3" s="50">
        <f>Phasing!E$3</f>
        <v>2024</v>
      </c>
      <c r="F3" s="50">
        <f>Phasing!F$3</f>
        <v>2024</v>
      </c>
      <c r="G3" s="50">
        <f>Phasing!G$3</f>
        <v>2024</v>
      </c>
      <c r="H3" s="50">
        <f>Phasing!H$3</f>
        <v>2024</v>
      </c>
      <c r="I3" s="50">
        <f>Phasing!I$3</f>
        <v>2025</v>
      </c>
      <c r="J3" s="50">
        <f>Phasing!J$3</f>
        <v>2025</v>
      </c>
      <c r="K3" s="50">
        <f>Phasing!K$3</f>
        <v>2025</v>
      </c>
      <c r="L3" s="50">
        <f>Phasing!L$3</f>
        <v>2025</v>
      </c>
      <c r="M3" s="50">
        <f>Phasing!M$3</f>
        <v>2026</v>
      </c>
      <c r="N3" s="50">
        <f>Phasing!N$3</f>
        <v>2026</v>
      </c>
      <c r="O3" s="50">
        <f>Phasing!O$3</f>
        <v>2026</v>
      </c>
      <c r="P3" s="50">
        <f>Phasing!P$3</f>
        <v>2026</v>
      </c>
      <c r="Q3" s="50">
        <f>Phasing!Q$3</f>
        <v>2027</v>
      </c>
      <c r="R3" s="50">
        <f>Phasing!R$3</f>
        <v>2027</v>
      </c>
      <c r="S3" s="50">
        <f>Phasing!S$3</f>
        <v>2027</v>
      </c>
      <c r="T3" s="50">
        <f>Phasing!T$3</f>
        <v>2027</v>
      </c>
      <c r="U3" s="50">
        <f>Phasing!U$3</f>
        <v>2028</v>
      </c>
      <c r="V3" s="50">
        <f>Phasing!V$3</f>
        <v>2028</v>
      </c>
      <c r="W3" s="50">
        <f>Phasing!W$3</f>
        <v>2028</v>
      </c>
      <c r="X3" s="50">
        <f>Phasing!X$3</f>
        <v>2028</v>
      </c>
      <c r="Y3" s="51"/>
    </row>
    <row r="4" spans="1:25" x14ac:dyDescent="0.3">
      <c r="A4" s="49" t="s">
        <v>51</v>
      </c>
      <c r="B4" s="49"/>
      <c r="C4" s="49"/>
      <c r="D4" s="51" t="str">
        <f>Phasing!D$4</f>
        <v>Opening</v>
      </c>
      <c r="E4" s="51" t="str">
        <f>Phasing!E$4</f>
        <v>Q1-24</v>
      </c>
      <c r="F4" s="51" t="str">
        <f>Phasing!F$4</f>
        <v>Q2-24</v>
      </c>
      <c r="G4" s="51" t="str">
        <f>Phasing!G$4</f>
        <v>Q3-24</v>
      </c>
      <c r="H4" s="51" t="str">
        <f>Phasing!H$4</f>
        <v>Q4-24</v>
      </c>
      <c r="I4" s="51" t="str">
        <f>Phasing!I$4</f>
        <v>Q1-25</v>
      </c>
      <c r="J4" s="51" t="str">
        <f>Phasing!J$4</f>
        <v>Q2-25</v>
      </c>
      <c r="K4" s="51" t="str">
        <f>Phasing!K$4</f>
        <v>Q3-25</v>
      </c>
      <c r="L4" s="51" t="str">
        <f>Phasing!L$4</f>
        <v>Q4-25</v>
      </c>
      <c r="M4" s="51" t="str">
        <f>Phasing!M$4</f>
        <v>Q1-26</v>
      </c>
      <c r="N4" s="51" t="str">
        <f>Phasing!N$4</f>
        <v>Q2-26</v>
      </c>
      <c r="O4" s="51" t="str">
        <f>Phasing!O$4</f>
        <v>Q3-26</v>
      </c>
      <c r="P4" s="51" t="str">
        <f>Phasing!P$4</f>
        <v>Q4-26</v>
      </c>
      <c r="Q4" s="51" t="str">
        <f>Phasing!Q$4</f>
        <v>Q1-27</v>
      </c>
      <c r="R4" s="51" t="str">
        <f>Phasing!R$4</f>
        <v>Q2-27</v>
      </c>
      <c r="S4" s="51" t="str">
        <f>Phasing!S$4</f>
        <v>Q3-27</v>
      </c>
      <c r="T4" s="51" t="str">
        <f>Phasing!T$4</f>
        <v>Q4-27</v>
      </c>
      <c r="U4" s="51" t="str">
        <f>Phasing!U$4</f>
        <v>Q1-28</v>
      </c>
      <c r="V4" s="51" t="str">
        <f>Phasing!V$4</f>
        <v>Q2-28</v>
      </c>
      <c r="W4" s="51" t="str">
        <f>Phasing!W$4</f>
        <v>Q3-28</v>
      </c>
      <c r="X4" s="51" t="str">
        <f>Phasing!X$4</f>
        <v>Q4-28</v>
      </c>
      <c r="Y4" s="51" t="s">
        <v>4</v>
      </c>
    </row>
    <row r="5" spans="1:25" x14ac:dyDescent="0.3">
      <c r="A5" s="1"/>
      <c r="B5" s="1"/>
      <c r="C5" s="1"/>
      <c r="D5" s="1"/>
      <c r="E5" s="1"/>
      <c r="F5" s="1"/>
      <c r="G5" s="1"/>
      <c r="H5" s="1"/>
      <c r="I5" s="1"/>
      <c r="J5" s="1"/>
      <c r="K5" s="1"/>
      <c r="L5" s="1"/>
      <c r="M5" s="1"/>
      <c r="N5" s="1"/>
      <c r="O5" s="1"/>
      <c r="P5" s="1"/>
      <c r="Q5" s="1"/>
      <c r="R5" s="1"/>
      <c r="S5" s="1"/>
      <c r="T5" s="1"/>
      <c r="U5" s="1"/>
      <c r="V5" s="1"/>
      <c r="W5" s="1"/>
      <c r="X5" s="1"/>
      <c r="Y5" s="1"/>
    </row>
    <row r="6" spans="1:25" ht="19.95" customHeight="1" x14ac:dyDescent="0.3">
      <c r="A6" s="297" t="s">
        <v>68</v>
      </c>
      <c r="B6" s="297"/>
      <c r="C6" s="297"/>
      <c r="D6" s="297"/>
      <c r="E6" s="297"/>
      <c r="F6" s="297"/>
      <c r="G6" s="297"/>
      <c r="H6" s="297"/>
      <c r="I6" s="297"/>
      <c r="J6" s="297"/>
      <c r="K6" s="297"/>
      <c r="L6" s="297"/>
      <c r="M6" s="297"/>
      <c r="N6" s="297"/>
      <c r="O6" s="297"/>
      <c r="P6" s="297"/>
      <c r="Q6" s="297"/>
      <c r="R6" s="297"/>
      <c r="S6" s="297"/>
      <c r="T6" s="297"/>
      <c r="U6" s="297"/>
      <c r="V6" s="297"/>
      <c r="W6" s="297"/>
      <c r="X6" s="297"/>
      <c r="Y6" s="297"/>
    </row>
    <row r="7" spans="1:25" x14ac:dyDescent="0.3">
      <c r="A7" s="54" t="s">
        <v>69</v>
      </c>
      <c r="B7" s="54"/>
      <c r="C7" s="54"/>
      <c r="D7" s="55">
        <f>SUMPRODUCT(Phasing!D$180:D$259,Inputs!$M$6:$M$85)</f>
        <v>0</v>
      </c>
      <c r="E7" s="55">
        <f>SUMPRODUCT(Phasing!E$180:E$259,Inputs!$M$6:$M$85)</f>
        <v>0</v>
      </c>
      <c r="F7" s="55">
        <f>SUMPRODUCT(Phasing!F$180:F$259,Inputs!$M$6:$M$85)</f>
        <v>0</v>
      </c>
      <c r="G7" s="55">
        <f>SUMPRODUCT(Phasing!G$180:G$259,Inputs!$M$6:$M$85)</f>
        <v>0</v>
      </c>
      <c r="H7" s="55">
        <f>SUMPRODUCT(Phasing!H$180:H$259,Inputs!$M$6:$M$85)</f>
        <v>0</v>
      </c>
      <c r="I7" s="55">
        <f>SUMPRODUCT(Phasing!I$180:I$259,Inputs!$M$6:$M$85)</f>
        <v>8.0310880829015538E-2</v>
      </c>
      <c r="J7" s="55">
        <f>SUMPRODUCT(Phasing!J$180:J$259,Inputs!$M$6:$M$85)</f>
        <v>0.23575129533678757</v>
      </c>
      <c r="K7" s="55">
        <f>SUMPRODUCT(Phasing!K$180:K$259,Inputs!$M$6:$M$85)</f>
        <v>0.84228069976530873</v>
      </c>
      <c r="L7" s="55">
        <f>SUMPRODUCT(Phasing!L$180:L$259,Inputs!$M$6:$M$85)</f>
        <v>6.0764163671613698</v>
      </c>
      <c r="M7" s="55">
        <f>SUMPRODUCT(Phasing!M$180:M$259,Inputs!$M$6:$M$85)</f>
        <v>6.5977450167138478</v>
      </c>
      <c r="N7" s="55">
        <f>SUMPRODUCT(Phasing!N$180:N$259,Inputs!$M$6:$M$85)</f>
        <v>6.6710532946773347</v>
      </c>
      <c r="O7" s="55">
        <f>SUMPRODUCT(Phasing!O$180:O$259,Inputs!$M$6:$M$85)</f>
        <v>9.7736365384410959</v>
      </c>
      <c r="P7" s="55">
        <f>SUMPRODUCT(Phasing!P$180:P$259,Inputs!$M$6:$M$85)</f>
        <v>6.5313558386757871</v>
      </c>
      <c r="Q7" s="55">
        <f>SUMPRODUCT(Phasing!Q$180:Q$259,Inputs!$M$6:$M$85)</f>
        <v>3.6969435751363307</v>
      </c>
      <c r="R7" s="55">
        <f>SUMPRODUCT(Phasing!R$180:R$259,Inputs!$M$6:$M$85)</f>
        <v>3.7380207259711788</v>
      </c>
      <c r="S7" s="55">
        <f>SUMPRODUCT(Phasing!S$180:S$259,Inputs!$M$6:$M$85)</f>
        <v>3.7790978768060266</v>
      </c>
      <c r="T7" s="55">
        <f>SUMPRODUCT(Phasing!T$180:T$259,Inputs!$M$6:$M$85)</f>
        <v>3.7790978768060266</v>
      </c>
      <c r="U7" s="55">
        <f>SUMPRODUCT(Phasing!U$180:U$259,Inputs!$M$6:$M$85)</f>
        <v>1.2448700410396716</v>
      </c>
      <c r="V7" s="55">
        <f>SUMPRODUCT(Phasing!V$180:V$259,Inputs!$M$6:$M$85)</f>
        <v>1.2448700410396716</v>
      </c>
      <c r="W7" s="55">
        <f>SUMPRODUCT(Phasing!W$180:W$259,Inputs!$M$6:$M$85)</f>
        <v>0.62927496580027364</v>
      </c>
      <c r="X7" s="55">
        <f>SUMPRODUCT(Phasing!X$180:X$259,Inputs!$M$6:$M$85)</f>
        <v>0.62927496580027364</v>
      </c>
      <c r="Y7" s="55">
        <f>SUM(D7:X7)</f>
        <v>55.549999999999983</v>
      </c>
    </row>
    <row r="8" spans="1:25" x14ac:dyDescent="0.3">
      <c r="A8" s="54" t="s">
        <v>70</v>
      </c>
      <c r="B8" s="54"/>
      <c r="C8" s="54"/>
      <c r="D8" s="55">
        <f>SUMPRODUCT(Phasing!D$510:D$589,Inputs!$M$6:$M$85)</f>
        <v>0</v>
      </c>
      <c r="E8" s="55">
        <f>SUMPRODUCT(Phasing!E$510:E$589,Inputs!$M$6:$M$85)</f>
        <v>0</v>
      </c>
      <c r="F8" s="55">
        <f>SUMPRODUCT(Phasing!F$510:F$589,Inputs!$M$6:$M$85)</f>
        <v>0.40675675675675677</v>
      </c>
      <c r="G8" s="55">
        <f>SUMPRODUCT(Phasing!G$510:G$589,Inputs!$M$6:$M$85)</f>
        <v>0.99459459459459465</v>
      </c>
      <c r="H8" s="55">
        <f>SUMPRODUCT(Phasing!H$510:H$589,Inputs!$M$6:$M$85)</f>
        <v>6.7567567567567571E-2</v>
      </c>
      <c r="I8" s="55">
        <f>SUMPRODUCT(Phasing!I$510:I$589,Inputs!$M$6:$M$85)</f>
        <v>0.25810810810810814</v>
      </c>
      <c r="J8" s="55">
        <f>SUMPRODUCT(Phasing!J$510:J$589,Inputs!$M$6:$M$85)</f>
        <v>0.15000000000000002</v>
      </c>
      <c r="K8" s="55">
        <f>SUMPRODUCT(Phasing!K$510:K$589,Inputs!$M$6:$M$85)</f>
        <v>5.4054054054054057E-3</v>
      </c>
      <c r="L8" s="55">
        <f>SUMPRODUCT(Phasing!L$510:L$589,Inputs!$M$6:$M$85)</f>
        <v>4.9986486486486488</v>
      </c>
      <c r="M8" s="55">
        <f>SUMPRODUCT(Phasing!M$510:M$589,Inputs!$M$6:$M$85)</f>
        <v>4.5283783783783775</v>
      </c>
      <c r="N8" s="55">
        <f>SUMPRODUCT(Phasing!N$510:N$589,Inputs!$M$6:$M$85)</f>
        <v>6.4135135135135126</v>
      </c>
      <c r="O8" s="55">
        <f>SUMPRODUCT(Phasing!O$510:O$589,Inputs!$M$6:$M$85)</f>
        <v>3.2243243243243245</v>
      </c>
      <c r="P8" s="55">
        <f>SUMPRODUCT(Phasing!P$510:P$589,Inputs!$M$6:$M$85)</f>
        <v>0</v>
      </c>
      <c r="Q8" s="55">
        <f>SUMPRODUCT(Phasing!Q$510:Q$589,Inputs!$M$6:$M$85)</f>
        <v>0</v>
      </c>
      <c r="R8" s="55">
        <f>SUMPRODUCT(Phasing!R$510:R$589,Inputs!$M$6:$M$85)</f>
        <v>0</v>
      </c>
      <c r="S8" s="55">
        <f>SUMPRODUCT(Phasing!S$510:S$589,Inputs!$M$6:$M$85)</f>
        <v>0</v>
      </c>
      <c r="T8" s="55">
        <f>SUMPRODUCT(Phasing!T$510:T$589,Inputs!$M$6:$M$85)</f>
        <v>0</v>
      </c>
      <c r="U8" s="55">
        <f>SUMPRODUCT(Phasing!U$510:U$589,Inputs!$M$6:$M$85)</f>
        <v>0</v>
      </c>
      <c r="V8" s="55">
        <f>SUMPRODUCT(Phasing!V$510:V$589,Inputs!$M$6:$M$85)</f>
        <v>0</v>
      </c>
      <c r="W8" s="55">
        <f>SUMPRODUCT(Phasing!W$510:W$589,Inputs!$M$6:$M$85)</f>
        <v>0</v>
      </c>
      <c r="X8" s="55">
        <f>SUMPRODUCT(Phasing!X$510:X$589,Inputs!$M$6:$M$85)</f>
        <v>0</v>
      </c>
      <c r="Y8" s="55">
        <f>SUM(D8:X8)</f>
        <v>21.047297297297295</v>
      </c>
    </row>
    <row r="9" spans="1:25" x14ac:dyDescent="0.3">
      <c r="A9" s="54" t="s">
        <v>71</v>
      </c>
      <c r="B9" s="54"/>
      <c r="C9" s="54"/>
      <c r="D9" s="55">
        <f>SUMPRODUCT(Phasing!D$595:D$674,Inputs!$M$6:$M$85)</f>
        <v>0</v>
      </c>
      <c r="E9" s="55">
        <f>SUMPRODUCT(Phasing!E$595:E$674,Inputs!$M$6:$M$85)</f>
        <v>0</v>
      </c>
      <c r="F9" s="55">
        <f>SUMPRODUCT(Phasing!F$595:F$674,Inputs!$M$6:$M$85)</f>
        <v>0</v>
      </c>
      <c r="G9" s="55">
        <f>SUMPRODUCT(Phasing!G$595:G$674,Inputs!$M$6:$M$85)</f>
        <v>0</v>
      </c>
      <c r="H9" s="55">
        <f>SUMPRODUCT(Phasing!H$595:H$674,Inputs!$M$6:$M$85)</f>
        <v>2.0161290322580652E-2</v>
      </c>
      <c r="I9" s="55">
        <f>SUMPRODUCT(Phasing!I$595:I$674,Inputs!$M$6:$M$85)</f>
        <v>7.7016129032258088E-2</v>
      </c>
      <c r="J9" s="55">
        <f>SUMPRODUCT(Phasing!J$595:J$674,Inputs!$M$6:$M$85)</f>
        <v>4.4758064516129049E-2</v>
      </c>
      <c r="K9" s="55">
        <f>SUMPRODUCT(Phasing!K$595:K$674,Inputs!$M$6:$M$85)</f>
        <v>1.612903225806452E-3</v>
      </c>
      <c r="L9" s="55">
        <f>SUMPRODUCT(Phasing!L$595:L$674,Inputs!$M$6:$M$85)</f>
        <v>2.2179962049335864</v>
      </c>
      <c r="M9" s="55">
        <f>SUMPRODUCT(Phasing!M$595:M$674,Inputs!$M$6:$M$85)</f>
        <v>2.6061650466638269</v>
      </c>
      <c r="N9" s="55">
        <f>SUMPRODUCT(Phasing!N$595:N$674,Inputs!$M$6:$M$85)</f>
        <v>3.3927324865430037</v>
      </c>
      <c r="O9" s="55">
        <f>SUMPRODUCT(Phasing!O$595:O$674,Inputs!$M$6:$M$85)</f>
        <v>1.8180578747628084</v>
      </c>
      <c r="P9" s="55">
        <f>SUMPRODUCT(Phasing!P$595:P$674,Inputs!$M$6:$M$85)</f>
        <v>0</v>
      </c>
      <c r="Q9" s="55">
        <f>SUMPRODUCT(Phasing!Q$595:Q$674,Inputs!$M$6:$M$85)</f>
        <v>0</v>
      </c>
      <c r="R9" s="55">
        <f>SUMPRODUCT(Phasing!R$595:R$674,Inputs!$M$6:$M$85)</f>
        <v>0</v>
      </c>
      <c r="S9" s="55">
        <f>SUMPRODUCT(Phasing!S$595:S$674,Inputs!$M$6:$M$85)</f>
        <v>0</v>
      </c>
      <c r="T9" s="55">
        <f>SUMPRODUCT(Phasing!T$595:T$674,Inputs!$M$6:$M$85)</f>
        <v>0</v>
      </c>
      <c r="U9" s="55">
        <f>SUMPRODUCT(Phasing!U$595:U$674,Inputs!$M$6:$M$85)</f>
        <v>0</v>
      </c>
      <c r="V9" s="55">
        <f>SUMPRODUCT(Phasing!V$595:V$674,Inputs!$M$6:$M$85)</f>
        <v>0</v>
      </c>
      <c r="W9" s="55">
        <f>SUMPRODUCT(Phasing!W$595:W$674,Inputs!$M$6:$M$85)</f>
        <v>0</v>
      </c>
      <c r="X9" s="55">
        <f>SUMPRODUCT(Phasing!X$595:X$674,Inputs!$M$6:$M$85)</f>
        <v>0</v>
      </c>
      <c r="Y9" s="55">
        <f>SUM(D9:X9)</f>
        <v>10.1785</v>
      </c>
    </row>
    <row r="10" spans="1:25" x14ac:dyDescent="0.3">
      <c r="A10" s="64" t="s">
        <v>72</v>
      </c>
      <c r="B10" s="64"/>
      <c r="C10" s="64"/>
      <c r="D10" s="65">
        <f t="shared" ref="D10:Y10" si="0">D9-D8</f>
        <v>0</v>
      </c>
      <c r="E10" s="65">
        <f t="shared" si="0"/>
        <v>0</v>
      </c>
      <c r="F10" s="65">
        <f t="shared" si="0"/>
        <v>-0.40675675675675677</v>
      </c>
      <c r="G10" s="65">
        <f t="shared" si="0"/>
        <v>-0.99459459459459465</v>
      </c>
      <c r="H10" s="65">
        <f t="shared" si="0"/>
        <v>-4.7406277244986916E-2</v>
      </c>
      <c r="I10" s="65">
        <f t="shared" si="0"/>
        <v>-0.18109197907585006</v>
      </c>
      <c r="J10" s="65">
        <f t="shared" si="0"/>
        <v>-0.10524193548387098</v>
      </c>
      <c r="K10" s="65">
        <f t="shared" si="0"/>
        <v>-3.7925021795989534E-3</v>
      </c>
      <c r="L10" s="65">
        <f t="shared" si="0"/>
        <v>-2.7806524437150624</v>
      </c>
      <c r="M10" s="65">
        <f t="shared" si="0"/>
        <v>-1.9222133317145507</v>
      </c>
      <c r="N10" s="65">
        <f t="shared" si="0"/>
        <v>-3.0207810269705089</v>
      </c>
      <c r="O10" s="65">
        <f t="shared" si="0"/>
        <v>-1.406266449561516</v>
      </c>
      <c r="P10" s="65">
        <f t="shared" si="0"/>
        <v>0</v>
      </c>
      <c r="Q10" s="65">
        <f t="shared" si="0"/>
        <v>0</v>
      </c>
      <c r="R10" s="65">
        <f t="shared" si="0"/>
        <v>0</v>
      </c>
      <c r="S10" s="65">
        <f t="shared" si="0"/>
        <v>0</v>
      </c>
      <c r="T10" s="65">
        <f t="shared" si="0"/>
        <v>0</v>
      </c>
      <c r="U10" s="65">
        <f t="shared" si="0"/>
        <v>0</v>
      </c>
      <c r="V10" s="65">
        <f t="shared" si="0"/>
        <v>0</v>
      </c>
      <c r="W10" s="65">
        <f t="shared" si="0"/>
        <v>0</v>
      </c>
      <c r="X10" s="65">
        <f t="shared" si="0"/>
        <v>0</v>
      </c>
      <c r="Y10" s="65">
        <f t="shared" si="0"/>
        <v>-10.868797297297295</v>
      </c>
    </row>
    <row r="11" spans="1:25" x14ac:dyDescent="0.3">
      <c r="A11" s="54" t="s">
        <v>73</v>
      </c>
      <c r="B11" s="54"/>
      <c r="C11" s="54"/>
      <c r="D11" s="55">
        <f>D8</f>
        <v>0</v>
      </c>
      <c r="E11" s="55">
        <f t="shared" ref="E11:X11" si="1">D11+E8</f>
        <v>0</v>
      </c>
      <c r="F11" s="55">
        <f t="shared" si="1"/>
        <v>0.40675675675675677</v>
      </c>
      <c r="G11" s="55">
        <f t="shared" si="1"/>
        <v>1.4013513513513514</v>
      </c>
      <c r="H11" s="55">
        <f t="shared" si="1"/>
        <v>1.4689189189189189</v>
      </c>
      <c r="I11" s="55">
        <f t="shared" si="1"/>
        <v>1.7270270270270269</v>
      </c>
      <c r="J11" s="55">
        <f t="shared" si="1"/>
        <v>1.8770270270270268</v>
      </c>
      <c r="K11" s="55">
        <f t="shared" si="1"/>
        <v>1.8824324324324322</v>
      </c>
      <c r="L11" s="55">
        <f t="shared" si="1"/>
        <v>6.8810810810810814</v>
      </c>
      <c r="M11" s="55">
        <f t="shared" si="1"/>
        <v>11.409459459459459</v>
      </c>
      <c r="N11" s="55">
        <f t="shared" si="1"/>
        <v>17.82297297297297</v>
      </c>
      <c r="O11" s="55">
        <f t="shared" si="1"/>
        <v>21.047297297297295</v>
      </c>
      <c r="P11" s="55">
        <f t="shared" si="1"/>
        <v>21.047297297297295</v>
      </c>
      <c r="Q11" s="55">
        <f t="shared" si="1"/>
        <v>21.047297297297295</v>
      </c>
      <c r="R11" s="55">
        <f t="shared" si="1"/>
        <v>21.047297297297295</v>
      </c>
      <c r="S11" s="55">
        <f t="shared" si="1"/>
        <v>21.047297297297295</v>
      </c>
      <c r="T11" s="55">
        <f t="shared" si="1"/>
        <v>21.047297297297295</v>
      </c>
      <c r="U11" s="55">
        <f t="shared" si="1"/>
        <v>21.047297297297295</v>
      </c>
      <c r="V11" s="55">
        <f t="shared" si="1"/>
        <v>21.047297297297295</v>
      </c>
      <c r="W11" s="55">
        <f t="shared" si="1"/>
        <v>21.047297297297295</v>
      </c>
      <c r="X11" s="55">
        <f t="shared" si="1"/>
        <v>21.047297297297295</v>
      </c>
      <c r="Y11" s="55">
        <f>X11</f>
        <v>21.047297297297295</v>
      </c>
    </row>
    <row r="12" spans="1:25" x14ac:dyDescent="0.3">
      <c r="A12" s="54" t="s">
        <v>74</v>
      </c>
      <c r="B12" s="54"/>
      <c r="C12" s="54"/>
      <c r="D12" s="55">
        <f>D9</f>
        <v>0</v>
      </c>
      <c r="E12" s="55">
        <f t="shared" ref="E12:X12" si="2">D12+E9</f>
        <v>0</v>
      </c>
      <c r="F12" s="55">
        <f t="shared" si="2"/>
        <v>0</v>
      </c>
      <c r="G12" s="55">
        <f t="shared" si="2"/>
        <v>0</v>
      </c>
      <c r="H12" s="55">
        <f t="shared" si="2"/>
        <v>2.0161290322580652E-2</v>
      </c>
      <c r="I12" s="55">
        <f t="shared" si="2"/>
        <v>9.7177419354838743E-2</v>
      </c>
      <c r="J12" s="55">
        <f t="shared" si="2"/>
        <v>0.1419354838709678</v>
      </c>
      <c r="K12" s="55">
        <f t="shared" si="2"/>
        <v>0.14354838709677425</v>
      </c>
      <c r="L12" s="55">
        <f t="shared" si="2"/>
        <v>2.3615445920303606</v>
      </c>
      <c r="M12" s="55">
        <f t="shared" si="2"/>
        <v>4.9677096386941875</v>
      </c>
      <c r="N12" s="55">
        <f t="shared" si="2"/>
        <v>8.3604421252371921</v>
      </c>
      <c r="O12" s="55">
        <f t="shared" si="2"/>
        <v>10.1785</v>
      </c>
      <c r="P12" s="55">
        <f t="shared" si="2"/>
        <v>10.1785</v>
      </c>
      <c r="Q12" s="55">
        <f t="shared" si="2"/>
        <v>10.1785</v>
      </c>
      <c r="R12" s="55">
        <f t="shared" si="2"/>
        <v>10.1785</v>
      </c>
      <c r="S12" s="55">
        <f t="shared" si="2"/>
        <v>10.1785</v>
      </c>
      <c r="T12" s="55">
        <f t="shared" si="2"/>
        <v>10.1785</v>
      </c>
      <c r="U12" s="55">
        <f t="shared" si="2"/>
        <v>10.1785</v>
      </c>
      <c r="V12" s="55">
        <f t="shared" si="2"/>
        <v>10.1785</v>
      </c>
      <c r="W12" s="55">
        <f t="shared" si="2"/>
        <v>10.1785</v>
      </c>
      <c r="X12" s="55">
        <f t="shared" si="2"/>
        <v>10.1785</v>
      </c>
      <c r="Y12" s="55">
        <f>X12</f>
        <v>10.1785</v>
      </c>
    </row>
    <row r="13" spans="1:25" x14ac:dyDescent="0.3">
      <c r="A13" s="66" t="s">
        <v>75</v>
      </c>
      <c r="B13" s="66"/>
      <c r="C13" s="66"/>
      <c r="D13" s="56">
        <f>D10</f>
        <v>0</v>
      </c>
      <c r="E13" s="56">
        <f t="shared" ref="E13:X13" si="3">D13+E10</f>
        <v>0</v>
      </c>
      <c r="F13" s="56">
        <f t="shared" si="3"/>
        <v>-0.40675675675675677</v>
      </c>
      <c r="G13" s="56">
        <f t="shared" si="3"/>
        <v>-1.4013513513513514</v>
      </c>
      <c r="H13" s="56">
        <f t="shared" si="3"/>
        <v>-1.4487576285963382</v>
      </c>
      <c r="I13" s="56">
        <f t="shared" si="3"/>
        <v>-1.6298496076721882</v>
      </c>
      <c r="J13" s="56">
        <f t="shared" si="3"/>
        <v>-1.7350915431560592</v>
      </c>
      <c r="K13" s="56">
        <f t="shared" si="3"/>
        <v>-1.7388840453356582</v>
      </c>
      <c r="L13" s="56">
        <f t="shared" si="3"/>
        <v>-4.5195364890507204</v>
      </c>
      <c r="M13" s="56">
        <f t="shared" si="3"/>
        <v>-6.4417498207652706</v>
      </c>
      <c r="N13" s="56">
        <f t="shared" si="3"/>
        <v>-9.4625308477357795</v>
      </c>
      <c r="O13" s="56">
        <f t="shared" si="3"/>
        <v>-10.868797297297295</v>
      </c>
      <c r="P13" s="56">
        <f t="shared" si="3"/>
        <v>-10.868797297297295</v>
      </c>
      <c r="Q13" s="56">
        <f t="shared" si="3"/>
        <v>-10.868797297297295</v>
      </c>
      <c r="R13" s="56">
        <f t="shared" si="3"/>
        <v>-10.868797297297295</v>
      </c>
      <c r="S13" s="56">
        <f t="shared" si="3"/>
        <v>-10.868797297297295</v>
      </c>
      <c r="T13" s="56">
        <f t="shared" si="3"/>
        <v>-10.868797297297295</v>
      </c>
      <c r="U13" s="56">
        <f t="shared" si="3"/>
        <v>-10.868797297297295</v>
      </c>
      <c r="V13" s="56">
        <f t="shared" si="3"/>
        <v>-10.868797297297295</v>
      </c>
      <c r="W13" s="56">
        <f t="shared" si="3"/>
        <v>-10.868797297297295</v>
      </c>
      <c r="X13" s="56">
        <f t="shared" si="3"/>
        <v>-10.868797297297295</v>
      </c>
      <c r="Y13" s="56">
        <f>X13</f>
        <v>-10.868797297297295</v>
      </c>
    </row>
    <row r="14" spans="1:25" x14ac:dyDescent="0.3">
      <c r="A14" s="1"/>
      <c r="B14" s="1"/>
      <c r="C14" s="1"/>
      <c r="D14" s="1"/>
      <c r="E14" s="1"/>
      <c r="F14" s="1"/>
      <c r="G14" s="1"/>
      <c r="H14" s="1"/>
      <c r="I14" s="1"/>
      <c r="J14" s="1"/>
      <c r="K14" s="1"/>
      <c r="L14" s="1"/>
      <c r="M14" s="1"/>
      <c r="N14" s="1"/>
      <c r="O14" s="1"/>
      <c r="P14" s="1"/>
      <c r="Q14" s="1"/>
      <c r="R14" s="1"/>
      <c r="S14" s="1"/>
      <c r="T14" s="1"/>
      <c r="U14" s="1"/>
      <c r="V14" s="1"/>
      <c r="W14" s="1"/>
      <c r="X14" s="1"/>
      <c r="Y14" s="1"/>
    </row>
    <row r="15" spans="1:25" x14ac:dyDescent="0.3">
      <c r="A15" s="1"/>
      <c r="B15" s="1"/>
      <c r="C15" s="1"/>
      <c r="D15" s="1"/>
      <c r="E15" s="1"/>
      <c r="F15" s="1"/>
      <c r="G15" s="1"/>
      <c r="H15" s="1"/>
      <c r="I15" s="1"/>
      <c r="J15" s="1"/>
      <c r="K15" s="1"/>
      <c r="L15" s="1"/>
      <c r="M15" s="1"/>
      <c r="N15" s="1"/>
      <c r="O15" s="1"/>
      <c r="P15" s="1"/>
      <c r="Q15" s="1"/>
      <c r="R15" s="1"/>
      <c r="S15" s="1"/>
      <c r="T15" s="1"/>
      <c r="U15" s="1"/>
      <c r="V15" s="1"/>
      <c r="W15" s="1"/>
      <c r="X15" s="1"/>
      <c r="Y15" s="1"/>
    </row>
    <row r="16" spans="1:25" ht="19.95" customHeight="1" x14ac:dyDescent="0.3">
      <c r="A16" s="297" t="s">
        <v>76</v>
      </c>
      <c r="B16" s="297"/>
      <c r="C16" s="297"/>
      <c r="D16" s="297"/>
      <c r="E16" s="297"/>
      <c r="F16" s="297"/>
      <c r="G16" s="297"/>
      <c r="H16" s="297"/>
      <c r="I16" s="297"/>
      <c r="J16" s="297"/>
      <c r="K16" s="297"/>
      <c r="L16" s="297"/>
      <c r="M16" s="297"/>
      <c r="N16" s="297"/>
      <c r="O16" s="297"/>
      <c r="P16" s="297"/>
      <c r="Q16" s="297"/>
      <c r="R16" s="297"/>
      <c r="S16" s="297"/>
      <c r="T16" s="297"/>
      <c r="U16" s="297"/>
      <c r="V16" s="297"/>
      <c r="W16" s="297"/>
      <c r="X16" s="297"/>
      <c r="Y16" s="297"/>
    </row>
    <row r="17" spans="1:25" x14ac:dyDescent="0.3">
      <c r="A17" s="54" t="s">
        <v>69</v>
      </c>
      <c r="B17" s="54"/>
      <c r="C17" s="54"/>
      <c r="D17" s="55">
        <f>Phasing!D$260</f>
        <v>0</v>
      </c>
      <c r="E17" s="55">
        <f>Phasing!E$260</f>
        <v>6.1516769570680943</v>
      </c>
      <c r="F17" s="55">
        <f>Phasing!F$260</f>
        <v>21.27827683425118</v>
      </c>
      <c r="G17" s="55">
        <f>Phasing!G$260</f>
        <v>16.690900911226059</v>
      </c>
      <c r="H17" s="55">
        <f>Phasing!H$260</f>
        <v>11.24385927030365</v>
      </c>
      <c r="I17" s="55">
        <f>Phasing!I$260</f>
        <v>9.458206146035387</v>
      </c>
      <c r="J17" s="55">
        <f>Phasing!J$260</f>
        <v>11.276314360655094</v>
      </c>
      <c r="K17" s="55">
        <f>Phasing!K$260</f>
        <v>15.336632175191898</v>
      </c>
      <c r="L17" s="55">
        <f>Phasing!L$260</f>
        <v>9.5617296087891415</v>
      </c>
      <c r="M17" s="55">
        <f>Phasing!M$260</f>
        <v>12.801473484828895</v>
      </c>
      <c r="N17" s="55">
        <f>Phasing!N$260</f>
        <v>11.11548640370359</v>
      </c>
      <c r="O17" s="55">
        <f>Phasing!O$260</f>
        <v>12.858458867517017</v>
      </c>
      <c r="P17" s="55">
        <f>Phasing!P$260</f>
        <v>8.05375261537983</v>
      </c>
      <c r="Q17" s="55">
        <f>Phasing!Q$260</f>
        <v>4.3984985990597751</v>
      </c>
      <c r="R17" s="55">
        <f>Phasing!R$260</f>
        <v>4.0482479986984519</v>
      </c>
      <c r="S17" s="55">
        <f>Phasing!S$260</f>
        <v>3.7790978768060266</v>
      </c>
      <c r="T17" s="55">
        <f>Phasing!T$260</f>
        <v>3.7790978768060266</v>
      </c>
      <c r="U17" s="55">
        <f>Phasing!U$260</f>
        <v>1.2448700410396716</v>
      </c>
      <c r="V17" s="55">
        <f>Phasing!V$260</f>
        <v>1.2448700410396716</v>
      </c>
      <c r="W17" s="55">
        <f>Phasing!W$260</f>
        <v>0.62927496580027364</v>
      </c>
      <c r="X17" s="55">
        <f>Phasing!X$260</f>
        <v>0.62927496580027364</v>
      </c>
      <c r="Y17" s="55">
        <f>SUM(D17:X17)</f>
        <v>165.57999999999996</v>
      </c>
    </row>
    <row r="18" spans="1:25" x14ac:dyDescent="0.3">
      <c r="A18" s="54" t="s">
        <v>70</v>
      </c>
      <c r="B18" s="54"/>
      <c r="C18" s="54"/>
      <c r="D18" s="55">
        <f>Phasing!D$590</f>
        <v>1.2472972972972971</v>
      </c>
      <c r="E18" s="55">
        <f>Phasing!E$590</f>
        <v>3.7364864864864868</v>
      </c>
      <c r="F18" s="55">
        <f>Phasing!F$590</f>
        <v>3.4824324324324323</v>
      </c>
      <c r="G18" s="55">
        <f>Phasing!G$590</f>
        <v>5.9310810810810803</v>
      </c>
      <c r="H18" s="55">
        <f>Phasing!H$590</f>
        <v>8.0783783783783782</v>
      </c>
      <c r="I18" s="55">
        <f>Phasing!I$590</f>
        <v>7.2337837837837844</v>
      </c>
      <c r="J18" s="55">
        <f>Phasing!J$590</f>
        <v>5.96081081081081</v>
      </c>
      <c r="K18" s="55">
        <f>Phasing!K$590</f>
        <v>8.7851351351351354</v>
      </c>
      <c r="L18" s="55">
        <f>Phasing!L$590</f>
        <v>8.1783783783783761</v>
      </c>
      <c r="M18" s="55">
        <f>Phasing!M$590</f>
        <v>6.6445945945945946</v>
      </c>
      <c r="N18" s="55">
        <f>Phasing!N$590</f>
        <v>7.7986486486486468</v>
      </c>
      <c r="O18" s="55">
        <f>Phasing!O$590</f>
        <v>3.464864864864865</v>
      </c>
      <c r="P18" s="55">
        <f>Phasing!P$590</f>
        <v>0</v>
      </c>
      <c r="Q18" s="55">
        <f>Phasing!Q$590</f>
        <v>0</v>
      </c>
      <c r="R18" s="55">
        <f>Phasing!R$590</f>
        <v>0</v>
      </c>
      <c r="S18" s="55">
        <f>Phasing!S$590</f>
        <v>0</v>
      </c>
      <c r="T18" s="55">
        <f>Phasing!T$590</f>
        <v>0</v>
      </c>
      <c r="U18" s="55">
        <f>Phasing!U$590</f>
        <v>0</v>
      </c>
      <c r="V18" s="55">
        <f>Phasing!V$590</f>
        <v>0</v>
      </c>
      <c r="W18" s="55">
        <f>Phasing!W$590</f>
        <v>0</v>
      </c>
      <c r="X18" s="55">
        <f>Phasing!X$590</f>
        <v>0</v>
      </c>
      <c r="Y18" s="55">
        <f>SUM(D18:X18)</f>
        <v>70.541891891891893</v>
      </c>
    </row>
    <row r="19" spans="1:25" x14ac:dyDescent="0.3">
      <c r="A19" s="54" t="s">
        <v>71</v>
      </c>
      <c r="B19" s="54"/>
      <c r="C19" s="54"/>
      <c r="D19" s="55">
        <f>Phasing!D$675</f>
        <v>1.6844872840358049</v>
      </c>
      <c r="E19" s="55">
        <f>Phasing!E$675</f>
        <v>13.904222963267506</v>
      </c>
      <c r="F19" s="55">
        <f>Phasing!F$675</f>
        <v>13.484699075756589</v>
      </c>
      <c r="G19" s="55">
        <f>Phasing!G$675</f>
        <v>16.051781042349106</v>
      </c>
      <c r="H19" s="55">
        <f>Phasing!H$675</f>
        <v>14.157121595900842</v>
      </c>
      <c r="I19" s="55">
        <f>Phasing!I$675</f>
        <v>7.501523850953717</v>
      </c>
      <c r="J19" s="55">
        <f>Phasing!J$675</f>
        <v>11.631745215559794</v>
      </c>
      <c r="K19" s="55">
        <f>Phasing!K$675</f>
        <v>13.165997437935664</v>
      </c>
      <c r="L19" s="55">
        <f>Phasing!L$675</f>
        <v>5.7657842142747784</v>
      </c>
      <c r="M19" s="55">
        <f>Phasing!M$675</f>
        <v>6.3798129639126016</v>
      </c>
      <c r="N19" s="55">
        <f>Phasing!N$675</f>
        <v>5.5491441656978839</v>
      </c>
      <c r="O19" s="55">
        <f>Phasing!O$675</f>
        <v>2.2571801903557125</v>
      </c>
      <c r="P19" s="55">
        <f>Phasing!P$675</f>
        <v>0</v>
      </c>
      <c r="Q19" s="55">
        <f>Phasing!Q$675</f>
        <v>0</v>
      </c>
      <c r="R19" s="55">
        <f>Phasing!R$675</f>
        <v>0</v>
      </c>
      <c r="S19" s="55">
        <f>Phasing!S$675</f>
        <v>0</v>
      </c>
      <c r="T19" s="55">
        <f>Phasing!T$675</f>
        <v>0</v>
      </c>
      <c r="U19" s="55">
        <f>Phasing!U$675</f>
        <v>0</v>
      </c>
      <c r="V19" s="55">
        <f>Phasing!V$675</f>
        <v>0</v>
      </c>
      <c r="W19" s="55">
        <f>Phasing!W$675</f>
        <v>0</v>
      </c>
      <c r="X19" s="55">
        <f>Phasing!X$675</f>
        <v>0</v>
      </c>
      <c r="Y19" s="55">
        <f>SUM(D19:X19)</f>
        <v>111.53349999999998</v>
      </c>
    </row>
    <row r="20" spans="1:25" x14ac:dyDescent="0.3">
      <c r="A20" s="64" t="s">
        <v>72</v>
      </c>
      <c r="B20" s="64"/>
      <c r="C20" s="64"/>
      <c r="D20" s="65">
        <f t="shared" ref="D20:Y20" si="4">D19-D18</f>
        <v>0.43718998673850784</v>
      </c>
      <c r="E20" s="65">
        <f t="shared" si="4"/>
        <v>10.16773647678102</v>
      </c>
      <c r="F20" s="65">
        <f t="shared" si="4"/>
        <v>10.002266643324157</v>
      </c>
      <c r="G20" s="65">
        <f t="shared" si="4"/>
        <v>10.120699961268025</v>
      </c>
      <c r="H20" s="65">
        <f t="shared" si="4"/>
        <v>6.0787432175224634</v>
      </c>
      <c r="I20" s="65">
        <f t="shared" si="4"/>
        <v>0.26774006716993259</v>
      </c>
      <c r="J20" s="65">
        <f t="shared" si="4"/>
        <v>5.6709344047489845</v>
      </c>
      <c r="K20" s="65">
        <f t="shared" si="4"/>
        <v>4.3808623028005282</v>
      </c>
      <c r="L20" s="65">
        <f t="shared" si="4"/>
        <v>-2.4125941641035977</v>
      </c>
      <c r="M20" s="65">
        <f t="shared" si="4"/>
        <v>-0.26478163068199301</v>
      </c>
      <c r="N20" s="65">
        <f t="shared" si="4"/>
        <v>-2.2495044829507629</v>
      </c>
      <c r="O20" s="65">
        <f t="shared" si="4"/>
        <v>-1.2076846745091525</v>
      </c>
      <c r="P20" s="65">
        <f t="shared" si="4"/>
        <v>0</v>
      </c>
      <c r="Q20" s="65">
        <f t="shared" si="4"/>
        <v>0</v>
      </c>
      <c r="R20" s="65">
        <f t="shared" si="4"/>
        <v>0</v>
      </c>
      <c r="S20" s="65">
        <f t="shared" si="4"/>
        <v>0</v>
      </c>
      <c r="T20" s="65">
        <f t="shared" si="4"/>
        <v>0</v>
      </c>
      <c r="U20" s="65">
        <f t="shared" si="4"/>
        <v>0</v>
      </c>
      <c r="V20" s="65">
        <f t="shared" si="4"/>
        <v>0</v>
      </c>
      <c r="W20" s="65">
        <f t="shared" si="4"/>
        <v>0</v>
      </c>
      <c r="X20" s="65">
        <f t="shared" si="4"/>
        <v>0</v>
      </c>
      <c r="Y20" s="65">
        <f t="shared" si="4"/>
        <v>40.991608108108082</v>
      </c>
    </row>
    <row r="21" spans="1:25" x14ac:dyDescent="0.3">
      <c r="A21" s="66" t="s">
        <v>75</v>
      </c>
      <c r="B21" s="66"/>
      <c r="C21" s="66"/>
      <c r="D21" s="56">
        <f>D20</f>
        <v>0.43718998673850784</v>
      </c>
      <c r="E21" s="56">
        <f t="shared" ref="E21:X21" si="5">D21+E20</f>
        <v>10.604926463519528</v>
      </c>
      <c r="F21" s="56">
        <f t="shared" si="5"/>
        <v>20.607193106843685</v>
      </c>
      <c r="G21" s="56">
        <f t="shared" si="5"/>
        <v>30.727893068111712</v>
      </c>
      <c r="H21" s="56">
        <f t="shared" si="5"/>
        <v>36.806636285634177</v>
      </c>
      <c r="I21" s="56">
        <f t="shared" si="5"/>
        <v>37.074376352804109</v>
      </c>
      <c r="J21" s="56">
        <f t="shared" si="5"/>
        <v>42.745310757553092</v>
      </c>
      <c r="K21" s="56">
        <f t="shared" si="5"/>
        <v>47.126173060353622</v>
      </c>
      <c r="L21" s="56">
        <f t="shared" si="5"/>
        <v>44.713578896250027</v>
      </c>
      <c r="M21" s="56">
        <f t="shared" si="5"/>
        <v>44.448797265568032</v>
      </c>
      <c r="N21" s="56">
        <f t="shared" si="5"/>
        <v>42.19929278261727</v>
      </c>
      <c r="O21" s="56">
        <f t="shared" si="5"/>
        <v>40.991608108108117</v>
      </c>
      <c r="P21" s="56">
        <f t="shared" si="5"/>
        <v>40.991608108108117</v>
      </c>
      <c r="Q21" s="56">
        <f t="shared" si="5"/>
        <v>40.991608108108117</v>
      </c>
      <c r="R21" s="56">
        <f t="shared" si="5"/>
        <v>40.991608108108117</v>
      </c>
      <c r="S21" s="56">
        <f t="shared" si="5"/>
        <v>40.991608108108117</v>
      </c>
      <c r="T21" s="56">
        <f t="shared" si="5"/>
        <v>40.991608108108117</v>
      </c>
      <c r="U21" s="56">
        <f t="shared" si="5"/>
        <v>40.991608108108117</v>
      </c>
      <c r="V21" s="56">
        <f t="shared" si="5"/>
        <v>40.991608108108117</v>
      </c>
      <c r="W21" s="56">
        <f t="shared" si="5"/>
        <v>40.991608108108117</v>
      </c>
      <c r="X21" s="56">
        <f t="shared" si="5"/>
        <v>40.991608108108117</v>
      </c>
      <c r="Y21" s="56">
        <f>X21</f>
        <v>40.991608108108117</v>
      </c>
    </row>
    <row r="22" spans="1:25" x14ac:dyDescent="0.3">
      <c r="A22" s="1"/>
      <c r="B22" s="1"/>
      <c r="C22" s="1"/>
      <c r="D22" s="1"/>
      <c r="E22" s="1"/>
      <c r="F22" s="1"/>
      <c r="G22" s="1"/>
      <c r="H22" s="1"/>
      <c r="I22" s="1"/>
      <c r="J22" s="1"/>
      <c r="K22" s="1"/>
      <c r="L22" s="1"/>
      <c r="M22" s="1"/>
      <c r="N22" s="1"/>
      <c r="O22" s="1"/>
      <c r="P22" s="1"/>
      <c r="Q22" s="1"/>
      <c r="R22" s="1"/>
      <c r="S22" s="1"/>
      <c r="T22" s="1"/>
      <c r="U22" s="1"/>
      <c r="V22" s="1"/>
      <c r="W22" s="1"/>
      <c r="X22" s="1"/>
      <c r="Y22" s="1"/>
    </row>
    <row r="23" spans="1:25" ht="19.95" customHeight="1" x14ac:dyDescent="0.3">
      <c r="A23" s="318" t="s">
        <v>77</v>
      </c>
      <c r="B23" s="318"/>
      <c r="C23" s="318"/>
      <c r="D23" s="318"/>
      <c r="E23" s="318"/>
      <c r="F23" s="318"/>
      <c r="G23" s="318"/>
      <c r="H23" s="318"/>
      <c r="I23" s="318"/>
      <c r="J23" s="318"/>
      <c r="K23" s="318"/>
      <c r="L23" s="318"/>
      <c r="M23" s="318"/>
      <c r="N23" s="318"/>
      <c r="O23" s="318"/>
      <c r="P23" s="318"/>
      <c r="Q23" s="318"/>
      <c r="R23" s="318"/>
      <c r="S23" s="318"/>
      <c r="T23" s="318"/>
      <c r="U23" s="318"/>
      <c r="V23" s="318"/>
      <c r="W23" s="318"/>
      <c r="X23" s="318"/>
      <c r="Y23" s="318"/>
    </row>
    <row r="24" spans="1:25" x14ac:dyDescent="0.3">
      <c r="A24" s="54" t="s">
        <v>78</v>
      </c>
      <c r="B24" s="54"/>
      <c r="C24" s="54"/>
      <c r="D24" s="55" cm="1">
        <f t="array" ref="D24">SUMPRODUCT((Inputs!$B$90:$F$90=D$3)*Inputs!$B$91:$F$93)*Inputs!$B$94</f>
        <v>0</v>
      </c>
      <c r="E24" s="55" cm="1">
        <f t="array" ref="E24">SUMPRODUCT((Inputs!$B$90:$F$90=E$3)*Inputs!$B$91:$F$93)*Inputs!$B$94</f>
        <v>7.0500000000000007</v>
      </c>
      <c r="F24" s="55" cm="1">
        <f t="array" ref="F24">SUMPRODUCT((Inputs!$B$90:$F$90=F$3)*Inputs!$B$91:$F$93)*Inputs!$B$94</f>
        <v>7.0500000000000007</v>
      </c>
      <c r="G24" s="55" cm="1">
        <f t="array" ref="G24">SUMPRODUCT((Inputs!$B$90:$F$90=G$3)*Inputs!$B$91:$F$93)*Inputs!$B$94</f>
        <v>7.0500000000000007</v>
      </c>
      <c r="H24" s="55" cm="1">
        <f t="array" ref="H24">SUMPRODUCT((Inputs!$B$90:$F$90=H$3)*Inputs!$B$91:$F$93)*Inputs!$B$94</f>
        <v>7.0500000000000007</v>
      </c>
      <c r="I24" s="55" cm="1">
        <f t="array" ref="I24">SUMPRODUCT((Inputs!$B$90:$F$90=I$3)*Inputs!$B$91:$F$93)*Inputs!$B$94</f>
        <v>9</v>
      </c>
      <c r="J24" s="55" cm="1">
        <f t="array" ref="J24">SUMPRODUCT((Inputs!$B$90:$F$90=J$3)*Inputs!$B$91:$F$93)*Inputs!$B$94</f>
        <v>9</v>
      </c>
      <c r="K24" s="55" cm="1">
        <f t="array" ref="K24">SUMPRODUCT((Inputs!$B$90:$F$90=K$3)*Inputs!$B$91:$F$93)*Inputs!$B$94</f>
        <v>9</v>
      </c>
      <c r="L24" s="55" cm="1">
        <f t="array" ref="L24">SUMPRODUCT((Inputs!$B$90:$F$90=L$3)*Inputs!$B$91:$F$93)*Inputs!$B$94</f>
        <v>9</v>
      </c>
      <c r="M24" s="55" cm="1">
        <f t="array" ref="M24">SUMPRODUCT((Inputs!$B$90:$F$90=M$3)*Inputs!$B$91:$F$93)*Inputs!$B$94</f>
        <v>9</v>
      </c>
      <c r="N24" s="55" cm="1">
        <f t="array" ref="N24">SUMPRODUCT((Inputs!$B$90:$F$90=N$3)*Inputs!$B$91:$F$93)*Inputs!$B$94</f>
        <v>9</v>
      </c>
      <c r="O24" s="55" cm="1">
        <f t="array" ref="O24">SUMPRODUCT((Inputs!$B$90:$F$90=O$3)*Inputs!$B$91:$F$93)*Inputs!$B$94</f>
        <v>9</v>
      </c>
      <c r="P24" s="55" cm="1">
        <f t="array" ref="P24">SUMPRODUCT((Inputs!$B$90:$F$90=P$3)*Inputs!$B$91:$F$93)*Inputs!$B$94</f>
        <v>9</v>
      </c>
      <c r="Q24" s="55" cm="1">
        <f t="array" ref="Q24">SUMPRODUCT((Inputs!$B$90:$F$90=Q$3)*Inputs!$B$91:$F$93)*Inputs!$B$94</f>
        <v>9</v>
      </c>
      <c r="R24" s="55" cm="1">
        <f t="array" ref="R24">SUMPRODUCT((Inputs!$B$90:$F$90=R$3)*Inputs!$B$91:$F$93)*Inputs!$B$94</f>
        <v>9</v>
      </c>
      <c r="S24" s="55" cm="1">
        <f t="array" ref="S24">SUMPRODUCT((Inputs!$B$90:$F$90=S$3)*Inputs!$B$91:$F$93)*Inputs!$B$94</f>
        <v>9</v>
      </c>
      <c r="T24" s="55" cm="1">
        <f t="array" ref="T24">SUMPRODUCT((Inputs!$B$90:$F$90=T$3)*Inputs!$B$91:$F$93)*Inputs!$B$94</f>
        <v>9</v>
      </c>
      <c r="U24" s="55" cm="1">
        <f t="array" ref="U24">SUMPRODUCT((Inputs!$B$90:$F$90=U$3)*Inputs!$B$91:$F$93)*Inputs!$B$94</f>
        <v>9</v>
      </c>
      <c r="V24" s="55" cm="1">
        <f t="array" ref="V24">SUMPRODUCT((Inputs!$B$90:$F$90=V$3)*Inputs!$B$91:$F$93)*Inputs!$B$94</f>
        <v>9</v>
      </c>
      <c r="W24" s="55" cm="1">
        <f t="array" ref="W24">SUMPRODUCT((Inputs!$B$90:$F$90=W$3)*Inputs!$B$91:$F$93)*Inputs!$B$94</f>
        <v>9</v>
      </c>
      <c r="X24" s="55" cm="1">
        <f t="array" ref="X24">SUMPRODUCT((Inputs!$B$90:$F$90=X$3)*Inputs!$B$91:$F$93)*Inputs!$B$94</f>
        <v>9</v>
      </c>
      <c r="Y24" s="55">
        <f>SUM(D24:X24)</f>
        <v>172.2</v>
      </c>
    </row>
    <row r="25" spans="1:25" x14ac:dyDescent="0.3">
      <c r="A25" s="54" t="s">
        <v>70</v>
      </c>
      <c r="B25" s="54"/>
      <c r="C25" s="54"/>
      <c r="D25" s="55">
        <f t="shared" ref="D25:X25" si="6">D18</f>
        <v>1.2472972972972971</v>
      </c>
      <c r="E25" s="55">
        <f t="shared" si="6"/>
        <v>3.7364864864864868</v>
      </c>
      <c r="F25" s="55">
        <f t="shared" si="6"/>
        <v>3.4824324324324323</v>
      </c>
      <c r="G25" s="55">
        <f t="shared" si="6"/>
        <v>5.9310810810810803</v>
      </c>
      <c r="H25" s="55">
        <f t="shared" si="6"/>
        <v>8.0783783783783782</v>
      </c>
      <c r="I25" s="55">
        <f t="shared" si="6"/>
        <v>7.2337837837837844</v>
      </c>
      <c r="J25" s="55">
        <f t="shared" si="6"/>
        <v>5.96081081081081</v>
      </c>
      <c r="K25" s="55">
        <f t="shared" si="6"/>
        <v>8.7851351351351354</v>
      </c>
      <c r="L25" s="55">
        <f t="shared" si="6"/>
        <v>8.1783783783783761</v>
      </c>
      <c r="M25" s="55">
        <f t="shared" si="6"/>
        <v>6.6445945945945946</v>
      </c>
      <c r="N25" s="55">
        <f t="shared" si="6"/>
        <v>7.7986486486486468</v>
      </c>
      <c r="O25" s="55">
        <f t="shared" si="6"/>
        <v>3.464864864864865</v>
      </c>
      <c r="P25" s="55">
        <f t="shared" si="6"/>
        <v>0</v>
      </c>
      <c r="Q25" s="55">
        <f t="shared" si="6"/>
        <v>0</v>
      </c>
      <c r="R25" s="55">
        <f t="shared" si="6"/>
        <v>0</v>
      </c>
      <c r="S25" s="55">
        <f t="shared" si="6"/>
        <v>0</v>
      </c>
      <c r="T25" s="55">
        <f t="shared" si="6"/>
        <v>0</v>
      </c>
      <c r="U25" s="55">
        <f t="shared" si="6"/>
        <v>0</v>
      </c>
      <c r="V25" s="55">
        <f t="shared" si="6"/>
        <v>0</v>
      </c>
      <c r="W25" s="55">
        <f t="shared" si="6"/>
        <v>0</v>
      </c>
      <c r="X25" s="55">
        <f t="shared" si="6"/>
        <v>0</v>
      </c>
      <c r="Y25" s="55">
        <f>SUM(D25:X25)</f>
        <v>70.541891891891893</v>
      </c>
    </row>
    <row r="26" spans="1:25" x14ac:dyDescent="0.3">
      <c r="A26" s="67" t="s">
        <v>15</v>
      </c>
      <c r="B26" s="67"/>
      <c r="C26" s="67"/>
      <c r="D26" s="68" t="str">
        <f t="shared" ref="D26:Y26" si="7">IF(D24=0,"",D25/D24)</f>
        <v/>
      </c>
      <c r="E26" s="68">
        <f t="shared" si="7"/>
        <v>0.52999808318957253</v>
      </c>
      <c r="F26" s="68">
        <f t="shared" si="7"/>
        <v>0.49396204715353642</v>
      </c>
      <c r="G26" s="68">
        <f t="shared" si="7"/>
        <v>0.84128809660724535</v>
      </c>
      <c r="H26" s="68">
        <f t="shared" si="7"/>
        <v>1.1458692735288478</v>
      </c>
      <c r="I26" s="68">
        <f t="shared" si="7"/>
        <v>0.8037537537537538</v>
      </c>
      <c r="J26" s="68">
        <f t="shared" si="7"/>
        <v>0.66231231231231225</v>
      </c>
      <c r="K26" s="68">
        <f t="shared" si="7"/>
        <v>0.97612612612612615</v>
      </c>
      <c r="L26" s="68">
        <f t="shared" si="7"/>
        <v>0.90870870870870846</v>
      </c>
      <c r="M26" s="68">
        <f t="shared" si="7"/>
        <v>0.7382882882882883</v>
      </c>
      <c r="N26" s="68">
        <f t="shared" si="7"/>
        <v>0.86651651651651629</v>
      </c>
      <c r="O26" s="68">
        <f t="shared" si="7"/>
        <v>0.38498498498498501</v>
      </c>
      <c r="P26" s="68">
        <f t="shared" si="7"/>
        <v>0</v>
      </c>
      <c r="Q26" s="68">
        <f t="shared" si="7"/>
        <v>0</v>
      </c>
      <c r="R26" s="68">
        <f t="shared" si="7"/>
        <v>0</v>
      </c>
      <c r="S26" s="68">
        <f t="shared" si="7"/>
        <v>0</v>
      </c>
      <c r="T26" s="68">
        <f t="shared" si="7"/>
        <v>0</v>
      </c>
      <c r="U26" s="68">
        <f t="shared" si="7"/>
        <v>0</v>
      </c>
      <c r="V26" s="68">
        <f t="shared" si="7"/>
        <v>0</v>
      </c>
      <c r="W26" s="68">
        <f t="shared" si="7"/>
        <v>0</v>
      </c>
      <c r="X26" s="68">
        <f t="shared" si="7"/>
        <v>0</v>
      </c>
      <c r="Y26" s="68">
        <f t="shared" si="7"/>
        <v>0.40965094013874503</v>
      </c>
    </row>
    <row r="27" spans="1:25" x14ac:dyDescent="0.3">
      <c r="A27" s="67" t="s">
        <v>14</v>
      </c>
      <c r="B27" s="67"/>
      <c r="C27" s="67"/>
      <c r="D27" s="69">
        <f t="shared" ref="D27:Y27" si="8">D25-D24</f>
        <v>1.2472972972972971</v>
      </c>
      <c r="E27" s="69">
        <f t="shared" si="8"/>
        <v>-3.3135135135135139</v>
      </c>
      <c r="F27" s="69">
        <f t="shared" si="8"/>
        <v>-3.5675675675675684</v>
      </c>
      <c r="G27" s="69">
        <f t="shared" si="8"/>
        <v>-1.1189189189189204</v>
      </c>
      <c r="H27" s="69">
        <f t="shared" si="8"/>
        <v>1.0283783783783775</v>
      </c>
      <c r="I27" s="69">
        <f t="shared" si="8"/>
        <v>-1.7662162162162156</v>
      </c>
      <c r="J27" s="69">
        <f t="shared" si="8"/>
        <v>-3.03918918918919</v>
      </c>
      <c r="K27" s="69">
        <f t="shared" si="8"/>
        <v>-0.21486486486486456</v>
      </c>
      <c r="L27" s="69">
        <f t="shared" si="8"/>
        <v>-0.82162162162162389</v>
      </c>
      <c r="M27" s="69">
        <f t="shared" si="8"/>
        <v>-2.3554054054054054</v>
      </c>
      <c r="N27" s="69">
        <f t="shared" si="8"/>
        <v>-1.2013513513513532</v>
      </c>
      <c r="O27" s="69">
        <f t="shared" si="8"/>
        <v>-5.5351351351351354</v>
      </c>
      <c r="P27" s="69">
        <f t="shared" si="8"/>
        <v>-9</v>
      </c>
      <c r="Q27" s="69">
        <f t="shared" si="8"/>
        <v>-9</v>
      </c>
      <c r="R27" s="69">
        <f t="shared" si="8"/>
        <v>-9</v>
      </c>
      <c r="S27" s="69">
        <f t="shared" si="8"/>
        <v>-9</v>
      </c>
      <c r="T27" s="69">
        <f t="shared" si="8"/>
        <v>-9</v>
      </c>
      <c r="U27" s="69">
        <f t="shared" si="8"/>
        <v>-9</v>
      </c>
      <c r="V27" s="69">
        <f t="shared" si="8"/>
        <v>-9</v>
      </c>
      <c r="W27" s="69">
        <f t="shared" si="8"/>
        <v>-9</v>
      </c>
      <c r="X27" s="69">
        <f t="shared" si="8"/>
        <v>-9</v>
      </c>
      <c r="Y27" s="69">
        <f t="shared" si="8"/>
        <v>-101.6581081081081</v>
      </c>
    </row>
    <row r="28" spans="1:25" x14ac:dyDescent="0.3">
      <c r="A28" s="54" t="s">
        <v>79</v>
      </c>
      <c r="B28" s="54"/>
      <c r="C28" s="54"/>
      <c r="D28" s="62" t="str">
        <f t="shared" ref="D28:Y28" si="9">IF(D17=0,"",D25/D17)</f>
        <v/>
      </c>
      <c r="E28" s="62">
        <f t="shared" si="9"/>
        <v>0.60739315678684569</v>
      </c>
      <c r="F28" s="62">
        <f t="shared" si="9"/>
        <v>0.16366139323964601</v>
      </c>
      <c r="G28" s="62">
        <f t="shared" si="9"/>
        <v>0.35534816919869922</v>
      </c>
      <c r="H28" s="62">
        <f t="shared" si="9"/>
        <v>0.71847024977574403</v>
      </c>
      <c r="I28" s="62">
        <f t="shared" si="9"/>
        <v>0.76481561853205982</v>
      </c>
      <c r="J28" s="62">
        <f t="shared" si="9"/>
        <v>0.5286133944269108</v>
      </c>
      <c r="K28" s="62">
        <f t="shared" si="9"/>
        <v>0.5728203581321929</v>
      </c>
      <c r="L28" s="62">
        <f t="shared" si="9"/>
        <v>0.85532416340876349</v>
      </c>
      <c r="M28" s="62">
        <f t="shared" si="9"/>
        <v>0.51904920183361269</v>
      </c>
      <c r="N28" s="62">
        <f t="shared" si="9"/>
        <v>0.70160210407438406</v>
      </c>
      <c r="O28" s="62">
        <f t="shared" si="9"/>
        <v>0.26946190834873623</v>
      </c>
      <c r="P28" s="62">
        <f t="shared" si="9"/>
        <v>0</v>
      </c>
      <c r="Q28" s="62">
        <f t="shared" si="9"/>
        <v>0</v>
      </c>
      <c r="R28" s="62">
        <f t="shared" si="9"/>
        <v>0</v>
      </c>
      <c r="S28" s="62">
        <f t="shared" si="9"/>
        <v>0</v>
      </c>
      <c r="T28" s="62">
        <f t="shared" si="9"/>
        <v>0</v>
      </c>
      <c r="U28" s="62">
        <f t="shared" si="9"/>
        <v>0</v>
      </c>
      <c r="V28" s="62">
        <f t="shared" si="9"/>
        <v>0</v>
      </c>
      <c r="W28" s="62">
        <f t="shared" si="9"/>
        <v>0</v>
      </c>
      <c r="X28" s="62">
        <f t="shared" si="9"/>
        <v>0</v>
      </c>
      <c r="Y28" s="62">
        <f t="shared" si="9"/>
        <v>0.42602906082794972</v>
      </c>
    </row>
    <row r="29" spans="1:25" x14ac:dyDescent="0.3">
      <c r="A29" s="70" t="s">
        <v>80</v>
      </c>
      <c r="B29" s="70"/>
      <c r="C29" s="70"/>
      <c r="D29" s="71">
        <f t="shared" ref="D29:Y29" si="10">IF(D25=0,"",D19/D25)</f>
        <v>1.3505098485227474</v>
      </c>
      <c r="E29" s="71">
        <f t="shared" si="10"/>
        <v>3.7212025290480844</v>
      </c>
      <c r="F29" s="71">
        <f t="shared" si="10"/>
        <v>3.8722069522933165</v>
      </c>
      <c r="G29" s="71">
        <f t="shared" si="10"/>
        <v>2.7063836799586101</v>
      </c>
      <c r="H29" s="71">
        <f t="shared" si="10"/>
        <v>1.7524707228114123</v>
      </c>
      <c r="I29" s="71">
        <f t="shared" si="10"/>
        <v>1.0370124509071081</v>
      </c>
      <c r="J29" s="71">
        <f t="shared" si="10"/>
        <v>1.9513696348932779</v>
      </c>
      <c r="K29" s="71">
        <f t="shared" si="10"/>
        <v>1.4986676056102739</v>
      </c>
      <c r="L29" s="71">
        <f t="shared" si="10"/>
        <v>0.70500335733035979</v>
      </c>
      <c r="M29" s="71">
        <f t="shared" si="10"/>
        <v>0.96015082230940108</v>
      </c>
      <c r="N29" s="71">
        <f t="shared" si="10"/>
        <v>0.71155201570203341</v>
      </c>
      <c r="O29" s="71">
        <f t="shared" si="10"/>
        <v>0.65144826086709329</v>
      </c>
      <c r="P29" s="71" t="str">
        <f t="shared" si="10"/>
        <v/>
      </c>
      <c r="Q29" s="71" t="str">
        <f t="shared" si="10"/>
        <v/>
      </c>
      <c r="R29" s="71" t="str">
        <f t="shared" si="10"/>
        <v/>
      </c>
      <c r="S29" s="71" t="str">
        <f t="shared" si="10"/>
        <v/>
      </c>
      <c r="T29" s="71" t="str">
        <f t="shared" si="10"/>
        <v/>
      </c>
      <c r="U29" s="71" t="str">
        <f t="shared" si="10"/>
        <v/>
      </c>
      <c r="V29" s="71" t="str">
        <f t="shared" si="10"/>
        <v/>
      </c>
      <c r="W29" s="71" t="str">
        <f t="shared" si="10"/>
        <v/>
      </c>
      <c r="X29" s="71" t="str">
        <f t="shared" si="10"/>
        <v/>
      </c>
      <c r="Y29" s="71">
        <f t="shared" si="10"/>
        <v>1.5810959560161679</v>
      </c>
    </row>
    <row r="30" spans="1:25" x14ac:dyDescent="0.3">
      <c r="A30" s="163" t="s">
        <v>81</v>
      </c>
      <c r="B30" s="163"/>
      <c r="C30" s="163"/>
      <c r="D30" s="164" t="str">
        <f t="shared" ref="D30:Y30" si="11">IF(D17=0,"",D19/D17)</f>
        <v/>
      </c>
      <c r="E30" s="164">
        <f t="shared" si="11"/>
        <v>2.2602329511617096</v>
      </c>
      <c r="F30" s="164">
        <f t="shared" si="11"/>
        <v>0.63373078472456768</v>
      </c>
      <c r="G30" s="164">
        <f t="shared" si="11"/>
        <v>0.96170848582253032</v>
      </c>
      <c r="H30" s="164">
        <f t="shared" si="11"/>
        <v>1.2590980779429941</v>
      </c>
      <c r="I30" s="164">
        <f t="shared" si="11"/>
        <v>0.79312331906596734</v>
      </c>
      <c r="J30" s="164">
        <f t="shared" si="11"/>
        <v>1.0315201264825373</v>
      </c>
      <c r="K30" s="164">
        <f t="shared" si="11"/>
        <v>0.85846731456679315</v>
      </c>
      <c r="L30" s="164">
        <f t="shared" si="11"/>
        <v>0.60300640680895956</v>
      </c>
      <c r="M30" s="164">
        <f t="shared" si="11"/>
        <v>0.49836551795958156</v>
      </c>
      <c r="N30" s="164">
        <f t="shared" si="11"/>
        <v>0.49922639137491581</v>
      </c>
      <c r="O30" s="164">
        <f t="shared" si="11"/>
        <v>0.17554049156371229</v>
      </c>
      <c r="P30" s="164">
        <f t="shared" si="11"/>
        <v>0</v>
      </c>
      <c r="Q30" s="164">
        <f t="shared" si="11"/>
        <v>0</v>
      </c>
      <c r="R30" s="164">
        <f t="shared" si="11"/>
        <v>0</v>
      </c>
      <c r="S30" s="164">
        <f t="shared" si="11"/>
        <v>0</v>
      </c>
      <c r="T30" s="164">
        <f t="shared" si="11"/>
        <v>0</v>
      </c>
      <c r="U30" s="164">
        <f t="shared" si="11"/>
        <v>0</v>
      </c>
      <c r="V30" s="164">
        <f t="shared" si="11"/>
        <v>0</v>
      </c>
      <c r="W30" s="164">
        <f t="shared" si="11"/>
        <v>0</v>
      </c>
      <c r="X30" s="164">
        <f t="shared" si="11"/>
        <v>0</v>
      </c>
      <c r="Y30" s="164">
        <f t="shared" si="11"/>
        <v>0.67359282522043729</v>
      </c>
    </row>
    <row r="31" spans="1:25" x14ac:dyDescent="0.3">
      <c r="A31" s="165" t="s">
        <v>280</v>
      </c>
      <c r="B31" s="165"/>
      <c r="C31" s="165"/>
      <c r="D31" s="166">
        <f ca="1">IF(Phasing!D$6="",0,MAX(0,MIN(Inputs!$B$96,Phasing!D$6)-Phasing!D$5+1)/(Phasing!D$6-Phasing!D$5+1))</f>
        <v>1</v>
      </c>
      <c r="E31" s="166">
        <f ca="1">IF(Phasing!E$6="",0,MAX(0,MIN(Inputs!$B$96,Phasing!E$6)-Phasing!E$5+1)/(Phasing!E$6-Phasing!E$5+1))</f>
        <v>1</v>
      </c>
      <c r="F31" s="166">
        <f ca="1">IF(Phasing!F$6="",0,MAX(0,MIN(Inputs!$B$96,Phasing!F$6)-Phasing!F$5+1)/(Phasing!F$6-Phasing!F$5+1))</f>
        <v>1</v>
      </c>
      <c r="G31" s="166">
        <f ca="1">IF(Phasing!G$6="",0,MAX(0,MIN(Inputs!$B$96,Phasing!G$6)-Phasing!G$5+1)/(Phasing!G$6-Phasing!G$5+1))</f>
        <v>1</v>
      </c>
      <c r="H31" s="166">
        <f ca="1">IF(Phasing!H$6="",0,MAX(0,MIN(Inputs!$B$96,Phasing!H$6)-Phasing!H$5+1)/(Phasing!H$6-Phasing!H$5+1))</f>
        <v>1</v>
      </c>
      <c r="I31" s="166">
        <f ca="1">IF(Phasing!I$6="",0,MAX(0,MIN(Inputs!$B$96,Phasing!I$6)-Phasing!I$5+1)/(Phasing!I$6-Phasing!I$5+1))</f>
        <v>1</v>
      </c>
      <c r="J31" s="166">
        <f ca="1">IF(Phasing!J$6="",0,MAX(0,MIN(Inputs!$B$96,Phasing!J$6)-Phasing!J$5+1)/(Phasing!J$6-Phasing!J$5+1))</f>
        <v>1</v>
      </c>
      <c r="K31" s="166">
        <f ca="1">IF(Phasing!K$6="",0,MAX(0,MIN(Inputs!$B$96,Phasing!K$6)-Phasing!K$5+1)/(Phasing!K$6-Phasing!K$5+1))</f>
        <v>1</v>
      </c>
      <c r="L31" s="166">
        <f ca="1">IF(Phasing!L$6="",0,MAX(0,MIN(Inputs!$B$96,Phasing!L$6)-Phasing!L$5+1)/(Phasing!L$6-Phasing!L$5+1))</f>
        <v>1</v>
      </c>
      <c r="M31" s="166">
        <f ca="1">IF(Phasing!M$6="",0,MAX(0,MIN(Inputs!$B$96,Phasing!M$6)-Phasing!M$5+1)/(Phasing!M$6-Phasing!M$5+1))</f>
        <v>1</v>
      </c>
      <c r="N31" s="166">
        <f ca="1">IF(Phasing!N$6="",0,MAX(0,MIN(Inputs!$B$96,Phasing!N$6)-Phasing!N$5+1)/(Phasing!N$6-Phasing!N$5+1))</f>
        <v>1</v>
      </c>
      <c r="O31" s="166">
        <f ca="1">IF(Phasing!O$6="",0,MAX(0,MIN(Inputs!$B$96,Phasing!O$6)-Phasing!O$5+1)/(Phasing!O$6-Phasing!O$5+1))</f>
        <v>0.68478260869565222</v>
      </c>
      <c r="P31" s="166">
        <f ca="1">IF(Phasing!P$6="",0,MAX(0,MIN(Inputs!$B$96,Phasing!P$6)-Phasing!P$5+1)/(Phasing!P$6-Phasing!P$5+1))</f>
        <v>0</v>
      </c>
      <c r="Q31" s="166">
        <f ca="1">IF(Phasing!Q$6="",0,MAX(0,MIN(Inputs!$B$96,Phasing!Q$6)-Phasing!Q$5+1)/(Phasing!Q$6-Phasing!Q$5+1))</f>
        <v>0</v>
      </c>
      <c r="R31" s="166">
        <f ca="1">IF(Phasing!R$6="",0,MAX(0,MIN(Inputs!$B$96,Phasing!R$6)-Phasing!R$5+1)/(Phasing!R$6-Phasing!R$5+1))</f>
        <v>0</v>
      </c>
      <c r="S31" s="166">
        <f ca="1">IF(Phasing!S$6="",0,MAX(0,MIN(Inputs!$B$96,Phasing!S$6)-Phasing!S$5+1)/(Phasing!S$6-Phasing!S$5+1))</f>
        <v>0</v>
      </c>
      <c r="T31" s="166">
        <f ca="1">IF(Phasing!T$6="",0,MAX(0,MIN(Inputs!$B$96,Phasing!T$6)-Phasing!T$5+1)/(Phasing!T$6-Phasing!T$5+1))</f>
        <v>0</v>
      </c>
      <c r="U31" s="166">
        <f ca="1">IF(Phasing!U$6="",0,MAX(0,MIN(Inputs!$B$96,Phasing!U$6)-Phasing!U$5+1)/(Phasing!U$6-Phasing!U$5+1))</f>
        <v>0</v>
      </c>
      <c r="V31" s="166">
        <f ca="1">IF(Phasing!V$6="",0,MAX(0,MIN(Inputs!$B$96,Phasing!V$6)-Phasing!V$5+1)/(Phasing!V$6-Phasing!V$5+1))</f>
        <v>0</v>
      </c>
      <c r="W31" s="166">
        <f ca="1">IF(Phasing!W$6="",0,MAX(0,MIN(Inputs!$B$96,Phasing!W$6)-Phasing!W$5+1)/(Phasing!W$6-Phasing!W$5+1))</f>
        <v>0</v>
      </c>
      <c r="X31" s="166">
        <f ca="1">IF(Phasing!X$6="",0,MAX(0,MIN(Inputs!$B$96,Phasing!X$6)-Phasing!X$5+1)/(Phasing!X$6-Phasing!X$5+1))</f>
        <v>0</v>
      </c>
      <c r="Y31" s="166">
        <f ca="1">IF(Y24=0,"",Y32/Y24)</f>
        <v>0.5131419481896683</v>
      </c>
    </row>
    <row r="32" spans="1:25" x14ac:dyDescent="0.3">
      <c r="A32" s="167" t="s">
        <v>281</v>
      </c>
      <c r="B32" s="167"/>
      <c r="C32" s="167"/>
      <c r="D32" s="168">
        <f t="shared" ref="D32:X32" ca="1" si="12">D24*D31</f>
        <v>0</v>
      </c>
      <c r="E32" s="168">
        <f t="shared" ca="1" si="12"/>
        <v>7.0500000000000007</v>
      </c>
      <c r="F32" s="168">
        <f t="shared" ca="1" si="12"/>
        <v>7.0500000000000007</v>
      </c>
      <c r="G32" s="168">
        <f t="shared" ca="1" si="12"/>
        <v>7.0500000000000007</v>
      </c>
      <c r="H32" s="168">
        <f t="shared" ca="1" si="12"/>
        <v>7.0500000000000007</v>
      </c>
      <c r="I32" s="168">
        <f t="shared" ca="1" si="12"/>
        <v>9</v>
      </c>
      <c r="J32" s="168">
        <f t="shared" ca="1" si="12"/>
        <v>9</v>
      </c>
      <c r="K32" s="168">
        <f t="shared" ca="1" si="12"/>
        <v>9</v>
      </c>
      <c r="L32" s="168">
        <f t="shared" ca="1" si="12"/>
        <v>9</v>
      </c>
      <c r="M32" s="168">
        <f t="shared" ca="1" si="12"/>
        <v>9</v>
      </c>
      <c r="N32" s="168">
        <f t="shared" ca="1" si="12"/>
        <v>9</v>
      </c>
      <c r="O32" s="168">
        <f t="shared" ca="1" si="12"/>
        <v>6.1630434782608701</v>
      </c>
      <c r="P32" s="168">
        <f t="shared" ca="1" si="12"/>
        <v>0</v>
      </c>
      <c r="Q32" s="168">
        <f t="shared" ca="1" si="12"/>
        <v>0</v>
      </c>
      <c r="R32" s="168">
        <f t="shared" ca="1" si="12"/>
        <v>0</v>
      </c>
      <c r="S32" s="168">
        <f t="shared" ca="1" si="12"/>
        <v>0</v>
      </c>
      <c r="T32" s="168">
        <f t="shared" ca="1" si="12"/>
        <v>0</v>
      </c>
      <c r="U32" s="168">
        <f t="shared" ca="1" si="12"/>
        <v>0</v>
      </c>
      <c r="V32" s="168">
        <f t="shared" ca="1" si="12"/>
        <v>0</v>
      </c>
      <c r="W32" s="168">
        <f t="shared" ca="1" si="12"/>
        <v>0</v>
      </c>
      <c r="X32" s="168">
        <f t="shared" ca="1" si="12"/>
        <v>0</v>
      </c>
      <c r="Y32" s="168">
        <f ca="1">SUM(D32:X32)</f>
        <v>88.363043478260877</v>
      </c>
    </row>
    <row r="33" spans="1:25" x14ac:dyDescent="0.3">
      <c r="A33" s="167" t="s">
        <v>282</v>
      </c>
      <c r="B33" s="167"/>
      <c r="C33" s="167"/>
      <c r="D33" s="168">
        <f t="shared" ref="D33:X33" ca="1" si="13">D17*D31</f>
        <v>0</v>
      </c>
      <c r="E33" s="168">
        <f t="shared" ca="1" si="13"/>
        <v>6.1516769570680943</v>
      </c>
      <c r="F33" s="168">
        <f t="shared" ca="1" si="13"/>
        <v>21.27827683425118</v>
      </c>
      <c r="G33" s="168">
        <f t="shared" ca="1" si="13"/>
        <v>16.690900911226059</v>
      </c>
      <c r="H33" s="168">
        <f t="shared" ca="1" si="13"/>
        <v>11.24385927030365</v>
      </c>
      <c r="I33" s="168">
        <f t="shared" ca="1" si="13"/>
        <v>9.458206146035387</v>
      </c>
      <c r="J33" s="168">
        <f t="shared" ca="1" si="13"/>
        <v>11.276314360655094</v>
      </c>
      <c r="K33" s="168">
        <f t="shared" ca="1" si="13"/>
        <v>15.336632175191898</v>
      </c>
      <c r="L33" s="168">
        <f t="shared" ca="1" si="13"/>
        <v>9.5617296087891415</v>
      </c>
      <c r="M33" s="168">
        <f t="shared" ca="1" si="13"/>
        <v>12.801473484828895</v>
      </c>
      <c r="N33" s="168">
        <f t="shared" ca="1" si="13"/>
        <v>11.11548640370359</v>
      </c>
      <c r="O33" s="168">
        <f t="shared" ca="1" si="13"/>
        <v>8.8052490071040452</v>
      </c>
      <c r="P33" s="168">
        <f t="shared" ca="1" si="13"/>
        <v>0</v>
      </c>
      <c r="Q33" s="168">
        <f t="shared" ca="1" si="13"/>
        <v>0</v>
      </c>
      <c r="R33" s="168">
        <f t="shared" ca="1" si="13"/>
        <v>0</v>
      </c>
      <c r="S33" s="168">
        <f t="shared" ca="1" si="13"/>
        <v>0</v>
      </c>
      <c r="T33" s="168">
        <f t="shared" ca="1" si="13"/>
        <v>0</v>
      </c>
      <c r="U33" s="168">
        <f t="shared" ca="1" si="13"/>
        <v>0</v>
      </c>
      <c r="V33" s="168">
        <f t="shared" ca="1" si="13"/>
        <v>0</v>
      </c>
      <c r="W33" s="168">
        <f t="shared" ca="1" si="13"/>
        <v>0</v>
      </c>
      <c r="X33" s="168">
        <f t="shared" ca="1" si="13"/>
        <v>0</v>
      </c>
      <c r="Y33" s="168">
        <f ca="1">SUM(D33:X33)</f>
        <v>133.719805159157</v>
      </c>
    </row>
    <row r="34" spans="1:25" x14ac:dyDescent="0.3">
      <c r="A34" s="1"/>
      <c r="B34" s="1"/>
      <c r="C34" s="1"/>
      <c r="D34" s="1"/>
      <c r="E34" s="1"/>
      <c r="F34" s="1"/>
      <c r="G34" s="1"/>
      <c r="H34" s="1"/>
      <c r="I34" s="1"/>
      <c r="J34" s="1"/>
      <c r="K34" s="1"/>
      <c r="L34" s="1"/>
      <c r="M34" s="1"/>
      <c r="N34" s="1"/>
      <c r="O34" s="1"/>
      <c r="P34" s="1"/>
      <c r="Q34" s="1"/>
      <c r="R34" s="1"/>
      <c r="S34" s="1"/>
      <c r="T34" s="1"/>
      <c r="U34" s="1"/>
      <c r="V34" s="1"/>
      <c r="W34" s="1"/>
      <c r="X34" s="1"/>
      <c r="Y34" s="1"/>
    </row>
    <row r="35" spans="1:25" ht="19.95" customHeight="1" x14ac:dyDescent="0.3">
      <c r="A35" s="297" t="s">
        <v>82</v>
      </c>
      <c r="B35" s="297"/>
      <c r="C35" s="297"/>
      <c r="D35" s="297"/>
      <c r="E35" s="297"/>
      <c r="F35" s="297"/>
      <c r="G35" s="297"/>
      <c r="H35" s="297"/>
      <c r="I35" s="297"/>
      <c r="J35" s="297"/>
      <c r="K35" s="297"/>
      <c r="L35" s="297"/>
      <c r="M35" s="297"/>
      <c r="N35" s="297"/>
      <c r="O35" s="297"/>
      <c r="P35" s="297"/>
      <c r="Q35" s="297"/>
      <c r="R35" s="297"/>
      <c r="S35" s="297"/>
      <c r="T35" s="297"/>
      <c r="U35" s="297"/>
      <c r="V35" s="297"/>
      <c r="W35" s="297"/>
      <c r="X35" s="297"/>
      <c r="Y35" s="297"/>
    </row>
    <row r="36" spans="1:25" x14ac:dyDescent="0.3">
      <c r="A36" s="52"/>
      <c r="B36" s="53"/>
      <c r="C36" s="53"/>
      <c r="D36" s="53" t="s">
        <v>54</v>
      </c>
      <c r="E36" s="63">
        <f>2024</f>
        <v>2024</v>
      </c>
      <c r="F36" s="63">
        <f>2025</f>
        <v>2025</v>
      </c>
      <c r="G36" s="63">
        <f>2026</f>
        <v>2026</v>
      </c>
      <c r="H36" s="63">
        <f>2027</f>
        <v>2027</v>
      </c>
      <c r="I36" s="63">
        <f>2028</f>
        <v>2028</v>
      </c>
      <c r="J36" s="53" t="s">
        <v>4</v>
      </c>
      <c r="K36" s="1"/>
      <c r="L36" s="1"/>
      <c r="M36" s="1"/>
      <c r="N36" s="1"/>
      <c r="O36" s="1"/>
      <c r="P36" s="1"/>
      <c r="Q36" s="1"/>
      <c r="R36" s="1"/>
      <c r="S36" s="1"/>
      <c r="T36" s="1"/>
      <c r="U36" s="1"/>
      <c r="V36" s="1"/>
      <c r="W36" s="1"/>
      <c r="X36" s="1"/>
      <c r="Y36" s="1"/>
    </row>
    <row r="37" spans="1:25" x14ac:dyDescent="0.3">
      <c r="A37" s="54" t="s">
        <v>83</v>
      </c>
      <c r="B37" s="54"/>
      <c r="C37" s="54"/>
      <c r="D37" s="55">
        <f>D17</f>
        <v>0</v>
      </c>
      <c r="E37" s="55">
        <f>SUMIF($E$3:$X$3,E$36,$E$17:$X$17)</f>
        <v>55.364713972848982</v>
      </c>
      <c r="F37" s="55">
        <f>SUMIF($E$3:$X$3,F$36,$E$17:$X$17)</f>
        <v>45.632882290671525</v>
      </c>
      <c r="G37" s="55">
        <f>SUMIF($E$3:$X$3,G$36,$E$17:$X$17)</f>
        <v>44.829171371429332</v>
      </c>
      <c r="H37" s="55">
        <f>SUMIF($E$3:$X$3,H$36,$E$17:$X$17)</f>
        <v>16.004942351370282</v>
      </c>
      <c r="I37" s="55">
        <f>SUMIF($E$3:$X$3,I$36,$E$17:$X$17)</f>
        <v>3.7482900136798905</v>
      </c>
      <c r="J37" s="55">
        <f>SUM(D37:I37)</f>
        <v>165.58</v>
      </c>
      <c r="K37" s="1"/>
      <c r="L37" s="1"/>
      <c r="M37" s="1"/>
      <c r="N37" s="1"/>
      <c r="O37" s="1"/>
      <c r="P37" s="1"/>
      <c r="Q37" s="1"/>
      <c r="R37" s="1"/>
      <c r="S37" s="1"/>
      <c r="T37" s="1"/>
      <c r="U37" s="1"/>
      <c r="V37" s="1"/>
      <c r="W37" s="1"/>
      <c r="X37" s="1"/>
      <c r="Y37" s="1"/>
    </row>
    <row r="38" spans="1:25" x14ac:dyDescent="0.3">
      <c r="A38" s="54" t="s">
        <v>70</v>
      </c>
      <c r="B38" s="54"/>
      <c r="C38" s="54"/>
      <c r="D38" s="55">
        <f>D18</f>
        <v>1.2472972972972971</v>
      </c>
      <c r="E38" s="55">
        <f>SUMIF($E$3:$X$3,E$36,$E$18:$X$18)</f>
        <v>21.228378378378377</v>
      </c>
      <c r="F38" s="55">
        <f>SUMIF($E$3:$X$3,F$36,$E$18:$X$18)</f>
        <v>30.158108108108106</v>
      </c>
      <c r="G38" s="55">
        <f>SUMIF($E$3:$X$3,G$36,$E$18:$X$18)</f>
        <v>17.908108108108106</v>
      </c>
      <c r="H38" s="55">
        <f>SUMIF($E$3:$X$3,H$36,$E$18:$X$18)</f>
        <v>0</v>
      </c>
      <c r="I38" s="55">
        <f>SUMIF($E$3:$X$3,I$36,$E$18:$X$18)</f>
        <v>0</v>
      </c>
      <c r="J38" s="55">
        <f>SUM(D38:I38)</f>
        <v>70.541891891891893</v>
      </c>
      <c r="K38" s="1"/>
      <c r="L38" s="1"/>
      <c r="M38" s="1"/>
      <c r="N38" s="1"/>
      <c r="O38" s="1"/>
      <c r="P38" s="1"/>
      <c r="Q38" s="1"/>
      <c r="R38" s="1"/>
      <c r="S38" s="1"/>
      <c r="T38" s="1"/>
      <c r="U38" s="1"/>
      <c r="V38" s="1"/>
      <c r="W38" s="1"/>
      <c r="X38" s="1"/>
      <c r="Y38" s="1"/>
    </row>
    <row r="39" spans="1:25" x14ac:dyDescent="0.3">
      <c r="A39" s="54" t="s">
        <v>71</v>
      </c>
      <c r="B39" s="54"/>
      <c r="C39" s="54"/>
      <c r="D39" s="55">
        <f>D19</f>
        <v>1.6844872840358049</v>
      </c>
      <c r="E39" s="55">
        <f>SUMIF($E$3:$X$3,E$36,$E$19:$X$19)</f>
        <v>57.597824677274041</v>
      </c>
      <c r="F39" s="55">
        <f>SUMIF($E$3:$X$3,F$36,$E$19:$X$19)</f>
        <v>38.06505071872396</v>
      </c>
      <c r="G39" s="55">
        <f>SUMIF($E$3:$X$3,G$36,$E$19:$X$19)</f>
        <v>14.186137319966196</v>
      </c>
      <c r="H39" s="55">
        <f>SUMIF($E$3:$X$3,H$36,$E$19:$X$19)</f>
        <v>0</v>
      </c>
      <c r="I39" s="55">
        <f>SUMIF($E$3:$X$3,I$36,$E$19:$X$19)</f>
        <v>0</v>
      </c>
      <c r="J39" s="55">
        <f>SUM(D39:I39)</f>
        <v>111.53349999999999</v>
      </c>
      <c r="K39" s="1"/>
      <c r="L39" s="1"/>
      <c r="M39" s="1"/>
      <c r="N39" s="1"/>
      <c r="O39" s="1"/>
      <c r="P39" s="1"/>
      <c r="Q39" s="1"/>
      <c r="R39" s="1"/>
      <c r="S39" s="1"/>
      <c r="T39" s="1"/>
      <c r="U39" s="1"/>
      <c r="V39" s="1"/>
      <c r="W39" s="1"/>
      <c r="X39" s="1"/>
      <c r="Y39" s="1"/>
    </row>
    <row r="40" spans="1:25" x14ac:dyDescent="0.3">
      <c r="A40" s="64" t="s">
        <v>84</v>
      </c>
      <c r="B40" s="64"/>
      <c r="C40" s="64"/>
      <c r="D40" s="65">
        <f t="shared" ref="D40:J40" si="14">D39-D38</f>
        <v>0.43718998673850784</v>
      </c>
      <c r="E40" s="65">
        <f t="shared" si="14"/>
        <v>36.369446298895667</v>
      </c>
      <c r="F40" s="65">
        <f t="shared" si="14"/>
        <v>7.9069426106158538</v>
      </c>
      <c r="G40" s="65">
        <f t="shared" si="14"/>
        <v>-3.7219707881419097</v>
      </c>
      <c r="H40" s="65">
        <f t="shared" si="14"/>
        <v>0</v>
      </c>
      <c r="I40" s="65">
        <f t="shared" si="14"/>
        <v>0</v>
      </c>
      <c r="J40" s="65">
        <f t="shared" si="14"/>
        <v>40.991608108108096</v>
      </c>
      <c r="K40" s="2"/>
      <c r="L40" s="2"/>
      <c r="M40" s="2"/>
      <c r="N40" s="2"/>
      <c r="O40" s="2"/>
      <c r="P40" s="2"/>
      <c r="Q40" s="2"/>
      <c r="R40" s="2"/>
      <c r="S40" s="2"/>
      <c r="T40" s="2"/>
      <c r="U40" s="2"/>
      <c r="V40" s="2"/>
      <c r="W40" s="2"/>
      <c r="X40" s="2"/>
      <c r="Y40" s="2"/>
    </row>
    <row r="41" spans="1:25" x14ac:dyDescent="0.3">
      <c r="A41" s="54" t="s">
        <v>85</v>
      </c>
      <c r="B41" s="54"/>
      <c r="C41" s="54"/>
      <c r="D41" s="55">
        <f>D24</f>
        <v>0</v>
      </c>
      <c r="E41" s="55">
        <f>SUMIF($E$3:$X$3,E$36,$E$24:$X$24)</f>
        <v>28.200000000000003</v>
      </c>
      <c r="F41" s="55">
        <f>SUMIF($E$3:$X$3,F$36,$E$24:$X$24)</f>
        <v>36</v>
      </c>
      <c r="G41" s="55">
        <f>SUMIF($E$3:$X$3,G$36,$E$24:$X$24)</f>
        <v>36</v>
      </c>
      <c r="H41" s="55">
        <f>SUMIF($E$3:$X$3,H$36,$E$24:$X$24)</f>
        <v>36</v>
      </c>
      <c r="I41" s="55">
        <f>SUMIF($E$3:$X$3,I$36,$E$24:$X$24)</f>
        <v>36</v>
      </c>
      <c r="J41" s="55">
        <f>SUM(D41:I41)</f>
        <v>172.2</v>
      </c>
      <c r="K41" s="1"/>
      <c r="L41" s="1"/>
      <c r="M41" s="1"/>
      <c r="N41" s="1"/>
      <c r="O41" s="1"/>
      <c r="P41" s="1"/>
      <c r="Q41" s="1"/>
      <c r="R41" s="1"/>
      <c r="S41" s="1"/>
      <c r="T41" s="1"/>
      <c r="U41" s="1"/>
      <c r="V41" s="1"/>
      <c r="W41" s="1"/>
      <c r="X41" s="1"/>
      <c r="Y41" s="1"/>
    </row>
    <row r="42" spans="1:25" x14ac:dyDescent="0.3">
      <c r="A42" s="54" t="s">
        <v>15</v>
      </c>
      <c r="B42" s="54"/>
      <c r="C42" s="54"/>
      <c r="D42" s="62" t="str">
        <f t="shared" ref="D42:J42" si="15">IF(D41=0,"",D38/D41)</f>
        <v/>
      </c>
      <c r="E42" s="62">
        <f t="shared" si="15"/>
        <v>0.75277937511980053</v>
      </c>
      <c r="F42" s="62">
        <f t="shared" si="15"/>
        <v>0.83772522522522519</v>
      </c>
      <c r="G42" s="62">
        <f t="shared" si="15"/>
        <v>0.4974474474474474</v>
      </c>
      <c r="H42" s="62">
        <f t="shared" si="15"/>
        <v>0</v>
      </c>
      <c r="I42" s="62">
        <f t="shared" si="15"/>
        <v>0</v>
      </c>
      <c r="J42" s="62">
        <f t="shared" si="15"/>
        <v>0.40965094013874503</v>
      </c>
      <c r="K42" s="1"/>
      <c r="L42" s="1"/>
      <c r="M42" s="1"/>
      <c r="N42" s="1"/>
      <c r="O42" s="1"/>
      <c r="P42" s="1"/>
      <c r="Q42" s="1"/>
      <c r="R42" s="1"/>
      <c r="S42" s="1"/>
      <c r="T42" s="1"/>
      <c r="U42" s="1"/>
      <c r="V42" s="1"/>
      <c r="W42" s="1"/>
      <c r="X42" s="1"/>
      <c r="Y42" s="1"/>
    </row>
    <row r="43" spans="1:25" x14ac:dyDescent="0.3">
      <c r="A43" s="54" t="s">
        <v>86</v>
      </c>
      <c r="B43" s="54"/>
      <c r="C43" s="54"/>
      <c r="D43" s="62" t="str">
        <f t="shared" ref="D43:J44" si="16">IF(D37=0,"",D38/D37)</f>
        <v/>
      </c>
      <c r="E43" s="62">
        <f t="shared" si="16"/>
        <v>0.38342794272880804</v>
      </c>
      <c r="F43" s="62">
        <f t="shared" si="16"/>
        <v>0.66088545352028227</v>
      </c>
      <c r="G43" s="62">
        <f t="shared" si="16"/>
        <v>0.39947443952803813</v>
      </c>
      <c r="H43" s="62">
        <f t="shared" si="16"/>
        <v>0</v>
      </c>
      <c r="I43" s="62">
        <f t="shared" si="16"/>
        <v>0</v>
      </c>
      <c r="J43" s="62">
        <f t="shared" si="16"/>
        <v>0.42602906082794956</v>
      </c>
      <c r="K43" s="1"/>
      <c r="L43" s="1"/>
      <c r="M43" s="1"/>
      <c r="N43" s="1"/>
      <c r="O43" s="1"/>
      <c r="P43" s="1"/>
      <c r="Q43" s="1"/>
      <c r="R43" s="1"/>
      <c r="S43" s="1"/>
      <c r="T43" s="1"/>
      <c r="U43" s="1"/>
      <c r="V43" s="1"/>
      <c r="W43" s="1"/>
      <c r="X43" s="1"/>
      <c r="Y43" s="1"/>
    </row>
    <row r="44" spans="1:25" x14ac:dyDescent="0.3">
      <c r="A44" s="70" t="s">
        <v>87</v>
      </c>
      <c r="B44" s="70"/>
      <c r="C44" s="70"/>
      <c r="D44" s="71">
        <f t="shared" si="16"/>
        <v>1.3505098485227474</v>
      </c>
      <c r="E44" s="71">
        <f t="shared" si="16"/>
        <v>2.7132465631919787</v>
      </c>
      <c r="F44" s="71">
        <f t="shared" si="16"/>
        <v>1.2621829785300771</v>
      </c>
      <c r="G44" s="71">
        <f t="shared" si="16"/>
        <v>0.79216281442612335</v>
      </c>
      <c r="H44" s="71" t="str">
        <f t="shared" si="16"/>
        <v/>
      </c>
      <c r="I44" s="71" t="str">
        <f t="shared" si="16"/>
        <v/>
      </c>
      <c r="J44" s="71">
        <f t="shared" si="16"/>
        <v>1.5810959560161681</v>
      </c>
      <c r="K44" s="2"/>
      <c r="L44" s="2"/>
      <c r="M44" s="2"/>
      <c r="N44" s="2"/>
      <c r="O44" s="2"/>
      <c r="P44" s="2"/>
      <c r="Q44" s="2"/>
      <c r="R44" s="2"/>
      <c r="S44" s="2"/>
      <c r="T44" s="2"/>
      <c r="U44" s="2"/>
      <c r="V44" s="2"/>
      <c r="W44" s="2"/>
      <c r="X44" s="2"/>
      <c r="Y44" s="2"/>
    </row>
    <row r="45" spans="1:25" x14ac:dyDescent="0.3">
      <c r="A45" s="66" t="s">
        <v>75</v>
      </c>
      <c r="B45" s="66"/>
      <c r="C45" s="66"/>
      <c r="D45" s="56">
        <f>D40</f>
        <v>0.43718998673850784</v>
      </c>
      <c r="E45" s="56">
        <f>D45+E40</f>
        <v>36.806636285634177</v>
      </c>
      <c r="F45" s="56">
        <f>E45+F40</f>
        <v>44.713578896250027</v>
      </c>
      <c r="G45" s="56">
        <f>F45+G40</f>
        <v>40.991608108108117</v>
      </c>
      <c r="H45" s="56">
        <f>G45+H40</f>
        <v>40.991608108108117</v>
      </c>
      <c r="I45" s="56">
        <f>H45+I40</f>
        <v>40.991608108108117</v>
      </c>
      <c r="J45" s="56">
        <f>I45</f>
        <v>40.991608108108117</v>
      </c>
      <c r="K45" s="2"/>
      <c r="L45" s="2"/>
      <c r="M45" s="2"/>
      <c r="N45" s="2"/>
      <c r="O45" s="2"/>
      <c r="P45" s="2"/>
      <c r="Q45" s="2"/>
      <c r="R45" s="2"/>
      <c r="S45" s="2"/>
      <c r="T45" s="2"/>
      <c r="U45" s="2"/>
      <c r="V45" s="2"/>
      <c r="W45" s="2"/>
      <c r="X45" s="2"/>
      <c r="Y45" s="2"/>
    </row>
    <row r="46" spans="1:25" x14ac:dyDescent="0.3">
      <c r="A46" s="1"/>
      <c r="B46" s="1"/>
      <c r="C46" s="1"/>
      <c r="D46" s="1"/>
      <c r="E46" s="1"/>
      <c r="F46" s="1"/>
      <c r="G46" s="1"/>
      <c r="H46" s="1"/>
      <c r="I46" s="1"/>
      <c r="J46" s="1"/>
      <c r="K46" s="1"/>
      <c r="L46" s="1"/>
      <c r="M46" s="1"/>
      <c r="N46" s="1"/>
      <c r="O46" s="1"/>
      <c r="P46" s="1"/>
      <c r="Q46" s="1"/>
      <c r="R46" s="1"/>
      <c r="S46" s="1"/>
      <c r="T46" s="1"/>
      <c r="U46" s="1"/>
      <c r="V46" s="1"/>
      <c r="W46" s="1"/>
      <c r="X46" s="1"/>
      <c r="Y46" s="1"/>
    </row>
    <row r="47" spans="1:25" x14ac:dyDescent="0.3">
      <c r="A47" s="331" t="s">
        <v>88</v>
      </c>
      <c r="B47" s="294"/>
      <c r="C47" s="294"/>
      <c r="D47" s="294"/>
      <c r="E47" s="294"/>
      <c r="F47" s="294"/>
      <c r="G47" s="294"/>
      <c r="H47" s="294"/>
      <c r="I47" s="294"/>
      <c r="J47" s="294"/>
      <c r="K47" s="294"/>
      <c r="L47" s="294"/>
      <c r="M47" s="294"/>
      <c r="N47" s="294"/>
      <c r="O47" s="294"/>
      <c r="P47" s="294"/>
      <c r="Q47" s="294"/>
      <c r="R47" s="294"/>
      <c r="S47" s="294"/>
      <c r="T47" s="294"/>
      <c r="U47" s="294"/>
      <c r="V47" s="294"/>
      <c r="W47" s="294"/>
      <c r="X47" s="294"/>
      <c r="Y47" s="294"/>
    </row>
    <row r="48" spans="1:25" x14ac:dyDescent="0.3">
      <c r="A48" s="1"/>
      <c r="B48" s="1"/>
      <c r="C48" s="1"/>
      <c r="D48" s="1"/>
      <c r="E48" s="1"/>
      <c r="F48" s="1"/>
      <c r="G48" s="1"/>
      <c r="H48" s="1"/>
      <c r="I48" s="1"/>
      <c r="J48" s="1"/>
      <c r="K48" s="1"/>
      <c r="L48" s="1"/>
      <c r="M48" s="1"/>
      <c r="N48" s="1"/>
      <c r="O48" s="1"/>
      <c r="P48" s="1"/>
      <c r="Q48" s="1"/>
      <c r="R48" s="1"/>
      <c r="S48" s="1"/>
      <c r="T48" s="1"/>
      <c r="U48" s="1"/>
      <c r="V48" s="1"/>
      <c r="W48" s="1"/>
      <c r="X48" s="1"/>
      <c r="Y48" s="1"/>
    </row>
    <row r="49" spans="1:25" x14ac:dyDescent="0.3">
      <c r="A49" s="1"/>
      <c r="B49" s="1"/>
      <c r="C49" s="1"/>
      <c r="D49" s="1"/>
      <c r="E49" s="1"/>
      <c r="F49" s="1"/>
      <c r="G49" s="1"/>
      <c r="H49" s="1"/>
      <c r="I49" s="1"/>
      <c r="J49" s="1"/>
      <c r="K49" s="1"/>
      <c r="L49" s="1"/>
      <c r="M49" s="1"/>
      <c r="N49" s="1"/>
      <c r="O49" s="1"/>
      <c r="P49" s="1"/>
      <c r="Q49" s="1"/>
      <c r="R49" s="1"/>
      <c r="S49" s="1"/>
      <c r="T49" s="1"/>
      <c r="U49" s="1"/>
      <c r="V49" s="1"/>
      <c r="W49" s="1"/>
      <c r="X49" s="1"/>
      <c r="Y49" s="1"/>
    </row>
    <row r="50" spans="1:25" x14ac:dyDescent="0.3">
      <c r="A50" s="1"/>
      <c r="B50" s="1"/>
      <c r="C50" s="1"/>
      <c r="D50" s="1"/>
      <c r="E50" s="1"/>
      <c r="F50" s="1"/>
      <c r="G50" s="1"/>
      <c r="H50" s="1"/>
      <c r="I50" s="1"/>
      <c r="J50" s="1"/>
      <c r="K50" s="1"/>
      <c r="L50" s="1"/>
      <c r="M50" s="1"/>
      <c r="N50" s="1"/>
      <c r="O50" s="1"/>
      <c r="P50" s="1"/>
      <c r="Q50" s="1"/>
      <c r="R50" s="1"/>
      <c r="S50" s="1"/>
      <c r="T50" s="1"/>
      <c r="U50" s="1"/>
      <c r="V50" s="1"/>
      <c r="W50" s="1"/>
      <c r="X50" s="1"/>
      <c r="Y50" s="1"/>
    </row>
    <row r="51" spans="1:25" x14ac:dyDescent="0.3">
      <c r="A51" s="1"/>
      <c r="B51" s="1"/>
      <c r="C51" s="1"/>
      <c r="D51" s="1"/>
      <c r="E51" s="1"/>
      <c r="F51" s="1"/>
      <c r="G51" s="1"/>
      <c r="H51" s="1"/>
      <c r="I51" s="1"/>
      <c r="J51" s="1"/>
      <c r="K51" s="1"/>
      <c r="L51" s="1"/>
      <c r="M51" s="1"/>
      <c r="N51" s="1"/>
      <c r="O51" s="1"/>
      <c r="P51" s="1"/>
      <c r="Q51" s="1"/>
      <c r="R51" s="1"/>
      <c r="S51" s="1"/>
      <c r="T51" s="1"/>
      <c r="U51" s="1"/>
      <c r="V51" s="1"/>
      <c r="W51" s="1"/>
      <c r="X51" s="1"/>
      <c r="Y51" s="1"/>
    </row>
    <row r="52" spans="1:25" x14ac:dyDescent="0.3">
      <c r="A52" s="1"/>
      <c r="B52" s="1"/>
      <c r="C52" s="1"/>
      <c r="D52" s="1"/>
      <c r="E52" s="1"/>
      <c r="F52" s="1"/>
      <c r="G52" s="1"/>
      <c r="H52" s="1"/>
      <c r="I52" s="1"/>
      <c r="J52" s="1"/>
      <c r="K52" s="1"/>
      <c r="L52" s="1"/>
      <c r="M52" s="1"/>
      <c r="N52" s="1"/>
      <c r="O52" s="1"/>
      <c r="P52" s="1"/>
      <c r="Q52" s="1"/>
      <c r="R52" s="1"/>
      <c r="S52" s="1"/>
      <c r="T52" s="1"/>
      <c r="U52" s="1"/>
      <c r="V52" s="1"/>
      <c r="W52" s="1"/>
      <c r="X52" s="1"/>
      <c r="Y52" s="1"/>
    </row>
    <row r="53" spans="1:25" x14ac:dyDescent="0.3">
      <c r="A53" s="1"/>
      <c r="B53" s="1"/>
      <c r="C53" s="1"/>
      <c r="D53" s="1"/>
      <c r="E53" s="1"/>
      <c r="F53" s="1"/>
      <c r="G53" s="1"/>
      <c r="H53" s="1"/>
      <c r="I53" s="1"/>
      <c r="J53" s="1"/>
      <c r="K53" s="1"/>
      <c r="L53" s="1"/>
      <c r="M53" s="1"/>
      <c r="N53" s="1"/>
      <c r="O53" s="1"/>
      <c r="P53" s="1"/>
      <c r="Q53" s="1"/>
      <c r="R53" s="1"/>
      <c r="S53" s="1"/>
      <c r="T53" s="1"/>
      <c r="U53" s="1"/>
      <c r="V53" s="1"/>
      <c r="W53" s="1"/>
      <c r="X53" s="1"/>
      <c r="Y53" s="1"/>
    </row>
    <row r="54" spans="1:25" x14ac:dyDescent="0.3">
      <c r="A54" s="1"/>
      <c r="B54" s="1"/>
      <c r="C54" s="1"/>
      <c r="D54" s="1"/>
      <c r="E54" s="1"/>
      <c r="F54" s="1"/>
      <c r="G54" s="1"/>
      <c r="H54" s="1"/>
      <c r="I54" s="1"/>
      <c r="J54" s="1"/>
      <c r="K54" s="1"/>
      <c r="L54" s="1"/>
      <c r="M54" s="1"/>
      <c r="N54" s="1"/>
      <c r="O54" s="1"/>
      <c r="P54" s="1"/>
      <c r="Q54" s="1"/>
      <c r="R54" s="1"/>
      <c r="S54" s="1"/>
      <c r="T54" s="1"/>
      <c r="U54" s="1"/>
      <c r="V54" s="1"/>
      <c r="W54" s="1"/>
      <c r="X54" s="1"/>
      <c r="Y54" s="1"/>
    </row>
    <row r="55" spans="1:25" x14ac:dyDescent="0.3">
      <c r="A55" s="1"/>
      <c r="B55" s="1"/>
      <c r="C55" s="1"/>
      <c r="D55" s="1"/>
      <c r="E55" s="1"/>
      <c r="F55" s="1"/>
      <c r="G55" s="1"/>
      <c r="H55" s="1"/>
      <c r="I55" s="1"/>
      <c r="J55" s="1"/>
      <c r="K55" s="1"/>
      <c r="L55" s="1"/>
      <c r="M55" s="1"/>
      <c r="N55" s="1"/>
      <c r="O55" s="1"/>
      <c r="P55" s="1"/>
      <c r="Q55" s="1"/>
      <c r="R55" s="1"/>
      <c r="S55" s="1"/>
      <c r="T55" s="1"/>
      <c r="U55" s="1"/>
      <c r="V55" s="1"/>
      <c r="W55" s="1"/>
      <c r="X55" s="1"/>
      <c r="Y55" s="1"/>
    </row>
    <row r="56" spans="1:25" x14ac:dyDescent="0.3">
      <c r="A56" s="1"/>
      <c r="B56" s="1"/>
      <c r="C56" s="1"/>
      <c r="D56" s="1"/>
      <c r="E56" s="1"/>
      <c r="F56" s="1"/>
      <c r="G56" s="1"/>
      <c r="H56" s="1"/>
      <c r="I56" s="1"/>
      <c r="J56" s="1"/>
      <c r="K56" s="1"/>
      <c r="L56" s="1"/>
      <c r="M56" s="1"/>
      <c r="N56" s="1"/>
      <c r="O56" s="1"/>
      <c r="P56" s="1"/>
      <c r="Q56" s="1"/>
      <c r="R56" s="1"/>
      <c r="S56" s="1"/>
      <c r="T56" s="1"/>
      <c r="U56" s="1"/>
      <c r="V56" s="1"/>
      <c r="W56" s="1"/>
      <c r="X56" s="1"/>
      <c r="Y56" s="1"/>
    </row>
    <row r="57" spans="1:25" x14ac:dyDescent="0.3">
      <c r="A57" s="1"/>
      <c r="B57" s="1"/>
      <c r="C57" s="1"/>
      <c r="D57" s="1"/>
      <c r="E57" s="1"/>
      <c r="F57" s="1"/>
      <c r="G57" s="1"/>
      <c r="H57" s="1"/>
      <c r="I57" s="1"/>
      <c r="J57" s="1"/>
      <c r="K57" s="1"/>
      <c r="L57" s="1"/>
      <c r="M57" s="1"/>
      <c r="N57" s="1"/>
      <c r="O57" s="1"/>
      <c r="P57" s="1"/>
      <c r="Q57" s="1"/>
      <c r="R57" s="1"/>
      <c r="S57" s="1"/>
      <c r="T57" s="1"/>
      <c r="U57" s="1"/>
      <c r="V57" s="1"/>
      <c r="W57" s="1"/>
      <c r="X57" s="1"/>
      <c r="Y57" s="1"/>
    </row>
    <row r="58" spans="1:25" x14ac:dyDescent="0.3">
      <c r="A58" s="1"/>
      <c r="B58" s="1"/>
      <c r="C58" s="1"/>
      <c r="D58" s="1"/>
      <c r="E58" s="1"/>
      <c r="F58" s="1"/>
      <c r="G58" s="1"/>
      <c r="H58" s="1"/>
      <c r="I58" s="1"/>
      <c r="J58" s="1"/>
      <c r="K58" s="1"/>
      <c r="L58" s="1"/>
      <c r="M58" s="1"/>
      <c r="N58" s="1"/>
      <c r="O58" s="1"/>
      <c r="P58" s="1"/>
      <c r="Q58" s="1"/>
      <c r="R58" s="1"/>
      <c r="S58" s="1"/>
      <c r="T58" s="1"/>
      <c r="U58" s="1"/>
      <c r="V58" s="1"/>
      <c r="W58" s="1"/>
      <c r="X58" s="1"/>
      <c r="Y58" s="1"/>
    </row>
    <row r="59" spans="1:25" x14ac:dyDescent="0.3">
      <c r="A59" s="1"/>
      <c r="B59" s="1"/>
      <c r="C59" s="1"/>
      <c r="D59" s="1"/>
      <c r="E59" s="1"/>
      <c r="F59" s="1"/>
      <c r="G59" s="1"/>
      <c r="H59" s="1"/>
      <c r="I59" s="1"/>
      <c r="J59" s="1"/>
      <c r="K59" s="1"/>
      <c r="L59" s="1"/>
      <c r="M59" s="1"/>
      <c r="N59" s="1"/>
      <c r="O59" s="1"/>
      <c r="P59" s="1"/>
      <c r="Q59" s="1"/>
      <c r="R59" s="1"/>
      <c r="S59" s="1"/>
      <c r="T59" s="1"/>
      <c r="U59" s="1"/>
      <c r="V59" s="1"/>
      <c r="W59" s="1"/>
      <c r="X59" s="1"/>
      <c r="Y59" s="1"/>
    </row>
    <row r="60" spans="1:25" x14ac:dyDescent="0.3">
      <c r="A60" s="1"/>
      <c r="B60" s="1"/>
      <c r="C60" s="1"/>
      <c r="D60" s="1"/>
      <c r="E60" s="1"/>
      <c r="F60" s="1"/>
      <c r="G60" s="1"/>
      <c r="H60" s="1"/>
      <c r="I60" s="1"/>
      <c r="J60" s="1"/>
      <c r="K60" s="1"/>
      <c r="L60" s="1"/>
      <c r="M60" s="1"/>
      <c r="N60" s="1"/>
      <c r="O60" s="1"/>
      <c r="P60" s="1"/>
      <c r="Q60" s="1"/>
      <c r="R60" s="1"/>
      <c r="S60" s="1"/>
      <c r="T60" s="1"/>
      <c r="U60" s="1"/>
      <c r="V60" s="1"/>
      <c r="W60" s="1"/>
      <c r="X60" s="1"/>
      <c r="Y60" s="1"/>
    </row>
    <row r="61" spans="1:25" x14ac:dyDescent="0.3">
      <c r="A61" s="1"/>
      <c r="B61" s="1"/>
      <c r="C61" s="1"/>
      <c r="D61" s="1"/>
      <c r="E61" s="1"/>
      <c r="F61" s="1"/>
      <c r="G61" s="1"/>
      <c r="H61" s="1"/>
      <c r="I61" s="1"/>
      <c r="J61" s="1"/>
      <c r="K61" s="1"/>
      <c r="L61" s="1"/>
      <c r="M61" s="1"/>
      <c r="N61" s="1"/>
      <c r="O61" s="1"/>
      <c r="P61" s="1"/>
      <c r="Q61" s="1"/>
      <c r="R61" s="1"/>
      <c r="S61" s="1"/>
      <c r="T61" s="1"/>
      <c r="U61" s="1"/>
      <c r="V61" s="1"/>
      <c r="W61" s="1"/>
      <c r="X61" s="1"/>
      <c r="Y61" s="1"/>
    </row>
    <row r="62" spans="1:25" x14ac:dyDescent="0.3">
      <c r="A62" s="1"/>
      <c r="B62" s="1"/>
      <c r="C62" s="1"/>
      <c r="D62" s="1"/>
      <c r="E62" s="1"/>
      <c r="F62" s="1"/>
      <c r="G62" s="1"/>
      <c r="H62" s="1"/>
      <c r="I62" s="1"/>
      <c r="J62" s="1"/>
      <c r="K62" s="1"/>
      <c r="L62" s="1"/>
      <c r="M62" s="1"/>
      <c r="N62" s="1"/>
      <c r="O62" s="1"/>
      <c r="P62" s="1"/>
      <c r="Q62" s="1"/>
      <c r="R62" s="1"/>
      <c r="S62" s="1"/>
      <c r="T62" s="1"/>
      <c r="U62" s="1"/>
      <c r="V62" s="1"/>
      <c r="W62" s="1"/>
      <c r="X62" s="1"/>
      <c r="Y62" s="1"/>
    </row>
    <row r="63" spans="1:25" x14ac:dyDescent="0.3">
      <c r="A63" s="1"/>
      <c r="B63" s="1"/>
      <c r="C63" s="1"/>
      <c r="D63" s="1"/>
      <c r="E63" s="1"/>
      <c r="F63" s="1"/>
      <c r="G63" s="1"/>
      <c r="H63" s="1"/>
      <c r="I63" s="1"/>
      <c r="J63" s="1"/>
      <c r="K63" s="1"/>
      <c r="L63" s="1"/>
      <c r="M63" s="1"/>
      <c r="N63" s="1"/>
      <c r="O63" s="1"/>
      <c r="P63" s="1"/>
      <c r="Q63" s="1"/>
      <c r="R63" s="1"/>
      <c r="S63" s="1"/>
      <c r="T63" s="1"/>
      <c r="U63" s="1"/>
      <c r="V63" s="1"/>
      <c r="W63" s="1"/>
      <c r="X63" s="1"/>
      <c r="Y63" s="1"/>
    </row>
  </sheetData>
  <mergeCells count="6">
    <mergeCell ref="A47:Y47"/>
    <mergeCell ref="A1:Y1"/>
    <mergeCell ref="A6:Y6"/>
    <mergeCell ref="A16:Y16"/>
    <mergeCell ref="A23:Y23"/>
    <mergeCell ref="A35:Y35"/>
  </mergeCells>
  <pageMargins left="0.7" right="0.7" top="0.75" bottom="0.75" header="0.3" footer="0.3"/>
  <pageSetup paperSize="9" scale="63" fitToWidth="2"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E7F78-6FDF-4C45-A3E2-E5DF9BA043E6}">
  <sheetPr>
    <tabColor rgb="FFBF8F00"/>
  </sheetPr>
  <dimension ref="A1:G16"/>
  <sheetViews>
    <sheetView showGridLines="0" zoomScaleNormal="100" workbookViewId="0">
      <selection activeCell="F12" sqref="F12"/>
    </sheetView>
  </sheetViews>
  <sheetFormatPr defaultColWidth="8.6640625" defaultRowHeight="14.4" x14ac:dyDescent="0.3"/>
  <cols>
    <col min="1" max="1" width="11" style="201" customWidth="1"/>
    <col min="2" max="3" width="30" style="201" customWidth="1"/>
    <col min="4" max="4" width="32" style="201" customWidth="1"/>
    <col min="5" max="5" width="13" style="201" customWidth="1"/>
    <col min="6" max="6" width="14" style="201" customWidth="1"/>
    <col min="7" max="7" width="58" style="201" customWidth="1"/>
    <col min="8" max="16384" width="8.6640625" style="201"/>
  </cols>
  <sheetData>
    <row r="1" spans="1:7" ht="21.75" customHeight="1" x14ac:dyDescent="0.3">
      <c r="A1" s="200" t="s">
        <v>352</v>
      </c>
    </row>
    <row r="2" spans="1:7" x14ac:dyDescent="0.3">
      <c r="A2" s="202" t="s">
        <v>353</v>
      </c>
    </row>
    <row r="4" spans="1:7" ht="30" customHeight="1" x14ac:dyDescent="0.3">
      <c r="A4" s="203" t="s">
        <v>354</v>
      </c>
      <c r="B4" s="203" t="s">
        <v>355</v>
      </c>
      <c r="C4" s="203" t="s">
        <v>356</v>
      </c>
      <c r="D4" s="203" t="s">
        <v>357</v>
      </c>
      <c r="E4" s="203" t="s">
        <v>358</v>
      </c>
      <c r="F4" s="203" t="s">
        <v>359</v>
      </c>
      <c r="G4" s="203" t="s">
        <v>360</v>
      </c>
    </row>
    <row r="5" spans="1:7" ht="25.5" customHeight="1" x14ac:dyDescent="0.3">
      <c r="A5" s="204" t="s">
        <v>361</v>
      </c>
      <c r="B5" s="205" t="s">
        <v>362</v>
      </c>
      <c r="C5" s="205" t="s">
        <v>363</v>
      </c>
      <c r="D5" s="205" t="s">
        <v>364</v>
      </c>
      <c r="E5" s="206">
        <v>1</v>
      </c>
      <c r="F5" s="207" t="s">
        <v>365</v>
      </c>
      <c r="G5" s="208" t="s">
        <v>366</v>
      </c>
    </row>
    <row r="6" spans="1:7" ht="25.5" customHeight="1" x14ac:dyDescent="0.3">
      <c r="A6" s="204" t="s">
        <v>367</v>
      </c>
      <c r="B6" s="205" t="s">
        <v>368</v>
      </c>
      <c r="C6" s="205" t="s">
        <v>369</v>
      </c>
      <c r="D6" s="205" t="s">
        <v>370</v>
      </c>
      <c r="E6" s="206">
        <v>1.1000000000000001</v>
      </c>
      <c r="F6" s="207" t="s">
        <v>365</v>
      </c>
      <c r="G6" s="208" t="s">
        <v>371</v>
      </c>
    </row>
    <row r="7" spans="1:7" ht="25.5" customHeight="1" x14ac:dyDescent="0.3">
      <c r="A7" s="204" t="s">
        <v>372</v>
      </c>
      <c r="B7" s="205" t="s">
        <v>373</v>
      </c>
      <c r="C7" s="205" t="s">
        <v>369</v>
      </c>
      <c r="D7" s="205" t="s">
        <v>374</v>
      </c>
      <c r="E7" s="206">
        <v>1</v>
      </c>
      <c r="F7" s="207" t="s">
        <v>365</v>
      </c>
      <c r="G7" s="208" t="s">
        <v>375</v>
      </c>
    </row>
    <row r="8" spans="1:7" ht="25.5" customHeight="1" x14ac:dyDescent="0.3">
      <c r="A8" s="204" t="s">
        <v>376</v>
      </c>
      <c r="B8" s="205" t="s">
        <v>377</v>
      </c>
      <c r="C8" s="205" t="s">
        <v>378</v>
      </c>
      <c r="D8" s="205" t="s">
        <v>379</v>
      </c>
      <c r="E8" s="206">
        <v>1.2</v>
      </c>
      <c r="F8" s="207" t="s">
        <v>365</v>
      </c>
      <c r="G8" s="208" t="s">
        <v>380</v>
      </c>
    </row>
    <row r="9" spans="1:7" ht="25.5" customHeight="1" x14ac:dyDescent="0.3">
      <c r="A9" s="204" t="s">
        <v>381</v>
      </c>
      <c r="B9" s="205" t="s">
        <v>382</v>
      </c>
      <c r="C9" s="205" t="s">
        <v>383</v>
      </c>
      <c r="D9" s="205" t="s">
        <v>384</v>
      </c>
      <c r="E9" s="206">
        <v>0.75</v>
      </c>
      <c r="F9" s="207" t="s">
        <v>365</v>
      </c>
      <c r="G9" s="208" t="s">
        <v>385</v>
      </c>
    </row>
    <row r="10" spans="1:7" ht="25.5" customHeight="1" x14ac:dyDescent="0.3">
      <c r="A10" s="204" t="s">
        <v>386</v>
      </c>
      <c r="B10" s="205" t="s">
        <v>387</v>
      </c>
      <c r="C10" s="205" t="s">
        <v>363</v>
      </c>
      <c r="D10" s="205" t="s">
        <v>388</v>
      </c>
      <c r="E10" s="206">
        <v>0.85</v>
      </c>
      <c r="F10" s="207" t="s">
        <v>365</v>
      </c>
      <c r="G10" s="208" t="s">
        <v>389</v>
      </c>
    </row>
    <row r="11" spans="1:7" ht="25.5" customHeight="1" x14ac:dyDescent="0.3">
      <c r="A11" s="204" t="s">
        <v>390</v>
      </c>
      <c r="B11" s="205" t="s">
        <v>391</v>
      </c>
      <c r="C11" s="205" t="s">
        <v>392</v>
      </c>
      <c r="D11" s="205" t="s">
        <v>393</v>
      </c>
      <c r="E11" s="206">
        <v>0.8</v>
      </c>
      <c r="F11" s="207" t="s">
        <v>365</v>
      </c>
      <c r="G11" s="208" t="s">
        <v>394</v>
      </c>
    </row>
    <row r="12" spans="1:7" ht="25.5" customHeight="1" x14ac:dyDescent="0.3">
      <c r="A12" s="204" t="s">
        <v>395</v>
      </c>
      <c r="B12" s="205" t="s">
        <v>396</v>
      </c>
      <c r="C12" s="205" t="s">
        <v>397</v>
      </c>
      <c r="D12" s="205" t="s">
        <v>398</v>
      </c>
      <c r="E12" s="206">
        <v>0.7</v>
      </c>
      <c r="F12" s="207" t="s">
        <v>399</v>
      </c>
      <c r="G12" s="208" t="s">
        <v>400</v>
      </c>
    </row>
    <row r="13" spans="1:7" ht="25.5" customHeight="1" x14ac:dyDescent="0.3">
      <c r="A13" s="204" t="s">
        <v>401</v>
      </c>
      <c r="B13" s="205" t="s">
        <v>402</v>
      </c>
      <c r="C13" s="205" t="s">
        <v>397</v>
      </c>
      <c r="D13" s="205" t="s">
        <v>403</v>
      </c>
      <c r="E13" s="206">
        <v>0.5</v>
      </c>
      <c r="F13" s="207" t="s">
        <v>399</v>
      </c>
      <c r="G13" s="208" t="s">
        <v>404</v>
      </c>
    </row>
    <row r="15" spans="1:7" x14ac:dyDescent="0.3">
      <c r="A15" s="209" t="s">
        <v>405</v>
      </c>
      <c r="B15" s="202" t="s">
        <v>406</v>
      </c>
    </row>
    <row r="16" spans="1:7" x14ac:dyDescent="0.3">
      <c r="A16" s="209" t="s">
        <v>407</v>
      </c>
      <c r="B16" s="202" t="s">
        <v>408</v>
      </c>
    </row>
  </sheetData>
  <dataValidations count="1">
    <dataValidation type="list" allowBlank="1" sqref="F5:F13" xr:uid="{0FB6F558-674A-43E2-8BF4-9F41EC71B530}">
      <formula1>"Yes,No"</formula1>
      <formula2>0</formula2>
    </dataValidation>
  </dataValidation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44A45-8CD8-4497-8B25-6F7653D6F296}">
  <sheetPr>
    <tabColor rgb="FFBF8F00"/>
  </sheetPr>
  <dimension ref="A1:F40"/>
  <sheetViews>
    <sheetView showGridLines="0" zoomScaleNormal="100" workbookViewId="0">
      <selection activeCell="C9" sqref="C9"/>
    </sheetView>
  </sheetViews>
  <sheetFormatPr defaultColWidth="8.6640625" defaultRowHeight="14.4" x14ac:dyDescent="0.3"/>
  <cols>
    <col min="1" max="1" width="11" style="201" customWidth="1"/>
    <col min="2" max="2" width="9" style="201" customWidth="1"/>
    <col min="3" max="3" width="52" style="201" customWidth="1"/>
    <col min="4" max="4" width="16" style="201" customWidth="1"/>
    <col min="5" max="5" width="26" style="201" customWidth="1"/>
    <col min="6" max="6" width="12" style="201" bestFit="1" customWidth="1"/>
    <col min="7" max="16384" width="8.6640625" style="201"/>
  </cols>
  <sheetData>
    <row r="1" spans="1:6" ht="21.75" customHeight="1" x14ac:dyDescent="0.3">
      <c r="A1" s="200" t="s">
        <v>409</v>
      </c>
    </row>
    <row r="2" spans="1:6" x14ac:dyDescent="0.3">
      <c r="A2" s="202" t="s">
        <v>410</v>
      </c>
    </row>
    <row r="4" spans="1:6" ht="30" customHeight="1" x14ac:dyDescent="0.3">
      <c r="A4" s="203" t="s">
        <v>354</v>
      </c>
      <c r="B4" s="203" t="s">
        <v>411</v>
      </c>
      <c r="C4" s="203" t="s">
        <v>412</v>
      </c>
      <c r="D4" s="203" t="s">
        <v>413</v>
      </c>
      <c r="E4" s="203" t="s">
        <v>414</v>
      </c>
      <c r="F4" s="213" t="s">
        <v>460</v>
      </c>
    </row>
    <row r="5" spans="1:6" x14ac:dyDescent="0.3">
      <c r="A5" s="204" t="s">
        <v>361</v>
      </c>
      <c r="B5" s="210">
        <v>1</v>
      </c>
      <c r="C5" s="205" t="s">
        <v>415</v>
      </c>
      <c r="D5" s="211">
        <v>0.1</v>
      </c>
      <c r="E5" s="212" t="s">
        <v>416</v>
      </c>
      <c r="F5" s="214" t="str">
        <f>$A5&amp;"|"&amp;$B5</f>
        <v>DD|1</v>
      </c>
    </row>
    <row r="6" spans="1:6" x14ac:dyDescent="0.3">
      <c r="A6" s="204" t="s">
        <v>361</v>
      </c>
      <c r="B6" s="210">
        <v>2</v>
      </c>
      <c r="C6" s="205" t="s">
        <v>417</v>
      </c>
      <c r="D6" s="211">
        <v>0.4</v>
      </c>
      <c r="E6" s="212" t="s">
        <v>418</v>
      </c>
      <c r="F6" s="214" t="str">
        <f t="shared" ref="F6:F38" si="0">$A6&amp;"|"&amp;$B6</f>
        <v>DD|2</v>
      </c>
    </row>
    <row r="7" spans="1:6" x14ac:dyDescent="0.3">
      <c r="A7" s="204" t="s">
        <v>361</v>
      </c>
      <c r="B7" s="210">
        <v>3</v>
      </c>
      <c r="C7" s="205" t="s">
        <v>419</v>
      </c>
      <c r="D7" s="211">
        <v>0.6</v>
      </c>
      <c r="E7" s="212" t="s">
        <v>418</v>
      </c>
      <c r="F7" s="214" t="str">
        <f t="shared" si="0"/>
        <v>DD|3</v>
      </c>
    </row>
    <row r="8" spans="1:6" x14ac:dyDescent="0.3">
      <c r="A8" s="204" t="s">
        <v>361</v>
      </c>
      <c r="B8" s="210">
        <v>4</v>
      </c>
      <c r="C8" s="205" t="s">
        <v>420</v>
      </c>
      <c r="D8" s="211">
        <v>0.85</v>
      </c>
      <c r="E8" s="212" t="s">
        <v>421</v>
      </c>
      <c r="F8" s="214" t="str">
        <f t="shared" si="0"/>
        <v>DD|4</v>
      </c>
    </row>
    <row r="9" spans="1:6" x14ac:dyDescent="0.3">
      <c r="A9" s="204" t="s">
        <v>361</v>
      </c>
      <c r="B9" s="210">
        <v>5</v>
      </c>
      <c r="C9" s="205" t="s">
        <v>422</v>
      </c>
      <c r="D9" s="211">
        <v>1</v>
      </c>
      <c r="E9" s="212" t="s">
        <v>423</v>
      </c>
      <c r="F9" s="214" t="str">
        <f t="shared" si="0"/>
        <v>DD|5</v>
      </c>
    </row>
    <row r="10" spans="1:6" x14ac:dyDescent="0.3">
      <c r="A10" s="204" t="s">
        <v>367</v>
      </c>
      <c r="B10" s="210">
        <v>1</v>
      </c>
      <c r="C10" s="205" t="s">
        <v>424</v>
      </c>
      <c r="D10" s="211">
        <v>0.15</v>
      </c>
      <c r="E10" s="212" t="s">
        <v>418</v>
      </c>
      <c r="F10" s="214" t="str">
        <f t="shared" si="0"/>
        <v>CD|1</v>
      </c>
    </row>
    <row r="11" spans="1:6" x14ac:dyDescent="0.3">
      <c r="A11" s="204" t="s">
        <v>367</v>
      </c>
      <c r="B11" s="210">
        <v>2</v>
      </c>
      <c r="C11" s="205" t="s">
        <v>425</v>
      </c>
      <c r="D11" s="211">
        <v>0.4</v>
      </c>
      <c r="E11" s="212" t="s">
        <v>418</v>
      </c>
      <c r="F11" s="214" t="str">
        <f t="shared" si="0"/>
        <v>CD|2</v>
      </c>
    </row>
    <row r="12" spans="1:6" x14ac:dyDescent="0.3">
      <c r="A12" s="204" t="s">
        <v>367</v>
      </c>
      <c r="B12" s="210">
        <v>3</v>
      </c>
      <c r="C12" s="205" t="s">
        <v>426</v>
      </c>
      <c r="D12" s="211">
        <v>0.65</v>
      </c>
      <c r="E12" s="212" t="s">
        <v>427</v>
      </c>
      <c r="F12" s="214" t="str">
        <f t="shared" si="0"/>
        <v>CD|3</v>
      </c>
    </row>
    <row r="13" spans="1:6" x14ac:dyDescent="0.3">
      <c r="A13" s="204" t="s">
        <v>367</v>
      </c>
      <c r="B13" s="210">
        <v>4</v>
      </c>
      <c r="C13" s="205" t="s">
        <v>428</v>
      </c>
      <c r="D13" s="211">
        <v>0.9</v>
      </c>
      <c r="E13" s="212" t="s">
        <v>421</v>
      </c>
      <c r="F13" s="214" t="str">
        <f t="shared" si="0"/>
        <v>CD|4</v>
      </c>
    </row>
    <row r="14" spans="1:6" x14ac:dyDescent="0.3">
      <c r="A14" s="204" t="s">
        <v>367</v>
      </c>
      <c r="B14" s="210">
        <v>5</v>
      </c>
      <c r="C14" s="205" t="s">
        <v>429</v>
      </c>
      <c r="D14" s="211">
        <v>1</v>
      </c>
      <c r="E14" s="212" t="s">
        <v>423</v>
      </c>
      <c r="F14" s="214" t="str">
        <f t="shared" si="0"/>
        <v>CD|5</v>
      </c>
    </row>
    <row r="15" spans="1:6" x14ac:dyDescent="0.3">
      <c r="A15" s="204" t="s">
        <v>372</v>
      </c>
      <c r="B15" s="210">
        <v>1</v>
      </c>
      <c r="C15" s="205" t="s">
        <v>430</v>
      </c>
      <c r="D15" s="211">
        <v>0.15</v>
      </c>
      <c r="E15" s="212" t="s">
        <v>418</v>
      </c>
      <c r="F15" s="214" t="str">
        <f t="shared" si="0"/>
        <v>FS|1</v>
      </c>
    </row>
    <row r="16" spans="1:6" x14ac:dyDescent="0.3">
      <c r="A16" s="204" t="s">
        <v>372</v>
      </c>
      <c r="B16" s="210">
        <v>2</v>
      </c>
      <c r="C16" s="205" t="s">
        <v>431</v>
      </c>
      <c r="D16" s="211">
        <v>0.45</v>
      </c>
      <c r="E16" s="212" t="s">
        <v>418</v>
      </c>
      <c r="F16" s="214" t="str">
        <f t="shared" si="0"/>
        <v>FS|2</v>
      </c>
    </row>
    <row r="17" spans="1:6" x14ac:dyDescent="0.3">
      <c r="A17" s="204" t="s">
        <v>372</v>
      </c>
      <c r="B17" s="210">
        <v>3</v>
      </c>
      <c r="C17" s="205" t="s">
        <v>432</v>
      </c>
      <c r="D17" s="211">
        <v>0.75</v>
      </c>
      <c r="E17" s="212" t="s">
        <v>421</v>
      </c>
      <c r="F17" s="214" t="str">
        <f t="shared" si="0"/>
        <v>FS|3</v>
      </c>
    </row>
    <row r="18" spans="1:6" x14ac:dyDescent="0.3">
      <c r="A18" s="204" t="s">
        <v>372</v>
      </c>
      <c r="B18" s="210">
        <v>4</v>
      </c>
      <c r="C18" s="205" t="s">
        <v>433</v>
      </c>
      <c r="D18" s="211">
        <v>0.9</v>
      </c>
      <c r="E18" s="212" t="s">
        <v>434</v>
      </c>
      <c r="F18" s="214" t="str">
        <f t="shared" si="0"/>
        <v>FS|4</v>
      </c>
    </row>
    <row r="19" spans="1:6" x14ac:dyDescent="0.3">
      <c r="A19" s="204" t="s">
        <v>372</v>
      </c>
      <c r="B19" s="210">
        <v>5</v>
      </c>
      <c r="C19" s="205" t="s">
        <v>435</v>
      </c>
      <c r="D19" s="211">
        <v>1</v>
      </c>
      <c r="E19" s="212" t="s">
        <v>421</v>
      </c>
      <c r="F19" s="214" t="str">
        <f t="shared" si="0"/>
        <v>FS|5</v>
      </c>
    </row>
    <row r="20" spans="1:6" x14ac:dyDescent="0.3">
      <c r="A20" s="204" t="s">
        <v>376</v>
      </c>
      <c r="B20" s="210">
        <v>1</v>
      </c>
      <c r="C20" s="205" t="s">
        <v>424</v>
      </c>
      <c r="D20" s="211">
        <v>0.15</v>
      </c>
      <c r="E20" s="212" t="s">
        <v>418</v>
      </c>
      <c r="F20" s="214" t="str">
        <f t="shared" si="0"/>
        <v>SA|1</v>
      </c>
    </row>
    <row r="21" spans="1:6" x14ac:dyDescent="0.3">
      <c r="A21" s="204" t="s">
        <v>376</v>
      </c>
      <c r="B21" s="210">
        <v>2</v>
      </c>
      <c r="C21" s="205" t="s">
        <v>436</v>
      </c>
      <c r="D21" s="211">
        <v>0.4</v>
      </c>
      <c r="E21" s="212" t="s">
        <v>437</v>
      </c>
      <c r="F21" s="214" t="str">
        <f t="shared" si="0"/>
        <v>SA|2</v>
      </c>
    </row>
    <row r="22" spans="1:6" x14ac:dyDescent="0.3">
      <c r="A22" s="204" t="s">
        <v>376</v>
      </c>
      <c r="B22" s="210">
        <v>3</v>
      </c>
      <c r="C22" s="205" t="s">
        <v>438</v>
      </c>
      <c r="D22" s="211">
        <v>0.65</v>
      </c>
      <c r="E22" s="212" t="s">
        <v>437</v>
      </c>
      <c r="F22" s="214" t="str">
        <f t="shared" si="0"/>
        <v>SA|3</v>
      </c>
    </row>
    <row r="23" spans="1:6" x14ac:dyDescent="0.3">
      <c r="A23" s="204" t="s">
        <v>376</v>
      </c>
      <c r="B23" s="210">
        <v>4</v>
      </c>
      <c r="C23" s="205" t="s">
        <v>439</v>
      </c>
      <c r="D23" s="211">
        <v>0.9</v>
      </c>
      <c r="E23" s="212" t="s">
        <v>421</v>
      </c>
      <c r="F23" s="214" t="str">
        <f t="shared" si="0"/>
        <v>SA|4</v>
      </c>
    </row>
    <row r="24" spans="1:6" x14ac:dyDescent="0.3">
      <c r="A24" s="204" t="s">
        <v>376</v>
      </c>
      <c r="B24" s="210">
        <v>5</v>
      </c>
      <c r="C24" s="205" t="s">
        <v>440</v>
      </c>
      <c r="D24" s="211">
        <v>1</v>
      </c>
      <c r="E24" s="212" t="s">
        <v>434</v>
      </c>
      <c r="F24" s="214" t="str">
        <f t="shared" si="0"/>
        <v>SA|5</v>
      </c>
    </row>
    <row r="25" spans="1:6" x14ac:dyDescent="0.3">
      <c r="A25" s="204" t="s">
        <v>381</v>
      </c>
      <c r="B25" s="210">
        <v>1</v>
      </c>
      <c r="C25" s="205" t="s">
        <v>441</v>
      </c>
      <c r="D25" s="211">
        <v>0.1</v>
      </c>
      <c r="E25" s="212" t="s">
        <v>442</v>
      </c>
      <c r="F25" s="214" t="str">
        <f t="shared" si="0"/>
        <v>DR|1</v>
      </c>
    </row>
    <row r="26" spans="1:6" x14ac:dyDescent="0.3">
      <c r="A26" s="204" t="s">
        <v>381</v>
      </c>
      <c r="B26" s="210">
        <v>2</v>
      </c>
      <c r="C26" s="205" t="s">
        <v>443</v>
      </c>
      <c r="D26" s="211">
        <v>0.6</v>
      </c>
      <c r="E26" s="212" t="s">
        <v>418</v>
      </c>
      <c r="F26" s="214" t="str">
        <f t="shared" si="0"/>
        <v>DR|2</v>
      </c>
    </row>
    <row r="27" spans="1:6" x14ac:dyDescent="0.3">
      <c r="A27" s="204" t="s">
        <v>381</v>
      </c>
      <c r="B27" s="210">
        <v>3</v>
      </c>
      <c r="C27" s="205" t="s">
        <v>444</v>
      </c>
      <c r="D27" s="211">
        <v>0.9</v>
      </c>
      <c r="E27" s="212" t="s">
        <v>421</v>
      </c>
      <c r="F27" s="214" t="str">
        <f t="shared" si="0"/>
        <v>DR|3</v>
      </c>
    </row>
    <row r="28" spans="1:6" x14ac:dyDescent="0.3">
      <c r="A28" s="204" t="s">
        <v>381</v>
      </c>
      <c r="B28" s="210">
        <v>4</v>
      </c>
      <c r="C28" s="205" t="s">
        <v>445</v>
      </c>
      <c r="D28" s="211">
        <v>1</v>
      </c>
      <c r="E28" s="212" t="s">
        <v>434</v>
      </c>
      <c r="F28" s="214" t="str">
        <f t="shared" si="0"/>
        <v>DR|4</v>
      </c>
    </row>
    <row r="29" spans="1:6" x14ac:dyDescent="0.3">
      <c r="A29" s="204" t="s">
        <v>386</v>
      </c>
      <c r="B29" s="210">
        <v>1</v>
      </c>
      <c r="C29" s="205" t="s">
        <v>446</v>
      </c>
      <c r="D29" s="211">
        <v>0.3</v>
      </c>
      <c r="E29" s="212" t="s">
        <v>418</v>
      </c>
      <c r="F29" s="214" t="str">
        <f t="shared" si="0"/>
        <v>TD|1</v>
      </c>
    </row>
    <row r="30" spans="1:6" x14ac:dyDescent="0.3">
      <c r="A30" s="204" t="s">
        <v>386</v>
      </c>
      <c r="B30" s="210">
        <v>2</v>
      </c>
      <c r="C30" s="205" t="s">
        <v>447</v>
      </c>
      <c r="D30" s="211">
        <v>0.55000000000000004</v>
      </c>
      <c r="E30" s="212" t="s">
        <v>418</v>
      </c>
      <c r="F30" s="214" t="str">
        <f t="shared" si="0"/>
        <v>TD|2</v>
      </c>
    </row>
    <row r="31" spans="1:6" x14ac:dyDescent="0.3">
      <c r="A31" s="204" t="s">
        <v>386</v>
      </c>
      <c r="B31" s="210">
        <v>3</v>
      </c>
      <c r="C31" s="205" t="s">
        <v>448</v>
      </c>
      <c r="D31" s="211">
        <v>0.85</v>
      </c>
      <c r="E31" s="212" t="s">
        <v>421</v>
      </c>
      <c r="F31" s="214" t="str">
        <f t="shared" si="0"/>
        <v>TD|3</v>
      </c>
    </row>
    <row r="32" spans="1:6" x14ac:dyDescent="0.3">
      <c r="A32" s="204" t="s">
        <v>386</v>
      </c>
      <c r="B32" s="210">
        <v>4</v>
      </c>
      <c r="C32" s="205" t="s">
        <v>449</v>
      </c>
      <c r="D32" s="211">
        <v>1</v>
      </c>
      <c r="E32" s="212" t="s">
        <v>450</v>
      </c>
      <c r="F32" s="214" t="str">
        <f t="shared" si="0"/>
        <v>TD|4</v>
      </c>
    </row>
    <row r="33" spans="1:6" x14ac:dyDescent="0.3">
      <c r="A33" s="204" t="s">
        <v>390</v>
      </c>
      <c r="B33" s="210">
        <v>1</v>
      </c>
      <c r="C33" s="205" t="s">
        <v>451</v>
      </c>
      <c r="D33" s="211">
        <v>0.1</v>
      </c>
      <c r="E33" s="212" t="s">
        <v>450</v>
      </c>
      <c r="F33" s="214" t="str">
        <f t="shared" si="0"/>
        <v>CS|1</v>
      </c>
    </row>
    <row r="34" spans="1:6" x14ac:dyDescent="0.3">
      <c r="A34" s="204" t="s">
        <v>390</v>
      </c>
      <c r="B34" s="210">
        <v>2</v>
      </c>
      <c r="C34" s="205" t="s">
        <v>452</v>
      </c>
      <c r="D34" s="211">
        <v>0.6</v>
      </c>
      <c r="E34" s="212" t="s">
        <v>418</v>
      </c>
      <c r="F34" s="214" t="str">
        <f t="shared" si="0"/>
        <v>CS|2</v>
      </c>
    </row>
    <row r="35" spans="1:6" x14ac:dyDescent="0.3">
      <c r="A35" s="204" t="s">
        <v>390</v>
      </c>
      <c r="B35" s="210">
        <v>3</v>
      </c>
      <c r="C35" s="205" t="s">
        <v>453</v>
      </c>
      <c r="D35" s="211">
        <v>1</v>
      </c>
      <c r="E35" s="212" t="s">
        <v>421</v>
      </c>
      <c r="F35" s="214" t="str">
        <f t="shared" si="0"/>
        <v>CS|3</v>
      </c>
    </row>
    <row r="36" spans="1:6" x14ac:dyDescent="0.3">
      <c r="A36" s="204" t="s">
        <v>395</v>
      </c>
      <c r="B36" s="210">
        <v>1</v>
      </c>
      <c r="C36" s="205" t="s">
        <v>454</v>
      </c>
      <c r="D36" s="211">
        <v>0.5</v>
      </c>
      <c r="E36" s="212" t="s">
        <v>416</v>
      </c>
      <c r="F36" s="214" t="str">
        <f t="shared" si="0"/>
        <v>PP|1</v>
      </c>
    </row>
    <row r="37" spans="1:6" x14ac:dyDescent="0.3">
      <c r="A37" s="204" t="s">
        <v>395</v>
      </c>
      <c r="B37" s="210">
        <v>2</v>
      </c>
      <c r="C37" s="205" t="s">
        <v>455</v>
      </c>
      <c r="D37" s="211">
        <v>1</v>
      </c>
      <c r="E37" s="212" t="s">
        <v>456</v>
      </c>
      <c r="F37" s="214" t="str">
        <f t="shared" si="0"/>
        <v>PP|2</v>
      </c>
    </row>
    <row r="38" spans="1:6" x14ac:dyDescent="0.3">
      <c r="A38" s="204" t="s">
        <v>401</v>
      </c>
      <c r="B38" s="210">
        <v>1</v>
      </c>
      <c r="C38" s="205" t="s">
        <v>457</v>
      </c>
      <c r="D38" s="211">
        <v>0</v>
      </c>
      <c r="E38" s="212" t="s">
        <v>458</v>
      </c>
      <c r="F38" s="214" t="str">
        <f t="shared" si="0"/>
        <v>OH|1</v>
      </c>
    </row>
    <row r="40" spans="1:6" x14ac:dyDescent="0.3">
      <c r="A40" s="202" t="s">
        <v>459</v>
      </c>
    </row>
  </sheetData>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989CD-56C5-407D-B087-D3FCCC7767BB}">
  <sheetPr>
    <tabColor rgb="FFBF8F00"/>
  </sheetPr>
  <dimension ref="A1:F51"/>
  <sheetViews>
    <sheetView tabSelected="1" workbookViewId="0">
      <selection activeCell="B35" sqref="B35"/>
    </sheetView>
  </sheetViews>
  <sheetFormatPr defaultRowHeight="14.4" x14ac:dyDescent="0.3"/>
  <cols>
    <col min="1" max="1" width="53.6640625" customWidth="1"/>
    <col min="2" max="2" width="20.33203125" customWidth="1"/>
    <col min="3" max="3" width="37" customWidth="1"/>
  </cols>
  <sheetData>
    <row r="1" spans="1:6" ht="18" x14ac:dyDescent="0.35">
      <c r="A1" s="372" t="s">
        <v>726</v>
      </c>
    </row>
    <row r="2" spans="1:6" x14ac:dyDescent="0.3">
      <c r="A2" s="355" t="s">
        <v>727</v>
      </c>
    </row>
    <row r="4" spans="1:6" x14ac:dyDescent="0.3">
      <c r="A4" s="373" t="s">
        <v>728</v>
      </c>
      <c r="B4" s="374" t="s">
        <v>729</v>
      </c>
      <c r="E4" s="373" t="s">
        <v>761</v>
      </c>
      <c r="F4" s="374" t="s">
        <v>762</v>
      </c>
    </row>
    <row r="5" spans="1:6" x14ac:dyDescent="0.3">
      <c r="A5" t="s">
        <v>730</v>
      </c>
      <c r="B5" t="s">
        <v>731</v>
      </c>
      <c r="C5" t="s">
        <v>732</v>
      </c>
      <c r="E5" t="s">
        <v>643</v>
      </c>
      <c r="F5" t="s">
        <v>763</v>
      </c>
    </row>
    <row r="6" spans="1:6" x14ac:dyDescent="0.3">
      <c r="A6">
        <v>1</v>
      </c>
      <c r="B6" t="s">
        <v>733</v>
      </c>
      <c r="C6" s="375">
        <v>1</v>
      </c>
    </row>
    <row r="7" spans="1:6" x14ac:dyDescent="0.3">
      <c r="A7">
        <v>2</v>
      </c>
      <c r="B7" t="s">
        <v>734</v>
      </c>
      <c r="C7" s="375">
        <v>1</v>
      </c>
    </row>
    <row r="8" spans="1:6" x14ac:dyDescent="0.3">
      <c r="A8">
        <v>3</v>
      </c>
      <c r="B8" t="s">
        <v>735</v>
      </c>
      <c r="C8" s="375">
        <v>1</v>
      </c>
    </row>
    <row r="9" spans="1:6" x14ac:dyDescent="0.3">
      <c r="A9">
        <v>4</v>
      </c>
      <c r="B9" t="s">
        <v>736</v>
      </c>
      <c r="C9" s="375">
        <v>1</v>
      </c>
    </row>
    <row r="10" spans="1:6" x14ac:dyDescent="0.3">
      <c r="A10">
        <v>5</v>
      </c>
      <c r="B10" t="s">
        <v>737</v>
      </c>
      <c r="C10" s="375">
        <v>1</v>
      </c>
    </row>
    <row r="11" spans="1:6" x14ac:dyDescent="0.3">
      <c r="A11">
        <v>6</v>
      </c>
      <c r="B11" t="s">
        <v>738</v>
      </c>
      <c r="C11" s="375">
        <v>0</v>
      </c>
    </row>
    <row r="12" spans="1:6" x14ac:dyDescent="0.3">
      <c r="A12">
        <v>7</v>
      </c>
      <c r="B12" t="s">
        <v>739</v>
      </c>
      <c r="C12" s="375">
        <v>0</v>
      </c>
    </row>
    <row r="14" spans="1:6" x14ac:dyDescent="0.3">
      <c r="A14" t="s">
        <v>740</v>
      </c>
      <c r="B14" s="375">
        <v>8.5</v>
      </c>
    </row>
    <row r="15" spans="1:6" x14ac:dyDescent="0.3">
      <c r="A15" t="s">
        <v>741</v>
      </c>
      <c r="B15" s="376">
        <v>46023</v>
      </c>
    </row>
    <row r="16" spans="1:6" x14ac:dyDescent="0.3">
      <c r="A16" t="s">
        <v>742</v>
      </c>
      <c r="B16" s="376">
        <v>46387</v>
      </c>
    </row>
    <row r="17" spans="1:3" x14ac:dyDescent="0.3">
      <c r="A17" t="s">
        <v>782</v>
      </c>
      <c r="B17" s="382">
        <f>MAX('Timesheet Raw'!$L$4:$L$8000)</f>
        <v>46250</v>
      </c>
    </row>
    <row r="18" spans="1:3" x14ac:dyDescent="0.3">
      <c r="A18" s="373" t="s">
        <v>743</v>
      </c>
      <c r="B18" s="374" t="s">
        <v>744</v>
      </c>
    </row>
    <row r="19" spans="1:3" x14ac:dyDescent="0.3">
      <c r="A19" t="s">
        <v>745</v>
      </c>
      <c r="B19" t="s">
        <v>746</v>
      </c>
      <c r="C19" t="s">
        <v>747</v>
      </c>
    </row>
    <row r="20" spans="1:3" x14ac:dyDescent="0.3">
      <c r="A20" s="375" t="inlineStr">
        <is>
          <t xml:space="preserve">Engineer 1</t>
        </is>
      </c>
      <c r="B20" s="375" t="inlineStr">
        <is>
          <t xml:space="preserve">*Engineer 1*</t>
        </is>
      </c>
      <c r="C20" s="375">
        <v>185</v>
      </c>
    </row>
    <row r="21" spans="1:3" x14ac:dyDescent="0.3">
      <c r="A21" s="375" t="inlineStr">
        <is>
          <t xml:space="preserve">Engineer 2</t>
        </is>
      </c>
      <c r="B21" s="375" t="inlineStr">
        <is>
          <t xml:space="preserve">*Engineer 2*</t>
        </is>
      </c>
      <c r="C21" s="375">
        <v>185</v>
      </c>
    </row>
    <row r="22" spans="1:3" x14ac:dyDescent="0.3">
      <c r="A22" s="375" t="inlineStr">
        <is>
          <t xml:space="preserve">Engineer 3</t>
        </is>
      </c>
      <c r="B22" s="375" t="inlineStr">
        <is>
          <t xml:space="preserve">*Engineer 3*</t>
        </is>
      </c>
      <c r="C22" s="375">
        <v>185</v>
      </c>
    </row>
    <row r="24" spans="1:3" x14ac:dyDescent="0.3">
      <c r="A24" s="378" t="s">
        <v>751</v>
      </c>
      <c r="B24" s="379" t="s">
        <v>752</v>
      </c>
    </row>
    <row r="25" spans="1:3" x14ac:dyDescent="0.3">
      <c r="A25" s="375" t="s">
        <v>35</v>
      </c>
      <c r="B25" s="375" t="s">
        <v>753</v>
      </c>
      <c r="C25" t="s">
        <v>754</v>
      </c>
    </row>
    <row r="26" spans="1:3" x14ac:dyDescent="0.3">
      <c r="A26" s="375" t="s">
        <v>709</v>
      </c>
      <c r="B26" s="375" t="s">
        <v>755</v>
      </c>
      <c r="C26" t="s">
        <v>756</v>
      </c>
    </row>
    <row r="27" spans="1:3" x14ac:dyDescent="0.3">
      <c r="A27" s="375" t="s">
        <v>712</v>
      </c>
      <c r="B27" s="375" t="s">
        <v>757</v>
      </c>
      <c r="C27" t="s">
        <v>756</v>
      </c>
    </row>
    <row r="28" spans="1:3" x14ac:dyDescent="0.3">
      <c r="A28" s="375" t="s">
        <v>725</v>
      </c>
      <c r="B28" s="375" t="s">
        <v>758</v>
      </c>
      <c r="C28" t="s">
        <v>759</v>
      </c>
    </row>
    <row r="29" spans="1:3" x14ac:dyDescent="0.3">
      <c r="A29" s="375" t="s">
        <v>708</v>
      </c>
      <c r="B29" s="375" t="s">
        <v>760</v>
      </c>
      <c r="C29" t="s">
        <v>759</v>
      </c>
    </row>
    <row r="31" spans="1:3" x14ac:dyDescent="0.3">
      <c r="A31" s="377" t="s">
        <v>785</v>
      </c>
      <c r="B31" s="338" t="str">
        <f>(1-$C$7)&amp;(1-$C$8)&amp;(1-$C$9)&amp;(1-$C$10)&amp;(1-$C$11)&amp;(1-$C$12)&amp;(1-$C$6)</f>
        <v>0000110</v>
      </c>
      <c r="C31" s="355" t="s">
        <v>786</v>
      </c>
    </row>
    <row r="32" spans="1:3" x14ac:dyDescent="0.3">
      <c r="A32" s="375" t="s">
        <v>831</v>
      </c>
      <c r="B32" s="375">
        <v>3</v>
      </c>
    </row>
    <row r="33" spans="1:2" x14ac:dyDescent="0.3">
      <c r="A33" s="390" t="s">
        <v>806</v>
      </c>
    </row>
    <row r="34" spans="1:2" x14ac:dyDescent="0.3">
      <c r="A34" t="s">
        <v>807</v>
      </c>
      <c r="B34" s="391">
        <f>COUNT('Timesheet Raw'!$L$4:$L$8000)</f>
        <v>7682</v>
      </c>
    </row>
    <row r="35" spans="1:2" x14ac:dyDescent="0.3">
      <c r="A35" t="s">
        <v>808</v>
      </c>
      <c r="B35" s="371">
        <f>IF($B$34=0,"",MIN('Timesheet Raw'!$L$4:$L$8000))</f>
        <v>41904</v>
      </c>
    </row>
    <row r="36" spans="1:2" x14ac:dyDescent="0.3">
      <c r="A36" t="s">
        <v>809</v>
      </c>
      <c r="B36" s="371">
        <f>IF($B$34=0,"",$B$17)</f>
        <v>46250</v>
      </c>
    </row>
    <row r="37" spans="1:2" x14ac:dyDescent="0.3">
      <c r="A37" t="s">
        <v>810</v>
      </c>
      <c r="B37" s="392">
        <f>SUM('Timesheet Raw'!$P$4:$P$8000)</f>
        <v>39389.5</v>
      </c>
    </row>
    <row r="38" spans="1:2" x14ac:dyDescent="0.3">
      <c r="A38" t="s">
        <v>811</v>
      </c>
      <c r="B38" s="343">
        <f>COUNTIFS('Timesheet Raw'!$C$4:$C$8000,$B$20)</f>
        <v>5822</v>
      </c>
    </row>
    <row r="39" spans="1:2" x14ac:dyDescent="0.3">
      <c r="A39" t="s">
        <v>812</v>
      </c>
      <c r="B39" s="343">
        <f>COUNTIFS('Timesheet Raw'!$C$4:$C$8000,$B$21)</f>
        <v>923</v>
      </c>
    </row>
    <row r="40" spans="1:2" x14ac:dyDescent="0.3">
      <c r="A40" t="s">
        <v>813</v>
      </c>
      <c r="B40" s="343">
        <f>COUNTIFS('Timesheet Raw'!$C$4:$C$8000,$B$22)</f>
        <v>937</v>
      </c>
    </row>
    <row r="41" spans="1:2" x14ac:dyDescent="0.3">
      <c r="A41" t="s">
        <v>814</v>
      </c>
      <c r="B41" s="391">
        <f>$B$34-$B$38-$B$39-$B$40</f>
        <v>0</v>
      </c>
    </row>
    <row r="42" spans="1:2" x14ac:dyDescent="0.3">
      <c r="A42" t="s">
        <v>574</v>
      </c>
      <c r="B42" s="339" t="str">
        <f>IF($B$34=0,"No data - paste the export into Timesheet Raw from cell A4",IF($B$41&gt;0,"Check names: "&amp;TEXT($B$41,"#,##0")&amp;" rows match none of the patterns above","All rows matched to an engineer"))</f>
        <v>All rows matched to an engineer</v>
      </c>
    </row>
    <row r="44" spans="1:2" x14ac:dyDescent="0.3">
      <c r="A44" s="373" t="s">
        <v>815</v>
      </c>
    </row>
    <row r="45" spans="1:2" x14ac:dyDescent="0.3">
      <c r="A45" t="s">
        <v>981</v>
      </c>
    </row>
    <row r="46" spans="1:2" x14ac:dyDescent="0.3">
      <c r="A46" t="s">
        <v>982</v>
      </c>
    </row>
    <row r="47" spans="1:2" x14ac:dyDescent="0.3">
      <c r="A47" t="s">
        <v>983</v>
      </c>
    </row>
    <row r="48" spans="1:2" x14ac:dyDescent="0.3">
      <c r="A48" t="s">
        <v>984</v>
      </c>
    </row>
    <row r="49" spans="1:1" x14ac:dyDescent="0.3">
      <c r="A49" t="s">
        <v>985</v>
      </c>
    </row>
    <row r="50" spans="1:1" x14ac:dyDescent="0.3">
      <c r="A50" t="s">
        <v>995</v>
      </c>
    </row>
    <row r="51" spans="1:1" x14ac:dyDescent="0.3">
      <c r="A51" t="s">
        <v>986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AC244-935B-44ED-A34F-E0DEACE64A83}">
  <sheetPr>
    <tabColor rgb="FF808080"/>
  </sheetPr>
  <dimension ref="A1:AJ68"/>
  <sheetViews>
    <sheetView topLeftCell="L1" workbookViewId="0">
      <pane ySplit="4" topLeftCell="A5" activePane="bottomLeft" state="frozen"/>
      <selection pane="bottomLeft" activeCell="A9" sqref="A9:XFD9"/>
    </sheetView>
  </sheetViews>
  <sheetFormatPr defaultRowHeight="14.4" x14ac:dyDescent="0.3"/>
  <cols>
    <col min="1" max="1" width="20.33203125" customWidth="1"/>
    <col min="2" max="2" width="37" customWidth="1"/>
    <col min="4" max="4" width="16.33203125" customWidth="1"/>
    <col min="18" max="18" width="29.6640625" customWidth="1"/>
    <col min="20" max="21" width="18.5546875" customWidth="1"/>
    <col min="33" max="33" width="27.77734375" customWidth="1"/>
    <col min="35" max="35" width="38.88671875" customWidth="1"/>
  </cols>
  <sheetData>
    <row r="1" spans="1:36" ht="18" x14ac:dyDescent="0.35">
      <c r="A1" s="372" t="s">
        <v>787</v>
      </c>
    </row>
    <row r="2" spans="1:36" x14ac:dyDescent="0.3">
      <c r="A2" s="355" t="s">
        <v>847</v>
      </c>
    </row>
    <row r="4" spans="1:36" ht="57.6" x14ac:dyDescent="0.3">
      <c r="A4" s="381" t="s">
        <v>462</v>
      </c>
      <c r="B4" s="381" t="s">
        <v>463</v>
      </c>
      <c r="C4" s="381" t="s">
        <v>544</v>
      </c>
      <c r="D4" s="381" t="s">
        <v>788</v>
      </c>
      <c r="E4" s="381" t="s">
        <v>789</v>
      </c>
      <c r="F4" s="381" t="s">
        <v>790</v>
      </c>
      <c r="G4" s="381" t="s">
        <v>791</v>
      </c>
      <c r="H4" s="381" t="s">
        <v>792</v>
      </c>
      <c r="I4" s="381" t="s">
        <v>793</v>
      </c>
      <c r="J4" s="381" t="s">
        <v>60</v>
      </c>
      <c r="K4" s="381" t="s">
        <v>794</v>
      </c>
      <c r="L4" s="381" t="s">
        <v>795</v>
      </c>
      <c r="M4" s="381" t="s">
        <v>796</v>
      </c>
      <c r="N4" s="381" t="s">
        <v>797</v>
      </c>
      <c r="O4" s="381" t="s">
        <v>798</v>
      </c>
      <c r="P4" s="381" t="s">
        <v>799</v>
      </c>
      <c r="Q4" s="381" t="s">
        <v>800</v>
      </c>
      <c r="R4" s="381" t="s">
        <v>801</v>
      </c>
      <c r="S4" s="381" t="s">
        <v>832</v>
      </c>
      <c r="T4" s="381" t="s">
        <v>833</v>
      </c>
      <c r="U4" s="381" t="s">
        <v>834</v>
      </c>
      <c r="V4" s="381" t="s">
        <v>835</v>
      </c>
      <c r="W4" s="397" t="s">
        <v>836</v>
      </c>
      <c r="X4" s="397" t="s">
        <v>837</v>
      </c>
      <c r="Y4" s="397" t="s">
        <v>838</v>
      </c>
      <c r="Z4" s="397" t="s">
        <v>839</v>
      </c>
      <c r="AA4" s="397" t="s">
        <v>840</v>
      </c>
      <c r="AB4" s="397" t="s">
        <v>841</v>
      </c>
      <c r="AC4" s="381" t="s">
        <v>842</v>
      </c>
      <c r="AD4" s="381" t="s">
        <v>843</v>
      </c>
      <c r="AE4" s="381" t="s">
        <v>844</v>
      </c>
      <c r="AF4" s="381" t="s">
        <v>845</v>
      </c>
      <c r="AG4" s="381" t="s">
        <v>846</v>
      </c>
      <c r="AH4" s="398" t="s">
        <v>851</v>
      </c>
      <c r="AI4" s="393" t="s">
        <v>852</v>
      </c>
    </row>
    <row r="5" spans="1:36" x14ac:dyDescent="0.3">
      <c r="A5" t="str">
        <f>IF(Deliverables!$A5="","",TRIM(Deliverables!$A5))</f>
        <v>N25178-0100D</v>
      </c>
      <c r="B5" t="str">
        <f>IF($A5="","",Deliverables!$C5)</f>
        <v>Concept Design</v>
      </c>
      <c r="C5" t="str">
        <f>IF($A5="","",Deliverables!$D5)</f>
        <v>CD</v>
      </c>
      <c r="D5" t="str">
        <f>IF($A5="","",IF(Deliverables!$G5="","not started",Deliverables!$G5))</f>
        <v>Option selected and frozen</v>
      </c>
      <c r="E5" s="387"/>
      <c r="F5" s="384">
        <f>IF($A5="","",IF(ISNUMBER(SEARCH("Proposal",$A5)),1,IF(N(Deliverables!$H5)&gt;0,1,0)))</f>
        <v>1</v>
      </c>
      <c r="G5" s="385">
        <f>IF($A5="","",IF(ISNUMBER(SEARCH("Proposal",$A5)),IFERROR(VLOOKUP(TRIM($A5),Proposals!$N$13:$Q$18,4,FALSE),0),IF($E5="","",SUMIFS('Timesheet Raw'!$P$4:$P$8000,'Timesheet Raw'!$B$4:$B$8000,$A5,'Timesheet Raw'!$M$4:$M$8000,$E5))))</f>
        <v>0</v>
      </c>
      <c r="H5" s="384">
        <f>IF(OR($A5="",$E5=""),"",MAX(1,SUMIFS($F$5:$F$68,$A$5:$A$68,$A5,$E$5:$E$68,$E5)))</f>
        <v>1</v>
      </c>
      <c r="I5" s="385">
        <f>IF(OR($A5="",$E5=""),"",IF($F5=0,0,$G5/$H5))</f>
        <v>0</v>
      </c>
      <c r="J5" s="341">
        <f>IF($I5="","",$I5/'Profit Plan'!$B$5)</f>
        <v>0</v>
      </c>
      <c r="K5" s="371">
        <f>IF($A5="","",IF(ISNUMBER(SEARCH("Proposal",$A5)),IFERROR(VLOOKUP(TRIM($A5),Proposals!$N$13:$S$18,5,FALSE),""),IF($E5="","",IFERROR(_xlfn.MINIFS('Timesheet Raw'!$L$4:$L$8000,'Timesheet Raw'!$B$4:$B$8000,$A5,'Timesheet Raw'!$M$4:$M$8000,$E5),""))))</f>
        <v>0</v>
      </c>
      <c r="L5" s="371">
        <f>IF($A5="","",IF(ISNUMBER(SEARCH("Proposal",$A5)),IFERROR(VLOOKUP(TRIM($A5),Proposals!$N$13:$S$18,6,FALSE),""),IF($E5="","",IFERROR(_xlfn.MAXIFS('Timesheet Raw'!$L$4:$L$8000,'Timesheet Raw'!$B$4:$B$8000,$A5,'Timesheet Raw'!$M$4:$M$8000,$E5),""))))</f>
        <v>0</v>
      </c>
      <c r="M5" s="340">
        <f>IF($K5="","",$L5-$K5+1)</f>
        <v>1</v>
      </c>
      <c r="N5" s="340">
        <f>IF($K5="","",IF(COUNT('Work Calendar'!$E$6:$E$200)=0,NETWORKDAYS.INTL($K5,$L5,'Work Calendar'!$B$31),NETWORKDAYS.INTL($K5,$L5,'Work Calendar'!$B$31,'Work Calendar'!$E$6:$E$200)))</f>
        <v>0</v>
      </c>
      <c r="O5" s="340">
        <f>IF(OR($A5="",$E5=""),"",SUMIFS('Timesheet Raw'!$BV$4:$BV$8000,'Timesheet Raw'!$B$4:$B$8000,$A5,'Timesheet Raw'!$M$4:$M$8000,$E5))</f>
        <v>0</v>
      </c>
      <c r="P5" s="340">
        <f>IF($N5="","",MAX(0,$N5-$O5))</f>
        <v>0</v>
      </c>
      <c r="Q5" s="386" t="str">
        <f>IF(OR($N5="",$N5=0),"",$P5/$N5)</f>
        <v/>
      </c>
      <c r="R5" t="str">
        <f>IF($A5="","",IF($E5="","set TS Phase",IF($G5=0,"Never charged",IF($L5&lt;'Work Calendar'!$B$17-21,"Dormant since "&amp;TEXT($L5,"yyyy-mm-dd"),"Active"))))</f>
        <v>Never charged</v>
      </c>
      <c r="S5" s="340">
        <f>IF(OR($A5="",$E5=""),"",IFERROR(_xlfn.MAXIFS('Timesheet Raw'!$BX$4:$BX$8000,'Timesheet Raw'!$B$4:$B$8000,$A5,'Timesheet Raw'!$M$4:$M$8000,$E5),""))</f>
        <v>0</v>
      </c>
      <c r="T5" s="371" t="str" cm="1">
        <f t="array" ref="T5">IF(OR($S5="",$S5=0),"",IFERROR(INDEX('Timesheet Raw'!$BW$4:$BW$8000,MATCH(1,INDEX(('Timesheet Raw'!$B$4:$B$8000=$A5)*('Timesheet Raw'!$M$4:$M$8000=$E5)*('Timesheet Raw'!$BX$4:$BX$8000=$S5),0),0)),""))</f>
        <v/>
      </c>
      <c r="U5" s="371" t="str" cm="1">
        <f t="array" ref="U5">IF(OR($S5="",$S5=0),"",IFERROR(INDEX('Timesheet Raw'!$L$4:$L$8000,MATCH(1,INDEX(('Timesheet Raw'!$B$4:$B$8000=$A5)*('Timesheet Raw'!$M$4:$M$8000=$E5)*('Timesheet Raw'!$BX$4:$BX$8000=$S5),0),0)),""))</f>
        <v/>
      </c>
      <c r="V5" s="340" t="str">
        <f>IF(OR($A5="",$E5="",$G5=0),"",1+COUNTIFS('Timesheet Raw'!$B$4:$B$8000,$A5,'Timesheet Raw'!$M$4:$M$8000,$E5,'Timesheet Raw'!$BX$4:$BX$8000,"&gt;="&amp;'Work Calendar'!$B$32))</f>
        <v/>
      </c>
      <c r="W5" s="376"/>
      <c r="X5" s="376"/>
      <c r="Y5" s="376"/>
      <c r="Z5" s="376"/>
      <c r="AA5" s="376"/>
      <c r="AB5" s="376"/>
      <c r="AC5" s="396" t="str">
        <f>IF(OR($W5="",$K5="",$K5=0),"",$W5-$K5)</f>
        <v/>
      </c>
      <c r="AD5" s="396" t="str">
        <f>IF(OR($X5="",$L5="",$L5=0),"",$X5-$L5)</f>
        <v/>
      </c>
      <c r="AE5" s="340" t="str">
        <f>IF(OR($Y5="",$Z5=""),"",MAX(0,NETWORKDAYS.INTL($Y5,$Z5,'Work Calendar'!$B$31)-2))</f>
        <v/>
      </c>
      <c r="AF5" s="344">
        <f>IF($P5="","",MAX(0,$P5-IF($AE5="",0,$AE5)))</f>
        <v>0</v>
      </c>
      <c r="AG5" t="str">
        <f>IF($A5="","",IF(AND($W5="",$X5=""),"no manual dates",IF(OR(ABS(IF($AC5="",0,$AC5))&gt;5,ABS(IF($AD5="",0,$AD5))&gt;5),"MISMATCH vs timesheet","matches timesheet")))</f>
        <v>no manual dates</v>
      </c>
      <c r="AH5" s="384">
        <f>IF(OR($A5="",$E5=""),"",IF(COUNTIFS($A$5:$A5,$A5,$E$5:$E5,$E5)=1,1,0))</f>
        <v>1</v>
      </c>
      <c r="AI5" t="s">
        <v>816</v>
      </c>
      <c r="AJ5" s="391">
        <f>COUNTIF($A$5:$A$68,"?*")</f>
        <v>64</v>
      </c>
    </row>
    <row r="6" spans="1:36" x14ac:dyDescent="0.3">
      <c r="A6" t="str">
        <f>IF(Deliverables!$A6="","",TRIM(Deliverables!$A6))</f>
        <v>E26084-0100D</v>
      </c>
      <c r="B6" t="str">
        <f>IF($A6="","",Deliverables!$C6)</f>
        <v>Schematic Design</v>
      </c>
      <c r="C6" t="str">
        <f>IF($A6="","",Deliverables!$D6)</f>
        <v>CD</v>
      </c>
      <c r="D6" t="str">
        <f>IF($A6="","",IF(Deliverables!$G6="","not started",Deliverables!$G6))</f>
        <v>Option selected and frozen</v>
      </c>
      <c r="E6" s="387"/>
      <c r="F6" s="384">
        <f>IF($A6="","",IF(ISNUMBER(SEARCH("Proposal",$A6)),1,IF(N(Deliverables!$H6)&gt;0,1,0)))</f>
        <v>1</v>
      </c>
      <c r="G6" s="385">
        <f>IF($A6="","",IF(ISNUMBER(SEARCH("Proposal",$A6)),IFERROR(VLOOKUP(TRIM($A6),Proposals!$N$13:$Q$18,4,FALSE),0),IF($E6="","",SUMIFS('Timesheet Raw'!$P$4:$P$8000,'Timesheet Raw'!$B$4:$B$8000,$A6,'Timesheet Raw'!$M$4:$M$8000,$E6))))</f>
        <v>0</v>
      </c>
      <c r="H6" s="384">
        <f t="shared" ref="H6:H68" si="0">IF(OR($A6="",$E6=""),"",MAX(1,SUMIFS($F$5:$F$68,$A$5:$A$68,$A6,$E$5:$E$68,$E6)))</f>
        <v>1</v>
      </c>
      <c r="I6" s="385">
        <f t="shared" ref="I6:I68" si="1">IF(OR($A6="",$E6=""),"",IF($F6=0,0,$G6/$H6))</f>
        <v>0</v>
      </c>
      <c r="J6" s="341">
        <f>IF($I6="","",$I6/'Profit Plan'!$B$5)</f>
        <v>0</v>
      </c>
      <c r="K6" s="371">
        <f>IF($A6="","",IF(ISNUMBER(SEARCH("Proposal",$A6)),IFERROR(VLOOKUP(TRIM($A6),Proposals!$N$13:$S$18,5,FALSE),""),IF($E6="","",IFERROR(_xlfn.MINIFS('Timesheet Raw'!$L$4:$L$8000,'Timesheet Raw'!$B$4:$B$8000,$A6,'Timesheet Raw'!$M$4:$M$8000,$E6),""))))</f>
        <v>0</v>
      </c>
      <c r="L6" s="371">
        <f>IF($A6="","",IF(ISNUMBER(SEARCH("Proposal",$A6)),IFERROR(VLOOKUP(TRIM($A6),Proposals!$N$13:$S$18,6,FALSE),""),IF($E6="","",IFERROR(_xlfn.MAXIFS('Timesheet Raw'!$L$4:$L$8000,'Timesheet Raw'!$B$4:$B$8000,$A6,'Timesheet Raw'!$M$4:$M$8000,$E6),""))))</f>
        <v>0</v>
      </c>
      <c r="M6" s="340">
        <f t="shared" ref="M6:M68" si="2">IF($K6="","",$L6-$K6+1)</f>
        <v>1</v>
      </c>
      <c r="N6" s="340">
        <f>IF($K6="","",IF(COUNT('Work Calendar'!$E$6:$E$200)=0,NETWORKDAYS.INTL($K6,$L6,'Work Calendar'!$B$31),NETWORKDAYS.INTL($K6,$L6,'Work Calendar'!$B$31,'Work Calendar'!$E$6:$E$200)))</f>
        <v>0</v>
      </c>
      <c r="O6" s="340">
        <f>IF(OR($A6="",$E6=""),"",SUMIFS('Timesheet Raw'!$BV$4:$BV$8000,'Timesheet Raw'!$B$4:$B$8000,$A6,'Timesheet Raw'!$M$4:$M$8000,$E6))</f>
        <v>0</v>
      </c>
      <c r="P6" s="340">
        <f t="shared" ref="P6:P68" si="3">IF($N6="","",MAX(0,$N6-$O6))</f>
        <v>0</v>
      </c>
      <c r="Q6" s="386" t="str">
        <f t="shared" ref="Q6:Q68" si="4">IF(OR($N6="",$N6=0),"",$P6/$N6)</f>
        <v/>
      </c>
      <c r="R6" t="str">
        <f>IF($A6="","",IF($E6="","set TS Phase",IF($G6=0,"Never charged",IF($L6&lt;'Work Calendar'!$B$17-21,"Dormant since "&amp;TEXT($L6,"yyyy-mm-dd"),"Active"))))</f>
        <v>Never charged</v>
      </c>
      <c r="S6" s="340">
        <f>IF(OR($A6="",$E6=""),"",IFERROR(_xlfn.MAXIFS('Timesheet Raw'!$BX$4:$BX$8000,'Timesheet Raw'!$B$4:$B$8000,$A6,'Timesheet Raw'!$M$4:$M$8000,$E6),""))</f>
        <v>0</v>
      </c>
      <c r="T6" s="371" t="str" cm="1">
        <f t="array" ref="T6">IF(OR($S6="",$S6=0),"",IFERROR(INDEX('Timesheet Raw'!$BW$4:$BW$8000,MATCH(1,INDEX(('Timesheet Raw'!$B$4:$B$8000=$A6)*('Timesheet Raw'!$M$4:$M$8000=$E6)*('Timesheet Raw'!$BX$4:$BX$8000=$S6),0),0)),""))</f>
        <v/>
      </c>
      <c r="U6" s="371" t="str" cm="1">
        <f t="array" ref="U6">IF(OR($S6="",$S6=0),"",IFERROR(INDEX('Timesheet Raw'!$L$4:$L$8000,MATCH(1,INDEX(('Timesheet Raw'!$B$4:$B$8000=$A6)*('Timesheet Raw'!$M$4:$M$8000=$E6)*('Timesheet Raw'!$BX$4:$BX$8000=$S6),0),0)),""))</f>
        <v/>
      </c>
      <c r="V6" s="340" t="str">
        <f>IF(OR($A6="",$E6="",$G6=0),"",1+COUNTIFS('Timesheet Raw'!$B$4:$B$8000,$A6,'Timesheet Raw'!$M$4:$M$8000,$E6,'Timesheet Raw'!$BX$4:$BX$8000,"&gt;="&amp;'Work Calendar'!$B$32))</f>
        <v/>
      </c>
      <c r="W6" s="376"/>
      <c r="X6" s="376"/>
      <c r="Y6" s="376"/>
      <c r="Z6" s="376"/>
      <c r="AA6" s="376"/>
      <c r="AB6" s="376"/>
      <c r="AC6" s="396" t="str">
        <f t="shared" ref="AC6:AC68" si="5">IF(OR($W6="",$K6="",$K6=0),"",$W6-$K6)</f>
        <v/>
      </c>
      <c r="AD6" s="396" t="str">
        <f t="shared" ref="AD6:AD68" si="6">IF(OR($X6="",$L6="",$L6=0),"",$X6-$L6)</f>
        <v/>
      </c>
      <c r="AE6" s="340" t="str">
        <f>IF(OR($Y6="",$Z6=""),"",MAX(0,NETWORKDAYS.INTL($Y6,$Z6,'Work Calendar'!$B$31)-2))</f>
        <v/>
      </c>
      <c r="AF6" s="344">
        <f t="shared" ref="AF6:AF68" si="7">IF($P6="","",MAX(0,$P6-IF($AE6="",0,$AE6)))</f>
        <v>0</v>
      </c>
      <c r="AG6" t="str">
        <f t="shared" ref="AG6:AG68" si="8">IF($A6="","",IF(AND($W6="",$X6=""),"no manual dates",IF(OR(ABS(IF($AC6="",0,$AC6))&gt;5,ABS(IF($AD6="",0,$AD6))&gt;5),"MISMATCH vs timesheet","matches timesheet")))</f>
        <v>no manual dates</v>
      </c>
      <c r="AH6" s="384">
        <f>IF(OR($A6="",$E6=""),"",IF(COUNTIFS($A$5:$A6,$A6,$E$5:$E6,$E6)=1,1,0))</f>
        <v>1</v>
      </c>
      <c r="AI6" t="s">
        <v>817</v>
      </c>
      <c r="AJ6" s="391">
        <f>COUNT($E$5:$E$68)</f>
        <v>64</v>
      </c>
    </row>
    <row r="7" spans="1:36" x14ac:dyDescent="0.3">
      <c r="A7" t="str">
        <f>IF(Deliverables!$A7="","",TRIM(Deliverables!$A7))</f>
        <v>E26084-0100D</v>
      </c>
      <c r="B7" t="str">
        <f>IF($A7="","",Deliverables!$C7)</f>
        <v>Final Design</v>
      </c>
      <c r="C7" t="str">
        <f>IF($A7="","",Deliverables!$D7)</f>
        <v>DD</v>
      </c>
      <c r="D7" t="str">
        <f>IF($A7="","",IF(Deliverables!$G7="","not started",Deliverables!$G7))</f>
        <v>not started</v>
      </c>
      <c r="E7" s="387"/>
      <c r="F7" s="384">
        <f>IF($A7="","",IF(ISNUMBER(SEARCH("Proposal",$A7)),1,IF(N(Deliverables!$H7)&gt;0,1,0)))</f>
        <v>0</v>
      </c>
      <c r="G7" s="385">
        <f>IF($A7="","",IF(ISNUMBER(SEARCH("Proposal",$A7)),IFERROR(VLOOKUP(TRIM($A7),Proposals!$N$13:$Q$18,4,FALSE),0),IF($E7="","",SUMIFS('Timesheet Raw'!$P$4:$P$8000,'Timesheet Raw'!$B$4:$B$8000,$A7,'Timesheet Raw'!$M$4:$M$8000,$E7))))</f>
        <v>0</v>
      </c>
      <c r="H7" s="384">
        <f t="shared" si="0"/>
        <v>1</v>
      </c>
      <c r="I7" s="385">
        <f t="shared" si="1"/>
        <v>0</v>
      </c>
      <c r="J7" s="341">
        <f>IF($I7="","",$I7/'Profit Plan'!$B$5)</f>
        <v>0</v>
      </c>
      <c r="K7" s="371">
        <f>IF($A7="","",IF(ISNUMBER(SEARCH("Proposal",$A7)),IFERROR(VLOOKUP(TRIM($A7),Proposals!$N$13:$S$18,5,FALSE),""),IF($E7="","",IFERROR(_xlfn.MINIFS('Timesheet Raw'!$L$4:$L$8000,'Timesheet Raw'!$B$4:$B$8000,$A7,'Timesheet Raw'!$M$4:$M$8000,$E7),""))))</f>
        <v>0</v>
      </c>
      <c r="L7" s="371">
        <f>IF($A7="","",IF(ISNUMBER(SEARCH("Proposal",$A7)),IFERROR(VLOOKUP(TRIM($A7),Proposals!$N$13:$S$18,6,FALSE),""),IF($E7="","",IFERROR(_xlfn.MAXIFS('Timesheet Raw'!$L$4:$L$8000,'Timesheet Raw'!$B$4:$B$8000,$A7,'Timesheet Raw'!$M$4:$M$8000,$E7),""))))</f>
        <v>0</v>
      </c>
      <c r="M7" s="340">
        <f t="shared" si="2"/>
        <v>1</v>
      </c>
      <c r="N7" s="340">
        <f>IF($K7="","",IF(COUNT('Work Calendar'!$E$6:$E$200)=0,NETWORKDAYS.INTL($K7,$L7,'Work Calendar'!$B$31),NETWORKDAYS.INTL($K7,$L7,'Work Calendar'!$B$31,'Work Calendar'!$E$6:$E$200)))</f>
        <v>0</v>
      </c>
      <c r="O7" s="340">
        <f>IF(OR($A7="",$E7=""),"",SUMIFS('Timesheet Raw'!$BV$4:$BV$8000,'Timesheet Raw'!$B$4:$B$8000,$A7,'Timesheet Raw'!$M$4:$M$8000,$E7))</f>
        <v>0</v>
      </c>
      <c r="P7" s="340">
        <f t="shared" si="3"/>
        <v>0</v>
      </c>
      <c r="Q7" s="386" t="str">
        <f t="shared" si="4"/>
        <v/>
      </c>
      <c r="R7" t="str">
        <f>IF($A7="","",IF($E7="","set TS Phase",IF($G7=0,"Never charged",IF($L7&lt;'Work Calendar'!$B$17-21,"Dormant since "&amp;TEXT($L7,"yyyy-mm-dd"),"Active"))))</f>
        <v>Never charged</v>
      </c>
      <c r="S7" s="340">
        <f>IF(OR($A7="",$E7=""),"",IFERROR(_xlfn.MAXIFS('Timesheet Raw'!$BX$4:$BX$8000,'Timesheet Raw'!$B$4:$B$8000,$A7,'Timesheet Raw'!$M$4:$M$8000,$E7),""))</f>
        <v>0</v>
      </c>
      <c r="T7" s="371" t="str" cm="1">
        <f t="array" ref="T7">IF(OR($S7="",$S7=0),"",IFERROR(INDEX('Timesheet Raw'!$BW$4:$BW$8000,MATCH(1,INDEX(('Timesheet Raw'!$B$4:$B$8000=$A7)*('Timesheet Raw'!$M$4:$M$8000=$E7)*('Timesheet Raw'!$BX$4:$BX$8000=$S7),0),0)),""))</f>
        <v/>
      </c>
      <c r="U7" s="371" t="str" cm="1">
        <f t="array" ref="U7">IF(OR($S7="",$S7=0),"",IFERROR(INDEX('Timesheet Raw'!$L$4:$L$8000,MATCH(1,INDEX(('Timesheet Raw'!$B$4:$B$8000=$A7)*('Timesheet Raw'!$M$4:$M$8000=$E7)*('Timesheet Raw'!$BX$4:$BX$8000=$S7),0),0)),""))</f>
        <v/>
      </c>
      <c r="V7" s="340" t="str">
        <f>IF(OR($A7="",$E7="",$G7=0),"",1+COUNTIFS('Timesheet Raw'!$B$4:$B$8000,$A7,'Timesheet Raw'!$M$4:$M$8000,$E7,'Timesheet Raw'!$BX$4:$BX$8000,"&gt;="&amp;'Work Calendar'!$B$32))</f>
        <v/>
      </c>
      <c r="W7" s="376"/>
      <c r="X7" s="376"/>
      <c r="Y7" s="376"/>
      <c r="Z7" s="376"/>
      <c r="AA7" s="376"/>
      <c r="AB7" s="376"/>
      <c r="AC7" s="396" t="str">
        <f t="shared" si="5"/>
        <v/>
      </c>
      <c r="AD7" s="396" t="str">
        <f t="shared" si="6"/>
        <v/>
      </c>
      <c r="AE7" s="340" t="str">
        <f>IF(OR($Y7="",$Z7=""),"",MAX(0,NETWORKDAYS.INTL($Y7,$Z7,'Work Calendar'!$B$31)-2))</f>
        <v/>
      </c>
      <c r="AF7" s="344">
        <f t="shared" si="7"/>
        <v>0</v>
      </c>
      <c r="AG7" t="str">
        <f t="shared" si="8"/>
        <v>no manual dates</v>
      </c>
      <c r="AH7" s="384">
        <f>IF(OR($A7="",$E7=""),"",IF(COUNTIFS($A$5:$A7,$A7,$E$5:$E7,$E7)=1,1,0))</f>
        <v>1</v>
      </c>
      <c r="AI7" t="s">
        <v>853</v>
      </c>
      <c r="AJ7" s="391">
        <f>SUMIFS($AH$5:$AH$68,$G$5:$G$68,"&gt;0")</f>
        <v>33</v>
      </c>
    </row>
    <row r="8" spans="1:36" x14ac:dyDescent="0.3">
      <c r="A8" t="str">
        <f>IF(Deliverables!$A8="","",TRIM(Deliverables!$A8))</f>
        <v>N25185-0100D</v>
      </c>
      <c r="B8" t="str">
        <f>IF($A8="","",Deliverables!$C8)</f>
        <v>Concept Design</v>
      </c>
      <c r="C8" t="str">
        <f>IF($A8="","",Deliverables!$D8)</f>
        <v>CD</v>
      </c>
      <c r="D8" t="str">
        <f>IF($A8="","",IF(Deliverables!$G8="","not started",Deliverables!$G8))</f>
        <v>Client acceptance</v>
      </c>
      <c r="E8" s="387"/>
      <c r="F8" s="384">
        <f>IF($A8="","",IF(ISNUMBER(SEARCH("Proposal",$A8)),1,IF(N(Deliverables!$H8)&gt;0,1,0)))</f>
        <v>1</v>
      </c>
      <c r="G8" s="385">
        <f>IF($A8="","",IF(ISNUMBER(SEARCH("Proposal",$A8)),IFERROR(VLOOKUP(TRIM($A8),Proposals!$N$13:$Q$18,4,FALSE),0),IF($E8="","",SUMIFS('Timesheet Raw'!$P$4:$P$8000,'Timesheet Raw'!$B$4:$B$8000,$A8,'Timesheet Raw'!$M$4:$M$8000,$E8))))</f>
        <v>1650.75</v>
      </c>
      <c r="H8" s="384">
        <f t="shared" si="0"/>
        <v>1</v>
      </c>
      <c r="I8" s="385">
        <f t="shared" si="1"/>
        <v>1650.75</v>
      </c>
      <c r="J8" s="341">
        <f>IF($I8="","",$I8/'Profit Plan'!$B$5)</f>
        <v>8.922972972972973</v>
      </c>
      <c r="K8" s="371">
        <f>IF($A8="","",IF(ISNUMBER(SEARCH("Proposal",$A8)),IFERROR(VLOOKUP(TRIM($A8),Proposals!$N$13:$S$18,5,FALSE),""),IF($E8="","",IFERROR(_xlfn.MINIFS('Timesheet Raw'!$L$4:$L$8000,'Timesheet Raw'!$B$4:$B$8000,$A8,'Timesheet Raw'!$M$4:$M$8000,$E8),""))))</f>
        <v>45931</v>
      </c>
      <c r="L8" s="371">
        <f>IF($A8="","",IF(ISNUMBER(SEARCH("Proposal",$A8)),IFERROR(VLOOKUP(TRIM($A8),Proposals!$N$13:$S$18,6,FALSE),""),IF($E8="","",IFERROR(_xlfn.MAXIFS('Timesheet Raw'!$L$4:$L$8000,'Timesheet Raw'!$B$4:$B$8000,$A8,'Timesheet Raw'!$M$4:$M$8000,$E8),""))))</f>
        <v>46099</v>
      </c>
      <c r="M8" s="340">
        <f t="shared" si="2"/>
        <v>169</v>
      </c>
      <c r="N8" s="340">
        <f>IF($K8="","",IF(COUNT('Work Calendar'!$E$6:$E$200)=0,NETWORKDAYS.INTL($K8,$L8,'Work Calendar'!$B$31),NETWORKDAYS.INTL($K8,$L8,'Work Calendar'!$B$31,'Work Calendar'!$E$6:$E$200)))</f>
        <v>121</v>
      </c>
      <c r="O8" s="340">
        <f>IF(OR($A8="",$E8=""),"",SUMIFS('Timesheet Raw'!$BV$4:$BV$8000,'Timesheet Raw'!$B$4:$B$8000,$A8,'Timesheet Raw'!$M$4:$M$8000,$E8))</f>
        <v>110</v>
      </c>
      <c r="P8" s="340">
        <f t="shared" si="3"/>
        <v>11</v>
      </c>
      <c r="Q8" s="386">
        <f t="shared" si="4"/>
        <v>9.0909090909090912E-2</v>
      </c>
      <c r="R8" t="str">
        <f>IF($A8="","",IF($E8="","set TS Phase",IF($G8=0,"Never charged",IF($L8&lt;'Work Calendar'!$B$17-21,"Dormant since "&amp;TEXT($L8,"yyyy-mm-dd"),"Active"))))</f>
        <v>Dormant since 2026-03-18</v>
      </c>
      <c r="S8" s="340">
        <f>IF(OR($A8="",$E8=""),"",IFERROR(_xlfn.MAXIFS('Timesheet Raw'!$BX$4:$BX$8000,'Timesheet Raw'!$B$4:$B$8000,$A8,'Timesheet Raw'!$M$4:$M$8000,$E8),""))</f>
        <v>2</v>
      </c>
      <c r="T8" s="371" cm="1">
        <f t="array" ref="T8">IF(OR($S8="",$S8=0),"",IFERROR(INDEX('Timesheet Raw'!$BW$4:$BW$8000,MATCH(1,INDEX(('Timesheet Raw'!$B$4:$B$8000=$A8)*('Timesheet Raw'!$M$4:$M$8000=$E8)*('Timesheet Raw'!$BX$4:$BX$8000=$S8),0),0)),""))</f>
        <v>46021</v>
      </c>
      <c r="U8" s="371" cm="1">
        <f t="array" ref="U8">IF(OR($S8="",$S8=0),"",IFERROR(INDEX('Timesheet Raw'!$L$4:$L$8000,MATCH(1,INDEX(('Timesheet Raw'!$B$4:$B$8000=$A8)*('Timesheet Raw'!$M$4:$M$8000=$E8)*('Timesheet Raw'!$BX$4:$BX$8000=$S8),0),0)),""))</f>
        <v>46026</v>
      </c>
      <c r="V8" s="340">
        <f>IF(OR($A8="",$E8="",$G8=0),"",1+COUNTIFS('Timesheet Raw'!$B$4:$B$8000,$A8,'Timesheet Raw'!$M$4:$M$8000,$E8,'Timesheet Raw'!$BX$4:$BX$8000,"&gt;="&amp;'Work Calendar'!$B$32))</f>
        <v>1</v>
      </c>
      <c r="W8" s="376"/>
      <c r="X8" s="376"/>
      <c r="Y8" s="376"/>
      <c r="Z8" s="376"/>
      <c r="AA8" s="376"/>
      <c r="AB8" s="376"/>
      <c r="AC8" s="396" t="str">
        <f t="shared" si="5"/>
        <v/>
      </c>
      <c r="AD8" s="396" t="str">
        <f t="shared" si="6"/>
        <v/>
      </c>
      <c r="AE8" s="340" t="str">
        <f>IF(OR($Y8="",$Z8=""),"",MAX(0,NETWORKDAYS.INTL($Y8,$Z8,'Work Calendar'!$B$31)-2))</f>
        <v/>
      </c>
      <c r="AF8" s="344">
        <f t="shared" si="7"/>
        <v>11</v>
      </c>
      <c r="AG8" t="str">
        <f t="shared" si="8"/>
        <v>no manual dates</v>
      </c>
      <c r="AH8" s="384">
        <f>IF(OR($A8="",$E8=""),"",IF(COUNTIFS($A$5:$A8,$A8,$E$5:$E8,$E8)=1,1,0))</f>
        <v>1</v>
      </c>
      <c r="AI8" t="s">
        <v>854</v>
      </c>
      <c r="AJ8" s="391">
        <f>SUMIFS($AH$5:$AH$68,$G$5:$G$68,0)</f>
        <v>11</v>
      </c>
    </row>
    <row r="9" spans="1:36" x14ac:dyDescent="0.3">
      <c r="A9" t="str">
        <f>IF(Deliverables!$A9="","",TRIM(Deliverables!$A9))</f>
        <v>N25185-0100D</v>
      </c>
      <c r="B9" t="str">
        <f>IF($A9="","",Deliverables!$C9)</f>
        <v>Final Design - Tin Can Berth 1</v>
      </c>
      <c r="C9" t="str">
        <f>IF($A9="","",Deliverables!$D9)</f>
        <v>DD</v>
      </c>
      <c r="D9" t="str">
        <f>IF($A9="","",IF(Deliverables!$G9="","not started",Deliverables!$G9))</f>
        <v>not started</v>
      </c>
      <c r="E9" s="387"/>
      <c r="F9" s="384">
        <f>IF($A9="","",IF(ISNUMBER(SEARCH("Proposal",$A9)),1,IF(N(Deliverables!$H9)&gt;0,1,0)))</f>
        <v>0</v>
      </c>
      <c r="G9" s="385">
        <f>IF($A9="","",IF(ISNUMBER(SEARCH("Proposal",$A9)),IFERROR(VLOOKUP(TRIM($A9),Proposals!$N$13:$Q$18,4,FALSE),0),IF($E9="","",SUMIFS('Timesheet Raw'!$P$4:$P$8000,'Timesheet Raw'!$B$4:$B$8000,$A9,'Timesheet Raw'!$M$4:$M$8000,$E9))))</f>
        <v>1774.75</v>
      </c>
      <c r="H9" s="384">
        <f t="shared" si="0"/>
        <v>9</v>
      </c>
      <c r="I9" s="385">
        <f t="shared" si="1"/>
        <v>0</v>
      </c>
      <c r="J9" s="341">
        <f>IF($I9="","",$I9/'Profit Plan'!$B$5)</f>
        <v>0</v>
      </c>
      <c r="K9" s="371">
        <f>IF($A9="","",IF(ISNUMBER(SEARCH("Proposal",$A9)),IFERROR(VLOOKUP(TRIM($A9),Proposals!$N$13:$S$18,5,FALSE),""),IF($E9="","",IFERROR(_xlfn.MINIFS('Timesheet Raw'!$L$4:$L$8000,'Timesheet Raw'!$B$4:$B$8000,$A9,'Timesheet Raw'!$M$4:$M$8000,$E9),""))))</f>
        <v>46105</v>
      </c>
      <c r="L9" s="371">
        <f>IF($A9="","",IF(ISNUMBER(SEARCH("Proposal",$A9)),IFERROR(VLOOKUP(TRIM($A9),Proposals!$N$13:$S$18,6,FALSE),""),IF($E9="","",IFERROR(_xlfn.MAXIFS('Timesheet Raw'!$L$4:$L$8000,'Timesheet Raw'!$B$4:$B$8000,$A9,'Timesheet Raw'!$M$4:$M$8000,$E9),""))))</f>
        <v>46250</v>
      </c>
      <c r="M9" s="340">
        <f t="shared" si="2"/>
        <v>146</v>
      </c>
      <c r="N9" s="340">
        <f>IF($K9="","",IF(COUNT('Work Calendar'!$E$6:$E$200)=0,NETWORKDAYS.INTL($K9,$L9,'Work Calendar'!$B$31),NETWORKDAYS.INTL($K9,$L9,'Work Calendar'!$B$31,'Work Calendar'!$E$6:$E$200)))</f>
        <v>104</v>
      </c>
      <c r="O9" s="340">
        <f>IF(OR($A9="",$E9=""),"",SUMIFS('Timesheet Raw'!$BV$4:$BV$8000,'Timesheet Raw'!$B$4:$B$8000,$A9,'Timesheet Raw'!$M$4:$M$8000,$E9))</f>
        <v>93</v>
      </c>
      <c r="P9" s="340">
        <f t="shared" si="3"/>
        <v>11</v>
      </c>
      <c r="Q9" s="386">
        <f t="shared" si="4"/>
        <v>0.10576923076923077</v>
      </c>
      <c r="R9" t="str">
        <f>IF($A9="","",IF($E9="","set TS Phase",IF($G9=0,"Never charged",IF($L9&lt;'Work Calendar'!$B$17-21,"Dormant since "&amp;TEXT($L9,"yyyy-mm-dd"),"Active"))))</f>
        <v>Active</v>
      </c>
      <c r="S9" s="340">
        <f>IF(OR($A9="",$E9=""),"",IFERROR(_xlfn.MAXIFS('Timesheet Raw'!$BX$4:$BX$8000,'Timesheet Raw'!$B$4:$B$8000,$A9,'Timesheet Raw'!$M$4:$M$8000,$E9),""))</f>
        <v>4</v>
      </c>
      <c r="T9" s="371" cm="1">
        <f t="array" ref="T9">IF(OR($S9="",$S9=0),"",IFERROR(INDEX('Timesheet Raw'!$BW$4:$BW$8000,MATCH(1,INDEX(('Timesheet Raw'!$B$4:$B$8000=$A9)*('Timesheet Raw'!$M$4:$M$8000=$E9)*('Timesheet Raw'!$BX$4:$BX$8000=$S9),0),0)),""))</f>
        <v>46167</v>
      </c>
      <c r="U9" s="371" cm="1">
        <f t="array" ref="U9">IF(OR($S9="",$S9=0),"",IFERROR(INDEX('Timesheet Raw'!$L$4:$L$8000,MATCH(1,INDEX(('Timesheet Raw'!$B$4:$B$8000=$A9)*('Timesheet Raw'!$M$4:$M$8000=$E9)*('Timesheet Raw'!$BX$4:$BX$8000=$S9),0),0)),""))</f>
        <v>46174</v>
      </c>
      <c r="V9" s="340">
        <f>IF(OR($A9="",$E9="",$G9=0),"",1+COUNTIFS('Timesheet Raw'!$B$4:$B$8000,$A9,'Timesheet Raw'!$M$4:$M$8000,$E9,'Timesheet Raw'!$BX$4:$BX$8000,"&gt;="&amp;'Work Calendar'!$B$32))</f>
        <v>2</v>
      </c>
      <c r="W9" s="376"/>
      <c r="X9" s="376"/>
      <c r="Y9" s="376"/>
      <c r="Z9" s="376"/>
      <c r="AA9" s="376"/>
      <c r="AB9" s="376"/>
      <c r="AC9" s="396" t="str">
        <f t="shared" si="5"/>
        <v/>
      </c>
      <c r="AD9" s="396" t="str">
        <f t="shared" si="6"/>
        <v/>
      </c>
      <c r="AE9" s="340" t="str">
        <f>IF(OR($Y9="",$Z9=""),"",MAX(0,NETWORKDAYS.INTL($Y9,$Z9,'Work Calendar'!$B$31)-2))</f>
        <v/>
      </c>
      <c r="AF9" s="344">
        <f t="shared" si="7"/>
        <v>11</v>
      </c>
      <c r="AG9" t="str">
        <f t="shared" si="8"/>
        <v>no manual dates</v>
      </c>
      <c r="AH9" s="384">
        <f>IF(OR($A9="",$E9=""),"",IF(COUNTIFS($A$5:$A9,$A9,$E$5:$E9,$E9)=1,1,0))</f>
        <v>1</v>
      </c>
      <c r="AI9" t="s">
        <v>855</v>
      </c>
      <c r="AJ9" s="391">
        <f>SUMIFS($AH$5:$AH$68,$R$5:$R$68,"Dormant*")</f>
        <v>31</v>
      </c>
    </row>
    <row r="10" spans="1:36" x14ac:dyDescent="0.3">
      <c r="A10" t="str">
        <f>IF(Deliverables!$A10="","",TRIM(Deliverables!$A10))</f>
        <v>N25185-0100D</v>
      </c>
      <c r="B10" t="str">
        <f>IF($A10="","",Deliverables!$C10)</f>
        <v>Final Design - Tin Can Berth 2</v>
      </c>
      <c r="C10" t="str">
        <f>IF($A10="","",Deliverables!$D10)</f>
        <v>DD</v>
      </c>
      <c r="D10" t="str">
        <f>IF($A10="","",IF(Deliverables!$G10="","not started",Deliverables!$G10))</f>
        <v>not started</v>
      </c>
      <c r="E10" s="387"/>
      <c r="F10" s="384">
        <f>IF($A10="","",IF(ISNUMBER(SEARCH("Proposal",$A10)),1,IF(N(Deliverables!$H10)&gt;0,1,0)))</f>
        <v>0</v>
      </c>
      <c r="G10" s="385">
        <f>IF($A10="","",IF(ISNUMBER(SEARCH("Proposal",$A10)),IFERROR(VLOOKUP(TRIM($A10),Proposals!$N$13:$Q$18,4,FALSE),0),IF($E10="","",SUMIFS('Timesheet Raw'!$P$4:$P$8000,'Timesheet Raw'!$B$4:$B$8000,$A10,'Timesheet Raw'!$M$4:$M$8000,$E10))))</f>
        <v>1774.75</v>
      </c>
      <c r="H10" s="384">
        <f t="shared" si="0"/>
        <v>9</v>
      </c>
      <c r="I10" s="385">
        <f t="shared" si="1"/>
        <v>0</v>
      </c>
      <c r="J10" s="341">
        <f>IF($I10="","",$I10/'Profit Plan'!$B$5)</f>
        <v>0</v>
      </c>
      <c r="K10" s="371">
        <f>IF($A10="","",IF(ISNUMBER(SEARCH("Proposal",$A10)),IFERROR(VLOOKUP(TRIM($A10),Proposals!$N$13:$S$18,5,FALSE),""),IF($E10="","",IFERROR(_xlfn.MINIFS('Timesheet Raw'!$L$4:$L$8000,'Timesheet Raw'!$B$4:$B$8000,$A10,'Timesheet Raw'!$M$4:$M$8000,$E10),""))))</f>
        <v>46105</v>
      </c>
      <c r="L10" s="371">
        <f>IF($A10="","",IF(ISNUMBER(SEARCH("Proposal",$A10)),IFERROR(VLOOKUP(TRIM($A10),Proposals!$N$13:$S$18,6,FALSE),""),IF($E10="","",IFERROR(_xlfn.MAXIFS('Timesheet Raw'!$L$4:$L$8000,'Timesheet Raw'!$B$4:$B$8000,$A10,'Timesheet Raw'!$M$4:$M$8000,$E10),""))))</f>
        <v>46250</v>
      </c>
      <c r="M10" s="340">
        <f t="shared" si="2"/>
        <v>146</v>
      </c>
      <c r="N10" s="340">
        <f>IF($K10="","",IF(COUNT('Work Calendar'!$E$6:$E$200)=0,NETWORKDAYS.INTL($K10,$L10,'Work Calendar'!$B$31),NETWORKDAYS.INTL($K10,$L10,'Work Calendar'!$B$31,'Work Calendar'!$E$6:$E$200)))</f>
        <v>104</v>
      </c>
      <c r="O10" s="340">
        <f>IF(OR($A10="",$E10=""),"",SUMIFS('Timesheet Raw'!$BV$4:$BV$8000,'Timesheet Raw'!$B$4:$B$8000,$A10,'Timesheet Raw'!$M$4:$M$8000,$E10))</f>
        <v>93</v>
      </c>
      <c r="P10" s="340">
        <f t="shared" si="3"/>
        <v>11</v>
      </c>
      <c r="Q10" s="386">
        <f t="shared" si="4"/>
        <v>0.10576923076923077</v>
      </c>
      <c r="R10" t="str">
        <f>IF($A10="","",IF($E10="","set TS Phase",IF($G10=0,"Never charged",IF($L10&lt;'Work Calendar'!$B$17-21,"Dormant since "&amp;TEXT($L10,"yyyy-mm-dd"),"Active"))))</f>
        <v>Active</v>
      </c>
      <c r="S10" s="340">
        <f>IF(OR($A10="",$E10=""),"",IFERROR(_xlfn.MAXIFS('Timesheet Raw'!$BX$4:$BX$8000,'Timesheet Raw'!$B$4:$B$8000,$A10,'Timesheet Raw'!$M$4:$M$8000,$E10),""))</f>
        <v>4</v>
      </c>
      <c r="T10" s="371" cm="1">
        <f t="array" ref="T10">IF(OR($S10="",$S10=0),"",IFERROR(INDEX('Timesheet Raw'!$BW$4:$BW$8000,MATCH(1,INDEX(('Timesheet Raw'!$B$4:$B$8000=$A10)*('Timesheet Raw'!$M$4:$M$8000=$E10)*('Timesheet Raw'!$BX$4:$BX$8000=$S10),0),0)),""))</f>
        <v>46167</v>
      </c>
      <c r="U10" s="371" cm="1">
        <f t="array" ref="U10">IF(OR($S10="",$S10=0),"",IFERROR(INDEX('Timesheet Raw'!$L$4:$L$8000,MATCH(1,INDEX(('Timesheet Raw'!$B$4:$B$8000=$A10)*('Timesheet Raw'!$M$4:$M$8000=$E10)*('Timesheet Raw'!$BX$4:$BX$8000=$S10),0),0)),""))</f>
        <v>46174</v>
      </c>
      <c r="V10" s="340">
        <f>IF(OR($A10="",$E10="",$G10=0),"",1+COUNTIFS('Timesheet Raw'!$B$4:$B$8000,$A10,'Timesheet Raw'!$M$4:$M$8000,$E10,'Timesheet Raw'!$BX$4:$BX$8000,"&gt;="&amp;'Work Calendar'!$B$32))</f>
        <v>2</v>
      </c>
      <c r="W10" s="376"/>
      <c r="X10" s="376"/>
      <c r="Y10" s="376"/>
      <c r="Z10" s="376"/>
      <c r="AA10" s="376"/>
      <c r="AB10" s="376"/>
      <c r="AC10" s="396" t="str">
        <f t="shared" si="5"/>
        <v/>
      </c>
      <c r="AD10" s="396" t="str">
        <f t="shared" si="6"/>
        <v/>
      </c>
      <c r="AE10" s="340" t="str">
        <f>IF(OR($Y10="",$Z10=""),"",MAX(0,NETWORKDAYS.INTL($Y10,$Z10,'Work Calendar'!$B$31)-2))</f>
        <v/>
      </c>
      <c r="AF10" s="344">
        <f t="shared" si="7"/>
        <v>11</v>
      </c>
      <c r="AG10" t="str">
        <f t="shared" si="8"/>
        <v>no manual dates</v>
      </c>
      <c r="AH10" s="384">
        <f>IF(OR($A10="",$E10=""),"",IF(COUNTIFS($A$5:$A10,$A10,$E$5:$E10,$E10)=1,1,0))</f>
        <v>0</v>
      </c>
      <c r="AI10" t="s">
        <v>818</v>
      </c>
      <c r="AJ10" s="399">
        <f>SUM($I$5:$I$68)</f>
        <v>11970</v>
      </c>
    </row>
    <row r="11" spans="1:36" x14ac:dyDescent="0.3">
      <c r="A11" t="str">
        <f>IF(Deliverables!$A11="","",TRIM(Deliverables!$A11))</f>
        <v>N25185-0100D</v>
      </c>
      <c r="B11" t="str">
        <f>IF($A11="","",Deliverables!$C11)</f>
        <v>Final Design - Tin Can Berth 3</v>
      </c>
      <c r="C11" t="str">
        <f>IF($A11="","",Deliverables!$D11)</f>
        <v>DD</v>
      </c>
      <c r="D11" t="str">
        <f>IF($A11="","",IF(Deliverables!$G11="","not started",Deliverables!$G11))</f>
        <v>not started</v>
      </c>
      <c r="E11" s="387"/>
      <c r="F11" s="384">
        <f>IF($A11="","",IF(ISNUMBER(SEARCH("Proposal",$A11)),1,IF(N(Deliverables!$H11)&gt;0,1,0)))</f>
        <v>0</v>
      </c>
      <c r="G11" s="385">
        <f>IF($A11="","",IF(ISNUMBER(SEARCH("Proposal",$A11)),IFERROR(VLOOKUP(TRIM($A11),Proposals!$N$13:$Q$18,4,FALSE),0),IF($E11="","",SUMIFS('Timesheet Raw'!$P$4:$P$8000,'Timesheet Raw'!$B$4:$B$8000,$A11,'Timesheet Raw'!$M$4:$M$8000,$E11))))</f>
        <v>1774.75</v>
      </c>
      <c r="H11" s="384">
        <f t="shared" si="0"/>
        <v>9</v>
      </c>
      <c r="I11" s="385">
        <f t="shared" si="1"/>
        <v>0</v>
      </c>
      <c r="J11" s="341">
        <f>IF($I11="","",$I11/'Profit Plan'!$B$5)</f>
        <v>0</v>
      </c>
      <c r="K11" s="371">
        <f>IF($A11="","",IF(ISNUMBER(SEARCH("Proposal",$A11)),IFERROR(VLOOKUP(TRIM($A11),Proposals!$N$13:$S$18,5,FALSE),""),IF($E11="","",IFERROR(_xlfn.MINIFS('Timesheet Raw'!$L$4:$L$8000,'Timesheet Raw'!$B$4:$B$8000,$A11,'Timesheet Raw'!$M$4:$M$8000,$E11),""))))</f>
        <v>46105</v>
      </c>
      <c r="L11" s="371">
        <f>IF($A11="","",IF(ISNUMBER(SEARCH("Proposal",$A11)),IFERROR(VLOOKUP(TRIM($A11),Proposals!$N$13:$S$18,6,FALSE),""),IF($E11="","",IFERROR(_xlfn.MAXIFS('Timesheet Raw'!$L$4:$L$8000,'Timesheet Raw'!$B$4:$B$8000,$A11,'Timesheet Raw'!$M$4:$M$8000,$E11),""))))</f>
        <v>46250</v>
      </c>
      <c r="M11" s="340">
        <f t="shared" si="2"/>
        <v>146</v>
      </c>
      <c r="N11" s="340">
        <f>IF($K11="","",IF(COUNT('Work Calendar'!$E$6:$E$200)=0,NETWORKDAYS.INTL($K11,$L11,'Work Calendar'!$B$31),NETWORKDAYS.INTL($K11,$L11,'Work Calendar'!$B$31,'Work Calendar'!$E$6:$E$200)))</f>
        <v>104</v>
      </c>
      <c r="O11" s="340">
        <f>IF(OR($A11="",$E11=""),"",SUMIFS('Timesheet Raw'!$BV$4:$BV$8000,'Timesheet Raw'!$B$4:$B$8000,$A11,'Timesheet Raw'!$M$4:$M$8000,$E11))</f>
        <v>93</v>
      </c>
      <c r="P11" s="340">
        <f t="shared" si="3"/>
        <v>11</v>
      </c>
      <c r="Q11" s="386">
        <f t="shared" si="4"/>
        <v>0.10576923076923077</v>
      </c>
      <c r="R11" t="str">
        <f>IF($A11="","",IF($E11="","set TS Phase",IF($G11=0,"Never charged",IF($L11&lt;'Work Calendar'!$B$17-21,"Dormant since "&amp;TEXT($L11,"yyyy-mm-dd"),"Active"))))</f>
        <v>Active</v>
      </c>
      <c r="S11" s="340">
        <f>IF(OR($A11="",$E11=""),"",IFERROR(_xlfn.MAXIFS('Timesheet Raw'!$BX$4:$BX$8000,'Timesheet Raw'!$B$4:$B$8000,$A11,'Timesheet Raw'!$M$4:$M$8000,$E11),""))</f>
        <v>4</v>
      </c>
      <c r="T11" s="371" cm="1">
        <f t="array" ref="T11">IF(OR($S11="",$S11=0),"",IFERROR(INDEX('Timesheet Raw'!$BW$4:$BW$8000,MATCH(1,INDEX(('Timesheet Raw'!$B$4:$B$8000=$A11)*('Timesheet Raw'!$M$4:$M$8000=$E11)*('Timesheet Raw'!$BX$4:$BX$8000=$S11),0),0)),""))</f>
        <v>46167</v>
      </c>
      <c r="U11" s="371" cm="1">
        <f t="array" ref="U11">IF(OR($S11="",$S11=0),"",IFERROR(INDEX('Timesheet Raw'!$L$4:$L$8000,MATCH(1,INDEX(('Timesheet Raw'!$B$4:$B$8000=$A11)*('Timesheet Raw'!$M$4:$M$8000=$E11)*('Timesheet Raw'!$BX$4:$BX$8000=$S11),0),0)),""))</f>
        <v>46174</v>
      </c>
      <c r="V11" s="340">
        <f>IF(OR($A11="",$E11="",$G11=0),"",1+COUNTIFS('Timesheet Raw'!$B$4:$B$8000,$A11,'Timesheet Raw'!$M$4:$M$8000,$E11,'Timesheet Raw'!$BX$4:$BX$8000,"&gt;="&amp;'Work Calendar'!$B$32))</f>
        <v>2</v>
      </c>
      <c r="W11" s="376"/>
      <c r="X11" s="376"/>
      <c r="Y11" s="376"/>
      <c r="Z11" s="376"/>
      <c r="AA11" s="376"/>
      <c r="AB11" s="376"/>
      <c r="AC11" s="396" t="str">
        <f t="shared" si="5"/>
        <v/>
      </c>
      <c r="AD11" s="396" t="str">
        <f t="shared" si="6"/>
        <v/>
      </c>
      <c r="AE11" s="340" t="str">
        <f>IF(OR($Y11="",$Z11=""),"",MAX(0,NETWORKDAYS.INTL($Y11,$Z11,'Work Calendar'!$B$31)-2))</f>
        <v/>
      </c>
      <c r="AF11" s="344">
        <f t="shared" si="7"/>
        <v>11</v>
      </c>
      <c r="AG11" t="str">
        <f t="shared" si="8"/>
        <v>no manual dates</v>
      </c>
      <c r="AH11" s="384">
        <f>IF(OR($A11="",$E11=""),"",IF(COUNTIFS($A$5:$A11,$A11,$E$5:$E11,$E11)=1,1,0))</f>
        <v>0</v>
      </c>
      <c r="AI11" t="s">
        <v>848</v>
      </c>
      <c r="AJ11" s="344">
        <f>SUMIFS($AE$5:$AE$68,$AH$5:$AH$68,1)</f>
        <v>0</v>
      </c>
    </row>
    <row r="12" spans="1:36" x14ac:dyDescent="0.3">
      <c r="A12" t="str">
        <f>IF(Deliverables!$A12="","",TRIM(Deliverables!$A12))</f>
        <v>N25185-0100D</v>
      </c>
      <c r="B12" t="str">
        <f>IF($A12="","",Deliverables!$C12)</f>
        <v>Final Design - Tin Can Berth 4</v>
      </c>
      <c r="C12" t="str">
        <f>IF($A12="","",Deliverables!$D12)</f>
        <v>DD</v>
      </c>
      <c r="D12" t="str">
        <f>IF($A12="","",IF(Deliverables!$G12="","not started",Deliverables!$G12))</f>
        <v>not started</v>
      </c>
      <c r="E12" s="387"/>
      <c r="F12" s="384">
        <f>IF($A12="","",IF(ISNUMBER(SEARCH("Proposal",$A12)),1,IF(N(Deliverables!$H12)&gt;0,1,0)))</f>
        <v>0</v>
      </c>
      <c r="G12" s="385">
        <f>IF($A12="","",IF(ISNUMBER(SEARCH("Proposal",$A12)),IFERROR(VLOOKUP(TRIM($A12),Proposals!$N$13:$Q$18,4,FALSE),0),IF($E12="","",SUMIFS('Timesheet Raw'!$P$4:$P$8000,'Timesheet Raw'!$B$4:$B$8000,$A12,'Timesheet Raw'!$M$4:$M$8000,$E12))))</f>
        <v>1774.75</v>
      </c>
      <c r="H12" s="384">
        <f t="shared" si="0"/>
        <v>9</v>
      </c>
      <c r="I12" s="385">
        <f t="shared" si="1"/>
        <v>0</v>
      </c>
      <c r="J12" s="341">
        <f>IF($I12="","",$I12/'Profit Plan'!$B$5)</f>
        <v>0</v>
      </c>
      <c r="K12" s="371">
        <f>IF($A12="","",IF(ISNUMBER(SEARCH("Proposal",$A12)),IFERROR(VLOOKUP(TRIM($A12),Proposals!$N$13:$S$18,5,FALSE),""),IF($E12="","",IFERROR(_xlfn.MINIFS('Timesheet Raw'!$L$4:$L$8000,'Timesheet Raw'!$B$4:$B$8000,$A12,'Timesheet Raw'!$M$4:$M$8000,$E12),""))))</f>
        <v>46105</v>
      </c>
      <c r="L12" s="371">
        <f>IF($A12="","",IF(ISNUMBER(SEARCH("Proposal",$A12)),IFERROR(VLOOKUP(TRIM($A12),Proposals!$N$13:$S$18,6,FALSE),""),IF($E12="","",IFERROR(_xlfn.MAXIFS('Timesheet Raw'!$L$4:$L$8000,'Timesheet Raw'!$B$4:$B$8000,$A12,'Timesheet Raw'!$M$4:$M$8000,$E12),""))))</f>
        <v>46250</v>
      </c>
      <c r="M12" s="340">
        <f t="shared" si="2"/>
        <v>146</v>
      </c>
      <c r="N12" s="340">
        <f>IF($K12="","",IF(COUNT('Work Calendar'!$E$6:$E$200)=0,NETWORKDAYS.INTL($K12,$L12,'Work Calendar'!$B$31),NETWORKDAYS.INTL($K12,$L12,'Work Calendar'!$B$31,'Work Calendar'!$E$6:$E$200)))</f>
        <v>104</v>
      </c>
      <c r="O12" s="340">
        <f>IF(OR($A12="",$E12=""),"",SUMIFS('Timesheet Raw'!$BV$4:$BV$8000,'Timesheet Raw'!$B$4:$B$8000,$A12,'Timesheet Raw'!$M$4:$M$8000,$E12))</f>
        <v>93</v>
      </c>
      <c r="P12" s="340">
        <f t="shared" si="3"/>
        <v>11</v>
      </c>
      <c r="Q12" s="386">
        <f t="shared" si="4"/>
        <v>0.10576923076923077</v>
      </c>
      <c r="R12" t="str">
        <f>IF($A12="","",IF($E12="","set TS Phase",IF($G12=0,"Never charged",IF($L12&lt;'Work Calendar'!$B$17-21,"Dormant since "&amp;TEXT($L12,"yyyy-mm-dd"),"Active"))))</f>
        <v>Active</v>
      </c>
      <c r="S12" s="340">
        <f>IF(OR($A12="",$E12=""),"",IFERROR(_xlfn.MAXIFS('Timesheet Raw'!$BX$4:$BX$8000,'Timesheet Raw'!$B$4:$B$8000,$A12,'Timesheet Raw'!$M$4:$M$8000,$E12),""))</f>
        <v>4</v>
      </c>
      <c r="T12" s="371" cm="1">
        <f t="array" ref="T12">IF(OR($S12="",$S12=0),"",IFERROR(INDEX('Timesheet Raw'!$BW$4:$BW$8000,MATCH(1,INDEX(('Timesheet Raw'!$B$4:$B$8000=$A12)*('Timesheet Raw'!$M$4:$M$8000=$E12)*('Timesheet Raw'!$BX$4:$BX$8000=$S12),0),0)),""))</f>
        <v>46167</v>
      </c>
      <c r="U12" s="371" cm="1">
        <f t="array" ref="U12">IF(OR($S12="",$S12=0),"",IFERROR(INDEX('Timesheet Raw'!$L$4:$L$8000,MATCH(1,INDEX(('Timesheet Raw'!$B$4:$B$8000=$A12)*('Timesheet Raw'!$M$4:$M$8000=$E12)*('Timesheet Raw'!$BX$4:$BX$8000=$S12),0),0)),""))</f>
        <v>46174</v>
      </c>
      <c r="V12" s="340">
        <f>IF(OR($A12="",$E12="",$G12=0),"",1+COUNTIFS('Timesheet Raw'!$B$4:$B$8000,$A12,'Timesheet Raw'!$M$4:$M$8000,$E12,'Timesheet Raw'!$BX$4:$BX$8000,"&gt;="&amp;'Work Calendar'!$B$32))</f>
        <v>2</v>
      </c>
      <c r="W12" s="376"/>
      <c r="X12" s="376"/>
      <c r="Y12" s="376"/>
      <c r="Z12" s="376"/>
      <c r="AA12" s="376"/>
      <c r="AB12" s="376"/>
      <c r="AC12" s="396" t="str">
        <f t="shared" si="5"/>
        <v/>
      </c>
      <c r="AD12" s="396" t="str">
        <f t="shared" si="6"/>
        <v/>
      </c>
      <c r="AE12" s="340" t="str">
        <f>IF(OR($Y12="",$Z12=""),"",MAX(0,NETWORKDAYS.INTL($Y12,$Z12,'Work Calendar'!$B$31)-2))</f>
        <v/>
      </c>
      <c r="AF12" s="344">
        <f t="shared" si="7"/>
        <v>11</v>
      </c>
      <c r="AG12" t="str">
        <f t="shared" si="8"/>
        <v>no manual dates</v>
      </c>
      <c r="AH12" s="384">
        <f>IF(OR($A12="",$E12=""),"",IF(COUNTIFS($A$5:$A12,$A12,$E$5:$E12,$E12)=1,1,0))</f>
        <v>0</v>
      </c>
      <c r="AI12" t="s">
        <v>856</v>
      </c>
      <c r="AJ12" s="344">
        <f>SUMIFS($AF$5:$AF$68,$AH$5:$AH$68,1)</f>
        <v>4788</v>
      </c>
    </row>
    <row r="13" spans="1:36" x14ac:dyDescent="0.3">
      <c r="A13" t="str">
        <f>IF(Deliverables!$A13="","",TRIM(Deliverables!$A13))</f>
        <v>N25185-0100D</v>
      </c>
      <c r="B13" t="str">
        <f>IF($A13="","",Deliverables!$C13)</f>
        <v>Final Design - Tin Can Berth 5</v>
      </c>
      <c r="C13" t="str">
        <f>IF($A13="","",Deliverables!$D13)</f>
        <v>DD</v>
      </c>
      <c r="D13" t="str">
        <f>IF($A13="","",IF(Deliverables!$G13="","not started",Deliverables!$G13))</f>
        <v>Transmitted to client (IFA/IFC)</v>
      </c>
      <c r="E13" s="387"/>
      <c r="F13" s="384">
        <f>IF($A13="","",IF(ISNUMBER(SEARCH("Proposal",$A13)),1,IF(N(Deliverables!$H13)&gt;0,1,0)))</f>
        <v>1</v>
      </c>
      <c r="G13" s="385">
        <f>IF($A13="","",IF(ISNUMBER(SEARCH("Proposal",$A13)),IFERROR(VLOOKUP(TRIM($A13),Proposals!$N$13:$Q$18,4,FALSE),0),IF($E13="","",SUMIFS('Timesheet Raw'!$P$4:$P$8000,'Timesheet Raw'!$B$4:$B$8000,$A13,'Timesheet Raw'!$M$4:$M$8000,$E13))))</f>
        <v>1774.75</v>
      </c>
      <c r="H13" s="384">
        <f t="shared" si="0"/>
        <v>9</v>
      </c>
      <c r="I13" s="385">
        <f t="shared" si="1"/>
        <v>197.19444444444446</v>
      </c>
      <c r="J13" s="341">
        <f>IF($I13="","",$I13/'Profit Plan'!$B$5)</f>
        <v>1.0659159159159159</v>
      </c>
      <c r="K13" s="371">
        <f>IF($A13="","",IF(ISNUMBER(SEARCH("Proposal",$A13)),IFERROR(VLOOKUP(TRIM($A13),Proposals!$N$13:$S$18,5,FALSE),""),IF($E13="","",IFERROR(_xlfn.MINIFS('Timesheet Raw'!$L$4:$L$8000,'Timesheet Raw'!$B$4:$B$8000,$A13,'Timesheet Raw'!$M$4:$M$8000,$E13),""))))</f>
        <v>46105</v>
      </c>
      <c r="L13" s="371">
        <f>IF($A13="","",IF(ISNUMBER(SEARCH("Proposal",$A13)),IFERROR(VLOOKUP(TRIM($A13),Proposals!$N$13:$S$18,6,FALSE),""),IF($E13="","",IFERROR(_xlfn.MAXIFS('Timesheet Raw'!$L$4:$L$8000,'Timesheet Raw'!$B$4:$B$8000,$A13,'Timesheet Raw'!$M$4:$M$8000,$E13),""))))</f>
        <v>46250</v>
      </c>
      <c r="M13" s="340">
        <f t="shared" si="2"/>
        <v>146</v>
      </c>
      <c r="N13" s="340">
        <f>IF($K13="","",IF(COUNT('Work Calendar'!$E$6:$E$200)=0,NETWORKDAYS.INTL($K13,$L13,'Work Calendar'!$B$31),NETWORKDAYS.INTL($K13,$L13,'Work Calendar'!$B$31,'Work Calendar'!$E$6:$E$200)))</f>
        <v>104</v>
      </c>
      <c r="O13" s="340">
        <f>IF(OR($A13="",$E13=""),"",SUMIFS('Timesheet Raw'!$BV$4:$BV$8000,'Timesheet Raw'!$B$4:$B$8000,$A13,'Timesheet Raw'!$M$4:$M$8000,$E13))</f>
        <v>93</v>
      </c>
      <c r="P13" s="340">
        <f t="shared" si="3"/>
        <v>11</v>
      </c>
      <c r="Q13" s="386">
        <f t="shared" si="4"/>
        <v>0.10576923076923077</v>
      </c>
      <c r="R13" t="str">
        <f>IF($A13="","",IF($E13="","set TS Phase",IF($G13=0,"Never charged",IF($L13&lt;'Work Calendar'!$B$17-21,"Dormant since "&amp;TEXT($L13,"yyyy-mm-dd"),"Active"))))</f>
        <v>Active</v>
      </c>
      <c r="S13" s="340">
        <f>IF(OR($A13="",$E13=""),"",IFERROR(_xlfn.MAXIFS('Timesheet Raw'!$BX$4:$BX$8000,'Timesheet Raw'!$B$4:$B$8000,$A13,'Timesheet Raw'!$M$4:$M$8000,$E13),""))</f>
        <v>4</v>
      </c>
      <c r="T13" s="371" cm="1">
        <f t="array" ref="T13">IF(OR($S13="",$S13=0),"",IFERROR(INDEX('Timesheet Raw'!$BW$4:$BW$8000,MATCH(1,INDEX(('Timesheet Raw'!$B$4:$B$8000=$A13)*('Timesheet Raw'!$M$4:$M$8000=$E13)*('Timesheet Raw'!$BX$4:$BX$8000=$S13),0),0)),""))</f>
        <v>46167</v>
      </c>
      <c r="U13" s="371" cm="1">
        <f t="array" ref="U13">IF(OR($S13="",$S13=0),"",IFERROR(INDEX('Timesheet Raw'!$L$4:$L$8000,MATCH(1,INDEX(('Timesheet Raw'!$B$4:$B$8000=$A13)*('Timesheet Raw'!$M$4:$M$8000=$E13)*('Timesheet Raw'!$BX$4:$BX$8000=$S13),0),0)),""))</f>
        <v>46174</v>
      </c>
      <c r="V13" s="340">
        <f>IF(OR($A13="",$E13="",$G13=0),"",1+COUNTIFS('Timesheet Raw'!$B$4:$B$8000,$A13,'Timesheet Raw'!$M$4:$M$8000,$E13,'Timesheet Raw'!$BX$4:$BX$8000,"&gt;="&amp;'Work Calendar'!$B$32))</f>
        <v>2</v>
      </c>
      <c r="W13" s="376"/>
      <c r="X13" s="376"/>
      <c r="Y13" s="376"/>
      <c r="Z13" s="376"/>
      <c r="AA13" s="376"/>
      <c r="AB13" s="376"/>
      <c r="AC13" s="396" t="str">
        <f t="shared" si="5"/>
        <v/>
      </c>
      <c r="AD13" s="396" t="str">
        <f t="shared" si="6"/>
        <v/>
      </c>
      <c r="AE13" s="340" t="str">
        <f>IF(OR($Y13="",$Z13=""),"",MAX(0,NETWORKDAYS.INTL($Y13,$Z13,'Work Calendar'!$B$31)-2))</f>
        <v/>
      </c>
      <c r="AF13" s="344">
        <f t="shared" si="7"/>
        <v>11</v>
      </c>
      <c r="AG13" t="str">
        <f t="shared" si="8"/>
        <v>no manual dates</v>
      </c>
      <c r="AH13" s="384">
        <f>IF(OR($A13="",$E13=""),"",IF(COUNTIFS($A$5:$A13,$A13,$E$5:$E13,$E13)=1,1,0))</f>
        <v>0</v>
      </c>
      <c r="AI13" t="s">
        <v>857</v>
      </c>
      <c r="AJ13" s="344">
        <f>SUMIFS($AH$5:$AH$68,$V$5:$V$68,"&gt;1")</f>
        <v>23</v>
      </c>
    </row>
    <row r="14" spans="1:36" x14ac:dyDescent="0.3">
      <c r="A14" t="str">
        <f>IF(Deliverables!$A14="","",TRIM(Deliverables!$A14))</f>
        <v>N25185-0100D</v>
      </c>
      <c r="B14" t="str">
        <f>IF($A14="","",Deliverables!$C14)</f>
        <v>Final Design - Tin Can Berth 6</v>
      </c>
      <c r="C14" t="str">
        <f>IF($A14="","",Deliverables!$D14)</f>
        <v>DD</v>
      </c>
      <c r="D14" t="str">
        <f>IF($A14="","",IF(Deliverables!$G14="","not started",Deliverables!$G14))</f>
        <v>Transmitted to client (IFA/IFC)</v>
      </c>
      <c r="E14" s="387"/>
      <c r="F14" s="384">
        <f>IF($A14="","",IF(ISNUMBER(SEARCH("Proposal",$A14)),1,IF(N(Deliverables!$H14)&gt;0,1,0)))</f>
        <v>1</v>
      </c>
      <c r="G14" s="385">
        <f>IF($A14="","",IF(ISNUMBER(SEARCH("Proposal",$A14)),IFERROR(VLOOKUP(TRIM($A14),Proposals!$N$13:$Q$18,4,FALSE),0),IF($E14="","",SUMIFS('Timesheet Raw'!$P$4:$P$8000,'Timesheet Raw'!$B$4:$B$8000,$A14,'Timesheet Raw'!$M$4:$M$8000,$E14))))</f>
        <v>1774.75</v>
      </c>
      <c r="H14" s="384">
        <f t="shared" si="0"/>
        <v>9</v>
      </c>
      <c r="I14" s="385">
        <f t="shared" si="1"/>
        <v>197.19444444444446</v>
      </c>
      <c r="J14" s="341">
        <f>IF($I14="","",$I14/'Profit Plan'!$B$5)</f>
        <v>1.0659159159159159</v>
      </c>
      <c r="K14" s="371">
        <f>IF($A14="","",IF(ISNUMBER(SEARCH("Proposal",$A14)),IFERROR(VLOOKUP(TRIM($A14),Proposals!$N$13:$S$18,5,FALSE),""),IF($E14="","",IFERROR(_xlfn.MINIFS('Timesheet Raw'!$L$4:$L$8000,'Timesheet Raw'!$B$4:$B$8000,$A14,'Timesheet Raw'!$M$4:$M$8000,$E14),""))))</f>
        <v>46105</v>
      </c>
      <c r="L14" s="371">
        <f>IF($A14="","",IF(ISNUMBER(SEARCH("Proposal",$A14)),IFERROR(VLOOKUP(TRIM($A14),Proposals!$N$13:$S$18,6,FALSE),""),IF($E14="","",IFERROR(_xlfn.MAXIFS('Timesheet Raw'!$L$4:$L$8000,'Timesheet Raw'!$B$4:$B$8000,$A14,'Timesheet Raw'!$M$4:$M$8000,$E14),""))))</f>
        <v>46250</v>
      </c>
      <c r="M14" s="340">
        <f t="shared" si="2"/>
        <v>146</v>
      </c>
      <c r="N14" s="340">
        <f>IF($K14="","",IF(COUNT('Work Calendar'!$E$6:$E$200)=0,NETWORKDAYS.INTL($K14,$L14,'Work Calendar'!$B$31),NETWORKDAYS.INTL($K14,$L14,'Work Calendar'!$B$31,'Work Calendar'!$E$6:$E$200)))</f>
        <v>104</v>
      </c>
      <c r="O14" s="340">
        <f>IF(OR($A14="",$E14=""),"",SUMIFS('Timesheet Raw'!$BV$4:$BV$8000,'Timesheet Raw'!$B$4:$B$8000,$A14,'Timesheet Raw'!$M$4:$M$8000,$E14))</f>
        <v>93</v>
      </c>
      <c r="P14" s="340">
        <f t="shared" si="3"/>
        <v>11</v>
      </c>
      <c r="Q14" s="386">
        <f t="shared" si="4"/>
        <v>0.10576923076923077</v>
      </c>
      <c r="R14" t="str">
        <f>IF($A14="","",IF($E14="","set TS Phase",IF($G14=0,"Never charged",IF($L14&lt;'Work Calendar'!$B$17-21,"Dormant since "&amp;TEXT($L14,"yyyy-mm-dd"),"Active"))))</f>
        <v>Active</v>
      </c>
      <c r="S14" s="340">
        <f>IF(OR($A14="",$E14=""),"",IFERROR(_xlfn.MAXIFS('Timesheet Raw'!$BX$4:$BX$8000,'Timesheet Raw'!$B$4:$B$8000,$A14,'Timesheet Raw'!$M$4:$M$8000,$E14),""))</f>
        <v>4</v>
      </c>
      <c r="T14" s="371" cm="1">
        <f t="array" ref="T14">IF(OR($S14="",$S14=0),"",IFERROR(INDEX('Timesheet Raw'!$BW$4:$BW$8000,MATCH(1,INDEX(('Timesheet Raw'!$B$4:$B$8000=$A14)*('Timesheet Raw'!$M$4:$M$8000=$E14)*('Timesheet Raw'!$BX$4:$BX$8000=$S14),0),0)),""))</f>
        <v>46167</v>
      </c>
      <c r="U14" s="371" cm="1">
        <f t="array" ref="U14">IF(OR($S14="",$S14=0),"",IFERROR(INDEX('Timesheet Raw'!$L$4:$L$8000,MATCH(1,INDEX(('Timesheet Raw'!$B$4:$B$8000=$A14)*('Timesheet Raw'!$M$4:$M$8000=$E14)*('Timesheet Raw'!$BX$4:$BX$8000=$S14),0),0)),""))</f>
        <v>46174</v>
      </c>
      <c r="V14" s="340">
        <f>IF(OR($A14="",$E14="",$G14=0),"",1+COUNTIFS('Timesheet Raw'!$B$4:$B$8000,$A14,'Timesheet Raw'!$M$4:$M$8000,$E14,'Timesheet Raw'!$BX$4:$BX$8000,"&gt;="&amp;'Work Calendar'!$B$32))</f>
        <v>2</v>
      </c>
      <c r="W14" s="376"/>
      <c r="X14" s="376"/>
      <c r="Y14" s="376"/>
      <c r="Z14" s="376"/>
      <c r="AA14" s="376"/>
      <c r="AB14" s="376"/>
      <c r="AC14" s="396" t="str">
        <f t="shared" si="5"/>
        <v/>
      </c>
      <c r="AD14" s="396" t="str">
        <f t="shared" si="6"/>
        <v/>
      </c>
      <c r="AE14" s="340" t="str">
        <f>IF(OR($Y14="",$Z14=""),"",MAX(0,NETWORKDAYS.INTL($Y14,$Z14,'Work Calendar'!$B$31)-2))</f>
        <v/>
      </c>
      <c r="AF14" s="344">
        <f t="shared" si="7"/>
        <v>11</v>
      </c>
      <c r="AG14" t="str">
        <f t="shared" si="8"/>
        <v>no manual dates</v>
      </c>
      <c r="AH14" s="384">
        <f>IF(OR($A14="",$E14=""),"",IF(COUNTIFS($A$5:$A14,$A14,$E$5:$E14,$E14)=1,1,0))</f>
        <v>0</v>
      </c>
      <c r="AI14" t="s">
        <v>849</v>
      </c>
      <c r="AJ14" s="344">
        <f>MAX($S$5:$S$68)</f>
        <v>381</v>
      </c>
    </row>
    <row r="15" spans="1:36" x14ac:dyDescent="0.3">
      <c r="A15" t="str">
        <f>IF(Deliverables!$A15="","",TRIM(Deliverables!$A15))</f>
        <v>N25185-0100D</v>
      </c>
      <c r="B15" t="str">
        <f>IF($A15="","",Deliverables!$C15)</f>
        <v>Final Design - Tin Can Berth 7</v>
      </c>
      <c r="C15" t="str">
        <f>IF($A15="","",Deliverables!$D15)</f>
        <v>DD</v>
      </c>
      <c r="D15" t="str">
        <f>IF($A15="","",IF(Deliverables!$G15="","not started",Deliverables!$G15))</f>
        <v>Transmitted to client (IFA/IFC)</v>
      </c>
      <c r="E15" s="387"/>
      <c r="F15" s="384">
        <f>IF($A15="","",IF(ISNUMBER(SEARCH("Proposal",$A15)),1,IF(N(Deliverables!$H15)&gt;0,1,0)))</f>
        <v>1</v>
      </c>
      <c r="G15" s="385">
        <f>IF($A15="","",IF(ISNUMBER(SEARCH("Proposal",$A15)),IFERROR(VLOOKUP(TRIM($A15),Proposals!$N$13:$Q$18,4,FALSE),0),IF($E15="","",SUMIFS('Timesheet Raw'!$P$4:$P$8000,'Timesheet Raw'!$B$4:$B$8000,$A15,'Timesheet Raw'!$M$4:$M$8000,$E15))))</f>
        <v>1774.75</v>
      </c>
      <c r="H15" s="384">
        <f t="shared" si="0"/>
        <v>9</v>
      </c>
      <c r="I15" s="385">
        <f t="shared" si="1"/>
        <v>197.19444444444446</v>
      </c>
      <c r="J15" s="341">
        <f>IF($I15="","",$I15/'Profit Plan'!$B$5)</f>
        <v>1.0659159159159159</v>
      </c>
      <c r="K15" s="371">
        <f>IF($A15="","",IF(ISNUMBER(SEARCH("Proposal",$A15)),IFERROR(VLOOKUP(TRIM($A15),Proposals!$N$13:$S$18,5,FALSE),""),IF($E15="","",IFERROR(_xlfn.MINIFS('Timesheet Raw'!$L$4:$L$8000,'Timesheet Raw'!$B$4:$B$8000,$A15,'Timesheet Raw'!$M$4:$M$8000,$E15),""))))</f>
        <v>46105</v>
      </c>
      <c r="L15" s="371">
        <f>IF($A15="","",IF(ISNUMBER(SEARCH("Proposal",$A15)),IFERROR(VLOOKUP(TRIM($A15),Proposals!$N$13:$S$18,6,FALSE),""),IF($E15="","",IFERROR(_xlfn.MAXIFS('Timesheet Raw'!$L$4:$L$8000,'Timesheet Raw'!$B$4:$B$8000,$A15,'Timesheet Raw'!$M$4:$M$8000,$E15),""))))</f>
        <v>46250</v>
      </c>
      <c r="M15" s="340">
        <f t="shared" si="2"/>
        <v>146</v>
      </c>
      <c r="N15" s="340">
        <f>IF($K15="","",IF(COUNT('Work Calendar'!$E$6:$E$200)=0,NETWORKDAYS.INTL($K15,$L15,'Work Calendar'!$B$31),NETWORKDAYS.INTL($K15,$L15,'Work Calendar'!$B$31,'Work Calendar'!$E$6:$E$200)))</f>
        <v>104</v>
      </c>
      <c r="O15" s="340">
        <f>IF(OR($A15="",$E15=""),"",SUMIFS('Timesheet Raw'!$BV$4:$BV$8000,'Timesheet Raw'!$B$4:$B$8000,$A15,'Timesheet Raw'!$M$4:$M$8000,$E15))</f>
        <v>93</v>
      </c>
      <c r="P15" s="340">
        <f t="shared" si="3"/>
        <v>11</v>
      </c>
      <c r="Q15" s="386">
        <f t="shared" si="4"/>
        <v>0.10576923076923077</v>
      </c>
      <c r="R15" t="str">
        <f>IF($A15="","",IF($E15="","set TS Phase",IF($G15=0,"Never charged",IF($L15&lt;'Work Calendar'!$B$17-21,"Dormant since "&amp;TEXT($L15,"yyyy-mm-dd"),"Active"))))</f>
        <v>Active</v>
      </c>
      <c r="S15" s="340">
        <f>IF(OR($A15="",$E15=""),"",IFERROR(_xlfn.MAXIFS('Timesheet Raw'!$BX$4:$BX$8000,'Timesheet Raw'!$B$4:$B$8000,$A15,'Timesheet Raw'!$M$4:$M$8000,$E15),""))</f>
        <v>4</v>
      </c>
      <c r="T15" s="371" cm="1">
        <f t="array" ref="T15">IF(OR($S15="",$S15=0),"",IFERROR(INDEX('Timesheet Raw'!$BW$4:$BW$8000,MATCH(1,INDEX(('Timesheet Raw'!$B$4:$B$8000=$A15)*('Timesheet Raw'!$M$4:$M$8000=$E15)*('Timesheet Raw'!$BX$4:$BX$8000=$S15),0),0)),""))</f>
        <v>46167</v>
      </c>
      <c r="U15" s="371" cm="1">
        <f t="array" ref="U15">IF(OR($S15="",$S15=0),"",IFERROR(INDEX('Timesheet Raw'!$L$4:$L$8000,MATCH(1,INDEX(('Timesheet Raw'!$B$4:$B$8000=$A15)*('Timesheet Raw'!$M$4:$M$8000=$E15)*('Timesheet Raw'!$BX$4:$BX$8000=$S15),0),0)),""))</f>
        <v>46174</v>
      </c>
      <c r="V15" s="340">
        <f>IF(OR($A15="",$E15="",$G15=0),"",1+COUNTIFS('Timesheet Raw'!$B$4:$B$8000,$A15,'Timesheet Raw'!$M$4:$M$8000,$E15,'Timesheet Raw'!$BX$4:$BX$8000,"&gt;="&amp;'Work Calendar'!$B$32))</f>
        <v>2</v>
      </c>
      <c r="W15" s="376"/>
      <c r="X15" s="376"/>
      <c r="Y15" s="376"/>
      <c r="Z15" s="376"/>
      <c r="AA15" s="376"/>
      <c r="AB15" s="376"/>
      <c r="AC15" s="396" t="str">
        <f t="shared" si="5"/>
        <v/>
      </c>
      <c r="AD15" s="396" t="str">
        <f t="shared" si="6"/>
        <v/>
      </c>
      <c r="AE15" s="340" t="str">
        <f>IF(OR($Y15="",$Z15=""),"",MAX(0,NETWORKDAYS.INTL($Y15,$Z15,'Work Calendar'!$B$31)-2))</f>
        <v/>
      </c>
      <c r="AF15" s="344">
        <f t="shared" si="7"/>
        <v>11</v>
      </c>
      <c r="AG15" t="str">
        <f t="shared" si="8"/>
        <v>no manual dates</v>
      </c>
      <c r="AH15" s="384">
        <f>IF(OR($A15="",$E15=""),"",IF(COUNTIFS($A$5:$A15,$A15,$E$5:$E15,$E15)=1,1,0))</f>
        <v>0</v>
      </c>
      <c r="AI15" t="s">
        <v>850</v>
      </c>
      <c r="AJ15" s="344">
        <f>COUNTIF($AG$5:$AG$68,"MISMATCH*")</f>
        <v>0</v>
      </c>
    </row>
    <row r="16" spans="1:36" x14ac:dyDescent="0.3">
      <c r="A16" t="str">
        <f>IF(Deliverables!$A16="","",TRIM(Deliverables!$A16))</f>
        <v>N25185-0100D</v>
      </c>
      <c r="B16" t="str">
        <f>IF($A16="","",Deliverables!$C16)</f>
        <v>Final Design - Tin Can Berth 8</v>
      </c>
      <c r="C16" t="str">
        <f>IF($A16="","",Deliverables!$D16)</f>
        <v>DD</v>
      </c>
      <c r="D16" t="str">
        <f>IF($A16="","",IF(Deliverables!$G16="","not started",Deliverables!$G16))</f>
        <v>Transmitted to client (IFA/IFC)</v>
      </c>
      <c r="E16" s="387"/>
      <c r="F16" s="384">
        <f>IF($A16="","",IF(ISNUMBER(SEARCH("Proposal",$A16)),1,IF(N(Deliverables!$H16)&gt;0,1,0)))</f>
        <v>1</v>
      </c>
      <c r="G16" s="385">
        <f>IF($A16="","",IF(ISNUMBER(SEARCH("Proposal",$A16)),IFERROR(VLOOKUP(TRIM($A16),Proposals!$N$13:$Q$18,4,FALSE),0),IF($E16="","",SUMIFS('Timesheet Raw'!$P$4:$P$8000,'Timesheet Raw'!$B$4:$B$8000,$A16,'Timesheet Raw'!$M$4:$M$8000,$E16))))</f>
        <v>1774.75</v>
      </c>
      <c r="H16" s="384">
        <f t="shared" si="0"/>
        <v>9</v>
      </c>
      <c r="I16" s="385">
        <f t="shared" si="1"/>
        <v>197.19444444444446</v>
      </c>
      <c r="J16" s="341">
        <f>IF($I16="","",$I16/'Profit Plan'!$B$5)</f>
        <v>1.0659159159159159</v>
      </c>
      <c r="K16" s="371">
        <f>IF($A16="","",IF(ISNUMBER(SEARCH("Proposal",$A16)),IFERROR(VLOOKUP(TRIM($A16),Proposals!$N$13:$S$18,5,FALSE),""),IF($E16="","",IFERROR(_xlfn.MINIFS('Timesheet Raw'!$L$4:$L$8000,'Timesheet Raw'!$B$4:$B$8000,$A16,'Timesheet Raw'!$M$4:$M$8000,$E16),""))))</f>
        <v>46105</v>
      </c>
      <c r="L16" s="371">
        <f>IF($A16="","",IF(ISNUMBER(SEARCH("Proposal",$A16)),IFERROR(VLOOKUP(TRIM($A16),Proposals!$N$13:$S$18,6,FALSE),""),IF($E16="","",IFERROR(_xlfn.MAXIFS('Timesheet Raw'!$L$4:$L$8000,'Timesheet Raw'!$B$4:$B$8000,$A16,'Timesheet Raw'!$M$4:$M$8000,$E16),""))))</f>
        <v>46250</v>
      </c>
      <c r="M16" s="340">
        <f t="shared" si="2"/>
        <v>146</v>
      </c>
      <c r="N16" s="340">
        <f>IF($K16="","",IF(COUNT('Work Calendar'!$E$6:$E$200)=0,NETWORKDAYS.INTL($K16,$L16,'Work Calendar'!$B$31),NETWORKDAYS.INTL($K16,$L16,'Work Calendar'!$B$31,'Work Calendar'!$E$6:$E$200)))</f>
        <v>104</v>
      </c>
      <c r="O16" s="340">
        <f>IF(OR($A16="",$E16=""),"",SUMIFS('Timesheet Raw'!$BV$4:$BV$8000,'Timesheet Raw'!$B$4:$B$8000,$A16,'Timesheet Raw'!$M$4:$M$8000,$E16))</f>
        <v>93</v>
      </c>
      <c r="P16" s="340">
        <f t="shared" si="3"/>
        <v>11</v>
      </c>
      <c r="Q16" s="386">
        <f t="shared" si="4"/>
        <v>0.10576923076923077</v>
      </c>
      <c r="R16" t="str">
        <f>IF($A16="","",IF($E16="","set TS Phase",IF($G16=0,"Never charged",IF($L16&lt;'Work Calendar'!$B$17-21,"Dormant since "&amp;TEXT($L16,"yyyy-mm-dd"),"Active"))))</f>
        <v>Active</v>
      </c>
      <c r="S16" s="340">
        <f>IF(OR($A16="",$E16=""),"",IFERROR(_xlfn.MAXIFS('Timesheet Raw'!$BX$4:$BX$8000,'Timesheet Raw'!$B$4:$B$8000,$A16,'Timesheet Raw'!$M$4:$M$8000,$E16),""))</f>
        <v>4</v>
      </c>
      <c r="T16" s="371" cm="1">
        <f t="array" ref="T16">IF(OR($S16="",$S16=0),"",IFERROR(INDEX('Timesheet Raw'!$BW$4:$BW$8000,MATCH(1,INDEX(('Timesheet Raw'!$B$4:$B$8000=$A16)*('Timesheet Raw'!$M$4:$M$8000=$E16)*('Timesheet Raw'!$BX$4:$BX$8000=$S16),0),0)),""))</f>
        <v>46167</v>
      </c>
      <c r="U16" s="371" cm="1">
        <f t="array" ref="U16">IF(OR($S16="",$S16=0),"",IFERROR(INDEX('Timesheet Raw'!$L$4:$L$8000,MATCH(1,INDEX(('Timesheet Raw'!$B$4:$B$8000=$A16)*('Timesheet Raw'!$M$4:$M$8000=$E16)*('Timesheet Raw'!$BX$4:$BX$8000=$S16),0),0)),""))</f>
        <v>46174</v>
      </c>
      <c r="V16" s="340">
        <f>IF(OR($A16="",$E16="",$G16=0),"",1+COUNTIFS('Timesheet Raw'!$B$4:$B$8000,$A16,'Timesheet Raw'!$M$4:$M$8000,$E16,'Timesheet Raw'!$BX$4:$BX$8000,"&gt;="&amp;'Work Calendar'!$B$32))</f>
        <v>2</v>
      </c>
      <c r="W16" s="376"/>
      <c r="X16" s="376"/>
      <c r="Y16" s="376"/>
      <c r="Z16" s="376"/>
      <c r="AA16" s="376"/>
      <c r="AB16" s="376"/>
      <c r="AC16" s="396" t="str">
        <f t="shared" si="5"/>
        <v/>
      </c>
      <c r="AD16" s="396" t="str">
        <f t="shared" si="6"/>
        <v/>
      </c>
      <c r="AE16" s="340" t="str">
        <f>IF(OR($Y16="",$Z16=""),"",MAX(0,NETWORKDAYS.INTL($Y16,$Z16,'Work Calendar'!$B$31)-2))</f>
        <v/>
      </c>
      <c r="AF16" s="344">
        <f t="shared" si="7"/>
        <v>11</v>
      </c>
      <c r="AG16" t="str">
        <f t="shared" si="8"/>
        <v>no manual dates</v>
      </c>
      <c r="AH16" s="384">
        <f>IF(OR($A16="",$E16=""),"",IF(COUNTIFS($A$5:$A16,$A16,$E$5:$E16,$E16)=1,1,0))</f>
        <v>0</v>
      </c>
    </row>
    <row r="17" spans="1:34" x14ac:dyDescent="0.3">
      <c r="A17" t="str">
        <f>IF(Deliverables!$A17="","",TRIM(Deliverables!$A17))</f>
        <v>N25185-0100D</v>
      </c>
      <c r="B17" t="str">
        <f>IF($A17="","",Deliverables!$C17)</f>
        <v>Final Design - Tin Can Berth 9</v>
      </c>
      <c r="C17" t="str">
        <f>IF($A17="","",Deliverables!$D17)</f>
        <v>DD</v>
      </c>
      <c r="D17" t="str">
        <f>IF($A17="","",IF(Deliverables!$G17="","not started",Deliverables!$G17))</f>
        <v>Design started</v>
      </c>
      <c r="E17" s="387"/>
      <c r="F17" s="384">
        <f>IF($A17="","",IF(ISNUMBER(SEARCH("Proposal",$A17)),1,IF(N(Deliverables!$H17)&gt;0,1,0)))</f>
        <v>1</v>
      </c>
      <c r="G17" s="385">
        <f>IF($A17="","",IF(ISNUMBER(SEARCH("Proposal",$A17)),IFERROR(VLOOKUP(TRIM($A17),Proposals!$N$13:$Q$18,4,FALSE),0),IF($E17="","",SUMIFS('Timesheet Raw'!$P$4:$P$8000,'Timesheet Raw'!$B$4:$B$8000,$A17,'Timesheet Raw'!$M$4:$M$8000,$E17))))</f>
        <v>1774.75</v>
      </c>
      <c r="H17" s="384">
        <f t="shared" si="0"/>
        <v>9</v>
      </c>
      <c r="I17" s="385">
        <f t="shared" si="1"/>
        <v>197.19444444444446</v>
      </c>
      <c r="J17" s="341">
        <f>IF($I17="","",$I17/'Profit Plan'!$B$5)</f>
        <v>1.0659159159159159</v>
      </c>
      <c r="K17" s="371">
        <f>IF($A17="","",IF(ISNUMBER(SEARCH("Proposal",$A17)),IFERROR(VLOOKUP(TRIM($A17),Proposals!$N$13:$S$18,5,FALSE),""),IF($E17="","",IFERROR(_xlfn.MINIFS('Timesheet Raw'!$L$4:$L$8000,'Timesheet Raw'!$B$4:$B$8000,$A17,'Timesheet Raw'!$M$4:$M$8000,$E17),""))))</f>
        <v>46105</v>
      </c>
      <c r="L17" s="371">
        <f>IF($A17="","",IF(ISNUMBER(SEARCH("Proposal",$A17)),IFERROR(VLOOKUP(TRIM($A17),Proposals!$N$13:$S$18,6,FALSE),""),IF($E17="","",IFERROR(_xlfn.MAXIFS('Timesheet Raw'!$L$4:$L$8000,'Timesheet Raw'!$B$4:$B$8000,$A17,'Timesheet Raw'!$M$4:$M$8000,$E17),""))))</f>
        <v>46250</v>
      </c>
      <c r="M17" s="340">
        <f t="shared" si="2"/>
        <v>146</v>
      </c>
      <c r="N17" s="340">
        <f>IF($K17="","",IF(COUNT('Work Calendar'!$E$6:$E$200)=0,NETWORKDAYS.INTL($K17,$L17,'Work Calendar'!$B$31),NETWORKDAYS.INTL($K17,$L17,'Work Calendar'!$B$31,'Work Calendar'!$E$6:$E$200)))</f>
        <v>104</v>
      </c>
      <c r="O17" s="340">
        <f>IF(OR($A17="",$E17=""),"",SUMIFS('Timesheet Raw'!$BV$4:$BV$8000,'Timesheet Raw'!$B$4:$B$8000,$A17,'Timesheet Raw'!$M$4:$M$8000,$E17))</f>
        <v>93</v>
      </c>
      <c r="P17" s="340">
        <f t="shared" si="3"/>
        <v>11</v>
      </c>
      <c r="Q17" s="386">
        <f t="shared" si="4"/>
        <v>0.10576923076923077</v>
      </c>
      <c r="R17" t="str">
        <f>IF($A17="","",IF($E17="","set TS Phase",IF($G17=0,"Never charged",IF($L17&lt;'Work Calendar'!$B$17-21,"Dormant since "&amp;TEXT($L17,"yyyy-mm-dd"),"Active"))))</f>
        <v>Active</v>
      </c>
      <c r="S17" s="340">
        <f>IF(OR($A17="",$E17=""),"",IFERROR(_xlfn.MAXIFS('Timesheet Raw'!$BX$4:$BX$8000,'Timesheet Raw'!$B$4:$B$8000,$A17,'Timesheet Raw'!$M$4:$M$8000,$E17),""))</f>
        <v>4</v>
      </c>
      <c r="T17" s="371" cm="1">
        <f t="array" ref="T17">IF(OR($S17="",$S17=0),"",IFERROR(INDEX('Timesheet Raw'!$BW$4:$BW$8000,MATCH(1,INDEX(('Timesheet Raw'!$B$4:$B$8000=$A17)*('Timesheet Raw'!$M$4:$M$8000=$E17)*('Timesheet Raw'!$BX$4:$BX$8000=$S17),0),0)),""))</f>
        <v>46167</v>
      </c>
      <c r="U17" s="371" cm="1">
        <f t="array" ref="U17">IF(OR($S17="",$S17=0),"",IFERROR(INDEX('Timesheet Raw'!$L$4:$L$8000,MATCH(1,INDEX(('Timesheet Raw'!$B$4:$B$8000=$A17)*('Timesheet Raw'!$M$4:$M$8000=$E17)*('Timesheet Raw'!$BX$4:$BX$8000=$S17),0),0)),""))</f>
        <v>46174</v>
      </c>
      <c r="V17" s="340">
        <f>IF(OR($A17="",$E17="",$G17=0),"",1+COUNTIFS('Timesheet Raw'!$B$4:$B$8000,$A17,'Timesheet Raw'!$M$4:$M$8000,$E17,'Timesheet Raw'!$BX$4:$BX$8000,"&gt;="&amp;'Work Calendar'!$B$32))</f>
        <v>2</v>
      </c>
      <c r="W17" s="376"/>
      <c r="X17" s="376"/>
      <c r="Y17" s="376"/>
      <c r="Z17" s="376"/>
      <c r="AA17" s="376"/>
      <c r="AB17" s="376"/>
      <c r="AC17" s="396" t="str">
        <f t="shared" si="5"/>
        <v/>
      </c>
      <c r="AD17" s="396" t="str">
        <f t="shared" si="6"/>
        <v/>
      </c>
      <c r="AE17" s="340" t="str">
        <f>IF(OR($Y17="",$Z17=""),"",MAX(0,NETWORKDAYS.INTL($Y17,$Z17,'Work Calendar'!$B$31)-2))</f>
        <v/>
      </c>
      <c r="AF17" s="344">
        <f t="shared" si="7"/>
        <v>11</v>
      </c>
      <c r="AG17" t="str">
        <f t="shared" si="8"/>
        <v>no manual dates</v>
      </c>
      <c r="AH17" s="384">
        <f>IF(OR($A17="",$E17=""),"",IF(COUNTIFS($A$5:$A17,$A17,$E$5:$E17,$E17)=1,1,0))</f>
        <v>0</v>
      </c>
    </row>
    <row r="18" spans="1:34" x14ac:dyDescent="0.3">
      <c r="A18" t="str">
        <f>IF(Deliverables!$A18="","",TRIM(Deliverables!$A18))</f>
        <v>N25185-0100D</v>
      </c>
      <c r="B18" t="str">
        <f>IF($A18="","",Deliverables!$C18)</f>
        <v>Final Design - Tin Can Berth 10</v>
      </c>
      <c r="C18" t="str">
        <f>IF($A18="","",Deliverables!$D18)</f>
        <v>DD</v>
      </c>
      <c r="D18" t="str">
        <f>IF($A18="","",IF(Deliverables!$G18="","not started",Deliverables!$G18))</f>
        <v>Design started</v>
      </c>
      <c r="E18" s="387"/>
      <c r="F18" s="384">
        <f>IF($A18="","",IF(ISNUMBER(SEARCH("Proposal",$A18)),1,IF(N(Deliverables!$H18)&gt;0,1,0)))</f>
        <v>1</v>
      </c>
      <c r="G18" s="385">
        <f>IF($A18="","",IF(ISNUMBER(SEARCH("Proposal",$A18)),IFERROR(VLOOKUP(TRIM($A18),Proposals!$N$13:$Q$18,4,FALSE),0),IF($E18="","",SUMIFS('Timesheet Raw'!$P$4:$P$8000,'Timesheet Raw'!$B$4:$B$8000,$A18,'Timesheet Raw'!$M$4:$M$8000,$E18))))</f>
        <v>1774.75</v>
      </c>
      <c r="H18" s="384">
        <f t="shared" si="0"/>
        <v>9</v>
      </c>
      <c r="I18" s="385">
        <f t="shared" si="1"/>
        <v>197.19444444444446</v>
      </c>
      <c r="J18" s="341">
        <f>IF($I18="","",$I18/'Profit Plan'!$B$5)</f>
        <v>1.0659159159159159</v>
      </c>
      <c r="K18" s="371">
        <f>IF($A18="","",IF(ISNUMBER(SEARCH("Proposal",$A18)),IFERROR(VLOOKUP(TRIM($A18),Proposals!$N$13:$S$18,5,FALSE),""),IF($E18="","",IFERROR(_xlfn.MINIFS('Timesheet Raw'!$L$4:$L$8000,'Timesheet Raw'!$B$4:$B$8000,$A18,'Timesheet Raw'!$M$4:$M$8000,$E18),""))))</f>
        <v>46105</v>
      </c>
      <c r="L18" s="371">
        <f>IF($A18="","",IF(ISNUMBER(SEARCH("Proposal",$A18)),IFERROR(VLOOKUP(TRIM($A18),Proposals!$N$13:$S$18,6,FALSE),""),IF($E18="","",IFERROR(_xlfn.MAXIFS('Timesheet Raw'!$L$4:$L$8000,'Timesheet Raw'!$B$4:$B$8000,$A18,'Timesheet Raw'!$M$4:$M$8000,$E18),""))))</f>
        <v>46250</v>
      </c>
      <c r="M18" s="340">
        <f t="shared" si="2"/>
        <v>146</v>
      </c>
      <c r="N18" s="340">
        <f>IF($K18="","",IF(COUNT('Work Calendar'!$E$6:$E$200)=0,NETWORKDAYS.INTL($K18,$L18,'Work Calendar'!$B$31),NETWORKDAYS.INTL($K18,$L18,'Work Calendar'!$B$31,'Work Calendar'!$E$6:$E$200)))</f>
        <v>104</v>
      </c>
      <c r="O18" s="340">
        <f>IF(OR($A18="",$E18=""),"",SUMIFS('Timesheet Raw'!$BV$4:$BV$8000,'Timesheet Raw'!$B$4:$B$8000,$A18,'Timesheet Raw'!$M$4:$M$8000,$E18))</f>
        <v>93</v>
      </c>
      <c r="P18" s="340">
        <f t="shared" si="3"/>
        <v>11</v>
      </c>
      <c r="Q18" s="386">
        <f t="shared" si="4"/>
        <v>0.10576923076923077</v>
      </c>
      <c r="R18" t="str">
        <f>IF($A18="","",IF($E18="","set TS Phase",IF($G18=0,"Never charged",IF($L18&lt;'Work Calendar'!$B$17-21,"Dormant since "&amp;TEXT($L18,"yyyy-mm-dd"),"Active"))))</f>
        <v>Active</v>
      </c>
      <c r="S18" s="340">
        <f>IF(OR($A18="",$E18=""),"",IFERROR(_xlfn.MAXIFS('Timesheet Raw'!$BX$4:$BX$8000,'Timesheet Raw'!$B$4:$B$8000,$A18,'Timesheet Raw'!$M$4:$M$8000,$E18),""))</f>
        <v>4</v>
      </c>
      <c r="T18" s="371" cm="1">
        <f t="array" ref="T18">IF(OR($S18="",$S18=0),"",IFERROR(INDEX('Timesheet Raw'!$BW$4:$BW$8000,MATCH(1,INDEX(('Timesheet Raw'!$B$4:$B$8000=$A18)*('Timesheet Raw'!$M$4:$M$8000=$E18)*('Timesheet Raw'!$BX$4:$BX$8000=$S18),0),0)),""))</f>
        <v>46167</v>
      </c>
      <c r="U18" s="371" cm="1">
        <f t="array" ref="U18">IF(OR($S18="",$S18=0),"",IFERROR(INDEX('Timesheet Raw'!$L$4:$L$8000,MATCH(1,INDEX(('Timesheet Raw'!$B$4:$B$8000=$A18)*('Timesheet Raw'!$M$4:$M$8000=$E18)*('Timesheet Raw'!$BX$4:$BX$8000=$S18),0),0)),""))</f>
        <v>46174</v>
      </c>
      <c r="V18" s="340">
        <f>IF(OR($A18="",$E18="",$G18=0),"",1+COUNTIFS('Timesheet Raw'!$B$4:$B$8000,$A18,'Timesheet Raw'!$M$4:$M$8000,$E18,'Timesheet Raw'!$BX$4:$BX$8000,"&gt;="&amp;'Work Calendar'!$B$32))</f>
        <v>2</v>
      </c>
      <c r="W18" s="376"/>
      <c r="X18" s="376"/>
      <c r="Y18" s="376"/>
      <c r="Z18" s="376"/>
      <c r="AA18" s="376"/>
      <c r="AB18" s="376"/>
      <c r="AC18" s="396" t="str">
        <f t="shared" si="5"/>
        <v/>
      </c>
      <c r="AD18" s="396" t="str">
        <f t="shared" si="6"/>
        <v/>
      </c>
      <c r="AE18" s="340" t="str">
        <f>IF(OR($Y18="",$Z18=""),"",MAX(0,NETWORKDAYS.INTL($Y18,$Z18,'Work Calendar'!$B$31)-2))</f>
        <v/>
      </c>
      <c r="AF18" s="344">
        <f t="shared" si="7"/>
        <v>11</v>
      </c>
      <c r="AG18" t="str">
        <f t="shared" si="8"/>
        <v>no manual dates</v>
      </c>
      <c r="AH18" s="384">
        <f>IF(OR($A18="",$E18=""),"",IF(COUNTIFS($A$5:$A18,$A18,$E$5:$E18,$E18)=1,1,0))</f>
        <v>0</v>
      </c>
    </row>
    <row r="19" spans="1:34" x14ac:dyDescent="0.3">
      <c r="A19" t="str">
        <f>IF(Deliverables!$A19="","",TRIM(Deliverables!$A19))</f>
        <v>N25185-0100D</v>
      </c>
      <c r="B19" t="str">
        <f>IF($A19="","",Deliverables!$C19)</f>
        <v>Final Design - Apapa Berth 4</v>
      </c>
      <c r="C19" t="str">
        <f>IF($A19="","",Deliverables!$D19)</f>
        <v>DD</v>
      </c>
      <c r="D19" t="str">
        <f>IF($A19="","",IF(Deliverables!$G19="","not started",Deliverables!$G19))</f>
        <v>not started</v>
      </c>
      <c r="E19" s="387"/>
      <c r="F19" s="384">
        <f>IF($A19="","",IF(ISNUMBER(SEARCH("Proposal",$A19)),1,IF(N(Deliverables!$H19)&gt;0,1,0)))</f>
        <v>0</v>
      </c>
      <c r="G19" s="385">
        <f>IF($A19="","",IF(ISNUMBER(SEARCH("Proposal",$A19)),IFERROR(VLOOKUP(TRIM($A19),Proposals!$N$13:$Q$18,4,FALSE),0),IF($E19="","",SUMIFS('Timesheet Raw'!$P$4:$P$8000,'Timesheet Raw'!$B$4:$B$8000,$A19,'Timesheet Raw'!$M$4:$M$8000,$E19))))</f>
        <v>1774.75</v>
      </c>
      <c r="H19" s="384">
        <f t="shared" si="0"/>
        <v>9</v>
      </c>
      <c r="I19" s="385">
        <f t="shared" si="1"/>
        <v>0</v>
      </c>
      <c r="J19" s="341">
        <f>IF($I19="","",$I19/'Profit Plan'!$B$5)</f>
        <v>0</v>
      </c>
      <c r="K19" s="371">
        <f>IF($A19="","",IF(ISNUMBER(SEARCH("Proposal",$A19)),IFERROR(VLOOKUP(TRIM($A19),Proposals!$N$13:$S$18,5,FALSE),""),IF($E19="","",IFERROR(_xlfn.MINIFS('Timesheet Raw'!$L$4:$L$8000,'Timesheet Raw'!$B$4:$B$8000,$A19,'Timesheet Raw'!$M$4:$M$8000,$E19),""))))</f>
        <v>46105</v>
      </c>
      <c r="L19" s="371">
        <f>IF($A19="","",IF(ISNUMBER(SEARCH("Proposal",$A19)),IFERROR(VLOOKUP(TRIM($A19),Proposals!$N$13:$S$18,6,FALSE),""),IF($E19="","",IFERROR(_xlfn.MAXIFS('Timesheet Raw'!$L$4:$L$8000,'Timesheet Raw'!$B$4:$B$8000,$A19,'Timesheet Raw'!$M$4:$M$8000,$E19),""))))</f>
        <v>46250</v>
      </c>
      <c r="M19" s="340">
        <f t="shared" si="2"/>
        <v>146</v>
      </c>
      <c r="N19" s="340">
        <f>IF($K19="","",IF(COUNT('Work Calendar'!$E$6:$E$200)=0,NETWORKDAYS.INTL($K19,$L19,'Work Calendar'!$B$31),NETWORKDAYS.INTL($K19,$L19,'Work Calendar'!$B$31,'Work Calendar'!$E$6:$E$200)))</f>
        <v>104</v>
      </c>
      <c r="O19" s="340">
        <f>IF(OR($A19="",$E19=""),"",SUMIFS('Timesheet Raw'!$BV$4:$BV$8000,'Timesheet Raw'!$B$4:$B$8000,$A19,'Timesheet Raw'!$M$4:$M$8000,$E19))</f>
        <v>93</v>
      </c>
      <c r="P19" s="340">
        <f t="shared" si="3"/>
        <v>11</v>
      </c>
      <c r="Q19" s="386">
        <f t="shared" si="4"/>
        <v>0.10576923076923077</v>
      </c>
      <c r="R19" t="str">
        <f>IF($A19="","",IF($E19="","set TS Phase",IF($G19=0,"Never charged",IF($L19&lt;'Work Calendar'!$B$17-21,"Dormant since "&amp;TEXT($L19,"yyyy-mm-dd"),"Active"))))</f>
        <v>Active</v>
      </c>
      <c r="S19" s="340">
        <f>IF(OR($A19="",$E19=""),"",IFERROR(_xlfn.MAXIFS('Timesheet Raw'!$BX$4:$BX$8000,'Timesheet Raw'!$B$4:$B$8000,$A19,'Timesheet Raw'!$M$4:$M$8000,$E19),""))</f>
        <v>4</v>
      </c>
      <c r="T19" s="371" cm="1">
        <f t="array" ref="T19">IF(OR($S19="",$S19=0),"",IFERROR(INDEX('Timesheet Raw'!$BW$4:$BW$8000,MATCH(1,INDEX(('Timesheet Raw'!$B$4:$B$8000=$A19)*('Timesheet Raw'!$M$4:$M$8000=$E19)*('Timesheet Raw'!$BX$4:$BX$8000=$S19),0),0)),""))</f>
        <v>46167</v>
      </c>
      <c r="U19" s="371" cm="1">
        <f t="array" ref="U19">IF(OR($S19="",$S19=0),"",IFERROR(INDEX('Timesheet Raw'!$L$4:$L$8000,MATCH(1,INDEX(('Timesheet Raw'!$B$4:$B$8000=$A19)*('Timesheet Raw'!$M$4:$M$8000=$E19)*('Timesheet Raw'!$BX$4:$BX$8000=$S19),0),0)),""))</f>
        <v>46174</v>
      </c>
      <c r="V19" s="340">
        <f>IF(OR($A19="",$E19="",$G19=0),"",1+COUNTIFS('Timesheet Raw'!$B$4:$B$8000,$A19,'Timesheet Raw'!$M$4:$M$8000,$E19,'Timesheet Raw'!$BX$4:$BX$8000,"&gt;="&amp;'Work Calendar'!$B$32))</f>
        <v>2</v>
      </c>
      <c r="W19" s="376"/>
      <c r="X19" s="376"/>
      <c r="Y19" s="376"/>
      <c r="Z19" s="376"/>
      <c r="AA19" s="376"/>
      <c r="AB19" s="376"/>
      <c r="AC19" s="396" t="str">
        <f t="shared" si="5"/>
        <v/>
      </c>
      <c r="AD19" s="396" t="str">
        <f t="shared" si="6"/>
        <v/>
      </c>
      <c r="AE19" s="340" t="str">
        <f>IF(OR($Y19="",$Z19=""),"",MAX(0,NETWORKDAYS.INTL($Y19,$Z19,'Work Calendar'!$B$31)-2))</f>
        <v/>
      </c>
      <c r="AF19" s="344">
        <f t="shared" si="7"/>
        <v>11</v>
      </c>
      <c r="AG19" t="str">
        <f t="shared" si="8"/>
        <v>no manual dates</v>
      </c>
      <c r="AH19" s="384">
        <f>IF(OR($A19="",$E19=""),"",IF(COUNTIFS($A$5:$A19,$A19,$E$5:$E19,$E19)=1,1,0))</f>
        <v>0</v>
      </c>
    </row>
    <row r="20" spans="1:34" x14ac:dyDescent="0.3">
      <c r="A20" t="str">
        <f>IF(Deliverables!$A20="","",TRIM(Deliverables!$A20))</f>
        <v>N25185-0100D</v>
      </c>
      <c r="B20" t="str">
        <f>IF($A20="","",Deliverables!$C20)</f>
        <v>Final Design - Apapa Berth 5</v>
      </c>
      <c r="C20" t="str">
        <f>IF($A20="","",Deliverables!$D20)</f>
        <v>DD</v>
      </c>
      <c r="D20" t="str">
        <f>IF($A20="","",IF(Deliverables!$G20="","not started",Deliverables!$G20))</f>
        <v>not started</v>
      </c>
      <c r="E20" s="387"/>
      <c r="F20" s="384">
        <f>IF($A20="","",IF(ISNUMBER(SEARCH("Proposal",$A20)),1,IF(N(Deliverables!$H20)&gt;0,1,0)))</f>
        <v>0</v>
      </c>
      <c r="G20" s="385">
        <f>IF($A20="","",IF(ISNUMBER(SEARCH("Proposal",$A20)),IFERROR(VLOOKUP(TRIM($A20),Proposals!$N$13:$Q$18,4,FALSE),0),IF($E20="","",SUMIFS('Timesheet Raw'!$P$4:$P$8000,'Timesheet Raw'!$B$4:$B$8000,$A20,'Timesheet Raw'!$M$4:$M$8000,$E20))))</f>
        <v>1774.75</v>
      </c>
      <c r="H20" s="384">
        <f t="shared" si="0"/>
        <v>9</v>
      </c>
      <c r="I20" s="385">
        <f t="shared" si="1"/>
        <v>0</v>
      </c>
      <c r="J20" s="341">
        <f>IF($I20="","",$I20/'Profit Plan'!$B$5)</f>
        <v>0</v>
      </c>
      <c r="K20" s="371">
        <f>IF($A20="","",IF(ISNUMBER(SEARCH("Proposal",$A20)),IFERROR(VLOOKUP(TRIM($A20),Proposals!$N$13:$S$18,5,FALSE),""),IF($E20="","",IFERROR(_xlfn.MINIFS('Timesheet Raw'!$L$4:$L$8000,'Timesheet Raw'!$B$4:$B$8000,$A20,'Timesheet Raw'!$M$4:$M$8000,$E20),""))))</f>
        <v>46105</v>
      </c>
      <c r="L20" s="371">
        <f>IF($A20="","",IF(ISNUMBER(SEARCH("Proposal",$A20)),IFERROR(VLOOKUP(TRIM($A20),Proposals!$N$13:$S$18,6,FALSE),""),IF($E20="","",IFERROR(_xlfn.MAXIFS('Timesheet Raw'!$L$4:$L$8000,'Timesheet Raw'!$B$4:$B$8000,$A20,'Timesheet Raw'!$M$4:$M$8000,$E20),""))))</f>
        <v>46250</v>
      </c>
      <c r="M20" s="340">
        <f t="shared" si="2"/>
        <v>146</v>
      </c>
      <c r="N20" s="340">
        <f>IF($K20="","",IF(COUNT('Work Calendar'!$E$6:$E$200)=0,NETWORKDAYS.INTL($K20,$L20,'Work Calendar'!$B$31),NETWORKDAYS.INTL($K20,$L20,'Work Calendar'!$B$31,'Work Calendar'!$E$6:$E$200)))</f>
        <v>104</v>
      </c>
      <c r="O20" s="340">
        <f>IF(OR($A20="",$E20=""),"",SUMIFS('Timesheet Raw'!$BV$4:$BV$8000,'Timesheet Raw'!$B$4:$B$8000,$A20,'Timesheet Raw'!$M$4:$M$8000,$E20))</f>
        <v>93</v>
      </c>
      <c r="P20" s="340">
        <f t="shared" si="3"/>
        <v>11</v>
      </c>
      <c r="Q20" s="386">
        <f t="shared" si="4"/>
        <v>0.10576923076923077</v>
      </c>
      <c r="R20" t="str">
        <f>IF($A20="","",IF($E20="","set TS Phase",IF($G20=0,"Never charged",IF($L20&lt;'Work Calendar'!$B$17-21,"Dormant since "&amp;TEXT($L20,"yyyy-mm-dd"),"Active"))))</f>
        <v>Active</v>
      </c>
      <c r="S20" s="340">
        <f>IF(OR($A20="",$E20=""),"",IFERROR(_xlfn.MAXIFS('Timesheet Raw'!$BX$4:$BX$8000,'Timesheet Raw'!$B$4:$B$8000,$A20,'Timesheet Raw'!$M$4:$M$8000,$E20),""))</f>
        <v>4</v>
      </c>
      <c r="T20" s="371" cm="1">
        <f t="array" ref="T20">IF(OR($S20="",$S20=0),"",IFERROR(INDEX('Timesheet Raw'!$BW$4:$BW$8000,MATCH(1,INDEX(('Timesheet Raw'!$B$4:$B$8000=$A20)*('Timesheet Raw'!$M$4:$M$8000=$E20)*('Timesheet Raw'!$BX$4:$BX$8000=$S20),0),0)),""))</f>
        <v>46167</v>
      </c>
      <c r="U20" s="371" cm="1">
        <f t="array" ref="U20">IF(OR($S20="",$S20=0),"",IFERROR(INDEX('Timesheet Raw'!$L$4:$L$8000,MATCH(1,INDEX(('Timesheet Raw'!$B$4:$B$8000=$A20)*('Timesheet Raw'!$M$4:$M$8000=$E20)*('Timesheet Raw'!$BX$4:$BX$8000=$S20),0),0)),""))</f>
        <v>46174</v>
      </c>
      <c r="V20" s="340">
        <f>IF(OR($A20="",$E20="",$G20=0),"",1+COUNTIFS('Timesheet Raw'!$B$4:$B$8000,$A20,'Timesheet Raw'!$M$4:$M$8000,$E20,'Timesheet Raw'!$BX$4:$BX$8000,"&gt;="&amp;'Work Calendar'!$B$32))</f>
        <v>2</v>
      </c>
      <c r="W20" s="376"/>
      <c r="X20" s="376"/>
      <c r="Y20" s="376"/>
      <c r="Z20" s="376"/>
      <c r="AA20" s="376"/>
      <c r="AB20" s="376"/>
      <c r="AC20" s="396" t="str">
        <f t="shared" si="5"/>
        <v/>
      </c>
      <c r="AD20" s="396" t="str">
        <f t="shared" si="6"/>
        <v/>
      </c>
      <c r="AE20" s="340" t="str">
        <f>IF(OR($Y20="",$Z20=""),"",MAX(0,NETWORKDAYS.INTL($Y20,$Z20,'Work Calendar'!$B$31)-2))</f>
        <v/>
      </c>
      <c r="AF20" s="344">
        <f t="shared" si="7"/>
        <v>11</v>
      </c>
      <c r="AG20" t="str">
        <f t="shared" si="8"/>
        <v>no manual dates</v>
      </c>
      <c r="AH20" s="384">
        <f>IF(OR($A20="",$E20=""),"",IF(COUNTIFS($A$5:$A20,$A20,$E$5:$E20,$E20)=1,1,0))</f>
        <v>0</v>
      </c>
    </row>
    <row r="21" spans="1:34" x14ac:dyDescent="0.3">
      <c r="A21" t="str">
        <f>IF(Deliverables!$A21="","",TRIM(Deliverables!$A21))</f>
        <v>N25185-0100D</v>
      </c>
      <c r="B21" t="str">
        <f>IF($A21="","",Deliverables!$C21)</f>
        <v>Final Design - Apapa Berth 6</v>
      </c>
      <c r="C21" t="str">
        <f>IF($A21="","",Deliverables!$D21)</f>
        <v>DD</v>
      </c>
      <c r="D21" t="str">
        <f>IF($A21="","",IF(Deliverables!$G21="","not started",Deliverables!$G21))</f>
        <v>not started</v>
      </c>
      <c r="E21" s="387"/>
      <c r="F21" s="384">
        <f>IF($A21="","",IF(ISNUMBER(SEARCH("Proposal",$A21)),1,IF(N(Deliverables!$H21)&gt;0,1,0)))</f>
        <v>0</v>
      </c>
      <c r="G21" s="385">
        <f>IF($A21="","",IF(ISNUMBER(SEARCH("Proposal",$A21)),IFERROR(VLOOKUP(TRIM($A21),Proposals!$N$13:$Q$18,4,FALSE),0),IF($E21="","",SUMIFS('Timesheet Raw'!$P$4:$P$8000,'Timesheet Raw'!$B$4:$B$8000,$A21,'Timesheet Raw'!$M$4:$M$8000,$E21))))</f>
        <v>1774.75</v>
      </c>
      <c r="H21" s="384">
        <f t="shared" si="0"/>
        <v>9</v>
      </c>
      <c r="I21" s="385">
        <f t="shared" si="1"/>
        <v>0</v>
      </c>
      <c r="J21" s="341">
        <f>IF($I21="","",$I21/'Profit Plan'!$B$5)</f>
        <v>0</v>
      </c>
      <c r="K21" s="371">
        <f>IF($A21="","",IF(ISNUMBER(SEARCH("Proposal",$A21)),IFERROR(VLOOKUP(TRIM($A21),Proposals!$N$13:$S$18,5,FALSE),""),IF($E21="","",IFERROR(_xlfn.MINIFS('Timesheet Raw'!$L$4:$L$8000,'Timesheet Raw'!$B$4:$B$8000,$A21,'Timesheet Raw'!$M$4:$M$8000,$E21),""))))</f>
        <v>46105</v>
      </c>
      <c r="L21" s="371">
        <f>IF($A21="","",IF(ISNUMBER(SEARCH("Proposal",$A21)),IFERROR(VLOOKUP(TRIM($A21),Proposals!$N$13:$S$18,6,FALSE),""),IF($E21="","",IFERROR(_xlfn.MAXIFS('Timesheet Raw'!$L$4:$L$8000,'Timesheet Raw'!$B$4:$B$8000,$A21,'Timesheet Raw'!$M$4:$M$8000,$E21),""))))</f>
        <v>46250</v>
      </c>
      <c r="M21" s="340">
        <f t="shared" si="2"/>
        <v>146</v>
      </c>
      <c r="N21" s="340">
        <f>IF($K21="","",IF(COUNT('Work Calendar'!$E$6:$E$200)=0,NETWORKDAYS.INTL($K21,$L21,'Work Calendar'!$B$31),NETWORKDAYS.INTL($K21,$L21,'Work Calendar'!$B$31,'Work Calendar'!$E$6:$E$200)))</f>
        <v>104</v>
      </c>
      <c r="O21" s="340">
        <f>IF(OR($A21="",$E21=""),"",SUMIFS('Timesheet Raw'!$BV$4:$BV$8000,'Timesheet Raw'!$B$4:$B$8000,$A21,'Timesheet Raw'!$M$4:$M$8000,$E21))</f>
        <v>93</v>
      </c>
      <c r="P21" s="340">
        <f t="shared" si="3"/>
        <v>11</v>
      </c>
      <c r="Q21" s="386">
        <f t="shared" si="4"/>
        <v>0.10576923076923077</v>
      </c>
      <c r="R21" t="str">
        <f>IF($A21="","",IF($E21="","set TS Phase",IF($G21=0,"Never charged",IF($L21&lt;'Work Calendar'!$B$17-21,"Dormant since "&amp;TEXT($L21,"yyyy-mm-dd"),"Active"))))</f>
        <v>Active</v>
      </c>
      <c r="S21" s="340">
        <f>IF(OR($A21="",$E21=""),"",IFERROR(_xlfn.MAXIFS('Timesheet Raw'!$BX$4:$BX$8000,'Timesheet Raw'!$B$4:$B$8000,$A21,'Timesheet Raw'!$M$4:$M$8000,$E21),""))</f>
        <v>4</v>
      </c>
      <c r="T21" s="371" cm="1">
        <f t="array" ref="T21">IF(OR($S21="",$S21=0),"",IFERROR(INDEX('Timesheet Raw'!$BW$4:$BW$8000,MATCH(1,INDEX(('Timesheet Raw'!$B$4:$B$8000=$A21)*('Timesheet Raw'!$M$4:$M$8000=$E21)*('Timesheet Raw'!$BX$4:$BX$8000=$S21),0),0)),""))</f>
        <v>46167</v>
      </c>
      <c r="U21" s="371" cm="1">
        <f t="array" ref="U21">IF(OR($S21="",$S21=0),"",IFERROR(INDEX('Timesheet Raw'!$L$4:$L$8000,MATCH(1,INDEX(('Timesheet Raw'!$B$4:$B$8000=$A21)*('Timesheet Raw'!$M$4:$M$8000=$E21)*('Timesheet Raw'!$BX$4:$BX$8000=$S21),0),0)),""))</f>
        <v>46174</v>
      </c>
      <c r="V21" s="340">
        <f>IF(OR($A21="",$E21="",$G21=0),"",1+COUNTIFS('Timesheet Raw'!$B$4:$B$8000,$A21,'Timesheet Raw'!$M$4:$M$8000,$E21,'Timesheet Raw'!$BX$4:$BX$8000,"&gt;="&amp;'Work Calendar'!$B$32))</f>
        <v>2</v>
      </c>
      <c r="W21" s="376"/>
      <c r="X21" s="376"/>
      <c r="Y21" s="376"/>
      <c r="Z21" s="376"/>
      <c r="AA21" s="376"/>
      <c r="AB21" s="376"/>
      <c r="AC21" s="396" t="str">
        <f t="shared" si="5"/>
        <v/>
      </c>
      <c r="AD21" s="396" t="str">
        <f t="shared" si="6"/>
        <v/>
      </c>
      <c r="AE21" s="340" t="str">
        <f>IF(OR($Y21="",$Z21=""),"",MAX(0,NETWORKDAYS.INTL($Y21,$Z21,'Work Calendar'!$B$31)-2))</f>
        <v/>
      </c>
      <c r="AF21" s="344">
        <f t="shared" si="7"/>
        <v>11</v>
      </c>
      <c r="AG21" t="str">
        <f t="shared" si="8"/>
        <v>no manual dates</v>
      </c>
      <c r="AH21" s="384">
        <f>IF(OR($A21="",$E21=""),"",IF(COUNTIFS($A$5:$A21,$A21,$E$5:$E21,$E21)=1,1,0))</f>
        <v>0</v>
      </c>
    </row>
    <row r="22" spans="1:34" x14ac:dyDescent="0.3">
      <c r="A22" t="str">
        <f>IF(Deliverables!$A22="","",TRIM(Deliverables!$A22))</f>
        <v>N25185-0100D</v>
      </c>
      <c r="B22" t="str">
        <f>IF($A22="","",Deliverables!$C22)</f>
        <v>Final Design - Apapa Berth 7</v>
      </c>
      <c r="C22" t="str">
        <f>IF($A22="","",Deliverables!$D22)</f>
        <v>DD</v>
      </c>
      <c r="D22" t="str">
        <f>IF($A22="","",IF(Deliverables!$G22="","not started",Deliverables!$G22))</f>
        <v>not started</v>
      </c>
      <c r="E22" s="387"/>
      <c r="F22" s="384">
        <f>IF($A22="","",IF(ISNUMBER(SEARCH("Proposal",$A22)),1,IF(N(Deliverables!$H22)&gt;0,1,0)))</f>
        <v>0</v>
      </c>
      <c r="G22" s="385">
        <f>IF($A22="","",IF(ISNUMBER(SEARCH("Proposal",$A22)),IFERROR(VLOOKUP(TRIM($A22),Proposals!$N$13:$Q$18,4,FALSE),0),IF($E22="","",SUMIFS('Timesheet Raw'!$P$4:$P$8000,'Timesheet Raw'!$B$4:$B$8000,$A22,'Timesheet Raw'!$M$4:$M$8000,$E22))))</f>
        <v>1774.75</v>
      </c>
      <c r="H22" s="384">
        <f t="shared" si="0"/>
        <v>9</v>
      </c>
      <c r="I22" s="385">
        <f t="shared" si="1"/>
        <v>0</v>
      </c>
      <c r="J22" s="341">
        <f>IF($I22="","",$I22/'Profit Plan'!$B$5)</f>
        <v>0</v>
      </c>
      <c r="K22" s="371">
        <f>IF($A22="","",IF(ISNUMBER(SEARCH("Proposal",$A22)),IFERROR(VLOOKUP(TRIM($A22),Proposals!$N$13:$S$18,5,FALSE),""),IF($E22="","",IFERROR(_xlfn.MINIFS('Timesheet Raw'!$L$4:$L$8000,'Timesheet Raw'!$B$4:$B$8000,$A22,'Timesheet Raw'!$M$4:$M$8000,$E22),""))))</f>
        <v>46105</v>
      </c>
      <c r="L22" s="371">
        <f>IF($A22="","",IF(ISNUMBER(SEARCH("Proposal",$A22)),IFERROR(VLOOKUP(TRIM($A22),Proposals!$N$13:$S$18,6,FALSE),""),IF($E22="","",IFERROR(_xlfn.MAXIFS('Timesheet Raw'!$L$4:$L$8000,'Timesheet Raw'!$B$4:$B$8000,$A22,'Timesheet Raw'!$M$4:$M$8000,$E22),""))))</f>
        <v>46250</v>
      </c>
      <c r="M22" s="340">
        <f t="shared" si="2"/>
        <v>146</v>
      </c>
      <c r="N22" s="340">
        <f>IF($K22="","",IF(COUNT('Work Calendar'!$E$6:$E$200)=0,NETWORKDAYS.INTL($K22,$L22,'Work Calendar'!$B$31),NETWORKDAYS.INTL($K22,$L22,'Work Calendar'!$B$31,'Work Calendar'!$E$6:$E$200)))</f>
        <v>104</v>
      </c>
      <c r="O22" s="340">
        <f>IF(OR($A22="",$E22=""),"",SUMIFS('Timesheet Raw'!$BV$4:$BV$8000,'Timesheet Raw'!$B$4:$B$8000,$A22,'Timesheet Raw'!$M$4:$M$8000,$E22))</f>
        <v>93</v>
      </c>
      <c r="P22" s="340">
        <f t="shared" si="3"/>
        <v>11</v>
      </c>
      <c r="Q22" s="386">
        <f t="shared" si="4"/>
        <v>0.10576923076923077</v>
      </c>
      <c r="R22" t="str">
        <f>IF($A22="","",IF($E22="","set TS Phase",IF($G22=0,"Never charged",IF($L22&lt;'Work Calendar'!$B$17-21,"Dormant since "&amp;TEXT($L22,"yyyy-mm-dd"),"Active"))))</f>
        <v>Active</v>
      </c>
      <c r="S22" s="340">
        <f>IF(OR($A22="",$E22=""),"",IFERROR(_xlfn.MAXIFS('Timesheet Raw'!$BX$4:$BX$8000,'Timesheet Raw'!$B$4:$B$8000,$A22,'Timesheet Raw'!$M$4:$M$8000,$E22),""))</f>
        <v>4</v>
      </c>
      <c r="T22" s="371" cm="1">
        <f t="array" ref="T22">IF(OR($S22="",$S22=0),"",IFERROR(INDEX('Timesheet Raw'!$BW$4:$BW$8000,MATCH(1,INDEX(('Timesheet Raw'!$B$4:$B$8000=$A22)*('Timesheet Raw'!$M$4:$M$8000=$E22)*('Timesheet Raw'!$BX$4:$BX$8000=$S22),0),0)),""))</f>
        <v>46167</v>
      </c>
      <c r="U22" s="371" cm="1">
        <f t="array" ref="U22">IF(OR($S22="",$S22=0),"",IFERROR(INDEX('Timesheet Raw'!$L$4:$L$8000,MATCH(1,INDEX(('Timesheet Raw'!$B$4:$B$8000=$A22)*('Timesheet Raw'!$M$4:$M$8000=$E22)*('Timesheet Raw'!$BX$4:$BX$8000=$S22),0),0)),""))</f>
        <v>46174</v>
      </c>
      <c r="V22" s="340">
        <f>IF(OR($A22="",$E22="",$G22=0),"",1+COUNTIFS('Timesheet Raw'!$B$4:$B$8000,$A22,'Timesheet Raw'!$M$4:$M$8000,$E22,'Timesheet Raw'!$BX$4:$BX$8000,"&gt;="&amp;'Work Calendar'!$B$32))</f>
        <v>2</v>
      </c>
      <c r="W22" s="376"/>
      <c r="X22" s="376"/>
      <c r="Y22" s="376"/>
      <c r="Z22" s="376"/>
      <c r="AA22" s="376"/>
      <c r="AB22" s="376"/>
      <c r="AC22" s="396" t="str">
        <f t="shared" si="5"/>
        <v/>
      </c>
      <c r="AD22" s="396" t="str">
        <f t="shared" si="6"/>
        <v/>
      </c>
      <c r="AE22" s="340" t="str">
        <f>IF(OR($Y22="",$Z22=""),"",MAX(0,NETWORKDAYS.INTL($Y22,$Z22,'Work Calendar'!$B$31)-2))</f>
        <v/>
      </c>
      <c r="AF22" s="344">
        <f t="shared" si="7"/>
        <v>11</v>
      </c>
      <c r="AG22" t="str">
        <f t="shared" si="8"/>
        <v>no manual dates</v>
      </c>
      <c r="AH22" s="384">
        <f>IF(OR($A22="",$E22=""),"",IF(COUNTIFS($A$5:$A22,$A22,$E$5:$E22,$E22)=1,1,0))</f>
        <v>0</v>
      </c>
    </row>
    <row r="23" spans="1:34" x14ac:dyDescent="0.3">
      <c r="A23" t="str">
        <f>IF(Deliverables!$A23="","",TRIM(Deliverables!$A23))</f>
        <v>N25185-0100D</v>
      </c>
      <c r="B23" t="str">
        <f>IF($A23="","",Deliverables!$C23)</f>
        <v>Final Design - Apapa Berth 8</v>
      </c>
      <c r="C23" t="str">
        <f>IF($A23="","",Deliverables!$D23)</f>
        <v>DD</v>
      </c>
      <c r="D23" t="str">
        <f>IF($A23="","",IF(Deliverables!$G23="","not started",Deliverables!$G23))</f>
        <v>not started</v>
      </c>
      <c r="E23" s="387"/>
      <c r="F23" s="384">
        <f>IF($A23="","",IF(ISNUMBER(SEARCH("Proposal",$A23)),1,IF(N(Deliverables!$H23)&gt;0,1,0)))</f>
        <v>0</v>
      </c>
      <c r="G23" s="385">
        <f>IF($A23="","",IF(ISNUMBER(SEARCH("Proposal",$A23)),IFERROR(VLOOKUP(TRIM($A23),Proposals!$N$13:$Q$18,4,FALSE),0),IF($E23="","",SUMIFS('Timesheet Raw'!$P$4:$P$8000,'Timesheet Raw'!$B$4:$B$8000,$A23,'Timesheet Raw'!$M$4:$M$8000,$E23))))</f>
        <v>1774.75</v>
      </c>
      <c r="H23" s="384">
        <f t="shared" si="0"/>
        <v>9</v>
      </c>
      <c r="I23" s="385">
        <f t="shared" si="1"/>
        <v>0</v>
      </c>
      <c r="J23" s="341">
        <f>IF($I23="","",$I23/'Profit Plan'!$B$5)</f>
        <v>0</v>
      </c>
      <c r="K23" s="371">
        <f>IF($A23="","",IF(ISNUMBER(SEARCH("Proposal",$A23)),IFERROR(VLOOKUP(TRIM($A23),Proposals!$N$13:$S$18,5,FALSE),""),IF($E23="","",IFERROR(_xlfn.MINIFS('Timesheet Raw'!$L$4:$L$8000,'Timesheet Raw'!$B$4:$B$8000,$A23,'Timesheet Raw'!$M$4:$M$8000,$E23),""))))</f>
        <v>46105</v>
      </c>
      <c r="L23" s="371">
        <f>IF($A23="","",IF(ISNUMBER(SEARCH("Proposal",$A23)),IFERROR(VLOOKUP(TRIM($A23),Proposals!$N$13:$S$18,6,FALSE),""),IF($E23="","",IFERROR(_xlfn.MAXIFS('Timesheet Raw'!$L$4:$L$8000,'Timesheet Raw'!$B$4:$B$8000,$A23,'Timesheet Raw'!$M$4:$M$8000,$E23),""))))</f>
        <v>46250</v>
      </c>
      <c r="M23" s="340">
        <f t="shared" si="2"/>
        <v>146</v>
      </c>
      <c r="N23" s="340">
        <f>IF($K23="","",IF(COUNT('Work Calendar'!$E$6:$E$200)=0,NETWORKDAYS.INTL($K23,$L23,'Work Calendar'!$B$31),NETWORKDAYS.INTL($K23,$L23,'Work Calendar'!$B$31,'Work Calendar'!$E$6:$E$200)))</f>
        <v>104</v>
      </c>
      <c r="O23" s="340">
        <f>IF(OR($A23="",$E23=""),"",SUMIFS('Timesheet Raw'!$BV$4:$BV$8000,'Timesheet Raw'!$B$4:$B$8000,$A23,'Timesheet Raw'!$M$4:$M$8000,$E23))</f>
        <v>93</v>
      </c>
      <c r="P23" s="340">
        <f t="shared" si="3"/>
        <v>11</v>
      </c>
      <c r="Q23" s="386">
        <f t="shared" si="4"/>
        <v>0.10576923076923077</v>
      </c>
      <c r="R23" t="str">
        <f>IF($A23="","",IF($E23="","set TS Phase",IF($G23=0,"Never charged",IF($L23&lt;'Work Calendar'!$B$17-21,"Dormant since "&amp;TEXT($L23,"yyyy-mm-dd"),"Active"))))</f>
        <v>Active</v>
      </c>
      <c r="S23" s="340">
        <f>IF(OR($A23="",$E23=""),"",IFERROR(_xlfn.MAXIFS('Timesheet Raw'!$BX$4:$BX$8000,'Timesheet Raw'!$B$4:$B$8000,$A23,'Timesheet Raw'!$M$4:$M$8000,$E23),""))</f>
        <v>4</v>
      </c>
      <c r="T23" s="371" cm="1">
        <f t="array" ref="T23">IF(OR($S23="",$S23=0),"",IFERROR(INDEX('Timesheet Raw'!$BW$4:$BW$8000,MATCH(1,INDEX(('Timesheet Raw'!$B$4:$B$8000=$A23)*('Timesheet Raw'!$M$4:$M$8000=$E23)*('Timesheet Raw'!$BX$4:$BX$8000=$S23),0),0)),""))</f>
        <v>46167</v>
      </c>
      <c r="U23" s="371" cm="1">
        <f t="array" ref="U23">IF(OR($S23="",$S23=0),"",IFERROR(INDEX('Timesheet Raw'!$L$4:$L$8000,MATCH(1,INDEX(('Timesheet Raw'!$B$4:$B$8000=$A23)*('Timesheet Raw'!$M$4:$M$8000=$E23)*('Timesheet Raw'!$BX$4:$BX$8000=$S23),0),0)),""))</f>
        <v>46174</v>
      </c>
      <c r="V23" s="340">
        <f>IF(OR($A23="",$E23="",$G23=0),"",1+COUNTIFS('Timesheet Raw'!$B$4:$B$8000,$A23,'Timesheet Raw'!$M$4:$M$8000,$E23,'Timesheet Raw'!$BX$4:$BX$8000,"&gt;="&amp;'Work Calendar'!$B$32))</f>
        <v>2</v>
      </c>
      <c r="W23" s="376"/>
      <c r="X23" s="376"/>
      <c r="Y23" s="376"/>
      <c r="Z23" s="376"/>
      <c r="AA23" s="376"/>
      <c r="AB23" s="376"/>
      <c r="AC23" s="396" t="str">
        <f t="shared" si="5"/>
        <v/>
      </c>
      <c r="AD23" s="396" t="str">
        <f t="shared" si="6"/>
        <v/>
      </c>
      <c r="AE23" s="340" t="str">
        <f>IF(OR($Y23="",$Z23=""),"",MAX(0,NETWORKDAYS.INTL($Y23,$Z23,'Work Calendar'!$B$31)-2))</f>
        <v/>
      </c>
      <c r="AF23" s="344">
        <f t="shared" si="7"/>
        <v>11</v>
      </c>
      <c r="AG23" t="str">
        <f t="shared" si="8"/>
        <v>no manual dates</v>
      </c>
      <c r="AH23" s="384">
        <f>IF(OR($A23="",$E23=""),"",IF(COUNTIFS($A$5:$A23,$A23,$E$5:$E23,$E23)=1,1,0))</f>
        <v>0</v>
      </c>
    </row>
    <row r="24" spans="1:34" x14ac:dyDescent="0.3">
      <c r="A24" t="str">
        <f>IF(Deliverables!$A24="","",TRIM(Deliverables!$A24))</f>
        <v>N25185-0100D</v>
      </c>
      <c r="B24" t="str">
        <f>IF($A24="","",Deliverables!$C24)</f>
        <v>Final Design - Apapa Berth 9</v>
      </c>
      <c r="C24" t="str">
        <f>IF($A24="","",Deliverables!$D24)</f>
        <v>DD</v>
      </c>
      <c r="D24" t="str">
        <f>IF($A24="","",IF(Deliverables!$G24="","not started",Deliverables!$G24))</f>
        <v>not started</v>
      </c>
      <c r="E24" s="387"/>
      <c r="F24" s="384">
        <f>IF($A24="","",IF(ISNUMBER(SEARCH("Proposal",$A24)),1,IF(N(Deliverables!$H24)&gt;0,1,0)))</f>
        <v>0</v>
      </c>
      <c r="G24" s="385">
        <f>IF($A24="","",IF(ISNUMBER(SEARCH("Proposal",$A24)),IFERROR(VLOOKUP(TRIM($A24),Proposals!$N$13:$Q$18,4,FALSE),0),IF($E24="","",SUMIFS('Timesheet Raw'!$P$4:$P$8000,'Timesheet Raw'!$B$4:$B$8000,$A24,'Timesheet Raw'!$M$4:$M$8000,$E24))))</f>
        <v>1774.75</v>
      </c>
      <c r="H24" s="384">
        <f t="shared" si="0"/>
        <v>9</v>
      </c>
      <c r="I24" s="385">
        <f t="shared" si="1"/>
        <v>0</v>
      </c>
      <c r="J24" s="341">
        <f>IF($I24="","",$I24/'Profit Plan'!$B$5)</f>
        <v>0</v>
      </c>
      <c r="K24" s="371">
        <f>IF($A24="","",IF(ISNUMBER(SEARCH("Proposal",$A24)),IFERROR(VLOOKUP(TRIM($A24),Proposals!$N$13:$S$18,5,FALSE),""),IF($E24="","",IFERROR(_xlfn.MINIFS('Timesheet Raw'!$L$4:$L$8000,'Timesheet Raw'!$B$4:$B$8000,$A24,'Timesheet Raw'!$M$4:$M$8000,$E24),""))))</f>
        <v>46105</v>
      </c>
      <c r="L24" s="371">
        <f>IF($A24="","",IF(ISNUMBER(SEARCH("Proposal",$A24)),IFERROR(VLOOKUP(TRIM($A24),Proposals!$N$13:$S$18,6,FALSE),""),IF($E24="","",IFERROR(_xlfn.MAXIFS('Timesheet Raw'!$L$4:$L$8000,'Timesheet Raw'!$B$4:$B$8000,$A24,'Timesheet Raw'!$M$4:$M$8000,$E24),""))))</f>
        <v>46250</v>
      </c>
      <c r="M24" s="340">
        <f t="shared" si="2"/>
        <v>146</v>
      </c>
      <c r="N24" s="340">
        <f>IF($K24="","",IF(COUNT('Work Calendar'!$E$6:$E$200)=0,NETWORKDAYS.INTL($K24,$L24,'Work Calendar'!$B$31),NETWORKDAYS.INTL($K24,$L24,'Work Calendar'!$B$31,'Work Calendar'!$E$6:$E$200)))</f>
        <v>104</v>
      </c>
      <c r="O24" s="340">
        <f>IF(OR($A24="",$E24=""),"",SUMIFS('Timesheet Raw'!$BV$4:$BV$8000,'Timesheet Raw'!$B$4:$B$8000,$A24,'Timesheet Raw'!$M$4:$M$8000,$E24))</f>
        <v>93</v>
      </c>
      <c r="P24" s="340">
        <f t="shared" si="3"/>
        <v>11</v>
      </c>
      <c r="Q24" s="386">
        <f t="shared" si="4"/>
        <v>0.10576923076923077</v>
      </c>
      <c r="R24" t="str">
        <f>IF($A24="","",IF($E24="","set TS Phase",IF($G24=0,"Never charged",IF($L24&lt;'Work Calendar'!$B$17-21,"Dormant since "&amp;TEXT($L24,"yyyy-mm-dd"),"Active"))))</f>
        <v>Active</v>
      </c>
      <c r="S24" s="340">
        <f>IF(OR($A24="",$E24=""),"",IFERROR(_xlfn.MAXIFS('Timesheet Raw'!$BX$4:$BX$8000,'Timesheet Raw'!$B$4:$B$8000,$A24,'Timesheet Raw'!$M$4:$M$8000,$E24),""))</f>
        <v>4</v>
      </c>
      <c r="T24" s="371" cm="1">
        <f t="array" ref="T24">IF(OR($S24="",$S24=0),"",IFERROR(INDEX('Timesheet Raw'!$BW$4:$BW$8000,MATCH(1,INDEX(('Timesheet Raw'!$B$4:$B$8000=$A24)*('Timesheet Raw'!$M$4:$M$8000=$E24)*('Timesheet Raw'!$BX$4:$BX$8000=$S24),0),0)),""))</f>
        <v>46167</v>
      </c>
      <c r="U24" s="371" cm="1">
        <f t="array" ref="U24">IF(OR($S24="",$S24=0),"",IFERROR(INDEX('Timesheet Raw'!$L$4:$L$8000,MATCH(1,INDEX(('Timesheet Raw'!$B$4:$B$8000=$A24)*('Timesheet Raw'!$M$4:$M$8000=$E24)*('Timesheet Raw'!$BX$4:$BX$8000=$S24),0),0)),""))</f>
        <v>46174</v>
      </c>
      <c r="V24" s="340">
        <f>IF(OR($A24="",$E24="",$G24=0),"",1+COUNTIFS('Timesheet Raw'!$B$4:$B$8000,$A24,'Timesheet Raw'!$M$4:$M$8000,$E24,'Timesheet Raw'!$BX$4:$BX$8000,"&gt;="&amp;'Work Calendar'!$B$32))</f>
        <v>2</v>
      </c>
      <c r="W24" s="376"/>
      <c r="X24" s="376"/>
      <c r="Y24" s="376"/>
      <c r="Z24" s="376"/>
      <c r="AA24" s="376"/>
      <c r="AB24" s="376"/>
      <c r="AC24" s="396" t="str">
        <f t="shared" si="5"/>
        <v/>
      </c>
      <c r="AD24" s="396" t="str">
        <f t="shared" si="6"/>
        <v/>
      </c>
      <c r="AE24" s="340" t="str">
        <f>IF(OR($Y24="",$Z24=""),"",MAX(0,NETWORKDAYS.INTL($Y24,$Z24,'Work Calendar'!$B$31)-2))</f>
        <v/>
      </c>
      <c r="AF24" s="344">
        <f t="shared" si="7"/>
        <v>11</v>
      </c>
      <c r="AG24" t="str">
        <f t="shared" si="8"/>
        <v>no manual dates</v>
      </c>
      <c r="AH24" s="384">
        <f>IF(OR($A24="",$E24=""),"",IF(COUNTIFS($A$5:$A24,$A24,$E$5:$E24,$E24)=1,1,0))</f>
        <v>0</v>
      </c>
    </row>
    <row r="25" spans="1:34" x14ac:dyDescent="0.3">
      <c r="A25" t="str">
        <f>IF(Deliverables!$A25="","",TRIM(Deliverables!$A25))</f>
        <v>N25185-0100D</v>
      </c>
      <c r="B25" t="str">
        <f>IF($A25="","",Deliverables!$C25)</f>
        <v>Final Design - Apapa Berth 10</v>
      </c>
      <c r="C25" t="str">
        <f>IF($A25="","",Deliverables!$D25)</f>
        <v>DD</v>
      </c>
      <c r="D25" t="str">
        <f>IF($A25="","",IF(Deliverables!$G25="","not started",Deliverables!$G25))</f>
        <v>not started</v>
      </c>
      <c r="E25" s="387"/>
      <c r="F25" s="384">
        <f>IF($A25="","",IF(ISNUMBER(SEARCH("Proposal",$A25)),1,IF(N(Deliverables!$H25)&gt;0,1,0)))</f>
        <v>0</v>
      </c>
      <c r="G25" s="385">
        <f>IF($A25="","",IF(ISNUMBER(SEARCH("Proposal",$A25)),IFERROR(VLOOKUP(TRIM($A25),Proposals!$N$13:$Q$18,4,FALSE),0),IF($E25="","",SUMIFS('Timesheet Raw'!$P$4:$P$8000,'Timesheet Raw'!$B$4:$B$8000,$A25,'Timesheet Raw'!$M$4:$M$8000,$E25))))</f>
        <v>1774.75</v>
      </c>
      <c r="H25" s="384">
        <f t="shared" si="0"/>
        <v>9</v>
      </c>
      <c r="I25" s="385">
        <f t="shared" si="1"/>
        <v>0</v>
      </c>
      <c r="J25" s="341">
        <f>IF($I25="","",$I25/'Profit Plan'!$B$5)</f>
        <v>0</v>
      </c>
      <c r="K25" s="371">
        <f>IF($A25="","",IF(ISNUMBER(SEARCH("Proposal",$A25)),IFERROR(VLOOKUP(TRIM($A25),Proposals!$N$13:$S$18,5,FALSE),""),IF($E25="","",IFERROR(_xlfn.MINIFS('Timesheet Raw'!$L$4:$L$8000,'Timesheet Raw'!$B$4:$B$8000,$A25,'Timesheet Raw'!$M$4:$M$8000,$E25),""))))</f>
        <v>46105</v>
      </c>
      <c r="L25" s="371">
        <f>IF($A25="","",IF(ISNUMBER(SEARCH("Proposal",$A25)),IFERROR(VLOOKUP(TRIM($A25),Proposals!$N$13:$S$18,6,FALSE),""),IF($E25="","",IFERROR(_xlfn.MAXIFS('Timesheet Raw'!$L$4:$L$8000,'Timesheet Raw'!$B$4:$B$8000,$A25,'Timesheet Raw'!$M$4:$M$8000,$E25),""))))</f>
        <v>46250</v>
      </c>
      <c r="M25" s="340">
        <f t="shared" si="2"/>
        <v>146</v>
      </c>
      <c r="N25" s="340">
        <f>IF($K25="","",IF(COUNT('Work Calendar'!$E$6:$E$200)=0,NETWORKDAYS.INTL($K25,$L25,'Work Calendar'!$B$31),NETWORKDAYS.INTL($K25,$L25,'Work Calendar'!$B$31,'Work Calendar'!$E$6:$E$200)))</f>
        <v>104</v>
      </c>
      <c r="O25" s="340">
        <f>IF(OR($A25="",$E25=""),"",SUMIFS('Timesheet Raw'!$BV$4:$BV$8000,'Timesheet Raw'!$B$4:$B$8000,$A25,'Timesheet Raw'!$M$4:$M$8000,$E25))</f>
        <v>93</v>
      </c>
      <c r="P25" s="340">
        <f t="shared" si="3"/>
        <v>11</v>
      </c>
      <c r="Q25" s="386">
        <f t="shared" si="4"/>
        <v>0.10576923076923077</v>
      </c>
      <c r="R25" t="str">
        <f>IF($A25="","",IF($E25="","set TS Phase",IF($G25=0,"Never charged",IF($L25&lt;'Work Calendar'!$B$17-21,"Dormant since "&amp;TEXT($L25,"yyyy-mm-dd"),"Active"))))</f>
        <v>Active</v>
      </c>
      <c r="S25" s="340">
        <f>IF(OR($A25="",$E25=""),"",IFERROR(_xlfn.MAXIFS('Timesheet Raw'!$BX$4:$BX$8000,'Timesheet Raw'!$B$4:$B$8000,$A25,'Timesheet Raw'!$M$4:$M$8000,$E25),""))</f>
        <v>4</v>
      </c>
      <c r="T25" s="371" cm="1">
        <f t="array" ref="T25">IF(OR($S25="",$S25=0),"",IFERROR(INDEX('Timesheet Raw'!$BW$4:$BW$8000,MATCH(1,INDEX(('Timesheet Raw'!$B$4:$B$8000=$A25)*('Timesheet Raw'!$M$4:$M$8000=$E25)*('Timesheet Raw'!$BX$4:$BX$8000=$S25),0),0)),""))</f>
        <v>46167</v>
      </c>
      <c r="U25" s="371" cm="1">
        <f t="array" ref="U25">IF(OR($S25="",$S25=0),"",IFERROR(INDEX('Timesheet Raw'!$L$4:$L$8000,MATCH(1,INDEX(('Timesheet Raw'!$B$4:$B$8000=$A25)*('Timesheet Raw'!$M$4:$M$8000=$E25)*('Timesheet Raw'!$BX$4:$BX$8000=$S25),0),0)),""))</f>
        <v>46174</v>
      </c>
      <c r="V25" s="340">
        <f>IF(OR($A25="",$E25="",$G25=0),"",1+COUNTIFS('Timesheet Raw'!$B$4:$B$8000,$A25,'Timesheet Raw'!$M$4:$M$8000,$E25,'Timesheet Raw'!$BX$4:$BX$8000,"&gt;="&amp;'Work Calendar'!$B$32))</f>
        <v>2</v>
      </c>
      <c r="W25" s="376"/>
      <c r="X25" s="376"/>
      <c r="Y25" s="376"/>
      <c r="Z25" s="376"/>
      <c r="AA25" s="376"/>
      <c r="AB25" s="376"/>
      <c r="AC25" s="396" t="str">
        <f t="shared" si="5"/>
        <v/>
      </c>
      <c r="AD25" s="396" t="str">
        <f t="shared" si="6"/>
        <v/>
      </c>
      <c r="AE25" s="340" t="str">
        <f>IF(OR($Y25="",$Z25=""),"",MAX(0,NETWORKDAYS.INTL($Y25,$Z25,'Work Calendar'!$B$31)-2))</f>
        <v/>
      </c>
      <c r="AF25" s="344">
        <f t="shared" si="7"/>
        <v>11</v>
      </c>
      <c r="AG25" t="str">
        <f t="shared" si="8"/>
        <v>no manual dates</v>
      </c>
      <c r="AH25" s="384">
        <f>IF(OR($A25="",$E25=""),"",IF(COUNTIFS($A$5:$A25,$A25,$E$5:$E25,$E25)=1,1,0))</f>
        <v>0</v>
      </c>
    </row>
    <row r="26" spans="1:34" x14ac:dyDescent="0.3">
      <c r="A26" t="str">
        <f>IF(Deliverables!$A26="","",TRIM(Deliverables!$A26))</f>
        <v>N25185-0100D</v>
      </c>
      <c r="B26" t="str">
        <f>IF($A26="","",Deliverables!$C26)</f>
        <v>Final Design - Apapa Berth 11</v>
      </c>
      <c r="C26" t="str">
        <f>IF($A26="","",Deliverables!$D26)</f>
        <v>DD</v>
      </c>
      <c r="D26" t="str">
        <f>IF($A26="","",IF(Deliverables!$G26="","not started",Deliverables!$G26))</f>
        <v>not started</v>
      </c>
      <c r="E26" s="387"/>
      <c r="F26" s="384">
        <f>IF($A26="","",IF(ISNUMBER(SEARCH("Proposal",$A26)),1,IF(N(Deliverables!$H26)&gt;0,1,0)))</f>
        <v>0</v>
      </c>
      <c r="G26" s="385">
        <f>IF($A26="","",IF(ISNUMBER(SEARCH("Proposal",$A26)),IFERROR(VLOOKUP(TRIM($A26),Proposals!$N$13:$Q$18,4,FALSE),0),IF($E26="","",SUMIFS('Timesheet Raw'!$P$4:$P$8000,'Timesheet Raw'!$B$4:$B$8000,$A26,'Timesheet Raw'!$M$4:$M$8000,$E26))))</f>
        <v>1774.75</v>
      </c>
      <c r="H26" s="384">
        <f t="shared" si="0"/>
        <v>9</v>
      </c>
      <c r="I26" s="385">
        <f t="shared" si="1"/>
        <v>0</v>
      </c>
      <c r="J26" s="341">
        <f>IF($I26="","",$I26/'Profit Plan'!$B$5)</f>
        <v>0</v>
      </c>
      <c r="K26" s="371">
        <f>IF($A26="","",IF(ISNUMBER(SEARCH("Proposal",$A26)),IFERROR(VLOOKUP(TRIM($A26),Proposals!$N$13:$S$18,5,FALSE),""),IF($E26="","",IFERROR(_xlfn.MINIFS('Timesheet Raw'!$L$4:$L$8000,'Timesheet Raw'!$B$4:$B$8000,$A26,'Timesheet Raw'!$M$4:$M$8000,$E26),""))))</f>
        <v>46105</v>
      </c>
      <c r="L26" s="371">
        <f>IF($A26="","",IF(ISNUMBER(SEARCH("Proposal",$A26)),IFERROR(VLOOKUP(TRIM($A26),Proposals!$N$13:$S$18,6,FALSE),""),IF($E26="","",IFERROR(_xlfn.MAXIFS('Timesheet Raw'!$L$4:$L$8000,'Timesheet Raw'!$B$4:$B$8000,$A26,'Timesheet Raw'!$M$4:$M$8000,$E26),""))))</f>
        <v>46250</v>
      </c>
      <c r="M26" s="340">
        <f t="shared" si="2"/>
        <v>146</v>
      </c>
      <c r="N26" s="340">
        <f>IF($K26="","",IF(COUNT('Work Calendar'!$E$6:$E$200)=0,NETWORKDAYS.INTL($K26,$L26,'Work Calendar'!$B$31),NETWORKDAYS.INTL($K26,$L26,'Work Calendar'!$B$31,'Work Calendar'!$E$6:$E$200)))</f>
        <v>104</v>
      </c>
      <c r="O26" s="340">
        <f>IF(OR($A26="",$E26=""),"",SUMIFS('Timesheet Raw'!$BV$4:$BV$8000,'Timesheet Raw'!$B$4:$B$8000,$A26,'Timesheet Raw'!$M$4:$M$8000,$E26))</f>
        <v>93</v>
      </c>
      <c r="P26" s="340">
        <f t="shared" si="3"/>
        <v>11</v>
      </c>
      <c r="Q26" s="386">
        <f t="shared" si="4"/>
        <v>0.10576923076923077</v>
      </c>
      <c r="R26" t="str">
        <f>IF($A26="","",IF($E26="","set TS Phase",IF($G26=0,"Never charged",IF($L26&lt;'Work Calendar'!$B$17-21,"Dormant since "&amp;TEXT($L26,"yyyy-mm-dd"),"Active"))))</f>
        <v>Active</v>
      </c>
      <c r="S26" s="340">
        <f>IF(OR($A26="",$E26=""),"",IFERROR(_xlfn.MAXIFS('Timesheet Raw'!$BX$4:$BX$8000,'Timesheet Raw'!$B$4:$B$8000,$A26,'Timesheet Raw'!$M$4:$M$8000,$E26),""))</f>
        <v>4</v>
      </c>
      <c r="T26" s="371" cm="1">
        <f t="array" ref="T26">IF(OR($S26="",$S26=0),"",IFERROR(INDEX('Timesheet Raw'!$BW$4:$BW$8000,MATCH(1,INDEX(('Timesheet Raw'!$B$4:$B$8000=$A26)*('Timesheet Raw'!$M$4:$M$8000=$E26)*('Timesheet Raw'!$BX$4:$BX$8000=$S26),0),0)),""))</f>
        <v>46167</v>
      </c>
      <c r="U26" s="371" cm="1">
        <f t="array" ref="U26">IF(OR($S26="",$S26=0),"",IFERROR(INDEX('Timesheet Raw'!$L$4:$L$8000,MATCH(1,INDEX(('Timesheet Raw'!$B$4:$B$8000=$A26)*('Timesheet Raw'!$M$4:$M$8000=$E26)*('Timesheet Raw'!$BX$4:$BX$8000=$S26),0),0)),""))</f>
        <v>46174</v>
      </c>
      <c r="V26" s="340">
        <f>IF(OR($A26="",$E26="",$G26=0),"",1+COUNTIFS('Timesheet Raw'!$B$4:$B$8000,$A26,'Timesheet Raw'!$M$4:$M$8000,$E26,'Timesheet Raw'!$BX$4:$BX$8000,"&gt;="&amp;'Work Calendar'!$B$32))</f>
        <v>2</v>
      </c>
      <c r="W26" s="376"/>
      <c r="X26" s="376"/>
      <c r="Y26" s="376"/>
      <c r="Z26" s="376"/>
      <c r="AA26" s="376"/>
      <c r="AB26" s="376"/>
      <c r="AC26" s="396" t="str">
        <f t="shared" si="5"/>
        <v/>
      </c>
      <c r="AD26" s="396" t="str">
        <f t="shared" si="6"/>
        <v/>
      </c>
      <c r="AE26" s="340" t="str">
        <f>IF(OR($Y26="",$Z26=""),"",MAX(0,NETWORKDAYS.INTL($Y26,$Z26,'Work Calendar'!$B$31)-2))</f>
        <v/>
      </c>
      <c r="AF26" s="344">
        <f t="shared" si="7"/>
        <v>11</v>
      </c>
      <c r="AG26" t="str">
        <f t="shared" si="8"/>
        <v>no manual dates</v>
      </c>
      <c r="AH26" s="384">
        <f>IF(OR($A26="",$E26=""),"",IF(COUNTIFS($A$5:$A26,$A26,$E$5:$E26,$E26)=1,1,0))</f>
        <v>0</v>
      </c>
    </row>
    <row r="27" spans="1:34" x14ac:dyDescent="0.3">
      <c r="A27" t="str">
        <f>IF(Deliverables!$A27="","",TRIM(Deliverables!$A27))</f>
        <v>N25185-0100D</v>
      </c>
      <c r="B27" t="str">
        <f>IF($A27="","",Deliverables!$C27)</f>
        <v>Final Design - Apapa Berth 12</v>
      </c>
      <c r="C27" t="str">
        <f>IF($A27="","",Deliverables!$D27)</f>
        <v>DD</v>
      </c>
      <c r="D27" t="str">
        <f>IF($A27="","",IF(Deliverables!$G27="","not started",Deliverables!$G27))</f>
        <v>Design started</v>
      </c>
      <c r="E27" s="387"/>
      <c r="F27" s="384">
        <f>IF($A27="","",IF(ISNUMBER(SEARCH("Proposal",$A27)),1,IF(N(Deliverables!$H27)&gt;0,1,0)))</f>
        <v>1</v>
      </c>
      <c r="G27" s="385">
        <f>IF($A27="","",IF(ISNUMBER(SEARCH("Proposal",$A27)),IFERROR(VLOOKUP(TRIM($A27),Proposals!$N$13:$Q$18,4,FALSE),0),IF($E27="","",SUMIFS('Timesheet Raw'!$P$4:$P$8000,'Timesheet Raw'!$B$4:$B$8000,$A27,'Timesheet Raw'!$M$4:$M$8000,$E27))))</f>
        <v>1774.75</v>
      </c>
      <c r="H27" s="384">
        <f t="shared" si="0"/>
        <v>9</v>
      </c>
      <c r="I27" s="385">
        <f t="shared" si="1"/>
        <v>197.19444444444446</v>
      </c>
      <c r="J27" s="341">
        <f>IF($I27="","",$I27/'Profit Plan'!$B$5)</f>
        <v>1.0659159159159159</v>
      </c>
      <c r="K27" s="371">
        <f>IF($A27="","",IF(ISNUMBER(SEARCH("Proposal",$A27)),IFERROR(VLOOKUP(TRIM($A27),Proposals!$N$13:$S$18,5,FALSE),""),IF($E27="","",IFERROR(_xlfn.MINIFS('Timesheet Raw'!$L$4:$L$8000,'Timesheet Raw'!$B$4:$B$8000,$A27,'Timesheet Raw'!$M$4:$M$8000,$E27),""))))</f>
        <v>46105</v>
      </c>
      <c r="L27" s="371">
        <f>IF($A27="","",IF(ISNUMBER(SEARCH("Proposal",$A27)),IFERROR(VLOOKUP(TRIM($A27),Proposals!$N$13:$S$18,6,FALSE),""),IF($E27="","",IFERROR(_xlfn.MAXIFS('Timesheet Raw'!$L$4:$L$8000,'Timesheet Raw'!$B$4:$B$8000,$A27,'Timesheet Raw'!$M$4:$M$8000,$E27),""))))</f>
        <v>46250</v>
      </c>
      <c r="M27" s="340">
        <f t="shared" si="2"/>
        <v>146</v>
      </c>
      <c r="N27" s="340">
        <f>IF($K27="","",IF(COUNT('Work Calendar'!$E$6:$E$200)=0,NETWORKDAYS.INTL($K27,$L27,'Work Calendar'!$B$31),NETWORKDAYS.INTL($K27,$L27,'Work Calendar'!$B$31,'Work Calendar'!$E$6:$E$200)))</f>
        <v>104</v>
      </c>
      <c r="O27" s="340">
        <f>IF(OR($A27="",$E27=""),"",SUMIFS('Timesheet Raw'!$BV$4:$BV$8000,'Timesheet Raw'!$B$4:$B$8000,$A27,'Timesheet Raw'!$M$4:$M$8000,$E27))</f>
        <v>93</v>
      </c>
      <c r="P27" s="340">
        <f t="shared" si="3"/>
        <v>11</v>
      </c>
      <c r="Q27" s="386">
        <f t="shared" si="4"/>
        <v>0.10576923076923077</v>
      </c>
      <c r="R27" t="str">
        <f>IF($A27="","",IF($E27="","set TS Phase",IF($G27=0,"Never charged",IF($L27&lt;'Work Calendar'!$B$17-21,"Dormant since "&amp;TEXT($L27,"yyyy-mm-dd"),"Active"))))</f>
        <v>Active</v>
      </c>
      <c r="S27" s="340">
        <f>IF(OR($A27="",$E27=""),"",IFERROR(_xlfn.MAXIFS('Timesheet Raw'!$BX$4:$BX$8000,'Timesheet Raw'!$B$4:$B$8000,$A27,'Timesheet Raw'!$M$4:$M$8000,$E27),""))</f>
        <v>4</v>
      </c>
      <c r="T27" s="371" cm="1">
        <f t="array" ref="T27">IF(OR($S27="",$S27=0),"",IFERROR(INDEX('Timesheet Raw'!$BW$4:$BW$8000,MATCH(1,INDEX(('Timesheet Raw'!$B$4:$B$8000=$A27)*('Timesheet Raw'!$M$4:$M$8000=$E27)*('Timesheet Raw'!$BX$4:$BX$8000=$S27),0),0)),""))</f>
        <v>46167</v>
      </c>
      <c r="U27" s="371" cm="1">
        <f t="array" ref="U27">IF(OR($S27="",$S27=0),"",IFERROR(INDEX('Timesheet Raw'!$L$4:$L$8000,MATCH(1,INDEX(('Timesheet Raw'!$B$4:$B$8000=$A27)*('Timesheet Raw'!$M$4:$M$8000=$E27)*('Timesheet Raw'!$BX$4:$BX$8000=$S27),0),0)),""))</f>
        <v>46174</v>
      </c>
      <c r="V27" s="340">
        <f>IF(OR($A27="",$E27="",$G27=0),"",1+COUNTIFS('Timesheet Raw'!$B$4:$B$8000,$A27,'Timesheet Raw'!$M$4:$M$8000,$E27,'Timesheet Raw'!$BX$4:$BX$8000,"&gt;="&amp;'Work Calendar'!$B$32))</f>
        <v>2</v>
      </c>
      <c r="W27" s="376"/>
      <c r="X27" s="376"/>
      <c r="Y27" s="376"/>
      <c r="Z27" s="376"/>
      <c r="AA27" s="376"/>
      <c r="AB27" s="376"/>
      <c r="AC27" s="396" t="str">
        <f t="shared" si="5"/>
        <v/>
      </c>
      <c r="AD27" s="396" t="str">
        <f t="shared" si="6"/>
        <v/>
      </c>
      <c r="AE27" s="340" t="str">
        <f>IF(OR($Y27="",$Z27=""),"",MAX(0,NETWORKDAYS.INTL($Y27,$Z27,'Work Calendar'!$B$31)-2))</f>
        <v/>
      </c>
      <c r="AF27" s="344">
        <f t="shared" si="7"/>
        <v>11</v>
      </c>
      <c r="AG27" t="str">
        <f t="shared" si="8"/>
        <v>no manual dates</v>
      </c>
      <c r="AH27" s="384">
        <f>IF(OR($A27="",$E27=""),"",IF(COUNTIFS($A$5:$A27,$A27,$E$5:$E27,$E27)=1,1,0))</f>
        <v>0</v>
      </c>
    </row>
    <row r="28" spans="1:34" x14ac:dyDescent="0.3">
      <c r="A28" t="str">
        <f>IF(Deliverables!$A28="","",TRIM(Deliverables!$A28))</f>
        <v>N25185-0100D</v>
      </c>
      <c r="B28" t="str">
        <f>IF($A28="","",Deliverables!$C28)</f>
        <v>Final Design - Apapa Berth 13</v>
      </c>
      <c r="C28" t="str">
        <f>IF($A28="","",Deliverables!$D28)</f>
        <v>DD</v>
      </c>
      <c r="D28" t="str">
        <f>IF($A28="","",IF(Deliverables!$G28="","not started",Deliverables!$G28))</f>
        <v>Design started</v>
      </c>
      <c r="E28" s="387"/>
      <c r="F28" s="384">
        <f>IF($A28="","",IF(ISNUMBER(SEARCH("Proposal",$A28)),1,IF(N(Deliverables!$H28)&gt;0,1,0)))</f>
        <v>1</v>
      </c>
      <c r="G28" s="385">
        <f>IF($A28="","",IF(ISNUMBER(SEARCH("Proposal",$A28)),IFERROR(VLOOKUP(TRIM($A28),Proposals!$N$13:$Q$18,4,FALSE),0),IF($E28="","",SUMIFS('Timesheet Raw'!$P$4:$P$8000,'Timesheet Raw'!$B$4:$B$8000,$A28,'Timesheet Raw'!$M$4:$M$8000,$E28))))</f>
        <v>1774.75</v>
      </c>
      <c r="H28" s="384">
        <f t="shared" si="0"/>
        <v>9</v>
      </c>
      <c r="I28" s="385">
        <f t="shared" si="1"/>
        <v>197.19444444444446</v>
      </c>
      <c r="J28" s="341">
        <f>IF($I28="","",$I28/'Profit Plan'!$B$5)</f>
        <v>1.0659159159159159</v>
      </c>
      <c r="K28" s="371">
        <f>IF($A28="","",IF(ISNUMBER(SEARCH("Proposal",$A28)),IFERROR(VLOOKUP(TRIM($A28),Proposals!$N$13:$S$18,5,FALSE),""),IF($E28="","",IFERROR(_xlfn.MINIFS('Timesheet Raw'!$L$4:$L$8000,'Timesheet Raw'!$B$4:$B$8000,$A28,'Timesheet Raw'!$M$4:$M$8000,$E28),""))))</f>
        <v>46105</v>
      </c>
      <c r="L28" s="371">
        <f>IF($A28="","",IF(ISNUMBER(SEARCH("Proposal",$A28)),IFERROR(VLOOKUP(TRIM($A28),Proposals!$N$13:$S$18,6,FALSE),""),IF($E28="","",IFERROR(_xlfn.MAXIFS('Timesheet Raw'!$L$4:$L$8000,'Timesheet Raw'!$B$4:$B$8000,$A28,'Timesheet Raw'!$M$4:$M$8000,$E28),""))))</f>
        <v>46250</v>
      </c>
      <c r="M28" s="340">
        <f t="shared" si="2"/>
        <v>146</v>
      </c>
      <c r="N28" s="340">
        <f>IF($K28="","",IF(COUNT('Work Calendar'!$E$6:$E$200)=0,NETWORKDAYS.INTL($K28,$L28,'Work Calendar'!$B$31),NETWORKDAYS.INTL($K28,$L28,'Work Calendar'!$B$31,'Work Calendar'!$E$6:$E$200)))</f>
        <v>104</v>
      </c>
      <c r="O28" s="340">
        <f>IF(OR($A28="",$E28=""),"",SUMIFS('Timesheet Raw'!$BV$4:$BV$8000,'Timesheet Raw'!$B$4:$B$8000,$A28,'Timesheet Raw'!$M$4:$M$8000,$E28))</f>
        <v>93</v>
      </c>
      <c r="P28" s="340">
        <f t="shared" si="3"/>
        <v>11</v>
      </c>
      <c r="Q28" s="386">
        <f t="shared" si="4"/>
        <v>0.10576923076923077</v>
      </c>
      <c r="R28" t="str">
        <f>IF($A28="","",IF($E28="","set TS Phase",IF($G28=0,"Never charged",IF($L28&lt;'Work Calendar'!$B$17-21,"Dormant since "&amp;TEXT($L28,"yyyy-mm-dd"),"Active"))))</f>
        <v>Active</v>
      </c>
      <c r="S28" s="340">
        <f>IF(OR($A28="",$E28=""),"",IFERROR(_xlfn.MAXIFS('Timesheet Raw'!$BX$4:$BX$8000,'Timesheet Raw'!$B$4:$B$8000,$A28,'Timesheet Raw'!$M$4:$M$8000,$E28),""))</f>
        <v>4</v>
      </c>
      <c r="T28" s="371" cm="1">
        <f t="array" ref="T28">IF(OR($S28="",$S28=0),"",IFERROR(INDEX('Timesheet Raw'!$BW$4:$BW$8000,MATCH(1,INDEX(('Timesheet Raw'!$B$4:$B$8000=$A28)*('Timesheet Raw'!$M$4:$M$8000=$E28)*('Timesheet Raw'!$BX$4:$BX$8000=$S28),0),0)),""))</f>
        <v>46167</v>
      </c>
      <c r="U28" s="371" cm="1">
        <f t="array" ref="U28">IF(OR($S28="",$S28=0),"",IFERROR(INDEX('Timesheet Raw'!$L$4:$L$8000,MATCH(1,INDEX(('Timesheet Raw'!$B$4:$B$8000=$A28)*('Timesheet Raw'!$M$4:$M$8000=$E28)*('Timesheet Raw'!$BX$4:$BX$8000=$S28),0),0)),""))</f>
        <v>46174</v>
      </c>
      <c r="V28" s="340">
        <f>IF(OR($A28="",$E28="",$G28=0),"",1+COUNTIFS('Timesheet Raw'!$B$4:$B$8000,$A28,'Timesheet Raw'!$M$4:$M$8000,$E28,'Timesheet Raw'!$BX$4:$BX$8000,"&gt;="&amp;'Work Calendar'!$B$32))</f>
        <v>2</v>
      </c>
      <c r="W28" s="376"/>
      <c r="X28" s="376"/>
      <c r="Y28" s="376"/>
      <c r="Z28" s="376"/>
      <c r="AA28" s="376"/>
      <c r="AB28" s="376"/>
      <c r="AC28" s="396" t="str">
        <f t="shared" si="5"/>
        <v/>
      </c>
      <c r="AD28" s="396" t="str">
        <f t="shared" si="6"/>
        <v/>
      </c>
      <c r="AE28" s="340" t="str">
        <f>IF(OR($Y28="",$Z28=""),"",MAX(0,NETWORKDAYS.INTL($Y28,$Z28,'Work Calendar'!$B$31)-2))</f>
        <v/>
      </c>
      <c r="AF28" s="344">
        <f t="shared" si="7"/>
        <v>11</v>
      </c>
      <c r="AG28" t="str">
        <f t="shared" si="8"/>
        <v>no manual dates</v>
      </c>
      <c r="AH28" s="384">
        <f>IF(OR($A28="",$E28=""),"",IF(COUNTIFS($A$5:$A28,$A28,$E$5:$E28,$E28)=1,1,0))</f>
        <v>0</v>
      </c>
    </row>
    <row r="29" spans="1:34" x14ac:dyDescent="0.3">
      <c r="A29" t="str">
        <f>IF(Deliverables!$A29="","",TRIM(Deliverables!$A29))</f>
        <v>N25185-0100D</v>
      </c>
      <c r="B29" t="str">
        <f>IF($A29="","",Deliverables!$C29)</f>
        <v>Final Design - Apapa Berth 14</v>
      </c>
      <c r="C29" t="str">
        <f>IF($A29="","",Deliverables!$D29)</f>
        <v>DD</v>
      </c>
      <c r="D29" t="str">
        <f>IF($A29="","",IF(Deliverables!$G29="","not started",Deliverables!$G29))</f>
        <v>Design started</v>
      </c>
      <c r="E29" s="387"/>
      <c r="F29" s="384">
        <f>IF($A29="","",IF(ISNUMBER(SEARCH("Proposal",$A29)),1,IF(N(Deliverables!$H29)&gt;0,1,0)))</f>
        <v>1</v>
      </c>
      <c r="G29" s="385">
        <f>IF($A29="","",IF(ISNUMBER(SEARCH("Proposal",$A29)),IFERROR(VLOOKUP(TRIM($A29),Proposals!$N$13:$Q$18,4,FALSE),0),IF($E29="","",SUMIFS('Timesheet Raw'!$P$4:$P$8000,'Timesheet Raw'!$B$4:$B$8000,$A29,'Timesheet Raw'!$M$4:$M$8000,$E29))))</f>
        <v>1774.75</v>
      </c>
      <c r="H29" s="384">
        <f t="shared" si="0"/>
        <v>9</v>
      </c>
      <c r="I29" s="385">
        <f t="shared" si="1"/>
        <v>197.19444444444446</v>
      </c>
      <c r="J29" s="341">
        <f>IF($I29="","",$I29/'Profit Plan'!$B$5)</f>
        <v>1.0659159159159159</v>
      </c>
      <c r="K29" s="371">
        <f>IF($A29="","",IF(ISNUMBER(SEARCH("Proposal",$A29)),IFERROR(VLOOKUP(TRIM($A29),Proposals!$N$13:$S$18,5,FALSE),""),IF($E29="","",IFERROR(_xlfn.MINIFS('Timesheet Raw'!$L$4:$L$8000,'Timesheet Raw'!$B$4:$B$8000,$A29,'Timesheet Raw'!$M$4:$M$8000,$E29),""))))</f>
        <v>46105</v>
      </c>
      <c r="L29" s="371">
        <f>IF($A29="","",IF(ISNUMBER(SEARCH("Proposal",$A29)),IFERROR(VLOOKUP(TRIM($A29),Proposals!$N$13:$S$18,6,FALSE),""),IF($E29="","",IFERROR(_xlfn.MAXIFS('Timesheet Raw'!$L$4:$L$8000,'Timesheet Raw'!$B$4:$B$8000,$A29,'Timesheet Raw'!$M$4:$M$8000,$E29),""))))</f>
        <v>46250</v>
      </c>
      <c r="M29" s="340">
        <f t="shared" si="2"/>
        <v>146</v>
      </c>
      <c r="N29" s="340">
        <f>IF($K29="","",IF(COUNT('Work Calendar'!$E$6:$E$200)=0,NETWORKDAYS.INTL($K29,$L29,'Work Calendar'!$B$31),NETWORKDAYS.INTL($K29,$L29,'Work Calendar'!$B$31,'Work Calendar'!$E$6:$E$200)))</f>
        <v>104</v>
      </c>
      <c r="O29" s="340">
        <f>IF(OR($A29="",$E29=""),"",SUMIFS('Timesheet Raw'!$BV$4:$BV$8000,'Timesheet Raw'!$B$4:$B$8000,$A29,'Timesheet Raw'!$M$4:$M$8000,$E29))</f>
        <v>93</v>
      </c>
      <c r="P29" s="340">
        <f t="shared" si="3"/>
        <v>11</v>
      </c>
      <c r="Q29" s="386">
        <f t="shared" si="4"/>
        <v>0.10576923076923077</v>
      </c>
      <c r="R29" t="str">
        <f>IF($A29="","",IF($E29="","set TS Phase",IF($G29=0,"Never charged",IF($L29&lt;'Work Calendar'!$B$17-21,"Dormant since "&amp;TEXT($L29,"yyyy-mm-dd"),"Active"))))</f>
        <v>Active</v>
      </c>
      <c r="S29" s="340">
        <f>IF(OR($A29="",$E29=""),"",IFERROR(_xlfn.MAXIFS('Timesheet Raw'!$BX$4:$BX$8000,'Timesheet Raw'!$B$4:$B$8000,$A29,'Timesheet Raw'!$M$4:$M$8000,$E29),""))</f>
        <v>4</v>
      </c>
      <c r="T29" s="371" cm="1">
        <f t="array" ref="T29">IF(OR($S29="",$S29=0),"",IFERROR(INDEX('Timesheet Raw'!$BW$4:$BW$8000,MATCH(1,INDEX(('Timesheet Raw'!$B$4:$B$8000=$A29)*('Timesheet Raw'!$M$4:$M$8000=$E29)*('Timesheet Raw'!$BX$4:$BX$8000=$S29),0),0)),""))</f>
        <v>46167</v>
      </c>
      <c r="U29" s="371" cm="1">
        <f t="array" ref="U29">IF(OR($S29="",$S29=0),"",IFERROR(INDEX('Timesheet Raw'!$L$4:$L$8000,MATCH(1,INDEX(('Timesheet Raw'!$B$4:$B$8000=$A29)*('Timesheet Raw'!$M$4:$M$8000=$E29)*('Timesheet Raw'!$BX$4:$BX$8000=$S29),0),0)),""))</f>
        <v>46174</v>
      </c>
      <c r="V29" s="340">
        <f>IF(OR($A29="",$E29="",$G29=0),"",1+COUNTIFS('Timesheet Raw'!$B$4:$B$8000,$A29,'Timesheet Raw'!$M$4:$M$8000,$E29,'Timesheet Raw'!$BX$4:$BX$8000,"&gt;="&amp;'Work Calendar'!$B$32))</f>
        <v>2</v>
      </c>
      <c r="W29" s="376"/>
      <c r="X29" s="376"/>
      <c r="Y29" s="376"/>
      <c r="Z29" s="376"/>
      <c r="AA29" s="376"/>
      <c r="AB29" s="376"/>
      <c r="AC29" s="396" t="str">
        <f t="shared" si="5"/>
        <v/>
      </c>
      <c r="AD29" s="396" t="str">
        <f t="shared" si="6"/>
        <v/>
      </c>
      <c r="AE29" s="340" t="str">
        <f>IF(OR($Y29="",$Z29=""),"",MAX(0,NETWORKDAYS.INTL($Y29,$Z29,'Work Calendar'!$B$31)-2))</f>
        <v/>
      </c>
      <c r="AF29" s="344">
        <f t="shared" si="7"/>
        <v>11</v>
      </c>
      <c r="AG29" t="str">
        <f t="shared" si="8"/>
        <v>no manual dates</v>
      </c>
      <c r="AH29" s="384">
        <f>IF(OR($A29="",$E29=""),"",IF(COUNTIFS($A$5:$A29,$A29,$E$5:$E29,$E29)=1,1,0))</f>
        <v>0</v>
      </c>
    </row>
    <row r="30" spans="1:34" x14ac:dyDescent="0.3">
      <c r="A30" t="str">
        <f>IF(Deliverables!$A30="","",TRIM(Deliverables!$A30))</f>
        <v>AN22137-0100D</v>
      </c>
      <c r="B30" t="str">
        <f>IF($A30="","",Deliverables!$C30)</f>
        <v>Schematic Design</v>
      </c>
      <c r="C30" t="str">
        <f>IF($A30="","",Deliverables!$D30)</f>
        <v>CD</v>
      </c>
      <c r="D30" t="str">
        <f>IF($A30="","",IF(Deliverables!$G30="","not started",Deliverables!$G30))</f>
        <v>not started</v>
      </c>
      <c r="E30" s="387"/>
      <c r="F30" s="384">
        <f>IF($A30="","",IF(ISNUMBER(SEARCH("Proposal",$A30)),1,IF(N(Deliverables!$H30)&gt;0,1,0)))</f>
        <v>0</v>
      </c>
      <c r="G30" s="385">
        <f>IF($A30="","",IF(ISNUMBER(SEARCH("Proposal",$A30)),IFERROR(VLOOKUP(TRIM($A30),Proposals!$N$13:$Q$18,4,FALSE),0),IF($E30="","",SUMIFS('Timesheet Raw'!$P$4:$P$8000,'Timesheet Raw'!$B$4:$B$8000,$A30,'Timesheet Raw'!$M$4:$M$8000,$E30))))</f>
        <v>259.25</v>
      </c>
      <c r="H30" s="384">
        <f t="shared" si="0"/>
        <v>1</v>
      </c>
      <c r="I30" s="385">
        <f t="shared" si="1"/>
        <v>0</v>
      </c>
      <c r="J30" s="341">
        <f>IF($I30="","",$I30/'Profit Plan'!$B$5)</f>
        <v>0</v>
      </c>
      <c r="K30" s="371">
        <f>IF($A30="","",IF(ISNUMBER(SEARCH("Proposal",$A30)),IFERROR(VLOOKUP(TRIM($A30),Proposals!$N$13:$S$18,5,FALSE),""),IF($E30="","",IFERROR(_xlfn.MINIFS('Timesheet Raw'!$L$4:$L$8000,'Timesheet Raw'!$B$4:$B$8000,$A30,'Timesheet Raw'!$M$4:$M$8000,$E30),""))))</f>
        <v>45412</v>
      </c>
      <c r="L30" s="371">
        <f>IF($A30="","",IF(ISNUMBER(SEARCH("Proposal",$A30)),IFERROR(VLOOKUP(TRIM($A30),Proposals!$N$13:$S$18,6,FALSE),""),IF($E30="","",IFERROR(_xlfn.MAXIFS('Timesheet Raw'!$L$4:$L$8000,'Timesheet Raw'!$B$4:$B$8000,$A30,'Timesheet Raw'!$M$4:$M$8000,$E30),""))))</f>
        <v>45533</v>
      </c>
      <c r="M30" s="340">
        <f t="shared" si="2"/>
        <v>122</v>
      </c>
      <c r="N30" s="340">
        <f>IF($K30="","",IF(COUNT('Work Calendar'!$E$6:$E$200)=0,NETWORKDAYS.INTL($K30,$L30,'Work Calendar'!$B$31),NETWORKDAYS.INTL($K30,$L30,'Work Calendar'!$B$31,'Work Calendar'!$E$6:$E$200)))</f>
        <v>88</v>
      </c>
      <c r="O30" s="340">
        <f>IF(OR($A30="",$E30=""),"",SUMIFS('Timesheet Raw'!$BV$4:$BV$8000,'Timesheet Raw'!$B$4:$B$8000,$A30,'Timesheet Raw'!$M$4:$M$8000,$E30))</f>
        <v>26</v>
      </c>
      <c r="P30" s="340">
        <f t="shared" si="3"/>
        <v>62</v>
      </c>
      <c r="Q30" s="386">
        <f t="shared" si="4"/>
        <v>0.70454545454545459</v>
      </c>
      <c r="R30" t="str">
        <f>IF($A30="","",IF($E30="","set TS Phase",IF($G30=0,"Never charged",IF($L30&lt;'Work Calendar'!$B$17-21,"Dormant since "&amp;TEXT($L30,"yyyy-mm-dd"),"Active"))))</f>
        <v>Dormant since 2024-08-29</v>
      </c>
      <c r="S30" s="340">
        <f>IF(OR($A30="",$E30=""),"",IFERROR(_xlfn.MAXIFS('Timesheet Raw'!$BX$4:$BX$8000,'Timesheet Raw'!$B$4:$B$8000,$A30,'Timesheet Raw'!$M$4:$M$8000,$E30),""))</f>
        <v>49</v>
      </c>
      <c r="T30" s="371" cm="1">
        <f t="array" ref="T30">IF(OR($S30="",$S30=0),"",IFERROR(INDEX('Timesheet Raw'!$BW$4:$BW$8000,MATCH(1,INDEX(('Timesheet Raw'!$B$4:$B$8000=$A30)*('Timesheet Raw'!$M$4:$M$8000=$E30)*('Timesheet Raw'!$BX$4:$BX$8000=$S30),0),0)),""))</f>
        <v>45434</v>
      </c>
      <c r="U30" s="371" cm="1">
        <f t="array" ref="U30">IF(OR($S30="",$S30=0),"",IFERROR(INDEX('Timesheet Raw'!$L$4:$L$8000,MATCH(1,INDEX(('Timesheet Raw'!$B$4:$B$8000=$A30)*('Timesheet Raw'!$M$4:$M$8000=$E30)*('Timesheet Raw'!$BX$4:$BX$8000=$S30),0),0)),""))</f>
        <v>45504</v>
      </c>
      <c r="V30" s="340">
        <f>IF(OR($A30="",$E30="",$G30=0),"",1+COUNTIFS('Timesheet Raw'!$B$4:$B$8000,$A30,'Timesheet Raw'!$M$4:$M$8000,$E30,'Timesheet Raw'!$BX$4:$BX$8000,"&gt;="&amp;'Work Calendar'!$B$32))</f>
        <v>3</v>
      </c>
      <c r="W30" s="376"/>
      <c r="X30" s="376"/>
      <c r="Y30" s="376"/>
      <c r="Z30" s="376"/>
      <c r="AA30" s="376"/>
      <c r="AB30" s="376"/>
      <c r="AC30" s="396" t="str">
        <f t="shared" si="5"/>
        <v/>
      </c>
      <c r="AD30" s="396" t="str">
        <f t="shared" si="6"/>
        <v/>
      </c>
      <c r="AE30" s="340" t="str">
        <f>IF(OR($Y30="",$Z30=""),"",MAX(0,NETWORKDAYS.INTL($Y30,$Z30,'Work Calendar'!$B$31)-2))</f>
        <v/>
      </c>
      <c r="AF30" s="344">
        <f t="shared" si="7"/>
        <v>62</v>
      </c>
      <c r="AG30" t="str">
        <f t="shared" si="8"/>
        <v>no manual dates</v>
      </c>
      <c r="AH30" s="384">
        <f>IF(OR($A30="",$E30=""),"",IF(COUNTIFS($A$5:$A30,$A30,$E$5:$E30,$E30)=1,1,0))</f>
        <v>1</v>
      </c>
    </row>
    <row r="31" spans="1:34" x14ac:dyDescent="0.3">
      <c r="A31" t="str">
        <f>IF(Deliverables!$A31="","",TRIM(Deliverables!$A31))</f>
        <v>D26058-0100D</v>
      </c>
      <c r="B31" t="str">
        <f>IF($A31="","",Deliverables!$C31)</f>
        <v>Concept Design</v>
      </c>
      <c r="C31" t="str">
        <f>IF($A31="","",Deliverables!$D31)</f>
        <v>CD</v>
      </c>
      <c r="D31" t="str">
        <f>IF($A31="","",IF(Deliverables!$G31="","not started",Deliverables!$G31))</f>
        <v>not started</v>
      </c>
      <c r="E31" s="387"/>
      <c r="F31" s="384">
        <f>IF($A31="","",IF(ISNUMBER(SEARCH("Proposal",$A31)),1,IF(N(Deliverables!$H31)&gt;0,1,0)))</f>
        <v>0</v>
      </c>
      <c r="G31" s="385">
        <f>IF($A31="","",IF(ISNUMBER(SEARCH("Proposal",$A31)),IFERROR(VLOOKUP(TRIM($A31),Proposals!$N$13:$Q$18,4,FALSE),0),IF($E31="","",SUMIFS('Timesheet Raw'!$P$4:$P$8000,'Timesheet Raw'!$B$4:$B$8000,$A31,'Timesheet Raw'!$M$4:$M$8000,$E31))))</f>
        <v>0</v>
      </c>
      <c r="H31" s="384">
        <f t="shared" si="0"/>
        <v>1</v>
      </c>
      <c r="I31" s="385">
        <f t="shared" si="1"/>
        <v>0</v>
      </c>
      <c r="J31" s="341">
        <f>IF($I31="","",$I31/'Profit Plan'!$B$5)</f>
        <v>0</v>
      </c>
      <c r="K31" s="371">
        <f>IF($A31="","",IF(ISNUMBER(SEARCH("Proposal",$A31)),IFERROR(VLOOKUP(TRIM($A31),Proposals!$N$13:$S$18,5,FALSE),""),IF($E31="","",IFERROR(_xlfn.MINIFS('Timesheet Raw'!$L$4:$L$8000,'Timesheet Raw'!$B$4:$B$8000,$A31,'Timesheet Raw'!$M$4:$M$8000,$E31),""))))</f>
        <v>0</v>
      </c>
      <c r="L31" s="371">
        <f>IF($A31="","",IF(ISNUMBER(SEARCH("Proposal",$A31)),IFERROR(VLOOKUP(TRIM($A31),Proposals!$N$13:$S$18,6,FALSE),""),IF($E31="","",IFERROR(_xlfn.MAXIFS('Timesheet Raw'!$L$4:$L$8000,'Timesheet Raw'!$B$4:$B$8000,$A31,'Timesheet Raw'!$M$4:$M$8000,$E31),""))))</f>
        <v>0</v>
      </c>
      <c r="M31" s="340">
        <f t="shared" si="2"/>
        <v>1</v>
      </c>
      <c r="N31" s="340">
        <f>IF($K31="","",IF(COUNT('Work Calendar'!$E$6:$E$200)=0,NETWORKDAYS.INTL($K31,$L31,'Work Calendar'!$B$31),NETWORKDAYS.INTL($K31,$L31,'Work Calendar'!$B$31,'Work Calendar'!$E$6:$E$200)))</f>
        <v>0</v>
      </c>
      <c r="O31" s="340">
        <f>IF(OR($A31="",$E31=""),"",SUMIFS('Timesheet Raw'!$BV$4:$BV$8000,'Timesheet Raw'!$B$4:$B$8000,$A31,'Timesheet Raw'!$M$4:$M$8000,$E31))</f>
        <v>0</v>
      </c>
      <c r="P31" s="340">
        <f t="shared" si="3"/>
        <v>0</v>
      </c>
      <c r="Q31" s="386" t="str">
        <f t="shared" si="4"/>
        <v/>
      </c>
      <c r="R31" t="str">
        <f>IF($A31="","",IF($E31="","set TS Phase",IF($G31=0,"Never charged",IF($L31&lt;'Work Calendar'!$B$17-21,"Dormant since "&amp;TEXT($L31,"yyyy-mm-dd"),"Active"))))</f>
        <v>Never charged</v>
      </c>
      <c r="S31" s="340">
        <f>IF(OR($A31="",$E31=""),"",IFERROR(_xlfn.MAXIFS('Timesheet Raw'!$BX$4:$BX$8000,'Timesheet Raw'!$B$4:$B$8000,$A31,'Timesheet Raw'!$M$4:$M$8000,$E31),""))</f>
        <v>0</v>
      </c>
      <c r="T31" s="371" t="str" cm="1">
        <f t="array" ref="T31">IF(OR($S31="",$S31=0),"",IFERROR(INDEX('Timesheet Raw'!$BW$4:$BW$8000,MATCH(1,INDEX(('Timesheet Raw'!$B$4:$B$8000=$A31)*('Timesheet Raw'!$M$4:$M$8000=$E31)*('Timesheet Raw'!$BX$4:$BX$8000=$S31),0),0)),""))</f>
        <v/>
      </c>
      <c r="U31" s="371" t="str" cm="1">
        <f t="array" ref="U31">IF(OR($S31="",$S31=0),"",IFERROR(INDEX('Timesheet Raw'!$L$4:$L$8000,MATCH(1,INDEX(('Timesheet Raw'!$B$4:$B$8000=$A31)*('Timesheet Raw'!$M$4:$M$8000=$E31)*('Timesheet Raw'!$BX$4:$BX$8000=$S31),0),0)),""))</f>
        <v/>
      </c>
      <c r="V31" s="340" t="str">
        <f>IF(OR($A31="",$E31="",$G31=0),"",1+COUNTIFS('Timesheet Raw'!$B$4:$B$8000,$A31,'Timesheet Raw'!$M$4:$M$8000,$E31,'Timesheet Raw'!$BX$4:$BX$8000,"&gt;="&amp;'Work Calendar'!$B$32))</f>
        <v/>
      </c>
      <c r="W31" s="376"/>
      <c r="X31" s="376"/>
      <c r="Y31" s="376"/>
      <c r="Z31" s="376"/>
      <c r="AA31" s="376"/>
      <c r="AB31" s="376"/>
      <c r="AC31" s="396" t="str">
        <f t="shared" si="5"/>
        <v/>
      </c>
      <c r="AD31" s="396" t="str">
        <f t="shared" si="6"/>
        <v/>
      </c>
      <c r="AE31" s="340" t="str">
        <f>IF(OR($Y31="",$Z31=""),"",MAX(0,NETWORKDAYS.INTL($Y31,$Z31,'Work Calendar'!$B$31)-2))</f>
        <v/>
      </c>
      <c r="AF31" s="344">
        <f t="shared" si="7"/>
        <v>0</v>
      </c>
      <c r="AG31" t="str">
        <f t="shared" si="8"/>
        <v>no manual dates</v>
      </c>
      <c r="AH31" s="384">
        <f>IF(OR($A31="",$E31=""),"",IF(COUNTIFS($A$5:$A31,$A31,$E$5:$E31,$E31)=1,1,0))</f>
        <v>1</v>
      </c>
    </row>
    <row r="32" spans="1:34" x14ac:dyDescent="0.3">
      <c r="A32" t="str">
        <f>IF(Deliverables!$A32="","",TRIM(Deliverables!$A32))</f>
        <v>D26058-0100D</v>
      </c>
      <c r="B32" t="str">
        <f>IF($A32="","",Deliverables!$C32)</f>
        <v>Schematic Design</v>
      </c>
      <c r="C32" t="str">
        <f>IF($A32="","",Deliverables!$D32)</f>
        <v>CD</v>
      </c>
      <c r="D32" t="str">
        <f>IF($A32="","",IF(Deliverables!$G32="","not started",Deliverables!$G32))</f>
        <v>not started</v>
      </c>
      <c r="E32" s="387"/>
      <c r="F32" s="384">
        <f>IF($A32="","",IF(ISNUMBER(SEARCH("Proposal",$A32)),1,IF(N(Deliverables!$H32)&gt;0,1,0)))</f>
        <v>0</v>
      </c>
      <c r="G32" s="385">
        <f>IF($A32="","",IF(ISNUMBER(SEARCH("Proposal",$A32)),IFERROR(VLOOKUP(TRIM($A32),Proposals!$N$13:$Q$18,4,FALSE),0),IF($E32="","",SUMIFS('Timesheet Raw'!$P$4:$P$8000,'Timesheet Raw'!$B$4:$B$8000,$A32,'Timesheet Raw'!$M$4:$M$8000,$E32))))</f>
        <v>0</v>
      </c>
      <c r="H32" s="384">
        <f t="shared" si="0"/>
        <v>1</v>
      </c>
      <c r="I32" s="385">
        <f t="shared" si="1"/>
        <v>0</v>
      </c>
      <c r="J32" s="341">
        <f>IF($I32="","",$I32/'Profit Plan'!$B$5)</f>
        <v>0</v>
      </c>
      <c r="K32" s="371">
        <f>IF($A32="","",IF(ISNUMBER(SEARCH("Proposal",$A32)),IFERROR(VLOOKUP(TRIM($A32),Proposals!$N$13:$S$18,5,FALSE),""),IF($E32="","",IFERROR(_xlfn.MINIFS('Timesheet Raw'!$L$4:$L$8000,'Timesheet Raw'!$B$4:$B$8000,$A32,'Timesheet Raw'!$M$4:$M$8000,$E32),""))))</f>
        <v>0</v>
      </c>
      <c r="L32" s="371">
        <f>IF($A32="","",IF(ISNUMBER(SEARCH("Proposal",$A32)),IFERROR(VLOOKUP(TRIM($A32),Proposals!$N$13:$S$18,6,FALSE),""),IF($E32="","",IFERROR(_xlfn.MAXIFS('Timesheet Raw'!$L$4:$L$8000,'Timesheet Raw'!$B$4:$B$8000,$A32,'Timesheet Raw'!$M$4:$M$8000,$E32),""))))</f>
        <v>0</v>
      </c>
      <c r="M32" s="340">
        <f t="shared" si="2"/>
        <v>1</v>
      </c>
      <c r="N32" s="340">
        <f>IF($K32="","",IF(COUNT('Work Calendar'!$E$6:$E$200)=0,NETWORKDAYS.INTL($K32,$L32,'Work Calendar'!$B$31),NETWORKDAYS.INTL($K32,$L32,'Work Calendar'!$B$31,'Work Calendar'!$E$6:$E$200)))</f>
        <v>0</v>
      </c>
      <c r="O32" s="340">
        <f>IF(OR($A32="",$E32=""),"",SUMIFS('Timesheet Raw'!$BV$4:$BV$8000,'Timesheet Raw'!$B$4:$B$8000,$A32,'Timesheet Raw'!$M$4:$M$8000,$E32))</f>
        <v>0</v>
      </c>
      <c r="P32" s="340">
        <f t="shared" si="3"/>
        <v>0</v>
      </c>
      <c r="Q32" s="386" t="str">
        <f t="shared" si="4"/>
        <v/>
      </c>
      <c r="R32" t="str">
        <f>IF($A32="","",IF($E32="","set TS Phase",IF($G32=0,"Never charged",IF($L32&lt;'Work Calendar'!$B$17-21,"Dormant since "&amp;TEXT($L32,"yyyy-mm-dd"),"Active"))))</f>
        <v>Never charged</v>
      </c>
      <c r="S32" s="340">
        <f>IF(OR($A32="",$E32=""),"",IFERROR(_xlfn.MAXIFS('Timesheet Raw'!$BX$4:$BX$8000,'Timesheet Raw'!$B$4:$B$8000,$A32,'Timesheet Raw'!$M$4:$M$8000,$E32),""))</f>
        <v>0</v>
      </c>
      <c r="T32" s="371" t="str" cm="1">
        <f t="array" ref="T32">IF(OR($S32="",$S32=0),"",IFERROR(INDEX('Timesheet Raw'!$BW$4:$BW$8000,MATCH(1,INDEX(('Timesheet Raw'!$B$4:$B$8000=$A32)*('Timesheet Raw'!$M$4:$M$8000=$E32)*('Timesheet Raw'!$BX$4:$BX$8000=$S32),0),0)),""))</f>
        <v/>
      </c>
      <c r="U32" s="371" t="str" cm="1">
        <f t="array" ref="U32">IF(OR($S32="",$S32=0),"",IFERROR(INDEX('Timesheet Raw'!$L$4:$L$8000,MATCH(1,INDEX(('Timesheet Raw'!$B$4:$B$8000=$A32)*('Timesheet Raw'!$M$4:$M$8000=$E32)*('Timesheet Raw'!$BX$4:$BX$8000=$S32),0),0)),""))</f>
        <v/>
      </c>
      <c r="V32" s="340" t="str">
        <f>IF(OR($A32="",$E32="",$G32=0),"",1+COUNTIFS('Timesheet Raw'!$B$4:$B$8000,$A32,'Timesheet Raw'!$M$4:$M$8000,$E32,'Timesheet Raw'!$BX$4:$BX$8000,"&gt;="&amp;'Work Calendar'!$B$32))</f>
        <v/>
      </c>
      <c r="W32" s="376"/>
      <c r="X32" s="376"/>
      <c r="Y32" s="376"/>
      <c r="Z32" s="376"/>
      <c r="AA32" s="376"/>
      <c r="AB32" s="376"/>
      <c r="AC32" s="396" t="str">
        <f t="shared" si="5"/>
        <v/>
      </c>
      <c r="AD32" s="396" t="str">
        <f t="shared" si="6"/>
        <v/>
      </c>
      <c r="AE32" s="340" t="str">
        <f>IF(OR($Y32="",$Z32=""),"",MAX(0,NETWORKDAYS.INTL($Y32,$Z32,'Work Calendar'!$B$31)-2))</f>
        <v/>
      </c>
      <c r="AF32" s="344">
        <f t="shared" si="7"/>
        <v>0</v>
      </c>
      <c r="AG32" t="str">
        <f t="shared" si="8"/>
        <v>no manual dates</v>
      </c>
      <c r="AH32" s="384">
        <f>IF(OR($A32="",$E32=""),"",IF(COUNTIFS($A$5:$A32,$A32,$E$5:$E32,$E32)=1,1,0))</f>
        <v>1</v>
      </c>
    </row>
    <row r="33" spans="1:34" x14ac:dyDescent="0.3">
      <c r="A33" t="str">
        <f>IF(Deliverables!$A33="","",TRIM(Deliverables!$A33))</f>
        <v>D26058-0100D</v>
      </c>
      <c r="B33" t="str">
        <f>IF($A33="","",Deliverables!$C33)</f>
        <v>Final Design</v>
      </c>
      <c r="C33" t="str">
        <f>IF($A33="","",Deliverables!$D33)</f>
        <v>CD</v>
      </c>
      <c r="D33" t="str">
        <f>IF($A33="","",IF(Deliverables!$G33="","not started",Deliverables!$G33))</f>
        <v>not started</v>
      </c>
      <c r="E33" s="387"/>
      <c r="F33" s="384">
        <f>IF($A33="","",IF(ISNUMBER(SEARCH("Proposal",$A33)),1,IF(N(Deliverables!$H33)&gt;0,1,0)))</f>
        <v>0</v>
      </c>
      <c r="G33" s="385">
        <f>IF($A33="","",IF(ISNUMBER(SEARCH("Proposal",$A33)),IFERROR(VLOOKUP(TRIM($A33),Proposals!$N$13:$Q$18,4,FALSE),0),IF($E33="","",SUMIFS('Timesheet Raw'!$P$4:$P$8000,'Timesheet Raw'!$B$4:$B$8000,$A33,'Timesheet Raw'!$M$4:$M$8000,$E33))))</f>
        <v>0</v>
      </c>
      <c r="H33" s="384">
        <f t="shared" si="0"/>
        <v>1</v>
      </c>
      <c r="I33" s="385">
        <f t="shared" si="1"/>
        <v>0</v>
      </c>
      <c r="J33" s="341">
        <f>IF($I33="","",$I33/'Profit Plan'!$B$5)</f>
        <v>0</v>
      </c>
      <c r="K33" s="371">
        <f>IF($A33="","",IF(ISNUMBER(SEARCH("Proposal",$A33)),IFERROR(VLOOKUP(TRIM($A33),Proposals!$N$13:$S$18,5,FALSE),""),IF($E33="","",IFERROR(_xlfn.MINIFS('Timesheet Raw'!$L$4:$L$8000,'Timesheet Raw'!$B$4:$B$8000,$A33,'Timesheet Raw'!$M$4:$M$8000,$E33),""))))</f>
        <v>0</v>
      </c>
      <c r="L33" s="371">
        <f>IF($A33="","",IF(ISNUMBER(SEARCH("Proposal",$A33)),IFERROR(VLOOKUP(TRIM($A33),Proposals!$N$13:$S$18,6,FALSE),""),IF($E33="","",IFERROR(_xlfn.MAXIFS('Timesheet Raw'!$L$4:$L$8000,'Timesheet Raw'!$B$4:$B$8000,$A33,'Timesheet Raw'!$M$4:$M$8000,$E33),""))))</f>
        <v>0</v>
      </c>
      <c r="M33" s="340">
        <f t="shared" si="2"/>
        <v>1</v>
      </c>
      <c r="N33" s="340">
        <f>IF($K33="","",IF(COUNT('Work Calendar'!$E$6:$E$200)=0,NETWORKDAYS.INTL($K33,$L33,'Work Calendar'!$B$31),NETWORKDAYS.INTL($K33,$L33,'Work Calendar'!$B$31,'Work Calendar'!$E$6:$E$200)))</f>
        <v>0</v>
      </c>
      <c r="O33" s="340">
        <f>IF(OR($A33="",$E33=""),"",SUMIFS('Timesheet Raw'!$BV$4:$BV$8000,'Timesheet Raw'!$B$4:$B$8000,$A33,'Timesheet Raw'!$M$4:$M$8000,$E33))</f>
        <v>0</v>
      </c>
      <c r="P33" s="340">
        <f t="shared" si="3"/>
        <v>0</v>
      </c>
      <c r="Q33" s="386" t="str">
        <f t="shared" si="4"/>
        <v/>
      </c>
      <c r="R33" t="str">
        <f>IF($A33="","",IF($E33="","set TS Phase",IF($G33=0,"Never charged",IF($L33&lt;'Work Calendar'!$B$17-21,"Dormant since "&amp;TEXT($L33,"yyyy-mm-dd"),"Active"))))</f>
        <v>Never charged</v>
      </c>
      <c r="S33" s="340">
        <f>IF(OR($A33="",$E33=""),"",IFERROR(_xlfn.MAXIFS('Timesheet Raw'!$BX$4:$BX$8000,'Timesheet Raw'!$B$4:$B$8000,$A33,'Timesheet Raw'!$M$4:$M$8000,$E33),""))</f>
        <v>0</v>
      </c>
      <c r="T33" s="371" t="str" cm="1">
        <f t="array" ref="T33">IF(OR($S33="",$S33=0),"",IFERROR(INDEX('Timesheet Raw'!$BW$4:$BW$8000,MATCH(1,INDEX(('Timesheet Raw'!$B$4:$B$8000=$A33)*('Timesheet Raw'!$M$4:$M$8000=$E33)*('Timesheet Raw'!$BX$4:$BX$8000=$S33),0),0)),""))</f>
        <v/>
      </c>
      <c r="U33" s="371" t="str" cm="1">
        <f t="array" ref="U33">IF(OR($S33="",$S33=0),"",IFERROR(INDEX('Timesheet Raw'!$L$4:$L$8000,MATCH(1,INDEX(('Timesheet Raw'!$B$4:$B$8000=$A33)*('Timesheet Raw'!$M$4:$M$8000=$E33)*('Timesheet Raw'!$BX$4:$BX$8000=$S33),0),0)),""))</f>
        <v/>
      </c>
      <c r="V33" s="340" t="str">
        <f>IF(OR($A33="",$E33="",$G33=0),"",1+COUNTIFS('Timesheet Raw'!$B$4:$B$8000,$A33,'Timesheet Raw'!$M$4:$M$8000,$E33,'Timesheet Raw'!$BX$4:$BX$8000,"&gt;="&amp;'Work Calendar'!$B$32))</f>
        <v/>
      </c>
      <c r="W33" s="376"/>
      <c r="X33" s="376"/>
      <c r="Y33" s="376"/>
      <c r="Z33" s="376"/>
      <c r="AA33" s="376"/>
      <c r="AB33" s="376"/>
      <c r="AC33" s="396" t="str">
        <f t="shared" si="5"/>
        <v/>
      </c>
      <c r="AD33" s="396" t="str">
        <f t="shared" si="6"/>
        <v/>
      </c>
      <c r="AE33" s="340" t="str">
        <f>IF(OR($Y33="",$Z33=""),"",MAX(0,NETWORKDAYS.INTL($Y33,$Z33,'Work Calendar'!$B$31)-2))</f>
        <v/>
      </c>
      <c r="AF33" s="344">
        <f t="shared" si="7"/>
        <v>0</v>
      </c>
      <c r="AG33" t="str">
        <f t="shared" si="8"/>
        <v>no manual dates</v>
      </c>
      <c r="AH33" s="384">
        <f>IF(OR($A33="",$E33=""),"",IF(COUNTIFS($A$5:$A33,$A33,$E$5:$E33,$E33)=1,1,0))</f>
        <v>1</v>
      </c>
    </row>
    <row r="34" spans="1:34" x14ac:dyDescent="0.3">
      <c r="A34" t="str">
        <f>IF(Deliverables!$A34="","",TRIM(Deliverables!$A34))</f>
        <v>AD24217-0100D</v>
      </c>
      <c r="B34" t="str">
        <f>IF($A34="","",Deliverables!$C34)</f>
        <v>Concept Design</v>
      </c>
      <c r="C34" t="str">
        <f>IF($A34="","",Deliverables!$D34)</f>
        <v>CD</v>
      </c>
      <c r="D34" t="str">
        <f>IF($A34="","",IF(Deliverables!$G34="","not started",Deliverables!$G34))</f>
        <v>Client acceptance</v>
      </c>
      <c r="E34" s="387"/>
      <c r="F34" s="384">
        <f>IF($A34="","",IF(ISNUMBER(SEARCH("Proposal",$A34)),1,IF(N(Deliverables!$H34)&gt;0,1,0)))</f>
        <v>1</v>
      </c>
      <c r="G34" s="385">
        <f>IF($A34="","",IF(ISNUMBER(SEARCH("Proposal",$A34)),IFERROR(VLOOKUP(TRIM($A34),Proposals!$N$13:$Q$18,4,FALSE),0),IF($E34="","",SUMIFS('Timesheet Raw'!$P$4:$P$8000,'Timesheet Raw'!$B$4:$B$8000,$A34,'Timesheet Raw'!$M$4:$M$8000,$E34))))</f>
        <v>363.75</v>
      </c>
      <c r="H34" s="384">
        <f t="shared" si="0"/>
        <v>1</v>
      </c>
      <c r="I34" s="385">
        <f t="shared" si="1"/>
        <v>363.75</v>
      </c>
      <c r="J34" s="341">
        <f>IF($I34="","",$I34/'Profit Plan'!$B$5)</f>
        <v>1.9662162162162162</v>
      </c>
      <c r="K34" s="371">
        <f>IF($A34="","",IF(ISNUMBER(SEARCH("Proposal",$A34)),IFERROR(VLOOKUP(TRIM($A34),Proposals!$N$13:$S$18,5,FALSE),""),IF($E34="","",IFERROR(_xlfn.MINIFS('Timesheet Raw'!$L$4:$L$8000,'Timesheet Raw'!$B$4:$B$8000,$A34,'Timesheet Raw'!$M$4:$M$8000,$E34),""))))</f>
        <v>45721</v>
      </c>
      <c r="L34" s="371">
        <f>IF($A34="","",IF(ISNUMBER(SEARCH("Proposal",$A34)),IFERROR(VLOOKUP(TRIM($A34),Proposals!$N$13:$S$18,6,FALSE),""),IF($E34="","",IFERROR(_xlfn.MAXIFS('Timesheet Raw'!$L$4:$L$8000,'Timesheet Raw'!$B$4:$B$8000,$A34,'Timesheet Raw'!$M$4:$M$8000,$E34),""))))</f>
        <v>45928</v>
      </c>
      <c r="M34" s="340">
        <f t="shared" si="2"/>
        <v>208</v>
      </c>
      <c r="N34" s="340">
        <f>IF($K34="","",IF(COUNT('Work Calendar'!$E$6:$E$200)=0,NETWORKDAYS.INTL($K34,$L34,'Work Calendar'!$B$31),NETWORKDAYS.INTL($K34,$L34,'Work Calendar'!$B$31,'Work Calendar'!$E$6:$E$200)))</f>
        <v>148</v>
      </c>
      <c r="O34" s="340">
        <f>IF(OR($A34="",$E34=""),"",SUMIFS('Timesheet Raw'!$BV$4:$BV$8000,'Timesheet Raw'!$B$4:$B$8000,$A34,'Timesheet Raw'!$M$4:$M$8000,$E34))</f>
        <v>42</v>
      </c>
      <c r="P34" s="340">
        <f t="shared" si="3"/>
        <v>106</v>
      </c>
      <c r="Q34" s="386">
        <f t="shared" si="4"/>
        <v>0.71621621621621623</v>
      </c>
      <c r="R34" t="str">
        <f>IF($A34="","",IF($E34="","set TS Phase",IF($G34=0,"Never charged",IF($L34&lt;'Work Calendar'!$B$17-21,"Dormant since "&amp;TEXT($L34,"yyyy-mm-dd"),"Active"))))</f>
        <v>Dormant since 2025-09-28</v>
      </c>
      <c r="S34" s="340">
        <f>IF(OR($A34="",$E34=""),"",IFERROR(_xlfn.MAXIFS('Timesheet Raw'!$BX$4:$BX$8000,'Timesheet Raw'!$B$4:$B$8000,$A34,'Timesheet Raw'!$M$4:$M$8000,$E34),""))</f>
        <v>51</v>
      </c>
      <c r="T34" s="371" cm="1">
        <f t="array" ref="T34">IF(OR($S34="",$S34=0),"",IFERROR(INDEX('Timesheet Raw'!$BW$4:$BW$8000,MATCH(1,INDEX(('Timesheet Raw'!$B$4:$B$8000=$A34)*('Timesheet Raw'!$M$4:$M$8000=$E34)*('Timesheet Raw'!$BX$4:$BX$8000=$S34),0),0)),""))</f>
        <v>45725</v>
      </c>
      <c r="U34" s="371" cm="1">
        <f t="array" ref="U34">IF(OR($S34="",$S34=0),"",IFERROR(INDEX('Timesheet Raw'!$L$4:$L$8000,MATCH(1,INDEX(('Timesheet Raw'!$B$4:$B$8000=$A34)*('Timesheet Raw'!$M$4:$M$8000=$E34)*('Timesheet Raw'!$BX$4:$BX$8000=$S34),0),0)),""))</f>
        <v>45797</v>
      </c>
      <c r="V34" s="340">
        <f>IF(OR($A34="",$E34="",$G34=0),"",1+COUNTIFS('Timesheet Raw'!$B$4:$B$8000,$A34,'Timesheet Raw'!$M$4:$M$8000,$E34,'Timesheet Raw'!$BX$4:$BX$8000,"&gt;="&amp;'Work Calendar'!$B$32))</f>
        <v>8</v>
      </c>
      <c r="W34" s="376"/>
      <c r="X34" s="376"/>
      <c r="Y34" s="376"/>
      <c r="Z34" s="376"/>
      <c r="AA34" s="376"/>
      <c r="AB34" s="376"/>
      <c r="AC34" s="396" t="str">
        <f t="shared" si="5"/>
        <v/>
      </c>
      <c r="AD34" s="396" t="str">
        <f t="shared" si="6"/>
        <v/>
      </c>
      <c r="AE34" s="340" t="str">
        <f>IF(OR($Y34="",$Z34=""),"",MAX(0,NETWORKDAYS.INTL($Y34,$Z34,'Work Calendar'!$B$31)-2))</f>
        <v/>
      </c>
      <c r="AF34" s="344">
        <f t="shared" si="7"/>
        <v>106</v>
      </c>
      <c r="AG34" t="str">
        <f t="shared" si="8"/>
        <v>no manual dates</v>
      </c>
      <c r="AH34" s="384">
        <f>IF(OR($A34="",$E34=""),"",IF(COUNTIFS($A$5:$A34,$A34,$E$5:$E34,$E34)=1,1,0))</f>
        <v>1</v>
      </c>
    </row>
    <row r="35" spans="1:34" x14ac:dyDescent="0.3">
      <c r="A35" t="str">
        <f>IF(Deliverables!$A35="","",TRIM(Deliverables!$A35))</f>
        <v>E24181-0100D</v>
      </c>
      <c r="B35" t="str">
        <f>IF($A35="","",Deliverables!$C35)</f>
        <v>Report</v>
      </c>
      <c r="C35" t="str">
        <f>IF($A35="","",Deliverables!$D35)</f>
        <v>SA</v>
      </c>
      <c r="D35" t="str">
        <f>IF($A35="","",IF(Deliverables!$G35="","not started",Deliverables!$G35))</f>
        <v>Comments closed</v>
      </c>
      <c r="E35" s="387"/>
      <c r="F35" s="384">
        <f>IF($A35="","",IF(ISNUMBER(SEARCH("Proposal",$A35)),1,IF(N(Deliverables!$H35)&gt;0,1,0)))</f>
        <v>1</v>
      </c>
      <c r="G35" s="385">
        <f>IF($A35="","",IF(ISNUMBER(SEARCH("Proposal",$A35)),IFERROR(VLOOKUP(TRIM($A35),Proposals!$N$13:$Q$18,4,FALSE),0),IF($E35="","",SUMIFS('Timesheet Raw'!$P$4:$P$8000,'Timesheet Raw'!$B$4:$B$8000,$A35,'Timesheet Raw'!$M$4:$M$8000,$E35))))</f>
        <v>0</v>
      </c>
      <c r="H35" s="384">
        <f t="shared" si="0"/>
        <v>1</v>
      </c>
      <c r="I35" s="385">
        <f t="shared" si="1"/>
        <v>0</v>
      </c>
      <c r="J35" s="341">
        <f>IF($I35="","",$I35/'Profit Plan'!$B$5)</f>
        <v>0</v>
      </c>
      <c r="K35" s="371">
        <f>IF($A35="","",IF(ISNUMBER(SEARCH("Proposal",$A35)),IFERROR(VLOOKUP(TRIM($A35),Proposals!$N$13:$S$18,5,FALSE),""),IF($E35="","",IFERROR(_xlfn.MINIFS('Timesheet Raw'!$L$4:$L$8000,'Timesheet Raw'!$B$4:$B$8000,$A35,'Timesheet Raw'!$M$4:$M$8000,$E35),""))))</f>
        <v>0</v>
      </c>
      <c r="L35" s="371">
        <f>IF($A35="","",IF(ISNUMBER(SEARCH("Proposal",$A35)),IFERROR(VLOOKUP(TRIM($A35),Proposals!$N$13:$S$18,6,FALSE),""),IF($E35="","",IFERROR(_xlfn.MAXIFS('Timesheet Raw'!$L$4:$L$8000,'Timesheet Raw'!$B$4:$B$8000,$A35,'Timesheet Raw'!$M$4:$M$8000,$E35),""))))</f>
        <v>0</v>
      </c>
      <c r="M35" s="340">
        <f t="shared" si="2"/>
        <v>1</v>
      </c>
      <c r="N35" s="340">
        <f>IF($K35="","",IF(COUNT('Work Calendar'!$E$6:$E$200)=0,NETWORKDAYS.INTL($K35,$L35,'Work Calendar'!$B$31),NETWORKDAYS.INTL($K35,$L35,'Work Calendar'!$B$31,'Work Calendar'!$E$6:$E$200)))</f>
        <v>0</v>
      </c>
      <c r="O35" s="340">
        <f>IF(OR($A35="",$E35=""),"",SUMIFS('Timesheet Raw'!$BV$4:$BV$8000,'Timesheet Raw'!$B$4:$B$8000,$A35,'Timesheet Raw'!$M$4:$M$8000,$E35))</f>
        <v>0</v>
      </c>
      <c r="P35" s="340">
        <f t="shared" si="3"/>
        <v>0</v>
      </c>
      <c r="Q35" s="386" t="str">
        <f t="shared" si="4"/>
        <v/>
      </c>
      <c r="R35" t="str">
        <f>IF($A35="","",IF($E35="","set TS Phase",IF($G35=0,"Never charged",IF($L35&lt;'Work Calendar'!$B$17-21,"Dormant since "&amp;TEXT($L35,"yyyy-mm-dd"),"Active"))))</f>
        <v>Never charged</v>
      </c>
      <c r="S35" s="340">
        <f>IF(OR($A35="",$E35=""),"",IFERROR(_xlfn.MAXIFS('Timesheet Raw'!$BX$4:$BX$8000,'Timesheet Raw'!$B$4:$B$8000,$A35,'Timesheet Raw'!$M$4:$M$8000,$E35),""))</f>
        <v>0</v>
      </c>
      <c r="T35" s="371" t="str" cm="1">
        <f t="array" ref="T35">IF(OR($S35="",$S35=0),"",IFERROR(INDEX('Timesheet Raw'!$BW$4:$BW$8000,MATCH(1,INDEX(('Timesheet Raw'!$B$4:$B$8000=$A35)*('Timesheet Raw'!$M$4:$M$8000=$E35)*('Timesheet Raw'!$BX$4:$BX$8000=$S35),0),0)),""))</f>
        <v/>
      </c>
      <c r="U35" s="371" t="str" cm="1">
        <f t="array" ref="U35">IF(OR($S35="",$S35=0),"",IFERROR(INDEX('Timesheet Raw'!$L$4:$L$8000,MATCH(1,INDEX(('Timesheet Raw'!$B$4:$B$8000=$A35)*('Timesheet Raw'!$M$4:$M$8000=$E35)*('Timesheet Raw'!$BX$4:$BX$8000=$S35),0),0)),""))</f>
        <v/>
      </c>
      <c r="V35" s="340" t="str">
        <f>IF(OR($A35="",$E35="",$G35=0),"",1+COUNTIFS('Timesheet Raw'!$B$4:$B$8000,$A35,'Timesheet Raw'!$M$4:$M$8000,$E35,'Timesheet Raw'!$BX$4:$BX$8000,"&gt;="&amp;'Work Calendar'!$B$32))</f>
        <v/>
      </c>
      <c r="W35" s="376"/>
      <c r="X35" s="376"/>
      <c r="Y35" s="376"/>
      <c r="Z35" s="376"/>
      <c r="AA35" s="376"/>
      <c r="AB35" s="376"/>
      <c r="AC35" s="396" t="str">
        <f t="shared" si="5"/>
        <v/>
      </c>
      <c r="AD35" s="396" t="str">
        <f t="shared" si="6"/>
        <v/>
      </c>
      <c r="AE35" s="340" t="str">
        <f>IF(OR($Y35="",$Z35=""),"",MAX(0,NETWORKDAYS.INTL($Y35,$Z35,'Work Calendar'!$B$31)-2))</f>
        <v/>
      </c>
      <c r="AF35" s="344">
        <f t="shared" si="7"/>
        <v>0</v>
      </c>
      <c r="AG35" t="str">
        <f t="shared" si="8"/>
        <v>no manual dates</v>
      </c>
      <c r="AH35" s="384">
        <f>IF(OR($A35="",$E35=""),"",IF(COUNTIFS($A$5:$A35,$A35,$E$5:$E35,$E35)=1,1,0))</f>
        <v>1</v>
      </c>
    </row>
    <row r="36" spans="1:34" x14ac:dyDescent="0.3">
      <c r="A36" t="str">
        <f>IF(Deliverables!$A36="","",TRIM(Deliverables!$A36))</f>
        <v>J23152-0100D</v>
      </c>
      <c r="B36" t="str">
        <f>IF($A36="","",Deliverables!$C36)</f>
        <v>Specifications</v>
      </c>
      <c r="C36" t="str">
        <f>IF($A36="","",Deliverables!$D36)</f>
        <v>TD</v>
      </c>
      <c r="D36" t="str">
        <f>IF($A36="","",IF(Deliverables!$G36="","not started",Deliverables!$G36))</f>
        <v>Tender queries and addenda closed</v>
      </c>
      <c r="E36" s="387"/>
      <c r="F36" s="384">
        <f>IF($A36="","",IF(ISNUMBER(SEARCH("Proposal",$A36)),1,IF(N(Deliverables!$H36)&gt;0,1,0)))</f>
        <v>1</v>
      </c>
      <c r="G36" s="385">
        <f>IF($A36="","",IF(ISNUMBER(SEARCH("Proposal",$A36)),IFERROR(VLOOKUP(TRIM($A36),Proposals!$N$13:$Q$18,4,FALSE),0),IF($E36="","",SUMIFS('Timesheet Raw'!$P$4:$P$8000,'Timesheet Raw'!$B$4:$B$8000,$A36,'Timesheet Raw'!$M$4:$M$8000,$E36))))</f>
        <v>17.5</v>
      </c>
      <c r="H36" s="384">
        <f t="shared" si="0"/>
        <v>1</v>
      </c>
      <c r="I36" s="385">
        <f t="shared" si="1"/>
        <v>17.5</v>
      </c>
      <c r="J36" s="341">
        <f>IF($I36="","",$I36/'Profit Plan'!$B$5)</f>
        <v>9.45945945945946E-2</v>
      </c>
      <c r="K36" s="371">
        <f>IF($A36="","",IF(ISNUMBER(SEARCH("Proposal",$A36)),IFERROR(VLOOKUP(TRIM($A36),Proposals!$N$13:$S$18,5,FALSE),""),IF($E36="","",IFERROR(_xlfn.MINIFS('Timesheet Raw'!$L$4:$L$8000,'Timesheet Raw'!$B$4:$B$8000,$A36,'Timesheet Raw'!$M$4:$M$8000,$E36),""))))</f>
        <v>45237</v>
      </c>
      <c r="L36" s="371">
        <f>IF($A36="","",IF(ISNUMBER(SEARCH("Proposal",$A36)),IFERROR(VLOOKUP(TRIM($A36),Proposals!$N$13:$S$18,6,FALSE),""),IF($E36="","",IFERROR(_xlfn.MAXIFS('Timesheet Raw'!$L$4:$L$8000,'Timesheet Raw'!$B$4:$B$8000,$A36,'Timesheet Raw'!$M$4:$M$8000,$E36),""))))</f>
        <v>45242</v>
      </c>
      <c r="M36" s="340">
        <f t="shared" si="2"/>
        <v>6</v>
      </c>
      <c r="N36" s="340">
        <f>IF($K36="","",IF(COUNT('Work Calendar'!$E$6:$E$200)=0,NETWORKDAYS.INTL($K36,$L36,'Work Calendar'!$B$31),NETWORKDAYS.INTL($K36,$L36,'Work Calendar'!$B$31,'Work Calendar'!$E$6:$E$200)))</f>
        <v>4</v>
      </c>
      <c r="O36" s="340">
        <f>IF(OR($A36="",$E36=""),"",SUMIFS('Timesheet Raw'!$BV$4:$BV$8000,'Timesheet Raw'!$B$4:$B$8000,$A36,'Timesheet Raw'!$M$4:$M$8000,$E36))</f>
        <v>2</v>
      </c>
      <c r="P36" s="340">
        <f t="shared" si="3"/>
        <v>2</v>
      </c>
      <c r="Q36" s="386">
        <f t="shared" si="4"/>
        <v>0.5</v>
      </c>
      <c r="R36" t="str">
        <f>IF($A36="","",IF($E36="","set TS Phase",IF($G36=0,"Never charged",IF($L36&lt;'Work Calendar'!$B$17-21,"Dormant since "&amp;TEXT($L36,"yyyy-mm-dd"),"Active"))))</f>
        <v>Dormant since 2023-11-12</v>
      </c>
      <c r="S36" s="340">
        <f>IF(OR($A36="",$E36=""),"",IFERROR(_xlfn.MAXIFS('Timesheet Raw'!$BX$4:$BX$8000,'Timesheet Raw'!$B$4:$B$8000,$A36,'Timesheet Raw'!$M$4:$M$8000,$E36),""))</f>
        <v>2</v>
      </c>
      <c r="T36" s="371" cm="1">
        <f t="array" ref="T36">IF(OR($S36="",$S36=0),"",IFERROR(INDEX('Timesheet Raw'!$BW$4:$BW$8000,MATCH(1,INDEX(('Timesheet Raw'!$B$4:$B$8000=$A36)*('Timesheet Raw'!$M$4:$M$8000=$E36)*('Timesheet Raw'!$BX$4:$BX$8000=$S36),0),0)),""))</f>
        <v>45237</v>
      </c>
      <c r="U36" s="371" cm="1">
        <f t="array" ref="U36">IF(OR($S36="",$S36=0),"",IFERROR(INDEX('Timesheet Raw'!$L$4:$L$8000,MATCH(1,INDEX(('Timesheet Raw'!$B$4:$B$8000=$A36)*('Timesheet Raw'!$M$4:$M$8000=$E36)*('Timesheet Raw'!$BX$4:$BX$8000=$S36),0),0)),""))</f>
        <v>45242</v>
      </c>
      <c r="V36" s="340">
        <f>IF(OR($A36="",$E36="",$G36=0),"",1+COUNTIFS('Timesheet Raw'!$B$4:$B$8000,$A36,'Timesheet Raw'!$M$4:$M$8000,$E36,'Timesheet Raw'!$BX$4:$BX$8000,"&gt;="&amp;'Work Calendar'!$B$32))</f>
        <v>1</v>
      </c>
      <c r="W36" s="376"/>
      <c r="X36" s="376"/>
      <c r="Y36" s="376"/>
      <c r="Z36" s="376"/>
      <c r="AA36" s="376"/>
      <c r="AB36" s="376"/>
      <c r="AC36" s="396" t="str">
        <f t="shared" si="5"/>
        <v/>
      </c>
      <c r="AD36" s="396" t="str">
        <f t="shared" si="6"/>
        <v/>
      </c>
      <c r="AE36" s="340" t="str">
        <f>IF(OR($Y36="",$Z36=""),"",MAX(0,NETWORKDAYS.INTL($Y36,$Z36,'Work Calendar'!$B$31)-2))</f>
        <v/>
      </c>
      <c r="AF36" s="344">
        <f t="shared" si="7"/>
        <v>2</v>
      </c>
      <c r="AG36" t="str">
        <f t="shared" si="8"/>
        <v>no manual dates</v>
      </c>
      <c r="AH36" s="384">
        <f>IF(OR($A36="",$E36=""),"",IF(COUNTIFS($A$5:$A36,$A36,$E$5:$E36,$E36)=1,1,0))</f>
        <v>1</v>
      </c>
    </row>
    <row r="37" spans="1:34" x14ac:dyDescent="0.3">
      <c r="A37" t="str">
        <f>IF(Deliverables!$A37="","",TRIM(Deliverables!$A37))</f>
        <v>Q25008-0100D</v>
      </c>
      <c r="B37" t="str">
        <f>IF($A37="","",Deliverables!$C37)</f>
        <v>Tender Design</v>
      </c>
      <c r="C37" t="str">
        <f>IF($A37="","",Deliverables!$D37)</f>
        <v>TD</v>
      </c>
      <c r="D37" t="str">
        <f>IF($A37="","",IF(Deliverables!$G37="","not started",Deliverables!$G37))</f>
        <v>Tender queries and addenda closed</v>
      </c>
      <c r="E37" s="387"/>
      <c r="F37" s="384">
        <f>IF($A37="","",IF(ISNUMBER(SEARCH("Proposal",$A37)),1,IF(N(Deliverables!$H37)&gt;0,1,0)))</f>
        <v>1</v>
      </c>
      <c r="G37" s="385">
        <f>IF($A37="","",IF(ISNUMBER(SEARCH("Proposal",$A37)),IFERROR(VLOOKUP(TRIM($A37),Proposals!$N$13:$Q$18,4,FALSE),0),IF($E37="","",SUMIFS('Timesheet Raw'!$P$4:$P$8000,'Timesheet Raw'!$B$4:$B$8000,$A37,'Timesheet Raw'!$M$4:$M$8000,$E37))))</f>
        <v>357</v>
      </c>
      <c r="H37" s="384">
        <f t="shared" si="0"/>
        <v>1</v>
      </c>
      <c r="I37" s="385">
        <f t="shared" si="1"/>
        <v>357</v>
      </c>
      <c r="J37" s="341">
        <f>IF($I37="","",$I37/'Profit Plan'!$B$5)</f>
        <v>1.9297297297297298</v>
      </c>
      <c r="K37" s="371">
        <f>IF($A37="","",IF(ISNUMBER(SEARCH("Proposal",$A37)),IFERROR(VLOOKUP(TRIM($A37),Proposals!$N$13:$S$18,5,FALSE),""),IF($E37="","",IFERROR(_xlfn.MINIFS('Timesheet Raw'!$L$4:$L$8000,'Timesheet Raw'!$B$4:$B$8000,$A37,'Timesheet Raw'!$M$4:$M$8000,$E37),""))))</f>
        <v>45685</v>
      </c>
      <c r="L37" s="371">
        <f>IF($A37="","",IF(ISNUMBER(SEARCH("Proposal",$A37)),IFERROR(VLOOKUP(TRIM($A37),Proposals!$N$13:$S$18,6,FALSE),""),IF($E37="","",IFERROR(_xlfn.MAXIFS('Timesheet Raw'!$L$4:$L$8000,'Timesheet Raw'!$B$4:$B$8000,$A37,'Timesheet Raw'!$M$4:$M$8000,$E37),""))))</f>
        <v>46239</v>
      </c>
      <c r="M37" s="340">
        <f t="shared" si="2"/>
        <v>555</v>
      </c>
      <c r="N37" s="340">
        <f>IF($K37="","",IF(COUNT('Work Calendar'!$E$6:$E$200)=0,NETWORKDAYS.INTL($K37,$L37,'Work Calendar'!$B$31),NETWORKDAYS.INTL($K37,$L37,'Work Calendar'!$B$31,'Work Calendar'!$E$6:$E$200)))</f>
        <v>397</v>
      </c>
      <c r="O37" s="340">
        <f>IF(OR($A37="",$E37=""),"",SUMIFS('Timesheet Raw'!$BV$4:$BV$8000,'Timesheet Raw'!$B$4:$B$8000,$A37,'Timesheet Raw'!$M$4:$M$8000,$E37))</f>
        <v>48</v>
      </c>
      <c r="P37" s="340">
        <f t="shared" si="3"/>
        <v>349</v>
      </c>
      <c r="Q37" s="386">
        <f t="shared" si="4"/>
        <v>0.87909319899244331</v>
      </c>
      <c r="R37" t="str">
        <f>IF($A37="","",IF($E37="","set TS Phase",IF($G37=0,"Never charged",IF($L37&lt;'Work Calendar'!$B$17-21,"Dormant since "&amp;TEXT($L37,"yyyy-mm-dd"),"Active"))))</f>
        <v>Active</v>
      </c>
      <c r="S37" s="340">
        <f>IF(OR($A37="",$E37=""),"",IFERROR(_xlfn.MAXIFS('Timesheet Raw'!$BX$4:$BX$8000,'Timesheet Raw'!$B$4:$B$8000,$A37,'Timesheet Raw'!$M$4:$M$8000,$E37),""))</f>
        <v>212</v>
      </c>
      <c r="T37" s="371" cm="1">
        <f t="array" ref="T37">IF(OR($S37="",$S37=0),"",IFERROR(INDEX('Timesheet Raw'!$BW$4:$BW$8000,MATCH(1,INDEX(('Timesheet Raw'!$B$4:$B$8000=$A37)*('Timesheet Raw'!$M$4:$M$8000=$E37)*('Timesheet Raw'!$BX$4:$BX$8000=$S37),0),0)),""))</f>
        <v>45706</v>
      </c>
      <c r="U37" s="371" cm="1">
        <f t="array" ref="U37">IF(OR($S37="",$S37=0),"",IFERROR(INDEX('Timesheet Raw'!$L$4:$L$8000,MATCH(1,INDEX(('Timesheet Raw'!$B$4:$B$8000=$A37)*('Timesheet Raw'!$M$4:$M$8000=$E37)*('Timesheet Raw'!$BX$4:$BX$8000=$S37),0),0)),""))</f>
        <v>46005</v>
      </c>
      <c r="V37" s="340">
        <f>IF(OR($A37="",$E37="",$G37=0),"",1+COUNTIFS('Timesheet Raw'!$B$4:$B$8000,$A37,'Timesheet Raw'!$M$4:$M$8000,$E37,'Timesheet Raw'!$BX$4:$BX$8000,"&gt;="&amp;'Work Calendar'!$B$32))</f>
        <v>11</v>
      </c>
      <c r="W37" s="376"/>
      <c r="X37" s="376"/>
      <c r="Y37" s="376"/>
      <c r="Z37" s="376"/>
      <c r="AA37" s="376"/>
      <c r="AB37" s="376"/>
      <c r="AC37" s="396" t="str">
        <f t="shared" si="5"/>
        <v/>
      </c>
      <c r="AD37" s="396" t="str">
        <f t="shared" si="6"/>
        <v/>
      </c>
      <c r="AE37" s="340" t="str">
        <f>IF(OR($Y37="",$Z37=""),"",MAX(0,NETWORKDAYS.INTL($Y37,$Z37,'Work Calendar'!$B$31)-2))</f>
        <v/>
      </c>
      <c r="AF37" s="344">
        <f t="shared" si="7"/>
        <v>349</v>
      </c>
      <c r="AG37" t="str">
        <f t="shared" si="8"/>
        <v>no manual dates</v>
      </c>
      <c r="AH37" s="384">
        <f>IF(OR($A37="",$E37=""),"",IF(COUNTIFS($A$5:$A37,$A37,$E$5:$E37,$E37)=1,1,0))</f>
        <v>1</v>
      </c>
    </row>
    <row r="38" spans="1:34" x14ac:dyDescent="0.3">
      <c r="A38" t="str">
        <f>IF(Deliverables!$A38="","",TRIM(Deliverables!$A38))</f>
        <v>S24014-0101D</v>
      </c>
      <c r="B38" t="str">
        <f>IF($A38="","",Deliverables!$C38)</f>
        <v>Report</v>
      </c>
      <c r="C38" t="str">
        <f>IF($A38="","",Deliverables!$D38)</f>
        <v>SA</v>
      </c>
      <c r="D38" t="str">
        <f>IF($A38="","",IF(Deliverables!$G38="","not started",Deliverables!$G38))</f>
        <v>Comments closed</v>
      </c>
      <c r="E38" s="387"/>
      <c r="F38" s="384">
        <f>IF($A38="","",IF(ISNUMBER(SEARCH("Proposal",$A38)),1,IF(N(Deliverables!$H38)&gt;0,1,0)))</f>
        <v>1</v>
      </c>
      <c r="G38" s="385">
        <f>IF($A38="","",IF(ISNUMBER(SEARCH("Proposal",$A38)),IFERROR(VLOOKUP(TRIM($A38),Proposals!$N$13:$Q$18,4,FALSE),0),IF($E38="","",SUMIFS('Timesheet Raw'!$P$4:$P$8000,'Timesheet Raw'!$B$4:$B$8000,$A38,'Timesheet Raw'!$M$4:$M$8000,$E38))))</f>
        <v>451.75</v>
      </c>
      <c r="H38" s="384">
        <f t="shared" si="0"/>
        <v>1</v>
      </c>
      <c r="I38" s="385">
        <f t="shared" si="1"/>
        <v>451.75</v>
      </c>
      <c r="J38" s="341">
        <f>IF($I38="","",$I38/'Profit Plan'!$B$5)</f>
        <v>2.4418918918918919</v>
      </c>
      <c r="K38" s="371">
        <f>IF($A38="","",IF(ISNUMBER(SEARCH("Proposal",$A38)),IFERROR(VLOOKUP(TRIM($A38),Proposals!$N$13:$S$18,5,FALSE),""),IF($E38="","",IFERROR(_xlfn.MINIFS('Timesheet Raw'!$L$4:$L$8000,'Timesheet Raw'!$B$4:$B$8000,$A38,'Timesheet Raw'!$M$4:$M$8000,$E38),""))))</f>
        <v>45348</v>
      </c>
      <c r="L38" s="371">
        <f>IF($A38="","",IF(ISNUMBER(SEARCH("Proposal",$A38)),IFERROR(VLOOKUP(TRIM($A38),Proposals!$N$13:$S$18,6,FALSE),""),IF($E38="","",IFERROR(_xlfn.MAXIFS('Timesheet Raw'!$L$4:$L$8000,'Timesheet Raw'!$B$4:$B$8000,$A38,'Timesheet Raw'!$M$4:$M$8000,$E38),""))))</f>
        <v>45480</v>
      </c>
      <c r="M38" s="340">
        <f t="shared" si="2"/>
        <v>133</v>
      </c>
      <c r="N38" s="340">
        <f>IF($K38="","",IF(COUNT('Work Calendar'!$E$6:$E$200)=0,NETWORKDAYS.INTL($K38,$L38,'Work Calendar'!$B$31),NETWORKDAYS.INTL($K38,$L38,'Work Calendar'!$B$31,'Work Calendar'!$E$6:$E$200)))</f>
        <v>95</v>
      </c>
      <c r="O38" s="340">
        <f>IF(OR($A38="",$E38=""),"",SUMIFS('Timesheet Raw'!$BV$4:$BV$8000,'Timesheet Raw'!$B$4:$B$8000,$A38,'Timesheet Raw'!$M$4:$M$8000,$E38))</f>
        <v>72</v>
      </c>
      <c r="P38" s="340">
        <f t="shared" si="3"/>
        <v>23</v>
      </c>
      <c r="Q38" s="386">
        <f t="shared" si="4"/>
        <v>0.24210526315789474</v>
      </c>
      <c r="R38" t="str">
        <f>IF($A38="","",IF($E38="","set TS Phase",IF($G38=0,"Never charged",IF($L38&lt;'Work Calendar'!$B$17-21,"Dormant since "&amp;TEXT($L38,"yyyy-mm-dd"),"Active"))))</f>
        <v>Dormant since 2024-07-07</v>
      </c>
      <c r="S38" s="340">
        <f>IF(OR($A38="",$E38=""),"",IFERROR(_xlfn.MAXIFS('Timesheet Raw'!$BX$4:$BX$8000,'Timesheet Raw'!$B$4:$B$8000,$A38,'Timesheet Raw'!$M$4:$M$8000,$E38),""))</f>
        <v>9</v>
      </c>
      <c r="T38" s="371" cm="1">
        <f t="array" ref="T38">IF(OR($S38="",$S38=0),"",IFERROR(INDEX('Timesheet Raw'!$BW$4:$BW$8000,MATCH(1,INDEX(('Timesheet Raw'!$B$4:$B$8000=$A38)*('Timesheet Raw'!$M$4:$M$8000=$E38)*('Timesheet Raw'!$BX$4:$BX$8000=$S38),0),0)),""))</f>
        <v>45389</v>
      </c>
      <c r="U38" s="371" cm="1">
        <f t="array" ref="U38">IF(OR($S38="",$S38=0),"",IFERROR(INDEX('Timesheet Raw'!$L$4:$L$8000,MATCH(1,INDEX(('Timesheet Raw'!$B$4:$B$8000=$A38)*('Timesheet Raw'!$M$4:$M$8000=$E38)*('Timesheet Raw'!$BX$4:$BX$8000=$S38),0),0)),""))</f>
        <v>45403</v>
      </c>
      <c r="V38" s="340">
        <f>IF(OR($A38="",$E38="",$G38=0),"",1+COUNTIFS('Timesheet Raw'!$B$4:$B$8000,$A38,'Timesheet Raw'!$M$4:$M$8000,$E38,'Timesheet Raw'!$BX$4:$BX$8000,"&gt;="&amp;'Work Calendar'!$B$32))</f>
        <v>5</v>
      </c>
      <c r="W38" s="376"/>
      <c r="X38" s="376"/>
      <c r="Y38" s="376"/>
      <c r="Z38" s="376"/>
      <c r="AA38" s="376"/>
      <c r="AB38" s="376"/>
      <c r="AC38" s="396" t="str">
        <f t="shared" si="5"/>
        <v/>
      </c>
      <c r="AD38" s="396" t="str">
        <f t="shared" si="6"/>
        <v/>
      </c>
      <c r="AE38" s="340" t="str">
        <f>IF(OR($Y38="",$Z38=""),"",MAX(0,NETWORKDAYS.INTL($Y38,$Z38,'Work Calendar'!$B$31)-2))</f>
        <v/>
      </c>
      <c r="AF38" s="344">
        <f t="shared" si="7"/>
        <v>23</v>
      </c>
      <c r="AG38" t="str">
        <f t="shared" si="8"/>
        <v>no manual dates</v>
      </c>
      <c r="AH38" s="384">
        <f>IF(OR($A38="",$E38=""),"",IF(COUNTIFS($A$5:$A38,$A38,$E$5:$E38,$E38)=1,1,0))</f>
        <v>1</v>
      </c>
    </row>
    <row r="39" spans="1:34" x14ac:dyDescent="0.3">
      <c r="A39" t="str">
        <f>IF(Deliverables!$A39="","",TRIM(Deliverables!$A39))</f>
        <v>S24014-0102D</v>
      </c>
      <c r="B39" t="str">
        <f>IF($A39="","",Deliverables!$C39)</f>
        <v>Concept Design</v>
      </c>
      <c r="C39" t="str">
        <f>IF($A39="","",Deliverables!$D39)</f>
        <v>CD</v>
      </c>
      <c r="D39" t="str">
        <f>IF($A39="","",IF(Deliverables!$G39="","not started",Deliverables!$G39))</f>
        <v>Client acceptance</v>
      </c>
      <c r="E39" s="387"/>
      <c r="F39" s="384">
        <f>IF($A39="","",IF(ISNUMBER(SEARCH("Proposal",$A39)),1,IF(N(Deliverables!$H39)&gt;0,1,0)))</f>
        <v>1</v>
      </c>
      <c r="G39" s="385">
        <f>IF($A39="","",IF(ISNUMBER(SEARCH("Proposal",$A39)),IFERROR(VLOOKUP(TRIM($A39),Proposals!$N$13:$Q$18,4,FALSE),0),IF($E39="","",SUMIFS('Timesheet Raw'!$P$4:$P$8000,'Timesheet Raw'!$B$4:$B$8000,$A39,'Timesheet Raw'!$M$4:$M$8000,$E39))))</f>
        <v>491.25</v>
      </c>
      <c r="H39" s="384">
        <f t="shared" si="0"/>
        <v>1</v>
      </c>
      <c r="I39" s="385">
        <f t="shared" si="1"/>
        <v>491.25</v>
      </c>
      <c r="J39" s="341">
        <f>IF($I39="","",$I39/'Profit Plan'!$B$5)</f>
        <v>2.6554054054054053</v>
      </c>
      <c r="K39" s="371">
        <f>IF($A39="","",IF(ISNUMBER(SEARCH("Proposal",$A39)),IFERROR(VLOOKUP(TRIM($A39),Proposals!$N$13:$S$18,5,FALSE),""),IF($E39="","",IFERROR(_xlfn.MINIFS('Timesheet Raw'!$L$4:$L$8000,'Timesheet Raw'!$B$4:$B$8000,$A39,'Timesheet Raw'!$M$4:$M$8000,$E39),""))))</f>
        <v>45756</v>
      </c>
      <c r="L39" s="371">
        <f>IF($A39="","",IF(ISNUMBER(SEARCH("Proposal",$A39)),IFERROR(VLOOKUP(TRIM($A39),Proposals!$N$13:$S$18,6,FALSE),""),IF($E39="","",IFERROR(_xlfn.MAXIFS('Timesheet Raw'!$L$4:$L$8000,'Timesheet Raw'!$B$4:$B$8000,$A39,'Timesheet Raw'!$M$4:$M$8000,$E39),""))))</f>
        <v>45924</v>
      </c>
      <c r="M39" s="340">
        <f t="shared" si="2"/>
        <v>169</v>
      </c>
      <c r="N39" s="340">
        <f>IF($K39="","",IF(COUNT('Work Calendar'!$E$6:$E$200)=0,NETWORKDAYS.INTL($K39,$L39,'Work Calendar'!$B$31),NETWORKDAYS.INTL($K39,$L39,'Work Calendar'!$B$31,'Work Calendar'!$E$6:$E$200)))</f>
        <v>121</v>
      </c>
      <c r="O39" s="340">
        <f>IF(OR($A39="",$E39=""),"",SUMIFS('Timesheet Raw'!$BV$4:$BV$8000,'Timesheet Raw'!$B$4:$B$8000,$A39,'Timesheet Raw'!$M$4:$M$8000,$E39))</f>
        <v>72</v>
      </c>
      <c r="P39" s="340">
        <f t="shared" si="3"/>
        <v>49</v>
      </c>
      <c r="Q39" s="386">
        <f t="shared" si="4"/>
        <v>0.4049586776859504</v>
      </c>
      <c r="R39" t="str">
        <f>IF($A39="","",IF($E39="","set TS Phase",IF($G39=0,"Never charged",IF($L39&lt;'Work Calendar'!$B$17-21,"Dormant since "&amp;TEXT($L39,"yyyy-mm-dd"),"Active"))))</f>
        <v>Dormant since 2025-09-24</v>
      </c>
      <c r="S39" s="340">
        <f>IF(OR($A39="",$E39=""),"",IFERROR(_xlfn.MAXIFS('Timesheet Raw'!$BX$4:$BX$8000,'Timesheet Raw'!$B$4:$B$8000,$A39,'Timesheet Raw'!$M$4:$M$8000,$E39),""))</f>
        <v>16</v>
      </c>
      <c r="T39" s="371" cm="1">
        <f t="array" ref="T39">IF(OR($S39="",$S39=0),"",IFERROR(INDEX('Timesheet Raw'!$BW$4:$BW$8000,MATCH(1,INDEX(('Timesheet Raw'!$B$4:$B$8000=$A39)*('Timesheet Raw'!$M$4:$M$8000=$E39)*('Timesheet Raw'!$BX$4:$BX$8000=$S39),0),0)),""))</f>
        <v>45764</v>
      </c>
      <c r="U39" s="371" cm="1">
        <f t="array" ref="U39">IF(OR($S39="",$S39=0),"",IFERROR(INDEX('Timesheet Raw'!$L$4:$L$8000,MATCH(1,INDEX(('Timesheet Raw'!$B$4:$B$8000=$A39)*('Timesheet Raw'!$M$4:$M$8000=$E39)*('Timesheet Raw'!$BX$4:$BX$8000=$S39),0),0)),""))</f>
        <v>45789</v>
      </c>
      <c r="V39" s="340">
        <f>IF(OR($A39="",$E39="",$G39=0),"",1+COUNTIFS('Timesheet Raw'!$B$4:$B$8000,$A39,'Timesheet Raw'!$M$4:$M$8000,$E39,'Timesheet Raw'!$BX$4:$BX$8000,"&gt;="&amp;'Work Calendar'!$B$32))</f>
        <v>6</v>
      </c>
      <c r="W39" s="376"/>
      <c r="X39" s="376"/>
      <c r="Y39" s="376"/>
      <c r="Z39" s="376"/>
      <c r="AA39" s="376"/>
      <c r="AB39" s="376"/>
      <c r="AC39" s="396" t="str">
        <f t="shared" si="5"/>
        <v/>
      </c>
      <c r="AD39" s="396" t="str">
        <f t="shared" si="6"/>
        <v/>
      </c>
      <c r="AE39" s="340" t="str">
        <f>IF(OR($Y39="",$Z39=""),"",MAX(0,NETWORKDAYS.INTL($Y39,$Z39,'Work Calendar'!$B$31)-2))</f>
        <v/>
      </c>
      <c r="AF39" s="344">
        <f t="shared" si="7"/>
        <v>49</v>
      </c>
      <c r="AG39" t="str">
        <f t="shared" si="8"/>
        <v>no manual dates</v>
      </c>
      <c r="AH39" s="384">
        <f>IF(OR($A39="",$E39=""),"",IF(COUNTIFS($A$5:$A39,$A39,$E$5:$E39,$E39)=1,1,0))</f>
        <v>1</v>
      </c>
    </row>
    <row r="40" spans="1:34" x14ac:dyDescent="0.3">
      <c r="A40" t="str">
        <f>IF(Deliverables!$A40="","",TRIM(Deliverables!$A40))</f>
        <v>S24014-0103D</v>
      </c>
      <c r="B40" t="str">
        <f>IF($A40="","",Deliverables!$C40)</f>
        <v>Concept Design</v>
      </c>
      <c r="C40" t="str">
        <f>IF($A40="","",Deliverables!$D40)</f>
        <v>CD</v>
      </c>
      <c r="D40" t="str">
        <f>IF($A40="","",IF(Deliverables!$G40="","not started",Deliverables!$G40))</f>
        <v>Client acceptance</v>
      </c>
      <c r="E40" s="387"/>
      <c r="F40" s="384">
        <f>IF($A40="","",IF(ISNUMBER(SEARCH("Proposal",$A40)),1,IF(N(Deliverables!$H40)&gt;0,1,0)))</f>
        <v>1</v>
      </c>
      <c r="G40" s="385">
        <f>IF($A40="","",IF(ISNUMBER(SEARCH("Proposal",$A40)),IFERROR(VLOOKUP(TRIM($A40),Proposals!$N$13:$Q$18,4,FALSE),0),IF($E40="","",SUMIFS('Timesheet Raw'!$P$4:$P$8000,'Timesheet Raw'!$B$4:$B$8000,$A40,'Timesheet Raw'!$M$4:$M$8000,$E40))))</f>
        <v>804.75</v>
      </c>
      <c r="H40" s="384">
        <f t="shared" si="0"/>
        <v>1</v>
      </c>
      <c r="I40" s="385">
        <f t="shared" si="1"/>
        <v>804.75</v>
      </c>
      <c r="J40" s="341">
        <f>IF($I40="","",$I40/'Profit Plan'!$B$5)</f>
        <v>4.3499999999999996</v>
      </c>
      <c r="K40" s="371">
        <f>IF($A40="","",IF(ISNUMBER(SEARCH("Proposal",$A40)),IFERROR(VLOOKUP(TRIM($A40),Proposals!$N$13:$S$18,5,FALSE),""),IF($E40="","",IFERROR(_xlfn.MINIFS('Timesheet Raw'!$L$4:$L$8000,'Timesheet Raw'!$B$4:$B$8000,$A40,'Timesheet Raw'!$M$4:$M$8000,$E40),""))))</f>
        <v>45537</v>
      </c>
      <c r="L40" s="371">
        <f>IF($A40="","",IF(ISNUMBER(SEARCH("Proposal",$A40)),IFERROR(VLOOKUP(TRIM($A40),Proposals!$N$13:$S$18,6,FALSE),""),IF($E40="","",IFERROR(_xlfn.MAXIFS('Timesheet Raw'!$L$4:$L$8000,'Timesheet Raw'!$B$4:$B$8000,$A40,'Timesheet Raw'!$M$4:$M$8000,$E40),""))))</f>
        <v>45643</v>
      </c>
      <c r="M40" s="340">
        <f t="shared" si="2"/>
        <v>107</v>
      </c>
      <c r="N40" s="340">
        <f>IF($K40="","",IF(COUNT('Work Calendar'!$E$6:$E$200)=0,NETWORKDAYS.INTL($K40,$L40,'Work Calendar'!$B$31),NETWORKDAYS.INTL($K40,$L40,'Work Calendar'!$B$31,'Work Calendar'!$E$6:$E$200)))</f>
        <v>77</v>
      </c>
      <c r="O40" s="340">
        <f>IF(OR($A40="",$E40=""),"",SUMIFS('Timesheet Raw'!$BV$4:$BV$8000,'Timesheet Raw'!$B$4:$B$8000,$A40,'Timesheet Raw'!$M$4:$M$8000,$E40))</f>
        <v>66</v>
      </c>
      <c r="P40" s="340">
        <f t="shared" si="3"/>
        <v>11</v>
      </c>
      <c r="Q40" s="386">
        <f t="shared" si="4"/>
        <v>0.14285714285714285</v>
      </c>
      <c r="R40" t="str">
        <f>IF($A40="","",IF($E40="","set TS Phase",IF($G40=0,"Never charged",IF($L40&lt;'Work Calendar'!$B$17-21,"Dormant since "&amp;TEXT($L40,"yyyy-mm-dd"),"Active"))))</f>
        <v>Dormant since 2024-12-17</v>
      </c>
      <c r="S40" s="340">
        <f>IF(OR($A40="",$E40=""),"",IFERROR(_xlfn.MAXIFS('Timesheet Raw'!$BX$4:$BX$8000,'Timesheet Raw'!$B$4:$B$8000,$A40,'Timesheet Raw'!$M$4:$M$8000,$E40),""))</f>
        <v>5</v>
      </c>
      <c r="T40" s="371" cm="1">
        <f t="array" ref="T40">IF(OR($S40="",$S40=0),"",IFERROR(INDEX('Timesheet Raw'!$BW$4:$BW$8000,MATCH(1,INDEX(('Timesheet Raw'!$B$4:$B$8000=$A40)*('Timesheet Raw'!$M$4:$M$8000=$E40)*('Timesheet Raw'!$BX$4:$BX$8000=$S40),0),0)),""))</f>
        <v>45537</v>
      </c>
      <c r="U40" s="371" cm="1">
        <f t="array" ref="U40">IF(OR($S40="",$S40=0),"",IFERROR(INDEX('Timesheet Raw'!$L$4:$L$8000,MATCH(1,INDEX(('Timesheet Raw'!$B$4:$B$8000=$A40)*('Timesheet Raw'!$M$4:$M$8000=$E40)*('Timesheet Raw'!$BX$4:$BX$8000=$S40),0),0)),""))</f>
        <v>45545</v>
      </c>
      <c r="V40" s="340">
        <f>IF(OR($A40="",$E40="",$G40=0),"",1+COUNTIFS('Timesheet Raw'!$B$4:$B$8000,$A40,'Timesheet Raw'!$M$4:$M$8000,$E40,'Timesheet Raw'!$BX$4:$BX$8000,"&gt;="&amp;'Work Calendar'!$B$32))</f>
        <v>2</v>
      </c>
      <c r="W40" s="376"/>
      <c r="X40" s="376"/>
      <c r="Y40" s="376"/>
      <c r="Z40" s="376"/>
      <c r="AA40" s="376"/>
      <c r="AB40" s="376"/>
      <c r="AC40" s="396" t="str">
        <f t="shared" si="5"/>
        <v/>
      </c>
      <c r="AD40" s="396" t="str">
        <f t="shared" si="6"/>
        <v/>
      </c>
      <c r="AE40" s="340" t="str">
        <f>IF(OR($Y40="",$Z40=""),"",MAX(0,NETWORKDAYS.INTL($Y40,$Z40,'Work Calendar'!$B$31)-2))</f>
        <v/>
      </c>
      <c r="AF40" s="344">
        <f t="shared" si="7"/>
        <v>11</v>
      </c>
      <c r="AG40" t="str">
        <f t="shared" si="8"/>
        <v>no manual dates</v>
      </c>
      <c r="AH40" s="384">
        <f>IF(OR($A40="",$E40=""),"",IF(COUNTIFS($A$5:$A40,$A40,$E$5:$E40,$E40)=1,1,0))</f>
        <v>1</v>
      </c>
    </row>
    <row r="41" spans="1:34" x14ac:dyDescent="0.3">
      <c r="A41" t="str">
        <f>IF(Deliverables!$A41="","",TRIM(Deliverables!$A41))</f>
        <v>S24014-0104D</v>
      </c>
      <c r="B41" t="str">
        <f>IF($A41="","",Deliverables!$C41)</f>
        <v>Report</v>
      </c>
      <c r="C41" t="str">
        <f>IF($A41="","",Deliverables!$D41)</f>
        <v>SA</v>
      </c>
      <c r="D41" t="str">
        <f>IF($A41="","",IF(Deliverables!$G41="","not started",Deliverables!$G41))</f>
        <v>Comments closed</v>
      </c>
      <c r="E41" s="387"/>
      <c r="F41" s="384">
        <f>IF($A41="","",IF(ISNUMBER(SEARCH("Proposal",$A41)),1,IF(N(Deliverables!$H41)&gt;0,1,0)))</f>
        <v>1</v>
      </c>
      <c r="G41" s="385">
        <f>IF($A41="","",IF(ISNUMBER(SEARCH("Proposal",$A41)),IFERROR(VLOOKUP(TRIM($A41),Proposals!$N$13:$Q$18,4,FALSE),0),IF($E41="","",SUMIFS('Timesheet Raw'!$P$4:$P$8000,'Timesheet Raw'!$B$4:$B$8000,$A41,'Timesheet Raw'!$M$4:$M$8000,$E41))))</f>
        <v>225</v>
      </c>
      <c r="H41" s="384">
        <f t="shared" si="0"/>
        <v>1</v>
      </c>
      <c r="I41" s="385">
        <f t="shared" si="1"/>
        <v>225</v>
      </c>
      <c r="J41" s="341">
        <f>IF($I41="","",$I41/'Profit Plan'!$B$5)</f>
        <v>1.2162162162162162</v>
      </c>
      <c r="K41" s="371">
        <f>IF($A41="","",IF(ISNUMBER(SEARCH("Proposal",$A41)),IFERROR(VLOOKUP(TRIM($A41),Proposals!$N$13:$S$18,5,FALSE),""),IF($E41="","",IFERROR(_xlfn.MINIFS('Timesheet Raw'!$L$4:$L$8000,'Timesheet Raw'!$B$4:$B$8000,$A41,'Timesheet Raw'!$M$4:$M$8000,$E41),""))))</f>
        <v>45539</v>
      </c>
      <c r="L41" s="371">
        <f>IF($A41="","",IF(ISNUMBER(SEARCH("Proposal",$A41)),IFERROR(VLOOKUP(TRIM($A41),Proposals!$N$13:$S$18,6,FALSE),""),IF($E41="","",IFERROR(_xlfn.MAXIFS('Timesheet Raw'!$L$4:$L$8000,'Timesheet Raw'!$B$4:$B$8000,$A41,'Timesheet Raw'!$M$4:$M$8000,$E41),""))))</f>
        <v>45903</v>
      </c>
      <c r="M41" s="340">
        <f t="shared" si="2"/>
        <v>365</v>
      </c>
      <c r="N41" s="340">
        <f>IF($K41="","",IF(COUNT('Work Calendar'!$E$6:$E$200)=0,NETWORKDAYS.INTL($K41,$L41,'Work Calendar'!$B$31),NETWORKDAYS.INTL($K41,$L41,'Work Calendar'!$B$31,'Work Calendar'!$E$6:$E$200)))</f>
        <v>261</v>
      </c>
      <c r="O41" s="340">
        <f>IF(OR($A41="",$E41=""),"",SUMIFS('Timesheet Raw'!$BV$4:$BV$8000,'Timesheet Raw'!$B$4:$B$8000,$A41,'Timesheet Raw'!$M$4:$M$8000,$E41))</f>
        <v>74</v>
      </c>
      <c r="P41" s="340">
        <f t="shared" si="3"/>
        <v>187</v>
      </c>
      <c r="Q41" s="386">
        <f t="shared" si="4"/>
        <v>0.71647509578544066</v>
      </c>
      <c r="R41" t="str">
        <f>IF($A41="","",IF($E41="","set TS Phase",IF($G41=0,"Never charged",IF($L41&lt;'Work Calendar'!$B$17-21,"Dormant since "&amp;TEXT($L41,"yyyy-mm-dd"),"Active"))))</f>
        <v>Dormant since 2025-09-03</v>
      </c>
      <c r="S41" s="340">
        <f>IF(OR($A41="",$E41=""),"",IFERROR(_xlfn.MAXIFS('Timesheet Raw'!$BX$4:$BX$8000,'Timesheet Raw'!$B$4:$B$8000,$A41,'Timesheet Raw'!$M$4:$M$8000,$E41),""))</f>
        <v>45</v>
      </c>
      <c r="T41" s="371" cm="1">
        <f t="array" ref="T41">IF(OR($S41="",$S41=0),"",IFERROR(INDEX('Timesheet Raw'!$BW$4:$BW$8000,MATCH(1,INDEX(('Timesheet Raw'!$B$4:$B$8000=$A41)*('Timesheet Raw'!$M$4:$M$8000=$E41)*('Timesheet Raw'!$BX$4:$BX$8000=$S41),0),0)),""))</f>
        <v>45833</v>
      </c>
      <c r="U41" s="371" cm="1">
        <f t="array" ref="U41">IF(OR($S41="",$S41=0),"",IFERROR(INDEX('Timesheet Raw'!$L$4:$L$8000,MATCH(1,INDEX(('Timesheet Raw'!$B$4:$B$8000=$A41)*('Timesheet Raw'!$M$4:$M$8000=$E41)*('Timesheet Raw'!$BX$4:$BX$8000=$S41),0),0)),""))</f>
        <v>45897</v>
      </c>
      <c r="V41" s="340">
        <f>IF(OR($A41="",$E41="",$G41=0),"",1+COUNTIFS('Timesheet Raw'!$B$4:$B$8000,$A41,'Timesheet Raw'!$M$4:$M$8000,$E41,'Timesheet Raw'!$BX$4:$BX$8000,"&gt;="&amp;'Work Calendar'!$B$32))</f>
        <v>13</v>
      </c>
      <c r="W41" s="376"/>
      <c r="X41" s="376"/>
      <c r="Y41" s="376"/>
      <c r="Z41" s="376"/>
      <c r="AA41" s="376"/>
      <c r="AB41" s="376"/>
      <c r="AC41" s="396" t="str">
        <f t="shared" si="5"/>
        <v/>
      </c>
      <c r="AD41" s="396" t="str">
        <f t="shared" si="6"/>
        <v/>
      </c>
      <c r="AE41" s="340" t="str">
        <f>IF(OR($Y41="",$Z41=""),"",MAX(0,NETWORKDAYS.INTL($Y41,$Z41,'Work Calendar'!$B$31)-2))</f>
        <v/>
      </c>
      <c r="AF41" s="344">
        <f t="shared" si="7"/>
        <v>187</v>
      </c>
      <c r="AG41" t="str">
        <f t="shared" si="8"/>
        <v>no manual dates</v>
      </c>
      <c r="AH41" s="384">
        <f>IF(OR($A41="",$E41=""),"",IF(COUNTIFS($A$5:$A41,$A41,$E$5:$E41,$E41)=1,1,0))</f>
        <v>1</v>
      </c>
    </row>
    <row r="42" spans="1:34" x14ac:dyDescent="0.3">
      <c r="A42" t="str">
        <f>IF(Deliverables!$A42="","",TRIM(Deliverables!$A42))</f>
        <v>S22058-0700D</v>
      </c>
      <c r="B42" t="str">
        <f>IF($A42="","",Deliverables!$C42)</f>
        <v>Concept Design</v>
      </c>
      <c r="C42" t="str">
        <f>IF($A42="","",Deliverables!$D42)</f>
        <v>CD</v>
      </c>
      <c r="D42" t="str">
        <f>IF($A42="","",IF(Deliverables!$G42="","not started",Deliverables!$G42))</f>
        <v>Client acceptance</v>
      </c>
      <c r="E42" s="387"/>
      <c r="F42" s="384">
        <f>IF($A42="","",IF(ISNUMBER(SEARCH("Proposal",$A42)),1,IF(N(Deliverables!$H42)&gt;0,1,0)))</f>
        <v>1</v>
      </c>
      <c r="G42" s="385">
        <f>IF($A42="","",IF(ISNUMBER(SEARCH("Proposal",$A42)),IFERROR(VLOOKUP(TRIM($A42),Proposals!$N$13:$Q$18,4,FALSE),0),IF($E42="","",SUMIFS('Timesheet Raw'!$P$4:$P$8000,'Timesheet Raw'!$B$4:$B$8000,$A42,'Timesheet Raw'!$M$4:$M$8000,$E42))))</f>
        <v>946.5</v>
      </c>
      <c r="H42" s="384">
        <f t="shared" si="0"/>
        <v>1</v>
      </c>
      <c r="I42" s="385">
        <f t="shared" si="1"/>
        <v>946.5</v>
      </c>
      <c r="J42" s="341">
        <f>IF($I42="","",$I42/'Profit Plan'!$B$5)</f>
        <v>5.1162162162162161</v>
      </c>
      <c r="K42" s="371">
        <f>IF($A42="","",IF(ISNUMBER(SEARCH("Proposal",$A42)),IFERROR(VLOOKUP(TRIM($A42),Proposals!$N$13:$S$18,5,FALSE),""),IF($E42="","",IFERROR(_xlfn.MINIFS('Timesheet Raw'!$L$4:$L$8000,'Timesheet Raw'!$B$4:$B$8000,$A42,'Timesheet Raw'!$M$4:$M$8000,$E42),""))))</f>
        <v>45425</v>
      </c>
      <c r="L42" s="371">
        <f>IF($A42="","",IF(ISNUMBER(SEARCH("Proposal",$A42)),IFERROR(VLOOKUP(TRIM($A42),Proposals!$N$13:$S$18,6,FALSE),""),IF($E42="","",IFERROR(_xlfn.MAXIFS('Timesheet Raw'!$L$4:$L$8000,'Timesheet Raw'!$B$4:$B$8000,$A42,'Timesheet Raw'!$M$4:$M$8000,$E42),""))))</f>
        <v>45967</v>
      </c>
      <c r="M42" s="340">
        <f t="shared" si="2"/>
        <v>543</v>
      </c>
      <c r="N42" s="340">
        <f>IF($K42="","",IF(COUNT('Work Calendar'!$E$6:$E$200)=0,NETWORKDAYS.INTL($K42,$L42,'Work Calendar'!$B$31),NETWORKDAYS.INTL($K42,$L42,'Work Calendar'!$B$31,'Work Calendar'!$E$6:$E$200)))</f>
        <v>389</v>
      </c>
      <c r="O42" s="340">
        <f>IF(OR($A42="",$E42=""),"",SUMIFS('Timesheet Raw'!$BV$4:$BV$8000,'Timesheet Raw'!$B$4:$B$8000,$A42,'Timesheet Raw'!$M$4:$M$8000,$E42))</f>
        <v>95</v>
      </c>
      <c r="P42" s="340">
        <f t="shared" si="3"/>
        <v>294</v>
      </c>
      <c r="Q42" s="386">
        <f t="shared" si="4"/>
        <v>0.75578406169665813</v>
      </c>
      <c r="R42" t="str">
        <f>IF($A42="","",IF($E42="","set TS Phase",IF($G42=0,"Never charged",IF($L42&lt;'Work Calendar'!$B$17-21,"Dormant since "&amp;TEXT($L42,"yyyy-mm-dd"),"Active"))))</f>
        <v>Dormant since 2025-11-06</v>
      </c>
      <c r="S42" s="340">
        <f>IF(OR($A42="",$E42=""),"",IFERROR(_xlfn.MAXIFS('Timesheet Raw'!$BX$4:$BX$8000,'Timesheet Raw'!$B$4:$B$8000,$A42,'Timesheet Raw'!$M$4:$M$8000,$E42),""))</f>
        <v>80</v>
      </c>
      <c r="T42" s="371" cm="1">
        <f t="array" ref="T42">IF(OR($S42="",$S42=0),"",IFERROR(INDEX('Timesheet Raw'!$BW$4:$BW$8000,MATCH(1,INDEX(('Timesheet Raw'!$B$4:$B$8000=$A42)*('Timesheet Raw'!$M$4:$M$8000=$E42)*('Timesheet Raw'!$BX$4:$BX$8000=$S42),0),0)),""))</f>
        <v>45522</v>
      </c>
      <c r="U42" s="371" cm="1">
        <f t="array" ref="U42">IF(OR($S42="",$S42=0),"",IFERROR(INDEX('Timesheet Raw'!$L$4:$L$8000,MATCH(1,INDEX(('Timesheet Raw'!$B$4:$B$8000=$A42)*('Timesheet Raw'!$M$4:$M$8000=$E42)*('Timesheet Raw'!$BX$4:$BX$8000=$S42),0),0)),""))</f>
        <v>45635</v>
      </c>
      <c r="V42" s="340">
        <f>IF(OR($A42="",$E42="",$G42=0),"",1+COUNTIFS('Timesheet Raw'!$B$4:$B$8000,$A42,'Timesheet Raw'!$M$4:$M$8000,$E42,'Timesheet Raw'!$BX$4:$BX$8000,"&gt;="&amp;'Work Calendar'!$B$32))</f>
        <v>13</v>
      </c>
      <c r="W42" s="376"/>
      <c r="X42" s="376"/>
      <c r="Y42" s="376"/>
      <c r="Z42" s="376"/>
      <c r="AA42" s="376"/>
      <c r="AB42" s="376"/>
      <c r="AC42" s="396" t="str">
        <f t="shared" si="5"/>
        <v/>
      </c>
      <c r="AD42" s="396" t="str">
        <f t="shared" si="6"/>
        <v/>
      </c>
      <c r="AE42" s="340" t="str">
        <f>IF(OR($Y42="",$Z42=""),"",MAX(0,NETWORKDAYS.INTL($Y42,$Z42,'Work Calendar'!$B$31)-2))</f>
        <v/>
      </c>
      <c r="AF42" s="344">
        <f t="shared" si="7"/>
        <v>294</v>
      </c>
      <c r="AG42" t="str">
        <f t="shared" si="8"/>
        <v>no manual dates</v>
      </c>
      <c r="AH42" s="384">
        <f>IF(OR($A42="",$E42=""),"",IF(COUNTIFS($A$5:$A42,$A42,$E$5:$E42,$E42)=1,1,0))</f>
        <v>1</v>
      </c>
    </row>
    <row r="43" spans="1:34" x14ac:dyDescent="0.3">
      <c r="A43" t="str">
        <f>IF(Deliverables!$A43="","",TRIM(Deliverables!$A43))</f>
        <v>AN24185-0100R</v>
      </c>
      <c r="B43" t="str">
        <f>IF($A43="","",Deliverables!$C43)</f>
        <v>Design Review</v>
      </c>
      <c r="C43" t="str">
        <f>IF($A43="","",Deliverables!$D43)</f>
        <v>DR</v>
      </c>
      <c r="D43" t="str">
        <f>IF($A43="","",IF(Deliverables!$G43="","not started",Deliverables!$G43))</f>
        <v>Comment closeout confirmed</v>
      </c>
      <c r="E43" s="387"/>
      <c r="F43" s="384">
        <f>IF($A43="","",IF(ISNUMBER(SEARCH("Proposal",$A43)),1,IF(N(Deliverables!$H43)&gt;0,1,0)))</f>
        <v>1</v>
      </c>
      <c r="G43" s="385">
        <f>IF($A43="","",IF(ISNUMBER(SEARCH("Proposal",$A43)),IFERROR(VLOOKUP(TRIM($A43),Proposals!$N$13:$Q$18,4,FALSE),0),IF($E43="","",SUMIFS('Timesheet Raw'!$P$4:$P$8000,'Timesheet Raw'!$B$4:$B$8000,$A43,'Timesheet Raw'!$M$4:$M$8000,$E43))))</f>
        <v>547.75</v>
      </c>
      <c r="H43" s="384">
        <f t="shared" si="0"/>
        <v>1</v>
      </c>
      <c r="I43" s="385">
        <f t="shared" si="1"/>
        <v>547.75</v>
      </c>
      <c r="J43" s="341">
        <f>IF($I43="","",$I43/'Profit Plan'!$B$5)</f>
        <v>2.9608108108108109</v>
      </c>
      <c r="K43" s="371">
        <f>IF($A43="","",IF(ISNUMBER(SEARCH("Proposal",$A43)),IFERROR(VLOOKUP(TRIM($A43),Proposals!$N$13:$S$18,5,FALSE),""),IF($E43="","",IFERROR(_xlfn.MINIFS('Timesheet Raw'!$L$4:$L$8000,'Timesheet Raw'!$B$4:$B$8000,$A43,'Timesheet Raw'!$M$4:$M$8000,$E43),""))))</f>
        <v>45585</v>
      </c>
      <c r="L43" s="371">
        <f>IF($A43="","",IF(ISNUMBER(SEARCH("Proposal",$A43)),IFERROR(VLOOKUP(TRIM($A43),Proposals!$N$13:$S$18,6,FALSE),""),IF($E43="","",IFERROR(_xlfn.MAXIFS('Timesheet Raw'!$L$4:$L$8000,'Timesheet Raw'!$B$4:$B$8000,$A43,'Timesheet Raw'!$M$4:$M$8000,$E43),""))))</f>
        <v>46112</v>
      </c>
      <c r="M43" s="340">
        <f t="shared" si="2"/>
        <v>528</v>
      </c>
      <c r="N43" s="340">
        <f>IF($K43="","",IF(COUNT('Work Calendar'!$E$6:$E$200)=0,NETWORKDAYS.INTL($K43,$L43,'Work Calendar'!$B$31),NETWORKDAYS.INTL($K43,$L43,'Work Calendar'!$B$31,'Work Calendar'!$E$6:$E$200)))</f>
        <v>378</v>
      </c>
      <c r="O43" s="340">
        <f>IF(OR($A43="",$E43=""),"",SUMIFS('Timesheet Raw'!$BV$4:$BV$8000,'Timesheet Raw'!$B$4:$B$8000,$A43,'Timesheet Raw'!$M$4:$M$8000,$E43))</f>
        <v>77</v>
      </c>
      <c r="P43" s="340">
        <f t="shared" si="3"/>
        <v>301</v>
      </c>
      <c r="Q43" s="386">
        <f t="shared" si="4"/>
        <v>0.79629629629629628</v>
      </c>
      <c r="R43" t="str">
        <f>IF($A43="","",IF($E43="","set TS Phase",IF($G43=0,"Never charged",IF($L43&lt;'Work Calendar'!$B$17-21,"Dormant since "&amp;TEXT($L43,"yyyy-mm-dd"),"Active"))))</f>
        <v>Dormant since 2026-03-31</v>
      </c>
      <c r="S43" s="340">
        <f>IF(OR($A43="",$E43=""),"",IFERROR(_xlfn.MAXIFS('Timesheet Raw'!$BX$4:$BX$8000,'Timesheet Raw'!$B$4:$B$8000,$A43,'Timesheet Raw'!$M$4:$M$8000,$E43),""))</f>
        <v>82</v>
      </c>
      <c r="T43" s="371" cm="1">
        <f t="array" ref="T43">IF(OR($S43="",$S43=0),"",IFERROR(INDEX('Timesheet Raw'!$BW$4:$BW$8000,MATCH(1,INDEX(('Timesheet Raw'!$B$4:$B$8000=$A43)*('Timesheet Raw'!$M$4:$M$8000=$E43)*('Timesheet Raw'!$BX$4:$BX$8000=$S43),0),0)),""))</f>
        <v>45956</v>
      </c>
      <c r="U43" s="371" cm="1">
        <f t="array" ref="U43">IF(OR($S43="",$S43=0),"",IFERROR(INDEX('Timesheet Raw'!$L$4:$L$8000,MATCH(1,INDEX(('Timesheet Raw'!$B$4:$B$8000=$A43)*('Timesheet Raw'!$M$4:$M$8000=$E43)*('Timesheet Raw'!$BX$4:$BX$8000=$S43),0),0)),""))</f>
        <v>46071</v>
      </c>
      <c r="V43" s="340">
        <f>IF(OR($A43="",$E43="",$G43=0),"",1+COUNTIFS('Timesheet Raw'!$B$4:$B$8000,$A43,'Timesheet Raw'!$M$4:$M$8000,$E43,'Timesheet Raw'!$BX$4:$BX$8000,"&gt;="&amp;'Work Calendar'!$B$32))</f>
        <v>27</v>
      </c>
      <c r="W43" s="376"/>
      <c r="X43" s="376"/>
      <c r="Y43" s="376"/>
      <c r="Z43" s="376"/>
      <c r="AA43" s="376"/>
      <c r="AB43" s="376"/>
      <c r="AC43" s="396" t="str">
        <f t="shared" si="5"/>
        <v/>
      </c>
      <c r="AD43" s="396" t="str">
        <f t="shared" si="6"/>
        <v/>
      </c>
      <c r="AE43" s="340" t="str">
        <f>IF(OR($Y43="",$Z43=""),"",MAX(0,NETWORKDAYS.INTL($Y43,$Z43,'Work Calendar'!$B$31)-2))</f>
        <v/>
      </c>
      <c r="AF43" s="344">
        <f t="shared" si="7"/>
        <v>301</v>
      </c>
      <c r="AG43" t="str">
        <f t="shared" si="8"/>
        <v>no manual dates</v>
      </c>
      <c r="AH43" s="384">
        <f>IF(OR($A43="",$E43=""),"",IF(COUNTIFS($A$5:$A43,$A43,$E$5:$E43,$E43)=1,1,0))</f>
        <v>1</v>
      </c>
    </row>
    <row r="44" spans="1:34" x14ac:dyDescent="0.3">
      <c r="A44" t="str">
        <f>IF(Deliverables!$A44="","",TRIM(Deliverables!$A44))</f>
        <v>AN23232-0100D</v>
      </c>
      <c r="B44" t="str">
        <f>IF($A44="","",Deliverables!$C44)</f>
        <v>Concept Design</v>
      </c>
      <c r="C44" t="str">
        <f>IF($A44="","",Deliverables!$D44)</f>
        <v>CD</v>
      </c>
      <c r="D44" t="str">
        <f>IF($A44="","",IF(Deliverables!$G44="","not started",Deliverables!$G44))</f>
        <v>Client acceptance</v>
      </c>
      <c r="E44" s="387"/>
      <c r="F44" s="384">
        <f>IF($A44="","",IF(ISNUMBER(SEARCH("Proposal",$A44)),1,IF(N(Deliverables!$H44)&gt;0,1,0)))</f>
        <v>1</v>
      </c>
      <c r="G44" s="385">
        <f>IF($A44="","",IF(ISNUMBER(SEARCH("Proposal",$A44)),IFERROR(VLOOKUP(TRIM($A44),Proposals!$N$13:$Q$18,4,FALSE),0),IF($E44="","",SUMIFS('Timesheet Raw'!$P$4:$P$8000,'Timesheet Raw'!$B$4:$B$8000,$A44,'Timesheet Raw'!$M$4:$M$8000,$E44))))</f>
        <v>403.75</v>
      </c>
      <c r="H44" s="384">
        <f t="shared" si="0"/>
        <v>1</v>
      </c>
      <c r="I44" s="385">
        <f t="shared" si="1"/>
        <v>403.75</v>
      </c>
      <c r="J44" s="341">
        <f>IF($I44="","",$I44/'Profit Plan'!$B$5)</f>
        <v>2.1824324324324325</v>
      </c>
      <c r="K44" s="371">
        <f>IF($A44="","",IF(ISNUMBER(SEARCH("Proposal",$A44)),IFERROR(VLOOKUP(TRIM($A44),Proposals!$N$13:$S$18,5,FALSE),""),IF($E44="","",IFERROR(_xlfn.MINIFS('Timesheet Raw'!$L$4:$L$8000,'Timesheet Raw'!$B$4:$B$8000,$A44,'Timesheet Raw'!$M$4:$M$8000,$E44),""))))</f>
        <v>45250</v>
      </c>
      <c r="L44" s="371">
        <f>IF($A44="","",IF(ISNUMBER(SEARCH("Proposal",$A44)),IFERROR(VLOOKUP(TRIM($A44),Proposals!$N$13:$S$18,6,FALSE),""),IF($E44="","",IFERROR(_xlfn.MAXIFS('Timesheet Raw'!$L$4:$L$8000,'Timesheet Raw'!$B$4:$B$8000,$A44,'Timesheet Raw'!$M$4:$M$8000,$E44),""))))</f>
        <v>45466</v>
      </c>
      <c r="M44" s="340">
        <f t="shared" si="2"/>
        <v>217</v>
      </c>
      <c r="N44" s="340">
        <f>IF($K44="","",IF(COUNT('Work Calendar'!$E$6:$E$200)=0,NETWORKDAYS.INTL($K44,$L44,'Work Calendar'!$B$31),NETWORKDAYS.INTL($K44,$L44,'Work Calendar'!$B$31,'Work Calendar'!$E$6:$E$200)))</f>
        <v>155</v>
      </c>
      <c r="O44" s="340">
        <f>IF(OR($A44="",$E44=""),"",SUMIFS('Timesheet Raw'!$BV$4:$BV$8000,'Timesheet Raw'!$B$4:$B$8000,$A44,'Timesheet Raw'!$M$4:$M$8000,$E44))</f>
        <v>53</v>
      </c>
      <c r="P44" s="340">
        <f t="shared" si="3"/>
        <v>102</v>
      </c>
      <c r="Q44" s="386">
        <f t="shared" si="4"/>
        <v>0.65806451612903227</v>
      </c>
      <c r="R44" t="str">
        <f>IF($A44="","",IF($E44="","set TS Phase",IF($G44=0,"Never charged",IF($L44&lt;'Work Calendar'!$B$17-21,"Dormant since "&amp;TEXT($L44,"yyyy-mm-dd"),"Active"))))</f>
        <v>Dormant since 2024-06-23</v>
      </c>
      <c r="S44" s="340">
        <f>IF(OR($A44="",$E44=""),"",IFERROR(_xlfn.MAXIFS('Timesheet Raw'!$BX$4:$BX$8000,'Timesheet Raw'!$B$4:$B$8000,$A44,'Timesheet Raw'!$M$4:$M$8000,$E44),""))</f>
        <v>69</v>
      </c>
      <c r="T44" s="371" cm="1">
        <f t="array" ref="T44">IF(OR($S44="",$S44=0),"",IFERROR(INDEX('Timesheet Raw'!$BW$4:$BW$8000,MATCH(1,INDEX(('Timesheet Raw'!$B$4:$B$8000=$A44)*('Timesheet Raw'!$M$4:$M$8000=$E44)*('Timesheet Raw'!$BX$4:$BX$8000=$S44),0),0)),""))</f>
        <v>45321</v>
      </c>
      <c r="U44" s="371" cm="1">
        <f t="array" ref="U44">IF(OR($S44="",$S44=0),"",IFERROR(INDEX('Timesheet Raw'!$L$4:$L$8000,MATCH(1,INDEX(('Timesheet Raw'!$B$4:$B$8000=$A44)*('Timesheet Raw'!$M$4:$M$8000=$E44)*('Timesheet Raw'!$BX$4:$BX$8000=$S44),0),0)),""))</f>
        <v>45419</v>
      </c>
      <c r="V44" s="340">
        <f>IF(OR($A44="",$E44="",$G44=0),"",1+COUNTIFS('Timesheet Raw'!$B$4:$B$8000,$A44,'Timesheet Raw'!$M$4:$M$8000,$E44,'Timesheet Raw'!$BX$4:$BX$8000,"&gt;="&amp;'Work Calendar'!$B$32))</f>
        <v>5</v>
      </c>
      <c r="W44" s="376"/>
      <c r="X44" s="376"/>
      <c r="Y44" s="376"/>
      <c r="Z44" s="376"/>
      <c r="AA44" s="376"/>
      <c r="AB44" s="376"/>
      <c r="AC44" s="396" t="str">
        <f t="shared" si="5"/>
        <v/>
      </c>
      <c r="AD44" s="396" t="str">
        <f t="shared" si="6"/>
        <v/>
      </c>
      <c r="AE44" s="340" t="str">
        <f>IF(OR($Y44="",$Z44=""),"",MAX(0,NETWORKDAYS.INTL($Y44,$Z44,'Work Calendar'!$B$31)-2))</f>
        <v/>
      </c>
      <c r="AF44" s="344">
        <f t="shared" si="7"/>
        <v>102</v>
      </c>
      <c r="AG44" t="str">
        <f t="shared" si="8"/>
        <v>no manual dates</v>
      </c>
      <c r="AH44" s="384">
        <f>IF(OR($A44="",$E44=""),"",IF(COUNTIFS($A$5:$A44,$A44,$E$5:$E44,$E44)=1,1,0))</f>
        <v>1</v>
      </c>
    </row>
    <row r="45" spans="1:34" x14ac:dyDescent="0.3">
      <c r="A45" t="str">
        <f>IF(Deliverables!$A45="","",TRIM(Deliverables!$A45))</f>
        <v>S22058-0400D</v>
      </c>
      <c r="B45" t="str">
        <f>IF($A45="","",Deliverables!$C45)</f>
        <v>Concept Design</v>
      </c>
      <c r="C45" t="str">
        <f>IF($A45="","",Deliverables!$D45)</f>
        <v>CD</v>
      </c>
      <c r="D45" t="str">
        <f>IF($A45="","",IF(Deliverables!$G45="","not started",Deliverables!$G45))</f>
        <v>Client acceptance</v>
      </c>
      <c r="E45" s="387"/>
      <c r="F45" s="384">
        <f>IF($A45="","",IF(ISNUMBER(SEARCH("Proposal",$A45)),1,IF(N(Deliverables!$H45)&gt;0,1,0)))</f>
        <v>1</v>
      </c>
      <c r="G45" s="385">
        <f>IF($A45="","",IF(ISNUMBER(SEARCH("Proposal",$A45)),IFERROR(VLOOKUP(TRIM($A45),Proposals!$N$13:$Q$18,4,FALSE),0),IF($E45="","",SUMIFS('Timesheet Raw'!$P$4:$P$8000,'Timesheet Raw'!$B$4:$B$8000,$A45,'Timesheet Raw'!$M$4:$M$8000,$E45))))</f>
        <v>7.5</v>
      </c>
      <c r="H45" s="384">
        <f t="shared" si="0"/>
        <v>1</v>
      </c>
      <c r="I45" s="385">
        <f t="shared" si="1"/>
        <v>7.5</v>
      </c>
      <c r="J45" s="341">
        <f>IF($I45="","",$I45/'Profit Plan'!$B$5)</f>
        <v>4.0540540540540543E-2</v>
      </c>
      <c r="K45" s="371">
        <f>IF($A45="","",IF(ISNUMBER(SEARCH("Proposal",$A45)),IFERROR(VLOOKUP(TRIM($A45),Proposals!$N$13:$S$18,5,FALSE),""),IF($E45="","",IFERROR(_xlfn.MINIFS('Timesheet Raw'!$L$4:$L$8000,'Timesheet Raw'!$B$4:$B$8000,$A45,'Timesheet Raw'!$M$4:$M$8000,$E45),""))))</f>
        <v>45279</v>
      </c>
      <c r="L45" s="371">
        <f>IF($A45="","",IF(ISNUMBER(SEARCH("Proposal",$A45)),IFERROR(VLOOKUP(TRIM($A45),Proposals!$N$13:$S$18,6,FALSE),""),IF($E45="","",IFERROR(_xlfn.MAXIFS('Timesheet Raw'!$L$4:$L$8000,'Timesheet Raw'!$B$4:$B$8000,$A45,'Timesheet Raw'!$M$4:$M$8000,$E45),""))))</f>
        <v>45776</v>
      </c>
      <c r="M45" s="340">
        <f t="shared" si="2"/>
        <v>498</v>
      </c>
      <c r="N45" s="340">
        <f>IF($K45="","",IF(COUNT('Work Calendar'!$E$6:$E$200)=0,NETWORKDAYS.INTL($K45,$L45,'Work Calendar'!$B$31),NETWORKDAYS.INTL($K45,$L45,'Work Calendar'!$B$31,'Work Calendar'!$E$6:$E$200)))</f>
        <v>356</v>
      </c>
      <c r="O45" s="340">
        <f>IF(OR($A45="",$E45=""),"",SUMIFS('Timesheet Raw'!$BV$4:$BV$8000,'Timesheet Raw'!$B$4:$B$8000,$A45,'Timesheet Raw'!$M$4:$M$8000,$E45))</f>
        <v>7</v>
      </c>
      <c r="P45" s="340">
        <f t="shared" si="3"/>
        <v>349</v>
      </c>
      <c r="Q45" s="386">
        <f t="shared" si="4"/>
        <v>0.9803370786516854</v>
      </c>
      <c r="R45" t="str">
        <f>IF($A45="","",IF($E45="","set TS Phase",IF($G45=0,"Never charged",IF($L45&lt;'Work Calendar'!$B$17-21,"Dormant since "&amp;TEXT($L45,"yyyy-mm-dd"),"Active"))))</f>
        <v>Dormant since 2025-04-29</v>
      </c>
      <c r="S45" s="340">
        <f>IF(OR($A45="",$E45=""),"",IFERROR(_xlfn.MAXIFS('Timesheet Raw'!$BX$4:$BX$8000,'Timesheet Raw'!$B$4:$B$8000,$A45,'Timesheet Raw'!$M$4:$M$8000,$E45),""))</f>
        <v>306</v>
      </c>
      <c r="T45" s="371" cm="1">
        <f t="array" ref="T45">IF(OR($S45="",$S45=0),"",IFERROR(INDEX('Timesheet Raw'!$BW$4:$BW$8000,MATCH(1,INDEX(('Timesheet Raw'!$B$4:$B$8000=$A45)*('Timesheet Raw'!$M$4:$M$8000=$E45)*('Timesheet Raw'!$BX$4:$BX$8000=$S45),0),0)),""))</f>
        <v>45347</v>
      </c>
      <c r="U45" s="371" cm="1">
        <f t="array" ref="U45">IF(OR($S45="",$S45=0),"",IFERROR(INDEX('Timesheet Raw'!$L$4:$L$8000,MATCH(1,INDEX(('Timesheet Raw'!$B$4:$B$8000=$A45)*('Timesheet Raw'!$M$4:$M$8000=$E45)*('Timesheet Raw'!$BX$4:$BX$8000=$S45),0),0)),""))</f>
        <v>45776</v>
      </c>
      <c r="V45" s="340">
        <f>IF(OR($A45="",$E45="",$G45=0),"",1+COUNTIFS('Timesheet Raw'!$B$4:$B$8000,$A45,'Timesheet Raw'!$M$4:$M$8000,$E45,'Timesheet Raw'!$BX$4:$BX$8000,"&gt;="&amp;'Work Calendar'!$B$32))</f>
        <v>3</v>
      </c>
      <c r="W45" s="376"/>
      <c r="X45" s="376"/>
      <c r="Y45" s="376"/>
      <c r="Z45" s="376"/>
      <c r="AA45" s="376"/>
      <c r="AB45" s="376"/>
      <c r="AC45" s="396" t="str">
        <f t="shared" si="5"/>
        <v/>
      </c>
      <c r="AD45" s="396" t="str">
        <f t="shared" si="6"/>
        <v/>
      </c>
      <c r="AE45" s="340" t="str">
        <f>IF(OR($Y45="",$Z45=""),"",MAX(0,NETWORKDAYS.INTL($Y45,$Z45,'Work Calendar'!$B$31)-2))</f>
        <v/>
      </c>
      <c r="AF45" s="344">
        <f t="shared" si="7"/>
        <v>349</v>
      </c>
      <c r="AG45" t="str">
        <f t="shared" si="8"/>
        <v>no manual dates</v>
      </c>
      <c r="AH45" s="384">
        <f>IF(OR($A45="",$E45=""),"",IF(COUNTIFS($A$5:$A45,$A45,$E$5:$E45,$E45)=1,1,0))</f>
        <v>1</v>
      </c>
    </row>
    <row r="46" spans="1:34" x14ac:dyDescent="0.3">
      <c r="A46" t="str">
        <f>IF(Deliverables!$A46="","",TRIM(Deliverables!$A46))</f>
        <v>Proposals 25</v>
      </c>
      <c r="B46" t="str">
        <f>IF($A46="","",Deliverables!$C46)</f>
        <v>Proposals</v>
      </c>
      <c r="C46" t="str">
        <f>IF($A46="","",Deliverables!$D46)</f>
        <v>PP</v>
      </c>
      <c r="D46" t="str">
        <f>IF($A46="","",IF(Deliverables!$G46="","not started",Deliverables!$G46))</f>
        <v>Proposal submitted</v>
      </c>
      <c r="E46" s="387"/>
      <c r="F46" s="384">
        <f>IF($A46="","",IF(ISNUMBER(SEARCH("Proposal",$A46)),1,IF(N(Deliverables!$H46)&gt;0,1,0)))</f>
        <v>1</v>
      </c>
      <c r="G46" s="385">
        <f>IF($A46="","",IF(ISNUMBER(SEARCH("Proposal",$A46)),IFERROR(VLOOKUP(TRIM($A46),Proposals!$N$13:$Q$18,4,FALSE),0),IF($E46="","",SUMIFS('Timesheet Raw'!$P$4:$P$8000,'Timesheet Raw'!$B$4:$B$8000,$A46,'Timesheet Raw'!$M$4:$M$8000,$E46))))</f>
        <v>385.5</v>
      </c>
      <c r="H46" s="384">
        <f t="shared" si="0"/>
        <v>1</v>
      </c>
      <c r="I46" s="385">
        <f t="shared" si="1"/>
        <v>385.5</v>
      </c>
      <c r="J46" s="341">
        <f>IF($I46="","",$I46/'Profit Plan'!$B$5)</f>
        <v>2.0837837837837836</v>
      </c>
      <c r="K46" s="371">
        <f>IF($A46="","",IF(ISNUMBER(SEARCH("Proposal",$A46)),IFERROR(VLOOKUP(TRIM($A46),Proposals!$N$13:$S$18,5,FALSE),""),IF($E46="","",IFERROR(_xlfn.MINIFS('Timesheet Raw'!$L$4:$L$8000,'Timesheet Raw'!$B$4:$B$8000,$A46,'Timesheet Raw'!$M$4:$M$8000,$E46),""))))</f>
        <v>45707</v>
      </c>
      <c r="L46" s="371">
        <f>IF($A46="","",IF(ISNUMBER(SEARCH("Proposal",$A46)),IFERROR(VLOOKUP(TRIM($A46),Proposals!$N$13:$S$18,6,FALSE),""),IF($E46="","",IFERROR(_xlfn.MAXIFS('Timesheet Raw'!$L$4:$L$8000,'Timesheet Raw'!$B$4:$B$8000,$A46,'Timesheet Raw'!$M$4:$M$8000,$E46),""))))</f>
        <v>46002</v>
      </c>
      <c r="M46" s="340">
        <f t="shared" si="2"/>
        <v>296</v>
      </c>
      <c r="N46" s="340">
        <f>IF($K46="","",IF(COUNT('Work Calendar'!$E$6:$E$200)=0,NETWORKDAYS.INTL($K46,$L46,'Work Calendar'!$B$31),NETWORKDAYS.INTL($K46,$L46,'Work Calendar'!$B$31,'Work Calendar'!$E$6:$E$200)))</f>
        <v>212</v>
      </c>
      <c r="O46" s="340">
        <f>IF(OR($A46="",$E46=""),"",SUMIFS('Timesheet Raw'!$BV$4:$BV$8000,'Timesheet Raw'!$B$4:$B$8000,$A46,'Timesheet Raw'!$M$4:$M$8000,$E46))</f>
        <v>0</v>
      </c>
      <c r="P46" s="340">
        <f t="shared" si="3"/>
        <v>212</v>
      </c>
      <c r="Q46" s="386">
        <f t="shared" si="4"/>
        <v>1</v>
      </c>
      <c r="R46" t="str">
        <f>IF($A46="","",IF($E46="","set TS Phase",IF($G46=0,"Never charged",IF($L46&lt;'Work Calendar'!$B$17-21,"Dormant since "&amp;TEXT($L46,"yyyy-mm-dd"),"Active"))))</f>
        <v>Dormant since 2025-12-11</v>
      </c>
      <c r="S46" s="340">
        <f>IF(OR($A46="",$E46=""),"",IFERROR(_xlfn.MAXIFS('Timesheet Raw'!$BX$4:$BX$8000,'Timesheet Raw'!$B$4:$B$8000,$A46,'Timesheet Raw'!$M$4:$M$8000,$E46),""))</f>
        <v>0</v>
      </c>
      <c r="T46" s="371" t="str" cm="1">
        <f t="array" ref="T46">IF(OR($S46="",$S46=0),"",IFERROR(INDEX('Timesheet Raw'!$BW$4:$BW$8000,MATCH(1,INDEX(('Timesheet Raw'!$B$4:$B$8000=$A46)*('Timesheet Raw'!$M$4:$M$8000=$E46)*('Timesheet Raw'!$BX$4:$BX$8000=$S46),0),0)),""))</f>
        <v/>
      </c>
      <c r="U46" s="371" t="str" cm="1">
        <f t="array" ref="U46">IF(OR($S46="",$S46=0),"",IFERROR(INDEX('Timesheet Raw'!$L$4:$L$8000,MATCH(1,INDEX(('Timesheet Raw'!$B$4:$B$8000=$A46)*('Timesheet Raw'!$M$4:$M$8000=$E46)*('Timesheet Raw'!$BX$4:$BX$8000=$S46),0),0)),""))</f>
        <v/>
      </c>
      <c r="V46" s="340">
        <f>IF(OR($A46="",$E46="",$G46=0),"",1+COUNTIFS('Timesheet Raw'!$B$4:$B$8000,$A46,'Timesheet Raw'!$M$4:$M$8000,$E46,'Timesheet Raw'!$BX$4:$BX$8000,"&gt;="&amp;'Work Calendar'!$B$32))</f>
        <v>1</v>
      </c>
      <c r="W46" s="376"/>
      <c r="X46" s="376"/>
      <c r="Y46" s="376"/>
      <c r="Z46" s="376"/>
      <c r="AA46" s="376"/>
      <c r="AB46" s="376"/>
      <c r="AC46" s="396" t="str">
        <f t="shared" si="5"/>
        <v/>
      </c>
      <c r="AD46" s="396" t="str">
        <f t="shared" si="6"/>
        <v/>
      </c>
      <c r="AE46" s="340" t="str">
        <f>IF(OR($Y46="",$Z46=""),"",MAX(0,NETWORKDAYS.INTL($Y46,$Z46,'Work Calendar'!$B$31)-2))</f>
        <v/>
      </c>
      <c r="AF46" s="344">
        <f t="shared" si="7"/>
        <v>212</v>
      </c>
      <c r="AG46" t="str">
        <f t="shared" si="8"/>
        <v>no manual dates</v>
      </c>
      <c r="AH46" s="384">
        <f>IF(OR($A46="",$E46=""),"",IF(COUNTIFS($A$5:$A46,$A46,$E$5:$E46,$E46)=1,1,0))</f>
        <v>1</v>
      </c>
    </row>
    <row r="47" spans="1:34" x14ac:dyDescent="0.3">
      <c r="A47" t="str">
        <f>IF(Deliverables!$A47="","",TRIM(Deliverables!$A47))</f>
        <v>Chargable Proposals 25</v>
      </c>
      <c r="B47" t="str">
        <f>IF($A47="","",Deliverables!$C47)</f>
        <v>Proposals</v>
      </c>
      <c r="C47" t="str">
        <f>IF($A47="","",Deliverables!$D47)</f>
        <v>PP</v>
      </c>
      <c r="D47" t="str">
        <f>IF($A47="","",IF(Deliverables!$G47="","not started",Deliverables!$G47))</f>
        <v>Proposal submitted</v>
      </c>
      <c r="E47" s="387"/>
      <c r="F47" s="384">
        <f>IF($A47="","",IF(ISNUMBER(SEARCH("Proposal",$A47)),1,IF(N(Deliverables!$H47)&gt;0,1,0)))</f>
        <v>1</v>
      </c>
      <c r="G47" s="385">
        <f>IF($A47="","",IF(ISNUMBER(SEARCH("Proposal",$A47)),IFERROR(VLOOKUP(TRIM($A47),Proposals!$N$13:$Q$18,4,FALSE),0),IF($E47="","",SUMIFS('Timesheet Raw'!$P$4:$P$8000,'Timesheet Raw'!$B$4:$B$8000,$A47,'Timesheet Raw'!$M$4:$M$8000,$E47))))</f>
        <v>729.5</v>
      </c>
      <c r="H47" s="384">
        <f t="shared" si="0"/>
        <v>1</v>
      </c>
      <c r="I47" s="385">
        <f t="shared" si="1"/>
        <v>729.5</v>
      </c>
      <c r="J47" s="341">
        <f>IF($I47="","",$I47/'Profit Plan'!$B$5)</f>
        <v>3.9432432432432432</v>
      </c>
      <c r="K47" s="371">
        <f>IF($A47="","",IF(ISNUMBER(SEARCH("Proposal",$A47)),IFERROR(VLOOKUP(TRIM($A47),Proposals!$N$13:$S$18,5,FALSE),""),IF($E47="","",IFERROR(_xlfn.MINIFS('Timesheet Raw'!$L$4:$L$8000,'Timesheet Raw'!$B$4:$B$8000,$A47,'Timesheet Raw'!$M$4:$M$8000,$E47),""))))</f>
        <v>45659</v>
      </c>
      <c r="L47" s="371">
        <f>IF($A47="","",IF(ISNUMBER(SEARCH("Proposal",$A47)),IFERROR(VLOOKUP(TRIM($A47),Proposals!$N$13:$S$18,6,FALSE),""),IF($E47="","",IFERROR(_xlfn.MAXIFS('Timesheet Raw'!$L$4:$L$8000,'Timesheet Raw'!$B$4:$B$8000,$A47,'Timesheet Raw'!$M$4:$M$8000,$E47),""))))</f>
        <v>45908</v>
      </c>
      <c r="M47" s="340">
        <f t="shared" si="2"/>
        <v>250</v>
      </c>
      <c r="N47" s="340">
        <f>IF($K47="","",IF(COUNT('Work Calendar'!$E$6:$E$200)=0,NETWORKDAYS.INTL($K47,$L47,'Work Calendar'!$B$31),NETWORKDAYS.INTL($K47,$L47,'Work Calendar'!$B$31,'Work Calendar'!$E$6:$E$200)))</f>
        <v>178</v>
      </c>
      <c r="O47" s="340">
        <f>IF(OR($A47="",$E47=""),"",SUMIFS('Timesheet Raw'!$BV$4:$BV$8000,'Timesheet Raw'!$B$4:$B$8000,$A47,'Timesheet Raw'!$M$4:$M$8000,$E47))</f>
        <v>0</v>
      </c>
      <c r="P47" s="340">
        <f t="shared" si="3"/>
        <v>178</v>
      </c>
      <c r="Q47" s="386">
        <f t="shared" si="4"/>
        <v>1</v>
      </c>
      <c r="R47" t="str">
        <f>IF($A47="","",IF($E47="","set TS Phase",IF($G47=0,"Never charged",IF($L47&lt;'Work Calendar'!$B$17-21,"Dormant since "&amp;TEXT($L47,"yyyy-mm-dd"),"Active"))))</f>
        <v>Dormant since 2025-09-08</v>
      </c>
      <c r="S47" s="340">
        <f>IF(OR($A47="",$E47=""),"",IFERROR(_xlfn.MAXIFS('Timesheet Raw'!$BX$4:$BX$8000,'Timesheet Raw'!$B$4:$B$8000,$A47,'Timesheet Raw'!$M$4:$M$8000,$E47),""))</f>
        <v>0</v>
      </c>
      <c r="T47" s="371" t="str" cm="1">
        <f t="array" ref="T47">IF(OR($S47="",$S47=0),"",IFERROR(INDEX('Timesheet Raw'!$BW$4:$BW$8000,MATCH(1,INDEX(('Timesheet Raw'!$B$4:$B$8000=$A47)*('Timesheet Raw'!$M$4:$M$8000=$E47)*('Timesheet Raw'!$BX$4:$BX$8000=$S47),0),0)),""))</f>
        <v/>
      </c>
      <c r="U47" s="371" t="str" cm="1">
        <f t="array" ref="U47">IF(OR($S47="",$S47=0),"",IFERROR(INDEX('Timesheet Raw'!$L$4:$L$8000,MATCH(1,INDEX(('Timesheet Raw'!$B$4:$B$8000=$A47)*('Timesheet Raw'!$M$4:$M$8000=$E47)*('Timesheet Raw'!$BX$4:$BX$8000=$S47),0),0)),""))</f>
        <v/>
      </c>
      <c r="V47" s="340">
        <f>IF(OR($A47="",$E47="",$G47=0),"",1+COUNTIFS('Timesheet Raw'!$B$4:$B$8000,$A47,'Timesheet Raw'!$M$4:$M$8000,$E47,'Timesheet Raw'!$BX$4:$BX$8000,"&gt;="&amp;'Work Calendar'!$B$32))</f>
        <v>1</v>
      </c>
      <c r="W47" s="376"/>
      <c r="X47" s="376"/>
      <c r="Y47" s="376"/>
      <c r="Z47" s="376"/>
      <c r="AA47" s="376"/>
      <c r="AB47" s="376"/>
      <c r="AC47" s="396" t="str">
        <f t="shared" si="5"/>
        <v/>
      </c>
      <c r="AD47" s="396" t="str">
        <f t="shared" si="6"/>
        <v/>
      </c>
      <c r="AE47" s="340" t="str">
        <f>IF(OR($Y47="",$Z47=""),"",MAX(0,NETWORKDAYS.INTL($Y47,$Z47,'Work Calendar'!$B$31)-2))</f>
        <v/>
      </c>
      <c r="AF47" s="344">
        <f t="shared" si="7"/>
        <v>178</v>
      </c>
      <c r="AG47" t="str">
        <f t="shared" si="8"/>
        <v>no manual dates</v>
      </c>
      <c r="AH47" s="384">
        <f>IF(OR($A47="",$E47=""),"",IF(COUNTIFS($A$5:$A47,$A47,$E$5:$E47,$E47)=1,1,0))</f>
        <v>1</v>
      </c>
    </row>
    <row r="48" spans="1:34" x14ac:dyDescent="0.3">
      <c r="A48" t="str">
        <f>IF(Deliverables!$A48="","",TRIM(Deliverables!$A48))</f>
        <v>AN21146-0100R</v>
      </c>
      <c r="B48" t="str">
        <f>IF($A48="","",Deliverables!$C48)</f>
        <v>Design Review</v>
      </c>
      <c r="C48" t="str">
        <f>IF($A48="","",Deliverables!$D48)</f>
        <v>DR</v>
      </c>
      <c r="D48" t="str">
        <f>IF($A48="","",IF(Deliverables!$G48="","not started",Deliverables!$G48))</f>
        <v>Comment closeout confirmed</v>
      </c>
      <c r="E48" s="387"/>
      <c r="F48" s="384">
        <f>IF($A48="","",IF(ISNUMBER(SEARCH("Proposal",$A48)),1,IF(N(Deliverables!$H48)&gt;0,1,0)))</f>
        <v>1</v>
      </c>
      <c r="G48" s="385">
        <f>IF($A48="","",IF(ISNUMBER(SEARCH("Proposal",$A48)),IFERROR(VLOOKUP(TRIM($A48),Proposals!$N$13:$Q$18,4,FALSE),0),IF($E48="","",SUMIFS('Timesheet Raw'!$P$4:$P$8000,'Timesheet Raw'!$B$4:$B$8000,$A48,'Timesheet Raw'!$M$4:$M$8000,$E48))))</f>
        <v>96</v>
      </c>
      <c r="H48" s="384">
        <f t="shared" si="0"/>
        <v>1</v>
      </c>
      <c r="I48" s="385">
        <f t="shared" si="1"/>
        <v>96</v>
      </c>
      <c r="J48" s="341">
        <f>IF($I48="","",$I48/'Profit Plan'!$B$5)</f>
        <v>0.51891891891891895</v>
      </c>
      <c r="K48" s="371">
        <f>IF($A48="","",IF(ISNUMBER(SEARCH("Proposal",$A48)),IFERROR(VLOOKUP(TRIM($A48),Proposals!$N$13:$S$18,5,FALSE),""),IF($E48="","",IFERROR(_xlfn.MINIFS('Timesheet Raw'!$L$4:$L$8000,'Timesheet Raw'!$B$4:$B$8000,$A48,'Timesheet Raw'!$M$4:$M$8000,$E48),""))))</f>
        <v>45426</v>
      </c>
      <c r="L48" s="371">
        <f>IF($A48="","",IF(ISNUMBER(SEARCH("Proposal",$A48)),IFERROR(VLOOKUP(TRIM($A48),Proposals!$N$13:$S$18,6,FALSE),""),IF($E48="","",IFERROR(_xlfn.MAXIFS('Timesheet Raw'!$L$4:$L$8000,'Timesheet Raw'!$B$4:$B$8000,$A48,'Timesheet Raw'!$M$4:$M$8000,$E48),""))))</f>
        <v>45564</v>
      </c>
      <c r="M48" s="340">
        <f t="shared" si="2"/>
        <v>139</v>
      </c>
      <c r="N48" s="340">
        <f>IF($K48="","",IF(COUNT('Work Calendar'!$E$6:$E$200)=0,NETWORKDAYS.INTL($K48,$L48,'Work Calendar'!$B$31),NETWORKDAYS.INTL($K48,$L48,'Work Calendar'!$B$31,'Work Calendar'!$E$6:$E$200)))</f>
        <v>99</v>
      </c>
      <c r="O48" s="340">
        <f>IF(OR($A48="",$E48=""),"",SUMIFS('Timesheet Raw'!$BV$4:$BV$8000,'Timesheet Raw'!$B$4:$B$8000,$A48,'Timesheet Raw'!$M$4:$M$8000,$E48))</f>
        <v>18</v>
      </c>
      <c r="P48" s="340">
        <f t="shared" si="3"/>
        <v>81</v>
      </c>
      <c r="Q48" s="386">
        <f t="shared" si="4"/>
        <v>0.81818181818181823</v>
      </c>
      <c r="R48" t="str">
        <f>IF($A48="","",IF($E48="","set TS Phase",IF($G48=0,"Never charged",IF($L48&lt;'Work Calendar'!$B$17-21,"Dormant since "&amp;TEXT($L48,"yyyy-mm-dd"),"Active"))))</f>
        <v>Dormant since 2024-09-29</v>
      </c>
      <c r="S48" s="340">
        <f>IF(OR($A48="",$E48=""),"",IFERROR(_xlfn.MAXIFS('Timesheet Raw'!$BX$4:$BX$8000,'Timesheet Raw'!$B$4:$B$8000,$A48,'Timesheet Raw'!$M$4:$M$8000,$E48),""))</f>
        <v>42</v>
      </c>
      <c r="T48" s="371" cm="1">
        <f t="array" ref="T48">IF(OR($S48="",$S48=0),"",IFERROR(INDEX('Timesheet Raw'!$BW$4:$BW$8000,MATCH(1,INDEX(('Timesheet Raw'!$B$4:$B$8000=$A48)*('Timesheet Raw'!$M$4:$M$8000=$E48)*('Timesheet Raw'!$BX$4:$BX$8000=$S48),0),0)),""))</f>
        <v>45466</v>
      </c>
      <c r="U48" s="371" cm="1">
        <f t="array" ref="U48">IF(OR($S48="",$S48=0),"",IFERROR(INDEX('Timesheet Raw'!$L$4:$L$8000,MATCH(1,INDEX(('Timesheet Raw'!$B$4:$B$8000=$A48)*('Timesheet Raw'!$M$4:$M$8000=$E48)*('Timesheet Raw'!$BX$4:$BX$8000=$S48),0),0)),""))</f>
        <v>45525</v>
      </c>
      <c r="V48" s="340">
        <f>IF(OR($A48="",$E48="",$G48=0),"",1+COUNTIFS('Timesheet Raw'!$B$4:$B$8000,$A48,'Timesheet Raw'!$M$4:$M$8000,$E48,'Timesheet Raw'!$BX$4:$BX$8000,"&gt;="&amp;'Work Calendar'!$B$32))</f>
        <v>7</v>
      </c>
      <c r="W48" s="376"/>
      <c r="X48" s="376"/>
      <c r="Y48" s="376"/>
      <c r="Z48" s="376"/>
      <c r="AA48" s="376"/>
      <c r="AB48" s="376"/>
      <c r="AC48" s="396" t="str">
        <f t="shared" si="5"/>
        <v/>
      </c>
      <c r="AD48" s="396" t="str">
        <f t="shared" si="6"/>
        <v/>
      </c>
      <c r="AE48" s="340" t="str">
        <f>IF(OR($Y48="",$Z48=""),"",MAX(0,NETWORKDAYS.INTL($Y48,$Z48,'Work Calendar'!$B$31)-2))</f>
        <v/>
      </c>
      <c r="AF48" s="344">
        <f t="shared" si="7"/>
        <v>81</v>
      </c>
      <c r="AG48" t="str">
        <f t="shared" si="8"/>
        <v>no manual dates</v>
      </c>
      <c r="AH48" s="384">
        <f>IF(OR($A48="",$E48=""),"",IF(COUNTIFS($A$5:$A48,$A48,$E$5:$E48,$E48)=1,1,0))</f>
        <v>1</v>
      </c>
    </row>
    <row r="49" spans="1:34" x14ac:dyDescent="0.3">
      <c r="A49" t="str">
        <f>IF(Deliverables!$A49="","",TRIM(Deliverables!$A49))</f>
        <v>N23106-0100D</v>
      </c>
      <c r="B49" t="str">
        <f>IF($A49="","",Deliverables!$C49)</f>
        <v>Concept Design</v>
      </c>
      <c r="C49" t="str">
        <f>IF($A49="","",Deliverables!$D49)</f>
        <v>CD</v>
      </c>
      <c r="D49" t="str">
        <f>IF($A49="","",IF(Deliverables!$G49="","not started",Deliverables!$G49))</f>
        <v>Client acceptance</v>
      </c>
      <c r="E49" s="387"/>
      <c r="F49" s="384">
        <f>IF($A49="","",IF(ISNUMBER(SEARCH("Proposal",$A49)),1,IF(N(Deliverables!$H49)&gt;0,1,0)))</f>
        <v>1</v>
      </c>
      <c r="G49" s="385">
        <f>IF($A49="","",IF(ISNUMBER(SEARCH("Proposal",$A49)),IFERROR(VLOOKUP(TRIM($A49),Proposals!$N$13:$Q$18,4,FALSE),0),IF($E49="","",SUMIFS('Timesheet Raw'!$P$4:$P$8000,'Timesheet Raw'!$B$4:$B$8000,$A49,'Timesheet Raw'!$M$4:$M$8000,$E49))))</f>
        <v>217.75</v>
      </c>
      <c r="H49" s="384">
        <f t="shared" si="0"/>
        <v>1</v>
      </c>
      <c r="I49" s="385">
        <f t="shared" si="1"/>
        <v>217.75</v>
      </c>
      <c r="J49" s="341">
        <f>IF($I49="","",$I49/'Profit Plan'!$B$5)</f>
        <v>1.1770270270270271</v>
      </c>
      <c r="K49" s="371">
        <f>IF($A49="","",IF(ISNUMBER(SEARCH("Proposal",$A49)),IFERROR(VLOOKUP(TRIM($A49),Proposals!$N$13:$S$18,5,FALSE),""),IF($E49="","",IFERROR(_xlfn.MINIFS('Timesheet Raw'!$L$4:$L$8000,'Timesheet Raw'!$B$4:$B$8000,$A49,'Timesheet Raw'!$M$4:$M$8000,$E49),""))))</f>
        <v>45440</v>
      </c>
      <c r="L49" s="371">
        <f>IF($A49="","",IF(ISNUMBER(SEARCH("Proposal",$A49)),IFERROR(VLOOKUP(TRIM($A49),Proposals!$N$13:$S$18,6,FALSE),""),IF($E49="","",IFERROR(_xlfn.MAXIFS('Timesheet Raw'!$L$4:$L$8000,'Timesheet Raw'!$B$4:$B$8000,$A49,'Timesheet Raw'!$M$4:$M$8000,$E49),""))))</f>
        <v>46089</v>
      </c>
      <c r="M49" s="340">
        <f t="shared" si="2"/>
        <v>650</v>
      </c>
      <c r="N49" s="340">
        <f>IF($K49="","",IF(COUNT('Work Calendar'!$E$6:$E$200)=0,NETWORKDAYS.INTL($K49,$L49,'Work Calendar'!$B$31),NETWORKDAYS.INTL($K49,$L49,'Work Calendar'!$B$31,'Work Calendar'!$E$6:$E$200)))</f>
        <v>464</v>
      </c>
      <c r="O49" s="340">
        <f>IF(OR($A49="",$E49=""),"",SUMIFS('Timesheet Raw'!$BV$4:$BV$8000,'Timesheet Raw'!$B$4:$B$8000,$A49,'Timesheet Raw'!$M$4:$M$8000,$E49))</f>
        <v>36</v>
      </c>
      <c r="P49" s="340">
        <f t="shared" si="3"/>
        <v>428</v>
      </c>
      <c r="Q49" s="386">
        <f t="shared" si="4"/>
        <v>0.92241379310344829</v>
      </c>
      <c r="R49" t="str">
        <f>IF($A49="","",IF($E49="","set TS Phase",IF($G49=0,"Never charged",IF($L49&lt;'Work Calendar'!$B$17-21,"Dormant since "&amp;TEXT($L49,"yyyy-mm-dd"),"Active"))))</f>
        <v>Dormant since 2026-03-08</v>
      </c>
      <c r="S49" s="340">
        <f>IF(OR($A49="",$E49=""),"",IFERROR(_xlfn.MAXIFS('Timesheet Raw'!$BX$4:$BX$8000,'Timesheet Raw'!$B$4:$B$8000,$A49,'Timesheet Raw'!$M$4:$M$8000,$E49),""))</f>
        <v>381</v>
      </c>
      <c r="T49" s="371" cm="1">
        <f t="array" ref="T49">IF(OR($S49="",$S49=0),"",IFERROR(INDEX('Timesheet Raw'!$BW$4:$BW$8000,MATCH(1,INDEX(('Timesheet Raw'!$B$4:$B$8000=$A49)*('Timesheet Raw'!$M$4:$M$8000=$E49)*('Timesheet Raw'!$BX$4:$BX$8000=$S49),0),0)),""))</f>
        <v>45536</v>
      </c>
      <c r="U49" s="371" cm="1">
        <f t="array" ref="U49">IF(OR($S49="",$S49=0),"",IFERROR(INDEX('Timesheet Raw'!$L$4:$L$8000,MATCH(1,INDEX(('Timesheet Raw'!$B$4:$B$8000=$A49)*('Timesheet Raw'!$M$4:$M$8000=$E49)*('Timesheet Raw'!$BX$4:$BX$8000=$S49),0),0)),""))</f>
        <v>46070</v>
      </c>
      <c r="V49" s="340">
        <f>IF(OR($A49="",$E49="",$G49=0),"",1+COUNTIFS('Timesheet Raw'!$B$4:$B$8000,$A49,'Timesheet Raw'!$M$4:$M$8000,$E49,'Timesheet Raw'!$BX$4:$BX$8000,"&gt;="&amp;'Work Calendar'!$B$32))</f>
        <v>10</v>
      </c>
      <c r="W49" s="376"/>
      <c r="X49" s="376"/>
      <c r="Y49" s="376"/>
      <c r="Z49" s="376"/>
      <c r="AA49" s="376"/>
      <c r="AB49" s="376"/>
      <c r="AC49" s="396" t="str">
        <f t="shared" si="5"/>
        <v/>
      </c>
      <c r="AD49" s="396" t="str">
        <f t="shared" si="6"/>
        <v/>
      </c>
      <c r="AE49" s="340" t="str">
        <f>IF(OR($Y49="",$Z49=""),"",MAX(0,NETWORKDAYS.INTL($Y49,$Z49,'Work Calendar'!$B$31)-2))</f>
        <v/>
      </c>
      <c r="AF49" s="344">
        <f t="shared" si="7"/>
        <v>428</v>
      </c>
      <c r="AG49" t="str">
        <f t="shared" si="8"/>
        <v>no manual dates</v>
      </c>
      <c r="AH49" s="384">
        <f>IF(OR($A49="",$E49=""),"",IF(COUNTIFS($A$5:$A49,$A49,$E$5:$E49,$E49)=1,1,0))</f>
        <v>1</v>
      </c>
    </row>
    <row r="50" spans="1:34" x14ac:dyDescent="0.3">
      <c r="A50" t="str">
        <f>IF(Deliverables!$A50="","",TRIM(Deliverables!$A50))</f>
        <v>OM23030-0100D</v>
      </c>
      <c r="B50" t="str">
        <f>IF($A50="","",Deliverables!$C50)</f>
        <v>Tender Design</v>
      </c>
      <c r="C50" t="str">
        <f>IF($A50="","",Deliverables!$D50)</f>
        <v>TD</v>
      </c>
      <c r="D50" t="str">
        <f>IF($A50="","",IF(Deliverables!$G50="","not started",Deliverables!$G50))</f>
        <v>Tender queries and addenda closed</v>
      </c>
      <c r="E50" s="387"/>
      <c r="F50" s="384">
        <f>IF($A50="","",IF(ISNUMBER(SEARCH("Proposal",$A50)),1,IF(N(Deliverables!$H50)&gt;0,1,0)))</f>
        <v>1</v>
      </c>
      <c r="G50" s="385">
        <f>IF($A50="","",IF(ISNUMBER(SEARCH("Proposal",$A50)),IFERROR(VLOOKUP(TRIM($A50),Proposals!$N$13:$Q$18,4,FALSE),0),IF($E50="","",SUMIFS('Timesheet Raw'!$P$4:$P$8000,'Timesheet Raw'!$B$4:$B$8000,$A50,'Timesheet Raw'!$M$4:$M$8000,$E50))))</f>
        <v>27.25</v>
      </c>
      <c r="H50" s="384">
        <f t="shared" si="0"/>
        <v>1</v>
      </c>
      <c r="I50" s="385">
        <f t="shared" si="1"/>
        <v>27.25</v>
      </c>
      <c r="J50" s="341">
        <f>IF($I50="","",$I50/'Profit Plan'!$B$5)</f>
        <v>0.14729729729729729</v>
      </c>
      <c r="K50" s="371">
        <f>IF($A50="","",IF(ISNUMBER(SEARCH("Proposal",$A50)),IFERROR(VLOOKUP(TRIM($A50),Proposals!$N$13:$S$18,5,FALSE),""),IF($E50="","",IFERROR(_xlfn.MINIFS('Timesheet Raw'!$L$4:$L$8000,'Timesheet Raw'!$B$4:$B$8000,$A50,'Timesheet Raw'!$M$4:$M$8000,$E50),""))))</f>
        <v>45334</v>
      </c>
      <c r="L50" s="371">
        <f>IF($A50="","",IF(ISNUMBER(SEARCH("Proposal",$A50)),IFERROR(VLOOKUP(TRIM($A50),Proposals!$N$13:$S$18,6,FALSE),""),IF($E50="","",IFERROR(_xlfn.MAXIFS('Timesheet Raw'!$L$4:$L$8000,'Timesheet Raw'!$B$4:$B$8000,$A50,'Timesheet Raw'!$M$4:$M$8000,$E50),""))))</f>
        <v>45347</v>
      </c>
      <c r="M50" s="340">
        <f t="shared" si="2"/>
        <v>14</v>
      </c>
      <c r="N50" s="340">
        <f>IF($K50="","",IF(COUNT('Work Calendar'!$E$6:$E$200)=0,NETWORKDAYS.INTL($K50,$L50,'Work Calendar'!$B$31),NETWORKDAYS.INTL($K50,$L50,'Work Calendar'!$B$31,'Work Calendar'!$E$6:$E$200)))</f>
        <v>10</v>
      </c>
      <c r="O50" s="340">
        <f>IF(OR($A50="",$E50=""),"",SUMIFS('Timesheet Raw'!$BV$4:$BV$8000,'Timesheet Raw'!$B$4:$B$8000,$A50,'Timesheet Raw'!$M$4:$M$8000,$E50))</f>
        <v>10</v>
      </c>
      <c r="P50" s="340">
        <f t="shared" si="3"/>
        <v>0</v>
      </c>
      <c r="Q50" s="386">
        <f t="shared" si="4"/>
        <v>0</v>
      </c>
      <c r="R50" t="str">
        <f>IF($A50="","",IF($E50="","set TS Phase",IF($G50=0,"Never charged",IF($L50&lt;'Work Calendar'!$B$17-21,"Dormant since "&amp;TEXT($L50,"yyyy-mm-dd"),"Active"))))</f>
        <v>Dormant since 2024-02-25</v>
      </c>
      <c r="S50" s="340">
        <f>IF(OR($A50="",$E50=""),"",IFERROR(_xlfn.MAXIFS('Timesheet Raw'!$BX$4:$BX$8000,'Timesheet Raw'!$B$4:$B$8000,$A50,'Timesheet Raw'!$M$4:$M$8000,$E50),""))</f>
        <v>0</v>
      </c>
      <c r="T50" s="371" t="str" cm="1">
        <f t="array" ref="T50">IF(OR($S50="",$S50=0),"",IFERROR(INDEX('Timesheet Raw'!$BW$4:$BW$8000,MATCH(1,INDEX(('Timesheet Raw'!$B$4:$B$8000=$A50)*('Timesheet Raw'!$M$4:$M$8000=$E50)*('Timesheet Raw'!$BX$4:$BX$8000=$S50),0),0)),""))</f>
        <v/>
      </c>
      <c r="U50" s="371" t="str" cm="1">
        <f t="array" ref="U50">IF(OR($S50="",$S50=0),"",IFERROR(INDEX('Timesheet Raw'!$L$4:$L$8000,MATCH(1,INDEX(('Timesheet Raw'!$B$4:$B$8000=$A50)*('Timesheet Raw'!$M$4:$M$8000=$E50)*('Timesheet Raw'!$BX$4:$BX$8000=$S50),0),0)),""))</f>
        <v/>
      </c>
      <c r="V50" s="340">
        <f>IF(OR($A50="",$E50="",$G50=0),"",1+COUNTIFS('Timesheet Raw'!$B$4:$B$8000,$A50,'Timesheet Raw'!$M$4:$M$8000,$E50,'Timesheet Raw'!$BX$4:$BX$8000,"&gt;="&amp;'Work Calendar'!$B$32))</f>
        <v>1</v>
      </c>
      <c r="W50" s="376"/>
      <c r="X50" s="376"/>
      <c r="Y50" s="376"/>
      <c r="Z50" s="376"/>
      <c r="AA50" s="376"/>
      <c r="AB50" s="376"/>
      <c r="AC50" s="396" t="str">
        <f t="shared" si="5"/>
        <v/>
      </c>
      <c r="AD50" s="396" t="str">
        <f t="shared" si="6"/>
        <v/>
      </c>
      <c r="AE50" s="340" t="str">
        <f>IF(OR($Y50="",$Z50=""),"",MAX(0,NETWORKDAYS.INTL($Y50,$Z50,'Work Calendar'!$B$31)-2))</f>
        <v/>
      </c>
      <c r="AF50" s="344">
        <f t="shared" si="7"/>
        <v>0</v>
      </c>
      <c r="AG50" t="str">
        <f t="shared" si="8"/>
        <v>no manual dates</v>
      </c>
      <c r="AH50" s="384">
        <f>IF(OR($A50="",$E50=""),"",IF(COUNTIFS($A$5:$A50,$A50,$E$5:$E50,$E50)=1,1,0))</f>
        <v>1</v>
      </c>
    </row>
    <row r="51" spans="1:34" x14ac:dyDescent="0.3">
      <c r="A51" t="str">
        <f>IF(Deliverables!$A51="","",TRIM(Deliverables!$A51))</f>
        <v>Chargable Proposals 24</v>
      </c>
      <c r="B51" t="str">
        <f>IF($A51="","",Deliverables!$C51)</f>
        <v>Proposals</v>
      </c>
      <c r="C51" t="str">
        <f>IF($A51="","",Deliverables!$D51)</f>
        <v>PP</v>
      </c>
      <c r="D51" t="str">
        <f>IF($A51="","",IF(Deliverables!$G51="","not started",Deliverables!$G51))</f>
        <v>Proposal submitted</v>
      </c>
      <c r="E51" s="387"/>
      <c r="F51" s="384">
        <f>IF($A51="","",IF(ISNUMBER(SEARCH("Proposal",$A51)),1,IF(N(Deliverables!$H51)&gt;0,1,0)))</f>
        <v>1</v>
      </c>
      <c r="G51" s="385">
        <f>IF($A51="","",IF(ISNUMBER(SEARCH("Proposal",$A51)),IFERROR(VLOOKUP(TRIM($A51),Proposals!$N$13:$Q$18,4,FALSE),0),IF($E51="","",SUMIFS('Timesheet Raw'!$P$4:$P$8000,'Timesheet Raw'!$B$4:$B$8000,$A51,'Timesheet Raw'!$M$4:$M$8000,$E51))))</f>
        <v>343</v>
      </c>
      <c r="H51" s="384">
        <f t="shared" si="0"/>
        <v>1</v>
      </c>
      <c r="I51" s="385">
        <f t="shared" si="1"/>
        <v>343</v>
      </c>
      <c r="J51" s="341">
        <f>IF($I51="","",$I51/'Profit Plan'!$B$5)</f>
        <v>1.854054054054054</v>
      </c>
      <c r="K51" s="371">
        <f>IF($A51="","",IF(ISNUMBER(SEARCH("Proposal",$A51)),IFERROR(VLOOKUP(TRIM($A51),Proposals!$N$13:$S$18,5,FALSE),""),IF($E51="","",IFERROR(_xlfn.MINIFS('Timesheet Raw'!$L$4:$L$8000,'Timesheet Raw'!$B$4:$B$8000,$A51,'Timesheet Raw'!$M$4:$M$8000,$E51),""))))</f>
        <v>45323</v>
      </c>
      <c r="L51" s="371">
        <f>IF($A51="","",IF(ISNUMBER(SEARCH("Proposal",$A51)),IFERROR(VLOOKUP(TRIM($A51),Proposals!$N$13:$S$18,6,FALSE),""),IF($E51="","",IFERROR(_xlfn.MAXIFS('Timesheet Raw'!$L$4:$L$8000,'Timesheet Raw'!$B$4:$B$8000,$A51,'Timesheet Raw'!$M$4:$M$8000,$E51),""))))</f>
        <v>45656</v>
      </c>
      <c r="M51" s="340">
        <f t="shared" si="2"/>
        <v>334</v>
      </c>
      <c r="N51" s="340">
        <f>IF($K51="","",IF(COUNT('Work Calendar'!$E$6:$E$200)=0,NETWORKDAYS.INTL($K51,$L51,'Work Calendar'!$B$31),NETWORKDAYS.INTL($K51,$L51,'Work Calendar'!$B$31,'Work Calendar'!$E$6:$E$200)))</f>
        <v>238</v>
      </c>
      <c r="O51" s="340">
        <f>IF(OR($A51="",$E51=""),"",SUMIFS('Timesheet Raw'!$BV$4:$BV$8000,'Timesheet Raw'!$B$4:$B$8000,$A51,'Timesheet Raw'!$M$4:$M$8000,$E51))</f>
        <v>0</v>
      </c>
      <c r="P51" s="340">
        <f t="shared" si="3"/>
        <v>238</v>
      </c>
      <c r="Q51" s="386">
        <f t="shared" si="4"/>
        <v>1</v>
      </c>
      <c r="R51" t="str">
        <f>IF($A51="","",IF($E51="","set TS Phase",IF($G51=0,"Never charged",IF($L51&lt;'Work Calendar'!$B$17-21,"Dormant since "&amp;TEXT($L51,"yyyy-mm-dd"),"Active"))))</f>
        <v>Dormant since 2024-12-30</v>
      </c>
      <c r="S51" s="340">
        <f>IF(OR($A51="",$E51=""),"",IFERROR(_xlfn.MAXIFS('Timesheet Raw'!$BX$4:$BX$8000,'Timesheet Raw'!$B$4:$B$8000,$A51,'Timesheet Raw'!$M$4:$M$8000,$E51),""))</f>
        <v>0</v>
      </c>
      <c r="T51" s="371" t="str" cm="1">
        <f t="array" ref="T51">IF(OR($S51="",$S51=0),"",IFERROR(INDEX('Timesheet Raw'!$BW$4:$BW$8000,MATCH(1,INDEX(('Timesheet Raw'!$B$4:$B$8000=$A51)*('Timesheet Raw'!$M$4:$M$8000=$E51)*('Timesheet Raw'!$BX$4:$BX$8000=$S51),0),0)),""))</f>
        <v/>
      </c>
      <c r="U51" s="371" t="str" cm="1">
        <f t="array" ref="U51">IF(OR($S51="",$S51=0),"",IFERROR(INDEX('Timesheet Raw'!$L$4:$L$8000,MATCH(1,INDEX(('Timesheet Raw'!$B$4:$B$8000=$A51)*('Timesheet Raw'!$M$4:$M$8000=$E51)*('Timesheet Raw'!$BX$4:$BX$8000=$S51),0),0)),""))</f>
        <v/>
      </c>
      <c r="V51" s="340">
        <f>IF(OR($A51="",$E51="",$G51=0),"",1+COUNTIFS('Timesheet Raw'!$B$4:$B$8000,$A51,'Timesheet Raw'!$M$4:$M$8000,$E51,'Timesheet Raw'!$BX$4:$BX$8000,"&gt;="&amp;'Work Calendar'!$B$32))</f>
        <v>1</v>
      </c>
      <c r="W51" s="376"/>
      <c r="X51" s="376"/>
      <c r="Y51" s="376"/>
      <c r="Z51" s="376"/>
      <c r="AA51" s="376"/>
      <c r="AB51" s="376"/>
      <c r="AC51" s="396" t="str">
        <f t="shared" si="5"/>
        <v/>
      </c>
      <c r="AD51" s="396" t="str">
        <f t="shared" si="6"/>
        <v/>
      </c>
      <c r="AE51" s="340" t="str">
        <f>IF(OR($Y51="",$Z51=""),"",MAX(0,NETWORKDAYS.INTL($Y51,$Z51,'Work Calendar'!$B$31)-2))</f>
        <v/>
      </c>
      <c r="AF51" s="344">
        <f t="shared" si="7"/>
        <v>238</v>
      </c>
      <c r="AG51" t="str">
        <f t="shared" si="8"/>
        <v>no manual dates</v>
      </c>
      <c r="AH51" s="384">
        <f>IF(OR($A51="",$E51=""),"",IF(COUNTIFS($A$5:$A51,$A51,$E$5:$E51,$E51)=1,1,0))</f>
        <v>1</v>
      </c>
    </row>
    <row r="52" spans="1:34" x14ac:dyDescent="0.3">
      <c r="A52" t="str">
        <f>IF(Deliverables!$A52="","",TRIM(Deliverables!$A52))</f>
        <v>Proposals 24</v>
      </c>
      <c r="B52" t="str">
        <f>IF($A52="","",Deliverables!$C52)</f>
        <v>Proposals</v>
      </c>
      <c r="C52" t="str">
        <f>IF($A52="","",Deliverables!$D52)</f>
        <v>PP</v>
      </c>
      <c r="D52" t="str">
        <f>IF($A52="","",IF(Deliverables!$G52="","not started",Deliverables!$G52))</f>
        <v>Proposal submitted</v>
      </c>
      <c r="E52" s="387"/>
      <c r="F52" s="384">
        <f>IF($A52="","",IF(ISNUMBER(SEARCH("Proposal",$A52)),1,IF(N(Deliverables!$H52)&gt;0,1,0)))</f>
        <v>1</v>
      </c>
      <c r="G52" s="385">
        <f>IF($A52="","",IF(ISNUMBER(SEARCH("Proposal",$A52)),IFERROR(VLOOKUP(TRIM($A52),Proposals!$N$13:$Q$18,4,FALSE),0),IF($E52="","",SUMIFS('Timesheet Raw'!$P$4:$P$8000,'Timesheet Raw'!$B$4:$B$8000,$A52,'Timesheet Raw'!$M$4:$M$8000,$E52))))</f>
        <v>99.25</v>
      </c>
      <c r="H52" s="384">
        <f t="shared" si="0"/>
        <v>1</v>
      </c>
      <c r="I52" s="385">
        <f t="shared" si="1"/>
        <v>99.25</v>
      </c>
      <c r="J52" s="341">
        <f>IF($I52="","",$I52/'Profit Plan'!$B$5)</f>
        <v>0.53648648648648645</v>
      </c>
      <c r="K52" s="371">
        <f>IF($A52="","",IF(ISNUMBER(SEARCH("Proposal",$A52)),IFERROR(VLOOKUP(TRIM($A52),Proposals!$N$13:$S$18,5,FALSE),""),IF($E52="","",IFERROR(_xlfn.MINIFS('Timesheet Raw'!$L$4:$L$8000,'Timesheet Raw'!$B$4:$B$8000,$A52,'Timesheet Raw'!$M$4:$M$8000,$E52),""))))</f>
        <v>45327</v>
      </c>
      <c r="L52" s="371">
        <f>IF($A52="","",IF(ISNUMBER(SEARCH("Proposal",$A52)),IFERROR(VLOOKUP(TRIM($A52),Proposals!$N$13:$S$18,6,FALSE),""),IF($E52="","",IFERROR(_xlfn.MAXIFS('Timesheet Raw'!$L$4:$L$8000,'Timesheet Raw'!$B$4:$B$8000,$A52,'Timesheet Raw'!$M$4:$M$8000,$E52),""))))</f>
        <v>45644</v>
      </c>
      <c r="M52" s="340">
        <f t="shared" si="2"/>
        <v>318</v>
      </c>
      <c r="N52" s="340">
        <f>IF($K52="","",IF(COUNT('Work Calendar'!$E$6:$E$200)=0,NETWORKDAYS.INTL($K52,$L52,'Work Calendar'!$B$31),NETWORKDAYS.INTL($K52,$L52,'Work Calendar'!$B$31,'Work Calendar'!$E$6:$E$200)))</f>
        <v>228</v>
      </c>
      <c r="O52" s="340">
        <f>IF(OR($A52="",$E52=""),"",SUMIFS('Timesheet Raw'!$BV$4:$BV$8000,'Timesheet Raw'!$B$4:$B$8000,$A52,'Timesheet Raw'!$M$4:$M$8000,$E52))</f>
        <v>0</v>
      </c>
      <c r="P52" s="340">
        <f t="shared" si="3"/>
        <v>228</v>
      </c>
      <c r="Q52" s="386">
        <f t="shared" si="4"/>
        <v>1</v>
      </c>
      <c r="R52" t="str">
        <f>IF($A52="","",IF($E52="","set TS Phase",IF($G52=0,"Never charged",IF($L52&lt;'Work Calendar'!$B$17-21,"Dormant since "&amp;TEXT($L52,"yyyy-mm-dd"),"Active"))))</f>
        <v>Dormant since 2024-12-18</v>
      </c>
      <c r="S52" s="340">
        <f>IF(OR($A52="",$E52=""),"",IFERROR(_xlfn.MAXIFS('Timesheet Raw'!$BX$4:$BX$8000,'Timesheet Raw'!$B$4:$B$8000,$A52,'Timesheet Raw'!$M$4:$M$8000,$E52),""))</f>
        <v>0</v>
      </c>
      <c r="T52" s="371" t="str" cm="1">
        <f t="array" ref="T52">IF(OR($S52="",$S52=0),"",IFERROR(INDEX('Timesheet Raw'!$BW$4:$BW$8000,MATCH(1,INDEX(('Timesheet Raw'!$B$4:$B$8000=$A52)*('Timesheet Raw'!$M$4:$M$8000=$E52)*('Timesheet Raw'!$BX$4:$BX$8000=$S52),0),0)),""))</f>
        <v/>
      </c>
      <c r="U52" s="371" t="str" cm="1">
        <f t="array" ref="U52">IF(OR($S52="",$S52=0),"",IFERROR(INDEX('Timesheet Raw'!$L$4:$L$8000,MATCH(1,INDEX(('Timesheet Raw'!$B$4:$B$8000=$A52)*('Timesheet Raw'!$M$4:$M$8000=$E52)*('Timesheet Raw'!$BX$4:$BX$8000=$S52),0),0)),""))</f>
        <v/>
      </c>
      <c r="V52" s="340">
        <f>IF(OR($A52="",$E52="",$G52=0),"",1+COUNTIFS('Timesheet Raw'!$B$4:$B$8000,$A52,'Timesheet Raw'!$M$4:$M$8000,$E52,'Timesheet Raw'!$BX$4:$BX$8000,"&gt;="&amp;'Work Calendar'!$B$32))</f>
        <v>1</v>
      </c>
      <c r="W52" s="376"/>
      <c r="X52" s="376"/>
      <c r="Y52" s="376"/>
      <c r="Z52" s="376"/>
      <c r="AA52" s="376"/>
      <c r="AB52" s="376"/>
      <c r="AC52" s="396" t="str">
        <f t="shared" si="5"/>
        <v/>
      </c>
      <c r="AD52" s="396" t="str">
        <f t="shared" si="6"/>
        <v/>
      </c>
      <c r="AE52" s="340" t="str">
        <f>IF(OR($Y52="",$Z52=""),"",MAX(0,NETWORKDAYS.INTL($Y52,$Z52,'Work Calendar'!$B$31)-2))</f>
        <v/>
      </c>
      <c r="AF52" s="344">
        <f t="shared" si="7"/>
        <v>228</v>
      </c>
      <c r="AG52" t="str">
        <f t="shared" si="8"/>
        <v>no manual dates</v>
      </c>
      <c r="AH52" s="384">
        <f>IF(OR($A52="",$E52=""),"",IF(COUNTIFS($A$5:$A52,$A52,$E$5:$E52,$E52)=1,1,0))</f>
        <v>1</v>
      </c>
    </row>
    <row r="53" spans="1:34" x14ac:dyDescent="0.3">
      <c r="A53" t="str">
        <f>IF(Deliverables!$A53="","",TRIM(Deliverables!$A53))</f>
        <v>S23204-0100D</v>
      </c>
      <c r="B53" t="str">
        <f>IF($A53="","",Deliverables!$C53)</f>
        <v>Concept Design</v>
      </c>
      <c r="C53" t="str">
        <f>IF($A53="","",Deliverables!$D53)</f>
        <v>CD</v>
      </c>
      <c r="D53" t="str">
        <f>IF($A53="","",IF(Deliverables!$G53="","not started",Deliverables!$G53))</f>
        <v>Client acceptance</v>
      </c>
      <c r="E53" s="387"/>
      <c r="F53" s="384">
        <f>IF($A53="","",IF(ISNUMBER(SEARCH("Proposal",$A53)),1,IF(N(Deliverables!$H53)&gt;0,1,0)))</f>
        <v>1</v>
      </c>
      <c r="G53" s="385">
        <f>IF($A53="","",IF(ISNUMBER(SEARCH("Proposal",$A53)),IFERROR(VLOOKUP(TRIM($A53),Proposals!$N$13:$Q$18,4,FALSE),0),IF($E53="","",SUMIFS('Timesheet Raw'!$P$4:$P$8000,'Timesheet Raw'!$B$4:$B$8000,$A53,'Timesheet Raw'!$M$4:$M$8000,$E53))))</f>
        <v>8.5</v>
      </c>
      <c r="H53" s="384">
        <f t="shared" si="0"/>
        <v>1</v>
      </c>
      <c r="I53" s="385">
        <f t="shared" si="1"/>
        <v>8.5</v>
      </c>
      <c r="J53" s="341">
        <f>IF($I53="","",$I53/'Profit Plan'!$B$5)</f>
        <v>4.5945945945945948E-2</v>
      </c>
      <c r="K53" s="371">
        <f>IF($A53="","",IF(ISNUMBER(SEARCH("Proposal",$A53)),IFERROR(VLOOKUP(TRIM($A53),Proposals!$N$13:$S$18,5,FALSE),""),IF($E53="","",IFERROR(_xlfn.MINIFS('Timesheet Raw'!$L$4:$L$8000,'Timesheet Raw'!$B$4:$B$8000,$A53,'Timesheet Raw'!$M$4:$M$8000,$E53),""))))</f>
        <v>45322</v>
      </c>
      <c r="L53" s="371">
        <f>IF($A53="","",IF(ISNUMBER(SEARCH("Proposal",$A53)),IFERROR(VLOOKUP(TRIM($A53),Proposals!$N$13:$S$18,6,FALSE),""),IF($E53="","",IFERROR(_xlfn.MAXIFS('Timesheet Raw'!$L$4:$L$8000,'Timesheet Raw'!$B$4:$B$8000,$A53,'Timesheet Raw'!$M$4:$M$8000,$E53),""))))</f>
        <v>45322</v>
      </c>
      <c r="M53" s="340">
        <f t="shared" si="2"/>
        <v>1</v>
      </c>
      <c r="N53" s="340">
        <f>IF($K53="","",IF(COUNT('Work Calendar'!$E$6:$E$200)=0,NETWORKDAYS.INTL($K53,$L53,'Work Calendar'!$B$31),NETWORKDAYS.INTL($K53,$L53,'Work Calendar'!$B$31,'Work Calendar'!$E$6:$E$200)))</f>
        <v>1</v>
      </c>
      <c r="O53" s="340">
        <f>IF(OR($A53="",$E53=""),"",SUMIFS('Timesheet Raw'!$BV$4:$BV$8000,'Timesheet Raw'!$B$4:$B$8000,$A53,'Timesheet Raw'!$M$4:$M$8000,$E53))</f>
        <v>1</v>
      </c>
      <c r="P53" s="340">
        <f t="shared" si="3"/>
        <v>0</v>
      </c>
      <c r="Q53" s="386">
        <f t="shared" si="4"/>
        <v>0</v>
      </c>
      <c r="R53" t="str">
        <f>IF($A53="","",IF($E53="","set TS Phase",IF($G53=0,"Never charged",IF($L53&lt;'Work Calendar'!$B$17-21,"Dormant since "&amp;TEXT($L53,"yyyy-mm-dd"),"Active"))))</f>
        <v>Dormant since 2024-01-31</v>
      </c>
      <c r="S53" s="340">
        <f>IF(OR($A53="",$E53=""),"",IFERROR(_xlfn.MAXIFS('Timesheet Raw'!$BX$4:$BX$8000,'Timesheet Raw'!$B$4:$B$8000,$A53,'Timesheet Raw'!$M$4:$M$8000,$E53),""))</f>
        <v>0</v>
      </c>
      <c r="T53" s="371" t="str" cm="1">
        <f t="array" ref="T53">IF(OR($S53="",$S53=0),"",IFERROR(INDEX('Timesheet Raw'!$BW$4:$BW$8000,MATCH(1,INDEX(('Timesheet Raw'!$B$4:$B$8000=$A53)*('Timesheet Raw'!$M$4:$M$8000=$E53)*('Timesheet Raw'!$BX$4:$BX$8000=$S53),0),0)),""))</f>
        <v/>
      </c>
      <c r="U53" s="371" t="str" cm="1">
        <f t="array" ref="U53">IF(OR($S53="",$S53=0),"",IFERROR(INDEX('Timesheet Raw'!$L$4:$L$8000,MATCH(1,INDEX(('Timesheet Raw'!$B$4:$B$8000=$A53)*('Timesheet Raw'!$M$4:$M$8000=$E53)*('Timesheet Raw'!$BX$4:$BX$8000=$S53),0),0)),""))</f>
        <v/>
      </c>
      <c r="V53" s="340">
        <f>IF(OR($A53="",$E53="",$G53=0),"",1+COUNTIFS('Timesheet Raw'!$B$4:$B$8000,$A53,'Timesheet Raw'!$M$4:$M$8000,$E53,'Timesheet Raw'!$BX$4:$BX$8000,"&gt;="&amp;'Work Calendar'!$B$32))</f>
        <v>1</v>
      </c>
      <c r="W53" s="376"/>
      <c r="X53" s="376"/>
      <c r="Y53" s="376"/>
      <c r="Z53" s="376"/>
      <c r="AA53" s="376"/>
      <c r="AB53" s="376"/>
      <c r="AC53" s="396" t="str">
        <f t="shared" si="5"/>
        <v/>
      </c>
      <c r="AD53" s="396" t="str">
        <f t="shared" si="6"/>
        <v/>
      </c>
      <c r="AE53" s="340" t="str">
        <f>IF(OR($Y53="",$Z53=""),"",MAX(0,NETWORKDAYS.INTL($Y53,$Z53,'Work Calendar'!$B$31)-2))</f>
        <v/>
      </c>
      <c r="AF53" s="344">
        <f t="shared" si="7"/>
        <v>0</v>
      </c>
      <c r="AG53" t="str">
        <f t="shared" si="8"/>
        <v>no manual dates</v>
      </c>
      <c r="AH53" s="384">
        <f>IF(OR($A53="",$E53=""),"",IF(COUNTIFS($A$5:$A53,$A53,$E$5:$E53,$E53)=1,1,0))</f>
        <v>1</v>
      </c>
    </row>
    <row r="54" spans="1:34" x14ac:dyDescent="0.3">
      <c r="A54" t="str">
        <f>IF(Deliverables!$A54="","",TRIM(Deliverables!$A54))</f>
        <v>S24100-0100D</v>
      </c>
      <c r="B54" t="str">
        <f>IF($A54="","",Deliverables!$C54)</f>
        <v>Concept Design</v>
      </c>
      <c r="C54" t="str">
        <f>IF($A54="","",Deliverables!$D54)</f>
        <v>CD</v>
      </c>
      <c r="D54" t="str">
        <f>IF($A54="","",IF(Deliverables!$G54="","not started",Deliverables!$G54))</f>
        <v>Client acceptance</v>
      </c>
      <c r="E54" s="387"/>
      <c r="F54" s="384">
        <f>IF($A54="","",IF(ISNUMBER(SEARCH("Proposal",$A54)),1,IF(N(Deliverables!$H54)&gt;0,1,0)))</f>
        <v>1</v>
      </c>
      <c r="G54" s="385">
        <f>IF($A54="","",IF(ISNUMBER(SEARCH("Proposal",$A54)),IFERROR(VLOOKUP(TRIM($A54),Proposals!$N$13:$Q$18,4,FALSE),0),IF($E54="","",SUMIFS('Timesheet Raw'!$P$4:$P$8000,'Timesheet Raw'!$B$4:$B$8000,$A54,'Timesheet Raw'!$M$4:$M$8000,$E54))))</f>
        <v>186</v>
      </c>
      <c r="H54" s="384">
        <f t="shared" si="0"/>
        <v>1</v>
      </c>
      <c r="I54" s="385">
        <f t="shared" si="1"/>
        <v>186</v>
      </c>
      <c r="J54" s="341">
        <f>IF($I54="","",$I54/'Profit Plan'!$B$5)</f>
        <v>1.0054054054054054</v>
      </c>
      <c r="K54" s="371">
        <f>IF($A54="","",IF(ISNUMBER(SEARCH("Proposal",$A54)),IFERROR(VLOOKUP(TRIM($A54),Proposals!$N$13:$S$18,5,FALSE),""),IF($E54="","",IFERROR(_xlfn.MINIFS('Timesheet Raw'!$L$4:$L$8000,'Timesheet Raw'!$B$4:$B$8000,$A54,'Timesheet Raw'!$M$4:$M$8000,$E54),""))))</f>
        <v>45468</v>
      </c>
      <c r="L54" s="371">
        <f>IF($A54="","",IF(ISNUMBER(SEARCH("Proposal",$A54)),IFERROR(VLOOKUP(TRIM($A54),Proposals!$N$13:$S$18,6,FALSE),""),IF($E54="","",IFERROR(_xlfn.MAXIFS('Timesheet Raw'!$L$4:$L$8000,'Timesheet Raw'!$B$4:$B$8000,$A54,'Timesheet Raw'!$M$4:$M$8000,$E54),""))))</f>
        <v>45581</v>
      </c>
      <c r="M54" s="340">
        <f t="shared" si="2"/>
        <v>114</v>
      </c>
      <c r="N54" s="340">
        <f>IF($K54="","",IF(COUNT('Work Calendar'!$E$6:$E$200)=0,NETWORKDAYS.INTL($K54,$L54,'Work Calendar'!$B$31),NETWORKDAYS.INTL($K54,$L54,'Work Calendar'!$B$31,'Work Calendar'!$E$6:$E$200)))</f>
        <v>82</v>
      </c>
      <c r="O54" s="340">
        <f>IF(OR($A54="",$E54=""),"",SUMIFS('Timesheet Raw'!$BV$4:$BV$8000,'Timesheet Raw'!$B$4:$B$8000,$A54,'Timesheet Raw'!$M$4:$M$8000,$E54))</f>
        <v>22</v>
      </c>
      <c r="P54" s="340">
        <f t="shared" si="3"/>
        <v>60</v>
      </c>
      <c r="Q54" s="386">
        <f t="shared" si="4"/>
        <v>0.73170731707317072</v>
      </c>
      <c r="R54" t="str">
        <f>IF($A54="","",IF($E54="","set TS Phase",IF($G54=0,"Never charged",IF($L54&lt;'Work Calendar'!$B$17-21,"Dormant since "&amp;TEXT($L54,"yyyy-mm-dd"),"Active"))))</f>
        <v>Dormant since 2024-10-16</v>
      </c>
      <c r="S54" s="340">
        <f>IF(OR($A54="",$E54=""),"",IFERROR(_xlfn.MAXIFS('Timesheet Raw'!$BX$4:$BX$8000,'Timesheet Raw'!$B$4:$B$8000,$A54,'Timesheet Raw'!$M$4:$M$8000,$E54),""))</f>
        <v>33</v>
      </c>
      <c r="T54" s="371" cm="1">
        <f t="array" ref="T54">IF(OR($S54="",$S54=0),"",IFERROR(INDEX('Timesheet Raw'!$BW$4:$BW$8000,MATCH(1,INDEX(('Timesheet Raw'!$B$4:$B$8000=$A54)*('Timesheet Raw'!$M$4:$M$8000=$E54)*('Timesheet Raw'!$BX$4:$BX$8000=$S54),0),0)),""))</f>
        <v>45517</v>
      </c>
      <c r="U54" s="371" cm="1">
        <f t="array" ref="U54">IF(OR($S54="",$S54=0),"",IFERROR(INDEX('Timesheet Raw'!$L$4:$L$8000,MATCH(1,INDEX(('Timesheet Raw'!$B$4:$B$8000=$A54)*('Timesheet Raw'!$M$4:$M$8000=$E54)*('Timesheet Raw'!$BX$4:$BX$8000=$S54),0),0)),""))</f>
        <v>45565</v>
      </c>
      <c r="V54" s="340">
        <f>IF(OR($A54="",$E54="",$G54=0),"",1+COUNTIFS('Timesheet Raw'!$B$4:$B$8000,$A54,'Timesheet Raw'!$M$4:$M$8000,$E54,'Timesheet Raw'!$BX$4:$BX$8000,"&gt;="&amp;'Work Calendar'!$B$32))</f>
        <v>4</v>
      </c>
      <c r="W54" s="376"/>
      <c r="X54" s="376"/>
      <c r="Y54" s="376"/>
      <c r="Z54" s="376"/>
      <c r="AA54" s="376"/>
      <c r="AB54" s="376"/>
      <c r="AC54" s="396" t="str">
        <f t="shared" si="5"/>
        <v/>
      </c>
      <c r="AD54" s="396" t="str">
        <f t="shared" si="6"/>
        <v/>
      </c>
      <c r="AE54" s="340" t="str">
        <f>IF(OR($Y54="",$Z54=""),"",MAX(0,NETWORKDAYS.INTL($Y54,$Z54,'Work Calendar'!$B$31)-2))</f>
        <v/>
      </c>
      <c r="AF54" s="344">
        <f t="shared" si="7"/>
        <v>60</v>
      </c>
      <c r="AG54" t="str">
        <f t="shared" si="8"/>
        <v>no manual dates</v>
      </c>
      <c r="AH54" s="384">
        <f>IF(OR($A54="",$E54=""),"",IF(COUNTIFS($A$5:$A54,$A54,$E$5:$E54,$E54)=1,1,0))</f>
        <v>1</v>
      </c>
    </row>
    <row r="55" spans="1:34" x14ac:dyDescent="0.3">
      <c r="A55" t="str">
        <f>IF(Deliverables!$A55="","",TRIM(Deliverables!$A55))</f>
        <v>TA23011-0100R</v>
      </c>
      <c r="B55" t="str">
        <f>IF($A55="","",Deliverables!$C55)</f>
        <v>Design Review</v>
      </c>
      <c r="C55" t="str">
        <f>IF($A55="","",Deliverables!$D55)</f>
        <v>DR</v>
      </c>
      <c r="D55" t="str">
        <f>IF($A55="","",IF(Deliverables!$G55="","not started",Deliverables!$G55))</f>
        <v>Comment closeout confirmed</v>
      </c>
      <c r="E55" s="387"/>
      <c r="F55" s="384">
        <f>IF($A55="","",IF(ISNUMBER(SEARCH("Proposal",$A55)),1,IF(N(Deliverables!$H55)&gt;0,1,0)))</f>
        <v>1</v>
      </c>
      <c r="G55" s="385">
        <f>IF($A55="","",IF(ISNUMBER(SEARCH("Proposal",$A55)),IFERROR(VLOOKUP(TRIM($A55),Proposals!$N$13:$Q$18,4,FALSE),0),IF($E55="","",SUMIFS('Timesheet Raw'!$P$4:$P$8000,'Timesheet Raw'!$B$4:$B$8000,$A55,'Timesheet Raw'!$M$4:$M$8000,$E55))))</f>
        <v>10</v>
      </c>
      <c r="H55" s="384">
        <f t="shared" si="0"/>
        <v>1</v>
      </c>
      <c r="I55" s="385">
        <f t="shared" si="1"/>
        <v>10</v>
      </c>
      <c r="J55" s="341">
        <f>IF($I55="","",$I55/'Profit Plan'!$B$5)</f>
        <v>5.4054054054054057E-2</v>
      </c>
      <c r="K55" s="371">
        <f>IF($A55="","",IF(ISNUMBER(SEARCH("Proposal",$A55)),IFERROR(VLOOKUP(TRIM($A55),Proposals!$N$13:$S$18,5,FALSE),""),IF($E55="","",IFERROR(_xlfn.MINIFS('Timesheet Raw'!$L$4:$L$8000,'Timesheet Raw'!$B$4:$B$8000,$A55,'Timesheet Raw'!$M$4:$M$8000,$E55),""))))</f>
        <v>45278</v>
      </c>
      <c r="L55" s="371">
        <f>IF($A55="","",IF(ISNUMBER(SEARCH("Proposal",$A55)),IFERROR(VLOOKUP(TRIM($A55),Proposals!$N$13:$S$18,6,FALSE),""),IF($E55="","",IFERROR(_xlfn.MAXIFS('Timesheet Raw'!$L$4:$L$8000,'Timesheet Raw'!$B$4:$B$8000,$A55,'Timesheet Raw'!$M$4:$M$8000,$E55),""))))</f>
        <v>45295</v>
      </c>
      <c r="M55" s="340">
        <f t="shared" si="2"/>
        <v>18</v>
      </c>
      <c r="N55" s="340">
        <f>IF($K55="","",IF(COUNT('Work Calendar'!$E$6:$E$200)=0,NETWORKDAYS.INTL($K55,$L55,'Work Calendar'!$B$31),NETWORKDAYS.INTL($K55,$L55,'Work Calendar'!$B$31,'Work Calendar'!$E$6:$E$200)))</f>
        <v>14</v>
      </c>
      <c r="O55" s="340">
        <f>IF(OR($A55="",$E55=""),"",SUMIFS('Timesheet Raw'!$BV$4:$BV$8000,'Timesheet Raw'!$B$4:$B$8000,$A55,'Timesheet Raw'!$M$4:$M$8000,$E55))</f>
        <v>3</v>
      </c>
      <c r="P55" s="340">
        <f t="shared" si="3"/>
        <v>11</v>
      </c>
      <c r="Q55" s="386">
        <f t="shared" si="4"/>
        <v>0.7857142857142857</v>
      </c>
      <c r="R55" t="str">
        <f>IF($A55="","",IF($E55="","set TS Phase",IF($G55=0,"Never charged",IF($L55&lt;'Work Calendar'!$B$17-21,"Dormant since "&amp;TEXT($L55,"yyyy-mm-dd"),"Active"))))</f>
        <v>Dormant since 2024-01-04</v>
      </c>
      <c r="S55" s="340">
        <f>IF(OR($A55="",$E55=""),"",IFERROR(_xlfn.MAXIFS('Timesheet Raw'!$BX$4:$BX$8000,'Timesheet Raw'!$B$4:$B$8000,$A55,'Timesheet Raw'!$M$4:$M$8000,$E55),""))</f>
        <v>7</v>
      </c>
      <c r="T55" s="371" cm="1">
        <f t="array" ref="T55">IF(OR($S55="",$S55=0),"",IFERROR(INDEX('Timesheet Raw'!$BW$4:$BW$8000,MATCH(1,INDEX(('Timesheet Raw'!$B$4:$B$8000=$A55)*('Timesheet Raw'!$M$4:$M$8000=$E55)*('Timesheet Raw'!$BX$4:$BX$8000=$S55),0),0)),""))</f>
        <v>45285</v>
      </c>
      <c r="U55" s="371" cm="1">
        <f t="array" ref="U55">IF(OR($S55="",$S55=0),"",IFERROR(INDEX('Timesheet Raw'!$L$4:$L$8000,MATCH(1,INDEX(('Timesheet Raw'!$B$4:$B$8000=$A55)*('Timesheet Raw'!$M$4:$M$8000=$E55)*('Timesheet Raw'!$BX$4:$BX$8000=$S55),0),0)),""))</f>
        <v>45295</v>
      </c>
      <c r="V55" s="340">
        <f>IF(OR($A55="",$E55="",$G55=0),"",1+COUNTIFS('Timesheet Raw'!$B$4:$B$8000,$A55,'Timesheet Raw'!$M$4:$M$8000,$E55,'Timesheet Raw'!$BX$4:$BX$8000,"&gt;="&amp;'Work Calendar'!$B$32))</f>
        <v>3</v>
      </c>
      <c r="W55" s="376"/>
      <c r="X55" s="376"/>
      <c r="Y55" s="376"/>
      <c r="Z55" s="376"/>
      <c r="AA55" s="376"/>
      <c r="AB55" s="376"/>
      <c r="AC55" s="396" t="str">
        <f t="shared" si="5"/>
        <v/>
      </c>
      <c r="AD55" s="396" t="str">
        <f t="shared" si="6"/>
        <v/>
      </c>
      <c r="AE55" s="340" t="str">
        <f>IF(OR($Y55="",$Z55=""),"",MAX(0,NETWORKDAYS.INTL($Y55,$Z55,'Work Calendar'!$B$31)-2))</f>
        <v/>
      </c>
      <c r="AF55" s="344">
        <f t="shared" si="7"/>
        <v>11</v>
      </c>
      <c r="AG55" t="str">
        <f t="shared" si="8"/>
        <v>no manual dates</v>
      </c>
      <c r="AH55" s="384">
        <f>IF(OR($A55="",$E55=""),"",IF(COUNTIFS($A$5:$A55,$A55,$E$5:$E55,$E55)=1,1,0))</f>
        <v>1</v>
      </c>
    </row>
    <row r="56" spans="1:34" x14ac:dyDescent="0.3">
      <c r="A56" t="str">
        <f>IF(Deliverables!$A56="","",TRIM(Deliverables!$A56))</f>
        <v>AN23207-0500D</v>
      </c>
      <c r="B56" t="str">
        <f>IF($A56="","",Deliverables!$C56)</f>
        <v>Concept Design</v>
      </c>
      <c r="C56" t="str">
        <f>IF($A56="","",Deliverables!$D56)</f>
        <v>CD</v>
      </c>
      <c r="D56" t="str">
        <f>IF($A56="","",IF(Deliverables!$G56="","not started",Deliverables!$G56))</f>
        <v>Option selected and frozen</v>
      </c>
      <c r="E56" s="387"/>
      <c r="F56" s="384">
        <f>IF($A56="","",IF(ISNUMBER(SEARCH("Proposal",$A56)),1,IF(N(Deliverables!$H56)&gt;0,1,0)))</f>
        <v>1</v>
      </c>
      <c r="G56" s="385">
        <f>IF($A56="","",IF(ISNUMBER(SEARCH("Proposal",$A56)),IFERROR(VLOOKUP(TRIM($A56),Proposals!$N$13:$Q$18,4,FALSE),0),IF($E56="","",SUMIFS('Timesheet Raw'!$P$4:$P$8000,'Timesheet Raw'!$B$4:$B$8000,$A56,'Timesheet Raw'!$M$4:$M$8000,$E56))))</f>
        <v>0</v>
      </c>
      <c r="H56" s="384">
        <f t="shared" si="0"/>
        <v>1</v>
      </c>
      <c r="I56" s="385">
        <f t="shared" si="1"/>
        <v>0</v>
      </c>
      <c r="J56" s="341">
        <f>IF($I56="","",$I56/'Profit Plan'!$B$5)</f>
        <v>0</v>
      </c>
      <c r="K56" s="371">
        <f>IF($A56="","",IF(ISNUMBER(SEARCH("Proposal",$A56)),IFERROR(VLOOKUP(TRIM($A56),Proposals!$N$13:$S$18,5,FALSE),""),IF($E56="","",IFERROR(_xlfn.MINIFS('Timesheet Raw'!$L$4:$L$8000,'Timesheet Raw'!$B$4:$B$8000,$A56,'Timesheet Raw'!$M$4:$M$8000,$E56),""))))</f>
        <v>0</v>
      </c>
      <c r="L56" s="371">
        <f>IF($A56="","",IF(ISNUMBER(SEARCH("Proposal",$A56)),IFERROR(VLOOKUP(TRIM($A56),Proposals!$N$13:$S$18,6,FALSE),""),IF($E56="","",IFERROR(_xlfn.MAXIFS('Timesheet Raw'!$L$4:$L$8000,'Timesheet Raw'!$B$4:$B$8000,$A56,'Timesheet Raw'!$M$4:$M$8000,$E56),""))))</f>
        <v>0</v>
      </c>
      <c r="M56" s="340">
        <f t="shared" si="2"/>
        <v>1</v>
      </c>
      <c r="N56" s="340">
        <f>IF($K56="","",IF(COUNT('Work Calendar'!$E$6:$E$200)=0,NETWORKDAYS.INTL($K56,$L56,'Work Calendar'!$B$31),NETWORKDAYS.INTL($K56,$L56,'Work Calendar'!$B$31,'Work Calendar'!$E$6:$E$200)))</f>
        <v>0</v>
      </c>
      <c r="O56" s="340">
        <f>IF(OR($A56="",$E56=""),"",SUMIFS('Timesheet Raw'!$BV$4:$BV$8000,'Timesheet Raw'!$B$4:$B$8000,$A56,'Timesheet Raw'!$M$4:$M$8000,$E56))</f>
        <v>0</v>
      </c>
      <c r="P56" s="340">
        <f t="shared" si="3"/>
        <v>0</v>
      </c>
      <c r="Q56" s="386" t="str">
        <f t="shared" si="4"/>
        <v/>
      </c>
      <c r="R56" t="str">
        <f>IF($A56="","",IF($E56="","set TS Phase",IF($G56=0,"Never charged",IF($L56&lt;'Work Calendar'!$B$17-21,"Dormant since "&amp;TEXT($L56,"yyyy-mm-dd"),"Active"))))</f>
        <v>Never charged</v>
      </c>
      <c r="S56" s="340">
        <f>IF(OR($A56="",$E56=""),"",IFERROR(_xlfn.MAXIFS('Timesheet Raw'!$BX$4:$BX$8000,'Timesheet Raw'!$B$4:$B$8000,$A56,'Timesheet Raw'!$M$4:$M$8000,$E56),""))</f>
        <v>0</v>
      </c>
      <c r="T56" s="371" t="str" cm="1">
        <f t="array" ref="T56">IF(OR($S56="",$S56=0),"",IFERROR(INDEX('Timesheet Raw'!$BW$4:$BW$8000,MATCH(1,INDEX(('Timesheet Raw'!$B$4:$B$8000=$A56)*('Timesheet Raw'!$M$4:$M$8000=$E56)*('Timesheet Raw'!$BX$4:$BX$8000=$S56),0),0)),""))</f>
        <v/>
      </c>
      <c r="U56" s="371" t="str" cm="1">
        <f t="array" ref="U56">IF(OR($S56="",$S56=0),"",IFERROR(INDEX('Timesheet Raw'!$L$4:$L$8000,MATCH(1,INDEX(('Timesheet Raw'!$B$4:$B$8000=$A56)*('Timesheet Raw'!$M$4:$M$8000=$E56)*('Timesheet Raw'!$BX$4:$BX$8000=$S56),0),0)),""))</f>
        <v/>
      </c>
      <c r="V56" s="340" t="str">
        <f>IF(OR($A56="",$E56="",$G56=0),"",1+COUNTIFS('Timesheet Raw'!$B$4:$B$8000,$A56,'Timesheet Raw'!$M$4:$M$8000,$E56,'Timesheet Raw'!$BX$4:$BX$8000,"&gt;="&amp;'Work Calendar'!$B$32))</f>
        <v/>
      </c>
      <c r="W56" s="376"/>
      <c r="X56" s="376"/>
      <c r="Y56" s="376"/>
      <c r="Z56" s="376"/>
      <c r="AA56" s="376"/>
      <c r="AB56" s="376"/>
      <c r="AC56" s="396" t="str">
        <f t="shared" si="5"/>
        <v/>
      </c>
      <c r="AD56" s="396" t="str">
        <f t="shared" si="6"/>
        <v/>
      </c>
      <c r="AE56" s="340" t="str">
        <f>IF(OR($Y56="",$Z56=""),"",MAX(0,NETWORKDAYS.INTL($Y56,$Z56,'Work Calendar'!$B$31)-2))</f>
        <v/>
      </c>
      <c r="AF56" s="344">
        <f t="shared" si="7"/>
        <v>0</v>
      </c>
      <c r="AG56" t="str">
        <f t="shared" si="8"/>
        <v>no manual dates</v>
      </c>
      <c r="AH56" s="384">
        <f>IF(OR($A56="",$E56=""),"",IF(COUNTIFS($A$5:$A56,$A56,$E$5:$E56,$E56)=1,1,0))</f>
        <v>1</v>
      </c>
    </row>
    <row r="57" spans="1:34" x14ac:dyDescent="0.3">
      <c r="A57" t="str">
        <f>IF(Deliverables!$A57="","",TRIM(Deliverables!$A57))</f>
        <v>AN23276-0100D</v>
      </c>
      <c r="B57" t="str">
        <f>IF($A57="","",Deliverables!$C57)</f>
        <v>Concept Design</v>
      </c>
      <c r="C57" t="str">
        <f>IF($A57="","",Deliverables!$D57)</f>
        <v>CD</v>
      </c>
      <c r="D57" t="str">
        <f>IF($A57="","",IF(Deliverables!$G57="","not started",Deliverables!$G57))</f>
        <v>Concept report and drawings issued</v>
      </c>
      <c r="E57" s="387"/>
      <c r="F57" s="384">
        <f>IF($A57="","",IF(ISNUMBER(SEARCH("Proposal",$A57)),1,IF(N(Deliverables!$H57)&gt;0,1,0)))</f>
        <v>1</v>
      </c>
      <c r="G57" s="385">
        <f>IF($A57="","",IF(ISNUMBER(SEARCH("Proposal",$A57)),IFERROR(VLOOKUP(TRIM($A57),Proposals!$N$13:$Q$18,4,FALSE),0),IF($E57="","",SUMIFS('Timesheet Raw'!$P$4:$P$8000,'Timesheet Raw'!$B$4:$B$8000,$A57,'Timesheet Raw'!$M$4:$M$8000,$E57))))</f>
        <v>164.5</v>
      </c>
      <c r="H57" s="384">
        <f t="shared" si="0"/>
        <v>1</v>
      </c>
      <c r="I57" s="385">
        <f t="shared" si="1"/>
        <v>164.5</v>
      </c>
      <c r="J57" s="341">
        <f>IF($I57="","",$I57/'Profit Plan'!$B$5)</f>
        <v>0.88918918918918921</v>
      </c>
      <c r="K57" s="371">
        <f>IF($A57="","",IF(ISNUMBER(SEARCH("Proposal",$A57)),IFERROR(VLOOKUP(TRIM($A57),Proposals!$N$13:$S$18,5,FALSE),""),IF($E57="","",IFERROR(_xlfn.MINIFS('Timesheet Raw'!$L$4:$L$8000,'Timesheet Raw'!$B$4:$B$8000,$A57,'Timesheet Raw'!$M$4:$M$8000,$E57),""))))</f>
        <v>45456</v>
      </c>
      <c r="L57" s="371">
        <f>IF($A57="","",IF(ISNUMBER(SEARCH("Proposal",$A57)),IFERROR(VLOOKUP(TRIM($A57),Proposals!$N$13:$S$18,6,FALSE),""),IF($E57="","",IFERROR(_xlfn.MAXIFS('Timesheet Raw'!$L$4:$L$8000,'Timesheet Raw'!$B$4:$B$8000,$A57,'Timesheet Raw'!$M$4:$M$8000,$E57),""))))</f>
        <v>45757</v>
      </c>
      <c r="M57" s="340">
        <f t="shared" si="2"/>
        <v>302</v>
      </c>
      <c r="N57" s="340">
        <f>IF($K57="","",IF(COUNT('Work Calendar'!$E$6:$E$200)=0,NETWORKDAYS.INTL($K57,$L57,'Work Calendar'!$B$31),NETWORKDAYS.INTL($K57,$L57,'Work Calendar'!$B$31,'Work Calendar'!$E$6:$E$200)))</f>
        <v>216</v>
      </c>
      <c r="O57" s="340">
        <f>IF(OR($A57="",$E57=""),"",SUMIFS('Timesheet Raw'!$BV$4:$BV$8000,'Timesheet Raw'!$B$4:$B$8000,$A57,'Timesheet Raw'!$M$4:$M$8000,$E57))</f>
        <v>16</v>
      </c>
      <c r="P57" s="340">
        <f t="shared" si="3"/>
        <v>200</v>
      </c>
      <c r="Q57" s="386">
        <f t="shared" si="4"/>
        <v>0.92592592592592593</v>
      </c>
      <c r="R57" t="str">
        <f>IF($A57="","",IF($E57="","set TS Phase",IF($G57=0,"Never charged",IF($L57&lt;'Work Calendar'!$B$17-21,"Dormant since "&amp;TEXT($L57,"yyyy-mm-dd"),"Active"))))</f>
        <v>Dormant since 2025-04-10</v>
      </c>
      <c r="S57" s="340">
        <f>IF(OR($A57="",$E57=""),"",IFERROR(_xlfn.MAXIFS('Timesheet Raw'!$BX$4:$BX$8000,'Timesheet Raw'!$B$4:$B$8000,$A57,'Timesheet Raw'!$M$4:$M$8000,$E57),""))</f>
        <v>187</v>
      </c>
      <c r="T57" s="371" cm="1">
        <f t="array" ref="T57">IF(OR($S57="",$S57=0),"",IFERROR(INDEX('Timesheet Raw'!$BW$4:$BW$8000,MATCH(1,INDEX(('Timesheet Raw'!$B$4:$B$8000=$A57)*('Timesheet Raw'!$M$4:$M$8000=$E57)*('Timesheet Raw'!$BX$4:$BX$8000=$S57),0),0)),""))</f>
        <v>45494</v>
      </c>
      <c r="U57" s="371" cm="1">
        <f t="array" ref="U57">IF(OR($S57="",$S57=0),"",IFERROR(INDEX('Timesheet Raw'!$L$4:$L$8000,MATCH(1,INDEX(('Timesheet Raw'!$B$4:$B$8000=$A57)*('Timesheet Raw'!$M$4:$M$8000=$E57)*('Timesheet Raw'!$BX$4:$BX$8000=$S57),0),0)),""))</f>
        <v>45756</v>
      </c>
      <c r="V57" s="340">
        <f>IF(OR($A57="",$E57="",$G57=0),"",1+COUNTIFS('Timesheet Raw'!$B$4:$B$8000,$A57,'Timesheet Raw'!$M$4:$M$8000,$E57,'Timesheet Raw'!$BX$4:$BX$8000,"&gt;="&amp;'Work Calendar'!$B$32))</f>
        <v>6</v>
      </c>
      <c r="W57" s="376"/>
      <c r="X57" s="376"/>
      <c r="Y57" s="376"/>
      <c r="Z57" s="376"/>
      <c r="AA57" s="376"/>
      <c r="AB57" s="376"/>
      <c r="AC57" s="396" t="str">
        <f t="shared" si="5"/>
        <v/>
      </c>
      <c r="AD57" s="396" t="str">
        <f t="shared" si="6"/>
        <v/>
      </c>
      <c r="AE57" s="340" t="str">
        <f>IF(OR($Y57="",$Z57=""),"",MAX(0,NETWORKDAYS.INTL($Y57,$Z57,'Work Calendar'!$B$31)-2))</f>
        <v/>
      </c>
      <c r="AF57" s="344">
        <f t="shared" si="7"/>
        <v>200</v>
      </c>
      <c r="AG57" t="str">
        <f t="shared" si="8"/>
        <v>no manual dates</v>
      </c>
      <c r="AH57" s="384">
        <f>IF(OR($A57="",$E57=""),"",IF(COUNTIFS($A$5:$A57,$A57,$E$5:$E57,$E57)=1,1,0))</f>
        <v>1</v>
      </c>
    </row>
    <row r="58" spans="1:34" x14ac:dyDescent="0.3">
      <c r="A58" t="str">
        <f>IF(Deliverables!$A58="","",TRIM(Deliverables!$A58))</f>
        <v>AN24073-0100D</v>
      </c>
      <c r="B58" t="str">
        <f>IF($A58="","",Deliverables!$C58)</f>
        <v>Concept Design</v>
      </c>
      <c r="C58" t="str">
        <f>IF($A58="","",Deliverables!$D58)</f>
        <v>CD</v>
      </c>
      <c r="D58" t="str">
        <f>IF($A58="","",IF(Deliverables!$G58="","not started",Deliverables!$G58))</f>
        <v>Concept report and drawings issued</v>
      </c>
      <c r="E58" s="387"/>
      <c r="F58" s="384">
        <f>IF($A58="","",IF(ISNUMBER(SEARCH("Proposal",$A58)),1,IF(N(Deliverables!$H58)&gt;0,1,0)))</f>
        <v>1</v>
      </c>
      <c r="G58" s="385">
        <f>IF($A58="","",IF(ISNUMBER(SEARCH("Proposal",$A58)),IFERROR(VLOOKUP(TRIM($A58),Proposals!$N$13:$Q$18,4,FALSE),0),IF($E58="","",SUMIFS('Timesheet Raw'!$P$4:$P$8000,'Timesheet Raw'!$B$4:$B$8000,$A58,'Timesheet Raw'!$M$4:$M$8000,$E58))))</f>
        <v>171</v>
      </c>
      <c r="H58" s="384">
        <f t="shared" si="0"/>
        <v>1</v>
      </c>
      <c r="I58" s="385">
        <f t="shared" si="1"/>
        <v>171</v>
      </c>
      <c r="J58" s="341">
        <f>IF($I58="","",$I58/'Profit Plan'!$B$5)</f>
        <v>0.92432432432432432</v>
      </c>
      <c r="K58" s="371">
        <f>IF($A58="","",IF(ISNUMBER(SEARCH("Proposal",$A58)),IFERROR(VLOOKUP(TRIM($A58),Proposals!$N$13:$S$18,5,FALSE),""),IF($E58="","",IFERROR(_xlfn.MINIFS('Timesheet Raw'!$L$4:$L$8000,'Timesheet Raw'!$B$4:$B$8000,$A58,'Timesheet Raw'!$M$4:$M$8000,$E58),""))))</f>
        <v>45866</v>
      </c>
      <c r="L58" s="371">
        <f>IF($A58="","",IF(ISNUMBER(SEARCH("Proposal",$A58)),IFERROR(VLOOKUP(TRIM($A58),Proposals!$N$13:$S$18,6,FALSE),""),IF($E58="","",IFERROR(_xlfn.MAXIFS('Timesheet Raw'!$L$4:$L$8000,'Timesheet Raw'!$B$4:$B$8000,$A58,'Timesheet Raw'!$M$4:$M$8000,$E58),""))))</f>
        <v>45931</v>
      </c>
      <c r="M58" s="340">
        <f t="shared" si="2"/>
        <v>66</v>
      </c>
      <c r="N58" s="340">
        <f>IF($K58="","",IF(COUNT('Work Calendar'!$E$6:$E$200)=0,NETWORKDAYS.INTL($K58,$L58,'Work Calendar'!$B$31),NETWORKDAYS.INTL($K58,$L58,'Work Calendar'!$B$31,'Work Calendar'!$E$6:$E$200)))</f>
        <v>48</v>
      </c>
      <c r="O58" s="340">
        <f>IF(OR($A58="",$E58=""),"",SUMIFS('Timesheet Raw'!$BV$4:$BV$8000,'Timesheet Raw'!$B$4:$B$8000,$A58,'Timesheet Raw'!$M$4:$M$8000,$E58))</f>
        <v>30</v>
      </c>
      <c r="P58" s="340">
        <f t="shared" si="3"/>
        <v>18</v>
      </c>
      <c r="Q58" s="386">
        <f t="shared" si="4"/>
        <v>0.375</v>
      </c>
      <c r="R58" t="str">
        <f>IF($A58="","",IF($E58="","set TS Phase",IF($G58=0,"Never charged",IF($L58&lt;'Work Calendar'!$B$17-21,"Dormant since "&amp;TEXT($L58,"yyyy-mm-dd"),"Active"))))</f>
        <v>Dormant since 2025-10-01</v>
      </c>
      <c r="S58" s="340">
        <f>IF(OR($A58="",$E58=""),"",IFERROR(_xlfn.MAXIFS('Timesheet Raw'!$BX$4:$BX$8000,'Timesheet Raw'!$B$4:$B$8000,$A58,'Timesheet Raw'!$M$4:$M$8000,$E58),""))</f>
        <v>7</v>
      </c>
      <c r="T58" s="371" cm="1">
        <f t="array" ref="T58">IF(OR($S58="",$S58=0),"",IFERROR(INDEX('Timesheet Raw'!$BW$4:$BW$8000,MATCH(1,INDEX(('Timesheet Raw'!$B$4:$B$8000=$A58)*('Timesheet Raw'!$M$4:$M$8000=$E58)*('Timesheet Raw'!$BX$4:$BX$8000=$S58),0),0)),""))</f>
        <v>45921</v>
      </c>
      <c r="U58" s="371" cm="1">
        <f t="array" ref="U58">IF(OR($S58="",$S58=0),"",IFERROR(INDEX('Timesheet Raw'!$L$4:$L$8000,MATCH(1,INDEX(('Timesheet Raw'!$B$4:$B$8000=$A58)*('Timesheet Raw'!$M$4:$M$8000=$E58)*('Timesheet Raw'!$BX$4:$BX$8000=$S58),0),0)),""))</f>
        <v>45931</v>
      </c>
      <c r="V58" s="340">
        <f>IF(OR($A58="",$E58="",$G58=0),"",1+COUNTIFS('Timesheet Raw'!$B$4:$B$8000,$A58,'Timesheet Raw'!$M$4:$M$8000,$E58,'Timesheet Raw'!$BX$4:$BX$8000,"&gt;="&amp;'Work Calendar'!$B$32))</f>
        <v>4</v>
      </c>
      <c r="W58" s="376"/>
      <c r="X58" s="376"/>
      <c r="Y58" s="376"/>
      <c r="Z58" s="376"/>
      <c r="AA58" s="376"/>
      <c r="AB58" s="376"/>
      <c r="AC58" s="396" t="str">
        <f t="shared" si="5"/>
        <v/>
      </c>
      <c r="AD58" s="396" t="str">
        <f t="shared" si="6"/>
        <v/>
      </c>
      <c r="AE58" s="340" t="str">
        <f>IF(OR($Y58="",$Z58=""),"",MAX(0,NETWORKDAYS.INTL($Y58,$Z58,'Work Calendar'!$B$31)-2))</f>
        <v/>
      </c>
      <c r="AF58" s="344">
        <f t="shared" si="7"/>
        <v>18</v>
      </c>
      <c r="AG58" t="str">
        <f t="shared" si="8"/>
        <v>no manual dates</v>
      </c>
      <c r="AH58" s="384">
        <f>IF(OR($A58="",$E58=""),"",IF(COUNTIFS($A$5:$A58,$A58,$E$5:$E58,$E58)=1,1,0))</f>
        <v>1</v>
      </c>
    </row>
    <row r="59" spans="1:34" x14ac:dyDescent="0.3">
      <c r="A59" t="str">
        <f>IF(Deliverables!$A59="","",TRIM(Deliverables!$A59))</f>
        <v>AN24140-0100R</v>
      </c>
      <c r="B59" t="str">
        <f>IF($A59="","",Deliverables!$C59)</f>
        <v>Design Review</v>
      </c>
      <c r="C59" t="str">
        <f>IF($A59="","",Deliverables!$D59)</f>
        <v>DR</v>
      </c>
      <c r="D59" t="str">
        <f>IF($A59="","",IF(Deliverables!$G59="","not started",Deliverables!$G59))</f>
        <v>Documents received and logged</v>
      </c>
      <c r="E59" s="387"/>
      <c r="F59" s="384">
        <f>IF($A59="","",IF(ISNUMBER(SEARCH("Proposal",$A59)),1,IF(N(Deliverables!$H59)&gt;0,1,0)))</f>
        <v>1</v>
      </c>
      <c r="G59" s="385">
        <f>IF($A59="","",IF(ISNUMBER(SEARCH("Proposal",$A59)),IFERROR(VLOOKUP(TRIM($A59),Proposals!$N$13:$Q$18,4,FALSE),0),IF($E59="","",SUMIFS('Timesheet Raw'!$P$4:$P$8000,'Timesheet Raw'!$B$4:$B$8000,$A59,'Timesheet Raw'!$M$4:$M$8000,$E59))))</f>
        <v>93</v>
      </c>
      <c r="H59" s="384">
        <f t="shared" si="0"/>
        <v>1</v>
      </c>
      <c r="I59" s="385">
        <f t="shared" si="1"/>
        <v>93</v>
      </c>
      <c r="J59" s="341">
        <f>IF($I59="","",$I59/'Profit Plan'!$B$5)</f>
        <v>0.50270270270270268</v>
      </c>
      <c r="K59" s="371">
        <f>IF($A59="","",IF(ISNUMBER(SEARCH("Proposal",$A59)),IFERROR(VLOOKUP(TRIM($A59),Proposals!$N$13:$S$18,5,FALSE),""),IF($E59="","",IFERROR(_xlfn.MINIFS('Timesheet Raw'!$L$4:$L$8000,'Timesheet Raw'!$B$4:$B$8000,$A59,'Timesheet Raw'!$M$4:$M$8000,$E59),""))))</f>
        <v>45631</v>
      </c>
      <c r="L59" s="371">
        <f>IF($A59="","",IF(ISNUMBER(SEARCH("Proposal",$A59)),IFERROR(VLOOKUP(TRIM($A59),Proposals!$N$13:$S$18,6,FALSE),""),IF($E59="","",IFERROR(_xlfn.MAXIFS('Timesheet Raw'!$L$4:$L$8000,'Timesheet Raw'!$B$4:$B$8000,$A59,'Timesheet Raw'!$M$4:$M$8000,$E59),""))))</f>
        <v>46057</v>
      </c>
      <c r="M59" s="340">
        <f t="shared" si="2"/>
        <v>427</v>
      </c>
      <c r="N59" s="340">
        <f>IF($K59="","",IF(COUNT('Work Calendar'!$E$6:$E$200)=0,NETWORKDAYS.INTL($K59,$L59,'Work Calendar'!$B$31),NETWORKDAYS.INTL($K59,$L59,'Work Calendar'!$B$31,'Work Calendar'!$E$6:$E$200)))</f>
        <v>305</v>
      </c>
      <c r="O59" s="340">
        <f>IF(OR($A59="",$E59=""),"",SUMIFS('Timesheet Raw'!$BV$4:$BV$8000,'Timesheet Raw'!$B$4:$B$8000,$A59,'Timesheet Raw'!$M$4:$M$8000,$E59))</f>
        <v>12</v>
      </c>
      <c r="P59" s="340">
        <f t="shared" si="3"/>
        <v>293</v>
      </c>
      <c r="Q59" s="386">
        <f t="shared" si="4"/>
        <v>0.96065573770491808</v>
      </c>
      <c r="R59" t="str">
        <f>IF($A59="","",IF($E59="","set TS Phase",IF($G59=0,"Never charged",IF($L59&lt;'Work Calendar'!$B$17-21,"Dormant since "&amp;TEXT($L59,"yyyy-mm-dd"),"Active"))))</f>
        <v>Dormant since 2026-02-04</v>
      </c>
      <c r="S59" s="340">
        <f>IF(OR($A59="",$E59=""),"",IFERROR(_xlfn.MAXIFS('Timesheet Raw'!$BX$4:$BX$8000,'Timesheet Raw'!$B$4:$B$8000,$A59,'Timesheet Raw'!$M$4:$M$8000,$E59),""))</f>
        <v>155</v>
      </c>
      <c r="T59" s="371" cm="1">
        <f t="array" ref="T59">IF(OR($S59="",$S59=0),"",IFERROR(INDEX('Timesheet Raw'!$BW$4:$BW$8000,MATCH(1,INDEX(('Timesheet Raw'!$B$4:$B$8000=$A59)*('Timesheet Raw'!$M$4:$M$8000=$E59)*('Timesheet Raw'!$BX$4:$BX$8000=$S59),0),0)),""))</f>
        <v>45839</v>
      </c>
      <c r="U59" s="371" cm="1">
        <f t="array" ref="U59">IF(OR($S59="",$S59=0),"",IFERROR(INDEX('Timesheet Raw'!$L$4:$L$8000,MATCH(1,INDEX(('Timesheet Raw'!$B$4:$B$8000=$A59)*('Timesheet Raw'!$M$4:$M$8000=$E59)*('Timesheet Raw'!$BX$4:$BX$8000=$S59),0),0)),""))</f>
        <v>46057</v>
      </c>
      <c r="V59" s="340">
        <f>IF(OR($A59="",$E59="",$G59=0),"",1+COUNTIFS('Timesheet Raw'!$B$4:$B$8000,$A59,'Timesheet Raw'!$M$4:$M$8000,$E59,'Timesheet Raw'!$BX$4:$BX$8000,"&gt;="&amp;'Work Calendar'!$B$32))</f>
        <v>7</v>
      </c>
      <c r="W59" s="376"/>
      <c r="X59" s="376"/>
      <c r="Y59" s="376"/>
      <c r="Z59" s="376"/>
      <c r="AA59" s="376"/>
      <c r="AB59" s="376"/>
      <c r="AC59" s="396" t="str">
        <f t="shared" si="5"/>
        <v/>
      </c>
      <c r="AD59" s="396" t="str">
        <f t="shared" si="6"/>
        <v/>
      </c>
      <c r="AE59" s="340" t="str">
        <f>IF(OR($Y59="",$Z59=""),"",MAX(0,NETWORKDAYS.INTL($Y59,$Z59,'Work Calendar'!$B$31)-2))</f>
        <v/>
      </c>
      <c r="AF59" s="344">
        <f t="shared" si="7"/>
        <v>293</v>
      </c>
      <c r="AG59" t="str">
        <f t="shared" si="8"/>
        <v>no manual dates</v>
      </c>
      <c r="AH59" s="384">
        <f>IF(OR($A59="",$E59=""),"",IF(COUNTIFS($A$5:$A59,$A59,$E$5:$E59,$E59)=1,1,0))</f>
        <v>1</v>
      </c>
    </row>
    <row r="60" spans="1:34" x14ac:dyDescent="0.3">
      <c r="A60" t="str">
        <f>IF(Deliverables!$A60="","",TRIM(Deliverables!$A60))</f>
        <v>CS24035-0100D</v>
      </c>
      <c r="B60" t="str">
        <f>IF($A60="","",Deliverables!$C60)</f>
        <v>Detailed Design</v>
      </c>
      <c r="C60" t="str">
        <f>IF($A60="","",Deliverables!$D60)</f>
        <v>DD</v>
      </c>
      <c r="D60" t="str">
        <f>IF($A60="","",IF(Deliverables!$G60="","not started",Deliverables!$G60))</f>
        <v>Transmitted to client (IFA/IFC)</v>
      </c>
      <c r="E60" s="387"/>
      <c r="F60" s="384">
        <f>IF($A60="","",IF(ISNUMBER(SEARCH("Proposal",$A60)),1,IF(N(Deliverables!$H60)&gt;0,1,0)))</f>
        <v>1</v>
      </c>
      <c r="G60" s="385">
        <f>IF($A60="","",IF(ISNUMBER(SEARCH("Proposal",$A60)),IFERROR(VLOOKUP(TRIM($A60),Proposals!$N$13:$Q$18,4,FALSE),0),IF($E60="","",SUMIFS('Timesheet Raw'!$P$4:$P$8000,'Timesheet Raw'!$B$4:$B$8000,$A60,'Timesheet Raw'!$M$4:$M$8000,$E60))))</f>
        <v>568.5</v>
      </c>
      <c r="H60" s="384">
        <f t="shared" si="0"/>
        <v>1</v>
      </c>
      <c r="I60" s="385">
        <f t="shared" si="1"/>
        <v>568.5</v>
      </c>
      <c r="J60" s="341">
        <f>IF($I60="","",$I60/'Profit Plan'!$B$5)</f>
        <v>3.0729729729729729</v>
      </c>
      <c r="K60" s="371">
        <f>IF($A60="","",IF(ISNUMBER(SEARCH("Proposal",$A60)),IFERROR(VLOOKUP(TRIM($A60),Proposals!$N$13:$S$18,5,FALSE),""),IF($E60="","",IFERROR(_xlfn.MINIFS('Timesheet Raw'!$L$4:$L$8000,'Timesheet Raw'!$B$4:$B$8000,$A60,'Timesheet Raw'!$M$4:$M$8000,$E60),""))))</f>
        <v>45957</v>
      </c>
      <c r="L60" s="371">
        <f>IF($A60="","",IF(ISNUMBER(SEARCH("Proposal",$A60)),IFERROR(VLOOKUP(TRIM($A60),Proposals!$N$13:$S$18,6,FALSE),""),IF($E60="","",IFERROR(_xlfn.MAXIFS('Timesheet Raw'!$L$4:$L$8000,'Timesheet Raw'!$B$4:$B$8000,$A60,'Timesheet Raw'!$M$4:$M$8000,$E60),""))))</f>
        <v>46198</v>
      </c>
      <c r="M60" s="340">
        <f t="shared" si="2"/>
        <v>242</v>
      </c>
      <c r="N60" s="340">
        <f>IF($K60="","",IF(COUNT('Work Calendar'!$E$6:$E$200)=0,NETWORKDAYS.INTL($K60,$L60,'Work Calendar'!$B$31),NETWORKDAYS.INTL($K60,$L60,'Work Calendar'!$B$31,'Work Calendar'!$E$6:$E$200)))</f>
        <v>174</v>
      </c>
      <c r="O60" s="340">
        <f>IF(OR($A60="",$E60=""),"",SUMIFS('Timesheet Raw'!$BV$4:$BV$8000,'Timesheet Raw'!$B$4:$B$8000,$A60,'Timesheet Raw'!$M$4:$M$8000,$E60))</f>
        <v>56</v>
      </c>
      <c r="P60" s="340">
        <f t="shared" si="3"/>
        <v>118</v>
      </c>
      <c r="Q60" s="386">
        <f t="shared" si="4"/>
        <v>0.67816091954022983</v>
      </c>
      <c r="R60" t="str">
        <f>IF($A60="","",IF($E60="","set TS Phase",IF($G60=0,"Never charged",IF($L60&lt;'Work Calendar'!$B$17-21,"Dormant since "&amp;TEXT($L60,"yyyy-mm-dd"),"Active"))))</f>
        <v>Dormant since 2026-06-25</v>
      </c>
      <c r="S60" s="340">
        <f>IF(OR($A60="",$E60=""),"",IFERROR(_xlfn.MAXIFS('Timesheet Raw'!$BX$4:$BX$8000,'Timesheet Raw'!$B$4:$B$8000,$A60,'Timesheet Raw'!$M$4:$M$8000,$E60),""))</f>
        <v>76</v>
      </c>
      <c r="T60" s="371" cm="1">
        <f t="array" ref="T60">IF(OR($S60="",$S60=0),"",IFERROR(INDEX('Timesheet Raw'!$BW$4:$BW$8000,MATCH(1,INDEX(('Timesheet Raw'!$B$4:$B$8000=$A60)*('Timesheet Raw'!$M$4:$M$8000=$E60)*('Timesheet Raw'!$BX$4:$BX$8000=$S60),0),0)),""))</f>
        <v>46044</v>
      </c>
      <c r="U60" s="371" cm="1">
        <f t="array" ref="U60">IF(OR($S60="",$S60=0),"",IFERROR(INDEX('Timesheet Raw'!$L$4:$L$8000,MATCH(1,INDEX(('Timesheet Raw'!$B$4:$B$8000=$A60)*('Timesheet Raw'!$M$4:$M$8000=$E60)*('Timesheet Raw'!$BX$4:$BX$8000=$S60),0),0)),""))</f>
        <v>46153</v>
      </c>
      <c r="V60" s="340">
        <f>IF(OR($A60="",$E60="",$G60=0),"",1+COUNTIFS('Timesheet Raw'!$B$4:$B$8000,$A60,'Timesheet Raw'!$M$4:$M$8000,$E60,'Timesheet Raw'!$BX$4:$BX$8000,"&gt;="&amp;'Work Calendar'!$B$32))</f>
        <v>6</v>
      </c>
      <c r="W60" s="376"/>
      <c r="X60" s="376"/>
      <c r="Y60" s="376"/>
      <c r="Z60" s="376"/>
      <c r="AA60" s="376"/>
      <c r="AB60" s="376"/>
      <c r="AC60" s="396" t="str">
        <f t="shared" si="5"/>
        <v/>
      </c>
      <c r="AD60" s="396" t="str">
        <f t="shared" si="6"/>
        <v/>
      </c>
      <c r="AE60" s="340" t="str">
        <f>IF(OR($Y60="",$Z60=""),"",MAX(0,NETWORKDAYS.INTL($Y60,$Z60,'Work Calendar'!$B$31)-2))</f>
        <v/>
      </c>
      <c r="AF60" s="344">
        <f t="shared" si="7"/>
        <v>118</v>
      </c>
      <c r="AG60" t="str">
        <f t="shared" si="8"/>
        <v>no manual dates</v>
      </c>
      <c r="AH60" s="384">
        <f>IF(OR($A60="",$E60=""),"",IF(COUNTIFS($A$5:$A60,$A60,$E$5:$E60,$E60)=1,1,0))</f>
        <v>1</v>
      </c>
    </row>
    <row r="61" spans="1:34" x14ac:dyDescent="0.3">
      <c r="A61" t="str">
        <f>IF(Deliverables!$A61="","",TRIM(Deliverables!$A61))</f>
        <v>AN24135-0100R</v>
      </c>
      <c r="B61" t="str">
        <f>IF($A61="","",Deliverables!$C61)</f>
        <v>Design Review</v>
      </c>
      <c r="C61" t="str">
        <f>IF($A61="","",Deliverables!$D61)</f>
        <v>DR</v>
      </c>
      <c r="D61" t="str">
        <f>IF($A61="","",IF(Deliverables!$G61="","not started",Deliverables!$G61))</f>
        <v>Documents received and logged</v>
      </c>
      <c r="E61" s="387"/>
      <c r="F61" s="384">
        <f>IF($A61="","",IF(ISNUMBER(SEARCH("Proposal",$A61)),1,IF(N(Deliverables!$H61)&gt;0,1,0)))</f>
        <v>1</v>
      </c>
      <c r="G61" s="385">
        <f>IF($A61="","",IF(ISNUMBER(SEARCH("Proposal",$A61)),IFERROR(VLOOKUP(TRIM($A61),Proposals!$N$13:$Q$18,4,FALSE),0),IF($E61="","",SUMIFS('Timesheet Raw'!$P$4:$P$8000,'Timesheet Raw'!$B$4:$B$8000,$A61,'Timesheet Raw'!$M$4:$M$8000,$E61))))</f>
        <v>338.75</v>
      </c>
      <c r="H61" s="384">
        <f t="shared" si="0"/>
        <v>1</v>
      </c>
      <c r="I61" s="385">
        <f t="shared" si="1"/>
        <v>338.75</v>
      </c>
      <c r="J61" s="341">
        <f>IF($I61="","",$I61/'Profit Plan'!$B$5)</f>
        <v>1.8310810810810811</v>
      </c>
      <c r="K61" s="371">
        <f>IF($A61="","",IF(ISNUMBER(SEARCH("Proposal",$A61)),IFERROR(VLOOKUP(TRIM($A61),Proposals!$N$13:$S$18,5,FALSE),""),IF($E61="","",IFERROR(_xlfn.MINIFS('Timesheet Raw'!$L$4:$L$8000,'Timesheet Raw'!$B$4:$B$8000,$A61,'Timesheet Raw'!$M$4:$M$8000,$E61),""))))</f>
        <v>45580</v>
      </c>
      <c r="L61" s="371">
        <f>IF($A61="","",IF(ISNUMBER(SEARCH("Proposal",$A61)),IFERROR(VLOOKUP(TRIM($A61),Proposals!$N$13:$S$18,6,FALSE),""),IF($E61="","",IFERROR(_xlfn.MAXIFS('Timesheet Raw'!$L$4:$L$8000,'Timesheet Raw'!$B$4:$B$8000,$A61,'Timesheet Raw'!$M$4:$M$8000,$E61),""))))</f>
        <v>45945</v>
      </c>
      <c r="M61" s="340">
        <f t="shared" si="2"/>
        <v>366</v>
      </c>
      <c r="N61" s="340">
        <f>IF($K61="","",IF(COUNT('Work Calendar'!$E$6:$E$200)=0,NETWORKDAYS.INTL($K61,$L61,'Work Calendar'!$B$31),NETWORKDAYS.INTL($K61,$L61,'Work Calendar'!$B$31,'Work Calendar'!$E$6:$E$200)))</f>
        <v>262</v>
      </c>
      <c r="O61" s="340">
        <f>IF(OR($A61="",$E61=""),"",SUMIFS('Timesheet Raw'!$BV$4:$BV$8000,'Timesheet Raw'!$B$4:$B$8000,$A61,'Timesheet Raw'!$M$4:$M$8000,$E61))</f>
        <v>51</v>
      </c>
      <c r="P61" s="340">
        <f t="shared" si="3"/>
        <v>211</v>
      </c>
      <c r="Q61" s="386">
        <f t="shared" si="4"/>
        <v>0.80534351145038163</v>
      </c>
      <c r="R61" t="str">
        <f>IF($A61="","",IF($E61="","set TS Phase",IF($G61=0,"Never charged",IF($L61&lt;'Work Calendar'!$B$17-21,"Dormant since "&amp;TEXT($L61,"yyyy-mm-dd"),"Active"))))</f>
        <v>Dormant since 2025-10-15</v>
      </c>
      <c r="S61" s="340">
        <f>IF(OR($A61="",$E61=""),"",IFERROR(_xlfn.MAXIFS('Timesheet Raw'!$BX$4:$BX$8000,'Timesheet Raw'!$B$4:$B$8000,$A61,'Timesheet Raw'!$M$4:$M$8000,$E61),""))</f>
        <v>57</v>
      </c>
      <c r="T61" s="371" cm="1">
        <f t="array" ref="T61">IF(OR($S61="",$S61=0),"",IFERROR(INDEX('Timesheet Raw'!$BW$4:$BW$8000,MATCH(1,INDEX(('Timesheet Raw'!$B$4:$B$8000=$A61)*('Timesheet Raw'!$M$4:$M$8000=$E61)*('Timesheet Raw'!$BX$4:$BX$8000=$S61),0),0)),""))</f>
        <v>45764</v>
      </c>
      <c r="U61" s="371" cm="1">
        <f t="array" ref="U61">IF(OR($S61="",$S61=0),"",IFERROR(INDEX('Timesheet Raw'!$L$4:$L$8000,MATCH(1,INDEX(('Timesheet Raw'!$B$4:$B$8000=$A61)*('Timesheet Raw'!$M$4:$M$8000=$E61)*('Timesheet Raw'!$BX$4:$BX$8000=$S61),0),0)),""))</f>
        <v>45846</v>
      </c>
      <c r="V61" s="340">
        <f>IF(OR($A61="",$E61="",$G61=0),"",1+COUNTIFS('Timesheet Raw'!$B$4:$B$8000,$A61,'Timesheet Raw'!$M$4:$M$8000,$E61,'Timesheet Raw'!$BX$4:$BX$8000,"&gt;="&amp;'Work Calendar'!$B$32))</f>
        <v>22</v>
      </c>
      <c r="W61" s="376"/>
      <c r="X61" s="376"/>
      <c r="Y61" s="376"/>
      <c r="Z61" s="376"/>
      <c r="AA61" s="376"/>
      <c r="AB61" s="376"/>
      <c r="AC61" s="396" t="str">
        <f t="shared" si="5"/>
        <v/>
      </c>
      <c r="AD61" s="396" t="str">
        <f t="shared" si="6"/>
        <v/>
      </c>
      <c r="AE61" s="340" t="str">
        <f>IF(OR($Y61="",$Z61=""),"",MAX(0,NETWORKDAYS.INTL($Y61,$Z61,'Work Calendar'!$B$31)-2))</f>
        <v/>
      </c>
      <c r="AF61" s="344">
        <f t="shared" si="7"/>
        <v>211</v>
      </c>
      <c r="AG61" t="str">
        <f t="shared" si="8"/>
        <v>no manual dates</v>
      </c>
      <c r="AH61" s="384">
        <f>IF(OR($A61="",$E61=""),"",IF(COUNTIFS($A$5:$A61,$A61,$E$5:$E61,$E61)=1,1,0))</f>
        <v>1</v>
      </c>
    </row>
    <row r="62" spans="1:34" x14ac:dyDescent="0.3">
      <c r="A62" t="str">
        <f>IF(Deliverables!$A62="","",TRIM(Deliverables!$A62))</f>
        <v>AN23108-0100R</v>
      </c>
      <c r="B62" t="str">
        <f>IF($A62="","",Deliverables!$C62)</f>
        <v>Design Review</v>
      </c>
      <c r="C62" t="str">
        <f>IF($A62="","",Deliverables!$D62)</f>
        <v>DR</v>
      </c>
      <c r="D62" t="str">
        <f>IF($A62="","",IF(Deliverables!$G62="","not started",Deliverables!$G62))</f>
        <v>Documents received and logged</v>
      </c>
      <c r="E62" s="387"/>
      <c r="F62" s="384">
        <f>IF($A62="","",IF(ISNUMBER(SEARCH("Proposal",$A62)),1,IF(N(Deliverables!$H62)&gt;0,1,0)))</f>
        <v>1</v>
      </c>
      <c r="G62" s="385">
        <f>IF($A62="","",IF(ISNUMBER(SEARCH("Proposal",$A62)),IFERROR(VLOOKUP(TRIM($A62),Proposals!$N$13:$Q$18,4,FALSE),0),IF($E62="","",SUMIFS('Timesheet Raw'!$P$4:$P$8000,'Timesheet Raw'!$B$4:$B$8000,$A62,'Timesheet Raw'!$M$4:$M$8000,$E62))))</f>
        <v>153</v>
      </c>
      <c r="H62" s="384">
        <f t="shared" si="0"/>
        <v>1</v>
      </c>
      <c r="I62" s="385">
        <f t="shared" si="1"/>
        <v>153</v>
      </c>
      <c r="J62" s="341">
        <f>IF($I62="","",$I62/'Profit Plan'!$B$5)</f>
        <v>0.82702702702702702</v>
      </c>
      <c r="K62" s="371">
        <f>IF($A62="","",IF(ISNUMBER(SEARCH("Proposal",$A62)),IFERROR(VLOOKUP(TRIM($A62),Proposals!$N$13:$S$18,5,FALSE),""),IF($E62="","",IFERROR(_xlfn.MINIFS('Timesheet Raw'!$L$4:$L$8000,'Timesheet Raw'!$B$4:$B$8000,$A62,'Timesheet Raw'!$M$4:$M$8000,$E62),""))))</f>
        <v>45693</v>
      </c>
      <c r="L62" s="371">
        <f>IF($A62="","",IF(ISNUMBER(SEARCH("Proposal",$A62)),IFERROR(VLOOKUP(TRIM($A62),Proposals!$N$13:$S$18,6,FALSE),""),IF($E62="","",IFERROR(_xlfn.MAXIFS('Timesheet Raw'!$L$4:$L$8000,'Timesheet Raw'!$B$4:$B$8000,$A62,'Timesheet Raw'!$M$4:$M$8000,$E62),""))))</f>
        <v>46215</v>
      </c>
      <c r="M62" s="340">
        <f t="shared" si="2"/>
        <v>523</v>
      </c>
      <c r="N62" s="340">
        <f>IF($K62="","",IF(COUNT('Work Calendar'!$E$6:$E$200)=0,NETWORKDAYS.INTL($K62,$L62,'Work Calendar'!$B$31),NETWORKDAYS.INTL($K62,$L62,'Work Calendar'!$B$31,'Work Calendar'!$E$6:$E$200)))</f>
        <v>373</v>
      </c>
      <c r="O62" s="340">
        <f>IF(OR($A62="",$E62=""),"",SUMIFS('Timesheet Raw'!$BV$4:$BV$8000,'Timesheet Raw'!$B$4:$B$8000,$A62,'Timesheet Raw'!$M$4:$M$8000,$E62))</f>
        <v>26</v>
      </c>
      <c r="P62" s="340">
        <f t="shared" si="3"/>
        <v>347</v>
      </c>
      <c r="Q62" s="386">
        <f t="shared" si="4"/>
        <v>0.93029490616621979</v>
      </c>
      <c r="R62" t="str">
        <f>IF($A62="","",IF($E62="","set TS Phase",IF($G62=0,"Never charged",IF($L62&lt;'Work Calendar'!$B$17-21,"Dormant since "&amp;TEXT($L62,"yyyy-mm-dd"),"Active"))))</f>
        <v>Dormant since 2026-07-12</v>
      </c>
      <c r="S62" s="340">
        <f>IF(OR($A62="",$E62=""),"",IFERROR(_xlfn.MAXIFS('Timesheet Raw'!$BX$4:$BX$8000,'Timesheet Raw'!$B$4:$B$8000,$A62,'Timesheet Raw'!$M$4:$M$8000,$E62),""))</f>
        <v>110</v>
      </c>
      <c r="T62" s="371" cm="1">
        <f t="array" ref="T62">IF(OR($S62="",$S62=0),"",IFERROR(INDEX('Timesheet Raw'!$BW$4:$BW$8000,MATCH(1,INDEX(('Timesheet Raw'!$B$4:$B$8000=$A62)*('Timesheet Raw'!$M$4:$M$8000=$E62)*('Timesheet Raw'!$BX$4:$BX$8000=$S62),0),0)),""))</f>
        <v>45785</v>
      </c>
      <c r="U62" s="371" cm="1">
        <f t="array" ref="U62">IF(OR($S62="",$S62=0),"",IFERROR(INDEX('Timesheet Raw'!$L$4:$L$8000,MATCH(1,INDEX(('Timesheet Raw'!$B$4:$B$8000=$A62)*('Timesheet Raw'!$M$4:$M$8000=$E62)*('Timesheet Raw'!$BX$4:$BX$8000=$S62),0),0)),""))</f>
        <v>45942</v>
      </c>
      <c r="V62" s="340">
        <f>IF(OR($A62="",$E62="",$G62=0),"",1+COUNTIFS('Timesheet Raw'!$B$4:$B$8000,$A62,'Timesheet Raw'!$M$4:$M$8000,$E62,'Timesheet Raw'!$BX$4:$BX$8000,"&gt;="&amp;'Work Calendar'!$B$32))</f>
        <v>13</v>
      </c>
      <c r="W62" s="376"/>
      <c r="X62" s="376"/>
      <c r="Y62" s="376"/>
      <c r="Z62" s="376"/>
      <c r="AA62" s="376"/>
      <c r="AB62" s="376"/>
      <c r="AC62" s="396" t="str">
        <f t="shared" si="5"/>
        <v/>
      </c>
      <c r="AD62" s="396" t="str">
        <f t="shared" si="6"/>
        <v/>
      </c>
      <c r="AE62" s="340" t="str">
        <f>IF(OR($Y62="",$Z62=""),"",MAX(0,NETWORKDAYS.INTL($Y62,$Z62,'Work Calendar'!$B$31)-2))</f>
        <v/>
      </c>
      <c r="AF62" s="344">
        <f t="shared" si="7"/>
        <v>347</v>
      </c>
      <c r="AG62" t="str">
        <f t="shared" si="8"/>
        <v>no manual dates</v>
      </c>
      <c r="AH62" s="384">
        <f>IF(OR($A62="",$E62=""),"",IF(COUNTIFS($A$5:$A62,$A62,$E$5:$E62,$E62)=1,1,0))</f>
        <v>1</v>
      </c>
    </row>
    <row r="63" spans="1:34" x14ac:dyDescent="0.3">
      <c r="A63" t="str">
        <f>IF(Deliverables!$A63="","",TRIM(Deliverables!$A63))</f>
        <v>TA24246-0200R</v>
      </c>
      <c r="B63" t="str">
        <f>IF($A63="","",Deliverables!$C63)</f>
        <v>Design Review</v>
      </c>
      <c r="C63" t="str">
        <f>IF($A63="","",Deliverables!$D63)</f>
        <v>DR</v>
      </c>
      <c r="D63" t="str">
        <f>IF($A63="","",IF(Deliverables!$G63="","not started",Deliverables!$G63))</f>
        <v>Review complete internally</v>
      </c>
      <c r="E63" s="387"/>
      <c r="F63" s="384">
        <f>IF($A63="","",IF(ISNUMBER(SEARCH("Proposal",$A63)),1,IF(N(Deliverables!$H63)&gt;0,1,0)))</f>
        <v>1</v>
      </c>
      <c r="G63" s="385">
        <f>IF($A63="","",IF(ISNUMBER(SEARCH("Proposal",$A63)),IFERROR(VLOOKUP(TRIM($A63),Proposals!$N$13:$Q$18,4,FALSE),0),IF($E63="","",SUMIFS('Timesheet Raw'!$P$4:$P$8000,'Timesheet Raw'!$B$4:$B$8000,$A63,'Timesheet Raw'!$M$4:$M$8000,$E63))))</f>
        <v>262.25</v>
      </c>
      <c r="H63" s="384">
        <f t="shared" si="0"/>
        <v>1</v>
      </c>
      <c r="I63" s="385">
        <f t="shared" si="1"/>
        <v>262.25</v>
      </c>
      <c r="J63" s="341">
        <f>IF($I63="","",$I63/'Profit Plan'!$B$5)</f>
        <v>1.4175675675675676</v>
      </c>
      <c r="K63" s="371">
        <f>IF($A63="","",IF(ISNUMBER(SEARCH("Proposal",$A63)),IFERROR(VLOOKUP(TRIM($A63),Proposals!$N$13:$S$18,5,FALSE),""),IF($E63="","",IFERROR(_xlfn.MINIFS('Timesheet Raw'!$L$4:$L$8000,'Timesheet Raw'!$B$4:$B$8000,$A63,'Timesheet Raw'!$M$4:$M$8000,$E63),""))))</f>
        <v>45762</v>
      </c>
      <c r="L63" s="371">
        <f>IF($A63="","",IF(ISNUMBER(SEARCH("Proposal",$A63)),IFERROR(VLOOKUP(TRIM($A63),Proposals!$N$13:$S$18,6,FALSE),""),IF($E63="","",IFERROR(_xlfn.MAXIFS('Timesheet Raw'!$L$4:$L$8000,'Timesheet Raw'!$B$4:$B$8000,$A63,'Timesheet Raw'!$M$4:$M$8000,$E63),""))))</f>
        <v>46118</v>
      </c>
      <c r="M63" s="340">
        <f t="shared" si="2"/>
        <v>357</v>
      </c>
      <c r="N63" s="340">
        <f>IF($K63="","",IF(COUNT('Work Calendar'!$E$6:$E$200)=0,NETWORKDAYS.INTL($K63,$L63,'Work Calendar'!$B$31),NETWORKDAYS.INTL($K63,$L63,'Work Calendar'!$B$31,'Work Calendar'!$E$6:$E$200)))</f>
        <v>255</v>
      </c>
      <c r="O63" s="340">
        <f>IF(OR($A63="",$E63=""),"",SUMIFS('Timesheet Raw'!$BV$4:$BV$8000,'Timesheet Raw'!$B$4:$B$8000,$A63,'Timesheet Raw'!$M$4:$M$8000,$E63))</f>
        <v>43</v>
      </c>
      <c r="P63" s="340">
        <f t="shared" si="3"/>
        <v>212</v>
      </c>
      <c r="Q63" s="386">
        <f t="shared" si="4"/>
        <v>0.83137254901960789</v>
      </c>
      <c r="R63" t="str">
        <f>IF($A63="","",IF($E63="","set TS Phase",IF($G63=0,"Never charged",IF($L63&lt;'Work Calendar'!$B$17-21,"Dormant since "&amp;TEXT($L63,"yyyy-mm-dd"),"Active"))))</f>
        <v>Dormant since 2026-04-06</v>
      </c>
      <c r="S63" s="340">
        <f>IF(OR($A63="",$E63=""),"",IFERROR(_xlfn.MAXIFS('Timesheet Raw'!$BX$4:$BX$8000,'Timesheet Raw'!$B$4:$B$8000,$A63,'Timesheet Raw'!$M$4:$M$8000,$E63),""))</f>
        <v>112</v>
      </c>
      <c r="T63" s="371" cm="1">
        <f t="array" ref="T63">IF(OR($S63="",$S63=0),"",IFERROR(INDEX('Timesheet Raw'!$BW$4:$BW$8000,MATCH(1,INDEX(('Timesheet Raw'!$B$4:$B$8000=$A63)*('Timesheet Raw'!$M$4:$M$8000=$E63)*('Timesheet Raw'!$BX$4:$BX$8000=$S63),0),0)),""))</f>
        <v>45932</v>
      </c>
      <c r="U63" s="371" cm="1">
        <f t="array" ref="U63">IF(OR($S63="",$S63=0),"",IFERROR(INDEX('Timesheet Raw'!$L$4:$L$8000,MATCH(1,INDEX(('Timesheet Raw'!$B$4:$B$8000=$A63)*('Timesheet Raw'!$M$4:$M$8000=$E63)*('Timesheet Raw'!$BX$4:$BX$8000=$S63),0),0)),""))</f>
        <v>46091</v>
      </c>
      <c r="V63" s="340">
        <f>IF(OR($A63="",$E63="",$G63=0),"",1+COUNTIFS('Timesheet Raw'!$B$4:$B$8000,$A63,'Timesheet Raw'!$M$4:$M$8000,$E63,'Timesheet Raw'!$BX$4:$BX$8000,"&gt;="&amp;'Work Calendar'!$B$32))</f>
        <v>9</v>
      </c>
      <c r="W63" s="376"/>
      <c r="X63" s="376"/>
      <c r="Y63" s="376"/>
      <c r="Z63" s="376"/>
      <c r="AA63" s="376"/>
      <c r="AB63" s="376"/>
      <c r="AC63" s="396" t="str">
        <f t="shared" si="5"/>
        <v/>
      </c>
      <c r="AD63" s="396" t="str">
        <f t="shared" si="6"/>
        <v/>
      </c>
      <c r="AE63" s="340" t="str">
        <f>IF(OR($Y63="",$Z63=""),"",MAX(0,NETWORKDAYS.INTL($Y63,$Z63,'Work Calendar'!$B$31)-2))</f>
        <v/>
      </c>
      <c r="AF63" s="344">
        <f t="shared" si="7"/>
        <v>212</v>
      </c>
      <c r="AG63" t="str">
        <f t="shared" si="8"/>
        <v>no manual dates</v>
      </c>
      <c r="AH63" s="384">
        <f>IF(OR($A63="",$E63=""),"",IF(COUNTIFS($A$5:$A63,$A63,$E$5:$E63,$E63)=1,1,0))</f>
        <v>1</v>
      </c>
    </row>
    <row r="64" spans="1:34" x14ac:dyDescent="0.3">
      <c r="A64" t="str">
        <f>IF(Deliverables!$A64="","",TRIM(Deliverables!$A64))</f>
        <v>S22058-0900D</v>
      </c>
      <c r="B64" t="str">
        <f>IF($A64="","",Deliverables!$C64)</f>
        <v>Concept Design</v>
      </c>
      <c r="C64" t="str">
        <f>IF($A64="","",Deliverables!$D64)</f>
        <v>CD</v>
      </c>
      <c r="D64" t="str">
        <f>IF($A64="","",IF(Deliverables!$G64="","not started",Deliverables!$G64))</f>
        <v>Client acceptance</v>
      </c>
      <c r="E64" s="387"/>
      <c r="F64" s="384">
        <f>IF($A64="","",IF(ISNUMBER(SEARCH("Proposal",$A64)),1,IF(N(Deliverables!$H64)&gt;0,1,0)))</f>
        <v>1</v>
      </c>
      <c r="G64" s="385">
        <f>IF($A64="","",IF(ISNUMBER(SEARCH("Proposal",$A64)),IFERROR(VLOOKUP(TRIM($A64),Proposals!$N$13:$Q$18,4,FALSE),0),IF($E64="","",SUMIFS('Timesheet Raw'!$P$4:$P$8000,'Timesheet Raw'!$B$4:$B$8000,$A64,'Timesheet Raw'!$M$4:$M$8000,$E64))))</f>
        <v>0</v>
      </c>
      <c r="H64" s="384">
        <f t="shared" si="0"/>
        <v>1</v>
      </c>
      <c r="I64" s="385">
        <f t="shared" si="1"/>
        <v>0</v>
      </c>
      <c r="J64" s="341">
        <f>IF($I64="","",$I64/'Profit Plan'!$B$5)</f>
        <v>0</v>
      </c>
      <c r="K64" s="371">
        <f>IF($A64="","",IF(ISNUMBER(SEARCH("Proposal",$A64)),IFERROR(VLOOKUP(TRIM($A64),Proposals!$N$13:$S$18,5,FALSE),""),IF($E64="","",IFERROR(_xlfn.MINIFS('Timesheet Raw'!$L$4:$L$8000,'Timesheet Raw'!$B$4:$B$8000,$A64,'Timesheet Raw'!$M$4:$M$8000,$E64),""))))</f>
        <v>0</v>
      </c>
      <c r="L64" s="371">
        <f>IF($A64="","",IF(ISNUMBER(SEARCH("Proposal",$A64)),IFERROR(VLOOKUP(TRIM($A64),Proposals!$N$13:$S$18,6,FALSE),""),IF($E64="","",IFERROR(_xlfn.MAXIFS('Timesheet Raw'!$L$4:$L$8000,'Timesheet Raw'!$B$4:$B$8000,$A64,'Timesheet Raw'!$M$4:$M$8000,$E64),""))))</f>
        <v>0</v>
      </c>
      <c r="M64" s="340">
        <f t="shared" si="2"/>
        <v>1</v>
      </c>
      <c r="N64" s="340">
        <f>IF($K64="","",IF(COUNT('Work Calendar'!$E$6:$E$200)=0,NETWORKDAYS.INTL($K64,$L64,'Work Calendar'!$B$31),NETWORKDAYS.INTL($K64,$L64,'Work Calendar'!$B$31,'Work Calendar'!$E$6:$E$200)))</f>
        <v>0</v>
      </c>
      <c r="O64" s="340">
        <f>IF(OR($A64="",$E64=""),"",SUMIFS('Timesheet Raw'!$BV$4:$BV$8000,'Timesheet Raw'!$B$4:$B$8000,$A64,'Timesheet Raw'!$M$4:$M$8000,$E64))</f>
        <v>0</v>
      </c>
      <c r="P64" s="340">
        <f t="shared" si="3"/>
        <v>0</v>
      </c>
      <c r="Q64" s="386" t="str">
        <f t="shared" si="4"/>
        <v/>
      </c>
      <c r="R64" t="str">
        <f>IF($A64="","",IF($E64="","set TS Phase",IF($G64=0,"Never charged",IF($L64&lt;'Work Calendar'!$B$17-21,"Dormant since "&amp;TEXT($L64,"yyyy-mm-dd"),"Active"))))</f>
        <v>Never charged</v>
      </c>
      <c r="S64" s="340">
        <f>IF(OR($A64="",$E64=""),"",IFERROR(_xlfn.MAXIFS('Timesheet Raw'!$BX$4:$BX$8000,'Timesheet Raw'!$B$4:$B$8000,$A64,'Timesheet Raw'!$M$4:$M$8000,$E64),""))</f>
        <v>0</v>
      </c>
      <c r="T64" s="371" t="str" cm="1">
        <f t="array" ref="T64">IF(OR($S64="",$S64=0),"",IFERROR(INDEX('Timesheet Raw'!$BW$4:$BW$8000,MATCH(1,INDEX(('Timesheet Raw'!$B$4:$B$8000=$A64)*('Timesheet Raw'!$M$4:$M$8000=$E64)*('Timesheet Raw'!$BX$4:$BX$8000=$S64),0),0)),""))</f>
        <v/>
      </c>
      <c r="U64" s="371" t="str" cm="1">
        <f t="array" ref="U64">IF(OR($S64="",$S64=0),"",IFERROR(INDEX('Timesheet Raw'!$L$4:$L$8000,MATCH(1,INDEX(('Timesheet Raw'!$B$4:$B$8000=$A64)*('Timesheet Raw'!$M$4:$M$8000=$E64)*('Timesheet Raw'!$BX$4:$BX$8000=$S64),0),0)),""))</f>
        <v/>
      </c>
      <c r="V64" s="340" t="str">
        <f>IF(OR($A64="",$E64="",$G64=0),"",1+COUNTIFS('Timesheet Raw'!$B$4:$B$8000,$A64,'Timesheet Raw'!$M$4:$M$8000,$E64,'Timesheet Raw'!$BX$4:$BX$8000,"&gt;="&amp;'Work Calendar'!$B$32))</f>
        <v/>
      </c>
      <c r="W64" s="376"/>
      <c r="X64" s="376"/>
      <c r="Y64" s="376"/>
      <c r="Z64" s="376"/>
      <c r="AA64" s="376"/>
      <c r="AB64" s="376"/>
      <c r="AC64" s="396" t="str">
        <f t="shared" si="5"/>
        <v/>
      </c>
      <c r="AD64" s="396" t="str">
        <f t="shared" si="6"/>
        <v/>
      </c>
      <c r="AE64" s="340" t="str">
        <f>IF(OR($Y64="",$Z64=""),"",MAX(0,NETWORKDAYS.INTL($Y64,$Z64,'Work Calendar'!$B$31)-2))</f>
        <v/>
      </c>
      <c r="AF64" s="344">
        <f t="shared" si="7"/>
        <v>0</v>
      </c>
      <c r="AG64" t="str">
        <f t="shared" si="8"/>
        <v>no manual dates</v>
      </c>
      <c r="AH64" s="384">
        <f>IF(OR($A64="",$E64=""),"",IF(COUNTIFS($A$5:$A64,$A64,$E$5:$E64,$E64)=1,1,0))</f>
        <v>1</v>
      </c>
    </row>
    <row r="65" spans="1:34" x14ac:dyDescent="0.3">
      <c r="A65" t="str">
        <f>IF(Deliverables!$A65="","",TRIM(Deliverables!$A65))</f>
        <v>AD23051-0101D</v>
      </c>
      <c r="B65" t="str">
        <f>IF($A65="","",Deliverables!$C65)</f>
        <v>Concept Design</v>
      </c>
      <c r="C65" t="str">
        <f>IF($A65="","",Deliverables!$D65)</f>
        <v>CD</v>
      </c>
      <c r="D65" t="str">
        <f>IF($A65="","",IF(Deliverables!$G65="","not started",Deliverables!$G65))</f>
        <v>Client acceptance</v>
      </c>
      <c r="E65" s="387"/>
      <c r="F65" s="384">
        <f>IF($A65="","",IF(ISNUMBER(SEARCH("Proposal",$A65)),1,IF(N(Deliverables!$H65)&gt;0,1,0)))</f>
        <v>1</v>
      </c>
      <c r="G65" s="385">
        <f>IF($A65="","",IF(ISNUMBER(SEARCH("Proposal",$A65)),IFERROR(VLOOKUP(TRIM($A65),Proposals!$N$13:$Q$18,4,FALSE),0),IF($E65="","",SUMIFS('Timesheet Raw'!$P$4:$P$8000,'Timesheet Raw'!$B$4:$B$8000,$A65,'Timesheet Raw'!$M$4:$M$8000,$E65))))</f>
        <v>0</v>
      </c>
      <c r="H65" s="384">
        <f t="shared" si="0"/>
        <v>1</v>
      </c>
      <c r="I65" s="385">
        <f t="shared" si="1"/>
        <v>0</v>
      </c>
      <c r="J65" s="341">
        <f>IF($I65="","",$I65/'Profit Plan'!$B$5)</f>
        <v>0</v>
      </c>
      <c r="K65" s="371">
        <f>IF($A65="","",IF(ISNUMBER(SEARCH("Proposal",$A65)),IFERROR(VLOOKUP(TRIM($A65),Proposals!$N$13:$S$18,5,FALSE),""),IF($E65="","",IFERROR(_xlfn.MINIFS('Timesheet Raw'!$L$4:$L$8000,'Timesheet Raw'!$B$4:$B$8000,$A65,'Timesheet Raw'!$M$4:$M$8000,$E65),""))))</f>
        <v>0</v>
      </c>
      <c r="L65" s="371">
        <f>IF($A65="","",IF(ISNUMBER(SEARCH("Proposal",$A65)),IFERROR(VLOOKUP(TRIM($A65),Proposals!$N$13:$S$18,6,FALSE),""),IF($E65="","",IFERROR(_xlfn.MAXIFS('Timesheet Raw'!$L$4:$L$8000,'Timesheet Raw'!$B$4:$B$8000,$A65,'Timesheet Raw'!$M$4:$M$8000,$E65),""))))</f>
        <v>0</v>
      </c>
      <c r="M65" s="340">
        <f t="shared" si="2"/>
        <v>1</v>
      </c>
      <c r="N65" s="340">
        <f>IF($K65="","",IF(COUNT('Work Calendar'!$E$6:$E$200)=0,NETWORKDAYS.INTL($K65,$L65,'Work Calendar'!$B$31),NETWORKDAYS.INTL($K65,$L65,'Work Calendar'!$B$31,'Work Calendar'!$E$6:$E$200)))</f>
        <v>0</v>
      </c>
      <c r="O65" s="340">
        <f>IF(OR($A65="",$E65=""),"",SUMIFS('Timesheet Raw'!$BV$4:$BV$8000,'Timesheet Raw'!$B$4:$B$8000,$A65,'Timesheet Raw'!$M$4:$M$8000,$E65))</f>
        <v>0</v>
      </c>
      <c r="P65" s="340">
        <f t="shared" si="3"/>
        <v>0</v>
      </c>
      <c r="Q65" s="386" t="str">
        <f t="shared" si="4"/>
        <v/>
      </c>
      <c r="R65" t="str">
        <f>IF($A65="","",IF($E65="","set TS Phase",IF($G65=0,"Never charged",IF($L65&lt;'Work Calendar'!$B$17-21,"Dormant since "&amp;TEXT($L65,"yyyy-mm-dd"),"Active"))))</f>
        <v>Never charged</v>
      </c>
      <c r="S65" s="340">
        <f>IF(OR($A65="",$E65=""),"",IFERROR(_xlfn.MAXIFS('Timesheet Raw'!$BX$4:$BX$8000,'Timesheet Raw'!$B$4:$B$8000,$A65,'Timesheet Raw'!$M$4:$M$8000,$E65),""))</f>
        <v>0</v>
      </c>
      <c r="T65" s="371" t="str" cm="1">
        <f t="array" ref="T65">IF(OR($S65="",$S65=0),"",IFERROR(INDEX('Timesheet Raw'!$BW$4:$BW$8000,MATCH(1,INDEX(('Timesheet Raw'!$B$4:$B$8000=$A65)*('Timesheet Raw'!$M$4:$M$8000=$E65)*('Timesheet Raw'!$BX$4:$BX$8000=$S65),0),0)),""))</f>
        <v/>
      </c>
      <c r="U65" s="371" t="str" cm="1">
        <f t="array" ref="U65">IF(OR($S65="",$S65=0),"",IFERROR(INDEX('Timesheet Raw'!$L$4:$L$8000,MATCH(1,INDEX(('Timesheet Raw'!$B$4:$B$8000=$A65)*('Timesheet Raw'!$M$4:$M$8000=$E65)*('Timesheet Raw'!$BX$4:$BX$8000=$S65),0),0)),""))</f>
        <v/>
      </c>
      <c r="V65" s="340" t="str">
        <f>IF(OR($A65="",$E65="",$G65=0),"",1+COUNTIFS('Timesheet Raw'!$B$4:$B$8000,$A65,'Timesheet Raw'!$M$4:$M$8000,$E65,'Timesheet Raw'!$BX$4:$BX$8000,"&gt;="&amp;'Work Calendar'!$B$32))</f>
        <v/>
      </c>
      <c r="W65" s="376"/>
      <c r="X65" s="376"/>
      <c r="Y65" s="376"/>
      <c r="Z65" s="376"/>
      <c r="AA65" s="376"/>
      <c r="AB65" s="376"/>
      <c r="AC65" s="396" t="str">
        <f t="shared" si="5"/>
        <v/>
      </c>
      <c r="AD65" s="396" t="str">
        <f t="shared" si="6"/>
        <v/>
      </c>
      <c r="AE65" s="340" t="str">
        <f>IF(OR($Y65="",$Z65=""),"",MAX(0,NETWORKDAYS.INTL($Y65,$Z65,'Work Calendar'!$B$31)-2))</f>
        <v/>
      </c>
      <c r="AF65" s="344">
        <f t="shared" si="7"/>
        <v>0</v>
      </c>
      <c r="AG65" t="str">
        <f t="shared" si="8"/>
        <v>no manual dates</v>
      </c>
      <c r="AH65" s="384">
        <f>IF(OR($A65="",$E65=""),"",IF(COUNTIFS($A$5:$A65,$A65,$E$5:$E65,$E65)=1,1,0))</f>
        <v>1</v>
      </c>
    </row>
    <row r="66" spans="1:34" x14ac:dyDescent="0.3">
      <c r="A66" t="str">
        <f>IF(Deliverables!$A66="","",TRIM(Deliverables!$A66))</f>
        <v>AL25148-0100D</v>
      </c>
      <c r="B66" t="str">
        <f>IF($A66="","",Deliverables!$C66)</f>
        <v>Concept Design</v>
      </c>
      <c r="C66" t="str">
        <f>IF($A66="","",Deliverables!$D66)</f>
        <v>CD</v>
      </c>
      <c r="D66" t="str">
        <f>IF($A66="","",IF(Deliverables!$G66="","not started",Deliverables!$G66))</f>
        <v>not started</v>
      </c>
      <c r="E66" s="387"/>
      <c r="F66" s="384">
        <f>IF($A66="","",IF(ISNUMBER(SEARCH("Proposal",$A66)),1,IF(N(Deliverables!$H66)&gt;0,1,0)))</f>
        <v>0</v>
      </c>
      <c r="G66" s="385">
        <f>IF($A66="","",IF(ISNUMBER(SEARCH("Proposal",$A66)),IFERROR(VLOOKUP(TRIM($A66),Proposals!$N$13:$Q$18,4,FALSE),0),IF($E66="","",SUMIFS('Timesheet Raw'!$P$4:$P$8000,'Timesheet Raw'!$B$4:$B$8000,$A66,'Timesheet Raw'!$M$4:$M$8000,$E66))))</f>
        <v>0</v>
      </c>
      <c r="H66" s="384">
        <f t="shared" si="0"/>
        <v>1</v>
      </c>
      <c r="I66" s="385">
        <f t="shared" si="1"/>
        <v>0</v>
      </c>
      <c r="J66" s="341">
        <f>IF($I66="","",$I66/'Profit Plan'!$B$5)</f>
        <v>0</v>
      </c>
      <c r="K66" s="371">
        <f>IF($A66="","",IF(ISNUMBER(SEARCH("Proposal",$A66)),IFERROR(VLOOKUP(TRIM($A66),Proposals!$N$13:$S$18,5,FALSE),""),IF($E66="","",IFERROR(_xlfn.MINIFS('Timesheet Raw'!$L$4:$L$8000,'Timesheet Raw'!$B$4:$B$8000,$A66,'Timesheet Raw'!$M$4:$M$8000,$E66),""))))</f>
        <v>0</v>
      </c>
      <c r="L66" s="371">
        <f>IF($A66="","",IF(ISNUMBER(SEARCH("Proposal",$A66)),IFERROR(VLOOKUP(TRIM($A66),Proposals!$N$13:$S$18,6,FALSE),""),IF($E66="","",IFERROR(_xlfn.MAXIFS('Timesheet Raw'!$L$4:$L$8000,'Timesheet Raw'!$B$4:$B$8000,$A66,'Timesheet Raw'!$M$4:$M$8000,$E66),""))))</f>
        <v>0</v>
      </c>
      <c r="M66" s="340">
        <f t="shared" si="2"/>
        <v>1</v>
      </c>
      <c r="N66" s="340">
        <f>IF($K66="","",IF(COUNT('Work Calendar'!$E$6:$E$200)=0,NETWORKDAYS.INTL($K66,$L66,'Work Calendar'!$B$31),NETWORKDAYS.INTL($K66,$L66,'Work Calendar'!$B$31,'Work Calendar'!$E$6:$E$200)))</f>
        <v>0</v>
      </c>
      <c r="O66" s="340">
        <f>IF(OR($A66="",$E66=""),"",SUMIFS('Timesheet Raw'!$BV$4:$BV$8000,'Timesheet Raw'!$B$4:$B$8000,$A66,'Timesheet Raw'!$M$4:$M$8000,$E66))</f>
        <v>0</v>
      </c>
      <c r="P66" s="340">
        <f t="shared" si="3"/>
        <v>0</v>
      </c>
      <c r="Q66" s="386" t="str">
        <f t="shared" si="4"/>
        <v/>
      </c>
      <c r="R66" t="str">
        <f>IF($A66="","",IF($E66="","set TS Phase",IF($G66=0,"Never charged",IF($L66&lt;'Work Calendar'!$B$17-21,"Dormant since "&amp;TEXT($L66,"yyyy-mm-dd"),"Active"))))</f>
        <v>Never charged</v>
      </c>
      <c r="S66" s="340">
        <f>IF(OR($A66="",$E66=""),"",IFERROR(_xlfn.MAXIFS('Timesheet Raw'!$BX$4:$BX$8000,'Timesheet Raw'!$B$4:$B$8000,$A66,'Timesheet Raw'!$M$4:$M$8000,$E66),""))</f>
        <v>0</v>
      </c>
      <c r="T66" s="371" t="str" cm="1">
        <f t="array" ref="T66">IF(OR($S66="",$S66=0),"",IFERROR(INDEX('Timesheet Raw'!$BW$4:$BW$8000,MATCH(1,INDEX(('Timesheet Raw'!$B$4:$B$8000=$A66)*('Timesheet Raw'!$M$4:$M$8000=$E66)*('Timesheet Raw'!$BX$4:$BX$8000=$S66),0),0)),""))</f>
        <v/>
      </c>
      <c r="U66" s="371" t="str" cm="1">
        <f t="array" ref="U66">IF(OR($S66="",$S66=0),"",IFERROR(INDEX('Timesheet Raw'!$L$4:$L$8000,MATCH(1,INDEX(('Timesheet Raw'!$B$4:$B$8000=$A66)*('Timesheet Raw'!$M$4:$M$8000=$E66)*('Timesheet Raw'!$BX$4:$BX$8000=$S66),0),0)),""))</f>
        <v/>
      </c>
      <c r="V66" s="340" t="str">
        <f>IF(OR($A66="",$E66="",$G66=0),"",1+COUNTIFS('Timesheet Raw'!$B$4:$B$8000,$A66,'Timesheet Raw'!$M$4:$M$8000,$E66,'Timesheet Raw'!$BX$4:$BX$8000,"&gt;="&amp;'Work Calendar'!$B$32))</f>
        <v/>
      </c>
      <c r="W66" s="376"/>
      <c r="X66" s="376"/>
      <c r="Y66" s="376"/>
      <c r="Z66" s="376"/>
      <c r="AA66" s="376"/>
      <c r="AB66" s="376"/>
      <c r="AC66" s="396" t="str">
        <f t="shared" si="5"/>
        <v/>
      </c>
      <c r="AD66" s="396" t="str">
        <f t="shared" si="6"/>
        <v/>
      </c>
      <c r="AE66" s="340" t="str">
        <f>IF(OR($Y66="",$Z66=""),"",MAX(0,NETWORKDAYS.INTL($Y66,$Z66,'Work Calendar'!$B$31)-2))</f>
        <v/>
      </c>
      <c r="AF66" s="344">
        <f t="shared" si="7"/>
        <v>0</v>
      </c>
      <c r="AG66" t="str">
        <f t="shared" si="8"/>
        <v>no manual dates</v>
      </c>
      <c r="AH66" s="384">
        <f>IF(OR($A66="",$E66=""),"",IF(COUNTIFS($A$5:$A66,$A66,$E$5:$E66,$E66)=1,1,0))</f>
        <v>1</v>
      </c>
    </row>
    <row r="67" spans="1:34" x14ac:dyDescent="0.3">
      <c r="A67" t="str">
        <f>IF(Deliverables!$A67="","",TRIM(Deliverables!$A67))</f>
        <v>Chargable Proposals 26</v>
      </c>
      <c r="B67" t="str">
        <f>IF($A67="","",Deliverables!$C67)</f>
        <v>Proposals</v>
      </c>
      <c r="C67" t="str">
        <f>IF($A67="","",Deliverables!$D67)</f>
        <v>PP</v>
      </c>
      <c r="D67" t="str">
        <f>IF($A67="","",IF(Deliverables!$G67="","not started",Deliverables!$G67))</f>
        <v>Proposal in preparation</v>
      </c>
      <c r="E67" s="387"/>
      <c r="F67" s="384">
        <f>IF($A67="","",IF(ISNUMBER(SEARCH("Proposal",$A67)),1,IF(N(Deliverables!$H67)&gt;0,1,0)))</f>
        <v>1</v>
      </c>
      <c r="G67" s="385">
        <f>IF($A67="","",IF(ISNUMBER(SEARCH("Proposal",$A67)),IFERROR(VLOOKUP(TRIM($A67),Proposals!$N$13:$Q$18,4,FALSE),0),IF($E67="","",SUMIFS('Timesheet Raw'!$P$4:$P$8000,'Timesheet Raw'!$B$4:$B$8000,$A67,'Timesheet Raw'!$M$4:$M$8000,$E67))))</f>
        <v>61.25</v>
      </c>
      <c r="H67" s="384">
        <f t="shared" si="0"/>
        <v>1</v>
      </c>
      <c r="I67" s="385">
        <f t="shared" si="1"/>
        <v>61.25</v>
      </c>
      <c r="J67" s="341">
        <f>IF($I67="","",$I67/'Profit Plan'!$B$5)</f>
        <v>0.33108108108108109</v>
      </c>
      <c r="K67" s="371">
        <f>IF($A67="","",IF(ISNUMBER(SEARCH("Proposal",$A67)),IFERROR(VLOOKUP(TRIM($A67),Proposals!$N$13:$S$18,5,FALSE),""),IF($E67="","",IFERROR(_xlfn.MINIFS('Timesheet Raw'!$L$4:$L$8000,'Timesheet Raw'!$B$4:$B$8000,$A67,'Timesheet Raw'!$M$4:$M$8000,$E67),""))))</f>
        <v>46078</v>
      </c>
      <c r="L67" s="371">
        <f>IF($A67="","",IF(ISNUMBER(SEARCH("Proposal",$A67)),IFERROR(VLOOKUP(TRIM($A67),Proposals!$N$13:$S$18,6,FALSE),""),IF($E67="","",IFERROR(_xlfn.MAXIFS('Timesheet Raw'!$L$4:$L$8000,'Timesheet Raw'!$B$4:$B$8000,$A67,'Timesheet Raw'!$M$4:$M$8000,$E67),""))))</f>
        <v>46156</v>
      </c>
      <c r="M67" s="340">
        <f t="shared" si="2"/>
        <v>79</v>
      </c>
      <c r="N67" s="340">
        <f>IF($K67="","",IF(COUNT('Work Calendar'!$E$6:$E$200)=0,NETWORKDAYS.INTL($K67,$L67,'Work Calendar'!$B$31),NETWORKDAYS.INTL($K67,$L67,'Work Calendar'!$B$31,'Work Calendar'!$E$6:$E$200)))</f>
        <v>57</v>
      </c>
      <c r="O67" s="340">
        <f>IF(OR($A67="",$E67=""),"",SUMIFS('Timesheet Raw'!$BV$4:$BV$8000,'Timesheet Raw'!$B$4:$B$8000,$A67,'Timesheet Raw'!$M$4:$M$8000,$E67))</f>
        <v>0</v>
      </c>
      <c r="P67" s="340">
        <f t="shared" si="3"/>
        <v>57</v>
      </c>
      <c r="Q67" s="386">
        <f t="shared" si="4"/>
        <v>1</v>
      </c>
      <c r="R67" t="str">
        <f>IF($A67="","",IF($E67="","set TS Phase",IF($G67=0,"Never charged",IF($L67&lt;'Work Calendar'!$B$17-21,"Dormant since "&amp;TEXT($L67,"yyyy-mm-dd"),"Active"))))</f>
        <v>Dormant since 2026-05-14</v>
      </c>
      <c r="S67" s="340">
        <f>IF(OR($A67="",$E67=""),"",IFERROR(_xlfn.MAXIFS('Timesheet Raw'!$BX$4:$BX$8000,'Timesheet Raw'!$B$4:$B$8000,$A67,'Timesheet Raw'!$M$4:$M$8000,$E67),""))</f>
        <v>0</v>
      </c>
      <c r="T67" s="371" t="str" cm="1">
        <f t="array" ref="T67">IF(OR($S67="",$S67=0),"",IFERROR(INDEX('Timesheet Raw'!$BW$4:$BW$8000,MATCH(1,INDEX(('Timesheet Raw'!$B$4:$B$8000=$A67)*('Timesheet Raw'!$M$4:$M$8000=$E67)*('Timesheet Raw'!$BX$4:$BX$8000=$S67),0),0)),""))</f>
        <v/>
      </c>
      <c r="U67" s="371" t="str" cm="1">
        <f t="array" ref="U67">IF(OR($S67="",$S67=0),"",IFERROR(INDEX('Timesheet Raw'!$L$4:$L$8000,MATCH(1,INDEX(('Timesheet Raw'!$B$4:$B$8000=$A67)*('Timesheet Raw'!$M$4:$M$8000=$E67)*('Timesheet Raw'!$BX$4:$BX$8000=$S67),0),0)),""))</f>
        <v/>
      </c>
      <c r="V67" s="340">
        <f>IF(OR($A67="",$E67="",$G67=0),"",1+COUNTIFS('Timesheet Raw'!$B$4:$B$8000,$A67,'Timesheet Raw'!$M$4:$M$8000,$E67,'Timesheet Raw'!$BX$4:$BX$8000,"&gt;="&amp;'Work Calendar'!$B$32))</f>
        <v>1</v>
      </c>
      <c r="W67" s="376"/>
      <c r="X67" s="376"/>
      <c r="Y67" s="376"/>
      <c r="Z67" s="376"/>
      <c r="AA67" s="376"/>
      <c r="AB67" s="376"/>
      <c r="AC67" s="396" t="str">
        <f t="shared" si="5"/>
        <v/>
      </c>
      <c r="AD67" s="396" t="str">
        <f t="shared" si="6"/>
        <v/>
      </c>
      <c r="AE67" s="340" t="str">
        <f>IF(OR($Y67="",$Z67=""),"",MAX(0,NETWORKDAYS.INTL($Y67,$Z67,'Work Calendar'!$B$31)-2))</f>
        <v/>
      </c>
      <c r="AF67" s="344">
        <f t="shared" si="7"/>
        <v>57</v>
      </c>
      <c r="AG67" t="str">
        <f t="shared" si="8"/>
        <v>no manual dates</v>
      </c>
      <c r="AH67" s="384">
        <f>IF(OR($A67="",$E67=""),"",IF(COUNTIFS($A$5:$A67,$A67,$E$5:$E67,$E67)=1,1,0))</f>
        <v>1</v>
      </c>
    </row>
    <row r="68" spans="1:34" x14ac:dyDescent="0.3">
      <c r="A68" t="str">
        <f>IF(Deliverables!$A68="","",TRIM(Deliverables!$A68))</f>
        <v>Proposals 26</v>
      </c>
      <c r="B68" t="str">
        <f>IF($A68="","",Deliverables!$C68)</f>
        <v>Proposals</v>
      </c>
      <c r="C68" t="str">
        <f>IF($A68="","",Deliverables!$D68)</f>
        <v>PP</v>
      </c>
      <c r="D68" t="str">
        <f>IF($A68="","",IF(Deliverables!$G68="","not started",Deliverables!$G68))</f>
        <v>Proposal in preparation</v>
      </c>
      <c r="E68" s="387"/>
      <c r="F68" s="384">
        <f>IF($A68="","",IF(ISNUMBER(SEARCH("Proposal",$A68)),1,IF(N(Deliverables!$H68)&gt;0,1,0)))</f>
        <v>1</v>
      </c>
      <c r="G68" s="385">
        <f>IF($A68="","",IF(ISNUMBER(SEARCH("Proposal",$A68)),IFERROR(VLOOKUP(TRIM($A68),Proposals!$N$13:$Q$18,4,FALSE),0),IF($E68="","",SUMIFS('Timesheet Raw'!$P$4:$P$8000,'Timesheet Raw'!$B$4:$B$8000,$A68,'Timesheet Raw'!$M$4:$M$8000,$E68))))</f>
        <v>13</v>
      </c>
      <c r="H68" s="384">
        <f t="shared" si="0"/>
        <v>1</v>
      </c>
      <c r="I68" s="385">
        <f t="shared" si="1"/>
        <v>13</v>
      </c>
      <c r="J68" s="341">
        <f>IF($I68="","",$I68/'Profit Plan'!$B$5)</f>
        <v>7.0270270270270274E-2</v>
      </c>
      <c r="K68" s="371">
        <f>IF($A68="","",IF(ISNUMBER(SEARCH("Proposal",$A68)),IFERROR(VLOOKUP(TRIM($A68),Proposals!$N$13:$S$18,5,FALSE),""),IF($E68="","",IFERROR(_xlfn.MINIFS('Timesheet Raw'!$L$4:$L$8000,'Timesheet Raw'!$B$4:$B$8000,$A68,'Timesheet Raw'!$M$4:$M$8000,$E68),""))))</f>
        <v>46041</v>
      </c>
      <c r="L68" s="371">
        <f>IF($A68="","",IF(ISNUMBER(SEARCH("Proposal",$A68)),IFERROR(VLOOKUP(TRIM($A68),Proposals!$N$13:$S$18,6,FALSE),""),IF($E68="","",IFERROR(_xlfn.MAXIFS('Timesheet Raw'!$L$4:$L$8000,'Timesheet Raw'!$B$4:$B$8000,$A68,'Timesheet Raw'!$M$4:$M$8000,$E68),""))))</f>
        <v>46093</v>
      </c>
      <c r="M68" s="340">
        <f t="shared" si="2"/>
        <v>53</v>
      </c>
      <c r="N68" s="340">
        <f>IF($K68="","",IF(COUNT('Work Calendar'!$E$6:$E$200)=0,NETWORKDAYS.INTL($K68,$L68,'Work Calendar'!$B$31),NETWORKDAYS.INTL($K68,$L68,'Work Calendar'!$B$31,'Work Calendar'!$E$6:$E$200)))</f>
        <v>39</v>
      </c>
      <c r="O68" s="340">
        <f>IF(OR($A68="",$E68=""),"",SUMIFS('Timesheet Raw'!$BV$4:$BV$8000,'Timesheet Raw'!$B$4:$B$8000,$A68,'Timesheet Raw'!$M$4:$M$8000,$E68))</f>
        <v>0</v>
      </c>
      <c r="P68" s="340">
        <f t="shared" si="3"/>
        <v>39</v>
      </c>
      <c r="Q68" s="386">
        <f t="shared" si="4"/>
        <v>1</v>
      </c>
      <c r="R68" t="str">
        <f>IF($A68="","",IF($E68="","set TS Phase",IF($G68=0,"Never charged",IF($L68&lt;'Work Calendar'!$B$17-21,"Dormant since "&amp;TEXT($L68,"yyyy-mm-dd"),"Active"))))</f>
        <v>Dormant since 2026-03-12</v>
      </c>
      <c r="S68" s="340">
        <f>IF(OR($A68="",$E68=""),"",IFERROR(_xlfn.MAXIFS('Timesheet Raw'!$BX$4:$BX$8000,'Timesheet Raw'!$B$4:$B$8000,$A68,'Timesheet Raw'!$M$4:$M$8000,$E68),""))</f>
        <v>0</v>
      </c>
      <c r="T68" s="371" t="str" cm="1">
        <f t="array" ref="T68">IF(OR($S68="",$S68=0),"",IFERROR(INDEX('Timesheet Raw'!$BW$4:$BW$8000,MATCH(1,INDEX(('Timesheet Raw'!$B$4:$B$8000=$A68)*('Timesheet Raw'!$M$4:$M$8000=$E68)*('Timesheet Raw'!$BX$4:$BX$8000=$S68),0),0)),""))</f>
        <v/>
      </c>
      <c r="U68" s="371" t="str" cm="1">
        <f t="array" ref="U68">IF(OR($S68="",$S68=0),"",IFERROR(INDEX('Timesheet Raw'!$L$4:$L$8000,MATCH(1,INDEX(('Timesheet Raw'!$B$4:$B$8000=$A68)*('Timesheet Raw'!$M$4:$M$8000=$E68)*('Timesheet Raw'!$BX$4:$BX$8000=$S68),0),0)),""))</f>
        <v/>
      </c>
      <c r="V68" s="340">
        <f>IF(OR($A68="",$E68="",$G68=0),"",1+COUNTIFS('Timesheet Raw'!$B$4:$B$8000,$A68,'Timesheet Raw'!$M$4:$M$8000,$E68,'Timesheet Raw'!$BX$4:$BX$8000,"&gt;="&amp;'Work Calendar'!$B$32))</f>
        <v>1</v>
      </c>
      <c r="W68" s="376"/>
      <c r="X68" s="376"/>
      <c r="Y68" s="376"/>
      <c r="Z68" s="376"/>
      <c r="AA68" s="376"/>
      <c r="AB68" s="376"/>
      <c r="AC68" s="396" t="str">
        <f t="shared" si="5"/>
        <v/>
      </c>
      <c r="AD68" s="396" t="str">
        <f t="shared" si="6"/>
        <v/>
      </c>
      <c r="AE68" s="340" t="str">
        <f>IF(OR($Y68="",$Z68=""),"",MAX(0,NETWORKDAYS.INTL($Y68,$Z68,'Work Calendar'!$B$31)-2))</f>
        <v/>
      </c>
      <c r="AF68" s="344">
        <f t="shared" si="7"/>
        <v>39</v>
      </c>
      <c r="AG68" t="str">
        <f t="shared" si="8"/>
        <v>no manual dates</v>
      </c>
      <c r="AH68" s="384">
        <f>IF(OR($A68="",$E68=""),"",IF(COUNTIFS($A$5:$A68,$A68,$E$5:$E68,$E68)=1,1,0))</f>
        <v>1</v>
      </c>
    </row>
  </sheetData>
  <conditionalFormatting sqref="R5:R68">
    <cfRule type="containsText" dxfId="70" priority="1" operator="containsText" text="Never charged">
      <formula>NOT(ISERROR(SEARCH("Never charged",R5)))</formula>
    </cfRule>
  </conditionalFormatting>
  <conditionalFormatting sqref="R5:R68">
    <cfRule type="containsText" dxfId="69" priority="2" operator="containsText" text="Dormant">
      <formula>NOT(ISERROR(SEARCH("Dormant",R5)))</formula>
    </cfRule>
  </conditionalFormatting>
  <conditionalFormatting sqref="R5:R68">
    <cfRule type="containsText" dxfId="68" priority="3" operator="containsText" text="Active">
      <formula>NOT(ISERROR(SEARCH("Active",R5)))</formula>
    </cfRule>
  </conditionalFormatting>
  <conditionalFormatting sqref="R5:R68">
    <cfRule type="containsText" dxfId="67" priority="4" operator="containsText" text="set TS Phase">
      <formula>NOT(ISERROR(SEARCH("set TS Phase",R5)))</formula>
    </cfRule>
  </conditionalFormatting>
  <conditionalFormatting sqref="Q5:Q68">
    <cfRule type="cellIs" dxfId="66" priority="5" operator="greaterThan">
      <formula>0.4</formula>
    </cfRule>
  </conditionalFormatting>
  <conditionalFormatting sqref="AG5:AG68">
    <cfRule type="containsText" dxfId="41" priority="6" operator="containsText" text="MISMATCH">
      <formula>NOT(ISERROR(SEARCH("MISMATCH",AG5)))</formula>
    </cfRule>
  </conditionalFormatting>
  <conditionalFormatting sqref="AG5:AG68">
    <cfRule type="containsText" dxfId="40" priority="7" operator="containsText" text="matches timesheet">
      <formula>NOT(ISERROR(SEARCH("matches timesheet",AG5)))</formula>
    </cfRule>
  </conditionalFormatting>
  <conditionalFormatting sqref="AG5:AG68">
    <cfRule type="containsText" dxfId="39" priority="8" operator="containsText" text="no manual dates">
      <formula>NOT(ISERROR(SEARCH("no manual dates",AG5)))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ellIs" priority="9" operator="greaterThanOrEqual" id="{7B72ADE3-FEE1-4BED-9A48-0E69DDE1B60A}">
            <xm:f>'Work Calendar'!$B$32</xm:f>
            <x14:dxf>
              <font>
                <b/>
                <i val="0"/>
                <color rgb="FF843C0C"/>
              </font>
              <fill>
                <patternFill patternType="solid">
                  <fgColor indexed="64"/>
                  <bgColor rgb="FFF8CBAD"/>
                </patternFill>
              </fill>
            </x14:dxf>
          </x14:cfRule>
          <xm:sqref>S5:S68</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F0523-1213-4CC1-8178-E471BF2633FA}">
  <sheetPr>
    <tabColor rgb="FF808080"/>
  </sheetPr>
  <dimension ref="A1:AA369"/>
  <sheetViews>
    <sheetView workbookViewId="0">
      <pane ySplit="4" topLeftCell="A5" activePane="bottomLeft" state="frozen"/>
      <selection pane="bottomLeft" activeCell="I15" sqref="I15"/>
    </sheetView>
  </sheetViews>
  <sheetFormatPr defaultRowHeight="14.4" x14ac:dyDescent="0.3"/>
  <cols>
    <col min="1" max="1" width="167.33203125" bestFit="1" customWidth="1"/>
    <col min="2" max="2" width="4.6640625" bestFit="1" customWidth="1"/>
    <col min="3" max="3" width="14.21875" bestFit="1" customWidth="1"/>
    <col min="9" max="9" width="21.33203125" customWidth="1"/>
    <col min="10" max="10" width="16.6640625" customWidth="1"/>
    <col min="11" max="11" width="24.109375" customWidth="1"/>
    <col min="15" max="15" width="21.33203125" customWidth="1"/>
    <col min="18" max="18" width="16.6640625" customWidth="1"/>
    <col min="19" max="19" width="24.109375" customWidth="1"/>
    <col min="21" max="21" width="21.33203125" customWidth="1"/>
    <col min="26" max="26" width="16.6640625" customWidth="1"/>
    <col min="27" max="27" width="24.109375" customWidth="1"/>
  </cols>
  <sheetData>
    <row r="1" spans="1:27" ht="18" x14ac:dyDescent="0.35">
      <c r="A1" s="372" t="s">
        <v>764</v>
      </c>
    </row>
    <row r="2" spans="1:27" x14ac:dyDescent="0.3">
      <c r="A2" s="355" t="s">
        <v>822</v>
      </c>
    </row>
    <row r="3" spans="1:27" x14ac:dyDescent="0.3">
      <c r="C3" s="380" t="s">
        <v>781</v>
      </c>
      <c r="D3" s="338" t="str">
        <f>'Work Calendar'!$B$20</f>
        <v>*Ahmed*</v>
      </c>
      <c r="E3" s="338"/>
      <c r="F3" s="338"/>
      <c r="G3" s="338"/>
      <c r="H3" s="338"/>
      <c r="I3" s="338"/>
      <c r="J3" s="338"/>
      <c r="K3" s="338"/>
      <c r="L3" s="338" t="str">
        <f>'Work Calendar'!$B$21</f>
        <v>*Osama*</v>
      </c>
      <c r="M3" s="338"/>
      <c r="N3" s="338"/>
      <c r="O3" s="338"/>
      <c r="P3" s="338"/>
      <c r="Q3" s="338"/>
      <c r="R3" s="338"/>
      <c r="S3" s="338"/>
      <c r="T3" s="338" t="str">
        <f>'Work Calendar'!$B$22</f>
        <v>*Kirolos*</v>
      </c>
      <c r="U3" s="338"/>
      <c r="V3" s="338"/>
      <c r="W3" s="338"/>
      <c r="X3" s="338"/>
      <c r="Y3" s="338"/>
      <c r="Z3" s="338"/>
      <c r="AA3" s="338"/>
    </row>
    <row r="4" spans="1:27" ht="43.2" x14ac:dyDescent="0.3">
      <c r="A4" s="381" t="s">
        <v>643</v>
      </c>
      <c r="B4" s="381" t="s">
        <v>731</v>
      </c>
      <c r="C4" s="381" t="s">
        <v>765</v>
      </c>
      <c r="D4" s="381" t="s">
        <v>766</v>
      </c>
      <c r="E4" s="381" t="s">
        <v>767</v>
      </c>
      <c r="F4" s="381" t="s">
        <v>819</v>
      </c>
      <c r="G4" s="381" t="s">
        <v>768</v>
      </c>
      <c r="H4" s="381" t="s">
        <v>823</v>
      </c>
      <c r="I4" s="381" t="s">
        <v>769</v>
      </c>
      <c r="J4" s="381" t="s">
        <v>824</v>
      </c>
      <c r="K4" s="381" t="s">
        <v>770</v>
      </c>
      <c r="L4" s="381" t="s">
        <v>771</v>
      </c>
      <c r="M4" s="381" t="s">
        <v>772</v>
      </c>
      <c r="N4" s="381" t="s">
        <v>820</v>
      </c>
      <c r="O4" s="381" t="s">
        <v>773</v>
      </c>
      <c r="P4" s="381" t="s">
        <v>825</v>
      </c>
      <c r="Q4" s="381" t="s">
        <v>774</v>
      </c>
      <c r="R4" s="381" t="s">
        <v>826</v>
      </c>
      <c r="S4" s="381" t="s">
        <v>775</v>
      </c>
      <c r="T4" s="381" t="s">
        <v>776</v>
      </c>
      <c r="U4" s="381" t="s">
        <v>777</v>
      </c>
      <c r="V4" s="381" t="s">
        <v>821</v>
      </c>
      <c r="W4" s="381" t="s">
        <v>778</v>
      </c>
      <c r="X4" s="381" t="s">
        <v>827</v>
      </c>
      <c r="Y4" s="381" t="s">
        <v>779</v>
      </c>
      <c r="Z4" s="381" t="s">
        <v>828</v>
      </c>
      <c r="AA4" s="381" t="s">
        <v>780</v>
      </c>
    </row>
    <row r="5" spans="1:27" x14ac:dyDescent="0.3">
      <c r="A5" s="371">
        <f>'Work Calendar'!$B$15</f>
        <v>46023</v>
      </c>
      <c r="B5" t="str">
        <f>IF($A5="","",TEXT($A5,"ddd"))</f>
        <v>Thu</v>
      </c>
      <c r="C5" t="str" cm="1">
        <f t="array" ref="C5">IF($A5="","",IF(COUNTIF('Work Calendar'!$E$6:$E$200,$A5)&gt;0,"Holiday",IF(INDEX('Work Calendar'!$C$6:$C$12,WEEKDAY($A5,1))=1,"Working","Weekend")))</f>
        <v>Working</v>
      </c>
      <c r="D5" s="341">
        <f>IF($A5="","",SUMIFS('Timesheet Raw'!$P$4:$P$8000,'Timesheet Raw'!$L$4:$L$8000,$A5,'Timesheet Raw'!$C$4:$C$8000,D$3,'Timesheet Raw'!$A$4:$A$8000,"1-Projects"))</f>
        <v>0</v>
      </c>
      <c r="E5" s="341">
        <f>IF($A5="","",SUMIFS('Timesheet Raw'!$P$4:$P$8000,'Timesheet Raw'!$L$4:$L$8000,$A5,'Timesheet Raw'!$C$4:$C$8000,D$3,'Timesheet Raw'!$A$4:$A$8000,"2-Proposals Chargeable")+SUMIFS('Timesheet Raw'!$P$4:$P$8000,'Timesheet Raw'!$L$4:$L$8000,$A5,'Timesheet Raw'!$C$4:$C$8000,D$3,'Timesheet Raw'!$A$4:$A$8000,"3-Proposals Regular"))</f>
        <v>0</v>
      </c>
      <c r="F5" s="341">
        <f>IF($A5="","",SUMIFS('Timesheet Raw'!$P$4:$P$8000,'Timesheet Raw'!$L$4:$L$8000,$A5,'Timesheet Raw'!$C$4:$C$8000,D$3,'Timesheet Raw'!$B$4:$B$8000,'Work Calendar'!$A$26)+SUMIFS('Timesheet Raw'!$P$4:$P$8000,'Timesheet Raw'!$L$4:$L$8000,$A5,'Timesheet Raw'!$C$4:$C$8000,D$3,'Timesheet Raw'!$B$4:$B$8000,'Work Calendar'!$A$27)+SUMIFS('Timesheet Raw'!$P$4:$P$8000,'Timesheet Raw'!$L$4:$L$8000,$A5,'Timesheet Raw'!$C$4:$C$8000,D$3,'Timesheet Raw'!$B$4:$B$8000,'Work Calendar'!$A$28)+SUMIFS('Timesheet Raw'!$P$4:$P$8000,'Timesheet Raw'!$L$4:$L$8000,$A5,'Timesheet Raw'!$C$4:$C$8000,D$3,'Timesheet Raw'!$B$4:$B$8000,'Work Calendar'!$A$29))</f>
        <v>8.5</v>
      </c>
      <c r="G5" s="341">
        <f>IF($A5="","",MAX(0,I5-D5-E5-F5))</f>
        <v>0</v>
      </c>
      <c r="H5" s="395">
        <f>IF($A5="","",SUMIFS('Timesheet Raw'!$K$4:$K$8000,'Timesheet Raw'!$L$4:$L$8000,$A5,'Timesheet Raw'!$C$4:$C$8000,D$3))</f>
        <v>0</v>
      </c>
      <c r="I5" s="345">
        <f>IF($A5="","",SUMIFS('Timesheet Raw'!$P$4:$P$8000,'Timesheet Raw'!$L$4:$L$8000,$A5,'Timesheet Raw'!$C$4:$C$8000,D$3))</f>
        <v>8.5</v>
      </c>
      <c r="J5" s="375"/>
      <c r="K5" t="str">
        <f>IF($A5="","",IF(J5&lt;&gt;"",J5,IF($A5&gt;'Work Calendar'!$B$17,"No data yet",IF(AND(F5&gt;='Work Calendar'!$B$14,D5+E5+G5&gt;0),"Day off - but worked",IF(F5&gt;='Work Calendar'!$B$14,"Day off",IF(D5+E5+G5&gt;0,IF($C5="Working","Charged","Worked weekend"),IF($C5="Working","Leave (not charged)",$C5)))))))</f>
        <v>Day off</v>
      </c>
      <c r="L5" s="341">
        <f>IF($A5="","",SUMIFS('Timesheet Raw'!$P$4:$P$8000,'Timesheet Raw'!$L$4:$L$8000,$A5,'Timesheet Raw'!$C$4:$C$8000,L$3,'Timesheet Raw'!$A$4:$A$8000,"1-Projects"))</f>
        <v>0</v>
      </c>
      <c r="M5" s="341">
        <f>IF($A5="","",SUMIFS('Timesheet Raw'!$P$4:$P$8000,'Timesheet Raw'!$L$4:$L$8000,$A5,'Timesheet Raw'!$C$4:$C$8000,L$3,'Timesheet Raw'!$A$4:$A$8000,"2-Proposals Chargeable")+SUMIFS('Timesheet Raw'!$P$4:$P$8000,'Timesheet Raw'!$L$4:$L$8000,$A5,'Timesheet Raw'!$C$4:$C$8000,L$3,'Timesheet Raw'!$A$4:$A$8000,"3-Proposals Regular"))</f>
        <v>0</v>
      </c>
      <c r="N5" s="341">
        <f>IF($A5="","",SUMIFS('Timesheet Raw'!$P$4:$P$8000,'Timesheet Raw'!$L$4:$L$8000,$A5,'Timesheet Raw'!$C$4:$C$8000,L$3,'Timesheet Raw'!$B$4:$B$8000,'Work Calendar'!$A$26)+SUMIFS('Timesheet Raw'!$P$4:$P$8000,'Timesheet Raw'!$L$4:$L$8000,$A5,'Timesheet Raw'!$C$4:$C$8000,L$3,'Timesheet Raw'!$B$4:$B$8000,'Work Calendar'!$A$27)+SUMIFS('Timesheet Raw'!$P$4:$P$8000,'Timesheet Raw'!$L$4:$L$8000,$A5,'Timesheet Raw'!$C$4:$C$8000,L$3,'Timesheet Raw'!$B$4:$B$8000,'Work Calendar'!$A$28)+SUMIFS('Timesheet Raw'!$P$4:$P$8000,'Timesheet Raw'!$L$4:$L$8000,$A5,'Timesheet Raw'!$C$4:$C$8000,L$3,'Timesheet Raw'!$B$4:$B$8000,'Work Calendar'!$A$29))</f>
        <v>8.5</v>
      </c>
      <c r="O5" s="341">
        <f>IF($A5="","",MAX(0,Q5-L5-M5-N5))</f>
        <v>0</v>
      </c>
      <c r="P5" s="395">
        <f>IF($A5="","",SUMIFS('Timesheet Raw'!$K$4:$K$8000,'Timesheet Raw'!$L$4:$L$8000,$A5,'Timesheet Raw'!$C$4:$C$8000,L$3))</f>
        <v>0</v>
      </c>
      <c r="Q5" s="345">
        <f>IF($A5="","",SUMIFS('Timesheet Raw'!$P$4:$P$8000,'Timesheet Raw'!$L$4:$L$8000,$A5,'Timesheet Raw'!$C$4:$C$8000,L$3))</f>
        <v>8.5</v>
      </c>
      <c r="R5" s="375"/>
      <c r="S5" t="str">
        <f>IF($A5="","",IF(R5&lt;&gt;"",R5,IF($A5&gt;'Work Calendar'!$B$17,"No data yet",IF(AND(N5&gt;='Work Calendar'!$B$14,L5+M5+O5&gt;0),"Day off - but worked",IF(N5&gt;='Work Calendar'!$B$14,"Day off",IF(L5+M5+O5&gt;0,IF($C5="Working","Charged","Worked weekend"),IF($C5="Working","Leave (not charged)",$C5)))))))</f>
        <v>Day off</v>
      </c>
      <c r="T5" s="341">
        <f>IF($A5="","",SUMIFS('Timesheet Raw'!$P$4:$P$8000,'Timesheet Raw'!$L$4:$L$8000,$A5,'Timesheet Raw'!$C$4:$C$8000,T$3,'Timesheet Raw'!$A$4:$A$8000,"1-Projects"))</f>
        <v>0</v>
      </c>
      <c r="U5" s="341">
        <f>IF($A5="","",SUMIFS('Timesheet Raw'!$P$4:$P$8000,'Timesheet Raw'!$L$4:$L$8000,$A5,'Timesheet Raw'!$C$4:$C$8000,T$3,'Timesheet Raw'!$A$4:$A$8000,"2-Proposals Chargeable")+SUMIFS('Timesheet Raw'!$P$4:$P$8000,'Timesheet Raw'!$L$4:$L$8000,$A5,'Timesheet Raw'!$C$4:$C$8000,T$3,'Timesheet Raw'!$A$4:$A$8000,"3-Proposals Regular"))</f>
        <v>0</v>
      </c>
      <c r="V5" s="341">
        <f>IF($A5="","",SUMIFS('Timesheet Raw'!$P$4:$P$8000,'Timesheet Raw'!$L$4:$L$8000,$A5,'Timesheet Raw'!$C$4:$C$8000,T$3,'Timesheet Raw'!$B$4:$B$8000,'Work Calendar'!$A$26)+SUMIFS('Timesheet Raw'!$P$4:$P$8000,'Timesheet Raw'!$L$4:$L$8000,$A5,'Timesheet Raw'!$C$4:$C$8000,T$3,'Timesheet Raw'!$B$4:$B$8000,'Work Calendar'!$A$27)+SUMIFS('Timesheet Raw'!$P$4:$P$8000,'Timesheet Raw'!$L$4:$L$8000,$A5,'Timesheet Raw'!$C$4:$C$8000,T$3,'Timesheet Raw'!$B$4:$B$8000,'Work Calendar'!$A$28)+SUMIFS('Timesheet Raw'!$P$4:$P$8000,'Timesheet Raw'!$L$4:$L$8000,$A5,'Timesheet Raw'!$C$4:$C$8000,T$3,'Timesheet Raw'!$B$4:$B$8000,'Work Calendar'!$A$29))</f>
        <v>8.5</v>
      </c>
      <c r="W5" s="341">
        <f>IF($A5="","",MAX(0,Y5-T5-U5-V5))</f>
        <v>0</v>
      </c>
      <c r="X5" s="395">
        <f>IF($A5="","",SUMIFS('Timesheet Raw'!$K$4:$K$8000,'Timesheet Raw'!$L$4:$L$8000,$A5,'Timesheet Raw'!$C$4:$C$8000,T$3))</f>
        <v>0</v>
      </c>
      <c r="Y5" s="345">
        <f>IF($A5="","",SUMIFS('Timesheet Raw'!$P$4:$P$8000,'Timesheet Raw'!$L$4:$L$8000,$A5,'Timesheet Raw'!$C$4:$C$8000,T$3))</f>
        <v>8.5</v>
      </c>
      <c r="Z5" s="375"/>
      <c r="AA5" t="str">
        <f>IF($A5="","",IF(Z5&lt;&gt;"",Z5,IF($A5&gt;'Work Calendar'!$B$17,"No data yet",IF(AND(V5&gt;='Work Calendar'!$B$14,T5+U5+W5&gt;0),"Day off - but worked",IF(V5&gt;='Work Calendar'!$B$14,"Day off",IF(T5+U5+W5&gt;0,IF($C5="Working","Charged","Worked weekend"),IF($C5="Working","Leave (not charged)",$C5)))))))</f>
        <v>Day off</v>
      </c>
    </row>
    <row r="6" spans="1:27" x14ac:dyDescent="0.3">
      <c r="A6" s="371">
        <f>IF($A5="","",IF($A5+1&gt;'Work Calendar'!$B$16,"",$A5+1))</f>
        <v>46024</v>
      </c>
      <c r="B6" t="str">
        <f t="shared" ref="B6:B69" si="0">IF($A6="","",TEXT($A6,"ddd"))</f>
        <v>Fri</v>
      </c>
      <c r="C6" t="str" cm="1">
        <f t="array" ref="C6">IF($A6="","",IF(COUNTIF('Work Calendar'!$E$6:$E$200,$A6)&gt;0,"Holiday",IF(INDEX('Work Calendar'!$C$6:$C$12,WEEKDAY($A6,1))=1,"Working","Weekend")))</f>
        <v>Weekend</v>
      </c>
      <c r="D6" s="341">
        <f>IF($A6="","",SUMIFS('Timesheet Raw'!$P$4:$P$8000,'Timesheet Raw'!$L$4:$L$8000,$A6,'Timesheet Raw'!$C$4:$C$8000,D$3,'Timesheet Raw'!$A$4:$A$8000,"1-Projects"))</f>
        <v>0</v>
      </c>
      <c r="E6" s="341">
        <f>IF($A6="","",SUMIFS('Timesheet Raw'!$P$4:$P$8000,'Timesheet Raw'!$L$4:$L$8000,$A6,'Timesheet Raw'!$C$4:$C$8000,D$3,'Timesheet Raw'!$A$4:$A$8000,"2-Proposals Chargeable")+SUMIFS('Timesheet Raw'!$P$4:$P$8000,'Timesheet Raw'!$L$4:$L$8000,$A6,'Timesheet Raw'!$C$4:$C$8000,D$3,'Timesheet Raw'!$A$4:$A$8000,"3-Proposals Regular"))</f>
        <v>0</v>
      </c>
      <c r="F6" s="341">
        <f>IF($A6="","",SUMIFS('Timesheet Raw'!$P$4:$P$8000,'Timesheet Raw'!$L$4:$L$8000,$A6,'Timesheet Raw'!$C$4:$C$8000,D$3,'Timesheet Raw'!$B$4:$B$8000,'Work Calendar'!$A$26)+SUMIFS('Timesheet Raw'!$P$4:$P$8000,'Timesheet Raw'!$L$4:$L$8000,$A6,'Timesheet Raw'!$C$4:$C$8000,D$3,'Timesheet Raw'!$B$4:$B$8000,'Work Calendar'!$A$27)+SUMIFS('Timesheet Raw'!$P$4:$P$8000,'Timesheet Raw'!$L$4:$L$8000,$A6,'Timesheet Raw'!$C$4:$C$8000,D$3,'Timesheet Raw'!$B$4:$B$8000,'Work Calendar'!$A$28)+SUMIFS('Timesheet Raw'!$P$4:$P$8000,'Timesheet Raw'!$L$4:$L$8000,$A6,'Timesheet Raw'!$C$4:$C$8000,D$3,'Timesheet Raw'!$B$4:$B$8000,'Work Calendar'!$A$29))</f>
        <v>0</v>
      </c>
      <c r="G6" s="341">
        <f t="shared" ref="G6:G69" si="1">IF($A6="","",MAX(0,I6-D6-E6-F6))</f>
        <v>0</v>
      </c>
      <c r="H6" s="395">
        <f>IF($A6="","",SUMIFS('Timesheet Raw'!$K$4:$K$8000,'Timesheet Raw'!$L$4:$L$8000,$A6,'Timesheet Raw'!$C$4:$C$8000,D$3))</f>
        <v>0</v>
      </c>
      <c r="I6" s="345">
        <f>IF($A6="","",SUMIFS('Timesheet Raw'!$P$4:$P$8000,'Timesheet Raw'!$L$4:$L$8000,$A6,'Timesheet Raw'!$C$4:$C$8000,D$3))</f>
        <v>0</v>
      </c>
      <c r="J6" s="375"/>
      <c r="K6" t="str">
        <f>IF($A6="","",IF(J6&lt;&gt;"",J6,IF($A6&gt;'Work Calendar'!$B$17,"No data yet",IF(AND(F6&gt;='Work Calendar'!$B$14,D6+E6+G6&gt;0),"Day off - but worked",IF(F6&gt;='Work Calendar'!$B$14,"Day off",IF(D6+E6+G6&gt;0,IF($C6="Working","Charged","Worked weekend"),IF($C6="Working","Leave (not charged)",$C6)))))))</f>
        <v>Weekend</v>
      </c>
      <c r="L6" s="341">
        <f>IF($A6="","",SUMIFS('Timesheet Raw'!$P$4:$P$8000,'Timesheet Raw'!$L$4:$L$8000,$A6,'Timesheet Raw'!$C$4:$C$8000,L$3,'Timesheet Raw'!$A$4:$A$8000,"1-Projects"))</f>
        <v>0</v>
      </c>
      <c r="M6" s="341">
        <f>IF($A6="","",SUMIFS('Timesheet Raw'!$P$4:$P$8000,'Timesheet Raw'!$L$4:$L$8000,$A6,'Timesheet Raw'!$C$4:$C$8000,L$3,'Timesheet Raw'!$A$4:$A$8000,"2-Proposals Chargeable")+SUMIFS('Timesheet Raw'!$P$4:$P$8000,'Timesheet Raw'!$L$4:$L$8000,$A6,'Timesheet Raw'!$C$4:$C$8000,L$3,'Timesheet Raw'!$A$4:$A$8000,"3-Proposals Regular"))</f>
        <v>0</v>
      </c>
      <c r="N6" s="341">
        <f>IF($A6="","",SUMIFS('Timesheet Raw'!$P$4:$P$8000,'Timesheet Raw'!$L$4:$L$8000,$A6,'Timesheet Raw'!$C$4:$C$8000,L$3,'Timesheet Raw'!$B$4:$B$8000,'Work Calendar'!$A$26)+SUMIFS('Timesheet Raw'!$P$4:$P$8000,'Timesheet Raw'!$L$4:$L$8000,$A6,'Timesheet Raw'!$C$4:$C$8000,L$3,'Timesheet Raw'!$B$4:$B$8000,'Work Calendar'!$A$27)+SUMIFS('Timesheet Raw'!$P$4:$P$8000,'Timesheet Raw'!$L$4:$L$8000,$A6,'Timesheet Raw'!$C$4:$C$8000,L$3,'Timesheet Raw'!$B$4:$B$8000,'Work Calendar'!$A$28)+SUMIFS('Timesheet Raw'!$P$4:$P$8000,'Timesheet Raw'!$L$4:$L$8000,$A6,'Timesheet Raw'!$C$4:$C$8000,L$3,'Timesheet Raw'!$B$4:$B$8000,'Work Calendar'!$A$29))</f>
        <v>0</v>
      </c>
      <c r="O6" s="341">
        <f t="shared" ref="O6:O69" si="2">IF($A6="","",MAX(0,Q6-L6-M6-N6))</f>
        <v>0</v>
      </c>
      <c r="P6" s="395">
        <f>IF($A6="","",SUMIFS('Timesheet Raw'!$K$4:$K$8000,'Timesheet Raw'!$L$4:$L$8000,$A6,'Timesheet Raw'!$C$4:$C$8000,L$3))</f>
        <v>0</v>
      </c>
      <c r="Q6" s="345">
        <f>IF($A6="","",SUMIFS('Timesheet Raw'!$P$4:$P$8000,'Timesheet Raw'!$L$4:$L$8000,$A6,'Timesheet Raw'!$C$4:$C$8000,L$3))</f>
        <v>0</v>
      </c>
      <c r="R6" s="375"/>
      <c r="S6" t="str">
        <f>IF($A6="","",IF(R6&lt;&gt;"",R6,IF($A6&gt;'Work Calendar'!$B$17,"No data yet",IF(AND(N6&gt;='Work Calendar'!$B$14,L6+M6+O6&gt;0),"Day off - but worked",IF(N6&gt;='Work Calendar'!$B$14,"Day off",IF(L6+M6+O6&gt;0,IF($C6="Working","Charged","Worked weekend"),IF($C6="Working","Leave (not charged)",$C6)))))))</f>
        <v>Weekend</v>
      </c>
      <c r="T6" s="341">
        <f>IF($A6="","",SUMIFS('Timesheet Raw'!$P$4:$P$8000,'Timesheet Raw'!$L$4:$L$8000,$A6,'Timesheet Raw'!$C$4:$C$8000,T$3,'Timesheet Raw'!$A$4:$A$8000,"1-Projects"))</f>
        <v>0</v>
      </c>
      <c r="U6" s="341">
        <f>IF($A6="","",SUMIFS('Timesheet Raw'!$P$4:$P$8000,'Timesheet Raw'!$L$4:$L$8000,$A6,'Timesheet Raw'!$C$4:$C$8000,T$3,'Timesheet Raw'!$A$4:$A$8000,"2-Proposals Chargeable")+SUMIFS('Timesheet Raw'!$P$4:$P$8000,'Timesheet Raw'!$L$4:$L$8000,$A6,'Timesheet Raw'!$C$4:$C$8000,T$3,'Timesheet Raw'!$A$4:$A$8000,"3-Proposals Regular"))</f>
        <v>0</v>
      </c>
      <c r="V6" s="341">
        <f>IF($A6="","",SUMIFS('Timesheet Raw'!$P$4:$P$8000,'Timesheet Raw'!$L$4:$L$8000,$A6,'Timesheet Raw'!$C$4:$C$8000,T$3,'Timesheet Raw'!$B$4:$B$8000,'Work Calendar'!$A$26)+SUMIFS('Timesheet Raw'!$P$4:$P$8000,'Timesheet Raw'!$L$4:$L$8000,$A6,'Timesheet Raw'!$C$4:$C$8000,T$3,'Timesheet Raw'!$B$4:$B$8000,'Work Calendar'!$A$27)+SUMIFS('Timesheet Raw'!$P$4:$P$8000,'Timesheet Raw'!$L$4:$L$8000,$A6,'Timesheet Raw'!$C$4:$C$8000,T$3,'Timesheet Raw'!$B$4:$B$8000,'Work Calendar'!$A$28)+SUMIFS('Timesheet Raw'!$P$4:$P$8000,'Timesheet Raw'!$L$4:$L$8000,$A6,'Timesheet Raw'!$C$4:$C$8000,T$3,'Timesheet Raw'!$B$4:$B$8000,'Work Calendar'!$A$29))</f>
        <v>0</v>
      </c>
      <c r="W6" s="341">
        <f t="shared" ref="W6:W69" si="3">IF($A6="","",MAX(0,Y6-T6-U6-V6))</f>
        <v>0</v>
      </c>
      <c r="X6" s="395">
        <f>IF($A6="","",SUMIFS('Timesheet Raw'!$K$4:$K$8000,'Timesheet Raw'!$L$4:$L$8000,$A6,'Timesheet Raw'!$C$4:$C$8000,T$3))</f>
        <v>0</v>
      </c>
      <c r="Y6" s="345">
        <f>IF($A6="","",SUMIFS('Timesheet Raw'!$P$4:$P$8000,'Timesheet Raw'!$L$4:$L$8000,$A6,'Timesheet Raw'!$C$4:$C$8000,T$3))</f>
        <v>0</v>
      </c>
      <c r="Z6" s="375"/>
      <c r="AA6" t="str">
        <f>IF($A6="","",IF(Z6&lt;&gt;"",Z6,IF($A6&gt;'Work Calendar'!$B$17,"No data yet",IF(AND(V6&gt;='Work Calendar'!$B$14,T6+U6+W6&gt;0),"Day off - but worked",IF(V6&gt;='Work Calendar'!$B$14,"Day off",IF(T6+U6+W6&gt;0,IF($C6="Working","Charged","Worked weekend"),IF($C6="Working","Leave (not charged)",$C6)))))))</f>
        <v>Weekend</v>
      </c>
    </row>
    <row r="7" spans="1:27" x14ac:dyDescent="0.3">
      <c r="A7" s="371">
        <f>IF($A6="","",IF($A6+1&gt;'Work Calendar'!$B$16,"",$A6+1))</f>
        <v>46025</v>
      </c>
      <c r="B7" t="str">
        <f t="shared" si="0"/>
        <v>Sat</v>
      </c>
      <c r="C7" t="str" cm="1">
        <f t="array" ref="C7">IF($A7="","",IF(COUNTIF('Work Calendar'!$E$6:$E$200,$A7)&gt;0,"Holiday",IF(INDEX('Work Calendar'!$C$6:$C$12,WEEKDAY($A7,1))=1,"Working","Weekend")))</f>
        <v>Weekend</v>
      </c>
      <c r="D7" s="341">
        <f>IF($A7="","",SUMIFS('Timesheet Raw'!$P$4:$P$8000,'Timesheet Raw'!$L$4:$L$8000,$A7,'Timesheet Raw'!$C$4:$C$8000,D$3,'Timesheet Raw'!$A$4:$A$8000,"1-Projects"))</f>
        <v>0</v>
      </c>
      <c r="E7" s="341">
        <f>IF($A7="","",SUMIFS('Timesheet Raw'!$P$4:$P$8000,'Timesheet Raw'!$L$4:$L$8000,$A7,'Timesheet Raw'!$C$4:$C$8000,D$3,'Timesheet Raw'!$A$4:$A$8000,"2-Proposals Chargeable")+SUMIFS('Timesheet Raw'!$P$4:$P$8000,'Timesheet Raw'!$L$4:$L$8000,$A7,'Timesheet Raw'!$C$4:$C$8000,D$3,'Timesheet Raw'!$A$4:$A$8000,"3-Proposals Regular"))</f>
        <v>0</v>
      </c>
      <c r="F7" s="341">
        <f>IF($A7="","",SUMIFS('Timesheet Raw'!$P$4:$P$8000,'Timesheet Raw'!$L$4:$L$8000,$A7,'Timesheet Raw'!$C$4:$C$8000,D$3,'Timesheet Raw'!$B$4:$B$8000,'Work Calendar'!$A$26)+SUMIFS('Timesheet Raw'!$P$4:$P$8000,'Timesheet Raw'!$L$4:$L$8000,$A7,'Timesheet Raw'!$C$4:$C$8000,D$3,'Timesheet Raw'!$B$4:$B$8000,'Work Calendar'!$A$27)+SUMIFS('Timesheet Raw'!$P$4:$P$8000,'Timesheet Raw'!$L$4:$L$8000,$A7,'Timesheet Raw'!$C$4:$C$8000,D$3,'Timesheet Raw'!$B$4:$B$8000,'Work Calendar'!$A$28)+SUMIFS('Timesheet Raw'!$P$4:$P$8000,'Timesheet Raw'!$L$4:$L$8000,$A7,'Timesheet Raw'!$C$4:$C$8000,D$3,'Timesheet Raw'!$B$4:$B$8000,'Work Calendar'!$A$29))</f>
        <v>0</v>
      </c>
      <c r="G7" s="341">
        <f t="shared" si="1"/>
        <v>0</v>
      </c>
      <c r="H7" s="395">
        <f>IF($A7="","",SUMIFS('Timesheet Raw'!$K$4:$K$8000,'Timesheet Raw'!$L$4:$L$8000,$A7,'Timesheet Raw'!$C$4:$C$8000,D$3))</f>
        <v>0</v>
      </c>
      <c r="I7" s="345">
        <f>IF($A7="","",SUMIFS('Timesheet Raw'!$P$4:$P$8000,'Timesheet Raw'!$L$4:$L$8000,$A7,'Timesheet Raw'!$C$4:$C$8000,D$3))</f>
        <v>0</v>
      </c>
      <c r="J7" s="375"/>
      <c r="K7" t="str">
        <f>IF($A7="","",IF(J7&lt;&gt;"",J7,IF($A7&gt;'Work Calendar'!$B$17,"No data yet",IF(AND(F7&gt;='Work Calendar'!$B$14,D7+E7+G7&gt;0),"Day off - but worked",IF(F7&gt;='Work Calendar'!$B$14,"Day off",IF(D7+E7+G7&gt;0,IF($C7="Working","Charged","Worked weekend"),IF($C7="Working","Leave (not charged)",$C7)))))))</f>
        <v>Weekend</v>
      </c>
      <c r="L7" s="341">
        <f>IF($A7="","",SUMIFS('Timesheet Raw'!$P$4:$P$8000,'Timesheet Raw'!$L$4:$L$8000,$A7,'Timesheet Raw'!$C$4:$C$8000,L$3,'Timesheet Raw'!$A$4:$A$8000,"1-Projects"))</f>
        <v>0</v>
      </c>
      <c r="M7" s="341">
        <f>IF($A7="","",SUMIFS('Timesheet Raw'!$P$4:$P$8000,'Timesheet Raw'!$L$4:$L$8000,$A7,'Timesheet Raw'!$C$4:$C$8000,L$3,'Timesheet Raw'!$A$4:$A$8000,"2-Proposals Chargeable")+SUMIFS('Timesheet Raw'!$P$4:$P$8000,'Timesheet Raw'!$L$4:$L$8000,$A7,'Timesheet Raw'!$C$4:$C$8000,L$3,'Timesheet Raw'!$A$4:$A$8000,"3-Proposals Regular"))</f>
        <v>0</v>
      </c>
      <c r="N7" s="341">
        <f>IF($A7="","",SUMIFS('Timesheet Raw'!$P$4:$P$8000,'Timesheet Raw'!$L$4:$L$8000,$A7,'Timesheet Raw'!$C$4:$C$8000,L$3,'Timesheet Raw'!$B$4:$B$8000,'Work Calendar'!$A$26)+SUMIFS('Timesheet Raw'!$P$4:$P$8000,'Timesheet Raw'!$L$4:$L$8000,$A7,'Timesheet Raw'!$C$4:$C$8000,L$3,'Timesheet Raw'!$B$4:$B$8000,'Work Calendar'!$A$27)+SUMIFS('Timesheet Raw'!$P$4:$P$8000,'Timesheet Raw'!$L$4:$L$8000,$A7,'Timesheet Raw'!$C$4:$C$8000,L$3,'Timesheet Raw'!$B$4:$B$8000,'Work Calendar'!$A$28)+SUMIFS('Timesheet Raw'!$P$4:$P$8000,'Timesheet Raw'!$L$4:$L$8000,$A7,'Timesheet Raw'!$C$4:$C$8000,L$3,'Timesheet Raw'!$B$4:$B$8000,'Work Calendar'!$A$29))</f>
        <v>0</v>
      </c>
      <c r="O7" s="341">
        <f t="shared" si="2"/>
        <v>0</v>
      </c>
      <c r="P7" s="395">
        <f>IF($A7="","",SUMIFS('Timesheet Raw'!$K$4:$K$8000,'Timesheet Raw'!$L$4:$L$8000,$A7,'Timesheet Raw'!$C$4:$C$8000,L$3))</f>
        <v>0</v>
      </c>
      <c r="Q7" s="345">
        <f>IF($A7="","",SUMIFS('Timesheet Raw'!$P$4:$P$8000,'Timesheet Raw'!$L$4:$L$8000,$A7,'Timesheet Raw'!$C$4:$C$8000,L$3))</f>
        <v>0</v>
      </c>
      <c r="R7" s="375"/>
      <c r="S7" t="str">
        <f>IF($A7="","",IF(R7&lt;&gt;"",R7,IF($A7&gt;'Work Calendar'!$B$17,"No data yet",IF(AND(N7&gt;='Work Calendar'!$B$14,L7+M7+O7&gt;0),"Day off - but worked",IF(N7&gt;='Work Calendar'!$B$14,"Day off",IF(L7+M7+O7&gt;0,IF($C7="Working","Charged","Worked weekend"),IF($C7="Working","Leave (not charged)",$C7)))))))</f>
        <v>Weekend</v>
      </c>
      <c r="T7" s="341">
        <f>IF($A7="","",SUMIFS('Timesheet Raw'!$P$4:$P$8000,'Timesheet Raw'!$L$4:$L$8000,$A7,'Timesheet Raw'!$C$4:$C$8000,T$3,'Timesheet Raw'!$A$4:$A$8000,"1-Projects"))</f>
        <v>0</v>
      </c>
      <c r="U7" s="341">
        <f>IF($A7="","",SUMIFS('Timesheet Raw'!$P$4:$P$8000,'Timesheet Raw'!$L$4:$L$8000,$A7,'Timesheet Raw'!$C$4:$C$8000,T$3,'Timesheet Raw'!$A$4:$A$8000,"2-Proposals Chargeable")+SUMIFS('Timesheet Raw'!$P$4:$P$8000,'Timesheet Raw'!$L$4:$L$8000,$A7,'Timesheet Raw'!$C$4:$C$8000,T$3,'Timesheet Raw'!$A$4:$A$8000,"3-Proposals Regular"))</f>
        <v>0</v>
      </c>
      <c r="V7" s="341">
        <f>IF($A7="","",SUMIFS('Timesheet Raw'!$P$4:$P$8000,'Timesheet Raw'!$L$4:$L$8000,$A7,'Timesheet Raw'!$C$4:$C$8000,T$3,'Timesheet Raw'!$B$4:$B$8000,'Work Calendar'!$A$26)+SUMIFS('Timesheet Raw'!$P$4:$P$8000,'Timesheet Raw'!$L$4:$L$8000,$A7,'Timesheet Raw'!$C$4:$C$8000,T$3,'Timesheet Raw'!$B$4:$B$8000,'Work Calendar'!$A$27)+SUMIFS('Timesheet Raw'!$P$4:$P$8000,'Timesheet Raw'!$L$4:$L$8000,$A7,'Timesheet Raw'!$C$4:$C$8000,T$3,'Timesheet Raw'!$B$4:$B$8000,'Work Calendar'!$A$28)+SUMIFS('Timesheet Raw'!$P$4:$P$8000,'Timesheet Raw'!$L$4:$L$8000,$A7,'Timesheet Raw'!$C$4:$C$8000,T$3,'Timesheet Raw'!$B$4:$B$8000,'Work Calendar'!$A$29))</f>
        <v>0</v>
      </c>
      <c r="W7" s="341">
        <f t="shared" si="3"/>
        <v>0</v>
      </c>
      <c r="X7" s="395">
        <f>IF($A7="","",SUMIFS('Timesheet Raw'!$K$4:$K$8000,'Timesheet Raw'!$L$4:$L$8000,$A7,'Timesheet Raw'!$C$4:$C$8000,T$3))</f>
        <v>0</v>
      </c>
      <c r="Y7" s="345">
        <f>IF($A7="","",SUMIFS('Timesheet Raw'!$P$4:$P$8000,'Timesheet Raw'!$L$4:$L$8000,$A7,'Timesheet Raw'!$C$4:$C$8000,T$3))</f>
        <v>0</v>
      </c>
      <c r="Z7" s="375"/>
      <c r="AA7" t="str">
        <f>IF($A7="","",IF(Z7&lt;&gt;"",Z7,IF($A7&gt;'Work Calendar'!$B$17,"No data yet",IF(AND(V7&gt;='Work Calendar'!$B$14,T7+U7+W7&gt;0),"Day off - but worked",IF(V7&gt;='Work Calendar'!$B$14,"Day off",IF(T7+U7+W7&gt;0,IF($C7="Working","Charged","Worked weekend"),IF($C7="Working","Leave (not charged)",$C7)))))))</f>
        <v>Weekend</v>
      </c>
    </row>
    <row r="8" spans="1:27" x14ac:dyDescent="0.3">
      <c r="A8" s="371">
        <f>IF($A7="","",IF($A7+1&gt;'Work Calendar'!$B$16,"",$A7+1))</f>
        <v>46026</v>
      </c>
      <c r="B8" t="str">
        <f t="shared" si="0"/>
        <v>Sun</v>
      </c>
      <c r="C8" t="str" cm="1">
        <f t="array" ref="C8">IF($A8="","",IF(COUNTIF('Work Calendar'!$E$6:$E$200,$A8)&gt;0,"Holiday",IF(INDEX('Work Calendar'!$C$6:$C$12,WEEKDAY($A8,1))=1,"Working","Weekend")))</f>
        <v>Working</v>
      </c>
      <c r="D8" s="341">
        <f>IF($A8="","",SUMIFS('Timesheet Raw'!$P$4:$P$8000,'Timesheet Raw'!$L$4:$L$8000,$A8,'Timesheet Raw'!$C$4:$C$8000,D$3,'Timesheet Raw'!$A$4:$A$8000,"1-Projects"))</f>
        <v>7.25</v>
      </c>
      <c r="E8" s="341">
        <f>IF($A8="","",SUMIFS('Timesheet Raw'!$P$4:$P$8000,'Timesheet Raw'!$L$4:$L$8000,$A8,'Timesheet Raw'!$C$4:$C$8000,D$3,'Timesheet Raw'!$A$4:$A$8000,"2-Proposals Chargeable")+SUMIFS('Timesheet Raw'!$P$4:$P$8000,'Timesheet Raw'!$L$4:$L$8000,$A8,'Timesheet Raw'!$C$4:$C$8000,D$3,'Timesheet Raw'!$A$4:$A$8000,"3-Proposals Regular"))</f>
        <v>0</v>
      </c>
      <c r="F8" s="341">
        <f>IF($A8="","",SUMIFS('Timesheet Raw'!$P$4:$P$8000,'Timesheet Raw'!$L$4:$L$8000,$A8,'Timesheet Raw'!$C$4:$C$8000,D$3,'Timesheet Raw'!$B$4:$B$8000,'Work Calendar'!$A$26)+SUMIFS('Timesheet Raw'!$P$4:$P$8000,'Timesheet Raw'!$L$4:$L$8000,$A8,'Timesheet Raw'!$C$4:$C$8000,D$3,'Timesheet Raw'!$B$4:$B$8000,'Work Calendar'!$A$27)+SUMIFS('Timesheet Raw'!$P$4:$P$8000,'Timesheet Raw'!$L$4:$L$8000,$A8,'Timesheet Raw'!$C$4:$C$8000,D$3,'Timesheet Raw'!$B$4:$B$8000,'Work Calendar'!$A$28)+SUMIFS('Timesheet Raw'!$P$4:$P$8000,'Timesheet Raw'!$L$4:$L$8000,$A8,'Timesheet Raw'!$C$4:$C$8000,D$3,'Timesheet Raw'!$B$4:$B$8000,'Work Calendar'!$A$29))</f>
        <v>1.25</v>
      </c>
      <c r="G8" s="341">
        <f t="shared" si="1"/>
        <v>0</v>
      </c>
      <c r="H8" s="395">
        <f>IF($A8="","",SUMIFS('Timesheet Raw'!$K$4:$K$8000,'Timesheet Raw'!$L$4:$L$8000,$A8,'Timesheet Raw'!$C$4:$C$8000,D$3))</f>
        <v>0</v>
      </c>
      <c r="I8" s="345">
        <f>IF($A8="","",SUMIFS('Timesheet Raw'!$P$4:$P$8000,'Timesheet Raw'!$L$4:$L$8000,$A8,'Timesheet Raw'!$C$4:$C$8000,D$3))</f>
        <v>8.5</v>
      </c>
      <c r="J8" s="375"/>
      <c r="K8" t="str">
        <f>IF($A8="","",IF(J8&lt;&gt;"",J8,IF($A8&gt;'Work Calendar'!$B$17,"No data yet",IF(AND(F8&gt;='Work Calendar'!$B$14,D8+E8+G8&gt;0),"Day off - but worked",IF(F8&gt;='Work Calendar'!$B$14,"Day off",IF(D8+E8+G8&gt;0,IF($C8="Working","Charged","Worked weekend"),IF($C8="Working","Leave (not charged)",$C8)))))))</f>
        <v>Charged</v>
      </c>
      <c r="L8" s="341">
        <f>IF($A8="","",SUMIFS('Timesheet Raw'!$P$4:$P$8000,'Timesheet Raw'!$L$4:$L$8000,$A8,'Timesheet Raw'!$C$4:$C$8000,L$3,'Timesheet Raw'!$A$4:$A$8000,"1-Projects"))</f>
        <v>7.5</v>
      </c>
      <c r="M8" s="341">
        <f>IF($A8="","",SUMIFS('Timesheet Raw'!$P$4:$P$8000,'Timesheet Raw'!$L$4:$L$8000,$A8,'Timesheet Raw'!$C$4:$C$8000,L$3,'Timesheet Raw'!$A$4:$A$8000,"2-Proposals Chargeable")+SUMIFS('Timesheet Raw'!$P$4:$P$8000,'Timesheet Raw'!$L$4:$L$8000,$A8,'Timesheet Raw'!$C$4:$C$8000,L$3,'Timesheet Raw'!$A$4:$A$8000,"3-Proposals Regular"))</f>
        <v>0</v>
      </c>
      <c r="N8" s="341">
        <f>IF($A8="","",SUMIFS('Timesheet Raw'!$P$4:$P$8000,'Timesheet Raw'!$L$4:$L$8000,$A8,'Timesheet Raw'!$C$4:$C$8000,L$3,'Timesheet Raw'!$B$4:$B$8000,'Work Calendar'!$A$26)+SUMIFS('Timesheet Raw'!$P$4:$P$8000,'Timesheet Raw'!$L$4:$L$8000,$A8,'Timesheet Raw'!$C$4:$C$8000,L$3,'Timesheet Raw'!$B$4:$B$8000,'Work Calendar'!$A$27)+SUMIFS('Timesheet Raw'!$P$4:$P$8000,'Timesheet Raw'!$L$4:$L$8000,$A8,'Timesheet Raw'!$C$4:$C$8000,L$3,'Timesheet Raw'!$B$4:$B$8000,'Work Calendar'!$A$28)+SUMIFS('Timesheet Raw'!$P$4:$P$8000,'Timesheet Raw'!$L$4:$L$8000,$A8,'Timesheet Raw'!$C$4:$C$8000,L$3,'Timesheet Raw'!$B$4:$B$8000,'Work Calendar'!$A$29))</f>
        <v>1</v>
      </c>
      <c r="O8" s="341">
        <f t="shared" si="2"/>
        <v>0</v>
      </c>
      <c r="P8" s="395">
        <f>IF($A8="","",SUMIFS('Timesheet Raw'!$K$4:$K$8000,'Timesheet Raw'!$L$4:$L$8000,$A8,'Timesheet Raw'!$C$4:$C$8000,L$3))</f>
        <v>0</v>
      </c>
      <c r="Q8" s="345">
        <f>IF($A8="","",SUMIFS('Timesheet Raw'!$P$4:$P$8000,'Timesheet Raw'!$L$4:$L$8000,$A8,'Timesheet Raw'!$C$4:$C$8000,L$3))</f>
        <v>8.5</v>
      </c>
      <c r="R8" s="375"/>
      <c r="S8" t="str">
        <f>IF($A8="","",IF(R8&lt;&gt;"",R8,IF($A8&gt;'Work Calendar'!$B$17,"No data yet",IF(AND(N8&gt;='Work Calendar'!$B$14,L8+M8+O8&gt;0),"Day off - but worked",IF(N8&gt;='Work Calendar'!$B$14,"Day off",IF(L8+M8+O8&gt;0,IF($C8="Working","Charged","Worked weekend"),IF($C8="Working","Leave (not charged)",$C8)))))))</f>
        <v>Charged</v>
      </c>
      <c r="T8" s="341">
        <f>IF($A8="","",SUMIFS('Timesheet Raw'!$P$4:$P$8000,'Timesheet Raw'!$L$4:$L$8000,$A8,'Timesheet Raw'!$C$4:$C$8000,T$3,'Timesheet Raw'!$A$4:$A$8000,"1-Projects"))</f>
        <v>6.25</v>
      </c>
      <c r="U8" s="341">
        <f>IF($A8="","",SUMIFS('Timesheet Raw'!$P$4:$P$8000,'Timesheet Raw'!$L$4:$L$8000,$A8,'Timesheet Raw'!$C$4:$C$8000,T$3,'Timesheet Raw'!$A$4:$A$8000,"2-Proposals Chargeable")+SUMIFS('Timesheet Raw'!$P$4:$P$8000,'Timesheet Raw'!$L$4:$L$8000,$A8,'Timesheet Raw'!$C$4:$C$8000,T$3,'Timesheet Raw'!$A$4:$A$8000,"3-Proposals Regular"))</f>
        <v>0</v>
      </c>
      <c r="V8" s="341">
        <f>IF($A8="","",SUMIFS('Timesheet Raw'!$P$4:$P$8000,'Timesheet Raw'!$L$4:$L$8000,$A8,'Timesheet Raw'!$C$4:$C$8000,T$3,'Timesheet Raw'!$B$4:$B$8000,'Work Calendar'!$A$26)+SUMIFS('Timesheet Raw'!$P$4:$P$8000,'Timesheet Raw'!$L$4:$L$8000,$A8,'Timesheet Raw'!$C$4:$C$8000,T$3,'Timesheet Raw'!$B$4:$B$8000,'Work Calendar'!$A$27)+SUMIFS('Timesheet Raw'!$P$4:$P$8000,'Timesheet Raw'!$L$4:$L$8000,$A8,'Timesheet Raw'!$C$4:$C$8000,T$3,'Timesheet Raw'!$B$4:$B$8000,'Work Calendar'!$A$28)+SUMIFS('Timesheet Raw'!$P$4:$P$8000,'Timesheet Raw'!$L$4:$L$8000,$A8,'Timesheet Raw'!$C$4:$C$8000,T$3,'Timesheet Raw'!$B$4:$B$8000,'Work Calendar'!$A$29))</f>
        <v>2.25</v>
      </c>
      <c r="W8" s="341">
        <f t="shared" si="3"/>
        <v>0</v>
      </c>
      <c r="X8" s="395">
        <f>IF($A8="","",SUMIFS('Timesheet Raw'!$K$4:$K$8000,'Timesheet Raw'!$L$4:$L$8000,$A8,'Timesheet Raw'!$C$4:$C$8000,T$3))</f>
        <v>0</v>
      </c>
      <c r="Y8" s="345">
        <f>IF($A8="","",SUMIFS('Timesheet Raw'!$P$4:$P$8000,'Timesheet Raw'!$L$4:$L$8000,$A8,'Timesheet Raw'!$C$4:$C$8000,T$3))</f>
        <v>8.5</v>
      </c>
      <c r="Z8" s="375"/>
      <c r="AA8" t="str">
        <f>IF($A8="","",IF(Z8&lt;&gt;"",Z8,IF($A8&gt;'Work Calendar'!$B$17,"No data yet",IF(AND(V8&gt;='Work Calendar'!$B$14,T8+U8+W8&gt;0),"Day off - but worked",IF(V8&gt;='Work Calendar'!$B$14,"Day off",IF(T8+U8+W8&gt;0,IF($C8="Working","Charged","Worked weekend"),IF($C8="Working","Leave (not charged)",$C8)))))))</f>
        <v>Charged</v>
      </c>
    </row>
    <row r="9" spans="1:27" x14ac:dyDescent="0.3">
      <c r="A9" s="371">
        <f>IF($A8="","",IF($A8+1&gt;'Work Calendar'!$B$16,"",$A8+1))</f>
        <v>46027</v>
      </c>
      <c r="B9" t="str">
        <f t="shared" si="0"/>
        <v>Mon</v>
      </c>
      <c r="C9" t="str" cm="1">
        <f t="array" ref="C9">IF($A9="","",IF(COUNTIF('Work Calendar'!$E$6:$E$200,$A9)&gt;0,"Holiday",IF(INDEX('Work Calendar'!$C$6:$C$12,WEEKDAY($A9,1))=1,"Working","Weekend")))</f>
        <v>Working</v>
      </c>
      <c r="D9" s="341">
        <f>IF($A9="","",SUMIFS('Timesheet Raw'!$P$4:$P$8000,'Timesheet Raw'!$L$4:$L$8000,$A9,'Timesheet Raw'!$C$4:$C$8000,D$3,'Timesheet Raw'!$A$4:$A$8000,"1-Projects"))</f>
        <v>6.25</v>
      </c>
      <c r="E9" s="341">
        <f>IF($A9="","",SUMIFS('Timesheet Raw'!$P$4:$P$8000,'Timesheet Raw'!$L$4:$L$8000,$A9,'Timesheet Raw'!$C$4:$C$8000,D$3,'Timesheet Raw'!$A$4:$A$8000,"2-Proposals Chargeable")+SUMIFS('Timesheet Raw'!$P$4:$P$8000,'Timesheet Raw'!$L$4:$L$8000,$A9,'Timesheet Raw'!$C$4:$C$8000,D$3,'Timesheet Raw'!$A$4:$A$8000,"3-Proposals Regular"))</f>
        <v>0</v>
      </c>
      <c r="F9" s="341">
        <f>IF($A9="","",SUMIFS('Timesheet Raw'!$P$4:$P$8000,'Timesheet Raw'!$L$4:$L$8000,$A9,'Timesheet Raw'!$C$4:$C$8000,D$3,'Timesheet Raw'!$B$4:$B$8000,'Work Calendar'!$A$26)+SUMIFS('Timesheet Raw'!$P$4:$P$8000,'Timesheet Raw'!$L$4:$L$8000,$A9,'Timesheet Raw'!$C$4:$C$8000,D$3,'Timesheet Raw'!$B$4:$B$8000,'Work Calendar'!$A$27)+SUMIFS('Timesheet Raw'!$P$4:$P$8000,'Timesheet Raw'!$L$4:$L$8000,$A9,'Timesheet Raw'!$C$4:$C$8000,D$3,'Timesheet Raw'!$B$4:$B$8000,'Work Calendar'!$A$28)+SUMIFS('Timesheet Raw'!$P$4:$P$8000,'Timesheet Raw'!$L$4:$L$8000,$A9,'Timesheet Raw'!$C$4:$C$8000,D$3,'Timesheet Raw'!$B$4:$B$8000,'Work Calendar'!$A$29))</f>
        <v>2.25</v>
      </c>
      <c r="G9" s="341">
        <f t="shared" si="1"/>
        <v>0</v>
      </c>
      <c r="H9" s="395">
        <f>IF($A9="","",SUMIFS('Timesheet Raw'!$K$4:$K$8000,'Timesheet Raw'!$L$4:$L$8000,$A9,'Timesheet Raw'!$C$4:$C$8000,D$3))</f>
        <v>0</v>
      </c>
      <c r="I9" s="345">
        <f>IF($A9="","",SUMIFS('Timesheet Raw'!$P$4:$P$8000,'Timesheet Raw'!$L$4:$L$8000,$A9,'Timesheet Raw'!$C$4:$C$8000,D$3))</f>
        <v>8.5</v>
      </c>
      <c r="J9" s="375"/>
      <c r="K9" t="str">
        <f>IF($A9="","",IF(J9&lt;&gt;"",J9,IF($A9&gt;'Work Calendar'!$B$17,"No data yet",IF(AND(F9&gt;='Work Calendar'!$B$14,D9+E9+G9&gt;0),"Day off - but worked",IF(F9&gt;='Work Calendar'!$B$14,"Day off",IF(D9+E9+G9&gt;0,IF($C9="Working","Charged","Worked weekend"),IF($C9="Working","Leave (not charged)",$C9)))))))</f>
        <v>Charged</v>
      </c>
      <c r="L9" s="341">
        <f>IF($A9="","",SUMIFS('Timesheet Raw'!$P$4:$P$8000,'Timesheet Raw'!$L$4:$L$8000,$A9,'Timesheet Raw'!$C$4:$C$8000,L$3,'Timesheet Raw'!$A$4:$A$8000,"1-Projects"))</f>
        <v>8</v>
      </c>
      <c r="M9" s="341">
        <f>IF($A9="","",SUMIFS('Timesheet Raw'!$P$4:$P$8000,'Timesheet Raw'!$L$4:$L$8000,$A9,'Timesheet Raw'!$C$4:$C$8000,L$3,'Timesheet Raw'!$A$4:$A$8000,"2-Proposals Chargeable")+SUMIFS('Timesheet Raw'!$P$4:$P$8000,'Timesheet Raw'!$L$4:$L$8000,$A9,'Timesheet Raw'!$C$4:$C$8000,L$3,'Timesheet Raw'!$A$4:$A$8000,"3-Proposals Regular"))</f>
        <v>0</v>
      </c>
      <c r="N9" s="341">
        <f>IF($A9="","",SUMIFS('Timesheet Raw'!$P$4:$P$8000,'Timesheet Raw'!$L$4:$L$8000,$A9,'Timesheet Raw'!$C$4:$C$8000,L$3,'Timesheet Raw'!$B$4:$B$8000,'Work Calendar'!$A$26)+SUMIFS('Timesheet Raw'!$P$4:$P$8000,'Timesheet Raw'!$L$4:$L$8000,$A9,'Timesheet Raw'!$C$4:$C$8000,L$3,'Timesheet Raw'!$B$4:$B$8000,'Work Calendar'!$A$27)+SUMIFS('Timesheet Raw'!$P$4:$P$8000,'Timesheet Raw'!$L$4:$L$8000,$A9,'Timesheet Raw'!$C$4:$C$8000,L$3,'Timesheet Raw'!$B$4:$B$8000,'Work Calendar'!$A$28)+SUMIFS('Timesheet Raw'!$P$4:$P$8000,'Timesheet Raw'!$L$4:$L$8000,$A9,'Timesheet Raw'!$C$4:$C$8000,L$3,'Timesheet Raw'!$B$4:$B$8000,'Work Calendar'!$A$29))</f>
        <v>0.5</v>
      </c>
      <c r="O9" s="341">
        <f t="shared" si="2"/>
        <v>0</v>
      </c>
      <c r="P9" s="395">
        <f>IF($A9="","",SUMIFS('Timesheet Raw'!$K$4:$K$8000,'Timesheet Raw'!$L$4:$L$8000,$A9,'Timesheet Raw'!$C$4:$C$8000,L$3))</f>
        <v>0</v>
      </c>
      <c r="Q9" s="345">
        <f>IF($A9="","",SUMIFS('Timesheet Raw'!$P$4:$P$8000,'Timesheet Raw'!$L$4:$L$8000,$A9,'Timesheet Raw'!$C$4:$C$8000,L$3))</f>
        <v>8.5</v>
      </c>
      <c r="R9" s="375"/>
      <c r="S9" t="str">
        <f>IF($A9="","",IF(R9&lt;&gt;"",R9,IF($A9&gt;'Work Calendar'!$B$17,"No data yet",IF(AND(N9&gt;='Work Calendar'!$B$14,L9+M9+O9&gt;0),"Day off - but worked",IF(N9&gt;='Work Calendar'!$B$14,"Day off",IF(L9+M9+O9&gt;0,IF($C9="Working","Charged","Worked weekend"),IF($C9="Working","Leave (not charged)",$C9)))))))</f>
        <v>Charged</v>
      </c>
      <c r="T9" s="341">
        <f>IF($A9="","",SUMIFS('Timesheet Raw'!$P$4:$P$8000,'Timesheet Raw'!$L$4:$L$8000,$A9,'Timesheet Raw'!$C$4:$C$8000,T$3,'Timesheet Raw'!$A$4:$A$8000,"1-Projects"))</f>
        <v>0</v>
      </c>
      <c r="U9" s="341">
        <f>IF($A9="","",SUMIFS('Timesheet Raw'!$P$4:$P$8000,'Timesheet Raw'!$L$4:$L$8000,$A9,'Timesheet Raw'!$C$4:$C$8000,T$3,'Timesheet Raw'!$A$4:$A$8000,"2-Proposals Chargeable")+SUMIFS('Timesheet Raw'!$P$4:$P$8000,'Timesheet Raw'!$L$4:$L$8000,$A9,'Timesheet Raw'!$C$4:$C$8000,T$3,'Timesheet Raw'!$A$4:$A$8000,"3-Proposals Regular"))</f>
        <v>0</v>
      </c>
      <c r="V9" s="341">
        <f>IF($A9="","",SUMIFS('Timesheet Raw'!$P$4:$P$8000,'Timesheet Raw'!$L$4:$L$8000,$A9,'Timesheet Raw'!$C$4:$C$8000,T$3,'Timesheet Raw'!$B$4:$B$8000,'Work Calendar'!$A$26)+SUMIFS('Timesheet Raw'!$P$4:$P$8000,'Timesheet Raw'!$L$4:$L$8000,$A9,'Timesheet Raw'!$C$4:$C$8000,T$3,'Timesheet Raw'!$B$4:$B$8000,'Work Calendar'!$A$27)+SUMIFS('Timesheet Raw'!$P$4:$P$8000,'Timesheet Raw'!$L$4:$L$8000,$A9,'Timesheet Raw'!$C$4:$C$8000,T$3,'Timesheet Raw'!$B$4:$B$8000,'Work Calendar'!$A$28)+SUMIFS('Timesheet Raw'!$P$4:$P$8000,'Timesheet Raw'!$L$4:$L$8000,$A9,'Timesheet Raw'!$C$4:$C$8000,T$3,'Timesheet Raw'!$B$4:$B$8000,'Work Calendar'!$A$29))</f>
        <v>8.5</v>
      </c>
      <c r="W9" s="341">
        <f t="shared" si="3"/>
        <v>0</v>
      </c>
      <c r="X9" s="395">
        <f>IF($A9="","",SUMIFS('Timesheet Raw'!$K$4:$K$8000,'Timesheet Raw'!$L$4:$L$8000,$A9,'Timesheet Raw'!$C$4:$C$8000,T$3))</f>
        <v>0</v>
      </c>
      <c r="Y9" s="345">
        <f>IF($A9="","",SUMIFS('Timesheet Raw'!$P$4:$P$8000,'Timesheet Raw'!$L$4:$L$8000,$A9,'Timesheet Raw'!$C$4:$C$8000,T$3))</f>
        <v>8.5</v>
      </c>
      <c r="Z9" s="375"/>
      <c r="AA9" t="str">
        <f>IF($A9="","",IF(Z9&lt;&gt;"",Z9,IF($A9&gt;'Work Calendar'!$B$17,"No data yet",IF(AND(V9&gt;='Work Calendar'!$B$14,T9+U9+W9&gt;0),"Day off - but worked",IF(V9&gt;='Work Calendar'!$B$14,"Day off",IF(T9+U9+W9&gt;0,IF($C9="Working","Charged","Worked weekend"),IF($C9="Working","Leave (not charged)",$C9)))))))</f>
        <v>Day off</v>
      </c>
    </row>
    <row r="10" spans="1:27" x14ac:dyDescent="0.3">
      <c r="A10" s="371">
        <f>IF($A9="","",IF($A9+1&gt;'Work Calendar'!$B$16,"",$A9+1))</f>
        <v>46028</v>
      </c>
      <c r="B10" t="str">
        <f t="shared" si="0"/>
        <v>Tue</v>
      </c>
      <c r="C10" t="str" cm="1">
        <f t="array" ref="C10">IF($A10="","",IF(COUNTIF('Work Calendar'!$E$6:$E$200,$A10)&gt;0,"Holiday",IF(INDEX('Work Calendar'!$C$6:$C$12,WEEKDAY($A10,1))=1,"Working","Weekend")))</f>
        <v>Working</v>
      </c>
      <c r="D10" s="341">
        <f>IF($A10="","",SUMIFS('Timesheet Raw'!$P$4:$P$8000,'Timesheet Raw'!$L$4:$L$8000,$A10,'Timesheet Raw'!$C$4:$C$8000,D$3,'Timesheet Raw'!$A$4:$A$8000,"1-Projects"))</f>
        <v>7.5</v>
      </c>
      <c r="E10" s="341">
        <f>IF($A10="","",SUMIFS('Timesheet Raw'!$P$4:$P$8000,'Timesheet Raw'!$L$4:$L$8000,$A10,'Timesheet Raw'!$C$4:$C$8000,D$3,'Timesheet Raw'!$A$4:$A$8000,"2-Proposals Chargeable")+SUMIFS('Timesheet Raw'!$P$4:$P$8000,'Timesheet Raw'!$L$4:$L$8000,$A10,'Timesheet Raw'!$C$4:$C$8000,D$3,'Timesheet Raw'!$A$4:$A$8000,"3-Proposals Regular"))</f>
        <v>0</v>
      </c>
      <c r="F10" s="341">
        <f>IF($A10="","",SUMIFS('Timesheet Raw'!$P$4:$P$8000,'Timesheet Raw'!$L$4:$L$8000,$A10,'Timesheet Raw'!$C$4:$C$8000,D$3,'Timesheet Raw'!$B$4:$B$8000,'Work Calendar'!$A$26)+SUMIFS('Timesheet Raw'!$P$4:$P$8000,'Timesheet Raw'!$L$4:$L$8000,$A10,'Timesheet Raw'!$C$4:$C$8000,D$3,'Timesheet Raw'!$B$4:$B$8000,'Work Calendar'!$A$27)+SUMIFS('Timesheet Raw'!$P$4:$P$8000,'Timesheet Raw'!$L$4:$L$8000,$A10,'Timesheet Raw'!$C$4:$C$8000,D$3,'Timesheet Raw'!$B$4:$B$8000,'Work Calendar'!$A$28)+SUMIFS('Timesheet Raw'!$P$4:$P$8000,'Timesheet Raw'!$L$4:$L$8000,$A10,'Timesheet Raw'!$C$4:$C$8000,D$3,'Timesheet Raw'!$B$4:$B$8000,'Work Calendar'!$A$29))</f>
        <v>1</v>
      </c>
      <c r="G10" s="341">
        <f t="shared" si="1"/>
        <v>0</v>
      </c>
      <c r="H10" s="395">
        <f>IF($A10="","",SUMIFS('Timesheet Raw'!$K$4:$K$8000,'Timesheet Raw'!$L$4:$L$8000,$A10,'Timesheet Raw'!$C$4:$C$8000,D$3))</f>
        <v>0</v>
      </c>
      <c r="I10" s="345">
        <f>IF($A10="","",SUMIFS('Timesheet Raw'!$P$4:$P$8000,'Timesheet Raw'!$L$4:$L$8000,$A10,'Timesheet Raw'!$C$4:$C$8000,D$3))</f>
        <v>8.5</v>
      </c>
      <c r="J10" s="375"/>
      <c r="K10" t="str">
        <f>IF($A10="","",IF(J10&lt;&gt;"",J10,IF($A10&gt;'Work Calendar'!$B$17,"No data yet",IF(AND(F10&gt;='Work Calendar'!$B$14,D10+E10+G10&gt;0),"Day off - but worked",IF(F10&gt;='Work Calendar'!$B$14,"Day off",IF(D10+E10+G10&gt;0,IF($C10="Working","Charged","Worked weekend"),IF($C10="Working","Leave (not charged)",$C10)))))))</f>
        <v>Charged</v>
      </c>
      <c r="L10" s="341">
        <f>IF($A10="","",SUMIFS('Timesheet Raw'!$P$4:$P$8000,'Timesheet Raw'!$L$4:$L$8000,$A10,'Timesheet Raw'!$C$4:$C$8000,L$3,'Timesheet Raw'!$A$4:$A$8000,"1-Projects"))</f>
        <v>7</v>
      </c>
      <c r="M10" s="341">
        <f>IF($A10="","",SUMIFS('Timesheet Raw'!$P$4:$P$8000,'Timesheet Raw'!$L$4:$L$8000,$A10,'Timesheet Raw'!$C$4:$C$8000,L$3,'Timesheet Raw'!$A$4:$A$8000,"2-Proposals Chargeable")+SUMIFS('Timesheet Raw'!$P$4:$P$8000,'Timesheet Raw'!$L$4:$L$8000,$A10,'Timesheet Raw'!$C$4:$C$8000,L$3,'Timesheet Raw'!$A$4:$A$8000,"3-Proposals Regular"))</f>
        <v>0</v>
      </c>
      <c r="N10" s="341">
        <f>IF($A10="","",SUMIFS('Timesheet Raw'!$P$4:$P$8000,'Timesheet Raw'!$L$4:$L$8000,$A10,'Timesheet Raw'!$C$4:$C$8000,L$3,'Timesheet Raw'!$B$4:$B$8000,'Work Calendar'!$A$26)+SUMIFS('Timesheet Raw'!$P$4:$P$8000,'Timesheet Raw'!$L$4:$L$8000,$A10,'Timesheet Raw'!$C$4:$C$8000,L$3,'Timesheet Raw'!$B$4:$B$8000,'Work Calendar'!$A$27)+SUMIFS('Timesheet Raw'!$P$4:$P$8000,'Timesheet Raw'!$L$4:$L$8000,$A10,'Timesheet Raw'!$C$4:$C$8000,L$3,'Timesheet Raw'!$B$4:$B$8000,'Work Calendar'!$A$28)+SUMIFS('Timesheet Raw'!$P$4:$P$8000,'Timesheet Raw'!$L$4:$L$8000,$A10,'Timesheet Raw'!$C$4:$C$8000,L$3,'Timesheet Raw'!$B$4:$B$8000,'Work Calendar'!$A$29))</f>
        <v>1.5</v>
      </c>
      <c r="O10" s="341">
        <f t="shared" si="2"/>
        <v>0</v>
      </c>
      <c r="P10" s="395">
        <f>IF($A10="","",SUMIFS('Timesheet Raw'!$K$4:$K$8000,'Timesheet Raw'!$L$4:$L$8000,$A10,'Timesheet Raw'!$C$4:$C$8000,L$3))</f>
        <v>0</v>
      </c>
      <c r="Q10" s="345">
        <f>IF($A10="","",SUMIFS('Timesheet Raw'!$P$4:$P$8000,'Timesheet Raw'!$L$4:$L$8000,$A10,'Timesheet Raw'!$C$4:$C$8000,L$3))</f>
        <v>8.5</v>
      </c>
      <c r="R10" s="375"/>
      <c r="S10" t="str">
        <f>IF($A10="","",IF(R10&lt;&gt;"",R10,IF($A10&gt;'Work Calendar'!$B$17,"No data yet",IF(AND(N10&gt;='Work Calendar'!$B$14,L10+M10+O10&gt;0),"Day off - but worked",IF(N10&gt;='Work Calendar'!$B$14,"Day off",IF(L10+M10+O10&gt;0,IF($C10="Working","Charged","Worked weekend"),IF($C10="Working","Leave (not charged)",$C10)))))))</f>
        <v>Charged</v>
      </c>
      <c r="T10" s="341">
        <f>IF($A10="","",SUMIFS('Timesheet Raw'!$P$4:$P$8000,'Timesheet Raw'!$L$4:$L$8000,$A10,'Timesheet Raw'!$C$4:$C$8000,T$3,'Timesheet Raw'!$A$4:$A$8000,"1-Projects"))</f>
        <v>6.75</v>
      </c>
      <c r="U10" s="341">
        <f>IF($A10="","",SUMIFS('Timesheet Raw'!$P$4:$P$8000,'Timesheet Raw'!$L$4:$L$8000,$A10,'Timesheet Raw'!$C$4:$C$8000,T$3,'Timesheet Raw'!$A$4:$A$8000,"2-Proposals Chargeable")+SUMIFS('Timesheet Raw'!$P$4:$P$8000,'Timesheet Raw'!$L$4:$L$8000,$A10,'Timesheet Raw'!$C$4:$C$8000,T$3,'Timesheet Raw'!$A$4:$A$8000,"3-Proposals Regular"))</f>
        <v>0</v>
      </c>
      <c r="V10" s="341">
        <f>IF($A10="","",SUMIFS('Timesheet Raw'!$P$4:$P$8000,'Timesheet Raw'!$L$4:$L$8000,$A10,'Timesheet Raw'!$C$4:$C$8000,T$3,'Timesheet Raw'!$B$4:$B$8000,'Work Calendar'!$A$26)+SUMIFS('Timesheet Raw'!$P$4:$P$8000,'Timesheet Raw'!$L$4:$L$8000,$A10,'Timesheet Raw'!$C$4:$C$8000,T$3,'Timesheet Raw'!$B$4:$B$8000,'Work Calendar'!$A$27)+SUMIFS('Timesheet Raw'!$P$4:$P$8000,'Timesheet Raw'!$L$4:$L$8000,$A10,'Timesheet Raw'!$C$4:$C$8000,T$3,'Timesheet Raw'!$B$4:$B$8000,'Work Calendar'!$A$28)+SUMIFS('Timesheet Raw'!$P$4:$P$8000,'Timesheet Raw'!$L$4:$L$8000,$A10,'Timesheet Raw'!$C$4:$C$8000,T$3,'Timesheet Raw'!$B$4:$B$8000,'Work Calendar'!$A$29))</f>
        <v>1.75</v>
      </c>
      <c r="W10" s="341">
        <f t="shared" si="3"/>
        <v>0</v>
      </c>
      <c r="X10" s="395">
        <f>IF($A10="","",SUMIFS('Timesheet Raw'!$K$4:$K$8000,'Timesheet Raw'!$L$4:$L$8000,$A10,'Timesheet Raw'!$C$4:$C$8000,T$3))</f>
        <v>0</v>
      </c>
      <c r="Y10" s="345">
        <f>IF($A10="","",SUMIFS('Timesheet Raw'!$P$4:$P$8000,'Timesheet Raw'!$L$4:$L$8000,$A10,'Timesheet Raw'!$C$4:$C$8000,T$3))</f>
        <v>8.5</v>
      </c>
      <c r="Z10" s="375"/>
      <c r="AA10" t="str">
        <f>IF($A10="","",IF(Z10&lt;&gt;"",Z10,IF($A10&gt;'Work Calendar'!$B$17,"No data yet",IF(AND(V10&gt;='Work Calendar'!$B$14,T10+U10+W10&gt;0),"Day off - but worked",IF(V10&gt;='Work Calendar'!$B$14,"Day off",IF(T10+U10+W10&gt;0,IF($C10="Working","Charged","Worked weekend"),IF($C10="Working","Leave (not charged)",$C10)))))))</f>
        <v>Charged</v>
      </c>
    </row>
    <row r="11" spans="1:27" x14ac:dyDescent="0.3">
      <c r="A11" s="371">
        <f>IF($A10="","",IF($A10+1&gt;'Work Calendar'!$B$16,"",$A10+1))</f>
        <v>46029</v>
      </c>
      <c r="B11" t="str">
        <f t="shared" si="0"/>
        <v>Wed</v>
      </c>
      <c r="C11" t="str" cm="1">
        <f t="array" ref="C11">IF($A11="","",IF(COUNTIF('Work Calendar'!$E$6:$E$200,$A11)&gt;0,"Holiday",IF(INDEX('Work Calendar'!$C$6:$C$12,WEEKDAY($A11,1))=1,"Working","Weekend")))</f>
        <v>Working</v>
      </c>
      <c r="D11" s="341">
        <f>IF($A11="","",SUMIFS('Timesheet Raw'!$P$4:$P$8000,'Timesheet Raw'!$L$4:$L$8000,$A11,'Timesheet Raw'!$C$4:$C$8000,D$3,'Timesheet Raw'!$A$4:$A$8000,"1-Projects"))</f>
        <v>0</v>
      </c>
      <c r="E11" s="341">
        <f>IF($A11="","",SUMIFS('Timesheet Raw'!$P$4:$P$8000,'Timesheet Raw'!$L$4:$L$8000,$A11,'Timesheet Raw'!$C$4:$C$8000,D$3,'Timesheet Raw'!$A$4:$A$8000,"2-Proposals Chargeable")+SUMIFS('Timesheet Raw'!$P$4:$P$8000,'Timesheet Raw'!$L$4:$L$8000,$A11,'Timesheet Raw'!$C$4:$C$8000,D$3,'Timesheet Raw'!$A$4:$A$8000,"3-Proposals Regular"))</f>
        <v>0</v>
      </c>
      <c r="F11" s="341">
        <f>IF($A11="","",SUMIFS('Timesheet Raw'!$P$4:$P$8000,'Timesheet Raw'!$L$4:$L$8000,$A11,'Timesheet Raw'!$C$4:$C$8000,D$3,'Timesheet Raw'!$B$4:$B$8000,'Work Calendar'!$A$26)+SUMIFS('Timesheet Raw'!$P$4:$P$8000,'Timesheet Raw'!$L$4:$L$8000,$A11,'Timesheet Raw'!$C$4:$C$8000,D$3,'Timesheet Raw'!$B$4:$B$8000,'Work Calendar'!$A$27)+SUMIFS('Timesheet Raw'!$P$4:$P$8000,'Timesheet Raw'!$L$4:$L$8000,$A11,'Timesheet Raw'!$C$4:$C$8000,D$3,'Timesheet Raw'!$B$4:$B$8000,'Work Calendar'!$A$28)+SUMIFS('Timesheet Raw'!$P$4:$P$8000,'Timesheet Raw'!$L$4:$L$8000,$A11,'Timesheet Raw'!$C$4:$C$8000,D$3,'Timesheet Raw'!$B$4:$B$8000,'Work Calendar'!$A$29))</f>
        <v>8.5</v>
      </c>
      <c r="G11" s="341">
        <f t="shared" si="1"/>
        <v>0</v>
      </c>
      <c r="H11" s="395">
        <f>IF($A11="","",SUMIFS('Timesheet Raw'!$K$4:$K$8000,'Timesheet Raw'!$L$4:$L$8000,$A11,'Timesheet Raw'!$C$4:$C$8000,D$3))</f>
        <v>0</v>
      </c>
      <c r="I11" s="345">
        <f>IF($A11="","",SUMIFS('Timesheet Raw'!$P$4:$P$8000,'Timesheet Raw'!$L$4:$L$8000,$A11,'Timesheet Raw'!$C$4:$C$8000,D$3))</f>
        <v>8.5</v>
      </c>
      <c r="J11" s="375"/>
      <c r="K11" t="str">
        <f>IF($A11="","",IF(J11&lt;&gt;"",J11,IF($A11&gt;'Work Calendar'!$B$17,"No data yet",IF(AND(F11&gt;='Work Calendar'!$B$14,D11+E11+G11&gt;0),"Day off - but worked",IF(F11&gt;='Work Calendar'!$B$14,"Day off",IF(D11+E11+G11&gt;0,IF($C11="Working","Charged","Worked weekend"),IF($C11="Working","Leave (not charged)",$C11)))))))</f>
        <v>Day off</v>
      </c>
      <c r="L11" s="341">
        <f>IF($A11="","",SUMIFS('Timesheet Raw'!$P$4:$P$8000,'Timesheet Raw'!$L$4:$L$8000,$A11,'Timesheet Raw'!$C$4:$C$8000,L$3,'Timesheet Raw'!$A$4:$A$8000,"1-Projects"))</f>
        <v>0</v>
      </c>
      <c r="M11" s="341">
        <f>IF($A11="","",SUMIFS('Timesheet Raw'!$P$4:$P$8000,'Timesheet Raw'!$L$4:$L$8000,$A11,'Timesheet Raw'!$C$4:$C$8000,L$3,'Timesheet Raw'!$A$4:$A$8000,"2-Proposals Chargeable")+SUMIFS('Timesheet Raw'!$P$4:$P$8000,'Timesheet Raw'!$L$4:$L$8000,$A11,'Timesheet Raw'!$C$4:$C$8000,L$3,'Timesheet Raw'!$A$4:$A$8000,"3-Proposals Regular"))</f>
        <v>0</v>
      </c>
      <c r="N11" s="341">
        <f>IF($A11="","",SUMIFS('Timesheet Raw'!$P$4:$P$8000,'Timesheet Raw'!$L$4:$L$8000,$A11,'Timesheet Raw'!$C$4:$C$8000,L$3,'Timesheet Raw'!$B$4:$B$8000,'Work Calendar'!$A$26)+SUMIFS('Timesheet Raw'!$P$4:$P$8000,'Timesheet Raw'!$L$4:$L$8000,$A11,'Timesheet Raw'!$C$4:$C$8000,L$3,'Timesheet Raw'!$B$4:$B$8000,'Work Calendar'!$A$27)+SUMIFS('Timesheet Raw'!$P$4:$P$8000,'Timesheet Raw'!$L$4:$L$8000,$A11,'Timesheet Raw'!$C$4:$C$8000,L$3,'Timesheet Raw'!$B$4:$B$8000,'Work Calendar'!$A$28)+SUMIFS('Timesheet Raw'!$P$4:$P$8000,'Timesheet Raw'!$L$4:$L$8000,$A11,'Timesheet Raw'!$C$4:$C$8000,L$3,'Timesheet Raw'!$B$4:$B$8000,'Work Calendar'!$A$29))</f>
        <v>8.5</v>
      </c>
      <c r="O11" s="341">
        <f t="shared" si="2"/>
        <v>0</v>
      </c>
      <c r="P11" s="395">
        <f>IF($A11="","",SUMIFS('Timesheet Raw'!$K$4:$K$8000,'Timesheet Raw'!$L$4:$L$8000,$A11,'Timesheet Raw'!$C$4:$C$8000,L$3))</f>
        <v>0</v>
      </c>
      <c r="Q11" s="345">
        <f>IF($A11="","",SUMIFS('Timesheet Raw'!$P$4:$P$8000,'Timesheet Raw'!$L$4:$L$8000,$A11,'Timesheet Raw'!$C$4:$C$8000,L$3))</f>
        <v>8.5</v>
      </c>
      <c r="R11" s="375"/>
      <c r="S11" t="str">
        <f>IF($A11="","",IF(R11&lt;&gt;"",R11,IF($A11&gt;'Work Calendar'!$B$17,"No data yet",IF(AND(N11&gt;='Work Calendar'!$B$14,L11+M11+O11&gt;0),"Day off - but worked",IF(N11&gt;='Work Calendar'!$B$14,"Day off",IF(L11+M11+O11&gt;0,IF($C11="Working","Charged","Worked weekend"),IF($C11="Working","Leave (not charged)",$C11)))))))</f>
        <v>Day off</v>
      </c>
      <c r="T11" s="341">
        <f>IF($A11="","",SUMIFS('Timesheet Raw'!$P$4:$P$8000,'Timesheet Raw'!$L$4:$L$8000,$A11,'Timesheet Raw'!$C$4:$C$8000,T$3,'Timesheet Raw'!$A$4:$A$8000,"1-Projects"))</f>
        <v>0</v>
      </c>
      <c r="U11" s="341">
        <f>IF($A11="","",SUMIFS('Timesheet Raw'!$P$4:$P$8000,'Timesheet Raw'!$L$4:$L$8000,$A11,'Timesheet Raw'!$C$4:$C$8000,T$3,'Timesheet Raw'!$A$4:$A$8000,"2-Proposals Chargeable")+SUMIFS('Timesheet Raw'!$P$4:$P$8000,'Timesheet Raw'!$L$4:$L$8000,$A11,'Timesheet Raw'!$C$4:$C$8000,T$3,'Timesheet Raw'!$A$4:$A$8000,"3-Proposals Regular"))</f>
        <v>0</v>
      </c>
      <c r="V11" s="341">
        <f>IF($A11="","",SUMIFS('Timesheet Raw'!$P$4:$P$8000,'Timesheet Raw'!$L$4:$L$8000,$A11,'Timesheet Raw'!$C$4:$C$8000,T$3,'Timesheet Raw'!$B$4:$B$8000,'Work Calendar'!$A$26)+SUMIFS('Timesheet Raw'!$P$4:$P$8000,'Timesheet Raw'!$L$4:$L$8000,$A11,'Timesheet Raw'!$C$4:$C$8000,T$3,'Timesheet Raw'!$B$4:$B$8000,'Work Calendar'!$A$27)+SUMIFS('Timesheet Raw'!$P$4:$P$8000,'Timesheet Raw'!$L$4:$L$8000,$A11,'Timesheet Raw'!$C$4:$C$8000,T$3,'Timesheet Raw'!$B$4:$B$8000,'Work Calendar'!$A$28)+SUMIFS('Timesheet Raw'!$P$4:$P$8000,'Timesheet Raw'!$L$4:$L$8000,$A11,'Timesheet Raw'!$C$4:$C$8000,T$3,'Timesheet Raw'!$B$4:$B$8000,'Work Calendar'!$A$29))</f>
        <v>8.5</v>
      </c>
      <c r="W11" s="341">
        <f t="shared" si="3"/>
        <v>0</v>
      </c>
      <c r="X11" s="395">
        <f>IF($A11="","",SUMIFS('Timesheet Raw'!$K$4:$K$8000,'Timesheet Raw'!$L$4:$L$8000,$A11,'Timesheet Raw'!$C$4:$C$8000,T$3))</f>
        <v>0</v>
      </c>
      <c r="Y11" s="345">
        <f>IF($A11="","",SUMIFS('Timesheet Raw'!$P$4:$P$8000,'Timesheet Raw'!$L$4:$L$8000,$A11,'Timesheet Raw'!$C$4:$C$8000,T$3))</f>
        <v>8.5</v>
      </c>
      <c r="Z11" s="375"/>
      <c r="AA11" t="str">
        <f>IF($A11="","",IF(Z11&lt;&gt;"",Z11,IF($A11&gt;'Work Calendar'!$B$17,"No data yet",IF(AND(V11&gt;='Work Calendar'!$B$14,T11+U11+W11&gt;0),"Day off - but worked",IF(V11&gt;='Work Calendar'!$B$14,"Day off",IF(T11+U11+W11&gt;0,IF($C11="Working","Charged","Worked weekend"),IF($C11="Working","Leave (not charged)",$C11)))))))</f>
        <v>Day off</v>
      </c>
    </row>
    <row r="12" spans="1:27" x14ac:dyDescent="0.3">
      <c r="A12" s="371">
        <f>IF($A11="","",IF($A11+1&gt;'Work Calendar'!$B$16,"",$A11+1))</f>
        <v>46030</v>
      </c>
      <c r="B12" t="str">
        <f t="shared" si="0"/>
        <v>Thu</v>
      </c>
      <c r="C12" t="str" cm="1">
        <f t="array" ref="C12">IF($A12="","",IF(COUNTIF('Work Calendar'!$E$6:$E$200,$A12)&gt;0,"Holiday",IF(INDEX('Work Calendar'!$C$6:$C$12,WEEKDAY($A12,1))=1,"Working","Weekend")))</f>
        <v>Working</v>
      </c>
      <c r="D12" s="341">
        <f>IF($A12="","",SUMIFS('Timesheet Raw'!$P$4:$P$8000,'Timesheet Raw'!$L$4:$L$8000,$A12,'Timesheet Raw'!$C$4:$C$8000,D$3,'Timesheet Raw'!$A$4:$A$8000,"1-Projects"))</f>
        <v>0</v>
      </c>
      <c r="E12" s="341">
        <f>IF($A12="","",SUMIFS('Timesheet Raw'!$P$4:$P$8000,'Timesheet Raw'!$L$4:$L$8000,$A12,'Timesheet Raw'!$C$4:$C$8000,D$3,'Timesheet Raw'!$A$4:$A$8000,"2-Proposals Chargeable")+SUMIFS('Timesheet Raw'!$P$4:$P$8000,'Timesheet Raw'!$L$4:$L$8000,$A12,'Timesheet Raw'!$C$4:$C$8000,D$3,'Timesheet Raw'!$A$4:$A$8000,"3-Proposals Regular"))</f>
        <v>0</v>
      </c>
      <c r="F12" s="341">
        <f>IF($A12="","",SUMIFS('Timesheet Raw'!$P$4:$P$8000,'Timesheet Raw'!$L$4:$L$8000,$A12,'Timesheet Raw'!$C$4:$C$8000,D$3,'Timesheet Raw'!$B$4:$B$8000,'Work Calendar'!$A$26)+SUMIFS('Timesheet Raw'!$P$4:$P$8000,'Timesheet Raw'!$L$4:$L$8000,$A12,'Timesheet Raw'!$C$4:$C$8000,D$3,'Timesheet Raw'!$B$4:$B$8000,'Work Calendar'!$A$27)+SUMIFS('Timesheet Raw'!$P$4:$P$8000,'Timesheet Raw'!$L$4:$L$8000,$A12,'Timesheet Raw'!$C$4:$C$8000,D$3,'Timesheet Raw'!$B$4:$B$8000,'Work Calendar'!$A$28)+SUMIFS('Timesheet Raw'!$P$4:$P$8000,'Timesheet Raw'!$L$4:$L$8000,$A12,'Timesheet Raw'!$C$4:$C$8000,D$3,'Timesheet Raw'!$B$4:$B$8000,'Work Calendar'!$A$29))</f>
        <v>8.5</v>
      </c>
      <c r="G12" s="341">
        <f t="shared" si="1"/>
        <v>0</v>
      </c>
      <c r="H12" s="395">
        <f>IF($A12="","",SUMIFS('Timesheet Raw'!$K$4:$K$8000,'Timesheet Raw'!$L$4:$L$8000,$A12,'Timesheet Raw'!$C$4:$C$8000,D$3))</f>
        <v>0</v>
      </c>
      <c r="I12" s="345">
        <f>IF($A12="","",SUMIFS('Timesheet Raw'!$P$4:$P$8000,'Timesheet Raw'!$L$4:$L$8000,$A12,'Timesheet Raw'!$C$4:$C$8000,D$3))</f>
        <v>8.5</v>
      </c>
      <c r="J12" s="375"/>
      <c r="K12" t="str">
        <f>IF($A12="","",IF(J12&lt;&gt;"",J12,IF($A12&gt;'Work Calendar'!$B$17,"No data yet",IF(AND(F12&gt;='Work Calendar'!$B$14,D12+E12+G12&gt;0),"Day off - but worked",IF(F12&gt;='Work Calendar'!$B$14,"Day off",IF(D12+E12+G12&gt;0,IF($C12="Working","Charged","Worked weekend"),IF($C12="Working","Leave (not charged)",$C12)))))))</f>
        <v>Day off</v>
      </c>
      <c r="L12" s="341">
        <f>IF($A12="","",SUMIFS('Timesheet Raw'!$P$4:$P$8000,'Timesheet Raw'!$L$4:$L$8000,$A12,'Timesheet Raw'!$C$4:$C$8000,L$3,'Timesheet Raw'!$A$4:$A$8000,"1-Projects"))</f>
        <v>0</v>
      </c>
      <c r="M12" s="341">
        <f>IF($A12="","",SUMIFS('Timesheet Raw'!$P$4:$P$8000,'Timesheet Raw'!$L$4:$L$8000,$A12,'Timesheet Raw'!$C$4:$C$8000,L$3,'Timesheet Raw'!$A$4:$A$8000,"2-Proposals Chargeable")+SUMIFS('Timesheet Raw'!$P$4:$P$8000,'Timesheet Raw'!$L$4:$L$8000,$A12,'Timesheet Raw'!$C$4:$C$8000,L$3,'Timesheet Raw'!$A$4:$A$8000,"3-Proposals Regular"))</f>
        <v>0</v>
      </c>
      <c r="N12" s="341">
        <f>IF($A12="","",SUMIFS('Timesheet Raw'!$P$4:$P$8000,'Timesheet Raw'!$L$4:$L$8000,$A12,'Timesheet Raw'!$C$4:$C$8000,L$3,'Timesheet Raw'!$B$4:$B$8000,'Work Calendar'!$A$26)+SUMIFS('Timesheet Raw'!$P$4:$P$8000,'Timesheet Raw'!$L$4:$L$8000,$A12,'Timesheet Raw'!$C$4:$C$8000,L$3,'Timesheet Raw'!$B$4:$B$8000,'Work Calendar'!$A$27)+SUMIFS('Timesheet Raw'!$P$4:$P$8000,'Timesheet Raw'!$L$4:$L$8000,$A12,'Timesheet Raw'!$C$4:$C$8000,L$3,'Timesheet Raw'!$B$4:$B$8000,'Work Calendar'!$A$28)+SUMIFS('Timesheet Raw'!$P$4:$P$8000,'Timesheet Raw'!$L$4:$L$8000,$A12,'Timesheet Raw'!$C$4:$C$8000,L$3,'Timesheet Raw'!$B$4:$B$8000,'Work Calendar'!$A$29))</f>
        <v>8.5</v>
      </c>
      <c r="O12" s="341">
        <f t="shared" si="2"/>
        <v>0</v>
      </c>
      <c r="P12" s="395">
        <f>IF($A12="","",SUMIFS('Timesheet Raw'!$K$4:$K$8000,'Timesheet Raw'!$L$4:$L$8000,$A12,'Timesheet Raw'!$C$4:$C$8000,L$3))</f>
        <v>0</v>
      </c>
      <c r="Q12" s="345">
        <f>IF($A12="","",SUMIFS('Timesheet Raw'!$P$4:$P$8000,'Timesheet Raw'!$L$4:$L$8000,$A12,'Timesheet Raw'!$C$4:$C$8000,L$3))</f>
        <v>8.5</v>
      </c>
      <c r="R12" s="375"/>
      <c r="S12" t="str">
        <f>IF($A12="","",IF(R12&lt;&gt;"",R12,IF($A12&gt;'Work Calendar'!$B$17,"No data yet",IF(AND(N12&gt;='Work Calendar'!$B$14,L12+M12+O12&gt;0),"Day off - but worked",IF(N12&gt;='Work Calendar'!$B$14,"Day off",IF(L12+M12+O12&gt;0,IF($C12="Working","Charged","Worked weekend"),IF($C12="Working","Leave (not charged)",$C12)))))))</f>
        <v>Day off</v>
      </c>
      <c r="T12" s="341">
        <f>IF($A12="","",SUMIFS('Timesheet Raw'!$P$4:$P$8000,'Timesheet Raw'!$L$4:$L$8000,$A12,'Timesheet Raw'!$C$4:$C$8000,T$3,'Timesheet Raw'!$A$4:$A$8000,"1-Projects"))</f>
        <v>0</v>
      </c>
      <c r="U12" s="341">
        <f>IF($A12="","",SUMIFS('Timesheet Raw'!$P$4:$P$8000,'Timesheet Raw'!$L$4:$L$8000,$A12,'Timesheet Raw'!$C$4:$C$8000,T$3,'Timesheet Raw'!$A$4:$A$8000,"2-Proposals Chargeable")+SUMIFS('Timesheet Raw'!$P$4:$P$8000,'Timesheet Raw'!$L$4:$L$8000,$A12,'Timesheet Raw'!$C$4:$C$8000,T$3,'Timesheet Raw'!$A$4:$A$8000,"3-Proposals Regular"))</f>
        <v>0</v>
      </c>
      <c r="V12" s="341">
        <f>IF($A12="","",SUMIFS('Timesheet Raw'!$P$4:$P$8000,'Timesheet Raw'!$L$4:$L$8000,$A12,'Timesheet Raw'!$C$4:$C$8000,T$3,'Timesheet Raw'!$B$4:$B$8000,'Work Calendar'!$A$26)+SUMIFS('Timesheet Raw'!$P$4:$P$8000,'Timesheet Raw'!$L$4:$L$8000,$A12,'Timesheet Raw'!$C$4:$C$8000,T$3,'Timesheet Raw'!$B$4:$B$8000,'Work Calendar'!$A$27)+SUMIFS('Timesheet Raw'!$P$4:$P$8000,'Timesheet Raw'!$L$4:$L$8000,$A12,'Timesheet Raw'!$C$4:$C$8000,T$3,'Timesheet Raw'!$B$4:$B$8000,'Work Calendar'!$A$28)+SUMIFS('Timesheet Raw'!$P$4:$P$8000,'Timesheet Raw'!$L$4:$L$8000,$A12,'Timesheet Raw'!$C$4:$C$8000,T$3,'Timesheet Raw'!$B$4:$B$8000,'Work Calendar'!$A$29))</f>
        <v>8.5</v>
      </c>
      <c r="W12" s="341">
        <f t="shared" si="3"/>
        <v>0</v>
      </c>
      <c r="X12" s="395">
        <f>IF($A12="","",SUMIFS('Timesheet Raw'!$K$4:$K$8000,'Timesheet Raw'!$L$4:$L$8000,$A12,'Timesheet Raw'!$C$4:$C$8000,T$3))</f>
        <v>0</v>
      </c>
      <c r="Y12" s="345">
        <f>IF($A12="","",SUMIFS('Timesheet Raw'!$P$4:$P$8000,'Timesheet Raw'!$L$4:$L$8000,$A12,'Timesheet Raw'!$C$4:$C$8000,T$3))</f>
        <v>8.5</v>
      </c>
      <c r="Z12" s="375"/>
      <c r="AA12" t="str">
        <f>IF($A12="","",IF(Z12&lt;&gt;"",Z12,IF($A12&gt;'Work Calendar'!$B$17,"No data yet",IF(AND(V12&gt;='Work Calendar'!$B$14,T12+U12+W12&gt;0),"Day off - but worked",IF(V12&gt;='Work Calendar'!$B$14,"Day off",IF(T12+U12+W12&gt;0,IF($C12="Working","Charged","Worked weekend"),IF($C12="Working","Leave (not charged)",$C12)))))))</f>
        <v>Day off</v>
      </c>
    </row>
    <row r="13" spans="1:27" x14ac:dyDescent="0.3">
      <c r="A13" s="371">
        <f>IF($A12="","",IF($A12+1&gt;'Work Calendar'!$B$16,"",$A12+1))</f>
        <v>46031</v>
      </c>
      <c r="B13" t="str">
        <f t="shared" si="0"/>
        <v>Fri</v>
      </c>
      <c r="C13" t="str" cm="1">
        <f t="array" ref="C13">IF($A13="","",IF(COUNTIF('Work Calendar'!$E$6:$E$200,$A13)&gt;0,"Holiday",IF(INDEX('Work Calendar'!$C$6:$C$12,WEEKDAY($A13,1))=1,"Working","Weekend")))</f>
        <v>Weekend</v>
      </c>
      <c r="D13" s="341">
        <f>IF($A13="","",SUMIFS('Timesheet Raw'!$P$4:$P$8000,'Timesheet Raw'!$L$4:$L$8000,$A13,'Timesheet Raw'!$C$4:$C$8000,D$3,'Timesheet Raw'!$A$4:$A$8000,"1-Projects"))</f>
        <v>0</v>
      </c>
      <c r="E13" s="341">
        <f>IF($A13="","",SUMIFS('Timesheet Raw'!$P$4:$P$8000,'Timesheet Raw'!$L$4:$L$8000,$A13,'Timesheet Raw'!$C$4:$C$8000,D$3,'Timesheet Raw'!$A$4:$A$8000,"2-Proposals Chargeable")+SUMIFS('Timesheet Raw'!$P$4:$P$8000,'Timesheet Raw'!$L$4:$L$8000,$A13,'Timesheet Raw'!$C$4:$C$8000,D$3,'Timesheet Raw'!$A$4:$A$8000,"3-Proposals Regular"))</f>
        <v>0</v>
      </c>
      <c r="F13" s="341">
        <f>IF($A13="","",SUMIFS('Timesheet Raw'!$P$4:$P$8000,'Timesheet Raw'!$L$4:$L$8000,$A13,'Timesheet Raw'!$C$4:$C$8000,D$3,'Timesheet Raw'!$B$4:$B$8000,'Work Calendar'!$A$26)+SUMIFS('Timesheet Raw'!$P$4:$P$8000,'Timesheet Raw'!$L$4:$L$8000,$A13,'Timesheet Raw'!$C$4:$C$8000,D$3,'Timesheet Raw'!$B$4:$B$8000,'Work Calendar'!$A$27)+SUMIFS('Timesheet Raw'!$P$4:$P$8000,'Timesheet Raw'!$L$4:$L$8000,$A13,'Timesheet Raw'!$C$4:$C$8000,D$3,'Timesheet Raw'!$B$4:$B$8000,'Work Calendar'!$A$28)+SUMIFS('Timesheet Raw'!$P$4:$P$8000,'Timesheet Raw'!$L$4:$L$8000,$A13,'Timesheet Raw'!$C$4:$C$8000,D$3,'Timesheet Raw'!$B$4:$B$8000,'Work Calendar'!$A$29))</f>
        <v>0</v>
      </c>
      <c r="G13" s="341">
        <f t="shared" si="1"/>
        <v>0</v>
      </c>
      <c r="H13" s="395">
        <f>IF($A13="","",SUMIFS('Timesheet Raw'!$K$4:$K$8000,'Timesheet Raw'!$L$4:$L$8000,$A13,'Timesheet Raw'!$C$4:$C$8000,D$3))</f>
        <v>0</v>
      </c>
      <c r="I13" s="345">
        <f>IF($A13="","",SUMIFS('Timesheet Raw'!$P$4:$P$8000,'Timesheet Raw'!$L$4:$L$8000,$A13,'Timesheet Raw'!$C$4:$C$8000,D$3))</f>
        <v>0</v>
      </c>
      <c r="J13" s="375"/>
      <c r="K13" t="str">
        <f>IF($A13="","",IF(J13&lt;&gt;"",J13,IF($A13&gt;'Work Calendar'!$B$17,"No data yet",IF(AND(F13&gt;='Work Calendar'!$B$14,D13+E13+G13&gt;0),"Day off - but worked",IF(F13&gt;='Work Calendar'!$B$14,"Day off",IF(D13+E13+G13&gt;0,IF($C13="Working","Charged","Worked weekend"),IF($C13="Working","Leave (not charged)",$C13)))))))</f>
        <v>Weekend</v>
      </c>
      <c r="L13" s="341">
        <f>IF($A13="","",SUMIFS('Timesheet Raw'!$P$4:$P$8000,'Timesheet Raw'!$L$4:$L$8000,$A13,'Timesheet Raw'!$C$4:$C$8000,L$3,'Timesheet Raw'!$A$4:$A$8000,"1-Projects"))</f>
        <v>0</v>
      </c>
      <c r="M13" s="341">
        <f>IF($A13="","",SUMIFS('Timesheet Raw'!$P$4:$P$8000,'Timesheet Raw'!$L$4:$L$8000,$A13,'Timesheet Raw'!$C$4:$C$8000,L$3,'Timesheet Raw'!$A$4:$A$8000,"2-Proposals Chargeable")+SUMIFS('Timesheet Raw'!$P$4:$P$8000,'Timesheet Raw'!$L$4:$L$8000,$A13,'Timesheet Raw'!$C$4:$C$8000,L$3,'Timesheet Raw'!$A$4:$A$8000,"3-Proposals Regular"))</f>
        <v>0</v>
      </c>
      <c r="N13" s="341">
        <f>IF($A13="","",SUMIFS('Timesheet Raw'!$P$4:$P$8000,'Timesheet Raw'!$L$4:$L$8000,$A13,'Timesheet Raw'!$C$4:$C$8000,L$3,'Timesheet Raw'!$B$4:$B$8000,'Work Calendar'!$A$26)+SUMIFS('Timesheet Raw'!$P$4:$P$8000,'Timesheet Raw'!$L$4:$L$8000,$A13,'Timesheet Raw'!$C$4:$C$8000,L$3,'Timesheet Raw'!$B$4:$B$8000,'Work Calendar'!$A$27)+SUMIFS('Timesheet Raw'!$P$4:$P$8000,'Timesheet Raw'!$L$4:$L$8000,$A13,'Timesheet Raw'!$C$4:$C$8000,L$3,'Timesheet Raw'!$B$4:$B$8000,'Work Calendar'!$A$28)+SUMIFS('Timesheet Raw'!$P$4:$P$8000,'Timesheet Raw'!$L$4:$L$8000,$A13,'Timesheet Raw'!$C$4:$C$8000,L$3,'Timesheet Raw'!$B$4:$B$8000,'Work Calendar'!$A$29))</f>
        <v>0</v>
      </c>
      <c r="O13" s="341">
        <f t="shared" si="2"/>
        <v>0</v>
      </c>
      <c r="P13" s="395">
        <f>IF($A13="","",SUMIFS('Timesheet Raw'!$K$4:$K$8000,'Timesheet Raw'!$L$4:$L$8000,$A13,'Timesheet Raw'!$C$4:$C$8000,L$3))</f>
        <v>0</v>
      </c>
      <c r="Q13" s="345">
        <f>IF($A13="","",SUMIFS('Timesheet Raw'!$P$4:$P$8000,'Timesheet Raw'!$L$4:$L$8000,$A13,'Timesheet Raw'!$C$4:$C$8000,L$3))</f>
        <v>0</v>
      </c>
      <c r="R13" s="375"/>
      <c r="S13" t="str">
        <f>IF($A13="","",IF(R13&lt;&gt;"",R13,IF($A13&gt;'Work Calendar'!$B$17,"No data yet",IF(AND(N13&gt;='Work Calendar'!$B$14,L13+M13+O13&gt;0),"Day off - but worked",IF(N13&gt;='Work Calendar'!$B$14,"Day off",IF(L13+M13+O13&gt;0,IF($C13="Working","Charged","Worked weekend"),IF($C13="Working","Leave (not charged)",$C13)))))))</f>
        <v>Weekend</v>
      </c>
      <c r="T13" s="341">
        <f>IF($A13="","",SUMIFS('Timesheet Raw'!$P$4:$P$8000,'Timesheet Raw'!$L$4:$L$8000,$A13,'Timesheet Raw'!$C$4:$C$8000,T$3,'Timesheet Raw'!$A$4:$A$8000,"1-Projects"))</f>
        <v>0</v>
      </c>
      <c r="U13" s="341">
        <f>IF($A13="","",SUMIFS('Timesheet Raw'!$P$4:$P$8000,'Timesheet Raw'!$L$4:$L$8000,$A13,'Timesheet Raw'!$C$4:$C$8000,T$3,'Timesheet Raw'!$A$4:$A$8000,"2-Proposals Chargeable")+SUMIFS('Timesheet Raw'!$P$4:$P$8000,'Timesheet Raw'!$L$4:$L$8000,$A13,'Timesheet Raw'!$C$4:$C$8000,T$3,'Timesheet Raw'!$A$4:$A$8000,"3-Proposals Regular"))</f>
        <v>0</v>
      </c>
      <c r="V13" s="341">
        <f>IF($A13="","",SUMIFS('Timesheet Raw'!$P$4:$P$8000,'Timesheet Raw'!$L$4:$L$8000,$A13,'Timesheet Raw'!$C$4:$C$8000,T$3,'Timesheet Raw'!$B$4:$B$8000,'Work Calendar'!$A$26)+SUMIFS('Timesheet Raw'!$P$4:$P$8000,'Timesheet Raw'!$L$4:$L$8000,$A13,'Timesheet Raw'!$C$4:$C$8000,T$3,'Timesheet Raw'!$B$4:$B$8000,'Work Calendar'!$A$27)+SUMIFS('Timesheet Raw'!$P$4:$P$8000,'Timesheet Raw'!$L$4:$L$8000,$A13,'Timesheet Raw'!$C$4:$C$8000,T$3,'Timesheet Raw'!$B$4:$B$8000,'Work Calendar'!$A$28)+SUMIFS('Timesheet Raw'!$P$4:$P$8000,'Timesheet Raw'!$L$4:$L$8000,$A13,'Timesheet Raw'!$C$4:$C$8000,T$3,'Timesheet Raw'!$B$4:$B$8000,'Work Calendar'!$A$29))</f>
        <v>0</v>
      </c>
      <c r="W13" s="341">
        <f t="shared" si="3"/>
        <v>0</v>
      </c>
      <c r="X13" s="395">
        <f>IF($A13="","",SUMIFS('Timesheet Raw'!$K$4:$K$8000,'Timesheet Raw'!$L$4:$L$8000,$A13,'Timesheet Raw'!$C$4:$C$8000,T$3))</f>
        <v>0</v>
      </c>
      <c r="Y13" s="345">
        <f>IF($A13="","",SUMIFS('Timesheet Raw'!$P$4:$P$8000,'Timesheet Raw'!$L$4:$L$8000,$A13,'Timesheet Raw'!$C$4:$C$8000,T$3))</f>
        <v>0</v>
      </c>
      <c r="Z13" s="375"/>
      <c r="AA13" t="str">
        <f>IF($A13="","",IF(Z13&lt;&gt;"",Z13,IF($A13&gt;'Work Calendar'!$B$17,"No data yet",IF(AND(V13&gt;='Work Calendar'!$B$14,T13+U13+W13&gt;0),"Day off - but worked",IF(V13&gt;='Work Calendar'!$B$14,"Day off",IF(T13+U13+W13&gt;0,IF($C13="Working","Charged","Worked weekend"),IF($C13="Working","Leave (not charged)",$C13)))))))</f>
        <v>Weekend</v>
      </c>
    </row>
    <row r="14" spans="1:27" x14ac:dyDescent="0.3">
      <c r="A14" s="371">
        <f>IF($A13="","",IF($A13+1&gt;'Work Calendar'!$B$16,"",$A13+1))</f>
        <v>46032</v>
      </c>
      <c r="B14" t="str">
        <f t="shared" si="0"/>
        <v>Sat</v>
      </c>
      <c r="C14" t="str" cm="1">
        <f t="array" ref="C14">IF($A14="","",IF(COUNTIF('Work Calendar'!$E$6:$E$200,$A14)&gt;0,"Holiday",IF(INDEX('Work Calendar'!$C$6:$C$12,WEEKDAY($A14,1))=1,"Working","Weekend")))</f>
        <v>Weekend</v>
      </c>
      <c r="D14" s="341">
        <f>IF($A14="","",SUMIFS('Timesheet Raw'!$P$4:$P$8000,'Timesheet Raw'!$L$4:$L$8000,$A14,'Timesheet Raw'!$C$4:$C$8000,D$3,'Timesheet Raw'!$A$4:$A$8000,"1-Projects"))</f>
        <v>0</v>
      </c>
      <c r="E14" s="341">
        <f>IF($A14="","",SUMIFS('Timesheet Raw'!$P$4:$P$8000,'Timesheet Raw'!$L$4:$L$8000,$A14,'Timesheet Raw'!$C$4:$C$8000,D$3,'Timesheet Raw'!$A$4:$A$8000,"2-Proposals Chargeable")+SUMIFS('Timesheet Raw'!$P$4:$P$8000,'Timesheet Raw'!$L$4:$L$8000,$A14,'Timesheet Raw'!$C$4:$C$8000,D$3,'Timesheet Raw'!$A$4:$A$8000,"3-Proposals Regular"))</f>
        <v>0</v>
      </c>
      <c r="F14" s="341">
        <f>IF($A14="","",SUMIFS('Timesheet Raw'!$P$4:$P$8000,'Timesheet Raw'!$L$4:$L$8000,$A14,'Timesheet Raw'!$C$4:$C$8000,D$3,'Timesheet Raw'!$B$4:$B$8000,'Work Calendar'!$A$26)+SUMIFS('Timesheet Raw'!$P$4:$P$8000,'Timesheet Raw'!$L$4:$L$8000,$A14,'Timesheet Raw'!$C$4:$C$8000,D$3,'Timesheet Raw'!$B$4:$B$8000,'Work Calendar'!$A$27)+SUMIFS('Timesheet Raw'!$P$4:$P$8000,'Timesheet Raw'!$L$4:$L$8000,$A14,'Timesheet Raw'!$C$4:$C$8000,D$3,'Timesheet Raw'!$B$4:$B$8000,'Work Calendar'!$A$28)+SUMIFS('Timesheet Raw'!$P$4:$P$8000,'Timesheet Raw'!$L$4:$L$8000,$A14,'Timesheet Raw'!$C$4:$C$8000,D$3,'Timesheet Raw'!$B$4:$B$8000,'Work Calendar'!$A$29))</f>
        <v>0</v>
      </c>
      <c r="G14" s="341">
        <f t="shared" si="1"/>
        <v>0</v>
      </c>
      <c r="H14" s="395">
        <f>IF($A14="","",SUMIFS('Timesheet Raw'!$K$4:$K$8000,'Timesheet Raw'!$L$4:$L$8000,$A14,'Timesheet Raw'!$C$4:$C$8000,D$3))</f>
        <v>0</v>
      </c>
      <c r="I14" s="345">
        <f>IF($A14="","",SUMIFS('Timesheet Raw'!$P$4:$P$8000,'Timesheet Raw'!$L$4:$L$8000,$A14,'Timesheet Raw'!$C$4:$C$8000,D$3))</f>
        <v>0</v>
      </c>
      <c r="J14" s="375"/>
      <c r="K14" t="str">
        <f>IF($A14="","",IF(J14&lt;&gt;"",J14,IF($A14&gt;'Work Calendar'!$B$17,"No data yet",IF(AND(F14&gt;='Work Calendar'!$B$14,D14+E14+G14&gt;0),"Day off - but worked",IF(F14&gt;='Work Calendar'!$B$14,"Day off",IF(D14+E14+G14&gt;0,IF($C14="Working","Charged","Worked weekend"),IF($C14="Working","Leave (not charged)",$C14)))))))</f>
        <v>Weekend</v>
      </c>
      <c r="L14" s="341">
        <f>IF($A14="","",SUMIFS('Timesheet Raw'!$P$4:$P$8000,'Timesheet Raw'!$L$4:$L$8000,$A14,'Timesheet Raw'!$C$4:$C$8000,L$3,'Timesheet Raw'!$A$4:$A$8000,"1-Projects"))</f>
        <v>0</v>
      </c>
      <c r="M14" s="341">
        <f>IF($A14="","",SUMIFS('Timesheet Raw'!$P$4:$P$8000,'Timesheet Raw'!$L$4:$L$8000,$A14,'Timesheet Raw'!$C$4:$C$8000,L$3,'Timesheet Raw'!$A$4:$A$8000,"2-Proposals Chargeable")+SUMIFS('Timesheet Raw'!$P$4:$P$8000,'Timesheet Raw'!$L$4:$L$8000,$A14,'Timesheet Raw'!$C$4:$C$8000,L$3,'Timesheet Raw'!$A$4:$A$8000,"3-Proposals Regular"))</f>
        <v>0</v>
      </c>
      <c r="N14" s="341">
        <f>IF($A14="","",SUMIFS('Timesheet Raw'!$P$4:$P$8000,'Timesheet Raw'!$L$4:$L$8000,$A14,'Timesheet Raw'!$C$4:$C$8000,L$3,'Timesheet Raw'!$B$4:$B$8000,'Work Calendar'!$A$26)+SUMIFS('Timesheet Raw'!$P$4:$P$8000,'Timesheet Raw'!$L$4:$L$8000,$A14,'Timesheet Raw'!$C$4:$C$8000,L$3,'Timesheet Raw'!$B$4:$B$8000,'Work Calendar'!$A$27)+SUMIFS('Timesheet Raw'!$P$4:$P$8000,'Timesheet Raw'!$L$4:$L$8000,$A14,'Timesheet Raw'!$C$4:$C$8000,L$3,'Timesheet Raw'!$B$4:$B$8000,'Work Calendar'!$A$28)+SUMIFS('Timesheet Raw'!$P$4:$P$8000,'Timesheet Raw'!$L$4:$L$8000,$A14,'Timesheet Raw'!$C$4:$C$8000,L$3,'Timesheet Raw'!$B$4:$B$8000,'Work Calendar'!$A$29))</f>
        <v>0</v>
      </c>
      <c r="O14" s="341">
        <f t="shared" si="2"/>
        <v>0</v>
      </c>
      <c r="P14" s="395">
        <f>IF($A14="","",SUMIFS('Timesheet Raw'!$K$4:$K$8000,'Timesheet Raw'!$L$4:$L$8000,$A14,'Timesheet Raw'!$C$4:$C$8000,L$3))</f>
        <v>0</v>
      </c>
      <c r="Q14" s="345">
        <f>IF($A14="","",SUMIFS('Timesheet Raw'!$P$4:$P$8000,'Timesheet Raw'!$L$4:$L$8000,$A14,'Timesheet Raw'!$C$4:$C$8000,L$3))</f>
        <v>0</v>
      </c>
      <c r="R14" s="375"/>
      <c r="S14" t="str">
        <f>IF($A14="","",IF(R14&lt;&gt;"",R14,IF($A14&gt;'Work Calendar'!$B$17,"No data yet",IF(AND(N14&gt;='Work Calendar'!$B$14,L14+M14+O14&gt;0),"Day off - but worked",IF(N14&gt;='Work Calendar'!$B$14,"Day off",IF(L14+M14+O14&gt;0,IF($C14="Working","Charged","Worked weekend"),IF($C14="Working","Leave (not charged)",$C14)))))))</f>
        <v>Weekend</v>
      </c>
      <c r="T14" s="341">
        <f>IF($A14="","",SUMIFS('Timesheet Raw'!$P$4:$P$8000,'Timesheet Raw'!$L$4:$L$8000,$A14,'Timesheet Raw'!$C$4:$C$8000,T$3,'Timesheet Raw'!$A$4:$A$8000,"1-Projects"))</f>
        <v>0</v>
      </c>
      <c r="U14" s="341">
        <f>IF($A14="","",SUMIFS('Timesheet Raw'!$P$4:$P$8000,'Timesheet Raw'!$L$4:$L$8000,$A14,'Timesheet Raw'!$C$4:$C$8000,T$3,'Timesheet Raw'!$A$4:$A$8000,"2-Proposals Chargeable")+SUMIFS('Timesheet Raw'!$P$4:$P$8000,'Timesheet Raw'!$L$4:$L$8000,$A14,'Timesheet Raw'!$C$4:$C$8000,T$3,'Timesheet Raw'!$A$4:$A$8000,"3-Proposals Regular"))</f>
        <v>0</v>
      </c>
      <c r="V14" s="341">
        <f>IF($A14="","",SUMIFS('Timesheet Raw'!$P$4:$P$8000,'Timesheet Raw'!$L$4:$L$8000,$A14,'Timesheet Raw'!$C$4:$C$8000,T$3,'Timesheet Raw'!$B$4:$B$8000,'Work Calendar'!$A$26)+SUMIFS('Timesheet Raw'!$P$4:$P$8000,'Timesheet Raw'!$L$4:$L$8000,$A14,'Timesheet Raw'!$C$4:$C$8000,T$3,'Timesheet Raw'!$B$4:$B$8000,'Work Calendar'!$A$27)+SUMIFS('Timesheet Raw'!$P$4:$P$8000,'Timesheet Raw'!$L$4:$L$8000,$A14,'Timesheet Raw'!$C$4:$C$8000,T$3,'Timesheet Raw'!$B$4:$B$8000,'Work Calendar'!$A$28)+SUMIFS('Timesheet Raw'!$P$4:$P$8000,'Timesheet Raw'!$L$4:$L$8000,$A14,'Timesheet Raw'!$C$4:$C$8000,T$3,'Timesheet Raw'!$B$4:$B$8000,'Work Calendar'!$A$29))</f>
        <v>0</v>
      </c>
      <c r="W14" s="341">
        <f t="shared" si="3"/>
        <v>0</v>
      </c>
      <c r="X14" s="395">
        <f>IF($A14="","",SUMIFS('Timesheet Raw'!$K$4:$K$8000,'Timesheet Raw'!$L$4:$L$8000,$A14,'Timesheet Raw'!$C$4:$C$8000,T$3))</f>
        <v>0</v>
      </c>
      <c r="Y14" s="345">
        <f>IF($A14="","",SUMIFS('Timesheet Raw'!$P$4:$P$8000,'Timesheet Raw'!$L$4:$L$8000,$A14,'Timesheet Raw'!$C$4:$C$8000,T$3))</f>
        <v>0</v>
      </c>
      <c r="Z14" s="375"/>
      <c r="AA14" t="str">
        <f>IF($A14="","",IF(Z14&lt;&gt;"",Z14,IF($A14&gt;'Work Calendar'!$B$17,"No data yet",IF(AND(V14&gt;='Work Calendar'!$B$14,T14+U14+W14&gt;0),"Day off - but worked",IF(V14&gt;='Work Calendar'!$B$14,"Day off",IF(T14+U14+W14&gt;0,IF($C14="Working","Charged","Worked weekend"),IF($C14="Working","Leave (not charged)",$C14)))))))</f>
        <v>Weekend</v>
      </c>
    </row>
    <row r="15" spans="1:27" x14ac:dyDescent="0.3">
      <c r="A15" s="371">
        <f>IF($A14="","",IF($A14+1&gt;'Work Calendar'!$B$16,"",$A14+1))</f>
        <v>46033</v>
      </c>
      <c r="B15" t="str">
        <f t="shared" si="0"/>
        <v>Sun</v>
      </c>
      <c r="C15" t="str" cm="1">
        <f t="array" ref="C15">IF($A15="","",IF(COUNTIF('Work Calendar'!$E$6:$E$200,$A15)&gt;0,"Holiday",IF(INDEX('Work Calendar'!$C$6:$C$12,WEEKDAY($A15,1))=1,"Working","Weekend")))</f>
        <v>Working</v>
      </c>
      <c r="D15" s="341">
        <f>IF($A15="","",SUMIFS('Timesheet Raw'!$P$4:$P$8000,'Timesheet Raw'!$L$4:$L$8000,$A15,'Timesheet Raw'!$C$4:$C$8000,D$3,'Timesheet Raw'!$A$4:$A$8000,"1-Projects"))</f>
        <v>7</v>
      </c>
      <c r="E15" s="341">
        <f>IF($A15="","",SUMIFS('Timesheet Raw'!$P$4:$P$8000,'Timesheet Raw'!$L$4:$L$8000,$A15,'Timesheet Raw'!$C$4:$C$8000,D$3,'Timesheet Raw'!$A$4:$A$8000,"2-Proposals Chargeable")+SUMIFS('Timesheet Raw'!$P$4:$P$8000,'Timesheet Raw'!$L$4:$L$8000,$A15,'Timesheet Raw'!$C$4:$C$8000,D$3,'Timesheet Raw'!$A$4:$A$8000,"3-Proposals Regular"))</f>
        <v>0</v>
      </c>
      <c r="F15" s="341">
        <f>IF($A15="","",SUMIFS('Timesheet Raw'!$P$4:$P$8000,'Timesheet Raw'!$L$4:$L$8000,$A15,'Timesheet Raw'!$C$4:$C$8000,D$3,'Timesheet Raw'!$B$4:$B$8000,'Work Calendar'!$A$26)+SUMIFS('Timesheet Raw'!$P$4:$P$8000,'Timesheet Raw'!$L$4:$L$8000,$A15,'Timesheet Raw'!$C$4:$C$8000,D$3,'Timesheet Raw'!$B$4:$B$8000,'Work Calendar'!$A$27)+SUMIFS('Timesheet Raw'!$P$4:$P$8000,'Timesheet Raw'!$L$4:$L$8000,$A15,'Timesheet Raw'!$C$4:$C$8000,D$3,'Timesheet Raw'!$B$4:$B$8000,'Work Calendar'!$A$28)+SUMIFS('Timesheet Raw'!$P$4:$P$8000,'Timesheet Raw'!$L$4:$L$8000,$A15,'Timesheet Raw'!$C$4:$C$8000,D$3,'Timesheet Raw'!$B$4:$B$8000,'Work Calendar'!$A$29))</f>
        <v>1.5</v>
      </c>
      <c r="G15" s="341">
        <f t="shared" si="1"/>
        <v>0</v>
      </c>
      <c r="H15" s="395">
        <f>IF($A15="","",SUMIFS('Timesheet Raw'!$K$4:$K$8000,'Timesheet Raw'!$L$4:$L$8000,$A15,'Timesheet Raw'!$C$4:$C$8000,D$3))</f>
        <v>0</v>
      </c>
      <c r="I15" s="345">
        <f>IF($A15="","",SUMIFS('Timesheet Raw'!$P$4:$P$8000,'Timesheet Raw'!$L$4:$L$8000,$A15,'Timesheet Raw'!$C$4:$C$8000,D$3))</f>
        <v>8.5</v>
      </c>
      <c r="J15" s="375"/>
      <c r="K15" t="str">
        <f>IF($A15="","",IF(J15&lt;&gt;"",J15,IF($A15&gt;'Work Calendar'!$B$17,"No data yet",IF(AND(F15&gt;='Work Calendar'!$B$14,D15+E15+G15&gt;0),"Day off - but worked",IF(F15&gt;='Work Calendar'!$B$14,"Day off",IF(D15+E15+G15&gt;0,IF($C15="Working","Charged","Worked weekend"),IF($C15="Working","Leave (not charged)",$C15)))))))</f>
        <v>Charged</v>
      </c>
      <c r="L15" s="341">
        <f>IF($A15="","",SUMIFS('Timesheet Raw'!$P$4:$P$8000,'Timesheet Raw'!$L$4:$L$8000,$A15,'Timesheet Raw'!$C$4:$C$8000,L$3,'Timesheet Raw'!$A$4:$A$8000,"1-Projects"))</f>
        <v>8.5</v>
      </c>
      <c r="M15" s="341">
        <f>IF($A15="","",SUMIFS('Timesheet Raw'!$P$4:$P$8000,'Timesheet Raw'!$L$4:$L$8000,$A15,'Timesheet Raw'!$C$4:$C$8000,L$3,'Timesheet Raw'!$A$4:$A$8000,"2-Proposals Chargeable")+SUMIFS('Timesheet Raw'!$P$4:$P$8000,'Timesheet Raw'!$L$4:$L$8000,$A15,'Timesheet Raw'!$C$4:$C$8000,L$3,'Timesheet Raw'!$A$4:$A$8000,"3-Proposals Regular"))</f>
        <v>0</v>
      </c>
      <c r="N15" s="341">
        <f>IF($A15="","",SUMIFS('Timesheet Raw'!$P$4:$P$8000,'Timesheet Raw'!$L$4:$L$8000,$A15,'Timesheet Raw'!$C$4:$C$8000,L$3,'Timesheet Raw'!$B$4:$B$8000,'Work Calendar'!$A$26)+SUMIFS('Timesheet Raw'!$P$4:$P$8000,'Timesheet Raw'!$L$4:$L$8000,$A15,'Timesheet Raw'!$C$4:$C$8000,L$3,'Timesheet Raw'!$B$4:$B$8000,'Work Calendar'!$A$27)+SUMIFS('Timesheet Raw'!$P$4:$P$8000,'Timesheet Raw'!$L$4:$L$8000,$A15,'Timesheet Raw'!$C$4:$C$8000,L$3,'Timesheet Raw'!$B$4:$B$8000,'Work Calendar'!$A$28)+SUMIFS('Timesheet Raw'!$P$4:$P$8000,'Timesheet Raw'!$L$4:$L$8000,$A15,'Timesheet Raw'!$C$4:$C$8000,L$3,'Timesheet Raw'!$B$4:$B$8000,'Work Calendar'!$A$29))</f>
        <v>0.25</v>
      </c>
      <c r="O15" s="341">
        <f t="shared" si="2"/>
        <v>0</v>
      </c>
      <c r="P15" s="395">
        <f>IF($A15="","",SUMIFS('Timesheet Raw'!$K$4:$K$8000,'Timesheet Raw'!$L$4:$L$8000,$A15,'Timesheet Raw'!$C$4:$C$8000,L$3))</f>
        <v>0.25</v>
      </c>
      <c r="Q15" s="345">
        <f>IF($A15="","",SUMIFS('Timesheet Raw'!$P$4:$P$8000,'Timesheet Raw'!$L$4:$L$8000,$A15,'Timesheet Raw'!$C$4:$C$8000,L$3))</f>
        <v>8.75</v>
      </c>
      <c r="R15" s="375"/>
      <c r="S15" t="str">
        <f>IF($A15="","",IF(R15&lt;&gt;"",R15,IF($A15&gt;'Work Calendar'!$B$17,"No data yet",IF(AND(N15&gt;='Work Calendar'!$B$14,L15+M15+O15&gt;0),"Day off - but worked",IF(N15&gt;='Work Calendar'!$B$14,"Day off",IF(L15+M15+O15&gt;0,IF($C15="Working","Charged","Worked weekend"),IF($C15="Working","Leave (not charged)",$C15)))))))</f>
        <v>Charged</v>
      </c>
      <c r="T15" s="341">
        <f>IF($A15="","",SUMIFS('Timesheet Raw'!$P$4:$P$8000,'Timesheet Raw'!$L$4:$L$8000,$A15,'Timesheet Raw'!$C$4:$C$8000,T$3,'Timesheet Raw'!$A$4:$A$8000,"1-Projects"))</f>
        <v>8</v>
      </c>
      <c r="U15" s="341">
        <f>IF($A15="","",SUMIFS('Timesheet Raw'!$P$4:$P$8000,'Timesheet Raw'!$L$4:$L$8000,$A15,'Timesheet Raw'!$C$4:$C$8000,T$3,'Timesheet Raw'!$A$4:$A$8000,"2-Proposals Chargeable")+SUMIFS('Timesheet Raw'!$P$4:$P$8000,'Timesheet Raw'!$L$4:$L$8000,$A15,'Timesheet Raw'!$C$4:$C$8000,T$3,'Timesheet Raw'!$A$4:$A$8000,"3-Proposals Regular"))</f>
        <v>0</v>
      </c>
      <c r="V15" s="341">
        <f>IF($A15="","",SUMIFS('Timesheet Raw'!$P$4:$P$8000,'Timesheet Raw'!$L$4:$L$8000,$A15,'Timesheet Raw'!$C$4:$C$8000,T$3,'Timesheet Raw'!$B$4:$B$8000,'Work Calendar'!$A$26)+SUMIFS('Timesheet Raw'!$P$4:$P$8000,'Timesheet Raw'!$L$4:$L$8000,$A15,'Timesheet Raw'!$C$4:$C$8000,T$3,'Timesheet Raw'!$B$4:$B$8000,'Work Calendar'!$A$27)+SUMIFS('Timesheet Raw'!$P$4:$P$8000,'Timesheet Raw'!$L$4:$L$8000,$A15,'Timesheet Raw'!$C$4:$C$8000,T$3,'Timesheet Raw'!$B$4:$B$8000,'Work Calendar'!$A$28)+SUMIFS('Timesheet Raw'!$P$4:$P$8000,'Timesheet Raw'!$L$4:$L$8000,$A15,'Timesheet Raw'!$C$4:$C$8000,T$3,'Timesheet Raw'!$B$4:$B$8000,'Work Calendar'!$A$29))</f>
        <v>0.5</v>
      </c>
      <c r="W15" s="341">
        <f t="shared" si="3"/>
        <v>0</v>
      </c>
      <c r="X15" s="395">
        <f>IF($A15="","",SUMIFS('Timesheet Raw'!$K$4:$K$8000,'Timesheet Raw'!$L$4:$L$8000,$A15,'Timesheet Raw'!$C$4:$C$8000,T$3))</f>
        <v>0</v>
      </c>
      <c r="Y15" s="345">
        <f>IF($A15="","",SUMIFS('Timesheet Raw'!$P$4:$P$8000,'Timesheet Raw'!$L$4:$L$8000,$A15,'Timesheet Raw'!$C$4:$C$8000,T$3))</f>
        <v>8.5</v>
      </c>
      <c r="Z15" s="375"/>
      <c r="AA15" t="str">
        <f>IF($A15="","",IF(Z15&lt;&gt;"",Z15,IF($A15&gt;'Work Calendar'!$B$17,"No data yet",IF(AND(V15&gt;='Work Calendar'!$B$14,T15+U15+W15&gt;0),"Day off - but worked",IF(V15&gt;='Work Calendar'!$B$14,"Day off",IF(T15+U15+W15&gt;0,IF($C15="Working","Charged","Worked weekend"),IF($C15="Working","Leave (not charged)",$C15)))))))</f>
        <v>Charged</v>
      </c>
    </row>
    <row r="16" spans="1:27" x14ac:dyDescent="0.3">
      <c r="A16" s="371">
        <f>IF($A15="","",IF($A15+1&gt;'Work Calendar'!$B$16,"",$A15+1))</f>
        <v>46034</v>
      </c>
      <c r="B16" t="str">
        <f t="shared" si="0"/>
        <v>Mon</v>
      </c>
      <c r="C16" t="str" cm="1">
        <f t="array" ref="C16">IF($A16="","",IF(COUNTIF('Work Calendar'!$E$6:$E$200,$A16)&gt;0,"Holiday",IF(INDEX('Work Calendar'!$C$6:$C$12,WEEKDAY($A16,1))=1,"Working","Weekend")))</f>
        <v>Working</v>
      </c>
      <c r="D16" s="341">
        <f>IF($A16="","",SUMIFS('Timesheet Raw'!$P$4:$P$8000,'Timesheet Raw'!$L$4:$L$8000,$A16,'Timesheet Raw'!$C$4:$C$8000,D$3,'Timesheet Raw'!$A$4:$A$8000,"1-Projects"))</f>
        <v>6.75</v>
      </c>
      <c r="E16" s="341">
        <f>IF($A16="","",SUMIFS('Timesheet Raw'!$P$4:$P$8000,'Timesheet Raw'!$L$4:$L$8000,$A16,'Timesheet Raw'!$C$4:$C$8000,D$3,'Timesheet Raw'!$A$4:$A$8000,"2-Proposals Chargeable")+SUMIFS('Timesheet Raw'!$P$4:$P$8000,'Timesheet Raw'!$L$4:$L$8000,$A16,'Timesheet Raw'!$C$4:$C$8000,D$3,'Timesheet Raw'!$A$4:$A$8000,"3-Proposals Regular"))</f>
        <v>0</v>
      </c>
      <c r="F16" s="341">
        <f>IF($A16="","",SUMIFS('Timesheet Raw'!$P$4:$P$8000,'Timesheet Raw'!$L$4:$L$8000,$A16,'Timesheet Raw'!$C$4:$C$8000,D$3,'Timesheet Raw'!$B$4:$B$8000,'Work Calendar'!$A$26)+SUMIFS('Timesheet Raw'!$P$4:$P$8000,'Timesheet Raw'!$L$4:$L$8000,$A16,'Timesheet Raw'!$C$4:$C$8000,D$3,'Timesheet Raw'!$B$4:$B$8000,'Work Calendar'!$A$27)+SUMIFS('Timesheet Raw'!$P$4:$P$8000,'Timesheet Raw'!$L$4:$L$8000,$A16,'Timesheet Raw'!$C$4:$C$8000,D$3,'Timesheet Raw'!$B$4:$B$8000,'Work Calendar'!$A$28)+SUMIFS('Timesheet Raw'!$P$4:$P$8000,'Timesheet Raw'!$L$4:$L$8000,$A16,'Timesheet Raw'!$C$4:$C$8000,D$3,'Timesheet Raw'!$B$4:$B$8000,'Work Calendar'!$A$29))</f>
        <v>1.75</v>
      </c>
      <c r="G16" s="341">
        <f t="shared" si="1"/>
        <v>0</v>
      </c>
      <c r="H16" s="395">
        <f>IF($A16="","",SUMIFS('Timesheet Raw'!$K$4:$K$8000,'Timesheet Raw'!$L$4:$L$8000,$A16,'Timesheet Raw'!$C$4:$C$8000,D$3))</f>
        <v>0</v>
      </c>
      <c r="I16" s="345">
        <f>IF($A16="","",SUMIFS('Timesheet Raw'!$P$4:$P$8000,'Timesheet Raw'!$L$4:$L$8000,$A16,'Timesheet Raw'!$C$4:$C$8000,D$3))</f>
        <v>8.5</v>
      </c>
      <c r="J16" s="375"/>
      <c r="K16" t="str">
        <f>IF($A16="","",IF(J16&lt;&gt;"",J16,IF($A16&gt;'Work Calendar'!$B$17,"No data yet",IF(AND(F16&gt;='Work Calendar'!$B$14,D16+E16+G16&gt;0),"Day off - but worked",IF(F16&gt;='Work Calendar'!$B$14,"Day off",IF(D16+E16+G16&gt;0,IF($C16="Working","Charged","Worked weekend"),IF($C16="Working","Leave (not charged)",$C16)))))))</f>
        <v>Charged</v>
      </c>
      <c r="L16" s="341">
        <f>IF($A16="","",SUMIFS('Timesheet Raw'!$P$4:$P$8000,'Timesheet Raw'!$L$4:$L$8000,$A16,'Timesheet Raw'!$C$4:$C$8000,L$3,'Timesheet Raw'!$A$4:$A$8000,"1-Projects"))</f>
        <v>8.5</v>
      </c>
      <c r="M16" s="341">
        <f>IF($A16="","",SUMIFS('Timesheet Raw'!$P$4:$P$8000,'Timesheet Raw'!$L$4:$L$8000,$A16,'Timesheet Raw'!$C$4:$C$8000,L$3,'Timesheet Raw'!$A$4:$A$8000,"2-Proposals Chargeable")+SUMIFS('Timesheet Raw'!$P$4:$P$8000,'Timesheet Raw'!$L$4:$L$8000,$A16,'Timesheet Raw'!$C$4:$C$8000,L$3,'Timesheet Raw'!$A$4:$A$8000,"3-Proposals Regular"))</f>
        <v>0</v>
      </c>
      <c r="N16" s="341">
        <f>IF($A16="","",SUMIFS('Timesheet Raw'!$P$4:$P$8000,'Timesheet Raw'!$L$4:$L$8000,$A16,'Timesheet Raw'!$C$4:$C$8000,L$3,'Timesheet Raw'!$B$4:$B$8000,'Work Calendar'!$A$26)+SUMIFS('Timesheet Raw'!$P$4:$P$8000,'Timesheet Raw'!$L$4:$L$8000,$A16,'Timesheet Raw'!$C$4:$C$8000,L$3,'Timesheet Raw'!$B$4:$B$8000,'Work Calendar'!$A$27)+SUMIFS('Timesheet Raw'!$P$4:$P$8000,'Timesheet Raw'!$L$4:$L$8000,$A16,'Timesheet Raw'!$C$4:$C$8000,L$3,'Timesheet Raw'!$B$4:$B$8000,'Work Calendar'!$A$28)+SUMIFS('Timesheet Raw'!$P$4:$P$8000,'Timesheet Raw'!$L$4:$L$8000,$A16,'Timesheet Raw'!$C$4:$C$8000,L$3,'Timesheet Raw'!$B$4:$B$8000,'Work Calendar'!$A$29))</f>
        <v>0.25</v>
      </c>
      <c r="O16" s="341">
        <f t="shared" si="2"/>
        <v>0</v>
      </c>
      <c r="P16" s="395">
        <f>IF($A16="","",SUMIFS('Timesheet Raw'!$K$4:$K$8000,'Timesheet Raw'!$L$4:$L$8000,$A16,'Timesheet Raw'!$C$4:$C$8000,L$3))</f>
        <v>0.25</v>
      </c>
      <c r="Q16" s="345">
        <f>IF($A16="","",SUMIFS('Timesheet Raw'!$P$4:$P$8000,'Timesheet Raw'!$L$4:$L$8000,$A16,'Timesheet Raw'!$C$4:$C$8000,L$3))</f>
        <v>8.75</v>
      </c>
      <c r="R16" s="375"/>
      <c r="S16" t="str">
        <f>IF($A16="","",IF(R16&lt;&gt;"",R16,IF($A16&gt;'Work Calendar'!$B$17,"No data yet",IF(AND(N16&gt;='Work Calendar'!$B$14,L16+M16+O16&gt;0),"Day off - but worked",IF(N16&gt;='Work Calendar'!$B$14,"Day off",IF(L16+M16+O16&gt;0,IF($C16="Working","Charged","Worked weekend"),IF($C16="Working","Leave (not charged)",$C16)))))))</f>
        <v>Charged</v>
      </c>
      <c r="T16" s="341">
        <f>IF($A16="","",SUMIFS('Timesheet Raw'!$P$4:$P$8000,'Timesheet Raw'!$L$4:$L$8000,$A16,'Timesheet Raw'!$C$4:$C$8000,T$3,'Timesheet Raw'!$A$4:$A$8000,"1-Projects"))</f>
        <v>7.5</v>
      </c>
      <c r="U16" s="341">
        <f>IF($A16="","",SUMIFS('Timesheet Raw'!$P$4:$P$8000,'Timesheet Raw'!$L$4:$L$8000,$A16,'Timesheet Raw'!$C$4:$C$8000,T$3,'Timesheet Raw'!$A$4:$A$8000,"2-Proposals Chargeable")+SUMIFS('Timesheet Raw'!$P$4:$P$8000,'Timesheet Raw'!$L$4:$L$8000,$A16,'Timesheet Raw'!$C$4:$C$8000,T$3,'Timesheet Raw'!$A$4:$A$8000,"3-Proposals Regular"))</f>
        <v>0</v>
      </c>
      <c r="V16" s="341">
        <f>IF($A16="","",SUMIFS('Timesheet Raw'!$P$4:$P$8000,'Timesheet Raw'!$L$4:$L$8000,$A16,'Timesheet Raw'!$C$4:$C$8000,T$3,'Timesheet Raw'!$B$4:$B$8000,'Work Calendar'!$A$26)+SUMIFS('Timesheet Raw'!$P$4:$P$8000,'Timesheet Raw'!$L$4:$L$8000,$A16,'Timesheet Raw'!$C$4:$C$8000,T$3,'Timesheet Raw'!$B$4:$B$8000,'Work Calendar'!$A$27)+SUMIFS('Timesheet Raw'!$P$4:$P$8000,'Timesheet Raw'!$L$4:$L$8000,$A16,'Timesheet Raw'!$C$4:$C$8000,T$3,'Timesheet Raw'!$B$4:$B$8000,'Work Calendar'!$A$28)+SUMIFS('Timesheet Raw'!$P$4:$P$8000,'Timesheet Raw'!$L$4:$L$8000,$A16,'Timesheet Raw'!$C$4:$C$8000,T$3,'Timesheet Raw'!$B$4:$B$8000,'Work Calendar'!$A$29))</f>
        <v>1.5</v>
      </c>
      <c r="W16" s="341">
        <f t="shared" si="3"/>
        <v>0</v>
      </c>
      <c r="X16" s="395">
        <f>IF($A16="","",SUMIFS('Timesheet Raw'!$K$4:$K$8000,'Timesheet Raw'!$L$4:$L$8000,$A16,'Timesheet Raw'!$C$4:$C$8000,T$3))</f>
        <v>0.5</v>
      </c>
      <c r="Y16" s="345">
        <f>IF($A16="","",SUMIFS('Timesheet Raw'!$P$4:$P$8000,'Timesheet Raw'!$L$4:$L$8000,$A16,'Timesheet Raw'!$C$4:$C$8000,T$3))</f>
        <v>9</v>
      </c>
      <c r="Z16" s="375"/>
      <c r="AA16" t="str">
        <f>IF($A16="","",IF(Z16&lt;&gt;"",Z16,IF($A16&gt;'Work Calendar'!$B$17,"No data yet",IF(AND(V16&gt;='Work Calendar'!$B$14,T16+U16+W16&gt;0),"Day off - but worked",IF(V16&gt;='Work Calendar'!$B$14,"Day off",IF(T16+U16+W16&gt;0,IF($C16="Working","Charged","Worked weekend"),IF($C16="Working","Leave (not charged)",$C16)))))))</f>
        <v>Charged</v>
      </c>
    </row>
    <row r="17" spans="1:27" x14ac:dyDescent="0.3">
      <c r="A17" s="371">
        <f>IF($A16="","",IF($A16+1&gt;'Work Calendar'!$B$16,"",$A16+1))</f>
        <v>46035</v>
      </c>
      <c r="B17" t="str">
        <f t="shared" si="0"/>
        <v>Tue</v>
      </c>
      <c r="C17" t="str" cm="1">
        <f t="array" ref="C17">IF($A17="","",IF(COUNTIF('Work Calendar'!$E$6:$E$200,$A17)&gt;0,"Holiday",IF(INDEX('Work Calendar'!$C$6:$C$12,WEEKDAY($A17,1))=1,"Working","Weekend")))</f>
        <v>Working</v>
      </c>
      <c r="D17" s="341">
        <f>IF($A17="","",SUMIFS('Timesheet Raw'!$P$4:$P$8000,'Timesheet Raw'!$L$4:$L$8000,$A17,'Timesheet Raw'!$C$4:$C$8000,D$3,'Timesheet Raw'!$A$4:$A$8000,"1-Projects"))</f>
        <v>8.25</v>
      </c>
      <c r="E17" s="341">
        <f>IF($A17="","",SUMIFS('Timesheet Raw'!$P$4:$P$8000,'Timesheet Raw'!$L$4:$L$8000,$A17,'Timesheet Raw'!$C$4:$C$8000,D$3,'Timesheet Raw'!$A$4:$A$8000,"2-Proposals Chargeable")+SUMIFS('Timesheet Raw'!$P$4:$P$8000,'Timesheet Raw'!$L$4:$L$8000,$A17,'Timesheet Raw'!$C$4:$C$8000,D$3,'Timesheet Raw'!$A$4:$A$8000,"3-Proposals Regular"))</f>
        <v>0</v>
      </c>
      <c r="F17" s="341">
        <f>IF($A17="","",SUMIFS('Timesheet Raw'!$P$4:$P$8000,'Timesheet Raw'!$L$4:$L$8000,$A17,'Timesheet Raw'!$C$4:$C$8000,D$3,'Timesheet Raw'!$B$4:$B$8000,'Work Calendar'!$A$26)+SUMIFS('Timesheet Raw'!$P$4:$P$8000,'Timesheet Raw'!$L$4:$L$8000,$A17,'Timesheet Raw'!$C$4:$C$8000,D$3,'Timesheet Raw'!$B$4:$B$8000,'Work Calendar'!$A$27)+SUMIFS('Timesheet Raw'!$P$4:$P$8000,'Timesheet Raw'!$L$4:$L$8000,$A17,'Timesheet Raw'!$C$4:$C$8000,D$3,'Timesheet Raw'!$B$4:$B$8000,'Work Calendar'!$A$28)+SUMIFS('Timesheet Raw'!$P$4:$P$8000,'Timesheet Raw'!$L$4:$L$8000,$A17,'Timesheet Raw'!$C$4:$C$8000,D$3,'Timesheet Raw'!$B$4:$B$8000,'Work Calendar'!$A$29))</f>
        <v>0.75</v>
      </c>
      <c r="G17" s="341">
        <f t="shared" si="1"/>
        <v>0</v>
      </c>
      <c r="H17" s="395">
        <f>IF($A17="","",SUMIFS('Timesheet Raw'!$K$4:$K$8000,'Timesheet Raw'!$L$4:$L$8000,$A17,'Timesheet Raw'!$C$4:$C$8000,D$3))</f>
        <v>0.5</v>
      </c>
      <c r="I17" s="345">
        <f>IF($A17="","",SUMIFS('Timesheet Raw'!$P$4:$P$8000,'Timesheet Raw'!$L$4:$L$8000,$A17,'Timesheet Raw'!$C$4:$C$8000,D$3))</f>
        <v>9</v>
      </c>
      <c r="J17" s="375"/>
      <c r="K17" t="str">
        <f>IF($A17="","",IF(J17&lt;&gt;"",J17,IF($A17&gt;'Work Calendar'!$B$17,"No data yet",IF(AND(F17&gt;='Work Calendar'!$B$14,D17+E17+G17&gt;0),"Day off - but worked",IF(F17&gt;='Work Calendar'!$B$14,"Day off",IF(D17+E17+G17&gt;0,IF($C17="Working","Charged","Worked weekend"),IF($C17="Working","Leave (not charged)",$C17)))))))</f>
        <v>Charged</v>
      </c>
      <c r="L17" s="341">
        <f>IF($A17="","",SUMIFS('Timesheet Raw'!$P$4:$P$8000,'Timesheet Raw'!$L$4:$L$8000,$A17,'Timesheet Raw'!$C$4:$C$8000,L$3,'Timesheet Raw'!$A$4:$A$8000,"1-Projects"))</f>
        <v>9.25</v>
      </c>
      <c r="M17" s="341">
        <f>IF($A17="","",SUMIFS('Timesheet Raw'!$P$4:$P$8000,'Timesheet Raw'!$L$4:$L$8000,$A17,'Timesheet Raw'!$C$4:$C$8000,L$3,'Timesheet Raw'!$A$4:$A$8000,"2-Proposals Chargeable")+SUMIFS('Timesheet Raw'!$P$4:$P$8000,'Timesheet Raw'!$L$4:$L$8000,$A17,'Timesheet Raw'!$C$4:$C$8000,L$3,'Timesheet Raw'!$A$4:$A$8000,"3-Proposals Regular"))</f>
        <v>0</v>
      </c>
      <c r="N17" s="341">
        <f>IF($A17="","",SUMIFS('Timesheet Raw'!$P$4:$P$8000,'Timesheet Raw'!$L$4:$L$8000,$A17,'Timesheet Raw'!$C$4:$C$8000,L$3,'Timesheet Raw'!$B$4:$B$8000,'Work Calendar'!$A$26)+SUMIFS('Timesheet Raw'!$P$4:$P$8000,'Timesheet Raw'!$L$4:$L$8000,$A17,'Timesheet Raw'!$C$4:$C$8000,L$3,'Timesheet Raw'!$B$4:$B$8000,'Work Calendar'!$A$27)+SUMIFS('Timesheet Raw'!$P$4:$P$8000,'Timesheet Raw'!$L$4:$L$8000,$A17,'Timesheet Raw'!$C$4:$C$8000,L$3,'Timesheet Raw'!$B$4:$B$8000,'Work Calendar'!$A$28)+SUMIFS('Timesheet Raw'!$P$4:$P$8000,'Timesheet Raw'!$L$4:$L$8000,$A17,'Timesheet Raw'!$C$4:$C$8000,L$3,'Timesheet Raw'!$B$4:$B$8000,'Work Calendar'!$A$29))</f>
        <v>0</v>
      </c>
      <c r="O17" s="341">
        <f t="shared" si="2"/>
        <v>0</v>
      </c>
      <c r="P17" s="395">
        <f>IF($A17="","",SUMIFS('Timesheet Raw'!$K$4:$K$8000,'Timesheet Raw'!$L$4:$L$8000,$A17,'Timesheet Raw'!$C$4:$C$8000,L$3))</f>
        <v>0.75</v>
      </c>
      <c r="Q17" s="345">
        <f>IF($A17="","",SUMIFS('Timesheet Raw'!$P$4:$P$8000,'Timesheet Raw'!$L$4:$L$8000,$A17,'Timesheet Raw'!$C$4:$C$8000,L$3))</f>
        <v>9.25</v>
      </c>
      <c r="R17" s="375"/>
      <c r="S17" t="str">
        <f>IF($A17="","",IF(R17&lt;&gt;"",R17,IF($A17&gt;'Work Calendar'!$B$17,"No data yet",IF(AND(N17&gt;='Work Calendar'!$B$14,L17+M17+O17&gt;0),"Day off - but worked",IF(N17&gt;='Work Calendar'!$B$14,"Day off",IF(L17+M17+O17&gt;0,IF($C17="Working","Charged","Worked weekend"),IF($C17="Working","Leave (not charged)",$C17)))))))</f>
        <v>Charged</v>
      </c>
      <c r="T17" s="341">
        <f>IF($A17="","",SUMIFS('Timesheet Raw'!$P$4:$P$8000,'Timesheet Raw'!$L$4:$L$8000,$A17,'Timesheet Raw'!$C$4:$C$8000,T$3,'Timesheet Raw'!$A$4:$A$8000,"1-Projects"))</f>
        <v>8.5</v>
      </c>
      <c r="U17" s="341">
        <f>IF($A17="","",SUMIFS('Timesheet Raw'!$P$4:$P$8000,'Timesheet Raw'!$L$4:$L$8000,$A17,'Timesheet Raw'!$C$4:$C$8000,T$3,'Timesheet Raw'!$A$4:$A$8000,"2-Proposals Chargeable")+SUMIFS('Timesheet Raw'!$P$4:$P$8000,'Timesheet Raw'!$L$4:$L$8000,$A17,'Timesheet Raw'!$C$4:$C$8000,T$3,'Timesheet Raw'!$A$4:$A$8000,"3-Proposals Regular"))</f>
        <v>0</v>
      </c>
      <c r="V17" s="341">
        <f>IF($A17="","",SUMIFS('Timesheet Raw'!$P$4:$P$8000,'Timesheet Raw'!$L$4:$L$8000,$A17,'Timesheet Raw'!$C$4:$C$8000,T$3,'Timesheet Raw'!$B$4:$B$8000,'Work Calendar'!$A$26)+SUMIFS('Timesheet Raw'!$P$4:$P$8000,'Timesheet Raw'!$L$4:$L$8000,$A17,'Timesheet Raw'!$C$4:$C$8000,T$3,'Timesheet Raw'!$B$4:$B$8000,'Work Calendar'!$A$27)+SUMIFS('Timesheet Raw'!$P$4:$P$8000,'Timesheet Raw'!$L$4:$L$8000,$A17,'Timesheet Raw'!$C$4:$C$8000,T$3,'Timesheet Raw'!$B$4:$B$8000,'Work Calendar'!$A$28)+SUMIFS('Timesheet Raw'!$P$4:$P$8000,'Timesheet Raw'!$L$4:$L$8000,$A17,'Timesheet Raw'!$C$4:$C$8000,T$3,'Timesheet Raw'!$B$4:$B$8000,'Work Calendar'!$A$29))</f>
        <v>0.75</v>
      </c>
      <c r="W17" s="341">
        <f t="shared" si="3"/>
        <v>0</v>
      </c>
      <c r="X17" s="395">
        <f>IF($A17="","",SUMIFS('Timesheet Raw'!$K$4:$K$8000,'Timesheet Raw'!$L$4:$L$8000,$A17,'Timesheet Raw'!$C$4:$C$8000,T$3))</f>
        <v>0.75</v>
      </c>
      <c r="Y17" s="345">
        <f>IF($A17="","",SUMIFS('Timesheet Raw'!$P$4:$P$8000,'Timesheet Raw'!$L$4:$L$8000,$A17,'Timesheet Raw'!$C$4:$C$8000,T$3))</f>
        <v>9.25</v>
      </c>
      <c r="Z17" s="375"/>
      <c r="AA17" t="str">
        <f>IF($A17="","",IF(Z17&lt;&gt;"",Z17,IF($A17&gt;'Work Calendar'!$B$17,"No data yet",IF(AND(V17&gt;='Work Calendar'!$B$14,T17+U17+W17&gt;0),"Day off - but worked",IF(V17&gt;='Work Calendar'!$B$14,"Day off",IF(T17+U17+W17&gt;0,IF($C17="Working","Charged","Worked weekend"),IF($C17="Working","Leave (not charged)",$C17)))))))</f>
        <v>Charged</v>
      </c>
    </row>
    <row r="18" spans="1:27" x14ac:dyDescent="0.3">
      <c r="A18" s="371">
        <f>IF($A17="","",IF($A17+1&gt;'Work Calendar'!$B$16,"",$A17+1))</f>
        <v>46036</v>
      </c>
      <c r="B18" t="str">
        <f t="shared" si="0"/>
        <v>Wed</v>
      </c>
      <c r="C18" t="str" cm="1">
        <f t="array" ref="C18">IF($A18="","",IF(COUNTIF('Work Calendar'!$E$6:$E$200,$A18)&gt;0,"Holiday",IF(INDEX('Work Calendar'!$C$6:$C$12,WEEKDAY($A18,1))=1,"Working","Weekend")))</f>
        <v>Working</v>
      </c>
      <c r="D18" s="341">
        <f>IF($A18="","",SUMIFS('Timesheet Raw'!$P$4:$P$8000,'Timesheet Raw'!$L$4:$L$8000,$A18,'Timesheet Raw'!$C$4:$C$8000,D$3,'Timesheet Raw'!$A$4:$A$8000,"1-Projects"))</f>
        <v>7.5</v>
      </c>
      <c r="E18" s="341">
        <f>IF($A18="","",SUMIFS('Timesheet Raw'!$P$4:$P$8000,'Timesheet Raw'!$L$4:$L$8000,$A18,'Timesheet Raw'!$C$4:$C$8000,D$3,'Timesheet Raw'!$A$4:$A$8000,"2-Proposals Chargeable")+SUMIFS('Timesheet Raw'!$P$4:$P$8000,'Timesheet Raw'!$L$4:$L$8000,$A18,'Timesheet Raw'!$C$4:$C$8000,D$3,'Timesheet Raw'!$A$4:$A$8000,"3-Proposals Regular"))</f>
        <v>0</v>
      </c>
      <c r="F18" s="341">
        <f>IF($A18="","",SUMIFS('Timesheet Raw'!$P$4:$P$8000,'Timesheet Raw'!$L$4:$L$8000,$A18,'Timesheet Raw'!$C$4:$C$8000,D$3,'Timesheet Raw'!$B$4:$B$8000,'Work Calendar'!$A$26)+SUMIFS('Timesheet Raw'!$P$4:$P$8000,'Timesheet Raw'!$L$4:$L$8000,$A18,'Timesheet Raw'!$C$4:$C$8000,D$3,'Timesheet Raw'!$B$4:$B$8000,'Work Calendar'!$A$27)+SUMIFS('Timesheet Raw'!$P$4:$P$8000,'Timesheet Raw'!$L$4:$L$8000,$A18,'Timesheet Raw'!$C$4:$C$8000,D$3,'Timesheet Raw'!$B$4:$B$8000,'Work Calendar'!$A$28)+SUMIFS('Timesheet Raw'!$P$4:$P$8000,'Timesheet Raw'!$L$4:$L$8000,$A18,'Timesheet Raw'!$C$4:$C$8000,D$3,'Timesheet Raw'!$B$4:$B$8000,'Work Calendar'!$A$29))</f>
        <v>1</v>
      </c>
      <c r="G18" s="341">
        <f t="shared" si="1"/>
        <v>0</v>
      </c>
      <c r="H18" s="395">
        <f>IF($A18="","",SUMIFS('Timesheet Raw'!$K$4:$K$8000,'Timesheet Raw'!$L$4:$L$8000,$A18,'Timesheet Raw'!$C$4:$C$8000,D$3))</f>
        <v>0</v>
      </c>
      <c r="I18" s="345">
        <f>IF($A18="","",SUMIFS('Timesheet Raw'!$P$4:$P$8000,'Timesheet Raw'!$L$4:$L$8000,$A18,'Timesheet Raw'!$C$4:$C$8000,D$3))</f>
        <v>8.5</v>
      </c>
      <c r="J18" s="375"/>
      <c r="K18" t="str">
        <f>IF($A18="","",IF(J18&lt;&gt;"",J18,IF($A18&gt;'Work Calendar'!$B$17,"No data yet",IF(AND(F18&gt;='Work Calendar'!$B$14,D18+E18+G18&gt;0),"Day off - but worked",IF(F18&gt;='Work Calendar'!$B$14,"Day off",IF(D18+E18+G18&gt;0,IF($C18="Working","Charged","Worked weekend"),IF($C18="Working","Leave (not charged)",$C18)))))))</f>
        <v>Charged</v>
      </c>
      <c r="L18" s="341">
        <f>IF($A18="","",SUMIFS('Timesheet Raw'!$P$4:$P$8000,'Timesheet Raw'!$L$4:$L$8000,$A18,'Timesheet Raw'!$C$4:$C$8000,L$3,'Timesheet Raw'!$A$4:$A$8000,"1-Projects"))</f>
        <v>8.5</v>
      </c>
      <c r="M18" s="341">
        <f>IF($A18="","",SUMIFS('Timesheet Raw'!$P$4:$P$8000,'Timesheet Raw'!$L$4:$L$8000,$A18,'Timesheet Raw'!$C$4:$C$8000,L$3,'Timesheet Raw'!$A$4:$A$8000,"2-Proposals Chargeable")+SUMIFS('Timesheet Raw'!$P$4:$P$8000,'Timesheet Raw'!$L$4:$L$8000,$A18,'Timesheet Raw'!$C$4:$C$8000,L$3,'Timesheet Raw'!$A$4:$A$8000,"3-Proposals Regular"))</f>
        <v>0</v>
      </c>
      <c r="N18" s="341">
        <f>IF($A18="","",SUMIFS('Timesheet Raw'!$P$4:$P$8000,'Timesheet Raw'!$L$4:$L$8000,$A18,'Timesheet Raw'!$C$4:$C$8000,L$3,'Timesheet Raw'!$B$4:$B$8000,'Work Calendar'!$A$26)+SUMIFS('Timesheet Raw'!$P$4:$P$8000,'Timesheet Raw'!$L$4:$L$8000,$A18,'Timesheet Raw'!$C$4:$C$8000,L$3,'Timesheet Raw'!$B$4:$B$8000,'Work Calendar'!$A$27)+SUMIFS('Timesheet Raw'!$P$4:$P$8000,'Timesheet Raw'!$L$4:$L$8000,$A18,'Timesheet Raw'!$C$4:$C$8000,L$3,'Timesheet Raw'!$B$4:$B$8000,'Work Calendar'!$A$28)+SUMIFS('Timesheet Raw'!$P$4:$P$8000,'Timesheet Raw'!$L$4:$L$8000,$A18,'Timesheet Raw'!$C$4:$C$8000,L$3,'Timesheet Raw'!$B$4:$B$8000,'Work Calendar'!$A$29))</f>
        <v>0.25</v>
      </c>
      <c r="O18" s="341">
        <f t="shared" si="2"/>
        <v>0</v>
      </c>
      <c r="P18" s="395">
        <f>IF($A18="","",SUMIFS('Timesheet Raw'!$K$4:$K$8000,'Timesheet Raw'!$L$4:$L$8000,$A18,'Timesheet Raw'!$C$4:$C$8000,L$3))</f>
        <v>0.25</v>
      </c>
      <c r="Q18" s="345">
        <f>IF($A18="","",SUMIFS('Timesheet Raw'!$P$4:$P$8000,'Timesheet Raw'!$L$4:$L$8000,$A18,'Timesheet Raw'!$C$4:$C$8000,L$3))</f>
        <v>8.75</v>
      </c>
      <c r="R18" s="375"/>
      <c r="S18" t="str">
        <f>IF($A18="","",IF(R18&lt;&gt;"",R18,IF($A18&gt;'Work Calendar'!$B$17,"No data yet",IF(AND(N18&gt;='Work Calendar'!$B$14,L18+M18+O18&gt;0),"Day off - but worked",IF(N18&gt;='Work Calendar'!$B$14,"Day off",IF(L18+M18+O18&gt;0,IF($C18="Working","Charged","Worked weekend"),IF($C18="Working","Leave (not charged)",$C18)))))))</f>
        <v>Charged</v>
      </c>
      <c r="T18" s="341">
        <f>IF($A18="","",SUMIFS('Timesheet Raw'!$P$4:$P$8000,'Timesheet Raw'!$L$4:$L$8000,$A18,'Timesheet Raw'!$C$4:$C$8000,T$3,'Timesheet Raw'!$A$4:$A$8000,"1-Projects"))</f>
        <v>7.25</v>
      </c>
      <c r="U18" s="341">
        <f>IF($A18="","",SUMIFS('Timesheet Raw'!$P$4:$P$8000,'Timesheet Raw'!$L$4:$L$8000,$A18,'Timesheet Raw'!$C$4:$C$8000,T$3,'Timesheet Raw'!$A$4:$A$8000,"2-Proposals Chargeable")+SUMIFS('Timesheet Raw'!$P$4:$P$8000,'Timesheet Raw'!$L$4:$L$8000,$A18,'Timesheet Raw'!$C$4:$C$8000,T$3,'Timesheet Raw'!$A$4:$A$8000,"3-Proposals Regular"))</f>
        <v>0</v>
      </c>
      <c r="V18" s="341">
        <f>IF($A18="","",SUMIFS('Timesheet Raw'!$P$4:$P$8000,'Timesheet Raw'!$L$4:$L$8000,$A18,'Timesheet Raw'!$C$4:$C$8000,T$3,'Timesheet Raw'!$B$4:$B$8000,'Work Calendar'!$A$26)+SUMIFS('Timesheet Raw'!$P$4:$P$8000,'Timesheet Raw'!$L$4:$L$8000,$A18,'Timesheet Raw'!$C$4:$C$8000,T$3,'Timesheet Raw'!$B$4:$B$8000,'Work Calendar'!$A$27)+SUMIFS('Timesheet Raw'!$P$4:$P$8000,'Timesheet Raw'!$L$4:$L$8000,$A18,'Timesheet Raw'!$C$4:$C$8000,T$3,'Timesheet Raw'!$B$4:$B$8000,'Work Calendar'!$A$28)+SUMIFS('Timesheet Raw'!$P$4:$P$8000,'Timesheet Raw'!$L$4:$L$8000,$A18,'Timesheet Raw'!$C$4:$C$8000,T$3,'Timesheet Raw'!$B$4:$B$8000,'Work Calendar'!$A$29))</f>
        <v>1.25</v>
      </c>
      <c r="W18" s="341">
        <f t="shared" si="3"/>
        <v>0</v>
      </c>
      <c r="X18" s="395">
        <f>IF($A18="","",SUMIFS('Timesheet Raw'!$K$4:$K$8000,'Timesheet Raw'!$L$4:$L$8000,$A18,'Timesheet Raw'!$C$4:$C$8000,T$3))</f>
        <v>0</v>
      </c>
      <c r="Y18" s="345">
        <f>IF($A18="","",SUMIFS('Timesheet Raw'!$P$4:$P$8000,'Timesheet Raw'!$L$4:$L$8000,$A18,'Timesheet Raw'!$C$4:$C$8000,T$3))</f>
        <v>8.5</v>
      </c>
      <c r="Z18" s="375"/>
      <c r="AA18" t="str">
        <f>IF($A18="","",IF(Z18&lt;&gt;"",Z18,IF($A18&gt;'Work Calendar'!$B$17,"No data yet",IF(AND(V18&gt;='Work Calendar'!$B$14,T18+U18+W18&gt;0),"Day off - but worked",IF(V18&gt;='Work Calendar'!$B$14,"Day off",IF(T18+U18+W18&gt;0,IF($C18="Working","Charged","Worked weekend"),IF($C18="Working","Leave (not charged)",$C18)))))))</f>
        <v>Charged</v>
      </c>
    </row>
    <row r="19" spans="1:27" x14ac:dyDescent="0.3">
      <c r="A19" s="371">
        <f>IF($A18="","",IF($A18+1&gt;'Work Calendar'!$B$16,"",$A18+1))</f>
        <v>46037</v>
      </c>
      <c r="B19" t="str">
        <f t="shared" si="0"/>
        <v>Thu</v>
      </c>
      <c r="C19" t="str" cm="1">
        <f t="array" ref="C19">IF($A19="","",IF(COUNTIF('Work Calendar'!$E$6:$E$200,$A19)&gt;0,"Holiday",IF(INDEX('Work Calendar'!$C$6:$C$12,WEEKDAY($A19,1))=1,"Working","Weekend")))</f>
        <v>Working</v>
      </c>
      <c r="D19" s="341">
        <f>IF($A19="","",SUMIFS('Timesheet Raw'!$P$4:$P$8000,'Timesheet Raw'!$L$4:$L$8000,$A19,'Timesheet Raw'!$C$4:$C$8000,D$3,'Timesheet Raw'!$A$4:$A$8000,"1-Projects"))</f>
        <v>12</v>
      </c>
      <c r="E19" s="341">
        <f>IF($A19="","",SUMIFS('Timesheet Raw'!$P$4:$P$8000,'Timesheet Raw'!$L$4:$L$8000,$A19,'Timesheet Raw'!$C$4:$C$8000,D$3,'Timesheet Raw'!$A$4:$A$8000,"2-Proposals Chargeable")+SUMIFS('Timesheet Raw'!$P$4:$P$8000,'Timesheet Raw'!$L$4:$L$8000,$A19,'Timesheet Raw'!$C$4:$C$8000,D$3,'Timesheet Raw'!$A$4:$A$8000,"3-Proposals Regular"))</f>
        <v>0</v>
      </c>
      <c r="F19" s="341">
        <f>IF($A19="","",SUMIFS('Timesheet Raw'!$P$4:$P$8000,'Timesheet Raw'!$L$4:$L$8000,$A19,'Timesheet Raw'!$C$4:$C$8000,D$3,'Timesheet Raw'!$B$4:$B$8000,'Work Calendar'!$A$26)+SUMIFS('Timesheet Raw'!$P$4:$P$8000,'Timesheet Raw'!$L$4:$L$8000,$A19,'Timesheet Raw'!$C$4:$C$8000,D$3,'Timesheet Raw'!$B$4:$B$8000,'Work Calendar'!$A$27)+SUMIFS('Timesheet Raw'!$P$4:$P$8000,'Timesheet Raw'!$L$4:$L$8000,$A19,'Timesheet Raw'!$C$4:$C$8000,D$3,'Timesheet Raw'!$B$4:$B$8000,'Work Calendar'!$A$28)+SUMIFS('Timesheet Raw'!$P$4:$P$8000,'Timesheet Raw'!$L$4:$L$8000,$A19,'Timesheet Raw'!$C$4:$C$8000,D$3,'Timesheet Raw'!$B$4:$B$8000,'Work Calendar'!$A$29))</f>
        <v>0.75</v>
      </c>
      <c r="G19" s="341">
        <f t="shared" si="1"/>
        <v>0</v>
      </c>
      <c r="H19" s="395">
        <f>IF($A19="","",SUMIFS('Timesheet Raw'!$K$4:$K$8000,'Timesheet Raw'!$L$4:$L$8000,$A19,'Timesheet Raw'!$C$4:$C$8000,D$3))</f>
        <v>4.25</v>
      </c>
      <c r="I19" s="345">
        <f>IF($A19="","",SUMIFS('Timesheet Raw'!$P$4:$P$8000,'Timesheet Raw'!$L$4:$L$8000,$A19,'Timesheet Raw'!$C$4:$C$8000,D$3))</f>
        <v>12.75</v>
      </c>
      <c r="J19" s="375"/>
      <c r="K19" t="str">
        <f>IF($A19="","",IF(J19&lt;&gt;"",J19,IF($A19&gt;'Work Calendar'!$B$17,"No data yet",IF(AND(F19&gt;='Work Calendar'!$B$14,D19+E19+G19&gt;0),"Day off - but worked",IF(F19&gt;='Work Calendar'!$B$14,"Day off",IF(D19+E19+G19&gt;0,IF($C19="Working","Charged","Worked weekend"),IF($C19="Working","Leave (not charged)",$C19)))))))</f>
        <v>Charged</v>
      </c>
      <c r="L19" s="341">
        <f>IF($A19="","",SUMIFS('Timesheet Raw'!$P$4:$P$8000,'Timesheet Raw'!$L$4:$L$8000,$A19,'Timesheet Raw'!$C$4:$C$8000,L$3,'Timesheet Raw'!$A$4:$A$8000,"1-Projects"))</f>
        <v>12.75</v>
      </c>
      <c r="M19" s="341">
        <f>IF($A19="","",SUMIFS('Timesheet Raw'!$P$4:$P$8000,'Timesheet Raw'!$L$4:$L$8000,$A19,'Timesheet Raw'!$C$4:$C$8000,L$3,'Timesheet Raw'!$A$4:$A$8000,"2-Proposals Chargeable")+SUMIFS('Timesheet Raw'!$P$4:$P$8000,'Timesheet Raw'!$L$4:$L$8000,$A19,'Timesheet Raw'!$C$4:$C$8000,L$3,'Timesheet Raw'!$A$4:$A$8000,"3-Proposals Regular"))</f>
        <v>0</v>
      </c>
      <c r="N19" s="341">
        <f>IF($A19="","",SUMIFS('Timesheet Raw'!$P$4:$P$8000,'Timesheet Raw'!$L$4:$L$8000,$A19,'Timesheet Raw'!$C$4:$C$8000,L$3,'Timesheet Raw'!$B$4:$B$8000,'Work Calendar'!$A$26)+SUMIFS('Timesheet Raw'!$P$4:$P$8000,'Timesheet Raw'!$L$4:$L$8000,$A19,'Timesheet Raw'!$C$4:$C$8000,L$3,'Timesheet Raw'!$B$4:$B$8000,'Work Calendar'!$A$27)+SUMIFS('Timesheet Raw'!$P$4:$P$8000,'Timesheet Raw'!$L$4:$L$8000,$A19,'Timesheet Raw'!$C$4:$C$8000,L$3,'Timesheet Raw'!$B$4:$B$8000,'Work Calendar'!$A$28)+SUMIFS('Timesheet Raw'!$P$4:$P$8000,'Timesheet Raw'!$L$4:$L$8000,$A19,'Timesheet Raw'!$C$4:$C$8000,L$3,'Timesheet Raw'!$B$4:$B$8000,'Work Calendar'!$A$29))</f>
        <v>0</v>
      </c>
      <c r="O19" s="341">
        <f t="shared" si="2"/>
        <v>0</v>
      </c>
      <c r="P19" s="395">
        <f>IF($A19="","",SUMIFS('Timesheet Raw'!$K$4:$K$8000,'Timesheet Raw'!$L$4:$L$8000,$A19,'Timesheet Raw'!$C$4:$C$8000,L$3))</f>
        <v>4.25</v>
      </c>
      <c r="Q19" s="345">
        <f>IF($A19="","",SUMIFS('Timesheet Raw'!$P$4:$P$8000,'Timesheet Raw'!$L$4:$L$8000,$A19,'Timesheet Raw'!$C$4:$C$8000,L$3))</f>
        <v>12.75</v>
      </c>
      <c r="R19" s="375"/>
      <c r="S19" t="str">
        <f>IF($A19="","",IF(R19&lt;&gt;"",R19,IF($A19&gt;'Work Calendar'!$B$17,"No data yet",IF(AND(N19&gt;='Work Calendar'!$B$14,L19+M19+O19&gt;0),"Day off - but worked",IF(N19&gt;='Work Calendar'!$B$14,"Day off",IF(L19+M19+O19&gt;0,IF($C19="Working","Charged","Worked weekend"),IF($C19="Working","Leave (not charged)",$C19)))))))</f>
        <v>Charged</v>
      </c>
      <c r="T19" s="341">
        <f>IF($A19="","",SUMIFS('Timesheet Raw'!$P$4:$P$8000,'Timesheet Raw'!$L$4:$L$8000,$A19,'Timesheet Raw'!$C$4:$C$8000,T$3,'Timesheet Raw'!$A$4:$A$8000,"1-Projects"))</f>
        <v>12</v>
      </c>
      <c r="U19" s="341">
        <f>IF($A19="","",SUMIFS('Timesheet Raw'!$P$4:$P$8000,'Timesheet Raw'!$L$4:$L$8000,$A19,'Timesheet Raw'!$C$4:$C$8000,T$3,'Timesheet Raw'!$A$4:$A$8000,"2-Proposals Chargeable")+SUMIFS('Timesheet Raw'!$P$4:$P$8000,'Timesheet Raw'!$L$4:$L$8000,$A19,'Timesheet Raw'!$C$4:$C$8000,T$3,'Timesheet Raw'!$A$4:$A$8000,"3-Proposals Regular"))</f>
        <v>0</v>
      </c>
      <c r="V19" s="341">
        <f>IF($A19="","",SUMIFS('Timesheet Raw'!$P$4:$P$8000,'Timesheet Raw'!$L$4:$L$8000,$A19,'Timesheet Raw'!$C$4:$C$8000,T$3,'Timesheet Raw'!$B$4:$B$8000,'Work Calendar'!$A$26)+SUMIFS('Timesheet Raw'!$P$4:$P$8000,'Timesheet Raw'!$L$4:$L$8000,$A19,'Timesheet Raw'!$C$4:$C$8000,T$3,'Timesheet Raw'!$B$4:$B$8000,'Work Calendar'!$A$27)+SUMIFS('Timesheet Raw'!$P$4:$P$8000,'Timesheet Raw'!$L$4:$L$8000,$A19,'Timesheet Raw'!$C$4:$C$8000,T$3,'Timesheet Raw'!$B$4:$B$8000,'Work Calendar'!$A$28)+SUMIFS('Timesheet Raw'!$P$4:$P$8000,'Timesheet Raw'!$L$4:$L$8000,$A19,'Timesheet Raw'!$C$4:$C$8000,T$3,'Timesheet Raw'!$B$4:$B$8000,'Work Calendar'!$A$29))</f>
        <v>0.75</v>
      </c>
      <c r="W19" s="341">
        <f t="shared" si="3"/>
        <v>0</v>
      </c>
      <c r="X19" s="395">
        <f>IF($A19="","",SUMIFS('Timesheet Raw'!$K$4:$K$8000,'Timesheet Raw'!$L$4:$L$8000,$A19,'Timesheet Raw'!$C$4:$C$8000,T$3))</f>
        <v>4.25</v>
      </c>
      <c r="Y19" s="345">
        <f>IF($A19="","",SUMIFS('Timesheet Raw'!$P$4:$P$8000,'Timesheet Raw'!$L$4:$L$8000,$A19,'Timesheet Raw'!$C$4:$C$8000,T$3))</f>
        <v>12.75</v>
      </c>
      <c r="Z19" s="375"/>
      <c r="AA19" t="str">
        <f>IF($A19="","",IF(Z19&lt;&gt;"",Z19,IF($A19&gt;'Work Calendar'!$B$17,"No data yet",IF(AND(V19&gt;='Work Calendar'!$B$14,T19+U19+W19&gt;0),"Day off - but worked",IF(V19&gt;='Work Calendar'!$B$14,"Day off",IF(T19+U19+W19&gt;0,IF($C19="Working","Charged","Worked weekend"),IF($C19="Working","Leave (not charged)",$C19)))))))</f>
        <v>Charged</v>
      </c>
    </row>
    <row r="20" spans="1:27" x14ac:dyDescent="0.3">
      <c r="A20" s="371">
        <f>IF($A19="","",IF($A19+1&gt;'Work Calendar'!$B$16,"",$A19+1))</f>
        <v>46038</v>
      </c>
      <c r="B20" t="str">
        <f t="shared" si="0"/>
        <v>Fri</v>
      </c>
      <c r="C20" t="str" cm="1">
        <f t="array" ref="C20">IF($A20="","",IF(COUNTIF('Work Calendar'!$E$6:$E$200,$A20)&gt;0,"Holiday",IF(INDEX('Work Calendar'!$C$6:$C$12,WEEKDAY($A20,1))=1,"Working","Weekend")))</f>
        <v>Weekend</v>
      </c>
      <c r="D20" s="341">
        <f>IF($A20="","",SUMIFS('Timesheet Raw'!$P$4:$P$8000,'Timesheet Raw'!$L$4:$L$8000,$A20,'Timesheet Raw'!$C$4:$C$8000,D$3,'Timesheet Raw'!$A$4:$A$8000,"1-Projects"))</f>
        <v>0</v>
      </c>
      <c r="E20" s="341">
        <f>IF($A20="","",SUMIFS('Timesheet Raw'!$P$4:$P$8000,'Timesheet Raw'!$L$4:$L$8000,$A20,'Timesheet Raw'!$C$4:$C$8000,D$3,'Timesheet Raw'!$A$4:$A$8000,"2-Proposals Chargeable")+SUMIFS('Timesheet Raw'!$P$4:$P$8000,'Timesheet Raw'!$L$4:$L$8000,$A20,'Timesheet Raw'!$C$4:$C$8000,D$3,'Timesheet Raw'!$A$4:$A$8000,"3-Proposals Regular"))</f>
        <v>0</v>
      </c>
      <c r="F20" s="341">
        <f>IF($A20="","",SUMIFS('Timesheet Raw'!$P$4:$P$8000,'Timesheet Raw'!$L$4:$L$8000,$A20,'Timesheet Raw'!$C$4:$C$8000,D$3,'Timesheet Raw'!$B$4:$B$8000,'Work Calendar'!$A$26)+SUMIFS('Timesheet Raw'!$P$4:$P$8000,'Timesheet Raw'!$L$4:$L$8000,$A20,'Timesheet Raw'!$C$4:$C$8000,D$3,'Timesheet Raw'!$B$4:$B$8000,'Work Calendar'!$A$27)+SUMIFS('Timesheet Raw'!$P$4:$P$8000,'Timesheet Raw'!$L$4:$L$8000,$A20,'Timesheet Raw'!$C$4:$C$8000,D$3,'Timesheet Raw'!$B$4:$B$8000,'Work Calendar'!$A$28)+SUMIFS('Timesheet Raw'!$P$4:$P$8000,'Timesheet Raw'!$L$4:$L$8000,$A20,'Timesheet Raw'!$C$4:$C$8000,D$3,'Timesheet Raw'!$B$4:$B$8000,'Work Calendar'!$A$29))</f>
        <v>0</v>
      </c>
      <c r="G20" s="341">
        <f t="shared" si="1"/>
        <v>0</v>
      </c>
      <c r="H20" s="395">
        <f>IF($A20="","",SUMIFS('Timesheet Raw'!$K$4:$K$8000,'Timesheet Raw'!$L$4:$L$8000,$A20,'Timesheet Raw'!$C$4:$C$8000,D$3))</f>
        <v>0</v>
      </c>
      <c r="I20" s="345">
        <f>IF($A20="","",SUMIFS('Timesheet Raw'!$P$4:$P$8000,'Timesheet Raw'!$L$4:$L$8000,$A20,'Timesheet Raw'!$C$4:$C$8000,D$3))</f>
        <v>0</v>
      </c>
      <c r="J20" s="375"/>
      <c r="K20" t="str">
        <f>IF($A20="","",IF(J20&lt;&gt;"",J20,IF($A20&gt;'Work Calendar'!$B$17,"No data yet",IF(AND(F20&gt;='Work Calendar'!$B$14,D20+E20+G20&gt;0),"Day off - but worked",IF(F20&gt;='Work Calendar'!$B$14,"Day off",IF(D20+E20+G20&gt;0,IF($C20="Working","Charged","Worked weekend"),IF($C20="Working","Leave (not charged)",$C20)))))))</f>
        <v>Weekend</v>
      </c>
      <c r="L20" s="341">
        <f>IF($A20="","",SUMIFS('Timesheet Raw'!$P$4:$P$8000,'Timesheet Raw'!$L$4:$L$8000,$A20,'Timesheet Raw'!$C$4:$C$8000,L$3,'Timesheet Raw'!$A$4:$A$8000,"1-Projects"))</f>
        <v>0</v>
      </c>
      <c r="M20" s="341">
        <f>IF($A20="","",SUMIFS('Timesheet Raw'!$P$4:$P$8000,'Timesheet Raw'!$L$4:$L$8000,$A20,'Timesheet Raw'!$C$4:$C$8000,L$3,'Timesheet Raw'!$A$4:$A$8000,"2-Proposals Chargeable")+SUMIFS('Timesheet Raw'!$P$4:$P$8000,'Timesheet Raw'!$L$4:$L$8000,$A20,'Timesheet Raw'!$C$4:$C$8000,L$3,'Timesheet Raw'!$A$4:$A$8000,"3-Proposals Regular"))</f>
        <v>0</v>
      </c>
      <c r="N20" s="341">
        <f>IF($A20="","",SUMIFS('Timesheet Raw'!$P$4:$P$8000,'Timesheet Raw'!$L$4:$L$8000,$A20,'Timesheet Raw'!$C$4:$C$8000,L$3,'Timesheet Raw'!$B$4:$B$8000,'Work Calendar'!$A$26)+SUMIFS('Timesheet Raw'!$P$4:$P$8000,'Timesheet Raw'!$L$4:$L$8000,$A20,'Timesheet Raw'!$C$4:$C$8000,L$3,'Timesheet Raw'!$B$4:$B$8000,'Work Calendar'!$A$27)+SUMIFS('Timesheet Raw'!$P$4:$P$8000,'Timesheet Raw'!$L$4:$L$8000,$A20,'Timesheet Raw'!$C$4:$C$8000,L$3,'Timesheet Raw'!$B$4:$B$8000,'Work Calendar'!$A$28)+SUMIFS('Timesheet Raw'!$P$4:$P$8000,'Timesheet Raw'!$L$4:$L$8000,$A20,'Timesheet Raw'!$C$4:$C$8000,L$3,'Timesheet Raw'!$B$4:$B$8000,'Work Calendar'!$A$29))</f>
        <v>0</v>
      </c>
      <c r="O20" s="341">
        <f t="shared" si="2"/>
        <v>0</v>
      </c>
      <c r="P20" s="395">
        <f>IF($A20="","",SUMIFS('Timesheet Raw'!$K$4:$K$8000,'Timesheet Raw'!$L$4:$L$8000,$A20,'Timesheet Raw'!$C$4:$C$8000,L$3))</f>
        <v>0</v>
      </c>
      <c r="Q20" s="345">
        <f>IF($A20="","",SUMIFS('Timesheet Raw'!$P$4:$P$8000,'Timesheet Raw'!$L$4:$L$8000,$A20,'Timesheet Raw'!$C$4:$C$8000,L$3))</f>
        <v>0</v>
      </c>
      <c r="R20" s="375"/>
      <c r="S20" t="str">
        <f>IF($A20="","",IF(R20&lt;&gt;"",R20,IF($A20&gt;'Work Calendar'!$B$17,"No data yet",IF(AND(N20&gt;='Work Calendar'!$B$14,L20+M20+O20&gt;0),"Day off - but worked",IF(N20&gt;='Work Calendar'!$B$14,"Day off",IF(L20+M20+O20&gt;0,IF($C20="Working","Charged","Worked weekend"),IF($C20="Working","Leave (not charged)",$C20)))))))</f>
        <v>Weekend</v>
      </c>
      <c r="T20" s="341">
        <f>IF($A20="","",SUMIFS('Timesheet Raw'!$P$4:$P$8000,'Timesheet Raw'!$L$4:$L$8000,$A20,'Timesheet Raw'!$C$4:$C$8000,T$3,'Timesheet Raw'!$A$4:$A$8000,"1-Projects"))</f>
        <v>0</v>
      </c>
      <c r="U20" s="341">
        <f>IF($A20="","",SUMIFS('Timesheet Raw'!$P$4:$P$8000,'Timesheet Raw'!$L$4:$L$8000,$A20,'Timesheet Raw'!$C$4:$C$8000,T$3,'Timesheet Raw'!$A$4:$A$8000,"2-Proposals Chargeable")+SUMIFS('Timesheet Raw'!$P$4:$P$8000,'Timesheet Raw'!$L$4:$L$8000,$A20,'Timesheet Raw'!$C$4:$C$8000,T$3,'Timesheet Raw'!$A$4:$A$8000,"3-Proposals Regular"))</f>
        <v>0</v>
      </c>
      <c r="V20" s="341">
        <f>IF($A20="","",SUMIFS('Timesheet Raw'!$P$4:$P$8000,'Timesheet Raw'!$L$4:$L$8000,$A20,'Timesheet Raw'!$C$4:$C$8000,T$3,'Timesheet Raw'!$B$4:$B$8000,'Work Calendar'!$A$26)+SUMIFS('Timesheet Raw'!$P$4:$P$8000,'Timesheet Raw'!$L$4:$L$8000,$A20,'Timesheet Raw'!$C$4:$C$8000,T$3,'Timesheet Raw'!$B$4:$B$8000,'Work Calendar'!$A$27)+SUMIFS('Timesheet Raw'!$P$4:$P$8000,'Timesheet Raw'!$L$4:$L$8000,$A20,'Timesheet Raw'!$C$4:$C$8000,T$3,'Timesheet Raw'!$B$4:$B$8000,'Work Calendar'!$A$28)+SUMIFS('Timesheet Raw'!$P$4:$P$8000,'Timesheet Raw'!$L$4:$L$8000,$A20,'Timesheet Raw'!$C$4:$C$8000,T$3,'Timesheet Raw'!$B$4:$B$8000,'Work Calendar'!$A$29))</f>
        <v>0</v>
      </c>
      <c r="W20" s="341">
        <f t="shared" si="3"/>
        <v>0</v>
      </c>
      <c r="X20" s="395">
        <f>IF($A20="","",SUMIFS('Timesheet Raw'!$K$4:$K$8000,'Timesheet Raw'!$L$4:$L$8000,$A20,'Timesheet Raw'!$C$4:$C$8000,T$3))</f>
        <v>0</v>
      </c>
      <c r="Y20" s="345">
        <f>IF($A20="","",SUMIFS('Timesheet Raw'!$P$4:$P$8000,'Timesheet Raw'!$L$4:$L$8000,$A20,'Timesheet Raw'!$C$4:$C$8000,T$3))</f>
        <v>0</v>
      </c>
      <c r="Z20" s="375"/>
      <c r="AA20" t="str">
        <f>IF($A20="","",IF(Z20&lt;&gt;"",Z20,IF($A20&gt;'Work Calendar'!$B$17,"No data yet",IF(AND(V20&gt;='Work Calendar'!$B$14,T20+U20+W20&gt;0),"Day off - but worked",IF(V20&gt;='Work Calendar'!$B$14,"Day off",IF(T20+U20+W20&gt;0,IF($C20="Working","Charged","Worked weekend"),IF($C20="Working","Leave (not charged)",$C20)))))))</f>
        <v>Weekend</v>
      </c>
    </row>
    <row r="21" spans="1:27" x14ac:dyDescent="0.3">
      <c r="A21" s="371">
        <f>IF($A20="","",IF($A20+1&gt;'Work Calendar'!$B$16,"",$A20+1))</f>
        <v>46039</v>
      </c>
      <c r="B21" t="str">
        <f t="shared" si="0"/>
        <v>Sat</v>
      </c>
      <c r="C21" t="str" cm="1">
        <f t="array" ref="C21">IF($A21="","",IF(COUNTIF('Work Calendar'!$E$6:$E$200,$A21)&gt;0,"Holiday",IF(INDEX('Work Calendar'!$C$6:$C$12,WEEKDAY($A21,1))=1,"Working","Weekend")))</f>
        <v>Weekend</v>
      </c>
      <c r="D21" s="341">
        <f>IF($A21="","",SUMIFS('Timesheet Raw'!$P$4:$P$8000,'Timesheet Raw'!$L$4:$L$8000,$A21,'Timesheet Raw'!$C$4:$C$8000,D$3,'Timesheet Raw'!$A$4:$A$8000,"1-Projects"))</f>
        <v>0</v>
      </c>
      <c r="E21" s="341">
        <f>IF($A21="","",SUMIFS('Timesheet Raw'!$P$4:$P$8000,'Timesheet Raw'!$L$4:$L$8000,$A21,'Timesheet Raw'!$C$4:$C$8000,D$3,'Timesheet Raw'!$A$4:$A$8000,"2-Proposals Chargeable")+SUMIFS('Timesheet Raw'!$P$4:$P$8000,'Timesheet Raw'!$L$4:$L$8000,$A21,'Timesheet Raw'!$C$4:$C$8000,D$3,'Timesheet Raw'!$A$4:$A$8000,"3-Proposals Regular"))</f>
        <v>0</v>
      </c>
      <c r="F21" s="341">
        <f>IF($A21="","",SUMIFS('Timesheet Raw'!$P$4:$P$8000,'Timesheet Raw'!$L$4:$L$8000,$A21,'Timesheet Raw'!$C$4:$C$8000,D$3,'Timesheet Raw'!$B$4:$B$8000,'Work Calendar'!$A$26)+SUMIFS('Timesheet Raw'!$P$4:$P$8000,'Timesheet Raw'!$L$4:$L$8000,$A21,'Timesheet Raw'!$C$4:$C$8000,D$3,'Timesheet Raw'!$B$4:$B$8000,'Work Calendar'!$A$27)+SUMIFS('Timesheet Raw'!$P$4:$P$8000,'Timesheet Raw'!$L$4:$L$8000,$A21,'Timesheet Raw'!$C$4:$C$8000,D$3,'Timesheet Raw'!$B$4:$B$8000,'Work Calendar'!$A$28)+SUMIFS('Timesheet Raw'!$P$4:$P$8000,'Timesheet Raw'!$L$4:$L$8000,$A21,'Timesheet Raw'!$C$4:$C$8000,D$3,'Timesheet Raw'!$B$4:$B$8000,'Work Calendar'!$A$29))</f>
        <v>0</v>
      </c>
      <c r="G21" s="341">
        <f t="shared" si="1"/>
        <v>0</v>
      </c>
      <c r="H21" s="395">
        <f>IF($A21="","",SUMIFS('Timesheet Raw'!$K$4:$K$8000,'Timesheet Raw'!$L$4:$L$8000,$A21,'Timesheet Raw'!$C$4:$C$8000,D$3))</f>
        <v>0</v>
      </c>
      <c r="I21" s="345">
        <f>IF($A21="","",SUMIFS('Timesheet Raw'!$P$4:$P$8000,'Timesheet Raw'!$L$4:$L$8000,$A21,'Timesheet Raw'!$C$4:$C$8000,D$3))</f>
        <v>0</v>
      </c>
      <c r="J21" s="375"/>
      <c r="K21" t="str">
        <f>IF($A21="","",IF(J21&lt;&gt;"",J21,IF($A21&gt;'Work Calendar'!$B$17,"No data yet",IF(AND(F21&gt;='Work Calendar'!$B$14,D21+E21+G21&gt;0),"Day off - but worked",IF(F21&gt;='Work Calendar'!$B$14,"Day off",IF(D21+E21+G21&gt;0,IF($C21="Working","Charged","Worked weekend"),IF($C21="Working","Leave (not charged)",$C21)))))))</f>
        <v>Weekend</v>
      </c>
      <c r="L21" s="341">
        <f>IF($A21="","",SUMIFS('Timesheet Raw'!$P$4:$P$8000,'Timesheet Raw'!$L$4:$L$8000,$A21,'Timesheet Raw'!$C$4:$C$8000,L$3,'Timesheet Raw'!$A$4:$A$8000,"1-Projects"))</f>
        <v>0</v>
      </c>
      <c r="M21" s="341">
        <f>IF($A21="","",SUMIFS('Timesheet Raw'!$P$4:$P$8000,'Timesheet Raw'!$L$4:$L$8000,$A21,'Timesheet Raw'!$C$4:$C$8000,L$3,'Timesheet Raw'!$A$4:$A$8000,"2-Proposals Chargeable")+SUMIFS('Timesheet Raw'!$P$4:$P$8000,'Timesheet Raw'!$L$4:$L$8000,$A21,'Timesheet Raw'!$C$4:$C$8000,L$3,'Timesheet Raw'!$A$4:$A$8000,"3-Proposals Regular"))</f>
        <v>0</v>
      </c>
      <c r="N21" s="341">
        <f>IF($A21="","",SUMIFS('Timesheet Raw'!$P$4:$P$8000,'Timesheet Raw'!$L$4:$L$8000,$A21,'Timesheet Raw'!$C$4:$C$8000,L$3,'Timesheet Raw'!$B$4:$B$8000,'Work Calendar'!$A$26)+SUMIFS('Timesheet Raw'!$P$4:$P$8000,'Timesheet Raw'!$L$4:$L$8000,$A21,'Timesheet Raw'!$C$4:$C$8000,L$3,'Timesheet Raw'!$B$4:$B$8000,'Work Calendar'!$A$27)+SUMIFS('Timesheet Raw'!$P$4:$P$8000,'Timesheet Raw'!$L$4:$L$8000,$A21,'Timesheet Raw'!$C$4:$C$8000,L$3,'Timesheet Raw'!$B$4:$B$8000,'Work Calendar'!$A$28)+SUMIFS('Timesheet Raw'!$P$4:$P$8000,'Timesheet Raw'!$L$4:$L$8000,$A21,'Timesheet Raw'!$C$4:$C$8000,L$3,'Timesheet Raw'!$B$4:$B$8000,'Work Calendar'!$A$29))</f>
        <v>0</v>
      </c>
      <c r="O21" s="341">
        <f t="shared" si="2"/>
        <v>0</v>
      </c>
      <c r="P21" s="395">
        <f>IF($A21="","",SUMIFS('Timesheet Raw'!$K$4:$K$8000,'Timesheet Raw'!$L$4:$L$8000,$A21,'Timesheet Raw'!$C$4:$C$8000,L$3))</f>
        <v>0</v>
      </c>
      <c r="Q21" s="345">
        <f>IF($A21="","",SUMIFS('Timesheet Raw'!$P$4:$P$8000,'Timesheet Raw'!$L$4:$L$8000,$A21,'Timesheet Raw'!$C$4:$C$8000,L$3))</f>
        <v>0</v>
      </c>
      <c r="R21" s="375"/>
      <c r="S21" t="str">
        <f>IF($A21="","",IF(R21&lt;&gt;"",R21,IF($A21&gt;'Work Calendar'!$B$17,"No data yet",IF(AND(N21&gt;='Work Calendar'!$B$14,L21+M21+O21&gt;0),"Day off - but worked",IF(N21&gt;='Work Calendar'!$B$14,"Day off",IF(L21+M21+O21&gt;0,IF($C21="Working","Charged","Worked weekend"),IF($C21="Working","Leave (not charged)",$C21)))))))</f>
        <v>Weekend</v>
      </c>
      <c r="T21" s="341">
        <f>IF($A21="","",SUMIFS('Timesheet Raw'!$P$4:$P$8000,'Timesheet Raw'!$L$4:$L$8000,$A21,'Timesheet Raw'!$C$4:$C$8000,T$3,'Timesheet Raw'!$A$4:$A$8000,"1-Projects"))</f>
        <v>0</v>
      </c>
      <c r="U21" s="341">
        <f>IF($A21="","",SUMIFS('Timesheet Raw'!$P$4:$P$8000,'Timesheet Raw'!$L$4:$L$8000,$A21,'Timesheet Raw'!$C$4:$C$8000,T$3,'Timesheet Raw'!$A$4:$A$8000,"2-Proposals Chargeable")+SUMIFS('Timesheet Raw'!$P$4:$P$8000,'Timesheet Raw'!$L$4:$L$8000,$A21,'Timesheet Raw'!$C$4:$C$8000,T$3,'Timesheet Raw'!$A$4:$A$8000,"3-Proposals Regular"))</f>
        <v>0</v>
      </c>
      <c r="V21" s="341">
        <f>IF($A21="","",SUMIFS('Timesheet Raw'!$P$4:$P$8000,'Timesheet Raw'!$L$4:$L$8000,$A21,'Timesheet Raw'!$C$4:$C$8000,T$3,'Timesheet Raw'!$B$4:$B$8000,'Work Calendar'!$A$26)+SUMIFS('Timesheet Raw'!$P$4:$P$8000,'Timesheet Raw'!$L$4:$L$8000,$A21,'Timesheet Raw'!$C$4:$C$8000,T$3,'Timesheet Raw'!$B$4:$B$8000,'Work Calendar'!$A$27)+SUMIFS('Timesheet Raw'!$P$4:$P$8000,'Timesheet Raw'!$L$4:$L$8000,$A21,'Timesheet Raw'!$C$4:$C$8000,T$3,'Timesheet Raw'!$B$4:$B$8000,'Work Calendar'!$A$28)+SUMIFS('Timesheet Raw'!$P$4:$P$8000,'Timesheet Raw'!$L$4:$L$8000,$A21,'Timesheet Raw'!$C$4:$C$8000,T$3,'Timesheet Raw'!$B$4:$B$8000,'Work Calendar'!$A$29))</f>
        <v>0</v>
      </c>
      <c r="W21" s="341">
        <f t="shared" si="3"/>
        <v>0</v>
      </c>
      <c r="X21" s="395">
        <f>IF($A21="","",SUMIFS('Timesheet Raw'!$K$4:$K$8000,'Timesheet Raw'!$L$4:$L$8000,$A21,'Timesheet Raw'!$C$4:$C$8000,T$3))</f>
        <v>0</v>
      </c>
      <c r="Y21" s="345">
        <f>IF($A21="","",SUMIFS('Timesheet Raw'!$P$4:$P$8000,'Timesheet Raw'!$L$4:$L$8000,$A21,'Timesheet Raw'!$C$4:$C$8000,T$3))</f>
        <v>0</v>
      </c>
      <c r="Z21" s="375"/>
      <c r="AA21" t="str">
        <f>IF($A21="","",IF(Z21&lt;&gt;"",Z21,IF($A21&gt;'Work Calendar'!$B$17,"No data yet",IF(AND(V21&gt;='Work Calendar'!$B$14,T21+U21+W21&gt;0),"Day off - but worked",IF(V21&gt;='Work Calendar'!$B$14,"Day off",IF(T21+U21+W21&gt;0,IF($C21="Working","Charged","Worked weekend"),IF($C21="Working","Leave (not charged)",$C21)))))))</f>
        <v>Weekend</v>
      </c>
    </row>
    <row r="22" spans="1:27" x14ac:dyDescent="0.3">
      <c r="A22" s="371">
        <f>IF($A21="","",IF($A21+1&gt;'Work Calendar'!$B$16,"",$A21+1))</f>
        <v>46040</v>
      </c>
      <c r="B22" t="str">
        <f t="shared" si="0"/>
        <v>Sun</v>
      </c>
      <c r="C22" t="str" cm="1">
        <f t="array" ref="C22">IF($A22="","",IF(COUNTIF('Work Calendar'!$E$6:$E$200,$A22)&gt;0,"Holiday",IF(INDEX('Work Calendar'!$C$6:$C$12,WEEKDAY($A22,1))=1,"Working","Weekend")))</f>
        <v>Working</v>
      </c>
      <c r="D22" s="341">
        <f>IF($A22="","",SUMIFS('Timesheet Raw'!$P$4:$P$8000,'Timesheet Raw'!$L$4:$L$8000,$A22,'Timesheet Raw'!$C$4:$C$8000,D$3,'Timesheet Raw'!$A$4:$A$8000,"1-Projects"))</f>
        <v>6.25</v>
      </c>
      <c r="E22" s="341">
        <f>IF($A22="","",SUMIFS('Timesheet Raw'!$P$4:$P$8000,'Timesheet Raw'!$L$4:$L$8000,$A22,'Timesheet Raw'!$C$4:$C$8000,D$3,'Timesheet Raw'!$A$4:$A$8000,"2-Proposals Chargeable")+SUMIFS('Timesheet Raw'!$P$4:$P$8000,'Timesheet Raw'!$L$4:$L$8000,$A22,'Timesheet Raw'!$C$4:$C$8000,D$3,'Timesheet Raw'!$A$4:$A$8000,"3-Proposals Regular"))</f>
        <v>0</v>
      </c>
      <c r="F22" s="341">
        <f>IF($A22="","",SUMIFS('Timesheet Raw'!$P$4:$P$8000,'Timesheet Raw'!$L$4:$L$8000,$A22,'Timesheet Raw'!$C$4:$C$8000,D$3,'Timesheet Raw'!$B$4:$B$8000,'Work Calendar'!$A$26)+SUMIFS('Timesheet Raw'!$P$4:$P$8000,'Timesheet Raw'!$L$4:$L$8000,$A22,'Timesheet Raw'!$C$4:$C$8000,D$3,'Timesheet Raw'!$B$4:$B$8000,'Work Calendar'!$A$27)+SUMIFS('Timesheet Raw'!$P$4:$P$8000,'Timesheet Raw'!$L$4:$L$8000,$A22,'Timesheet Raw'!$C$4:$C$8000,D$3,'Timesheet Raw'!$B$4:$B$8000,'Work Calendar'!$A$28)+SUMIFS('Timesheet Raw'!$P$4:$P$8000,'Timesheet Raw'!$L$4:$L$8000,$A22,'Timesheet Raw'!$C$4:$C$8000,D$3,'Timesheet Raw'!$B$4:$B$8000,'Work Calendar'!$A$29))</f>
        <v>2.25</v>
      </c>
      <c r="G22" s="341">
        <f t="shared" si="1"/>
        <v>0</v>
      </c>
      <c r="H22" s="395">
        <f>IF($A22="","",SUMIFS('Timesheet Raw'!$K$4:$K$8000,'Timesheet Raw'!$L$4:$L$8000,$A22,'Timesheet Raw'!$C$4:$C$8000,D$3))</f>
        <v>0</v>
      </c>
      <c r="I22" s="345">
        <f>IF($A22="","",SUMIFS('Timesheet Raw'!$P$4:$P$8000,'Timesheet Raw'!$L$4:$L$8000,$A22,'Timesheet Raw'!$C$4:$C$8000,D$3))</f>
        <v>8.5</v>
      </c>
      <c r="J22" s="375"/>
      <c r="K22" t="str">
        <f>IF($A22="","",IF(J22&lt;&gt;"",J22,IF($A22&gt;'Work Calendar'!$B$17,"No data yet",IF(AND(F22&gt;='Work Calendar'!$B$14,D22+E22+G22&gt;0),"Day off - but worked",IF(F22&gt;='Work Calendar'!$B$14,"Day off",IF(D22+E22+G22&gt;0,IF($C22="Working","Charged","Worked weekend"),IF($C22="Working","Leave (not charged)",$C22)))))))</f>
        <v>Charged</v>
      </c>
      <c r="L22" s="341">
        <f>IF($A22="","",SUMIFS('Timesheet Raw'!$P$4:$P$8000,'Timesheet Raw'!$L$4:$L$8000,$A22,'Timesheet Raw'!$C$4:$C$8000,L$3,'Timesheet Raw'!$A$4:$A$8000,"1-Projects"))</f>
        <v>8</v>
      </c>
      <c r="M22" s="341">
        <f>IF($A22="","",SUMIFS('Timesheet Raw'!$P$4:$P$8000,'Timesheet Raw'!$L$4:$L$8000,$A22,'Timesheet Raw'!$C$4:$C$8000,L$3,'Timesheet Raw'!$A$4:$A$8000,"2-Proposals Chargeable")+SUMIFS('Timesheet Raw'!$P$4:$P$8000,'Timesheet Raw'!$L$4:$L$8000,$A22,'Timesheet Raw'!$C$4:$C$8000,L$3,'Timesheet Raw'!$A$4:$A$8000,"3-Proposals Regular"))</f>
        <v>0</v>
      </c>
      <c r="N22" s="341">
        <f>IF($A22="","",SUMIFS('Timesheet Raw'!$P$4:$P$8000,'Timesheet Raw'!$L$4:$L$8000,$A22,'Timesheet Raw'!$C$4:$C$8000,L$3,'Timesheet Raw'!$B$4:$B$8000,'Work Calendar'!$A$26)+SUMIFS('Timesheet Raw'!$P$4:$P$8000,'Timesheet Raw'!$L$4:$L$8000,$A22,'Timesheet Raw'!$C$4:$C$8000,L$3,'Timesheet Raw'!$B$4:$B$8000,'Work Calendar'!$A$27)+SUMIFS('Timesheet Raw'!$P$4:$P$8000,'Timesheet Raw'!$L$4:$L$8000,$A22,'Timesheet Raw'!$C$4:$C$8000,L$3,'Timesheet Raw'!$B$4:$B$8000,'Work Calendar'!$A$28)+SUMIFS('Timesheet Raw'!$P$4:$P$8000,'Timesheet Raw'!$L$4:$L$8000,$A22,'Timesheet Raw'!$C$4:$C$8000,L$3,'Timesheet Raw'!$B$4:$B$8000,'Work Calendar'!$A$29))</f>
        <v>0.5</v>
      </c>
      <c r="O22" s="341">
        <f t="shared" si="2"/>
        <v>0</v>
      </c>
      <c r="P22" s="395">
        <f>IF($A22="","",SUMIFS('Timesheet Raw'!$K$4:$K$8000,'Timesheet Raw'!$L$4:$L$8000,$A22,'Timesheet Raw'!$C$4:$C$8000,L$3))</f>
        <v>0</v>
      </c>
      <c r="Q22" s="345">
        <f>IF($A22="","",SUMIFS('Timesheet Raw'!$P$4:$P$8000,'Timesheet Raw'!$L$4:$L$8000,$A22,'Timesheet Raw'!$C$4:$C$8000,L$3))</f>
        <v>8.5</v>
      </c>
      <c r="R22" s="375"/>
      <c r="S22" t="str">
        <f>IF($A22="","",IF(R22&lt;&gt;"",R22,IF($A22&gt;'Work Calendar'!$B$17,"No data yet",IF(AND(N22&gt;='Work Calendar'!$B$14,L22+M22+O22&gt;0),"Day off - but worked",IF(N22&gt;='Work Calendar'!$B$14,"Day off",IF(L22+M22+O22&gt;0,IF($C22="Working","Charged","Worked weekend"),IF($C22="Working","Leave (not charged)",$C22)))))))</f>
        <v>Charged</v>
      </c>
      <c r="T22" s="341">
        <f>IF($A22="","",SUMIFS('Timesheet Raw'!$P$4:$P$8000,'Timesheet Raw'!$L$4:$L$8000,$A22,'Timesheet Raw'!$C$4:$C$8000,T$3,'Timesheet Raw'!$A$4:$A$8000,"1-Projects"))</f>
        <v>7.25</v>
      </c>
      <c r="U22" s="341">
        <f>IF($A22="","",SUMIFS('Timesheet Raw'!$P$4:$P$8000,'Timesheet Raw'!$L$4:$L$8000,$A22,'Timesheet Raw'!$C$4:$C$8000,T$3,'Timesheet Raw'!$A$4:$A$8000,"2-Proposals Chargeable")+SUMIFS('Timesheet Raw'!$P$4:$P$8000,'Timesheet Raw'!$L$4:$L$8000,$A22,'Timesheet Raw'!$C$4:$C$8000,T$3,'Timesheet Raw'!$A$4:$A$8000,"3-Proposals Regular"))</f>
        <v>0</v>
      </c>
      <c r="V22" s="341">
        <f>IF($A22="","",SUMIFS('Timesheet Raw'!$P$4:$P$8000,'Timesheet Raw'!$L$4:$L$8000,$A22,'Timesheet Raw'!$C$4:$C$8000,T$3,'Timesheet Raw'!$B$4:$B$8000,'Work Calendar'!$A$26)+SUMIFS('Timesheet Raw'!$P$4:$P$8000,'Timesheet Raw'!$L$4:$L$8000,$A22,'Timesheet Raw'!$C$4:$C$8000,T$3,'Timesheet Raw'!$B$4:$B$8000,'Work Calendar'!$A$27)+SUMIFS('Timesheet Raw'!$P$4:$P$8000,'Timesheet Raw'!$L$4:$L$8000,$A22,'Timesheet Raw'!$C$4:$C$8000,T$3,'Timesheet Raw'!$B$4:$B$8000,'Work Calendar'!$A$28)+SUMIFS('Timesheet Raw'!$P$4:$P$8000,'Timesheet Raw'!$L$4:$L$8000,$A22,'Timesheet Raw'!$C$4:$C$8000,T$3,'Timesheet Raw'!$B$4:$B$8000,'Work Calendar'!$A$29))</f>
        <v>1.25</v>
      </c>
      <c r="W22" s="341">
        <f t="shared" si="3"/>
        <v>0</v>
      </c>
      <c r="X22" s="395">
        <f>IF($A22="","",SUMIFS('Timesheet Raw'!$K$4:$K$8000,'Timesheet Raw'!$L$4:$L$8000,$A22,'Timesheet Raw'!$C$4:$C$8000,T$3))</f>
        <v>0</v>
      </c>
      <c r="Y22" s="345">
        <f>IF($A22="","",SUMIFS('Timesheet Raw'!$P$4:$P$8000,'Timesheet Raw'!$L$4:$L$8000,$A22,'Timesheet Raw'!$C$4:$C$8000,T$3))</f>
        <v>8.5</v>
      </c>
      <c r="Z22" s="375"/>
      <c r="AA22" t="str">
        <f>IF($A22="","",IF(Z22&lt;&gt;"",Z22,IF($A22&gt;'Work Calendar'!$B$17,"No data yet",IF(AND(V22&gt;='Work Calendar'!$B$14,T22+U22+W22&gt;0),"Day off - but worked",IF(V22&gt;='Work Calendar'!$B$14,"Day off",IF(T22+U22+W22&gt;0,IF($C22="Working","Charged","Worked weekend"),IF($C22="Working","Leave (not charged)",$C22)))))))</f>
        <v>Charged</v>
      </c>
    </row>
    <row r="23" spans="1:27" x14ac:dyDescent="0.3">
      <c r="A23" s="371">
        <f>IF($A22="","",IF($A22+1&gt;'Work Calendar'!$B$16,"",$A22+1))</f>
        <v>46041</v>
      </c>
      <c r="B23" t="str">
        <f t="shared" si="0"/>
        <v>Mon</v>
      </c>
      <c r="C23" t="str" cm="1">
        <f t="array" ref="C23">IF($A23="","",IF(COUNTIF('Work Calendar'!$E$6:$E$200,$A23)&gt;0,"Holiday",IF(INDEX('Work Calendar'!$C$6:$C$12,WEEKDAY($A23,1))=1,"Working","Weekend")))</f>
        <v>Working</v>
      </c>
      <c r="D23" s="341">
        <f>IF($A23="","",SUMIFS('Timesheet Raw'!$P$4:$P$8000,'Timesheet Raw'!$L$4:$L$8000,$A23,'Timesheet Raw'!$C$4:$C$8000,D$3,'Timesheet Raw'!$A$4:$A$8000,"1-Projects"))</f>
        <v>6.25</v>
      </c>
      <c r="E23" s="341">
        <f>IF($A23="","",SUMIFS('Timesheet Raw'!$P$4:$P$8000,'Timesheet Raw'!$L$4:$L$8000,$A23,'Timesheet Raw'!$C$4:$C$8000,D$3,'Timesheet Raw'!$A$4:$A$8000,"2-Proposals Chargeable")+SUMIFS('Timesheet Raw'!$P$4:$P$8000,'Timesheet Raw'!$L$4:$L$8000,$A23,'Timesheet Raw'!$C$4:$C$8000,D$3,'Timesheet Raw'!$A$4:$A$8000,"3-Proposals Regular"))</f>
        <v>1</v>
      </c>
      <c r="F23" s="341">
        <f>IF($A23="","",SUMIFS('Timesheet Raw'!$P$4:$P$8000,'Timesheet Raw'!$L$4:$L$8000,$A23,'Timesheet Raw'!$C$4:$C$8000,D$3,'Timesheet Raw'!$B$4:$B$8000,'Work Calendar'!$A$26)+SUMIFS('Timesheet Raw'!$P$4:$P$8000,'Timesheet Raw'!$L$4:$L$8000,$A23,'Timesheet Raw'!$C$4:$C$8000,D$3,'Timesheet Raw'!$B$4:$B$8000,'Work Calendar'!$A$27)+SUMIFS('Timesheet Raw'!$P$4:$P$8000,'Timesheet Raw'!$L$4:$L$8000,$A23,'Timesheet Raw'!$C$4:$C$8000,D$3,'Timesheet Raw'!$B$4:$B$8000,'Work Calendar'!$A$28)+SUMIFS('Timesheet Raw'!$P$4:$P$8000,'Timesheet Raw'!$L$4:$L$8000,$A23,'Timesheet Raw'!$C$4:$C$8000,D$3,'Timesheet Raw'!$B$4:$B$8000,'Work Calendar'!$A$29))</f>
        <v>1.25</v>
      </c>
      <c r="G23" s="341">
        <f t="shared" si="1"/>
        <v>0</v>
      </c>
      <c r="H23" s="395">
        <f>IF($A23="","",SUMIFS('Timesheet Raw'!$K$4:$K$8000,'Timesheet Raw'!$L$4:$L$8000,$A23,'Timesheet Raw'!$C$4:$C$8000,D$3))</f>
        <v>0</v>
      </c>
      <c r="I23" s="345">
        <f>IF($A23="","",SUMIFS('Timesheet Raw'!$P$4:$P$8000,'Timesheet Raw'!$L$4:$L$8000,$A23,'Timesheet Raw'!$C$4:$C$8000,D$3))</f>
        <v>8.5</v>
      </c>
      <c r="J23" s="375"/>
      <c r="K23" t="str">
        <f>IF($A23="","",IF(J23&lt;&gt;"",J23,IF($A23&gt;'Work Calendar'!$B$17,"No data yet",IF(AND(F23&gt;='Work Calendar'!$B$14,D23+E23+G23&gt;0),"Day off - but worked",IF(F23&gt;='Work Calendar'!$B$14,"Day off",IF(D23+E23+G23&gt;0,IF($C23="Working","Charged","Worked weekend"),IF($C23="Working","Leave (not charged)",$C23)))))))</f>
        <v>Charged</v>
      </c>
      <c r="L23" s="341">
        <f>IF($A23="","",SUMIFS('Timesheet Raw'!$P$4:$P$8000,'Timesheet Raw'!$L$4:$L$8000,$A23,'Timesheet Raw'!$C$4:$C$8000,L$3,'Timesheet Raw'!$A$4:$A$8000,"1-Projects"))</f>
        <v>9.25</v>
      </c>
      <c r="M23" s="341">
        <f>IF($A23="","",SUMIFS('Timesheet Raw'!$P$4:$P$8000,'Timesheet Raw'!$L$4:$L$8000,$A23,'Timesheet Raw'!$C$4:$C$8000,L$3,'Timesheet Raw'!$A$4:$A$8000,"2-Proposals Chargeable")+SUMIFS('Timesheet Raw'!$P$4:$P$8000,'Timesheet Raw'!$L$4:$L$8000,$A23,'Timesheet Raw'!$C$4:$C$8000,L$3,'Timesheet Raw'!$A$4:$A$8000,"3-Proposals Regular"))</f>
        <v>0</v>
      </c>
      <c r="N23" s="341">
        <f>IF($A23="","",SUMIFS('Timesheet Raw'!$P$4:$P$8000,'Timesheet Raw'!$L$4:$L$8000,$A23,'Timesheet Raw'!$C$4:$C$8000,L$3,'Timesheet Raw'!$B$4:$B$8000,'Work Calendar'!$A$26)+SUMIFS('Timesheet Raw'!$P$4:$P$8000,'Timesheet Raw'!$L$4:$L$8000,$A23,'Timesheet Raw'!$C$4:$C$8000,L$3,'Timesheet Raw'!$B$4:$B$8000,'Work Calendar'!$A$27)+SUMIFS('Timesheet Raw'!$P$4:$P$8000,'Timesheet Raw'!$L$4:$L$8000,$A23,'Timesheet Raw'!$C$4:$C$8000,L$3,'Timesheet Raw'!$B$4:$B$8000,'Work Calendar'!$A$28)+SUMIFS('Timesheet Raw'!$P$4:$P$8000,'Timesheet Raw'!$L$4:$L$8000,$A23,'Timesheet Raw'!$C$4:$C$8000,L$3,'Timesheet Raw'!$B$4:$B$8000,'Work Calendar'!$A$29))</f>
        <v>0</v>
      </c>
      <c r="O23" s="341">
        <f t="shared" si="2"/>
        <v>0</v>
      </c>
      <c r="P23" s="395">
        <f>IF($A23="","",SUMIFS('Timesheet Raw'!$K$4:$K$8000,'Timesheet Raw'!$L$4:$L$8000,$A23,'Timesheet Raw'!$C$4:$C$8000,L$3))</f>
        <v>0.75</v>
      </c>
      <c r="Q23" s="345">
        <f>IF($A23="","",SUMIFS('Timesheet Raw'!$P$4:$P$8000,'Timesheet Raw'!$L$4:$L$8000,$A23,'Timesheet Raw'!$C$4:$C$8000,L$3))</f>
        <v>9.25</v>
      </c>
      <c r="R23" s="375"/>
      <c r="S23" t="str">
        <f>IF($A23="","",IF(R23&lt;&gt;"",R23,IF($A23&gt;'Work Calendar'!$B$17,"No data yet",IF(AND(N23&gt;='Work Calendar'!$B$14,L23+M23+O23&gt;0),"Day off - but worked",IF(N23&gt;='Work Calendar'!$B$14,"Day off",IF(L23+M23+O23&gt;0,IF($C23="Working","Charged","Worked weekend"),IF($C23="Working","Leave (not charged)",$C23)))))))</f>
        <v>Charged</v>
      </c>
      <c r="T23" s="341">
        <f>IF($A23="","",SUMIFS('Timesheet Raw'!$P$4:$P$8000,'Timesheet Raw'!$L$4:$L$8000,$A23,'Timesheet Raw'!$C$4:$C$8000,T$3,'Timesheet Raw'!$A$4:$A$8000,"1-Projects"))</f>
        <v>0</v>
      </c>
      <c r="U23" s="341">
        <f>IF($A23="","",SUMIFS('Timesheet Raw'!$P$4:$P$8000,'Timesheet Raw'!$L$4:$L$8000,$A23,'Timesheet Raw'!$C$4:$C$8000,T$3,'Timesheet Raw'!$A$4:$A$8000,"2-Proposals Chargeable")+SUMIFS('Timesheet Raw'!$P$4:$P$8000,'Timesheet Raw'!$L$4:$L$8000,$A23,'Timesheet Raw'!$C$4:$C$8000,T$3,'Timesheet Raw'!$A$4:$A$8000,"3-Proposals Regular"))</f>
        <v>0</v>
      </c>
      <c r="V23" s="341">
        <f>IF($A23="","",SUMIFS('Timesheet Raw'!$P$4:$P$8000,'Timesheet Raw'!$L$4:$L$8000,$A23,'Timesheet Raw'!$C$4:$C$8000,T$3,'Timesheet Raw'!$B$4:$B$8000,'Work Calendar'!$A$26)+SUMIFS('Timesheet Raw'!$P$4:$P$8000,'Timesheet Raw'!$L$4:$L$8000,$A23,'Timesheet Raw'!$C$4:$C$8000,T$3,'Timesheet Raw'!$B$4:$B$8000,'Work Calendar'!$A$27)+SUMIFS('Timesheet Raw'!$P$4:$P$8000,'Timesheet Raw'!$L$4:$L$8000,$A23,'Timesheet Raw'!$C$4:$C$8000,T$3,'Timesheet Raw'!$B$4:$B$8000,'Work Calendar'!$A$28)+SUMIFS('Timesheet Raw'!$P$4:$P$8000,'Timesheet Raw'!$L$4:$L$8000,$A23,'Timesheet Raw'!$C$4:$C$8000,T$3,'Timesheet Raw'!$B$4:$B$8000,'Work Calendar'!$A$29))</f>
        <v>8.5</v>
      </c>
      <c r="W23" s="341">
        <f t="shared" si="3"/>
        <v>0</v>
      </c>
      <c r="X23" s="395">
        <f>IF($A23="","",SUMIFS('Timesheet Raw'!$K$4:$K$8000,'Timesheet Raw'!$L$4:$L$8000,$A23,'Timesheet Raw'!$C$4:$C$8000,T$3))</f>
        <v>0</v>
      </c>
      <c r="Y23" s="345">
        <f>IF($A23="","",SUMIFS('Timesheet Raw'!$P$4:$P$8000,'Timesheet Raw'!$L$4:$L$8000,$A23,'Timesheet Raw'!$C$4:$C$8000,T$3))</f>
        <v>8.5</v>
      </c>
      <c r="Z23" s="375"/>
      <c r="AA23" t="str">
        <f>IF($A23="","",IF(Z23&lt;&gt;"",Z23,IF($A23&gt;'Work Calendar'!$B$17,"No data yet",IF(AND(V23&gt;='Work Calendar'!$B$14,T23+U23+W23&gt;0),"Day off - but worked",IF(V23&gt;='Work Calendar'!$B$14,"Day off",IF(T23+U23+W23&gt;0,IF($C23="Working","Charged","Worked weekend"),IF($C23="Working","Leave (not charged)",$C23)))))))</f>
        <v>Day off</v>
      </c>
    </row>
    <row r="24" spans="1:27" x14ac:dyDescent="0.3">
      <c r="A24" s="371">
        <f>IF($A23="","",IF($A23+1&gt;'Work Calendar'!$B$16,"",$A23+1))</f>
        <v>46042</v>
      </c>
      <c r="B24" t="str">
        <f t="shared" si="0"/>
        <v>Tue</v>
      </c>
      <c r="C24" t="str" cm="1">
        <f t="array" ref="C24">IF($A24="","",IF(COUNTIF('Work Calendar'!$E$6:$E$200,$A24)&gt;0,"Holiday",IF(INDEX('Work Calendar'!$C$6:$C$12,WEEKDAY($A24,1))=1,"Working","Weekend")))</f>
        <v>Working</v>
      </c>
      <c r="D24" s="341">
        <f>IF($A24="","",SUMIFS('Timesheet Raw'!$P$4:$P$8000,'Timesheet Raw'!$L$4:$L$8000,$A24,'Timesheet Raw'!$C$4:$C$8000,D$3,'Timesheet Raw'!$A$4:$A$8000,"1-Projects"))</f>
        <v>6.75</v>
      </c>
      <c r="E24" s="341">
        <f>IF($A24="","",SUMIFS('Timesheet Raw'!$P$4:$P$8000,'Timesheet Raw'!$L$4:$L$8000,$A24,'Timesheet Raw'!$C$4:$C$8000,D$3,'Timesheet Raw'!$A$4:$A$8000,"2-Proposals Chargeable")+SUMIFS('Timesheet Raw'!$P$4:$P$8000,'Timesheet Raw'!$L$4:$L$8000,$A24,'Timesheet Raw'!$C$4:$C$8000,D$3,'Timesheet Raw'!$A$4:$A$8000,"3-Proposals Regular"))</f>
        <v>0</v>
      </c>
      <c r="F24" s="341">
        <f>IF($A24="","",SUMIFS('Timesheet Raw'!$P$4:$P$8000,'Timesheet Raw'!$L$4:$L$8000,$A24,'Timesheet Raw'!$C$4:$C$8000,D$3,'Timesheet Raw'!$B$4:$B$8000,'Work Calendar'!$A$26)+SUMIFS('Timesheet Raw'!$P$4:$P$8000,'Timesheet Raw'!$L$4:$L$8000,$A24,'Timesheet Raw'!$C$4:$C$8000,D$3,'Timesheet Raw'!$B$4:$B$8000,'Work Calendar'!$A$27)+SUMIFS('Timesheet Raw'!$P$4:$P$8000,'Timesheet Raw'!$L$4:$L$8000,$A24,'Timesheet Raw'!$C$4:$C$8000,D$3,'Timesheet Raw'!$B$4:$B$8000,'Work Calendar'!$A$28)+SUMIFS('Timesheet Raw'!$P$4:$P$8000,'Timesheet Raw'!$L$4:$L$8000,$A24,'Timesheet Raw'!$C$4:$C$8000,D$3,'Timesheet Raw'!$B$4:$B$8000,'Work Calendar'!$A$29))</f>
        <v>1.75</v>
      </c>
      <c r="G24" s="341">
        <f t="shared" si="1"/>
        <v>0</v>
      </c>
      <c r="H24" s="395">
        <f>IF($A24="","",SUMIFS('Timesheet Raw'!$K$4:$K$8000,'Timesheet Raw'!$L$4:$L$8000,$A24,'Timesheet Raw'!$C$4:$C$8000,D$3))</f>
        <v>0</v>
      </c>
      <c r="I24" s="345">
        <f>IF($A24="","",SUMIFS('Timesheet Raw'!$P$4:$P$8000,'Timesheet Raw'!$L$4:$L$8000,$A24,'Timesheet Raw'!$C$4:$C$8000,D$3))</f>
        <v>8.5</v>
      </c>
      <c r="J24" s="375"/>
      <c r="K24" t="str">
        <f>IF($A24="","",IF(J24&lt;&gt;"",J24,IF($A24&gt;'Work Calendar'!$B$17,"No data yet",IF(AND(F24&gt;='Work Calendar'!$B$14,D24+E24+G24&gt;0),"Day off - but worked",IF(F24&gt;='Work Calendar'!$B$14,"Day off",IF(D24+E24+G24&gt;0,IF($C24="Working","Charged","Worked weekend"),IF($C24="Working","Leave (not charged)",$C24)))))))</f>
        <v>Charged</v>
      </c>
      <c r="L24" s="341">
        <f>IF($A24="","",SUMIFS('Timesheet Raw'!$P$4:$P$8000,'Timesheet Raw'!$L$4:$L$8000,$A24,'Timesheet Raw'!$C$4:$C$8000,L$3,'Timesheet Raw'!$A$4:$A$8000,"1-Projects"))</f>
        <v>9.25</v>
      </c>
      <c r="M24" s="341">
        <f>IF($A24="","",SUMIFS('Timesheet Raw'!$P$4:$P$8000,'Timesheet Raw'!$L$4:$L$8000,$A24,'Timesheet Raw'!$C$4:$C$8000,L$3,'Timesheet Raw'!$A$4:$A$8000,"2-Proposals Chargeable")+SUMIFS('Timesheet Raw'!$P$4:$P$8000,'Timesheet Raw'!$L$4:$L$8000,$A24,'Timesheet Raw'!$C$4:$C$8000,L$3,'Timesheet Raw'!$A$4:$A$8000,"3-Proposals Regular"))</f>
        <v>0</v>
      </c>
      <c r="N24" s="341">
        <f>IF($A24="","",SUMIFS('Timesheet Raw'!$P$4:$P$8000,'Timesheet Raw'!$L$4:$L$8000,$A24,'Timesheet Raw'!$C$4:$C$8000,L$3,'Timesheet Raw'!$B$4:$B$8000,'Work Calendar'!$A$26)+SUMIFS('Timesheet Raw'!$P$4:$P$8000,'Timesheet Raw'!$L$4:$L$8000,$A24,'Timesheet Raw'!$C$4:$C$8000,L$3,'Timesheet Raw'!$B$4:$B$8000,'Work Calendar'!$A$27)+SUMIFS('Timesheet Raw'!$P$4:$P$8000,'Timesheet Raw'!$L$4:$L$8000,$A24,'Timesheet Raw'!$C$4:$C$8000,L$3,'Timesheet Raw'!$B$4:$B$8000,'Work Calendar'!$A$28)+SUMIFS('Timesheet Raw'!$P$4:$P$8000,'Timesheet Raw'!$L$4:$L$8000,$A24,'Timesheet Raw'!$C$4:$C$8000,L$3,'Timesheet Raw'!$B$4:$B$8000,'Work Calendar'!$A$29))</f>
        <v>0</v>
      </c>
      <c r="O24" s="341">
        <f t="shared" si="2"/>
        <v>0</v>
      </c>
      <c r="P24" s="395">
        <f>IF($A24="","",SUMIFS('Timesheet Raw'!$K$4:$K$8000,'Timesheet Raw'!$L$4:$L$8000,$A24,'Timesheet Raw'!$C$4:$C$8000,L$3))</f>
        <v>0.75</v>
      </c>
      <c r="Q24" s="345">
        <f>IF($A24="","",SUMIFS('Timesheet Raw'!$P$4:$P$8000,'Timesheet Raw'!$L$4:$L$8000,$A24,'Timesheet Raw'!$C$4:$C$8000,L$3))</f>
        <v>9.25</v>
      </c>
      <c r="R24" s="375"/>
      <c r="S24" t="str">
        <f>IF($A24="","",IF(R24&lt;&gt;"",R24,IF($A24&gt;'Work Calendar'!$B$17,"No data yet",IF(AND(N24&gt;='Work Calendar'!$B$14,L24+M24+O24&gt;0),"Day off - but worked",IF(N24&gt;='Work Calendar'!$B$14,"Day off",IF(L24+M24+O24&gt;0,IF($C24="Working","Charged","Worked weekend"),IF($C24="Working","Leave (not charged)",$C24)))))))</f>
        <v>Charged</v>
      </c>
      <c r="T24" s="341">
        <f>IF($A24="","",SUMIFS('Timesheet Raw'!$P$4:$P$8000,'Timesheet Raw'!$L$4:$L$8000,$A24,'Timesheet Raw'!$C$4:$C$8000,T$3,'Timesheet Raw'!$A$4:$A$8000,"1-Projects"))</f>
        <v>7.5</v>
      </c>
      <c r="U24" s="341">
        <f>IF($A24="","",SUMIFS('Timesheet Raw'!$P$4:$P$8000,'Timesheet Raw'!$L$4:$L$8000,$A24,'Timesheet Raw'!$C$4:$C$8000,T$3,'Timesheet Raw'!$A$4:$A$8000,"2-Proposals Chargeable")+SUMIFS('Timesheet Raw'!$P$4:$P$8000,'Timesheet Raw'!$L$4:$L$8000,$A24,'Timesheet Raw'!$C$4:$C$8000,T$3,'Timesheet Raw'!$A$4:$A$8000,"3-Proposals Regular"))</f>
        <v>0</v>
      </c>
      <c r="V24" s="341">
        <f>IF($A24="","",SUMIFS('Timesheet Raw'!$P$4:$P$8000,'Timesheet Raw'!$L$4:$L$8000,$A24,'Timesheet Raw'!$C$4:$C$8000,T$3,'Timesheet Raw'!$B$4:$B$8000,'Work Calendar'!$A$26)+SUMIFS('Timesheet Raw'!$P$4:$P$8000,'Timesheet Raw'!$L$4:$L$8000,$A24,'Timesheet Raw'!$C$4:$C$8000,T$3,'Timesheet Raw'!$B$4:$B$8000,'Work Calendar'!$A$27)+SUMIFS('Timesheet Raw'!$P$4:$P$8000,'Timesheet Raw'!$L$4:$L$8000,$A24,'Timesheet Raw'!$C$4:$C$8000,T$3,'Timesheet Raw'!$B$4:$B$8000,'Work Calendar'!$A$28)+SUMIFS('Timesheet Raw'!$P$4:$P$8000,'Timesheet Raw'!$L$4:$L$8000,$A24,'Timesheet Raw'!$C$4:$C$8000,T$3,'Timesheet Raw'!$B$4:$B$8000,'Work Calendar'!$A$29))</f>
        <v>1</v>
      </c>
      <c r="W24" s="341">
        <f t="shared" si="3"/>
        <v>0</v>
      </c>
      <c r="X24" s="395">
        <f>IF($A24="","",SUMIFS('Timesheet Raw'!$K$4:$K$8000,'Timesheet Raw'!$L$4:$L$8000,$A24,'Timesheet Raw'!$C$4:$C$8000,T$3))</f>
        <v>0</v>
      </c>
      <c r="Y24" s="345">
        <f>IF($A24="","",SUMIFS('Timesheet Raw'!$P$4:$P$8000,'Timesheet Raw'!$L$4:$L$8000,$A24,'Timesheet Raw'!$C$4:$C$8000,T$3))</f>
        <v>8.5</v>
      </c>
      <c r="Z24" s="375"/>
      <c r="AA24" t="str">
        <f>IF($A24="","",IF(Z24&lt;&gt;"",Z24,IF($A24&gt;'Work Calendar'!$B$17,"No data yet",IF(AND(V24&gt;='Work Calendar'!$B$14,T24+U24+W24&gt;0),"Day off - but worked",IF(V24&gt;='Work Calendar'!$B$14,"Day off",IF(T24+U24+W24&gt;0,IF($C24="Working","Charged","Worked weekend"),IF($C24="Working","Leave (not charged)",$C24)))))))</f>
        <v>Charged</v>
      </c>
    </row>
    <row r="25" spans="1:27" x14ac:dyDescent="0.3">
      <c r="A25" s="371">
        <f>IF($A24="","",IF($A24+1&gt;'Work Calendar'!$B$16,"",$A24+1))</f>
        <v>46043</v>
      </c>
      <c r="B25" t="str">
        <f t="shared" si="0"/>
        <v>Wed</v>
      </c>
      <c r="C25" t="str" cm="1">
        <f t="array" ref="C25">IF($A25="","",IF(COUNTIF('Work Calendar'!$E$6:$E$200,$A25)&gt;0,"Holiday",IF(INDEX('Work Calendar'!$C$6:$C$12,WEEKDAY($A25,1))=1,"Working","Weekend")))</f>
        <v>Working</v>
      </c>
      <c r="D25" s="341">
        <f>IF($A25="","",SUMIFS('Timesheet Raw'!$P$4:$P$8000,'Timesheet Raw'!$L$4:$L$8000,$A25,'Timesheet Raw'!$C$4:$C$8000,D$3,'Timesheet Raw'!$A$4:$A$8000,"1-Projects"))</f>
        <v>9</v>
      </c>
      <c r="E25" s="341">
        <f>IF($A25="","",SUMIFS('Timesheet Raw'!$P$4:$P$8000,'Timesheet Raw'!$L$4:$L$8000,$A25,'Timesheet Raw'!$C$4:$C$8000,D$3,'Timesheet Raw'!$A$4:$A$8000,"2-Proposals Chargeable")+SUMIFS('Timesheet Raw'!$P$4:$P$8000,'Timesheet Raw'!$L$4:$L$8000,$A25,'Timesheet Raw'!$C$4:$C$8000,D$3,'Timesheet Raw'!$A$4:$A$8000,"3-Proposals Regular"))</f>
        <v>0</v>
      </c>
      <c r="F25" s="341">
        <f>IF($A25="","",SUMIFS('Timesheet Raw'!$P$4:$P$8000,'Timesheet Raw'!$L$4:$L$8000,$A25,'Timesheet Raw'!$C$4:$C$8000,D$3,'Timesheet Raw'!$B$4:$B$8000,'Work Calendar'!$A$26)+SUMIFS('Timesheet Raw'!$P$4:$P$8000,'Timesheet Raw'!$L$4:$L$8000,$A25,'Timesheet Raw'!$C$4:$C$8000,D$3,'Timesheet Raw'!$B$4:$B$8000,'Work Calendar'!$A$27)+SUMIFS('Timesheet Raw'!$P$4:$P$8000,'Timesheet Raw'!$L$4:$L$8000,$A25,'Timesheet Raw'!$C$4:$C$8000,D$3,'Timesheet Raw'!$B$4:$B$8000,'Work Calendar'!$A$28)+SUMIFS('Timesheet Raw'!$P$4:$P$8000,'Timesheet Raw'!$L$4:$L$8000,$A25,'Timesheet Raw'!$C$4:$C$8000,D$3,'Timesheet Raw'!$B$4:$B$8000,'Work Calendar'!$A$29))</f>
        <v>0.5</v>
      </c>
      <c r="G25" s="341">
        <f t="shared" si="1"/>
        <v>0</v>
      </c>
      <c r="H25" s="395">
        <f>IF($A25="","",SUMIFS('Timesheet Raw'!$K$4:$K$8000,'Timesheet Raw'!$L$4:$L$8000,$A25,'Timesheet Raw'!$C$4:$C$8000,D$3))</f>
        <v>1</v>
      </c>
      <c r="I25" s="345">
        <f>IF($A25="","",SUMIFS('Timesheet Raw'!$P$4:$P$8000,'Timesheet Raw'!$L$4:$L$8000,$A25,'Timesheet Raw'!$C$4:$C$8000,D$3))</f>
        <v>9.5</v>
      </c>
      <c r="J25" s="375"/>
      <c r="K25" t="str">
        <f>IF($A25="","",IF(J25&lt;&gt;"",J25,IF($A25&gt;'Work Calendar'!$B$17,"No data yet",IF(AND(F25&gt;='Work Calendar'!$B$14,D25+E25+G25&gt;0),"Day off - but worked",IF(F25&gt;='Work Calendar'!$B$14,"Day off",IF(D25+E25+G25&gt;0,IF($C25="Working","Charged","Worked weekend"),IF($C25="Working","Leave (not charged)",$C25)))))))</f>
        <v>Charged</v>
      </c>
      <c r="L25" s="341">
        <f>IF($A25="","",SUMIFS('Timesheet Raw'!$P$4:$P$8000,'Timesheet Raw'!$L$4:$L$8000,$A25,'Timesheet Raw'!$C$4:$C$8000,L$3,'Timesheet Raw'!$A$4:$A$8000,"1-Projects"))</f>
        <v>9.25</v>
      </c>
      <c r="M25" s="341">
        <f>IF($A25="","",SUMIFS('Timesheet Raw'!$P$4:$P$8000,'Timesheet Raw'!$L$4:$L$8000,$A25,'Timesheet Raw'!$C$4:$C$8000,L$3,'Timesheet Raw'!$A$4:$A$8000,"2-Proposals Chargeable")+SUMIFS('Timesheet Raw'!$P$4:$P$8000,'Timesheet Raw'!$L$4:$L$8000,$A25,'Timesheet Raw'!$C$4:$C$8000,L$3,'Timesheet Raw'!$A$4:$A$8000,"3-Proposals Regular"))</f>
        <v>0</v>
      </c>
      <c r="N25" s="341">
        <f>IF($A25="","",SUMIFS('Timesheet Raw'!$P$4:$P$8000,'Timesheet Raw'!$L$4:$L$8000,$A25,'Timesheet Raw'!$C$4:$C$8000,L$3,'Timesheet Raw'!$B$4:$B$8000,'Work Calendar'!$A$26)+SUMIFS('Timesheet Raw'!$P$4:$P$8000,'Timesheet Raw'!$L$4:$L$8000,$A25,'Timesheet Raw'!$C$4:$C$8000,L$3,'Timesheet Raw'!$B$4:$B$8000,'Work Calendar'!$A$27)+SUMIFS('Timesheet Raw'!$P$4:$P$8000,'Timesheet Raw'!$L$4:$L$8000,$A25,'Timesheet Raw'!$C$4:$C$8000,L$3,'Timesheet Raw'!$B$4:$B$8000,'Work Calendar'!$A$28)+SUMIFS('Timesheet Raw'!$P$4:$P$8000,'Timesheet Raw'!$L$4:$L$8000,$A25,'Timesheet Raw'!$C$4:$C$8000,L$3,'Timesheet Raw'!$B$4:$B$8000,'Work Calendar'!$A$29))</f>
        <v>0</v>
      </c>
      <c r="O25" s="341">
        <f t="shared" si="2"/>
        <v>0</v>
      </c>
      <c r="P25" s="395">
        <f>IF($A25="","",SUMIFS('Timesheet Raw'!$K$4:$K$8000,'Timesheet Raw'!$L$4:$L$8000,$A25,'Timesheet Raw'!$C$4:$C$8000,L$3))</f>
        <v>0.75</v>
      </c>
      <c r="Q25" s="345">
        <f>IF($A25="","",SUMIFS('Timesheet Raw'!$P$4:$P$8000,'Timesheet Raw'!$L$4:$L$8000,$A25,'Timesheet Raw'!$C$4:$C$8000,L$3))</f>
        <v>9.25</v>
      </c>
      <c r="R25" s="375"/>
      <c r="S25" t="str">
        <f>IF($A25="","",IF(R25&lt;&gt;"",R25,IF($A25&gt;'Work Calendar'!$B$17,"No data yet",IF(AND(N25&gt;='Work Calendar'!$B$14,L25+M25+O25&gt;0),"Day off - but worked",IF(N25&gt;='Work Calendar'!$B$14,"Day off",IF(L25+M25+O25&gt;0,IF($C25="Working","Charged","Worked weekend"),IF($C25="Working","Leave (not charged)",$C25)))))))</f>
        <v>Charged</v>
      </c>
      <c r="T25" s="341">
        <f>IF($A25="","",SUMIFS('Timesheet Raw'!$P$4:$P$8000,'Timesheet Raw'!$L$4:$L$8000,$A25,'Timesheet Raw'!$C$4:$C$8000,T$3,'Timesheet Raw'!$A$4:$A$8000,"1-Projects"))</f>
        <v>9.5</v>
      </c>
      <c r="U25" s="341">
        <f>IF($A25="","",SUMIFS('Timesheet Raw'!$P$4:$P$8000,'Timesheet Raw'!$L$4:$L$8000,$A25,'Timesheet Raw'!$C$4:$C$8000,T$3,'Timesheet Raw'!$A$4:$A$8000,"2-Proposals Chargeable")+SUMIFS('Timesheet Raw'!$P$4:$P$8000,'Timesheet Raw'!$L$4:$L$8000,$A25,'Timesheet Raw'!$C$4:$C$8000,T$3,'Timesheet Raw'!$A$4:$A$8000,"3-Proposals Regular"))</f>
        <v>0</v>
      </c>
      <c r="V25" s="341">
        <f>IF($A25="","",SUMIFS('Timesheet Raw'!$P$4:$P$8000,'Timesheet Raw'!$L$4:$L$8000,$A25,'Timesheet Raw'!$C$4:$C$8000,T$3,'Timesheet Raw'!$B$4:$B$8000,'Work Calendar'!$A$26)+SUMIFS('Timesheet Raw'!$P$4:$P$8000,'Timesheet Raw'!$L$4:$L$8000,$A25,'Timesheet Raw'!$C$4:$C$8000,T$3,'Timesheet Raw'!$B$4:$B$8000,'Work Calendar'!$A$27)+SUMIFS('Timesheet Raw'!$P$4:$P$8000,'Timesheet Raw'!$L$4:$L$8000,$A25,'Timesheet Raw'!$C$4:$C$8000,T$3,'Timesheet Raw'!$B$4:$B$8000,'Work Calendar'!$A$28)+SUMIFS('Timesheet Raw'!$P$4:$P$8000,'Timesheet Raw'!$L$4:$L$8000,$A25,'Timesheet Raw'!$C$4:$C$8000,T$3,'Timesheet Raw'!$B$4:$B$8000,'Work Calendar'!$A$29))</f>
        <v>0</v>
      </c>
      <c r="W25" s="341">
        <f t="shared" si="3"/>
        <v>0</v>
      </c>
      <c r="X25" s="395">
        <f>IF($A25="","",SUMIFS('Timesheet Raw'!$K$4:$K$8000,'Timesheet Raw'!$L$4:$L$8000,$A25,'Timesheet Raw'!$C$4:$C$8000,T$3))</f>
        <v>1</v>
      </c>
      <c r="Y25" s="345">
        <f>IF($A25="","",SUMIFS('Timesheet Raw'!$P$4:$P$8000,'Timesheet Raw'!$L$4:$L$8000,$A25,'Timesheet Raw'!$C$4:$C$8000,T$3))</f>
        <v>9.5</v>
      </c>
      <c r="Z25" s="375"/>
      <c r="AA25" t="str">
        <f>IF($A25="","",IF(Z25&lt;&gt;"",Z25,IF($A25&gt;'Work Calendar'!$B$17,"No data yet",IF(AND(V25&gt;='Work Calendar'!$B$14,T25+U25+W25&gt;0),"Day off - but worked",IF(V25&gt;='Work Calendar'!$B$14,"Day off",IF(T25+U25+W25&gt;0,IF($C25="Working","Charged","Worked weekend"),IF($C25="Working","Leave (not charged)",$C25)))))))</f>
        <v>Charged</v>
      </c>
    </row>
    <row r="26" spans="1:27" x14ac:dyDescent="0.3">
      <c r="A26" s="371">
        <f>IF($A25="","",IF($A25+1&gt;'Work Calendar'!$B$16,"",$A25+1))</f>
        <v>46044</v>
      </c>
      <c r="B26" t="str">
        <f t="shared" si="0"/>
        <v>Thu</v>
      </c>
      <c r="C26" t="str" cm="1">
        <f t="array" ref="C26">IF($A26="","",IF(COUNTIF('Work Calendar'!$E$6:$E$200,$A26)&gt;0,"Holiday",IF(INDEX('Work Calendar'!$C$6:$C$12,WEEKDAY($A26,1))=1,"Working","Weekend")))</f>
        <v>Working</v>
      </c>
      <c r="D26" s="341">
        <f>IF($A26="","",SUMIFS('Timesheet Raw'!$P$4:$P$8000,'Timesheet Raw'!$L$4:$L$8000,$A26,'Timesheet Raw'!$C$4:$C$8000,D$3,'Timesheet Raw'!$A$4:$A$8000,"1-Projects"))</f>
        <v>7.5</v>
      </c>
      <c r="E26" s="341">
        <f>IF($A26="","",SUMIFS('Timesheet Raw'!$P$4:$P$8000,'Timesheet Raw'!$L$4:$L$8000,$A26,'Timesheet Raw'!$C$4:$C$8000,D$3,'Timesheet Raw'!$A$4:$A$8000,"2-Proposals Chargeable")+SUMIFS('Timesheet Raw'!$P$4:$P$8000,'Timesheet Raw'!$L$4:$L$8000,$A26,'Timesheet Raw'!$C$4:$C$8000,D$3,'Timesheet Raw'!$A$4:$A$8000,"3-Proposals Regular"))</f>
        <v>0</v>
      </c>
      <c r="F26" s="341">
        <f>IF($A26="","",SUMIFS('Timesheet Raw'!$P$4:$P$8000,'Timesheet Raw'!$L$4:$L$8000,$A26,'Timesheet Raw'!$C$4:$C$8000,D$3,'Timesheet Raw'!$B$4:$B$8000,'Work Calendar'!$A$26)+SUMIFS('Timesheet Raw'!$P$4:$P$8000,'Timesheet Raw'!$L$4:$L$8000,$A26,'Timesheet Raw'!$C$4:$C$8000,D$3,'Timesheet Raw'!$B$4:$B$8000,'Work Calendar'!$A$27)+SUMIFS('Timesheet Raw'!$P$4:$P$8000,'Timesheet Raw'!$L$4:$L$8000,$A26,'Timesheet Raw'!$C$4:$C$8000,D$3,'Timesheet Raw'!$B$4:$B$8000,'Work Calendar'!$A$28)+SUMIFS('Timesheet Raw'!$P$4:$P$8000,'Timesheet Raw'!$L$4:$L$8000,$A26,'Timesheet Raw'!$C$4:$C$8000,D$3,'Timesheet Raw'!$B$4:$B$8000,'Work Calendar'!$A$29))</f>
        <v>1</v>
      </c>
      <c r="G26" s="341">
        <f t="shared" si="1"/>
        <v>0</v>
      </c>
      <c r="H26" s="395">
        <f>IF($A26="","",SUMIFS('Timesheet Raw'!$K$4:$K$8000,'Timesheet Raw'!$L$4:$L$8000,$A26,'Timesheet Raw'!$C$4:$C$8000,D$3))</f>
        <v>0</v>
      </c>
      <c r="I26" s="345">
        <f>IF($A26="","",SUMIFS('Timesheet Raw'!$P$4:$P$8000,'Timesheet Raw'!$L$4:$L$8000,$A26,'Timesheet Raw'!$C$4:$C$8000,D$3))</f>
        <v>8.5</v>
      </c>
      <c r="J26" s="375"/>
      <c r="K26" t="str">
        <f>IF($A26="","",IF(J26&lt;&gt;"",J26,IF($A26&gt;'Work Calendar'!$B$17,"No data yet",IF(AND(F26&gt;='Work Calendar'!$B$14,D26+E26+G26&gt;0),"Day off - but worked",IF(F26&gt;='Work Calendar'!$B$14,"Day off",IF(D26+E26+G26&gt;0,IF($C26="Working","Charged","Worked weekend"),IF($C26="Working","Leave (not charged)",$C26)))))))</f>
        <v>Charged</v>
      </c>
      <c r="L26" s="341">
        <f>IF($A26="","",SUMIFS('Timesheet Raw'!$P$4:$P$8000,'Timesheet Raw'!$L$4:$L$8000,$A26,'Timesheet Raw'!$C$4:$C$8000,L$3,'Timesheet Raw'!$A$4:$A$8000,"1-Projects"))</f>
        <v>0</v>
      </c>
      <c r="M26" s="341">
        <f>IF($A26="","",SUMIFS('Timesheet Raw'!$P$4:$P$8000,'Timesheet Raw'!$L$4:$L$8000,$A26,'Timesheet Raw'!$C$4:$C$8000,L$3,'Timesheet Raw'!$A$4:$A$8000,"2-Proposals Chargeable")+SUMIFS('Timesheet Raw'!$P$4:$P$8000,'Timesheet Raw'!$L$4:$L$8000,$A26,'Timesheet Raw'!$C$4:$C$8000,L$3,'Timesheet Raw'!$A$4:$A$8000,"3-Proposals Regular"))</f>
        <v>0</v>
      </c>
      <c r="N26" s="341">
        <f>IF($A26="","",SUMIFS('Timesheet Raw'!$P$4:$P$8000,'Timesheet Raw'!$L$4:$L$8000,$A26,'Timesheet Raw'!$C$4:$C$8000,L$3,'Timesheet Raw'!$B$4:$B$8000,'Work Calendar'!$A$26)+SUMIFS('Timesheet Raw'!$P$4:$P$8000,'Timesheet Raw'!$L$4:$L$8000,$A26,'Timesheet Raw'!$C$4:$C$8000,L$3,'Timesheet Raw'!$B$4:$B$8000,'Work Calendar'!$A$27)+SUMIFS('Timesheet Raw'!$P$4:$P$8000,'Timesheet Raw'!$L$4:$L$8000,$A26,'Timesheet Raw'!$C$4:$C$8000,L$3,'Timesheet Raw'!$B$4:$B$8000,'Work Calendar'!$A$28)+SUMIFS('Timesheet Raw'!$P$4:$P$8000,'Timesheet Raw'!$L$4:$L$8000,$A26,'Timesheet Raw'!$C$4:$C$8000,L$3,'Timesheet Raw'!$B$4:$B$8000,'Work Calendar'!$A$29))</f>
        <v>8.5</v>
      </c>
      <c r="O26" s="341">
        <f t="shared" si="2"/>
        <v>0</v>
      </c>
      <c r="P26" s="395">
        <f>IF($A26="","",SUMIFS('Timesheet Raw'!$K$4:$K$8000,'Timesheet Raw'!$L$4:$L$8000,$A26,'Timesheet Raw'!$C$4:$C$8000,L$3))</f>
        <v>0</v>
      </c>
      <c r="Q26" s="345">
        <f>IF($A26="","",SUMIFS('Timesheet Raw'!$P$4:$P$8000,'Timesheet Raw'!$L$4:$L$8000,$A26,'Timesheet Raw'!$C$4:$C$8000,L$3))</f>
        <v>8.5</v>
      </c>
      <c r="R26" s="375"/>
      <c r="S26" t="str">
        <f>IF($A26="","",IF(R26&lt;&gt;"",R26,IF($A26&gt;'Work Calendar'!$B$17,"No data yet",IF(AND(N26&gt;='Work Calendar'!$B$14,L26+M26+O26&gt;0),"Day off - but worked",IF(N26&gt;='Work Calendar'!$B$14,"Day off",IF(L26+M26+O26&gt;0,IF($C26="Working","Charged","Worked weekend"),IF($C26="Working","Leave (not charged)",$C26)))))))</f>
        <v>Day off</v>
      </c>
      <c r="T26" s="341">
        <f>IF($A26="","",SUMIFS('Timesheet Raw'!$P$4:$P$8000,'Timesheet Raw'!$L$4:$L$8000,$A26,'Timesheet Raw'!$C$4:$C$8000,T$3,'Timesheet Raw'!$A$4:$A$8000,"1-Projects"))</f>
        <v>8.25</v>
      </c>
      <c r="U26" s="341">
        <f>IF($A26="","",SUMIFS('Timesheet Raw'!$P$4:$P$8000,'Timesheet Raw'!$L$4:$L$8000,$A26,'Timesheet Raw'!$C$4:$C$8000,T$3,'Timesheet Raw'!$A$4:$A$8000,"2-Proposals Chargeable")+SUMIFS('Timesheet Raw'!$P$4:$P$8000,'Timesheet Raw'!$L$4:$L$8000,$A26,'Timesheet Raw'!$C$4:$C$8000,T$3,'Timesheet Raw'!$A$4:$A$8000,"3-Proposals Regular"))</f>
        <v>0</v>
      </c>
      <c r="V26" s="341">
        <f>IF($A26="","",SUMIFS('Timesheet Raw'!$P$4:$P$8000,'Timesheet Raw'!$L$4:$L$8000,$A26,'Timesheet Raw'!$C$4:$C$8000,T$3,'Timesheet Raw'!$B$4:$B$8000,'Work Calendar'!$A$26)+SUMIFS('Timesheet Raw'!$P$4:$P$8000,'Timesheet Raw'!$L$4:$L$8000,$A26,'Timesheet Raw'!$C$4:$C$8000,T$3,'Timesheet Raw'!$B$4:$B$8000,'Work Calendar'!$A$27)+SUMIFS('Timesheet Raw'!$P$4:$P$8000,'Timesheet Raw'!$L$4:$L$8000,$A26,'Timesheet Raw'!$C$4:$C$8000,T$3,'Timesheet Raw'!$B$4:$B$8000,'Work Calendar'!$A$28)+SUMIFS('Timesheet Raw'!$P$4:$P$8000,'Timesheet Raw'!$L$4:$L$8000,$A26,'Timesheet Raw'!$C$4:$C$8000,T$3,'Timesheet Raw'!$B$4:$B$8000,'Work Calendar'!$A$29))</f>
        <v>0.25</v>
      </c>
      <c r="W26" s="341">
        <f t="shared" si="3"/>
        <v>0</v>
      </c>
      <c r="X26" s="395">
        <f>IF($A26="","",SUMIFS('Timesheet Raw'!$K$4:$K$8000,'Timesheet Raw'!$L$4:$L$8000,$A26,'Timesheet Raw'!$C$4:$C$8000,T$3))</f>
        <v>0</v>
      </c>
      <c r="Y26" s="345">
        <f>IF($A26="","",SUMIFS('Timesheet Raw'!$P$4:$P$8000,'Timesheet Raw'!$L$4:$L$8000,$A26,'Timesheet Raw'!$C$4:$C$8000,T$3))</f>
        <v>8.5</v>
      </c>
      <c r="Z26" s="375"/>
      <c r="AA26" t="str">
        <f>IF($A26="","",IF(Z26&lt;&gt;"",Z26,IF($A26&gt;'Work Calendar'!$B$17,"No data yet",IF(AND(V26&gt;='Work Calendar'!$B$14,T26+U26+W26&gt;0),"Day off - but worked",IF(V26&gt;='Work Calendar'!$B$14,"Day off",IF(T26+U26+W26&gt;0,IF($C26="Working","Charged","Worked weekend"),IF($C26="Working","Leave (not charged)",$C26)))))))</f>
        <v>Charged</v>
      </c>
    </row>
    <row r="27" spans="1:27" x14ac:dyDescent="0.3">
      <c r="A27" s="371">
        <f>IF($A26="","",IF($A26+1&gt;'Work Calendar'!$B$16,"",$A26+1))</f>
        <v>46045</v>
      </c>
      <c r="B27" t="str">
        <f t="shared" si="0"/>
        <v>Fri</v>
      </c>
      <c r="C27" t="str" cm="1">
        <f t="array" ref="C27">IF($A27="","",IF(COUNTIF('Work Calendar'!$E$6:$E$200,$A27)&gt;0,"Holiday",IF(INDEX('Work Calendar'!$C$6:$C$12,WEEKDAY($A27,1))=1,"Working","Weekend")))</f>
        <v>Weekend</v>
      </c>
      <c r="D27" s="341">
        <f>IF($A27="","",SUMIFS('Timesheet Raw'!$P$4:$P$8000,'Timesheet Raw'!$L$4:$L$8000,$A27,'Timesheet Raw'!$C$4:$C$8000,D$3,'Timesheet Raw'!$A$4:$A$8000,"1-Projects"))</f>
        <v>0</v>
      </c>
      <c r="E27" s="341">
        <f>IF($A27="","",SUMIFS('Timesheet Raw'!$P$4:$P$8000,'Timesheet Raw'!$L$4:$L$8000,$A27,'Timesheet Raw'!$C$4:$C$8000,D$3,'Timesheet Raw'!$A$4:$A$8000,"2-Proposals Chargeable")+SUMIFS('Timesheet Raw'!$P$4:$P$8000,'Timesheet Raw'!$L$4:$L$8000,$A27,'Timesheet Raw'!$C$4:$C$8000,D$3,'Timesheet Raw'!$A$4:$A$8000,"3-Proposals Regular"))</f>
        <v>0</v>
      </c>
      <c r="F27" s="341">
        <f>IF($A27="","",SUMIFS('Timesheet Raw'!$P$4:$P$8000,'Timesheet Raw'!$L$4:$L$8000,$A27,'Timesheet Raw'!$C$4:$C$8000,D$3,'Timesheet Raw'!$B$4:$B$8000,'Work Calendar'!$A$26)+SUMIFS('Timesheet Raw'!$P$4:$P$8000,'Timesheet Raw'!$L$4:$L$8000,$A27,'Timesheet Raw'!$C$4:$C$8000,D$3,'Timesheet Raw'!$B$4:$B$8000,'Work Calendar'!$A$27)+SUMIFS('Timesheet Raw'!$P$4:$P$8000,'Timesheet Raw'!$L$4:$L$8000,$A27,'Timesheet Raw'!$C$4:$C$8000,D$3,'Timesheet Raw'!$B$4:$B$8000,'Work Calendar'!$A$28)+SUMIFS('Timesheet Raw'!$P$4:$P$8000,'Timesheet Raw'!$L$4:$L$8000,$A27,'Timesheet Raw'!$C$4:$C$8000,D$3,'Timesheet Raw'!$B$4:$B$8000,'Work Calendar'!$A$29))</f>
        <v>0</v>
      </c>
      <c r="G27" s="341">
        <f t="shared" si="1"/>
        <v>0</v>
      </c>
      <c r="H27" s="395">
        <f>IF($A27="","",SUMIFS('Timesheet Raw'!$K$4:$K$8000,'Timesheet Raw'!$L$4:$L$8000,$A27,'Timesheet Raw'!$C$4:$C$8000,D$3))</f>
        <v>0</v>
      </c>
      <c r="I27" s="345">
        <f>IF($A27="","",SUMIFS('Timesheet Raw'!$P$4:$P$8000,'Timesheet Raw'!$L$4:$L$8000,$A27,'Timesheet Raw'!$C$4:$C$8000,D$3))</f>
        <v>0</v>
      </c>
      <c r="J27" s="375"/>
      <c r="K27" t="str">
        <f>IF($A27="","",IF(J27&lt;&gt;"",J27,IF($A27&gt;'Work Calendar'!$B$17,"No data yet",IF(AND(F27&gt;='Work Calendar'!$B$14,D27+E27+G27&gt;0),"Day off - but worked",IF(F27&gt;='Work Calendar'!$B$14,"Day off",IF(D27+E27+G27&gt;0,IF($C27="Working","Charged","Worked weekend"),IF($C27="Working","Leave (not charged)",$C27)))))))</f>
        <v>Weekend</v>
      </c>
      <c r="L27" s="341">
        <f>IF($A27="","",SUMIFS('Timesheet Raw'!$P$4:$P$8000,'Timesheet Raw'!$L$4:$L$8000,$A27,'Timesheet Raw'!$C$4:$C$8000,L$3,'Timesheet Raw'!$A$4:$A$8000,"1-Projects"))</f>
        <v>0</v>
      </c>
      <c r="M27" s="341">
        <f>IF($A27="","",SUMIFS('Timesheet Raw'!$P$4:$P$8000,'Timesheet Raw'!$L$4:$L$8000,$A27,'Timesheet Raw'!$C$4:$C$8000,L$3,'Timesheet Raw'!$A$4:$A$8000,"2-Proposals Chargeable")+SUMIFS('Timesheet Raw'!$P$4:$P$8000,'Timesheet Raw'!$L$4:$L$8000,$A27,'Timesheet Raw'!$C$4:$C$8000,L$3,'Timesheet Raw'!$A$4:$A$8000,"3-Proposals Regular"))</f>
        <v>0</v>
      </c>
      <c r="N27" s="341">
        <f>IF($A27="","",SUMIFS('Timesheet Raw'!$P$4:$P$8000,'Timesheet Raw'!$L$4:$L$8000,$A27,'Timesheet Raw'!$C$4:$C$8000,L$3,'Timesheet Raw'!$B$4:$B$8000,'Work Calendar'!$A$26)+SUMIFS('Timesheet Raw'!$P$4:$P$8000,'Timesheet Raw'!$L$4:$L$8000,$A27,'Timesheet Raw'!$C$4:$C$8000,L$3,'Timesheet Raw'!$B$4:$B$8000,'Work Calendar'!$A$27)+SUMIFS('Timesheet Raw'!$P$4:$P$8000,'Timesheet Raw'!$L$4:$L$8000,$A27,'Timesheet Raw'!$C$4:$C$8000,L$3,'Timesheet Raw'!$B$4:$B$8000,'Work Calendar'!$A$28)+SUMIFS('Timesheet Raw'!$P$4:$P$8000,'Timesheet Raw'!$L$4:$L$8000,$A27,'Timesheet Raw'!$C$4:$C$8000,L$3,'Timesheet Raw'!$B$4:$B$8000,'Work Calendar'!$A$29))</f>
        <v>0</v>
      </c>
      <c r="O27" s="341">
        <f t="shared" si="2"/>
        <v>0</v>
      </c>
      <c r="P27" s="395">
        <f>IF($A27="","",SUMIFS('Timesheet Raw'!$K$4:$K$8000,'Timesheet Raw'!$L$4:$L$8000,$A27,'Timesheet Raw'!$C$4:$C$8000,L$3))</f>
        <v>0</v>
      </c>
      <c r="Q27" s="345">
        <f>IF($A27="","",SUMIFS('Timesheet Raw'!$P$4:$P$8000,'Timesheet Raw'!$L$4:$L$8000,$A27,'Timesheet Raw'!$C$4:$C$8000,L$3))</f>
        <v>0</v>
      </c>
      <c r="R27" s="375"/>
      <c r="S27" t="str">
        <f>IF($A27="","",IF(R27&lt;&gt;"",R27,IF($A27&gt;'Work Calendar'!$B$17,"No data yet",IF(AND(N27&gt;='Work Calendar'!$B$14,L27+M27+O27&gt;0),"Day off - but worked",IF(N27&gt;='Work Calendar'!$B$14,"Day off",IF(L27+M27+O27&gt;0,IF($C27="Working","Charged","Worked weekend"),IF($C27="Working","Leave (not charged)",$C27)))))))</f>
        <v>Weekend</v>
      </c>
      <c r="T27" s="341">
        <f>IF($A27="","",SUMIFS('Timesheet Raw'!$P$4:$P$8000,'Timesheet Raw'!$L$4:$L$8000,$A27,'Timesheet Raw'!$C$4:$C$8000,T$3,'Timesheet Raw'!$A$4:$A$8000,"1-Projects"))</f>
        <v>0</v>
      </c>
      <c r="U27" s="341">
        <f>IF($A27="","",SUMIFS('Timesheet Raw'!$P$4:$P$8000,'Timesheet Raw'!$L$4:$L$8000,$A27,'Timesheet Raw'!$C$4:$C$8000,T$3,'Timesheet Raw'!$A$4:$A$8000,"2-Proposals Chargeable")+SUMIFS('Timesheet Raw'!$P$4:$P$8000,'Timesheet Raw'!$L$4:$L$8000,$A27,'Timesheet Raw'!$C$4:$C$8000,T$3,'Timesheet Raw'!$A$4:$A$8000,"3-Proposals Regular"))</f>
        <v>0</v>
      </c>
      <c r="V27" s="341">
        <f>IF($A27="","",SUMIFS('Timesheet Raw'!$P$4:$P$8000,'Timesheet Raw'!$L$4:$L$8000,$A27,'Timesheet Raw'!$C$4:$C$8000,T$3,'Timesheet Raw'!$B$4:$B$8000,'Work Calendar'!$A$26)+SUMIFS('Timesheet Raw'!$P$4:$P$8000,'Timesheet Raw'!$L$4:$L$8000,$A27,'Timesheet Raw'!$C$4:$C$8000,T$3,'Timesheet Raw'!$B$4:$B$8000,'Work Calendar'!$A$27)+SUMIFS('Timesheet Raw'!$P$4:$P$8000,'Timesheet Raw'!$L$4:$L$8000,$A27,'Timesheet Raw'!$C$4:$C$8000,T$3,'Timesheet Raw'!$B$4:$B$8000,'Work Calendar'!$A$28)+SUMIFS('Timesheet Raw'!$P$4:$P$8000,'Timesheet Raw'!$L$4:$L$8000,$A27,'Timesheet Raw'!$C$4:$C$8000,T$3,'Timesheet Raw'!$B$4:$B$8000,'Work Calendar'!$A$29))</f>
        <v>0</v>
      </c>
      <c r="W27" s="341">
        <f t="shared" si="3"/>
        <v>0</v>
      </c>
      <c r="X27" s="395">
        <f>IF($A27="","",SUMIFS('Timesheet Raw'!$K$4:$K$8000,'Timesheet Raw'!$L$4:$L$8000,$A27,'Timesheet Raw'!$C$4:$C$8000,T$3))</f>
        <v>0</v>
      </c>
      <c r="Y27" s="345">
        <f>IF($A27="","",SUMIFS('Timesheet Raw'!$P$4:$P$8000,'Timesheet Raw'!$L$4:$L$8000,$A27,'Timesheet Raw'!$C$4:$C$8000,T$3))</f>
        <v>0</v>
      </c>
      <c r="Z27" s="375"/>
      <c r="AA27" t="str">
        <f>IF($A27="","",IF(Z27&lt;&gt;"",Z27,IF($A27&gt;'Work Calendar'!$B$17,"No data yet",IF(AND(V27&gt;='Work Calendar'!$B$14,T27+U27+W27&gt;0),"Day off - but worked",IF(V27&gt;='Work Calendar'!$B$14,"Day off",IF(T27+U27+W27&gt;0,IF($C27="Working","Charged","Worked weekend"),IF($C27="Working","Leave (not charged)",$C27)))))))</f>
        <v>Weekend</v>
      </c>
    </row>
    <row r="28" spans="1:27" x14ac:dyDescent="0.3">
      <c r="A28" s="371">
        <f>IF($A27="","",IF($A27+1&gt;'Work Calendar'!$B$16,"",$A27+1))</f>
        <v>46046</v>
      </c>
      <c r="B28" t="str">
        <f t="shared" si="0"/>
        <v>Sat</v>
      </c>
      <c r="C28" t="str" cm="1">
        <f t="array" ref="C28">IF($A28="","",IF(COUNTIF('Work Calendar'!$E$6:$E$200,$A28)&gt;0,"Holiday",IF(INDEX('Work Calendar'!$C$6:$C$12,WEEKDAY($A28,1))=1,"Working","Weekend")))</f>
        <v>Weekend</v>
      </c>
      <c r="D28" s="341">
        <f>IF($A28="","",SUMIFS('Timesheet Raw'!$P$4:$P$8000,'Timesheet Raw'!$L$4:$L$8000,$A28,'Timesheet Raw'!$C$4:$C$8000,D$3,'Timesheet Raw'!$A$4:$A$8000,"1-Projects"))</f>
        <v>0</v>
      </c>
      <c r="E28" s="341">
        <f>IF($A28="","",SUMIFS('Timesheet Raw'!$P$4:$P$8000,'Timesheet Raw'!$L$4:$L$8000,$A28,'Timesheet Raw'!$C$4:$C$8000,D$3,'Timesheet Raw'!$A$4:$A$8000,"2-Proposals Chargeable")+SUMIFS('Timesheet Raw'!$P$4:$P$8000,'Timesheet Raw'!$L$4:$L$8000,$A28,'Timesheet Raw'!$C$4:$C$8000,D$3,'Timesheet Raw'!$A$4:$A$8000,"3-Proposals Regular"))</f>
        <v>0</v>
      </c>
      <c r="F28" s="341">
        <f>IF($A28="","",SUMIFS('Timesheet Raw'!$P$4:$P$8000,'Timesheet Raw'!$L$4:$L$8000,$A28,'Timesheet Raw'!$C$4:$C$8000,D$3,'Timesheet Raw'!$B$4:$B$8000,'Work Calendar'!$A$26)+SUMIFS('Timesheet Raw'!$P$4:$P$8000,'Timesheet Raw'!$L$4:$L$8000,$A28,'Timesheet Raw'!$C$4:$C$8000,D$3,'Timesheet Raw'!$B$4:$B$8000,'Work Calendar'!$A$27)+SUMIFS('Timesheet Raw'!$P$4:$P$8000,'Timesheet Raw'!$L$4:$L$8000,$A28,'Timesheet Raw'!$C$4:$C$8000,D$3,'Timesheet Raw'!$B$4:$B$8000,'Work Calendar'!$A$28)+SUMIFS('Timesheet Raw'!$P$4:$P$8000,'Timesheet Raw'!$L$4:$L$8000,$A28,'Timesheet Raw'!$C$4:$C$8000,D$3,'Timesheet Raw'!$B$4:$B$8000,'Work Calendar'!$A$29))</f>
        <v>0</v>
      </c>
      <c r="G28" s="341">
        <f t="shared" si="1"/>
        <v>0</v>
      </c>
      <c r="H28" s="395">
        <f>IF($A28="","",SUMIFS('Timesheet Raw'!$K$4:$K$8000,'Timesheet Raw'!$L$4:$L$8000,$A28,'Timesheet Raw'!$C$4:$C$8000,D$3))</f>
        <v>0</v>
      </c>
      <c r="I28" s="345">
        <f>IF($A28="","",SUMIFS('Timesheet Raw'!$P$4:$P$8000,'Timesheet Raw'!$L$4:$L$8000,$A28,'Timesheet Raw'!$C$4:$C$8000,D$3))</f>
        <v>0</v>
      </c>
      <c r="J28" s="375"/>
      <c r="K28" t="str">
        <f>IF($A28="","",IF(J28&lt;&gt;"",J28,IF($A28&gt;'Work Calendar'!$B$17,"No data yet",IF(AND(F28&gt;='Work Calendar'!$B$14,D28+E28+G28&gt;0),"Day off - but worked",IF(F28&gt;='Work Calendar'!$B$14,"Day off",IF(D28+E28+G28&gt;0,IF($C28="Working","Charged","Worked weekend"),IF($C28="Working","Leave (not charged)",$C28)))))))</f>
        <v>Weekend</v>
      </c>
      <c r="L28" s="341">
        <f>IF($A28="","",SUMIFS('Timesheet Raw'!$P$4:$P$8000,'Timesheet Raw'!$L$4:$L$8000,$A28,'Timesheet Raw'!$C$4:$C$8000,L$3,'Timesheet Raw'!$A$4:$A$8000,"1-Projects"))</f>
        <v>0</v>
      </c>
      <c r="M28" s="341">
        <f>IF($A28="","",SUMIFS('Timesheet Raw'!$P$4:$P$8000,'Timesheet Raw'!$L$4:$L$8000,$A28,'Timesheet Raw'!$C$4:$C$8000,L$3,'Timesheet Raw'!$A$4:$A$8000,"2-Proposals Chargeable")+SUMIFS('Timesheet Raw'!$P$4:$P$8000,'Timesheet Raw'!$L$4:$L$8000,$A28,'Timesheet Raw'!$C$4:$C$8000,L$3,'Timesheet Raw'!$A$4:$A$8000,"3-Proposals Regular"))</f>
        <v>0</v>
      </c>
      <c r="N28" s="341">
        <f>IF($A28="","",SUMIFS('Timesheet Raw'!$P$4:$P$8000,'Timesheet Raw'!$L$4:$L$8000,$A28,'Timesheet Raw'!$C$4:$C$8000,L$3,'Timesheet Raw'!$B$4:$B$8000,'Work Calendar'!$A$26)+SUMIFS('Timesheet Raw'!$P$4:$P$8000,'Timesheet Raw'!$L$4:$L$8000,$A28,'Timesheet Raw'!$C$4:$C$8000,L$3,'Timesheet Raw'!$B$4:$B$8000,'Work Calendar'!$A$27)+SUMIFS('Timesheet Raw'!$P$4:$P$8000,'Timesheet Raw'!$L$4:$L$8000,$A28,'Timesheet Raw'!$C$4:$C$8000,L$3,'Timesheet Raw'!$B$4:$B$8000,'Work Calendar'!$A$28)+SUMIFS('Timesheet Raw'!$P$4:$P$8000,'Timesheet Raw'!$L$4:$L$8000,$A28,'Timesheet Raw'!$C$4:$C$8000,L$3,'Timesheet Raw'!$B$4:$B$8000,'Work Calendar'!$A$29))</f>
        <v>0</v>
      </c>
      <c r="O28" s="341">
        <f t="shared" si="2"/>
        <v>0</v>
      </c>
      <c r="P28" s="395">
        <f>IF($A28="","",SUMIFS('Timesheet Raw'!$K$4:$K$8000,'Timesheet Raw'!$L$4:$L$8000,$A28,'Timesheet Raw'!$C$4:$C$8000,L$3))</f>
        <v>0</v>
      </c>
      <c r="Q28" s="345">
        <f>IF($A28="","",SUMIFS('Timesheet Raw'!$P$4:$P$8000,'Timesheet Raw'!$L$4:$L$8000,$A28,'Timesheet Raw'!$C$4:$C$8000,L$3))</f>
        <v>0</v>
      </c>
      <c r="R28" s="375"/>
      <c r="S28" t="str">
        <f>IF($A28="","",IF(R28&lt;&gt;"",R28,IF($A28&gt;'Work Calendar'!$B$17,"No data yet",IF(AND(N28&gt;='Work Calendar'!$B$14,L28+M28+O28&gt;0),"Day off - but worked",IF(N28&gt;='Work Calendar'!$B$14,"Day off",IF(L28+M28+O28&gt;0,IF($C28="Working","Charged","Worked weekend"),IF($C28="Working","Leave (not charged)",$C28)))))))</f>
        <v>Weekend</v>
      </c>
      <c r="T28" s="341">
        <f>IF($A28="","",SUMIFS('Timesheet Raw'!$P$4:$P$8000,'Timesheet Raw'!$L$4:$L$8000,$A28,'Timesheet Raw'!$C$4:$C$8000,T$3,'Timesheet Raw'!$A$4:$A$8000,"1-Projects"))</f>
        <v>0</v>
      </c>
      <c r="U28" s="341">
        <f>IF($A28="","",SUMIFS('Timesheet Raw'!$P$4:$P$8000,'Timesheet Raw'!$L$4:$L$8000,$A28,'Timesheet Raw'!$C$4:$C$8000,T$3,'Timesheet Raw'!$A$4:$A$8000,"2-Proposals Chargeable")+SUMIFS('Timesheet Raw'!$P$4:$P$8000,'Timesheet Raw'!$L$4:$L$8000,$A28,'Timesheet Raw'!$C$4:$C$8000,T$3,'Timesheet Raw'!$A$4:$A$8000,"3-Proposals Regular"))</f>
        <v>0</v>
      </c>
      <c r="V28" s="341">
        <f>IF($A28="","",SUMIFS('Timesheet Raw'!$P$4:$P$8000,'Timesheet Raw'!$L$4:$L$8000,$A28,'Timesheet Raw'!$C$4:$C$8000,T$3,'Timesheet Raw'!$B$4:$B$8000,'Work Calendar'!$A$26)+SUMIFS('Timesheet Raw'!$P$4:$P$8000,'Timesheet Raw'!$L$4:$L$8000,$A28,'Timesheet Raw'!$C$4:$C$8000,T$3,'Timesheet Raw'!$B$4:$B$8000,'Work Calendar'!$A$27)+SUMIFS('Timesheet Raw'!$P$4:$P$8000,'Timesheet Raw'!$L$4:$L$8000,$A28,'Timesheet Raw'!$C$4:$C$8000,T$3,'Timesheet Raw'!$B$4:$B$8000,'Work Calendar'!$A$28)+SUMIFS('Timesheet Raw'!$P$4:$P$8000,'Timesheet Raw'!$L$4:$L$8000,$A28,'Timesheet Raw'!$C$4:$C$8000,T$3,'Timesheet Raw'!$B$4:$B$8000,'Work Calendar'!$A$29))</f>
        <v>0</v>
      </c>
      <c r="W28" s="341">
        <f t="shared" si="3"/>
        <v>0</v>
      </c>
      <c r="X28" s="395">
        <f>IF($A28="","",SUMIFS('Timesheet Raw'!$K$4:$K$8000,'Timesheet Raw'!$L$4:$L$8000,$A28,'Timesheet Raw'!$C$4:$C$8000,T$3))</f>
        <v>0</v>
      </c>
      <c r="Y28" s="345">
        <f>IF($A28="","",SUMIFS('Timesheet Raw'!$P$4:$P$8000,'Timesheet Raw'!$L$4:$L$8000,$A28,'Timesheet Raw'!$C$4:$C$8000,T$3))</f>
        <v>0</v>
      </c>
      <c r="Z28" s="375"/>
      <c r="AA28" t="str">
        <f>IF($A28="","",IF(Z28&lt;&gt;"",Z28,IF($A28&gt;'Work Calendar'!$B$17,"No data yet",IF(AND(V28&gt;='Work Calendar'!$B$14,T28+U28+W28&gt;0),"Day off - but worked",IF(V28&gt;='Work Calendar'!$B$14,"Day off",IF(T28+U28+W28&gt;0,IF($C28="Working","Charged","Worked weekend"),IF($C28="Working","Leave (not charged)",$C28)))))))</f>
        <v>Weekend</v>
      </c>
    </row>
    <row r="29" spans="1:27" x14ac:dyDescent="0.3">
      <c r="A29" s="371">
        <f>IF($A28="","",IF($A28+1&gt;'Work Calendar'!$B$16,"",$A28+1))</f>
        <v>46047</v>
      </c>
      <c r="B29" t="str">
        <f t="shared" si="0"/>
        <v>Sun</v>
      </c>
      <c r="C29" t="str" cm="1">
        <f t="array" ref="C29">IF($A29="","",IF(COUNTIF('Work Calendar'!$E$6:$E$200,$A29)&gt;0,"Holiday",IF(INDEX('Work Calendar'!$C$6:$C$12,WEEKDAY($A29,1))=1,"Working","Weekend")))</f>
        <v>Working</v>
      </c>
      <c r="D29" s="341">
        <f>IF($A29="","",SUMIFS('Timesheet Raw'!$P$4:$P$8000,'Timesheet Raw'!$L$4:$L$8000,$A29,'Timesheet Raw'!$C$4:$C$8000,D$3,'Timesheet Raw'!$A$4:$A$8000,"1-Projects"))</f>
        <v>0</v>
      </c>
      <c r="E29" s="341">
        <f>IF($A29="","",SUMIFS('Timesheet Raw'!$P$4:$P$8000,'Timesheet Raw'!$L$4:$L$8000,$A29,'Timesheet Raw'!$C$4:$C$8000,D$3,'Timesheet Raw'!$A$4:$A$8000,"2-Proposals Chargeable")+SUMIFS('Timesheet Raw'!$P$4:$P$8000,'Timesheet Raw'!$L$4:$L$8000,$A29,'Timesheet Raw'!$C$4:$C$8000,D$3,'Timesheet Raw'!$A$4:$A$8000,"3-Proposals Regular"))</f>
        <v>0</v>
      </c>
      <c r="F29" s="341">
        <f>IF($A29="","",SUMIFS('Timesheet Raw'!$P$4:$P$8000,'Timesheet Raw'!$L$4:$L$8000,$A29,'Timesheet Raw'!$C$4:$C$8000,D$3,'Timesheet Raw'!$B$4:$B$8000,'Work Calendar'!$A$26)+SUMIFS('Timesheet Raw'!$P$4:$P$8000,'Timesheet Raw'!$L$4:$L$8000,$A29,'Timesheet Raw'!$C$4:$C$8000,D$3,'Timesheet Raw'!$B$4:$B$8000,'Work Calendar'!$A$27)+SUMIFS('Timesheet Raw'!$P$4:$P$8000,'Timesheet Raw'!$L$4:$L$8000,$A29,'Timesheet Raw'!$C$4:$C$8000,D$3,'Timesheet Raw'!$B$4:$B$8000,'Work Calendar'!$A$28)+SUMIFS('Timesheet Raw'!$P$4:$P$8000,'Timesheet Raw'!$L$4:$L$8000,$A29,'Timesheet Raw'!$C$4:$C$8000,D$3,'Timesheet Raw'!$B$4:$B$8000,'Work Calendar'!$A$29))</f>
        <v>8.5</v>
      </c>
      <c r="G29" s="341">
        <f t="shared" si="1"/>
        <v>0</v>
      </c>
      <c r="H29" s="395">
        <f>IF($A29="","",SUMIFS('Timesheet Raw'!$K$4:$K$8000,'Timesheet Raw'!$L$4:$L$8000,$A29,'Timesheet Raw'!$C$4:$C$8000,D$3))</f>
        <v>0</v>
      </c>
      <c r="I29" s="345">
        <f>IF($A29="","",SUMIFS('Timesheet Raw'!$P$4:$P$8000,'Timesheet Raw'!$L$4:$L$8000,$A29,'Timesheet Raw'!$C$4:$C$8000,D$3))</f>
        <v>8.5</v>
      </c>
      <c r="J29" s="375"/>
      <c r="K29" t="str">
        <f>IF($A29="","",IF(J29&lt;&gt;"",J29,IF($A29&gt;'Work Calendar'!$B$17,"No data yet",IF(AND(F29&gt;='Work Calendar'!$B$14,D29+E29+G29&gt;0),"Day off - but worked",IF(F29&gt;='Work Calendar'!$B$14,"Day off",IF(D29+E29+G29&gt;0,IF($C29="Working","Charged","Worked weekend"),IF($C29="Working","Leave (not charged)",$C29)))))))</f>
        <v>Day off</v>
      </c>
      <c r="L29" s="341">
        <f>IF($A29="","",SUMIFS('Timesheet Raw'!$P$4:$P$8000,'Timesheet Raw'!$L$4:$L$8000,$A29,'Timesheet Raw'!$C$4:$C$8000,L$3,'Timesheet Raw'!$A$4:$A$8000,"1-Projects"))</f>
        <v>9.25</v>
      </c>
      <c r="M29" s="341">
        <f>IF($A29="","",SUMIFS('Timesheet Raw'!$P$4:$P$8000,'Timesheet Raw'!$L$4:$L$8000,$A29,'Timesheet Raw'!$C$4:$C$8000,L$3,'Timesheet Raw'!$A$4:$A$8000,"2-Proposals Chargeable")+SUMIFS('Timesheet Raw'!$P$4:$P$8000,'Timesheet Raw'!$L$4:$L$8000,$A29,'Timesheet Raw'!$C$4:$C$8000,L$3,'Timesheet Raw'!$A$4:$A$8000,"3-Proposals Regular"))</f>
        <v>0</v>
      </c>
      <c r="N29" s="341">
        <f>IF($A29="","",SUMIFS('Timesheet Raw'!$P$4:$P$8000,'Timesheet Raw'!$L$4:$L$8000,$A29,'Timesheet Raw'!$C$4:$C$8000,L$3,'Timesheet Raw'!$B$4:$B$8000,'Work Calendar'!$A$26)+SUMIFS('Timesheet Raw'!$P$4:$P$8000,'Timesheet Raw'!$L$4:$L$8000,$A29,'Timesheet Raw'!$C$4:$C$8000,L$3,'Timesheet Raw'!$B$4:$B$8000,'Work Calendar'!$A$27)+SUMIFS('Timesheet Raw'!$P$4:$P$8000,'Timesheet Raw'!$L$4:$L$8000,$A29,'Timesheet Raw'!$C$4:$C$8000,L$3,'Timesheet Raw'!$B$4:$B$8000,'Work Calendar'!$A$28)+SUMIFS('Timesheet Raw'!$P$4:$P$8000,'Timesheet Raw'!$L$4:$L$8000,$A29,'Timesheet Raw'!$C$4:$C$8000,L$3,'Timesheet Raw'!$B$4:$B$8000,'Work Calendar'!$A$29))</f>
        <v>0</v>
      </c>
      <c r="O29" s="341">
        <f t="shared" si="2"/>
        <v>0</v>
      </c>
      <c r="P29" s="395">
        <f>IF($A29="","",SUMIFS('Timesheet Raw'!$K$4:$K$8000,'Timesheet Raw'!$L$4:$L$8000,$A29,'Timesheet Raw'!$C$4:$C$8000,L$3))</f>
        <v>0.75</v>
      </c>
      <c r="Q29" s="345">
        <f>IF($A29="","",SUMIFS('Timesheet Raw'!$P$4:$P$8000,'Timesheet Raw'!$L$4:$L$8000,$A29,'Timesheet Raw'!$C$4:$C$8000,L$3))</f>
        <v>9.25</v>
      </c>
      <c r="R29" s="375"/>
      <c r="S29" t="str">
        <f>IF($A29="","",IF(R29&lt;&gt;"",R29,IF($A29&gt;'Work Calendar'!$B$17,"No data yet",IF(AND(N29&gt;='Work Calendar'!$B$14,L29+M29+O29&gt;0),"Day off - but worked",IF(N29&gt;='Work Calendar'!$B$14,"Day off",IF(L29+M29+O29&gt;0,IF($C29="Working","Charged","Worked weekend"),IF($C29="Working","Leave (not charged)",$C29)))))))</f>
        <v>Charged</v>
      </c>
      <c r="T29" s="341">
        <f>IF($A29="","",SUMIFS('Timesheet Raw'!$P$4:$P$8000,'Timesheet Raw'!$L$4:$L$8000,$A29,'Timesheet Raw'!$C$4:$C$8000,T$3,'Timesheet Raw'!$A$4:$A$8000,"1-Projects"))</f>
        <v>9.25</v>
      </c>
      <c r="U29" s="341">
        <f>IF($A29="","",SUMIFS('Timesheet Raw'!$P$4:$P$8000,'Timesheet Raw'!$L$4:$L$8000,$A29,'Timesheet Raw'!$C$4:$C$8000,T$3,'Timesheet Raw'!$A$4:$A$8000,"2-Proposals Chargeable")+SUMIFS('Timesheet Raw'!$P$4:$P$8000,'Timesheet Raw'!$L$4:$L$8000,$A29,'Timesheet Raw'!$C$4:$C$8000,T$3,'Timesheet Raw'!$A$4:$A$8000,"3-Proposals Regular"))</f>
        <v>0</v>
      </c>
      <c r="V29" s="341">
        <f>IF($A29="","",SUMIFS('Timesheet Raw'!$P$4:$P$8000,'Timesheet Raw'!$L$4:$L$8000,$A29,'Timesheet Raw'!$C$4:$C$8000,T$3,'Timesheet Raw'!$B$4:$B$8000,'Work Calendar'!$A$26)+SUMIFS('Timesheet Raw'!$P$4:$P$8000,'Timesheet Raw'!$L$4:$L$8000,$A29,'Timesheet Raw'!$C$4:$C$8000,T$3,'Timesheet Raw'!$B$4:$B$8000,'Work Calendar'!$A$27)+SUMIFS('Timesheet Raw'!$P$4:$P$8000,'Timesheet Raw'!$L$4:$L$8000,$A29,'Timesheet Raw'!$C$4:$C$8000,T$3,'Timesheet Raw'!$B$4:$B$8000,'Work Calendar'!$A$28)+SUMIFS('Timesheet Raw'!$P$4:$P$8000,'Timesheet Raw'!$L$4:$L$8000,$A29,'Timesheet Raw'!$C$4:$C$8000,T$3,'Timesheet Raw'!$B$4:$B$8000,'Work Calendar'!$A$29))</f>
        <v>0</v>
      </c>
      <c r="W29" s="341">
        <f t="shared" si="3"/>
        <v>0</v>
      </c>
      <c r="X29" s="395">
        <f>IF($A29="","",SUMIFS('Timesheet Raw'!$K$4:$K$8000,'Timesheet Raw'!$L$4:$L$8000,$A29,'Timesheet Raw'!$C$4:$C$8000,T$3))</f>
        <v>0.75</v>
      </c>
      <c r="Y29" s="345">
        <f>IF($A29="","",SUMIFS('Timesheet Raw'!$P$4:$P$8000,'Timesheet Raw'!$L$4:$L$8000,$A29,'Timesheet Raw'!$C$4:$C$8000,T$3))</f>
        <v>9.25</v>
      </c>
      <c r="Z29" s="375"/>
      <c r="AA29" t="str">
        <f>IF($A29="","",IF(Z29&lt;&gt;"",Z29,IF($A29&gt;'Work Calendar'!$B$17,"No data yet",IF(AND(V29&gt;='Work Calendar'!$B$14,T29+U29+W29&gt;0),"Day off - but worked",IF(V29&gt;='Work Calendar'!$B$14,"Day off",IF(T29+U29+W29&gt;0,IF($C29="Working","Charged","Worked weekend"),IF($C29="Working","Leave (not charged)",$C29)))))))</f>
        <v>Charged</v>
      </c>
    </row>
    <row r="30" spans="1:27" x14ac:dyDescent="0.3">
      <c r="A30" s="371">
        <f>IF($A29="","",IF($A29+1&gt;'Work Calendar'!$B$16,"",$A29+1))</f>
        <v>46048</v>
      </c>
      <c r="B30" t="str">
        <f t="shared" si="0"/>
        <v>Mon</v>
      </c>
      <c r="C30" t="str" cm="1">
        <f t="array" ref="C30">IF($A30="","",IF(COUNTIF('Work Calendar'!$E$6:$E$200,$A30)&gt;0,"Holiday",IF(INDEX('Work Calendar'!$C$6:$C$12,WEEKDAY($A30,1))=1,"Working","Weekend")))</f>
        <v>Working</v>
      </c>
      <c r="D30" s="341">
        <f>IF($A30="","",SUMIFS('Timesheet Raw'!$P$4:$P$8000,'Timesheet Raw'!$L$4:$L$8000,$A30,'Timesheet Raw'!$C$4:$C$8000,D$3,'Timesheet Raw'!$A$4:$A$8000,"1-Projects"))</f>
        <v>9</v>
      </c>
      <c r="E30" s="341">
        <f>IF($A30="","",SUMIFS('Timesheet Raw'!$P$4:$P$8000,'Timesheet Raw'!$L$4:$L$8000,$A30,'Timesheet Raw'!$C$4:$C$8000,D$3,'Timesheet Raw'!$A$4:$A$8000,"2-Proposals Chargeable")+SUMIFS('Timesheet Raw'!$P$4:$P$8000,'Timesheet Raw'!$L$4:$L$8000,$A30,'Timesheet Raw'!$C$4:$C$8000,D$3,'Timesheet Raw'!$A$4:$A$8000,"3-Proposals Regular"))</f>
        <v>0</v>
      </c>
      <c r="F30" s="341">
        <f>IF($A30="","",SUMIFS('Timesheet Raw'!$P$4:$P$8000,'Timesheet Raw'!$L$4:$L$8000,$A30,'Timesheet Raw'!$C$4:$C$8000,D$3,'Timesheet Raw'!$B$4:$B$8000,'Work Calendar'!$A$26)+SUMIFS('Timesheet Raw'!$P$4:$P$8000,'Timesheet Raw'!$L$4:$L$8000,$A30,'Timesheet Raw'!$C$4:$C$8000,D$3,'Timesheet Raw'!$B$4:$B$8000,'Work Calendar'!$A$27)+SUMIFS('Timesheet Raw'!$P$4:$P$8000,'Timesheet Raw'!$L$4:$L$8000,$A30,'Timesheet Raw'!$C$4:$C$8000,D$3,'Timesheet Raw'!$B$4:$B$8000,'Work Calendar'!$A$28)+SUMIFS('Timesheet Raw'!$P$4:$P$8000,'Timesheet Raw'!$L$4:$L$8000,$A30,'Timesheet Raw'!$C$4:$C$8000,D$3,'Timesheet Raw'!$B$4:$B$8000,'Work Calendar'!$A$29))</f>
        <v>0</v>
      </c>
      <c r="G30" s="341">
        <f t="shared" si="1"/>
        <v>0</v>
      </c>
      <c r="H30" s="395">
        <f>IF($A30="","",SUMIFS('Timesheet Raw'!$K$4:$K$8000,'Timesheet Raw'!$L$4:$L$8000,$A30,'Timesheet Raw'!$C$4:$C$8000,D$3))</f>
        <v>0</v>
      </c>
      <c r="I30" s="345">
        <f>IF($A30="","",SUMIFS('Timesheet Raw'!$P$4:$P$8000,'Timesheet Raw'!$L$4:$L$8000,$A30,'Timesheet Raw'!$C$4:$C$8000,D$3))</f>
        <v>9</v>
      </c>
      <c r="J30" s="375"/>
      <c r="K30" t="str">
        <f>IF($A30="","",IF(J30&lt;&gt;"",J30,IF($A30&gt;'Work Calendar'!$B$17,"No data yet",IF(AND(F30&gt;='Work Calendar'!$B$14,D30+E30+G30&gt;0),"Day off - but worked",IF(F30&gt;='Work Calendar'!$B$14,"Day off",IF(D30+E30+G30&gt;0,IF($C30="Working","Charged","Worked weekend"),IF($C30="Working","Leave (not charged)",$C30)))))))</f>
        <v>Charged</v>
      </c>
      <c r="L30" s="341">
        <f>IF($A30="","",SUMIFS('Timesheet Raw'!$P$4:$P$8000,'Timesheet Raw'!$L$4:$L$8000,$A30,'Timesheet Raw'!$C$4:$C$8000,L$3,'Timesheet Raw'!$A$4:$A$8000,"1-Projects"))</f>
        <v>6.75</v>
      </c>
      <c r="M30" s="341">
        <f>IF($A30="","",SUMIFS('Timesheet Raw'!$P$4:$P$8000,'Timesheet Raw'!$L$4:$L$8000,$A30,'Timesheet Raw'!$C$4:$C$8000,L$3,'Timesheet Raw'!$A$4:$A$8000,"2-Proposals Chargeable")+SUMIFS('Timesheet Raw'!$P$4:$P$8000,'Timesheet Raw'!$L$4:$L$8000,$A30,'Timesheet Raw'!$C$4:$C$8000,L$3,'Timesheet Raw'!$A$4:$A$8000,"3-Proposals Regular"))</f>
        <v>0</v>
      </c>
      <c r="N30" s="341">
        <f>IF($A30="","",SUMIFS('Timesheet Raw'!$P$4:$P$8000,'Timesheet Raw'!$L$4:$L$8000,$A30,'Timesheet Raw'!$C$4:$C$8000,L$3,'Timesheet Raw'!$B$4:$B$8000,'Work Calendar'!$A$26)+SUMIFS('Timesheet Raw'!$P$4:$P$8000,'Timesheet Raw'!$L$4:$L$8000,$A30,'Timesheet Raw'!$C$4:$C$8000,L$3,'Timesheet Raw'!$B$4:$B$8000,'Work Calendar'!$A$27)+SUMIFS('Timesheet Raw'!$P$4:$P$8000,'Timesheet Raw'!$L$4:$L$8000,$A30,'Timesheet Raw'!$C$4:$C$8000,L$3,'Timesheet Raw'!$B$4:$B$8000,'Work Calendar'!$A$28)+SUMIFS('Timesheet Raw'!$P$4:$P$8000,'Timesheet Raw'!$L$4:$L$8000,$A30,'Timesheet Raw'!$C$4:$C$8000,L$3,'Timesheet Raw'!$B$4:$B$8000,'Work Calendar'!$A$29))</f>
        <v>1.75</v>
      </c>
      <c r="O30" s="341">
        <f t="shared" si="2"/>
        <v>0</v>
      </c>
      <c r="P30" s="395">
        <f>IF($A30="","",SUMIFS('Timesheet Raw'!$K$4:$K$8000,'Timesheet Raw'!$L$4:$L$8000,$A30,'Timesheet Raw'!$C$4:$C$8000,L$3))</f>
        <v>0</v>
      </c>
      <c r="Q30" s="345">
        <f>IF($A30="","",SUMIFS('Timesheet Raw'!$P$4:$P$8000,'Timesheet Raw'!$L$4:$L$8000,$A30,'Timesheet Raw'!$C$4:$C$8000,L$3))</f>
        <v>8.5</v>
      </c>
      <c r="R30" s="375"/>
      <c r="S30" t="str">
        <f>IF($A30="","",IF(R30&lt;&gt;"",R30,IF($A30&gt;'Work Calendar'!$B$17,"No data yet",IF(AND(N30&gt;='Work Calendar'!$B$14,L30+M30+O30&gt;0),"Day off - but worked",IF(N30&gt;='Work Calendar'!$B$14,"Day off",IF(L30+M30+O30&gt;0,IF($C30="Working","Charged","Worked weekend"),IF($C30="Working","Leave (not charged)",$C30)))))))</f>
        <v>Charged</v>
      </c>
      <c r="T30" s="341">
        <f>IF($A30="","",SUMIFS('Timesheet Raw'!$P$4:$P$8000,'Timesheet Raw'!$L$4:$L$8000,$A30,'Timesheet Raw'!$C$4:$C$8000,T$3,'Timesheet Raw'!$A$4:$A$8000,"1-Projects"))</f>
        <v>8</v>
      </c>
      <c r="U30" s="341">
        <f>IF($A30="","",SUMIFS('Timesheet Raw'!$P$4:$P$8000,'Timesheet Raw'!$L$4:$L$8000,$A30,'Timesheet Raw'!$C$4:$C$8000,T$3,'Timesheet Raw'!$A$4:$A$8000,"2-Proposals Chargeable")+SUMIFS('Timesheet Raw'!$P$4:$P$8000,'Timesheet Raw'!$L$4:$L$8000,$A30,'Timesheet Raw'!$C$4:$C$8000,T$3,'Timesheet Raw'!$A$4:$A$8000,"3-Proposals Regular"))</f>
        <v>0</v>
      </c>
      <c r="V30" s="341">
        <f>IF($A30="","",SUMIFS('Timesheet Raw'!$P$4:$P$8000,'Timesheet Raw'!$L$4:$L$8000,$A30,'Timesheet Raw'!$C$4:$C$8000,T$3,'Timesheet Raw'!$B$4:$B$8000,'Work Calendar'!$A$26)+SUMIFS('Timesheet Raw'!$P$4:$P$8000,'Timesheet Raw'!$L$4:$L$8000,$A30,'Timesheet Raw'!$C$4:$C$8000,T$3,'Timesheet Raw'!$B$4:$B$8000,'Work Calendar'!$A$27)+SUMIFS('Timesheet Raw'!$P$4:$P$8000,'Timesheet Raw'!$L$4:$L$8000,$A30,'Timesheet Raw'!$C$4:$C$8000,T$3,'Timesheet Raw'!$B$4:$B$8000,'Work Calendar'!$A$28)+SUMIFS('Timesheet Raw'!$P$4:$P$8000,'Timesheet Raw'!$L$4:$L$8000,$A30,'Timesheet Raw'!$C$4:$C$8000,T$3,'Timesheet Raw'!$B$4:$B$8000,'Work Calendar'!$A$29))</f>
        <v>0.5</v>
      </c>
      <c r="W30" s="341">
        <f t="shared" si="3"/>
        <v>0</v>
      </c>
      <c r="X30" s="395">
        <f>IF($A30="","",SUMIFS('Timesheet Raw'!$K$4:$K$8000,'Timesheet Raw'!$L$4:$L$8000,$A30,'Timesheet Raw'!$C$4:$C$8000,T$3))</f>
        <v>0</v>
      </c>
      <c r="Y30" s="345">
        <f>IF($A30="","",SUMIFS('Timesheet Raw'!$P$4:$P$8000,'Timesheet Raw'!$L$4:$L$8000,$A30,'Timesheet Raw'!$C$4:$C$8000,T$3))</f>
        <v>8.5</v>
      </c>
      <c r="Z30" s="375"/>
      <c r="AA30" t="str">
        <f>IF($A30="","",IF(Z30&lt;&gt;"",Z30,IF($A30&gt;'Work Calendar'!$B$17,"No data yet",IF(AND(V30&gt;='Work Calendar'!$B$14,T30+U30+W30&gt;0),"Day off - but worked",IF(V30&gt;='Work Calendar'!$B$14,"Day off",IF(T30+U30+W30&gt;0,IF($C30="Working","Charged","Worked weekend"),IF($C30="Working","Leave (not charged)",$C30)))))))</f>
        <v>Charged</v>
      </c>
    </row>
    <row r="31" spans="1:27" x14ac:dyDescent="0.3">
      <c r="A31" s="371">
        <f>IF($A30="","",IF($A30+1&gt;'Work Calendar'!$B$16,"",$A30+1))</f>
        <v>46049</v>
      </c>
      <c r="B31" t="str">
        <f t="shared" si="0"/>
        <v>Tue</v>
      </c>
      <c r="C31" t="str" cm="1">
        <f t="array" ref="C31">IF($A31="","",IF(COUNTIF('Work Calendar'!$E$6:$E$200,$A31)&gt;0,"Holiday",IF(INDEX('Work Calendar'!$C$6:$C$12,WEEKDAY($A31,1))=1,"Working","Weekend")))</f>
        <v>Working</v>
      </c>
      <c r="D31" s="341">
        <f>IF($A31="","",SUMIFS('Timesheet Raw'!$P$4:$P$8000,'Timesheet Raw'!$L$4:$L$8000,$A31,'Timesheet Raw'!$C$4:$C$8000,D$3,'Timesheet Raw'!$A$4:$A$8000,"1-Projects"))</f>
        <v>9</v>
      </c>
      <c r="E31" s="341">
        <f>IF($A31="","",SUMIFS('Timesheet Raw'!$P$4:$P$8000,'Timesheet Raw'!$L$4:$L$8000,$A31,'Timesheet Raw'!$C$4:$C$8000,D$3,'Timesheet Raw'!$A$4:$A$8000,"2-Proposals Chargeable")+SUMIFS('Timesheet Raw'!$P$4:$P$8000,'Timesheet Raw'!$L$4:$L$8000,$A31,'Timesheet Raw'!$C$4:$C$8000,D$3,'Timesheet Raw'!$A$4:$A$8000,"3-Proposals Regular"))</f>
        <v>0</v>
      </c>
      <c r="F31" s="341">
        <f>IF($A31="","",SUMIFS('Timesheet Raw'!$P$4:$P$8000,'Timesheet Raw'!$L$4:$L$8000,$A31,'Timesheet Raw'!$C$4:$C$8000,D$3,'Timesheet Raw'!$B$4:$B$8000,'Work Calendar'!$A$26)+SUMIFS('Timesheet Raw'!$P$4:$P$8000,'Timesheet Raw'!$L$4:$L$8000,$A31,'Timesheet Raw'!$C$4:$C$8000,D$3,'Timesheet Raw'!$B$4:$B$8000,'Work Calendar'!$A$27)+SUMIFS('Timesheet Raw'!$P$4:$P$8000,'Timesheet Raw'!$L$4:$L$8000,$A31,'Timesheet Raw'!$C$4:$C$8000,D$3,'Timesheet Raw'!$B$4:$B$8000,'Work Calendar'!$A$28)+SUMIFS('Timesheet Raw'!$P$4:$P$8000,'Timesheet Raw'!$L$4:$L$8000,$A31,'Timesheet Raw'!$C$4:$C$8000,D$3,'Timesheet Raw'!$B$4:$B$8000,'Work Calendar'!$A$29))</f>
        <v>0</v>
      </c>
      <c r="G31" s="341">
        <f t="shared" si="1"/>
        <v>0</v>
      </c>
      <c r="H31" s="395">
        <f>IF($A31="","",SUMIFS('Timesheet Raw'!$K$4:$K$8000,'Timesheet Raw'!$L$4:$L$8000,$A31,'Timesheet Raw'!$C$4:$C$8000,D$3))</f>
        <v>0</v>
      </c>
      <c r="I31" s="345">
        <f>IF($A31="","",SUMIFS('Timesheet Raw'!$P$4:$P$8000,'Timesheet Raw'!$L$4:$L$8000,$A31,'Timesheet Raw'!$C$4:$C$8000,D$3))</f>
        <v>9</v>
      </c>
      <c r="J31" s="375"/>
      <c r="K31" t="str">
        <f>IF($A31="","",IF(J31&lt;&gt;"",J31,IF($A31&gt;'Work Calendar'!$B$17,"No data yet",IF(AND(F31&gt;='Work Calendar'!$B$14,D31+E31+G31&gt;0),"Day off - but worked",IF(F31&gt;='Work Calendar'!$B$14,"Day off",IF(D31+E31+G31&gt;0,IF($C31="Working","Charged","Worked weekend"),IF($C31="Working","Leave (not charged)",$C31)))))))</f>
        <v>Charged</v>
      </c>
      <c r="L31" s="341">
        <f>IF($A31="","",SUMIFS('Timesheet Raw'!$P$4:$P$8000,'Timesheet Raw'!$L$4:$L$8000,$A31,'Timesheet Raw'!$C$4:$C$8000,L$3,'Timesheet Raw'!$A$4:$A$8000,"1-Projects"))</f>
        <v>8.75</v>
      </c>
      <c r="M31" s="341">
        <f>IF($A31="","",SUMIFS('Timesheet Raw'!$P$4:$P$8000,'Timesheet Raw'!$L$4:$L$8000,$A31,'Timesheet Raw'!$C$4:$C$8000,L$3,'Timesheet Raw'!$A$4:$A$8000,"2-Proposals Chargeable")+SUMIFS('Timesheet Raw'!$P$4:$P$8000,'Timesheet Raw'!$L$4:$L$8000,$A31,'Timesheet Raw'!$C$4:$C$8000,L$3,'Timesheet Raw'!$A$4:$A$8000,"3-Proposals Regular"))</f>
        <v>0</v>
      </c>
      <c r="N31" s="341">
        <f>IF($A31="","",SUMIFS('Timesheet Raw'!$P$4:$P$8000,'Timesheet Raw'!$L$4:$L$8000,$A31,'Timesheet Raw'!$C$4:$C$8000,L$3,'Timesheet Raw'!$B$4:$B$8000,'Work Calendar'!$A$26)+SUMIFS('Timesheet Raw'!$P$4:$P$8000,'Timesheet Raw'!$L$4:$L$8000,$A31,'Timesheet Raw'!$C$4:$C$8000,L$3,'Timesheet Raw'!$B$4:$B$8000,'Work Calendar'!$A$27)+SUMIFS('Timesheet Raw'!$P$4:$P$8000,'Timesheet Raw'!$L$4:$L$8000,$A31,'Timesheet Raw'!$C$4:$C$8000,L$3,'Timesheet Raw'!$B$4:$B$8000,'Work Calendar'!$A$28)+SUMIFS('Timesheet Raw'!$P$4:$P$8000,'Timesheet Raw'!$L$4:$L$8000,$A31,'Timesheet Raw'!$C$4:$C$8000,L$3,'Timesheet Raw'!$B$4:$B$8000,'Work Calendar'!$A$29))</f>
        <v>0.5</v>
      </c>
      <c r="O31" s="341">
        <f t="shared" si="2"/>
        <v>0</v>
      </c>
      <c r="P31" s="395">
        <f>IF($A31="","",SUMIFS('Timesheet Raw'!$K$4:$K$8000,'Timesheet Raw'!$L$4:$L$8000,$A31,'Timesheet Raw'!$C$4:$C$8000,L$3))</f>
        <v>0.75</v>
      </c>
      <c r="Q31" s="345">
        <f>IF($A31="","",SUMIFS('Timesheet Raw'!$P$4:$P$8000,'Timesheet Raw'!$L$4:$L$8000,$A31,'Timesheet Raw'!$C$4:$C$8000,L$3))</f>
        <v>9.25</v>
      </c>
      <c r="R31" s="375"/>
      <c r="S31" t="str">
        <f>IF($A31="","",IF(R31&lt;&gt;"",R31,IF($A31&gt;'Work Calendar'!$B$17,"No data yet",IF(AND(N31&gt;='Work Calendar'!$B$14,L31+M31+O31&gt;0),"Day off - but worked",IF(N31&gt;='Work Calendar'!$B$14,"Day off",IF(L31+M31+O31&gt;0,IF($C31="Working","Charged","Worked weekend"),IF($C31="Working","Leave (not charged)",$C31)))))))</f>
        <v>Charged</v>
      </c>
      <c r="T31" s="341">
        <f>IF($A31="","",SUMIFS('Timesheet Raw'!$P$4:$P$8000,'Timesheet Raw'!$L$4:$L$8000,$A31,'Timesheet Raw'!$C$4:$C$8000,T$3,'Timesheet Raw'!$A$4:$A$8000,"1-Projects"))</f>
        <v>7.75</v>
      </c>
      <c r="U31" s="341">
        <f>IF($A31="","",SUMIFS('Timesheet Raw'!$P$4:$P$8000,'Timesheet Raw'!$L$4:$L$8000,$A31,'Timesheet Raw'!$C$4:$C$8000,T$3,'Timesheet Raw'!$A$4:$A$8000,"2-Proposals Chargeable")+SUMIFS('Timesheet Raw'!$P$4:$P$8000,'Timesheet Raw'!$L$4:$L$8000,$A31,'Timesheet Raw'!$C$4:$C$8000,T$3,'Timesheet Raw'!$A$4:$A$8000,"3-Proposals Regular"))</f>
        <v>0</v>
      </c>
      <c r="V31" s="341">
        <f>IF($A31="","",SUMIFS('Timesheet Raw'!$P$4:$P$8000,'Timesheet Raw'!$L$4:$L$8000,$A31,'Timesheet Raw'!$C$4:$C$8000,T$3,'Timesheet Raw'!$B$4:$B$8000,'Work Calendar'!$A$26)+SUMIFS('Timesheet Raw'!$P$4:$P$8000,'Timesheet Raw'!$L$4:$L$8000,$A31,'Timesheet Raw'!$C$4:$C$8000,T$3,'Timesheet Raw'!$B$4:$B$8000,'Work Calendar'!$A$27)+SUMIFS('Timesheet Raw'!$P$4:$P$8000,'Timesheet Raw'!$L$4:$L$8000,$A31,'Timesheet Raw'!$C$4:$C$8000,T$3,'Timesheet Raw'!$B$4:$B$8000,'Work Calendar'!$A$28)+SUMIFS('Timesheet Raw'!$P$4:$P$8000,'Timesheet Raw'!$L$4:$L$8000,$A31,'Timesheet Raw'!$C$4:$C$8000,T$3,'Timesheet Raw'!$B$4:$B$8000,'Work Calendar'!$A$29))</f>
        <v>0.75</v>
      </c>
      <c r="W31" s="341">
        <f t="shared" si="3"/>
        <v>0</v>
      </c>
      <c r="X31" s="395">
        <f>IF($A31="","",SUMIFS('Timesheet Raw'!$K$4:$K$8000,'Timesheet Raw'!$L$4:$L$8000,$A31,'Timesheet Raw'!$C$4:$C$8000,T$3))</f>
        <v>0</v>
      </c>
      <c r="Y31" s="345">
        <f>IF($A31="","",SUMIFS('Timesheet Raw'!$P$4:$P$8000,'Timesheet Raw'!$L$4:$L$8000,$A31,'Timesheet Raw'!$C$4:$C$8000,T$3))</f>
        <v>8.5</v>
      </c>
      <c r="Z31" s="375"/>
      <c r="AA31" t="str">
        <f>IF($A31="","",IF(Z31&lt;&gt;"",Z31,IF($A31&gt;'Work Calendar'!$B$17,"No data yet",IF(AND(V31&gt;='Work Calendar'!$B$14,T31+U31+W31&gt;0),"Day off - but worked",IF(V31&gt;='Work Calendar'!$B$14,"Day off",IF(T31+U31+W31&gt;0,IF($C31="Working","Charged","Worked weekend"),IF($C31="Working","Leave (not charged)",$C31)))))))</f>
        <v>Charged</v>
      </c>
    </row>
    <row r="32" spans="1:27" x14ac:dyDescent="0.3">
      <c r="A32" s="371">
        <f>IF($A31="","",IF($A31+1&gt;'Work Calendar'!$B$16,"",$A31+1))</f>
        <v>46050</v>
      </c>
      <c r="B32" t="str">
        <f t="shared" si="0"/>
        <v>Wed</v>
      </c>
      <c r="C32" t="str" cm="1">
        <f t="array" ref="C32">IF($A32="","",IF(COUNTIF('Work Calendar'!$E$6:$E$200,$A32)&gt;0,"Holiday",IF(INDEX('Work Calendar'!$C$6:$C$12,WEEKDAY($A32,1))=1,"Working","Weekend")))</f>
        <v>Working</v>
      </c>
      <c r="D32" s="341">
        <f>IF($A32="","",SUMIFS('Timesheet Raw'!$P$4:$P$8000,'Timesheet Raw'!$L$4:$L$8000,$A32,'Timesheet Raw'!$C$4:$C$8000,D$3,'Timesheet Raw'!$A$4:$A$8000,"1-Projects"))</f>
        <v>9</v>
      </c>
      <c r="E32" s="341">
        <f>IF($A32="","",SUMIFS('Timesheet Raw'!$P$4:$P$8000,'Timesheet Raw'!$L$4:$L$8000,$A32,'Timesheet Raw'!$C$4:$C$8000,D$3,'Timesheet Raw'!$A$4:$A$8000,"2-Proposals Chargeable")+SUMIFS('Timesheet Raw'!$P$4:$P$8000,'Timesheet Raw'!$L$4:$L$8000,$A32,'Timesheet Raw'!$C$4:$C$8000,D$3,'Timesheet Raw'!$A$4:$A$8000,"3-Proposals Regular"))</f>
        <v>0</v>
      </c>
      <c r="F32" s="341">
        <f>IF($A32="","",SUMIFS('Timesheet Raw'!$P$4:$P$8000,'Timesheet Raw'!$L$4:$L$8000,$A32,'Timesheet Raw'!$C$4:$C$8000,D$3,'Timesheet Raw'!$B$4:$B$8000,'Work Calendar'!$A$26)+SUMIFS('Timesheet Raw'!$P$4:$P$8000,'Timesheet Raw'!$L$4:$L$8000,$A32,'Timesheet Raw'!$C$4:$C$8000,D$3,'Timesheet Raw'!$B$4:$B$8000,'Work Calendar'!$A$27)+SUMIFS('Timesheet Raw'!$P$4:$P$8000,'Timesheet Raw'!$L$4:$L$8000,$A32,'Timesheet Raw'!$C$4:$C$8000,D$3,'Timesheet Raw'!$B$4:$B$8000,'Work Calendar'!$A$28)+SUMIFS('Timesheet Raw'!$P$4:$P$8000,'Timesheet Raw'!$L$4:$L$8000,$A32,'Timesheet Raw'!$C$4:$C$8000,D$3,'Timesheet Raw'!$B$4:$B$8000,'Work Calendar'!$A$29))</f>
        <v>0</v>
      </c>
      <c r="G32" s="341">
        <f t="shared" si="1"/>
        <v>0</v>
      </c>
      <c r="H32" s="395">
        <f>IF($A32="","",SUMIFS('Timesheet Raw'!$K$4:$K$8000,'Timesheet Raw'!$L$4:$L$8000,$A32,'Timesheet Raw'!$C$4:$C$8000,D$3))</f>
        <v>0</v>
      </c>
      <c r="I32" s="345">
        <f>IF($A32="","",SUMIFS('Timesheet Raw'!$P$4:$P$8000,'Timesheet Raw'!$L$4:$L$8000,$A32,'Timesheet Raw'!$C$4:$C$8000,D$3))</f>
        <v>9</v>
      </c>
      <c r="J32" s="375"/>
      <c r="K32" t="str">
        <f>IF($A32="","",IF(J32&lt;&gt;"",J32,IF($A32&gt;'Work Calendar'!$B$17,"No data yet",IF(AND(F32&gt;='Work Calendar'!$B$14,D32+E32+G32&gt;0),"Day off - but worked",IF(F32&gt;='Work Calendar'!$B$14,"Day off",IF(D32+E32+G32&gt;0,IF($C32="Working","Charged","Worked weekend"),IF($C32="Working","Leave (not charged)",$C32)))))))</f>
        <v>Charged</v>
      </c>
      <c r="L32" s="341">
        <f>IF($A32="","",SUMIFS('Timesheet Raw'!$P$4:$P$8000,'Timesheet Raw'!$L$4:$L$8000,$A32,'Timesheet Raw'!$C$4:$C$8000,L$3,'Timesheet Raw'!$A$4:$A$8000,"1-Projects"))</f>
        <v>9.25</v>
      </c>
      <c r="M32" s="341">
        <f>IF($A32="","",SUMIFS('Timesheet Raw'!$P$4:$P$8000,'Timesheet Raw'!$L$4:$L$8000,$A32,'Timesheet Raw'!$C$4:$C$8000,L$3,'Timesheet Raw'!$A$4:$A$8000,"2-Proposals Chargeable")+SUMIFS('Timesheet Raw'!$P$4:$P$8000,'Timesheet Raw'!$L$4:$L$8000,$A32,'Timesheet Raw'!$C$4:$C$8000,L$3,'Timesheet Raw'!$A$4:$A$8000,"3-Proposals Regular"))</f>
        <v>0</v>
      </c>
      <c r="N32" s="341">
        <f>IF($A32="","",SUMIFS('Timesheet Raw'!$P$4:$P$8000,'Timesheet Raw'!$L$4:$L$8000,$A32,'Timesheet Raw'!$C$4:$C$8000,L$3,'Timesheet Raw'!$B$4:$B$8000,'Work Calendar'!$A$26)+SUMIFS('Timesheet Raw'!$P$4:$P$8000,'Timesheet Raw'!$L$4:$L$8000,$A32,'Timesheet Raw'!$C$4:$C$8000,L$3,'Timesheet Raw'!$B$4:$B$8000,'Work Calendar'!$A$27)+SUMIFS('Timesheet Raw'!$P$4:$P$8000,'Timesheet Raw'!$L$4:$L$8000,$A32,'Timesheet Raw'!$C$4:$C$8000,L$3,'Timesheet Raw'!$B$4:$B$8000,'Work Calendar'!$A$28)+SUMIFS('Timesheet Raw'!$P$4:$P$8000,'Timesheet Raw'!$L$4:$L$8000,$A32,'Timesheet Raw'!$C$4:$C$8000,L$3,'Timesheet Raw'!$B$4:$B$8000,'Work Calendar'!$A$29))</f>
        <v>0</v>
      </c>
      <c r="O32" s="341">
        <f t="shared" si="2"/>
        <v>0</v>
      </c>
      <c r="P32" s="395">
        <f>IF($A32="","",SUMIFS('Timesheet Raw'!$K$4:$K$8000,'Timesheet Raw'!$L$4:$L$8000,$A32,'Timesheet Raw'!$C$4:$C$8000,L$3))</f>
        <v>0.75</v>
      </c>
      <c r="Q32" s="345">
        <f>IF($A32="","",SUMIFS('Timesheet Raw'!$P$4:$P$8000,'Timesheet Raw'!$L$4:$L$8000,$A32,'Timesheet Raw'!$C$4:$C$8000,L$3))</f>
        <v>9.25</v>
      </c>
      <c r="R32" s="375"/>
      <c r="S32" t="str">
        <f>IF($A32="","",IF(R32&lt;&gt;"",R32,IF($A32&gt;'Work Calendar'!$B$17,"No data yet",IF(AND(N32&gt;='Work Calendar'!$B$14,L32+M32+O32&gt;0),"Day off - but worked",IF(N32&gt;='Work Calendar'!$B$14,"Day off",IF(L32+M32+O32&gt;0,IF($C32="Working","Charged","Worked weekend"),IF($C32="Working","Leave (not charged)",$C32)))))))</f>
        <v>Charged</v>
      </c>
      <c r="T32" s="341">
        <f>IF($A32="","",SUMIFS('Timesheet Raw'!$P$4:$P$8000,'Timesheet Raw'!$L$4:$L$8000,$A32,'Timesheet Raw'!$C$4:$C$8000,T$3,'Timesheet Raw'!$A$4:$A$8000,"1-Projects"))</f>
        <v>9.25</v>
      </c>
      <c r="U32" s="341">
        <f>IF($A32="","",SUMIFS('Timesheet Raw'!$P$4:$P$8000,'Timesheet Raw'!$L$4:$L$8000,$A32,'Timesheet Raw'!$C$4:$C$8000,T$3,'Timesheet Raw'!$A$4:$A$8000,"2-Proposals Chargeable")+SUMIFS('Timesheet Raw'!$P$4:$P$8000,'Timesheet Raw'!$L$4:$L$8000,$A32,'Timesheet Raw'!$C$4:$C$8000,T$3,'Timesheet Raw'!$A$4:$A$8000,"3-Proposals Regular"))</f>
        <v>0</v>
      </c>
      <c r="V32" s="341">
        <f>IF($A32="","",SUMIFS('Timesheet Raw'!$P$4:$P$8000,'Timesheet Raw'!$L$4:$L$8000,$A32,'Timesheet Raw'!$C$4:$C$8000,T$3,'Timesheet Raw'!$B$4:$B$8000,'Work Calendar'!$A$26)+SUMIFS('Timesheet Raw'!$P$4:$P$8000,'Timesheet Raw'!$L$4:$L$8000,$A32,'Timesheet Raw'!$C$4:$C$8000,T$3,'Timesheet Raw'!$B$4:$B$8000,'Work Calendar'!$A$27)+SUMIFS('Timesheet Raw'!$P$4:$P$8000,'Timesheet Raw'!$L$4:$L$8000,$A32,'Timesheet Raw'!$C$4:$C$8000,T$3,'Timesheet Raw'!$B$4:$B$8000,'Work Calendar'!$A$28)+SUMIFS('Timesheet Raw'!$P$4:$P$8000,'Timesheet Raw'!$L$4:$L$8000,$A32,'Timesheet Raw'!$C$4:$C$8000,T$3,'Timesheet Raw'!$B$4:$B$8000,'Work Calendar'!$A$29))</f>
        <v>0.25</v>
      </c>
      <c r="W32" s="341">
        <f t="shared" si="3"/>
        <v>0</v>
      </c>
      <c r="X32" s="395">
        <f>IF($A32="","",SUMIFS('Timesheet Raw'!$K$4:$K$8000,'Timesheet Raw'!$L$4:$L$8000,$A32,'Timesheet Raw'!$C$4:$C$8000,T$3))</f>
        <v>1</v>
      </c>
      <c r="Y32" s="345">
        <f>IF($A32="","",SUMIFS('Timesheet Raw'!$P$4:$P$8000,'Timesheet Raw'!$L$4:$L$8000,$A32,'Timesheet Raw'!$C$4:$C$8000,T$3))</f>
        <v>9.5</v>
      </c>
      <c r="Z32" s="375"/>
      <c r="AA32" t="str">
        <f>IF($A32="","",IF(Z32&lt;&gt;"",Z32,IF($A32&gt;'Work Calendar'!$B$17,"No data yet",IF(AND(V32&gt;='Work Calendar'!$B$14,T32+U32+W32&gt;0),"Day off - but worked",IF(V32&gt;='Work Calendar'!$B$14,"Day off",IF(T32+U32+W32&gt;0,IF($C32="Working","Charged","Worked weekend"),IF($C32="Working","Leave (not charged)",$C32)))))))</f>
        <v>Charged</v>
      </c>
    </row>
    <row r="33" spans="1:27" x14ac:dyDescent="0.3">
      <c r="A33" s="371">
        <f>IF($A32="","",IF($A32+1&gt;'Work Calendar'!$B$16,"",$A32+1))</f>
        <v>46051</v>
      </c>
      <c r="B33" t="str">
        <f t="shared" si="0"/>
        <v>Thu</v>
      </c>
      <c r="C33" t="str" cm="1">
        <f t="array" ref="C33">IF($A33="","",IF(COUNTIF('Work Calendar'!$E$6:$E$200,$A33)&gt;0,"Holiday",IF(INDEX('Work Calendar'!$C$6:$C$12,WEEKDAY($A33,1))=1,"Working","Weekend")))</f>
        <v>Working</v>
      </c>
      <c r="D33" s="341">
        <f>IF($A33="","",SUMIFS('Timesheet Raw'!$P$4:$P$8000,'Timesheet Raw'!$L$4:$L$8000,$A33,'Timesheet Raw'!$C$4:$C$8000,D$3,'Timesheet Raw'!$A$4:$A$8000,"1-Projects"))</f>
        <v>9</v>
      </c>
      <c r="E33" s="341">
        <f>IF($A33="","",SUMIFS('Timesheet Raw'!$P$4:$P$8000,'Timesheet Raw'!$L$4:$L$8000,$A33,'Timesheet Raw'!$C$4:$C$8000,D$3,'Timesheet Raw'!$A$4:$A$8000,"2-Proposals Chargeable")+SUMIFS('Timesheet Raw'!$P$4:$P$8000,'Timesheet Raw'!$L$4:$L$8000,$A33,'Timesheet Raw'!$C$4:$C$8000,D$3,'Timesheet Raw'!$A$4:$A$8000,"3-Proposals Regular"))</f>
        <v>0</v>
      </c>
      <c r="F33" s="341">
        <f>IF($A33="","",SUMIFS('Timesheet Raw'!$P$4:$P$8000,'Timesheet Raw'!$L$4:$L$8000,$A33,'Timesheet Raw'!$C$4:$C$8000,D$3,'Timesheet Raw'!$B$4:$B$8000,'Work Calendar'!$A$26)+SUMIFS('Timesheet Raw'!$P$4:$P$8000,'Timesheet Raw'!$L$4:$L$8000,$A33,'Timesheet Raw'!$C$4:$C$8000,D$3,'Timesheet Raw'!$B$4:$B$8000,'Work Calendar'!$A$27)+SUMIFS('Timesheet Raw'!$P$4:$P$8000,'Timesheet Raw'!$L$4:$L$8000,$A33,'Timesheet Raw'!$C$4:$C$8000,D$3,'Timesheet Raw'!$B$4:$B$8000,'Work Calendar'!$A$28)+SUMIFS('Timesheet Raw'!$P$4:$P$8000,'Timesheet Raw'!$L$4:$L$8000,$A33,'Timesheet Raw'!$C$4:$C$8000,D$3,'Timesheet Raw'!$B$4:$B$8000,'Work Calendar'!$A$29))</f>
        <v>0</v>
      </c>
      <c r="G33" s="341">
        <f t="shared" si="1"/>
        <v>0</v>
      </c>
      <c r="H33" s="395">
        <f>IF($A33="","",SUMIFS('Timesheet Raw'!$K$4:$K$8000,'Timesheet Raw'!$L$4:$L$8000,$A33,'Timesheet Raw'!$C$4:$C$8000,D$3))</f>
        <v>0</v>
      </c>
      <c r="I33" s="345">
        <f>IF($A33="","",SUMIFS('Timesheet Raw'!$P$4:$P$8000,'Timesheet Raw'!$L$4:$L$8000,$A33,'Timesheet Raw'!$C$4:$C$8000,D$3))</f>
        <v>9</v>
      </c>
      <c r="J33" s="375"/>
      <c r="K33" t="str">
        <f>IF($A33="","",IF(J33&lt;&gt;"",J33,IF($A33&gt;'Work Calendar'!$B$17,"No data yet",IF(AND(F33&gt;='Work Calendar'!$B$14,D33+E33+G33&gt;0),"Day off - but worked",IF(F33&gt;='Work Calendar'!$B$14,"Day off",IF(D33+E33+G33&gt;0,IF($C33="Working","Charged","Worked weekend"),IF($C33="Working","Leave (not charged)",$C33)))))))</f>
        <v>Charged</v>
      </c>
      <c r="L33" s="341">
        <f>IF($A33="","",SUMIFS('Timesheet Raw'!$P$4:$P$8000,'Timesheet Raw'!$L$4:$L$8000,$A33,'Timesheet Raw'!$C$4:$C$8000,L$3,'Timesheet Raw'!$A$4:$A$8000,"1-Projects"))</f>
        <v>0</v>
      </c>
      <c r="M33" s="341">
        <f>IF($A33="","",SUMIFS('Timesheet Raw'!$P$4:$P$8000,'Timesheet Raw'!$L$4:$L$8000,$A33,'Timesheet Raw'!$C$4:$C$8000,L$3,'Timesheet Raw'!$A$4:$A$8000,"2-Proposals Chargeable")+SUMIFS('Timesheet Raw'!$P$4:$P$8000,'Timesheet Raw'!$L$4:$L$8000,$A33,'Timesheet Raw'!$C$4:$C$8000,L$3,'Timesheet Raw'!$A$4:$A$8000,"3-Proposals Regular"))</f>
        <v>0</v>
      </c>
      <c r="N33" s="341">
        <f>IF($A33="","",SUMIFS('Timesheet Raw'!$P$4:$P$8000,'Timesheet Raw'!$L$4:$L$8000,$A33,'Timesheet Raw'!$C$4:$C$8000,L$3,'Timesheet Raw'!$B$4:$B$8000,'Work Calendar'!$A$26)+SUMIFS('Timesheet Raw'!$P$4:$P$8000,'Timesheet Raw'!$L$4:$L$8000,$A33,'Timesheet Raw'!$C$4:$C$8000,L$3,'Timesheet Raw'!$B$4:$B$8000,'Work Calendar'!$A$27)+SUMIFS('Timesheet Raw'!$P$4:$P$8000,'Timesheet Raw'!$L$4:$L$8000,$A33,'Timesheet Raw'!$C$4:$C$8000,L$3,'Timesheet Raw'!$B$4:$B$8000,'Work Calendar'!$A$28)+SUMIFS('Timesheet Raw'!$P$4:$P$8000,'Timesheet Raw'!$L$4:$L$8000,$A33,'Timesheet Raw'!$C$4:$C$8000,L$3,'Timesheet Raw'!$B$4:$B$8000,'Work Calendar'!$A$29))</f>
        <v>8.5</v>
      </c>
      <c r="O33" s="341">
        <f t="shared" si="2"/>
        <v>0</v>
      </c>
      <c r="P33" s="395">
        <f>IF($A33="","",SUMIFS('Timesheet Raw'!$K$4:$K$8000,'Timesheet Raw'!$L$4:$L$8000,$A33,'Timesheet Raw'!$C$4:$C$8000,L$3))</f>
        <v>0</v>
      </c>
      <c r="Q33" s="345">
        <f>IF($A33="","",SUMIFS('Timesheet Raw'!$P$4:$P$8000,'Timesheet Raw'!$L$4:$L$8000,$A33,'Timesheet Raw'!$C$4:$C$8000,L$3))</f>
        <v>8.5</v>
      </c>
      <c r="R33" s="375"/>
      <c r="S33" t="str">
        <f>IF($A33="","",IF(R33&lt;&gt;"",R33,IF($A33&gt;'Work Calendar'!$B$17,"No data yet",IF(AND(N33&gt;='Work Calendar'!$B$14,L33+M33+O33&gt;0),"Day off - but worked",IF(N33&gt;='Work Calendar'!$B$14,"Day off",IF(L33+M33+O33&gt;0,IF($C33="Working","Charged","Worked weekend"),IF($C33="Working","Leave (not charged)",$C33)))))))</f>
        <v>Day off</v>
      </c>
      <c r="T33" s="341">
        <f>IF($A33="","",SUMIFS('Timesheet Raw'!$P$4:$P$8000,'Timesheet Raw'!$L$4:$L$8000,$A33,'Timesheet Raw'!$C$4:$C$8000,T$3,'Timesheet Raw'!$A$4:$A$8000,"1-Projects"))</f>
        <v>0</v>
      </c>
      <c r="U33" s="341">
        <f>IF($A33="","",SUMIFS('Timesheet Raw'!$P$4:$P$8000,'Timesheet Raw'!$L$4:$L$8000,$A33,'Timesheet Raw'!$C$4:$C$8000,T$3,'Timesheet Raw'!$A$4:$A$8000,"2-Proposals Chargeable")+SUMIFS('Timesheet Raw'!$P$4:$P$8000,'Timesheet Raw'!$L$4:$L$8000,$A33,'Timesheet Raw'!$C$4:$C$8000,T$3,'Timesheet Raw'!$A$4:$A$8000,"3-Proposals Regular"))</f>
        <v>0</v>
      </c>
      <c r="V33" s="341">
        <f>IF($A33="","",SUMIFS('Timesheet Raw'!$P$4:$P$8000,'Timesheet Raw'!$L$4:$L$8000,$A33,'Timesheet Raw'!$C$4:$C$8000,T$3,'Timesheet Raw'!$B$4:$B$8000,'Work Calendar'!$A$26)+SUMIFS('Timesheet Raw'!$P$4:$P$8000,'Timesheet Raw'!$L$4:$L$8000,$A33,'Timesheet Raw'!$C$4:$C$8000,T$3,'Timesheet Raw'!$B$4:$B$8000,'Work Calendar'!$A$27)+SUMIFS('Timesheet Raw'!$P$4:$P$8000,'Timesheet Raw'!$L$4:$L$8000,$A33,'Timesheet Raw'!$C$4:$C$8000,T$3,'Timesheet Raw'!$B$4:$B$8000,'Work Calendar'!$A$28)+SUMIFS('Timesheet Raw'!$P$4:$P$8000,'Timesheet Raw'!$L$4:$L$8000,$A33,'Timesheet Raw'!$C$4:$C$8000,T$3,'Timesheet Raw'!$B$4:$B$8000,'Work Calendar'!$A$29))</f>
        <v>8.5</v>
      </c>
      <c r="W33" s="341">
        <f t="shared" si="3"/>
        <v>0</v>
      </c>
      <c r="X33" s="395">
        <f>IF($A33="","",SUMIFS('Timesheet Raw'!$K$4:$K$8000,'Timesheet Raw'!$L$4:$L$8000,$A33,'Timesheet Raw'!$C$4:$C$8000,T$3))</f>
        <v>0</v>
      </c>
      <c r="Y33" s="345">
        <f>IF($A33="","",SUMIFS('Timesheet Raw'!$P$4:$P$8000,'Timesheet Raw'!$L$4:$L$8000,$A33,'Timesheet Raw'!$C$4:$C$8000,T$3))</f>
        <v>8.5</v>
      </c>
      <c r="Z33" s="375"/>
      <c r="AA33" t="str">
        <f>IF($A33="","",IF(Z33&lt;&gt;"",Z33,IF($A33&gt;'Work Calendar'!$B$17,"No data yet",IF(AND(V33&gt;='Work Calendar'!$B$14,T33+U33+W33&gt;0),"Day off - but worked",IF(V33&gt;='Work Calendar'!$B$14,"Day off",IF(T33+U33+W33&gt;0,IF($C33="Working","Charged","Worked weekend"),IF($C33="Working","Leave (not charged)",$C33)))))))</f>
        <v>Day off</v>
      </c>
    </row>
    <row r="34" spans="1:27" x14ac:dyDescent="0.3">
      <c r="A34" s="371">
        <f>IF($A33="","",IF($A33+1&gt;'Work Calendar'!$B$16,"",$A33+1))</f>
        <v>46052</v>
      </c>
      <c r="B34" t="str">
        <f t="shared" si="0"/>
        <v>Fri</v>
      </c>
      <c r="C34" t="str" cm="1">
        <f t="array" ref="C34">IF($A34="","",IF(COUNTIF('Work Calendar'!$E$6:$E$200,$A34)&gt;0,"Holiday",IF(INDEX('Work Calendar'!$C$6:$C$12,WEEKDAY($A34,1))=1,"Working","Weekend")))</f>
        <v>Weekend</v>
      </c>
      <c r="D34" s="341">
        <f>IF($A34="","",SUMIFS('Timesheet Raw'!$P$4:$P$8000,'Timesheet Raw'!$L$4:$L$8000,$A34,'Timesheet Raw'!$C$4:$C$8000,D$3,'Timesheet Raw'!$A$4:$A$8000,"1-Projects"))</f>
        <v>9</v>
      </c>
      <c r="E34" s="341">
        <f>IF($A34="","",SUMIFS('Timesheet Raw'!$P$4:$P$8000,'Timesheet Raw'!$L$4:$L$8000,$A34,'Timesheet Raw'!$C$4:$C$8000,D$3,'Timesheet Raw'!$A$4:$A$8000,"2-Proposals Chargeable")+SUMIFS('Timesheet Raw'!$P$4:$P$8000,'Timesheet Raw'!$L$4:$L$8000,$A34,'Timesheet Raw'!$C$4:$C$8000,D$3,'Timesheet Raw'!$A$4:$A$8000,"3-Proposals Regular"))</f>
        <v>0</v>
      </c>
      <c r="F34" s="341">
        <f>IF($A34="","",SUMIFS('Timesheet Raw'!$P$4:$P$8000,'Timesheet Raw'!$L$4:$L$8000,$A34,'Timesheet Raw'!$C$4:$C$8000,D$3,'Timesheet Raw'!$B$4:$B$8000,'Work Calendar'!$A$26)+SUMIFS('Timesheet Raw'!$P$4:$P$8000,'Timesheet Raw'!$L$4:$L$8000,$A34,'Timesheet Raw'!$C$4:$C$8000,D$3,'Timesheet Raw'!$B$4:$B$8000,'Work Calendar'!$A$27)+SUMIFS('Timesheet Raw'!$P$4:$P$8000,'Timesheet Raw'!$L$4:$L$8000,$A34,'Timesheet Raw'!$C$4:$C$8000,D$3,'Timesheet Raw'!$B$4:$B$8000,'Work Calendar'!$A$28)+SUMIFS('Timesheet Raw'!$P$4:$P$8000,'Timesheet Raw'!$L$4:$L$8000,$A34,'Timesheet Raw'!$C$4:$C$8000,D$3,'Timesheet Raw'!$B$4:$B$8000,'Work Calendar'!$A$29))</f>
        <v>0</v>
      </c>
      <c r="G34" s="341">
        <f t="shared" si="1"/>
        <v>0</v>
      </c>
      <c r="H34" s="395">
        <f>IF($A34="","",SUMIFS('Timesheet Raw'!$K$4:$K$8000,'Timesheet Raw'!$L$4:$L$8000,$A34,'Timesheet Raw'!$C$4:$C$8000,D$3))</f>
        <v>0</v>
      </c>
      <c r="I34" s="345">
        <f>IF($A34="","",SUMIFS('Timesheet Raw'!$P$4:$P$8000,'Timesheet Raw'!$L$4:$L$8000,$A34,'Timesheet Raw'!$C$4:$C$8000,D$3))</f>
        <v>9</v>
      </c>
      <c r="J34" s="375"/>
      <c r="K34" t="str">
        <f>IF($A34="","",IF(J34&lt;&gt;"",J34,IF($A34&gt;'Work Calendar'!$B$17,"No data yet",IF(AND(F34&gt;='Work Calendar'!$B$14,D34+E34+G34&gt;0),"Day off - but worked",IF(F34&gt;='Work Calendar'!$B$14,"Day off",IF(D34+E34+G34&gt;0,IF($C34="Working","Charged","Worked weekend"),IF($C34="Working","Leave (not charged)",$C34)))))))</f>
        <v>Worked weekend</v>
      </c>
      <c r="L34" s="341">
        <f>IF($A34="","",SUMIFS('Timesheet Raw'!$P$4:$P$8000,'Timesheet Raw'!$L$4:$L$8000,$A34,'Timesheet Raw'!$C$4:$C$8000,L$3,'Timesheet Raw'!$A$4:$A$8000,"1-Projects"))</f>
        <v>0</v>
      </c>
      <c r="M34" s="341">
        <f>IF($A34="","",SUMIFS('Timesheet Raw'!$P$4:$P$8000,'Timesheet Raw'!$L$4:$L$8000,$A34,'Timesheet Raw'!$C$4:$C$8000,L$3,'Timesheet Raw'!$A$4:$A$8000,"2-Proposals Chargeable")+SUMIFS('Timesheet Raw'!$P$4:$P$8000,'Timesheet Raw'!$L$4:$L$8000,$A34,'Timesheet Raw'!$C$4:$C$8000,L$3,'Timesheet Raw'!$A$4:$A$8000,"3-Proposals Regular"))</f>
        <v>0</v>
      </c>
      <c r="N34" s="341">
        <f>IF($A34="","",SUMIFS('Timesheet Raw'!$P$4:$P$8000,'Timesheet Raw'!$L$4:$L$8000,$A34,'Timesheet Raw'!$C$4:$C$8000,L$3,'Timesheet Raw'!$B$4:$B$8000,'Work Calendar'!$A$26)+SUMIFS('Timesheet Raw'!$P$4:$P$8000,'Timesheet Raw'!$L$4:$L$8000,$A34,'Timesheet Raw'!$C$4:$C$8000,L$3,'Timesheet Raw'!$B$4:$B$8000,'Work Calendar'!$A$27)+SUMIFS('Timesheet Raw'!$P$4:$P$8000,'Timesheet Raw'!$L$4:$L$8000,$A34,'Timesheet Raw'!$C$4:$C$8000,L$3,'Timesheet Raw'!$B$4:$B$8000,'Work Calendar'!$A$28)+SUMIFS('Timesheet Raw'!$P$4:$P$8000,'Timesheet Raw'!$L$4:$L$8000,$A34,'Timesheet Raw'!$C$4:$C$8000,L$3,'Timesheet Raw'!$B$4:$B$8000,'Work Calendar'!$A$29))</f>
        <v>0</v>
      </c>
      <c r="O34" s="341">
        <f t="shared" si="2"/>
        <v>0</v>
      </c>
      <c r="P34" s="395">
        <f>IF($A34="","",SUMIFS('Timesheet Raw'!$K$4:$K$8000,'Timesheet Raw'!$L$4:$L$8000,$A34,'Timesheet Raw'!$C$4:$C$8000,L$3))</f>
        <v>0</v>
      </c>
      <c r="Q34" s="345">
        <f>IF($A34="","",SUMIFS('Timesheet Raw'!$P$4:$P$8000,'Timesheet Raw'!$L$4:$L$8000,$A34,'Timesheet Raw'!$C$4:$C$8000,L$3))</f>
        <v>0</v>
      </c>
      <c r="R34" s="375"/>
      <c r="S34" t="str">
        <f>IF($A34="","",IF(R34&lt;&gt;"",R34,IF($A34&gt;'Work Calendar'!$B$17,"No data yet",IF(AND(N34&gt;='Work Calendar'!$B$14,L34+M34+O34&gt;0),"Day off - but worked",IF(N34&gt;='Work Calendar'!$B$14,"Day off",IF(L34+M34+O34&gt;0,IF($C34="Working","Charged","Worked weekend"),IF($C34="Working","Leave (not charged)",$C34)))))))</f>
        <v>Weekend</v>
      </c>
      <c r="T34" s="341">
        <f>IF($A34="","",SUMIFS('Timesheet Raw'!$P$4:$P$8000,'Timesheet Raw'!$L$4:$L$8000,$A34,'Timesheet Raw'!$C$4:$C$8000,T$3,'Timesheet Raw'!$A$4:$A$8000,"1-Projects"))</f>
        <v>0</v>
      </c>
      <c r="U34" s="341">
        <f>IF($A34="","",SUMIFS('Timesheet Raw'!$P$4:$P$8000,'Timesheet Raw'!$L$4:$L$8000,$A34,'Timesheet Raw'!$C$4:$C$8000,T$3,'Timesheet Raw'!$A$4:$A$8000,"2-Proposals Chargeable")+SUMIFS('Timesheet Raw'!$P$4:$P$8000,'Timesheet Raw'!$L$4:$L$8000,$A34,'Timesheet Raw'!$C$4:$C$8000,T$3,'Timesheet Raw'!$A$4:$A$8000,"3-Proposals Regular"))</f>
        <v>0</v>
      </c>
      <c r="V34" s="341">
        <f>IF($A34="","",SUMIFS('Timesheet Raw'!$P$4:$P$8000,'Timesheet Raw'!$L$4:$L$8000,$A34,'Timesheet Raw'!$C$4:$C$8000,T$3,'Timesheet Raw'!$B$4:$B$8000,'Work Calendar'!$A$26)+SUMIFS('Timesheet Raw'!$P$4:$P$8000,'Timesheet Raw'!$L$4:$L$8000,$A34,'Timesheet Raw'!$C$4:$C$8000,T$3,'Timesheet Raw'!$B$4:$B$8000,'Work Calendar'!$A$27)+SUMIFS('Timesheet Raw'!$P$4:$P$8000,'Timesheet Raw'!$L$4:$L$8000,$A34,'Timesheet Raw'!$C$4:$C$8000,T$3,'Timesheet Raw'!$B$4:$B$8000,'Work Calendar'!$A$28)+SUMIFS('Timesheet Raw'!$P$4:$P$8000,'Timesheet Raw'!$L$4:$L$8000,$A34,'Timesheet Raw'!$C$4:$C$8000,T$3,'Timesheet Raw'!$B$4:$B$8000,'Work Calendar'!$A$29))</f>
        <v>0</v>
      </c>
      <c r="W34" s="341">
        <f t="shared" si="3"/>
        <v>0</v>
      </c>
      <c r="X34" s="395">
        <f>IF($A34="","",SUMIFS('Timesheet Raw'!$K$4:$K$8000,'Timesheet Raw'!$L$4:$L$8000,$A34,'Timesheet Raw'!$C$4:$C$8000,T$3))</f>
        <v>0</v>
      </c>
      <c r="Y34" s="345">
        <f>IF($A34="","",SUMIFS('Timesheet Raw'!$P$4:$P$8000,'Timesheet Raw'!$L$4:$L$8000,$A34,'Timesheet Raw'!$C$4:$C$8000,T$3))</f>
        <v>0</v>
      </c>
      <c r="Z34" s="375"/>
      <c r="AA34" t="str">
        <f>IF($A34="","",IF(Z34&lt;&gt;"",Z34,IF($A34&gt;'Work Calendar'!$B$17,"No data yet",IF(AND(V34&gt;='Work Calendar'!$B$14,T34+U34+W34&gt;0),"Day off - but worked",IF(V34&gt;='Work Calendar'!$B$14,"Day off",IF(T34+U34+W34&gt;0,IF($C34="Working","Charged","Worked weekend"),IF($C34="Working","Leave (not charged)",$C34)))))))</f>
        <v>Weekend</v>
      </c>
    </row>
    <row r="35" spans="1:27" x14ac:dyDescent="0.3">
      <c r="A35" s="371">
        <f>IF($A34="","",IF($A34+1&gt;'Work Calendar'!$B$16,"",$A34+1))</f>
        <v>46053</v>
      </c>
      <c r="B35" t="str">
        <f t="shared" si="0"/>
        <v>Sat</v>
      </c>
      <c r="C35" t="str" cm="1">
        <f t="array" ref="C35">IF($A35="","",IF(COUNTIF('Work Calendar'!$E$6:$E$200,$A35)&gt;0,"Holiday",IF(INDEX('Work Calendar'!$C$6:$C$12,WEEKDAY($A35,1))=1,"Working","Weekend")))</f>
        <v>Weekend</v>
      </c>
      <c r="D35" s="341">
        <f>IF($A35="","",SUMIFS('Timesheet Raw'!$P$4:$P$8000,'Timesheet Raw'!$L$4:$L$8000,$A35,'Timesheet Raw'!$C$4:$C$8000,D$3,'Timesheet Raw'!$A$4:$A$8000,"1-Projects"))</f>
        <v>0</v>
      </c>
      <c r="E35" s="341">
        <f>IF($A35="","",SUMIFS('Timesheet Raw'!$P$4:$P$8000,'Timesheet Raw'!$L$4:$L$8000,$A35,'Timesheet Raw'!$C$4:$C$8000,D$3,'Timesheet Raw'!$A$4:$A$8000,"2-Proposals Chargeable")+SUMIFS('Timesheet Raw'!$P$4:$P$8000,'Timesheet Raw'!$L$4:$L$8000,$A35,'Timesheet Raw'!$C$4:$C$8000,D$3,'Timesheet Raw'!$A$4:$A$8000,"3-Proposals Regular"))</f>
        <v>0</v>
      </c>
      <c r="F35" s="341">
        <f>IF($A35="","",SUMIFS('Timesheet Raw'!$P$4:$P$8000,'Timesheet Raw'!$L$4:$L$8000,$A35,'Timesheet Raw'!$C$4:$C$8000,D$3,'Timesheet Raw'!$B$4:$B$8000,'Work Calendar'!$A$26)+SUMIFS('Timesheet Raw'!$P$4:$P$8000,'Timesheet Raw'!$L$4:$L$8000,$A35,'Timesheet Raw'!$C$4:$C$8000,D$3,'Timesheet Raw'!$B$4:$B$8000,'Work Calendar'!$A$27)+SUMIFS('Timesheet Raw'!$P$4:$P$8000,'Timesheet Raw'!$L$4:$L$8000,$A35,'Timesheet Raw'!$C$4:$C$8000,D$3,'Timesheet Raw'!$B$4:$B$8000,'Work Calendar'!$A$28)+SUMIFS('Timesheet Raw'!$P$4:$P$8000,'Timesheet Raw'!$L$4:$L$8000,$A35,'Timesheet Raw'!$C$4:$C$8000,D$3,'Timesheet Raw'!$B$4:$B$8000,'Work Calendar'!$A$29))</f>
        <v>0</v>
      </c>
      <c r="G35" s="341">
        <f t="shared" si="1"/>
        <v>0</v>
      </c>
      <c r="H35" s="395">
        <f>IF($A35="","",SUMIFS('Timesheet Raw'!$K$4:$K$8000,'Timesheet Raw'!$L$4:$L$8000,$A35,'Timesheet Raw'!$C$4:$C$8000,D$3))</f>
        <v>0</v>
      </c>
      <c r="I35" s="345">
        <f>IF($A35="","",SUMIFS('Timesheet Raw'!$P$4:$P$8000,'Timesheet Raw'!$L$4:$L$8000,$A35,'Timesheet Raw'!$C$4:$C$8000,D$3))</f>
        <v>0</v>
      </c>
      <c r="J35" s="375"/>
      <c r="K35" t="str">
        <f>IF($A35="","",IF(J35&lt;&gt;"",J35,IF($A35&gt;'Work Calendar'!$B$17,"No data yet",IF(AND(F35&gt;='Work Calendar'!$B$14,D35+E35+G35&gt;0),"Day off - but worked",IF(F35&gt;='Work Calendar'!$B$14,"Day off",IF(D35+E35+G35&gt;0,IF($C35="Working","Charged","Worked weekend"),IF($C35="Working","Leave (not charged)",$C35)))))))</f>
        <v>Weekend</v>
      </c>
      <c r="L35" s="341">
        <f>IF($A35="","",SUMIFS('Timesheet Raw'!$P$4:$P$8000,'Timesheet Raw'!$L$4:$L$8000,$A35,'Timesheet Raw'!$C$4:$C$8000,L$3,'Timesheet Raw'!$A$4:$A$8000,"1-Projects"))</f>
        <v>0</v>
      </c>
      <c r="M35" s="341">
        <f>IF($A35="","",SUMIFS('Timesheet Raw'!$P$4:$P$8000,'Timesheet Raw'!$L$4:$L$8000,$A35,'Timesheet Raw'!$C$4:$C$8000,L$3,'Timesheet Raw'!$A$4:$A$8000,"2-Proposals Chargeable")+SUMIFS('Timesheet Raw'!$P$4:$P$8000,'Timesheet Raw'!$L$4:$L$8000,$A35,'Timesheet Raw'!$C$4:$C$8000,L$3,'Timesheet Raw'!$A$4:$A$8000,"3-Proposals Regular"))</f>
        <v>0</v>
      </c>
      <c r="N35" s="341">
        <f>IF($A35="","",SUMIFS('Timesheet Raw'!$P$4:$P$8000,'Timesheet Raw'!$L$4:$L$8000,$A35,'Timesheet Raw'!$C$4:$C$8000,L$3,'Timesheet Raw'!$B$4:$B$8000,'Work Calendar'!$A$26)+SUMIFS('Timesheet Raw'!$P$4:$P$8000,'Timesheet Raw'!$L$4:$L$8000,$A35,'Timesheet Raw'!$C$4:$C$8000,L$3,'Timesheet Raw'!$B$4:$B$8000,'Work Calendar'!$A$27)+SUMIFS('Timesheet Raw'!$P$4:$P$8000,'Timesheet Raw'!$L$4:$L$8000,$A35,'Timesheet Raw'!$C$4:$C$8000,L$3,'Timesheet Raw'!$B$4:$B$8000,'Work Calendar'!$A$28)+SUMIFS('Timesheet Raw'!$P$4:$P$8000,'Timesheet Raw'!$L$4:$L$8000,$A35,'Timesheet Raw'!$C$4:$C$8000,L$3,'Timesheet Raw'!$B$4:$B$8000,'Work Calendar'!$A$29))</f>
        <v>0</v>
      </c>
      <c r="O35" s="341">
        <f t="shared" si="2"/>
        <v>0</v>
      </c>
      <c r="P35" s="395">
        <f>IF($A35="","",SUMIFS('Timesheet Raw'!$K$4:$K$8000,'Timesheet Raw'!$L$4:$L$8000,$A35,'Timesheet Raw'!$C$4:$C$8000,L$3))</f>
        <v>0</v>
      </c>
      <c r="Q35" s="345">
        <f>IF($A35="","",SUMIFS('Timesheet Raw'!$P$4:$P$8000,'Timesheet Raw'!$L$4:$L$8000,$A35,'Timesheet Raw'!$C$4:$C$8000,L$3))</f>
        <v>0</v>
      </c>
      <c r="R35" s="375"/>
      <c r="S35" t="str">
        <f>IF($A35="","",IF(R35&lt;&gt;"",R35,IF($A35&gt;'Work Calendar'!$B$17,"No data yet",IF(AND(N35&gt;='Work Calendar'!$B$14,L35+M35+O35&gt;0),"Day off - but worked",IF(N35&gt;='Work Calendar'!$B$14,"Day off",IF(L35+M35+O35&gt;0,IF($C35="Working","Charged","Worked weekend"),IF($C35="Working","Leave (not charged)",$C35)))))))</f>
        <v>Weekend</v>
      </c>
      <c r="T35" s="341">
        <f>IF($A35="","",SUMIFS('Timesheet Raw'!$P$4:$P$8000,'Timesheet Raw'!$L$4:$L$8000,$A35,'Timesheet Raw'!$C$4:$C$8000,T$3,'Timesheet Raw'!$A$4:$A$8000,"1-Projects"))</f>
        <v>0</v>
      </c>
      <c r="U35" s="341">
        <f>IF($A35="","",SUMIFS('Timesheet Raw'!$P$4:$P$8000,'Timesheet Raw'!$L$4:$L$8000,$A35,'Timesheet Raw'!$C$4:$C$8000,T$3,'Timesheet Raw'!$A$4:$A$8000,"2-Proposals Chargeable")+SUMIFS('Timesheet Raw'!$P$4:$P$8000,'Timesheet Raw'!$L$4:$L$8000,$A35,'Timesheet Raw'!$C$4:$C$8000,T$3,'Timesheet Raw'!$A$4:$A$8000,"3-Proposals Regular"))</f>
        <v>0</v>
      </c>
      <c r="V35" s="341">
        <f>IF($A35="","",SUMIFS('Timesheet Raw'!$P$4:$P$8000,'Timesheet Raw'!$L$4:$L$8000,$A35,'Timesheet Raw'!$C$4:$C$8000,T$3,'Timesheet Raw'!$B$4:$B$8000,'Work Calendar'!$A$26)+SUMIFS('Timesheet Raw'!$P$4:$P$8000,'Timesheet Raw'!$L$4:$L$8000,$A35,'Timesheet Raw'!$C$4:$C$8000,T$3,'Timesheet Raw'!$B$4:$B$8000,'Work Calendar'!$A$27)+SUMIFS('Timesheet Raw'!$P$4:$P$8000,'Timesheet Raw'!$L$4:$L$8000,$A35,'Timesheet Raw'!$C$4:$C$8000,T$3,'Timesheet Raw'!$B$4:$B$8000,'Work Calendar'!$A$28)+SUMIFS('Timesheet Raw'!$P$4:$P$8000,'Timesheet Raw'!$L$4:$L$8000,$A35,'Timesheet Raw'!$C$4:$C$8000,T$3,'Timesheet Raw'!$B$4:$B$8000,'Work Calendar'!$A$29))</f>
        <v>0</v>
      </c>
      <c r="W35" s="341">
        <f t="shared" si="3"/>
        <v>0</v>
      </c>
      <c r="X35" s="395">
        <f>IF($A35="","",SUMIFS('Timesheet Raw'!$K$4:$K$8000,'Timesheet Raw'!$L$4:$L$8000,$A35,'Timesheet Raw'!$C$4:$C$8000,T$3))</f>
        <v>0</v>
      </c>
      <c r="Y35" s="345">
        <f>IF($A35="","",SUMIFS('Timesheet Raw'!$P$4:$P$8000,'Timesheet Raw'!$L$4:$L$8000,$A35,'Timesheet Raw'!$C$4:$C$8000,T$3))</f>
        <v>0</v>
      </c>
      <c r="Z35" s="375"/>
      <c r="AA35" t="str">
        <f>IF($A35="","",IF(Z35&lt;&gt;"",Z35,IF($A35&gt;'Work Calendar'!$B$17,"No data yet",IF(AND(V35&gt;='Work Calendar'!$B$14,T35+U35+W35&gt;0),"Day off - but worked",IF(V35&gt;='Work Calendar'!$B$14,"Day off",IF(T35+U35+W35&gt;0,IF($C35="Working","Charged","Worked weekend"),IF($C35="Working","Leave (not charged)",$C35)))))))</f>
        <v>Weekend</v>
      </c>
    </row>
    <row r="36" spans="1:27" x14ac:dyDescent="0.3">
      <c r="A36" s="371">
        <f>IF($A35="","",IF($A35+1&gt;'Work Calendar'!$B$16,"",$A35+1))</f>
        <v>46054</v>
      </c>
      <c r="B36" t="str">
        <f t="shared" si="0"/>
        <v>Sun</v>
      </c>
      <c r="C36" t="str" cm="1">
        <f t="array" ref="C36">IF($A36="","",IF(COUNTIF('Work Calendar'!$E$6:$E$200,$A36)&gt;0,"Holiday",IF(INDEX('Work Calendar'!$C$6:$C$12,WEEKDAY($A36,1))=1,"Working","Weekend")))</f>
        <v>Working</v>
      </c>
      <c r="D36" s="341">
        <f>IF($A36="","",SUMIFS('Timesheet Raw'!$P$4:$P$8000,'Timesheet Raw'!$L$4:$L$8000,$A36,'Timesheet Raw'!$C$4:$C$8000,D$3,'Timesheet Raw'!$A$4:$A$8000,"1-Projects"))</f>
        <v>8.5</v>
      </c>
      <c r="E36" s="341">
        <f>IF($A36="","",SUMIFS('Timesheet Raw'!$P$4:$P$8000,'Timesheet Raw'!$L$4:$L$8000,$A36,'Timesheet Raw'!$C$4:$C$8000,D$3,'Timesheet Raw'!$A$4:$A$8000,"2-Proposals Chargeable")+SUMIFS('Timesheet Raw'!$P$4:$P$8000,'Timesheet Raw'!$L$4:$L$8000,$A36,'Timesheet Raw'!$C$4:$C$8000,D$3,'Timesheet Raw'!$A$4:$A$8000,"3-Proposals Regular"))</f>
        <v>0</v>
      </c>
      <c r="F36" s="341">
        <f>IF($A36="","",SUMIFS('Timesheet Raw'!$P$4:$P$8000,'Timesheet Raw'!$L$4:$L$8000,$A36,'Timesheet Raw'!$C$4:$C$8000,D$3,'Timesheet Raw'!$B$4:$B$8000,'Work Calendar'!$A$26)+SUMIFS('Timesheet Raw'!$P$4:$P$8000,'Timesheet Raw'!$L$4:$L$8000,$A36,'Timesheet Raw'!$C$4:$C$8000,D$3,'Timesheet Raw'!$B$4:$B$8000,'Work Calendar'!$A$27)+SUMIFS('Timesheet Raw'!$P$4:$P$8000,'Timesheet Raw'!$L$4:$L$8000,$A36,'Timesheet Raw'!$C$4:$C$8000,D$3,'Timesheet Raw'!$B$4:$B$8000,'Work Calendar'!$A$28)+SUMIFS('Timesheet Raw'!$P$4:$P$8000,'Timesheet Raw'!$L$4:$L$8000,$A36,'Timesheet Raw'!$C$4:$C$8000,D$3,'Timesheet Raw'!$B$4:$B$8000,'Work Calendar'!$A$29))</f>
        <v>0.5</v>
      </c>
      <c r="G36" s="341">
        <f t="shared" si="1"/>
        <v>0</v>
      </c>
      <c r="H36" s="395">
        <f>IF($A36="","",SUMIFS('Timesheet Raw'!$K$4:$K$8000,'Timesheet Raw'!$L$4:$L$8000,$A36,'Timesheet Raw'!$C$4:$C$8000,D$3))</f>
        <v>0.5</v>
      </c>
      <c r="I36" s="345">
        <f>IF($A36="","",SUMIFS('Timesheet Raw'!$P$4:$P$8000,'Timesheet Raw'!$L$4:$L$8000,$A36,'Timesheet Raw'!$C$4:$C$8000,D$3))</f>
        <v>9</v>
      </c>
      <c r="J36" s="375"/>
      <c r="K36" t="str">
        <f>IF($A36="","",IF(J36&lt;&gt;"",J36,IF($A36&gt;'Work Calendar'!$B$17,"No data yet",IF(AND(F36&gt;='Work Calendar'!$B$14,D36+E36+G36&gt;0),"Day off - but worked",IF(F36&gt;='Work Calendar'!$B$14,"Day off",IF(D36+E36+G36&gt;0,IF($C36="Working","Charged","Worked weekend"),IF($C36="Working","Leave (not charged)",$C36)))))))</f>
        <v>Charged</v>
      </c>
      <c r="L36" s="341">
        <f>IF($A36="","",SUMIFS('Timesheet Raw'!$P$4:$P$8000,'Timesheet Raw'!$L$4:$L$8000,$A36,'Timesheet Raw'!$C$4:$C$8000,L$3,'Timesheet Raw'!$A$4:$A$8000,"1-Projects"))</f>
        <v>9.25</v>
      </c>
      <c r="M36" s="341">
        <f>IF($A36="","",SUMIFS('Timesheet Raw'!$P$4:$P$8000,'Timesheet Raw'!$L$4:$L$8000,$A36,'Timesheet Raw'!$C$4:$C$8000,L$3,'Timesheet Raw'!$A$4:$A$8000,"2-Proposals Chargeable")+SUMIFS('Timesheet Raw'!$P$4:$P$8000,'Timesheet Raw'!$L$4:$L$8000,$A36,'Timesheet Raw'!$C$4:$C$8000,L$3,'Timesheet Raw'!$A$4:$A$8000,"3-Proposals Regular"))</f>
        <v>0</v>
      </c>
      <c r="N36" s="341">
        <f>IF($A36="","",SUMIFS('Timesheet Raw'!$P$4:$P$8000,'Timesheet Raw'!$L$4:$L$8000,$A36,'Timesheet Raw'!$C$4:$C$8000,L$3,'Timesheet Raw'!$B$4:$B$8000,'Work Calendar'!$A$26)+SUMIFS('Timesheet Raw'!$P$4:$P$8000,'Timesheet Raw'!$L$4:$L$8000,$A36,'Timesheet Raw'!$C$4:$C$8000,L$3,'Timesheet Raw'!$B$4:$B$8000,'Work Calendar'!$A$27)+SUMIFS('Timesheet Raw'!$P$4:$P$8000,'Timesheet Raw'!$L$4:$L$8000,$A36,'Timesheet Raw'!$C$4:$C$8000,L$3,'Timesheet Raw'!$B$4:$B$8000,'Work Calendar'!$A$28)+SUMIFS('Timesheet Raw'!$P$4:$P$8000,'Timesheet Raw'!$L$4:$L$8000,$A36,'Timesheet Raw'!$C$4:$C$8000,L$3,'Timesheet Raw'!$B$4:$B$8000,'Work Calendar'!$A$29))</f>
        <v>0</v>
      </c>
      <c r="O36" s="341">
        <f t="shared" si="2"/>
        <v>0</v>
      </c>
      <c r="P36" s="395">
        <f>IF($A36="","",SUMIFS('Timesheet Raw'!$K$4:$K$8000,'Timesheet Raw'!$L$4:$L$8000,$A36,'Timesheet Raw'!$C$4:$C$8000,L$3))</f>
        <v>0.75</v>
      </c>
      <c r="Q36" s="345">
        <f>IF($A36="","",SUMIFS('Timesheet Raw'!$P$4:$P$8000,'Timesheet Raw'!$L$4:$L$8000,$A36,'Timesheet Raw'!$C$4:$C$8000,L$3))</f>
        <v>9.25</v>
      </c>
      <c r="R36" s="375"/>
      <c r="S36" t="str">
        <f>IF($A36="","",IF(R36&lt;&gt;"",R36,IF($A36&gt;'Work Calendar'!$B$17,"No data yet",IF(AND(N36&gt;='Work Calendar'!$B$14,L36+M36+O36&gt;0),"Day off - but worked",IF(N36&gt;='Work Calendar'!$B$14,"Day off",IF(L36+M36+O36&gt;0,IF($C36="Working","Charged","Worked weekend"),IF($C36="Working","Leave (not charged)",$C36)))))))</f>
        <v>Charged</v>
      </c>
      <c r="T36" s="341">
        <f>IF($A36="","",SUMIFS('Timesheet Raw'!$P$4:$P$8000,'Timesheet Raw'!$L$4:$L$8000,$A36,'Timesheet Raw'!$C$4:$C$8000,T$3,'Timesheet Raw'!$A$4:$A$8000,"1-Projects"))</f>
        <v>8.75</v>
      </c>
      <c r="U36" s="341">
        <f>IF($A36="","",SUMIFS('Timesheet Raw'!$P$4:$P$8000,'Timesheet Raw'!$L$4:$L$8000,$A36,'Timesheet Raw'!$C$4:$C$8000,T$3,'Timesheet Raw'!$A$4:$A$8000,"2-Proposals Chargeable")+SUMIFS('Timesheet Raw'!$P$4:$P$8000,'Timesheet Raw'!$L$4:$L$8000,$A36,'Timesheet Raw'!$C$4:$C$8000,T$3,'Timesheet Raw'!$A$4:$A$8000,"3-Proposals Regular"))</f>
        <v>0</v>
      </c>
      <c r="V36" s="341">
        <f>IF($A36="","",SUMIFS('Timesheet Raw'!$P$4:$P$8000,'Timesheet Raw'!$L$4:$L$8000,$A36,'Timesheet Raw'!$C$4:$C$8000,T$3,'Timesheet Raw'!$B$4:$B$8000,'Work Calendar'!$A$26)+SUMIFS('Timesheet Raw'!$P$4:$P$8000,'Timesheet Raw'!$L$4:$L$8000,$A36,'Timesheet Raw'!$C$4:$C$8000,T$3,'Timesheet Raw'!$B$4:$B$8000,'Work Calendar'!$A$27)+SUMIFS('Timesheet Raw'!$P$4:$P$8000,'Timesheet Raw'!$L$4:$L$8000,$A36,'Timesheet Raw'!$C$4:$C$8000,T$3,'Timesheet Raw'!$B$4:$B$8000,'Work Calendar'!$A$28)+SUMIFS('Timesheet Raw'!$P$4:$P$8000,'Timesheet Raw'!$L$4:$L$8000,$A36,'Timesheet Raw'!$C$4:$C$8000,T$3,'Timesheet Raw'!$B$4:$B$8000,'Work Calendar'!$A$29))</f>
        <v>0.5</v>
      </c>
      <c r="W36" s="341">
        <f t="shared" si="3"/>
        <v>0</v>
      </c>
      <c r="X36" s="395">
        <f>IF($A36="","",SUMIFS('Timesheet Raw'!$K$4:$K$8000,'Timesheet Raw'!$L$4:$L$8000,$A36,'Timesheet Raw'!$C$4:$C$8000,T$3))</f>
        <v>0.75</v>
      </c>
      <c r="Y36" s="345">
        <f>IF($A36="","",SUMIFS('Timesheet Raw'!$P$4:$P$8000,'Timesheet Raw'!$L$4:$L$8000,$A36,'Timesheet Raw'!$C$4:$C$8000,T$3))</f>
        <v>9.25</v>
      </c>
      <c r="Z36" s="375"/>
      <c r="AA36" t="str">
        <f>IF($A36="","",IF(Z36&lt;&gt;"",Z36,IF($A36&gt;'Work Calendar'!$B$17,"No data yet",IF(AND(V36&gt;='Work Calendar'!$B$14,T36+U36+W36&gt;0),"Day off - but worked",IF(V36&gt;='Work Calendar'!$B$14,"Day off",IF(T36+U36+W36&gt;0,IF($C36="Working","Charged","Worked weekend"),IF($C36="Working","Leave (not charged)",$C36)))))))</f>
        <v>Charged</v>
      </c>
    </row>
    <row r="37" spans="1:27" x14ac:dyDescent="0.3">
      <c r="A37" s="371">
        <f>IF($A36="","",IF($A36+1&gt;'Work Calendar'!$B$16,"",$A36+1))</f>
        <v>46055</v>
      </c>
      <c r="B37" t="str">
        <f t="shared" si="0"/>
        <v>Mon</v>
      </c>
      <c r="C37" t="str" cm="1">
        <f t="array" ref="C37">IF($A37="","",IF(COUNTIF('Work Calendar'!$E$6:$E$200,$A37)&gt;0,"Holiday",IF(INDEX('Work Calendar'!$C$6:$C$12,WEEKDAY($A37,1))=1,"Working","Weekend")))</f>
        <v>Working</v>
      </c>
      <c r="D37" s="341">
        <f>IF($A37="","",SUMIFS('Timesheet Raw'!$P$4:$P$8000,'Timesheet Raw'!$L$4:$L$8000,$A37,'Timesheet Raw'!$C$4:$C$8000,D$3,'Timesheet Raw'!$A$4:$A$8000,"1-Projects"))</f>
        <v>8.75</v>
      </c>
      <c r="E37" s="341">
        <f>IF($A37="","",SUMIFS('Timesheet Raw'!$P$4:$P$8000,'Timesheet Raw'!$L$4:$L$8000,$A37,'Timesheet Raw'!$C$4:$C$8000,D$3,'Timesheet Raw'!$A$4:$A$8000,"2-Proposals Chargeable")+SUMIFS('Timesheet Raw'!$P$4:$P$8000,'Timesheet Raw'!$L$4:$L$8000,$A37,'Timesheet Raw'!$C$4:$C$8000,D$3,'Timesheet Raw'!$A$4:$A$8000,"3-Proposals Regular"))</f>
        <v>0</v>
      </c>
      <c r="F37" s="341">
        <f>IF($A37="","",SUMIFS('Timesheet Raw'!$P$4:$P$8000,'Timesheet Raw'!$L$4:$L$8000,$A37,'Timesheet Raw'!$C$4:$C$8000,D$3,'Timesheet Raw'!$B$4:$B$8000,'Work Calendar'!$A$26)+SUMIFS('Timesheet Raw'!$P$4:$P$8000,'Timesheet Raw'!$L$4:$L$8000,$A37,'Timesheet Raw'!$C$4:$C$8000,D$3,'Timesheet Raw'!$B$4:$B$8000,'Work Calendar'!$A$27)+SUMIFS('Timesheet Raw'!$P$4:$P$8000,'Timesheet Raw'!$L$4:$L$8000,$A37,'Timesheet Raw'!$C$4:$C$8000,D$3,'Timesheet Raw'!$B$4:$B$8000,'Work Calendar'!$A$28)+SUMIFS('Timesheet Raw'!$P$4:$P$8000,'Timesheet Raw'!$L$4:$L$8000,$A37,'Timesheet Raw'!$C$4:$C$8000,D$3,'Timesheet Raw'!$B$4:$B$8000,'Work Calendar'!$A$29))</f>
        <v>0.75</v>
      </c>
      <c r="G37" s="341">
        <f t="shared" si="1"/>
        <v>0</v>
      </c>
      <c r="H37" s="395">
        <f>IF($A37="","",SUMIFS('Timesheet Raw'!$K$4:$K$8000,'Timesheet Raw'!$L$4:$L$8000,$A37,'Timesheet Raw'!$C$4:$C$8000,D$3))</f>
        <v>1</v>
      </c>
      <c r="I37" s="345">
        <f>IF($A37="","",SUMIFS('Timesheet Raw'!$P$4:$P$8000,'Timesheet Raw'!$L$4:$L$8000,$A37,'Timesheet Raw'!$C$4:$C$8000,D$3))</f>
        <v>9.5</v>
      </c>
      <c r="J37" s="375"/>
      <c r="K37" t="str">
        <f>IF($A37="","",IF(J37&lt;&gt;"",J37,IF($A37&gt;'Work Calendar'!$B$17,"No data yet",IF(AND(F37&gt;='Work Calendar'!$B$14,D37+E37+G37&gt;0),"Day off - but worked",IF(F37&gt;='Work Calendar'!$B$14,"Day off",IF(D37+E37+G37&gt;0,IF($C37="Working","Charged","Worked weekend"),IF($C37="Working","Leave (not charged)",$C37)))))))</f>
        <v>Charged</v>
      </c>
      <c r="L37" s="341">
        <f>IF($A37="","",SUMIFS('Timesheet Raw'!$P$4:$P$8000,'Timesheet Raw'!$L$4:$L$8000,$A37,'Timesheet Raw'!$C$4:$C$8000,L$3,'Timesheet Raw'!$A$4:$A$8000,"1-Projects"))</f>
        <v>9</v>
      </c>
      <c r="M37" s="341">
        <f>IF($A37="","",SUMIFS('Timesheet Raw'!$P$4:$P$8000,'Timesheet Raw'!$L$4:$L$8000,$A37,'Timesheet Raw'!$C$4:$C$8000,L$3,'Timesheet Raw'!$A$4:$A$8000,"2-Proposals Chargeable")+SUMIFS('Timesheet Raw'!$P$4:$P$8000,'Timesheet Raw'!$L$4:$L$8000,$A37,'Timesheet Raw'!$C$4:$C$8000,L$3,'Timesheet Raw'!$A$4:$A$8000,"3-Proposals Regular"))</f>
        <v>0</v>
      </c>
      <c r="N37" s="341">
        <f>IF($A37="","",SUMIFS('Timesheet Raw'!$P$4:$P$8000,'Timesheet Raw'!$L$4:$L$8000,$A37,'Timesheet Raw'!$C$4:$C$8000,L$3,'Timesheet Raw'!$B$4:$B$8000,'Work Calendar'!$A$26)+SUMIFS('Timesheet Raw'!$P$4:$P$8000,'Timesheet Raw'!$L$4:$L$8000,$A37,'Timesheet Raw'!$C$4:$C$8000,L$3,'Timesheet Raw'!$B$4:$B$8000,'Work Calendar'!$A$27)+SUMIFS('Timesheet Raw'!$P$4:$P$8000,'Timesheet Raw'!$L$4:$L$8000,$A37,'Timesheet Raw'!$C$4:$C$8000,L$3,'Timesheet Raw'!$B$4:$B$8000,'Work Calendar'!$A$28)+SUMIFS('Timesheet Raw'!$P$4:$P$8000,'Timesheet Raw'!$L$4:$L$8000,$A37,'Timesheet Raw'!$C$4:$C$8000,L$3,'Timesheet Raw'!$B$4:$B$8000,'Work Calendar'!$A$29))</f>
        <v>0.25</v>
      </c>
      <c r="O37" s="341">
        <f t="shared" si="2"/>
        <v>0</v>
      </c>
      <c r="P37" s="395">
        <f>IF($A37="","",SUMIFS('Timesheet Raw'!$K$4:$K$8000,'Timesheet Raw'!$L$4:$L$8000,$A37,'Timesheet Raw'!$C$4:$C$8000,L$3))</f>
        <v>0.75</v>
      </c>
      <c r="Q37" s="345">
        <f>IF($A37="","",SUMIFS('Timesheet Raw'!$P$4:$P$8000,'Timesheet Raw'!$L$4:$L$8000,$A37,'Timesheet Raw'!$C$4:$C$8000,L$3))</f>
        <v>9.25</v>
      </c>
      <c r="R37" s="375"/>
      <c r="S37" t="str">
        <f>IF($A37="","",IF(R37&lt;&gt;"",R37,IF($A37&gt;'Work Calendar'!$B$17,"No data yet",IF(AND(N37&gt;='Work Calendar'!$B$14,L37+M37+O37&gt;0),"Day off - but worked",IF(N37&gt;='Work Calendar'!$B$14,"Day off",IF(L37+M37+O37&gt;0,IF($C37="Working","Charged","Worked weekend"),IF($C37="Working","Leave (not charged)",$C37)))))))</f>
        <v>Charged</v>
      </c>
      <c r="T37" s="341">
        <f>IF($A37="","",SUMIFS('Timesheet Raw'!$P$4:$P$8000,'Timesheet Raw'!$L$4:$L$8000,$A37,'Timesheet Raw'!$C$4:$C$8000,T$3,'Timesheet Raw'!$A$4:$A$8000,"1-Projects"))</f>
        <v>9</v>
      </c>
      <c r="U37" s="341">
        <f>IF($A37="","",SUMIFS('Timesheet Raw'!$P$4:$P$8000,'Timesheet Raw'!$L$4:$L$8000,$A37,'Timesheet Raw'!$C$4:$C$8000,T$3,'Timesheet Raw'!$A$4:$A$8000,"2-Proposals Chargeable")+SUMIFS('Timesheet Raw'!$P$4:$P$8000,'Timesheet Raw'!$L$4:$L$8000,$A37,'Timesheet Raw'!$C$4:$C$8000,T$3,'Timesheet Raw'!$A$4:$A$8000,"3-Proposals Regular"))</f>
        <v>0</v>
      </c>
      <c r="V37" s="341">
        <f>IF($A37="","",SUMIFS('Timesheet Raw'!$P$4:$P$8000,'Timesheet Raw'!$L$4:$L$8000,$A37,'Timesheet Raw'!$C$4:$C$8000,T$3,'Timesheet Raw'!$B$4:$B$8000,'Work Calendar'!$A$26)+SUMIFS('Timesheet Raw'!$P$4:$P$8000,'Timesheet Raw'!$L$4:$L$8000,$A37,'Timesheet Raw'!$C$4:$C$8000,T$3,'Timesheet Raw'!$B$4:$B$8000,'Work Calendar'!$A$27)+SUMIFS('Timesheet Raw'!$P$4:$P$8000,'Timesheet Raw'!$L$4:$L$8000,$A37,'Timesheet Raw'!$C$4:$C$8000,T$3,'Timesheet Raw'!$B$4:$B$8000,'Work Calendar'!$A$28)+SUMIFS('Timesheet Raw'!$P$4:$P$8000,'Timesheet Raw'!$L$4:$L$8000,$A37,'Timesheet Raw'!$C$4:$C$8000,T$3,'Timesheet Raw'!$B$4:$B$8000,'Work Calendar'!$A$29))</f>
        <v>0.75</v>
      </c>
      <c r="W37" s="341">
        <f t="shared" si="3"/>
        <v>0</v>
      </c>
      <c r="X37" s="395">
        <f>IF($A37="","",SUMIFS('Timesheet Raw'!$K$4:$K$8000,'Timesheet Raw'!$L$4:$L$8000,$A37,'Timesheet Raw'!$C$4:$C$8000,T$3))</f>
        <v>1.25</v>
      </c>
      <c r="Y37" s="345">
        <f>IF($A37="","",SUMIFS('Timesheet Raw'!$P$4:$P$8000,'Timesheet Raw'!$L$4:$L$8000,$A37,'Timesheet Raw'!$C$4:$C$8000,T$3))</f>
        <v>9.75</v>
      </c>
      <c r="Z37" s="375"/>
      <c r="AA37" t="str">
        <f>IF($A37="","",IF(Z37&lt;&gt;"",Z37,IF($A37&gt;'Work Calendar'!$B$17,"No data yet",IF(AND(V37&gt;='Work Calendar'!$B$14,T37+U37+W37&gt;0),"Day off - but worked",IF(V37&gt;='Work Calendar'!$B$14,"Day off",IF(T37+U37+W37&gt;0,IF($C37="Working","Charged","Worked weekend"),IF($C37="Working","Leave (not charged)",$C37)))))))</f>
        <v>Charged</v>
      </c>
    </row>
    <row r="38" spans="1:27" x14ac:dyDescent="0.3">
      <c r="A38" s="371">
        <f>IF($A37="","",IF($A37+1&gt;'Work Calendar'!$B$16,"",$A37+1))</f>
        <v>46056</v>
      </c>
      <c r="B38" t="str">
        <f t="shared" si="0"/>
        <v>Tue</v>
      </c>
      <c r="C38" t="str" cm="1">
        <f t="array" ref="C38">IF($A38="","",IF(COUNTIF('Work Calendar'!$E$6:$E$200,$A38)&gt;0,"Holiday",IF(INDEX('Work Calendar'!$C$6:$C$12,WEEKDAY($A38,1))=1,"Working","Weekend")))</f>
        <v>Working</v>
      </c>
      <c r="D38" s="341">
        <f>IF($A38="","",SUMIFS('Timesheet Raw'!$P$4:$P$8000,'Timesheet Raw'!$L$4:$L$8000,$A38,'Timesheet Raw'!$C$4:$C$8000,D$3,'Timesheet Raw'!$A$4:$A$8000,"1-Projects"))</f>
        <v>8.75</v>
      </c>
      <c r="E38" s="341">
        <f>IF($A38="","",SUMIFS('Timesheet Raw'!$P$4:$P$8000,'Timesheet Raw'!$L$4:$L$8000,$A38,'Timesheet Raw'!$C$4:$C$8000,D$3,'Timesheet Raw'!$A$4:$A$8000,"2-Proposals Chargeable")+SUMIFS('Timesheet Raw'!$P$4:$P$8000,'Timesheet Raw'!$L$4:$L$8000,$A38,'Timesheet Raw'!$C$4:$C$8000,D$3,'Timesheet Raw'!$A$4:$A$8000,"3-Proposals Regular"))</f>
        <v>0</v>
      </c>
      <c r="F38" s="341">
        <f>IF($A38="","",SUMIFS('Timesheet Raw'!$P$4:$P$8000,'Timesheet Raw'!$L$4:$L$8000,$A38,'Timesheet Raw'!$C$4:$C$8000,D$3,'Timesheet Raw'!$B$4:$B$8000,'Work Calendar'!$A$26)+SUMIFS('Timesheet Raw'!$P$4:$P$8000,'Timesheet Raw'!$L$4:$L$8000,$A38,'Timesheet Raw'!$C$4:$C$8000,D$3,'Timesheet Raw'!$B$4:$B$8000,'Work Calendar'!$A$27)+SUMIFS('Timesheet Raw'!$P$4:$P$8000,'Timesheet Raw'!$L$4:$L$8000,$A38,'Timesheet Raw'!$C$4:$C$8000,D$3,'Timesheet Raw'!$B$4:$B$8000,'Work Calendar'!$A$28)+SUMIFS('Timesheet Raw'!$P$4:$P$8000,'Timesheet Raw'!$L$4:$L$8000,$A38,'Timesheet Raw'!$C$4:$C$8000,D$3,'Timesheet Raw'!$B$4:$B$8000,'Work Calendar'!$A$29))</f>
        <v>0.75</v>
      </c>
      <c r="G38" s="341">
        <f t="shared" si="1"/>
        <v>0</v>
      </c>
      <c r="H38" s="395">
        <f>IF($A38="","",SUMIFS('Timesheet Raw'!$K$4:$K$8000,'Timesheet Raw'!$L$4:$L$8000,$A38,'Timesheet Raw'!$C$4:$C$8000,D$3))</f>
        <v>1</v>
      </c>
      <c r="I38" s="345">
        <f>IF($A38="","",SUMIFS('Timesheet Raw'!$P$4:$P$8000,'Timesheet Raw'!$L$4:$L$8000,$A38,'Timesheet Raw'!$C$4:$C$8000,D$3))</f>
        <v>9.5</v>
      </c>
      <c r="J38" s="375"/>
      <c r="K38" t="str">
        <f>IF($A38="","",IF(J38&lt;&gt;"",J38,IF($A38&gt;'Work Calendar'!$B$17,"No data yet",IF(AND(F38&gt;='Work Calendar'!$B$14,D38+E38+G38&gt;0),"Day off - but worked",IF(F38&gt;='Work Calendar'!$B$14,"Day off",IF(D38+E38+G38&gt;0,IF($C38="Working","Charged","Worked weekend"),IF($C38="Working","Leave (not charged)",$C38)))))))</f>
        <v>Charged</v>
      </c>
      <c r="L38" s="341">
        <f>IF($A38="","",SUMIFS('Timesheet Raw'!$P$4:$P$8000,'Timesheet Raw'!$L$4:$L$8000,$A38,'Timesheet Raw'!$C$4:$C$8000,L$3,'Timesheet Raw'!$A$4:$A$8000,"1-Projects"))</f>
        <v>8.75</v>
      </c>
      <c r="M38" s="341">
        <f>IF($A38="","",SUMIFS('Timesheet Raw'!$P$4:$P$8000,'Timesheet Raw'!$L$4:$L$8000,$A38,'Timesheet Raw'!$C$4:$C$8000,L$3,'Timesheet Raw'!$A$4:$A$8000,"2-Proposals Chargeable")+SUMIFS('Timesheet Raw'!$P$4:$P$8000,'Timesheet Raw'!$L$4:$L$8000,$A38,'Timesheet Raw'!$C$4:$C$8000,L$3,'Timesheet Raw'!$A$4:$A$8000,"3-Proposals Regular"))</f>
        <v>0</v>
      </c>
      <c r="N38" s="341">
        <f>IF($A38="","",SUMIFS('Timesheet Raw'!$P$4:$P$8000,'Timesheet Raw'!$L$4:$L$8000,$A38,'Timesheet Raw'!$C$4:$C$8000,L$3,'Timesheet Raw'!$B$4:$B$8000,'Work Calendar'!$A$26)+SUMIFS('Timesheet Raw'!$P$4:$P$8000,'Timesheet Raw'!$L$4:$L$8000,$A38,'Timesheet Raw'!$C$4:$C$8000,L$3,'Timesheet Raw'!$B$4:$B$8000,'Work Calendar'!$A$27)+SUMIFS('Timesheet Raw'!$P$4:$P$8000,'Timesheet Raw'!$L$4:$L$8000,$A38,'Timesheet Raw'!$C$4:$C$8000,L$3,'Timesheet Raw'!$B$4:$B$8000,'Work Calendar'!$A$28)+SUMIFS('Timesheet Raw'!$P$4:$P$8000,'Timesheet Raw'!$L$4:$L$8000,$A38,'Timesheet Raw'!$C$4:$C$8000,L$3,'Timesheet Raw'!$B$4:$B$8000,'Work Calendar'!$A$29))</f>
        <v>0.5</v>
      </c>
      <c r="O38" s="341">
        <f t="shared" si="2"/>
        <v>0</v>
      </c>
      <c r="P38" s="395">
        <f>IF($A38="","",SUMIFS('Timesheet Raw'!$K$4:$K$8000,'Timesheet Raw'!$L$4:$L$8000,$A38,'Timesheet Raw'!$C$4:$C$8000,L$3))</f>
        <v>0.75</v>
      </c>
      <c r="Q38" s="345">
        <f>IF($A38="","",SUMIFS('Timesheet Raw'!$P$4:$P$8000,'Timesheet Raw'!$L$4:$L$8000,$A38,'Timesheet Raw'!$C$4:$C$8000,L$3))</f>
        <v>9.25</v>
      </c>
      <c r="R38" s="375"/>
      <c r="S38" t="str">
        <f>IF($A38="","",IF(R38&lt;&gt;"",R38,IF($A38&gt;'Work Calendar'!$B$17,"No data yet",IF(AND(N38&gt;='Work Calendar'!$B$14,L38+M38+O38&gt;0),"Day off - but worked",IF(N38&gt;='Work Calendar'!$B$14,"Day off",IF(L38+M38+O38&gt;0,IF($C38="Working","Charged","Worked weekend"),IF($C38="Working","Leave (not charged)",$C38)))))))</f>
        <v>Charged</v>
      </c>
      <c r="T38" s="341">
        <f>IF($A38="","",SUMIFS('Timesheet Raw'!$P$4:$P$8000,'Timesheet Raw'!$L$4:$L$8000,$A38,'Timesheet Raw'!$C$4:$C$8000,T$3,'Timesheet Raw'!$A$4:$A$8000,"1-Projects"))</f>
        <v>9</v>
      </c>
      <c r="U38" s="341">
        <f>IF($A38="","",SUMIFS('Timesheet Raw'!$P$4:$P$8000,'Timesheet Raw'!$L$4:$L$8000,$A38,'Timesheet Raw'!$C$4:$C$8000,T$3,'Timesheet Raw'!$A$4:$A$8000,"2-Proposals Chargeable")+SUMIFS('Timesheet Raw'!$P$4:$P$8000,'Timesheet Raw'!$L$4:$L$8000,$A38,'Timesheet Raw'!$C$4:$C$8000,T$3,'Timesheet Raw'!$A$4:$A$8000,"3-Proposals Regular"))</f>
        <v>0</v>
      </c>
      <c r="V38" s="341">
        <f>IF($A38="","",SUMIFS('Timesheet Raw'!$P$4:$P$8000,'Timesheet Raw'!$L$4:$L$8000,$A38,'Timesheet Raw'!$C$4:$C$8000,T$3,'Timesheet Raw'!$B$4:$B$8000,'Work Calendar'!$A$26)+SUMIFS('Timesheet Raw'!$P$4:$P$8000,'Timesheet Raw'!$L$4:$L$8000,$A38,'Timesheet Raw'!$C$4:$C$8000,T$3,'Timesheet Raw'!$B$4:$B$8000,'Work Calendar'!$A$27)+SUMIFS('Timesheet Raw'!$P$4:$P$8000,'Timesheet Raw'!$L$4:$L$8000,$A38,'Timesheet Raw'!$C$4:$C$8000,T$3,'Timesheet Raw'!$B$4:$B$8000,'Work Calendar'!$A$28)+SUMIFS('Timesheet Raw'!$P$4:$P$8000,'Timesheet Raw'!$L$4:$L$8000,$A38,'Timesheet Raw'!$C$4:$C$8000,T$3,'Timesheet Raw'!$B$4:$B$8000,'Work Calendar'!$A$29))</f>
        <v>0.5</v>
      </c>
      <c r="W38" s="341">
        <f t="shared" si="3"/>
        <v>0</v>
      </c>
      <c r="X38" s="395">
        <f>IF($A38="","",SUMIFS('Timesheet Raw'!$K$4:$K$8000,'Timesheet Raw'!$L$4:$L$8000,$A38,'Timesheet Raw'!$C$4:$C$8000,T$3))</f>
        <v>1</v>
      </c>
      <c r="Y38" s="345">
        <f>IF($A38="","",SUMIFS('Timesheet Raw'!$P$4:$P$8000,'Timesheet Raw'!$L$4:$L$8000,$A38,'Timesheet Raw'!$C$4:$C$8000,T$3))</f>
        <v>9.5</v>
      </c>
      <c r="Z38" s="375"/>
      <c r="AA38" t="str">
        <f>IF($A38="","",IF(Z38&lt;&gt;"",Z38,IF($A38&gt;'Work Calendar'!$B$17,"No data yet",IF(AND(V38&gt;='Work Calendar'!$B$14,T38+U38+W38&gt;0),"Day off - but worked",IF(V38&gt;='Work Calendar'!$B$14,"Day off",IF(T38+U38+W38&gt;0,IF($C38="Working","Charged","Worked weekend"),IF($C38="Working","Leave (not charged)",$C38)))))))</f>
        <v>Charged</v>
      </c>
    </row>
    <row r="39" spans="1:27" x14ac:dyDescent="0.3">
      <c r="A39" s="371">
        <f>IF($A38="","",IF($A38+1&gt;'Work Calendar'!$B$16,"",$A38+1))</f>
        <v>46057</v>
      </c>
      <c r="B39" t="str">
        <f t="shared" si="0"/>
        <v>Wed</v>
      </c>
      <c r="C39" t="str" cm="1">
        <f t="array" ref="C39">IF($A39="","",IF(COUNTIF('Work Calendar'!$E$6:$E$200,$A39)&gt;0,"Holiday",IF(INDEX('Work Calendar'!$C$6:$C$12,WEEKDAY($A39,1))=1,"Working","Weekend")))</f>
        <v>Working</v>
      </c>
      <c r="D39" s="341">
        <f>IF($A39="","",SUMIFS('Timesheet Raw'!$P$4:$P$8000,'Timesheet Raw'!$L$4:$L$8000,$A39,'Timesheet Raw'!$C$4:$C$8000,D$3,'Timesheet Raw'!$A$4:$A$8000,"1-Projects"))</f>
        <v>8.5</v>
      </c>
      <c r="E39" s="341">
        <f>IF($A39="","",SUMIFS('Timesheet Raw'!$P$4:$P$8000,'Timesheet Raw'!$L$4:$L$8000,$A39,'Timesheet Raw'!$C$4:$C$8000,D$3,'Timesheet Raw'!$A$4:$A$8000,"2-Proposals Chargeable")+SUMIFS('Timesheet Raw'!$P$4:$P$8000,'Timesheet Raw'!$L$4:$L$8000,$A39,'Timesheet Raw'!$C$4:$C$8000,D$3,'Timesheet Raw'!$A$4:$A$8000,"3-Proposals Regular"))</f>
        <v>0</v>
      </c>
      <c r="F39" s="341">
        <f>IF($A39="","",SUMIFS('Timesheet Raw'!$P$4:$P$8000,'Timesheet Raw'!$L$4:$L$8000,$A39,'Timesheet Raw'!$C$4:$C$8000,D$3,'Timesheet Raw'!$B$4:$B$8000,'Work Calendar'!$A$26)+SUMIFS('Timesheet Raw'!$P$4:$P$8000,'Timesheet Raw'!$L$4:$L$8000,$A39,'Timesheet Raw'!$C$4:$C$8000,D$3,'Timesheet Raw'!$B$4:$B$8000,'Work Calendar'!$A$27)+SUMIFS('Timesheet Raw'!$P$4:$P$8000,'Timesheet Raw'!$L$4:$L$8000,$A39,'Timesheet Raw'!$C$4:$C$8000,D$3,'Timesheet Raw'!$B$4:$B$8000,'Work Calendar'!$A$28)+SUMIFS('Timesheet Raw'!$P$4:$P$8000,'Timesheet Raw'!$L$4:$L$8000,$A39,'Timesheet Raw'!$C$4:$C$8000,D$3,'Timesheet Raw'!$B$4:$B$8000,'Work Calendar'!$A$29))</f>
        <v>1</v>
      </c>
      <c r="G39" s="341">
        <f t="shared" si="1"/>
        <v>0</v>
      </c>
      <c r="H39" s="395">
        <f>IF($A39="","",SUMIFS('Timesheet Raw'!$K$4:$K$8000,'Timesheet Raw'!$L$4:$L$8000,$A39,'Timesheet Raw'!$C$4:$C$8000,D$3))</f>
        <v>1</v>
      </c>
      <c r="I39" s="345">
        <f>IF($A39="","",SUMIFS('Timesheet Raw'!$P$4:$P$8000,'Timesheet Raw'!$L$4:$L$8000,$A39,'Timesheet Raw'!$C$4:$C$8000,D$3))</f>
        <v>9.5</v>
      </c>
      <c r="J39" s="375"/>
      <c r="K39" t="str">
        <f>IF($A39="","",IF(J39&lt;&gt;"",J39,IF($A39&gt;'Work Calendar'!$B$17,"No data yet",IF(AND(F39&gt;='Work Calendar'!$B$14,D39+E39+G39&gt;0),"Day off - but worked",IF(F39&gt;='Work Calendar'!$B$14,"Day off",IF(D39+E39+G39&gt;0,IF($C39="Working","Charged","Worked weekend"),IF($C39="Working","Leave (not charged)",$C39)))))))</f>
        <v>Charged</v>
      </c>
      <c r="L39" s="341">
        <f>IF($A39="","",SUMIFS('Timesheet Raw'!$P$4:$P$8000,'Timesheet Raw'!$L$4:$L$8000,$A39,'Timesheet Raw'!$C$4:$C$8000,L$3,'Timesheet Raw'!$A$4:$A$8000,"1-Projects"))</f>
        <v>8.5</v>
      </c>
      <c r="M39" s="341">
        <f>IF($A39="","",SUMIFS('Timesheet Raw'!$P$4:$P$8000,'Timesheet Raw'!$L$4:$L$8000,$A39,'Timesheet Raw'!$C$4:$C$8000,L$3,'Timesheet Raw'!$A$4:$A$8000,"2-Proposals Chargeable")+SUMIFS('Timesheet Raw'!$P$4:$P$8000,'Timesheet Raw'!$L$4:$L$8000,$A39,'Timesheet Raw'!$C$4:$C$8000,L$3,'Timesheet Raw'!$A$4:$A$8000,"3-Proposals Regular"))</f>
        <v>0</v>
      </c>
      <c r="N39" s="341">
        <f>IF($A39="","",SUMIFS('Timesheet Raw'!$P$4:$P$8000,'Timesheet Raw'!$L$4:$L$8000,$A39,'Timesheet Raw'!$C$4:$C$8000,L$3,'Timesheet Raw'!$B$4:$B$8000,'Work Calendar'!$A$26)+SUMIFS('Timesheet Raw'!$P$4:$P$8000,'Timesheet Raw'!$L$4:$L$8000,$A39,'Timesheet Raw'!$C$4:$C$8000,L$3,'Timesheet Raw'!$B$4:$B$8000,'Work Calendar'!$A$27)+SUMIFS('Timesheet Raw'!$P$4:$P$8000,'Timesheet Raw'!$L$4:$L$8000,$A39,'Timesheet Raw'!$C$4:$C$8000,L$3,'Timesheet Raw'!$B$4:$B$8000,'Work Calendar'!$A$28)+SUMIFS('Timesheet Raw'!$P$4:$P$8000,'Timesheet Raw'!$L$4:$L$8000,$A39,'Timesheet Raw'!$C$4:$C$8000,L$3,'Timesheet Raw'!$B$4:$B$8000,'Work Calendar'!$A$29))</f>
        <v>0.5</v>
      </c>
      <c r="O39" s="341">
        <f t="shared" si="2"/>
        <v>0</v>
      </c>
      <c r="P39" s="395">
        <f>IF($A39="","",SUMIFS('Timesheet Raw'!$K$4:$K$8000,'Timesheet Raw'!$L$4:$L$8000,$A39,'Timesheet Raw'!$C$4:$C$8000,L$3))</f>
        <v>0.5</v>
      </c>
      <c r="Q39" s="345">
        <f>IF($A39="","",SUMIFS('Timesheet Raw'!$P$4:$P$8000,'Timesheet Raw'!$L$4:$L$8000,$A39,'Timesheet Raw'!$C$4:$C$8000,L$3))</f>
        <v>9</v>
      </c>
      <c r="R39" s="375"/>
      <c r="S39" t="str">
        <f>IF($A39="","",IF(R39&lt;&gt;"",R39,IF($A39&gt;'Work Calendar'!$B$17,"No data yet",IF(AND(N39&gt;='Work Calendar'!$B$14,L39+M39+O39&gt;0),"Day off - but worked",IF(N39&gt;='Work Calendar'!$B$14,"Day off",IF(L39+M39+O39&gt;0,IF($C39="Working","Charged","Worked weekend"),IF($C39="Working","Leave (not charged)",$C39)))))))</f>
        <v>Charged</v>
      </c>
      <c r="T39" s="341">
        <f>IF($A39="","",SUMIFS('Timesheet Raw'!$P$4:$P$8000,'Timesheet Raw'!$L$4:$L$8000,$A39,'Timesheet Raw'!$C$4:$C$8000,T$3,'Timesheet Raw'!$A$4:$A$8000,"1-Projects"))</f>
        <v>9.25</v>
      </c>
      <c r="U39" s="341">
        <f>IF($A39="","",SUMIFS('Timesheet Raw'!$P$4:$P$8000,'Timesheet Raw'!$L$4:$L$8000,$A39,'Timesheet Raw'!$C$4:$C$8000,T$3,'Timesheet Raw'!$A$4:$A$8000,"2-Proposals Chargeable")+SUMIFS('Timesheet Raw'!$P$4:$P$8000,'Timesheet Raw'!$L$4:$L$8000,$A39,'Timesheet Raw'!$C$4:$C$8000,T$3,'Timesheet Raw'!$A$4:$A$8000,"3-Proposals Regular"))</f>
        <v>0</v>
      </c>
      <c r="V39" s="341">
        <f>IF($A39="","",SUMIFS('Timesheet Raw'!$P$4:$P$8000,'Timesheet Raw'!$L$4:$L$8000,$A39,'Timesheet Raw'!$C$4:$C$8000,T$3,'Timesheet Raw'!$B$4:$B$8000,'Work Calendar'!$A$26)+SUMIFS('Timesheet Raw'!$P$4:$P$8000,'Timesheet Raw'!$L$4:$L$8000,$A39,'Timesheet Raw'!$C$4:$C$8000,T$3,'Timesheet Raw'!$B$4:$B$8000,'Work Calendar'!$A$27)+SUMIFS('Timesheet Raw'!$P$4:$P$8000,'Timesheet Raw'!$L$4:$L$8000,$A39,'Timesheet Raw'!$C$4:$C$8000,T$3,'Timesheet Raw'!$B$4:$B$8000,'Work Calendar'!$A$28)+SUMIFS('Timesheet Raw'!$P$4:$P$8000,'Timesheet Raw'!$L$4:$L$8000,$A39,'Timesheet Raw'!$C$4:$C$8000,T$3,'Timesheet Raw'!$B$4:$B$8000,'Work Calendar'!$A$29))</f>
        <v>0.5</v>
      </c>
      <c r="W39" s="341">
        <f t="shared" si="3"/>
        <v>0</v>
      </c>
      <c r="X39" s="395">
        <f>IF($A39="","",SUMIFS('Timesheet Raw'!$K$4:$K$8000,'Timesheet Raw'!$L$4:$L$8000,$A39,'Timesheet Raw'!$C$4:$C$8000,T$3))</f>
        <v>1.25</v>
      </c>
      <c r="Y39" s="345">
        <f>IF($A39="","",SUMIFS('Timesheet Raw'!$P$4:$P$8000,'Timesheet Raw'!$L$4:$L$8000,$A39,'Timesheet Raw'!$C$4:$C$8000,T$3))</f>
        <v>9.75</v>
      </c>
      <c r="Z39" s="375"/>
      <c r="AA39" t="str">
        <f>IF($A39="","",IF(Z39&lt;&gt;"",Z39,IF($A39&gt;'Work Calendar'!$B$17,"No data yet",IF(AND(V39&gt;='Work Calendar'!$B$14,T39+U39+W39&gt;0),"Day off - but worked",IF(V39&gt;='Work Calendar'!$B$14,"Day off",IF(T39+U39+W39&gt;0,IF($C39="Working","Charged","Worked weekend"),IF($C39="Working","Leave (not charged)",$C39)))))))</f>
        <v>Charged</v>
      </c>
    </row>
    <row r="40" spans="1:27" x14ac:dyDescent="0.3">
      <c r="A40" s="371">
        <f>IF($A39="","",IF($A39+1&gt;'Work Calendar'!$B$16,"",$A39+1))</f>
        <v>46058</v>
      </c>
      <c r="B40" t="str">
        <f t="shared" si="0"/>
        <v>Thu</v>
      </c>
      <c r="C40" t="str" cm="1">
        <f t="array" ref="C40">IF($A40="","",IF(COUNTIF('Work Calendar'!$E$6:$E$200,$A40)&gt;0,"Holiday",IF(INDEX('Work Calendar'!$C$6:$C$12,WEEKDAY($A40,1))=1,"Working","Weekend")))</f>
        <v>Working</v>
      </c>
      <c r="D40" s="341">
        <f>IF($A40="","",SUMIFS('Timesheet Raw'!$P$4:$P$8000,'Timesheet Raw'!$L$4:$L$8000,$A40,'Timesheet Raw'!$C$4:$C$8000,D$3,'Timesheet Raw'!$A$4:$A$8000,"1-Projects"))</f>
        <v>9.25</v>
      </c>
      <c r="E40" s="341">
        <f>IF($A40="","",SUMIFS('Timesheet Raw'!$P$4:$P$8000,'Timesheet Raw'!$L$4:$L$8000,$A40,'Timesheet Raw'!$C$4:$C$8000,D$3,'Timesheet Raw'!$A$4:$A$8000,"2-Proposals Chargeable")+SUMIFS('Timesheet Raw'!$P$4:$P$8000,'Timesheet Raw'!$L$4:$L$8000,$A40,'Timesheet Raw'!$C$4:$C$8000,D$3,'Timesheet Raw'!$A$4:$A$8000,"3-Proposals Regular"))</f>
        <v>0</v>
      </c>
      <c r="F40" s="341">
        <f>IF($A40="","",SUMIFS('Timesheet Raw'!$P$4:$P$8000,'Timesheet Raw'!$L$4:$L$8000,$A40,'Timesheet Raw'!$C$4:$C$8000,D$3,'Timesheet Raw'!$B$4:$B$8000,'Work Calendar'!$A$26)+SUMIFS('Timesheet Raw'!$P$4:$P$8000,'Timesheet Raw'!$L$4:$L$8000,$A40,'Timesheet Raw'!$C$4:$C$8000,D$3,'Timesheet Raw'!$B$4:$B$8000,'Work Calendar'!$A$27)+SUMIFS('Timesheet Raw'!$P$4:$P$8000,'Timesheet Raw'!$L$4:$L$8000,$A40,'Timesheet Raw'!$C$4:$C$8000,D$3,'Timesheet Raw'!$B$4:$B$8000,'Work Calendar'!$A$28)+SUMIFS('Timesheet Raw'!$P$4:$P$8000,'Timesheet Raw'!$L$4:$L$8000,$A40,'Timesheet Raw'!$C$4:$C$8000,D$3,'Timesheet Raw'!$B$4:$B$8000,'Work Calendar'!$A$29))</f>
        <v>1</v>
      </c>
      <c r="G40" s="341">
        <f t="shared" si="1"/>
        <v>0</v>
      </c>
      <c r="H40" s="395">
        <f>IF($A40="","",SUMIFS('Timesheet Raw'!$K$4:$K$8000,'Timesheet Raw'!$L$4:$L$8000,$A40,'Timesheet Raw'!$C$4:$C$8000,D$3))</f>
        <v>1.75</v>
      </c>
      <c r="I40" s="345">
        <f>IF($A40="","",SUMIFS('Timesheet Raw'!$P$4:$P$8000,'Timesheet Raw'!$L$4:$L$8000,$A40,'Timesheet Raw'!$C$4:$C$8000,D$3))</f>
        <v>10.25</v>
      </c>
      <c r="J40" s="375"/>
      <c r="K40" t="str">
        <f>IF($A40="","",IF(J40&lt;&gt;"",J40,IF($A40&gt;'Work Calendar'!$B$17,"No data yet",IF(AND(F40&gt;='Work Calendar'!$B$14,D40+E40+G40&gt;0),"Day off - but worked",IF(F40&gt;='Work Calendar'!$B$14,"Day off",IF(D40+E40+G40&gt;0,IF($C40="Working","Charged","Worked weekend"),IF($C40="Working","Leave (not charged)",$C40)))))))</f>
        <v>Charged</v>
      </c>
      <c r="L40" s="341">
        <f>IF($A40="","",SUMIFS('Timesheet Raw'!$P$4:$P$8000,'Timesheet Raw'!$L$4:$L$8000,$A40,'Timesheet Raw'!$C$4:$C$8000,L$3,'Timesheet Raw'!$A$4:$A$8000,"1-Projects"))</f>
        <v>10.75</v>
      </c>
      <c r="M40" s="341">
        <f>IF($A40="","",SUMIFS('Timesheet Raw'!$P$4:$P$8000,'Timesheet Raw'!$L$4:$L$8000,$A40,'Timesheet Raw'!$C$4:$C$8000,L$3,'Timesheet Raw'!$A$4:$A$8000,"2-Proposals Chargeable")+SUMIFS('Timesheet Raw'!$P$4:$P$8000,'Timesheet Raw'!$L$4:$L$8000,$A40,'Timesheet Raw'!$C$4:$C$8000,L$3,'Timesheet Raw'!$A$4:$A$8000,"3-Proposals Regular"))</f>
        <v>0</v>
      </c>
      <c r="N40" s="341">
        <f>IF($A40="","",SUMIFS('Timesheet Raw'!$P$4:$P$8000,'Timesheet Raw'!$L$4:$L$8000,$A40,'Timesheet Raw'!$C$4:$C$8000,L$3,'Timesheet Raw'!$B$4:$B$8000,'Work Calendar'!$A$26)+SUMIFS('Timesheet Raw'!$P$4:$P$8000,'Timesheet Raw'!$L$4:$L$8000,$A40,'Timesheet Raw'!$C$4:$C$8000,L$3,'Timesheet Raw'!$B$4:$B$8000,'Work Calendar'!$A$27)+SUMIFS('Timesheet Raw'!$P$4:$P$8000,'Timesheet Raw'!$L$4:$L$8000,$A40,'Timesheet Raw'!$C$4:$C$8000,L$3,'Timesheet Raw'!$B$4:$B$8000,'Work Calendar'!$A$28)+SUMIFS('Timesheet Raw'!$P$4:$P$8000,'Timesheet Raw'!$L$4:$L$8000,$A40,'Timesheet Raw'!$C$4:$C$8000,L$3,'Timesheet Raw'!$B$4:$B$8000,'Work Calendar'!$A$29))</f>
        <v>0</v>
      </c>
      <c r="O40" s="341">
        <f t="shared" si="2"/>
        <v>0</v>
      </c>
      <c r="P40" s="395">
        <f>IF($A40="","",SUMIFS('Timesheet Raw'!$K$4:$K$8000,'Timesheet Raw'!$L$4:$L$8000,$A40,'Timesheet Raw'!$C$4:$C$8000,L$3))</f>
        <v>2.25</v>
      </c>
      <c r="Q40" s="345">
        <f>IF($A40="","",SUMIFS('Timesheet Raw'!$P$4:$P$8000,'Timesheet Raw'!$L$4:$L$8000,$A40,'Timesheet Raw'!$C$4:$C$8000,L$3))</f>
        <v>10.75</v>
      </c>
      <c r="R40" s="375"/>
      <c r="S40" t="str">
        <f>IF($A40="","",IF(R40&lt;&gt;"",R40,IF($A40&gt;'Work Calendar'!$B$17,"No data yet",IF(AND(N40&gt;='Work Calendar'!$B$14,L40+M40+O40&gt;0),"Day off - but worked",IF(N40&gt;='Work Calendar'!$B$14,"Day off",IF(L40+M40+O40&gt;0,IF($C40="Working","Charged","Worked weekend"),IF($C40="Working","Leave (not charged)",$C40)))))))</f>
        <v>Charged</v>
      </c>
      <c r="T40" s="341">
        <f>IF($A40="","",SUMIFS('Timesheet Raw'!$P$4:$P$8000,'Timesheet Raw'!$L$4:$L$8000,$A40,'Timesheet Raw'!$C$4:$C$8000,T$3,'Timesheet Raw'!$A$4:$A$8000,"1-Projects"))</f>
        <v>10</v>
      </c>
      <c r="U40" s="341">
        <f>IF($A40="","",SUMIFS('Timesheet Raw'!$P$4:$P$8000,'Timesheet Raw'!$L$4:$L$8000,$A40,'Timesheet Raw'!$C$4:$C$8000,T$3,'Timesheet Raw'!$A$4:$A$8000,"2-Proposals Chargeable")+SUMIFS('Timesheet Raw'!$P$4:$P$8000,'Timesheet Raw'!$L$4:$L$8000,$A40,'Timesheet Raw'!$C$4:$C$8000,T$3,'Timesheet Raw'!$A$4:$A$8000,"3-Proposals Regular"))</f>
        <v>0</v>
      </c>
      <c r="V40" s="341">
        <f>IF($A40="","",SUMIFS('Timesheet Raw'!$P$4:$P$8000,'Timesheet Raw'!$L$4:$L$8000,$A40,'Timesheet Raw'!$C$4:$C$8000,T$3,'Timesheet Raw'!$B$4:$B$8000,'Work Calendar'!$A$26)+SUMIFS('Timesheet Raw'!$P$4:$P$8000,'Timesheet Raw'!$L$4:$L$8000,$A40,'Timesheet Raw'!$C$4:$C$8000,T$3,'Timesheet Raw'!$B$4:$B$8000,'Work Calendar'!$A$27)+SUMIFS('Timesheet Raw'!$P$4:$P$8000,'Timesheet Raw'!$L$4:$L$8000,$A40,'Timesheet Raw'!$C$4:$C$8000,T$3,'Timesheet Raw'!$B$4:$B$8000,'Work Calendar'!$A$28)+SUMIFS('Timesheet Raw'!$P$4:$P$8000,'Timesheet Raw'!$L$4:$L$8000,$A40,'Timesheet Raw'!$C$4:$C$8000,T$3,'Timesheet Raw'!$B$4:$B$8000,'Work Calendar'!$A$29))</f>
        <v>0.5</v>
      </c>
      <c r="W40" s="341">
        <f t="shared" si="3"/>
        <v>0</v>
      </c>
      <c r="X40" s="395">
        <f>IF($A40="","",SUMIFS('Timesheet Raw'!$K$4:$K$8000,'Timesheet Raw'!$L$4:$L$8000,$A40,'Timesheet Raw'!$C$4:$C$8000,T$3))</f>
        <v>2</v>
      </c>
      <c r="Y40" s="345">
        <f>IF($A40="","",SUMIFS('Timesheet Raw'!$P$4:$P$8000,'Timesheet Raw'!$L$4:$L$8000,$A40,'Timesheet Raw'!$C$4:$C$8000,T$3))</f>
        <v>10.5</v>
      </c>
      <c r="Z40" s="375"/>
      <c r="AA40" t="str">
        <f>IF($A40="","",IF(Z40&lt;&gt;"",Z40,IF($A40&gt;'Work Calendar'!$B$17,"No data yet",IF(AND(V40&gt;='Work Calendar'!$B$14,T40+U40+W40&gt;0),"Day off - but worked",IF(V40&gt;='Work Calendar'!$B$14,"Day off",IF(T40+U40+W40&gt;0,IF($C40="Working","Charged","Worked weekend"),IF($C40="Working","Leave (not charged)",$C40)))))))</f>
        <v>Charged</v>
      </c>
    </row>
    <row r="41" spans="1:27" x14ac:dyDescent="0.3">
      <c r="A41" s="371">
        <f>IF($A40="","",IF($A40+1&gt;'Work Calendar'!$B$16,"",$A40+1))</f>
        <v>46059</v>
      </c>
      <c r="B41" t="str">
        <f t="shared" si="0"/>
        <v>Fri</v>
      </c>
      <c r="C41" t="str" cm="1">
        <f t="array" ref="C41">IF($A41="","",IF(COUNTIF('Work Calendar'!$E$6:$E$200,$A41)&gt;0,"Holiday",IF(INDEX('Work Calendar'!$C$6:$C$12,WEEKDAY($A41,1))=1,"Working","Weekend")))</f>
        <v>Weekend</v>
      </c>
      <c r="D41" s="341">
        <f>IF($A41="","",SUMIFS('Timesheet Raw'!$P$4:$P$8000,'Timesheet Raw'!$L$4:$L$8000,$A41,'Timesheet Raw'!$C$4:$C$8000,D$3,'Timesheet Raw'!$A$4:$A$8000,"1-Projects"))</f>
        <v>0</v>
      </c>
      <c r="E41" s="341">
        <f>IF($A41="","",SUMIFS('Timesheet Raw'!$P$4:$P$8000,'Timesheet Raw'!$L$4:$L$8000,$A41,'Timesheet Raw'!$C$4:$C$8000,D$3,'Timesheet Raw'!$A$4:$A$8000,"2-Proposals Chargeable")+SUMIFS('Timesheet Raw'!$P$4:$P$8000,'Timesheet Raw'!$L$4:$L$8000,$A41,'Timesheet Raw'!$C$4:$C$8000,D$3,'Timesheet Raw'!$A$4:$A$8000,"3-Proposals Regular"))</f>
        <v>0</v>
      </c>
      <c r="F41" s="341">
        <f>IF($A41="","",SUMIFS('Timesheet Raw'!$P$4:$P$8000,'Timesheet Raw'!$L$4:$L$8000,$A41,'Timesheet Raw'!$C$4:$C$8000,D$3,'Timesheet Raw'!$B$4:$B$8000,'Work Calendar'!$A$26)+SUMIFS('Timesheet Raw'!$P$4:$P$8000,'Timesheet Raw'!$L$4:$L$8000,$A41,'Timesheet Raw'!$C$4:$C$8000,D$3,'Timesheet Raw'!$B$4:$B$8000,'Work Calendar'!$A$27)+SUMIFS('Timesheet Raw'!$P$4:$P$8000,'Timesheet Raw'!$L$4:$L$8000,$A41,'Timesheet Raw'!$C$4:$C$8000,D$3,'Timesheet Raw'!$B$4:$B$8000,'Work Calendar'!$A$28)+SUMIFS('Timesheet Raw'!$P$4:$P$8000,'Timesheet Raw'!$L$4:$L$8000,$A41,'Timesheet Raw'!$C$4:$C$8000,D$3,'Timesheet Raw'!$B$4:$B$8000,'Work Calendar'!$A$29))</f>
        <v>0</v>
      </c>
      <c r="G41" s="341">
        <f t="shared" si="1"/>
        <v>0</v>
      </c>
      <c r="H41" s="395">
        <f>IF($A41="","",SUMIFS('Timesheet Raw'!$K$4:$K$8000,'Timesheet Raw'!$L$4:$L$8000,$A41,'Timesheet Raw'!$C$4:$C$8000,D$3))</f>
        <v>0</v>
      </c>
      <c r="I41" s="345">
        <f>IF($A41="","",SUMIFS('Timesheet Raw'!$P$4:$P$8000,'Timesheet Raw'!$L$4:$L$8000,$A41,'Timesheet Raw'!$C$4:$C$8000,D$3))</f>
        <v>0</v>
      </c>
      <c r="J41" s="375"/>
      <c r="K41" t="str">
        <f>IF($A41="","",IF(J41&lt;&gt;"",J41,IF($A41&gt;'Work Calendar'!$B$17,"No data yet",IF(AND(F41&gt;='Work Calendar'!$B$14,D41+E41+G41&gt;0),"Day off - but worked",IF(F41&gt;='Work Calendar'!$B$14,"Day off",IF(D41+E41+G41&gt;0,IF($C41="Working","Charged","Worked weekend"),IF($C41="Working","Leave (not charged)",$C41)))))))</f>
        <v>Weekend</v>
      </c>
      <c r="L41" s="341">
        <f>IF($A41="","",SUMIFS('Timesheet Raw'!$P$4:$P$8000,'Timesheet Raw'!$L$4:$L$8000,$A41,'Timesheet Raw'!$C$4:$C$8000,L$3,'Timesheet Raw'!$A$4:$A$8000,"1-Projects"))</f>
        <v>0</v>
      </c>
      <c r="M41" s="341">
        <f>IF($A41="","",SUMIFS('Timesheet Raw'!$P$4:$P$8000,'Timesheet Raw'!$L$4:$L$8000,$A41,'Timesheet Raw'!$C$4:$C$8000,L$3,'Timesheet Raw'!$A$4:$A$8000,"2-Proposals Chargeable")+SUMIFS('Timesheet Raw'!$P$4:$P$8000,'Timesheet Raw'!$L$4:$L$8000,$A41,'Timesheet Raw'!$C$4:$C$8000,L$3,'Timesheet Raw'!$A$4:$A$8000,"3-Proposals Regular"))</f>
        <v>0</v>
      </c>
      <c r="N41" s="341">
        <f>IF($A41="","",SUMIFS('Timesheet Raw'!$P$4:$P$8000,'Timesheet Raw'!$L$4:$L$8000,$A41,'Timesheet Raw'!$C$4:$C$8000,L$3,'Timesheet Raw'!$B$4:$B$8000,'Work Calendar'!$A$26)+SUMIFS('Timesheet Raw'!$P$4:$P$8000,'Timesheet Raw'!$L$4:$L$8000,$A41,'Timesheet Raw'!$C$4:$C$8000,L$3,'Timesheet Raw'!$B$4:$B$8000,'Work Calendar'!$A$27)+SUMIFS('Timesheet Raw'!$P$4:$P$8000,'Timesheet Raw'!$L$4:$L$8000,$A41,'Timesheet Raw'!$C$4:$C$8000,L$3,'Timesheet Raw'!$B$4:$B$8000,'Work Calendar'!$A$28)+SUMIFS('Timesheet Raw'!$P$4:$P$8000,'Timesheet Raw'!$L$4:$L$8000,$A41,'Timesheet Raw'!$C$4:$C$8000,L$3,'Timesheet Raw'!$B$4:$B$8000,'Work Calendar'!$A$29))</f>
        <v>0</v>
      </c>
      <c r="O41" s="341">
        <f t="shared" si="2"/>
        <v>0</v>
      </c>
      <c r="P41" s="395">
        <f>IF($A41="","",SUMIFS('Timesheet Raw'!$K$4:$K$8000,'Timesheet Raw'!$L$4:$L$8000,$A41,'Timesheet Raw'!$C$4:$C$8000,L$3))</f>
        <v>0</v>
      </c>
      <c r="Q41" s="345">
        <f>IF($A41="","",SUMIFS('Timesheet Raw'!$P$4:$P$8000,'Timesheet Raw'!$L$4:$L$8000,$A41,'Timesheet Raw'!$C$4:$C$8000,L$3))</f>
        <v>0</v>
      </c>
      <c r="R41" s="375"/>
      <c r="S41" t="str">
        <f>IF($A41="","",IF(R41&lt;&gt;"",R41,IF($A41&gt;'Work Calendar'!$B$17,"No data yet",IF(AND(N41&gt;='Work Calendar'!$B$14,L41+M41+O41&gt;0),"Day off - but worked",IF(N41&gt;='Work Calendar'!$B$14,"Day off",IF(L41+M41+O41&gt;0,IF($C41="Working","Charged","Worked weekend"),IF($C41="Working","Leave (not charged)",$C41)))))))</f>
        <v>Weekend</v>
      </c>
      <c r="T41" s="341">
        <f>IF($A41="","",SUMIFS('Timesheet Raw'!$P$4:$P$8000,'Timesheet Raw'!$L$4:$L$8000,$A41,'Timesheet Raw'!$C$4:$C$8000,T$3,'Timesheet Raw'!$A$4:$A$8000,"1-Projects"))</f>
        <v>0</v>
      </c>
      <c r="U41" s="341">
        <f>IF($A41="","",SUMIFS('Timesheet Raw'!$P$4:$P$8000,'Timesheet Raw'!$L$4:$L$8000,$A41,'Timesheet Raw'!$C$4:$C$8000,T$3,'Timesheet Raw'!$A$4:$A$8000,"2-Proposals Chargeable")+SUMIFS('Timesheet Raw'!$P$4:$P$8000,'Timesheet Raw'!$L$4:$L$8000,$A41,'Timesheet Raw'!$C$4:$C$8000,T$3,'Timesheet Raw'!$A$4:$A$8000,"3-Proposals Regular"))</f>
        <v>0</v>
      </c>
      <c r="V41" s="341">
        <f>IF($A41="","",SUMIFS('Timesheet Raw'!$P$4:$P$8000,'Timesheet Raw'!$L$4:$L$8000,$A41,'Timesheet Raw'!$C$4:$C$8000,T$3,'Timesheet Raw'!$B$4:$B$8000,'Work Calendar'!$A$26)+SUMIFS('Timesheet Raw'!$P$4:$P$8000,'Timesheet Raw'!$L$4:$L$8000,$A41,'Timesheet Raw'!$C$4:$C$8000,T$3,'Timesheet Raw'!$B$4:$B$8000,'Work Calendar'!$A$27)+SUMIFS('Timesheet Raw'!$P$4:$P$8000,'Timesheet Raw'!$L$4:$L$8000,$A41,'Timesheet Raw'!$C$4:$C$8000,T$3,'Timesheet Raw'!$B$4:$B$8000,'Work Calendar'!$A$28)+SUMIFS('Timesheet Raw'!$P$4:$P$8000,'Timesheet Raw'!$L$4:$L$8000,$A41,'Timesheet Raw'!$C$4:$C$8000,T$3,'Timesheet Raw'!$B$4:$B$8000,'Work Calendar'!$A$29))</f>
        <v>0</v>
      </c>
      <c r="W41" s="341">
        <f t="shared" si="3"/>
        <v>0</v>
      </c>
      <c r="X41" s="395">
        <f>IF($A41="","",SUMIFS('Timesheet Raw'!$K$4:$K$8000,'Timesheet Raw'!$L$4:$L$8000,$A41,'Timesheet Raw'!$C$4:$C$8000,T$3))</f>
        <v>0</v>
      </c>
      <c r="Y41" s="345">
        <f>IF($A41="","",SUMIFS('Timesheet Raw'!$P$4:$P$8000,'Timesheet Raw'!$L$4:$L$8000,$A41,'Timesheet Raw'!$C$4:$C$8000,T$3))</f>
        <v>0</v>
      </c>
      <c r="Z41" s="375"/>
      <c r="AA41" t="str">
        <f>IF($A41="","",IF(Z41&lt;&gt;"",Z41,IF($A41&gt;'Work Calendar'!$B$17,"No data yet",IF(AND(V41&gt;='Work Calendar'!$B$14,T41+U41+W41&gt;0),"Day off - but worked",IF(V41&gt;='Work Calendar'!$B$14,"Day off",IF(T41+U41+W41&gt;0,IF($C41="Working","Charged","Worked weekend"),IF($C41="Working","Leave (not charged)",$C41)))))))</f>
        <v>Weekend</v>
      </c>
    </row>
    <row r="42" spans="1:27" x14ac:dyDescent="0.3">
      <c r="A42" s="371">
        <f>IF($A41="","",IF($A41+1&gt;'Work Calendar'!$B$16,"",$A41+1))</f>
        <v>46060</v>
      </c>
      <c r="B42" t="str">
        <f t="shared" si="0"/>
        <v>Sat</v>
      </c>
      <c r="C42" t="str" cm="1">
        <f t="array" ref="C42">IF($A42="","",IF(COUNTIF('Work Calendar'!$E$6:$E$200,$A42)&gt;0,"Holiday",IF(INDEX('Work Calendar'!$C$6:$C$12,WEEKDAY($A42,1))=1,"Working","Weekend")))</f>
        <v>Weekend</v>
      </c>
      <c r="D42" s="341">
        <f>IF($A42="","",SUMIFS('Timesheet Raw'!$P$4:$P$8000,'Timesheet Raw'!$L$4:$L$8000,$A42,'Timesheet Raw'!$C$4:$C$8000,D$3,'Timesheet Raw'!$A$4:$A$8000,"1-Projects"))</f>
        <v>0</v>
      </c>
      <c r="E42" s="341">
        <f>IF($A42="","",SUMIFS('Timesheet Raw'!$P$4:$P$8000,'Timesheet Raw'!$L$4:$L$8000,$A42,'Timesheet Raw'!$C$4:$C$8000,D$3,'Timesheet Raw'!$A$4:$A$8000,"2-Proposals Chargeable")+SUMIFS('Timesheet Raw'!$P$4:$P$8000,'Timesheet Raw'!$L$4:$L$8000,$A42,'Timesheet Raw'!$C$4:$C$8000,D$3,'Timesheet Raw'!$A$4:$A$8000,"3-Proposals Regular"))</f>
        <v>0</v>
      </c>
      <c r="F42" s="341">
        <f>IF($A42="","",SUMIFS('Timesheet Raw'!$P$4:$P$8000,'Timesheet Raw'!$L$4:$L$8000,$A42,'Timesheet Raw'!$C$4:$C$8000,D$3,'Timesheet Raw'!$B$4:$B$8000,'Work Calendar'!$A$26)+SUMIFS('Timesheet Raw'!$P$4:$P$8000,'Timesheet Raw'!$L$4:$L$8000,$A42,'Timesheet Raw'!$C$4:$C$8000,D$3,'Timesheet Raw'!$B$4:$B$8000,'Work Calendar'!$A$27)+SUMIFS('Timesheet Raw'!$P$4:$P$8000,'Timesheet Raw'!$L$4:$L$8000,$A42,'Timesheet Raw'!$C$4:$C$8000,D$3,'Timesheet Raw'!$B$4:$B$8000,'Work Calendar'!$A$28)+SUMIFS('Timesheet Raw'!$P$4:$P$8000,'Timesheet Raw'!$L$4:$L$8000,$A42,'Timesheet Raw'!$C$4:$C$8000,D$3,'Timesheet Raw'!$B$4:$B$8000,'Work Calendar'!$A$29))</f>
        <v>0</v>
      </c>
      <c r="G42" s="341">
        <f t="shared" si="1"/>
        <v>0</v>
      </c>
      <c r="H42" s="395">
        <f>IF($A42="","",SUMIFS('Timesheet Raw'!$K$4:$K$8000,'Timesheet Raw'!$L$4:$L$8000,$A42,'Timesheet Raw'!$C$4:$C$8000,D$3))</f>
        <v>0</v>
      </c>
      <c r="I42" s="345">
        <f>IF($A42="","",SUMIFS('Timesheet Raw'!$P$4:$P$8000,'Timesheet Raw'!$L$4:$L$8000,$A42,'Timesheet Raw'!$C$4:$C$8000,D$3))</f>
        <v>0</v>
      </c>
      <c r="J42" s="375"/>
      <c r="K42" t="str">
        <f>IF($A42="","",IF(J42&lt;&gt;"",J42,IF($A42&gt;'Work Calendar'!$B$17,"No data yet",IF(AND(F42&gt;='Work Calendar'!$B$14,D42+E42+G42&gt;0),"Day off - but worked",IF(F42&gt;='Work Calendar'!$B$14,"Day off",IF(D42+E42+G42&gt;0,IF($C42="Working","Charged","Worked weekend"),IF($C42="Working","Leave (not charged)",$C42)))))))</f>
        <v>Weekend</v>
      </c>
      <c r="L42" s="341">
        <f>IF($A42="","",SUMIFS('Timesheet Raw'!$P$4:$P$8000,'Timesheet Raw'!$L$4:$L$8000,$A42,'Timesheet Raw'!$C$4:$C$8000,L$3,'Timesheet Raw'!$A$4:$A$8000,"1-Projects"))</f>
        <v>0</v>
      </c>
      <c r="M42" s="341">
        <f>IF($A42="","",SUMIFS('Timesheet Raw'!$P$4:$P$8000,'Timesheet Raw'!$L$4:$L$8000,$A42,'Timesheet Raw'!$C$4:$C$8000,L$3,'Timesheet Raw'!$A$4:$A$8000,"2-Proposals Chargeable")+SUMIFS('Timesheet Raw'!$P$4:$P$8000,'Timesheet Raw'!$L$4:$L$8000,$A42,'Timesheet Raw'!$C$4:$C$8000,L$3,'Timesheet Raw'!$A$4:$A$8000,"3-Proposals Regular"))</f>
        <v>0</v>
      </c>
      <c r="N42" s="341">
        <f>IF($A42="","",SUMIFS('Timesheet Raw'!$P$4:$P$8000,'Timesheet Raw'!$L$4:$L$8000,$A42,'Timesheet Raw'!$C$4:$C$8000,L$3,'Timesheet Raw'!$B$4:$B$8000,'Work Calendar'!$A$26)+SUMIFS('Timesheet Raw'!$P$4:$P$8000,'Timesheet Raw'!$L$4:$L$8000,$A42,'Timesheet Raw'!$C$4:$C$8000,L$3,'Timesheet Raw'!$B$4:$B$8000,'Work Calendar'!$A$27)+SUMIFS('Timesheet Raw'!$P$4:$P$8000,'Timesheet Raw'!$L$4:$L$8000,$A42,'Timesheet Raw'!$C$4:$C$8000,L$3,'Timesheet Raw'!$B$4:$B$8000,'Work Calendar'!$A$28)+SUMIFS('Timesheet Raw'!$P$4:$P$8000,'Timesheet Raw'!$L$4:$L$8000,$A42,'Timesheet Raw'!$C$4:$C$8000,L$3,'Timesheet Raw'!$B$4:$B$8000,'Work Calendar'!$A$29))</f>
        <v>0</v>
      </c>
      <c r="O42" s="341">
        <f t="shared" si="2"/>
        <v>0</v>
      </c>
      <c r="P42" s="395">
        <f>IF($A42="","",SUMIFS('Timesheet Raw'!$K$4:$K$8000,'Timesheet Raw'!$L$4:$L$8000,$A42,'Timesheet Raw'!$C$4:$C$8000,L$3))</f>
        <v>0</v>
      </c>
      <c r="Q42" s="345">
        <f>IF($A42="","",SUMIFS('Timesheet Raw'!$P$4:$P$8000,'Timesheet Raw'!$L$4:$L$8000,$A42,'Timesheet Raw'!$C$4:$C$8000,L$3))</f>
        <v>0</v>
      </c>
      <c r="R42" s="375"/>
      <c r="S42" t="str">
        <f>IF($A42="","",IF(R42&lt;&gt;"",R42,IF($A42&gt;'Work Calendar'!$B$17,"No data yet",IF(AND(N42&gt;='Work Calendar'!$B$14,L42+M42+O42&gt;0),"Day off - but worked",IF(N42&gt;='Work Calendar'!$B$14,"Day off",IF(L42+M42+O42&gt;0,IF($C42="Working","Charged","Worked weekend"),IF($C42="Working","Leave (not charged)",$C42)))))))</f>
        <v>Weekend</v>
      </c>
      <c r="T42" s="341">
        <f>IF($A42="","",SUMIFS('Timesheet Raw'!$P$4:$P$8000,'Timesheet Raw'!$L$4:$L$8000,$A42,'Timesheet Raw'!$C$4:$C$8000,T$3,'Timesheet Raw'!$A$4:$A$8000,"1-Projects"))</f>
        <v>0</v>
      </c>
      <c r="U42" s="341">
        <f>IF($A42="","",SUMIFS('Timesheet Raw'!$P$4:$P$8000,'Timesheet Raw'!$L$4:$L$8000,$A42,'Timesheet Raw'!$C$4:$C$8000,T$3,'Timesheet Raw'!$A$4:$A$8000,"2-Proposals Chargeable")+SUMIFS('Timesheet Raw'!$P$4:$P$8000,'Timesheet Raw'!$L$4:$L$8000,$A42,'Timesheet Raw'!$C$4:$C$8000,T$3,'Timesheet Raw'!$A$4:$A$8000,"3-Proposals Regular"))</f>
        <v>0</v>
      </c>
      <c r="V42" s="341">
        <f>IF($A42="","",SUMIFS('Timesheet Raw'!$P$4:$P$8000,'Timesheet Raw'!$L$4:$L$8000,$A42,'Timesheet Raw'!$C$4:$C$8000,T$3,'Timesheet Raw'!$B$4:$B$8000,'Work Calendar'!$A$26)+SUMIFS('Timesheet Raw'!$P$4:$P$8000,'Timesheet Raw'!$L$4:$L$8000,$A42,'Timesheet Raw'!$C$4:$C$8000,T$3,'Timesheet Raw'!$B$4:$B$8000,'Work Calendar'!$A$27)+SUMIFS('Timesheet Raw'!$P$4:$P$8000,'Timesheet Raw'!$L$4:$L$8000,$A42,'Timesheet Raw'!$C$4:$C$8000,T$3,'Timesheet Raw'!$B$4:$B$8000,'Work Calendar'!$A$28)+SUMIFS('Timesheet Raw'!$P$4:$P$8000,'Timesheet Raw'!$L$4:$L$8000,$A42,'Timesheet Raw'!$C$4:$C$8000,T$3,'Timesheet Raw'!$B$4:$B$8000,'Work Calendar'!$A$29))</f>
        <v>0</v>
      </c>
      <c r="W42" s="341">
        <f t="shared" si="3"/>
        <v>0</v>
      </c>
      <c r="X42" s="395">
        <f>IF($A42="","",SUMIFS('Timesheet Raw'!$K$4:$K$8000,'Timesheet Raw'!$L$4:$L$8000,$A42,'Timesheet Raw'!$C$4:$C$8000,T$3))</f>
        <v>0</v>
      </c>
      <c r="Y42" s="345">
        <f>IF($A42="","",SUMIFS('Timesheet Raw'!$P$4:$P$8000,'Timesheet Raw'!$L$4:$L$8000,$A42,'Timesheet Raw'!$C$4:$C$8000,T$3))</f>
        <v>0</v>
      </c>
      <c r="Z42" s="375"/>
      <c r="AA42" t="str">
        <f>IF($A42="","",IF(Z42&lt;&gt;"",Z42,IF($A42&gt;'Work Calendar'!$B$17,"No data yet",IF(AND(V42&gt;='Work Calendar'!$B$14,T42+U42+W42&gt;0),"Day off - but worked",IF(V42&gt;='Work Calendar'!$B$14,"Day off",IF(T42+U42+W42&gt;0,IF($C42="Working","Charged","Worked weekend"),IF($C42="Working","Leave (not charged)",$C42)))))))</f>
        <v>Weekend</v>
      </c>
    </row>
    <row r="43" spans="1:27" x14ac:dyDescent="0.3">
      <c r="A43" s="371">
        <f>IF($A42="","",IF($A42+1&gt;'Work Calendar'!$B$16,"",$A42+1))</f>
        <v>46061</v>
      </c>
      <c r="B43" t="str">
        <f t="shared" si="0"/>
        <v>Sun</v>
      </c>
      <c r="C43" t="str" cm="1">
        <f t="array" ref="C43">IF($A43="","",IF(COUNTIF('Work Calendar'!$E$6:$E$200,$A43)&gt;0,"Holiday",IF(INDEX('Work Calendar'!$C$6:$C$12,WEEKDAY($A43,1))=1,"Working","Weekend")))</f>
        <v>Working</v>
      </c>
      <c r="D43" s="341">
        <f>IF($A43="","",SUMIFS('Timesheet Raw'!$P$4:$P$8000,'Timesheet Raw'!$L$4:$L$8000,$A43,'Timesheet Raw'!$C$4:$C$8000,D$3,'Timesheet Raw'!$A$4:$A$8000,"1-Projects"))</f>
        <v>12.25</v>
      </c>
      <c r="E43" s="341">
        <f>IF($A43="","",SUMIFS('Timesheet Raw'!$P$4:$P$8000,'Timesheet Raw'!$L$4:$L$8000,$A43,'Timesheet Raw'!$C$4:$C$8000,D$3,'Timesheet Raw'!$A$4:$A$8000,"2-Proposals Chargeable")+SUMIFS('Timesheet Raw'!$P$4:$P$8000,'Timesheet Raw'!$L$4:$L$8000,$A43,'Timesheet Raw'!$C$4:$C$8000,D$3,'Timesheet Raw'!$A$4:$A$8000,"3-Proposals Regular"))</f>
        <v>0</v>
      </c>
      <c r="F43" s="341">
        <f>IF($A43="","",SUMIFS('Timesheet Raw'!$P$4:$P$8000,'Timesheet Raw'!$L$4:$L$8000,$A43,'Timesheet Raw'!$C$4:$C$8000,D$3,'Timesheet Raw'!$B$4:$B$8000,'Work Calendar'!$A$26)+SUMIFS('Timesheet Raw'!$P$4:$P$8000,'Timesheet Raw'!$L$4:$L$8000,$A43,'Timesheet Raw'!$C$4:$C$8000,D$3,'Timesheet Raw'!$B$4:$B$8000,'Work Calendar'!$A$27)+SUMIFS('Timesheet Raw'!$P$4:$P$8000,'Timesheet Raw'!$L$4:$L$8000,$A43,'Timesheet Raw'!$C$4:$C$8000,D$3,'Timesheet Raw'!$B$4:$B$8000,'Work Calendar'!$A$28)+SUMIFS('Timesheet Raw'!$P$4:$P$8000,'Timesheet Raw'!$L$4:$L$8000,$A43,'Timesheet Raw'!$C$4:$C$8000,D$3,'Timesheet Raw'!$B$4:$B$8000,'Work Calendar'!$A$29))</f>
        <v>0.5</v>
      </c>
      <c r="G43" s="341">
        <f t="shared" si="1"/>
        <v>0</v>
      </c>
      <c r="H43" s="395">
        <f>IF($A43="","",SUMIFS('Timesheet Raw'!$K$4:$K$8000,'Timesheet Raw'!$L$4:$L$8000,$A43,'Timesheet Raw'!$C$4:$C$8000,D$3))</f>
        <v>4.25</v>
      </c>
      <c r="I43" s="345">
        <f>IF($A43="","",SUMIFS('Timesheet Raw'!$P$4:$P$8000,'Timesheet Raw'!$L$4:$L$8000,$A43,'Timesheet Raw'!$C$4:$C$8000,D$3))</f>
        <v>12.75</v>
      </c>
      <c r="J43" s="375"/>
      <c r="K43" t="str">
        <f>IF($A43="","",IF(J43&lt;&gt;"",J43,IF($A43&gt;'Work Calendar'!$B$17,"No data yet",IF(AND(F43&gt;='Work Calendar'!$B$14,D43+E43+G43&gt;0),"Day off - but worked",IF(F43&gt;='Work Calendar'!$B$14,"Day off",IF(D43+E43+G43&gt;0,IF($C43="Working","Charged","Worked weekend"),IF($C43="Working","Leave (not charged)",$C43)))))))</f>
        <v>Charged</v>
      </c>
      <c r="L43" s="341">
        <f>IF($A43="","",SUMIFS('Timesheet Raw'!$P$4:$P$8000,'Timesheet Raw'!$L$4:$L$8000,$A43,'Timesheet Raw'!$C$4:$C$8000,L$3,'Timesheet Raw'!$A$4:$A$8000,"1-Projects"))</f>
        <v>0</v>
      </c>
      <c r="M43" s="341">
        <f>IF($A43="","",SUMIFS('Timesheet Raw'!$P$4:$P$8000,'Timesheet Raw'!$L$4:$L$8000,$A43,'Timesheet Raw'!$C$4:$C$8000,L$3,'Timesheet Raw'!$A$4:$A$8000,"2-Proposals Chargeable")+SUMIFS('Timesheet Raw'!$P$4:$P$8000,'Timesheet Raw'!$L$4:$L$8000,$A43,'Timesheet Raw'!$C$4:$C$8000,L$3,'Timesheet Raw'!$A$4:$A$8000,"3-Proposals Regular"))</f>
        <v>0</v>
      </c>
      <c r="N43" s="341">
        <f>IF($A43="","",SUMIFS('Timesheet Raw'!$P$4:$P$8000,'Timesheet Raw'!$L$4:$L$8000,$A43,'Timesheet Raw'!$C$4:$C$8000,L$3,'Timesheet Raw'!$B$4:$B$8000,'Work Calendar'!$A$26)+SUMIFS('Timesheet Raw'!$P$4:$P$8000,'Timesheet Raw'!$L$4:$L$8000,$A43,'Timesheet Raw'!$C$4:$C$8000,L$3,'Timesheet Raw'!$B$4:$B$8000,'Work Calendar'!$A$27)+SUMIFS('Timesheet Raw'!$P$4:$P$8000,'Timesheet Raw'!$L$4:$L$8000,$A43,'Timesheet Raw'!$C$4:$C$8000,L$3,'Timesheet Raw'!$B$4:$B$8000,'Work Calendar'!$A$28)+SUMIFS('Timesheet Raw'!$P$4:$P$8000,'Timesheet Raw'!$L$4:$L$8000,$A43,'Timesheet Raw'!$C$4:$C$8000,L$3,'Timesheet Raw'!$B$4:$B$8000,'Work Calendar'!$A$29))</f>
        <v>8.5</v>
      </c>
      <c r="O43" s="341">
        <f t="shared" si="2"/>
        <v>0</v>
      </c>
      <c r="P43" s="395">
        <f>IF($A43="","",SUMIFS('Timesheet Raw'!$K$4:$K$8000,'Timesheet Raw'!$L$4:$L$8000,$A43,'Timesheet Raw'!$C$4:$C$8000,L$3))</f>
        <v>0</v>
      </c>
      <c r="Q43" s="345">
        <f>IF($A43="","",SUMIFS('Timesheet Raw'!$P$4:$P$8000,'Timesheet Raw'!$L$4:$L$8000,$A43,'Timesheet Raw'!$C$4:$C$8000,L$3))</f>
        <v>8.5</v>
      </c>
      <c r="R43" s="375"/>
      <c r="S43" t="str">
        <f>IF($A43="","",IF(R43&lt;&gt;"",R43,IF($A43&gt;'Work Calendar'!$B$17,"No data yet",IF(AND(N43&gt;='Work Calendar'!$B$14,L43+M43+O43&gt;0),"Day off - but worked",IF(N43&gt;='Work Calendar'!$B$14,"Day off",IF(L43+M43+O43&gt;0,IF($C43="Working","Charged","Worked weekend"),IF($C43="Working","Leave (not charged)",$C43)))))))</f>
        <v>Day off</v>
      </c>
      <c r="T43" s="341">
        <f>IF($A43="","",SUMIFS('Timesheet Raw'!$P$4:$P$8000,'Timesheet Raw'!$L$4:$L$8000,$A43,'Timesheet Raw'!$C$4:$C$8000,T$3,'Timesheet Raw'!$A$4:$A$8000,"1-Projects"))</f>
        <v>11</v>
      </c>
      <c r="U43" s="341">
        <f>IF($A43="","",SUMIFS('Timesheet Raw'!$P$4:$P$8000,'Timesheet Raw'!$L$4:$L$8000,$A43,'Timesheet Raw'!$C$4:$C$8000,T$3,'Timesheet Raw'!$A$4:$A$8000,"2-Proposals Chargeable")+SUMIFS('Timesheet Raw'!$P$4:$P$8000,'Timesheet Raw'!$L$4:$L$8000,$A43,'Timesheet Raw'!$C$4:$C$8000,T$3,'Timesheet Raw'!$A$4:$A$8000,"3-Proposals Regular"))</f>
        <v>0</v>
      </c>
      <c r="V43" s="341">
        <f>IF($A43="","",SUMIFS('Timesheet Raw'!$P$4:$P$8000,'Timesheet Raw'!$L$4:$L$8000,$A43,'Timesheet Raw'!$C$4:$C$8000,T$3,'Timesheet Raw'!$B$4:$B$8000,'Work Calendar'!$A$26)+SUMIFS('Timesheet Raw'!$P$4:$P$8000,'Timesheet Raw'!$L$4:$L$8000,$A43,'Timesheet Raw'!$C$4:$C$8000,T$3,'Timesheet Raw'!$B$4:$B$8000,'Work Calendar'!$A$27)+SUMIFS('Timesheet Raw'!$P$4:$P$8000,'Timesheet Raw'!$L$4:$L$8000,$A43,'Timesheet Raw'!$C$4:$C$8000,T$3,'Timesheet Raw'!$B$4:$B$8000,'Work Calendar'!$A$28)+SUMIFS('Timesheet Raw'!$P$4:$P$8000,'Timesheet Raw'!$L$4:$L$8000,$A43,'Timesheet Raw'!$C$4:$C$8000,T$3,'Timesheet Raw'!$B$4:$B$8000,'Work Calendar'!$A$29))</f>
        <v>0</v>
      </c>
      <c r="W43" s="341">
        <f t="shared" si="3"/>
        <v>0</v>
      </c>
      <c r="X43" s="395">
        <f>IF($A43="","",SUMIFS('Timesheet Raw'!$K$4:$K$8000,'Timesheet Raw'!$L$4:$L$8000,$A43,'Timesheet Raw'!$C$4:$C$8000,T$3))</f>
        <v>2.5</v>
      </c>
      <c r="Y43" s="345">
        <f>IF($A43="","",SUMIFS('Timesheet Raw'!$P$4:$P$8000,'Timesheet Raw'!$L$4:$L$8000,$A43,'Timesheet Raw'!$C$4:$C$8000,T$3))</f>
        <v>11</v>
      </c>
      <c r="Z43" s="375"/>
      <c r="AA43" t="str">
        <f>IF($A43="","",IF(Z43&lt;&gt;"",Z43,IF($A43&gt;'Work Calendar'!$B$17,"No data yet",IF(AND(V43&gt;='Work Calendar'!$B$14,T43+U43+W43&gt;0),"Day off - but worked",IF(V43&gt;='Work Calendar'!$B$14,"Day off",IF(T43+U43+W43&gt;0,IF($C43="Working","Charged","Worked weekend"),IF($C43="Working","Leave (not charged)",$C43)))))))</f>
        <v>Charged</v>
      </c>
    </row>
    <row r="44" spans="1:27" x14ac:dyDescent="0.3">
      <c r="A44" s="371">
        <f>IF($A43="","",IF($A43+1&gt;'Work Calendar'!$B$16,"",$A43+1))</f>
        <v>46062</v>
      </c>
      <c r="B44" t="str">
        <f t="shared" si="0"/>
        <v>Mon</v>
      </c>
      <c r="C44" t="str" cm="1">
        <f t="array" ref="C44">IF($A44="","",IF(COUNTIF('Work Calendar'!$E$6:$E$200,$A44)&gt;0,"Holiday",IF(INDEX('Work Calendar'!$C$6:$C$12,WEEKDAY($A44,1))=1,"Working","Weekend")))</f>
        <v>Working</v>
      </c>
      <c r="D44" s="341">
        <f>IF($A44="","",SUMIFS('Timesheet Raw'!$P$4:$P$8000,'Timesheet Raw'!$L$4:$L$8000,$A44,'Timesheet Raw'!$C$4:$C$8000,D$3,'Timesheet Raw'!$A$4:$A$8000,"1-Projects"))</f>
        <v>14</v>
      </c>
      <c r="E44" s="341">
        <f>IF($A44="","",SUMIFS('Timesheet Raw'!$P$4:$P$8000,'Timesheet Raw'!$L$4:$L$8000,$A44,'Timesheet Raw'!$C$4:$C$8000,D$3,'Timesheet Raw'!$A$4:$A$8000,"2-Proposals Chargeable")+SUMIFS('Timesheet Raw'!$P$4:$P$8000,'Timesheet Raw'!$L$4:$L$8000,$A44,'Timesheet Raw'!$C$4:$C$8000,D$3,'Timesheet Raw'!$A$4:$A$8000,"3-Proposals Regular"))</f>
        <v>0</v>
      </c>
      <c r="F44" s="341">
        <f>IF($A44="","",SUMIFS('Timesheet Raw'!$P$4:$P$8000,'Timesheet Raw'!$L$4:$L$8000,$A44,'Timesheet Raw'!$C$4:$C$8000,D$3,'Timesheet Raw'!$B$4:$B$8000,'Work Calendar'!$A$26)+SUMIFS('Timesheet Raw'!$P$4:$P$8000,'Timesheet Raw'!$L$4:$L$8000,$A44,'Timesheet Raw'!$C$4:$C$8000,D$3,'Timesheet Raw'!$B$4:$B$8000,'Work Calendar'!$A$27)+SUMIFS('Timesheet Raw'!$P$4:$P$8000,'Timesheet Raw'!$L$4:$L$8000,$A44,'Timesheet Raw'!$C$4:$C$8000,D$3,'Timesheet Raw'!$B$4:$B$8000,'Work Calendar'!$A$28)+SUMIFS('Timesheet Raw'!$P$4:$P$8000,'Timesheet Raw'!$L$4:$L$8000,$A44,'Timesheet Raw'!$C$4:$C$8000,D$3,'Timesheet Raw'!$B$4:$B$8000,'Work Calendar'!$A$29))</f>
        <v>0.75</v>
      </c>
      <c r="G44" s="341">
        <f t="shared" si="1"/>
        <v>0</v>
      </c>
      <c r="H44" s="395">
        <f>IF($A44="","",SUMIFS('Timesheet Raw'!$K$4:$K$8000,'Timesheet Raw'!$L$4:$L$8000,$A44,'Timesheet Raw'!$C$4:$C$8000,D$3))</f>
        <v>6.25</v>
      </c>
      <c r="I44" s="345">
        <f>IF($A44="","",SUMIFS('Timesheet Raw'!$P$4:$P$8000,'Timesheet Raw'!$L$4:$L$8000,$A44,'Timesheet Raw'!$C$4:$C$8000,D$3))</f>
        <v>14.75</v>
      </c>
      <c r="J44" s="375"/>
      <c r="K44" t="str">
        <f>IF($A44="","",IF(J44&lt;&gt;"",J44,IF($A44&gt;'Work Calendar'!$B$17,"No data yet",IF(AND(F44&gt;='Work Calendar'!$B$14,D44+E44+G44&gt;0),"Day off - but worked",IF(F44&gt;='Work Calendar'!$B$14,"Day off",IF(D44+E44+G44&gt;0,IF($C44="Working","Charged","Worked weekend"),IF($C44="Working","Leave (not charged)",$C44)))))))</f>
        <v>Charged</v>
      </c>
      <c r="L44" s="341">
        <f>IF($A44="","",SUMIFS('Timesheet Raw'!$P$4:$P$8000,'Timesheet Raw'!$L$4:$L$8000,$A44,'Timesheet Raw'!$C$4:$C$8000,L$3,'Timesheet Raw'!$A$4:$A$8000,"1-Projects"))</f>
        <v>0</v>
      </c>
      <c r="M44" s="341">
        <f>IF($A44="","",SUMIFS('Timesheet Raw'!$P$4:$P$8000,'Timesheet Raw'!$L$4:$L$8000,$A44,'Timesheet Raw'!$C$4:$C$8000,L$3,'Timesheet Raw'!$A$4:$A$8000,"2-Proposals Chargeable")+SUMIFS('Timesheet Raw'!$P$4:$P$8000,'Timesheet Raw'!$L$4:$L$8000,$A44,'Timesheet Raw'!$C$4:$C$8000,L$3,'Timesheet Raw'!$A$4:$A$8000,"3-Proposals Regular"))</f>
        <v>0</v>
      </c>
      <c r="N44" s="341">
        <f>IF($A44="","",SUMIFS('Timesheet Raw'!$P$4:$P$8000,'Timesheet Raw'!$L$4:$L$8000,$A44,'Timesheet Raw'!$C$4:$C$8000,L$3,'Timesheet Raw'!$B$4:$B$8000,'Work Calendar'!$A$26)+SUMIFS('Timesheet Raw'!$P$4:$P$8000,'Timesheet Raw'!$L$4:$L$8000,$A44,'Timesheet Raw'!$C$4:$C$8000,L$3,'Timesheet Raw'!$B$4:$B$8000,'Work Calendar'!$A$27)+SUMIFS('Timesheet Raw'!$P$4:$P$8000,'Timesheet Raw'!$L$4:$L$8000,$A44,'Timesheet Raw'!$C$4:$C$8000,L$3,'Timesheet Raw'!$B$4:$B$8000,'Work Calendar'!$A$28)+SUMIFS('Timesheet Raw'!$P$4:$P$8000,'Timesheet Raw'!$L$4:$L$8000,$A44,'Timesheet Raw'!$C$4:$C$8000,L$3,'Timesheet Raw'!$B$4:$B$8000,'Work Calendar'!$A$29))</f>
        <v>8.5</v>
      </c>
      <c r="O44" s="341">
        <f t="shared" si="2"/>
        <v>0</v>
      </c>
      <c r="P44" s="395">
        <f>IF($A44="","",SUMIFS('Timesheet Raw'!$K$4:$K$8000,'Timesheet Raw'!$L$4:$L$8000,$A44,'Timesheet Raw'!$C$4:$C$8000,L$3))</f>
        <v>0</v>
      </c>
      <c r="Q44" s="345">
        <f>IF($A44="","",SUMIFS('Timesheet Raw'!$P$4:$P$8000,'Timesheet Raw'!$L$4:$L$8000,$A44,'Timesheet Raw'!$C$4:$C$8000,L$3))</f>
        <v>8.5</v>
      </c>
      <c r="R44" s="375"/>
      <c r="S44" t="str">
        <f>IF($A44="","",IF(R44&lt;&gt;"",R44,IF($A44&gt;'Work Calendar'!$B$17,"No data yet",IF(AND(N44&gt;='Work Calendar'!$B$14,L44+M44+O44&gt;0),"Day off - but worked",IF(N44&gt;='Work Calendar'!$B$14,"Day off",IF(L44+M44+O44&gt;0,IF($C44="Working","Charged","Worked weekend"),IF($C44="Working","Leave (not charged)",$C44)))))))</f>
        <v>Day off</v>
      </c>
      <c r="T44" s="341">
        <f>IF($A44="","",SUMIFS('Timesheet Raw'!$P$4:$P$8000,'Timesheet Raw'!$L$4:$L$8000,$A44,'Timesheet Raw'!$C$4:$C$8000,T$3,'Timesheet Raw'!$A$4:$A$8000,"1-Projects"))</f>
        <v>8.75</v>
      </c>
      <c r="U44" s="341">
        <f>IF($A44="","",SUMIFS('Timesheet Raw'!$P$4:$P$8000,'Timesheet Raw'!$L$4:$L$8000,$A44,'Timesheet Raw'!$C$4:$C$8000,T$3,'Timesheet Raw'!$A$4:$A$8000,"2-Proposals Chargeable")+SUMIFS('Timesheet Raw'!$P$4:$P$8000,'Timesheet Raw'!$L$4:$L$8000,$A44,'Timesheet Raw'!$C$4:$C$8000,T$3,'Timesheet Raw'!$A$4:$A$8000,"3-Proposals Regular"))</f>
        <v>0</v>
      </c>
      <c r="V44" s="341">
        <f>IF($A44="","",SUMIFS('Timesheet Raw'!$P$4:$P$8000,'Timesheet Raw'!$L$4:$L$8000,$A44,'Timesheet Raw'!$C$4:$C$8000,T$3,'Timesheet Raw'!$B$4:$B$8000,'Work Calendar'!$A$26)+SUMIFS('Timesheet Raw'!$P$4:$P$8000,'Timesheet Raw'!$L$4:$L$8000,$A44,'Timesheet Raw'!$C$4:$C$8000,T$3,'Timesheet Raw'!$B$4:$B$8000,'Work Calendar'!$A$27)+SUMIFS('Timesheet Raw'!$P$4:$P$8000,'Timesheet Raw'!$L$4:$L$8000,$A44,'Timesheet Raw'!$C$4:$C$8000,T$3,'Timesheet Raw'!$B$4:$B$8000,'Work Calendar'!$A$28)+SUMIFS('Timesheet Raw'!$P$4:$P$8000,'Timesheet Raw'!$L$4:$L$8000,$A44,'Timesheet Raw'!$C$4:$C$8000,T$3,'Timesheet Raw'!$B$4:$B$8000,'Work Calendar'!$A$29))</f>
        <v>0.75</v>
      </c>
      <c r="W44" s="341">
        <f t="shared" si="3"/>
        <v>0</v>
      </c>
      <c r="X44" s="395">
        <f>IF($A44="","",SUMIFS('Timesheet Raw'!$K$4:$K$8000,'Timesheet Raw'!$L$4:$L$8000,$A44,'Timesheet Raw'!$C$4:$C$8000,T$3))</f>
        <v>1</v>
      </c>
      <c r="Y44" s="345">
        <f>IF($A44="","",SUMIFS('Timesheet Raw'!$P$4:$P$8000,'Timesheet Raw'!$L$4:$L$8000,$A44,'Timesheet Raw'!$C$4:$C$8000,T$3))</f>
        <v>9.5</v>
      </c>
      <c r="Z44" s="375"/>
      <c r="AA44" t="str">
        <f>IF($A44="","",IF(Z44&lt;&gt;"",Z44,IF($A44&gt;'Work Calendar'!$B$17,"No data yet",IF(AND(V44&gt;='Work Calendar'!$B$14,T44+U44+W44&gt;0),"Day off - but worked",IF(V44&gt;='Work Calendar'!$B$14,"Day off",IF(T44+U44+W44&gt;0,IF($C44="Working","Charged","Worked weekend"),IF($C44="Working","Leave (not charged)",$C44)))))))</f>
        <v>Charged</v>
      </c>
    </row>
    <row r="45" spans="1:27" x14ac:dyDescent="0.3">
      <c r="A45" s="371">
        <f>IF($A44="","",IF($A44+1&gt;'Work Calendar'!$B$16,"",$A44+1))</f>
        <v>46063</v>
      </c>
      <c r="B45" t="str">
        <f t="shared" si="0"/>
        <v>Tue</v>
      </c>
      <c r="C45" t="str" cm="1">
        <f t="array" ref="C45">IF($A45="","",IF(COUNTIF('Work Calendar'!$E$6:$E$200,$A45)&gt;0,"Holiday",IF(INDEX('Work Calendar'!$C$6:$C$12,WEEKDAY($A45,1))=1,"Working","Weekend")))</f>
        <v>Working</v>
      </c>
      <c r="D45" s="341">
        <f>IF($A45="","",SUMIFS('Timesheet Raw'!$P$4:$P$8000,'Timesheet Raw'!$L$4:$L$8000,$A45,'Timesheet Raw'!$C$4:$C$8000,D$3,'Timesheet Raw'!$A$4:$A$8000,"1-Projects"))</f>
        <v>8.5</v>
      </c>
      <c r="E45" s="341">
        <f>IF($A45="","",SUMIFS('Timesheet Raw'!$P$4:$P$8000,'Timesheet Raw'!$L$4:$L$8000,$A45,'Timesheet Raw'!$C$4:$C$8000,D$3,'Timesheet Raw'!$A$4:$A$8000,"2-Proposals Chargeable")+SUMIFS('Timesheet Raw'!$P$4:$P$8000,'Timesheet Raw'!$L$4:$L$8000,$A45,'Timesheet Raw'!$C$4:$C$8000,D$3,'Timesheet Raw'!$A$4:$A$8000,"3-Proposals Regular"))</f>
        <v>0</v>
      </c>
      <c r="F45" s="341">
        <f>IF($A45="","",SUMIFS('Timesheet Raw'!$P$4:$P$8000,'Timesheet Raw'!$L$4:$L$8000,$A45,'Timesheet Raw'!$C$4:$C$8000,D$3,'Timesheet Raw'!$B$4:$B$8000,'Work Calendar'!$A$26)+SUMIFS('Timesheet Raw'!$P$4:$P$8000,'Timesheet Raw'!$L$4:$L$8000,$A45,'Timesheet Raw'!$C$4:$C$8000,D$3,'Timesheet Raw'!$B$4:$B$8000,'Work Calendar'!$A$27)+SUMIFS('Timesheet Raw'!$P$4:$P$8000,'Timesheet Raw'!$L$4:$L$8000,$A45,'Timesheet Raw'!$C$4:$C$8000,D$3,'Timesheet Raw'!$B$4:$B$8000,'Work Calendar'!$A$28)+SUMIFS('Timesheet Raw'!$P$4:$P$8000,'Timesheet Raw'!$L$4:$L$8000,$A45,'Timesheet Raw'!$C$4:$C$8000,D$3,'Timesheet Raw'!$B$4:$B$8000,'Work Calendar'!$A$29))</f>
        <v>1.25</v>
      </c>
      <c r="G45" s="341">
        <f t="shared" si="1"/>
        <v>0</v>
      </c>
      <c r="H45" s="395">
        <f>IF($A45="","",SUMIFS('Timesheet Raw'!$K$4:$K$8000,'Timesheet Raw'!$L$4:$L$8000,$A45,'Timesheet Raw'!$C$4:$C$8000,D$3))</f>
        <v>1.25</v>
      </c>
      <c r="I45" s="345">
        <f>IF($A45="","",SUMIFS('Timesheet Raw'!$P$4:$P$8000,'Timesheet Raw'!$L$4:$L$8000,$A45,'Timesheet Raw'!$C$4:$C$8000,D$3))</f>
        <v>9.75</v>
      </c>
      <c r="J45" s="375"/>
      <c r="K45" t="str">
        <f>IF($A45="","",IF(J45&lt;&gt;"",J45,IF($A45&gt;'Work Calendar'!$B$17,"No data yet",IF(AND(F45&gt;='Work Calendar'!$B$14,D45+E45+G45&gt;0),"Day off - but worked",IF(F45&gt;='Work Calendar'!$B$14,"Day off",IF(D45+E45+G45&gt;0,IF($C45="Working","Charged","Worked weekend"),IF($C45="Working","Leave (not charged)",$C45)))))))</f>
        <v>Charged</v>
      </c>
      <c r="L45" s="341">
        <f>IF($A45="","",SUMIFS('Timesheet Raw'!$P$4:$P$8000,'Timesheet Raw'!$L$4:$L$8000,$A45,'Timesheet Raw'!$C$4:$C$8000,L$3,'Timesheet Raw'!$A$4:$A$8000,"1-Projects"))</f>
        <v>9.75</v>
      </c>
      <c r="M45" s="341">
        <f>IF($A45="","",SUMIFS('Timesheet Raw'!$P$4:$P$8000,'Timesheet Raw'!$L$4:$L$8000,$A45,'Timesheet Raw'!$C$4:$C$8000,L$3,'Timesheet Raw'!$A$4:$A$8000,"2-Proposals Chargeable")+SUMIFS('Timesheet Raw'!$P$4:$P$8000,'Timesheet Raw'!$L$4:$L$8000,$A45,'Timesheet Raw'!$C$4:$C$8000,L$3,'Timesheet Raw'!$A$4:$A$8000,"3-Proposals Regular"))</f>
        <v>0</v>
      </c>
      <c r="N45" s="341">
        <f>IF($A45="","",SUMIFS('Timesheet Raw'!$P$4:$P$8000,'Timesheet Raw'!$L$4:$L$8000,$A45,'Timesheet Raw'!$C$4:$C$8000,L$3,'Timesheet Raw'!$B$4:$B$8000,'Work Calendar'!$A$26)+SUMIFS('Timesheet Raw'!$P$4:$P$8000,'Timesheet Raw'!$L$4:$L$8000,$A45,'Timesheet Raw'!$C$4:$C$8000,L$3,'Timesheet Raw'!$B$4:$B$8000,'Work Calendar'!$A$27)+SUMIFS('Timesheet Raw'!$P$4:$P$8000,'Timesheet Raw'!$L$4:$L$8000,$A45,'Timesheet Raw'!$C$4:$C$8000,L$3,'Timesheet Raw'!$B$4:$B$8000,'Work Calendar'!$A$28)+SUMIFS('Timesheet Raw'!$P$4:$P$8000,'Timesheet Raw'!$L$4:$L$8000,$A45,'Timesheet Raw'!$C$4:$C$8000,L$3,'Timesheet Raw'!$B$4:$B$8000,'Work Calendar'!$A$29))</f>
        <v>0</v>
      </c>
      <c r="O45" s="341">
        <f t="shared" si="2"/>
        <v>0</v>
      </c>
      <c r="P45" s="395">
        <f>IF($A45="","",SUMIFS('Timesheet Raw'!$K$4:$K$8000,'Timesheet Raw'!$L$4:$L$8000,$A45,'Timesheet Raw'!$C$4:$C$8000,L$3))</f>
        <v>1.25</v>
      </c>
      <c r="Q45" s="345">
        <f>IF($A45="","",SUMIFS('Timesheet Raw'!$P$4:$P$8000,'Timesheet Raw'!$L$4:$L$8000,$A45,'Timesheet Raw'!$C$4:$C$8000,L$3))</f>
        <v>9.75</v>
      </c>
      <c r="R45" s="375"/>
      <c r="S45" t="str">
        <f>IF($A45="","",IF(R45&lt;&gt;"",R45,IF($A45&gt;'Work Calendar'!$B$17,"No data yet",IF(AND(N45&gt;='Work Calendar'!$B$14,L45+M45+O45&gt;0),"Day off - but worked",IF(N45&gt;='Work Calendar'!$B$14,"Day off",IF(L45+M45+O45&gt;0,IF($C45="Working","Charged","Worked weekend"),IF($C45="Working","Leave (not charged)",$C45)))))))</f>
        <v>Charged</v>
      </c>
      <c r="T45" s="341">
        <f>IF($A45="","",SUMIFS('Timesheet Raw'!$P$4:$P$8000,'Timesheet Raw'!$L$4:$L$8000,$A45,'Timesheet Raw'!$C$4:$C$8000,T$3,'Timesheet Raw'!$A$4:$A$8000,"1-Projects"))</f>
        <v>9.25</v>
      </c>
      <c r="U45" s="341">
        <f>IF($A45="","",SUMIFS('Timesheet Raw'!$P$4:$P$8000,'Timesheet Raw'!$L$4:$L$8000,$A45,'Timesheet Raw'!$C$4:$C$8000,T$3,'Timesheet Raw'!$A$4:$A$8000,"2-Proposals Chargeable")+SUMIFS('Timesheet Raw'!$P$4:$P$8000,'Timesheet Raw'!$L$4:$L$8000,$A45,'Timesheet Raw'!$C$4:$C$8000,T$3,'Timesheet Raw'!$A$4:$A$8000,"3-Proposals Regular"))</f>
        <v>0</v>
      </c>
      <c r="V45" s="341">
        <f>IF($A45="","",SUMIFS('Timesheet Raw'!$P$4:$P$8000,'Timesheet Raw'!$L$4:$L$8000,$A45,'Timesheet Raw'!$C$4:$C$8000,T$3,'Timesheet Raw'!$B$4:$B$8000,'Work Calendar'!$A$26)+SUMIFS('Timesheet Raw'!$P$4:$P$8000,'Timesheet Raw'!$L$4:$L$8000,$A45,'Timesheet Raw'!$C$4:$C$8000,T$3,'Timesheet Raw'!$B$4:$B$8000,'Work Calendar'!$A$27)+SUMIFS('Timesheet Raw'!$P$4:$P$8000,'Timesheet Raw'!$L$4:$L$8000,$A45,'Timesheet Raw'!$C$4:$C$8000,T$3,'Timesheet Raw'!$B$4:$B$8000,'Work Calendar'!$A$28)+SUMIFS('Timesheet Raw'!$P$4:$P$8000,'Timesheet Raw'!$L$4:$L$8000,$A45,'Timesheet Raw'!$C$4:$C$8000,T$3,'Timesheet Raw'!$B$4:$B$8000,'Work Calendar'!$A$29))</f>
        <v>0.5</v>
      </c>
      <c r="W45" s="341">
        <f t="shared" si="3"/>
        <v>0</v>
      </c>
      <c r="X45" s="395">
        <f>IF($A45="","",SUMIFS('Timesheet Raw'!$K$4:$K$8000,'Timesheet Raw'!$L$4:$L$8000,$A45,'Timesheet Raw'!$C$4:$C$8000,T$3))</f>
        <v>1.25</v>
      </c>
      <c r="Y45" s="345">
        <f>IF($A45="","",SUMIFS('Timesheet Raw'!$P$4:$P$8000,'Timesheet Raw'!$L$4:$L$8000,$A45,'Timesheet Raw'!$C$4:$C$8000,T$3))</f>
        <v>9.75</v>
      </c>
      <c r="Z45" s="375"/>
      <c r="AA45" t="str">
        <f>IF($A45="","",IF(Z45&lt;&gt;"",Z45,IF($A45&gt;'Work Calendar'!$B$17,"No data yet",IF(AND(V45&gt;='Work Calendar'!$B$14,T45+U45+W45&gt;0),"Day off - but worked",IF(V45&gt;='Work Calendar'!$B$14,"Day off",IF(T45+U45+W45&gt;0,IF($C45="Working","Charged","Worked weekend"),IF($C45="Working","Leave (not charged)",$C45)))))))</f>
        <v>Charged</v>
      </c>
    </row>
    <row r="46" spans="1:27" x14ac:dyDescent="0.3">
      <c r="A46" s="371">
        <f>IF($A45="","",IF($A45+1&gt;'Work Calendar'!$B$16,"",$A45+1))</f>
        <v>46064</v>
      </c>
      <c r="B46" t="str">
        <f t="shared" si="0"/>
        <v>Wed</v>
      </c>
      <c r="C46" t="str" cm="1">
        <f t="array" ref="C46">IF($A46="","",IF(COUNTIF('Work Calendar'!$E$6:$E$200,$A46)&gt;0,"Holiday",IF(INDEX('Work Calendar'!$C$6:$C$12,WEEKDAY($A46,1))=1,"Working","Weekend")))</f>
        <v>Working</v>
      </c>
      <c r="D46" s="341">
        <f>IF($A46="","",SUMIFS('Timesheet Raw'!$P$4:$P$8000,'Timesheet Raw'!$L$4:$L$8000,$A46,'Timesheet Raw'!$C$4:$C$8000,D$3,'Timesheet Raw'!$A$4:$A$8000,"1-Projects"))</f>
        <v>8</v>
      </c>
      <c r="E46" s="341">
        <f>IF($A46="","",SUMIFS('Timesheet Raw'!$P$4:$P$8000,'Timesheet Raw'!$L$4:$L$8000,$A46,'Timesheet Raw'!$C$4:$C$8000,D$3,'Timesheet Raw'!$A$4:$A$8000,"2-Proposals Chargeable")+SUMIFS('Timesheet Raw'!$P$4:$P$8000,'Timesheet Raw'!$L$4:$L$8000,$A46,'Timesheet Raw'!$C$4:$C$8000,D$3,'Timesheet Raw'!$A$4:$A$8000,"3-Proposals Regular"))</f>
        <v>0</v>
      </c>
      <c r="F46" s="341">
        <f>IF($A46="","",SUMIFS('Timesheet Raw'!$P$4:$P$8000,'Timesheet Raw'!$L$4:$L$8000,$A46,'Timesheet Raw'!$C$4:$C$8000,D$3,'Timesheet Raw'!$B$4:$B$8000,'Work Calendar'!$A$26)+SUMIFS('Timesheet Raw'!$P$4:$P$8000,'Timesheet Raw'!$L$4:$L$8000,$A46,'Timesheet Raw'!$C$4:$C$8000,D$3,'Timesheet Raw'!$B$4:$B$8000,'Work Calendar'!$A$27)+SUMIFS('Timesheet Raw'!$P$4:$P$8000,'Timesheet Raw'!$L$4:$L$8000,$A46,'Timesheet Raw'!$C$4:$C$8000,D$3,'Timesheet Raw'!$B$4:$B$8000,'Work Calendar'!$A$28)+SUMIFS('Timesheet Raw'!$P$4:$P$8000,'Timesheet Raw'!$L$4:$L$8000,$A46,'Timesheet Raw'!$C$4:$C$8000,D$3,'Timesheet Raw'!$B$4:$B$8000,'Work Calendar'!$A$29))</f>
        <v>1</v>
      </c>
      <c r="G46" s="341">
        <f t="shared" si="1"/>
        <v>0</v>
      </c>
      <c r="H46" s="395">
        <f>IF($A46="","",SUMIFS('Timesheet Raw'!$K$4:$K$8000,'Timesheet Raw'!$L$4:$L$8000,$A46,'Timesheet Raw'!$C$4:$C$8000,D$3))</f>
        <v>0.5</v>
      </c>
      <c r="I46" s="345">
        <f>IF($A46="","",SUMIFS('Timesheet Raw'!$P$4:$P$8000,'Timesheet Raw'!$L$4:$L$8000,$A46,'Timesheet Raw'!$C$4:$C$8000,D$3))</f>
        <v>9</v>
      </c>
      <c r="J46" s="375"/>
      <c r="K46" t="str">
        <f>IF($A46="","",IF(J46&lt;&gt;"",J46,IF($A46&gt;'Work Calendar'!$B$17,"No data yet",IF(AND(F46&gt;='Work Calendar'!$B$14,D46+E46+G46&gt;0),"Day off - but worked",IF(F46&gt;='Work Calendar'!$B$14,"Day off",IF(D46+E46+G46&gt;0,IF($C46="Working","Charged","Worked weekend"),IF($C46="Working","Leave (not charged)",$C46)))))))</f>
        <v>Charged</v>
      </c>
      <c r="L46" s="341">
        <f>IF($A46="","",SUMIFS('Timesheet Raw'!$P$4:$P$8000,'Timesheet Raw'!$L$4:$L$8000,$A46,'Timesheet Raw'!$C$4:$C$8000,L$3,'Timesheet Raw'!$A$4:$A$8000,"1-Projects"))</f>
        <v>9</v>
      </c>
      <c r="M46" s="341">
        <f>IF($A46="","",SUMIFS('Timesheet Raw'!$P$4:$P$8000,'Timesheet Raw'!$L$4:$L$8000,$A46,'Timesheet Raw'!$C$4:$C$8000,L$3,'Timesheet Raw'!$A$4:$A$8000,"2-Proposals Chargeable")+SUMIFS('Timesheet Raw'!$P$4:$P$8000,'Timesheet Raw'!$L$4:$L$8000,$A46,'Timesheet Raw'!$C$4:$C$8000,L$3,'Timesheet Raw'!$A$4:$A$8000,"3-Proposals Regular"))</f>
        <v>0</v>
      </c>
      <c r="N46" s="341">
        <f>IF($A46="","",SUMIFS('Timesheet Raw'!$P$4:$P$8000,'Timesheet Raw'!$L$4:$L$8000,$A46,'Timesheet Raw'!$C$4:$C$8000,L$3,'Timesheet Raw'!$B$4:$B$8000,'Work Calendar'!$A$26)+SUMIFS('Timesheet Raw'!$P$4:$P$8000,'Timesheet Raw'!$L$4:$L$8000,$A46,'Timesheet Raw'!$C$4:$C$8000,L$3,'Timesheet Raw'!$B$4:$B$8000,'Work Calendar'!$A$27)+SUMIFS('Timesheet Raw'!$P$4:$P$8000,'Timesheet Raw'!$L$4:$L$8000,$A46,'Timesheet Raw'!$C$4:$C$8000,L$3,'Timesheet Raw'!$B$4:$B$8000,'Work Calendar'!$A$28)+SUMIFS('Timesheet Raw'!$P$4:$P$8000,'Timesheet Raw'!$L$4:$L$8000,$A46,'Timesheet Raw'!$C$4:$C$8000,L$3,'Timesheet Raw'!$B$4:$B$8000,'Work Calendar'!$A$29))</f>
        <v>0.25</v>
      </c>
      <c r="O46" s="341">
        <f t="shared" si="2"/>
        <v>0</v>
      </c>
      <c r="P46" s="395">
        <f>IF($A46="","",SUMIFS('Timesheet Raw'!$K$4:$K$8000,'Timesheet Raw'!$L$4:$L$8000,$A46,'Timesheet Raw'!$C$4:$C$8000,L$3))</f>
        <v>0.75</v>
      </c>
      <c r="Q46" s="345">
        <f>IF($A46="","",SUMIFS('Timesheet Raw'!$P$4:$P$8000,'Timesheet Raw'!$L$4:$L$8000,$A46,'Timesheet Raw'!$C$4:$C$8000,L$3))</f>
        <v>9.25</v>
      </c>
      <c r="R46" s="375"/>
      <c r="S46" t="str">
        <f>IF($A46="","",IF(R46&lt;&gt;"",R46,IF($A46&gt;'Work Calendar'!$B$17,"No data yet",IF(AND(N46&gt;='Work Calendar'!$B$14,L46+M46+O46&gt;0),"Day off - but worked",IF(N46&gt;='Work Calendar'!$B$14,"Day off",IF(L46+M46+O46&gt;0,IF($C46="Working","Charged","Worked weekend"),IF($C46="Working","Leave (not charged)",$C46)))))))</f>
        <v>Charged</v>
      </c>
      <c r="T46" s="341">
        <f>IF($A46="","",SUMIFS('Timesheet Raw'!$P$4:$P$8000,'Timesheet Raw'!$L$4:$L$8000,$A46,'Timesheet Raw'!$C$4:$C$8000,T$3,'Timesheet Raw'!$A$4:$A$8000,"1-Projects"))</f>
        <v>9</v>
      </c>
      <c r="U46" s="341">
        <f>IF($A46="","",SUMIFS('Timesheet Raw'!$P$4:$P$8000,'Timesheet Raw'!$L$4:$L$8000,$A46,'Timesheet Raw'!$C$4:$C$8000,T$3,'Timesheet Raw'!$A$4:$A$8000,"2-Proposals Chargeable")+SUMIFS('Timesheet Raw'!$P$4:$P$8000,'Timesheet Raw'!$L$4:$L$8000,$A46,'Timesheet Raw'!$C$4:$C$8000,T$3,'Timesheet Raw'!$A$4:$A$8000,"3-Proposals Regular"))</f>
        <v>0</v>
      </c>
      <c r="V46" s="341">
        <f>IF($A46="","",SUMIFS('Timesheet Raw'!$P$4:$P$8000,'Timesheet Raw'!$L$4:$L$8000,$A46,'Timesheet Raw'!$C$4:$C$8000,T$3,'Timesheet Raw'!$B$4:$B$8000,'Work Calendar'!$A$26)+SUMIFS('Timesheet Raw'!$P$4:$P$8000,'Timesheet Raw'!$L$4:$L$8000,$A46,'Timesheet Raw'!$C$4:$C$8000,T$3,'Timesheet Raw'!$B$4:$B$8000,'Work Calendar'!$A$27)+SUMIFS('Timesheet Raw'!$P$4:$P$8000,'Timesheet Raw'!$L$4:$L$8000,$A46,'Timesheet Raw'!$C$4:$C$8000,T$3,'Timesheet Raw'!$B$4:$B$8000,'Work Calendar'!$A$28)+SUMIFS('Timesheet Raw'!$P$4:$P$8000,'Timesheet Raw'!$L$4:$L$8000,$A46,'Timesheet Raw'!$C$4:$C$8000,T$3,'Timesheet Raw'!$B$4:$B$8000,'Work Calendar'!$A$29))</f>
        <v>0.25</v>
      </c>
      <c r="W46" s="341">
        <f t="shared" si="3"/>
        <v>0</v>
      </c>
      <c r="X46" s="395">
        <f>IF($A46="","",SUMIFS('Timesheet Raw'!$K$4:$K$8000,'Timesheet Raw'!$L$4:$L$8000,$A46,'Timesheet Raw'!$C$4:$C$8000,T$3))</f>
        <v>0.75</v>
      </c>
      <c r="Y46" s="345">
        <f>IF($A46="","",SUMIFS('Timesheet Raw'!$P$4:$P$8000,'Timesheet Raw'!$L$4:$L$8000,$A46,'Timesheet Raw'!$C$4:$C$8000,T$3))</f>
        <v>9.25</v>
      </c>
      <c r="Z46" s="375"/>
      <c r="AA46" t="str">
        <f>IF($A46="","",IF(Z46&lt;&gt;"",Z46,IF($A46&gt;'Work Calendar'!$B$17,"No data yet",IF(AND(V46&gt;='Work Calendar'!$B$14,T46+U46+W46&gt;0),"Day off - but worked",IF(V46&gt;='Work Calendar'!$B$14,"Day off",IF(T46+U46+W46&gt;0,IF($C46="Working","Charged","Worked weekend"),IF($C46="Working","Leave (not charged)",$C46)))))))</f>
        <v>Charged</v>
      </c>
    </row>
    <row r="47" spans="1:27" x14ac:dyDescent="0.3">
      <c r="A47" s="371">
        <f>IF($A46="","",IF($A46+1&gt;'Work Calendar'!$B$16,"",$A46+1))</f>
        <v>46065</v>
      </c>
      <c r="B47" t="str">
        <f t="shared" si="0"/>
        <v>Thu</v>
      </c>
      <c r="C47" t="str" cm="1">
        <f t="array" ref="C47">IF($A47="","",IF(COUNTIF('Work Calendar'!$E$6:$E$200,$A47)&gt;0,"Holiday",IF(INDEX('Work Calendar'!$C$6:$C$12,WEEKDAY($A47,1))=1,"Working","Weekend")))</f>
        <v>Working</v>
      </c>
      <c r="D47" s="341">
        <f>IF($A47="","",SUMIFS('Timesheet Raw'!$P$4:$P$8000,'Timesheet Raw'!$L$4:$L$8000,$A47,'Timesheet Raw'!$C$4:$C$8000,D$3,'Timesheet Raw'!$A$4:$A$8000,"1-Projects"))</f>
        <v>8</v>
      </c>
      <c r="E47" s="341">
        <f>IF($A47="","",SUMIFS('Timesheet Raw'!$P$4:$P$8000,'Timesheet Raw'!$L$4:$L$8000,$A47,'Timesheet Raw'!$C$4:$C$8000,D$3,'Timesheet Raw'!$A$4:$A$8000,"2-Proposals Chargeable")+SUMIFS('Timesheet Raw'!$P$4:$P$8000,'Timesheet Raw'!$L$4:$L$8000,$A47,'Timesheet Raw'!$C$4:$C$8000,D$3,'Timesheet Raw'!$A$4:$A$8000,"3-Proposals Regular"))</f>
        <v>0</v>
      </c>
      <c r="F47" s="341">
        <f>IF($A47="","",SUMIFS('Timesheet Raw'!$P$4:$P$8000,'Timesheet Raw'!$L$4:$L$8000,$A47,'Timesheet Raw'!$C$4:$C$8000,D$3,'Timesheet Raw'!$B$4:$B$8000,'Work Calendar'!$A$26)+SUMIFS('Timesheet Raw'!$P$4:$P$8000,'Timesheet Raw'!$L$4:$L$8000,$A47,'Timesheet Raw'!$C$4:$C$8000,D$3,'Timesheet Raw'!$B$4:$B$8000,'Work Calendar'!$A$27)+SUMIFS('Timesheet Raw'!$P$4:$P$8000,'Timesheet Raw'!$L$4:$L$8000,$A47,'Timesheet Raw'!$C$4:$C$8000,D$3,'Timesheet Raw'!$B$4:$B$8000,'Work Calendar'!$A$28)+SUMIFS('Timesheet Raw'!$P$4:$P$8000,'Timesheet Raw'!$L$4:$L$8000,$A47,'Timesheet Raw'!$C$4:$C$8000,D$3,'Timesheet Raw'!$B$4:$B$8000,'Work Calendar'!$A$29))</f>
        <v>1.25</v>
      </c>
      <c r="G47" s="341">
        <f t="shared" si="1"/>
        <v>0</v>
      </c>
      <c r="H47" s="395">
        <f>IF($A47="","",SUMIFS('Timesheet Raw'!$K$4:$K$8000,'Timesheet Raw'!$L$4:$L$8000,$A47,'Timesheet Raw'!$C$4:$C$8000,D$3))</f>
        <v>0.75</v>
      </c>
      <c r="I47" s="345">
        <f>IF($A47="","",SUMIFS('Timesheet Raw'!$P$4:$P$8000,'Timesheet Raw'!$L$4:$L$8000,$A47,'Timesheet Raw'!$C$4:$C$8000,D$3))</f>
        <v>9.25</v>
      </c>
      <c r="J47" s="375"/>
      <c r="K47" t="str">
        <f>IF($A47="","",IF(J47&lt;&gt;"",J47,IF($A47&gt;'Work Calendar'!$B$17,"No data yet",IF(AND(F47&gt;='Work Calendar'!$B$14,D47+E47+G47&gt;0),"Day off - but worked",IF(F47&gt;='Work Calendar'!$B$14,"Day off",IF(D47+E47+G47&gt;0,IF($C47="Working","Charged","Worked weekend"),IF($C47="Working","Leave (not charged)",$C47)))))))</f>
        <v>Charged</v>
      </c>
      <c r="L47" s="341">
        <f>IF($A47="","",SUMIFS('Timesheet Raw'!$P$4:$P$8000,'Timesheet Raw'!$L$4:$L$8000,$A47,'Timesheet Raw'!$C$4:$C$8000,L$3,'Timesheet Raw'!$A$4:$A$8000,"1-Projects"))</f>
        <v>8.75</v>
      </c>
      <c r="M47" s="341">
        <f>IF($A47="","",SUMIFS('Timesheet Raw'!$P$4:$P$8000,'Timesheet Raw'!$L$4:$L$8000,$A47,'Timesheet Raw'!$C$4:$C$8000,L$3,'Timesheet Raw'!$A$4:$A$8000,"2-Proposals Chargeable")+SUMIFS('Timesheet Raw'!$P$4:$P$8000,'Timesheet Raw'!$L$4:$L$8000,$A47,'Timesheet Raw'!$C$4:$C$8000,L$3,'Timesheet Raw'!$A$4:$A$8000,"3-Proposals Regular"))</f>
        <v>0</v>
      </c>
      <c r="N47" s="341">
        <f>IF($A47="","",SUMIFS('Timesheet Raw'!$P$4:$P$8000,'Timesheet Raw'!$L$4:$L$8000,$A47,'Timesheet Raw'!$C$4:$C$8000,L$3,'Timesheet Raw'!$B$4:$B$8000,'Work Calendar'!$A$26)+SUMIFS('Timesheet Raw'!$P$4:$P$8000,'Timesheet Raw'!$L$4:$L$8000,$A47,'Timesheet Raw'!$C$4:$C$8000,L$3,'Timesheet Raw'!$B$4:$B$8000,'Work Calendar'!$A$27)+SUMIFS('Timesheet Raw'!$P$4:$P$8000,'Timesheet Raw'!$L$4:$L$8000,$A47,'Timesheet Raw'!$C$4:$C$8000,L$3,'Timesheet Raw'!$B$4:$B$8000,'Work Calendar'!$A$28)+SUMIFS('Timesheet Raw'!$P$4:$P$8000,'Timesheet Raw'!$L$4:$L$8000,$A47,'Timesheet Raw'!$C$4:$C$8000,L$3,'Timesheet Raw'!$B$4:$B$8000,'Work Calendar'!$A$29))</f>
        <v>0.25</v>
      </c>
      <c r="O47" s="341">
        <f t="shared" si="2"/>
        <v>0</v>
      </c>
      <c r="P47" s="395">
        <f>IF($A47="","",SUMIFS('Timesheet Raw'!$K$4:$K$8000,'Timesheet Raw'!$L$4:$L$8000,$A47,'Timesheet Raw'!$C$4:$C$8000,L$3))</f>
        <v>0.5</v>
      </c>
      <c r="Q47" s="345">
        <f>IF($A47="","",SUMIFS('Timesheet Raw'!$P$4:$P$8000,'Timesheet Raw'!$L$4:$L$8000,$A47,'Timesheet Raw'!$C$4:$C$8000,L$3))</f>
        <v>9</v>
      </c>
      <c r="R47" s="375"/>
      <c r="S47" t="str">
        <f>IF($A47="","",IF(R47&lt;&gt;"",R47,IF($A47&gt;'Work Calendar'!$B$17,"No data yet",IF(AND(N47&gt;='Work Calendar'!$B$14,L47+M47+O47&gt;0),"Day off - but worked",IF(N47&gt;='Work Calendar'!$B$14,"Day off",IF(L47+M47+O47&gt;0,IF($C47="Working","Charged","Worked weekend"),IF($C47="Working","Leave (not charged)",$C47)))))))</f>
        <v>Charged</v>
      </c>
      <c r="T47" s="341">
        <f>IF($A47="","",SUMIFS('Timesheet Raw'!$P$4:$P$8000,'Timesheet Raw'!$L$4:$L$8000,$A47,'Timesheet Raw'!$C$4:$C$8000,T$3,'Timesheet Raw'!$A$4:$A$8000,"1-Projects"))</f>
        <v>0</v>
      </c>
      <c r="U47" s="341">
        <f>IF($A47="","",SUMIFS('Timesheet Raw'!$P$4:$P$8000,'Timesheet Raw'!$L$4:$L$8000,$A47,'Timesheet Raw'!$C$4:$C$8000,T$3,'Timesheet Raw'!$A$4:$A$8000,"2-Proposals Chargeable")+SUMIFS('Timesheet Raw'!$P$4:$P$8000,'Timesheet Raw'!$L$4:$L$8000,$A47,'Timesheet Raw'!$C$4:$C$8000,T$3,'Timesheet Raw'!$A$4:$A$8000,"3-Proposals Regular"))</f>
        <v>0</v>
      </c>
      <c r="V47" s="341">
        <f>IF($A47="","",SUMIFS('Timesheet Raw'!$P$4:$P$8000,'Timesheet Raw'!$L$4:$L$8000,$A47,'Timesheet Raw'!$C$4:$C$8000,T$3,'Timesheet Raw'!$B$4:$B$8000,'Work Calendar'!$A$26)+SUMIFS('Timesheet Raw'!$P$4:$P$8000,'Timesheet Raw'!$L$4:$L$8000,$A47,'Timesheet Raw'!$C$4:$C$8000,T$3,'Timesheet Raw'!$B$4:$B$8000,'Work Calendar'!$A$27)+SUMIFS('Timesheet Raw'!$P$4:$P$8000,'Timesheet Raw'!$L$4:$L$8000,$A47,'Timesheet Raw'!$C$4:$C$8000,T$3,'Timesheet Raw'!$B$4:$B$8000,'Work Calendar'!$A$28)+SUMIFS('Timesheet Raw'!$P$4:$P$8000,'Timesheet Raw'!$L$4:$L$8000,$A47,'Timesheet Raw'!$C$4:$C$8000,T$3,'Timesheet Raw'!$B$4:$B$8000,'Work Calendar'!$A$29))</f>
        <v>8.5</v>
      </c>
      <c r="W47" s="341">
        <f t="shared" si="3"/>
        <v>0</v>
      </c>
      <c r="X47" s="395">
        <f>IF($A47="","",SUMIFS('Timesheet Raw'!$K$4:$K$8000,'Timesheet Raw'!$L$4:$L$8000,$A47,'Timesheet Raw'!$C$4:$C$8000,T$3))</f>
        <v>0</v>
      </c>
      <c r="Y47" s="345">
        <f>IF($A47="","",SUMIFS('Timesheet Raw'!$P$4:$P$8000,'Timesheet Raw'!$L$4:$L$8000,$A47,'Timesheet Raw'!$C$4:$C$8000,T$3))</f>
        <v>8.5</v>
      </c>
      <c r="Z47" s="375"/>
      <c r="AA47" t="str">
        <f>IF($A47="","",IF(Z47&lt;&gt;"",Z47,IF($A47&gt;'Work Calendar'!$B$17,"No data yet",IF(AND(V47&gt;='Work Calendar'!$B$14,T47+U47+W47&gt;0),"Day off - but worked",IF(V47&gt;='Work Calendar'!$B$14,"Day off",IF(T47+U47+W47&gt;0,IF($C47="Working","Charged","Worked weekend"),IF($C47="Working","Leave (not charged)",$C47)))))))</f>
        <v>Day off</v>
      </c>
    </row>
    <row r="48" spans="1:27" x14ac:dyDescent="0.3">
      <c r="A48" s="371">
        <f>IF($A47="","",IF($A47+1&gt;'Work Calendar'!$B$16,"",$A47+1))</f>
        <v>46066</v>
      </c>
      <c r="B48" t="str">
        <f t="shared" si="0"/>
        <v>Fri</v>
      </c>
      <c r="C48" t="str" cm="1">
        <f t="array" ref="C48">IF($A48="","",IF(COUNTIF('Work Calendar'!$E$6:$E$200,$A48)&gt;0,"Holiday",IF(INDEX('Work Calendar'!$C$6:$C$12,WEEKDAY($A48,1))=1,"Working","Weekend")))</f>
        <v>Weekend</v>
      </c>
      <c r="D48" s="341">
        <f>IF($A48="","",SUMIFS('Timesheet Raw'!$P$4:$P$8000,'Timesheet Raw'!$L$4:$L$8000,$A48,'Timesheet Raw'!$C$4:$C$8000,D$3,'Timesheet Raw'!$A$4:$A$8000,"1-Projects"))</f>
        <v>0</v>
      </c>
      <c r="E48" s="341">
        <f>IF($A48="","",SUMIFS('Timesheet Raw'!$P$4:$P$8000,'Timesheet Raw'!$L$4:$L$8000,$A48,'Timesheet Raw'!$C$4:$C$8000,D$3,'Timesheet Raw'!$A$4:$A$8000,"2-Proposals Chargeable")+SUMIFS('Timesheet Raw'!$P$4:$P$8000,'Timesheet Raw'!$L$4:$L$8000,$A48,'Timesheet Raw'!$C$4:$C$8000,D$3,'Timesheet Raw'!$A$4:$A$8000,"3-Proposals Regular"))</f>
        <v>0</v>
      </c>
      <c r="F48" s="341">
        <f>IF($A48="","",SUMIFS('Timesheet Raw'!$P$4:$P$8000,'Timesheet Raw'!$L$4:$L$8000,$A48,'Timesheet Raw'!$C$4:$C$8000,D$3,'Timesheet Raw'!$B$4:$B$8000,'Work Calendar'!$A$26)+SUMIFS('Timesheet Raw'!$P$4:$P$8000,'Timesheet Raw'!$L$4:$L$8000,$A48,'Timesheet Raw'!$C$4:$C$8000,D$3,'Timesheet Raw'!$B$4:$B$8000,'Work Calendar'!$A$27)+SUMIFS('Timesheet Raw'!$P$4:$P$8000,'Timesheet Raw'!$L$4:$L$8000,$A48,'Timesheet Raw'!$C$4:$C$8000,D$3,'Timesheet Raw'!$B$4:$B$8000,'Work Calendar'!$A$28)+SUMIFS('Timesheet Raw'!$P$4:$P$8000,'Timesheet Raw'!$L$4:$L$8000,$A48,'Timesheet Raw'!$C$4:$C$8000,D$3,'Timesheet Raw'!$B$4:$B$8000,'Work Calendar'!$A$29))</f>
        <v>0</v>
      </c>
      <c r="G48" s="341">
        <f t="shared" si="1"/>
        <v>0</v>
      </c>
      <c r="H48" s="395">
        <f>IF($A48="","",SUMIFS('Timesheet Raw'!$K$4:$K$8000,'Timesheet Raw'!$L$4:$L$8000,$A48,'Timesheet Raw'!$C$4:$C$8000,D$3))</f>
        <v>0</v>
      </c>
      <c r="I48" s="345">
        <f>IF($A48="","",SUMIFS('Timesheet Raw'!$P$4:$P$8000,'Timesheet Raw'!$L$4:$L$8000,$A48,'Timesheet Raw'!$C$4:$C$8000,D$3))</f>
        <v>0</v>
      </c>
      <c r="J48" s="375"/>
      <c r="K48" t="str">
        <f>IF($A48="","",IF(J48&lt;&gt;"",J48,IF($A48&gt;'Work Calendar'!$B$17,"No data yet",IF(AND(F48&gt;='Work Calendar'!$B$14,D48+E48+G48&gt;0),"Day off - but worked",IF(F48&gt;='Work Calendar'!$B$14,"Day off",IF(D48+E48+G48&gt;0,IF($C48="Working","Charged","Worked weekend"),IF($C48="Working","Leave (not charged)",$C48)))))))</f>
        <v>Weekend</v>
      </c>
      <c r="L48" s="341">
        <f>IF($A48="","",SUMIFS('Timesheet Raw'!$P$4:$P$8000,'Timesheet Raw'!$L$4:$L$8000,$A48,'Timesheet Raw'!$C$4:$C$8000,L$3,'Timesheet Raw'!$A$4:$A$8000,"1-Projects"))</f>
        <v>0</v>
      </c>
      <c r="M48" s="341">
        <f>IF($A48="","",SUMIFS('Timesheet Raw'!$P$4:$P$8000,'Timesheet Raw'!$L$4:$L$8000,$A48,'Timesheet Raw'!$C$4:$C$8000,L$3,'Timesheet Raw'!$A$4:$A$8000,"2-Proposals Chargeable")+SUMIFS('Timesheet Raw'!$P$4:$P$8000,'Timesheet Raw'!$L$4:$L$8000,$A48,'Timesheet Raw'!$C$4:$C$8000,L$3,'Timesheet Raw'!$A$4:$A$8000,"3-Proposals Regular"))</f>
        <v>0</v>
      </c>
      <c r="N48" s="341">
        <f>IF($A48="","",SUMIFS('Timesheet Raw'!$P$4:$P$8000,'Timesheet Raw'!$L$4:$L$8000,$A48,'Timesheet Raw'!$C$4:$C$8000,L$3,'Timesheet Raw'!$B$4:$B$8000,'Work Calendar'!$A$26)+SUMIFS('Timesheet Raw'!$P$4:$P$8000,'Timesheet Raw'!$L$4:$L$8000,$A48,'Timesheet Raw'!$C$4:$C$8000,L$3,'Timesheet Raw'!$B$4:$B$8000,'Work Calendar'!$A$27)+SUMIFS('Timesheet Raw'!$P$4:$P$8000,'Timesheet Raw'!$L$4:$L$8000,$A48,'Timesheet Raw'!$C$4:$C$8000,L$3,'Timesheet Raw'!$B$4:$B$8000,'Work Calendar'!$A$28)+SUMIFS('Timesheet Raw'!$P$4:$P$8000,'Timesheet Raw'!$L$4:$L$8000,$A48,'Timesheet Raw'!$C$4:$C$8000,L$3,'Timesheet Raw'!$B$4:$B$8000,'Work Calendar'!$A$29))</f>
        <v>0</v>
      </c>
      <c r="O48" s="341">
        <f t="shared" si="2"/>
        <v>0</v>
      </c>
      <c r="P48" s="395">
        <f>IF($A48="","",SUMIFS('Timesheet Raw'!$K$4:$K$8000,'Timesheet Raw'!$L$4:$L$8000,$A48,'Timesheet Raw'!$C$4:$C$8000,L$3))</f>
        <v>0</v>
      </c>
      <c r="Q48" s="345">
        <f>IF($A48="","",SUMIFS('Timesheet Raw'!$P$4:$P$8000,'Timesheet Raw'!$L$4:$L$8000,$A48,'Timesheet Raw'!$C$4:$C$8000,L$3))</f>
        <v>0</v>
      </c>
      <c r="R48" s="375"/>
      <c r="S48" t="str">
        <f>IF($A48="","",IF(R48&lt;&gt;"",R48,IF($A48&gt;'Work Calendar'!$B$17,"No data yet",IF(AND(N48&gt;='Work Calendar'!$B$14,L48+M48+O48&gt;0),"Day off - but worked",IF(N48&gt;='Work Calendar'!$B$14,"Day off",IF(L48+M48+O48&gt;0,IF($C48="Working","Charged","Worked weekend"),IF($C48="Working","Leave (not charged)",$C48)))))))</f>
        <v>Weekend</v>
      </c>
      <c r="T48" s="341">
        <f>IF($A48="","",SUMIFS('Timesheet Raw'!$P$4:$P$8000,'Timesheet Raw'!$L$4:$L$8000,$A48,'Timesheet Raw'!$C$4:$C$8000,T$3,'Timesheet Raw'!$A$4:$A$8000,"1-Projects"))</f>
        <v>0</v>
      </c>
      <c r="U48" s="341">
        <f>IF($A48="","",SUMIFS('Timesheet Raw'!$P$4:$P$8000,'Timesheet Raw'!$L$4:$L$8000,$A48,'Timesheet Raw'!$C$4:$C$8000,T$3,'Timesheet Raw'!$A$4:$A$8000,"2-Proposals Chargeable")+SUMIFS('Timesheet Raw'!$P$4:$P$8000,'Timesheet Raw'!$L$4:$L$8000,$A48,'Timesheet Raw'!$C$4:$C$8000,T$3,'Timesheet Raw'!$A$4:$A$8000,"3-Proposals Regular"))</f>
        <v>0</v>
      </c>
      <c r="V48" s="341">
        <f>IF($A48="","",SUMIFS('Timesheet Raw'!$P$4:$P$8000,'Timesheet Raw'!$L$4:$L$8000,$A48,'Timesheet Raw'!$C$4:$C$8000,T$3,'Timesheet Raw'!$B$4:$B$8000,'Work Calendar'!$A$26)+SUMIFS('Timesheet Raw'!$P$4:$P$8000,'Timesheet Raw'!$L$4:$L$8000,$A48,'Timesheet Raw'!$C$4:$C$8000,T$3,'Timesheet Raw'!$B$4:$B$8000,'Work Calendar'!$A$27)+SUMIFS('Timesheet Raw'!$P$4:$P$8000,'Timesheet Raw'!$L$4:$L$8000,$A48,'Timesheet Raw'!$C$4:$C$8000,T$3,'Timesheet Raw'!$B$4:$B$8000,'Work Calendar'!$A$28)+SUMIFS('Timesheet Raw'!$P$4:$P$8000,'Timesheet Raw'!$L$4:$L$8000,$A48,'Timesheet Raw'!$C$4:$C$8000,T$3,'Timesheet Raw'!$B$4:$B$8000,'Work Calendar'!$A$29))</f>
        <v>0</v>
      </c>
      <c r="W48" s="341">
        <f t="shared" si="3"/>
        <v>0</v>
      </c>
      <c r="X48" s="395">
        <f>IF($A48="","",SUMIFS('Timesheet Raw'!$K$4:$K$8000,'Timesheet Raw'!$L$4:$L$8000,$A48,'Timesheet Raw'!$C$4:$C$8000,T$3))</f>
        <v>0</v>
      </c>
      <c r="Y48" s="345">
        <f>IF($A48="","",SUMIFS('Timesheet Raw'!$P$4:$P$8000,'Timesheet Raw'!$L$4:$L$8000,$A48,'Timesheet Raw'!$C$4:$C$8000,T$3))</f>
        <v>0</v>
      </c>
      <c r="Z48" s="375"/>
      <c r="AA48" t="str">
        <f>IF($A48="","",IF(Z48&lt;&gt;"",Z48,IF($A48&gt;'Work Calendar'!$B$17,"No data yet",IF(AND(V48&gt;='Work Calendar'!$B$14,T48+U48+W48&gt;0),"Day off - but worked",IF(V48&gt;='Work Calendar'!$B$14,"Day off",IF(T48+U48+W48&gt;0,IF($C48="Working","Charged","Worked weekend"),IF($C48="Working","Leave (not charged)",$C48)))))))</f>
        <v>Weekend</v>
      </c>
    </row>
    <row r="49" spans="1:27" x14ac:dyDescent="0.3">
      <c r="A49" s="371">
        <f>IF($A48="","",IF($A48+1&gt;'Work Calendar'!$B$16,"",$A48+1))</f>
        <v>46067</v>
      </c>
      <c r="B49" t="str">
        <f t="shared" si="0"/>
        <v>Sat</v>
      </c>
      <c r="C49" t="str" cm="1">
        <f t="array" ref="C49">IF($A49="","",IF(COUNTIF('Work Calendar'!$E$6:$E$200,$A49)&gt;0,"Holiday",IF(INDEX('Work Calendar'!$C$6:$C$12,WEEKDAY($A49,1))=1,"Working","Weekend")))</f>
        <v>Weekend</v>
      </c>
      <c r="D49" s="341">
        <f>IF($A49="","",SUMIFS('Timesheet Raw'!$P$4:$P$8000,'Timesheet Raw'!$L$4:$L$8000,$A49,'Timesheet Raw'!$C$4:$C$8000,D$3,'Timesheet Raw'!$A$4:$A$8000,"1-Projects"))</f>
        <v>0</v>
      </c>
      <c r="E49" s="341">
        <f>IF($A49="","",SUMIFS('Timesheet Raw'!$P$4:$P$8000,'Timesheet Raw'!$L$4:$L$8000,$A49,'Timesheet Raw'!$C$4:$C$8000,D$3,'Timesheet Raw'!$A$4:$A$8000,"2-Proposals Chargeable")+SUMIFS('Timesheet Raw'!$P$4:$P$8000,'Timesheet Raw'!$L$4:$L$8000,$A49,'Timesheet Raw'!$C$4:$C$8000,D$3,'Timesheet Raw'!$A$4:$A$8000,"3-Proposals Regular"))</f>
        <v>0</v>
      </c>
      <c r="F49" s="341">
        <f>IF($A49="","",SUMIFS('Timesheet Raw'!$P$4:$P$8000,'Timesheet Raw'!$L$4:$L$8000,$A49,'Timesheet Raw'!$C$4:$C$8000,D$3,'Timesheet Raw'!$B$4:$B$8000,'Work Calendar'!$A$26)+SUMIFS('Timesheet Raw'!$P$4:$P$8000,'Timesheet Raw'!$L$4:$L$8000,$A49,'Timesheet Raw'!$C$4:$C$8000,D$3,'Timesheet Raw'!$B$4:$B$8000,'Work Calendar'!$A$27)+SUMIFS('Timesheet Raw'!$P$4:$P$8000,'Timesheet Raw'!$L$4:$L$8000,$A49,'Timesheet Raw'!$C$4:$C$8000,D$3,'Timesheet Raw'!$B$4:$B$8000,'Work Calendar'!$A$28)+SUMIFS('Timesheet Raw'!$P$4:$P$8000,'Timesheet Raw'!$L$4:$L$8000,$A49,'Timesheet Raw'!$C$4:$C$8000,D$3,'Timesheet Raw'!$B$4:$B$8000,'Work Calendar'!$A$29))</f>
        <v>0</v>
      </c>
      <c r="G49" s="341">
        <f t="shared" si="1"/>
        <v>0</v>
      </c>
      <c r="H49" s="395">
        <f>IF($A49="","",SUMIFS('Timesheet Raw'!$K$4:$K$8000,'Timesheet Raw'!$L$4:$L$8000,$A49,'Timesheet Raw'!$C$4:$C$8000,D$3))</f>
        <v>0</v>
      </c>
      <c r="I49" s="345">
        <f>IF($A49="","",SUMIFS('Timesheet Raw'!$P$4:$P$8000,'Timesheet Raw'!$L$4:$L$8000,$A49,'Timesheet Raw'!$C$4:$C$8000,D$3))</f>
        <v>0</v>
      </c>
      <c r="J49" s="375"/>
      <c r="K49" t="str">
        <f>IF($A49="","",IF(J49&lt;&gt;"",J49,IF($A49&gt;'Work Calendar'!$B$17,"No data yet",IF(AND(F49&gt;='Work Calendar'!$B$14,D49+E49+G49&gt;0),"Day off - but worked",IF(F49&gt;='Work Calendar'!$B$14,"Day off",IF(D49+E49+G49&gt;0,IF($C49="Working","Charged","Worked weekend"),IF($C49="Working","Leave (not charged)",$C49)))))))</f>
        <v>Weekend</v>
      </c>
      <c r="L49" s="341">
        <f>IF($A49="","",SUMIFS('Timesheet Raw'!$P$4:$P$8000,'Timesheet Raw'!$L$4:$L$8000,$A49,'Timesheet Raw'!$C$4:$C$8000,L$3,'Timesheet Raw'!$A$4:$A$8000,"1-Projects"))</f>
        <v>0</v>
      </c>
      <c r="M49" s="341">
        <f>IF($A49="","",SUMIFS('Timesheet Raw'!$P$4:$P$8000,'Timesheet Raw'!$L$4:$L$8000,$A49,'Timesheet Raw'!$C$4:$C$8000,L$3,'Timesheet Raw'!$A$4:$A$8000,"2-Proposals Chargeable")+SUMIFS('Timesheet Raw'!$P$4:$P$8000,'Timesheet Raw'!$L$4:$L$8000,$A49,'Timesheet Raw'!$C$4:$C$8000,L$3,'Timesheet Raw'!$A$4:$A$8000,"3-Proposals Regular"))</f>
        <v>0</v>
      </c>
      <c r="N49" s="341">
        <f>IF($A49="","",SUMIFS('Timesheet Raw'!$P$4:$P$8000,'Timesheet Raw'!$L$4:$L$8000,$A49,'Timesheet Raw'!$C$4:$C$8000,L$3,'Timesheet Raw'!$B$4:$B$8000,'Work Calendar'!$A$26)+SUMIFS('Timesheet Raw'!$P$4:$P$8000,'Timesheet Raw'!$L$4:$L$8000,$A49,'Timesheet Raw'!$C$4:$C$8000,L$3,'Timesheet Raw'!$B$4:$B$8000,'Work Calendar'!$A$27)+SUMIFS('Timesheet Raw'!$P$4:$P$8000,'Timesheet Raw'!$L$4:$L$8000,$A49,'Timesheet Raw'!$C$4:$C$8000,L$3,'Timesheet Raw'!$B$4:$B$8000,'Work Calendar'!$A$28)+SUMIFS('Timesheet Raw'!$P$4:$P$8000,'Timesheet Raw'!$L$4:$L$8000,$A49,'Timesheet Raw'!$C$4:$C$8000,L$3,'Timesheet Raw'!$B$4:$B$8000,'Work Calendar'!$A$29))</f>
        <v>0</v>
      </c>
      <c r="O49" s="341">
        <f t="shared" si="2"/>
        <v>0</v>
      </c>
      <c r="P49" s="395">
        <f>IF($A49="","",SUMIFS('Timesheet Raw'!$K$4:$K$8000,'Timesheet Raw'!$L$4:$L$8000,$A49,'Timesheet Raw'!$C$4:$C$8000,L$3))</f>
        <v>0</v>
      </c>
      <c r="Q49" s="345">
        <f>IF($A49="","",SUMIFS('Timesheet Raw'!$P$4:$P$8000,'Timesheet Raw'!$L$4:$L$8000,$A49,'Timesheet Raw'!$C$4:$C$8000,L$3))</f>
        <v>0</v>
      </c>
      <c r="R49" s="375"/>
      <c r="S49" t="str">
        <f>IF($A49="","",IF(R49&lt;&gt;"",R49,IF($A49&gt;'Work Calendar'!$B$17,"No data yet",IF(AND(N49&gt;='Work Calendar'!$B$14,L49+M49+O49&gt;0),"Day off - but worked",IF(N49&gt;='Work Calendar'!$B$14,"Day off",IF(L49+M49+O49&gt;0,IF($C49="Working","Charged","Worked weekend"),IF($C49="Working","Leave (not charged)",$C49)))))))</f>
        <v>Weekend</v>
      </c>
      <c r="T49" s="341">
        <f>IF($A49="","",SUMIFS('Timesheet Raw'!$P$4:$P$8000,'Timesheet Raw'!$L$4:$L$8000,$A49,'Timesheet Raw'!$C$4:$C$8000,T$3,'Timesheet Raw'!$A$4:$A$8000,"1-Projects"))</f>
        <v>0</v>
      </c>
      <c r="U49" s="341">
        <f>IF($A49="","",SUMIFS('Timesheet Raw'!$P$4:$P$8000,'Timesheet Raw'!$L$4:$L$8000,$A49,'Timesheet Raw'!$C$4:$C$8000,T$3,'Timesheet Raw'!$A$4:$A$8000,"2-Proposals Chargeable")+SUMIFS('Timesheet Raw'!$P$4:$P$8000,'Timesheet Raw'!$L$4:$L$8000,$A49,'Timesheet Raw'!$C$4:$C$8000,T$3,'Timesheet Raw'!$A$4:$A$8000,"3-Proposals Regular"))</f>
        <v>0</v>
      </c>
      <c r="V49" s="341">
        <f>IF($A49="","",SUMIFS('Timesheet Raw'!$P$4:$P$8000,'Timesheet Raw'!$L$4:$L$8000,$A49,'Timesheet Raw'!$C$4:$C$8000,T$3,'Timesheet Raw'!$B$4:$B$8000,'Work Calendar'!$A$26)+SUMIFS('Timesheet Raw'!$P$4:$P$8000,'Timesheet Raw'!$L$4:$L$8000,$A49,'Timesheet Raw'!$C$4:$C$8000,T$3,'Timesheet Raw'!$B$4:$B$8000,'Work Calendar'!$A$27)+SUMIFS('Timesheet Raw'!$P$4:$P$8000,'Timesheet Raw'!$L$4:$L$8000,$A49,'Timesheet Raw'!$C$4:$C$8000,T$3,'Timesheet Raw'!$B$4:$B$8000,'Work Calendar'!$A$28)+SUMIFS('Timesheet Raw'!$P$4:$P$8000,'Timesheet Raw'!$L$4:$L$8000,$A49,'Timesheet Raw'!$C$4:$C$8000,T$3,'Timesheet Raw'!$B$4:$B$8000,'Work Calendar'!$A$29))</f>
        <v>0</v>
      </c>
      <c r="W49" s="341">
        <f t="shared" si="3"/>
        <v>0</v>
      </c>
      <c r="X49" s="395">
        <f>IF($A49="","",SUMIFS('Timesheet Raw'!$K$4:$K$8000,'Timesheet Raw'!$L$4:$L$8000,$A49,'Timesheet Raw'!$C$4:$C$8000,T$3))</f>
        <v>0</v>
      </c>
      <c r="Y49" s="345">
        <f>IF($A49="","",SUMIFS('Timesheet Raw'!$P$4:$P$8000,'Timesheet Raw'!$L$4:$L$8000,$A49,'Timesheet Raw'!$C$4:$C$8000,T$3))</f>
        <v>0</v>
      </c>
      <c r="Z49" s="375"/>
      <c r="AA49" t="str">
        <f>IF($A49="","",IF(Z49&lt;&gt;"",Z49,IF($A49&gt;'Work Calendar'!$B$17,"No data yet",IF(AND(V49&gt;='Work Calendar'!$B$14,T49+U49+W49&gt;0),"Day off - but worked",IF(V49&gt;='Work Calendar'!$B$14,"Day off",IF(T49+U49+W49&gt;0,IF($C49="Working","Charged","Worked weekend"),IF($C49="Working","Leave (not charged)",$C49)))))))</f>
        <v>Weekend</v>
      </c>
    </row>
    <row r="50" spans="1:27" x14ac:dyDescent="0.3">
      <c r="A50" s="371">
        <f>IF($A49="","",IF($A49+1&gt;'Work Calendar'!$B$16,"",$A49+1))</f>
        <v>46068</v>
      </c>
      <c r="B50" t="str">
        <f t="shared" si="0"/>
        <v>Sun</v>
      </c>
      <c r="C50" t="str" cm="1">
        <f t="array" ref="C50">IF($A50="","",IF(COUNTIF('Work Calendar'!$E$6:$E$200,$A50)&gt;0,"Holiday",IF(INDEX('Work Calendar'!$C$6:$C$12,WEEKDAY($A50,1))=1,"Working","Weekend")))</f>
        <v>Working</v>
      </c>
      <c r="D50" s="341">
        <f>IF($A50="","",SUMIFS('Timesheet Raw'!$P$4:$P$8000,'Timesheet Raw'!$L$4:$L$8000,$A50,'Timesheet Raw'!$C$4:$C$8000,D$3,'Timesheet Raw'!$A$4:$A$8000,"1-Projects"))</f>
        <v>0</v>
      </c>
      <c r="E50" s="341">
        <f>IF($A50="","",SUMIFS('Timesheet Raw'!$P$4:$P$8000,'Timesheet Raw'!$L$4:$L$8000,$A50,'Timesheet Raw'!$C$4:$C$8000,D$3,'Timesheet Raw'!$A$4:$A$8000,"2-Proposals Chargeable")+SUMIFS('Timesheet Raw'!$P$4:$P$8000,'Timesheet Raw'!$L$4:$L$8000,$A50,'Timesheet Raw'!$C$4:$C$8000,D$3,'Timesheet Raw'!$A$4:$A$8000,"3-Proposals Regular"))</f>
        <v>0</v>
      </c>
      <c r="F50" s="341">
        <f>IF($A50="","",SUMIFS('Timesheet Raw'!$P$4:$P$8000,'Timesheet Raw'!$L$4:$L$8000,$A50,'Timesheet Raw'!$C$4:$C$8000,D$3,'Timesheet Raw'!$B$4:$B$8000,'Work Calendar'!$A$26)+SUMIFS('Timesheet Raw'!$P$4:$P$8000,'Timesheet Raw'!$L$4:$L$8000,$A50,'Timesheet Raw'!$C$4:$C$8000,D$3,'Timesheet Raw'!$B$4:$B$8000,'Work Calendar'!$A$27)+SUMIFS('Timesheet Raw'!$P$4:$P$8000,'Timesheet Raw'!$L$4:$L$8000,$A50,'Timesheet Raw'!$C$4:$C$8000,D$3,'Timesheet Raw'!$B$4:$B$8000,'Work Calendar'!$A$28)+SUMIFS('Timesheet Raw'!$P$4:$P$8000,'Timesheet Raw'!$L$4:$L$8000,$A50,'Timesheet Raw'!$C$4:$C$8000,D$3,'Timesheet Raw'!$B$4:$B$8000,'Work Calendar'!$A$29))</f>
        <v>8.5</v>
      </c>
      <c r="G50" s="341">
        <f t="shared" si="1"/>
        <v>0</v>
      </c>
      <c r="H50" s="395">
        <f>IF($A50="","",SUMIFS('Timesheet Raw'!$K$4:$K$8000,'Timesheet Raw'!$L$4:$L$8000,$A50,'Timesheet Raw'!$C$4:$C$8000,D$3))</f>
        <v>0</v>
      </c>
      <c r="I50" s="345">
        <f>IF($A50="","",SUMIFS('Timesheet Raw'!$P$4:$P$8000,'Timesheet Raw'!$L$4:$L$8000,$A50,'Timesheet Raw'!$C$4:$C$8000,D$3))</f>
        <v>8.5</v>
      </c>
      <c r="J50" s="375"/>
      <c r="K50" t="str">
        <f>IF($A50="","",IF(J50&lt;&gt;"",J50,IF($A50&gt;'Work Calendar'!$B$17,"No data yet",IF(AND(F50&gt;='Work Calendar'!$B$14,D50+E50+G50&gt;0),"Day off - but worked",IF(F50&gt;='Work Calendar'!$B$14,"Day off",IF(D50+E50+G50&gt;0,IF($C50="Working","Charged","Worked weekend"),IF($C50="Working","Leave (not charged)",$C50)))))))</f>
        <v>Day off</v>
      </c>
      <c r="L50" s="341">
        <f>IF($A50="","",SUMIFS('Timesheet Raw'!$P$4:$P$8000,'Timesheet Raw'!$L$4:$L$8000,$A50,'Timesheet Raw'!$C$4:$C$8000,L$3,'Timesheet Raw'!$A$4:$A$8000,"1-Projects"))</f>
        <v>0</v>
      </c>
      <c r="M50" s="341">
        <f>IF($A50="","",SUMIFS('Timesheet Raw'!$P$4:$P$8000,'Timesheet Raw'!$L$4:$L$8000,$A50,'Timesheet Raw'!$C$4:$C$8000,L$3,'Timesheet Raw'!$A$4:$A$8000,"2-Proposals Chargeable")+SUMIFS('Timesheet Raw'!$P$4:$P$8000,'Timesheet Raw'!$L$4:$L$8000,$A50,'Timesheet Raw'!$C$4:$C$8000,L$3,'Timesheet Raw'!$A$4:$A$8000,"3-Proposals Regular"))</f>
        <v>0</v>
      </c>
      <c r="N50" s="341">
        <f>IF($A50="","",SUMIFS('Timesheet Raw'!$P$4:$P$8000,'Timesheet Raw'!$L$4:$L$8000,$A50,'Timesheet Raw'!$C$4:$C$8000,L$3,'Timesheet Raw'!$B$4:$B$8000,'Work Calendar'!$A$26)+SUMIFS('Timesheet Raw'!$P$4:$P$8000,'Timesheet Raw'!$L$4:$L$8000,$A50,'Timesheet Raw'!$C$4:$C$8000,L$3,'Timesheet Raw'!$B$4:$B$8000,'Work Calendar'!$A$27)+SUMIFS('Timesheet Raw'!$P$4:$P$8000,'Timesheet Raw'!$L$4:$L$8000,$A50,'Timesheet Raw'!$C$4:$C$8000,L$3,'Timesheet Raw'!$B$4:$B$8000,'Work Calendar'!$A$28)+SUMIFS('Timesheet Raw'!$P$4:$P$8000,'Timesheet Raw'!$L$4:$L$8000,$A50,'Timesheet Raw'!$C$4:$C$8000,L$3,'Timesheet Raw'!$B$4:$B$8000,'Work Calendar'!$A$29))</f>
        <v>8.5</v>
      </c>
      <c r="O50" s="341">
        <f t="shared" si="2"/>
        <v>0</v>
      </c>
      <c r="P50" s="395">
        <f>IF($A50="","",SUMIFS('Timesheet Raw'!$K$4:$K$8000,'Timesheet Raw'!$L$4:$L$8000,$A50,'Timesheet Raw'!$C$4:$C$8000,L$3))</f>
        <v>0</v>
      </c>
      <c r="Q50" s="345">
        <f>IF($A50="","",SUMIFS('Timesheet Raw'!$P$4:$P$8000,'Timesheet Raw'!$L$4:$L$8000,$A50,'Timesheet Raw'!$C$4:$C$8000,L$3))</f>
        <v>8.5</v>
      </c>
      <c r="R50" s="375"/>
      <c r="S50" t="str">
        <f>IF($A50="","",IF(R50&lt;&gt;"",R50,IF($A50&gt;'Work Calendar'!$B$17,"No data yet",IF(AND(N50&gt;='Work Calendar'!$B$14,L50+M50+O50&gt;0),"Day off - but worked",IF(N50&gt;='Work Calendar'!$B$14,"Day off",IF(L50+M50+O50&gt;0,IF($C50="Working","Charged","Worked weekend"),IF($C50="Working","Leave (not charged)",$C50)))))))</f>
        <v>Day off</v>
      </c>
      <c r="T50" s="341">
        <f>IF($A50="","",SUMIFS('Timesheet Raw'!$P$4:$P$8000,'Timesheet Raw'!$L$4:$L$8000,$A50,'Timesheet Raw'!$C$4:$C$8000,T$3,'Timesheet Raw'!$A$4:$A$8000,"1-Projects"))</f>
        <v>7.5</v>
      </c>
      <c r="U50" s="341">
        <f>IF($A50="","",SUMIFS('Timesheet Raw'!$P$4:$P$8000,'Timesheet Raw'!$L$4:$L$8000,$A50,'Timesheet Raw'!$C$4:$C$8000,T$3,'Timesheet Raw'!$A$4:$A$8000,"2-Proposals Chargeable")+SUMIFS('Timesheet Raw'!$P$4:$P$8000,'Timesheet Raw'!$L$4:$L$8000,$A50,'Timesheet Raw'!$C$4:$C$8000,T$3,'Timesheet Raw'!$A$4:$A$8000,"3-Proposals Regular"))</f>
        <v>0</v>
      </c>
      <c r="V50" s="341">
        <f>IF($A50="","",SUMIFS('Timesheet Raw'!$P$4:$P$8000,'Timesheet Raw'!$L$4:$L$8000,$A50,'Timesheet Raw'!$C$4:$C$8000,T$3,'Timesheet Raw'!$B$4:$B$8000,'Work Calendar'!$A$26)+SUMIFS('Timesheet Raw'!$P$4:$P$8000,'Timesheet Raw'!$L$4:$L$8000,$A50,'Timesheet Raw'!$C$4:$C$8000,T$3,'Timesheet Raw'!$B$4:$B$8000,'Work Calendar'!$A$27)+SUMIFS('Timesheet Raw'!$P$4:$P$8000,'Timesheet Raw'!$L$4:$L$8000,$A50,'Timesheet Raw'!$C$4:$C$8000,T$3,'Timesheet Raw'!$B$4:$B$8000,'Work Calendar'!$A$28)+SUMIFS('Timesheet Raw'!$P$4:$P$8000,'Timesheet Raw'!$L$4:$L$8000,$A50,'Timesheet Raw'!$C$4:$C$8000,T$3,'Timesheet Raw'!$B$4:$B$8000,'Work Calendar'!$A$29))</f>
        <v>1</v>
      </c>
      <c r="W50" s="341">
        <f t="shared" si="3"/>
        <v>0</v>
      </c>
      <c r="X50" s="395">
        <f>IF($A50="","",SUMIFS('Timesheet Raw'!$K$4:$K$8000,'Timesheet Raw'!$L$4:$L$8000,$A50,'Timesheet Raw'!$C$4:$C$8000,T$3))</f>
        <v>0</v>
      </c>
      <c r="Y50" s="345">
        <f>IF($A50="","",SUMIFS('Timesheet Raw'!$P$4:$P$8000,'Timesheet Raw'!$L$4:$L$8000,$A50,'Timesheet Raw'!$C$4:$C$8000,T$3))</f>
        <v>8.5</v>
      </c>
      <c r="Z50" s="375"/>
      <c r="AA50" t="str">
        <f>IF($A50="","",IF(Z50&lt;&gt;"",Z50,IF($A50&gt;'Work Calendar'!$B$17,"No data yet",IF(AND(V50&gt;='Work Calendar'!$B$14,T50+U50+W50&gt;0),"Day off - but worked",IF(V50&gt;='Work Calendar'!$B$14,"Day off",IF(T50+U50+W50&gt;0,IF($C50="Working","Charged","Worked weekend"),IF($C50="Working","Leave (not charged)",$C50)))))))</f>
        <v>Charged</v>
      </c>
    </row>
    <row r="51" spans="1:27" x14ac:dyDescent="0.3">
      <c r="A51" s="371">
        <f>IF($A50="","",IF($A50+1&gt;'Work Calendar'!$B$16,"",$A50+1))</f>
        <v>46069</v>
      </c>
      <c r="B51" t="str">
        <f t="shared" si="0"/>
        <v>Mon</v>
      </c>
      <c r="C51" t="str" cm="1">
        <f t="array" ref="C51">IF($A51="","",IF(COUNTIF('Work Calendar'!$E$6:$E$200,$A51)&gt;0,"Holiday",IF(INDEX('Work Calendar'!$C$6:$C$12,WEEKDAY($A51,1))=1,"Working","Weekend")))</f>
        <v>Working</v>
      </c>
      <c r="D51" s="341">
        <f>IF($A51="","",SUMIFS('Timesheet Raw'!$P$4:$P$8000,'Timesheet Raw'!$L$4:$L$8000,$A51,'Timesheet Raw'!$C$4:$C$8000,D$3,'Timesheet Raw'!$A$4:$A$8000,"1-Projects"))</f>
        <v>0</v>
      </c>
      <c r="E51" s="341">
        <f>IF($A51="","",SUMIFS('Timesheet Raw'!$P$4:$P$8000,'Timesheet Raw'!$L$4:$L$8000,$A51,'Timesheet Raw'!$C$4:$C$8000,D$3,'Timesheet Raw'!$A$4:$A$8000,"2-Proposals Chargeable")+SUMIFS('Timesheet Raw'!$P$4:$P$8000,'Timesheet Raw'!$L$4:$L$8000,$A51,'Timesheet Raw'!$C$4:$C$8000,D$3,'Timesheet Raw'!$A$4:$A$8000,"3-Proposals Regular"))</f>
        <v>0</v>
      </c>
      <c r="F51" s="341">
        <f>IF($A51="","",SUMIFS('Timesheet Raw'!$P$4:$P$8000,'Timesheet Raw'!$L$4:$L$8000,$A51,'Timesheet Raw'!$C$4:$C$8000,D$3,'Timesheet Raw'!$B$4:$B$8000,'Work Calendar'!$A$26)+SUMIFS('Timesheet Raw'!$P$4:$P$8000,'Timesheet Raw'!$L$4:$L$8000,$A51,'Timesheet Raw'!$C$4:$C$8000,D$3,'Timesheet Raw'!$B$4:$B$8000,'Work Calendar'!$A$27)+SUMIFS('Timesheet Raw'!$P$4:$P$8000,'Timesheet Raw'!$L$4:$L$8000,$A51,'Timesheet Raw'!$C$4:$C$8000,D$3,'Timesheet Raw'!$B$4:$B$8000,'Work Calendar'!$A$28)+SUMIFS('Timesheet Raw'!$P$4:$P$8000,'Timesheet Raw'!$L$4:$L$8000,$A51,'Timesheet Raw'!$C$4:$C$8000,D$3,'Timesheet Raw'!$B$4:$B$8000,'Work Calendar'!$A$29))</f>
        <v>8.5</v>
      </c>
      <c r="G51" s="341">
        <f t="shared" si="1"/>
        <v>0</v>
      </c>
      <c r="H51" s="395">
        <f>IF($A51="","",SUMIFS('Timesheet Raw'!$K$4:$K$8000,'Timesheet Raw'!$L$4:$L$8000,$A51,'Timesheet Raw'!$C$4:$C$8000,D$3))</f>
        <v>0</v>
      </c>
      <c r="I51" s="345">
        <f>IF($A51="","",SUMIFS('Timesheet Raw'!$P$4:$P$8000,'Timesheet Raw'!$L$4:$L$8000,$A51,'Timesheet Raw'!$C$4:$C$8000,D$3))</f>
        <v>8.5</v>
      </c>
      <c r="J51" s="375"/>
      <c r="K51" t="str">
        <f>IF($A51="","",IF(J51&lt;&gt;"",J51,IF($A51&gt;'Work Calendar'!$B$17,"No data yet",IF(AND(F51&gt;='Work Calendar'!$B$14,D51+E51+G51&gt;0),"Day off - but worked",IF(F51&gt;='Work Calendar'!$B$14,"Day off",IF(D51+E51+G51&gt;0,IF($C51="Working","Charged","Worked weekend"),IF($C51="Working","Leave (not charged)",$C51)))))))</f>
        <v>Day off</v>
      </c>
      <c r="L51" s="341">
        <f>IF($A51="","",SUMIFS('Timesheet Raw'!$P$4:$P$8000,'Timesheet Raw'!$L$4:$L$8000,$A51,'Timesheet Raw'!$C$4:$C$8000,L$3,'Timesheet Raw'!$A$4:$A$8000,"1-Projects"))</f>
        <v>8</v>
      </c>
      <c r="M51" s="341">
        <f>IF($A51="","",SUMIFS('Timesheet Raw'!$P$4:$P$8000,'Timesheet Raw'!$L$4:$L$8000,$A51,'Timesheet Raw'!$C$4:$C$8000,L$3,'Timesheet Raw'!$A$4:$A$8000,"2-Proposals Chargeable")+SUMIFS('Timesheet Raw'!$P$4:$P$8000,'Timesheet Raw'!$L$4:$L$8000,$A51,'Timesheet Raw'!$C$4:$C$8000,L$3,'Timesheet Raw'!$A$4:$A$8000,"3-Proposals Regular"))</f>
        <v>0</v>
      </c>
      <c r="N51" s="341">
        <f>IF($A51="","",SUMIFS('Timesheet Raw'!$P$4:$P$8000,'Timesheet Raw'!$L$4:$L$8000,$A51,'Timesheet Raw'!$C$4:$C$8000,L$3,'Timesheet Raw'!$B$4:$B$8000,'Work Calendar'!$A$26)+SUMIFS('Timesheet Raw'!$P$4:$P$8000,'Timesheet Raw'!$L$4:$L$8000,$A51,'Timesheet Raw'!$C$4:$C$8000,L$3,'Timesheet Raw'!$B$4:$B$8000,'Work Calendar'!$A$27)+SUMIFS('Timesheet Raw'!$P$4:$P$8000,'Timesheet Raw'!$L$4:$L$8000,$A51,'Timesheet Raw'!$C$4:$C$8000,L$3,'Timesheet Raw'!$B$4:$B$8000,'Work Calendar'!$A$28)+SUMIFS('Timesheet Raw'!$P$4:$P$8000,'Timesheet Raw'!$L$4:$L$8000,$A51,'Timesheet Raw'!$C$4:$C$8000,L$3,'Timesheet Raw'!$B$4:$B$8000,'Work Calendar'!$A$29))</f>
        <v>0.75</v>
      </c>
      <c r="O51" s="341">
        <f t="shared" si="2"/>
        <v>0</v>
      </c>
      <c r="P51" s="395">
        <f>IF($A51="","",SUMIFS('Timesheet Raw'!$K$4:$K$8000,'Timesheet Raw'!$L$4:$L$8000,$A51,'Timesheet Raw'!$C$4:$C$8000,L$3))</f>
        <v>0.25</v>
      </c>
      <c r="Q51" s="345">
        <f>IF($A51="","",SUMIFS('Timesheet Raw'!$P$4:$P$8000,'Timesheet Raw'!$L$4:$L$8000,$A51,'Timesheet Raw'!$C$4:$C$8000,L$3))</f>
        <v>8.75</v>
      </c>
      <c r="R51" s="375"/>
      <c r="S51" t="str">
        <f>IF($A51="","",IF(R51&lt;&gt;"",R51,IF($A51&gt;'Work Calendar'!$B$17,"No data yet",IF(AND(N51&gt;='Work Calendar'!$B$14,L51+M51+O51&gt;0),"Day off - but worked",IF(N51&gt;='Work Calendar'!$B$14,"Day off",IF(L51+M51+O51&gt;0,IF($C51="Working","Charged","Worked weekend"),IF($C51="Working","Leave (not charged)",$C51)))))))</f>
        <v>Charged</v>
      </c>
      <c r="T51" s="341">
        <f>IF($A51="","",SUMIFS('Timesheet Raw'!$P$4:$P$8000,'Timesheet Raw'!$L$4:$L$8000,$A51,'Timesheet Raw'!$C$4:$C$8000,T$3,'Timesheet Raw'!$A$4:$A$8000,"1-Projects"))</f>
        <v>8.25</v>
      </c>
      <c r="U51" s="341">
        <f>IF($A51="","",SUMIFS('Timesheet Raw'!$P$4:$P$8000,'Timesheet Raw'!$L$4:$L$8000,$A51,'Timesheet Raw'!$C$4:$C$8000,T$3,'Timesheet Raw'!$A$4:$A$8000,"2-Proposals Chargeable")+SUMIFS('Timesheet Raw'!$P$4:$P$8000,'Timesheet Raw'!$L$4:$L$8000,$A51,'Timesheet Raw'!$C$4:$C$8000,T$3,'Timesheet Raw'!$A$4:$A$8000,"3-Proposals Regular"))</f>
        <v>0</v>
      </c>
      <c r="V51" s="341">
        <f>IF($A51="","",SUMIFS('Timesheet Raw'!$P$4:$P$8000,'Timesheet Raw'!$L$4:$L$8000,$A51,'Timesheet Raw'!$C$4:$C$8000,T$3,'Timesheet Raw'!$B$4:$B$8000,'Work Calendar'!$A$26)+SUMIFS('Timesheet Raw'!$P$4:$P$8000,'Timesheet Raw'!$L$4:$L$8000,$A51,'Timesheet Raw'!$C$4:$C$8000,T$3,'Timesheet Raw'!$B$4:$B$8000,'Work Calendar'!$A$27)+SUMIFS('Timesheet Raw'!$P$4:$P$8000,'Timesheet Raw'!$L$4:$L$8000,$A51,'Timesheet Raw'!$C$4:$C$8000,T$3,'Timesheet Raw'!$B$4:$B$8000,'Work Calendar'!$A$28)+SUMIFS('Timesheet Raw'!$P$4:$P$8000,'Timesheet Raw'!$L$4:$L$8000,$A51,'Timesheet Raw'!$C$4:$C$8000,T$3,'Timesheet Raw'!$B$4:$B$8000,'Work Calendar'!$A$29))</f>
        <v>0.5</v>
      </c>
      <c r="W51" s="341">
        <f t="shared" si="3"/>
        <v>0</v>
      </c>
      <c r="X51" s="395">
        <f>IF($A51="","",SUMIFS('Timesheet Raw'!$K$4:$K$8000,'Timesheet Raw'!$L$4:$L$8000,$A51,'Timesheet Raw'!$C$4:$C$8000,T$3))</f>
        <v>0.25</v>
      </c>
      <c r="Y51" s="345">
        <f>IF($A51="","",SUMIFS('Timesheet Raw'!$P$4:$P$8000,'Timesheet Raw'!$L$4:$L$8000,$A51,'Timesheet Raw'!$C$4:$C$8000,T$3))</f>
        <v>8.75</v>
      </c>
      <c r="Z51" s="375"/>
      <c r="AA51" t="str">
        <f>IF($A51="","",IF(Z51&lt;&gt;"",Z51,IF($A51&gt;'Work Calendar'!$B$17,"No data yet",IF(AND(V51&gt;='Work Calendar'!$B$14,T51+U51+W51&gt;0),"Day off - but worked",IF(V51&gt;='Work Calendar'!$B$14,"Day off",IF(T51+U51+W51&gt;0,IF($C51="Working","Charged","Worked weekend"),IF($C51="Working","Leave (not charged)",$C51)))))))</f>
        <v>Charged</v>
      </c>
    </row>
    <row r="52" spans="1:27" x14ac:dyDescent="0.3">
      <c r="A52" s="371">
        <f>IF($A51="","",IF($A51+1&gt;'Work Calendar'!$B$16,"",$A51+1))</f>
        <v>46070</v>
      </c>
      <c r="B52" t="str">
        <f t="shared" si="0"/>
        <v>Tue</v>
      </c>
      <c r="C52" t="str" cm="1">
        <f t="array" ref="C52">IF($A52="","",IF(COUNTIF('Work Calendar'!$E$6:$E$200,$A52)&gt;0,"Holiday",IF(INDEX('Work Calendar'!$C$6:$C$12,WEEKDAY($A52,1))=1,"Working","Weekend")))</f>
        <v>Working</v>
      </c>
      <c r="D52" s="341">
        <f>IF($A52="","",SUMIFS('Timesheet Raw'!$P$4:$P$8000,'Timesheet Raw'!$L$4:$L$8000,$A52,'Timesheet Raw'!$C$4:$C$8000,D$3,'Timesheet Raw'!$A$4:$A$8000,"1-Projects"))</f>
        <v>8.75</v>
      </c>
      <c r="E52" s="341">
        <f>IF($A52="","",SUMIFS('Timesheet Raw'!$P$4:$P$8000,'Timesheet Raw'!$L$4:$L$8000,$A52,'Timesheet Raw'!$C$4:$C$8000,D$3,'Timesheet Raw'!$A$4:$A$8000,"2-Proposals Chargeable")+SUMIFS('Timesheet Raw'!$P$4:$P$8000,'Timesheet Raw'!$L$4:$L$8000,$A52,'Timesheet Raw'!$C$4:$C$8000,D$3,'Timesheet Raw'!$A$4:$A$8000,"3-Proposals Regular"))</f>
        <v>0</v>
      </c>
      <c r="F52" s="341">
        <f>IF($A52="","",SUMIFS('Timesheet Raw'!$P$4:$P$8000,'Timesheet Raw'!$L$4:$L$8000,$A52,'Timesheet Raw'!$C$4:$C$8000,D$3,'Timesheet Raw'!$B$4:$B$8000,'Work Calendar'!$A$26)+SUMIFS('Timesheet Raw'!$P$4:$P$8000,'Timesheet Raw'!$L$4:$L$8000,$A52,'Timesheet Raw'!$C$4:$C$8000,D$3,'Timesheet Raw'!$B$4:$B$8000,'Work Calendar'!$A$27)+SUMIFS('Timesheet Raw'!$P$4:$P$8000,'Timesheet Raw'!$L$4:$L$8000,$A52,'Timesheet Raw'!$C$4:$C$8000,D$3,'Timesheet Raw'!$B$4:$B$8000,'Work Calendar'!$A$28)+SUMIFS('Timesheet Raw'!$P$4:$P$8000,'Timesheet Raw'!$L$4:$L$8000,$A52,'Timesheet Raw'!$C$4:$C$8000,D$3,'Timesheet Raw'!$B$4:$B$8000,'Work Calendar'!$A$29))</f>
        <v>0.25</v>
      </c>
      <c r="G52" s="341">
        <f t="shared" si="1"/>
        <v>0</v>
      </c>
      <c r="H52" s="395">
        <f>IF($A52="","",SUMIFS('Timesheet Raw'!$K$4:$K$8000,'Timesheet Raw'!$L$4:$L$8000,$A52,'Timesheet Raw'!$C$4:$C$8000,D$3))</f>
        <v>0.5</v>
      </c>
      <c r="I52" s="345">
        <f>IF($A52="","",SUMIFS('Timesheet Raw'!$P$4:$P$8000,'Timesheet Raw'!$L$4:$L$8000,$A52,'Timesheet Raw'!$C$4:$C$8000,D$3))</f>
        <v>9</v>
      </c>
      <c r="J52" s="375"/>
      <c r="K52" t="str">
        <f>IF($A52="","",IF(J52&lt;&gt;"",J52,IF($A52&gt;'Work Calendar'!$B$17,"No data yet",IF(AND(F52&gt;='Work Calendar'!$B$14,D52+E52+G52&gt;0),"Day off - but worked",IF(F52&gt;='Work Calendar'!$B$14,"Day off",IF(D52+E52+G52&gt;0,IF($C52="Working","Charged","Worked weekend"),IF($C52="Working","Leave (not charged)",$C52)))))))</f>
        <v>Charged</v>
      </c>
      <c r="L52" s="341">
        <f>IF($A52="","",SUMIFS('Timesheet Raw'!$P$4:$P$8000,'Timesheet Raw'!$L$4:$L$8000,$A52,'Timesheet Raw'!$C$4:$C$8000,L$3,'Timesheet Raw'!$A$4:$A$8000,"1-Projects"))</f>
        <v>6</v>
      </c>
      <c r="M52" s="341">
        <f>IF($A52="","",SUMIFS('Timesheet Raw'!$P$4:$P$8000,'Timesheet Raw'!$L$4:$L$8000,$A52,'Timesheet Raw'!$C$4:$C$8000,L$3,'Timesheet Raw'!$A$4:$A$8000,"2-Proposals Chargeable")+SUMIFS('Timesheet Raw'!$P$4:$P$8000,'Timesheet Raw'!$L$4:$L$8000,$A52,'Timesheet Raw'!$C$4:$C$8000,L$3,'Timesheet Raw'!$A$4:$A$8000,"3-Proposals Regular"))</f>
        <v>0</v>
      </c>
      <c r="N52" s="341">
        <f>IF($A52="","",SUMIFS('Timesheet Raw'!$P$4:$P$8000,'Timesheet Raw'!$L$4:$L$8000,$A52,'Timesheet Raw'!$C$4:$C$8000,L$3,'Timesheet Raw'!$B$4:$B$8000,'Work Calendar'!$A$26)+SUMIFS('Timesheet Raw'!$P$4:$P$8000,'Timesheet Raw'!$L$4:$L$8000,$A52,'Timesheet Raw'!$C$4:$C$8000,L$3,'Timesheet Raw'!$B$4:$B$8000,'Work Calendar'!$A$27)+SUMIFS('Timesheet Raw'!$P$4:$P$8000,'Timesheet Raw'!$L$4:$L$8000,$A52,'Timesheet Raw'!$C$4:$C$8000,L$3,'Timesheet Raw'!$B$4:$B$8000,'Work Calendar'!$A$28)+SUMIFS('Timesheet Raw'!$P$4:$P$8000,'Timesheet Raw'!$L$4:$L$8000,$A52,'Timesheet Raw'!$C$4:$C$8000,L$3,'Timesheet Raw'!$B$4:$B$8000,'Work Calendar'!$A$29))</f>
        <v>2.5</v>
      </c>
      <c r="O52" s="341">
        <f t="shared" si="2"/>
        <v>0</v>
      </c>
      <c r="P52" s="395">
        <f>IF($A52="","",SUMIFS('Timesheet Raw'!$K$4:$K$8000,'Timesheet Raw'!$L$4:$L$8000,$A52,'Timesheet Raw'!$C$4:$C$8000,L$3))</f>
        <v>0</v>
      </c>
      <c r="Q52" s="345">
        <f>IF($A52="","",SUMIFS('Timesheet Raw'!$P$4:$P$8000,'Timesheet Raw'!$L$4:$L$8000,$A52,'Timesheet Raw'!$C$4:$C$8000,L$3))</f>
        <v>8.5</v>
      </c>
      <c r="R52" s="375"/>
      <c r="S52" t="str">
        <f>IF($A52="","",IF(R52&lt;&gt;"",R52,IF($A52&gt;'Work Calendar'!$B$17,"No data yet",IF(AND(N52&gt;='Work Calendar'!$B$14,L52+M52+O52&gt;0),"Day off - but worked",IF(N52&gt;='Work Calendar'!$B$14,"Day off",IF(L52+M52+O52&gt;0,IF($C52="Working","Charged","Worked weekend"),IF($C52="Working","Leave (not charged)",$C52)))))))</f>
        <v>Charged</v>
      </c>
      <c r="T52" s="341">
        <f>IF($A52="","",SUMIFS('Timesheet Raw'!$P$4:$P$8000,'Timesheet Raw'!$L$4:$L$8000,$A52,'Timesheet Raw'!$C$4:$C$8000,T$3,'Timesheet Raw'!$A$4:$A$8000,"1-Projects"))</f>
        <v>0</v>
      </c>
      <c r="U52" s="341">
        <f>IF($A52="","",SUMIFS('Timesheet Raw'!$P$4:$P$8000,'Timesheet Raw'!$L$4:$L$8000,$A52,'Timesheet Raw'!$C$4:$C$8000,T$3,'Timesheet Raw'!$A$4:$A$8000,"2-Proposals Chargeable")+SUMIFS('Timesheet Raw'!$P$4:$P$8000,'Timesheet Raw'!$L$4:$L$8000,$A52,'Timesheet Raw'!$C$4:$C$8000,T$3,'Timesheet Raw'!$A$4:$A$8000,"3-Proposals Regular"))</f>
        <v>0</v>
      </c>
      <c r="V52" s="341">
        <f>IF($A52="","",SUMIFS('Timesheet Raw'!$P$4:$P$8000,'Timesheet Raw'!$L$4:$L$8000,$A52,'Timesheet Raw'!$C$4:$C$8000,T$3,'Timesheet Raw'!$B$4:$B$8000,'Work Calendar'!$A$26)+SUMIFS('Timesheet Raw'!$P$4:$P$8000,'Timesheet Raw'!$L$4:$L$8000,$A52,'Timesheet Raw'!$C$4:$C$8000,T$3,'Timesheet Raw'!$B$4:$B$8000,'Work Calendar'!$A$27)+SUMIFS('Timesheet Raw'!$P$4:$P$8000,'Timesheet Raw'!$L$4:$L$8000,$A52,'Timesheet Raw'!$C$4:$C$8000,T$3,'Timesheet Raw'!$B$4:$B$8000,'Work Calendar'!$A$28)+SUMIFS('Timesheet Raw'!$P$4:$P$8000,'Timesheet Raw'!$L$4:$L$8000,$A52,'Timesheet Raw'!$C$4:$C$8000,T$3,'Timesheet Raw'!$B$4:$B$8000,'Work Calendar'!$A$29))</f>
        <v>8.5</v>
      </c>
      <c r="W52" s="341">
        <f t="shared" si="3"/>
        <v>0</v>
      </c>
      <c r="X52" s="395">
        <f>IF($A52="","",SUMIFS('Timesheet Raw'!$K$4:$K$8000,'Timesheet Raw'!$L$4:$L$8000,$A52,'Timesheet Raw'!$C$4:$C$8000,T$3))</f>
        <v>0</v>
      </c>
      <c r="Y52" s="345">
        <f>IF($A52="","",SUMIFS('Timesheet Raw'!$P$4:$P$8000,'Timesheet Raw'!$L$4:$L$8000,$A52,'Timesheet Raw'!$C$4:$C$8000,T$3))</f>
        <v>8.5</v>
      </c>
      <c r="Z52" s="375"/>
      <c r="AA52" t="str">
        <f>IF($A52="","",IF(Z52&lt;&gt;"",Z52,IF($A52&gt;'Work Calendar'!$B$17,"No data yet",IF(AND(V52&gt;='Work Calendar'!$B$14,T52+U52+W52&gt;0),"Day off - but worked",IF(V52&gt;='Work Calendar'!$B$14,"Day off",IF(T52+U52+W52&gt;0,IF($C52="Working","Charged","Worked weekend"),IF($C52="Working","Leave (not charged)",$C52)))))))</f>
        <v>Day off</v>
      </c>
    </row>
    <row r="53" spans="1:27" x14ac:dyDescent="0.3">
      <c r="A53" s="371">
        <f>IF($A52="","",IF($A52+1&gt;'Work Calendar'!$B$16,"",$A52+1))</f>
        <v>46071</v>
      </c>
      <c r="B53" t="str">
        <f t="shared" si="0"/>
        <v>Wed</v>
      </c>
      <c r="C53" t="str" cm="1">
        <f t="array" ref="C53">IF($A53="","",IF(COUNTIF('Work Calendar'!$E$6:$E$200,$A53)&gt;0,"Holiday",IF(INDEX('Work Calendar'!$C$6:$C$12,WEEKDAY($A53,1))=1,"Working","Weekend")))</f>
        <v>Working</v>
      </c>
      <c r="D53" s="341">
        <f>IF($A53="","",SUMIFS('Timesheet Raw'!$P$4:$P$8000,'Timesheet Raw'!$L$4:$L$8000,$A53,'Timesheet Raw'!$C$4:$C$8000,D$3,'Timesheet Raw'!$A$4:$A$8000,"1-Projects"))</f>
        <v>9.25</v>
      </c>
      <c r="E53" s="341">
        <f>IF($A53="","",SUMIFS('Timesheet Raw'!$P$4:$P$8000,'Timesheet Raw'!$L$4:$L$8000,$A53,'Timesheet Raw'!$C$4:$C$8000,D$3,'Timesheet Raw'!$A$4:$A$8000,"2-Proposals Chargeable")+SUMIFS('Timesheet Raw'!$P$4:$P$8000,'Timesheet Raw'!$L$4:$L$8000,$A53,'Timesheet Raw'!$C$4:$C$8000,D$3,'Timesheet Raw'!$A$4:$A$8000,"3-Proposals Regular"))</f>
        <v>0</v>
      </c>
      <c r="F53" s="341">
        <f>IF($A53="","",SUMIFS('Timesheet Raw'!$P$4:$P$8000,'Timesheet Raw'!$L$4:$L$8000,$A53,'Timesheet Raw'!$C$4:$C$8000,D$3,'Timesheet Raw'!$B$4:$B$8000,'Work Calendar'!$A$26)+SUMIFS('Timesheet Raw'!$P$4:$P$8000,'Timesheet Raw'!$L$4:$L$8000,$A53,'Timesheet Raw'!$C$4:$C$8000,D$3,'Timesheet Raw'!$B$4:$B$8000,'Work Calendar'!$A$27)+SUMIFS('Timesheet Raw'!$P$4:$P$8000,'Timesheet Raw'!$L$4:$L$8000,$A53,'Timesheet Raw'!$C$4:$C$8000,D$3,'Timesheet Raw'!$B$4:$B$8000,'Work Calendar'!$A$28)+SUMIFS('Timesheet Raw'!$P$4:$P$8000,'Timesheet Raw'!$L$4:$L$8000,$A53,'Timesheet Raw'!$C$4:$C$8000,D$3,'Timesheet Raw'!$B$4:$B$8000,'Work Calendar'!$A$29))</f>
        <v>1.25</v>
      </c>
      <c r="G53" s="341">
        <f t="shared" si="1"/>
        <v>0</v>
      </c>
      <c r="H53" s="395">
        <f>IF($A53="","",SUMIFS('Timesheet Raw'!$K$4:$K$8000,'Timesheet Raw'!$L$4:$L$8000,$A53,'Timesheet Raw'!$C$4:$C$8000,D$3))</f>
        <v>2</v>
      </c>
      <c r="I53" s="345">
        <f>IF($A53="","",SUMIFS('Timesheet Raw'!$P$4:$P$8000,'Timesheet Raw'!$L$4:$L$8000,$A53,'Timesheet Raw'!$C$4:$C$8000,D$3))</f>
        <v>10.5</v>
      </c>
      <c r="J53" s="375"/>
      <c r="K53" t="str">
        <f>IF($A53="","",IF(J53&lt;&gt;"",J53,IF($A53&gt;'Work Calendar'!$B$17,"No data yet",IF(AND(F53&gt;='Work Calendar'!$B$14,D53+E53+G53&gt;0),"Day off - but worked",IF(F53&gt;='Work Calendar'!$B$14,"Day off",IF(D53+E53+G53&gt;0,IF($C53="Working","Charged","Worked weekend"),IF($C53="Working","Leave (not charged)",$C53)))))))</f>
        <v>Charged</v>
      </c>
      <c r="L53" s="341">
        <f>IF($A53="","",SUMIFS('Timesheet Raw'!$P$4:$P$8000,'Timesheet Raw'!$L$4:$L$8000,$A53,'Timesheet Raw'!$C$4:$C$8000,L$3,'Timesheet Raw'!$A$4:$A$8000,"1-Projects"))</f>
        <v>8.75</v>
      </c>
      <c r="M53" s="341">
        <f>IF($A53="","",SUMIFS('Timesheet Raw'!$P$4:$P$8000,'Timesheet Raw'!$L$4:$L$8000,$A53,'Timesheet Raw'!$C$4:$C$8000,L$3,'Timesheet Raw'!$A$4:$A$8000,"2-Proposals Chargeable")+SUMIFS('Timesheet Raw'!$P$4:$P$8000,'Timesheet Raw'!$L$4:$L$8000,$A53,'Timesheet Raw'!$C$4:$C$8000,L$3,'Timesheet Raw'!$A$4:$A$8000,"3-Proposals Regular"))</f>
        <v>0</v>
      </c>
      <c r="N53" s="341">
        <f>IF($A53="","",SUMIFS('Timesheet Raw'!$P$4:$P$8000,'Timesheet Raw'!$L$4:$L$8000,$A53,'Timesheet Raw'!$C$4:$C$8000,L$3,'Timesheet Raw'!$B$4:$B$8000,'Work Calendar'!$A$26)+SUMIFS('Timesheet Raw'!$P$4:$P$8000,'Timesheet Raw'!$L$4:$L$8000,$A53,'Timesheet Raw'!$C$4:$C$8000,L$3,'Timesheet Raw'!$B$4:$B$8000,'Work Calendar'!$A$27)+SUMIFS('Timesheet Raw'!$P$4:$P$8000,'Timesheet Raw'!$L$4:$L$8000,$A53,'Timesheet Raw'!$C$4:$C$8000,L$3,'Timesheet Raw'!$B$4:$B$8000,'Work Calendar'!$A$28)+SUMIFS('Timesheet Raw'!$P$4:$P$8000,'Timesheet Raw'!$L$4:$L$8000,$A53,'Timesheet Raw'!$C$4:$C$8000,L$3,'Timesheet Raw'!$B$4:$B$8000,'Work Calendar'!$A$29))</f>
        <v>0.25</v>
      </c>
      <c r="O53" s="341">
        <f t="shared" si="2"/>
        <v>0</v>
      </c>
      <c r="P53" s="395">
        <f>IF($A53="","",SUMIFS('Timesheet Raw'!$K$4:$K$8000,'Timesheet Raw'!$L$4:$L$8000,$A53,'Timesheet Raw'!$C$4:$C$8000,L$3))</f>
        <v>0.5</v>
      </c>
      <c r="Q53" s="345">
        <f>IF($A53="","",SUMIFS('Timesheet Raw'!$P$4:$P$8000,'Timesheet Raw'!$L$4:$L$8000,$A53,'Timesheet Raw'!$C$4:$C$8000,L$3))</f>
        <v>9</v>
      </c>
      <c r="R53" s="375"/>
      <c r="S53" t="str">
        <f>IF($A53="","",IF(R53&lt;&gt;"",R53,IF($A53&gt;'Work Calendar'!$B$17,"No data yet",IF(AND(N53&gt;='Work Calendar'!$B$14,L53+M53+O53&gt;0),"Day off - but worked",IF(N53&gt;='Work Calendar'!$B$14,"Day off",IF(L53+M53+O53&gt;0,IF($C53="Working","Charged","Worked weekend"),IF($C53="Working","Leave (not charged)",$C53)))))))</f>
        <v>Charged</v>
      </c>
      <c r="T53" s="341">
        <f>IF($A53="","",SUMIFS('Timesheet Raw'!$P$4:$P$8000,'Timesheet Raw'!$L$4:$L$8000,$A53,'Timesheet Raw'!$C$4:$C$8000,T$3,'Timesheet Raw'!$A$4:$A$8000,"1-Projects"))</f>
        <v>10.5</v>
      </c>
      <c r="U53" s="341">
        <f>IF($A53="","",SUMIFS('Timesheet Raw'!$P$4:$P$8000,'Timesheet Raw'!$L$4:$L$8000,$A53,'Timesheet Raw'!$C$4:$C$8000,T$3,'Timesheet Raw'!$A$4:$A$8000,"2-Proposals Chargeable")+SUMIFS('Timesheet Raw'!$P$4:$P$8000,'Timesheet Raw'!$L$4:$L$8000,$A53,'Timesheet Raw'!$C$4:$C$8000,T$3,'Timesheet Raw'!$A$4:$A$8000,"3-Proposals Regular"))</f>
        <v>0</v>
      </c>
      <c r="V53" s="341">
        <f>IF($A53="","",SUMIFS('Timesheet Raw'!$P$4:$P$8000,'Timesheet Raw'!$L$4:$L$8000,$A53,'Timesheet Raw'!$C$4:$C$8000,T$3,'Timesheet Raw'!$B$4:$B$8000,'Work Calendar'!$A$26)+SUMIFS('Timesheet Raw'!$P$4:$P$8000,'Timesheet Raw'!$L$4:$L$8000,$A53,'Timesheet Raw'!$C$4:$C$8000,T$3,'Timesheet Raw'!$B$4:$B$8000,'Work Calendar'!$A$27)+SUMIFS('Timesheet Raw'!$P$4:$P$8000,'Timesheet Raw'!$L$4:$L$8000,$A53,'Timesheet Raw'!$C$4:$C$8000,T$3,'Timesheet Raw'!$B$4:$B$8000,'Work Calendar'!$A$28)+SUMIFS('Timesheet Raw'!$P$4:$P$8000,'Timesheet Raw'!$L$4:$L$8000,$A53,'Timesheet Raw'!$C$4:$C$8000,T$3,'Timesheet Raw'!$B$4:$B$8000,'Work Calendar'!$A$29))</f>
        <v>0.25</v>
      </c>
      <c r="W53" s="341">
        <f t="shared" si="3"/>
        <v>0</v>
      </c>
      <c r="X53" s="395">
        <f>IF($A53="","",SUMIFS('Timesheet Raw'!$K$4:$K$8000,'Timesheet Raw'!$L$4:$L$8000,$A53,'Timesheet Raw'!$C$4:$C$8000,T$3))</f>
        <v>2.25</v>
      </c>
      <c r="Y53" s="345">
        <f>IF($A53="","",SUMIFS('Timesheet Raw'!$P$4:$P$8000,'Timesheet Raw'!$L$4:$L$8000,$A53,'Timesheet Raw'!$C$4:$C$8000,T$3))</f>
        <v>10.75</v>
      </c>
      <c r="Z53" s="375"/>
      <c r="AA53" t="str">
        <f>IF($A53="","",IF(Z53&lt;&gt;"",Z53,IF($A53&gt;'Work Calendar'!$B$17,"No data yet",IF(AND(V53&gt;='Work Calendar'!$B$14,T53+U53+W53&gt;0),"Day off - but worked",IF(V53&gt;='Work Calendar'!$B$14,"Day off",IF(T53+U53+W53&gt;0,IF($C53="Working","Charged","Worked weekend"),IF($C53="Working","Leave (not charged)",$C53)))))))</f>
        <v>Charged</v>
      </c>
    </row>
    <row r="54" spans="1:27" x14ac:dyDescent="0.3">
      <c r="A54" s="371">
        <f>IF($A53="","",IF($A53+1&gt;'Work Calendar'!$B$16,"",$A53+1))</f>
        <v>46072</v>
      </c>
      <c r="B54" t="str">
        <f t="shared" si="0"/>
        <v>Thu</v>
      </c>
      <c r="C54" t="str" cm="1">
        <f t="array" ref="C54">IF($A54="","",IF(COUNTIF('Work Calendar'!$E$6:$E$200,$A54)&gt;0,"Holiday",IF(INDEX('Work Calendar'!$C$6:$C$12,WEEKDAY($A54,1))=1,"Working","Weekend")))</f>
        <v>Working</v>
      </c>
      <c r="D54" s="341">
        <f>IF($A54="","",SUMIFS('Timesheet Raw'!$P$4:$P$8000,'Timesheet Raw'!$L$4:$L$8000,$A54,'Timesheet Raw'!$C$4:$C$8000,D$3,'Timesheet Raw'!$A$4:$A$8000,"1-Projects"))</f>
        <v>7</v>
      </c>
      <c r="E54" s="341">
        <f>IF($A54="","",SUMIFS('Timesheet Raw'!$P$4:$P$8000,'Timesheet Raw'!$L$4:$L$8000,$A54,'Timesheet Raw'!$C$4:$C$8000,D$3,'Timesheet Raw'!$A$4:$A$8000,"2-Proposals Chargeable")+SUMIFS('Timesheet Raw'!$P$4:$P$8000,'Timesheet Raw'!$L$4:$L$8000,$A54,'Timesheet Raw'!$C$4:$C$8000,D$3,'Timesheet Raw'!$A$4:$A$8000,"3-Proposals Regular"))</f>
        <v>0</v>
      </c>
      <c r="F54" s="341">
        <f>IF($A54="","",SUMIFS('Timesheet Raw'!$P$4:$P$8000,'Timesheet Raw'!$L$4:$L$8000,$A54,'Timesheet Raw'!$C$4:$C$8000,D$3,'Timesheet Raw'!$B$4:$B$8000,'Work Calendar'!$A$26)+SUMIFS('Timesheet Raw'!$P$4:$P$8000,'Timesheet Raw'!$L$4:$L$8000,$A54,'Timesheet Raw'!$C$4:$C$8000,D$3,'Timesheet Raw'!$B$4:$B$8000,'Work Calendar'!$A$27)+SUMIFS('Timesheet Raw'!$P$4:$P$8000,'Timesheet Raw'!$L$4:$L$8000,$A54,'Timesheet Raw'!$C$4:$C$8000,D$3,'Timesheet Raw'!$B$4:$B$8000,'Work Calendar'!$A$28)+SUMIFS('Timesheet Raw'!$P$4:$P$8000,'Timesheet Raw'!$L$4:$L$8000,$A54,'Timesheet Raw'!$C$4:$C$8000,D$3,'Timesheet Raw'!$B$4:$B$8000,'Work Calendar'!$A$29))</f>
        <v>0.5</v>
      </c>
      <c r="G54" s="341">
        <f t="shared" si="1"/>
        <v>0</v>
      </c>
      <c r="H54" s="395">
        <f>IF($A54="","",SUMIFS('Timesheet Raw'!$K$4:$K$8000,'Timesheet Raw'!$L$4:$L$8000,$A54,'Timesheet Raw'!$C$4:$C$8000,D$3))</f>
        <v>0</v>
      </c>
      <c r="I54" s="345">
        <f>IF($A54="","",SUMIFS('Timesheet Raw'!$P$4:$P$8000,'Timesheet Raw'!$L$4:$L$8000,$A54,'Timesheet Raw'!$C$4:$C$8000,D$3))</f>
        <v>7.5</v>
      </c>
      <c r="J54" s="375"/>
      <c r="K54" t="str">
        <f>IF($A54="","",IF(J54&lt;&gt;"",J54,IF($A54&gt;'Work Calendar'!$B$17,"No data yet",IF(AND(F54&gt;='Work Calendar'!$B$14,D54+E54+G54&gt;0),"Day off - but worked",IF(F54&gt;='Work Calendar'!$B$14,"Day off",IF(D54+E54+G54&gt;0,IF($C54="Working","Charged","Worked weekend"),IF($C54="Working","Leave (not charged)",$C54)))))))</f>
        <v>Charged</v>
      </c>
      <c r="L54" s="341">
        <f>IF($A54="","",SUMIFS('Timesheet Raw'!$P$4:$P$8000,'Timesheet Raw'!$L$4:$L$8000,$A54,'Timesheet Raw'!$C$4:$C$8000,L$3,'Timesheet Raw'!$A$4:$A$8000,"1-Projects"))</f>
        <v>0</v>
      </c>
      <c r="M54" s="341">
        <f>IF($A54="","",SUMIFS('Timesheet Raw'!$P$4:$P$8000,'Timesheet Raw'!$L$4:$L$8000,$A54,'Timesheet Raw'!$C$4:$C$8000,L$3,'Timesheet Raw'!$A$4:$A$8000,"2-Proposals Chargeable")+SUMIFS('Timesheet Raw'!$P$4:$P$8000,'Timesheet Raw'!$L$4:$L$8000,$A54,'Timesheet Raw'!$C$4:$C$8000,L$3,'Timesheet Raw'!$A$4:$A$8000,"3-Proposals Regular"))</f>
        <v>0</v>
      </c>
      <c r="N54" s="341">
        <f>IF($A54="","",SUMIFS('Timesheet Raw'!$P$4:$P$8000,'Timesheet Raw'!$L$4:$L$8000,$A54,'Timesheet Raw'!$C$4:$C$8000,L$3,'Timesheet Raw'!$B$4:$B$8000,'Work Calendar'!$A$26)+SUMIFS('Timesheet Raw'!$P$4:$P$8000,'Timesheet Raw'!$L$4:$L$8000,$A54,'Timesheet Raw'!$C$4:$C$8000,L$3,'Timesheet Raw'!$B$4:$B$8000,'Work Calendar'!$A$27)+SUMIFS('Timesheet Raw'!$P$4:$P$8000,'Timesheet Raw'!$L$4:$L$8000,$A54,'Timesheet Raw'!$C$4:$C$8000,L$3,'Timesheet Raw'!$B$4:$B$8000,'Work Calendar'!$A$28)+SUMIFS('Timesheet Raw'!$P$4:$P$8000,'Timesheet Raw'!$L$4:$L$8000,$A54,'Timesheet Raw'!$C$4:$C$8000,L$3,'Timesheet Raw'!$B$4:$B$8000,'Work Calendar'!$A$29))</f>
        <v>7.5</v>
      </c>
      <c r="O54" s="341">
        <f t="shared" si="2"/>
        <v>0</v>
      </c>
      <c r="P54" s="395">
        <f>IF($A54="","",SUMIFS('Timesheet Raw'!$K$4:$K$8000,'Timesheet Raw'!$L$4:$L$8000,$A54,'Timesheet Raw'!$C$4:$C$8000,L$3))</f>
        <v>0</v>
      </c>
      <c r="Q54" s="345">
        <f>IF($A54="","",SUMIFS('Timesheet Raw'!$P$4:$P$8000,'Timesheet Raw'!$L$4:$L$8000,$A54,'Timesheet Raw'!$C$4:$C$8000,L$3))</f>
        <v>7.5</v>
      </c>
      <c r="R54" s="375"/>
      <c r="S54" t="str">
        <f>IF($A54="","",IF(R54&lt;&gt;"",R54,IF($A54&gt;'Work Calendar'!$B$17,"No data yet",IF(AND(N54&gt;='Work Calendar'!$B$14,L54+M54+O54&gt;0),"Day off - but worked",IF(N54&gt;='Work Calendar'!$B$14,"Day off",IF(L54+M54+O54&gt;0,IF($C54="Working","Charged","Worked weekend"),IF($C54="Working","Leave (not charged)",$C54)))))))</f>
        <v>Leave (not charged)</v>
      </c>
      <c r="T54" s="341">
        <f>IF($A54="","",SUMIFS('Timesheet Raw'!$P$4:$P$8000,'Timesheet Raw'!$L$4:$L$8000,$A54,'Timesheet Raw'!$C$4:$C$8000,T$3,'Timesheet Raw'!$A$4:$A$8000,"1-Projects"))</f>
        <v>7.5</v>
      </c>
      <c r="U54" s="341">
        <f>IF($A54="","",SUMIFS('Timesheet Raw'!$P$4:$P$8000,'Timesheet Raw'!$L$4:$L$8000,$A54,'Timesheet Raw'!$C$4:$C$8000,T$3,'Timesheet Raw'!$A$4:$A$8000,"2-Proposals Chargeable")+SUMIFS('Timesheet Raw'!$P$4:$P$8000,'Timesheet Raw'!$L$4:$L$8000,$A54,'Timesheet Raw'!$C$4:$C$8000,T$3,'Timesheet Raw'!$A$4:$A$8000,"3-Proposals Regular"))</f>
        <v>0</v>
      </c>
      <c r="V54" s="341">
        <f>IF($A54="","",SUMIFS('Timesheet Raw'!$P$4:$P$8000,'Timesheet Raw'!$L$4:$L$8000,$A54,'Timesheet Raw'!$C$4:$C$8000,T$3,'Timesheet Raw'!$B$4:$B$8000,'Work Calendar'!$A$26)+SUMIFS('Timesheet Raw'!$P$4:$P$8000,'Timesheet Raw'!$L$4:$L$8000,$A54,'Timesheet Raw'!$C$4:$C$8000,T$3,'Timesheet Raw'!$B$4:$B$8000,'Work Calendar'!$A$27)+SUMIFS('Timesheet Raw'!$P$4:$P$8000,'Timesheet Raw'!$L$4:$L$8000,$A54,'Timesheet Raw'!$C$4:$C$8000,T$3,'Timesheet Raw'!$B$4:$B$8000,'Work Calendar'!$A$28)+SUMIFS('Timesheet Raw'!$P$4:$P$8000,'Timesheet Raw'!$L$4:$L$8000,$A54,'Timesheet Raw'!$C$4:$C$8000,T$3,'Timesheet Raw'!$B$4:$B$8000,'Work Calendar'!$A$29))</f>
        <v>0.25</v>
      </c>
      <c r="W54" s="341">
        <f t="shared" si="3"/>
        <v>0</v>
      </c>
      <c r="X54" s="395">
        <f>IF($A54="","",SUMIFS('Timesheet Raw'!$K$4:$K$8000,'Timesheet Raw'!$L$4:$L$8000,$A54,'Timesheet Raw'!$C$4:$C$8000,T$3))</f>
        <v>0.25</v>
      </c>
      <c r="Y54" s="345">
        <f>IF($A54="","",SUMIFS('Timesheet Raw'!$P$4:$P$8000,'Timesheet Raw'!$L$4:$L$8000,$A54,'Timesheet Raw'!$C$4:$C$8000,T$3))</f>
        <v>7.75</v>
      </c>
      <c r="Z54" s="375"/>
      <c r="AA54" t="str">
        <f>IF($A54="","",IF(Z54&lt;&gt;"",Z54,IF($A54&gt;'Work Calendar'!$B$17,"No data yet",IF(AND(V54&gt;='Work Calendar'!$B$14,T54+U54+W54&gt;0),"Day off - but worked",IF(V54&gt;='Work Calendar'!$B$14,"Day off",IF(T54+U54+W54&gt;0,IF($C54="Working","Charged","Worked weekend"),IF($C54="Working","Leave (not charged)",$C54)))))))</f>
        <v>Charged</v>
      </c>
    </row>
    <row r="55" spans="1:27" x14ac:dyDescent="0.3">
      <c r="A55" s="371">
        <f>IF($A54="","",IF($A54+1&gt;'Work Calendar'!$B$16,"",$A54+1))</f>
        <v>46073</v>
      </c>
      <c r="B55" t="str">
        <f t="shared" si="0"/>
        <v>Fri</v>
      </c>
      <c r="C55" t="str" cm="1">
        <f t="array" ref="C55">IF($A55="","",IF(COUNTIF('Work Calendar'!$E$6:$E$200,$A55)&gt;0,"Holiday",IF(INDEX('Work Calendar'!$C$6:$C$12,WEEKDAY($A55,1))=1,"Working","Weekend")))</f>
        <v>Weekend</v>
      </c>
      <c r="D55" s="341">
        <f>IF($A55="","",SUMIFS('Timesheet Raw'!$P$4:$P$8000,'Timesheet Raw'!$L$4:$L$8000,$A55,'Timesheet Raw'!$C$4:$C$8000,D$3,'Timesheet Raw'!$A$4:$A$8000,"1-Projects"))</f>
        <v>0</v>
      </c>
      <c r="E55" s="341">
        <f>IF($A55="","",SUMIFS('Timesheet Raw'!$P$4:$P$8000,'Timesheet Raw'!$L$4:$L$8000,$A55,'Timesheet Raw'!$C$4:$C$8000,D$3,'Timesheet Raw'!$A$4:$A$8000,"2-Proposals Chargeable")+SUMIFS('Timesheet Raw'!$P$4:$P$8000,'Timesheet Raw'!$L$4:$L$8000,$A55,'Timesheet Raw'!$C$4:$C$8000,D$3,'Timesheet Raw'!$A$4:$A$8000,"3-Proposals Regular"))</f>
        <v>0</v>
      </c>
      <c r="F55" s="341">
        <f>IF($A55="","",SUMIFS('Timesheet Raw'!$P$4:$P$8000,'Timesheet Raw'!$L$4:$L$8000,$A55,'Timesheet Raw'!$C$4:$C$8000,D$3,'Timesheet Raw'!$B$4:$B$8000,'Work Calendar'!$A$26)+SUMIFS('Timesheet Raw'!$P$4:$P$8000,'Timesheet Raw'!$L$4:$L$8000,$A55,'Timesheet Raw'!$C$4:$C$8000,D$3,'Timesheet Raw'!$B$4:$B$8000,'Work Calendar'!$A$27)+SUMIFS('Timesheet Raw'!$P$4:$P$8000,'Timesheet Raw'!$L$4:$L$8000,$A55,'Timesheet Raw'!$C$4:$C$8000,D$3,'Timesheet Raw'!$B$4:$B$8000,'Work Calendar'!$A$28)+SUMIFS('Timesheet Raw'!$P$4:$P$8000,'Timesheet Raw'!$L$4:$L$8000,$A55,'Timesheet Raw'!$C$4:$C$8000,D$3,'Timesheet Raw'!$B$4:$B$8000,'Work Calendar'!$A$29))</f>
        <v>0</v>
      </c>
      <c r="G55" s="341">
        <f t="shared" si="1"/>
        <v>0</v>
      </c>
      <c r="H55" s="395">
        <f>IF($A55="","",SUMIFS('Timesheet Raw'!$K$4:$K$8000,'Timesheet Raw'!$L$4:$L$8000,$A55,'Timesheet Raw'!$C$4:$C$8000,D$3))</f>
        <v>0</v>
      </c>
      <c r="I55" s="345">
        <f>IF($A55="","",SUMIFS('Timesheet Raw'!$P$4:$P$8000,'Timesheet Raw'!$L$4:$L$8000,$A55,'Timesheet Raw'!$C$4:$C$8000,D$3))</f>
        <v>0</v>
      </c>
      <c r="J55" s="375"/>
      <c r="K55" t="str">
        <f>IF($A55="","",IF(J55&lt;&gt;"",J55,IF($A55&gt;'Work Calendar'!$B$17,"No data yet",IF(AND(F55&gt;='Work Calendar'!$B$14,D55+E55+G55&gt;0),"Day off - but worked",IF(F55&gt;='Work Calendar'!$B$14,"Day off",IF(D55+E55+G55&gt;0,IF($C55="Working","Charged","Worked weekend"),IF($C55="Working","Leave (not charged)",$C55)))))))</f>
        <v>Weekend</v>
      </c>
      <c r="L55" s="341">
        <f>IF($A55="","",SUMIFS('Timesheet Raw'!$P$4:$P$8000,'Timesheet Raw'!$L$4:$L$8000,$A55,'Timesheet Raw'!$C$4:$C$8000,L$3,'Timesheet Raw'!$A$4:$A$8000,"1-Projects"))</f>
        <v>0</v>
      </c>
      <c r="M55" s="341">
        <f>IF($A55="","",SUMIFS('Timesheet Raw'!$P$4:$P$8000,'Timesheet Raw'!$L$4:$L$8000,$A55,'Timesheet Raw'!$C$4:$C$8000,L$3,'Timesheet Raw'!$A$4:$A$8000,"2-Proposals Chargeable")+SUMIFS('Timesheet Raw'!$P$4:$P$8000,'Timesheet Raw'!$L$4:$L$8000,$A55,'Timesheet Raw'!$C$4:$C$8000,L$3,'Timesheet Raw'!$A$4:$A$8000,"3-Proposals Regular"))</f>
        <v>0</v>
      </c>
      <c r="N55" s="341">
        <f>IF($A55="","",SUMIFS('Timesheet Raw'!$P$4:$P$8000,'Timesheet Raw'!$L$4:$L$8000,$A55,'Timesheet Raw'!$C$4:$C$8000,L$3,'Timesheet Raw'!$B$4:$B$8000,'Work Calendar'!$A$26)+SUMIFS('Timesheet Raw'!$P$4:$P$8000,'Timesheet Raw'!$L$4:$L$8000,$A55,'Timesheet Raw'!$C$4:$C$8000,L$3,'Timesheet Raw'!$B$4:$B$8000,'Work Calendar'!$A$27)+SUMIFS('Timesheet Raw'!$P$4:$P$8000,'Timesheet Raw'!$L$4:$L$8000,$A55,'Timesheet Raw'!$C$4:$C$8000,L$3,'Timesheet Raw'!$B$4:$B$8000,'Work Calendar'!$A$28)+SUMIFS('Timesheet Raw'!$P$4:$P$8000,'Timesheet Raw'!$L$4:$L$8000,$A55,'Timesheet Raw'!$C$4:$C$8000,L$3,'Timesheet Raw'!$B$4:$B$8000,'Work Calendar'!$A$29))</f>
        <v>0</v>
      </c>
      <c r="O55" s="341">
        <f t="shared" si="2"/>
        <v>0</v>
      </c>
      <c r="P55" s="395">
        <f>IF($A55="","",SUMIFS('Timesheet Raw'!$K$4:$K$8000,'Timesheet Raw'!$L$4:$L$8000,$A55,'Timesheet Raw'!$C$4:$C$8000,L$3))</f>
        <v>0</v>
      </c>
      <c r="Q55" s="345">
        <f>IF($A55="","",SUMIFS('Timesheet Raw'!$P$4:$P$8000,'Timesheet Raw'!$L$4:$L$8000,$A55,'Timesheet Raw'!$C$4:$C$8000,L$3))</f>
        <v>0</v>
      </c>
      <c r="R55" s="375"/>
      <c r="S55" t="str">
        <f>IF($A55="","",IF(R55&lt;&gt;"",R55,IF($A55&gt;'Work Calendar'!$B$17,"No data yet",IF(AND(N55&gt;='Work Calendar'!$B$14,L55+M55+O55&gt;0),"Day off - but worked",IF(N55&gt;='Work Calendar'!$B$14,"Day off",IF(L55+M55+O55&gt;0,IF($C55="Working","Charged","Worked weekend"),IF($C55="Working","Leave (not charged)",$C55)))))))</f>
        <v>Weekend</v>
      </c>
      <c r="T55" s="341">
        <f>IF($A55="","",SUMIFS('Timesheet Raw'!$P$4:$P$8000,'Timesheet Raw'!$L$4:$L$8000,$A55,'Timesheet Raw'!$C$4:$C$8000,T$3,'Timesheet Raw'!$A$4:$A$8000,"1-Projects"))</f>
        <v>0</v>
      </c>
      <c r="U55" s="341">
        <f>IF($A55="","",SUMIFS('Timesheet Raw'!$P$4:$P$8000,'Timesheet Raw'!$L$4:$L$8000,$A55,'Timesheet Raw'!$C$4:$C$8000,T$3,'Timesheet Raw'!$A$4:$A$8000,"2-Proposals Chargeable")+SUMIFS('Timesheet Raw'!$P$4:$P$8000,'Timesheet Raw'!$L$4:$L$8000,$A55,'Timesheet Raw'!$C$4:$C$8000,T$3,'Timesheet Raw'!$A$4:$A$8000,"3-Proposals Regular"))</f>
        <v>0</v>
      </c>
      <c r="V55" s="341">
        <f>IF($A55="","",SUMIFS('Timesheet Raw'!$P$4:$P$8000,'Timesheet Raw'!$L$4:$L$8000,$A55,'Timesheet Raw'!$C$4:$C$8000,T$3,'Timesheet Raw'!$B$4:$B$8000,'Work Calendar'!$A$26)+SUMIFS('Timesheet Raw'!$P$4:$P$8000,'Timesheet Raw'!$L$4:$L$8000,$A55,'Timesheet Raw'!$C$4:$C$8000,T$3,'Timesheet Raw'!$B$4:$B$8000,'Work Calendar'!$A$27)+SUMIFS('Timesheet Raw'!$P$4:$P$8000,'Timesheet Raw'!$L$4:$L$8000,$A55,'Timesheet Raw'!$C$4:$C$8000,T$3,'Timesheet Raw'!$B$4:$B$8000,'Work Calendar'!$A$28)+SUMIFS('Timesheet Raw'!$P$4:$P$8000,'Timesheet Raw'!$L$4:$L$8000,$A55,'Timesheet Raw'!$C$4:$C$8000,T$3,'Timesheet Raw'!$B$4:$B$8000,'Work Calendar'!$A$29))</f>
        <v>0</v>
      </c>
      <c r="W55" s="341">
        <f t="shared" si="3"/>
        <v>0</v>
      </c>
      <c r="X55" s="395">
        <f>IF($A55="","",SUMIFS('Timesheet Raw'!$K$4:$K$8000,'Timesheet Raw'!$L$4:$L$8000,$A55,'Timesheet Raw'!$C$4:$C$8000,T$3))</f>
        <v>0</v>
      </c>
      <c r="Y55" s="345">
        <f>IF($A55="","",SUMIFS('Timesheet Raw'!$P$4:$P$8000,'Timesheet Raw'!$L$4:$L$8000,$A55,'Timesheet Raw'!$C$4:$C$8000,T$3))</f>
        <v>0</v>
      </c>
      <c r="Z55" s="375"/>
      <c r="AA55" t="str">
        <f>IF($A55="","",IF(Z55&lt;&gt;"",Z55,IF($A55&gt;'Work Calendar'!$B$17,"No data yet",IF(AND(V55&gt;='Work Calendar'!$B$14,T55+U55+W55&gt;0),"Day off - but worked",IF(V55&gt;='Work Calendar'!$B$14,"Day off",IF(T55+U55+W55&gt;0,IF($C55="Working","Charged","Worked weekend"),IF($C55="Working","Leave (not charged)",$C55)))))))</f>
        <v>Weekend</v>
      </c>
    </row>
    <row r="56" spans="1:27" x14ac:dyDescent="0.3">
      <c r="A56" s="371">
        <f>IF($A55="","",IF($A55+1&gt;'Work Calendar'!$B$16,"",$A55+1))</f>
        <v>46074</v>
      </c>
      <c r="B56" t="str">
        <f t="shared" si="0"/>
        <v>Sat</v>
      </c>
      <c r="C56" t="str" cm="1">
        <f t="array" ref="C56">IF($A56="","",IF(COUNTIF('Work Calendar'!$E$6:$E$200,$A56)&gt;0,"Holiday",IF(INDEX('Work Calendar'!$C$6:$C$12,WEEKDAY($A56,1))=1,"Working","Weekend")))</f>
        <v>Weekend</v>
      </c>
      <c r="D56" s="341">
        <f>IF($A56="","",SUMIFS('Timesheet Raw'!$P$4:$P$8000,'Timesheet Raw'!$L$4:$L$8000,$A56,'Timesheet Raw'!$C$4:$C$8000,D$3,'Timesheet Raw'!$A$4:$A$8000,"1-Projects"))</f>
        <v>0</v>
      </c>
      <c r="E56" s="341">
        <f>IF($A56="","",SUMIFS('Timesheet Raw'!$P$4:$P$8000,'Timesheet Raw'!$L$4:$L$8000,$A56,'Timesheet Raw'!$C$4:$C$8000,D$3,'Timesheet Raw'!$A$4:$A$8000,"2-Proposals Chargeable")+SUMIFS('Timesheet Raw'!$P$4:$P$8000,'Timesheet Raw'!$L$4:$L$8000,$A56,'Timesheet Raw'!$C$4:$C$8000,D$3,'Timesheet Raw'!$A$4:$A$8000,"3-Proposals Regular"))</f>
        <v>0</v>
      </c>
      <c r="F56" s="341">
        <f>IF($A56="","",SUMIFS('Timesheet Raw'!$P$4:$P$8000,'Timesheet Raw'!$L$4:$L$8000,$A56,'Timesheet Raw'!$C$4:$C$8000,D$3,'Timesheet Raw'!$B$4:$B$8000,'Work Calendar'!$A$26)+SUMIFS('Timesheet Raw'!$P$4:$P$8000,'Timesheet Raw'!$L$4:$L$8000,$A56,'Timesheet Raw'!$C$4:$C$8000,D$3,'Timesheet Raw'!$B$4:$B$8000,'Work Calendar'!$A$27)+SUMIFS('Timesheet Raw'!$P$4:$P$8000,'Timesheet Raw'!$L$4:$L$8000,$A56,'Timesheet Raw'!$C$4:$C$8000,D$3,'Timesheet Raw'!$B$4:$B$8000,'Work Calendar'!$A$28)+SUMIFS('Timesheet Raw'!$P$4:$P$8000,'Timesheet Raw'!$L$4:$L$8000,$A56,'Timesheet Raw'!$C$4:$C$8000,D$3,'Timesheet Raw'!$B$4:$B$8000,'Work Calendar'!$A$29))</f>
        <v>0</v>
      </c>
      <c r="G56" s="341">
        <f t="shared" si="1"/>
        <v>0</v>
      </c>
      <c r="H56" s="395">
        <f>IF($A56="","",SUMIFS('Timesheet Raw'!$K$4:$K$8000,'Timesheet Raw'!$L$4:$L$8000,$A56,'Timesheet Raw'!$C$4:$C$8000,D$3))</f>
        <v>0</v>
      </c>
      <c r="I56" s="345">
        <f>IF($A56="","",SUMIFS('Timesheet Raw'!$P$4:$P$8000,'Timesheet Raw'!$L$4:$L$8000,$A56,'Timesheet Raw'!$C$4:$C$8000,D$3))</f>
        <v>0</v>
      </c>
      <c r="J56" s="375"/>
      <c r="K56" t="str">
        <f>IF($A56="","",IF(J56&lt;&gt;"",J56,IF($A56&gt;'Work Calendar'!$B$17,"No data yet",IF(AND(F56&gt;='Work Calendar'!$B$14,D56+E56+G56&gt;0),"Day off - but worked",IF(F56&gt;='Work Calendar'!$B$14,"Day off",IF(D56+E56+G56&gt;0,IF($C56="Working","Charged","Worked weekend"),IF($C56="Working","Leave (not charged)",$C56)))))))</f>
        <v>Weekend</v>
      </c>
      <c r="L56" s="341">
        <f>IF($A56="","",SUMIFS('Timesheet Raw'!$P$4:$P$8000,'Timesheet Raw'!$L$4:$L$8000,$A56,'Timesheet Raw'!$C$4:$C$8000,L$3,'Timesheet Raw'!$A$4:$A$8000,"1-Projects"))</f>
        <v>0</v>
      </c>
      <c r="M56" s="341">
        <f>IF($A56="","",SUMIFS('Timesheet Raw'!$P$4:$P$8000,'Timesheet Raw'!$L$4:$L$8000,$A56,'Timesheet Raw'!$C$4:$C$8000,L$3,'Timesheet Raw'!$A$4:$A$8000,"2-Proposals Chargeable")+SUMIFS('Timesheet Raw'!$P$4:$P$8000,'Timesheet Raw'!$L$4:$L$8000,$A56,'Timesheet Raw'!$C$4:$C$8000,L$3,'Timesheet Raw'!$A$4:$A$8000,"3-Proposals Regular"))</f>
        <v>0</v>
      </c>
      <c r="N56" s="341">
        <f>IF($A56="","",SUMIFS('Timesheet Raw'!$P$4:$P$8000,'Timesheet Raw'!$L$4:$L$8000,$A56,'Timesheet Raw'!$C$4:$C$8000,L$3,'Timesheet Raw'!$B$4:$B$8000,'Work Calendar'!$A$26)+SUMIFS('Timesheet Raw'!$P$4:$P$8000,'Timesheet Raw'!$L$4:$L$8000,$A56,'Timesheet Raw'!$C$4:$C$8000,L$3,'Timesheet Raw'!$B$4:$B$8000,'Work Calendar'!$A$27)+SUMIFS('Timesheet Raw'!$P$4:$P$8000,'Timesheet Raw'!$L$4:$L$8000,$A56,'Timesheet Raw'!$C$4:$C$8000,L$3,'Timesheet Raw'!$B$4:$B$8000,'Work Calendar'!$A$28)+SUMIFS('Timesheet Raw'!$P$4:$P$8000,'Timesheet Raw'!$L$4:$L$8000,$A56,'Timesheet Raw'!$C$4:$C$8000,L$3,'Timesheet Raw'!$B$4:$B$8000,'Work Calendar'!$A$29))</f>
        <v>0</v>
      </c>
      <c r="O56" s="341">
        <f t="shared" si="2"/>
        <v>0</v>
      </c>
      <c r="P56" s="395">
        <f>IF($A56="","",SUMIFS('Timesheet Raw'!$K$4:$K$8000,'Timesheet Raw'!$L$4:$L$8000,$A56,'Timesheet Raw'!$C$4:$C$8000,L$3))</f>
        <v>0</v>
      </c>
      <c r="Q56" s="345">
        <f>IF($A56="","",SUMIFS('Timesheet Raw'!$P$4:$P$8000,'Timesheet Raw'!$L$4:$L$8000,$A56,'Timesheet Raw'!$C$4:$C$8000,L$3))</f>
        <v>0</v>
      </c>
      <c r="R56" s="375"/>
      <c r="S56" t="str">
        <f>IF($A56="","",IF(R56&lt;&gt;"",R56,IF($A56&gt;'Work Calendar'!$B$17,"No data yet",IF(AND(N56&gt;='Work Calendar'!$B$14,L56+M56+O56&gt;0),"Day off - but worked",IF(N56&gt;='Work Calendar'!$B$14,"Day off",IF(L56+M56+O56&gt;0,IF($C56="Working","Charged","Worked weekend"),IF($C56="Working","Leave (not charged)",$C56)))))))</f>
        <v>Weekend</v>
      </c>
      <c r="T56" s="341">
        <f>IF($A56="","",SUMIFS('Timesheet Raw'!$P$4:$P$8000,'Timesheet Raw'!$L$4:$L$8000,$A56,'Timesheet Raw'!$C$4:$C$8000,T$3,'Timesheet Raw'!$A$4:$A$8000,"1-Projects"))</f>
        <v>0</v>
      </c>
      <c r="U56" s="341">
        <f>IF($A56="","",SUMIFS('Timesheet Raw'!$P$4:$P$8000,'Timesheet Raw'!$L$4:$L$8000,$A56,'Timesheet Raw'!$C$4:$C$8000,T$3,'Timesheet Raw'!$A$4:$A$8000,"2-Proposals Chargeable")+SUMIFS('Timesheet Raw'!$P$4:$P$8000,'Timesheet Raw'!$L$4:$L$8000,$A56,'Timesheet Raw'!$C$4:$C$8000,T$3,'Timesheet Raw'!$A$4:$A$8000,"3-Proposals Regular"))</f>
        <v>0</v>
      </c>
      <c r="V56" s="341">
        <f>IF($A56="","",SUMIFS('Timesheet Raw'!$P$4:$P$8000,'Timesheet Raw'!$L$4:$L$8000,$A56,'Timesheet Raw'!$C$4:$C$8000,T$3,'Timesheet Raw'!$B$4:$B$8000,'Work Calendar'!$A$26)+SUMIFS('Timesheet Raw'!$P$4:$P$8000,'Timesheet Raw'!$L$4:$L$8000,$A56,'Timesheet Raw'!$C$4:$C$8000,T$3,'Timesheet Raw'!$B$4:$B$8000,'Work Calendar'!$A$27)+SUMIFS('Timesheet Raw'!$P$4:$P$8000,'Timesheet Raw'!$L$4:$L$8000,$A56,'Timesheet Raw'!$C$4:$C$8000,T$3,'Timesheet Raw'!$B$4:$B$8000,'Work Calendar'!$A$28)+SUMIFS('Timesheet Raw'!$P$4:$P$8000,'Timesheet Raw'!$L$4:$L$8000,$A56,'Timesheet Raw'!$C$4:$C$8000,T$3,'Timesheet Raw'!$B$4:$B$8000,'Work Calendar'!$A$29))</f>
        <v>0</v>
      </c>
      <c r="W56" s="341">
        <f t="shared" si="3"/>
        <v>0</v>
      </c>
      <c r="X56" s="395">
        <f>IF($A56="","",SUMIFS('Timesheet Raw'!$K$4:$K$8000,'Timesheet Raw'!$L$4:$L$8000,$A56,'Timesheet Raw'!$C$4:$C$8000,T$3))</f>
        <v>0</v>
      </c>
      <c r="Y56" s="345">
        <f>IF($A56="","",SUMIFS('Timesheet Raw'!$P$4:$P$8000,'Timesheet Raw'!$L$4:$L$8000,$A56,'Timesheet Raw'!$C$4:$C$8000,T$3))</f>
        <v>0</v>
      </c>
      <c r="Z56" s="375"/>
      <c r="AA56" t="str">
        <f>IF($A56="","",IF(Z56&lt;&gt;"",Z56,IF($A56&gt;'Work Calendar'!$B$17,"No data yet",IF(AND(V56&gt;='Work Calendar'!$B$14,T56+U56+W56&gt;0),"Day off - but worked",IF(V56&gt;='Work Calendar'!$B$14,"Day off",IF(T56+U56+W56&gt;0,IF($C56="Working","Charged","Worked weekend"),IF($C56="Working","Leave (not charged)",$C56)))))))</f>
        <v>Weekend</v>
      </c>
    </row>
    <row r="57" spans="1:27" x14ac:dyDescent="0.3">
      <c r="A57" s="371">
        <f>IF($A56="","",IF($A56+1&gt;'Work Calendar'!$B$16,"",$A56+1))</f>
        <v>46075</v>
      </c>
      <c r="B57" t="str">
        <f t="shared" si="0"/>
        <v>Sun</v>
      </c>
      <c r="C57" t="str" cm="1">
        <f t="array" ref="C57">IF($A57="","",IF(COUNTIF('Work Calendar'!$E$6:$E$200,$A57)&gt;0,"Holiday",IF(INDEX('Work Calendar'!$C$6:$C$12,WEEKDAY($A57,1))=1,"Working","Weekend")))</f>
        <v>Working</v>
      </c>
      <c r="D57" s="341">
        <f>IF($A57="","",SUMIFS('Timesheet Raw'!$P$4:$P$8000,'Timesheet Raw'!$L$4:$L$8000,$A57,'Timesheet Raw'!$C$4:$C$8000,D$3,'Timesheet Raw'!$A$4:$A$8000,"1-Projects"))</f>
        <v>0</v>
      </c>
      <c r="E57" s="341">
        <f>IF($A57="","",SUMIFS('Timesheet Raw'!$P$4:$P$8000,'Timesheet Raw'!$L$4:$L$8000,$A57,'Timesheet Raw'!$C$4:$C$8000,D$3,'Timesheet Raw'!$A$4:$A$8000,"2-Proposals Chargeable")+SUMIFS('Timesheet Raw'!$P$4:$P$8000,'Timesheet Raw'!$L$4:$L$8000,$A57,'Timesheet Raw'!$C$4:$C$8000,D$3,'Timesheet Raw'!$A$4:$A$8000,"3-Proposals Regular"))</f>
        <v>0</v>
      </c>
      <c r="F57" s="341">
        <f>IF($A57="","",SUMIFS('Timesheet Raw'!$P$4:$P$8000,'Timesheet Raw'!$L$4:$L$8000,$A57,'Timesheet Raw'!$C$4:$C$8000,D$3,'Timesheet Raw'!$B$4:$B$8000,'Work Calendar'!$A$26)+SUMIFS('Timesheet Raw'!$P$4:$P$8000,'Timesheet Raw'!$L$4:$L$8000,$A57,'Timesheet Raw'!$C$4:$C$8000,D$3,'Timesheet Raw'!$B$4:$B$8000,'Work Calendar'!$A$27)+SUMIFS('Timesheet Raw'!$P$4:$P$8000,'Timesheet Raw'!$L$4:$L$8000,$A57,'Timesheet Raw'!$C$4:$C$8000,D$3,'Timesheet Raw'!$B$4:$B$8000,'Work Calendar'!$A$28)+SUMIFS('Timesheet Raw'!$P$4:$P$8000,'Timesheet Raw'!$L$4:$L$8000,$A57,'Timesheet Raw'!$C$4:$C$8000,D$3,'Timesheet Raw'!$B$4:$B$8000,'Work Calendar'!$A$29))</f>
        <v>7.5</v>
      </c>
      <c r="G57" s="341">
        <f t="shared" si="1"/>
        <v>0</v>
      </c>
      <c r="H57" s="395">
        <f>IF($A57="","",SUMIFS('Timesheet Raw'!$K$4:$K$8000,'Timesheet Raw'!$L$4:$L$8000,$A57,'Timesheet Raw'!$C$4:$C$8000,D$3))</f>
        <v>0</v>
      </c>
      <c r="I57" s="345">
        <f>IF($A57="","",SUMIFS('Timesheet Raw'!$P$4:$P$8000,'Timesheet Raw'!$L$4:$L$8000,$A57,'Timesheet Raw'!$C$4:$C$8000,D$3))</f>
        <v>7.5</v>
      </c>
      <c r="J57" s="375"/>
      <c r="K57" t="str">
        <f>IF($A57="","",IF(J57&lt;&gt;"",J57,IF($A57&gt;'Work Calendar'!$B$17,"No data yet",IF(AND(F57&gt;='Work Calendar'!$B$14,D57+E57+G57&gt;0),"Day off - but worked",IF(F57&gt;='Work Calendar'!$B$14,"Day off",IF(D57+E57+G57&gt;0,IF($C57="Working","Charged","Worked weekend"),IF($C57="Working","Leave (not charged)",$C57)))))))</f>
        <v>Leave (not charged)</v>
      </c>
      <c r="L57" s="341">
        <f>IF($A57="","",SUMIFS('Timesheet Raw'!$P$4:$P$8000,'Timesheet Raw'!$L$4:$L$8000,$A57,'Timesheet Raw'!$C$4:$C$8000,L$3,'Timesheet Raw'!$A$4:$A$8000,"1-Projects"))</f>
        <v>6.75</v>
      </c>
      <c r="M57" s="341">
        <f>IF($A57="","",SUMIFS('Timesheet Raw'!$P$4:$P$8000,'Timesheet Raw'!$L$4:$L$8000,$A57,'Timesheet Raw'!$C$4:$C$8000,L$3,'Timesheet Raw'!$A$4:$A$8000,"2-Proposals Chargeable")+SUMIFS('Timesheet Raw'!$P$4:$P$8000,'Timesheet Raw'!$L$4:$L$8000,$A57,'Timesheet Raw'!$C$4:$C$8000,L$3,'Timesheet Raw'!$A$4:$A$8000,"3-Proposals Regular"))</f>
        <v>0</v>
      </c>
      <c r="N57" s="341">
        <f>IF($A57="","",SUMIFS('Timesheet Raw'!$P$4:$P$8000,'Timesheet Raw'!$L$4:$L$8000,$A57,'Timesheet Raw'!$C$4:$C$8000,L$3,'Timesheet Raw'!$B$4:$B$8000,'Work Calendar'!$A$26)+SUMIFS('Timesheet Raw'!$P$4:$P$8000,'Timesheet Raw'!$L$4:$L$8000,$A57,'Timesheet Raw'!$C$4:$C$8000,L$3,'Timesheet Raw'!$B$4:$B$8000,'Work Calendar'!$A$27)+SUMIFS('Timesheet Raw'!$P$4:$P$8000,'Timesheet Raw'!$L$4:$L$8000,$A57,'Timesheet Raw'!$C$4:$C$8000,L$3,'Timesheet Raw'!$B$4:$B$8000,'Work Calendar'!$A$28)+SUMIFS('Timesheet Raw'!$P$4:$P$8000,'Timesheet Raw'!$L$4:$L$8000,$A57,'Timesheet Raw'!$C$4:$C$8000,L$3,'Timesheet Raw'!$B$4:$B$8000,'Work Calendar'!$A$29))</f>
        <v>0.75</v>
      </c>
      <c r="O57" s="341">
        <f t="shared" si="2"/>
        <v>0</v>
      </c>
      <c r="P57" s="395">
        <f>IF($A57="","",SUMIFS('Timesheet Raw'!$K$4:$K$8000,'Timesheet Raw'!$L$4:$L$8000,$A57,'Timesheet Raw'!$C$4:$C$8000,L$3))</f>
        <v>0</v>
      </c>
      <c r="Q57" s="345">
        <f>IF($A57="","",SUMIFS('Timesheet Raw'!$P$4:$P$8000,'Timesheet Raw'!$L$4:$L$8000,$A57,'Timesheet Raw'!$C$4:$C$8000,L$3))</f>
        <v>7.5</v>
      </c>
      <c r="R57" s="375"/>
      <c r="S57" t="str">
        <f>IF($A57="","",IF(R57&lt;&gt;"",R57,IF($A57&gt;'Work Calendar'!$B$17,"No data yet",IF(AND(N57&gt;='Work Calendar'!$B$14,L57+M57+O57&gt;0),"Day off - but worked",IF(N57&gt;='Work Calendar'!$B$14,"Day off",IF(L57+M57+O57&gt;0,IF($C57="Working","Charged","Worked weekend"),IF($C57="Working","Leave (not charged)",$C57)))))))</f>
        <v>Charged</v>
      </c>
      <c r="T57" s="341">
        <f>IF($A57="","",SUMIFS('Timesheet Raw'!$P$4:$P$8000,'Timesheet Raw'!$L$4:$L$8000,$A57,'Timesheet Raw'!$C$4:$C$8000,T$3,'Timesheet Raw'!$A$4:$A$8000,"1-Projects"))</f>
        <v>7.5</v>
      </c>
      <c r="U57" s="341">
        <f>IF($A57="","",SUMIFS('Timesheet Raw'!$P$4:$P$8000,'Timesheet Raw'!$L$4:$L$8000,$A57,'Timesheet Raw'!$C$4:$C$8000,T$3,'Timesheet Raw'!$A$4:$A$8000,"2-Proposals Chargeable")+SUMIFS('Timesheet Raw'!$P$4:$P$8000,'Timesheet Raw'!$L$4:$L$8000,$A57,'Timesheet Raw'!$C$4:$C$8000,T$3,'Timesheet Raw'!$A$4:$A$8000,"3-Proposals Regular"))</f>
        <v>0</v>
      </c>
      <c r="V57" s="341">
        <f>IF($A57="","",SUMIFS('Timesheet Raw'!$P$4:$P$8000,'Timesheet Raw'!$L$4:$L$8000,$A57,'Timesheet Raw'!$C$4:$C$8000,T$3,'Timesheet Raw'!$B$4:$B$8000,'Work Calendar'!$A$26)+SUMIFS('Timesheet Raw'!$P$4:$P$8000,'Timesheet Raw'!$L$4:$L$8000,$A57,'Timesheet Raw'!$C$4:$C$8000,T$3,'Timesheet Raw'!$B$4:$B$8000,'Work Calendar'!$A$27)+SUMIFS('Timesheet Raw'!$P$4:$P$8000,'Timesheet Raw'!$L$4:$L$8000,$A57,'Timesheet Raw'!$C$4:$C$8000,T$3,'Timesheet Raw'!$B$4:$B$8000,'Work Calendar'!$A$28)+SUMIFS('Timesheet Raw'!$P$4:$P$8000,'Timesheet Raw'!$L$4:$L$8000,$A57,'Timesheet Raw'!$C$4:$C$8000,T$3,'Timesheet Raw'!$B$4:$B$8000,'Work Calendar'!$A$29))</f>
        <v>0.5</v>
      </c>
      <c r="W57" s="341">
        <f t="shared" si="3"/>
        <v>0</v>
      </c>
      <c r="X57" s="395">
        <f>IF($A57="","",SUMIFS('Timesheet Raw'!$K$4:$K$8000,'Timesheet Raw'!$L$4:$L$8000,$A57,'Timesheet Raw'!$C$4:$C$8000,T$3))</f>
        <v>0.5</v>
      </c>
      <c r="Y57" s="345">
        <f>IF($A57="","",SUMIFS('Timesheet Raw'!$P$4:$P$8000,'Timesheet Raw'!$L$4:$L$8000,$A57,'Timesheet Raw'!$C$4:$C$8000,T$3))</f>
        <v>8</v>
      </c>
      <c r="Z57" s="375"/>
      <c r="AA57" t="str">
        <f>IF($A57="","",IF(Z57&lt;&gt;"",Z57,IF($A57&gt;'Work Calendar'!$B$17,"No data yet",IF(AND(V57&gt;='Work Calendar'!$B$14,T57+U57+W57&gt;0),"Day off - but worked",IF(V57&gt;='Work Calendar'!$B$14,"Day off",IF(T57+U57+W57&gt;0,IF($C57="Working","Charged","Worked weekend"),IF($C57="Working","Leave (not charged)",$C57)))))))</f>
        <v>Charged</v>
      </c>
    </row>
    <row r="58" spans="1:27" x14ac:dyDescent="0.3">
      <c r="A58" s="371">
        <f>IF($A57="","",IF($A57+1&gt;'Work Calendar'!$B$16,"",$A57+1))</f>
        <v>46076</v>
      </c>
      <c r="B58" t="str">
        <f t="shared" si="0"/>
        <v>Mon</v>
      </c>
      <c r="C58" t="str" cm="1">
        <f t="array" ref="C58">IF($A58="","",IF(COUNTIF('Work Calendar'!$E$6:$E$200,$A58)&gt;0,"Holiday",IF(INDEX('Work Calendar'!$C$6:$C$12,WEEKDAY($A58,1))=1,"Working","Weekend")))</f>
        <v>Working</v>
      </c>
      <c r="D58" s="341">
        <f>IF($A58="","",SUMIFS('Timesheet Raw'!$P$4:$P$8000,'Timesheet Raw'!$L$4:$L$8000,$A58,'Timesheet Raw'!$C$4:$C$8000,D$3,'Timesheet Raw'!$A$4:$A$8000,"1-Projects"))</f>
        <v>7</v>
      </c>
      <c r="E58" s="341">
        <f>IF($A58="","",SUMIFS('Timesheet Raw'!$P$4:$P$8000,'Timesheet Raw'!$L$4:$L$8000,$A58,'Timesheet Raw'!$C$4:$C$8000,D$3,'Timesheet Raw'!$A$4:$A$8000,"2-Proposals Chargeable")+SUMIFS('Timesheet Raw'!$P$4:$P$8000,'Timesheet Raw'!$L$4:$L$8000,$A58,'Timesheet Raw'!$C$4:$C$8000,D$3,'Timesheet Raw'!$A$4:$A$8000,"3-Proposals Regular"))</f>
        <v>0</v>
      </c>
      <c r="F58" s="341">
        <f>IF($A58="","",SUMIFS('Timesheet Raw'!$P$4:$P$8000,'Timesheet Raw'!$L$4:$L$8000,$A58,'Timesheet Raw'!$C$4:$C$8000,D$3,'Timesheet Raw'!$B$4:$B$8000,'Work Calendar'!$A$26)+SUMIFS('Timesheet Raw'!$P$4:$P$8000,'Timesheet Raw'!$L$4:$L$8000,$A58,'Timesheet Raw'!$C$4:$C$8000,D$3,'Timesheet Raw'!$B$4:$B$8000,'Work Calendar'!$A$27)+SUMIFS('Timesheet Raw'!$P$4:$P$8000,'Timesheet Raw'!$L$4:$L$8000,$A58,'Timesheet Raw'!$C$4:$C$8000,D$3,'Timesheet Raw'!$B$4:$B$8000,'Work Calendar'!$A$28)+SUMIFS('Timesheet Raw'!$P$4:$P$8000,'Timesheet Raw'!$L$4:$L$8000,$A58,'Timesheet Raw'!$C$4:$C$8000,D$3,'Timesheet Raw'!$B$4:$B$8000,'Work Calendar'!$A$29))</f>
        <v>0.5</v>
      </c>
      <c r="G58" s="341">
        <f t="shared" si="1"/>
        <v>0</v>
      </c>
      <c r="H58" s="395">
        <f>IF($A58="","",SUMIFS('Timesheet Raw'!$K$4:$K$8000,'Timesheet Raw'!$L$4:$L$8000,$A58,'Timesheet Raw'!$C$4:$C$8000,D$3))</f>
        <v>0</v>
      </c>
      <c r="I58" s="345">
        <f>IF($A58="","",SUMIFS('Timesheet Raw'!$P$4:$P$8000,'Timesheet Raw'!$L$4:$L$8000,$A58,'Timesheet Raw'!$C$4:$C$8000,D$3))</f>
        <v>7.5</v>
      </c>
      <c r="J58" s="375"/>
      <c r="K58" t="str">
        <f>IF($A58="","",IF(J58&lt;&gt;"",J58,IF($A58&gt;'Work Calendar'!$B$17,"No data yet",IF(AND(F58&gt;='Work Calendar'!$B$14,D58+E58+G58&gt;0),"Day off - but worked",IF(F58&gt;='Work Calendar'!$B$14,"Day off",IF(D58+E58+G58&gt;0,IF($C58="Working","Charged","Worked weekend"),IF($C58="Working","Leave (not charged)",$C58)))))))</f>
        <v>Charged</v>
      </c>
      <c r="L58" s="341">
        <f>IF($A58="","",SUMIFS('Timesheet Raw'!$P$4:$P$8000,'Timesheet Raw'!$L$4:$L$8000,$A58,'Timesheet Raw'!$C$4:$C$8000,L$3,'Timesheet Raw'!$A$4:$A$8000,"1-Projects"))</f>
        <v>6.75</v>
      </c>
      <c r="M58" s="341">
        <f>IF($A58="","",SUMIFS('Timesheet Raw'!$P$4:$P$8000,'Timesheet Raw'!$L$4:$L$8000,$A58,'Timesheet Raw'!$C$4:$C$8000,L$3,'Timesheet Raw'!$A$4:$A$8000,"2-Proposals Chargeable")+SUMIFS('Timesheet Raw'!$P$4:$P$8000,'Timesheet Raw'!$L$4:$L$8000,$A58,'Timesheet Raw'!$C$4:$C$8000,L$3,'Timesheet Raw'!$A$4:$A$8000,"3-Proposals Regular"))</f>
        <v>0</v>
      </c>
      <c r="N58" s="341">
        <f>IF($A58="","",SUMIFS('Timesheet Raw'!$P$4:$P$8000,'Timesheet Raw'!$L$4:$L$8000,$A58,'Timesheet Raw'!$C$4:$C$8000,L$3,'Timesheet Raw'!$B$4:$B$8000,'Work Calendar'!$A$26)+SUMIFS('Timesheet Raw'!$P$4:$P$8000,'Timesheet Raw'!$L$4:$L$8000,$A58,'Timesheet Raw'!$C$4:$C$8000,L$3,'Timesheet Raw'!$B$4:$B$8000,'Work Calendar'!$A$27)+SUMIFS('Timesheet Raw'!$P$4:$P$8000,'Timesheet Raw'!$L$4:$L$8000,$A58,'Timesheet Raw'!$C$4:$C$8000,L$3,'Timesheet Raw'!$B$4:$B$8000,'Work Calendar'!$A$28)+SUMIFS('Timesheet Raw'!$P$4:$P$8000,'Timesheet Raw'!$L$4:$L$8000,$A58,'Timesheet Raw'!$C$4:$C$8000,L$3,'Timesheet Raw'!$B$4:$B$8000,'Work Calendar'!$A$29))</f>
        <v>0.75</v>
      </c>
      <c r="O58" s="341">
        <f t="shared" si="2"/>
        <v>0</v>
      </c>
      <c r="P58" s="395">
        <f>IF($A58="","",SUMIFS('Timesheet Raw'!$K$4:$K$8000,'Timesheet Raw'!$L$4:$L$8000,$A58,'Timesheet Raw'!$C$4:$C$8000,L$3))</f>
        <v>0</v>
      </c>
      <c r="Q58" s="345">
        <f>IF($A58="","",SUMIFS('Timesheet Raw'!$P$4:$P$8000,'Timesheet Raw'!$L$4:$L$8000,$A58,'Timesheet Raw'!$C$4:$C$8000,L$3))</f>
        <v>7.5</v>
      </c>
      <c r="R58" s="375"/>
      <c r="S58" t="str">
        <f>IF($A58="","",IF(R58&lt;&gt;"",R58,IF($A58&gt;'Work Calendar'!$B$17,"No data yet",IF(AND(N58&gt;='Work Calendar'!$B$14,L58+M58+O58&gt;0),"Day off - but worked",IF(N58&gt;='Work Calendar'!$B$14,"Day off",IF(L58+M58+O58&gt;0,IF($C58="Working","Charged","Worked weekend"),IF($C58="Working","Leave (not charged)",$C58)))))))</f>
        <v>Charged</v>
      </c>
      <c r="T58" s="341">
        <f>IF($A58="","",SUMIFS('Timesheet Raw'!$P$4:$P$8000,'Timesheet Raw'!$L$4:$L$8000,$A58,'Timesheet Raw'!$C$4:$C$8000,T$3,'Timesheet Raw'!$A$4:$A$8000,"1-Projects"))</f>
        <v>7.25</v>
      </c>
      <c r="U58" s="341">
        <f>IF($A58="","",SUMIFS('Timesheet Raw'!$P$4:$P$8000,'Timesheet Raw'!$L$4:$L$8000,$A58,'Timesheet Raw'!$C$4:$C$8000,T$3,'Timesheet Raw'!$A$4:$A$8000,"2-Proposals Chargeable")+SUMIFS('Timesheet Raw'!$P$4:$P$8000,'Timesheet Raw'!$L$4:$L$8000,$A58,'Timesheet Raw'!$C$4:$C$8000,T$3,'Timesheet Raw'!$A$4:$A$8000,"3-Proposals Regular"))</f>
        <v>0</v>
      </c>
      <c r="V58" s="341">
        <f>IF($A58="","",SUMIFS('Timesheet Raw'!$P$4:$P$8000,'Timesheet Raw'!$L$4:$L$8000,$A58,'Timesheet Raw'!$C$4:$C$8000,T$3,'Timesheet Raw'!$B$4:$B$8000,'Work Calendar'!$A$26)+SUMIFS('Timesheet Raw'!$P$4:$P$8000,'Timesheet Raw'!$L$4:$L$8000,$A58,'Timesheet Raw'!$C$4:$C$8000,T$3,'Timesheet Raw'!$B$4:$B$8000,'Work Calendar'!$A$27)+SUMIFS('Timesheet Raw'!$P$4:$P$8000,'Timesheet Raw'!$L$4:$L$8000,$A58,'Timesheet Raw'!$C$4:$C$8000,T$3,'Timesheet Raw'!$B$4:$B$8000,'Work Calendar'!$A$28)+SUMIFS('Timesheet Raw'!$P$4:$P$8000,'Timesheet Raw'!$L$4:$L$8000,$A58,'Timesheet Raw'!$C$4:$C$8000,T$3,'Timesheet Raw'!$B$4:$B$8000,'Work Calendar'!$A$29))</f>
        <v>0.25</v>
      </c>
      <c r="W58" s="341">
        <f t="shared" si="3"/>
        <v>0</v>
      </c>
      <c r="X58" s="395">
        <f>IF($A58="","",SUMIFS('Timesheet Raw'!$K$4:$K$8000,'Timesheet Raw'!$L$4:$L$8000,$A58,'Timesheet Raw'!$C$4:$C$8000,T$3))</f>
        <v>0</v>
      </c>
      <c r="Y58" s="345">
        <f>IF($A58="","",SUMIFS('Timesheet Raw'!$P$4:$P$8000,'Timesheet Raw'!$L$4:$L$8000,$A58,'Timesheet Raw'!$C$4:$C$8000,T$3))</f>
        <v>7.5</v>
      </c>
      <c r="Z58" s="375"/>
      <c r="AA58" t="str">
        <f>IF($A58="","",IF(Z58&lt;&gt;"",Z58,IF($A58&gt;'Work Calendar'!$B$17,"No data yet",IF(AND(V58&gt;='Work Calendar'!$B$14,T58+U58+W58&gt;0),"Day off - but worked",IF(V58&gt;='Work Calendar'!$B$14,"Day off",IF(T58+U58+W58&gt;0,IF($C58="Working","Charged","Worked weekend"),IF($C58="Working","Leave (not charged)",$C58)))))))</f>
        <v>Charged</v>
      </c>
    </row>
    <row r="59" spans="1:27" x14ac:dyDescent="0.3">
      <c r="A59" s="371">
        <f>IF($A58="","",IF($A58+1&gt;'Work Calendar'!$B$16,"",$A58+1))</f>
        <v>46077</v>
      </c>
      <c r="B59" t="str">
        <f t="shared" si="0"/>
        <v>Tue</v>
      </c>
      <c r="C59" t="str" cm="1">
        <f t="array" ref="C59">IF($A59="","",IF(COUNTIF('Work Calendar'!$E$6:$E$200,$A59)&gt;0,"Holiday",IF(INDEX('Work Calendar'!$C$6:$C$12,WEEKDAY($A59,1))=1,"Working","Weekend")))</f>
        <v>Working</v>
      </c>
      <c r="D59" s="341">
        <f>IF($A59="","",SUMIFS('Timesheet Raw'!$P$4:$P$8000,'Timesheet Raw'!$L$4:$L$8000,$A59,'Timesheet Raw'!$C$4:$C$8000,D$3,'Timesheet Raw'!$A$4:$A$8000,"1-Projects"))</f>
        <v>8.5</v>
      </c>
      <c r="E59" s="341">
        <f>IF($A59="","",SUMIFS('Timesheet Raw'!$P$4:$P$8000,'Timesheet Raw'!$L$4:$L$8000,$A59,'Timesheet Raw'!$C$4:$C$8000,D$3,'Timesheet Raw'!$A$4:$A$8000,"2-Proposals Chargeable")+SUMIFS('Timesheet Raw'!$P$4:$P$8000,'Timesheet Raw'!$L$4:$L$8000,$A59,'Timesheet Raw'!$C$4:$C$8000,D$3,'Timesheet Raw'!$A$4:$A$8000,"3-Proposals Regular"))</f>
        <v>1</v>
      </c>
      <c r="F59" s="341">
        <f>IF($A59="","",SUMIFS('Timesheet Raw'!$P$4:$P$8000,'Timesheet Raw'!$L$4:$L$8000,$A59,'Timesheet Raw'!$C$4:$C$8000,D$3,'Timesheet Raw'!$B$4:$B$8000,'Work Calendar'!$A$26)+SUMIFS('Timesheet Raw'!$P$4:$P$8000,'Timesheet Raw'!$L$4:$L$8000,$A59,'Timesheet Raw'!$C$4:$C$8000,D$3,'Timesheet Raw'!$B$4:$B$8000,'Work Calendar'!$A$27)+SUMIFS('Timesheet Raw'!$P$4:$P$8000,'Timesheet Raw'!$L$4:$L$8000,$A59,'Timesheet Raw'!$C$4:$C$8000,D$3,'Timesheet Raw'!$B$4:$B$8000,'Work Calendar'!$A$28)+SUMIFS('Timesheet Raw'!$P$4:$P$8000,'Timesheet Raw'!$L$4:$L$8000,$A59,'Timesheet Raw'!$C$4:$C$8000,D$3,'Timesheet Raw'!$B$4:$B$8000,'Work Calendar'!$A$29))</f>
        <v>1</v>
      </c>
      <c r="G59" s="341">
        <f t="shared" si="1"/>
        <v>0</v>
      </c>
      <c r="H59" s="395">
        <f>IF($A59="","",SUMIFS('Timesheet Raw'!$K$4:$K$8000,'Timesheet Raw'!$L$4:$L$8000,$A59,'Timesheet Raw'!$C$4:$C$8000,D$3))</f>
        <v>3</v>
      </c>
      <c r="I59" s="345">
        <f>IF($A59="","",SUMIFS('Timesheet Raw'!$P$4:$P$8000,'Timesheet Raw'!$L$4:$L$8000,$A59,'Timesheet Raw'!$C$4:$C$8000,D$3))</f>
        <v>10.5</v>
      </c>
      <c r="J59" s="375"/>
      <c r="K59" t="str">
        <f>IF($A59="","",IF(J59&lt;&gt;"",J59,IF($A59&gt;'Work Calendar'!$B$17,"No data yet",IF(AND(F59&gt;='Work Calendar'!$B$14,D59+E59+G59&gt;0),"Day off - but worked",IF(F59&gt;='Work Calendar'!$B$14,"Day off",IF(D59+E59+G59&gt;0,IF($C59="Working","Charged","Worked weekend"),IF($C59="Working","Leave (not charged)",$C59)))))))</f>
        <v>Charged</v>
      </c>
      <c r="L59" s="341">
        <f>IF($A59="","",SUMIFS('Timesheet Raw'!$P$4:$P$8000,'Timesheet Raw'!$L$4:$L$8000,$A59,'Timesheet Raw'!$C$4:$C$8000,L$3,'Timesheet Raw'!$A$4:$A$8000,"1-Projects"))</f>
        <v>7</v>
      </c>
      <c r="M59" s="341">
        <f>IF($A59="","",SUMIFS('Timesheet Raw'!$P$4:$P$8000,'Timesheet Raw'!$L$4:$L$8000,$A59,'Timesheet Raw'!$C$4:$C$8000,L$3,'Timesheet Raw'!$A$4:$A$8000,"2-Proposals Chargeable")+SUMIFS('Timesheet Raw'!$P$4:$P$8000,'Timesheet Raw'!$L$4:$L$8000,$A59,'Timesheet Raw'!$C$4:$C$8000,L$3,'Timesheet Raw'!$A$4:$A$8000,"3-Proposals Regular"))</f>
        <v>0</v>
      </c>
      <c r="N59" s="341">
        <f>IF($A59="","",SUMIFS('Timesheet Raw'!$P$4:$P$8000,'Timesheet Raw'!$L$4:$L$8000,$A59,'Timesheet Raw'!$C$4:$C$8000,L$3,'Timesheet Raw'!$B$4:$B$8000,'Work Calendar'!$A$26)+SUMIFS('Timesheet Raw'!$P$4:$P$8000,'Timesheet Raw'!$L$4:$L$8000,$A59,'Timesheet Raw'!$C$4:$C$8000,L$3,'Timesheet Raw'!$B$4:$B$8000,'Work Calendar'!$A$27)+SUMIFS('Timesheet Raw'!$P$4:$P$8000,'Timesheet Raw'!$L$4:$L$8000,$A59,'Timesheet Raw'!$C$4:$C$8000,L$3,'Timesheet Raw'!$B$4:$B$8000,'Work Calendar'!$A$28)+SUMIFS('Timesheet Raw'!$P$4:$P$8000,'Timesheet Raw'!$L$4:$L$8000,$A59,'Timesheet Raw'!$C$4:$C$8000,L$3,'Timesheet Raw'!$B$4:$B$8000,'Work Calendar'!$A$29))</f>
        <v>0.5</v>
      </c>
      <c r="O59" s="341">
        <f t="shared" si="2"/>
        <v>0</v>
      </c>
      <c r="P59" s="395">
        <f>IF($A59="","",SUMIFS('Timesheet Raw'!$K$4:$K$8000,'Timesheet Raw'!$L$4:$L$8000,$A59,'Timesheet Raw'!$C$4:$C$8000,L$3))</f>
        <v>0</v>
      </c>
      <c r="Q59" s="345">
        <f>IF($A59="","",SUMIFS('Timesheet Raw'!$P$4:$P$8000,'Timesheet Raw'!$L$4:$L$8000,$A59,'Timesheet Raw'!$C$4:$C$8000,L$3))</f>
        <v>7.5</v>
      </c>
      <c r="R59" s="375"/>
      <c r="S59" t="str">
        <f>IF($A59="","",IF(R59&lt;&gt;"",R59,IF($A59&gt;'Work Calendar'!$B$17,"No data yet",IF(AND(N59&gt;='Work Calendar'!$B$14,L59+M59+O59&gt;0),"Day off - but worked",IF(N59&gt;='Work Calendar'!$B$14,"Day off",IF(L59+M59+O59&gt;0,IF($C59="Working","Charged","Worked weekend"),IF($C59="Working","Leave (not charged)",$C59)))))))</f>
        <v>Charged</v>
      </c>
      <c r="T59" s="341">
        <f>IF($A59="","",SUMIFS('Timesheet Raw'!$P$4:$P$8000,'Timesheet Raw'!$L$4:$L$8000,$A59,'Timesheet Raw'!$C$4:$C$8000,T$3,'Timesheet Raw'!$A$4:$A$8000,"1-Projects"))</f>
        <v>6.5</v>
      </c>
      <c r="U59" s="341">
        <f>IF($A59="","",SUMIFS('Timesheet Raw'!$P$4:$P$8000,'Timesheet Raw'!$L$4:$L$8000,$A59,'Timesheet Raw'!$C$4:$C$8000,T$3,'Timesheet Raw'!$A$4:$A$8000,"2-Proposals Chargeable")+SUMIFS('Timesheet Raw'!$P$4:$P$8000,'Timesheet Raw'!$L$4:$L$8000,$A59,'Timesheet Raw'!$C$4:$C$8000,T$3,'Timesheet Raw'!$A$4:$A$8000,"3-Proposals Regular"))</f>
        <v>0</v>
      </c>
      <c r="V59" s="341">
        <f>IF($A59="","",SUMIFS('Timesheet Raw'!$P$4:$P$8000,'Timesheet Raw'!$L$4:$L$8000,$A59,'Timesheet Raw'!$C$4:$C$8000,T$3,'Timesheet Raw'!$B$4:$B$8000,'Work Calendar'!$A$26)+SUMIFS('Timesheet Raw'!$P$4:$P$8000,'Timesheet Raw'!$L$4:$L$8000,$A59,'Timesheet Raw'!$C$4:$C$8000,T$3,'Timesheet Raw'!$B$4:$B$8000,'Work Calendar'!$A$27)+SUMIFS('Timesheet Raw'!$P$4:$P$8000,'Timesheet Raw'!$L$4:$L$8000,$A59,'Timesheet Raw'!$C$4:$C$8000,T$3,'Timesheet Raw'!$B$4:$B$8000,'Work Calendar'!$A$28)+SUMIFS('Timesheet Raw'!$P$4:$P$8000,'Timesheet Raw'!$L$4:$L$8000,$A59,'Timesheet Raw'!$C$4:$C$8000,T$3,'Timesheet Raw'!$B$4:$B$8000,'Work Calendar'!$A$29))</f>
        <v>1</v>
      </c>
      <c r="W59" s="341">
        <f t="shared" si="3"/>
        <v>0</v>
      </c>
      <c r="X59" s="395">
        <f>IF($A59="","",SUMIFS('Timesheet Raw'!$K$4:$K$8000,'Timesheet Raw'!$L$4:$L$8000,$A59,'Timesheet Raw'!$C$4:$C$8000,T$3))</f>
        <v>0</v>
      </c>
      <c r="Y59" s="345">
        <f>IF($A59="","",SUMIFS('Timesheet Raw'!$P$4:$P$8000,'Timesheet Raw'!$L$4:$L$8000,$A59,'Timesheet Raw'!$C$4:$C$8000,T$3))</f>
        <v>7.5</v>
      </c>
      <c r="Z59" s="375"/>
      <c r="AA59" t="str">
        <f>IF($A59="","",IF(Z59&lt;&gt;"",Z59,IF($A59&gt;'Work Calendar'!$B$17,"No data yet",IF(AND(V59&gt;='Work Calendar'!$B$14,T59+U59+W59&gt;0),"Day off - but worked",IF(V59&gt;='Work Calendar'!$B$14,"Day off",IF(T59+U59+W59&gt;0,IF($C59="Working","Charged","Worked weekend"),IF($C59="Working","Leave (not charged)",$C59)))))))</f>
        <v>Charged</v>
      </c>
    </row>
    <row r="60" spans="1:27" x14ac:dyDescent="0.3">
      <c r="A60" s="371">
        <f>IF($A59="","",IF($A59+1&gt;'Work Calendar'!$B$16,"",$A59+1))</f>
        <v>46078</v>
      </c>
      <c r="B60" t="str">
        <f t="shared" si="0"/>
        <v>Wed</v>
      </c>
      <c r="C60" t="str" cm="1">
        <f t="array" ref="C60">IF($A60="","",IF(COUNTIF('Work Calendar'!$E$6:$E$200,$A60)&gt;0,"Holiday",IF(INDEX('Work Calendar'!$C$6:$C$12,WEEKDAY($A60,1))=1,"Working","Weekend")))</f>
        <v>Working</v>
      </c>
      <c r="D60" s="341">
        <f>IF($A60="","",SUMIFS('Timesheet Raw'!$P$4:$P$8000,'Timesheet Raw'!$L$4:$L$8000,$A60,'Timesheet Raw'!$C$4:$C$8000,D$3,'Timesheet Raw'!$A$4:$A$8000,"1-Projects"))</f>
        <v>5</v>
      </c>
      <c r="E60" s="341">
        <f>IF($A60="","",SUMIFS('Timesheet Raw'!$P$4:$P$8000,'Timesheet Raw'!$L$4:$L$8000,$A60,'Timesheet Raw'!$C$4:$C$8000,D$3,'Timesheet Raw'!$A$4:$A$8000,"2-Proposals Chargeable")+SUMIFS('Timesheet Raw'!$P$4:$P$8000,'Timesheet Raw'!$L$4:$L$8000,$A60,'Timesheet Raw'!$C$4:$C$8000,D$3,'Timesheet Raw'!$A$4:$A$8000,"3-Proposals Regular"))</f>
        <v>2</v>
      </c>
      <c r="F60" s="341">
        <f>IF($A60="","",SUMIFS('Timesheet Raw'!$P$4:$P$8000,'Timesheet Raw'!$L$4:$L$8000,$A60,'Timesheet Raw'!$C$4:$C$8000,D$3,'Timesheet Raw'!$B$4:$B$8000,'Work Calendar'!$A$26)+SUMIFS('Timesheet Raw'!$P$4:$P$8000,'Timesheet Raw'!$L$4:$L$8000,$A60,'Timesheet Raw'!$C$4:$C$8000,D$3,'Timesheet Raw'!$B$4:$B$8000,'Work Calendar'!$A$27)+SUMIFS('Timesheet Raw'!$P$4:$P$8000,'Timesheet Raw'!$L$4:$L$8000,$A60,'Timesheet Raw'!$C$4:$C$8000,D$3,'Timesheet Raw'!$B$4:$B$8000,'Work Calendar'!$A$28)+SUMIFS('Timesheet Raw'!$P$4:$P$8000,'Timesheet Raw'!$L$4:$L$8000,$A60,'Timesheet Raw'!$C$4:$C$8000,D$3,'Timesheet Raw'!$B$4:$B$8000,'Work Calendar'!$A$29))</f>
        <v>0.5</v>
      </c>
      <c r="G60" s="341">
        <f t="shared" si="1"/>
        <v>0</v>
      </c>
      <c r="H60" s="395">
        <f>IF($A60="","",SUMIFS('Timesheet Raw'!$K$4:$K$8000,'Timesheet Raw'!$L$4:$L$8000,$A60,'Timesheet Raw'!$C$4:$C$8000,D$3))</f>
        <v>0</v>
      </c>
      <c r="I60" s="345">
        <f>IF($A60="","",SUMIFS('Timesheet Raw'!$P$4:$P$8000,'Timesheet Raw'!$L$4:$L$8000,$A60,'Timesheet Raw'!$C$4:$C$8000,D$3))</f>
        <v>7.5</v>
      </c>
      <c r="J60" s="375"/>
      <c r="K60" t="str">
        <f>IF($A60="","",IF(J60&lt;&gt;"",J60,IF($A60&gt;'Work Calendar'!$B$17,"No data yet",IF(AND(F60&gt;='Work Calendar'!$B$14,D60+E60+G60&gt;0),"Day off - but worked",IF(F60&gt;='Work Calendar'!$B$14,"Day off",IF(D60+E60+G60&gt;0,IF($C60="Working","Charged","Worked weekend"),IF($C60="Working","Leave (not charged)",$C60)))))))</f>
        <v>Charged</v>
      </c>
      <c r="L60" s="341">
        <f>IF($A60="","",SUMIFS('Timesheet Raw'!$P$4:$P$8000,'Timesheet Raw'!$L$4:$L$8000,$A60,'Timesheet Raw'!$C$4:$C$8000,L$3,'Timesheet Raw'!$A$4:$A$8000,"1-Projects"))</f>
        <v>6.75</v>
      </c>
      <c r="M60" s="341">
        <f>IF($A60="","",SUMIFS('Timesheet Raw'!$P$4:$P$8000,'Timesheet Raw'!$L$4:$L$8000,$A60,'Timesheet Raw'!$C$4:$C$8000,L$3,'Timesheet Raw'!$A$4:$A$8000,"2-Proposals Chargeable")+SUMIFS('Timesheet Raw'!$P$4:$P$8000,'Timesheet Raw'!$L$4:$L$8000,$A60,'Timesheet Raw'!$C$4:$C$8000,L$3,'Timesheet Raw'!$A$4:$A$8000,"3-Proposals Regular"))</f>
        <v>0</v>
      </c>
      <c r="N60" s="341">
        <f>IF($A60="","",SUMIFS('Timesheet Raw'!$P$4:$P$8000,'Timesheet Raw'!$L$4:$L$8000,$A60,'Timesheet Raw'!$C$4:$C$8000,L$3,'Timesheet Raw'!$B$4:$B$8000,'Work Calendar'!$A$26)+SUMIFS('Timesheet Raw'!$P$4:$P$8000,'Timesheet Raw'!$L$4:$L$8000,$A60,'Timesheet Raw'!$C$4:$C$8000,L$3,'Timesheet Raw'!$B$4:$B$8000,'Work Calendar'!$A$27)+SUMIFS('Timesheet Raw'!$P$4:$P$8000,'Timesheet Raw'!$L$4:$L$8000,$A60,'Timesheet Raw'!$C$4:$C$8000,L$3,'Timesheet Raw'!$B$4:$B$8000,'Work Calendar'!$A$28)+SUMIFS('Timesheet Raw'!$P$4:$P$8000,'Timesheet Raw'!$L$4:$L$8000,$A60,'Timesheet Raw'!$C$4:$C$8000,L$3,'Timesheet Raw'!$B$4:$B$8000,'Work Calendar'!$A$29))</f>
        <v>0.75</v>
      </c>
      <c r="O60" s="341">
        <f t="shared" si="2"/>
        <v>0</v>
      </c>
      <c r="P60" s="395">
        <f>IF($A60="","",SUMIFS('Timesheet Raw'!$K$4:$K$8000,'Timesheet Raw'!$L$4:$L$8000,$A60,'Timesheet Raw'!$C$4:$C$8000,L$3))</f>
        <v>0</v>
      </c>
      <c r="Q60" s="345">
        <f>IF($A60="","",SUMIFS('Timesheet Raw'!$P$4:$P$8000,'Timesheet Raw'!$L$4:$L$8000,$A60,'Timesheet Raw'!$C$4:$C$8000,L$3))</f>
        <v>7.5</v>
      </c>
      <c r="R60" s="375"/>
      <c r="S60" t="str">
        <f>IF($A60="","",IF(R60&lt;&gt;"",R60,IF($A60&gt;'Work Calendar'!$B$17,"No data yet",IF(AND(N60&gt;='Work Calendar'!$B$14,L60+M60+O60&gt;0),"Day off - but worked",IF(N60&gt;='Work Calendar'!$B$14,"Day off",IF(L60+M60+O60&gt;0,IF($C60="Working","Charged","Worked weekend"),IF($C60="Working","Leave (not charged)",$C60)))))))</f>
        <v>Charged</v>
      </c>
      <c r="T60" s="341">
        <f>IF($A60="","",SUMIFS('Timesheet Raw'!$P$4:$P$8000,'Timesheet Raw'!$L$4:$L$8000,$A60,'Timesheet Raw'!$C$4:$C$8000,T$3,'Timesheet Raw'!$A$4:$A$8000,"1-Projects"))</f>
        <v>0</v>
      </c>
      <c r="U60" s="341">
        <f>IF($A60="","",SUMIFS('Timesheet Raw'!$P$4:$P$8000,'Timesheet Raw'!$L$4:$L$8000,$A60,'Timesheet Raw'!$C$4:$C$8000,T$3,'Timesheet Raw'!$A$4:$A$8000,"2-Proposals Chargeable")+SUMIFS('Timesheet Raw'!$P$4:$P$8000,'Timesheet Raw'!$L$4:$L$8000,$A60,'Timesheet Raw'!$C$4:$C$8000,T$3,'Timesheet Raw'!$A$4:$A$8000,"3-Proposals Regular"))</f>
        <v>7</v>
      </c>
      <c r="V60" s="341">
        <f>IF($A60="","",SUMIFS('Timesheet Raw'!$P$4:$P$8000,'Timesheet Raw'!$L$4:$L$8000,$A60,'Timesheet Raw'!$C$4:$C$8000,T$3,'Timesheet Raw'!$B$4:$B$8000,'Work Calendar'!$A$26)+SUMIFS('Timesheet Raw'!$P$4:$P$8000,'Timesheet Raw'!$L$4:$L$8000,$A60,'Timesheet Raw'!$C$4:$C$8000,T$3,'Timesheet Raw'!$B$4:$B$8000,'Work Calendar'!$A$27)+SUMIFS('Timesheet Raw'!$P$4:$P$8000,'Timesheet Raw'!$L$4:$L$8000,$A60,'Timesheet Raw'!$C$4:$C$8000,T$3,'Timesheet Raw'!$B$4:$B$8000,'Work Calendar'!$A$28)+SUMIFS('Timesheet Raw'!$P$4:$P$8000,'Timesheet Raw'!$L$4:$L$8000,$A60,'Timesheet Raw'!$C$4:$C$8000,T$3,'Timesheet Raw'!$B$4:$B$8000,'Work Calendar'!$A$29))</f>
        <v>0.5</v>
      </c>
      <c r="W60" s="341">
        <f t="shared" si="3"/>
        <v>0</v>
      </c>
      <c r="X60" s="395">
        <f>IF($A60="","",SUMIFS('Timesheet Raw'!$K$4:$K$8000,'Timesheet Raw'!$L$4:$L$8000,$A60,'Timesheet Raw'!$C$4:$C$8000,T$3))</f>
        <v>0</v>
      </c>
      <c r="Y60" s="345">
        <f>IF($A60="","",SUMIFS('Timesheet Raw'!$P$4:$P$8000,'Timesheet Raw'!$L$4:$L$8000,$A60,'Timesheet Raw'!$C$4:$C$8000,T$3))</f>
        <v>7.5</v>
      </c>
      <c r="Z60" s="375"/>
      <c r="AA60" t="str">
        <f>IF($A60="","",IF(Z60&lt;&gt;"",Z60,IF($A60&gt;'Work Calendar'!$B$17,"No data yet",IF(AND(V60&gt;='Work Calendar'!$B$14,T60+U60+W60&gt;0),"Day off - but worked",IF(V60&gt;='Work Calendar'!$B$14,"Day off",IF(T60+U60+W60&gt;0,IF($C60="Working","Charged","Worked weekend"),IF($C60="Working","Leave (not charged)",$C60)))))))</f>
        <v>Charged</v>
      </c>
    </row>
    <row r="61" spans="1:27" x14ac:dyDescent="0.3">
      <c r="A61" s="371">
        <f>IF($A60="","",IF($A60+1&gt;'Work Calendar'!$B$16,"",$A60+1))</f>
        <v>46079</v>
      </c>
      <c r="B61" t="str">
        <f t="shared" si="0"/>
        <v>Thu</v>
      </c>
      <c r="C61" t="str" cm="1">
        <f t="array" ref="C61">IF($A61="","",IF(COUNTIF('Work Calendar'!$E$6:$E$200,$A61)&gt;0,"Holiday",IF(INDEX('Work Calendar'!$C$6:$C$12,WEEKDAY($A61,1))=1,"Working","Weekend")))</f>
        <v>Working</v>
      </c>
      <c r="D61" s="341">
        <f>IF($A61="","",SUMIFS('Timesheet Raw'!$P$4:$P$8000,'Timesheet Raw'!$L$4:$L$8000,$A61,'Timesheet Raw'!$C$4:$C$8000,D$3,'Timesheet Raw'!$A$4:$A$8000,"1-Projects"))</f>
        <v>0</v>
      </c>
      <c r="E61" s="341">
        <f>IF($A61="","",SUMIFS('Timesheet Raw'!$P$4:$P$8000,'Timesheet Raw'!$L$4:$L$8000,$A61,'Timesheet Raw'!$C$4:$C$8000,D$3,'Timesheet Raw'!$A$4:$A$8000,"2-Proposals Chargeable")+SUMIFS('Timesheet Raw'!$P$4:$P$8000,'Timesheet Raw'!$L$4:$L$8000,$A61,'Timesheet Raw'!$C$4:$C$8000,D$3,'Timesheet Raw'!$A$4:$A$8000,"3-Proposals Regular"))</f>
        <v>6.5</v>
      </c>
      <c r="F61" s="341">
        <f>IF($A61="","",SUMIFS('Timesheet Raw'!$P$4:$P$8000,'Timesheet Raw'!$L$4:$L$8000,$A61,'Timesheet Raw'!$C$4:$C$8000,D$3,'Timesheet Raw'!$B$4:$B$8000,'Work Calendar'!$A$26)+SUMIFS('Timesheet Raw'!$P$4:$P$8000,'Timesheet Raw'!$L$4:$L$8000,$A61,'Timesheet Raw'!$C$4:$C$8000,D$3,'Timesheet Raw'!$B$4:$B$8000,'Work Calendar'!$A$27)+SUMIFS('Timesheet Raw'!$P$4:$P$8000,'Timesheet Raw'!$L$4:$L$8000,$A61,'Timesheet Raw'!$C$4:$C$8000,D$3,'Timesheet Raw'!$B$4:$B$8000,'Work Calendar'!$A$28)+SUMIFS('Timesheet Raw'!$P$4:$P$8000,'Timesheet Raw'!$L$4:$L$8000,$A61,'Timesheet Raw'!$C$4:$C$8000,D$3,'Timesheet Raw'!$B$4:$B$8000,'Work Calendar'!$A$29))</f>
        <v>1</v>
      </c>
      <c r="G61" s="341">
        <f t="shared" si="1"/>
        <v>0</v>
      </c>
      <c r="H61" s="395">
        <f>IF($A61="","",SUMIFS('Timesheet Raw'!$K$4:$K$8000,'Timesheet Raw'!$L$4:$L$8000,$A61,'Timesheet Raw'!$C$4:$C$8000,D$3))</f>
        <v>0</v>
      </c>
      <c r="I61" s="345">
        <f>IF($A61="","",SUMIFS('Timesheet Raw'!$P$4:$P$8000,'Timesheet Raw'!$L$4:$L$8000,$A61,'Timesheet Raw'!$C$4:$C$8000,D$3))</f>
        <v>7.5</v>
      </c>
      <c r="J61" s="375"/>
      <c r="K61" t="str">
        <f>IF($A61="","",IF(J61&lt;&gt;"",J61,IF($A61&gt;'Work Calendar'!$B$17,"No data yet",IF(AND(F61&gt;='Work Calendar'!$B$14,D61+E61+G61&gt;0),"Day off - but worked",IF(F61&gt;='Work Calendar'!$B$14,"Day off",IF(D61+E61+G61&gt;0,IF($C61="Working","Charged","Worked weekend"),IF($C61="Working","Leave (not charged)",$C61)))))))</f>
        <v>Charged</v>
      </c>
      <c r="L61" s="341">
        <f>IF($A61="","",SUMIFS('Timesheet Raw'!$P$4:$P$8000,'Timesheet Raw'!$L$4:$L$8000,$A61,'Timesheet Raw'!$C$4:$C$8000,L$3,'Timesheet Raw'!$A$4:$A$8000,"1-Projects"))</f>
        <v>7.25</v>
      </c>
      <c r="M61" s="341">
        <f>IF($A61="","",SUMIFS('Timesheet Raw'!$P$4:$P$8000,'Timesheet Raw'!$L$4:$L$8000,$A61,'Timesheet Raw'!$C$4:$C$8000,L$3,'Timesheet Raw'!$A$4:$A$8000,"2-Proposals Chargeable")+SUMIFS('Timesheet Raw'!$P$4:$P$8000,'Timesheet Raw'!$L$4:$L$8000,$A61,'Timesheet Raw'!$C$4:$C$8000,L$3,'Timesheet Raw'!$A$4:$A$8000,"3-Proposals Regular"))</f>
        <v>0</v>
      </c>
      <c r="N61" s="341">
        <f>IF($A61="","",SUMIFS('Timesheet Raw'!$P$4:$P$8000,'Timesheet Raw'!$L$4:$L$8000,$A61,'Timesheet Raw'!$C$4:$C$8000,L$3,'Timesheet Raw'!$B$4:$B$8000,'Work Calendar'!$A$26)+SUMIFS('Timesheet Raw'!$P$4:$P$8000,'Timesheet Raw'!$L$4:$L$8000,$A61,'Timesheet Raw'!$C$4:$C$8000,L$3,'Timesheet Raw'!$B$4:$B$8000,'Work Calendar'!$A$27)+SUMIFS('Timesheet Raw'!$P$4:$P$8000,'Timesheet Raw'!$L$4:$L$8000,$A61,'Timesheet Raw'!$C$4:$C$8000,L$3,'Timesheet Raw'!$B$4:$B$8000,'Work Calendar'!$A$28)+SUMIFS('Timesheet Raw'!$P$4:$P$8000,'Timesheet Raw'!$L$4:$L$8000,$A61,'Timesheet Raw'!$C$4:$C$8000,L$3,'Timesheet Raw'!$B$4:$B$8000,'Work Calendar'!$A$29))</f>
        <v>0.25</v>
      </c>
      <c r="O61" s="341">
        <f t="shared" si="2"/>
        <v>0</v>
      </c>
      <c r="P61" s="395">
        <f>IF($A61="","",SUMIFS('Timesheet Raw'!$K$4:$K$8000,'Timesheet Raw'!$L$4:$L$8000,$A61,'Timesheet Raw'!$C$4:$C$8000,L$3))</f>
        <v>0</v>
      </c>
      <c r="Q61" s="345">
        <f>IF($A61="","",SUMIFS('Timesheet Raw'!$P$4:$P$8000,'Timesheet Raw'!$L$4:$L$8000,$A61,'Timesheet Raw'!$C$4:$C$8000,L$3))</f>
        <v>7.5</v>
      </c>
      <c r="R61" s="375"/>
      <c r="S61" t="str">
        <f>IF($A61="","",IF(R61&lt;&gt;"",R61,IF($A61&gt;'Work Calendar'!$B$17,"No data yet",IF(AND(N61&gt;='Work Calendar'!$B$14,L61+M61+O61&gt;0),"Day off - but worked",IF(N61&gt;='Work Calendar'!$B$14,"Day off",IF(L61+M61+O61&gt;0,IF($C61="Working","Charged","Worked weekend"),IF($C61="Working","Leave (not charged)",$C61)))))))</f>
        <v>Charged</v>
      </c>
      <c r="T61" s="341">
        <f>IF($A61="","",SUMIFS('Timesheet Raw'!$P$4:$P$8000,'Timesheet Raw'!$L$4:$L$8000,$A61,'Timesheet Raw'!$C$4:$C$8000,T$3,'Timesheet Raw'!$A$4:$A$8000,"1-Projects"))</f>
        <v>0</v>
      </c>
      <c r="U61" s="341">
        <f>IF($A61="","",SUMIFS('Timesheet Raw'!$P$4:$P$8000,'Timesheet Raw'!$L$4:$L$8000,$A61,'Timesheet Raw'!$C$4:$C$8000,T$3,'Timesheet Raw'!$A$4:$A$8000,"2-Proposals Chargeable")+SUMIFS('Timesheet Raw'!$P$4:$P$8000,'Timesheet Raw'!$L$4:$L$8000,$A61,'Timesheet Raw'!$C$4:$C$8000,T$3,'Timesheet Raw'!$A$4:$A$8000,"3-Proposals Regular"))</f>
        <v>6.5</v>
      </c>
      <c r="V61" s="341">
        <f>IF($A61="","",SUMIFS('Timesheet Raw'!$P$4:$P$8000,'Timesheet Raw'!$L$4:$L$8000,$A61,'Timesheet Raw'!$C$4:$C$8000,T$3,'Timesheet Raw'!$B$4:$B$8000,'Work Calendar'!$A$26)+SUMIFS('Timesheet Raw'!$P$4:$P$8000,'Timesheet Raw'!$L$4:$L$8000,$A61,'Timesheet Raw'!$C$4:$C$8000,T$3,'Timesheet Raw'!$B$4:$B$8000,'Work Calendar'!$A$27)+SUMIFS('Timesheet Raw'!$P$4:$P$8000,'Timesheet Raw'!$L$4:$L$8000,$A61,'Timesheet Raw'!$C$4:$C$8000,T$3,'Timesheet Raw'!$B$4:$B$8000,'Work Calendar'!$A$28)+SUMIFS('Timesheet Raw'!$P$4:$P$8000,'Timesheet Raw'!$L$4:$L$8000,$A61,'Timesheet Raw'!$C$4:$C$8000,T$3,'Timesheet Raw'!$B$4:$B$8000,'Work Calendar'!$A$29))</f>
        <v>1</v>
      </c>
      <c r="W61" s="341">
        <f t="shared" si="3"/>
        <v>0</v>
      </c>
      <c r="X61" s="395">
        <f>IF($A61="","",SUMIFS('Timesheet Raw'!$K$4:$K$8000,'Timesheet Raw'!$L$4:$L$8000,$A61,'Timesheet Raw'!$C$4:$C$8000,T$3))</f>
        <v>0</v>
      </c>
      <c r="Y61" s="345">
        <f>IF($A61="","",SUMIFS('Timesheet Raw'!$P$4:$P$8000,'Timesheet Raw'!$L$4:$L$8000,$A61,'Timesheet Raw'!$C$4:$C$8000,T$3))</f>
        <v>7.5</v>
      </c>
      <c r="Z61" s="375"/>
      <c r="AA61" t="str">
        <f>IF($A61="","",IF(Z61&lt;&gt;"",Z61,IF($A61&gt;'Work Calendar'!$B$17,"No data yet",IF(AND(V61&gt;='Work Calendar'!$B$14,T61+U61+W61&gt;0),"Day off - but worked",IF(V61&gt;='Work Calendar'!$B$14,"Day off",IF(T61+U61+W61&gt;0,IF($C61="Working","Charged","Worked weekend"),IF($C61="Working","Leave (not charged)",$C61)))))))</f>
        <v>Charged</v>
      </c>
    </row>
    <row r="62" spans="1:27" x14ac:dyDescent="0.3">
      <c r="A62" s="371">
        <f>IF($A61="","",IF($A61+1&gt;'Work Calendar'!$B$16,"",$A61+1))</f>
        <v>46080</v>
      </c>
      <c r="B62" t="str">
        <f t="shared" si="0"/>
        <v>Fri</v>
      </c>
      <c r="C62" t="str" cm="1">
        <f t="array" ref="C62">IF($A62="","",IF(COUNTIF('Work Calendar'!$E$6:$E$200,$A62)&gt;0,"Holiday",IF(INDEX('Work Calendar'!$C$6:$C$12,WEEKDAY($A62,1))=1,"Working","Weekend")))</f>
        <v>Weekend</v>
      </c>
      <c r="D62" s="341">
        <f>IF($A62="","",SUMIFS('Timesheet Raw'!$P$4:$P$8000,'Timesheet Raw'!$L$4:$L$8000,$A62,'Timesheet Raw'!$C$4:$C$8000,D$3,'Timesheet Raw'!$A$4:$A$8000,"1-Projects"))</f>
        <v>0</v>
      </c>
      <c r="E62" s="341">
        <f>IF($A62="","",SUMIFS('Timesheet Raw'!$P$4:$P$8000,'Timesheet Raw'!$L$4:$L$8000,$A62,'Timesheet Raw'!$C$4:$C$8000,D$3,'Timesheet Raw'!$A$4:$A$8000,"2-Proposals Chargeable")+SUMIFS('Timesheet Raw'!$P$4:$P$8000,'Timesheet Raw'!$L$4:$L$8000,$A62,'Timesheet Raw'!$C$4:$C$8000,D$3,'Timesheet Raw'!$A$4:$A$8000,"3-Proposals Regular"))</f>
        <v>0</v>
      </c>
      <c r="F62" s="341">
        <f>IF($A62="","",SUMIFS('Timesheet Raw'!$P$4:$P$8000,'Timesheet Raw'!$L$4:$L$8000,$A62,'Timesheet Raw'!$C$4:$C$8000,D$3,'Timesheet Raw'!$B$4:$B$8000,'Work Calendar'!$A$26)+SUMIFS('Timesheet Raw'!$P$4:$P$8000,'Timesheet Raw'!$L$4:$L$8000,$A62,'Timesheet Raw'!$C$4:$C$8000,D$3,'Timesheet Raw'!$B$4:$B$8000,'Work Calendar'!$A$27)+SUMIFS('Timesheet Raw'!$P$4:$P$8000,'Timesheet Raw'!$L$4:$L$8000,$A62,'Timesheet Raw'!$C$4:$C$8000,D$3,'Timesheet Raw'!$B$4:$B$8000,'Work Calendar'!$A$28)+SUMIFS('Timesheet Raw'!$P$4:$P$8000,'Timesheet Raw'!$L$4:$L$8000,$A62,'Timesheet Raw'!$C$4:$C$8000,D$3,'Timesheet Raw'!$B$4:$B$8000,'Work Calendar'!$A$29))</f>
        <v>0</v>
      </c>
      <c r="G62" s="341">
        <f t="shared" si="1"/>
        <v>0</v>
      </c>
      <c r="H62" s="395">
        <f>IF($A62="","",SUMIFS('Timesheet Raw'!$K$4:$K$8000,'Timesheet Raw'!$L$4:$L$8000,$A62,'Timesheet Raw'!$C$4:$C$8000,D$3))</f>
        <v>0</v>
      </c>
      <c r="I62" s="345">
        <f>IF($A62="","",SUMIFS('Timesheet Raw'!$P$4:$P$8000,'Timesheet Raw'!$L$4:$L$8000,$A62,'Timesheet Raw'!$C$4:$C$8000,D$3))</f>
        <v>0</v>
      </c>
      <c r="J62" s="375"/>
      <c r="K62" t="str">
        <f>IF($A62="","",IF(J62&lt;&gt;"",J62,IF($A62&gt;'Work Calendar'!$B$17,"No data yet",IF(AND(F62&gt;='Work Calendar'!$B$14,D62+E62+G62&gt;0),"Day off - but worked",IF(F62&gt;='Work Calendar'!$B$14,"Day off",IF(D62+E62+G62&gt;0,IF($C62="Working","Charged","Worked weekend"),IF($C62="Working","Leave (not charged)",$C62)))))))</f>
        <v>Weekend</v>
      </c>
      <c r="L62" s="341">
        <f>IF($A62="","",SUMIFS('Timesheet Raw'!$P$4:$P$8000,'Timesheet Raw'!$L$4:$L$8000,$A62,'Timesheet Raw'!$C$4:$C$8000,L$3,'Timesheet Raw'!$A$4:$A$8000,"1-Projects"))</f>
        <v>0</v>
      </c>
      <c r="M62" s="341">
        <f>IF($A62="","",SUMIFS('Timesheet Raw'!$P$4:$P$8000,'Timesheet Raw'!$L$4:$L$8000,$A62,'Timesheet Raw'!$C$4:$C$8000,L$3,'Timesheet Raw'!$A$4:$A$8000,"2-Proposals Chargeable")+SUMIFS('Timesheet Raw'!$P$4:$P$8000,'Timesheet Raw'!$L$4:$L$8000,$A62,'Timesheet Raw'!$C$4:$C$8000,L$3,'Timesheet Raw'!$A$4:$A$8000,"3-Proposals Regular"))</f>
        <v>0</v>
      </c>
      <c r="N62" s="341">
        <f>IF($A62="","",SUMIFS('Timesheet Raw'!$P$4:$P$8000,'Timesheet Raw'!$L$4:$L$8000,$A62,'Timesheet Raw'!$C$4:$C$8000,L$3,'Timesheet Raw'!$B$4:$B$8000,'Work Calendar'!$A$26)+SUMIFS('Timesheet Raw'!$P$4:$P$8000,'Timesheet Raw'!$L$4:$L$8000,$A62,'Timesheet Raw'!$C$4:$C$8000,L$3,'Timesheet Raw'!$B$4:$B$8000,'Work Calendar'!$A$27)+SUMIFS('Timesheet Raw'!$P$4:$P$8000,'Timesheet Raw'!$L$4:$L$8000,$A62,'Timesheet Raw'!$C$4:$C$8000,L$3,'Timesheet Raw'!$B$4:$B$8000,'Work Calendar'!$A$28)+SUMIFS('Timesheet Raw'!$P$4:$P$8000,'Timesheet Raw'!$L$4:$L$8000,$A62,'Timesheet Raw'!$C$4:$C$8000,L$3,'Timesheet Raw'!$B$4:$B$8000,'Work Calendar'!$A$29))</f>
        <v>0</v>
      </c>
      <c r="O62" s="341">
        <f t="shared" si="2"/>
        <v>0</v>
      </c>
      <c r="P62" s="395">
        <f>IF($A62="","",SUMIFS('Timesheet Raw'!$K$4:$K$8000,'Timesheet Raw'!$L$4:$L$8000,$A62,'Timesheet Raw'!$C$4:$C$8000,L$3))</f>
        <v>0</v>
      </c>
      <c r="Q62" s="345">
        <f>IF($A62="","",SUMIFS('Timesheet Raw'!$P$4:$P$8000,'Timesheet Raw'!$L$4:$L$8000,$A62,'Timesheet Raw'!$C$4:$C$8000,L$3))</f>
        <v>0</v>
      </c>
      <c r="R62" s="375"/>
      <c r="S62" t="str">
        <f>IF($A62="","",IF(R62&lt;&gt;"",R62,IF($A62&gt;'Work Calendar'!$B$17,"No data yet",IF(AND(N62&gt;='Work Calendar'!$B$14,L62+M62+O62&gt;0),"Day off - but worked",IF(N62&gt;='Work Calendar'!$B$14,"Day off",IF(L62+M62+O62&gt;0,IF($C62="Working","Charged","Worked weekend"),IF($C62="Working","Leave (not charged)",$C62)))))))</f>
        <v>Weekend</v>
      </c>
      <c r="T62" s="341">
        <f>IF($A62="","",SUMIFS('Timesheet Raw'!$P$4:$P$8000,'Timesheet Raw'!$L$4:$L$8000,$A62,'Timesheet Raw'!$C$4:$C$8000,T$3,'Timesheet Raw'!$A$4:$A$8000,"1-Projects"))</f>
        <v>0</v>
      </c>
      <c r="U62" s="341">
        <f>IF($A62="","",SUMIFS('Timesheet Raw'!$P$4:$P$8000,'Timesheet Raw'!$L$4:$L$8000,$A62,'Timesheet Raw'!$C$4:$C$8000,T$3,'Timesheet Raw'!$A$4:$A$8000,"2-Proposals Chargeable")+SUMIFS('Timesheet Raw'!$P$4:$P$8000,'Timesheet Raw'!$L$4:$L$8000,$A62,'Timesheet Raw'!$C$4:$C$8000,T$3,'Timesheet Raw'!$A$4:$A$8000,"3-Proposals Regular"))</f>
        <v>0</v>
      </c>
      <c r="V62" s="341">
        <f>IF($A62="","",SUMIFS('Timesheet Raw'!$P$4:$P$8000,'Timesheet Raw'!$L$4:$L$8000,$A62,'Timesheet Raw'!$C$4:$C$8000,T$3,'Timesheet Raw'!$B$4:$B$8000,'Work Calendar'!$A$26)+SUMIFS('Timesheet Raw'!$P$4:$P$8000,'Timesheet Raw'!$L$4:$L$8000,$A62,'Timesheet Raw'!$C$4:$C$8000,T$3,'Timesheet Raw'!$B$4:$B$8000,'Work Calendar'!$A$27)+SUMIFS('Timesheet Raw'!$P$4:$P$8000,'Timesheet Raw'!$L$4:$L$8000,$A62,'Timesheet Raw'!$C$4:$C$8000,T$3,'Timesheet Raw'!$B$4:$B$8000,'Work Calendar'!$A$28)+SUMIFS('Timesheet Raw'!$P$4:$P$8000,'Timesheet Raw'!$L$4:$L$8000,$A62,'Timesheet Raw'!$C$4:$C$8000,T$3,'Timesheet Raw'!$B$4:$B$8000,'Work Calendar'!$A$29))</f>
        <v>0</v>
      </c>
      <c r="W62" s="341">
        <f t="shared" si="3"/>
        <v>0</v>
      </c>
      <c r="X62" s="395">
        <f>IF($A62="","",SUMIFS('Timesheet Raw'!$K$4:$K$8000,'Timesheet Raw'!$L$4:$L$8000,$A62,'Timesheet Raw'!$C$4:$C$8000,T$3))</f>
        <v>0</v>
      </c>
      <c r="Y62" s="345">
        <f>IF($A62="","",SUMIFS('Timesheet Raw'!$P$4:$P$8000,'Timesheet Raw'!$L$4:$L$8000,$A62,'Timesheet Raw'!$C$4:$C$8000,T$3))</f>
        <v>0</v>
      </c>
      <c r="Z62" s="375"/>
      <c r="AA62" t="str">
        <f>IF($A62="","",IF(Z62&lt;&gt;"",Z62,IF($A62&gt;'Work Calendar'!$B$17,"No data yet",IF(AND(V62&gt;='Work Calendar'!$B$14,T62+U62+W62&gt;0),"Day off - but worked",IF(V62&gt;='Work Calendar'!$B$14,"Day off",IF(T62+U62+W62&gt;0,IF($C62="Working","Charged","Worked weekend"),IF($C62="Working","Leave (not charged)",$C62)))))))</f>
        <v>Weekend</v>
      </c>
    </row>
    <row r="63" spans="1:27" x14ac:dyDescent="0.3">
      <c r="A63" s="371">
        <f>IF($A62="","",IF($A62+1&gt;'Work Calendar'!$B$16,"",$A62+1))</f>
        <v>46081</v>
      </c>
      <c r="B63" t="str">
        <f t="shared" si="0"/>
        <v>Sat</v>
      </c>
      <c r="C63" t="str" cm="1">
        <f t="array" ref="C63">IF($A63="","",IF(COUNTIF('Work Calendar'!$E$6:$E$200,$A63)&gt;0,"Holiday",IF(INDEX('Work Calendar'!$C$6:$C$12,WEEKDAY($A63,1))=1,"Working","Weekend")))</f>
        <v>Weekend</v>
      </c>
      <c r="D63" s="341">
        <f>IF($A63="","",SUMIFS('Timesheet Raw'!$P$4:$P$8000,'Timesheet Raw'!$L$4:$L$8000,$A63,'Timesheet Raw'!$C$4:$C$8000,D$3,'Timesheet Raw'!$A$4:$A$8000,"1-Projects"))</f>
        <v>0</v>
      </c>
      <c r="E63" s="341">
        <f>IF($A63="","",SUMIFS('Timesheet Raw'!$P$4:$P$8000,'Timesheet Raw'!$L$4:$L$8000,$A63,'Timesheet Raw'!$C$4:$C$8000,D$3,'Timesheet Raw'!$A$4:$A$8000,"2-Proposals Chargeable")+SUMIFS('Timesheet Raw'!$P$4:$P$8000,'Timesheet Raw'!$L$4:$L$8000,$A63,'Timesheet Raw'!$C$4:$C$8000,D$3,'Timesheet Raw'!$A$4:$A$8000,"3-Proposals Regular"))</f>
        <v>0</v>
      </c>
      <c r="F63" s="341">
        <f>IF($A63="","",SUMIFS('Timesheet Raw'!$P$4:$P$8000,'Timesheet Raw'!$L$4:$L$8000,$A63,'Timesheet Raw'!$C$4:$C$8000,D$3,'Timesheet Raw'!$B$4:$B$8000,'Work Calendar'!$A$26)+SUMIFS('Timesheet Raw'!$P$4:$P$8000,'Timesheet Raw'!$L$4:$L$8000,$A63,'Timesheet Raw'!$C$4:$C$8000,D$3,'Timesheet Raw'!$B$4:$B$8000,'Work Calendar'!$A$27)+SUMIFS('Timesheet Raw'!$P$4:$P$8000,'Timesheet Raw'!$L$4:$L$8000,$A63,'Timesheet Raw'!$C$4:$C$8000,D$3,'Timesheet Raw'!$B$4:$B$8000,'Work Calendar'!$A$28)+SUMIFS('Timesheet Raw'!$P$4:$P$8000,'Timesheet Raw'!$L$4:$L$8000,$A63,'Timesheet Raw'!$C$4:$C$8000,D$3,'Timesheet Raw'!$B$4:$B$8000,'Work Calendar'!$A$29))</f>
        <v>0</v>
      </c>
      <c r="G63" s="341">
        <f t="shared" si="1"/>
        <v>0</v>
      </c>
      <c r="H63" s="395">
        <f>IF($A63="","",SUMIFS('Timesheet Raw'!$K$4:$K$8000,'Timesheet Raw'!$L$4:$L$8000,$A63,'Timesheet Raw'!$C$4:$C$8000,D$3))</f>
        <v>0</v>
      </c>
      <c r="I63" s="345">
        <f>IF($A63="","",SUMIFS('Timesheet Raw'!$P$4:$P$8000,'Timesheet Raw'!$L$4:$L$8000,$A63,'Timesheet Raw'!$C$4:$C$8000,D$3))</f>
        <v>0</v>
      </c>
      <c r="J63" s="375"/>
      <c r="K63" t="str">
        <f>IF($A63="","",IF(J63&lt;&gt;"",J63,IF($A63&gt;'Work Calendar'!$B$17,"No data yet",IF(AND(F63&gt;='Work Calendar'!$B$14,D63+E63+G63&gt;0),"Day off - but worked",IF(F63&gt;='Work Calendar'!$B$14,"Day off",IF(D63+E63+G63&gt;0,IF($C63="Working","Charged","Worked weekend"),IF($C63="Working","Leave (not charged)",$C63)))))))</f>
        <v>Weekend</v>
      </c>
      <c r="L63" s="341">
        <f>IF($A63="","",SUMIFS('Timesheet Raw'!$P$4:$P$8000,'Timesheet Raw'!$L$4:$L$8000,$A63,'Timesheet Raw'!$C$4:$C$8000,L$3,'Timesheet Raw'!$A$4:$A$8000,"1-Projects"))</f>
        <v>0</v>
      </c>
      <c r="M63" s="341">
        <f>IF($A63="","",SUMIFS('Timesheet Raw'!$P$4:$P$8000,'Timesheet Raw'!$L$4:$L$8000,$A63,'Timesheet Raw'!$C$4:$C$8000,L$3,'Timesheet Raw'!$A$4:$A$8000,"2-Proposals Chargeable")+SUMIFS('Timesheet Raw'!$P$4:$P$8000,'Timesheet Raw'!$L$4:$L$8000,$A63,'Timesheet Raw'!$C$4:$C$8000,L$3,'Timesheet Raw'!$A$4:$A$8000,"3-Proposals Regular"))</f>
        <v>0</v>
      </c>
      <c r="N63" s="341">
        <f>IF($A63="","",SUMIFS('Timesheet Raw'!$P$4:$P$8000,'Timesheet Raw'!$L$4:$L$8000,$A63,'Timesheet Raw'!$C$4:$C$8000,L$3,'Timesheet Raw'!$B$4:$B$8000,'Work Calendar'!$A$26)+SUMIFS('Timesheet Raw'!$P$4:$P$8000,'Timesheet Raw'!$L$4:$L$8000,$A63,'Timesheet Raw'!$C$4:$C$8000,L$3,'Timesheet Raw'!$B$4:$B$8000,'Work Calendar'!$A$27)+SUMIFS('Timesheet Raw'!$P$4:$P$8000,'Timesheet Raw'!$L$4:$L$8000,$A63,'Timesheet Raw'!$C$4:$C$8000,L$3,'Timesheet Raw'!$B$4:$B$8000,'Work Calendar'!$A$28)+SUMIFS('Timesheet Raw'!$P$4:$P$8000,'Timesheet Raw'!$L$4:$L$8000,$A63,'Timesheet Raw'!$C$4:$C$8000,L$3,'Timesheet Raw'!$B$4:$B$8000,'Work Calendar'!$A$29))</f>
        <v>0</v>
      </c>
      <c r="O63" s="341">
        <f t="shared" si="2"/>
        <v>0</v>
      </c>
      <c r="P63" s="395">
        <f>IF($A63="","",SUMIFS('Timesheet Raw'!$K$4:$K$8000,'Timesheet Raw'!$L$4:$L$8000,$A63,'Timesheet Raw'!$C$4:$C$8000,L$3))</f>
        <v>0</v>
      </c>
      <c r="Q63" s="345">
        <f>IF($A63="","",SUMIFS('Timesheet Raw'!$P$4:$P$8000,'Timesheet Raw'!$L$4:$L$8000,$A63,'Timesheet Raw'!$C$4:$C$8000,L$3))</f>
        <v>0</v>
      </c>
      <c r="R63" s="375"/>
      <c r="S63" t="str">
        <f>IF($A63="","",IF(R63&lt;&gt;"",R63,IF($A63&gt;'Work Calendar'!$B$17,"No data yet",IF(AND(N63&gt;='Work Calendar'!$B$14,L63+M63+O63&gt;0),"Day off - but worked",IF(N63&gt;='Work Calendar'!$B$14,"Day off",IF(L63+M63+O63&gt;0,IF($C63="Working","Charged","Worked weekend"),IF($C63="Working","Leave (not charged)",$C63)))))))</f>
        <v>Weekend</v>
      </c>
      <c r="T63" s="341">
        <f>IF($A63="","",SUMIFS('Timesheet Raw'!$P$4:$P$8000,'Timesheet Raw'!$L$4:$L$8000,$A63,'Timesheet Raw'!$C$4:$C$8000,T$3,'Timesheet Raw'!$A$4:$A$8000,"1-Projects"))</f>
        <v>0</v>
      </c>
      <c r="U63" s="341">
        <f>IF($A63="","",SUMIFS('Timesheet Raw'!$P$4:$P$8000,'Timesheet Raw'!$L$4:$L$8000,$A63,'Timesheet Raw'!$C$4:$C$8000,T$3,'Timesheet Raw'!$A$4:$A$8000,"2-Proposals Chargeable")+SUMIFS('Timesheet Raw'!$P$4:$P$8000,'Timesheet Raw'!$L$4:$L$8000,$A63,'Timesheet Raw'!$C$4:$C$8000,T$3,'Timesheet Raw'!$A$4:$A$8000,"3-Proposals Regular"))</f>
        <v>0</v>
      </c>
      <c r="V63" s="341">
        <f>IF($A63="","",SUMIFS('Timesheet Raw'!$P$4:$P$8000,'Timesheet Raw'!$L$4:$L$8000,$A63,'Timesheet Raw'!$C$4:$C$8000,T$3,'Timesheet Raw'!$B$4:$B$8000,'Work Calendar'!$A$26)+SUMIFS('Timesheet Raw'!$P$4:$P$8000,'Timesheet Raw'!$L$4:$L$8000,$A63,'Timesheet Raw'!$C$4:$C$8000,T$3,'Timesheet Raw'!$B$4:$B$8000,'Work Calendar'!$A$27)+SUMIFS('Timesheet Raw'!$P$4:$P$8000,'Timesheet Raw'!$L$4:$L$8000,$A63,'Timesheet Raw'!$C$4:$C$8000,T$3,'Timesheet Raw'!$B$4:$B$8000,'Work Calendar'!$A$28)+SUMIFS('Timesheet Raw'!$P$4:$P$8000,'Timesheet Raw'!$L$4:$L$8000,$A63,'Timesheet Raw'!$C$4:$C$8000,T$3,'Timesheet Raw'!$B$4:$B$8000,'Work Calendar'!$A$29))</f>
        <v>0</v>
      </c>
      <c r="W63" s="341">
        <f t="shared" si="3"/>
        <v>0</v>
      </c>
      <c r="X63" s="395">
        <f>IF($A63="","",SUMIFS('Timesheet Raw'!$K$4:$K$8000,'Timesheet Raw'!$L$4:$L$8000,$A63,'Timesheet Raw'!$C$4:$C$8000,T$3))</f>
        <v>0</v>
      </c>
      <c r="Y63" s="345">
        <f>IF($A63="","",SUMIFS('Timesheet Raw'!$P$4:$P$8000,'Timesheet Raw'!$L$4:$L$8000,$A63,'Timesheet Raw'!$C$4:$C$8000,T$3))</f>
        <v>0</v>
      </c>
      <c r="Z63" s="375"/>
      <c r="AA63" t="str">
        <f>IF($A63="","",IF(Z63&lt;&gt;"",Z63,IF($A63&gt;'Work Calendar'!$B$17,"No data yet",IF(AND(V63&gt;='Work Calendar'!$B$14,T63+U63+W63&gt;0),"Day off - but worked",IF(V63&gt;='Work Calendar'!$B$14,"Day off",IF(T63+U63+W63&gt;0,IF($C63="Working","Charged","Worked weekend"),IF($C63="Working","Leave (not charged)",$C63)))))))</f>
        <v>Weekend</v>
      </c>
    </row>
    <row r="64" spans="1:27" x14ac:dyDescent="0.3">
      <c r="A64" s="371">
        <f>IF($A63="","",IF($A63+1&gt;'Work Calendar'!$B$16,"",$A63+1))</f>
        <v>46082</v>
      </c>
      <c r="B64" t="str">
        <f t="shared" si="0"/>
        <v>Sun</v>
      </c>
      <c r="C64" t="str" cm="1">
        <f t="array" ref="C64">IF($A64="","",IF(COUNTIF('Work Calendar'!$E$6:$E$200,$A64)&gt;0,"Holiday",IF(INDEX('Work Calendar'!$C$6:$C$12,WEEKDAY($A64,1))=1,"Working","Weekend")))</f>
        <v>Working</v>
      </c>
      <c r="D64" s="341">
        <f>IF($A64="","",SUMIFS('Timesheet Raw'!$P$4:$P$8000,'Timesheet Raw'!$L$4:$L$8000,$A64,'Timesheet Raw'!$C$4:$C$8000,D$3,'Timesheet Raw'!$A$4:$A$8000,"1-Projects"))</f>
        <v>0</v>
      </c>
      <c r="E64" s="341">
        <f>IF($A64="","",SUMIFS('Timesheet Raw'!$P$4:$P$8000,'Timesheet Raw'!$L$4:$L$8000,$A64,'Timesheet Raw'!$C$4:$C$8000,D$3,'Timesheet Raw'!$A$4:$A$8000,"2-Proposals Chargeable")+SUMIFS('Timesheet Raw'!$P$4:$P$8000,'Timesheet Raw'!$L$4:$L$8000,$A64,'Timesheet Raw'!$C$4:$C$8000,D$3,'Timesheet Raw'!$A$4:$A$8000,"3-Proposals Regular"))</f>
        <v>0</v>
      </c>
      <c r="F64" s="341">
        <f>IF($A64="","",SUMIFS('Timesheet Raw'!$P$4:$P$8000,'Timesheet Raw'!$L$4:$L$8000,$A64,'Timesheet Raw'!$C$4:$C$8000,D$3,'Timesheet Raw'!$B$4:$B$8000,'Work Calendar'!$A$26)+SUMIFS('Timesheet Raw'!$P$4:$P$8000,'Timesheet Raw'!$L$4:$L$8000,$A64,'Timesheet Raw'!$C$4:$C$8000,D$3,'Timesheet Raw'!$B$4:$B$8000,'Work Calendar'!$A$27)+SUMIFS('Timesheet Raw'!$P$4:$P$8000,'Timesheet Raw'!$L$4:$L$8000,$A64,'Timesheet Raw'!$C$4:$C$8000,D$3,'Timesheet Raw'!$B$4:$B$8000,'Work Calendar'!$A$28)+SUMIFS('Timesheet Raw'!$P$4:$P$8000,'Timesheet Raw'!$L$4:$L$8000,$A64,'Timesheet Raw'!$C$4:$C$8000,D$3,'Timesheet Raw'!$B$4:$B$8000,'Work Calendar'!$A$29))</f>
        <v>7.5</v>
      </c>
      <c r="G64" s="341">
        <f t="shared" si="1"/>
        <v>0</v>
      </c>
      <c r="H64" s="395">
        <f>IF($A64="","",SUMIFS('Timesheet Raw'!$K$4:$K$8000,'Timesheet Raw'!$L$4:$L$8000,$A64,'Timesheet Raw'!$C$4:$C$8000,D$3))</f>
        <v>0</v>
      </c>
      <c r="I64" s="345">
        <f>IF($A64="","",SUMIFS('Timesheet Raw'!$P$4:$P$8000,'Timesheet Raw'!$L$4:$L$8000,$A64,'Timesheet Raw'!$C$4:$C$8000,D$3))</f>
        <v>7.5</v>
      </c>
      <c r="J64" s="375"/>
      <c r="K64" t="str">
        <f>IF($A64="","",IF(J64&lt;&gt;"",J64,IF($A64&gt;'Work Calendar'!$B$17,"No data yet",IF(AND(F64&gt;='Work Calendar'!$B$14,D64+E64+G64&gt;0),"Day off - but worked",IF(F64&gt;='Work Calendar'!$B$14,"Day off",IF(D64+E64+G64&gt;0,IF($C64="Working","Charged","Worked weekend"),IF($C64="Working","Leave (not charged)",$C64)))))))</f>
        <v>Leave (not charged)</v>
      </c>
      <c r="L64" s="341">
        <f>IF($A64="","",SUMIFS('Timesheet Raw'!$P$4:$P$8000,'Timesheet Raw'!$L$4:$L$8000,$A64,'Timesheet Raw'!$C$4:$C$8000,L$3,'Timesheet Raw'!$A$4:$A$8000,"1-Projects"))</f>
        <v>7</v>
      </c>
      <c r="M64" s="341">
        <f>IF($A64="","",SUMIFS('Timesheet Raw'!$P$4:$P$8000,'Timesheet Raw'!$L$4:$L$8000,$A64,'Timesheet Raw'!$C$4:$C$8000,L$3,'Timesheet Raw'!$A$4:$A$8000,"2-Proposals Chargeable")+SUMIFS('Timesheet Raw'!$P$4:$P$8000,'Timesheet Raw'!$L$4:$L$8000,$A64,'Timesheet Raw'!$C$4:$C$8000,L$3,'Timesheet Raw'!$A$4:$A$8000,"3-Proposals Regular"))</f>
        <v>0</v>
      </c>
      <c r="N64" s="341">
        <f>IF($A64="","",SUMIFS('Timesheet Raw'!$P$4:$P$8000,'Timesheet Raw'!$L$4:$L$8000,$A64,'Timesheet Raw'!$C$4:$C$8000,L$3,'Timesheet Raw'!$B$4:$B$8000,'Work Calendar'!$A$26)+SUMIFS('Timesheet Raw'!$P$4:$P$8000,'Timesheet Raw'!$L$4:$L$8000,$A64,'Timesheet Raw'!$C$4:$C$8000,L$3,'Timesheet Raw'!$B$4:$B$8000,'Work Calendar'!$A$27)+SUMIFS('Timesheet Raw'!$P$4:$P$8000,'Timesheet Raw'!$L$4:$L$8000,$A64,'Timesheet Raw'!$C$4:$C$8000,L$3,'Timesheet Raw'!$B$4:$B$8000,'Work Calendar'!$A$28)+SUMIFS('Timesheet Raw'!$P$4:$P$8000,'Timesheet Raw'!$L$4:$L$8000,$A64,'Timesheet Raw'!$C$4:$C$8000,L$3,'Timesheet Raw'!$B$4:$B$8000,'Work Calendar'!$A$29))</f>
        <v>0.5</v>
      </c>
      <c r="O64" s="341">
        <f t="shared" si="2"/>
        <v>0</v>
      </c>
      <c r="P64" s="395">
        <f>IF($A64="","",SUMIFS('Timesheet Raw'!$K$4:$K$8000,'Timesheet Raw'!$L$4:$L$8000,$A64,'Timesheet Raw'!$C$4:$C$8000,L$3))</f>
        <v>0</v>
      </c>
      <c r="Q64" s="345">
        <f>IF($A64="","",SUMIFS('Timesheet Raw'!$P$4:$P$8000,'Timesheet Raw'!$L$4:$L$8000,$A64,'Timesheet Raw'!$C$4:$C$8000,L$3))</f>
        <v>7.5</v>
      </c>
      <c r="R64" s="375"/>
      <c r="S64" t="str">
        <f>IF($A64="","",IF(R64&lt;&gt;"",R64,IF($A64&gt;'Work Calendar'!$B$17,"No data yet",IF(AND(N64&gt;='Work Calendar'!$B$14,L64+M64+O64&gt;0),"Day off - but worked",IF(N64&gt;='Work Calendar'!$B$14,"Day off",IF(L64+M64+O64&gt;0,IF($C64="Working","Charged","Worked weekend"),IF($C64="Working","Leave (not charged)",$C64)))))))</f>
        <v>Charged</v>
      </c>
      <c r="T64" s="341">
        <f>IF($A64="","",SUMIFS('Timesheet Raw'!$P$4:$P$8000,'Timesheet Raw'!$L$4:$L$8000,$A64,'Timesheet Raw'!$C$4:$C$8000,T$3,'Timesheet Raw'!$A$4:$A$8000,"1-Projects"))</f>
        <v>6.25</v>
      </c>
      <c r="U64" s="341">
        <f>IF($A64="","",SUMIFS('Timesheet Raw'!$P$4:$P$8000,'Timesheet Raw'!$L$4:$L$8000,$A64,'Timesheet Raw'!$C$4:$C$8000,T$3,'Timesheet Raw'!$A$4:$A$8000,"2-Proposals Chargeable")+SUMIFS('Timesheet Raw'!$P$4:$P$8000,'Timesheet Raw'!$L$4:$L$8000,$A64,'Timesheet Raw'!$C$4:$C$8000,T$3,'Timesheet Raw'!$A$4:$A$8000,"3-Proposals Regular"))</f>
        <v>0</v>
      </c>
      <c r="V64" s="341">
        <f>IF($A64="","",SUMIFS('Timesheet Raw'!$P$4:$P$8000,'Timesheet Raw'!$L$4:$L$8000,$A64,'Timesheet Raw'!$C$4:$C$8000,T$3,'Timesheet Raw'!$B$4:$B$8000,'Work Calendar'!$A$26)+SUMIFS('Timesheet Raw'!$P$4:$P$8000,'Timesheet Raw'!$L$4:$L$8000,$A64,'Timesheet Raw'!$C$4:$C$8000,T$3,'Timesheet Raw'!$B$4:$B$8000,'Work Calendar'!$A$27)+SUMIFS('Timesheet Raw'!$P$4:$P$8000,'Timesheet Raw'!$L$4:$L$8000,$A64,'Timesheet Raw'!$C$4:$C$8000,T$3,'Timesheet Raw'!$B$4:$B$8000,'Work Calendar'!$A$28)+SUMIFS('Timesheet Raw'!$P$4:$P$8000,'Timesheet Raw'!$L$4:$L$8000,$A64,'Timesheet Raw'!$C$4:$C$8000,T$3,'Timesheet Raw'!$B$4:$B$8000,'Work Calendar'!$A$29))</f>
        <v>1.25</v>
      </c>
      <c r="W64" s="341">
        <f t="shared" si="3"/>
        <v>0</v>
      </c>
      <c r="X64" s="395">
        <f>IF($A64="","",SUMIFS('Timesheet Raw'!$K$4:$K$8000,'Timesheet Raw'!$L$4:$L$8000,$A64,'Timesheet Raw'!$C$4:$C$8000,T$3))</f>
        <v>0</v>
      </c>
      <c r="Y64" s="345">
        <f>IF($A64="","",SUMIFS('Timesheet Raw'!$P$4:$P$8000,'Timesheet Raw'!$L$4:$L$8000,$A64,'Timesheet Raw'!$C$4:$C$8000,T$3))</f>
        <v>7.5</v>
      </c>
      <c r="Z64" s="375"/>
      <c r="AA64" t="str">
        <f>IF($A64="","",IF(Z64&lt;&gt;"",Z64,IF($A64&gt;'Work Calendar'!$B$17,"No data yet",IF(AND(V64&gt;='Work Calendar'!$B$14,T64+U64+W64&gt;0),"Day off - but worked",IF(V64&gt;='Work Calendar'!$B$14,"Day off",IF(T64+U64+W64&gt;0,IF($C64="Working","Charged","Worked weekend"),IF($C64="Working","Leave (not charged)",$C64)))))))</f>
        <v>Charged</v>
      </c>
    </row>
    <row r="65" spans="1:27" x14ac:dyDescent="0.3">
      <c r="A65" s="371">
        <f>IF($A64="","",IF($A64+1&gt;'Work Calendar'!$B$16,"",$A64+1))</f>
        <v>46083</v>
      </c>
      <c r="B65" t="str">
        <f t="shared" si="0"/>
        <v>Mon</v>
      </c>
      <c r="C65" t="str" cm="1">
        <f t="array" ref="C65">IF($A65="","",IF(COUNTIF('Work Calendar'!$E$6:$E$200,$A65)&gt;0,"Holiday",IF(INDEX('Work Calendar'!$C$6:$C$12,WEEKDAY($A65,1))=1,"Working","Weekend")))</f>
        <v>Working</v>
      </c>
      <c r="D65" s="341">
        <f>IF($A65="","",SUMIFS('Timesheet Raw'!$P$4:$P$8000,'Timesheet Raw'!$L$4:$L$8000,$A65,'Timesheet Raw'!$C$4:$C$8000,D$3,'Timesheet Raw'!$A$4:$A$8000,"1-Projects"))</f>
        <v>3.5</v>
      </c>
      <c r="E65" s="341">
        <f>IF($A65="","",SUMIFS('Timesheet Raw'!$P$4:$P$8000,'Timesheet Raw'!$L$4:$L$8000,$A65,'Timesheet Raw'!$C$4:$C$8000,D$3,'Timesheet Raw'!$A$4:$A$8000,"2-Proposals Chargeable")+SUMIFS('Timesheet Raw'!$P$4:$P$8000,'Timesheet Raw'!$L$4:$L$8000,$A65,'Timesheet Raw'!$C$4:$C$8000,D$3,'Timesheet Raw'!$A$4:$A$8000,"3-Proposals Regular"))</f>
        <v>3</v>
      </c>
      <c r="F65" s="341">
        <f>IF($A65="","",SUMIFS('Timesheet Raw'!$P$4:$P$8000,'Timesheet Raw'!$L$4:$L$8000,$A65,'Timesheet Raw'!$C$4:$C$8000,D$3,'Timesheet Raw'!$B$4:$B$8000,'Work Calendar'!$A$26)+SUMIFS('Timesheet Raw'!$P$4:$P$8000,'Timesheet Raw'!$L$4:$L$8000,$A65,'Timesheet Raw'!$C$4:$C$8000,D$3,'Timesheet Raw'!$B$4:$B$8000,'Work Calendar'!$A$27)+SUMIFS('Timesheet Raw'!$P$4:$P$8000,'Timesheet Raw'!$L$4:$L$8000,$A65,'Timesheet Raw'!$C$4:$C$8000,D$3,'Timesheet Raw'!$B$4:$B$8000,'Work Calendar'!$A$28)+SUMIFS('Timesheet Raw'!$P$4:$P$8000,'Timesheet Raw'!$L$4:$L$8000,$A65,'Timesheet Raw'!$C$4:$C$8000,D$3,'Timesheet Raw'!$B$4:$B$8000,'Work Calendar'!$A$29))</f>
        <v>1</v>
      </c>
      <c r="G65" s="341">
        <f t="shared" si="1"/>
        <v>0</v>
      </c>
      <c r="H65" s="395">
        <f>IF($A65="","",SUMIFS('Timesheet Raw'!$K$4:$K$8000,'Timesheet Raw'!$L$4:$L$8000,$A65,'Timesheet Raw'!$C$4:$C$8000,D$3))</f>
        <v>0</v>
      </c>
      <c r="I65" s="345">
        <f>IF($A65="","",SUMIFS('Timesheet Raw'!$P$4:$P$8000,'Timesheet Raw'!$L$4:$L$8000,$A65,'Timesheet Raw'!$C$4:$C$8000,D$3))</f>
        <v>7.5</v>
      </c>
      <c r="J65" s="375"/>
      <c r="K65" t="str">
        <f>IF($A65="","",IF(J65&lt;&gt;"",J65,IF($A65&gt;'Work Calendar'!$B$17,"No data yet",IF(AND(F65&gt;='Work Calendar'!$B$14,D65+E65+G65&gt;0),"Day off - but worked",IF(F65&gt;='Work Calendar'!$B$14,"Day off",IF(D65+E65+G65&gt;0,IF($C65="Working","Charged","Worked weekend"),IF($C65="Working","Leave (not charged)",$C65)))))))</f>
        <v>Charged</v>
      </c>
      <c r="L65" s="341">
        <f>IF($A65="","",SUMIFS('Timesheet Raw'!$P$4:$P$8000,'Timesheet Raw'!$L$4:$L$8000,$A65,'Timesheet Raw'!$C$4:$C$8000,L$3,'Timesheet Raw'!$A$4:$A$8000,"1-Projects"))</f>
        <v>7.5</v>
      </c>
      <c r="M65" s="341">
        <f>IF($A65="","",SUMIFS('Timesheet Raw'!$P$4:$P$8000,'Timesheet Raw'!$L$4:$L$8000,$A65,'Timesheet Raw'!$C$4:$C$8000,L$3,'Timesheet Raw'!$A$4:$A$8000,"2-Proposals Chargeable")+SUMIFS('Timesheet Raw'!$P$4:$P$8000,'Timesheet Raw'!$L$4:$L$8000,$A65,'Timesheet Raw'!$C$4:$C$8000,L$3,'Timesheet Raw'!$A$4:$A$8000,"3-Proposals Regular"))</f>
        <v>0</v>
      </c>
      <c r="N65" s="341">
        <f>IF($A65="","",SUMIFS('Timesheet Raw'!$P$4:$P$8000,'Timesheet Raw'!$L$4:$L$8000,$A65,'Timesheet Raw'!$C$4:$C$8000,L$3,'Timesheet Raw'!$B$4:$B$8000,'Work Calendar'!$A$26)+SUMIFS('Timesheet Raw'!$P$4:$P$8000,'Timesheet Raw'!$L$4:$L$8000,$A65,'Timesheet Raw'!$C$4:$C$8000,L$3,'Timesheet Raw'!$B$4:$B$8000,'Work Calendar'!$A$27)+SUMIFS('Timesheet Raw'!$P$4:$P$8000,'Timesheet Raw'!$L$4:$L$8000,$A65,'Timesheet Raw'!$C$4:$C$8000,L$3,'Timesheet Raw'!$B$4:$B$8000,'Work Calendar'!$A$28)+SUMIFS('Timesheet Raw'!$P$4:$P$8000,'Timesheet Raw'!$L$4:$L$8000,$A65,'Timesheet Raw'!$C$4:$C$8000,L$3,'Timesheet Raw'!$B$4:$B$8000,'Work Calendar'!$A$29))</f>
        <v>0</v>
      </c>
      <c r="O65" s="341">
        <f t="shared" si="2"/>
        <v>0</v>
      </c>
      <c r="P65" s="395">
        <f>IF($A65="","",SUMIFS('Timesheet Raw'!$K$4:$K$8000,'Timesheet Raw'!$L$4:$L$8000,$A65,'Timesheet Raw'!$C$4:$C$8000,L$3))</f>
        <v>0</v>
      </c>
      <c r="Q65" s="345">
        <f>IF($A65="","",SUMIFS('Timesheet Raw'!$P$4:$P$8000,'Timesheet Raw'!$L$4:$L$8000,$A65,'Timesheet Raw'!$C$4:$C$8000,L$3))</f>
        <v>7.5</v>
      </c>
      <c r="R65" s="375"/>
      <c r="S65" t="str">
        <f>IF($A65="","",IF(R65&lt;&gt;"",R65,IF($A65&gt;'Work Calendar'!$B$17,"No data yet",IF(AND(N65&gt;='Work Calendar'!$B$14,L65+M65+O65&gt;0),"Day off - but worked",IF(N65&gt;='Work Calendar'!$B$14,"Day off",IF(L65+M65+O65&gt;0,IF($C65="Working","Charged","Worked weekend"),IF($C65="Working","Leave (not charged)",$C65)))))))</f>
        <v>Charged</v>
      </c>
      <c r="T65" s="341">
        <f>IF($A65="","",SUMIFS('Timesheet Raw'!$P$4:$P$8000,'Timesheet Raw'!$L$4:$L$8000,$A65,'Timesheet Raw'!$C$4:$C$8000,T$3,'Timesheet Raw'!$A$4:$A$8000,"1-Projects"))</f>
        <v>6.5</v>
      </c>
      <c r="U65" s="341">
        <f>IF($A65="","",SUMIFS('Timesheet Raw'!$P$4:$P$8000,'Timesheet Raw'!$L$4:$L$8000,$A65,'Timesheet Raw'!$C$4:$C$8000,T$3,'Timesheet Raw'!$A$4:$A$8000,"2-Proposals Chargeable")+SUMIFS('Timesheet Raw'!$P$4:$P$8000,'Timesheet Raw'!$L$4:$L$8000,$A65,'Timesheet Raw'!$C$4:$C$8000,T$3,'Timesheet Raw'!$A$4:$A$8000,"3-Proposals Regular"))</f>
        <v>0</v>
      </c>
      <c r="V65" s="341">
        <f>IF($A65="","",SUMIFS('Timesheet Raw'!$P$4:$P$8000,'Timesheet Raw'!$L$4:$L$8000,$A65,'Timesheet Raw'!$C$4:$C$8000,T$3,'Timesheet Raw'!$B$4:$B$8000,'Work Calendar'!$A$26)+SUMIFS('Timesheet Raw'!$P$4:$P$8000,'Timesheet Raw'!$L$4:$L$8000,$A65,'Timesheet Raw'!$C$4:$C$8000,T$3,'Timesheet Raw'!$B$4:$B$8000,'Work Calendar'!$A$27)+SUMIFS('Timesheet Raw'!$P$4:$P$8000,'Timesheet Raw'!$L$4:$L$8000,$A65,'Timesheet Raw'!$C$4:$C$8000,T$3,'Timesheet Raw'!$B$4:$B$8000,'Work Calendar'!$A$28)+SUMIFS('Timesheet Raw'!$P$4:$P$8000,'Timesheet Raw'!$L$4:$L$8000,$A65,'Timesheet Raw'!$C$4:$C$8000,T$3,'Timesheet Raw'!$B$4:$B$8000,'Work Calendar'!$A$29))</f>
        <v>1</v>
      </c>
      <c r="W65" s="341">
        <f t="shared" si="3"/>
        <v>0</v>
      </c>
      <c r="X65" s="395">
        <f>IF($A65="","",SUMIFS('Timesheet Raw'!$K$4:$K$8000,'Timesheet Raw'!$L$4:$L$8000,$A65,'Timesheet Raw'!$C$4:$C$8000,T$3))</f>
        <v>0</v>
      </c>
      <c r="Y65" s="345">
        <f>IF($A65="","",SUMIFS('Timesheet Raw'!$P$4:$P$8000,'Timesheet Raw'!$L$4:$L$8000,$A65,'Timesheet Raw'!$C$4:$C$8000,T$3))</f>
        <v>7.5</v>
      </c>
      <c r="Z65" s="375"/>
      <c r="AA65" t="str">
        <f>IF($A65="","",IF(Z65&lt;&gt;"",Z65,IF($A65&gt;'Work Calendar'!$B$17,"No data yet",IF(AND(V65&gt;='Work Calendar'!$B$14,T65+U65+W65&gt;0),"Day off - but worked",IF(V65&gt;='Work Calendar'!$B$14,"Day off",IF(T65+U65+W65&gt;0,IF($C65="Working","Charged","Worked weekend"),IF($C65="Working","Leave (not charged)",$C65)))))))</f>
        <v>Charged</v>
      </c>
    </row>
    <row r="66" spans="1:27" x14ac:dyDescent="0.3">
      <c r="A66" s="371">
        <f>IF($A65="","",IF($A65+1&gt;'Work Calendar'!$B$16,"",$A65+1))</f>
        <v>46084</v>
      </c>
      <c r="B66" t="str">
        <f t="shared" si="0"/>
        <v>Tue</v>
      </c>
      <c r="C66" t="str" cm="1">
        <f t="array" ref="C66">IF($A66="","",IF(COUNTIF('Work Calendar'!$E$6:$E$200,$A66)&gt;0,"Holiday",IF(INDEX('Work Calendar'!$C$6:$C$12,WEEKDAY($A66,1))=1,"Working","Weekend")))</f>
        <v>Working</v>
      </c>
      <c r="D66" s="341">
        <f>IF($A66="","",SUMIFS('Timesheet Raw'!$P$4:$P$8000,'Timesheet Raw'!$L$4:$L$8000,$A66,'Timesheet Raw'!$C$4:$C$8000,D$3,'Timesheet Raw'!$A$4:$A$8000,"1-Projects"))</f>
        <v>7.5</v>
      </c>
      <c r="E66" s="341">
        <f>IF($A66="","",SUMIFS('Timesheet Raw'!$P$4:$P$8000,'Timesheet Raw'!$L$4:$L$8000,$A66,'Timesheet Raw'!$C$4:$C$8000,D$3,'Timesheet Raw'!$A$4:$A$8000,"2-Proposals Chargeable")+SUMIFS('Timesheet Raw'!$P$4:$P$8000,'Timesheet Raw'!$L$4:$L$8000,$A66,'Timesheet Raw'!$C$4:$C$8000,D$3,'Timesheet Raw'!$A$4:$A$8000,"3-Proposals Regular"))</f>
        <v>0</v>
      </c>
      <c r="F66" s="341">
        <f>IF($A66="","",SUMIFS('Timesheet Raw'!$P$4:$P$8000,'Timesheet Raw'!$L$4:$L$8000,$A66,'Timesheet Raw'!$C$4:$C$8000,D$3,'Timesheet Raw'!$B$4:$B$8000,'Work Calendar'!$A$26)+SUMIFS('Timesheet Raw'!$P$4:$P$8000,'Timesheet Raw'!$L$4:$L$8000,$A66,'Timesheet Raw'!$C$4:$C$8000,D$3,'Timesheet Raw'!$B$4:$B$8000,'Work Calendar'!$A$27)+SUMIFS('Timesheet Raw'!$P$4:$P$8000,'Timesheet Raw'!$L$4:$L$8000,$A66,'Timesheet Raw'!$C$4:$C$8000,D$3,'Timesheet Raw'!$B$4:$B$8000,'Work Calendar'!$A$28)+SUMIFS('Timesheet Raw'!$P$4:$P$8000,'Timesheet Raw'!$L$4:$L$8000,$A66,'Timesheet Raw'!$C$4:$C$8000,D$3,'Timesheet Raw'!$B$4:$B$8000,'Work Calendar'!$A$29))</f>
        <v>0.5</v>
      </c>
      <c r="G66" s="341">
        <f t="shared" si="1"/>
        <v>0</v>
      </c>
      <c r="H66" s="395">
        <f>IF($A66="","",SUMIFS('Timesheet Raw'!$K$4:$K$8000,'Timesheet Raw'!$L$4:$L$8000,$A66,'Timesheet Raw'!$C$4:$C$8000,D$3))</f>
        <v>0.5</v>
      </c>
      <c r="I66" s="345">
        <f>IF($A66="","",SUMIFS('Timesheet Raw'!$P$4:$P$8000,'Timesheet Raw'!$L$4:$L$8000,$A66,'Timesheet Raw'!$C$4:$C$8000,D$3))</f>
        <v>8</v>
      </c>
      <c r="J66" s="375"/>
      <c r="K66" t="str">
        <f>IF($A66="","",IF(J66&lt;&gt;"",J66,IF($A66&gt;'Work Calendar'!$B$17,"No data yet",IF(AND(F66&gt;='Work Calendar'!$B$14,D66+E66+G66&gt;0),"Day off - but worked",IF(F66&gt;='Work Calendar'!$B$14,"Day off",IF(D66+E66+G66&gt;0,IF($C66="Working","Charged","Worked weekend"),IF($C66="Working","Leave (not charged)",$C66)))))))</f>
        <v>Charged</v>
      </c>
      <c r="L66" s="341">
        <f>IF($A66="","",SUMIFS('Timesheet Raw'!$P$4:$P$8000,'Timesheet Raw'!$L$4:$L$8000,$A66,'Timesheet Raw'!$C$4:$C$8000,L$3,'Timesheet Raw'!$A$4:$A$8000,"1-Projects"))</f>
        <v>8.25</v>
      </c>
      <c r="M66" s="341">
        <f>IF($A66="","",SUMIFS('Timesheet Raw'!$P$4:$P$8000,'Timesheet Raw'!$L$4:$L$8000,$A66,'Timesheet Raw'!$C$4:$C$8000,L$3,'Timesheet Raw'!$A$4:$A$8000,"2-Proposals Chargeable")+SUMIFS('Timesheet Raw'!$P$4:$P$8000,'Timesheet Raw'!$L$4:$L$8000,$A66,'Timesheet Raw'!$C$4:$C$8000,L$3,'Timesheet Raw'!$A$4:$A$8000,"3-Proposals Regular"))</f>
        <v>0</v>
      </c>
      <c r="N66" s="341">
        <f>IF($A66="","",SUMIFS('Timesheet Raw'!$P$4:$P$8000,'Timesheet Raw'!$L$4:$L$8000,$A66,'Timesheet Raw'!$C$4:$C$8000,L$3,'Timesheet Raw'!$B$4:$B$8000,'Work Calendar'!$A$26)+SUMIFS('Timesheet Raw'!$P$4:$P$8000,'Timesheet Raw'!$L$4:$L$8000,$A66,'Timesheet Raw'!$C$4:$C$8000,L$3,'Timesheet Raw'!$B$4:$B$8000,'Work Calendar'!$A$27)+SUMIFS('Timesheet Raw'!$P$4:$P$8000,'Timesheet Raw'!$L$4:$L$8000,$A66,'Timesheet Raw'!$C$4:$C$8000,L$3,'Timesheet Raw'!$B$4:$B$8000,'Work Calendar'!$A$28)+SUMIFS('Timesheet Raw'!$P$4:$P$8000,'Timesheet Raw'!$L$4:$L$8000,$A66,'Timesheet Raw'!$C$4:$C$8000,L$3,'Timesheet Raw'!$B$4:$B$8000,'Work Calendar'!$A$29))</f>
        <v>0</v>
      </c>
      <c r="O66" s="341">
        <f t="shared" si="2"/>
        <v>0</v>
      </c>
      <c r="P66" s="395">
        <f>IF($A66="","",SUMIFS('Timesheet Raw'!$K$4:$K$8000,'Timesheet Raw'!$L$4:$L$8000,$A66,'Timesheet Raw'!$C$4:$C$8000,L$3))</f>
        <v>0.75</v>
      </c>
      <c r="Q66" s="345">
        <f>IF($A66="","",SUMIFS('Timesheet Raw'!$P$4:$P$8000,'Timesheet Raw'!$L$4:$L$8000,$A66,'Timesheet Raw'!$C$4:$C$8000,L$3))</f>
        <v>8.25</v>
      </c>
      <c r="R66" s="375"/>
      <c r="S66" t="str">
        <f>IF($A66="","",IF(R66&lt;&gt;"",R66,IF($A66&gt;'Work Calendar'!$B$17,"No data yet",IF(AND(N66&gt;='Work Calendar'!$B$14,L66+M66+O66&gt;0),"Day off - but worked",IF(N66&gt;='Work Calendar'!$B$14,"Day off",IF(L66+M66+O66&gt;0,IF($C66="Working","Charged","Worked weekend"),IF($C66="Working","Leave (not charged)",$C66)))))))</f>
        <v>Charged</v>
      </c>
      <c r="T66" s="341">
        <f>IF($A66="","",SUMIFS('Timesheet Raw'!$P$4:$P$8000,'Timesheet Raw'!$L$4:$L$8000,$A66,'Timesheet Raw'!$C$4:$C$8000,T$3,'Timesheet Raw'!$A$4:$A$8000,"1-Projects"))</f>
        <v>7.5</v>
      </c>
      <c r="U66" s="341">
        <f>IF($A66="","",SUMIFS('Timesheet Raw'!$P$4:$P$8000,'Timesheet Raw'!$L$4:$L$8000,$A66,'Timesheet Raw'!$C$4:$C$8000,T$3,'Timesheet Raw'!$A$4:$A$8000,"2-Proposals Chargeable")+SUMIFS('Timesheet Raw'!$P$4:$P$8000,'Timesheet Raw'!$L$4:$L$8000,$A66,'Timesheet Raw'!$C$4:$C$8000,T$3,'Timesheet Raw'!$A$4:$A$8000,"3-Proposals Regular"))</f>
        <v>0</v>
      </c>
      <c r="V66" s="341">
        <f>IF($A66="","",SUMIFS('Timesheet Raw'!$P$4:$P$8000,'Timesheet Raw'!$L$4:$L$8000,$A66,'Timesheet Raw'!$C$4:$C$8000,T$3,'Timesheet Raw'!$B$4:$B$8000,'Work Calendar'!$A$26)+SUMIFS('Timesheet Raw'!$P$4:$P$8000,'Timesheet Raw'!$L$4:$L$8000,$A66,'Timesheet Raw'!$C$4:$C$8000,T$3,'Timesheet Raw'!$B$4:$B$8000,'Work Calendar'!$A$27)+SUMIFS('Timesheet Raw'!$P$4:$P$8000,'Timesheet Raw'!$L$4:$L$8000,$A66,'Timesheet Raw'!$C$4:$C$8000,T$3,'Timesheet Raw'!$B$4:$B$8000,'Work Calendar'!$A$28)+SUMIFS('Timesheet Raw'!$P$4:$P$8000,'Timesheet Raw'!$L$4:$L$8000,$A66,'Timesheet Raw'!$C$4:$C$8000,T$3,'Timesheet Raw'!$B$4:$B$8000,'Work Calendar'!$A$29))</f>
        <v>0.5</v>
      </c>
      <c r="W66" s="341">
        <f t="shared" si="3"/>
        <v>0</v>
      </c>
      <c r="X66" s="395">
        <f>IF($A66="","",SUMIFS('Timesheet Raw'!$K$4:$K$8000,'Timesheet Raw'!$L$4:$L$8000,$A66,'Timesheet Raw'!$C$4:$C$8000,T$3))</f>
        <v>0.5</v>
      </c>
      <c r="Y66" s="345">
        <f>IF($A66="","",SUMIFS('Timesheet Raw'!$P$4:$P$8000,'Timesheet Raw'!$L$4:$L$8000,$A66,'Timesheet Raw'!$C$4:$C$8000,T$3))</f>
        <v>8</v>
      </c>
      <c r="Z66" s="375"/>
      <c r="AA66" t="str">
        <f>IF($A66="","",IF(Z66&lt;&gt;"",Z66,IF($A66&gt;'Work Calendar'!$B$17,"No data yet",IF(AND(V66&gt;='Work Calendar'!$B$14,T66+U66+W66&gt;0),"Day off - but worked",IF(V66&gt;='Work Calendar'!$B$14,"Day off",IF(T66+U66+W66&gt;0,IF($C66="Working","Charged","Worked weekend"),IF($C66="Working","Leave (not charged)",$C66)))))))</f>
        <v>Charged</v>
      </c>
    </row>
    <row r="67" spans="1:27" x14ac:dyDescent="0.3">
      <c r="A67" s="371">
        <f>IF($A66="","",IF($A66+1&gt;'Work Calendar'!$B$16,"",$A66+1))</f>
        <v>46085</v>
      </c>
      <c r="B67" t="str">
        <f t="shared" si="0"/>
        <v>Wed</v>
      </c>
      <c r="C67" t="str" cm="1">
        <f t="array" ref="C67">IF($A67="","",IF(COUNTIF('Work Calendar'!$E$6:$E$200,$A67)&gt;0,"Holiday",IF(INDEX('Work Calendar'!$C$6:$C$12,WEEKDAY($A67,1))=1,"Working","Weekend")))</f>
        <v>Working</v>
      </c>
      <c r="D67" s="341">
        <f>IF($A67="","",SUMIFS('Timesheet Raw'!$P$4:$P$8000,'Timesheet Raw'!$L$4:$L$8000,$A67,'Timesheet Raw'!$C$4:$C$8000,D$3,'Timesheet Raw'!$A$4:$A$8000,"1-Projects"))</f>
        <v>6.25</v>
      </c>
      <c r="E67" s="341">
        <f>IF($A67="","",SUMIFS('Timesheet Raw'!$P$4:$P$8000,'Timesheet Raw'!$L$4:$L$8000,$A67,'Timesheet Raw'!$C$4:$C$8000,D$3,'Timesheet Raw'!$A$4:$A$8000,"2-Proposals Chargeable")+SUMIFS('Timesheet Raw'!$P$4:$P$8000,'Timesheet Raw'!$L$4:$L$8000,$A67,'Timesheet Raw'!$C$4:$C$8000,D$3,'Timesheet Raw'!$A$4:$A$8000,"3-Proposals Regular"))</f>
        <v>0</v>
      </c>
      <c r="F67" s="341">
        <f>IF($A67="","",SUMIFS('Timesheet Raw'!$P$4:$P$8000,'Timesheet Raw'!$L$4:$L$8000,$A67,'Timesheet Raw'!$C$4:$C$8000,D$3,'Timesheet Raw'!$B$4:$B$8000,'Work Calendar'!$A$26)+SUMIFS('Timesheet Raw'!$P$4:$P$8000,'Timesheet Raw'!$L$4:$L$8000,$A67,'Timesheet Raw'!$C$4:$C$8000,D$3,'Timesheet Raw'!$B$4:$B$8000,'Work Calendar'!$A$27)+SUMIFS('Timesheet Raw'!$P$4:$P$8000,'Timesheet Raw'!$L$4:$L$8000,$A67,'Timesheet Raw'!$C$4:$C$8000,D$3,'Timesheet Raw'!$B$4:$B$8000,'Work Calendar'!$A$28)+SUMIFS('Timesheet Raw'!$P$4:$P$8000,'Timesheet Raw'!$L$4:$L$8000,$A67,'Timesheet Raw'!$C$4:$C$8000,D$3,'Timesheet Raw'!$B$4:$B$8000,'Work Calendar'!$A$29))</f>
        <v>1.25</v>
      </c>
      <c r="G67" s="341">
        <f t="shared" si="1"/>
        <v>0</v>
      </c>
      <c r="H67" s="395">
        <f>IF($A67="","",SUMIFS('Timesheet Raw'!$K$4:$K$8000,'Timesheet Raw'!$L$4:$L$8000,$A67,'Timesheet Raw'!$C$4:$C$8000,D$3))</f>
        <v>0</v>
      </c>
      <c r="I67" s="345">
        <f>IF($A67="","",SUMIFS('Timesheet Raw'!$P$4:$P$8000,'Timesheet Raw'!$L$4:$L$8000,$A67,'Timesheet Raw'!$C$4:$C$8000,D$3))</f>
        <v>7.5</v>
      </c>
      <c r="J67" s="375"/>
      <c r="K67" t="str">
        <f>IF($A67="","",IF(J67&lt;&gt;"",J67,IF($A67&gt;'Work Calendar'!$B$17,"No data yet",IF(AND(F67&gt;='Work Calendar'!$B$14,D67+E67+G67&gt;0),"Day off - but worked",IF(F67&gt;='Work Calendar'!$B$14,"Day off",IF(D67+E67+G67&gt;0,IF($C67="Working","Charged","Worked weekend"),IF($C67="Working","Leave (not charged)",$C67)))))))</f>
        <v>Charged</v>
      </c>
      <c r="L67" s="341">
        <f>IF($A67="","",SUMIFS('Timesheet Raw'!$P$4:$P$8000,'Timesheet Raw'!$L$4:$L$8000,$A67,'Timesheet Raw'!$C$4:$C$8000,L$3,'Timesheet Raw'!$A$4:$A$8000,"1-Projects"))</f>
        <v>6.75</v>
      </c>
      <c r="M67" s="341">
        <f>IF($A67="","",SUMIFS('Timesheet Raw'!$P$4:$P$8000,'Timesheet Raw'!$L$4:$L$8000,$A67,'Timesheet Raw'!$C$4:$C$8000,L$3,'Timesheet Raw'!$A$4:$A$8000,"2-Proposals Chargeable")+SUMIFS('Timesheet Raw'!$P$4:$P$8000,'Timesheet Raw'!$L$4:$L$8000,$A67,'Timesheet Raw'!$C$4:$C$8000,L$3,'Timesheet Raw'!$A$4:$A$8000,"3-Proposals Regular"))</f>
        <v>0</v>
      </c>
      <c r="N67" s="341">
        <f>IF($A67="","",SUMIFS('Timesheet Raw'!$P$4:$P$8000,'Timesheet Raw'!$L$4:$L$8000,$A67,'Timesheet Raw'!$C$4:$C$8000,L$3,'Timesheet Raw'!$B$4:$B$8000,'Work Calendar'!$A$26)+SUMIFS('Timesheet Raw'!$P$4:$P$8000,'Timesheet Raw'!$L$4:$L$8000,$A67,'Timesheet Raw'!$C$4:$C$8000,L$3,'Timesheet Raw'!$B$4:$B$8000,'Work Calendar'!$A$27)+SUMIFS('Timesheet Raw'!$P$4:$P$8000,'Timesheet Raw'!$L$4:$L$8000,$A67,'Timesheet Raw'!$C$4:$C$8000,L$3,'Timesheet Raw'!$B$4:$B$8000,'Work Calendar'!$A$28)+SUMIFS('Timesheet Raw'!$P$4:$P$8000,'Timesheet Raw'!$L$4:$L$8000,$A67,'Timesheet Raw'!$C$4:$C$8000,L$3,'Timesheet Raw'!$B$4:$B$8000,'Work Calendar'!$A$29))</f>
        <v>0.75</v>
      </c>
      <c r="O67" s="341">
        <f t="shared" si="2"/>
        <v>0</v>
      </c>
      <c r="P67" s="395">
        <f>IF($A67="","",SUMIFS('Timesheet Raw'!$K$4:$K$8000,'Timesheet Raw'!$L$4:$L$8000,$A67,'Timesheet Raw'!$C$4:$C$8000,L$3))</f>
        <v>0</v>
      </c>
      <c r="Q67" s="345">
        <f>IF($A67="","",SUMIFS('Timesheet Raw'!$P$4:$P$8000,'Timesheet Raw'!$L$4:$L$8000,$A67,'Timesheet Raw'!$C$4:$C$8000,L$3))</f>
        <v>7.5</v>
      </c>
      <c r="R67" s="375"/>
      <c r="S67" t="str">
        <f>IF($A67="","",IF(R67&lt;&gt;"",R67,IF($A67&gt;'Work Calendar'!$B$17,"No data yet",IF(AND(N67&gt;='Work Calendar'!$B$14,L67+M67+O67&gt;0),"Day off - but worked",IF(N67&gt;='Work Calendar'!$B$14,"Day off",IF(L67+M67+O67&gt;0,IF($C67="Working","Charged","Worked weekend"),IF($C67="Working","Leave (not charged)",$C67)))))))</f>
        <v>Charged</v>
      </c>
      <c r="T67" s="341">
        <f>IF($A67="","",SUMIFS('Timesheet Raw'!$P$4:$P$8000,'Timesheet Raw'!$L$4:$L$8000,$A67,'Timesheet Raw'!$C$4:$C$8000,T$3,'Timesheet Raw'!$A$4:$A$8000,"1-Projects"))</f>
        <v>6.25</v>
      </c>
      <c r="U67" s="341">
        <f>IF($A67="","",SUMIFS('Timesheet Raw'!$P$4:$P$8000,'Timesheet Raw'!$L$4:$L$8000,$A67,'Timesheet Raw'!$C$4:$C$8000,T$3,'Timesheet Raw'!$A$4:$A$8000,"2-Proposals Chargeable")+SUMIFS('Timesheet Raw'!$P$4:$P$8000,'Timesheet Raw'!$L$4:$L$8000,$A67,'Timesheet Raw'!$C$4:$C$8000,T$3,'Timesheet Raw'!$A$4:$A$8000,"3-Proposals Regular"))</f>
        <v>0</v>
      </c>
      <c r="V67" s="341">
        <f>IF($A67="","",SUMIFS('Timesheet Raw'!$P$4:$P$8000,'Timesheet Raw'!$L$4:$L$8000,$A67,'Timesheet Raw'!$C$4:$C$8000,T$3,'Timesheet Raw'!$B$4:$B$8000,'Work Calendar'!$A$26)+SUMIFS('Timesheet Raw'!$P$4:$P$8000,'Timesheet Raw'!$L$4:$L$8000,$A67,'Timesheet Raw'!$C$4:$C$8000,T$3,'Timesheet Raw'!$B$4:$B$8000,'Work Calendar'!$A$27)+SUMIFS('Timesheet Raw'!$P$4:$P$8000,'Timesheet Raw'!$L$4:$L$8000,$A67,'Timesheet Raw'!$C$4:$C$8000,T$3,'Timesheet Raw'!$B$4:$B$8000,'Work Calendar'!$A$28)+SUMIFS('Timesheet Raw'!$P$4:$P$8000,'Timesheet Raw'!$L$4:$L$8000,$A67,'Timesheet Raw'!$C$4:$C$8000,T$3,'Timesheet Raw'!$B$4:$B$8000,'Work Calendar'!$A$29))</f>
        <v>1.25</v>
      </c>
      <c r="W67" s="341">
        <f t="shared" si="3"/>
        <v>0</v>
      </c>
      <c r="X67" s="395">
        <f>IF($A67="","",SUMIFS('Timesheet Raw'!$K$4:$K$8000,'Timesheet Raw'!$L$4:$L$8000,$A67,'Timesheet Raw'!$C$4:$C$8000,T$3))</f>
        <v>0</v>
      </c>
      <c r="Y67" s="345">
        <f>IF($A67="","",SUMIFS('Timesheet Raw'!$P$4:$P$8000,'Timesheet Raw'!$L$4:$L$8000,$A67,'Timesheet Raw'!$C$4:$C$8000,T$3))</f>
        <v>7.5</v>
      </c>
      <c r="Z67" s="375"/>
      <c r="AA67" t="str">
        <f>IF($A67="","",IF(Z67&lt;&gt;"",Z67,IF($A67&gt;'Work Calendar'!$B$17,"No data yet",IF(AND(V67&gt;='Work Calendar'!$B$14,T67+U67+W67&gt;0),"Day off - but worked",IF(V67&gt;='Work Calendar'!$B$14,"Day off",IF(T67+U67+W67&gt;0,IF($C67="Working","Charged","Worked weekend"),IF($C67="Working","Leave (not charged)",$C67)))))))</f>
        <v>Charged</v>
      </c>
    </row>
    <row r="68" spans="1:27" x14ac:dyDescent="0.3">
      <c r="A68" s="371">
        <f>IF($A67="","",IF($A67+1&gt;'Work Calendar'!$B$16,"",$A67+1))</f>
        <v>46086</v>
      </c>
      <c r="B68" t="str">
        <f t="shared" si="0"/>
        <v>Thu</v>
      </c>
      <c r="C68" t="str" cm="1">
        <f t="array" ref="C68">IF($A68="","",IF(COUNTIF('Work Calendar'!$E$6:$E$200,$A68)&gt;0,"Holiday",IF(INDEX('Work Calendar'!$C$6:$C$12,WEEKDAY($A68,1))=1,"Working","Weekend")))</f>
        <v>Working</v>
      </c>
      <c r="D68" s="341">
        <f>IF($A68="","",SUMIFS('Timesheet Raw'!$P$4:$P$8000,'Timesheet Raw'!$L$4:$L$8000,$A68,'Timesheet Raw'!$C$4:$C$8000,D$3,'Timesheet Raw'!$A$4:$A$8000,"1-Projects"))</f>
        <v>4.5</v>
      </c>
      <c r="E68" s="341">
        <f>IF($A68="","",SUMIFS('Timesheet Raw'!$P$4:$P$8000,'Timesheet Raw'!$L$4:$L$8000,$A68,'Timesheet Raw'!$C$4:$C$8000,D$3,'Timesheet Raw'!$A$4:$A$8000,"2-Proposals Chargeable")+SUMIFS('Timesheet Raw'!$P$4:$P$8000,'Timesheet Raw'!$L$4:$L$8000,$A68,'Timesheet Raw'!$C$4:$C$8000,D$3,'Timesheet Raw'!$A$4:$A$8000,"3-Proposals Regular"))</f>
        <v>2</v>
      </c>
      <c r="F68" s="341">
        <f>IF($A68="","",SUMIFS('Timesheet Raw'!$P$4:$P$8000,'Timesheet Raw'!$L$4:$L$8000,$A68,'Timesheet Raw'!$C$4:$C$8000,D$3,'Timesheet Raw'!$B$4:$B$8000,'Work Calendar'!$A$26)+SUMIFS('Timesheet Raw'!$P$4:$P$8000,'Timesheet Raw'!$L$4:$L$8000,$A68,'Timesheet Raw'!$C$4:$C$8000,D$3,'Timesheet Raw'!$B$4:$B$8000,'Work Calendar'!$A$27)+SUMIFS('Timesheet Raw'!$P$4:$P$8000,'Timesheet Raw'!$L$4:$L$8000,$A68,'Timesheet Raw'!$C$4:$C$8000,D$3,'Timesheet Raw'!$B$4:$B$8000,'Work Calendar'!$A$28)+SUMIFS('Timesheet Raw'!$P$4:$P$8000,'Timesheet Raw'!$L$4:$L$8000,$A68,'Timesheet Raw'!$C$4:$C$8000,D$3,'Timesheet Raw'!$B$4:$B$8000,'Work Calendar'!$A$29))</f>
        <v>1</v>
      </c>
      <c r="G68" s="341">
        <f t="shared" si="1"/>
        <v>0</v>
      </c>
      <c r="H68" s="395">
        <f>IF($A68="","",SUMIFS('Timesheet Raw'!$K$4:$K$8000,'Timesheet Raw'!$L$4:$L$8000,$A68,'Timesheet Raw'!$C$4:$C$8000,D$3))</f>
        <v>0</v>
      </c>
      <c r="I68" s="345">
        <f>IF($A68="","",SUMIFS('Timesheet Raw'!$P$4:$P$8000,'Timesheet Raw'!$L$4:$L$8000,$A68,'Timesheet Raw'!$C$4:$C$8000,D$3))</f>
        <v>7.5</v>
      </c>
      <c r="J68" s="375"/>
      <c r="K68" t="str">
        <f>IF($A68="","",IF(J68&lt;&gt;"",J68,IF($A68&gt;'Work Calendar'!$B$17,"No data yet",IF(AND(F68&gt;='Work Calendar'!$B$14,D68+E68+G68&gt;0),"Day off - but worked",IF(F68&gt;='Work Calendar'!$B$14,"Day off",IF(D68+E68+G68&gt;0,IF($C68="Working","Charged","Worked weekend"),IF($C68="Working","Leave (not charged)",$C68)))))))</f>
        <v>Charged</v>
      </c>
      <c r="L68" s="341">
        <f>IF($A68="","",SUMIFS('Timesheet Raw'!$P$4:$P$8000,'Timesheet Raw'!$L$4:$L$8000,$A68,'Timesheet Raw'!$C$4:$C$8000,L$3,'Timesheet Raw'!$A$4:$A$8000,"1-Projects"))</f>
        <v>6.75</v>
      </c>
      <c r="M68" s="341">
        <f>IF($A68="","",SUMIFS('Timesheet Raw'!$P$4:$P$8000,'Timesheet Raw'!$L$4:$L$8000,$A68,'Timesheet Raw'!$C$4:$C$8000,L$3,'Timesheet Raw'!$A$4:$A$8000,"2-Proposals Chargeable")+SUMIFS('Timesheet Raw'!$P$4:$P$8000,'Timesheet Raw'!$L$4:$L$8000,$A68,'Timesheet Raw'!$C$4:$C$8000,L$3,'Timesheet Raw'!$A$4:$A$8000,"3-Proposals Regular"))</f>
        <v>0</v>
      </c>
      <c r="N68" s="341">
        <f>IF($A68="","",SUMIFS('Timesheet Raw'!$P$4:$P$8000,'Timesheet Raw'!$L$4:$L$8000,$A68,'Timesheet Raw'!$C$4:$C$8000,L$3,'Timesheet Raw'!$B$4:$B$8000,'Work Calendar'!$A$26)+SUMIFS('Timesheet Raw'!$P$4:$P$8000,'Timesheet Raw'!$L$4:$L$8000,$A68,'Timesheet Raw'!$C$4:$C$8000,L$3,'Timesheet Raw'!$B$4:$B$8000,'Work Calendar'!$A$27)+SUMIFS('Timesheet Raw'!$P$4:$P$8000,'Timesheet Raw'!$L$4:$L$8000,$A68,'Timesheet Raw'!$C$4:$C$8000,L$3,'Timesheet Raw'!$B$4:$B$8000,'Work Calendar'!$A$28)+SUMIFS('Timesheet Raw'!$P$4:$P$8000,'Timesheet Raw'!$L$4:$L$8000,$A68,'Timesheet Raw'!$C$4:$C$8000,L$3,'Timesheet Raw'!$B$4:$B$8000,'Work Calendar'!$A$29))</f>
        <v>0.75</v>
      </c>
      <c r="O68" s="341">
        <f t="shared" si="2"/>
        <v>0</v>
      </c>
      <c r="P68" s="395">
        <f>IF($A68="","",SUMIFS('Timesheet Raw'!$K$4:$K$8000,'Timesheet Raw'!$L$4:$L$8000,$A68,'Timesheet Raw'!$C$4:$C$8000,L$3))</f>
        <v>0</v>
      </c>
      <c r="Q68" s="345">
        <f>IF($A68="","",SUMIFS('Timesheet Raw'!$P$4:$P$8000,'Timesheet Raw'!$L$4:$L$8000,$A68,'Timesheet Raw'!$C$4:$C$8000,L$3))</f>
        <v>7.5</v>
      </c>
      <c r="R68" s="375"/>
      <c r="S68" t="str">
        <f>IF($A68="","",IF(R68&lt;&gt;"",R68,IF($A68&gt;'Work Calendar'!$B$17,"No data yet",IF(AND(N68&gt;='Work Calendar'!$B$14,L68+M68+O68&gt;0),"Day off - but worked",IF(N68&gt;='Work Calendar'!$B$14,"Day off",IF(L68+M68+O68&gt;0,IF($C68="Working","Charged","Worked weekend"),IF($C68="Working","Leave (not charged)",$C68)))))))</f>
        <v>Charged</v>
      </c>
      <c r="T68" s="341">
        <f>IF($A68="","",SUMIFS('Timesheet Raw'!$P$4:$P$8000,'Timesheet Raw'!$L$4:$L$8000,$A68,'Timesheet Raw'!$C$4:$C$8000,T$3,'Timesheet Raw'!$A$4:$A$8000,"1-Projects"))</f>
        <v>6.5</v>
      </c>
      <c r="U68" s="341">
        <f>IF($A68="","",SUMIFS('Timesheet Raw'!$P$4:$P$8000,'Timesheet Raw'!$L$4:$L$8000,$A68,'Timesheet Raw'!$C$4:$C$8000,T$3,'Timesheet Raw'!$A$4:$A$8000,"2-Proposals Chargeable")+SUMIFS('Timesheet Raw'!$P$4:$P$8000,'Timesheet Raw'!$L$4:$L$8000,$A68,'Timesheet Raw'!$C$4:$C$8000,T$3,'Timesheet Raw'!$A$4:$A$8000,"3-Proposals Regular"))</f>
        <v>0</v>
      </c>
      <c r="V68" s="341">
        <f>IF($A68="","",SUMIFS('Timesheet Raw'!$P$4:$P$8000,'Timesheet Raw'!$L$4:$L$8000,$A68,'Timesheet Raw'!$C$4:$C$8000,T$3,'Timesheet Raw'!$B$4:$B$8000,'Work Calendar'!$A$26)+SUMIFS('Timesheet Raw'!$P$4:$P$8000,'Timesheet Raw'!$L$4:$L$8000,$A68,'Timesheet Raw'!$C$4:$C$8000,T$3,'Timesheet Raw'!$B$4:$B$8000,'Work Calendar'!$A$27)+SUMIFS('Timesheet Raw'!$P$4:$P$8000,'Timesheet Raw'!$L$4:$L$8000,$A68,'Timesheet Raw'!$C$4:$C$8000,T$3,'Timesheet Raw'!$B$4:$B$8000,'Work Calendar'!$A$28)+SUMIFS('Timesheet Raw'!$P$4:$P$8000,'Timesheet Raw'!$L$4:$L$8000,$A68,'Timesheet Raw'!$C$4:$C$8000,T$3,'Timesheet Raw'!$B$4:$B$8000,'Work Calendar'!$A$29))</f>
        <v>1</v>
      </c>
      <c r="W68" s="341">
        <f t="shared" si="3"/>
        <v>0</v>
      </c>
      <c r="X68" s="395">
        <f>IF($A68="","",SUMIFS('Timesheet Raw'!$K$4:$K$8000,'Timesheet Raw'!$L$4:$L$8000,$A68,'Timesheet Raw'!$C$4:$C$8000,T$3))</f>
        <v>0</v>
      </c>
      <c r="Y68" s="345">
        <f>IF($A68="","",SUMIFS('Timesheet Raw'!$P$4:$P$8000,'Timesheet Raw'!$L$4:$L$8000,$A68,'Timesheet Raw'!$C$4:$C$8000,T$3))</f>
        <v>7.5</v>
      </c>
      <c r="Z68" s="375"/>
      <c r="AA68" t="str">
        <f>IF($A68="","",IF(Z68&lt;&gt;"",Z68,IF($A68&gt;'Work Calendar'!$B$17,"No data yet",IF(AND(V68&gt;='Work Calendar'!$B$14,T68+U68+W68&gt;0),"Day off - but worked",IF(V68&gt;='Work Calendar'!$B$14,"Day off",IF(T68+U68+W68&gt;0,IF($C68="Working","Charged","Worked weekend"),IF($C68="Working","Leave (not charged)",$C68)))))))</f>
        <v>Charged</v>
      </c>
    </row>
    <row r="69" spans="1:27" x14ac:dyDescent="0.3">
      <c r="A69" s="371">
        <f>IF($A68="","",IF($A68+1&gt;'Work Calendar'!$B$16,"",$A68+1))</f>
        <v>46087</v>
      </c>
      <c r="B69" t="str">
        <f t="shared" si="0"/>
        <v>Fri</v>
      </c>
      <c r="C69" t="str" cm="1">
        <f t="array" ref="C69">IF($A69="","",IF(COUNTIF('Work Calendar'!$E$6:$E$200,$A69)&gt;0,"Holiday",IF(INDEX('Work Calendar'!$C$6:$C$12,WEEKDAY($A69,1))=1,"Working","Weekend")))</f>
        <v>Weekend</v>
      </c>
      <c r="D69" s="341">
        <f>IF($A69="","",SUMIFS('Timesheet Raw'!$P$4:$P$8000,'Timesheet Raw'!$L$4:$L$8000,$A69,'Timesheet Raw'!$C$4:$C$8000,D$3,'Timesheet Raw'!$A$4:$A$8000,"1-Projects"))</f>
        <v>0</v>
      </c>
      <c r="E69" s="341">
        <f>IF($A69="","",SUMIFS('Timesheet Raw'!$P$4:$P$8000,'Timesheet Raw'!$L$4:$L$8000,$A69,'Timesheet Raw'!$C$4:$C$8000,D$3,'Timesheet Raw'!$A$4:$A$8000,"2-Proposals Chargeable")+SUMIFS('Timesheet Raw'!$P$4:$P$8000,'Timesheet Raw'!$L$4:$L$8000,$A69,'Timesheet Raw'!$C$4:$C$8000,D$3,'Timesheet Raw'!$A$4:$A$8000,"3-Proposals Regular"))</f>
        <v>0</v>
      </c>
      <c r="F69" s="341">
        <f>IF($A69="","",SUMIFS('Timesheet Raw'!$P$4:$P$8000,'Timesheet Raw'!$L$4:$L$8000,$A69,'Timesheet Raw'!$C$4:$C$8000,D$3,'Timesheet Raw'!$B$4:$B$8000,'Work Calendar'!$A$26)+SUMIFS('Timesheet Raw'!$P$4:$P$8000,'Timesheet Raw'!$L$4:$L$8000,$A69,'Timesheet Raw'!$C$4:$C$8000,D$3,'Timesheet Raw'!$B$4:$B$8000,'Work Calendar'!$A$27)+SUMIFS('Timesheet Raw'!$P$4:$P$8000,'Timesheet Raw'!$L$4:$L$8000,$A69,'Timesheet Raw'!$C$4:$C$8000,D$3,'Timesheet Raw'!$B$4:$B$8000,'Work Calendar'!$A$28)+SUMIFS('Timesheet Raw'!$P$4:$P$8000,'Timesheet Raw'!$L$4:$L$8000,$A69,'Timesheet Raw'!$C$4:$C$8000,D$3,'Timesheet Raw'!$B$4:$B$8000,'Work Calendar'!$A$29))</f>
        <v>0</v>
      </c>
      <c r="G69" s="341">
        <f t="shared" si="1"/>
        <v>0</v>
      </c>
      <c r="H69" s="395">
        <f>IF($A69="","",SUMIFS('Timesheet Raw'!$K$4:$K$8000,'Timesheet Raw'!$L$4:$L$8000,$A69,'Timesheet Raw'!$C$4:$C$8000,D$3))</f>
        <v>0</v>
      </c>
      <c r="I69" s="345">
        <f>IF($A69="","",SUMIFS('Timesheet Raw'!$P$4:$P$8000,'Timesheet Raw'!$L$4:$L$8000,$A69,'Timesheet Raw'!$C$4:$C$8000,D$3))</f>
        <v>0</v>
      </c>
      <c r="J69" s="375"/>
      <c r="K69" t="str">
        <f>IF($A69="","",IF(J69&lt;&gt;"",J69,IF($A69&gt;'Work Calendar'!$B$17,"No data yet",IF(AND(F69&gt;='Work Calendar'!$B$14,D69+E69+G69&gt;0),"Day off - but worked",IF(F69&gt;='Work Calendar'!$B$14,"Day off",IF(D69+E69+G69&gt;0,IF($C69="Working","Charged","Worked weekend"),IF($C69="Working","Leave (not charged)",$C69)))))))</f>
        <v>Weekend</v>
      </c>
      <c r="L69" s="341">
        <f>IF($A69="","",SUMIFS('Timesheet Raw'!$P$4:$P$8000,'Timesheet Raw'!$L$4:$L$8000,$A69,'Timesheet Raw'!$C$4:$C$8000,L$3,'Timesheet Raw'!$A$4:$A$8000,"1-Projects"))</f>
        <v>0</v>
      </c>
      <c r="M69" s="341">
        <f>IF($A69="","",SUMIFS('Timesheet Raw'!$P$4:$P$8000,'Timesheet Raw'!$L$4:$L$8000,$A69,'Timesheet Raw'!$C$4:$C$8000,L$3,'Timesheet Raw'!$A$4:$A$8000,"2-Proposals Chargeable")+SUMIFS('Timesheet Raw'!$P$4:$P$8000,'Timesheet Raw'!$L$4:$L$8000,$A69,'Timesheet Raw'!$C$4:$C$8000,L$3,'Timesheet Raw'!$A$4:$A$8000,"3-Proposals Regular"))</f>
        <v>0</v>
      </c>
      <c r="N69" s="341">
        <f>IF($A69="","",SUMIFS('Timesheet Raw'!$P$4:$P$8000,'Timesheet Raw'!$L$4:$L$8000,$A69,'Timesheet Raw'!$C$4:$C$8000,L$3,'Timesheet Raw'!$B$4:$B$8000,'Work Calendar'!$A$26)+SUMIFS('Timesheet Raw'!$P$4:$P$8000,'Timesheet Raw'!$L$4:$L$8000,$A69,'Timesheet Raw'!$C$4:$C$8000,L$3,'Timesheet Raw'!$B$4:$B$8000,'Work Calendar'!$A$27)+SUMIFS('Timesheet Raw'!$P$4:$P$8000,'Timesheet Raw'!$L$4:$L$8000,$A69,'Timesheet Raw'!$C$4:$C$8000,L$3,'Timesheet Raw'!$B$4:$B$8000,'Work Calendar'!$A$28)+SUMIFS('Timesheet Raw'!$P$4:$P$8000,'Timesheet Raw'!$L$4:$L$8000,$A69,'Timesheet Raw'!$C$4:$C$8000,L$3,'Timesheet Raw'!$B$4:$B$8000,'Work Calendar'!$A$29))</f>
        <v>0</v>
      </c>
      <c r="O69" s="341">
        <f t="shared" si="2"/>
        <v>0</v>
      </c>
      <c r="P69" s="395">
        <f>IF($A69="","",SUMIFS('Timesheet Raw'!$K$4:$K$8000,'Timesheet Raw'!$L$4:$L$8000,$A69,'Timesheet Raw'!$C$4:$C$8000,L$3))</f>
        <v>0</v>
      </c>
      <c r="Q69" s="345">
        <f>IF($A69="","",SUMIFS('Timesheet Raw'!$P$4:$P$8000,'Timesheet Raw'!$L$4:$L$8000,$A69,'Timesheet Raw'!$C$4:$C$8000,L$3))</f>
        <v>0</v>
      </c>
      <c r="R69" s="375"/>
      <c r="S69" t="str">
        <f>IF($A69="","",IF(R69&lt;&gt;"",R69,IF($A69&gt;'Work Calendar'!$B$17,"No data yet",IF(AND(N69&gt;='Work Calendar'!$B$14,L69+M69+O69&gt;0),"Day off - but worked",IF(N69&gt;='Work Calendar'!$B$14,"Day off",IF(L69+M69+O69&gt;0,IF($C69="Working","Charged","Worked weekend"),IF($C69="Working","Leave (not charged)",$C69)))))))</f>
        <v>Weekend</v>
      </c>
      <c r="T69" s="341">
        <f>IF($A69="","",SUMIFS('Timesheet Raw'!$P$4:$P$8000,'Timesheet Raw'!$L$4:$L$8000,$A69,'Timesheet Raw'!$C$4:$C$8000,T$3,'Timesheet Raw'!$A$4:$A$8000,"1-Projects"))</f>
        <v>0</v>
      </c>
      <c r="U69" s="341">
        <f>IF($A69="","",SUMIFS('Timesheet Raw'!$P$4:$P$8000,'Timesheet Raw'!$L$4:$L$8000,$A69,'Timesheet Raw'!$C$4:$C$8000,T$3,'Timesheet Raw'!$A$4:$A$8000,"2-Proposals Chargeable")+SUMIFS('Timesheet Raw'!$P$4:$P$8000,'Timesheet Raw'!$L$4:$L$8000,$A69,'Timesheet Raw'!$C$4:$C$8000,T$3,'Timesheet Raw'!$A$4:$A$8000,"3-Proposals Regular"))</f>
        <v>0</v>
      </c>
      <c r="V69" s="341">
        <f>IF($A69="","",SUMIFS('Timesheet Raw'!$P$4:$P$8000,'Timesheet Raw'!$L$4:$L$8000,$A69,'Timesheet Raw'!$C$4:$C$8000,T$3,'Timesheet Raw'!$B$4:$B$8000,'Work Calendar'!$A$26)+SUMIFS('Timesheet Raw'!$P$4:$P$8000,'Timesheet Raw'!$L$4:$L$8000,$A69,'Timesheet Raw'!$C$4:$C$8000,T$3,'Timesheet Raw'!$B$4:$B$8000,'Work Calendar'!$A$27)+SUMIFS('Timesheet Raw'!$P$4:$P$8000,'Timesheet Raw'!$L$4:$L$8000,$A69,'Timesheet Raw'!$C$4:$C$8000,T$3,'Timesheet Raw'!$B$4:$B$8000,'Work Calendar'!$A$28)+SUMIFS('Timesheet Raw'!$P$4:$P$8000,'Timesheet Raw'!$L$4:$L$8000,$A69,'Timesheet Raw'!$C$4:$C$8000,T$3,'Timesheet Raw'!$B$4:$B$8000,'Work Calendar'!$A$29))</f>
        <v>0</v>
      </c>
      <c r="W69" s="341">
        <f t="shared" si="3"/>
        <v>0</v>
      </c>
      <c r="X69" s="395">
        <f>IF($A69="","",SUMIFS('Timesheet Raw'!$K$4:$K$8000,'Timesheet Raw'!$L$4:$L$8000,$A69,'Timesheet Raw'!$C$4:$C$8000,T$3))</f>
        <v>0</v>
      </c>
      <c r="Y69" s="345">
        <f>IF($A69="","",SUMIFS('Timesheet Raw'!$P$4:$P$8000,'Timesheet Raw'!$L$4:$L$8000,$A69,'Timesheet Raw'!$C$4:$C$8000,T$3))</f>
        <v>0</v>
      </c>
      <c r="Z69" s="375"/>
      <c r="AA69" t="str">
        <f>IF($A69="","",IF(Z69&lt;&gt;"",Z69,IF($A69&gt;'Work Calendar'!$B$17,"No data yet",IF(AND(V69&gt;='Work Calendar'!$B$14,T69+U69+W69&gt;0),"Day off - but worked",IF(V69&gt;='Work Calendar'!$B$14,"Day off",IF(T69+U69+W69&gt;0,IF($C69="Working","Charged","Worked weekend"),IF($C69="Working","Leave (not charged)",$C69)))))))</f>
        <v>Weekend</v>
      </c>
    </row>
    <row r="70" spans="1:27" x14ac:dyDescent="0.3">
      <c r="A70" s="371">
        <f>IF($A69="","",IF($A69+1&gt;'Work Calendar'!$B$16,"",$A69+1))</f>
        <v>46088</v>
      </c>
      <c r="B70" t="str">
        <f t="shared" ref="B70:B133" si="4">IF($A70="","",TEXT($A70,"ddd"))</f>
        <v>Sat</v>
      </c>
      <c r="C70" t="str" cm="1">
        <f t="array" ref="C70">IF($A70="","",IF(COUNTIF('Work Calendar'!$E$6:$E$200,$A70)&gt;0,"Holiday",IF(INDEX('Work Calendar'!$C$6:$C$12,WEEKDAY($A70,1))=1,"Working","Weekend")))</f>
        <v>Weekend</v>
      </c>
      <c r="D70" s="341">
        <f>IF($A70="","",SUMIFS('Timesheet Raw'!$P$4:$P$8000,'Timesheet Raw'!$L$4:$L$8000,$A70,'Timesheet Raw'!$C$4:$C$8000,D$3,'Timesheet Raw'!$A$4:$A$8000,"1-Projects"))</f>
        <v>0</v>
      </c>
      <c r="E70" s="341">
        <f>IF($A70="","",SUMIFS('Timesheet Raw'!$P$4:$P$8000,'Timesheet Raw'!$L$4:$L$8000,$A70,'Timesheet Raw'!$C$4:$C$8000,D$3,'Timesheet Raw'!$A$4:$A$8000,"2-Proposals Chargeable")+SUMIFS('Timesheet Raw'!$P$4:$P$8000,'Timesheet Raw'!$L$4:$L$8000,$A70,'Timesheet Raw'!$C$4:$C$8000,D$3,'Timesheet Raw'!$A$4:$A$8000,"3-Proposals Regular"))</f>
        <v>0</v>
      </c>
      <c r="F70" s="341">
        <f>IF($A70="","",SUMIFS('Timesheet Raw'!$P$4:$P$8000,'Timesheet Raw'!$L$4:$L$8000,$A70,'Timesheet Raw'!$C$4:$C$8000,D$3,'Timesheet Raw'!$B$4:$B$8000,'Work Calendar'!$A$26)+SUMIFS('Timesheet Raw'!$P$4:$P$8000,'Timesheet Raw'!$L$4:$L$8000,$A70,'Timesheet Raw'!$C$4:$C$8000,D$3,'Timesheet Raw'!$B$4:$B$8000,'Work Calendar'!$A$27)+SUMIFS('Timesheet Raw'!$P$4:$P$8000,'Timesheet Raw'!$L$4:$L$8000,$A70,'Timesheet Raw'!$C$4:$C$8000,D$3,'Timesheet Raw'!$B$4:$B$8000,'Work Calendar'!$A$28)+SUMIFS('Timesheet Raw'!$P$4:$P$8000,'Timesheet Raw'!$L$4:$L$8000,$A70,'Timesheet Raw'!$C$4:$C$8000,D$3,'Timesheet Raw'!$B$4:$B$8000,'Work Calendar'!$A$29))</f>
        <v>0</v>
      </c>
      <c r="G70" s="341">
        <f t="shared" ref="G70:G133" si="5">IF($A70="","",MAX(0,I70-D70-E70-F70))</f>
        <v>0</v>
      </c>
      <c r="H70" s="395">
        <f>IF($A70="","",SUMIFS('Timesheet Raw'!$K$4:$K$8000,'Timesheet Raw'!$L$4:$L$8000,$A70,'Timesheet Raw'!$C$4:$C$8000,D$3))</f>
        <v>0</v>
      </c>
      <c r="I70" s="345">
        <f>IF($A70="","",SUMIFS('Timesheet Raw'!$P$4:$P$8000,'Timesheet Raw'!$L$4:$L$8000,$A70,'Timesheet Raw'!$C$4:$C$8000,D$3))</f>
        <v>0</v>
      </c>
      <c r="J70" s="375"/>
      <c r="K70" t="str">
        <f>IF($A70="","",IF(J70&lt;&gt;"",J70,IF($A70&gt;'Work Calendar'!$B$17,"No data yet",IF(AND(F70&gt;='Work Calendar'!$B$14,D70+E70+G70&gt;0),"Day off - but worked",IF(F70&gt;='Work Calendar'!$B$14,"Day off",IF(D70+E70+G70&gt;0,IF($C70="Working","Charged","Worked weekend"),IF($C70="Working","Leave (not charged)",$C70)))))))</f>
        <v>Weekend</v>
      </c>
      <c r="L70" s="341">
        <f>IF($A70="","",SUMIFS('Timesheet Raw'!$P$4:$P$8000,'Timesheet Raw'!$L$4:$L$8000,$A70,'Timesheet Raw'!$C$4:$C$8000,L$3,'Timesheet Raw'!$A$4:$A$8000,"1-Projects"))</f>
        <v>0</v>
      </c>
      <c r="M70" s="341">
        <f>IF($A70="","",SUMIFS('Timesheet Raw'!$P$4:$P$8000,'Timesheet Raw'!$L$4:$L$8000,$A70,'Timesheet Raw'!$C$4:$C$8000,L$3,'Timesheet Raw'!$A$4:$A$8000,"2-Proposals Chargeable")+SUMIFS('Timesheet Raw'!$P$4:$P$8000,'Timesheet Raw'!$L$4:$L$8000,$A70,'Timesheet Raw'!$C$4:$C$8000,L$3,'Timesheet Raw'!$A$4:$A$8000,"3-Proposals Regular"))</f>
        <v>0</v>
      </c>
      <c r="N70" s="341">
        <f>IF($A70="","",SUMIFS('Timesheet Raw'!$P$4:$P$8000,'Timesheet Raw'!$L$4:$L$8000,$A70,'Timesheet Raw'!$C$4:$C$8000,L$3,'Timesheet Raw'!$B$4:$B$8000,'Work Calendar'!$A$26)+SUMIFS('Timesheet Raw'!$P$4:$P$8000,'Timesheet Raw'!$L$4:$L$8000,$A70,'Timesheet Raw'!$C$4:$C$8000,L$3,'Timesheet Raw'!$B$4:$B$8000,'Work Calendar'!$A$27)+SUMIFS('Timesheet Raw'!$P$4:$P$8000,'Timesheet Raw'!$L$4:$L$8000,$A70,'Timesheet Raw'!$C$4:$C$8000,L$3,'Timesheet Raw'!$B$4:$B$8000,'Work Calendar'!$A$28)+SUMIFS('Timesheet Raw'!$P$4:$P$8000,'Timesheet Raw'!$L$4:$L$8000,$A70,'Timesheet Raw'!$C$4:$C$8000,L$3,'Timesheet Raw'!$B$4:$B$8000,'Work Calendar'!$A$29))</f>
        <v>0</v>
      </c>
      <c r="O70" s="341">
        <f t="shared" ref="O70:O133" si="6">IF($A70="","",MAX(0,Q70-L70-M70-N70))</f>
        <v>0</v>
      </c>
      <c r="P70" s="395">
        <f>IF($A70="","",SUMIFS('Timesheet Raw'!$K$4:$K$8000,'Timesheet Raw'!$L$4:$L$8000,$A70,'Timesheet Raw'!$C$4:$C$8000,L$3))</f>
        <v>0</v>
      </c>
      <c r="Q70" s="345">
        <f>IF($A70="","",SUMIFS('Timesheet Raw'!$P$4:$P$8000,'Timesheet Raw'!$L$4:$L$8000,$A70,'Timesheet Raw'!$C$4:$C$8000,L$3))</f>
        <v>0</v>
      </c>
      <c r="R70" s="375"/>
      <c r="S70" t="str">
        <f>IF($A70="","",IF(R70&lt;&gt;"",R70,IF($A70&gt;'Work Calendar'!$B$17,"No data yet",IF(AND(N70&gt;='Work Calendar'!$B$14,L70+M70+O70&gt;0),"Day off - but worked",IF(N70&gt;='Work Calendar'!$B$14,"Day off",IF(L70+M70+O70&gt;0,IF($C70="Working","Charged","Worked weekend"),IF($C70="Working","Leave (not charged)",$C70)))))))</f>
        <v>Weekend</v>
      </c>
      <c r="T70" s="341">
        <f>IF($A70="","",SUMIFS('Timesheet Raw'!$P$4:$P$8000,'Timesheet Raw'!$L$4:$L$8000,$A70,'Timesheet Raw'!$C$4:$C$8000,T$3,'Timesheet Raw'!$A$4:$A$8000,"1-Projects"))</f>
        <v>0</v>
      </c>
      <c r="U70" s="341">
        <f>IF($A70="","",SUMIFS('Timesheet Raw'!$P$4:$P$8000,'Timesheet Raw'!$L$4:$L$8000,$A70,'Timesheet Raw'!$C$4:$C$8000,T$3,'Timesheet Raw'!$A$4:$A$8000,"2-Proposals Chargeable")+SUMIFS('Timesheet Raw'!$P$4:$P$8000,'Timesheet Raw'!$L$4:$L$8000,$A70,'Timesheet Raw'!$C$4:$C$8000,T$3,'Timesheet Raw'!$A$4:$A$8000,"3-Proposals Regular"))</f>
        <v>0</v>
      </c>
      <c r="V70" s="341">
        <f>IF($A70="","",SUMIFS('Timesheet Raw'!$P$4:$P$8000,'Timesheet Raw'!$L$4:$L$8000,$A70,'Timesheet Raw'!$C$4:$C$8000,T$3,'Timesheet Raw'!$B$4:$B$8000,'Work Calendar'!$A$26)+SUMIFS('Timesheet Raw'!$P$4:$P$8000,'Timesheet Raw'!$L$4:$L$8000,$A70,'Timesheet Raw'!$C$4:$C$8000,T$3,'Timesheet Raw'!$B$4:$B$8000,'Work Calendar'!$A$27)+SUMIFS('Timesheet Raw'!$P$4:$P$8000,'Timesheet Raw'!$L$4:$L$8000,$A70,'Timesheet Raw'!$C$4:$C$8000,T$3,'Timesheet Raw'!$B$4:$B$8000,'Work Calendar'!$A$28)+SUMIFS('Timesheet Raw'!$P$4:$P$8000,'Timesheet Raw'!$L$4:$L$8000,$A70,'Timesheet Raw'!$C$4:$C$8000,T$3,'Timesheet Raw'!$B$4:$B$8000,'Work Calendar'!$A$29))</f>
        <v>0</v>
      </c>
      <c r="W70" s="341">
        <f t="shared" ref="W70:W133" si="7">IF($A70="","",MAX(0,Y70-T70-U70-V70))</f>
        <v>0</v>
      </c>
      <c r="X70" s="395">
        <f>IF($A70="","",SUMIFS('Timesheet Raw'!$K$4:$K$8000,'Timesheet Raw'!$L$4:$L$8000,$A70,'Timesheet Raw'!$C$4:$C$8000,T$3))</f>
        <v>0</v>
      </c>
      <c r="Y70" s="345">
        <f>IF($A70="","",SUMIFS('Timesheet Raw'!$P$4:$P$8000,'Timesheet Raw'!$L$4:$L$8000,$A70,'Timesheet Raw'!$C$4:$C$8000,T$3))</f>
        <v>0</v>
      </c>
      <c r="Z70" s="375"/>
      <c r="AA70" t="str">
        <f>IF($A70="","",IF(Z70&lt;&gt;"",Z70,IF($A70&gt;'Work Calendar'!$B$17,"No data yet",IF(AND(V70&gt;='Work Calendar'!$B$14,T70+U70+W70&gt;0),"Day off - but worked",IF(V70&gt;='Work Calendar'!$B$14,"Day off",IF(T70+U70+W70&gt;0,IF($C70="Working","Charged","Worked weekend"),IF($C70="Working","Leave (not charged)",$C70)))))))</f>
        <v>Weekend</v>
      </c>
    </row>
    <row r="71" spans="1:27" x14ac:dyDescent="0.3">
      <c r="A71" s="371">
        <f>IF($A70="","",IF($A70+1&gt;'Work Calendar'!$B$16,"",$A70+1))</f>
        <v>46089</v>
      </c>
      <c r="B71" t="str">
        <f t="shared" si="4"/>
        <v>Sun</v>
      </c>
      <c r="C71" t="str" cm="1">
        <f t="array" ref="C71">IF($A71="","",IF(COUNTIF('Work Calendar'!$E$6:$E$200,$A71)&gt;0,"Holiday",IF(INDEX('Work Calendar'!$C$6:$C$12,WEEKDAY($A71,1))=1,"Working","Weekend")))</f>
        <v>Working</v>
      </c>
      <c r="D71" s="341">
        <f>IF($A71="","",SUMIFS('Timesheet Raw'!$P$4:$P$8000,'Timesheet Raw'!$L$4:$L$8000,$A71,'Timesheet Raw'!$C$4:$C$8000,D$3,'Timesheet Raw'!$A$4:$A$8000,"1-Projects"))</f>
        <v>0</v>
      </c>
      <c r="E71" s="341">
        <f>IF($A71="","",SUMIFS('Timesheet Raw'!$P$4:$P$8000,'Timesheet Raw'!$L$4:$L$8000,$A71,'Timesheet Raw'!$C$4:$C$8000,D$3,'Timesheet Raw'!$A$4:$A$8000,"2-Proposals Chargeable")+SUMIFS('Timesheet Raw'!$P$4:$P$8000,'Timesheet Raw'!$L$4:$L$8000,$A71,'Timesheet Raw'!$C$4:$C$8000,D$3,'Timesheet Raw'!$A$4:$A$8000,"3-Proposals Regular"))</f>
        <v>0</v>
      </c>
      <c r="F71" s="341">
        <f>IF($A71="","",SUMIFS('Timesheet Raw'!$P$4:$P$8000,'Timesheet Raw'!$L$4:$L$8000,$A71,'Timesheet Raw'!$C$4:$C$8000,D$3,'Timesheet Raw'!$B$4:$B$8000,'Work Calendar'!$A$26)+SUMIFS('Timesheet Raw'!$P$4:$P$8000,'Timesheet Raw'!$L$4:$L$8000,$A71,'Timesheet Raw'!$C$4:$C$8000,D$3,'Timesheet Raw'!$B$4:$B$8000,'Work Calendar'!$A$27)+SUMIFS('Timesheet Raw'!$P$4:$P$8000,'Timesheet Raw'!$L$4:$L$8000,$A71,'Timesheet Raw'!$C$4:$C$8000,D$3,'Timesheet Raw'!$B$4:$B$8000,'Work Calendar'!$A$28)+SUMIFS('Timesheet Raw'!$P$4:$P$8000,'Timesheet Raw'!$L$4:$L$8000,$A71,'Timesheet Raw'!$C$4:$C$8000,D$3,'Timesheet Raw'!$B$4:$B$8000,'Work Calendar'!$A$29))</f>
        <v>7.5</v>
      </c>
      <c r="G71" s="341">
        <f t="shared" si="5"/>
        <v>0</v>
      </c>
      <c r="H71" s="395">
        <f>IF($A71="","",SUMIFS('Timesheet Raw'!$K$4:$K$8000,'Timesheet Raw'!$L$4:$L$8000,$A71,'Timesheet Raw'!$C$4:$C$8000,D$3))</f>
        <v>0</v>
      </c>
      <c r="I71" s="345">
        <f>IF($A71="","",SUMIFS('Timesheet Raw'!$P$4:$P$8000,'Timesheet Raw'!$L$4:$L$8000,$A71,'Timesheet Raw'!$C$4:$C$8000,D$3))</f>
        <v>7.5</v>
      </c>
      <c r="J71" s="375"/>
      <c r="K71" t="str">
        <f>IF($A71="","",IF(J71&lt;&gt;"",J71,IF($A71&gt;'Work Calendar'!$B$17,"No data yet",IF(AND(F71&gt;='Work Calendar'!$B$14,D71+E71+G71&gt;0),"Day off - but worked",IF(F71&gt;='Work Calendar'!$B$14,"Day off",IF(D71+E71+G71&gt;0,IF($C71="Working","Charged","Worked weekend"),IF($C71="Working","Leave (not charged)",$C71)))))))</f>
        <v>Leave (not charged)</v>
      </c>
      <c r="L71" s="341">
        <f>IF($A71="","",SUMIFS('Timesheet Raw'!$P$4:$P$8000,'Timesheet Raw'!$L$4:$L$8000,$A71,'Timesheet Raw'!$C$4:$C$8000,L$3,'Timesheet Raw'!$A$4:$A$8000,"1-Projects"))</f>
        <v>9</v>
      </c>
      <c r="M71" s="341">
        <f>IF($A71="","",SUMIFS('Timesheet Raw'!$P$4:$P$8000,'Timesheet Raw'!$L$4:$L$8000,$A71,'Timesheet Raw'!$C$4:$C$8000,L$3,'Timesheet Raw'!$A$4:$A$8000,"2-Proposals Chargeable")+SUMIFS('Timesheet Raw'!$P$4:$P$8000,'Timesheet Raw'!$L$4:$L$8000,$A71,'Timesheet Raw'!$C$4:$C$8000,L$3,'Timesheet Raw'!$A$4:$A$8000,"3-Proposals Regular"))</f>
        <v>0</v>
      </c>
      <c r="N71" s="341">
        <f>IF($A71="","",SUMIFS('Timesheet Raw'!$P$4:$P$8000,'Timesheet Raw'!$L$4:$L$8000,$A71,'Timesheet Raw'!$C$4:$C$8000,L$3,'Timesheet Raw'!$B$4:$B$8000,'Work Calendar'!$A$26)+SUMIFS('Timesheet Raw'!$P$4:$P$8000,'Timesheet Raw'!$L$4:$L$8000,$A71,'Timesheet Raw'!$C$4:$C$8000,L$3,'Timesheet Raw'!$B$4:$B$8000,'Work Calendar'!$A$27)+SUMIFS('Timesheet Raw'!$P$4:$P$8000,'Timesheet Raw'!$L$4:$L$8000,$A71,'Timesheet Raw'!$C$4:$C$8000,L$3,'Timesheet Raw'!$B$4:$B$8000,'Work Calendar'!$A$28)+SUMIFS('Timesheet Raw'!$P$4:$P$8000,'Timesheet Raw'!$L$4:$L$8000,$A71,'Timesheet Raw'!$C$4:$C$8000,L$3,'Timesheet Raw'!$B$4:$B$8000,'Work Calendar'!$A$29))</f>
        <v>0</v>
      </c>
      <c r="O71" s="341">
        <f t="shared" si="6"/>
        <v>0</v>
      </c>
      <c r="P71" s="395">
        <f>IF($A71="","",SUMIFS('Timesheet Raw'!$K$4:$K$8000,'Timesheet Raw'!$L$4:$L$8000,$A71,'Timesheet Raw'!$C$4:$C$8000,L$3))</f>
        <v>1.5</v>
      </c>
      <c r="Q71" s="345">
        <f>IF($A71="","",SUMIFS('Timesheet Raw'!$P$4:$P$8000,'Timesheet Raw'!$L$4:$L$8000,$A71,'Timesheet Raw'!$C$4:$C$8000,L$3))</f>
        <v>9</v>
      </c>
      <c r="R71" s="375"/>
      <c r="S71" t="str">
        <f>IF($A71="","",IF(R71&lt;&gt;"",R71,IF($A71&gt;'Work Calendar'!$B$17,"No data yet",IF(AND(N71&gt;='Work Calendar'!$B$14,L71+M71+O71&gt;0),"Day off - but worked",IF(N71&gt;='Work Calendar'!$B$14,"Day off",IF(L71+M71+O71&gt;0,IF($C71="Working","Charged","Worked weekend"),IF($C71="Working","Leave (not charged)",$C71)))))))</f>
        <v>Charged</v>
      </c>
      <c r="T71" s="341">
        <f>IF($A71="","",SUMIFS('Timesheet Raw'!$P$4:$P$8000,'Timesheet Raw'!$L$4:$L$8000,$A71,'Timesheet Raw'!$C$4:$C$8000,T$3,'Timesheet Raw'!$A$4:$A$8000,"1-Projects"))</f>
        <v>8.5</v>
      </c>
      <c r="U71" s="341">
        <f>IF($A71="","",SUMIFS('Timesheet Raw'!$P$4:$P$8000,'Timesheet Raw'!$L$4:$L$8000,$A71,'Timesheet Raw'!$C$4:$C$8000,T$3,'Timesheet Raw'!$A$4:$A$8000,"2-Proposals Chargeable")+SUMIFS('Timesheet Raw'!$P$4:$P$8000,'Timesheet Raw'!$L$4:$L$8000,$A71,'Timesheet Raw'!$C$4:$C$8000,T$3,'Timesheet Raw'!$A$4:$A$8000,"3-Proposals Regular"))</f>
        <v>0</v>
      </c>
      <c r="V71" s="341">
        <f>IF($A71="","",SUMIFS('Timesheet Raw'!$P$4:$P$8000,'Timesheet Raw'!$L$4:$L$8000,$A71,'Timesheet Raw'!$C$4:$C$8000,T$3,'Timesheet Raw'!$B$4:$B$8000,'Work Calendar'!$A$26)+SUMIFS('Timesheet Raw'!$P$4:$P$8000,'Timesheet Raw'!$L$4:$L$8000,$A71,'Timesheet Raw'!$C$4:$C$8000,T$3,'Timesheet Raw'!$B$4:$B$8000,'Work Calendar'!$A$27)+SUMIFS('Timesheet Raw'!$P$4:$P$8000,'Timesheet Raw'!$L$4:$L$8000,$A71,'Timesheet Raw'!$C$4:$C$8000,T$3,'Timesheet Raw'!$B$4:$B$8000,'Work Calendar'!$A$28)+SUMIFS('Timesheet Raw'!$P$4:$P$8000,'Timesheet Raw'!$L$4:$L$8000,$A71,'Timesheet Raw'!$C$4:$C$8000,T$3,'Timesheet Raw'!$B$4:$B$8000,'Work Calendar'!$A$29))</f>
        <v>0.25</v>
      </c>
      <c r="W71" s="341">
        <f t="shared" si="7"/>
        <v>0</v>
      </c>
      <c r="X71" s="395">
        <f>IF($A71="","",SUMIFS('Timesheet Raw'!$K$4:$K$8000,'Timesheet Raw'!$L$4:$L$8000,$A71,'Timesheet Raw'!$C$4:$C$8000,T$3))</f>
        <v>1.25</v>
      </c>
      <c r="Y71" s="345">
        <f>IF($A71="","",SUMIFS('Timesheet Raw'!$P$4:$P$8000,'Timesheet Raw'!$L$4:$L$8000,$A71,'Timesheet Raw'!$C$4:$C$8000,T$3))</f>
        <v>8.75</v>
      </c>
      <c r="Z71" s="375"/>
      <c r="AA71" t="str">
        <f>IF($A71="","",IF(Z71&lt;&gt;"",Z71,IF($A71&gt;'Work Calendar'!$B$17,"No data yet",IF(AND(V71&gt;='Work Calendar'!$B$14,T71+U71+W71&gt;0),"Day off - but worked",IF(V71&gt;='Work Calendar'!$B$14,"Day off",IF(T71+U71+W71&gt;0,IF($C71="Working","Charged","Worked weekend"),IF($C71="Working","Leave (not charged)",$C71)))))))</f>
        <v>Charged</v>
      </c>
    </row>
    <row r="72" spans="1:27" x14ac:dyDescent="0.3">
      <c r="A72" s="371">
        <f>IF($A71="","",IF($A71+1&gt;'Work Calendar'!$B$16,"",$A71+1))</f>
        <v>46090</v>
      </c>
      <c r="B72" t="str">
        <f t="shared" si="4"/>
        <v>Mon</v>
      </c>
      <c r="C72" t="str" cm="1">
        <f t="array" ref="C72">IF($A72="","",IF(COUNTIF('Work Calendar'!$E$6:$E$200,$A72)&gt;0,"Holiday",IF(INDEX('Work Calendar'!$C$6:$C$12,WEEKDAY($A72,1))=1,"Working","Weekend")))</f>
        <v>Working</v>
      </c>
      <c r="D72" s="341">
        <f>IF($A72="","",SUMIFS('Timesheet Raw'!$P$4:$P$8000,'Timesheet Raw'!$L$4:$L$8000,$A72,'Timesheet Raw'!$C$4:$C$8000,D$3,'Timesheet Raw'!$A$4:$A$8000,"1-Projects"))</f>
        <v>7</v>
      </c>
      <c r="E72" s="341">
        <f>IF($A72="","",SUMIFS('Timesheet Raw'!$P$4:$P$8000,'Timesheet Raw'!$L$4:$L$8000,$A72,'Timesheet Raw'!$C$4:$C$8000,D$3,'Timesheet Raw'!$A$4:$A$8000,"2-Proposals Chargeable")+SUMIFS('Timesheet Raw'!$P$4:$P$8000,'Timesheet Raw'!$L$4:$L$8000,$A72,'Timesheet Raw'!$C$4:$C$8000,D$3,'Timesheet Raw'!$A$4:$A$8000,"3-Proposals Regular"))</f>
        <v>0</v>
      </c>
      <c r="F72" s="341">
        <f>IF($A72="","",SUMIFS('Timesheet Raw'!$P$4:$P$8000,'Timesheet Raw'!$L$4:$L$8000,$A72,'Timesheet Raw'!$C$4:$C$8000,D$3,'Timesheet Raw'!$B$4:$B$8000,'Work Calendar'!$A$26)+SUMIFS('Timesheet Raw'!$P$4:$P$8000,'Timesheet Raw'!$L$4:$L$8000,$A72,'Timesheet Raw'!$C$4:$C$8000,D$3,'Timesheet Raw'!$B$4:$B$8000,'Work Calendar'!$A$27)+SUMIFS('Timesheet Raw'!$P$4:$P$8000,'Timesheet Raw'!$L$4:$L$8000,$A72,'Timesheet Raw'!$C$4:$C$8000,D$3,'Timesheet Raw'!$B$4:$B$8000,'Work Calendar'!$A$28)+SUMIFS('Timesheet Raw'!$P$4:$P$8000,'Timesheet Raw'!$L$4:$L$8000,$A72,'Timesheet Raw'!$C$4:$C$8000,D$3,'Timesheet Raw'!$B$4:$B$8000,'Work Calendar'!$A$29))</f>
        <v>0.75</v>
      </c>
      <c r="G72" s="341">
        <f t="shared" si="5"/>
        <v>0</v>
      </c>
      <c r="H72" s="395">
        <f>IF($A72="","",SUMIFS('Timesheet Raw'!$K$4:$K$8000,'Timesheet Raw'!$L$4:$L$8000,$A72,'Timesheet Raw'!$C$4:$C$8000,D$3))</f>
        <v>0.25</v>
      </c>
      <c r="I72" s="345">
        <f>IF($A72="","",SUMIFS('Timesheet Raw'!$P$4:$P$8000,'Timesheet Raw'!$L$4:$L$8000,$A72,'Timesheet Raw'!$C$4:$C$8000,D$3))</f>
        <v>7.75</v>
      </c>
      <c r="J72" s="375"/>
      <c r="K72" t="str">
        <f>IF($A72="","",IF(J72&lt;&gt;"",J72,IF($A72&gt;'Work Calendar'!$B$17,"No data yet",IF(AND(F72&gt;='Work Calendar'!$B$14,D72+E72+G72&gt;0),"Day off - but worked",IF(F72&gt;='Work Calendar'!$B$14,"Day off",IF(D72+E72+G72&gt;0,IF($C72="Working","Charged","Worked weekend"),IF($C72="Working","Leave (not charged)",$C72)))))))</f>
        <v>Charged</v>
      </c>
      <c r="L72" s="341">
        <f>IF($A72="","",SUMIFS('Timesheet Raw'!$P$4:$P$8000,'Timesheet Raw'!$L$4:$L$8000,$A72,'Timesheet Raw'!$C$4:$C$8000,L$3,'Timesheet Raw'!$A$4:$A$8000,"1-Projects"))</f>
        <v>8</v>
      </c>
      <c r="M72" s="341">
        <f>IF($A72="","",SUMIFS('Timesheet Raw'!$P$4:$P$8000,'Timesheet Raw'!$L$4:$L$8000,$A72,'Timesheet Raw'!$C$4:$C$8000,L$3,'Timesheet Raw'!$A$4:$A$8000,"2-Proposals Chargeable")+SUMIFS('Timesheet Raw'!$P$4:$P$8000,'Timesheet Raw'!$L$4:$L$8000,$A72,'Timesheet Raw'!$C$4:$C$8000,L$3,'Timesheet Raw'!$A$4:$A$8000,"3-Proposals Regular"))</f>
        <v>0</v>
      </c>
      <c r="N72" s="341">
        <f>IF($A72="","",SUMIFS('Timesheet Raw'!$P$4:$P$8000,'Timesheet Raw'!$L$4:$L$8000,$A72,'Timesheet Raw'!$C$4:$C$8000,L$3,'Timesheet Raw'!$B$4:$B$8000,'Work Calendar'!$A$26)+SUMIFS('Timesheet Raw'!$P$4:$P$8000,'Timesheet Raw'!$L$4:$L$8000,$A72,'Timesheet Raw'!$C$4:$C$8000,L$3,'Timesheet Raw'!$B$4:$B$8000,'Work Calendar'!$A$27)+SUMIFS('Timesheet Raw'!$P$4:$P$8000,'Timesheet Raw'!$L$4:$L$8000,$A72,'Timesheet Raw'!$C$4:$C$8000,L$3,'Timesheet Raw'!$B$4:$B$8000,'Work Calendar'!$A$28)+SUMIFS('Timesheet Raw'!$P$4:$P$8000,'Timesheet Raw'!$L$4:$L$8000,$A72,'Timesheet Raw'!$C$4:$C$8000,L$3,'Timesheet Raw'!$B$4:$B$8000,'Work Calendar'!$A$29))</f>
        <v>0</v>
      </c>
      <c r="O72" s="341">
        <f t="shared" si="6"/>
        <v>0</v>
      </c>
      <c r="P72" s="395">
        <f>IF($A72="","",SUMIFS('Timesheet Raw'!$K$4:$K$8000,'Timesheet Raw'!$L$4:$L$8000,$A72,'Timesheet Raw'!$C$4:$C$8000,L$3))</f>
        <v>0.5</v>
      </c>
      <c r="Q72" s="345">
        <f>IF($A72="","",SUMIFS('Timesheet Raw'!$P$4:$P$8000,'Timesheet Raw'!$L$4:$L$8000,$A72,'Timesheet Raw'!$C$4:$C$8000,L$3))</f>
        <v>8</v>
      </c>
      <c r="R72" s="375"/>
      <c r="S72" t="str">
        <f>IF($A72="","",IF(R72&lt;&gt;"",R72,IF($A72&gt;'Work Calendar'!$B$17,"No data yet",IF(AND(N72&gt;='Work Calendar'!$B$14,L72+M72+O72&gt;0),"Day off - but worked",IF(N72&gt;='Work Calendar'!$B$14,"Day off",IF(L72+M72+O72&gt;0,IF($C72="Working","Charged","Worked weekend"),IF($C72="Working","Leave (not charged)",$C72)))))))</f>
        <v>Charged</v>
      </c>
      <c r="T72" s="341">
        <f>IF($A72="","",SUMIFS('Timesheet Raw'!$P$4:$P$8000,'Timesheet Raw'!$L$4:$L$8000,$A72,'Timesheet Raw'!$C$4:$C$8000,T$3,'Timesheet Raw'!$A$4:$A$8000,"1-Projects"))</f>
        <v>7.75</v>
      </c>
      <c r="U72" s="341">
        <f>IF($A72="","",SUMIFS('Timesheet Raw'!$P$4:$P$8000,'Timesheet Raw'!$L$4:$L$8000,$A72,'Timesheet Raw'!$C$4:$C$8000,T$3,'Timesheet Raw'!$A$4:$A$8000,"2-Proposals Chargeable")+SUMIFS('Timesheet Raw'!$P$4:$P$8000,'Timesheet Raw'!$L$4:$L$8000,$A72,'Timesheet Raw'!$C$4:$C$8000,T$3,'Timesheet Raw'!$A$4:$A$8000,"3-Proposals Regular"))</f>
        <v>0</v>
      </c>
      <c r="V72" s="341">
        <f>IF($A72="","",SUMIFS('Timesheet Raw'!$P$4:$P$8000,'Timesheet Raw'!$L$4:$L$8000,$A72,'Timesheet Raw'!$C$4:$C$8000,T$3,'Timesheet Raw'!$B$4:$B$8000,'Work Calendar'!$A$26)+SUMIFS('Timesheet Raw'!$P$4:$P$8000,'Timesheet Raw'!$L$4:$L$8000,$A72,'Timesheet Raw'!$C$4:$C$8000,T$3,'Timesheet Raw'!$B$4:$B$8000,'Work Calendar'!$A$27)+SUMIFS('Timesheet Raw'!$P$4:$P$8000,'Timesheet Raw'!$L$4:$L$8000,$A72,'Timesheet Raw'!$C$4:$C$8000,T$3,'Timesheet Raw'!$B$4:$B$8000,'Work Calendar'!$A$28)+SUMIFS('Timesheet Raw'!$P$4:$P$8000,'Timesheet Raw'!$L$4:$L$8000,$A72,'Timesheet Raw'!$C$4:$C$8000,T$3,'Timesheet Raw'!$B$4:$B$8000,'Work Calendar'!$A$29))</f>
        <v>0</v>
      </c>
      <c r="W72" s="341">
        <f t="shared" si="7"/>
        <v>0</v>
      </c>
      <c r="X72" s="395">
        <f>IF($A72="","",SUMIFS('Timesheet Raw'!$K$4:$K$8000,'Timesheet Raw'!$L$4:$L$8000,$A72,'Timesheet Raw'!$C$4:$C$8000,T$3))</f>
        <v>0.25</v>
      </c>
      <c r="Y72" s="345">
        <f>IF($A72="","",SUMIFS('Timesheet Raw'!$P$4:$P$8000,'Timesheet Raw'!$L$4:$L$8000,$A72,'Timesheet Raw'!$C$4:$C$8000,T$3))</f>
        <v>7.75</v>
      </c>
      <c r="Z72" s="375"/>
      <c r="AA72" t="str">
        <f>IF($A72="","",IF(Z72&lt;&gt;"",Z72,IF($A72&gt;'Work Calendar'!$B$17,"No data yet",IF(AND(V72&gt;='Work Calendar'!$B$14,T72+U72+W72&gt;0),"Day off - but worked",IF(V72&gt;='Work Calendar'!$B$14,"Day off",IF(T72+U72+W72&gt;0,IF($C72="Working","Charged","Worked weekend"),IF($C72="Working","Leave (not charged)",$C72)))))))</f>
        <v>Charged</v>
      </c>
    </row>
    <row r="73" spans="1:27" x14ac:dyDescent="0.3">
      <c r="A73" s="371">
        <f>IF($A72="","",IF($A72+1&gt;'Work Calendar'!$B$16,"",$A72+1))</f>
        <v>46091</v>
      </c>
      <c r="B73" t="str">
        <f t="shared" si="4"/>
        <v>Tue</v>
      </c>
      <c r="C73" t="str" cm="1">
        <f t="array" ref="C73">IF($A73="","",IF(COUNTIF('Work Calendar'!$E$6:$E$200,$A73)&gt;0,"Holiday",IF(INDEX('Work Calendar'!$C$6:$C$12,WEEKDAY($A73,1))=1,"Working","Weekend")))</f>
        <v>Working</v>
      </c>
      <c r="D73" s="341">
        <f>IF($A73="","",SUMIFS('Timesheet Raw'!$P$4:$P$8000,'Timesheet Raw'!$L$4:$L$8000,$A73,'Timesheet Raw'!$C$4:$C$8000,D$3,'Timesheet Raw'!$A$4:$A$8000,"1-Projects"))</f>
        <v>6.5</v>
      </c>
      <c r="E73" s="341">
        <f>IF($A73="","",SUMIFS('Timesheet Raw'!$P$4:$P$8000,'Timesheet Raw'!$L$4:$L$8000,$A73,'Timesheet Raw'!$C$4:$C$8000,D$3,'Timesheet Raw'!$A$4:$A$8000,"2-Proposals Chargeable")+SUMIFS('Timesheet Raw'!$P$4:$P$8000,'Timesheet Raw'!$L$4:$L$8000,$A73,'Timesheet Raw'!$C$4:$C$8000,D$3,'Timesheet Raw'!$A$4:$A$8000,"3-Proposals Regular"))</f>
        <v>0</v>
      </c>
      <c r="F73" s="341">
        <f>IF($A73="","",SUMIFS('Timesheet Raw'!$P$4:$P$8000,'Timesheet Raw'!$L$4:$L$8000,$A73,'Timesheet Raw'!$C$4:$C$8000,D$3,'Timesheet Raw'!$B$4:$B$8000,'Work Calendar'!$A$26)+SUMIFS('Timesheet Raw'!$P$4:$P$8000,'Timesheet Raw'!$L$4:$L$8000,$A73,'Timesheet Raw'!$C$4:$C$8000,D$3,'Timesheet Raw'!$B$4:$B$8000,'Work Calendar'!$A$27)+SUMIFS('Timesheet Raw'!$P$4:$P$8000,'Timesheet Raw'!$L$4:$L$8000,$A73,'Timesheet Raw'!$C$4:$C$8000,D$3,'Timesheet Raw'!$B$4:$B$8000,'Work Calendar'!$A$28)+SUMIFS('Timesheet Raw'!$P$4:$P$8000,'Timesheet Raw'!$L$4:$L$8000,$A73,'Timesheet Raw'!$C$4:$C$8000,D$3,'Timesheet Raw'!$B$4:$B$8000,'Work Calendar'!$A$29))</f>
        <v>1</v>
      </c>
      <c r="G73" s="341">
        <f t="shared" si="5"/>
        <v>0</v>
      </c>
      <c r="H73" s="395">
        <f>IF($A73="","",SUMIFS('Timesheet Raw'!$K$4:$K$8000,'Timesheet Raw'!$L$4:$L$8000,$A73,'Timesheet Raw'!$C$4:$C$8000,D$3))</f>
        <v>0</v>
      </c>
      <c r="I73" s="345">
        <f>IF($A73="","",SUMIFS('Timesheet Raw'!$P$4:$P$8000,'Timesheet Raw'!$L$4:$L$8000,$A73,'Timesheet Raw'!$C$4:$C$8000,D$3))</f>
        <v>7.5</v>
      </c>
      <c r="J73" s="375"/>
      <c r="K73" t="str">
        <f>IF($A73="","",IF(J73&lt;&gt;"",J73,IF($A73&gt;'Work Calendar'!$B$17,"No data yet",IF(AND(F73&gt;='Work Calendar'!$B$14,D73+E73+G73&gt;0),"Day off - but worked",IF(F73&gt;='Work Calendar'!$B$14,"Day off",IF(D73+E73+G73&gt;0,IF($C73="Working","Charged","Worked weekend"),IF($C73="Working","Leave (not charged)",$C73)))))))</f>
        <v>Charged</v>
      </c>
      <c r="L73" s="341">
        <f>IF($A73="","",SUMIFS('Timesheet Raw'!$P$4:$P$8000,'Timesheet Raw'!$L$4:$L$8000,$A73,'Timesheet Raw'!$C$4:$C$8000,L$3,'Timesheet Raw'!$A$4:$A$8000,"1-Projects"))</f>
        <v>6.75</v>
      </c>
      <c r="M73" s="341">
        <f>IF($A73="","",SUMIFS('Timesheet Raw'!$P$4:$P$8000,'Timesheet Raw'!$L$4:$L$8000,$A73,'Timesheet Raw'!$C$4:$C$8000,L$3,'Timesheet Raw'!$A$4:$A$8000,"2-Proposals Chargeable")+SUMIFS('Timesheet Raw'!$P$4:$P$8000,'Timesheet Raw'!$L$4:$L$8000,$A73,'Timesheet Raw'!$C$4:$C$8000,L$3,'Timesheet Raw'!$A$4:$A$8000,"3-Proposals Regular"))</f>
        <v>0</v>
      </c>
      <c r="N73" s="341">
        <f>IF($A73="","",SUMIFS('Timesheet Raw'!$P$4:$P$8000,'Timesheet Raw'!$L$4:$L$8000,$A73,'Timesheet Raw'!$C$4:$C$8000,L$3,'Timesheet Raw'!$B$4:$B$8000,'Work Calendar'!$A$26)+SUMIFS('Timesheet Raw'!$P$4:$P$8000,'Timesheet Raw'!$L$4:$L$8000,$A73,'Timesheet Raw'!$C$4:$C$8000,L$3,'Timesheet Raw'!$B$4:$B$8000,'Work Calendar'!$A$27)+SUMIFS('Timesheet Raw'!$P$4:$P$8000,'Timesheet Raw'!$L$4:$L$8000,$A73,'Timesheet Raw'!$C$4:$C$8000,L$3,'Timesheet Raw'!$B$4:$B$8000,'Work Calendar'!$A$28)+SUMIFS('Timesheet Raw'!$P$4:$P$8000,'Timesheet Raw'!$L$4:$L$8000,$A73,'Timesheet Raw'!$C$4:$C$8000,L$3,'Timesheet Raw'!$B$4:$B$8000,'Work Calendar'!$A$29))</f>
        <v>0.75</v>
      </c>
      <c r="O73" s="341">
        <f t="shared" si="6"/>
        <v>0</v>
      </c>
      <c r="P73" s="395">
        <f>IF($A73="","",SUMIFS('Timesheet Raw'!$K$4:$K$8000,'Timesheet Raw'!$L$4:$L$8000,$A73,'Timesheet Raw'!$C$4:$C$8000,L$3))</f>
        <v>0</v>
      </c>
      <c r="Q73" s="345">
        <f>IF($A73="","",SUMIFS('Timesheet Raw'!$P$4:$P$8000,'Timesheet Raw'!$L$4:$L$8000,$A73,'Timesheet Raw'!$C$4:$C$8000,L$3))</f>
        <v>7.5</v>
      </c>
      <c r="R73" s="375"/>
      <c r="S73" t="str">
        <f>IF($A73="","",IF(R73&lt;&gt;"",R73,IF($A73&gt;'Work Calendar'!$B$17,"No data yet",IF(AND(N73&gt;='Work Calendar'!$B$14,L73+M73+O73&gt;0),"Day off - but worked",IF(N73&gt;='Work Calendar'!$B$14,"Day off",IF(L73+M73+O73&gt;0,IF($C73="Working","Charged","Worked weekend"),IF($C73="Working","Leave (not charged)",$C73)))))))</f>
        <v>Charged</v>
      </c>
      <c r="T73" s="341">
        <f>IF($A73="","",SUMIFS('Timesheet Raw'!$P$4:$P$8000,'Timesheet Raw'!$L$4:$L$8000,$A73,'Timesheet Raw'!$C$4:$C$8000,T$3,'Timesheet Raw'!$A$4:$A$8000,"1-Projects"))</f>
        <v>6.25</v>
      </c>
      <c r="U73" s="341">
        <f>IF($A73="","",SUMIFS('Timesheet Raw'!$P$4:$P$8000,'Timesheet Raw'!$L$4:$L$8000,$A73,'Timesheet Raw'!$C$4:$C$8000,T$3,'Timesheet Raw'!$A$4:$A$8000,"2-Proposals Chargeable")+SUMIFS('Timesheet Raw'!$P$4:$P$8000,'Timesheet Raw'!$L$4:$L$8000,$A73,'Timesheet Raw'!$C$4:$C$8000,T$3,'Timesheet Raw'!$A$4:$A$8000,"3-Proposals Regular"))</f>
        <v>0</v>
      </c>
      <c r="V73" s="341">
        <f>IF($A73="","",SUMIFS('Timesheet Raw'!$P$4:$P$8000,'Timesheet Raw'!$L$4:$L$8000,$A73,'Timesheet Raw'!$C$4:$C$8000,T$3,'Timesheet Raw'!$B$4:$B$8000,'Work Calendar'!$A$26)+SUMIFS('Timesheet Raw'!$P$4:$P$8000,'Timesheet Raw'!$L$4:$L$8000,$A73,'Timesheet Raw'!$C$4:$C$8000,T$3,'Timesheet Raw'!$B$4:$B$8000,'Work Calendar'!$A$27)+SUMIFS('Timesheet Raw'!$P$4:$P$8000,'Timesheet Raw'!$L$4:$L$8000,$A73,'Timesheet Raw'!$C$4:$C$8000,T$3,'Timesheet Raw'!$B$4:$B$8000,'Work Calendar'!$A$28)+SUMIFS('Timesheet Raw'!$P$4:$P$8000,'Timesheet Raw'!$L$4:$L$8000,$A73,'Timesheet Raw'!$C$4:$C$8000,T$3,'Timesheet Raw'!$B$4:$B$8000,'Work Calendar'!$A$29))</f>
        <v>1.25</v>
      </c>
      <c r="W73" s="341">
        <f t="shared" si="7"/>
        <v>0</v>
      </c>
      <c r="X73" s="395">
        <f>IF($A73="","",SUMIFS('Timesheet Raw'!$K$4:$K$8000,'Timesheet Raw'!$L$4:$L$8000,$A73,'Timesheet Raw'!$C$4:$C$8000,T$3))</f>
        <v>0</v>
      </c>
      <c r="Y73" s="345">
        <f>IF($A73="","",SUMIFS('Timesheet Raw'!$P$4:$P$8000,'Timesheet Raw'!$L$4:$L$8000,$A73,'Timesheet Raw'!$C$4:$C$8000,T$3))</f>
        <v>7.5</v>
      </c>
      <c r="Z73" s="375"/>
      <c r="AA73" t="str">
        <f>IF($A73="","",IF(Z73&lt;&gt;"",Z73,IF($A73&gt;'Work Calendar'!$B$17,"No data yet",IF(AND(V73&gt;='Work Calendar'!$B$14,T73+U73+W73&gt;0),"Day off - but worked",IF(V73&gt;='Work Calendar'!$B$14,"Day off",IF(T73+U73+W73&gt;0,IF($C73="Working","Charged","Worked weekend"),IF($C73="Working","Leave (not charged)",$C73)))))))</f>
        <v>Charged</v>
      </c>
    </row>
    <row r="74" spans="1:27" x14ac:dyDescent="0.3">
      <c r="A74" s="371">
        <f>IF($A73="","",IF($A73+1&gt;'Work Calendar'!$B$16,"",$A73+1))</f>
        <v>46092</v>
      </c>
      <c r="B74" t="str">
        <f t="shared" si="4"/>
        <v>Wed</v>
      </c>
      <c r="C74" t="str" cm="1">
        <f t="array" ref="C74">IF($A74="","",IF(COUNTIF('Work Calendar'!$E$6:$E$200,$A74)&gt;0,"Holiday",IF(INDEX('Work Calendar'!$C$6:$C$12,WEEKDAY($A74,1))=1,"Working","Weekend")))</f>
        <v>Working</v>
      </c>
      <c r="D74" s="341">
        <f>IF($A74="","",SUMIFS('Timesheet Raw'!$P$4:$P$8000,'Timesheet Raw'!$L$4:$L$8000,$A74,'Timesheet Raw'!$C$4:$C$8000,D$3,'Timesheet Raw'!$A$4:$A$8000,"1-Projects"))</f>
        <v>0</v>
      </c>
      <c r="E74" s="341">
        <f>IF($A74="","",SUMIFS('Timesheet Raw'!$P$4:$P$8000,'Timesheet Raw'!$L$4:$L$8000,$A74,'Timesheet Raw'!$C$4:$C$8000,D$3,'Timesheet Raw'!$A$4:$A$8000,"2-Proposals Chargeable")+SUMIFS('Timesheet Raw'!$P$4:$P$8000,'Timesheet Raw'!$L$4:$L$8000,$A74,'Timesheet Raw'!$C$4:$C$8000,D$3,'Timesheet Raw'!$A$4:$A$8000,"3-Proposals Regular"))</f>
        <v>0</v>
      </c>
      <c r="F74" s="341">
        <f>IF($A74="","",SUMIFS('Timesheet Raw'!$P$4:$P$8000,'Timesheet Raw'!$L$4:$L$8000,$A74,'Timesheet Raw'!$C$4:$C$8000,D$3,'Timesheet Raw'!$B$4:$B$8000,'Work Calendar'!$A$26)+SUMIFS('Timesheet Raw'!$P$4:$P$8000,'Timesheet Raw'!$L$4:$L$8000,$A74,'Timesheet Raw'!$C$4:$C$8000,D$3,'Timesheet Raw'!$B$4:$B$8000,'Work Calendar'!$A$27)+SUMIFS('Timesheet Raw'!$P$4:$P$8000,'Timesheet Raw'!$L$4:$L$8000,$A74,'Timesheet Raw'!$C$4:$C$8000,D$3,'Timesheet Raw'!$B$4:$B$8000,'Work Calendar'!$A$28)+SUMIFS('Timesheet Raw'!$P$4:$P$8000,'Timesheet Raw'!$L$4:$L$8000,$A74,'Timesheet Raw'!$C$4:$C$8000,D$3,'Timesheet Raw'!$B$4:$B$8000,'Work Calendar'!$A$29))</f>
        <v>7.5</v>
      </c>
      <c r="G74" s="341">
        <f t="shared" si="5"/>
        <v>0</v>
      </c>
      <c r="H74" s="395">
        <f>IF($A74="","",SUMIFS('Timesheet Raw'!$K$4:$K$8000,'Timesheet Raw'!$L$4:$L$8000,$A74,'Timesheet Raw'!$C$4:$C$8000,D$3))</f>
        <v>0</v>
      </c>
      <c r="I74" s="345">
        <f>IF($A74="","",SUMIFS('Timesheet Raw'!$P$4:$P$8000,'Timesheet Raw'!$L$4:$L$8000,$A74,'Timesheet Raw'!$C$4:$C$8000,D$3))</f>
        <v>7.5</v>
      </c>
      <c r="J74" s="375"/>
      <c r="K74" t="str">
        <f>IF($A74="","",IF(J74&lt;&gt;"",J74,IF($A74&gt;'Work Calendar'!$B$17,"No data yet",IF(AND(F74&gt;='Work Calendar'!$B$14,D74+E74+G74&gt;0),"Day off - but worked",IF(F74&gt;='Work Calendar'!$B$14,"Day off",IF(D74+E74+G74&gt;0,IF($C74="Working","Charged","Worked weekend"),IF($C74="Working","Leave (not charged)",$C74)))))))</f>
        <v>Leave (not charged)</v>
      </c>
      <c r="L74" s="341">
        <f>IF($A74="","",SUMIFS('Timesheet Raw'!$P$4:$P$8000,'Timesheet Raw'!$L$4:$L$8000,$A74,'Timesheet Raw'!$C$4:$C$8000,L$3,'Timesheet Raw'!$A$4:$A$8000,"1-Projects"))</f>
        <v>6.75</v>
      </c>
      <c r="M74" s="341">
        <f>IF($A74="","",SUMIFS('Timesheet Raw'!$P$4:$P$8000,'Timesheet Raw'!$L$4:$L$8000,$A74,'Timesheet Raw'!$C$4:$C$8000,L$3,'Timesheet Raw'!$A$4:$A$8000,"2-Proposals Chargeable")+SUMIFS('Timesheet Raw'!$P$4:$P$8000,'Timesheet Raw'!$L$4:$L$8000,$A74,'Timesheet Raw'!$C$4:$C$8000,L$3,'Timesheet Raw'!$A$4:$A$8000,"3-Proposals Regular"))</f>
        <v>0</v>
      </c>
      <c r="N74" s="341">
        <f>IF($A74="","",SUMIFS('Timesheet Raw'!$P$4:$P$8000,'Timesheet Raw'!$L$4:$L$8000,$A74,'Timesheet Raw'!$C$4:$C$8000,L$3,'Timesheet Raw'!$B$4:$B$8000,'Work Calendar'!$A$26)+SUMIFS('Timesheet Raw'!$P$4:$P$8000,'Timesheet Raw'!$L$4:$L$8000,$A74,'Timesheet Raw'!$C$4:$C$8000,L$3,'Timesheet Raw'!$B$4:$B$8000,'Work Calendar'!$A$27)+SUMIFS('Timesheet Raw'!$P$4:$P$8000,'Timesheet Raw'!$L$4:$L$8000,$A74,'Timesheet Raw'!$C$4:$C$8000,L$3,'Timesheet Raw'!$B$4:$B$8000,'Work Calendar'!$A$28)+SUMIFS('Timesheet Raw'!$P$4:$P$8000,'Timesheet Raw'!$L$4:$L$8000,$A74,'Timesheet Raw'!$C$4:$C$8000,L$3,'Timesheet Raw'!$B$4:$B$8000,'Work Calendar'!$A$29))</f>
        <v>0.75</v>
      </c>
      <c r="O74" s="341">
        <f t="shared" si="6"/>
        <v>0</v>
      </c>
      <c r="P74" s="395">
        <f>IF($A74="","",SUMIFS('Timesheet Raw'!$K$4:$K$8000,'Timesheet Raw'!$L$4:$L$8000,$A74,'Timesheet Raw'!$C$4:$C$8000,L$3))</f>
        <v>0</v>
      </c>
      <c r="Q74" s="345">
        <f>IF($A74="","",SUMIFS('Timesheet Raw'!$P$4:$P$8000,'Timesheet Raw'!$L$4:$L$8000,$A74,'Timesheet Raw'!$C$4:$C$8000,L$3))</f>
        <v>7.5</v>
      </c>
      <c r="R74" s="375"/>
      <c r="S74" t="str">
        <f>IF($A74="","",IF(R74&lt;&gt;"",R74,IF($A74&gt;'Work Calendar'!$B$17,"No data yet",IF(AND(N74&gt;='Work Calendar'!$B$14,L74+M74+O74&gt;0),"Day off - but worked",IF(N74&gt;='Work Calendar'!$B$14,"Day off",IF(L74+M74+O74&gt;0,IF($C74="Working","Charged","Worked weekend"),IF($C74="Working","Leave (not charged)",$C74)))))))</f>
        <v>Charged</v>
      </c>
      <c r="T74" s="341">
        <f>IF($A74="","",SUMIFS('Timesheet Raw'!$P$4:$P$8000,'Timesheet Raw'!$L$4:$L$8000,$A74,'Timesheet Raw'!$C$4:$C$8000,T$3,'Timesheet Raw'!$A$4:$A$8000,"1-Projects"))</f>
        <v>6</v>
      </c>
      <c r="U74" s="341">
        <f>IF($A74="","",SUMIFS('Timesheet Raw'!$P$4:$P$8000,'Timesheet Raw'!$L$4:$L$8000,$A74,'Timesheet Raw'!$C$4:$C$8000,T$3,'Timesheet Raw'!$A$4:$A$8000,"2-Proposals Chargeable")+SUMIFS('Timesheet Raw'!$P$4:$P$8000,'Timesheet Raw'!$L$4:$L$8000,$A74,'Timesheet Raw'!$C$4:$C$8000,T$3,'Timesheet Raw'!$A$4:$A$8000,"3-Proposals Regular"))</f>
        <v>0</v>
      </c>
      <c r="V74" s="341">
        <f>IF($A74="","",SUMIFS('Timesheet Raw'!$P$4:$P$8000,'Timesheet Raw'!$L$4:$L$8000,$A74,'Timesheet Raw'!$C$4:$C$8000,T$3,'Timesheet Raw'!$B$4:$B$8000,'Work Calendar'!$A$26)+SUMIFS('Timesheet Raw'!$P$4:$P$8000,'Timesheet Raw'!$L$4:$L$8000,$A74,'Timesheet Raw'!$C$4:$C$8000,T$3,'Timesheet Raw'!$B$4:$B$8000,'Work Calendar'!$A$27)+SUMIFS('Timesheet Raw'!$P$4:$P$8000,'Timesheet Raw'!$L$4:$L$8000,$A74,'Timesheet Raw'!$C$4:$C$8000,T$3,'Timesheet Raw'!$B$4:$B$8000,'Work Calendar'!$A$28)+SUMIFS('Timesheet Raw'!$P$4:$P$8000,'Timesheet Raw'!$L$4:$L$8000,$A74,'Timesheet Raw'!$C$4:$C$8000,T$3,'Timesheet Raw'!$B$4:$B$8000,'Work Calendar'!$A$29))</f>
        <v>1.5</v>
      </c>
      <c r="W74" s="341">
        <f t="shared" si="7"/>
        <v>0</v>
      </c>
      <c r="X74" s="395">
        <f>IF($A74="","",SUMIFS('Timesheet Raw'!$K$4:$K$8000,'Timesheet Raw'!$L$4:$L$8000,$A74,'Timesheet Raw'!$C$4:$C$8000,T$3))</f>
        <v>0</v>
      </c>
      <c r="Y74" s="345">
        <f>IF($A74="","",SUMIFS('Timesheet Raw'!$P$4:$P$8000,'Timesheet Raw'!$L$4:$L$8000,$A74,'Timesheet Raw'!$C$4:$C$8000,T$3))</f>
        <v>7.5</v>
      </c>
      <c r="Z74" s="375"/>
      <c r="AA74" t="str">
        <f>IF($A74="","",IF(Z74&lt;&gt;"",Z74,IF($A74&gt;'Work Calendar'!$B$17,"No data yet",IF(AND(V74&gt;='Work Calendar'!$B$14,T74+U74+W74&gt;0),"Day off - but worked",IF(V74&gt;='Work Calendar'!$B$14,"Day off",IF(T74+U74+W74&gt;0,IF($C74="Working","Charged","Worked weekend"),IF($C74="Working","Leave (not charged)",$C74)))))))</f>
        <v>Charged</v>
      </c>
    </row>
    <row r="75" spans="1:27" x14ac:dyDescent="0.3">
      <c r="A75" s="371">
        <f>IF($A74="","",IF($A74+1&gt;'Work Calendar'!$B$16,"",$A74+1))</f>
        <v>46093</v>
      </c>
      <c r="B75" t="str">
        <f t="shared" si="4"/>
        <v>Thu</v>
      </c>
      <c r="C75" t="str" cm="1">
        <f t="array" ref="C75">IF($A75="","",IF(COUNTIF('Work Calendar'!$E$6:$E$200,$A75)&gt;0,"Holiday",IF(INDEX('Work Calendar'!$C$6:$C$12,WEEKDAY($A75,1))=1,"Working","Weekend")))</f>
        <v>Working</v>
      </c>
      <c r="D75" s="341">
        <f>IF($A75="","",SUMIFS('Timesheet Raw'!$P$4:$P$8000,'Timesheet Raw'!$L$4:$L$8000,$A75,'Timesheet Raw'!$C$4:$C$8000,D$3,'Timesheet Raw'!$A$4:$A$8000,"1-Projects"))</f>
        <v>3.25</v>
      </c>
      <c r="E75" s="341">
        <f>IF($A75="","",SUMIFS('Timesheet Raw'!$P$4:$P$8000,'Timesheet Raw'!$L$4:$L$8000,$A75,'Timesheet Raw'!$C$4:$C$8000,D$3,'Timesheet Raw'!$A$4:$A$8000,"2-Proposals Chargeable")+SUMIFS('Timesheet Raw'!$P$4:$P$8000,'Timesheet Raw'!$L$4:$L$8000,$A75,'Timesheet Raw'!$C$4:$C$8000,D$3,'Timesheet Raw'!$A$4:$A$8000,"3-Proposals Regular"))</f>
        <v>4</v>
      </c>
      <c r="F75" s="341">
        <f>IF($A75="","",SUMIFS('Timesheet Raw'!$P$4:$P$8000,'Timesheet Raw'!$L$4:$L$8000,$A75,'Timesheet Raw'!$C$4:$C$8000,D$3,'Timesheet Raw'!$B$4:$B$8000,'Work Calendar'!$A$26)+SUMIFS('Timesheet Raw'!$P$4:$P$8000,'Timesheet Raw'!$L$4:$L$8000,$A75,'Timesheet Raw'!$C$4:$C$8000,D$3,'Timesheet Raw'!$B$4:$B$8000,'Work Calendar'!$A$27)+SUMIFS('Timesheet Raw'!$P$4:$P$8000,'Timesheet Raw'!$L$4:$L$8000,$A75,'Timesheet Raw'!$C$4:$C$8000,D$3,'Timesheet Raw'!$B$4:$B$8000,'Work Calendar'!$A$28)+SUMIFS('Timesheet Raw'!$P$4:$P$8000,'Timesheet Raw'!$L$4:$L$8000,$A75,'Timesheet Raw'!$C$4:$C$8000,D$3,'Timesheet Raw'!$B$4:$B$8000,'Work Calendar'!$A$29))</f>
        <v>0.5</v>
      </c>
      <c r="G75" s="341">
        <f t="shared" si="5"/>
        <v>0</v>
      </c>
      <c r="H75" s="395">
        <f>IF($A75="","",SUMIFS('Timesheet Raw'!$K$4:$K$8000,'Timesheet Raw'!$L$4:$L$8000,$A75,'Timesheet Raw'!$C$4:$C$8000,D$3))</f>
        <v>0.25</v>
      </c>
      <c r="I75" s="345">
        <f>IF($A75="","",SUMIFS('Timesheet Raw'!$P$4:$P$8000,'Timesheet Raw'!$L$4:$L$8000,$A75,'Timesheet Raw'!$C$4:$C$8000,D$3))</f>
        <v>7.75</v>
      </c>
      <c r="J75" s="375"/>
      <c r="K75" t="str">
        <f>IF($A75="","",IF(J75&lt;&gt;"",J75,IF($A75&gt;'Work Calendar'!$B$17,"No data yet",IF(AND(F75&gt;='Work Calendar'!$B$14,D75+E75+G75&gt;0),"Day off - but worked",IF(F75&gt;='Work Calendar'!$B$14,"Day off",IF(D75+E75+G75&gt;0,IF($C75="Working","Charged","Worked weekend"),IF($C75="Working","Leave (not charged)",$C75)))))))</f>
        <v>Charged</v>
      </c>
      <c r="L75" s="341">
        <f>IF($A75="","",SUMIFS('Timesheet Raw'!$P$4:$P$8000,'Timesheet Raw'!$L$4:$L$8000,$A75,'Timesheet Raw'!$C$4:$C$8000,L$3,'Timesheet Raw'!$A$4:$A$8000,"1-Projects"))</f>
        <v>6.5</v>
      </c>
      <c r="M75" s="341">
        <f>IF($A75="","",SUMIFS('Timesheet Raw'!$P$4:$P$8000,'Timesheet Raw'!$L$4:$L$8000,$A75,'Timesheet Raw'!$C$4:$C$8000,L$3,'Timesheet Raw'!$A$4:$A$8000,"2-Proposals Chargeable")+SUMIFS('Timesheet Raw'!$P$4:$P$8000,'Timesheet Raw'!$L$4:$L$8000,$A75,'Timesheet Raw'!$C$4:$C$8000,L$3,'Timesheet Raw'!$A$4:$A$8000,"3-Proposals Regular"))</f>
        <v>0</v>
      </c>
      <c r="N75" s="341">
        <f>IF($A75="","",SUMIFS('Timesheet Raw'!$P$4:$P$8000,'Timesheet Raw'!$L$4:$L$8000,$A75,'Timesheet Raw'!$C$4:$C$8000,L$3,'Timesheet Raw'!$B$4:$B$8000,'Work Calendar'!$A$26)+SUMIFS('Timesheet Raw'!$P$4:$P$8000,'Timesheet Raw'!$L$4:$L$8000,$A75,'Timesheet Raw'!$C$4:$C$8000,L$3,'Timesheet Raw'!$B$4:$B$8000,'Work Calendar'!$A$27)+SUMIFS('Timesheet Raw'!$P$4:$P$8000,'Timesheet Raw'!$L$4:$L$8000,$A75,'Timesheet Raw'!$C$4:$C$8000,L$3,'Timesheet Raw'!$B$4:$B$8000,'Work Calendar'!$A$28)+SUMIFS('Timesheet Raw'!$P$4:$P$8000,'Timesheet Raw'!$L$4:$L$8000,$A75,'Timesheet Raw'!$C$4:$C$8000,L$3,'Timesheet Raw'!$B$4:$B$8000,'Work Calendar'!$A$29))</f>
        <v>1</v>
      </c>
      <c r="O75" s="341">
        <f t="shared" si="6"/>
        <v>0</v>
      </c>
      <c r="P75" s="395">
        <f>IF($A75="","",SUMIFS('Timesheet Raw'!$K$4:$K$8000,'Timesheet Raw'!$L$4:$L$8000,$A75,'Timesheet Raw'!$C$4:$C$8000,L$3))</f>
        <v>0</v>
      </c>
      <c r="Q75" s="345">
        <f>IF($A75="","",SUMIFS('Timesheet Raw'!$P$4:$P$8000,'Timesheet Raw'!$L$4:$L$8000,$A75,'Timesheet Raw'!$C$4:$C$8000,L$3))</f>
        <v>7.5</v>
      </c>
      <c r="R75" s="375"/>
      <c r="S75" t="str">
        <f>IF($A75="","",IF(R75&lt;&gt;"",R75,IF($A75&gt;'Work Calendar'!$B$17,"No data yet",IF(AND(N75&gt;='Work Calendar'!$B$14,L75+M75+O75&gt;0),"Day off - but worked",IF(N75&gt;='Work Calendar'!$B$14,"Day off",IF(L75+M75+O75&gt;0,IF($C75="Working","Charged","Worked weekend"),IF($C75="Working","Leave (not charged)",$C75)))))))</f>
        <v>Charged</v>
      </c>
      <c r="T75" s="341">
        <f>IF($A75="","",SUMIFS('Timesheet Raw'!$P$4:$P$8000,'Timesheet Raw'!$L$4:$L$8000,$A75,'Timesheet Raw'!$C$4:$C$8000,T$3,'Timesheet Raw'!$A$4:$A$8000,"1-Projects"))</f>
        <v>7.25</v>
      </c>
      <c r="U75" s="341">
        <f>IF($A75="","",SUMIFS('Timesheet Raw'!$P$4:$P$8000,'Timesheet Raw'!$L$4:$L$8000,$A75,'Timesheet Raw'!$C$4:$C$8000,T$3,'Timesheet Raw'!$A$4:$A$8000,"2-Proposals Chargeable")+SUMIFS('Timesheet Raw'!$P$4:$P$8000,'Timesheet Raw'!$L$4:$L$8000,$A75,'Timesheet Raw'!$C$4:$C$8000,T$3,'Timesheet Raw'!$A$4:$A$8000,"3-Proposals Regular"))</f>
        <v>0</v>
      </c>
      <c r="V75" s="341">
        <f>IF($A75="","",SUMIFS('Timesheet Raw'!$P$4:$P$8000,'Timesheet Raw'!$L$4:$L$8000,$A75,'Timesheet Raw'!$C$4:$C$8000,T$3,'Timesheet Raw'!$B$4:$B$8000,'Work Calendar'!$A$26)+SUMIFS('Timesheet Raw'!$P$4:$P$8000,'Timesheet Raw'!$L$4:$L$8000,$A75,'Timesheet Raw'!$C$4:$C$8000,T$3,'Timesheet Raw'!$B$4:$B$8000,'Work Calendar'!$A$27)+SUMIFS('Timesheet Raw'!$P$4:$P$8000,'Timesheet Raw'!$L$4:$L$8000,$A75,'Timesheet Raw'!$C$4:$C$8000,T$3,'Timesheet Raw'!$B$4:$B$8000,'Work Calendar'!$A$28)+SUMIFS('Timesheet Raw'!$P$4:$P$8000,'Timesheet Raw'!$L$4:$L$8000,$A75,'Timesheet Raw'!$C$4:$C$8000,T$3,'Timesheet Raw'!$B$4:$B$8000,'Work Calendar'!$A$29))</f>
        <v>0.5</v>
      </c>
      <c r="W75" s="341">
        <f t="shared" si="7"/>
        <v>0</v>
      </c>
      <c r="X75" s="395">
        <f>IF($A75="","",SUMIFS('Timesheet Raw'!$K$4:$K$8000,'Timesheet Raw'!$L$4:$L$8000,$A75,'Timesheet Raw'!$C$4:$C$8000,T$3))</f>
        <v>0.25</v>
      </c>
      <c r="Y75" s="345">
        <f>IF($A75="","",SUMIFS('Timesheet Raw'!$P$4:$P$8000,'Timesheet Raw'!$L$4:$L$8000,$A75,'Timesheet Raw'!$C$4:$C$8000,T$3))</f>
        <v>7.75</v>
      </c>
      <c r="Z75" s="375"/>
      <c r="AA75" t="str">
        <f>IF($A75="","",IF(Z75&lt;&gt;"",Z75,IF($A75&gt;'Work Calendar'!$B$17,"No data yet",IF(AND(V75&gt;='Work Calendar'!$B$14,T75+U75+W75&gt;0),"Day off - but worked",IF(V75&gt;='Work Calendar'!$B$14,"Day off",IF(T75+U75+W75&gt;0,IF($C75="Working","Charged","Worked weekend"),IF($C75="Working","Leave (not charged)",$C75)))))))</f>
        <v>Charged</v>
      </c>
    </row>
    <row r="76" spans="1:27" x14ac:dyDescent="0.3">
      <c r="A76" s="371">
        <f>IF($A75="","",IF($A75+1&gt;'Work Calendar'!$B$16,"",$A75+1))</f>
        <v>46094</v>
      </c>
      <c r="B76" t="str">
        <f t="shared" si="4"/>
        <v>Fri</v>
      </c>
      <c r="C76" t="str" cm="1">
        <f t="array" ref="C76">IF($A76="","",IF(COUNTIF('Work Calendar'!$E$6:$E$200,$A76)&gt;0,"Holiday",IF(INDEX('Work Calendar'!$C$6:$C$12,WEEKDAY($A76,1))=1,"Working","Weekend")))</f>
        <v>Weekend</v>
      </c>
      <c r="D76" s="341">
        <f>IF($A76="","",SUMIFS('Timesheet Raw'!$P$4:$P$8000,'Timesheet Raw'!$L$4:$L$8000,$A76,'Timesheet Raw'!$C$4:$C$8000,D$3,'Timesheet Raw'!$A$4:$A$8000,"1-Projects"))</f>
        <v>0</v>
      </c>
      <c r="E76" s="341">
        <f>IF($A76="","",SUMIFS('Timesheet Raw'!$P$4:$P$8000,'Timesheet Raw'!$L$4:$L$8000,$A76,'Timesheet Raw'!$C$4:$C$8000,D$3,'Timesheet Raw'!$A$4:$A$8000,"2-Proposals Chargeable")+SUMIFS('Timesheet Raw'!$P$4:$P$8000,'Timesheet Raw'!$L$4:$L$8000,$A76,'Timesheet Raw'!$C$4:$C$8000,D$3,'Timesheet Raw'!$A$4:$A$8000,"3-Proposals Regular"))</f>
        <v>0</v>
      </c>
      <c r="F76" s="341">
        <f>IF($A76="","",SUMIFS('Timesheet Raw'!$P$4:$P$8000,'Timesheet Raw'!$L$4:$L$8000,$A76,'Timesheet Raw'!$C$4:$C$8000,D$3,'Timesheet Raw'!$B$4:$B$8000,'Work Calendar'!$A$26)+SUMIFS('Timesheet Raw'!$P$4:$P$8000,'Timesheet Raw'!$L$4:$L$8000,$A76,'Timesheet Raw'!$C$4:$C$8000,D$3,'Timesheet Raw'!$B$4:$B$8000,'Work Calendar'!$A$27)+SUMIFS('Timesheet Raw'!$P$4:$P$8000,'Timesheet Raw'!$L$4:$L$8000,$A76,'Timesheet Raw'!$C$4:$C$8000,D$3,'Timesheet Raw'!$B$4:$B$8000,'Work Calendar'!$A$28)+SUMIFS('Timesheet Raw'!$P$4:$P$8000,'Timesheet Raw'!$L$4:$L$8000,$A76,'Timesheet Raw'!$C$4:$C$8000,D$3,'Timesheet Raw'!$B$4:$B$8000,'Work Calendar'!$A$29))</f>
        <v>0</v>
      </c>
      <c r="G76" s="341">
        <f t="shared" si="5"/>
        <v>0</v>
      </c>
      <c r="H76" s="395">
        <f>IF($A76="","",SUMIFS('Timesheet Raw'!$K$4:$K$8000,'Timesheet Raw'!$L$4:$L$8000,$A76,'Timesheet Raw'!$C$4:$C$8000,D$3))</f>
        <v>0</v>
      </c>
      <c r="I76" s="345">
        <f>IF($A76="","",SUMIFS('Timesheet Raw'!$P$4:$P$8000,'Timesheet Raw'!$L$4:$L$8000,$A76,'Timesheet Raw'!$C$4:$C$8000,D$3))</f>
        <v>0</v>
      </c>
      <c r="J76" s="375"/>
      <c r="K76" t="str">
        <f>IF($A76="","",IF(J76&lt;&gt;"",J76,IF($A76&gt;'Work Calendar'!$B$17,"No data yet",IF(AND(F76&gt;='Work Calendar'!$B$14,D76+E76+G76&gt;0),"Day off - but worked",IF(F76&gt;='Work Calendar'!$B$14,"Day off",IF(D76+E76+G76&gt;0,IF($C76="Working","Charged","Worked weekend"),IF($C76="Working","Leave (not charged)",$C76)))))))</f>
        <v>Weekend</v>
      </c>
      <c r="L76" s="341">
        <f>IF($A76="","",SUMIFS('Timesheet Raw'!$P$4:$P$8000,'Timesheet Raw'!$L$4:$L$8000,$A76,'Timesheet Raw'!$C$4:$C$8000,L$3,'Timesheet Raw'!$A$4:$A$8000,"1-Projects"))</f>
        <v>0</v>
      </c>
      <c r="M76" s="341">
        <f>IF($A76="","",SUMIFS('Timesheet Raw'!$P$4:$P$8000,'Timesheet Raw'!$L$4:$L$8000,$A76,'Timesheet Raw'!$C$4:$C$8000,L$3,'Timesheet Raw'!$A$4:$A$8000,"2-Proposals Chargeable")+SUMIFS('Timesheet Raw'!$P$4:$P$8000,'Timesheet Raw'!$L$4:$L$8000,$A76,'Timesheet Raw'!$C$4:$C$8000,L$3,'Timesheet Raw'!$A$4:$A$8000,"3-Proposals Regular"))</f>
        <v>0</v>
      </c>
      <c r="N76" s="341">
        <f>IF($A76="","",SUMIFS('Timesheet Raw'!$P$4:$P$8000,'Timesheet Raw'!$L$4:$L$8000,$A76,'Timesheet Raw'!$C$4:$C$8000,L$3,'Timesheet Raw'!$B$4:$B$8000,'Work Calendar'!$A$26)+SUMIFS('Timesheet Raw'!$P$4:$P$8000,'Timesheet Raw'!$L$4:$L$8000,$A76,'Timesheet Raw'!$C$4:$C$8000,L$3,'Timesheet Raw'!$B$4:$B$8000,'Work Calendar'!$A$27)+SUMIFS('Timesheet Raw'!$P$4:$P$8000,'Timesheet Raw'!$L$4:$L$8000,$A76,'Timesheet Raw'!$C$4:$C$8000,L$3,'Timesheet Raw'!$B$4:$B$8000,'Work Calendar'!$A$28)+SUMIFS('Timesheet Raw'!$P$4:$P$8000,'Timesheet Raw'!$L$4:$L$8000,$A76,'Timesheet Raw'!$C$4:$C$8000,L$3,'Timesheet Raw'!$B$4:$B$8000,'Work Calendar'!$A$29))</f>
        <v>0</v>
      </c>
      <c r="O76" s="341">
        <f t="shared" si="6"/>
        <v>0</v>
      </c>
      <c r="P76" s="395">
        <f>IF($A76="","",SUMIFS('Timesheet Raw'!$K$4:$K$8000,'Timesheet Raw'!$L$4:$L$8000,$A76,'Timesheet Raw'!$C$4:$C$8000,L$3))</f>
        <v>0</v>
      </c>
      <c r="Q76" s="345">
        <f>IF($A76="","",SUMIFS('Timesheet Raw'!$P$4:$P$8000,'Timesheet Raw'!$L$4:$L$8000,$A76,'Timesheet Raw'!$C$4:$C$8000,L$3))</f>
        <v>0</v>
      </c>
      <c r="R76" s="375"/>
      <c r="S76" t="str">
        <f>IF($A76="","",IF(R76&lt;&gt;"",R76,IF($A76&gt;'Work Calendar'!$B$17,"No data yet",IF(AND(N76&gt;='Work Calendar'!$B$14,L76+M76+O76&gt;0),"Day off - but worked",IF(N76&gt;='Work Calendar'!$B$14,"Day off",IF(L76+M76+O76&gt;0,IF($C76="Working","Charged","Worked weekend"),IF($C76="Working","Leave (not charged)",$C76)))))))</f>
        <v>Weekend</v>
      </c>
      <c r="T76" s="341">
        <f>IF($A76="","",SUMIFS('Timesheet Raw'!$P$4:$P$8000,'Timesheet Raw'!$L$4:$L$8000,$A76,'Timesheet Raw'!$C$4:$C$8000,T$3,'Timesheet Raw'!$A$4:$A$8000,"1-Projects"))</f>
        <v>0</v>
      </c>
      <c r="U76" s="341">
        <f>IF($A76="","",SUMIFS('Timesheet Raw'!$P$4:$P$8000,'Timesheet Raw'!$L$4:$L$8000,$A76,'Timesheet Raw'!$C$4:$C$8000,T$3,'Timesheet Raw'!$A$4:$A$8000,"2-Proposals Chargeable")+SUMIFS('Timesheet Raw'!$P$4:$P$8000,'Timesheet Raw'!$L$4:$L$8000,$A76,'Timesheet Raw'!$C$4:$C$8000,T$3,'Timesheet Raw'!$A$4:$A$8000,"3-Proposals Regular"))</f>
        <v>0</v>
      </c>
      <c r="V76" s="341">
        <f>IF($A76="","",SUMIFS('Timesheet Raw'!$P$4:$P$8000,'Timesheet Raw'!$L$4:$L$8000,$A76,'Timesheet Raw'!$C$4:$C$8000,T$3,'Timesheet Raw'!$B$4:$B$8000,'Work Calendar'!$A$26)+SUMIFS('Timesheet Raw'!$P$4:$P$8000,'Timesheet Raw'!$L$4:$L$8000,$A76,'Timesheet Raw'!$C$4:$C$8000,T$3,'Timesheet Raw'!$B$4:$B$8000,'Work Calendar'!$A$27)+SUMIFS('Timesheet Raw'!$P$4:$P$8000,'Timesheet Raw'!$L$4:$L$8000,$A76,'Timesheet Raw'!$C$4:$C$8000,T$3,'Timesheet Raw'!$B$4:$B$8000,'Work Calendar'!$A$28)+SUMIFS('Timesheet Raw'!$P$4:$P$8000,'Timesheet Raw'!$L$4:$L$8000,$A76,'Timesheet Raw'!$C$4:$C$8000,T$3,'Timesheet Raw'!$B$4:$B$8000,'Work Calendar'!$A$29))</f>
        <v>0</v>
      </c>
      <c r="W76" s="341">
        <f t="shared" si="7"/>
        <v>0</v>
      </c>
      <c r="X76" s="395">
        <f>IF($A76="","",SUMIFS('Timesheet Raw'!$K$4:$K$8000,'Timesheet Raw'!$L$4:$L$8000,$A76,'Timesheet Raw'!$C$4:$C$8000,T$3))</f>
        <v>0</v>
      </c>
      <c r="Y76" s="345">
        <f>IF($A76="","",SUMIFS('Timesheet Raw'!$P$4:$P$8000,'Timesheet Raw'!$L$4:$L$8000,$A76,'Timesheet Raw'!$C$4:$C$8000,T$3))</f>
        <v>0</v>
      </c>
      <c r="Z76" s="375"/>
      <c r="AA76" t="str">
        <f>IF($A76="","",IF(Z76&lt;&gt;"",Z76,IF($A76&gt;'Work Calendar'!$B$17,"No data yet",IF(AND(V76&gt;='Work Calendar'!$B$14,T76+U76+W76&gt;0),"Day off - but worked",IF(V76&gt;='Work Calendar'!$B$14,"Day off",IF(T76+U76+W76&gt;0,IF($C76="Working","Charged","Worked weekend"),IF($C76="Working","Leave (not charged)",$C76)))))))</f>
        <v>Weekend</v>
      </c>
    </row>
    <row r="77" spans="1:27" x14ac:dyDescent="0.3">
      <c r="A77" s="371">
        <f>IF($A76="","",IF($A76+1&gt;'Work Calendar'!$B$16,"",$A76+1))</f>
        <v>46095</v>
      </c>
      <c r="B77" t="str">
        <f t="shared" si="4"/>
        <v>Sat</v>
      </c>
      <c r="C77" t="str" cm="1">
        <f t="array" ref="C77">IF($A77="","",IF(COUNTIF('Work Calendar'!$E$6:$E$200,$A77)&gt;0,"Holiday",IF(INDEX('Work Calendar'!$C$6:$C$12,WEEKDAY($A77,1))=1,"Working","Weekend")))</f>
        <v>Weekend</v>
      </c>
      <c r="D77" s="341">
        <f>IF($A77="","",SUMIFS('Timesheet Raw'!$P$4:$P$8000,'Timesheet Raw'!$L$4:$L$8000,$A77,'Timesheet Raw'!$C$4:$C$8000,D$3,'Timesheet Raw'!$A$4:$A$8000,"1-Projects"))</f>
        <v>0</v>
      </c>
      <c r="E77" s="341">
        <f>IF($A77="","",SUMIFS('Timesheet Raw'!$P$4:$P$8000,'Timesheet Raw'!$L$4:$L$8000,$A77,'Timesheet Raw'!$C$4:$C$8000,D$3,'Timesheet Raw'!$A$4:$A$8000,"2-Proposals Chargeable")+SUMIFS('Timesheet Raw'!$P$4:$P$8000,'Timesheet Raw'!$L$4:$L$8000,$A77,'Timesheet Raw'!$C$4:$C$8000,D$3,'Timesheet Raw'!$A$4:$A$8000,"3-Proposals Regular"))</f>
        <v>0</v>
      </c>
      <c r="F77" s="341">
        <f>IF($A77="","",SUMIFS('Timesheet Raw'!$P$4:$P$8000,'Timesheet Raw'!$L$4:$L$8000,$A77,'Timesheet Raw'!$C$4:$C$8000,D$3,'Timesheet Raw'!$B$4:$B$8000,'Work Calendar'!$A$26)+SUMIFS('Timesheet Raw'!$P$4:$P$8000,'Timesheet Raw'!$L$4:$L$8000,$A77,'Timesheet Raw'!$C$4:$C$8000,D$3,'Timesheet Raw'!$B$4:$B$8000,'Work Calendar'!$A$27)+SUMIFS('Timesheet Raw'!$P$4:$P$8000,'Timesheet Raw'!$L$4:$L$8000,$A77,'Timesheet Raw'!$C$4:$C$8000,D$3,'Timesheet Raw'!$B$4:$B$8000,'Work Calendar'!$A$28)+SUMIFS('Timesheet Raw'!$P$4:$P$8000,'Timesheet Raw'!$L$4:$L$8000,$A77,'Timesheet Raw'!$C$4:$C$8000,D$3,'Timesheet Raw'!$B$4:$B$8000,'Work Calendar'!$A$29))</f>
        <v>0</v>
      </c>
      <c r="G77" s="341">
        <f t="shared" si="5"/>
        <v>0</v>
      </c>
      <c r="H77" s="395">
        <f>IF($A77="","",SUMIFS('Timesheet Raw'!$K$4:$K$8000,'Timesheet Raw'!$L$4:$L$8000,$A77,'Timesheet Raw'!$C$4:$C$8000,D$3))</f>
        <v>0</v>
      </c>
      <c r="I77" s="345">
        <f>IF($A77="","",SUMIFS('Timesheet Raw'!$P$4:$P$8000,'Timesheet Raw'!$L$4:$L$8000,$A77,'Timesheet Raw'!$C$4:$C$8000,D$3))</f>
        <v>0</v>
      </c>
      <c r="J77" s="375"/>
      <c r="K77" t="str">
        <f>IF($A77="","",IF(J77&lt;&gt;"",J77,IF($A77&gt;'Work Calendar'!$B$17,"No data yet",IF(AND(F77&gt;='Work Calendar'!$B$14,D77+E77+G77&gt;0),"Day off - but worked",IF(F77&gt;='Work Calendar'!$B$14,"Day off",IF(D77+E77+G77&gt;0,IF($C77="Working","Charged","Worked weekend"),IF($C77="Working","Leave (not charged)",$C77)))))))</f>
        <v>Weekend</v>
      </c>
      <c r="L77" s="341">
        <f>IF($A77="","",SUMIFS('Timesheet Raw'!$P$4:$P$8000,'Timesheet Raw'!$L$4:$L$8000,$A77,'Timesheet Raw'!$C$4:$C$8000,L$3,'Timesheet Raw'!$A$4:$A$8000,"1-Projects"))</f>
        <v>0</v>
      </c>
      <c r="M77" s="341">
        <f>IF($A77="","",SUMIFS('Timesheet Raw'!$P$4:$P$8000,'Timesheet Raw'!$L$4:$L$8000,$A77,'Timesheet Raw'!$C$4:$C$8000,L$3,'Timesheet Raw'!$A$4:$A$8000,"2-Proposals Chargeable")+SUMIFS('Timesheet Raw'!$P$4:$P$8000,'Timesheet Raw'!$L$4:$L$8000,$A77,'Timesheet Raw'!$C$4:$C$8000,L$3,'Timesheet Raw'!$A$4:$A$8000,"3-Proposals Regular"))</f>
        <v>0</v>
      </c>
      <c r="N77" s="341">
        <f>IF($A77="","",SUMIFS('Timesheet Raw'!$P$4:$P$8000,'Timesheet Raw'!$L$4:$L$8000,$A77,'Timesheet Raw'!$C$4:$C$8000,L$3,'Timesheet Raw'!$B$4:$B$8000,'Work Calendar'!$A$26)+SUMIFS('Timesheet Raw'!$P$4:$P$8000,'Timesheet Raw'!$L$4:$L$8000,$A77,'Timesheet Raw'!$C$4:$C$8000,L$3,'Timesheet Raw'!$B$4:$B$8000,'Work Calendar'!$A$27)+SUMIFS('Timesheet Raw'!$P$4:$P$8000,'Timesheet Raw'!$L$4:$L$8000,$A77,'Timesheet Raw'!$C$4:$C$8000,L$3,'Timesheet Raw'!$B$4:$B$8000,'Work Calendar'!$A$28)+SUMIFS('Timesheet Raw'!$P$4:$P$8000,'Timesheet Raw'!$L$4:$L$8000,$A77,'Timesheet Raw'!$C$4:$C$8000,L$3,'Timesheet Raw'!$B$4:$B$8000,'Work Calendar'!$A$29))</f>
        <v>0</v>
      </c>
      <c r="O77" s="341">
        <f t="shared" si="6"/>
        <v>0</v>
      </c>
      <c r="P77" s="395">
        <f>IF($A77="","",SUMIFS('Timesheet Raw'!$K$4:$K$8000,'Timesheet Raw'!$L$4:$L$8000,$A77,'Timesheet Raw'!$C$4:$C$8000,L$3))</f>
        <v>0</v>
      </c>
      <c r="Q77" s="345">
        <f>IF($A77="","",SUMIFS('Timesheet Raw'!$P$4:$P$8000,'Timesheet Raw'!$L$4:$L$8000,$A77,'Timesheet Raw'!$C$4:$C$8000,L$3))</f>
        <v>0</v>
      </c>
      <c r="R77" s="375"/>
      <c r="S77" t="str">
        <f>IF($A77="","",IF(R77&lt;&gt;"",R77,IF($A77&gt;'Work Calendar'!$B$17,"No data yet",IF(AND(N77&gt;='Work Calendar'!$B$14,L77+M77+O77&gt;0),"Day off - but worked",IF(N77&gt;='Work Calendar'!$B$14,"Day off",IF(L77+M77+O77&gt;0,IF($C77="Working","Charged","Worked weekend"),IF($C77="Working","Leave (not charged)",$C77)))))))</f>
        <v>Weekend</v>
      </c>
      <c r="T77" s="341">
        <f>IF($A77="","",SUMIFS('Timesheet Raw'!$P$4:$P$8000,'Timesheet Raw'!$L$4:$L$8000,$A77,'Timesheet Raw'!$C$4:$C$8000,T$3,'Timesheet Raw'!$A$4:$A$8000,"1-Projects"))</f>
        <v>0</v>
      </c>
      <c r="U77" s="341">
        <f>IF($A77="","",SUMIFS('Timesheet Raw'!$P$4:$P$8000,'Timesheet Raw'!$L$4:$L$8000,$A77,'Timesheet Raw'!$C$4:$C$8000,T$3,'Timesheet Raw'!$A$4:$A$8000,"2-Proposals Chargeable")+SUMIFS('Timesheet Raw'!$P$4:$P$8000,'Timesheet Raw'!$L$4:$L$8000,$A77,'Timesheet Raw'!$C$4:$C$8000,T$3,'Timesheet Raw'!$A$4:$A$8000,"3-Proposals Regular"))</f>
        <v>0</v>
      </c>
      <c r="V77" s="341">
        <f>IF($A77="","",SUMIFS('Timesheet Raw'!$P$4:$P$8000,'Timesheet Raw'!$L$4:$L$8000,$A77,'Timesheet Raw'!$C$4:$C$8000,T$3,'Timesheet Raw'!$B$4:$B$8000,'Work Calendar'!$A$26)+SUMIFS('Timesheet Raw'!$P$4:$P$8000,'Timesheet Raw'!$L$4:$L$8000,$A77,'Timesheet Raw'!$C$4:$C$8000,T$3,'Timesheet Raw'!$B$4:$B$8000,'Work Calendar'!$A$27)+SUMIFS('Timesheet Raw'!$P$4:$P$8000,'Timesheet Raw'!$L$4:$L$8000,$A77,'Timesheet Raw'!$C$4:$C$8000,T$3,'Timesheet Raw'!$B$4:$B$8000,'Work Calendar'!$A$28)+SUMIFS('Timesheet Raw'!$P$4:$P$8000,'Timesheet Raw'!$L$4:$L$8000,$A77,'Timesheet Raw'!$C$4:$C$8000,T$3,'Timesheet Raw'!$B$4:$B$8000,'Work Calendar'!$A$29))</f>
        <v>0</v>
      </c>
      <c r="W77" s="341">
        <f t="shared" si="7"/>
        <v>0</v>
      </c>
      <c r="X77" s="395">
        <f>IF($A77="","",SUMIFS('Timesheet Raw'!$K$4:$K$8000,'Timesheet Raw'!$L$4:$L$8000,$A77,'Timesheet Raw'!$C$4:$C$8000,T$3))</f>
        <v>0</v>
      </c>
      <c r="Y77" s="345">
        <f>IF($A77="","",SUMIFS('Timesheet Raw'!$P$4:$P$8000,'Timesheet Raw'!$L$4:$L$8000,$A77,'Timesheet Raw'!$C$4:$C$8000,T$3))</f>
        <v>0</v>
      </c>
      <c r="Z77" s="375"/>
      <c r="AA77" t="str">
        <f>IF($A77="","",IF(Z77&lt;&gt;"",Z77,IF($A77&gt;'Work Calendar'!$B$17,"No data yet",IF(AND(V77&gt;='Work Calendar'!$B$14,T77+U77+W77&gt;0),"Day off - but worked",IF(V77&gt;='Work Calendar'!$B$14,"Day off",IF(T77+U77+W77&gt;0,IF($C77="Working","Charged","Worked weekend"),IF($C77="Working","Leave (not charged)",$C77)))))))</f>
        <v>Weekend</v>
      </c>
    </row>
    <row r="78" spans="1:27" x14ac:dyDescent="0.3">
      <c r="A78" s="371">
        <f>IF($A77="","",IF($A77+1&gt;'Work Calendar'!$B$16,"",$A77+1))</f>
        <v>46096</v>
      </c>
      <c r="B78" t="str">
        <f t="shared" si="4"/>
        <v>Sun</v>
      </c>
      <c r="C78" t="str" cm="1">
        <f t="array" ref="C78">IF($A78="","",IF(COUNTIF('Work Calendar'!$E$6:$E$200,$A78)&gt;0,"Holiday",IF(INDEX('Work Calendar'!$C$6:$C$12,WEEKDAY($A78,1))=1,"Working","Weekend")))</f>
        <v>Working</v>
      </c>
      <c r="D78" s="341">
        <f>IF($A78="","",SUMIFS('Timesheet Raw'!$P$4:$P$8000,'Timesheet Raw'!$L$4:$L$8000,$A78,'Timesheet Raw'!$C$4:$C$8000,D$3,'Timesheet Raw'!$A$4:$A$8000,"1-Projects"))</f>
        <v>6.5</v>
      </c>
      <c r="E78" s="341">
        <f>IF($A78="","",SUMIFS('Timesheet Raw'!$P$4:$P$8000,'Timesheet Raw'!$L$4:$L$8000,$A78,'Timesheet Raw'!$C$4:$C$8000,D$3,'Timesheet Raw'!$A$4:$A$8000,"2-Proposals Chargeable")+SUMIFS('Timesheet Raw'!$P$4:$P$8000,'Timesheet Raw'!$L$4:$L$8000,$A78,'Timesheet Raw'!$C$4:$C$8000,D$3,'Timesheet Raw'!$A$4:$A$8000,"3-Proposals Regular"))</f>
        <v>0</v>
      </c>
      <c r="F78" s="341">
        <f>IF($A78="","",SUMIFS('Timesheet Raw'!$P$4:$P$8000,'Timesheet Raw'!$L$4:$L$8000,$A78,'Timesheet Raw'!$C$4:$C$8000,D$3,'Timesheet Raw'!$B$4:$B$8000,'Work Calendar'!$A$26)+SUMIFS('Timesheet Raw'!$P$4:$P$8000,'Timesheet Raw'!$L$4:$L$8000,$A78,'Timesheet Raw'!$C$4:$C$8000,D$3,'Timesheet Raw'!$B$4:$B$8000,'Work Calendar'!$A$27)+SUMIFS('Timesheet Raw'!$P$4:$P$8000,'Timesheet Raw'!$L$4:$L$8000,$A78,'Timesheet Raw'!$C$4:$C$8000,D$3,'Timesheet Raw'!$B$4:$B$8000,'Work Calendar'!$A$28)+SUMIFS('Timesheet Raw'!$P$4:$P$8000,'Timesheet Raw'!$L$4:$L$8000,$A78,'Timesheet Raw'!$C$4:$C$8000,D$3,'Timesheet Raw'!$B$4:$B$8000,'Work Calendar'!$A$29))</f>
        <v>1</v>
      </c>
      <c r="G78" s="341">
        <f t="shared" si="5"/>
        <v>0</v>
      </c>
      <c r="H78" s="395">
        <f>IF($A78="","",SUMIFS('Timesheet Raw'!$K$4:$K$8000,'Timesheet Raw'!$L$4:$L$8000,$A78,'Timesheet Raw'!$C$4:$C$8000,D$3))</f>
        <v>0</v>
      </c>
      <c r="I78" s="345">
        <f>IF($A78="","",SUMIFS('Timesheet Raw'!$P$4:$P$8000,'Timesheet Raw'!$L$4:$L$8000,$A78,'Timesheet Raw'!$C$4:$C$8000,D$3))</f>
        <v>7.5</v>
      </c>
      <c r="J78" s="375"/>
      <c r="K78" t="str">
        <f>IF($A78="","",IF(J78&lt;&gt;"",J78,IF($A78&gt;'Work Calendar'!$B$17,"No data yet",IF(AND(F78&gt;='Work Calendar'!$B$14,D78+E78+G78&gt;0),"Day off - but worked",IF(F78&gt;='Work Calendar'!$B$14,"Day off",IF(D78+E78+G78&gt;0,IF($C78="Working","Charged","Worked weekend"),IF($C78="Working","Leave (not charged)",$C78)))))))</f>
        <v>Charged</v>
      </c>
      <c r="L78" s="341">
        <f>IF($A78="","",SUMIFS('Timesheet Raw'!$P$4:$P$8000,'Timesheet Raw'!$L$4:$L$8000,$A78,'Timesheet Raw'!$C$4:$C$8000,L$3,'Timesheet Raw'!$A$4:$A$8000,"1-Projects"))</f>
        <v>7</v>
      </c>
      <c r="M78" s="341">
        <f>IF($A78="","",SUMIFS('Timesheet Raw'!$P$4:$P$8000,'Timesheet Raw'!$L$4:$L$8000,$A78,'Timesheet Raw'!$C$4:$C$8000,L$3,'Timesheet Raw'!$A$4:$A$8000,"2-Proposals Chargeable")+SUMIFS('Timesheet Raw'!$P$4:$P$8000,'Timesheet Raw'!$L$4:$L$8000,$A78,'Timesheet Raw'!$C$4:$C$8000,L$3,'Timesheet Raw'!$A$4:$A$8000,"3-Proposals Regular"))</f>
        <v>0</v>
      </c>
      <c r="N78" s="341">
        <f>IF($A78="","",SUMIFS('Timesheet Raw'!$P$4:$P$8000,'Timesheet Raw'!$L$4:$L$8000,$A78,'Timesheet Raw'!$C$4:$C$8000,L$3,'Timesheet Raw'!$B$4:$B$8000,'Work Calendar'!$A$26)+SUMIFS('Timesheet Raw'!$P$4:$P$8000,'Timesheet Raw'!$L$4:$L$8000,$A78,'Timesheet Raw'!$C$4:$C$8000,L$3,'Timesheet Raw'!$B$4:$B$8000,'Work Calendar'!$A$27)+SUMIFS('Timesheet Raw'!$P$4:$P$8000,'Timesheet Raw'!$L$4:$L$8000,$A78,'Timesheet Raw'!$C$4:$C$8000,L$3,'Timesheet Raw'!$B$4:$B$8000,'Work Calendar'!$A$28)+SUMIFS('Timesheet Raw'!$P$4:$P$8000,'Timesheet Raw'!$L$4:$L$8000,$A78,'Timesheet Raw'!$C$4:$C$8000,L$3,'Timesheet Raw'!$B$4:$B$8000,'Work Calendar'!$A$29))</f>
        <v>0.5</v>
      </c>
      <c r="O78" s="341">
        <f t="shared" si="6"/>
        <v>0</v>
      </c>
      <c r="P78" s="395">
        <f>IF($A78="","",SUMIFS('Timesheet Raw'!$K$4:$K$8000,'Timesheet Raw'!$L$4:$L$8000,$A78,'Timesheet Raw'!$C$4:$C$8000,L$3))</f>
        <v>0</v>
      </c>
      <c r="Q78" s="345">
        <f>IF($A78="","",SUMIFS('Timesheet Raw'!$P$4:$P$8000,'Timesheet Raw'!$L$4:$L$8000,$A78,'Timesheet Raw'!$C$4:$C$8000,L$3))</f>
        <v>7.5</v>
      </c>
      <c r="R78" s="375"/>
      <c r="S78" t="str">
        <f>IF($A78="","",IF(R78&lt;&gt;"",R78,IF($A78&gt;'Work Calendar'!$B$17,"No data yet",IF(AND(N78&gt;='Work Calendar'!$B$14,L78+M78+O78&gt;0),"Day off - but worked",IF(N78&gt;='Work Calendar'!$B$14,"Day off",IF(L78+M78+O78&gt;0,IF($C78="Working","Charged","Worked weekend"),IF($C78="Working","Leave (not charged)",$C78)))))))</f>
        <v>Charged</v>
      </c>
      <c r="T78" s="341">
        <f>IF($A78="","",SUMIFS('Timesheet Raw'!$P$4:$P$8000,'Timesheet Raw'!$L$4:$L$8000,$A78,'Timesheet Raw'!$C$4:$C$8000,T$3,'Timesheet Raw'!$A$4:$A$8000,"1-Projects"))</f>
        <v>7.25</v>
      </c>
      <c r="U78" s="341">
        <f>IF($A78="","",SUMIFS('Timesheet Raw'!$P$4:$P$8000,'Timesheet Raw'!$L$4:$L$8000,$A78,'Timesheet Raw'!$C$4:$C$8000,T$3,'Timesheet Raw'!$A$4:$A$8000,"2-Proposals Chargeable")+SUMIFS('Timesheet Raw'!$P$4:$P$8000,'Timesheet Raw'!$L$4:$L$8000,$A78,'Timesheet Raw'!$C$4:$C$8000,T$3,'Timesheet Raw'!$A$4:$A$8000,"3-Proposals Regular"))</f>
        <v>0</v>
      </c>
      <c r="V78" s="341">
        <f>IF($A78="","",SUMIFS('Timesheet Raw'!$P$4:$P$8000,'Timesheet Raw'!$L$4:$L$8000,$A78,'Timesheet Raw'!$C$4:$C$8000,T$3,'Timesheet Raw'!$B$4:$B$8000,'Work Calendar'!$A$26)+SUMIFS('Timesheet Raw'!$P$4:$P$8000,'Timesheet Raw'!$L$4:$L$8000,$A78,'Timesheet Raw'!$C$4:$C$8000,T$3,'Timesheet Raw'!$B$4:$B$8000,'Work Calendar'!$A$27)+SUMIFS('Timesheet Raw'!$P$4:$P$8000,'Timesheet Raw'!$L$4:$L$8000,$A78,'Timesheet Raw'!$C$4:$C$8000,T$3,'Timesheet Raw'!$B$4:$B$8000,'Work Calendar'!$A$28)+SUMIFS('Timesheet Raw'!$P$4:$P$8000,'Timesheet Raw'!$L$4:$L$8000,$A78,'Timesheet Raw'!$C$4:$C$8000,T$3,'Timesheet Raw'!$B$4:$B$8000,'Work Calendar'!$A$29))</f>
        <v>0.25</v>
      </c>
      <c r="W78" s="341">
        <f t="shared" si="7"/>
        <v>0</v>
      </c>
      <c r="X78" s="395">
        <f>IF($A78="","",SUMIFS('Timesheet Raw'!$K$4:$K$8000,'Timesheet Raw'!$L$4:$L$8000,$A78,'Timesheet Raw'!$C$4:$C$8000,T$3))</f>
        <v>0</v>
      </c>
      <c r="Y78" s="345">
        <f>IF($A78="","",SUMIFS('Timesheet Raw'!$P$4:$P$8000,'Timesheet Raw'!$L$4:$L$8000,$A78,'Timesheet Raw'!$C$4:$C$8000,T$3))</f>
        <v>7.5</v>
      </c>
      <c r="Z78" s="375"/>
      <c r="AA78" t="str">
        <f>IF($A78="","",IF(Z78&lt;&gt;"",Z78,IF($A78&gt;'Work Calendar'!$B$17,"No data yet",IF(AND(V78&gt;='Work Calendar'!$B$14,T78+U78+W78&gt;0),"Day off - but worked",IF(V78&gt;='Work Calendar'!$B$14,"Day off",IF(T78+U78+W78&gt;0,IF($C78="Working","Charged","Worked weekend"),IF($C78="Working","Leave (not charged)",$C78)))))))</f>
        <v>Charged</v>
      </c>
    </row>
    <row r="79" spans="1:27" x14ac:dyDescent="0.3">
      <c r="A79" s="371">
        <f>IF($A78="","",IF($A78+1&gt;'Work Calendar'!$B$16,"",$A78+1))</f>
        <v>46097</v>
      </c>
      <c r="B79" t="str">
        <f t="shared" si="4"/>
        <v>Mon</v>
      </c>
      <c r="C79" t="str" cm="1">
        <f t="array" ref="C79">IF($A79="","",IF(COUNTIF('Work Calendar'!$E$6:$E$200,$A79)&gt;0,"Holiday",IF(INDEX('Work Calendar'!$C$6:$C$12,WEEKDAY($A79,1))=1,"Working","Weekend")))</f>
        <v>Working</v>
      </c>
      <c r="D79" s="341">
        <f>IF($A79="","",SUMIFS('Timesheet Raw'!$P$4:$P$8000,'Timesheet Raw'!$L$4:$L$8000,$A79,'Timesheet Raw'!$C$4:$C$8000,D$3,'Timesheet Raw'!$A$4:$A$8000,"1-Projects"))</f>
        <v>6.75</v>
      </c>
      <c r="E79" s="341">
        <f>IF($A79="","",SUMIFS('Timesheet Raw'!$P$4:$P$8000,'Timesheet Raw'!$L$4:$L$8000,$A79,'Timesheet Raw'!$C$4:$C$8000,D$3,'Timesheet Raw'!$A$4:$A$8000,"2-Proposals Chargeable")+SUMIFS('Timesheet Raw'!$P$4:$P$8000,'Timesheet Raw'!$L$4:$L$8000,$A79,'Timesheet Raw'!$C$4:$C$8000,D$3,'Timesheet Raw'!$A$4:$A$8000,"3-Proposals Regular"))</f>
        <v>0</v>
      </c>
      <c r="F79" s="341">
        <f>IF($A79="","",SUMIFS('Timesheet Raw'!$P$4:$P$8000,'Timesheet Raw'!$L$4:$L$8000,$A79,'Timesheet Raw'!$C$4:$C$8000,D$3,'Timesheet Raw'!$B$4:$B$8000,'Work Calendar'!$A$26)+SUMIFS('Timesheet Raw'!$P$4:$P$8000,'Timesheet Raw'!$L$4:$L$8000,$A79,'Timesheet Raw'!$C$4:$C$8000,D$3,'Timesheet Raw'!$B$4:$B$8000,'Work Calendar'!$A$27)+SUMIFS('Timesheet Raw'!$P$4:$P$8000,'Timesheet Raw'!$L$4:$L$8000,$A79,'Timesheet Raw'!$C$4:$C$8000,D$3,'Timesheet Raw'!$B$4:$B$8000,'Work Calendar'!$A$28)+SUMIFS('Timesheet Raw'!$P$4:$P$8000,'Timesheet Raw'!$L$4:$L$8000,$A79,'Timesheet Raw'!$C$4:$C$8000,D$3,'Timesheet Raw'!$B$4:$B$8000,'Work Calendar'!$A$29))</f>
        <v>1</v>
      </c>
      <c r="G79" s="341">
        <f t="shared" si="5"/>
        <v>0</v>
      </c>
      <c r="H79" s="395">
        <f>IF($A79="","",SUMIFS('Timesheet Raw'!$K$4:$K$8000,'Timesheet Raw'!$L$4:$L$8000,$A79,'Timesheet Raw'!$C$4:$C$8000,D$3))</f>
        <v>0.25</v>
      </c>
      <c r="I79" s="345">
        <f>IF($A79="","",SUMIFS('Timesheet Raw'!$P$4:$P$8000,'Timesheet Raw'!$L$4:$L$8000,$A79,'Timesheet Raw'!$C$4:$C$8000,D$3))</f>
        <v>7.75</v>
      </c>
      <c r="J79" s="375"/>
      <c r="K79" t="str">
        <f>IF($A79="","",IF(J79&lt;&gt;"",J79,IF($A79&gt;'Work Calendar'!$B$17,"No data yet",IF(AND(F79&gt;='Work Calendar'!$B$14,D79+E79+G79&gt;0),"Day off - but worked",IF(F79&gt;='Work Calendar'!$B$14,"Day off",IF(D79+E79+G79&gt;0,IF($C79="Working","Charged","Worked weekend"),IF($C79="Working","Leave (not charged)",$C79)))))))</f>
        <v>Charged</v>
      </c>
      <c r="L79" s="341">
        <f>IF($A79="","",SUMIFS('Timesheet Raw'!$P$4:$P$8000,'Timesheet Raw'!$L$4:$L$8000,$A79,'Timesheet Raw'!$C$4:$C$8000,L$3,'Timesheet Raw'!$A$4:$A$8000,"1-Projects"))</f>
        <v>6.75</v>
      </c>
      <c r="M79" s="341">
        <f>IF($A79="","",SUMIFS('Timesheet Raw'!$P$4:$P$8000,'Timesheet Raw'!$L$4:$L$8000,$A79,'Timesheet Raw'!$C$4:$C$8000,L$3,'Timesheet Raw'!$A$4:$A$8000,"2-Proposals Chargeable")+SUMIFS('Timesheet Raw'!$P$4:$P$8000,'Timesheet Raw'!$L$4:$L$8000,$A79,'Timesheet Raw'!$C$4:$C$8000,L$3,'Timesheet Raw'!$A$4:$A$8000,"3-Proposals Regular"))</f>
        <v>0</v>
      </c>
      <c r="N79" s="341">
        <f>IF($A79="","",SUMIFS('Timesheet Raw'!$P$4:$P$8000,'Timesheet Raw'!$L$4:$L$8000,$A79,'Timesheet Raw'!$C$4:$C$8000,L$3,'Timesheet Raw'!$B$4:$B$8000,'Work Calendar'!$A$26)+SUMIFS('Timesheet Raw'!$P$4:$P$8000,'Timesheet Raw'!$L$4:$L$8000,$A79,'Timesheet Raw'!$C$4:$C$8000,L$3,'Timesheet Raw'!$B$4:$B$8000,'Work Calendar'!$A$27)+SUMIFS('Timesheet Raw'!$P$4:$P$8000,'Timesheet Raw'!$L$4:$L$8000,$A79,'Timesheet Raw'!$C$4:$C$8000,L$3,'Timesheet Raw'!$B$4:$B$8000,'Work Calendar'!$A$28)+SUMIFS('Timesheet Raw'!$P$4:$P$8000,'Timesheet Raw'!$L$4:$L$8000,$A79,'Timesheet Raw'!$C$4:$C$8000,L$3,'Timesheet Raw'!$B$4:$B$8000,'Work Calendar'!$A$29))</f>
        <v>0.75</v>
      </c>
      <c r="O79" s="341">
        <f t="shared" si="6"/>
        <v>0</v>
      </c>
      <c r="P79" s="395">
        <f>IF($A79="","",SUMIFS('Timesheet Raw'!$K$4:$K$8000,'Timesheet Raw'!$L$4:$L$8000,$A79,'Timesheet Raw'!$C$4:$C$8000,L$3))</f>
        <v>0</v>
      </c>
      <c r="Q79" s="345">
        <f>IF($A79="","",SUMIFS('Timesheet Raw'!$P$4:$P$8000,'Timesheet Raw'!$L$4:$L$8000,$A79,'Timesheet Raw'!$C$4:$C$8000,L$3))</f>
        <v>7.5</v>
      </c>
      <c r="R79" s="375"/>
      <c r="S79" t="str">
        <f>IF($A79="","",IF(R79&lt;&gt;"",R79,IF($A79&gt;'Work Calendar'!$B$17,"No data yet",IF(AND(N79&gt;='Work Calendar'!$B$14,L79+M79+O79&gt;0),"Day off - but worked",IF(N79&gt;='Work Calendar'!$B$14,"Day off",IF(L79+M79+O79&gt;0,IF($C79="Working","Charged","Worked weekend"),IF($C79="Working","Leave (not charged)",$C79)))))))</f>
        <v>Charged</v>
      </c>
      <c r="T79" s="341">
        <f>IF($A79="","",SUMIFS('Timesheet Raw'!$P$4:$P$8000,'Timesheet Raw'!$L$4:$L$8000,$A79,'Timesheet Raw'!$C$4:$C$8000,T$3,'Timesheet Raw'!$A$4:$A$8000,"1-Projects"))</f>
        <v>7.75</v>
      </c>
      <c r="U79" s="341">
        <f>IF($A79="","",SUMIFS('Timesheet Raw'!$P$4:$P$8000,'Timesheet Raw'!$L$4:$L$8000,$A79,'Timesheet Raw'!$C$4:$C$8000,T$3,'Timesheet Raw'!$A$4:$A$8000,"2-Proposals Chargeable")+SUMIFS('Timesheet Raw'!$P$4:$P$8000,'Timesheet Raw'!$L$4:$L$8000,$A79,'Timesheet Raw'!$C$4:$C$8000,T$3,'Timesheet Raw'!$A$4:$A$8000,"3-Proposals Regular"))</f>
        <v>0</v>
      </c>
      <c r="V79" s="341">
        <f>IF($A79="","",SUMIFS('Timesheet Raw'!$P$4:$P$8000,'Timesheet Raw'!$L$4:$L$8000,$A79,'Timesheet Raw'!$C$4:$C$8000,T$3,'Timesheet Raw'!$B$4:$B$8000,'Work Calendar'!$A$26)+SUMIFS('Timesheet Raw'!$P$4:$P$8000,'Timesheet Raw'!$L$4:$L$8000,$A79,'Timesheet Raw'!$C$4:$C$8000,T$3,'Timesheet Raw'!$B$4:$B$8000,'Work Calendar'!$A$27)+SUMIFS('Timesheet Raw'!$P$4:$P$8000,'Timesheet Raw'!$L$4:$L$8000,$A79,'Timesheet Raw'!$C$4:$C$8000,T$3,'Timesheet Raw'!$B$4:$B$8000,'Work Calendar'!$A$28)+SUMIFS('Timesheet Raw'!$P$4:$P$8000,'Timesheet Raw'!$L$4:$L$8000,$A79,'Timesheet Raw'!$C$4:$C$8000,T$3,'Timesheet Raw'!$B$4:$B$8000,'Work Calendar'!$A$29))</f>
        <v>0.25</v>
      </c>
      <c r="W79" s="341">
        <f t="shared" si="7"/>
        <v>0</v>
      </c>
      <c r="X79" s="395">
        <f>IF($A79="","",SUMIFS('Timesheet Raw'!$K$4:$K$8000,'Timesheet Raw'!$L$4:$L$8000,$A79,'Timesheet Raw'!$C$4:$C$8000,T$3))</f>
        <v>0.5</v>
      </c>
      <c r="Y79" s="345">
        <f>IF($A79="","",SUMIFS('Timesheet Raw'!$P$4:$P$8000,'Timesheet Raw'!$L$4:$L$8000,$A79,'Timesheet Raw'!$C$4:$C$8000,T$3))</f>
        <v>8</v>
      </c>
      <c r="Z79" s="375"/>
      <c r="AA79" t="str">
        <f>IF($A79="","",IF(Z79&lt;&gt;"",Z79,IF($A79&gt;'Work Calendar'!$B$17,"No data yet",IF(AND(V79&gt;='Work Calendar'!$B$14,T79+U79+W79&gt;0),"Day off - but worked",IF(V79&gt;='Work Calendar'!$B$14,"Day off",IF(T79+U79+W79&gt;0,IF($C79="Working","Charged","Worked weekend"),IF($C79="Working","Leave (not charged)",$C79)))))))</f>
        <v>Charged</v>
      </c>
    </row>
    <row r="80" spans="1:27" x14ac:dyDescent="0.3">
      <c r="A80" s="371">
        <f>IF($A79="","",IF($A79+1&gt;'Work Calendar'!$B$16,"",$A79+1))</f>
        <v>46098</v>
      </c>
      <c r="B80" t="str">
        <f t="shared" si="4"/>
        <v>Tue</v>
      </c>
      <c r="C80" t="str" cm="1">
        <f t="array" ref="C80">IF($A80="","",IF(COUNTIF('Work Calendar'!$E$6:$E$200,$A80)&gt;0,"Holiday",IF(INDEX('Work Calendar'!$C$6:$C$12,WEEKDAY($A80,1))=1,"Working","Weekend")))</f>
        <v>Working</v>
      </c>
      <c r="D80" s="341">
        <f>IF($A80="","",SUMIFS('Timesheet Raw'!$P$4:$P$8000,'Timesheet Raw'!$L$4:$L$8000,$A80,'Timesheet Raw'!$C$4:$C$8000,D$3,'Timesheet Raw'!$A$4:$A$8000,"1-Projects"))</f>
        <v>6.75</v>
      </c>
      <c r="E80" s="341">
        <f>IF($A80="","",SUMIFS('Timesheet Raw'!$P$4:$P$8000,'Timesheet Raw'!$L$4:$L$8000,$A80,'Timesheet Raw'!$C$4:$C$8000,D$3,'Timesheet Raw'!$A$4:$A$8000,"2-Proposals Chargeable")+SUMIFS('Timesheet Raw'!$P$4:$P$8000,'Timesheet Raw'!$L$4:$L$8000,$A80,'Timesheet Raw'!$C$4:$C$8000,D$3,'Timesheet Raw'!$A$4:$A$8000,"3-Proposals Regular"))</f>
        <v>0</v>
      </c>
      <c r="F80" s="341">
        <f>IF($A80="","",SUMIFS('Timesheet Raw'!$P$4:$P$8000,'Timesheet Raw'!$L$4:$L$8000,$A80,'Timesheet Raw'!$C$4:$C$8000,D$3,'Timesheet Raw'!$B$4:$B$8000,'Work Calendar'!$A$26)+SUMIFS('Timesheet Raw'!$P$4:$P$8000,'Timesheet Raw'!$L$4:$L$8000,$A80,'Timesheet Raw'!$C$4:$C$8000,D$3,'Timesheet Raw'!$B$4:$B$8000,'Work Calendar'!$A$27)+SUMIFS('Timesheet Raw'!$P$4:$P$8000,'Timesheet Raw'!$L$4:$L$8000,$A80,'Timesheet Raw'!$C$4:$C$8000,D$3,'Timesheet Raw'!$B$4:$B$8000,'Work Calendar'!$A$28)+SUMIFS('Timesheet Raw'!$P$4:$P$8000,'Timesheet Raw'!$L$4:$L$8000,$A80,'Timesheet Raw'!$C$4:$C$8000,D$3,'Timesheet Raw'!$B$4:$B$8000,'Work Calendar'!$A$29))</f>
        <v>0.75</v>
      </c>
      <c r="G80" s="341">
        <f t="shared" si="5"/>
        <v>0</v>
      </c>
      <c r="H80" s="395">
        <f>IF($A80="","",SUMIFS('Timesheet Raw'!$K$4:$K$8000,'Timesheet Raw'!$L$4:$L$8000,$A80,'Timesheet Raw'!$C$4:$C$8000,D$3))</f>
        <v>0</v>
      </c>
      <c r="I80" s="345">
        <f>IF($A80="","",SUMIFS('Timesheet Raw'!$P$4:$P$8000,'Timesheet Raw'!$L$4:$L$8000,$A80,'Timesheet Raw'!$C$4:$C$8000,D$3))</f>
        <v>7.5</v>
      </c>
      <c r="J80" s="375"/>
      <c r="K80" t="str">
        <f>IF($A80="","",IF(J80&lt;&gt;"",J80,IF($A80&gt;'Work Calendar'!$B$17,"No data yet",IF(AND(F80&gt;='Work Calendar'!$B$14,D80+E80+G80&gt;0),"Day off - but worked",IF(F80&gt;='Work Calendar'!$B$14,"Day off",IF(D80+E80+G80&gt;0,IF($C80="Working","Charged","Worked weekend"),IF($C80="Working","Leave (not charged)",$C80)))))))</f>
        <v>Charged</v>
      </c>
      <c r="L80" s="341">
        <f>IF($A80="","",SUMIFS('Timesheet Raw'!$P$4:$P$8000,'Timesheet Raw'!$L$4:$L$8000,$A80,'Timesheet Raw'!$C$4:$C$8000,L$3,'Timesheet Raw'!$A$4:$A$8000,"1-Projects"))</f>
        <v>7</v>
      </c>
      <c r="M80" s="341">
        <f>IF($A80="","",SUMIFS('Timesheet Raw'!$P$4:$P$8000,'Timesheet Raw'!$L$4:$L$8000,$A80,'Timesheet Raw'!$C$4:$C$8000,L$3,'Timesheet Raw'!$A$4:$A$8000,"2-Proposals Chargeable")+SUMIFS('Timesheet Raw'!$P$4:$P$8000,'Timesheet Raw'!$L$4:$L$8000,$A80,'Timesheet Raw'!$C$4:$C$8000,L$3,'Timesheet Raw'!$A$4:$A$8000,"3-Proposals Regular"))</f>
        <v>0</v>
      </c>
      <c r="N80" s="341">
        <f>IF($A80="","",SUMIFS('Timesheet Raw'!$P$4:$P$8000,'Timesheet Raw'!$L$4:$L$8000,$A80,'Timesheet Raw'!$C$4:$C$8000,L$3,'Timesheet Raw'!$B$4:$B$8000,'Work Calendar'!$A$26)+SUMIFS('Timesheet Raw'!$P$4:$P$8000,'Timesheet Raw'!$L$4:$L$8000,$A80,'Timesheet Raw'!$C$4:$C$8000,L$3,'Timesheet Raw'!$B$4:$B$8000,'Work Calendar'!$A$27)+SUMIFS('Timesheet Raw'!$P$4:$P$8000,'Timesheet Raw'!$L$4:$L$8000,$A80,'Timesheet Raw'!$C$4:$C$8000,L$3,'Timesheet Raw'!$B$4:$B$8000,'Work Calendar'!$A$28)+SUMIFS('Timesheet Raw'!$P$4:$P$8000,'Timesheet Raw'!$L$4:$L$8000,$A80,'Timesheet Raw'!$C$4:$C$8000,L$3,'Timesheet Raw'!$B$4:$B$8000,'Work Calendar'!$A$29))</f>
        <v>0.5</v>
      </c>
      <c r="O80" s="341">
        <f t="shared" si="6"/>
        <v>0</v>
      </c>
      <c r="P80" s="395">
        <f>IF($A80="","",SUMIFS('Timesheet Raw'!$K$4:$K$8000,'Timesheet Raw'!$L$4:$L$8000,$A80,'Timesheet Raw'!$C$4:$C$8000,L$3))</f>
        <v>0</v>
      </c>
      <c r="Q80" s="345">
        <f>IF($A80="","",SUMIFS('Timesheet Raw'!$P$4:$P$8000,'Timesheet Raw'!$L$4:$L$8000,$A80,'Timesheet Raw'!$C$4:$C$8000,L$3))</f>
        <v>7.5</v>
      </c>
      <c r="R80" s="375"/>
      <c r="S80" t="str">
        <f>IF($A80="","",IF(R80&lt;&gt;"",R80,IF($A80&gt;'Work Calendar'!$B$17,"No data yet",IF(AND(N80&gt;='Work Calendar'!$B$14,L80+M80+O80&gt;0),"Day off - but worked",IF(N80&gt;='Work Calendar'!$B$14,"Day off",IF(L80+M80+O80&gt;0,IF($C80="Working","Charged","Worked weekend"),IF($C80="Working","Leave (not charged)",$C80)))))))</f>
        <v>Charged</v>
      </c>
      <c r="T80" s="341">
        <f>IF($A80="","",SUMIFS('Timesheet Raw'!$P$4:$P$8000,'Timesheet Raw'!$L$4:$L$8000,$A80,'Timesheet Raw'!$C$4:$C$8000,T$3,'Timesheet Raw'!$A$4:$A$8000,"1-Projects"))</f>
        <v>6.5</v>
      </c>
      <c r="U80" s="341">
        <f>IF($A80="","",SUMIFS('Timesheet Raw'!$P$4:$P$8000,'Timesheet Raw'!$L$4:$L$8000,$A80,'Timesheet Raw'!$C$4:$C$8000,T$3,'Timesheet Raw'!$A$4:$A$8000,"2-Proposals Chargeable")+SUMIFS('Timesheet Raw'!$P$4:$P$8000,'Timesheet Raw'!$L$4:$L$8000,$A80,'Timesheet Raw'!$C$4:$C$8000,T$3,'Timesheet Raw'!$A$4:$A$8000,"3-Proposals Regular"))</f>
        <v>0</v>
      </c>
      <c r="V80" s="341">
        <f>IF($A80="","",SUMIFS('Timesheet Raw'!$P$4:$P$8000,'Timesheet Raw'!$L$4:$L$8000,$A80,'Timesheet Raw'!$C$4:$C$8000,T$3,'Timesheet Raw'!$B$4:$B$8000,'Work Calendar'!$A$26)+SUMIFS('Timesheet Raw'!$P$4:$P$8000,'Timesheet Raw'!$L$4:$L$8000,$A80,'Timesheet Raw'!$C$4:$C$8000,T$3,'Timesheet Raw'!$B$4:$B$8000,'Work Calendar'!$A$27)+SUMIFS('Timesheet Raw'!$P$4:$P$8000,'Timesheet Raw'!$L$4:$L$8000,$A80,'Timesheet Raw'!$C$4:$C$8000,T$3,'Timesheet Raw'!$B$4:$B$8000,'Work Calendar'!$A$28)+SUMIFS('Timesheet Raw'!$P$4:$P$8000,'Timesheet Raw'!$L$4:$L$8000,$A80,'Timesheet Raw'!$C$4:$C$8000,T$3,'Timesheet Raw'!$B$4:$B$8000,'Work Calendar'!$A$29))</f>
        <v>1</v>
      </c>
      <c r="W80" s="341">
        <f t="shared" si="7"/>
        <v>0</v>
      </c>
      <c r="X80" s="395">
        <f>IF($A80="","",SUMIFS('Timesheet Raw'!$K$4:$K$8000,'Timesheet Raw'!$L$4:$L$8000,$A80,'Timesheet Raw'!$C$4:$C$8000,T$3))</f>
        <v>0</v>
      </c>
      <c r="Y80" s="345">
        <f>IF($A80="","",SUMIFS('Timesheet Raw'!$P$4:$P$8000,'Timesheet Raw'!$L$4:$L$8000,$A80,'Timesheet Raw'!$C$4:$C$8000,T$3))</f>
        <v>7.5</v>
      </c>
      <c r="Z80" s="375"/>
      <c r="AA80" t="str">
        <f>IF($A80="","",IF(Z80&lt;&gt;"",Z80,IF($A80&gt;'Work Calendar'!$B$17,"No data yet",IF(AND(V80&gt;='Work Calendar'!$B$14,T80+U80+W80&gt;0),"Day off - but worked",IF(V80&gt;='Work Calendar'!$B$14,"Day off",IF(T80+U80+W80&gt;0,IF($C80="Working","Charged","Worked weekend"),IF($C80="Working","Leave (not charged)",$C80)))))))</f>
        <v>Charged</v>
      </c>
    </row>
    <row r="81" spans="1:27" x14ac:dyDescent="0.3">
      <c r="A81" s="371">
        <f>IF($A80="","",IF($A80+1&gt;'Work Calendar'!$B$16,"",$A80+1))</f>
        <v>46099</v>
      </c>
      <c r="B81" t="str">
        <f t="shared" si="4"/>
        <v>Wed</v>
      </c>
      <c r="C81" t="str" cm="1">
        <f t="array" ref="C81">IF($A81="","",IF(COUNTIF('Work Calendar'!$E$6:$E$200,$A81)&gt;0,"Holiday",IF(INDEX('Work Calendar'!$C$6:$C$12,WEEKDAY($A81,1))=1,"Working","Weekend")))</f>
        <v>Working</v>
      </c>
      <c r="D81" s="341">
        <f>IF($A81="","",SUMIFS('Timesheet Raw'!$P$4:$P$8000,'Timesheet Raw'!$L$4:$L$8000,$A81,'Timesheet Raw'!$C$4:$C$8000,D$3,'Timesheet Raw'!$A$4:$A$8000,"1-Projects"))</f>
        <v>6.75</v>
      </c>
      <c r="E81" s="341">
        <f>IF($A81="","",SUMIFS('Timesheet Raw'!$P$4:$P$8000,'Timesheet Raw'!$L$4:$L$8000,$A81,'Timesheet Raw'!$C$4:$C$8000,D$3,'Timesheet Raw'!$A$4:$A$8000,"2-Proposals Chargeable")+SUMIFS('Timesheet Raw'!$P$4:$P$8000,'Timesheet Raw'!$L$4:$L$8000,$A81,'Timesheet Raw'!$C$4:$C$8000,D$3,'Timesheet Raw'!$A$4:$A$8000,"3-Proposals Regular"))</f>
        <v>0</v>
      </c>
      <c r="F81" s="341">
        <f>IF($A81="","",SUMIFS('Timesheet Raw'!$P$4:$P$8000,'Timesheet Raw'!$L$4:$L$8000,$A81,'Timesheet Raw'!$C$4:$C$8000,D$3,'Timesheet Raw'!$B$4:$B$8000,'Work Calendar'!$A$26)+SUMIFS('Timesheet Raw'!$P$4:$P$8000,'Timesheet Raw'!$L$4:$L$8000,$A81,'Timesheet Raw'!$C$4:$C$8000,D$3,'Timesheet Raw'!$B$4:$B$8000,'Work Calendar'!$A$27)+SUMIFS('Timesheet Raw'!$P$4:$P$8000,'Timesheet Raw'!$L$4:$L$8000,$A81,'Timesheet Raw'!$C$4:$C$8000,D$3,'Timesheet Raw'!$B$4:$B$8000,'Work Calendar'!$A$28)+SUMIFS('Timesheet Raw'!$P$4:$P$8000,'Timesheet Raw'!$L$4:$L$8000,$A81,'Timesheet Raw'!$C$4:$C$8000,D$3,'Timesheet Raw'!$B$4:$B$8000,'Work Calendar'!$A$29))</f>
        <v>0.75</v>
      </c>
      <c r="G81" s="341">
        <f t="shared" si="5"/>
        <v>0</v>
      </c>
      <c r="H81" s="395">
        <f>IF($A81="","",SUMIFS('Timesheet Raw'!$K$4:$K$8000,'Timesheet Raw'!$L$4:$L$8000,$A81,'Timesheet Raw'!$C$4:$C$8000,D$3))</f>
        <v>0</v>
      </c>
      <c r="I81" s="345">
        <f>IF($A81="","",SUMIFS('Timesheet Raw'!$P$4:$P$8000,'Timesheet Raw'!$L$4:$L$8000,$A81,'Timesheet Raw'!$C$4:$C$8000,D$3))</f>
        <v>7.5</v>
      </c>
      <c r="J81" s="375"/>
      <c r="K81" t="str">
        <f>IF($A81="","",IF(J81&lt;&gt;"",J81,IF($A81&gt;'Work Calendar'!$B$17,"No data yet",IF(AND(F81&gt;='Work Calendar'!$B$14,D81+E81+G81&gt;0),"Day off - but worked",IF(F81&gt;='Work Calendar'!$B$14,"Day off",IF(D81+E81+G81&gt;0,IF($C81="Working","Charged","Worked weekend"),IF($C81="Working","Leave (not charged)",$C81)))))))</f>
        <v>Charged</v>
      </c>
      <c r="L81" s="341">
        <f>IF($A81="","",SUMIFS('Timesheet Raw'!$P$4:$P$8000,'Timesheet Raw'!$L$4:$L$8000,$A81,'Timesheet Raw'!$C$4:$C$8000,L$3,'Timesheet Raw'!$A$4:$A$8000,"1-Projects"))</f>
        <v>5.75</v>
      </c>
      <c r="M81" s="341">
        <f>IF($A81="","",SUMIFS('Timesheet Raw'!$P$4:$P$8000,'Timesheet Raw'!$L$4:$L$8000,$A81,'Timesheet Raw'!$C$4:$C$8000,L$3,'Timesheet Raw'!$A$4:$A$8000,"2-Proposals Chargeable")+SUMIFS('Timesheet Raw'!$P$4:$P$8000,'Timesheet Raw'!$L$4:$L$8000,$A81,'Timesheet Raw'!$C$4:$C$8000,L$3,'Timesheet Raw'!$A$4:$A$8000,"3-Proposals Regular"))</f>
        <v>0</v>
      </c>
      <c r="N81" s="341">
        <f>IF($A81="","",SUMIFS('Timesheet Raw'!$P$4:$P$8000,'Timesheet Raw'!$L$4:$L$8000,$A81,'Timesheet Raw'!$C$4:$C$8000,L$3,'Timesheet Raw'!$B$4:$B$8000,'Work Calendar'!$A$26)+SUMIFS('Timesheet Raw'!$P$4:$P$8000,'Timesheet Raw'!$L$4:$L$8000,$A81,'Timesheet Raw'!$C$4:$C$8000,L$3,'Timesheet Raw'!$B$4:$B$8000,'Work Calendar'!$A$27)+SUMIFS('Timesheet Raw'!$P$4:$P$8000,'Timesheet Raw'!$L$4:$L$8000,$A81,'Timesheet Raw'!$C$4:$C$8000,L$3,'Timesheet Raw'!$B$4:$B$8000,'Work Calendar'!$A$28)+SUMIFS('Timesheet Raw'!$P$4:$P$8000,'Timesheet Raw'!$L$4:$L$8000,$A81,'Timesheet Raw'!$C$4:$C$8000,L$3,'Timesheet Raw'!$B$4:$B$8000,'Work Calendar'!$A$29))</f>
        <v>1.75</v>
      </c>
      <c r="O81" s="341">
        <f t="shared" si="6"/>
        <v>0</v>
      </c>
      <c r="P81" s="395">
        <f>IF($A81="","",SUMIFS('Timesheet Raw'!$K$4:$K$8000,'Timesheet Raw'!$L$4:$L$8000,$A81,'Timesheet Raw'!$C$4:$C$8000,L$3))</f>
        <v>0</v>
      </c>
      <c r="Q81" s="345">
        <f>IF($A81="","",SUMIFS('Timesheet Raw'!$P$4:$P$8000,'Timesheet Raw'!$L$4:$L$8000,$A81,'Timesheet Raw'!$C$4:$C$8000,L$3))</f>
        <v>7.5</v>
      </c>
      <c r="R81" s="375"/>
      <c r="S81" t="str">
        <f>IF($A81="","",IF(R81&lt;&gt;"",R81,IF($A81&gt;'Work Calendar'!$B$17,"No data yet",IF(AND(N81&gt;='Work Calendar'!$B$14,L81+M81+O81&gt;0),"Day off - but worked",IF(N81&gt;='Work Calendar'!$B$14,"Day off",IF(L81+M81+O81&gt;0,IF($C81="Working","Charged","Worked weekend"),IF($C81="Working","Leave (not charged)",$C81)))))))</f>
        <v>Charged</v>
      </c>
      <c r="T81" s="341">
        <f>IF($A81="","",SUMIFS('Timesheet Raw'!$P$4:$P$8000,'Timesheet Raw'!$L$4:$L$8000,$A81,'Timesheet Raw'!$C$4:$C$8000,T$3,'Timesheet Raw'!$A$4:$A$8000,"1-Projects"))</f>
        <v>6.25</v>
      </c>
      <c r="U81" s="341">
        <f>IF($A81="","",SUMIFS('Timesheet Raw'!$P$4:$P$8000,'Timesheet Raw'!$L$4:$L$8000,$A81,'Timesheet Raw'!$C$4:$C$8000,T$3,'Timesheet Raw'!$A$4:$A$8000,"2-Proposals Chargeable")+SUMIFS('Timesheet Raw'!$P$4:$P$8000,'Timesheet Raw'!$L$4:$L$8000,$A81,'Timesheet Raw'!$C$4:$C$8000,T$3,'Timesheet Raw'!$A$4:$A$8000,"3-Proposals Regular"))</f>
        <v>0</v>
      </c>
      <c r="V81" s="341">
        <f>IF($A81="","",SUMIFS('Timesheet Raw'!$P$4:$P$8000,'Timesheet Raw'!$L$4:$L$8000,$A81,'Timesheet Raw'!$C$4:$C$8000,T$3,'Timesheet Raw'!$B$4:$B$8000,'Work Calendar'!$A$26)+SUMIFS('Timesheet Raw'!$P$4:$P$8000,'Timesheet Raw'!$L$4:$L$8000,$A81,'Timesheet Raw'!$C$4:$C$8000,T$3,'Timesheet Raw'!$B$4:$B$8000,'Work Calendar'!$A$27)+SUMIFS('Timesheet Raw'!$P$4:$P$8000,'Timesheet Raw'!$L$4:$L$8000,$A81,'Timesheet Raw'!$C$4:$C$8000,T$3,'Timesheet Raw'!$B$4:$B$8000,'Work Calendar'!$A$28)+SUMIFS('Timesheet Raw'!$P$4:$P$8000,'Timesheet Raw'!$L$4:$L$8000,$A81,'Timesheet Raw'!$C$4:$C$8000,T$3,'Timesheet Raw'!$B$4:$B$8000,'Work Calendar'!$A$29))</f>
        <v>1.25</v>
      </c>
      <c r="W81" s="341">
        <f t="shared" si="7"/>
        <v>0</v>
      </c>
      <c r="X81" s="395">
        <f>IF($A81="","",SUMIFS('Timesheet Raw'!$K$4:$K$8000,'Timesheet Raw'!$L$4:$L$8000,$A81,'Timesheet Raw'!$C$4:$C$8000,T$3))</f>
        <v>0</v>
      </c>
      <c r="Y81" s="345">
        <f>IF($A81="","",SUMIFS('Timesheet Raw'!$P$4:$P$8000,'Timesheet Raw'!$L$4:$L$8000,$A81,'Timesheet Raw'!$C$4:$C$8000,T$3))</f>
        <v>7.5</v>
      </c>
      <c r="Z81" s="375"/>
      <c r="AA81" t="str">
        <f>IF($A81="","",IF(Z81&lt;&gt;"",Z81,IF($A81&gt;'Work Calendar'!$B$17,"No data yet",IF(AND(V81&gt;='Work Calendar'!$B$14,T81+U81+W81&gt;0),"Day off - but worked",IF(V81&gt;='Work Calendar'!$B$14,"Day off",IF(T81+U81+W81&gt;0,IF($C81="Working","Charged","Worked weekend"),IF($C81="Working","Leave (not charged)",$C81)))))))</f>
        <v>Charged</v>
      </c>
    </row>
    <row r="82" spans="1:27" x14ac:dyDescent="0.3">
      <c r="A82" s="371">
        <f>IF($A81="","",IF($A81+1&gt;'Work Calendar'!$B$16,"",$A81+1))</f>
        <v>46100</v>
      </c>
      <c r="B82" t="str">
        <f t="shared" si="4"/>
        <v>Thu</v>
      </c>
      <c r="C82" t="str" cm="1">
        <f t="array" ref="C82">IF($A82="","",IF(COUNTIF('Work Calendar'!$E$6:$E$200,$A82)&gt;0,"Holiday",IF(INDEX('Work Calendar'!$C$6:$C$12,WEEKDAY($A82,1))=1,"Working","Weekend")))</f>
        <v>Working</v>
      </c>
      <c r="D82" s="341">
        <f>IF($A82="","",SUMIFS('Timesheet Raw'!$P$4:$P$8000,'Timesheet Raw'!$L$4:$L$8000,$A82,'Timesheet Raw'!$C$4:$C$8000,D$3,'Timesheet Raw'!$A$4:$A$8000,"1-Projects"))</f>
        <v>0</v>
      </c>
      <c r="E82" s="341">
        <f>IF($A82="","",SUMIFS('Timesheet Raw'!$P$4:$P$8000,'Timesheet Raw'!$L$4:$L$8000,$A82,'Timesheet Raw'!$C$4:$C$8000,D$3,'Timesheet Raw'!$A$4:$A$8000,"2-Proposals Chargeable")+SUMIFS('Timesheet Raw'!$P$4:$P$8000,'Timesheet Raw'!$L$4:$L$8000,$A82,'Timesheet Raw'!$C$4:$C$8000,D$3,'Timesheet Raw'!$A$4:$A$8000,"3-Proposals Regular"))</f>
        <v>0</v>
      </c>
      <c r="F82" s="341">
        <f>IF($A82="","",SUMIFS('Timesheet Raw'!$P$4:$P$8000,'Timesheet Raw'!$L$4:$L$8000,$A82,'Timesheet Raw'!$C$4:$C$8000,D$3,'Timesheet Raw'!$B$4:$B$8000,'Work Calendar'!$A$26)+SUMIFS('Timesheet Raw'!$P$4:$P$8000,'Timesheet Raw'!$L$4:$L$8000,$A82,'Timesheet Raw'!$C$4:$C$8000,D$3,'Timesheet Raw'!$B$4:$B$8000,'Work Calendar'!$A$27)+SUMIFS('Timesheet Raw'!$P$4:$P$8000,'Timesheet Raw'!$L$4:$L$8000,$A82,'Timesheet Raw'!$C$4:$C$8000,D$3,'Timesheet Raw'!$B$4:$B$8000,'Work Calendar'!$A$28)+SUMIFS('Timesheet Raw'!$P$4:$P$8000,'Timesheet Raw'!$L$4:$L$8000,$A82,'Timesheet Raw'!$C$4:$C$8000,D$3,'Timesheet Raw'!$B$4:$B$8000,'Work Calendar'!$A$29))</f>
        <v>8.5</v>
      </c>
      <c r="G82" s="341">
        <f t="shared" si="5"/>
        <v>0</v>
      </c>
      <c r="H82" s="395">
        <f>IF($A82="","",SUMIFS('Timesheet Raw'!$K$4:$K$8000,'Timesheet Raw'!$L$4:$L$8000,$A82,'Timesheet Raw'!$C$4:$C$8000,D$3))</f>
        <v>0</v>
      </c>
      <c r="I82" s="345">
        <f>IF($A82="","",SUMIFS('Timesheet Raw'!$P$4:$P$8000,'Timesheet Raw'!$L$4:$L$8000,$A82,'Timesheet Raw'!$C$4:$C$8000,D$3))</f>
        <v>8.5</v>
      </c>
      <c r="J82" s="375"/>
      <c r="K82" t="str">
        <f>IF($A82="","",IF(J82&lt;&gt;"",J82,IF($A82&gt;'Work Calendar'!$B$17,"No data yet",IF(AND(F82&gt;='Work Calendar'!$B$14,D82+E82+G82&gt;0),"Day off - but worked",IF(F82&gt;='Work Calendar'!$B$14,"Day off",IF(D82+E82+G82&gt;0,IF($C82="Working","Charged","Worked weekend"),IF($C82="Working","Leave (not charged)",$C82)))))))</f>
        <v>Day off</v>
      </c>
      <c r="L82" s="341">
        <f>IF($A82="","",SUMIFS('Timesheet Raw'!$P$4:$P$8000,'Timesheet Raw'!$L$4:$L$8000,$A82,'Timesheet Raw'!$C$4:$C$8000,L$3,'Timesheet Raw'!$A$4:$A$8000,"1-Projects"))</f>
        <v>0</v>
      </c>
      <c r="M82" s="341">
        <f>IF($A82="","",SUMIFS('Timesheet Raw'!$P$4:$P$8000,'Timesheet Raw'!$L$4:$L$8000,$A82,'Timesheet Raw'!$C$4:$C$8000,L$3,'Timesheet Raw'!$A$4:$A$8000,"2-Proposals Chargeable")+SUMIFS('Timesheet Raw'!$P$4:$P$8000,'Timesheet Raw'!$L$4:$L$8000,$A82,'Timesheet Raw'!$C$4:$C$8000,L$3,'Timesheet Raw'!$A$4:$A$8000,"3-Proposals Regular"))</f>
        <v>0</v>
      </c>
      <c r="N82" s="341">
        <f>IF($A82="","",SUMIFS('Timesheet Raw'!$P$4:$P$8000,'Timesheet Raw'!$L$4:$L$8000,$A82,'Timesheet Raw'!$C$4:$C$8000,L$3,'Timesheet Raw'!$B$4:$B$8000,'Work Calendar'!$A$26)+SUMIFS('Timesheet Raw'!$P$4:$P$8000,'Timesheet Raw'!$L$4:$L$8000,$A82,'Timesheet Raw'!$C$4:$C$8000,L$3,'Timesheet Raw'!$B$4:$B$8000,'Work Calendar'!$A$27)+SUMIFS('Timesheet Raw'!$P$4:$P$8000,'Timesheet Raw'!$L$4:$L$8000,$A82,'Timesheet Raw'!$C$4:$C$8000,L$3,'Timesheet Raw'!$B$4:$B$8000,'Work Calendar'!$A$28)+SUMIFS('Timesheet Raw'!$P$4:$P$8000,'Timesheet Raw'!$L$4:$L$8000,$A82,'Timesheet Raw'!$C$4:$C$8000,L$3,'Timesheet Raw'!$B$4:$B$8000,'Work Calendar'!$A$29))</f>
        <v>8.5</v>
      </c>
      <c r="O82" s="341">
        <f t="shared" si="6"/>
        <v>0</v>
      </c>
      <c r="P82" s="395">
        <f>IF($A82="","",SUMIFS('Timesheet Raw'!$K$4:$K$8000,'Timesheet Raw'!$L$4:$L$8000,$A82,'Timesheet Raw'!$C$4:$C$8000,L$3))</f>
        <v>0</v>
      </c>
      <c r="Q82" s="345">
        <f>IF($A82="","",SUMIFS('Timesheet Raw'!$P$4:$P$8000,'Timesheet Raw'!$L$4:$L$8000,$A82,'Timesheet Raw'!$C$4:$C$8000,L$3))</f>
        <v>8.5</v>
      </c>
      <c r="R82" s="375"/>
      <c r="S82" t="str">
        <f>IF($A82="","",IF(R82&lt;&gt;"",R82,IF($A82&gt;'Work Calendar'!$B$17,"No data yet",IF(AND(N82&gt;='Work Calendar'!$B$14,L82+M82+O82&gt;0),"Day off - but worked",IF(N82&gt;='Work Calendar'!$B$14,"Day off",IF(L82+M82+O82&gt;0,IF($C82="Working","Charged","Worked weekend"),IF($C82="Working","Leave (not charged)",$C82)))))))</f>
        <v>Day off</v>
      </c>
      <c r="T82" s="341">
        <f>IF($A82="","",SUMIFS('Timesheet Raw'!$P$4:$P$8000,'Timesheet Raw'!$L$4:$L$8000,$A82,'Timesheet Raw'!$C$4:$C$8000,T$3,'Timesheet Raw'!$A$4:$A$8000,"1-Projects"))</f>
        <v>0</v>
      </c>
      <c r="U82" s="341">
        <f>IF($A82="","",SUMIFS('Timesheet Raw'!$P$4:$P$8000,'Timesheet Raw'!$L$4:$L$8000,$A82,'Timesheet Raw'!$C$4:$C$8000,T$3,'Timesheet Raw'!$A$4:$A$8000,"2-Proposals Chargeable")+SUMIFS('Timesheet Raw'!$P$4:$P$8000,'Timesheet Raw'!$L$4:$L$8000,$A82,'Timesheet Raw'!$C$4:$C$8000,T$3,'Timesheet Raw'!$A$4:$A$8000,"3-Proposals Regular"))</f>
        <v>0</v>
      </c>
      <c r="V82" s="341">
        <f>IF($A82="","",SUMIFS('Timesheet Raw'!$P$4:$P$8000,'Timesheet Raw'!$L$4:$L$8000,$A82,'Timesheet Raw'!$C$4:$C$8000,T$3,'Timesheet Raw'!$B$4:$B$8000,'Work Calendar'!$A$26)+SUMIFS('Timesheet Raw'!$P$4:$P$8000,'Timesheet Raw'!$L$4:$L$8000,$A82,'Timesheet Raw'!$C$4:$C$8000,T$3,'Timesheet Raw'!$B$4:$B$8000,'Work Calendar'!$A$27)+SUMIFS('Timesheet Raw'!$P$4:$P$8000,'Timesheet Raw'!$L$4:$L$8000,$A82,'Timesheet Raw'!$C$4:$C$8000,T$3,'Timesheet Raw'!$B$4:$B$8000,'Work Calendar'!$A$28)+SUMIFS('Timesheet Raw'!$P$4:$P$8000,'Timesheet Raw'!$L$4:$L$8000,$A82,'Timesheet Raw'!$C$4:$C$8000,T$3,'Timesheet Raw'!$B$4:$B$8000,'Work Calendar'!$A$29))</f>
        <v>8.5</v>
      </c>
      <c r="W82" s="341">
        <f t="shared" si="7"/>
        <v>0</v>
      </c>
      <c r="X82" s="395">
        <f>IF($A82="","",SUMIFS('Timesheet Raw'!$K$4:$K$8000,'Timesheet Raw'!$L$4:$L$8000,$A82,'Timesheet Raw'!$C$4:$C$8000,T$3))</f>
        <v>0</v>
      </c>
      <c r="Y82" s="345">
        <f>IF($A82="","",SUMIFS('Timesheet Raw'!$P$4:$P$8000,'Timesheet Raw'!$L$4:$L$8000,$A82,'Timesheet Raw'!$C$4:$C$8000,T$3))</f>
        <v>8.5</v>
      </c>
      <c r="Z82" s="375"/>
      <c r="AA82" t="str">
        <f>IF($A82="","",IF(Z82&lt;&gt;"",Z82,IF($A82&gt;'Work Calendar'!$B$17,"No data yet",IF(AND(V82&gt;='Work Calendar'!$B$14,T82+U82+W82&gt;0),"Day off - but worked",IF(V82&gt;='Work Calendar'!$B$14,"Day off",IF(T82+U82+W82&gt;0,IF($C82="Working","Charged","Worked weekend"),IF($C82="Working","Leave (not charged)",$C82)))))))</f>
        <v>Day off</v>
      </c>
    </row>
    <row r="83" spans="1:27" x14ac:dyDescent="0.3">
      <c r="A83" s="371">
        <f>IF($A82="","",IF($A82+1&gt;'Work Calendar'!$B$16,"",$A82+1))</f>
        <v>46101</v>
      </c>
      <c r="B83" t="str">
        <f t="shared" si="4"/>
        <v>Fri</v>
      </c>
      <c r="C83" t="str" cm="1">
        <f t="array" ref="C83">IF($A83="","",IF(COUNTIF('Work Calendar'!$E$6:$E$200,$A83)&gt;0,"Holiday",IF(INDEX('Work Calendar'!$C$6:$C$12,WEEKDAY($A83,1))=1,"Working","Weekend")))</f>
        <v>Weekend</v>
      </c>
      <c r="D83" s="341">
        <f>IF($A83="","",SUMIFS('Timesheet Raw'!$P$4:$P$8000,'Timesheet Raw'!$L$4:$L$8000,$A83,'Timesheet Raw'!$C$4:$C$8000,D$3,'Timesheet Raw'!$A$4:$A$8000,"1-Projects"))</f>
        <v>0</v>
      </c>
      <c r="E83" s="341">
        <f>IF($A83="","",SUMIFS('Timesheet Raw'!$P$4:$P$8000,'Timesheet Raw'!$L$4:$L$8000,$A83,'Timesheet Raw'!$C$4:$C$8000,D$3,'Timesheet Raw'!$A$4:$A$8000,"2-Proposals Chargeable")+SUMIFS('Timesheet Raw'!$P$4:$P$8000,'Timesheet Raw'!$L$4:$L$8000,$A83,'Timesheet Raw'!$C$4:$C$8000,D$3,'Timesheet Raw'!$A$4:$A$8000,"3-Proposals Regular"))</f>
        <v>0</v>
      </c>
      <c r="F83" s="341">
        <f>IF($A83="","",SUMIFS('Timesheet Raw'!$P$4:$P$8000,'Timesheet Raw'!$L$4:$L$8000,$A83,'Timesheet Raw'!$C$4:$C$8000,D$3,'Timesheet Raw'!$B$4:$B$8000,'Work Calendar'!$A$26)+SUMIFS('Timesheet Raw'!$P$4:$P$8000,'Timesheet Raw'!$L$4:$L$8000,$A83,'Timesheet Raw'!$C$4:$C$8000,D$3,'Timesheet Raw'!$B$4:$B$8000,'Work Calendar'!$A$27)+SUMIFS('Timesheet Raw'!$P$4:$P$8000,'Timesheet Raw'!$L$4:$L$8000,$A83,'Timesheet Raw'!$C$4:$C$8000,D$3,'Timesheet Raw'!$B$4:$B$8000,'Work Calendar'!$A$28)+SUMIFS('Timesheet Raw'!$P$4:$P$8000,'Timesheet Raw'!$L$4:$L$8000,$A83,'Timesheet Raw'!$C$4:$C$8000,D$3,'Timesheet Raw'!$B$4:$B$8000,'Work Calendar'!$A$29))</f>
        <v>0</v>
      </c>
      <c r="G83" s="341">
        <f t="shared" si="5"/>
        <v>0</v>
      </c>
      <c r="H83" s="395">
        <f>IF($A83="","",SUMIFS('Timesheet Raw'!$K$4:$K$8000,'Timesheet Raw'!$L$4:$L$8000,$A83,'Timesheet Raw'!$C$4:$C$8000,D$3))</f>
        <v>0</v>
      </c>
      <c r="I83" s="345">
        <f>IF($A83="","",SUMIFS('Timesheet Raw'!$P$4:$P$8000,'Timesheet Raw'!$L$4:$L$8000,$A83,'Timesheet Raw'!$C$4:$C$8000,D$3))</f>
        <v>0</v>
      </c>
      <c r="J83" s="375"/>
      <c r="K83" t="str">
        <f>IF($A83="","",IF(J83&lt;&gt;"",J83,IF($A83&gt;'Work Calendar'!$B$17,"No data yet",IF(AND(F83&gt;='Work Calendar'!$B$14,D83+E83+G83&gt;0),"Day off - but worked",IF(F83&gt;='Work Calendar'!$B$14,"Day off",IF(D83+E83+G83&gt;0,IF($C83="Working","Charged","Worked weekend"),IF($C83="Working","Leave (not charged)",$C83)))))))</f>
        <v>Weekend</v>
      </c>
      <c r="L83" s="341">
        <f>IF($A83="","",SUMIFS('Timesheet Raw'!$P$4:$P$8000,'Timesheet Raw'!$L$4:$L$8000,$A83,'Timesheet Raw'!$C$4:$C$8000,L$3,'Timesheet Raw'!$A$4:$A$8000,"1-Projects"))</f>
        <v>0</v>
      </c>
      <c r="M83" s="341">
        <f>IF($A83="","",SUMIFS('Timesheet Raw'!$P$4:$P$8000,'Timesheet Raw'!$L$4:$L$8000,$A83,'Timesheet Raw'!$C$4:$C$8000,L$3,'Timesheet Raw'!$A$4:$A$8000,"2-Proposals Chargeable")+SUMIFS('Timesheet Raw'!$P$4:$P$8000,'Timesheet Raw'!$L$4:$L$8000,$A83,'Timesheet Raw'!$C$4:$C$8000,L$3,'Timesheet Raw'!$A$4:$A$8000,"3-Proposals Regular"))</f>
        <v>0</v>
      </c>
      <c r="N83" s="341">
        <f>IF($A83="","",SUMIFS('Timesheet Raw'!$P$4:$P$8000,'Timesheet Raw'!$L$4:$L$8000,$A83,'Timesheet Raw'!$C$4:$C$8000,L$3,'Timesheet Raw'!$B$4:$B$8000,'Work Calendar'!$A$26)+SUMIFS('Timesheet Raw'!$P$4:$P$8000,'Timesheet Raw'!$L$4:$L$8000,$A83,'Timesheet Raw'!$C$4:$C$8000,L$3,'Timesheet Raw'!$B$4:$B$8000,'Work Calendar'!$A$27)+SUMIFS('Timesheet Raw'!$P$4:$P$8000,'Timesheet Raw'!$L$4:$L$8000,$A83,'Timesheet Raw'!$C$4:$C$8000,L$3,'Timesheet Raw'!$B$4:$B$8000,'Work Calendar'!$A$28)+SUMIFS('Timesheet Raw'!$P$4:$P$8000,'Timesheet Raw'!$L$4:$L$8000,$A83,'Timesheet Raw'!$C$4:$C$8000,L$3,'Timesheet Raw'!$B$4:$B$8000,'Work Calendar'!$A$29))</f>
        <v>0</v>
      </c>
      <c r="O83" s="341">
        <f t="shared" si="6"/>
        <v>0</v>
      </c>
      <c r="P83" s="395">
        <f>IF($A83="","",SUMIFS('Timesheet Raw'!$K$4:$K$8000,'Timesheet Raw'!$L$4:$L$8000,$A83,'Timesheet Raw'!$C$4:$C$8000,L$3))</f>
        <v>0</v>
      </c>
      <c r="Q83" s="345">
        <f>IF($A83="","",SUMIFS('Timesheet Raw'!$P$4:$P$8000,'Timesheet Raw'!$L$4:$L$8000,$A83,'Timesheet Raw'!$C$4:$C$8000,L$3))</f>
        <v>0</v>
      </c>
      <c r="R83" s="375"/>
      <c r="S83" t="str">
        <f>IF($A83="","",IF(R83&lt;&gt;"",R83,IF($A83&gt;'Work Calendar'!$B$17,"No data yet",IF(AND(N83&gt;='Work Calendar'!$B$14,L83+M83+O83&gt;0),"Day off - but worked",IF(N83&gt;='Work Calendar'!$B$14,"Day off",IF(L83+M83+O83&gt;0,IF($C83="Working","Charged","Worked weekend"),IF($C83="Working","Leave (not charged)",$C83)))))))</f>
        <v>Weekend</v>
      </c>
      <c r="T83" s="341">
        <f>IF($A83="","",SUMIFS('Timesheet Raw'!$P$4:$P$8000,'Timesheet Raw'!$L$4:$L$8000,$A83,'Timesheet Raw'!$C$4:$C$8000,T$3,'Timesheet Raw'!$A$4:$A$8000,"1-Projects"))</f>
        <v>0</v>
      </c>
      <c r="U83" s="341">
        <f>IF($A83="","",SUMIFS('Timesheet Raw'!$P$4:$P$8000,'Timesheet Raw'!$L$4:$L$8000,$A83,'Timesheet Raw'!$C$4:$C$8000,T$3,'Timesheet Raw'!$A$4:$A$8000,"2-Proposals Chargeable")+SUMIFS('Timesheet Raw'!$P$4:$P$8000,'Timesheet Raw'!$L$4:$L$8000,$A83,'Timesheet Raw'!$C$4:$C$8000,T$3,'Timesheet Raw'!$A$4:$A$8000,"3-Proposals Regular"))</f>
        <v>0</v>
      </c>
      <c r="V83" s="341">
        <f>IF($A83="","",SUMIFS('Timesheet Raw'!$P$4:$P$8000,'Timesheet Raw'!$L$4:$L$8000,$A83,'Timesheet Raw'!$C$4:$C$8000,T$3,'Timesheet Raw'!$B$4:$B$8000,'Work Calendar'!$A$26)+SUMIFS('Timesheet Raw'!$P$4:$P$8000,'Timesheet Raw'!$L$4:$L$8000,$A83,'Timesheet Raw'!$C$4:$C$8000,T$3,'Timesheet Raw'!$B$4:$B$8000,'Work Calendar'!$A$27)+SUMIFS('Timesheet Raw'!$P$4:$P$8000,'Timesheet Raw'!$L$4:$L$8000,$A83,'Timesheet Raw'!$C$4:$C$8000,T$3,'Timesheet Raw'!$B$4:$B$8000,'Work Calendar'!$A$28)+SUMIFS('Timesheet Raw'!$P$4:$P$8000,'Timesheet Raw'!$L$4:$L$8000,$A83,'Timesheet Raw'!$C$4:$C$8000,T$3,'Timesheet Raw'!$B$4:$B$8000,'Work Calendar'!$A$29))</f>
        <v>0</v>
      </c>
      <c r="W83" s="341">
        <f t="shared" si="7"/>
        <v>0</v>
      </c>
      <c r="X83" s="395">
        <f>IF($A83="","",SUMIFS('Timesheet Raw'!$K$4:$K$8000,'Timesheet Raw'!$L$4:$L$8000,$A83,'Timesheet Raw'!$C$4:$C$8000,T$3))</f>
        <v>0</v>
      </c>
      <c r="Y83" s="345">
        <f>IF($A83="","",SUMIFS('Timesheet Raw'!$P$4:$P$8000,'Timesheet Raw'!$L$4:$L$8000,$A83,'Timesheet Raw'!$C$4:$C$8000,T$3))</f>
        <v>0</v>
      </c>
      <c r="Z83" s="375"/>
      <c r="AA83" t="str">
        <f>IF($A83="","",IF(Z83&lt;&gt;"",Z83,IF($A83&gt;'Work Calendar'!$B$17,"No data yet",IF(AND(V83&gt;='Work Calendar'!$B$14,T83+U83+W83&gt;0),"Day off - but worked",IF(V83&gt;='Work Calendar'!$B$14,"Day off",IF(T83+U83+W83&gt;0,IF($C83="Working","Charged","Worked weekend"),IF($C83="Working","Leave (not charged)",$C83)))))))</f>
        <v>Weekend</v>
      </c>
    </row>
    <row r="84" spans="1:27" x14ac:dyDescent="0.3">
      <c r="A84" s="371">
        <f>IF($A83="","",IF($A83+1&gt;'Work Calendar'!$B$16,"",$A83+1))</f>
        <v>46102</v>
      </c>
      <c r="B84" t="str">
        <f t="shared" si="4"/>
        <v>Sat</v>
      </c>
      <c r="C84" t="str" cm="1">
        <f t="array" ref="C84">IF($A84="","",IF(COUNTIF('Work Calendar'!$E$6:$E$200,$A84)&gt;0,"Holiday",IF(INDEX('Work Calendar'!$C$6:$C$12,WEEKDAY($A84,1))=1,"Working","Weekend")))</f>
        <v>Weekend</v>
      </c>
      <c r="D84" s="341">
        <f>IF($A84="","",SUMIFS('Timesheet Raw'!$P$4:$P$8000,'Timesheet Raw'!$L$4:$L$8000,$A84,'Timesheet Raw'!$C$4:$C$8000,D$3,'Timesheet Raw'!$A$4:$A$8000,"1-Projects"))</f>
        <v>0</v>
      </c>
      <c r="E84" s="341">
        <f>IF($A84="","",SUMIFS('Timesheet Raw'!$P$4:$P$8000,'Timesheet Raw'!$L$4:$L$8000,$A84,'Timesheet Raw'!$C$4:$C$8000,D$3,'Timesheet Raw'!$A$4:$A$8000,"2-Proposals Chargeable")+SUMIFS('Timesheet Raw'!$P$4:$P$8000,'Timesheet Raw'!$L$4:$L$8000,$A84,'Timesheet Raw'!$C$4:$C$8000,D$3,'Timesheet Raw'!$A$4:$A$8000,"3-Proposals Regular"))</f>
        <v>0</v>
      </c>
      <c r="F84" s="341">
        <f>IF($A84="","",SUMIFS('Timesheet Raw'!$P$4:$P$8000,'Timesheet Raw'!$L$4:$L$8000,$A84,'Timesheet Raw'!$C$4:$C$8000,D$3,'Timesheet Raw'!$B$4:$B$8000,'Work Calendar'!$A$26)+SUMIFS('Timesheet Raw'!$P$4:$P$8000,'Timesheet Raw'!$L$4:$L$8000,$A84,'Timesheet Raw'!$C$4:$C$8000,D$3,'Timesheet Raw'!$B$4:$B$8000,'Work Calendar'!$A$27)+SUMIFS('Timesheet Raw'!$P$4:$P$8000,'Timesheet Raw'!$L$4:$L$8000,$A84,'Timesheet Raw'!$C$4:$C$8000,D$3,'Timesheet Raw'!$B$4:$B$8000,'Work Calendar'!$A$28)+SUMIFS('Timesheet Raw'!$P$4:$P$8000,'Timesheet Raw'!$L$4:$L$8000,$A84,'Timesheet Raw'!$C$4:$C$8000,D$3,'Timesheet Raw'!$B$4:$B$8000,'Work Calendar'!$A$29))</f>
        <v>0</v>
      </c>
      <c r="G84" s="341">
        <f t="shared" si="5"/>
        <v>0</v>
      </c>
      <c r="H84" s="395">
        <f>IF($A84="","",SUMIFS('Timesheet Raw'!$K$4:$K$8000,'Timesheet Raw'!$L$4:$L$8000,$A84,'Timesheet Raw'!$C$4:$C$8000,D$3))</f>
        <v>0</v>
      </c>
      <c r="I84" s="345">
        <f>IF($A84="","",SUMIFS('Timesheet Raw'!$P$4:$P$8000,'Timesheet Raw'!$L$4:$L$8000,$A84,'Timesheet Raw'!$C$4:$C$8000,D$3))</f>
        <v>0</v>
      </c>
      <c r="J84" s="375"/>
      <c r="K84" t="str">
        <f>IF($A84="","",IF(J84&lt;&gt;"",J84,IF($A84&gt;'Work Calendar'!$B$17,"No data yet",IF(AND(F84&gt;='Work Calendar'!$B$14,D84+E84+G84&gt;0),"Day off - but worked",IF(F84&gt;='Work Calendar'!$B$14,"Day off",IF(D84+E84+G84&gt;0,IF($C84="Working","Charged","Worked weekend"),IF($C84="Working","Leave (not charged)",$C84)))))))</f>
        <v>Weekend</v>
      </c>
      <c r="L84" s="341">
        <f>IF($A84="","",SUMIFS('Timesheet Raw'!$P$4:$P$8000,'Timesheet Raw'!$L$4:$L$8000,$A84,'Timesheet Raw'!$C$4:$C$8000,L$3,'Timesheet Raw'!$A$4:$A$8000,"1-Projects"))</f>
        <v>0</v>
      </c>
      <c r="M84" s="341">
        <f>IF($A84="","",SUMIFS('Timesheet Raw'!$P$4:$P$8000,'Timesheet Raw'!$L$4:$L$8000,$A84,'Timesheet Raw'!$C$4:$C$8000,L$3,'Timesheet Raw'!$A$4:$A$8000,"2-Proposals Chargeable")+SUMIFS('Timesheet Raw'!$P$4:$P$8000,'Timesheet Raw'!$L$4:$L$8000,$A84,'Timesheet Raw'!$C$4:$C$8000,L$3,'Timesheet Raw'!$A$4:$A$8000,"3-Proposals Regular"))</f>
        <v>0</v>
      </c>
      <c r="N84" s="341">
        <f>IF($A84="","",SUMIFS('Timesheet Raw'!$P$4:$P$8000,'Timesheet Raw'!$L$4:$L$8000,$A84,'Timesheet Raw'!$C$4:$C$8000,L$3,'Timesheet Raw'!$B$4:$B$8000,'Work Calendar'!$A$26)+SUMIFS('Timesheet Raw'!$P$4:$P$8000,'Timesheet Raw'!$L$4:$L$8000,$A84,'Timesheet Raw'!$C$4:$C$8000,L$3,'Timesheet Raw'!$B$4:$B$8000,'Work Calendar'!$A$27)+SUMIFS('Timesheet Raw'!$P$4:$P$8000,'Timesheet Raw'!$L$4:$L$8000,$A84,'Timesheet Raw'!$C$4:$C$8000,L$3,'Timesheet Raw'!$B$4:$B$8000,'Work Calendar'!$A$28)+SUMIFS('Timesheet Raw'!$P$4:$P$8000,'Timesheet Raw'!$L$4:$L$8000,$A84,'Timesheet Raw'!$C$4:$C$8000,L$3,'Timesheet Raw'!$B$4:$B$8000,'Work Calendar'!$A$29))</f>
        <v>0</v>
      </c>
      <c r="O84" s="341">
        <f t="shared" si="6"/>
        <v>0</v>
      </c>
      <c r="P84" s="395">
        <f>IF($A84="","",SUMIFS('Timesheet Raw'!$K$4:$K$8000,'Timesheet Raw'!$L$4:$L$8000,$A84,'Timesheet Raw'!$C$4:$C$8000,L$3))</f>
        <v>0</v>
      </c>
      <c r="Q84" s="345">
        <f>IF($A84="","",SUMIFS('Timesheet Raw'!$P$4:$P$8000,'Timesheet Raw'!$L$4:$L$8000,$A84,'Timesheet Raw'!$C$4:$C$8000,L$3))</f>
        <v>0</v>
      </c>
      <c r="R84" s="375"/>
      <c r="S84" t="str">
        <f>IF($A84="","",IF(R84&lt;&gt;"",R84,IF($A84&gt;'Work Calendar'!$B$17,"No data yet",IF(AND(N84&gt;='Work Calendar'!$B$14,L84+M84+O84&gt;0),"Day off - but worked",IF(N84&gt;='Work Calendar'!$B$14,"Day off",IF(L84+M84+O84&gt;0,IF($C84="Working","Charged","Worked weekend"),IF($C84="Working","Leave (not charged)",$C84)))))))</f>
        <v>Weekend</v>
      </c>
      <c r="T84" s="341">
        <f>IF($A84="","",SUMIFS('Timesheet Raw'!$P$4:$P$8000,'Timesheet Raw'!$L$4:$L$8000,$A84,'Timesheet Raw'!$C$4:$C$8000,T$3,'Timesheet Raw'!$A$4:$A$8000,"1-Projects"))</f>
        <v>0</v>
      </c>
      <c r="U84" s="341">
        <f>IF($A84="","",SUMIFS('Timesheet Raw'!$P$4:$P$8000,'Timesheet Raw'!$L$4:$L$8000,$A84,'Timesheet Raw'!$C$4:$C$8000,T$3,'Timesheet Raw'!$A$4:$A$8000,"2-Proposals Chargeable")+SUMIFS('Timesheet Raw'!$P$4:$P$8000,'Timesheet Raw'!$L$4:$L$8000,$A84,'Timesheet Raw'!$C$4:$C$8000,T$3,'Timesheet Raw'!$A$4:$A$8000,"3-Proposals Regular"))</f>
        <v>0</v>
      </c>
      <c r="V84" s="341">
        <f>IF($A84="","",SUMIFS('Timesheet Raw'!$P$4:$P$8000,'Timesheet Raw'!$L$4:$L$8000,$A84,'Timesheet Raw'!$C$4:$C$8000,T$3,'Timesheet Raw'!$B$4:$B$8000,'Work Calendar'!$A$26)+SUMIFS('Timesheet Raw'!$P$4:$P$8000,'Timesheet Raw'!$L$4:$L$8000,$A84,'Timesheet Raw'!$C$4:$C$8000,T$3,'Timesheet Raw'!$B$4:$B$8000,'Work Calendar'!$A$27)+SUMIFS('Timesheet Raw'!$P$4:$P$8000,'Timesheet Raw'!$L$4:$L$8000,$A84,'Timesheet Raw'!$C$4:$C$8000,T$3,'Timesheet Raw'!$B$4:$B$8000,'Work Calendar'!$A$28)+SUMIFS('Timesheet Raw'!$P$4:$P$8000,'Timesheet Raw'!$L$4:$L$8000,$A84,'Timesheet Raw'!$C$4:$C$8000,T$3,'Timesheet Raw'!$B$4:$B$8000,'Work Calendar'!$A$29))</f>
        <v>0</v>
      </c>
      <c r="W84" s="341">
        <f t="shared" si="7"/>
        <v>0</v>
      </c>
      <c r="X84" s="395">
        <f>IF($A84="","",SUMIFS('Timesheet Raw'!$K$4:$K$8000,'Timesheet Raw'!$L$4:$L$8000,$A84,'Timesheet Raw'!$C$4:$C$8000,T$3))</f>
        <v>0</v>
      </c>
      <c r="Y84" s="345">
        <f>IF($A84="","",SUMIFS('Timesheet Raw'!$P$4:$P$8000,'Timesheet Raw'!$L$4:$L$8000,$A84,'Timesheet Raw'!$C$4:$C$8000,T$3))</f>
        <v>0</v>
      </c>
      <c r="Z84" s="375"/>
      <c r="AA84" t="str">
        <f>IF($A84="","",IF(Z84&lt;&gt;"",Z84,IF($A84&gt;'Work Calendar'!$B$17,"No data yet",IF(AND(V84&gt;='Work Calendar'!$B$14,T84+U84+W84&gt;0),"Day off - but worked",IF(V84&gt;='Work Calendar'!$B$14,"Day off",IF(T84+U84+W84&gt;0,IF($C84="Working","Charged","Worked weekend"),IF($C84="Working","Leave (not charged)",$C84)))))))</f>
        <v>Weekend</v>
      </c>
    </row>
    <row r="85" spans="1:27" x14ac:dyDescent="0.3">
      <c r="A85" s="371">
        <f>IF($A84="","",IF($A84+1&gt;'Work Calendar'!$B$16,"",$A84+1))</f>
        <v>46103</v>
      </c>
      <c r="B85" t="str">
        <f t="shared" si="4"/>
        <v>Sun</v>
      </c>
      <c r="C85" t="str" cm="1">
        <f t="array" ref="C85">IF($A85="","",IF(COUNTIF('Work Calendar'!$E$6:$E$200,$A85)&gt;0,"Holiday",IF(INDEX('Work Calendar'!$C$6:$C$12,WEEKDAY($A85,1))=1,"Working","Weekend")))</f>
        <v>Working</v>
      </c>
      <c r="D85" s="341">
        <f>IF($A85="","",SUMIFS('Timesheet Raw'!$P$4:$P$8000,'Timesheet Raw'!$L$4:$L$8000,$A85,'Timesheet Raw'!$C$4:$C$8000,D$3,'Timesheet Raw'!$A$4:$A$8000,"1-Projects"))</f>
        <v>0</v>
      </c>
      <c r="E85" s="341">
        <f>IF($A85="","",SUMIFS('Timesheet Raw'!$P$4:$P$8000,'Timesheet Raw'!$L$4:$L$8000,$A85,'Timesheet Raw'!$C$4:$C$8000,D$3,'Timesheet Raw'!$A$4:$A$8000,"2-Proposals Chargeable")+SUMIFS('Timesheet Raw'!$P$4:$P$8000,'Timesheet Raw'!$L$4:$L$8000,$A85,'Timesheet Raw'!$C$4:$C$8000,D$3,'Timesheet Raw'!$A$4:$A$8000,"3-Proposals Regular"))</f>
        <v>0</v>
      </c>
      <c r="F85" s="341">
        <f>IF($A85="","",SUMIFS('Timesheet Raw'!$P$4:$P$8000,'Timesheet Raw'!$L$4:$L$8000,$A85,'Timesheet Raw'!$C$4:$C$8000,D$3,'Timesheet Raw'!$B$4:$B$8000,'Work Calendar'!$A$26)+SUMIFS('Timesheet Raw'!$P$4:$P$8000,'Timesheet Raw'!$L$4:$L$8000,$A85,'Timesheet Raw'!$C$4:$C$8000,D$3,'Timesheet Raw'!$B$4:$B$8000,'Work Calendar'!$A$27)+SUMIFS('Timesheet Raw'!$P$4:$P$8000,'Timesheet Raw'!$L$4:$L$8000,$A85,'Timesheet Raw'!$C$4:$C$8000,D$3,'Timesheet Raw'!$B$4:$B$8000,'Work Calendar'!$A$28)+SUMIFS('Timesheet Raw'!$P$4:$P$8000,'Timesheet Raw'!$L$4:$L$8000,$A85,'Timesheet Raw'!$C$4:$C$8000,D$3,'Timesheet Raw'!$B$4:$B$8000,'Work Calendar'!$A$29))</f>
        <v>8.5</v>
      </c>
      <c r="G85" s="341">
        <f t="shared" si="5"/>
        <v>0</v>
      </c>
      <c r="H85" s="395">
        <f>IF($A85="","",SUMIFS('Timesheet Raw'!$K$4:$K$8000,'Timesheet Raw'!$L$4:$L$8000,$A85,'Timesheet Raw'!$C$4:$C$8000,D$3))</f>
        <v>0</v>
      </c>
      <c r="I85" s="345">
        <f>IF($A85="","",SUMIFS('Timesheet Raw'!$P$4:$P$8000,'Timesheet Raw'!$L$4:$L$8000,$A85,'Timesheet Raw'!$C$4:$C$8000,D$3))</f>
        <v>8.5</v>
      </c>
      <c r="J85" s="375"/>
      <c r="K85" t="str">
        <f>IF($A85="","",IF(J85&lt;&gt;"",J85,IF($A85&gt;'Work Calendar'!$B$17,"No data yet",IF(AND(F85&gt;='Work Calendar'!$B$14,D85+E85+G85&gt;0),"Day off - but worked",IF(F85&gt;='Work Calendar'!$B$14,"Day off",IF(D85+E85+G85&gt;0,IF($C85="Working","Charged","Worked weekend"),IF($C85="Working","Leave (not charged)",$C85)))))))</f>
        <v>Day off</v>
      </c>
      <c r="L85" s="341">
        <f>IF($A85="","",SUMIFS('Timesheet Raw'!$P$4:$P$8000,'Timesheet Raw'!$L$4:$L$8000,$A85,'Timesheet Raw'!$C$4:$C$8000,L$3,'Timesheet Raw'!$A$4:$A$8000,"1-Projects"))</f>
        <v>0</v>
      </c>
      <c r="M85" s="341">
        <f>IF($A85="","",SUMIFS('Timesheet Raw'!$P$4:$P$8000,'Timesheet Raw'!$L$4:$L$8000,$A85,'Timesheet Raw'!$C$4:$C$8000,L$3,'Timesheet Raw'!$A$4:$A$8000,"2-Proposals Chargeable")+SUMIFS('Timesheet Raw'!$P$4:$P$8000,'Timesheet Raw'!$L$4:$L$8000,$A85,'Timesheet Raw'!$C$4:$C$8000,L$3,'Timesheet Raw'!$A$4:$A$8000,"3-Proposals Regular"))</f>
        <v>0</v>
      </c>
      <c r="N85" s="341">
        <f>IF($A85="","",SUMIFS('Timesheet Raw'!$P$4:$P$8000,'Timesheet Raw'!$L$4:$L$8000,$A85,'Timesheet Raw'!$C$4:$C$8000,L$3,'Timesheet Raw'!$B$4:$B$8000,'Work Calendar'!$A$26)+SUMIFS('Timesheet Raw'!$P$4:$P$8000,'Timesheet Raw'!$L$4:$L$8000,$A85,'Timesheet Raw'!$C$4:$C$8000,L$3,'Timesheet Raw'!$B$4:$B$8000,'Work Calendar'!$A$27)+SUMIFS('Timesheet Raw'!$P$4:$P$8000,'Timesheet Raw'!$L$4:$L$8000,$A85,'Timesheet Raw'!$C$4:$C$8000,L$3,'Timesheet Raw'!$B$4:$B$8000,'Work Calendar'!$A$28)+SUMIFS('Timesheet Raw'!$P$4:$P$8000,'Timesheet Raw'!$L$4:$L$8000,$A85,'Timesheet Raw'!$C$4:$C$8000,L$3,'Timesheet Raw'!$B$4:$B$8000,'Work Calendar'!$A$29))</f>
        <v>8.5</v>
      </c>
      <c r="O85" s="341">
        <f t="shared" si="6"/>
        <v>0</v>
      </c>
      <c r="P85" s="395">
        <f>IF($A85="","",SUMIFS('Timesheet Raw'!$K$4:$K$8000,'Timesheet Raw'!$L$4:$L$8000,$A85,'Timesheet Raw'!$C$4:$C$8000,L$3))</f>
        <v>0</v>
      </c>
      <c r="Q85" s="345">
        <f>IF($A85="","",SUMIFS('Timesheet Raw'!$P$4:$P$8000,'Timesheet Raw'!$L$4:$L$8000,$A85,'Timesheet Raw'!$C$4:$C$8000,L$3))</f>
        <v>8.5</v>
      </c>
      <c r="R85" s="375"/>
      <c r="S85" t="str">
        <f>IF($A85="","",IF(R85&lt;&gt;"",R85,IF($A85&gt;'Work Calendar'!$B$17,"No data yet",IF(AND(N85&gt;='Work Calendar'!$B$14,L85+M85+O85&gt;0),"Day off - but worked",IF(N85&gt;='Work Calendar'!$B$14,"Day off",IF(L85+M85+O85&gt;0,IF($C85="Working","Charged","Worked weekend"),IF($C85="Working","Leave (not charged)",$C85)))))))</f>
        <v>Day off</v>
      </c>
      <c r="T85" s="341">
        <f>IF($A85="","",SUMIFS('Timesheet Raw'!$P$4:$P$8000,'Timesheet Raw'!$L$4:$L$8000,$A85,'Timesheet Raw'!$C$4:$C$8000,T$3,'Timesheet Raw'!$A$4:$A$8000,"1-Projects"))</f>
        <v>0</v>
      </c>
      <c r="U85" s="341">
        <f>IF($A85="","",SUMIFS('Timesheet Raw'!$P$4:$P$8000,'Timesheet Raw'!$L$4:$L$8000,$A85,'Timesheet Raw'!$C$4:$C$8000,T$3,'Timesheet Raw'!$A$4:$A$8000,"2-Proposals Chargeable")+SUMIFS('Timesheet Raw'!$P$4:$P$8000,'Timesheet Raw'!$L$4:$L$8000,$A85,'Timesheet Raw'!$C$4:$C$8000,T$3,'Timesheet Raw'!$A$4:$A$8000,"3-Proposals Regular"))</f>
        <v>0</v>
      </c>
      <c r="V85" s="341">
        <f>IF($A85="","",SUMIFS('Timesheet Raw'!$P$4:$P$8000,'Timesheet Raw'!$L$4:$L$8000,$A85,'Timesheet Raw'!$C$4:$C$8000,T$3,'Timesheet Raw'!$B$4:$B$8000,'Work Calendar'!$A$26)+SUMIFS('Timesheet Raw'!$P$4:$P$8000,'Timesheet Raw'!$L$4:$L$8000,$A85,'Timesheet Raw'!$C$4:$C$8000,T$3,'Timesheet Raw'!$B$4:$B$8000,'Work Calendar'!$A$27)+SUMIFS('Timesheet Raw'!$P$4:$P$8000,'Timesheet Raw'!$L$4:$L$8000,$A85,'Timesheet Raw'!$C$4:$C$8000,T$3,'Timesheet Raw'!$B$4:$B$8000,'Work Calendar'!$A$28)+SUMIFS('Timesheet Raw'!$P$4:$P$8000,'Timesheet Raw'!$L$4:$L$8000,$A85,'Timesheet Raw'!$C$4:$C$8000,T$3,'Timesheet Raw'!$B$4:$B$8000,'Work Calendar'!$A$29))</f>
        <v>8.5</v>
      </c>
      <c r="W85" s="341">
        <f t="shared" si="7"/>
        <v>0</v>
      </c>
      <c r="X85" s="395">
        <f>IF($A85="","",SUMIFS('Timesheet Raw'!$K$4:$K$8000,'Timesheet Raw'!$L$4:$L$8000,$A85,'Timesheet Raw'!$C$4:$C$8000,T$3))</f>
        <v>0</v>
      </c>
      <c r="Y85" s="345">
        <f>IF($A85="","",SUMIFS('Timesheet Raw'!$P$4:$P$8000,'Timesheet Raw'!$L$4:$L$8000,$A85,'Timesheet Raw'!$C$4:$C$8000,T$3))</f>
        <v>8.5</v>
      </c>
      <c r="Z85" s="375"/>
      <c r="AA85" t="str">
        <f>IF($A85="","",IF(Z85&lt;&gt;"",Z85,IF($A85&gt;'Work Calendar'!$B$17,"No data yet",IF(AND(V85&gt;='Work Calendar'!$B$14,T85+U85+W85&gt;0),"Day off - but worked",IF(V85&gt;='Work Calendar'!$B$14,"Day off",IF(T85+U85+W85&gt;0,IF($C85="Working","Charged","Worked weekend"),IF($C85="Working","Leave (not charged)",$C85)))))))</f>
        <v>Day off</v>
      </c>
    </row>
    <row r="86" spans="1:27" x14ac:dyDescent="0.3">
      <c r="A86" s="371">
        <f>IF($A85="","",IF($A85+1&gt;'Work Calendar'!$B$16,"",$A85+1))</f>
        <v>46104</v>
      </c>
      <c r="B86" t="str">
        <f t="shared" si="4"/>
        <v>Mon</v>
      </c>
      <c r="C86" t="str" cm="1">
        <f t="array" ref="C86">IF($A86="","",IF(COUNTIF('Work Calendar'!$E$6:$E$200,$A86)&gt;0,"Holiday",IF(INDEX('Work Calendar'!$C$6:$C$12,WEEKDAY($A86,1))=1,"Working","Weekend")))</f>
        <v>Working</v>
      </c>
      <c r="D86" s="341">
        <f>IF($A86="","",SUMIFS('Timesheet Raw'!$P$4:$P$8000,'Timesheet Raw'!$L$4:$L$8000,$A86,'Timesheet Raw'!$C$4:$C$8000,D$3,'Timesheet Raw'!$A$4:$A$8000,"1-Projects"))</f>
        <v>0</v>
      </c>
      <c r="E86" s="341">
        <f>IF($A86="","",SUMIFS('Timesheet Raw'!$P$4:$P$8000,'Timesheet Raw'!$L$4:$L$8000,$A86,'Timesheet Raw'!$C$4:$C$8000,D$3,'Timesheet Raw'!$A$4:$A$8000,"2-Proposals Chargeable")+SUMIFS('Timesheet Raw'!$P$4:$P$8000,'Timesheet Raw'!$L$4:$L$8000,$A86,'Timesheet Raw'!$C$4:$C$8000,D$3,'Timesheet Raw'!$A$4:$A$8000,"3-Proposals Regular"))</f>
        <v>0</v>
      </c>
      <c r="F86" s="341">
        <f>IF($A86="","",SUMIFS('Timesheet Raw'!$P$4:$P$8000,'Timesheet Raw'!$L$4:$L$8000,$A86,'Timesheet Raw'!$C$4:$C$8000,D$3,'Timesheet Raw'!$B$4:$B$8000,'Work Calendar'!$A$26)+SUMIFS('Timesheet Raw'!$P$4:$P$8000,'Timesheet Raw'!$L$4:$L$8000,$A86,'Timesheet Raw'!$C$4:$C$8000,D$3,'Timesheet Raw'!$B$4:$B$8000,'Work Calendar'!$A$27)+SUMIFS('Timesheet Raw'!$P$4:$P$8000,'Timesheet Raw'!$L$4:$L$8000,$A86,'Timesheet Raw'!$C$4:$C$8000,D$3,'Timesheet Raw'!$B$4:$B$8000,'Work Calendar'!$A$28)+SUMIFS('Timesheet Raw'!$P$4:$P$8000,'Timesheet Raw'!$L$4:$L$8000,$A86,'Timesheet Raw'!$C$4:$C$8000,D$3,'Timesheet Raw'!$B$4:$B$8000,'Work Calendar'!$A$29))</f>
        <v>8.5</v>
      </c>
      <c r="G86" s="341">
        <f t="shared" si="5"/>
        <v>0</v>
      </c>
      <c r="H86" s="395">
        <f>IF($A86="","",SUMIFS('Timesheet Raw'!$K$4:$K$8000,'Timesheet Raw'!$L$4:$L$8000,$A86,'Timesheet Raw'!$C$4:$C$8000,D$3))</f>
        <v>0</v>
      </c>
      <c r="I86" s="345">
        <f>IF($A86="","",SUMIFS('Timesheet Raw'!$P$4:$P$8000,'Timesheet Raw'!$L$4:$L$8000,$A86,'Timesheet Raw'!$C$4:$C$8000,D$3))</f>
        <v>8.5</v>
      </c>
      <c r="J86" s="375"/>
      <c r="K86" t="str">
        <f>IF($A86="","",IF(J86&lt;&gt;"",J86,IF($A86&gt;'Work Calendar'!$B$17,"No data yet",IF(AND(F86&gt;='Work Calendar'!$B$14,D86+E86+G86&gt;0),"Day off - but worked",IF(F86&gt;='Work Calendar'!$B$14,"Day off",IF(D86+E86+G86&gt;0,IF($C86="Working","Charged","Worked weekend"),IF($C86="Working","Leave (not charged)",$C86)))))))</f>
        <v>Day off</v>
      </c>
      <c r="L86" s="341">
        <f>IF($A86="","",SUMIFS('Timesheet Raw'!$P$4:$P$8000,'Timesheet Raw'!$L$4:$L$8000,$A86,'Timesheet Raw'!$C$4:$C$8000,L$3,'Timesheet Raw'!$A$4:$A$8000,"1-Projects"))</f>
        <v>0</v>
      </c>
      <c r="M86" s="341">
        <f>IF($A86="","",SUMIFS('Timesheet Raw'!$P$4:$P$8000,'Timesheet Raw'!$L$4:$L$8000,$A86,'Timesheet Raw'!$C$4:$C$8000,L$3,'Timesheet Raw'!$A$4:$A$8000,"2-Proposals Chargeable")+SUMIFS('Timesheet Raw'!$P$4:$P$8000,'Timesheet Raw'!$L$4:$L$8000,$A86,'Timesheet Raw'!$C$4:$C$8000,L$3,'Timesheet Raw'!$A$4:$A$8000,"3-Proposals Regular"))</f>
        <v>0</v>
      </c>
      <c r="N86" s="341">
        <f>IF($A86="","",SUMIFS('Timesheet Raw'!$P$4:$P$8000,'Timesheet Raw'!$L$4:$L$8000,$A86,'Timesheet Raw'!$C$4:$C$8000,L$3,'Timesheet Raw'!$B$4:$B$8000,'Work Calendar'!$A$26)+SUMIFS('Timesheet Raw'!$P$4:$P$8000,'Timesheet Raw'!$L$4:$L$8000,$A86,'Timesheet Raw'!$C$4:$C$8000,L$3,'Timesheet Raw'!$B$4:$B$8000,'Work Calendar'!$A$27)+SUMIFS('Timesheet Raw'!$P$4:$P$8000,'Timesheet Raw'!$L$4:$L$8000,$A86,'Timesheet Raw'!$C$4:$C$8000,L$3,'Timesheet Raw'!$B$4:$B$8000,'Work Calendar'!$A$28)+SUMIFS('Timesheet Raw'!$P$4:$P$8000,'Timesheet Raw'!$L$4:$L$8000,$A86,'Timesheet Raw'!$C$4:$C$8000,L$3,'Timesheet Raw'!$B$4:$B$8000,'Work Calendar'!$A$29))</f>
        <v>8.5</v>
      </c>
      <c r="O86" s="341">
        <f t="shared" si="6"/>
        <v>0</v>
      </c>
      <c r="P86" s="395">
        <f>IF($A86="","",SUMIFS('Timesheet Raw'!$K$4:$K$8000,'Timesheet Raw'!$L$4:$L$8000,$A86,'Timesheet Raw'!$C$4:$C$8000,L$3))</f>
        <v>0</v>
      </c>
      <c r="Q86" s="345">
        <f>IF($A86="","",SUMIFS('Timesheet Raw'!$P$4:$P$8000,'Timesheet Raw'!$L$4:$L$8000,$A86,'Timesheet Raw'!$C$4:$C$8000,L$3))</f>
        <v>8.5</v>
      </c>
      <c r="R86" s="375"/>
      <c r="S86" t="str">
        <f>IF($A86="","",IF(R86&lt;&gt;"",R86,IF($A86&gt;'Work Calendar'!$B$17,"No data yet",IF(AND(N86&gt;='Work Calendar'!$B$14,L86+M86+O86&gt;0),"Day off - but worked",IF(N86&gt;='Work Calendar'!$B$14,"Day off",IF(L86+M86+O86&gt;0,IF($C86="Working","Charged","Worked weekend"),IF($C86="Working","Leave (not charged)",$C86)))))))</f>
        <v>Day off</v>
      </c>
      <c r="T86" s="341">
        <f>IF($A86="","",SUMIFS('Timesheet Raw'!$P$4:$P$8000,'Timesheet Raw'!$L$4:$L$8000,$A86,'Timesheet Raw'!$C$4:$C$8000,T$3,'Timesheet Raw'!$A$4:$A$8000,"1-Projects"))</f>
        <v>0</v>
      </c>
      <c r="U86" s="341">
        <f>IF($A86="","",SUMIFS('Timesheet Raw'!$P$4:$P$8000,'Timesheet Raw'!$L$4:$L$8000,$A86,'Timesheet Raw'!$C$4:$C$8000,T$3,'Timesheet Raw'!$A$4:$A$8000,"2-Proposals Chargeable")+SUMIFS('Timesheet Raw'!$P$4:$P$8000,'Timesheet Raw'!$L$4:$L$8000,$A86,'Timesheet Raw'!$C$4:$C$8000,T$3,'Timesheet Raw'!$A$4:$A$8000,"3-Proposals Regular"))</f>
        <v>0</v>
      </c>
      <c r="V86" s="341">
        <f>IF($A86="","",SUMIFS('Timesheet Raw'!$P$4:$P$8000,'Timesheet Raw'!$L$4:$L$8000,$A86,'Timesheet Raw'!$C$4:$C$8000,T$3,'Timesheet Raw'!$B$4:$B$8000,'Work Calendar'!$A$26)+SUMIFS('Timesheet Raw'!$P$4:$P$8000,'Timesheet Raw'!$L$4:$L$8000,$A86,'Timesheet Raw'!$C$4:$C$8000,T$3,'Timesheet Raw'!$B$4:$B$8000,'Work Calendar'!$A$27)+SUMIFS('Timesheet Raw'!$P$4:$P$8000,'Timesheet Raw'!$L$4:$L$8000,$A86,'Timesheet Raw'!$C$4:$C$8000,T$3,'Timesheet Raw'!$B$4:$B$8000,'Work Calendar'!$A$28)+SUMIFS('Timesheet Raw'!$P$4:$P$8000,'Timesheet Raw'!$L$4:$L$8000,$A86,'Timesheet Raw'!$C$4:$C$8000,T$3,'Timesheet Raw'!$B$4:$B$8000,'Work Calendar'!$A$29))</f>
        <v>8.5</v>
      </c>
      <c r="W86" s="341">
        <f t="shared" si="7"/>
        <v>0</v>
      </c>
      <c r="X86" s="395">
        <f>IF($A86="","",SUMIFS('Timesheet Raw'!$K$4:$K$8000,'Timesheet Raw'!$L$4:$L$8000,$A86,'Timesheet Raw'!$C$4:$C$8000,T$3))</f>
        <v>0</v>
      </c>
      <c r="Y86" s="345">
        <f>IF($A86="","",SUMIFS('Timesheet Raw'!$P$4:$P$8000,'Timesheet Raw'!$L$4:$L$8000,$A86,'Timesheet Raw'!$C$4:$C$8000,T$3))</f>
        <v>8.5</v>
      </c>
      <c r="Z86" s="375"/>
      <c r="AA86" t="str">
        <f>IF($A86="","",IF(Z86&lt;&gt;"",Z86,IF($A86&gt;'Work Calendar'!$B$17,"No data yet",IF(AND(V86&gt;='Work Calendar'!$B$14,T86+U86+W86&gt;0),"Day off - but worked",IF(V86&gt;='Work Calendar'!$B$14,"Day off",IF(T86+U86+W86&gt;0,IF($C86="Working","Charged","Worked weekend"),IF($C86="Working","Leave (not charged)",$C86)))))))</f>
        <v>Day off</v>
      </c>
    </row>
    <row r="87" spans="1:27" x14ac:dyDescent="0.3">
      <c r="A87" s="371">
        <f>IF($A86="","",IF($A86+1&gt;'Work Calendar'!$B$16,"",$A86+1))</f>
        <v>46105</v>
      </c>
      <c r="B87" t="str">
        <f t="shared" si="4"/>
        <v>Tue</v>
      </c>
      <c r="C87" t="str" cm="1">
        <f t="array" ref="C87">IF($A87="","",IF(COUNTIF('Work Calendar'!$E$6:$E$200,$A87)&gt;0,"Holiday",IF(INDEX('Work Calendar'!$C$6:$C$12,WEEKDAY($A87,1))=1,"Working","Weekend")))</f>
        <v>Working</v>
      </c>
      <c r="D87" s="341">
        <f>IF($A87="","",SUMIFS('Timesheet Raw'!$P$4:$P$8000,'Timesheet Raw'!$L$4:$L$8000,$A87,'Timesheet Raw'!$C$4:$C$8000,D$3,'Timesheet Raw'!$A$4:$A$8000,"1-Projects"))</f>
        <v>2</v>
      </c>
      <c r="E87" s="341">
        <f>IF($A87="","",SUMIFS('Timesheet Raw'!$P$4:$P$8000,'Timesheet Raw'!$L$4:$L$8000,$A87,'Timesheet Raw'!$C$4:$C$8000,D$3,'Timesheet Raw'!$A$4:$A$8000,"2-Proposals Chargeable")+SUMIFS('Timesheet Raw'!$P$4:$P$8000,'Timesheet Raw'!$L$4:$L$8000,$A87,'Timesheet Raw'!$C$4:$C$8000,D$3,'Timesheet Raw'!$A$4:$A$8000,"3-Proposals Regular"))</f>
        <v>6</v>
      </c>
      <c r="F87" s="341">
        <f>IF($A87="","",SUMIFS('Timesheet Raw'!$P$4:$P$8000,'Timesheet Raw'!$L$4:$L$8000,$A87,'Timesheet Raw'!$C$4:$C$8000,D$3,'Timesheet Raw'!$B$4:$B$8000,'Work Calendar'!$A$26)+SUMIFS('Timesheet Raw'!$P$4:$P$8000,'Timesheet Raw'!$L$4:$L$8000,$A87,'Timesheet Raw'!$C$4:$C$8000,D$3,'Timesheet Raw'!$B$4:$B$8000,'Work Calendar'!$A$27)+SUMIFS('Timesheet Raw'!$P$4:$P$8000,'Timesheet Raw'!$L$4:$L$8000,$A87,'Timesheet Raw'!$C$4:$C$8000,D$3,'Timesheet Raw'!$B$4:$B$8000,'Work Calendar'!$A$28)+SUMIFS('Timesheet Raw'!$P$4:$P$8000,'Timesheet Raw'!$L$4:$L$8000,$A87,'Timesheet Raw'!$C$4:$C$8000,D$3,'Timesheet Raw'!$B$4:$B$8000,'Work Calendar'!$A$29))</f>
        <v>0.5</v>
      </c>
      <c r="G87" s="341">
        <f t="shared" si="5"/>
        <v>0</v>
      </c>
      <c r="H87" s="395">
        <f>IF($A87="","",SUMIFS('Timesheet Raw'!$K$4:$K$8000,'Timesheet Raw'!$L$4:$L$8000,$A87,'Timesheet Raw'!$C$4:$C$8000,D$3))</f>
        <v>0</v>
      </c>
      <c r="I87" s="345">
        <f>IF($A87="","",SUMIFS('Timesheet Raw'!$P$4:$P$8000,'Timesheet Raw'!$L$4:$L$8000,$A87,'Timesheet Raw'!$C$4:$C$8000,D$3))</f>
        <v>8.5</v>
      </c>
      <c r="J87" s="375"/>
      <c r="K87" t="str">
        <f>IF($A87="","",IF(J87&lt;&gt;"",J87,IF($A87&gt;'Work Calendar'!$B$17,"No data yet",IF(AND(F87&gt;='Work Calendar'!$B$14,D87+E87+G87&gt;0),"Day off - but worked",IF(F87&gt;='Work Calendar'!$B$14,"Day off",IF(D87+E87+G87&gt;0,IF($C87="Working","Charged","Worked weekend"),IF($C87="Working","Leave (not charged)",$C87)))))))</f>
        <v>Charged</v>
      </c>
      <c r="L87" s="341">
        <f>IF($A87="","",SUMIFS('Timesheet Raw'!$P$4:$P$8000,'Timesheet Raw'!$L$4:$L$8000,$A87,'Timesheet Raw'!$C$4:$C$8000,L$3,'Timesheet Raw'!$A$4:$A$8000,"1-Projects"))</f>
        <v>0</v>
      </c>
      <c r="M87" s="341">
        <f>IF($A87="","",SUMIFS('Timesheet Raw'!$P$4:$P$8000,'Timesheet Raw'!$L$4:$L$8000,$A87,'Timesheet Raw'!$C$4:$C$8000,L$3,'Timesheet Raw'!$A$4:$A$8000,"2-Proposals Chargeable")+SUMIFS('Timesheet Raw'!$P$4:$P$8000,'Timesheet Raw'!$L$4:$L$8000,$A87,'Timesheet Raw'!$C$4:$C$8000,L$3,'Timesheet Raw'!$A$4:$A$8000,"3-Proposals Regular"))</f>
        <v>0</v>
      </c>
      <c r="N87" s="341">
        <f>IF($A87="","",SUMIFS('Timesheet Raw'!$P$4:$P$8000,'Timesheet Raw'!$L$4:$L$8000,$A87,'Timesheet Raw'!$C$4:$C$8000,L$3,'Timesheet Raw'!$B$4:$B$8000,'Work Calendar'!$A$26)+SUMIFS('Timesheet Raw'!$P$4:$P$8000,'Timesheet Raw'!$L$4:$L$8000,$A87,'Timesheet Raw'!$C$4:$C$8000,L$3,'Timesheet Raw'!$B$4:$B$8000,'Work Calendar'!$A$27)+SUMIFS('Timesheet Raw'!$P$4:$P$8000,'Timesheet Raw'!$L$4:$L$8000,$A87,'Timesheet Raw'!$C$4:$C$8000,L$3,'Timesheet Raw'!$B$4:$B$8000,'Work Calendar'!$A$28)+SUMIFS('Timesheet Raw'!$P$4:$P$8000,'Timesheet Raw'!$L$4:$L$8000,$A87,'Timesheet Raw'!$C$4:$C$8000,L$3,'Timesheet Raw'!$B$4:$B$8000,'Work Calendar'!$A$29))</f>
        <v>8.5</v>
      </c>
      <c r="O87" s="341">
        <f t="shared" si="6"/>
        <v>0</v>
      </c>
      <c r="P87" s="395">
        <f>IF($A87="","",SUMIFS('Timesheet Raw'!$K$4:$K$8000,'Timesheet Raw'!$L$4:$L$8000,$A87,'Timesheet Raw'!$C$4:$C$8000,L$3))</f>
        <v>0</v>
      </c>
      <c r="Q87" s="345">
        <f>IF($A87="","",SUMIFS('Timesheet Raw'!$P$4:$P$8000,'Timesheet Raw'!$L$4:$L$8000,$A87,'Timesheet Raw'!$C$4:$C$8000,L$3))</f>
        <v>8.5</v>
      </c>
      <c r="R87" s="375"/>
      <c r="S87" t="str">
        <f>IF($A87="","",IF(R87&lt;&gt;"",R87,IF($A87&gt;'Work Calendar'!$B$17,"No data yet",IF(AND(N87&gt;='Work Calendar'!$B$14,L87+M87+O87&gt;0),"Day off - but worked",IF(N87&gt;='Work Calendar'!$B$14,"Day off",IF(L87+M87+O87&gt;0,IF($C87="Working","Charged","Worked weekend"),IF($C87="Working","Leave (not charged)",$C87)))))))</f>
        <v>Day off</v>
      </c>
      <c r="T87" s="341">
        <f>IF($A87="","",SUMIFS('Timesheet Raw'!$P$4:$P$8000,'Timesheet Raw'!$L$4:$L$8000,$A87,'Timesheet Raw'!$C$4:$C$8000,T$3,'Timesheet Raw'!$A$4:$A$8000,"1-Projects"))</f>
        <v>8.5</v>
      </c>
      <c r="U87" s="341">
        <f>IF($A87="","",SUMIFS('Timesheet Raw'!$P$4:$P$8000,'Timesheet Raw'!$L$4:$L$8000,$A87,'Timesheet Raw'!$C$4:$C$8000,T$3,'Timesheet Raw'!$A$4:$A$8000,"2-Proposals Chargeable")+SUMIFS('Timesheet Raw'!$P$4:$P$8000,'Timesheet Raw'!$L$4:$L$8000,$A87,'Timesheet Raw'!$C$4:$C$8000,T$3,'Timesheet Raw'!$A$4:$A$8000,"3-Proposals Regular"))</f>
        <v>0</v>
      </c>
      <c r="V87" s="341">
        <f>IF($A87="","",SUMIFS('Timesheet Raw'!$P$4:$P$8000,'Timesheet Raw'!$L$4:$L$8000,$A87,'Timesheet Raw'!$C$4:$C$8000,T$3,'Timesheet Raw'!$B$4:$B$8000,'Work Calendar'!$A$26)+SUMIFS('Timesheet Raw'!$P$4:$P$8000,'Timesheet Raw'!$L$4:$L$8000,$A87,'Timesheet Raw'!$C$4:$C$8000,T$3,'Timesheet Raw'!$B$4:$B$8000,'Work Calendar'!$A$27)+SUMIFS('Timesheet Raw'!$P$4:$P$8000,'Timesheet Raw'!$L$4:$L$8000,$A87,'Timesheet Raw'!$C$4:$C$8000,T$3,'Timesheet Raw'!$B$4:$B$8000,'Work Calendar'!$A$28)+SUMIFS('Timesheet Raw'!$P$4:$P$8000,'Timesheet Raw'!$L$4:$L$8000,$A87,'Timesheet Raw'!$C$4:$C$8000,T$3,'Timesheet Raw'!$B$4:$B$8000,'Work Calendar'!$A$29))</f>
        <v>0.25</v>
      </c>
      <c r="W87" s="341">
        <f t="shared" si="7"/>
        <v>0</v>
      </c>
      <c r="X87" s="395">
        <f>IF($A87="","",SUMIFS('Timesheet Raw'!$K$4:$K$8000,'Timesheet Raw'!$L$4:$L$8000,$A87,'Timesheet Raw'!$C$4:$C$8000,T$3))</f>
        <v>0.25</v>
      </c>
      <c r="Y87" s="345">
        <f>IF($A87="","",SUMIFS('Timesheet Raw'!$P$4:$P$8000,'Timesheet Raw'!$L$4:$L$8000,$A87,'Timesheet Raw'!$C$4:$C$8000,T$3))</f>
        <v>8.75</v>
      </c>
      <c r="Z87" s="375"/>
      <c r="AA87" t="str">
        <f>IF($A87="","",IF(Z87&lt;&gt;"",Z87,IF($A87&gt;'Work Calendar'!$B$17,"No data yet",IF(AND(V87&gt;='Work Calendar'!$B$14,T87+U87+W87&gt;0),"Day off - but worked",IF(V87&gt;='Work Calendar'!$B$14,"Day off",IF(T87+U87+W87&gt;0,IF($C87="Working","Charged","Worked weekend"),IF($C87="Working","Leave (not charged)",$C87)))))))</f>
        <v>Charged</v>
      </c>
    </row>
    <row r="88" spans="1:27" x14ac:dyDescent="0.3">
      <c r="A88" s="371">
        <f>IF($A87="","",IF($A87+1&gt;'Work Calendar'!$B$16,"",$A87+1))</f>
        <v>46106</v>
      </c>
      <c r="B88" t="str">
        <f t="shared" si="4"/>
        <v>Wed</v>
      </c>
      <c r="C88" t="str" cm="1">
        <f t="array" ref="C88">IF($A88="","",IF(COUNTIF('Work Calendar'!$E$6:$E$200,$A88)&gt;0,"Holiday",IF(INDEX('Work Calendar'!$C$6:$C$12,WEEKDAY($A88,1))=1,"Working","Weekend")))</f>
        <v>Working</v>
      </c>
      <c r="D88" s="341">
        <f>IF($A88="","",SUMIFS('Timesheet Raw'!$P$4:$P$8000,'Timesheet Raw'!$L$4:$L$8000,$A88,'Timesheet Raw'!$C$4:$C$8000,D$3,'Timesheet Raw'!$A$4:$A$8000,"1-Projects"))</f>
        <v>6</v>
      </c>
      <c r="E88" s="341">
        <f>IF($A88="","",SUMIFS('Timesheet Raw'!$P$4:$P$8000,'Timesheet Raw'!$L$4:$L$8000,$A88,'Timesheet Raw'!$C$4:$C$8000,D$3,'Timesheet Raw'!$A$4:$A$8000,"2-Proposals Chargeable")+SUMIFS('Timesheet Raw'!$P$4:$P$8000,'Timesheet Raw'!$L$4:$L$8000,$A88,'Timesheet Raw'!$C$4:$C$8000,D$3,'Timesheet Raw'!$A$4:$A$8000,"3-Proposals Regular"))</f>
        <v>1</v>
      </c>
      <c r="F88" s="341">
        <f>IF($A88="","",SUMIFS('Timesheet Raw'!$P$4:$P$8000,'Timesheet Raw'!$L$4:$L$8000,$A88,'Timesheet Raw'!$C$4:$C$8000,D$3,'Timesheet Raw'!$B$4:$B$8000,'Work Calendar'!$A$26)+SUMIFS('Timesheet Raw'!$P$4:$P$8000,'Timesheet Raw'!$L$4:$L$8000,$A88,'Timesheet Raw'!$C$4:$C$8000,D$3,'Timesheet Raw'!$B$4:$B$8000,'Work Calendar'!$A$27)+SUMIFS('Timesheet Raw'!$P$4:$P$8000,'Timesheet Raw'!$L$4:$L$8000,$A88,'Timesheet Raw'!$C$4:$C$8000,D$3,'Timesheet Raw'!$B$4:$B$8000,'Work Calendar'!$A$28)+SUMIFS('Timesheet Raw'!$P$4:$P$8000,'Timesheet Raw'!$L$4:$L$8000,$A88,'Timesheet Raw'!$C$4:$C$8000,D$3,'Timesheet Raw'!$B$4:$B$8000,'Work Calendar'!$A$29))</f>
        <v>1.75</v>
      </c>
      <c r="G88" s="341">
        <f t="shared" si="5"/>
        <v>0</v>
      </c>
      <c r="H88" s="395">
        <f>IF($A88="","",SUMIFS('Timesheet Raw'!$K$4:$K$8000,'Timesheet Raw'!$L$4:$L$8000,$A88,'Timesheet Raw'!$C$4:$C$8000,D$3))</f>
        <v>0.25</v>
      </c>
      <c r="I88" s="345">
        <f>IF($A88="","",SUMIFS('Timesheet Raw'!$P$4:$P$8000,'Timesheet Raw'!$L$4:$L$8000,$A88,'Timesheet Raw'!$C$4:$C$8000,D$3))</f>
        <v>8.75</v>
      </c>
      <c r="J88" s="375"/>
      <c r="K88" t="str">
        <f>IF($A88="","",IF(J88&lt;&gt;"",J88,IF($A88&gt;'Work Calendar'!$B$17,"No data yet",IF(AND(F88&gt;='Work Calendar'!$B$14,D88+E88+G88&gt;0),"Day off - but worked",IF(F88&gt;='Work Calendar'!$B$14,"Day off",IF(D88+E88+G88&gt;0,IF($C88="Working","Charged","Worked weekend"),IF($C88="Working","Leave (not charged)",$C88)))))))</f>
        <v>Charged</v>
      </c>
      <c r="L88" s="341">
        <f>IF($A88="","",SUMIFS('Timesheet Raw'!$P$4:$P$8000,'Timesheet Raw'!$L$4:$L$8000,$A88,'Timesheet Raw'!$C$4:$C$8000,L$3,'Timesheet Raw'!$A$4:$A$8000,"1-Projects"))</f>
        <v>0</v>
      </c>
      <c r="M88" s="341">
        <f>IF($A88="","",SUMIFS('Timesheet Raw'!$P$4:$P$8000,'Timesheet Raw'!$L$4:$L$8000,$A88,'Timesheet Raw'!$C$4:$C$8000,L$3,'Timesheet Raw'!$A$4:$A$8000,"2-Proposals Chargeable")+SUMIFS('Timesheet Raw'!$P$4:$P$8000,'Timesheet Raw'!$L$4:$L$8000,$A88,'Timesheet Raw'!$C$4:$C$8000,L$3,'Timesheet Raw'!$A$4:$A$8000,"3-Proposals Regular"))</f>
        <v>0</v>
      </c>
      <c r="N88" s="341">
        <f>IF($A88="","",SUMIFS('Timesheet Raw'!$P$4:$P$8000,'Timesheet Raw'!$L$4:$L$8000,$A88,'Timesheet Raw'!$C$4:$C$8000,L$3,'Timesheet Raw'!$B$4:$B$8000,'Work Calendar'!$A$26)+SUMIFS('Timesheet Raw'!$P$4:$P$8000,'Timesheet Raw'!$L$4:$L$8000,$A88,'Timesheet Raw'!$C$4:$C$8000,L$3,'Timesheet Raw'!$B$4:$B$8000,'Work Calendar'!$A$27)+SUMIFS('Timesheet Raw'!$P$4:$P$8000,'Timesheet Raw'!$L$4:$L$8000,$A88,'Timesheet Raw'!$C$4:$C$8000,L$3,'Timesheet Raw'!$B$4:$B$8000,'Work Calendar'!$A$28)+SUMIFS('Timesheet Raw'!$P$4:$P$8000,'Timesheet Raw'!$L$4:$L$8000,$A88,'Timesheet Raw'!$C$4:$C$8000,L$3,'Timesheet Raw'!$B$4:$B$8000,'Work Calendar'!$A$29))</f>
        <v>8.5</v>
      </c>
      <c r="O88" s="341">
        <f t="shared" si="6"/>
        <v>0</v>
      </c>
      <c r="P88" s="395">
        <f>IF($A88="","",SUMIFS('Timesheet Raw'!$K$4:$K$8000,'Timesheet Raw'!$L$4:$L$8000,$A88,'Timesheet Raw'!$C$4:$C$8000,L$3))</f>
        <v>0</v>
      </c>
      <c r="Q88" s="345">
        <f>IF($A88="","",SUMIFS('Timesheet Raw'!$P$4:$P$8000,'Timesheet Raw'!$L$4:$L$8000,$A88,'Timesheet Raw'!$C$4:$C$8000,L$3))</f>
        <v>8.5</v>
      </c>
      <c r="R88" s="375"/>
      <c r="S88" t="str">
        <f>IF($A88="","",IF(R88&lt;&gt;"",R88,IF($A88&gt;'Work Calendar'!$B$17,"No data yet",IF(AND(N88&gt;='Work Calendar'!$B$14,L88+M88+O88&gt;0),"Day off - but worked",IF(N88&gt;='Work Calendar'!$B$14,"Day off",IF(L88+M88+O88&gt;0,IF($C88="Working","Charged","Worked weekend"),IF($C88="Working","Leave (not charged)",$C88)))))))</f>
        <v>Day off</v>
      </c>
      <c r="T88" s="341">
        <f>IF($A88="","",SUMIFS('Timesheet Raw'!$P$4:$P$8000,'Timesheet Raw'!$L$4:$L$8000,$A88,'Timesheet Raw'!$C$4:$C$8000,T$3,'Timesheet Raw'!$A$4:$A$8000,"1-Projects"))</f>
        <v>8.25</v>
      </c>
      <c r="U88" s="341">
        <f>IF($A88="","",SUMIFS('Timesheet Raw'!$P$4:$P$8000,'Timesheet Raw'!$L$4:$L$8000,$A88,'Timesheet Raw'!$C$4:$C$8000,T$3,'Timesheet Raw'!$A$4:$A$8000,"2-Proposals Chargeable")+SUMIFS('Timesheet Raw'!$P$4:$P$8000,'Timesheet Raw'!$L$4:$L$8000,$A88,'Timesheet Raw'!$C$4:$C$8000,T$3,'Timesheet Raw'!$A$4:$A$8000,"3-Proposals Regular"))</f>
        <v>0</v>
      </c>
      <c r="V88" s="341">
        <f>IF($A88="","",SUMIFS('Timesheet Raw'!$P$4:$P$8000,'Timesheet Raw'!$L$4:$L$8000,$A88,'Timesheet Raw'!$C$4:$C$8000,T$3,'Timesheet Raw'!$B$4:$B$8000,'Work Calendar'!$A$26)+SUMIFS('Timesheet Raw'!$P$4:$P$8000,'Timesheet Raw'!$L$4:$L$8000,$A88,'Timesheet Raw'!$C$4:$C$8000,T$3,'Timesheet Raw'!$B$4:$B$8000,'Work Calendar'!$A$27)+SUMIFS('Timesheet Raw'!$P$4:$P$8000,'Timesheet Raw'!$L$4:$L$8000,$A88,'Timesheet Raw'!$C$4:$C$8000,T$3,'Timesheet Raw'!$B$4:$B$8000,'Work Calendar'!$A$28)+SUMIFS('Timesheet Raw'!$P$4:$P$8000,'Timesheet Raw'!$L$4:$L$8000,$A88,'Timesheet Raw'!$C$4:$C$8000,T$3,'Timesheet Raw'!$B$4:$B$8000,'Work Calendar'!$A$29))</f>
        <v>0.5</v>
      </c>
      <c r="W88" s="341">
        <f t="shared" si="7"/>
        <v>0</v>
      </c>
      <c r="X88" s="395">
        <f>IF($A88="","",SUMIFS('Timesheet Raw'!$K$4:$K$8000,'Timesheet Raw'!$L$4:$L$8000,$A88,'Timesheet Raw'!$C$4:$C$8000,T$3))</f>
        <v>0.25</v>
      </c>
      <c r="Y88" s="345">
        <f>IF($A88="","",SUMIFS('Timesheet Raw'!$P$4:$P$8000,'Timesheet Raw'!$L$4:$L$8000,$A88,'Timesheet Raw'!$C$4:$C$8000,T$3))</f>
        <v>8.75</v>
      </c>
      <c r="Z88" s="375"/>
      <c r="AA88" t="str">
        <f>IF($A88="","",IF(Z88&lt;&gt;"",Z88,IF($A88&gt;'Work Calendar'!$B$17,"No data yet",IF(AND(V88&gt;='Work Calendar'!$B$14,T88+U88+W88&gt;0),"Day off - but worked",IF(V88&gt;='Work Calendar'!$B$14,"Day off",IF(T88+U88+W88&gt;0,IF($C88="Working","Charged","Worked weekend"),IF($C88="Working","Leave (not charged)",$C88)))))))</f>
        <v>Charged</v>
      </c>
    </row>
    <row r="89" spans="1:27" x14ac:dyDescent="0.3">
      <c r="A89" s="371">
        <f>IF($A88="","",IF($A88+1&gt;'Work Calendar'!$B$16,"",$A88+1))</f>
        <v>46107</v>
      </c>
      <c r="B89" t="str">
        <f t="shared" si="4"/>
        <v>Thu</v>
      </c>
      <c r="C89" t="str" cm="1">
        <f t="array" ref="C89">IF($A89="","",IF(COUNTIF('Work Calendar'!$E$6:$E$200,$A89)&gt;0,"Holiday",IF(INDEX('Work Calendar'!$C$6:$C$12,WEEKDAY($A89,1))=1,"Working","Weekend")))</f>
        <v>Working</v>
      </c>
      <c r="D89" s="341">
        <f>IF($A89="","",SUMIFS('Timesheet Raw'!$P$4:$P$8000,'Timesheet Raw'!$L$4:$L$8000,$A89,'Timesheet Raw'!$C$4:$C$8000,D$3,'Timesheet Raw'!$A$4:$A$8000,"1-Projects"))</f>
        <v>7.75</v>
      </c>
      <c r="E89" s="341">
        <f>IF($A89="","",SUMIFS('Timesheet Raw'!$P$4:$P$8000,'Timesheet Raw'!$L$4:$L$8000,$A89,'Timesheet Raw'!$C$4:$C$8000,D$3,'Timesheet Raw'!$A$4:$A$8000,"2-Proposals Chargeable")+SUMIFS('Timesheet Raw'!$P$4:$P$8000,'Timesheet Raw'!$L$4:$L$8000,$A89,'Timesheet Raw'!$C$4:$C$8000,D$3,'Timesheet Raw'!$A$4:$A$8000,"3-Proposals Regular"))</f>
        <v>0</v>
      </c>
      <c r="F89" s="341">
        <f>IF($A89="","",SUMIFS('Timesheet Raw'!$P$4:$P$8000,'Timesheet Raw'!$L$4:$L$8000,$A89,'Timesheet Raw'!$C$4:$C$8000,D$3,'Timesheet Raw'!$B$4:$B$8000,'Work Calendar'!$A$26)+SUMIFS('Timesheet Raw'!$P$4:$P$8000,'Timesheet Raw'!$L$4:$L$8000,$A89,'Timesheet Raw'!$C$4:$C$8000,D$3,'Timesheet Raw'!$B$4:$B$8000,'Work Calendar'!$A$27)+SUMIFS('Timesheet Raw'!$P$4:$P$8000,'Timesheet Raw'!$L$4:$L$8000,$A89,'Timesheet Raw'!$C$4:$C$8000,D$3,'Timesheet Raw'!$B$4:$B$8000,'Work Calendar'!$A$28)+SUMIFS('Timesheet Raw'!$P$4:$P$8000,'Timesheet Raw'!$L$4:$L$8000,$A89,'Timesheet Raw'!$C$4:$C$8000,D$3,'Timesheet Raw'!$B$4:$B$8000,'Work Calendar'!$A$29))</f>
        <v>1.75</v>
      </c>
      <c r="G89" s="341">
        <f t="shared" si="5"/>
        <v>0</v>
      </c>
      <c r="H89" s="395">
        <f>IF($A89="","",SUMIFS('Timesheet Raw'!$K$4:$K$8000,'Timesheet Raw'!$L$4:$L$8000,$A89,'Timesheet Raw'!$C$4:$C$8000,D$3))</f>
        <v>1</v>
      </c>
      <c r="I89" s="345">
        <f>IF($A89="","",SUMIFS('Timesheet Raw'!$P$4:$P$8000,'Timesheet Raw'!$L$4:$L$8000,$A89,'Timesheet Raw'!$C$4:$C$8000,D$3))</f>
        <v>9.5</v>
      </c>
      <c r="J89" s="375"/>
      <c r="K89" t="str">
        <f>IF($A89="","",IF(J89&lt;&gt;"",J89,IF($A89&gt;'Work Calendar'!$B$17,"No data yet",IF(AND(F89&gt;='Work Calendar'!$B$14,D89+E89+G89&gt;0),"Day off - but worked",IF(F89&gt;='Work Calendar'!$B$14,"Day off",IF(D89+E89+G89&gt;0,IF($C89="Working","Charged","Worked weekend"),IF($C89="Working","Leave (not charged)",$C89)))))))</f>
        <v>Charged</v>
      </c>
      <c r="L89" s="341">
        <f>IF($A89="","",SUMIFS('Timesheet Raw'!$P$4:$P$8000,'Timesheet Raw'!$L$4:$L$8000,$A89,'Timesheet Raw'!$C$4:$C$8000,L$3,'Timesheet Raw'!$A$4:$A$8000,"1-Projects"))</f>
        <v>0</v>
      </c>
      <c r="M89" s="341">
        <f>IF($A89="","",SUMIFS('Timesheet Raw'!$P$4:$P$8000,'Timesheet Raw'!$L$4:$L$8000,$A89,'Timesheet Raw'!$C$4:$C$8000,L$3,'Timesheet Raw'!$A$4:$A$8000,"2-Proposals Chargeable")+SUMIFS('Timesheet Raw'!$P$4:$P$8000,'Timesheet Raw'!$L$4:$L$8000,$A89,'Timesheet Raw'!$C$4:$C$8000,L$3,'Timesheet Raw'!$A$4:$A$8000,"3-Proposals Regular"))</f>
        <v>0</v>
      </c>
      <c r="N89" s="341">
        <f>IF($A89="","",SUMIFS('Timesheet Raw'!$P$4:$P$8000,'Timesheet Raw'!$L$4:$L$8000,$A89,'Timesheet Raw'!$C$4:$C$8000,L$3,'Timesheet Raw'!$B$4:$B$8000,'Work Calendar'!$A$26)+SUMIFS('Timesheet Raw'!$P$4:$P$8000,'Timesheet Raw'!$L$4:$L$8000,$A89,'Timesheet Raw'!$C$4:$C$8000,L$3,'Timesheet Raw'!$B$4:$B$8000,'Work Calendar'!$A$27)+SUMIFS('Timesheet Raw'!$P$4:$P$8000,'Timesheet Raw'!$L$4:$L$8000,$A89,'Timesheet Raw'!$C$4:$C$8000,L$3,'Timesheet Raw'!$B$4:$B$8000,'Work Calendar'!$A$28)+SUMIFS('Timesheet Raw'!$P$4:$P$8000,'Timesheet Raw'!$L$4:$L$8000,$A89,'Timesheet Raw'!$C$4:$C$8000,L$3,'Timesheet Raw'!$B$4:$B$8000,'Work Calendar'!$A$29))</f>
        <v>8.5</v>
      </c>
      <c r="O89" s="341">
        <f t="shared" si="6"/>
        <v>0</v>
      </c>
      <c r="P89" s="395">
        <f>IF($A89="","",SUMIFS('Timesheet Raw'!$K$4:$K$8000,'Timesheet Raw'!$L$4:$L$8000,$A89,'Timesheet Raw'!$C$4:$C$8000,L$3))</f>
        <v>0</v>
      </c>
      <c r="Q89" s="345">
        <f>IF($A89="","",SUMIFS('Timesheet Raw'!$P$4:$P$8000,'Timesheet Raw'!$L$4:$L$8000,$A89,'Timesheet Raw'!$C$4:$C$8000,L$3))</f>
        <v>8.5</v>
      </c>
      <c r="R89" s="375"/>
      <c r="S89" t="str">
        <f>IF($A89="","",IF(R89&lt;&gt;"",R89,IF($A89&gt;'Work Calendar'!$B$17,"No data yet",IF(AND(N89&gt;='Work Calendar'!$B$14,L89+M89+O89&gt;0),"Day off - but worked",IF(N89&gt;='Work Calendar'!$B$14,"Day off",IF(L89+M89+O89&gt;0,IF($C89="Working","Charged","Worked weekend"),IF($C89="Working","Leave (not charged)",$C89)))))))</f>
        <v>Day off</v>
      </c>
      <c r="T89" s="341">
        <f>IF($A89="","",SUMIFS('Timesheet Raw'!$P$4:$P$8000,'Timesheet Raw'!$L$4:$L$8000,$A89,'Timesheet Raw'!$C$4:$C$8000,T$3,'Timesheet Raw'!$A$4:$A$8000,"1-Projects"))</f>
        <v>8.25</v>
      </c>
      <c r="U89" s="341">
        <f>IF($A89="","",SUMIFS('Timesheet Raw'!$P$4:$P$8000,'Timesheet Raw'!$L$4:$L$8000,$A89,'Timesheet Raw'!$C$4:$C$8000,T$3,'Timesheet Raw'!$A$4:$A$8000,"2-Proposals Chargeable")+SUMIFS('Timesheet Raw'!$P$4:$P$8000,'Timesheet Raw'!$L$4:$L$8000,$A89,'Timesheet Raw'!$C$4:$C$8000,T$3,'Timesheet Raw'!$A$4:$A$8000,"3-Proposals Regular"))</f>
        <v>0</v>
      </c>
      <c r="V89" s="341">
        <f>IF($A89="","",SUMIFS('Timesheet Raw'!$P$4:$P$8000,'Timesheet Raw'!$L$4:$L$8000,$A89,'Timesheet Raw'!$C$4:$C$8000,T$3,'Timesheet Raw'!$B$4:$B$8000,'Work Calendar'!$A$26)+SUMIFS('Timesheet Raw'!$P$4:$P$8000,'Timesheet Raw'!$L$4:$L$8000,$A89,'Timesheet Raw'!$C$4:$C$8000,T$3,'Timesheet Raw'!$B$4:$B$8000,'Work Calendar'!$A$27)+SUMIFS('Timesheet Raw'!$P$4:$P$8000,'Timesheet Raw'!$L$4:$L$8000,$A89,'Timesheet Raw'!$C$4:$C$8000,T$3,'Timesheet Raw'!$B$4:$B$8000,'Work Calendar'!$A$28)+SUMIFS('Timesheet Raw'!$P$4:$P$8000,'Timesheet Raw'!$L$4:$L$8000,$A89,'Timesheet Raw'!$C$4:$C$8000,T$3,'Timesheet Raw'!$B$4:$B$8000,'Work Calendar'!$A$29))</f>
        <v>0.25</v>
      </c>
      <c r="W89" s="341">
        <f t="shared" si="7"/>
        <v>0</v>
      </c>
      <c r="X89" s="395">
        <f>IF($A89="","",SUMIFS('Timesheet Raw'!$K$4:$K$8000,'Timesheet Raw'!$L$4:$L$8000,$A89,'Timesheet Raw'!$C$4:$C$8000,T$3))</f>
        <v>0</v>
      </c>
      <c r="Y89" s="345">
        <f>IF($A89="","",SUMIFS('Timesheet Raw'!$P$4:$P$8000,'Timesheet Raw'!$L$4:$L$8000,$A89,'Timesheet Raw'!$C$4:$C$8000,T$3))</f>
        <v>8.5</v>
      </c>
      <c r="Z89" s="375"/>
      <c r="AA89" t="str">
        <f>IF($A89="","",IF(Z89&lt;&gt;"",Z89,IF($A89&gt;'Work Calendar'!$B$17,"No data yet",IF(AND(V89&gt;='Work Calendar'!$B$14,T89+U89+W89&gt;0),"Day off - but worked",IF(V89&gt;='Work Calendar'!$B$14,"Day off",IF(T89+U89+W89&gt;0,IF($C89="Working","Charged","Worked weekend"),IF($C89="Working","Leave (not charged)",$C89)))))))</f>
        <v>Charged</v>
      </c>
    </row>
    <row r="90" spans="1:27" x14ac:dyDescent="0.3">
      <c r="A90" s="371">
        <f>IF($A89="","",IF($A89+1&gt;'Work Calendar'!$B$16,"",$A89+1))</f>
        <v>46108</v>
      </c>
      <c r="B90" t="str">
        <f t="shared" si="4"/>
        <v>Fri</v>
      </c>
      <c r="C90" t="str" cm="1">
        <f t="array" ref="C90">IF($A90="","",IF(COUNTIF('Work Calendar'!$E$6:$E$200,$A90)&gt;0,"Holiday",IF(INDEX('Work Calendar'!$C$6:$C$12,WEEKDAY($A90,1))=1,"Working","Weekend")))</f>
        <v>Weekend</v>
      </c>
      <c r="D90" s="341">
        <f>IF($A90="","",SUMIFS('Timesheet Raw'!$P$4:$P$8000,'Timesheet Raw'!$L$4:$L$8000,$A90,'Timesheet Raw'!$C$4:$C$8000,D$3,'Timesheet Raw'!$A$4:$A$8000,"1-Projects"))</f>
        <v>0</v>
      </c>
      <c r="E90" s="341">
        <f>IF($A90="","",SUMIFS('Timesheet Raw'!$P$4:$P$8000,'Timesheet Raw'!$L$4:$L$8000,$A90,'Timesheet Raw'!$C$4:$C$8000,D$3,'Timesheet Raw'!$A$4:$A$8000,"2-Proposals Chargeable")+SUMIFS('Timesheet Raw'!$P$4:$P$8000,'Timesheet Raw'!$L$4:$L$8000,$A90,'Timesheet Raw'!$C$4:$C$8000,D$3,'Timesheet Raw'!$A$4:$A$8000,"3-Proposals Regular"))</f>
        <v>0</v>
      </c>
      <c r="F90" s="341">
        <f>IF($A90="","",SUMIFS('Timesheet Raw'!$P$4:$P$8000,'Timesheet Raw'!$L$4:$L$8000,$A90,'Timesheet Raw'!$C$4:$C$8000,D$3,'Timesheet Raw'!$B$4:$B$8000,'Work Calendar'!$A$26)+SUMIFS('Timesheet Raw'!$P$4:$P$8000,'Timesheet Raw'!$L$4:$L$8000,$A90,'Timesheet Raw'!$C$4:$C$8000,D$3,'Timesheet Raw'!$B$4:$B$8000,'Work Calendar'!$A$27)+SUMIFS('Timesheet Raw'!$P$4:$P$8000,'Timesheet Raw'!$L$4:$L$8000,$A90,'Timesheet Raw'!$C$4:$C$8000,D$3,'Timesheet Raw'!$B$4:$B$8000,'Work Calendar'!$A$28)+SUMIFS('Timesheet Raw'!$P$4:$P$8000,'Timesheet Raw'!$L$4:$L$8000,$A90,'Timesheet Raw'!$C$4:$C$8000,D$3,'Timesheet Raw'!$B$4:$B$8000,'Work Calendar'!$A$29))</f>
        <v>0</v>
      </c>
      <c r="G90" s="341">
        <f t="shared" si="5"/>
        <v>0</v>
      </c>
      <c r="H90" s="395">
        <f>IF($A90="","",SUMIFS('Timesheet Raw'!$K$4:$K$8000,'Timesheet Raw'!$L$4:$L$8000,$A90,'Timesheet Raw'!$C$4:$C$8000,D$3))</f>
        <v>0</v>
      </c>
      <c r="I90" s="345">
        <f>IF($A90="","",SUMIFS('Timesheet Raw'!$P$4:$P$8000,'Timesheet Raw'!$L$4:$L$8000,$A90,'Timesheet Raw'!$C$4:$C$8000,D$3))</f>
        <v>0</v>
      </c>
      <c r="J90" s="375"/>
      <c r="K90" t="str">
        <f>IF($A90="","",IF(J90&lt;&gt;"",J90,IF($A90&gt;'Work Calendar'!$B$17,"No data yet",IF(AND(F90&gt;='Work Calendar'!$B$14,D90+E90+G90&gt;0),"Day off - but worked",IF(F90&gt;='Work Calendar'!$B$14,"Day off",IF(D90+E90+G90&gt;0,IF($C90="Working","Charged","Worked weekend"),IF($C90="Working","Leave (not charged)",$C90)))))))</f>
        <v>Weekend</v>
      </c>
      <c r="L90" s="341">
        <f>IF($A90="","",SUMIFS('Timesheet Raw'!$P$4:$P$8000,'Timesheet Raw'!$L$4:$L$8000,$A90,'Timesheet Raw'!$C$4:$C$8000,L$3,'Timesheet Raw'!$A$4:$A$8000,"1-Projects"))</f>
        <v>0</v>
      </c>
      <c r="M90" s="341">
        <f>IF($A90="","",SUMIFS('Timesheet Raw'!$P$4:$P$8000,'Timesheet Raw'!$L$4:$L$8000,$A90,'Timesheet Raw'!$C$4:$C$8000,L$3,'Timesheet Raw'!$A$4:$A$8000,"2-Proposals Chargeable")+SUMIFS('Timesheet Raw'!$P$4:$P$8000,'Timesheet Raw'!$L$4:$L$8000,$A90,'Timesheet Raw'!$C$4:$C$8000,L$3,'Timesheet Raw'!$A$4:$A$8000,"3-Proposals Regular"))</f>
        <v>0</v>
      </c>
      <c r="N90" s="341">
        <f>IF($A90="","",SUMIFS('Timesheet Raw'!$P$4:$P$8000,'Timesheet Raw'!$L$4:$L$8000,$A90,'Timesheet Raw'!$C$4:$C$8000,L$3,'Timesheet Raw'!$B$4:$B$8000,'Work Calendar'!$A$26)+SUMIFS('Timesheet Raw'!$P$4:$P$8000,'Timesheet Raw'!$L$4:$L$8000,$A90,'Timesheet Raw'!$C$4:$C$8000,L$3,'Timesheet Raw'!$B$4:$B$8000,'Work Calendar'!$A$27)+SUMIFS('Timesheet Raw'!$P$4:$P$8000,'Timesheet Raw'!$L$4:$L$8000,$A90,'Timesheet Raw'!$C$4:$C$8000,L$3,'Timesheet Raw'!$B$4:$B$8000,'Work Calendar'!$A$28)+SUMIFS('Timesheet Raw'!$P$4:$P$8000,'Timesheet Raw'!$L$4:$L$8000,$A90,'Timesheet Raw'!$C$4:$C$8000,L$3,'Timesheet Raw'!$B$4:$B$8000,'Work Calendar'!$A$29))</f>
        <v>0</v>
      </c>
      <c r="O90" s="341">
        <f t="shared" si="6"/>
        <v>0</v>
      </c>
      <c r="P90" s="395">
        <f>IF($A90="","",SUMIFS('Timesheet Raw'!$K$4:$K$8000,'Timesheet Raw'!$L$4:$L$8000,$A90,'Timesheet Raw'!$C$4:$C$8000,L$3))</f>
        <v>0</v>
      </c>
      <c r="Q90" s="345">
        <f>IF($A90="","",SUMIFS('Timesheet Raw'!$P$4:$P$8000,'Timesheet Raw'!$L$4:$L$8000,$A90,'Timesheet Raw'!$C$4:$C$8000,L$3))</f>
        <v>0</v>
      </c>
      <c r="R90" s="375"/>
      <c r="S90" t="str">
        <f>IF($A90="","",IF(R90&lt;&gt;"",R90,IF($A90&gt;'Work Calendar'!$B$17,"No data yet",IF(AND(N90&gt;='Work Calendar'!$B$14,L90+M90+O90&gt;0),"Day off - but worked",IF(N90&gt;='Work Calendar'!$B$14,"Day off",IF(L90+M90+O90&gt;0,IF($C90="Working","Charged","Worked weekend"),IF($C90="Working","Leave (not charged)",$C90)))))))</f>
        <v>Weekend</v>
      </c>
      <c r="T90" s="341">
        <f>IF($A90="","",SUMIFS('Timesheet Raw'!$P$4:$P$8000,'Timesheet Raw'!$L$4:$L$8000,$A90,'Timesheet Raw'!$C$4:$C$8000,T$3,'Timesheet Raw'!$A$4:$A$8000,"1-Projects"))</f>
        <v>0</v>
      </c>
      <c r="U90" s="341">
        <f>IF($A90="","",SUMIFS('Timesheet Raw'!$P$4:$P$8000,'Timesheet Raw'!$L$4:$L$8000,$A90,'Timesheet Raw'!$C$4:$C$8000,T$3,'Timesheet Raw'!$A$4:$A$8000,"2-Proposals Chargeable")+SUMIFS('Timesheet Raw'!$P$4:$P$8000,'Timesheet Raw'!$L$4:$L$8000,$A90,'Timesheet Raw'!$C$4:$C$8000,T$3,'Timesheet Raw'!$A$4:$A$8000,"3-Proposals Regular"))</f>
        <v>0</v>
      </c>
      <c r="V90" s="341">
        <f>IF($A90="","",SUMIFS('Timesheet Raw'!$P$4:$P$8000,'Timesheet Raw'!$L$4:$L$8000,$A90,'Timesheet Raw'!$C$4:$C$8000,T$3,'Timesheet Raw'!$B$4:$B$8000,'Work Calendar'!$A$26)+SUMIFS('Timesheet Raw'!$P$4:$P$8000,'Timesheet Raw'!$L$4:$L$8000,$A90,'Timesheet Raw'!$C$4:$C$8000,T$3,'Timesheet Raw'!$B$4:$B$8000,'Work Calendar'!$A$27)+SUMIFS('Timesheet Raw'!$P$4:$P$8000,'Timesheet Raw'!$L$4:$L$8000,$A90,'Timesheet Raw'!$C$4:$C$8000,T$3,'Timesheet Raw'!$B$4:$B$8000,'Work Calendar'!$A$28)+SUMIFS('Timesheet Raw'!$P$4:$P$8000,'Timesheet Raw'!$L$4:$L$8000,$A90,'Timesheet Raw'!$C$4:$C$8000,T$3,'Timesheet Raw'!$B$4:$B$8000,'Work Calendar'!$A$29))</f>
        <v>0</v>
      </c>
      <c r="W90" s="341">
        <f t="shared" si="7"/>
        <v>0</v>
      </c>
      <c r="X90" s="395">
        <f>IF($A90="","",SUMIFS('Timesheet Raw'!$K$4:$K$8000,'Timesheet Raw'!$L$4:$L$8000,$A90,'Timesheet Raw'!$C$4:$C$8000,T$3))</f>
        <v>0</v>
      </c>
      <c r="Y90" s="345">
        <f>IF($A90="","",SUMIFS('Timesheet Raw'!$P$4:$P$8000,'Timesheet Raw'!$L$4:$L$8000,$A90,'Timesheet Raw'!$C$4:$C$8000,T$3))</f>
        <v>0</v>
      </c>
      <c r="Z90" s="375"/>
      <c r="AA90" t="str">
        <f>IF($A90="","",IF(Z90&lt;&gt;"",Z90,IF($A90&gt;'Work Calendar'!$B$17,"No data yet",IF(AND(V90&gt;='Work Calendar'!$B$14,T90+U90+W90&gt;0),"Day off - but worked",IF(V90&gt;='Work Calendar'!$B$14,"Day off",IF(T90+U90+W90&gt;0,IF($C90="Working","Charged","Worked weekend"),IF($C90="Working","Leave (not charged)",$C90)))))))</f>
        <v>Weekend</v>
      </c>
    </row>
    <row r="91" spans="1:27" x14ac:dyDescent="0.3">
      <c r="A91" s="371">
        <f>IF($A90="","",IF($A90+1&gt;'Work Calendar'!$B$16,"",$A90+1))</f>
        <v>46109</v>
      </c>
      <c r="B91" t="str">
        <f t="shared" si="4"/>
        <v>Sat</v>
      </c>
      <c r="C91" t="str" cm="1">
        <f t="array" ref="C91">IF($A91="","",IF(COUNTIF('Work Calendar'!$E$6:$E$200,$A91)&gt;0,"Holiday",IF(INDEX('Work Calendar'!$C$6:$C$12,WEEKDAY($A91,1))=1,"Working","Weekend")))</f>
        <v>Weekend</v>
      </c>
      <c r="D91" s="341">
        <f>IF($A91="","",SUMIFS('Timesheet Raw'!$P$4:$P$8000,'Timesheet Raw'!$L$4:$L$8000,$A91,'Timesheet Raw'!$C$4:$C$8000,D$3,'Timesheet Raw'!$A$4:$A$8000,"1-Projects"))</f>
        <v>0</v>
      </c>
      <c r="E91" s="341">
        <f>IF($A91="","",SUMIFS('Timesheet Raw'!$P$4:$P$8000,'Timesheet Raw'!$L$4:$L$8000,$A91,'Timesheet Raw'!$C$4:$C$8000,D$3,'Timesheet Raw'!$A$4:$A$8000,"2-Proposals Chargeable")+SUMIFS('Timesheet Raw'!$P$4:$P$8000,'Timesheet Raw'!$L$4:$L$8000,$A91,'Timesheet Raw'!$C$4:$C$8000,D$3,'Timesheet Raw'!$A$4:$A$8000,"3-Proposals Regular"))</f>
        <v>0</v>
      </c>
      <c r="F91" s="341">
        <f>IF($A91="","",SUMIFS('Timesheet Raw'!$P$4:$P$8000,'Timesheet Raw'!$L$4:$L$8000,$A91,'Timesheet Raw'!$C$4:$C$8000,D$3,'Timesheet Raw'!$B$4:$B$8000,'Work Calendar'!$A$26)+SUMIFS('Timesheet Raw'!$P$4:$P$8000,'Timesheet Raw'!$L$4:$L$8000,$A91,'Timesheet Raw'!$C$4:$C$8000,D$3,'Timesheet Raw'!$B$4:$B$8000,'Work Calendar'!$A$27)+SUMIFS('Timesheet Raw'!$P$4:$P$8000,'Timesheet Raw'!$L$4:$L$8000,$A91,'Timesheet Raw'!$C$4:$C$8000,D$3,'Timesheet Raw'!$B$4:$B$8000,'Work Calendar'!$A$28)+SUMIFS('Timesheet Raw'!$P$4:$P$8000,'Timesheet Raw'!$L$4:$L$8000,$A91,'Timesheet Raw'!$C$4:$C$8000,D$3,'Timesheet Raw'!$B$4:$B$8000,'Work Calendar'!$A$29))</f>
        <v>0</v>
      </c>
      <c r="G91" s="341">
        <f t="shared" si="5"/>
        <v>0</v>
      </c>
      <c r="H91" s="395">
        <f>IF($A91="","",SUMIFS('Timesheet Raw'!$K$4:$K$8000,'Timesheet Raw'!$L$4:$L$8000,$A91,'Timesheet Raw'!$C$4:$C$8000,D$3))</f>
        <v>0</v>
      </c>
      <c r="I91" s="345">
        <f>IF($A91="","",SUMIFS('Timesheet Raw'!$P$4:$P$8000,'Timesheet Raw'!$L$4:$L$8000,$A91,'Timesheet Raw'!$C$4:$C$8000,D$3))</f>
        <v>0</v>
      </c>
      <c r="J91" s="375"/>
      <c r="K91" t="str">
        <f>IF($A91="","",IF(J91&lt;&gt;"",J91,IF($A91&gt;'Work Calendar'!$B$17,"No data yet",IF(AND(F91&gt;='Work Calendar'!$B$14,D91+E91+G91&gt;0),"Day off - but worked",IF(F91&gt;='Work Calendar'!$B$14,"Day off",IF(D91+E91+G91&gt;0,IF($C91="Working","Charged","Worked weekend"),IF($C91="Working","Leave (not charged)",$C91)))))))</f>
        <v>Weekend</v>
      </c>
      <c r="L91" s="341">
        <f>IF($A91="","",SUMIFS('Timesheet Raw'!$P$4:$P$8000,'Timesheet Raw'!$L$4:$L$8000,$A91,'Timesheet Raw'!$C$4:$C$8000,L$3,'Timesheet Raw'!$A$4:$A$8000,"1-Projects"))</f>
        <v>0</v>
      </c>
      <c r="M91" s="341">
        <f>IF($A91="","",SUMIFS('Timesheet Raw'!$P$4:$P$8000,'Timesheet Raw'!$L$4:$L$8000,$A91,'Timesheet Raw'!$C$4:$C$8000,L$3,'Timesheet Raw'!$A$4:$A$8000,"2-Proposals Chargeable")+SUMIFS('Timesheet Raw'!$P$4:$P$8000,'Timesheet Raw'!$L$4:$L$8000,$A91,'Timesheet Raw'!$C$4:$C$8000,L$3,'Timesheet Raw'!$A$4:$A$8000,"3-Proposals Regular"))</f>
        <v>0</v>
      </c>
      <c r="N91" s="341">
        <f>IF($A91="","",SUMIFS('Timesheet Raw'!$P$4:$P$8000,'Timesheet Raw'!$L$4:$L$8000,$A91,'Timesheet Raw'!$C$4:$C$8000,L$3,'Timesheet Raw'!$B$4:$B$8000,'Work Calendar'!$A$26)+SUMIFS('Timesheet Raw'!$P$4:$P$8000,'Timesheet Raw'!$L$4:$L$8000,$A91,'Timesheet Raw'!$C$4:$C$8000,L$3,'Timesheet Raw'!$B$4:$B$8000,'Work Calendar'!$A$27)+SUMIFS('Timesheet Raw'!$P$4:$P$8000,'Timesheet Raw'!$L$4:$L$8000,$A91,'Timesheet Raw'!$C$4:$C$8000,L$3,'Timesheet Raw'!$B$4:$B$8000,'Work Calendar'!$A$28)+SUMIFS('Timesheet Raw'!$P$4:$P$8000,'Timesheet Raw'!$L$4:$L$8000,$A91,'Timesheet Raw'!$C$4:$C$8000,L$3,'Timesheet Raw'!$B$4:$B$8000,'Work Calendar'!$A$29))</f>
        <v>0</v>
      </c>
      <c r="O91" s="341">
        <f t="shared" si="6"/>
        <v>0</v>
      </c>
      <c r="P91" s="395">
        <f>IF($A91="","",SUMIFS('Timesheet Raw'!$K$4:$K$8000,'Timesheet Raw'!$L$4:$L$8000,$A91,'Timesheet Raw'!$C$4:$C$8000,L$3))</f>
        <v>0</v>
      </c>
      <c r="Q91" s="345">
        <f>IF($A91="","",SUMIFS('Timesheet Raw'!$P$4:$P$8000,'Timesheet Raw'!$L$4:$L$8000,$A91,'Timesheet Raw'!$C$4:$C$8000,L$3))</f>
        <v>0</v>
      </c>
      <c r="R91" s="375"/>
      <c r="S91" t="str">
        <f>IF($A91="","",IF(R91&lt;&gt;"",R91,IF($A91&gt;'Work Calendar'!$B$17,"No data yet",IF(AND(N91&gt;='Work Calendar'!$B$14,L91+M91+O91&gt;0),"Day off - but worked",IF(N91&gt;='Work Calendar'!$B$14,"Day off",IF(L91+M91+O91&gt;0,IF($C91="Working","Charged","Worked weekend"),IF($C91="Working","Leave (not charged)",$C91)))))))</f>
        <v>Weekend</v>
      </c>
      <c r="T91" s="341">
        <f>IF($A91="","",SUMIFS('Timesheet Raw'!$P$4:$P$8000,'Timesheet Raw'!$L$4:$L$8000,$A91,'Timesheet Raw'!$C$4:$C$8000,T$3,'Timesheet Raw'!$A$4:$A$8000,"1-Projects"))</f>
        <v>0</v>
      </c>
      <c r="U91" s="341">
        <f>IF($A91="","",SUMIFS('Timesheet Raw'!$P$4:$P$8000,'Timesheet Raw'!$L$4:$L$8000,$A91,'Timesheet Raw'!$C$4:$C$8000,T$3,'Timesheet Raw'!$A$4:$A$8000,"2-Proposals Chargeable")+SUMIFS('Timesheet Raw'!$P$4:$P$8000,'Timesheet Raw'!$L$4:$L$8000,$A91,'Timesheet Raw'!$C$4:$C$8000,T$3,'Timesheet Raw'!$A$4:$A$8000,"3-Proposals Regular"))</f>
        <v>0</v>
      </c>
      <c r="V91" s="341">
        <f>IF($A91="","",SUMIFS('Timesheet Raw'!$P$4:$P$8000,'Timesheet Raw'!$L$4:$L$8000,$A91,'Timesheet Raw'!$C$4:$C$8000,T$3,'Timesheet Raw'!$B$4:$B$8000,'Work Calendar'!$A$26)+SUMIFS('Timesheet Raw'!$P$4:$P$8000,'Timesheet Raw'!$L$4:$L$8000,$A91,'Timesheet Raw'!$C$4:$C$8000,T$3,'Timesheet Raw'!$B$4:$B$8000,'Work Calendar'!$A$27)+SUMIFS('Timesheet Raw'!$P$4:$P$8000,'Timesheet Raw'!$L$4:$L$8000,$A91,'Timesheet Raw'!$C$4:$C$8000,T$3,'Timesheet Raw'!$B$4:$B$8000,'Work Calendar'!$A$28)+SUMIFS('Timesheet Raw'!$P$4:$P$8000,'Timesheet Raw'!$L$4:$L$8000,$A91,'Timesheet Raw'!$C$4:$C$8000,T$3,'Timesheet Raw'!$B$4:$B$8000,'Work Calendar'!$A$29))</f>
        <v>0</v>
      </c>
      <c r="W91" s="341">
        <f t="shared" si="7"/>
        <v>0</v>
      </c>
      <c r="X91" s="395">
        <f>IF($A91="","",SUMIFS('Timesheet Raw'!$K$4:$K$8000,'Timesheet Raw'!$L$4:$L$8000,$A91,'Timesheet Raw'!$C$4:$C$8000,T$3))</f>
        <v>0</v>
      </c>
      <c r="Y91" s="345">
        <f>IF($A91="","",SUMIFS('Timesheet Raw'!$P$4:$P$8000,'Timesheet Raw'!$L$4:$L$8000,$A91,'Timesheet Raw'!$C$4:$C$8000,T$3))</f>
        <v>0</v>
      </c>
      <c r="Z91" s="375"/>
      <c r="AA91" t="str">
        <f>IF($A91="","",IF(Z91&lt;&gt;"",Z91,IF($A91&gt;'Work Calendar'!$B$17,"No data yet",IF(AND(V91&gt;='Work Calendar'!$B$14,T91+U91+W91&gt;0),"Day off - but worked",IF(V91&gt;='Work Calendar'!$B$14,"Day off",IF(T91+U91+W91&gt;0,IF($C91="Working","Charged","Worked weekend"),IF($C91="Working","Leave (not charged)",$C91)))))))</f>
        <v>Weekend</v>
      </c>
    </row>
    <row r="92" spans="1:27" x14ac:dyDescent="0.3">
      <c r="A92" s="371">
        <f>IF($A91="","",IF($A91+1&gt;'Work Calendar'!$B$16,"",$A91+1))</f>
        <v>46110</v>
      </c>
      <c r="B92" t="str">
        <f t="shared" si="4"/>
        <v>Sun</v>
      </c>
      <c r="C92" t="str" cm="1">
        <f t="array" ref="C92">IF($A92="","",IF(COUNTIF('Work Calendar'!$E$6:$E$200,$A92)&gt;0,"Holiday",IF(INDEX('Work Calendar'!$C$6:$C$12,WEEKDAY($A92,1))=1,"Working","Weekend")))</f>
        <v>Working</v>
      </c>
      <c r="D92" s="341">
        <f>IF($A92="","",SUMIFS('Timesheet Raw'!$P$4:$P$8000,'Timesheet Raw'!$L$4:$L$8000,$A92,'Timesheet Raw'!$C$4:$C$8000,D$3,'Timesheet Raw'!$A$4:$A$8000,"1-Projects"))</f>
        <v>7.25</v>
      </c>
      <c r="E92" s="341">
        <f>IF($A92="","",SUMIFS('Timesheet Raw'!$P$4:$P$8000,'Timesheet Raw'!$L$4:$L$8000,$A92,'Timesheet Raw'!$C$4:$C$8000,D$3,'Timesheet Raw'!$A$4:$A$8000,"2-Proposals Chargeable")+SUMIFS('Timesheet Raw'!$P$4:$P$8000,'Timesheet Raw'!$L$4:$L$8000,$A92,'Timesheet Raw'!$C$4:$C$8000,D$3,'Timesheet Raw'!$A$4:$A$8000,"3-Proposals Regular"))</f>
        <v>0</v>
      </c>
      <c r="F92" s="341">
        <f>IF($A92="","",SUMIFS('Timesheet Raw'!$P$4:$P$8000,'Timesheet Raw'!$L$4:$L$8000,$A92,'Timesheet Raw'!$C$4:$C$8000,D$3,'Timesheet Raw'!$B$4:$B$8000,'Work Calendar'!$A$26)+SUMIFS('Timesheet Raw'!$P$4:$P$8000,'Timesheet Raw'!$L$4:$L$8000,$A92,'Timesheet Raw'!$C$4:$C$8000,D$3,'Timesheet Raw'!$B$4:$B$8000,'Work Calendar'!$A$27)+SUMIFS('Timesheet Raw'!$P$4:$P$8000,'Timesheet Raw'!$L$4:$L$8000,$A92,'Timesheet Raw'!$C$4:$C$8000,D$3,'Timesheet Raw'!$B$4:$B$8000,'Work Calendar'!$A$28)+SUMIFS('Timesheet Raw'!$P$4:$P$8000,'Timesheet Raw'!$L$4:$L$8000,$A92,'Timesheet Raw'!$C$4:$C$8000,D$3,'Timesheet Raw'!$B$4:$B$8000,'Work Calendar'!$A$29))</f>
        <v>1.75</v>
      </c>
      <c r="G92" s="341">
        <f t="shared" si="5"/>
        <v>0</v>
      </c>
      <c r="H92" s="395">
        <f>IF($A92="","",SUMIFS('Timesheet Raw'!$K$4:$K$8000,'Timesheet Raw'!$L$4:$L$8000,$A92,'Timesheet Raw'!$C$4:$C$8000,D$3))</f>
        <v>0.5</v>
      </c>
      <c r="I92" s="345">
        <f>IF($A92="","",SUMIFS('Timesheet Raw'!$P$4:$P$8000,'Timesheet Raw'!$L$4:$L$8000,$A92,'Timesheet Raw'!$C$4:$C$8000,D$3))</f>
        <v>9</v>
      </c>
      <c r="J92" s="375"/>
      <c r="K92" t="str">
        <f>IF($A92="","",IF(J92&lt;&gt;"",J92,IF($A92&gt;'Work Calendar'!$B$17,"No data yet",IF(AND(F92&gt;='Work Calendar'!$B$14,D92+E92+G92&gt;0),"Day off - but worked",IF(F92&gt;='Work Calendar'!$B$14,"Day off",IF(D92+E92+G92&gt;0,IF($C92="Working","Charged","Worked weekend"),IF($C92="Working","Leave (not charged)",$C92)))))))</f>
        <v>Charged</v>
      </c>
      <c r="L92" s="341">
        <f>IF($A92="","",SUMIFS('Timesheet Raw'!$P$4:$P$8000,'Timesheet Raw'!$L$4:$L$8000,$A92,'Timesheet Raw'!$C$4:$C$8000,L$3,'Timesheet Raw'!$A$4:$A$8000,"1-Projects"))</f>
        <v>7.75</v>
      </c>
      <c r="M92" s="341">
        <f>IF($A92="","",SUMIFS('Timesheet Raw'!$P$4:$P$8000,'Timesheet Raw'!$L$4:$L$8000,$A92,'Timesheet Raw'!$C$4:$C$8000,L$3,'Timesheet Raw'!$A$4:$A$8000,"2-Proposals Chargeable")+SUMIFS('Timesheet Raw'!$P$4:$P$8000,'Timesheet Raw'!$L$4:$L$8000,$A92,'Timesheet Raw'!$C$4:$C$8000,L$3,'Timesheet Raw'!$A$4:$A$8000,"3-Proposals Regular"))</f>
        <v>0</v>
      </c>
      <c r="N92" s="341">
        <f>IF($A92="","",SUMIFS('Timesheet Raw'!$P$4:$P$8000,'Timesheet Raw'!$L$4:$L$8000,$A92,'Timesheet Raw'!$C$4:$C$8000,L$3,'Timesheet Raw'!$B$4:$B$8000,'Work Calendar'!$A$26)+SUMIFS('Timesheet Raw'!$P$4:$P$8000,'Timesheet Raw'!$L$4:$L$8000,$A92,'Timesheet Raw'!$C$4:$C$8000,L$3,'Timesheet Raw'!$B$4:$B$8000,'Work Calendar'!$A$27)+SUMIFS('Timesheet Raw'!$P$4:$P$8000,'Timesheet Raw'!$L$4:$L$8000,$A92,'Timesheet Raw'!$C$4:$C$8000,L$3,'Timesheet Raw'!$B$4:$B$8000,'Work Calendar'!$A$28)+SUMIFS('Timesheet Raw'!$P$4:$P$8000,'Timesheet Raw'!$L$4:$L$8000,$A92,'Timesheet Raw'!$C$4:$C$8000,L$3,'Timesheet Raw'!$B$4:$B$8000,'Work Calendar'!$A$29))</f>
        <v>1.75</v>
      </c>
      <c r="O92" s="341">
        <f t="shared" si="6"/>
        <v>0</v>
      </c>
      <c r="P92" s="395">
        <f>IF($A92="","",SUMIFS('Timesheet Raw'!$K$4:$K$8000,'Timesheet Raw'!$L$4:$L$8000,$A92,'Timesheet Raw'!$C$4:$C$8000,L$3))</f>
        <v>1</v>
      </c>
      <c r="Q92" s="345">
        <f>IF($A92="","",SUMIFS('Timesheet Raw'!$P$4:$P$8000,'Timesheet Raw'!$L$4:$L$8000,$A92,'Timesheet Raw'!$C$4:$C$8000,L$3))</f>
        <v>9.5</v>
      </c>
      <c r="R92" s="375"/>
      <c r="S92" t="str">
        <f>IF($A92="","",IF(R92&lt;&gt;"",R92,IF($A92&gt;'Work Calendar'!$B$17,"No data yet",IF(AND(N92&gt;='Work Calendar'!$B$14,L92+M92+O92&gt;0),"Day off - but worked",IF(N92&gt;='Work Calendar'!$B$14,"Day off",IF(L92+M92+O92&gt;0,IF($C92="Working","Charged","Worked weekend"),IF($C92="Working","Leave (not charged)",$C92)))))))</f>
        <v>Charged</v>
      </c>
      <c r="T92" s="341">
        <f>IF($A92="","",SUMIFS('Timesheet Raw'!$P$4:$P$8000,'Timesheet Raw'!$L$4:$L$8000,$A92,'Timesheet Raw'!$C$4:$C$8000,T$3,'Timesheet Raw'!$A$4:$A$8000,"1-Projects"))</f>
        <v>0</v>
      </c>
      <c r="U92" s="341">
        <f>IF($A92="","",SUMIFS('Timesheet Raw'!$P$4:$P$8000,'Timesheet Raw'!$L$4:$L$8000,$A92,'Timesheet Raw'!$C$4:$C$8000,T$3,'Timesheet Raw'!$A$4:$A$8000,"2-Proposals Chargeable")+SUMIFS('Timesheet Raw'!$P$4:$P$8000,'Timesheet Raw'!$L$4:$L$8000,$A92,'Timesheet Raw'!$C$4:$C$8000,T$3,'Timesheet Raw'!$A$4:$A$8000,"3-Proposals Regular"))</f>
        <v>0</v>
      </c>
      <c r="V92" s="341">
        <f>IF($A92="","",SUMIFS('Timesheet Raw'!$P$4:$P$8000,'Timesheet Raw'!$L$4:$L$8000,$A92,'Timesheet Raw'!$C$4:$C$8000,T$3,'Timesheet Raw'!$B$4:$B$8000,'Work Calendar'!$A$26)+SUMIFS('Timesheet Raw'!$P$4:$P$8000,'Timesheet Raw'!$L$4:$L$8000,$A92,'Timesheet Raw'!$C$4:$C$8000,T$3,'Timesheet Raw'!$B$4:$B$8000,'Work Calendar'!$A$27)+SUMIFS('Timesheet Raw'!$P$4:$P$8000,'Timesheet Raw'!$L$4:$L$8000,$A92,'Timesheet Raw'!$C$4:$C$8000,T$3,'Timesheet Raw'!$B$4:$B$8000,'Work Calendar'!$A$28)+SUMIFS('Timesheet Raw'!$P$4:$P$8000,'Timesheet Raw'!$L$4:$L$8000,$A92,'Timesheet Raw'!$C$4:$C$8000,T$3,'Timesheet Raw'!$B$4:$B$8000,'Work Calendar'!$A$29))</f>
        <v>8.5</v>
      </c>
      <c r="W92" s="341">
        <f t="shared" si="7"/>
        <v>0</v>
      </c>
      <c r="X92" s="395">
        <f>IF($A92="","",SUMIFS('Timesheet Raw'!$K$4:$K$8000,'Timesheet Raw'!$L$4:$L$8000,$A92,'Timesheet Raw'!$C$4:$C$8000,T$3))</f>
        <v>0</v>
      </c>
      <c r="Y92" s="345">
        <f>IF($A92="","",SUMIFS('Timesheet Raw'!$P$4:$P$8000,'Timesheet Raw'!$L$4:$L$8000,$A92,'Timesheet Raw'!$C$4:$C$8000,T$3))</f>
        <v>8.5</v>
      </c>
      <c r="Z92" s="375"/>
      <c r="AA92" t="str">
        <f>IF($A92="","",IF(Z92&lt;&gt;"",Z92,IF($A92&gt;'Work Calendar'!$B$17,"No data yet",IF(AND(V92&gt;='Work Calendar'!$B$14,T92+U92+W92&gt;0),"Day off - but worked",IF(V92&gt;='Work Calendar'!$B$14,"Day off",IF(T92+U92+W92&gt;0,IF($C92="Working","Charged","Worked weekend"),IF($C92="Working","Leave (not charged)",$C92)))))))</f>
        <v>Day off</v>
      </c>
    </row>
    <row r="93" spans="1:27" x14ac:dyDescent="0.3">
      <c r="A93" s="371">
        <f>IF($A92="","",IF($A92+1&gt;'Work Calendar'!$B$16,"",$A92+1))</f>
        <v>46111</v>
      </c>
      <c r="B93" t="str">
        <f t="shared" si="4"/>
        <v>Mon</v>
      </c>
      <c r="C93" t="str" cm="1">
        <f t="array" ref="C93">IF($A93="","",IF(COUNTIF('Work Calendar'!$E$6:$E$200,$A93)&gt;0,"Holiday",IF(INDEX('Work Calendar'!$C$6:$C$12,WEEKDAY($A93,1))=1,"Working","Weekend")))</f>
        <v>Working</v>
      </c>
      <c r="D93" s="341">
        <f>IF($A93="","",SUMIFS('Timesheet Raw'!$P$4:$P$8000,'Timesheet Raw'!$L$4:$L$8000,$A93,'Timesheet Raw'!$C$4:$C$8000,D$3,'Timesheet Raw'!$A$4:$A$8000,"1-Projects"))</f>
        <v>13.25</v>
      </c>
      <c r="E93" s="341">
        <f>IF($A93="","",SUMIFS('Timesheet Raw'!$P$4:$P$8000,'Timesheet Raw'!$L$4:$L$8000,$A93,'Timesheet Raw'!$C$4:$C$8000,D$3,'Timesheet Raw'!$A$4:$A$8000,"2-Proposals Chargeable")+SUMIFS('Timesheet Raw'!$P$4:$P$8000,'Timesheet Raw'!$L$4:$L$8000,$A93,'Timesheet Raw'!$C$4:$C$8000,D$3,'Timesheet Raw'!$A$4:$A$8000,"3-Proposals Regular"))</f>
        <v>0</v>
      </c>
      <c r="F93" s="341">
        <f>IF($A93="","",SUMIFS('Timesheet Raw'!$P$4:$P$8000,'Timesheet Raw'!$L$4:$L$8000,$A93,'Timesheet Raw'!$C$4:$C$8000,D$3,'Timesheet Raw'!$B$4:$B$8000,'Work Calendar'!$A$26)+SUMIFS('Timesheet Raw'!$P$4:$P$8000,'Timesheet Raw'!$L$4:$L$8000,$A93,'Timesheet Raw'!$C$4:$C$8000,D$3,'Timesheet Raw'!$B$4:$B$8000,'Work Calendar'!$A$27)+SUMIFS('Timesheet Raw'!$P$4:$P$8000,'Timesheet Raw'!$L$4:$L$8000,$A93,'Timesheet Raw'!$C$4:$C$8000,D$3,'Timesheet Raw'!$B$4:$B$8000,'Work Calendar'!$A$28)+SUMIFS('Timesheet Raw'!$P$4:$P$8000,'Timesheet Raw'!$L$4:$L$8000,$A93,'Timesheet Raw'!$C$4:$C$8000,D$3,'Timesheet Raw'!$B$4:$B$8000,'Work Calendar'!$A$29))</f>
        <v>1</v>
      </c>
      <c r="G93" s="341">
        <f t="shared" si="5"/>
        <v>0</v>
      </c>
      <c r="H93" s="395">
        <f>IF($A93="","",SUMIFS('Timesheet Raw'!$K$4:$K$8000,'Timesheet Raw'!$L$4:$L$8000,$A93,'Timesheet Raw'!$C$4:$C$8000,D$3))</f>
        <v>5.75</v>
      </c>
      <c r="I93" s="345">
        <f>IF($A93="","",SUMIFS('Timesheet Raw'!$P$4:$P$8000,'Timesheet Raw'!$L$4:$L$8000,$A93,'Timesheet Raw'!$C$4:$C$8000,D$3))</f>
        <v>14.25</v>
      </c>
      <c r="J93" s="375"/>
      <c r="K93" t="str">
        <f>IF($A93="","",IF(J93&lt;&gt;"",J93,IF($A93&gt;'Work Calendar'!$B$17,"No data yet",IF(AND(F93&gt;='Work Calendar'!$B$14,D93+E93+G93&gt;0),"Day off - but worked",IF(F93&gt;='Work Calendar'!$B$14,"Day off",IF(D93+E93+G93&gt;0,IF($C93="Working","Charged","Worked weekend"),IF($C93="Working","Leave (not charged)",$C93)))))))</f>
        <v>Charged</v>
      </c>
      <c r="L93" s="341">
        <f>IF($A93="","",SUMIFS('Timesheet Raw'!$P$4:$P$8000,'Timesheet Raw'!$L$4:$L$8000,$A93,'Timesheet Raw'!$C$4:$C$8000,L$3,'Timesheet Raw'!$A$4:$A$8000,"1-Projects"))</f>
        <v>8.75</v>
      </c>
      <c r="M93" s="341">
        <f>IF($A93="","",SUMIFS('Timesheet Raw'!$P$4:$P$8000,'Timesheet Raw'!$L$4:$L$8000,$A93,'Timesheet Raw'!$C$4:$C$8000,L$3,'Timesheet Raw'!$A$4:$A$8000,"2-Proposals Chargeable")+SUMIFS('Timesheet Raw'!$P$4:$P$8000,'Timesheet Raw'!$L$4:$L$8000,$A93,'Timesheet Raw'!$C$4:$C$8000,L$3,'Timesheet Raw'!$A$4:$A$8000,"3-Proposals Regular"))</f>
        <v>0</v>
      </c>
      <c r="N93" s="341">
        <f>IF($A93="","",SUMIFS('Timesheet Raw'!$P$4:$P$8000,'Timesheet Raw'!$L$4:$L$8000,$A93,'Timesheet Raw'!$C$4:$C$8000,L$3,'Timesheet Raw'!$B$4:$B$8000,'Work Calendar'!$A$26)+SUMIFS('Timesheet Raw'!$P$4:$P$8000,'Timesheet Raw'!$L$4:$L$8000,$A93,'Timesheet Raw'!$C$4:$C$8000,L$3,'Timesheet Raw'!$B$4:$B$8000,'Work Calendar'!$A$27)+SUMIFS('Timesheet Raw'!$P$4:$P$8000,'Timesheet Raw'!$L$4:$L$8000,$A93,'Timesheet Raw'!$C$4:$C$8000,L$3,'Timesheet Raw'!$B$4:$B$8000,'Work Calendar'!$A$28)+SUMIFS('Timesheet Raw'!$P$4:$P$8000,'Timesheet Raw'!$L$4:$L$8000,$A93,'Timesheet Raw'!$C$4:$C$8000,L$3,'Timesheet Raw'!$B$4:$B$8000,'Work Calendar'!$A$29))</f>
        <v>0.25</v>
      </c>
      <c r="O93" s="341">
        <f t="shared" si="6"/>
        <v>0</v>
      </c>
      <c r="P93" s="395">
        <f>IF($A93="","",SUMIFS('Timesheet Raw'!$K$4:$K$8000,'Timesheet Raw'!$L$4:$L$8000,$A93,'Timesheet Raw'!$C$4:$C$8000,L$3))</f>
        <v>0.5</v>
      </c>
      <c r="Q93" s="345">
        <f>IF($A93="","",SUMIFS('Timesheet Raw'!$P$4:$P$8000,'Timesheet Raw'!$L$4:$L$8000,$A93,'Timesheet Raw'!$C$4:$C$8000,L$3))</f>
        <v>9</v>
      </c>
      <c r="R93" s="375"/>
      <c r="S93" t="str">
        <f>IF($A93="","",IF(R93&lt;&gt;"",R93,IF($A93&gt;'Work Calendar'!$B$17,"No data yet",IF(AND(N93&gt;='Work Calendar'!$B$14,L93+M93+O93&gt;0),"Day off - but worked",IF(N93&gt;='Work Calendar'!$B$14,"Day off",IF(L93+M93+O93&gt;0,IF($C93="Working","Charged","Worked weekend"),IF($C93="Working","Leave (not charged)",$C93)))))))</f>
        <v>Charged</v>
      </c>
      <c r="T93" s="341">
        <f>IF($A93="","",SUMIFS('Timesheet Raw'!$P$4:$P$8000,'Timesheet Raw'!$L$4:$L$8000,$A93,'Timesheet Raw'!$C$4:$C$8000,T$3,'Timesheet Raw'!$A$4:$A$8000,"1-Projects"))</f>
        <v>8.25</v>
      </c>
      <c r="U93" s="341">
        <f>IF($A93="","",SUMIFS('Timesheet Raw'!$P$4:$P$8000,'Timesheet Raw'!$L$4:$L$8000,$A93,'Timesheet Raw'!$C$4:$C$8000,T$3,'Timesheet Raw'!$A$4:$A$8000,"2-Proposals Chargeable")+SUMIFS('Timesheet Raw'!$P$4:$P$8000,'Timesheet Raw'!$L$4:$L$8000,$A93,'Timesheet Raw'!$C$4:$C$8000,T$3,'Timesheet Raw'!$A$4:$A$8000,"3-Proposals Regular"))</f>
        <v>0</v>
      </c>
      <c r="V93" s="341">
        <f>IF($A93="","",SUMIFS('Timesheet Raw'!$P$4:$P$8000,'Timesheet Raw'!$L$4:$L$8000,$A93,'Timesheet Raw'!$C$4:$C$8000,T$3,'Timesheet Raw'!$B$4:$B$8000,'Work Calendar'!$A$26)+SUMIFS('Timesheet Raw'!$P$4:$P$8000,'Timesheet Raw'!$L$4:$L$8000,$A93,'Timesheet Raw'!$C$4:$C$8000,T$3,'Timesheet Raw'!$B$4:$B$8000,'Work Calendar'!$A$27)+SUMIFS('Timesheet Raw'!$P$4:$P$8000,'Timesheet Raw'!$L$4:$L$8000,$A93,'Timesheet Raw'!$C$4:$C$8000,T$3,'Timesheet Raw'!$B$4:$B$8000,'Work Calendar'!$A$28)+SUMIFS('Timesheet Raw'!$P$4:$P$8000,'Timesheet Raw'!$L$4:$L$8000,$A93,'Timesheet Raw'!$C$4:$C$8000,T$3,'Timesheet Raw'!$B$4:$B$8000,'Work Calendar'!$A$29))</f>
        <v>0.75</v>
      </c>
      <c r="W93" s="341">
        <f t="shared" si="7"/>
        <v>0</v>
      </c>
      <c r="X93" s="395">
        <f>IF($A93="","",SUMIFS('Timesheet Raw'!$K$4:$K$8000,'Timesheet Raw'!$L$4:$L$8000,$A93,'Timesheet Raw'!$C$4:$C$8000,T$3))</f>
        <v>0.5</v>
      </c>
      <c r="Y93" s="345">
        <f>IF($A93="","",SUMIFS('Timesheet Raw'!$P$4:$P$8000,'Timesheet Raw'!$L$4:$L$8000,$A93,'Timesheet Raw'!$C$4:$C$8000,T$3))</f>
        <v>9</v>
      </c>
      <c r="Z93" s="375"/>
      <c r="AA93" t="str">
        <f>IF($A93="","",IF(Z93&lt;&gt;"",Z93,IF($A93&gt;'Work Calendar'!$B$17,"No data yet",IF(AND(V93&gt;='Work Calendar'!$B$14,T93+U93+W93&gt;0),"Day off - but worked",IF(V93&gt;='Work Calendar'!$B$14,"Day off",IF(T93+U93+W93&gt;0,IF($C93="Working","Charged","Worked weekend"),IF($C93="Working","Leave (not charged)",$C93)))))))</f>
        <v>Charged</v>
      </c>
    </row>
    <row r="94" spans="1:27" x14ac:dyDescent="0.3">
      <c r="A94" s="371">
        <f>IF($A93="","",IF($A93+1&gt;'Work Calendar'!$B$16,"",$A93+1))</f>
        <v>46112</v>
      </c>
      <c r="B94" t="str">
        <f t="shared" si="4"/>
        <v>Tue</v>
      </c>
      <c r="C94" t="str" cm="1">
        <f t="array" ref="C94">IF($A94="","",IF(COUNTIF('Work Calendar'!$E$6:$E$200,$A94)&gt;0,"Holiday",IF(INDEX('Work Calendar'!$C$6:$C$12,WEEKDAY($A94,1))=1,"Working","Weekend")))</f>
        <v>Working</v>
      </c>
      <c r="D94" s="341">
        <f>IF($A94="","",SUMIFS('Timesheet Raw'!$P$4:$P$8000,'Timesheet Raw'!$L$4:$L$8000,$A94,'Timesheet Raw'!$C$4:$C$8000,D$3,'Timesheet Raw'!$A$4:$A$8000,"1-Projects"))</f>
        <v>8.5</v>
      </c>
      <c r="E94" s="341">
        <f>IF($A94="","",SUMIFS('Timesheet Raw'!$P$4:$P$8000,'Timesheet Raw'!$L$4:$L$8000,$A94,'Timesheet Raw'!$C$4:$C$8000,D$3,'Timesheet Raw'!$A$4:$A$8000,"2-Proposals Chargeable")+SUMIFS('Timesheet Raw'!$P$4:$P$8000,'Timesheet Raw'!$L$4:$L$8000,$A94,'Timesheet Raw'!$C$4:$C$8000,D$3,'Timesheet Raw'!$A$4:$A$8000,"3-Proposals Regular"))</f>
        <v>0</v>
      </c>
      <c r="F94" s="341">
        <f>IF($A94="","",SUMIFS('Timesheet Raw'!$P$4:$P$8000,'Timesheet Raw'!$L$4:$L$8000,$A94,'Timesheet Raw'!$C$4:$C$8000,D$3,'Timesheet Raw'!$B$4:$B$8000,'Work Calendar'!$A$26)+SUMIFS('Timesheet Raw'!$P$4:$P$8000,'Timesheet Raw'!$L$4:$L$8000,$A94,'Timesheet Raw'!$C$4:$C$8000,D$3,'Timesheet Raw'!$B$4:$B$8000,'Work Calendar'!$A$27)+SUMIFS('Timesheet Raw'!$P$4:$P$8000,'Timesheet Raw'!$L$4:$L$8000,$A94,'Timesheet Raw'!$C$4:$C$8000,D$3,'Timesheet Raw'!$B$4:$B$8000,'Work Calendar'!$A$28)+SUMIFS('Timesheet Raw'!$P$4:$P$8000,'Timesheet Raw'!$L$4:$L$8000,$A94,'Timesheet Raw'!$C$4:$C$8000,D$3,'Timesheet Raw'!$B$4:$B$8000,'Work Calendar'!$A$29))</f>
        <v>0.75</v>
      </c>
      <c r="G94" s="341">
        <f t="shared" si="5"/>
        <v>0</v>
      </c>
      <c r="H94" s="395">
        <f>IF($A94="","",SUMIFS('Timesheet Raw'!$K$4:$K$8000,'Timesheet Raw'!$L$4:$L$8000,$A94,'Timesheet Raw'!$C$4:$C$8000,D$3))</f>
        <v>0.75</v>
      </c>
      <c r="I94" s="345">
        <f>IF($A94="","",SUMIFS('Timesheet Raw'!$P$4:$P$8000,'Timesheet Raw'!$L$4:$L$8000,$A94,'Timesheet Raw'!$C$4:$C$8000,D$3))</f>
        <v>9.25</v>
      </c>
      <c r="J94" s="375"/>
      <c r="K94" t="str">
        <f>IF($A94="","",IF(J94&lt;&gt;"",J94,IF($A94&gt;'Work Calendar'!$B$17,"No data yet",IF(AND(F94&gt;='Work Calendar'!$B$14,D94+E94+G94&gt;0),"Day off - but worked",IF(F94&gt;='Work Calendar'!$B$14,"Day off",IF(D94+E94+G94&gt;0,IF($C94="Working","Charged","Worked weekend"),IF($C94="Working","Leave (not charged)",$C94)))))))</f>
        <v>Charged</v>
      </c>
      <c r="L94" s="341">
        <f>IF($A94="","",SUMIFS('Timesheet Raw'!$P$4:$P$8000,'Timesheet Raw'!$L$4:$L$8000,$A94,'Timesheet Raw'!$C$4:$C$8000,L$3,'Timesheet Raw'!$A$4:$A$8000,"1-Projects"))</f>
        <v>8.5</v>
      </c>
      <c r="M94" s="341">
        <f>IF($A94="","",SUMIFS('Timesheet Raw'!$P$4:$P$8000,'Timesheet Raw'!$L$4:$L$8000,$A94,'Timesheet Raw'!$C$4:$C$8000,L$3,'Timesheet Raw'!$A$4:$A$8000,"2-Proposals Chargeable")+SUMIFS('Timesheet Raw'!$P$4:$P$8000,'Timesheet Raw'!$L$4:$L$8000,$A94,'Timesheet Raw'!$C$4:$C$8000,L$3,'Timesheet Raw'!$A$4:$A$8000,"3-Proposals Regular"))</f>
        <v>0</v>
      </c>
      <c r="N94" s="341">
        <f>IF($A94="","",SUMIFS('Timesheet Raw'!$P$4:$P$8000,'Timesheet Raw'!$L$4:$L$8000,$A94,'Timesheet Raw'!$C$4:$C$8000,L$3,'Timesheet Raw'!$B$4:$B$8000,'Work Calendar'!$A$26)+SUMIFS('Timesheet Raw'!$P$4:$P$8000,'Timesheet Raw'!$L$4:$L$8000,$A94,'Timesheet Raw'!$C$4:$C$8000,L$3,'Timesheet Raw'!$B$4:$B$8000,'Work Calendar'!$A$27)+SUMIFS('Timesheet Raw'!$P$4:$P$8000,'Timesheet Raw'!$L$4:$L$8000,$A94,'Timesheet Raw'!$C$4:$C$8000,L$3,'Timesheet Raw'!$B$4:$B$8000,'Work Calendar'!$A$28)+SUMIFS('Timesheet Raw'!$P$4:$P$8000,'Timesheet Raw'!$L$4:$L$8000,$A94,'Timesheet Raw'!$C$4:$C$8000,L$3,'Timesheet Raw'!$B$4:$B$8000,'Work Calendar'!$A$29))</f>
        <v>1</v>
      </c>
      <c r="O94" s="341">
        <f t="shared" si="6"/>
        <v>0</v>
      </c>
      <c r="P94" s="395">
        <f>IF($A94="","",SUMIFS('Timesheet Raw'!$K$4:$K$8000,'Timesheet Raw'!$L$4:$L$8000,$A94,'Timesheet Raw'!$C$4:$C$8000,L$3))</f>
        <v>1</v>
      </c>
      <c r="Q94" s="345">
        <f>IF($A94="","",SUMIFS('Timesheet Raw'!$P$4:$P$8000,'Timesheet Raw'!$L$4:$L$8000,$A94,'Timesheet Raw'!$C$4:$C$8000,L$3))</f>
        <v>9.5</v>
      </c>
      <c r="R94" s="375"/>
      <c r="S94" t="str">
        <f>IF($A94="","",IF(R94&lt;&gt;"",R94,IF($A94&gt;'Work Calendar'!$B$17,"No data yet",IF(AND(N94&gt;='Work Calendar'!$B$14,L94+M94+O94&gt;0),"Day off - but worked",IF(N94&gt;='Work Calendar'!$B$14,"Day off",IF(L94+M94+O94&gt;0,IF($C94="Working","Charged","Worked weekend"),IF($C94="Working","Leave (not charged)",$C94)))))))</f>
        <v>Charged</v>
      </c>
      <c r="T94" s="341">
        <f>IF($A94="","",SUMIFS('Timesheet Raw'!$P$4:$P$8000,'Timesheet Raw'!$L$4:$L$8000,$A94,'Timesheet Raw'!$C$4:$C$8000,T$3,'Timesheet Raw'!$A$4:$A$8000,"1-Projects"))</f>
        <v>8.75</v>
      </c>
      <c r="U94" s="341">
        <f>IF($A94="","",SUMIFS('Timesheet Raw'!$P$4:$P$8000,'Timesheet Raw'!$L$4:$L$8000,$A94,'Timesheet Raw'!$C$4:$C$8000,T$3,'Timesheet Raw'!$A$4:$A$8000,"2-Proposals Chargeable")+SUMIFS('Timesheet Raw'!$P$4:$P$8000,'Timesheet Raw'!$L$4:$L$8000,$A94,'Timesheet Raw'!$C$4:$C$8000,T$3,'Timesheet Raw'!$A$4:$A$8000,"3-Proposals Regular"))</f>
        <v>0</v>
      </c>
      <c r="V94" s="341">
        <f>IF($A94="","",SUMIFS('Timesheet Raw'!$P$4:$P$8000,'Timesheet Raw'!$L$4:$L$8000,$A94,'Timesheet Raw'!$C$4:$C$8000,T$3,'Timesheet Raw'!$B$4:$B$8000,'Work Calendar'!$A$26)+SUMIFS('Timesheet Raw'!$P$4:$P$8000,'Timesheet Raw'!$L$4:$L$8000,$A94,'Timesheet Raw'!$C$4:$C$8000,T$3,'Timesheet Raw'!$B$4:$B$8000,'Work Calendar'!$A$27)+SUMIFS('Timesheet Raw'!$P$4:$P$8000,'Timesheet Raw'!$L$4:$L$8000,$A94,'Timesheet Raw'!$C$4:$C$8000,T$3,'Timesheet Raw'!$B$4:$B$8000,'Work Calendar'!$A$28)+SUMIFS('Timesheet Raw'!$P$4:$P$8000,'Timesheet Raw'!$L$4:$L$8000,$A94,'Timesheet Raw'!$C$4:$C$8000,T$3,'Timesheet Raw'!$B$4:$B$8000,'Work Calendar'!$A$29))</f>
        <v>0.5</v>
      </c>
      <c r="W94" s="341">
        <f t="shared" si="7"/>
        <v>0</v>
      </c>
      <c r="X94" s="395">
        <f>IF($A94="","",SUMIFS('Timesheet Raw'!$K$4:$K$8000,'Timesheet Raw'!$L$4:$L$8000,$A94,'Timesheet Raw'!$C$4:$C$8000,T$3))</f>
        <v>0.75</v>
      </c>
      <c r="Y94" s="345">
        <f>IF($A94="","",SUMIFS('Timesheet Raw'!$P$4:$P$8000,'Timesheet Raw'!$L$4:$L$8000,$A94,'Timesheet Raw'!$C$4:$C$8000,T$3))</f>
        <v>9.25</v>
      </c>
      <c r="Z94" s="375"/>
      <c r="AA94" t="str">
        <f>IF($A94="","",IF(Z94&lt;&gt;"",Z94,IF($A94&gt;'Work Calendar'!$B$17,"No data yet",IF(AND(V94&gt;='Work Calendar'!$B$14,T94+U94+W94&gt;0),"Day off - but worked",IF(V94&gt;='Work Calendar'!$B$14,"Day off",IF(T94+U94+W94&gt;0,IF($C94="Working","Charged","Worked weekend"),IF($C94="Working","Leave (not charged)",$C94)))))))</f>
        <v>Charged</v>
      </c>
    </row>
    <row r="95" spans="1:27" x14ac:dyDescent="0.3">
      <c r="A95" s="371">
        <f>IF($A94="","",IF($A94+1&gt;'Work Calendar'!$B$16,"",$A94+1))</f>
        <v>46113</v>
      </c>
      <c r="B95" t="str">
        <f t="shared" si="4"/>
        <v>Wed</v>
      </c>
      <c r="C95" t="str" cm="1">
        <f t="array" ref="C95">IF($A95="","",IF(COUNTIF('Work Calendar'!$E$6:$E$200,$A95)&gt;0,"Holiday",IF(INDEX('Work Calendar'!$C$6:$C$12,WEEKDAY($A95,1))=1,"Working","Weekend")))</f>
        <v>Working</v>
      </c>
      <c r="D95" s="341">
        <f>IF($A95="","",SUMIFS('Timesheet Raw'!$P$4:$P$8000,'Timesheet Raw'!$L$4:$L$8000,$A95,'Timesheet Raw'!$C$4:$C$8000,D$3,'Timesheet Raw'!$A$4:$A$8000,"1-Projects"))</f>
        <v>8.5</v>
      </c>
      <c r="E95" s="341">
        <f>IF($A95="","",SUMIFS('Timesheet Raw'!$P$4:$P$8000,'Timesheet Raw'!$L$4:$L$8000,$A95,'Timesheet Raw'!$C$4:$C$8000,D$3,'Timesheet Raw'!$A$4:$A$8000,"2-Proposals Chargeable")+SUMIFS('Timesheet Raw'!$P$4:$P$8000,'Timesheet Raw'!$L$4:$L$8000,$A95,'Timesheet Raw'!$C$4:$C$8000,D$3,'Timesheet Raw'!$A$4:$A$8000,"3-Proposals Regular"))</f>
        <v>0</v>
      </c>
      <c r="F95" s="341">
        <f>IF($A95="","",SUMIFS('Timesheet Raw'!$P$4:$P$8000,'Timesheet Raw'!$L$4:$L$8000,$A95,'Timesheet Raw'!$C$4:$C$8000,D$3,'Timesheet Raw'!$B$4:$B$8000,'Work Calendar'!$A$26)+SUMIFS('Timesheet Raw'!$P$4:$P$8000,'Timesheet Raw'!$L$4:$L$8000,$A95,'Timesheet Raw'!$C$4:$C$8000,D$3,'Timesheet Raw'!$B$4:$B$8000,'Work Calendar'!$A$27)+SUMIFS('Timesheet Raw'!$P$4:$P$8000,'Timesheet Raw'!$L$4:$L$8000,$A95,'Timesheet Raw'!$C$4:$C$8000,D$3,'Timesheet Raw'!$B$4:$B$8000,'Work Calendar'!$A$28)+SUMIFS('Timesheet Raw'!$P$4:$P$8000,'Timesheet Raw'!$L$4:$L$8000,$A95,'Timesheet Raw'!$C$4:$C$8000,D$3,'Timesheet Raw'!$B$4:$B$8000,'Work Calendar'!$A$29))</f>
        <v>0.75</v>
      </c>
      <c r="G95" s="341">
        <f t="shared" si="5"/>
        <v>0</v>
      </c>
      <c r="H95" s="395">
        <f>IF($A95="","",SUMIFS('Timesheet Raw'!$K$4:$K$8000,'Timesheet Raw'!$L$4:$L$8000,$A95,'Timesheet Raw'!$C$4:$C$8000,D$3))</f>
        <v>0.75</v>
      </c>
      <c r="I95" s="345">
        <f>IF($A95="","",SUMIFS('Timesheet Raw'!$P$4:$P$8000,'Timesheet Raw'!$L$4:$L$8000,$A95,'Timesheet Raw'!$C$4:$C$8000,D$3))</f>
        <v>9.25</v>
      </c>
      <c r="J95" s="375"/>
      <c r="K95" t="str">
        <f>IF($A95="","",IF(J95&lt;&gt;"",J95,IF($A95&gt;'Work Calendar'!$B$17,"No data yet",IF(AND(F95&gt;='Work Calendar'!$B$14,D95+E95+G95&gt;0),"Day off - but worked",IF(F95&gt;='Work Calendar'!$B$14,"Day off",IF(D95+E95+G95&gt;0,IF($C95="Working","Charged","Worked weekend"),IF($C95="Working","Leave (not charged)",$C95)))))))</f>
        <v>Charged</v>
      </c>
      <c r="L95" s="341">
        <f>IF($A95="","",SUMIFS('Timesheet Raw'!$P$4:$P$8000,'Timesheet Raw'!$L$4:$L$8000,$A95,'Timesheet Raw'!$C$4:$C$8000,L$3,'Timesheet Raw'!$A$4:$A$8000,"1-Projects"))</f>
        <v>8.75</v>
      </c>
      <c r="M95" s="341">
        <f>IF($A95="","",SUMIFS('Timesheet Raw'!$P$4:$P$8000,'Timesheet Raw'!$L$4:$L$8000,$A95,'Timesheet Raw'!$C$4:$C$8000,L$3,'Timesheet Raw'!$A$4:$A$8000,"2-Proposals Chargeable")+SUMIFS('Timesheet Raw'!$P$4:$P$8000,'Timesheet Raw'!$L$4:$L$8000,$A95,'Timesheet Raw'!$C$4:$C$8000,L$3,'Timesheet Raw'!$A$4:$A$8000,"3-Proposals Regular"))</f>
        <v>0</v>
      </c>
      <c r="N95" s="341">
        <f>IF($A95="","",SUMIFS('Timesheet Raw'!$P$4:$P$8000,'Timesheet Raw'!$L$4:$L$8000,$A95,'Timesheet Raw'!$C$4:$C$8000,L$3,'Timesheet Raw'!$B$4:$B$8000,'Work Calendar'!$A$26)+SUMIFS('Timesheet Raw'!$P$4:$P$8000,'Timesheet Raw'!$L$4:$L$8000,$A95,'Timesheet Raw'!$C$4:$C$8000,L$3,'Timesheet Raw'!$B$4:$B$8000,'Work Calendar'!$A$27)+SUMIFS('Timesheet Raw'!$P$4:$P$8000,'Timesheet Raw'!$L$4:$L$8000,$A95,'Timesheet Raw'!$C$4:$C$8000,L$3,'Timesheet Raw'!$B$4:$B$8000,'Work Calendar'!$A$28)+SUMIFS('Timesheet Raw'!$P$4:$P$8000,'Timesheet Raw'!$L$4:$L$8000,$A95,'Timesheet Raw'!$C$4:$C$8000,L$3,'Timesheet Raw'!$B$4:$B$8000,'Work Calendar'!$A$29))</f>
        <v>0.75</v>
      </c>
      <c r="O95" s="341">
        <f t="shared" si="6"/>
        <v>0</v>
      </c>
      <c r="P95" s="395">
        <f>IF($A95="","",SUMIFS('Timesheet Raw'!$K$4:$K$8000,'Timesheet Raw'!$L$4:$L$8000,$A95,'Timesheet Raw'!$C$4:$C$8000,L$3))</f>
        <v>1</v>
      </c>
      <c r="Q95" s="345">
        <f>IF($A95="","",SUMIFS('Timesheet Raw'!$P$4:$P$8000,'Timesheet Raw'!$L$4:$L$8000,$A95,'Timesheet Raw'!$C$4:$C$8000,L$3))</f>
        <v>9.5</v>
      </c>
      <c r="R95" s="375"/>
      <c r="S95" t="str">
        <f>IF($A95="","",IF(R95&lt;&gt;"",R95,IF($A95&gt;'Work Calendar'!$B$17,"No data yet",IF(AND(N95&gt;='Work Calendar'!$B$14,L95+M95+O95&gt;0),"Day off - but worked",IF(N95&gt;='Work Calendar'!$B$14,"Day off",IF(L95+M95+O95&gt;0,IF($C95="Working","Charged","Worked weekend"),IF($C95="Working","Leave (not charged)",$C95)))))))</f>
        <v>Charged</v>
      </c>
      <c r="T95" s="341">
        <f>IF($A95="","",SUMIFS('Timesheet Raw'!$P$4:$P$8000,'Timesheet Raw'!$L$4:$L$8000,$A95,'Timesheet Raw'!$C$4:$C$8000,T$3,'Timesheet Raw'!$A$4:$A$8000,"1-Projects"))</f>
        <v>9</v>
      </c>
      <c r="U95" s="341">
        <f>IF($A95="","",SUMIFS('Timesheet Raw'!$P$4:$P$8000,'Timesheet Raw'!$L$4:$L$8000,$A95,'Timesheet Raw'!$C$4:$C$8000,T$3,'Timesheet Raw'!$A$4:$A$8000,"2-Proposals Chargeable")+SUMIFS('Timesheet Raw'!$P$4:$P$8000,'Timesheet Raw'!$L$4:$L$8000,$A95,'Timesheet Raw'!$C$4:$C$8000,T$3,'Timesheet Raw'!$A$4:$A$8000,"3-Proposals Regular"))</f>
        <v>0</v>
      </c>
      <c r="V95" s="341">
        <f>IF($A95="","",SUMIFS('Timesheet Raw'!$P$4:$P$8000,'Timesheet Raw'!$L$4:$L$8000,$A95,'Timesheet Raw'!$C$4:$C$8000,T$3,'Timesheet Raw'!$B$4:$B$8000,'Work Calendar'!$A$26)+SUMIFS('Timesheet Raw'!$P$4:$P$8000,'Timesheet Raw'!$L$4:$L$8000,$A95,'Timesheet Raw'!$C$4:$C$8000,T$3,'Timesheet Raw'!$B$4:$B$8000,'Work Calendar'!$A$27)+SUMIFS('Timesheet Raw'!$P$4:$P$8000,'Timesheet Raw'!$L$4:$L$8000,$A95,'Timesheet Raw'!$C$4:$C$8000,T$3,'Timesheet Raw'!$B$4:$B$8000,'Work Calendar'!$A$28)+SUMIFS('Timesheet Raw'!$P$4:$P$8000,'Timesheet Raw'!$L$4:$L$8000,$A95,'Timesheet Raw'!$C$4:$C$8000,T$3,'Timesheet Raw'!$B$4:$B$8000,'Work Calendar'!$A$29))</f>
        <v>0.25</v>
      </c>
      <c r="W95" s="341">
        <f t="shared" si="7"/>
        <v>0</v>
      </c>
      <c r="X95" s="395">
        <f>IF($A95="","",SUMIFS('Timesheet Raw'!$K$4:$K$8000,'Timesheet Raw'!$L$4:$L$8000,$A95,'Timesheet Raw'!$C$4:$C$8000,T$3))</f>
        <v>0.75</v>
      </c>
      <c r="Y95" s="345">
        <f>IF($A95="","",SUMIFS('Timesheet Raw'!$P$4:$P$8000,'Timesheet Raw'!$L$4:$L$8000,$A95,'Timesheet Raw'!$C$4:$C$8000,T$3))</f>
        <v>9.25</v>
      </c>
      <c r="Z95" s="375"/>
      <c r="AA95" t="str">
        <f>IF($A95="","",IF(Z95&lt;&gt;"",Z95,IF($A95&gt;'Work Calendar'!$B$17,"No data yet",IF(AND(V95&gt;='Work Calendar'!$B$14,T95+U95+W95&gt;0),"Day off - but worked",IF(V95&gt;='Work Calendar'!$B$14,"Day off",IF(T95+U95+W95&gt;0,IF($C95="Working","Charged","Worked weekend"),IF($C95="Working","Leave (not charged)",$C95)))))))</f>
        <v>Charged</v>
      </c>
    </row>
    <row r="96" spans="1:27" x14ac:dyDescent="0.3">
      <c r="A96" s="371">
        <f>IF($A95="","",IF($A95+1&gt;'Work Calendar'!$B$16,"",$A95+1))</f>
        <v>46114</v>
      </c>
      <c r="B96" t="str">
        <f t="shared" si="4"/>
        <v>Thu</v>
      </c>
      <c r="C96" t="str" cm="1">
        <f t="array" ref="C96">IF($A96="","",IF(COUNTIF('Work Calendar'!$E$6:$E$200,$A96)&gt;0,"Holiday",IF(INDEX('Work Calendar'!$C$6:$C$12,WEEKDAY($A96,1))=1,"Working","Weekend")))</f>
        <v>Working</v>
      </c>
      <c r="D96" s="341">
        <f>IF($A96="","",SUMIFS('Timesheet Raw'!$P$4:$P$8000,'Timesheet Raw'!$L$4:$L$8000,$A96,'Timesheet Raw'!$C$4:$C$8000,D$3,'Timesheet Raw'!$A$4:$A$8000,"1-Projects"))</f>
        <v>9.25</v>
      </c>
      <c r="E96" s="341">
        <f>IF($A96="","",SUMIFS('Timesheet Raw'!$P$4:$P$8000,'Timesheet Raw'!$L$4:$L$8000,$A96,'Timesheet Raw'!$C$4:$C$8000,D$3,'Timesheet Raw'!$A$4:$A$8000,"2-Proposals Chargeable")+SUMIFS('Timesheet Raw'!$P$4:$P$8000,'Timesheet Raw'!$L$4:$L$8000,$A96,'Timesheet Raw'!$C$4:$C$8000,D$3,'Timesheet Raw'!$A$4:$A$8000,"3-Proposals Regular"))</f>
        <v>0</v>
      </c>
      <c r="F96" s="341">
        <f>IF($A96="","",SUMIFS('Timesheet Raw'!$P$4:$P$8000,'Timesheet Raw'!$L$4:$L$8000,$A96,'Timesheet Raw'!$C$4:$C$8000,D$3,'Timesheet Raw'!$B$4:$B$8000,'Work Calendar'!$A$26)+SUMIFS('Timesheet Raw'!$P$4:$P$8000,'Timesheet Raw'!$L$4:$L$8000,$A96,'Timesheet Raw'!$C$4:$C$8000,D$3,'Timesheet Raw'!$B$4:$B$8000,'Work Calendar'!$A$27)+SUMIFS('Timesheet Raw'!$P$4:$P$8000,'Timesheet Raw'!$L$4:$L$8000,$A96,'Timesheet Raw'!$C$4:$C$8000,D$3,'Timesheet Raw'!$B$4:$B$8000,'Work Calendar'!$A$28)+SUMIFS('Timesheet Raw'!$P$4:$P$8000,'Timesheet Raw'!$L$4:$L$8000,$A96,'Timesheet Raw'!$C$4:$C$8000,D$3,'Timesheet Raw'!$B$4:$B$8000,'Work Calendar'!$A$29))</f>
        <v>1</v>
      </c>
      <c r="G96" s="341">
        <f t="shared" si="5"/>
        <v>0</v>
      </c>
      <c r="H96" s="395">
        <f>IF($A96="","",SUMIFS('Timesheet Raw'!$K$4:$K$8000,'Timesheet Raw'!$L$4:$L$8000,$A96,'Timesheet Raw'!$C$4:$C$8000,D$3))</f>
        <v>1.75</v>
      </c>
      <c r="I96" s="345">
        <f>IF($A96="","",SUMIFS('Timesheet Raw'!$P$4:$P$8000,'Timesheet Raw'!$L$4:$L$8000,$A96,'Timesheet Raw'!$C$4:$C$8000,D$3))</f>
        <v>10.25</v>
      </c>
      <c r="J96" s="375"/>
      <c r="K96" t="str">
        <f>IF($A96="","",IF(J96&lt;&gt;"",J96,IF($A96&gt;'Work Calendar'!$B$17,"No data yet",IF(AND(F96&gt;='Work Calendar'!$B$14,D96+E96+G96&gt;0),"Day off - but worked",IF(F96&gt;='Work Calendar'!$B$14,"Day off",IF(D96+E96+G96&gt;0,IF($C96="Working","Charged","Worked weekend"),IF($C96="Working","Leave (not charged)",$C96)))))))</f>
        <v>Charged</v>
      </c>
      <c r="L96" s="341">
        <f>IF($A96="","",SUMIFS('Timesheet Raw'!$P$4:$P$8000,'Timesheet Raw'!$L$4:$L$8000,$A96,'Timesheet Raw'!$C$4:$C$8000,L$3,'Timesheet Raw'!$A$4:$A$8000,"1-Projects"))</f>
        <v>9</v>
      </c>
      <c r="M96" s="341">
        <f>IF($A96="","",SUMIFS('Timesheet Raw'!$P$4:$P$8000,'Timesheet Raw'!$L$4:$L$8000,$A96,'Timesheet Raw'!$C$4:$C$8000,L$3,'Timesheet Raw'!$A$4:$A$8000,"2-Proposals Chargeable")+SUMIFS('Timesheet Raw'!$P$4:$P$8000,'Timesheet Raw'!$L$4:$L$8000,$A96,'Timesheet Raw'!$C$4:$C$8000,L$3,'Timesheet Raw'!$A$4:$A$8000,"3-Proposals Regular"))</f>
        <v>0</v>
      </c>
      <c r="N96" s="341">
        <f>IF($A96="","",SUMIFS('Timesheet Raw'!$P$4:$P$8000,'Timesheet Raw'!$L$4:$L$8000,$A96,'Timesheet Raw'!$C$4:$C$8000,L$3,'Timesheet Raw'!$B$4:$B$8000,'Work Calendar'!$A$26)+SUMIFS('Timesheet Raw'!$P$4:$P$8000,'Timesheet Raw'!$L$4:$L$8000,$A96,'Timesheet Raw'!$C$4:$C$8000,L$3,'Timesheet Raw'!$B$4:$B$8000,'Work Calendar'!$A$27)+SUMIFS('Timesheet Raw'!$P$4:$P$8000,'Timesheet Raw'!$L$4:$L$8000,$A96,'Timesheet Raw'!$C$4:$C$8000,L$3,'Timesheet Raw'!$B$4:$B$8000,'Work Calendar'!$A$28)+SUMIFS('Timesheet Raw'!$P$4:$P$8000,'Timesheet Raw'!$L$4:$L$8000,$A96,'Timesheet Raw'!$C$4:$C$8000,L$3,'Timesheet Raw'!$B$4:$B$8000,'Work Calendar'!$A$29))</f>
        <v>0</v>
      </c>
      <c r="O96" s="341">
        <f t="shared" si="6"/>
        <v>0</v>
      </c>
      <c r="P96" s="395">
        <f>IF($A96="","",SUMIFS('Timesheet Raw'!$K$4:$K$8000,'Timesheet Raw'!$L$4:$L$8000,$A96,'Timesheet Raw'!$C$4:$C$8000,L$3))</f>
        <v>0.5</v>
      </c>
      <c r="Q96" s="345">
        <f>IF($A96="","",SUMIFS('Timesheet Raw'!$P$4:$P$8000,'Timesheet Raw'!$L$4:$L$8000,$A96,'Timesheet Raw'!$C$4:$C$8000,L$3))</f>
        <v>9</v>
      </c>
      <c r="R96" s="375"/>
      <c r="S96" t="str">
        <f>IF($A96="","",IF(R96&lt;&gt;"",R96,IF($A96&gt;'Work Calendar'!$B$17,"No data yet",IF(AND(N96&gt;='Work Calendar'!$B$14,L96+M96+O96&gt;0),"Day off - but worked",IF(N96&gt;='Work Calendar'!$B$14,"Day off",IF(L96+M96+O96&gt;0,IF($C96="Working","Charged","Worked weekend"),IF($C96="Working","Leave (not charged)",$C96)))))))</f>
        <v>Charged</v>
      </c>
      <c r="T96" s="341">
        <f>IF($A96="","",SUMIFS('Timesheet Raw'!$P$4:$P$8000,'Timesheet Raw'!$L$4:$L$8000,$A96,'Timesheet Raw'!$C$4:$C$8000,T$3,'Timesheet Raw'!$A$4:$A$8000,"1-Projects"))</f>
        <v>10</v>
      </c>
      <c r="U96" s="341">
        <f>IF($A96="","",SUMIFS('Timesheet Raw'!$P$4:$P$8000,'Timesheet Raw'!$L$4:$L$8000,$A96,'Timesheet Raw'!$C$4:$C$8000,T$3,'Timesheet Raw'!$A$4:$A$8000,"2-Proposals Chargeable")+SUMIFS('Timesheet Raw'!$P$4:$P$8000,'Timesheet Raw'!$L$4:$L$8000,$A96,'Timesheet Raw'!$C$4:$C$8000,T$3,'Timesheet Raw'!$A$4:$A$8000,"3-Proposals Regular"))</f>
        <v>0</v>
      </c>
      <c r="V96" s="341">
        <f>IF($A96="","",SUMIFS('Timesheet Raw'!$P$4:$P$8000,'Timesheet Raw'!$L$4:$L$8000,$A96,'Timesheet Raw'!$C$4:$C$8000,T$3,'Timesheet Raw'!$B$4:$B$8000,'Work Calendar'!$A$26)+SUMIFS('Timesheet Raw'!$P$4:$P$8000,'Timesheet Raw'!$L$4:$L$8000,$A96,'Timesheet Raw'!$C$4:$C$8000,T$3,'Timesheet Raw'!$B$4:$B$8000,'Work Calendar'!$A$27)+SUMIFS('Timesheet Raw'!$P$4:$P$8000,'Timesheet Raw'!$L$4:$L$8000,$A96,'Timesheet Raw'!$C$4:$C$8000,T$3,'Timesheet Raw'!$B$4:$B$8000,'Work Calendar'!$A$28)+SUMIFS('Timesheet Raw'!$P$4:$P$8000,'Timesheet Raw'!$L$4:$L$8000,$A96,'Timesheet Raw'!$C$4:$C$8000,T$3,'Timesheet Raw'!$B$4:$B$8000,'Work Calendar'!$A$29))</f>
        <v>0.25</v>
      </c>
      <c r="W96" s="341">
        <f t="shared" si="7"/>
        <v>0</v>
      </c>
      <c r="X96" s="395">
        <f>IF($A96="","",SUMIFS('Timesheet Raw'!$K$4:$K$8000,'Timesheet Raw'!$L$4:$L$8000,$A96,'Timesheet Raw'!$C$4:$C$8000,T$3))</f>
        <v>1.75</v>
      </c>
      <c r="Y96" s="345">
        <f>IF($A96="","",SUMIFS('Timesheet Raw'!$P$4:$P$8000,'Timesheet Raw'!$L$4:$L$8000,$A96,'Timesheet Raw'!$C$4:$C$8000,T$3))</f>
        <v>10.25</v>
      </c>
      <c r="Z96" s="375"/>
      <c r="AA96" t="str">
        <f>IF($A96="","",IF(Z96&lt;&gt;"",Z96,IF($A96&gt;'Work Calendar'!$B$17,"No data yet",IF(AND(V96&gt;='Work Calendar'!$B$14,T96+U96+W96&gt;0),"Day off - but worked",IF(V96&gt;='Work Calendar'!$B$14,"Day off",IF(T96+U96+W96&gt;0,IF($C96="Working","Charged","Worked weekend"),IF($C96="Working","Leave (not charged)",$C96)))))))</f>
        <v>Charged</v>
      </c>
    </row>
    <row r="97" spans="1:27" x14ac:dyDescent="0.3">
      <c r="A97" s="371">
        <f>IF($A96="","",IF($A96+1&gt;'Work Calendar'!$B$16,"",$A96+1))</f>
        <v>46115</v>
      </c>
      <c r="B97" t="str">
        <f t="shared" si="4"/>
        <v>Fri</v>
      </c>
      <c r="C97" t="str" cm="1">
        <f t="array" ref="C97">IF($A97="","",IF(COUNTIF('Work Calendar'!$E$6:$E$200,$A97)&gt;0,"Holiday",IF(INDEX('Work Calendar'!$C$6:$C$12,WEEKDAY($A97,1))=1,"Working","Weekend")))</f>
        <v>Weekend</v>
      </c>
      <c r="D97" s="341">
        <f>IF($A97="","",SUMIFS('Timesheet Raw'!$P$4:$P$8000,'Timesheet Raw'!$L$4:$L$8000,$A97,'Timesheet Raw'!$C$4:$C$8000,D$3,'Timesheet Raw'!$A$4:$A$8000,"1-Projects"))</f>
        <v>0</v>
      </c>
      <c r="E97" s="341">
        <f>IF($A97="","",SUMIFS('Timesheet Raw'!$P$4:$P$8000,'Timesheet Raw'!$L$4:$L$8000,$A97,'Timesheet Raw'!$C$4:$C$8000,D$3,'Timesheet Raw'!$A$4:$A$8000,"2-Proposals Chargeable")+SUMIFS('Timesheet Raw'!$P$4:$P$8000,'Timesheet Raw'!$L$4:$L$8000,$A97,'Timesheet Raw'!$C$4:$C$8000,D$3,'Timesheet Raw'!$A$4:$A$8000,"3-Proposals Regular"))</f>
        <v>0</v>
      </c>
      <c r="F97" s="341">
        <f>IF($A97="","",SUMIFS('Timesheet Raw'!$P$4:$P$8000,'Timesheet Raw'!$L$4:$L$8000,$A97,'Timesheet Raw'!$C$4:$C$8000,D$3,'Timesheet Raw'!$B$4:$B$8000,'Work Calendar'!$A$26)+SUMIFS('Timesheet Raw'!$P$4:$P$8000,'Timesheet Raw'!$L$4:$L$8000,$A97,'Timesheet Raw'!$C$4:$C$8000,D$3,'Timesheet Raw'!$B$4:$B$8000,'Work Calendar'!$A$27)+SUMIFS('Timesheet Raw'!$P$4:$P$8000,'Timesheet Raw'!$L$4:$L$8000,$A97,'Timesheet Raw'!$C$4:$C$8000,D$3,'Timesheet Raw'!$B$4:$B$8000,'Work Calendar'!$A$28)+SUMIFS('Timesheet Raw'!$P$4:$P$8000,'Timesheet Raw'!$L$4:$L$8000,$A97,'Timesheet Raw'!$C$4:$C$8000,D$3,'Timesheet Raw'!$B$4:$B$8000,'Work Calendar'!$A$29))</f>
        <v>0</v>
      </c>
      <c r="G97" s="341">
        <f t="shared" si="5"/>
        <v>0</v>
      </c>
      <c r="H97" s="395">
        <f>IF($A97="","",SUMIFS('Timesheet Raw'!$K$4:$K$8000,'Timesheet Raw'!$L$4:$L$8000,$A97,'Timesheet Raw'!$C$4:$C$8000,D$3))</f>
        <v>0</v>
      </c>
      <c r="I97" s="345">
        <f>IF($A97="","",SUMIFS('Timesheet Raw'!$P$4:$P$8000,'Timesheet Raw'!$L$4:$L$8000,$A97,'Timesheet Raw'!$C$4:$C$8000,D$3))</f>
        <v>0</v>
      </c>
      <c r="J97" s="375"/>
      <c r="K97" t="str">
        <f>IF($A97="","",IF(J97&lt;&gt;"",J97,IF($A97&gt;'Work Calendar'!$B$17,"No data yet",IF(AND(F97&gt;='Work Calendar'!$B$14,D97+E97+G97&gt;0),"Day off - but worked",IF(F97&gt;='Work Calendar'!$B$14,"Day off",IF(D97+E97+G97&gt;0,IF($C97="Working","Charged","Worked weekend"),IF($C97="Working","Leave (not charged)",$C97)))))))</f>
        <v>Weekend</v>
      </c>
      <c r="L97" s="341">
        <f>IF($A97="","",SUMIFS('Timesheet Raw'!$P$4:$P$8000,'Timesheet Raw'!$L$4:$L$8000,$A97,'Timesheet Raw'!$C$4:$C$8000,L$3,'Timesheet Raw'!$A$4:$A$8000,"1-Projects"))</f>
        <v>0</v>
      </c>
      <c r="M97" s="341">
        <f>IF($A97="","",SUMIFS('Timesheet Raw'!$P$4:$P$8000,'Timesheet Raw'!$L$4:$L$8000,$A97,'Timesheet Raw'!$C$4:$C$8000,L$3,'Timesheet Raw'!$A$4:$A$8000,"2-Proposals Chargeable")+SUMIFS('Timesheet Raw'!$P$4:$P$8000,'Timesheet Raw'!$L$4:$L$8000,$A97,'Timesheet Raw'!$C$4:$C$8000,L$3,'Timesheet Raw'!$A$4:$A$8000,"3-Proposals Regular"))</f>
        <v>0</v>
      </c>
      <c r="N97" s="341">
        <f>IF($A97="","",SUMIFS('Timesheet Raw'!$P$4:$P$8000,'Timesheet Raw'!$L$4:$L$8000,$A97,'Timesheet Raw'!$C$4:$C$8000,L$3,'Timesheet Raw'!$B$4:$B$8000,'Work Calendar'!$A$26)+SUMIFS('Timesheet Raw'!$P$4:$P$8000,'Timesheet Raw'!$L$4:$L$8000,$A97,'Timesheet Raw'!$C$4:$C$8000,L$3,'Timesheet Raw'!$B$4:$B$8000,'Work Calendar'!$A$27)+SUMIFS('Timesheet Raw'!$P$4:$P$8000,'Timesheet Raw'!$L$4:$L$8000,$A97,'Timesheet Raw'!$C$4:$C$8000,L$3,'Timesheet Raw'!$B$4:$B$8000,'Work Calendar'!$A$28)+SUMIFS('Timesheet Raw'!$P$4:$P$8000,'Timesheet Raw'!$L$4:$L$8000,$A97,'Timesheet Raw'!$C$4:$C$8000,L$3,'Timesheet Raw'!$B$4:$B$8000,'Work Calendar'!$A$29))</f>
        <v>0</v>
      </c>
      <c r="O97" s="341">
        <f t="shared" si="6"/>
        <v>0</v>
      </c>
      <c r="P97" s="395">
        <f>IF($A97="","",SUMIFS('Timesheet Raw'!$K$4:$K$8000,'Timesheet Raw'!$L$4:$L$8000,$A97,'Timesheet Raw'!$C$4:$C$8000,L$3))</f>
        <v>0</v>
      </c>
      <c r="Q97" s="345">
        <f>IF($A97="","",SUMIFS('Timesheet Raw'!$P$4:$P$8000,'Timesheet Raw'!$L$4:$L$8000,$A97,'Timesheet Raw'!$C$4:$C$8000,L$3))</f>
        <v>0</v>
      </c>
      <c r="R97" s="375"/>
      <c r="S97" t="str">
        <f>IF($A97="","",IF(R97&lt;&gt;"",R97,IF($A97&gt;'Work Calendar'!$B$17,"No data yet",IF(AND(N97&gt;='Work Calendar'!$B$14,L97+M97+O97&gt;0),"Day off - but worked",IF(N97&gt;='Work Calendar'!$B$14,"Day off",IF(L97+M97+O97&gt;0,IF($C97="Working","Charged","Worked weekend"),IF($C97="Working","Leave (not charged)",$C97)))))))</f>
        <v>Weekend</v>
      </c>
      <c r="T97" s="341">
        <f>IF($A97="","",SUMIFS('Timesheet Raw'!$P$4:$P$8000,'Timesheet Raw'!$L$4:$L$8000,$A97,'Timesheet Raw'!$C$4:$C$8000,T$3,'Timesheet Raw'!$A$4:$A$8000,"1-Projects"))</f>
        <v>0</v>
      </c>
      <c r="U97" s="341">
        <f>IF($A97="","",SUMIFS('Timesheet Raw'!$P$4:$P$8000,'Timesheet Raw'!$L$4:$L$8000,$A97,'Timesheet Raw'!$C$4:$C$8000,T$3,'Timesheet Raw'!$A$4:$A$8000,"2-Proposals Chargeable")+SUMIFS('Timesheet Raw'!$P$4:$P$8000,'Timesheet Raw'!$L$4:$L$8000,$A97,'Timesheet Raw'!$C$4:$C$8000,T$3,'Timesheet Raw'!$A$4:$A$8000,"3-Proposals Regular"))</f>
        <v>0</v>
      </c>
      <c r="V97" s="341">
        <f>IF($A97="","",SUMIFS('Timesheet Raw'!$P$4:$P$8000,'Timesheet Raw'!$L$4:$L$8000,$A97,'Timesheet Raw'!$C$4:$C$8000,T$3,'Timesheet Raw'!$B$4:$B$8000,'Work Calendar'!$A$26)+SUMIFS('Timesheet Raw'!$P$4:$P$8000,'Timesheet Raw'!$L$4:$L$8000,$A97,'Timesheet Raw'!$C$4:$C$8000,T$3,'Timesheet Raw'!$B$4:$B$8000,'Work Calendar'!$A$27)+SUMIFS('Timesheet Raw'!$P$4:$P$8000,'Timesheet Raw'!$L$4:$L$8000,$A97,'Timesheet Raw'!$C$4:$C$8000,T$3,'Timesheet Raw'!$B$4:$B$8000,'Work Calendar'!$A$28)+SUMIFS('Timesheet Raw'!$P$4:$P$8000,'Timesheet Raw'!$L$4:$L$8000,$A97,'Timesheet Raw'!$C$4:$C$8000,T$3,'Timesheet Raw'!$B$4:$B$8000,'Work Calendar'!$A$29))</f>
        <v>0</v>
      </c>
      <c r="W97" s="341">
        <f t="shared" si="7"/>
        <v>0</v>
      </c>
      <c r="X97" s="395">
        <f>IF($A97="","",SUMIFS('Timesheet Raw'!$K$4:$K$8000,'Timesheet Raw'!$L$4:$L$8000,$A97,'Timesheet Raw'!$C$4:$C$8000,T$3))</f>
        <v>0</v>
      </c>
      <c r="Y97" s="345">
        <f>IF($A97="","",SUMIFS('Timesheet Raw'!$P$4:$P$8000,'Timesheet Raw'!$L$4:$L$8000,$A97,'Timesheet Raw'!$C$4:$C$8000,T$3))</f>
        <v>0</v>
      </c>
      <c r="Z97" s="375"/>
      <c r="AA97" t="str">
        <f>IF($A97="","",IF(Z97&lt;&gt;"",Z97,IF($A97&gt;'Work Calendar'!$B$17,"No data yet",IF(AND(V97&gt;='Work Calendar'!$B$14,T97+U97+W97&gt;0),"Day off - but worked",IF(V97&gt;='Work Calendar'!$B$14,"Day off",IF(T97+U97+W97&gt;0,IF($C97="Working","Charged","Worked weekend"),IF($C97="Working","Leave (not charged)",$C97)))))))</f>
        <v>Weekend</v>
      </c>
    </row>
    <row r="98" spans="1:27" x14ac:dyDescent="0.3">
      <c r="A98" s="371">
        <f>IF($A97="","",IF($A97+1&gt;'Work Calendar'!$B$16,"",$A97+1))</f>
        <v>46116</v>
      </c>
      <c r="B98" t="str">
        <f t="shared" si="4"/>
        <v>Sat</v>
      </c>
      <c r="C98" t="str" cm="1">
        <f t="array" ref="C98">IF($A98="","",IF(COUNTIF('Work Calendar'!$E$6:$E$200,$A98)&gt;0,"Holiday",IF(INDEX('Work Calendar'!$C$6:$C$12,WEEKDAY($A98,1))=1,"Working","Weekend")))</f>
        <v>Weekend</v>
      </c>
      <c r="D98" s="341">
        <f>IF($A98="","",SUMIFS('Timesheet Raw'!$P$4:$P$8000,'Timesheet Raw'!$L$4:$L$8000,$A98,'Timesheet Raw'!$C$4:$C$8000,D$3,'Timesheet Raw'!$A$4:$A$8000,"1-Projects"))</f>
        <v>0</v>
      </c>
      <c r="E98" s="341">
        <f>IF($A98="","",SUMIFS('Timesheet Raw'!$P$4:$P$8000,'Timesheet Raw'!$L$4:$L$8000,$A98,'Timesheet Raw'!$C$4:$C$8000,D$3,'Timesheet Raw'!$A$4:$A$8000,"2-Proposals Chargeable")+SUMIFS('Timesheet Raw'!$P$4:$P$8000,'Timesheet Raw'!$L$4:$L$8000,$A98,'Timesheet Raw'!$C$4:$C$8000,D$3,'Timesheet Raw'!$A$4:$A$8000,"3-Proposals Regular"))</f>
        <v>0</v>
      </c>
      <c r="F98" s="341">
        <f>IF($A98="","",SUMIFS('Timesheet Raw'!$P$4:$P$8000,'Timesheet Raw'!$L$4:$L$8000,$A98,'Timesheet Raw'!$C$4:$C$8000,D$3,'Timesheet Raw'!$B$4:$B$8000,'Work Calendar'!$A$26)+SUMIFS('Timesheet Raw'!$P$4:$P$8000,'Timesheet Raw'!$L$4:$L$8000,$A98,'Timesheet Raw'!$C$4:$C$8000,D$3,'Timesheet Raw'!$B$4:$B$8000,'Work Calendar'!$A$27)+SUMIFS('Timesheet Raw'!$P$4:$P$8000,'Timesheet Raw'!$L$4:$L$8000,$A98,'Timesheet Raw'!$C$4:$C$8000,D$3,'Timesheet Raw'!$B$4:$B$8000,'Work Calendar'!$A$28)+SUMIFS('Timesheet Raw'!$P$4:$P$8000,'Timesheet Raw'!$L$4:$L$8000,$A98,'Timesheet Raw'!$C$4:$C$8000,D$3,'Timesheet Raw'!$B$4:$B$8000,'Work Calendar'!$A$29))</f>
        <v>0</v>
      </c>
      <c r="G98" s="341">
        <f t="shared" si="5"/>
        <v>0</v>
      </c>
      <c r="H98" s="395">
        <f>IF($A98="","",SUMIFS('Timesheet Raw'!$K$4:$K$8000,'Timesheet Raw'!$L$4:$L$8000,$A98,'Timesheet Raw'!$C$4:$C$8000,D$3))</f>
        <v>0</v>
      </c>
      <c r="I98" s="345">
        <f>IF($A98="","",SUMIFS('Timesheet Raw'!$P$4:$P$8000,'Timesheet Raw'!$L$4:$L$8000,$A98,'Timesheet Raw'!$C$4:$C$8000,D$3))</f>
        <v>0</v>
      </c>
      <c r="J98" s="375"/>
      <c r="K98" t="str">
        <f>IF($A98="","",IF(J98&lt;&gt;"",J98,IF($A98&gt;'Work Calendar'!$B$17,"No data yet",IF(AND(F98&gt;='Work Calendar'!$B$14,D98+E98+G98&gt;0),"Day off - but worked",IF(F98&gt;='Work Calendar'!$B$14,"Day off",IF(D98+E98+G98&gt;0,IF($C98="Working","Charged","Worked weekend"),IF($C98="Working","Leave (not charged)",$C98)))))))</f>
        <v>Weekend</v>
      </c>
      <c r="L98" s="341">
        <f>IF($A98="","",SUMIFS('Timesheet Raw'!$P$4:$P$8000,'Timesheet Raw'!$L$4:$L$8000,$A98,'Timesheet Raw'!$C$4:$C$8000,L$3,'Timesheet Raw'!$A$4:$A$8000,"1-Projects"))</f>
        <v>0</v>
      </c>
      <c r="M98" s="341">
        <f>IF($A98="","",SUMIFS('Timesheet Raw'!$P$4:$P$8000,'Timesheet Raw'!$L$4:$L$8000,$A98,'Timesheet Raw'!$C$4:$C$8000,L$3,'Timesheet Raw'!$A$4:$A$8000,"2-Proposals Chargeable")+SUMIFS('Timesheet Raw'!$P$4:$P$8000,'Timesheet Raw'!$L$4:$L$8000,$A98,'Timesheet Raw'!$C$4:$C$8000,L$3,'Timesheet Raw'!$A$4:$A$8000,"3-Proposals Regular"))</f>
        <v>0</v>
      </c>
      <c r="N98" s="341">
        <f>IF($A98="","",SUMIFS('Timesheet Raw'!$P$4:$P$8000,'Timesheet Raw'!$L$4:$L$8000,$A98,'Timesheet Raw'!$C$4:$C$8000,L$3,'Timesheet Raw'!$B$4:$B$8000,'Work Calendar'!$A$26)+SUMIFS('Timesheet Raw'!$P$4:$P$8000,'Timesheet Raw'!$L$4:$L$8000,$A98,'Timesheet Raw'!$C$4:$C$8000,L$3,'Timesheet Raw'!$B$4:$B$8000,'Work Calendar'!$A$27)+SUMIFS('Timesheet Raw'!$P$4:$P$8000,'Timesheet Raw'!$L$4:$L$8000,$A98,'Timesheet Raw'!$C$4:$C$8000,L$3,'Timesheet Raw'!$B$4:$B$8000,'Work Calendar'!$A$28)+SUMIFS('Timesheet Raw'!$P$4:$P$8000,'Timesheet Raw'!$L$4:$L$8000,$A98,'Timesheet Raw'!$C$4:$C$8000,L$3,'Timesheet Raw'!$B$4:$B$8000,'Work Calendar'!$A$29))</f>
        <v>0</v>
      </c>
      <c r="O98" s="341">
        <f t="shared" si="6"/>
        <v>0</v>
      </c>
      <c r="P98" s="395">
        <f>IF($A98="","",SUMIFS('Timesheet Raw'!$K$4:$K$8000,'Timesheet Raw'!$L$4:$L$8000,$A98,'Timesheet Raw'!$C$4:$C$8000,L$3))</f>
        <v>0</v>
      </c>
      <c r="Q98" s="345">
        <f>IF($A98="","",SUMIFS('Timesheet Raw'!$P$4:$P$8000,'Timesheet Raw'!$L$4:$L$8000,$A98,'Timesheet Raw'!$C$4:$C$8000,L$3))</f>
        <v>0</v>
      </c>
      <c r="R98" s="375"/>
      <c r="S98" t="str">
        <f>IF($A98="","",IF(R98&lt;&gt;"",R98,IF($A98&gt;'Work Calendar'!$B$17,"No data yet",IF(AND(N98&gt;='Work Calendar'!$B$14,L98+M98+O98&gt;0),"Day off - but worked",IF(N98&gt;='Work Calendar'!$B$14,"Day off",IF(L98+M98+O98&gt;0,IF($C98="Working","Charged","Worked weekend"),IF($C98="Working","Leave (not charged)",$C98)))))))</f>
        <v>Weekend</v>
      </c>
      <c r="T98" s="341">
        <f>IF($A98="","",SUMIFS('Timesheet Raw'!$P$4:$P$8000,'Timesheet Raw'!$L$4:$L$8000,$A98,'Timesheet Raw'!$C$4:$C$8000,T$3,'Timesheet Raw'!$A$4:$A$8000,"1-Projects"))</f>
        <v>0</v>
      </c>
      <c r="U98" s="341">
        <f>IF($A98="","",SUMIFS('Timesheet Raw'!$P$4:$P$8000,'Timesheet Raw'!$L$4:$L$8000,$A98,'Timesheet Raw'!$C$4:$C$8000,T$3,'Timesheet Raw'!$A$4:$A$8000,"2-Proposals Chargeable")+SUMIFS('Timesheet Raw'!$P$4:$P$8000,'Timesheet Raw'!$L$4:$L$8000,$A98,'Timesheet Raw'!$C$4:$C$8000,T$3,'Timesheet Raw'!$A$4:$A$8000,"3-Proposals Regular"))</f>
        <v>0</v>
      </c>
      <c r="V98" s="341">
        <f>IF($A98="","",SUMIFS('Timesheet Raw'!$P$4:$P$8000,'Timesheet Raw'!$L$4:$L$8000,$A98,'Timesheet Raw'!$C$4:$C$8000,T$3,'Timesheet Raw'!$B$4:$B$8000,'Work Calendar'!$A$26)+SUMIFS('Timesheet Raw'!$P$4:$P$8000,'Timesheet Raw'!$L$4:$L$8000,$A98,'Timesheet Raw'!$C$4:$C$8000,T$3,'Timesheet Raw'!$B$4:$B$8000,'Work Calendar'!$A$27)+SUMIFS('Timesheet Raw'!$P$4:$P$8000,'Timesheet Raw'!$L$4:$L$8000,$A98,'Timesheet Raw'!$C$4:$C$8000,T$3,'Timesheet Raw'!$B$4:$B$8000,'Work Calendar'!$A$28)+SUMIFS('Timesheet Raw'!$P$4:$P$8000,'Timesheet Raw'!$L$4:$L$8000,$A98,'Timesheet Raw'!$C$4:$C$8000,T$3,'Timesheet Raw'!$B$4:$B$8000,'Work Calendar'!$A$29))</f>
        <v>0</v>
      </c>
      <c r="W98" s="341">
        <f t="shared" si="7"/>
        <v>0</v>
      </c>
      <c r="X98" s="395">
        <f>IF($A98="","",SUMIFS('Timesheet Raw'!$K$4:$K$8000,'Timesheet Raw'!$L$4:$L$8000,$A98,'Timesheet Raw'!$C$4:$C$8000,T$3))</f>
        <v>0</v>
      </c>
      <c r="Y98" s="345">
        <f>IF($A98="","",SUMIFS('Timesheet Raw'!$P$4:$P$8000,'Timesheet Raw'!$L$4:$L$8000,$A98,'Timesheet Raw'!$C$4:$C$8000,T$3))</f>
        <v>0</v>
      </c>
      <c r="Z98" s="375"/>
      <c r="AA98" t="str">
        <f>IF($A98="","",IF(Z98&lt;&gt;"",Z98,IF($A98&gt;'Work Calendar'!$B$17,"No data yet",IF(AND(V98&gt;='Work Calendar'!$B$14,T98+U98+W98&gt;0),"Day off - but worked",IF(V98&gt;='Work Calendar'!$B$14,"Day off",IF(T98+U98+W98&gt;0,IF($C98="Working","Charged","Worked weekend"),IF($C98="Working","Leave (not charged)",$C98)))))))</f>
        <v>Weekend</v>
      </c>
    </row>
    <row r="99" spans="1:27" x14ac:dyDescent="0.3">
      <c r="A99" s="371">
        <f>IF($A98="","",IF($A98+1&gt;'Work Calendar'!$B$16,"",$A98+1))</f>
        <v>46117</v>
      </c>
      <c r="B99" t="str">
        <f t="shared" si="4"/>
        <v>Sun</v>
      </c>
      <c r="C99" t="str" cm="1">
        <f t="array" ref="C99">IF($A99="","",IF(COUNTIF('Work Calendar'!$E$6:$E$200,$A99)&gt;0,"Holiday",IF(INDEX('Work Calendar'!$C$6:$C$12,WEEKDAY($A99,1))=1,"Working","Weekend")))</f>
        <v>Working</v>
      </c>
      <c r="D99" s="341">
        <f>IF($A99="","",SUMIFS('Timesheet Raw'!$P$4:$P$8000,'Timesheet Raw'!$L$4:$L$8000,$A99,'Timesheet Raw'!$C$4:$C$8000,D$3,'Timesheet Raw'!$A$4:$A$8000,"1-Projects"))</f>
        <v>7.25</v>
      </c>
      <c r="E99" s="341">
        <f>IF($A99="","",SUMIFS('Timesheet Raw'!$P$4:$P$8000,'Timesheet Raw'!$L$4:$L$8000,$A99,'Timesheet Raw'!$C$4:$C$8000,D$3,'Timesheet Raw'!$A$4:$A$8000,"2-Proposals Chargeable")+SUMIFS('Timesheet Raw'!$P$4:$P$8000,'Timesheet Raw'!$L$4:$L$8000,$A99,'Timesheet Raw'!$C$4:$C$8000,D$3,'Timesheet Raw'!$A$4:$A$8000,"3-Proposals Regular"))</f>
        <v>0</v>
      </c>
      <c r="F99" s="341">
        <f>IF($A99="","",SUMIFS('Timesheet Raw'!$P$4:$P$8000,'Timesheet Raw'!$L$4:$L$8000,$A99,'Timesheet Raw'!$C$4:$C$8000,D$3,'Timesheet Raw'!$B$4:$B$8000,'Work Calendar'!$A$26)+SUMIFS('Timesheet Raw'!$P$4:$P$8000,'Timesheet Raw'!$L$4:$L$8000,$A99,'Timesheet Raw'!$C$4:$C$8000,D$3,'Timesheet Raw'!$B$4:$B$8000,'Work Calendar'!$A$27)+SUMIFS('Timesheet Raw'!$P$4:$P$8000,'Timesheet Raw'!$L$4:$L$8000,$A99,'Timesheet Raw'!$C$4:$C$8000,D$3,'Timesheet Raw'!$B$4:$B$8000,'Work Calendar'!$A$28)+SUMIFS('Timesheet Raw'!$P$4:$P$8000,'Timesheet Raw'!$L$4:$L$8000,$A99,'Timesheet Raw'!$C$4:$C$8000,D$3,'Timesheet Raw'!$B$4:$B$8000,'Work Calendar'!$A$29))</f>
        <v>1.75</v>
      </c>
      <c r="G99" s="341">
        <f t="shared" si="5"/>
        <v>0</v>
      </c>
      <c r="H99" s="395">
        <f>IF($A99="","",SUMIFS('Timesheet Raw'!$K$4:$K$8000,'Timesheet Raw'!$L$4:$L$8000,$A99,'Timesheet Raw'!$C$4:$C$8000,D$3))</f>
        <v>0.5</v>
      </c>
      <c r="I99" s="345">
        <f>IF($A99="","",SUMIFS('Timesheet Raw'!$P$4:$P$8000,'Timesheet Raw'!$L$4:$L$8000,$A99,'Timesheet Raw'!$C$4:$C$8000,D$3))</f>
        <v>9</v>
      </c>
      <c r="J99" s="375"/>
      <c r="K99" t="str">
        <f>IF($A99="","",IF(J99&lt;&gt;"",J99,IF($A99&gt;'Work Calendar'!$B$17,"No data yet",IF(AND(F99&gt;='Work Calendar'!$B$14,D99+E99+G99&gt;0),"Day off - but worked",IF(F99&gt;='Work Calendar'!$B$14,"Day off",IF(D99+E99+G99&gt;0,IF($C99="Working","Charged","Worked weekend"),IF($C99="Working","Leave (not charged)",$C99)))))))</f>
        <v>Charged</v>
      </c>
      <c r="L99" s="341">
        <f>IF($A99="","",SUMIFS('Timesheet Raw'!$P$4:$P$8000,'Timesheet Raw'!$L$4:$L$8000,$A99,'Timesheet Raw'!$C$4:$C$8000,L$3,'Timesheet Raw'!$A$4:$A$8000,"1-Projects"))</f>
        <v>9</v>
      </c>
      <c r="M99" s="341">
        <f>IF($A99="","",SUMIFS('Timesheet Raw'!$P$4:$P$8000,'Timesheet Raw'!$L$4:$L$8000,$A99,'Timesheet Raw'!$C$4:$C$8000,L$3,'Timesheet Raw'!$A$4:$A$8000,"2-Proposals Chargeable")+SUMIFS('Timesheet Raw'!$P$4:$P$8000,'Timesheet Raw'!$L$4:$L$8000,$A99,'Timesheet Raw'!$C$4:$C$8000,L$3,'Timesheet Raw'!$A$4:$A$8000,"3-Proposals Regular"))</f>
        <v>0</v>
      </c>
      <c r="N99" s="341">
        <f>IF($A99="","",SUMIFS('Timesheet Raw'!$P$4:$P$8000,'Timesheet Raw'!$L$4:$L$8000,$A99,'Timesheet Raw'!$C$4:$C$8000,L$3,'Timesheet Raw'!$B$4:$B$8000,'Work Calendar'!$A$26)+SUMIFS('Timesheet Raw'!$P$4:$P$8000,'Timesheet Raw'!$L$4:$L$8000,$A99,'Timesheet Raw'!$C$4:$C$8000,L$3,'Timesheet Raw'!$B$4:$B$8000,'Work Calendar'!$A$27)+SUMIFS('Timesheet Raw'!$P$4:$P$8000,'Timesheet Raw'!$L$4:$L$8000,$A99,'Timesheet Raw'!$C$4:$C$8000,L$3,'Timesheet Raw'!$B$4:$B$8000,'Work Calendar'!$A$28)+SUMIFS('Timesheet Raw'!$P$4:$P$8000,'Timesheet Raw'!$L$4:$L$8000,$A99,'Timesheet Raw'!$C$4:$C$8000,L$3,'Timesheet Raw'!$B$4:$B$8000,'Work Calendar'!$A$29))</f>
        <v>0</v>
      </c>
      <c r="O99" s="341">
        <f t="shared" si="6"/>
        <v>0</v>
      </c>
      <c r="P99" s="395">
        <f>IF($A99="","",SUMIFS('Timesheet Raw'!$K$4:$K$8000,'Timesheet Raw'!$L$4:$L$8000,$A99,'Timesheet Raw'!$C$4:$C$8000,L$3))</f>
        <v>0.5</v>
      </c>
      <c r="Q99" s="345">
        <f>IF($A99="","",SUMIFS('Timesheet Raw'!$P$4:$P$8000,'Timesheet Raw'!$L$4:$L$8000,$A99,'Timesheet Raw'!$C$4:$C$8000,L$3))</f>
        <v>9</v>
      </c>
      <c r="R99" s="375"/>
      <c r="S99" t="str">
        <f>IF($A99="","",IF(R99&lt;&gt;"",R99,IF($A99&gt;'Work Calendar'!$B$17,"No data yet",IF(AND(N99&gt;='Work Calendar'!$B$14,L99+M99+O99&gt;0),"Day off - but worked",IF(N99&gt;='Work Calendar'!$B$14,"Day off",IF(L99+M99+O99&gt;0,IF($C99="Working","Charged","Worked weekend"),IF($C99="Working","Leave (not charged)",$C99)))))))</f>
        <v>Charged</v>
      </c>
      <c r="T99" s="341">
        <f>IF($A99="","",SUMIFS('Timesheet Raw'!$P$4:$P$8000,'Timesheet Raw'!$L$4:$L$8000,$A99,'Timesheet Raw'!$C$4:$C$8000,T$3,'Timesheet Raw'!$A$4:$A$8000,"1-Projects"))</f>
        <v>0</v>
      </c>
      <c r="U99" s="341">
        <f>IF($A99="","",SUMIFS('Timesheet Raw'!$P$4:$P$8000,'Timesheet Raw'!$L$4:$L$8000,$A99,'Timesheet Raw'!$C$4:$C$8000,T$3,'Timesheet Raw'!$A$4:$A$8000,"2-Proposals Chargeable")+SUMIFS('Timesheet Raw'!$P$4:$P$8000,'Timesheet Raw'!$L$4:$L$8000,$A99,'Timesheet Raw'!$C$4:$C$8000,T$3,'Timesheet Raw'!$A$4:$A$8000,"3-Proposals Regular"))</f>
        <v>0</v>
      </c>
      <c r="V99" s="341">
        <f>IF($A99="","",SUMIFS('Timesheet Raw'!$P$4:$P$8000,'Timesheet Raw'!$L$4:$L$8000,$A99,'Timesheet Raw'!$C$4:$C$8000,T$3,'Timesheet Raw'!$B$4:$B$8000,'Work Calendar'!$A$26)+SUMIFS('Timesheet Raw'!$P$4:$P$8000,'Timesheet Raw'!$L$4:$L$8000,$A99,'Timesheet Raw'!$C$4:$C$8000,T$3,'Timesheet Raw'!$B$4:$B$8000,'Work Calendar'!$A$27)+SUMIFS('Timesheet Raw'!$P$4:$P$8000,'Timesheet Raw'!$L$4:$L$8000,$A99,'Timesheet Raw'!$C$4:$C$8000,T$3,'Timesheet Raw'!$B$4:$B$8000,'Work Calendar'!$A$28)+SUMIFS('Timesheet Raw'!$P$4:$P$8000,'Timesheet Raw'!$L$4:$L$8000,$A99,'Timesheet Raw'!$C$4:$C$8000,T$3,'Timesheet Raw'!$B$4:$B$8000,'Work Calendar'!$A$29))</f>
        <v>8.5</v>
      </c>
      <c r="W99" s="341">
        <f t="shared" si="7"/>
        <v>0</v>
      </c>
      <c r="X99" s="395">
        <f>IF($A99="","",SUMIFS('Timesheet Raw'!$K$4:$K$8000,'Timesheet Raw'!$L$4:$L$8000,$A99,'Timesheet Raw'!$C$4:$C$8000,T$3))</f>
        <v>0</v>
      </c>
      <c r="Y99" s="345">
        <f>IF($A99="","",SUMIFS('Timesheet Raw'!$P$4:$P$8000,'Timesheet Raw'!$L$4:$L$8000,$A99,'Timesheet Raw'!$C$4:$C$8000,T$3))</f>
        <v>8.5</v>
      </c>
      <c r="Z99" s="375"/>
      <c r="AA99" t="str">
        <f>IF($A99="","",IF(Z99&lt;&gt;"",Z99,IF($A99&gt;'Work Calendar'!$B$17,"No data yet",IF(AND(V99&gt;='Work Calendar'!$B$14,T99+U99+W99&gt;0),"Day off - but worked",IF(V99&gt;='Work Calendar'!$B$14,"Day off",IF(T99+U99+W99&gt;0,IF($C99="Working","Charged","Worked weekend"),IF($C99="Working","Leave (not charged)",$C99)))))))</f>
        <v>Day off</v>
      </c>
    </row>
    <row r="100" spans="1:27" x14ac:dyDescent="0.3">
      <c r="A100" s="371">
        <f>IF($A99="","",IF($A99+1&gt;'Work Calendar'!$B$16,"",$A99+1))</f>
        <v>46118</v>
      </c>
      <c r="B100" t="str">
        <f t="shared" si="4"/>
        <v>Mon</v>
      </c>
      <c r="C100" t="str" cm="1">
        <f t="array" ref="C100">IF($A100="","",IF(COUNTIF('Work Calendar'!$E$6:$E$200,$A100)&gt;0,"Holiday",IF(INDEX('Work Calendar'!$C$6:$C$12,WEEKDAY($A100,1))=1,"Working","Weekend")))</f>
        <v>Working</v>
      </c>
      <c r="D100" s="341">
        <f>IF($A100="","",SUMIFS('Timesheet Raw'!$P$4:$P$8000,'Timesheet Raw'!$L$4:$L$8000,$A100,'Timesheet Raw'!$C$4:$C$8000,D$3,'Timesheet Raw'!$A$4:$A$8000,"1-Projects"))</f>
        <v>11.75</v>
      </c>
      <c r="E100" s="341">
        <f>IF($A100="","",SUMIFS('Timesheet Raw'!$P$4:$P$8000,'Timesheet Raw'!$L$4:$L$8000,$A100,'Timesheet Raw'!$C$4:$C$8000,D$3,'Timesheet Raw'!$A$4:$A$8000,"2-Proposals Chargeable")+SUMIFS('Timesheet Raw'!$P$4:$P$8000,'Timesheet Raw'!$L$4:$L$8000,$A100,'Timesheet Raw'!$C$4:$C$8000,D$3,'Timesheet Raw'!$A$4:$A$8000,"3-Proposals Regular"))</f>
        <v>0</v>
      </c>
      <c r="F100" s="341">
        <f>IF($A100="","",SUMIFS('Timesheet Raw'!$P$4:$P$8000,'Timesheet Raw'!$L$4:$L$8000,$A100,'Timesheet Raw'!$C$4:$C$8000,D$3,'Timesheet Raw'!$B$4:$B$8000,'Work Calendar'!$A$26)+SUMIFS('Timesheet Raw'!$P$4:$P$8000,'Timesheet Raw'!$L$4:$L$8000,$A100,'Timesheet Raw'!$C$4:$C$8000,D$3,'Timesheet Raw'!$B$4:$B$8000,'Work Calendar'!$A$27)+SUMIFS('Timesheet Raw'!$P$4:$P$8000,'Timesheet Raw'!$L$4:$L$8000,$A100,'Timesheet Raw'!$C$4:$C$8000,D$3,'Timesheet Raw'!$B$4:$B$8000,'Work Calendar'!$A$28)+SUMIFS('Timesheet Raw'!$P$4:$P$8000,'Timesheet Raw'!$L$4:$L$8000,$A100,'Timesheet Raw'!$C$4:$C$8000,D$3,'Timesheet Raw'!$B$4:$B$8000,'Work Calendar'!$A$29))</f>
        <v>1</v>
      </c>
      <c r="G100" s="341">
        <f t="shared" si="5"/>
        <v>0</v>
      </c>
      <c r="H100" s="395">
        <f>IF($A100="","",SUMIFS('Timesheet Raw'!$K$4:$K$8000,'Timesheet Raw'!$L$4:$L$8000,$A100,'Timesheet Raw'!$C$4:$C$8000,D$3))</f>
        <v>4.25</v>
      </c>
      <c r="I100" s="345">
        <f>IF($A100="","",SUMIFS('Timesheet Raw'!$P$4:$P$8000,'Timesheet Raw'!$L$4:$L$8000,$A100,'Timesheet Raw'!$C$4:$C$8000,D$3))</f>
        <v>12.75</v>
      </c>
      <c r="J100" s="375"/>
      <c r="K100" t="str">
        <f>IF($A100="","",IF(J100&lt;&gt;"",J100,IF($A100&gt;'Work Calendar'!$B$17,"No data yet",IF(AND(F100&gt;='Work Calendar'!$B$14,D100+E100+G100&gt;0),"Day off - but worked",IF(F100&gt;='Work Calendar'!$B$14,"Day off",IF(D100+E100+G100&gt;0,IF($C100="Working","Charged","Worked weekend"),IF($C100="Working","Leave (not charged)",$C100)))))))</f>
        <v>Charged</v>
      </c>
      <c r="L100" s="341">
        <f>IF($A100="","",SUMIFS('Timesheet Raw'!$P$4:$P$8000,'Timesheet Raw'!$L$4:$L$8000,$A100,'Timesheet Raw'!$C$4:$C$8000,L$3,'Timesheet Raw'!$A$4:$A$8000,"1-Projects"))</f>
        <v>8.5</v>
      </c>
      <c r="M100" s="341">
        <f>IF($A100="","",SUMIFS('Timesheet Raw'!$P$4:$P$8000,'Timesheet Raw'!$L$4:$L$8000,$A100,'Timesheet Raw'!$C$4:$C$8000,L$3,'Timesheet Raw'!$A$4:$A$8000,"2-Proposals Chargeable")+SUMIFS('Timesheet Raw'!$P$4:$P$8000,'Timesheet Raw'!$L$4:$L$8000,$A100,'Timesheet Raw'!$C$4:$C$8000,L$3,'Timesheet Raw'!$A$4:$A$8000,"3-Proposals Regular"))</f>
        <v>0</v>
      </c>
      <c r="N100" s="341">
        <f>IF($A100="","",SUMIFS('Timesheet Raw'!$P$4:$P$8000,'Timesheet Raw'!$L$4:$L$8000,$A100,'Timesheet Raw'!$C$4:$C$8000,L$3,'Timesheet Raw'!$B$4:$B$8000,'Work Calendar'!$A$26)+SUMIFS('Timesheet Raw'!$P$4:$P$8000,'Timesheet Raw'!$L$4:$L$8000,$A100,'Timesheet Raw'!$C$4:$C$8000,L$3,'Timesheet Raw'!$B$4:$B$8000,'Work Calendar'!$A$27)+SUMIFS('Timesheet Raw'!$P$4:$P$8000,'Timesheet Raw'!$L$4:$L$8000,$A100,'Timesheet Raw'!$C$4:$C$8000,L$3,'Timesheet Raw'!$B$4:$B$8000,'Work Calendar'!$A$28)+SUMIFS('Timesheet Raw'!$P$4:$P$8000,'Timesheet Raw'!$L$4:$L$8000,$A100,'Timesheet Raw'!$C$4:$C$8000,L$3,'Timesheet Raw'!$B$4:$B$8000,'Work Calendar'!$A$29))</f>
        <v>0.5</v>
      </c>
      <c r="O100" s="341">
        <f t="shared" si="6"/>
        <v>0</v>
      </c>
      <c r="P100" s="395">
        <f>IF($A100="","",SUMIFS('Timesheet Raw'!$K$4:$K$8000,'Timesheet Raw'!$L$4:$L$8000,$A100,'Timesheet Raw'!$C$4:$C$8000,L$3))</f>
        <v>0.5</v>
      </c>
      <c r="Q100" s="345">
        <f>IF($A100="","",SUMIFS('Timesheet Raw'!$P$4:$P$8000,'Timesheet Raw'!$L$4:$L$8000,$A100,'Timesheet Raw'!$C$4:$C$8000,L$3))</f>
        <v>9</v>
      </c>
      <c r="R100" s="375"/>
      <c r="S100" t="str">
        <f>IF($A100="","",IF(R100&lt;&gt;"",R100,IF($A100&gt;'Work Calendar'!$B$17,"No data yet",IF(AND(N100&gt;='Work Calendar'!$B$14,L100+M100+O100&gt;0),"Day off - but worked",IF(N100&gt;='Work Calendar'!$B$14,"Day off",IF(L100+M100+O100&gt;0,IF($C100="Working","Charged","Worked weekend"),IF($C100="Working","Leave (not charged)",$C100)))))))</f>
        <v>Charged</v>
      </c>
      <c r="T100" s="341">
        <f>IF($A100="","",SUMIFS('Timesheet Raw'!$P$4:$P$8000,'Timesheet Raw'!$L$4:$L$8000,$A100,'Timesheet Raw'!$C$4:$C$8000,T$3,'Timesheet Raw'!$A$4:$A$8000,"1-Projects"))</f>
        <v>14.5</v>
      </c>
      <c r="U100" s="341">
        <f>IF($A100="","",SUMIFS('Timesheet Raw'!$P$4:$P$8000,'Timesheet Raw'!$L$4:$L$8000,$A100,'Timesheet Raw'!$C$4:$C$8000,T$3,'Timesheet Raw'!$A$4:$A$8000,"2-Proposals Chargeable")+SUMIFS('Timesheet Raw'!$P$4:$P$8000,'Timesheet Raw'!$L$4:$L$8000,$A100,'Timesheet Raw'!$C$4:$C$8000,T$3,'Timesheet Raw'!$A$4:$A$8000,"3-Proposals Regular"))</f>
        <v>0</v>
      </c>
      <c r="V100" s="341">
        <f>IF($A100="","",SUMIFS('Timesheet Raw'!$P$4:$P$8000,'Timesheet Raw'!$L$4:$L$8000,$A100,'Timesheet Raw'!$C$4:$C$8000,T$3,'Timesheet Raw'!$B$4:$B$8000,'Work Calendar'!$A$26)+SUMIFS('Timesheet Raw'!$P$4:$P$8000,'Timesheet Raw'!$L$4:$L$8000,$A100,'Timesheet Raw'!$C$4:$C$8000,T$3,'Timesheet Raw'!$B$4:$B$8000,'Work Calendar'!$A$27)+SUMIFS('Timesheet Raw'!$P$4:$P$8000,'Timesheet Raw'!$L$4:$L$8000,$A100,'Timesheet Raw'!$C$4:$C$8000,T$3,'Timesheet Raw'!$B$4:$B$8000,'Work Calendar'!$A$28)+SUMIFS('Timesheet Raw'!$P$4:$P$8000,'Timesheet Raw'!$L$4:$L$8000,$A100,'Timesheet Raw'!$C$4:$C$8000,T$3,'Timesheet Raw'!$B$4:$B$8000,'Work Calendar'!$A$29))</f>
        <v>0.5</v>
      </c>
      <c r="W100" s="341">
        <f t="shared" si="7"/>
        <v>0</v>
      </c>
      <c r="X100" s="395">
        <f>IF($A100="","",SUMIFS('Timesheet Raw'!$K$4:$K$8000,'Timesheet Raw'!$L$4:$L$8000,$A100,'Timesheet Raw'!$C$4:$C$8000,T$3))</f>
        <v>6.5</v>
      </c>
      <c r="Y100" s="345">
        <f>IF($A100="","",SUMIFS('Timesheet Raw'!$P$4:$P$8000,'Timesheet Raw'!$L$4:$L$8000,$A100,'Timesheet Raw'!$C$4:$C$8000,T$3))</f>
        <v>15</v>
      </c>
      <c r="Z100" s="375"/>
      <c r="AA100" t="str">
        <f>IF($A100="","",IF(Z100&lt;&gt;"",Z100,IF($A100&gt;'Work Calendar'!$B$17,"No data yet",IF(AND(V100&gt;='Work Calendar'!$B$14,T100+U100+W100&gt;0),"Day off - but worked",IF(V100&gt;='Work Calendar'!$B$14,"Day off",IF(T100+U100+W100&gt;0,IF($C100="Working","Charged","Worked weekend"),IF($C100="Working","Leave (not charged)",$C100)))))))</f>
        <v>Charged</v>
      </c>
    </row>
    <row r="101" spans="1:27" x14ac:dyDescent="0.3">
      <c r="A101" s="371">
        <f>IF($A100="","",IF($A100+1&gt;'Work Calendar'!$B$16,"",$A100+1))</f>
        <v>46119</v>
      </c>
      <c r="B101" t="str">
        <f t="shared" si="4"/>
        <v>Tue</v>
      </c>
      <c r="C101" t="str" cm="1">
        <f t="array" ref="C101">IF($A101="","",IF(COUNTIF('Work Calendar'!$E$6:$E$200,$A101)&gt;0,"Holiday",IF(INDEX('Work Calendar'!$C$6:$C$12,WEEKDAY($A101,1))=1,"Working","Weekend")))</f>
        <v>Working</v>
      </c>
      <c r="D101" s="341">
        <f>IF($A101="","",SUMIFS('Timesheet Raw'!$P$4:$P$8000,'Timesheet Raw'!$L$4:$L$8000,$A101,'Timesheet Raw'!$C$4:$C$8000,D$3,'Timesheet Raw'!$A$4:$A$8000,"1-Projects"))</f>
        <v>12.5</v>
      </c>
      <c r="E101" s="341">
        <f>IF($A101="","",SUMIFS('Timesheet Raw'!$P$4:$P$8000,'Timesheet Raw'!$L$4:$L$8000,$A101,'Timesheet Raw'!$C$4:$C$8000,D$3,'Timesheet Raw'!$A$4:$A$8000,"2-Proposals Chargeable")+SUMIFS('Timesheet Raw'!$P$4:$P$8000,'Timesheet Raw'!$L$4:$L$8000,$A101,'Timesheet Raw'!$C$4:$C$8000,D$3,'Timesheet Raw'!$A$4:$A$8000,"3-Proposals Regular"))</f>
        <v>0</v>
      </c>
      <c r="F101" s="341">
        <f>IF($A101="","",SUMIFS('Timesheet Raw'!$P$4:$P$8000,'Timesheet Raw'!$L$4:$L$8000,$A101,'Timesheet Raw'!$C$4:$C$8000,D$3,'Timesheet Raw'!$B$4:$B$8000,'Work Calendar'!$A$26)+SUMIFS('Timesheet Raw'!$P$4:$P$8000,'Timesheet Raw'!$L$4:$L$8000,$A101,'Timesheet Raw'!$C$4:$C$8000,D$3,'Timesheet Raw'!$B$4:$B$8000,'Work Calendar'!$A$27)+SUMIFS('Timesheet Raw'!$P$4:$P$8000,'Timesheet Raw'!$L$4:$L$8000,$A101,'Timesheet Raw'!$C$4:$C$8000,D$3,'Timesheet Raw'!$B$4:$B$8000,'Work Calendar'!$A$28)+SUMIFS('Timesheet Raw'!$P$4:$P$8000,'Timesheet Raw'!$L$4:$L$8000,$A101,'Timesheet Raw'!$C$4:$C$8000,D$3,'Timesheet Raw'!$B$4:$B$8000,'Work Calendar'!$A$29))</f>
        <v>1.25</v>
      </c>
      <c r="G101" s="341">
        <f t="shared" si="5"/>
        <v>0</v>
      </c>
      <c r="H101" s="395">
        <f>IF($A101="","",SUMIFS('Timesheet Raw'!$K$4:$K$8000,'Timesheet Raw'!$L$4:$L$8000,$A101,'Timesheet Raw'!$C$4:$C$8000,D$3))</f>
        <v>5.25</v>
      </c>
      <c r="I101" s="345">
        <f>IF($A101="","",SUMIFS('Timesheet Raw'!$P$4:$P$8000,'Timesheet Raw'!$L$4:$L$8000,$A101,'Timesheet Raw'!$C$4:$C$8000,D$3))</f>
        <v>13.75</v>
      </c>
      <c r="J101" s="375"/>
      <c r="K101" t="str">
        <f>IF($A101="","",IF(J101&lt;&gt;"",J101,IF($A101&gt;'Work Calendar'!$B$17,"No data yet",IF(AND(F101&gt;='Work Calendar'!$B$14,D101+E101+G101&gt;0),"Day off - but worked",IF(F101&gt;='Work Calendar'!$B$14,"Day off",IF(D101+E101+G101&gt;0,IF($C101="Working","Charged","Worked weekend"),IF($C101="Working","Leave (not charged)",$C101)))))))</f>
        <v>Charged</v>
      </c>
      <c r="L101" s="341">
        <f>IF($A101="","",SUMIFS('Timesheet Raw'!$P$4:$P$8000,'Timesheet Raw'!$L$4:$L$8000,$A101,'Timesheet Raw'!$C$4:$C$8000,L$3,'Timesheet Raw'!$A$4:$A$8000,"1-Projects"))</f>
        <v>8.5</v>
      </c>
      <c r="M101" s="341">
        <f>IF($A101="","",SUMIFS('Timesheet Raw'!$P$4:$P$8000,'Timesheet Raw'!$L$4:$L$8000,$A101,'Timesheet Raw'!$C$4:$C$8000,L$3,'Timesheet Raw'!$A$4:$A$8000,"2-Proposals Chargeable")+SUMIFS('Timesheet Raw'!$P$4:$P$8000,'Timesheet Raw'!$L$4:$L$8000,$A101,'Timesheet Raw'!$C$4:$C$8000,L$3,'Timesheet Raw'!$A$4:$A$8000,"3-Proposals Regular"))</f>
        <v>0</v>
      </c>
      <c r="N101" s="341">
        <f>IF($A101="","",SUMIFS('Timesheet Raw'!$P$4:$P$8000,'Timesheet Raw'!$L$4:$L$8000,$A101,'Timesheet Raw'!$C$4:$C$8000,L$3,'Timesheet Raw'!$B$4:$B$8000,'Work Calendar'!$A$26)+SUMIFS('Timesheet Raw'!$P$4:$P$8000,'Timesheet Raw'!$L$4:$L$8000,$A101,'Timesheet Raw'!$C$4:$C$8000,L$3,'Timesheet Raw'!$B$4:$B$8000,'Work Calendar'!$A$27)+SUMIFS('Timesheet Raw'!$P$4:$P$8000,'Timesheet Raw'!$L$4:$L$8000,$A101,'Timesheet Raw'!$C$4:$C$8000,L$3,'Timesheet Raw'!$B$4:$B$8000,'Work Calendar'!$A$28)+SUMIFS('Timesheet Raw'!$P$4:$P$8000,'Timesheet Raw'!$L$4:$L$8000,$A101,'Timesheet Raw'!$C$4:$C$8000,L$3,'Timesheet Raw'!$B$4:$B$8000,'Work Calendar'!$A$29))</f>
        <v>0.75</v>
      </c>
      <c r="O101" s="341">
        <f t="shared" si="6"/>
        <v>0</v>
      </c>
      <c r="P101" s="395">
        <f>IF($A101="","",SUMIFS('Timesheet Raw'!$K$4:$K$8000,'Timesheet Raw'!$L$4:$L$8000,$A101,'Timesheet Raw'!$C$4:$C$8000,L$3))</f>
        <v>0.75</v>
      </c>
      <c r="Q101" s="345">
        <f>IF($A101="","",SUMIFS('Timesheet Raw'!$P$4:$P$8000,'Timesheet Raw'!$L$4:$L$8000,$A101,'Timesheet Raw'!$C$4:$C$8000,L$3))</f>
        <v>9.25</v>
      </c>
      <c r="R101" s="375"/>
      <c r="S101" t="str">
        <f>IF($A101="","",IF(R101&lt;&gt;"",R101,IF($A101&gt;'Work Calendar'!$B$17,"No data yet",IF(AND(N101&gt;='Work Calendar'!$B$14,L101+M101+O101&gt;0),"Day off - but worked",IF(N101&gt;='Work Calendar'!$B$14,"Day off",IF(L101+M101+O101&gt;0,IF($C101="Working","Charged","Worked weekend"),IF($C101="Working","Leave (not charged)",$C101)))))))</f>
        <v>Charged</v>
      </c>
      <c r="T101" s="341">
        <f>IF($A101="","",SUMIFS('Timesheet Raw'!$P$4:$P$8000,'Timesheet Raw'!$L$4:$L$8000,$A101,'Timesheet Raw'!$C$4:$C$8000,T$3,'Timesheet Raw'!$A$4:$A$8000,"1-Projects"))</f>
        <v>15.25</v>
      </c>
      <c r="U101" s="341">
        <f>IF($A101="","",SUMIFS('Timesheet Raw'!$P$4:$P$8000,'Timesheet Raw'!$L$4:$L$8000,$A101,'Timesheet Raw'!$C$4:$C$8000,T$3,'Timesheet Raw'!$A$4:$A$8000,"2-Proposals Chargeable")+SUMIFS('Timesheet Raw'!$P$4:$P$8000,'Timesheet Raw'!$L$4:$L$8000,$A101,'Timesheet Raw'!$C$4:$C$8000,T$3,'Timesheet Raw'!$A$4:$A$8000,"3-Proposals Regular"))</f>
        <v>0</v>
      </c>
      <c r="V101" s="341">
        <f>IF($A101="","",SUMIFS('Timesheet Raw'!$P$4:$P$8000,'Timesheet Raw'!$L$4:$L$8000,$A101,'Timesheet Raw'!$C$4:$C$8000,T$3,'Timesheet Raw'!$B$4:$B$8000,'Work Calendar'!$A$26)+SUMIFS('Timesheet Raw'!$P$4:$P$8000,'Timesheet Raw'!$L$4:$L$8000,$A101,'Timesheet Raw'!$C$4:$C$8000,T$3,'Timesheet Raw'!$B$4:$B$8000,'Work Calendar'!$A$27)+SUMIFS('Timesheet Raw'!$P$4:$P$8000,'Timesheet Raw'!$L$4:$L$8000,$A101,'Timesheet Raw'!$C$4:$C$8000,T$3,'Timesheet Raw'!$B$4:$B$8000,'Work Calendar'!$A$28)+SUMIFS('Timesheet Raw'!$P$4:$P$8000,'Timesheet Raw'!$L$4:$L$8000,$A101,'Timesheet Raw'!$C$4:$C$8000,T$3,'Timesheet Raw'!$B$4:$B$8000,'Work Calendar'!$A$29))</f>
        <v>0</v>
      </c>
      <c r="W101" s="341">
        <f t="shared" si="7"/>
        <v>0</v>
      </c>
      <c r="X101" s="395">
        <f>IF($A101="","",SUMIFS('Timesheet Raw'!$K$4:$K$8000,'Timesheet Raw'!$L$4:$L$8000,$A101,'Timesheet Raw'!$C$4:$C$8000,T$3))</f>
        <v>6.75</v>
      </c>
      <c r="Y101" s="345">
        <f>IF($A101="","",SUMIFS('Timesheet Raw'!$P$4:$P$8000,'Timesheet Raw'!$L$4:$L$8000,$A101,'Timesheet Raw'!$C$4:$C$8000,T$3))</f>
        <v>15.25</v>
      </c>
      <c r="Z101" s="375"/>
      <c r="AA101" t="str">
        <f>IF($A101="","",IF(Z101&lt;&gt;"",Z101,IF($A101&gt;'Work Calendar'!$B$17,"No data yet",IF(AND(V101&gt;='Work Calendar'!$B$14,T101+U101+W101&gt;0),"Day off - but worked",IF(V101&gt;='Work Calendar'!$B$14,"Day off",IF(T101+U101+W101&gt;0,IF($C101="Working","Charged","Worked weekend"),IF($C101="Working","Leave (not charged)",$C101)))))))</f>
        <v>Charged</v>
      </c>
    </row>
    <row r="102" spans="1:27" x14ac:dyDescent="0.3">
      <c r="A102" s="371">
        <f>IF($A101="","",IF($A101+1&gt;'Work Calendar'!$B$16,"",$A101+1))</f>
        <v>46120</v>
      </c>
      <c r="B102" t="str">
        <f t="shared" si="4"/>
        <v>Wed</v>
      </c>
      <c r="C102" t="str" cm="1">
        <f t="array" ref="C102">IF($A102="","",IF(COUNTIF('Work Calendar'!$E$6:$E$200,$A102)&gt;0,"Holiday",IF(INDEX('Work Calendar'!$C$6:$C$12,WEEKDAY($A102,1))=1,"Working","Weekend")))</f>
        <v>Working</v>
      </c>
      <c r="D102" s="341">
        <f>IF($A102="","",SUMIFS('Timesheet Raw'!$P$4:$P$8000,'Timesheet Raw'!$L$4:$L$8000,$A102,'Timesheet Raw'!$C$4:$C$8000,D$3,'Timesheet Raw'!$A$4:$A$8000,"1-Projects"))</f>
        <v>12.25</v>
      </c>
      <c r="E102" s="341">
        <f>IF($A102="","",SUMIFS('Timesheet Raw'!$P$4:$P$8000,'Timesheet Raw'!$L$4:$L$8000,$A102,'Timesheet Raw'!$C$4:$C$8000,D$3,'Timesheet Raw'!$A$4:$A$8000,"2-Proposals Chargeable")+SUMIFS('Timesheet Raw'!$P$4:$P$8000,'Timesheet Raw'!$L$4:$L$8000,$A102,'Timesheet Raw'!$C$4:$C$8000,D$3,'Timesheet Raw'!$A$4:$A$8000,"3-Proposals Regular"))</f>
        <v>0</v>
      </c>
      <c r="F102" s="341">
        <f>IF($A102="","",SUMIFS('Timesheet Raw'!$P$4:$P$8000,'Timesheet Raw'!$L$4:$L$8000,$A102,'Timesheet Raw'!$C$4:$C$8000,D$3,'Timesheet Raw'!$B$4:$B$8000,'Work Calendar'!$A$26)+SUMIFS('Timesheet Raw'!$P$4:$P$8000,'Timesheet Raw'!$L$4:$L$8000,$A102,'Timesheet Raw'!$C$4:$C$8000,D$3,'Timesheet Raw'!$B$4:$B$8000,'Work Calendar'!$A$27)+SUMIFS('Timesheet Raw'!$P$4:$P$8000,'Timesheet Raw'!$L$4:$L$8000,$A102,'Timesheet Raw'!$C$4:$C$8000,D$3,'Timesheet Raw'!$B$4:$B$8000,'Work Calendar'!$A$28)+SUMIFS('Timesheet Raw'!$P$4:$P$8000,'Timesheet Raw'!$L$4:$L$8000,$A102,'Timesheet Raw'!$C$4:$C$8000,D$3,'Timesheet Raw'!$B$4:$B$8000,'Work Calendar'!$A$29))</f>
        <v>0.75</v>
      </c>
      <c r="G102" s="341">
        <f t="shared" si="5"/>
        <v>0</v>
      </c>
      <c r="H102" s="395">
        <f>IF($A102="","",SUMIFS('Timesheet Raw'!$K$4:$K$8000,'Timesheet Raw'!$L$4:$L$8000,$A102,'Timesheet Raw'!$C$4:$C$8000,D$3))</f>
        <v>4.5</v>
      </c>
      <c r="I102" s="345">
        <f>IF($A102="","",SUMIFS('Timesheet Raw'!$P$4:$P$8000,'Timesheet Raw'!$L$4:$L$8000,$A102,'Timesheet Raw'!$C$4:$C$8000,D$3))</f>
        <v>13</v>
      </c>
      <c r="J102" s="375"/>
      <c r="K102" t="str">
        <f>IF($A102="","",IF(J102&lt;&gt;"",J102,IF($A102&gt;'Work Calendar'!$B$17,"No data yet",IF(AND(F102&gt;='Work Calendar'!$B$14,D102+E102+G102&gt;0),"Day off - but worked",IF(F102&gt;='Work Calendar'!$B$14,"Day off",IF(D102+E102+G102&gt;0,IF($C102="Working","Charged","Worked weekend"),IF($C102="Working","Leave (not charged)",$C102)))))))</f>
        <v>Charged</v>
      </c>
      <c r="L102" s="341">
        <f>IF($A102="","",SUMIFS('Timesheet Raw'!$P$4:$P$8000,'Timesheet Raw'!$L$4:$L$8000,$A102,'Timesheet Raw'!$C$4:$C$8000,L$3,'Timesheet Raw'!$A$4:$A$8000,"1-Projects"))</f>
        <v>13.25</v>
      </c>
      <c r="M102" s="341">
        <f>IF($A102="","",SUMIFS('Timesheet Raw'!$P$4:$P$8000,'Timesheet Raw'!$L$4:$L$8000,$A102,'Timesheet Raw'!$C$4:$C$8000,L$3,'Timesheet Raw'!$A$4:$A$8000,"2-Proposals Chargeable")+SUMIFS('Timesheet Raw'!$P$4:$P$8000,'Timesheet Raw'!$L$4:$L$8000,$A102,'Timesheet Raw'!$C$4:$C$8000,L$3,'Timesheet Raw'!$A$4:$A$8000,"3-Proposals Regular"))</f>
        <v>0</v>
      </c>
      <c r="N102" s="341">
        <f>IF($A102="","",SUMIFS('Timesheet Raw'!$P$4:$P$8000,'Timesheet Raw'!$L$4:$L$8000,$A102,'Timesheet Raw'!$C$4:$C$8000,L$3,'Timesheet Raw'!$B$4:$B$8000,'Work Calendar'!$A$26)+SUMIFS('Timesheet Raw'!$P$4:$P$8000,'Timesheet Raw'!$L$4:$L$8000,$A102,'Timesheet Raw'!$C$4:$C$8000,L$3,'Timesheet Raw'!$B$4:$B$8000,'Work Calendar'!$A$27)+SUMIFS('Timesheet Raw'!$P$4:$P$8000,'Timesheet Raw'!$L$4:$L$8000,$A102,'Timesheet Raw'!$C$4:$C$8000,L$3,'Timesheet Raw'!$B$4:$B$8000,'Work Calendar'!$A$28)+SUMIFS('Timesheet Raw'!$P$4:$P$8000,'Timesheet Raw'!$L$4:$L$8000,$A102,'Timesheet Raw'!$C$4:$C$8000,L$3,'Timesheet Raw'!$B$4:$B$8000,'Work Calendar'!$A$29))</f>
        <v>0.25</v>
      </c>
      <c r="O102" s="341">
        <f t="shared" si="6"/>
        <v>0</v>
      </c>
      <c r="P102" s="395">
        <f>IF($A102="","",SUMIFS('Timesheet Raw'!$K$4:$K$8000,'Timesheet Raw'!$L$4:$L$8000,$A102,'Timesheet Raw'!$C$4:$C$8000,L$3))</f>
        <v>5</v>
      </c>
      <c r="Q102" s="345">
        <f>IF($A102="","",SUMIFS('Timesheet Raw'!$P$4:$P$8000,'Timesheet Raw'!$L$4:$L$8000,$A102,'Timesheet Raw'!$C$4:$C$8000,L$3))</f>
        <v>13.5</v>
      </c>
      <c r="R102" s="375"/>
      <c r="S102" t="str">
        <f>IF($A102="","",IF(R102&lt;&gt;"",R102,IF($A102&gt;'Work Calendar'!$B$17,"No data yet",IF(AND(N102&gt;='Work Calendar'!$B$14,L102+M102+O102&gt;0),"Day off - but worked",IF(N102&gt;='Work Calendar'!$B$14,"Day off",IF(L102+M102+O102&gt;0,IF($C102="Working","Charged","Worked weekend"),IF($C102="Working","Leave (not charged)",$C102)))))))</f>
        <v>Charged</v>
      </c>
      <c r="T102" s="341">
        <f>IF($A102="","",SUMIFS('Timesheet Raw'!$P$4:$P$8000,'Timesheet Raw'!$L$4:$L$8000,$A102,'Timesheet Raw'!$C$4:$C$8000,T$3,'Timesheet Raw'!$A$4:$A$8000,"1-Projects"))</f>
        <v>13.75</v>
      </c>
      <c r="U102" s="341">
        <f>IF($A102="","",SUMIFS('Timesheet Raw'!$P$4:$P$8000,'Timesheet Raw'!$L$4:$L$8000,$A102,'Timesheet Raw'!$C$4:$C$8000,T$3,'Timesheet Raw'!$A$4:$A$8000,"2-Proposals Chargeable")+SUMIFS('Timesheet Raw'!$P$4:$P$8000,'Timesheet Raw'!$L$4:$L$8000,$A102,'Timesheet Raw'!$C$4:$C$8000,T$3,'Timesheet Raw'!$A$4:$A$8000,"3-Proposals Regular"))</f>
        <v>0</v>
      </c>
      <c r="V102" s="341">
        <f>IF($A102="","",SUMIFS('Timesheet Raw'!$P$4:$P$8000,'Timesheet Raw'!$L$4:$L$8000,$A102,'Timesheet Raw'!$C$4:$C$8000,T$3,'Timesheet Raw'!$B$4:$B$8000,'Work Calendar'!$A$26)+SUMIFS('Timesheet Raw'!$P$4:$P$8000,'Timesheet Raw'!$L$4:$L$8000,$A102,'Timesheet Raw'!$C$4:$C$8000,T$3,'Timesheet Raw'!$B$4:$B$8000,'Work Calendar'!$A$27)+SUMIFS('Timesheet Raw'!$P$4:$P$8000,'Timesheet Raw'!$L$4:$L$8000,$A102,'Timesheet Raw'!$C$4:$C$8000,T$3,'Timesheet Raw'!$B$4:$B$8000,'Work Calendar'!$A$28)+SUMIFS('Timesheet Raw'!$P$4:$P$8000,'Timesheet Raw'!$L$4:$L$8000,$A102,'Timesheet Raw'!$C$4:$C$8000,T$3,'Timesheet Raw'!$B$4:$B$8000,'Work Calendar'!$A$29))</f>
        <v>0</v>
      </c>
      <c r="W102" s="341">
        <f t="shared" si="7"/>
        <v>0</v>
      </c>
      <c r="X102" s="395">
        <f>IF($A102="","",SUMIFS('Timesheet Raw'!$K$4:$K$8000,'Timesheet Raw'!$L$4:$L$8000,$A102,'Timesheet Raw'!$C$4:$C$8000,T$3))</f>
        <v>5.25</v>
      </c>
      <c r="Y102" s="345">
        <f>IF($A102="","",SUMIFS('Timesheet Raw'!$P$4:$P$8000,'Timesheet Raw'!$L$4:$L$8000,$A102,'Timesheet Raw'!$C$4:$C$8000,T$3))</f>
        <v>13.75</v>
      </c>
      <c r="Z102" s="375"/>
      <c r="AA102" t="str">
        <f>IF($A102="","",IF(Z102&lt;&gt;"",Z102,IF($A102&gt;'Work Calendar'!$B$17,"No data yet",IF(AND(V102&gt;='Work Calendar'!$B$14,T102+U102+W102&gt;0),"Day off - but worked",IF(V102&gt;='Work Calendar'!$B$14,"Day off",IF(T102+U102+W102&gt;0,IF($C102="Working","Charged","Worked weekend"),IF($C102="Working","Leave (not charged)",$C102)))))))</f>
        <v>Charged</v>
      </c>
    </row>
    <row r="103" spans="1:27" x14ac:dyDescent="0.3">
      <c r="A103" s="371">
        <f>IF($A102="","",IF($A102+1&gt;'Work Calendar'!$B$16,"",$A102+1))</f>
        <v>46121</v>
      </c>
      <c r="B103" t="str">
        <f t="shared" si="4"/>
        <v>Thu</v>
      </c>
      <c r="C103" t="str" cm="1">
        <f t="array" ref="C103">IF($A103="","",IF(COUNTIF('Work Calendar'!$E$6:$E$200,$A103)&gt;0,"Holiday",IF(INDEX('Work Calendar'!$C$6:$C$12,WEEKDAY($A103,1))=1,"Working","Weekend")))</f>
        <v>Working</v>
      </c>
      <c r="D103" s="341">
        <f>IF($A103="","",SUMIFS('Timesheet Raw'!$P$4:$P$8000,'Timesheet Raw'!$L$4:$L$8000,$A103,'Timesheet Raw'!$C$4:$C$8000,D$3,'Timesheet Raw'!$A$4:$A$8000,"1-Projects"))</f>
        <v>8</v>
      </c>
      <c r="E103" s="341">
        <f>IF($A103="","",SUMIFS('Timesheet Raw'!$P$4:$P$8000,'Timesheet Raw'!$L$4:$L$8000,$A103,'Timesheet Raw'!$C$4:$C$8000,D$3,'Timesheet Raw'!$A$4:$A$8000,"2-Proposals Chargeable")+SUMIFS('Timesheet Raw'!$P$4:$P$8000,'Timesheet Raw'!$L$4:$L$8000,$A103,'Timesheet Raw'!$C$4:$C$8000,D$3,'Timesheet Raw'!$A$4:$A$8000,"3-Proposals Regular"))</f>
        <v>0</v>
      </c>
      <c r="F103" s="341">
        <f>IF($A103="","",SUMIFS('Timesheet Raw'!$P$4:$P$8000,'Timesheet Raw'!$L$4:$L$8000,$A103,'Timesheet Raw'!$C$4:$C$8000,D$3,'Timesheet Raw'!$B$4:$B$8000,'Work Calendar'!$A$26)+SUMIFS('Timesheet Raw'!$P$4:$P$8000,'Timesheet Raw'!$L$4:$L$8000,$A103,'Timesheet Raw'!$C$4:$C$8000,D$3,'Timesheet Raw'!$B$4:$B$8000,'Work Calendar'!$A$27)+SUMIFS('Timesheet Raw'!$P$4:$P$8000,'Timesheet Raw'!$L$4:$L$8000,$A103,'Timesheet Raw'!$C$4:$C$8000,D$3,'Timesheet Raw'!$B$4:$B$8000,'Work Calendar'!$A$28)+SUMIFS('Timesheet Raw'!$P$4:$P$8000,'Timesheet Raw'!$L$4:$L$8000,$A103,'Timesheet Raw'!$C$4:$C$8000,D$3,'Timesheet Raw'!$B$4:$B$8000,'Work Calendar'!$A$29))</f>
        <v>1</v>
      </c>
      <c r="G103" s="341">
        <f t="shared" si="5"/>
        <v>0</v>
      </c>
      <c r="H103" s="395">
        <f>IF($A103="","",SUMIFS('Timesheet Raw'!$K$4:$K$8000,'Timesheet Raw'!$L$4:$L$8000,$A103,'Timesheet Raw'!$C$4:$C$8000,D$3))</f>
        <v>0.5</v>
      </c>
      <c r="I103" s="345">
        <f>IF($A103="","",SUMIFS('Timesheet Raw'!$P$4:$P$8000,'Timesheet Raw'!$L$4:$L$8000,$A103,'Timesheet Raw'!$C$4:$C$8000,D$3))</f>
        <v>9</v>
      </c>
      <c r="J103" s="375"/>
      <c r="K103" t="str">
        <f>IF($A103="","",IF(J103&lt;&gt;"",J103,IF($A103&gt;'Work Calendar'!$B$17,"No data yet",IF(AND(F103&gt;='Work Calendar'!$B$14,D103+E103+G103&gt;0),"Day off - but worked",IF(F103&gt;='Work Calendar'!$B$14,"Day off",IF(D103+E103+G103&gt;0,IF($C103="Working","Charged","Worked weekend"),IF($C103="Working","Leave (not charged)",$C103)))))))</f>
        <v>Charged</v>
      </c>
      <c r="L103" s="341">
        <f>IF($A103="","",SUMIFS('Timesheet Raw'!$P$4:$P$8000,'Timesheet Raw'!$L$4:$L$8000,$A103,'Timesheet Raw'!$C$4:$C$8000,L$3,'Timesheet Raw'!$A$4:$A$8000,"1-Projects"))</f>
        <v>9</v>
      </c>
      <c r="M103" s="341">
        <f>IF($A103="","",SUMIFS('Timesheet Raw'!$P$4:$P$8000,'Timesheet Raw'!$L$4:$L$8000,$A103,'Timesheet Raw'!$C$4:$C$8000,L$3,'Timesheet Raw'!$A$4:$A$8000,"2-Proposals Chargeable")+SUMIFS('Timesheet Raw'!$P$4:$P$8000,'Timesheet Raw'!$L$4:$L$8000,$A103,'Timesheet Raw'!$C$4:$C$8000,L$3,'Timesheet Raw'!$A$4:$A$8000,"3-Proposals Regular"))</f>
        <v>0</v>
      </c>
      <c r="N103" s="341">
        <f>IF($A103="","",SUMIFS('Timesheet Raw'!$P$4:$P$8000,'Timesheet Raw'!$L$4:$L$8000,$A103,'Timesheet Raw'!$C$4:$C$8000,L$3,'Timesheet Raw'!$B$4:$B$8000,'Work Calendar'!$A$26)+SUMIFS('Timesheet Raw'!$P$4:$P$8000,'Timesheet Raw'!$L$4:$L$8000,$A103,'Timesheet Raw'!$C$4:$C$8000,L$3,'Timesheet Raw'!$B$4:$B$8000,'Work Calendar'!$A$27)+SUMIFS('Timesheet Raw'!$P$4:$P$8000,'Timesheet Raw'!$L$4:$L$8000,$A103,'Timesheet Raw'!$C$4:$C$8000,L$3,'Timesheet Raw'!$B$4:$B$8000,'Work Calendar'!$A$28)+SUMIFS('Timesheet Raw'!$P$4:$P$8000,'Timesheet Raw'!$L$4:$L$8000,$A103,'Timesheet Raw'!$C$4:$C$8000,L$3,'Timesheet Raw'!$B$4:$B$8000,'Work Calendar'!$A$29))</f>
        <v>0</v>
      </c>
      <c r="O103" s="341">
        <f t="shared" si="6"/>
        <v>0</v>
      </c>
      <c r="P103" s="395">
        <f>IF($A103="","",SUMIFS('Timesheet Raw'!$K$4:$K$8000,'Timesheet Raw'!$L$4:$L$8000,$A103,'Timesheet Raw'!$C$4:$C$8000,L$3))</f>
        <v>0.5</v>
      </c>
      <c r="Q103" s="345">
        <f>IF($A103="","",SUMIFS('Timesheet Raw'!$P$4:$P$8000,'Timesheet Raw'!$L$4:$L$8000,$A103,'Timesheet Raw'!$C$4:$C$8000,L$3))</f>
        <v>9</v>
      </c>
      <c r="R103" s="375"/>
      <c r="S103" t="str">
        <f>IF($A103="","",IF(R103&lt;&gt;"",R103,IF($A103&gt;'Work Calendar'!$B$17,"No data yet",IF(AND(N103&gt;='Work Calendar'!$B$14,L103+M103+O103&gt;0),"Day off - but worked",IF(N103&gt;='Work Calendar'!$B$14,"Day off",IF(L103+M103+O103&gt;0,IF($C103="Working","Charged","Worked weekend"),IF($C103="Working","Leave (not charged)",$C103)))))))</f>
        <v>Charged</v>
      </c>
      <c r="T103" s="341">
        <f>IF($A103="","",SUMIFS('Timesheet Raw'!$P$4:$P$8000,'Timesheet Raw'!$L$4:$L$8000,$A103,'Timesheet Raw'!$C$4:$C$8000,T$3,'Timesheet Raw'!$A$4:$A$8000,"1-Projects"))</f>
        <v>0</v>
      </c>
      <c r="U103" s="341">
        <f>IF($A103="","",SUMIFS('Timesheet Raw'!$P$4:$P$8000,'Timesheet Raw'!$L$4:$L$8000,$A103,'Timesheet Raw'!$C$4:$C$8000,T$3,'Timesheet Raw'!$A$4:$A$8000,"2-Proposals Chargeable")+SUMIFS('Timesheet Raw'!$P$4:$P$8000,'Timesheet Raw'!$L$4:$L$8000,$A103,'Timesheet Raw'!$C$4:$C$8000,T$3,'Timesheet Raw'!$A$4:$A$8000,"3-Proposals Regular"))</f>
        <v>0</v>
      </c>
      <c r="V103" s="341">
        <f>IF($A103="","",SUMIFS('Timesheet Raw'!$P$4:$P$8000,'Timesheet Raw'!$L$4:$L$8000,$A103,'Timesheet Raw'!$C$4:$C$8000,T$3,'Timesheet Raw'!$B$4:$B$8000,'Work Calendar'!$A$26)+SUMIFS('Timesheet Raw'!$P$4:$P$8000,'Timesheet Raw'!$L$4:$L$8000,$A103,'Timesheet Raw'!$C$4:$C$8000,T$3,'Timesheet Raw'!$B$4:$B$8000,'Work Calendar'!$A$27)+SUMIFS('Timesheet Raw'!$P$4:$P$8000,'Timesheet Raw'!$L$4:$L$8000,$A103,'Timesheet Raw'!$C$4:$C$8000,T$3,'Timesheet Raw'!$B$4:$B$8000,'Work Calendar'!$A$28)+SUMIFS('Timesheet Raw'!$P$4:$P$8000,'Timesheet Raw'!$L$4:$L$8000,$A103,'Timesheet Raw'!$C$4:$C$8000,T$3,'Timesheet Raw'!$B$4:$B$8000,'Work Calendar'!$A$29))</f>
        <v>8.5</v>
      </c>
      <c r="W103" s="341">
        <f t="shared" si="7"/>
        <v>0</v>
      </c>
      <c r="X103" s="395">
        <f>IF($A103="","",SUMIFS('Timesheet Raw'!$K$4:$K$8000,'Timesheet Raw'!$L$4:$L$8000,$A103,'Timesheet Raw'!$C$4:$C$8000,T$3))</f>
        <v>0</v>
      </c>
      <c r="Y103" s="345">
        <f>IF($A103="","",SUMIFS('Timesheet Raw'!$P$4:$P$8000,'Timesheet Raw'!$L$4:$L$8000,$A103,'Timesheet Raw'!$C$4:$C$8000,T$3))</f>
        <v>8.5</v>
      </c>
      <c r="Z103" s="375"/>
      <c r="AA103" t="str">
        <f>IF($A103="","",IF(Z103&lt;&gt;"",Z103,IF($A103&gt;'Work Calendar'!$B$17,"No data yet",IF(AND(V103&gt;='Work Calendar'!$B$14,T103+U103+W103&gt;0),"Day off - but worked",IF(V103&gt;='Work Calendar'!$B$14,"Day off",IF(T103+U103+W103&gt;0,IF($C103="Working","Charged","Worked weekend"),IF($C103="Working","Leave (not charged)",$C103)))))))</f>
        <v>Day off</v>
      </c>
    </row>
    <row r="104" spans="1:27" x14ac:dyDescent="0.3">
      <c r="A104" s="371">
        <f>IF($A103="","",IF($A103+1&gt;'Work Calendar'!$B$16,"",$A103+1))</f>
        <v>46122</v>
      </c>
      <c r="B104" t="str">
        <f t="shared" si="4"/>
        <v>Fri</v>
      </c>
      <c r="C104" t="str" cm="1">
        <f t="array" ref="C104">IF($A104="","",IF(COUNTIF('Work Calendar'!$E$6:$E$200,$A104)&gt;0,"Holiday",IF(INDEX('Work Calendar'!$C$6:$C$12,WEEKDAY($A104,1))=1,"Working","Weekend")))</f>
        <v>Weekend</v>
      </c>
      <c r="D104" s="341">
        <f>IF($A104="","",SUMIFS('Timesheet Raw'!$P$4:$P$8000,'Timesheet Raw'!$L$4:$L$8000,$A104,'Timesheet Raw'!$C$4:$C$8000,D$3,'Timesheet Raw'!$A$4:$A$8000,"1-Projects"))</f>
        <v>0</v>
      </c>
      <c r="E104" s="341">
        <f>IF($A104="","",SUMIFS('Timesheet Raw'!$P$4:$P$8000,'Timesheet Raw'!$L$4:$L$8000,$A104,'Timesheet Raw'!$C$4:$C$8000,D$3,'Timesheet Raw'!$A$4:$A$8000,"2-Proposals Chargeable")+SUMIFS('Timesheet Raw'!$P$4:$P$8000,'Timesheet Raw'!$L$4:$L$8000,$A104,'Timesheet Raw'!$C$4:$C$8000,D$3,'Timesheet Raw'!$A$4:$A$8000,"3-Proposals Regular"))</f>
        <v>0</v>
      </c>
      <c r="F104" s="341">
        <f>IF($A104="","",SUMIFS('Timesheet Raw'!$P$4:$P$8000,'Timesheet Raw'!$L$4:$L$8000,$A104,'Timesheet Raw'!$C$4:$C$8000,D$3,'Timesheet Raw'!$B$4:$B$8000,'Work Calendar'!$A$26)+SUMIFS('Timesheet Raw'!$P$4:$P$8000,'Timesheet Raw'!$L$4:$L$8000,$A104,'Timesheet Raw'!$C$4:$C$8000,D$3,'Timesheet Raw'!$B$4:$B$8000,'Work Calendar'!$A$27)+SUMIFS('Timesheet Raw'!$P$4:$P$8000,'Timesheet Raw'!$L$4:$L$8000,$A104,'Timesheet Raw'!$C$4:$C$8000,D$3,'Timesheet Raw'!$B$4:$B$8000,'Work Calendar'!$A$28)+SUMIFS('Timesheet Raw'!$P$4:$P$8000,'Timesheet Raw'!$L$4:$L$8000,$A104,'Timesheet Raw'!$C$4:$C$8000,D$3,'Timesheet Raw'!$B$4:$B$8000,'Work Calendar'!$A$29))</f>
        <v>0</v>
      </c>
      <c r="G104" s="341">
        <f t="shared" si="5"/>
        <v>0</v>
      </c>
      <c r="H104" s="395">
        <f>IF($A104="","",SUMIFS('Timesheet Raw'!$K$4:$K$8000,'Timesheet Raw'!$L$4:$L$8000,$A104,'Timesheet Raw'!$C$4:$C$8000,D$3))</f>
        <v>0</v>
      </c>
      <c r="I104" s="345">
        <f>IF($A104="","",SUMIFS('Timesheet Raw'!$P$4:$P$8000,'Timesheet Raw'!$L$4:$L$8000,$A104,'Timesheet Raw'!$C$4:$C$8000,D$3))</f>
        <v>0</v>
      </c>
      <c r="J104" s="375"/>
      <c r="K104" t="str">
        <f>IF($A104="","",IF(J104&lt;&gt;"",J104,IF($A104&gt;'Work Calendar'!$B$17,"No data yet",IF(AND(F104&gt;='Work Calendar'!$B$14,D104+E104+G104&gt;0),"Day off - but worked",IF(F104&gt;='Work Calendar'!$B$14,"Day off",IF(D104+E104+G104&gt;0,IF($C104="Working","Charged","Worked weekend"),IF($C104="Working","Leave (not charged)",$C104)))))))</f>
        <v>Weekend</v>
      </c>
      <c r="L104" s="341">
        <f>IF($A104="","",SUMIFS('Timesheet Raw'!$P$4:$P$8000,'Timesheet Raw'!$L$4:$L$8000,$A104,'Timesheet Raw'!$C$4:$C$8000,L$3,'Timesheet Raw'!$A$4:$A$8000,"1-Projects"))</f>
        <v>0</v>
      </c>
      <c r="M104" s="341">
        <f>IF($A104="","",SUMIFS('Timesheet Raw'!$P$4:$P$8000,'Timesheet Raw'!$L$4:$L$8000,$A104,'Timesheet Raw'!$C$4:$C$8000,L$3,'Timesheet Raw'!$A$4:$A$8000,"2-Proposals Chargeable")+SUMIFS('Timesheet Raw'!$P$4:$P$8000,'Timesheet Raw'!$L$4:$L$8000,$A104,'Timesheet Raw'!$C$4:$C$8000,L$3,'Timesheet Raw'!$A$4:$A$8000,"3-Proposals Regular"))</f>
        <v>0</v>
      </c>
      <c r="N104" s="341">
        <f>IF($A104="","",SUMIFS('Timesheet Raw'!$P$4:$P$8000,'Timesheet Raw'!$L$4:$L$8000,$A104,'Timesheet Raw'!$C$4:$C$8000,L$3,'Timesheet Raw'!$B$4:$B$8000,'Work Calendar'!$A$26)+SUMIFS('Timesheet Raw'!$P$4:$P$8000,'Timesheet Raw'!$L$4:$L$8000,$A104,'Timesheet Raw'!$C$4:$C$8000,L$3,'Timesheet Raw'!$B$4:$B$8000,'Work Calendar'!$A$27)+SUMIFS('Timesheet Raw'!$P$4:$P$8000,'Timesheet Raw'!$L$4:$L$8000,$A104,'Timesheet Raw'!$C$4:$C$8000,L$3,'Timesheet Raw'!$B$4:$B$8000,'Work Calendar'!$A$28)+SUMIFS('Timesheet Raw'!$P$4:$P$8000,'Timesheet Raw'!$L$4:$L$8000,$A104,'Timesheet Raw'!$C$4:$C$8000,L$3,'Timesheet Raw'!$B$4:$B$8000,'Work Calendar'!$A$29))</f>
        <v>0</v>
      </c>
      <c r="O104" s="341">
        <f t="shared" si="6"/>
        <v>0</v>
      </c>
      <c r="P104" s="395">
        <f>IF($A104="","",SUMIFS('Timesheet Raw'!$K$4:$K$8000,'Timesheet Raw'!$L$4:$L$8000,$A104,'Timesheet Raw'!$C$4:$C$8000,L$3))</f>
        <v>0</v>
      </c>
      <c r="Q104" s="345">
        <f>IF($A104="","",SUMIFS('Timesheet Raw'!$P$4:$P$8000,'Timesheet Raw'!$L$4:$L$8000,$A104,'Timesheet Raw'!$C$4:$C$8000,L$3))</f>
        <v>0</v>
      </c>
      <c r="R104" s="375"/>
      <c r="S104" t="str">
        <f>IF($A104="","",IF(R104&lt;&gt;"",R104,IF($A104&gt;'Work Calendar'!$B$17,"No data yet",IF(AND(N104&gt;='Work Calendar'!$B$14,L104+M104+O104&gt;0),"Day off - but worked",IF(N104&gt;='Work Calendar'!$B$14,"Day off",IF(L104+M104+O104&gt;0,IF($C104="Working","Charged","Worked weekend"),IF($C104="Working","Leave (not charged)",$C104)))))))</f>
        <v>Weekend</v>
      </c>
      <c r="T104" s="341">
        <f>IF($A104="","",SUMIFS('Timesheet Raw'!$P$4:$P$8000,'Timesheet Raw'!$L$4:$L$8000,$A104,'Timesheet Raw'!$C$4:$C$8000,T$3,'Timesheet Raw'!$A$4:$A$8000,"1-Projects"))</f>
        <v>0</v>
      </c>
      <c r="U104" s="341">
        <f>IF($A104="","",SUMIFS('Timesheet Raw'!$P$4:$P$8000,'Timesheet Raw'!$L$4:$L$8000,$A104,'Timesheet Raw'!$C$4:$C$8000,T$3,'Timesheet Raw'!$A$4:$A$8000,"2-Proposals Chargeable")+SUMIFS('Timesheet Raw'!$P$4:$P$8000,'Timesheet Raw'!$L$4:$L$8000,$A104,'Timesheet Raw'!$C$4:$C$8000,T$3,'Timesheet Raw'!$A$4:$A$8000,"3-Proposals Regular"))</f>
        <v>0</v>
      </c>
      <c r="V104" s="341">
        <f>IF($A104="","",SUMIFS('Timesheet Raw'!$P$4:$P$8000,'Timesheet Raw'!$L$4:$L$8000,$A104,'Timesheet Raw'!$C$4:$C$8000,T$3,'Timesheet Raw'!$B$4:$B$8000,'Work Calendar'!$A$26)+SUMIFS('Timesheet Raw'!$P$4:$P$8000,'Timesheet Raw'!$L$4:$L$8000,$A104,'Timesheet Raw'!$C$4:$C$8000,T$3,'Timesheet Raw'!$B$4:$B$8000,'Work Calendar'!$A$27)+SUMIFS('Timesheet Raw'!$P$4:$P$8000,'Timesheet Raw'!$L$4:$L$8000,$A104,'Timesheet Raw'!$C$4:$C$8000,T$3,'Timesheet Raw'!$B$4:$B$8000,'Work Calendar'!$A$28)+SUMIFS('Timesheet Raw'!$P$4:$P$8000,'Timesheet Raw'!$L$4:$L$8000,$A104,'Timesheet Raw'!$C$4:$C$8000,T$3,'Timesheet Raw'!$B$4:$B$8000,'Work Calendar'!$A$29))</f>
        <v>0</v>
      </c>
      <c r="W104" s="341">
        <f t="shared" si="7"/>
        <v>0</v>
      </c>
      <c r="X104" s="395">
        <f>IF($A104="","",SUMIFS('Timesheet Raw'!$K$4:$K$8000,'Timesheet Raw'!$L$4:$L$8000,$A104,'Timesheet Raw'!$C$4:$C$8000,T$3))</f>
        <v>0</v>
      </c>
      <c r="Y104" s="345">
        <f>IF($A104="","",SUMIFS('Timesheet Raw'!$P$4:$P$8000,'Timesheet Raw'!$L$4:$L$8000,$A104,'Timesheet Raw'!$C$4:$C$8000,T$3))</f>
        <v>0</v>
      </c>
      <c r="Z104" s="375"/>
      <c r="AA104" t="str">
        <f>IF($A104="","",IF(Z104&lt;&gt;"",Z104,IF($A104&gt;'Work Calendar'!$B$17,"No data yet",IF(AND(V104&gt;='Work Calendar'!$B$14,T104+U104+W104&gt;0),"Day off - but worked",IF(V104&gt;='Work Calendar'!$B$14,"Day off",IF(T104+U104+W104&gt;0,IF($C104="Working","Charged","Worked weekend"),IF($C104="Working","Leave (not charged)",$C104)))))))</f>
        <v>Weekend</v>
      </c>
    </row>
    <row r="105" spans="1:27" x14ac:dyDescent="0.3">
      <c r="A105" s="371">
        <f>IF($A104="","",IF($A104+1&gt;'Work Calendar'!$B$16,"",$A104+1))</f>
        <v>46123</v>
      </c>
      <c r="B105" t="str">
        <f t="shared" si="4"/>
        <v>Sat</v>
      </c>
      <c r="C105" t="str" cm="1">
        <f t="array" ref="C105">IF($A105="","",IF(COUNTIF('Work Calendar'!$E$6:$E$200,$A105)&gt;0,"Holiday",IF(INDEX('Work Calendar'!$C$6:$C$12,WEEKDAY($A105,1))=1,"Working","Weekend")))</f>
        <v>Weekend</v>
      </c>
      <c r="D105" s="341">
        <f>IF($A105="","",SUMIFS('Timesheet Raw'!$P$4:$P$8000,'Timesheet Raw'!$L$4:$L$8000,$A105,'Timesheet Raw'!$C$4:$C$8000,D$3,'Timesheet Raw'!$A$4:$A$8000,"1-Projects"))</f>
        <v>0</v>
      </c>
      <c r="E105" s="341">
        <f>IF($A105="","",SUMIFS('Timesheet Raw'!$P$4:$P$8000,'Timesheet Raw'!$L$4:$L$8000,$A105,'Timesheet Raw'!$C$4:$C$8000,D$3,'Timesheet Raw'!$A$4:$A$8000,"2-Proposals Chargeable")+SUMIFS('Timesheet Raw'!$P$4:$P$8000,'Timesheet Raw'!$L$4:$L$8000,$A105,'Timesheet Raw'!$C$4:$C$8000,D$3,'Timesheet Raw'!$A$4:$A$8000,"3-Proposals Regular"))</f>
        <v>0</v>
      </c>
      <c r="F105" s="341">
        <f>IF($A105="","",SUMIFS('Timesheet Raw'!$P$4:$P$8000,'Timesheet Raw'!$L$4:$L$8000,$A105,'Timesheet Raw'!$C$4:$C$8000,D$3,'Timesheet Raw'!$B$4:$B$8000,'Work Calendar'!$A$26)+SUMIFS('Timesheet Raw'!$P$4:$P$8000,'Timesheet Raw'!$L$4:$L$8000,$A105,'Timesheet Raw'!$C$4:$C$8000,D$3,'Timesheet Raw'!$B$4:$B$8000,'Work Calendar'!$A$27)+SUMIFS('Timesheet Raw'!$P$4:$P$8000,'Timesheet Raw'!$L$4:$L$8000,$A105,'Timesheet Raw'!$C$4:$C$8000,D$3,'Timesheet Raw'!$B$4:$B$8000,'Work Calendar'!$A$28)+SUMIFS('Timesheet Raw'!$P$4:$P$8000,'Timesheet Raw'!$L$4:$L$8000,$A105,'Timesheet Raw'!$C$4:$C$8000,D$3,'Timesheet Raw'!$B$4:$B$8000,'Work Calendar'!$A$29))</f>
        <v>0</v>
      </c>
      <c r="G105" s="341">
        <f t="shared" si="5"/>
        <v>0</v>
      </c>
      <c r="H105" s="395">
        <f>IF($A105="","",SUMIFS('Timesheet Raw'!$K$4:$K$8000,'Timesheet Raw'!$L$4:$L$8000,$A105,'Timesheet Raw'!$C$4:$C$8000,D$3))</f>
        <v>0</v>
      </c>
      <c r="I105" s="345">
        <f>IF($A105="","",SUMIFS('Timesheet Raw'!$P$4:$P$8000,'Timesheet Raw'!$L$4:$L$8000,$A105,'Timesheet Raw'!$C$4:$C$8000,D$3))</f>
        <v>0</v>
      </c>
      <c r="J105" s="375"/>
      <c r="K105" t="str">
        <f>IF($A105="","",IF(J105&lt;&gt;"",J105,IF($A105&gt;'Work Calendar'!$B$17,"No data yet",IF(AND(F105&gt;='Work Calendar'!$B$14,D105+E105+G105&gt;0),"Day off - but worked",IF(F105&gt;='Work Calendar'!$B$14,"Day off",IF(D105+E105+G105&gt;0,IF($C105="Working","Charged","Worked weekend"),IF($C105="Working","Leave (not charged)",$C105)))))))</f>
        <v>Weekend</v>
      </c>
      <c r="L105" s="341">
        <f>IF($A105="","",SUMIFS('Timesheet Raw'!$P$4:$P$8000,'Timesheet Raw'!$L$4:$L$8000,$A105,'Timesheet Raw'!$C$4:$C$8000,L$3,'Timesheet Raw'!$A$4:$A$8000,"1-Projects"))</f>
        <v>0</v>
      </c>
      <c r="M105" s="341">
        <f>IF($A105="","",SUMIFS('Timesheet Raw'!$P$4:$P$8000,'Timesheet Raw'!$L$4:$L$8000,$A105,'Timesheet Raw'!$C$4:$C$8000,L$3,'Timesheet Raw'!$A$4:$A$8000,"2-Proposals Chargeable")+SUMIFS('Timesheet Raw'!$P$4:$P$8000,'Timesheet Raw'!$L$4:$L$8000,$A105,'Timesheet Raw'!$C$4:$C$8000,L$3,'Timesheet Raw'!$A$4:$A$8000,"3-Proposals Regular"))</f>
        <v>0</v>
      </c>
      <c r="N105" s="341">
        <f>IF($A105="","",SUMIFS('Timesheet Raw'!$P$4:$P$8000,'Timesheet Raw'!$L$4:$L$8000,$A105,'Timesheet Raw'!$C$4:$C$8000,L$3,'Timesheet Raw'!$B$4:$B$8000,'Work Calendar'!$A$26)+SUMIFS('Timesheet Raw'!$P$4:$P$8000,'Timesheet Raw'!$L$4:$L$8000,$A105,'Timesheet Raw'!$C$4:$C$8000,L$3,'Timesheet Raw'!$B$4:$B$8000,'Work Calendar'!$A$27)+SUMIFS('Timesheet Raw'!$P$4:$P$8000,'Timesheet Raw'!$L$4:$L$8000,$A105,'Timesheet Raw'!$C$4:$C$8000,L$3,'Timesheet Raw'!$B$4:$B$8000,'Work Calendar'!$A$28)+SUMIFS('Timesheet Raw'!$P$4:$P$8000,'Timesheet Raw'!$L$4:$L$8000,$A105,'Timesheet Raw'!$C$4:$C$8000,L$3,'Timesheet Raw'!$B$4:$B$8000,'Work Calendar'!$A$29))</f>
        <v>0</v>
      </c>
      <c r="O105" s="341">
        <f t="shared" si="6"/>
        <v>0</v>
      </c>
      <c r="P105" s="395">
        <f>IF($A105="","",SUMIFS('Timesheet Raw'!$K$4:$K$8000,'Timesheet Raw'!$L$4:$L$8000,$A105,'Timesheet Raw'!$C$4:$C$8000,L$3))</f>
        <v>0</v>
      </c>
      <c r="Q105" s="345">
        <f>IF($A105="","",SUMIFS('Timesheet Raw'!$P$4:$P$8000,'Timesheet Raw'!$L$4:$L$8000,$A105,'Timesheet Raw'!$C$4:$C$8000,L$3))</f>
        <v>0</v>
      </c>
      <c r="R105" s="375"/>
      <c r="S105" t="str">
        <f>IF($A105="","",IF(R105&lt;&gt;"",R105,IF($A105&gt;'Work Calendar'!$B$17,"No data yet",IF(AND(N105&gt;='Work Calendar'!$B$14,L105+M105+O105&gt;0),"Day off - but worked",IF(N105&gt;='Work Calendar'!$B$14,"Day off",IF(L105+M105+O105&gt;0,IF($C105="Working","Charged","Worked weekend"),IF($C105="Working","Leave (not charged)",$C105)))))))</f>
        <v>Weekend</v>
      </c>
      <c r="T105" s="341">
        <f>IF($A105="","",SUMIFS('Timesheet Raw'!$P$4:$P$8000,'Timesheet Raw'!$L$4:$L$8000,$A105,'Timesheet Raw'!$C$4:$C$8000,T$3,'Timesheet Raw'!$A$4:$A$8000,"1-Projects"))</f>
        <v>0</v>
      </c>
      <c r="U105" s="341">
        <f>IF($A105="","",SUMIFS('Timesheet Raw'!$P$4:$P$8000,'Timesheet Raw'!$L$4:$L$8000,$A105,'Timesheet Raw'!$C$4:$C$8000,T$3,'Timesheet Raw'!$A$4:$A$8000,"2-Proposals Chargeable")+SUMIFS('Timesheet Raw'!$P$4:$P$8000,'Timesheet Raw'!$L$4:$L$8000,$A105,'Timesheet Raw'!$C$4:$C$8000,T$3,'Timesheet Raw'!$A$4:$A$8000,"3-Proposals Regular"))</f>
        <v>0</v>
      </c>
      <c r="V105" s="341">
        <f>IF($A105="","",SUMIFS('Timesheet Raw'!$P$4:$P$8000,'Timesheet Raw'!$L$4:$L$8000,$A105,'Timesheet Raw'!$C$4:$C$8000,T$3,'Timesheet Raw'!$B$4:$B$8000,'Work Calendar'!$A$26)+SUMIFS('Timesheet Raw'!$P$4:$P$8000,'Timesheet Raw'!$L$4:$L$8000,$A105,'Timesheet Raw'!$C$4:$C$8000,T$3,'Timesheet Raw'!$B$4:$B$8000,'Work Calendar'!$A$27)+SUMIFS('Timesheet Raw'!$P$4:$P$8000,'Timesheet Raw'!$L$4:$L$8000,$A105,'Timesheet Raw'!$C$4:$C$8000,T$3,'Timesheet Raw'!$B$4:$B$8000,'Work Calendar'!$A$28)+SUMIFS('Timesheet Raw'!$P$4:$P$8000,'Timesheet Raw'!$L$4:$L$8000,$A105,'Timesheet Raw'!$C$4:$C$8000,T$3,'Timesheet Raw'!$B$4:$B$8000,'Work Calendar'!$A$29))</f>
        <v>0</v>
      </c>
      <c r="W105" s="341">
        <f t="shared" si="7"/>
        <v>0</v>
      </c>
      <c r="X105" s="395">
        <f>IF($A105="","",SUMIFS('Timesheet Raw'!$K$4:$K$8000,'Timesheet Raw'!$L$4:$L$8000,$A105,'Timesheet Raw'!$C$4:$C$8000,T$3))</f>
        <v>0</v>
      </c>
      <c r="Y105" s="345">
        <f>IF($A105="","",SUMIFS('Timesheet Raw'!$P$4:$P$8000,'Timesheet Raw'!$L$4:$L$8000,$A105,'Timesheet Raw'!$C$4:$C$8000,T$3))</f>
        <v>0</v>
      </c>
      <c r="Z105" s="375"/>
      <c r="AA105" t="str">
        <f>IF($A105="","",IF(Z105&lt;&gt;"",Z105,IF($A105&gt;'Work Calendar'!$B$17,"No data yet",IF(AND(V105&gt;='Work Calendar'!$B$14,T105+U105+W105&gt;0),"Day off - but worked",IF(V105&gt;='Work Calendar'!$B$14,"Day off",IF(T105+U105+W105&gt;0,IF($C105="Working","Charged","Worked weekend"),IF($C105="Working","Leave (not charged)",$C105)))))))</f>
        <v>Weekend</v>
      </c>
    </row>
    <row r="106" spans="1:27" x14ac:dyDescent="0.3">
      <c r="A106" s="371">
        <f>IF($A105="","",IF($A105+1&gt;'Work Calendar'!$B$16,"",$A105+1))</f>
        <v>46124</v>
      </c>
      <c r="B106" t="str">
        <f t="shared" si="4"/>
        <v>Sun</v>
      </c>
      <c r="C106" t="str" cm="1">
        <f t="array" ref="C106">IF($A106="","",IF(COUNTIF('Work Calendar'!$E$6:$E$200,$A106)&gt;0,"Holiday",IF(INDEX('Work Calendar'!$C$6:$C$12,WEEKDAY($A106,1))=1,"Working","Weekend")))</f>
        <v>Working</v>
      </c>
      <c r="D106" s="341">
        <f>IF($A106="","",SUMIFS('Timesheet Raw'!$P$4:$P$8000,'Timesheet Raw'!$L$4:$L$8000,$A106,'Timesheet Raw'!$C$4:$C$8000,D$3,'Timesheet Raw'!$A$4:$A$8000,"1-Projects"))</f>
        <v>0</v>
      </c>
      <c r="E106" s="341">
        <f>IF($A106="","",SUMIFS('Timesheet Raw'!$P$4:$P$8000,'Timesheet Raw'!$L$4:$L$8000,$A106,'Timesheet Raw'!$C$4:$C$8000,D$3,'Timesheet Raw'!$A$4:$A$8000,"2-Proposals Chargeable")+SUMIFS('Timesheet Raw'!$P$4:$P$8000,'Timesheet Raw'!$L$4:$L$8000,$A106,'Timesheet Raw'!$C$4:$C$8000,D$3,'Timesheet Raw'!$A$4:$A$8000,"3-Proposals Regular"))</f>
        <v>0</v>
      </c>
      <c r="F106" s="341">
        <f>IF($A106="","",SUMIFS('Timesheet Raw'!$P$4:$P$8000,'Timesheet Raw'!$L$4:$L$8000,$A106,'Timesheet Raw'!$C$4:$C$8000,D$3,'Timesheet Raw'!$B$4:$B$8000,'Work Calendar'!$A$26)+SUMIFS('Timesheet Raw'!$P$4:$P$8000,'Timesheet Raw'!$L$4:$L$8000,$A106,'Timesheet Raw'!$C$4:$C$8000,D$3,'Timesheet Raw'!$B$4:$B$8000,'Work Calendar'!$A$27)+SUMIFS('Timesheet Raw'!$P$4:$P$8000,'Timesheet Raw'!$L$4:$L$8000,$A106,'Timesheet Raw'!$C$4:$C$8000,D$3,'Timesheet Raw'!$B$4:$B$8000,'Work Calendar'!$A$28)+SUMIFS('Timesheet Raw'!$P$4:$P$8000,'Timesheet Raw'!$L$4:$L$8000,$A106,'Timesheet Raw'!$C$4:$C$8000,D$3,'Timesheet Raw'!$B$4:$B$8000,'Work Calendar'!$A$29))</f>
        <v>8.5</v>
      </c>
      <c r="G106" s="341">
        <f t="shared" si="5"/>
        <v>0</v>
      </c>
      <c r="H106" s="395">
        <f>IF($A106="","",SUMIFS('Timesheet Raw'!$K$4:$K$8000,'Timesheet Raw'!$L$4:$L$8000,$A106,'Timesheet Raw'!$C$4:$C$8000,D$3))</f>
        <v>0</v>
      </c>
      <c r="I106" s="345">
        <f>IF($A106="","",SUMIFS('Timesheet Raw'!$P$4:$P$8000,'Timesheet Raw'!$L$4:$L$8000,$A106,'Timesheet Raw'!$C$4:$C$8000,D$3))</f>
        <v>8.5</v>
      </c>
      <c r="J106" s="375"/>
      <c r="K106" t="str">
        <f>IF($A106="","",IF(J106&lt;&gt;"",J106,IF($A106&gt;'Work Calendar'!$B$17,"No data yet",IF(AND(F106&gt;='Work Calendar'!$B$14,D106+E106+G106&gt;0),"Day off - but worked",IF(F106&gt;='Work Calendar'!$B$14,"Day off",IF(D106+E106+G106&gt;0,IF($C106="Working","Charged","Worked weekend"),IF($C106="Working","Leave (not charged)",$C106)))))))</f>
        <v>Day off</v>
      </c>
      <c r="L106" s="341">
        <f>IF($A106="","",SUMIFS('Timesheet Raw'!$P$4:$P$8000,'Timesheet Raw'!$L$4:$L$8000,$A106,'Timesheet Raw'!$C$4:$C$8000,L$3,'Timesheet Raw'!$A$4:$A$8000,"1-Projects"))</f>
        <v>0</v>
      </c>
      <c r="M106" s="341">
        <f>IF($A106="","",SUMIFS('Timesheet Raw'!$P$4:$P$8000,'Timesheet Raw'!$L$4:$L$8000,$A106,'Timesheet Raw'!$C$4:$C$8000,L$3,'Timesheet Raw'!$A$4:$A$8000,"2-Proposals Chargeable")+SUMIFS('Timesheet Raw'!$P$4:$P$8000,'Timesheet Raw'!$L$4:$L$8000,$A106,'Timesheet Raw'!$C$4:$C$8000,L$3,'Timesheet Raw'!$A$4:$A$8000,"3-Proposals Regular"))</f>
        <v>0</v>
      </c>
      <c r="N106" s="341">
        <f>IF($A106="","",SUMIFS('Timesheet Raw'!$P$4:$P$8000,'Timesheet Raw'!$L$4:$L$8000,$A106,'Timesheet Raw'!$C$4:$C$8000,L$3,'Timesheet Raw'!$B$4:$B$8000,'Work Calendar'!$A$26)+SUMIFS('Timesheet Raw'!$P$4:$P$8000,'Timesheet Raw'!$L$4:$L$8000,$A106,'Timesheet Raw'!$C$4:$C$8000,L$3,'Timesheet Raw'!$B$4:$B$8000,'Work Calendar'!$A$27)+SUMIFS('Timesheet Raw'!$P$4:$P$8000,'Timesheet Raw'!$L$4:$L$8000,$A106,'Timesheet Raw'!$C$4:$C$8000,L$3,'Timesheet Raw'!$B$4:$B$8000,'Work Calendar'!$A$28)+SUMIFS('Timesheet Raw'!$P$4:$P$8000,'Timesheet Raw'!$L$4:$L$8000,$A106,'Timesheet Raw'!$C$4:$C$8000,L$3,'Timesheet Raw'!$B$4:$B$8000,'Work Calendar'!$A$29))</f>
        <v>8.5</v>
      </c>
      <c r="O106" s="341">
        <f t="shared" si="6"/>
        <v>0</v>
      </c>
      <c r="P106" s="395">
        <f>IF($A106="","",SUMIFS('Timesheet Raw'!$K$4:$K$8000,'Timesheet Raw'!$L$4:$L$8000,$A106,'Timesheet Raw'!$C$4:$C$8000,L$3))</f>
        <v>0</v>
      </c>
      <c r="Q106" s="345">
        <f>IF($A106="","",SUMIFS('Timesheet Raw'!$P$4:$P$8000,'Timesheet Raw'!$L$4:$L$8000,$A106,'Timesheet Raw'!$C$4:$C$8000,L$3))</f>
        <v>8.5</v>
      </c>
      <c r="R106" s="375"/>
      <c r="S106" t="str">
        <f>IF($A106="","",IF(R106&lt;&gt;"",R106,IF($A106&gt;'Work Calendar'!$B$17,"No data yet",IF(AND(N106&gt;='Work Calendar'!$B$14,L106+M106+O106&gt;0),"Day off - but worked",IF(N106&gt;='Work Calendar'!$B$14,"Day off",IF(L106+M106+O106&gt;0,IF($C106="Working","Charged","Worked weekend"),IF($C106="Working","Leave (not charged)",$C106)))))))</f>
        <v>Day off</v>
      </c>
      <c r="T106" s="341">
        <f>IF($A106="","",SUMIFS('Timesheet Raw'!$P$4:$P$8000,'Timesheet Raw'!$L$4:$L$8000,$A106,'Timesheet Raw'!$C$4:$C$8000,T$3,'Timesheet Raw'!$A$4:$A$8000,"1-Projects"))</f>
        <v>0</v>
      </c>
      <c r="U106" s="341">
        <f>IF($A106="","",SUMIFS('Timesheet Raw'!$P$4:$P$8000,'Timesheet Raw'!$L$4:$L$8000,$A106,'Timesheet Raw'!$C$4:$C$8000,T$3,'Timesheet Raw'!$A$4:$A$8000,"2-Proposals Chargeable")+SUMIFS('Timesheet Raw'!$P$4:$P$8000,'Timesheet Raw'!$L$4:$L$8000,$A106,'Timesheet Raw'!$C$4:$C$8000,T$3,'Timesheet Raw'!$A$4:$A$8000,"3-Proposals Regular"))</f>
        <v>0</v>
      </c>
      <c r="V106" s="341">
        <f>IF($A106="","",SUMIFS('Timesheet Raw'!$P$4:$P$8000,'Timesheet Raw'!$L$4:$L$8000,$A106,'Timesheet Raw'!$C$4:$C$8000,T$3,'Timesheet Raw'!$B$4:$B$8000,'Work Calendar'!$A$26)+SUMIFS('Timesheet Raw'!$P$4:$P$8000,'Timesheet Raw'!$L$4:$L$8000,$A106,'Timesheet Raw'!$C$4:$C$8000,T$3,'Timesheet Raw'!$B$4:$B$8000,'Work Calendar'!$A$27)+SUMIFS('Timesheet Raw'!$P$4:$P$8000,'Timesheet Raw'!$L$4:$L$8000,$A106,'Timesheet Raw'!$C$4:$C$8000,T$3,'Timesheet Raw'!$B$4:$B$8000,'Work Calendar'!$A$28)+SUMIFS('Timesheet Raw'!$P$4:$P$8000,'Timesheet Raw'!$L$4:$L$8000,$A106,'Timesheet Raw'!$C$4:$C$8000,T$3,'Timesheet Raw'!$B$4:$B$8000,'Work Calendar'!$A$29))</f>
        <v>8.5</v>
      </c>
      <c r="W106" s="341">
        <f t="shared" si="7"/>
        <v>0</v>
      </c>
      <c r="X106" s="395">
        <f>IF($A106="","",SUMIFS('Timesheet Raw'!$K$4:$K$8000,'Timesheet Raw'!$L$4:$L$8000,$A106,'Timesheet Raw'!$C$4:$C$8000,T$3))</f>
        <v>0</v>
      </c>
      <c r="Y106" s="345">
        <f>IF($A106="","",SUMIFS('Timesheet Raw'!$P$4:$P$8000,'Timesheet Raw'!$L$4:$L$8000,$A106,'Timesheet Raw'!$C$4:$C$8000,T$3))</f>
        <v>8.5</v>
      </c>
      <c r="Z106" s="375"/>
      <c r="AA106" t="str">
        <f>IF($A106="","",IF(Z106&lt;&gt;"",Z106,IF($A106&gt;'Work Calendar'!$B$17,"No data yet",IF(AND(V106&gt;='Work Calendar'!$B$14,T106+U106+W106&gt;0),"Day off - but worked",IF(V106&gt;='Work Calendar'!$B$14,"Day off",IF(T106+U106+W106&gt;0,IF($C106="Working","Charged","Worked weekend"),IF($C106="Working","Leave (not charged)",$C106)))))))</f>
        <v>Day off</v>
      </c>
    </row>
    <row r="107" spans="1:27" x14ac:dyDescent="0.3">
      <c r="A107" s="371">
        <f>IF($A106="","",IF($A106+1&gt;'Work Calendar'!$B$16,"",$A106+1))</f>
        <v>46125</v>
      </c>
      <c r="B107" t="str">
        <f t="shared" si="4"/>
        <v>Mon</v>
      </c>
      <c r="C107" t="str" cm="1">
        <f t="array" ref="C107">IF($A107="","",IF(COUNTIF('Work Calendar'!$E$6:$E$200,$A107)&gt;0,"Holiday",IF(INDEX('Work Calendar'!$C$6:$C$12,WEEKDAY($A107,1))=1,"Working","Weekend")))</f>
        <v>Working</v>
      </c>
      <c r="D107" s="341">
        <f>IF($A107="","",SUMIFS('Timesheet Raw'!$P$4:$P$8000,'Timesheet Raw'!$L$4:$L$8000,$A107,'Timesheet Raw'!$C$4:$C$8000,D$3,'Timesheet Raw'!$A$4:$A$8000,"1-Projects"))</f>
        <v>0</v>
      </c>
      <c r="E107" s="341">
        <f>IF($A107="","",SUMIFS('Timesheet Raw'!$P$4:$P$8000,'Timesheet Raw'!$L$4:$L$8000,$A107,'Timesheet Raw'!$C$4:$C$8000,D$3,'Timesheet Raw'!$A$4:$A$8000,"2-Proposals Chargeable")+SUMIFS('Timesheet Raw'!$P$4:$P$8000,'Timesheet Raw'!$L$4:$L$8000,$A107,'Timesheet Raw'!$C$4:$C$8000,D$3,'Timesheet Raw'!$A$4:$A$8000,"3-Proposals Regular"))</f>
        <v>0</v>
      </c>
      <c r="F107" s="341">
        <f>IF($A107="","",SUMIFS('Timesheet Raw'!$P$4:$P$8000,'Timesheet Raw'!$L$4:$L$8000,$A107,'Timesheet Raw'!$C$4:$C$8000,D$3,'Timesheet Raw'!$B$4:$B$8000,'Work Calendar'!$A$26)+SUMIFS('Timesheet Raw'!$P$4:$P$8000,'Timesheet Raw'!$L$4:$L$8000,$A107,'Timesheet Raw'!$C$4:$C$8000,D$3,'Timesheet Raw'!$B$4:$B$8000,'Work Calendar'!$A$27)+SUMIFS('Timesheet Raw'!$P$4:$P$8000,'Timesheet Raw'!$L$4:$L$8000,$A107,'Timesheet Raw'!$C$4:$C$8000,D$3,'Timesheet Raw'!$B$4:$B$8000,'Work Calendar'!$A$28)+SUMIFS('Timesheet Raw'!$P$4:$P$8000,'Timesheet Raw'!$L$4:$L$8000,$A107,'Timesheet Raw'!$C$4:$C$8000,D$3,'Timesheet Raw'!$B$4:$B$8000,'Work Calendar'!$A$29))</f>
        <v>8.5</v>
      </c>
      <c r="G107" s="341">
        <f t="shared" si="5"/>
        <v>0</v>
      </c>
      <c r="H107" s="395">
        <f>IF($A107="","",SUMIFS('Timesheet Raw'!$K$4:$K$8000,'Timesheet Raw'!$L$4:$L$8000,$A107,'Timesheet Raw'!$C$4:$C$8000,D$3))</f>
        <v>0</v>
      </c>
      <c r="I107" s="345">
        <f>IF($A107="","",SUMIFS('Timesheet Raw'!$P$4:$P$8000,'Timesheet Raw'!$L$4:$L$8000,$A107,'Timesheet Raw'!$C$4:$C$8000,D$3))</f>
        <v>8.5</v>
      </c>
      <c r="J107" s="375"/>
      <c r="K107" t="str">
        <f>IF($A107="","",IF(J107&lt;&gt;"",J107,IF($A107&gt;'Work Calendar'!$B$17,"No data yet",IF(AND(F107&gt;='Work Calendar'!$B$14,D107+E107+G107&gt;0),"Day off - but worked",IF(F107&gt;='Work Calendar'!$B$14,"Day off",IF(D107+E107+G107&gt;0,IF($C107="Working","Charged","Worked weekend"),IF($C107="Working","Leave (not charged)",$C107)))))))</f>
        <v>Day off</v>
      </c>
      <c r="L107" s="341">
        <f>IF($A107="","",SUMIFS('Timesheet Raw'!$P$4:$P$8000,'Timesheet Raw'!$L$4:$L$8000,$A107,'Timesheet Raw'!$C$4:$C$8000,L$3,'Timesheet Raw'!$A$4:$A$8000,"1-Projects"))</f>
        <v>0</v>
      </c>
      <c r="M107" s="341">
        <f>IF($A107="","",SUMIFS('Timesheet Raw'!$P$4:$P$8000,'Timesheet Raw'!$L$4:$L$8000,$A107,'Timesheet Raw'!$C$4:$C$8000,L$3,'Timesheet Raw'!$A$4:$A$8000,"2-Proposals Chargeable")+SUMIFS('Timesheet Raw'!$P$4:$P$8000,'Timesheet Raw'!$L$4:$L$8000,$A107,'Timesheet Raw'!$C$4:$C$8000,L$3,'Timesheet Raw'!$A$4:$A$8000,"3-Proposals Regular"))</f>
        <v>0</v>
      </c>
      <c r="N107" s="341">
        <f>IF($A107="","",SUMIFS('Timesheet Raw'!$P$4:$P$8000,'Timesheet Raw'!$L$4:$L$8000,$A107,'Timesheet Raw'!$C$4:$C$8000,L$3,'Timesheet Raw'!$B$4:$B$8000,'Work Calendar'!$A$26)+SUMIFS('Timesheet Raw'!$P$4:$P$8000,'Timesheet Raw'!$L$4:$L$8000,$A107,'Timesheet Raw'!$C$4:$C$8000,L$3,'Timesheet Raw'!$B$4:$B$8000,'Work Calendar'!$A$27)+SUMIFS('Timesheet Raw'!$P$4:$P$8000,'Timesheet Raw'!$L$4:$L$8000,$A107,'Timesheet Raw'!$C$4:$C$8000,L$3,'Timesheet Raw'!$B$4:$B$8000,'Work Calendar'!$A$28)+SUMIFS('Timesheet Raw'!$P$4:$P$8000,'Timesheet Raw'!$L$4:$L$8000,$A107,'Timesheet Raw'!$C$4:$C$8000,L$3,'Timesheet Raw'!$B$4:$B$8000,'Work Calendar'!$A$29))</f>
        <v>8.5</v>
      </c>
      <c r="O107" s="341">
        <f t="shared" si="6"/>
        <v>0</v>
      </c>
      <c r="P107" s="395">
        <f>IF($A107="","",SUMIFS('Timesheet Raw'!$K$4:$K$8000,'Timesheet Raw'!$L$4:$L$8000,$A107,'Timesheet Raw'!$C$4:$C$8000,L$3))</f>
        <v>0</v>
      </c>
      <c r="Q107" s="345">
        <f>IF($A107="","",SUMIFS('Timesheet Raw'!$P$4:$P$8000,'Timesheet Raw'!$L$4:$L$8000,$A107,'Timesheet Raw'!$C$4:$C$8000,L$3))</f>
        <v>8.5</v>
      </c>
      <c r="R107" s="375"/>
      <c r="S107" t="str">
        <f>IF($A107="","",IF(R107&lt;&gt;"",R107,IF($A107&gt;'Work Calendar'!$B$17,"No data yet",IF(AND(N107&gt;='Work Calendar'!$B$14,L107+M107+O107&gt;0),"Day off - but worked",IF(N107&gt;='Work Calendar'!$B$14,"Day off",IF(L107+M107+O107&gt;0,IF($C107="Working","Charged","Worked weekend"),IF($C107="Working","Leave (not charged)",$C107)))))))</f>
        <v>Day off</v>
      </c>
      <c r="T107" s="341">
        <f>IF($A107="","",SUMIFS('Timesheet Raw'!$P$4:$P$8000,'Timesheet Raw'!$L$4:$L$8000,$A107,'Timesheet Raw'!$C$4:$C$8000,T$3,'Timesheet Raw'!$A$4:$A$8000,"1-Projects"))</f>
        <v>0</v>
      </c>
      <c r="U107" s="341">
        <f>IF($A107="","",SUMIFS('Timesheet Raw'!$P$4:$P$8000,'Timesheet Raw'!$L$4:$L$8000,$A107,'Timesheet Raw'!$C$4:$C$8000,T$3,'Timesheet Raw'!$A$4:$A$8000,"2-Proposals Chargeable")+SUMIFS('Timesheet Raw'!$P$4:$P$8000,'Timesheet Raw'!$L$4:$L$8000,$A107,'Timesheet Raw'!$C$4:$C$8000,T$3,'Timesheet Raw'!$A$4:$A$8000,"3-Proposals Regular"))</f>
        <v>0</v>
      </c>
      <c r="V107" s="341">
        <f>IF($A107="","",SUMIFS('Timesheet Raw'!$P$4:$P$8000,'Timesheet Raw'!$L$4:$L$8000,$A107,'Timesheet Raw'!$C$4:$C$8000,T$3,'Timesheet Raw'!$B$4:$B$8000,'Work Calendar'!$A$26)+SUMIFS('Timesheet Raw'!$P$4:$P$8000,'Timesheet Raw'!$L$4:$L$8000,$A107,'Timesheet Raw'!$C$4:$C$8000,T$3,'Timesheet Raw'!$B$4:$B$8000,'Work Calendar'!$A$27)+SUMIFS('Timesheet Raw'!$P$4:$P$8000,'Timesheet Raw'!$L$4:$L$8000,$A107,'Timesheet Raw'!$C$4:$C$8000,T$3,'Timesheet Raw'!$B$4:$B$8000,'Work Calendar'!$A$28)+SUMIFS('Timesheet Raw'!$P$4:$P$8000,'Timesheet Raw'!$L$4:$L$8000,$A107,'Timesheet Raw'!$C$4:$C$8000,T$3,'Timesheet Raw'!$B$4:$B$8000,'Work Calendar'!$A$29))</f>
        <v>0</v>
      </c>
      <c r="W107" s="341">
        <f t="shared" si="7"/>
        <v>0</v>
      </c>
      <c r="X107" s="395">
        <f>IF($A107="","",SUMIFS('Timesheet Raw'!$K$4:$K$8000,'Timesheet Raw'!$L$4:$L$8000,$A107,'Timesheet Raw'!$C$4:$C$8000,T$3))</f>
        <v>0</v>
      </c>
      <c r="Y107" s="345">
        <f>IF($A107="","",SUMIFS('Timesheet Raw'!$P$4:$P$8000,'Timesheet Raw'!$L$4:$L$8000,$A107,'Timesheet Raw'!$C$4:$C$8000,T$3))</f>
        <v>0</v>
      </c>
      <c r="Z107" s="375"/>
      <c r="AA107" t="str">
        <f>IF($A107="","",IF(Z107&lt;&gt;"",Z107,IF($A107&gt;'Work Calendar'!$B$17,"No data yet",IF(AND(V107&gt;='Work Calendar'!$B$14,T107+U107+W107&gt;0),"Day off - but worked",IF(V107&gt;='Work Calendar'!$B$14,"Day off",IF(T107+U107+W107&gt;0,IF($C107="Working","Charged","Worked weekend"),IF($C107="Working","Leave (not charged)",$C107)))))))</f>
        <v>Leave (not charged)</v>
      </c>
    </row>
    <row r="108" spans="1:27" x14ac:dyDescent="0.3">
      <c r="A108" s="371">
        <f>IF($A107="","",IF($A107+1&gt;'Work Calendar'!$B$16,"",$A107+1))</f>
        <v>46126</v>
      </c>
      <c r="B108" t="str">
        <f t="shared" si="4"/>
        <v>Tue</v>
      </c>
      <c r="C108" t="str" cm="1">
        <f t="array" ref="C108">IF($A108="","",IF(COUNTIF('Work Calendar'!$E$6:$E$200,$A108)&gt;0,"Holiday",IF(INDEX('Work Calendar'!$C$6:$C$12,WEEKDAY($A108,1))=1,"Working","Weekend")))</f>
        <v>Working</v>
      </c>
      <c r="D108" s="341">
        <f>IF($A108="","",SUMIFS('Timesheet Raw'!$P$4:$P$8000,'Timesheet Raw'!$L$4:$L$8000,$A108,'Timesheet Raw'!$C$4:$C$8000,D$3,'Timesheet Raw'!$A$4:$A$8000,"1-Projects"))</f>
        <v>9.25</v>
      </c>
      <c r="E108" s="341">
        <f>IF($A108="","",SUMIFS('Timesheet Raw'!$P$4:$P$8000,'Timesheet Raw'!$L$4:$L$8000,$A108,'Timesheet Raw'!$C$4:$C$8000,D$3,'Timesheet Raw'!$A$4:$A$8000,"2-Proposals Chargeable")+SUMIFS('Timesheet Raw'!$P$4:$P$8000,'Timesheet Raw'!$L$4:$L$8000,$A108,'Timesheet Raw'!$C$4:$C$8000,D$3,'Timesheet Raw'!$A$4:$A$8000,"3-Proposals Regular"))</f>
        <v>0</v>
      </c>
      <c r="F108" s="341">
        <f>IF($A108="","",SUMIFS('Timesheet Raw'!$P$4:$P$8000,'Timesheet Raw'!$L$4:$L$8000,$A108,'Timesheet Raw'!$C$4:$C$8000,D$3,'Timesheet Raw'!$B$4:$B$8000,'Work Calendar'!$A$26)+SUMIFS('Timesheet Raw'!$P$4:$P$8000,'Timesheet Raw'!$L$4:$L$8000,$A108,'Timesheet Raw'!$C$4:$C$8000,D$3,'Timesheet Raw'!$B$4:$B$8000,'Work Calendar'!$A$27)+SUMIFS('Timesheet Raw'!$P$4:$P$8000,'Timesheet Raw'!$L$4:$L$8000,$A108,'Timesheet Raw'!$C$4:$C$8000,D$3,'Timesheet Raw'!$B$4:$B$8000,'Work Calendar'!$A$28)+SUMIFS('Timesheet Raw'!$P$4:$P$8000,'Timesheet Raw'!$L$4:$L$8000,$A108,'Timesheet Raw'!$C$4:$C$8000,D$3,'Timesheet Raw'!$B$4:$B$8000,'Work Calendar'!$A$29))</f>
        <v>0</v>
      </c>
      <c r="G108" s="341">
        <f t="shared" si="5"/>
        <v>0</v>
      </c>
      <c r="H108" s="395">
        <f>IF($A108="","",SUMIFS('Timesheet Raw'!$K$4:$K$8000,'Timesheet Raw'!$L$4:$L$8000,$A108,'Timesheet Raw'!$C$4:$C$8000,D$3))</f>
        <v>0.75</v>
      </c>
      <c r="I108" s="345">
        <f>IF($A108="","",SUMIFS('Timesheet Raw'!$P$4:$P$8000,'Timesheet Raw'!$L$4:$L$8000,$A108,'Timesheet Raw'!$C$4:$C$8000,D$3))</f>
        <v>9.25</v>
      </c>
      <c r="J108" s="375"/>
      <c r="K108" t="str">
        <f>IF($A108="","",IF(J108&lt;&gt;"",J108,IF($A108&gt;'Work Calendar'!$B$17,"No data yet",IF(AND(F108&gt;='Work Calendar'!$B$14,D108+E108+G108&gt;0),"Day off - but worked",IF(F108&gt;='Work Calendar'!$B$14,"Day off",IF(D108+E108+G108&gt;0,IF($C108="Working","Charged","Worked weekend"),IF($C108="Working","Leave (not charged)",$C108)))))))</f>
        <v>Charged</v>
      </c>
      <c r="L108" s="341">
        <f>IF($A108="","",SUMIFS('Timesheet Raw'!$P$4:$P$8000,'Timesheet Raw'!$L$4:$L$8000,$A108,'Timesheet Raw'!$C$4:$C$8000,L$3,'Timesheet Raw'!$A$4:$A$8000,"1-Projects"))</f>
        <v>8</v>
      </c>
      <c r="M108" s="341">
        <f>IF($A108="","",SUMIFS('Timesheet Raw'!$P$4:$P$8000,'Timesheet Raw'!$L$4:$L$8000,$A108,'Timesheet Raw'!$C$4:$C$8000,L$3,'Timesheet Raw'!$A$4:$A$8000,"2-Proposals Chargeable")+SUMIFS('Timesheet Raw'!$P$4:$P$8000,'Timesheet Raw'!$L$4:$L$8000,$A108,'Timesheet Raw'!$C$4:$C$8000,L$3,'Timesheet Raw'!$A$4:$A$8000,"3-Proposals Regular"))</f>
        <v>0</v>
      </c>
      <c r="N108" s="341">
        <f>IF($A108="","",SUMIFS('Timesheet Raw'!$P$4:$P$8000,'Timesheet Raw'!$L$4:$L$8000,$A108,'Timesheet Raw'!$C$4:$C$8000,L$3,'Timesheet Raw'!$B$4:$B$8000,'Work Calendar'!$A$26)+SUMIFS('Timesheet Raw'!$P$4:$P$8000,'Timesheet Raw'!$L$4:$L$8000,$A108,'Timesheet Raw'!$C$4:$C$8000,L$3,'Timesheet Raw'!$B$4:$B$8000,'Work Calendar'!$A$27)+SUMIFS('Timesheet Raw'!$P$4:$P$8000,'Timesheet Raw'!$L$4:$L$8000,$A108,'Timesheet Raw'!$C$4:$C$8000,L$3,'Timesheet Raw'!$B$4:$B$8000,'Work Calendar'!$A$28)+SUMIFS('Timesheet Raw'!$P$4:$P$8000,'Timesheet Raw'!$L$4:$L$8000,$A108,'Timesheet Raw'!$C$4:$C$8000,L$3,'Timesheet Raw'!$B$4:$B$8000,'Work Calendar'!$A$29))</f>
        <v>0.5</v>
      </c>
      <c r="O108" s="341">
        <f t="shared" si="6"/>
        <v>0</v>
      </c>
      <c r="P108" s="395">
        <f>IF($A108="","",SUMIFS('Timesheet Raw'!$K$4:$K$8000,'Timesheet Raw'!$L$4:$L$8000,$A108,'Timesheet Raw'!$C$4:$C$8000,L$3))</f>
        <v>0</v>
      </c>
      <c r="Q108" s="345">
        <f>IF($A108="","",SUMIFS('Timesheet Raw'!$P$4:$P$8000,'Timesheet Raw'!$L$4:$L$8000,$A108,'Timesheet Raw'!$C$4:$C$8000,L$3))</f>
        <v>8.5</v>
      </c>
      <c r="R108" s="375"/>
      <c r="S108" t="str">
        <f>IF($A108="","",IF(R108&lt;&gt;"",R108,IF($A108&gt;'Work Calendar'!$B$17,"No data yet",IF(AND(N108&gt;='Work Calendar'!$B$14,L108+M108+O108&gt;0),"Day off - but worked",IF(N108&gt;='Work Calendar'!$B$14,"Day off",IF(L108+M108+O108&gt;0,IF($C108="Working","Charged","Worked weekend"),IF($C108="Working","Leave (not charged)",$C108)))))))</f>
        <v>Charged</v>
      </c>
      <c r="T108" s="341">
        <f>IF($A108="","",SUMIFS('Timesheet Raw'!$P$4:$P$8000,'Timesheet Raw'!$L$4:$L$8000,$A108,'Timesheet Raw'!$C$4:$C$8000,T$3,'Timesheet Raw'!$A$4:$A$8000,"1-Projects"))</f>
        <v>0</v>
      </c>
      <c r="U108" s="341">
        <f>IF($A108="","",SUMIFS('Timesheet Raw'!$P$4:$P$8000,'Timesheet Raw'!$L$4:$L$8000,$A108,'Timesheet Raw'!$C$4:$C$8000,T$3,'Timesheet Raw'!$A$4:$A$8000,"2-Proposals Chargeable")+SUMIFS('Timesheet Raw'!$P$4:$P$8000,'Timesheet Raw'!$L$4:$L$8000,$A108,'Timesheet Raw'!$C$4:$C$8000,T$3,'Timesheet Raw'!$A$4:$A$8000,"3-Proposals Regular"))</f>
        <v>0</v>
      </c>
      <c r="V108" s="341">
        <f>IF($A108="","",SUMIFS('Timesheet Raw'!$P$4:$P$8000,'Timesheet Raw'!$L$4:$L$8000,$A108,'Timesheet Raw'!$C$4:$C$8000,T$3,'Timesheet Raw'!$B$4:$B$8000,'Work Calendar'!$A$26)+SUMIFS('Timesheet Raw'!$P$4:$P$8000,'Timesheet Raw'!$L$4:$L$8000,$A108,'Timesheet Raw'!$C$4:$C$8000,T$3,'Timesheet Raw'!$B$4:$B$8000,'Work Calendar'!$A$27)+SUMIFS('Timesheet Raw'!$P$4:$P$8000,'Timesheet Raw'!$L$4:$L$8000,$A108,'Timesheet Raw'!$C$4:$C$8000,T$3,'Timesheet Raw'!$B$4:$B$8000,'Work Calendar'!$A$28)+SUMIFS('Timesheet Raw'!$P$4:$P$8000,'Timesheet Raw'!$L$4:$L$8000,$A108,'Timesheet Raw'!$C$4:$C$8000,T$3,'Timesheet Raw'!$B$4:$B$8000,'Work Calendar'!$A$29))</f>
        <v>0</v>
      </c>
      <c r="W108" s="341">
        <f t="shared" si="7"/>
        <v>0</v>
      </c>
      <c r="X108" s="395">
        <f>IF($A108="","",SUMIFS('Timesheet Raw'!$K$4:$K$8000,'Timesheet Raw'!$L$4:$L$8000,$A108,'Timesheet Raw'!$C$4:$C$8000,T$3))</f>
        <v>0</v>
      </c>
      <c r="Y108" s="345">
        <f>IF($A108="","",SUMIFS('Timesheet Raw'!$P$4:$P$8000,'Timesheet Raw'!$L$4:$L$8000,$A108,'Timesheet Raw'!$C$4:$C$8000,T$3))</f>
        <v>0</v>
      </c>
      <c r="Z108" s="375"/>
      <c r="AA108" t="str">
        <f>IF($A108="","",IF(Z108&lt;&gt;"",Z108,IF($A108&gt;'Work Calendar'!$B$17,"No data yet",IF(AND(V108&gt;='Work Calendar'!$B$14,T108+U108+W108&gt;0),"Day off - but worked",IF(V108&gt;='Work Calendar'!$B$14,"Day off",IF(T108+U108+W108&gt;0,IF($C108="Working","Charged","Worked weekend"),IF($C108="Working","Leave (not charged)",$C108)))))))</f>
        <v>Leave (not charged)</v>
      </c>
    </row>
    <row r="109" spans="1:27" x14ac:dyDescent="0.3">
      <c r="A109" s="371">
        <f>IF($A108="","",IF($A108+1&gt;'Work Calendar'!$B$16,"",$A108+1))</f>
        <v>46127</v>
      </c>
      <c r="B109" t="str">
        <f t="shared" si="4"/>
        <v>Wed</v>
      </c>
      <c r="C109" t="str" cm="1">
        <f t="array" ref="C109">IF($A109="","",IF(COUNTIF('Work Calendar'!$E$6:$E$200,$A109)&gt;0,"Holiday",IF(INDEX('Work Calendar'!$C$6:$C$12,WEEKDAY($A109,1))=1,"Working","Weekend")))</f>
        <v>Working</v>
      </c>
      <c r="D109" s="341">
        <f>IF($A109="","",SUMIFS('Timesheet Raw'!$P$4:$P$8000,'Timesheet Raw'!$L$4:$L$8000,$A109,'Timesheet Raw'!$C$4:$C$8000,D$3,'Timesheet Raw'!$A$4:$A$8000,"1-Projects"))</f>
        <v>12.25</v>
      </c>
      <c r="E109" s="341">
        <f>IF($A109="","",SUMIFS('Timesheet Raw'!$P$4:$P$8000,'Timesheet Raw'!$L$4:$L$8000,$A109,'Timesheet Raw'!$C$4:$C$8000,D$3,'Timesheet Raw'!$A$4:$A$8000,"2-Proposals Chargeable")+SUMIFS('Timesheet Raw'!$P$4:$P$8000,'Timesheet Raw'!$L$4:$L$8000,$A109,'Timesheet Raw'!$C$4:$C$8000,D$3,'Timesheet Raw'!$A$4:$A$8000,"3-Proposals Regular"))</f>
        <v>0</v>
      </c>
      <c r="F109" s="341">
        <f>IF($A109="","",SUMIFS('Timesheet Raw'!$P$4:$P$8000,'Timesheet Raw'!$L$4:$L$8000,$A109,'Timesheet Raw'!$C$4:$C$8000,D$3,'Timesheet Raw'!$B$4:$B$8000,'Work Calendar'!$A$26)+SUMIFS('Timesheet Raw'!$P$4:$P$8000,'Timesheet Raw'!$L$4:$L$8000,$A109,'Timesheet Raw'!$C$4:$C$8000,D$3,'Timesheet Raw'!$B$4:$B$8000,'Work Calendar'!$A$27)+SUMIFS('Timesheet Raw'!$P$4:$P$8000,'Timesheet Raw'!$L$4:$L$8000,$A109,'Timesheet Raw'!$C$4:$C$8000,D$3,'Timesheet Raw'!$B$4:$B$8000,'Work Calendar'!$A$28)+SUMIFS('Timesheet Raw'!$P$4:$P$8000,'Timesheet Raw'!$L$4:$L$8000,$A109,'Timesheet Raw'!$C$4:$C$8000,D$3,'Timesheet Raw'!$B$4:$B$8000,'Work Calendar'!$A$29))</f>
        <v>0.75</v>
      </c>
      <c r="G109" s="341">
        <f t="shared" si="5"/>
        <v>0</v>
      </c>
      <c r="H109" s="395">
        <f>IF($A109="","",SUMIFS('Timesheet Raw'!$K$4:$K$8000,'Timesheet Raw'!$L$4:$L$8000,$A109,'Timesheet Raw'!$C$4:$C$8000,D$3))</f>
        <v>4.5</v>
      </c>
      <c r="I109" s="345">
        <f>IF($A109="","",SUMIFS('Timesheet Raw'!$P$4:$P$8000,'Timesheet Raw'!$L$4:$L$8000,$A109,'Timesheet Raw'!$C$4:$C$8000,D$3))</f>
        <v>13</v>
      </c>
      <c r="J109" s="375"/>
      <c r="K109" t="str">
        <f>IF($A109="","",IF(J109&lt;&gt;"",J109,IF($A109&gt;'Work Calendar'!$B$17,"No data yet",IF(AND(F109&gt;='Work Calendar'!$B$14,D109+E109+G109&gt;0),"Day off - but worked",IF(F109&gt;='Work Calendar'!$B$14,"Day off",IF(D109+E109+G109&gt;0,IF($C109="Working","Charged","Worked weekend"),IF($C109="Working","Leave (not charged)",$C109)))))))</f>
        <v>Charged</v>
      </c>
      <c r="L109" s="341">
        <f>IF($A109="","",SUMIFS('Timesheet Raw'!$P$4:$P$8000,'Timesheet Raw'!$L$4:$L$8000,$A109,'Timesheet Raw'!$C$4:$C$8000,L$3,'Timesheet Raw'!$A$4:$A$8000,"1-Projects"))</f>
        <v>8.25</v>
      </c>
      <c r="M109" s="341">
        <f>IF($A109="","",SUMIFS('Timesheet Raw'!$P$4:$P$8000,'Timesheet Raw'!$L$4:$L$8000,$A109,'Timesheet Raw'!$C$4:$C$8000,L$3,'Timesheet Raw'!$A$4:$A$8000,"2-Proposals Chargeable")+SUMIFS('Timesheet Raw'!$P$4:$P$8000,'Timesheet Raw'!$L$4:$L$8000,$A109,'Timesheet Raw'!$C$4:$C$8000,L$3,'Timesheet Raw'!$A$4:$A$8000,"3-Proposals Regular"))</f>
        <v>0</v>
      </c>
      <c r="N109" s="341">
        <f>IF($A109="","",SUMIFS('Timesheet Raw'!$P$4:$P$8000,'Timesheet Raw'!$L$4:$L$8000,$A109,'Timesheet Raw'!$C$4:$C$8000,L$3,'Timesheet Raw'!$B$4:$B$8000,'Work Calendar'!$A$26)+SUMIFS('Timesheet Raw'!$P$4:$P$8000,'Timesheet Raw'!$L$4:$L$8000,$A109,'Timesheet Raw'!$C$4:$C$8000,L$3,'Timesheet Raw'!$B$4:$B$8000,'Work Calendar'!$A$27)+SUMIFS('Timesheet Raw'!$P$4:$P$8000,'Timesheet Raw'!$L$4:$L$8000,$A109,'Timesheet Raw'!$C$4:$C$8000,L$3,'Timesheet Raw'!$B$4:$B$8000,'Work Calendar'!$A$28)+SUMIFS('Timesheet Raw'!$P$4:$P$8000,'Timesheet Raw'!$L$4:$L$8000,$A109,'Timesheet Raw'!$C$4:$C$8000,L$3,'Timesheet Raw'!$B$4:$B$8000,'Work Calendar'!$A$29))</f>
        <v>0.75</v>
      </c>
      <c r="O109" s="341">
        <f t="shared" si="6"/>
        <v>0</v>
      </c>
      <c r="P109" s="395">
        <f>IF($A109="","",SUMIFS('Timesheet Raw'!$K$4:$K$8000,'Timesheet Raw'!$L$4:$L$8000,$A109,'Timesheet Raw'!$C$4:$C$8000,L$3))</f>
        <v>0.5</v>
      </c>
      <c r="Q109" s="345">
        <f>IF($A109="","",SUMIFS('Timesheet Raw'!$P$4:$P$8000,'Timesheet Raw'!$L$4:$L$8000,$A109,'Timesheet Raw'!$C$4:$C$8000,L$3))</f>
        <v>9</v>
      </c>
      <c r="R109" s="375"/>
      <c r="S109" t="str">
        <f>IF($A109="","",IF(R109&lt;&gt;"",R109,IF($A109&gt;'Work Calendar'!$B$17,"No data yet",IF(AND(N109&gt;='Work Calendar'!$B$14,L109+M109+O109&gt;0),"Day off - but worked",IF(N109&gt;='Work Calendar'!$B$14,"Day off",IF(L109+M109+O109&gt;0,IF($C109="Working","Charged","Worked weekend"),IF($C109="Working","Leave (not charged)",$C109)))))))</f>
        <v>Charged</v>
      </c>
      <c r="T109" s="341">
        <f>IF($A109="","",SUMIFS('Timesheet Raw'!$P$4:$P$8000,'Timesheet Raw'!$L$4:$L$8000,$A109,'Timesheet Raw'!$C$4:$C$8000,T$3,'Timesheet Raw'!$A$4:$A$8000,"1-Projects"))</f>
        <v>0</v>
      </c>
      <c r="U109" s="341">
        <f>IF($A109="","",SUMIFS('Timesheet Raw'!$P$4:$P$8000,'Timesheet Raw'!$L$4:$L$8000,$A109,'Timesheet Raw'!$C$4:$C$8000,T$3,'Timesheet Raw'!$A$4:$A$8000,"2-Proposals Chargeable")+SUMIFS('Timesheet Raw'!$P$4:$P$8000,'Timesheet Raw'!$L$4:$L$8000,$A109,'Timesheet Raw'!$C$4:$C$8000,T$3,'Timesheet Raw'!$A$4:$A$8000,"3-Proposals Regular"))</f>
        <v>0</v>
      </c>
      <c r="V109" s="341">
        <f>IF($A109="","",SUMIFS('Timesheet Raw'!$P$4:$P$8000,'Timesheet Raw'!$L$4:$L$8000,$A109,'Timesheet Raw'!$C$4:$C$8000,T$3,'Timesheet Raw'!$B$4:$B$8000,'Work Calendar'!$A$26)+SUMIFS('Timesheet Raw'!$P$4:$P$8000,'Timesheet Raw'!$L$4:$L$8000,$A109,'Timesheet Raw'!$C$4:$C$8000,T$3,'Timesheet Raw'!$B$4:$B$8000,'Work Calendar'!$A$27)+SUMIFS('Timesheet Raw'!$P$4:$P$8000,'Timesheet Raw'!$L$4:$L$8000,$A109,'Timesheet Raw'!$C$4:$C$8000,T$3,'Timesheet Raw'!$B$4:$B$8000,'Work Calendar'!$A$28)+SUMIFS('Timesheet Raw'!$P$4:$P$8000,'Timesheet Raw'!$L$4:$L$8000,$A109,'Timesheet Raw'!$C$4:$C$8000,T$3,'Timesheet Raw'!$B$4:$B$8000,'Work Calendar'!$A$29))</f>
        <v>0</v>
      </c>
      <c r="W109" s="341">
        <f t="shared" si="7"/>
        <v>0</v>
      </c>
      <c r="X109" s="395">
        <f>IF($A109="","",SUMIFS('Timesheet Raw'!$K$4:$K$8000,'Timesheet Raw'!$L$4:$L$8000,$A109,'Timesheet Raw'!$C$4:$C$8000,T$3))</f>
        <v>0</v>
      </c>
      <c r="Y109" s="345">
        <f>IF($A109="","",SUMIFS('Timesheet Raw'!$P$4:$P$8000,'Timesheet Raw'!$L$4:$L$8000,$A109,'Timesheet Raw'!$C$4:$C$8000,T$3))</f>
        <v>0</v>
      </c>
      <c r="Z109" s="375"/>
      <c r="AA109" t="str">
        <f>IF($A109="","",IF(Z109&lt;&gt;"",Z109,IF($A109&gt;'Work Calendar'!$B$17,"No data yet",IF(AND(V109&gt;='Work Calendar'!$B$14,T109+U109+W109&gt;0),"Day off - but worked",IF(V109&gt;='Work Calendar'!$B$14,"Day off",IF(T109+U109+W109&gt;0,IF($C109="Working","Charged","Worked weekend"),IF($C109="Working","Leave (not charged)",$C109)))))))</f>
        <v>Leave (not charged)</v>
      </c>
    </row>
    <row r="110" spans="1:27" x14ac:dyDescent="0.3">
      <c r="A110" s="371">
        <f>IF($A109="","",IF($A109+1&gt;'Work Calendar'!$B$16,"",$A109+1))</f>
        <v>46128</v>
      </c>
      <c r="B110" t="str">
        <f t="shared" si="4"/>
        <v>Thu</v>
      </c>
      <c r="C110" t="str" cm="1">
        <f t="array" ref="C110">IF($A110="","",IF(COUNTIF('Work Calendar'!$E$6:$E$200,$A110)&gt;0,"Holiday",IF(INDEX('Work Calendar'!$C$6:$C$12,WEEKDAY($A110,1))=1,"Working","Weekend")))</f>
        <v>Working</v>
      </c>
      <c r="D110" s="341">
        <f>IF($A110="","",SUMIFS('Timesheet Raw'!$P$4:$P$8000,'Timesheet Raw'!$L$4:$L$8000,$A110,'Timesheet Raw'!$C$4:$C$8000,D$3,'Timesheet Raw'!$A$4:$A$8000,"1-Projects"))</f>
        <v>9.25</v>
      </c>
      <c r="E110" s="341">
        <f>IF($A110="","",SUMIFS('Timesheet Raw'!$P$4:$P$8000,'Timesheet Raw'!$L$4:$L$8000,$A110,'Timesheet Raw'!$C$4:$C$8000,D$3,'Timesheet Raw'!$A$4:$A$8000,"2-Proposals Chargeable")+SUMIFS('Timesheet Raw'!$P$4:$P$8000,'Timesheet Raw'!$L$4:$L$8000,$A110,'Timesheet Raw'!$C$4:$C$8000,D$3,'Timesheet Raw'!$A$4:$A$8000,"3-Proposals Regular"))</f>
        <v>0</v>
      </c>
      <c r="F110" s="341">
        <f>IF($A110="","",SUMIFS('Timesheet Raw'!$P$4:$P$8000,'Timesheet Raw'!$L$4:$L$8000,$A110,'Timesheet Raw'!$C$4:$C$8000,D$3,'Timesheet Raw'!$B$4:$B$8000,'Work Calendar'!$A$26)+SUMIFS('Timesheet Raw'!$P$4:$P$8000,'Timesheet Raw'!$L$4:$L$8000,$A110,'Timesheet Raw'!$C$4:$C$8000,D$3,'Timesheet Raw'!$B$4:$B$8000,'Work Calendar'!$A$27)+SUMIFS('Timesheet Raw'!$P$4:$P$8000,'Timesheet Raw'!$L$4:$L$8000,$A110,'Timesheet Raw'!$C$4:$C$8000,D$3,'Timesheet Raw'!$B$4:$B$8000,'Work Calendar'!$A$28)+SUMIFS('Timesheet Raw'!$P$4:$P$8000,'Timesheet Raw'!$L$4:$L$8000,$A110,'Timesheet Raw'!$C$4:$C$8000,D$3,'Timesheet Raw'!$B$4:$B$8000,'Work Calendar'!$A$29))</f>
        <v>0.5</v>
      </c>
      <c r="G110" s="341">
        <f t="shared" si="5"/>
        <v>0</v>
      </c>
      <c r="H110" s="395">
        <f>IF($A110="","",SUMIFS('Timesheet Raw'!$K$4:$K$8000,'Timesheet Raw'!$L$4:$L$8000,$A110,'Timesheet Raw'!$C$4:$C$8000,D$3))</f>
        <v>1.25</v>
      </c>
      <c r="I110" s="345">
        <f>IF($A110="","",SUMIFS('Timesheet Raw'!$P$4:$P$8000,'Timesheet Raw'!$L$4:$L$8000,$A110,'Timesheet Raw'!$C$4:$C$8000,D$3))</f>
        <v>9.75</v>
      </c>
      <c r="J110" s="375"/>
      <c r="K110" t="str">
        <f>IF($A110="","",IF(J110&lt;&gt;"",J110,IF($A110&gt;'Work Calendar'!$B$17,"No data yet",IF(AND(F110&gt;='Work Calendar'!$B$14,D110+E110+G110&gt;0),"Day off - but worked",IF(F110&gt;='Work Calendar'!$B$14,"Day off",IF(D110+E110+G110&gt;0,IF($C110="Working","Charged","Worked weekend"),IF($C110="Working","Leave (not charged)",$C110)))))))</f>
        <v>Charged</v>
      </c>
      <c r="L110" s="341">
        <f>IF($A110="","",SUMIFS('Timesheet Raw'!$P$4:$P$8000,'Timesheet Raw'!$L$4:$L$8000,$A110,'Timesheet Raw'!$C$4:$C$8000,L$3,'Timesheet Raw'!$A$4:$A$8000,"1-Projects"))</f>
        <v>9</v>
      </c>
      <c r="M110" s="341">
        <f>IF($A110="","",SUMIFS('Timesheet Raw'!$P$4:$P$8000,'Timesheet Raw'!$L$4:$L$8000,$A110,'Timesheet Raw'!$C$4:$C$8000,L$3,'Timesheet Raw'!$A$4:$A$8000,"2-Proposals Chargeable")+SUMIFS('Timesheet Raw'!$P$4:$P$8000,'Timesheet Raw'!$L$4:$L$8000,$A110,'Timesheet Raw'!$C$4:$C$8000,L$3,'Timesheet Raw'!$A$4:$A$8000,"3-Proposals Regular"))</f>
        <v>0</v>
      </c>
      <c r="N110" s="341">
        <f>IF($A110="","",SUMIFS('Timesheet Raw'!$P$4:$P$8000,'Timesheet Raw'!$L$4:$L$8000,$A110,'Timesheet Raw'!$C$4:$C$8000,L$3,'Timesheet Raw'!$B$4:$B$8000,'Work Calendar'!$A$26)+SUMIFS('Timesheet Raw'!$P$4:$P$8000,'Timesheet Raw'!$L$4:$L$8000,$A110,'Timesheet Raw'!$C$4:$C$8000,L$3,'Timesheet Raw'!$B$4:$B$8000,'Work Calendar'!$A$27)+SUMIFS('Timesheet Raw'!$P$4:$P$8000,'Timesheet Raw'!$L$4:$L$8000,$A110,'Timesheet Raw'!$C$4:$C$8000,L$3,'Timesheet Raw'!$B$4:$B$8000,'Work Calendar'!$A$28)+SUMIFS('Timesheet Raw'!$P$4:$P$8000,'Timesheet Raw'!$L$4:$L$8000,$A110,'Timesheet Raw'!$C$4:$C$8000,L$3,'Timesheet Raw'!$B$4:$B$8000,'Work Calendar'!$A$29))</f>
        <v>0.5</v>
      </c>
      <c r="O110" s="341">
        <f t="shared" si="6"/>
        <v>0</v>
      </c>
      <c r="P110" s="395">
        <f>IF($A110="","",SUMIFS('Timesheet Raw'!$K$4:$K$8000,'Timesheet Raw'!$L$4:$L$8000,$A110,'Timesheet Raw'!$C$4:$C$8000,L$3))</f>
        <v>1</v>
      </c>
      <c r="Q110" s="345">
        <f>IF($A110="","",SUMIFS('Timesheet Raw'!$P$4:$P$8000,'Timesheet Raw'!$L$4:$L$8000,$A110,'Timesheet Raw'!$C$4:$C$8000,L$3))</f>
        <v>9.5</v>
      </c>
      <c r="R110" s="375"/>
      <c r="S110" t="str">
        <f>IF($A110="","",IF(R110&lt;&gt;"",R110,IF($A110&gt;'Work Calendar'!$B$17,"No data yet",IF(AND(N110&gt;='Work Calendar'!$B$14,L110+M110+O110&gt;0),"Day off - but worked",IF(N110&gt;='Work Calendar'!$B$14,"Day off",IF(L110+M110+O110&gt;0,IF($C110="Working","Charged","Worked weekend"),IF($C110="Working","Leave (not charged)",$C110)))))))</f>
        <v>Charged</v>
      </c>
      <c r="T110" s="341">
        <f>IF($A110="","",SUMIFS('Timesheet Raw'!$P$4:$P$8000,'Timesheet Raw'!$L$4:$L$8000,$A110,'Timesheet Raw'!$C$4:$C$8000,T$3,'Timesheet Raw'!$A$4:$A$8000,"1-Projects"))</f>
        <v>0</v>
      </c>
      <c r="U110" s="341">
        <f>IF($A110="","",SUMIFS('Timesheet Raw'!$P$4:$P$8000,'Timesheet Raw'!$L$4:$L$8000,$A110,'Timesheet Raw'!$C$4:$C$8000,T$3,'Timesheet Raw'!$A$4:$A$8000,"2-Proposals Chargeable")+SUMIFS('Timesheet Raw'!$P$4:$P$8000,'Timesheet Raw'!$L$4:$L$8000,$A110,'Timesheet Raw'!$C$4:$C$8000,T$3,'Timesheet Raw'!$A$4:$A$8000,"3-Proposals Regular"))</f>
        <v>0</v>
      </c>
      <c r="V110" s="341">
        <f>IF($A110="","",SUMIFS('Timesheet Raw'!$P$4:$P$8000,'Timesheet Raw'!$L$4:$L$8000,$A110,'Timesheet Raw'!$C$4:$C$8000,T$3,'Timesheet Raw'!$B$4:$B$8000,'Work Calendar'!$A$26)+SUMIFS('Timesheet Raw'!$P$4:$P$8000,'Timesheet Raw'!$L$4:$L$8000,$A110,'Timesheet Raw'!$C$4:$C$8000,T$3,'Timesheet Raw'!$B$4:$B$8000,'Work Calendar'!$A$27)+SUMIFS('Timesheet Raw'!$P$4:$P$8000,'Timesheet Raw'!$L$4:$L$8000,$A110,'Timesheet Raw'!$C$4:$C$8000,T$3,'Timesheet Raw'!$B$4:$B$8000,'Work Calendar'!$A$28)+SUMIFS('Timesheet Raw'!$P$4:$P$8000,'Timesheet Raw'!$L$4:$L$8000,$A110,'Timesheet Raw'!$C$4:$C$8000,T$3,'Timesheet Raw'!$B$4:$B$8000,'Work Calendar'!$A$29))</f>
        <v>0</v>
      </c>
      <c r="W110" s="341">
        <f t="shared" si="7"/>
        <v>0</v>
      </c>
      <c r="X110" s="395">
        <f>IF($A110="","",SUMIFS('Timesheet Raw'!$K$4:$K$8000,'Timesheet Raw'!$L$4:$L$8000,$A110,'Timesheet Raw'!$C$4:$C$8000,T$3))</f>
        <v>0</v>
      </c>
      <c r="Y110" s="345">
        <f>IF($A110="","",SUMIFS('Timesheet Raw'!$P$4:$P$8000,'Timesheet Raw'!$L$4:$L$8000,$A110,'Timesheet Raw'!$C$4:$C$8000,T$3))</f>
        <v>0</v>
      </c>
      <c r="Z110" s="375"/>
      <c r="AA110" t="str">
        <f>IF($A110="","",IF(Z110&lt;&gt;"",Z110,IF($A110&gt;'Work Calendar'!$B$17,"No data yet",IF(AND(V110&gt;='Work Calendar'!$B$14,T110+U110+W110&gt;0),"Day off - but worked",IF(V110&gt;='Work Calendar'!$B$14,"Day off",IF(T110+U110+W110&gt;0,IF($C110="Working","Charged","Worked weekend"),IF($C110="Working","Leave (not charged)",$C110)))))))</f>
        <v>Leave (not charged)</v>
      </c>
    </row>
    <row r="111" spans="1:27" x14ac:dyDescent="0.3">
      <c r="A111" s="371">
        <f>IF($A110="","",IF($A110+1&gt;'Work Calendar'!$B$16,"",$A110+1))</f>
        <v>46129</v>
      </c>
      <c r="B111" t="str">
        <f t="shared" si="4"/>
        <v>Fri</v>
      </c>
      <c r="C111" t="str" cm="1">
        <f t="array" ref="C111">IF($A111="","",IF(COUNTIF('Work Calendar'!$E$6:$E$200,$A111)&gt;0,"Holiday",IF(INDEX('Work Calendar'!$C$6:$C$12,WEEKDAY($A111,1))=1,"Working","Weekend")))</f>
        <v>Weekend</v>
      </c>
      <c r="D111" s="341">
        <f>IF($A111="","",SUMIFS('Timesheet Raw'!$P$4:$P$8000,'Timesheet Raw'!$L$4:$L$8000,$A111,'Timesheet Raw'!$C$4:$C$8000,D$3,'Timesheet Raw'!$A$4:$A$8000,"1-Projects"))</f>
        <v>0</v>
      </c>
      <c r="E111" s="341">
        <f>IF($A111="","",SUMIFS('Timesheet Raw'!$P$4:$P$8000,'Timesheet Raw'!$L$4:$L$8000,$A111,'Timesheet Raw'!$C$4:$C$8000,D$3,'Timesheet Raw'!$A$4:$A$8000,"2-Proposals Chargeable")+SUMIFS('Timesheet Raw'!$P$4:$P$8000,'Timesheet Raw'!$L$4:$L$8000,$A111,'Timesheet Raw'!$C$4:$C$8000,D$3,'Timesheet Raw'!$A$4:$A$8000,"3-Proposals Regular"))</f>
        <v>0</v>
      </c>
      <c r="F111" s="341">
        <f>IF($A111="","",SUMIFS('Timesheet Raw'!$P$4:$P$8000,'Timesheet Raw'!$L$4:$L$8000,$A111,'Timesheet Raw'!$C$4:$C$8000,D$3,'Timesheet Raw'!$B$4:$B$8000,'Work Calendar'!$A$26)+SUMIFS('Timesheet Raw'!$P$4:$P$8000,'Timesheet Raw'!$L$4:$L$8000,$A111,'Timesheet Raw'!$C$4:$C$8000,D$3,'Timesheet Raw'!$B$4:$B$8000,'Work Calendar'!$A$27)+SUMIFS('Timesheet Raw'!$P$4:$P$8000,'Timesheet Raw'!$L$4:$L$8000,$A111,'Timesheet Raw'!$C$4:$C$8000,D$3,'Timesheet Raw'!$B$4:$B$8000,'Work Calendar'!$A$28)+SUMIFS('Timesheet Raw'!$P$4:$P$8000,'Timesheet Raw'!$L$4:$L$8000,$A111,'Timesheet Raw'!$C$4:$C$8000,D$3,'Timesheet Raw'!$B$4:$B$8000,'Work Calendar'!$A$29))</f>
        <v>0</v>
      </c>
      <c r="G111" s="341">
        <f t="shared" si="5"/>
        <v>0</v>
      </c>
      <c r="H111" s="395">
        <f>IF($A111="","",SUMIFS('Timesheet Raw'!$K$4:$K$8000,'Timesheet Raw'!$L$4:$L$8000,$A111,'Timesheet Raw'!$C$4:$C$8000,D$3))</f>
        <v>0</v>
      </c>
      <c r="I111" s="345">
        <f>IF($A111="","",SUMIFS('Timesheet Raw'!$P$4:$P$8000,'Timesheet Raw'!$L$4:$L$8000,$A111,'Timesheet Raw'!$C$4:$C$8000,D$3))</f>
        <v>0</v>
      </c>
      <c r="J111" s="375"/>
      <c r="K111" t="str">
        <f>IF($A111="","",IF(J111&lt;&gt;"",J111,IF($A111&gt;'Work Calendar'!$B$17,"No data yet",IF(AND(F111&gt;='Work Calendar'!$B$14,D111+E111+G111&gt;0),"Day off - but worked",IF(F111&gt;='Work Calendar'!$B$14,"Day off",IF(D111+E111+G111&gt;0,IF($C111="Working","Charged","Worked weekend"),IF($C111="Working","Leave (not charged)",$C111)))))))</f>
        <v>Weekend</v>
      </c>
      <c r="L111" s="341">
        <f>IF($A111="","",SUMIFS('Timesheet Raw'!$P$4:$P$8000,'Timesheet Raw'!$L$4:$L$8000,$A111,'Timesheet Raw'!$C$4:$C$8000,L$3,'Timesheet Raw'!$A$4:$A$8000,"1-Projects"))</f>
        <v>0</v>
      </c>
      <c r="M111" s="341">
        <f>IF($A111="","",SUMIFS('Timesheet Raw'!$P$4:$P$8000,'Timesheet Raw'!$L$4:$L$8000,$A111,'Timesheet Raw'!$C$4:$C$8000,L$3,'Timesheet Raw'!$A$4:$A$8000,"2-Proposals Chargeable")+SUMIFS('Timesheet Raw'!$P$4:$P$8000,'Timesheet Raw'!$L$4:$L$8000,$A111,'Timesheet Raw'!$C$4:$C$8000,L$3,'Timesheet Raw'!$A$4:$A$8000,"3-Proposals Regular"))</f>
        <v>0</v>
      </c>
      <c r="N111" s="341">
        <f>IF($A111="","",SUMIFS('Timesheet Raw'!$P$4:$P$8000,'Timesheet Raw'!$L$4:$L$8000,$A111,'Timesheet Raw'!$C$4:$C$8000,L$3,'Timesheet Raw'!$B$4:$B$8000,'Work Calendar'!$A$26)+SUMIFS('Timesheet Raw'!$P$4:$P$8000,'Timesheet Raw'!$L$4:$L$8000,$A111,'Timesheet Raw'!$C$4:$C$8000,L$3,'Timesheet Raw'!$B$4:$B$8000,'Work Calendar'!$A$27)+SUMIFS('Timesheet Raw'!$P$4:$P$8000,'Timesheet Raw'!$L$4:$L$8000,$A111,'Timesheet Raw'!$C$4:$C$8000,L$3,'Timesheet Raw'!$B$4:$B$8000,'Work Calendar'!$A$28)+SUMIFS('Timesheet Raw'!$P$4:$P$8000,'Timesheet Raw'!$L$4:$L$8000,$A111,'Timesheet Raw'!$C$4:$C$8000,L$3,'Timesheet Raw'!$B$4:$B$8000,'Work Calendar'!$A$29))</f>
        <v>0</v>
      </c>
      <c r="O111" s="341">
        <f t="shared" si="6"/>
        <v>0</v>
      </c>
      <c r="P111" s="395">
        <f>IF($A111="","",SUMIFS('Timesheet Raw'!$K$4:$K$8000,'Timesheet Raw'!$L$4:$L$8000,$A111,'Timesheet Raw'!$C$4:$C$8000,L$3))</f>
        <v>0</v>
      </c>
      <c r="Q111" s="345">
        <f>IF($A111="","",SUMIFS('Timesheet Raw'!$P$4:$P$8000,'Timesheet Raw'!$L$4:$L$8000,$A111,'Timesheet Raw'!$C$4:$C$8000,L$3))</f>
        <v>0</v>
      </c>
      <c r="R111" s="375"/>
      <c r="S111" t="str">
        <f>IF($A111="","",IF(R111&lt;&gt;"",R111,IF($A111&gt;'Work Calendar'!$B$17,"No data yet",IF(AND(N111&gt;='Work Calendar'!$B$14,L111+M111+O111&gt;0),"Day off - but worked",IF(N111&gt;='Work Calendar'!$B$14,"Day off",IF(L111+M111+O111&gt;0,IF($C111="Working","Charged","Worked weekend"),IF($C111="Working","Leave (not charged)",$C111)))))))</f>
        <v>Weekend</v>
      </c>
      <c r="T111" s="341">
        <f>IF($A111="","",SUMIFS('Timesheet Raw'!$P$4:$P$8000,'Timesheet Raw'!$L$4:$L$8000,$A111,'Timesheet Raw'!$C$4:$C$8000,T$3,'Timesheet Raw'!$A$4:$A$8000,"1-Projects"))</f>
        <v>0</v>
      </c>
      <c r="U111" s="341">
        <f>IF($A111="","",SUMIFS('Timesheet Raw'!$P$4:$P$8000,'Timesheet Raw'!$L$4:$L$8000,$A111,'Timesheet Raw'!$C$4:$C$8000,T$3,'Timesheet Raw'!$A$4:$A$8000,"2-Proposals Chargeable")+SUMIFS('Timesheet Raw'!$P$4:$P$8000,'Timesheet Raw'!$L$4:$L$8000,$A111,'Timesheet Raw'!$C$4:$C$8000,T$3,'Timesheet Raw'!$A$4:$A$8000,"3-Proposals Regular"))</f>
        <v>0</v>
      </c>
      <c r="V111" s="341">
        <f>IF($A111="","",SUMIFS('Timesheet Raw'!$P$4:$P$8000,'Timesheet Raw'!$L$4:$L$8000,$A111,'Timesheet Raw'!$C$4:$C$8000,T$3,'Timesheet Raw'!$B$4:$B$8000,'Work Calendar'!$A$26)+SUMIFS('Timesheet Raw'!$P$4:$P$8000,'Timesheet Raw'!$L$4:$L$8000,$A111,'Timesheet Raw'!$C$4:$C$8000,T$3,'Timesheet Raw'!$B$4:$B$8000,'Work Calendar'!$A$27)+SUMIFS('Timesheet Raw'!$P$4:$P$8000,'Timesheet Raw'!$L$4:$L$8000,$A111,'Timesheet Raw'!$C$4:$C$8000,T$3,'Timesheet Raw'!$B$4:$B$8000,'Work Calendar'!$A$28)+SUMIFS('Timesheet Raw'!$P$4:$P$8000,'Timesheet Raw'!$L$4:$L$8000,$A111,'Timesheet Raw'!$C$4:$C$8000,T$3,'Timesheet Raw'!$B$4:$B$8000,'Work Calendar'!$A$29))</f>
        <v>0</v>
      </c>
      <c r="W111" s="341">
        <f t="shared" si="7"/>
        <v>0</v>
      </c>
      <c r="X111" s="395">
        <f>IF($A111="","",SUMIFS('Timesheet Raw'!$K$4:$K$8000,'Timesheet Raw'!$L$4:$L$8000,$A111,'Timesheet Raw'!$C$4:$C$8000,T$3))</f>
        <v>0</v>
      </c>
      <c r="Y111" s="345">
        <f>IF($A111="","",SUMIFS('Timesheet Raw'!$P$4:$P$8000,'Timesheet Raw'!$L$4:$L$8000,$A111,'Timesheet Raw'!$C$4:$C$8000,T$3))</f>
        <v>0</v>
      </c>
      <c r="Z111" s="375"/>
      <c r="AA111" t="str">
        <f>IF($A111="","",IF(Z111&lt;&gt;"",Z111,IF($A111&gt;'Work Calendar'!$B$17,"No data yet",IF(AND(V111&gt;='Work Calendar'!$B$14,T111+U111+W111&gt;0),"Day off - but worked",IF(V111&gt;='Work Calendar'!$B$14,"Day off",IF(T111+U111+W111&gt;0,IF($C111="Working","Charged","Worked weekend"),IF($C111="Working","Leave (not charged)",$C111)))))))</f>
        <v>Weekend</v>
      </c>
    </row>
    <row r="112" spans="1:27" x14ac:dyDescent="0.3">
      <c r="A112" s="371">
        <f>IF($A111="","",IF($A111+1&gt;'Work Calendar'!$B$16,"",$A111+1))</f>
        <v>46130</v>
      </c>
      <c r="B112" t="str">
        <f t="shared" si="4"/>
        <v>Sat</v>
      </c>
      <c r="C112" t="str" cm="1">
        <f t="array" ref="C112">IF($A112="","",IF(COUNTIF('Work Calendar'!$E$6:$E$200,$A112)&gt;0,"Holiday",IF(INDEX('Work Calendar'!$C$6:$C$12,WEEKDAY($A112,1))=1,"Working","Weekend")))</f>
        <v>Weekend</v>
      </c>
      <c r="D112" s="341">
        <f>IF($A112="","",SUMIFS('Timesheet Raw'!$P$4:$P$8000,'Timesheet Raw'!$L$4:$L$8000,$A112,'Timesheet Raw'!$C$4:$C$8000,D$3,'Timesheet Raw'!$A$4:$A$8000,"1-Projects"))</f>
        <v>0</v>
      </c>
      <c r="E112" s="341">
        <f>IF($A112="","",SUMIFS('Timesheet Raw'!$P$4:$P$8000,'Timesheet Raw'!$L$4:$L$8000,$A112,'Timesheet Raw'!$C$4:$C$8000,D$3,'Timesheet Raw'!$A$4:$A$8000,"2-Proposals Chargeable")+SUMIFS('Timesheet Raw'!$P$4:$P$8000,'Timesheet Raw'!$L$4:$L$8000,$A112,'Timesheet Raw'!$C$4:$C$8000,D$3,'Timesheet Raw'!$A$4:$A$8000,"3-Proposals Regular"))</f>
        <v>0</v>
      </c>
      <c r="F112" s="341">
        <f>IF($A112="","",SUMIFS('Timesheet Raw'!$P$4:$P$8000,'Timesheet Raw'!$L$4:$L$8000,$A112,'Timesheet Raw'!$C$4:$C$8000,D$3,'Timesheet Raw'!$B$4:$B$8000,'Work Calendar'!$A$26)+SUMIFS('Timesheet Raw'!$P$4:$P$8000,'Timesheet Raw'!$L$4:$L$8000,$A112,'Timesheet Raw'!$C$4:$C$8000,D$3,'Timesheet Raw'!$B$4:$B$8000,'Work Calendar'!$A$27)+SUMIFS('Timesheet Raw'!$P$4:$P$8000,'Timesheet Raw'!$L$4:$L$8000,$A112,'Timesheet Raw'!$C$4:$C$8000,D$3,'Timesheet Raw'!$B$4:$B$8000,'Work Calendar'!$A$28)+SUMIFS('Timesheet Raw'!$P$4:$P$8000,'Timesheet Raw'!$L$4:$L$8000,$A112,'Timesheet Raw'!$C$4:$C$8000,D$3,'Timesheet Raw'!$B$4:$B$8000,'Work Calendar'!$A$29))</f>
        <v>0</v>
      </c>
      <c r="G112" s="341">
        <f t="shared" si="5"/>
        <v>0</v>
      </c>
      <c r="H112" s="395">
        <f>IF($A112="","",SUMIFS('Timesheet Raw'!$K$4:$K$8000,'Timesheet Raw'!$L$4:$L$8000,$A112,'Timesheet Raw'!$C$4:$C$8000,D$3))</f>
        <v>0</v>
      </c>
      <c r="I112" s="345">
        <f>IF($A112="","",SUMIFS('Timesheet Raw'!$P$4:$P$8000,'Timesheet Raw'!$L$4:$L$8000,$A112,'Timesheet Raw'!$C$4:$C$8000,D$3))</f>
        <v>0</v>
      </c>
      <c r="J112" s="375"/>
      <c r="K112" t="str">
        <f>IF($A112="","",IF(J112&lt;&gt;"",J112,IF($A112&gt;'Work Calendar'!$B$17,"No data yet",IF(AND(F112&gt;='Work Calendar'!$B$14,D112+E112+G112&gt;0),"Day off - but worked",IF(F112&gt;='Work Calendar'!$B$14,"Day off",IF(D112+E112+G112&gt;0,IF($C112="Working","Charged","Worked weekend"),IF($C112="Working","Leave (not charged)",$C112)))))))</f>
        <v>Weekend</v>
      </c>
      <c r="L112" s="341">
        <f>IF($A112="","",SUMIFS('Timesheet Raw'!$P$4:$P$8000,'Timesheet Raw'!$L$4:$L$8000,$A112,'Timesheet Raw'!$C$4:$C$8000,L$3,'Timesheet Raw'!$A$4:$A$8000,"1-Projects"))</f>
        <v>0</v>
      </c>
      <c r="M112" s="341">
        <f>IF($A112="","",SUMIFS('Timesheet Raw'!$P$4:$P$8000,'Timesheet Raw'!$L$4:$L$8000,$A112,'Timesheet Raw'!$C$4:$C$8000,L$3,'Timesheet Raw'!$A$4:$A$8000,"2-Proposals Chargeable")+SUMIFS('Timesheet Raw'!$P$4:$P$8000,'Timesheet Raw'!$L$4:$L$8000,$A112,'Timesheet Raw'!$C$4:$C$8000,L$3,'Timesheet Raw'!$A$4:$A$8000,"3-Proposals Regular"))</f>
        <v>0</v>
      </c>
      <c r="N112" s="341">
        <f>IF($A112="","",SUMIFS('Timesheet Raw'!$P$4:$P$8000,'Timesheet Raw'!$L$4:$L$8000,$A112,'Timesheet Raw'!$C$4:$C$8000,L$3,'Timesheet Raw'!$B$4:$B$8000,'Work Calendar'!$A$26)+SUMIFS('Timesheet Raw'!$P$4:$P$8000,'Timesheet Raw'!$L$4:$L$8000,$A112,'Timesheet Raw'!$C$4:$C$8000,L$3,'Timesheet Raw'!$B$4:$B$8000,'Work Calendar'!$A$27)+SUMIFS('Timesheet Raw'!$P$4:$P$8000,'Timesheet Raw'!$L$4:$L$8000,$A112,'Timesheet Raw'!$C$4:$C$8000,L$3,'Timesheet Raw'!$B$4:$B$8000,'Work Calendar'!$A$28)+SUMIFS('Timesheet Raw'!$P$4:$P$8000,'Timesheet Raw'!$L$4:$L$8000,$A112,'Timesheet Raw'!$C$4:$C$8000,L$3,'Timesheet Raw'!$B$4:$B$8000,'Work Calendar'!$A$29))</f>
        <v>0</v>
      </c>
      <c r="O112" s="341">
        <f t="shared" si="6"/>
        <v>0</v>
      </c>
      <c r="P112" s="395">
        <f>IF($A112="","",SUMIFS('Timesheet Raw'!$K$4:$K$8000,'Timesheet Raw'!$L$4:$L$8000,$A112,'Timesheet Raw'!$C$4:$C$8000,L$3))</f>
        <v>0</v>
      </c>
      <c r="Q112" s="345">
        <f>IF($A112="","",SUMIFS('Timesheet Raw'!$P$4:$P$8000,'Timesheet Raw'!$L$4:$L$8000,$A112,'Timesheet Raw'!$C$4:$C$8000,L$3))</f>
        <v>0</v>
      </c>
      <c r="R112" s="375"/>
      <c r="S112" t="str">
        <f>IF($A112="","",IF(R112&lt;&gt;"",R112,IF($A112&gt;'Work Calendar'!$B$17,"No data yet",IF(AND(N112&gt;='Work Calendar'!$B$14,L112+M112+O112&gt;0),"Day off - but worked",IF(N112&gt;='Work Calendar'!$B$14,"Day off",IF(L112+M112+O112&gt;0,IF($C112="Working","Charged","Worked weekend"),IF($C112="Working","Leave (not charged)",$C112)))))))</f>
        <v>Weekend</v>
      </c>
      <c r="T112" s="341">
        <f>IF($A112="","",SUMIFS('Timesheet Raw'!$P$4:$P$8000,'Timesheet Raw'!$L$4:$L$8000,$A112,'Timesheet Raw'!$C$4:$C$8000,T$3,'Timesheet Raw'!$A$4:$A$8000,"1-Projects"))</f>
        <v>0</v>
      </c>
      <c r="U112" s="341">
        <f>IF($A112="","",SUMIFS('Timesheet Raw'!$P$4:$P$8000,'Timesheet Raw'!$L$4:$L$8000,$A112,'Timesheet Raw'!$C$4:$C$8000,T$3,'Timesheet Raw'!$A$4:$A$8000,"2-Proposals Chargeable")+SUMIFS('Timesheet Raw'!$P$4:$P$8000,'Timesheet Raw'!$L$4:$L$8000,$A112,'Timesheet Raw'!$C$4:$C$8000,T$3,'Timesheet Raw'!$A$4:$A$8000,"3-Proposals Regular"))</f>
        <v>0</v>
      </c>
      <c r="V112" s="341">
        <f>IF($A112="","",SUMIFS('Timesheet Raw'!$P$4:$P$8000,'Timesheet Raw'!$L$4:$L$8000,$A112,'Timesheet Raw'!$C$4:$C$8000,T$3,'Timesheet Raw'!$B$4:$B$8000,'Work Calendar'!$A$26)+SUMIFS('Timesheet Raw'!$P$4:$P$8000,'Timesheet Raw'!$L$4:$L$8000,$A112,'Timesheet Raw'!$C$4:$C$8000,T$3,'Timesheet Raw'!$B$4:$B$8000,'Work Calendar'!$A$27)+SUMIFS('Timesheet Raw'!$P$4:$P$8000,'Timesheet Raw'!$L$4:$L$8000,$A112,'Timesheet Raw'!$C$4:$C$8000,T$3,'Timesheet Raw'!$B$4:$B$8000,'Work Calendar'!$A$28)+SUMIFS('Timesheet Raw'!$P$4:$P$8000,'Timesheet Raw'!$L$4:$L$8000,$A112,'Timesheet Raw'!$C$4:$C$8000,T$3,'Timesheet Raw'!$B$4:$B$8000,'Work Calendar'!$A$29))</f>
        <v>0</v>
      </c>
      <c r="W112" s="341">
        <f t="shared" si="7"/>
        <v>0</v>
      </c>
      <c r="X112" s="395">
        <f>IF($A112="","",SUMIFS('Timesheet Raw'!$K$4:$K$8000,'Timesheet Raw'!$L$4:$L$8000,$A112,'Timesheet Raw'!$C$4:$C$8000,T$3))</f>
        <v>0</v>
      </c>
      <c r="Y112" s="345">
        <f>IF($A112="","",SUMIFS('Timesheet Raw'!$P$4:$P$8000,'Timesheet Raw'!$L$4:$L$8000,$A112,'Timesheet Raw'!$C$4:$C$8000,T$3))</f>
        <v>0</v>
      </c>
      <c r="Z112" s="375"/>
      <c r="AA112" t="str">
        <f>IF($A112="","",IF(Z112&lt;&gt;"",Z112,IF($A112&gt;'Work Calendar'!$B$17,"No data yet",IF(AND(V112&gt;='Work Calendar'!$B$14,T112+U112+W112&gt;0),"Day off - but worked",IF(V112&gt;='Work Calendar'!$B$14,"Day off",IF(T112+U112+W112&gt;0,IF($C112="Working","Charged","Worked weekend"),IF($C112="Working","Leave (not charged)",$C112)))))))</f>
        <v>Weekend</v>
      </c>
    </row>
    <row r="113" spans="1:27" x14ac:dyDescent="0.3">
      <c r="A113" s="371">
        <f>IF($A112="","",IF($A112+1&gt;'Work Calendar'!$B$16,"",$A112+1))</f>
        <v>46131</v>
      </c>
      <c r="B113" t="str">
        <f t="shared" si="4"/>
        <v>Sun</v>
      </c>
      <c r="C113" t="str" cm="1">
        <f t="array" ref="C113">IF($A113="","",IF(COUNTIF('Work Calendar'!$E$6:$E$200,$A113)&gt;0,"Holiday",IF(INDEX('Work Calendar'!$C$6:$C$12,WEEKDAY($A113,1))=1,"Working","Weekend")))</f>
        <v>Working</v>
      </c>
      <c r="D113" s="341">
        <f>IF($A113="","",SUMIFS('Timesheet Raw'!$P$4:$P$8000,'Timesheet Raw'!$L$4:$L$8000,$A113,'Timesheet Raw'!$C$4:$C$8000,D$3,'Timesheet Raw'!$A$4:$A$8000,"1-Projects"))</f>
        <v>13</v>
      </c>
      <c r="E113" s="341">
        <f>IF($A113="","",SUMIFS('Timesheet Raw'!$P$4:$P$8000,'Timesheet Raw'!$L$4:$L$8000,$A113,'Timesheet Raw'!$C$4:$C$8000,D$3,'Timesheet Raw'!$A$4:$A$8000,"2-Proposals Chargeable")+SUMIFS('Timesheet Raw'!$P$4:$P$8000,'Timesheet Raw'!$L$4:$L$8000,$A113,'Timesheet Raw'!$C$4:$C$8000,D$3,'Timesheet Raw'!$A$4:$A$8000,"3-Proposals Regular"))</f>
        <v>0</v>
      </c>
      <c r="F113" s="341">
        <f>IF($A113="","",SUMIFS('Timesheet Raw'!$P$4:$P$8000,'Timesheet Raw'!$L$4:$L$8000,$A113,'Timesheet Raw'!$C$4:$C$8000,D$3,'Timesheet Raw'!$B$4:$B$8000,'Work Calendar'!$A$26)+SUMIFS('Timesheet Raw'!$P$4:$P$8000,'Timesheet Raw'!$L$4:$L$8000,$A113,'Timesheet Raw'!$C$4:$C$8000,D$3,'Timesheet Raw'!$B$4:$B$8000,'Work Calendar'!$A$27)+SUMIFS('Timesheet Raw'!$P$4:$P$8000,'Timesheet Raw'!$L$4:$L$8000,$A113,'Timesheet Raw'!$C$4:$C$8000,D$3,'Timesheet Raw'!$B$4:$B$8000,'Work Calendar'!$A$28)+SUMIFS('Timesheet Raw'!$P$4:$P$8000,'Timesheet Raw'!$L$4:$L$8000,$A113,'Timesheet Raw'!$C$4:$C$8000,D$3,'Timesheet Raw'!$B$4:$B$8000,'Work Calendar'!$A$29))</f>
        <v>0.5</v>
      </c>
      <c r="G113" s="341">
        <f t="shared" si="5"/>
        <v>0</v>
      </c>
      <c r="H113" s="395">
        <f>IF($A113="","",SUMIFS('Timesheet Raw'!$K$4:$K$8000,'Timesheet Raw'!$L$4:$L$8000,$A113,'Timesheet Raw'!$C$4:$C$8000,D$3))</f>
        <v>5</v>
      </c>
      <c r="I113" s="345">
        <f>IF($A113="","",SUMIFS('Timesheet Raw'!$P$4:$P$8000,'Timesheet Raw'!$L$4:$L$8000,$A113,'Timesheet Raw'!$C$4:$C$8000,D$3))</f>
        <v>13.5</v>
      </c>
      <c r="J113" s="375"/>
      <c r="K113" t="str">
        <f>IF($A113="","",IF(J113&lt;&gt;"",J113,IF($A113&gt;'Work Calendar'!$B$17,"No data yet",IF(AND(F113&gt;='Work Calendar'!$B$14,D113+E113+G113&gt;0),"Day off - but worked",IF(F113&gt;='Work Calendar'!$B$14,"Day off",IF(D113+E113+G113&gt;0,IF($C113="Working","Charged","Worked weekend"),IF($C113="Working","Leave (not charged)",$C113)))))))</f>
        <v>Charged</v>
      </c>
      <c r="L113" s="341">
        <f>IF($A113="","",SUMIFS('Timesheet Raw'!$P$4:$P$8000,'Timesheet Raw'!$L$4:$L$8000,$A113,'Timesheet Raw'!$C$4:$C$8000,L$3,'Timesheet Raw'!$A$4:$A$8000,"1-Projects"))</f>
        <v>8.75</v>
      </c>
      <c r="M113" s="341">
        <f>IF($A113="","",SUMIFS('Timesheet Raw'!$P$4:$P$8000,'Timesheet Raw'!$L$4:$L$8000,$A113,'Timesheet Raw'!$C$4:$C$8000,L$3,'Timesheet Raw'!$A$4:$A$8000,"2-Proposals Chargeable")+SUMIFS('Timesheet Raw'!$P$4:$P$8000,'Timesheet Raw'!$L$4:$L$8000,$A113,'Timesheet Raw'!$C$4:$C$8000,L$3,'Timesheet Raw'!$A$4:$A$8000,"3-Proposals Regular"))</f>
        <v>0</v>
      </c>
      <c r="N113" s="341">
        <f>IF($A113="","",SUMIFS('Timesheet Raw'!$P$4:$P$8000,'Timesheet Raw'!$L$4:$L$8000,$A113,'Timesheet Raw'!$C$4:$C$8000,L$3,'Timesheet Raw'!$B$4:$B$8000,'Work Calendar'!$A$26)+SUMIFS('Timesheet Raw'!$P$4:$P$8000,'Timesheet Raw'!$L$4:$L$8000,$A113,'Timesheet Raw'!$C$4:$C$8000,L$3,'Timesheet Raw'!$B$4:$B$8000,'Work Calendar'!$A$27)+SUMIFS('Timesheet Raw'!$P$4:$P$8000,'Timesheet Raw'!$L$4:$L$8000,$A113,'Timesheet Raw'!$C$4:$C$8000,L$3,'Timesheet Raw'!$B$4:$B$8000,'Work Calendar'!$A$28)+SUMIFS('Timesheet Raw'!$P$4:$P$8000,'Timesheet Raw'!$L$4:$L$8000,$A113,'Timesheet Raw'!$C$4:$C$8000,L$3,'Timesheet Raw'!$B$4:$B$8000,'Work Calendar'!$A$29))</f>
        <v>0</v>
      </c>
      <c r="O113" s="341">
        <f t="shared" si="6"/>
        <v>0</v>
      </c>
      <c r="P113" s="395">
        <f>IF($A113="","",SUMIFS('Timesheet Raw'!$K$4:$K$8000,'Timesheet Raw'!$L$4:$L$8000,$A113,'Timesheet Raw'!$C$4:$C$8000,L$3))</f>
        <v>0.25</v>
      </c>
      <c r="Q113" s="345">
        <f>IF($A113="","",SUMIFS('Timesheet Raw'!$P$4:$P$8000,'Timesheet Raw'!$L$4:$L$8000,$A113,'Timesheet Raw'!$C$4:$C$8000,L$3))</f>
        <v>8.75</v>
      </c>
      <c r="R113" s="375"/>
      <c r="S113" t="str">
        <f>IF($A113="","",IF(R113&lt;&gt;"",R113,IF($A113&gt;'Work Calendar'!$B$17,"No data yet",IF(AND(N113&gt;='Work Calendar'!$B$14,L113+M113+O113&gt;0),"Day off - but worked",IF(N113&gt;='Work Calendar'!$B$14,"Day off",IF(L113+M113+O113&gt;0,IF($C113="Working","Charged","Worked weekend"),IF($C113="Working","Leave (not charged)",$C113)))))))</f>
        <v>Charged</v>
      </c>
      <c r="T113" s="341">
        <f>IF($A113="","",SUMIFS('Timesheet Raw'!$P$4:$P$8000,'Timesheet Raw'!$L$4:$L$8000,$A113,'Timesheet Raw'!$C$4:$C$8000,T$3,'Timesheet Raw'!$A$4:$A$8000,"1-Projects"))</f>
        <v>0</v>
      </c>
      <c r="U113" s="341">
        <f>IF($A113="","",SUMIFS('Timesheet Raw'!$P$4:$P$8000,'Timesheet Raw'!$L$4:$L$8000,$A113,'Timesheet Raw'!$C$4:$C$8000,T$3,'Timesheet Raw'!$A$4:$A$8000,"2-Proposals Chargeable")+SUMIFS('Timesheet Raw'!$P$4:$P$8000,'Timesheet Raw'!$L$4:$L$8000,$A113,'Timesheet Raw'!$C$4:$C$8000,T$3,'Timesheet Raw'!$A$4:$A$8000,"3-Proposals Regular"))</f>
        <v>0</v>
      </c>
      <c r="V113" s="341">
        <f>IF($A113="","",SUMIFS('Timesheet Raw'!$P$4:$P$8000,'Timesheet Raw'!$L$4:$L$8000,$A113,'Timesheet Raw'!$C$4:$C$8000,T$3,'Timesheet Raw'!$B$4:$B$8000,'Work Calendar'!$A$26)+SUMIFS('Timesheet Raw'!$P$4:$P$8000,'Timesheet Raw'!$L$4:$L$8000,$A113,'Timesheet Raw'!$C$4:$C$8000,T$3,'Timesheet Raw'!$B$4:$B$8000,'Work Calendar'!$A$27)+SUMIFS('Timesheet Raw'!$P$4:$P$8000,'Timesheet Raw'!$L$4:$L$8000,$A113,'Timesheet Raw'!$C$4:$C$8000,T$3,'Timesheet Raw'!$B$4:$B$8000,'Work Calendar'!$A$28)+SUMIFS('Timesheet Raw'!$P$4:$P$8000,'Timesheet Raw'!$L$4:$L$8000,$A113,'Timesheet Raw'!$C$4:$C$8000,T$3,'Timesheet Raw'!$B$4:$B$8000,'Work Calendar'!$A$29))</f>
        <v>0</v>
      </c>
      <c r="W113" s="341">
        <f t="shared" si="7"/>
        <v>0</v>
      </c>
      <c r="X113" s="395">
        <f>IF($A113="","",SUMIFS('Timesheet Raw'!$K$4:$K$8000,'Timesheet Raw'!$L$4:$L$8000,$A113,'Timesheet Raw'!$C$4:$C$8000,T$3))</f>
        <v>0</v>
      </c>
      <c r="Y113" s="345">
        <f>IF($A113="","",SUMIFS('Timesheet Raw'!$P$4:$P$8000,'Timesheet Raw'!$L$4:$L$8000,$A113,'Timesheet Raw'!$C$4:$C$8000,T$3))</f>
        <v>0</v>
      </c>
      <c r="Z113" s="375"/>
      <c r="AA113" t="str">
        <f>IF($A113="","",IF(Z113&lt;&gt;"",Z113,IF($A113&gt;'Work Calendar'!$B$17,"No data yet",IF(AND(V113&gt;='Work Calendar'!$B$14,T113+U113+W113&gt;0),"Day off - but worked",IF(V113&gt;='Work Calendar'!$B$14,"Day off",IF(T113+U113+W113&gt;0,IF($C113="Working","Charged","Worked weekend"),IF($C113="Working","Leave (not charged)",$C113)))))))</f>
        <v>Leave (not charged)</v>
      </c>
    </row>
    <row r="114" spans="1:27" x14ac:dyDescent="0.3">
      <c r="A114" s="371">
        <f>IF($A113="","",IF($A113+1&gt;'Work Calendar'!$B$16,"",$A113+1))</f>
        <v>46132</v>
      </c>
      <c r="B114" t="str">
        <f t="shared" si="4"/>
        <v>Mon</v>
      </c>
      <c r="C114" t="str" cm="1">
        <f t="array" ref="C114">IF($A114="","",IF(COUNTIF('Work Calendar'!$E$6:$E$200,$A114)&gt;0,"Holiday",IF(INDEX('Work Calendar'!$C$6:$C$12,WEEKDAY($A114,1))=1,"Working","Weekend")))</f>
        <v>Working</v>
      </c>
      <c r="D114" s="341">
        <f>IF($A114="","",SUMIFS('Timesheet Raw'!$P$4:$P$8000,'Timesheet Raw'!$L$4:$L$8000,$A114,'Timesheet Raw'!$C$4:$C$8000,D$3,'Timesheet Raw'!$A$4:$A$8000,"1-Projects"))</f>
        <v>14</v>
      </c>
      <c r="E114" s="341">
        <f>IF($A114="","",SUMIFS('Timesheet Raw'!$P$4:$P$8000,'Timesheet Raw'!$L$4:$L$8000,$A114,'Timesheet Raw'!$C$4:$C$8000,D$3,'Timesheet Raw'!$A$4:$A$8000,"2-Proposals Chargeable")+SUMIFS('Timesheet Raw'!$P$4:$P$8000,'Timesheet Raw'!$L$4:$L$8000,$A114,'Timesheet Raw'!$C$4:$C$8000,D$3,'Timesheet Raw'!$A$4:$A$8000,"3-Proposals Regular"))</f>
        <v>0</v>
      </c>
      <c r="F114" s="341">
        <f>IF($A114="","",SUMIFS('Timesheet Raw'!$P$4:$P$8000,'Timesheet Raw'!$L$4:$L$8000,$A114,'Timesheet Raw'!$C$4:$C$8000,D$3,'Timesheet Raw'!$B$4:$B$8000,'Work Calendar'!$A$26)+SUMIFS('Timesheet Raw'!$P$4:$P$8000,'Timesheet Raw'!$L$4:$L$8000,$A114,'Timesheet Raw'!$C$4:$C$8000,D$3,'Timesheet Raw'!$B$4:$B$8000,'Work Calendar'!$A$27)+SUMIFS('Timesheet Raw'!$P$4:$P$8000,'Timesheet Raw'!$L$4:$L$8000,$A114,'Timesheet Raw'!$C$4:$C$8000,D$3,'Timesheet Raw'!$B$4:$B$8000,'Work Calendar'!$A$28)+SUMIFS('Timesheet Raw'!$P$4:$P$8000,'Timesheet Raw'!$L$4:$L$8000,$A114,'Timesheet Raw'!$C$4:$C$8000,D$3,'Timesheet Raw'!$B$4:$B$8000,'Work Calendar'!$A$29))</f>
        <v>1</v>
      </c>
      <c r="G114" s="341">
        <f t="shared" si="5"/>
        <v>0</v>
      </c>
      <c r="H114" s="395">
        <f>IF($A114="","",SUMIFS('Timesheet Raw'!$K$4:$K$8000,'Timesheet Raw'!$L$4:$L$8000,$A114,'Timesheet Raw'!$C$4:$C$8000,D$3))</f>
        <v>6.5</v>
      </c>
      <c r="I114" s="345">
        <f>IF($A114="","",SUMIFS('Timesheet Raw'!$P$4:$P$8000,'Timesheet Raw'!$L$4:$L$8000,$A114,'Timesheet Raw'!$C$4:$C$8000,D$3))</f>
        <v>15</v>
      </c>
      <c r="J114" s="375"/>
      <c r="K114" t="str">
        <f>IF($A114="","",IF(J114&lt;&gt;"",J114,IF($A114&gt;'Work Calendar'!$B$17,"No data yet",IF(AND(F114&gt;='Work Calendar'!$B$14,D114+E114+G114&gt;0),"Day off - but worked",IF(F114&gt;='Work Calendar'!$B$14,"Day off",IF(D114+E114+G114&gt;0,IF($C114="Working","Charged","Worked weekend"),IF($C114="Working","Leave (not charged)",$C114)))))))</f>
        <v>Charged</v>
      </c>
      <c r="L114" s="341">
        <f>IF($A114="","",SUMIFS('Timesheet Raw'!$P$4:$P$8000,'Timesheet Raw'!$L$4:$L$8000,$A114,'Timesheet Raw'!$C$4:$C$8000,L$3,'Timesheet Raw'!$A$4:$A$8000,"1-Projects"))</f>
        <v>8</v>
      </c>
      <c r="M114" s="341">
        <f>IF($A114="","",SUMIFS('Timesheet Raw'!$P$4:$P$8000,'Timesheet Raw'!$L$4:$L$8000,$A114,'Timesheet Raw'!$C$4:$C$8000,L$3,'Timesheet Raw'!$A$4:$A$8000,"2-Proposals Chargeable")+SUMIFS('Timesheet Raw'!$P$4:$P$8000,'Timesheet Raw'!$L$4:$L$8000,$A114,'Timesheet Raw'!$C$4:$C$8000,L$3,'Timesheet Raw'!$A$4:$A$8000,"3-Proposals Regular"))</f>
        <v>0</v>
      </c>
      <c r="N114" s="341">
        <f>IF($A114="","",SUMIFS('Timesheet Raw'!$P$4:$P$8000,'Timesheet Raw'!$L$4:$L$8000,$A114,'Timesheet Raw'!$C$4:$C$8000,L$3,'Timesheet Raw'!$B$4:$B$8000,'Work Calendar'!$A$26)+SUMIFS('Timesheet Raw'!$P$4:$P$8000,'Timesheet Raw'!$L$4:$L$8000,$A114,'Timesheet Raw'!$C$4:$C$8000,L$3,'Timesheet Raw'!$B$4:$B$8000,'Work Calendar'!$A$27)+SUMIFS('Timesheet Raw'!$P$4:$P$8000,'Timesheet Raw'!$L$4:$L$8000,$A114,'Timesheet Raw'!$C$4:$C$8000,L$3,'Timesheet Raw'!$B$4:$B$8000,'Work Calendar'!$A$28)+SUMIFS('Timesheet Raw'!$P$4:$P$8000,'Timesheet Raw'!$L$4:$L$8000,$A114,'Timesheet Raw'!$C$4:$C$8000,L$3,'Timesheet Raw'!$B$4:$B$8000,'Work Calendar'!$A$29))</f>
        <v>0.75</v>
      </c>
      <c r="O114" s="341">
        <f t="shared" si="6"/>
        <v>0</v>
      </c>
      <c r="P114" s="395">
        <f>IF($A114="","",SUMIFS('Timesheet Raw'!$K$4:$K$8000,'Timesheet Raw'!$L$4:$L$8000,$A114,'Timesheet Raw'!$C$4:$C$8000,L$3))</f>
        <v>0.25</v>
      </c>
      <c r="Q114" s="345">
        <f>IF($A114="","",SUMIFS('Timesheet Raw'!$P$4:$P$8000,'Timesheet Raw'!$L$4:$L$8000,$A114,'Timesheet Raw'!$C$4:$C$8000,L$3))</f>
        <v>8.75</v>
      </c>
      <c r="R114" s="375"/>
      <c r="S114" t="str">
        <f>IF($A114="","",IF(R114&lt;&gt;"",R114,IF($A114&gt;'Work Calendar'!$B$17,"No data yet",IF(AND(N114&gt;='Work Calendar'!$B$14,L114+M114+O114&gt;0),"Day off - but worked",IF(N114&gt;='Work Calendar'!$B$14,"Day off",IF(L114+M114+O114&gt;0,IF($C114="Working","Charged","Worked weekend"),IF($C114="Working","Leave (not charged)",$C114)))))))</f>
        <v>Charged</v>
      </c>
      <c r="T114" s="341">
        <f>IF($A114="","",SUMIFS('Timesheet Raw'!$P$4:$P$8000,'Timesheet Raw'!$L$4:$L$8000,$A114,'Timesheet Raw'!$C$4:$C$8000,T$3,'Timesheet Raw'!$A$4:$A$8000,"1-Projects"))</f>
        <v>8.25</v>
      </c>
      <c r="U114" s="341">
        <f>IF($A114="","",SUMIFS('Timesheet Raw'!$P$4:$P$8000,'Timesheet Raw'!$L$4:$L$8000,$A114,'Timesheet Raw'!$C$4:$C$8000,T$3,'Timesheet Raw'!$A$4:$A$8000,"2-Proposals Chargeable")+SUMIFS('Timesheet Raw'!$P$4:$P$8000,'Timesheet Raw'!$L$4:$L$8000,$A114,'Timesheet Raw'!$C$4:$C$8000,T$3,'Timesheet Raw'!$A$4:$A$8000,"3-Proposals Regular"))</f>
        <v>0</v>
      </c>
      <c r="V114" s="341">
        <f>IF($A114="","",SUMIFS('Timesheet Raw'!$P$4:$P$8000,'Timesheet Raw'!$L$4:$L$8000,$A114,'Timesheet Raw'!$C$4:$C$8000,T$3,'Timesheet Raw'!$B$4:$B$8000,'Work Calendar'!$A$26)+SUMIFS('Timesheet Raw'!$P$4:$P$8000,'Timesheet Raw'!$L$4:$L$8000,$A114,'Timesheet Raw'!$C$4:$C$8000,T$3,'Timesheet Raw'!$B$4:$B$8000,'Work Calendar'!$A$27)+SUMIFS('Timesheet Raw'!$P$4:$P$8000,'Timesheet Raw'!$L$4:$L$8000,$A114,'Timesheet Raw'!$C$4:$C$8000,T$3,'Timesheet Raw'!$B$4:$B$8000,'Work Calendar'!$A$28)+SUMIFS('Timesheet Raw'!$P$4:$P$8000,'Timesheet Raw'!$L$4:$L$8000,$A114,'Timesheet Raw'!$C$4:$C$8000,T$3,'Timesheet Raw'!$B$4:$B$8000,'Work Calendar'!$A$29))</f>
        <v>1</v>
      </c>
      <c r="W114" s="341">
        <f t="shared" si="7"/>
        <v>0</v>
      </c>
      <c r="X114" s="395">
        <f>IF($A114="","",SUMIFS('Timesheet Raw'!$K$4:$K$8000,'Timesheet Raw'!$L$4:$L$8000,$A114,'Timesheet Raw'!$C$4:$C$8000,T$3))</f>
        <v>0.75</v>
      </c>
      <c r="Y114" s="345">
        <f>IF($A114="","",SUMIFS('Timesheet Raw'!$P$4:$P$8000,'Timesheet Raw'!$L$4:$L$8000,$A114,'Timesheet Raw'!$C$4:$C$8000,T$3))</f>
        <v>9.25</v>
      </c>
      <c r="Z114" s="375"/>
      <c r="AA114" t="str">
        <f>IF($A114="","",IF(Z114&lt;&gt;"",Z114,IF($A114&gt;'Work Calendar'!$B$17,"No data yet",IF(AND(V114&gt;='Work Calendar'!$B$14,T114+U114+W114&gt;0),"Day off - but worked",IF(V114&gt;='Work Calendar'!$B$14,"Day off",IF(T114+U114+W114&gt;0,IF($C114="Working","Charged","Worked weekend"),IF($C114="Working","Leave (not charged)",$C114)))))))</f>
        <v>Charged</v>
      </c>
    </row>
    <row r="115" spans="1:27" x14ac:dyDescent="0.3">
      <c r="A115" s="371">
        <f>IF($A114="","",IF($A114+1&gt;'Work Calendar'!$B$16,"",$A114+1))</f>
        <v>46133</v>
      </c>
      <c r="B115" t="str">
        <f t="shared" si="4"/>
        <v>Tue</v>
      </c>
      <c r="C115" t="str" cm="1">
        <f t="array" ref="C115">IF($A115="","",IF(COUNTIF('Work Calendar'!$E$6:$E$200,$A115)&gt;0,"Holiday",IF(INDEX('Work Calendar'!$C$6:$C$12,WEEKDAY($A115,1))=1,"Working","Weekend")))</f>
        <v>Working</v>
      </c>
      <c r="D115" s="341">
        <f>IF($A115="","",SUMIFS('Timesheet Raw'!$P$4:$P$8000,'Timesheet Raw'!$L$4:$L$8000,$A115,'Timesheet Raw'!$C$4:$C$8000,D$3,'Timesheet Raw'!$A$4:$A$8000,"1-Projects"))</f>
        <v>7.25</v>
      </c>
      <c r="E115" s="341">
        <f>IF($A115="","",SUMIFS('Timesheet Raw'!$P$4:$P$8000,'Timesheet Raw'!$L$4:$L$8000,$A115,'Timesheet Raw'!$C$4:$C$8000,D$3,'Timesheet Raw'!$A$4:$A$8000,"2-Proposals Chargeable")+SUMIFS('Timesheet Raw'!$P$4:$P$8000,'Timesheet Raw'!$L$4:$L$8000,$A115,'Timesheet Raw'!$C$4:$C$8000,D$3,'Timesheet Raw'!$A$4:$A$8000,"3-Proposals Regular"))</f>
        <v>0</v>
      </c>
      <c r="F115" s="341">
        <f>IF($A115="","",SUMIFS('Timesheet Raw'!$P$4:$P$8000,'Timesheet Raw'!$L$4:$L$8000,$A115,'Timesheet Raw'!$C$4:$C$8000,D$3,'Timesheet Raw'!$B$4:$B$8000,'Work Calendar'!$A$26)+SUMIFS('Timesheet Raw'!$P$4:$P$8000,'Timesheet Raw'!$L$4:$L$8000,$A115,'Timesheet Raw'!$C$4:$C$8000,D$3,'Timesheet Raw'!$B$4:$B$8000,'Work Calendar'!$A$27)+SUMIFS('Timesheet Raw'!$P$4:$P$8000,'Timesheet Raw'!$L$4:$L$8000,$A115,'Timesheet Raw'!$C$4:$C$8000,D$3,'Timesheet Raw'!$B$4:$B$8000,'Work Calendar'!$A$28)+SUMIFS('Timesheet Raw'!$P$4:$P$8000,'Timesheet Raw'!$L$4:$L$8000,$A115,'Timesheet Raw'!$C$4:$C$8000,D$3,'Timesheet Raw'!$B$4:$B$8000,'Work Calendar'!$A$29))</f>
        <v>1.25</v>
      </c>
      <c r="G115" s="341">
        <f t="shared" si="5"/>
        <v>0</v>
      </c>
      <c r="H115" s="395">
        <f>IF($A115="","",SUMIFS('Timesheet Raw'!$K$4:$K$8000,'Timesheet Raw'!$L$4:$L$8000,$A115,'Timesheet Raw'!$C$4:$C$8000,D$3))</f>
        <v>0</v>
      </c>
      <c r="I115" s="345">
        <f>IF($A115="","",SUMIFS('Timesheet Raw'!$P$4:$P$8000,'Timesheet Raw'!$L$4:$L$8000,$A115,'Timesheet Raw'!$C$4:$C$8000,D$3))</f>
        <v>8.5</v>
      </c>
      <c r="J115" s="375"/>
      <c r="K115" t="str">
        <f>IF($A115="","",IF(J115&lt;&gt;"",J115,IF($A115&gt;'Work Calendar'!$B$17,"No data yet",IF(AND(F115&gt;='Work Calendar'!$B$14,D115+E115+G115&gt;0),"Day off - but worked",IF(F115&gt;='Work Calendar'!$B$14,"Day off",IF(D115+E115+G115&gt;0,IF($C115="Working","Charged","Worked weekend"),IF($C115="Working","Leave (not charged)",$C115)))))))</f>
        <v>Charged</v>
      </c>
      <c r="L115" s="341">
        <f>IF($A115="","",SUMIFS('Timesheet Raw'!$P$4:$P$8000,'Timesheet Raw'!$L$4:$L$8000,$A115,'Timesheet Raw'!$C$4:$C$8000,L$3,'Timesheet Raw'!$A$4:$A$8000,"1-Projects"))</f>
        <v>8.5</v>
      </c>
      <c r="M115" s="341">
        <f>IF($A115="","",SUMIFS('Timesheet Raw'!$P$4:$P$8000,'Timesheet Raw'!$L$4:$L$8000,$A115,'Timesheet Raw'!$C$4:$C$8000,L$3,'Timesheet Raw'!$A$4:$A$8000,"2-Proposals Chargeable")+SUMIFS('Timesheet Raw'!$P$4:$P$8000,'Timesheet Raw'!$L$4:$L$8000,$A115,'Timesheet Raw'!$C$4:$C$8000,L$3,'Timesheet Raw'!$A$4:$A$8000,"3-Proposals Regular"))</f>
        <v>0</v>
      </c>
      <c r="N115" s="341">
        <f>IF($A115="","",SUMIFS('Timesheet Raw'!$P$4:$P$8000,'Timesheet Raw'!$L$4:$L$8000,$A115,'Timesheet Raw'!$C$4:$C$8000,L$3,'Timesheet Raw'!$B$4:$B$8000,'Work Calendar'!$A$26)+SUMIFS('Timesheet Raw'!$P$4:$P$8000,'Timesheet Raw'!$L$4:$L$8000,$A115,'Timesheet Raw'!$C$4:$C$8000,L$3,'Timesheet Raw'!$B$4:$B$8000,'Work Calendar'!$A$27)+SUMIFS('Timesheet Raw'!$P$4:$P$8000,'Timesheet Raw'!$L$4:$L$8000,$A115,'Timesheet Raw'!$C$4:$C$8000,L$3,'Timesheet Raw'!$B$4:$B$8000,'Work Calendar'!$A$28)+SUMIFS('Timesheet Raw'!$P$4:$P$8000,'Timesheet Raw'!$L$4:$L$8000,$A115,'Timesheet Raw'!$C$4:$C$8000,L$3,'Timesheet Raw'!$B$4:$B$8000,'Work Calendar'!$A$29))</f>
        <v>0.25</v>
      </c>
      <c r="O115" s="341">
        <f t="shared" si="6"/>
        <v>0</v>
      </c>
      <c r="P115" s="395">
        <f>IF($A115="","",SUMIFS('Timesheet Raw'!$K$4:$K$8000,'Timesheet Raw'!$L$4:$L$8000,$A115,'Timesheet Raw'!$C$4:$C$8000,L$3))</f>
        <v>0.25</v>
      </c>
      <c r="Q115" s="345">
        <f>IF($A115="","",SUMIFS('Timesheet Raw'!$P$4:$P$8000,'Timesheet Raw'!$L$4:$L$8000,$A115,'Timesheet Raw'!$C$4:$C$8000,L$3))</f>
        <v>8.75</v>
      </c>
      <c r="R115" s="375"/>
      <c r="S115" t="str">
        <f>IF($A115="","",IF(R115&lt;&gt;"",R115,IF($A115&gt;'Work Calendar'!$B$17,"No data yet",IF(AND(N115&gt;='Work Calendar'!$B$14,L115+M115+O115&gt;0),"Day off - but worked",IF(N115&gt;='Work Calendar'!$B$14,"Day off",IF(L115+M115+O115&gt;0,IF($C115="Working","Charged","Worked weekend"),IF($C115="Working","Leave (not charged)",$C115)))))))</f>
        <v>Charged</v>
      </c>
      <c r="T115" s="341">
        <f>IF($A115="","",SUMIFS('Timesheet Raw'!$P$4:$P$8000,'Timesheet Raw'!$L$4:$L$8000,$A115,'Timesheet Raw'!$C$4:$C$8000,T$3,'Timesheet Raw'!$A$4:$A$8000,"1-Projects"))</f>
        <v>7.25</v>
      </c>
      <c r="U115" s="341">
        <f>IF($A115="","",SUMIFS('Timesheet Raw'!$P$4:$P$8000,'Timesheet Raw'!$L$4:$L$8000,$A115,'Timesheet Raw'!$C$4:$C$8000,T$3,'Timesheet Raw'!$A$4:$A$8000,"2-Proposals Chargeable")+SUMIFS('Timesheet Raw'!$P$4:$P$8000,'Timesheet Raw'!$L$4:$L$8000,$A115,'Timesheet Raw'!$C$4:$C$8000,T$3,'Timesheet Raw'!$A$4:$A$8000,"3-Proposals Regular"))</f>
        <v>0</v>
      </c>
      <c r="V115" s="341">
        <f>IF($A115="","",SUMIFS('Timesheet Raw'!$P$4:$P$8000,'Timesheet Raw'!$L$4:$L$8000,$A115,'Timesheet Raw'!$C$4:$C$8000,T$3,'Timesheet Raw'!$B$4:$B$8000,'Work Calendar'!$A$26)+SUMIFS('Timesheet Raw'!$P$4:$P$8000,'Timesheet Raw'!$L$4:$L$8000,$A115,'Timesheet Raw'!$C$4:$C$8000,T$3,'Timesheet Raw'!$B$4:$B$8000,'Work Calendar'!$A$27)+SUMIFS('Timesheet Raw'!$P$4:$P$8000,'Timesheet Raw'!$L$4:$L$8000,$A115,'Timesheet Raw'!$C$4:$C$8000,T$3,'Timesheet Raw'!$B$4:$B$8000,'Work Calendar'!$A$28)+SUMIFS('Timesheet Raw'!$P$4:$P$8000,'Timesheet Raw'!$L$4:$L$8000,$A115,'Timesheet Raw'!$C$4:$C$8000,T$3,'Timesheet Raw'!$B$4:$B$8000,'Work Calendar'!$A$29))</f>
        <v>1.25</v>
      </c>
      <c r="W115" s="341">
        <f t="shared" si="7"/>
        <v>0</v>
      </c>
      <c r="X115" s="395">
        <f>IF($A115="","",SUMIFS('Timesheet Raw'!$K$4:$K$8000,'Timesheet Raw'!$L$4:$L$8000,$A115,'Timesheet Raw'!$C$4:$C$8000,T$3))</f>
        <v>0</v>
      </c>
      <c r="Y115" s="345">
        <f>IF($A115="","",SUMIFS('Timesheet Raw'!$P$4:$P$8000,'Timesheet Raw'!$L$4:$L$8000,$A115,'Timesheet Raw'!$C$4:$C$8000,T$3))</f>
        <v>8.5</v>
      </c>
      <c r="Z115" s="375"/>
      <c r="AA115" t="str">
        <f>IF($A115="","",IF(Z115&lt;&gt;"",Z115,IF($A115&gt;'Work Calendar'!$B$17,"No data yet",IF(AND(V115&gt;='Work Calendar'!$B$14,T115+U115+W115&gt;0),"Day off - but worked",IF(V115&gt;='Work Calendar'!$B$14,"Day off",IF(T115+U115+W115&gt;0,IF($C115="Working","Charged","Worked weekend"),IF($C115="Working","Leave (not charged)",$C115)))))))</f>
        <v>Charged</v>
      </c>
    </row>
    <row r="116" spans="1:27" x14ac:dyDescent="0.3">
      <c r="A116" s="371">
        <f>IF($A115="","",IF($A115+1&gt;'Work Calendar'!$B$16,"",$A115+1))</f>
        <v>46134</v>
      </c>
      <c r="B116" t="str">
        <f t="shared" si="4"/>
        <v>Wed</v>
      </c>
      <c r="C116" t="str" cm="1">
        <f t="array" ref="C116">IF($A116="","",IF(COUNTIF('Work Calendar'!$E$6:$E$200,$A116)&gt;0,"Holiday",IF(INDEX('Work Calendar'!$C$6:$C$12,WEEKDAY($A116,1))=1,"Working","Weekend")))</f>
        <v>Working</v>
      </c>
      <c r="D116" s="341">
        <f>IF($A116="","",SUMIFS('Timesheet Raw'!$P$4:$P$8000,'Timesheet Raw'!$L$4:$L$8000,$A116,'Timesheet Raw'!$C$4:$C$8000,D$3,'Timesheet Raw'!$A$4:$A$8000,"1-Projects"))</f>
        <v>15</v>
      </c>
      <c r="E116" s="341">
        <f>IF($A116="","",SUMIFS('Timesheet Raw'!$P$4:$P$8000,'Timesheet Raw'!$L$4:$L$8000,$A116,'Timesheet Raw'!$C$4:$C$8000,D$3,'Timesheet Raw'!$A$4:$A$8000,"2-Proposals Chargeable")+SUMIFS('Timesheet Raw'!$P$4:$P$8000,'Timesheet Raw'!$L$4:$L$8000,$A116,'Timesheet Raw'!$C$4:$C$8000,D$3,'Timesheet Raw'!$A$4:$A$8000,"3-Proposals Regular"))</f>
        <v>0</v>
      </c>
      <c r="F116" s="341">
        <f>IF($A116="","",SUMIFS('Timesheet Raw'!$P$4:$P$8000,'Timesheet Raw'!$L$4:$L$8000,$A116,'Timesheet Raw'!$C$4:$C$8000,D$3,'Timesheet Raw'!$B$4:$B$8000,'Work Calendar'!$A$26)+SUMIFS('Timesheet Raw'!$P$4:$P$8000,'Timesheet Raw'!$L$4:$L$8000,$A116,'Timesheet Raw'!$C$4:$C$8000,D$3,'Timesheet Raw'!$B$4:$B$8000,'Work Calendar'!$A$27)+SUMIFS('Timesheet Raw'!$P$4:$P$8000,'Timesheet Raw'!$L$4:$L$8000,$A116,'Timesheet Raw'!$C$4:$C$8000,D$3,'Timesheet Raw'!$B$4:$B$8000,'Work Calendar'!$A$28)+SUMIFS('Timesheet Raw'!$P$4:$P$8000,'Timesheet Raw'!$L$4:$L$8000,$A116,'Timesheet Raw'!$C$4:$C$8000,D$3,'Timesheet Raw'!$B$4:$B$8000,'Work Calendar'!$A$29))</f>
        <v>0.75</v>
      </c>
      <c r="G116" s="341">
        <f t="shared" si="5"/>
        <v>0</v>
      </c>
      <c r="H116" s="395">
        <f>IF($A116="","",SUMIFS('Timesheet Raw'!$K$4:$K$8000,'Timesheet Raw'!$L$4:$L$8000,$A116,'Timesheet Raw'!$C$4:$C$8000,D$3))</f>
        <v>7.25</v>
      </c>
      <c r="I116" s="345">
        <f>IF($A116="","",SUMIFS('Timesheet Raw'!$P$4:$P$8000,'Timesheet Raw'!$L$4:$L$8000,$A116,'Timesheet Raw'!$C$4:$C$8000,D$3))</f>
        <v>15.75</v>
      </c>
      <c r="J116" s="375"/>
      <c r="K116" t="str">
        <f>IF($A116="","",IF(J116&lt;&gt;"",J116,IF($A116&gt;'Work Calendar'!$B$17,"No data yet",IF(AND(F116&gt;='Work Calendar'!$B$14,D116+E116+G116&gt;0),"Day off - but worked",IF(F116&gt;='Work Calendar'!$B$14,"Day off",IF(D116+E116+G116&gt;0,IF($C116="Working","Charged","Worked weekend"),IF($C116="Working","Leave (not charged)",$C116)))))))</f>
        <v>Charged</v>
      </c>
      <c r="L116" s="341">
        <f>IF($A116="","",SUMIFS('Timesheet Raw'!$P$4:$P$8000,'Timesheet Raw'!$L$4:$L$8000,$A116,'Timesheet Raw'!$C$4:$C$8000,L$3,'Timesheet Raw'!$A$4:$A$8000,"1-Projects"))</f>
        <v>12.25</v>
      </c>
      <c r="M116" s="341">
        <f>IF($A116="","",SUMIFS('Timesheet Raw'!$P$4:$P$8000,'Timesheet Raw'!$L$4:$L$8000,$A116,'Timesheet Raw'!$C$4:$C$8000,L$3,'Timesheet Raw'!$A$4:$A$8000,"2-Proposals Chargeable")+SUMIFS('Timesheet Raw'!$P$4:$P$8000,'Timesheet Raw'!$L$4:$L$8000,$A116,'Timesheet Raw'!$C$4:$C$8000,L$3,'Timesheet Raw'!$A$4:$A$8000,"3-Proposals Regular"))</f>
        <v>0</v>
      </c>
      <c r="N116" s="341">
        <f>IF($A116="","",SUMIFS('Timesheet Raw'!$P$4:$P$8000,'Timesheet Raw'!$L$4:$L$8000,$A116,'Timesheet Raw'!$C$4:$C$8000,L$3,'Timesheet Raw'!$B$4:$B$8000,'Work Calendar'!$A$26)+SUMIFS('Timesheet Raw'!$P$4:$P$8000,'Timesheet Raw'!$L$4:$L$8000,$A116,'Timesheet Raw'!$C$4:$C$8000,L$3,'Timesheet Raw'!$B$4:$B$8000,'Work Calendar'!$A$27)+SUMIFS('Timesheet Raw'!$P$4:$P$8000,'Timesheet Raw'!$L$4:$L$8000,$A116,'Timesheet Raw'!$C$4:$C$8000,L$3,'Timesheet Raw'!$B$4:$B$8000,'Work Calendar'!$A$28)+SUMIFS('Timesheet Raw'!$P$4:$P$8000,'Timesheet Raw'!$L$4:$L$8000,$A116,'Timesheet Raw'!$C$4:$C$8000,L$3,'Timesheet Raw'!$B$4:$B$8000,'Work Calendar'!$A$29))</f>
        <v>0</v>
      </c>
      <c r="O116" s="341">
        <f t="shared" si="6"/>
        <v>0</v>
      </c>
      <c r="P116" s="395">
        <f>IF($A116="","",SUMIFS('Timesheet Raw'!$K$4:$K$8000,'Timesheet Raw'!$L$4:$L$8000,$A116,'Timesheet Raw'!$C$4:$C$8000,L$3))</f>
        <v>3.75</v>
      </c>
      <c r="Q116" s="345">
        <f>IF($A116="","",SUMIFS('Timesheet Raw'!$P$4:$P$8000,'Timesheet Raw'!$L$4:$L$8000,$A116,'Timesheet Raw'!$C$4:$C$8000,L$3))</f>
        <v>12.25</v>
      </c>
      <c r="R116" s="375"/>
      <c r="S116" t="str">
        <f>IF($A116="","",IF(R116&lt;&gt;"",R116,IF($A116&gt;'Work Calendar'!$B$17,"No data yet",IF(AND(N116&gt;='Work Calendar'!$B$14,L116+M116+O116&gt;0),"Day off - but worked",IF(N116&gt;='Work Calendar'!$B$14,"Day off",IF(L116+M116+O116&gt;0,IF($C116="Working","Charged","Worked weekend"),IF($C116="Working","Leave (not charged)",$C116)))))))</f>
        <v>Charged</v>
      </c>
      <c r="T116" s="341">
        <f>IF($A116="","",SUMIFS('Timesheet Raw'!$P$4:$P$8000,'Timesheet Raw'!$L$4:$L$8000,$A116,'Timesheet Raw'!$C$4:$C$8000,T$3,'Timesheet Raw'!$A$4:$A$8000,"1-Projects"))</f>
        <v>11.75</v>
      </c>
      <c r="U116" s="341">
        <f>IF($A116="","",SUMIFS('Timesheet Raw'!$P$4:$P$8000,'Timesheet Raw'!$L$4:$L$8000,$A116,'Timesheet Raw'!$C$4:$C$8000,T$3,'Timesheet Raw'!$A$4:$A$8000,"2-Proposals Chargeable")+SUMIFS('Timesheet Raw'!$P$4:$P$8000,'Timesheet Raw'!$L$4:$L$8000,$A116,'Timesheet Raw'!$C$4:$C$8000,T$3,'Timesheet Raw'!$A$4:$A$8000,"3-Proposals Regular"))</f>
        <v>0</v>
      </c>
      <c r="V116" s="341">
        <f>IF($A116="","",SUMIFS('Timesheet Raw'!$P$4:$P$8000,'Timesheet Raw'!$L$4:$L$8000,$A116,'Timesheet Raw'!$C$4:$C$8000,T$3,'Timesheet Raw'!$B$4:$B$8000,'Work Calendar'!$A$26)+SUMIFS('Timesheet Raw'!$P$4:$P$8000,'Timesheet Raw'!$L$4:$L$8000,$A116,'Timesheet Raw'!$C$4:$C$8000,T$3,'Timesheet Raw'!$B$4:$B$8000,'Work Calendar'!$A$27)+SUMIFS('Timesheet Raw'!$P$4:$P$8000,'Timesheet Raw'!$L$4:$L$8000,$A116,'Timesheet Raw'!$C$4:$C$8000,T$3,'Timesheet Raw'!$B$4:$B$8000,'Work Calendar'!$A$28)+SUMIFS('Timesheet Raw'!$P$4:$P$8000,'Timesheet Raw'!$L$4:$L$8000,$A116,'Timesheet Raw'!$C$4:$C$8000,T$3,'Timesheet Raw'!$B$4:$B$8000,'Work Calendar'!$A$29))</f>
        <v>0.5</v>
      </c>
      <c r="W116" s="341">
        <f t="shared" si="7"/>
        <v>0</v>
      </c>
      <c r="X116" s="395">
        <f>IF($A116="","",SUMIFS('Timesheet Raw'!$K$4:$K$8000,'Timesheet Raw'!$L$4:$L$8000,$A116,'Timesheet Raw'!$C$4:$C$8000,T$3))</f>
        <v>3.75</v>
      </c>
      <c r="Y116" s="345">
        <f>IF($A116="","",SUMIFS('Timesheet Raw'!$P$4:$P$8000,'Timesheet Raw'!$L$4:$L$8000,$A116,'Timesheet Raw'!$C$4:$C$8000,T$3))</f>
        <v>12.25</v>
      </c>
      <c r="Z116" s="375"/>
      <c r="AA116" t="str">
        <f>IF($A116="","",IF(Z116&lt;&gt;"",Z116,IF($A116&gt;'Work Calendar'!$B$17,"No data yet",IF(AND(V116&gt;='Work Calendar'!$B$14,T116+U116+W116&gt;0),"Day off - but worked",IF(V116&gt;='Work Calendar'!$B$14,"Day off",IF(T116+U116+W116&gt;0,IF($C116="Working","Charged","Worked weekend"),IF($C116="Working","Leave (not charged)",$C116)))))))</f>
        <v>Charged</v>
      </c>
    </row>
    <row r="117" spans="1:27" x14ac:dyDescent="0.3">
      <c r="A117" s="371">
        <f>IF($A116="","",IF($A116+1&gt;'Work Calendar'!$B$16,"",$A116+1))</f>
        <v>46135</v>
      </c>
      <c r="B117" t="str">
        <f t="shared" si="4"/>
        <v>Thu</v>
      </c>
      <c r="C117" t="str" cm="1">
        <f t="array" ref="C117">IF($A117="","",IF(COUNTIF('Work Calendar'!$E$6:$E$200,$A117)&gt;0,"Holiday",IF(INDEX('Work Calendar'!$C$6:$C$12,WEEKDAY($A117,1))=1,"Working","Weekend")))</f>
        <v>Working</v>
      </c>
      <c r="D117" s="341">
        <f>IF($A117="","",SUMIFS('Timesheet Raw'!$P$4:$P$8000,'Timesheet Raw'!$L$4:$L$8000,$A117,'Timesheet Raw'!$C$4:$C$8000,D$3,'Timesheet Raw'!$A$4:$A$8000,"1-Projects"))</f>
        <v>10.25</v>
      </c>
      <c r="E117" s="341">
        <f>IF($A117="","",SUMIFS('Timesheet Raw'!$P$4:$P$8000,'Timesheet Raw'!$L$4:$L$8000,$A117,'Timesheet Raw'!$C$4:$C$8000,D$3,'Timesheet Raw'!$A$4:$A$8000,"2-Proposals Chargeable")+SUMIFS('Timesheet Raw'!$P$4:$P$8000,'Timesheet Raw'!$L$4:$L$8000,$A117,'Timesheet Raw'!$C$4:$C$8000,D$3,'Timesheet Raw'!$A$4:$A$8000,"3-Proposals Regular"))</f>
        <v>0</v>
      </c>
      <c r="F117" s="341">
        <f>IF($A117="","",SUMIFS('Timesheet Raw'!$P$4:$P$8000,'Timesheet Raw'!$L$4:$L$8000,$A117,'Timesheet Raw'!$C$4:$C$8000,D$3,'Timesheet Raw'!$B$4:$B$8000,'Work Calendar'!$A$26)+SUMIFS('Timesheet Raw'!$P$4:$P$8000,'Timesheet Raw'!$L$4:$L$8000,$A117,'Timesheet Raw'!$C$4:$C$8000,D$3,'Timesheet Raw'!$B$4:$B$8000,'Work Calendar'!$A$27)+SUMIFS('Timesheet Raw'!$P$4:$P$8000,'Timesheet Raw'!$L$4:$L$8000,$A117,'Timesheet Raw'!$C$4:$C$8000,D$3,'Timesheet Raw'!$B$4:$B$8000,'Work Calendar'!$A$28)+SUMIFS('Timesheet Raw'!$P$4:$P$8000,'Timesheet Raw'!$L$4:$L$8000,$A117,'Timesheet Raw'!$C$4:$C$8000,D$3,'Timesheet Raw'!$B$4:$B$8000,'Work Calendar'!$A$29))</f>
        <v>0</v>
      </c>
      <c r="G117" s="341">
        <f t="shared" si="5"/>
        <v>0</v>
      </c>
      <c r="H117" s="395">
        <f>IF($A117="","",SUMIFS('Timesheet Raw'!$K$4:$K$8000,'Timesheet Raw'!$L$4:$L$8000,$A117,'Timesheet Raw'!$C$4:$C$8000,D$3))</f>
        <v>1.75</v>
      </c>
      <c r="I117" s="345">
        <f>IF($A117="","",SUMIFS('Timesheet Raw'!$P$4:$P$8000,'Timesheet Raw'!$L$4:$L$8000,$A117,'Timesheet Raw'!$C$4:$C$8000,D$3))</f>
        <v>10.25</v>
      </c>
      <c r="J117" s="375"/>
      <c r="K117" t="str">
        <f>IF($A117="","",IF(J117&lt;&gt;"",J117,IF($A117&gt;'Work Calendar'!$B$17,"No data yet",IF(AND(F117&gt;='Work Calendar'!$B$14,D117+E117+G117&gt;0),"Day off - but worked",IF(F117&gt;='Work Calendar'!$B$14,"Day off",IF(D117+E117+G117&gt;0,IF($C117="Working","Charged","Worked weekend"),IF($C117="Working","Leave (not charged)",$C117)))))))</f>
        <v>Charged</v>
      </c>
      <c r="L117" s="341">
        <f>IF($A117="","",SUMIFS('Timesheet Raw'!$P$4:$P$8000,'Timesheet Raw'!$L$4:$L$8000,$A117,'Timesheet Raw'!$C$4:$C$8000,L$3,'Timesheet Raw'!$A$4:$A$8000,"1-Projects"))</f>
        <v>8.5</v>
      </c>
      <c r="M117" s="341">
        <f>IF($A117="","",SUMIFS('Timesheet Raw'!$P$4:$P$8000,'Timesheet Raw'!$L$4:$L$8000,$A117,'Timesheet Raw'!$C$4:$C$8000,L$3,'Timesheet Raw'!$A$4:$A$8000,"2-Proposals Chargeable")+SUMIFS('Timesheet Raw'!$P$4:$P$8000,'Timesheet Raw'!$L$4:$L$8000,$A117,'Timesheet Raw'!$C$4:$C$8000,L$3,'Timesheet Raw'!$A$4:$A$8000,"3-Proposals Regular"))</f>
        <v>0</v>
      </c>
      <c r="N117" s="341">
        <f>IF($A117="","",SUMIFS('Timesheet Raw'!$P$4:$P$8000,'Timesheet Raw'!$L$4:$L$8000,$A117,'Timesheet Raw'!$C$4:$C$8000,L$3,'Timesheet Raw'!$B$4:$B$8000,'Work Calendar'!$A$26)+SUMIFS('Timesheet Raw'!$P$4:$P$8000,'Timesheet Raw'!$L$4:$L$8000,$A117,'Timesheet Raw'!$C$4:$C$8000,L$3,'Timesheet Raw'!$B$4:$B$8000,'Work Calendar'!$A$27)+SUMIFS('Timesheet Raw'!$P$4:$P$8000,'Timesheet Raw'!$L$4:$L$8000,$A117,'Timesheet Raw'!$C$4:$C$8000,L$3,'Timesheet Raw'!$B$4:$B$8000,'Work Calendar'!$A$28)+SUMIFS('Timesheet Raw'!$P$4:$P$8000,'Timesheet Raw'!$L$4:$L$8000,$A117,'Timesheet Raw'!$C$4:$C$8000,L$3,'Timesheet Raw'!$B$4:$B$8000,'Work Calendar'!$A$29))</f>
        <v>0.25</v>
      </c>
      <c r="O117" s="341">
        <f t="shared" si="6"/>
        <v>0</v>
      </c>
      <c r="P117" s="395">
        <f>IF($A117="","",SUMIFS('Timesheet Raw'!$K$4:$K$8000,'Timesheet Raw'!$L$4:$L$8000,$A117,'Timesheet Raw'!$C$4:$C$8000,L$3))</f>
        <v>0.25</v>
      </c>
      <c r="Q117" s="345">
        <f>IF($A117="","",SUMIFS('Timesheet Raw'!$P$4:$P$8000,'Timesheet Raw'!$L$4:$L$8000,$A117,'Timesheet Raw'!$C$4:$C$8000,L$3))</f>
        <v>8.75</v>
      </c>
      <c r="R117" s="375"/>
      <c r="S117" t="str">
        <f>IF($A117="","",IF(R117&lt;&gt;"",R117,IF($A117&gt;'Work Calendar'!$B$17,"No data yet",IF(AND(N117&gt;='Work Calendar'!$B$14,L117+M117+O117&gt;0),"Day off - but worked",IF(N117&gt;='Work Calendar'!$B$14,"Day off",IF(L117+M117+O117&gt;0,IF($C117="Working","Charged","Worked weekend"),IF($C117="Working","Leave (not charged)",$C117)))))))</f>
        <v>Charged</v>
      </c>
      <c r="T117" s="341">
        <f>IF($A117="","",SUMIFS('Timesheet Raw'!$P$4:$P$8000,'Timesheet Raw'!$L$4:$L$8000,$A117,'Timesheet Raw'!$C$4:$C$8000,T$3,'Timesheet Raw'!$A$4:$A$8000,"1-Projects"))</f>
        <v>8.75</v>
      </c>
      <c r="U117" s="341">
        <f>IF($A117="","",SUMIFS('Timesheet Raw'!$P$4:$P$8000,'Timesheet Raw'!$L$4:$L$8000,$A117,'Timesheet Raw'!$C$4:$C$8000,T$3,'Timesheet Raw'!$A$4:$A$8000,"2-Proposals Chargeable")+SUMIFS('Timesheet Raw'!$P$4:$P$8000,'Timesheet Raw'!$L$4:$L$8000,$A117,'Timesheet Raw'!$C$4:$C$8000,T$3,'Timesheet Raw'!$A$4:$A$8000,"3-Proposals Regular"))</f>
        <v>0</v>
      </c>
      <c r="V117" s="341">
        <f>IF($A117="","",SUMIFS('Timesheet Raw'!$P$4:$P$8000,'Timesheet Raw'!$L$4:$L$8000,$A117,'Timesheet Raw'!$C$4:$C$8000,T$3,'Timesheet Raw'!$B$4:$B$8000,'Work Calendar'!$A$26)+SUMIFS('Timesheet Raw'!$P$4:$P$8000,'Timesheet Raw'!$L$4:$L$8000,$A117,'Timesheet Raw'!$C$4:$C$8000,T$3,'Timesheet Raw'!$B$4:$B$8000,'Work Calendar'!$A$27)+SUMIFS('Timesheet Raw'!$P$4:$P$8000,'Timesheet Raw'!$L$4:$L$8000,$A117,'Timesheet Raw'!$C$4:$C$8000,T$3,'Timesheet Raw'!$B$4:$B$8000,'Work Calendar'!$A$28)+SUMIFS('Timesheet Raw'!$P$4:$P$8000,'Timesheet Raw'!$L$4:$L$8000,$A117,'Timesheet Raw'!$C$4:$C$8000,T$3,'Timesheet Raw'!$B$4:$B$8000,'Work Calendar'!$A$29))</f>
        <v>0.5</v>
      </c>
      <c r="W117" s="341">
        <f t="shared" si="7"/>
        <v>0</v>
      </c>
      <c r="X117" s="395">
        <f>IF($A117="","",SUMIFS('Timesheet Raw'!$K$4:$K$8000,'Timesheet Raw'!$L$4:$L$8000,$A117,'Timesheet Raw'!$C$4:$C$8000,T$3))</f>
        <v>0.75</v>
      </c>
      <c r="Y117" s="345">
        <f>IF($A117="","",SUMIFS('Timesheet Raw'!$P$4:$P$8000,'Timesheet Raw'!$L$4:$L$8000,$A117,'Timesheet Raw'!$C$4:$C$8000,T$3))</f>
        <v>9.25</v>
      </c>
      <c r="Z117" s="375"/>
      <c r="AA117" t="str">
        <f>IF($A117="","",IF(Z117&lt;&gt;"",Z117,IF($A117&gt;'Work Calendar'!$B$17,"No data yet",IF(AND(V117&gt;='Work Calendar'!$B$14,T117+U117+W117&gt;0),"Day off - but worked",IF(V117&gt;='Work Calendar'!$B$14,"Day off",IF(T117+U117+W117&gt;0,IF($C117="Working","Charged","Worked weekend"),IF($C117="Working","Leave (not charged)",$C117)))))))</f>
        <v>Charged</v>
      </c>
    </row>
    <row r="118" spans="1:27" x14ac:dyDescent="0.3">
      <c r="A118" s="371">
        <f>IF($A117="","",IF($A117+1&gt;'Work Calendar'!$B$16,"",$A117+1))</f>
        <v>46136</v>
      </c>
      <c r="B118" t="str">
        <f t="shared" si="4"/>
        <v>Fri</v>
      </c>
      <c r="C118" t="str" cm="1">
        <f t="array" ref="C118">IF($A118="","",IF(COUNTIF('Work Calendar'!$E$6:$E$200,$A118)&gt;0,"Holiday",IF(INDEX('Work Calendar'!$C$6:$C$12,WEEKDAY($A118,1))=1,"Working","Weekend")))</f>
        <v>Weekend</v>
      </c>
      <c r="D118" s="341">
        <f>IF($A118="","",SUMIFS('Timesheet Raw'!$P$4:$P$8000,'Timesheet Raw'!$L$4:$L$8000,$A118,'Timesheet Raw'!$C$4:$C$8000,D$3,'Timesheet Raw'!$A$4:$A$8000,"1-Projects"))</f>
        <v>0</v>
      </c>
      <c r="E118" s="341">
        <f>IF($A118="","",SUMIFS('Timesheet Raw'!$P$4:$P$8000,'Timesheet Raw'!$L$4:$L$8000,$A118,'Timesheet Raw'!$C$4:$C$8000,D$3,'Timesheet Raw'!$A$4:$A$8000,"2-Proposals Chargeable")+SUMIFS('Timesheet Raw'!$P$4:$P$8000,'Timesheet Raw'!$L$4:$L$8000,$A118,'Timesheet Raw'!$C$4:$C$8000,D$3,'Timesheet Raw'!$A$4:$A$8000,"3-Proposals Regular"))</f>
        <v>0</v>
      </c>
      <c r="F118" s="341">
        <f>IF($A118="","",SUMIFS('Timesheet Raw'!$P$4:$P$8000,'Timesheet Raw'!$L$4:$L$8000,$A118,'Timesheet Raw'!$C$4:$C$8000,D$3,'Timesheet Raw'!$B$4:$B$8000,'Work Calendar'!$A$26)+SUMIFS('Timesheet Raw'!$P$4:$P$8000,'Timesheet Raw'!$L$4:$L$8000,$A118,'Timesheet Raw'!$C$4:$C$8000,D$3,'Timesheet Raw'!$B$4:$B$8000,'Work Calendar'!$A$27)+SUMIFS('Timesheet Raw'!$P$4:$P$8000,'Timesheet Raw'!$L$4:$L$8000,$A118,'Timesheet Raw'!$C$4:$C$8000,D$3,'Timesheet Raw'!$B$4:$B$8000,'Work Calendar'!$A$28)+SUMIFS('Timesheet Raw'!$P$4:$P$8000,'Timesheet Raw'!$L$4:$L$8000,$A118,'Timesheet Raw'!$C$4:$C$8000,D$3,'Timesheet Raw'!$B$4:$B$8000,'Work Calendar'!$A$29))</f>
        <v>0</v>
      </c>
      <c r="G118" s="341">
        <f t="shared" si="5"/>
        <v>0</v>
      </c>
      <c r="H118" s="395">
        <f>IF($A118="","",SUMIFS('Timesheet Raw'!$K$4:$K$8000,'Timesheet Raw'!$L$4:$L$8000,$A118,'Timesheet Raw'!$C$4:$C$8000,D$3))</f>
        <v>0</v>
      </c>
      <c r="I118" s="345">
        <f>IF($A118="","",SUMIFS('Timesheet Raw'!$P$4:$P$8000,'Timesheet Raw'!$L$4:$L$8000,$A118,'Timesheet Raw'!$C$4:$C$8000,D$3))</f>
        <v>0</v>
      </c>
      <c r="J118" s="375"/>
      <c r="K118" t="str">
        <f>IF($A118="","",IF(J118&lt;&gt;"",J118,IF($A118&gt;'Work Calendar'!$B$17,"No data yet",IF(AND(F118&gt;='Work Calendar'!$B$14,D118+E118+G118&gt;0),"Day off - but worked",IF(F118&gt;='Work Calendar'!$B$14,"Day off",IF(D118+E118+G118&gt;0,IF($C118="Working","Charged","Worked weekend"),IF($C118="Working","Leave (not charged)",$C118)))))))</f>
        <v>Weekend</v>
      </c>
      <c r="L118" s="341">
        <f>IF($A118="","",SUMIFS('Timesheet Raw'!$P$4:$P$8000,'Timesheet Raw'!$L$4:$L$8000,$A118,'Timesheet Raw'!$C$4:$C$8000,L$3,'Timesheet Raw'!$A$4:$A$8000,"1-Projects"))</f>
        <v>0</v>
      </c>
      <c r="M118" s="341">
        <f>IF($A118="","",SUMIFS('Timesheet Raw'!$P$4:$P$8000,'Timesheet Raw'!$L$4:$L$8000,$A118,'Timesheet Raw'!$C$4:$C$8000,L$3,'Timesheet Raw'!$A$4:$A$8000,"2-Proposals Chargeable")+SUMIFS('Timesheet Raw'!$P$4:$P$8000,'Timesheet Raw'!$L$4:$L$8000,$A118,'Timesheet Raw'!$C$4:$C$8000,L$3,'Timesheet Raw'!$A$4:$A$8000,"3-Proposals Regular"))</f>
        <v>0</v>
      </c>
      <c r="N118" s="341">
        <f>IF($A118="","",SUMIFS('Timesheet Raw'!$P$4:$P$8000,'Timesheet Raw'!$L$4:$L$8000,$A118,'Timesheet Raw'!$C$4:$C$8000,L$3,'Timesheet Raw'!$B$4:$B$8000,'Work Calendar'!$A$26)+SUMIFS('Timesheet Raw'!$P$4:$P$8000,'Timesheet Raw'!$L$4:$L$8000,$A118,'Timesheet Raw'!$C$4:$C$8000,L$3,'Timesheet Raw'!$B$4:$B$8000,'Work Calendar'!$A$27)+SUMIFS('Timesheet Raw'!$P$4:$P$8000,'Timesheet Raw'!$L$4:$L$8000,$A118,'Timesheet Raw'!$C$4:$C$8000,L$3,'Timesheet Raw'!$B$4:$B$8000,'Work Calendar'!$A$28)+SUMIFS('Timesheet Raw'!$P$4:$P$8000,'Timesheet Raw'!$L$4:$L$8000,$A118,'Timesheet Raw'!$C$4:$C$8000,L$3,'Timesheet Raw'!$B$4:$B$8000,'Work Calendar'!$A$29))</f>
        <v>0</v>
      </c>
      <c r="O118" s="341">
        <f t="shared" si="6"/>
        <v>0</v>
      </c>
      <c r="P118" s="395">
        <f>IF($A118="","",SUMIFS('Timesheet Raw'!$K$4:$K$8000,'Timesheet Raw'!$L$4:$L$8000,$A118,'Timesheet Raw'!$C$4:$C$8000,L$3))</f>
        <v>0</v>
      </c>
      <c r="Q118" s="345">
        <f>IF($A118="","",SUMIFS('Timesheet Raw'!$P$4:$P$8000,'Timesheet Raw'!$L$4:$L$8000,$A118,'Timesheet Raw'!$C$4:$C$8000,L$3))</f>
        <v>0</v>
      </c>
      <c r="R118" s="375"/>
      <c r="S118" t="str">
        <f>IF($A118="","",IF(R118&lt;&gt;"",R118,IF($A118&gt;'Work Calendar'!$B$17,"No data yet",IF(AND(N118&gt;='Work Calendar'!$B$14,L118+M118+O118&gt;0),"Day off - but worked",IF(N118&gt;='Work Calendar'!$B$14,"Day off",IF(L118+M118+O118&gt;0,IF($C118="Working","Charged","Worked weekend"),IF($C118="Working","Leave (not charged)",$C118)))))))</f>
        <v>Weekend</v>
      </c>
      <c r="T118" s="341">
        <f>IF($A118="","",SUMIFS('Timesheet Raw'!$P$4:$P$8000,'Timesheet Raw'!$L$4:$L$8000,$A118,'Timesheet Raw'!$C$4:$C$8000,T$3,'Timesheet Raw'!$A$4:$A$8000,"1-Projects"))</f>
        <v>0</v>
      </c>
      <c r="U118" s="341">
        <f>IF($A118="","",SUMIFS('Timesheet Raw'!$P$4:$P$8000,'Timesheet Raw'!$L$4:$L$8000,$A118,'Timesheet Raw'!$C$4:$C$8000,T$3,'Timesheet Raw'!$A$4:$A$8000,"2-Proposals Chargeable")+SUMIFS('Timesheet Raw'!$P$4:$P$8000,'Timesheet Raw'!$L$4:$L$8000,$A118,'Timesheet Raw'!$C$4:$C$8000,T$3,'Timesheet Raw'!$A$4:$A$8000,"3-Proposals Regular"))</f>
        <v>0</v>
      </c>
      <c r="V118" s="341">
        <f>IF($A118="","",SUMIFS('Timesheet Raw'!$P$4:$P$8000,'Timesheet Raw'!$L$4:$L$8000,$A118,'Timesheet Raw'!$C$4:$C$8000,T$3,'Timesheet Raw'!$B$4:$B$8000,'Work Calendar'!$A$26)+SUMIFS('Timesheet Raw'!$P$4:$P$8000,'Timesheet Raw'!$L$4:$L$8000,$A118,'Timesheet Raw'!$C$4:$C$8000,T$3,'Timesheet Raw'!$B$4:$B$8000,'Work Calendar'!$A$27)+SUMIFS('Timesheet Raw'!$P$4:$P$8000,'Timesheet Raw'!$L$4:$L$8000,$A118,'Timesheet Raw'!$C$4:$C$8000,T$3,'Timesheet Raw'!$B$4:$B$8000,'Work Calendar'!$A$28)+SUMIFS('Timesheet Raw'!$P$4:$P$8000,'Timesheet Raw'!$L$4:$L$8000,$A118,'Timesheet Raw'!$C$4:$C$8000,T$3,'Timesheet Raw'!$B$4:$B$8000,'Work Calendar'!$A$29))</f>
        <v>0</v>
      </c>
      <c r="W118" s="341">
        <f t="shared" si="7"/>
        <v>0</v>
      </c>
      <c r="X118" s="395">
        <f>IF($A118="","",SUMIFS('Timesheet Raw'!$K$4:$K$8000,'Timesheet Raw'!$L$4:$L$8000,$A118,'Timesheet Raw'!$C$4:$C$8000,T$3))</f>
        <v>0</v>
      </c>
      <c r="Y118" s="345">
        <f>IF($A118="","",SUMIFS('Timesheet Raw'!$P$4:$P$8000,'Timesheet Raw'!$L$4:$L$8000,$A118,'Timesheet Raw'!$C$4:$C$8000,T$3))</f>
        <v>0</v>
      </c>
      <c r="Z118" s="375"/>
      <c r="AA118" t="str">
        <f>IF($A118="","",IF(Z118&lt;&gt;"",Z118,IF($A118&gt;'Work Calendar'!$B$17,"No data yet",IF(AND(V118&gt;='Work Calendar'!$B$14,T118+U118+W118&gt;0),"Day off - but worked",IF(V118&gt;='Work Calendar'!$B$14,"Day off",IF(T118+U118+W118&gt;0,IF($C118="Working","Charged","Worked weekend"),IF($C118="Working","Leave (not charged)",$C118)))))))</f>
        <v>Weekend</v>
      </c>
    </row>
    <row r="119" spans="1:27" x14ac:dyDescent="0.3">
      <c r="A119" s="371">
        <f>IF($A118="","",IF($A118+1&gt;'Work Calendar'!$B$16,"",$A118+1))</f>
        <v>46137</v>
      </c>
      <c r="B119" t="str">
        <f t="shared" si="4"/>
        <v>Sat</v>
      </c>
      <c r="C119" t="str" cm="1">
        <f t="array" ref="C119">IF($A119="","",IF(COUNTIF('Work Calendar'!$E$6:$E$200,$A119)&gt;0,"Holiday",IF(INDEX('Work Calendar'!$C$6:$C$12,WEEKDAY($A119,1))=1,"Working","Weekend")))</f>
        <v>Weekend</v>
      </c>
      <c r="D119" s="341">
        <f>IF($A119="","",SUMIFS('Timesheet Raw'!$P$4:$P$8000,'Timesheet Raw'!$L$4:$L$8000,$A119,'Timesheet Raw'!$C$4:$C$8000,D$3,'Timesheet Raw'!$A$4:$A$8000,"1-Projects"))</f>
        <v>0</v>
      </c>
      <c r="E119" s="341">
        <f>IF($A119="","",SUMIFS('Timesheet Raw'!$P$4:$P$8000,'Timesheet Raw'!$L$4:$L$8000,$A119,'Timesheet Raw'!$C$4:$C$8000,D$3,'Timesheet Raw'!$A$4:$A$8000,"2-Proposals Chargeable")+SUMIFS('Timesheet Raw'!$P$4:$P$8000,'Timesheet Raw'!$L$4:$L$8000,$A119,'Timesheet Raw'!$C$4:$C$8000,D$3,'Timesheet Raw'!$A$4:$A$8000,"3-Proposals Regular"))</f>
        <v>0</v>
      </c>
      <c r="F119" s="341">
        <f>IF($A119="","",SUMIFS('Timesheet Raw'!$P$4:$P$8000,'Timesheet Raw'!$L$4:$L$8000,$A119,'Timesheet Raw'!$C$4:$C$8000,D$3,'Timesheet Raw'!$B$4:$B$8000,'Work Calendar'!$A$26)+SUMIFS('Timesheet Raw'!$P$4:$P$8000,'Timesheet Raw'!$L$4:$L$8000,$A119,'Timesheet Raw'!$C$4:$C$8000,D$3,'Timesheet Raw'!$B$4:$B$8000,'Work Calendar'!$A$27)+SUMIFS('Timesheet Raw'!$P$4:$P$8000,'Timesheet Raw'!$L$4:$L$8000,$A119,'Timesheet Raw'!$C$4:$C$8000,D$3,'Timesheet Raw'!$B$4:$B$8000,'Work Calendar'!$A$28)+SUMIFS('Timesheet Raw'!$P$4:$P$8000,'Timesheet Raw'!$L$4:$L$8000,$A119,'Timesheet Raw'!$C$4:$C$8000,D$3,'Timesheet Raw'!$B$4:$B$8000,'Work Calendar'!$A$29))</f>
        <v>0</v>
      </c>
      <c r="G119" s="341">
        <f t="shared" si="5"/>
        <v>0</v>
      </c>
      <c r="H119" s="395">
        <f>IF($A119="","",SUMIFS('Timesheet Raw'!$K$4:$K$8000,'Timesheet Raw'!$L$4:$L$8000,$A119,'Timesheet Raw'!$C$4:$C$8000,D$3))</f>
        <v>0</v>
      </c>
      <c r="I119" s="345">
        <f>IF($A119="","",SUMIFS('Timesheet Raw'!$P$4:$P$8000,'Timesheet Raw'!$L$4:$L$8000,$A119,'Timesheet Raw'!$C$4:$C$8000,D$3))</f>
        <v>0</v>
      </c>
      <c r="J119" s="375"/>
      <c r="K119" t="str">
        <f>IF($A119="","",IF(J119&lt;&gt;"",J119,IF($A119&gt;'Work Calendar'!$B$17,"No data yet",IF(AND(F119&gt;='Work Calendar'!$B$14,D119+E119+G119&gt;0),"Day off - but worked",IF(F119&gt;='Work Calendar'!$B$14,"Day off",IF(D119+E119+G119&gt;0,IF($C119="Working","Charged","Worked weekend"),IF($C119="Working","Leave (not charged)",$C119)))))))</f>
        <v>Weekend</v>
      </c>
      <c r="L119" s="341">
        <f>IF($A119="","",SUMIFS('Timesheet Raw'!$P$4:$P$8000,'Timesheet Raw'!$L$4:$L$8000,$A119,'Timesheet Raw'!$C$4:$C$8000,L$3,'Timesheet Raw'!$A$4:$A$8000,"1-Projects"))</f>
        <v>0</v>
      </c>
      <c r="M119" s="341">
        <f>IF($A119="","",SUMIFS('Timesheet Raw'!$P$4:$P$8000,'Timesheet Raw'!$L$4:$L$8000,$A119,'Timesheet Raw'!$C$4:$C$8000,L$3,'Timesheet Raw'!$A$4:$A$8000,"2-Proposals Chargeable")+SUMIFS('Timesheet Raw'!$P$4:$P$8000,'Timesheet Raw'!$L$4:$L$8000,$A119,'Timesheet Raw'!$C$4:$C$8000,L$3,'Timesheet Raw'!$A$4:$A$8000,"3-Proposals Regular"))</f>
        <v>0</v>
      </c>
      <c r="N119" s="341">
        <f>IF($A119="","",SUMIFS('Timesheet Raw'!$P$4:$P$8000,'Timesheet Raw'!$L$4:$L$8000,$A119,'Timesheet Raw'!$C$4:$C$8000,L$3,'Timesheet Raw'!$B$4:$B$8000,'Work Calendar'!$A$26)+SUMIFS('Timesheet Raw'!$P$4:$P$8000,'Timesheet Raw'!$L$4:$L$8000,$A119,'Timesheet Raw'!$C$4:$C$8000,L$3,'Timesheet Raw'!$B$4:$B$8000,'Work Calendar'!$A$27)+SUMIFS('Timesheet Raw'!$P$4:$P$8000,'Timesheet Raw'!$L$4:$L$8000,$A119,'Timesheet Raw'!$C$4:$C$8000,L$3,'Timesheet Raw'!$B$4:$B$8000,'Work Calendar'!$A$28)+SUMIFS('Timesheet Raw'!$P$4:$P$8000,'Timesheet Raw'!$L$4:$L$8000,$A119,'Timesheet Raw'!$C$4:$C$8000,L$3,'Timesheet Raw'!$B$4:$B$8000,'Work Calendar'!$A$29))</f>
        <v>0</v>
      </c>
      <c r="O119" s="341">
        <f t="shared" si="6"/>
        <v>0</v>
      </c>
      <c r="P119" s="395">
        <f>IF($A119="","",SUMIFS('Timesheet Raw'!$K$4:$K$8000,'Timesheet Raw'!$L$4:$L$8000,$A119,'Timesheet Raw'!$C$4:$C$8000,L$3))</f>
        <v>0</v>
      </c>
      <c r="Q119" s="345">
        <f>IF($A119="","",SUMIFS('Timesheet Raw'!$P$4:$P$8000,'Timesheet Raw'!$L$4:$L$8000,$A119,'Timesheet Raw'!$C$4:$C$8000,L$3))</f>
        <v>0</v>
      </c>
      <c r="R119" s="375"/>
      <c r="S119" t="str">
        <f>IF($A119="","",IF(R119&lt;&gt;"",R119,IF($A119&gt;'Work Calendar'!$B$17,"No data yet",IF(AND(N119&gt;='Work Calendar'!$B$14,L119+M119+O119&gt;0),"Day off - but worked",IF(N119&gt;='Work Calendar'!$B$14,"Day off",IF(L119+M119+O119&gt;0,IF($C119="Working","Charged","Worked weekend"),IF($C119="Working","Leave (not charged)",$C119)))))))</f>
        <v>Weekend</v>
      </c>
      <c r="T119" s="341">
        <f>IF($A119="","",SUMIFS('Timesheet Raw'!$P$4:$P$8000,'Timesheet Raw'!$L$4:$L$8000,$A119,'Timesheet Raw'!$C$4:$C$8000,T$3,'Timesheet Raw'!$A$4:$A$8000,"1-Projects"))</f>
        <v>0</v>
      </c>
      <c r="U119" s="341">
        <f>IF($A119="","",SUMIFS('Timesheet Raw'!$P$4:$P$8000,'Timesheet Raw'!$L$4:$L$8000,$A119,'Timesheet Raw'!$C$4:$C$8000,T$3,'Timesheet Raw'!$A$4:$A$8000,"2-Proposals Chargeable")+SUMIFS('Timesheet Raw'!$P$4:$P$8000,'Timesheet Raw'!$L$4:$L$8000,$A119,'Timesheet Raw'!$C$4:$C$8000,T$3,'Timesheet Raw'!$A$4:$A$8000,"3-Proposals Regular"))</f>
        <v>0</v>
      </c>
      <c r="V119" s="341">
        <f>IF($A119="","",SUMIFS('Timesheet Raw'!$P$4:$P$8000,'Timesheet Raw'!$L$4:$L$8000,$A119,'Timesheet Raw'!$C$4:$C$8000,T$3,'Timesheet Raw'!$B$4:$B$8000,'Work Calendar'!$A$26)+SUMIFS('Timesheet Raw'!$P$4:$P$8000,'Timesheet Raw'!$L$4:$L$8000,$A119,'Timesheet Raw'!$C$4:$C$8000,T$3,'Timesheet Raw'!$B$4:$B$8000,'Work Calendar'!$A$27)+SUMIFS('Timesheet Raw'!$P$4:$P$8000,'Timesheet Raw'!$L$4:$L$8000,$A119,'Timesheet Raw'!$C$4:$C$8000,T$3,'Timesheet Raw'!$B$4:$B$8000,'Work Calendar'!$A$28)+SUMIFS('Timesheet Raw'!$P$4:$P$8000,'Timesheet Raw'!$L$4:$L$8000,$A119,'Timesheet Raw'!$C$4:$C$8000,T$3,'Timesheet Raw'!$B$4:$B$8000,'Work Calendar'!$A$29))</f>
        <v>0</v>
      </c>
      <c r="W119" s="341">
        <f t="shared" si="7"/>
        <v>0</v>
      </c>
      <c r="X119" s="395">
        <f>IF($A119="","",SUMIFS('Timesheet Raw'!$K$4:$K$8000,'Timesheet Raw'!$L$4:$L$8000,$A119,'Timesheet Raw'!$C$4:$C$8000,T$3))</f>
        <v>0</v>
      </c>
      <c r="Y119" s="345">
        <f>IF($A119="","",SUMIFS('Timesheet Raw'!$P$4:$P$8000,'Timesheet Raw'!$L$4:$L$8000,$A119,'Timesheet Raw'!$C$4:$C$8000,T$3))</f>
        <v>0</v>
      </c>
      <c r="Z119" s="375"/>
      <c r="AA119" t="str">
        <f>IF($A119="","",IF(Z119&lt;&gt;"",Z119,IF($A119&gt;'Work Calendar'!$B$17,"No data yet",IF(AND(V119&gt;='Work Calendar'!$B$14,T119+U119+W119&gt;0),"Day off - but worked",IF(V119&gt;='Work Calendar'!$B$14,"Day off",IF(T119+U119+W119&gt;0,IF($C119="Working","Charged","Worked weekend"),IF($C119="Working","Leave (not charged)",$C119)))))))</f>
        <v>Weekend</v>
      </c>
    </row>
    <row r="120" spans="1:27" x14ac:dyDescent="0.3">
      <c r="A120" s="371">
        <f>IF($A119="","",IF($A119+1&gt;'Work Calendar'!$B$16,"",$A119+1))</f>
        <v>46138</v>
      </c>
      <c r="B120" t="str">
        <f t="shared" si="4"/>
        <v>Sun</v>
      </c>
      <c r="C120" t="str" cm="1">
        <f t="array" ref="C120">IF($A120="","",IF(COUNTIF('Work Calendar'!$E$6:$E$200,$A120)&gt;0,"Holiday",IF(INDEX('Work Calendar'!$C$6:$C$12,WEEKDAY($A120,1))=1,"Working","Weekend")))</f>
        <v>Working</v>
      </c>
      <c r="D120" s="341">
        <f>IF($A120="","",SUMIFS('Timesheet Raw'!$P$4:$P$8000,'Timesheet Raw'!$L$4:$L$8000,$A120,'Timesheet Raw'!$C$4:$C$8000,D$3,'Timesheet Raw'!$A$4:$A$8000,"1-Projects"))</f>
        <v>11.25</v>
      </c>
      <c r="E120" s="341">
        <f>IF($A120="","",SUMIFS('Timesheet Raw'!$P$4:$P$8000,'Timesheet Raw'!$L$4:$L$8000,$A120,'Timesheet Raw'!$C$4:$C$8000,D$3,'Timesheet Raw'!$A$4:$A$8000,"2-Proposals Chargeable")+SUMIFS('Timesheet Raw'!$P$4:$P$8000,'Timesheet Raw'!$L$4:$L$8000,$A120,'Timesheet Raw'!$C$4:$C$8000,D$3,'Timesheet Raw'!$A$4:$A$8000,"3-Proposals Regular"))</f>
        <v>0</v>
      </c>
      <c r="F120" s="341">
        <f>IF($A120="","",SUMIFS('Timesheet Raw'!$P$4:$P$8000,'Timesheet Raw'!$L$4:$L$8000,$A120,'Timesheet Raw'!$C$4:$C$8000,D$3,'Timesheet Raw'!$B$4:$B$8000,'Work Calendar'!$A$26)+SUMIFS('Timesheet Raw'!$P$4:$P$8000,'Timesheet Raw'!$L$4:$L$8000,$A120,'Timesheet Raw'!$C$4:$C$8000,D$3,'Timesheet Raw'!$B$4:$B$8000,'Work Calendar'!$A$27)+SUMIFS('Timesheet Raw'!$P$4:$P$8000,'Timesheet Raw'!$L$4:$L$8000,$A120,'Timesheet Raw'!$C$4:$C$8000,D$3,'Timesheet Raw'!$B$4:$B$8000,'Work Calendar'!$A$28)+SUMIFS('Timesheet Raw'!$P$4:$P$8000,'Timesheet Raw'!$L$4:$L$8000,$A120,'Timesheet Raw'!$C$4:$C$8000,D$3,'Timesheet Raw'!$B$4:$B$8000,'Work Calendar'!$A$29))</f>
        <v>1.25</v>
      </c>
      <c r="G120" s="341">
        <f t="shared" si="5"/>
        <v>0</v>
      </c>
      <c r="H120" s="395">
        <f>IF($A120="","",SUMIFS('Timesheet Raw'!$K$4:$K$8000,'Timesheet Raw'!$L$4:$L$8000,$A120,'Timesheet Raw'!$C$4:$C$8000,D$3))</f>
        <v>4</v>
      </c>
      <c r="I120" s="345">
        <f>IF($A120="","",SUMIFS('Timesheet Raw'!$P$4:$P$8000,'Timesheet Raw'!$L$4:$L$8000,$A120,'Timesheet Raw'!$C$4:$C$8000,D$3))</f>
        <v>12.5</v>
      </c>
      <c r="J120" s="375"/>
      <c r="K120" t="str">
        <f>IF($A120="","",IF(J120&lt;&gt;"",J120,IF($A120&gt;'Work Calendar'!$B$17,"No data yet",IF(AND(F120&gt;='Work Calendar'!$B$14,D120+E120+G120&gt;0),"Day off - but worked",IF(F120&gt;='Work Calendar'!$B$14,"Day off",IF(D120+E120+G120&gt;0,IF($C120="Working","Charged","Worked weekend"),IF($C120="Working","Leave (not charged)",$C120)))))))</f>
        <v>Charged</v>
      </c>
      <c r="L120" s="341">
        <f>IF($A120="","",SUMIFS('Timesheet Raw'!$P$4:$P$8000,'Timesheet Raw'!$L$4:$L$8000,$A120,'Timesheet Raw'!$C$4:$C$8000,L$3,'Timesheet Raw'!$A$4:$A$8000,"1-Projects"))</f>
        <v>13</v>
      </c>
      <c r="M120" s="341">
        <f>IF($A120="","",SUMIFS('Timesheet Raw'!$P$4:$P$8000,'Timesheet Raw'!$L$4:$L$8000,$A120,'Timesheet Raw'!$C$4:$C$8000,L$3,'Timesheet Raw'!$A$4:$A$8000,"2-Proposals Chargeable")+SUMIFS('Timesheet Raw'!$P$4:$P$8000,'Timesheet Raw'!$L$4:$L$8000,$A120,'Timesheet Raw'!$C$4:$C$8000,L$3,'Timesheet Raw'!$A$4:$A$8000,"3-Proposals Regular"))</f>
        <v>0</v>
      </c>
      <c r="N120" s="341">
        <f>IF($A120="","",SUMIFS('Timesheet Raw'!$P$4:$P$8000,'Timesheet Raw'!$L$4:$L$8000,$A120,'Timesheet Raw'!$C$4:$C$8000,L$3,'Timesheet Raw'!$B$4:$B$8000,'Work Calendar'!$A$26)+SUMIFS('Timesheet Raw'!$P$4:$P$8000,'Timesheet Raw'!$L$4:$L$8000,$A120,'Timesheet Raw'!$C$4:$C$8000,L$3,'Timesheet Raw'!$B$4:$B$8000,'Work Calendar'!$A$27)+SUMIFS('Timesheet Raw'!$P$4:$P$8000,'Timesheet Raw'!$L$4:$L$8000,$A120,'Timesheet Raw'!$C$4:$C$8000,L$3,'Timesheet Raw'!$B$4:$B$8000,'Work Calendar'!$A$28)+SUMIFS('Timesheet Raw'!$P$4:$P$8000,'Timesheet Raw'!$L$4:$L$8000,$A120,'Timesheet Raw'!$C$4:$C$8000,L$3,'Timesheet Raw'!$B$4:$B$8000,'Work Calendar'!$A$29))</f>
        <v>0</v>
      </c>
      <c r="O120" s="341">
        <f t="shared" si="6"/>
        <v>0</v>
      </c>
      <c r="P120" s="395">
        <f>IF($A120="","",SUMIFS('Timesheet Raw'!$K$4:$K$8000,'Timesheet Raw'!$L$4:$L$8000,$A120,'Timesheet Raw'!$C$4:$C$8000,L$3))</f>
        <v>4.5</v>
      </c>
      <c r="Q120" s="345">
        <f>IF($A120="","",SUMIFS('Timesheet Raw'!$P$4:$P$8000,'Timesheet Raw'!$L$4:$L$8000,$A120,'Timesheet Raw'!$C$4:$C$8000,L$3))</f>
        <v>13</v>
      </c>
      <c r="R120" s="375"/>
      <c r="S120" t="str">
        <f>IF($A120="","",IF(R120&lt;&gt;"",R120,IF($A120&gt;'Work Calendar'!$B$17,"No data yet",IF(AND(N120&gt;='Work Calendar'!$B$14,L120+M120+O120&gt;0),"Day off - but worked",IF(N120&gt;='Work Calendar'!$B$14,"Day off",IF(L120+M120+O120&gt;0,IF($C120="Working","Charged","Worked weekend"),IF($C120="Working","Leave (not charged)",$C120)))))))</f>
        <v>Charged</v>
      </c>
      <c r="T120" s="341">
        <f>IF($A120="","",SUMIFS('Timesheet Raw'!$P$4:$P$8000,'Timesheet Raw'!$L$4:$L$8000,$A120,'Timesheet Raw'!$C$4:$C$8000,T$3,'Timesheet Raw'!$A$4:$A$8000,"1-Projects"))</f>
        <v>10.25</v>
      </c>
      <c r="U120" s="341">
        <f>IF($A120="","",SUMIFS('Timesheet Raw'!$P$4:$P$8000,'Timesheet Raw'!$L$4:$L$8000,$A120,'Timesheet Raw'!$C$4:$C$8000,T$3,'Timesheet Raw'!$A$4:$A$8000,"2-Proposals Chargeable")+SUMIFS('Timesheet Raw'!$P$4:$P$8000,'Timesheet Raw'!$L$4:$L$8000,$A120,'Timesheet Raw'!$C$4:$C$8000,T$3,'Timesheet Raw'!$A$4:$A$8000,"3-Proposals Regular"))</f>
        <v>0</v>
      </c>
      <c r="V120" s="341">
        <f>IF($A120="","",SUMIFS('Timesheet Raw'!$P$4:$P$8000,'Timesheet Raw'!$L$4:$L$8000,$A120,'Timesheet Raw'!$C$4:$C$8000,T$3,'Timesheet Raw'!$B$4:$B$8000,'Work Calendar'!$A$26)+SUMIFS('Timesheet Raw'!$P$4:$P$8000,'Timesheet Raw'!$L$4:$L$8000,$A120,'Timesheet Raw'!$C$4:$C$8000,T$3,'Timesheet Raw'!$B$4:$B$8000,'Work Calendar'!$A$27)+SUMIFS('Timesheet Raw'!$P$4:$P$8000,'Timesheet Raw'!$L$4:$L$8000,$A120,'Timesheet Raw'!$C$4:$C$8000,T$3,'Timesheet Raw'!$B$4:$B$8000,'Work Calendar'!$A$28)+SUMIFS('Timesheet Raw'!$P$4:$P$8000,'Timesheet Raw'!$L$4:$L$8000,$A120,'Timesheet Raw'!$C$4:$C$8000,T$3,'Timesheet Raw'!$B$4:$B$8000,'Work Calendar'!$A$29))</f>
        <v>0.25</v>
      </c>
      <c r="W120" s="341">
        <f t="shared" si="7"/>
        <v>0</v>
      </c>
      <c r="X120" s="395">
        <f>IF($A120="","",SUMIFS('Timesheet Raw'!$K$4:$K$8000,'Timesheet Raw'!$L$4:$L$8000,$A120,'Timesheet Raw'!$C$4:$C$8000,T$3))</f>
        <v>2</v>
      </c>
      <c r="Y120" s="345">
        <f>IF($A120="","",SUMIFS('Timesheet Raw'!$P$4:$P$8000,'Timesheet Raw'!$L$4:$L$8000,$A120,'Timesheet Raw'!$C$4:$C$8000,T$3))</f>
        <v>10.5</v>
      </c>
      <c r="Z120" s="375"/>
      <c r="AA120" t="str">
        <f>IF($A120="","",IF(Z120&lt;&gt;"",Z120,IF($A120&gt;'Work Calendar'!$B$17,"No data yet",IF(AND(V120&gt;='Work Calendar'!$B$14,T120+U120+W120&gt;0),"Day off - but worked",IF(V120&gt;='Work Calendar'!$B$14,"Day off",IF(T120+U120+W120&gt;0,IF($C120="Working","Charged","Worked weekend"),IF($C120="Working","Leave (not charged)",$C120)))))))</f>
        <v>Charged</v>
      </c>
    </row>
    <row r="121" spans="1:27" x14ac:dyDescent="0.3">
      <c r="A121" s="371">
        <f>IF($A120="","",IF($A120+1&gt;'Work Calendar'!$B$16,"",$A120+1))</f>
        <v>46139</v>
      </c>
      <c r="B121" t="str">
        <f t="shared" si="4"/>
        <v>Mon</v>
      </c>
      <c r="C121" t="str" cm="1">
        <f t="array" ref="C121">IF($A121="","",IF(COUNTIF('Work Calendar'!$E$6:$E$200,$A121)&gt;0,"Holiday",IF(INDEX('Work Calendar'!$C$6:$C$12,WEEKDAY($A121,1))=1,"Working","Weekend")))</f>
        <v>Working</v>
      </c>
      <c r="D121" s="341">
        <f>IF($A121="","",SUMIFS('Timesheet Raw'!$P$4:$P$8000,'Timesheet Raw'!$L$4:$L$8000,$A121,'Timesheet Raw'!$C$4:$C$8000,D$3,'Timesheet Raw'!$A$4:$A$8000,"1-Projects"))</f>
        <v>12.5</v>
      </c>
      <c r="E121" s="341">
        <f>IF($A121="","",SUMIFS('Timesheet Raw'!$P$4:$P$8000,'Timesheet Raw'!$L$4:$L$8000,$A121,'Timesheet Raw'!$C$4:$C$8000,D$3,'Timesheet Raw'!$A$4:$A$8000,"2-Proposals Chargeable")+SUMIFS('Timesheet Raw'!$P$4:$P$8000,'Timesheet Raw'!$L$4:$L$8000,$A121,'Timesheet Raw'!$C$4:$C$8000,D$3,'Timesheet Raw'!$A$4:$A$8000,"3-Proposals Regular"))</f>
        <v>0</v>
      </c>
      <c r="F121" s="341">
        <f>IF($A121="","",SUMIFS('Timesheet Raw'!$P$4:$P$8000,'Timesheet Raw'!$L$4:$L$8000,$A121,'Timesheet Raw'!$C$4:$C$8000,D$3,'Timesheet Raw'!$B$4:$B$8000,'Work Calendar'!$A$26)+SUMIFS('Timesheet Raw'!$P$4:$P$8000,'Timesheet Raw'!$L$4:$L$8000,$A121,'Timesheet Raw'!$C$4:$C$8000,D$3,'Timesheet Raw'!$B$4:$B$8000,'Work Calendar'!$A$27)+SUMIFS('Timesheet Raw'!$P$4:$P$8000,'Timesheet Raw'!$L$4:$L$8000,$A121,'Timesheet Raw'!$C$4:$C$8000,D$3,'Timesheet Raw'!$B$4:$B$8000,'Work Calendar'!$A$28)+SUMIFS('Timesheet Raw'!$P$4:$P$8000,'Timesheet Raw'!$L$4:$L$8000,$A121,'Timesheet Raw'!$C$4:$C$8000,D$3,'Timesheet Raw'!$B$4:$B$8000,'Work Calendar'!$A$29))</f>
        <v>0.5</v>
      </c>
      <c r="G121" s="341">
        <f t="shared" si="5"/>
        <v>0</v>
      </c>
      <c r="H121" s="395">
        <f>IF($A121="","",SUMIFS('Timesheet Raw'!$K$4:$K$8000,'Timesheet Raw'!$L$4:$L$8000,$A121,'Timesheet Raw'!$C$4:$C$8000,D$3))</f>
        <v>4.5</v>
      </c>
      <c r="I121" s="345">
        <f>IF($A121="","",SUMIFS('Timesheet Raw'!$P$4:$P$8000,'Timesheet Raw'!$L$4:$L$8000,$A121,'Timesheet Raw'!$C$4:$C$8000,D$3))</f>
        <v>13</v>
      </c>
      <c r="J121" s="375"/>
      <c r="K121" t="str">
        <f>IF($A121="","",IF(J121&lt;&gt;"",J121,IF($A121&gt;'Work Calendar'!$B$17,"No data yet",IF(AND(F121&gt;='Work Calendar'!$B$14,D121+E121+G121&gt;0),"Day off - but worked",IF(F121&gt;='Work Calendar'!$B$14,"Day off",IF(D121+E121+G121&gt;0,IF($C121="Working","Charged","Worked weekend"),IF($C121="Working","Leave (not charged)",$C121)))))))</f>
        <v>Charged</v>
      </c>
      <c r="L121" s="341">
        <f>IF($A121="","",SUMIFS('Timesheet Raw'!$P$4:$P$8000,'Timesheet Raw'!$L$4:$L$8000,$A121,'Timesheet Raw'!$C$4:$C$8000,L$3,'Timesheet Raw'!$A$4:$A$8000,"1-Projects"))</f>
        <v>9.75</v>
      </c>
      <c r="M121" s="341">
        <f>IF($A121="","",SUMIFS('Timesheet Raw'!$P$4:$P$8000,'Timesheet Raw'!$L$4:$L$8000,$A121,'Timesheet Raw'!$C$4:$C$8000,L$3,'Timesheet Raw'!$A$4:$A$8000,"2-Proposals Chargeable")+SUMIFS('Timesheet Raw'!$P$4:$P$8000,'Timesheet Raw'!$L$4:$L$8000,$A121,'Timesheet Raw'!$C$4:$C$8000,L$3,'Timesheet Raw'!$A$4:$A$8000,"3-Proposals Regular"))</f>
        <v>0</v>
      </c>
      <c r="N121" s="341">
        <f>IF($A121="","",SUMIFS('Timesheet Raw'!$P$4:$P$8000,'Timesheet Raw'!$L$4:$L$8000,$A121,'Timesheet Raw'!$C$4:$C$8000,L$3,'Timesheet Raw'!$B$4:$B$8000,'Work Calendar'!$A$26)+SUMIFS('Timesheet Raw'!$P$4:$P$8000,'Timesheet Raw'!$L$4:$L$8000,$A121,'Timesheet Raw'!$C$4:$C$8000,L$3,'Timesheet Raw'!$B$4:$B$8000,'Work Calendar'!$A$27)+SUMIFS('Timesheet Raw'!$P$4:$P$8000,'Timesheet Raw'!$L$4:$L$8000,$A121,'Timesheet Raw'!$C$4:$C$8000,L$3,'Timesheet Raw'!$B$4:$B$8000,'Work Calendar'!$A$28)+SUMIFS('Timesheet Raw'!$P$4:$P$8000,'Timesheet Raw'!$L$4:$L$8000,$A121,'Timesheet Raw'!$C$4:$C$8000,L$3,'Timesheet Raw'!$B$4:$B$8000,'Work Calendar'!$A$29))</f>
        <v>0</v>
      </c>
      <c r="O121" s="341">
        <f t="shared" si="6"/>
        <v>0</v>
      </c>
      <c r="P121" s="395">
        <f>IF($A121="","",SUMIFS('Timesheet Raw'!$K$4:$K$8000,'Timesheet Raw'!$L$4:$L$8000,$A121,'Timesheet Raw'!$C$4:$C$8000,L$3))</f>
        <v>1.25</v>
      </c>
      <c r="Q121" s="345">
        <f>IF($A121="","",SUMIFS('Timesheet Raw'!$P$4:$P$8000,'Timesheet Raw'!$L$4:$L$8000,$A121,'Timesheet Raw'!$C$4:$C$8000,L$3))</f>
        <v>9.75</v>
      </c>
      <c r="R121" s="375"/>
      <c r="S121" t="str">
        <f>IF($A121="","",IF(R121&lt;&gt;"",R121,IF($A121&gt;'Work Calendar'!$B$17,"No data yet",IF(AND(N121&gt;='Work Calendar'!$B$14,L121+M121+O121&gt;0),"Day off - but worked",IF(N121&gt;='Work Calendar'!$B$14,"Day off",IF(L121+M121+O121&gt;0,IF($C121="Working","Charged","Worked weekend"),IF($C121="Working","Leave (not charged)",$C121)))))))</f>
        <v>Charged</v>
      </c>
      <c r="T121" s="341">
        <f>IF($A121="","",SUMIFS('Timesheet Raw'!$P$4:$P$8000,'Timesheet Raw'!$L$4:$L$8000,$A121,'Timesheet Raw'!$C$4:$C$8000,T$3,'Timesheet Raw'!$A$4:$A$8000,"1-Projects"))</f>
        <v>9.25</v>
      </c>
      <c r="U121" s="341">
        <f>IF($A121="","",SUMIFS('Timesheet Raw'!$P$4:$P$8000,'Timesheet Raw'!$L$4:$L$8000,$A121,'Timesheet Raw'!$C$4:$C$8000,T$3,'Timesheet Raw'!$A$4:$A$8000,"2-Proposals Chargeable")+SUMIFS('Timesheet Raw'!$P$4:$P$8000,'Timesheet Raw'!$L$4:$L$8000,$A121,'Timesheet Raw'!$C$4:$C$8000,T$3,'Timesheet Raw'!$A$4:$A$8000,"3-Proposals Regular"))</f>
        <v>0</v>
      </c>
      <c r="V121" s="341">
        <f>IF($A121="","",SUMIFS('Timesheet Raw'!$P$4:$P$8000,'Timesheet Raw'!$L$4:$L$8000,$A121,'Timesheet Raw'!$C$4:$C$8000,T$3,'Timesheet Raw'!$B$4:$B$8000,'Work Calendar'!$A$26)+SUMIFS('Timesheet Raw'!$P$4:$P$8000,'Timesheet Raw'!$L$4:$L$8000,$A121,'Timesheet Raw'!$C$4:$C$8000,T$3,'Timesheet Raw'!$B$4:$B$8000,'Work Calendar'!$A$27)+SUMIFS('Timesheet Raw'!$P$4:$P$8000,'Timesheet Raw'!$L$4:$L$8000,$A121,'Timesheet Raw'!$C$4:$C$8000,T$3,'Timesheet Raw'!$B$4:$B$8000,'Work Calendar'!$A$28)+SUMIFS('Timesheet Raw'!$P$4:$P$8000,'Timesheet Raw'!$L$4:$L$8000,$A121,'Timesheet Raw'!$C$4:$C$8000,T$3,'Timesheet Raw'!$B$4:$B$8000,'Work Calendar'!$A$29))</f>
        <v>0.5</v>
      </c>
      <c r="W121" s="341">
        <f t="shared" si="7"/>
        <v>0</v>
      </c>
      <c r="X121" s="395">
        <f>IF($A121="","",SUMIFS('Timesheet Raw'!$K$4:$K$8000,'Timesheet Raw'!$L$4:$L$8000,$A121,'Timesheet Raw'!$C$4:$C$8000,T$3))</f>
        <v>1.25</v>
      </c>
      <c r="Y121" s="345">
        <f>IF($A121="","",SUMIFS('Timesheet Raw'!$P$4:$P$8000,'Timesheet Raw'!$L$4:$L$8000,$A121,'Timesheet Raw'!$C$4:$C$8000,T$3))</f>
        <v>9.75</v>
      </c>
      <c r="Z121" s="375"/>
      <c r="AA121" t="str">
        <f>IF($A121="","",IF(Z121&lt;&gt;"",Z121,IF($A121&gt;'Work Calendar'!$B$17,"No data yet",IF(AND(V121&gt;='Work Calendar'!$B$14,T121+U121+W121&gt;0),"Day off - but worked",IF(V121&gt;='Work Calendar'!$B$14,"Day off",IF(T121+U121+W121&gt;0,IF($C121="Working","Charged","Worked weekend"),IF($C121="Working","Leave (not charged)",$C121)))))))</f>
        <v>Charged</v>
      </c>
    </row>
    <row r="122" spans="1:27" x14ac:dyDescent="0.3">
      <c r="A122" s="371">
        <f>IF($A121="","",IF($A121+1&gt;'Work Calendar'!$B$16,"",$A121+1))</f>
        <v>46140</v>
      </c>
      <c r="B122" t="str">
        <f t="shared" si="4"/>
        <v>Tue</v>
      </c>
      <c r="C122" t="str" cm="1">
        <f t="array" ref="C122">IF($A122="","",IF(COUNTIF('Work Calendar'!$E$6:$E$200,$A122)&gt;0,"Holiday",IF(INDEX('Work Calendar'!$C$6:$C$12,WEEKDAY($A122,1))=1,"Working","Weekend")))</f>
        <v>Working</v>
      </c>
      <c r="D122" s="341">
        <f>IF($A122="","",SUMIFS('Timesheet Raw'!$P$4:$P$8000,'Timesheet Raw'!$L$4:$L$8000,$A122,'Timesheet Raw'!$C$4:$C$8000,D$3,'Timesheet Raw'!$A$4:$A$8000,"1-Projects"))</f>
        <v>12.25</v>
      </c>
      <c r="E122" s="341">
        <f>IF($A122="","",SUMIFS('Timesheet Raw'!$P$4:$P$8000,'Timesheet Raw'!$L$4:$L$8000,$A122,'Timesheet Raw'!$C$4:$C$8000,D$3,'Timesheet Raw'!$A$4:$A$8000,"2-Proposals Chargeable")+SUMIFS('Timesheet Raw'!$P$4:$P$8000,'Timesheet Raw'!$L$4:$L$8000,$A122,'Timesheet Raw'!$C$4:$C$8000,D$3,'Timesheet Raw'!$A$4:$A$8000,"3-Proposals Regular"))</f>
        <v>0</v>
      </c>
      <c r="F122" s="341">
        <f>IF($A122="","",SUMIFS('Timesheet Raw'!$P$4:$P$8000,'Timesheet Raw'!$L$4:$L$8000,$A122,'Timesheet Raw'!$C$4:$C$8000,D$3,'Timesheet Raw'!$B$4:$B$8000,'Work Calendar'!$A$26)+SUMIFS('Timesheet Raw'!$P$4:$P$8000,'Timesheet Raw'!$L$4:$L$8000,$A122,'Timesheet Raw'!$C$4:$C$8000,D$3,'Timesheet Raw'!$B$4:$B$8000,'Work Calendar'!$A$27)+SUMIFS('Timesheet Raw'!$P$4:$P$8000,'Timesheet Raw'!$L$4:$L$8000,$A122,'Timesheet Raw'!$C$4:$C$8000,D$3,'Timesheet Raw'!$B$4:$B$8000,'Work Calendar'!$A$28)+SUMIFS('Timesheet Raw'!$P$4:$P$8000,'Timesheet Raw'!$L$4:$L$8000,$A122,'Timesheet Raw'!$C$4:$C$8000,D$3,'Timesheet Raw'!$B$4:$B$8000,'Work Calendar'!$A$29))</f>
        <v>0.5</v>
      </c>
      <c r="G122" s="341">
        <f t="shared" si="5"/>
        <v>0</v>
      </c>
      <c r="H122" s="395">
        <f>IF($A122="","",SUMIFS('Timesheet Raw'!$K$4:$K$8000,'Timesheet Raw'!$L$4:$L$8000,$A122,'Timesheet Raw'!$C$4:$C$8000,D$3))</f>
        <v>4.25</v>
      </c>
      <c r="I122" s="345">
        <f>IF($A122="","",SUMIFS('Timesheet Raw'!$P$4:$P$8000,'Timesheet Raw'!$L$4:$L$8000,$A122,'Timesheet Raw'!$C$4:$C$8000,D$3))</f>
        <v>12.75</v>
      </c>
      <c r="J122" s="375"/>
      <c r="K122" t="str">
        <f>IF($A122="","",IF(J122&lt;&gt;"",J122,IF($A122&gt;'Work Calendar'!$B$17,"No data yet",IF(AND(F122&gt;='Work Calendar'!$B$14,D122+E122+G122&gt;0),"Day off - but worked",IF(F122&gt;='Work Calendar'!$B$14,"Day off",IF(D122+E122+G122&gt;0,IF($C122="Working","Charged","Worked weekend"),IF($C122="Working","Leave (not charged)",$C122)))))))</f>
        <v>Charged</v>
      </c>
      <c r="L122" s="341">
        <f>IF($A122="","",SUMIFS('Timesheet Raw'!$P$4:$P$8000,'Timesheet Raw'!$L$4:$L$8000,$A122,'Timesheet Raw'!$C$4:$C$8000,L$3,'Timesheet Raw'!$A$4:$A$8000,"1-Projects"))</f>
        <v>12.75</v>
      </c>
      <c r="M122" s="341">
        <f>IF($A122="","",SUMIFS('Timesheet Raw'!$P$4:$P$8000,'Timesheet Raw'!$L$4:$L$8000,$A122,'Timesheet Raw'!$C$4:$C$8000,L$3,'Timesheet Raw'!$A$4:$A$8000,"2-Proposals Chargeable")+SUMIFS('Timesheet Raw'!$P$4:$P$8000,'Timesheet Raw'!$L$4:$L$8000,$A122,'Timesheet Raw'!$C$4:$C$8000,L$3,'Timesheet Raw'!$A$4:$A$8000,"3-Proposals Regular"))</f>
        <v>0</v>
      </c>
      <c r="N122" s="341">
        <f>IF($A122="","",SUMIFS('Timesheet Raw'!$P$4:$P$8000,'Timesheet Raw'!$L$4:$L$8000,$A122,'Timesheet Raw'!$C$4:$C$8000,L$3,'Timesheet Raw'!$B$4:$B$8000,'Work Calendar'!$A$26)+SUMIFS('Timesheet Raw'!$P$4:$P$8000,'Timesheet Raw'!$L$4:$L$8000,$A122,'Timesheet Raw'!$C$4:$C$8000,L$3,'Timesheet Raw'!$B$4:$B$8000,'Work Calendar'!$A$27)+SUMIFS('Timesheet Raw'!$P$4:$P$8000,'Timesheet Raw'!$L$4:$L$8000,$A122,'Timesheet Raw'!$C$4:$C$8000,L$3,'Timesheet Raw'!$B$4:$B$8000,'Work Calendar'!$A$28)+SUMIFS('Timesheet Raw'!$P$4:$P$8000,'Timesheet Raw'!$L$4:$L$8000,$A122,'Timesheet Raw'!$C$4:$C$8000,L$3,'Timesheet Raw'!$B$4:$B$8000,'Work Calendar'!$A$29))</f>
        <v>0</v>
      </c>
      <c r="O122" s="341">
        <f t="shared" si="6"/>
        <v>0</v>
      </c>
      <c r="P122" s="395">
        <f>IF($A122="","",SUMIFS('Timesheet Raw'!$K$4:$K$8000,'Timesheet Raw'!$L$4:$L$8000,$A122,'Timesheet Raw'!$C$4:$C$8000,L$3))</f>
        <v>4.25</v>
      </c>
      <c r="Q122" s="345">
        <f>IF($A122="","",SUMIFS('Timesheet Raw'!$P$4:$P$8000,'Timesheet Raw'!$L$4:$L$8000,$A122,'Timesheet Raw'!$C$4:$C$8000,L$3))</f>
        <v>12.75</v>
      </c>
      <c r="R122" s="375"/>
      <c r="S122" t="str">
        <f>IF($A122="","",IF(R122&lt;&gt;"",R122,IF($A122&gt;'Work Calendar'!$B$17,"No data yet",IF(AND(N122&gt;='Work Calendar'!$B$14,L122+M122+O122&gt;0),"Day off - but worked",IF(N122&gt;='Work Calendar'!$B$14,"Day off",IF(L122+M122+O122&gt;0,IF($C122="Working","Charged","Worked weekend"),IF($C122="Working","Leave (not charged)",$C122)))))))</f>
        <v>Charged</v>
      </c>
      <c r="T122" s="341">
        <f>IF($A122="","",SUMIFS('Timesheet Raw'!$P$4:$P$8000,'Timesheet Raw'!$L$4:$L$8000,$A122,'Timesheet Raw'!$C$4:$C$8000,T$3,'Timesheet Raw'!$A$4:$A$8000,"1-Projects"))</f>
        <v>13</v>
      </c>
      <c r="U122" s="341">
        <f>IF($A122="","",SUMIFS('Timesheet Raw'!$P$4:$P$8000,'Timesheet Raw'!$L$4:$L$8000,$A122,'Timesheet Raw'!$C$4:$C$8000,T$3,'Timesheet Raw'!$A$4:$A$8000,"2-Proposals Chargeable")+SUMIFS('Timesheet Raw'!$P$4:$P$8000,'Timesheet Raw'!$L$4:$L$8000,$A122,'Timesheet Raw'!$C$4:$C$8000,T$3,'Timesheet Raw'!$A$4:$A$8000,"3-Proposals Regular"))</f>
        <v>0</v>
      </c>
      <c r="V122" s="341">
        <f>IF($A122="","",SUMIFS('Timesheet Raw'!$P$4:$P$8000,'Timesheet Raw'!$L$4:$L$8000,$A122,'Timesheet Raw'!$C$4:$C$8000,T$3,'Timesheet Raw'!$B$4:$B$8000,'Work Calendar'!$A$26)+SUMIFS('Timesheet Raw'!$P$4:$P$8000,'Timesheet Raw'!$L$4:$L$8000,$A122,'Timesheet Raw'!$C$4:$C$8000,T$3,'Timesheet Raw'!$B$4:$B$8000,'Work Calendar'!$A$27)+SUMIFS('Timesheet Raw'!$P$4:$P$8000,'Timesheet Raw'!$L$4:$L$8000,$A122,'Timesheet Raw'!$C$4:$C$8000,T$3,'Timesheet Raw'!$B$4:$B$8000,'Work Calendar'!$A$28)+SUMIFS('Timesheet Raw'!$P$4:$P$8000,'Timesheet Raw'!$L$4:$L$8000,$A122,'Timesheet Raw'!$C$4:$C$8000,T$3,'Timesheet Raw'!$B$4:$B$8000,'Work Calendar'!$A$29))</f>
        <v>0</v>
      </c>
      <c r="W122" s="341">
        <f t="shared" si="7"/>
        <v>0</v>
      </c>
      <c r="X122" s="395">
        <f>IF($A122="","",SUMIFS('Timesheet Raw'!$K$4:$K$8000,'Timesheet Raw'!$L$4:$L$8000,$A122,'Timesheet Raw'!$C$4:$C$8000,T$3))</f>
        <v>4.5</v>
      </c>
      <c r="Y122" s="345">
        <f>IF($A122="","",SUMIFS('Timesheet Raw'!$P$4:$P$8000,'Timesheet Raw'!$L$4:$L$8000,$A122,'Timesheet Raw'!$C$4:$C$8000,T$3))</f>
        <v>13</v>
      </c>
      <c r="Z122" s="375"/>
      <c r="AA122" t="str">
        <f>IF($A122="","",IF(Z122&lt;&gt;"",Z122,IF($A122&gt;'Work Calendar'!$B$17,"No data yet",IF(AND(V122&gt;='Work Calendar'!$B$14,T122+U122+W122&gt;0),"Day off - but worked",IF(V122&gt;='Work Calendar'!$B$14,"Day off",IF(T122+U122+W122&gt;0,IF($C122="Working","Charged","Worked weekend"),IF($C122="Working","Leave (not charged)",$C122)))))))</f>
        <v>Charged</v>
      </c>
    </row>
    <row r="123" spans="1:27" x14ac:dyDescent="0.3">
      <c r="A123" s="371">
        <f>IF($A122="","",IF($A122+1&gt;'Work Calendar'!$B$16,"",$A122+1))</f>
        <v>46141</v>
      </c>
      <c r="B123" t="str">
        <f t="shared" si="4"/>
        <v>Wed</v>
      </c>
      <c r="C123" t="str" cm="1">
        <f t="array" ref="C123">IF($A123="","",IF(COUNTIF('Work Calendar'!$E$6:$E$200,$A123)&gt;0,"Holiday",IF(INDEX('Work Calendar'!$C$6:$C$12,WEEKDAY($A123,1))=1,"Working","Weekend")))</f>
        <v>Working</v>
      </c>
      <c r="D123" s="341">
        <f>IF($A123="","",SUMIFS('Timesheet Raw'!$P$4:$P$8000,'Timesheet Raw'!$L$4:$L$8000,$A123,'Timesheet Raw'!$C$4:$C$8000,D$3,'Timesheet Raw'!$A$4:$A$8000,"1-Projects"))</f>
        <v>14.25</v>
      </c>
      <c r="E123" s="341">
        <f>IF($A123="","",SUMIFS('Timesheet Raw'!$P$4:$P$8000,'Timesheet Raw'!$L$4:$L$8000,$A123,'Timesheet Raw'!$C$4:$C$8000,D$3,'Timesheet Raw'!$A$4:$A$8000,"2-Proposals Chargeable")+SUMIFS('Timesheet Raw'!$P$4:$P$8000,'Timesheet Raw'!$L$4:$L$8000,$A123,'Timesheet Raw'!$C$4:$C$8000,D$3,'Timesheet Raw'!$A$4:$A$8000,"3-Proposals Regular"))</f>
        <v>0</v>
      </c>
      <c r="F123" s="341">
        <f>IF($A123="","",SUMIFS('Timesheet Raw'!$P$4:$P$8000,'Timesheet Raw'!$L$4:$L$8000,$A123,'Timesheet Raw'!$C$4:$C$8000,D$3,'Timesheet Raw'!$B$4:$B$8000,'Work Calendar'!$A$26)+SUMIFS('Timesheet Raw'!$P$4:$P$8000,'Timesheet Raw'!$L$4:$L$8000,$A123,'Timesheet Raw'!$C$4:$C$8000,D$3,'Timesheet Raw'!$B$4:$B$8000,'Work Calendar'!$A$27)+SUMIFS('Timesheet Raw'!$P$4:$P$8000,'Timesheet Raw'!$L$4:$L$8000,$A123,'Timesheet Raw'!$C$4:$C$8000,D$3,'Timesheet Raw'!$B$4:$B$8000,'Work Calendar'!$A$28)+SUMIFS('Timesheet Raw'!$P$4:$P$8000,'Timesheet Raw'!$L$4:$L$8000,$A123,'Timesheet Raw'!$C$4:$C$8000,D$3,'Timesheet Raw'!$B$4:$B$8000,'Work Calendar'!$A$29))</f>
        <v>0.5</v>
      </c>
      <c r="G123" s="341">
        <f t="shared" si="5"/>
        <v>0</v>
      </c>
      <c r="H123" s="395">
        <f>IF($A123="","",SUMIFS('Timesheet Raw'!$K$4:$K$8000,'Timesheet Raw'!$L$4:$L$8000,$A123,'Timesheet Raw'!$C$4:$C$8000,D$3))</f>
        <v>6.25</v>
      </c>
      <c r="I123" s="345">
        <f>IF($A123="","",SUMIFS('Timesheet Raw'!$P$4:$P$8000,'Timesheet Raw'!$L$4:$L$8000,$A123,'Timesheet Raw'!$C$4:$C$8000,D$3))</f>
        <v>14.75</v>
      </c>
      <c r="J123" s="375"/>
      <c r="K123" t="str">
        <f>IF($A123="","",IF(J123&lt;&gt;"",J123,IF($A123&gt;'Work Calendar'!$B$17,"No data yet",IF(AND(F123&gt;='Work Calendar'!$B$14,D123+E123+G123&gt;0),"Day off - but worked",IF(F123&gt;='Work Calendar'!$B$14,"Day off",IF(D123+E123+G123&gt;0,IF($C123="Working","Charged","Worked weekend"),IF($C123="Working","Leave (not charged)",$C123)))))))</f>
        <v>Charged</v>
      </c>
      <c r="L123" s="341">
        <f>IF($A123="","",SUMIFS('Timesheet Raw'!$P$4:$P$8000,'Timesheet Raw'!$L$4:$L$8000,$A123,'Timesheet Raw'!$C$4:$C$8000,L$3,'Timesheet Raw'!$A$4:$A$8000,"1-Projects"))</f>
        <v>14.75</v>
      </c>
      <c r="M123" s="341">
        <f>IF($A123="","",SUMIFS('Timesheet Raw'!$P$4:$P$8000,'Timesheet Raw'!$L$4:$L$8000,$A123,'Timesheet Raw'!$C$4:$C$8000,L$3,'Timesheet Raw'!$A$4:$A$8000,"2-Proposals Chargeable")+SUMIFS('Timesheet Raw'!$P$4:$P$8000,'Timesheet Raw'!$L$4:$L$8000,$A123,'Timesheet Raw'!$C$4:$C$8000,L$3,'Timesheet Raw'!$A$4:$A$8000,"3-Proposals Regular"))</f>
        <v>0</v>
      </c>
      <c r="N123" s="341">
        <f>IF($A123="","",SUMIFS('Timesheet Raw'!$P$4:$P$8000,'Timesheet Raw'!$L$4:$L$8000,$A123,'Timesheet Raw'!$C$4:$C$8000,L$3,'Timesheet Raw'!$B$4:$B$8000,'Work Calendar'!$A$26)+SUMIFS('Timesheet Raw'!$P$4:$P$8000,'Timesheet Raw'!$L$4:$L$8000,$A123,'Timesheet Raw'!$C$4:$C$8000,L$3,'Timesheet Raw'!$B$4:$B$8000,'Work Calendar'!$A$27)+SUMIFS('Timesheet Raw'!$P$4:$P$8000,'Timesheet Raw'!$L$4:$L$8000,$A123,'Timesheet Raw'!$C$4:$C$8000,L$3,'Timesheet Raw'!$B$4:$B$8000,'Work Calendar'!$A$28)+SUMIFS('Timesheet Raw'!$P$4:$P$8000,'Timesheet Raw'!$L$4:$L$8000,$A123,'Timesheet Raw'!$C$4:$C$8000,L$3,'Timesheet Raw'!$B$4:$B$8000,'Work Calendar'!$A$29))</f>
        <v>0</v>
      </c>
      <c r="O123" s="341">
        <f t="shared" si="6"/>
        <v>0</v>
      </c>
      <c r="P123" s="395">
        <f>IF($A123="","",SUMIFS('Timesheet Raw'!$K$4:$K$8000,'Timesheet Raw'!$L$4:$L$8000,$A123,'Timesheet Raw'!$C$4:$C$8000,L$3))</f>
        <v>6.25</v>
      </c>
      <c r="Q123" s="345">
        <f>IF($A123="","",SUMIFS('Timesheet Raw'!$P$4:$P$8000,'Timesheet Raw'!$L$4:$L$8000,$A123,'Timesheet Raw'!$C$4:$C$8000,L$3))</f>
        <v>14.75</v>
      </c>
      <c r="R123" s="375"/>
      <c r="S123" t="str">
        <f>IF($A123="","",IF(R123&lt;&gt;"",R123,IF($A123&gt;'Work Calendar'!$B$17,"No data yet",IF(AND(N123&gt;='Work Calendar'!$B$14,L123+M123+O123&gt;0),"Day off - but worked",IF(N123&gt;='Work Calendar'!$B$14,"Day off",IF(L123+M123+O123&gt;0,IF($C123="Working","Charged","Worked weekend"),IF($C123="Working","Leave (not charged)",$C123)))))))</f>
        <v>Charged</v>
      </c>
      <c r="T123" s="341">
        <f>IF($A123="","",SUMIFS('Timesheet Raw'!$P$4:$P$8000,'Timesheet Raw'!$L$4:$L$8000,$A123,'Timesheet Raw'!$C$4:$C$8000,T$3,'Timesheet Raw'!$A$4:$A$8000,"1-Projects"))</f>
        <v>14.75</v>
      </c>
      <c r="U123" s="341">
        <f>IF($A123="","",SUMIFS('Timesheet Raw'!$P$4:$P$8000,'Timesheet Raw'!$L$4:$L$8000,$A123,'Timesheet Raw'!$C$4:$C$8000,T$3,'Timesheet Raw'!$A$4:$A$8000,"2-Proposals Chargeable")+SUMIFS('Timesheet Raw'!$P$4:$P$8000,'Timesheet Raw'!$L$4:$L$8000,$A123,'Timesheet Raw'!$C$4:$C$8000,T$3,'Timesheet Raw'!$A$4:$A$8000,"3-Proposals Regular"))</f>
        <v>0</v>
      </c>
      <c r="V123" s="341">
        <f>IF($A123="","",SUMIFS('Timesheet Raw'!$P$4:$P$8000,'Timesheet Raw'!$L$4:$L$8000,$A123,'Timesheet Raw'!$C$4:$C$8000,T$3,'Timesheet Raw'!$B$4:$B$8000,'Work Calendar'!$A$26)+SUMIFS('Timesheet Raw'!$P$4:$P$8000,'Timesheet Raw'!$L$4:$L$8000,$A123,'Timesheet Raw'!$C$4:$C$8000,T$3,'Timesheet Raw'!$B$4:$B$8000,'Work Calendar'!$A$27)+SUMIFS('Timesheet Raw'!$P$4:$P$8000,'Timesheet Raw'!$L$4:$L$8000,$A123,'Timesheet Raw'!$C$4:$C$8000,T$3,'Timesheet Raw'!$B$4:$B$8000,'Work Calendar'!$A$28)+SUMIFS('Timesheet Raw'!$P$4:$P$8000,'Timesheet Raw'!$L$4:$L$8000,$A123,'Timesheet Raw'!$C$4:$C$8000,T$3,'Timesheet Raw'!$B$4:$B$8000,'Work Calendar'!$A$29))</f>
        <v>0.25</v>
      </c>
      <c r="W123" s="341">
        <f t="shared" si="7"/>
        <v>0</v>
      </c>
      <c r="X123" s="395">
        <f>IF($A123="","",SUMIFS('Timesheet Raw'!$K$4:$K$8000,'Timesheet Raw'!$L$4:$L$8000,$A123,'Timesheet Raw'!$C$4:$C$8000,T$3))</f>
        <v>6.5</v>
      </c>
      <c r="Y123" s="345">
        <f>IF($A123="","",SUMIFS('Timesheet Raw'!$P$4:$P$8000,'Timesheet Raw'!$L$4:$L$8000,$A123,'Timesheet Raw'!$C$4:$C$8000,T$3))</f>
        <v>15</v>
      </c>
      <c r="Z123" s="375"/>
      <c r="AA123" t="str">
        <f>IF($A123="","",IF(Z123&lt;&gt;"",Z123,IF($A123&gt;'Work Calendar'!$B$17,"No data yet",IF(AND(V123&gt;='Work Calendar'!$B$14,T123+U123+W123&gt;0),"Day off - but worked",IF(V123&gt;='Work Calendar'!$B$14,"Day off",IF(T123+U123+W123&gt;0,IF($C123="Working","Charged","Worked weekend"),IF($C123="Working","Leave (not charged)",$C123)))))))</f>
        <v>Charged</v>
      </c>
    </row>
    <row r="124" spans="1:27" x14ac:dyDescent="0.3">
      <c r="A124" s="371">
        <f>IF($A123="","",IF($A123+1&gt;'Work Calendar'!$B$16,"",$A123+1))</f>
        <v>46142</v>
      </c>
      <c r="B124" t="str">
        <f t="shared" si="4"/>
        <v>Thu</v>
      </c>
      <c r="C124" t="str" cm="1">
        <f t="array" ref="C124">IF($A124="","",IF(COUNTIF('Work Calendar'!$E$6:$E$200,$A124)&gt;0,"Holiday",IF(INDEX('Work Calendar'!$C$6:$C$12,WEEKDAY($A124,1))=1,"Working","Weekend")))</f>
        <v>Working</v>
      </c>
      <c r="D124" s="341">
        <f>IF($A124="","",SUMIFS('Timesheet Raw'!$P$4:$P$8000,'Timesheet Raw'!$L$4:$L$8000,$A124,'Timesheet Raw'!$C$4:$C$8000,D$3,'Timesheet Raw'!$A$4:$A$8000,"1-Projects"))</f>
        <v>12.25</v>
      </c>
      <c r="E124" s="341">
        <f>IF($A124="","",SUMIFS('Timesheet Raw'!$P$4:$P$8000,'Timesheet Raw'!$L$4:$L$8000,$A124,'Timesheet Raw'!$C$4:$C$8000,D$3,'Timesheet Raw'!$A$4:$A$8000,"2-Proposals Chargeable")+SUMIFS('Timesheet Raw'!$P$4:$P$8000,'Timesheet Raw'!$L$4:$L$8000,$A124,'Timesheet Raw'!$C$4:$C$8000,D$3,'Timesheet Raw'!$A$4:$A$8000,"3-Proposals Regular"))</f>
        <v>0</v>
      </c>
      <c r="F124" s="341">
        <f>IF($A124="","",SUMIFS('Timesheet Raw'!$P$4:$P$8000,'Timesheet Raw'!$L$4:$L$8000,$A124,'Timesheet Raw'!$C$4:$C$8000,D$3,'Timesheet Raw'!$B$4:$B$8000,'Work Calendar'!$A$26)+SUMIFS('Timesheet Raw'!$P$4:$P$8000,'Timesheet Raw'!$L$4:$L$8000,$A124,'Timesheet Raw'!$C$4:$C$8000,D$3,'Timesheet Raw'!$B$4:$B$8000,'Work Calendar'!$A$27)+SUMIFS('Timesheet Raw'!$P$4:$P$8000,'Timesheet Raw'!$L$4:$L$8000,$A124,'Timesheet Raw'!$C$4:$C$8000,D$3,'Timesheet Raw'!$B$4:$B$8000,'Work Calendar'!$A$28)+SUMIFS('Timesheet Raw'!$P$4:$P$8000,'Timesheet Raw'!$L$4:$L$8000,$A124,'Timesheet Raw'!$C$4:$C$8000,D$3,'Timesheet Raw'!$B$4:$B$8000,'Work Calendar'!$A$29))</f>
        <v>0.75</v>
      </c>
      <c r="G124" s="341">
        <f t="shared" si="5"/>
        <v>0</v>
      </c>
      <c r="H124" s="395">
        <f>IF($A124="","",SUMIFS('Timesheet Raw'!$K$4:$K$8000,'Timesheet Raw'!$L$4:$L$8000,$A124,'Timesheet Raw'!$C$4:$C$8000,D$3))</f>
        <v>4.5</v>
      </c>
      <c r="I124" s="345">
        <f>IF($A124="","",SUMIFS('Timesheet Raw'!$P$4:$P$8000,'Timesheet Raw'!$L$4:$L$8000,$A124,'Timesheet Raw'!$C$4:$C$8000,D$3))</f>
        <v>13</v>
      </c>
      <c r="J124" s="375"/>
      <c r="K124" t="str">
        <f>IF($A124="","",IF(J124&lt;&gt;"",J124,IF($A124&gt;'Work Calendar'!$B$17,"No data yet",IF(AND(F124&gt;='Work Calendar'!$B$14,D124+E124+G124&gt;0),"Day off - but worked",IF(F124&gt;='Work Calendar'!$B$14,"Day off",IF(D124+E124+G124&gt;0,IF($C124="Working","Charged","Worked weekend"),IF($C124="Working","Leave (not charged)",$C124)))))))</f>
        <v>Charged</v>
      </c>
      <c r="L124" s="341">
        <f>IF($A124="","",SUMIFS('Timesheet Raw'!$P$4:$P$8000,'Timesheet Raw'!$L$4:$L$8000,$A124,'Timesheet Raw'!$C$4:$C$8000,L$3,'Timesheet Raw'!$A$4:$A$8000,"1-Projects"))</f>
        <v>8.75</v>
      </c>
      <c r="M124" s="341">
        <f>IF($A124="","",SUMIFS('Timesheet Raw'!$P$4:$P$8000,'Timesheet Raw'!$L$4:$L$8000,$A124,'Timesheet Raw'!$C$4:$C$8000,L$3,'Timesheet Raw'!$A$4:$A$8000,"2-Proposals Chargeable")+SUMIFS('Timesheet Raw'!$P$4:$P$8000,'Timesheet Raw'!$L$4:$L$8000,$A124,'Timesheet Raw'!$C$4:$C$8000,L$3,'Timesheet Raw'!$A$4:$A$8000,"3-Proposals Regular"))</f>
        <v>0</v>
      </c>
      <c r="N124" s="341">
        <f>IF($A124="","",SUMIFS('Timesheet Raw'!$P$4:$P$8000,'Timesheet Raw'!$L$4:$L$8000,$A124,'Timesheet Raw'!$C$4:$C$8000,L$3,'Timesheet Raw'!$B$4:$B$8000,'Work Calendar'!$A$26)+SUMIFS('Timesheet Raw'!$P$4:$P$8000,'Timesheet Raw'!$L$4:$L$8000,$A124,'Timesheet Raw'!$C$4:$C$8000,L$3,'Timesheet Raw'!$B$4:$B$8000,'Work Calendar'!$A$27)+SUMIFS('Timesheet Raw'!$P$4:$P$8000,'Timesheet Raw'!$L$4:$L$8000,$A124,'Timesheet Raw'!$C$4:$C$8000,L$3,'Timesheet Raw'!$B$4:$B$8000,'Work Calendar'!$A$28)+SUMIFS('Timesheet Raw'!$P$4:$P$8000,'Timesheet Raw'!$L$4:$L$8000,$A124,'Timesheet Raw'!$C$4:$C$8000,L$3,'Timesheet Raw'!$B$4:$B$8000,'Work Calendar'!$A$29))</f>
        <v>1</v>
      </c>
      <c r="O124" s="341">
        <f t="shared" si="6"/>
        <v>0</v>
      </c>
      <c r="P124" s="395">
        <f>IF($A124="","",SUMIFS('Timesheet Raw'!$K$4:$K$8000,'Timesheet Raw'!$L$4:$L$8000,$A124,'Timesheet Raw'!$C$4:$C$8000,L$3))</f>
        <v>1.25</v>
      </c>
      <c r="Q124" s="345">
        <f>IF($A124="","",SUMIFS('Timesheet Raw'!$P$4:$P$8000,'Timesheet Raw'!$L$4:$L$8000,$A124,'Timesheet Raw'!$C$4:$C$8000,L$3))</f>
        <v>9.75</v>
      </c>
      <c r="R124" s="375"/>
      <c r="S124" t="str">
        <f>IF($A124="","",IF(R124&lt;&gt;"",R124,IF($A124&gt;'Work Calendar'!$B$17,"No data yet",IF(AND(N124&gt;='Work Calendar'!$B$14,L124+M124+O124&gt;0),"Day off - but worked",IF(N124&gt;='Work Calendar'!$B$14,"Day off",IF(L124+M124+O124&gt;0,IF($C124="Working","Charged","Worked weekend"),IF($C124="Working","Leave (not charged)",$C124)))))))</f>
        <v>Charged</v>
      </c>
      <c r="T124" s="341">
        <f>IF($A124="","",SUMIFS('Timesheet Raw'!$P$4:$P$8000,'Timesheet Raw'!$L$4:$L$8000,$A124,'Timesheet Raw'!$C$4:$C$8000,T$3,'Timesheet Raw'!$A$4:$A$8000,"1-Projects"))</f>
        <v>11.75</v>
      </c>
      <c r="U124" s="341">
        <f>IF($A124="","",SUMIFS('Timesheet Raw'!$P$4:$P$8000,'Timesheet Raw'!$L$4:$L$8000,$A124,'Timesheet Raw'!$C$4:$C$8000,T$3,'Timesheet Raw'!$A$4:$A$8000,"2-Proposals Chargeable")+SUMIFS('Timesheet Raw'!$P$4:$P$8000,'Timesheet Raw'!$L$4:$L$8000,$A124,'Timesheet Raw'!$C$4:$C$8000,T$3,'Timesheet Raw'!$A$4:$A$8000,"3-Proposals Regular"))</f>
        <v>0</v>
      </c>
      <c r="V124" s="341">
        <f>IF($A124="","",SUMIFS('Timesheet Raw'!$P$4:$P$8000,'Timesheet Raw'!$L$4:$L$8000,$A124,'Timesheet Raw'!$C$4:$C$8000,T$3,'Timesheet Raw'!$B$4:$B$8000,'Work Calendar'!$A$26)+SUMIFS('Timesheet Raw'!$P$4:$P$8000,'Timesheet Raw'!$L$4:$L$8000,$A124,'Timesheet Raw'!$C$4:$C$8000,T$3,'Timesheet Raw'!$B$4:$B$8000,'Work Calendar'!$A$27)+SUMIFS('Timesheet Raw'!$P$4:$P$8000,'Timesheet Raw'!$L$4:$L$8000,$A124,'Timesheet Raw'!$C$4:$C$8000,T$3,'Timesheet Raw'!$B$4:$B$8000,'Work Calendar'!$A$28)+SUMIFS('Timesheet Raw'!$P$4:$P$8000,'Timesheet Raw'!$L$4:$L$8000,$A124,'Timesheet Raw'!$C$4:$C$8000,T$3,'Timesheet Raw'!$B$4:$B$8000,'Work Calendar'!$A$29))</f>
        <v>0.75</v>
      </c>
      <c r="W124" s="341">
        <f t="shared" si="7"/>
        <v>0</v>
      </c>
      <c r="X124" s="395">
        <f>IF($A124="","",SUMIFS('Timesheet Raw'!$K$4:$K$8000,'Timesheet Raw'!$L$4:$L$8000,$A124,'Timesheet Raw'!$C$4:$C$8000,T$3))</f>
        <v>4</v>
      </c>
      <c r="Y124" s="345">
        <f>IF($A124="","",SUMIFS('Timesheet Raw'!$P$4:$P$8000,'Timesheet Raw'!$L$4:$L$8000,$A124,'Timesheet Raw'!$C$4:$C$8000,T$3))</f>
        <v>12.5</v>
      </c>
      <c r="Z124" s="375"/>
      <c r="AA124" t="str">
        <f>IF($A124="","",IF(Z124&lt;&gt;"",Z124,IF($A124&gt;'Work Calendar'!$B$17,"No data yet",IF(AND(V124&gt;='Work Calendar'!$B$14,T124+U124+W124&gt;0),"Day off - but worked",IF(V124&gt;='Work Calendar'!$B$14,"Day off",IF(T124+U124+W124&gt;0,IF($C124="Working","Charged","Worked weekend"),IF($C124="Working","Leave (not charged)",$C124)))))))</f>
        <v>Charged</v>
      </c>
    </row>
    <row r="125" spans="1:27" x14ac:dyDescent="0.3">
      <c r="A125" s="371">
        <f>IF($A124="","",IF($A124+1&gt;'Work Calendar'!$B$16,"",$A124+1))</f>
        <v>46143</v>
      </c>
      <c r="B125" t="str">
        <f t="shared" si="4"/>
        <v>Fri</v>
      </c>
      <c r="C125" t="str" cm="1">
        <f t="array" ref="C125">IF($A125="","",IF(COUNTIF('Work Calendar'!$E$6:$E$200,$A125)&gt;0,"Holiday",IF(INDEX('Work Calendar'!$C$6:$C$12,WEEKDAY($A125,1))=1,"Working","Weekend")))</f>
        <v>Weekend</v>
      </c>
      <c r="D125" s="341">
        <f>IF($A125="","",SUMIFS('Timesheet Raw'!$P$4:$P$8000,'Timesheet Raw'!$L$4:$L$8000,$A125,'Timesheet Raw'!$C$4:$C$8000,D$3,'Timesheet Raw'!$A$4:$A$8000,"1-Projects"))</f>
        <v>0</v>
      </c>
      <c r="E125" s="341">
        <f>IF($A125="","",SUMIFS('Timesheet Raw'!$P$4:$P$8000,'Timesheet Raw'!$L$4:$L$8000,$A125,'Timesheet Raw'!$C$4:$C$8000,D$3,'Timesheet Raw'!$A$4:$A$8000,"2-Proposals Chargeable")+SUMIFS('Timesheet Raw'!$P$4:$P$8000,'Timesheet Raw'!$L$4:$L$8000,$A125,'Timesheet Raw'!$C$4:$C$8000,D$3,'Timesheet Raw'!$A$4:$A$8000,"3-Proposals Regular"))</f>
        <v>0</v>
      </c>
      <c r="F125" s="341">
        <f>IF($A125="","",SUMIFS('Timesheet Raw'!$P$4:$P$8000,'Timesheet Raw'!$L$4:$L$8000,$A125,'Timesheet Raw'!$C$4:$C$8000,D$3,'Timesheet Raw'!$B$4:$B$8000,'Work Calendar'!$A$26)+SUMIFS('Timesheet Raw'!$P$4:$P$8000,'Timesheet Raw'!$L$4:$L$8000,$A125,'Timesheet Raw'!$C$4:$C$8000,D$3,'Timesheet Raw'!$B$4:$B$8000,'Work Calendar'!$A$27)+SUMIFS('Timesheet Raw'!$P$4:$P$8000,'Timesheet Raw'!$L$4:$L$8000,$A125,'Timesheet Raw'!$C$4:$C$8000,D$3,'Timesheet Raw'!$B$4:$B$8000,'Work Calendar'!$A$28)+SUMIFS('Timesheet Raw'!$P$4:$P$8000,'Timesheet Raw'!$L$4:$L$8000,$A125,'Timesheet Raw'!$C$4:$C$8000,D$3,'Timesheet Raw'!$B$4:$B$8000,'Work Calendar'!$A$29))</f>
        <v>0</v>
      </c>
      <c r="G125" s="341">
        <f t="shared" si="5"/>
        <v>0</v>
      </c>
      <c r="H125" s="395">
        <f>IF($A125="","",SUMIFS('Timesheet Raw'!$K$4:$K$8000,'Timesheet Raw'!$L$4:$L$8000,$A125,'Timesheet Raw'!$C$4:$C$8000,D$3))</f>
        <v>0</v>
      </c>
      <c r="I125" s="345">
        <f>IF($A125="","",SUMIFS('Timesheet Raw'!$P$4:$P$8000,'Timesheet Raw'!$L$4:$L$8000,$A125,'Timesheet Raw'!$C$4:$C$8000,D$3))</f>
        <v>0</v>
      </c>
      <c r="J125" s="375"/>
      <c r="K125" t="str">
        <f>IF($A125="","",IF(J125&lt;&gt;"",J125,IF($A125&gt;'Work Calendar'!$B$17,"No data yet",IF(AND(F125&gt;='Work Calendar'!$B$14,D125+E125+G125&gt;0),"Day off - but worked",IF(F125&gt;='Work Calendar'!$B$14,"Day off",IF(D125+E125+G125&gt;0,IF($C125="Working","Charged","Worked weekend"),IF($C125="Working","Leave (not charged)",$C125)))))))</f>
        <v>Weekend</v>
      </c>
      <c r="L125" s="341">
        <f>IF($A125="","",SUMIFS('Timesheet Raw'!$P$4:$P$8000,'Timesheet Raw'!$L$4:$L$8000,$A125,'Timesheet Raw'!$C$4:$C$8000,L$3,'Timesheet Raw'!$A$4:$A$8000,"1-Projects"))</f>
        <v>0</v>
      </c>
      <c r="M125" s="341">
        <f>IF($A125="","",SUMIFS('Timesheet Raw'!$P$4:$P$8000,'Timesheet Raw'!$L$4:$L$8000,$A125,'Timesheet Raw'!$C$4:$C$8000,L$3,'Timesheet Raw'!$A$4:$A$8000,"2-Proposals Chargeable")+SUMIFS('Timesheet Raw'!$P$4:$P$8000,'Timesheet Raw'!$L$4:$L$8000,$A125,'Timesheet Raw'!$C$4:$C$8000,L$3,'Timesheet Raw'!$A$4:$A$8000,"3-Proposals Regular"))</f>
        <v>0</v>
      </c>
      <c r="N125" s="341">
        <f>IF($A125="","",SUMIFS('Timesheet Raw'!$P$4:$P$8000,'Timesheet Raw'!$L$4:$L$8000,$A125,'Timesheet Raw'!$C$4:$C$8000,L$3,'Timesheet Raw'!$B$4:$B$8000,'Work Calendar'!$A$26)+SUMIFS('Timesheet Raw'!$P$4:$P$8000,'Timesheet Raw'!$L$4:$L$8000,$A125,'Timesheet Raw'!$C$4:$C$8000,L$3,'Timesheet Raw'!$B$4:$B$8000,'Work Calendar'!$A$27)+SUMIFS('Timesheet Raw'!$P$4:$P$8000,'Timesheet Raw'!$L$4:$L$8000,$A125,'Timesheet Raw'!$C$4:$C$8000,L$3,'Timesheet Raw'!$B$4:$B$8000,'Work Calendar'!$A$28)+SUMIFS('Timesheet Raw'!$P$4:$P$8000,'Timesheet Raw'!$L$4:$L$8000,$A125,'Timesheet Raw'!$C$4:$C$8000,L$3,'Timesheet Raw'!$B$4:$B$8000,'Work Calendar'!$A$29))</f>
        <v>0</v>
      </c>
      <c r="O125" s="341">
        <f t="shared" si="6"/>
        <v>0</v>
      </c>
      <c r="P125" s="395">
        <f>IF($A125="","",SUMIFS('Timesheet Raw'!$K$4:$K$8000,'Timesheet Raw'!$L$4:$L$8000,$A125,'Timesheet Raw'!$C$4:$C$8000,L$3))</f>
        <v>0</v>
      </c>
      <c r="Q125" s="345">
        <f>IF($A125="","",SUMIFS('Timesheet Raw'!$P$4:$P$8000,'Timesheet Raw'!$L$4:$L$8000,$A125,'Timesheet Raw'!$C$4:$C$8000,L$3))</f>
        <v>0</v>
      </c>
      <c r="R125" s="375"/>
      <c r="S125" t="str">
        <f>IF($A125="","",IF(R125&lt;&gt;"",R125,IF($A125&gt;'Work Calendar'!$B$17,"No data yet",IF(AND(N125&gt;='Work Calendar'!$B$14,L125+M125+O125&gt;0),"Day off - but worked",IF(N125&gt;='Work Calendar'!$B$14,"Day off",IF(L125+M125+O125&gt;0,IF($C125="Working","Charged","Worked weekend"),IF($C125="Working","Leave (not charged)",$C125)))))))</f>
        <v>Weekend</v>
      </c>
      <c r="T125" s="341">
        <f>IF($A125="","",SUMIFS('Timesheet Raw'!$P$4:$P$8000,'Timesheet Raw'!$L$4:$L$8000,$A125,'Timesheet Raw'!$C$4:$C$8000,T$3,'Timesheet Raw'!$A$4:$A$8000,"1-Projects"))</f>
        <v>0</v>
      </c>
      <c r="U125" s="341">
        <f>IF($A125="","",SUMIFS('Timesheet Raw'!$P$4:$P$8000,'Timesheet Raw'!$L$4:$L$8000,$A125,'Timesheet Raw'!$C$4:$C$8000,T$3,'Timesheet Raw'!$A$4:$A$8000,"2-Proposals Chargeable")+SUMIFS('Timesheet Raw'!$P$4:$P$8000,'Timesheet Raw'!$L$4:$L$8000,$A125,'Timesheet Raw'!$C$4:$C$8000,T$3,'Timesheet Raw'!$A$4:$A$8000,"3-Proposals Regular"))</f>
        <v>0</v>
      </c>
      <c r="V125" s="341">
        <f>IF($A125="","",SUMIFS('Timesheet Raw'!$P$4:$P$8000,'Timesheet Raw'!$L$4:$L$8000,$A125,'Timesheet Raw'!$C$4:$C$8000,T$3,'Timesheet Raw'!$B$4:$B$8000,'Work Calendar'!$A$26)+SUMIFS('Timesheet Raw'!$P$4:$P$8000,'Timesheet Raw'!$L$4:$L$8000,$A125,'Timesheet Raw'!$C$4:$C$8000,T$3,'Timesheet Raw'!$B$4:$B$8000,'Work Calendar'!$A$27)+SUMIFS('Timesheet Raw'!$P$4:$P$8000,'Timesheet Raw'!$L$4:$L$8000,$A125,'Timesheet Raw'!$C$4:$C$8000,T$3,'Timesheet Raw'!$B$4:$B$8000,'Work Calendar'!$A$28)+SUMIFS('Timesheet Raw'!$P$4:$P$8000,'Timesheet Raw'!$L$4:$L$8000,$A125,'Timesheet Raw'!$C$4:$C$8000,T$3,'Timesheet Raw'!$B$4:$B$8000,'Work Calendar'!$A$29))</f>
        <v>0</v>
      </c>
      <c r="W125" s="341">
        <f t="shared" si="7"/>
        <v>0</v>
      </c>
      <c r="X125" s="395">
        <f>IF($A125="","",SUMIFS('Timesheet Raw'!$K$4:$K$8000,'Timesheet Raw'!$L$4:$L$8000,$A125,'Timesheet Raw'!$C$4:$C$8000,T$3))</f>
        <v>0</v>
      </c>
      <c r="Y125" s="345">
        <f>IF($A125="","",SUMIFS('Timesheet Raw'!$P$4:$P$8000,'Timesheet Raw'!$L$4:$L$8000,$A125,'Timesheet Raw'!$C$4:$C$8000,T$3))</f>
        <v>0</v>
      </c>
      <c r="Z125" s="375"/>
      <c r="AA125" t="str">
        <f>IF($A125="","",IF(Z125&lt;&gt;"",Z125,IF($A125&gt;'Work Calendar'!$B$17,"No data yet",IF(AND(V125&gt;='Work Calendar'!$B$14,T125+U125+W125&gt;0),"Day off - but worked",IF(V125&gt;='Work Calendar'!$B$14,"Day off",IF(T125+U125+W125&gt;0,IF($C125="Working","Charged","Worked weekend"),IF($C125="Working","Leave (not charged)",$C125)))))))</f>
        <v>Weekend</v>
      </c>
    </row>
    <row r="126" spans="1:27" x14ac:dyDescent="0.3">
      <c r="A126" s="371">
        <f>IF($A125="","",IF($A125+1&gt;'Work Calendar'!$B$16,"",$A125+1))</f>
        <v>46144</v>
      </c>
      <c r="B126" t="str">
        <f t="shared" si="4"/>
        <v>Sat</v>
      </c>
      <c r="C126" t="str" cm="1">
        <f t="array" ref="C126">IF($A126="","",IF(COUNTIF('Work Calendar'!$E$6:$E$200,$A126)&gt;0,"Holiday",IF(INDEX('Work Calendar'!$C$6:$C$12,WEEKDAY($A126,1))=1,"Working","Weekend")))</f>
        <v>Weekend</v>
      </c>
      <c r="D126" s="341">
        <f>IF($A126="","",SUMIFS('Timesheet Raw'!$P$4:$P$8000,'Timesheet Raw'!$L$4:$L$8000,$A126,'Timesheet Raw'!$C$4:$C$8000,D$3,'Timesheet Raw'!$A$4:$A$8000,"1-Projects"))</f>
        <v>0</v>
      </c>
      <c r="E126" s="341">
        <f>IF($A126="","",SUMIFS('Timesheet Raw'!$P$4:$P$8000,'Timesheet Raw'!$L$4:$L$8000,$A126,'Timesheet Raw'!$C$4:$C$8000,D$3,'Timesheet Raw'!$A$4:$A$8000,"2-Proposals Chargeable")+SUMIFS('Timesheet Raw'!$P$4:$P$8000,'Timesheet Raw'!$L$4:$L$8000,$A126,'Timesheet Raw'!$C$4:$C$8000,D$3,'Timesheet Raw'!$A$4:$A$8000,"3-Proposals Regular"))</f>
        <v>0</v>
      </c>
      <c r="F126" s="341">
        <f>IF($A126="","",SUMIFS('Timesheet Raw'!$P$4:$P$8000,'Timesheet Raw'!$L$4:$L$8000,$A126,'Timesheet Raw'!$C$4:$C$8000,D$3,'Timesheet Raw'!$B$4:$B$8000,'Work Calendar'!$A$26)+SUMIFS('Timesheet Raw'!$P$4:$P$8000,'Timesheet Raw'!$L$4:$L$8000,$A126,'Timesheet Raw'!$C$4:$C$8000,D$3,'Timesheet Raw'!$B$4:$B$8000,'Work Calendar'!$A$27)+SUMIFS('Timesheet Raw'!$P$4:$P$8000,'Timesheet Raw'!$L$4:$L$8000,$A126,'Timesheet Raw'!$C$4:$C$8000,D$3,'Timesheet Raw'!$B$4:$B$8000,'Work Calendar'!$A$28)+SUMIFS('Timesheet Raw'!$P$4:$P$8000,'Timesheet Raw'!$L$4:$L$8000,$A126,'Timesheet Raw'!$C$4:$C$8000,D$3,'Timesheet Raw'!$B$4:$B$8000,'Work Calendar'!$A$29))</f>
        <v>0</v>
      </c>
      <c r="G126" s="341">
        <f t="shared" si="5"/>
        <v>0</v>
      </c>
      <c r="H126" s="395">
        <f>IF($A126="","",SUMIFS('Timesheet Raw'!$K$4:$K$8000,'Timesheet Raw'!$L$4:$L$8000,$A126,'Timesheet Raw'!$C$4:$C$8000,D$3))</f>
        <v>0</v>
      </c>
      <c r="I126" s="345">
        <f>IF($A126="","",SUMIFS('Timesheet Raw'!$P$4:$P$8000,'Timesheet Raw'!$L$4:$L$8000,$A126,'Timesheet Raw'!$C$4:$C$8000,D$3))</f>
        <v>0</v>
      </c>
      <c r="J126" s="375"/>
      <c r="K126" t="str">
        <f>IF($A126="","",IF(J126&lt;&gt;"",J126,IF($A126&gt;'Work Calendar'!$B$17,"No data yet",IF(AND(F126&gt;='Work Calendar'!$B$14,D126+E126+G126&gt;0),"Day off - but worked",IF(F126&gt;='Work Calendar'!$B$14,"Day off",IF(D126+E126+G126&gt;0,IF($C126="Working","Charged","Worked weekend"),IF($C126="Working","Leave (not charged)",$C126)))))))</f>
        <v>Weekend</v>
      </c>
      <c r="L126" s="341">
        <f>IF($A126="","",SUMIFS('Timesheet Raw'!$P$4:$P$8000,'Timesheet Raw'!$L$4:$L$8000,$A126,'Timesheet Raw'!$C$4:$C$8000,L$3,'Timesheet Raw'!$A$4:$A$8000,"1-Projects"))</f>
        <v>0</v>
      </c>
      <c r="M126" s="341">
        <f>IF($A126="","",SUMIFS('Timesheet Raw'!$P$4:$P$8000,'Timesheet Raw'!$L$4:$L$8000,$A126,'Timesheet Raw'!$C$4:$C$8000,L$3,'Timesheet Raw'!$A$4:$A$8000,"2-Proposals Chargeable")+SUMIFS('Timesheet Raw'!$P$4:$P$8000,'Timesheet Raw'!$L$4:$L$8000,$A126,'Timesheet Raw'!$C$4:$C$8000,L$3,'Timesheet Raw'!$A$4:$A$8000,"3-Proposals Regular"))</f>
        <v>0</v>
      </c>
      <c r="N126" s="341">
        <f>IF($A126="","",SUMIFS('Timesheet Raw'!$P$4:$P$8000,'Timesheet Raw'!$L$4:$L$8000,$A126,'Timesheet Raw'!$C$4:$C$8000,L$3,'Timesheet Raw'!$B$4:$B$8000,'Work Calendar'!$A$26)+SUMIFS('Timesheet Raw'!$P$4:$P$8000,'Timesheet Raw'!$L$4:$L$8000,$A126,'Timesheet Raw'!$C$4:$C$8000,L$3,'Timesheet Raw'!$B$4:$B$8000,'Work Calendar'!$A$27)+SUMIFS('Timesheet Raw'!$P$4:$P$8000,'Timesheet Raw'!$L$4:$L$8000,$A126,'Timesheet Raw'!$C$4:$C$8000,L$3,'Timesheet Raw'!$B$4:$B$8000,'Work Calendar'!$A$28)+SUMIFS('Timesheet Raw'!$P$4:$P$8000,'Timesheet Raw'!$L$4:$L$8000,$A126,'Timesheet Raw'!$C$4:$C$8000,L$3,'Timesheet Raw'!$B$4:$B$8000,'Work Calendar'!$A$29))</f>
        <v>0</v>
      </c>
      <c r="O126" s="341">
        <f t="shared" si="6"/>
        <v>0</v>
      </c>
      <c r="P126" s="395">
        <f>IF($A126="","",SUMIFS('Timesheet Raw'!$K$4:$K$8000,'Timesheet Raw'!$L$4:$L$8000,$A126,'Timesheet Raw'!$C$4:$C$8000,L$3))</f>
        <v>0</v>
      </c>
      <c r="Q126" s="345">
        <f>IF($A126="","",SUMIFS('Timesheet Raw'!$P$4:$P$8000,'Timesheet Raw'!$L$4:$L$8000,$A126,'Timesheet Raw'!$C$4:$C$8000,L$3))</f>
        <v>0</v>
      </c>
      <c r="R126" s="375"/>
      <c r="S126" t="str">
        <f>IF($A126="","",IF(R126&lt;&gt;"",R126,IF($A126&gt;'Work Calendar'!$B$17,"No data yet",IF(AND(N126&gt;='Work Calendar'!$B$14,L126+M126+O126&gt;0),"Day off - but worked",IF(N126&gt;='Work Calendar'!$B$14,"Day off",IF(L126+M126+O126&gt;0,IF($C126="Working","Charged","Worked weekend"),IF($C126="Working","Leave (not charged)",$C126)))))))</f>
        <v>Weekend</v>
      </c>
      <c r="T126" s="341">
        <f>IF($A126="","",SUMIFS('Timesheet Raw'!$P$4:$P$8000,'Timesheet Raw'!$L$4:$L$8000,$A126,'Timesheet Raw'!$C$4:$C$8000,T$3,'Timesheet Raw'!$A$4:$A$8000,"1-Projects"))</f>
        <v>0</v>
      </c>
      <c r="U126" s="341">
        <f>IF($A126="","",SUMIFS('Timesheet Raw'!$P$4:$P$8000,'Timesheet Raw'!$L$4:$L$8000,$A126,'Timesheet Raw'!$C$4:$C$8000,T$3,'Timesheet Raw'!$A$4:$A$8000,"2-Proposals Chargeable")+SUMIFS('Timesheet Raw'!$P$4:$P$8000,'Timesheet Raw'!$L$4:$L$8000,$A126,'Timesheet Raw'!$C$4:$C$8000,T$3,'Timesheet Raw'!$A$4:$A$8000,"3-Proposals Regular"))</f>
        <v>0</v>
      </c>
      <c r="V126" s="341">
        <f>IF($A126="","",SUMIFS('Timesheet Raw'!$P$4:$P$8000,'Timesheet Raw'!$L$4:$L$8000,$A126,'Timesheet Raw'!$C$4:$C$8000,T$3,'Timesheet Raw'!$B$4:$B$8000,'Work Calendar'!$A$26)+SUMIFS('Timesheet Raw'!$P$4:$P$8000,'Timesheet Raw'!$L$4:$L$8000,$A126,'Timesheet Raw'!$C$4:$C$8000,T$3,'Timesheet Raw'!$B$4:$B$8000,'Work Calendar'!$A$27)+SUMIFS('Timesheet Raw'!$P$4:$P$8000,'Timesheet Raw'!$L$4:$L$8000,$A126,'Timesheet Raw'!$C$4:$C$8000,T$3,'Timesheet Raw'!$B$4:$B$8000,'Work Calendar'!$A$28)+SUMIFS('Timesheet Raw'!$P$4:$P$8000,'Timesheet Raw'!$L$4:$L$8000,$A126,'Timesheet Raw'!$C$4:$C$8000,T$3,'Timesheet Raw'!$B$4:$B$8000,'Work Calendar'!$A$29))</f>
        <v>0</v>
      </c>
      <c r="W126" s="341">
        <f t="shared" si="7"/>
        <v>0</v>
      </c>
      <c r="X126" s="395">
        <f>IF($A126="","",SUMIFS('Timesheet Raw'!$K$4:$K$8000,'Timesheet Raw'!$L$4:$L$8000,$A126,'Timesheet Raw'!$C$4:$C$8000,T$3))</f>
        <v>0</v>
      </c>
      <c r="Y126" s="345">
        <f>IF($A126="","",SUMIFS('Timesheet Raw'!$P$4:$P$8000,'Timesheet Raw'!$L$4:$L$8000,$A126,'Timesheet Raw'!$C$4:$C$8000,T$3))</f>
        <v>0</v>
      </c>
      <c r="Z126" s="375"/>
      <c r="AA126" t="str">
        <f>IF($A126="","",IF(Z126&lt;&gt;"",Z126,IF($A126&gt;'Work Calendar'!$B$17,"No data yet",IF(AND(V126&gt;='Work Calendar'!$B$14,T126+U126+W126&gt;0),"Day off - but worked",IF(V126&gt;='Work Calendar'!$B$14,"Day off",IF(T126+U126+W126&gt;0,IF($C126="Working","Charged","Worked weekend"),IF($C126="Working","Leave (not charged)",$C126)))))))</f>
        <v>Weekend</v>
      </c>
    </row>
    <row r="127" spans="1:27" x14ac:dyDescent="0.3">
      <c r="A127" s="371">
        <f>IF($A126="","",IF($A126+1&gt;'Work Calendar'!$B$16,"",$A126+1))</f>
        <v>46145</v>
      </c>
      <c r="B127" t="str">
        <f t="shared" si="4"/>
        <v>Sun</v>
      </c>
      <c r="C127" t="str" cm="1">
        <f t="array" ref="C127">IF($A127="","",IF(COUNTIF('Work Calendar'!$E$6:$E$200,$A127)&gt;0,"Holiday",IF(INDEX('Work Calendar'!$C$6:$C$12,WEEKDAY($A127,1))=1,"Working","Weekend")))</f>
        <v>Working</v>
      </c>
      <c r="D127" s="341">
        <f>IF($A127="","",SUMIFS('Timesheet Raw'!$P$4:$P$8000,'Timesheet Raw'!$L$4:$L$8000,$A127,'Timesheet Raw'!$C$4:$C$8000,D$3,'Timesheet Raw'!$A$4:$A$8000,"1-Projects"))</f>
        <v>13.5</v>
      </c>
      <c r="E127" s="341">
        <f>IF($A127="","",SUMIFS('Timesheet Raw'!$P$4:$P$8000,'Timesheet Raw'!$L$4:$L$8000,$A127,'Timesheet Raw'!$C$4:$C$8000,D$3,'Timesheet Raw'!$A$4:$A$8000,"2-Proposals Chargeable")+SUMIFS('Timesheet Raw'!$P$4:$P$8000,'Timesheet Raw'!$L$4:$L$8000,$A127,'Timesheet Raw'!$C$4:$C$8000,D$3,'Timesheet Raw'!$A$4:$A$8000,"3-Proposals Regular"))</f>
        <v>0</v>
      </c>
      <c r="F127" s="341">
        <f>IF($A127="","",SUMIFS('Timesheet Raw'!$P$4:$P$8000,'Timesheet Raw'!$L$4:$L$8000,$A127,'Timesheet Raw'!$C$4:$C$8000,D$3,'Timesheet Raw'!$B$4:$B$8000,'Work Calendar'!$A$26)+SUMIFS('Timesheet Raw'!$P$4:$P$8000,'Timesheet Raw'!$L$4:$L$8000,$A127,'Timesheet Raw'!$C$4:$C$8000,D$3,'Timesheet Raw'!$B$4:$B$8000,'Work Calendar'!$A$27)+SUMIFS('Timesheet Raw'!$P$4:$P$8000,'Timesheet Raw'!$L$4:$L$8000,$A127,'Timesheet Raw'!$C$4:$C$8000,D$3,'Timesheet Raw'!$B$4:$B$8000,'Work Calendar'!$A$28)+SUMIFS('Timesheet Raw'!$P$4:$P$8000,'Timesheet Raw'!$L$4:$L$8000,$A127,'Timesheet Raw'!$C$4:$C$8000,D$3,'Timesheet Raw'!$B$4:$B$8000,'Work Calendar'!$A$29))</f>
        <v>1</v>
      </c>
      <c r="G127" s="341">
        <f t="shared" si="5"/>
        <v>0</v>
      </c>
      <c r="H127" s="395">
        <f>IF($A127="","",SUMIFS('Timesheet Raw'!$K$4:$K$8000,'Timesheet Raw'!$L$4:$L$8000,$A127,'Timesheet Raw'!$C$4:$C$8000,D$3))</f>
        <v>6</v>
      </c>
      <c r="I127" s="345">
        <f>IF($A127="","",SUMIFS('Timesheet Raw'!$P$4:$P$8000,'Timesheet Raw'!$L$4:$L$8000,$A127,'Timesheet Raw'!$C$4:$C$8000,D$3))</f>
        <v>14.5</v>
      </c>
      <c r="J127" s="375"/>
      <c r="K127" t="str">
        <f>IF($A127="","",IF(J127&lt;&gt;"",J127,IF($A127&gt;'Work Calendar'!$B$17,"No data yet",IF(AND(F127&gt;='Work Calendar'!$B$14,D127+E127+G127&gt;0),"Day off - but worked",IF(F127&gt;='Work Calendar'!$B$14,"Day off",IF(D127+E127+G127&gt;0,IF($C127="Working","Charged","Worked weekend"),IF($C127="Working","Leave (not charged)",$C127)))))))</f>
        <v>Charged</v>
      </c>
      <c r="L127" s="341">
        <f>IF($A127="","",SUMIFS('Timesheet Raw'!$P$4:$P$8000,'Timesheet Raw'!$L$4:$L$8000,$A127,'Timesheet Raw'!$C$4:$C$8000,L$3,'Timesheet Raw'!$A$4:$A$8000,"1-Projects"))</f>
        <v>12.25</v>
      </c>
      <c r="M127" s="341">
        <f>IF($A127="","",SUMIFS('Timesheet Raw'!$P$4:$P$8000,'Timesheet Raw'!$L$4:$L$8000,$A127,'Timesheet Raw'!$C$4:$C$8000,L$3,'Timesheet Raw'!$A$4:$A$8000,"2-Proposals Chargeable")+SUMIFS('Timesheet Raw'!$P$4:$P$8000,'Timesheet Raw'!$L$4:$L$8000,$A127,'Timesheet Raw'!$C$4:$C$8000,L$3,'Timesheet Raw'!$A$4:$A$8000,"3-Proposals Regular"))</f>
        <v>0</v>
      </c>
      <c r="N127" s="341">
        <f>IF($A127="","",SUMIFS('Timesheet Raw'!$P$4:$P$8000,'Timesheet Raw'!$L$4:$L$8000,$A127,'Timesheet Raw'!$C$4:$C$8000,L$3,'Timesheet Raw'!$B$4:$B$8000,'Work Calendar'!$A$26)+SUMIFS('Timesheet Raw'!$P$4:$P$8000,'Timesheet Raw'!$L$4:$L$8000,$A127,'Timesheet Raw'!$C$4:$C$8000,L$3,'Timesheet Raw'!$B$4:$B$8000,'Work Calendar'!$A$27)+SUMIFS('Timesheet Raw'!$P$4:$P$8000,'Timesheet Raw'!$L$4:$L$8000,$A127,'Timesheet Raw'!$C$4:$C$8000,L$3,'Timesheet Raw'!$B$4:$B$8000,'Work Calendar'!$A$28)+SUMIFS('Timesheet Raw'!$P$4:$P$8000,'Timesheet Raw'!$L$4:$L$8000,$A127,'Timesheet Raw'!$C$4:$C$8000,L$3,'Timesheet Raw'!$B$4:$B$8000,'Work Calendar'!$A$29))</f>
        <v>0</v>
      </c>
      <c r="O127" s="341">
        <f t="shared" si="6"/>
        <v>0</v>
      </c>
      <c r="P127" s="395">
        <f>IF($A127="","",SUMIFS('Timesheet Raw'!$K$4:$K$8000,'Timesheet Raw'!$L$4:$L$8000,$A127,'Timesheet Raw'!$C$4:$C$8000,L$3))</f>
        <v>3.75</v>
      </c>
      <c r="Q127" s="345">
        <f>IF($A127="","",SUMIFS('Timesheet Raw'!$P$4:$P$8000,'Timesheet Raw'!$L$4:$L$8000,$A127,'Timesheet Raw'!$C$4:$C$8000,L$3))</f>
        <v>12.25</v>
      </c>
      <c r="R127" s="375"/>
      <c r="S127" t="str">
        <f>IF($A127="","",IF(R127&lt;&gt;"",R127,IF($A127&gt;'Work Calendar'!$B$17,"No data yet",IF(AND(N127&gt;='Work Calendar'!$B$14,L127+M127+O127&gt;0),"Day off - but worked",IF(N127&gt;='Work Calendar'!$B$14,"Day off",IF(L127+M127+O127&gt;0,IF($C127="Working","Charged","Worked weekend"),IF($C127="Working","Leave (not charged)",$C127)))))))</f>
        <v>Charged</v>
      </c>
      <c r="T127" s="341">
        <f>IF($A127="","",SUMIFS('Timesheet Raw'!$P$4:$P$8000,'Timesheet Raw'!$L$4:$L$8000,$A127,'Timesheet Raw'!$C$4:$C$8000,T$3,'Timesheet Raw'!$A$4:$A$8000,"1-Projects"))</f>
        <v>11.75</v>
      </c>
      <c r="U127" s="341">
        <f>IF($A127="","",SUMIFS('Timesheet Raw'!$P$4:$P$8000,'Timesheet Raw'!$L$4:$L$8000,$A127,'Timesheet Raw'!$C$4:$C$8000,T$3,'Timesheet Raw'!$A$4:$A$8000,"2-Proposals Chargeable")+SUMIFS('Timesheet Raw'!$P$4:$P$8000,'Timesheet Raw'!$L$4:$L$8000,$A127,'Timesheet Raw'!$C$4:$C$8000,T$3,'Timesheet Raw'!$A$4:$A$8000,"3-Proposals Regular"))</f>
        <v>0</v>
      </c>
      <c r="V127" s="341">
        <f>IF($A127="","",SUMIFS('Timesheet Raw'!$P$4:$P$8000,'Timesheet Raw'!$L$4:$L$8000,$A127,'Timesheet Raw'!$C$4:$C$8000,T$3,'Timesheet Raw'!$B$4:$B$8000,'Work Calendar'!$A$26)+SUMIFS('Timesheet Raw'!$P$4:$P$8000,'Timesheet Raw'!$L$4:$L$8000,$A127,'Timesheet Raw'!$C$4:$C$8000,T$3,'Timesheet Raw'!$B$4:$B$8000,'Work Calendar'!$A$27)+SUMIFS('Timesheet Raw'!$P$4:$P$8000,'Timesheet Raw'!$L$4:$L$8000,$A127,'Timesheet Raw'!$C$4:$C$8000,T$3,'Timesheet Raw'!$B$4:$B$8000,'Work Calendar'!$A$28)+SUMIFS('Timesheet Raw'!$P$4:$P$8000,'Timesheet Raw'!$L$4:$L$8000,$A127,'Timesheet Raw'!$C$4:$C$8000,T$3,'Timesheet Raw'!$B$4:$B$8000,'Work Calendar'!$A$29))</f>
        <v>0.25</v>
      </c>
      <c r="W127" s="341">
        <f t="shared" si="7"/>
        <v>0</v>
      </c>
      <c r="X127" s="395">
        <f>IF($A127="","",SUMIFS('Timesheet Raw'!$K$4:$K$8000,'Timesheet Raw'!$L$4:$L$8000,$A127,'Timesheet Raw'!$C$4:$C$8000,T$3))</f>
        <v>3.5</v>
      </c>
      <c r="Y127" s="345">
        <f>IF($A127="","",SUMIFS('Timesheet Raw'!$P$4:$P$8000,'Timesheet Raw'!$L$4:$L$8000,$A127,'Timesheet Raw'!$C$4:$C$8000,T$3))</f>
        <v>12</v>
      </c>
      <c r="Z127" s="375"/>
      <c r="AA127" t="str">
        <f>IF($A127="","",IF(Z127&lt;&gt;"",Z127,IF($A127&gt;'Work Calendar'!$B$17,"No data yet",IF(AND(V127&gt;='Work Calendar'!$B$14,T127+U127+W127&gt;0),"Day off - but worked",IF(V127&gt;='Work Calendar'!$B$14,"Day off",IF(T127+U127+W127&gt;0,IF($C127="Working","Charged","Worked weekend"),IF($C127="Working","Leave (not charged)",$C127)))))))</f>
        <v>Charged</v>
      </c>
    </row>
    <row r="128" spans="1:27" x14ac:dyDescent="0.3">
      <c r="A128" s="371">
        <f>IF($A127="","",IF($A127+1&gt;'Work Calendar'!$B$16,"",$A127+1))</f>
        <v>46146</v>
      </c>
      <c r="B128" t="str">
        <f t="shared" si="4"/>
        <v>Mon</v>
      </c>
      <c r="C128" t="str" cm="1">
        <f t="array" ref="C128">IF($A128="","",IF(COUNTIF('Work Calendar'!$E$6:$E$200,$A128)&gt;0,"Holiday",IF(INDEX('Work Calendar'!$C$6:$C$12,WEEKDAY($A128,1))=1,"Working","Weekend")))</f>
        <v>Working</v>
      </c>
      <c r="D128" s="341">
        <f>IF($A128="","",SUMIFS('Timesheet Raw'!$P$4:$P$8000,'Timesheet Raw'!$L$4:$L$8000,$A128,'Timesheet Raw'!$C$4:$C$8000,D$3,'Timesheet Raw'!$A$4:$A$8000,"1-Projects"))</f>
        <v>14.25</v>
      </c>
      <c r="E128" s="341">
        <f>IF($A128="","",SUMIFS('Timesheet Raw'!$P$4:$P$8000,'Timesheet Raw'!$L$4:$L$8000,$A128,'Timesheet Raw'!$C$4:$C$8000,D$3,'Timesheet Raw'!$A$4:$A$8000,"2-Proposals Chargeable")+SUMIFS('Timesheet Raw'!$P$4:$P$8000,'Timesheet Raw'!$L$4:$L$8000,$A128,'Timesheet Raw'!$C$4:$C$8000,D$3,'Timesheet Raw'!$A$4:$A$8000,"3-Proposals Regular"))</f>
        <v>0</v>
      </c>
      <c r="F128" s="341">
        <f>IF($A128="","",SUMIFS('Timesheet Raw'!$P$4:$P$8000,'Timesheet Raw'!$L$4:$L$8000,$A128,'Timesheet Raw'!$C$4:$C$8000,D$3,'Timesheet Raw'!$B$4:$B$8000,'Work Calendar'!$A$26)+SUMIFS('Timesheet Raw'!$P$4:$P$8000,'Timesheet Raw'!$L$4:$L$8000,$A128,'Timesheet Raw'!$C$4:$C$8000,D$3,'Timesheet Raw'!$B$4:$B$8000,'Work Calendar'!$A$27)+SUMIFS('Timesheet Raw'!$P$4:$P$8000,'Timesheet Raw'!$L$4:$L$8000,$A128,'Timesheet Raw'!$C$4:$C$8000,D$3,'Timesheet Raw'!$B$4:$B$8000,'Work Calendar'!$A$28)+SUMIFS('Timesheet Raw'!$P$4:$P$8000,'Timesheet Raw'!$L$4:$L$8000,$A128,'Timesheet Raw'!$C$4:$C$8000,D$3,'Timesheet Raw'!$B$4:$B$8000,'Work Calendar'!$A$29))</f>
        <v>1.5</v>
      </c>
      <c r="G128" s="341">
        <f t="shared" si="5"/>
        <v>0</v>
      </c>
      <c r="H128" s="395">
        <f>IF($A128="","",SUMIFS('Timesheet Raw'!$K$4:$K$8000,'Timesheet Raw'!$L$4:$L$8000,$A128,'Timesheet Raw'!$C$4:$C$8000,D$3))</f>
        <v>7.25</v>
      </c>
      <c r="I128" s="345">
        <f>IF($A128="","",SUMIFS('Timesheet Raw'!$P$4:$P$8000,'Timesheet Raw'!$L$4:$L$8000,$A128,'Timesheet Raw'!$C$4:$C$8000,D$3))</f>
        <v>15.75</v>
      </c>
      <c r="J128" s="375"/>
      <c r="K128" t="str">
        <f>IF($A128="","",IF(J128&lt;&gt;"",J128,IF($A128&gt;'Work Calendar'!$B$17,"No data yet",IF(AND(F128&gt;='Work Calendar'!$B$14,D128+E128+G128&gt;0),"Day off - but worked",IF(F128&gt;='Work Calendar'!$B$14,"Day off",IF(D128+E128+G128&gt;0,IF($C128="Working","Charged","Worked weekend"),IF($C128="Working","Leave (not charged)",$C128)))))))</f>
        <v>Charged</v>
      </c>
      <c r="L128" s="341">
        <f>IF($A128="","",SUMIFS('Timesheet Raw'!$P$4:$P$8000,'Timesheet Raw'!$L$4:$L$8000,$A128,'Timesheet Raw'!$C$4:$C$8000,L$3,'Timesheet Raw'!$A$4:$A$8000,"1-Projects"))</f>
        <v>13.5</v>
      </c>
      <c r="M128" s="341">
        <f>IF($A128="","",SUMIFS('Timesheet Raw'!$P$4:$P$8000,'Timesheet Raw'!$L$4:$L$8000,$A128,'Timesheet Raw'!$C$4:$C$8000,L$3,'Timesheet Raw'!$A$4:$A$8000,"2-Proposals Chargeable")+SUMIFS('Timesheet Raw'!$P$4:$P$8000,'Timesheet Raw'!$L$4:$L$8000,$A128,'Timesheet Raw'!$C$4:$C$8000,L$3,'Timesheet Raw'!$A$4:$A$8000,"3-Proposals Regular"))</f>
        <v>0</v>
      </c>
      <c r="N128" s="341">
        <f>IF($A128="","",SUMIFS('Timesheet Raw'!$P$4:$P$8000,'Timesheet Raw'!$L$4:$L$8000,$A128,'Timesheet Raw'!$C$4:$C$8000,L$3,'Timesheet Raw'!$B$4:$B$8000,'Work Calendar'!$A$26)+SUMIFS('Timesheet Raw'!$P$4:$P$8000,'Timesheet Raw'!$L$4:$L$8000,$A128,'Timesheet Raw'!$C$4:$C$8000,L$3,'Timesheet Raw'!$B$4:$B$8000,'Work Calendar'!$A$27)+SUMIFS('Timesheet Raw'!$P$4:$P$8000,'Timesheet Raw'!$L$4:$L$8000,$A128,'Timesheet Raw'!$C$4:$C$8000,L$3,'Timesheet Raw'!$B$4:$B$8000,'Work Calendar'!$A$28)+SUMIFS('Timesheet Raw'!$P$4:$P$8000,'Timesheet Raw'!$L$4:$L$8000,$A128,'Timesheet Raw'!$C$4:$C$8000,L$3,'Timesheet Raw'!$B$4:$B$8000,'Work Calendar'!$A$29))</f>
        <v>0</v>
      </c>
      <c r="O128" s="341">
        <f t="shared" si="6"/>
        <v>0</v>
      </c>
      <c r="P128" s="395">
        <f>IF($A128="","",SUMIFS('Timesheet Raw'!$K$4:$K$8000,'Timesheet Raw'!$L$4:$L$8000,$A128,'Timesheet Raw'!$C$4:$C$8000,L$3))</f>
        <v>5</v>
      </c>
      <c r="Q128" s="345">
        <f>IF($A128="","",SUMIFS('Timesheet Raw'!$P$4:$P$8000,'Timesheet Raw'!$L$4:$L$8000,$A128,'Timesheet Raw'!$C$4:$C$8000,L$3))</f>
        <v>13.5</v>
      </c>
      <c r="R128" s="375"/>
      <c r="S128" t="str">
        <f>IF($A128="","",IF(R128&lt;&gt;"",R128,IF($A128&gt;'Work Calendar'!$B$17,"No data yet",IF(AND(N128&gt;='Work Calendar'!$B$14,L128+M128+O128&gt;0),"Day off - but worked",IF(N128&gt;='Work Calendar'!$B$14,"Day off",IF(L128+M128+O128&gt;0,IF($C128="Working","Charged","Worked weekend"),IF($C128="Working","Leave (not charged)",$C128)))))))</f>
        <v>Charged</v>
      </c>
      <c r="T128" s="341">
        <f>IF($A128="","",SUMIFS('Timesheet Raw'!$P$4:$P$8000,'Timesheet Raw'!$L$4:$L$8000,$A128,'Timesheet Raw'!$C$4:$C$8000,T$3,'Timesheet Raw'!$A$4:$A$8000,"1-Projects"))</f>
        <v>0</v>
      </c>
      <c r="U128" s="341">
        <f>IF($A128="","",SUMIFS('Timesheet Raw'!$P$4:$P$8000,'Timesheet Raw'!$L$4:$L$8000,$A128,'Timesheet Raw'!$C$4:$C$8000,T$3,'Timesheet Raw'!$A$4:$A$8000,"2-Proposals Chargeable")+SUMIFS('Timesheet Raw'!$P$4:$P$8000,'Timesheet Raw'!$L$4:$L$8000,$A128,'Timesheet Raw'!$C$4:$C$8000,T$3,'Timesheet Raw'!$A$4:$A$8000,"3-Proposals Regular"))</f>
        <v>0</v>
      </c>
      <c r="V128" s="341">
        <f>IF($A128="","",SUMIFS('Timesheet Raw'!$P$4:$P$8000,'Timesheet Raw'!$L$4:$L$8000,$A128,'Timesheet Raw'!$C$4:$C$8000,T$3,'Timesheet Raw'!$B$4:$B$8000,'Work Calendar'!$A$26)+SUMIFS('Timesheet Raw'!$P$4:$P$8000,'Timesheet Raw'!$L$4:$L$8000,$A128,'Timesheet Raw'!$C$4:$C$8000,T$3,'Timesheet Raw'!$B$4:$B$8000,'Work Calendar'!$A$27)+SUMIFS('Timesheet Raw'!$P$4:$P$8000,'Timesheet Raw'!$L$4:$L$8000,$A128,'Timesheet Raw'!$C$4:$C$8000,T$3,'Timesheet Raw'!$B$4:$B$8000,'Work Calendar'!$A$28)+SUMIFS('Timesheet Raw'!$P$4:$P$8000,'Timesheet Raw'!$L$4:$L$8000,$A128,'Timesheet Raw'!$C$4:$C$8000,T$3,'Timesheet Raw'!$B$4:$B$8000,'Work Calendar'!$A$29))</f>
        <v>8.5</v>
      </c>
      <c r="W128" s="341">
        <f t="shared" si="7"/>
        <v>0</v>
      </c>
      <c r="X128" s="395">
        <f>IF($A128="","",SUMIFS('Timesheet Raw'!$K$4:$K$8000,'Timesheet Raw'!$L$4:$L$8000,$A128,'Timesheet Raw'!$C$4:$C$8000,T$3))</f>
        <v>0</v>
      </c>
      <c r="Y128" s="345">
        <f>IF($A128="","",SUMIFS('Timesheet Raw'!$P$4:$P$8000,'Timesheet Raw'!$L$4:$L$8000,$A128,'Timesheet Raw'!$C$4:$C$8000,T$3))</f>
        <v>8.5</v>
      </c>
      <c r="Z128" s="375"/>
      <c r="AA128" t="str">
        <f>IF($A128="","",IF(Z128&lt;&gt;"",Z128,IF($A128&gt;'Work Calendar'!$B$17,"No data yet",IF(AND(V128&gt;='Work Calendar'!$B$14,T128+U128+W128&gt;0),"Day off - but worked",IF(V128&gt;='Work Calendar'!$B$14,"Day off",IF(T128+U128+W128&gt;0,IF($C128="Working","Charged","Worked weekend"),IF($C128="Working","Leave (not charged)",$C128)))))))</f>
        <v>Day off</v>
      </c>
    </row>
    <row r="129" spans="1:27" x14ac:dyDescent="0.3">
      <c r="A129" s="371">
        <f>IF($A128="","",IF($A128+1&gt;'Work Calendar'!$B$16,"",$A128+1))</f>
        <v>46147</v>
      </c>
      <c r="B129" t="str">
        <f t="shared" si="4"/>
        <v>Tue</v>
      </c>
      <c r="C129" t="str" cm="1">
        <f t="array" ref="C129">IF($A129="","",IF(COUNTIF('Work Calendar'!$E$6:$E$200,$A129)&gt;0,"Holiday",IF(INDEX('Work Calendar'!$C$6:$C$12,WEEKDAY($A129,1))=1,"Working","Weekend")))</f>
        <v>Working</v>
      </c>
      <c r="D129" s="341">
        <f>IF($A129="","",SUMIFS('Timesheet Raw'!$P$4:$P$8000,'Timesheet Raw'!$L$4:$L$8000,$A129,'Timesheet Raw'!$C$4:$C$8000,D$3,'Timesheet Raw'!$A$4:$A$8000,"1-Projects"))</f>
        <v>13</v>
      </c>
      <c r="E129" s="341">
        <f>IF($A129="","",SUMIFS('Timesheet Raw'!$P$4:$P$8000,'Timesheet Raw'!$L$4:$L$8000,$A129,'Timesheet Raw'!$C$4:$C$8000,D$3,'Timesheet Raw'!$A$4:$A$8000,"2-Proposals Chargeable")+SUMIFS('Timesheet Raw'!$P$4:$P$8000,'Timesheet Raw'!$L$4:$L$8000,$A129,'Timesheet Raw'!$C$4:$C$8000,D$3,'Timesheet Raw'!$A$4:$A$8000,"3-Proposals Regular"))</f>
        <v>0</v>
      </c>
      <c r="F129" s="341">
        <f>IF($A129="","",SUMIFS('Timesheet Raw'!$P$4:$P$8000,'Timesheet Raw'!$L$4:$L$8000,$A129,'Timesheet Raw'!$C$4:$C$8000,D$3,'Timesheet Raw'!$B$4:$B$8000,'Work Calendar'!$A$26)+SUMIFS('Timesheet Raw'!$P$4:$P$8000,'Timesheet Raw'!$L$4:$L$8000,$A129,'Timesheet Raw'!$C$4:$C$8000,D$3,'Timesheet Raw'!$B$4:$B$8000,'Work Calendar'!$A$27)+SUMIFS('Timesheet Raw'!$P$4:$P$8000,'Timesheet Raw'!$L$4:$L$8000,$A129,'Timesheet Raw'!$C$4:$C$8000,D$3,'Timesheet Raw'!$B$4:$B$8000,'Work Calendar'!$A$28)+SUMIFS('Timesheet Raw'!$P$4:$P$8000,'Timesheet Raw'!$L$4:$L$8000,$A129,'Timesheet Raw'!$C$4:$C$8000,D$3,'Timesheet Raw'!$B$4:$B$8000,'Work Calendar'!$A$29))</f>
        <v>0.75</v>
      </c>
      <c r="G129" s="341">
        <f t="shared" si="5"/>
        <v>0</v>
      </c>
      <c r="H129" s="395">
        <f>IF($A129="","",SUMIFS('Timesheet Raw'!$K$4:$K$8000,'Timesheet Raw'!$L$4:$L$8000,$A129,'Timesheet Raw'!$C$4:$C$8000,D$3))</f>
        <v>5.25</v>
      </c>
      <c r="I129" s="345">
        <f>IF($A129="","",SUMIFS('Timesheet Raw'!$P$4:$P$8000,'Timesheet Raw'!$L$4:$L$8000,$A129,'Timesheet Raw'!$C$4:$C$8000,D$3))</f>
        <v>13.75</v>
      </c>
      <c r="J129" s="375"/>
      <c r="K129" t="str">
        <f>IF($A129="","",IF(J129&lt;&gt;"",J129,IF($A129&gt;'Work Calendar'!$B$17,"No data yet",IF(AND(F129&gt;='Work Calendar'!$B$14,D129+E129+G129&gt;0),"Day off - but worked",IF(F129&gt;='Work Calendar'!$B$14,"Day off",IF(D129+E129+G129&gt;0,IF($C129="Working","Charged","Worked weekend"),IF($C129="Working","Leave (not charged)",$C129)))))))</f>
        <v>Charged</v>
      </c>
      <c r="L129" s="341">
        <f>IF($A129="","",SUMIFS('Timesheet Raw'!$P$4:$P$8000,'Timesheet Raw'!$L$4:$L$8000,$A129,'Timesheet Raw'!$C$4:$C$8000,L$3,'Timesheet Raw'!$A$4:$A$8000,"1-Projects"))</f>
        <v>8.5</v>
      </c>
      <c r="M129" s="341">
        <f>IF($A129="","",SUMIFS('Timesheet Raw'!$P$4:$P$8000,'Timesheet Raw'!$L$4:$L$8000,$A129,'Timesheet Raw'!$C$4:$C$8000,L$3,'Timesheet Raw'!$A$4:$A$8000,"2-Proposals Chargeable")+SUMIFS('Timesheet Raw'!$P$4:$P$8000,'Timesheet Raw'!$L$4:$L$8000,$A129,'Timesheet Raw'!$C$4:$C$8000,L$3,'Timesheet Raw'!$A$4:$A$8000,"3-Proposals Regular"))</f>
        <v>0</v>
      </c>
      <c r="N129" s="341">
        <f>IF($A129="","",SUMIFS('Timesheet Raw'!$P$4:$P$8000,'Timesheet Raw'!$L$4:$L$8000,$A129,'Timesheet Raw'!$C$4:$C$8000,L$3,'Timesheet Raw'!$B$4:$B$8000,'Work Calendar'!$A$26)+SUMIFS('Timesheet Raw'!$P$4:$P$8000,'Timesheet Raw'!$L$4:$L$8000,$A129,'Timesheet Raw'!$C$4:$C$8000,L$3,'Timesheet Raw'!$B$4:$B$8000,'Work Calendar'!$A$27)+SUMIFS('Timesheet Raw'!$P$4:$P$8000,'Timesheet Raw'!$L$4:$L$8000,$A129,'Timesheet Raw'!$C$4:$C$8000,L$3,'Timesheet Raw'!$B$4:$B$8000,'Work Calendar'!$A$28)+SUMIFS('Timesheet Raw'!$P$4:$P$8000,'Timesheet Raw'!$L$4:$L$8000,$A129,'Timesheet Raw'!$C$4:$C$8000,L$3,'Timesheet Raw'!$B$4:$B$8000,'Work Calendar'!$A$29))</f>
        <v>0.25</v>
      </c>
      <c r="O129" s="341">
        <f t="shared" si="6"/>
        <v>0</v>
      </c>
      <c r="P129" s="395">
        <f>IF($A129="","",SUMIFS('Timesheet Raw'!$K$4:$K$8000,'Timesheet Raw'!$L$4:$L$8000,$A129,'Timesheet Raw'!$C$4:$C$8000,L$3))</f>
        <v>0.25</v>
      </c>
      <c r="Q129" s="345">
        <f>IF($A129="","",SUMIFS('Timesheet Raw'!$P$4:$P$8000,'Timesheet Raw'!$L$4:$L$8000,$A129,'Timesheet Raw'!$C$4:$C$8000,L$3))</f>
        <v>8.75</v>
      </c>
      <c r="R129" s="375"/>
      <c r="S129" t="str">
        <f>IF($A129="","",IF(R129&lt;&gt;"",R129,IF($A129&gt;'Work Calendar'!$B$17,"No data yet",IF(AND(N129&gt;='Work Calendar'!$B$14,L129+M129+O129&gt;0),"Day off - but worked",IF(N129&gt;='Work Calendar'!$B$14,"Day off",IF(L129+M129+O129&gt;0,IF($C129="Working","Charged","Worked weekend"),IF($C129="Working","Leave (not charged)",$C129)))))))</f>
        <v>Charged</v>
      </c>
      <c r="T129" s="341">
        <f>IF($A129="","",SUMIFS('Timesheet Raw'!$P$4:$P$8000,'Timesheet Raw'!$L$4:$L$8000,$A129,'Timesheet Raw'!$C$4:$C$8000,T$3,'Timesheet Raw'!$A$4:$A$8000,"1-Projects"))</f>
        <v>0</v>
      </c>
      <c r="U129" s="341">
        <f>IF($A129="","",SUMIFS('Timesheet Raw'!$P$4:$P$8000,'Timesheet Raw'!$L$4:$L$8000,$A129,'Timesheet Raw'!$C$4:$C$8000,T$3,'Timesheet Raw'!$A$4:$A$8000,"2-Proposals Chargeable")+SUMIFS('Timesheet Raw'!$P$4:$P$8000,'Timesheet Raw'!$L$4:$L$8000,$A129,'Timesheet Raw'!$C$4:$C$8000,T$3,'Timesheet Raw'!$A$4:$A$8000,"3-Proposals Regular"))</f>
        <v>0</v>
      </c>
      <c r="V129" s="341">
        <f>IF($A129="","",SUMIFS('Timesheet Raw'!$P$4:$P$8000,'Timesheet Raw'!$L$4:$L$8000,$A129,'Timesheet Raw'!$C$4:$C$8000,T$3,'Timesheet Raw'!$B$4:$B$8000,'Work Calendar'!$A$26)+SUMIFS('Timesheet Raw'!$P$4:$P$8000,'Timesheet Raw'!$L$4:$L$8000,$A129,'Timesheet Raw'!$C$4:$C$8000,T$3,'Timesheet Raw'!$B$4:$B$8000,'Work Calendar'!$A$27)+SUMIFS('Timesheet Raw'!$P$4:$P$8000,'Timesheet Raw'!$L$4:$L$8000,$A129,'Timesheet Raw'!$C$4:$C$8000,T$3,'Timesheet Raw'!$B$4:$B$8000,'Work Calendar'!$A$28)+SUMIFS('Timesheet Raw'!$P$4:$P$8000,'Timesheet Raw'!$L$4:$L$8000,$A129,'Timesheet Raw'!$C$4:$C$8000,T$3,'Timesheet Raw'!$B$4:$B$8000,'Work Calendar'!$A$29))</f>
        <v>8.5</v>
      </c>
      <c r="W129" s="341">
        <f t="shared" si="7"/>
        <v>0</v>
      </c>
      <c r="X129" s="395">
        <f>IF($A129="","",SUMIFS('Timesheet Raw'!$K$4:$K$8000,'Timesheet Raw'!$L$4:$L$8000,$A129,'Timesheet Raw'!$C$4:$C$8000,T$3))</f>
        <v>0</v>
      </c>
      <c r="Y129" s="345">
        <f>IF($A129="","",SUMIFS('Timesheet Raw'!$P$4:$P$8000,'Timesheet Raw'!$L$4:$L$8000,$A129,'Timesheet Raw'!$C$4:$C$8000,T$3))</f>
        <v>8.5</v>
      </c>
      <c r="Z129" s="375"/>
      <c r="AA129" t="str">
        <f>IF($A129="","",IF(Z129&lt;&gt;"",Z129,IF($A129&gt;'Work Calendar'!$B$17,"No data yet",IF(AND(V129&gt;='Work Calendar'!$B$14,T129+U129+W129&gt;0),"Day off - but worked",IF(V129&gt;='Work Calendar'!$B$14,"Day off",IF(T129+U129+W129&gt;0,IF($C129="Working","Charged","Worked weekend"),IF($C129="Working","Leave (not charged)",$C129)))))))</f>
        <v>Day off</v>
      </c>
    </row>
    <row r="130" spans="1:27" x14ac:dyDescent="0.3">
      <c r="A130" s="371">
        <f>IF($A129="","",IF($A129+1&gt;'Work Calendar'!$B$16,"",$A129+1))</f>
        <v>46148</v>
      </c>
      <c r="B130" t="str">
        <f t="shared" si="4"/>
        <v>Wed</v>
      </c>
      <c r="C130" t="str" cm="1">
        <f t="array" ref="C130">IF($A130="","",IF(COUNTIF('Work Calendar'!$E$6:$E$200,$A130)&gt;0,"Holiday",IF(INDEX('Work Calendar'!$C$6:$C$12,WEEKDAY($A130,1))=1,"Working","Weekend")))</f>
        <v>Working</v>
      </c>
      <c r="D130" s="341">
        <f>IF($A130="","",SUMIFS('Timesheet Raw'!$P$4:$P$8000,'Timesheet Raw'!$L$4:$L$8000,$A130,'Timesheet Raw'!$C$4:$C$8000,D$3,'Timesheet Raw'!$A$4:$A$8000,"1-Projects"))</f>
        <v>8.5</v>
      </c>
      <c r="E130" s="341">
        <f>IF($A130="","",SUMIFS('Timesheet Raw'!$P$4:$P$8000,'Timesheet Raw'!$L$4:$L$8000,$A130,'Timesheet Raw'!$C$4:$C$8000,D$3,'Timesheet Raw'!$A$4:$A$8000,"2-Proposals Chargeable")+SUMIFS('Timesheet Raw'!$P$4:$P$8000,'Timesheet Raw'!$L$4:$L$8000,$A130,'Timesheet Raw'!$C$4:$C$8000,D$3,'Timesheet Raw'!$A$4:$A$8000,"3-Proposals Regular"))</f>
        <v>0</v>
      </c>
      <c r="F130" s="341">
        <f>IF($A130="","",SUMIFS('Timesheet Raw'!$P$4:$P$8000,'Timesheet Raw'!$L$4:$L$8000,$A130,'Timesheet Raw'!$C$4:$C$8000,D$3,'Timesheet Raw'!$B$4:$B$8000,'Work Calendar'!$A$26)+SUMIFS('Timesheet Raw'!$P$4:$P$8000,'Timesheet Raw'!$L$4:$L$8000,$A130,'Timesheet Raw'!$C$4:$C$8000,D$3,'Timesheet Raw'!$B$4:$B$8000,'Work Calendar'!$A$27)+SUMIFS('Timesheet Raw'!$P$4:$P$8000,'Timesheet Raw'!$L$4:$L$8000,$A130,'Timesheet Raw'!$C$4:$C$8000,D$3,'Timesheet Raw'!$B$4:$B$8000,'Work Calendar'!$A$28)+SUMIFS('Timesheet Raw'!$P$4:$P$8000,'Timesheet Raw'!$L$4:$L$8000,$A130,'Timesheet Raw'!$C$4:$C$8000,D$3,'Timesheet Raw'!$B$4:$B$8000,'Work Calendar'!$A$29))</f>
        <v>0.75</v>
      </c>
      <c r="G130" s="341">
        <f t="shared" si="5"/>
        <v>0</v>
      </c>
      <c r="H130" s="395">
        <f>IF($A130="","",SUMIFS('Timesheet Raw'!$K$4:$K$8000,'Timesheet Raw'!$L$4:$L$8000,$A130,'Timesheet Raw'!$C$4:$C$8000,D$3))</f>
        <v>0.75</v>
      </c>
      <c r="I130" s="345">
        <f>IF($A130="","",SUMIFS('Timesheet Raw'!$P$4:$P$8000,'Timesheet Raw'!$L$4:$L$8000,$A130,'Timesheet Raw'!$C$4:$C$8000,D$3))</f>
        <v>9.25</v>
      </c>
      <c r="J130" s="375"/>
      <c r="K130" t="str">
        <f>IF($A130="","",IF(J130&lt;&gt;"",J130,IF($A130&gt;'Work Calendar'!$B$17,"No data yet",IF(AND(F130&gt;='Work Calendar'!$B$14,D130+E130+G130&gt;0),"Day off - but worked",IF(F130&gt;='Work Calendar'!$B$14,"Day off",IF(D130+E130+G130&gt;0,IF($C130="Working","Charged","Worked weekend"),IF($C130="Working","Leave (not charged)",$C130)))))))</f>
        <v>Charged</v>
      </c>
      <c r="L130" s="341">
        <f>IF($A130="","",SUMIFS('Timesheet Raw'!$P$4:$P$8000,'Timesheet Raw'!$L$4:$L$8000,$A130,'Timesheet Raw'!$C$4:$C$8000,L$3,'Timesheet Raw'!$A$4:$A$8000,"1-Projects"))</f>
        <v>14.75</v>
      </c>
      <c r="M130" s="341">
        <f>IF($A130="","",SUMIFS('Timesheet Raw'!$P$4:$P$8000,'Timesheet Raw'!$L$4:$L$8000,$A130,'Timesheet Raw'!$C$4:$C$8000,L$3,'Timesheet Raw'!$A$4:$A$8000,"2-Proposals Chargeable")+SUMIFS('Timesheet Raw'!$P$4:$P$8000,'Timesheet Raw'!$L$4:$L$8000,$A130,'Timesheet Raw'!$C$4:$C$8000,L$3,'Timesheet Raw'!$A$4:$A$8000,"3-Proposals Regular"))</f>
        <v>0</v>
      </c>
      <c r="N130" s="341">
        <f>IF($A130="","",SUMIFS('Timesheet Raw'!$P$4:$P$8000,'Timesheet Raw'!$L$4:$L$8000,$A130,'Timesheet Raw'!$C$4:$C$8000,L$3,'Timesheet Raw'!$B$4:$B$8000,'Work Calendar'!$A$26)+SUMIFS('Timesheet Raw'!$P$4:$P$8000,'Timesheet Raw'!$L$4:$L$8000,$A130,'Timesheet Raw'!$C$4:$C$8000,L$3,'Timesheet Raw'!$B$4:$B$8000,'Work Calendar'!$A$27)+SUMIFS('Timesheet Raw'!$P$4:$P$8000,'Timesheet Raw'!$L$4:$L$8000,$A130,'Timesheet Raw'!$C$4:$C$8000,L$3,'Timesheet Raw'!$B$4:$B$8000,'Work Calendar'!$A$28)+SUMIFS('Timesheet Raw'!$P$4:$P$8000,'Timesheet Raw'!$L$4:$L$8000,$A130,'Timesheet Raw'!$C$4:$C$8000,L$3,'Timesheet Raw'!$B$4:$B$8000,'Work Calendar'!$A$29))</f>
        <v>0</v>
      </c>
      <c r="O130" s="341">
        <f t="shared" si="6"/>
        <v>0</v>
      </c>
      <c r="P130" s="395">
        <f>IF($A130="","",SUMIFS('Timesheet Raw'!$K$4:$K$8000,'Timesheet Raw'!$L$4:$L$8000,$A130,'Timesheet Raw'!$C$4:$C$8000,L$3))</f>
        <v>6.25</v>
      </c>
      <c r="Q130" s="345">
        <f>IF($A130="","",SUMIFS('Timesheet Raw'!$P$4:$P$8000,'Timesheet Raw'!$L$4:$L$8000,$A130,'Timesheet Raw'!$C$4:$C$8000,L$3))</f>
        <v>14.75</v>
      </c>
      <c r="R130" s="375"/>
      <c r="S130" t="str">
        <f>IF($A130="","",IF(R130&lt;&gt;"",R130,IF($A130&gt;'Work Calendar'!$B$17,"No data yet",IF(AND(N130&gt;='Work Calendar'!$B$14,L130+M130+O130&gt;0),"Day off - but worked",IF(N130&gt;='Work Calendar'!$B$14,"Day off",IF(L130+M130+O130&gt;0,IF($C130="Working","Charged","Worked weekend"),IF($C130="Working","Leave (not charged)",$C130)))))))</f>
        <v>Charged</v>
      </c>
      <c r="T130" s="341">
        <f>IF($A130="","",SUMIFS('Timesheet Raw'!$P$4:$P$8000,'Timesheet Raw'!$L$4:$L$8000,$A130,'Timesheet Raw'!$C$4:$C$8000,T$3,'Timesheet Raw'!$A$4:$A$8000,"1-Projects"))</f>
        <v>0</v>
      </c>
      <c r="U130" s="341">
        <f>IF($A130="","",SUMIFS('Timesheet Raw'!$P$4:$P$8000,'Timesheet Raw'!$L$4:$L$8000,$A130,'Timesheet Raw'!$C$4:$C$8000,T$3,'Timesheet Raw'!$A$4:$A$8000,"2-Proposals Chargeable")+SUMIFS('Timesheet Raw'!$P$4:$P$8000,'Timesheet Raw'!$L$4:$L$8000,$A130,'Timesheet Raw'!$C$4:$C$8000,T$3,'Timesheet Raw'!$A$4:$A$8000,"3-Proposals Regular"))</f>
        <v>0</v>
      </c>
      <c r="V130" s="341">
        <f>IF($A130="","",SUMIFS('Timesheet Raw'!$P$4:$P$8000,'Timesheet Raw'!$L$4:$L$8000,$A130,'Timesheet Raw'!$C$4:$C$8000,T$3,'Timesheet Raw'!$B$4:$B$8000,'Work Calendar'!$A$26)+SUMIFS('Timesheet Raw'!$P$4:$P$8000,'Timesheet Raw'!$L$4:$L$8000,$A130,'Timesheet Raw'!$C$4:$C$8000,T$3,'Timesheet Raw'!$B$4:$B$8000,'Work Calendar'!$A$27)+SUMIFS('Timesheet Raw'!$P$4:$P$8000,'Timesheet Raw'!$L$4:$L$8000,$A130,'Timesheet Raw'!$C$4:$C$8000,T$3,'Timesheet Raw'!$B$4:$B$8000,'Work Calendar'!$A$28)+SUMIFS('Timesheet Raw'!$P$4:$P$8000,'Timesheet Raw'!$L$4:$L$8000,$A130,'Timesheet Raw'!$C$4:$C$8000,T$3,'Timesheet Raw'!$B$4:$B$8000,'Work Calendar'!$A$29))</f>
        <v>8.5</v>
      </c>
      <c r="W130" s="341">
        <f t="shared" si="7"/>
        <v>0</v>
      </c>
      <c r="X130" s="395">
        <f>IF($A130="","",SUMIFS('Timesheet Raw'!$K$4:$K$8000,'Timesheet Raw'!$L$4:$L$8000,$A130,'Timesheet Raw'!$C$4:$C$8000,T$3))</f>
        <v>0</v>
      </c>
      <c r="Y130" s="345">
        <f>IF($A130="","",SUMIFS('Timesheet Raw'!$P$4:$P$8000,'Timesheet Raw'!$L$4:$L$8000,$A130,'Timesheet Raw'!$C$4:$C$8000,T$3))</f>
        <v>8.5</v>
      </c>
      <c r="Z130" s="375"/>
      <c r="AA130" t="str">
        <f>IF($A130="","",IF(Z130&lt;&gt;"",Z130,IF($A130&gt;'Work Calendar'!$B$17,"No data yet",IF(AND(V130&gt;='Work Calendar'!$B$14,T130+U130+W130&gt;0),"Day off - but worked",IF(V130&gt;='Work Calendar'!$B$14,"Day off",IF(T130+U130+W130&gt;0,IF($C130="Working","Charged","Worked weekend"),IF($C130="Working","Leave (not charged)",$C130)))))))</f>
        <v>Day off</v>
      </c>
    </row>
    <row r="131" spans="1:27" x14ac:dyDescent="0.3">
      <c r="A131" s="371">
        <f>IF($A130="","",IF($A130+1&gt;'Work Calendar'!$B$16,"",$A130+1))</f>
        <v>46149</v>
      </c>
      <c r="B131" t="str">
        <f t="shared" si="4"/>
        <v>Thu</v>
      </c>
      <c r="C131" t="str" cm="1">
        <f t="array" ref="C131">IF($A131="","",IF(COUNTIF('Work Calendar'!$E$6:$E$200,$A131)&gt;0,"Holiday",IF(INDEX('Work Calendar'!$C$6:$C$12,WEEKDAY($A131,1))=1,"Working","Weekend")))</f>
        <v>Working</v>
      </c>
      <c r="D131" s="341">
        <f>IF($A131="","",SUMIFS('Timesheet Raw'!$P$4:$P$8000,'Timesheet Raw'!$L$4:$L$8000,$A131,'Timesheet Raw'!$C$4:$C$8000,D$3,'Timesheet Raw'!$A$4:$A$8000,"1-Projects"))</f>
        <v>0</v>
      </c>
      <c r="E131" s="341">
        <f>IF($A131="","",SUMIFS('Timesheet Raw'!$P$4:$P$8000,'Timesheet Raw'!$L$4:$L$8000,$A131,'Timesheet Raw'!$C$4:$C$8000,D$3,'Timesheet Raw'!$A$4:$A$8000,"2-Proposals Chargeable")+SUMIFS('Timesheet Raw'!$P$4:$P$8000,'Timesheet Raw'!$L$4:$L$8000,$A131,'Timesheet Raw'!$C$4:$C$8000,D$3,'Timesheet Raw'!$A$4:$A$8000,"3-Proposals Regular"))</f>
        <v>0</v>
      </c>
      <c r="F131" s="341">
        <f>IF($A131="","",SUMIFS('Timesheet Raw'!$P$4:$P$8000,'Timesheet Raw'!$L$4:$L$8000,$A131,'Timesheet Raw'!$C$4:$C$8000,D$3,'Timesheet Raw'!$B$4:$B$8000,'Work Calendar'!$A$26)+SUMIFS('Timesheet Raw'!$P$4:$P$8000,'Timesheet Raw'!$L$4:$L$8000,$A131,'Timesheet Raw'!$C$4:$C$8000,D$3,'Timesheet Raw'!$B$4:$B$8000,'Work Calendar'!$A$27)+SUMIFS('Timesheet Raw'!$P$4:$P$8000,'Timesheet Raw'!$L$4:$L$8000,$A131,'Timesheet Raw'!$C$4:$C$8000,D$3,'Timesheet Raw'!$B$4:$B$8000,'Work Calendar'!$A$28)+SUMIFS('Timesheet Raw'!$P$4:$P$8000,'Timesheet Raw'!$L$4:$L$8000,$A131,'Timesheet Raw'!$C$4:$C$8000,D$3,'Timesheet Raw'!$B$4:$B$8000,'Work Calendar'!$A$29))</f>
        <v>8.5</v>
      </c>
      <c r="G131" s="341">
        <f t="shared" si="5"/>
        <v>0</v>
      </c>
      <c r="H131" s="395">
        <f>IF($A131="","",SUMIFS('Timesheet Raw'!$K$4:$K$8000,'Timesheet Raw'!$L$4:$L$8000,$A131,'Timesheet Raw'!$C$4:$C$8000,D$3))</f>
        <v>0</v>
      </c>
      <c r="I131" s="345">
        <f>IF($A131="","",SUMIFS('Timesheet Raw'!$P$4:$P$8000,'Timesheet Raw'!$L$4:$L$8000,$A131,'Timesheet Raw'!$C$4:$C$8000,D$3))</f>
        <v>8.5</v>
      </c>
      <c r="J131" s="375"/>
      <c r="K131" t="str">
        <f>IF($A131="","",IF(J131&lt;&gt;"",J131,IF($A131&gt;'Work Calendar'!$B$17,"No data yet",IF(AND(F131&gt;='Work Calendar'!$B$14,D131+E131+G131&gt;0),"Day off - but worked",IF(F131&gt;='Work Calendar'!$B$14,"Day off",IF(D131+E131+G131&gt;0,IF($C131="Working","Charged","Worked weekend"),IF($C131="Working","Leave (not charged)",$C131)))))))</f>
        <v>Day off</v>
      </c>
      <c r="L131" s="341">
        <f>IF($A131="","",SUMIFS('Timesheet Raw'!$P$4:$P$8000,'Timesheet Raw'!$L$4:$L$8000,$A131,'Timesheet Raw'!$C$4:$C$8000,L$3,'Timesheet Raw'!$A$4:$A$8000,"1-Projects"))</f>
        <v>0</v>
      </c>
      <c r="M131" s="341">
        <f>IF($A131="","",SUMIFS('Timesheet Raw'!$P$4:$P$8000,'Timesheet Raw'!$L$4:$L$8000,$A131,'Timesheet Raw'!$C$4:$C$8000,L$3,'Timesheet Raw'!$A$4:$A$8000,"2-Proposals Chargeable")+SUMIFS('Timesheet Raw'!$P$4:$P$8000,'Timesheet Raw'!$L$4:$L$8000,$A131,'Timesheet Raw'!$C$4:$C$8000,L$3,'Timesheet Raw'!$A$4:$A$8000,"3-Proposals Regular"))</f>
        <v>0</v>
      </c>
      <c r="N131" s="341">
        <f>IF($A131="","",SUMIFS('Timesheet Raw'!$P$4:$P$8000,'Timesheet Raw'!$L$4:$L$8000,$A131,'Timesheet Raw'!$C$4:$C$8000,L$3,'Timesheet Raw'!$B$4:$B$8000,'Work Calendar'!$A$26)+SUMIFS('Timesheet Raw'!$P$4:$P$8000,'Timesheet Raw'!$L$4:$L$8000,$A131,'Timesheet Raw'!$C$4:$C$8000,L$3,'Timesheet Raw'!$B$4:$B$8000,'Work Calendar'!$A$27)+SUMIFS('Timesheet Raw'!$P$4:$P$8000,'Timesheet Raw'!$L$4:$L$8000,$A131,'Timesheet Raw'!$C$4:$C$8000,L$3,'Timesheet Raw'!$B$4:$B$8000,'Work Calendar'!$A$28)+SUMIFS('Timesheet Raw'!$P$4:$P$8000,'Timesheet Raw'!$L$4:$L$8000,$A131,'Timesheet Raw'!$C$4:$C$8000,L$3,'Timesheet Raw'!$B$4:$B$8000,'Work Calendar'!$A$29))</f>
        <v>8.5</v>
      </c>
      <c r="O131" s="341">
        <f t="shared" si="6"/>
        <v>0</v>
      </c>
      <c r="P131" s="395">
        <f>IF($A131="","",SUMIFS('Timesheet Raw'!$K$4:$K$8000,'Timesheet Raw'!$L$4:$L$8000,$A131,'Timesheet Raw'!$C$4:$C$8000,L$3))</f>
        <v>0</v>
      </c>
      <c r="Q131" s="345">
        <f>IF($A131="","",SUMIFS('Timesheet Raw'!$P$4:$P$8000,'Timesheet Raw'!$L$4:$L$8000,$A131,'Timesheet Raw'!$C$4:$C$8000,L$3))</f>
        <v>8.5</v>
      </c>
      <c r="R131" s="375"/>
      <c r="S131" t="str">
        <f>IF($A131="","",IF(R131&lt;&gt;"",R131,IF($A131&gt;'Work Calendar'!$B$17,"No data yet",IF(AND(N131&gt;='Work Calendar'!$B$14,L131+M131+O131&gt;0),"Day off - but worked",IF(N131&gt;='Work Calendar'!$B$14,"Day off",IF(L131+M131+O131&gt;0,IF($C131="Working","Charged","Worked weekend"),IF($C131="Working","Leave (not charged)",$C131)))))))</f>
        <v>Day off</v>
      </c>
      <c r="T131" s="341">
        <f>IF($A131="","",SUMIFS('Timesheet Raw'!$P$4:$P$8000,'Timesheet Raw'!$L$4:$L$8000,$A131,'Timesheet Raw'!$C$4:$C$8000,T$3,'Timesheet Raw'!$A$4:$A$8000,"1-Projects"))</f>
        <v>0</v>
      </c>
      <c r="U131" s="341">
        <f>IF($A131="","",SUMIFS('Timesheet Raw'!$P$4:$P$8000,'Timesheet Raw'!$L$4:$L$8000,$A131,'Timesheet Raw'!$C$4:$C$8000,T$3,'Timesheet Raw'!$A$4:$A$8000,"2-Proposals Chargeable")+SUMIFS('Timesheet Raw'!$P$4:$P$8000,'Timesheet Raw'!$L$4:$L$8000,$A131,'Timesheet Raw'!$C$4:$C$8000,T$3,'Timesheet Raw'!$A$4:$A$8000,"3-Proposals Regular"))</f>
        <v>0</v>
      </c>
      <c r="V131" s="341">
        <f>IF($A131="","",SUMIFS('Timesheet Raw'!$P$4:$P$8000,'Timesheet Raw'!$L$4:$L$8000,$A131,'Timesheet Raw'!$C$4:$C$8000,T$3,'Timesheet Raw'!$B$4:$B$8000,'Work Calendar'!$A$26)+SUMIFS('Timesheet Raw'!$P$4:$P$8000,'Timesheet Raw'!$L$4:$L$8000,$A131,'Timesheet Raw'!$C$4:$C$8000,T$3,'Timesheet Raw'!$B$4:$B$8000,'Work Calendar'!$A$27)+SUMIFS('Timesheet Raw'!$P$4:$P$8000,'Timesheet Raw'!$L$4:$L$8000,$A131,'Timesheet Raw'!$C$4:$C$8000,T$3,'Timesheet Raw'!$B$4:$B$8000,'Work Calendar'!$A$28)+SUMIFS('Timesheet Raw'!$P$4:$P$8000,'Timesheet Raw'!$L$4:$L$8000,$A131,'Timesheet Raw'!$C$4:$C$8000,T$3,'Timesheet Raw'!$B$4:$B$8000,'Work Calendar'!$A$29))</f>
        <v>8.5</v>
      </c>
      <c r="W131" s="341">
        <f t="shared" si="7"/>
        <v>0</v>
      </c>
      <c r="X131" s="395">
        <f>IF($A131="","",SUMIFS('Timesheet Raw'!$K$4:$K$8000,'Timesheet Raw'!$L$4:$L$8000,$A131,'Timesheet Raw'!$C$4:$C$8000,T$3))</f>
        <v>0</v>
      </c>
      <c r="Y131" s="345">
        <f>IF($A131="","",SUMIFS('Timesheet Raw'!$P$4:$P$8000,'Timesheet Raw'!$L$4:$L$8000,$A131,'Timesheet Raw'!$C$4:$C$8000,T$3))</f>
        <v>8.5</v>
      </c>
      <c r="Z131" s="375"/>
      <c r="AA131" t="str">
        <f>IF($A131="","",IF(Z131&lt;&gt;"",Z131,IF($A131&gt;'Work Calendar'!$B$17,"No data yet",IF(AND(V131&gt;='Work Calendar'!$B$14,T131+U131+W131&gt;0),"Day off - but worked",IF(V131&gt;='Work Calendar'!$B$14,"Day off",IF(T131+U131+W131&gt;0,IF($C131="Working","Charged","Worked weekend"),IF($C131="Working","Leave (not charged)",$C131)))))))</f>
        <v>Day off</v>
      </c>
    </row>
    <row r="132" spans="1:27" x14ac:dyDescent="0.3">
      <c r="A132" s="371">
        <f>IF($A131="","",IF($A131+1&gt;'Work Calendar'!$B$16,"",$A131+1))</f>
        <v>46150</v>
      </c>
      <c r="B132" t="str">
        <f t="shared" si="4"/>
        <v>Fri</v>
      </c>
      <c r="C132" t="str" cm="1">
        <f t="array" ref="C132">IF($A132="","",IF(COUNTIF('Work Calendar'!$E$6:$E$200,$A132)&gt;0,"Holiday",IF(INDEX('Work Calendar'!$C$6:$C$12,WEEKDAY($A132,1))=1,"Working","Weekend")))</f>
        <v>Weekend</v>
      </c>
      <c r="D132" s="341">
        <f>IF($A132="","",SUMIFS('Timesheet Raw'!$P$4:$P$8000,'Timesheet Raw'!$L$4:$L$8000,$A132,'Timesheet Raw'!$C$4:$C$8000,D$3,'Timesheet Raw'!$A$4:$A$8000,"1-Projects"))</f>
        <v>0</v>
      </c>
      <c r="E132" s="341">
        <f>IF($A132="","",SUMIFS('Timesheet Raw'!$P$4:$P$8000,'Timesheet Raw'!$L$4:$L$8000,$A132,'Timesheet Raw'!$C$4:$C$8000,D$3,'Timesheet Raw'!$A$4:$A$8000,"2-Proposals Chargeable")+SUMIFS('Timesheet Raw'!$P$4:$P$8000,'Timesheet Raw'!$L$4:$L$8000,$A132,'Timesheet Raw'!$C$4:$C$8000,D$3,'Timesheet Raw'!$A$4:$A$8000,"3-Proposals Regular"))</f>
        <v>0</v>
      </c>
      <c r="F132" s="341">
        <f>IF($A132="","",SUMIFS('Timesheet Raw'!$P$4:$P$8000,'Timesheet Raw'!$L$4:$L$8000,$A132,'Timesheet Raw'!$C$4:$C$8000,D$3,'Timesheet Raw'!$B$4:$B$8000,'Work Calendar'!$A$26)+SUMIFS('Timesheet Raw'!$P$4:$P$8000,'Timesheet Raw'!$L$4:$L$8000,$A132,'Timesheet Raw'!$C$4:$C$8000,D$3,'Timesheet Raw'!$B$4:$B$8000,'Work Calendar'!$A$27)+SUMIFS('Timesheet Raw'!$P$4:$P$8000,'Timesheet Raw'!$L$4:$L$8000,$A132,'Timesheet Raw'!$C$4:$C$8000,D$3,'Timesheet Raw'!$B$4:$B$8000,'Work Calendar'!$A$28)+SUMIFS('Timesheet Raw'!$P$4:$P$8000,'Timesheet Raw'!$L$4:$L$8000,$A132,'Timesheet Raw'!$C$4:$C$8000,D$3,'Timesheet Raw'!$B$4:$B$8000,'Work Calendar'!$A$29))</f>
        <v>0</v>
      </c>
      <c r="G132" s="341">
        <f t="shared" si="5"/>
        <v>0</v>
      </c>
      <c r="H132" s="395">
        <f>IF($A132="","",SUMIFS('Timesheet Raw'!$K$4:$K$8000,'Timesheet Raw'!$L$4:$L$8000,$A132,'Timesheet Raw'!$C$4:$C$8000,D$3))</f>
        <v>0</v>
      </c>
      <c r="I132" s="345">
        <f>IF($A132="","",SUMIFS('Timesheet Raw'!$P$4:$P$8000,'Timesheet Raw'!$L$4:$L$8000,$A132,'Timesheet Raw'!$C$4:$C$8000,D$3))</f>
        <v>0</v>
      </c>
      <c r="J132" s="375"/>
      <c r="K132" t="str">
        <f>IF($A132="","",IF(J132&lt;&gt;"",J132,IF($A132&gt;'Work Calendar'!$B$17,"No data yet",IF(AND(F132&gt;='Work Calendar'!$B$14,D132+E132+G132&gt;0),"Day off - but worked",IF(F132&gt;='Work Calendar'!$B$14,"Day off",IF(D132+E132+G132&gt;0,IF($C132="Working","Charged","Worked weekend"),IF($C132="Working","Leave (not charged)",$C132)))))))</f>
        <v>Weekend</v>
      </c>
      <c r="L132" s="341">
        <f>IF($A132="","",SUMIFS('Timesheet Raw'!$P$4:$P$8000,'Timesheet Raw'!$L$4:$L$8000,$A132,'Timesheet Raw'!$C$4:$C$8000,L$3,'Timesheet Raw'!$A$4:$A$8000,"1-Projects"))</f>
        <v>0</v>
      </c>
      <c r="M132" s="341">
        <f>IF($A132="","",SUMIFS('Timesheet Raw'!$P$4:$P$8000,'Timesheet Raw'!$L$4:$L$8000,$A132,'Timesheet Raw'!$C$4:$C$8000,L$3,'Timesheet Raw'!$A$4:$A$8000,"2-Proposals Chargeable")+SUMIFS('Timesheet Raw'!$P$4:$P$8000,'Timesheet Raw'!$L$4:$L$8000,$A132,'Timesheet Raw'!$C$4:$C$8000,L$3,'Timesheet Raw'!$A$4:$A$8000,"3-Proposals Regular"))</f>
        <v>0</v>
      </c>
      <c r="N132" s="341">
        <f>IF($A132="","",SUMIFS('Timesheet Raw'!$P$4:$P$8000,'Timesheet Raw'!$L$4:$L$8000,$A132,'Timesheet Raw'!$C$4:$C$8000,L$3,'Timesheet Raw'!$B$4:$B$8000,'Work Calendar'!$A$26)+SUMIFS('Timesheet Raw'!$P$4:$P$8000,'Timesheet Raw'!$L$4:$L$8000,$A132,'Timesheet Raw'!$C$4:$C$8000,L$3,'Timesheet Raw'!$B$4:$B$8000,'Work Calendar'!$A$27)+SUMIFS('Timesheet Raw'!$P$4:$P$8000,'Timesheet Raw'!$L$4:$L$8000,$A132,'Timesheet Raw'!$C$4:$C$8000,L$3,'Timesheet Raw'!$B$4:$B$8000,'Work Calendar'!$A$28)+SUMIFS('Timesheet Raw'!$P$4:$P$8000,'Timesheet Raw'!$L$4:$L$8000,$A132,'Timesheet Raw'!$C$4:$C$8000,L$3,'Timesheet Raw'!$B$4:$B$8000,'Work Calendar'!$A$29))</f>
        <v>0</v>
      </c>
      <c r="O132" s="341">
        <f t="shared" si="6"/>
        <v>0</v>
      </c>
      <c r="P132" s="395">
        <f>IF($A132="","",SUMIFS('Timesheet Raw'!$K$4:$K$8000,'Timesheet Raw'!$L$4:$L$8000,$A132,'Timesheet Raw'!$C$4:$C$8000,L$3))</f>
        <v>0</v>
      </c>
      <c r="Q132" s="345">
        <f>IF($A132="","",SUMIFS('Timesheet Raw'!$P$4:$P$8000,'Timesheet Raw'!$L$4:$L$8000,$A132,'Timesheet Raw'!$C$4:$C$8000,L$3))</f>
        <v>0</v>
      </c>
      <c r="R132" s="375"/>
      <c r="S132" t="str">
        <f>IF($A132="","",IF(R132&lt;&gt;"",R132,IF($A132&gt;'Work Calendar'!$B$17,"No data yet",IF(AND(N132&gt;='Work Calendar'!$B$14,L132+M132+O132&gt;0),"Day off - but worked",IF(N132&gt;='Work Calendar'!$B$14,"Day off",IF(L132+M132+O132&gt;0,IF($C132="Working","Charged","Worked weekend"),IF($C132="Working","Leave (not charged)",$C132)))))))</f>
        <v>Weekend</v>
      </c>
      <c r="T132" s="341">
        <f>IF($A132="","",SUMIFS('Timesheet Raw'!$P$4:$P$8000,'Timesheet Raw'!$L$4:$L$8000,$A132,'Timesheet Raw'!$C$4:$C$8000,T$3,'Timesheet Raw'!$A$4:$A$8000,"1-Projects"))</f>
        <v>0</v>
      </c>
      <c r="U132" s="341">
        <f>IF($A132="","",SUMIFS('Timesheet Raw'!$P$4:$P$8000,'Timesheet Raw'!$L$4:$L$8000,$A132,'Timesheet Raw'!$C$4:$C$8000,T$3,'Timesheet Raw'!$A$4:$A$8000,"2-Proposals Chargeable")+SUMIFS('Timesheet Raw'!$P$4:$P$8000,'Timesheet Raw'!$L$4:$L$8000,$A132,'Timesheet Raw'!$C$4:$C$8000,T$3,'Timesheet Raw'!$A$4:$A$8000,"3-Proposals Regular"))</f>
        <v>0</v>
      </c>
      <c r="V132" s="341">
        <f>IF($A132="","",SUMIFS('Timesheet Raw'!$P$4:$P$8000,'Timesheet Raw'!$L$4:$L$8000,$A132,'Timesheet Raw'!$C$4:$C$8000,T$3,'Timesheet Raw'!$B$4:$B$8000,'Work Calendar'!$A$26)+SUMIFS('Timesheet Raw'!$P$4:$P$8000,'Timesheet Raw'!$L$4:$L$8000,$A132,'Timesheet Raw'!$C$4:$C$8000,T$3,'Timesheet Raw'!$B$4:$B$8000,'Work Calendar'!$A$27)+SUMIFS('Timesheet Raw'!$P$4:$P$8000,'Timesheet Raw'!$L$4:$L$8000,$A132,'Timesheet Raw'!$C$4:$C$8000,T$3,'Timesheet Raw'!$B$4:$B$8000,'Work Calendar'!$A$28)+SUMIFS('Timesheet Raw'!$P$4:$P$8000,'Timesheet Raw'!$L$4:$L$8000,$A132,'Timesheet Raw'!$C$4:$C$8000,T$3,'Timesheet Raw'!$B$4:$B$8000,'Work Calendar'!$A$29))</f>
        <v>0</v>
      </c>
      <c r="W132" s="341">
        <f t="shared" si="7"/>
        <v>0</v>
      </c>
      <c r="X132" s="395">
        <f>IF($A132="","",SUMIFS('Timesheet Raw'!$K$4:$K$8000,'Timesheet Raw'!$L$4:$L$8000,$A132,'Timesheet Raw'!$C$4:$C$8000,T$3))</f>
        <v>0</v>
      </c>
      <c r="Y132" s="345">
        <f>IF($A132="","",SUMIFS('Timesheet Raw'!$P$4:$P$8000,'Timesheet Raw'!$L$4:$L$8000,$A132,'Timesheet Raw'!$C$4:$C$8000,T$3))</f>
        <v>0</v>
      </c>
      <c r="Z132" s="375"/>
      <c r="AA132" t="str">
        <f>IF($A132="","",IF(Z132&lt;&gt;"",Z132,IF($A132&gt;'Work Calendar'!$B$17,"No data yet",IF(AND(V132&gt;='Work Calendar'!$B$14,T132+U132+W132&gt;0),"Day off - but worked",IF(V132&gt;='Work Calendar'!$B$14,"Day off",IF(T132+U132+W132&gt;0,IF($C132="Working","Charged","Worked weekend"),IF($C132="Working","Leave (not charged)",$C132)))))))</f>
        <v>Weekend</v>
      </c>
    </row>
    <row r="133" spans="1:27" x14ac:dyDescent="0.3">
      <c r="A133" s="371">
        <f>IF($A132="","",IF($A132+1&gt;'Work Calendar'!$B$16,"",$A132+1))</f>
        <v>46151</v>
      </c>
      <c r="B133" t="str">
        <f t="shared" si="4"/>
        <v>Sat</v>
      </c>
      <c r="C133" t="str" cm="1">
        <f t="array" ref="C133">IF($A133="","",IF(COUNTIF('Work Calendar'!$E$6:$E$200,$A133)&gt;0,"Holiday",IF(INDEX('Work Calendar'!$C$6:$C$12,WEEKDAY($A133,1))=1,"Working","Weekend")))</f>
        <v>Weekend</v>
      </c>
      <c r="D133" s="341">
        <f>IF($A133="","",SUMIFS('Timesheet Raw'!$P$4:$P$8000,'Timesheet Raw'!$L$4:$L$8000,$A133,'Timesheet Raw'!$C$4:$C$8000,D$3,'Timesheet Raw'!$A$4:$A$8000,"1-Projects"))</f>
        <v>0</v>
      </c>
      <c r="E133" s="341">
        <f>IF($A133="","",SUMIFS('Timesheet Raw'!$P$4:$P$8000,'Timesheet Raw'!$L$4:$L$8000,$A133,'Timesheet Raw'!$C$4:$C$8000,D$3,'Timesheet Raw'!$A$4:$A$8000,"2-Proposals Chargeable")+SUMIFS('Timesheet Raw'!$P$4:$P$8000,'Timesheet Raw'!$L$4:$L$8000,$A133,'Timesheet Raw'!$C$4:$C$8000,D$3,'Timesheet Raw'!$A$4:$A$8000,"3-Proposals Regular"))</f>
        <v>0</v>
      </c>
      <c r="F133" s="341">
        <f>IF($A133="","",SUMIFS('Timesheet Raw'!$P$4:$P$8000,'Timesheet Raw'!$L$4:$L$8000,$A133,'Timesheet Raw'!$C$4:$C$8000,D$3,'Timesheet Raw'!$B$4:$B$8000,'Work Calendar'!$A$26)+SUMIFS('Timesheet Raw'!$P$4:$P$8000,'Timesheet Raw'!$L$4:$L$8000,$A133,'Timesheet Raw'!$C$4:$C$8000,D$3,'Timesheet Raw'!$B$4:$B$8000,'Work Calendar'!$A$27)+SUMIFS('Timesheet Raw'!$P$4:$P$8000,'Timesheet Raw'!$L$4:$L$8000,$A133,'Timesheet Raw'!$C$4:$C$8000,D$3,'Timesheet Raw'!$B$4:$B$8000,'Work Calendar'!$A$28)+SUMIFS('Timesheet Raw'!$P$4:$P$8000,'Timesheet Raw'!$L$4:$L$8000,$A133,'Timesheet Raw'!$C$4:$C$8000,D$3,'Timesheet Raw'!$B$4:$B$8000,'Work Calendar'!$A$29))</f>
        <v>0</v>
      </c>
      <c r="G133" s="341">
        <f t="shared" si="5"/>
        <v>0</v>
      </c>
      <c r="H133" s="395">
        <f>IF($A133="","",SUMIFS('Timesheet Raw'!$K$4:$K$8000,'Timesheet Raw'!$L$4:$L$8000,$A133,'Timesheet Raw'!$C$4:$C$8000,D$3))</f>
        <v>0</v>
      </c>
      <c r="I133" s="345">
        <f>IF($A133="","",SUMIFS('Timesheet Raw'!$P$4:$P$8000,'Timesheet Raw'!$L$4:$L$8000,$A133,'Timesheet Raw'!$C$4:$C$8000,D$3))</f>
        <v>0</v>
      </c>
      <c r="J133" s="375"/>
      <c r="K133" t="str">
        <f>IF($A133="","",IF(J133&lt;&gt;"",J133,IF($A133&gt;'Work Calendar'!$B$17,"No data yet",IF(AND(F133&gt;='Work Calendar'!$B$14,D133+E133+G133&gt;0),"Day off - but worked",IF(F133&gt;='Work Calendar'!$B$14,"Day off",IF(D133+E133+G133&gt;0,IF($C133="Working","Charged","Worked weekend"),IF($C133="Working","Leave (not charged)",$C133)))))))</f>
        <v>Weekend</v>
      </c>
      <c r="L133" s="341">
        <f>IF($A133="","",SUMIFS('Timesheet Raw'!$P$4:$P$8000,'Timesheet Raw'!$L$4:$L$8000,$A133,'Timesheet Raw'!$C$4:$C$8000,L$3,'Timesheet Raw'!$A$4:$A$8000,"1-Projects"))</f>
        <v>0</v>
      </c>
      <c r="M133" s="341">
        <f>IF($A133="","",SUMIFS('Timesheet Raw'!$P$4:$P$8000,'Timesheet Raw'!$L$4:$L$8000,$A133,'Timesheet Raw'!$C$4:$C$8000,L$3,'Timesheet Raw'!$A$4:$A$8000,"2-Proposals Chargeable")+SUMIFS('Timesheet Raw'!$P$4:$P$8000,'Timesheet Raw'!$L$4:$L$8000,$A133,'Timesheet Raw'!$C$4:$C$8000,L$3,'Timesheet Raw'!$A$4:$A$8000,"3-Proposals Regular"))</f>
        <v>0</v>
      </c>
      <c r="N133" s="341">
        <f>IF($A133="","",SUMIFS('Timesheet Raw'!$P$4:$P$8000,'Timesheet Raw'!$L$4:$L$8000,$A133,'Timesheet Raw'!$C$4:$C$8000,L$3,'Timesheet Raw'!$B$4:$B$8000,'Work Calendar'!$A$26)+SUMIFS('Timesheet Raw'!$P$4:$P$8000,'Timesheet Raw'!$L$4:$L$8000,$A133,'Timesheet Raw'!$C$4:$C$8000,L$3,'Timesheet Raw'!$B$4:$B$8000,'Work Calendar'!$A$27)+SUMIFS('Timesheet Raw'!$P$4:$P$8000,'Timesheet Raw'!$L$4:$L$8000,$A133,'Timesheet Raw'!$C$4:$C$8000,L$3,'Timesheet Raw'!$B$4:$B$8000,'Work Calendar'!$A$28)+SUMIFS('Timesheet Raw'!$P$4:$P$8000,'Timesheet Raw'!$L$4:$L$8000,$A133,'Timesheet Raw'!$C$4:$C$8000,L$3,'Timesheet Raw'!$B$4:$B$8000,'Work Calendar'!$A$29))</f>
        <v>0</v>
      </c>
      <c r="O133" s="341">
        <f t="shared" si="6"/>
        <v>0</v>
      </c>
      <c r="P133" s="395">
        <f>IF($A133="","",SUMIFS('Timesheet Raw'!$K$4:$K$8000,'Timesheet Raw'!$L$4:$L$8000,$A133,'Timesheet Raw'!$C$4:$C$8000,L$3))</f>
        <v>0</v>
      </c>
      <c r="Q133" s="345">
        <f>IF($A133="","",SUMIFS('Timesheet Raw'!$P$4:$P$8000,'Timesheet Raw'!$L$4:$L$8000,$A133,'Timesheet Raw'!$C$4:$C$8000,L$3))</f>
        <v>0</v>
      </c>
      <c r="R133" s="375"/>
      <c r="S133" t="str">
        <f>IF($A133="","",IF(R133&lt;&gt;"",R133,IF($A133&gt;'Work Calendar'!$B$17,"No data yet",IF(AND(N133&gt;='Work Calendar'!$B$14,L133+M133+O133&gt;0),"Day off - but worked",IF(N133&gt;='Work Calendar'!$B$14,"Day off",IF(L133+M133+O133&gt;0,IF($C133="Working","Charged","Worked weekend"),IF($C133="Working","Leave (not charged)",$C133)))))))</f>
        <v>Weekend</v>
      </c>
      <c r="T133" s="341">
        <f>IF($A133="","",SUMIFS('Timesheet Raw'!$P$4:$P$8000,'Timesheet Raw'!$L$4:$L$8000,$A133,'Timesheet Raw'!$C$4:$C$8000,T$3,'Timesheet Raw'!$A$4:$A$8000,"1-Projects"))</f>
        <v>0</v>
      </c>
      <c r="U133" s="341">
        <f>IF($A133="","",SUMIFS('Timesheet Raw'!$P$4:$P$8000,'Timesheet Raw'!$L$4:$L$8000,$A133,'Timesheet Raw'!$C$4:$C$8000,T$3,'Timesheet Raw'!$A$4:$A$8000,"2-Proposals Chargeable")+SUMIFS('Timesheet Raw'!$P$4:$P$8000,'Timesheet Raw'!$L$4:$L$8000,$A133,'Timesheet Raw'!$C$4:$C$8000,T$3,'Timesheet Raw'!$A$4:$A$8000,"3-Proposals Regular"))</f>
        <v>0</v>
      </c>
      <c r="V133" s="341">
        <f>IF($A133="","",SUMIFS('Timesheet Raw'!$P$4:$P$8000,'Timesheet Raw'!$L$4:$L$8000,$A133,'Timesheet Raw'!$C$4:$C$8000,T$3,'Timesheet Raw'!$B$4:$B$8000,'Work Calendar'!$A$26)+SUMIFS('Timesheet Raw'!$P$4:$P$8000,'Timesheet Raw'!$L$4:$L$8000,$A133,'Timesheet Raw'!$C$4:$C$8000,T$3,'Timesheet Raw'!$B$4:$B$8000,'Work Calendar'!$A$27)+SUMIFS('Timesheet Raw'!$P$4:$P$8000,'Timesheet Raw'!$L$4:$L$8000,$A133,'Timesheet Raw'!$C$4:$C$8000,T$3,'Timesheet Raw'!$B$4:$B$8000,'Work Calendar'!$A$28)+SUMIFS('Timesheet Raw'!$P$4:$P$8000,'Timesheet Raw'!$L$4:$L$8000,$A133,'Timesheet Raw'!$C$4:$C$8000,T$3,'Timesheet Raw'!$B$4:$B$8000,'Work Calendar'!$A$29))</f>
        <v>0</v>
      </c>
      <c r="W133" s="341">
        <f t="shared" si="7"/>
        <v>0</v>
      </c>
      <c r="X133" s="395">
        <f>IF($A133="","",SUMIFS('Timesheet Raw'!$K$4:$K$8000,'Timesheet Raw'!$L$4:$L$8000,$A133,'Timesheet Raw'!$C$4:$C$8000,T$3))</f>
        <v>0</v>
      </c>
      <c r="Y133" s="345">
        <f>IF($A133="","",SUMIFS('Timesheet Raw'!$P$4:$P$8000,'Timesheet Raw'!$L$4:$L$8000,$A133,'Timesheet Raw'!$C$4:$C$8000,T$3))</f>
        <v>0</v>
      </c>
      <c r="Z133" s="375"/>
      <c r="AA133" t="str">
        <f>IF($A133="","",IF(Z133&lt;&gt;"",Z133,IF($A133&gt;'Work Calendar'!$B$17,"No data yet",IF(AND(V133&gt;='Work Calendar'!$B$14,T133+U133+W133&gt;0),"Day off - but worked",IF(V133&gt;='Work Calendar'!$B$14,"Day off",IF(T133+U133+W133&gt;0,IF($C133="Working","Charged","Worked weekend"),IF($C133="Working","Leave (not charged)",$C133)))))))</f>
        <v>Weekend</v>
      </c>
    </row>
    <row r="134" spans="1:27" x14ac:dyDescent="0.3">
      <c r="A134" s="371">
        <f>IF($A133="","",IF($A133+1&gt;'Work Calendar'!$B$16,"",$A133+1))</f>
        <v>46152</v>
      </c>
      <c r="B134" t="str">
        <f t="shared" ref="B134:B197" si="8">IF($A134="","",TEXT($A134,"ddd"))</f>
        <v>Sun</v>
      </c>
      <c r="C134" t="str" cm="1">
        <f t="array" ref="C134">IF($A134="","",IF(COUNTIF('Work Calendar'!$E$6:$E$200,$A134)&gt;0,"Holiday",IF(INDEX('Work Calendar'!$C$6:$C$12,WEEKDAY($A134,1))=1,"Working","Weekend")))</f>
        <v>Working</v>
      </c>
      <c r="D134" s="341">
        <f>IF($A134="","",SUMIFS('Timesheet Raw'!$P$4:$P$8000,'Timesheet Raw'!$L$4:$L$8000,$A134,'Timesheet Raw'!$C$4:$C$8000,D$3,'Timesheet Raw'!$A$4:$A$8000,"1-Projects"))</f>
        <v>9.5</v>
      </c>
      <c r="E134" s="341">
        <f>IF($A134="","",SUMIFS('Timesheet Raw'!$P$4:$P$8000,'Timesheet Raw'!$L$4:$L$8000,$A134,'Timesheet Raw'!$C$4:$C$8000,D$3,'Timesheet Raw'!$A$4:$A$8000,"2-Proposals Chargeable")+SUMIFS('Timesheet Raw'!$P$4:$P$8000,'Timesheet Raw'!$L$4:$L$8000,$A134,'Timesheet Raw'!$C$4:$C$8000,D$3,'Timesheet Raw'!$A$4:$A$8000,"3-Proposals Regular"))</f>
        <v>0</v>
      </c>
      <c r="F134" s="341">
        <f>IF($A134="","",SUMIFS('Timesheet Raw'!$P$4:$P$8000,'Timesheet Raw'!$L$4:$L$8000,$A134,'Timesheet Raw'!$C$4:$C$8000,D$3,'Timesheet Raw'!$B$4:$B$8000,'Work Calendar'!$A$26)+SUMIFS('Timesheet Raw'!$P$4:$P$8000,'Timesheet Raw'!$L$4:$L$8000,$A134,'Timesheet Raw'!$C$4:$C$8000,D$3,'Timesheet Raw'!$B$4:$B$8000,'Work Calendar'!$A$27)+SUMIFS('Timesheet Raw'!$P$4:$P$8000,'Timesheet Raw'!$L$4:$L$8000,$A134,'Timesheet Raw'!$C$4:$C$8000,D$3,'Timesheet Raw'!$B$4:$B$8000,'Work Calendar'!$A$28)+SUMIFS('Timesheet Raw'!$P$4:$P$8000,'Timesheet Raw'!$L$4:$L$8000,$A134,'Timesheet Raw'!$C$4:$C$8000,D$3,'Timesheet Raw'!$B$4:$B$8000,'Work Calendar'!$A$29))</f>
        <v>0.25</v>
      </c>
      <c r="G134" s="341">
        <f t="shared" ref="G134:G197" si="9">IF($A134="","",MAX(0,I134-D134-E134-F134))</f>
        <v>0</v>
      </c>
      <c r="H134" s="395">
        <f>IF($A134="","",SUMIFS('Timesheet Raw'!$K$4:$K$8000,'Timesheet Raw'!$L$4:$L$8000,$A134,'Timesheet Raw'!$C$4:$C$8000,D$3))</f>
        <v>1.25</v>
      </c>
      <c r="I134" s="345">
        <f>IF($A134="","",SUMIFS('Timesheet Raw'!$P$4:$P$8000,'Timesheet Raw'!$L$4:$L$8000,$A134,'Timesheet Raw'!$C$4:$C$8000,D$3))</f>
        <v>9.75</v>
      </c>
      <c r="J134" s="375"/>
      <c r="K134" t="str">
        <f>IF($A134="","",IF(J134&lt;&gt;"",J134,IF($A134&gt;'Work Calendar'!$B$17,"No data yet",IF(AND(F134&gt;='Work Calendar'!$B$14,D134+E134+G134&gt;0),"Day off - but worked",IF(F134&gt;='Work Calendar'!$B$14,"Day off",IF(D134+E134+G134&gt;0,IF($C134="Working","Charged","Worked weekend"),IF($C134="Working","Leave (not charged)",$C134)))))))</f>
        <v>Charged</v>
      </c>
      <c r="L134" s="341">
        <f>IF($A134="","",SUMIFS('Timesheet Raw'!$P$4:$P$8000,'Timesheet Raw'!$L$4:$L$8000,$A134,'Timesheet Raw'!$C$4:$C$8000,L$3,'Timesheet Raw'!$A$4:$A$8000,"1-Projects"))</f>
        <v>0</v>
      </c>
      <c r="M134" s="341">
        <f>IF($A134="","",SUMIFS('Timesheet Raw'!$P$4:$P$8000,'Timesheet Raw'!$L$4:$L$8000,$A134,'Timesheet Raw'!$C$4:$C$8000,L$3,'Timesheet Raw'!$A$4:$A$8000,"2-Proposals Chargeable")+SUMIFS('Timesheet Raw'!$P$4:$P$8000,'Timesheet Raw'!$L$4:$L$8000,$A134,'Timesheet Raw'!$C$4:$C$8000,L$3,'Timesheet Raw'!$A$4:$A$8000,"3-Proposals Regular"))</f>
        <v>0</v>
      </c>
      <c r="N134" s="341">
        <f>IF($A134="","",SUMIFS('Timesheet Raw'!$P$4:$P$8000,'Timesheet Raw'!$L$4:$L$8000,$A134,'Timesheet Raw'!$C$4:$C$8000,L$3,'Timesheet Raw'!$B$4:$B$8000,'Work Calendar'!$A$26)+SUMIFS('Timesheet Raw'!$P$4:$P$8000,'Timesheet Raw'!$L$4:$L$8000,$A134,'Timesheet Raw'!$C$4:$C$8000,L$3,'Timesheet Raw'!$B$4:$B$8000,'Work Calendar'!$A$27)+SUMIFS('Timesheet Raw'!$P$4:$P$8000,'Timesheet Raw'!$L$4:$L$8000,$A134,'Timesheet Raw'!$C$4:$C$8000,L$3,'Timesheet Raw'!$B$4:$B$8000,'Work Calendar'!$A$28)+SUMIFS('Timesheet Raw'!$P$4:$P$8000,'Timesheet Raw'!$L$4:$L$8000,$A134,'Timesheet Raw'!$C$4:$C$8000,L$3,'Timesheet Raw'!$B$4:$B$8000,'Work Calendar'!$A$29))</f>
        <v>8.5</v>
      </c>
      <c r="O134" s="341">
        <f t="shared" ref="O134:O197" si="10">IF($A134="","",MAX(0,Q134-L134-M134-N134))</f>
        <v>0</v>
      </c>
      <c r="P134" s="395">
        <f>IF($A134="","",SUMIFS('Timesheet Raw'!$K$4:$K$8000,'Timesheet Raw'!$L$4:$L$8000,$A134,'Timesheet Raw'!$C$4:$C$8000,L$3))</f>
        <v>0</v>
      </c>
      <c r="Q134" s="345">
        <f>IF($A134="","",SUMIFS('Timesheet Raw'!$P$4:$P$8000,'Timesheet Raw'!$L$4:$L$8000,$A134,'Timesheet Raw'!$C$4:$C$8000,L$3))</f>
        <v>8.5</v>
      </c>
      <c r="R134" s="375"/>
      <c r="S134" t="str">
        <f>IF($A134="","",IF(R134&lt;&gt;"",R134,IF($A134&gt;'Work Calendar'!$B$17,"No data yet",IF(AND(N134&gt;='Work Calendar'!$B$14,L134+M134+O134&gt;0),"Day off - but worked",IF(N134&gt;='Work Calendar'!$B$14,"Day off",IF(L134+M134+O134&gt;0,IF($C134="Working","Charged","Worked weekend"),IF($C134="Working","Leave (not charged)",$C134)))))))</f>
        <v>Day off</v>
      </c>
      <c r="T134" s="341">
        <f>IF($A134="","",SUMIFS('Timesheet Raw'!$P$4:$P$8000,'Timesheet Raw'!$L$4:$L$8000,$A134,'Timesheet Raw'!$C$4:$C$8000,T$3,'Timesheet Raw'!$A$4:$A$8000,"1-Projects"))</f>
        <v>9.75</v>
      </c>
      <c r="U134" s="341">
        <f>IF($A134="","",SUMIFS('Timesheet Raw'!$P$4:$P$8000,'Timesheet Raw'!$L$4:$L$8000,$A134,'Timesheet Raw'!$C$4:$C$8000,T$3,'Timesheet Raw'!$A$4:$A$8000,"2-Proposals Chargeable")+SUMIFS('Timesheet Raw'!$P$4:$P$8000,'Timesheet Raw'!$L$4:$L$8000,$A134,'Timesheet Raw'!$C$4:$C$8000,T$3,'Timesheet Raw'!$A$4:$A$8000,"3-Proposals Regular"))</f>
        <v>0</v>
      </c>
      <c r="V134" s="341">
        <f>IF($A134="","",SUMIFS('Timesheet Raw'!$P$4:$P$8000,'Timesheet Raw'!$L$4:$L$8000,$A134,'Timesheet Raw'!$C$4:$C$8000,T$3,'Timesheet Raw'!$B$4:$B$8000,'Work Calendar'!$A$26)+SUMIFS('Timesheet Raw'!$P$4:$P$8000,'Timesheet Raw'!$L$4:$L$8000,$A134,'Timesheet Raw'!$C$4:$C$8000,T$3,'Timesheet Raw'!$B$4:$B$8000,'Work Calendar'!$A$27)+SUMIFS('Timesheet Raw'!$P$4:$P$8000,'Timesheet Raw'!$L$4:$L$8000,$A134,'Timesheet Raw'!$C$4:$C$8000,T$3,'Timesheet Raw'!$B$4:$B$8000,'Work Calendar'!$A$28)+SUMIFS('Timesheet Raw'!$P$4:$P$8000,'Timesheet Raw'!$L$4:$L$8000,$A134,'Timesheet Raw'!$C$4:$C$8000,T$3,'Timesheet Raw'!$B$4:$B$8000,'Work Calendar'!$A$29))</f>
        <v>0.25</v>
      </c>
      <c r="W134" s="341">
        <f t="shared" ref="W134:W197" si="11">IF($A134="","",MAX(0,Y134-T134-U134-V134))</f>
        <v>0</v>
      </c>
      <c r="X134" s="395">
        <f>IF($A134="","",SUMIFS('Timesheet Raw'!$K$4:$K$8000,'Timesheet Raw'!$L$4:$L$8000,$A134,'Timesheet Raw'!$C$4:$C$8000,T$3))</f>
        <v>1.5</v>
      </c>
      <c r="Y134" s="345">
        <f>IF($A134="","",SUMIFS('Timesheet Raw'!$P$4:$P$8000,'Timesheet Raw'!$L$4:$L$8000,$A134,'Timesheet Raw'!$C$4:$C$8000,T$3))</f>
        <v>10</v>
      </c>
      <c r="Z134" s="375"/>
      <c r="AA134" t="str">
        <f>IF($A134="","",IF(Z134&lt;&gt;"",Z134,IF($A134&gt;'Work Calendar'!$B$17,"No data yet",IF(AND(V134&gt;='Work Calendar'!$B$14,T134+U134+W134&gt;0),"Day off - but worked",IF(V134&gt;='Work Calendar'!$B$14,"Day off",IF(T134+U134+W134&gt;0,IF($C134="Working","Charged","Worked weekend"),IF($C134="Working","Leave (not charged)",$C134)))))))</f>
        <v>Charged</v>
      </c>
    </row>
    <row r="135" spans="1:27" x14ac:dyDescent="0.3">
      <c r="A135" s="371">
        <f>IF($A134="","",IF($A134+1&gt;'Work Calendar'!$B$16,"",$A134+1))</f>
        <v>46153</v>
      </c>
      <c r="B135" t="str">
        <f t="shared" si="8"/>
        <v>Mon</v>
      </c>
      <c r="C135" t="str" cm="1">
        <f t="array" ref="C135">IF($A135="","",IF(COUNTIF('Work Calendar'!$E$6:$E$200,$A135)&gt;0,"Holiday",IF(INDEX('Work Calendar'!$C$6:$C$12,WEEKDAY($A135,1))=1,"Working","Weekend")))</f>
        <v>Working</v>
      </c>
      <c r="D135" s="341">
        <f>IF($A135="","",SUMIFS('Timesheet Raw'!$P$4:$P$8000,'Timesheet Raw'!$L$4:$L$8000,$A135,'Timesheet Raw'!$C$4:$C$8000,D$3,'Timesheet Raw'!$A$4:$A$8000,"1-Projects"))</f>
        <v>13.75</v>
      </c>
      <c r="E135" s="341">
        <f>IF($A135="","",SUMIFS('Timesheet Raw'!$P$4:$P$8000,'Timesheet Raw'!$L$4:$L$8000,$A135,'Timesheet Raw'!$C$4:$C$8000,D$3,'Timesheet Raw'!$A$4:$A$8000,"2-Proposals Chargeable")+SUMIFS('Timesheet Raw'!$P$4:$P$8000,'Timesheet Raw'!$L$4:$L$8000,$A135,'Timesheet Raw'!$C$4:$C$8000,D$3,'Timesheet Raw'!$A$4:$A$8000,"3-Proposals Regular"))</f>
        <v>0</v>
      </c>
      <c r="F135" s="341">
        <f>IF($A135="","",SUMIFS('Timesheet Raw'!$P$4:$P$8000,'Timesheet Raw'!$L$4:$L$8000,$A135,'Timesheet Raw'!$C$4:$C$8000,D$3,'Timesheet Raw'!$B$4:$B$8000,'Work Calendar'!$A$26)+SUMIFS('Timesheet Raw'!$P$4:$P$8000,'Timesheet Raw'!$L$4:$L$8000,$A135,'Timesheet Raw'!$C$4:$C$8000,D$3,'Timesheet Raw'!$B$4:$B$8000,'Work Calendar'!$A$27)+SUMIFS('Timesheet Raw'!$P$4:$P$8000,'Timesheet Raw'!$L$4:$L$8000,$A135,'Timesheet Raw'!$C$4:$C$8000,D$3,'Timesheet Raw'!$B$4:$B$8000,'Work Calendar'!$A$28)+SUMIFS('Timesheet Raw'!$P$4:$P$8000,'Timesheet Raw'!$L$4:$L$8000,$A135,'Timesheet Raw'!$C$4:$C$8000,D$3,'Timesheet Raw'!$B$4:$B$8000,'Work Calendar'!$A$29))</f>
        <v>0.75</v>
      </c>
      <c r="G135" s="341">
        <f t="shared" si="9"/>
        <v>0</v>
      </c>
      <c r="H135" s="395">
        <f>IF($A135="","",SUMIFS('Timesheet Raw'!$K$4:$K$8000,'Timesheet Raw'!$L$4:$L$8000,$A135,'Timesheet Raw'!$C$4:$C$8000,D$3))</f>
        <v>6</v>
      </c>
      <c r="I135" s="345">
        <f>IF($A135="","",SUMIFS('Timesheet Raw'!$P$4:$P$8000,'Timesheet Raw'!$L$4:$L$8000,$A135,'Timesheet Raw'!$C$4:$C$8000,D$3))</f>
        <v>14.5</v>
      </c>
      <c r="J135" s="375"/>
      <c r="K135" t="str">
        <f>IF($A135="","",IF(J135&lt;&gt;"",J135,IF($A135&gt;'Work Calendar'!$B$17,"No data yet",IF(AND(F135&gt;='Work Calendar'!$B$14,D135+E135+G135&gt;0),"Day off - but worked",IF(F135&gt;='Work Calendar'!$B$14,"Day off",IF(D135+E135+G135&gt;0,IF($C135="Working","Charged","Worked weekend"),IF($C135="Working","Leave (not charged)",$C135)))))))</f>
        <v>Charged</v>
      </c>
      <c r="L135" s="341">
        <f>IF($A135="","",SUMIFS('Timesheet Raw'!$P$4:$P$8000,'Timesheet Raw'!$L$4:$L$8000,$A135,'Timesheet Raw'!$C$4:$C$8000,L$3,'Timesheet Raw'!$A$4:$A$8000,"1-Projects"))</f>
        <v>13.5</v>
      </c>
      <c r="M135" s="341">
        <f>IF($A135="","",SUMIFS('Timesheet Raw'!$P$4:$P$8000,'Timesheet Raw'!$L$4:$L$8000,$A135,'Timesheet Raw'!$C$4:$C$8000,L$3,'Timesheet Raw'!$A$4:$A$8000,"2-Proposals Chargeable")+SUMIFS('Timesheet Raw'!$P$4:$P$8000,'Timesheet Raw'!$L$4:$L$8000,$A135,'Timesheet Raw'!$C$4:$C$8000,L$3,'Timesheet Raw'!$A$4:$A$8000,"3-Proposals Regular"))</f>
        <v>0</v>
      </c>
      <c r="N135" s="341">
        <f>IF($A135="","",SUMIFS('Timesheet Raw'!$P$4:$P$8000,'Timesheet Raw'!$L$4:$L$8000,$A135,'Timesheet Raw'!$C$4:$C$8000,L$3,'Timesheet Raw'!$B$4:$B$8000,'Work Calendar'!$A$26)+SUMIFS('Timesheet Raw'!$P$4:$P$8000,'Timesheet Raw'!$L$4:$L$8000,$A135,'Timesheet Raw'!$C$4:$C$8000,L$3,'Timesheet Raw'!$B$4:$B$8000,'Work Calendar'!$A$27)+SUMIFS('Timesheet Raw'!$P$4:$P$8000,'Timesheet Raw'!$L$4:$L$8000,$A135,'Timesheet Raw'!$C$4:$C$8000,L$3,'Timesheet Raw'!$B$4:$B$8000,'Work Calendar'!$A$28)+SUMIFS('Timesheet Raw'!$P$4:$P$8000,'Timesheet Raw'!$L$4:$L$8000,$A135,'Timesheet Raw'!$C$4:$C$8000,L$3,'Timesheet Raw'!$B$4:$B$8000,'Work Calendar'!$A$29))</f>
        <v>0</v>
      </c>
      <c r="O135" s="341">
        <f t="shared" si="10"/>
        <v>0</v>
      </c>
      <c r="P135" s="395">
        <f>IF($A135="","",SUMIFS('Timesheet Raw'!$K$4:$K$8000,'Timesheet Raw'!$L$4:$L$8000,$A135,'Timesheet Raw'!$C$4:$C$8000,L$3))</f>
        <v>5</v>
      </c>
      <c r="Q135" s="345">
        <f>IF($A135="","",SUMIFS('Timesheet Raw'!$P$4:$P$8000,'Timesheet Raw'!$L$4:$L$8000,$A135,'Timesheet Raw'!$C$4:$C$8000,L$3))</f>
        <v>13.5</v>
      </c>
      <c r="R135" s="375"/>
      <c r="S135" t="str">
        <f>IF($A135="","",IF(R135&lt;&gt;"",R135,IF($A135&gt;'Work Calendar'!$B$17,"No data yet",IF(AND(N135&gt;='Work Calendar'!$B$14,L135+M135+O135&gt;0),"Day off - but worked",IF(N135&gt;='Work Calendar'!$B$14,"Day off",IF(L135+M135+O135&gt;0,IF($C135="Working","Charged","Worked weekend"),IF($C135="Working","Leave (not charged)",$C135)))))))</f>
        <v>Charged</v>
      </c>
      <c r="T135" s="341">
        <f>IF($A135="","",SUMIFS('Timesheet Raw'!$P$4:$P$8000,'Timesheet Raw'!$L$4:$L$8000,$A135,'Timesheet Raw'!$C$4:$C$8000,T$3,'Timesheet Raw'!$A$4:$A$8000,"1-Projects"))</f>
        <v>13</v>
      </c>
      <c r="U135" s="341">
        <f>IF($A135="","",SUMIFS('Timesheet Raw'!$P$4:$P$8000,'Timesheet Raw'!$L$4:$L$8000,$A135,'Timesheet Raw'!$C$4:$C$8000,T$3,'Timesheet Raw'!$A$4:$A$8000,"2-Proposals Chargeable")+SUMIFS('Timesheet Raw'!$P$4:$P$8000,'Timesheet Raw'!$L$4:$L$8000,$A135,'Timesheet Raw'!$C$4:$C$8000,T$3,'Timesheet Raw'!$A$4:$A$8000,"3-Proposals Regular"))</f>
        <v>0</v>
      </c>
      <c r="V135" s="341">
        <f>IF($A135="","",SUMIFS('Timesheet Raw'!$P$4:$P$8000,'Timesheet Raw'!$L$4:$L$8000,$A135,'Timesheet Raw'!$C$4:$C$8000,T$3,'Timesheet Raw'!$B$4:$B$8000,'Work Calendar'!$A$26)+SUMIFS('Timesheet Raw'!$P$4:$P$8000,'Timesheet Raw'!$L$4:$L$8000,$A135,'Timesheet Raw'!$C$4:$C$8000,T$3,'Timesheet Raw'!$B$4:$B$8000,'Work Calendar'!$A$27)+SUMIFS('Timesheet Raw'!$P$4:$P$8000,'Timesheet Raw'!$L$4:$L$8000,$A135,'Timesheet Raw'!$C$4:$C$8000,T$3,'Timesheet Raw'!$B$4:$B$8000,'Work Calendar'!$A$28)+SUMIFS('Timesheet Raw'!$P$4:$P$8000,'Timesheet Raw'!$L$4:$L$8000,$A135,'Timesheet Raw'!$C$4:$C$8000,T$3,'Timesheet Raw'!$B$4:$B$8000,'Work Calendar'!$A$29))</f>
        <v>0.5</v>
      </c>
      <c r="W135" s="341">
        <f t="shared" si="11"/>
        <v>0</v>
      </c>
      <c r="X135" s="395">
        <f>IF($A135="","",SUMIFS('Timesheet Raw'!$K$4:$K$8000,'Timesheet Raw'!$L$4:$L$8000,$A135,'Timesheet Raw'!$C$4:$C$8000,T$3))</f>
        <v>5</v>
      </c>
      <c r="Y135" s="345">
        <f>IF($A135="","",SUMIFS('Timesheet Raw'!$P$4:$P$8000,'Timesheet Raw'!$L$4:$L$8000,$A135,'Timesheet Raw'!$C$4:$C$8000,T$3))</f>
        <v>13.5</v>
      </c>
      <c r="Z135" s="375"/>
      <c r="AA135" t="str">
        <f>IF($A135="","",IF(Z135&lt;&gt;"",Z135,IF($A135&gt;'Work Calendar'!$B$17,"No data yet",IF(AND(V135&gt;='Work Calendar'!$B$14,T135+U135+W135&gt;0),"Day off - but worked",IF(V135&gt;='Work Calendar'!$B$14,"Day off",IF(T135+U135+W135&gt;0,IF($C135="Working","Charged","Worked weekend"),IF($C135="Working","Leave (not charged)",$C135)))))))</f>
        <v>Charged</v>
      </c>
    </row>
    <row r="136" spans="1:27" x14ac:dyDescent="0.3">
      <c r="A136" s="371">
        <f>IF($A135="","",IF($A135+1&gt;'Work Calendar'!$B$16,"",$A135+1))</f>
        <v>46154</v>
      </c>
      <c r="B136" t="str">
        <f t="shared" si="8"/>
        <v>Tue</v>
      </c>
      <c r="C136" t="str" cm="1">
        <f t="array" ref="C136">IF($A136="","",IF(COUNTIF('Work Calendar'!$E$6:$E$200,$A136)&gt;0,"Holiday",IF(INDEX('Work Calendar'!$C$6:$C$12,WEEKDAY($A136,1))=1,"Working","Weekend")))</f>
        <v>Working</v>
      </c>
      <c r="D136" s="341">
        <f>IF($A136="","",SUMIFS('Timesheet Raw'!$P$4:$P$8000,'Timesheet Raw'!$L$4:$L$8000,$A136,'Timesheet Raw'!$C$4:$C$8000,D$3,'Timesheet Raw'!$A$4:$A$8000,"1-Projects"))</f>
        <v>15.5</v>
      </c>
      <c r="E136" s="341">
        <f>IF($A136="","",SUMIFS('Timesheet Raw'!$P$4:$P$8000,'Timesheet Raw'!$L$4:$L$8000,$A136,'Timesheet Raw'!$C$4:$C$8000,D$3,'Timesheet Raw'!$A$4:$A$8000,"2-Proposals Chargeable")+SUMIFS('Timesheet Raw'!$P$4:$P$8000,'Timesheet Raw'!$L$4:$L$8000,$A136,'Timesheet Raw'!$C$4:$C$8000,D$3,'Timesheet Raw'!$A$4:$A$8000,"3-Proposals Regular"))</f>
        <v>0</v>
      </c>
      <c r="F136" s="341">
        <f>IF($A136="","",SUMIFS('Timesheet Raw'!$P$4:$P$8000,'Timesheet Raw'!$L$4:$L$8000,$A136,'Timesheet Raw'!$C$4:$C$8000,D$3,'Timesheet Raw'!$B$4:$B$8000,'Work Calendar'!$A$26)+SUMIFS('Timesheet Raw'!$P$4:$P$8000,'Timesheet Raw'!$L$4:$L$8000,$A136,'Timesheet Raw'!$C$4:$C$8000,D$3,'Timesheet Raw'!$B$4:$B$8000,'Work Calendar'!$A$27)+SUMIFS('Timesheet Raw'!$P$4:$P$8000,'Timesheet Raw'!$L$4:$L$8000,$A136,'Timesheet Raw'!$C$4:$C$8000,D$3,'Timesheet Raw'!$B$4:$B$8000,'Work Calendar'!$A$28)+SUMIFS('Timesheet Raw'!$P$4:$P$8000,'Timesheet Raw'!$L$4:$L$8000,$A136,'Timesheet Raw'!$C$4:$C$8000,D$3,'Timesheet Raw'!$B$4:$B$8000,'Work Calendar'!$A$29))</f>
        <v>0.5</v>
      </c>
      <c r="G136" s="341">
        <f t="shared" si="9"/>
        <v>0</v>
      </c>
      <c r="H136" s="395">
        <f>IF($A136="","",SUMIFS('Timesheet Raw'!$K$4:$K$8000,'Timesheet Raw'!$L$4:$L$8000,$A136,'Timesheet Raw'!$C$4:$C$8000,D$3))</f>
        <v>7.5</v>
      </c>
      <c r="I136" s="345">
        <f>IF($A136="","",SUMIFS('Timesheet Raw'!$P$4:$P$8000,'Timesheet Raw'!$L$4:$L$8000,$A136,'Timesheet Raw'!$C$4:$C$8000,D$3))</f>
        <v>16</v>
      </c>
      <c r="J136" s="375"/>
      <c r="K136" t="str">
        <f>IF($A136="","",IF(J136&lt;&gt;"",J136,IF($A136&gt;'Work Calendar'!$B$17,"No data yet",IF(AND(F136&gt;='Work Calendar'!$B$14,D136+E136+G136&gt;0),"Day off - but worked",IF(F136&gt;='Work Calendar'!$B$14,"Day off",IF(D136+E136+G136&gt;0,IF($C136="Working","Charged","Worked weekend"),IF($C136="Working","Leave (not charged)",$C136)))))))</f>
        <v>Charged</v>
      </c>
      <c r="L136" s="341">
        <f>IF($A136="","",SUMIFS('Timesheet Raw'!$P$4:$P$8000,'Timesheet Raw'!$L$4:$L$8000,$A136,'Timesheet Raw'!$C$4:$C$8000,L$3,'Timesheet Raw'!$A$4:$A$8000,"1-Projects"))</f>
        <v>14.75</v>
      </c>
      <c r="M136" s="341">
        <f>IF($A136="","",SUMIFS('Timesheet Raw'!$P$4:$P$8000,'Timesheet Raw'!$L$4:$L$8000,$A136,'Timesheet Raw'!$C$4:$C$8000,L$3,'Timesheet Raw'!$A$4:$A$8000,"2-Proposals Chargeable")+SUMIFS('Timesheet Raw'!$P$4:$P$8000,'Timesheet Raw'!$L$4:$L$8000,$A136,'Timesheet Raw'!$C$4:$C$8000,L$3,'Timesheet Raw'!$A$4:$A$8000,"3-Proposals Regular"))</f>
        <v>0</v>
      </c>
      <c r="N136" s="341">
        <f>IF($A136="","",SUMIFS('Timesheet Raw'!$P$4:$P$8000,'Timesheet Raw'!$L$4:$L$8000,$A136,'Timesheet Raw'!$C$4:$C$8000,L$3,'Timesheet Raw'!$B$4:$B$8000,'Work Calendar'!$A$26)+SUMIFS('Timesheet Raw'!$P$4:$P$8000,'Timesheet Raw'!$L$4:$L$8000,$A136,'Timesheet Raw'!$C$4:$C$8000,L$3,'Timesheet Raw'!$B$4:$B$8000,'Work Calendar'!$A$27)+SUMIFS('Timesheet Raw'!$P$4:$P$8000,'Timesheet Raw'!$L$4:$L$8000,$A136,'Timesheet Raw'!$C$4:$C$8000,L$3,'Timesheet Raw'!$B$4:$B$8000,'Work Calendar'!$A$28)+SUMIFS('Timesheet Raw'!$P$4:$P$8000,'Timesheet Raw'!$L$4:$L$8000,$A136,'Timesheet Raw'!$C$4:$C$8000,L$3,'Timesheet Raw'!$B$4:$B$8000,'Work Calendar'!$A$29))</f>
        <v>0.25</v>
      </c>
      <c r="O136" s="341">
        <f t="shared" si="10"/>
        <v>0</v>
      </c>
      <c r="P136" s="395">
        <f>IF($A136="","",SUMIFS('Timesheet Raw'!$K$4:$K$8000,'Timesheet Raw'!$L$4:$L$8000,$A136,'Timesheet Raw'!$C$4:$C$8000,L$3))</f>
        <v>6.5</v>
      </c>
      <c r="Q136" s="345">
        <f>IF($A136="","",SUMIFS('Timesheet Raw'!$P$4:$P$8000,'Timesheet Raw'!$L$4:$L$8000,$A136,'Timesheet Raw'!$C$4:$C$8000,L$3))</f>
        <v>15</v>
      </c>
      <c r="R136" s="375"/>
      <c r="S136" t="str">
        <f>IF($A136="","",IF(R136&lt;&gt;"",R136,IF($A136&gt;'Work Calendar'!$B$17,"No data yet",IF(AND(N136&gt;='Work Calendar'!$B$14,L136+M136+O136&gt;0),"Day off - but worked",IF(N136&gt;='Work Calendar'!$B$14,"Day off",IF(L136+M136+O136&gt;0,IF($C136="Working","Charged","Worked weekend"),IF($C136="Working","Leave (not charged)",$C136)))))))</f>
        <v>Charged</v>
      </c>
      <c r="T136" s="341">
        <f>IF($A136="","",SUMIFS('Timesheet Raw'!$P$4:$P$8000,'Timesheet Raw'!$L$4:$L$8000,$A136,'Timesheet Raw'!$C$4:$C$8000,T$3,'Timesheet Raw'!$A$4:$A$8000,"1-Projects"))</f>
        <v>0</v>
      </c>
      <c r="U136" s="341">
        <f>IF($A136="","",SUMIFS('Timesheet Raw'!$P$4:$P$8000,'Timesheet Raw'!$L$4:$L$8000,$A136,'Timesheet Raw'!$C$4:$C$8000,T$3,'Timesheet Raw'!$A$4:$A$8000,"2-Proposals Chargeable")+SUMIFS('Timesheet Raw'!$P$4:$P$8000,'Timesheet Raw'!$L$4:$L$8000,$A136,'Timesheet Raw'!$C$4:$C$8000,T$3,'Timesheet Raw'!$A$4:$A$8000,"3-Proposals Regular"))</f>
        <v>15</v>
      </c>
      <c r="V136" s="341">
        <f>IF($A136="","",SUMIFS('Timesheet Raw'!$P$4:$P$8000,'Timesheet Raw'!$L$4:$L$8000,$A136,'Timesheet Raw'!$C$4:$C$8000,T$3,'Timesheet Raw'!$B$4:$B$8000,'Work Calendar'!$A$26)+SUMIFS('Timesheet Raw'!$P$4:$P$8000,'Timesheet Raw'!$L$4:$L$8000,$A136,'Timesheet Raw'!$C$4:$C$8000,T$3,'Timesheet Raw'!$B$4:$B$8000,'Work Calendar'!$A$27)+SUMIFS('Timesheet Raw'!$P$4:$P$8000,'Timesheet Raw'!$L$4:$L$8000,$A136,'Timesheet Raw'!$C$4:$C$8000,T$3,'Timesheet Raw'!$B$4:$B$8000,'Work Calendar'!$A$28)+SUMIFS('Timesheet Raw'!$P$4:$P$8000,'Timesheet Raw'!$L$4:$L$8000,$A136,'Timesheet Raw'!$C$4:$C$8000,T$3,'Timesheet Raw'!$B$4:$B$8000,'Work Calendar'!$A$29))</f>
        <v>0</v>
      </c>
      <c r="W136" s="341">
        <f t="shared" si="11"/>
        <v>0</v>
      </c>
      <c r="X136" s="395">
        <f>IF($A136="","",SUMIFS('Timesheet Raw'!$K$4:$K$8000,'Timesheet Raw'!$L$4:$L$8000,$A136,'Timesheet Raw'!$C$4:$C$8000,T$3))</f>
        <v>6.5</v>
      </c>
      <c r="Y136" s="345">
        <f>IF($A136="","",SUMIFS('Timesheet Raw'!$P$4:$P$8000,'Timesheet Raw'!$L$4:$L$8000,$A136,'Timesheet Raw'!$C$4:$C$8000,T$3))</f>
        <v>15</v>
      </c>
      <c r="Z136" s="375"/>
      <c r="AA136" t="str">
        <f>IF($A136="","",IF(Z136&lt;&gt;"",Z136,IF($A136&gt;'Work Calendar'!$B$17,"No data yet",IF(AND(V136&gt;='Work Calendar'!$B$14,T136+U136+W136&gt;0),"Day off - but worked",IF(V136&gt;='Work Calendar'!$B$14,"Day off",IF(T136+U136+W136&gt;0,IF($C136="Working","Charged","Worked weekend"),IF($C136="Working","Leave (not charged)",$C136)))))))</f>
        <v>Charged</v>
      </c>
    </row>
    <row r="137" spans="1:27" x14ac:dyDescent="0.3">
      <c r="A137" s="371">
        <f>IF($A136="","",IF($A136+1&gt;'Work Calendar'!$B$16,"",$A136+1))</f>
        <v>46155</v>
      </c>
      <c r="B137" t="str">
        <f t="shared" si="8"/>
        <v>Wed</v>
      </c>
      <c r="C137" t="str" cm="1">
        <f t="array" ref="C137">IF($A137="","",IF(COUNTIF('Work Calendar'!$E$6:$E$200,$A137)&gt;0,"Holiday",IF(INDEX('Work Calendar'!$C$6:$C$12,WEEKDAY($A137,1))=1,"Working","Weekend")))</f>
        <v>Working</v>
      </c>
      <c r="D137" s="341">
        <f>IF($A137="","",SUMIFS('Timesheet Raw'!$P$4:$P$8000,'Timesheet Raw'!$L$4:$L$8000,$A137,'Timesheet Raw'!$C$4:$C$8000,D$3,'Timesheet Raw'!$A$4:$A$8000,"1-Projects"))</f>
        <v>12.25</v>
      </c>
      <c r="E137" s="341">
        <f>IF($A137="","",SUMIFS('Timesheet Raw'!$P$4:$P$8000,'Timesheet Raw'!$L$4:$L$8000,$A137,'Timesheet Raw'!$C$4:$C$8000,D$3,'Timesheet Raw'!$A$4:$A$8000,"2-Proposals Chargeable")+SUMIFS('Timesheet Raw'!$P$4:$P$8000,'Timesheet Raw'!$L$4:$L$8000,$A137,'Timesheet Raw'!$C$4:$C$8000,D$3,'Timesheet Raw'!$A$4:$A$8000,"3-Proposals Regular"))</f>
        <v>0</v>
      </c>
      <c r="F137" s="341">
        <f>IF($A137="","",SUMIFS('Timesheet Raw'!$P$4:$P$8000,'Timesheet Raw'!$L$4:$L$8000,$A137,'Timesheet Raw'!$C$4:$C$8000,D$3,'Timesheet Raw'!$B$4:$B$8000,'Work Calendar'!$A$26)+SUMIFS('Timesheet Raw'!$P$4:$P$8000,'Timesheet Raw'!$L$4:$L$8000,$A137,'Timesheet Raw'!$C$4:$C$8000,D$3,'Timesheet Raw'!$B$4:$B$8000,'Work Calendar'!$A$27)+SUMIFS('Timesheet Raw'!$P$4:$P$8000,'Timesheet Raw'!$L$4:$L$8000,$A137,'Timesheet Raw'!$C$4:$C$8000,D$3,'Timesheet Raw'!$B$4:$B$8000,'Work Calendar'!$A$28)+SUMIFS('Timesheet Raw'!$P$4:$P$8000,'Timesheet Raw'!$L$4:$L$8000,$A137,'Timesheet Raw'!$C$4:$C$8000,D$3,'Timesheet Raw'!$B$4:$B$8000,'Work Calendar'!$A$29))</f>
        <v>0.25</v>
      </c>
      <c r="G137" s="341">
        <f t="shared" si="9"/>
        <v>0</v>
      </c>
      <c r="H137" s="395">
        <f>IF($A137="","",SUMIFS('Timesheet Raw'!$K$4:$K$8000,'Timesheet Raw'!$L$4:$L$8000,$A137,'Timesheet Raw'!$C$4:$C$8000,D$3))</f>
        <v>4</v>
      </c>
      <c r="I137" s="345">
        <f>IF($A137="","",SUMIFS('Timesheet Raw'!$P$4:$P$8000,'Timesheet Raw'!$L$4:$L$8000,$A137,'Timesheet Raw'!$C$4:$C$8000,D$3))</f>
        <v>12.5</v>
      </c>
      <c r="J137" s="375"/>
      <c r="K137" t="str">
        <f>IF($A137="","",IF(J137&lt;&gt;"",J137,IF($A137&gt;'Work Calendar'!$B$17,"No data yet",IF(AND(F137&gt;='Work Calendar'!$B$14,D137+E137+G137&gt;0),"Day off - but worked",IF(F137&gt;='Work Calendar'!$B$14,"Day off",IF(D137+E137+G137&gt;0,IF($C137="Working","Charged","Worked weekend"),IF($C137="Working","Leave (not charged)",$C137)))))))</f>
        <v>Charged</v>
      </c>
      <c r="L137" s="341">
        <f>IF($A137="","",SUMIFS('Timesheet Raw'!$P$4:$P$8000,'Timesheet Raw'!$L$4:$L$8000,$A137,'Timesheet Raw'!$C$4:$C$8000,L$3,'Timesheet Raw'!$A$4:$A$8000,"1-Projects"))</f>
        <v>13</v>
      </c>
      <c r="M137" s="341">
        <f>IF($A137="","",SUMIFS('Timesheet Raw'!$P$4:$P$8000,'Timesheet Raw'!$L$4:$L$8000,$A137,'Timesheet Raw'!$C$4:$C$8000,L$3,'Timesheet Raw'!$A$4:$A$8000,"2-Proposals Chargeable")+SUMIFS('Timesheet Raw'!$P$4:$P$8000,'Timesheet Raw'!$L$4:$L$8000,$A137,'Timesheet Raw'!$C$4:$C$8000,L$3,'Timesheet Raw'!$A$4:$A$8000,"3-Proposals Regular"))</f>
        <v>0</v>
      </c>
      <c r="N137" s="341">
        <f>IF($A137="","",SUMIFS('Timesheet Raw'!$P$4:$P$8000,'Timesheet Raw'!$L$4:$L$8000,$A137,'Timesheet Raw'!$C$4:$C$8000,L$3,'Timesheet Raw'!$B$4:$B$8000,'Work Calendar'!$A$26)+SUMIFS('Timesheet Raw'!$P$4:$P$8000,'Timesheet Raw'!$L$4:$L$8000,$A137,'Timesheet Raw'!$C$4:$C$8000,L$3,'Timesheet Raw'!$B$4:$B$8000,'Work Calendar'!$A$27)+SUMIFS('Timesheet Raw'!$P$4:$P$8000,'Timesheet Raw'!$L$4:$L$8000,$A137,'Timesheet Raw'!$C$4:$C$8000,L$3,'Timesheet Raw'!$B$4:$B$8000,'Work Calendar'!$A$28)+SUMIFS('Timesheet Raw'!$P$4:$P$8000,'Timesheet Raw'!$L$4:$L$8000,$A137,'Timesheet Raw'!$C$4:$C$8000,L$3,'Timesheet Raw'!$B$4:$B$8000,'Work Calendar'!$A$29))</f>
        <v>0</v>
      </c>
      <c r="O137" s="341">
        <f t="shared" si="10"/>
        <v>0</v>
      </c>
      <c r="P137" s="395">
        <f>IF($A137="","",SUMIFS('Timesheet Raw'!$K$4:$K$8000,'Timesheet Raw'!$L$4:$L$8000,$A137,'Timesheet Raw'!$C$4:$C$8000,L$3))</f>
        <v>4.5</v>
      </c>
      <c r="Q137" s="345">
        <f>IF($A137="","",SUMIFS('Timesheet Raw'!$P$4:$P$8000,'Timesheet Raw'!$L$4:$L$8000,$A137,'Timesheet Raw'!$C$4:$C$8000,L$3))</f>
        <v>13</v>
      </c>
      <c r="R137" s="375"/>
      <c r="S137" t="str">
        <f>IF($A137="","",IF(R137&lt;&gt;"",R137,IF($A137&gt;'Work Calendar'!$B$17,"No data yet",IF(AND(N137&gt;='Work Calendar'!$B$14,L137+M137+O137&gt;0),"Day off - but worked",IF(N137&gt;='Work Calendar'!$B$14,"Day off",IF(L137+M137+O137&gt;0,IF($C137="Working","Charged","Worked weekend"),IF($C137="Working","Leave (not charged)",$C137)))))))</f>
        <v>Charged</v>
      </c>
      <c r="T137" s="341">
        <f>IF($A137="","",SUMIFS('Timesheet Raw'!$P$4:$P$8000,'Timesheet Raw'!$L$4:$L$8000,$A137,'Timesheet Raw'!$C$4:$C$8000,T$3,'Timesheet Raw'!$A$4:$A$8000,"1-Projects"))</f>
        <v>0</v>
      </c>
      <c r="U137" s="341">
        <f>IF($A137="","",SUMIFS('Timesheet Raw'!$P$4:$P$8000,'Timesheet Raw'!$L$4:$L$8000,$A137,'Timesheet Raw'!$C$4:$C$8000,T$3,'Timesheet Raw'!$A$4:$A$8000,"2-Proposals Chargeable")+SUMIFS('Timesheet Raw'!$P$4:$P$8000,'Timesheet Raw'!$L$4:$L$8000,$A137,'Timesheet Raw'!$C$4:$C$8000,T$3,'Timesheet Raw'!$A$4:$A$8000,"3-Proposals Regular"))</f>
        <v>12.5</v>
      </c>
      <c r="V137" s="341">
        <f>IF($A137="","",SUMIFS('Timesheet Raw'!$P$4:$P$8000,'Timesheet Raw'!$L$4:$L$8000,$A137,'Timesheet Raw'!$C$4:$C$8000,T$3,'Timesheet Raw'!$B$4:$B$8000,'Work Calendar'!$A$26)+SUMIFS('Timesheet Raw'!$P$4:$P$8000,'Timesheet Raw'!$L$4:$L$8000,$A137,'Timesheet Raw'!$C$4:$C$8000,T$3,'Timesheet Raw'!$B$4:$B$8000,'Work Calendar'!$A$27)+SUMIFS('Timesheet Raw'!$P$4:$P$8000,'Timesheet Raw'!$L$4:$L$8000,$A137,'Timesheet Raw'!$C$4:$C$8000,T$3,'Timesheet Raw'!$B$4:$B$8000,'Work Calendar'!$A$28)+SUMIFS('Timesheet Raw'!$P$4:$P$8000,'Timesheet Raw'!$L$4:$L$8000,$A137,'Timesheet Raw'!$C$4:$C$8000,T$3,'Timesheet Raw'!$B$4:$B$8000,'Work Calendar'!$A$29))</f>
        <v>0.25</v>
      </c>
      <c r="W137" s="341">
        <f t="shared" si="11"/>
        <v>0</v>
      </c>
      <c r="X137" s="395">
        <f>IF($A137="","",SUMIFS('Timesheet Raw'!$K$4:$K$8000,'Timesheet Raw'!$L$4:$L$8000,$A137,'Timesheet Raw'!$C$4:$C$8000,T$3))</f>
        <v>4.25</v>
      </c>
      <c r="Y137" s="345">
        <f>IF($A137="","",SUMIFS('Timesheet Raw'!$P$4:$P$8000,'Timesheet Raw'!$L$4:$L$8000,$A137,'Timesheet Raw'!$C$4:$C$8000,T$3))</f>
        <v>12.75</v>
      </c>
      <c r="Z137" s="375"/>
      <c r="AA137" t="str">
        <f>IF($A137="","",IF(Z137&lt;&gt;"",Z137,IF($A137&gt;'Work Calendar'!$B$17,"No data yet",IF(AND(V137&gt;='Work Calendar'!$B$14,T137+U137+W137&gt;0),"Day off - but worked",IF(V137&gt;='Work Calendar'!$B$14,"Day off",IF(T137+U137+W137&gt;0,IF($C137="Working","Charged","Worked weekend"),IF($C137="Working","Leave (not charged)",$C137)))))))</f>
        <v>Charged</v>
      </c>
    </row>
    <row r="138" spans="1:27" x14ac:dyDescent="0.3">
      <c r="A138" s="371">
        <f>IF($A137="","",IF($A137+1&gt;'Work Calendar'!$B$16,"",$A137+1))</f>
        <v>46156</v>
      </c>
      <c r="B138" t="str">
        <f t="shared" si="8"/>
        <v>Thu</v>
      </c>
      <c r="C138" t="str" cm="1">
        <f t="array" ref="C138">IF($A138="","",IF(COUNTIF('Work Calendar'!$E$6:$E$200,$A138)&gt;0,"Holiday",IF(INDEX('Work Calendar'!$C$6:$C$12,WEEKDAY($A138,1))=1,"Working","Weekend")))</f>
        <v>Working</v>
      </c>
      <c r="D138" s="341">
        <f>IF($A138="","",SUMIFS('Timesheet Raw'!$P$4:$P$8000,'Timesheet Raw'!$L$4:$L$8000,$A138,'Timesheet Raw'!$C$4:$C$8000,D$3,'Timesheet Raw'!$A$4:$A$8000,"1-Projects"))</f>
        <v>2</v>
      </c>
      <c r="E138" s="341">
        <f>IF($A138="","",SUMIFS('Timesheet Raw'!$P$4:$P$8000,'Timesheet Raw'!$L$4:$L$8000,$A138,'Timesheet Raw'!$C$4:$C$8000,D$3,'Timesheet Raw'!$A$4:$A$8000,"2-Proposals Chargeable")+SUMIFS('Timesheet Raw'!$P$4:$P$8000,'Timesheet Raw'!$L$4:$L$8000,$A138,'Timesheet Raw'!$C$4:$C$8000,D$3,'Timesheet Raw'!$A$4:$A$8000,"3-Proposals Regular"))</f>
        <v>6.75</v>
      </c>
      <c r="F138" s="341">
        <f>IF($A138="","",SUMIFS('Timesheet Raw'!$P$4:$P$8000,'Timesheet Raw'!$L$4:$L$8000,$A138,'Timesheet Raw'!$C$4:$C$8000,D$3,'Timesheet Raw'!$B$4:$B$8000,'Work Calendar'!$A$26)+SUMIFS('Timesheet Raw'!$P$4:$P$8000,'Timesheet Raw'!$L$4:$L$8000,$A138,'Timesheet Raw'!$C$4:$C$8000,D$3,'Timesheet Raw'!$B$4:$B$8000,'Work Calendar'!$A$27)+SUMIFS('Timesheet Raw'!$P$4:$P$8000,'Timesheet Raw'!$L$4:$L$8000,$A138,'Timesheet Raw'!$C$4:$C$8000,D$3,'Timesheet Raw'!$B$4:$B$8000,'Work Calendar'!$A$28)+SUMIFS('Timesheet Raw'!$P$4:$P$8000,'Timesheet Raw'!$L$4:$L$8000,$A138,'Timesheet Raw'!$C$4:$C$8000,D$3,'Timesheet Raw'!$B$4:$B$8000,'Work Calendar'!$A$29))</f>
        <v>0.75</v>
      </c>
      <c r="G138" s="341">
        <f t="shared" si="9"/>
        <v>0</v>
      </c>
      <c r="H138" s="395">
        <f>IF($A138="","",SUMIFS('Timesheet Raw'!$K$4:$K$8000,'Timesheet Raw'!$L$4:$L$8000,$A138,'Timesheet Raw'!$C$4:$C$8000,D$3))</f>
        <v>1</v>
      </c>
      <c r="I138" s="345">
        <f>IF($A138="","",SUMIFS('Timesheet Raw'!$P$4:$P$8000,'Timesheet Raw'!$L$4:$L$8000,$A138,'Timesheet Raw'!$C$4:$C$8000,D$3))</f>
        <v>9.5</v>
      </c>
      <c r="J138" s="375"/>
      <c r="K138" t="str">
        <f>IF($A138="","",IF(J138&lt;&gt;"",J138,IF($A138&gt;'Work Calendar'!$B$17,"No data yet",IF(AND(F138&gt;='Work Calendar'!$B$14,D138+E138+G138&gt;0),"Day off - but worked",IF(F138&gt;='Work Calendar'!$B$14,"Day off",IF(D138+E138+G138&gt;0,IF($C138="Working","Charged","Worked weekend"),IF($C138="Working","Leave (not charged)",$C138)))))))</f>
        <v>Charged</v>
      </c>
      <c r="L138" s="341">
        <f>IF($A138="","",SUMIFS('Timesheet Raw'!$P$4:$P$8000,'Timesheet Raw'!$L$4:$L$8000,$A138,'Timesheet Raw'!$C$4:$C$8000,L$3,'Timesheet Raw'!$A$4:$A$8000,"1-Projects"))</f>
        <v>8.5</v>
      </c>
      <c r="M138" s="341">
        <f>IF($A138="","",SUMIFS('Timesheet Raw'!$P$4:$P$8000,'Timesheet Raw'!$L$4:$L$8000,$A138,'Timesheet Raw'!$C$4:$C$8000,L$3,'Timesheet Raw'!$A$4:$A$8000,"2-Proposals Chargeable")+SUMIFS('Timesheet Raw'!$P$4:$P$8000,'Timesheet Raw'!$L$4:$L$8000,$A138,'Timesheet Raw'!$C$4:$C$8000,L$3,'Timesheet Raw'!$A$4:$A$8000,"3-Proposals Regular"))</f>
        <v>0</v>
      </c>
      <c r="N138" s="341">
        <f>IF($A138="","",SUMIFS('Timesheet Raw'!$P$4:$P$8000,'Timesheet Raw'!$L$4:$L$8000,$A138,'Timesheet Raw'!$C$4:$C$8000,L$3,'Timesheet Raw'!$B$4:$B$8000,'Work Calendar'!$A$26)+SUMIFS('Timesheet Raw'!$P$4:$P$8000,'Timesheet Raw'!$L$4:$L$8000,$A138,'Timesheet Raw'!$C$4:$C$8000,L$3,'Timesheet Raw'!$B$4:$B$8000,'Work Calendar'!$A$27)+SUMIFS('Timesheet Raw'!$P$4:$P$8000,'Timesheet Raw'!$L$4:$L$8000,$A138,'Timesheet Raw'!$C$4:$C$8000,L$3,'Timesheet Raw'!$B$4:$B$8000,'Work Calendar'!$A$28)+SUMIFS('Timesheet Raw'!$P$4:$P$8000,'Timesheet Raw'!$L$4:$L$8000,$A138,'Timesheet Raw'!$C$4:$C$8000,L$3,'Timesheet Raw'!$B$4:$B$8000,'Work Calendar'!$A$29))</f>
        <v>0</v>
      </c>
      <c r="O138" s="341">
        <f t="shared" si="10"/>
        <v>0</v>
      </c>
      <c r="P138" s="395">
        <f>IF($A138="","",SUMIFS('Timesheet Raw'!$K$4:$K$8000,'Timesheet Raw'!$L$4:$L$8000,$A138,'Timesheet Raw'!$C$4:$C$8000,L$3))</f>
        <v>0</v>
      </c>
      <c r="Q138" s="345">
        <f>IF($A138="","",SUMIFS('Timesheet Raw'!$P$4:$P$8000,'Timesheet Raw'!$L$4:$L$8000,$A138,'Timesheet Raw'!$C$4:$C$8000,L$3))</f>
        <v>8.5</v>
      </c>
      <c r="R138" s="375"/>
      <c r="S138" t="str">
        <f>IF($A138="","",IF(R138&lt;&gt;"",R138,IF($A138&gt;'Work Calendar'!$B$17,"No data yet",IF(AND(N138&gt;='Work Calendar'!$B$14,L138+M138+O138&gt;0),"Day off - but worked",IF(N138&gt;='Work Calendar'!$B$14,"Day off",IF(L138+M138+O138&gt;0,IF($C138="Working","Charged","Worked weekend"),IF($C138="Working","Leave (not charged)",$C138)))))))</f>
        <v>Charged</v>
      </c>
      <c r="T138" s="341">
        <f>IF($A138="","",SUMIFS('Timesheet Raw'!$P$4:$P$8000,'Timesheet Raw'!$L$4:$L$8000,$A138,'Timesheet Raw'!$C$4:$C$8000,T$3,'Timesheet Raw'!$A$4:$A$8000,"1-Projects"))</f>
        <v>7.25</v>
      </c>
      <c r="U138" s="341">
        <f>IF($A138="","",SUMIFS('Timesheet Raw'!$P$4:$P$8000,'Timesheet Raw'!$L$4:$L$8000,$A138,'Timesheet Raw'!$C$4:$C$8000,T$3,'Timesheet Raw'!$A$4:$A$8000,"2-Proposals Chargeable")+SUMIFS('Timesheet Raw'!$P$4:$P$8000,'Timesheet Raw'!$L$4:$L$8000,$A138,'Timesheet Raw'!$C$4:$C$8000,T$3,'Timesheet Raw'!$A$4:$A$8000,"3-Proposals Regular"))</f>
        <v>0</v>
      </c>
      <c r="V138" s="341">
        <f>IF($A138="","",SUMIFS('Timesheet Raw'!$P$4:$P$8000,'Timesheet Raw'!$L$4:$L$8000,$A138,'Timesheet Raw'!$C$4:$C$8000,T$3,'Timesheet Raw'!$B$4:$B$8000,'Work Calendar'!$A$26)+SUMIFS('Timesheet Raw'!$P$4:$P$8000,'Timesheet Raw'!$L$4:$L$8000,$A138,'Timesheet Raw'!$C$4:$C$8000,T$3,'Timesheet Raw'!$B$4:$B$8000,'Work Calendar'!$A$27)+SUMIFS('Timesheet Raw'!$P$4:$P$8000,'Timesheet Raw'!$L$4:$L$8000,$A138,'Timesheet Raw'!$C$4:$C$8000,T$3,'Timesheet Raw'!$B$4:$B$8000,'Work Calendar'!$A$28)+SUMIFS('Timesheet Raw'!$P$4:$P$8000,'Timesheet Raw'!$L$4:$L$8000,$A138,'Timesheet Raw'!$C$4:$C$8000,T$3,'Timesheet Raw'!$B$4:$B$8000,'Work Calendar'!$A$29))</f>
        <v>2</v>
      </c>
      <c r="W138" s="341">
        <f t="shared" si="11"/>
        <v>0</v>
      </c>
      <c r="X138" s="395">
        <f>IF($A138="","",SUMIFS('Timesheet Raw'!$K$4:$K$8000,'Timesheet Raw'!$L$4:$L$8000,$A138,'Timesheet Raw'!$C$4:$C$8000,T$3))</f>
        <v>0.75</v>
      </c>
      <c r="Y138" s="345">
        <f>IF($A138="","",SUMIFS('Timesheet Raw'!$P$4:$P$8000,'Timesheet Raw'!$L$4:$L$8000,$A138,'Timesheet Raw'!$C$4:$C$8000,T$3))</f>
        <v>9.25</v>
      </c>
      <c r="Z138" s="375"/>
      <c r="AA138" t="str">
        <f>IF($A138="","",IF(Z138&lt;&gt;"",Z138,IF($A138&gt;'Work Calendar'!$B$17,"No data yet",IF(AND(V138&gt;='Work Calendar'!$B$14,T138+U138+W138&gt;0),"Day off - but worked",IF(V138&gt;='Work Calendar'!$B$14,"Day off",IF(T138+U138+W138&gt;0,IF($C138="Working","Charged","Worked weekend"),IF($C138="Working","Leave (not charged)",$C138)))))))</f>
        <v>Charged</v>
      </c>
    </row>
    <row r="139" spans="1:27" x14ac:dyDescent="0.3">
      <c r="A139" s="371">
        <f>IF($A138="","",IF($A138+1&gt;'Work Calendar'!$B$16,"",$A138+1))</f>
        <v>46157</v>
      </c>
      <c r="B139" t="str">
        <f t="shared" si="8"/>
        <v>Fri</v>
      </c>
      <c r="C139" t="str" cm="1">
        <f t="array" ref="C139">IF($A139="","",IF(COUNTIF('Work Calendar'!$E$6:$E$200,$A139)&gt;0,"Holiday",IF(INDEX('Work Calendar'!$C$6:$C$12,WEEKDAY($A139,1))=1,"Working","Weekend")))</f>
        <v>Weekend</v>
      </c>
      <c r="D139" s="341">
        <f>IF($A139="","",SUMIFS('Timesheet Raw'!$P$4:$P$8000,'Timesheet Raw'!$L$4:$L$8000,$A139,'Timesheet Raw'!$C$4:$C$8000,D$3,'Timesheet Raw'!$A$4:$A$8000,"1-Projects"))</f>
        <v>0</v>
      </c>
      <c r="E139" s="341">
        <f>IF($A139="","",SUMIFS('Timesheet Raw'!$P$4:$P$8000,'Timesheet Raw'!$L$4:$L$8000,$A139,'Timesheet Raw'!$C$4:$C$8000,D$3,'Timesheet Raw'!$A$4:$A$8000,"2-Proposals Chargeable")+SUMIFS('Timesheet Raw'!$P$4:$P$8000,'Timesheet Raw'!$L$4:$L$8000,$A139,'Timesheet Raw'!$C$4:$C$8000,D$3,'Timesheet Raw'!$A$4:$A$8000,"3-Proposals Regular"))</f>
        <v>0</v>
      </c>
      <c r="F139" s="341">
        <f>IF($A139="","",SUMIFS('Timesheet Raw'!$P$4:$P$8000,'Timesheet Raw'!$L$4:$L$8000,$A139,'Timesheet Raw'!$C$4:$C$8000,D$3,'Timesheet Raw'!$B$4:$B$8000,'Work Calendar'!$A$26)+SUMIFS('Timesheet Raw'!$P$4:$P$8000,'Timesheet Raw'!$L$4:$L$8000,$A139,'Timesheet Raw'!$C$4:$C$8000,D$3,'Timesheet Raw'!$B$4:$B$8000,'Work Calendar'!$A$27)+SUMIFS('Timesheet Raw'!$P$4:$P$8000,'Timesheet Raw'!$L$4:$L$8000,$A139,'Timesheet Raw'!$C$4:$C$8000,D$3,'Timesheet Raw'!$B$4:$B$8000,'Work Calendar'!$A$28)+SUMIFS('Timesheet Raw'!$P$4:$P$8000,'Timesheet Raw'!$L$4:$L$8000,$A139,'Timesheet Raw'!$C$4:$C$8000,D$3,'Timesheet Raw'!$B$4:$B$8000,'Work Calendar'!$A$29))</f>
        <v>0</v>
      </c>
      <c r="G139" s="341">
        <f t="shared" si="9"/>
        <v>0</v>
      </c>
      <c r="H139" s="395">
        <f>IF($A139="","",SUMIFS('Timesheet Raw'!$K$4:$K$8000,'Timesheet Raw'!$L$4:$L$8000,$A139,'Timesheet Raw'!$C$4:$C$8000,D$3))</f>
        <v>0</v>
      </c>
      <c r="I139" s="345">
        <f>IF($A139="","",SUMIFS('Timesheet Raw'!$P$4:$P$8000,'Timesheet Raw'!$L$4:$L$8000,$A139,'Timesheet Raw'!$C$4:$C$8000,D$3))</f>
        <v>0</v>
      </c>
      <c r="J139" s="375"/>
      <c r="K139" t="str">
        <f>IF($A139="","",IF(J139&lt;&gt;"",J139,IF($A139&gt;'Work Calendar'!$B$17,"No data yet",IF(AND(F139&gt;='Work Calendar'!$B$14,D139+E139+G139&gt;0),"Day off - but worked",IF(F139&gt;='Work Calendar'!$B$14,"Day off",IF(D139+E139+G139&gt;0,IF($C139="Working","Charged","Worked weekend"),IF($C139="Working","Leave (not charged)",$C139)))))))</f>
        <v>Weekend</v>
      </c>
      <c r="L139" s="341">
        <f>IF($A139="","",SUMIFS('Timesheet Raw'!$P$4:$P$8000,'Timesheet Raw'!$L$4:$L$8000,$A139,'Timesheet Raw'!$C$4:$C$8000,L$3,'Timesheet Raw'!$A$4:$A$8000,"1-Projects"))</f>
        <v>0</v>
      </c>
      <c r="M139" s="341">
        <f>IF($A139="","",SUMIFS('Timesheet Raw'!$P$4:$P$8000,'Timesheet Raw'!$L$4:$L$8000,$A139,'Timesheet Raw'!$C$4:$C$8000,L$3,'Timesheet Raw'!$A$4:$A$8000,"2-Proposals Chargeable")+SUMIFS('Timesheet Raw'!$P$4:$P$8000,'Timesheet Raw'!$L$4:$L$8000,$A139,'Timesheet Raw'!$C$4:$C$8000,L$3,'Timesheet Raw'!$A$4:$A$8000,"3-Proposals Regular"))</f>
        <v>0</v>
      </c>
      <c r="N139" s="341">
        <f>IF($A139="","",SUMIFS('Timesheet Raw'!$P$4:$P$8000,'Timesheet Raw'!$L$4:$L$8000,$A139,'Timesheet Raw'!$C$4:$C$8000,L$3,'Timesheet Raw'!$B$4:$B$8000,'Work Calendar'!$A$26)+SUMIFS('Timesheet Raw'!$P$4:$P$8000,'Timesheet Raw'!$L$4:$L$8000,$A139,'Timesheet Raw'!$C$4:$C$8000,L$3,'Timesheet Raw'!$B$4:$B$8000,'Work Calendar'!$A$27)+SUMIFS('Timesheet Raw'!$P$4:$P$8000,'Timesheet Raw'!$L$4:$L$8000,$A139,'Timesheet Raw'!$C$4:$C$8000,L$3,'Timesheet Raw'!$B$4:$B$8000,'Work Calendar'!$A$28)+SUMIFS('Timesheet Raw'!$P$4:$P$8000,'Timesheet Raw'!$L$4:$L$8000,$A139,'Timesheet Raw'!$C$4:$C$8000,L$3,'Timesheet Raw'!$B$4:$B$8000,'Work Calendar'!$A$29))</f>
        <v>0</v>
      </c>
      <c r="O139" s="341">
        <f t="shared" si="10"/>
        <v>0</v>
      </c>
      <c r="P139" s="395">
        <f>IF($A139="","",SUMIFS('Timesheet Raw'!$K$4:$K$8000,'Timesheet Raw'!$L$4:$L$8000,$A139,'Timesheet Raw'!$C$4:$C$8000,L$3))</f>
        <v>0</v>
      </c>
      <c r="Q139" s="345">
        <f>IF($A139="","",SUMIFS('Timesheet Raw'!$P$4:$P$8000,'Timesheet Raw'!$L$4:$L$8000,$A139,'Timesheet Raw'!$C$4:$C$8000,L$3))</f>
        <v>0</v>
      </c>
      <c r="R139" s="375"/>
      <c r="S139" t="str">
        <f>IF($A139="","",IF(R139&lt;&gt;"",R139,IF($A139&gt;'Work Calendar'!$B$17,"No data yet",IF(AND(N139&gt;='Work Calendar'!$B$14,L139+M139+O139&gt;0),"Day off - but worked",IF(N139&gt;='Work Calendar'!$B$14,"Day off",IF(L139+M139+O139&gt;0,IF($C139="Working","Charged","Worked weekend"),IF($C139="Working","Leave (not charged)",$C139)))))))</f>
        <v>Weekend</v>
      </c>
      <c r="T139" s="341">
        <f>IF($A139="","",SUMIFS('Timesheet Raw'!$P$4:$P$8000,'Timesheet Raw'!$L$4:$L$8000,$A139,'Timesheet Raw'!$C$4:$C$8000,T$3,'Timesheet Raw'!$A$4:$A$8000,"1-Projects"))</f>
        <v>0</v>
      </c>
      <c r="U139" s="341">
        <f>IF($A139="","",SUMIFS('Timesheet Raw'!$P$4:$P$8000,'Timesheet Raw'!$L$4:$L$8000,$A139,'Timesheet Raw'!$C$4:$C$8000,T$3,'Timesheet Raw'!$A$4:$A$8000,"2-Proposals Chargeable")+SUMIFS('Timesheet Raw'!$P$4:$P$8000,'Timesheet Raw'!$L$4:$L$8000,$A139,'Timesheet Raw'!$C$4:$C$8000,T$3,'Timesheet Raw'!$A$4:$A$8000,"3-Proposals Regular"))</f>
        <v>0</v>
      </c>
      <c r="V139" s="341">
        <f>IF($A139="","",SUMIFS('Timesheet Raw'!$P$4:$P$8000,'Timesheet Raw'!$L$4:$L$8000,$A139,'Timesheet Raw'!$C$4:$C$8000,T$3,'Timesheet Raw'!$B$4:$B$8000,'Work Calendar'!$A$26)+SUMIFS('Timesheet Raw'!$P$4:$P$8000,'Timesheet Raw'!$L$4:$L$8000,$A139,'Timesheet Raw'!$C$4:$C$8000,T$3,'Timesheet Raw'!$B$4:$B$8000,'Work Calendar'!$A$27)+SUMIFS('Timesheet Raw'!$P$4:$P$8000,'Timesheet Raw'!$L$4:$L$8000,$A139,'Timesheet Raw'!$C$4:$C$8000,T$3,'Timesheet Raw'!$B$4:$B$8000,'Work Calendar'!$A$28)+SUMIFS('Timesheet Raw'!$P$4:$P$8000,'Timesheet Raw'!$L$4:$L$8000,$A139,'Timesheet Raw'!$C$4:$C$8000,T$3,'Timesheet Raw'!$B$4:$B$8000,'Work Calendar'!$A$29))</f>
        <v>0</v>
      </c>
      <c r="W139" s="341">
        <f t="shared" si="11"/>
        <v>0</v>
      </c>
      <c r="X139" s="395">
        <f>IF($A139="","",SUMIFS('Timesheet Raw'!$K$4:$K$8000,'Timesheet Raw'!$L$4:$L$8000,$A139,'Timesheet Raw'!$C$4:$C$8000,T$3))</f>
        <v>0</v>
      </c>
      <c r="Y139" s="345">
        <f>IF($A139="","",SUMIFS('Timesheet Raw'!$P$4:$P$8000,'Timesheet Raw'!$L$4:$L$8000,$A139,'Timesheet Raw'!$C$4:$C$8000,T$3))</f>
        <v>0</v>
      </c>
      <c r="Z139" s="375"/>
      <c r="AA139" t="str">
        <f>IF($A139="","",IF(Z139&lt;&gt;"",Z139,IF($A139&gt;'Work Calendar'!$B$17,"No data yet",IF(AND(V139&gt;='Work Calendar'!$B$14,T139+U139+W139&gt;0),"Day off - but worked",IF(V139&gt;='Work Calendar'!$B$14,"Day off",IF(T139+U139+W139&gt;0,IF($C139="Working","Charged","Worked weekend"),IF($C139="Working","Leave (not charged)",$C139)))))))</f>
        <v>Weekend</v>
      </c>
    </row>
    <row r="140" spans="1:27" x14ac:dyDescent="0.3">
      <c r="A140" s="371">
        <f>IF($A139="","",IF($A139+1&gt;'Work Calendar'!$B$16,"",$A139+1))</f>
        <v>46158</v>
      </c>
      <c r="B140" t="str">
        <f t="shared" si="8"/>
        <v>Sat</v>
      </c>
      <c r="C140" t="str" cm="1">
        <f t="array" ref="C140">IF($A140="","",IF(COUNTIF('Work Calendar'!$E$6:$E$200,$A140)&gt;0,"Holiday",IF(INDEX('Work Calendar'!$C$6:$C$12,WEEKDAY($A140,1))=1,"Working","Weekend")))</f>
        <v>Weekend</v>
      </c>
      <c r="D140" s="341">
        <f>IF($A140="","",SUMIFS('Timesheet Raw'!$P$4:$P$8000,'Timesheet Raw'!$L$4:$L$8000,$A140,'Timesheet Raw'!$C$4:$C$8000,D$3,'Timesheet Raw'!$A$4:$A$8000,"1-Projects"))</f>
        <v>0</v>
      </c>
      <c r="E140" s="341">
        <f>IF($A140="","",SUMIFS('Timesheet Raw'!$P$4:$P$8000,'Timesheet Raw'!$L$4:$L$8000,$A140,'Timesheet Raw'!$C$4:$C$8000,D$3,'Timesheet Raw'!$A$4:$A$8000,"2-Proposals Chargeable")+SUMIFS('Timesheet Raw'!$P$4:$P$8000,'Timesheet Raw'!$L$4:$L$8000,$A140,'Timesheet Raw'!$C$4:$C$8000,D$3,'Timesheet Raw'!$A$4:$A$8000,"3-Proposals Regular"))</f>
        <v>0</v>
      </c>
      <c r="F140" s="341">
        <f>IF($A140="","",SUMIFS('Timesheet Raw'!$P$4:$P$8000,'Timesheet Raw'!$L$4:$L$8000,$A140,'Timesheet Raw'!$C$4:$C$8000,D$3,'Timesheet Raw'!$B$4:$B$8000,'Work Calendar'!$A$26)+SUMIFS('Timesheet Raw'!$P$4:$P$8000,'Timesheet Raw'!$L$4:$L$8000,$A140,'Timesheet Raw'!$C$4:$C$8000,D$3,'Timesheet Raw'!$B$4:$B$8000,'Work Calendar'!$A$27)+SUMIFS('Timesheet Raw'!$P$4:$P$8000,'Timesheet Raw'!$L$4:$L$8000,$A140,'Timesheet Raw'!$C$4:$C$8000,D$3,'Timesheet Raw'!$B$4:$B$8000,'Work Calendar'!$A$28)+SUMIFS('Timesheet Raw'!$P$4:$P$8000,'Timesheet Raw'!$L$4:$L$8000,$A140,'Timesheet Raw'!$C$4:$C$8000,D$3,'Timesheet Raw'!$B$4:$B$8000,'Work Calendar'!$A$29))</f>
        <v>0</v>
      </c>
      <c r="G140" s="341">
        <f t="shared" si="9"/>
        <v>0</v>
      </c>
      <c r="H140" s="395">
        <f>IF($A140="","",SUMIFS('Timesheet Raw'!$K$4:$K$8000,'Timesheet Raw'!$L$4:$L$8000,$A140,'Timesheet Raw'!$C$4:$C$8000,D$3))</f>
        <v>0</v>
      </c>
      <c r="I140" s="345">
        <f>IF($A140="","",SUMIFS('Timesheet Raw'!$P$4:$P$8000,'Timesheet Raw'!$L$4:$L$8000,$A140,'Timesheet Raw'!$C$4:$C$8000,D$3))</f>
        <v>0</v>
      </c>
      <c r="J140" s="375"/>
      <c r="K140" t="str">
        <f>IF($A140="","",IF(J140&lt;&gt;"",J140,IF($A140&gt;'Work Calendar'!$B$17,"No data yet",IF(AND(F140&gt;='Work Calendar'!$B$14,D140+E140+G140&gt;0),"Day off - but worked",IF(F140&gt;='Work Calendar'!$B$14,"Day off",IF(D140+E140+G140&gt;0,IF($C140="Working","Charged","Worked weekend"),IF($C140="Working","Leave (not charged)",$C140)))))))</f>
        <v>Weekend</v>
      </c>
      <c r="L140" s="341">
        <f>IF($A140="","",SUMIFS('Timesheet Raw'!$P$4:$P$8000,'Timesheet Raw'!$L$4:$L$8000,$A140,'Timesheet Raw'!$C$4:$C$8000,L$3,'Timesheet Raw'!$A$4:$A$8000,"1-Projects"))</f>
        <v>0</v>
      </c>
      <c r="M140" s="341">
        <f>IF($A140="","",SUMIFS('Timesheet Raw'!$P$4:$P$8000,'Timesheet Raw'!$L$4:$L$8000,$A140,'Timesheet Raw'!$C$4:$C$8000,L$3,'Timesheet Raw'!$A$4:$A$8000,"2-Proposals Chargeable")+SUMIFS('Timesheet Raw'!$P$4:$P$8000,'Timesheet Raw'!$L$4:$L$8000,$A140,'Timesheet Raw'!$C$4:$C$8000,L$3,'Timesheet Raw'!$A$4:$A$8000,"3-Proposals Regular"))</f>
        <v>0</v>
      </c>
      <c r="N140" s="341">
        <f>IF($A140="","",SUMIFS('Timesheet Raw'!$P$4:$P$8000,'Timesheet Raw'!$L$4:$L$8000,$A140,'Timesheet Raw'!$C$4:$C$8000,L$3,'Timesheet Raw'!$B$4:$B$8000,'Work Calendar'!$A$26)+SUMIFS('Timesheet Raw'!$P$4:$P$8000,'Timesheet Raw'!$L$4:$L$8000,$A140,'Timesheet Raw'!$C$4:$C$8000,L$3,'Timesheet Raw'!$B$4:$B$8000,'Work Calendar'!$A$27)+SUMIFS('Timesheet Raw'!$P$4:$P$8000,'Timesheet Raw'!$L$4:$L$8000,$A140,'Timesheet Raw'!$C$4:$C$8000,L$3,'Timesheet Raw'!$B$4:$B$8000,'Work Calendar'!$A$28)+SUMIFS('Timesheet Raw'!$P$4:$P$8000,'Timesheet Raw'!$L$4:$L$8000,$A140,'Timesheet Raw'!$C$4:$C$8000,L$3,'Timesheet Raw'!$B$4:$B$8000,'Work Calendar'!$A$29))</f>
        <v>0</v>
      </c>
      <c r="O140" s="341">
        <f t="shared" si="10"/>
        <v>0</v>
      </c>
      <c r="P140" s="395">
        <f>IF($A140="","",SUMIFS('Timesheet Raw'!$K$4:$K$8000,'Timesheet Raw'!$L$4:$L$8000,$A140,'Timesheet Raw'!$C$4:$C$8000,L$3))</f>
        <v>0</v>
      </c>
      <c r="Q140" s="345">
        <f>IF($A140="","",SUMIFS('Timesheet Raw'!$P$4:$P$8000,'Timesheet Raw'!$L$4:$L$8000,$A140,'Timesheet Raw'!$C$4:$C$8000,L$3))</f>
        <v>0</v>
      </c>
      <c r="R140" s="375"/>
      <c r="S140" t="str">
        <f>IF($A140="","",IF(R140&lt;&gt;"",R140,IF($A140&gt;'Work Calendar'!$B$17,"No data yet",IF(AND(N140&gt;='Work Calendar'!$B$14,L140+M140+O140&gt;0),"Day off - but worked",IF(N140&gt;='Work Calendar'!$B$14,"Day off",IF(L140+M140+O140&gt;0,IF($C140="Working","Charged","Worked weekend"),IF($C140="Working","Leave (not charged)",$C140)))))))</f>
        <v>Weekend</v>
      </c>
      <c r="T140" s="341">
        <f>IF($A140="","",SUMIFS('Timesheet Raw'!$P$4:$P$8000,'Timesheet Raw'!$L$4:$L$8000,$A140,'Timesheet Raw'!$C$4:$C$8000,T$3,'Timesheet Raw'!$A$4:$A$8000,"1-Projects"))</f>
        <v>0</v>
      </c>
      <c r="U140" s="341">
        <f>IF($A140="","",SUMIFS('Timesheet Raw'!$P$4:$P$8000,'Timesheet Raw'!$L$4:$L$8000,$A140,'Timesheet Raw'!$C$4:$C$8000,T$3,'Timesheet Raw'!$A$4:$A$8000,"2-Proposals Chargeable")+SUMIFS('Timesheet Raw'!$P$4:$P$8000,'Timesheet Raw'!$L$4:$L$8000,$A140,'Timesheet Raw'!$C$4:$C$8000,T$3,'Timesheet Raw'!$A$4:$A$8000,"3-Proposals Regular"))</f>
        <v>0</v>
      </c>
      <c r="V140" s="341">
        <f>IF($A140="","",SUMIFS('Timesheet Raw'!$P$4:$P$8000,'Timesheet Raw'!$L$4:$L$8000,$A140,'Timesheet Raw'!$C$4:$C$8000,T$3,'Timesheet Raw'!$B$4:$B$8000,'Work Calendar'!$A$26)+SUMIFS('Timesheet Raw'!$P$4:$P$8000,'Timesheet Raw'!$L$4:$L$8000,$A140,'Timesheet Raw'!$C$4:$C$8000,T$3,'Timesheet Raw'!$B$4:$B$8000,'Work Calendar'!$A$27)+SUMIFS('Timesheet Raw'!$P$4:$P$8000,'Timesheet Raw'!$L$4:$L$8000,$A140,'Timesheet Raw'!$C$4:$C$8000,T$3,'Timesheet Raw'!$B$4:$B$8000,'Work Calendar'!$A$28)+SUMIFS('Timesheet Raw'!$P$4:$P$8000,'Timesheet Raw'!$L$4:$L$8000,$A140,'Timesheet Raw'!$C$4:$C$8000,T$3,'Timesheet Raw'!$B$4:$B$8000,'Work Calendar'!$A$29))</f>
        <v>0</v>
      </c>
      <c r="W140" s="341">
        <f t="shared" si="11"/>
        <v>0</v>
      </c>
      <c r="X140" s="395">
        <f>IF($A140="","",SUMIFS('Timesheet Raw'!$K$4:$K$8000,'Timesheet Raw'!$L$4:$L$8000,$A140,'Timesheet Raw'!$C$4:$C$8000,T$3))</f>
        <v>0</v>
      </c>
      <c r="Y140" s="345">
        <f>IF($A140="","",SUMIFS('Timesheet Raw'!$P$4:$P$8000,'Timesheet Raw'!$L$4:$L$8000,$A140,'Timesheet Raw'!$C$4:$C$8000,T$3))</f>
        <v>0</v>
      </c>
      <c r="Z140" s="375"/>
      <c r="AA140" t="str">
        <f>IF($A140="","",IF(Z140&lt;&gt;"",Z140,IF($A140&gt;'Work Calendar'!$B$17,"No data yet",IF(AND(V140&gt;='Work Calendar'!$B$14,T140+U140+W140&gt;0),"Day off - but worked",IF(V140&gt;='Work Calendar'!$B$14,"Day off",IF(T140+U140+W140&gt;0,IF($C140="Working","Charged","Worked weekend"),IF($C140="Working","Leave (not charged)",$C140)))))))</f>
        <v>Weekend</v>
      </c>
    </row>
    <row r="141" spans="1:27" x14ac:dyDescent="0.3">
      <c r="A141" s="371">
        <f>IF($A140="","",IF($A140+1&gt;'Work Calendar'!$B$16,"",$A140+1))</f>
        <v>46159</v>
      </c>
      <c r="B141" t="str">
        <f t="shared" si="8"/>
        <v>Sun</v>
      </c>
      <c r="C141" t="str" cm="1">
        <f t="array" ref="C141">IF($A141="","",IF(COUNTIF('Work Calendar'!$E$6:$E$200,$A141)&gt;0,"Holiday",IF(INDEX('Work Calendar'!$C$6:$C$12,WEEKDAY($A141,1))=1,"Working","Weekend")))</f>
        <v>Working</v>
      </c>
      <c r="D141" s="341">
        <f>IF($A141="","",SUMIFS('Timesheet Raw'!$P$4:$P$8000,'Timesheet Raw'!$L$4:$L$8000,$A141,'Timesheet Raw'!$C$4:$C$8000,D$3,'Timesheet Raw'!$A$4:$A$8000,"1-Projects"))</f>
        <v>0</v>
      </c>
      <c r="E141" s="341">
        <f>IF($A141="","",SUMIFS('Timesheet Raw'!$P$4:$P$8000,'Timesheet Raw'!$L$4:$L$8000,$A141,'Timesheet Raw'!$C$4:$C$8000,D$3,'Timesheet Raw'!$A$4:$A$8000,"2-Proposals Chargeable")+SUMIFS('Timesheet Raw'!$P$4:$P$8000,'Timesheet Raw'!$L$4:$L$8000,$A141,'Timesheet Raw'!$C$4:$C$8000,D$3,'Timesheet Raw'!$A$4:$A$8000,"3-Proposals Regular"))</f>
        <v>0</v>
      </c>
      <c r="F141" s="341">
        <f>IF($A141="","",SUMIFS('Timesheet Raw'!$P$4:$P$8000,'Timesheet Raw'!$L$4:$L$8000,$A141,'Timesheet Raw'!$C$4:$C$8000,D$3,'Timesheet Raw'!$B$4:$B$8000,'Work Calendar'!$A$26)+SUMIFS('Timesheet Raw'!$P$4:$P$8000,'Timesheet Raw'!$L$4:$L$8000,$A141,'Timesheet Raw'!$C$4:$C$8000,D$3,'Timesheet Raw'!$B$4:$B$8000,'Work Calendar'!$A$27)+SUMIFS('Timesheet Raw'!$P$4:$P$8000,'Timesheet Raw'!$L$4:$L$8000,$A141,'Timesheet Raw'!$C$4:$C$8000,D$3,'Timesheet Raw'!$B$4:$B$8000,'Work Calendar'!$A$28)+SUMIFS('Timesheet Raw'!$P$4:$P$8000,'Timesheet Raw'!$L$4:$L$8000,$A141,'Timesheet Raw'!$C$4:$C$8000,D$3,'Timesheet Raw'!$B$4:$B$8000,'Work Calendar'!$A$29))</f>
        <v>8.5</v>
      </c>
      <c r="G141" s="341">
        <f t="shared" si="9"/>
        <v>0</v>
      </c>
      <c r="H141" s="395">
        <f>IF($A141="","",SUMIFS('Timesheet Raw'!$K$4:$K$8000,'Timesheet Raw'!$L$4:$L$8000,$A141,'Timesheet Raw'!$C$4:$C$8000,D$3))</f>
        <v>0</v>
      </c>
      <c r="I141" s="345">
        <f>IF($A141="","",SUMIFS('Timesheet Raw'!$P$4:$P$8000,'Timesheet Raw'!$L$4:$L$8000,$A141,'Timesheet Raw'!$C$4:$C$8000,D$3))</f>
        <v>8.5</v>
      </c>
      <c r="J141" s="375"/>
      <c r="K141" t="str">
        <f>IF($A141="","",IF(J141&lt;&gt;"",J141,IF($A141&gt;'Work Calendar'!$B$17,"No data yet",IF(AND(F141&gt;='Work Calendar'!$B$14,D141+E141+G141&gt;0),"Day off - but worked",IF(F141&gt;='Work Calendar'!$B$14,"Day off",IF(D141+E141+G141&gt;0,IF($C141="Working","Charged","Worked weekend"),IF($C141="Working","Leave (not charged)",$C141)))))))</f>
        <v>Day off</v>
      </c>
      <c r="L141" s="341">
        <f>IF($A141="","",SUMIFS('Timesheet Raw'!$P$4:$P$8000,'Timesheet Raw'!$L$4:$L$8000,$A141,'Timesheet Raw'!$C$4:$C$8000,L$3,'Timesheet Raw'!$A$4:$A$8000,"1-Projects"))</f>
        <v>8</v>
      </c>
      <c r="M141" s="341">
        <f>IF($A141="","",SUMIFS('Timesheet Raw'!$P$4:$P$8000,'Timesheet Raw'!$L$4:$L$8000,$A141,'Timesheet Raw'!$C$4:$C$8000,L$3,'Timesheet Raw'!$A$4:$A$8000,"2-Proposals Chargeable")+SUMIFS('Timesheet Raw'!$P$4:$P$8000,'Timesheet Raw'!$L$4:$L$8000,$A141,'Timesheet Raw'!$C$4:$C$8000,L$3,'Timesheet Raw'!$A$4:$A$8000,"3-Proposals Regular"))</f>
        <v>0</v>
      </c>
      <c r="N141" s="341">
        <f>IF($A141="","",SUMIFS('Timesheet Raw'!$P$4:$P$8000,'Timesheet Raw'!$L$4:$L$8000,$A141,'Timesheet Raw'!$C$4:$C$8000,L$3,'Timesheet Raw'!$B$4:$B$8000,'Work Calendar'!$A$26)+SUMIFS('Timesheet Raw'!$P$4:$P$8000,'Timesheet Raw'!$L$4:$L$8000,$A141,'Timesheet Raw'!$C$4:$C$8000,L$3,'Timesheet Raw'!$B$4:$B$8000,'Work Calendar'!$A$27)+SUMIFS('Timesheet Raw'!$P$4:$P$8000,'Timesheet Raw'!$L$4:$L$8000,$A141,'Timesheet Raw'!$C$4:$C$8000,L$3,'Timesheet Raw'!$B$4:$B$8000,'Work Calendar'!$A$28)+SUMIFS('Timesheet Raw'!$P$4:$P$8000,'Timesheet Raw'!$L$4:$L$8000,$A141,'Timesheet Raw'!$C$4:$C$8000,L$3,'Timesheet Raw'!$B$4:$B$8000,'Work Calendar'!$A$29))</f>
        <v>0.75</v>
      </c>
      <c r="O141" s="341">
        <f t="shared" si="10"/>
        <v>0</v>
      </c>
      <c r="P141" s="395">
        <f>IF($A141="","",SUMIFS('Timesheet Raw'!$K$4:$K$8000,'Timesheet Raw'!$L$4:$L$8000,$A141,'Timesheet Raw'!$C$4:$C$8000,L$3))</f>
        <v>0.25</v>
      </c>
      <c r="Q141" s="345">
        <f>IF($A141="","",SUMIFS('Timesheet Raw'!$P$4:$P$8000,'Timesheet Raw'!$L$4:$L$8000,$A141,'Timesheet Raw'!$C$4:$C$8000,L$3))</f>
        <v>8.75</v>
      </c>
      <c r="R141" s="375"/>
      <c r="S141" t="str">
        <f>IF($A141="","",IF(R141&lt;&gt;"",R141,IF($A141&gt;'Work Calendar'!$B$17,"No data yet",IF(AND(N141&gt;='Work Calendar'!$B$14,L141+M141+O141&gt;0),"Day off - but worked",IF(N141&gt;='Work Calendar'!$B$14,"Day off",IF(L141+M141+O141&gt;0,IF($C141="Working","Charged","Worked weekend"),IF($C141="Working","Leave (not charged)",$C141)))))))</f>
        <v>Charged</v>
      </c>
      <c r="T141" s="341">
        <f>IF($A141="","",SUMIFS('Timesheet Raw'!$P$4:$P$8000,'Timesheet Raw'!$L$4:$L$8000,$A141,'Timesheet Raw'!$C$4:$C$8000,T$3,'Timesheet Raw'!$A$4:$A$8000,"1-Projects"))</f>
        <v>8.5</v>
      </c>
      <c r="U141" s="341">
        <f>IF($A141="","",SUMIFS('Timesheet Raw'!$P$4:$P$8000,'Timesheet Raw'!$L$4:$L$8000,$A141,'Timesheet Raw'!$C$4:$C$8000,T$3,'Timesheet Raw'!$A$4:$A$8000,"2-Proposals Chargeable")+SUMIFS('Timesheet Raw'!$P$4:$P$8000,'Timesheet Raw'!$L$4:$L$8000,$A141,'Timesheet Raw'!$C$4:$C$8000,T$3,'Timesheet Raw'!$A$4:$A$8000,"3-Proposals Regular"))</f>
        <v>0</v>
      </c>
      <c r="V141" s="341">
        <f>IF($A141="","",SUMIFS('Timesheet Raw'!$P$4:$P$8000,'Timesheet Raw'!$L$4:$L$8000,$A141,'Timesheet Raw'!$C$4:$C$8000,T$3,'Timesheet Raw'!$B$4:$B$8000,'Work Calendar'!$A$26)+SUMIFS('Timesheet Raw'!$P$4:$P$8000,'Timesheet Raw'!$L$4:$L$8000,$A141,'Timesheet Raw'!$C$4:$C$8000,T$3,'Timesheet Raw'!$B$4:$B$8000,'Work Calendar'!$A$27)+SUMIFS('Timesheet Raw'!$P$4:$P$8000,'Timesheet Raw'!$L$4:$L$8000,$A141,'Timesheet Raw'!$C$4:$C$8000,T$3,'Timesheet Raw'!$B$4:$B$8000,'Work Calendar'!$A$28)+SUMIFS('Timesheet Raw'!$P$4:$P$8000,'Timesheet Raw'!$L$4:$L$8000,$A141,'Timesheet Raw'!$C$4:$C$8000,T$3,'Timesheet Raw'!$B$4:$B$8000,'Work Calendar'!$A$29))</f>
        <v>1</v>
      </c>
      <c r="W141" s="341">
        <f t="shared" si="11"/>
        <v>0</v>
      </c>
      <c r="X141" s="395">
        <f>IF($A141="","",SUMIFS('Timesheet Raw'!$K$4:$K$8000,'Timesheet Raw'!$L$4:$L$8000,$A141,'Timesheet Raw'!$C$4:$C$8000,T$3))</f>
        <v>1</v>
      </c>
      <c r="Y141" s="345">
        <f>IF($A141="","",SUMIFS('Timesheet Raw'!$P$4:$P$8000,'Timesheet Raw'!$L$4:$L$8000,$A141,'Timesheet Raw'!$C$4:$C$8000,T$3))</f>
        <v>9.5</v>
      </c>
      <c r="Z141" s="375"/>
      <c r="AA141" t="str">
        <f>IF($A141="","",IF(Z141&lt;&gt;"",Z141,IF($A141&gt;'Work Calendar'!$B$17,"No data yet",IF(AND(V141&gt;='Work Calendar'!$B$14,T141+U141+W141&gt;0),"Day off - but worked",IF(V141&gt;='Work Calendar'!$B$14,"Day off",IF(T141+U141+W141&gt;0,IF($C141="Working","Charged","Worked weekend"),IF($C141="Working","Leave (not charged)",$C141)))))))</f>
        <v>Charged</v>
      </c>
    </row>
    <row r="142" spans="1:27" x14ac:dyDescent="0.3">
      <c r="A142" s="371">
        <f>IF($A141="","",IF($A141+1&gt;'Work Calendar'!$B$16,"",$A141+1))</f>
        <v>46160</v>
      </c>
      <c r="B142" t="str">
        <f t="shared" si="8"/>
        <v>Mon</v>
      </c>
      <c r="C142" t="str" cm="1">
        <f t="array" ref="C142">IF($A142="","",IF(COUNTIF('Work Calendar'!$E$6:$E$200,$A142)&gt;0,"Holiday",IF(INDEX('Work Calendar'!$C$6:$C$12,WEEKDAY($A142,1))=1,"Working","Weekend")))</f>
        <v>Working</v>
      </c>
      <c r="D142" s="341">
        <f>IF($A142="","",SUMIFS('Timesheet Raw'!$P$4:$P$8000,'Timesheet Raw'!$L$4:$L$8000,$A142,'Timesheet Raw'!$C$4:$C$8000,D$3,'Timesheet Raw'!$A$4:$A$8000,"1-Projects"))</f>
        <v>0</v>
      </c>
      <c r="E142" s="341">
        <f>IF($A142="","",SUMIFS('Timesheet Raw'!$P$4:$P$8000,'Timesheet Raw'!$L$4:$L$8000,$A142,'Timesheet Raw'!$C$4:$C$8000,D$3,'Timesheet Raw'!$A$4:$A$8000,"2-Proposals Chargeable")+SUMIFS('Timesheet Raw'!$P$4:$P$8000,'Timesheet Raw'!$L$4:$L$8000,$A142,'Timesheet Raw'!$C$4:$C$8000,D$3,'Timesheet Raw'!$A$4:$A$8000,"3-Proposals Regular"))</f>
        <v>0</v>
      </c>
      <c r="F142" s="341">
        <f>IF($A142="","",SUMIFS('Timesheet Raw'!$P$4:$P$8000,'Timesheet Raw'!$L$4:$L$8000,$A142,'Timesheet Raw'!$C$4:$C$8000,D$3,'Timesheet Raw'!$B$4:$B$8000,'Work Calendar'!$A$26)+SUMIFS('Timesheet Raw'!$P$4:$P$8000,'Timesheet Raw'!$L$4:$L$8000,$A142,'Timesheet Raw'!$C$4:$C$8000,D$3,'Timesheet Raw'!$B$4:$B$8000,'Work Calendar'!$A$27)+SUMIFS('Timesheet Raw'!$P$4:$P$8000,'Timesheet Raw'!$L$4:$L$8000,$A142,'Timesheet Raw'!$C$4:$C$8000,D$3,'Timesheet Raw'!$B$4:$B$8000,'Work Calendar'!$A$28)+SUMIFS('Timesheet Raw'!$P$4:$P$8000,'Timesheet Raw'!$L$4:$L$8000,$A142,'Timesheet Raw'!$C$4:$C$8000,D$3,'Timesheet Raw'!$B$4:$B$8000,'Work Calendar'!$A$29))</f>
        <v>8.5</v>
      </c>
      <c r="G142" s="341">
        <f t="shared" si="9"/>
        <v>0</v>
      </c>
      <c r="H142" s="395">
        <f>IF($A142="","",SUMIFS('Timesheet Raw'!$K$4:$K$8000,'Timesheet Raw'!$L$4:$L$8000,$A142,'Timesheet Raw'!$C$4:$C$8000,D$3))</f>
        <v>0</v>
      </c>
      <c r="I142" s="345">
        <f>IF($A142="","",SUMIFS('Timesheet Raw'!$P$4:$P$8000,'Timesheet Raw'!$L$4:$L$8000,$A142,'Timesheet Raw'!$C$4:$C$8000,D$3))</f>
        <v>8.5</v>
      </c>
      <c r="J142" s="375"/>
      <c r="K142" t="str">
        <f>IF($A142="","",IF(J142&lt;&gt;"",J142,IF($A142&gt;'Work Calendar'!$B$17,"No data yet",IF(AND(F142&gt;='Work Calendar'!$B$14,D142+E142+G142&gt;0),"Day off - but worked",IF(F142&gt;='Work Calendar'!$B$14,"Day off",IF(D142+E142+G142&gt;0,IF($C142="Working","Charged","Worked weekend"),IF($C142="Working","Leave (not charged)",$C142)))))))</f>
        <v>Day off</v>
      </c>
      <c r="L142" s="341">
        <f>IF($A142="","",SUMIFS('Timesheet Raw'!$P$4:$P$8000,'Timesheet Raw'!$L$4:$L$8000,$A142,'Timesheet Raw'!$C$4:$C$8000,L$3,'Timesheet Raw'!$A$4:$A$8000,"1-Projects"))</f>
        <v>12.5</v>
      </c>
      <c r="M142" s="341">
        <f>IF($A142="","",SUMIFS('Timesheet Raw'!$P$4:$P$8000,'Timesheet Raw'!$L$4:$L$8000,$A142,'Timesheet Raw'!$C$4:$C$8000,L$3,'Timesheet Raw'!$A$4:$A$8000,"2-Proposals Chargeable")+SUMIFS('Timesheet Raw'!$P$4:$P$8000,'Timesheet Raw'!$L$4:$L$8000,$A142,'Timesheet Raw'!$C$4:$C$8000,L$3,'Timesheet Raw'!$A$4:$A$8000,"3-Proposals Regular"))</f>
        <v>0</v>
      </c>
      <c r="N142" s="341">
        <f>IF($A142="","",SUMIFS('Timesheet Raw'!$P$4:$P$8000,'Timesheet Raw'!$L$4:$L$8000,$A142,'Timesheet Raw'!$C$4:$C$8000,L$3,'Timesheet Raw'!$B$4:$B$8000,'Work Calendar'!$A$26)+SUMIFS('Timesheet Raw'!$P$4:$P$8000,'Timesheet Raw'!$L$4:$L$8000,$A142,'Timesheet Raw'!$C$4:$C$8000,L$3,'Timesheet Raw'!$B$4:$B$8000,'Work Calendar'!$A$27)+SUMIFS('Timesheet Raw'!$P$4:$P$8000,'Timesheet Raw'!$L$4:$L$8000,$A142,'Timesheet Raw'!$C$4:$C$8000,L$3,'Timesheet Raw'!$B$4:$B$8000,'Work Calendar'!$A$28)+SUMIFS('Timesheet Raw'!$P$4:$P$8000,'Timesheet Raw'!$L$4:$L$8000,$A142,'Timesheet Raw'!$C$4:$C$8000,L$3,'Timesheet Raw'!$B$4:$B$8000,'Work Calendar'!$A$29))</f>
        <v>0</v>
      </c>
      <c r="O142" s="341">
        <f t="shared" si="10"/>
        <v>0</v>
      </c>
      <c r="P142" s="395">
        <f>IF($A142="","",SUMIFS('Timesheet Raw'!$K$4:$K$8000,'Timesheet Raw'!$L$4:$L$8000,$A142,'Timesheet Raw'!$C$4:$C$8000,L$3))</f>
        <v>4</v>
      </c>
      <c r="Q142" s="345">
        <f>IF($A142="","",SUMIFS('Timesheet Raw'!$P$4:$P$8000,'Timesheet Raw'!$L$4:$L$8000,$A142,'Timesheet Raw'!$C$4:$C$8000,L$3))</f>
        <v>12.5</v>
      </c>
      <c r="R142" s="375"/>
      <c r="S142" t="str">
        <f>IF($A142="","",IF(R142&lt;&gt;"",R142,IF($A142&gt;'Work Calendar'!$B$17,"No data yet",IF(AND(N142&gt;='Work Calendar'!$B$14,L142+M142+O142&gt;0),"Day off - but worked",IF(N142&gt;='Work Calendar'!$B$14,"Day off",IF(L142+M142+O142&gt;0,IF($C142="Working","Charged","Worked weekend"),IF($C142="Working","Leave (not charged)",$C142)))))))</f>
        <v>Charged</v>
      </c>
      <c r="T142" s="341">
        <f>IF($A142="","",SUMIFS('Timesheet Raw'!$P$4:$P$8000,'Timesheet Raw'!$L$4:$L$8000,$A142,'Timesheet Raw'!$C$4:$C$8000,T$3,'Timesheet Raw'!$A$4:$A$8000,"1-Projects"))</f>
        <v>12</v>
      </c>
      <c r="U142" s="341">
        <f>IF($A142="","",SUMIFS('Timesheet Raw'!$P$4:$P$8000,'Timesheet Raw'!$L$4:$L$8000,$A142,'Timesheet Raw'!$C$4:$C$8000,T$3,'Timesheet Raw'!$A$4:$A$8000,"2-Proposals Chargeable")+SUMIFS('Timesheet Raw'!$P$4:$P$8000,'Timesheet Raw'!$L$4:$L$8000,$A142,'Timesheet Raw'!$C$4:$C$8000,T$3,'Timesheet Raw'!$A$4:$A$8000,"3-Proposals Regular"))</f>
        <v>0</v>
      </c>
      <c r="V142" s="341">
        <f>IF($A142="","",SUMIFS('Timesheet Raw'!$P$4:$P$8000,'Timesheet Raw'!$L$4:$L$8000,$A142,'Timesheet Raw'!$C$4:$C$8000,T$3,'Timesheet Raw'!$B$4:$B$8000,'Work Calendar'!$A$26)+SUMIFS('Timesheet Raw'!$P$4:$P$8000,'Timesheet Raw'!$L$4:$L$8000,$A142,'Timesheet Raw'!$C$4:$C$8000,T$3,'Timesheet Raw'!$B$4:$B$8000,'Work Calendar'!$A$27)+SUMIFS('Timesheet Raw'!$P$4:$P$8000,'Timesheet Raw'!$L$4:$L$8000,$A142,'Timesheet Raw'!$C$4:$C$8000,T$3,'Timesheet Raw'!$B$4:$B$8000,'Work Calendar'!$A$28)+SUMIFS('Timesheet Raw'!$P$4:$P$8000,'Timesheet Raw'!$L$4:$L$8000,$A142,'Timesheet Raw'!$C$4:$C$8000,T$3,'Timesheet Raw'!$B$4:$B$8000,'Work Calendar'!$A$29))</f>
        <v>0.75</v>
      </c>
      <c r="W142" s="341">
        <f t="shared" si="11"/>
        <v>0</v>
      </c>
      <c r="X142" s="395">
        <f>IF($A142="","",SUMIFS('Timesheet Raw'!$K$4:$K$8000,'Timesheet Raw'!$L$4:$L$8000,$A142,'Timesheet Raw'!$C$4:$C$8000,T$3))</f>
        <v>4.25</v>
      </c>
      <c r="Y142" s="345">
        <f>IF($A142="","",SUMIFS('Timesheet Raw'!$P$4:$P$8000,'Timesheet Raw'!$L$4:$L$8000,$A142,'Timesheet Raw'!$C$4:$C$8000,T$3))</f>
        <v>12.75</v>
      </c>
      <c r="Z142" s="375"/>
      <c r="AA142" t="str">
        <f>IF($A142="","",IF(Z142&lt;&gt;"",Z142,IF($A142&gt;'Work Calendar'!$B$17,"No data yet",IF(AND(V142&gt;='Work Calendar'!$B$14,T142+U142+W142&gt;0),"Day off - but worked",IF(V142&gt;='Work Calendar'!$B$14,"Day off",IF(T142+U142+W142&gt;0,IF($C142="Working","Charged","Worked weekend"),IF($C142="Working","Leave (not charged)",$C142)))))))</f>
        <v>Charged</v>
      </c>
    </row>
    <row r="143" spans="1:27" x14ac:dyDescent="0.3">
      <c r="A143" s="371">
        <f>IF($A142="","",IF($A142+1&gt;'Work Calendar'!$B$16,"",$A142+1))</f>
        <v>46161</v>
      </c>
      <c r="B143" t="str">
        <f t="shared" si="8"/>
        <v>Tue</v>
      </c>
      <c r="C143" t="str" cm="1">
        <f t="array" ref="C143">IF($A143="","",IF(COUNTIF('Work Calendar'!$E$6:$E$200,$A143)&gt;0,"Holiday",IF(INDEX('Work Calendar'!$C$6:$C$12,WEEKDAY($A143,1))=1,"Working","Weekend")))</f>
        <v>Working</v>
      </c>
      <c r="D143" s="341">
        <f>IF($A143="","",SUMIFS('Timesheet Raw'!$P$4:$P$8000,'Timesheet Raw'!$L$4:$L$8000,$A143,'Timesheet Raw'!$C$4:$C$8000,D$3,'Timesheet Raw'!$A$4:$A$8000,"1-Projects"))</f>
        <v>10.5</v>
      </c>
      <c r="E143" s="341">
        <f>IF($A143="","",SUMIFS('Timesheet Raw'!$P$4:$P$8000,'Timesheet Raw'!$L$4:$L$8000,$A143,'Timesheet Raw'!$C$4:$C$8000,D$3,'Timesheet Raw'!$A$4:$A$8000,"2-Proposals Chargeable")+SUMIFS('Timesheet Raw'!$P$4:$P$8000,'Timesheet Raw'!$L$4:$L$8000,$A143,'Timesheet Raw'!$C$4:$C$8000,D$3,'Timesheet Raw'!$A$4:$A$8000,"3-Proposals Regular"))</f>
        <v>0</v>
      </c>
      <c r="F143" s="341">
        <f>IF($A143="","",SUMIFS('Timesheet Raw'!$P$4:$P$8000,'Timesheet Raw'!$L$4:$L$8000,$A143,'Timesheet Raw'!$C$4:$C$8000,D$3,'Timesheet Raw'!$B$4:$B$8000,'Work Calendar'!$A$26)+SUMIFS('Timesheet Raw'!$P$4:$P$8000,'Timesheet Raw'!$L$4:$L$8000,$A143,'Timesheet Raw'!$C$4:$C$8000,D$3,'Timesheet Raw'!$B$4:$B$8000,'Work Calendar'!$A$27)+SUMIFS('Timesheet Raw'!$P$4:$P$8000,'Timesheet Raw'!$L$4:$L$8000,$A143,'Timesheet Raw'!$C$4:$C$8000,D$3,'Timesheet Raw'!$B$4:$B$8000,'Work Calendar'!$A$28)+SUMIFS('Timesheet Raw'!$P$4:$P$8000,'Timesheet Raw'!$L$4:$L$8000,$A143,'Timesheet Raw'!$C$4:$C$8000,D$3,'Timesheet Raw'!$B$4:$B$8000,'Work Calendar'!$A$29))</f>
        <v>0.5</v>
      </c>
      <c r="G143" s="341">
        <f t="shared" si="9"/>
        <v>0</v>
      </c>
      <c r="H143" s="395">
        <f>IF($A143="","",SUMIFS('Timesheet Raw'!$K$4:$K$8000,'Timesheet Raw'!$L$4:$L$8000,$A143,'Timesheet Raw'!$C$4:$C$8000,D$3))</f>
        <v>2.5</v>
      </c>
      <c r="I143" s="345">
        <f>IF($A143="","",SUMIFS('Timesheet Raw'!$P$4:$P$8000,'Timesheet Raw'!$L$4:$L$8000,$A143,'Timesheet Raw'!$C$4:$C$8000,D$3))</f>
        <v>11</v>
      </c>
      <c r="J143" s="375"/>
      <c r="K143" t="str">
        <f>IF($A143="","",IF(J143&lt;&gt;"",J143,IF($A143&gt;'Work Calendar'!$B$17,"No data yet",IF(AND(F143&gt;='Work Calendar'!$B$14,D143+E143+G143&gt;0),"Day off - but worked",IF(F143&gt;='Work Calendar'!$B$14,"Day off",IF(D143+E143+G143&gt;0,IF($C143="Working","Charged","Worked weekend"),IF($C143="Working","Leave (not charged)",$C143)))))))</f>
        <v>Charged</v>
      </c>
      <c r="L143" s="341">
        <f>IF($A143="","",SUMIFS('Timesheet Raw'!$P$4:$P$8000,'Timesheet Raw'!$L$4:$L$8000,$A143,'Timesheet Raw'!$C$4:$C$8000,L$3,'Timesheet Raw'!$A$4:$A$8000,"1-Projects"))</f>
        <v>8.5</v>
      </c>
      <c r="M143" s="341">
        <f>IF($A143="","",SUMIFS('Timesheet Raw'!$P$4:$P$8000,'Timesheet Raw'!$L$4:$L$8000,$A143,'Timesheet Raw'!$C$4:$C$8000,L$3,'Timesheet Raw'!$A$4:$A$8000,"2-Proposals Chargeable")+SUMIFS('Timesheet Raw'!$P$4:$P$8000,'Timesheet Raw'!$L$4:$L$8000,$A143,'Timesheet Raw'!$C$4:$C$8000,L$3,'Timesheet Raw'!$A$4:$A$8000,"3-Proposals Regular"))</f>
        <v>0</v>
      </c>
      <c r="N143" s="341">
        <f>IF($A143="","",SUMIFS('Timesheet Raw'!$P$4:$P$8000,'Timesheet Raw'!$L$4:$L$8000,$A143,'Timesheet Raw'!$C$4:$C$8000,L$3,'Timesheet Raw'!$B$4:$B$8000,'Work Calendar'!$A$26)+SUMIFS('Timesheet Raw'!$P$4:$P$8000,'Timesheet Raw'!$L$4:$L$8000,$A143,'Timesheet Raw'!$C$4:$C$8000,L$3,'Timesheet Raw'!$B$4:$B$8000,'Work Calendar'!$A$27)+SUMIFS('Timesheet Raw'!$P$4:$P$8000,'Timesheet Raw'!$L$4:$L$8000,$A143,'Timesheet Raw'!$C$4:$C$8000,L$3,'Timesheet Raw'!$B$4:$B$8000,'Work Calendar'!$A$28)+SUMIFS('Timesheet Raw'!$P$4:$P$8000,'Timesheet Raw'!$L$4:$L$8000,$A143,'Timesheet Raw'!$C$4:$C$8000,L$3,'Timesheet Raw'!$B$4:$B$8000,'Work Calendar'!$A$29))</f>
        <v>0</v>
      </c>
      <c r="O143" s="341">
        <f t="shared" si="10"/>
        <v>0</v>
      </c>
      <c r="P143" s="395">
        <f>IF($A143="","",SUMIFS('Timesheet Raw'!$K$4:$K$8000,'Timesheet Raw'!$L$4:$L$8000,$A143,'Timesheet Raw'!$C$4:$C$8000,L$3))</f>
        <v>0</v>
      </c>
      <c r="Q143" s="345">
        <f>IF($A143="","",SUMIFS('Timesheet Raw'!$P$4:$P$8000,'Timesheet Raw'!$L$4:$L$8000,$A143,'Timesheet Raw'!$C$4:$C$8000,L$3))</f>
        <v>8.5</v>
      </c>
      <c r="R143" s="375"/>
      <c r="S143" t="str">
        <f>IF($A143="","",IF(R143&lt;&gt;"",R143,IF($A143&gt;'Work Calendar'!$B$17,"No data yet",IF(AND(N143&gt;='Work Calendar'!$B$14,L143+M143+O143&gt;0),"Day off - but worked",IF(N143&gt;='Work Calendar'!$B$14,"Day off",IF(L143+M143+O143&gt;0,IF($C143="Working","Charged","Worked weekend"),IF($C143="Working","Leave (not charged)",$C143)))))))</f>
        <v>Charged</v>
      </c>
      <c r="T143" s="341">
        <f>IF($A143="","",SUMIFS('Timesheet Raw'!$P$4:$P$8000,'Timesheet Raw'!$L$4:$L$8000,$A143,'Timesheet Raw'!$C$4:$C$8000,T$3,'Timesheet Raw'!$A$4:$A$8000,"1-Projects"))</f>
        <v>9.75</v>
      </c>
      <c r="U143" s="341">
        <f>IF($A143="","",SUMIFS('Timesheet Raw'!$P$4:$P$8000,'Timesheet Raw'!$L$4:$L$8000,$A143,'Timesheet Raw'!$C$4:$C$8000,T$3,'Timesheet Raw'!$A$4:$A$8000,"2-Proposals Chargeable")+SUMIFS('Timesheet Raw'!$P$4:$P$8000,'Timesheet Raw'!$L$4:$L$8000,$A143,'Timesheet Raw'!$C$4:$C$8000,T$3,'Timesheet Raw'!$A$4:$A$8000,"3-Proposals Regular"))</f>
        <v>0</v>
      </c>
      <c r="V143" s="341">
        <f>IF($A143="","",SUMIFS('Timesheet Raw'!$P$4:$P$8000,'Timesheet Raw'!$L$4:$L$8000,$A143,'Timesheet Raw'!$C$4:$C$8000,T$3,'Timesheet Raw'!$B$4:$B$8000,'Work Calendar'!$A$26)+SUMIFS('Timesheet Raw'!$P$4:$P$8000,'Timesheet Raw'!$L$4:$L$8000,$A143,'Timesheet Raw'!$C$4:$C$8000,T$3,'Timesheet Raw'!$B$4:$B$8000,'Work Calendar'!$A$27)+SUMIFS('Timesheet Raw'!$P$4:$P$8000,'Timesheet Raw'!$L$4:$L$8000,$A143,'Timesheet Raw'!$C$4:$C$8000,T$3,'Timesheet Raw'!$B$4:$B$8000,'Work Calendar'!$A$28)+SUMIFS('Timesheet Raw'!$P$4:$P$8000,'Timesheet Raw'!$L$4:$L$8000,$A143,'Timesheet Raw'!$C$4:$C$8000,T$3,'Timesheet Raw'!$B$4:$B$8000,'Work Calendar'!$A$29))</f>
        <v>1</v>
      </c>
      <c r="W143" s="341">
        <f t="shared" si="11"/>
        <v>0</v>
      </c>
      <c r="X143" s="395">
        <f>IF($A143="","",SUMIFS('Timesheet Raw'!$K$4:$K$8000,'Timesheet Raw'!$L$4:$L$8000,$A143,'Timesheet Raw'!$C$4:$C$8000,T$3))</f>
        <v>2.25</v>
      </c>
      <c r="Y143" s="345">
        <f>IF($A143="","",SUMIFS('Timesheet Raw'!$P$4:$P$8000,'Timesheet Raw'!$L$4:$L$8000,$A143,'Timesheet Raw'!$C$4:$C$8000,T$3))</f>
        <v>10.75</v>
      </c>
      <c r="Z143" s="375"/>
      <c r="AA143" t="str">
        <f>IF($A143="","",IF(Z143&lt;&gt;"",Z143,IF($A143&gt;'Work Calendar'!$B$17,"No data yet",IF(AND(V143&gt;='Work Calendar'!$B$14,T143+U143+W143&gt;0),"Day off - but worked",IF(V143&gt;='Work Calendar'!$B$14,"Day off",IF(T143+U143+W143&gt;0,IF($C143="Working","Charged","Worked weekend"),IF($C143="Working","Leave (not charged)",$C143)))))))</f>
        <v>Charged</v>
      </c>
    </row>
    <row r="144" spans="1:27" x14ac:dyDescent="0.3">
      <c r="A144" s="371">
        <f>IF($A143="","",IF($A143+1&gt;'Work Calendar'!$B$16,"",$A143+1))</f>
        <v>46162</v>
      </c>
      <c r="B144" t="str">
        <f t="shared" si="8"/>
        <v>Wed</v>
      </c>
      <c r="C144" t="str" cm="1">
        <f t="array" ref="C144">IF($A144="","",IF(COUNTIF('Work Calendar'!$E$6:$E$200,$A144)&gt;0,"Holiday",IF(INDEX('Work Calendar'!$C$6:$C$12,WEEKDAY($A144,1))=1,"Working","Weekend")))</f>
        <v>Working</v>
      </c>
      <c r="D144" s="341">
        <f>IF($A144="","",SUMIFS('Timesheet Raw'!$P$4:$P$8000,'Timesheet Raw'!$L$4:$L$8000,$A144,'Timesheet Raw'!$C$4:$C$8000,D$3,'Timesheet Raw'!$A$4:$A$8000,"1-Projects"))</f>
        <v>8</v>
      </c>
      <c r="E144" s="341">
        <f>IF($A144="","",SUMIFS('Timesheet Raw'!$P$4:$P$8000,'Timesheet Raw'!$L$4:$L$8000,$A144,'Timesheet Raw'!$C$4:$C$8000,D$3,'Timesheet Raw'!$A$4:$A$8000,"2-Proposals Chargeable")+SUMIFS('Timesheet Raw'!$P$4:$P$8000,'Timesheet Raw'!$L$4:$L$8000,$A144,'Timesheet Raw'!$C$4:$C$8000,D$3,'Timesheet Raw'!$A$4:$A$8000,"3-Proposals Regular"))</f>
        <v>0</v>
      </c>
      <c r="F144" s="341">
        <f>IF($A144="","",SUMIFS('Timesheet Raw'!$P$4:$P$8000,'Timesheet Raw'!$L$4:$L$8000,$A144,'Timesheet Raw'!$C$4:$C$8000,D$3,'Timesheet Raw'!$B$4:$B$8000,'Work Calendar'!$A$26)+SUMIFS('Timesheet Raw'!$P$4:$P$8000,'Timesheet Raw'!$L$4:$L$8000,$A144,'Timesheet Raw'!$C$4:$C$8000,D$3,'Timesheet Raw'!$B$4:$B$8000,'Work Calendar'!$A$27)+SUMIFS('Timesheet Raw'!$P$4:$P$8000,'Timesheet Raw'!$L$4:$L$8000,$A144,'Timesheet Raw'!$C$4:$C$8000,D$3,'Timesheet Raw'!$B$4:$B$8000,'Work Calendar'!$A$28)+SUMIFS('Timesheet Raw'!$P$4:$P$8000,'Timesheet Raw'!$L$4:$L$8000,$A144,'Timesheet Raw'!$C$4:$C$8000,D$3,'Timesheet Raw'!$B$4:$B$8000,'Work Calendar'!$A$29))</f>
        <v>1</v>
      </c>
      <c r="G144" s="341">
        <f t="shared" si="9"/>
        <v>0</v>
      </c>
      <c r="H144" s="395">
        <f>IF($A144="","",SUMIFS('Timesheet Raw'!$K$4:$K$8000,'Timesheet Raw'!$L$4:$L$8000,$A144,'Timesheet Raw'!$C$4:$C$8000,D$3))</f>
        <v>0.5</v>
      </c>
      <c r="I144" s="345">
        <f>IF($A144="","",SUMIFS('Timesheet Raw'!$P$4:$P$8000,'Timesheet Raw'!$L$4:$L$8000,$A144,'Timesheet Raw'!$C$4:$C$8000,D$3))</f>
        <v>9</v>
      </c>
      <c r="J144" s="375"/>
      <c r="K144" t="str">
        <f>IF($A144="","",IF(J144&lt;&gt;"",J144,IF($A144&gt;'Work Calendar'!$B$17,"No data yet",IF(AND(F144&gt;='Work Calendar'!$B$14,D144+E144+G144&gt;0),"Day off - but worked",IF(F144&gt;='Work Calendar'!$B$14,"Day off",IF(D144+E144+G144&gt;0,IF($C144="Working","Charged","Worked weekend"),IF($C144="Working","Leave (not charged)",$C144)))))))</f>
        <v>Charged</v>
      </c>
      <c r="L144" s="341">
        <f>IF($A144="","",SUMIFS('Timesheet Raw'!$P$4:$P$8000,'Timesheet Raw'!$L$4:$L$8000,$A144,'Timesheet Raw'!$C$4:$C$8000,L$3,'Timesheet Raw'!$A$4:$A$8000,"1-Projects"))</f>
        <v>9</v>
      </c>
      <c r="M144" s="341">
        <f>IF($A144="","",SUMIFS('Timesheet Raw'!$P$4:$P$8000,'Timesheet Raw'!$L$4:$L$8000,$A144,'Timesheet Raw'!$C$4:$C$8000,L$3,'Timesheet Raw'!$A$4:$A$8000,"2-Proposals Chargeable")+SUMIFS('Timesheet Raw'!$P$4:$P$8000,'Timesheet Raw'!$L$4:$L$8000,$A144,'Timesheet Raw'!$C$4:$C$8000,L$3,'Timesheet Raw'!$A$4:$A$8000,"3-Proposals Regular"))</f>
        <v>0</v>
      </c>
      <c r="N144" s="341">
        <f>IF($A144="","",SUMIFS('Timesheet Raw'!$P$4:$P$8000,'Timesheet Raw'!$L$4:$L$8000,$A144,'Timesheet Raw'!$C$4:$C$8000,L$3,'Timesheet Raw'!$B$4:$B$8000,'Work Calendar'!$A$26)+SUMIFS('Timesheet Raw'!$P$4:$P$8000,'Timesheet Raw'!$L$4:$L$8000,$A144,'Timesheet Raw'!$C$4:$C$8000,L$3,'Timesheet Raw'!$B$4:$B$8000,'Work Calendar'!$A$27)+SUMIFS('Timesheet Raw'!$P$4:$P$8000,'Timesheet Raw'!$L$4:$L$8000,$A144,'Timesheet Raw'!$C$4:$C$8000,L$3,'Timesheet Raw'!$B$4:$B$8000,'Work Calendar'!$A$28)+SUMIFS('Timesheet Raw'!$P$4:$P$8000,'Timesheet Raw'!$L$4:$L$8000,$A144,'Timesheet Raw'!$C$4:$C$8000,L$3,'Timesheet Raw'!$B$4:$B$8000,'Work Calendar'!$A$29))</f>
        <v>0.25</v>
      </c>
      <c r="O144" s="341">
        <f t="shared" si="10"/>
        <v>0</v>
      </c>
      <c r="P144" s="395">
        <f>IF($A144="","",SUMIFS('Timesheet Raw'!$K$4:$K$8000,'Timesheet Raw'!$L$4:$L$8000,$A144,'Timesheet Raw'!$C$4:$C$8000,L$3))</f>
        <v>0.75</v>
      </c>
      <c r="Q144" s="345">
        <f>IF($A144="","",SUMIFS('Timesheet Raw'!$P$4:$P$8000,'Timesheet Raw'!$L$4:$L$8000,$A144,'Timesheet Raw'!$C$4:$C$8000,L$3))</f>
        <v>9.25</v>
      </c>
      <c r="R144" s="375"/>
      <c r="S144" t="str">
        <f>IF($A144="","",IF(R144&lt;&gt;"",R144,IF($A144&gt;'Work Calendar'!$B$17,"No data yet",IF(AND(N144&gt;='Work Calendar'!$B$14,L144+M144+O144&gt;0),"Day off - but worked",IF(N144&gt;='Work Calendar'!$B$14,"Day off",IF(L144+M144+O144&gt;0,IF($C144="Working","Charged","Worked weekend"),IF($C144="Working","Leave (not charged)",$C144)))))))</f>
        <v>Charged</v>
      </c>
      <c r="T144" s="341">
        <f>IF($A144="","",SUMIFS('Timesheet Raw'!$P$4:$P$8000,'Timesheet Raw'!$L$4:$L$8000,$A144,'Timesheet Raw'!$C$4:$C$8000,T$3,'Timesheet Raw'!$A$4:$A$8000,"1-Projects"))</f>
        <v>8.5</v>
      </c>
      <c r="U144" s="341">
        <f>IF($A144="","",SUMIFS('Timesheet Raw'!$P$4:$P$8000,'Timesheet Raw'!$L$4:$L$8000,$A144,'Timesheet Raw'!$C$4:$C$8000,T$3,'Timesheet Raw'!$A$4:$A$8000,"2-Proposals Chargeable")+SUMIFS('Timesheet Raw'!$P$4:$P$8000,'Timesheet Raw'!$L$4:$L$8000,$A144,'Timesheet Raw'!$C$4:$C$8000,T$3,'Timesheet Raw'!$A$4:$A$8000,"3-Proposals Regular"))</f>
        <v>0</v>
      </c>
      <c r="V144" s="341">
        <f>IF($A144="","",SUMIFS('Timesheet Raw'!$P$4:$P$8000,'Timesheet Raw'!$L$4:$L$8000,$A144,'Timesheet Raw'!$C$4:$C$8000,T$3,'Timesheet Raw'!$B$4:$B$8000,'Work Calendar'!$A$26)+SUMIFS('Timesheet Raw'!$P$4:$P$8000,'Timesheet Raw'!$L$4:$L$8000,$A144,'Timesheet Raw'!$C$4:$C$8000,T$3,'Timesheet Raw'!$B$4:$B$8000,'Work Calendar'!$A$27)+SUMIFS('Timesheet Raw'!$P$4:$P$8000,'Timesheet Raw'!$L$4:$L$8000,$A144,'Timesheet Raw'!$C$4:$C$8000,T$3,'Timesheet Raw'!$B$4:$B$8000,'Work Calendar'!$A$28)+SUMIFS('Timesheet Raw'!$P$4:$P$8000,'Timesheet Raw'!$L$4:$L$8000,$A144,'Timesheet Raw'!$C$4:$C$8000,T$3,'Timesheet Raw'!$B$4:$B$8000,'Work Calendar'!$A$29))</f>
        <v>0.75</v>
      </c>
      <c r="W144" s="341">
        <f t="shared" si="11"/>
        <v>0</v>
      </c>
      <c r="X144" s="395">
        <f>IF($A144="","",SUMIFS('Timesheet Raw'!$K$4:$K$8000,'Timesheet Raw'!$L$4:$L$8000,$A144,'Timesheet Raw'!$C$4:$C$8000,T$3))</f>
        <v>0.75</v>
      </c>
      <c r="Y144" s="345">
        <f>IF($A144="","",SUMIFS('Timesheet Raw'!$P$4:$P$8000,'Timesheet Raw'!$L$4:$L$8000,$A144,'Timesheet Raw'!$C$4:$C$8000,T$3))</f>
        <v>9.25</v>
      </c>
      <c r="Z144" s="375"/>
      <c r="AA144" t="str">
        <f>IF($A144="","",IF(Z144&lt;&gt;"",Z144,IF($A144&gt;'Work Calendar'!$B$17,"No data yet",IF(AND(V144&gt;='Work Calendar'!$B$14,T144+U144+W144&gt;0),"Day off - but worked",IF(V144&gt;='Work Calendar'!$B$14,"Day off",IF(T144+U144+W144&gt;0,IF($C144="Working","Charged","Worked weekend"),IF($C144="Working","Leave (not charged)",$C144)))))))</f>
        <v>Charged</v>
      </c>
    </row>
    <row r="145" spans="1:27" x14ac:dyDescent="0.3">
      <c r="A145" s="371">
        <f>IF($A144="","",IF($A144+1&gt;'Work Calendar'!$B$16,"",$A144+1))</f>
        <v>46163</v>
      </c>
      <c r="B145" t="str">
        <f t="shared" si="8"/>
        <v>Thu</v>
      </c>
      <c r="C145" t="str" cm="1">
        <f t="array" ref="C145">IF($A145="","",IF(COUNTIF('Work Calendar'!$E$6:$E$200,$A145)&gt;0,"Holiday",IF(INDEX('Work Calendar'!$C$6:$C$12,WEEKDAY($A145,1))=1,"Working","Weekend")))</f>
        <v>Working</v>
      </c>
      <c r="D145" s="341">
        <f>IF($A145="","",SUMIFS('Timesheet Raw'!$P$4:$P$8000,'Timesheet Raw'!$L$4:$L$8000,$A145,'Timesheet Raw'!$C$4:$C$8000,D$3,'Timesheet Raw'!$A$4:$A$8000,"1-Projects"))</f>
        <v>10.75</v>
      </c>
      <c r="E145" s="341">
        <f>IF($A145="","",SUMIFS('Timesheet Raw'!$P$4:$P$8000,'Timesheet Raw'!$L$4:$L$8000,$A145,'Timesheet Raw'!$C$4:$C$8000,D$3,'Timesheet Raw'!$A$4:$A$8000,"2-Proposals Chargeable")+SUMIFS('Timesheet Raw'!$P$4:$P$8000,'Timesheet Raw'!$L$4:$L$8000,$A145,'Timesheet Raw'!$C$4:$C$8000,D$3,'Timesheet Raw'!$A$4:$A$8000,"3-Proposals Regular"))</f>
        <v>0</v>
      </c>
      <c r="F145" s="341">
        <f>IF($A145="","",SUMIFS('Timesheet Raw'!$P$4:$P$8000,'Timesheet Raw'!$L$4:$L$8000,$A145,'Timesheet Raw'!$C$4:$C$8000,D$3,'Timesheet Raw'!$B$4:$B$8000,'Work Calendar'!$A$26)+SUMIFS('Timesheet Raw'!$P$4:$P$8000,'Timesheet Raw'!$L$4:$L$8000,$A145,'Timesheet Raw'!$C$4:$C$8000,D$3,'Timesheet Raw'!$B$4:$B$8000,'Work Calendar'!$A$27)+SUMIFS('Timesheet Raw'!$P$4:$P$8000,'Timesheet Raw'!$L$4:$L$8000,$A145,'Timesheet Raw'!$C$4:$C$8000,D$3,'Timesheet Raw'!$B$4:$B$8000,'Work Calendar'!$A$28)+SUMIFS('Timesheet Raw'!$P$4:$P$8000,'Timesheet Raw'!$L$4:$L$8000,$A145,'Timesheet Raw'!$C$4:$C$8000,D$3,'Timesheet Raw'!$B$4:$B$8000,'Work Calendar'!$A$29))</f>
        <v>1.25</v>
      </c>
      <c r="G145" s="341">
        <f t="shared" si="9"/>
        <v>0</v>
      </c>
      <c r="H145" s="395">
        <f>IF($A145="","",SUMIFS('Timesheet Raw'!$K$4:$K$8000,'Timesheet Raw'!$L$4:$L$8000,$A145,'Timesheet Raw'!$C$4:$C$8000,D$3))</f>
        <v>3.5</v>
      </c>
      <c r="I145" s="345">
        <f>IF($A145="","",SUMIFS('Timesheet Raw'!$P$4:$P$8000,'Timesheet Raw'!$L$4:$L$8000,$A145,'Timesheet Raw'!$C$4:$C$8000,D$3))</f>
        <v>12</v>
      </c>
      <c r="J145" s="375"/>
      <c r="K145" t="str">
        <f>IF($A145="","",IF(J145&lt;&gt;"",J145,IF($A145&gt;'Work Calendar'!$B$17,"No data yet",IF(AND(F145&gt;='Work Calendar'!$B$14,D145+E145+G145&gt;0),"Day off - but worked",IF(F145&gt;='Work Calendar'!$B$14,"Day off",IF(D145+E145+G145&gt;0,IF($C145="Working","Charged","Worked weekend"),IF($C145="Working","Leave (not charged)",$C145)))))))</f>
        <v>Charged</v>
      </c>
      <c r="L145" s="341">
        <f>IF($A145="","",SUMIFS('Timesheet Raw'!$P$4:$P$8000,'Timesheet Raw'!$L$4:$L$8000,$A145,'Timesheet Raw'!$C$4:$C$8000,L$3,'Timesheet Raw'!$A$4:$A$8000,"1-Projects"))</f>
        <v>9.25</v>
      </c>
      <c r="M145" s="341">
        <f>IF($A145="","",SUMIFS('Timesheet Raw'!$P$4:$P$8000,'Timesheet Raw'!$L$4:$L$8000,$A145,'Timesheet Raw'!$C$4:$C$8000,L$3,'Timesheet Raw'!$A$4:$A$8000,"2-Proposals Chargeable")+SUMIFS('Timesheet Raw'!$P$4:$P$8000,'Timesheet Raw'!$L$4:$L$8000,$A145,'Timesheet Raw'!$C$4:$C$8000,L$3,'Timesheet Raw'!$A$4:$A$8000,"3-Proposals Regular"))</f>
        <v>0</v>
      </c>
      <c r="N145" s="341">
        <f>IF($A145="","",SUMIFS('Timesheet Raw'!$P$4:$P$8000,'Timesheet Raw'!$L$4:$L$8000,$A145,'Timesheet Raw'!$C$4:$C$8000,L$3,'Timesheet Raw'!$B$4:$B$8000,'Work Calendar'!$A$26)+SUMIFS('Timesheet Raw'!$P$4:$P$8000,'Timesheet Raw'!$L$4:$L$8000,$A145,'Timesheet Raw'!$C$4:$C$8000,L$3,'Timesheet Raw'!$B$4:$B$8000,'Work Calendar'!$A$27)+SUMIFS('Timesheet Raw'!$P$4:$P$8000,'Timesheet Raw'!$L$4:$L$8000,$A145,'Timesheet Raw'!$C$4:$C$8000,L$3,'Timesheet Raw'!$B$4:$B$8000,'Work Calendar'!$A$28)+SUMIFS('Timesheet Raw'!$P$4:$P$8000,'Timesheet Raw'!$L$4:$L$8000,$A145,'Timesheet Raw'!$C$4:$C$8000,L$3,'Timesheet Raw'!$B$4:$B$8000,'Work Calendar'!$A$29))</f>
        <v>0</v>
      </c>
      <c r="O145" s="341">
        <f t="shared" si="10"/>
        <v>0</v>
      </c>
      <c r="P145" s="395">
        <f>IF($A145="","",SUMIFS('Timesheet Raw'!$K$4:$K$8000,'Timesheet Raw'!$L$4:$L$8000,$A145,'Timesheet Raw'!$C$4:$C$8000,L$3))</f>
        <v>0.75</v>
      </c>
      <c r="Q145" s="345">
        <f>IF($A145="","",SUMIFS('Timesheet Raw'!$P$4:$P$8000,'Timesheet Raw'!$L$4:$L$8000,$A145,'Timesheet Raw'!$C$4:$C$8000,L$3))</f>
        <v>9.25</v>
      </c>
      <c r="R145" s="375"/>
      <c r="S145" t="str">
        <f>IF($A145="","",IF(R145&lt;&gt;"",R145,IF($A145&gt;'Work Calendar'!$B$17,"No data yet",IF(AND(N145&gt;='Work Calendar'!$B$14,L145+M145+O145&gt;0),"Day off - but worked",IF(N145&gt;='Work Calendar'!$B$14,"Day off",IF(L145+M145+O145&gt;0,IF($C145="Working","Charged","Worked weekend"),IF($C145="Working","Leave (not charged)",$C145)))))))</f>
        <v>Charged</v>
      </c>
      <c r="T145" s="341">
        <f>IF($A145="","",SUMIFS('Timesheet Raw'!$P$4:$P$8000,'Timesheet Raw'!$L$4:$L$8000,$A145,'Timesheet Raw'!$C$4:$C$8000,T$3,'Timesheet Raw'!$A$4:$A$8000,"1-Projects"))</f>
        <v>11.75</v>
      </c>
      <c r="U145" s="341">
        <f>IF($A145="","",SUMIFS('Timesheet Raw'!$P$4:$P$8000,'Timesheet Raw'!$L$4:$L$8000,$A145,'Timesheet Raw'!$C$4:$C$8000,T$3,'Timesheet Raw'!$A$4:$A$8000,"2-Proposals Chargeable")+SUMIFS('Timesheet Raw'!$P$4:$P$8000,'Timesheet Raw'!$L$4:$L$8000,$A145,'Timesheet Raw'!$C$4:$C$8000,T$3,'Timesheet Raw'!$A$4:$A$8000,"3-Proposals Regular"))</f>
        <v>0</v>
      </c>
      <c r="V145" s="341">
        <f>IF($A145="","",SUMIFS('Timesheet Raw'!$P$4:$P$8000,'Timesheet Raw'!$L$4:$L$8000,$A145,'Timesheet Raw'!$C$4:$C$8000,T$3,'Timesheet Raw'!$B$4:$B$8000,'Work Calendar'!$A$26)+SUMIFS('Timesheet Raw'!$P$4:$P$8000,'Timesheet Raw'!$L$4:$L$8000,$A145,'Timesheet Raw'!$C$4:$C$8000,T$3,'Timesheet Raw'!$B$4:$B$8000,'Work Calendar'!$A$27)+SUMIFS('Timesheet Raw'!$P$4:$P$8000,'Timesheet Raw'!$L$4:$L$8000,$A145,'Timesheet Raw'!$C$4:$C$8000,T$3,'Timesheet Raw'!$B$4:$B$8000,'Work Calendar'!$A$28)+SUMIFS('Timesheet Raw'!$P$4:$P$8000,'Timesheet Raw'!$L$4:$L$8000,$A145,'Timesheet Raw'!$C$4:$C$8000,T$3,'Timesheet Raw'!$B$4:$B$8000,'Work Calendar'!$A$29))</f>
        <v>0.25</v>
      </c>
      <c r="W145" s="341">
        <f t="shared" si="11"/>
        <v>0</v>
      </c>
      <c r="X145" s="395">
        <f>IF($A145="","",SUMIFS('Timesheet Raw'!$K$4:$K$8000,'Timesheet Raw'!$L$4:$L$8000,$A145,'Timesheet Raw'!$C$4:$C$8000,T$3))</f>
        <v>3.5</v>
      </c>
      <c r="Y145" s="345">
        <f>IF($A145="","",SUMIFS('Timesheet Raw'!$P$4:$P$8000,'Timesheet Raw'!$L$4:$L$8000,$A145,'Timesheet Raw'!$C$4:$C$8000,T$3))</f>
        <v>12</v>
      </c>
      <c r="Z145" s="375"/>
      <c r="AA145" t="str">
        <f>IF($A145="","",IF(Z145&lt;&gt;"",Z145,IF($A145&gt;'Work Calendar'!$B$17,"No data yet",IF(AND(V145&gt;='Work Calendar'!$B$14,T145+U145+W145&gt;0),"Day off - but worked",IF(V145&gt;='Work Calendar'!$B$14,"Day off",IF(T145+U145+W145&gt;0,IF($C145="Working","Charged","Worked weekend"),IF($C145="Working","Leave (not charged)",$C145)))))))</f>
        <v>Charged</v>
      </c>
    </row>
    <row r="146" spans="1:27" x14ac:dyDescent="0.3">
      <c r="A146" s="371">
        <f>IF($A145="","",IF($A145+1&gt;'Work Calendar'!$B$16,"",$A145+1))</f>
        <v>46164</v>
      </c>
      <c r="B146" t="str">
        <f t="shared" si="8"/>
        <v>Fri</v>
      </c>
      <c r="C146" t="str" cm="1">
        <f t="array" ref="C146">IF($A146="","",IF(COUNTIF('Work Calendar'!$E$6:$E$200,$A146)&gt;0,"Holiday",IF(INDEX('Work Calendar'!$C$6:$C$12,WEEKDAY($A146,1))=1,"Working","Weekend")))</f>
        <v>Weekend</v>
      </c>
      <c r="D146" s="341">
        <f>IF($A146="","",SUMIFS('Timesheet Raw'!$P$4:$P$8000,'Timesheet Raw'!$L$4:$L$8000,$A146,'Timesheet Raw'!$C$4:$C$8000,D$3,'Timesheet Raw'!$A$4:$A$8000,"1-Projects"))</f>
        <v>0</v>
      </c>
      <c r="E146" s="341">
        <f>IF($A146="","",SUMIFS('Timesheet Raw'!$P$4:$P$8000,'Timesheet Raw'!$L$4:$L$8000,$A146,'Timesheet Raw'!$C$4:$C$8000,D$3,'Timesheet Raw'!$A$4:$A$8000,"2-Proposals Chargeable")+SUMIFS('Timesheet Raw'!$P$4:$P$8000,'Timesheet Raw'!$L$4:$L$8000,$A146,'Timesheet Raw'!$C$4:$C$8000,D$3,'Timesheet Raw'!$A$4:$A$8000,"3-Proposals Regular"))</f>
        <v>0</v>
      </c>
      <c r="F146" s="341">
        <f>IF($A146="","",SUMIFS('Timesheet Raw'!$P$4:$P$8000,'Timesheet Raw'!$L$4:$L$8000,$A146,'Timesheet Raw'!$C$4:$C$8000,D$3,'Timesheet Raw'!$B$4:$B$8000,'Work Calendar'!$A$26)+SUMIFS('Timesheet Raw'!$P$4:$P$8000,'Timesheet Raw'!$L$4:$L$8000,$A146,'Timesheet Raw'!$C$4:$C$8000,D$3,'Timesheet Raw'!$B$4:$B$8000,'Work Calendar'!$A$27)+SUMIFS('Timesheet Raw'!$P$4:$P$8000,'Timesheet Raw'!$L$4:$L$8000,$A146,'Timesheet Raw'!$C$4:$C$8000,D$3,'Timesheet Raw'!$B$4:$B$8000,'Work Calendar'!$A$28)+SUMIFS('Timesheet Raw'!$P$4:$P$8000,'Timesheet Raw'!$L$4:$L$8000,$A146,'Timesheet Raw'!$C$4:$C$8000,D$3,'Timesheet Raw'!$B$4:$B$8000,'Work Calendar'!$A$29))</f>
        <v>0</v>
      </c>
      <c r="G146" s="341">
        <f t="shared" si="9"/>
        <v>0</v>
      </c>
      <c r="H146" s="395">
        <f>IF($A146="","",SUMIFS('Timesheet Raw'!$K$4:$K$8000,'Timesheet Raw'!$L$4:$L$8000,$A146,'Timesheet Raw'!$C$4:$C$8000,D$3))</f>
        <v>0</v>
      </c>
      <c r="I146" s="345">
        <f>IF($A146="","",SUMIFS('Timesheet Raw'!$P$4:$P$8000,'Timesheet Raw'!$L$4:$L$8000,$A146,'Timesheet Raw'!$C$4:$C$8000,D$3))</f>
        <v>0</v>
      </c>
      <c r="J146" s="375"/>
      <c r="K146" t="str">
        <f>IF($A146="","",IF(J146&lt;&gt;"",J146,IF($A146&gt;'Work Calendar'!$B$17,"No data yet",IF(AND(F146&gt;='Work Calendar'!$B$14,D146+E146+G146&gt;0),"Day off - but worked",IF(F146&gt;='Work Calendar'!$B$14,"Day off",IF(D146+E146+G146&gt;0,IF($C146="Working","Charged","Worked weekend"),IF($C146="Working","Leave (not charged)",$C146)))))))</f>
        <v>Weekend</v>
      </c>
      <c r="L146" s="341">
        <f>IF($A146="","",SUMIFS('Timesheet Raw'!$P$4:$P$8000,'Timesheet Raw'!$L$4:$L$8000,$A146,'Timesheet Raw'!$C$4:$C$8000,L$3,'Timesheet Raw'!$A$4:$A$8000,"1-Projects"))</f>
        <v>0</v>
      </c>
      <c r="M146" s="341">
        <f>IF($A146="","",SUMIFS('Timesheet Raw'!$P$4:$P$8000,'Timesheet Raw'!$L$4:$L$8000,$A146,'Timesheet Raw'!$C$4:$C$8000,L$3,'Timesheet Raw'!$A$4:$A$8000,"2-Proposals Chargeable")+SUMIFS('Timesheet Raw'!$P$4:$P$8000,'Timesheet Raw'!$L$4:$L$8000,$A146,'Timesheet Raw'!$C$4:$C$8000,L$3,'Timesheet Raw'!$A$4:$A$8000,"3-Proposals Regular"))</f>
        <v>0</v>
      </c>
      <c r="N146" s="341">
        <f>IF($A146="","",SUMIFS('Timesheet Raw'!$P$4:$P$8000,'Timesheet Raw'!$L$4:$L$8000,$A146,'Timesheet Raw'!$C$4:$C$8000,L$3,'Timesheet Raw'!$B$4:$B$8000,'Work Calendar'!$A$26)+SUMIFS('Timesheet Raw'!$P$4:$P$8000,'Timesheet Raw'!$L$4:$L$8000,$A146,'Timesheet Raw'!$C$4:$C$8000,L$3,'Timesheet Raw'!$B$4:$B$8000,'Work Calendar'!$A$27)+SUMIFS('Timesheet Raw'!$P$4:$P$8000,'Timesheet Raw'!$L$4:$L$8000,$A146,'Timesheet Raw'!$C$4:$C$8000,L$3,'Timesheet Raw'!$B$4:$B$8000,'Work Calendar'!$A$28)+SUMIFS('Timesheet Raw'!$P$4:$P$8000,'Timesheet Raw'!$L$4:$L$8000,$A146,'Timesheet Raw'!$C$4:$C$8000,L$3,'Timesheet Raw'!$B$4:$B$8000,'Work Calendar'!$A$29))</f>
        <v>0</v>
      </c>
      <c r="O146" s="341">
        <f t="shared" si="10"/>
        <v>0</v>
      </c>
      <c r="P146" s="395">
        <f>IF($A146="","",SUMIFS('Timesheet Raw'!$K$4:$K$8000,'Timesheet Raw'!$L$4:$L$8000,$A146,'Timesheet Raw'!$C$4:$C$8000,L$3))</f>
        <v>0</v>
      </c>
      <c r="Q146" s="345">
        <f>IF($A146="","",SUMIFS('Timesheet Raw'!$P$4:$P$8000,'Timesheet Raw'!$L$4:$L$8000,$A146,'Timesheet Raw'!$C$4:$C$8000,L$3))</f>
        <v>0</v>
      </c>
      <c r="R146" s="375"/>
      <c r="S146" t="str">
        <f>IF($A146="","",IF(R146&lt;&gt;"",R146,IF($A146&gt;'Work Calendar'!$B$17,"No data yet",IF(AND(N146&gt;='Work Calendar'!$B$14,L146+M146+O146&gt;0),"Day off - but worked",IF(N146&gt;='Work Calendar'!$B$14,"Day off",IF(L146+M146+O146&gt;0,IF($C146="Working","Charged","Worked weekend"),IF($C146="Working","Leave (not charged)",$C146)))))))</f>
        <v>Weekend</v>
      </c>
      <c r="T146" s="341">
        <f>IF($A146="","",SUMIFS('Timesheet Raw'!$P$4:$P$8000,'Timesheet Raw'!$L$4:$L$8000,$A146,'Timesheet Raw'!$C$4:$C$8000,T$3,'Timesheet Raw'!$A$4:$A$8000,"1-Projects"))</f>
        <v>0</v>
      </c>
      <c r="U146" s="341">
        <f>IF($A146="","",SUMIFS('Timesheet Raw'!$P$4:$P$8000,'Timesheet Raw'!$L$4:$L$8000,$A146,'Timesheet Raw'!$C$4:$C$8000,T$3,'Timesheet Raw'!$A$4:$A$8000,"2-Proposals Chargeable")+SUMIFS('Timesheet Raw'!$P$4:$P$8000,'Timesheet Raw'!$L$4:$L$8000,$A146,'Timesheet Raw'!$C$4:$C$8000,T$3,'Timesheet Raw'!$A$4:$A$8000,"3-Proposals Regular"))</f>
        <v>0</v>
      </c>
      <c r="V146" s="341">
        <f>IF($A146="","",SUMIFS('Timesheet Raw'!$P$4:$P$8000,'Timesheet Raw'!$L$4:$L$8000,$A146,'Timesheet Raw'!$C$4:$C$8000,T$3,'Timesheet Raw'!$B$4:$B$8000,'Work Calendar'!$A$26)+SUMIFS('Timesheet Raw'!$P$4:$P$8000,'Timesheet Raw'!$L$4:$L$8000,$A146,'Timesheet Raw'!$C$4:$C$8000,T$3,'Timesheet Raw'!$B$4:$B$8000,'Work Calendar'!$A$27)+SUMIFS('Timesheet Raw'!$P$4:$P$8000,'Timesheet Raw'!$L$4:$L$8000,$A146,'Timesheet Raw'!$C$4:$C$8000,T$3,'Timesheet Raw'!$B$4:$B$8000,'Work Calendar'!$A$28)+SUMIFS('Timesheet Raw'!$P$4:$P$8000,'Timesheet Raw'!$L$4:$L$8000,$A146,'Timesheet Raw'!$C$4:$C$8000,T$3,'Timesheet Raw'!$B$4:$B$8000,'Work Calendar'!$A$29))</f>
        <v>0</v>
      </c>
      <c r="W146" s="341">
        <f t="shared" si="11"/>
        <v>0</v>
      </c>
      <c r="X146" s="395">
        <f>IF($A146="","",SUMIFS('Timesheet Raw'!$K$4:$K$8000,'Timesheet Raw'!$L$4:$L$8000,$A146,'Timesheet Raw'!$C$4:$C$8000,T$3))</f>
        <v>0</v>
      </c>
      <c r="Y146" s="345">
        <f>IF($A146="","",SUMIFS('Timesheet Raw'!$P$4:$P$8000,'Timesheet Raw'!$L$4:$L$8000,$A146,'Timesheet Raw'!$C$4:$C$8000,T$3))</f>
        <v>0</v>
      </c>
      <c r="Z146" s="375"/>
      <c r="AA146" t="str">
        <f>IF($A146="","",IF(Z146&lt;&gt;"",Z146,IF($A146&gt;'Work Calendar'!$B$17,"No data yet",IF(AND(V146&gt;='Work Calendar'!$B$14,T146+U146+W146&gt;0),"Day off - but worked",IF(V146&gt;='Work Calendar'!$B$14,"Day off",IF(T146+U146+W146&gt;0,IF($C146="Working","Charged","Worked weekend"),IF($C146="Working","Leave (not charged)",$C146)))))))</f>
        <v>Weekend</v>
      </c>
    </row>
    <row r="147" spans="1:27" x14ac:dyDescent="0.3">
      <c r="A147" s="371">
        <f>IF($A146="","",IF($A146+1&gt;'Work Calendar'!$B$16,"",$A146+1))</f>
        <v>46165</v>
      </c>
      <c r="B147" t="str">
        <f t="shared" si="8"/>
        <v>Sat</v>
      </c>
      <c r="C147" t="str" cm="1">
        <f t="array" ref="C147">IF($A147="","",IF(COUNTIF('Work Calendar'!$E$6:$E$200,$A147)&gt;0,"Holiday",IF(INDEX('Work Calendar'!$C$6:$C$12,WEEKDAY($A147,1))=1,"Working","Weekend")))</f>
        <v>Weekend</v>
      </c>
      <c r="D147" s="341">
        <f>IF($A147="","",SUMIFS('Timesheet Raw'!$P$4:$P$8000,'Timesheet Raw'!$L$4:$L$8000,$A147,'Timesheet Raw'!$C$4:$C$8000,D$3,'Timesheet Raw'!$A$4:$A$8000,"1-Projects"))</f>
        <v>0</v>
      </c>
      <c r="E147" s="341">
        <f>IF($A147="","",SUMIFS('Timesheet Raw'!$P$4:$P$8000,'Timesheet Raw'!$L$4:$L$8000,$A147,'Timesheet Raw'!$C$4:$C$8000,D$3,'Timesheet Raw'!$A$4:$A$8000,"2-Proposals Chargeable")+SUMIFS('Timesheet Raw'!$P$4:$P$8000,'Timesheet Raw'!$L$4:$L$8000,$A147,'Timesheet Raw'!$C$4:$C$8000,D$3,'Timesheet Raw'!$A$4:$A$8000,"3-Proposals Regular"))</f>
        <v>0</v>
      </c>
      <c r="F147" s="341">
        <f>IF($A147="","",SUMIFS('Timesheet Raw'!$P$4:$P$8000,'Timesheet Raw'!$L$4:$L$8000,$A147,'Timesheet Raw'!$C$4:$C$8000,D$3,'Timesheet Raw'!$B$4:$B$8000,'Work Calendar'!$A$26)+SUMIFS('Timesheet Raw'!$P$4:$P$8000,'Timesheet Raw'!$L$4:$L$8000,$A147,'Timesheet Raw'!$C$4:$C$8000,D$3,'Timesheet Raw'!$B$4:$B$8000,'Work Calendar'!$A$27)+SUMIFS('Timesheet Raw'!$P$4:$P$8000,'Timesheet Raw'!$L$4:$L$8000,$A147,'Timesheet Raw'!$C$4:$C$8000,D$3,'Timesheet Raw'!$B$4:$B$8000,'Work Calendar'!$A$28)+SUMIFS('Timesheet Raw'!$P$4:$P$8000,'Timesheet Raw'!$L$4:$L$8000,$A147,'Timesheet Raw'!$C$4:$C$8000,D$3,'Timesheet Raw'!$B$4:$B$8000,'Work Calendar'!$A$29))</f>
        <v>0</v>
      </c>
      <c r="G147" s="341">
        <f t="shared" si="9"/>
        <v>0</v>
      </c>
      <c r="H147" s="395">
        <f>IF($A147="","",SUMIFS('Timesheet Raw'!$K$4:$K$8000,'Timesheet Raw'!$L$4:$L$8000,$A147,'Timesheet Raw'!$C$4:$C$8000,D$3))</f>
        <v>0</v>
      </c>
      <c r="I147" s="345">
        <f>IF($A147="","",SUMIFS('Timesheet Raw'!$P$4:$P$8000,'Timesheet Raw'!$L$4:$L$8000,$A147,'Timesheet Raw'!$C$4:$C$8000,D$3))</f>
        <v>0</v>
      </c>
      <c r="J147" s="375"/>
      <c r="K147" t="str">
        <f>IF($A147="","",IF(J147&lt;&gt;"",J147,IF($A147&gt;'Work Calendar'!$B$17,"No data yet",IF(AND(F147&gt;='Work Calendar'!$B$14,D147+E147+G147&gt;0),"Day off - but worked",IF(F147&gt;='Work Calendar'!$B$14,"Day off",IF(D147+E147+G147&gt;0,IF($C147="Working","Charged","Worked weekend"),IF($C147="Working","Leave (not charged)",$C147)))))))</f>
        <v>Weekend</v>
      </c>
      <c r="L147" s="341">
        <f>IF($A147="","",SUMIFS('Timesheet Raw'!$P$4:$P$8000,'Timesheet Raw'!$L$4:$L$8000,$A147,'Timesheet Raw'!$C$4:$C$8000,L$3,'Timesheet Raw'!$A$4:$A$8000,"1-Projects"))</f>
        <v>0</v>
      </c>
      <c r="M147" s="341">
        <f>IF($A147="","",SUMIFS('Timesheet Raw'!$P$4:$P$8000,'Timesheet Raw'!$L$4:$L$8000,$A147,'Timesheet Raw'!$C$4:$C$8000,L$3,'Timesheet Raw'!$A$4:$A$8000,"2-Proposals Chargeable")+SUMIFS('Timesheet Raw'!$P$4:$P$8000,'Timesheet Raw'!$L$4:$L$8000,$A147,'Timesheet Raw'!$C$4:$C$8000,L$3,'Timesheet Raw'!$A$4:$A$8000,"3-Proposals Regular"))</f>
        <v>0</v>
      </c>
      <c r="N147" s="341">
        <f>IF($A147="","",SUMIFS('Timesheet Raw'!$P$4:$P$8000,'Timesheet Raw'!$L$4:$L$8000,$A147,'Timesheet Raw'!$C$4:$C$8000,L$3,'Timesheet Raw'!$B$4:$B$8000,'Work Calendar'!$A$26)+SUMIFS('Timesheet Raw'!$P$4:$P$8000,'Timesheet Raw'!$L$4:$L$8000,$A147,'Timesheet Raw'!$C$4:$C$8000,L$3,'Timesheet Raw'!$B$4:$B$8000,'Work Calendar'!$A$27)+SUMIFS('Timesheet Raw'!$P$4:$P$8000,'Timesheet Raw'!$L$4:$L$8000,$A147,'Timesheet Raw'!$C$4:$C$8000,L$3,'Timesheet Raw'!$B$4:$B$8000,'Work Calendar'!$A$28)+SUMIFS('Timesheet Raw'!$P$4:$P$8000,'Timesheet Raw'!$L$4:$L$8000,$A147,'Timesheet Raw'!$C$4:$C$8000,L$3,'Timesheet Raw'!$B$4:$B$8000,'Work Calendar'!$A$29))</f>
        <v>0</v>
      </c>
      <c r="O147" s="341">
        <f t="shared" si="10"/>
        <v>0</v>
      </c>
      <c r="P147" s="395">
        <f>IF($A147="","",SUMIFS('Timesheet Raw'!$K$4:$K$8000,'Timesheet Raw'!$L$4:$L$8000,$A147,'Timesheet Raw'!$C$4:$C$8000,L$3))</f>
        <v>0</v>
      </c>
      <c r="Q147" s="345">
        <f>IF($A147="","",SUMIFS('Timesheet Raw'!$P$4:$P$8000,'Timesheet Raw'!$L$4:$L$8000,$A147,'Timesheet Raw'!$C$4:$C$8000,L$3))</f>
        <v>0</v>
      </c>
      <c r="R147" s="375"/>
      <c r="S147" t="str">
        <f>IF($A147="","",IF(R147&lt;&gt;"",R147,IF($A147&gt;'Work Calendar'!$B$17,"No data yet",IF(AND(N147&gt;='Work Calendar'!$B$14,L147+M147+O147&gt;0),"Day off - but worked",IF(N147&gt;='Work Calendar'!$B$14,"Day off",IF(L147+M147+O147&gt;0,IF($C147="Working","Charged","Worked weekend"),IF($C147="Working","Leave (not charged)",$C147)))))))</f>
        <v>Weekend</v>
      </c>
      <c r="T147" s="341">
        <f>IF($A147="","",SUMIFS('Timesheet Raw'!$P$4:$P$8000,'Timesheet Raw'!$L$4:$L$8000,$A147,'Timesheet Raw'!$C$4:$C$8000,T$3,'Timesheet Raw'!$A$4:$A$8000,"1-Projects"))</f>
        <v>0</v>
      </c>
      <c r="U147" s="341">
        <f>IF($A147="","",SUMIFS('Timesheet Raw'!$P$4:$P$8000,'Timesheet Raw'!$L$4:$L$8000,$A147,'Timesheet Raw'!$C$4:$C$8000,T$3,'Timesheet Raw'!$A$4:$A$8000,"2-Proposals Chargeable")+SUMIFS('Timesheet Raw'!$P$4:$P$8000,'Timesheet Raw'!$L$4:$L$8000,$A147,'Timesheet Raw'!$C$4:$C$8000,T$3,'Timesheet Raw'!$A$4:$A$8000,"3-Proposals Regular"))</f>
        <v>0</v>
      </c>
      <c r="V147" s="341">
        <f>IF($A147="","",SUMIFS('Timesheet Raw'!$P$4:$P$8000,'Timesheet Raw'!$L$4:$L$8000,$A147,'Timesheet Raw'!$C$4:$C$8000,T$3,'Timesheet Raw'!$B$4:$B$8000,'Work Calendar'!$A$26)+SUMIFS('Timesheet Raw'!$P$4:$P$8000,'Timesheet Raw'!$L$4:$L$8000,$A147,'Timesheet Raw'!$C$4:$C$8000,T$3,'Timesheet Raw'!$B$4:$B$8000,'Work Calendar'!$A$27)+SUMIFS('Timesheet Raw'!$P$4:$P$8000,'Timesheet Raw'!$L$4:$L$8000,$A147,'Timesheet Raw'!$C$4:$C$8000,T$3,'Timesheet Raw'!$B$4:$B$8000,'Work Calendar'!$A$28)+SUMIFS('Timesheet Raw'!$P$4:$P$8000,'Timesheet Raw'!$L$4:$L$8000,$A147,'Timesheet Raw'!$C$4:$C$8000,T$3,'Timesheet Raw'!$B$4:$B$8000,'Work Calendar'!$A$29))</f>
        <v>0</v>
      </c>
      <c r="W147" s="341">
        <f t="shared" si="11"/>
        <v>0</v>
      </c>
      <c r="X147" s="395">
        <f>IF($A147="","",SUMIFS('Timesheet Raw'!$K$4:$K$8000,'Timesheet Raw'!$L$4:$L$8000,$A147,'Timesheet Raw'!$C$4:$C$8000,T$3))</f>
        <v>0</v>
      </c>
      <c r="Y147" s="345">
        <f>IF($A147="","",SUMIFS('Timesheet Raw'!$P$4:$P$8000,'Timesheet Raw'!$L$4:$L$8000,$A147,'Timesheet Raw'!$C$4:$C$8000,T$3))</f>
        <v>0</v>
      </c>
      <c r="Z147" s="375"/>
      <c r="AA147" t="str">
        <f>IF($A147="","",IF(Z147&lt;&gt;"",Z147,IF($A147&gt;'Work Calendar'!$B$17,"No data yet",IF(AND(V147&gt;='Work Calendar'!$B$14,T147+U147+W147&gt;0),"Day off - but worked",IF(V147&gt;='Work Calendar'!$B$14,"Day off",IF(T147+U147+W147&gt;0,IF($C147="Working","Charged","Worked weekend"),IF($C147="Working","Leave (not charged)",$C147)))))))</f>
        <v>Weekend</v>
      </c>
    </row>
    <row r="148" spans="1:27" x14ac:dyDescent="0.3">
      <c r="A148" s="371">
        <f>IF($A147="","",IF($A147+1&gt;'Work Calendar'!$B$16,"",$A147+1))</f>
        <v>46166</v>
      </c>
      <c r="B148" t="str">
        <f t="shared" si="8"/>
        <v>Sun</v>
      </c>
      <c r="C148" t="str" cm="1">
        <f t="array" ref="C148">IF($A148="","",IF(COUNTIF('Work Calendar'!$E$6:$E$200,$A148)&gt;0,"Holiday",IF(INDEX('Work Calendar'!$C$6:$C$12,WEEKDAY($A148,1))=1,"Working","Weekend")))</f>
        <v>Working</v>
      </c>
      <c r="D148" s="341">
        <f>IF($A148="","",SUMIFS('Timesheet Raw'!$P$4:$P$8000,'Timesheet Raw'!$L$4:$L$8000,$A148,'Timesheet Raw'!$C$4:$C$8000,D$3,'Timesheet Raw'!$A$4:$A$8000,"1-Projects"))</f>
        <v>13</v>
      </c>
      <c r="E148" s="341">
        <f>IF($A148="","",SUMIFS('Timesheet Raw'!$P$4:$P$8000,'Timesheet Raw'!$L$4:$L$8000,$A148,'Timesheet Raw'!$C$4:$C$8000,D$3,'Timesheet Raw'!$A$4:$A$8000,"2-Proposals Chargeable")+SUMIFS('Timesheet Raw'!$P$4:$P$8000,'Timesheet Raw'!$L$4:$L$8000,$A148,'Timesheet Raw'!$C$4:$C$8000,D$3,'Timesheet Raw'!$A$4:$A$8000,"3-Proposals Regular"))</f>
        <v>0</v>
      </c>
      <c r="F148" s="341">
        <f>IF($A148="","",SUMIFS('Timesheet Raw'!$P$4:$P$8000,'Timesheet Raw'!$L$4:$L$8000,$A148,'Timesheet Raw'!$C$4:$C$8000,D$3,'Timesheet Raw'!$B$4:$B$8000,'Work Calendar'!$A$26)+SUMIFS('Timesheet Raw'!$P$4:$P$8000,'Timesheet Raw'!$L$4:$L$8000,$A148,'Timesheet Raw'!$C$4:$C$8000,D$3,'Timesheet Raw'!$B$4:$B$8000,'Work Calendar'!$A$27)+SUMIFS('Timesheet Raw'!$P$4:$P$8000,'Timesheet Raw'!$L$4:$L$8000,$A148,'Timesheet Raw'!$C$4:$C$8000,D$3,'Timesheet Raw'!$B$4:$B$8000,'Work Calendar'!$A$28)+SUMIFS('Timesheet Raw'!$P$4:$P$8000,'Timesheet Raw'!$L$4:$L$8000,$A148,'Timesheet Raw'!$C$4:$C$8000,D$3,'Timesheet Raw'!$B$4:$B$8000,'Work Calendar'!$A$29))</f>
        <v>0.75</v>
      </c>
      <c r="G148" s="341">
        <f t="shared" si="9"/>
        <v>0</v>
      </c>
      <c r="H148" s="395">
        <f>IF($A148="","",SUMIFS('Timesheet Raw'!$K$4:$K$8000,'Timesheet Raw'!$L$4:$L$8000,$A148,'Timesheet Raw'!$C$4:$C$8000,D$3))</f>
        <v>5.25</v>
      </c>
      <c r="I148" s="345">
        <f>IF($A148="","",SUMIFS('Timesheet Raw'!$P$4:$P$8000,'Timesheet Raw'!$L$4:$L$8000,$A148,'Timesheet Raw'!$C$4:$C$8000,D$3))</f>
        <v>13.75</v>
      </c>
      <c r="J148" s="375"/>
      <c r="K148" t="str">
        <f>IF($A148="","",IF(J148&lt;&gt;"",J148,IF($A148&gt;'Work Calendar'!$B$17,"No data yet",IF(AND(F148&gt;='Work Calendar'!$B$14,D148+E148+G148&gt;0),"Day off - but worked",IF(F148&gt;='Work Calendar'!$B$14,"Day off",IF(D148+E148+G148&gt;0,IF($C148="Working","Charged","Worked weekend"),IF($C148="Working","Leave (not charged)",$C148)))))))</f>
        <v>Charged</v>
      </c>
      <c r="L148" s="341">
        <f>IF($A148="","",SUMIFS('Timesheet Raw'!$P$4:$P$8000,'Timesheet Raw'!$L$4:$L$8000,$A148,'Timesheet Raw'!$C$4:$C$8000,L$3,'Timesheet Raw'!$A$4:$A$8000,"1-Projects"))</f>
        <v>9</v>
      </c>
      <c r="M148" s="341">
        <f>IF($A148="","",SUMIFS('Timesheet Raw'!$P$4:$P$8000,'Timesheet Raw'!$L$4:$L$8000,$A148,'Timesheet Raw'!$C$4:$C$8000,L$3,'Timesheet Raw'!$A$4:$A$8000,"2-Proposals Chargeable")+SUMIFS('Timesheet Raw'!$P$4:$P$8000,'Timesheet Raw'!$L$4:$L$8000,$A148,'Timesheet Raw'!$C$4:$C$8000,L$3,'Timesheet Raw'!$A$4:$A$8000,"3-Proposals Regular"))</f>
        <v>0</v>
      </c>
      <c r="N148" s="341">
        <f>IF($A148="","",SUMIFS('Timesheet Raw'!$P$4:$P$8000,'Timesheet Raw'!$L$4:$L$8000,$A148,'Timesheet Raw'!$C$4:$C$8000,L$3,'Timesheet Raw'!$B$4:$B$8000,'Work Calendar'!$A$26)+SUMIFS('Timesheet Raw'!$P$4:$P$8000,'Timesheet Raw'!$L$4:$L$8000,$A148,'Timesheet Raw'!$C$4:$C$8000,L$3,'Timesheet Raw'!$B$4:$B$8000,'Work Calendar'!$A$27)+SUMIFS('Timesheet Raw'!$P$4:$P$8000,'Timesheet Raw'!$L$4:$L$8000,$A148,'Timesheet Raw'!$C$4:$C$8000,L$3,'Timesheet Raw'!$B$4:$B$8000,'Work Calendar'!$A$28)+SUMIFS('Timesheet Raw'!$P$4:$P$8000,'Timesheet Raw'!$L$4:$L$8000,$A148,'Timesheet Raw'!$C$4:$C$8000,L$3,'Timesheet Raw'!$B$4:$B$8000,'Work Calendar'!$A$29))</f>
        <v>0</v>
      </c>
      <c r="O148" s="341">
        <f t="shared" si="10"/>
        <v>0</v>
      </c>
      <c r="P148" s="395">
        <f>IF($A148="","",SUMIFS('Timesheet Raw'!$K$4:$K$8000,'Timesheet Raw'!$L$4:$L$8000,$A148,'Timesheet Raw'!$C$4:$C$8000,L$3))</f>
        <v>0.5</v>
      </c>
      <c r="Q148" s="345">
        <f>IF($A148="","",SUMIFS('Timesheet Raw'!$P$4:$P$8000,'Timesheet Raw'!$L$4:$L$8000,$A148,'Timesheet Raw'!$C$4:$C$8000,L$3))</f>
        <v>9</v>
      </c>
      <c r="R148" s="375"/>
      <c r="S148" t="str">
        <f>IF($A148="","",IF(R148&lt;&gt;"",R148,IF($A148&gt;'Work Calendar'!$B$17,"No data yet",IF(AND(N148&gt;='Work Calendar'!$B$14,L148+M148+O148&gt;0),"Day off - but worked",IF(N148&gt;='Work Calendar'!$B$14,"Day off",IF(L148+M148+O148&gt;0,IF($C148="Working","Charged","Worked weekend"),IF($C148="Working","Leave (not charged)",$C148)))))))</f>
        <v>Charged</v>
      </c>
      <c r="T148" s="341">
        <f>IF($A148="","",SUMIFS('Timesheet Raw'!$P$4:$P$8000,'Timesheet Raw'!$L$4:$L$8000,$A148,'Timesheet Raw'!$C$4:$C$8000,T$3,'Timesheet Raw'!$A$4:$A$8000,"1-Projects"))</f>
        <v>12.5</v>
      </c>
      <c r="U148" s="341">
        <f>IF($A148="","",SUMIFS('Timesheet Raw'!$P$4:$P$8000,'Timesheet Raw'!$L$4:$L$8000,$A148,'Timesheet Raw'!$C$4:$C$8000,T$3,'Timesheet Raw'!$A$4:$A$8000,"2-Proposals Chargeable")+SUMIFS('Timesheet Raw'!$P$4:$P$8000,'Timesheet Raw'!$L$4:$L$8000,$A148,'Timesheet Raw'!$C$4:$C$8000,T$3,'Timesheet Raw'!$A$4:$A$8000,"3-Proposals Regular"))</f>
        <v>0</v>
      </c>
      <c r="V148" s="341">
        <f>IF($A148="","",SUMIFS('Timesheet Raw'!$P$4:$P$8000,'Timesheet Raw'!$L$4:$L$8000,$A148,'Timesheet Raw'!$C$4:$C$8000,T$3,'Timesheet Raw'!$B$4:$B$8000,'Work Calendar'!$A$26)+SUMIFS('Timesheet Raw'!$P$4:$P$8000,'Timesheet Raw'!$L$4:$L$8000,$A148,'Timesheet Raw'!$C$4:$C$8000,T$3,'Timesheet Raw'!$B$4:$B$8000,'Work Calendar'!$A$27)+SUMIFS('Timesheet Raw'!$P$4:$P$8000,'Timesheet Raw'!$L$4:$L$8000,$A148,'Timesheet Raw'!$C$4:$C$8000,T$3,'Timesheet Raw'!$B$4:$B$8000,'Work Calendar'!$A$28)+SUMIFS('Timesheet Raw'!$P$4:$P$8000,'Timesheet Raw'!$L$4:$L$8000,$A148,'Timesheet Raw'!$C$4:$C$8000,T$3,'Timesheet Raw'!$B$4:$B$8000,'Work Calendar'!$A$29))</f>
        <v>0</v>
      </c>
      <c r="W148" s="341">
        <f t="shared" si="11"/>
        <v>0</v>
      </c>
      <c r="X148" s="395">
        <f>IF($A148="","",SUMIFS('Timesheet Raw'!$K$4:$K$8000,'Timesheet Raw'!$L$4:$L$8000,$A148,'Timesheet Raw'!$C$4:$C$8000,T$3))</f>
        <v>4</v>
      </c>
      <c r="Y148" s="345">
        <f>IF($A148="","",SUMIFS('Timesheet Raw'!$P$4:$P$8000,'Timesheet Raw'!$L$4:$L$8000,$A148,'Timesheet Raw'!$C$4:$C$8000,T$3))</f>
        <v>12.5</v>
      </c>
      <c r="Z148" s="375"/>
      <c r="AA148" t="str">
        <f>IF($A148="","",IF(Z148&lt;&gt;"",Z148,IF($A148&gt;'Work Calendar'!$B$17,"No data yet",IF(AND(V148&gt;='Work Calendar'!$B$14,T148+U148+W148&gt;0),"Day off - but worked",IF(V148&gt;='Work Calendar'!$B$14,"Day off",IF(T148+U148+W148&gt;0,IF($C148="Working","Charged","Worked weekend"),IF($C148="Working","Leave (not charged)",$C148)))))))</f>
        <v>Charged</v>
      </c>
    </row>
    <row r="149" spans="1:27" x14ac:dyDescent="0.3">
      <c r="A149" s="371">
        <f>IF($A148="","",IF($A148+1&gt;'Work Calendar'!$B$16,"",$A148+1))</f>
        <v>46167</v>
      </c>
      <c r="B149" t="str">
        <f t="shared" si="8"/>
        <v>Mon</v>
      </c>
      <c r="C149" t="str" cm="1">
        <f t="array" ref="C149">IF($A149="","",IF(COUNTIF('Work Calendar'!$E$6:$E$200,$A149)&gt;0,"Holiday",IF(INDEX('Work Calendar'!$C$6:$C$12,WEEKDAY($A149,1))=1,"Working","Weekend")))</f>
        <v>Working</v>
      </c>
      <c r="D149" s="341">
        <f>IF($A149="","",SUMIFS('Timesheet Raw'!$P$4:$P$8000,'Timesheet Raw'!$L$4:$L$8000,$A149,'Timesheet Raw'!$C$4:$C$8000,D$3,'Timesheet Raw'!$A$4:$A$8000,"1-Projects"))</f>
        <v>13.5</v>
      </c>
      <c r="E149" s="341">
        <f>IF($A149="","",SUMIFS('Timesheet Raw'!$P$4:$P$8000,'Timesheet Raw'!$L$4:$L$8000,$A149,'Timesheet Raw'!$C$4:$C$8000,D$3,'Timesheet Raw'!$A$4:$A$8000,"2-Proposals Chargeable")+SUMIFS('Timesheet Raw'!$P$4:$P$8000,'Timesheet Raw'!$L$4:$L$8000,$A149,'Timesheet Raw'!$C$4:$C$8000,D$3,'Timesheet Raw'!$A$4:$A$8000,"3-Proposals Regular"))</f>
        <v>0</v>
      </c>
      <c r="F149" s="341">
        <f>IF($A149="","",SUMIFS('Timesheet Raw'!$P$4:$P$8000,'Timesheet Raw'!$L$4:$L$8000,$A149,'Timesheet Raw'!$C$4:$C$8000,D$3,'Timesheet Raw'!$B$4:$B$8000,'Work Calendar'!$A$26)+SUMIFS('Timesheet Raw'!$P$4:$P$8000,'Timesheet Raw'!$L$4:$L$8000,$A149,'Timesheet Raw'!$C$4:$C$8000,D$3,'Timesheet Raw'!$B$4:$B$8000,'Work Calendar'!$A$27)+SUMIFS('Timesheet Raw'!$P$4:$P$8000,'Timesheet Raw'!$L$4:$L$8000,$A149,'Timesheet Raw'!$C$4:$C$8000,D$3,'Timesheet Raw'!$B$4:$B$8000,'Work Calendar'!$A$28)+SUMIFS('Timesheet Raw'!$P$4:$P$8000,'Timesheet Raw'!$L$4:$L$8000,$A149,'Timesheet Raw'!$C$4:$C$8000,D$3,'Timesheet Raw'!$B$4:$B$8000,'Work Calendar'!$A$29))</f>
        <v>0.5</v>
      </c>
      <c r="G149" s="341">
        <f t="shared" si="9"/>
        <v>0</v>
      </c>
      <c r="H149" s="395">
        <f>IF($A149="","",SUMIFS('Timesheet Raw'!$K$4:$K$8000,'Timesheet Raw'!$L$4:$L$8000,$A149,'Timesheet Raw'!$C$4:$C$8000,D$3))</f>
        <v>5.5</v>
      </c>
      <c r="I149" s="345">
        <f>IF($A149="","",SUMIFS('Timesheet Raw'!$P$4:$P$8000,'Timesheet Raw'!$L$4:$L$8000,$A149,'Timesheet Raw'!$C$4:$C$8000,D$3))</f>
        <v>14</v>
      </c>
      <c r="J149" s="375"/>
      <c r="K149" t="str">
        <f>IF($A149="","",IF(J149&lt;&gt;"",J149,IF($A149&gt;'Work Calendar'!$B$17,"No data yet",IF(AND(F149&gt;='Work Calendar'!$B$14,D149+E149+G149&gt;0),"Day off - but worked",IF(F149&gt;='Work Calendar'!$B$14,"Day off",IF(D149+E149+G149&gt;0,IF($C149="Working","Charged","Worked weekend"),IF($C149="Working","Leave (not charged)",$C149)))))))</f>
        <v>Charged</v>
      </c>
      <c r="L149" s="341">
        <f>IF($A149="","",SUMIFS('Timesheet Raw'!$P$4:$P$8000,'Timesheet Raw'!$L$4:$L$8000,$A149,'Timesheet Raw'!$C$4:$C$8000,L$3,'Timesheet Raw'!$A$4:$A$8000,"1-Projects"))</f>
        <v>8.75</v>
      </c>
      <c r="M149" s="341">
        <f>IF($A149="","",SUMIFS('Timesheet Raw'!$P$4:$P$8000,'Timesheet Raw'!$L$4:$L$8000,$A149,'Timesheet Raw'!$C$4:$C$8000,L$3,'Timesheet Raw'!$A$4:$A$8000,"2-Proposals Chargeable")+SUMIFS('Timesheet Raw'!$P$4:$P$8000,'Timesheet Raw'!$L$4:$L$8000,$A149,'Timesheet Raw'!$C$4:$C$8000,L$3,'Timesheet Raw'!$A$4:$A$8000,"3-Proposals Regular"))</f>
        <v>0</v>
      </c>
      <c r="N149" s="341">
        <f>IF($A149="","",SUMIFS('Timesheet Raw'!$P$4:$P$8000,'Timesheet Raw'!$L$4:$L$8000,$A149,'Timesheet Raw'!$C$4:$C$8000,L$3,'Timesheet Raw'!$B$4:$B$8000,'Work Calendar'!$A$26)+SUMIFS('Timesheet Raw'!$P$4:$P$8000,'Timesheet Raw'!$L$4:$L$8000,$A149,'Timesheet Raw'!$C$4:$C$8000,L$3,'Timesheet Raw'!$B$4:$B$8000,'Work Calendar'!$A$27)+SUMIFS('Timesheet Raw'!$P$4:$P$8000,'Timesheet Raw'!$L$4:$L$8000,$A149,'Timesheet Raw'!$C$4:$C$8000,L$3,'Timesheet Raw'!$B$4:$B$8000,'Work Calendar'!$A$28)+SUMIFS('Timesheet Raw'!$P$4:$P$8000,'Timesheet Raw'!$L$4:$L$8000,$A149,'Timesheet Raw'!$C$4:$C$8000,L$3,'Timesheet Raw'!$B$4:$B$8000,'Work Calendar'!$A$29))</f>
        <v>0</v>
      </c>
      <c r="O149" s="341">
        <f t="shared" si="10"/>
        <v>0</v>
      </c>
      <c r="P149" s="395">
        <f>IF($A149="","",SUMIFS('Timesheet Raw'!$K$4:$K$8000,'Timesheet Raw'!$L$4:$L$8000,$A149,'Timesheet Raw'!$C$4:$C$8000,L$3))</f>
        <v>0.25</v>
      </c>
      <c r="Q149" s="345">
        <f>IF($A149="","",SUMIFS('Timesheet Raw'!$P$4:$P$8000,'Timesheet Raw'!$L$4:$L$8000,$A149,'Timesheet Raw'!$C$4:$C$8000,L$3))</f>
        <v>8.75</v>
      </c>
      <c r="R149" s="375"/>
      <c r="S149" t="str">
        <f>IF($A149="","",IF(R149&lt;&gt;"",R149,IF($A149&gt;'Work Calendar'!$B$17,"No data yet",IF(AND(N149&gt;='Work Calendar'!$B$14,L149+M149+O149&gt;0),"Day off - but worked",IF(N149&gt;='Work Calendar'!$B$14,"Day off",IF(L149+M149+O149&gt;0,IF($C149="Working","Charged","Worked weekend"),IF($C149="Working","Leave (not charged)",$C149)))))))</f>
        <v>Charged</v>
      </c>
      <c r="T149" s="341">
        <f>IF($A149="","",SUMIFS('Timesheet Raw'!$P$4:$P$8000,'Timesheet Raw'!$L$4:$L$8000,$A149,'Timesheet Raw'!$C$4:$C$8000,T$3,'Timesheet Raw'!$A$4:$A$8000,"1-Projects"))</f>
        <v>10.5</v>
      </c>
      <c r="U149" s="341">
        <f>IF($A149="","",SUMIFS('Timesheet Raw'!$P$4:$P$8000,'Timesheet Raw'!$L$4:$L$8000,$A149,'Timesheet Raw'!$C$4:$C$8000,T$3,'Timesheet Raw'!$A$4:$A$8000,"2-Proposals Chargeable")+SUMIFS('Timesheet Raw'!$P$4:$P$8000,'Timesheet Raw'!$L$4:$L$8000,$A149,'Timesheet Raw'!$C$4:$C$8000,T$3,'Timesheet Raw'!$A$4:$A$8000,"3-Proposals Regular"))</f>
        <v>0</v>
      </c>
      <c r="V149" s="341">
        <f>IF($A149="","",SUMIFS('Timesheet Raw'!$P$4:$P$8000,'Timesheet Raw'!$L$4:$L$8000,$A149,'Timesheet Raw'!$C$4:$C$8000,T$3,'Timesheet Raw'!$B$4:$B$8000,'Work Calendar'!$A$26)+SUMIFS('Timesheet Raw'!$P$4:$P$8000,'Timesheet Raw'!$L$4:$L$8000,$A149,'Timesheet Raw'!$C$4:$C$8000,T$3,'Timesheet Raw'!$B$4:$B$8000,'Work Calendar'!$A$27)+SUMIFS('Timesheet Raw'!$P$4:$P$8000,'Timesheet Raw'!$L$4:$L$8000,$A149,'Timesheet Raw'!$C$4:$C$8000,T$3,'Timesheet Raw'!$B$4:$B$8000,'Work Calendar'!$A$28)+SUMIFS('Timesheet Raw'!$P$4:$P$8000,'Timesheet Raw'!$L$4:$L$8000,$A149,'Timesheet Raw'!$C$4:$C$8000,T$3,'Timesheet Raw'!$B$4:$B$8000,'Work Calendar'!$A$29))</f>
        <v>0.25</v>
      </c>
      <c r="W149" s="341">
        <f t="shared" si="11"/>
        <v>0</v>
      </c>
      <c r="X149" s="395">
        <f>IF($A149="","",SUMIFS('Timesheet Raw'!$K$4:$K$8000,'Timesheet Raw'!$L$4:$L$8000,$A149,'Timesheet Raw'!$C$4:$C$8000,T$3))</f>
        <v>2.25</v>
      </c>
      <c r="Y149" s="345">
        <f>IF($A149="","",SUMIFS('Timesheet Raw'!$P$4:$P$8000,'Timesheet Raw'!$L$4:$L$8000,$A149,'Timesheet Raw'!$C$4:$C$8000,T$3))</f>
        <v>10.75</v>
      </c>
      <c r="Z149" s="375"/>
      <c r="AA149" t="str">
        <f>IF($A149="","",IF(Z149&lt;&gt;"",Z149,IF($A149&gt;'Work Calendar'!$B$17,"No data yet",IF(AND(V149&gt;='Work Calendar'!$B$14,T149+U149+W149&gt;0),"Day off - but worked",IF(V149&gt;='Work Calendar'!$B$14,"Day off",IF(T149+U149+W149&gt;0,IF($C149="Working","Charged","Worked weekend"),IF($C149="Working","Leave (not charged)",$C149)))))))</f>
        <v>Charged</v>
      </c>
    </row>
    <row r="150" spans="1:27" x14ac:dyDescent="0.3">
      <c r="A150" s="371">
        <f>IF($A149="","",IF($A149+1&gt;'Work Calendar'!$B$16,"",$A149+1))</f>
        <v>46168</v>
      </c>
      <c r="B150" t="str">
        <f t="shared" si="8"/>
        <v>Tue</v>
      </c>
      <c r="C150" t="str" cm="1">
        <f t="array" ref="C150">IF($A150="","",IF(COUNTIF('Work Calendar'!$E$6:$E$200,$A150)&gt;0,"Holiday",IF(INDEX('Work Calendar'!$C$6:$C$12,WEEKDAY($A150,1))=1,"Working","Weekend")))</f>
        <v>Working</v>
      </c>
      <c r="D150" s="341">
        <f>IF($A150="","",SUMIFS('Timesheet Raw'!$P$4:$P$8000,'Timesheet Raw'!$L$4:$L$8000,$A150,'Timesheet Raw'!$C$4:$C$8000,D$3,'Timesheet Raw'!$A$4:$A$8000,"1-Projects"))</f>
        <v>0</v>
      </c>
      <c r="E150" s="341">
        <f>IF($A150="","",SUMIFS('Timesheet Raw'!$P$4:$P$8000,'Timesheet Raw'!$L$4:$L$8000,$A150,'Timesheet Raw'!$C$4:$C$8000,D$3,'Timesheet Raw'!$A$4:$A$8000,"2-Proposals Chargeable")+SUMIFS('Timesheet Raw'!$P$4:$P$8000,'Timesheet Raw'!$L$4:$L$8000,$A150,'Timesheet Raw'!$C$4:$C$8000,D$3,'Timesheet Raw'!$A$4:$A$8000,"3-Proposals Regular"))</f>
        <v>0</v>
      </c>
      <c r="F150" s="341">
        <f>IF($A150="","",SUMIFS('Timesheet Raw'!$P$4:$P$8000,'Timesheet Raw'!$L$4:$L$8000,$A150,'Timesheet Raw'!$C$4:$C$8000,D$3,'Timesheet Raw'!$B$4:$B$8000,'Work Calendar'!$A$26)+SUMIFS('Timesheet Raw'!$P$4:$P$8000,'Timesheet Raw'!$L$4:$L$8000,$A150,'Timesheet Raw'!$C$4:$C$8000,D$3,'Timesheet Raw'!$B$4:$B$8000,'Work Calendar'!$A$27)+SUMIFS('Timesheet Raw'!$P$4:$P$8000,'Timesheet Raw'!$L$4:$L$8000,$A150,'Timesheet Raw'!$C$4:$C$8000,D$3,'Timesheet Raw'!$B$4:$B$8000,'Work Calendar'!$A$28)+SUMIFS('Timesheet Raw'!$P$4:$P$8000,'Timesheet Raw'!$L$4:$L$8000,$A150,'Timesheet Raw'!$C$4:$C$8000,D$3,'Timesheet Raw'!$B$4:$B$8000,'Work Calendar'!$A$29))</f>
        <v>8.5</v>
      </c>
      <c r="G150" s="341">
        <f t="shared" si="9"/>
        <v>0</v>
      </c>
      <c r="H150" s="395">
        <f>IF($A150="","",SUMIFS('Timesheet Raw'!$K$4:$K$8000,'Timesheet Raw'!$L$4:$L$8000,$A150,'Timesheet Raw'!$C$4:$C$8000,D$3))</f>
        <v>0</v>
      </c>
      <c r="I150" s="345">
        <f>IF($A150="","",SUMIFS('Timesheet Raw'!$P$4:$P$8000,'Timesheet Raw'!$L$4:$L$8000,$A150,'Timesheet Raw'!$C$4:$C$8000,D$3))</f>
        <v>8.5</v>
      </c>
      <c r="J150" s="375"/>
      <c r="K150" t="str">
        <f>IF($A150="","",IF(J150&lt;&gt;"",J150,IF($A150&gt;'Work Calendar'!$B$17,"No data yet",IF(AND(F150&gt;='Work Calendar'!$B$14,D150+E150+G150&gt;0),"Day off - but worked",IF(F150&gt;='Work Calendar'!$B$14,"Day off",IF(D150+E150+G150&gt;0,IF($C150="Working","Charged","Worked weekend"),IF($C150="Working","Leave (not charged)",$C150)))))))</f>
        <v>Day off</v>
      </c>
      <c r="L150" s="341">
        <f>IF($A150="","",SUMIFS('Timesheet Raw'!$P$4:$P$8000,'Timesheet Raw'!$L$4:$L$8000,$A150,'Timesheet Raw'!$C$4:$C$8000,L$3,'Timesheet Raw'!$A$4:$A$8000,"1-Projects"))</f>
        <v>0</v>
      </c>
      <c r="M150" s="341">
        <f>IF($A150="","",SUMIFS('Timesheet Raw'!$P$4:$P$8000,'Timesheet Raw'!$L$4:$L$8000,$A150,'Timesheet Raw'!$C$4:$C$8000,L$3,'Timesheet Raw'!$A$4:$A$8000,"2-Proposals Chargeable")+SUMIFS('Timesheet Raw'!$P$4:$P$8000,'Timesheet Raw'!$L$4:$L$8000,$A150,'Timesheet Raw'!$C$4:$C$8000,L$3,'Timesheet Raw'!$A$4:$A$8000,"3-Proposals Regular"))</f>
        <v>0</v>
      </c>
      <c r="N150" s="341">
        <f>IF($A150="","",SUMIFS('Timesheet Raw'!$P$4:$P$8000,'Timesheet Raw'!$L$4:$L$8000,$A150,'Timesheet Raw'!$C$4:$C$8000,L$3,'Timesheet Raw'!$B$4:$B$8000,'Work Calendar'!$A$26)+SUMIFS('Timesheet Raw'!$P$4:$P$8000,'Timesheet Raw'!$L$4:$L$8000,$A150,'Timesheet Raw'!$C$4:$C$8000,L$3,'Timesheet Raw'!$B$4:$B$8000,'Work Calendar'!$A$27)+SUMIFS('Timesheet Raw'!$P$4:$P$8000,'Timesheet Raw'!$L$4:$L$8000,$A150,'Timesheet Raw'!$C$4:$C$8000,L$3,'Timesheet Raw'!$B$4:$B$8000,'Work Calendar'!$A$28)+SUMIFS('Timesheet Raw'!$P$4:$P$8000,'Timesheet Raw'!$L$4:$L$8000,$A150,'Timesheet Raw'!$C$4:$C$8000,L$3,'Timesheet Raw'!$B$4:$B$8000,'Work Calendar'!$A$29))</f>
        <v>8.5</v>
      </c>
      <c r="O150" s="341">
        <f t="shared" si="10"/>
        <v>0</v>
      </c>
      <c r="P150" s="395">
        <f>IF($A150="","",SUMIFS('Timesheet Raw'!$K$4:$K$8000,'Timesheet Raw'!$L$4:$L$8000,$A150,'Timesheet Raw'!$C$4:$C$8000,L$3))</f>
        <v>0</v>
      </c>
      <c r="Q150" s="345">
        <f>IF($A150="","",SUMIFS('Timesheet Raw'!$P$4:$P$8000,'Timesheet Raw'!$L$4:$L$8000,$A150,'Timesheet Raw'!$C$4:$C$8000,L$3))</f>
        <v>8.5</v>
      </c>
      <c r="R150" s="375"/>
      <c r="S150" t="str">
        <f>IF($A150="","",IF(R150&lt;&gt;"",R150,IF($A150&gt;'Work Calendar'!$B$17,"No data yet",IF(AND(N150&gt;='Work Calendar'!$B$14,L150+M150+O150&gt;0),"Day off - but worked",IF(N150&gt;='Work Calendar'!$B$14,"Day off",IF(L150+M150+O150&gt;0,IF($C150="Working","Charged","Worked weekend"),IF($C150="Working","Leave (not charged)",$C150)))))))</f>
        <v>Day off</v>
      </c>
      <c r="T150" s="341">
        <f>IF($A150="","",SUMIFS('Timesheet Raw'!$P$4:$P$8000,'Timesheet Raw'!$L$4:$L$8000,$A150,'Timesheet Raw'!$C$4:$C$8000,T$3,'Timesheet Raw'!$A$4:$A$8000,"1-Projects"))</f>
        <v>0</v>
      </c>
      <c r="U150" s="341">
        <f>IF($A150="","",SUMIFS('Timesheet Raw'!$P$4:$P$8000,'Timesheet Raw'!$L$4:$L$8000,$A150,'Timesheet Raw'!$C$4:$C$8000,T$3,'Timesheet Raw'!$A$4:$A$8000,"2-Proposals Chargeable")+SUMIFS('Timesheet Raw'!$P$4:$P$8000,'Timesheet Raw'!$L$4:$L$8000,$A150,'Timesheet Raw'!$C$4:$C$8000,T$3,'Timesheet Raw'!$A$4:$A$8000,"3-Proposals Regular"))</f>
        <v>0</v>
      </c>
      <c r="V150" s="341">
        <f>IF($A150="","",SUMIFS('Timesheet Raw'!$P$4:$P$8000,'Timesheet Raw'!$L$4:$L$8000,$A150,'Timesheet Raw'!$C$4:$C$8000,T$3,'Timesheet Raw'!$B$4:$B$8000,'Work Calendar'!$A$26)+SUMIFS('Timesheet Raw'!$P$4:$P$8000,'Timesheet Raw'!$L$4:$L$8000,$A150,'Timesheet Raw'!$C$4:$C$8000,T$3,'Timesheet Raw'!$B$4:$B$8000,'Work Calendar'!$A$27)+SUMIFS('Timesheet Raw'!$P$4:$P$8000,'Timesheet Raw'!$L$4:$L$8000,$A150,'Timesheet Raw'!$C$4:$C$8000,T$3,'Timesheet Raw'!$B$4:$B$8000,'Work Calendar'!$A$28)+SUMIFS('Timesheet Raw'!$P$4:$P$8000,'Timesheet Raw'!$L$4:$L$8000,$A150,'Timesheet Raw'!$C$4:$C$8000,T$3,'Timesheet Raw'!$B$4:$B$8000,'Work Calendar'!$A$29))</f>
        <v>8.5</v>
      </c>
      <c r="W150" s="341">
        <f t="shared" si="11"/>
        <v>0</v>
      </c>
      <c r="X150" s="395">
        <f>IF($A150="","",SUMIFS('Timesheet Raw'!$K$4:$K$8000,'Timesheet Raw'!$L$4:$L$8000,$A150,'Timesheet Raw'!$C$4:$C$8000,T$3))</f>
        <v>0</v>
      </c>
      <c r="Y150" s="345">
        <f>IF($A150="","",SUMIFS('Timesheet Raw'!$P$4:$P$8000,'Timesheet Raw'!$L$4:$L$8000,$A150,'Timesheet Raw'!$C$4:$C$8000,T$3))</f>
        <v>8.5</v>
      </c>
      <c r="Z150" s="375"/>
      <c r="AA150" t="str">
        <f>IF($A150="","",IF(Z150&lt;&gt;"",Z150,IF($A150&gt;'Work Calendar'!$B$17,"No data yet",IF(AND(V150&gt;='Work Calendar'!$B$14,T150+U150+W150&gt;0),"Day off - but worked",IF(V150&gt;='Work Calendar'!$B$14,"Day off",IF(T150+U150+W150&gt;0,IF($C150="Working","Charged","Worked weekend"),IF($C150="Working","Leave (not charged)",$C150)))))))</f>
        <v>Day off</v>
      </c>
    </row>
    <row r="151" spans="1:27" x14ac:dyDescent="0.3">
      <c r="A151" s="371">
        <f>IF($A150="","",IF($A150+1&gt;'Work Calendar'!$B$16,"",$A150+1))</f>
        <v>46169</v>
      </c>
      <c r="B151" t="str">
        <f t="shared" si="8"/>
        <v>Wed</v>
      </c>
      <c r="C151" t="str" cm="1">
        <f t="array" ref="C151">IF($A151="","",IF(COUNTIF('Work Calendar'!$E$6:$E$200,$A151)&gt;0,"Holiday",IF(INDEX('Work Calendar'!$C$6:$C$12,WEEKDAY($A151,1))=1,"Working","Weekend")))</f>
        <v>Working</v>
      </c>
      <c r="D151" s="341">
        <f>IF($A151="","",SUMIFS('Timesheet Raw'!$P$4:$P$8000,'Timesheet Raw'!$L$4:$L$8000,$A151,'Timesheet Raw'!$C$4:$C$8000,D$3,'Timesheet Raw'!$A$4:$A$8000,"1-Projects"))</f>
        <v>0</v>
      </c>
      <c r="E151" s="341">
        <f>IF($A151="","",SUMIFS('Timesheet Raw'!$P$4:$P$8000,'Timesheet Raw'!$L$4:$L$8000,$A151,'Timesheet Raw'!$C$4:$C$8000,D$3,'Timesheet Raw'!$A$4:$A$8000,"2-Proposals Chargeable")+SUMIFS('Timesheet Raw'!$P$4:$P$8000,'Timesheet Raw'!$L$4:$L$8000,$A151,'Timesheet Raw'!$C$4:$C$8000,D$3,'Timesheet Raw'!$A$4:$A$8000,"3-Proposals Regular"))</f>
        <v>0</v>
      </c>
      <c r="F151" s="341">
        <f>IF($A151="","",SUMIFS('Timesheet Raw'!$P$4:$P$8000,'Timesheet Raw'!$L$4:$L$8000,$A151,'Timesheet Raw'!$C$4:$C$8000,D$3,'Timesheet Raw'!$B$4:$B$8000,'Work Calendar'!$A$26)+SUMIFS('Timesheet Raw'!$P$4:$P$8000,'Timesheet Raw'!$L$4:$L$8000,$A151,'Timesheet Raw'!$C$4:$C$8000,D$3,'Timesheet Raw'!$B$4:$B$8000,'Work Calendar'!$A$27)+SUMIFS('Timesheet Raw'!$P$4:$P$8000,'Timesheet Raw'!$L$4:$L$8000,$A151,'Timesheet Raw'!$C$4:$C$8000,D$3,'Timesheet Raw'!$B$4:$B$8000,'Work Calendar'!$A$28)+SUMIFS('Timesheet Raw'!$P$4:$P$8000,'Timesheet Raw'!$L$4:$L$8000,$A151,'Timesheet Raw'!$C$4:$C$8000,D$3,'Timesheet Raw'!$B$4:$B$8000,'Work Calendar'!$A$29))</f>
        <v>8.5</v>
      </c>
      <c r="G151" s="341">
        <f t="shared" si="9"/>
        <v>0</v>
      </c>
      <c r="H151" s="395">
        <f>IF($A151="","",SUMIFS('Timesheet Raw'!$K$4:$K$8000,'Timesheet Raw'!$L$4:$L$8000,$A151,'Timesheet Raw'!$C$4:$C$8000,D$3))</f>
        <v>0</v>
      </c>
      <c r="I151" s="345">
        <f>IF($A151="","",SUMIFS('Timesheet Raw'!$P$4:$P$8000,'Timesheet Raw'!$L$4:$L$8000,$A151,'Timesheet Raw'!$C$4:$C$8000,D$3))</f>
        <v>8.5</v>
      </c>
      <c r="J151" s="375"/>
      <c r="K151" t="str">
        <f>IF($A151="","",IF(J151&lt;&gt;"",J151,IF($A151&gt;'Work Calendar'!$B$17,"No data yet",IF(AND(F151&gt;='Work Calendar'!$B$14,D151+E151+G151&gt;0),"Day off - but worked",IF(F151&gt;='Work Calendar'!$B$14,"Day off",IF(D151+E151+G151&gt;0,IF($C151="Working","Charged","Worked weekend"),IF($C151="Working","Leave (not charged)",$C151)))))))</f>
        <v>Day off</v>
      </c>
      <c r="L151" s="341">
        <f>IF($A151="","",SUMIFS('Timesheet Raw'!$P$4:$P$8000,'Timesheet Raw'!$L$4:$L$8000,$A151,'Timesheet Raw'!$C$4:$C$8000,L$3,'Timesheet Raw'!$A$4:$A$8000,"1-Projects"))</f>
        <v>0</v>
      </c>
      <c r="M151" s="341">
        <f>IF($A151="","",SUMIFS('Timesheet Raw'!$P$4:$P$8000,'Timesheet Raw'!$L$4:$L$8000,$A151,'Timesheet Raw'!$C$4:$C$8000,L$3,'Timesheet Raw'!$A$4:$A$8000,"2-Proposals Chargeable")+SUMIFS('Timesheet Raw'!$P$4:$P$8000,'Timesheet Raw'!$L$4:$L$8000,$A151,'Timesheet Raw'!$C$4:$C$8000,L$3,'Timesheet Raw'!$A$4:$A$8000,"3-Proposals Regular"))</f>
        <v>0</v>
      </c>
      <c r="N151" s="341">
        <f>IF($A151="","",SUMIFS('Timesheet Raw'!$P$4:$P$8000,'Timesheet Raw'!$L$4:$L$8000,$A151,'Timesheet Raw'!$C$4:$C$8000,L$3,'Timesheet Raw'!$B$4:$B$8000,'Work Calendar'!$A$26)+SUMIFS('Timesheet Raw'!$P$4:$P$8000,'Timesheet Raw'!$L$4:$L$8000,$A151,'Timesheet Raw'!$C$4:$C$8000,L$3,'Timesheet Raw'!$B$4:$B$8000,'Work Calendar'!$A$27)+SUMIFS('Timesheet Raw'!$P$4:$P$8000,'Timesheet Raw'!$L$4:$L$8000,$A151,'Timesheet Raw'!$C$4:$C$8000,L$3,'Timesheet Raw'!$B$4:$B$8000,'Work Calendar'!$A$28)+SUMIFS('Timesheet Raw'!$P$4:$P$8000,'Timesheet Raw'!$L$4:$L$8000,$A151,'Timesheet Raw'!$C$4:$C$8000,L$3,'Timesheet Raw'!$B$4:$B$8000,'Work Calendar'!$A$29))</f>
        <v>8.5</v>
      </c>
      <c r="O151" s="341">
        <f t="shared" si="10"/>
        <v>0</v>
      </c>
      <c r="P151" s="395">
        <f>IF($A151="","",SUMIFS('Timesheet Raw'!$K$4:$K$8000,'Timesheet Raw'!$L$4:$L$8000,$A151,'Timesheet Raw'!$C$4:$C$8000,L$3))</f>
        <v>0</v>
      </c>
      <c r="Q151" s="345">
        <f>IF($A151="","",SUMIFS('Timesheet Raw'!$P$4:$P$8000,'Timesheet Raw'!$L$4:$L$8000,$A151,'Timesheet Raw'!$C$4:$C$8000,L$3))</f>
        <v>8.5</v>
      </c>
      <c r="R151" s="375"/>
      <c r="S151" t="str">
        <f>IF($A151="","",IF(R151&lt;&gt;"",R151,IF($A151&gt;'Work Calendar'!$B$17,"No data yet",IF(AND(N151&gt;='Work Calendar'!$B$14,L151+M151+O151&gt;0),"Day off - but worked",IF(N151&gt;='Work Calendar'!$B$14,"Day off",IF(L151+M151+O151&gt;0,IF($C151="Working","Charged","Worked weekend"),IF($C151="Working","Leave (not charged)",$C151)))))))</f>
        <v>Day off</v>
      </c>
      <c r="T151" s="341">
        <f>IF($A151="","",SUMIFS('Timesheet Raw'!$P$4:$P$8000,'Timesheet Raw'!$L$4:$L$8000,$A151,'Timesheet Raw'!$C$4:$C$8000,T$3,'Timesheet Raw'!$A$4:$A$8000,"1-Projects"))</f>
        <v>0</v>
      </c>
      <c r="U151" s="341">
        <f>IF($A151="","",SUMIFS('Timesheet Raw'!$P$4:$P$8000,'Timesheet Raw'!$L$4:$L$8000,$A151,'Timesheet Raw'!$C$4:$C$8000,T$3,'Timesheet Raw'!$A$4:$A$8000,"2-Proposals Chargeable")+SUMIFS('Timesheet Raw'!$P$4:$P$8000,'Timesheet Raw'!$L$4:$L$8000,$A151,'Timesheet Raw'!$C$4:$C$8000,T$3,'Timesheet Raw'!$A$4:$A$8000,"3-Proposals Regular"))</f>
        <v>0</v>
      </c>
      <c r="V151" s="341">
        <f>IF($A151="","",SUMIFS('Timesheet Raw'!$P$4:$P$8000,'Timesheet Raw'!$L$4:$L$8000,$A151,'Timesheet Raw'!$C$4:$C$8000,T$3,'Timesheet Raw'!$B$4:$B$8000,'Work Calendar'!$A$26)+SUMIFS('Timesheet Raw'!$P$4:$P$8000,'Timesheet Raw'!$L$4:$L$8000,$A151,'Timesheet Raw'!$C$4:$C$8000,T$3,'Timesheet Raw'!$B$4:$B$8000,'Work Calendar'!$A$27)+SUMIFS('Timesheet Raw'!$P$4:$P$8000,'Timesheet Raw'!$L$4:$L$8000,$A151,'Timesheet Raw'!$C$4:$C$8000,T$3,'Timesheet Raw'!$B$4:$B$8000,'Work Calendar'!$A$28)+SUMIFS('Timesheet Raw'!$P$4:$P$8000,'Timesheet Raw'!$L$4:$L$8000,$A151,'Timesheet Raw'!$C$4:$C$8000,T$3,'Timesheet Raw'!$B$4:$B$8000,'Work Calendar'!$A$29))</f>
        <v>8.5</v>
      </c>
      <c r="W151" s="341">
        <f t="shared" si="11"/>
        <v>0</v>
      </c>
      <c r="X151" s="395">
        <f>IF($A151="","",SUMIFS('Timesheet Raw'!$K$4:$K$8000,'Timesheet Raw'!$L$4:$L$8000,$A151,'Timesheet Raw'!$C$4:$C$8000,T$3))</f>
        <v>0</v>
      </c>
      <c r="Y151" s="345">
        <f>IF($A151="","",SUMIFS('Timesheet Raw'!$P$4:$P$8000,'Timesheet Raw'!$L$4:$L$8000,$A151,'Timesheet Raw'!$C$4:$C$8000,T$3))</f>
        <v>8.5</v>
      </c>
      <c r="Z151" s="375"/>
      <c r="AA151" t="str">
        <f>IF($A151="","",IF(Z151&lt;&gt;"",Z151,IF($A151&gt;'Work Calendar'!$B$17,"No data yet",IF(AND(V151&gt;='Work Calendar'!$B$14,T151+U151+W151&gt;0),"Day off - but worked",IF(V151&gt;='Work Calendar'!$B$14,"Day off",IF(T151+U151+W151&gt;0,IF($C151="Working","Charged","Worked weekend"),IF($C151="Working","Leave (not charged)",$C151)))))))</f>
        <v>Day off</v>
      </c>
    </row>
    <row r="152" spans="1:27" x14ac:dyDescent="0.3">
      <c r="A152" s="371">
        <f>IF($A151="","",IF($A151+1&gt;'Work Calendar'!$B$16,"",$A151+1))</f>
        <v>46170</v>
      </c>
      <c r="B152" t="str">
        <f t="shared" si="8"/>
        <v>Thu</v>
      </c>
      <c r="C152" t="str" cm="1">
        <f t="array" ref="C152">IF($A152="","",IF(COUNTIF('Work Calendar'!$E$6:$E$200,$A152)&gt;0,"Holiday",IF(INDEX('Work Calendar'!$C$6:$C$12,WEEKDAY($A152,1))=1,"Working","Weekend")))</f>
        <v>Working</v>
      </c>
      <c r="D152" s="341">
        <f>IF($A152="","",SUMIFS('Timesheet Raw'!$P$4:$P$8000,'Timesheet Raw'!$L$4:$L$8000,$A152,'Timesheet Raw'!$C$4:$C$8000,D$3,'Timesheet Raw'!$A$4:$A$8000,"1-Projects"))</f>
        <v>0</v>
      </c>
      <c r="E152" s="341">
        <f>IF($A152="","",SUMIFS('Timesheet Raw'!$P$4:$P$8000,'Timesheet Raw'!$L$4:$L$8000,$A152,'Timesheet Raw'!$C$4:$C$8000,D$3,'Timesheet Raw'!$A$4:$A$8000,"2-Proposals Chargeable")+SUMIFS('Timesheet Raw'!$P$4:$P$8000,'Timesheet Raw'!$L$4:$L$8000,$A152,'Timesheet Raw'!$C$4:$C$8000,D$3,'Timesheet Raw'!$A$4:$A$8000,"3-Proposals Regular"))</f>
        <v>0</v>
      </c>
      <c r="F152" s="341">
        <f>IF($A152="","",SUMIFS('Timesheet Raw'!$P$4:$P$8000,'Timesheet Raw'!$L$4:$L$8000,$A152,'Timesheet Raw'!$C$4:$C$8000,D$3,'Timesheet Raw'!$B$4:$B$8000,'Work Calendar'!$A$26)+SUMIFS('Timesheet Raw'!$P$4:$P$8000,'Timesheet Raw'!$L$4:$L$8000,$A152,'Timesheet Raw'!$C$4:$C$8000,D$3,'Timesheet Raw'!$B$4:$B$8000,'Work Calendar'!$A$27)+SUMIFS('Timesheet Raw'!$P$4:$P$8000,'Timesheet Raw'!$L$4:$L$8000,$A152,'Timesheet Raw'!$C$4:$C$8000,D$3,'Timesheet Raw'!$B$4:$B$8000,'Work Calendar'!$A$28)+SUMIFS('Timesheet Raw'!$P$4:$P$8000,'Timesheet Raw'!$L$4:$L$8000,$A152,'Timesheet Raw'!$C$4:$C$8000,D$3,'Timesheet Raw'!$B$4:$B$8000,'Work Calendar'!$A$29))</f>
        <v>8.5</v>
      </c>
      <c r="G152" s="341">
        <f t="shared" si="9"/>
        <v>0</v>
      </c>
      <c r="H152" s="395">
        <f>IF($A152="","",SUMIFS('Timesheet Raw'!$K$4:$K$8000,'Timesheet Raw'!$L$4:$L$8000,$A152,'Timesheet Raw'!$C$4:$C$8000,D$3))</f>
        <v>0</v>
      </c>
      <c r="I152" s="345">
        <f>IF($A152="","",SUMIFS('Timesheet Raw'!$P$4:$P$8000,'Timesheet Raw'!$L$4:$L$8000,$A152,'Timesheet Raw'!$C$4:$C$8000,D$3))</f>
        <v>8.5</v>
      </c>
      <c r="J152" s="375"/>
      <c r="K152" t="str">
        <f>IF($A152="","",IF(J152&lt;&gt;"",J152,IF($A152&gt;'Work Calendar'!$B$17,"No data yet",IF(AND(F152&gt;='Work Calendar'!$B$14,D152+E152+G152&gt;0),"Day off - but worked",IF(F152&gt;='Work Calendar'!$B$14,"Day off",IF(D152+E152+G152&gt;0,IF($C152="Working","Charged","Worked weekend"),IF($C152="Working","Leave (not charged)",$C152)))))))</f>
        <v>Day off</v>
      </c>
      <c r="L152" s="341">
        <f>IF($A152="","",SUMIFS('Timesheet Raw'!$P$4:$P$8000,'Timesheet Raw'!$L$4:$L$8000,$A152,'Timesheet Raw'!$C$4:$C$8000,L$3,'Timesheet Raw'!$A$4:$A$8000,"1-Projects"))</f>
        <v>0</v>
      </c>
      <c r="M152" s="341">
        <f>IF($A152="","",SUMIFS('Timesheet Raw'!$P$4:$P$8000,'Timesheet Raw'!$L$4:$L$8000,$A152,'Timesheet Raw'!$C$4:$C$8000,L$3,'Timesheet Raw'!$A$4:$A$8000,"2-Proposals Chargeable")+SUMIFS('Timesheet Raw'!$P$4:$P$8000,'Timesheet Raw'!$L$4:$L$8000,$A152,'Timesheet Raw'!$C$4:$C$8000,L$3,'Timesheet Raw'!$A$4:$A$8000,"3-Proposals Regular"))</f>
        <v>0</v>
      </c>
      <c r="N152" s="341">
        <f>IF($A152="","",SUMIFS('Timesheet Raw'!$P$4:$P$8000,'Timesheet Raw'!$L$4:$L$8000,$A152,'Timesheet Raw'!$C$4:$C$8000,L$3,'Timesheet Raw'!$B$4:$B$8000,'Work Calendar'!$A$26)+SUMIFS('Timesheet Raw'!$P$4:$P$8000,'Timesheet Raw'!$L$4:$L$8000,$A152,'Timesheet Raw'!$C$4:$C$8000,L$3,'Timesheet Raw'!$B$4:$B$8000,'Work Calendar'!$A$27)+SUMIFS('Timesheet Raw'!$P$4:$P$8000,'Timesheet Raw'!$L$4:$L$8000,$A152,'Timesheet Raw'!$C$4:$C$8000,L$3,'Timesheet Raw'!$B$4:$B$8000,'Work Calendar'!$A$28)+SUMIFS('Timesheet Raw'!$P$4:$P$8000,'Timesheet Raw'!$L$4:$L$8000,$A152,'Timesheet Raw'!$C$4:$C$8000,L$3,'Timesheet Raw'!$B$4:$B$8000,'Work Calendar'!$A$29))</f>
        <v>8.5</v>
      </c>
      <c r="O152" s="341">
        <f t="shared" si="10"/>
        <v>0</v>
      </c>
      <c r="P152" s="395">
        <f>IF($A152="","",SUMIFS('Timesheet Raw'!$K$4:$K$8000,'Timesheet Raw'!$L$4:$L$8000,$A152,'Timesheet Raw'!$C$4:$C$8000,L$3))</f>
        <v>0</v>
      </c>
      <c r="Q152" s="345">
        <f>IF($A152="","",SUMIFS('Timesheet Raw'!$P$4:$P$8000,'Timesheet Raw'!$L$4:$L$8000,$A152,'Timesheet Raw'!$C$4:$C$8000,L$3))</f>
        <v>8.5</v>
      </c>
      <c r="R152" s="375"/>
      <c r="S152" t="str">
        <f>IF($A152="","",IF(R152&lt;&gt;"",R152,IF($A152&gt;'Work Calendar'!$B$17,"No data yet",IF(AND(N152&gt;='Work Calendar'!$B$14,L152+M152+O152&gt;0),"Day off - but worked",IF(N152&gt;='Work Calendar'!$B$14,"Day off",IF(L152+M152+O152&gt;0,IF($C152="Working","Charged","Worked weekend"),IF($C152="Working","Leave (not charged)",$C152)))))))</f>
        <v>Day off</v>
      </c>
      <c r="T152" s="341">
        <f>IF($A152="","",SUMIFS('Timesheet Raw'!$P$4:$P$8000,'Timesheet Raw'!$L$4:$L$8000,$A152,'Timesheet Raw'!$C$4:$C$8000,T$3,'Timesheet Raw'!$A$4:$A$8000,"1-Projects"))</f>
        <v>0</v>
      </c>
      <c r="U152" s="341">
        <f>IF($A152="","",SUMIFS('Timesheet Raw'!$P$4:$P$8000,'Timesheet Raw'!$L$4:$L$8000,$A152,'Timesheet Raw'!$C$4:$C$8000,T$3,'Timesheet Raw'!$A$4:$A$8000,"2-Proposals Chargeable")+SUMIFS('Timesheet Raw'!$P$4:$P$8000,'Timesheet Raw'!$L$4:$L$8000,$A152,'Timesheet Raw'!$C$4:$C$8000,T$3,'Timesheet Raw'!$A$4:$A$8000,"3-Proposals Regular"))</f>
        <v>0</v>
      </c>
      <c r="V152" s="341">
        <f>IF($A152="","",SUMIFS('Timesheet Raw'!$P$4:$P$8000,'Timesheet Raw'!$L$4:$L$8000,$A152,'Timesheet Raw'!$C$4:$C$8000,T$3,'Timesheet Raw'!$B$4:$B$8000,'Work Calendar'!$A$26)+SUMIFS('Timesheet Raw'!$P$4:$P$8000,'Timesheet Raw'!$L$4:$L$8000,$A152,'Timesheet Raw'!$C$4:$C$8000,T$3,'Timesheet Raw'!$B$4:$B$8000,'Work Calendar'!$A$27)+SUMIFS('Timesheet Raw'!$P$4:$P$8000,'Timesheet Raw'!$L$4:$L$8000,$A152,'Timesheet Raw'!$C$4:$C$8000,T$3,'Timesheet Raw'!$B$4:$B$8000,'Work Calendar'!$A$28)+SUMIFS('Timesheet Raw'!$P$4:$P$8000,'Timesheet Raw'!$L$4:$L$8000,$A152,'Timesheet Raw'!$C$4:$C$8000,T$3,'Timesheet Raw'!$B$4:$B$8000,'Work Calendar'!$A$29))</f>
        <v>8.5</v>
      </c>
      <c r="W152" s="341">
        <f t="shared" si="11"/>
        <v>0</v>
      </c>
      <c r="X152" s="395">
        <f>IF($A152="","",SUMIFS('Timesheet Raw'!$K$4:$K$8000,'Timesheet Raw'!$L$4:$L$8000,$A152,'Timesheet Raw'!$C$4:$C$8000,T$3))</f>
        <v>0</v>
      </c>
      <c r="Y152" s="345">
        <f>IF($A152="","",SUMIFS('Timesheet Raw'!$P$4:$P$8000,'Timesheet Raw'!$L$4:$L$8000,$A152,'Timesheet Raw'!$C$4:$C$8000,T$3))</f>
        <v>8.5</v>
      </c>
      <c r="Z152" s="375"/>
      <c r="AA152" t="str">
        <f>IF($A152="","",IF(Z152&lt;&gt;"",Z152,IF($A152&gt;'Work Calendar'!$B$17,"No data yet",IF(AND(V152&gt;='Work Calendar'!$B$14,T152+U152+W152&gt;0),"Day off - but worked",IF(V152&gt;='Work Calendar'!$B$14,"Day off",IF(T152+U152+W152&gt;0,IF($C152="Working","Charged","Worked weekend"),IF($C152="Working","Leave (not charged)",$C152)))))))</f>
        <v>Day off</v>
      </c>
    </row>
    <row r="153" spans="1:27" x14ac:dyDescent="0.3">
      <c r="A153" s="371">
        <f>IF($A152="","",IF($A152+1&gt;'Work Calendar'!$B$16,"",$A152+1))</f>
        <v>46171</v>
      </c>
      <c r="B153" t="str">
        <f t="shared" si="8"/>
        <v>Fri</v>
      </c>
      <c r="C153" t="str" cm="1">
        <f t="array" ref="C153">IF($A153="","",IF(COUNTIF('Work Calendar'!$E$6:$E$200,$A153)&gt;0,"Holiday",IF(INDEX('Work Calendar'!$C$6:$C$12,WEEKDAY($A153,1))=1,"Working","Weekend")))</f>
        <v>Weekend</v>
      </c>
      <c r="D153" s="341">
        <f>IF($A153="","",SUMIFS('Timesheet Raw'!$P$4:$P$8000,'Timesheet Raw'!$L$4:$L$8000,$A153,'Timesheet Raw'!$C$4:$C$8000,D$3,'Timesheet Raw'!$A$4:$A$8000,"1-Projects"))</f>
        <v>0</v>
      </c>
      <c r="E153" s="341">
        <f>IF($A153="","",SUMIFS('Timesheet Raw'!$P$4:$P$8000,'Timesheet Raw'!$L$4:$L$8000,$A153,'Timesheet Raw'!$C$4:$C$8000,D$3,'Timesheet Raw'!$A$4:$A$8000,"2-Proposals Chargeable")+SUMIFS('Timesheet Raw'!$P$4:$P$8000,'Timesheet Raw'!$L$4:$L$8000,$A153,'Timesheet Raw'!$C$4:$C$8000,D$3,'Timesheet Raw'!$A$4:$A$8000,"3-Proposals Regular"))</f>
        <v>0</v>
      </c>
      <c r="F153" s="341">
        <f>IF($A153="","",SUMIFS('Timesheet Raw'!$P$4:$P$8000,'Timesheet Raw'!$L$4:$L$8000,$A153,'Timesheet Raw'!$C$4:$C$8000,D$3,'Timesheet Raw'!$B$4:$B$8000,'Work Calendar'!$A$26)+SUMIFS('Timesheet Raw'!$P$4:$P$8000,'Timesheet Raw'!$L$4:$L$8000,$A153,'Timesheet Raw'!$C$4:$C$8000,D$3,'Timesheet Raw'!$B$4:$B$8000,'Work Calendar'!$A$27)+SUMIFS('Timesheet Raw'!$P$4:$P$8000,'Timesheet Raw'!$L$4:$L$8000,$A153,'Timesheet Raw'!$C$4:$C$8000,D$3,'Timesheet Raw'!$B$4:$B$8000,'Work Calendar'!$A$28)+SUMIFS('Timesheet Raw'!$P$4:$P$8000,'Timesheet Raw'!$L$4:$L$8000,$A153,'Timesheet Raw'!$C$4:$C$8000,D$3,'Timesheet Raw'!$B$4:$B$8000,'Work Calendar'!$A$29))</f>
        <v>0</v>
      </c>
      <c r="G153" s="341">
        <f t="shared" si="9"/>
        <v>0</v>
      </c>
      <c r="H153" s="395">
        <f>IF($A153="","",SUMIFS('Timesheet Raw'!$K$4:$K$8000,'Timesheet Raw'!$L$4:$L$8000,$A153,'Timesheet Raw'!$C$4:$C$8000,D$3))</f>
        <v>0</v>
      </c>
      <c r="I153" s="345">
        <f>IF($A153="","",SUMIFS('Timesheet Raw'!$P$4:$P$8000,'Timesheet Raw'!$L$4:$L$8000,$A153,'Timesheet Raw'!$C$4:$C$8000,D$3))</f>
        <v>0</v>
      </c>
      <c r="J153" s="375"/>
      <c r="K153" t="str">
        <f>IF($A153="","",IF(J153&lt;&gt;"",J153,IF($A153&gt;'Work Calendar'!$B$17,"No data yet",IF(AND(F153&gt;='Work Calendar'!$B$14,D153+E153+G153&gt;0),"Day off - but worked",IF(F153&gt;='Work Calendar'!$B$14,"Day off",IF(D153+E153+G153&gt;0,IF($C153="Working","Charged","Worked weekend"),IF($C153="Working","Leave (not charged)",$C153)))))))</f>
        <v>Weekend</v>
      </c>
      <c r="L153" s="341">
        <f>IF($A153="","",SUMIFS('Timesheet Raw'!$P$4:$P$8000,'Timesheet Raw'!$L$4:$L$8000,$A153,'Timesheet Raw'!$C$4:$C$8000,L$3,'Timesheet Raw'!$A$4:$A$8000,"1-Projects"))</f>
        <v>0</v>
      </c>
      <c r="M153" s="341">
        <f>IF($A153="","",SUMIFS('Timesheet Raw'!$P$4:$P$8000,'Timesheet Raw'!$L$4:$L$8000,$A153,'Timesheet Raw'!$C$4:$C$8000,L$3,'Timesheet Raw'!$A$4:$A$8000,"2-Proposals Chargeable")+SUMIFS('Timesheet Raw'!$P$4:$P$8000,'Timesheet Raw'!$L$4:$L$8000,$A153,'Timesheet Raw'!$C$4:$C$8000,L$3,'Timesheet Raw'!$A$4:$A$8000,"3-Proposals Regular"))</f>
        <v>0</v>
      </c>
      <c r="N153" s="341">
        <f>IF($A153="","",SUMIFS('Timesheet Raw'!$P$4:$P$8000,'Timesheet Raw'!$L$4:$L$8000,$A153,'Timesheet Raw'!$C$4:$C$8000,L$3,'Timesheet Raw'!$B$4:$B$8000,'Work Calendar'!$A$26)+SUMIFS('Timesheet Raw'!$P$4:$P$8000,'Timesheet Raw'!$L$4:$L$8000,$A153,'Timesheet Raw'!$C$4:$C$8000,L$3,'Timesheet Raw'!$B$4:$B$8000,'Work Calendar'!$A$27)+SUMIFS('Timesheet Raw'!$P$4:$P$8000,'Timesheet Raw'!$L$4:$L$8000,$A153,'Timesheet Raw'!$C$4:$C$8000,L$3,'Timesheet Raw'!$B$4:$B$8000,'Work Calendar'!$A$28)+SUMIFS('Timesheet Raw'!$P$4:$P$8000,'Timesheet Raw'!$L$4:$L$8000,$A153,'Timesheet Raw'!$C$4:$C$8000,L$3,'Timesheet Raw'!$B$4:$B$8000,'Work Calendar'!$A$29))</f>
        <v>0</v>
      </c>
      <c r="O153" s="341">
        <f t="shared" si="10"/>
        <v>0</v>
      </c>
      <c r="P153" s="395">
        <f>IF($A153="","",SUMIFS('Timesheet Raw'!$K$4:$K$8000,'Timesheet Raw'!$L$4:$L$8000,$A153,'Timesheet Raw'!$C$4:$C$8000,L$3))</f>
        <v>0</v>
      </c>
      <c r="Q153" s="345">
        <f>IF($A153="","",SUMIFS('Timesheet Raw'!$P$4:$P$8000,'Timesheet Raw'!$L$4:$L$8000,$A153,'Timesheet Raw'!$C$4:$C$8000,L$3))</f>
        <v>0</v>
      </c>
      <c r="R153" s="375"/>
      <c r="S153" t="str">
        <f>IF($A153="","",IF(R153&lt;&gt;"",R153,IF($A153&gt;'Work Calendar'!$B$17,"No data yet",IF(AND(N153&gt;='Work Calendar'!$B$14,L153+M153+O153&gt;0),"Day off - but worked",IF(N153&gt;='Work Calendar'!$B$14,"Day off",IF(L153+M153+O153&gt;0,IF($C153="Working","Charged","Worked weekend"),IF($C153="Working","Leave (not charged)",$C153)))))))</f>
        <v>Weekend</v>
      </c>
      <c r="T153" s="341">
        <f>IF($A153="","",SUMIFS('Timesheet Raw'!$P$4:$P$8000,'Timesheet Raw'!$L$4:$L$8000,$A153,'Timesheet Raw'!$C$4:$C$8000,T$3,'Timesheet Raw'!$A$4:$A$8000,"1-Projects"))</f>
        <v>0</v>
      </c>
      <c r="U153" s="341">
        <f>IF($A153="","",SUMIFS('Timesheet Raw'!$P$4:$P$8000,'Timesheet Raw'!$L$4:$L$8000,$A153,'Timesheet Raw'!$C$4:$C$8000,T$3,'Timesheet Raw'!$A$4:$A$8000,"2-Proposals Chargeable")+SUMIFS('Timesheet Raw'!$P$4:$P$8000,'Timesheet Raw'!$L$4:$L$8000,$A153,'Timesheet Raw'!$C$4:$C$8000,T$3,'Timesheet Raw'!$A$4:$A$8000,"3-Proposals Regular"))</f>
        <v>0</v>
      </c>
      <c r="V153" s="341">
        <f>IF($A153="","",SUMIFS('Timesheet Raw'!$P$4:$P$8000,'Timesheet Raw'!$L$4:$L$8000,$A153,'Timesheet Raw'!$C$4:$C$8000,T$3,'Timesheet Raw'!$B$4:$B$8000,'Work Calendar'!$A$26)+SUMIFS('Timesheet Raw'!$P$4:$P$8000,'Timesheet Raw'!$L$4:$L$8000,$A153,'Timesheet Raw'!$C$4:$C$8000,T$3,'Timesheet Raw'!$B$4:$B$8000,'Work Calendar'!$A$27)+SUMIFS('Timesheet Raw'!$P$4:$P$8000,'Timesheet Raw'!$L$4:$L$8000,$A153,'Timesheet Raw'!$C$4:$C$8000,T$3,'Timesheet Raw'!$B$4:$B$8000,'Work Calendar'!$A$28)+SUMIFS('Timesheet Raw'!$P$4:$P$8000,'Timesheet Raw'!$L$4:$L$8000,$A153,'Timesheet Raw'!$C$4:$C$8000,T$3,'Timesheet Raw'!$B$4:$B$8000,'Work Calendar'!$A$29))</f>
        <v>0</v>
      </c>
      <c r="W153" s="341">
        <f t="shared" si="11"/>
        <v>0</v>
      </c>
      <c r="X153" s="395">
        <f>IF($A153="","",SUMIFS('Timesheet Raw'!$K$4:$K$8000,'Timesheet Raw'!$L$4:$L$8000,$A153,'Timesheet Raw'!$C$4:$C$8000,T$3))</f>
        <v>0</v>
      </c>
      <c r="Y153" s="345">
        <f>IF($A153="","",SUMIFS('Timesheet Raw'!$P$4:$P$8000,'Timesheet Raw'!$L$4:$L$8000,$A153,'Timesheet Raw'!$C$4:$C$8000,T$3))</f>
        <v>0</v>
      </c>
      <c r="Z153" s="375"/>
      <c r="AA153" t="str">
        <f>IF($A153="","",IF(Z153&lt;&gt;"",Z153,IF($A153&gt;'Work Calendar'!$B$17,"No data yet",IF(AND(V153&gt;='Work Calendar'!$B$14,T153+U153+W153&gt;0),"Day off - but worked",IF(V153&gt;='Work Calendar'!$B$14,"Day off",IF(T153+U153+W153&gt;0,IF($C153="Working","Charged","Worked weekend"),IF($C153="Working","Leave (not charged)",$C153)))))))</f>
        <v>Weekend</v>
      </c>
    </row>
    <row r="154" spans="1:27" x14ac:dyDescent="0.3">
      <c r="A154" s="371">
        <f>IF($A153="","",IF($A153+1&gt;'Work Calendar'!$B$16,"",$A153+1))</f>
        <v>46172</v>
      </c>
      <c r="B154" t="str">
        <f t="shared" si="8"/>
        <v>Sat</v>
      </c>
      <c r="C154" t="str" cm="1">
        <f t="array" ref="C154">IF($A154="","",IF(COUNTIF('Work Calendar'!$E$6:$E$200,$A154)&gt;0,"Holiday",IF(INDEX('Work Calendar'!$C$6:$C$12,WEEKDAY($A154,1))=1,"Working","Weekend")))</f>
        <v>Weekend</v>
      </c>
      <c r="D154" s="341">
        <f>IF($A154="","",SUMIFS('Timesheet Raw'!$P$4:$P$8000,'Timesheet Raw'!$L$4:$L$8000,$A154,'Timesheet Raw'!$C$4:$C$8000,D$3,'Timesheet Raw'!$A$4:$A$8000,"1-Projects"))</f>
        <v>0</v>
      </c>
      <c r="E154" s="341">
        <f>IF($A154="","",SUMIFS('Timesheet Raw'!$P$4:$P$8000,'Timesheet Raw'!$L$4:$L$8000,$A154,'Timesheet Raw'!$C$4:$C$8000,D$3,'Timesheet Raw'!$A$4:$A$8000,"2-Proposals Chargeable")+SUMIFS('Timesheet Raw'!$P$4:$P$8000,'Timesheet Raw'!$L$4:$L$8000,$A154,'Timesheet Raw'!$C$4:$C$8000,D$3,'Timesheet Raw'!$A$4:$A$8000,"3-Proposals Regular"))</f>
        <v>0</v>
      </c>
      <c r="F154" s="341">
        <f>IF($A154="","",SUMIFS('Timesheet Raw'!$P$4:$P$8000,'Timesheet Raw'!$L$4:$L$8000,$A154,'Timesheet Raw'!$C$4:$C$8000,D$3,'Timesheet Raw'!$B$4:$B$8000,'Work Calendar'!$A$26)+SUMIFS('Timesheet Raw'!$P$4:$P$8000,'Timesheet Raw'!$L$4:$L$8000,$A154,'Timesheet Raw'!$C$4:$C$8000,D$3,'Timesheet Raw'!$B$4:$B$8000,'Work Calendar'!$A$27)+SUMIFS('Timesheet Raw'!$P$4:$P$8000,'Timesheet Raw'!$L$4:$L$8000,$A154,'Timesheet Raw'!$C$4:$C$8000,D$3,'Timesheet Raw'!$B$4:$B$8000,'Work Calendar'!$A$28)+SUMIFS('Timesheet Raw'!$P$4:$P$8000,'Timesheet Raw'!$L$4:$L$8000,$A154,'Timesheet Raw'!$C$4:$C$8000,D$3,'Timesheet Raw'!$B$4:$B$8000,'Work Calendar'!$A$29))</f>
        <v>0</v>
      </c>
      <c r="G154" s="341">
        <f t="shared" si="9"/>
        <v>0</v>
      </c>
      <c r="H154" s="395">
        <f>IF($A154="","",SUMIFS('Timesheet Raw'!$K$4:$K$8000,'Timesheet Raw'!$L$4:$L$8000,$A154,'Timesheet Raw'!$C$4:$C$8000,D$3))</f>
        <v>0</v>
      </c>
      <c r="I154" s="345">
        <f>IF($A154="","",SUMIFS('Timesheet Raw'!$P$4:$P$8000,'Timesheet Raw'!$L$4:$L$8000,$A154,'Timesheet Raw'!$C$4:$C$8000,D$3))</f>
        <v>0</v>
      </c>
      <c r="J154" s="375"/>
      <c r="K154" t="str">
        <f>IF($A154="","",IF(J154&lt;&gt;"",J154,IF($A154&gt;'Work Calendar'!$B$17,"No data yet",IF(AND(F154&gt;='Work Calendar'!$B$14,D154+E154+G154&gt;0),"Day off - but worked",IF(F154&gt;='Work Calendar'!$B$14,"Day off",IF(D154+E154+G154&gt;0,IF($C154="Working","Charged","Worked weekend"),IF($C154="Working","Leave (not charged)",$C154)))))))</f>
        <v>Weekend</v>
      </c>
      <c r="L154" s="341">
        <f>IF($A154="","",SUMIFS('Timesheet Raw'!$P$4:$P$8000,'Timesheet Raw'!$L$4:$L$8000,$A154,'Timesheet Raw'!$C$4:$C$8000,L$3,'Timesheet Raw'!$A$4:$A$8000,"1-Projects"))</f>
        <v>0</v>
      </c>
      <c r="M154" s="341">
        <f>IF($A154="","",SUMIFS('Timesheet Raw'!$P$4:$P$8000,'Timesheet Raw'!$L$4:$L$8000,$A154,'Timesheet Raw'!$C$4:$C$8000,L$3,'Timesheet Raw'!$A$4:$A$8000,"2-Proposals Chargeable")+SUMIFS('Timesheet Raw'!$P$4:$P$8000,'Timesheet Raw'!$L$4:$L$8000,$A154,'Timesheet Raw'!$C$4:$C$8000,L$3,'Timesheet Raw'!$A$4:$A$8000,"3-Proposals Regular"))</f>
        <v>0</v>
      </c>
      <c r="N154" s="341">
        <f>IF($A154="","",SUMIFS('Timesheet Raw'!$P$4:$P$8000,'Timesheet Raw'!$L$4:$L$8000,$A154,'Timesheet Raw'!$C$4:$C$8000,L$3,'Timesheet Raw'!$B$4:$B$8000,'Work Calendar'!$A$26)+SUMIFS('Timesheet Raw'!$P$4:$P$8000,'Timesheet Raw'!$L$4:$L$8000,$A154,'Timesheet Raw'!$C$4:$C$8000,L$3,'Timesheet Raw'!$B$4:$B$8000,'Work Calendar'!$A$27)+SUMIFS('Timesheet Raw'!$P$4:$P$8000,'Timesheet Raw'!$L$4:$L$8000,$A154,'Timesheet Raw'!$C$4:$C$8000,L$3,'Timesheet Raw'!$B$4:$B$8000,'Work Calendar'!$A$28)+SUMIFS('Timesheet Raw'!$P$4:$P$8000,'Timesheet Raw'!$L$4:$L$8000,$A154,'Timesheet Raw'!$C$4:$C$8000,L$3,'Timesheet Raw'!$B$4:$B$8000,'Work Calendar'!$A$29))</f>
        <v>0</v>
      </c>
      <c r="O154" s="341">
        <f t="shared" si="10"/>
        <v>0</v>
      </c>
      <c r="P154" s="395">
        <f>IF($A154="","",SUMIFS('Timesheet Raw'!$K$4:$K$8000,'Timesheet Raw'!$L$4:$L$8000,$A154,'Timesheet Raw'!$C$4:$C$8000,L$3))</f>
        <v>0</v>
      </c>
      <c r="Q154" s="345">
        <f>IF($A154="","",SUMIFS('Timesheet Raw'!$P$4:$P$8000,'Timesheet Raw'!$L$4:$L$8000,$A154,'Timesheet Raw'!$C$4:$C$8000,L$3))</f>
        <v>0</v>
      </c>
      <c r="R154" s="375"/>
      <c r="S154" t="str">
        <f>IF($A154="","",IF(R154&lt;&gt;"",R154,IF($A154&gt;'Work Calendar'!$B$17,"No data yet",IF(AND(N154&gt;='Work Calendar'!$B$14,L154+M154+O154&gt;0),"Day off - but worked",IF(N154&gt;='Work Calendar'!$B$14,"Day off",IF(L154+M154+O154&gt;0,IF($C154="Working","Charged","Worked weekend"),IF($C154="Working","Leave (not charged)",$C154)))))))</f>
        <v>Weekend</v>
      </c>
      <c r="T154" s="341">
        <f>IF($A154="","",SUMIFS('Timesheet Raw'!$P$4:$P$8000,'Timesheet Raw'!$L$4:$L$8000,$A154,'Timesheet Raw'!$C$4:$C$8000,T$3,'Timesheet Raw'!$A$4:$A$8000,"1-Projects"))</f>
        <v>0</v>
      </c>
      <c r="U154" s="341">
        <f>IF($A154="","",SUMIFS('Timesheet Raw'!$P$4:$P$8000,'Timesheet Raw'!$L$4:$L$8000,$A154,'Timesheet Raw'!$C$4:$C$8000,T$3,'Timesheet Raw'!$A$4:$A$8000,"2-Proposals Chargeable")+SUMIFS('Timesheet Raw'!$P$4:$P$8000,'Timesheet Raw'!$L$4:$L$8000,$A154,'Timesheet Raw'!$C$4:$C$8000,T$3,'Timesheet Raw'!$A$4:$A$8000,"3-Proposals Regular"))</f>
        <v>0</v>
      </c>
      <c r="V154" s="341">
        <f>IF($A154="","",SUMIFS('Timesheet Raw'!$P$4:$P$8000,'Timesheet Raw'!$L$4:$L$8000,$A154,'Timesheet Raw'!$C$4:$C$8000,T$3,'Timesheet Raw'!$B$4:$B$8000,'Work Calendar'!$A$26)+SUMIFS('Timesheet Raw'!$P$4:$P$8000,'Timesheet Raw'!$L$4:$L$8000,$A154,'Timesheet Raw'!$C$4:$C$8000,T$3,'Timesheet Raw'!$B$4:$B$8000,'Work Calendar'!$A$27)+SUMIFS('Timesheet Raw'!$P$4:$P$8000,'Timesheet Raw'!$L$4:$L$8000,$A154,'Timesheet Raw'!$C$4:$C$8000,T$3,'Timesheet Raw'!$B$4:$B$8000,'Work Calendar'!$A$28)+SUMIFS('Timesheet Raw'!$P$4:$P$8000,'Timesheet Raw'!$L$4:$L$8000,$A154,'Timesheet Raw'!$C$4:$C$8000,T$3,'Timesheet Raw'!$B$4:$B$8000,'Work Calendar'!$A$29))</f>
        <v>0</v>
      </c>
      <c r="W154" s="341">
        <f t="shared" si="11"/>
        <v>0</v>
      </c>
      <c r="X154" s="395">
        <f>IF($A154="","",SUMIFS('Timesheet Raw'!$K$4:$K$8000,'Timesheet Raw'!$L$4:$L$8000,$A154,'Timesheet Raw'!$C$4:$C$8000,T$3))</f>
        <v>0</v>
      </c>
      <c r="Y154" s="345">
        <f>IF($A154="","",SUMIFS('Timesheet Raw'!$P$4:$P$8000,'Timesheet Raw'!$L$4:$L$8000,$A154,'Timesheet Raw'!$C$4:$C$8000,T$3))</f>
        <v>0</v>
      </c>
      <c r="Z154" s="375"/>
      <c r="AA154" t="str">
        <f>IF($A154="","",IF(Z154&lt;&gt;"",Z154,IF($A154&gt;'Work Calendar'!$B$17,"No data yet",IF(AND(V154&gt;='Work Calendar'!$B$14,T154+U154+W154&gt;0),"Day off - but worked",IF(V154&gt;='Work Calendar'!$B$14,"Day off",IF(T154+U154+W154&gt;0,IF($C154="Working","Charged","Worked weekend"),IF($C154="Working","Leave (not charged)",$C154)))))))</f>
        <v>Weekend</v>
      </c>
    </row>
    <row r="155" spans="1:27" x14ac:dyDescent="0.3">
      <c r="A155" s="371">
        <f>IF($A154="","",IF($A154+1&gt;'Work Calendar'!$B$16,"",$A154+1))</f>
        <v>46173</v>
      </c>
      <c r="B155" t="str">
        <f t="shared" si="8"/>
        <v>Sun</v>
      </c>
      <c r="C155" t="str" cm="1">
        <f t="array" ref="C155">IF($A155="","",IF(COUNTIF('Work Calendar'!$E$6:$E$200,$A155)&gt;0,"Holiday",IF(INDEX('Work Calendar'!$C$6:$C$12,WEEKDAY($A155,1))=1,"Working","Weekend")))</f>
        <v>Working</v>
      </c>
      <c r="D155" s="341">
        <f>IF($A155="","",SUMIFS('Timesheet Raw'!$P$4:$P$8000,'Timesheet Raw'!$L$4:$L$8000,$A155,'Timesheet Raw'!$C$4:$C$8000,D$3,'Timesheet Raw'!$A$4:$A$8000,"1-Projects"))</f>
        <v>0</v>
      </c>
      <c r="E155" s="341">
        <f>IF($A155="","",SUMIFS('Timesheet Raw'!$P$4:$P$8000,'Timesheet Raw'!$L$4:$L$8000,$A155,'Timesheet Raw'!$C$4:$C$8000,D$3,'Timesheet Raw'!$A$4:$A$8000,"2-Proposals Chargeable")+SUMIFS('Timesheet Raw'!$P$4:$P$8000,'Timesheet Raw'!$L$4:$L$8000,$A155,'Timesheet Raw'!$C$4:$C$8000,D$3,'Timesheet Raw'!$A$4:$A$8000,"3-Proposals Regular"))</f>
        <v>0</v>
      </c>
      <c r="F155" s="341">
        <f>IF($A155="","",SUMIFS('Timesheet Raw'!$P$4:$P$8000,'Timesheet Raw'!$L$4:$L$8000,$A155,'Timesheet Raw'!$C$4:$C$8000,D$3,'Timesheet Raw'!$B$4:$B$8000,'Work Calendar'!$A$26)+SUMIFS('Timesheet Raw'!$P$4:$P$8000,'Timesheet Raw'!$L$4:$L$8000,$A155,'Timesheet Raw'!$C$4:$C$8000,D$3,'Timesheet Raw'!$B$4:$B$8000,'Work Calendar'!$A$27)+SUMIFS('Timesheet Raw'!$P$4:$P$8000,'Timesheet Raw'!$L$4:$L$8000,$A155,'Timesheet Raw'!$C$4:$C$8000,D$3,'Timesheet Raw'!$B$4:$B$8000,'Work Calendar'!$A$28)+SUMIFS('Timesheet Raw'!$P$4:$P$8000,'Timesheet Raw'!$L$4:$L$8000,$A155,'Timesheet Raw'!$C$4:$C$8000,D$3,'Timesheet Raw'!$B$4:$B$8000,'Work Calendar'!$A$29))</f>
        <v>8.5</v>
      </c>
      <c r="G155" s="341">
        <f t="shared" si="9"/>
        <v>0</v>
      </c>
      <c r="H155" s="395">
        <f>IF($A155="","",SUMIFS('Timesheet Raw'!$K$4:$K$8000,'Timesheet Raw'!$L$4:$L$8000,$A155,'Timesheet Raw'!$C$4:$C$8000,D$3))</f>
        <v>0</v>
      </c>
      <c r="I155" s="345">
        <f>IF($A155="","",SUMIFS('Timesheet Raw'!$P$4:$P$8000,'Timesheet Raw'!$L$4:$L$8000,$A155,'Timesheet Raw'!$C$4:$C$8000,D$3))</f>
        <v>8.5</v>
      </c>
      <c r="J155" s="375"/>
      <c r="K155" t="str">
        <f>IF($A155="","",IF(J155&lt;&gt;"",J155,IF($A155&gt;'Work Calendar'!$B$17,"No data yet",IF(AND(F155&gt;='Work Calendar'!$B$14,D155+E155+G155&gt;0),"Day off - but worked",IF(F155&gt;='Work Calendar'!$B$14,"Day off",IF(D155+E155+G155&gt;0,IF($C155="Working","Charged","Worked weekend"),IF($C155="Working","Leave (not charged)",$C155)))))))</f>
        <v>Day off</v>
      </c>
      <c r="L155" s="341">
        <f>IF($A155="","",SUMIFS('Timesheet Raw'!$P$4:$P$8000,'Timesheet Raw'!$L$4:$L$8000,$A155,'Timesheet Raw'!$C$4:$C$8000,L$3,'Timesheet Raw'!$A$4:$A$8000,"1-Projects"))</f>
        <v>0</v>
      </c>
      <c r="M155" s="341">
        <f>IF($A155="","",SUMIFS('Timesheet Raw'!$P$4:$P$8000,'Timesheet Raw'!$L$4:$L$8000,$A155,'Timesheet Raw'!$C$4:$C$8000,L$3,'Timesheet Raw'!$A$4:$A$8000,"2-Proposals Chargeable")+SUMIFS('Timesheet Raw'!$P$4:$P$8000,'Timesheet Raw'!$L$4:$L$8000,$A155,'Timesheet Raw'!$C$4:$C$8000,L$3,'Timesheet Raw'!$A$4:$A$8000,"3-Proposals Regular"))</f>
        <v>0</v>
      </c>
      <c r="N155" s="341">
        <f>IF($A155="","",SUMIFS('Timesheet Raw'!$P$4:$P$8000,'Timesheet Raw'!$L$4:$L$8000,$A155,'Timesheet Raw'!$C$4:$C$8000,L$3,'Timesheet Raw'!$B$4:$B$8000,'Work Calendar'!$A$26)+SUMIFS('Timesheet Raw'!$P$4:$P$8000,'Timesheet Raw'!$L$4:$L$8000,$A155,'Timesheet Raw'!$C$4:$C$8000,L$3,'Timesheet Raw'!$B$4:$B$8000,'Work Calendar'!$A$27)+SUMIFS('Timesheet Raw'!$P$4:$P$8000,'Timesheet Raw'!$L$4:$L$8000,$A155,'Timesheet Raw'!$C$4:$C$8000,L$3,'Timesheet Raw'!$B$4:$B$8000,'Work Calendar'!$A$28)+SUMIFS('Timesheet Raw'!$P$4:$P$8000,'Timesheet Raw'!$L$4:$L$8000,$A155,'Timesheet Raw'!$C$4:$C$8000,L$3,'Timesheet Raw'!$B$4:$B$8000,'Work Calendar'!$A$29))</f>
        <v>8.5</v>
      </c>
      <c r="O155" s="341">
        <f t="shared" si="10"/>
        <v>0</v>
      </c>
      <c r="P155" s="395">
        <f>IF($A155="","",SUMIFS('Timesheet Raw'!$K$4:$K$8000,'Timesheet Raw'!$L$4:$L$8000,$A155,'Timesheet Raw'!$C$4:$C$8000,L$3))</f>
        <v>0</v>
      </c>
      <c r="Q155" s="345">
        <f>IF($A155="","",SUMIFS('Timesheet Raw'!$P$4:$P$8000,'Timesheet Raw'!$L$4:$L$8000,$A155,'Timesheet Raw'!$C$4:$C$8000,L$3))</f>
        <v>8.5</v>
      </c>
      <c r="R155" s="375"/>
      <c r="S155" t="str">
        <f>IF($A155="","",IF(R155&lt;&gt;"",R155,IF($A155&gt;'Work Calendar'!$B$17,"No data yet",IF(AND(N155&gt;='Work Calendar'!$B$14,L155+M155+O155&gt;0),"Day off - but worked",IF(N155&gt;='Work Calendar'!$B$14,"Day off",IF(L155+M155+O155&gt;0,IF($C155="Working","Charged","Worked weekend"),IF($C155="Working","Leave (not charged)",$C155)))))))</f>
        <v>Day off</v>
      </c>
      <c r="T155" s="341">
        <f>IF($A155="","",SUMIFS('Timesheet Raw'!$P$4:$P$8000,'Timesheet Raw'!$L$4:$L$8000,$A155,'Timesheet Raw'!$C$4:$C$8000,T$3,'Timesheet Raw'!$A$4:$A$8000,"1-Projects"))</f>
        <v>0</v>
      </c>
      <c r="U155" s="341">
        <f>IF($A155="","",SUMIFS('Timesheet Raw'!$P$4:$P$8000,'Timesheet Raw'!$L$4:$L$8000,$A155,'Timesheet Raw'!$C$4:$C$8000,T$3,'Timesheet Raw'!$A$4:$A$8000,"2-Proposals Chargeable")+SUMIFS('Timesheet Raw'!$P$4:$P$8000,'Timesheet Raw'!$L$4:$L$8000,$A155,'Timesheet Raw'!$C$4:$C$8000,T$3,'Timesheet Raw'!$A$4:$A$8000,"3-Proposals Regular"))</f>
        <v>0</v>
      </c>
      <c r="V155" s="341">
        <f>IF($A155="","",SUMIFS('Timesheet Raw'!$P$4:$P$8000,'Timesheet Raw'!$L$4:$L$8000,$A155,'Timesheet Raw'!$C$4:$C$8000,T$3,'Timesheet Raw'!$B$4:$B$8000,'Work Calendar'!$A$26)+SUMIFS('Timesheet Raw'!$P$4:$P$8000,'Timesheet Raw'!$L$4:$L$8000,$A155,'Timesheet Raw'!$C$4:$C$8000,T$3,'Timesheet Raw'!$B$4:$B$8000,'Work Calendar'!$A$27)+SUMIFS('Timesheet Raw'!$P$4:$P$8000,'Timesheet Raw'!$L$4:$L$8000,$A155,'Timesheet Raw'!$C$4:$C$8000,T$3,'Timesheet Raw'!$B$4:$B$8000,'Work Calendar'!$A$28)+SUMIFS('Timesheet Raw'!$P$4:$P$8000,'Timesheet Raw'!$L$4:$L$8000,$A155,'Timesheet Raw'!$C$4:$C$8000,T$3,'Timesheet Raw'!$B$4:$B$8000,'Work Calendar'!$A$29))</f>
        <v>8.5</v>
      </c>
      <c r="W155" s="341">
        <f t="shared" si="11"/>
        <v>0</v>
      </c>
      <c r="X155" s="395">
        <f>IF($A155="","",SUMIFS('Timesheet Raw'!$K$4:$K$8000,'Timesheet Raw'!$L$4:$L$8000,$A155,'Timesheet Raw'!$C$4:$C$8000,T$3))</f>
        <v>0</v>
      </c>
      <c r="Y155" s="345">
        <f>IF($A155="","",SUMIFS('Timesheet Raw'!$P$4:$P$8000,'Timesheet Raw'!$L$4:$L$8000,$A155,'Timesheet Raw'!$C$4:$C$8000,T$3))</f>
        <v>8.5</v>
      </c>
      <c r="Z155" s="375"/>
      <c r="AA155" t="str">
        <f>IF($A155="","",IF(Z155&lt;&gt;"",Z155,IF($A155&gt;'Work Calendar'!$B$17,"No data yet",IF(AND(V155&gt;='Work Calendar'!$B$14,T155+U155+W155&gt;0),"Day off - but worked",IF(V155&gt;='Work Calendar'!$B$14,"Day off",IF(T155+U155+W155&gt;0,IF($C155="Working","Charged","Worked weekend"),IF($C155="Working","Leave (not charged)",$C155)))))))</f>
        <v>Day off</v>
      </c>
    </row>
    <row r="156" spans="1:27" x14ac:dyDescent="0.3">
      <c r="A156" s="371">
        <f>IF($A155="","",IF($A155+1&gt;'Work Calendar'!$B$16,"",$A155+1))</f>
        <v>46174</v>
      </c>
      <c r="B156" t="str">
        <f t="shared" si="8"/>
        <v>Mon</v>
      </c>
      <c r="C156" t="str" cm="1">
        <f t="array" ref="C156">IF($A156="","",IF(COUNTIF('Work Calendar'!$E$6:$E$200,$A156)&gt;0,"Holiday",IF(INDEX('Work Calendar'!$C$6:$C$12,WEEKDAY($A156,1))=1,"Working","Weekend")))</f>
        <v>Working</v>
      </c>
      <c r="D156" s="341">
        <f>IF($A156="","",SUMIFS('Timesheet Raw'!$P$4:$P$8000,'Timesheet Raw'!$L$4:$L$8000,$A156,'Timesheet Raw'!$C$4:$C$8000,D$3,'Timesheet Raw'!$A$4:$A$8000,"1-Projects"))</f>
        <v>4.25</v>
      </c>
      <c r="E156" s="341">
        <f>IF($A156="","",SUMIFS('Timesheet Raw'!$P$4:$P$8000,'Timesheet Raw'!$L$4:$L$8000,$A156,'Timesheet Raw'!$C$4:$C$8000,D$3,'Timesheet Raw'!$A$4:$A$8000,"2-Proposals Chargeable")+SUMIFS('Timesheet Raw'!$P$4:$P$8000,'Timesheet Raw'!$L$4:$L$8000,$A156,'Timesheet Raw'!$C$4:$C$8000,D$3,'Timesheet Raw'!$A$4:$A$8000,"3-Proposals Regular"))</f>
        <v>0</v>
      </c>
      <c r="F156" s="341">
        <f>IF($A156="","",SUMIFS('Timesheet Raw'!$P$4:$P$8000,'Timesheet Raw'!$L$4:$L$8000,$A156,'Timesheet Raw'!$C$4:$C$8000,D$3,'Timesheet Raw'!$B$4:$B$8000,'Work Calendar'!$A$26)+SUMIFS('Timesheet Raw'!$P$4:$P$8000,'Timesheet Raw'!$L$4:$L$8000,$A156,'Timesheet Raw'!$C$4:$C$8000,D$3,'Timesheet Raw'!$B$4:$B$8000,'Work Calendar'!$A$27)+SUMIFS('Timesheet Raw'!$P$4:$P$8000,'Timesheet Raw'!$L$4:$L$8000,$A156,'Timesheet Raw'!$C$4:$C$8000,D$3,'Timesheet Raw'!$B$4:$B$8000,'Work Calendar'!$A$28)+SUMIFS('Timesheet Raw'!$P$4:$P$8000,'Timesheet Raw'!$L$4:$L$8000,$A156,'Timesheet Raw'!$C$4:$C$8000,D$3,'Timesheet Raw'!$B$4:$B$8000,'Work Calendar'!$A$29))</f>
        <v>4.25</v>
      </c>
      <c r="G156" s="341">
        <f t="shared" si="9"/>
        <v>0</v>
      </c>
      <c r="H156" s="395">
        <f>IF($A156="","",SUMIFS('Timesheet Raw'!$K$4:$K$8000,'Timesheet Raw'!$L$4:$L$8000,$A156,'Timesheet Raw'!$C$4:$C$8000,D$3))</f>
        <v>0</v>
      </c>
      <c r="I156" s="345">
        <f>IF($A156="","",SUMIFS('Timesheet Raw'!$P$4:$P$8000,'Timesheet Raw'!$L$4:$L$8000,$A156,'Timesheet Raw'!$C$4:$C$8000,D$3))</f>
        <v>8.5</v>
      </c>
      <c r="J156" s="375"/>
      <c r="K156" t="str">
        <f>IF($A156="","",IF(J156&lt;&gt;"",J156,IF($A156&gt;'Work Calendar'!$B$17,"No data yet",IF(AND(F156&gt;='Work Calendar'!$B$14,D156+E156+G156&gt;0),"Day off - but worked",IF(F156&gt;='Work Calendar'!$B$14,"Day off",IF(D156+E156+G156&gt;0,IF($C156="Working","Charged","Worked weekend"),IF($C156="Working","Leave (not charged)",$C156)))))))</f>
        <v>Charged</v>
      </c>
      <c r="L156" s="341">
        <f>IF($A156="","",SUMIFS('Timesheet Raw'!$P$4:$P$8000,'Timesheet Raw'!$L$4:$L$8000,$A156,'Timesheet Raw'!$C$4:$C$8000,L$3,'Timesheet Raw'!$A$4:$A$8000,"1-Projects"))</f>
        <v>0</v>
      </c>
      <c r="M156" s="341">
        <f>IF($A156="","",SUMIFS('Timesheet Raw'!$P$4:$P$8000,'Timesheet Raw'!$L$4:$L$8000,$A156,'Timesheet Raw'!$C$4:$C$8000,L$3,'Timesheet Raw'!$A$4:$A$8000,"2-Proposals Chargeable")+SUMIFS('Timesheet Raw'!$P$4:$P$8000,'Timesheet Raw'!$L$4:$L$8000,$A156,'Timesheet Raw'!$C$4:$C$8000,L$3,'Timesheet Raw'!$A$4:$A$8000,"3-Proposals Regular"))</f>
        <v>0</v>
      </c>
      <c r="N156" s="341">
        <f>IF($A156="","",SUMIFS('Timesheet Raw'!$P$4:$P$8000,'Timesheet Raw'!$L$4:$L$8000,$A156,'Timesheet Raw'!$C$4:$C$8000,L$3,'Timesheet Raw'!$B$4:$B$8000,'Work Calendar'!$A$26)+SUMIFS('Timesheet Raw'!$P$4:$P$8000,'Timesheet Raw'!$L$4:$L$8000,$A156,'Timesheet Raw'!$C$4:$C$8000,L$3,'Timesheet Raw'!$B$4:$B$8000,'Work Calendar'!$A$27)+SUMIFS('Timesheet Raw'!$P$4:$P$8000,'Timesheet Raw'!$L$4:$L$8000,$A156,'Timesheet Raw'!$C$4:$C$8000,L$3,'Timesheet Raw'!$B$4:$B$8000,'Work Calendar'!$A$28)+SUMIFS('Timesheet Raw'!$P$4:$P$8000,'Timesheet Raw'!$L$4:$L$8000,$A156,'Timesheet Raw'!$C$4:$C$8000,L$3,'Timesheet Raw'!$B$4:$B$8000,'Work Calendar'!$A$29))</f>
        <v>8.5</v>
      </c>
      <c r="O156" s="341">
        <f t="shared" si="10"/>
        <v>0</v>
      </c>
      <c r="P156" s="395">
        <f>IF($A156="","",SUMIFS('Timesheet Raw'!$K$4:$K$8000,'Timesheet Raw'!$L$4:$L$8000,$A156,'Timesheet Raw'!$C$4:$C$8000,L$3))</f>
        <v>0</v>
      </c>
      <c r="Q156" s="345">
        <f>IF($A156="","",SUMIFS('Timesheet Raw'!$P$4:$P$8000,'Timesheet Raw'!$L$4:$L$8000,$A156,'Timesheet Raw'!$C$4:$C$8000,L$3))</f>
        <v>8.5</v>
      </c>
      <c r="R156" s="375"/>
      <c r="S156" t="str">
        <f>IF($A156="","",IF(R156&lt;&gt;"",R156,IF($A156&gt;'Work Calendar'!$B$17,"No data yet",IF(AND(N156&gt;='Work Calendar'!$B$14,L156+M156+O156&gt;0),"Day off - but worked",IF(N156&gt;='Work Calendar'!$B$14,"Day off",IF(L156+M156+O156&gt;0,IF($C156="Working","Charged","Worked weekend"),IF($C156="Working","Leave (not charged)",$C156)))))))</f>
        <v>Day off</v>
      </c>
      <c r="T156" s="341">
        <f>IF($A156="","",SUMIFS('Timesheet Raw'!$P$4:$P$8000,'Timesheet Raw'!$L$4:$L$8000,$A156,'Timesheet Raw'!$C$4:$C$8000,T$3,'Timesheet Raw'!$A$4:$A$8000,"1-Projects"))</f>
        <v>8.5</v>
      </c>
      <c r="U156" s="341">
        <f>IF($A156="","",SUMIFS('Timesheet Raw'!$P$4:$P$8000,'Timesheet Raw'!$L$4:$L$8000,$A156,'Timesheet Raw'!$C$4:$C$8000,T$3,'Timesheet Raw'!$A$4:$A$8000,"2-Proposals Chargeable")+SUMIFS('Timesheet Raw'!$P$4:$P$8000,'Timesheet Raw'!$L$4:$L$8000,$A156,'Timesheet Raw'!$C$4:$C$8000,T$3,'Timesheet Raw'!$A$4:$A$8000,"3-Proposals Regular"))</f>
        <v>0</v>
      </c>
      <c r="V156" s="341">
        <f>IF($A156="","",SUMIFS('Timesheet Raw'!$P$4:$P$8000,'Timesheet Raw'!$L$4:$L$8000,$A156,'Timesheet Raw'!$C$4:$C$8000,T$3,'Timesheet Raw'!$B$4:$B$8000,'Work Calendar'!$A$26)+SUMIFS('Timesheet Raw'!$P$4:$P$8000,'Timesheet Raw'!$L$4:$L$8000,$A156,'Timesheet Raw'!$C$4:$C$8000,T$3,'Timesheet Raw'!$B$4:$B$8000,'Work Calendar'!$A$27)+SUMIFS('Timesheet Raw'!$P$4:$P$8000,'Timesheet Raw'!$L$4:$L$8000,$A156,'Timesheet Raw'!$C$4:$C$8000,T$3,'Timesheet Raw'!$B$4:$B$8000,'Work Calendar'!$A$28)+SUMIFS('Timesheet Raw'!$P$4:$P$8000,'Timesheet Raw'!$L$4:$L$8000,$A156,'Timesheet Raw'!$C$4:$C$8000,T$3,'Timesheet Raw'!$B$4:$B$8000,'Work Calendar'!$A$29))</f>
        <v>0.25</v>
      </c>
      <c r="W156" s="341">
        <f t="shared" si="11"/>
        <v>0</v>
      </c>
      <c r="X156" s="395">
        <f>IF($A156="","",SUMIFS('Timesheet Raw'!$K$4:$K$8000,'Timesheet Raw'!$L$4:$L$8000,$A156,'Timesheet Raw'!$C$4:$C$8000,T$3))</f>
        <v>0.25</v>
      </c>
      <c r="Y156" s="345">
        <f>IF($A156="","",SUMIFS('Timesheet Raw'!$P$4:$P$8000,'Timesheet Raw'!$L$4:$L$8000,$A156,'Timesheet Raw'!$C$4:$C$8000,T$3))</f>
        <v>8.75</v>
      </c>
      <c r="Z156" s="375"/>
      <c r="AA156" t="str">
        <f>IF($A156="","",IF(Z156&lt;&gt;"",Z156,IF($A156&gt;'Work Calendar'!$B$17,"No data yet",IF(AND(V156&gt;='Work Calendar'!$B$14,T156+U156+W156&gt;0),"Day off - but worked",IF(V156&gt;='Work Calendar'!$B$14,"Day off",IF(T156+U156+W156&gt;0,IF($C156="Working","Charged","Worked weekend"),IF($C156="Working","Leave (not charged)",$C156)))))))</f>
        <v>Charged</v>
      </c>
    </row>
    <row r="157" spans="1:27" x14ac:dyDescent="0.3">
      <c r="A157" s="371">
        <f>IF($A156="","",IF($A156+1&gt;'Work Calendar'!$B$16,"",$A156+1))</f>
        <v>46175</v>
      </c>
      <c r="B157" t="str">
        <f t="shared" si="8"/>
        <v>Tue</v>
      </c>
      <c r="C157" t="str" cm="1">
        <f t="array" ref="C157">IF($A157="","",IF(COUNTIF('Work Calendar'!$E$6:$E$200,$A157)&gt;0,"Holiday",IF(INDEX('Work Calendar'!$C$6:$C$12,WEEKDAY($A157,1))=1,"Working","Weekend")))</f>
        <v>Working</v>
      </c>
      <c r="D157" s="341">
        <f>IF($A157="","",SUMIFS('Timesheet Raw'!$P$4:$P$8000,'Timesheet Raw'!$L$4:$L$8000,$A157,'Timesheet Raw'!$C$4:$C$8000,D$3,'Timesheet Raw'!$A$4:$A$8000,"1-Projects"))</f>
        <v>4.25</v>
      </c>
      <c r="E157" s="341">
        <f>IF($A157="","",SUMIFS('Timesheet Raw'!$P$4:$P$8000,'Timesheet Raw'!$L$4:$L$8000,$A157,'Timesheet Raw'!$C$4:$C$8000,D$3,'Timesheet Raw'!$A$4:$A$8000,"2-Proposals Chargeable")+SUMIFS('Timesheet Raw'!$P$4:$P$8000,'Timesheet Raw'!$L$4:$L$8000,$A157,'Timesheet Raw'!$C$4:$C$8000,D$3,'Timesheet Raw'!$A$4:$A$8000,"3-Proposals Regular"))</f>
        <v>0</v>
      </c>
      <c r="F157" s="341">
        <f>IF($A157="","",SUMIFS('Timesheet Raw'!$P$4:$P$8000,'Timesheet Raw'!$L$4:$L$8000,$A157,'Timesheet Raw'!$C$4:$C$8000,D$3,'Timesheet Raw'!$B$4:$B$8000,'Work Calendar'!$A$26)+SUMIFS('Timesheet Raw'!$P$4:$P$8000,'Timesheet Raw'!$L$4:$L$8000,$A157,'Timesheet Raw'!$C$4:$C$8000,D$3,'Timesheet Raw'!$B$4:$B$8000,'Work Calendar'!$A$27)+SUMIFS('Timesheet Raw'!$P$4:$P$8000,'Timesheet Raw'!$L$4:$L$8000,$A157,'Timesheet Raw'!$C$4:$C$8000,D$3,'Timesheet Raw'!$B$4:$B$8000,'Work Calendar'!$A$28)+SUMIFS('Timesheet Raw'!$P$4:$P$8000,'Timesheet Raw'!$L$4:$L$8000,$A157,'Timesheet Raw'!$C$4:$C$8000,D$3,'Timesheet Raw'!$B$4:$B$8000,'Work Calendar'!$A$29))</f>
        <v>4.25</v>
      </c>
      <c r="G157" s="341">
        <f t="shared" si="9"/>
        <v>0</v>
      </c>
      <c r="H157" s="395">
        <f>IF($A157="","",SUMIFS('Timesheet Raw'!$K$4:$K$8000,'Timesheet Raw'!$L$4:$L$8000,$A157,'Timesheet Raw'!$C$4:$C$8000,D$3))</f>
        <v>0</v>
      </c>
      <c r="I157" s="345">
        <f>IF($A157="","",SUMIFS('Timesheet Raw'!$P$4:$P$8000,'Timesheet Raw'!$L$4:$L$8000,$A157,'Timesheet Raw'!$C$4:$C$8000,D$3))</f>
        <v>8.5</v>
      </c>
      <c r="J157" s="375"/>
      <c r="K157" t="str">
        <f>IF($A157="","",IF(J157&lt;&gt;"",J157,IF($A157&gt;'Work Calendar'!$B$17,"No data yet",IF(AND(F157&gt;='Work Calendar'!$B$14,D157+E157+G157&gt;0),"Day off - but worked",IF(F157&gt;='Work Calendar'!$B$14,"Day off",IF(D157+E157+G157&gt;0,IF($C157="Working","Charged","Worked weekend"),IF($C157="Working","Leave (not charged)",$C157)))))))</f>
        <v>Charged</v>
      </c>
      <c r="L157" s="341">
        <f>IF($A157="","",SUMIFS('Timesheet Raw'!$P$4:$P$8000,'Timesheet Raw'!$L$4:$L$8000,$A157,'Timesheet Raw'!$C$4:$C$8000,L$3,'Timesheet Raw'!$A$4:$A$8000,"1-Projects"))</f>
        <v>0</v>
      </c>
      <c r="M157" s="341">
        <f>IF($A157="","",SUMIFS('Timesheet Raw'!$P$4:$P$8000,'Timesheet Raw'!$L$4:$L$8000,$A157,'Timesheet Raw'!$C$4:$C$8000,L$3,'Timesheet Raw'!$A$4:$A$8000,"2-Proposals Chargeable")+SUMIFS('Timesheet Raw'!$P$4:$P$8000,'Timesheet Raw'!$L$4:$L$8000,$A157,'Timesheet Raw'!$C$4:$C$8000,L$3,'Timesheet Raw'!$A$4:$A$8000,"3-Proposals Regular"))</f>
        <v>0</v>
      </c>
      <c r="N157" s="341">
        <f>IF($A157="","",SUMIFS('Timesheet Raw'!$P$4:$P$8000,'Timesheet Raw'!$L$4:$L$8000,$A157,'Timesheet Raw'!$C$4:$C$8000,L$3,'Timesheet Raw'!$B$4:$B$8000,'Work Calendar'!$A$26)+SUMIFS('Timesheet Raw'!$P$4:$P$8000,'Timesheet Raw'!$L$4:$L$8000,$A157,'Timesheet Raw'!$C$4:$C$8000,L$3,'Timesheet Raw'!$B$4:$B$8000,'Work Calendar'!$A$27)+SUMIFS('Timesheet Raw'!$P$4:$P$8000,'Timesheet Raw'!$L$4:$L$8000,$A157,'Timesheet Raw'!$C$4:$C$8000,L$3,'Timesheet Raw'!$B$4:$B$8000,'Work Calendar'!$A$28)+SUMIFS('Timesheet Raw'!$P$4:$P$8000,'Timesheet Raw'!$L$4:$L$8000,$A157,'Timesheet Raw'!$C$4:$C$8000,L$3,'Timesheet Raw'!$B$4:$B$8000,'Work Calendar'!$A$29))</f>
        <v>8.5</v>
      </c>
      <c r="O157" s="341">
        <f t="shared" si="10"/>
        <v>0</v>
      </c>
      <c r="P157" s="395">
        <f>IF($A157="","",SUMIFS('Timesheet Raw'!$K$4:$K$8000,'Timesheet Raw'!$L$4:$L$8000,$A157,'Timesheet Raw'!$C$4:$C$8000,L$3))</f>
        <v>0</v>
      </c>
      <c r="Q157" s="345">
        <f>IF($A157="","",SUMIFS('Timesheet Raw'!$P$4:$P$8000,'Timesheet Raw'!$L$4:$L$8000,$A157,'Timesheet Raw'!$C$4:$C$8000,L$3))</f>
        <v>8.5</v>
      </c>
      <c r="R157" s="375"/>
      <c r="S157" t="str">
        <f>IF($A157="","",IF(R157&lt;&gt;"",R157,IF($A157&gt;'Work Calendar'!$B$17,"No data yet",IF(AND(N157&gt;='Work Calendar'!$B$14,L157+M157+O157&gt;0),"Day off - but worked",IF(N157&gt;='Work Calendar'!$B$14,"Day off",IF(L157+M157+O157&gt;0,IF($C157="Working","Charged","Worked weekend"),IF($C157="Working","Leave (not charged)",$C157)))))))</f>
        <v>Day off</v>
      </c>
      <c r="T157" s="341">
        <f>IF($A157="","",SUMIFS('Timesheet Raw'!$P$4:$P$8000,'Timesheet Raw'!$L$4:$L$8000,$A157,'Timesheet Raw'!$C$4:$C$8000,T$3,'Timesheet Raw'!$A$4:$A$8000,"1-Projects"))</f>
        <v>8.5</v>
      </c>
      <c r="U157" s="341">
        <f>IF($A157="","",SUMIFS('Timesheet Raw'!$P$4:$P$8000,'Timesheet Raw'!$L$4:$L$8000,$A157,'Timesheet Raw'!$C$4:$C$8000,T$3,'Timesheet Raw'!$A$4:$A$8000,"2-Proposals Chargeable")+SUMIFS('Timesheet Raw'!$P$4:$P$8000,'Timesheet Raw'!$L$4:$L$8000,$A157,'Timesheet Raw'!$C$4:$C$8000,T$3,'Timesheet Raw'!$A$4:$A$8000,"3-Proposals Regular"))</f>
        <v>0</v>
      </c>
      <c r="V157" s="341">
        <f>IF($A157="","",SUMIFS('Timesheet Raw'!$P$4:$P$8000,'Timesheet Raw'!$L$4:$L$8000,$A157,'Timesheet Raw'!$C$4:$C$8000,T$3,'Timesheet Raw'!$B$4:$B$8000,'Work Calendar'!$A$26)+SUMIFS('Timesheet Raw'!$P$4:$P$8000,'Timesheet Raw'!$L$4:$L$8000,$A157,'Timesheet Raw'!$C$4:$C$8000,T$3,'Timesheet Raw'!$B$4:$B$8000,'Work Calendar'!$A$27)+SUMIFS('Timesheet Raw'!$P$4:$P$8000,'Timesheet Raw'!$L$4:$L$8000,$A157,'Timesheet Raw'!$C$4:$C$8000,T$3,'Timesheet Raw'!$B$4:$B$8000,'Work Calendar'!$A$28)+SUMIFS('Timesheet Raw'!$P$4:$P$8000,'Timesheet Raw'!$L$4:$L$8000,$A157,'Timesheet Raw'!$C$4:$C$8000,T$3,'Timesheet Raw'!$B$4:$B$8000,'Work Calendar'!$A$29))</f>
        <v>0.5</v>
      </c>
      <c r="W157" s="341">
        <f t="shared" si="11"/>
        <v>0</v>
      </c>
      <c r="X157" s="395">
        <f>IF($A157="","",SUMIFS('Timesheet Raw'!$K$4:$K$8000,'Timesheet Raw'!$L$4:$L$8000,$A157,'Timesheet Raw'!$C$4:$C$8000,T$3))</f>
        <v>0.5</v>
      </c>
      <c r="Y157" s="345">
        <f>IF($A157="","",SUMIFS('Timesheet Raw'!$P$4:$P$8000,'Timesheet Raw'!$L$4:$L$8000,$A157,'Timesheet Raw'!$C$4:$C$8000,T$3))</f>
        <v>9</v>
      </c>
      <c r="Z157" s="375"/>
      <c r="AA157" t="str">
        <f>IF($A157="","",IF(Z157&lt;&gt;"",Z157,IF($A157&gt;'Work Calendar'!$B$17,"No data yet",IF(AND(V157&gt;='Work Calendar'!$B$14,T157+U157+W157&gt;0),"Day off - but worked",IF(V157&gt;='Work Calendar'!$B$14,"Day off",IF(T157+U157+W157&gt;0,IF($C157="Working","Charged","Worked weekend"),IF($C157="Working","Leave (not charged)",$C157)))))))</f>
        <v>Charged</v>
      </c>
    </row>
    <row r="158" spans="1:27" x14ac:dyDescent="0.3">
      <c r="A158" s="371">
        <f>IF($A157="","",IF($A157+1&gt;'Work Calendar'!$B$16,"",$A157+1))</f>
        <v>46176</v>
      </c>
      <c r="B158" t="str">
        <f t="shared" si="8"/>
        <v>Wed</v>
      </c>
      <c r="C158" t="str" cm="1">
        <f t="array" ref="C158">IF($A158="","",IF(COUNTIF('Work Calendar'!$E$6:$E$200,$A158)&gt;0,"Holiday",IF(INDEX('Work Calendar'!$C$6:$C$12,WEEKDAY($A158,1))=1,"Working","Weekend")))</f>
        <v>Working</v>
      </c>
      <c r="D158" s="341">
        <f>IF($A158="","",SUMIFS('Timesheet Raw'!$P$4:$P$8000,'Timesheet Raw'!$L$4:$L$8000,$A158,'Timesheet Raw'!$C$4:$C$8000,D$3,'Timesheet Raw'!$A$4:$A$8000,"1-Projects"))</f>
        <v>0</v>
      </c>
      <c r="E158" s="341">
        <f>IF($A158="","",SUMIFS('Timesheet Raw'!$P$4:$P$8000,'Timesheet Raw'!$L$4:$L$8000,$A158,'Timesheet Raw'!$C$4:$C$8000,D$3,'Timesheet Raw'!$A$4:$A$8000,"2-Proposals Chargeable")+SUMIFS('Timesheet Raw'!$P$4:$P$8000,'Timesheet Raw'!$L$4:$L$8000,$A158,'Timesheet Raw'!$C$4:$C$8000,D$3,'Timesheet Raw'!$A$4:$A$8000,"3-Proposals Regular"))</f>
        <v>0</v>
      </c>
      <c r="F158" s="341">
        <f>IF($A158="","",SUMIFS('Timesheet Raw'!$P$4:$P$8000,'Timesheet Raw'!$L$4:$L$8000,$A158,'Timesheet Raw'!$C$4:$C$8000,D$3,'Timesheet Raw'!$B$4:$B$8000,'Work Calendar'!$A$26)+SUMIFS('Timesheet Raw'!$P$4:$P$8000,'Timesheet Raw'!$L$4:$L$8000,$A158,'Timesheet Raw'!$C$4:$C$8000,D$3,'Timesheet Raw'!$B$4:$B$8000,'Work Calendar'!$A$27)+SUMIFS('Timesheet Raw'!$P$4:$P$8000,'Timesheet Raw'!$L$4:$L$8000,$A158,'Timesheet Raw'!$C$4:$C$8000,D$3,'Timesheet Raw'!$B$4:$B$8000,'Work Calendar'!$A$28)+SUMIFS('Timesheet Raw'!$P$4:$P$8000,'Timesheet Raw'!$L$4:$L$8000,$A158,'Timesheet Raw'!$C$4:$C$8000,D$3,'Timesheet Raw'!$B$4:$B$8000,'Work Calendar'!$A$29))</f>
        <v>8.5</v>
      </c>
      <c r="G158" s="341">
        <f t="shared" si="9"/>
        <v>0</v>
      </c>
      <c r="H158" s="395">
        <f>IF($A158="","",SUMIFS('Timesheet Raw'!$K$4:$K$8000,'Timesheet Raw'!$L$4:$L$8000,$A158,'Timesheet Raw'!$C$4:$C$8000,D$3))</f>
        <v>0</v>
      </c>
      <c r="I158" s="345">
        <f>IF($A158="","",SUMIFS('Timesheet Raw'!$P$4:$P$8000,'Timesheet Raw'!$L$4:$L$8000,$A158,'Timesheet Raw'!$C$4:$C$8000,D$3))</f>
        <v>8.5</v>
      </c>
      <c r="J158" s="375"/>
      <c r="K158" t="str">
        <f>IF($A158="","",IF(J158&lt;&gt;"",J158,IF($A158&gt;'Work Calendar'!$B$17,"No data yet",IF(AND(F158&gt;='Work Calendar'!$B$14,D158+E158+G158&gt;0),"Day off - but worked",IF(F158&gt;='Work Calendar'!$B$14,"Day off",IF(D158+E158+G158&gt;0,IF($C158="Working","Charged","Worked weekend"),IF($C158="Working","Leave (not charged)",$C158)))))))</f>
        <v>Day off</v>
      </c>
      <c r="L158" s="341">
        <f>IF($A158="","",SUMIFS('Timesheet Raw'!$P$4:$P$8000,'Timesheet Raw'!$L$4:$L$8000,$A158,'Timesheet Raw'!$C$4:$C$8000,L$3,'Timesheet Raw'!$A$4:$A$8000,"1-Projects"))</f>
        <v>0</v>
      </c>
      <c r="M158" s="341">
        <f>IF($A158="","",SUMIFS('Timesheet Raw'!$P$4:$P$8000,'Timesheet Raw'!$L$4:$L$8000,$A158,'Timesheet Raw'!$C$4:$C$8000,L$3,'Timesheet Raw'!$A$4:$A$8000,"2-Proposals Chargeable")+SUMIFS('Timesheet Raw'!$P$4:$P$8000,'Timesheet Raw'!$L$4:$L$8000,$A158,'Timesheet Raw'!$C$4:$C$8000,L$3,'Timesheet Raw'!$A$4:$A$8000,"3-Proposals Regular"))</f>
        <v>0</v>
      </c>
      <c r="N158" s="341">
        <f>IF($A158="","",SUMIFS('Timesheet Raw'!$P$4:$P$8000,'Timesheet Raw'!$L$4:$L$8000,$A158,'Timesheet Raw'!$C$4:$C$8000,L$3,'Timesheet Raw'!$B$4:$B$8000,'Work Calendar'!$A$26)+SUMIFS('Timesheet Raw'!$P$4:$P$8000,'Timesheet Raw'!$L$4:$L$8000,$A158,'Timesheet Raw'!$C$4:$C$8000,L$3,'Timesheet Raw'!$B$4:$B$8000,'Work Calendar'!$A$27)+SUMIFS('Timesheet Raw'!$P$4:$P$8000,'Timesheet Raw'!$L$4:$L$8000,$A158,'Timesheet Raw'!$C$4:$C$8000,L$3,'Timesheet Raw'!$B$4:$B$8000,'Work Calendar'!$A$28)+SUMIFS('Timesheet Raw'!$P$4:$P$8000,'Timesheet Raw'!$L$4:$L$8000,$A158,'Timesheet Raw'!$C$4:$C$8000,L$3,'Timesheet Raw'!$B$4:$B$8000,'Work Calendar'!$A$29))</f>
        <v>8.5</v>
      </c>
      <c r="O158" s="341">
        <f t="shared" si="10"/>
        <v>0</v>
      </c>
      <c r="P158" s="395">
        <f>IF($A158="","",SUMIFS('Timesheet Raw'!$K$4:$K$8000,'Timesheet Raw'!$L$4:$L$8000,$A158,'Timesheet Raw'!$C$4:$C$8000,L$3))</f>
        <v>0</v>
      </c>
      <c r="Q158" s="345">
        <f>IF($A158="","",SUMIFS('Timesheet Raw'!$P$4:$P$8000,'Timesheet Raw'!$L$4:$L$8000,$A158,'Timesheet Raw'!$C$4:$C$8000,L$3))</f>
        <v>8.5</v>
      </c>
      <c r="R158" s="375"/>
      <c r="S158" t="str">
        <f>IF($A158="","",IF(R158&lt;&gt;"",R158,IF($A158&gt;'Work Calendar'!$B$17,"No data yet",IF(AND(N158&gt;='Work Calendar'!$B$14,L158+M158+O158&gt;0),"Day off - but worked",IF(N158&gt;='Work Calendar'!$B$14,"Day off",IF(L158+M158+O158&gt;0,IF($C158="Working","Charged","Worked weekend"),IF($C158="Working","Leave (not charged)",$C158)))))))</f>
        <v>Day off</v>
      </c>
      <c r="T158" s="341">
        <f>IF($A158="","",SUMIFS('Timesheet Raw'!$P$4:$P$8000,'Timesheet Raw'!$L$4:$L$8000,$A158,'Timesheet Raw'!$C$4:$C$8000,T$3,'Timesheet Raw'!$A$4:$A$8000,"1-Projects"))</f>
        <v>6.5</v>
      </c>
      <c r="U158" s="341">
        <f>IF($A158="","",SUMIFS('Timesheet Raw'!$P$4:$P$8000,'Timesheet Raw'!$L$4:$L$8000,$A158,'Timesheet Raw'!$C$4:$C$8000,T$3,'Timesheet Raw'!$A$4:$A$8000,"2-Proposals Chargeable")+SUMIFS('Timesheet Raw'!$P$4:$P$8000,'Timesheet Raw'!$L$4:$L$8000,$A158,'Timesheet Raw'!$C$4:$C$8000,T$3,'Timesheet Raw'!$A$4:$A$8000,"3-Proposals Regular"))</f>
        <v>0</v>
      </c>
      <c r="V158" s="341">
        <f>IF($A158="","",SUMIFS('Timesheet Raw'!$P$4:$P$8000,'Timesheet Raw'!$L$4:$L$8000,$A158,'Timesheet Raw'!$C$4:$C$8000,T$3,'Timesheet Raw'!$B$4:$B$8000,'Work Calendar'!$A$26)+SUMIFS('Timesheet Raw'!$P$4:$P$8000,'Timesheet Raw'!$L$4:$L$8000,$A158,'Timesheet Raw'!$C$4:$C$8000,T$3,'Timesheet Raw'!$B$4:$B$8000,'Work Calendar'!$A$27)+SUMIFS('Timesheet Raw'!$P$4:$P$8000,'Timesheet Raw'!$L$4:$L$8000,$A158,'Timesheet Raw'!$C$4:$C$8000,T$3,'Timesheet Raw'!$B$4:$B$8000,'Work Calendar'!$A$28)+SUMIFS('Timesheet Raw'!$P$4:$P$8000,'Timesheet Raw'!$L$4:$L$8000,$A158,'Timesheet Raw'!$C$4:$C$8000,T$3,'Timesheet Raw'!$B$4:$B$8000,'Work Calendar'!$A$29))</f>
        <v>2</v>
      </c>
      <c r="W158" s="341">
        <f t="shared" si="11"/>
        <v>0</v>
      </c>
      <c r="X158" s="395">
        <f>IF($A158="","",SUMIFS('Timesheet Raw'!$K$4:$K$8000,'Timesheet Raw'!$L$4:$L$8000,$A158,'Timesheet Raw'!$C$4:$C$8000,T$3))</f>
        <v>0</v>
      </c>
      <c r="Y158" s="345">
        <f>IF($A158="","",SUMIFS('Timesheet Raw'!$P$4:$P$8000,'Timesheet Raw'!$L$4:$L$8000,$A158,'Timesheet Raw'!$C$4:$C$8000,T$3))</f>
        <v>8.5</v>
      </c>
      <c r="Z158" s="375"/>
      <c r="AA158" t="str">
        <f>IF($A158="","",IF(Z158&lt;&gt;"",Z158,IF($A158&gt;'Work Calendar'!$B$17,"No data yet",IF(AND(V158&gt;='Work Calendar'!$B$14,T158+U158+W158&gt;0),"Day off - but worked",IF(V158&gt;='Work Calendar'!$B$14,"Day off",IF(T158+U158+W158&gt;0,IF($C158="Working","Charged","Worked weekend"),IF($C158="Working","Leave (not charged)",$C158)))))))</f>
        <v>Charged</v>
      </c>
    </row>
    <row r="159" spans="1:27" x14ac:dyDescent="0.3">
      <c r="A159" s="371">
        <f>IF($A158="","",IF($A158+1&gt;'Work Calendar'!$B$16,"",$A158+1))</f>
        <v>46177</v>
      </c>
      <c r="B159" t="str">
        <f t="shared" si="8"/>
        <v>Thu</v>
      </c>
      <c r="C159" t="str" cm="1">
        <f t="array" ref="C159">IF($A159="","",IF(COUNTIF('Work Calendar'!$E$6:$E$200,$A159)&gt;0,"Holiday",IF(INDEX('Work Calendar'!$C$6:$C$12,WEEKDAY($A159,1))=1,"Working","Weekend")))</f>
        <v>Working</v>
      </c>
      <c r="D159" s="341">
        <f>IF($A159="","",SUMIFS('Timesheet Raw'!$P$4:$P$8000,'Timesheet Raw'!$L$4:$L$8000,$A159,'Timesheet Raw'!$C$4:$C$8000,D$3,'Timesheet Raw'!$A$4:$A$8000,"1-Projects"))</f>
        <v>6.25</v>
      </c>
      <c r="E159" s="341">
        <f>IF($A159="","",SUMIFS('Timesheet Raw'!$P$4:$P$8000,'Timesheet Raw'!$L$4:$L$8000,$A159,'Timesheet Raw'!$C$4:$C$8000,D$3,'Timesheet Raw'!$A$4:$A$8000,"2-Proposals Chargeable")+SUMIFS('Timesheet Raw'!$P$4:$P$8000,'Timesheet Raw'!$L$4:$L$8000,$A159,'Timesheet Raw'!$C$4:$C$8000,D$3,'Timesheet Raw'!$A$4:$A$8000,"3-Proposals Regular"))</f>
        <v>0</v>
      </c>
      <c r="F159" s="341">
        <f>IF($A159="","",SUMIFS('Timesheet Raw'!$P$4:$P$8000,'Timesheet Raw'!$L$4:$L$8000,$A159,'Timesheet Raw'!$C$4:$C$8000,D$3,'Timesheet Raw'!$B$4:$B$8000,'Work Calendar'!$A$26)+SUMIFS('Timesheet Raw'!$P$4:$P$8000,'Timesheet Raw'!$L$4:$L$8000,$A159,'Timesheet Raw'!$C$4:$C$8000,D$3,'Timesheet Raw'!$B$4:$B$8000,'Work Calendar'!$A$27)+SUMIFS('Timesheet Raw'!$P$4:$P$8000,'Timesheet Raw'!$L$4:$L$8000,$A159,'Timesheet Raw'!$C$4:$C$8000,D$3,'Timesheet Raw'!$B$4:$B$8000,'Work Calendar'!$A$28)+SUMIFS('Timesheet Raw'!$P$4:$P$8000,'Timesheet Raw'!$L$4:$L$8000,$A159,'Timesheet Raw'!$C$4:$C$8000,D$3,'Timesheet Raw'!$B$4:$B$8000,'Work Calendar'!$A$29))</f>
        <v>2.25</v>
      </c>
      <c r="G159" s="341">
        <f t="shared" si="9"/>
        <v>0</v>
      </c>
      <c r="H159" s="395">
        <f>IF($A159="","",SUMIFS('Timesheet Raw'!$K$4:$K$8000,'Timesheet Raw'!$L$4:$L$8000,$A159,'Timesheet Raw'!$C$4:$C$8000,D$3))</f>
        <v>0</v>
      </c>
      <c r="I159" s="345">
        <f>IF($A159="","",SUMIFS('Timesheet Raw'!$P$4:$P$8000,'Timesheet Raw'!$L$4:$L$8000,$A159,'Timesheet Raw'!$C$4:$C$8000,D$3))</f>
        <v>8.5</v>
      </c>
      <c r="J159" s="375"/>
      <c r="K159" t="str">
        <f>IF($A159="","",IF(J159&lt;&gt;"",J159,IF($A159&gt;'Work Calendar'!$B$17,"No data yet",IF(AND(F159&gt;='Work Calendar'!$B$14,D159+E159+G159&gt;0),"Day off - but worked",IF(F159&gt;='Work Calendar'!$B$14,"Day off",IF(D159+E159+G159&gt;0,IF($C159="Working","Charged","Worked weekend"),IF($C159="Working","Leave (not charged)",$C159)))))))</f>
        <v>Charged</v>
      </c>
      <c r="L159" s="341">
        <f>IF($A159="","",SUMIFS('Timesheet Raw'!$P$4:$P$8000,'Timesheet Raw'!$L$4:$L$8000,$A159,'Timesheet Raw'!$C$4:$C$8000,L$3,'Timesheet Raw'!$A$4:$A$8000,"1-Projects"))</f>
        <v>0</v>
      </c>
      <c r="M159" s="341">
        <f>IF($A159="","",SUMIFS('Timesheet Raw'!$P$4:$P$8000,'Timesheet Raw'!$L$4:$L$8000,$A159,'Timesheet Raw'!$C$4:$C$8000,L$3,'Timesheet Raw'!$A$4:$A$8000,"2-Proposals Chargeable")+SUMIFS('Timesheet Raw'!$P$4:$P$8000,'Timesheet Raw'!$L$4:$L$8000,$A159,'Timesheet Raw'!$C$4:$C$8000,L$3,'Timesheet Raw'!$A$4:$A$8000,"3-Proposals Regular"))</f>
        <v>0</v>
      </c>
      <c r="N159" s="341">
        <f>IF($A159="","",SUMIFS('Timesheet Raw'!$P$4:$P$8000,'Timesheet Raw'!$L$4:$L$8000,$A159,'Timesheet Raw'!$C$4:$C$8000,L$3,'Timesheet Raw'!$B$4:$B$8000,'Work Calendar'!$A$26)+SUMIFS('Timesheet Raw'!$P$4:$P$8000,'Timesheet Raw'!$L$4:$L$8000,$A159,'Timesheet Raw'!$C$4:$C$8000,L$3,'Timesheet Raw'!$B$4:$B$8000,'Work Calendar'!$A$27)+SUMIFS('Timesheet Raw'!$P$4:$P$8000,'Timesheet Raw'!$L$4:$L$8000,$A159,'Timesheet Raw'!$C$4:$C$8000,L$3,'Timesheet Raw'!$B$4:$B$8000,'Work Calendar'!$A$28)+SUMIFS('Timesheet Raw'!$P$4:$P$8000,'Timesheet Raw'!$L$4:$L$8000,$A159,'Timesheet Raw'!$C$4:$C$8000,L$3,'Timesheet Raw'!$B$4:$B$8000,'Work Calendar'!$A$29))</f>
        <v>8.5</v>
      </c>
      <c r="O159" s="341">
        <f t="shared" si="10"/>
        <v>0</v>
      </c>
      <c r="P159" s="395">
        <f>IF($A159="","",SUMIFS('Timesheet Raw'!$K$4:$K$8000,'Timesheet Raw'!$L$4:$L$8000,$A159,'Timesheet Raw'!$C$4:$C$8000,L$3))</f>
        <v>0</v>
      </c>
      <c r="Q159" s="345">
        <f>IF($A159="","",SUMIFS('Timesheet Raw'!$P$4:$P$8000,'Timesheet Raw'!$L$4:$L$8000,$A159,'Timesheet Raw'!$C$4:$C$8000,L$3))</f>
        <v>8.5</v>
      </c>
      <c r="R159" s="375"/>
      <c r="S159" t="str">
        <f>IF($A159="","",IF(R159&lt;&gt;"",R159,IF($A159&gt;'Work Calendar'!$B$17,"No data yet",IF(AND(N159&gt;='Work Calendar'!$B$14,L159+M159+O159&gt;0),"Day off - but worked",IF(N159&gt;='Work Calendar'!$B$14,"Day off",IF(L159+M159+O159&gt;0,IF($C159="Working","Charged","Worked weekend"),IF($C159="Working","Leave (not charged)",$C159)))))))</f>
        <v>Day off</v>
      </c>
      <c r="T159" s="341">
        <f>IF($A159="","",SUMIFS('Timesheet Raw'!$P$4:$P$8000,'Timesheet Raw'!$L$4:$L$8000,$A159,'Timesheet Raw'!$C$4:$C$8000,T$3,'Timesheet Raw'!$A$4:$A$8000,"1-Projects"))</f>
        <v>8.75</v>
      </c>
      <c r="U159" s="341">
        <f>IF($A159="","",SUMIFS('Timesheet Raw'!$P$4:$P$8000,'Timesheet Raw'!$L$4:$L$8000,$A159,'Timesheet Raw'!$C$4:$C$8000,T$3,'Timesheet Raw'!$A$4:$A$8000,"2-Proposals Chargeable")+SUMIFS('Timesheet Raw'!$P$4:$P$8000,'Timesheet Raw'!$L$4:$L$8000,$A159,'Timesheet Raw'!$C$4:$C$8000,T$3,'Timesheet Raw'!$A$4:$A$8000,"3-Proposals Regular"))</f>
        <v>0</v>
      </c>
      <c r="V159" s="341">
        <f>IF($A159="","",SUMIFS('Timesheet Raw'!$P$4:$P$8000,'Timesheet Raw'!$L$4:$L$8000,$A159,'Timesheet Raw'!$C$4:$C$8000,T$3,'Timesheet Raw'!$B$4:$B$8000,'Work Calendar'!$A$26)+SUMIFS('Timesheet Raw'!$P$4:$P$8000,'Timesheet Raw'!$L$4:$L$8000,$A159,'Timesheet Raw'!$C$4:$C$8000,T$3,'Timesheet Raw'!$B$4:$B$8000,'Work Calendar'!$A$27)+SUMIFS('Timesheet Raw'!$P$4:$P$8000,'Timesheet Raw'!$L$4:$L$8000,$A159,'Timesheet Raw'!$C$4:$C$8000,T$3,'Timesheet Raw'!$B$4:$B$8000,'Work Calendar'!$A$28)+SUMIFS('Timesheet Raw'!$P$4:$P$8000,'Timesheet Raw'!$L$4:$L$8000,$A159,'Timesheet Raw'!$C$4:$C$8000,T$3,'Timesheet Raw'!$B$4:$B$8000,'Work Calendar'!$A$29))</f>
        <v>0.25</v>
      </c>
      <c r="W159" s="341">
        <f t="shared" si="11"/>
        <v>0</v>
      </c>
      <c r="X159" s="395">
        <f>IF($A159="","",SUMIFS('Timesheet Raw'!$K$4:$K$8000,'Timesheet Raw'!$L$4:$L$8000,$A159,'Timesheet Raw'!$C$4:$C$8000,T$3))</f>
        <v>0.5</v>
      </c>
      <c r="Y159" s="345">
        <f>IF($A159="","",SUMIFS('Timesheet Raw'!$P$4:$P$8000,'Timesheet Raw'!$L$4:$L$8000,$A159,'Timesheet Raw'!$C$4:$C$8000,T$3))</f>
        <v>9</v>
      </c>
      <c r="Z159" s="375"/>
      <c r="AA159" t="str">
        <f>IF($A159="","",IF(Z159&lt;&gt;"",Z159,IF($A159&gt;'Work Calendar'!$B$17,"No data yet",IF(AND(V159&gt;='Work Calendar'!$B$14,T159+U159+W159&gt;0),"Day off - but worked",IF(V159&gt;='Work Calendar'!$B$14,"Day off",IF(T159+U159+W159&gt;0,IF($C159="Working","Charged","Worked weekend"),IF($C159="Working","Leave (not charged)",$C159)))))))</f>
        <v>Charged</v>
      </c>
    </row>
    <row r="160" spans="1:27" x14ac:dyDescent="0.3">
      <c r="A160" s="371">
        <f>IF($A159="","",IF($A159+1&gt;'Work Calendar'!$B$16,"",$A159+1))</f>
        <v>46178</v>
      </c>
      <c r="B160" t="str">
        <f t="shared" si="8"/>
        <v>Fri</v>
      </c>
      <c r="C160" t="str" cm="1">
        <f t="array" ref="C160">IF($A160="","",IF(COUNTIF('Work Calendar'!$E$6:$E$200,$A160)&gt;0,"Holiday",IF(INDEX('Work Calendar'!$C$6:$C$12,WEEKDAY($A160,1))=1,"Working","Weekend")))</f>
        <v>Weekend</v>
      </c>
      <c r="D160" s="341">
        <f>IF($A160="","",SUMIFS('Timesheet Raw'!$P$4:$P$8000,'Timesheet Raw'!$L$4:$L$8000,$A160,'Timesheet Raw'!$C$4:$C$8000,D$3,'Timesheet Raw'!$A$4:$A$8000,"1-Projects"))</f>
        <v>0</v>
      </c>
      <c r="E160" s="341">
        <f>IF($A160="","",SUMIFS('Timesheet Raw'!$P$4:$P$8000,'Timesheet Raw'!$L$4:$L$8000,$A160,'Timesheet Raw'!$C$4:$C$8000,D$3,'Timesheet Raw'!$A$4:$A$8000,"2-Proposals Chargeable")+SUMIFS('Timesheet Raw'!$P$4:$P$8000,'Timesheet Raw'!$L$4:$L$8000,$A160,'Timesheet Raw'!$C$4:$C$8000,D$3,'Timesheet Raw'!$A$4:$A$8000,"3-Proposals Regular"))</f>
        <v>0</v>
      </c>
      <c r="F160" s="341">
        <f>IF($A160="","",SUMIFS('Timesheet Raw'!$P$4:$P$8000,'Timesheet Raw'!$L$4:$L$8000,$A160,'Timesheet Raw'!$C$4:$C$8000,D$3,'Timesheet Raw'!$B$4:$B$8000,'Work Calendar'!$A$26)+SUMIFS('Timesheet Raw'!$P$4:$P$8000,'Timesheet Raw'!$L$4:$L$8000,$A160,'Timesheet Raw'!$C$4:$C$8000,D$3,'Timesheet Raw'!$B$4:$B$8000,'Work Calendar'!$A$27)+SUMIFS('Timesheet Raw'!$P$4:$P$8000,'Timesheet Raw'!$L$4:$L$8000,$A160,'Timesheet Raw'!$C$4:$C$8000,D$3,'Timesheet Raw'!$B$4:$B$8000,'Work Calendar'!$A$28)+SUMIFS('Timesheet Raw'!$P$4:$P$8000,'Timesheet Raw'!$L$4:$L$8000,$A160,'Timesheet Raw'!$C$4:$C$8000,D$3,'Timesheet Raw'!$B$4:$B$8000,'Work Calendar'!$A$29))</f>
        <v>0</v>
      </c>
      <c r="G160" s="341">
        <f t="shared" si="9"/>
        <v>0</v>
      </c>
      <c r="H160" s="395">
        <f>IF($A160="","",SUMIFS('Timesheet Raw'!$K$4:$K$8000,'Timesheet Raw'!$L$4:$L$8000,$A160,'Timesheet Raw'!$C$4:$C$8000,D$3))</f>
        <v>0</v>
      </c>
      <c r="I160" s="345">
        <f>IF($A160="","",SUMIFS('Timesheet Raw'!$P$4:$P$8000,'Timesheet Raw'!$L$4:$L$8000,$A160,'Timesheet Raw'!$C$4:$C$8000,D$3))</f>
        <v>0</v>
      </c>
      <c r="J160" s="375"/>
      <c r="K160" t="str">
        <f>IF($A160="","",IF(J160&lt;&gt;"",J160,IF($A160&gt;'Work Calendar'!$B$17,"No data yet",IF(AND(F160&gt;='Work Calendar'!$B$14,D160+E160+G160&gt;0),"Day off - but worked",IF(F160&gt;='Work Calendar'!$B$14,"Day off",IF(D160+E160+G160&gt;0,IF($C160="Working","Charged","Worked weekend"),IF($C160="Working","Leave (not charged)",$C160)))))))</f>
        <v>Weekend</v>
      </c>
      <c r="L160" s="341">
        <f>IF($A160="","",SUMIFS('Timesheet Raw'!$P$4:$P$8000,'Timesheet Raw'!$L$4:$L$8000,$A160,'Timesheet Raw'!$C$4:$C$8000,L$3,'Timesheet Raw'!$A$4:$A$8000,"1-Projects"))</f>
        <v>0</v>
      </c>
      <c r="M160" s="341">
        <f>IF($A160="","",SUMIFS('Timesheet Raw'!$P$4:$P$8000,'Timesheet Raw'!$L$4:$L$8000,$A160,'Timesheet Raw'!$C$4:$C$8000,L$3,'Timesheet Raw'!$A$4:$A$8000,"2-Proposals Chargeable")+SUMIFS('Timesheet Raw'!$P$4:$P$8000,'Timesheet Raw'!$L$4:$L$8000,$A160,'Timesheet Raw'!$C$4:$C$8000,L$3,'Timesheet Raw'!$A$4:$A$8000,"3-Proposals Regular"))</f>
        <v>0</v>
      </c>
      <c r="N160" s="341">
        <f>IF($A160="","",SUMIFS('Timesheet Raw'!$P$4:$P$8000,'Timesheet Raw'!$L$4:$L$8000,$A160,'Timesheet Raw'!$C$4:$C$8000,L$3,'Timesheet Raw'!$B$4:$B$8000,'Work Calendar'!$A$26)+SUMIFS('Timesheet Raw'!$P$4:$P$8000,'Timesheet Raw'!$L$4:$L$8000,$A160,'Timesheet Raw'!$C$4:$C$8000,L$3,'Timesheet Raw'!$B$4:$B$8000,'Work Calendar'!$A$27)+SUMIFS('Timesheet Raw'!$P$4:$P$8000,'Timesheet Raw'!$L$4:$L$8000,$A160,'Timesheet Raw'!$C$4:$C$8000,L$3,'Timesheet Raw'!$B$4:$B$8000,'Work Calendar'!$A$28)+SUMIFS('Timesheet Raw'!$P$4:$P$8000,'Timesheet Raw'!$L$4:$L$8000,$A160,'Timesheet Raw'!$C$4:$C$8000,L$3,'Timesheet Raw'!$B$4:$B$8000,'Work Calendar'!$A$29))</f>
        <v>0</v>
      </c>
      <c r="O160" s="341">
        <f t="shared" si="10"/>
        <v>0</v>
      </c>
      <c r="P160" s="395">
        <f>IF($A160="","",SUMIFS('Timesheet Raw'!$K$4:$K$8000,'Timesheet Raw'!$L$4:$L$8000,$A160,'Timesheet Raw'!$C$4:$C$8000,L$3))</f>
        <v>0</v>
      </c>
      <c r="Q160" s="345">
        <f>IF($A160="","",SUMIFS('Timesheet Raw'!$P$4:$P$8000,'Timesheet Raw'!$L$4:$L$8000,$A160,'Timesheet Raw'!$C$4:$C$8000,L$3))</f>
        <v>0</v>
      </c>
      <c r="R160" s="375"/>
      <c r="S160" t="str">
        <f>IF($A160="","",IF(R160&lt;&gt;"",R160,IF($A160&gt;'Work Calendar'!$B$17,"No data yet",IF(AND(N160&gt;='Work Calendar'!$B$14,L160+M160+O160&gt;0),"Day off - but worked",IF(N160&gt;='Work Calendar'!$B$14,"Day off",IF(L160+M160+O160&gt;0,IF($C160="Working","Charged","Worked weekend"),IF($C160="Working","Leave (not charged)",$C160)))))))</f>
        <v>Weekend</v>
      </c>
      <c r="T160" s="341">
        <f>IF($A160="","",SUMIFS('Timesheet Raw'!$P$4:$P$8000,'Timesheet Raw'!$L$4:$L$8000,$A160,'Timesheet Raw'!$C$4:$C$8000,T$3,'Timesheet Raw'!$A$4:$A$8000,"1-Projects"))</f>
        <v>0</v>
      </c>
      <c r="U160" s="341">
        <f>IF($A160="","",SUMIFS('Timesheet Raw'!$P$4:$P$8000,'Timesheet Raw'!$L$4:$L$8000,$A160,'Timesheet Raw'!$C$4:$C$8000,T$3,'Timesheet Raw'!$A$4:$A$8000,"2-Proposals Chargeable")+SUMIFS('Timesheet Raw'!$P$4:$P$8000,'Timesheet Raw'!$L$4:$L$8000,$A160,'Timesheet Raw'!$C$4:$C$8000,T$3,'Timesheet Raw'!$A$4:$A$8000,"3-Proposals Regular"))</f>
        <v>0</v>
      </c>
      <c r="V160" s="341">
        <f>IF($A160="","",SUMIFS('Timesheet Raw'!$P$4:$P$8000,'Timesheet Raw'!$L$4:$L$8000,$A160,'Timesheet Raw'!$C$4:$C$8000,T$3,'Timesheet Raw'!$B$4:$B$8000,'Work Calendar'!$A$26)+SUMIFS('Timesheet Raw'!$P$4:$P$8000,'Timesheet Raw'!$L$4:$L$8000,$A160,'Timesheet Raw'!$C$4:$C$8000,T$3,'Timesheet Raw'!$B$4:$B$8000,'Work Calendar'!$A$27)+SUMIFS('Timesheet Raw'!$P$4:$P$8000,'Timesheet Raw'!$L$4:$L$8000,$A160,'Timesheet Raw'!$C$4:$C$8000,T$3,'Timesheet Raw'!$B$4:$B$8000,'Work Calendar'!$A$28)+SUMIFS('Timesheet Raw'!$P$4:$P$8000,'Timesheet Raw'!$L$4:$L$8000,$A160,'Timesheet Raw'!$C$4:$C$8000,T$3,'Timesheet Raw'!$B$4:$B$8000,'Work Calendar'!$A$29))</f>
        <v>0</v>
      </c>
      <c r="W160" s="341">
        <f t="shared" si="11"/>
        <v>0</v>
      </c>
      <c r="X160" s="395">
        <f>IF($A160="","",SUMIFS('Timesheet Raw'!$K$4:$K$8000,'Timesheet Raw'!$L$4:$L$8000,$A160,'Timesheet Raw'!$C$4:$C$8000,T$3))</f>
        <v>0</v>
      </c>
      <c r="Y160" s="345">
        <f>IF($A160="","",SUMIFS('Timesheet Raw'!$P$4:$P$8000,'Timesheet Raw'!$L$4:$L$8000,$A160,'Timesheet Raw'!$C$4:$C$8000,T$3))</f>
        <v>0</v>
      </c>
      <c r="Z160" s="375"/>
      <c r="AA160" t="str">
        <f>IF($A160="","",IF(Z160&lt;&gt;"",Z160,IF($A160&gt;'Work Calendar'!$B$17,"No data yet",IF(AND(V160&gt;='Work Calendar'!$B$14,T160+U160+W160&gt;0),"Day off - but worked",IF(V160&gt;='Work Calendar'!$B$14,"Day off",IF(T160+U160+W160&gt;0,IF($C160="Working","Charged","Worked weekend"),IF($C160="Working","Leave (not charged)",$C160)))))))</f>
        <v>Weekend</v>
      </c>
    </row>
    <row r="161" spans="1:27" x14ac:dyDescent="0.3">
      <c r="A161" s="371">
        <f>IF($A160="","",IF($A160+1&gt;'Work Calendar'!$B$16,"",$A160+1))</f>
        <v>46179</v>
      </c>
      <c r="B161" t="str">
        <f t="shared" si="8"/>
        <v>Sat</v>
      </c>
      <c r="C161" t="str" cm="1">
        <f t="array" ref="C161">IF($A161="","",IF(COUNTIF('Work Calendar'!$E$6:$E$200,$A161)&gt;0,"Holiday",IF(INDEX('Work Calendar'!$C$6:$C$12,WEEKDAY($A161,1))=1,"Working","Weekend")))</f>
        <v>Weekend</v>
      </c>
      <c r="D161" s="341">
        <f>IF($A161="","",SUMIFS('Timesheet Raw'!$P$4:$P$8000,'Timesheet Raw'!$L$4:$L$8000,$A161,'Timesheet Raw'!$C$4:$C$8000,D$3,'Timesheet Raw'!$A$4:$A$8000,"1-Projects"))</f>
        <v>0</v>
      </c>
      <c r="E161" s="341">
        <f>IF($A161="","",SUMIFS('Timesheet Raw'!$P$4:$P$8000,'Timesheet Raw'!$L$4:$L$8000,$A161,'Timesheet Raw'!$C$4:$C$8000,D$3,'Timesheet Raw'!$A$4:$A$8000,"2-Proposals Chargeable")+SUMIFS('Timesheet Raw'!$P$4:$P$8000,'Timesheet Raw'!$L$4:$L$8000,$A161,'Timesheet Raw'!$C$4:$C$8000,D$3,'Timesheet Raw'!$A$4:$A$8000,"3-Proposals Regular"))</f>
        <v>0</v>
      </c>
      <c r="F161" s="341">
        <f>IF($A161="","",SUMIFS('Timesheet Raw'!$P$4:$P$8000,'Timesheet Raw'!$L$4:$L$8000,$A161,'Timesheet Raw'!$C$4:$C$8000,D$3,'Timesheet Raw'!$B$4:$B$8000,'Work Calendar'!$A$26)+SUMIFS('Timesheet Raw'!$P$4:$P$8000,'Timesheet Raw'!$L$4:$L$8000,$A161,'Timesheet Raw'!$C$4:$C$8000,D$3,'Timesheet Raw'!$B$4:$B$8000,'Work Calendar'!$A$27)+SUMIFS('Timesheet Raw'!$P$4:$P$8000,'Timesheet Raw'!$L$4:$L$8000,$A161,'Timesheet Raw'!$C$4:$C$8000,D$3,'Timesheet Raw'!$B$4:$B$8000,'Work Calendar'!$A$28)+SUMIFS('Timesheet Raw'!$P$4:$P$8000,'Timesheet Raw'!$L$4:$L$8000,$A161,'Timesheet Raw'!$C$4:$C$8000,D$3,'Timesheet Raw'!$B$4:$B$8000,'Work Calendar'!$A$29))</f>
        <v>0</v>
      </c>
      <c r="G161" s="341">
        <f t="shared" si="9"/>
        <v>0</v>
      </c>
      <c r="H161" s="395">
        <f>IF($A161="","",SUMIFS('Timesheet Raw'!$K$4:$K$8000,'Timesheet Raw'!$L$4:$L$8000,$A161,'Timesheet Raw'!$C$4:$C$8000,D$3))</f>
        <v>0</v>
      </c>
      <c r="I161" s="345">
        <f>IF($A161="","",SUMIFS('Timesheet Raw'!$P$4:$P$8000,'Timesheet Raw'!$L$4:$L$8000,$A161,'Timesheet Raw'!$C$4:$C$8000,D$3))</f>
        <v>0</v>
      </c>
      <c r="J161" s="375"/>
      <c r="K161" t="str">
        <f>IF($A161="","",IF(J161&lt;&gt;"",J161,IF($A161&gt;'Work Calendar'!$B$17,"No data yet",IF(AND(F161&gt;='Work Calendar'!$B$14,D161+E161+G161&gt;0),"Day off - but worked",IF(F161&gt;='Work Calendar'!$B$14,"Day off",IF(D161+E161+G161&gt;0,IF($C161="Working","Charged","Worked weekend"),IF($C161="Working","Leave (not charged)",$C161)))))))</f>
        <v>Weekend</v>
      </c>
      <c r="L161" s="341">
        <f>IF($A161="","",SUMIFS('Timesheet Raw'!$P$4:$P$8000,'Timesheet Raw'!$L$4:$L$8000,$A161,'Timesheet Raw'!$C$4:$C$8000,L$3,'Timesheet Raw'!$A$4:$A$8000,"1-Projects"))</f>
        <v>0</v>
      </c>
      <c r="M161" s="341">
        <f>IF($A161="","",SUMIFS('Timesheet Raw'!$P$4:$P$8000,'Timesheet Raw'!$L$4:$L$8000,$A161,'Timesheet Raw'!$C$4:$C$8000,L$3,'Timesheet Raw'!$A$4:$A$8000,"2-Proposals Chargeable")+SUMIFS('Timesheet Raw'!$P$4:$P$8000,'Timesheet Raw'!$L$4:$L$8000,$A161,'Timesheet Raw'!$C$4:$C$8000,L$3,'Timesheet Raw'!$A$4:$A$8000,"3-Proposals Regular"))</f>
        <v>0</v>
      </c>
      <c r="N161" s="341">
        <f>IF($A161="","",SUMIFS('Timesheet Raw'!$P$4:$P$8000,'Timesheet Raw'!$L$4:$L$8000,$A161,'Timesheet Raw'!$C$4:$C$8000,L$3,'Timesheet Raw'!$B$4:$B$8000,'Work Calendar'!$A$26)+SUMIFS('Timesheet Raw'!$P$4:$P$8000,'Timesheet Raw'!$L$4:$L$8000,$A161,'Timesheet Raw'!$C$4:$C$8000,L$3,'Timesheet Raw'!$B$4:$B$8000,'Work Calendar'!$A$27)+SUMIFS('Timesheet Raw'!$P$4:$P$8000,'Timesheet Raw'!$L$4:$L$8000,$A161,'Timesheet Raw'!$C$4:$C$8000,L$3,'Timesheet Raw'!$B$4:$B$8000,'Work Calendar'!$A$28)+SUMIFS('Timesheet Raw'!$P$4:$P$8000,'Timesheet Raw'!$L$4:$L$8000,$A161,'Timesheet Raw'!$C$4:$C$8000,L$3,'Timesheet Raw'!$B$4:$B$8000,'Work Calendar'!$A$29))</f>
        <v>0</v>
      </c>
      <c r="O161" s="341">
        <f t="shared" si="10"/>
        <v>0</v>
      </c>
      <c r="P161" s="395">
        <f>IF($A161="","",SUMIFS('Timesheet Raw'!$K$4:$K$8000,'Timesheet Raw'!$L$4:$L$8000,$A161,'Timesheet Raw'!$C$4:$C$8000,L$3))</f>
        <v>0</v>
      </c>
      <c r="Q161" s="345">
        <f>IF($A161="","",SUMIFS('Timesheet Raw'!$P$4:$P$8000,'Timesheet Raw'!$L$4:$L$8000,$A161,'Timesheet Raw'!$C$4:$C$8000,L$3))</f>
        <v>0</v>
      </c>
      <c r="R161" s="375"/>
      <c r="S161" t="str">
        <f>IF($A161="","",IF(R161&lt;&gt;"",R161,IF($A161&gt;'Work Calendar'!$B$17,"No data yet",IF(AND(N161&gt;='Work Calendar'!$B$14,L161+M161+O161&gt;0),"Day off - but worked",IF(N161&gt;='Work Calendar'!$B$14,"Day off",IF(L161+M161+O161&gt;0,IF($C161="Working","Charged","Worked weekend"),IF($C161="Working","Leave (not charged)",$C161)))))))</f>
        <v>Weekend</v>
      </c>
      <c r="T161" s="341">
        <f>IF($A161="","",SUMIFS('Timesheet Raw'!$P$4:$P$8000,'Timesheet Raw'!$L$4:$L$8000,$A161,'Timesheet Raw'!$C$4:$C$8000,T$3,'Timesheet Raw'!$A$4:$A$8000,"1-Projects"))</f>
        <v>0</v>
      </c>
      <c r="U161" s="341">
        <f>IF($A161="","",SUMIFS('Timesheet Raw'!$P$4:$P$8000,'Timesheet Raw'!$L$4:$L$8000,$A161,'Timesheet Raw'!$C$4:$C$8000,T$3,'Timesheet Raw'!$A$4:$A$8000,"2-Proposals Chargeable")+SUMIFS('Timesheet Raw'!$P$4:$P$8000,'Timesheet Raw'!$L$4:$L$8000,$A161,'Timesheet Raw'!$C$4:$C$8000,T$3,'Timesheet Raw'!$A$4:$A$8000,"3-Proposals Regular"))</f>
        <v>0</v>
      </c>
      <c r="V161" s="341">
        <f>IF($A161="","",SUMIFS('Timesheet Raw'!$P$4:$P$8000,'Timesheet Raw'!$L$4:$L$8000,$A161,'Timesheet Raw'!$C$4:$C$8000,T$3,'Timesheet Raw'!$B$4:$B$8000,'Work Calendar'!$A$26)+SUMIFS('Timesheet Raw'!$P$4:$P$8000,'Timesheet Raw'!$L$4:$L$8000,$A161,'Timesheet Raw'!$C$4:$C$8000,T$3,'Timesheet Raw'!$B$4:$B$8000,'Work Calendar'!$A$27)+SUMIFS('Timesheet Raw'!$P$4:$P$8000,'Timesheet Raw'!$L$4:$L$8000,$A161,'Timesheet Raw'!$C$4:$C$8000,T$3,'Timesheet Raw'!$B$4:$B$8000,'Work Calendar'!$A$28)+SUMIFS('Timesheet Raw'!$P$4:$P$8000,'Timesheet Raw'!$L$4:$L$8000,$A161,'Timesheet Raw'!$C$4:$C$8000,T$3,'Timesheet Raw'!$B$4:$B$8000,'Work Calendar'!$A$29))</f>
        <v>0</v>
      </c>
      <c r="W161" s="341">
        <f t="shared" si="11"/>
        <v>0</v>
      </c>
      <c r="X161" s="395">
        <f>IF($A161="","",SUMIFS('Timesheet Raw'!$K$4:$K$8000,'Timesheet Raw'!$L$4:$L$8000,$A161,'Timesheet Raw'!$C$4:$C$8000,T$3))</f>
        <v>0</v>
      </c>
      <c r="Y161" s="345">
        <f>IF($A161="","",SUMIFS('Timesheet Raw'!$P$4:$P$8000,'Timesheet Raw'!$L$4:$L$8000,$A161,'Timesheet Raw'!$C$4:$C$8000,T$3))</f>
        <v>0</v>
      </c>
      <c r="Z161" s="375"/>
      <c r="AA161" t="str">
        <f>IF($A161="","",IF(Z161&lt;&gt;"",Z161,IF($A161&gt;'Work Calendar'!$B$17,"No data yet",IF(AND(V161&gt;='Work Calendar'!$B$14,T161+U161+W161&gt;0),"Day off - but worked",IF(V161&gt;='Work Calendar'!$B$14,"Day off",IF(T161+U161+W161&gt;0,IF($C161="Working","Charged","Worked weekend"),IF($C161="Working","Leave (not charged)",$C161)))))))</f>
        <v>Weekend</v>
      </c>
    </row>
    <row r="162" spans="1:27" x14ac:dyDescent="0.3">
      <c r="A162" s="371">
        <f>IF($A161="","",IF($A161+1&gt;'Work Calendar'!$B$16,"",$A161+1))</f>
        <v>46180</v>
      </c>
      <c r="B162" t="str">
        <f t="shared" si="8"/>
        <v>Sun</v>
      </c>
      <c r="C162" t="str" cm="1">
        <f t="array" ref="C162">IF($A162="","",IF(COUNTIF('Work Calendar'!$E$6:$E$200,$A162)&gt;0,"Holiday",IF(INDEX('Work Calendar'!$C$6:$C$12,WEEKDAY($A162,1))=1,"Working","Weekend")))</f>
        <v>Working</v>
      </c>
      <c r="D162" s="341">
        <f>IF($A162="","",SUMIFS('Timesheet Raw'!$P$4:$P$8000,'Timesheet Raw'!$L$4:$L$8000,$A162,'Timesheet Raw'!$C$4:$C$8000,D$3,'Timesheet Raw'!$A$4:$A$8000,"1-Projects"))</f>
        <v>7.25</v>
      </c>
      <c r="E162" s="341">
        <f>IF($A162="","",SUMIFS('Timesheet Raw'!$P$4:$P$8000,'Timesheet Raw'!$L$4:$L$8000,$A162,'Timesheet Raw'!$C$4:$C$8000,D$3,'Timesheet Raw'!$A$4:$A$8000,"2-Proposals Chargeable")+SUMIFS('Timesheet Raw'!$P$4:$P$8000,'Timesheet Raw'!$L$4:$L$8000,$A162,'Timesheet Raw'!$C$4:$C$8000,D$3,'Timesheet Raw'!$A$4:$A$8000,"3-Proposals Regular"))</f>
        <v>0</v>
      </c>
      <c r="F162" s="341">
        <f>IF($A162="","",SUMIFS('Timesheet Raw'!$P$4:$P$8000,'Timesheet Raw'!$L$4:$L$8000,$A162,'Timesheet Raw'!$C$4:$C$8000,D$3,'Timesheet Raw'!$B$4:$B$8000,'Work Calendar'!$A$26)+SUMIFS('Timesheet Raw'!$P$4:$P$8000,'Timesheet Raw'!$L$4:$L$8000,$A162,'Timesheet Raw'!$C$4:$C$8000,D$3,'Timesheet Raw'!$B$4:$B$8000,'Work Calendar'!$A$27)+SUMIFS('Timesheet Raw'!$P$4:$P$8000,'Timesheet Raw'!$L$4:$L$8000,$A162,'Timesheet Raw'!$C$4:$C$8000,D$3,'Timesheet Raw'!$B$4:$B$8000,'Work Calendar'!$A$28)+SUMIFS('Timesheet Raw'!$P$4:$P$8000,'Timesheet Raw'!$L$4:$L$8000,$A162,'Timesheet Raw'!$C$4:$C$8000,D$3,'Timesheet Raw'!$B$4:$B$8000,'Work Calendar'!$A$29))</f>
        <v>2</v>
      </c>
      <c r="G162" s="341">
        <f t="shared" si="9"/>
        <v>0</v>
      </c>
      <c r="H162" s="395">
        <f>IF($A162="","",SUMIFS('Timesheet Raw'!$K$4:$K$8000,'Timesheet Raw'!$L$4:$L$8000,$A162,'Timesheet Raw'!$C$4:$C$8000,D$3))</f>
        <v>0.75</v>
      </c>
      <c r="I162" s="345">
        <f>IF($A162="","",SUMIFS('Timesheet Raw'!$P$4:$P$8000,'Timesheet Raw'!$L$4:$L$8000,$A162,'Timesheet Raw'!$C$4:$C$8000,D$3))</f>
        <v>9.25</v>
      </c>
      <c r="J162" s="375"/>
      <c r="K162" t="str">
        <f>IF($A162="","",IF(J162&lt;&gt;"",J162,IF($A162&gt;'Work Calendar'!$B$17,"No data yet",IF(AND(F162&gt;='Work Calendar'!$B$14,D162+E162+G162&gt;0),"Day off - but worked",IF(F162&gt;='Work Calendar'!$B$14,"Day off",IF(D162+E162+G162&gt;0,IF($C162="Working","Charged","Worked weekend"),IF($C162="Working","Leave (not charged)",$C162)))))))</f>
        <v>Charged</v>
      </c>
      <c r="L162" s="341">
        <f>IF($A162="","",SUMIFS('Timesheet Raw'!$P$4:$P$8000,'Timesheet Raw'!$L$4:$L$8000,$A162,'Timesheet Raw'!$C$4:$C$8000,L$3,'Timesheet Raw'!$A$4:$A$8000,"1-Projects"))</f>
        <v>0</v>
      </c>
      <c r="M162" s="341">
        <f>IF($A162="","",SUMIFS('Timesheet Raw'!$P$4:$P$8000,'Timesheet Raw'!$L$4:$L$8000,$A162,'Timesheet Raw'!$C$4:$C$8000,L$3,'Timesheet Raw'!$A$4:$A$8000,"2-Proposals Chargeable")+SUMIFS('Timesheet Raw'!$P$4:$P$8000,'Timesheet Raw'!$L$4:$L$8000,$A162,'Timesheet Raw'!$C$4:$C$8000,L$3,'Timesheet Raw'!$A$4:$A$8000,"3-Proposals Regular"))</f>
        <v>0</v>
      </c>
      <c r="N162" s="341">
        <f>IF($A162="","",SUMIFS('Timesheet Raw'!$P$4:$P$8000,'Timesheet Raw'!$L$4:$L$8000,$A162,'Timesheet Raw'!$C$4:$C$8000,L$3,'Timesheet Raw'!$B$4:$B$8000,'Work Calendar'!$A$26)+SUMIFS('Timesheet Raw'!$P$4:$P$8000,'Timesheet Raw'!$L$4:$L$8000,$A162,'Timesheet Raw'!$C$4:$C$8000,L$3,'Timesheet Raw'!$B$4:$B$8000,'Work Calendar'!$A$27)+SUMIFS('Timesheet Raw'!$P$4:$P$8000,'Timesheet Raw'!$L$4:$L$8000,$A162,'Timesheet Raw'!$C$4:$C$8000,L$3,'Timesheet Raw'!$B$4:$B$8000,'Work Calendar'!$A$28)+SUMIFS('Timesheet Raw'!$P$4:$P$8000,'Timesheet Raw'!$L$4:$L$8000,$A162,'Timesheet Raw'!$C$4:$C$8000,L$3,'Timesheet Raw'!$B$4:$B$8000,'Work Calendar'!$A$29))</f>
        <v>8.5</v>
      </c>
      <c r="O162" s="341">
        <f t="shared" si="10"/>
        <v>0</v>
      </c>
      <c r="P162" s="395">
        <f>IF($A162="","",SUMIFS('Timesheet Raw'!$K$4:$K$8000,'Timesheet Raw'!$L$4:$L$8000,$A162,'Timesheet Raw'!$C$4:$C$8000,L$3))</f>
        <v>0</v>
      </c>
      <c r="Q162" s="345">
        <f>IF($A162="","",SUMIFS('Timesheet Raw'!$P$4:$P$8000,'Timesheet Raw'!$L$4:$L$8000,$A162,'Timesheet Raw'!$C$4:$C$8000,L$3))</f>
        <v>8.5</v>
      </c>
      <c r="R162" s="375"/>
      <c r="S162" t="str">
        <f>IF($A162="","",IF(R162&lt;&gt;"",R162,IF($A162&gt;'Work Calendar'!$B$17,"No data yet",IF(AND(N162&gt;='Work Calendar'!$B$14,L162+M162+O162&gt;0),"Day off - but worked",IF(N162&gt;='Work Calendar'!$B$14,"Day off",IF(L162+M162+O162&gt;0,IF($C162="Working","Charged","Worked weekend"),IF($C162="Working","Leave (not charged)",$C162)))))))</f>
        <v>Day off</v>
      </c>
      <c r="T162" s="341">
        <f>IF($A162="","",SUMIFS('Timesheet Raw'!$P$4:$P$8000,'Timesheet Raw'!$L$4:$L$8000,$A162,'Timesheet Raw'!$C$4:$C$8000,T$3,'Timesheet Raw'!$A$4:$A$8000,"1-Projects"))</f>
        <v>8.75</v>
      </c>
      <c r="U162" s="341">
        <f>IF($A162="","",SUMIFS('Timesheet Raw'!$P$4:$P$8000,'Timesheet Raw'!$L$4:$L$8000,$A162,'Timesheet Raw'!$C$4:$C$8000,T$3,'Timesheet Raw'!$A$4:$A$8000,"2-Proposals Chargeable")+SUMIFS('Timesheet Raw'!$P$4:$P$8000,'Timesheet Raw'!$L$4:$L$8000,$A162,'Timesheet Raw'!$C$4:$C$8000,T$3,'Timesheet Raw'!$A$4:$A$8000,"3-Proposals Regular"))</f>
        <v>0</v>
      </c>
      <c r="V162" s="341">
        <f>IF($A162="","",SUMIFS('Timesheet Raw'!$P$4:$P$8000,'Timesheet Raw'!$L$4:$L$8000,$A162,'Timesheet Raw'!$C$4:$C$8000,T$3,'Timesheet Raw'!$B$4:$B$8000,'Work Calendar'!$A$26)+SUMIFS('Timesheet Raw'!$P$4:$P$8000,'Timesheet Raw'!$L$4:$L$8000,$A162,'Timesheet Raw'!$C$4:$C$8000,T$3,'Timesheet Raw'!$B$4:$B$8000,'Work Calendar'!$A$27)+SUMIFS('Timesheet Raw'!$P$4:$P$8000,'Timesheet Raw'!$L$4:$L$8000,$A162,'Timesheet Raw'!$C$4:$C$8000,T$3,'Timesheet Raw'!$B$4:$B$8000,'Work Calendar'!$A$28)+SUMIFS('Timesheet Raw'!$P$4:$P$8000,'Timesheet Raw'!$L$4:$L$8000,$A162,'Timesheet Raw'!$C$4:$C$8000,T$3,'Timesheet Raw'!$B$4:$B$8000,'Work Calendar'!$A$29))</f>
        <v>0.75</v>
      </c>
      <c r="W162" s="341">
        <f t="shared" si="11"/>
        <v>0</v>
      </c>
      <c r="X162" s="395">
        <f>IF($A162="","",SUMIFS('Timesheet Raw'!$K$4:$K$8000,'Timesheet Raw'!$L$4:$L$8000,$A162,'Timesheet Raw'!$C$4:$C$8000,T$3))</f>
        <v>1</v>
      </c>
      <c r="Y162" s="345">
        <f>IF($A162="","",SUMIFS('Timesheet Raw'!$P$4:$P$8000,'Timesheet Raw'!$L$4:$L$8000,$A162,'Timesheet Raw'!$C$4:$C$8000,T$3))</f>
        <v>9.5</v>
      </c>
      <c r="Z162" s="375"/>
      <c r="AA162" t="str">
        <f>IF($A162="","",IF(Z162&lt;&gt;"",Z162,IF($A162&gt;'Work Calendar'!$B$17,"No data yet",IF(AND(V162&gt;='Work Calendar'!$B$14,T162+U162+W162&gt;0),"Day off - but worked",IF(V162&gt;='Work Calendar'!$B$14,"Day off",IF(T162+U162+W162&gt;0,IF($C162="Working","Charged","Worked weekend"),IF($C162="Working","Leave (not charged)",$C162)))))))</f>
        <v>Charged</v>
      </c>
    </row>
    <row r="163" spans="1:27" x14ac:dyDescent="0.3">
      <c r="A163" s="371">
        <f>IF($A162="","",IF($A162+1&gt;'Work Calendar'!$B$16,"",$A162+1))</f>
        <v>46181</v>
      </c>
      <c r="B163" t="str">
        <f t="shared" si="8"/>
        <v>Mon</v>
      </c>
      <c r="C163" t="str" cm="1">
        <f t="array" ref="C163">IF($A163="","",IF(COUNTIF('Work Calendar'!$E$6:$E$200,$A163)&gt;0,"Holiday",IF(INDEX('Work Calendar'!$C$6:$C$12,WEEKDAY($A163,1))=1,"Working","Weekend")))</f>
        <v>Working</v>
      </c>
      <c r="D163" s="341">
        <f>IF($A163="","",SUMIFS('Timesheet Raw'!$P$4:$P$8000,'Timesheet Raw'!$L$4:$L$8000,$A163,'Timesheet Raw'!$C$4:$C$8000,D$3,'Timesheet Raw'!$A$4:$A$8000,"1-Projects"))</f>
        <v>7.75</v>
      </c>
      <c r="E163" s="341">
        <f>IF($A163="","",SUMIFS('Timesheet Raw'!$P$4:$P$8000,'Timesheet Raw'!$L$4:$L$8000,$A163,'Timesheet Raw'!$C$4:$C$8000,D$3,'Timesheet Raw'!$A$4:$A$8000,"2-Proposals Chargeable")+SUMIFS('Timesheet Raw'!$P$4:$P$8000,'Timesheet Raw'!$L$4:$L$8000,$A163,'Timesheet Raw'!$C$4:$C$8000,D$3,'Timesheet Raw'!$A$4:$A$8000,"3-Proposals Regular"))</f>
        <v>0</v>
      </c>
      <c r="F163" s="341">
        <f>IF($A163="","",SUMIFS('Timesheet Raw'!$P$4:$P$8000,'Timesheet Raw'!$L$4:$L$8000,$A163,'Timesheet Raw'!$C$4:$C$8000,D$3,'Timesheet Raw'!$B$4:$B$8000,'Work Calendar'!$A$26)+SUMIFS('Timesheet Raw'!$P$4:$P$8000,'Timesheet Raw'!$L$4:$L$8000,$A163,'Timesheet Raw'!$C$4:$C$8000,D$3,'Timesheet Raw'!$B$4:$B$8000,'Work Calendar'!$A$27)+SUMIFS('Timesheet Raw'!$P$4:$P$8000,'Timesheet Raw'!$L$4:$L$8000,$A163,'Timesheet Raw'!$C$4:$C$8000,D$3,'Timesheet Raw'!$B$4:$B$8000,'Work Calendar'!$A$28)+SUMIFS('Timesheet Raw'!$P$4:$P$8000,'Timesheet Raw'!$L$4:$L$8000,$A163,'Timesheet Raw'!$C$4:$C$8000,D$3,'Timesheet Raw'!$B$4:$B$8000,'Work Calendar'!$A$29))</f>
        <v>1.5</v>
      </c>
      <c r="G163" s="341">
        <f t="shared" si="9"/>
        <v>0</v>
      </c>
      <c r="H163" s="395">
        <f>IF($A163="","",SUMIFS('Timesheet Raw'!$K$4:$K$8000,'Timesheet Raw'!$L$4:$L$8000,$A163,'Timesheet Raw'!$C$4:$C$8000,D$3))</f>
        <v>0.75</v>
      </c>
      <c r="I163" s="345">
        <f>IF($A163="","",SUMIFS('Timesheet Raw'!$P$4:$P$8000,'Timesheet Raw'!$L$4:$L$8000,$A163,'Timesheet Raw'!$C$4:$C$8000,D$3))</f>
        <v>9.25</v>
      </c>
      <c r="J163" s="375"/>
      <c r="K163" t="str">
        <f>IF($A163="","",IF(J163&lt;&gt;"",J163,IF($A163&gt;'Work Calendar'!$B$17,"No data yet",IF(AND(F163&gt;='Work Calendar'!$B$14,D163+E163+G163&gt;0),"Day off - but worked",IF(F163&gt;='Work Calendar'!$B$14,"Day off",IF(D163+E163+G163&gt;0,IF($C163="Working","Charged","Worked weekend"),IF($C163="Working","Leave (not charged)",$C163)))))))</f>
        <v>Charged</v>
      </c>
      <c r="L163" s="341">
        <f>IF($A163="","",SUMIFS('Timesheet Raw'!$P$4:$P$8000,'Timesheet Raw'!$L$4:$L$8000,$A163,'Timesheet Raw'!$C$4:$C$8000,L$3,'Timesheet Raw'!$A$4:$A$8000,"1-Projects"))</f>
        <v>0</v>
      </c>
      <c r="M163" s="341">
        <f>IF($A163="","",SUMIFS('Timesheet Raw'!$P$4:$P$8000,'Timesheet Raw'!$L$4:$L$8000,$A163,'Timesheet Raw'!$C$4:$C$8000,L$3,'Timesheet Raw'!$A$4:$A$8000,"2-Proposals Chargeable")+SUMIFS('Timesheet Raw'!$P$4:$P$8000,'Timesheet Raw'!$L$4:$L$8000,$A163,'Timesheet Raw'!$C$4:$C$8000,L$3,'Timesheet Raw'!$A$4:$A$8000,"3-Proposals Regular"))</f>
        <v>0</v>
      </c>
      <c r="N163" s="341">
        <f>IF($A163="","",SUMIFS('Timesheet Raw'!$P$4:$P$8000,'Timesheet Raw'!$L$4:$L$8000,$A163,'Timesheet Raw'!$C$4:$C$8000,L$3,'Timesheet Raw'!$B$4:$B$8000,'Work Calendar'!$A$26)+SUMIFS('Timesheet Raw'!$P$4:$P$8000,'Timesheet Raw'!$L$4:$L$8000,$A163,'Timesheet Raw'!$C$4:$C$8000,L$3,'Timesheet Raw'!$B$4:$B$8000,'Work Calendar'!$A$27)+SUMIFS('Timesheet Raw'!$P$4:$P$8000,'Timesheet Raw'!$L$4:$L$8000,$A163,'Timesheet Raw'!$C$4:$C$8000,L$3,'Timesheet Raw'!$B$4:$B$8000,'Work Calendar'!$A$28)+SUMIFS('Timesheet Raw'!$P$4:$P$8000,'Timesheet Raw'!$L$4:$L$8000,$A163,'Timesheet Raw'!$C$4:$C$8000,L$3,'Timesheet Raw'!$B$4:$B$8000,'Work Calendar'!$A$29))</f>
        <v>8.5</v>
      </c>
      <c r="O163" s="341">
        <f t="shared" si="10"/>
        <v>0</v>
      </c>
      <c r="P163" s="395">
        <f>IF($A163="","",SUMIFS('Timesheet Raw'!$K$4:$K$8000,'Timesheet Raw'!$L$4:$L$8000,$A163,'Timesheet Raw'!$C$4:$C$8000,L$3))</f>
        <v>0</v>
      </c>
      <c r="Q163" s="345">
        <f>IF($A163="","",SUMIFS('Timesheet Raw'!$P$4:$P$8000,'Timesheet Raw'!$L$4:$L$8000,$A163,'Timesheet Raw'!$C$4:$C$8000,L$3))</f>
        <v>8.5</v>
      </c>
      <c r="R163" s="375"/>
      <c r="S163" t="str">
        <f>IF($A163="","",IF(R163&lt;&gt;"",R163,IF($A163&gt;'Work Calendar'!$B$17,"No data yet",IF(AND(N163&gt;='Work Calendar'!$B$14,L163+M163+O163&gt;0),"Day off - but worked",IF(N163&gt;='Work Calendar'!$B$14,"Day off",IF(L163+M163+O163&gt;0,IF($C163="Working","Charged","Worked weekend"),IF($C163="Working","Leave (not charged)",$C163)))))))</f>
        <v>Day off</v>
      </c>
      <c r="T163" s="341">
        <f>IF($A163="","",SUMIFS('Timesheet Raw'!$P$4:$P$8000,'Timesheet Raw'!$L$4:$L$8000,$A163,'Timesheet Raw'!$C$4:$C$8000,T$3,'Timesheet Raw'!$A$4:$A$8000,"1-Projects"))</f>
        <v>7.25</v>
      </c>
      <c r="U163" s="341">
        <f>IF($A163="","",SUMIFS('Timesheet Raw'!$P$4:$P$8000,'Timesheet Raw'!$L$4:$L$8000,$A163,'Timesheet Raw'!$C$4:$C$8000,T$3,'Timesheet Raw'!$A$4:$A$8000,"2-Proposals Chargeable")+SUMIFS('Timesheet Raw'!$P$4:$P$8000,'Timesheet Raw'!$L$4:$L$8000,$A163,'Timesheet Raw'!$C$4:$C$8000,T$3,'Timesheet Raw'!$A$4:$A$8000,"3-Proposals Regular"))</f>
        <v>0</v>
      </c>
      <c r="V163" s="341">
        <f>IF($A163="","",SUMIFS('Timesheet Raw'!$P$4:$P$8000,'Timesheet Raw'!$L$4:$L$8000,$A163,'Timesheet Raw'!$C$4:$C$8000,T$3,'Timesheet Raw'!$B$4:$B$8000,'Work Calendar'!$A$26)+SUMIFS('Timesheet Raw'!$P$4:$P$8000,'Timesheet Raw'!$L$4:$L$8000,$A163,'Timesheet Raw'!$C$4:$C$8000,T$3,'Timesheet Raw'!$B$4:$B$8000,'Work Calendar'!$A$27)+SUMIFS('Timesheet Raw'!$P$4:$P$8000,'Timesheet Raw'!$L$4:$L$8000,$A163,'Timesheet Raw'!$C$4:$C$8000,T$3,'Timesheet Raw'!$B$4:$B$8000,'Work Calendar'!$A$28)+SUMIFS('Timesheet Raw'!$P$4:$P$8000,'Timesheet Raw'!$L$4:$L$8000,$A163,'Timesheet Raw'!$C$4:$C$8000,T$3,'Timesheet Raw'!$B$4:$B$8000,'Work Calendar'!$A$29))</f>
        <v>1.25</v>
      </c>
      <c r="W163" s="341">
        <f t="shared" si="11"/>
        <v>0</v>
      </c>
      <c r="X163" s="395">
        <f>IF($A163="","",SUMIFS('Timesheet Raw'!$K$4:$K$8000,'Timesheet Raw'!$L$4:$L$8000,$A163,'Timesheet Raw'!$C$4:$C$8000,T$3))</f>
        <v>0</v>
      </c>
      <c r="Y163" s="345">
        <f>IF($A163="","",SUMIFS('Timesheet Raw'!$P$4:$P$8000,'Timesheet Raw'!$L$4:$L$8000,$A163,'Timesheet Raw'!$C$4:$C$8000,T$3))</f>
        <v>8.5</v>
      </c>
      <c r="Z163" s="375"/>
      <c r="AA163" t="str">
        <f>IF($A163="","",IF(Z163&lt;&gt;"",Z163,IF($A163&gt;'Work Calendar'!$B$17,"No data yet",IF(AND(V163&gt;='Work Calendar'!$B$14,T163+U163+W163&gt;0),"Day off - but worked",IF(V163&gt;='Work Calendar'!$B$14,"Day off",IF(T163+U163+W163&gt;0,IF($C163="Working","Charged","Worked weekend"),IF($C163="Working","Leave (not charged)",$C163)))))))</f>
        <v>Charged</v>
      </c>
    </row>
    <row r="164" spans="1:27" x14ac:dyDescent="0.3">
      <c r="A164" s="371">
        <f>IF($A163="","",IF($A163+1&gt;'Work Calendar'!$B$16,"",$A163+1))</f>
        <v>46182</v>
      </c>
      <c r="B164" t="str">
        <f t="shared" si="8"/>
        <v>Tue</v>
      </c>
      <c r="C164" t="str" cm="1">
        <f t="array" ref="C164">IF($A164="","",IF(COUNTIF('Work Calendar'!$E$6:$E$200,$A164)&gt;0,"Holiday",IF(INDEX('Work Calendar'!$C$6:$C$12,WEEKDAY($A164,1))=1,"Working","Weekend")))</f>
        <v>Working</v>
      </c>
      <c r="D164" s="341">
        <f>IF($A164="","",SUMIFS('Timesheet Raw'!$P$4:$P$8000,'Timesheet Raw'!$L$4:$L$8000,$A164,'Timesheet Raw'!$C$4:$C$8000,D$3,'Timesheet Raw'!$A$4:$A$8000,"1-Projects"))</f>
        <v>9.25</v>
      </c>
      <c r="E164" s="341">
        <f>IF($A164="","",SUMIFS('Timesheet Raw'!$P$4:$P$8000,'Timesheet Raw'!$L$4:$L$8000,$A164,'Timesheet Raw'!$C$4:$C$8000,D$3,'Timesheet Raw'!$A$4:$A$8000,"2-Proposals Chargeable")+SUMIFS('Timesheet Raw'!$P$4:$P$8000,'Timesheet Raw'!$L$4:$L$8000,$A164,'Timesheet Raw'!$C$4:$C$8000,D$3,'Timesheet Raw'!$A$4:$A$8000,"3-Proposals Regular"))</f>
        <v>0</v>
      </c>
      <c r="F164" s="341">
        <f>IF($A164="","",SUMIFS('Timesheet Raw'!$P$4:$P$8000,'Timesheet Raw'!$L$4:$L$8000,$A164,'Timesheet Raw'!$C$4:$C$8000,D$3,'Timesheet Raw'!$B$4:$B$8000,'Work Calendar'!$A$26)+SUMIFS('Timesheet Raw'!$P$4:$P$8000,'Timesheet Raw'!$L$4:$L$8000,$A164,'Timesheet Raw'!$C$4:$C$8000,D$3,'Timesheet Raw'!$B$4:$B$8000,'Work Calendar'!$A$27)+SUMIFS('Timesheet Raw'!$P$4:$P$8000,'Timesheet Raw'!$L$4:$L$8000,$A164,'Timesheet Raw'!$C$4:$C$8000,D$3,'Timesheet Raw'!$B$4:$B$8000,'Work Calendar'!$A$28)+SUMIFS('Timesheet Raw'!$P$4:$P$8000,'Timesheet Raw'!$L$4:$L$8000,$A164,'Timesheet Raw'!$C$4:$C$8000,D$3,'Timesheet Raw'!$B$4:$B$8000,'Work Calendar'!$A$29))</f>
        <v>1.75</v>
      </c>
      <c r="G164" s="341">
        <f t="shared" si="9"/>
        <v>0</v>
      </c>
      <c r="H164" s="395">
        <f>IF($A164="","",SUMIFS('Timesheet Raw'!$K$4:$K$8000,'Timesheet Raw'!$L$4:$L$8000,$A164,'Timesheet Raw'!$C$4:$C$8000,D$3))</f>
        <v>2.5</v>
      </c>
      <c r="I164" s="345">
        <f>IF($A164="","",SUMIFS('Timesheet Raw'!$P$4:$P$8000,'Timesheet Raw'!$L$4:$L$8000,$A164,'Timesheet Raw'!$C$4:$C$8000,D$3))</f>
        <v>11</v>
      </c>
      <c r="J164" s="375"/>
      <c r="K164" t="str">
        <f>IF($A164="","",IF(J164&lt;&gt;"",J164,IF($A164&gt;'Work Calendar'!$B$17,"No data yet",IF(AND(F164&gt;='Work Calendar'!$B$14,D164+E164+G164&gt;0),"Day off - but worked",IF(F164&gt;='Work Calendar'!$B$14,"Day off",IF(D164+E164+G164&gt;0,IF($C164="Working","Charged","Worked weekend"),IF($C164="Working","Leave (not charged)",$C164)))))))</f>
        <v>Charged</v>
      </c>
      <c r="L164" s="341">
        <f>IF($A164="","",SUMIFS('Timesheet Raw'!$P$4:$P$8000,'Timesheet Raw'!$L$4:$L$8000,$A164,'Timesheet Raw'!$C$4:$C$8000,L$3,'Timesheet Raw'!$A$4:$A$8000,"1-Projects"))</f>
        <v>0</v>
      </c>
      <c r="M164" s="341">
        <f>IF($A164="","",SUMIFS('Timesheet Raw'!$P$4:$P$8000,'Timesheet Raw'!$L$4:$L$8000,$A164,'Timesheet Raw'!$C$4:$C$8000,L$3,'Timesheet Raw'!$A$4:$A$8000,"2-Proposals Chargeable")+SUMIFS('Timesheet Raw'!$P$4:$P$8000,'Timesheet Raw'!$L$4:$L$8000,$A164,'Timesheet Raw'!$C$4:$C$8000,L$3,'Timesheet Raw'!$A$4:$A$8000,"3-Proposals Regular"))</f>
        <v>0</v>
      </c>
      <c r="N164" s="341">
        <f>IF($A164="","",SUMIFS('Timesheet Raw'!$P$4:$P$8000,'Timesheet Raw'!$L$4:$L$8000,$A164,'Timesheet Raw'!$C$4:$C$8000,L$3,'Timesheet Raw'!$B$4:$B$8000,'Work Calendar'!$A$26)+SUMIFS('Timesheet Raw'!$P$4:$P$8000,'Timesheet Raw'!$L$4:$L$8000,$A164,'Timesheet Raw'!$C$4:$C$8000,L$3,'Timesheet Raw'!$B$4:$B$8000,'Work Calendar'!$A$27)+SUMIFS('Timesheet Raw'!$P$4:$P$8000,'Timesheet Raw'!$L$4:$L$8000,$A164,'Timesheet Raw'!$C$4:$C$8000,L$3,'Timesheet Raw'!$B$4:$B$8000,'Work Calendar'!$A$28)+SUMIFS('Timesheet Raw'!$P$4:$P$8000,'Timesheet Raw'!$L$4:$L$8000,$A164,'Timesheet Raw'!$C$4:$C$8000,L$3,'Timesheet Raw'!$B$4:$B$8000,'Work Calendar'!$A$29))</f>
        <v>8.5</v>
      </c>
      <c r="O164" s="341">
        <f t="shared" si="10"/>
        <v>0</v>
      </c>
      <c r="P164" s="395">
        <f>IF($A164="","",SUMIFS('Timesheet Raw'!$K$4:$K$8000,'Timesheet Raw'!$L$4:$L$8000,$A164,'Timesheet Raw'!$C$4:$C$8000,L$3))</f>
        <v>0</v>
      </c>
      <c r="Q164" s="345">
        <f>IF($A164="","",SUMIFS('Timesheet Raw'!$P$4:$P$8000,'Timesheet Raw'!$L$4:$L$8000,$A164,'Timesheet Raw'!$C$4:$C$8000,L$3))</f>
        <v>8.5</v>
      </c>
      <c r="R164" s="375"/>
      <c r="S164" t="str">
        <f>IF($A164="","",IF(R164&lt;&gt;"",R164,IF($A164&gt;'Work Calendar'!$B$17,"No data yet",IF(AND(N164&gt;='Work Calendar'!$B$14,L164+M164+O164&gt;0),"Day off - but worked",IF(N164&gt;='Work Calendar'!$B$14,"Day off",IF(L164+M164+O164&gt;0,IF($C164="Working","Charged","Worked weekend"),IF($C164="Working","Leave (not charged)",$C164)))))))</f>
        <v>Day off</v>
      </c>
      <c r="T164" s="341">
        <f>IF($A164="","",SUMIFS('Timesheet Raw'!$P$4:$P$8000,'Timesheet Raw'!$L$4:$L$8000,$A164,'Timesheet Raw'!$C$4:$C$8000,T$3,'Timesheet Raw'!$A$4:$A$8000,"1-Projects"))</f>
        <v>7.5</v>
      </c>
      <c r="U164" s="341">
        <f>IF($A164="","",SUMIFS('Timesheet Raw'!$P$4:$P$8000,'Timesheet Raw'!$L$4:$L$8000,$A164,'Timesheet Raw'!$C$4:$C$8000,T$3,'Timesheet Raw'!$A$4:$A$8000,"2-Proposals Chargeable")+SUMIFS('Timesheet Raw'!$P$4:$P$8000,'Timesheet Raw'!$L$4:$L$8000,$A164,'Timesheet Raw'!$C$4:$C$8000,T$3,'Timesheet Raw'!$A$4:$A$8000,"3-Proposals Regular"))</f>
        <v>0</v>
      </c>
      <c r="V164" s="341">
        <f>IF($A164="","",SUMIFS('Timesheet Raw'!$P$4:$P$8000,'Timesheet Raw'!$L$4:$L$8000,$A164,'Timesheet Raw'!$C$4:$C$8000,T$3,'Timesheet Raw'!$B$4:$B$8000,'Work Calendar'!$A$26)+SUMIFS('Timesheet Raw'!$P$4:$P$8000,'Timesheet Raw'!$L$4:$L$8000,$A164,'Timesheet Raw'!$C$4:$C$8000,T$3,'Timesheet Raw'!$B$4:$B$8000,'Work Calendar'!$A$27)+SUMIFS('Timesheet Raw'!$P$4:$P$8000,'Timesheet Raw'!$L$4:$L$8000,$A164,'Timesheet Raw'!$C$4:$C$8000,T$3,'Timesheet Raw'!$B$4:$B$8000,'Work Calendar'!$A$28)+SUMIFS('Timesheet Raw'!$P$4:$P$8000,'Timesheet Raw'!$L$4:$L$8000,$A164,'Timesheet Raw'!$C$4:$C$8000,T$3,'Timesheet Raw'!$B$4:$B$8000,'Work Calendar'!$A$29))</f>
        <v>1</v>
      </c>
      <c r="W164" s="341">
        <f t="shared" si="11"/>
        <v>0</v>
      </c>
      <c r="X164" s="395">
        <f>IF($A164="","",SUMIFS('Timesheet Raw'!$K$4:$K$8000,'Timesheet Raw'!$L$4:$L$8000,$A164,'Timesheet Raw'!$C$4:$C$8000,T$3))</f>
        <v>0</v>
      </c>
      <c r="Y164" s="345">
        <f>IF($A164="","",SUMIFS('Timesheet Raw'!$P$4:$P$8000,'Timesheet Raw'!$L$4:$L$8000,$A164,'Timesheet Raw'!$C$4:$C$8000,T$3))</f>
        <v>8.5</v>
      </c>
      <c r="Z164" s="375"/>
      <c r="AA164" t="str">
        <f>IF($A164="","",IF(Z164&lt;&gt;"",Z164,IF($A164&gt;'Work Calendar'!$B$17,"No data yet",IF(AND(V164&gt;='Work Calendar'!$B$14,T164+U164+W164&gt;0),"Day off - but worked",IF(V164&gt;='Work Calendar'!$B$14,"Day off",IF(T164+U164+W164&gt;0,IF($C164="Working","Charged","Worked weekend"),IF($C164="Working","Leave (not charged)",$C164)))))))</f>
        <v>Charged</v>
      </c>
    </row>
    <row r="165" spans="1:27" x14ac:dyDescent="0.3">
      <c r="A165" s="371">
        <f>IF($A164="","",IF($A164+1&gt;'Work Calendar'!$B$16,"",$A164+1))</f>
        <v>46183</v>
      </c>
      <c r="B165" t="str">
        <f t="shared" si="8"/>
        <v>Wed</v>
      </c>
      <c r="C165" t="str" cm="1">
        <f t="array" ref="C165">IF($A165="","",IF(COUNTIF('Work Calendar'!$E$6:$E$200,$A165)&gt;0,"Holiday",IF(INDEX('Work Calendar'!$C$6:$C$12,WEEKDAY($A165,1))=1,"Working","Weekend")))</f>
        <v>Working</v>
      </c>
      <c r="D165" s="341">
        <f>IF($A165="","",SUMIFS('Timesheet Raw'!$P$4:$P$8000,'Timesheet Raw'!$L$4:$L$8000,$A165,'Timesheet Raw'!$C$4:$C$8000,D$3,'Timesheet Raw'!$A$4:$A$8000,"1-Projects"))</f>
        <v>4.25</v>
      </c>
      <c r="E165" s="341">
        <f>IF($A165="","",SUMIFS('Timesheet Raw'!$P$4:$P$8000,'Timesheet Raw'!$L$4:$L$8000,$A165,'Timesheet Raw'!$C$4:$C$8000,D$3,'Timesheet Raw'!$A$4:$A$8000,"2-Proposals Chargeable")+SUMIFS('Timesheet Raw'!$P$4:$P$8000,'Timesheet Raw'!$L$4:$L$8000,$A165,'Timesheet Raw'!$C$4:$C$8000,D$3,'Timesheet Raw'!$A$4:$A$8000,"3-Proposals Regular"))</f>
        <v>0</v>
      </c>
      <c r="F165" s="341">
        <f>IF($A165="","",SUMIFS('Timesheet Raw'!$P$4:$P$8000,'Timesheet Raw'!$L$4:$L$8000,$A165,'Timesheet Raw'!$C$4:$C$8000,D$3,'Timesheet Raw'!$B$4:$B$8000,'Work Calendar'!$A$26)+SUMIFS('Timesheet Raw'!$P$4:$P$8000,'Timesheet Raw'!$L$4:$L$8000,$A165,'Timesheet Raw'!$C$4:$C$8000,D$3,'Timesheet Raw'!$B$4:$B$8000,'Work Calendar'!$A$27)+SUMIFS('Timesheet Raw'!$P$4:$P$8000,'Timesheet Raw'!$L$4:$L$8000,$A165,'Timesheet Raw'!$C$4:$C$8000,D$3,'Timesheet Raw'!$B$4:$B$8000,'Work Calendar'!$A$28)+SUMIFS('Timesheet Raw'!$P$4:$P$8000,'Timesheet Raw'!$L$4:$L$8000,$A165,'Timesheet Raw'!$C$4:$C$8000,D$3,'Timesheet Raw'!$B$4:$B$8000,'Work Calendar'!$A$29))</f>
        <v>4.25</v>
      </c>
      <c r="G165" s="341">
        <f t="shared" si="9"/>
        <v>0</v>
      </c>
      <c r="H165" s="395">
        <f>IF($A165="","",SUMIFS('Timesheet Raw'!$K$4:$K$8000,'Timesheet Raw'!$L$4:$L$8000,$A165,'Timesheet Raw'!$C$4:$C$8000,D$3))</f>
        <v>0</v>
      </c>
      <c r="I165" s="345">
        <f>IF($A165="","",SUMIFS('Timesheet Raw'!$P$4:$P$8000,'Timesheet Raw'!$L$4:$L$8000,$A165,'Timesheet Raw'!$C$4:$C$8000,D$3))</f>
        <v>8.5</v>
      </c>
      <c r="J165" s="375"/>
      <c r="K165" t="str">
        <f>IF($A165="","",IF(J165&lt;&gt;"",J165,IF($A165&gt;'Work Calendar'!$B$17,"No data yet",IF(AND(F165&gt;='Work Calendar'!$B$14,D165+E165+G165&gt;0),"Day off - but worked",IF(F165&gt;='Work Calendar'!$B$14,"Day off",IF(D165+E165+G165&gt;0,IF($C165="Working","Charged","Worked weekend"),IF($C165="Working","Leave (not charged)",$C165)))))))</f>
        <v>Charged</v>
      </c>
      <c r="L165" s="341">
        <f>IF($A165="","",SUMIFS('Timesheet Raw'!$P$4:$P$8000,'Timesheet Raw'!$L$4:$L$8000,$A165,'Timesheet Raw'!$C$4:$C$8000,L$3,'Timesheet Raw'!$A$4:$A$8000,"1-Projects"))</f>
        <v>0</v>
      </c>
      <c r="M165" s="341">
        <f>IF($A165="","",SUMIFS('Timesheet Raw'!$P$4:$P$8000,'Timesheet Raw'!$L$4:$L$8000,$A165,'Timesheet Raw'!$C$4:$C$8000,L$3,'Timesheet Raw'!$A$4:$A$8000,"2-Proposals Chargeable")+SUMIFS('Timesheet Raw'!$P$4:$P$8000,'Timesheet Raw'!$L$4:$L$8000,$A165,'Timesheet Raw'!$C$4:$C$8000,L$3,'Timesheet Raw'!$A$4:$A$8000,"3-Proposals Regular"))</f>
        <v>0</v>
      </c>
      <c r="N165" s="341">
        <f>IF($A165="","",SUMIFS('Timesheet Raw'!$P$4:$P$8000,'Timesheet Raw'!$L$4:$L$8000,$A165,'Timesheet Raw'!$C$4:$C$8000,L$3,'Timesheet Raw'!$B$4:$B$8000,'Work Calendar'!$A$26)+SUMIFS('Timesheet Raw'!$P$4:$P$8000,'Timesheet Raw'!$L$4:$L$8000,$A165,'Timesheet Raw'!$C$4:$C$8000,L$3,'Timesheet Raw'!$B$4:$B$8000,'Work Calendar'!$A$27)+SUMIFS('Timesheet Raw'!$P$4:$P$8000,'Timesheet Raw'!$L$4:$L$8000,$A165,'Timesheet Raw'!$C$4:$C$8000,L$3,'Timesheet Raw'!$B$4:$B$8000,'Work Calendar'!$A$28)+SUMIFS('Timesheet Raw'!$P$4:$P$8000,'Timesheet Raw'!$L$4:$L$8000,$A165,'Timesheet Raw'!$C$4:$C$8000,L$3,'Timesheet Raw'!$B$4:$B$8000,'Work Calendar'!$A$29))</f>
        <v>8.5</v>
      </c>
      <c r="O165" s="341">
        <f t="shared" si="10"/>
        <v>0</v>
      </c>
      <c r="P165" s="395">
        <f>IF($A165="","",SUMIFS('Timesheet Raw'!$K$4:$K$8000,'Timesheet Raw'!$L$4:$L$8000,$A165,'Timesheet Raw'!$C$4:$C$8000,L$3))</f>
        <v>0</v>
      </c>
      <c r="Q165" s="345">
        <f>IF($A165="","",SUMIFS('Timesheet Raw'!$P$4:$P$8000,'Timesheet Raw'!$L$4:$L$8000,$A165,'Timesheet Raw'!$C$4:$C$8000,L$3))</f>
        <v>8.5</v>
      </c>
      <c r="R165" s="375"/>
      <c r="S165" t="str">
        <f>IF($A165="","",IF(R165&lt;&gt;"",R165,IF($A165&gt;'Work Calendar'!$B$17,"No data yet",IF(AND(N165&gt;='Work Calendar'!$B$14,L165+M165+O165&gt;0),"Day off - but worked",IF(N165&gt;='Work Calendar'!$B$14,"Day off",IF(L165+M165+O165&gt;0,IF($C165="Working","Charged","Worked weekend"),IF($C165="Working","Leave (not charged)",$C165)))))))</f>
        <v>Day off</v>
      </c>
      <c r="T165" s="341">
        <f>IF($A165="","",SUMIFS('Timesheet Raw'!$P$4:$P$8000,'Timesheet Raw'!$L$4:$L$8000,$A165,'Timesheet Raw'!$C$4:$C$8000,T$3,'Timesheet Raw'!$A$4:$A$8000,"1-Projects"))</f>
        <v>11.25</v>
      </c>
      <c r="U165" s="341">
        <f>IF($A165="","",SUMIFS('Timesheet Raw'!$P$4:$P$8000,'Timesheet Raw'!$L$4:$L$8000,$A165,'Timesheet Raw'!$C$4:$C$8000,T$3,'Timesheet Raw'!$A$4:$A$8000,"2-Proposals Chargeable")+SUMIFS('Timesheet Raw'!$P$4:$P$8000,'Timesheet Raw'!$L$4:$L$8000,$A165,'Timesheet Raw'!$C$4:$C$8000,T$3,'Timesheet Raw'!$A$4:$A$8000,"3-Proposals Regular"))</f>
        <v>0</v>
      </c>
      <c r="V165" s="341">
        <f>IF($A165="","",SUMIFS('Timesheet Raw'!$P$4:$P$8000,'Timesheet Raw'!$L$4:$L$8000,$A165,'Timesheet Raw'!$C$4:$C$8000,T$3,'Timesheet Raw'!$B$4:$B$8000,'Work Calendar'!$A$26)+SUMIFS('Timesheet Raw'!$P$4:$P$8000,'Timesheet Raw'!$L$4:$L$8000,$A165,'Timesheet Raw'!$C$4:$C$8000,T$3,'Timesheet Raw'!$B$4:$B$8000,'Work Calendar'!$A$27)+SUMIFS('Timesheet Raw'!$P$4:$P$8000,'Timesheet Raw'!$L$4:$L$8000,$A165,'Timesheet Raw'!$C$4:$C$8000,T$3,'Timesheet Raw'!$B$4:$B$8000,'Work Calendar'!$A$28)+SUMIFS('Timesheet Raw'!$P$4:$P$8000,'Timesheet Raw'!$L$4:$L$8000,$A165,'Timesheet Raw'!$C$4:$C$8000,T$3,'Timesheet Raw'!$B$4:$B$8000,'Work Calendar'!$A$29))</f>
        <v>0.75</v>
      </c>
      <c r="W165" s="341">
        <f t="shared" si="11"/>
        <v>0</v>
      </c>
      <c r="X165" s="395">
        <f>IF($A165="","",SUMIFS('Timesheet Raw'!$K$4:$K$8000,'Timesheet Raw'!$L$4:$L$8000,$A165,'Timesheet Raw'!$C$4:$C$8000,T$3))</f>
        <v>3.5</v>
      </c>
      <c r="Y165" s="345">
        <f>IF($A165="","",SUMIFS('Timesheet Raw'!$P$4:$P$8000,'Timesheet Raw'!$L$4:$L$8000,$A165,'Timesheet Raw'!$C$4:$C$8000,T$3))</f>
        <v>12</v>
      </c>
      <c r="Z165" s="375"/>
      <c r="AA165" t="str">
        <f>IF($A165="","",IF(Z165&lt;&gt;"",Z165,IF($A165&gt;'Work Calendar'!$B$17,"No data yet",IF(AND(V165&gt;='Work Calendar'!$B$14,T165+U165+W165&gt;0),"Day off - but worked",IF(V165&gt;='Work Calendar'!$B$14,"Day off",IF(T165+U165+W165&gt;0,IF($C165="Working","Charged","Worked weekend"),IF($C165="Working","Leave (not charged)",$C165)))))))</f>
        <v>Charged</v>
      </c>
    </row>
    <row r="166" spans="1:27" x14ac:dyDescent="0.3">
      <c r="A166" s="371">
        <f>IF($A165="","",IF($A165+1&gt;'Work Calendar'!$B$16,"",$A165+1))</f>
        <v>46184</v>
      </c>
      <c r="B166" t="str">
        <f t="shared" si="8"/>
        <v>Thu</v>
      </c>
      <c r="C166" t="str" cm="1">
        <f t="array" ref="C166">IF($A166="","",IF(COUNTIF('Work Calendar'!$E$6:$E$200,$A166)&gt;0,"Holiday",IF(INDEX('Work Calendar'!$C$6:$C$12,WEEKDAY($A166,1))=1,"Working","Weekend")))</f>
        <v>Working</v>
      </c>
      <c r="D166" s="341">
        <f>IF($A166="","",SUMIFS('Timesheet Raw'!$P$4:$P$8000,'Timesheet Raw'!$L$4:$L$8000,$A166,'Timesheet Raw'!$C$4:$C$8000,D$3,'Timesheet Raw'!$A$4:$A$8000,"1-Projects"))</f>
        <v>8</v>
      </c>
      <c r="E166" s="341">
        <f>IF($A166="","",SUMIFS('Timesheet Raw'!$P$4:$P$8000,'Timesheet Raw'!$L$4:$L$8000,$A166,'Timesheet Raw'!$C$4:$C$8000,D$3,'Timesheet Raw'!$A$4:$A$8000,"2-Proposals Chargeable")+SUMIFS('Timesheet Raw'!$P$4:$P$8000,'Timesheet Raw'!$L$4:$L$8000,$A166,'Timesheet Raw'!$C$4:$C$8000,D$3,'Timesheet Raw'!$A$4:$A$8000,"3-Proposals Regular"))</f>
        <v>0</v>
      </c>
      <c r="F166" s="341">
        <f>IF($A166="","",SUMIFS('Timesheet Raw'!$P$4:$P$8000,'Timesheet Raw'!$L$4:$L$8000,$A166,'Timesheet Raw'!$C$4:$C$8000,D$3,'Timesheet Raw'!$B$4:$B$8000,'Work Calendar'!$A$26)+SUMIFS('Timesheet Raw'!$P$4:$P$8000,'Timesheet Raw'!$L$4:$L$8000,$A166,'Timesheet Raw'!$C$4:$C$8000,D$3,'Timesheet Raw'!$B$4:$B$8000,'Work Calendar'!$A$27)+SUMIFS('Timesheet Raw'!$P$4:$P$8000,'Timesheet Raw'!$L$4:$L$8000,$A166,'Timesheet Raw'!$C$4:$C$8000,D$3,'Timesheet Raw'!$B$4:$B$8000,'Work Calendar'!$A$28)+SUMIFS('Timesheet Raw'!$P$4:$P$8000,'Timesheet Raw'!$L$4:$L$8000,$A166,'Timesheet Raw'!$C$4:$C$8000,D$3,'Timesheet Raw'!$B$4:$B$8000,'Work Calendar'!$A$29))</f>
        <v>0.75</v>
      </c>
      <c r="G166" s="341">
        <f t="shared" si="9"/>
        <v>0</v>
      </c>
      <c r="H166" s="395">
        <f>IF($A166="","",SUMIFS('Timesheet Raw'!$K$4:$K$8000,'Timesheet Raw'!$L$4:$L$8000,$A166,'Timesheet Raw'!$C$4:$C$8000,D$3))</f>
        <v>0.25</v>
      </c>
      <c r="I166" s="345">
        <f>IF($A166="","",SUMIFS('Timesheet Raw'!$P$4:$P$8000,'Timesheet Raw'!$L$4:$L$8000,$A166,'Timesheet Raw'!$C$4:$C$8000,D$3))</f>
        <v>8.75</v>
      </c>
      <c r="J166" s="375"/>
      <c r="K166" t="str">
        <f>IF($A166="","",IF(J166&lt;&gt;"",J166,IF($A166&gt;'Work Calendar'!$B$17,"No data yet",IF(AND(F166&gt;='Work Calendar'!$B$14,D166+E166+G166&gt;0),"Day off - but worked",IF(F166&gt;='Work Calendar'!$B$14,"Day off",IF(D166+E166+G166&gt;0,IF($C166="Working","Charged","Worked weekend"),IF($C166="Working","Leave (not charged)",$C166)))))))</f>
        <v>Charged</v>
      </c>
      <c r="L166" s="341">
        <f>IF($A166="","",SUMIFS('Timesheet Raw'!$P$4:$P$8000,'Timesheet Raw'!$L$4:$L$8000,$A166,'Timesheet Raw'!$C$4:$C$8000,L$3,'Timesheet Raw'!$A$4:$A$8000,"1-Projects"))</f>
        <v>0</v>
      </c>
      <c r="M166" s="341">
        <f>IF($A166="","",SUMIFS('Timesheet Raw'!$P$4:$P$8000,'Timesheet Raw'!$L$4:$L$8000,$A166,'Timesheet Raw'!$C$4:$C$8000,L$3,'Timesheet Raw'!$A$4:$A$8000,"2-Proposals Chargeable")+SUMIFS('Timesheet Raw'!$P$4:$P$8000,'Timesheet Raw'!$L$4:$L$8000,$A166,'Timesheet Raw'!$C$4:$C$8000,L$3,'Timesheet Raw'!$A$4:$A$8000,"3-Proposals Regular"))</f>
        <v>0</v>
      </c>
      <c r="N166" s="341">
        <f>IF($A166="","",SUMIFS('Timesheet Raw'!$P$4:$P$8000,'Timesheet Raw'!$L$4:$L$8000,$A166,'Timesheet Raw'!$C$4:$C$8000,L$3,'Timesheet Raw'!$B$4:$B$8000,'Work Calendar'!$A$26)+SUMIFS('Timesheet Raw'!$P$4:$P$8000,'Timesheet Raw'!$L$4:$L$8000,$A166,'Timesheet Raw'!$C$4:$C$8000,L$3,'Timesheet Raw'!$B$4:$B$8000,'Work Calendar'!$A$27)+SUMIFS('Timesheet Raw'!$P$4:$P$8000,'Timesheet Raw'!$L$4:$L$8000,$A166,'Timesheet Raw'!$C$4:$C$8000,L$3,'Timesheet Raw'!$B$4:$B$8000,'Work Calendar'!$A$28)+SUMIFS('Timesheet Raw'!$P$4:$P$8000,'Timesheet Raw'!$L$4:$L$8000,$A166,'Timesheet Raw'!$C$4:$C$8000,L$3,'Timesheet Raw'!$B$4:$B$8000,'Work Calendar'!$A$29))</f>
        <v>8.5</v>
      </c>
      <c r="O166" s="341">
        <f t="shared" si="10"/>
        <v>0</v>
      </c>
      <c r="P166" s="395">
        <f>IF($A166="","",SUMIFS('Timesheet Raw'!$K$4:$K$8000,'Timesheet Raw'!$L$4:$L$8000,$A166,'Timesheet Raw'!$C$4:$C$8000,L$3))</f>
        <v>0</v>
      </c>
      <c r="Q166" s="345">
        <f>IF($A166="","",SUMIFS('Timesheet Raw'!$P$4:$P$8000,'Timesheet Raw'!$L$4:$L$8000,$A166,'Timesheet Raw'!$C$4:$C$8000,L$3))</f>
        <v>8.5</v>
      </c>
      <c r="R166" s="375"/>
      <c r="S166" t="str">
        <f>IF($A166="","",IF(R166&lt;&gt;"",R166,IF($A166&gt;'Work Calendar'!$B$17,"No data yet",IF(AND(N166&gt;='Work Calendar'!$B$14,L166+M166+O166&gt;0),"Day off - but worked",IF(N166&gt;='Work Calendar'!$B$14,"Day off",IF(L166+M166+O166&gt;0,IF($C166="Working","Charged","Worked weekend"),IF($C166="Working","Leave (not charged)",$C166)))))))</f>
        <v>Day off</v>
      </c>
      <c r="T166" s="341">
        <f>IF($A166="","",SUMIFS('Timesheet Raw'!$P$4:$P$8000,'Timesheet Raw'!$L$4:$L$8000,$A166,'Timesheet Raw'!$C$4:$C$8000,T$3,'Timesheet Raw'!$A$4:$A$8000,"1-Projects"))</f>
        <v>8</v>
      </c>
      <c r="U166" s="341">
        <f>IF($A166="","",SUMIFS('Timesheet Raw'!$P$4:$P$8000,'Timesheet Raw'!$L$4:$L$8000,$A166,'Timesheet Raw'!$C$4:$C$8000,T$3,'Timesheet Raw'!$A$4:$A$8000,"2-Proposals Chargeable")+SUMIFS('Timesheet Raw'!$P$4:$P$8000,'Timesheet Raw'!$L$4:$L$8000,$A166,'Timesheet Raw'!$C$4:$C$8000,T$3,'Timesheet Raw'!$A$4:$A$8000,"3-Proposals Regular"))</f>
        <v>0</v>
      </c>
      <c r="V166" s="341">
        <f>IF($A166="","",SUMIFS('Timesheet Raw'!$P$4:$P$8000,'Timesheet Raw'!$L$4:$L$8000,$A166,'Timesheet Raw'!$C$4:$C$8000,T$3,'Timesheet Raw'!$B$4:$B$8000,'Work Calendar'!$A$26)+SUMIFS('Timesheet Raw'!$P$4:$P$8000,'Timesheet Raw'!$L$4:$L$8000,$A166,'Timesheet Raw'!$C$4:$C$8000,T$3,'Timesheet Raw'!$B$4:$B$8000,'Work Calendar'!$A$27)+SUMIFS('Timesheet Raw'!$P$4:$P$8000,'Timesheet Raw'!$L$4:$L$8000,$A166,'Timesheet Raw'!$C$4:$C$8000,T$3,'Timesheet Raw'!$B$4:$B$8000,'Work Calendar'!$A$28)+SUMIFS('Timesheet Raw'!$P$4:$P$8000,'Timesheet Raw'!$L$4:$L$8000,$A166,'Timesheet Raw'!$C$4:$C$8000,T$3,'Timesheet Raw'!$B$4:$B$8000,'Work Calendar'!$A$29))</f>
        <v>0.75</v>
      </c>
      <c r="W166" s="341">
        <f t="shared" si="11"/>
        <v>0</v>
      </c>
      <c r="X166" s="395">
        <f>IF($A166="","",SUMIFS('Timesheet Raw'!$K$4:$K$8000,'Timesheet Raw'!$L$4:$L$8000,$A166,'Timesheet Raw'!$C$4:$C$8000,T$3))</f>
        <v>0.25</v>
      </c>
      <c r="Y166" s="345">
        <f>IF($A166="","",SUMIFS('Timesheet Raw'!$P$4:$P$8000,'Timesheet Raw'!$L$4:$L$8000,$A166,'Timesheet Raw'!$C$4:$C$8000,T$3))</f>
        <v>8.75</v>
      </c>
      <c r="Z166" s="375"/>
      <c r="AA166" t="str">
        <f>IF($A166="","",IF(Z166&lt;&gt;"",Z166,IF($A166&gt;'Work Calendar'!$B$17,"No data yet",IF(AND(V166&gt;='Work Calendar'!$B$14,T166+U166+W166&gt;0),"Day off - but worked",IF(V166&gt;='Work Calendar'!$B$14,"Day off",IF(T166+U166+W166&gt;0,IF($C166="Working","Charged","Worked weekend"),IF($C166="Working","Leave (not charged)",$C166)))))))</f>
        <v>Charged</v>
      </c>
    </row>
    <row r="167" spans="1:27" x14ac:dyDescent="0.3">
      <c r="A167" s="371">
        <f>IF($A166="","",IF($A166+1&gt;'Work Calendar'!$B$16,"",$A166+1))</f>
        <v>46185</v>
      </c>
      <c r="B167" t="str">
        <f t="shared" si="8"/>
        <v>Fri</v>
      </c>
      <c r="C167" t="str" cm="1">
        <f t="array" ref="C167">IF($A167="","",IF(COUNTIF('Work Calendar'!$E$6:$E$200,$A167)&gt;0,"Holiday",IF(INDEX('Work Calendar'!$C$6:$C$12,WEEKDAY($A167,1))=1,"Working","Weekend")))</f>
        <v>Weekend</v>
      </c>
      <c r="D167" s="341">
        <f>IF($A167="","",SUMIFS('Timesheet Raw'!$P$4:$P$8000,'Timesheet Raw'!$L$4:$L$8000,$A167,'Timesheet Raw'!$C$4:$C$8000,D$3,'Timesheet Raw'!$A$4:$A$8000,"1-Projects"))</f>
        <v>0</v>
      </c>
      <c r="E167" s="341">
        <f>IF($A167="","",SUMIFS('Timesheet Raw'!$P$4:$P$8000,'Timesheet Raw'!$L$4:$L$8000,$A167,'Timesheet Raw'!$C$4:$C$8000,D$3,'Timesheet Raw'!$A$4:$A$8000,"2-Proposals Chargeable")+SUMIFS('Timesheet Raw'!$P$4:$P$8000,'Timesheet Raw'!$L$4:$L$8000,$A167,'Timesheet Raw'!$C$4:$C$8000,D$3,'Timesheet Raw'!$A$4:$A$8000,"3-Proposals Regular"))</f>
        <v>0</v>
      </c>
      <c r="F167" s="341">
        <f>IF($A167="","",SUMIFS('Timesheet Raw'!$P$4:$P$8000,'Timesheet Raw'!$L$4:$L$8000,$A167,'Timesheet Raw'!$C$4:$C$8000,D$3,'Timesheet Raw'!$B$4:$B$8000,'Work Calendar'!$A$26)+SUMIFS('Timesheet Raw'!$P$4:$P$8000,'Timesheet Raw'!$L$4:$L$8000,$A167,'Timesheet Raw'!$C$4:$C$8000,D$3,'Timesheet Raw'!$B$4:$B$8000,'Work Calendar'!$A$27)+SUMIFS('Timesheet Raw'!$P$4:$P$8000,'Timesheet Raw'!$L$4:$L$8000,$A167,'Timesheet Raw'!$C$4:$C$8000,D$3,'Timesheet Raw'!$B$4:$B$8000,'Work Calendar'!$A$28)+SUMIFS('Timesheet Raw'!$P$4:$P$8000,'Timesheet Raw'!$L$4:$L$8000,$A167,'Timesheet Raw'!$C$4:$C$8000,D$3,'Timesheet Raw'!$B$4:$B$8000,'Work Calendar'!$A$29))</f>
        <v>0</v>
      </c>
      <c r="G167" s="341">
        <f t="shared" si="9"/>
        <v>0</v>
      </c>
      <c r="H167" s="395">
        <f>IF($A167="","",SUMIFS('Timesheet Raw'!$K$4:$K$8000,'Timesheet Raw'!$L$4:$L$8000,$A167,'Timesheet Raw'!$C$4:$C$8000,D$3))</f>
        <v>0</v>
      </c>
      <c r="I167" s="345">
        <f>IF($A167="","",SUMIFS('Timesheet Raw'!$P$4:$P$8000,'Timesheet Raw'!$L$4:$L$8000,$A167,'Timesheet Raw'!$C$4:$C$8000,D$3))</f>
        <v>0</v>
      </c>
      <c r="J167" s="375"/>
      <c r="K167" t="str">
        <f>IF($A167="","",IF(J167&lt;&gt;"",J167,IF($A167&gt;'Work Calendar'!$B$17,"No data yet",IF(AND(F167&gt;='Work Calendar'!$B$14,D167+E167+G167&gt;0),"Day off - but worked",IF(F167&gt;='Work Calendar'!$B$14,"Day off",IF(D167+E167+G167&gt;0,IF($C167="Working","Charged","Worked weekend"),IF($C167="Working","Leave (not charged)",$C167)))))))</f>
        <v>Weekend</v>
      </c>
      <c r="L167" s="341">
        <f>IF($A167="","",SUMIFS('Timesheet Raw'!$P$4:$P$8000,'Timesheet Raw'!$L$4:$L$8000,$A167,'Timesheet Raw'!$C$4:$C$8000,L$3,'Timesheet Raw'!$A$4:$A$8000,"1-Projects"))</f>
        <v>0</v>
      </c>
      <c r="M167" s="341">
        <f>IF($A167="","",SUMIFS('Timesheet Raw'!$P$4:$P$8000,'Timesheet Raw'!$L$4:$L$8000,$A167,'Timesheet Raw'!$C$4:$C$8000,L$3,'Timesheet Raw'!$A$4:$A$8000,"2-Proposals Chargeable")+SUMIFS('Timesheet Raw'!$P$4:$P$8000,'Timesheet Raw'!$L$4:$L$8000,$A167,'Timesheet Raw'!$C$4:$C$8000,L$3,'Timesheet Raw'!$A$4:$A$8000,"3-Proposals Regular"))</f>
        <v>0</v>
      </c>
      <c r="N167" s="341">
        <f>IF($A167="","",SUMIFS('Timesheet Raw'!$P$4:$P$8000,'Timesheet Raw'!$L$4:$L$8000,$A167,'Timesheet Raw'!$C$4:$C$8000,L$3,'Timesheet Raw'!$B$4:$B$8000,'Work Calendar'!$A$26)+SUMIFS('Timesheet Raw'!$P$4:$P$8000,'Timesheet Raw'!$L$4:$L$8000,$A167,'Timesheet Raw'!$C$4:$C$8000,L$3,'Timesheet Raw'!$B$4:$B$8000,'Work Calendar'!$A$27)+SUMIFS('Timesheet Raw'!$P$4:$P$8000,'Timesheet Raw'!$L$4:$L$8000,$A167,'Timesheet Raw'!$C$4:$C$8000,L$3,'Timesheet Raw'!$B$4:$B$8000,'Work Calendar'!$A$28)+SUMIFS('Timesheet Raw'!$P$4:$P$8000,'Timesheet Raw'!$L$4:$L$8000,$A167,'Timesheet Raw'!$C$4:$C$8000,L$3,'Timesheet Raw'!$B$4:$B$8000,'Work Calendar'!$A$29))</f>
        <v>0</v>
      </c>
      <c r="O167" s="341">
        <f t="shared" si="10"/>
        <v>0</v>
      </c>
      <c r="P167" s="395">
        <f>IF($A167="","",SUMIFS('Timesheet Raw'!$K$4:$K$8000,'Timesheet Raw'!$L$4:$L$8000,$A167,'Timesheet Raw'!$C$4:$C$8000,L$3))</f>
        <v>0</v>
      </c>
      <c r="Q167" s="345">
        <f>IF($A167="","",SUMIFS('Timesheet Raw'!$P$4:$P$8000,'Timesheet Raw'!$L$4:$L$8000,$A167,'Timesheet Raw'!$C$4:$C$8000,L$3))</f>
        <v>0</v>
      </c>
      <c r="R167" s="375"/>
      <c r="S167" t="str">
        <f>IF($A167="","",IF(R167&lt;&gt;"",R167,IF($A167&gt;'Work Calendar'!$B$17,"No data yet",IF(AND(N167&gt;='Work Calendar'!$B$14,L167+M167+O167&gt;0),"Day off - but worked",IF(N167&gt;='Work Calendar'!$B$14,"Day off",IF(L167+M167+O167&gt;0,IF($C167="Working","Charged","Worked weekend"),IF($C167="Working","Leave (not charged)",$C167)))))))</f>
        <v>Weekend</v>
      </c>
      <c r="T167" s="341">
        <f>IF($A167="","",SUMIFS('Timesheet Raw'!$P$4:$P$8000,'Timesheet Raw'!$L$4:$L$8000,$A167,'Timesheet Raw'!$C$4:$C$8000,T$3,'Timesheet Raw'!$A$4:$A$8000,"1-Projects"))</f>
        <v>0</v>
      </c>
      <c r="U167" s="341">
        <f>IF($A167="","",SUMIFS('Timesheet Raw'!$P$4:$P$8000,'Timesheet Raw'!$L$4:$L$8000,$A167,'Timesheet Raw'!$C$4:$C$8000,T$3,'Timesheet Raw'!$A$4:$A$8000,"2-Proposals Chargeable")+SUMIFS('Timesheet Raw'!$P$4:$P$8000,'Timesheet Raw'!$L$4:$L$8000,$A167,'Timesheet Raw'!$C$4:$C$8000,T$3,'Timesheet Raw'!$A$4:$A$8000,"3-Proposals Regular"))</f>
        <v>0</v>
      </c>
      <c r="V167" s="341">
        <f>IF($A167="","",SUMIFS('Timesheet Raw'!$P$4:$P$8000,'Timesheet Raw'!$L$4:$L$8000,$A167,'Timesheet Raw'!$C$4:$C$8000,T$3,'Timesheet Raw'!$B$4:$B$8000,'Work Calendar'!$A$26)+SUMIFS('Timesheet Raw'!$P$4:$P$8000,'Timesheet Raw'!$L$4:$L$8000,$A167,'Timesheet Raw'!$C$4:$C$8000,T$3,'Timesheet Raw'!$B$4:$B$8000,'Work Calendar'!$A$27)+SUMIFS('Timesheet Raw'!$P$4:$P$8000,'Timesheet Raw'!$L$4:$L$8000,$A167,'Timesheet Raw'!$C$4:$C$8000,T$3,'Timesheet Raw'!$B$4:$B$8000,'Work Calendar'!$A$28)+SUMIFS('Timesheet Raw'!$P$4:$P$8000,'Timesheet Raw'!$L$4:$L$8000,$A167,'Timesheet Raw'!$C$4:$C$8000,T$3,'Timesheet Raw'!$B$4:$B$8000,'Work Calendar'!$A$29))</f>
        <v>0</v>
      </c>
      <c r="W167" s="341">
        <f t="shared" si="11"/>
        <v>0</v>
      </c>
      <c r="X167" s="395">
        <f>IF($A167="","",SUMIFS('Timesheet Raw'!$K$4:$K$8000,'Timesheet Raw'!$L$4:$L$8000,$A167,'Timesheet Raw'!$C$4:$C$8000,T$3))</f>
        <v>0</v>
      </c>
      <c r="Y167" s="345">
        <f>IF($A167="","",SUMIFS('Timesheet Raw'!$P$4:$P$8000,'Timesheet Raw'!$L$4:$L$8000,$A167,'Timesheet Raw'!$C$4:$C$8000,T$3))</f>
        <v>0</v>
      </c>
      <c r="Z167" s="375"/>
      <c r="AA167" t="str">
        <f>IF($A167="","",IF(Z167&lt;&gt;"",Z167,IF($A167&gt;'Work Calendar'!$B$17,"No data yet",IF(AND(V167&gt;='Work Calendar'!$B$14,T167+U167+W167&gt;0),"Day off - but worked",IF(V167&gt;='Work Calendar'!$B$14,"Day off",IF(T167+U167+W167&gt;0,IF($C167="Working","Charged","Worked weekend"),IF($C167="Working","Leave (not charged)",$C167)))))))</f>
        <v>Weekend</v>
      </c>
    </row>
    <row r="168" spans="1:27" x14ac:dyDescent="0.3">
      <c r="A168" s="371">
        <f>IF($A167="","",IF($A167+1&gt;'Work Calendar'!$B$16,"",$A167+1))</f>
        <v>46186</v>
      </c>
      <c r="B168" t="str">
        <f t="shared" si="8"/>
        <v>Sat</v>
      </c>
      <c r="C168" t="str" cm="1">
        <f t="array" ref="C168">IF($A168="","",IF(COUNTIF('Work Calendar'!$E$6:$E$200,$A168)&gt;0,"Holiday",IF(INDEX('Work Calendar'!$C$6:$C$12,WEEKDAY($A168,1))=1,"Working","Weekend")))</f>
        <v>Weekend</v>
      </c>
      <c r="D168" s="341">
        <f>IF($A168="","",SUMIFS('Timesheet Raw'!$P$4:$P$8000,'Timesheet Raw'!$L$4:$L$8000,$A168,'Timesheet Raw'!$C$4:$C$8000,D$3,'Timesheet Raw'!$A$4:$A$8000,"1-Projects"))</f>
        <v>0</v>
      </c>
      <c r="E168" s="341">
        <f>IF($A168="","",SUMIFS('Timesheet Raw'!$P$4:$P$8000,'Timesheet Raw'!$L$4:$L$8000,$A168,'Timesheet Raw'!$C$4:$C$8000,D$3,'Timesheet Raw'!$A$4:$A$8000,"2-Proposals Chargeable")+SUMIFS('Timesheet Raw'!$P$4:$P$8000,'Timesheet Raw'!$L$4:$L$8000,$A168,'Timesheet Raw'!$C$4:$C$8000,D$3,'Timesheet Raw'!$A$4:$A$8000,"3-Proposals Regular"))</f>
        <v>0</v>
      </c>
      <c r="F168" s="341">
        <f>IF($A168="","",SUMIFS('Timesheet Raw'!$P$4:$P$8000,'Timesheet Raw'!$L$4:$L$8000,$A168,'Timesheet Raw'!$C$4:$C$8000,D$3,'Timesheet Raw'!$B$4:$B$8000,'Work Calendar'!$A$26)+SUMIFS('Timesheet Raw'!$P$4:$P$8000,'Timesheet Raw'!$L$4:$L$8000,$A168,'Timesheet Raw'!$C$4:$C$8000,D$3,'Timesheet Raw'!$B$4:$B$8000,'Work Calendar'!$A$27)+SUMIFS('Timesheet Raw'!$P$4:$P$8000,'Timesheet Raw'!$L$4:$L$8000,$A168,'Timesheet Raw'!$C$4:$C$8000,D$3,'Timesheet Raw'!$B$4:$B$8000,'Work Calendar'!$A$28)+SUMIFS('Timesheet Raw'!$P$4:$P$8000,'Timesheet Raw'!$L$4:$L$8000,$A168,'Timesheet Raw'!$C$4:$C$8000,D$3,'Timesheet Raw'!$B$4:$B$8000,'Work Calendar'!$A$29))</f>
        <v>0</v>
      </c>
      <c r="G168" s="341">
        <f t="shared" si="9"/>
        <v>0</v>
      </c>
      <c r="H168" s="395">
        <f>IF($A168="","",SUMIFS('Timesheet Raw'!$K$4:$K$8000,'Timesheet Raw'!$L$4:$L$8000,$A168,'Timesheet Raw'!$C$4:$C$8000,D$3))</f>
        <v>0</v>
      </c>
      <c r="I168" s="345">
        <f>IF($A168="","",SUMIFS('Timesheet Raw'!$P$4:$P$8000,'Timesheet Raw'!$L$4:$L$8000,$A168,'Timesheet Raw'!$C$4:$C$8000,D$3))</f>
        <v>0</v>
      </c>
      <c r="J168" s="375"/>
      <c r="K168" t="str">
        <f>IF($A168="","",IF(J168&lt;&gt;"",J168,IF($A168&gt;'Work Calendar'!$B$17,"No data yet",IF(AND(F168&gt;='Work Calendar'!$B$14,D168+E168+G168&gt;0),"Day off - but worked",IF(F168&gt;='Work Calendar'!$B$14,"Day off",IF(D168+E168+G168&gt;0,IF($C168="Working","Charged","Worked weekend"),IF($C168="Working","Leave (not charged)",$C168)))))))</f>
        <v>Weekend</v>
      </c>
      <c r="L168" s="341">
        <f>IF($A168="","",SUMIFS('Timesheet Raw'!$P$4:$P$8000,'Timesheet Raw'!$L$4:$L$8000,$A168,'Timesheet Raw'!$C$4:$C$8000,L$3,'Timesheet Raw'!$A$4:$A$8000,"1-Projects"))</f>
        <v>0</v>
      </c>
      <c r="M168" s="341">
        <f>IF($A168="","",SUMIFS('Timesheet Raw'!$P$4:$P$8000,'Timesheet Raw'!$L$4:$L$8000,$A168,'Timesheet Raw'!$C$4:$C$8000,L$3,'Timesheet Raw'!$A$4:$A$8000,"2-Proposals Chargeable")+SUMIFS('Timesheet Raw'!$P$4:$P$8000,'Timesheet Raw'!$L$4:$L$8000,$A168,'Timesheet Raw'!$C$4:$C$8000,L$3,'Timesheet Raw'!$A$4:$A$8000,"3-Proposals Regular"))</f>
        <v>0</v>
      </c>
      <c r="N168" s="341">
        <f>IF($A168="","",SUMIFS('Timesheet Raw'!$P$4:$P$8000,'Timesheet Raw'!$L$4:$L$8000,$A168,'Timesheet Raw'!$C$4:$C$8000,L$3,'Timesheet Raw'!$B$4:$B$8000,'Work Calendar'!$A$26)+SUMIFS('Timesheet Raw'!$P$4:$P$8000,'Timesheet Raw'!$L$4:$L$8000,$A168,'Timesheet Raw'!$C$4:$C$8000,L$3,'Timesheet Raw'!$B$4:$B$8000,'Work Calendar'!$A$27)+SUMIFS('Timesheet Raw'!$P$4:$P$8000,'Timesheet Raw'!$L$4:$L$8000,$A168,'Timesheet Raw'!$C$4:$C$8000,L$3,'Timesheet Raw'!$B$4:$B$8000,'Work Calendar'!$A$28)+SUMIFS('Timesheet Raw'!$P$4:$P$8000,'Timesheet Raw'!$L$4:$L$8000,$A168,'Timesheet Raw'!$C$4:$C$8000,L$3,'Timesheet Raw'!$B$4:$B$8000,'Work Calendar'!$A$29))</f>
        <v>0</v>
      </c>
      <c r="O168" s="341">
        <f t="shared" si="10"/>
        <v>0</v>
      </c>
      <c r="P168" s="395">
        <f>IF($A168="","",SUMIFS('Timesheet Raw'!$K$4:$K$8000,'Timesheet Raw'!$L$4:$L$8000,$A168,'Timesheet Raw'!$C$4:$C$8000,L$3))</f>
        <v>0</v>
      </c>
      <c r="Q168" s="345">
        <f>IF($A168="","",SUMIFS('Timesheet Raw'!$P$4:$P$8000,'Timesheet Raw'!$L$4:$L$8000,$A168,'Timesheet Raw'!$C$4:$C$8000,L$3))</f>
        <v>0</v>
      </c>
      <c r="R168" s="375"/>
      <c r="S168" t="str">
        <f>IF($A168="","",IF(R168&lt;&gt;"",R168,IF($A168&gt;'Work Calendar'!$B$17,"No data yet",IF(AND(N168&gt;='Work Calendar'!$B$14,L168+M168+O168&gt;0),"Day off - but worked",IF(N168&gt;='Work Calendar'!$B$14,"Day off",IF(L168+M168+O168&gt;0,IF($C168="Working","Charged","Worked weekend"),IF($C168="Working","Leave (not charged)",$C168)))))))</f>
        <v>Weekend</v>
      </c>
      <c r="T168" s="341">
        <f>IF($A168="","",SUMIFS('Timesheet Raw'!$P$4:$P$8000,'Timesheet Raw'!$L$4:$L$8000,$A168,'Timesheet Raw'!$C$4:$C$8000,T$3,'Timesheet Raw'!$A$4:$A$8000,"1-Projects"))</f>
        <v>0</v>
      </c>
      <c r="U168" s="341">
        <f>IF($A168="","",SUMIFS('Timesheet Raw'!$P$4:$P$8000,'Timesheet Raw'!$L$4:$L$8000,$A168,'Timesheet Raw'!$C$4:$C$8000,T$3,'Timesheet Raw'!$A$4:$A$8000,"2-Proposals Chargeable")+SUMIFS('Timesheet Raw'!$P$4:$P$8000,'Timesheet Raw'!$L$4:$L$8000,$A168,'Timesheet Raw'!$C$4:$C$8000,T$3,'Timesheet Raw'!$A$4:$A$8000,"3-Proposals Regular"))</f>
        <v>0</v>
      </c>
      <c r="V168" s="341">
        <f>IF($A168="","",SUMIFS('Timesheet Raw'!$P$4:$P$8000,'Timesheet Raw'!$L$4:$L$8000,$A168,'Timesheet Raw'!$C$4:$C$8000,T$3,'Timesheet Raw'!$B$4:$B$8000,'Work Calendar'!$A$26)+SUMIFS('Timesheet Raw'!$P$4:$P$8000,'Timesheet Raw'!$L$4:$L$8000,$A168,'Timesheet Raw'!$C$4:$C$8000,T$3,'Timesheet Raw'!$B$4:$B$8000,'Work Calendar'!$A$27)+SUMIFS('Timesheet Raw'!$P$4:$P$8000,'Timesheet Raw'!$L$4:$L$8000,$A168,'Timesheet Raw'!$C$4:$C$8000,T$3,'Timesheet Raw'!$B$4:$B$8000,'Work Calendar'!$A$28)+SUMIFS('Timesheet Raw'!$P$4:$P$8000,'Timesheet Raw'!$L$4:$L$8000,$A168,'Timesheet Raw'!$C$4:$C$8000,T$3,'Timesheet Raw'!$B$4:$B$8000,'Work Calendar'!$A$29))</f>
        <v>0</v>
      </c>
      <c r="W168" s="341">
        <f t="shared" si="11"/>
        <v>0</v>
      </c>
      <c r="X168" s="395">
        <f>IF($A168="","",SUMIFS('Timesheet Raw'!$K$4:$K$8000,'Timesheet Raw'!$L$4:$L$8000,$A168,'Timesheet Raw'!$C$4:$C$8000,T$3))</f>
        <v>0</v>
      </c>
      <c r="Y168" s="345">
        <f>IF($A168="","",SUMIFS('Timesheet Raw'!$P$4:$P$8000,'Timesheet Raw'!$L$4:$L$8000,$A168,'Timesheet Raw'!$C$4:$C$8000,T$3))</f>
        <v>0</v>
      </c>
      <c r="Z168" s="375"/>
      <c r="AA168" t="str">
        <f>IF($A168="","",IF(Z168&lt;&gt;"",Z168,IF($A168&gt;'Work Calendar'!$B$17,"No data yet",IF(AND(V168&gt;='Work Calendar'!$B$14,T168+U168+W168&gt;0),"Day off - but worked",IF(V168&gt;='Work Calendar'!$B$14,"Day off",IF(T168+U168+W168&gt;0,IF($C168="Working","Charged","Worked weekend"),IF($C168="Working","Leave (not charged)",$C168)))))))</f>
        <v>Weekend</v>
      </c>
    </row>
    <row r="169" spans="1:27" x14ac:dyDescent="0.3">
      <c r="A169" s="371">
        <f>IF($A168="","",IF($A168+1&gt;'Work Calendar'!$B$16,"",$A168+1))</f>
        <v>46187</v>
      </c>
      <c r="B169" t="str">
        <f t="shared" si="8"/>
        <v>Sun</v>
      </c>
      <c r="C169" t="str" cm="1">
        <f t="array" ref="C169">IF($A169="","",IF(COUNTIF('Work Calendar'!$E$6:$E$200,$A169)&gt;0,"Holiday",IF(INDEX('Work Calendar'!$C$6:$C$12,WEEKDAY($A169,1))=1,"Working","Weekend")))</f>
        <v>Working</v>
      </c>
      <c r="D169" s="341">
        <f>IF($A169="","",SUMIFS('Timesheet Raw'!$P$4:$P$8000,'Timesheet Raw'!$L$4:$L$8000,$A169,'Timesheet Raw'!$C$4:$C$8000,D$3,'Timesheet Raw'!$A$4:$A$8000,"1-Projects"))</f>
        <v>6.5</v>
      </c>
      <c r="E169" s="341">
        <f>IF($A169="","",SUMIFS('Timesheet Raw'!$P$4:$P$8000,'Timesheet Raw'!$L$4:$L$8000,$A169,'Timesheet Raw'!$C$4:$C$8000,D$3,'Timesheet Raw'!$A$4:$A$8000,"2-Proposals Chargeable")+SUMIFS('Timesheet Raw'!$P$4:$P$8000,'Timesheet Raw'!$L$4:$L$8000,$A169,'Timesheet Raw'!$C$4:$C$8000,D$3,'Timesheet Raw'!$A$4:$A$8000,"3-Proposals Regular"))</f>
        <v>0</v>
      </c>
      <c r="F169" s="341">
        <f>IF($A169="","",SUMIFS('Timesheet Raw'!$P$4:$P$8000,'Timesheet Raw'!$L$4:$L$8000,$A169,'Timesheet Raw'!$C$4:$C$8000,D$3,'Timesheet Raw'!$B$4:$B$8000,'Work Calendar'!$A$26)+SUMIFS('Timesheet Raw'!$P$4:$P$8000,'Timesheet Raw'!$L$4:$L$8000,$A169,'Timesheet Raw'!$C$4:$C$8000,D$3,'Timesheet Raw'!$B$4:$B$8000,'Work Calendar'!$A$27)+SUMIFS('Timesheet Raw'!$P$4:$P$8000,'Timesheet Raw'!$L$4:$L$8000,$A169,'Timesheet Raw'!$C$4:$C$8000,D$3,'Timesheet Raw'!$B$4:$B$8000,'Work Calendar'!$A$28)+SUMIFS('Timesheet Raw'!$P$4:$P$8000,'Timesheet Raw'!$L$4:$L$8000,$A169,'Timesheet Raw'!$C$4:$C$8000,D$3,'Timesheet Raw'!$B$4:$B$8000,'Work Calendar'!$A$29))</f>
        <v>2</v>
      </c>
      <c r="G169" s="341">
        <f t="shared" si="9"/>
        <v>0</v>
      </c>
      <c r="H169" s="395">
        <f>IF($A169="","",SUMIFS('Timesheet Raw'!$K$4:$K$8000,'Timesheet Raw'!$L$4:$L$8000,$A169,'Timesheet Raw'!$C$4:$C$8000,D$3))</f>
        <v>0</v>
      </c>
      <c r="I169" s="345">
        <f>IF($A169="","",SUMIFS('Timesheet Raw'!$P$4:$P$8000,'Timesheet Raw'!$L$4:$L$8000,$A169,'Timesheet Raw'!$C$4:$C$8000,D$3))</f>
        <v>8.5</v>
      </c>
      <c r="J169" s="375"/>
      <c r="K169" t="str">
        <f>IF($A169="","",IF(J169&lt;&gt;"",J169,IF($A169&gt;'Work Calendar'!$B$17,"No data yet",IF(AND(F169&gt;='Work Calendar'!$B$14,D169+E169+G169&gt;0),"Day off - but worked",IF(F169&gt;='Work Calendar'!$B$14,"Day off",IF(D169+E169+G169&gt;0,IF($C169="Working","Charged","Worked weekend"),IF($C169="Working","Leave (not charged)",$C169)))))))</f>
        <v>Charged</v>
      </c>
      <c r="L169" s="341">
        <f>IF($A169="","",SUMIFS('Timesheet Raw'!$P$4:$P$8000,'Timesheet Raw'!$L$4:$L$8000,$A169,'Timesheet Raw'!$C$4:$C$8000,L$3,'Timesheet Raw'!$A$4:$A$8000,"1-Projects"))</f>
        <v>8.25</v>
      </c>
      <c r="M169" s="341">
        <f>IF($A169="","",SUMIFS('Timesheet Raw'!$P$4:$P$8000,'Timesheet Raw'!$L$4:$L$8000,$A169,'Timesheet Raw'!$C$4:$C$8000,L$3,'Timesheet Raw'!$A$4:$A$8000,"2-Proposals Chargeable")+SUMIFS('Timesheet Raw'!$P$4:$P$8000,'Timesheet Raw'!$L$4:$L$8000,$A169,'Timesheet Raw'!$C$4:$C$8000,L$3,'Timesheet Raw'!$A$4:$A$8000,"3-Proposals Regular"))</f>
        <v>0</v>
      </c>
      <c r="N169" s="341">
        <f>IF($A169="","",SUMIFS('Timesheet Raw'!$P$4:$P$8000,'Timesheet Raw'!$L$4:$L$8000,$A169,'Timesheet Raw'!$C$4:$C$8000,L$3,'Timesheet Raw'!$B$4:$B$8000,'Work Calendar'!$A$26)+SUMIFS('Timesheet Raw'!$P$4:$P$8000,'Timesheet Raw'!$L$4:$L$8000,$A169,'Timesheet Raw'!$C$4:$C$8000,L$3,'Timesheet Raw'!$B$4:$B$8000,'Work Calendar'!$A$27)+SUMIFS('Timesheet Raw'!$P$4:$P$8000,'Timesheet Raw'!$L$4:$L$8000,$A169,'Timesheet Raw'!$C$4:$C$8000,L$3,'Timesheet Raw'!$B$4:$B$8000,'Work Calendar'!$A$28)+SUMIFS('Timesheet Raw'!$P$4:$P$8000,'Timesheet Raw'!$L$4:$L$8000,$A169,'Timesheet Raw'!$C$4:$C$8000,L$3,'Timesheet Raw'!$B$4:$B$8000,'Work Calendar'!$A$29))</f>
        <v>0.25</v>
      </c>
      <c r="O169" s="341">
        <f t="shared" si="10"/>
        <v>0</v>
      </c>
      <c r="P169" s="395">
        <f>IF($A169="","",SUMIFS('Timesheet Raw'!$K$4:$K$8000,'Timesheet Raw'!$L$4:$L$8000,$A169,'Timesheet Raw'!$C$4:$C$8000,L$3))</f>
        <v>0</v>
      </c>
      <c r="Q169" s="345">
        <f>IF($A169="","",SUMIFS('Timesheet Raw'!$P$4:$P$8000,'Timesheet Raw'!$L$4:$L$8000,$A169,'Timesheet Raw'!$C$4:$C$8000,L$3))</f>
        <v>8.5</v>
      </c>
      <c r="R169" s="375"/>
      <c r="S169" t="str">
        <f>IF($A169="","",IF(R169&lt;&gt;"",R169,IF($A169&gt;'Work Calendar'!$B$17,"No data yet",IF(AND(N169&gt;='Work Calendar'!$B$14,L169+M169+O169&gt;0),"Day off - but worked",IF(N169&gt;='Work Calendar'!$B$14,"Day off",IF(L169+M169+O169&gt;0,IF($C169="Working","Charged","Worked weekend"),IF($C169="Working","Leave (not charged)",$C169)))))))</f>
        <v>Charged</v>
      </c>
      <c r="T169" s="341">
        <f>IF($A169="","",SUMIFS('Timesheet Raw'!$P$4:$P$8000,'Timesheet Raw'!$L$4:$L$8000,$A169,'Timesheet Raw'!$C$4:$C$8000,T$3,'Timesheet Raw'!$A$4:$A$8000,"1-Projects"))</f>
        <v>7.5</v>
      </c>
      <c r="U169" s="341">
        <f>IF($A169="","",SUMIFS('Timesheet Raw'!$P$4:$P$8000,'Timesheet Raw'!$L$4:$L$8000,$A169,'Timesheet Raw'!$C$4:$C$8000,T$3,'Timesheet Raw'!$A$4:$A$8000,"2-Proposals Chargeable")+SUMIFS('Timesheet Raw'!$P$4:$P$8000,'Timesheet Raw'!$L$4:$L$8000,$A169,'Timesheet Raw'!$C$4:$C$8000,T$3,'Timesheet Raw'!$A$4:$A$8000,"3-Proposals Regular"))</f>
        <v>0</v>
      </c>
      <c r="V169" s="341">
        <f>IF($A169="","",SUMIFS('Timesheet Raw'!$P$4:$P$8000,'Timesheet Raw'!$L$4:$L$8000,$A169,'Timesheet Raw'!$C$4:$C$8000,T$3,'Timesheet Raw'!$B$4:$B$8000,'Work Calendar'!$A$26)+SUMIFS('Timesheet Raw'!$P$4:$P$8000,'Timesheet Raw'!$L$4:$L$8000,$A169,'Timesheet Raw'!$C$4:$C$8000,T$3,'Timesheet Raw'!$B$4:$B$8000,'Work Calendar'!$A$27)+SUMIFS('Timesheet Raw'!$P$4:$P$8000,'Timesheet Raw'!$L$4:$L$8000,$A169,'Timesheet Raw'!$C$4:$C$8000,T$3,'Timesheet Raw'!$B$4:$B$8000,'Work Calendar'!$A$28)+SUMIFS('Timesheet Raw'!$P$4:$P$8000,'Timesheet Raw'!$L$4:$L$8000,$A169,'Timesheet Raw'!$C$4:$C$8000,T$3,'Timesheet Raw'!$B$4:$B$8000,'Work Calendar'!$A$29))</f>
        <v>1</v>
      </c>
      <c r="W169" s="341">
        <f t="shared" si="11"/>
        <v>0</v>
      </c>
      <c r="X169" s="395">
        <f>IF($A169="","",SUMIFS('Timesheet Raw'!$K$4:$K$8000,'Timesheet Raw'!$L$4:$L$8000,$A169,'Timesheet Raw'!$C$4:$C$8000,T$3))</f>
        <v>0</v>
      </c>
      <c r="Y169" s="345">
        <f>IF($A169="","",SUMIFS('Timesheet Raw'!$P$4:$P$8000,'Timesheet Raw'!$L$4:$L$8000,$A169,'Timesheet Raw'!$C$4:$C$8000,T$3))</f>
        <v>8.5</v>
      </c>
      <c r="Z169" s="375"/>
      <c r="AA169" t="str">
        <f>IF($A169="","",IF(Z169&lt;&gt;"",Z169,IF($A169&gt;'Work Calendar'!$B$17,"No data yet",IF(AND(V169&gt;='Work Calendar'!$B$14,T169+U169+W169&gt;0),"Day off - but worked",IF(V169&gt;='Work Calendar'!$B$14,"Day off",IF(T169+U169+W169&gt;0,IF($C169="Working","Charged","Worked weekend"),IF($C169="Working","Leave (not charged)",$C169)))))))</f>
        <v>Charged</v>
      </c>
    </row>
    <row r="170" spans="1:27" x14ac:dyDescent="0.3">
      <c r="A170" s="371">
        <f>IF($A169="","",IF($A169+1&gt;'Work Calendar'!$B$16,"",$A169+1))</f>
        <v>46188</v>
      </c>
      <c r="B170" t="str">
        <f t="shared" si="8"/>
        <v>Mon</v>
      </c>
      <c r="C170" t="str" cm="1">
        <f t="array" ref="C170">IF($A170="","",IF(COUNTIF('Work Calendar'!$E$6:$E$200,$A170)&gt;0,"Holiday",IF(INDEX('Work Calendar'!$C$6:$C$12,WEEKDAY($A170,1))=1,"Working","Weekend")))</f>
        <v>Working</v>
      </c>
      <c r="D170" s="341">
        <f>IF($A170="","",SUMIFS('Timesheet Raw'!$P$4:$P$8000,'Timesheet Raw'!$L$4:$L$8000,$A170,'Timesheet Raw'!$C$4:$C$8000,D$3,'Timesheet Raw'!$A$4:$A$8000,"1-Projects"))</f>
        <v>7</v>
      </c>
      <c r="E170" s="341">
        <f>IF($A170="","",SUMIFS('Timesheet Raw'!$P$4:$P$8000,'Timesheet Raw'!$L$4:$L$8000,$A170,'Timesheet Raw'!$C$4:$C$8000,D$3,'Timesheet Raw'!$A$4:$A$8000,"2-Proposals Chargeable")+SUMIFS('Timesheet Raw'!$P$4:$P$8000,'Timesheet Raw'!$L$4:$L$8000,$A170,'Timesheet Raw'!$C$4:$C$8000,D$3,'Timesheet Raw'!$A$4:$A$8000,"3-Proposals Regular"))</f>
        <v>0</v>
      </c>
      <c r="F170" s="341">
        <f>IF($A170="","",SUMIFS('Timesheet Raw'!$P$4:$P$8000,'Timesheet Raw'!$L$4:$L$8000,$A170,'Timesheet Raw'!$C$4:$C$8000,D$3,'Timesheet Raw'!$B$4:$B$8000,'Work Calendar'!$A$26)+SUMIFS('Timesheet Raw'!$P$4:$P$8000,'Timesheet Raw'!$L$4:$L$8000,$A170,'Timesheet Raw'!$C$4:$C$8000,D$3,'Timesheet Raw'!$B$4:$B$8000,'Work Calendar'!$A$27)+SUMIFS('Timesheet Raw'!$P$4:$P$8000,'Timesheet Raw'!$L$4:$L$8000,$A170,'Timesheet Raw'!$C$4:$C$8000,D$3,'Timesheet Raw'!$B$4:$B$8000,'Work Calendar'!$A$28)+SUMIFS('Timesheet Raw'!$P$4:$P$8000,'Timesheet Raw'!$L$4:$L$8000,$A170,'Timesheet Raw'!$C$4:$C$8000,D$3,'Timesheet Raw'!$B$4:$B$8000,'Work Calendar'!$A$29))</f>
        <v>1.5</v>
      </c>
      <c r="G170" s="341">
        <f t="shared" si="9"/>
        <v>0</v>
      </c>
      <c r="H170" s="395">
        <f>IF($A170="","",SUMIFS('Timesheet Raw'!$K$4:$K$8000,'Timesheet Raw'!$L$4:$L$8000,$A170,'Timesheet Raw'!$C$4:$C$8000,D$3))</f>
        <v>0</v>
      </c>
      <c r="I170" s="345">
        <f>IF($A170="","",SUMIFS('Timesheet Raw'!$P$4:$P$8000,'Timesheet Raw'!$L$4:$L$8000,$A170,'Timesheet Raw'!$C$4:$C$8000,D$3))</f>
        <v>8.5</v>
      </c>
      <c r="J170" s="375"/>
      <c r="K170" t="str">
        <f>IF($A170="","",IF(J170&lt;&gt;"",J170,IF($A170&gt;'Work Calendar'!$B$17,"No data yet",IF(AND(F170&gt;='Work Calendar'!$B$14,D170+E170+G170&gt;0),"Day off - but worked",IF(F170&gt;='Work Calendar'!$B$14,"Day off",IF(D170+E170+G170&gt;0,IF($C170="Working","Charged","Worked weekend"),IF($C170="Working","Leave (not charged)",$C170)))))))</f>
        <v>Charged</v>
      </c>
      <c r="L170" s="341">
        <f>IF($A170="","",SUMIFS('Timesheet Raw'!$P$4:$P$8000,'Timesheet Raw'!$L$4:$L$8000,$A170,'Timesheet Raw'!$C$4:$C$8000,L$3,'Timesheet Raw'!$A$4:$A$8000,"1-Projects"))</f>
        <v>8.5</v>
      </c>
      <c r="M170" s="341">
        <f>IF($A170="","",SUMIFS('Timesheet Raw'!$P$4:$P$8000,'Timesheet Raw'!$L$4:$L$8000,$A170,'Timesheet Raw'!$C$4:$C$8000,L$3,'Timesheet Raw'!$A$4:$A$8000,"2-Proposals Chargeable")+SUMIFS('Timesheet Raw'!$P$4:$P$8000,'Timesheet Raw'!$L$4:$L$8000,$A170,'Timesheet Raw'!$C$4:$C$8000,L$3,'Timesheet Raw'!$A$4:$A$8000,"3-Proposals Regular"))</f>
        <v>0</v>
      </c>
      <c r="N170" s="341">
        <f>IF($A170="","",SUMIFS('Timesheet Raw'!$P$4:$P$8000,'Timesheet Raw'!$L$4:$L$8000,$A170,'Timesheet Raw'!$C$4:$C$8000,L$3,'Timesheet Raw'!$B$4:$B$8000,'Work Calendar'!$A$26)+SUMIFS('Timesheet Raw'!$P$4:$P$8000,'Timesheet Raw'!$L$4:$L$8000,$A170,'Timesheet Raw'!$C$4:$C$8000,L$3,'Timesheet Raw'!$B$4:$B$8000,'Work Calendar'!$A$27)+SUMIFS('Timesheet Raw'!$P$4:$P$8000,'Timesheet Raw'!$L$4:$L$8000,$A170,'Timesheet Raw'!$C$4:$C$8000,L$3,'Timesheet Raw'!$B$4:$B$8000,'Work Calendar'!$A$28)+SUMIFS('Timesheet Raw'!$P$4:$P$8000,'Timesheet Raw'!$L$4:$L$8000,$A170,'Timesheet Raw'!$C$4:$C$8000,L$3,'Timesheet Raw'!$B$4:$B$8000,'Work Calendar'!$A$29))</f>
        <v>0.25</v>
      </c>
      <c r="O170" s="341">
        <f t="shared" si="10"/>
        <v>0</v>
      </c>
      <c r="P170" s="395">
        <f>IF($A170="","",SUMIFS('Timesheet Raw'!$K$4:$K$8000,'Timesheet Raw'!$L$4:$L$8000,$A170,'Timesheet Raw'!$C$4:$C$8000,L$3))</f>
        <v>0.25</v>
      </c>
      <c r="Q170" s="345">
        <f>IF($A170="","",SUMIFS('Timesheet Raw'!$P$4:$P$8000,'Timesheet Raw'!$L$4:$L$8000,$A170,'Timesheet Raw'!$C$4:$C$8000,L$3))</f>
        <v>8.75</v>
      </c>
      <c r="R170" s="375"/>
      <c r="S170" t="str">
        <f>IF($A170="","",IF(R170&lt;&gt;"",R170,IF($A170&gt;'Work Calendar'!$B$17,"No data yet",IF(AND(N170&gt;='Work Calendar'!$B$14,L170+M170+O170&gt;0),"Day off - but worked",IF(N170&gt;='Work Calendar'!$B$14,"Day off",IF(L170+M170+O170&gt;0,IF($C170="Working","Charged","Worked weekend"),IF($C170="Working","Leave (not charged)",$C170)))))))</f>
        <v>Charged</v>
      </c>
      <c r="T170" s="341">
        <f>IF($A170="","",SUMIFS('Timesheet Raw'!$P$4:$P$8000,'Timesheet Raw'!$L$4:$L$8000,$A170,'Timesheet Raw'!$C$4:$C$8000,T$3,'Timesheet Raw'!$A$4:$A$8000,"1-Projects"))</f>
        <v>6.75</v>
      </c>
      <c r="U170" s="341">
        <f>IF($A170="","",SUMIFS('Timesheet Raw'!$P$4:$P$8000,'Timesheet Raw'!$L$4:$L$8000,$A170,'Timesheet Raw'!$C$4:$C$8000,T$3,'Timesheet Raw'!$A$4:$A$8000,"2-Proposals Chargeable")+SUMIFS('Timesheet Raw'!$P$4:$P$8000,'Timesheet Raw'!$L$4:$L$8000,$A170,'Timesheet Raw'!$C$4:$C$8000,T$3,'Timesheet Raw'!$A$4:$A$8000,"3-Proposals Regular"))</f>
        <v>0</v>
      </c>
      <c r="V170" s="341">
        <f>IF($A170="","",SUMIFS('Timesheet Raw'!$P$4:$P$8000,'Timesheet Raw'!$L$4:$L$8000,$A170,'Timesheet Raw'!$C$4:$C$8000,T$3,'Timesheet Raw'!$B$4:$B$8000,'Work Calendar'!$A$26)+SUMIFS('Timesheet Raw'!$P$4:$P$8000,'Timesheet Raw'!$L$4:$L$8000,$A170,'Timesheet Raw'!$C$4:$C$8000,T$3,'Timesheet Raw'!$B$4:$B$8000,'Work Calendar'!$A$27)+SUMIFS('Timesheet Raw'!$P$4:$P$8000,'Timesheet Raw'!$L$4:$L$8000,$A170,'Timesheet Raw'!$C$4:$C$8000,T$3,'Timesheet Raw'!$B$4:$B$8000,'Work Calendar'!$A$28)+SUMIFS('Timesheet Raw'!$P$4:$P$8000,'Timesheet Raw'!$L$4:$L$8000,$A170,'Timesheet Raw'!$C$4:$C$8000,T$3,'Timesheet Raw'!$B$4:$B$8000,'Work Calendar'!$A$29))</f>
        <v>1.75</v>
      </c>
      <c r="W170" s="341">
        <f t="shared" si="11"/>
        <v>0</v>
      </c>
      <c r="X170" s="395">
        <f>IF($A170="","",SUMIFS('Timesheet Raw'!$K$4:$K$8000,'Timesheet Raw'!$L$4:$L$8000,$A170,'Timesheet Raw'!$C$4:$C$8000,T$3))</f>
        <v>0</v>
      </c>
      <c r="Y170" s="345">
        <f>IF($A170="","",SUMIFS('Timesheet Raw'!$P$4:$P$8000,'Timesheet Raw'!$L$4:$L$8000,$A170,'Timesheet Raw'!$C$4:$C$8000,T$3))</f>
        <v>8.5</v>
      </c>
      <c r="Z170" s="375"/>
      <c r="AA170" t="str">
        <f>IF($A170="","",IF(Z170&lt;&gt;"",Z170,IF($A170&gt;'Work Calendar'!$B$17,"No data yet",IF(AND(V170&gt;='Work Calendar'!$B$14,T170+U170+W170&gt;0),"Day off - but worked",IF(V170&gt;='Work Calendar'!$B$14,"Day off",IF(T170+U170+W170&gt;0,IF($C170="Working","Charged","Worked weekend"),IF($C170="Working","Leave (not charged)",$C170)))))))</f>
        <v>Charged</v>
      </c>
    </row>
    <row r="171" spans="1:27" x14ac:dyDescent="0.3">
      <c r="A171" s="371">
        <f>IF($A170="","",IF($A170+1&gt;'Work Calendar'!$B$16,"",$A170+1))</f>
        <v>46189</v>
      </c>
      <c r="B171" t="str">
        <f t="shared" si="8"/>
        <v>Tue</v>
      </c>
      <c r="C171" t="str" cm="1">
        <f t="array" ref="C171">IF($A171="","",IF(COUNTIF('Work Calendar'!$E$6:$E$200,$A171)&gt;0,"Holiday",IF(INDEX('Work Calendar'!$C$6:$C$12,WEEKDAY($A171,1))=1,"Working","Weekend")))</f>
        <v>Working</v>
      </c>
      <c r="D171" s="341">
        <f>IF($A171="","",SUMIFS('Timesheet Raw'!$P$4:$P$8000,'Timesheet Raw'!$L$4:$L$8000,$A171,'Timesheet Raw'!$C$4:$C$8000,D$3,'Timesheet Raw'!$A$4:$A$8000,"1-Projects"))</f>
        <v>6.5</v>
      </c>
      <c r="E171" s="341">
        <f>IF($A171="","",SUMIFS('Timesheet Raw'!$P$4:$P$8000,'Timesheet Raw'!$L$4:$L$8000,$A171,'Timesheet Raw'!$C$4:$C$8000,D$3,'Timesheet Raw'!$A$4:$A$8000,"2-Proposals Chargeable")+SUMIFS('Timesheet Raw'!$P$4:$P$8000,'Timesheet Raw'!$L$4:$L$8000,$A171,'Timesheet Raw'!$C$4:$C$8000,D$3,'Timesheet Raw'!$A$4:$A$8000,"3-Proposals Regular"))</f>
        <v>0</v>
      </c>
      <c r="F171" s="341">
        <f>IF($A171="","",SUMIFS('Timesheet Raw'!$P$4:$P$8000,'Timesheet Raw'!$L$4:$L$8000,$A171,'Timesheet Raw'!$C$4:$C$8000,D$3,'Timesheet Raw'!$B$4:$B$8000,'Work Calendar'!$A$26)+SUMIFS('Timesheet Raw'!$P$4:$P$8000,'Timesheet Raw'!$L$4:$L$8000,$A171,'Timesheet Raw'!$C$4:$C$8000,D$3,'Timesheet Raw'!$B$4:$B$8000,'Work Calendar'!$A$27)+SUMIFS('Timesheet Raw'!$P$4:$P$8000,'Timesheet Raw'!$L$4:$L$8000,$A171,'Timesheet Raw'!$C$4:$C$8000,D$3,'Timesheet Raw'!$B$4:$B$8000,'Work Calendar'!$A$28)+SUMIFS('Timesheet Raw'!$P$4:$P$8000,'Timesheet Raw'!$L$4:$L$8000,$A171,'Timesheet Raw'!$C$4:$C$8000,D$3,'Timesheet Raw'!$B$4:$B$8000,'Work Calendar'!$A$29))</f>
        <v>2.25</v>
      </c>
      <c r="G171" s="341">
        <f t="shared" si="9"/>
        <v>0</v>
      </c>
      <c r="H171" s="395">
        <f>IF($A171="","",SUMIFS('Timesheet Raw'!$K$4:$K$8000,'Timesheet Raw'!$L$4:$L$8000,$A171,'Timesheet Raw'!$C$4:$C$8000,D$3))</f>
        <v>0.25</v>
      </c>
      <c r="I171" s="345">
        <f>IF($A171="","",SUMIFS('Timesheet Raw'!$P$4:$P$8000,'Timesheet Raw'!$L$4:$L$8000,$A171,'Timesheet Raw'!$C$4:$C$8000,D$3))</f>
        <v>8.75</v>
      </c>
      <c r="J171" s="375"/>
      <c r="K171" t="str">
        <f>IF($A171="","",IF(J171&lt;&gt;"",J171,IF($A171&gt;'Work Calendar'!$B$17,"No data yet",IF(AND(F171&gt;='Work Calendar'!$B$14,D171+E171+G171&gt;0),"Day off - but worked",IF(F171&gt;='Work Calendar'!$B$14,"Day off",IF(D171+E171+G171&gt;0,IF($C171="Working","Charged","Worked weekend"),IF($C171="Working","Leave (not charged)",$C171)))))))</f>
        <v>Charged</v>
      </c>
      <c r="L171" s="341">
        <f>IF($A171="","",SUMIFS('Timesheet Raw'!$P$4:$P$8000,'Timesheet Raw'!$L$4:$L$8000,$A171,'Timesheet Raw'!$C$4:$C$8000,L$3,'Timesheet Raw'!$A$4:$A$8000,"1-Projects"))</f>
        <v>8.75</v>
      </c>
      <c r="M171" s="341">
        <f>IF($A171="","",SUMIFS('Timesheet Raw'!$P$4:$P$8000,'Timesheet Raw'!$L$4:$L$8000,$A171,'Timesheet Raw'!$C$4:$C$8000,L$3,'Timesheet Raw'!$A$4:$A$8000,"2-Proposals Chargeable")+SUMIFS('Timesheet Raw'!$P$4:$P$8000,'Timesheet Raw'!$L$4:$L$8000,$A171,'Timesheet Raw'!$C$4:$C$8000,L$3,'Timesheet Raw'!$A$4:$A$8000,"3-Proposals Regular"))</f>
        <v>0</v>
      </c>
      <c r="N171" s="341">
        <f>IF($A171="","",SUMIFS('Timesheet Raw'!$P$4:$P$8000,'Timesheet Raw'!$L$4:$L$8000,$A171,'Timesheet Raw'!$C$4:$C$8000,L$3,'Timesheet Raw'!$B$4:$B$8000,'Work Calendar'!$A$26)+SUMIFS('Timesheet Raw'!$P$4:$P$8000,'Timesheet Raw'!$L$4:$L$8000,$A171,'Timesheet Raw'!$C$4:$C$8000,L$3,'Timesheet Raw'!$B$4:$B$8000,'Work Calendar'!$A$27)+SUMIFS('Timesheet Raw'!$P$4:$P$8000,'Timesheet Raw'!$L$4:$L$8000,$A171,'Timesheet Raw'!$C$4:$C$8000,L$3,'Timesheet Raw'!$B$4:$B$8000,'Work Calendar'!$A$28)+SUMIFS('Timesheet Raw'!$P$4:$P$8000,'Timesheet Raw'!$L$4:$L$8000,$A171,'Timesheet Raw'!$C$4:$C$8000,L$3,'Timesheet Raw'!$B$4:$B$8000,'Work Calendar'!$A$29))</f>
        <v>0.25</v>
      </c>
      <c r="O171" s="341">
        <f t="shared" si="10"/>
        <v>0</v>
      </c>
      <c r="P171" s="395">
        <f>IF($A171="","",SUMIFS('Timesheet Raw'!$K$4:$K$8000,'Timesheet Raw'!$L$4:$L$8000,$A171,'Timesheet Raw'!$C$4:$C$8000,L$3))</f>
        <v>0.5</v>
      </c>
      <c r="Q171" s="345">
        <f>IF($A171="","",SUMIFS('Timesheet Raw'!$P$4:$P$8000,'Timesheet Raw'!$L$4:$L$8000,$A171,'Timesheet Raw'!$C$4:$C$8000,L$3))</f>
        <v>9</v>
      </c>
      <c r="R171" s="375"/>
      <c r="S171" t="str">
        <f>IF($A171="","",IF(R171&lt;&gt;"",R171,IF($A171&gt;'Work Calendar'!$B$17,"No data yet",IF(AND(N171&gt;='Work Calendar'!$B$14,L171+M171+O171&gt;0),"Day off - but worked",IF(N171&gt;='Work Calendar'!$B$14,"Day off",IF(L171+M171+O171&gt;0,IF($C171="Working","Charged","Worked weekend"),IF($C171="Working","Leave (not charged)",$C171)))))))</f>
        <v>Charged</v>
      </c>
      <c r="T171" s="341">
        <f>IF($A171="","",SUMIFS('Timesheet Raw'!$P$4:$P$8000,'Timesheet Raw'!$L$4:$L$8000,$A171,'Timesheet Raw'!$C$4:$C$8000,T$3,'Timesheet Raw'!$A$4:$A$8000,"1-Projects"))</f>
        <v>7.75</v>
      </c>
      <c r="U171" s="341">
        <f>IF($A171="","",SUMIFS('Timesheet Raw'!$P$4:$P$8000,'Timesheet Raw'!$L$4:$L$8000,$A171,'Timesheet Raw'!$C$4:$C$8000,T$3,'Timesheet Raw'!$A$4:$A$8000,"2-Proposals Chargeable")+SUMIFS('Timesheet Raw'!$P$4:$P$8000,'Timesheet Raw'!$L$4:$L$8000,$A171,'Timesheet Raw'!$C$4:$C$8000,T$3,'Timesheet Raw'!$A$4:$A$8000,"3-Proposals Regular"))</f>
        <v>0</v>
      </c>
      <c r="V171" s="341">
        <f>IF($A171="","",SUMIFS('Timesheet Raw'!$P$4:$P$8000,'Timesheet Raw'!$L$4:$L$8000,$A171,'Timesheet Raw'!$C$4:$C$8000,T$3,'Timesheet Raw'!$B$4:$B$8000,'Work Calendar'!$A$26)+SUMIFS('Timesheet Raw'!$P$4:$P$8000,'Timesheet Raw'!$L$4:$L$8000,$A171,'Timesheet Raw'!$C$4:$C$8000,T$3,'Timesheet Raw'!$B$4:$B$8000,'Work Calendar'!$A$27)+SUMIFS('Timesheet Raw'!$P$4:$P$8000,'Timesheet Raw'!$L$4:$L$8000,$A171,'Timesheet Raw'!$C$4:$C$8000,T$3,'Timesheet Raw'!$B$4:$B$8000,'Work Calendar'!$A$28)+SUMIFS('Timesheet Raw'!$P$4:$P$8000,'Timesheet Raw'!$L$4:$L$8000,$A171,'Timesheet Raw'!$C$4:$C$8000,T$3,'Timesheet Raw'!$B$4:$B$8000,'Work Calendar'!$A$29))</f>
        <v>1</v>
      </c>
      <c r="W171" s="341">
        <f t="shared" si="11"/>
        <v>0</v>
      </c>
      <c r="X171" s="395">
        <f>IF($A171="","",SUMIFS('Timesheet Raw'!$K$4:$K$8000,'Timesheet Raw'!$L$4:$L$8000,$A171,'Timesheet Raw'!$C$4:$C$8000,T$3))</f>
        <v>0.25</v>
      </c>
      <c r="Y171" s="345">
        <f>IF($A171="","",SUMIFS('Timesheet Raw'!$P$4:$P$8000,'Timesheet Raw'!$L$4:$L$8000,$A171,'Timesheet Raw'!$C$4:$C$8000,T$3))</f>
        <v>8.75</v>
      </c>
      <c r="Z171" s="375"/>
      <c r="AA171" t="str">
        <f>IF($A171="","",IF(Z171&lt;&gt;"",Z171,IF($A171&gt;'Work Calendar'!$B$17,"No data yet",IF(AND(V171&gt;='Work Calendar'!$B$14,T171+U171+W171&gt;0),"Day off - but worked",IF(V171&gt;='Work Calendar'!$B$14,"Day off",IF(T171+U171+W171&gt;0,IF($C171="Working","Charged","Worked weekend"),IF($C171="Working","Leave (not charged)",$C171)))))))</f>
        <v>Charged</v>
      </c>
    </row>
    <row r="172" spans="1:27" x14ac:dyDescent="0.3">
      <c r="A172" s="371">
        <f>IF($A171="","",IF($A171+1&gt;'Work Calendar'!$B$16,"",$A171+1))</f>
        <v>46190</v>
      </c>
      <c r="B172" t="str">
        <f t="shared" si="8"/>
        <v>Wed</v>
      </c>
      <c r="C172" t="str" cm="1">
        <f t="array" ref="C172">IF($A172="","",IF(COUNTIF('Work Calendar'!$E$6:$E$200,$A172)&gt;0,"Holiday",IF(INDEX('Work Calendar'!$C$6:$C$12,WEEKDAY($A172,1))=1,"Working","Weekend")))</f>
        <v>Working</v>
      </c>
      <c r="D172" s="341">
        <f>IF($A172="","",SUMIFS('Timesheet Raw'!$P$4:$P$8000,'Timesheet Raw'!$L$4:$L$8000,$A172,'Timesheet Raw'!$C$4:$C$8000,D$3,'Timesheet Raw'!$A$4:$A$8000,"1-Projects"))</f>
        <v>8.25</v>
      </c>
      <c r="E172" s="341">
        <f>IF($A172="","",SUMIFS('Timesheet Raw'!$P$4:$P$8000,'Timesheet Raw'!$L$4:$L$8000,$A172,'Timesheet Raw'!$C$4:$C$8000,D$3,'Timesheet Raw'!$A$4:$A$8000,"2-Proposals Chargeable")+SUMIFS('Timesheet Raw'!$P$4:$P$8000,'Timesheet Raw'!$L$4:$L$8000,$A172,'Timesheet Raw'!$C$4:$C$8000,D$3,'Timesheet Raw'!$A$4:$A$8000,"3-Proposals Regular"))</f>
        <v>0</v>
      </c>
      <c r="F172" s="341">
        <f>IF($A172="","",SUMIFS('Timesheet Raw'!$P$4:$P$8000,'Timesheet Raw'!$L$4:$L$8000,$A172,'Timesheet Raw'!$C$4:$C$8000,D$3,'Timesheet Raw'!$B$4:$B$8000,'Work Calendar'!$A$26)+SUMIFS('Timesheet Raw'!$P$4:$P$8000,'Timesheet Raw'!$L$4:$L$8000,$A172,'Timesheet Raw'!$C$4:$C$8000,D$3,'Timesheet Raw'!$B$4:$B$8000,'Work Calendar'!$A$27)+SUMIFS('Timesheet Raw'!$P$4:$P$8000,'Timesheet Raw'!$L$4:$L$8000,$A172,'Timesheet Raw'!$C$4:$C$8000,D$3,'Timesheet Raw'!$B$4:$B$8000,'Work Calendar'!$A$28)+SUMIFS('Timesheet Raw'!$P$4:$P$8000,'Timesheet Raw'!$L$4:$L$8000,$A172,'Timesheet Raw'!$C$4:$C$8000,D$3,'Timesheet Raw'!$B$4:$B$8000,'Work Calendar'!$A$29))</f>
        <v>1</v>
      </c>
      <c r="G172" s="341">
        <f t="shared" si="9"/>
        <v>0</v>
      </c>
      <c r="H172" s="395">
        <f>IF($A172="","",SUMIFS('Timesheet Raw'!$K$4:$K$8000,'Timesheet Raw'!$L$4:$L$8000,$A172,'Timesheet Raw'!$C$4:$C$8000,D$3))</f>
        <v>0.75</v>
      </c>
      <c r="I172" s="345">
        <f>IF($A172="","",SUMIFS('Timesheet Raw'!$P$4:$P$8000,'Timesheet Raw'!$L$4:$L$8000,$A172,'Timesheet Raw'!$C$4:$C$8000,D$3))</f>
        <v>9.25</v>
      </c>
      <c r="J172" s="375"/>
      <c r="K172" t="str">
        <f>IF($A172="","",IF(J172&lt;&gt;"",J172,IF($A172&gt;'Work Calendar'!$B$17,"No data yet",IF(AND(F172&gt;='Work Calendar'!$B$14,D172+E172+G172&gt;0),"Day off - but worked",IF(F172&gt;='Work Calendar'!$B$14,"Day off",IF(D172+E172+G172&gt;0,IF($C172="Working","Charged","Worked weekend"),IF($C172="Working","Leave (not charged)",$C172)))))))</f>
        <v>Charged</v>
      </c>
      <c r="L172" s="341">
        <f>IF($A172="","",SUMIFS('Timesheet Raw'!$P$4:$P$8000,'Timesheet Raw'!$L$4:$L$8000,$A172,'Timesheet Raw'!$C$4:$C$8000,L$3,'Timesheet Raw'!$A$4:$A$8000,"1-Projects"))</f>
        <v>8.75</v>
      </c>
      <c r="M172" s="341">
        <f>IF($A172="","",SUMIFS('Timesheet Raw'!$P$4:$P$8000,'Timesheet Raw'!$L$4:$L$8000,$A172,'Timesheet Raw'!$C$4:$C$8000,L$3,'Timesheet Raw'!$A$4:$A$8000,"2-Proposals Chargeable")+SUMIFS('Timesheet Raw'!$P$4:$P$8000,'Timesheet Raw'!$L$4:$L$8000,$A172,'Timesheet Raw'!$C$4:$C$8000,L$3,'Timesheet Raw'!$A$4:$A$8000,"3-Proposals Regular"))</f>
        <v>0</v>
      </c>
      <c r="N172" s="341">
        <f>IF($A172="","",SUMIFS('Timesheet Raw'!$P$4:$P$8000,'Timesheet Raw'!$L$4:$L$8000,$A172,'Timesheet Raw'!$C$4:$C$8000,L$3,'Timesheet Raw'!$B$4:$B$8000,'Work Calendar'!$A$26)+SUMIFS('Timesheet Raw'!$P$4:$P$8000,'Timesheet Raw'!$L$4:$L$8000,$A172,'Timesheet Raw'!$C$4:$C$8000,L$3,'Timesheet Raw'!$B$4:$B$8000,'Work Calendar'!$A$27)+SUMIFS('Timesheet Raw'!$P$4:$P$8000,'Timesheet Raw'!$L$4:$L$8000,$A172,'Timesheet Raw'!$C$4:$C$8000,L$3,'Timesheet Raw'!$B$4:$B$8000,'Work Calendar'!$A$28)+SUMIFS('Timesheet Raw'!$P$4:$P$8000,'Timesheet Raw'!$L$4:$L$8000,$A172,'Timesheet Raw'!$C$4:$C$8000,L$3,'Timesheet Raw'!$B$4:$B$8000,'Work Calendar'!$A$29))</f>
        <v>0</v>
      </c>
      <c r="O172" s="341">
        <f t="shared" si="10"/>
        <v>0</v>
      </c>
      <c r="P172" s="395">
        <f>IF($A172="","",SUMIFS('Timesheet Raw'!$K$4:$K$8000,'Timesheet Raw'!$L$4:$L$8000,$A172,'Timesheet Raw'!$C$4:$C$8000,L$3))</f>
        <v>0.25</v>
      </c>
      <c r="Q172" s="345">
        <f>IF($A172="","",SUMIFS('Timesheet Raw'!$P$4:$P$8000,'Timesheet Raw'!$L$4:$L$8000,$A172,'Timesheet Raw'!$C$4:$C$8000,L$3))</f>
        <v>8.75</v>
      </c>
      <c r="R172" s="375"/>
      <c r="S172" t="str">
        <f>IF($A172="","",IF(R172&lt;&gt;"",R172,IF($A172&gt;'Work Calendar'!$B$17,"No data yet",IF(AND(N172&gt;='Work Calendar'!$B$14,L172+M172+O172&gt;0),"Day off - but worked",IF(N172&gt;='Work Calendar'!$B$14,"Day off",IF(L172+M172+O172&gt;0,IF($C172="Working","Charged","Worked weekend"),IF($C172="Working","Leave (not charged)",$C172)))))))</f>
        <v>Charged</v>
      </c>
      <c r="T172" s="341">
        <f>IF($A172="","",SUMIFS('Timesheet Raw'!$P$4:$P$8000,'Timesheet Raw'!$L$4:$L$8000,$A172,'Timesheet Raw'!$C$4:$C$8000,T$3,'Timesheet Raw'!$A$4:$A$8000,"1-Projects"))</f>
        <v>8.5</v>
      </c>
      <c r="U172" s="341">
        <f>IF($A172="","",SUMIFS('Timesheet Raw'!$P$4:$P$8000,'Timesheet Raw'!$L$4:$L$8000,$A172,'Timesheet Raw'!$C$4:$C$8000,T$3,'Timesheet Raw'!$A$4:$A$8000,"2-Proposals Chargeable")+SUMIFS('Timesheet Raw'!$P$4:$P$8000,'Timesheet Raw'!$L$4:$L$8000,$A172,'Timesheet Raw'!$C$4:$C$8000,T$3,'Timesheet Raw'!$A$4:$A$8000,"3-Proposals Regular"))</f>
        <v>0</v>
      </c>
      <c r="V172" s="341">
        <f>IF($A172="","",SUMIFS('Timesheet Raw'!$P$4:$P$8000,'Timesheet Raw'!$L$4:$L$8000,$A172,'Timesheet Raw'!$C$4:$C$8000,T$3,'Timesheet Raw'!$B$4:$B$8000,'Work Calendar'!$A$26)+SUMIFS('Timesheet Raw'!$P$4:$P$8000,'Timesheet Raw'!$L$4:$L$8000,$A172,'Timesheet Raw'!$C$4:$C$8000,T$3,'Timesheet Raw'!$B$4:$B$8000,'Work Calendar'!$A$27)+SUMIFS('Timesheet Raw'!$P$4:$P$8000,'Timesheet Raw'!$L$4:$L$8000,$A172,'Timesheet Raw'!$C$4:$C$8000,T$3,'Timesheet Raw'!$B$4:$B$8000,'Work Calendar'!$A$28)+SUMIFS('Timesheet Raw'!$P$4:$P$8000,'Timesheet Raw'!$L$4:$L$8000,$A172,'Timesheet Raw'!$C$4:$C$8000,T$3,'Timesheet Raw'!$B$4:$B$8000,'Work Calendar'!$A$29))</f>
        <v>0.75</v>
      </c>
      <c r="W172" s="341">
        <f t="shared" si="11"/>
        <v>0</v>
      </c>
      <c r="X172" s="395">
        <f>IF($A172="","",SUMIFS('Timesheet Raw'!$K$4:$K$8000,'Timesheet Raw'!$L$4:$L$8000,$A172,'Timesheet Raw'!$C$4:$C$8000,T$3))</f>
        <v>0.75</v>
      </c>
      <c r="Y172" s="345">
        <f>IF($A172="","",SUMIFS('Timesheet Raw'!$P$4:$P$8000,'Timesheet Raw'!$L$4:$L$8000,$A172,'Timesheet Raw'!$C$4:$C$8000,T$3))</f>
        <v>9.25</v>
      </c>
      <c r="Z172" s="375"/>
      <c r="AA172" t="str">
        <f>IF($A172="","",IF(Z172&lt;&gt;"",Z172,IF($A172&gt;'Work Calendar'!$B$17,"No data yet",IF(AND(V172&gt;='Work Calendar'!$B$14,T172+U172+W172&gt;0),"Day off - but worked",IF(V172&gt;='Work Calendar'!$B$14,"Day off",IF(T172+U172+W172&gt;0,IF($C172="Working","Charged","Worked weekend"),IF($C172="Working","Leave (not charged)",$C172)))))))</f>
        <v>Charged</v>
      </c>
    </row>
    <row r="173" spans="1:27" x14ac:dyDescent="0.3">
      <c r="A173" s="371">
        <f>IF($A172="","",IF($A172+1&gt;'Work Calendar'!$B$16,"",$A172+1))</f>
        <v>46191</v>
      </c>
      <c r="B173" t="str">
        <f t="shared" si="8"/>
        <v>Thu</v>
      </c>
      <c r="C173" t="str" cm="1">
        <f t="array" ref="C173">IF($A173="","",IF(COUNTIF('Work Calendar'!$E$6:$E$200,$A173)&gt;0,"Holiday",IF(INDEX('Work Calendar'!$C$6:$C$12,WEEKDAY($A173,1))=1,"Working","Weekend")))</f>
        <v>Working</v>
      </c>
      <c r="D173" s="341">
        <f>IF($A173="","",SUMIFS('Timesheet Raw'!$P$4:$P$8000,'Timesheet Raw'!$L$4:$L$8000,$A173,'Timesheet Raw'!$C$4:$C$8000,D$3,'Timesheet Raw'!$A$4:$A$8000,"1-Projects"))</f>
        <v>0</v>
      </c>
      <c r="E173" s="341">
        <f>IF($A173="","",SUMIFS('Timesheet Raw'!$P$4:$P$8000,'Timesheet Raw'!$L$4:$L$8000,$A173,'Timesheet Raw'!$C$4:$C$8000,D$3,'Timesheet Raw'!$A$4:$A$8000,"2-Proposals Chargeable")+SUMIFS('Timesheet Raw'!$P$4:$P$8000,'Timesheet Raw'!$L$4:$L$8000,$A173,'Timesheet Raw'!$C$4:$C$8000,D$3,'Timesheet Raw'!$A$4:$A$8000,"3-Proposals Regular"))</f>
        <v>0</v>
      </c>
      <c r="F173" s="341">
        <f>IF($A173="","",SUMIFS('Timesheet Raw'!$P$4:$P$8000,'Timesheet Raw'!$L$4:$L$8000,$A173,'Timesheet Raw'!$C$4:$C$8000,D$3,'Timesheet Raw'!$B$4:$B$8000,'Work Calendar'!$A$26)+SUMIFS('Timesheet Raw'!$P$4:$P$8000,'Timesheet Raw'!$L$4:$L$8000,$A173,'Timesheet Raw'!$C$4:$C$8000,D$3,'Timesheet Raw'!$B$4:$B$8000,'Work Calendar'!$A$27)+SUMIFS('Timesheet Raw'!$P$4:$P$8000,'Timesheet Raw'!$L$4:$L$8000,$A173,'Timesheet Raw'!$C$4:$C$8000,D$3,'Timesheet Raw'!$B$4:$B$8000,'Work Calendar'!$A$28)+SUMIFS('Timesheet Raw'!$P$4:$P$8000,'Timesheet Raw'!$L$4:$L$8000,$A173,'Timesheet Raw'!$C$4:$C$8000,D$3,'Timesheet Raw'!$B$4:$B$8000,'Work Calendar'!$A$29))</f>
        <v>8.5</v>
      </c>
      <c r="G173" s="341">
        <f t="shared" si="9"/>
        <v>0</v>
      </c>
      <c r="H173" s="395">
        <f>IF($A173="","",SUMIFS('Timesheet Raw'!$K$4:$K$8000,'Timesheet Raw'!$L$4:$L$8000,$A173,'Timesheet Raw'!$C$4:$C$8000,D$3))</f>
        <v>0</v>
      </c>
      <c r="I173" s="345">
        <f>IF($A173="","",SUMIFS('Timesheet Raw'!$P$4:$P$8000,'Timesheet Raw'!$L$4:$L$8000,$A173,'Timesheet Raw'!$C$4:$C$8000,D$3))</f>
        <v>8.5</v>
      </c>
      <c r="J173" s="375"/>
      <c r="K173" t="str">
        <f>IF($A173="","",IF(J173&lt;&gt;"",J173,IF($A173&gt;'Work Calendar'!$B$17,"No data yet",IF(AND(F173&gt;='Work Calendar'!$B$14,D173+E173+G173&gt;0),"Day off - but worked",IF(F173&gt;='Work Calendar'!$B$14,"Day off",IF(D173+E173+G173&gt;0,IF($C173="Working","Charged","Worked weekend"),IF($C173="Working","Leave (not charged)",$C173)))))))</f>
        <v>Day off</v>
      </c>
      <c r="L173" s="341">
        <f>IF($A173="","",SUMIFS('Timesheet Raw'!$P$4:$P$8000,'Timesheet Raw'!$L$4:$L$8000,$A173,'Timesheet Raw'!$C$4:$C$8000,L$3,'Timesheet Raw'!$A$4:$A$8000,"1-Projects"))</f>
        <v>0</v>
      </c>
      <c r="M173" s="341">
        <f>IF($A173="","",SUMIFS('Timesheet Raw'!$P$4:$P$8000,'Timesheet Raw'!$L$4:$L$8000,$A173,'Timesheet Raw'!$C$4:$C$8000,L$3,'Timesheet Raw'!$A$4:$A$8000,"2-Proposals Chargeable")+SUMIFS('Timesheet Raw'!$P$4:$P$8000,'Timesheet Raw'!$L$4:$L$8000,$A173,'Timesheet Raw'!$C$4:$C$8000,L$3,'Timesheet Raw'!$A$4:$A$8000,"3-Proposals Regular"))</f>
        <v>0</v>
      </c>
      <c r="N173" s="341">
        <f>IF($A173="","",SUMIFS('Timesheet Raw'!$P$4:$P$8000,'Timesheet Raw'!$L$4:$L$8000,$A173,'Timesheet Raw'!$C$4:$C$8000,L$3,'Timesheet Raw'!$B$4:$B$8000,'Work Calendar'!$A$26)+SUMIFS('Timesheet Raw'!$P$4:$P$8000,'Timesheet Raw'!$L$4:$L$8000,$A173,'Timesheet Raw'!$C$4:$C$8000,L$3,'Timesheet Raw'!$B$4:$B$8000,'Work Calendar'!$A$27)+SUMIFS('Timesheet Raw'!$P$4:$P$8000,'Timesheet Raw'!$L$4:$L$8000,$A173,'Timesheet Raw'!$C$4:$C$8000,L$3,'Timesheet Raw'!$B$4:$B$8000,'Work Calendar'!$A$28)+SUMIFS('Timesheet Raw'!$P$4:$P$8000,'Timesheet Raw'!$L$4:$L$8000,$A173,'Timesheet Raw'!$C$4:$C$8000,L$3,'Timesheet Raw'!$B$4:$B$8000,'Work Calendar'!$A$29))</f>
        <v>8.5</v>
      </c>
      <c r="O173" s="341">
        <f t="shared" si="10"/>
        <v>0</v>
      </c>
      <c r="P173" s="395">
        <f>IF($A173="","",SUMIFS('Timesheet Raw'!$K$4:$K$8000,'Timesheet Raw'!$L$4:$L$8000,$A173,'Timesheet Raw'!$C$4:$C$8000,L$3))</f>
        <v>0</v>
      </c>
      <c r="Q173" s="345">
        <f>IF($A173="","",SUMIFS('Timesheet Raw'!$P$4:$P$8000,'Timesheet Raw'!$L$4:$L$8000,$A173,'Timesheet Raw'!$C$4:$C$8000,L$3))</f>
        <v>8.5</v>
      </c>
      <c r="R173" s="375"/>
      <c r="S173" t="str">
        <f>IF($A173="","",IF(R173&lt;&gt;"",R173,IF($A173&gt;'Work Calendar'!$B$17,"No data yet",IF(AND(N173&gt;='Work Calendar'!$B$14,L173+M173+O173&gt;0),"Day off - but worked",IF(N173&gt;='Work Calendar'!$B$14,"Day off",IF(L173+M173+O173&gt;0,IF($C173="Working","Charged","Worked weekend"),IF($C173="Working","Leave (not charged)",$C173)))))))</f>
        <v>Day off</v>
      </c>
      <c r="T173" s="341">
        <f>IF($A173="","",SUMIFS('Timesheet Raw'!$P$4:$P$8000,'Timesheet Raw'!$L$4:$L$8000,$A173,'Timesheet Raw'!$C$4:$C$8000,T$3,'Timesheet Raw'!$A$4:$A$8000,"1-Projects"))</f>
        <v>0</v>
      </c>
      <c r="U173" s="341">
        <f>IF($A173="","",SUMIFS('Timesheet Raw'!$P$4:$P$8000,'Timesheet Raw'!$L$4:$L$8000,$A173,'Timesheet Raw'!$C$4:$C$8000,T$3,'Timesheet Raw'!$A$4:$A$8000,"2-Proposals Chargeable")+SUMIFS('Timesheet Raw'!$P$4:$P$8000,'Timesheet Raw'!$L$4:$L$8000,$A173,'Timesheet Raw'!$C$4:$C$8000,T$3,'Timesheet Raw'!$A$4:$A$8000,"3-Proposals Regular"))</f>
        <v>0</v>
      </c>
      <c r="V173" s="341">
        <f>IF($A173="","",SUMIFS('Timesheet Raw'!$P$4:$P$8000,'Timesheet Raw'!$L$4:$L$8000,$A173,'Timesheet Raw'!$C$4:$C$8000,T$3,'Timesheet Raw'!$B$4:$B$8000,'Work Calendar'!$A$26)+SUMIFS('Timesheet Raw'!$P$4:$P$8000,'Timesheet Raw'!$L$4:$L$8000,$A173,'Timesheet Raw'!$C$4:$C$8000,T$3,'Timesheet Raw'!$B$4:$B$8000,'Work Calendar'!$A$27)+SUMIFS('Timesheet Raw'!$P$4:$P$8000,'Timesheet Raw'!$L$4:$L$8000,$A173,'Timesheet Raw'!$C$4:$C$8000,T$3,'Timesheet Raw'!$B$4:$B$8000,'Work Calendar'!$A$28)+SUMIFS('Timesheet Raw'!$P$4:$P$8000,'Timesheet Raw'!$L$4:$L$8000,$A173,'Timesheet Raw'!$C$4:$C$8000,T$3,'Timesheet Raw'!$B$4:$B$8000,'Work Calendar'!$A$29))</f>
        <v>8.5</v>
      </c>
      <c r="W173" s="341">
        <f t="shared" si="11"/>
        <v>0</v>
      </c>
      <c r="X173" s="395">
        <f>IF($A173="","",SUMIFS('Timesheet Raw'!$K$4:$K$8000,'Timesheet Raw'!$L$4:$L$8000,$A173,'Timesheet Raw'!$C$4:$C$8000,T$3))</f>
        <v>0</v>
      </c>
      <c r="Y173" s="345">
        <f>IF($A173="","",SUMIFS('Timesheet Raw'!$P$4:$P$8000,'Timesheet Raw'!$L$4:$L$8000,$A173,'Timesheet Raw'!$C$4:$C$8000,T$3))</f>
        <v>8.5</v>
      </c>
      <c r="Z173" s="375"/>
      <c r="AA173" t="str">
        <f>IF($A173="","",IF(Z173&lt;&gt;"",Z173,IF($A173&gt;'Work Calendar'!$B$17,"No data yet",IF(AND(V173&gt;='Work Calendar'!$B$14,T173+U173+W173&gt;0),"Day off - but worked",IF(V173&gt;='Work Calendar'!$B$14,"Day off",IF(T173+U173+W173&gt;0,IF($C173="Working","Charged","Worked weekend"),IF($C173="Working","Leave (not charged)",$C173)))))))</f>
        <v>Day off</v>
      </c>
    </row>
    <row r="174" spans="1:27" x14ac:dyDescent="0.3">
      <c r="A174" s="371">
        <f>IF($A173="","",IF($A173+1&gt;'Work Calendar'!$B$16,"",$A173+1))</f>
        <v>46192</v>
      </c>
      <c r="B174" t="str">
        <f t="shared" si="8"/>
        <v>Fri</v>
      </c>
      <c r="C174" t="str" cm="1">
        <f t="array" ref="C174">IF($A174="","",IF(COUNTIF('Work Calendar'!$E$6:$E$200,$A174)&gt;0,"Holiday",IF(INDEX('Work Calendar'!$C$6:$C$12,WEEKDAY($A174,1))=1,"Working","Weekend")))</f>
        <v>Weekend</v>
      </c>
      <c r="D174" s="341">
        <f>IF($A174="","",SUMIFS('Timesheet Raw'!$P$4:$P$8000,'Timesheet Raw'!$L$4:$L$8000,$A174,'Timesheet Raw'!$C$4:$C$8000,D$3,'Timesheet Raw'!$A$4:$A$8000,"1-Projects"))</f>
        <v>0</v>
      </c>
      <c r="E174" s="341">
        <f>IF($A174="","",SUMIFS('Timesheet Raw'!$P$4:$P$8000,'Timesheet Raw'!$L$4:$L$8000,$A174,'Timesheet Raw'!$C$4:$C$8000,D$3,'Timesheet Raw'!$A$4:$A$8000,"2-Proposals Chargeable")+SUMIFS('Timesheet Raw'!$P$4:$P$8000,'Timesheet Raw'!$L$4:$L$8000,$A174,'Timesheet Raw'!$C$4:$C$8000,D$3,'Timesheet Raw'!$A$4:$A$8000,"3-Proposals Regular"))</f>
        <v>0</v>
      </c>
      <c r="F174" s="341">
        <f>IF($A174="","",SUMIFS('Timesheet Raw'!$P$4:$P$8000,'Timesheet Raw'!$L$4:$L$8000,$A174,'Timesheet Raw'!$C$4:$C$8000,D$3,'Timesheet Raw'!$B$4:$B$8000,'Work Calendar'!$A$26)+SUMIFS('Timesheet Raw'!$P$4:$P$8000,'Timesheet Raw'!$L$4:$L$8000,$A174,'Timesheet Raw'!$C$4:$C$8000,D$3,'Timesheet Raw'!$B$4:$B$8000,'Work Calendar'!$A$27)+SUMIFS('Timesheet Raw'!$P$4:$P$8000,'Timesheet Raw'!$L$4:$L$8000,$A174,'Timesheet Raw'!$C$4:$C$8000,D$3,'Timesheet Raw'!$B$4:$B$8000,'Work Calendar'!$A$28)+SUMIFS('Timesheet Raw'!$P$4:$P$8000,'Timesheet Raw'!$L$4:$L$8000,$A174,'Timesheet Raw'!$C$4:$C$8000,D$3,'Timesheet Raw'!$B$4:$B$8000,'Work Calendar'!$A$29))</f>
        <v>0</v>
      </c>
      <c r="G174" s="341">
        <f t="shared" si="9"/>
        <v>0</v>
      </c>
      <c r="H174" s="395">
        <f>IF($A174="","",SUMIFS('Timesheet Raw'!$K$4:$K$8000,'Timesheet Raw'!$L$4:$L$8000,$A174,'Timesheet Raw'!$C$4:$C$8000,D$3))</f>
        <v>0</v>
      </c>
      <c r="I174" s="345">
        <f>IF($A174="","",SUMIFS('Timesheet Raw'!$P$4:$P$8000,'Timesheet Raw'!$L$4:$L$8000,$A174,'Timesheet Raw'!$C$4:$C$8000,D$3))</f>
        <v>0</v>
      </c>
      <c r="J174" s="375"/>
      <c r="K174" t="str">
        <f>IF($A174="","",IF(J174&lt;&gt;"",J174,IF($A174&gt;'Work Calendar'!$B$17,"No data yet",IF(AND(F174&gt;='Work Calendar'!$B$14,D174+E174+G174&gt;0),"Day off - but worked",IF(F174&gt;='Work Calendar'!$B$14,"Day off",IF(D174+E174+G174&gt;0,IF($C174="Working","Charged","Worked weekend"),IF($C174="Working","Leave (not charged)",$C174)))))))</f>
        <v>Weekend</v>
      </c>
      <c r="L174" s="341">
        <f>IF($A174="","",SUMIFS('Timesheet Raw'!$P$4:$P$8000,'Timesheet Raw'!$L$4:$L$8000,$A174,'Timesheet Raw'!$C$4:$C$8000,L$3,'Timesheet Raw'!$A$4:$A$8000,"1-Projects"))</f>
        <v>0</v>
      </c>
      <c r="M174" s="341">
        <f>IF($A174="","",SUMIFS('Timesheet Raw'!$P$4:$P$8000,'Timesheet Raw'!$L$4:$L$8000,$A174,'Timesheet Raw'!$C$4:$C$8000,L$3,'Timesheet Raw'!$A$4:$A$8000,"2-Proposals Chargeable")+SUMIFS('Timesheet Raw'!$P$4:$P$8000,'Timesheet Raw'!$L$4:$L$8000,$A174,'Timesheet Raw'!$C$4:$C$8000,L$3,'Timesheet Raw'!$A$4:$A$8000,"3-Proposals Regular"))</f>
        <v>0</v>
      </c>
      <c r="N174" s="341">
        <f>IF($A174="","",SUMIFS('Timesheet Raw'!$P$4:$P$8000,'Timesheet Raw'!$L$4:$L$8000,$A174,'Timesheet Raw'!$C$4:$C$8000,L$3,'Timesheet Raw'!$B$4:$B$8000,'Work Calendar'!$A$26)+SUMIFS('Timesheet Raw'!$P$4:$P$8000,'Timesheet Raw'!$L$4:$L$8000,$A174,'Timesheet Raw'!$C$4:$C$8000,L$3,'Timesheet Raw'!$B$4:$B$8000,'Work Calendar'!$A$27)+SUMIFS('Timesheet Raw'!$P$4:$P$8000,'Timesheet Raw'!$L$4:$L$8000,$A174,'Timesheet Raw'!$C$4:$C$8000,L$3,'Timesheet Raw'!$B$4:$B$8000,'Work Calendar'!$A$28)+SUMIFS('Timesheet Raw'!$P$4:$P$8000,'Timesheet Raw'!$L$4:$L$8000,$A174,'Timesheet Raw'!$C$4:$C$8000,L$3,'Timesheet Raw'!$B$4:$B$8000,'Work Calendar'!$A$29))</f>
        <v>0</v>
      </c>
      <c r="O174" s="341">
        <f t="shared" si="10"/>
        <v>0</v>
      </c>
      <c r="P174" s="395">
        <f>IF($A174="","",SUMIFS('Timesheet Raw'!$K$4:$K$8000,'Timesheet Raw'!$L$4:$L$8000,$A174,'Timesheet Raw'!$C$4:$C$8000,L$3))</f>
        <v>0</v>
      </c>
      <c r="Q174" s="345">
        <f>IF($A174="","",SUMIFS('Timesheet Raw'!$P$4:$P$8000,'Timesheet Raw'!$L$4:$L$8000,$A174,'Timesheet Raw'!$C$4:$C$8000,L$3))</f>
        <v>0</v>
      </c>
      <c r="R174" s="375"/>
      <c r="S174" t="str">
        <f>IF($A174="","",IF(R174&lt;&gt;"",R174,IF($A174&gt;'Work Calendar'!$B$17,"No data yet",IF(AND(N174&gt;='Work Calendar'!$B$14,L174+M174+O174&gt;0),"Day off - but worked",IF(N174&gt;='Work Calendar'!$B$14,"Day off",IF(L174+M174+O174&gt;0,IF($C174="Working","Charged","Worked weekend"),IF($C174="Working","Leave (not charged)",$C174)))))))</f>
        <v>Weekend</v>
      </c>
      <c r="T174" s="341">
        <f>IF($A174="","",SUMIFS('Timesheet Raw'!$P$4:$P$8000,'Timesheet Raw'!$L$4:$L$8000,$A174,'Timesheet Raw'!$C$4:$C$8000,T$3,'Timesheet Raw'!$A$4:$A$8000,"1-Projects"))</f>
        <v>0</v>
      </c>
      <c r="U174" s="341">
        <f>IF($A174="","",SUMIFS('Timesheet Raw'!$P$4:$P$8000,'Timesheet Raw'!$L$4:$L$8000,$A174,'Timesheet Raw'!$C$4:$C$8000,T$3,'Timesheet Raw'!$A$4:$A$8000,"2-Proposals Chargeable")+SUMIFS('Timesheet Raw'!$P$4:$P$8000,'Timesheet Raw'!$L$4:$L$8000,$A174,'Timesheet Raw'!$C$4:$C$8000,T$3,'Timesheet Raw'!$A$4:$A$8000,"3-Proposals Regular"))</f>
        <v>0</v>
      </c>
      <c r="V174" s="341">
        <f>IF($A174="","",SUMIFS('Timesheet Raw'!$P$4:$P$8000,'Timesheet Raw'!$L$4:$L$8000,$A174,'Timesheet Raw'!$C$4:$C$8000,T$3,'Timesheet Raw'!$B$4:$B$8000,'Work Calendar'!$A$26)+SUMIFS('Timesheet Raw'!$P$4:$P$8000,'Timesheet Raw'!$L$4:$L$8000,$A174,'Timesheet Raw'!$C$4:$C$8000,T$3,'Timesheet Raw'!$B$4:$B$8000,'Work Calendar'!$A$27)+SUMIFS('Timesheet Raw'!$P$4:$P$8000,'Timesheet Raw'!$L$4:$L$8000,$A174,'Timesheet Raw'!$C$4:$C$8000,T$3,'Timesheet Raw'!$B$4:$B$8000,'Work Calendar'!$A$28)+SUMIFS('Timesheet Raw'!$P$4:$P$8000,'Timesheet Raw'!$L$4:$L$8000,$A174,'Timesheet Raw'!$C$4:$C$8000,T$3,'Timesheet Raw'!$B$4:$B$8000,'Work Calendar'!$A$29))</f>
        <v>0</v>
      </c>
      <c r="W174" s="341">
        <f t="shared" si="11"/>
        <v>0</v>
      </c>
      <c r="X174" s="395">
        <f>IF($A174="","",SUMIFS('Timesheet Raw'!$K$4:$K$8000,'Timesheet Raw'!$L$4:$L$8000,$A174,'Timesheet Raw'!$C$4:$C$8000,T$3))</f>
        <v>0</v>
      </c>
      <c r="Y174" s="345">
        <f>IF($A174="","",SUMIFS('Timesheet Raw'!$P$4:$P$8000,'Timesheet Raw'!$L$4:$L$8000,$A174,'Timesheet Raw'!$C$4:$C$8000,T$3))</f>
        <v>0</v>
      </c>
      <c r="Z174" s="375"/>
      <c r="AA174" t="str">
        <f>IF($A174="","",IF(Z174&lt;&gt;"",Z174,IF($A174&gt;'Work Calendar'!$B$17,"No data yet",IF(AND(V174&gt;='Work Calendar'!$B$14,T174+U174+W174&gt;0),"Day off - but worked",IF(V174&gt;='Work Calendar'!$B$14,"Day off",IF(T174+U174+W174&gt;0,IF($C174="Working","Charged","Worked weekend"),IF($C174="Working","Leave (not charged)",$C174)))))))</f>
        <v>Weekend</v>
      </c>
    </row>
    <row r="175" spans="1:27" x14ac:dyDescent="0.3">
      <c r="A175" s="371">
        <f>IF($A174="","",IF($A174+1&gt;'Work Calendar'!$B$16,"",$A174+1))</f>
        <v>46193</v>
      </c>
      <c r="B175" t="str">
        <f t="shared" si="8"/>
        <v>Sat</v>
      </c>
      <c r="C175" t="str" cm="1">
        <f t="array" ref="C175">IF($A175="","",IF(COUNTIF('Work Calendar'!$E$6:$E$200,$A175)&gt;0,"Holiday",IF(INDEX('Work Calendar'!$C$6:$C$12,WEEKDAY($A175,1))=1,"Working","Weekend")))</f>
        <v>Weekend</v>
      </c>
      <c r="D175" s="341">
        <f>IF($A175="","",SUMIFS('Timesheet Raw'!$P$4:$P$8000,'Timesheet Raw'!$L$4:$L$8000,$A175,'Timesheet Raw'!$C$4:$C$8000,D$3,'Timesheet Raw'!$A$4:$A$8000,"1-Projects"))</f>
        <v>0</v>
      </c>
      <c r="E175" s="341">
        <f>IF($A175="","",SUMIFS('Timesheet Raw'!$P$4:$P$8000,'Timesheet Raw'!$L$4:$L$8000,$A175,'Timesheet Raw'!$C$4:$C$8000,D$3,'Timesheet Raw'!$A$4:$A$8000,"2-Proposals Chargeable")+SUMIFS('Timesheet Raw'!$P$4:$P$8000,'Timesheet Raw'!$L$4:$L$8000,$A175,'Timesheet Raw'!$C$4:$C$8000,D$3,'Timesheet Raw'!$A$4:$A$8000,"3-Proposals Regular"))</f>
        <v>0</v>
      </c>
      <c r="F175" s="341">
        <f>IF($A175="","",SUMIFS('Timesheet Raw'!$P$4:$P$8000,'Timesheet Raw'!$L$4:$L$8000,$A175,'Timesheet Raw'!$C$4:$C$8000,D$3,'Timesheet Raw'!$B$4:$B$8000,'Work Calendar'!$A$26)+SUMIFS('Timesheet Raw'!$P$4:$P$8000,'Timesheet Raw'!$L$4:$L$8000,$A175,'Timesheet Raw'!$C$4:$C$8000,D$3,'Timesheet Raw'!$B$4:$B$8000,'Work Calendar'!$A$27)+SUMIFS('Timesheet Raw'!$P$4:$P$8000,'Timesheet Raw'!$L$4:$L$8000,$A175,'Timesheet Raw'!$C$4:$C$8000,D$3,'Timesheet Raw'!$B$4:$B$8000,'Work Calendar'!$A$28)+SUMIFS('Timesheet Raw'!$P$4:$P$8000,'Timesheet Raw'!$L$4:$L$8000,$A175,'Timesheet Raw'!$C$4:$C$8000,D$3,'Timesheet Raw'!$B$4:$B$8000,'Work Calendar'!$A$29))</f>
        <v>0</v>
      </c>
      <c r="G175" s="341">
        <f t="shared" si="9"/>
        <v>0</v>
      </c>
      <c r="H175" s="395">
        <f>IF($A175="","",SUMIFS('Timesheet Raw'!$K$4:$K$8000,'Timesheet Raw'!$L$4:$L$8000,$A175,'Timesheet Raw'!$C$4:$C$8000,D$3))</f>
        <v>0</v>
      </c>
      <c r="I175" s="345">
        <f>IF($A175="","",SUMIFS('Timesheet Raw'!$P$4:$P$8000,'Timesheet Raw'!$L$4:$L$8000,$A175,'Timesheet Raw'!$C$4:$C$8000,D$3))</f>
        <v>0</v>
      </c>
      <c r="J175" s="375"/>
      <c r="K175" t="str">
        <f>IF($A175="","",IF(J175&lt;&gt;"",J175,IF($A175&gt;'Work Calendar'!$B$17,"No data yet",IF(AND(F175&gt;='Work Calendar'!$B$14,D175+E175+G175&gt;0),"Day off - but worked",IF(F175&gt;='Work Calendar'!$B$14,"Day off",IF(D175+E175+G175&gt;0,IF($C175="Working","Charged","Worked weekend"),IF($C175="Working","Leave (not charged)",$C175)))))))</f>
        <v>Weekend</v>
      </c>
      <c r="L175" s="341">
        <f>IF($A175="","",SUMIFS('Timesheet Raw'!$P$4:$P$8000,'Timesheet Raw'!$L$4:$L$8000,$A175,'Timesheet Raw'!$C$4:$C$8000,L$3,'Timesheet Raw'!$A$4:$A$8000,"1-Projects"))</f>
        <v>0</v>
      </c>
      <c r="M175" s="341">
        <f>IF($A175="","",SUMIFS('Timesheet Raw'!$P$4:$P$8000,'Timesheet Raw'!$L$4:$L$8000,$A175,'Timesheet Raw'!$C$4:$C$8000,L$3,'Timesheet Raw'!$A$4:$A$8000,"2-Proposals Chargeable")+SUMIFS('Timesheet Raw'!$P$4:$P$8000,'Timesheet Raw'!$L$4:$L$8000,$A175,'Timesheet Raw'!$C$4:$C$8000,L$3,'Timesheet Raw'!$A$4:$A$8000,"3-Proposals Regular"))</f>
        <v>0</v>
      </c>
      <c r="N175" s="341">
        <f>IF($A175="","",SUMIFS('Timesheet Raw'!$P$4:$P$8000,'Timesheet Raw'!$L$4:$L$8000,$A175,'Timesheet Raw'!$C$4:$C$8000,L$3,'Timesheet Raw'!$B$4:$B$8000,'Work Calendar'!$A$26)+SUMIFS('Timesheet Raw'!$P$4:$P$8000,'Timesheet Raw'!$L$4:$L$8000,$A175,'Timesheet Raw'!$C$4:$C$8000,L$3,'Timesheet Raw'!$B$4:$B$8000,'Work Calendar'!$A$27)+SUMIFS('Timesheet Raw'!$P$4:$P$8000,'Timesheet Raw'!$L$4:$L$8000,$A175,'Timesheet Raw'!$C$4:$C$8000,L$3,'Timesheet Raw'!$B$4:$B$8000,'Work Calendar'!$A$28)+SUMIFS('Timesheet Raw'!$P$4:$P$8000,'Timesheet Raw'!$L$4:$L$8000,$A175,'Timesheet Raw'!$C$4:$C$8000,L$3,'Timesheet Raw'!$B$4:$B$8000,'Work Calendar'!$A$29))</f>
        <v>0</v>
      </c>
      <c r="O175" s="341">
        <f t="shared" si="10"/>
        <v>0</v>
      </c>
      <c r="P175" s="395">
        <f>IF($A175="","",SUMIFS('Timesheet Raw'!$K$4:$K$8000,'Timesheet Raw'!$L$4:$L$8000,$A175,'Timesheet Raw'!$C$4:$C$8000,L$3))</f>
        <v>0</v>
      </c>
      <c r="Q175" s="345">
        <f>IF($A175="","",SUMIFS('Timesheet Raw'!$P$4:$P$8000,'Timesheet Raw'!$L$4:$L$8000,$A175,'Timesheet Raw'!$C$4:$C$8000,L$3))</f>
        <v>0</v>
      </c>
      <c r="R175" s="375"/>
      <c r="S175" t="str">
        <f>IF($A175="","",IF(R175&lt;&gt;"",R175,IF($A175&gt;'Work Calendar'!$B$17,"No data yet",IF(AND(N175&gt;='Work Calendar'!$B$14,L175+M175+O175&gt;0),"Day off - but worked",IF(N175&gt;='Work Calendar'!$B$14,"Day off",IF(L175+M175+O175&gt;0,IF($C175="Working","Charged","Worked weekend"),IF($C175="Working","Leave (not charged)",$C175)))))))</f>
        <v>Weekend</v>
      </c>
      <c r="T175" s="341">
        <f>IF($A175="","",SUMIFS('Timesheet Raw'!$P$4:$P$8000,'Timesheet Raw'!$L$4:$L$8000,$A175,'Timesheet Raw'!$C$4:$C$8000,T$3,'Timesheet Raw'!$A$4:$A$8000,"1-Projects"))</f>
        <v>0</v>
      </c>
      <c r="U175" s="341">
        <f>IF($A175="","",SUMIFS('Timesheet Raw'!$P$4:$P$8000,'Timesheet Raw'!$L$4:$L$8000,$A175,'Timesheet Raw'!$C$4:$C$8000,T$3,'Timesheet Raw'!$A$4:$A$8000,"2-Proposals Chargeable")+SUMIFS('Timesheet Raw'!$P$4:$P$8000,'Timesheet Raw'!$L$4:$L$8000,$A175,'Timesheet Raw'!$C$4:$C$8000,T$3,'Timesheet Raw'!$A$4:$A$8000,"3-Proposals Regular"))</f>
        <v>0</v>
      </c>
      <c r="V175" s="341">
        <f>IF($A175="","",SUMIFS('Timesheet Raw'!$P$4:$P$8000,'Timesheet Raw'!$L$4:$L$8000,$A175,'Timesheet Raw'!$C$4:$C$8000,T$3,'Timesheet Raw'!$B$4:$B$8000,'Work Calendar'!$A$26)+SUMIFS('Timesheet Raw'!$P$4:$P$8000,'Timesheet Raw'!$L$4:$L$8000,$A175,'Timesheet Raw'!$C$4:$C$8000,T$3,'Timesheet Raw'!$B$4:$B$8000,'Work Calendar'!$A$27)+SUMIFS('Timesheet Raw'!$P$4:$P$8000,'Timesheet Raw'!$L$4:$L$8000,$A175,'Timesheet Raw'!$C$4:$C$8000,T$3,'Timesheet Raw'!$B$4:$B$8000,'Work Calendar'!$A$28)+SUMIFS('Timesheet Raw'!$P$4:$P$8000,'Timesheet Raw'!$L$4:$L$8000,$A175,'Timesheet Raw'!$C$4:$C$8000,T$3,'Timesheet Raw'!$B$4:$B$8000,'Work Calendar'!$A$29))</f>
        <v>0</v>
      </c>
      <c r="W175" s="341">
        <f t="shared" si="11"/>
        <v>0</v>
      </c>
      <c r="X175" s="395">
        <f>IF($A175="","",SUMIFS('Timesheet Raw'!$K$4:$K$8000,'Timesheet Raw'!$L$4:$L$8000,$A175,'Timesheet Raw'!$C$4:$C$8000,T$3))</f>
        <v>0</v>
      </c>
      <c r="Y175" s="345">
        <f>IF($A175="","",SUMIFS('Timesheet Raw'!$P$4:$P$8000,'Timesheet Raw'!$L$4:$L$8000,$A175,'Timesheet Raw'!$C$4:$C$8000,T$3))</f>
        <v>0</v>
      </c>
      <c r="Z175" s="375"/>
      <c r="AA175" t="str">
        <f>IF($A175="","",IF(Z175&lt;&gt;"",Z175,IF($A175&gt;'Work Calendar'!$B$17,"No data yet",IF(AND(V175&gt;='Work Calendar'!$B$14,T175+U175+W175&gt;0),"Day off - but worked",IF(V175&gt;='Work Calendar'!$B$14,"Day off",IF(T175+U175+W175&gt;0,IF($C175="Working","Charged","Worked weekend"),IF($C175="Working","Leave (not charged)",$C175)))))))</f>
        <v>Weekend</v>
      </c>
    </row>
    <row r="176" spans="1:27" x14ac:dyDescent="0.3">
      <c r="A176" s="371">
        <f>IF($A175="","",IF($A175+1&gt;'Work Calendar'!$B$16,"",$A175+1))</f>
        <v>46194</v>
      </c>
      <c r="B176" t="str">
        <f t="shared" si="8"/>
        <v>Sun</v>
      </c>
      <c r="C176" t="str" cm="1">
        <f t="array" ref="C176">IF($A176="","",IF(COUNTIF('Work Calendar'!$E$6:$E$200,$A176)&gt;0,"Holiday",IF(INDEX('Work Calendar'!$C$6:$C$12,WEEKDAY($A176,1))=1,"Working","Weekend")))</f>
        <v>Working</v>
      </c>
      <c r="D176" s="341">
        <f>IF($A176="","",SUMIFS('Timesheet Raw'!$P$4:$P$8000,'Timesheet Raw'!$L$4:$L$8000,$A176,'Timesheet Raw'!$C$4:$C$8000,D$3,'Timesheet Raw'!$A$4:$A$8000,"1-Projects"))</f>
        <v>6.25</v>
      </c>
      <c r="E176" s="341">
        <f>IF($A176="","",SUMIFS('Timesheet Raw'!$P$4:$P$8000,'Timesheet Raw'!$L$4:$L$8000,$A176,'Timesheet Raw'!$C$4:$C$8000,D$3,'Timesheet Raw'!$A$4:$A$8000,"2-Proposals Chargeable")+SUMIFS('Timesheet Raw'!$P$4:$P$8000,'Timesheet Raw'!$L$4:$L$8000,$A176,'Timesheet Raw'!$C$4:$C$8000,D$3,'Timesheet Raw'!$A$4:$A$8000,"3-Proposals Regular"))</f>
        <v>0</v>
      </c>
      <c r="F176" s="341">
        <f>IF($A176="","",SUMIFS('Timesheet Raw'!$P$4:$P$8000,'Timesheet Raw'!$L$4:$L$8000,$A176,'Timesheet Raw'!$C$4:$C$8000,D$3,'Timesheet Raw'!$B$4:$B$8000,'Work Calendar'!$A$26)+SUMIFS('Timesheet Raw'!$P$4:$P$8000,'Timesheet Raw'!$L$4:$L$8000,$A176,'Timesheet Raw'!$C$4:$C$8000,D$3,'Timesheet Raw'!$B$4:$B$8000,'Work Calendar'!$A$27)+SUMIFS('Timesheet Raw'!$P$4:$P$8000,'Timesheet Raw'!$L$4:$L$8000,$A176,'Timesheet Raw'!$C$4:$C$8000,D$3,'Timesheet Raw'!$B$4:$B$8000,'Work Calendar'!$A$28)+SUMIFS('Timesheet Raw'!$P$4:$P$8000,'Timesheet Raw'!$L$4:$L$8000,$A176,'Timesheet Raw'!$C$4:$C$8000,D$3,'Timesheet Raw'!$B$4:$B$8000,'Work Calendar'!$A$29))</f>
        <v>2.5</v>
      </c>
      <c r="G176" s="341">
        <f t="shared" si="9"/>
        <v>0</v>
      </c>
      <c r="H176" s="395">
        <f>IF($A176="","",SUMIFS('Timesheet Raw'!$K$4:$K$8000,'Timesheet Raw'!$L$4:$L$8000,$A176,'Timesheet Raw'!$C$4:$C$8000,D$3))</f>
        <v>0.25</v>
      </c>
      <c r="I176" s="345">
        <f>IF($A176="","",SUMIFS('Timesheet Raw'!$P$4:$P$8000,'Timesheet Raw'!$L$4:$L$8000,$A176,'Timesheet Raw'!$C$4:$C$8000,D$3))</f>
        <v>8.75</v>
      </c>
      <c r="J176" s="375"/>
      <c r="K176" t="str">
        <f>IF($A176="","",IF(J176&lt;&gt;"",J176,IF($A176&gt;'Work Calendar'!$B$17,"No data yet",IF(AND(F176&gt;='Work Calendar'!$B$14,D176+E176+G176&gt;0),"Day off - but worked",IF(F176&gt;='Work Calendar'!$B$14,"Day off",IF(D176+E176+G176&gt;0,IF($C176="Working","Charged","Worked weekend"),IF($C176="Working","Leave (not charged)",$C176)))))))</f>
        <v>Charged</v>
      </c>
      <c r="L176" s="341">
        <f>IF($A176="","",SUMIFS('Timesheet Raw'!$P$4:$P$8000,'Timesheet Raw'!$L$4:$L$8000,$A176,'Timesheet Raw'!$C$4:$C$8000,L$3,'Timesheet Raw'!$A$4:$A$8000,"1-Projects"))</f>
        <v>13.25</v>
      </c>
      <c r="M176" s="341">
        <f>IF($A176="","",SUMIFS('Timesheet Raw'!$P$4:$P$8000,'Timesheet Raw'!$L$4:$L$8000,$A176,'Timesheet Raw'!$C$4:$C$8000,L$3,'Timesheet Raw'!$A$4:$A$8000,"2-Proposals Chargeable")+SUMIFS('Timesheet Raw'!$P$4:$P$8000,'Timesheet Raw'!$L$4:$L$8000,$A176,'Timesheet Raw'!$C$4:$C$8000,L$3,'Timesheet Raw'!$A$4:$A$8000,"3-Proposals Regular"))</f>
        <v>0</v>
      </c>
      <c r="N176" s="341">
        <f>IF($A176="","",SUMIFS('Timesheet Raw'!$P$4:$P$8000,'Timesheet Raw'!$L$4:$L$8000,$A176,'Timesheet Raw'!$C$4:$C$8000,L$3,'Timesheet Raw'!$B$4:$B$8000,'Work Calendar'!$A$26)+SUMIFS('Timesheet Raw'!$P$4:$P$8000,'Timesheet Raw'!$L$4:$L$8000,$A176,'Timesheet Raw'!$C$4:$C$8000,L$3,'Timesheet Raw'!$B$4:$B$8000,'Work Calendar'!$A$27)+SUMIFS('Timesheet Raw'!$P$4:$P$8000,'Timesheet Raw'!$L$4:$L$8000,$A176,'Timesheet Raw'!$C$4:$C$8000,L$3,'Timesheet Raw'!$B$4:$B$8000,'Work Calendar'!$A$28)+SUMIFS('Timesheet Raw'!$P$4:$P$8000,'Timesheet Raw'!$L$4:$L$8000,$A176,'Timesheet Raw'!$C$4:$C$8000,L$3,'Timesheet Raw'!$B$4:$B$8000,'Work Calendar'!$A$29))</f>
        <v>0.25</v>
      </c>
      <c r="O176" s="341">
        <f t="shared" si="10"/>
        <v>0</v>
      </c>
      <c r="P176" s="395">
        <f>IF($A176="","",SUMIFS('Timesheet Raw'!$K$4:$K$8000,'Timesheet Raw'!$L$4:$L$8000,$A176,'Timesheet Raw'!$C$4:$C$8000,L$3))</f>
        <v>5</v>
      </c>
      <c r="Q176" s="345">
        <f>IF($A176="","",SUMIFS('Timesheet Raw'!$P$4:$P$8000,'Timesheet Raw'!$L$4:$L$8000,$A176,'Timesheet Raw'!$C$4:$C$8000,L$3))</f>
        <v>13.5</v>
      </c>
      <c r="R176" s="375"/>
      <c r="S176" t="str">
        <f>IF($A176="","",IF(R176&lt;&gt;"",R176,IF($A176&gt;'Work Calendar'!$B$17,"No data yet",IF(AND(N176&gt;='Work Calendar'!$B$14,L176+M176+O176&gt;0),"Day off - but worked",IF(N176&gt;='Work Calendar'!$B$14,"Day off",IF(L176+M176+O176&gt;0,IF($C176="Working","Charged","Worked weekend"),IF($C176="Working","Leave (not charged)",$C176)))))))</f>
        <v>Charged</v>
      </c>
      <c r="T176" s="341">
        <f>IF($A176="","",SUMIFS('Timesheet Raw'!$P$4:$P$8000,'Timesheet Raw'!$L$4:$L$8000,$A176,'Timesheet Raw'!$C$4:$C$8000,T$3,'Timesheet Raw'!$A$4:$A$8000,"1-Projects"))</f>
        <v>13</v>
      </c>
      <c r="U176" s="341">
        <f>IF($A176="","",SUMIFS('Timesheet Raw'!$P$4:$P$8000,'Timesheet Raw'!$L$4:$L$8000,$A176,'Timesheet Raw'!$C$4:$C$8000,T$3,'Timesheet Raw'!$A$4:$A$8000,"2-Proposals Chargeable")+SUMIFS('Timesheet Raw'!$P$4:$P$8000,'Timesheet Raw'!$L$4:$L$8000,$A176,'Timesheet Raw'!$C$4:$C$8000,T$3,'Timesheet Raw'!$A$4:$A$8000,"3-Proposals Regular"))</f>
        <v>0</v>
      </c>
      <c r="V176" s="341">
        <f>IF($A176="","",SUMIFS('Timesheet Raw'!$P$4:$P$8000,'Timesheet Raw'!$L$4:$L$8000,$A176,'Timesheet Raw'!$C$4:$C$8000,T$3,'Timesheet Raw'!$B$4:$B$8000,'Work Calendar'!$A$26)+SUMIFS('Timesheet Raw'!$P$4:$P$8000,'Timesheet Raw'!$L$4:$L$8000,$A176,'Timesheet Raw'!$C$4:$C$8000,T$3,'Timesheet Raw'!$B$4:$B$8000,'Work Calendar'!$A$27)+SUMIFS('Timesheet Raw'!$P$4:$P$8000,'Timesheet Raw'!$L$4:$L$8000,$A176,'Timesheet Raw'!$C$4:$C$8000,T$3,'Timesheet Raw'!$B$4:$B$8000,'Work Calendar'!$A$28)+SUMIFS('Timesheet Raw'!$P$4:$P$8000,'Timesheet Raw'!$L$4:$L$8000,$A176,'Timesheet Raw'!$C$4:$C$8000,T$3,'Timesheet Raw'!$B$4:$B$8000,'Work Calendar'!$A$29))</f>
        <v>0.25</v>
      </c>
      <c r="W176" s="341">
        <f t="shared" si="11"/>
        <v>0</v>
      </c>
      <c r="X176" s="395">
        <f>IF($A176="","",SUMIFS('Timesheet Raw'!$K$4:$K$8000,'Timesheet Raw'!$L$4:$L$8000,$A176,'Timesheet Raw'!$C$4:$C$8000,T$3))</f>
        <v>4.75</v>
      </c>
      <c r="Y176" s="345">
        <f>IF($A176="","",SUMIFS('Timesheet Raw'!$P$4:$P$8000,'Timesheet Raw'!$L$4:$L$8000,$A176,'Timesheet Raw'!$C$4:$C$8000,T$3))</f>
        <v>13.25</v>
      </c>
      <c r="Z176" s="375"/>
      <c r="AA176" t="str">
        <f>IF($A176="","",IF(Z176&lt;&gt;"",Z176,IF($A176&gt;'Work Calendar'!$B$17,"No data yet",IF(AND(V176&gt;='Work Calendar'!$B$14,T176+U176+W176&gt;0),"Day off - but worked",IF(V176&gt;='Work Calendar'!$B$14,"Day off",IF(T176+U176+W176&gt;0,IF($C176="Working","Charged","Worked weekend"),IF($C176="Working","Leave (not charged)",$C176)))))))</f>
        <v>Charged</v>
      </c>
    </row>
    <row r="177" spans="1:27" x14ac:dyDescent="0.3">
      <c r="A177" s="371">
        <f>IF($A176="","",IF($A176+1&gt;'Work Calendar'!$B$16,"",$A176+1))</f>
        <v>46195</v>
      </c>
      <c r="B177" t="str">
        <f t="shared" si="8"/>
        <v>Mon</v>
      </c>
      <c r="C177" t="str" cm="1">
        <f t="array" ref="C177">IF($A177="","",IF(COUNTIF('Work Calendar'!$E$6:$E$200,$A177)&gt;0,"Holiday",IF(INDEX('Work Calendar'!$C$6:$C$12,WEEKDAY($A177,1))=1,"Working","Weekend")))</f>
        <v>Working</v>
      </c>
      <c r="D177" s="341">
        <f>IF($A177="","",SUMIFS('Timesheet Raw'!$P$4:$P$8000,'Timesheet Raw'!$L$4:$L$8000,$A177,'Timesheet Raw'!$C$4:$C$8000,D$3,'Timesheet Raw'!$A$4:$A$8000,"1-Projects"))</f>
        <v>0</v>
      </c>
      <c r="E177" s="341">
        <f>IF($A177="","",SUMIFS('Timesheet Raw'!$P$4:$P$8000,'Timesheet Raw'!$L$4:$L$8000,$A177,'Timesheet Raw'!$C$4:$C$8000,D$3,'Timesheet Raw'!$A$4:$A$8000,"2-Proposals Chargeable")+SUMIFS('Timesheet Raw'!$P$4:$P$8000,'Timesheet Raw'!$L$4:$L$8000,$A177,'Timesheet Raw'!$C$4:$C$8000,D$3,'Timesheet Raw'!$A$4:$A$8000,"3-Proposals Regular"))</f>
        <v>0</v>
      </c>
      <c r="F177" s="341">
        <f>IF($A177="","",SUMIFS('Timesheet Raw'!$P$4:$P$8000,'Timesheet Raw'!$L$4:$L$8000,$A177,'Timesheet Raw'!$C$4:$C$8000,D$3,'Timesheet Raw'!$B$4:$B$8000,'Work Calendar'!$A$26)+SUMIFS('Timesheet Raw'!$P$4:$P$8000,'Timesheet Raw'!$L$4:$L$8000,$A177,'Timesheet Raw'!$C$4:$C$8000,D$3,'Timesheet Raw'!$B$4:$B$8000,'Work Calendar'!$A$27)+SUMIFS('Timesheet Raw'!$P$4:$P$8000,'Timesheet Raw'!$L$4:$L$8000,$A177,'Timesheet Raw'!$C$4:$C$8000,D$3,'Timesheet Raw'!$B$4:$B$8000,'Work Calendar'!$A$28)+SUMIFS('Timesheet Raw'!$P$4:$P$8000,'Timesheet Raw'!$L$4:$L$8000,$A177,'Timesheet Raw'!$C$4:$C$8000,D$3,'Timesheet Raw'!$B$4:$B$8000,'Work Calendar'!$A$29))</f>
        <v>8.5</v>
      </c>
      <c r="G177" s="341">
        <f t="shared" si="9"/>
        <v>0</v>
      </c>
      <c r="H177" s="395">
        <f>IF($A177="","",SUMIFS('Timesheet Raw'!$K$4:$K$8000,'Timesheet Raw'!$L$4:$L$8000,$A177,'Timesheet Raw'!$C$4:$C$8000,D$3))</f>
        <v>0</v>
      </c>
      <c r="I177" s="345">
        <f>IF($A177="","",SUMIFS('Timesheet Raw'!$P$4:$P$8000,'Timesheet Raw'!$L$4:$L$8000,$A177,'Timesheet Raw'!$C$4:$C$8000,D$3))</f>
        <v>8.5</v>
      </c>
      <c r="J177" s="375"/>
      <c r="K177" t="str">
        <f>IF($A177="","",IF(J177&lt;&gt;"",J177,IF($A177&gt;'Work Calendar'!$B$17,"No data yet",IF(AND(F177&gt;='Work Calendar'!$B$14,D177+E177+G177&gt;0),"Day off - but worked",IF(F177&gt;='Work Calendar'!$B$14,"Day off",IF(D177+E177+G177&gt;0,IF($C177="Working","Charged","Worked weekend"),IF($C177="Working","Leave (not charged)",$C177)))))))</f>
        <v>Day off</v>
      </c>
      <c r="L177" s="341">
        <f>IF($A177="","",SUMIFS('Timesheet Raw'!$P$4:$P$8000,'Timesheet Raw'!$L$4:$L$8000,$A177,'Timesheet Raw'!$C$4:$C$8000,L$3,'Timesheet Raw'!$A$4:$A$8000,"1-Projects"))</f>
        <v>9</v>
      </c>
      <c r="M177" s="341">
        <f>IF($A177="","",SUMIFS('Timesheet Raw'!$P$4:$P$8000,'Timesheet Raw'!$L$4:$L$8000,$A177,'Timesheet Raw'!$C$4:$C$8000,L$3,'Timesheet Raw'!$A$4:$A$8000,"2-Proposals Chargeable")+SUMIFS('Timesheet Raw'!$P$4:$P$8000,'Timesheet Raw'!$L$4:$L$8000,$A177,'Timesheet Raw'!$C$4:$C$8000,L$3,'Timesheet Raw'!$A$4:$A$8000,"3-Proposals Regular"))</f>
        <v>0</v>
      </c>
      <c r="N177" s="341">
        <f>IF($A177="","",SUMIFS('Timesheet Raw'!$P$4:$P$8000,'Timesheet Raw'!$L$4:$L$8000,$A177,'Timesheet Raw'!$C$4:$C$8000,L$3,'Timesheet Raw'!$B$4:$B$8000,'Work Calendar'!$A$26)+SUMIFS('Timesheet Raw'!$P$4:$P$8000,'Timesheet Raw'!$L$4:$L$8000,$A177,'Timesheet Raw'!$C$4:$C$8000,L$3,'Timesheet Raw'!$B$4:$B$8000,'Work Calendar'!$A$27)+SUMIFS('Timesheet Raw'!$P$4:$P$8000,'Timesheet Raw'!$L$4:$L$8000,$A177,'Timesheet Raw'!$C$4:$C$8000,L$3,'Timesheet Raw'!$B$4:$B$8000,'Work Calendar'!$A$28)+SUMIFS('Timesheet Raw'!$P$4:$P$8000,'Timesheet Raw'!$L$4:$L$8000,$A177,'Timesheet Raw'!$C$4:$C$8000,L$3,'Timesheet Raw'!$B$4:$B$8000,'Work Calendar'!$A$29))</f>
        <v>0</v>
      </c>
      <c r="O177" s="341">
        <f t="shared" si="10"/>
        <v>0</v>
      </c>
      <c r="P177" s="395">
        <f>IF($A177="","",SUMIFS('Timesheet Raw'!$K$4:$K$8000,'Timesheet Raw'!$L$4:$L$8000,$A177,'Timesheet Raw'!$C$4:$C$8000,L$3))</f>
        <v>0.5</v>
      </c>
      <c r="Q177" s="345">
        <f>IF($A177="","",SUMIFS('Timesheet Raw'!$P$4:$P$8000,'Timesheet Raw'!$L$4:$L$8000,$A177,'Timesheet Raw'!$C$4:$C$8000,L$3))</f>
        <v>9</v>
      </c>
      <c r="R177" s="375"/>
      <c r="S177" t="str">
        <f>IF($A177="","",IF(R177&lt;&gt;"",R177,IF($A177&gt;'Work Calendar'!$B$17,"No data yet",IF(AND(N177&gt;='Work Calendar'!$B$14,L177+M177+O177&gt;0),"Day off - but worked",IF(N177&gt;='Work Calendar'!$B$14,"Day off",IF(L177+M177+O177&gt;0,IF($C177="Working","Charged","Worked weekend"),IF($C177="Working","Leave (not charged)",$C177)))))))</f>
        <v>Charged</v>
      </c>
      <c r="T177" s="341">
        <f>IF($A177="","",SUMIFS('Timesheet Raw'!$P$4:$P$8000,'Timesheet Raw'!$L$4:$L$8000,$A177,'Timesheet Raw'!$C$4:$C$8000,T$3,'Timesheet Raw'!$A$4:$A$8000,"1-Projects"))</f>
        <v>8</v>
      </c>
      <c r="U177" s="341">
        <f>IF($A177="","",SUMIFS('Timesheet Raw'!$P$4:$P$8000,'Timesheet Raw'!$L$4:$L$8000,$A177,'Timesheet Raw'!$C$4:$C$8000,T$3,'Timesheet Raw'!$A$4:$A$8000,"2-Proposals Chargeable")+SUMIFS('Timesheet Raw'!$P$4:$P$8000,'Timesheet Raw'!$L$4:$L$8000,$A177,'Timesheet Raw'!$C$4:$C$8000,T$3,'Timesheet Raw'!$A$4:$A$8000,"3-Proposals Regular"))</f>
        <v>0</v>
      </c>
      <c r="V177" s="341">
        <f>IF($A177="","",SUMIFS('Timesheet Raw'!$P$4:$P$8000,'Timesheet Raw'!$L$4:$L$8000,$A177,'Timesheet Raw'!$C$4:$C$8000,T$3,'Timesheet Raw'!$B$4:$B$8000,'Work Calendar'!$A$26)+SUMIFS('Timesheet Raw'!$P$4:$P$8000,'Timesheet Raw'!$L$4:$L$8000,$A177,'Timesheet Raw'!$C$4:$C$8000,T$3,'Timesheet Raw'!$B$4:$B$8000,'Work Calendar'!$A$27)+SUMIFS('Timesheet Raw'!$P$4:$P$8000,'Timesheet Raw'!$L$4:$L$8000,$A177,'Timesheet Raw'!$C$4:$C$8000,T$3,'Timesheet Raw'!$B$4:$B$8000,'Work Calendar'!$A$28)+SUMIFS('Timesheet Raw'!$P$4:$P$8000,'Timesheet Raw'!$L$4:$L$8000,$A177,'Timesheet Raw'!$C$4:$C$8000,T$3,'Timesheet Raw'!$B$4:$B$8000,'Work Calendar'!$A$29))</f>
        <v>1</v>
      </c>
      <c r="W177" s="341">
        <f t="shared" si="11"/>
        <v>0</v>
      </c>
      <c r="X177" s="395">
        <f>IF($A177="","",SUMIFS('Timesheet Raw'!$K$4:$K$8000,'Timesheet Raw'!$L$4:$L$8000,$A177,'Timesheet Raw'!$C$4:$C$8000,T$3))</f>
        <v>0.5</v>
      </c>
      <c r="Y177" s="345">
        <f>IF($A177="","",SUMIFS('Timesheet Raw'!$P$4:$P$8000,'Timesheet Raw'!$L$4:$L$8000,$A177,'Timesheet Raw'!$C$4:$C$8000,T$3))</f>
        <v>9</v>
      </c>
      <c r="Z177" s="375"/>
      <c r="AA177" t="str">
        <f>IF($A177="","",IF(Z177&lt;&gt;"",Z177,IF($A177&gt;'Work Calendar'!$B$17,"No data yet",IF(AND(V177&gt;='Work Calendar'!$B$14,T177+U177+W177&gt;0),"Day off - but worked",IF(V177&gt;='Work Calendar'!$B$14,"Day off",IF(T177+U177+W177&gt;0,IF($C177="Working","Charged","Worked weekend"),IF($C177="Working","Leave (not charged)",$C177)))))))</f>
        <v>Charged</v>
      </c>
    </row>
    <row r="178" spans="1:27" x14ac:dyDescent="0.3">
      <c r="A178" s="371">
        <f>IF($A177="","",IF($A177+1&gt;'Work Calendar'!$B$16,"",$A177+1))</f>
        <v>46196</v>
      </c>
      <c r="B178" t="str">
        <f t="shared" si="8"/>
        <v>Tue</v>
      </c>
      <c r="C178" t="str" cm="1">
        <f t="array" ref="C178">IF($A178="","",IF(COUNTIF('Work Calendar'!$E$6:$E$200,$A178)&gt;0,"Holiday",IF(INDEX('Work Calendar'!$C$6:$C$12,WEEKDAY($A178,1))=1,"Working","Weekend")))</f>
        <v>Working</v>
      </c>
      <c r="D178" s="341">
        <f>IF($A178="","",SUMIFS('Timesheet Raw'!$P$4:$P$8000,'Timesheet Raw'!$L$4:$L$8000,$A178,'Timesheet Raw'!$C$4:$C$8000,D$3,'Timesheet Raw'!$A$4:$A$8000,"1-Projects"))</f>
        <v>7</v>
      </c>
      <c r="E178" s="341">
        <f>IF($A178="","",SUMIFS('Timesheet Raw'!$P$4:$P$8000,'Timesheet Raw'!$L$4:$L$8000,$A178,'Timesheet Raw'!$C$4:$C$8000,D$3,'Timesheet Raw'!$A$4:$A$8000,"2-Proposals Chargeable")+SUMIFS('Timesheet Raw'!$P$4:$P$8000,'Timesheet Raw'!$L$4:$L$8000,$A178,'Timesheet Raw'!$C$4:$C$8000,D$3,'Timesheet Raw'!$A$4:$A$8000,"3-Proposals Regular"))</f>
        <v>0</v>
      </c>
      <c r="F178" s="341">
        <f>IF($A178="","",SUMIFS('Timesheet Raw'!$P$4:$P$8000,'Timesheet Raw'!$L$4:$L$8000,$A178,'Timesheet Raw'!$C$4:$C$8000,D$3,'Timesheet Raw'!$B$4:$B$8000,'Work Calendar'!$A$26)+SUMIFS('Timesheet Raw'!$P$4:$P$8000,'Timesheet Raw'!$L$4:$L$8000,$A178,'Timesheet Raw'!$C$4:$C$8000,D$3,'Timesheet Raw'!$B$4:$B$8000,'Work Calendar'!$A$27)+SUMIFS('Timesheet Raw'!$P$4:$P$8000,'Timesheet Raw'!$L$4:$L$8000,$A178,'Timesheet Raw'!$C$4:$C$8000,D$3,'Timesheet Raw'!$B$4:$B$8000,'Work Calendar'!$A$28)+SUMIFS('Timesheet Raw'!$P$4:$P$8000,'Timesheet Raw'!$L$4:$L$8000,$A178,'Timesheet Raw'!$C$4:$C$8000,D$3,'Timesheet Raw'!$B$4:$B$8000,'Work Calendar'!$A$29))</f>
        <v>1.5</v>
      </c>
      <c r="G178" s="341">
        <f t="shared" si="9"/>
        <v>0</v>
      </c>
      <c r="H178" s="395">
        <f>IF($A178="","",SUMIFS('Timesheet Raw'!$K$4:$K$8000,'Timesheet Raw'!$L$4:$L$8000,$A178,'Timesheet Raw'!$C$4:$C$8000,D$3))</f>
        <v>0</v>
      </c>
      <c r="I178" s="345">
        <f>IF($A178="","",SUMIFS('Timesheet Raw'!$P$4:$P$8000,'Timesheet Raw'!$L$4:$L$8000,$A178,'Timesheet Raw'!$C$4:$C$8000,D$3))</f>
        <v>8.5</v>
      </c>
      <c r="J178" s="375"/>
      <c r="K178" t="str">
        <f>IF($A178="","",IF(J178&lt;&gt;"",J178,IF($A178&gt;'Work Calendar'!$B$17,"No data yet",IF(AND(F178&gt;='Work Calendar'!$B$14,D178+E178+G178&gt;0),"Day off - but worked",IF(F178&gt;='Work Calendar'!$B$14,"Day off",IF(D178+E178+G178&gt;0,IF($C178="Working","Charged","Worked weekend"),IF($C178="Working","Leave (not charged)",$C178)))))))</f>
        <v>Charged</v>
      </c>
      <c r="L178" s="341">
        <f>IF($A178="","",SUMIFS('Timesheet Raw'!$P$4:$P$8000,'Timesheet Raw'!$L$4:$L$8000,$A178,'Timesheet Raw'!$C$4:$C$8000,L$3,'Timesheet Raw'!$A$4:$A$8000,"1-Projects"))</f>
        <v>9</v>
      </c>
      <c r="M178" s="341">
        <f>IF($A178="","",SUMIFS('Timesheet Raw'!$P$4:$P$8000,'Timesheet Raw'!$L$4:$L$8000,$A178,'Timesheet Raw'!$C$4:$C$8000,L$3,'Timesheet Raw'!$A$4:$A$8000,"2-Proposals Chargeable")+SUMIFS('Timesheet Raw'!$P$4:$P$8000,'Timesheet Raw'!$L$4:$L$8000,$A178,'Timesheet Raw'!$C$4:$C$8000,L$3,'Timesheet Raw'!$A$4:$A$8000,"3-Proposals Regular"))</f>
        <v>0</v>
      </c>
      <c r="N178" s="341">
        <f>IF($A178="","",SUMIFS('Timesheet Raw'!$P$4:$P$8000,'Timesheet Raw'!$L$4:$L$8000,$A178,'Timesheet Raw'!$C$4:$C$8000,L$3,'Timesheet Raw'!$B$4:$B$8000,'Work Calendar'!$A$26)+SUMIFS('Timesheet Raw'!$P$4:$P$8000,'Timesheet Raw'!$L$4:$L$8000,$A178,'Timesheet Raw'!$C$4:$C$8000,L$3,'Timesheet Raw'!$B$4:$B$8000,'Work Calendar'!$A$27)+SUMIFS('Timesheet Raw'!$P$4:$P$8000,'Timesheet Raw'!$L$4:$L$8000,$A178,'Timesheet Raw'!$C$4:$C$8000,L$3,'Timesheet Raw'!$B$4:$B$8000,'Work Calendar'!$A$28)+SUMIFS('Timesheet Raw'!$P$4:$P$8000,'Timesheet Raw'!$L$4:$L$8000,$A178,'Timesheet Raw'!$C$4:$C$8000,L$3,'Timesheet Raw'!$B$4:$B$8000,'Work Calendar'!$A$29))</f>
        <v>0</v>
      </c>
      <c r="O178" s="341">
        <f t="shared" si="10"/>
        <v>0</v>
      </c>
      <c r="P178" s="395">
        <f>IF($A178="","",SUMIFS('Timesheet Raw'!$K$4:$K$8000,'Timesheet Raw'!$L$4:$L$8000,$A178,'Timesheet Raw'!$C$4:$C$8000,L$3))</f>
        <v>0.5</v>
      </c>
      <c r="Q178" s="345">
        <f>IF($A178="","",SUMIFS('Timesheet Raw'!$P$4:$P$8000,'Timesheet Raw'!$L$4:$L$8000,$A178,'Timesheet Raw'!$C$4:$C$8000,L$3))</f>
        <v>9</v>
      </c>
      <c r="R178" s="375"/>
      <c r="S178" t="str">
        <f>IF($A178="","",IF(R178&lt;&gt;"",R178,IF($A178&gt;'Work Calendar'!$B$17,"No data yet",IF(AND(N178&gt;='Work Calendar'!$B$14,L178+M178+O178&gt;0),"Day off - but worked",IF(N178&gt;='Work Calendar'!$B$14,"Day off",IF(L178+M178+O178&gt;0,IF($C178="Working","Charged","Worked weekend"),IF($C178="Working","Leave (not charged)",$C178)))))))</f>
        <v>Charged</v>
      </c>
      <c r="T178" s="341">
        <f>IF($A178="","",SUMIFS('Timesheet Raw'!$P$4:$P$8000,'Timesheet Raw'!$L$4:$L$8000,$A178,'Timesheet Raw'!$C$4:$C$8000,T$3,'Timesheet Raw'!$A$4:$A$8000,"1-Projects"))</f>
        <v>6.75</v>
      </c>
      <c r="U178" s="341">
        <f>IF($A178="","",SUMIFS('Timesheet Raw'!$P$4:$P$8000,'Timesheet Raw'!$L$4:$L$8000,$A178,'Timesheet Raw'!$C$4:$C$8000,T$3,'Timesheet Raw'!$A$4:$A$8000,"2-Proposals Chargeable")+SUMIFS('Timesheet Raw'!$P$4:$P$8000,'Timesheet Raw'!$L$4:$L$8000,$A178,'Timesheet Raw'!$C$4:$C$8000,T$3,'Timesheet Raw'!$A$4:$A$8000,"3-Proposals Regular"))</f>
        <v>0</v>
      </c>
      <c r="V178" s="341">
        <f>IF($A178="","",SUMIFS('Timesheet Raw'!$P$4:$P$8000,'Timesheet Raw'!$L$4:$L$8000,$A178,'Timesheet Raw'!$C$4:$C$8000,T$3,'Timesheet Raw'!$B$4:$B$8000,'Work Calendar'!$A$26)+SUMIFS('Timesheet Raw'!$P$4:$P$8000,'Timesheet Raw'!$L$4:$L$8000,$A178,'Timesheet Raw'!$C$4:$C$8000,T$3,'Timesheet Raw'!$B$4:$B$8000,'Work Calendar'!$A$27)+SUMIFS('Timesheet Raw'!$P$4:$P$8000,'Timesheet Raw'!$L$4:$L$8000,$A178,'Timesheet Raw'!$C$4:$C$8000,T$3,'Timesheet Raw'!$B$4:$B$8000,'Work Calendar'!$A$28)+SUMIFS('Timesheet Raw'!$P$4:$P$8000,'Timesheet Raw'!$L$4:$L$8000,$A178,'Timesheet Raw'!$C$4:$C$8000,T$3,'Timesheet Raw'!$B$4:$B$8000,'Work Calendar'!$A$29))</f>
        <v>2.25</v>
      </c>
      <c r="W178" s="341">
        <f t="shared" si="11"/>
        <v>0</v>
      </c>
      <c r="X178" s="395">
        <f>IF($A178="","",SUMIFS('Timesheet Raw'!$K$4:$K$8000,'Timesheet Raw'!$L$4:$L$8000,$A178,'Timesheet Raw'!$C$4:$C$8000,T$3))</f>
        <v>0.5</v>
      </c>
      <c r="Y178" s="345">
        <f>IF($A178="","",SUMIFS('Timesheet Raw'!$P$4:$P$8000,'Timesheet Raw'!$L$4:$L$8000,$A178,'Timesheet Raw'!$C$4:$C$8000,T$3))</f>
        <v>9</v>
      </c>
      <c r="Z178" s="375"/>
      <c r="AA178" t="str">
        <f>IF($A178="","",IF(Z178&lt;&gt;"",Z178,IF($A178&gt;'Work Calendar'!$B$17,"No data yet",IF(AND(V178&gt;='Work Calendar'!$B$14,T178+U178+W178&gt;0),"Day off - but worked",IF(V178&gt;='Work Calendar'!$B$14,"Day off",IF(T178+U178+W178&gt;0,IF($C178="Working","Charged","Worked weekend"),IF($C178="Working","Leave (not charged)",$C178)))))))</f>
        <v>Charged</v>
      </c>
    </row>
    <row r="179" spans="1:27" x14ac:dyDescent="0.3">
      <c r="A179" s="371">
        <f>IF($A178="","",IF($A178+1&gt;'Work Calendar'!$B$16,"",$A178+1))</f>
        <v>46197</v>
      </c>
      <c r="B179" t="str">
        <f t="shared" si="8"/>
        <v>Wed</v>
      </c>
      <c r="C179" t="str" cm="1">
        <f t="array" ref="C179">IF($A179="","",IF(COUNTIF('Work Calendar'!$E$6:$E$200,$A179)&gt;0,"Holiday",IF(INDEX('Work Calendar'!$C$6:$C$12,WEEKDAY($A179,1))=1,"Working","Weekend")))</f>
        <v>Working</v>
      </c>
      <c r="D179" s="341">
        <f>IF($A179="","",SUMIFS('Timesheet Raw'!$P$4:$P$8000,'Timesheet Raw'!$L$4:$L$8000,$A179,'Timesheet Raw'!$C$4:$C$8000,D$3,'Timesheet Raw'!$A$4:$A$8000,"1-Projects"))</f>
        <v>6.5</v>
      </c>
      <c r="E179" s="341">
        <f>IF($A179="","",SUMIFS('Timesheet Raw'!$P$4:$P$8000,'Timesheet Raw'!$L$4:$L$8000,$A179,'Timesheet Raw'!$C$4:$C$8000,D$3,'Timesheet Raw'!$A$4:$A$8000,"2-Proposals Chargeable")+SUMIFS('Timesheet Raw'!$P$4:$P$8000,'Timesheet Raw'!$L$4:$L$8000,$A179,'Timesheet Raw'!$C$4:$C$8000,D$3,'Timesheet Raw'!$A$4:$A$8000,"3-Proposals Regular"))</f>
        <v>0</v>
      </c>
      <c r="F179" s="341">
        <f>IF($A179="","",SUMIFS('Timesheet Raw'!$P$4:$P$8000,'Timesheet Raw'!$L$4:$L$8000,$A179,'Timesheet Raw'!$C$4:$C$8000,D$3,'Timesheet Raw'!$B$4:$B$8000,'Work Calendar'!$A$26)+SUMIFS('Timesheet Raw'!$P$4:$P$8000,'Timesheet Raw'!$L$4:$L$8000,$A179,'Timesheet Raw'!$C$4:$C$8000,D$3,'Timesheet Raw'!$B$4:$B$8000,'Work Calendar'!$A$27)+SUMIFS('Timesheet Raw'!$P$4:$P$8000,'Timesheet Raw'!$L$4:$L$8000,$A179,'Timesheet Raw'!$C$4:$C$8000,D$3,'Timesheet Raw'!$B$4:$B$8000,'Work Calendar'!$A$28)+SUMIFS('Timesheet Raw'!$P$4:$P$8000,'Timesheet Raw'!$L$4:$L$8000,$A179,'Timesheet Raw'!$C$4:$C$8000,D$3,'Timesheet Raw'!$B$4:$B$8000,'Work Calendar'!$A$29))</f>
        <v>2.25</v>
      </c>
      <c r="G179" s="341">
        <f t="shared" si="9"/>
        <v>0</v>
      </c>
      <c r="H179" s="395">
        <f>IF($A179="","",SUMIFS('Timesheet Raw'!$K$4:$K$8000,'Timesheet Raw'!$L$4:$L$8000,$A179,'Timesheet Raw'!$C$4:$C$8000,D$3))</f>
        <v>0.25</v>
      </c>
      <c r="I179" s="345">
        <f>IF($A179="","",SUMIFS('Timesheet Raw'!$P$4:$P$8000,'Timesheet Raw'!$L$4:$L$8000,$A179,'Timesheet Raw'!$C$4:$C$8000,D$3))</f>
        <v>8.75</v>
      </c>
      <c r="J179" s="375"/>
      <c r="K179" t="str">
        <f>IF($A179="","",IF(J179&lt;&gt;"",J179,IF($A179&gt;'Work Calendar'!$B$17,"No data yet",IF(AND(F179&gt;='Work Calendar'!$B$14,D179+E179+G179&gt;0),"Day off - but worked",IF(F179&gt;='Work Calendar'!$B$14,"Day off",IF(D179+E179+G179&gt;0,IF($C179="Working","Charged","Worked weekend"),IF($C179="Working","Leave (not charged)",$C179)))))))</f>
        <v>Charged</v>
      </c>
      <c r="L179" s="341">
        <f>IF($A179="","",SUMIFS('Timesheet Raw'!$P$4:$P$8000,'Timesheet Raw'!$L$4:$L$8000,$A179,'Timesheet Raw'!$C$4:$C$8000,L$3,'Timesheet Raw'!$A$4:$A$8000,"1-Projects"))</f>
        <v>8.75</v>
      </c>
      <c r="M179" s="341">
        <f>IF($A179="","",SUMIFS('Timesheet Raw'!$P$4:$P$8000,'Timesheet Raw'!$L$4:$L$8000,$A179,'Timesheet Raw'!$C$4:$C$8000,L$3,'Timesheet Raw'!$A$4:$A$8000,"2-Proposals Chargeable")+SUMIFS('Timesheet Raw'!$P$4:$P$8000,'Timesheet Raw'!$L$4:$L$8000,$A179,'Timesheet Raw'!$C$4:$C$8000,L$3,'Timesheet Raw'!$A$4:$A$8000,"3-Proposals Regular"))</f>
        <v>0</v>
      </c>
      <c r="N179" s="341">
        <f>IF($A179="","",SUMIFS('Timesheet Raw'!$P$4:$P$8000,'Timesheet Raw'!$L$4:$L$8000,$A179,'Timesheet Raw'!$C$4:$C$8000,L$3,'Timesheet Raw'!$B$4:$B$8000,'Work Calendar'!$A$26)+SUMIFS('Timesheet Raw'!$P$4:$P$8000,'Timesheet Raw'!$L$4:$L$8000,$A179,'Timesheet Raw'!$C$4:$C$8000,L$3,'Timesheet Raw'!$B$4:$B$8000,'Work Calendar'!$A$27)+SUMIFS('Timesheet Raw'!$P$4:$P$8000,'Timesheet Raw'!$L$4:$L$8000,$A179,'Timesheet Raw'!$C$4:$C$8000,L$3,'Timesheet Raw'!$B$4:$B$8000,'Work Calendar'!$A$28)+SUMIFS('Timesheet Raw'!$P$4:$P$8000,'Timesheet Raw'!$L$4:$L$8000,$A179,'Timesheet Raw'!$C$4:$C$8000,L$3,'Timesheet Raw'!$B$4:$B$8000,'Work Calendar'!$A$29))</f>
        <v>0</v>
      </c>
      <c r="O179" s="341">
        <f t="shared" si="10"/>
        <v>0</v>
      </c>
      <c r="P179" s="395">
        <f>IF($A179="","",SUMIFS('Timesheet Raw'!$K$4:$K$8000,'Timesheet Raw'!$L$4:$L$8000,$A179,'Timesheet Raw'!$C$4:$C$8000,L$3))</f>
        <v>0.25</v>
      </c>
      <c r="Q179" s="345">
        <f>IF($A179="","",SUMIFS('Timesheet Raw'!$P$4:$P$8000,'Timesheet Raw'!$L$4:$L$8000,$A179,'Timesheet Raw'!$C$4:$C$8000,L$3))</f>
        <v>8.75</v>
      </c>
      <c r="R179" s="375"/>
      <c r="S179" t="str">
        <f>IF($A179="","",IF(R179&lt;&gt;"",R179,IF($A179&gt;'Work Calendar'!$B$17,"No data yet",IF(AND(N179&gt;='Work Calendar'!$B$14,L179+M179+O179&gt;0),"Day off - but worked",IF(N179&gt;='Work Calendar'!$B$14,"Day off",IF(L179+M179+O179&gt;0,IF($C179="Working","Charged","Worked weekend"),IF($C179="Working","Leave (not charged)",$C179)))))))</f>
        <v>Charged</v>
      </c>
      <c r="T179" s="341">
        <f>IF($A179="","",SUMIFS('Timesheet Raw'!$P$4:$P$8000,'Timesheet Raw'!$L$4:$L$8000,$A179,'Timesheet Raw'!$C$4:$C$8000,T$3,'Timesheet Raw'!$A$4:$A$8000,"1-Projects"))</f>
        <v>0</v>
      </c>
      <c r="U179" s="341">
        <f>IF($A179="","",SUMIFS('Timesheet Raw'!$P$4:$P$8000,'Timesheet Raw'!$L$4:$L$8000,$A179,'Timesheet Raw'!$C$4:$C$8000,T$3,'Timesheet Raw'!$A$4:$A$8000,"2-Proposals Chargeable")+SUMIFS('Timesheet Raw'!$P$4:$P$8000,'Timesheet Raw'!$L$4:$L$8000,$A179,'Timesheet Raw'!$C$4:$C$8000,T$3,'Timesheet Raw'!$A$4:$A$8000,"3-Proposals Regular"))</f>
        <v>0</v>
      </c>
      <c r="V179" s="341">
        <f>IF($A179="","",SUMIFS('Timesheet Raw'!$P$4:$P$8000,'Timesheet Raw'!$L$4:$L$8000,$A179,'Timesheet Raw'!$C$4:$C$8000,T$3,'Timesheet Raw'!$B$4:$B$8000,'Work Calendar'!$A$26)+SUMIFS('Timesheet Raw'!$P$4:$P$8000,'Timesheet Raw'!$L$4:$L$8000,$A179,'Timesheet Raw'!$C$4:$C$8000,T$3,'Timesheet Raw'!$B$4:$B$8000,'Work Calendar'!$A$27)+SUMIFS('Timesheet Raw'!$P$4:$P$8000,'Timesheet Raw'!$L$4:$L$8000,$A179,'Timesheet Raw'!$C$4:$C$8000,T$3,'Timesheet Raw'!$B$4:$B$8000,'Work Calendar'!$A$28)+SUMIFS('Timesheet Raw'!$P$4:$P$8000,'Timesheet Raw'!$L$4:$L$8000,$A179,'Timesheet Raw'!$C$4:$C$8000,T$3,'Timesheet Raw'!$B$4:$B$8000,'Work Calendar'!$A$29))</f>
        <v>8.5</v>
      </c>
      <c r="W179" s="341">
        <f t="shared" si="11"/>
        <v>0</v>
      </c>
      <c r="X179" s="395">
        <f>IF($A179="","",SUMIFS('Timesheet Raw'!$K$4:$K$8000,'Timesheet Raw'!$L$4:$L$8000,$A179,'Timesheet Raw'!$C$4:$C$8000,T$3))</f>
        <v>0</v>
      </c>
      <c r="Y179" s="345">
        <f>IF($A179="","",SUMIFS('Timesheet Raw'!$P$4:$P$8000,'Timesheet Raw'!$L$4:$L$8000,$A179,'Timesheet Raw'!$C$4:$C$8000,T$3))</f>
        <v>8.5</v>
      </c>
      <c r="Z179" s="375"/>
      <c r="AA179" t="str">
        <f>IF($A179="","",IF(Z179&lt;&gt;"",Z179,IF($A179&gt;'Work Calendar'!$B$17,"No data yet",IF(AND(V179&gt;='Work Calendar'!$B$14,T179+U179+W179&gt;0),"Day off - but worked",IF(V179&gt;='Work Calendar'!$B$14,"Day off",IF(T179+U179+W179&gt;0,IF($C179="Working","Charged","Worked weekend"),IF($C179="Working","Leave (not charged)",$C179)))))))</f>
        <v>Day off</v>
      </c>
    </row>
    <row r="180" spans="1:27" x14ac:dyDescent="0.3">
      <c r="A180" s="371">
        <f>IF($A179="","",IF($A179+1&gt;'Work Calendar'!$B$16,"",$A179+1))</f>
        <v>46198</v>
      </c>
      <c r="B180" t="str">
        <f t="shared" si="8"/>
        <v>Thu</v>
      </c>
      <c r="C180" t="str" cm="1">
        <f t="array" ref="C180">IF($A180="","",IF(COUNTIF('Work Calendar'!$E$6:$E$200,$A180)&gt;0,"Holiday",IF(INDEX('Work Calendar'!$C$6:$C$12,WEEKDAY($A180,1))=1,"Working","Weekend")))</f>
        <v>Working</v>
      </c>
      <c r="D180" s="341">
        <f>IF($A180="","",SUMIFS('Timesheet Raw'!$P$4:$P$8000,'Timesheet Raw'!$L$4:$L$8000,$A180,'Timesheet Raw'!$C$4:$C$8000,D$3,'Timesheet Raw'!$A$4:$A$8000,"1-Projects"))</f>
        <v>0</v>
      </c>
      <c r="E180" s="341">
        <f>IF($A180="","",SUMIFS('Timesheet Raw'!$P$4:$P$8000,'Timesheet Raw'!$L$4:$L$8000,$A180,'Timesheet Raw'!$C$4:$C$8000,D$3,'Timesheet Raw'!$A$4:$A$8000,"2-Proposals Chargeable")+SUMIFS('Timesheet Raw'!$P$4:$P$8000,'Timesheet Raw'!$L$4:$L$8000,$A180,'Timesheet Raw'!$C$4:$C$8000,D$3,'Timesheet Raw'!$A$4:$A$8000,"3-Proposals Regular"))</f>
        <v>0</v>
      </c>
      <c r="F180" s="341">
        <f>IF($A180="","",SUMIFS('Timesheet Raw'!$P$4:$P$8000,'Timesheet Raw'!$L$4:$L$8000,$A180,'Timesheet Raw'!$C$4:$C$8000,D$3,'Timesheet Raw'!$B$4:$B$8000,'Work Calendar'!$A$26)+SUMIFS('Timesheet Raw'!$P$4:$P$8000,'Timesheet Raw'!$L$4:$L$8000,$A180,'Timesheet Raw'!$C$4:$C$8000,D$3,'Timesheet Raw'!$B$4:$B$8000,'Work Calendar'!$A$27)+SUMIFS('Timesheet Raw'!$P$4:$P$8000,'Timesheet Raw'!$L$4:$L$8000,$A180,'Timesheet Raw'!$C$4:$C$8000,D$3,'Timesheet Raw'!$B$4:$B$8000,'Work Calendar'!$A$28)+SUMIFS('Timesheet Raw'!$P$4:$P$8000,'Timesheet Raw'!$L$4:$L$8000,$A180,'Timesheet Raw'!$C$4:$C$8000,D$3,'Timesheet Raw'!$B$4:$B$8000,'Work Calendar'!$A$29))</f>
        <v>8.5</v>
      </c>
      <c r="G180" s="341">
        <f t="shared" si="9"/>
        <v>0</v>
      </c>
      <c r="H180" s="395">
        <f>IF($A180="","",SUMIFS('Timesheet Raw'!$K$4:$K$8000,'Timesheet Raw'!$L$4:$L$8000,$A180,'Timesheet Raw'!$C$4:$C$8000,D$3))</f>
        <v>0</v>
      </c>
      <c r="I180" s="345">
        <f>IF($A180="","",SUMIFS('Timesheet Raw'!$P$4:$P$8000,'Timesheet Raw'!$L$4:$L$8000,$A180,'Timesheet Raw'!$C$4:$C$8000,D$3))</f>
        <v>8.5</v>
      </c>
      <c r="J180" s="375"/>
      <c r="K180" t="str">
        <f>IF($A180="","",IF(J180&lt;&gt;"",J180,IF($A180&gt;'Work Calendar'!$B$17,"No data yet",IF(AND(F180&gt;='Work Calendar'!$B$14,D180+E180+G180&gt;0),"Day off - but worked",IF(F180&gt;='Work Calendar'!$B$14,"Day off",IF(D180+E180+G180&gt;0,IF($C180="Working","Charged","Worked weekend"),IF($C180="Working","Leave (not charged)",$C180)))))))</f>
        <v>Day off</v>
      </c>
      <c r="L180" s="341">
        <f>IF($A180="","",SUMIFS('Timesheet Raw'!$P$4:$P$8000,'Timesheet Raw'!$L$4:$L$8000,$A180,'Timesheet Raw'!$C$4:$C$8000,L$3,'Timesheet Raw'!$A$4:$A$8000,"1-Projects"))</f>
        <v>8.75</v>
      </c>
      <c r="M180" s="341">
        <f>IF($A180="","",SUMIFS('Timesheet Raw'!$P$4:$P$8000,'Timesheet Raw'!$L$4:$L$8000,$A180,'Timesheet Raw'!$C$4:$C$8000,L$3,'Timesheet Raw'!$A$4:$A$8000,"2-Proposals Chargeable")+SUMIFS('Timesheet Raw'!$P$4:$P$8000,'Timesheet Raw'!$L$4:$L$8000,$A180,'Timesheet Raw'!$C$4:$C$8000,L$3,'Timesheet Raw'!$A$4:$A$8000,"3-Proposals Regular"))</f>
        <v>0</v>
      </c>
      <c r="N180" s="341">
        <f>IF($A180="","",SUMIFS('Timesheet Raw'!$P$4:$P$8000,'Timesheet Raw'!$L$4:$L$8000,$A180,'Timesheet Raw'!$C$4:$C$8000,L$3,'Timesheet Raw'!$B$4:$B$8000,'Work Calendar'!$A$26)+SUMIFS('Timesheet Raw'!$P$4:$P$8000,'Timesheet Raw'!$L$4:$L$8000,$A180,'Timesheet Raw'!$C$4:$C$8000,L$3,'Timesheet Raw'!$B$4:$B$8000,'Work Calendar'!$A$27)+SUMIFS('Timesheet Raw'!$P$4:$P$8000,'Timesheet Raw'!$L$4:$L$8000,$A180,'Timesheet Raw'!$C$4:$C$8000,L$3,'Timesheet Raw'!$B$4:$B$8000,'Work Calendar'!$A$28)+SUMIFS('Timesheet Raw'!$P$4:$P$8000,'Timesheet Raw'!$L$4:$L$8000,$A180,'Timesheet Raw'!$C$4:$C$8000,L$3,'Timesheet Raw'!$B$4:$B$8000,'Work Calendar'!$A$29))</f>
        <v>0.5</v>
      </c>
      <c r="O180" s="341">
        <f t="shared" si="10"/>
        <v>0</v>
      </c>
      <c r="P180" s="395">
        <f>IF($A180="","",SUMIFS('Timesheet Raw'!$K$4:$K$8000,'Timesheet Raw'!$L$4:$L$8000,$A180,'Timesheet Raw'!$C$4:$C$8000,L$3))</f>
        <v>0.75</v>
      </c>
      <c r="Q180" s="345">
        <f>IF($A180="","",SUMIFS('Timesheet Raw'!$P$4:$P$8000,'Timesheet Raw'!$L$4:$L$8000,$A180,'Timesheet Raw'!$C$4:$C$8000,L$3))</f>
        <v>9.25</v>
      </c>
      <c r="R180" s="375"/>
      <c r="S180" t="str">
        <f>IF($A180="","",IF(R180&lt;&gt;"",R180,IF($A180&gt;'Work Calendar'!$B$17,"No data yet",IF(AND(N180&gt;='Work Calendar'!$B$14,L180+M180+O180&gt;0),"Day off - but worked",IF(N180&gt;='Work Calendar'!$B$14,"Day off",IF(L180+M180+O180&gt;0,IF($C180="Working","Charged","Worked weekend"),IF($C180="Working","Leave (not charged)",$C180)))))))</f>
        <v>Charged</v>
      </c>
      <c r="T180" s="341">
        <f>IF($A180="","",SUMIFS('Timesheet Raw'!$P$4:$P$8000,'Timesheet Raw'!$L$4:$L$8000,$A180,'Timesheet Raw'!$C$4:$C$8000,T$3,'Timesheet Raw'!$A$4:$A$8000,"1-Projects"))</f>
        <v>6.25</v>
      </c>
      <c r="U180" s="341">
        <f>IF($A180="","",SUMIFS('Timesheet Raw'!$P$4:$P$8000,'Timesheet Raw'!$L$4:$L$8000,$A180,'Timesheet Raw'!$C$4:$C$8000,T$3,'Timesheet Raw'!$A$4:$A$8000,"2-Proposals Chargeable")+SUMIFS('Timesheet Raw'!$P$4:$P$8000,'Timesheet Raw'!$L$4:$L$8000,$A180,'Timesheet Raw'!$C$4:$C$8000,T$3,'Timesheet Raw'!$A$4:$A$8000,"3-Proposals Regular"))</f>
        <v>0</v>
      </c>
      <c r="V180" s="341">
        <f>IF($A180="","",SUMIFS('Timesheet Raw'!$P$4:$P$8000,'Timesheet Raw'!$L$4:$L$8000,$A180,'Timesheet Raw'!$C$4:$C$8000,T$3,'Timesheet Raw'!$B$4:$B$8000,'Work Calendar'!$A$26)+SUMIFS('Timesheet Raw'!$P$4:$P$8000,'Timesheet Raw'!$L$4:$L$8000,$A180,'Timesheet Raw'!$C$4:$C$8000,T$3,'Timesheet Raw'!$B$4:$B$8000,'Work Calendar'!$A$27)+SUMIFS('Timesheet Raw'!$P$4:$P$8000,'Timesheet Raw'!$L$4:$L$8000,$A180,'Timesheet Raw'!$C$4:$C$8000,T$3,'Timesheet Raw'!$B$4:$B$8000,'Work Calendar'!$A$28)+SUMIFS('Timesheet Raw'!$P$4:$P$8000,'Timesheet Raw'!$L$4:$L$8000,$A180,'Timesheet Raw'!$C$4:$C$8000,T$3,'Timesheet Raw'!$B$4:$B$8000,'Work Calendar'!$A$29))</f>
        <v>2.25</v>
      </c>
      <c r="W180" s="341">
        <f t="shared" si="11"/>
        <v>0</v>
      </c>
      <c r="X180" s="395">
        <f>IF($A180="","",SUMIFS('Timesheet Raw'!$K$4:$K$8000,'Timesheet Raw'!$L$4:$L$8000,$A180,'Timesheet Raw'!$C$4:$C$8000,T$3))</f>
        <v>0</v>
      </c>
      <c r="Y180" s="345">
        <f>IF($A180="","",SUMIFS('Timesheet Raw'!$P$4:$P$8000,'Timesheet Raw'!$L$4:$L$8000,$A180,'Timesheet Raw'!$C$4:$C$8000,T$3))</f>
        <v>8.5</v>
      </c>
      <c r="Z180" s="375"/>
      <c r="AA180" t="str">
        <f>IF($A180="","",IF(Z180&lt;&gt;"",Z180,IF($A180&gt;'Work Calendar'!$B$17,"No data yet",IF(AND(V180&gt;='Work Calendar'!$B$14,T180+U180+W180&gt;0),"Day off - but worked",IF(V180&gt;='Work Calendar'!$B$14,"Day off",IF(T180+U180+W180&gt;0,IF($C180="Working","Charged","Worked weekend"),IF($C180="Working","Leave (not charged)",$C180)))))))</f>
        <v>Charged</v>
      </c>
    </row>
    <row r="181" spans="1:27" x14ac:dyDescent="0.3">
      <c r="A181" s="371">
        <f>IF($A180="","",IF($A180+1&gt;'Work Calendar'!$B$16,"",$A180+1))</f>
        <v>46199</v>
      </c>
      <c r="B181" t="str">
        <f t="shared" si="8"/>
        <v>Fri</v>
      </c>
      <c r="C181" t="str" cm="1">
        <f t="array" ref="C181">IF($A181="","",IF(COUNTIF('Work Calendar'!$E$6:$E$200,$A181)&gt;0,"Holiday",IF(INDEX('Work Calendar'!$C$6:$C$12,WEEKDAY($A181,1))=1,"Working","Weekend")))</f>
        <v>Weekend</v>
      </c>
      <c r="D181" s="341">
        <f>IF($A181="","",SUMIFS('Timesheet Raw'!$P$4:$P$8000,'Timesheet Raw'!$L$4:$L$8000,$A181,'Timesheet Raw'!$C$4:$C$8000,D$3,'Timesheet Raw'!$A$4:$A$8000,"1-Projects"))</f>
        <v>0</v>
      </c>
      <c r="E181" s="341">
        <f>IF($A181="","",SUMIFS('Timesheet Raw'!$P$4:$P$8000,'Timesheet Raw'!$L$4:$L$8000,$A181,'Timesheet Raw'!$C$4:$C$8000,D$3,'Timesheet Raw'!$A$4:$A$8000,"2-Proposals Chargeable")+SUMIFS('Timesheet Raw'!$P$4:$P$8000,'Timesheet Raw'!$L$4:$L$8000,$A181,'Timesheet Raw'!$C$4:$C$8000,D$3,'Timesheet Raw'!$A$4:$A$8000,"3-Proposals Regular"))</f>
        <v>0</v>
      </c>
      <c r="F181" s="341">
        <f>IF($A181="","",SUMIFS('Timesheet Raw'!$P$4:$P$8000,'Timesheet Raw'!$L$4:$L$8000,$A181,'Timesheet Raw'!$C$4:$C$8000,D$3,'Timesheet Raw'!$B$4:$B$8000,'Work Calendar'!$A$26)+SUMIFS('Timesheet Raw'!$P$4:$P$8000,'Timesheet Raw'!$L$4:$L$8000,$A181,'Timesheet Raw'!$C$4:$C$8000,D$3,'Timesheet Raw'!$B$4:$B$8000,'Work Calendar'!$A$27)+SUMIFS('Timesheet Raw'!$P$4:$P$8000,'Timesheet Raw'!$L$4:$L$8000,$A181,'Timesheet Raw'!$C$4:$C$8000,D$3,'Timesheet Raw'!$B$4:$B$8000,'Work Calendar'!$A$28)+SUMIFS('Timesheet Raw'!$P$4:$P$8000,'Timesheet Raw'!$L$4:$L$8000,$A181,'Timesheet Raw'!$C$4:$C$8000,D$3,'Timesheet Raw'!$B$4:$B$8000,'Work Calendar'!$A$29))</f>
        <v>0</v>
      </c>
      <c r="G181" s="341">
        <f t="shared" si="9"/>
        <v>0</v>
      </c>
      <c r="H181" s="395">
        <f>IF($A181="","",SUMIFS('Timesheet Raw'!$K$4:$K$8000,'Timesheet Raw'!$L$4:$L$8000,$A181,'Timesheet Raw'!$C$4:$C$8000,D$3))</f>
        <v>0</v>
      </c>
      <c r="I181" s="345">
        <f>IF($A181="","",SUMIFS('Timesheet Raw'!$P$4:$P$8000,'Timesheet Raw'!$L$4:$L$8000,$A181,'Timesheet Raw'!$C$4:$C$8000,D$3))</f>
        <v>0</v>
      </c>
      <c r="J181" s="375"/>
      <c r="K181" t="str">
        <f>IF($A181="","",IF(J181&lt;&gt;"",J181,IF($A181&gt;'Work Calendar'!$B$17,"No data yet",IF(AND(F181&gt;='Work Calendar'!$B$14,D181+E181+G181&gt;0),"Day off - but worked",IF(F181&gt;='Work Calendar'!$B$14,"Day off",IF(D181+E181+G181&gt;0,IF($C181="Working","Charged","Worked weekend"),IF($C181="Working","Leave (not charged)",$C181)))))))</f>
        <v>Weekend</v>
      </c>
      <c r="L181" s="341">
        <f>IF($A181="","",SUMIFS('Timesheet Raw'!$P$4:$P$8000,'Timesheet Raw'!$L$4:$L$8000,$A181,'Timesheet Raw'!$C$4:$C$8000,L$3,'Timesheet Raw'!$A$4:$A$8000,"1-Projects"))</f>
        <v>0</v>
      </c>
      <c r="M181" s="341">
        <f>IF($A181="","",SUMIFS('Timesheet Raw'!$P$4:$P$8000,'Timesheet Raw'!$L$4:$L$8000,$A181,'Timesheet Raw'!$C$4:$C$8000,L$3,'Timesheet Raw'!$A$4:$A$8000,"2-Proposals Chargeable")+SUMIFS('Timesheet Raw'!$P$4:$P$8000,'Timesheet Raw'!$L$4:$L$8000,$A181,'Timesheet Raw'!$C$4:$C$8000,L$3,'Timesheet Raw'!$A$4:$A$8000,"3-Proposals Regular"))</f>
        <v>0</v>
      </c>
      <c r="N181" s="341">
        <f>IF($A181="","",SUMIFS('Timesheet Raw'!$P$4:$P$8000,'Timesheet Raw'!$L$4:$L$8000,$A181,'Timesheet Raw'!$C$4:$C$8000,L$3,'Timesheet Raw'!$B$4:$B$8000,'Work Calendar'!$A$26)+SUMIFS('Timesheet Raw'!$P$4:$P$8000,'Timesheet Raw'!$L$4:$L$8000,$A181,'Timesheet Raw'!$C$4:$C$8000,L$3,'Timesheet Raw'!$B$4:$B$8000,'Work Calendar'!$A$27)+SUMIFS('Timesheet Raw'!$P$4:$P$8000,'Timesheet Raw'!$L$4:$L$8000,$A181,'Timesheet Raw'!$C$4:$C$8000,L$3,'Timesheet Raw'!$B$4:$B$8000,'Work Calendar'!$A$28)+SUMIFS('Timesheet Raw'!$P$4:$P$8000,'Timesheet Raw'!$L$4:$L$8000,$A181,'Timesheet Raw'!$C$4:$C$8000,L$3,'Timesheet Raw'!$B$4:$B$8000,'Work Calendar'!$A$29))</f>
        <v>0</v>
      </c>
      <c r="O181" s="341">
        <f t="shared" si="10"/>
        <v>0</v>
      </c>
      <c r="P181" s="395">
        <f>IF($A181="","",SUMIFS('Timesheet Raw'!$K$4:$K$8000,'Timesheet Raw'!$L$4:$L$8000,$A181,'Timesheet Raw'!$C$4:$C$8000,L$3))</f>
        <v>0</v>
      </c>
      <c r="Q181" s="345">
        <f>IF($A181="","",SUMIFS('Timesheet Raw'!$P$4:$P$8000,'Timesheet Raw'!$L$4:$L$8000,$A181,'Timesheet Raw'!$C$4:$C$8000,L$3))</f>
        <v>0</v>
      </c>
      <c r="R181" s="375"/>
      <c r="S181" t="str">
        <f>IF($A181="","",IF(R181&lt;&gt;"",R181,IF($A181&gt;'Work Calendar'!$B$17,"No data yet",IF(AND(N181&gt;='Work Calendar'!$B$14,L181+M181+O181&gt;0),"Day off - but worked",IF(N181&gt;='Work Calendar'!$B$14,"Day off",IF(L181+M181+O181&gt;0,IF($C181="Working","Charged","Worked weekend"),IF($C181="Working","Leave (not charged)",$C181)))))))</f>
        <v>Weekend</v>
      </c>
      <c r="T181" s="341">
        <f>IF($A181="","",SUMIFS('Timesheet Raw'!$P$4:$P$8000,'Timesheet Raw'!$L$4:$L$8000,$A181,'Timesheet Raw'!$C$4:$C$8000,T$3,'Timesheet Raw'!$A$4:$A$8000,"1-Projects"))</f>
        <v>0</v>
      </c>
      <c r="U181" s="341">
        <f>IF($A181="","",SUMIFS('Timesheet Raw'!$P$4:$P$8000,'Timesheet Raw'!$L$4:$L$8000,$A181,'Timesheet Raw'!$C$4:$C$8000,T$3,'Timesheet Raw'!$A$4:$A$8000,"2-Proposals Chargeable")+SUMIFS('Timesheet Raw'!$P$4:$P$8000,'Timesheet Raw'!$L$4:$L$8000,$A181,'Timesheet Raw'!$C$4:$C$8000,T$3,'Timesheet Raw'!$A$4:$A$8000,"3-Proposals Regular"))</f>
        <v>0</v>
      </c>
      <c r="V181" s="341">
        <f>IF($A181="","",SUMIFS('Timesheet Raw'!$P$4:$P$8000,'Timesheet Raw'!$L$4:$L$8000,$A181,'Timesheet Raw'!$C$4:$C$8000,T$3,'Timesheet Raw'!$B$4:$B$8000,'Work Calendar'!$A$26)+SUMIFS('Timesheet Raw'!$P$4:$P$8000,'Timesheet Raw'!$L$4:$L$8000,$A181,'Timesheet Raw'!$C$4:$C$8000,T$3,'Timesheet Raw'!$B$4:$B$8000,'Work Calendar'!$A$27)+SUMIFS('Timesheet Raw'!$P$4:$P$8000,'Timesheet Raw'!$L$4:$L$8000,$A181,'Timesheet Raw'!$C$4:$C$8000,T$3,'Timesheet Raw'!$B$4:$B$8000,'Work Calendar'!$A$28)+SUMIFS('Timesheet Raw'!$P$4:$P$8000,'Timesheet Raw'!$L$4:$L$8000,$A181,'Timesheet Raw'!$C$4:$C$8000,T$3,'Timesheet Raw'!$B$4:$B$8000,'Work Calendar'!$A$29))</f>
        <v>0</v>
      </c>
      <c r="W181" s="341">
        <f t="shared" si="11"/>
        <v>0</v>
      </c>
      <c r="X181" s="395">
        <f>IF($A181="","",SUMIFS('Timesheet Raw'!$K$4:$K$8000,'Timesheet Raw'!$L$4:$L$8000,$A181,'Timesheet Raw'!$C$4:$C$8000,T$3))</f>
        <v>0</v>
      </c>
      <c r="Y181" s="345">
        <f>IF($A181="","",SUMIFS('Timesheet Raw'!$P$4:$P$8000,'Timesheet Raw'!$L$4:$L$8000,$A181,'Timesheet Raw'!$C$4:$C$8000,T$3))</f>
        <v>0</v>
      </c>
      <c r="Z181" s="375"/>
      <c r="AA181" t="str">
        <f>IF($A181="","",IF(Z181&lt;&gt;"",Z181,IF($A181&gt;'Work Calendar'!$B$17,"No data yet",IF(AND(V181&gt;='Work Calendar'!$B$14,T181+U181+W181&gt;0),"Day off - but worked",IF(V181&gt;='Work Calendar'!$B$14,"Day off",IF(T181+U181+W181&gt;0,IF($C181="Working","Charged","Worked weekend"),IF($C181="Working","Leave (not charged)",$C181)))))))</f>
        <v>Weekend</v>
      </c>
    </row>
    <row r="182" spans="1:27" x14ac:dyDescent="0.3">
      <c r="A182" s="371">
        <f>IF($A181="","",IF($A181+1&gt;'Work Calendar'!$B$16,"",$A181+1))</f>
        <v>46200</v>
      </c>
      <c r="B182" t="str">
        <f t="shared" si="8"/>
        <v>Sat</v>
      </c>
      <c r="C182" t="str" cm="1">
        <f t="array" ref="C182">IF($A182="","",IF(COUNTIF('Work Calendar'!$E$6:$E$200,$A182)&gt;0,"Holiday",IF(INDEX('Work Calendar'!$C$6:$C$12,WEEKDAY($A182,1))=1,"Working","Weekend")))</f>
        <v>Weekend</v>
      </c>
      <c r="D182" s="341">
        <f>IF($A182="","",SUMIFS('Timesheet Raw'!$P$4:$P$8000,'Timesheet Raw'!$L$4:$L$8000,$A182,'Timesheet Raw'!$C$4:$C$8000,D$3,'Timesheet Raw'!$A$4:$A$8000,"1-Projects"))</f>
        <v>0</v>
      </c>
      <c r="E182" s="341">
        <f>IF($A182="","",SUMIFS('Timesheet Raw'!$P$4:$P$8000,'Timesheet Raw'!$L$4:$L$8000,$A182,'Timesheet Raw'!$C$4:$C$8000,D$3,'Timesheet Raw'!$A$4:$A$8000,"2-Proposals Chargeable")+SUMIFS('Timesheet Raw'!$P$4:$P$8000,'Timesheet Raw'!$L$4:$L$8000,$A182,'Timesheet Raw'!$C$4:$C$8000,D$3,'Timesheet Raw'!$A$4:$A$8000,"3-Proposals Regular"))</f>
        <v>0</v>
      </c>
      <c r="F182" s="341">
        <f>IF($A182="","",SUMIFS('Timesheet Raw'!$P$4:$P$8000,'Timesheet Raw'!$L$4:$L$8000,$A182,'Timesheet Raw'!$C$4:$C$8000,D$3,'Timesheet Raw'!$B$4:$B$8000,'Work Calendar'!$A$26)+SUMIFS('Timesheet Raw'!$P$4:$P$8000,'Timesheet Raw'!$L$4:$L$8000,$A182,'Timesheet Raw'!$C$4:$C$8000,D$3,'Timesheet Raw'!$B$4:$B$8000,'Work Calendar'!$A$27)+SUMIFS('Timesheet Raw'!$P$4:$P$8000,'Timesheet Raw'!$L$4:$L$8000,$A182,'Timesheet Raw'!$C$4:$C$8000,D$3,'Timesheet Raw'!$B$4:$B$8000,'Work Calendar'!$A$28)+SUMIFS('Timesheet Raw'!$P$4:$P$8000,'Timesheet Raw'!$L$4:$L$8000,$A182,'Timesheet Raw'!$C$4:$C$8000,D$3,'Timesheet Raw'!$B$4:$B$8000,'Work Calendar'!$A$29))</f>
        <v>0</v>
      </c>
      <c r="G182" s="341">
        <f t="shared" si="9"/>
        <v>0</v>
      </c>
      <c r="H182" s="395">
        <f>IF($A182="","",SUMIFS('Timesheet Raw'!$K$4:$K$8000,'Timesheet Raw'!$L$4:$L$8000,$A182,'Timesheet Raw'!$C$4:$C$8000,D$3))</f>
        <v>0</v>
      </c>
      <c r="I182" s="345">
        <f>IF($A182="","",SUMIFS('Timesheet Raw'!$P$4:$P$8000,'Timesheet Raw'!$L$4:$L$8000,$A182,'Timesheet Raw'!$C$4:$C$8000,D$3))</f>
        <v>0</v>
      </c>
      <c r="J182" s="375"/>
      <c r="K182" t="str">
        <f>IF($A182="","",IF(J182&lt;&gt;"",J182,IF($A182&gt;'Work Calendar'!$B$17,"No data yet",IF(AND(F182&gt;='Work Calendar'!$B$14,D182+E182+G182&gt;0),"Day off - but worked",IF(F182&gt;='Work Calendar'!$B$14,"Day off",IF(D182+E182+G182&gt;0,IF($C182="Working","Charged","Worked weekend"),IF($C182="Working","Leave (not charged)",$C182)))))))</f>
        <v>Weekend</v>
      </c>
      <c r="L182" s="341">
        <f>IF($A182="","",SUMIFS('Timesheet Raw'!$P$4:$P$8000,'Timesheet Raw'!$L$4:$L$8000,$A182,'Timesheet Raw'!$C$4:$C$8000,L$3,'Timesheet Raw'!$A$4:$A$8000,"1-Projects"))</f>
        <v>0</v>
      </c>
      <c r="M182" s="341">
        <f>IF($A182="","",SUMIFS('Timesheet Raw'!$P$4:$P$8000,'Timesheet Raw'!$L$4:$L$8000,$A182,'Timesheet Raw'!$C$4:$C$8000,L$3,'Timesheet Raw'!$A$4:$A$8000,"2-Proposals Chargeable")+SUMIFS('Timesheet Raw'!$P$4:$P$8000,'Timesheet Raw'!$L$4:$L$8000,$A182,'Timesheet Raw'!$C$4:$C$8000,L$3,'Timesheet Raw'!$A$4:$A$8000,"3-Proposals Regular"))</f>
        <v>0</v>
      </c>
      <c r="N182" s="341">
        <f>IF($A182="","",SUMIFS('Timesheet Raw'!$P$4:$P$8000,'Timesheet Raw'!$L$4:$L$8000,$A182,'Timesheet Raw'!$C$4:$C$8000,L$3,'Timesheet Raw'!$B$4:$B$8000,'Work Calendar'!$A$26)+SUMIFS('Timesheet Raw'!$P$4:$P$8000,'Timesheet Raw'!$L$4:$L$8000,$A182,'Timesheet Raw'!$C$4:$C$8000,L$3,'Timesheet Raw'!$B$4:$B$8000,'Work Calendar'!$A$27)+SUMIFS('Timesheet Raw'!$P$4:$P$8000,'Timesheet Raw'!$L$4:$L$8000,$A182,'Timesheet Raw'!$C$4:$C$8000,L$3,'Timesheet Raw'!$B$4:$B$8000,'Work Calendar'!$A$28)+SUMIFS('Timesheet Raw'!$P$4:$P$8000,'Timesheet Raw'!$L$4:$L$8000,$A182,'Timesheet Raw'!$C$4:$C$8000,L$3,'Timesheet Raw'!$B$4:$B$8000,'Work Calendar'!$A$29))</f>
        <v>0</v>
      </c>
      <c r="O182" s="341">
        <f t="shared" si="10"/>
        <v>0</v>
      </c>
      <c r="P182" s="395">
        <f>IF($A182="","",SUMIFS('Timesheet Raw'!$K$4:$K$8000,'Timesheet Raw'!$L$4:$L$8000,$A182,'Timesheet Raw'!$C$4:$C$8000,L$3))</f>
        <v>0</v>
      </c>
      <c r="Q182" s="345">
        <f>IF($A182="","",SUMIFS('Timesheet Raw'!$P$4:$P$8000,'Timesheet Raw'!$L$4:$L$8000,$A182,'Timesheet Raw'!$C$4:$C$8000,L$3))</f>
        <v>0</v>
      </c>
      <c r="R182" s="375"/>
      <c r="S182" t="str">
        <f>IF($A182="","",IF(R182&lt;&gt;"",R182,IF($A182&gt;'Work Calendar'!$B$17,"No data yet",IF(AND(N182&gt;='Work Calendar'!$B$14,L182+M182+O182&gt;0),"Day off - but worked",IF(N182&gt;='Work Calendar'!$B$14,"Day off",IF(L182+M182+O182&gt;0,IF($C182="Working","Charged","Worked weekend"),IF($C182="Working","Leave (not charged)",$C182)))))))</f>
        <v>Weekend</v>
      </c>
      <c r="T182" s="341">
        <f>IF($A182="","",SUMIFS('Timesheet Raw'!$P$4:$P$8000,'Timesheet Raw'!$L$4:$L$8000,$A182,'Timesheet Raw'!$C$4:$C$8000,T$3,'Timesheet Raw'!$A$4:$A$8000,"1-Projects"))</f>
        <v>0</v>
      </c>
      <c r="U182" s="341">
        <f>IF($A182="","",SUMIFS('Timesheet Raw'!$P$4:$P$8000,'Timesheet Raw'!$L$4:$L$8000,$A182,'Timesheet Raw'!$C$4:$C$8000,T$3,'Timesheet Raw'!$A$4:$A$8000,"2-Proposals Chargeable")+SUMIFS('Timesheet Raw'!$P$4:$P$8000,'Timesheet Raw'!$L$4:$L$8000,$A182,'Timesheet Raw'!$C$4:$C$8000,T$3,'Timesheet Raw'!$A$4:$A$8000,"3-Proposals Regular"))</f>
        <v>0</v>
      </c>
      <c r="V182" s="341">
        <f>IF($A182="","",SUMIFS('Timesheet Raw'!$P$4:$P$8000,'Timesheet Raw'!$L$4:$L$8000,$A182,'Timesheet Raw'!$C$4:$C$8000,T$3,'Timesheet Raw'!$B$4:$B$8000,'Work Calendar'!$A$26)+SUMIFS('Timesheet Raw'!$P$4:$P$8000,'Timesheet Raw'!$L$4:$L$8000,$A182,'Timesheet Raw'!$C$4:$C$8000,T$3,'Timesheet Raw'!$B$4:$B$8000,'Work Calendar'!$A$27)+SUMIFS('Timesheet Raw'!$P$4:$P$8000,'Timesheet Raw'!$L$4:$L$8000,$A182,'Timesheet Raw'!$C$4:$C$8000,T$3,'Timesheet Raw'!$B$4:$B$8000,'Work Calendar'!$A$28)+SUMIFS('Timesheet Raw'!$P$4:$P$8000,'Timesheet Raw'!$L$4:$L$8000,$A182,'Timesheet Raw'!$C$4:$C$8000,T$3,'Timesheet Raw'!$B$4:$B$8000,'Work Calendar'!$A$29))</f>
        <v>0</v>
      </c>
      <c r="W182" s="341">
        <f t="shared" si="11"/>
        <v>0</v>
      </c>
      <c r="X182" s="395">
        <f>IF($A182="","",SUMIFS('Timesheet Raw'!$K$4:$K$8000,'Timesheet Raw'!$L$4:$L$8000,$A182,'Timesheet Raw'!$C$4:$C$8000,T$3))</f>
        <v>0</v>
      </c>
      <c r="Y182" s="345">
        <f>IF($A182="","",SUMIFS('Timesheet Raw'!$P$4:$P$8000,'Timesheet Raw'!$L$4:$L$8000,$A182,'Timesheet Raw'!$C$4:$C$8000,T$3))</f>
        <v>0</v>
      </c>
      <c r="Z182" s="375"/>
      <c r="AA182" t="str">
        <f>IF($A182="","",IF(Z182&lt;&gt;"",Z182,IF($A182&gt;'Work Calendar'!$B$17,"No data yet",IF(AND(V182&gt;='Work Calendar'!$B$14,T182+U182+W182&gt;0),"Day off - but worked",IF(V182&gt;='Work Calendar'!$B$14,"Day off",IF(T182+U182+W182&gt;0,IF($C182="Working","Charged","Worked weekend"),IF($C182="Working","Leave (not charged)",$C182)))))))</f>
        <v>Weekend</v>
      </c>
    </row>
    <row r="183" spans="1:27" x14ac:dyDescent="0.3">
      <c r="A183" s="371">
        <f>IF($A182="","",IF($A182+1&gt;'Work Calendar'!$B$16,"",$A182+1))</f>
        <v>46201</v>
      </c>
      <c r="B183" t="str">
        <f t="shared" si="8"/>
        <v>Sun</v>
      </c>
      <c r="C183" t="str" cm="1">
        <f t="array" ref="C183">IF($A183="","",IF(COUNTIF('Work Calendar'!$E$6:$E$200,$A183)&gt;0,"Holiday",IF(INDEX('Work Calendar'!$C$6:$C$12,WEEKDAY($A183,1))=1,"Working","Weekend")))</f>
        <v>Working</v>
      </c>
      <c r="D183" s="341">
        <f>IF($A183="","",SUMIFS('Timesheet Raw'!$P$4:$P$8000,'Timesheet Raw'!$L$4:$L$8000,$A183,'Timesheet Raw'!$C$4:$C$8000,D$3,'Timesheet Raw'!$A$4:$A$8000,"1-Projects"))</f>
        <v>7.75</v>
      </c>
      <c r="E183" s="341">
        <f>IF($A183="","",SUMIFS('Timesheet Raw'!$P$4:$P$8000,'Timesheet Raw'!$L$4:$L$8000,$A183,'Timesheet Raw'!$C$4:$C$8000,D$3,'Timesheet Raw'!$A$4:$A$8000,"2-Proposals Chargeable")+SUMIFS('Timesheet Raw'!$P$4:$P$8000,'Timesheet Raw'!$L$4:$L$8000,$A183,'Timesheet Raw'!$C$4:$C$8000,D$3,'Timesheet Raw'!$A$4:$A$8000,"3-Proposals Regular"))</f>
        <v>0</v>
      </c>
      <c r="F183" s="341">
        <f>IF($A183="","",SUMIFS('Timesheet Raw'!$P$4:$P$8000,'Timesheet Raw'!$L$4:$L$8000,$A183,'Timesheet Raw'!$C$4:$C$8000,D$3,'Timesheet Raw'!$B$4:$B$8000,'Work Calendar'!$A$26)+SUMIFS('Timesheet Raw'!$P$4:$P$8000,'Timesheet Raw'!$L$4:$L$8000,$A183,'Timesheet Raw'!$C$4:$C$8000,D$3,'Timesheet Raw'!$B$4:$B$8000,'Work Calendar'!$A$27)+SUMIFS('Timesheet Raw'!$P$4:$P$8000,'Timesheet Raw'!$L$4:$L$8000,$A183,'Timesheet Raw'!$C$4:$C$8000,D$3,'Timesheet Raw'!$B$4:$B$8000,'Work Calendar'!$A$28)+SUMIFS('Timesheet Raw'!$P$4:$P$8000,'Timesheet Raw'!$L$4:$L$8000,$A183,'Timesheet Raw'!$C$4:$C$8000,D$3,'Timesheet Raw'!$B$4:$B$8000,'Work Calendar'!$A$29))</f>
        <v>1.5</v>
      </c>
      <c r="G183" s="341">
        <f t="shared" si="9"/>
        <v>0</v>
      </c>
      <c r="H183" s="395">
        <f>IF($A183="","",SUMIFS('Timesheet Raw'!$K$4:$K$8000,'Timesheet Raw'!$L$4:$L$8000,$A183,'Timesheet Raw'!$C$4:$C$8000,D$3))</f>
        <v>0.75</v>
      </c>
      <c r="I183" s="345">
        <f>IF($A183="","",SUMIFS('Timesheet Raw'!$P$4:$P$8000,'Timesheet Raw'!$L$4:$L$8000,$A183,'Timesheet Raw'!$C$4:$C$8000,D$3))</f>
        <v>9.25</v>
      </c>
      <c r="J183" s="375"/>
      <c r="K183" t="str">
        <f>IF($A183="","",IF(J183&lt;&gt;"",J183,IF($A183&gt;'Work Calendar'!$B$17,"No data yet",IF(AND(F183&gt;='Work Calendar'!$B$14,D183+E183+G183&gt;0),"Day off - but worked",IF(F183&gt;='Work Calendar'!$B$14,"Day off",IF(D183+E183+G183&gt;0,IF($C183="Working","Charged","Worked weekend"),IF($C183="Working","Leave (not charged)",$C183)))))))</f>
        <v>Charged</v>
      </c>
      <c r="L183" s="341">
        <f>IF($A183="","",SUMIFS('Timesheet Raw'!$P$4:$P$8000,'Timesheet Raw'!$L$4:$L$8000,$A183,'Timesheet Raw'!$C$4:$C$8000,L$3,'Timesheet Raw'!$A$4:$A$8000,"1-Projects"))</f>
        <v>9.25</v>
      </c>
      <c r="M183" s="341">
        <f>IF($A183="","",SUMIFS('Timesheet Raw'!$P$4:$P$8000,'Timesheet Raw'!$L$4:$L$8000,$A183,'Timesheet Raw'!$C$4:$C$8000,L$3,'Timesheet Raw'!$A$4:$A$8000,"2-Proposals Chargeable")+SUMIFS('Timesheet Raw'!$P$4:$P$8000,'Timesheet Raw'!$L$4:$L$8000,$A183,'Timesheet Raw'!$C$4:$C$8000,L$3,'Timesheet Raw'!$A$4:$A$8000,"3-Proposals Regular"))</f>
        <v>0</v>
      </c>
      <c r="N183" s="341">
        <f>IF($A183="","",SUMIFS('Timesheet Raw'!$P$4:$P$8000,'Timesheet Raw'!$L$4:$L$8000,$A183,'Timesheet Raw'!$C$4:$C$8000,L$3,'Timesheet Raw'!$B$4:$B$8000,'Work Calendar'!$A$26)+SUMIFS('Timesheet Raw'!$P$4:$P$8000,'Timesheet Raw'!$L$4:$L$8000,$A183,'Timesheet Raw'!$C$4:$C$8000,L$3,'Timesheet Raw'!$B$4:$B$8000,'Work Calendar'!$A$27)+SUMIFS('Timesheet Raw'!$P$4:$P$8000,'Timesheet Raw'!$L$4:$L$8000,$A183,'Timesheet Raw'!$C$4:$C$8000,L$3,'Timesheet Raw'!$B$4:$B$8000,'Work Calendar'!$A$28)+SUMIFS('Timesheet Raw'!$P$4:$P$8000,'Timesheet Raw'!$L$4:$L$8000,$A183,'Timesheet Raw'!$C$4:$C$8000,L$3,'Timesheet Raw'!$B$4:$B$8000,'Work Calendar'!$A$29))</f>
        <v>0.75</v>
      </c>
      <c r="O183" s="341">
        <f t="shared" si="10"/>
        <v>0</v>
      </c>
      <c r="P183" s="395">
        <f>IF($A183="","",SUMIFS('Timesheet Raw'!$K$4:$K$8000,'Timesheet Raw'!$L$4:$L$8000,$A183,'Timesheet Raw'!$C$4:$C$8000,L$3))</f>
        <v>1.5</v>
      </c>
      <c r="Q183" s="345">
        <f>IF($A183="","",SUMIFS('Timesheet Raw'!$P$4:$P$8000,'Timesheet Raw'!$L$4:$L$8000,$A183,'Timesheet Raw'!$C$4:$C$8000,L$3))</f>
        <v>10</v>
      </c>
      <c r="R183" s="375"/>
      <c r="S183" t="str">
        <f>IF($A183="","",IF(R183&lt;&gt;"",R183,IF($A183&gt;'Work Calendar'!$B$17,"No data yet",IF(AND(N183&gt;='Work Calendar'!$B$14,L183+M183+O183&gt;0),"Day off - but worked",IF(N183&gt;='Work Calendar'!$B$14,"Day off",IF(L183+M183+O183&gt;0,IF($C183="Working","Charged","Worked weekend"),IF($C183="Working","Leave (not charged)",$C183)))))))</f>
        <v>Charged</v>
      </c>
      <c r="T183" s="341">
        <f>IF($A183="","",SUMIFS('Timesheet Raw'!$P$4:$P$8000,'Timesheet Raw'!$L$4:$L$8000,$A183,'Timesheet Raw'!$C$4:$C$8000,T$3,'Timesheet Raw'!$A$4:$A$8000,"1-Projects"))</f>
        <v>7.5</v>
      </c>
      <c r="U183" s="341">
        <f>IF($A183="","",SUMIFS('Timesheet Raw'!$P$4:$P$8000,'Timesheet Raw'!$L$4:$L$8000,$A183,'Timesheet Raw'!$C$4:$C$8000,T$3,'Timesheet Raw'!$A$4:$A$8000,"2-Proposals Chargeable")+SUMIFS('Timesheet Raw'!$P$4:$P$8000,'Timesheet Raw'!$L$4:$L$8000,$A183,'Timesheet Raw'!$C$4:$C$8000,T$3,'Timesheet Raw'!$A$4:$A$8000,"3-Proposals Regular"))</f>
        <v>0</v>
      </c>
      <c r="V183" s="341">
        <f>IF($A183="","",SUMIFS('Timesheet Raw'!$P$4:$P$8000,'Timesheet Raw'!$L$4:$L$8000,$A183,'Timesheet Raw'!$C$4:$C$8000,T$3,'Timesheet Raw'!$B$4:$B$8000,'Work Calendar'!$A$26)+SUMIFS('Timesheet Raw'!$P$4:$P$8000,'Timesheet Raw'!$L$4:$L$8000,$A183,'Timesheet Raw'!$C$4:$C$8000,T$3,'Timesheet Raw'!$B$4:$B$8000,'Work Calendar'!$A$27)+SUMIFS('Timesheet Raw'!$P$4:$P$8000,'Timesheet Raw'!$L$4:$L$8000,$A183,'Timesheet Raw'!$C$4:$C$8000,T$3,'Timesheet Raw'!$B$4:$B$8000,'Work Calendar'!$A$28)+SUMIFS('Timesheet Raw'!$P$4:$P$8000,'Timesheet Raw'!$L$4:$L$8000,$A183,'Timesheet Raw'!$C$4:$C$8000,T$3,'Timesheet Raw'!$B$4:$B$8000,'Work Calendar'!$A$29))</f>
        <v>1</v>
      </c>
      <c r="W183" s="341">
        <f t="shared" si="11"/>
        <v>0</v>
      </c>
      <c r="X183" s="395">
        <f>IF($A183="","",SUMIFS('Timesheet Raw'!$K$4:$K$8000,'Timesheet Raw'!$L$4:$L$8000,$A183,'Timesheet Raw'!$C$4:$C$8000,T$3))</f>
        <v>0</v>
      </c>
      <c r="Y183" s="345">
        <f>IF($A183="","",SUMIFS('Timesheet Raw'!$P$4:$P$8000,'Timesheet Raw'!$L$4:$L$8000,$A183,'Timesheet Raw'!$C$4:$C$8000,T$3))</f>
        <v>8.5</v>
      </c>
      <c r="Z183" s="375"/>
      <c r="AA183" t="str">
        <f>IF($A183="","",IF(Z183&lt;&gt;"",Z183,IF($A183&gt;'Work Calendar'!$B$17,"No data yet",IF(AND(V183&gt;='Work Calendar'!$B$14,T183+U183+W183&gt;0),"Day off - but worked",IF(V183&gt;='Work Calendar'!$B$14,"Day off",IF(T183+U183+W183&gt;0,IF($C183="Working","Charged","Worked weekend"),IF($C183="Working","Leave (not charged)",$C183)))))))</f>
        <v>Charged</v>
      </c>
    </row>
    <row r="184" spans="1:27" x14ac:dyDescent="0.3">
      <c r="A184" s="371">
        <f>IF($A183="","",IF($A183+1&gt;'Work Calendar'!$B$16,"",$A183+1))</f>
        <v>46202</v>
      </c>
      <c r="B184" t="str">
        <f t="shared" si="8"/>
        <v>Mon</v>
      </c>
      <c r="C184" t="str" cm="1">
        <f t="array" ref="C184">IF($A184="","",IF(COUNTIF('Work Calendar'!$E$6:$E$200,$A184)&gt;0,"Holiday",IF(INDEX('Work Calendar'!$C$6:$C$12,WEEKDAY($A184,1))=1,"Working","Weekend")))</f>
        <v>Working</v>
      </c>
      <c r="D184" s="341">
        <f>IF($A184="","",SUMIFS('Timesheet Raw'!$P$4:$P$8000,'Timesheet Raw'!$L$4:$L$8000,$A184,'Timesheet Raw'!$C$4:$C$8000,D$3,'Timesheet Raw'!$A$4:$A$8000,"1-Projects"))</f>
        <v>8.25</v>
      </c>
      <c r="E184" s="341">
        <f>IF($A184="","",SUMIFS('Timesheet Raw'!$P$4:$P$8000,'Timesheet Raw'!$L$4:$L$8000,$A184,'Timesheet Raw'!$C$4:$C$8000,D$3,'Timesheet Raw'!$A$4:$A$8000,"2-Proposals Chargeable")+SUMIFS('Timesheet Raw'!$P$4:$P$8000,'Timesheet Raw'!$L$4:$L$8000,$A184,'Timesheet Raw'!$C$4:$C$8000,D$3,'Timesheet Raw'!$A$4:$A$8000,"3-Proposals Regular"))</f>
        <v>0</v>
      </c>
      <c r="F184" s="341">
        <f>IF($A184="","",SUMIFS('Timesheet Raw'!$P$4:$P$8000,'Timesheet Raw'!$L$4:$L$8000,$A184,'Timesheet Raw'!$C$4:$C$8000,D$3,'Timesheet Raw'!$B$4:$B$8000,'Work Calendar'!$A$26)+SUMIFS('Timesheet Raw'!$P$4:$P$8000,'Timesheet Raw'!$L$4:$L$8000,$A184,'Timesheet Raw'!$C$4:$C$8000,D$3,'Timesheet Raw'!$B$4:$B$8000,'Work Calendar'!$A$27)+SUMIFS('Timesheet Raw'!$P$4:$P$8000,'Timesheet Raw'!$L$4:$L$8000,$A184,'Timesheet Raw'!$C$4:$C$8000,D$3,'Timesheet Raw'!$B$4:$B$8000,'Work Calendar'!$A$28)+SUMIFS('Timesheet Raw'!$P$4:$P$8000,'Timesheet Raw'!$L$4:$L$8000,$A184,'Timesheet Raw'!$C$4:$C$8000,D$3,'Timesheet Raw'!$B$4:$B$8000,'Work Calendar'!$A$29))</f>
        <v>0.5</v>
      </c>
      <c r="G184" s="341">
        <f t="shared" si="9"/>
        <v>0</v>
      </c>
      <c r="H184" s="395">
        <f>IF($A184="","",SUMIFS('Timesheet Raw'!$K$4:$K$8000,'Timesheet Raw'!$L$4:$L$8000,$A184,'Timesheet Raw'!$C$4:$C$8000,D$3))</f>
        <v>0.25</v>
      </c>
      <c r="I184" s="345">
        <f>IF($A184="","",SUMIFS('Timesheet Raw'!$P$4:$P$8000,'Timesheet Raw'!$L$4:$L$8000,$A184,'Timesheet Raw'!$C$4:$C$8000,D$3))</f>
        <v>8.75</v>
      </c>
      <c r="J184" s="375"/>
      <c r="K184" t="str">
        <f>IF($A184="","",IF(J184&lt;&gt;"",J184,IF($A184&gt;'Work Calendar'!$B$17,"No data yet",IF(AND(F184&gt;='Work Calendar'!$B$14,D184+E184+G184&gt;0),"Day off - but worked",IF(F184&gt;='Work Calendar'!$B$14,"Day off",IF(D184+E184+G184&gt;0,IF($C184="Working","Charged","Worked weekend"),IF($C184="Working","Leave (not charged)",$C184)))))))</f>
        <v>Charged</v>
      </c>
      <c r="L184" s="341">
        <f>IF($A184="","",SUMIFS('Timesheet Raw'!$P$4:$P$8000,'Timesheet Raw'!$L$4:$L$8000,$A184,'Timesheet Raw'!$C$4:$C$8000,L$3,'Timesheet Raw'!$A$4:$A$8000,"1-Projects"))</f>
        <v>9</v>
      </c>
      <c r="M184" s="341">
        <f>IF($A184="","",SUMIFS('Timesheet Raw'!$P$4:$P$8000,'Timesheet Raw'!$L$4:$L$8000,$A184,'Timesheet Raw'!$C$4:$C$8000,L$3,'Timesheet Raw'!$A$4:$A$8000,"2-Proposals Chargeable")+SUMIFS('Timesheet Raw'!$P$4:$P$8000,'Timesheet Raw'!$L$4:$L$8000,$A184,'Timesheet Raw'!$C$4:$C$8000,L$3,'Timesheet Raw'!$A$4:$A$8000,"3-Proposals Regular"))</f>
        <v>0</v>
      </c>
      <c r="N184" s="341">
        <f>IF($A184="","",SUMIFS('Timesheet Raw'!$P$4:$P$8000,'Timesheet Raw'!$L$4:$L$8000,$A184,'Timesheet Raw'!$C$4:$C$8000,L$3,'Timesheet Raw'!$B$4:$B$8000,'Work Calendar'!$A$26)+SUMIFS('Timesheet Raw'!$P$4:$P$8000,'Timesheet Raw'!$L$4:$L$8000,$A184,'Timesheet Raw'!$C$4:$C$8000,L$3,'Timesheet Raw'!$B$4:$B$8000,'Work Calendar'!$A$27)+SUMIFS('Timesheet Raw'!$P$4:$P$8000,'Timesheet Raw'!$L$4:$L$8000,$A184,'Timesheet Raw'!$C$4:$C$8000,L$3,'Timesheet Raw'!$B$4:$B$8000,'Work Calendar'!$A$28)+SUMIFS('Timesheet Raw'!$P$4:$P$8000,'Timesheet Raw'!$L$4:$L$8000,$A184,'Timesheet Raw'!$C$4:$C$8000,L$3,'Timesheet Raw'!$B$4:$B$8000,'Work Calendar'!$A$29))</f>
        <v>0</v>
      </c>
      <c r="O184" s="341">
        <f t="shared" si="10"/>
        <v>0</v>
      </c>
      <c r="P184" s="395">
        <f>IF($A184="","",SUMIFS('Timesheet Raw'!$K$4:$K$8000,'Timesheet Raw'!$L$4:$L$8000,$A184,'Timesheet Raw'!$C$4:$C$8000,L$3))</f>
        <v>0.5</v>
      </c>
      <c r="Q184" s="345">
        <f>IF($A184="","",SUMIFS('Timesheet Raw'!$P$4:$P$8000,'Timesheet Raw'!$L$4:$L$8000,$A184,'Timesheet Raw'!$C$4:$C$8000,L$3))</f>
        <v>9</v>
      </c>
      <c r="R184" s="375"/>
      <c r="S184" t="str">
        <f>IF($A184="","",IF(R184&lt;&gt;"",R184,IF($A184&gt;'Work Calendar'!$B$17,"No data yet",IF(AND(N184&gt;='Work Calendar'!$B$14,L184+M184+O184&gt;0),"Day off - but worked",IF(N184&gt;='Work Calendar'!$B$14,"Day off",IF(L184+M184+O184&gt;0,IF($C184="Working","Charged","Worked weekend"),IF($C184="Working","Leave (not charged)",$C184)))))))</f>
        <v>Charged</v>
      </c>
      <c r="T184" s="341">
        <f>IF($A184="","",SUMIFS('Timesheet Raw'!$P$4:$P$8000,'Timesheet Raw'!$L$4:$L$8000,$A184,'Timesheet Raw'!$C$4:$C$8000,T$3,'Timesheet Raw'!$A$4:$A$8000,"1-Projects"))</f>
        <v>8.75</v>
      </c>
      <c r="U184" s="341">
        <f>IF($A184="","",SUMIFS('Timesheet Raw'!$P$4:$P$8000,'Timesheet Raw'!$L$4:$L$8000,$A184,'Timesheet Raw'!$C$4:$C$8000,T$3,'Timesheet Raw'!$A$4:$A$8000,"2-Proposals Chargeable")+SUMIFS('Timesheet Raw'!$P$4:$P$8000,'Timesheet Raw'!$L$4:$L$8000,$A184,'Timesheet Raw'!$C$4:$C$8000,T$3,'Timesheet Raw'!$A$4:$A$8000,"3-Proposals Regular"))</f>
        <v>0</v>
      </c>
      <c r="V184" s="341">
        <f>IF($A184="","",SUMIFS('Timesheet Raw'!$P$4:$P$8000,'Timesheet Raw'!$L$4:$L$8000,$A184,'Timesheet Raw'!$C$4:$C$8000,T$3,'Timesheet Raw'!$B$4:$B$8000,'Work Calendar'!$A$26)+SUMIFS('Timesheet Raw'!$P$4:$P$8000,'Timesheet Raw'!$L$4:$L$8000,$A184,'Timesheet Raw'!$C$4:$C$8000,T$3,'Timesheet Raw'!$B$4:$B$8000,'Work Calendar'!$A$27)+SUMIFS('Timesheet Raw'!$P$4:$P$8000,'Timesheet Raw'!$L$4:$L$8000,$A184,'Timesheet Raw'!$C$4:$C$8000,T$3,'Timesheet Raw'!$B$4:$B$8000,'Work Calendar'!$A$28)+SUMIFS('Timesheet Raw'!$P$4:$P$8000,'Timesheet Raw'!$L$4:$L$8000,$A184,'Timesheet Raw'!$C$4:$C$8000,T$3,'Timesheet Raw'!$B$4:$B$8000,'Work Calendar'!$A$29))</f>
        <v>0.25</v>
      </c>
      <c r="W184" s="341">
        <f t="shared" si="11"/>
        <v>0</v>
      </c>
      <c r="X184" s="395">
        <f>IF($A184="","",SUMIFS('Timesheet Raw'!$K$4:$K$8000,'Timesheet Raw'!$L$4:$L$8000,$A184,'Timesheet Raw'!$C$4:$C$8000,T$3))</f>
        <v>0.5</v>
      </c>
      <c r="Y184" s="345">
        <f>IF($A184="","",SUMIFS('Timesheet Raw'!$P$4:$P$8000,'Timesheet Raw'!$L$4:$L$8000,$A184,'Timesheet Raw'!$C$4:$C$8000,T$3))</f>
        <v>9</v>
      </c>
      <c r="Z184" s="375"/>
      <c r="AA184" t="str">
        <f>IF($A184="","",IF(Z184&lt;&gt;"",Z184,IF($A184&gt;'Work Calendar'!$B$17,"No data yet",IF(AND(V184&gt;='Work Calendar'!$B$14,T184+U184+W184&gt;0),"Day off - but worked",IF(V184&gt;='Work Calendar'!$B$14,"Day off",IF(T184+U184+W184&gt;0,IF($C184="Working","Charged","Worked weekend"),IF($C184="Working","Leave (not charged)",$C184)))))))</f>
        <v>Charged</v>
      </c>
    </row>
    <row r="185" spans="1:27" x14ac:dyDescent="0.3">
      <c r="A185" s="371">
        <f>IF($A184="","",IF($A184+1&gt;'Work Calendar'!$B$16,"",$A184+1))</f>
        <v>46203</v>
      </c>
      <c r="B185" t="str">
        <f t="shared" si="8"/>
        <v>Tue</v>
      </c>
      <c r="C185" t="str" cm="1">
        <f t="array" ref="C185">IF($A185="","",IF(COUNTIF('Work Calendar'!$E$6:$E$200,$A185)&gt;0,"Holiday",IF(INDEX('Work Calendar'!$C$6:$C$12,WEEKDAY($A185,1))=1,"Working","Weekend")))</f>
        <v>Working</v>
      </c>
      <c r="D185" s="341">
        <f>IF($A185="","",SUMIFS('Timesheet Raw'!$P$4:$P$8000,'Timesheet Raw'!$L$4:$L$8000,$A185,'Timesheet Raw'!$C$4:$C$8000,D$3,'Timesheet Raw'!$A$4:$A$8000,"1-Projects"))</f>
        <v>7.5</v>
      </c>
      <c r="E185" s="341">
        <f>IF($A185="","",SUMIFS('Timesheet Raw'!$P$4:$P$8000,'Timesheet Raw'!$L$4:$L$8000,$A185,'Timesheet Raw'!$C$4:$C$8000,D$3,'Timesheet Raw'!$A$4:$A$8000,"2-Proposals Chargeable")+SUMIFS('Timesheet Raw'!$P$4:$P$8000,'Timesheet Raw'!$L$4:$L$8000,$A185,'Timesheet Raw'!$C$4:$C$8000,D$3,'Timesheet Raw'!$A$4:$A$8000,"3-Proposals Regular"))</f>
        <v>0</v>
      </c>
      <c r="F185" s="341">
        <f>IF($A185="","",SUMIFS('Timesheet Raw'!$P$4:$P$8000,'Timesheet Raw'!$L$4:$L$8000,$A185,'Timesheet Raw'!$C$4:$C$8000,D$3,'Timesheet Raw'!$B$4:$B$8000,'Work Calendar'!$A$26)+SUMIFS('Timesheet Raw'!$P$4:$P$8000,'Timesheet Raw'!$L$4:$L$8000,$A185,'Timesheet Raw'!$C$4:$C$8000,D$3,'Timesheet Raw'!$B$4:$B$8000,'Work Calendar'!$A$27)+SUMIFS('Timesheet Raw'!$P$4:$P$8000,'Timesheet Raw'!$L$4:$L$8000,$A185,'Timesheet Raw'!$C$4:$C$8000,D$3,'Timesheet Raw'!$B$4:$B$8000,'Work Calendar'!$A$28)+SUMIFS('Timesheet Raw'!$P$4:$P$8000,'Timesheet Raw'!$L$4:$L$8000,$A185,'Timesheet Raw'!$C$4:$C$8000,D$3,'Timesheet Raw'!$B$4:$B$8000,'Work Calendar'!$A$29))</f>
        <v>1</v>
      </c>
      <c r="G185" s="341">
        <f t="shared" si="9"/>
        <v>0</v>
      </c>
      <c r="H185" s="395">
        <f>IF($A185="","",SUMIFS('Timesheet Raw'!$K$4:$K$8000,'Timesheet Raw'!$L$4:$L$8000,$A185,'Timesheet Raw'!$C$4:$C$8000,D$3))</f>
        <v>0</v>
      </c>
      <c r="I185" s="345">
        <f>IF($A185="","",SUMIFS('Timesheet Raw'!$P$4:$P$8000,'Timesheet Raw'!$L$4:$L$8000,$A185,'Timesheet Raw'!$C$4:$C$8000,D$3))</f>
        <v>8.5</v>
      </c>
      <c r="J185" s="375"/>
      <c r="K185" t="str">
        <f>IF($A185="","",IF(J185&lt;&gt;"",J185,IF($A185&gt;'Work Calendar'!$B$17,"No data yet",IF(AND(F185&gt;='Work Calendar'!$B$14,D185+E185+G185&gt;0),"Day off - but worked",IF(F185&gt;='Work Calendar'!$B$14,"Day off",IF(D185+E185+G185&gt;0,IF($C185="Working","Charged","Worked weekend"),IF($C185="Working","Leave (not charged)",$C185)))))))</f>
        <v>Charged</v>
      </c>
      <c r="L185" s="341">
        <f>IF($A185="","",SUMIFS('Timesheet Raw'!$P$4:$P$8000,'Timesheet Raw'!$L$4:$L$8000,$A185,'Timesheet Raw'!$C$4:$C$8000,L$3,'Timesheet Raw'!$A$4:$A$8000,"1-Projects"))</f>
        <v>8.25</v>
      </c>
      <c r="M185" s="341">
        <f>IF($A185="","",SUMIFS('Timesheet Raw'!$P$4:$P$8000,'Timesheet Raw'!$L$4:$L$8000,$A185,'Timesheet Raw'!$C$4:$C$8000,L$3,'Timesheet Raw'!$A$4:$A$8000,"2-Proposals Chargeable")+SUMIFS('Timesheet Raw'!$P$4:$P$8000,'Timesheet Raw'!$L$4:$L$8000,$A185,'Timesheet Raw'!$C$4:$C$8000,L$3,'Timesheet Raw'!$A$4:$A$8000,"3-Proposals Regular"))</f>
        <v>0</v>
      </c>
      <c r="N185" s="341">
        <f>IF($A185="","",SUMIFS('Timesheet Raw'!$P$4:$P$8000,'Timesheet Raw'!$L$4:$L$8000,$A185,'Timesheet Raw'!$C$4:$C$8000,L$3,'Timesheet Raw'!$B$4:$B$8000,'Work Calendar'!$A$26)+SUMIFS('Timesheet Raw'!$P$4:$P$8000,'Timesheet Raw'!$L$4:$L$8000,$A185,'Timesheet Raw'!$C$4:$C$8000,L$3,'Timesheet Raw'!$B$4:$B$8000,'Work Calendar'!$A$27)+SUMIFS('Timesheet Raw'!$P$4:$P$8000,'Timesheet Raw'!$L$4:$L$8000,$A185,'Timesheet Raw'!$C$4:$C$8000,L$3,'Timesheet Raw'!$B$4:$B$8000,'Work Calendar'!$A$28)+SUMIFS('Timesheet Raw'!$P$4:$P$8000,'Timesheet Raw'!$L$4:$L$8000,$A185,'Timesheet Raw'!$C$4:$C$8000,L$3,'Timesheet Raw'!$B$4:$B$8000,'Work Calendar'!$A$29))</f>
        <v>0.25</v>
      </c>
      <c r="O185" s="341">
        <f t="shared" si="10"/>
        <v>0</v>
      </c>
      <c r="P185" s="395">
        <f>IF($A185="","",SUMIFS('Timesheet Raw'!$K$4:$K$8000,'Timesheet Raw'!$L$4:$L$8000,$A185,'Timesheet Raw'!$C$4:$C$8000,L$3))</f>
        <v>0</v>
      </c>
      <c r="Q185" s="345">
        <f>IF($A185="","",SUMIFS('Timesheet Raw'!$P$4:$P$8000,'Timesheet Raw'!$L$4:$L$8000,$A185,'Timesheet Raw'!$C$4:$C$8000,L$3))</f>
        <v>8.5</v>
      </c>
      <c r="R185" s="375"/>
      <c r="S185" t="str">
        <f>IF($A185="","",IF(R185&lt;&gt;"",R185,IF($A185&gt;'Work Calendar'!$B$17,"No data yet",IF(AND(N185&gt;='Work Calendar'!$B$14,L185+M185+O185&gt;0),"Day off - but worked",IF(N185&gt;='Work Calendar'!$B$14,"Day off",IF(L185+M185+O185&gt;0,IF($C185="Working","Charged","Worked weekend"),IF($C185="Working","Leave (not charged)",$C185)))))))</f>
        <v>Charged</v>
      </c>
      <c r="T185" s="341">
        <f>IF($A185="","",SUMIFS('Timesheet Raw'!$P$4:$P$8000,'Timesheet Raw'!$L$4:$L$8000,$A185,'Timesheet Raw'!$C$4:$C$8000,T$3,'Timesheet Raw'!$A$4:$A$8000,"1-Projects"))</f>
        <v>7.5</v>
      </c>
      <c r="U185" s="341">
        <f>IF($A185="","",SUMIFS('Timesheet Raw'!$P$4:$P$8000,'Timesheet Raw'!$L$4:$L$8000,$A185,'Timesheet Raw'!$C$4:$C$8000,T$3,'Timesheet Raw'!$A$4:$A$8000,"2-Proposals Chargeable")+SUMIFS('Timesheet Raw'!$P$4:$P$8000,'Timesheet Raw'!$L$4:$L$8000,$A185,'Timesheet Raw'!$C$4:$C$8000,T$3,'Timesheet Raw'!$A$4:$A$8000,"3-Proposals Regular"))</f>
        <v>0</v>
      </c>
      <c r="V185" s="341">
        <f>IF($A185="","",SUMIFS('Timesheet Raw'!$P$4:$P$8000,'Timesheet Raw'!$L$4:$L$8000,$A185,'Timesheet Raw'!$C$4:$C$8000,T$3,'Timesheet Raw'!$B$4:$B$8000,'Work Calendar'!$A$26)+SUMIFS('Timesheet Raw'!$P$4:$P$8000,'Timesheet Raw'!$L$4:$L$8000,$A185,'Timesheet Raw'!$C$4:$C$8000,T$3,'Timesheet Raw'!$B$4:$B$8000,'Work Calendar'!$A$27)+SUMIFS('Timesheet Raw'!$P$4:$P$8000,'Timesheet Raw'!$L$4:$L$8000,$A185,'Timesheet Raw'!$C$4:$C$8000,T$3,'Timesheet Raw'!$B$4:$B$8000,'Work Calendar'!$A$28)+SUMIFS('Timesheet Raw'!$P$4:$P$8000,'Timesheet Raw'!$L$4:$L$8000,$A185,'Timesheet Raw'!$C$4:$C$8000,T$3,'Timesheet Raw'!$B$4:$B$8000,'Work Calendar'!$A$29))</f>
        <v>1</v>
      </c>
      <c r="W185" s="341">
        <f t="shared" si="11"/>
        <v>0</v>
      </c>
      <c r="X185" s="395">
        <f>IF($A185="","",SUMIFS('Timesheet Raw'!$K$4:$K$8000,'Timesheet Raw'!$L$4:$L$8000,$A185,'Timesheet Raw'!$C$4:$C$8000,T$3))</f>
        <v>0</v>
      </c>
      <c r="Y185" s="345">
        <f>IF($A185="","",SUMIFS('Timesheet Raw'!$P$4:$P$8000,'Timesheet Raw'!$L$4:$L$8000,$A185,'Timesheet Raw'!$C$4:$C$8000,T$3))</f>
        <v>8.5</v>
      </c>
      <c r="Z185" s="375"/>
      <c r="AA185" t="str">
        <f>IF($A185="","",IF(Z185&lt;&gt;"",Z185,IF($A185&gt;'Work Calendar'!$B$17,"No data yet",IF(AND(V185&gt;='Work Calendar'!$B$14,T185+U185+W185&gt;0),"Day off - but worked",IF(V185&gt;='Work Calendar'!$B$14,"Day off",IF(T185+U185+W185&gt;0,IF($C185="Working","Charged","Worked weekend"),IF($C185="Working","Leave (not charged)",$C185)))))))</f>
        <v>Charged</v>
      </c>
    </row>
    <row r="186" spans="1:27" x14ac:dyDescent="0.3">
      <c r="A186" s="371">
        <f>IF($A185="","",IF($A185+1&gt;'Work Calendar'!$B$16,"",$A185+1))</f>
        <v>46204</v>
      </c>
      <c r="B186" t="str">
        <f t="shared" si="8"/>
        <v>Wed</v>
      </c>
      <c r="C186" t="str" cm="1">
        <f t="array" ref="C186">IF($A186="","",IF(COUNTIF('Work Calendar'!$E$6:$E$200,$A186)&gt;0,"Holiday",IF(INDEX('Work Calendar'!$C$6:$C$12,WEEKDAY($A186,1))=1,"Working","Weekend")))</f>
        <v>Working</v>
      </c>
      <c r="D186" s="341">
        <f>IF($A186="","",SUMIFS('Timesheet Raw'!$P$4:$P$8000,'Timesheet Raw'!$L$4:$L$8000,$A186,'Timesheet Raw'!$C$4:$C$8000,D$3,'Timesheet Raw'!$A$4:$A$8000,"1-Projects"))</f>
        <v>7.75</v>
      </c>
      <c r="E186" s="341">
        <f>IF($A186="","",SUMIFS('Timesheet Raw'!$P$4:$P$8000,'Timesheet Raw'!$L$4:$L$8000,$A186,'Timesheet Raw'!$C$4:$C$8000,D$3,'Timesheet Raw'!$A$4:$A$8000,"2-Proposals Chargeable")+SUMIFS('Timesheet Raw'!$P$4:$P$8000,'Timesheet Raw'!$L$4:$L$8000,$A186,'Timesheet Raw'!$C$4:$C$8000,D$3,'Timesheet Raw'!$A$4:$A$8000,"3-Proposals Regular"))</f>
        <v>0</v>
      </c>
      <c r="F186" s="341">
        <f>IF($A186="","",SUMIFS('Timesheet Raw'!$P$4:$P$8000,'Timesheet Raw'!$L$4:$L$8000,$A186,'Timesheet Raw'!$C$4:$C$8000,D$3,'Timesheet Raw'!$B$4:$B$8000,'Work Calendar'!$A$26)+SUMIFS('Timesheet Raw'!$P$4:$P$8000,'Timesheet Raw'!$L$4:$L$8000,$A186,'Timesheet Raw'!$C$4:$C$8000,D$3,'Timesheet Raw'!$B$4:$B$8000,'Work Calendar'!$A$27)+SUMIFS('Timesheet Raw'!$P$4:$P$8000,'Timesheet Raw'!$L$4:$L$8000,$A186,'Timesheet Raw'!$C$4:$C$8000,D$3,'Timesheet Raw'!$B$4:$B$8000,'Work Calendar'!$A$28)+SUMIFS('Timesheet Raw'!$P$4:$P$8000,'Timesheet Raw'!$L$4:$L$8000,$A186,'Timesheet Raw'!$C$4:$C$8000,D$3,'Timesheet Raw'!$B$4:$B$8000,'Work Calendar'!$A$29))</f>
        <v>2</v>
      </c>
      <c r="G186" s="341">
        <f t="shared" si="9"/>
        <v>0</v>
      </c>
      <c r="H186" s="395">
        <f>IF($A186="","",SUMIFS('Timesheet Raw'!$K$4:$K$8000,'Timesheet Raw'!$L$4:$L$8000,$A186,'Timesheet Raw'!$C$4:$C$8000,D$3))</f>
        <v>1.25</v>
      </c>
      <c r="I186" s="345">
        <f>IF($A186="","",SUMIFS('Timesheet Raw'!$P$4:$P$8000,'Timesheet Raw'!$L$4:$L$8000,$A186,'Timesheet Raw'!$C$4:$C$8000,D$3))</f>
        <v>9.75</v>
      </c>
      <c r="J186" s="375"/>
      <c r="K186" t="str">
        <f>IF($A186="","",IF(J186&lt;&gt;"",J186,IF($A186&gt;'Work Calendar'!$B$17,"No data yet",IF(AND(F186&gt;='Work Calendar'!$B$14,D186+E186+G186&gt;0),"Day off - but worked",IF(F186&gt;='Work Calendar'!$B$14,"Day off",IF(D186+E186+G186&gt;0,IF($C186="Working","Charged","Worked weekend"),IF($C186="Working","Leave (not charged)",$C186)))))))</f>
        <v>Charged</v>
      </c>
      <c r="L186" s="341">
        <f>IF($A186="","",SUMIFS('Timesheet Raw'!$P$4:$P$8000,'Timesheet Raw'!$L$4:$L$8000,$A186,'Timesheet Raw'!$C$4:$C$8000,L$3,'Timesheet Raw'!$A$4:$A$8000,"1-Projects"))</f>
        <v>9.75</v>
      </c>
      <c r="M186" s="341">
        <f>IF($A186="","",SUMIFS('Timesheet Raw'!$P$4:$P$8000,'Timesheet Raw'!$L$4:$L$8000,$A186,'Timesheet Raw'!$C$4:$C$8000,L$3,'Timesheet Raw'!$A$4:$A$8000,"2-Proposals Chargeable")+SUMIFS('Timesheet Raw'!$P$4:$P$8000,'Timesheet Raw'!$L$4:$L$8000,$A186,'Timesheet Raw'!$C$4:$C$8000,L$3,'Timesheet Raw'!$A$4:$A$8000,"3-Proposals Regular"))</f>
        <v>0</v>
      </c>
      <c r="N186" s="341">
        <f>IF($A186="","",SUMIFS('Timesheet Raw'!$P$4:$P$8000,'Timesheet Raw'!$L$4:$L$8000,$A186,'Timesheet Raw'!$C$4:$C$8000,L$3,'Timesheet Raw'!$B$4:$B$8000,'Work Calendar'!$A$26)+SUMIFS('Timesheet Raw'!$P$4:$P$8000,'Timesheet Raw'!$L$4:$L$8000,$A186,'Timesheet Raw'!$C$4:$C$8000,L$3,'Timesheet Raw'!$B$4:$B$8000,'Work Calendar'!$A$27)+SUMIFS('Timesheet Raw'!$P$4:$P$8000,'Timesheet Raw'!$L$4:$L$8000,$A186,'Timesheet Raw'!$C$4:$C$8000,L$3,'Timesheet Raw'!$B$4:$B$8000,'Work Calendar'!$A$28)+SUMIFS('Timesheet Raw'!$P$4:$P$8000,'Timesheet Raw'!$L$4:$L$8000,$A186,'Timesheet Raw'!$C$4:$C$8000,L$3,'Timesheet Raw'!$B$4:$B$8000,'Work Calendar'!$A$29))</f>
        <v>0.25</v>
      </c>
      <c r="O186" s="341">
        <f t="shared" si="10"/>
        <v>0</v>
      </c>
      <c r="P186" s="395">
        <f>IF($A186="","",SUMIFS('Timesheet Raw'!$K$4:$K$8000,'Timesheet Raw'!$L$4:$L$8000,$A186,'Timesheet Raw'!$C$4:$C$8000,L$3))</f>
        <v>1.5</v>
      </c>
      <c r="Q186" s="345">
        <f>IF($A186="","",SUMIFS('Timesheet Raw'!$P$4:$P$8000,'Timesheet Raw'!$L$4:$L$8000,$A186,'Timesheet Raw'!$C$4:$C$8000,L$3))</f>
        <v>10</v>
      </c>
      <c r="R186" s="375"/>
      <c r="S186" t="str">
        <f>IF($A186="","",IF(R186&lt;&gt;"",R186,IF($A186&gt;'Work Calendar'!$B$17,"No data yet",IF(AND(N186&gt;='Work Calendar'!$B$14,L186+M186+O186&gt;0),"Day off - but worked",IF(N186&gt;='Work Calendar'!$B$14,"Day off",IF(L186+M186+O186&gt;0,IF($C186="Working","Charged","Worked weekend"),IF($C186="Working","Leave (not charged)",$C186)))))))</f>
        <v>Charged</v>
      </c>
      <c r="T186" s="341">
        <f>IF($A186="","",SUMIFS('Timesheet Raw'!$P$4:$P$8000,'Timesheet Raw'!$L$4:$L$8000,$A186,'Timesheet Raw'!$C$4:$C$8000,T$3,'Timesheet Raw'!$A$4:$A$8000,"1-Projects"))</f>
        <v>8.75</v>
      </c>
      <c r="U186" s="341">
        <f>IF($A186="","",SUMIFS('Timesheet Raw'!$P$4:$P$8000,'Timesheet Raw'!$L$4:$L$8000,$A186,'Timesheet Raw'!$C$4:$C$8000,T$3,'Timesheet Raw'!$A$4:$A$8000,"2-Proposals Chargeable")+SUMIFS('Timesheet Raw'!$P$4:$P$8000,'Timesheet Raw'!$L$4:$L$8000,$A186,'Timesheet Raw'!$C$4:$C$8000,T$3,'Timesheet Raw'!$A$4:$A$8000,"3-Proposals Regular"))</f>
        <v>0</v>
      </c>
      <c r="V186" s="341">
        <f>IF($A186="","",SUMIFS('Timesheet Raw'!$P$4:$P$8000,'Timesheet Raw'!$L$4:$L$8000,$A186,'Timesheet Raw'!$C$4:$C$8000,T$3,'Timesheet Raw'!$B$4:$B$8000,'Work Calendar'!$A$26)+SUMIFS('Timesheet Raw'!$P$4:$P$8000,'Timesheet Raw'!$L$4:$L$8000,$A186,'Timesheet Raw'!$C$4:$C$8000,T$3,'Timesheet Raw'!$B$4:$B$8000,'Work Calendar'!$A$27)+SUMIFS('Timesheet Raw'!$P$4:$P$8000,'Timesheet Raw'!$L$4:$L$8000,$A186,'Timesheet Raw'!$C$4:$C$8000,T$3,'Timesheet Raw'!$B$4:$B$8000,'Work Calendar'!$A$28)+SUMIFS('Timesheet Raw'!$P$4:$P$8000,'Timesheet Raw'!$L$4:$L$8000,$A186,'Timesheet Raw'!$C$4:$C$8000,T$3,'Timesheet Raw'!$B$4:$B$8000,'Work Calendar'!$A$29))</f>
        <v>1.25</v>
      </c>
      <c r="W186" s="341">
        <f t="shared" si="11"/>
        <v>0</v>
      </c>
      <c r="X186" s="395">
        <f>IF($A186="","",SUMIFS('Timesheet Raw'!$K$4:$K$8000,'Timesheet Raw'!$L$4:$L$8000,$A186,'Timesheet Raw'!$C$4:$C$8000,T$3))</f>
        <v>1.5</v>
      </c>
      <c r="Y186" s="345">
        <f>IF($A186="","",SUMIFS('Timesheet Raw'!$P$4:$P$8000,'Timesheet Raw'!$L$4:$L$8000,$A186,'Timesheet Raw'!$C$4:$C$8000,T$3))</f>
        <v>10</v>
      </c>
      <c r="Z186" s="375"/>
      <c r="AA186" t="str">
        <f>IF($A186="","",IF(Z186&lt;&gt;"",Z186,IF($A186&gt;'Work Calendar'!$B$17,"No data yet",IF(AND(V186&gt;='Work Calendar'!$B$14,T186+U186+W186&gt;0),"Day off - but worked",IF(V186&gt;='Work Calendar'!$B$14,"Day off",IF(T186+U186+W186&gt;0,IF($C186="Working","Charged","Worked weekend"),IF($C186="Working","Leave (not charged)",$C186)))))))</f>
        <v>Charged</v>
      </c>
    </row>
    <row r="187" spans="1:27" x14ac:dyDescent="0.3">
      <c r="A187" s="371">
        <f>IF($A186="","",IF($A186+1&gt;'Work Calendar'!$B$16,"",$A186+1))</f>
        <v>46205</v>
      </c>
      <c r="B187" t="str">
        <f t="shared" si="8"/>
        <v>Thu</v>
      </c>
      <c r="C187" t="str" cm="1">
        <f t="array" ref="C187">IF($A187="","",IF(COUNTIF('Work Calendar'!$E$6:$E$200,$A187)&gt;0,"Holiday",IF(INDEX('Work Calendar'!$C$6:$C$12,WEEKDAY($A187,1))=1,"Working","Weekend")))</f>
        <v>Working</v>
      </c>
      <c r="D187" s="341">
        <f>IF($A187="","",SUMIFS('Timesheet Raw'!$P$4:$P$8000,'Timesheet Raw'!$L$4:$L$8000,$A187,'Timesheet Raw'!$C$4:$C$8000,D$3,'Timesheet Raw'!$A$4:$A$8000,"1-Projects"))</f>
        <v>0</v>
      </c>
      <c r="E187" s="341">
        <f>IF($A187="","",SUMIFS('Timesheet Raw'!$P$4:$P$8000,'Timesheet Raw'!$L$4:$L$8000,$A187,'Timesheet Raw'!$C$4:$C$8000,D$3,'Timesheet Raw'!$A$4:$A$8000,"2-Proposals Chargeable")+SUMIFS('Timesheet Raw'!$P$4:$P$8000,'Timesheet Raw'!$L$4:$L$8000,$A187,'Timesheet Raw'!$C$4:$C$8000,D$3,'Timesheet Raw'!$A$4:$A$8000,"3-Proposals Regular"))</f>
        <v>0</v>
      </c>
      <c r="F187" s="341">
        <f>IF($A187="","",SUMIFS('Timesheet Raw'!$P$4:$P$8000,'Timesheet Raw'!$L$4:$L$8000,$A187,'Timesheet Raw'!$C$4:$C$8000,D$3,'Timesheet Raw'!$B$4:$B$8000,'Work Calendar'!$A$26)+SUMIFS('Timesheet Raw'!$P$4:$P$8000,'Timesheet Raw'!$L$4:$L$8000,$A187,'Timesheet Raw'!$C$4:$C$8000,D$3,'Timesheet Raw'!$B$4:$B$8000,'Work Calendar'!$A$27)+SUMIFS('Timesheet Raw'!$P$4:$P$8000,'Timesheet Raw'!$L$4:$L$8000,$A187,'Timesheet Raw'!$C$4:$C$8000,D$3,'Timesheet Raw'!$B$4:$B$8000,'Work Calendar'!$A$28)+SUMIFS('Timesheet Raw'!$P$4:$P$8000,'Timesheet Raw'!$L$4:$L$8000,$A187,'Timesheet Raw'!$C$4:$C$8000,D$3,'Timesheet Raw'!$B$4:$B$8000,'Work Calendar'!$A$29))</f>
        <v>8.5</v>
      </c>
      <c r="G187" s="341">
        <f t="shared" si="9"/>
        <v>0</v>
      </c>
      <c r="H187" s="395">
        <f>IF($A187="","",SUMIFS('Timesheet Raw'!$K$4:$K$8000,'Timesheet Raw'!$L$4:$L$8000,$A187,'Timesheet Raw'!$C$4:$C$8000,D$3))</f>
        <v>0</v>
      </c>
      <c r="I187" s="345">
        <f>IF($A187="","",SUMIFS('Timesheet Raw'!$P$4:$P$8000,'Timesheet Raw'!$L$4:$L$8000,$A187,'Timesheet Raw'!$C$4:$C$8000,D$3))</f>
        <v>8.5</v>
      </c>
      <c r="J187" s="375"/>
      <c r="K187" t="str">
        <f>IF($A187="","",IF(J187&lt;&gt;"",J187,IF($A187&gt;'Work Calendar'!$B$17,"No data yet",IF(AND(F187&gt;='Work Calendar'!$B$14,D187+E187+G187&gt;0),"Day off - but worked",IF(F187&gt;='Work Calendar'!$B$14,"Day off",IF(D187+E187+G187&gt;0,IF($C187="Working","Charged","Worked weekend"),IF($C187="Working","Leave (not charged)",$C187)))))))</f>
        <v>Day off</v>
      </c>
      <c r="L187" s="341">
        <f>IF($A187="","",SUMIFS('Timesheet Raw'!$P$4:$P$8000,'Timesheet Raw'!$L$4:$L$8000,$A187,'Timesheet Raw'!$C$4:$C$8000,L$3,'Timesheet Raw'!$A$4:$A$8000,"1-Projects"))</f>
        <v>0</v>
      </c>
      <c r="M187" s="341">
        <f>IF($A187="","",SUMIFS('Timesheet Raw'!$P$4:$P$8000,'Timesheet Raw'!$L$4:$L$8000,$A187,'Timesheet Raw'!$C$4:$C$8000,L$3,'Timesheet Raw'!$A$4:$A$8000,"2-Proposals Chargeable")+SUMIFS('Timesheet Raw'!$P$4:$P$8000,'Timesheet Raw'!$L$4:$L$8000,$A187,'Timesheet Raw'!$C$4:$C$8000,L$3,'Timesheet Raw'!$A$4:$A$8000,"3-Proposals Regular"))</f>
        <v>0</v>
      </c>
      <c r="N187" s="341">
        <f>IF($A187="","",SUMIFS('Timesheet Raw'!$P$4:$P$8000,'Timesheet Raw'!$L$4:$L$8000,$A187,'Timesheet Raw'!$C$4:$C$8000,L$3,'Timesheet Raw'!$B$4:$B$8000,'Work Calendar'!$A$26)+SUMIFS('Timesheet Raw'!$P$4:$P$8000,'Timesheet Raw'!$L$4:$L$8000,$A187,'Timesheet Raw'!$C$4:$C$8000,L$3,'Timesheet Raw'!$B$4:$B$8000,'Work Calendar'!$A$27)+SUMIFS('Timesheet Raw'!$P$4:$P$8000,'Timesheet Raw'!$L$4:$L$8000,$A187,'Timesheet Raw'!$C$4:$C$8000,L$3,'Timesheet Raw'!$B$4:$B$8000,'Work Calendar'!$A$28)+SUMIFS('Timesheet Raw'!$P$4:$P$8000,'Timesheet Raw'!$L$4:$L$8000,$A187,'Timesheet Raw'!$C$4:$C$8000,L$3,'Timesheet Raw'!$B$4:$B$8000,'Work Calendar'!$A$29))</f>
        <v>8.5</v>
      </c>
      <c r="O187" s="341">
        <f t="shared" si="10"/>
        <v>0</v>
      </c>
      <c r="P187" s="395">
        <f>IF($A187="","",SUMIFS('Timesheet Raw'!$K$4:$K$8000,'Timesheet Raw'!$L$4:$L$8000,$A187,'Timesheet Raw'!$C$4:$C$8000,L$3))</f>
        <v>0</v>
      </c>
      <c r="Q187" s="345">
        <f>IF($A187="","",SUMIFS('Timesheet Raw'!$P$4:$P$8000,'Timesheet Raw'!$L$4:$L$8000,$A187,'Timesheet Raw'!$C$4:$C$8000,L$3))</f>
        <v>8.5</v>
      </c>
      <c r="R187" s="375"/>
      <c r="S187" t="str">
        <f>IF($A187="","",IF(R187&lt;&gt;"",R187,IF($A187&gt;'Work Calendar'!$B$17,"No data yet",IF(AND(N187&gt;='Work Calendar'!$B$14,L187+M187+O187&gt;0),"Day off - but worked",IF(N187&gt;='Work Calendar'!$B$14,"Day off",IF(L187+M187+O187&gt;0,IF($C187="Working","Charged","Worked weekend"),IF($C187="Working","Leave (not charged)",$C187)))))))</f>
        <v>Day off</v>
      </c>
      <c r="T187" s="341">
        <f>IF($A187="","",SUMIFS('Timesheet Raw'!$P$4:$P$8000,'Timesheet Raw'!$L$4:$L$8000,$A187,'Timesheet Raw'!$C$4:$C$8000,T$3,'Timesheet Raw'!$A$4:$A$8000,"1-Projects"))</f>
        <v>0</v>
      </c>
      <c r="U187" s="341">
        <f>IF($A187="","",SUMIFS('Timesheet Raw'!$P$4:$P$8000,'Timesheet Raw'!$L$4:$L$8000,$A187,'Timesheet Raw'!$C$4:$C$8000,T$3,'Timesheet Raw'!$A$4:$A$8000,"2-Proposals Chargeable")+SUMIFS('Timesheet Raw'!$P$4:$P$8000,'Timesheet Raw'!$L$4:$L$8000,$A187,'Timesheet Raw'!$C$4:$C$8000,T$3,'Timesheet Raw'!$A$4:$A$8000,"3-Proposals Regular"))</f>
        <v>0</v>
      </c>
      <c r="V187" s="341">
        <f>IF($A187="","",SUMIFS('Timesheet Raw'!$P$4:$P$8000,'Timesheet Raw'!$L$4:$L$8000,$A187,'Timesheet Raw'!$C$4:$C$8000,T$3,'Timesheet Raw'!$B$4:$B$8000,'Work Calendar'!$A$26)+SUMIFS('Timesheet Raw'!$P$4:$P$8000,'Timesheet Raw'!$L$4:$L$8000,$A187,'Timesheet Raw'!$C$4:$C$8000,T$3,'Timesheet Raw'!$B$4:$B$8000,'Work Calendar'!$A$27)+SUMIFS('Timesheet Raw'!$P$4:$P$8000,'Timesheet Raw'!$L$4:$L$8000,$A187,'Timesheet Raw'!$C$4:$C$8000,T$3,'Timesheet Raw'!$B$4:$B$8000,'Work Calendar'!$A$28)+SUMIFS('Timesheet Raw'!$P$4:$P$8000,'Timesheet Raw'!$L$4:$L$8000,$A187,'Timesheet Raw'!$C$4:$C$8000,T$3,'Timesheet Raw'!$B$4:$B$8000,'Work Calendar'!$A$29))</f>
        <v>8.5</v>
      </c>
      <c r="W187" s="341">
        <f t="shared" si="11"/>
        <v>0</v>
      </c>
      <c r="X187" s="395">
        <f>IF($A187="","",SUMIFS('Timesheet Raw'!$K$4:$K$8000,'Timesheet Raw'!$L$4:$L$8000,$A187,'Timesheet Raw'!$C$4:$C$8000,T$3))</f>
        <v>0</v>
      </c>
      <c r="Y187" s="345">
        <f>IF($A187="","",SUMIFS('Timesheet Raw'!$P$4:$P$8000,'Timesheet Raw'!$L$4:$L$8000,$A187,'Timesheet Raw'!$C$4:$C$8000,T$3))</f>
        <v>8.5</v>
      </c>
      <c r="Z187" s="375"/>
      <c r="AA187" t="str">
        <f>IF($A187="","",IF(Z187&lt;&gt;"",Z187,IF($A187&gt;'Work Calendar'!$B$17,"No data yet",IF(AND(V187&gt;='Work Calendar'!$B$14,T187+U187+W187&gt;0),"Day off - but worked",IF(V187&gt;='Work Calendar'!$B$14,"Day off",IF(T187+U187+W187&gt;0,IF($C187="Working","Charged","Worked weekend"),IF($C187="Working","Leave (not charged)",$C187)))))))</f>
        <v>Day off</v>
      </c>
    </row>
    <row r="188" spans="1:27" x14ac:dyDescent="0.3">
      <c r="A188" s="371">
        <f>IF($A187="","",IF($A187+1&gt;'Work Calendar'!$B$16,"",$A187+1))</f>
        <v>46206</v>
      </c>
      <c r="B188" t="str">
        <f t="shared" si="8"/>
        <v>Fri</v>
      </c>
      <c r="C188" t="str" cm="1">
        <f t="array" ref="C188">IF($A188="","",IF(COUNTIF('Work Calendar'!$E$6:$E$200,$A188)&gt;0,"Holiday",IF(INDEX('Work Calendar'!$C$6:$C$12,WEEKDAY($A188,1))=1,"Working","Weekend")))</f>
        <v>Weekend</v>
      </c>
      <c r="D188" s="341">
        <f>IF($A188="","",SUMIFS('Timesheet Raw'!$P$4:$P$8000,'Timesheet Raw'!$L$4:$L$8000,$A188,'Timesheet Raw'!$C$4:$C$8000,D$3,'Timesheet Raw'!$A$4:$A$8000,"1-Projects"))</f>
        <v>0</v>
      </c>
      <c r="E188" s="341">
        <f>IF($A188="","",SUMIFS('Timesheet Raw'!$P$4:$P$8000,'Timesheet Raw'!$L$4:$L$8000,$A188,'Timesheet Raw'!$C$4:$C$8000,D$3,'Timesheet Raw'!$A$4:$A$8000,"2-Proposals Chargeable")+SUMIFS('Timesheet Raw'!$P$4:$P$8000,'Timesheet Raw'!$L$4:$L$8000,$A188,'Timesheet Raw'!$C$4:$C$8000,D$3,'Timesheet Raw'!$A$4:$A$8000,"3-Proposals Regular"))</f>
        <v>0</v>
      </c>
      <c r="F188" s="341">
        <f>IF($A188="","",SUMIFS('Timesheet Raw'!$P$4:$P$8000,'Timesheet Raw'!$L$4:$L$8000,$A188,'Timesheet Raw'!$C$4:$C$8000,D$3,'Timesheet Raw'!$B$4:$B$8000,'Work Calendar'!$A$26)+SUMIFS('Timesheet Raw'!$P$4:$P$8000,'Timesheet Raw'!$L$4:$L$8000,$A188,'Timesheet Raw'!$C$4:$C$8000,D$3,'Timesheet Raw'!$B$4:$B$8000,'Work Calendar'!$A$27)+SUMIFS('Timesheet Raw'!$P$4:$P$8000,'Timesheet Raw'!$L$4:$L$8000,$A188,'Timesheet Raw'!$C$4:$C$8000,D$3,'Timesheet Raw'!$B$4:$B$8000,'Work Calendar'!$A$28)+SUMIFS('Timesheet Raw'!$P$4:$P$8000,'Timesheet Raw'!$L$4:$L$8000,$A188,'Timesheet Raw'!$C$4:$C$8000,D$3,'Timesheet Raw'!$B$4:$B$8000,'Work Calendar'!$A$29))</f>
        <v>0</v>
      </c>
      <c r="G188" s="341">
        <f t="shared" si="9"/>
        <v>0</v>
      </c>
      <c r="H188" s="395">
        <f>IF($A188="","",SUMIFS('Timesheet Raw'!$K$4:$K$8000,'Timesheet Raw'!$L$4:$L$8000,$A188,'Timesheet Raw'!$C$4:$C$8000,D$3))</f>
        <v>0</v>
      </c>
      <c r="I188" s="345">
        <f>IF($A188="","",SUMIFS('Timesheet Raw'!$P$4:$P$8000,'Timesheet Raw'!$L$4:$L$8000,$A188,'Timesheet Raw'!$C$4:$C$8000,D$3))</f>
        <v>0</v>
      </c>
      <c r="J188" s="375"/>
      <c r="K188" t="str">
        <f>IF($A188="","",IF(J188&lt;&gt;"",J188,IF($A188&gt;'Work Calendar'!$B$17,"No data yet",IF(AND(F188&gt;='Work Calendar'!$B$14,D188+E188+G188&gt;0),"Day off - but worked",IF(F188&gt;='Work Calendar'!$B$14,"Day off",IF(D188+E188+G188&gt;0,IF($C188="Working","Charged","Worked weekend"),IF($C188="Working","Leave (not charged)",$C188)))))))</f>
        <v>Weekend</v>
      </c>
      <c r="L188" s="341">
        <f>IF($A188="","",SUMIFS('Timesheet Raw'!$P$4:$P$8000,'Timesheet Raw'!$L$4:$L$8000,$A188,'Timesheet Raw'!$C$4:$C$8000,L$3,'Timesheet Raw'!$A$4:$A$8000,"1-Projects"))</f>
        <v>0</v>
      </c>
      <c r="M188" s="341">
        <f>IF($A188="","",SUMIFS('Timesheet Raw'!$P$4:$P$8000,'Timesheet Raw'!$L$4:$L$8000,$A188,'Timesheet Raw'!$C$4:$C$8000,L$3,'Timesheet Raw'!$A$4:$A$8000,"2-Proposals Chargeable")+SUMIFS('Timesheet Raw'!$P$4:$P$8000,'Timesheet Raw'!$L$4:$L$8000,$A188,'Timesheet Raw'!$C$4:$C$8000,L$3,'Timesheet Raw'!$A$4:$A$8000,"3-Proposals Regular"))</f>
        <v>0</v>
      </c>
      <c r="N188" s="341">
        <f>IF($A188="","",SUMIFS('Timesheet Raw'!$P$4:$P$8000,'Timesheet Raw'!$L$4:$L$8000,$A188,'Timesheet Raw'!$C$4:$C$8000,L$3,'Timesheet Raw'!$B$4:$B$8000,'Work Calendar'!$A$26)+SUMIFS('Timesheet Raw'!$P$4:$P$8000,'Timesheet Raw'!$L$4:$L$8000,$A188,'Timesheet Raw'!$C$4:$C$8000,L$3,'Timesheet Raw'!$B$4:$B$8000,'Work Calendar'!$A$27)+SUMIFS('Timesheet Raw'!$P$4:$P$8000,'Timesheet Raw'!$L$4:$L$8000,$A188,'Timesheet Raw'!$C$4:$C$8000,L$3,'Timesheet Raw'!$B$4:$B$8000,'Work Calendar'!$A$28)+SUMIFS('Timesheet Raw'!$P$4:$P$8000,'Timesheet Raw'!$L$4:$L$8000,$A188,'Timesheet Raw'!$C$4:$C$8000,L$3,'Timesheet Raw'!$B$4:$B$8000,'Work Calendar'!$A$29))</f>
        <v>0</v>
      </c>
      <c r="O188" s="341">
        <f t="shared" si="10"/>
        <v>0</v>
      </c>
      <c r="P188" s="395">
        <f>IF($A188="","",SUMIFS('Timesheet Raw'!$K$4:$K$8000,'Timesheet Raw'!$L$4:$L$8000,$A188,'Timesheet Raw'!$C$4:$C$8000,L$3))</f>
        <v>0</v>
      </c>
      <c r="Q188" s="345">
        <f>IF($A188="","",SUMIFS('Timesheet Raw'!$P$4:$P$8000,'Timesheet Raw'!$L$4:$L$8000,$A188,'Timesheet Raw'!$C$4:$C$8000,L$3))</f>
        <v>0</v>
      </c>
      <c r="R188" s="375"/>
      <c r="S188" t="str">
        <f>IF($A188="","",IF(R188&lt;&gt;"",R188,IF($A188&gt;'Work Calendar'!$B$17,"No data yet",IF(AND(N188&gt;='Work Calendar'!$B$14,L188+M188+O188&gt;0),"Day off - but worked",IF(N188&gt;='Work Calendar'!$B$14,"Day off",IF(L188+M188+O188&gt;0,IF($C188="Working","Charged","Worked weekend"),IF($C188="Working","Leave (not charged)",$C188)))))))</f>
        <v>Weekend</v>
      </c>
      <c r="T188" s="341">
        <f>IF($A188="","",SUMIFS('Timesheet Raw'!$P$4:$P$8000,'Timesheet Raw'!$L$4:$L$8000,$A188,'Timesheet Raw'!$C$4:$C$8000,T$3,'Timesheet Raw'!$A$4:$A$8000,"1-Projects"))</f>
        <v>0</v>
      </c>
      <c r="U188" s="341">
        <f>IF($A188="","",SUMIFS('Timesheet Raw'!$P$4:$P$8000,'Timesheet Raw'!$L$4:$L$8000,$A188,'Timesheet Raw'!$C$4:$C$8000,T$3,'Timesheet Raw'!$A$4:$A$8000,"2-Proposals Chargeable")+SUMIFS('Timesheet Raw'!$P$4:$P$8000,'Timesheet Raw'!$L$4:$L$8000,$A188,'Timesheet Raw'!$C$4:$C$8000,T$3,'Timesheet Raw'!$A$4:$A$8000,"3-Proposals Regular"))</f>
        <v>0</v>
      </c>
      <c r="V188" s="341">
        <f>IF($A188="","",SUMIFS('Timesheet Raw'!$P$4:$P$8000,'Timesheet Raw'!$L$4:$L$8000,$A188,'Timesheet Raw'!$C$4:$C$8000,T$3,'Timesheet Raw'!$B$4:$B$8000,'Work Calendar'!$A$26)+SUMIFS('Timesheet Raw'!$P$4:$P$8000,'Timesheet Raw'!$L$4:$L$8000,$A188,'Timesheet Raw'!$C$4:$C$8000,T$3,'Timesheet Raw'!$B$4:$B$8000,'Work Calendar'!$A$27)+SUMIFS('Timesheet Raw'!$P$4:$P$8000,'Timesheet Raw'!$L$4:$L$8000,$A188,'Timesheet Raw'!$C$4:$C$8000,T$3,'Timesheet Raw'!$B$4:$B$8000,'Work Calendar'!$A$28)+SUMIFS('Timesheet Raw'!$P$4:$P$8000,'Timesheet Raw'!$L$4:$L$8000,$A188,'Timesheet Raw'!$C$4:$C$8000,T$3,'Timesheet Raw'!$B$4:$B$8000,'Work Calendar'!$A$29))</f>
        <v>0</v>
      </c>
      <c r="W188" s="341">
        <f t="shared" si="11"/>
        <v>0</v>
      </c>
      <c r="X188" s="395">
        <f>IF($A188="","",SUMIFS('Timesheet Raw'!$K$4:$K$8000,'Timesheet Raw'!$L$4:$L$8000,$A188,'Timesheet Raw'!$C$4:$C$8000,T$3))</f>
        <v>0</v>
      </c>
      <c r="Y188" s="345">
        <f>IF($A188="","",SUMIFS('Timesheet Raw'!$P$4:$P$8000,'Timesheet Raw'!$L$4:$L$8000,$A188,'Timesheet Raw'!$C$4:$C$8000,T$3))</f>
        <v>0</v>
      </c>
      <c r="Z188" s="375"/>
      <c r="AA188" t="str">
        <f>IF($A188="","",IF(Z188&lt;&gt;"",Z188,IF($A188&gt;'Work Calendar'!$B$17,"No data yet",IF(AND(V188&gt;='Work Calendar'!$B$14,T188+U188+W188&gt;0),"Day off - but worked",IF(V188&gt;='Work Calendar'!$B$14,"Day off",IF(T188+U188+W188&gt;0,IF($C188="Working","Charged","Worked weekend"),IF($C188="Working","Leave (not charged)",$C188)))))))</f>
        <v>Weekend</v>
      </c>
    </row>
    <row r="189" spans="1:27" x14ac:dyDescent="0.3">
      <c r="A189" s="371">
        <f>IF($A188="","",IF($A188+1&gt;'Work Calendar'!$B$16,"",$A188+1))</f>
        <v>46207</v>
      </c>
      <c r="B189" t="str">
        <f t="shared" si="8"/>
        <v>Sat</v>
      </c>
      <c r="C189" t="str" cm="1">
        <f t="array" ref="C189">IF($A189="","",IF(COUNTIF('Work Calendar'!$E$6:$E$200,$A189)&gt;0,"Holiday",IF(INDEX('Work Calendar'!$C$6:$C$12,WEEKDAY($A189,1))=1,"Working","Weekend")))</f>
        <v>Weekend</v>
      </c>
      <c r="D189" s="341">
        <f>IF($A189="","",SUMIFS('Timesheet Raw'!$P$4:$P$8000,'Timesheet Raw'!$L$4:$L$8000,$A189,'Timesheet Raw'!$C$4:$C$8000,D$3,'Timesheet Raw'!$A$4:$A$8000,"1-Projects"))</f>
        <v>0</v>
      </c>
      <c r="E189" s="341">
        <f>IF($A189="","",SUMIFS('Timesheet Raw'!$P$4:$P$8000,'Timesheet Raw'!$L$4:$L$8000,$A189,'Timesheet Raw'!$C$4:$C$8000,D$3,'Timesheet Raw'!$A$4:$A$8000,"2-Proposals Chargeable")+SUMIFS('Timesheet Raw'!$P$4:$P$8000,'Timesheet Raw'!$L$4:$L$8000,$A189,'Timesheet Raw'!$C$4:$C$8000,D$3,'Timesheet Raw'!$A$4:$A$8000,"3-Proposals Regular"))</f>
        <v>0</v>
      </c>
      <c r="F189" s="341">
        <f>IF($A189="","",SUMIFS('Timesheet Raw'!$P$4:$P$8000,'Timesheet Raw'!$L$4:$L$8000,$A189,'Timesheet Raw'!$C$4:$C$8000,D$3,'Timesheet Raw'!$B$4:$B$8000,'Work Calendar'!$A$26)+SUMIFS('Timesheet Raw'!$P$4:$P$8000,'Timesheet Raw'!$L$4:$L$8000,$A189,'Timesheet Raw'!$C$4:$C$8000,D$3,'Timesheet Raw'!$B$4:$B$8000,'Work Calendar'!$A$27)+SUMIFS('Timesheet Raw'!$P$4:$P$8000,'Timesheet Raw'!$L$4:$L$8000,$A189,'Timesheet Raw'!$C$4:$C$8000,D$3,'Timesheet Raw'!$B$4:$B$8000,'Work Calendar'!$A$28)+SUMIFS('Timesheet Raw'!$P$4:$P$8000,'Timesheet Raw'!$L$4:$L$8000,$A189,'Timesheet Raw'!$C$4:$C$8000,D$3,'Timesheet Raw'!$B$4:$B$8000,'Work Calendar'!$A$29))</f>
        <v>0</v>
      </c>
      <c r="G189" s="341">
        <f t="shared" si="9"/>
        <v>0</v>
      </c>
      <c r="H189" s="395">
        <f>IF($A189="","",SUMIFS('Timesheet Raw'!$K$4:$K$8000,'Timesheet Raw'!$L$4:$L$8000,$A189,'Timesheet Raw'!$C$4:$C$8000,D$3))</f>
        <v>0</v>
      </c>
      <c r="I189" s="345">
        <f>IF($A189="","",SUMIFS('Timesheet Raw'!$P$4:$P$8000,'Timesheet Raw'!$L$4:$L$8000,$A189,'Timesheet Raw'!$C$4:$C$8000,D$3))</f>
        <v>0</v>
      </c>
      <c r="J189" s="375"/>
      <c r="K189" t="str">
        <f>IF($A189="","",IF(J189&lt;&gt;"",J189,IF($A189&gt;'Work Calendar'!$B$17,"No data yet",IF(AND(F189&gt;='Work Calendar'!$B$14,D189+E189+G189&gt;0),"Day off - but worked",IF(F189&gt;='Work Calendar'!$B$14,"Day off",IF(D189+E189+G189&gt;0,IF($C189="Working","Charged","Worked weekend"),IF($C189="Working","Leave (not charged)",$C189)))))))</f>
        <v>Weekend</v>
      </c>
      <c r="L189" s="341">
        <f>IF($A189="","",SUMIFS('Timesheet Raw'!$P$4:$P$8000,'Timesheet Raw'!$L$4:$L$8000,$A189,'Timesheet Raw'!$C$4:$C$8000,L$3,'Timesheet Raw'!$A$4:$A$8000,"1-Projects"))</f>
        <v>0</v>
      </c>
      <c r="M189" s="341">
        <f>IF($A189="","",SUMIFS('Timesheet Raw'!$P$4:$P$8000,'Timesheet Raw'!$L$4:$L$8000,$A189,'Timesheet Raw'!$C$4:$C$8000,L$3,'Timesheet Raw'!$A$4:$A$8000,"2-Proposals Chargeable")+SUMIFS('Timesheet Raw'!$P$4:$P$8000,'Timesheet Raw'!$L$4:$L$8000,$A189,'Timesheet Raw'!$C$4:$C$8000,L$3,'Timesheet Raw'!$A$4:$A$8000,"3-Proposals Regular"))</f>
        <v>0</v>
      </c>
      <c r="N189" s="341">
        <f>IF($A189="","",SUMIFS('Timesheet Raw'!$P$4:$P$8000,'Timesheet Raw'!$L$4:$L$8000,$A189,'Timesheet Raw'!$C$4:$C$8000,L$3,'Timesheet Raw'!$B$4:$B$8000,'Work Calendar'!$A$26)+SUMIFS('Timesheet Raw'!$P$4:$P$8000,'Timesheet Raw'!$L$4:$L$8000,$A189,'Timesheet Raw'!$C$4:$C$8000,L$3,'Timesheet Raw'!$B$4:$B$8000,'Work Calendar'!$A$27)+SUMIFS('Timesheet Raw'!$P$4:$P$8000,'Timesheet Raw'!$L$4:$L$8000,$A189,'Timesheet Raw'!$C$4:$C$8000,L$3,'Timesheet Raw'!$B$4:$B$8000,'Work Calendar'!$A$28)+SUMIFS('Timesheet Raw'!$P$4:$P$8000,'Timesheet Raw'!$L$4:$L$8000,$A189,'Timesheet Raw'!$C$4:$C$8000,L$3,'Timesheet Raw'!$B$4:$B$8000,'Work Calendar'!$A$29))</f>
        <v>0</v>
      </c>
      <c r="O189" s="341">
        <f t="shared" si="10"/>
        <v>0</v>
      </c>
      <c r="P189" s="395">
        <f>IF($A189="","",SUMIFS('Timesheet Raw'!$K$4:$K$8000,'Timesheet Raw'!$L$4:$L$8000,$A189,'Timesheet Raw'!$C$4:$C$8000,L$3))</f>
        <v>0</v>
      </c>
      <c r="Q189" s="345">
        <f>IF($A189="","",SUMIFS('Timesheet Raw'!$P$4:$P$8000,'Timesheet Raw'!$L$4:$L$8000,$A189,'Timesheet Raw'!$C$4:$C$8000,L$3))</f>
        <v>0</v>
      </c>
      <c r="R189" s="375"/>
      <c r="S189" t="str">
        <f>IF($A189="","",IF(R189&lt;&gt;"",R189,IF($A189&gt;'Work Calendar'!$B$17,"No data yet",IF(AND(N189&gt;='Work Calendar'!$B$14,L189+M189+O189&gt;0),"Day off - but worked",IF(N189&gt;='Work Calendar'!$B$14,"Day off",IF(L189+M189+O189&gt;0,IF($C189="Working","Charged","Worked weekend"),IF($C189="Working","Leave (not charged)",$C189)))))))</f>
        <v>Weekend</v>
      </c>
      <c r="T189" s="341">
        <f>IF($A189="","",SUMIFS('Timesheet Raw'!$P$4:$P$8000,'Timesheet Raw'!$L$4:$L$8000,$A189,'Timesheet Raw'!$C$4:$C$8000,T$3,'Timesheet Raw'!$A$4:$A$8000,"1-Projects"))</f>
        <v>0</v>
      </c>
      <c r="U189" s="341">
        <f>IF($A189="","",SUMIFS('Timesheet Raw'!$P$4:$P$8000,'Timesheet Raw'!$L$4:$L$8000,$A189,'Timesheet Raw'!$C$4:$C$8000,T$3,'Timesheet Raw'!$A$4:$A$8000,"2-Proposals Chargeable")+SUMIFS('Timesheet Raw'!$P$4:$P$8000,'Timesheet Raw'!$L$4:$L$8000,$A189,'Timesheet Raw'!$C$4:$C$8000,T$3,'Timesheet Raw'!$A$4:$A$8000,"3-Proposals Regular"))</f>
        <v>0</v>
      </c>
      <c r="V189" s="341">
        <f>IF($A189="","",SUMIFS('Timesheet Raw'!$P$4:$P$8000,'Timesheet Raw'!$L$4:$L$8000,$A189,'Timesheet Raw'!$C$4:$C$8000,T$3,'Timesheet Raw'!$B$4:$B$8000,'Work Calendar'!$A$26)+SUMIFS('Timesheet Raw'!$P$4:$P$8000,'Timesheet Raw'!$L$4:$L$8000,$A189,'Timesheet Raw'!$C$4:$C$8000,T$3,'Timesheet Raw'!$B$4:$B$8000,'Work Calendar'!$A$27)+SUMIFS('Timesheet Raw'!$P$4:$P$8000,'Timesheet Raw'!$L$4:$L$8000,$A189,'Timesheet Raw'!$C$4:$C$8000,T$3,'Timesheet Raw'!$B$4:$B$8000,'Work Calendar'!$A$28)+SUMIFS('Timesheet Raw'!$P$4:$P$8000,'Timesheet Raw'!$L$4:$L$8000,$A189,'Timesheet Raw'!$C$4:$C$8000,T$3,'Timesheet Raw'!$B$4:$B$8000,'Work Calendar'!$A$29))</f>
        <v>0</v>
      </c>
      <c r="W189" s="341">
        <f t="shared" si="11"/>
        <v>0</v>
      </c>
      <c r="X189" s="395">
        <f>IF($A189="","",SUMIFS('Timesheet Raw'!$K$4:$K$8000,'Timesheet Raw'!$L$4:$L$8000,$A189,'Timesheet Raw'!$C$4:$C$8000,T$3))</f>
        <v>0</v>
      </c>
      <c r="Y189" s="345">
        <f>IF($A189="","",SUMIFS('Timesheet Raw'!$P$4:$P$8000,'Timesheet Raw'!$L$4:$L$8000,$A189,'Timesheet Raw'!$C$4:$C$8000,T$3))</f>
        <v>0</v>
      </c>
      <c r="Z189" s="375"/>
      <c r="AA189" t="str">
        <f>IF($A189="","",IF(Z189&lt;&gt;"",Z189,IF($A189&gt;'Work Calendar'!$B$17,"No data yet",IF(AND(V189&gt;='Work Calendar'!$B$14,T189+U189+W189&gt;0),"Day off - but worked",IF(V189&gt;='Work Calendar'!$B$14,"Day off",IF(T189+U189+W189&gt;0,IF($C189="Working","Charged","Worked weekend"),IF($C189="Working","Leave (not charged)",$C189)))))))</f>
        <v>Weekend</v>
      </c>
    </row>
    <row r="190" spans="1:27" x14ac:dyDescent="0.3">
      <c r="A190" s="371">
        <f>IF($A189="","",IF($A189+1&gt;'Work Calendar'!$B$16,"",$A189+1))</f>
        <v>46208</v>
      </c>
      <c r="B190" t="str">
        <f t="shared" si="8"/>
        <v>Sun</v>
      </c>
      <c r="C190" t="str" cm="1">
        <f t="array" ref="C190">IF($A190="","",IF(COUNTIF('Work Calendar'!$E$6:$E$200,$A190)&gt;0,"Holiday",IF(INDEX('Work Calendar'!$C$6:$C$12,WEEKDAY($A190,1))=1,"Working","Weekend")))</f>
        <v>Working</v>
      </c>
      <c r="D190" s="341">
        <f>IF($A190="","",SUMIFS('Timesheet Raw'!$P$4:$P$8000,'Timesheet Raw'!$L$4:$L$8000,$A190,'Timesheet Raw'!$C$4:$C$8000,D$3,'Timesheet Raw'!$A$4:$A$8000,"1-Projects"))</f>
        <v>7.25</v>
      </c>
      <c r="E190" s="341">
        <f>IF($A190="","",SUMIFS('Timesheet Raw'!$P$4:$P$8000,'Timesheet Raw'!$L$4:$L$8000,$A190,'Timesheet Raw'!$C$4:$C$8000,D$3,'Timesheet Raw'!$A$4:$A$8000,"2-Proposals Chargeable")+SUMIFS('Timesheet Raw'!$P$4:$P$8000,'Timesheet Raw'!$L$4:$L$8000,$A190,'Timesheet Raw'!$C$4:$C$8000,D$3,'Timesheet Raw'!$A$4:$A$8000,"3-Proposals Regular"))</f>
        <v>0</v>
      </c>
      <c r="F190" s="341">
        <f>IF($A190="","",SUMIFS('Timesheet Raw'!$P$4:$P$8000,'Timesheet Raw'!$L$4:$L$8000,$A190,'Timesheet Raw'!$C$4:$C$8000,D$3,'Timesheet Raw'!$B$4:$B$8000,'Work Calendar'!$A$26)+SUMIFS('Timesheet Raw'!$P$4:$P$8000,'Timesheet Raw'!$L$4:$L$8000,$A190,'Timesheet Raw'!$C$4:$C$8000,D$3,'Timesheet Raw'!$B$4:$B$8000,'Work Calendar'!$A$27)+SUMIFS('Timesheet Raw'!$P$4:$P$8000,'Timesheet Raw'!$L$4:$L$8000,$A190,'Timesheet Raw'!$C$4:$C$8000,D$3,'Timesheet Raw'!$B$4:$B$8000,'Work Calendar'!$A$28)+SUMIFS('Timesheet Raw'!$P$4:$P$8000,'Timesheet Raw'!$L$4:$L$8000,$A190,'Timesheet Raw'!$C$4:$C$8000,D$3,'Timesheet Raw'!$B$4:$B$8000,'Work Calendar'!$A$29))</f>
        <v>1.25</v>
      </c>
      <c r="G190" s="341">
        <f t="shared" si="9"/>
        <v>0</v>
      </c>
      <c r="H190" s="395">
        <f>IF($A190="","",SUMIFS('Timesheet Raw'!$K$4:$K$8000,'Timesheet Raw'!$L$4:$L$8000,$A190,'Timesheet Raw'!$C$4:$C$8000,D$3))</f>
        <v>0</v>
      </c>
      <c r="I190" s="345">
        <f>IF($A190="","",SUMIFS('Timesheet Raw'!$P$4:$P$8000,'Timesheet Raw'!$L$4:$L$8000,$A190,'Timesheet Raw'!$C$4:$C$8000,D$3))</f>
        <v>8.5</v>
      </c>
      <c r="J190" s="375"/>
      <c r="K190" t="str">
        <f>IF($A190="","",IF(J190&lt;&gt;"",J190,IF($A190&gt;'Work Calendar'!$B$17,"No data yet",IF(AND(F190&gt;='Work Calendar'!$B$14,D190+E190+G190&gt;0),"Day off - but worked",IF(F190&gt;='Work Calendar'!$B$14,"Day off",IF(D190+E190+G190&gt;0,IF($C190="Working","Charged","Worked weekend"),IF($C190="Working","Leave (not charged)",$C190)))))))</f>
        <v>Charged</v>
      </c>
      <c r="L190" s="341">
        <f>IF($A190="","",SUMIFS('Timesheet Raw'!$P$4:$P$8000,'Timesheet Raw'!$L$4:$L$8000,$A190,'Timesheet Raw'!$C$4:$C$8000,L$3,'Timesheet Raw'!$A$4:$A$8000,"1-Projects"))</f>
        <v>8.75</v>
      </c>
      <c r="M190" s="341">
        <f>IF($A190="","",SUMIFS('Timesheet Raw'!$P$4:$P$8000,'Timesheet Raw'!$L$4:$L$8000,$A190,'Timesheet Raw'!$C$4:$C$8000,L$3,'Timesheet Raw'!$A$4:$A$8000,"2-Proposals Chargeable")+SUMIFS('Timesheet Raw'!$P$4:$P$8000,'Timesheet Raw'!$L$4:$L$8000,$A190,'Timesheet Raw'!$C$4:$C$8000,L$3,'Timesheet Raw'!$A$4:$A$8000,"3-Proposals Regular"))</f>
        <v>0</v>
      </c>
      <c r="N190" s="341">
        <f>IF($A190="","",SUMIFS('Timesheet Raw'!$P$4:$P$8000,'Timesheet Raw'!$L$4:$L$8000,$A190,'Timesheet Raw'!$C$4:$C$8000,L$3,'Timesheet Raw'!$B$4:$B$8000,'Work Calendar'!$A$26)+SUMIFS('Timesheet Raw'!$P$4:$P$8000,'Timesheet Raw'!$L$4:$L$8000,$A190,'Timesheet Raw'!$C$4:$C$8000,L$3,'Timesheet Raw'!$B$4:$B$8000,'Work Calendar'!$A$27)+SUMIFS('Timesheet Raw'!$P$4:$P$8000,'Timesheet Raw'!$L$4:$L$8000,$A190,'Timesheet Raw'!$C$4:$C$8000,L$3,'Timesheet Raw'!$B$4:$B$8000,'Work Calendar'!$A$28)+SUMIFS('Timesheet Raw'!$P$4:$P$8000,'Timesheet Raw'!$L$4:$L$8000,$A190,'Timesheet Raw'!$C$4:$C$8000,L$3,'Timesheet Raw'!$B$4:$B$8000,'Work Calendar'!$A$29))</f>
        <v>0.25</v>
      </c>
      <c r="O190" s="341">
        <f t="shared" si="10"/>
        <v>0</v>
      </c>
      <c r="P190" s="395">
        <f>IF($A190="","",SUMIFS('Timesheet Raw'!$K$4:$K$8000,'Timesheet Raw'!$L$4:$L$8000,$A190,'Timesheet Raw'!$C$4:$C$8000,L$3))</f>
        <v>0.5</v>
      </c>
      <c r="Q190" s="345">
        <f>IF($A190="","",SUMIFS('Timesheet Raw'!$P$4:$P$8000,'Timesheet Raw'!$L$4:$L$8000,$A190,'Timesheet Raw'!$C$4:$C$8000,L$3))</f>
        <v>9</v>
      </c>
      <c r="R190" s="375"/>
      <c r="S190" t="str">
        <f>IF($A190="","",IF(R190&lt;&gt;"",R190,IF($A190&gt;'Work Calendar'!$B$17,"No data yet",IF(AND(N190&gt;='Work Calendar'!$B$14,L190+M190+O190&gt;0),"Day off - but worked",IF(N190&gt;='Work Calendar'!$B$14,"Day off",IF(L190+M190+O190&gt;0,IF($C190="Working","Charged","Worked weekend"),IF($C190="Working","Leave (not charged)",$C190)))))))</f>
        <v>Charged</v>
      </c>
      <c r="T190" s="341">
        <f>IF($A190="","",SUMIFS('Timesheet Raw'!$P$4:$P$8000,'Timesheet Raw'!$L$4:$L$8000,$A190,'Timesheet Raw'!$C$4:$C$8000,T$3,'Timesheet Raw'!$A$4:$A$8000,"1-Projects"))</f>
        <v>8.25</v>
      </c>
      <c r="U190" s="341">
        <f>IF($A190="","",SUMIFS('Timesheet Raw'!$P$4:$P$8000,'Timesheet Raw'!$L$4:$L$8000,$A190,'Timesheet Raw'!$C$4:$C$8000,T$3,'Timesheet Raw'!$A$4:$A$8000,"2-Proposals Chargeable")+SUMIFS('Timesheet Raw'!$P$4:$P$8000,'Timesheet Raw'!$L$4:$L$8000,$A190,'Timesheet Raw'!$C$4:$C$8000,T$3,'Timesheet Raw'!$A$4:$A$8000,"3-Proposals Regular"))</f>
        <v>0</v>
      </c>
      <c r="V190" s="341">
        <f>IF($A190="","",SUMIFS('Timesheet Raw'!$P$4:$P$8000,'Timesheet Raw'!$L$4:$L$8000,$A190,'Timesheet Raw'!$C$4:$C$8000,T$3,'Timesheet Raw'!$B$4:$B$8000,'Work Calendar'!$A$26)+SUMIFS('Timesheet Raw'!$P$4:$P$8000,'Timesheet Raw'!$L$4:$L$8000,$A190,'Timesheet Raw'!$C$4:$C$8000,T$3,'Timesheet Raw'!$B$4:$B$8000,'Work Calendar'!$A$27)+SUMIFS('Timesheet Raw'!$P$4:$P$8000,'Timesheet Raw'!$L$4:$L$8000,$A190,'Timesheet Raw'!$C$4:$C$8000,T$3,'Timesheet Raw'!$B$4:$B$8000,'Work Calendar'!$A$28)+SUMIFS('Timesheet Raw'!$P$4:$P$8000,'Timesheet Raw'!$L$4:$L$8000,$A190,'Timesheet Raw'!$C$4:$C$8000,T$3,'Timesheet Raw'!$B$4:$B$8000,'Work Calendar'!$A$29))</f>
        <v>0.5</v>
      </c>
      <c r="W190" s="341">
        <f t="shared" si="11"/>
        <v>0</v>
      </c>
      <c r="X190" s="395">
        <f>IF($A190="","",SUMIFS('Timesheet Raw'!$K$4:$K$8000,'Timesheet Raw'!$L$4:$L$8000,$A190,'Timesheet Raw'!$C$4:$C$8000,T$3))</f>
        <v>0.25</v>
      </c>
      <c r="Y190" s="345">
        <f>IF($A190="","",SUMIFS('Timesheet Raw'!$P$4:$P$8000,'Timesheet Raw'!$L$4:$L$8000,$A190,'Timesheet Raw'!$C$4:$C$8000,T$3))</f>
        <v>8.75</v>
      </c>
      <c r="Z190" s="375"/>
      <c r="AA190" t="str">
        <f>IF($A190="","",IF(Z190&lt;&gt;"",Z190,IF($A190&gt;'Work Calendar'!$B$17,"No data yet",IF(AND(V190&gt;='Work Calendar'!$B$14,T190+U190+W190&gt;0),"Day off - but worked",IF(V190&gt;='Work Calendar'!$B$14,"Day off",IF(T190+U190+W190&gt;0,IF($C190="Working","Charged","Worked weekend"),IF($C190="Working","Leave (not charged)",$C190)))))))</f>
        <v>Charged</v>
      </c>
    </row>
    <row r="191" spans="1:27" x14ac:dyDescent="0.3">
      <c r="A191" s="371">
        <f>IF($A190="","",IF($A190+1&gt;'Work Calendar'!$B$16,"",$A190+1))</f>
        <v>46209</v>
      </c>
      <c r="B191" t="str">
        <f t="shared" si="8"/>
        <v>Mon</v>
      </c>
      <c r="C191" t="str" cm="1">
        <f t="array" ref="C191">IF($A191="","",IF(COUNTIF('Work Calendar'!$E$6:$E$200,$A191)&gt;0,"Holiday",IF(INDEX('Work Calendar'!$C$6:$C$12,WEEKDAY($A191,1))=1,"Working","Weekend")))</f>
        <v>Working</v>
      </c>
      <c r="D191" s="341">
        <f>IF($A191="","",SUMIFS('Timesheet Raw'!$P$4:$P$8000,'Timesheet Raw'!$L$4:$L$8000,$A191,'Timesheet Raw'!$C$4:$C$8000,D$3,'Timesheet Raw'!$A$4:$A$8000,"1-Projects"))</f>
        <v>6.25</v>
      </c>
      <c r="E191" s="341">
        <f>IF($A191="","",SUMIFS('Timesheet Raw'!$P$4:$P$8000,'Timesheet Raw'!$L$4:$L$8000,$A191,'Timesheet Raw'!$C$4:$C$8000,D$3,'Timesheet Raw'!$A$4:$A$8000,"2-Proposals Chargeable")+SUMIFS('Timesheet Raw'!$P$4:$P$8000,'Timesheet Raw'!$L$4:$L$8000,$A191,'Timesheet Raw'!$C$4:$C$8000,D$3,'Timesheet Raw'!$A$4:$A$8000,"3-Proposals Regular"))</f>
        <v>0</v>
      </c>
      <c r="F191" s="341">
        <f>IF($A191="","",SUMIFS('Timesheet Raw'!$P$4:$P$8000,'Timesheet Raw'!$L$4:$L$8000,$A191,'Timesheet Raw'!$C$4:$C$8000,D$3,'Timesheet Raw'!$B$4:$B$8000,'Work Calendar'!$A$26)+SUMIFS('Timesheet Raw'!$P$4:$P$8000,'Timesheet Raw'!$L$4:$L$8000,$A191,'Timesheet Raw'!$C$4:$C$8000,D$3,'Timesheet Raw'!$B$4:$B$8000,'Work Calendar'!$A$27)+SUMIFS('Timesheet Raw'!$P$4:$P$8000,'Timesheet Raw'!$L$4:$L$8000,$A191,'Timesheet Raw'!$C$4:$C$8000,D$3,'Timesheet Raw'!$B$4:$B$8000,'Work Calendar'!$A$28)+SUMIFS('Timesheet Raw'!$P$4:$P$8000,'Timesheet Raw'!$L$4:$L$8000,$A191,'Timesheet Raw'!$C$4:$C$8000,D$3,'Timesheet Raw'!$B$4:$B$8000,'Work Calendar'!$A$29))</f>
        <v>2.25</v>
      </c>
      <c r="G191" s="341">
        <f t="shared" si="9"/>
        <v>0</v>
      </c>
      <c r="H191" s="395">
        <f>IF($A191="","",SUMIFS('Timesheet Raw'!$K$4:$K$8000,'Timesheet Raw'!$L$4:$L$8000,$A191,'Timesheet Raw'!$C$4:$C$8000,D$3))</f>
        <v>0</v>
      </c>
      <c r="I191" s="345">
        <f>IF($A191="","",SUMIFS('Timesheet Raw'!$P$4:$P$8000,'Timesheet Raw'!$L$4:$L$8000,$A191,'Timesheet Raw'!$C$4:$C$8000,D$3))</f>
        <v>8.5</v>
      </c>
      <c r="J191" s="375"/>
      <c r="K191" t="str">
        <f>IF($A191="","",IF(J191&lt;&gt;"",J191,IF($A191&gt;'Work Calendar'!$B$17,"No data yet",IF(AND(F191&gt;='Work Calendar'!$B$14,D191+E191+G191&gt;0),"Day off - but worked",IF(F191&gt;='Work Calendar'!$B$14,"Day off",IF(D191+E191+G191&gt;0,IF($C191="Working","Charged","Worked weekend"),IF($C191="Working","Leave (not charged)",$C191)))))))</f>
        <v>Charged</v>
      </c>
      <c r="L191" s="341">
        <f>IF($A191="","",SUMIFS('Timesheet Raw'!$P$4:$P$8000,'Timesheet Raw'!$L$4:$L$8000,$A191,'Timesheet Raw'!$C$4:$C$8000,L$3,'Timesheet Raw'!$A$4:$A$8000,"1-Projects"))</f>
        <v>8.75</v>
      </c>
      <c r="M191" s="341">
        <f>IF($A191="","",SUMIFS('Timesheet Raw'!$P$4:$P$8000,'Timesheet Raw'!$L$4:$L$8000,$A191,'Timesheet Raw'!$C$4:$C$8000,L$3,'Timesheet Raw'!$A$4:$A$8000,"2-Proposals Chargeable")+SUMIFS('Timesheet Raw'!$P$4:$P$8000,'Timesheet Raw'!$L$4:$L$8000,$A191,'Timesheet Raw'!$C$4:$C$8000,L$3,'Timesheet Raw'!$A$4:$A$8000,"3-Proposals Regular"))</f>
        <v>0</v>
      </c>
      <c r="N191" s="341">
        <f>IF($A191="","",SUMIFS('Timesheet Raw'!$P$4:$P$8000,'Timesheet Raw'!$L$4:$L$8000,$A191,'Timesheet Raw'!$C$4:$C$8000,L$3,'Timesheet Raw'!$B$4:$B$8000,'Work Calendar'!$A$26)+SUMIFS('Timesheet Raw'!$P$4:$P$8000,'Timesheet Raw'!$L$4:$L$8000,$A191,'Timesheet Raw'!$C$4:$C$8000,L$3,'Timesheet Raw'!$B$4:$B$8000,'Work Calendar'!$A$27)+SUMIFS('Timesheet Raw'!$P$4:$P$8000,'Timesheet Raw'!$L$4:$L$8000,$A191,'Timesheet Raw'!$C$4:$C$8000,L$3,'Timesheet Raw'!$B$4:$B$8000,'Work Calendar'!$A$28)+SUMIFS('Timesheet Raw'!$P$4:$P$8000,'Timesheet Raw'!$L$4:$L$8000,$A191,'Timesheet Raw'!$C$4:$C$8000,L$3,'Timesheet Raw'!$B$4:$B$8000,'Work Calendar'!$A$29))</f>
        <v>0.25</v>
      </c>
      <c r="O191" s="341">
        <f t="shared" si="10"/>
        <v>0</v>
      </c>
      <c r="P191" s="395">
        <f>IF($A191="","",SUMIFS('Timesheet Raw'!$K$4:$K$8000,'Timesheet Raw'!$L$4:$L$8000,$A191,'Timesheet Raw'!$C$4:$C$8000,L$3))</f>
        <v>0.5</v>
      </c>
      <c r="Q191" s="345">
        <f>IF($A191="","",SUMIFS('Timesheet Raw'!$P$4:$P$8000,'Timesheet Raw'!$L$4:$L$8000,$A191,'Timesheet Raw'!$C$4:$C$8000,L$3))</f>
        <v>9</v>
      </c>
      <c r="R191" s="375"/>
      <c r="S191" t="str">
        <f>IF($A191="","",IF(R191&lt;&gt;"",R191,IF($A191&gt;'Work Calendar'!$B$17,"No data yet",IF(AND(N191&gt;='Work Calendar'!$B$14,L191+M191+O191&gt;0),"Day off - but worked",IF(N191&gt;='Work Calendar'!$B$14,"Day off",IF(L191+M191+O191&gt;0,IF($C191="Working","Charged","Worked weekend"),IF($C191="Working","Leave (not charged)",$C191)))))))</f>
        <v>Charged</v>
      </c>
      <c r="T191" s="341">
        <f>IF($A191="","",SUMIFS('Timesheet Raw'!$P$4:$P$8000,'Timesheet Raw'!$L$4:$L$8000,$A191,'Timesheet Raw'!$C$4:$C$8000,T$3,'Timesheet Raw'!$A$4:$A$8000,"1-Projects"))</f>
        <v>7.25</v>
      </c>
      <c r="U191" s="341">
        <f>IF($A191="","",SUMIFS('Timesheet Raw'!$P$4:$P$8000,'Timesheet Raw'!$L$4:$L$8000,$A191,'Timesheet Raw'!$C$4:$C$8000,T$3,'Timesheet Raw'!$A$4:$A$8000,"2-Proposals Chargeable")+SUMIFS('Timesheet Raw'!$P$4:$P$8000,'Timesheet Raw'!$L$4:$L$8000,$A191,'Timesheet Raw'!$C$4:$C$8000,T$3,'Timesheet Raw'!$A$4:$A$8000,"3-Proposals Regular"))</f>
        <v>0</v>
      </c>
      <c r="V191" s="341">
        <f>IF($A191="","",SUMIFS('Timesheet Raw'!$P$4:$P$8000,'Timesheet Raw'!$L$4:$L$8000,$A191,'Timesheet Raw'!$C$4:$C$8000,T$3,'Timesheet Raw'!$B$4:$B$8000,'Work Calendar'!$A$26)+SUMIFS('Timesheet Raw'!$P$4:$P$8000,'Timesheet Raw'!$L$4:$L$8000,$A191,'Timesheet Raw'!$C$4:$C$8000,T$3,'Timesheet Raw'!$B$4:$B$8000,'Work Calendar'!$A$27)+SUMIFS('Timesheet Raw'!$P$4:$P$8000,'Timesheet Raw'!$L$4:$L$8000,$A191,'Timesheet Raw'!$C$4:$C$8000,T$3,'Timesheet Raw'!$B$4:$B$8000,'Work Calendar'!$A$28)+SUMIFS('Timesheet Raw'!$P$4:$P$8000,'Timesheet Raw'!$L$4:$L$8000,$A191,'Timesheet Raw'!$C$4:$C$8000,T$3,'Timesheet Raw'!$B$4:$B$8000,'Work Calendar'!$A$29))</f>
        <v>1.5</v>
      </c>
      <c r="W191" s="341">
        <f t="shared" si="11"/>
        <v>0</v>
      </c>
      <c r="X191" s="395">
        <f>IF($A191="","",SUMIFS('Timesheet Raw'!$K$4:$K$8000,'Timesheet Raw'!$L$4:$L$8000,$A191,'Timesheet Raw'!$C$4:$C$8000,T$3))</f>
        <v>0.25</v>
      </c>
      <c r="Y191" s="345">
        <f>IF($A191="","",SUMIFS('Timesheet Raw'!$P$4:$P$8000,'Timesheet Raw'!$L$4:$L$8000,$A191,'Timesheet Raw'!$C$4:$C$8000,T$3))</f>
        <v>8.75</v>
      </c>
      <c r="Z191" s="375"/>
      <c r="AA191" t="str">
        <f>IF($A191="","",IF(Z191&lt;&gt;"",Z191,IF($A191&gt;'Work Calendar'!$B$17,"No data yet",IF(AND(V191&gt;='Work Calendar'!$B$14,T191+U191+W191&gt;0),"Day off - but worked",IF(V191&gt;='Work Calendar'!$B$14,"Day off",IF(T191+U191+W191&gt;0,IF($C191="Working","Charged","Worked weekend"),IF($C191="Working","Leave (not charged)",$C191)))))))</f>
        <v>Charged</v>
      </c>
    </row>
    <row r="192" spans="1:27" x14ac:dyDescent="0.3">
      <c r="A192" s="371">
        <f>IF($A191="","",IF($A191+1&gt;'Work Calendar'!$B$16,"",$A191+1))</f>
        <v>46210</v>
      </c>
      <c r="B192" t="str">
        <f t="shared" si="8"/>
        <v>Tue</v>
      </c>
      <c r="C192" t="str" cm="1">
        <f t="array" ref="C192">IF($A192="","",IF(COUNTIF('Work Calendar'!$E$6:$E$200,$A192)&gt;0,"Holiday",IF(INDEX('Work Calendar'!$C$6:$C$12,WEEKDAY($A192,1))=1,"Working","Weekend")))</f>
        <v>Working</v>
      </c>
      <c r="D192" s="341">
        <f>IF($A192="","",SUMIFS('Timesheet Raw'!$P$4:$P$8000,'Timesheet Raw'!$L$4:$L$8000,$A192,'Timesheet Raw'!$C$4:$C$8000,D$3,'Timesheet Raw'!$A$4:$A$8000,"1-Projects"))</f>
        <v>6.25</v>
      </c>
      <c r="E192" s="341">
        <f>IF($A192="","",SUMIFS('Timesheet Raw'!$P$4:$P$8000,'Timesheet Raw'!$L$4:$L$8000,$A192,'Timesheet Raw'!$C$4:$C$8000,D$3,'Timesheet Raw'!$A$4:$A$8000,"2-Proposals Chargeable")+SUMIFS('Timesheet Raw'!$P$4:$P$8000,'Timesheet Raw'!$L$4:$L$8000,$A192,'Timesheet Raw'!$C$4:$C$8000,D$3,'Timesheet Raw'!$A$4:$A$8000,"3-Proposals Regular"))</f>
        <v>0</v>
      </c>
      <c r="F192" s="341">
        <f>IF($A192="","",SUMIFS('Timesheet Raw'!$P$4:$P$8000,'Timesheet Raw'!$L$4:$L$8000,$A192,'Timesheet Raw'!$C$4:$C$8000,D$3,'Timesheet Raw'!$B$4:$B$8000,'Work Calendar'!$A$26)+SUMIFS('Timesheet Raw'!$P$4:$P$8000,'Timesheet Raw'!$L$4:$L$8000,$A192,'Timesheet Raw'!$C$4:$C$8000,D$3,'Timesheet Raw'!$B$4:$B$8000,'Work Calendar'!$A$27)+SUMIFS('Timesheet Raw'!$P$4:$P$8000,'Timesheet Raw'!$L$4:$L$8000,$A192,'Timesheet Raw'!$C$4:$C$8000,D$3,'Timesheet Raw'!$B$4:$B$8000,'Work Calendar'!$A$28)+SUMIFS('Timesheet Raw'!$P$4:$P$8000,'Timesheet Raw'!$L$4:$L$8000,$A192,'Timesheet Raw'!$C$4:$C$8000,D$3,'Timesheet Raw'!$B$4:$B$8000,'Work Calendar'!$A$29))</f>
        <v>2.25</v>
      </c>
      <c r="G192" s="341">
        <f t="shared" si="9"/>
        <v>0</v>
      </c>
      <c r="H192" s="395">
        <f>IF($A192="","",SUMIFS('Timesheet Raw'!$K$4:$K$8000,'Timesheet Raw'!$L$4:$L$8000,$A192,'Timesheet Raw'!$C$4:$C$8000,D$3))</f>
        <v>0</v>
      </c>
      <c r="I192" s="345">
        <f>IF($A192="","",SUMIFS('Timesheet Raw'!$P$4:$P$8000,'Timesheet Raw'!$L$4:$L$8000,$A192,'Timesheet Raw'!$C$4:$C$8000,D$3))</f>
        <v>8.5</v>
      </c>
      <c r="J192" s="375"/>
      <c r="K192" t="str">
        <f>IF($A192="","",IF(J192&lt;&gt;"",J192,IF($A192&gt;'Work Calendar'!$B$17,"No data yet",IF(AND(F192&gt;='Work Calendar'!$B$14,D192+E192+G192&gt;0),"Day off - but worked",IF(F192&gt;='Work Calendar'!$B$14,"Day off",IF(D192+E192+G192&gt;0,IF($C192="Working","Charged","Worked weekend"),IF($C192="Working","Leave (not charged)",$C192)))))))</f>
        <v>Charged</v>
      </c>
      <c r="L192" s="341">
        <f>IF($A192="","",SUMIFS('Timesheet Raw'!$P$4:$P$8000,'Timesheet Raw'!$L$4:$L$8000,$A192,'Timesheet Raw'!$C$4:$C$8000,L$3,'Timesheet Raw'!$A$4:$A$8000,"1-Projects"))</f>
        <v>7.75</v>
      </c>
      <c r="M192" s="341">
        <f>IF($A192="","",SUMIFS('Timesheet Raw'!$P$4:$P$8000,'Timesheet Raw'!$L$4:$L$8000,$A192,'Timesheet Raw'!$C$4:$C$8000,L$3,'Timesheet Raw'!$A$4:$A$8000,"2-Proposals Chargeable")+SUMIFS('Timesheet Raw'!$P$4:$P$8000,'Timesheet Raw'!$L$4:$L$8000,$A192,'Timesheet Raw'!$C$4:$C$8000,L$3,'Timesheet Raw'!$A$4:$A$8000,"3-Proposals Regular"))</f>
        <v>0</v>
      </c>
      <c r="N192" s="341">
        <f>IF($A192="","",SUMIFS('Timesheet Raw'!$P$4:$P$8000,'Timesheet Raw'!$L$4:$L$8000,$A192,'Timesheet Raw'!$C$4:$C$8000,L$3,'Timesheet Raw'!$B$4:$B$8000,'Work Calendar'!$A$26)+SUMIFS('Timesheet Raw'!$P$4:$P$8000,'Timesheet Raw'!$L$4:$L$8000,$A192,'Timesheet Raw'!$C$4:$C$8000,L$3,'Timesheet Raw'!$B$4:$B$8000,'Work Calendar'!$A$27)+SUMIFS('Timesheet Raw'!$P$4:$P$8000,'Timesheet Raw'!$L$4:$L$8000,$A192,'Timesheet Raw'!$C$4:$C$8000,L$3,'Timesheet Raw'!$B$4:$B$8000,'Work Calendar'!$A$28)+SUMIFS('Timesheet Raw'!$P$4:$P$8000,'Timesheet Raw'!$L$4:$L$8000,$A192,'Timesheet Raw'!$C$4:$C$8000,L$3,'Timesheet Raw'!$B$4:$B$8000,'Work Calendar'!$A$29))</f>
        <v>0.75</v>
      </c>
      <c r="O192" s="341">
        <f t="shared" si="10"/>
        <v>0</v>
      </c>
      <c r="P192" s="395">
        <f>IF($A192="","",SUMIFS('Timesheet Raw'!$K$4:$K$8000,'Timesheet Raw'!$L$4:$L$8000,$A192,'Timesheet Raw'!$C$4:$C$8000,L$3))</f>
        <v>0</v>
      </c>
      <c r="Q192" s="345">
        <f>IF($A192="","",SUMIFS('Timesheet Raw'!$P$4:$P$8000,'Timesheet Raw'!$L$4:$L$8000,$A192,'Timesheet Raw'!$C$4:$C$8000,L$3))</f>
        <v>8.5</v>
      </c>
      <c r="R192" s="375"/>
      <c r="S192" t="str">
        <f>IF($A192="","",IF(R192&lt;&gt;"",R192,IF($A192&gt;'Work Calendar'!$B$17,"No data yet",IF(AND(N192&gt;='Work Calendar'!$B$14,L192+M192+O192&gt;0),"Day off - but worked",IF(N192&gt;='Work Calendar'!$B$14,"Day off",IF(L192+M192+O192&gt;0,IF($C192="Working","Charged","Worked weekend"),IF($C192="Working","Leave (not charged)",$C192)))))))</f>
        <v>Charged</v>
      </c>
      <c r="T192" s="341">
        <f>IF($A192="","",SUMIFS('Timesheet Raw'!$P$4:$P$8000,'Timesheet Raw'!$L$4:$L$8000,$A192,'Timesheet Raw'!$C$4:$C$8000,T$3,'Timesheet Raw'!$A$4:$A$8000,"1-Projects"))</f>
        <v>6.75</v>
      </c>
      <c r="U192" s="341">
        <f>IF($A192="","",SUMIFS('Timesheet Raw'!$P$4:$P$8000,'Timesheet Raw'!$L$4:$L$8000,$A192,'Timesheet Raw'!$C$4:$C$8000,T$3,'Timesheet Raw'!$A$4:$A$8000,"2-Proposals Chargeable")+SUMIFS('Timesheet Raw'!$P$4:$P$8000,'Timesheet Raw'!$L$4:$L$8000,$A192,'Timesheet Raw'!$C$4:$C$8000,T$3,'Timesheet Raw'!$A$4:$A$8000,"3-Proposals Regular"))</f>
        <v>0</v>
      </c>
      <c r="V192" s="341">
        <f>IF($A192="","",SUMIFS('Timesheet Raw'!$P$4:$P$8000,'Timesheet Raw'!$L$4:$L$8000,$A192,'Timesheet Raw'!$C$4:$C$8000,T$3,'Timesheet Raw'!$B$4:$B$8000,'Work Calendar'!$A$26)+SUMIFS('Timesheet Raw'!$P$4:$P$8000,'Timesheet Raw'!$L$4:$L$8000,$A192,'Timesheet Raw'!$C$4:$C$8000,T$3,'Timesheet Raw'!$B$4:$B$8000,'Work Calendar'!$A$27)+SUMIFS('Timesheet Raw'!$P$4:$P$8000,'Timesheet Raw'!$L$4:$L$8000,$A192,'Timesheet Raw'!$C$4:$C$8000,T$3,'Timesheet Raw'!$B$4:$B$8000,'Work Calendar'!$A$28)+SUMIFS('Timesheet Raw'!$P$4:$P$8000,'Timesheet Raw'!$L$4:$L$8000,$A192,'Timesheet Raw'!$C$4:$C$8000,T$3,'Timesheet Raw'!$B$4:$B$8000,'Work Calendar'!$A$29))</f>
        <v>1.75</v>
      </c>
      <c r="W192" s="341">
        <f t="shared" si="11"/>
        <v>0</v>
      </c>
      <c r="X192" s="395">
        <f>IF($A192="","",SUMIFS('Timesheet Raw'!$K$4:$K$8000,'Timesheet Raw'!$L$4:$L$8000,$A192,'Timesheet Raw'!$C$4:$C$8000,T$3))</f>
        <v>0</v>
      </c>
      <c r="Y192" s="345">
        <f>IF($A192="","",SUMIFS('Timesheet Raw'!$P$4:$P$8000,'Timesheet Raw'!$L$4:$L$8000,$A192,'Timesheet Raw'!$C$4:$C$8000,T$3))</f>
        <v>8.5</v>
      </c>
      <c r="Z192" s="375"/>
      <c r="AA192" t="str">
        <f>IF($A192="","",IF(Z192&lt;&gt;"",Z192,IF($A192&gt;'Work Calendar'!$B$17,"No data yet",IF(AND(V192&gt;='Work Calendar'!$B$14,T192+U192+W192&gt;0),"Day off - but worked",IF(V192&gt;='Work Calendar'!$B$14,"Day off",IF(T192+U192+W192&gt;0,IF($C192="Working","Charged","Worked weekend"),IF($C192="Working","Leave (not charged)",$C192)))))))</f>
        <v>Charged</v>
      </c>
    </row>
    <row r="193" spans="1:27" x14ac:dyDescent="0.3">
      <c r="A193" s="371">
        <f>IF($A192="","",IF($A192+1&gt;'Work Calendar'!$B$16,"",$A192+1))</f>
        <v>46211</v>
      </c>
      <c r="B193" t="str">
        <f t="shared" si="8"/>
        <v>Wed</v>
      </c>
      <c r="C193" t="str" cm="1">
        <f t="array" ref="C193">IF($A193="","",IF(COUNTIF('Work Calendar'!$E$6:$E$200,$A193)&gt;0,"Holiday",IF(INDEX('Work Calendar'!$C$6:$C$12,WEEKDAY($A193,1))=1,"Working","Weekend")))</f>
        <v>Working</v>
      </c>
      <c r="D193" s="341">
        <f>IF($A193="","",SUMIFS('Timesheet Raw'!$P$4:$P$8000,'Timesheet Raw'!$L$4:$L$8000,$A193,'Timesheet Raw'!$C$4:$C$8000,D$3,'Timesheet Raw'!$A$4:$A$8000,"1-Projects"))</f>
        <v>7</v>
      </c>
      <c r="E193" s="341">
        <f>IF($A193="","",SUMIFS('Timesheet Raw'!$P$4:$P$8000,'Timesheet Raw'!$L$4:$L$8000,$A193,'Timesheet Raw'!$C$4:$C$8000,D$3,'Timesheet Raw'!$A$4:$A$8000,"2-Proposals Chargeable")+SUMIFS('Timesheet Raw'!$P$4:$P$8000,'Timesheet Raw'!$L$4:$L$8000,$A193,'Timesheet Raw'!$C$4:$C$8000,D$3,'Timesheet Raw'!$A$4:$A$8000,"3-Proposals Regular"))</f>
        <v>0</v>
      </c>
      <c r="F193" s="341">
        <f>IF($A193="","",SUMIFS('Timesheet Raw'!$P$4:$P$8000,'Timesheet Raw'!$L$4:$L$8000,$A193,'Timesheet Raw'!$C$4:$C$8000,D$3,'Timesheet Raw'!$B$4:$B$8000,'Work Calendar'!$A$26)+SUMIFS('Timesheet Raw'!$P$4:$P$8000,'Timesheet Raw'!$L$4:$L$8000,$A193,'Timesheet Raw'!$C$4:$C$8000,D$3,'Timesheet Raw'!$B$4:$B$8000,'Work Calendar'!$A$27)+SUMIFS('Timesheet Raw'!$P$4:$P$8000,'Timesheet Raw'!$L$4:$L$8000,$A193,'Timesheet Raw'!$C$4:$C$8000,D$3,'Timesheet Raw'!$B$4:$B$8000,'Work Calendar'!$A$28)+SUMIFS('Timesheet Raw'!$P$4:$P$8000,'Timesheet Raw'!$L$4:$L$8000,$A193,'Timesheet Raw'!$C$4:$C$8000,D$3,'Timesheet Raw'!$B$4:$B$8000,'Work Calendar'!$A$29))</f>
        <v>1.5</v>
      </c>
      <c r="G193" s="341">
        <f t="shared" si="9"/>
        <v>0</v>
      </c>
      <c r="H193" s="395">
        <f>IF($A193="","",SUMIFS('Timesheet Raw'!$K$4:$K$8000,'Timesheet Raw'!$L$4:$L$8000,$A193,'Timesheet Raw'!$C$4:$C$8000,D$3))</f>
        <v>0</v>
      </c>
      <c r="I193" s="345">
        <f>IF($A193="","",SUMIFS('Timesheet Raw'!$P$4:$P$8000,'Timesheet Raw'!$L$4:$L$8000,$A193,'Timesheet Raw'!$C$4:$C$8000,D$3))</f>
        <v>8.5</v>
      </c>
      <c r="J193" s="375"/>
      <c r="K193" t="str">
        <f>IF($A193="","",IF(J193&lt;&gt;"",J193,IF($A193&gt;'Work Calendar'!$B$17,"No data yet",IF(AND(F193&gt;='Work Calendar'!$B$14,D193+E193+G193&gt;0),"Day off - but worked",IF(F193&gt;='Work Calendar'!$B$14,"Day off",IF(D193+E193+G193&gt;0,IF($C193="Working","Charged","Worked weekend"),IF($C193="Working","Leave (not charged)",$C193)))))))</f>
        <v>Charged</v>
      </c>
      <c r="L193" s="341">
        <f>IF($A193="","",SUMIFS('Timesheet Raw'!$P$4:$P$8000,'Timesheet Raw'!$L$4:$L$8000,$A193,'Timesheet Raw'!$C$4:$C$8000,L$3,'Timesheet Raw'!$A$4:$A$8000,"1-Projects"))</f>
        <v>8.75</v>
      </c>
      <c r="M193" s="341">
        <f>IF($A193="","",SUMIFS('Timesheet Raw'!$P$4:$P$8000,'Timesheet Raw'!$L$4:$L$8000,$A193,'Timesheet Raw'!$C$4:$C$8000,L$3,'Timesheet Raw'!$A$4:$A$8000,"2-Proposals Chargeable")+SUMIFS('Timesheet Raw'!$P$4:$P$8000,'Timesheet Raw'!$L$4:$L$8000,$A193,'Timesheet Raw'!$C$4:$C$8000,L$3,'Timesheet Raw'!$A$4:$A$8000,"3-Proposals Regular"))</f>
        <v>0</v>
      </c>
      <c r="N193" s="341">
        <f>IF($A193="","",SUMIFS('Timesheet Raw'!$P$4:$P$8000,'Timesheet Raw'!$L$4:$L$8000,$A193,'Timesheet Raw'!$C$4:$C$8000,L$3,'Timesheet Raw'!$B$4:$B$8000,'Work Calendar'!$A$26)+SUMIFS('Timesheet Raw'!$P$4:$P$8000,'Timesheet Raw'!$L$4:$L$8000,$A193,'Timesheet Raw'!$C$4:$C$8000,L$3,'Timesheet Raw'!$B$4:$B$8000,'Work Calendar'!$A$27)+SUMIFS('Timesheet Raw'!$P$4:$P$8000,'Timesheet Raw'!$L$4:$L$8000,$A193,'Timesheet Raw'!$C$4:$C$8000,L$3,'Timesheet Raw'!$B$4:$B$8000,'Work Calendar'!$A$28)+SUMIFS('Timesheet Raw'!$P$4:$P$8000,'Timesheet Raw'!$L$4:$L$8000,$A193,'Timesheet Raw'!$C$4:$C$8000,L$3,'Timesheet Raw'!$B$4:$B$8000,'Work Calendar'!$A$29))</f>
        <v>0.25</v>
      </c>
      <c r="O193" s="341">
        <f t="shared" si="10"/>
        <v>0</v>
      </c>
      <c r="P193" s="395">
        <f>IF($A193="","",SUMIFS('Timesheet Raw'!$K$4:$K$8000,'Timesheet Raw'!$L$4:$L$8000,$A193,'Timesheet Raw'!$C$4:$C$8000,L$3))</f>
        <v>0.5</v>
      </c>
      <c r="Q193" s="345">
        <f>IF($A193="","",SUMIFS('Timesheet Raw'!$P$4:$P$8000,'Timesheet Raw'!$L$4:$L$8000,$A193,'Timesheet Raw'!$C$4:$C$8000,L$3))</f>
        <v>9</v>
      </c>
      <c r="R193" s="375"/>
      <c r="S193" t="str">
        <f>IF($A193="","",IF(R193&lt;&gt;"",R193,IF($A193&gt;'Work Calendar'!$B$17,"No data yet",IF(AND(N193&gt;='Work Calendar'!$B$14,L193+M193+O193&gt;0),"Day off - but worked",IF(N193&gt;='Work Calendar'!$B$14,"Day off",IF(L193+M193+O193&gt;0,IF($C193="Working","Charged","Worked weekend"),IF($C193="Working","Leave (not charged)",$C193)))))))</f>
        <v>Charged</v>
      </c>
      <c r="T193" s="341">
        <f>IF($A193="","",SUMIFS('Timesheet Raw'!$P$4:$P$8000,'Timesheet Raw'!$L$4:$L$8000,$A193,'Timesheet Raw'!$C$4:$C$8000,T$3,'Timesheet Raw'!$A$4:$A$8000,"1-Projects"))</f>
        <v>8.25</v>
      </c>
      <c r="U193" s="341">
        <f>IF($A193="","",SUMIFS('Timesheet Raw'!$P$4:$P$8000,'Timesheet Raw'!$L$4:$L$8000,$A193,'Timesheet Raw'!$C$4:$C$8000,T$3,'Timesheet Raw'!$A$4:$A$8000,"2-Proposals Chargeable")+SUMIFS('Timesheet Raw'!$P$4:$P$8000,'Timesheet Raw'!$L$4:$L$8000,$A193,'Timesheet Raw'!$C$4:$C$8000,T$3,'Timesheet Raw'!$A$4:$A$8000,"3-Proposals Regular"))</f>
        <v>0</v>
      </c>
      <c r="V193" s="341">
        <f>IF($A193="","",SUMIFS('Timesheet Raw'!$P$4:$P$8000,'Timesheet Raw'!$L$4:$L$8000,$A193,'Timesheet Raw'!$C$4:$C$8000,T$3,'Timesheet Raw'!$B$4:$B$8000,'Work Calendar'!$A$26)+SUMIFS('Timesheet Raw'!$P$4:$P$8000,'Timesheet Raw'!$L$4:$L$8000,$A193,'Timesheet Raw'!$C$4:$C$8000,T$3,'Timesheet Raw'!$B$4:$B$8000,'Work Calendar'!$A$27)+SUMIFS('Timesheet Raw'!$P$4:$P$8000,'Timesheet Raw'!$L$4:$L$8000,$A193,'Timesheet Raw'!$C$4:$C$8000,T$3,'Timesheet Raw'!$B$4:$B$8000,'Work Calendar'!$A$28)+SUMIFS('Timesheet Raw'!$P$4:$P$8000,'Timesheet Raw'!$L$4:$L$8000,$A193,'Timesheet Raw'!$C$4:$C$8000,T$3,'Timesheet Raw'!$B$4:$B$8000,'Work Calendar'!$A$29))</f>
        <v>0.25</v>
      </c>
      <c r="W193" s="341">
        <f t="shared" si="11"/>
        <v>0</v>
      </c>
      <c r="X193" s="395">
        <f>IF($A193="","",SUMIFS('Timesheet Raw'!$K$4:$K$8000,'Timesheet Raw'!$L$4:$L$8000,$A193,'Timesheet Raw'!$C$4:$C$8000,T$3))</f>
        <v>0</v>
      </c>
      <c r="Y193" s="345">
        <f>IF($A193="","",SUMIFS('Timesheet Raw'!$P$4:$P$8000,'Timesheet Raw'!$L$4:$L$8000,$A193,'Timesheet Raw'!$C$4:$C$8000,T$3))</f>
        <v>8.5</v>
      </c>
      <c r="Z193" s="375"/>
      <c r="AA193" t="str">
        <f>IF($A193="","",IF(Z193&lt;&gt;"",Z193,IF($A193&gt;'Work Calendar'!$B$17,"No data yet",IF(AND(V193&gt;='Work Calendar'!$B$14,T193+U193+W193&gt;0),"Day off - but worked",IF(V193&gt;='Work Calendar'!$B$14,"Day off",IF(T193+U193+W193&gt;0,IF($C193="Working","Charged","Worked weekend"),IF($C193="Working","Leave (not charged)",$C193)))))))</f>
        <v>Charged</v>
      </c>
    </row>
    <row r="194" spans="1:27" x14ac:dyDescent="0.3">
      <c r="A194" s="371">
        <f>IF($A193="","",IF($A193+1&gt;'Work Calendar'!$B$16,"",$A193+1))</f>
        <v>46212</v>
      </c>
      <c r="B194" t="str">
        <f t="shared" si="8"/>
        <v>Thu</v>
      </c>
      <c r="C194" t="str" cm="1">
        <f t="array" ref="C194">IF($A194="","",IF(COUNTIF('Work Calendar'!$E$6:$E$200,$A194)&gt;0,"Holiday",IF(INDEX('Work Calendar'!$C$6:$C$12,WEEKDAY($A194,1))=1,"Working","Weekend")))</f>
        <v>Working</v>
      </c>
      <c r="D194" s="341">
        <f>IF($A194="","",SUMIFS('Timesheet Raw'!$P$4:$P$8000,'Timesheet Raw'!$L$4:$L$8000,$A194,'Timesheet Raw'!$C$4:$C$8000,D$3,'Timesheet Raw'!$A$4:$A$8000,"1-Projects"))</f>
        <v>0</v>
      </c>
      <c r="E194" s="341">
        <f>IF($A194="","",SUMIFS('Timesheet Raw'!$P$4:$P$8000,'Timesheet Raw'!$L$4:$L$8000,$A194,'Timesheet Raw'!$C$4:$C$8000,D$3,'Timesheet Raw'!$A$4:$A$8000,"2-Proposals Chargeable")+SUMIFS('Timesheet Raw'!$P$4:$P$8000,'Timesheet Raw'!$L$4:$L$8000,$A194,'Timesheet Raw'!$C$4:$C$8000,D$3,'Timesheet Raw'!$A$4:$A$8000,"3-Proposals Regular"))</f>
        <v>0</v>
      </c>
      <c r="F194" s="341">
        <f>IF($A194="","",SUMIFS('Timesheet Raw'!$P$4:$P$8000,'Timesheet Raw'!$L$4:$L$8000,$A194,'Timesheet Raw'!$C$4:$C$8000,D$3,'Timesheet Raw'!$B$4:$B$8000,'Work Calendar'!$A$26)+SUMIFS('Timesheet Raw'!$P$4:$P$8000,'Timesheet Raw'!$L$4:$L$8000,$A194,'Timesheet Raw'!$C$4:$C$8000,D$3,'Timesheet Raw'!$B$4:$B$8000,'Work Calendar'!$A$27)+SUMIFS('Timesheet Raw'!$P$4:$P$8000,'Timesheet Raw'!$L$4:$L$8000,$A194,'Timesheet Raw'!$C$4:$C$8000,D$3,'Timesheet Raw'!$B$4:$B$8000,'Work Calendar'!$A$28)+SUMIFS('Timesheet Raw'!$P$4:$P$8000,'Timesheet Raw'!$L$4:$L$8000,$A194,'Timesheet Raw'!$C$4:$C$8000,D$3,'Timesheet Raw'!$B$4:$B$8000,'Work Calendar'!$A$29))</f>
        <v>8.5</v>
      </c>
      <c r="G194" s="341">
        <f t="shared" si="9"/>
        <v>0</v>
      </c>
      <c r="H194" s="395">
        <f>IF($A194="","",SUMIFS('Timesheet Raw'!$K$4:$K$8000,'Timesheet Raw'!$L$4:$L$8000,$A194,'Timesheet Raw'!$C$4:$C$8000,D$3))</f>
        <v>0</v>
      </c>
      <c r="I194" s="345">
        <f>IF($A194="","",SUMIFS('Timesheet Raw'!$P$4:$P$8000,'Timesheet Raw'!$L$4:$L$8000,$A194,'Timesheet Raw'!$C$4:$C$8000,D$3))</f>
        <v>8.5</v>
      </c>
      <c r="J194" s="375"/>
      <c r="K194" t="str">
        <f>IF($A194="","",IF(J194&lt;&gt;"",J194,IF($A194&gt;'Work Calendar'!$B$17,"No data yet",IF(AND(F194&gt;='Work Calendar'!$B$14,D194+E194+G194&gt;0),"Day off - but worked",IF(F194&gt;='Work Calendar'!$B$14,"Day off",IF(D194+E194+G194&gt;0,IF($C194="Working","Charged","Worked weekend"),IF($C194="Working","Leave (not charged)",$C194)))))))</f>
        <v>Day off</v>
      </c>
      <c r="L194" s="341">
        <f>IF($A194="","",SUMIFS('Timesheet Raw'!$P$4:$P$8000,'Timesheet Raw'!$L$4:$L$8000,$A194,'Timesheet Raw'!$C$4:$C$8000,L$3,'Timesheet Raw'!$A$4:$A$8000,"1-Projects"))</f>
        <v>10.75</v>
      </c>
      <c r="M194" s="341">
        <f>IF($A194="","",SUMIFS('Timesheet Raw'!$P$4:$P$8000,'Timesheet Raw'!$L$4:$L$8000,$A194,'Timesheet Raw'!$C$4:$C$8000,L$3,'Timesheet Raw'!$A$4:$A$8000,"2-Proposals Chargeable")+SUMIFS('Timesheet Raw'!$P$4:$P$8000,'Timesheet Raw'!$L$4:$L$8000,$A194,'Timesheet Raw'!$C$4:$C$8000,L$3,'Timesheet Raw'!$A$4:$A$8000,"3-Proposals Regular"))</f>
        <v>0</v>
      </c>
      <c r="N194" s="341">
        <f>IF($A194="","",SUMIFS('Timesheet Raw'!$P$4:$P$8000,'Timesheet Raw'!$L$4:$L$8000,$A194,'Timesheet Raw'!$C$4:$C$8000,L$3,'Timesheet Raw'!$B$4:$B$8000,'Work Calendar'!$A$26)+SUMIFS('Timesheet Raw'!$P$4:$P$8000,'Timesheet Raw'!$L$4:$L$8000,$A194,'Timesheet Raw'!$C$4:$C$8000,L$3,'Timesheet Raw'!$B$4:$B$8000,'Work Calendar'!$A$27)+SUMIFS('Timesheet Raw'!$P$4:$P$8000,'Timesheet Raw'!$L$4:$L$8000,$A194,'Timesheet Raw'!$C$4:$C$8000,L$3,'Timesheet Raw'!$B$4:$B$8000,'Work Calendar'!$A$28)+SUMIFS('Timesheet Raw'!$P$4:$P$8000,'Timesheet Raw'!$L$4:$L$8000,$A194,'Timesheet Raw'!$C$4:$C$8000,L$3,'Timesheet Raw'!$B$4:$B$8000,'Work Calendar'!$A$29))</f>
        <v>0.25</v>
      </c>
      <c r="O194" s="341">
        <f t="shared" si="10"/>
        <v>0</v>
      </c>
      <c r="P194" s="395">
        <f>IF($A194="","",SUMIFS('Timesheet Raw'!$K$4:$K$8000,'Timesheet Raw'!$L$4:$L$8000,$A194,'Timesheet Raw'!$C$4:$C$8000,L$3))</f>
        <v>2.5</v>
      </c>
      <c r="Q194" s="345">
        <f>IF($A194="","",SUMIFS('Timesheet Raw'!$P$4:$P$8000,'Timesheet Raw'!$L$4:$L$8000,$A194,'Timesheet Raw'!$C$4:$C$8000,L$3))</f>
        <v>11</v>
      </c>
      <c r="R194" s="375"/>
      <c r="S194" t="str">
        <f>IF($A194="","",IF(R194&lt;&gt;"",R194,IF($A194&gt;'Work Calendar'!$B$17,"No data yet",IF(AND(N194&gt;='Work Calendar'!$B$14,L194+M194+O194&gt;0),"Day off - but worked",IF(N194&gt;='Work Calendar'!$B$14,"Day off",IF(L194+M194+O194&gt;0,IF($C194="Working","Charged","Worked weekend"),IF($C194="Working","Leave (not charged)",$C194)))))))</f>
        <v>Charged</v>
      </c>
      <c r="T194" s="341">
        <f>IF($A194="","",SUMIFS('Timesheet Raw'!$P$4:$P$8000,'Timesheet Raw'!$L$4:$L$8000,$A194,'Timesheet Raw'!$C$4:$C$8000,T$3,'Timesheet Raw'!$A$4:$A$8000,"1-Projects"))</f>
        <v>9.5</v>
      </c>
      <c r="U194" s="341">
        <f>IF($A194="","",SUMIFS('Timesheet Raw'!$P$4:$P$8000,'Timesheet Raw'!$L$4:$L$8000,$A194,'Timesheet Raw'!$C$4:$C$8000,T$3,'Timesheet Raw'!$A$4:$A$8000,"2-Proposals Chargeable")+SUMIFS('Timesheet Raw'!$P$4:$P$8000,'Timesheet Raw'!$L$4:$L$8000,$A194,'Timesheet Raw'!$C$4:$C$8000,T$3,'Timesheet Raw'!$A$4:$A$8000,"3-Proposals Regular"))</f>
        <v>0</v>
      </c>
      <c r="V194" s="341">
        <f>IF($A194="","",SUMIFS('Timesheet Raw'!$P$4:$P$8000,'Timesheet Raw'!$L$4:$L$8000,$A194,'Timesheet Raw'!$C$4:$C$8000,T$3,'Timesheet Raw'!$B$4:$B$8000,'Work Calendar'!$A$26)+SUMIFS('Timesheet Raw'!$P$4:$P$8000,'Timesheet Raw'!$L$4:$L$8000,$A194,'Timesheet Raw'!$C$4:$C$8000,T$3,'Timesheet Raw'!$B$4:$B$8000,'Work Calendar'!$A$27)+SUMIFS('Timesheet Raw'!$P$4:$P$8000,'Timesheet Raw'!$L$4:$L$8000,$A194,'Timesheet Raw'!$C$4:$C$8000,T$3,'Timesheet Raw'!$B$4:$B$8000,'Work Calendar'!$A$28)+SUMIFS('Timesheet Raw'!$P$4:$P$8000,'Timesheet Raw'!$L$4:$L$8000,$A194,'Timesheet Raw'!$C$4:$C$8000,T$3,'Timesheet Raw'!$B$4:$B$8000,'Work Calendar'!$A$29))</f>
        <v>1.25</v>
      </c>
      <c r="W194" s="341">
        <f t="shared" si="11"/>
        <v>0</v>
      </c>
      <c r="X194" s="395">
        <f>IF($A194="","",SUMIFS('Timesheet Raw'!$K$4:$K$8000,'Timesheet Raw'!$L$4:$L$8000,$A194,'Timesheet Raw'!$C$4:$C$8000,T$3))</f>
        <v>2.25</v>
      </c>
      <c r="Y194" s="345">
        <f>IF($A194="","",SUMIFS('Timesheet Raw'!$P$4:$P$8000,'Timesheet Raw'!$L$4:$L$8000,$A194,'Timesheet Raw'!$C$4:$C$8000,T$3))</f>
        <v>10.75</v>
      </c>
      <c r="Z194" s="375"/>
      <c r="AA194" t="str">
        <f>IF($A194="","",IF(Z194&lt;&gt;"",Z194,IF($A194&gt;'Work Calendar'!$B$17,"No data yet",IF(AND(V194&gt;='Work Calendar'!$B$14,T194+U194+W194&gt;0),"Day off - but worked",IF(V194&gt;='Work Calendar'!$B$14,"Day off",IF(T194+U194+W194&gt;0,IF($C194="Working","Charged","Worked weekend"),IF($C194="Working","Leave (not charged)",$C194)))))))</f>
        <v>Charged</v>
      </c>
    </row>
    <row r="195" spans="1:27" x14ac:dyDescent="0.3">
      <c r="A195" s="371">
        <f>IF($A194="","",IF($A194+1&gt;'Work Calendar'!$B$16,"",$A194+1))</f>
        <v>46213</v>
      </c>
      <c r="B195" t="str">
        <f t="shared" si="8"/>
        <v>Fri</v>
      </c>
      <c r="C195" t="str" cm="1">
        <f t="array" ref="C195">IF($A195="","",IF(COUNTIF('Work Calendar'!$E$6:$E$200,$A195)&gt;0,"Holiday",IF(INDEX('Work Calendar'!$C$6:$C$12,WEEKDAY($A195,1))=1,"Working","Weekend")))</f>
        <v>Weekend</v>
      </c>
      <c r="D195" s="341">
        <f>IF($A195="","",SUMIFS('Timesheet Raw'!$P$4:$P$8000,'Timesheet Raw'!$L$4:$L$8000,$A195,'Timesheet Raw'!$C$4:$C$8000,D$3,'Timesheet Raw'!$A$4:$A$8000,"1-Projects"))</f>
        <v>0</v>
      </c>
      <c r="E195" s="341">
        <f>IF($A195="","",SUMIFS('Timesheet Raw'!$P$4:$P$8000,'Timesheet Raw'!$L$4:$L$8000,$A195,'Timesheet Raw'!$C$4:$C$8000,D$3,'Timesheet Raw'!$A$4:$A$8000,"2-Proposals Chargeable")+SUMIFS('Timesheet Raw'!$P$4:$P$8000,'Timesheet Raw'!$L$4:$L$8000,$A195,'Timesheet Raw'!$C$4:$C$8000,D$3,'Timesheet Raw'!$A$4:$A$8000,"3-Proposals Regular"))</f>
        <v>0</v>
      </c>
      <c r="F195" s="341">
        <f>IF($A195="","",SUMIFS('Timesheet Raw'!$P$4:$P$8000,'Timesheet Raw'!$L$4:$L$8000,$A195,'Timesheet Raw'!$C$4:$C$8000,D$3,'Timesheet Raw'!$B$4:$B$8000,'Work Calendar'!$A$26)+SUMIFS('Timesheet Raw'!$P$4:$P$8000,'Timesheet Raw'!$L$4:$L$8000,$A195,'Timesheet Raw'!$C$4:$C$8000,D$3,'Timesheet Raw'!$B$4:$B$8000,'Work Calendar'!$A$27)+SUMIFS('Timesheet Raw'!$P$4:$P$8000,'Timesheet Raw'!$L$4:$L$8000,$A195,'Timesheet Raw'!$C$4:$C$8000,D$3,'Timesheet Raw'!$B$4:$B$8000,'Work Calendar'!$A$28)+SUMIFS('Timesheet Raw'!$P$4:$P$8000,'Timesheet Raw'!$L$4:$L$8000,$A195,'Timesheet Raw'!$C$4:$C$8000,D$3,'Timesheet Raw'!$B$4:$B$8000,'Work Calendar'!$A$29))</f>
        <v>0</v>
      </c>
      <c r="G195" s="341">
        <f t="shared" si="9"/>
        <v>0</v>
      </c>
      <c r="H195" s="395">
        <f>IF($A195="","",SUMIFS('Timesheet Raw'!$K$4:$K$8000,'Timesheet Raw'!$L$4:$L$8000,$A195,'Timesheet Raw'!$C$4:$C$8000,D$3))</f>
        <v>0</v>
      </c>
      <c r="I195" s="345">
        <f>IF($A195="","",SUMIFS('Timesheet Raw'!$P$4:$P$8000,'Timesheet Raw'!$L$4:$L$8000,$A195,'Timesheet Raw'!$C$4:$C$8000,D$3))</f>
        <v>0</v>
      </c>
      <c r="J195" s="375"/>
      <c r="K195" t="str">
        <f>IF($A195="","",IF(J195&lt;&gt;"",J195,IF($A195&gt;'Work Calendar'!$B$17,"No data yet",IF(AND(F195&gt;='Work Calendar'!$B$14,D195+E195+G195&gt;0),"Day off - but worked",IF(F195&gt;='Work Calendar'!$B$14,"Day off",IF(D195+E195+G195&gt;0,IF($C195="Working","Charged","Worked weekend"),IF($C195="Working","Leave (not charged)",$C195)))))))</f>
        <v>Weekend</v>
      </c>
      <c r="L195" s="341">
        <f>IF($A195="","",SUMIFS('Timesheet Raw'!$P$4:$P$8000,'Timesheet Raw'!$L$4:$L$8000,$A195,'Timesheet Raw'!$C$4:$C$8000,L$3,'Timesheet Raw'!$A$4:$A$8000,"1-Projects"))</f>
        <v>0</v>
      </c>
      <c r="M195" s="341">
        <f>IF($A195="","",SUMIFS('Timesheet Raw'!$P$4:$P$8000,'Timesheet Raw'!$L$4:$L$8000,$A195,'Timesheet Raw'!$C$4:$C$8000,L$3,'Timesheet Raw'!$A$4:$A$8000,"2-Proposals Chargeable")+SUMIFS('Timesheet Raw'!$P$4:$P$8000,'Timesheet Raw'!$L$4:$L$8000,$A195,'Timesheet Raw'!$C$4:$C$8000,L$3,'Timesheet Raw'!$A$4:$A$8000,"3-Proposals Regular"))</f>
        <v>0</v>
      </c>
      <c r="N195" s="341">
        <f>IF($A195="","",SUMIFS('Timesheet Raw'!$P$4:$P$8000,'Timesheet Raw'!$L$4:$L$8000,$A195,'Timesheet Raw'!$C$4:$C$8000,L$3,'Timesheet Raw'!$B$4:$B$8000,'Work Calendar'!$A$26)+SUMIFS('Timesheet Raw'!$P$4:$P$8000,'Timesheet Raw'!$L$4:$L$8000,$A195,'Timesheet Raw'!$C$4:$C$8000,L$3,'Timesheet Raw'!$B$4:$B$8000,'Work Calendar'!$A$27)+SUMIFS('Timesheet Raw'!$P$4:$P$8000,'Timesheet Raw'!$L$4:$L$8000,$A195,'Timesheet Raw'!$C$4:$C$8000,L$3,'Timesheet Raw'!$B$4:$B$8000,'Work Calendar'!$A$28)+SUMIFS('Timesheet Raw'!$P$4:$P$8000,'Timesheet Raw'!$L$4:$L$8000,$A195,'Timesheet Raw'!$C$4:$C$8000,L$3,'Timesheet Raw'!$B$4:$B$8000,'Work Calendar'!$A$29))</f>
        <v>0</v>
      </c>
      <c r="O195" s="341">
        <f t="shared" si="10"/>
        <v>0</v>
      </c>
      <c r="P195" s="395">
        <f>IF($A195="","",SUMIFS('Timesheet Raw'!$K$4:$K$8000,'Timesheet Raw'!$L$4:$L$8000,$A195,'Timesheet Raw'!$C$4:$C$8000,L$3))</f>
        <v>0</v>
      </c>
      <c r="Q195" s="345">
        <f>IF($A195="","",SUMIFS('Timesheet Raw'!$P$4:$P$8000,'Timesheet Raw'!$L$4:$L$8000,$A195,'Timesheet Raw'!$C$4:$C$8000,L$3))</f>
        <v>0</v>
      </c>
      <c r="R195" s="375"/>
      <c r="S195" t="str">
        <f>IF($A195="","",IF(R195&lt;&gt;"",R195,IF($A195&gt;'Work Calendar'!$B$17,"No data yet",IF(AND(N195&gt;='Work Calendar'!$B$14,L195+M195+O195&gt;0),"Day off - but worked",IF(N195&gt;='Work Calendar'!$B$14,"Day off",IF(L195+M195+O195&gt;0,IF($C195="Working","Charged","Worked weekend"),IF($C195="Working","Leave (not charged)",$C195)))))))</f>
        <v>Weekend</v>
      </c>
      <c r="T195" s="341">
        <f>IF($A195="","",SUMIFS('Timesheet Raw'!$P$4:$P$8000,'Timesheet Raw'!$L$4:$L$8000,$A195,'Timesheet Raw'!$C$4:$C$8000,T$3,'Timesheet Raw'!$A$4:$A$8000,"1-Projects"))</f>
        <v>0</v>
      </c>
      <c r="U195" s="341">
        <f>IF($A195="","",SUMIFS('Timesheet Raw'!$P$4:$P$8000,'Timesheet Raw'!$L$4:$L$8000,$A195,'Timesheet Raw'!$C$4:$C$8000,T$3,'Timesheet Raw'!$A$4:$A$8000,"2-Proposals Chargeable")+SUMIFS('Timesheet Raw'!$P$4:$P$8000,'Timesheet Raw'!$L$4:$L$8000,$A195,'Timesheet Raw'!$C$4:$C$8000,T$3,'Timesheet Raw'!$A$4:$A$8000,"3-Proposals Regular"))</f>
        <v>0</v>
      </c>
      <c r="V195" s="341">
        <f>IF($A195="","",SUMIFS('Timesheet Raw'!$P$4:$P$8000,'Timesheet Raw'!$L$4:$L$8000,$A195,'Timesheet Raw'!$C$4:$C$8000,T$3,'Timesheet Raw'!$B$4:$B$8000,'Work Calendar'!$A$26)+SUMIFS('Timesheet Raw'!$P$4:$P$8000,'Timesheet Raw'!$L$4:$L$8000,$A195,'Timesheet Raw'!$C$4:$C$8000,T$3,'Timesheet Raw'!$B$4:$B$8000,'Work Calendar'!$A$27)+SUMIFS('Timesheet Raw'!$P$4:$P$8000,'Timesheet Raw'!$L$4:$L$8000,$A195,'Timesheet Raw'!$C$4:$C$8000,T$3,'Timesheet Raw'!$B$4:$B$8000,'Work Calendar'!$A$28)+SUMIFS('Timesheet Raw'!$P$4:$P$8000,'Timesheet Raw'!$L$4:$L$8000,$A195,'Timesheet Raw'!$C$4:$C$8000,T$3,'Timesheet Raw'!$B$4:$B$8000,'Work Calendar'!$A$29))</f>
        <v>0</v>
      </c>
      <c r="W195" s="341">
        <f t="shared" si="11"/>
        <v>0</v>
      </c>
      <c r="X195" s="395">
        <f>IF($A195="","",SUMIFS('Timesheet Raw'!$K$4:$K$8000,'Timesheet Raw'!$L$4:$L$8000,$A195,'Timesheet Raw'!$C$4:$C$8000,T$3))</f>
        <v>0</v>
      </c>
      <c r="Y195" s="345">
        <f>IF($A195="","",SUMIFS('Timesheet Raw'!$P$4:$P$8000,'Timesheet Raw'!$L$4:$L$8000,$A195,'Timesheet Raw'!$C$4:$C$8000,T$3))</f>
        <v>0</v>
      </c>
      <c r="Z195" s="375"/>
      <c r="AA195" t="str">
        <f>IF($A195="","",IF(Z195&lt;&gt;"",Z195,IF($A195&gt;'Work Calendar'!$B$17,"No data yet",IF(AND(V195&gt;='Work Calendar'!$B$14,T195+U195+W195&gt;0),"Day off - but worked",IF(V195&gt;='Work Calendar'!$B$14,"Day off",IF(T195+U195+W195&gt;0,IF($C195="Working","Charged","Worked weekend"),IF($C195="Working","Leave (not charged)",$C195)))))))</f>
        <v>Weekend</v>
      </c>
    </row>
    <row r="196" spans="1:27" x14ac:dyDescent="0.3">
      <c r="A196" s="371">
        <f>IF($A195="","",IF($A195+1&gt;'Work Calendar'!$B$16,"",$A195+1))</f>
        <v>46214</v>
      </c>
      <c r="B196" t="str">
        <f t="shared" si="8"/>
        <v>Sat</v>
      </c>
      <c r="C196" t="str" cm="1">
        <f t="array" ref="C196">IF($A196="","",IF(COUNTIF('Work Calendar'!$E$6:$E$200,$A196)&gt;0,"Holiday",IF(INDEX('Work Calendar'!$C$6:$C$12,WEEKDAY($A196,1))=1,"Working","Weekend")))</f>
        <v>Weekend</v>
      </c>
      <c r="D196" s="341">
        <f>IF($A196="","",SUMIFS('Timesheet Raw'!$P$4:$P$8000,'Timesheet Raw'!$L$4:$L$8000,$A196,'Timesheet Raw'!$C$4:$C$8000,D$3,'Timesheet Raw'!$A$4:$A$8000,"1-Projects"))</f>
        <v>0</v>
      </c>
      <c r="E196" s="341">
        <f>IF($A196="","",SUMIFS('Timesheet Raw'!$P$4:$P$8000,'Timesheet Raw'!$L$4:$L$8000,$A196,'Timesheet Raw'!$C$4:$C$8000,D$3,'Timesheet Raw'!$A$4:$A$8000,"2-Proposals Chargeable")+SUMIFS('Timesheet Raw'!$P$4:$P$8000,'Timesheet Raw'!$L$4:$L$8000,$A196,'Timesheet Raw'!$C$4:$C$8000,D$3,'Timesheet Raw'!$A$4:$A$8000,"3-Proposals Regular"))</f>
        <v>0</v>
      </c>
      <c r="F196" s="341">
        <f>IF($A196="","",SUMIFS('Timesheet Raw'!$P$4:$P$8000,'Timesheet Raw'!$L$4:$L$8000,$A196,'Timesheet Raw'!$C$4:$C$8000,D$3,'Timesheet Raw'!$B$4:$B$8000,'Work Calendar'!$A$26)+SUMIFS('Timesheet Raw'!$P$4:$P$8000,'Timesheet Raw'!$L$4:$L$8000,$A196,'Timesheet Raw'!$C$4:$C$8000,D$3,'Timesheet Raw'!$B$4:$B$8000,'Work Calendar'!$A$27)+SUMIFS('Timesheet Raw'!$P$4:$P$8000,'Timesheet Raw'!$L$4:$L$8000,$A196,'Timesheet Raw'!$C$4:$C$8000,D$3,'Timesheet Raw'!$B$4:$B$8000,'Work Calendar'!$A$28)+SUMIFS('Timesheet Raw'!$P$4:$P$8000,'Timesheet Raw'!$L$4:$L$8000,$A196,'Timesheet Raw'!$C$4:$C$8000,D$3,'Timesheet Raw'!$B$4:$B$8000,'Work Calendar'!$A$29))</f>
        <v>0</v>
      </c>
      <c r="G196" s="341">
        <f t="shared" si="9"/>
        <v>0</v>
      </c>
      <c r="H196" s="395">
        <f>IF($A196="","",SUMIFS('Timesheet Raw'!$K$4:$K$8000,'Timesheet Raw'!$L$4:$L$8000,$A196,'Timesheet Raw'!$C$4:$C$8000,D$3))</f>
        <v>0</v>
      </c>
      <c r="I196" s="345">
        <f>IF($A196="","",SUMIFS('Timesheet Raw'!$P$4:$P$8000,'Timesheet Raw'!$L$4:$L$8000,$A196,'Timesheet Raw'!$C$4:$C$8000,D$3))</f>
        <v>0</v>
      </c>
      <c r="J196" s="375"/>
      <c r="K196" t="str">
        <f>IF($A196="","",IF(J196&lt;&gt;"",J196,IF($A196&gt;'Work Calendar'!$B$17,"No data yet",IF(AND(F196&gt;='Work Calendar'!$B$14,D196+E196+G196&gt;0),"Day off - but worked",IF(F196&gt;='Work Calendar'!$B$14,"Day off",IF(D196+E196+G196&gt;0,IF($C196="Working","Charged","Worked weekend"),IF($C196="Working","Leave (not charged)",$C196)))))))</f>
        <v>Weekend</v>
      </c>
      <c r="L196" s="341">
        <f>IF($A196="","",SUMIFS('Timesheet Raw'!$P$4:$P$8000,'Timesheet Raw'!$L$4:$L$8000,$A196,'Timesheet Raw'!$C$4:$C$8000,L$3,'Timesheet Raw'!$A$4:$A$8000,"1-Projects"))</f>
        <v>0</v>
      </c>
      <c r="M196" s="341">
        <f>IF($A196="","",SUMIFS('Timesheet Raw'!$P$4:$P$8000,'Timesheet Raw'!$L$4:$L$8000,$A196,'Timesheet Raw'!$C$4:$C$8000,L$3,'Timesheet Raw'!$A$4:$A$8000,"2-Proposals Chargeable")+SUMIFS('Timesheet Raw'!$P$4:$P$8000,'Timesheet Raw'!$L$4:$L$8000,$A196,'Timesheet Raw'!$C$4:$C$8000,L$3,'Timesheet Raw'!$A$4:$A$8000,"3-Proposals Regular"))</f>
        <v>0</v>
      </c>
      <c r="N196" s="341">
        <f>IF($A196="","",SUMIFS('Timesheet Raw'!$P$4:$P$8000,'Timesheet Raw'!$L$4:$L$8000,$A196,'Timesheet Raw'!$C$4:$C$8000,L$3,'Timesheet Raw'!$B$4:$B$8000,'Work Calendar'!$A$26)+SUMIFS('Timesheet Raw'!$P$4:$P$8000,'Timesheet Raw'!$L$4:$L$8000,$A196,'Timesheet Raw'!$C$4:$C$8000,L$3,'Timesheet Raw'!$B$4:$B$8000,'Work Calendar'!$A$27)+SUMIFS('Timesheet Raw'!$P$4:$P$8000,'Timesheet Raw'!$L$4:$L$8000,$A196,'Timesheet Raw'!$C$4:$C$8000,L$3,'Timesheet Raw'!$B$4:$B$8000,'Work Calendar'!$A$28)+SUMIFS('Timesheet Raw'!$P$4:$P$8000,'Timesheet Raw'!$L$4:$L$8000,$A196,'Timesheet Raw'!$C$4:$C$8000,L$3,'Timesheet Raw'!$B$4:$B$8000,'Work Calendar'!$A$29))</f>
        <v>0</v>
      </c>
      <c r="O196" s="341">
        <f t="shared" si="10"/>
        <v>0</v>
      </c>
      <c r="P196" s="395">
        <f>IF($A196="","",SUMIFS('Timesheet Raw'!$K$4:$K$8000,'Timesheet Raw'!$L$4:$L$8000,$A196,'Timesheet Raw'!$C$4:$C$8000,L$3))</f>
        <v>0</v>
      </c>
      <c r="Q196" s="345">
        <f>IF($A196="","",SUMIFS('Timesheet Raw'!$P$4:$P$8000,'Timesheet Raw'!$L$4:$L$8000,$A196,'Timesheet Raw'!$C$4:$C$8000,L$3))</f>
        <v>0</v>
      </c>
      <c r="R196" s="375"/>
      <c r="S196" t="str">
        <f>IF($A196="","",IF(R196&lt;&gt;"",R196,IF($A196&gt;'Work Calendar'!$B$17,"No data yet",IF(AND(N196&gt;='Work Calendar'!$B$14,L196+M196+O196&gt;0),"Day off - but worked",IF(N196&gt;='Work Calendar'!$B$14,"Day off",IF(L196+M196+O196&gt;0,IF($C196="Working","Charged","Worked weekend"),IF($C196="Working","Leave (not charged)",$C196)))))))</f>
        <v>Weekend</v>
      </c>
      <c r="T196" s="341">
        <f>IF($A196="","",SUMIFS('Timesheet Raw'!$P$4:$P$8000,'Timesheet Raw'!$L$4:$L$8000,$A196,'Timesheet Raw'!$C$4:$C$8000,T$3,'Timesheet Raw'!$A$4:$A$8000,"1-Projects"))</f>
        <v>0</v>
      </c>
      <c r="U196" s="341">
        <f>IF($A196="","",SUMIFS('Timesheet Raw'!$P$4:$P$8000,'Timesheet Raw'!$L$4:$L$8000,$A196,'Timesheet Raw'!$C$4:$C$8000,T$3,'Timesheet Raw'!$A$4:$A$8000,"2-Proposals Chargeable")+SUMIFS('Timesheet Raw'!$P$4:$P$8000,'Timesheet Raw'!$L$4:$L$8000,$A196,'Timesheet Raw'!$C$4:$C$8000,T$3,'Timesheet Raw'!$A$4:$A$8000,"3-Proposals Regular"))</f>
        <v>0</v>
      </c>
      <c r="V196" s="341">
        <f>IF($A196="","",SUMIFS('Timesheet Raw'!$P$4:$P$8000,'Timesheet Raw'!$L$4:$L$8000,$A196,'Timesheet Raw'!$C$4:$C$8000,T$3,'Timesheet Raw'!$B$4:$B$8000,'Work Calendar'!$A$26)+SUMIFS('Timesheet Raw'!$P$4:$P$8000,'Timesheet Raw'!$L$4:$L$8000,$A196,'Timesheet Raw'!$C$4:$C$8000,T$3,'Timesheet Raw'!$B$4:$B$8000,'Work Calendar'!$A$27)+SUMIFS('Timesheet Raw'!$P$4:$P$8000,'Timesheet Raw'!$L$4:$L$8000,$A196,'Timesheet Raw'!$C$4:$C$8000,T$3,'Timesheet Raw'!$B$4:$B$8000,'Work Calendar'!$A$28)+SUMIFS('Timesheet Raw'!$P$4:$P$8000,'Timesheet Raw'!$L$4:$L$8000,$A196,'Timesheet Raw'!$C$4:$C$8000,T$3,'Timesheet Raw'!$B$4:$B$8000,'Work Calendar'!$A$29))</f>
        <v>0</v>
      </c>
      <c r="W196" s="341">
        <f t="shared" si="11"/>
        <v>0</v>
      </c>
      <c r="X196" s="395">
        <f>IF($A196="","",SUMIFS('Timesheet Raw'!$K$4:$K$8000,'Timesheet Raw'!$L$4:$L$8000,$A196,'Timesheet Raw'!$C$4:$C$8000,T$3))</f>
        <v>0</v>
      </c>
      <c r="Y196" s="345">
        <f>IF($A196="","",SUMIFS('Timesheet Raw'!$P$4:$P$8000,'Timesheet Raw'!$L$4:$L$8000,$A196,'Timesheet Raw'!$C$4:$C$8000,T$3))</f>
        <v>0</v>
      </c>
      <c r="Z196" s="375"/>
      <c r="AA196" t="str">
        <f>IF($A196="","",IF(Z196&lt;&gt;"",Z196,IF($A196&gt;'Work Calendar'!$B$17,"No data yet",IF(AND(V196&gt;='Work Calendar'!$B$14,T196+U196+W196&gt;0),"Day off - but worked",IF(V196&gt;='Work Calendar'!$B$14,"Day off",IF(T196+U196+W196&gt;0,IF($C196="Working","Charged","Worked weekend"),IF($C196="Working","Leave (not charged)",$C196)))))))</f>
        <v>Weekend</v>
      </c>
    </row>
    <row r="197" spans="1:27" x14ac:dyDescent="0.3">
      <c r="A197" s="371">
        <f>IF($A196="","",IF($A196+1&gt;'Work Calendar'!$B$16,"",$A196+1))</f>
        <v>46215</v>
      </c>
      <c r="B197" t="str">
        <f t="shared" si="8"/>
        <v>Sun</v>
      </c>
      <c r="C197" t="str" cm="1">
        <f t="array" ref="C197">IF($A197="","",IF(COUNTIF('Work Calendar'!$E$6:$E$200,$A197)&gt;0,"Holiday",IF(INDEX('Work Calendar'!$C$6:$C$12,WEEKDAY($A197,1))=1,"Working","Weekend")))</f>
        <v>Working</v>
      </c>
      <c r="D197" s="341">
        <f>IF($A197="","",SUMIFS('Timesheet Raw'!$P$4:$P$8000,'Timesheet Raw'!$L$4:$L$8000,$A197,'Timesheet Raw'!$C$4:$C$8000,D$3,'Timesheet Raw'!$A$4:$A$8000,"1-Projects"))</f>
        <v>6.5</v>
      </c>
      <c r="E197" s="341">
        <f>IF($A197="","",SUMIFS('Timesheet Raw'!$P$4:$P$8000,'Timesheet Raw'!$L$4:$L$8000,$A197,'Timesheet Raw'!$C$4:$C$8000,D$3,'Timesheet Raw'!$A$4:$A$8000,"2-Proposals Chargeable")+SUMIFS('Timesheet Raw'!$P$4:$P$8000,'Timesheet Raw'!$L$4:$L$8000,$A197,'Timesheet Raw'!$C$4:$C$8000,D$3,'Timesheet Raw'!$A$4:$A$8000,"3-Proposals Regular"))</f>
        <v>0</v>
      </c>
      <c r="F197" s="341">
        <f>IF($A197="","",SUMIFS('Timesheet Raw'!$P$4:$P$8000,'Timesheet Raw'!$L$4:$L$8000,$A197,'Timesheet Raw'!$C$4:$C$8000,D$3,'Timesheet Raw'!$B$4:$B$8000,'Work Calendar'!$A$26)+SUMIFS('Timesheet Raw'!$P$4:$P$8000,'Timesheet Raw'!$L$4:$L$8000,$A197,'Timesheet Raw'!$C$4:$C$8000,D$3,'Timesheet Raw'!$B$4:$B$8000,'Work Calendar'!$A$27)+SUMIFS('Timesheet Raw'!$P$4:$P$8000,'Timesheet Raw'!$L$4:$L$8000,$A197,'Timesheet Raw'!$C$4:$C$8000,D$3,'Timesheet Raw'!$B$4:$B$8000,'Work Calendar'!$A$28)+SUMIFS('Timesheet Raw'!$P$4:$P$8000,'Timesheet Raw'!$L$4:$L$8000,$A197,'Timesheet Raw'!$C$4:$C$8000,D$3,'Timesheet Raw'!$B$4:$B$8000,'Work Calendar'!$A$29))</f>
        <v>2</v>
      </c>
      <c r="G197" s="341">
        <f t="shared" si="9"/>
        <v>0</v>
      </c>
      <c r="H197" s="395">
        <f>IF($A197="","",SUMIFS('Timesheet Raw'!$K$4:$K$8000,'Timesheet Raw'!$L$4:$L$8000,$A197,'Timesheet Raw'!$C$4:$C$8000,D$3))</f>
        <v>0</v>
      </c>
      <c r="I197" s="345">
        <f>IF($A197="","",SUMIFS('Timesheet Raw'!$P$4:$P$8000,'Timesheet Raw'!$L$4:$L$8000,$A197,'Timesheet Raw'!$C$4:$C$8000,D$3))</f>
        <v>8.5</v>
      </c>
      <c r="J197" s="375"/>
      <c r="K197" t="str">
        <f>IF($A197="","",IF(J197&lt;&gt;"",J197,IF($A197&gt;'Work Calendar'!$B$17,"No data yet",IF(AND(F197&gt;='Work Calendar'!$B$14,D197+E197+G197&gt;0),"Day off - but worked",IF(F197&gt;='Work Calendar'!$B$14,"Day off",IF(D197+E197+G197&gt;0,IF($C197="Working","Charged","Worked weekend"),IF($C197="Working","Leave (not charged)",$C197)))))))</f>
        <v>Charged</v>
      </c>
      <c r="L197" s="341">
        <f>IF($A197="","",SUMIFS('Timesheet Raw'!$P$4:$P$8000,'Timesheet Raw'!$L$4:$L$8000,$A197,'Timesheet Raw'!$C$4:$C$8000,L$3,'Timesheet Raw'!$A$4:$A$8000,"1-Projects"))</f>
        <v>9</v>
      </c>
      <c r="M197" s="341">
        <f>IF($A197="","",SUMIFS('Timesheet Raw'!$P$4:$P$8000,'Timesheet Raw'!$L$4:$L$8000,$A197,'Timesheet Raw'!$C$4:$C$8000,L$3,'Timesheet Raw'!$A$4:$A$8000,"2-Proposals Chargeable")+SUMIFS('Timesheet Raw'!$P$4:$P$8000,'Timesheet Raw'!$L$4:$L$8000,$A197,'Timesheet Raw'!$C$4:$C$8000,L$3,'Timesheet Raw'!$A$4:$A$8000,"3-Proposals Regular"))</f>
        <v>0</v>
      </c>
      <c r="N197" s="341">
        <f>IF($A197="","",SUMIFS('Timesheet Raw'!$P$4:$P$8000,'Timesheet Raw'!$L$4:$L$8000,$A197,'Timesheet Raw'!$C$4:$C$8000,L$3,'Timesheet Raw'!$B$4:$B$8000,'Work Calendar'!$A$26)+SUMIFS('Timesheet Raw'!$P$4:$P$8000,'Timesheet Raw'!$L$4:$L$8000,$A197,'Timesheet Raw'!$C$4:$C$8000,L$3,'Timesheet Raw'!$B$4:$B$8000,'Work Calendar'!$A$27)+SUMIFS('Timesheet Raw'!$P$4:$P$8000,'Timesheet Raw'!$L$4:$L$8000,$A197,'Timesheet Raw'!$C$4:$C$8000,L$3,'Timesheet Raw'!$B$4:$B$8000,'Work Calendar'!$A$28)+SUMIFS('Timesheet Raw'!$P$4:$P$8000,'Timesheet Raw'!$L$4:$L$8000,$A197,'Timesheet Raw'!$C$4:$C$8000,L$3,'Timesheet Raw'!$B$4:$B$8000,'Work Calendar'!$A$29))</f>
        <v>0</v>
      </c>
      <c r="O197" s="341">
        <f t="shared" si="10"/>
        <v>0</v>
      </c>
      <c r="P197" s="395">
        <f>IF($A197="","",SUMIFS('Timesheet Raw'!$K$4:$K$8000,'Timesheet Raw'!$L$4:$L$8000,$A197,'Timesheet Raw'!$C$4:$C$8000,L$3))</f>
        <v>0.5</v>
      </c>
      <c r="Q197" s="345">
        <f>IF($A197="","",SUMIFS('Timesheet Raw'!$P$4:$P$8000,'Timesheet Raw'!$L$4:$L$8000,$A197,'Timesheet Raw'!$C$4:$C$8000,L$3))</f>
        <v>9</v>
      </c>
      <c r="R197" s="375"/>
      <c r="S197" t="str">
        <f>IF($A197="","",IF(R197&lt;&gt;"",R197,IF($A197&gt;'Work Calendar'!$B$17,"No data yet",IF(AND(N197&gt;='Work Calendar'!$B$14,L197+M197+O197&gt;0),"Day off - but worked",IF(N197&gt;='Work Calendar'!$B$14,"Day off",IF(L197+M197+O197&gt;0,IF($C197="Working","Charged","Worked weekend"),IF($C197="Working","Leave (not charged)",$C197)))))))</f>
        <v>Charged</v>
      </c>
      <c r="T197" s="341">
        <f>IF($A197="","",SUMIFS('Timesheet Raw'!$P$4:$P$8000,'Timesheet Raw'!$L$4:$L$8000,$A197,'Timesheet Raw'!$C$4:$C$8000,T$3,'Timesheet Raw'!$A$4:$A$8000,"1-Projects"))</f>
        <v>7.75</v>
      </c>
      <c r="U197" s="341">
        <f>IF($A197="","",SUMIFS('Timesheet Raw'!$P$4:$P$8000,'Timesheet Raw'!$L$4:$L$8000,$A197,'Timesheet Raw'!$C$4:$C$8000,T$3,'Timesheet Raw'!$A$4:$A$8000,"2-Proposals Chargeable")+SUMIFS('Timesheet Raw'!$P$4:$P$8000,'Timesheet Raw'!$L$4:$L$8000,$A197,'Timesheet Raw'!$C$4:$C$8000,T$3,'Timesheet Raw'!$A$4:$A$8000,"3-Proposals Regular"))</f>
        <v>0</v>
      </c>
      <c r="V197" s="341">
        <f>IF($A197="","",SUMIFS('Timesheet Raw'!$P$4:$P$8000,'Timesheet Raw'!$L$4:$L$8000,$A197,'Timesheet Raw'!$C$4:$C$8000,T$3,'Timesheet Raw'!$B$4:$B$8000,'Work Calendar'!$A$26)+SUMIFS('Timesheet Raw'!$P$4:$P$8000,'Timesheet Raw'!$L$4:$L$8000,$A197,'Timesheet Raw'!$C$4:$C$8000,T$3,'Timesheet Raw'!$B$4:$B$8000,'Work Calendar'!$A$27)+SUMIFS('Timesheet Raw'!$P$4:$P$8000,'Timesheet Raw'!$L$4:$L$8000,$A197,'Timesheet Raw'!$C$4:$C$8000,T$3,'Timesheet Raw'!$B$4:$B$8000,'Work Calendar'!$A$28)+SUMIFS('Timesheet Raw'!$P$4:$P$8000,'Timesheet Raw'!$L$4:$L$8000,$A197,'Timesheet Raw'!$C$4:$C$8000,T$3,'Timesheet Raw'!$B$4:$B$8000,'Work Calendar'!$A$29))</f>
        <v>0.75</v>
      </c>
      <c r="W197" s="341">
        <f t="shared" si="11"/>
        <v>0</v>
      </c>
      <c r="X197" s="395">
        <f>IF($A197="","",SUMIFS('Timesheet Raw'!$K$4:$K$8000,'Timesheet Raw'!$L$4:$L$8000,$A197,'Timesheet Raw'!$C$4:$C$8000,T$3))</f>
        <v>0</v>
      </c>
      <c r="Y197" s="345">
        <f>IF($A197="","",SUMIFS('Timesheet Raw'!$P$4:$P$8000,'Timesheet Raw'!$L$4:$L$8000,$A197,'Timesheet Raw'!$C$4:$C$8000,T$3))</f>
        <v>8.5</v>
      </c>
      <c r="Z197" s="375"/>
      <c r="AA197" t="str">
        <f>IF($A197="","",IF(Z197&lt;&gt;"",Z197,IF($A197&gt;'Work Calendar'!$B$17,"No data yet",IF(AND(V197&gt;='Work Calendar'!$B$14,T197+U197+W197&gt;0),"Day off - but worked",IF(V197&gt;='Work Calendar'!$B$14,"Day off",IF(T197+U197+W197&gt;0,IF($C197="Working","Charged","Worked weekend"),IF($C197="Working","Leave (not charged)",$C197)))))))</f>
        <v>Charged</v>
      </c>
    </row>
    <row r="198" spans="1:27" x14ac:dyDescent="0.3">
      <c r="A198" s="371">
        <f>IF($A197="","",IF($A197+1&gt;'Work Calendar'!$B$16,"",$A197+1))</f>
        <v>46216</v>
      </c>
      <c r="B198" t="str">
        <f t="shared" ref="B198:B261" si="12">IF($A198="","",TEXT($A198,"ddd"))</f>
        <v>Mon</v>
      </c>
      <c r="C198" t="str" cm="1">
        <f t="array" ref="C198">IF($A198="","",IF(COUNTIF('Work Calendar'!$E$6:$E$200,$A198)&gt;0,"Holiday",IF(INDEX('Work Calendar'!$C$6:$C$12,WEEKDAY($A198,1))=1,"Working","Weekend")))</f>
        <v>Working</v>
      </c>
      <c r="D198" s="341">
        <f>IF($A198="","",SUMIFS('Timesheet Raw'!$P$4:$P$8000,'Timesheet Raw'!$L$4:$L$8000,$A198,'Timesheet Raw'!$C$4:$C$8000,D$3,'Timesheet Raw'!$A$4:$A$8000,"1-Projects"))</f>
        <v>6</v>
      </c>
      <c r="E198" s="341">
        <f>IF($A198="","",SUMIFS('Timesheet Raw'!$P$4:$P$8000,'Timesheet Raw'!$L$4:$L$8000,$A198,'Timesheet Raw'!$C$4:$C$8000,D$3,'Timesheet Raw'!$A$4:$A$8000,"2-Proposals Chargeable")+SUMIFS('Timesheet Raw'!$P$4:$P$8000,'Timesheet Raw'!$L$4:$L$8000,$A198,'Timesheet Raw'!$C$4:$C$8000,D$3,'Timesheet Raw'!$A$4:$A$8000,"3-Proposals Regular"))</f>
        <v>0</v>
      </c>
      <c r="F198" s="341">
        <f>IF($A198="","",SUMIFS('Timesheet Raw'!$P$4:$P$8000,'Timesheet Raw'!$L$4:$L$8000,$A198,'Timesheet Raw'!$C$4:$C$8000,D$3,'Timesheet Raw'!$B$4:$B$8000,'Work Calendar'!$A$26)+SUMIFS('Timesheet Raw'!$P$4:$P$8000,'Timesheet Raw'!$L$4:$L$8000,$A198,'Timesheet Raw'!$C$4:$C$8000,D$3,'Timesheet Raw'!$B$4:$B$8000,'Work Calendar'!$A$27)+SUMIFS('Timesheet Raw'!$P$4:$P$8000,'Timesheet Raw'!$L$4:$L$8000,$A198,'Timesheet Raw'!$C$4:$C$8000,D$3,'Timesheet Raw'!$B$4:$B$8000,'Work Calendar'!$A$28)+SUMIFS('Timesheet Raw'!$P$4:$P$8000,'Timesheet Raw'!$L$4:$L$8000,$A198,'Timesheet Raw'!$C$4:$C$8000,D$3,'Timesheet Raw'!$B$4:$B$8000,'Work Calendar'!$A$29))</f>
        <v>2.5</v>
      </c>
      <c r="G198" s="341">
        <f t="shared" ref="G198:G261" si="13">IF($A198="","",MAX(0,I198-D198-E198-F198))</f>
        <v>0</v>
      </c>
      <c r="H198" s="395">
        <f>IF($A198="","",SUMIFS('Timesheet Raw'!$K$4:$K$8000,'Timesheet Raw'!$L$4:$L$8000,$A198,'Timesheet Raw'!$C$4:$C$8000,D$3))</f>
        <v>0</v>
      </c>
      <c r="I198" s="345">
        <f>IF($A198="","",SUMIFS('Timesheet Raw'!$P$4:$P$8000,'Timesheet Raw'!$L$4:$L$8000,$A198,'Timesheet Raw'!$C$4:$C$8000,D$3))</f>
        <v>8.5</v>
      </c>
      <c r="J198" s="375"/>
      <c r="K198" t="str">
        <f>IF($A198="","",IF(J198&lt;&gt;"",J198,IF($A198&gt;'Work Calendar'!$B$17,"No data yet",IF(AND(F198&gt;='Work Calendar'!$B$14,D198+E198+G198&gt;0),"Day off - but worked",IF(F198&gt;='Work Calendar'!$B$14,"Day off",IF(D198+E198+G198&gt;0,IF($C198="Working","Charged","Worked weekend"),IF($C198="Working","Leave (not charged)",$C198)))))))</f>
        <v>Charged</v>
      </c>
      <c r="L198" s="341">
        <f>IF($A198="","",SUMIFS('Timesheet Raw'!$P$4:$P$8000,'Timesheet Raw'!$L$4:$L$8000,$A198,'Timesheet Raw'!$C$4:$C$8000,L$3,'Timesheet Raw'!$A$4:$A$8000,"1-Projects"))</f>
        <v>8.5</v>
      </c>
      <c r="M198" s="341">
        <f>IF($A198="","",SUMIFS('Timesheet Raw'!$P$4:$P$8000,'Timesheet Raw'!$L$4:$L$8000,$A198,'Timesheet Raw'!$C$4:$C$8000,L$3,'Timesheet Raw'!$A$4:$A$8000,"2-Proposals Chargeable")+SUMIFS('Timesheet Raw'!$P$4:$P$8000,'Timesheet Raw'!$L$4:$L$8000,$A198,'Timesheet Raw'!$C$4:$C$8000,L$3,'Timesheet Raw'!$A$4:$A$8000,"3-Proposals Regular"))</f>
        <v>0</v>
      </c>
      <c r="N198" s="341">
        <f>IF($A198="","",SUMIFS('Timesheet Raw'!$P$4:$P$8000,'Timesheet Raw'!$L$4:$L$8000,$A198,'Timesheet Raw'!$C$4:$C$8000,L$3,'Timesheet Raw'!$B$4:$B$8000,'Work Calendar'!$A$26)+SUMIFS('Timesheet Raw'!$P$4:$P$8000,'Timesheet Raw'!$L$4:$L$8000,$A198,'Timesheet Raw'!$C$4:$C$8000,L$3,'Timesheet Raw'!$B$4:$B$8000,'Work Calendar'!$A$27)+SUMIFS('Timesheet Raw'!$P$4:$P$8000,'Timesheet Raw'!$L$4:$L$8000,$A198,'Timesheet Raw'!$C$4:$C$8000,L$3,'Timesheet Raw'!$B$4:$B$8000,'Work Calendar'!$A$28)+SUMIFS('Timesheet Raw'!$P$4:$P$8000,'Timesheet Raw'!$L$4:$L$8000,$A198,'Timesheet Raw'!$C$4:$C$8000,L$3,'Timesheet Raw'!$B$4:$B$8000,'Work Calendar'!$A$29))</f>
        <v>0.25</v>
      </c>
      <c r="O198" s="341">
        <f t="shared" ref="O198:O261" si="14">IF($A198="","",MAX(0,Q198-L198-M198-N198))</f>
        <v>0</v>
      </c>
      <c r="P198" s="395">
        <f>IF($A198="","",SUMIFS('Timesheet Raw'!$K$4:$K$8000,'Timesheet Raw'!$L$4:$L$8000,$A198,'Timesheet Raw'!$C$4:$C$8000,L$3))</f>
        <v>0.25</v>
      </c>
      <c r="Q198" s="345">
        <f>IF($A198="","",SUMIFS('Timesheet Raw'!$P$4:$P$8000,'Timesheet Raw'!$L$4:$L$8000,$A198,'Timesheet Raw'!$C$4:$C$8000,L$3))</f>
        <v>8.75</v>
      </c>
      <c r="R198" s="375"/>
      <c r="S198" t="str">
        <f>IF($A198="","",IF(R198&lt;&gt;"",R198,IF($A198&gt;'Work Calendar'!$B$17,"No data yet",IF(AND(N198&gt;='Work Calendar'!$B$14,L198+M198+O198&gt;0),"Day off - but worked",IF(N198&gt;='Work Calendar'!$B$14,"Day off",IF(L198+M198+O198&gt;0,IF($C198="Working","Charged","Worked weekend"),IF($C198="Working","Leave (not charged)",$C198)))))))</f>
        <v>Charged</v>
      </c>
      <c r="T198" s="341">
        <f>IF($A198="","",SUMIFS('Timesheet Raw'!$P$4:$P$8000,'Timesheet Raw'!$L$4:$L$8000,$A198,'Timesheet Raw'!$C$4:$C$8000,T$3,'Timesheet Raw'!$A$4:$A$8000,"1-Projects"))</f>
        <v>0</v>
      </c>
      <c r="U198" s="341">
        <f>IF($A198="","",SUMIFS('Timesheet Raw'!$P$4:$P$8000,'Timesheet Raw'!$L$4:$L$8000,$A198,'Timesheet Raw'!$C$4:$C$8000,T$3,'Timesheet Raw'!$A$4:$A$8000,"2-Proposals Chargeable")+SUMIFS('Timesheet Raw'!$P$4:$P$8000,'Timesheet Raw'!$L$4:$L$8000,$A198,'Timesheet Raw'!$C$4:$C$8000,T$3,'Timesheet Raw'!$A$4:$A$8000,"3-Proposals Regular"))</f>
        <v>0</v>
      </c>
      <c r="V198" s="341">
        <f>IF($A198="","",SUMIFS('Timesheet Raw'!$P$4:$P$8000,'Timesheet Raw'!$L$4:$L$8000,$A198,'Timesheet Raw'!$C$4:$C$8000,T$3,'Timesheet Raw'!$B$4:$B$8000,'Work Calendar'!$A$26)+SUMIFS('Timesheet Raw'!$P$4:$P$8000,'Timesheet Raw'!$L$4:$L$8000,$A198,'Timesheet Raw'!$C$4:$C$8000,T$3,'Timesheet Raw'!$B$4:$B$8000,'Work Calendar'!$A$27)+SUMIFS('Timesheet Raw'!$P$4:$P$8000,'Timesheet Raw'!$L$4:$L$8000,$A198,'Timesheet Raw'!$C$4:$C$8000,T$3,'Timesheet Raw'!$B$4:$B$8000,'Work Calendar'!$A$28)+SUMIFS('Timesheet Raw'!$P$4:$P$8000,'Timesheet Raw'!$L$4:$L$8000,$A198,'Timesheet Raw'!$C$4:$C$8000,T$3,'Timesheet Raw'!$B$4:$B$8000,'Work Calendar'!$A$29))</f>
        <v>0</v>
      </c>
      <c r="W198" s="341">
        <f t="shared" ref="W198:W261" si="15">IF($A198="","",MAX(0,Y198-T198-U198-V198))</f>
        <v>0</v>
      </c>
      <c r="X198" s="395">
        <f>IF($A198="","",SUMIFS('Timesheet Raw'!$K$4:$K$8000,'Timesheet Raw'!$L$4:$L$8000,$A198,'Timesheet Raw'!$C$4:$C$8000,T$3))</f>
        <v>0</v>
      </c>
      <c r="Y198" s="345">
        <f>IF($A198="","",SUMIFS('Timesheet Raw'!$P$4:$P$8000,'Timesheet Raw'!$L$4:$L$8000,$A198,'Timesheet Raw'!$C$4:$C$8000,T$3))</f>
        <v>0</v>
      </c>
      <c r="Z198" s="375"/>
      <c r="AA198" t="str">
        <f>IF($A198="","",IF(Z198&lt;&gt;"",Z198,IF($A198&gt;'Work Calendar'!$B$17,"No data yet",IF(AND(V198&gt;='Work Calendar'!$B$14,T198+U198+W198&gt;0),"Day off - but worked",IF(V198&gt;='Work Calendar'!$B$14,"Day off",IF(T198+U198+W198&gt;0,IF($C198="Working","Charged","Worked weekend"),IF($C198="Working","Leave (not charged)",$C198)))))))</f>
        <v>Leave (not charged)</v>
      </c>
    </row>
    <row r="199" spans="1:27" x14ac:dyDescent="0.3">
      <c r="A199" s="371">
        <f>IF($A198="","",IF($A198+1&gt;'Work Calendar'!$B$16,"",$A198+1))</f>
        <v>46217</v>
      </c>
      <c r="B199" t="str">
        <f t="shared" si="12"/>
        <v>Tue</v>
      </c>
      <c r="C199" t="str" cm="1">
        <f t="array" ref="C199">IF($A199="","",IF(COUNTIF('Work Calendar'!$E$6:$E$200,$A199)&gt;0,"Holiday",IF(INDEX('Work Calendar'!$C$6:$C$12,WEEKDAY($A199,1))=1,"Working","Weekend")))</f>
        <v>Working</v>
      </c>
      <c r="D199" s="341">
        <f>IF($A199="","",SUMIFS('Timesheet Raw'!$P$4:$P$8000,'Timesheet Raw'!$L$4:$L$8000,$A199,'Timesheet Raw'!$C$4:$C$8000,D$3,'Timesheet Raw'!$A$4:$A$8000,"1-Projects"))</f>
        <v>7.5</v>
      </c>
      <c r="E199" s="341">
        <f>IF($A199="","",SUMIFS('Timesheet Raw'!$P$4:$P$8000,'Timesheet Raw'!$L$4:$L$8000,$A199,'Timesheet Raw'!$C$4:$C$8000,D$3,'Timesheet Raw'!$A$4:$A$8000,"2-Proposals Chargeable")+SUMIFS('Timesheet Raw'!$P$4:$P$8000,'Timesheet Raw'!$L$4:$L$8000,$A199,'Timesheet Raw'!$C$4:$C$8000,D$3,'Timesheet Raw'!$A$4:$A$8000,"3-Proposals Regular"))</f>
        <v>0</v>
      </c>
      <c r="F199" s="341">
        <f>IF($A199="","",SUMIFS('Timesheet Raw'!$P$4:$P$8000,'Timesheet Raw'!$L$4:$L$8000,$A199,'Timesheet Raw'!$C$4:$C$8000,D$3,'Timesheet Raw'!$B$4:$B$8000,'Work Calendar'!$A$26)+SUMIFS('Timesheet Raw'!$P$4:$P$8000,'Timesheet Raw'!$L$4:$L$8000,$A199,'Timesheet Raw'!$C$4:$C$8000,D$3,'Timesheet Raw'!$B$4:$B$8000,'Work Calendar'!$A$27)+SUMIFS('Timesheet Raw'!$P$4:$P$8000,'Timesheet Raw'!$L$4:$L$8000,$A199,'Timesheet Raw'!$C$4:$C$8000,D$3,'Timesheet Raw'!$B$4:$B$8000,'Work Calendar'!$A$28)+SUMIFS('Timesheet Raw'!$P$4:$P$8000,'Timesheet Raw'!$L$4:$L$8000,$A199,'Timesheet Raw'!$C$4:$C$8000,D$3,'Timesheet Raw'!$B$4:$B$8000,'Work Calendar'!$A$29))</f>
        <v>1.25</v>
      </c>
      <c r="G199" s="341">
        <f t="shared" si="13"/>
        <v>0</v>
      </c>
      <c r="H199" s="395">
        <f>IF($A199="","",SUMIFS('Timesheet Raw'!$K$4:$K$8000,'Timesheet Raw'!$L$4:$L$8000,$A199,'Timesheet Raw'!$C$4:$C$8000,D$3))</f>
        <v>0.25</v>
      </c>
      <c r="I199" s="345">
        <f>IF($A199="","",SUMIFS('Timesheet Raw'!$P$4:$P$8000,'Timesheet Raw'!$L$4:$L$8000,$A199,'Timesheet Raw'!$C$4:$C$8000,D$3))</f>
        <v>8.75</v>
      </c>
      <c r="J199" s="375"/>
      <c r="K199" t="str">
        <f>IF($A199="","",IF(J199&lt;&gt;"",J199,IF($A199&gt;'Work Calendar'!$B$17,"No data yet",IF(AND(F199&gt;='Work Calendar'!$B$14,D199+E199+G199&gt;0),"Day off - but worked",IF(F199&gt;='Work Calendar'!$B$14,"Day off",IF(D199+E199+G199&gt;0,IF($C199="Working","Charged","Worked weekend"),IF($C199="Working","Leave (not charged)",$C199)))))))</f>
        <v>Charged</v>
      </c>
      <c r="L199" s="341">
        <f>IF($A199="","",SUMIFS('Timesheet Raw'!$P$4:$P$8000,'Timesheet Raw'!$L$4:$L$8000,$A199,'Timesheet Raw'!$C$4:$C$8000,L$3,'Timesheet Raw'!$A$4:$A$8000,"1-Projects"))</f>
        <v>8.25</v>
      </c>
      <c r="M199" s="341">
        <f>IF($A199="","",SUMIFS('Timesheet Raw'!$P$4:$P$8000,'Timesheet Raw'!$L$4:$L$8000,$A199,'Timesheet Raw'!$C$4:$C$8000,L$3,'Timesheet Raw'!$A$4:$A$8000,"2-Proposals Chargeable")+SUMIFS('Timesheet Raw'!$P$4:$P$8000,'Timesheet Raw'!$L$4:$L$8000,$A199,'Timesheet Raw'!$C$4:$C$8000,L$3,'Timesheet Raw'!$A$4:$A$8000,"3-Proposals Regular"))</f>
        <v>0</v>
      </c>
      <c r="N199" s="341">
        <f>IF($A199="","",SUMIFS('Timesheet Raw'!$P$4:$P$8000,'Timesheet Raw'!$L$4:$L$8000,$A199,'Timesheet Raw'!$C$4:$C$8000,L$3,'Timesheet Raw'!$B$4:$B$8000,'Work Calendar'!$A$26)+SUMIFS('Timesheet Raw'!$P$4:$P$8000,'Timesheet Raw'!$L$4:$L$8000,$A199,'Timesheet Raw'!$C$4:$C$8000,L$3,'Timesheet Raw'!$B$4:$B$8000,'Work Calendar'!$A$27)+SUMIFS('Timesheet Raw'!$P$4:$P$8000,'Timesheet Raw'!$L$4:$L$8000,$A199,'Timesheet Raw'!$C$4:$C$8000,L$3,'Timesheet Raw'!$B$4:$B$8000,'Work Calendar'!$A$28)+SUMIFS('Timesheet Raw'!$P$4:$P$8000,'Timesheet Raw'!$L$4:$L$8000,$A199,'Timesheet Raw'!$C$4:$C$8000,L$3,'Timesheet Raw'!$B$4:$B$8000,'Work Calendar'!$A$29))</f>
        <v>0.25</v>
      </c>
      <c r="O199" s="341">
        <f t="shared" si="14"/>
        <v>0</v>
      </c>
      <c r="P199" s="395">
        <f>IF($A199="","",SUMIFS('Timesheet Raw'!$K$4:$K$8000,'Timesheet Raw'!$L$4:$L$8000,$A199,'Timesheet Raw'!$C$4:$C$8000,L$3))</f>
        <v>0</v>
      </c>
      <c r="Q199" s="345">
        <f>IF($A199="","",SUMIFS('Timesheet Raw'!$P$4:$P$8000,'Timesheet Raw'!$L$4:$L$8000,$A199,'Timesheet Raw'!$C$4:$C$8000,L$3))</f>
        <v>8.5</v>
      </c>
      <c r="R199" s="375"/>
      <c r="S199" t="str">
        <f>IF($A199="","",IF(R199&lt;&gt;"",R199,IF($A199&gt;'Work Calendar'!$B$17,"No data yet",IF(AND(N199&gt;='Work Calendar'!$B$14,L199+M199+O199&gt;0),"Day off - but worked",IF(N199&gt;='Work Calendar'!$B$14,"Day off",IF(L199+M199+O199&gt;0,IF($C199="Working","Charged","Worked weekend"),IF($C199="Working","Leave (not charged)",$C199)))))))</f>
        <v>Charged</v>
      </c>
      <c r="T199" s="341">
        <f>IF($A199="","",SUMIFS('Timesheet Raw'!$P$4:$P$8000,'Timesheet Raw'!$L$4:$L$8000,$A199,'Timesheet Raw'!$C$4:$C$8000,T$3,'Timesheet Raw'!$A$4:$A$8000,"1-Projects"))</f>
        <v>0</v>
      </c>
      <c r="U199" s="341">
        <f>IF($A199="","",SUMIFS('Timesheet Raw'!$P$4:$P$8000,'Timesheet Raw'!$L$4:$L$8000,$A199,'Timesheet Raw'!$C$4:$C$8000,T$3,'Timesheet Raw'!$A$4:$A$8000,"2-Proposals Chargeable")+SUMIFS('Timesheet Raw'!$P$4:$P$8000,'Timesheet Raw'!$L$4:$L$8000,$A199,'Timesheet Raw'!$C$4:$C$8000,T$3,'Timesheet Raw'!$A$4:$A$8000,"3-Proposals Regular"))</f>
        <v>0</v>
      </c>
      <c r="V199" s="341">
        <f>IF($A199="","",SUMIFS('Timesheet Raw'!$P$4:$P$8000,'Timesheet Raw'!$L$4:$L$8000,$A199,'Timesheet Raw'!$C$4:$C$8000,T$3,'Timesheet Raw'!$B$4:$B$8000,'Work Calendar'!$A$26)+SUMIFS('Timesheet Raw'!$P$4:$P$8000,'Timesheet Raw'!$L$4:$L$8000,$A199,'Timesheet Raw'!$C$4:$C$8000,T$3,'Timesheet Raw'!$B$4:$B$8000,'Work Calendar'!$A$27)+SUMIFS('Timesheet Raw'!$P$4:$P$8000,'Timesheet Raw'!$L$4:$L$8000,$A199,'Timesheet Raw'!$C$4:$C$8000,T$3,'Timesheet Raw'!$B$4:$B$8000,'Work Calendar'!$A$28)+SUMIFS('Timesheet Raw'!$P$4:$P$8000,'Timesheet Raw'!$L$4:$L$8000,$A199,'Timesheet Raw'!$C$4:$C$8000,T$3,'Timesheet Raw'!$B$4:$B$8000,'Work Calendar'!$A$29))</f>
        <v>0</v>
      </c>
      <c r="W199" s="341">
        <f t="shared" si="15"/>
        <v>0</v>
      </c>
      <c r="X199" s="395">
        <f>IF($A199="","",SUMIFS('Timesheet Raw'!$K$4:$K$8000,'Timesheet Raw'!$L$4:$L$8000,$A199,'Timesheet Raw'!$C$4:$C$8000,T$3))</f>
        <v>0</v>
      </c>
      <c r="Y199" s="345">
        <f>IF($A199="","",SUMIFS('Timesheet Raw'!$P$4:$P$8000,'Timesheet Raw'!$L$4:$L$8000,$A199,'Timesheet Raw'!$C$4:$C$8000,T$3))</f>
        <v>0</v>
      </c>
      <c r="Z199" s="375"/>
      <c r="AA199" t="str">
        <f>IF($A199="","",IF(Z199&lt;&gt;"",Z199,IF($A199&gt;'Work Calendar'!$B$17,"No data yet",IF(AND(V199&gt;='Work Calendar'!$B$14,T199+U199+W199&gt;0),"Day off - but worked",IF(V199&gt;='Work Calendar'!$B$14,"Day off",IF(T199+U199+W199&gt;0,IF($C199="Working","Charged","Worked weekend"),IF($C199="Working","Leave (not charged)",$C199)))))))</f>
        <v>Leave (not charged)</v>
      </c>
    </row>
    <row r="200" spans="1:27" x14ac:dyDescent="0.3">
      <c r="A200" s="371">
        <f>IF($A199="","",IF($A199+1&gt;'Work Calendar'!$B$16,"",$A199+1))</f>
        <v>46218</v>
      </c>
      <c r="B200" t="str">
        <f t="shared" si="12"/>
        <v>Wed</v>
      </c>
      <c r="C200" t="str" cm="1">
        <f t="array" ref="C200">IF($A200="","",IF(COUNTIF('Work Calendar'!$E$6:$E$200,$A200)&gt;0,"Holiday",IF(INDEX('Work Calendar'!$C$6:$C$12,WEEKDAY($A200,1))=1,"Working","Weekend")))</f>
        <v>Working</v>
      </c>
      <c r="D200" s="341">
        <f>IF($A200="","",SUMIFS('Timesheet Raw'!$P$4:$P$8000,'Timesheet Raw'!$L$4:$L$8000,$A200,'Timesheet Raw'!$C$4:$C$8000,D$3,'Timesheet Raw'!$A$4:$A$8000,"1-Projects"))</f>
        <v>4.5</v>
      </c>
      <c r="E200" s="341">
        <f>IF($A200="","",SUMIFS('Timesheet Raw'!$P$4:$P$8000,'Timesheet Raw'!$L$4:$L$8000,$A200,'Timesheet Raw'!$C$4:$C$8000,D$3,'Timesheet Raw'!$A$4:$A$8000,"2-Proposals Chargeable")+SUMIFS('Timesheet Raw'!$P$4:$P$8000,'Timesheet Raw'!$L$4:$L$8000,$A200,'Timesheet Raw'!$C$4:$C$8000,D$3,'Timesheet Raw'!$A$4:$A$8000,"3-Proposals Regular"))</f>
        <v>0</v>
      </c>
      <c r="F200" s="341">
        <f>IF($A200="","",SUMIFS('Timesheet Raw'!$P$4:$P$8000,'Timesheet Raw'!$L$4:$L$8000,$A200,'Timesheet Raw'!$C$4:$C$8000,D$3,'Timesheet Raw'!$B$4:$B$8000,'Work Calendar'!$A$26)+SUMIFS('Timesheet Raw'!$P$4:$P$8000,'Timesheet Raw'!$L$4:$L$8000,$A200,'Timesheet Raw'!$C$4:$C$8000,D$3,'Timesheet Raw'!$B$4:$B$8000,'Work Calendar'!$A$27)+SUMIFS('Timesheet Raw'!$P$4:$P$8000,'Timesheet Raw'!$L$4:$L$8000,$A200,'Timesheet Raw'!$C$4:$C$8000,D$3,'Timesheet Raw'!$B$4:$B$8000,'Work Calendar'!$A$28)+SUMIFS('Timesheet Raw'!$P$4:$P$8000,'Timesheet Raw'!$L$4:$L$8000,$A200,'Timesheet Raw'!$C$4:$C$8000,D$3,'Timesheet Raw'!$B$4:$B$8000,'Work Calendar'!$A$29))</f>
        <v>4.25</v>
      </c>
      <c r="G200" s="341">
        <f t="shared" si="13"/>
        <v>0</v>
      </c>
      <c r="H200" s="395">
        <f>IF($A200="","",SUMIFS('Timesheet Raw'!$K$4:$K$8000,'Timesheet Raw'!$L$4:$L$8000,$A200,'Timesheet Raw'!$C$4:$C$8000,D$3))</f>
        <v>0.25</v>
      </c>
      <c r="I200" s="345">
        <f>IF($A200="","",SUMIFS('Timesheet Raw'!$P$4:$P$8000,'Timesheet Raw'!$L$4:$L$8000,$A200,'Timesheet Raw'!$C$4:$C$8000,D$3))</f>
        <v>8.75</v>
      </c>
      <c r="J200" s="375"/>
      <c r="K200" t="str">
        <f>IF($A200="","",IF(J200&lt;&gt;"",J200,IF($A200&gt;'Work Calendar'!$B$17,"No data yet",IF(AND(F200&gt;='Work Calendar'!$B$14,D200+E200+G200&gt;0),"Day off - but worked",IF(F200&gt;='Work Calendar'!$B$14,"Day off",IF(D200+E200+G200&gt;0,IF($C200="Working","Charged","Worked weekend"),IF($C200="Working","Leave (not charged)",$C200)))))))</f>
        <v>Charged</v>
      </c>
      <c r="L200" s="341">
        <f>IF($A200="","",SUMIFS('Timesheet Raw'!$P$4:$P$8000,'Timesheet Raw'!$L$4:$L$8000,$A200,'Timesheet Raw'!$C$4:$C$8000,L$3,'Timesheet Raw'!$A$4:$A$8000,"1-Projects"))</f>
        <v>8.5</v>
      </c>
      <c r="M200" s="341">
        <f>IF($A200="","",SUMIFS('Timesheet Raw'!$P$4:$P$8000,'Timesheet Raw'!$L$4:$L$8000,$A200,'Timesheet Raw'!$C$4:$C$8000,L$3,'Timesheet Raw'!$A$4:$A$8000,"2-Proposals Chargeable")+SUMIFS('Timesheet Raw'!$P$4:$P$8000,'Timesheet Raw'!$L$4:$L$8000,$A200,'Timesheet Raw'!$C$4:$C$8000,L$3,'Timesheet Raw'!$A$4:$A$8000,"3-Proposals Regular"))</f>
        <v>0</v>
      </c>
      <c r="N200" s="341">
        <f>IF($A200="","",SUMIFS('Timesheet Raw'!$P$4:$P$8000,'Timesheet Raw'!$L$4:$L$8000,$A200,'Timesheet Raw'!$C$4:$C$8000,L$3,'Timesheet Raw'!$B$4:$B$8000,'Work Calendar'!$A$26)+SUMIFS('Timesheet Raw'!$P$4:$P$8000,'Timesheet Raw'!$L$4:$L$8000,$A200,'Timesheet Raw'!$C$4:$C$8000,L$3,'Timesheet Raw'!$B$4:$B$8000,'Work Calendar'!$A$27)+SUMIFS('Timesheet Raw'!$P$4:$P$8000,'Timesheet Raw'!$L$4:$L$8000,$A200,'Timesheet Raw'!$C$4:$C$8000,L$3,'Timesheet Raw'!$B$4:$B$8000,'Work Calendar'!$A$28)+SUMIFS('Timesheet Raw'!$P$4:$P$8000,'Timesheet Raw'!$L$4:$L$8000,$A200,'Timesheet Raw'!$C$4:$C$8000,L$3,'Timesheet Raw'!$B$4:$B$8000,'Work Calendar'!$A$29))</f>
        <v>0.25</v>
      </c>
      <c r="O200" s="341">
        <f t="shared" si="14"/>
        <v>0</v>
      </c>
      <c r="P200" s="395">
        <f>IF($A200="","",SUMIFS('Timesheet Raw'!$K$4:$K$8000,'Timesheet Raw'!$L$4:$L$8000,$A200,'Timesheet Raw'!$C$4:$C$8000,L$3))</f>
        <v>0.25</v>
      </c>
      <c r="Q200" s="345">
        <f>IF($A200="","",SUMIFS('Timesheet Raw'!$P$4:$P$8000,'Timesheet Raw'!$L$4:$L$8000,$A200,'Timesheet Raw'!$C$4:$C$8000,L$3))</f>
        <v>8.75</v>
      </c>
      <c r="R200" s="375"/>
      <c r="S200" t="str">
        <f>IF($A200="","",IF(R200&lt;&gt;"",R200,IF($A200&gt;'Work Calendar'!$B$17,"No data yet",IF(AND(N200&gt;='Work Calendar'!$B$14,L200+M200+O200&gt;0),"Day off - but worked",IF(N200&gt;='Work Calendar'!$B$14,"Day off",IF(L200+M200+O200&gt;0,IF($C200="Working","Charged","Worked weekend"),IF($C200="Working","Leave (not charged)",$C200)))))))</f>
        <v>Charged</v>
      </c>
      <c r="T200" s="341">
        <f>IF($A200="","",SUMIFS('Timesheet Raw'!$P$4:$P$8000,'Timesheet Raw'!$L$4:$L$8000,$A200,'Timesheet Raw'!$C$4:$C$8000,T$3,'Timesheet Raw'!$A$4:$A$8000,"1-Projects"))</f>
        <v>0</v>
      </c>
      <c r="U200" s="341">
        <f>IF($A200="","",SUMIFS('Timesheet Raw'!$P$4:$P$8000,'Timesheet Raw'!$L$4:$L$8000,$A200,'Timesheet Raw'!$C$4:$C$8000,T$3,'Timesheet Raw'!$A$4:$A$8000,"2-Proposals Chargeable")+SUMIFS('Timesheet Raw'!$P$4:$P$8000,'Timesheet Raw'!$L$4:$L$8000,$A200,'Timesheet Raw'!$C$4:$C$8000,T$3,'Timesheet Raw'!$A$4:$A$8000,"3-Proposals Regular"))</f>
        <v>0</v>
      </c>
      <c r="V200" s="341">
        <f>IF($A200="","",SUMIFS('Timesheet Raw'!$P$4:$P$8000,'Timesheet Raw'!$L$4:$L$8000,$A200,'Timesheet Raw'!$C$4:$C$8000,T$3,'Timesheet Raw'!$B$4:$B$8000,'Work Calendar'!$A$26)+SUMIFS('Timesheet Raw'!$P$4:$P$8000,'Timesheet Raw'!$L$4:$L$8000,$A200,'Timesheet Raw'!$C$4:$C$8000,T$3,'Timesheet Raw'!$B$4:$B$8000,'Work Calendar'!$A$27)+SUMIFS('Timesheet Raw'!$P$4:$P$8000,'Timesheet Raw'!$L$4:$L$8000,$A200,'Timesheet Raw'!$C$4:$C$8000,T$3,'Timesheet Raw'!$B$4:$B$8000,'Work Calendar'!$A$28)+SUMIFS('Timesheet Raw'!$P$4:$P$8000,'Timesheet Raw'!$L$4:$L$8000,$A200,'Timesheet Raw'!$C$4:$C$8000,T$3,'Timesheet Raw'!$B$4:$B$8000,'Work Calendar'!$A$29))</f>
        <v>0</v>
      </c>
      <c r="W200" s="341">
        <f t="shared" si="15"/>
        <v>0</v>
      </c>
      <c r="X200" s="395">
        <f>IF($A200="","",SUMIFS('Timesheet Raw'!$K$4:$K$8000,'Timesheet Raw'!$L$4:$L$8000,$A200,'Timesheet Raw'!$C$4:$C$8000,T$3))</f>
        <v>0</v>
      </c>
      <c r="Y200" s="345">
        <f>IF($A200="","",SUMIFS('Timesheet Raw'!$P$4:$P$8000,'Timesheet Raw'!$L$4:$L$8000,$A200,'Timesheet Raw'!$C$4:$C$8000,T$3))</f>
        <v>0</v>
      </c>
      <c r="Z200" s="375"/>
      <c r="AA200" t="str">
        <f>IF($A200="","",IF(Z200&lt;&gt;"",Z200,IF($A200&gt;'Work Calendar'!$B$17,"No data yet",IF(AND(V200&gt;='Work Calendar'!$B$14,T200+U200+W200&gt;0),"Day off - but worked",IF(V200&gt;='Work Calendar'!$B$14,"Day off",IF(T200+U200+W200&gt;0,IF($C200="Working","Charged","Worked weekend"),IF($C200="Working","Leave (not charged)",$C200)))))))</f>
        <v>Leave (not charged)</v>
      </c>
    </row>
    <row r="201" spans="1:27" x14ac:dyDescent="0.3">
      <c r="A201" s="371">
        <f>IF($A200="","",IF($A200+1&gt;'Work Calendar'!$B$16,"",$A200+1))</f>
        <v>46219</v>
      </c>
      <c r="B201" t="str">
        <f t="shared" si="12"/>
        <v>Thu</v>
      </c>
      <c r="C201" t="str" cm="1">
        <f t="array" ref="C201">IF($A201="","",IF(COUNTIF('Work Calendar'!$E$6:$E$200,$A201)&gt;0,"Holiday",IF(INDEX('Work Calendar'!$C$6:$C$12,WEEKDAY($A201,1))=1,"Working","Weekend")))</f>
        <v>Working</v>
      </c>
      <c r="D201" s="341">
        <f>IF($A201="","",SUMIFS('Timesheet Raw'!$P$4:$P$8000,'Timesheet Raw'!$L$4:$L$8000,$A201,'Timesheet Raw'!$C$4:$C$8000,D$3,'Timesheet Raw'!$A$4:$A$8000,"1-Projects"))</f>
        <v>0</v>
      </c>
      <c r="E201" s="341">
        <f>IF($A201="","",SUMIFS('Timesheet Raw'!$P$4:$P$8000,'Timesheet Raw'!$L$4:$L$8000,$A201,'Timesheet Raw'!$C$4:$C$8000,D$3,'Timesheet Raw'!$A$4:$A$8000,"2-Proposals Chargeable")+SUMIFS('Timesheet Raw'!$P$4:$P$8000,'Timesheet Raw'!$L$4:$L$8000,$A201,'Timesheet Raw'!$C$4:$C$8000,D$3,'Timesheet Raw'!$A$4:$A$8000,"3-Proposals Regular"))</f>
        <v>0</v>
      </c>
      <c r="F201" s="341">
        <f>IF($A201="","",SUMIFS('Timesheet Raw'!$P$4:$P$8000,'Timesheet Raw'!$L$4:$L$8000,$A201,'Timesheet Raw'!$C$4:$C$8000,D$3,'Timesheet Raw'!$B$4:$B$8000,'Work Calendar'!$A$26)+SUMIFS('Timesheet Raw'!$P$4:$P$8000,'Timesheet Raw'!$L$4:$L$8000,$A201,'Timesheet Raw'!$C$4:$C$8000,D$3,'Timesheet Raw'!$B$4:$B$8000,'Work Calendar'!$A$27)+SUMIFS('Timesheet Raw'!$P$4:$P$8000,'Timesheet Raw'!$L$4:$L$8000,$A201,'Timesheet Raw'!$C$4:$C$8000,D$3,'Timesheet Raw'!$B$4:$B$8000,'Work Calendar'!$A$28)+SUMIFS('Timesheet Raw'!$P$4:$P$8000,'Timesheet Raw'!$L$4:$L$8000,$A201,'Timesheet Raw'!$C$4:$C$8000,D$3,'Timesheet Raw'!$B$4:$B$8000,'Work Calendar'!$A$29))</f>
        <v>8.5</v>
      </c>
      <c r="G201" s="341">
        <f t="shared" si="13"/>
        <v>0</v>
      </c>
      <c r="H201" s="395">
        <f>IF($A201="","",SUMIFS('Timesheet Raw'!$K$4:$K$8000,'Timesheet Raw'!$L$4:$L$8000,$A201,'Timesheet Raw'!$C$4:$C$8000,D$3))</f>
        <v>0</v>
      </c>
      <c r="I201" s="345">
        <f>IF($A201="","",SUMIFS('Timesheet Raw'!$P$4:$P$8000,'Timesheet Raw'!$L$4:$L$8000,$A201,'Timesheet Raw'!$C$4:$C$8000,D$3))</f>
        <v>8.5</v>
      </c>
      <c r="J201" s="375"/>
      <c r="K201" t="str">
        <f>IF($A201="","",IF(J201&lt;&gt;"",J201,IF($A201&gt;'Work Calendar'!$B$17,"No data yet",IF(AND(F201&gt;='Work Calendar'!$B$14,D201+E201+G201&gt;0),"Day off - but worked",IF(F201&gt;='Work Calendar'!$B$14,"Day off",IF(D201+E201+G201&gt;0,IF($C201="Working","Charged","Worked weekend"),IF($C201="Working","Leave (not charged)",$C201)))))))</f>
        <v>Day off</v>
      </c>
      <c r="L201" s="341">
        <f>IF($A201="","",SUMIFS('Timesheet Raw'!$P$4:$P$8000,'Timesheet Raw'!$L$4:$L$8000,$A201,'Timesheet Raw'!$C$4:$C$8000,L$3,'Timesheet Raw'!$A$4:$A$8000,"1-Projects"))</f>
        <v>8</v>
      </c>
      <c r="M201" s="341">
        <f>IF($A201="","",SUMIFS('Timesheet Raw'!$P$4:$P$8000,'Timesheet Raw'!$L$4:$L$8000,$A201,'Timesheet Raw'!$C$4:$C$8000,L$3,'Timesheet Raw'!$A$4:$A$8000,"2-Proposals Chargeable")+SUMIFS('Timesheet Raw'!$P$4:$P$8000,'Timesheet Raw'!$L$4:$L$8000,$A201,'Timesheet Raw'!$C$4:$C$8000,L$3,'Timesheet Raw'!$A$4:$A$8000,"3-Proposals Regular"))</f>
        <v>0</v>
      </c>
      <c r="N201" s="341">
        <f>IF($A201="","",SUMIFS('Timesheet Raw'!$P$4:$P$8000,'Timesheet Raw'!$L$4:$L$8000,$A201,'Timesheet Raw'!$C$4:$C$8000,L$3,'Timesheet Raw'!$B$4:$B$8000,'Work Calendar'!$A$26)+SUMIFS('Timesheet Raw'!$P$4:$P$8000,'Timesheet Raw'!$L$4:$L$8000,$A201,'Timesheet Raw'!$C$4:$C$8000,L$3,'Timesheet Raw'!$B$4:$B$8000,'Work Calendar'!$A$27)+SUMIFS('Timesheet Raw'!$P$4:$P$8000,'Timesheet Raw'!$L$4:$L$8000,$A201,'Timesheet Raw'!$C$4:$C$8000,L$3,'Timesheet Raw'!$B$4:$B$8000,'Work Calendar'!$A$28)+SUMIFS('Timesheet Raw'!$P$4:$P$8000,'Timesheet Raw'!$L$4:$L$8000,$A201,'Timesheet Raw'!$C$4:$C$8000,L$3,'Timesheet Raw'!$B$4:$B$8000,'Work Calendar'!$A$29))</f>
        <v>0.5</v>
      </c>
      <c r="O201" s="341">
        <f t="shared" si="14"/>
        <v>0</v>
      </c>
      <c r="P201" s="395">
        <f>IF($A201="","",SUMIFS('Timesheet Raw'!$K$4:$K$8000,'Timesheet Raw'!$L$4:$L$8000,$A201,'Timesheet Raw'!$C$4:$C$8000,L$3))</f>
        <v>0</v>
      </c>
      <c r="Q201" s="345">
        <f>IF($A201="","",SUMIFS('Timesheet Raw'!$P$4:$P$8000,'Timesheet Raw'!$L$4:$L$8000,$A201,'Timesheet Raw'!$C$4:$C$8000,L$3))</f>
        <v>8.5</v>
      </c>
      <c r="R201" s="375"/>
      <c r="S201" t="str">
        <f>IF($A201="","",IF(R201&lt;&gt;"",R201,IF($A201&gt;'Work Calendar'!$B$17,"No data yet",IF(AND(N201&gt;='Work Calendar'!$B$14,L201+M201+O201&gt;0),"Day off - but worked",IF(N201&gt;='Work Calendar'!$B$14,"Day off",IF(L201+M201+O201&gt;0,IF($C201="Working","Charged","Worked weekend"),IF($C201="Working","Leave (not charged)",$C201)))))))</f>
        <v>Charged</v>
      </c>
      <c r="T201" s="341">
        <f>IF($A201="","",SUMIFS('Timesheet Raw'!$P$4:$P$8000,'Timesheet Raw'!$L$4:$L$8000,$A201,'Timesheet Raw'!$C$4:$C$8000,T$3,'Timesheet Raw'!$A$4:$A$8000,"1-Projects"))</f>
        <v>0</v>
      </c>
      <c r="U201" s="341">
        <f>IF($A201="","",SUMIFS('Timesheet Raw'!$P$4:$P$8000,'Timesheet Raw'!$L$4:$L$8000,$A201,'Timesheet Raw'!$C$4:$C$8000,T$3,'Timesheet Raw'!$A$4:$A$8000,"2-Proposals Chargeable")+SUMIFS('Timesheet Raw'!$P$4:$P$8000,'Timesheet Raw'!$L$4:$L$8000,$A201,'Timesheet Raw'!$C$4:$C$8000,T$3,'Timesheet Raw'!$A$4:$A$8000,"3-Proposals Regular"))</f>
        <v>0</v>
      </c>
      <c r="V201" s="341">
        <f>IF($A201="","",SUMIFS('Timesheet Raw'!$P$4:$P$8000,'Timesheet Raw'!$L$4:$L$8000,$A201,'Timesheet Raw'!$C$4:$C$8000,T$3,'Timesheet Raw'!$B$4:$B$8000,'Work Calendar'!$A$26)+SUMIFS('Timesheet Raw'!$P$4:$P$8000,'Timesheet Raw'!$L$4:$L$8000,$A201,'Timesheet Raw'!$C$4:$C$8000,T$3,'Timesheet Raw'!$B$4:$B$8000,'Work Calendar'!$A$27)+SUMIFS('Timesheet Raw'!$P$4:$P$8000,'Timesheet Raw'!$L$4:$L$8000,$A201,'Timesheet Raw'!$C$4:$C$8000,T$3,'Timesheet Raw'!$B$4:$B$8000,'Work Calendar'!$A$28)+SUMIFS('Timesheet Raw'!$P$4:$P$8000,'Timesheet Raw'!$L$4:$L$8000,$A201,'Timesheet Raw'!$C$4:$C$8000,T$3,'Timesheet Raw'!$B$4:$B$8000,'Work Calendar'!$A$29))</f>
        <v>0</v>
      </c>
      <c r="W201" s="341">
        <f t="shared" si="15"/>
        <v>0</v>
      </c>
      <c r="X201" s="395">
        <f>IF($A201="","",SUMIFS('Timesheet Raw'!$K$4:$K$8000,'Timesheet Raw'!$L$4:$L$8000,$A201,'Timesheet Raw'!$C$4:$C$8000,T$3))</f>
        <v>0</v>
      </c>
      <c r="Y201" s="345">
        <f>IF($A201="","",SUMIFS('Timesheet Raw'!$P$4:$P$8000,'Timesheet Raw'!$L$4:$L$8000,$A201,'Timesheet Raw'!$C$4:$C$8000,T$3))</f>
        <v>0</v>
      </c>
      <c r="Z201" s="375"/>
      <c r="AA201" t="str">
        <f>IF($A201="","",IF(Z201&lt;&gt;"",Z201,IF($A201&gt;'Work Calendar'!$B$17,"No data yet",IF(AND(V201&gt;='Work Calendar'!$B$14,T201+U201+W201&gt;0),"Day off - but worked",IF(V201&gt;='Work Calendar'!$B$14,"Day off",IF(T201+U201+W201&gt;0,IF($C201="Working","Charged","Worked weekend"),IF($C201="Working","Leave (not charged)",$C201)))))))</f>
        <v>Leave (not charged)</v>
      </c>
    </row>
    <row r="202" spans="1:27" x14ac:dyDescent="0.3">
      <c r="A202" s="371">
        <f>IF($A201="","",IF($A201+1&gt;'Work Calendar'!$B$16,"",$A201+1))</f>
        <v>46220</v>
      </c>
      <c r="B202" t="str">
        <f t="shared" si="12"/>
        <v>Fri</v>
      </c>
      <c r="C202" t="str" cm="1">
        <f t="array" ref="C202">IF($A202="","",IF(COUNTIF('Work Calendar'!$E$6:$E$200,$A202)&gt;0,"Holiday",IF(INDEX('Work Calendar'!$C$6:$C$12,WEEKDAY($A202,1))=1,"Working","Weekend")))</f>
        <v>Weekend</v>
      </c>
      <c r="D202" s="341">
        <f>IF($A202="","",SUMIFS('Timesheet Raw'!$P$4:$P$8000,'Timesheet Raw'!$L$4:$L$8000,$A202,'Timesheet Raw'!$C$4:$C$8000,D$3,'Timesheet Raw'!$A$4:$A$8000,"1-Projects"))</f>
        <v>0</v>
      </c>
      <c r="E202" s="341">
        <f>IF($A202="","",SUMIFS('Timesheet Raw'!$P$4:$P$8000,'Timesheet Raw'!$L$4:$L$8000,$A202,'Timesheet Raw'!$C$4:$C$8000,D$3,'Timesheet Raw'!$A$4:$A$8000,"2-Proposals Chargeable")+SUMIFS('Timesheet Raw'!$P$4:$P$8000,'Timesheet Raw'!$L$4:$L$8000,$A202,'Timesheet Raw'!$C$4:$C$8000,D$3,'Timesheet Raw'!$A$4:$A$8000,"3-Proposals Regular"))</f>
        <v>0</v>
      </c>
      <c r="F202" s="341">
        <f>IF($A202="","",SUMIFS('Timesheet Raw'!$P$4:$P$8000,'Timesheet Raw'!$L$4:$L$8000,$A202,'Timesheet Raw'!$C$4:$C$8000,D$3,'Timesheet Raw'!$B$4:$B$8000,'Work Calendar'!$A$26)+SUMIFS('Timesheet Raw'!$P$4:$P$8000,'Timesheet Raw'!$L$4:$L$8000,$A202,'Timesheet Raw'!$C$4:$C$8000,D$3,'Timesheet Raw'!$B$4:$B$8000,'Work Calendar'!$A$27)+SUMIFS('Timesheet Raw'!$P$4:$P$8000,'Timesheet Raw'!$L$4:$L$8000,$A202,'Timesheet Raw'!$C$4:$C$8000,D$3,'Timesheet Raw'!$B$4:$B$8000,'Work Calendar'!$A$28)+SUMIFS('Timesheet Raw'!$P$4:$P$8000,'Timesheet Raw'!$L$4:$L$8000,$A202,'Timesheet Raw'!$C$4:$C$8000,D$3,'Timesheet Raw'!$B$4:$B$8000,'Work Calendar'!$A$29))</f>
        <v>0</v>
      </c>
      <c r="G202" s="341">
        <f t="shared" si="13"/>
        <v>0</v>
      </c>
      <c r="H202" s="395">
        <f>IF($A202="","",SUMIFS('Timesheet Raw'!$K$4:$K$8000,'Timesheet Raw'!$L$4:$L$8000,$A202,'Timesheet Raw'!$C$4:$C$8000,D$3))</f>
        <v>0</v>
      </c>
      <c r="I202" s="345">
        <f>IF($A202="","",SUMIFS('Timesheet Raw'!$P$4:$P$8000,'Timesheet Raw'!$L$4:$L$8000,$A202,'Timesheet Raw'!$C$4:$C$8000,D$3))</f>
        <v>0</v>
      </c>
      <c r="J202" s="375"/>
      <c r="K202" t="str">
        <f>IF($A202="","",IF(J202&lt;&gt;"",J202,IF($A202&gt;'Work Calendar'!$B$17,"No data yet",IF(AND(F202&gt;='Work Calendar'!$B$14,D202+E202+G202&gt;0),"Day off - but worked",IF(F202&gt;='Work Calendar'!$B$14,"Day off",IF(D202+E202+G202&gt;0,IF($C202="Working","Charged","Worked weekend"),IF($C202="Working","Leave (not charged)",$C202)))))))</f>
        <v>Weekend</v>
      </c>
      <c r="L202" s="341">
        <f>IF($A202="","",SUMIFS('Timesheet Raw'!$P$4:$P$8000,'Timesheet Raw'!$L$4:$L$8000,$A202,'Timesheet Raw'!$C$4:$C$8000,L$3,'Timesheet Raw'!$A$4:$A$8000,"1-Projects"))</f>
        <v>0</v>
      </c>
      <c r="M202" s="341">
        <f>IF($A202="","",SUMIFS('Timesheet Raw'!$P$4:$P$8000,'Timesheet Raw'!$L$4:$L$8000,$A202,'Timesheet Raw'!$C$4:$C$8000,L$3,'Timesheet Raw'!$A$4:$A$8000,"2-Proposals Chargeable")+SUMIFS('Timesheet Raw'!$P$4:$P$8000,'Timesheet Raw'!$L$4:$L$8000,$A202,'Timesheet Raw'!$C$4:$C$8000,L$3,'Timesheet Raw'!$A$4:$A$8000,"3-Proposals Regular"))</f>
        <v>0</v>
      </c>
      <c r="N202" s="341">
        <f>IF($A202="","",SUMIFS('Timesheet Raw'!$P$4:$P$8000,'Timesheet Raw'!$L$4:$L$8000,$A202,'Timesheet Raw'!$C$4:$C$8000,L$3,'Timesheet Raw'!$B$4:$B$8000,'Work Calendar'!$A$26)+SUMIFS('Timesheet Raw'!$P$4:$P$8000,'Timesheet Raw'!$L$4:$L$8000,$A202,'Timesheet Raw'!$C$4:$C$8000,L$3,'Timesheet Raw'!$B$4:$B$8000,'Work Calendar'!$A$27)+SUMIFS('Timesheet Raw'!$P$4:$P$8000,'Timesheet Raw'!$L$4:$L$8000,$A202,'Timesheet Raw'!$C$4:$C$8000,L$3,'Timesheet Raw'!$B$4:$B$8000,'Work Calendar'!$A$28)+SUMIFS('Timesheet Raw'!$P$4:$P$8000,'Timesheet Raw'!$L$4:$L$8000,$A202,'Timesheet Raw'!$C$4:$C$8000,L$3,'Timesheet Raw'!$B$4:$B$8000,'Work Calendar'!$A$29))</f>
        <v>0</v>
      </c>
      <c r="O202" s="341">
        <f t="shared" si="14"/>
        <v>0</v>
      </c>
      <c r="P202" s="395">
        <f>IF($A202="","",SUMIFS('Timesheet Raw'!$K$4:$K$8000,'Timesheet Raw'!$L$4:$L$8000,$A202,'Timesheet Raw'!$C$4:$C$8000,L$3))</f>
        <v>0</v>
      </c>
      <c r="Q202" s="345">
        <f>IF($A202="","",SUMIFS('Timesheet Raw'!$P$4:$P$8000,'Timesheet Raw'!$L$4:$L$8000,$A202,'Timesheet Raw'!$C$4:$C$8000,L$3))</f>
        <v>0</v>
      </c>
      <c r="R202" s="375"/>
      <c r="S202" t="str">
        <f>IF($A202="","",IF(R202&lt;&gt;"",R202,IF($A202&gt;'Work Calendar'!$B$17,"No data yet",IF(AND(N202&gt;='Work Calendar'!$B$14,L202+M202+O202&gt;0),"Day off - but worked",IF(N202&gt;='Work Calendar'!$B$14,"Day off",IF(L202+M202+O202&gt;0,IF($C202="Working","Charged","Worked weekend"),IF($C202="Working","Leave (not charged)",$C202)))))))</f>
        <v>Weekend</v>
      </c>
      <c r="T202" s="341">
        <f>IF($A202="","",SUMIFS('Timesheet Raw'!$P$4:$P$8000,'Timesheet Raw'!$L$4:$L$8000,$A202,'Timesheet Raw'!$C$4:$C$8000,T$3,'Timesheet Raw'!$A$4:$A$8000,"1-Projects"))</f>
        <v>0</v>
      </c>
      <c r="U202" s="341">
        <f>IF($A202="","",SUMIFS('Timesheet Raw'!$P$4:$P$8000,'Timesheet Raw'!$L$4:$L$8000,$A202,'Timesheet Raw'!$C$4:$C$8000,T$3,'Timesheet Raw'!$A$4:$A$8000,"2-Proposals Chargeable")+SUMIFS('Timesheet Raw'!$P$4:$P$8000,'Timesheet Raw'!$L$4:$L$8000,$A202,'Timesheet Raw'!$C$4:$C$8000,T$3,'Timesheet Raw'!$A$4:$A$8000,"3-Proposals Regular"))</f>
        <v>0</v>
      </c>
      <c r="V202" s="341">
        <f>IF($A202="","",SUMIFS('Timesheet Raw'!$P$4:$P$8000,'Timesheet Raw'!$L$4:$L$8000,$A202,'Timesheet Raw'!$C$4:$C$8000,T$3,'Timesheet Raw'!$B$4:$B$8000,'Work Calendar'!$A$26)+SUMIFS('Timesheet Raw'!$P$4:$P$8000,'Timesheet Raw'!$L$4:$L$8000,$A202,'Timesheet Raw'!$C$4:$C$8000,T$3,'Timesheet Raw'!$B$4:$B$8000,'Work Calendar'!$A$27)+SUMIFS('Timesheet Raw'!$P$4:$P$8000,'Timesheet Raw'!$L$4:$L$8000,$A202,'Timesheet Raw'!$C$4:$C$8000,T$3,'Timesheet Raw'!$B$4:$B$8000,'Work Calendar'!$A$28)+SUMIFS('Timesheet Raw'!$P$4:$P$8000,'Timesheet Raw'!$L$4:$L$8000,$A202,'Timesheet Raw'!$C$4:$C$8000,T$3,'Timesheet Raw'!$B$4:$B$8000,'Work Calendar'!$A$29))</f>
        <v>0</v>
      </c>
      <c r="W202" s="341">
        <f t="shared" si="15"/>
        <v>0</v>
      </c>
      <c r="X202" s="395">
        <f>IF($A202="","",SUMIFS('Timesheet Raw'!$K$4:$K$8000,'Timesheet Raw'!$L$4:$L$8000,$A202,'Timesheet Raw'!$C$4:$C$8000,T$3))</f>
        <v>0</v>
      </c>
      <c r="Y202" s="345">
        <f>IF($A202="","",SUMIFS('Timesheet Raw'!$P$4:$P$8000,'Timesheet Raw'!$L$4:$L$8000,$A202,'Timesheet Raw'!$C$4:$C$8000,T$3))</f>
        <v>0</v>
      </c>
      <c r="Z202" s="375"/>
      <c r="AA202" t="str">
        <f>IF($A202="","",IF(Z202&lt;&gt;"",Z202,IF($A202&gt;'Work Calendar'!$B$17,"No data yet",IF(AND(V202&gt;='Work Calendar'!$B$14,T202+U202+W202&gt;0),"Day off - but worked",IF(V202&gt;='Work Calendar'!$B$14,"Day off",IF(T202+U202+W202&gt;0,IF($C202="Working","Charged","Worked weekend"),IF($C202="Working","Leave (not charged)",$C202)))))))</f>
        <v>Weekend</v>
      </c>
    </row>
    <row r="203" spans="1:27" x14ac:dyDescent="0.3">
      <c r="A203" s="371">
        <f>IF($A202="","",IF($A202+1&gt;'Work Calendar'!$B$16,"",$A202+1))</f>
        <v>46221</v>
      </c>
      <c r="B203" t="str">
        <f t="shared" si="12"/>
        <v>Sat</v>
      </c>
      <c r="C203" t="str" cm="1">
        <f t="array" ref="C203">IF($A203="","",IF(COUNTIF('Work Calendar'!$E$6:$E$200,$A203)&gt;0,"Holiday",IF(INDEX('Work Calendar'!$C$6:$C$12,WEEKDAY($A203,1))=1,"Working","Weekend")))</f>
        <v>Weekend</v>
      </c>
      <c r="D203" s="341">
        <f>IF($A203="","",SUMIFS('Timesheet Raw'!$P$4:$P$8000,'Timesheet Raw'!$L$4:$L$8000,$A203,'Timesheet Raw'!$C$4:$C$8000,D$3,'Timesheet Raw'!$A$4:$A$8000,"1-Projects"))</f>
        <v>0</v>
      </c>
      <c r="E203" s="341">
        <f>IF($A203="","",SUMIFS('Timesheet Raw'!$P$4:$P$8000,'Timesheet Raw'!$L$4:$L$8000,$A203,'Timesheet Raw'!$C$4:$C$8000,D$3,'Timesheet Raw'!$A$4:$A$8000,"2-Proposals Chargeable")+SUMIFS('Timesheet Raw'!$P$4:$P$8000,'Timesheet Raw'!$L$4:$L$8000,$A203,'Timesheet Raw'!$C$4:$C$8000,D$3,'Timesheet Raw'!$A$4:$A$8000,"3-Proposals Regular"))</f>
        <v>0</v>
      </c>
      <c r="F203" s="341">
        <f>IF($A203="","",SUMIFS('Timesheet Raw'!$P$4:$P$8000,'Timesheet Raw'!$L$4:$L$8000,$A203,'Timesheet Raw'!$C$4:$C$8000,D$3,'Timesheet Raw'!$B$4:$B$8000,'Work Calendar'!$A$26)+SUMIFS('Timesheet Raw'!$P$4:$P$8000,'Timesheet Raw'!$L$4:$L$8000,$A203,'Timesheet Raw'!$C$4:$C$8000,D$3,'Timesheet Raw'!$B$4:$B$8000,'Work Calendar'!$A$27)+SUMIFS('Timesheet Raw'!$P$4:$P$8000,'Timesheet Raw'!$L$4:$L$8000,$A203,'Timesheet Raw'!$C$4:$C$8000,D$3,'Timesheet Raw'!$B$4:$B$8000,'Work Calendar'!$A$28)+SUMIFS('Timesheet Raw'!$P$4:$P$8000,'Timesheet Raw'!$L$4:$L$8000,$A203,'Timesheet Raw'!$C$4:$C$8000,D$3,'Timesheet Raw'!$B$4:$B$8000,'Work Calendar'!$A$29))</f>
        <v>0</v>
      </c>
      <c r="G203" s="341">
        <f t="shared" si="13"/>
        <v>0</v>
      </c>
      <c r="H203" s="395">
        <f>IF($A203="","",SUMIFS('Timesheet Raw'!$K$4:$K$8000,'Timesheet Raw'!$L$4:$L$8000,$A203,'Timesheet Raw'!$C$4:$C$8000,D$3))</f>
        <v>0</v>
      </c>
      <c r="I203" s="345">
        <f>IF($A203="","",SUMIFS('Timesheet Raw'!$P$4:$P$8000,'Timesheet Raw'!$L$4:$L$8000,$A203,'Timesheet Raw'!$C$4:$C$8000,D$3))</f>
        <v>0</v>
      </c>
      <c r="J203" s="375"/>
      <c r="K203" t="str">
        <f>IF($A203="","",IF(J203&lt;&gt;"",J203,IF($A203&gt;'Work Calendar'!$B$17,"No data yet",IF(AND(F203&gt;='Work Calendar'!$B$14,D203+E203+G203&gt;0),"Day off - but worked",IF(F203&gt;='Work Calendar'!$B$14,"Day off",IF(D203+E203+G203&gt;0,IF($C203="Working","Charged","Worked weekend"),IF($C203="Working","Leave (not charged)",$C203)))))))</f>
        <v>Weekend</v>
      </c>
      <c r="L203" s="341">
        <f>IF($A203="","",SUMIFS('Timesheet Raw'!$P$4:$P$8000,'Timesheet Raw'!$L$4:$L$8000,$A203,'Timesheet Raw'!$C$4:$C$8000,L$3,'Timesheet Raw'!$A$4:$A$8000,"1-Projects"))</f>
        <v>0</v>
      </c>
      <c r="M203" s="341">
        <f>IF($A203="","",SUMIFS('Timesheet Raw'!$P$4:$P$8000,'Timesheet Raw'!$L$4:$L$8000,$A203,'Timesheet Raw'!$C$4:$C$8000,L$3,'Timesheet Raw'!$A$4:$A$8000,"2-Proposals Chargeable")+SUMIFS('Timesheet Raw'!$P$4:$P$8000,'Timesheet Raw'!$L$4:$L$8000,$A203,'Timesheet Raw'!$C$4:$C$8000,L$3,'Timesheet Raw'!$A$4:$A$8000,"3-Proposals Regular"))</f>
        <v>0</v>
      </c>
      <c r="N203" s="341">
        <f>IF($A203="","",SUMIFS('Timesheet Raw'!$P$4:$P$8000,'Timesheet Raw'!$L$4:$L$8000,$A203,'Timesheet Raw'!$C$4:$C$8000,L$3,'Timesheet Raw'!$B$4:$B$8000,'Work Calendar'!$A$26)+SUMIFS('Timesheet Raw'!$P$4:$P$8000,'Timesheet Raw'!$L$4:$L$8000,$A203,'Timesheet Raw'!$C$4:$C$8000,L$3,'Timesheet Raw'!$B$4:$B$8000,'Work Calendar'!$A$27)+SUMIFS('Timesheet Raw'!$P$4:$P$8000,'Timesheet Raw'!$L$4:$L$8000,$A203,'Timesheet Raw'!$C$4:$C$8000,L$3,'Timesheet Raw'!$B$4:$B$8000,'Work Calendar'!$A$28)+SUMIFS('Timesheet Raw'!$P$4:$P$8000,'Timesheet Raw'!$L$4:$L$8000,$A203,'Timesheet Raw'!$C$4:$C$8000,L$3,'Timesheet Raw'!$B$4:$B$8000,'Work Calendar'!$A$29))</f>
        <v>0</v>
      </c>
      <c r="O203" s="341">
        <f t="shared" si="14"/>
        <v>0</v>
      </c>
      <c r="P203" s="395">
        <f>IF($A203="","",SUMIFS('Timesheet Raw'!$K$4:$K$8000,'Timesheet Raw'!$L$4:$L$8000,$A203,'Timesheet Raw'!$C$4:$C$8000,L$3))</f>
        <v>0</v>
      </c>
      <c r="Q203" s="345">
        <f>IF($A203="","",SUMIFS('Timesheet Raw'!$P$4:$P$8000,'Timesheet Raw'!$L$4:$L$8000,$A203,'Timesheet Raw'!$C$4:$C$8000,L$3))</f>
        <v>0</v>
      </c>
      <c r="R203" s="375"/>
      <c r="S203" t="str">
        <f>IF($A203="","",IF(R203&lt;&gt;"",R203,IF($A203&gt;'Work Calendar'!$B$17,"No data yet",IF(AND(N203&gt;='Work Calendar'!$B$14,L203+M203+O203&gt;0),"Day off - but worked",IF(N203&gt;='Work Calendar'!$B$14,"Day off",IF(L203+M203+O203&gt;0,IF($C203="Working","Charged","Worked weekend"),IF($C203="Working","Leave (not charged)",$C203)))))))</f>
        <v>Weekend</v>
      </c>
      <c r="T203" s="341">
        <f>IF($A203="","",SUMIFS('Timesheet Raw'!$P$4:$P$8000,'Timesheet Raw'!$L$4:$L$8000,$A203,'Timesheet Raw'!$C$4:$C$8000,T$3,'Timesheet Raw'!$A$4:$A$8000,"1-Projects"))</f>
        <v>0</v>
      </c>
      <c r="U203" s="341">
        <f>IF($A203="","",SUMIFS('Timesheet Raw'!$P$4:$P$8000,'Timesheet Raw'!$L$4:$L$8000,$A203,'Timesheet Raw'!$C$4:$C$8000,T$3,'Timesheet Raw'!$A$4:$A$8000,"2-Proposals Chargeable")+SUMIFS('Timesheet Raw'!$P$4:$P$8000,'Timesheet Raw'!$L$4:$L$8000,$A203,'Timesheet Raw'!$C$4:$C$8000,T$3,'Timesheet Raw'!$A$4:$A$8000,"3-Proposals Regular"))</f>
        <v>0</v>
      </c>
      <c r="V203" s="341">
        <f>IF($A203="","",SUMIFS('Timesheet Raw'!$P$4:$P$8000,'Timesheet Raw'!$L$4:$L$8000,$A203,'Timesheet Raw'!$C$4:$C$8000,T$3,'Timesheet Raw'!$B$4:$B$8000,'Work Calendar'!$A$26)+SUMIFS('Timesheet Raw'!$P$4:$P$8000,'Timesheet Raw'!$L$4:$L$8000,$A203,'Timesheet Raw'!$C$4:$C$8000,T$3,'Timesheet Raw'!$B$4:$B$8000,'Work Calendar'!$A$27)+SUMIFS('Timesheet Raw'!$P$4:$P$8000,'Timesheet Raw'!$L$4:$L$8000,$A203,'Timesheet Raw'!$C$4:$C$8000,T$3,'Timesheet Raw'!$B$4:$B$8000,'Work Calendar'!$A$28)+SUMIFS('Timesheet Raw'!$P$4:$P$8000,'Timesheet Raw'!$L$4:$L$8000,$A203,'Timesheet Raw'!$C$4:$C$8000,T$3,'Timesheet Raw'!$B$4:$B$8000,'Work Calendar'!$A$29))</f>
        <v>0</v>
      </c>
      <c r="W203" s="341">
        <f t="shared" si="15"/>
        <v>0</v>
      </c>
      <c r="X203" s="395">
        <f>IF($A203="","",SUMIFS('Timesheet Raw'!$K$4:$K$8000,'Timesheet Raw'!$L$4:$L$8000,$A203,'Timesheet Raw'!$C$4:$C$8000,T$3))</f>
        <v>0</v>
      </c>
      <c r="Y203" s="345">
        <f>IF($A203="","",SUMIFS('Timesheet Raw'!$P$4:$P$8000,'Timesheet Raw'!$L$4:$L$8000,$A203,'Timesheet Raw'!$C$4:$C$8000,T$3))</f>
        <v>0</v>
      </c>
      <c r="Z203" s="375"/>
      <c r="AA203" t="str">
        <f>IF($A203="","",IF(Z203&lt;&gt;"",Z203,IF($A203&gt;'Work Calendar'!$B$17,"No data yet",IF(AND(V203&gt;='Work Calendar'!$B$14,T203+U203+W203&gt;0),"Day off - but worked",IF(V203&gt;='Work Calendar'!$B$14,"Day off",IF(T203+U203+W203&gt;0,IF($C203="Working","Charged","Worked weekend"),IF($C203="Working","Leave (not charged)",$C203)))))))</f>
        <v>Weekend</v>
      </c>
    </row>
    <row r="204" spans="1:27" x14ac:dyDescent="0.3">
      <c r="A204" s="371">
        <f>IF($A203="","",IF($A203+1&gt;'Work Calendar'!$B$16,"",$A203+1))</f>
        <v>46222</v>
      </c>
      <c r="B204" t="str">
        <f t="shared" si="12"/>
        <v>Sun</v>
      </c>
      <c r="C204" t="str" cm="1">
        <f t="array" ref="C204">IF($A204="","",IF(COUNTIF('Work Calendar'!$E$6:$E$200,$A204)&gt;0,"Holiday",IF(INDEX('Work Calendar'!$C$6:$C$12,WEEKDAY($A204,1))=1,"Working","Weekend")))</f>
        <v>Working</v>
      </c>
      <c r="D204" s="341">
        <f>IF($A204="","",SUMIFS('Timesheet Raw'!$P$4:$P$8000,'Timesheet Raw'!$L$4:$L$8000,$A204,'Timesheet Raw'!$C$4:$C$8000,D$3,'Timesheet Raw'!$A$4:$A$8000,"1-Projects"))</f>
        <v>8.25</v>
      </c>
      <c r="E204" s="341">
        <f>IF($A204="","",SUMIFS('Timesheet Raw'!$P$4:$P$8000,'Timesheet Raw'!$L$4:$L$8000,$A204,'Timesheet Raw'!$C$4:$C$8000,D$3,'Timesheet Raw'!$A$4:$A$8000,"2-Proposals Chargeable")+SUMIFS('Timesheet Raw'!$P$4:$P$8000,'Timesheet Raw'!$L$4:$L$8000,$A204,'Timesheet Raw'!$C$4:$C$8000,D$3,'Timesheet Raw'!$A$4:$A$8000,"3-Proposals Regular"))</f>
        <v>0</v>
      </c>
      <c r="F204" s="341">
        <f>IF($A204="","",SUMIFS('Timesheet Raw'!$P$4:$P$8000,'Timesheet Raw'!$L$4:$L$8000,$A204,'Timesheet Raw'!$C$4:$C$8000,D$3,'Timesheet Raw'!$B$4:$B$8000,'Work Calendar'!$A$26)+SUMIFS('Timesheet Raw'!$P$4:$P$8000,'Timesheet Raw'!$L$4:$L$8000,$A204,'Timesheet Raw'!$C$4:$C$8000,D$3,'Timesheet Raw'!$B$4:$B$8000,'Work Calendar'!$A$27)+SUMIFS('Timesheet Raw'!$P$4:$P$8000,'Timesheet Raw'!$L$4:$L$8000,$A204,'Timesheet Raw'!$C$4:$C$8000,D$3,'Timesheet Raw'!$B$4:$B$8000,'Work Calendar'!$A$28)+SUMIFS('Timesheet Raw'!$P$4:$P$8000,'Timesheet Raw'!$L$4:$L$8000,$A204,'Timesheet Raw'!$C$4:$C$8000,D$3,'Timesheet Raw'!$B$4:$B$8000,'Work Calendar'!$A$29))</f>
        <v>0.5</v>
      </c>
      <c r="G204" s="341">
        <f t="shared" si="13"/>
        <v>0</v>
      </c>
      <c r="H204" s="395">
        <f>IF($A204="","",SUMIFS('Timesheet Raw'!$K$4:$K$8000,'Timesheet Raw'!$L$4:$L$8000,$A204,'Timesheet Raw'!$C$4:$C$8000,D$3))</f>
        <v>0.25</v>
      </c>
      <c r="I204" s="345">
        <f>IF($A204="","",SUMIFS('Timesheet Raw'!$P$4:$P$8000,'Timesheet Raw'!$L$4:$L$8000,$A204,'Timesheet Raw'!$C$4:$C$8000,D$3))</f>
        <v>8.75</v>
      </c>
      <c r="J204" s="375"/>
      <c r="K204" t="str">
        <f>IF($A204="","",IF(J204&lt;&gt;"",J204,IF($A204&gt;'Work Calendar'!$B$17,"No data yet",IF(AND(F204&gt;='Work Calendar'!$B$14,D204+E204+G204&gt;0),"Day off - but worked",IF(F204&gt;='Work Calendar'!$B$14,"Day off",IF(D204+E204+G204&gt;0,IF($C204="Working","Charged","Worked weekend"),IF($C204="Working","Leave (not charged)",$C204)))))))</f>
        <v>Charged</v>
      </c>
      <c r="L204" s="341">
        <f>IF($A204="","",SUMIFS('Timesheet Raw'!$P$4:$P$8000,'Timesheet Raw'!$L$4:$L$8000,$A204,'Timesheet Raw'!$C$4:$C$8000,L$3,'Timesheet Raw'!$A$4:$A$8000,"1-Projects"))</f>
        <v>8.5</v>
      </c>
      <c r="M204" s="341">
        <f>IF($A204="","",SUMIFS('Timesheet Raw'!$P$4:$P$8000,'Timesheet Raw'!$L$4:$L$8000,$A204,'Timesheet Raw'!$C$4:$C$8000,L$3,'Timesheet Raw'!$A$4:$A$8000,"2-Proposals Chargeable")+SUMIFS('Timesheet Raw'!$P$4:$P$8000,'Timesheet Raw'!$L$4:$L$8000,$A204,'Timesheet Raw'!$C$4:$C$8000,L$3,'Timesheet Raw'!$A$4:$A$8000,"3-Proposals Regular"))</f>
        <v>0</v>
      </c>
      <c r="N204" s="341">
        <f>IF($A204="","",SUMIFS('Timesheet Raw'!$P$4:$P$8000,'Timesheet Raw'!$L$4:$L$8000,$A204,'Timesheet Raw'!$C$4:$C$8000,L$3,'Timesheet Raw'!$B$4:$B$8000,'Work Calendar'!$A$26)+SUMIFS('Timesheet Raw'!$P$4:$P$8000,'Timesheet Raw'!$L$4:$L$8000,$A204,'Timesheet Raw'!$C$4:$C$8000,L$3,'Timesheet Raw'!$B$4:$B$8000,'Work Calendar'!$A$27)+SUMIFS('Timesheet Raw'!$P$4:$P$8000,'Timesheet Raw'!$L$4:$L$8000,$A204,'Timesheet Raw'!$C$4:$C$8000,L$3,'Timesheet Raw'!$B$4:$B$8000,'Work Calendar'!$A$28)+SUMIFS('Timesheet Raw'!$P$4:$P$8000,'Timesheet Raw'!$L$4:$L$8000,$A204,'Timesheet Raw'!$C$4:$C$8000,L$3,'Timesheet Raw'!$B$4:$B$8000,'Work Calendar'!$A$29))</f>
        <v>0.5</v>
      </c>
      <c r="O204" s="341">
        <f t="shared" si="14"/>
        <v>0</v>
      </c>
      <c r="P204" s="395">
        <f>IF($A204="","",SUMIFS('Timesheet Raw'!$K$4:$K$8000,'Timesheet Raw'!$L$4:$L$8000,$A204,'Timesheet Raw'!$C$4:$C$8000,L$3))</f>
        <v>0.5</v>
      </c>
      <c r="Q204" s="345">
        <f>IF($A204="","",SUMIFS('Timesheet Raw'!$P$4:$P$8000,'Timesheet Raw'!$L$4:$L$8000,$A204,'Timesheet Raw'!$C$4:$C$8000,L$3))</f>
        <v>9</v>
      </c>
      <c r="R204" s="375"/>
      <c r="S204" t="str">
        <f>IF($A204="","",IF(R204&lt;&gt;"",R204,IF($A204&gt;'Work Calendar'!$B$17,"No data yet",IF(AND(N204&gt;='Work Calendar'!$B$14,L204+M204+O204&gt;0),"Day off - but worked",IF(N204&gt;='Work Calendar'!$B$14,"Day off",IF(L204+M204+O204&gt;0,IF($C204="Working","Charged","Worked weekend"),IF($C204="Working","Leave (not charged)",$C204)))))))</f>
        <v>Charged</v>
      </c>
      <c r="T204" s="341">
        <f>IF($A204="","",SUMIFS('Timesheet Raw'!$P$4:$P$8000,'Timesheet Raw'!$L$4:$L$8000,$A204,'Timesheet Raw'!$C$4:$C$8000,T$3,'Timesheet Raw'!$A$4:$A$8000,"1-Projects"))</f>
        <v>0</v>
      </c>
      <c r="U204" s="341">
        <f>IF($A204="","",SUMIFS('Timesheet Raw'!$P$4:$P$8000,'Timesheet Raw'!$L$4:$L$8000,$A204,'Timesheet Raw'!$C$4:$C$8000,T$3,'Timesheet Raw'!$A$4:$A$8000,"2-Proposals Chargeable")+SUMIFS('Timesheet Raw'!$P$4:$P$8000,'Timesheet Raw'!$L$4:$L$8000,$A204,'Timesheet Raw'!$C$4:$C$8000,T$3,'Timesheet Raw'!$A$4:$A$8000,"3-Proposals Regular"))</f>
        <v>0</v>
      </c>
      <c r="V204" s="341">
        <f>IF($A204="","",SUMIFS('Timesheet Raw'!$P$4:$P$8000,'Timesheet Raw'!$L$4:$L$8000,$A204,'Timesheet Raw'!$C$4:$C$8000,T$3,'Timesheet Raw'!$B$4:$B$8000,'Work Calendar'!$A$26)+SUMIFS('Timesheet Raw'!$P$4:$P$8000,'Timesheet Raw'!$L$4:$L$8000,$A204,'Timesheet Raw'!$C$4:$C$8000,T$3,'Timesheet Raw'!$B$4:$B$8000,'Work Calendar'!$A$27)+SUMIFS('Timesheet Raw'!$P$4:$P$8000,'Timesheet Raw'!$L$4:$L$8000,$A204,'Timesheet Raw'!$C$4:$C$8000,T$3,'Timesheet Raw'!$B$4:$B$8000,'Work Calendar'!$A$28)+SUMIFS('Timesheet Raw'!$P$4:$P$8000,'Timesheet Raw'!$L$4:$L$8000,$A204,'Timesheet Raw'!$C$4:$C$8000,T$3,'Timesheet Raw'!$B$4:$B$8000,'Work Calendar'!$A$29))</f>
        <v>0</v>
      </c>
      <c r="W204" s="341">
        <f t="shared" si="15"/>
        <v>0</v>
      </c>
      <c r="X204" s="395">
        <f>IF($A204="","",SUMIFS('Timesheet Raw'!$K$4:$K$8000,'Timesheet Raw'!$L$4:$L$8000,$A204,'Timesheet Raw'!$C$4:$C$8000,T$3))</f>
        <v>0</v>
      </c>
      <c r="Y204" s="345">
        <f>IF($A204="","",SUMIFS('Timesheet Raw'!$P$4:$P$8000,'Timesheet Raw'!$L$4:$L$8000,$A204,'Timesheet Raw'!$C$4:$C$8000,T$3))</f>
        <v>0</v>
      </c>
      <c r="Z204" s="375"/>
      <c r="AA204" t="str">
        <f>IF($A204="","",IF(Z204&lt;&gt;"",Z204,IF($A204&gt;'Work Calendar'!$B$17,"No data yet",IF(AND(V204&gt;='Work Calendar'!$B$14,T204+U204+W204&gt;0),"Day off - but worked",IF(V204&gt;='Work Calendar'!$B$14,"Day off",IF(T204+U204+W204&gt;0,IF($C204="Working","Charged","Worked weekend"),IF($C204="Working","Leave (not charged)",$C204)))))))</f>
        <v>Leave (not charged)</v>
      </c>
    </row>
    <row r="205" spans="1:27" x14ac:dyDescent="0.3">
      <c r="A205" s="371">
        <f>IF($A204="","",IF($A204+1&gt;'Work Calendar'!$B$16,"",$A204+1))</f>
        <v>46223</v>
      </c>
      <c r="B205" t="str">
        <f t="shared" si="12"/>
        <v>Mon</v>
      </c>
      <c r="C205" t="str" cm="1">
        <f t="array" ref="C205">IF($A205="","",IF(COUNTIF('Work Calendar'!$E$6:$E$200,$A205)&gt;0,"Holiday",IF(INDEX('Work Calendar'!$C$6:$C$12,WEEKDAY($A205,1))=1,"Working","Weekend")))</f>
        <v>Working</v>
      </c>
      <c r="D205" s="341">
        <f>IF($A205="","",SUMIFS('Timesheet Raw'!$P$4:$P$8000,'Timesheet Raw'!$L$4:$L$8000,$A205,'Timesheet Raw'!$C$4:$C$8000,D$3,'Timesheet Raw'!$A$4:$A$8000,"1-Projects"))</f>
        <v>7</v>
      </c>
      <c r="E205" s="341">
        <f>IF($A205="","",SUMIFS('Timesheet Raw'!$P$4:$P$8000,'Timesheet Raw'!$L$4:$L$8000,$A205,'Timesheet Raw'!$C$4:$C$8000,D$3,'Timesheet Raw'!$A$4:$A$8000,"2-Proposals Chargeable")+SUMIFS('Timesheet Raw'!$P$4:$P$8000,'Timesheet Raw'!$L$4:$L$8000,$A205,'Timesheet Raw'!$C$4:$C$8000,D$3,'Timesheet Raw'!$A$4:$A$8000,"3-Proposals Regular"))</f>
        <v>0</v>
      </c>
      <c r="F205" s="341">
        <f>IF($A205="","",SUMIFS('Timesheet Raw'!$P$4:$P$8000,'Timesheet Raw'!$L$4:$L$8000,$A205,'Timesheet Raw'!$C$4:$C$8000,D$3,'Timesheet Raw'!$B$4:$B$8000,'Work Calendar'!$A$26)+SUMIFS('Timesheet Raw'!$P$4:$P$8000,'Timesheet Raw'!$L$4:$L$8000,$A205,'Timesheet Raw'!$C$4:$C$8000,D$3,'Timesheet Raw'!$B$4:$B$8000,'Work Calendar'!$A$27)+SUMIFS('Timesheet Raw'!$P$4:$P$8000,'Timesheet Raw'!$L$4:$L$8000,$A205,'Timesheet Raw'!$C$4:$C$8000,D$3,'Timesheet Raw'!$B$4:$B$8000,'Work Calendar'!$A$28)+SUMIFS('Timesheet Raw'!$P$4:$P$8000,'Timesheet Raw'!$L$4:$L$8000,$A205,'Timesheet Raw'!$C$4:$C$8000,D$3,'Timesheet Raw'!$B$4:$B$8000,'Work Calendar'!$A$29))</f>
        <v>1.5</v>
      </c>
      <c r="G205" s="341">
        <f t="shared" si="13"/>
        <v>0</v>
      </c>
      <c r="H205" s="395">
        <f>IF($A205="","",SUMIFS('Timesheet Raw'!$K$4:$K$8000,'Timesheet Raw'!$L$4:$L$8000,$A205,'Timesheet Raw'!$C$4:$C$8000,D$3))</f>
        <v>0</v>
      </c>
      <c r="I205" s="345">
        <f>IF($A205="","",SUMIFS('Timesheet Raw'!$P$4:$P$8000,'Timesheet Raw'!$L$4:$L$8000,$A205,'Timesheet Raw'!$C$4:$C$8000,D$3))</f>
        <v>8.5</v>
      </c>
      <c r="J205" s="375"/>
      <c r="K205" t="str">
        <f>IF($A205="","",IF(J205&lt;&gt;"",J205,IF($A205&gt;'Work Calendar'!$B$17,"No data yet",IF(AND(F205&gt;='Work Calendar'!$B$14,D205+E205+G205&gt;0),"Day off - but worked",IF(F205&gt;='Work Calendar'!$B$14,"Day off",IF(D205+E205+G205&gt;0,IF($C205="Working","Charged","Worked weekend"),IF($C205="Working","Leave (not charged)",$C205)))))))</f>
        <v>Charged</v>
      </c>
      <c r="L205" s="341">
        <f>IF($A205="","",SUMIFS('Timesheet Raw'!$P$4:$P$8000,'Timesheet Raw'!$L$4:$L$8000,$A205,'Timesheet Raw'!$C$4:$C$8000,L$3,'Timesheet Raw'!$A$4:$A$8000,"1-Projects"))</f>
        <v>9</v>
      </c>
      <c r="M205" s="341">
        <f>IF($A205="","",SUMIFS('Timesheet Raw'!$P$4:$P$8000,'Timesheet Raw'!$L$4:$L$8000,$A205,'Timesheet Raw'!$C$4:$C$8000,L$3,'Timesheet Raw'!$A$4:$A$8000,"2-Proposals Chargeable")+SUMIFS('Timesheet Raw'!$P$4:$P$8000,'Timesheet Raw'!$L$4:$L$8000,$A205,'Timesheet Raw'!$C$4:$C$8000,L$3,'Timesheet Raw'!$A$4:$A$8000,"3-Proposals Regular"))</f>
        <v>0</v>
      </c>
      <c r="N205" s="341">
        <f>IF($A205="","",SUMIFS('Timesheet Raw'!$P$4:$P$8000,'Timesheet Raw'!$L$4:$L$8000,$A205,'Timesheet Raw'!$C$4:$C$8000,L$3,'Timesheet Raw'!$B$4:$B$8000,'Work Calendar'!$A$26)+SUMIFS('Timesheet Raw'!$P$4:$P$8000,'Timesheet Raw'!$L$4:$L$8000,$A205,'Timesheet Raw'!$C$4:$C$8000,L$3,'Timesheet Raw'!$B$4:$B$8000,'Work Calendar'!$A$27)+SUMIFS('Timesheet Raw'!$P$4:$P$8000,'Timesheet Raw'!$L$4:$L$8000,$A205,'Timesheet Raw'!$C$4:$C$8000,L$3,'Timesheet Raw'!$B$4:$B$8000,'Work Calendar'!$A$28)+SUMIFS('Timesheet Raw'!$P$4:$P$8000,'Timesheet Raw'!$L$4:$L$8000,$A205,'Timesheet Raw'!$C$4:$C$8000,L$3,'Timesheet Raw'!$B$4:$B$8000,'Work Calendar'!$A$29))</f>
        <v>0</v>
      </c>
      <c r="O205" s="341">
        <f t="shared" si="14"/>
        <v>0</v>
      </c>
      <c r="P205" s="395">
        <f>IF($A205="","",SUMIFS('Timesheet Raw'!$K$4:$K$8000,'Timesheet Raw'!$L$4:$L$8000,$A205,'Timesheet Raw'!$C$4:$C$8000,L$3))</f>
        <v>0.5</v>
      </c>
      <c r="Q205" s="345">
        <f>IF($A205="","",SUMIFS('Timesheet Raw'!$P$4:$P$8000,'Timesheet Raw'!$L$4:$L$8000,$A205,'Timesheet Raw'!$C$4:$C$8000,L$3))</f>
        <v>9</v>
      </c>
      <c r="R205" s="375"/>
      <c r="S205" t="str">
        <f>IF($A205="","",IF(R205&lt;&gt;"",R205,IF($A205&gt;'Work Calendar'!$B$17,"No data yet",IF(AND(N205&gt;='Work Calendar'!$B$14,L205+M205+O205&gt;0),"Day off - but worked",IF(N205&gt;='Work Calendar'!$B$14,"Day off",IF(L205+M205+O205&gt;0,IF($C205="Working","Charged","Worked weekend"),IF($C205="Working","Leave (not charged)",$C205)))))))</f>
        <v>Charged</v>
      </c>
      <c r="T205" s="341">
        <f>IF($A205="","",SUMIFS('Timesheet Raw'!$P$4:$P$8000,'Timesheet Raw'!$L$4:$L$8000,$A205,'Timesheet Raw'!$C$4:$C$8000,T$3,'Timesheet Raw'!$A$4:$A$8000,"1-Projects"))</f>
        <v>8.25</v>
      </c>
      <c r="U205" s="341">
        <f>IF($A205="","",SUMIFS('Timesheet Raw'!$P$4:$P$8000,'Timesheet Raw'!$L$4:$L$8000,$A205,'Timesheet Raw'!$C$4:$C$8000,T$3,'Timesheet Raw'!$A$4:$A$8000,"2-Proposals Chargeable")+SUMIFS('Timesheet Raw'!$P$4:$P$8000,'Timesheet Raw'!$L$4:$L$8000,$A205,'Timesheet Raw'!$C$4:$C$8000,T$3,'Timesheet Raw'!$A$4:$A$8000,"3-Proposals Regular"))</f>
        <v>0</v>
      </c>
      <c r="V205" s="341">
        <f>IF($A205="","",SUMIFS('Timesheet Raw'!$P$4:$P$8000,'Timesheet Raw'!$L$4:$L$8000,$A205,'Timesheet Raw'!$C$4:$C$8000,T$3,'Timesheet Raw'!$B$4:$B$8000,'Work Calendar'!$A$26)+SUMIFS('Timesheet Raw'!$P$4:$P$8000,'Timesheet Raw'!$L$4:$L$8000,$A205,'Timesheet Raw'!$C$4:$C$8000,T$3,'Timesheet Raw'!$B$4:$B$8000,'Work Calendar'!$A$27)+SUMIFS('Timesheet Raw'!$P$4:$P$8000,'Timesheet Raw'!$L$4:$L$8000,$A205,'Timesheet Raw'!$C$4:$C$8000,T$3,'Timesheet Raw'!$B$4:$B$8000,'Work Calendar'!$A$28)+SUMIFS('Timesheet Raw'!$P$4:$P$8000,'Timesheet Raw'!$L$4:$L$8000,$A205,'Timesheet Raw'!$C$4:$C$8000,T$3,'Timesheet Raw'!$B$4:$B$8000,'Work Calendar'!$A$29))</f>
        <v>0.75</v>
      </c>
      <c r="W205" s="341">
        <f t="shared" si="15"/>
        <v>0</v>
      </c>
      <c r="X205" s="395">
        <f>IF($A205="","",SUMIFS('Timesheet Raw'!$K$4:$K$8000,'Timesheet Raw'!$L$4:$L$8000,$A205,'Timesheet Raw'!$C$4:$C$8000,T$3))</f>
        <v>0.5</v>
      </c>
      <c r="Y205" s="345">
        <f>IF($A205="","",SUMIFS('Timesheet Raw'!$P$4:$P$8000,'Timesheet Raw'!$L$4:$L$8000,$A205,'Timesheet Raw'!$C$4:$C$8000,T$3))</f>
        <v>9</v>
      </c>
      <c r="Z205" s="375"/>
      <c r="AA205" t="str">
        <f>IF($A205="","",IF(Z205&lt;&gt;"",Z205,IF($A205&gt;'Work Calendar'!$B$17,"No data yet",IF(AND(V205&gt;='Work Calendar'!$B$14,T205+U205+W205&gt;0),"Day off - but worked",IF(V205&gt;='Work Calendar'!$B$14,"Day off",IF(T205+U205+W205&gt;0,IF($C205="Working","Charged","Worked weekend"),IF($C205="Working","Leave (not charged)",$C205)))))))</f>
        <v>Charged</v>
      </c>
    </row>
    <row r="206" spans="1:27" x14ac:dyDescent="0.3">
      <c r="A206" s="371">
        <f>IF($A205="","",IF($A205+1&gt;'Work Calendar'!$B$16,"",$A205+1))</f>
        <v>46224</v>
      </c>
      <c r="B206" t="str">
        <f t="shared" si="12"/>
        <v>Tue</v>
      </c>
      <c r="C206" t="str" cm="1">
        <f t="array" ref="C206">IF($A206="","",IF(COUNTIF('Work Calendar'!$E$6:$E$200,$A206)&gt;0,"Holiday",IF(INDEX('Work Calendar'!$C$6:$C$12,WEEKDAY($A206,1))=1,"Working","Weekend")))</f>
        <v>Working</v>
      </c>
      <c r="D206" s="341">
        <f>IF($A206="","",SUMIFS('Timesheet Raw'!$P$4:$P$8000,'Timesheet Raw'!$L$4:$L$8000,$A206,'Timesheet Raw'!$C$4:$C$8000,D$3,'Timesheet Raw'!$A$4:$A$8000,"1-Projects"))</f>
        <v>8.25</v>
      </c>
      <c r="E206" s="341">
        <f>IF($A206="","",SUMIFS('Timesheet Raw'!$P$4:$P$8000,'Timesheet Raw'!$L$4:$L$8000,$A206,'Timesheet Raw'!$C$4:$C$8000,D$3,'Timesheet Raw'!$A$4:$A$8000,"2-Proposals Chargeable")+SUMIFS('Timesheet Raw'!$P$4:$P$8000,'Timesheet Raw'!$L$4:$L$8000,$A206,'Timesheet Raw'!$C$4:$C$8000,D$3,'Timesheet Raw'!$A$4:$A$8000,"3-Proposals Regular"))</f>
        <v>0</v>
      </c>
      <c r="F206" s="341">
        <f>IF($A206="","",SUMIFS('Timesheet Raw'!$P$4:$P$8000,'Timesheet Raw'!$L$4:$L$8000,$A206,'Timesheet Raw'!$C$4:$C$8000,D$3,'Timesheet Raw'!$B$4:$B$8000,'Work Calendar'!$A$26)+SUMIFS('Timesheet Raw'!$P$4:$P$8000,'Timesheet Raw'!$L$4:$L$8000,$A206,'Timesheet Raw'!$C$4:$C$8000,D$3,'Timesheet Raw'!$B$4:$B$8000,'Work Calendar'!$A$27)+SUMIFS('Timesheet Raw'!$P$4:$P$8000,'Timesheet Raw'!$L$4:$L$8000,$A206,'Timesheet Raw'!$C$4:$C$8000,D$3,'Timesheet Raw'!$B$4:$B$8000,'Work Calendar'!$A$28)+SUMIFS('Timesheet Raw'!$P$4:$P$8000,'Timesheet Raw'!$L$4:$L$8000,$A206,'Timesheet Raw'!$C$4:$C$8000,D$3,'Timesheet Raw'!$B$4:$B$8000,'Work Calendar'!$A$29))</f>
        <v>1.25</v>
      </c>
      <c r="G206" s="341">
        <f t="shared" si="13"/>
        <v>0</v>
      </c>
      <c r="H206" s="395">
        <f>IF($A206="","",SUMIFS('Timesheet Raw'!$K$4:$K$8000,'Timesheet Raw'!$L$4:$L$8000,$A206,'Timesheet Raw'!$C$4:$C$8000,D$3))</f>
        <v>1</v>
      </c>
      <c r="I206" s="345">
        <f>IF($A206="","",SUMIFS('Timesheet Raw'!$P$4:$P$8000,'Timesheet Raw'!$L$4:$L$8000,$A206,'Timesheet Raw'!$C$4:$C$8000,D$3))</f>
        <v>9.5</v>
      </c>
      <c r="J206" s="375"/>
      <c r="K206" t="str">
        <f>IF($A206="","",IF(J206&lt;&gt;"",J206,IF($A206&gt;'Work Calendar'!$B$17,"No data yet",IF(AND(F206&gt;='Work Calendar'!$B$14,D206+E206+G206&gt;0),"Day off - but worked",IF(F206&gt;='Work Calendar'!$B$14,"Day off",IF(D206+E206+G206&gt;0,IF($C206="Working","Charged","Worked weekend"),IF($C206="Working","Leave (not charged)",$C206)))))))</f>
        <v>Charged</v>
      </c>
      <c r="L206" s="341">
        <f>IF($A206="","",SUMIFS('Timesheet Raw'!$P$4:$P$8000,'Timesheet Raw'!$L$4:$L$8000,$A206,'Timesheet Raw'!$C$4:$C$8000,L$3,'Timesheet Raw'!$A$4:$A$8000,"1-Projects"))</f>
        <v>0</v>
      </c>
      <c r="M206" s="341">
        <f>IF($A206="","",SUMIFS('Timesheet Raw'!$P$4:$P$8000,'Timesheet Raw'!$L$4:$L$8000,$A206,'Timesheet Raw'!$C$4:$C$8000,L$3,'Timesheet Raw'!$A$4:$A$8000,"2-Proposals Chargeable")+SUMIFS('Timesheet Raw'!$P$4:$P$8000,'Timesheet Raw'!$L$4:$L$8000,$A206,'Timesheet Raw'!$C$4:$C$8000,L$3,'Timesheet Raw'!$A$4:$A$8000,"3-Proposals Regular"))</f>
        <v>0</v>
      </c>
      <c r="N206" s="341">
        <f>IF($A206="","",SUMIFS('Timesheet Raw'!$P$4:$P$8000,'Timesheet Raw'!$L$4:$L$8000,$A206,'Timesheet Raw'!$C$4:$C$8000,L$3,'Timesheet Raw'!$B$4:$B$8000,'Work Calendar'!$A$26)+SUMIFS('Timesheet Raw'!$P$4:$P$8000,'Timesheet Raw'!$L$4:$L$8000,$A206,'Timesheet Raw'!$C$4:$C$8000,L$3,'Timesheet Raw'!$B$4:$B$8000,'Work Calendar'!$A$27)+SUMIFS('Timesheet Raw'!$P$4:$P$8000,'Timesheet Raw'!$L$4:$L$8000,$A206,'Timesheet Raw'!$C$4:$C$8000,L$3,'Timesheet Raw'!$B$4:$B$8000,'Work Calendar'!$A$28)+SUMIFS('Timesheet Raw'!$P$4:$P$8000,'Timesheet Raw'!$L$4:$L$8000,$A206,'Timesheet Raw'!$C$4:$C$8000,L$3,'Timesheet Raw'!$B$4:$B$8000,'Work Calendar'!$A$29))</f>
        <v>8.5</v>
      </c>
      <c r="O206" s="341">
        <f t="shared" si="14"/>
        <v>0</v>
      </c>
      <c r="P206" s="395">
        <f>IF($A206="","",SUMIFS('Timesheet Raw'!$K$4:$K$8000,'Timesheet Raw'!$L$4:$L$8000,$A206,'Timesheet Raw'!$C$4:$C$8000,L$3))</f>
        <v>0</v>
      </c>
      <c r="Q206" s="345">
        <f>IF($A206="","",SUMIFS('Timesheet Raw'!$P$4:$P$8000,'Timesheet Raw'!$L$4:$L$8000,$A206,'Timesheet Raw'!$C$4:$C$8000,L$3))</f>
        <v>8.5</v>
      </c>
      <c r="R206" s="375"/>
      <c r="S206" t="str">
        <f>IF($A206="","",IF(R206&lt;&gt;"",R206,IF($A206&gt;'Work Calendar'!$B$17,"No data yet",IF(AND(N206&gt;='Work Calendar'!$B$14,L206+M206+O206&gt;0),"Day off - but worked",IF(N206&gt;='Work Calendar'!$B$14,"Day off",IF(L206+M206+O206&gt;0,IF($C206="Working","Charged","Worked weekend"),IF($C206="Working","Leave (not charged)",$C206)))))))</f>
        <v>Day off</v>
      </c>
      <c r="T206" s="341">
        <f>IF($A206="","",SUMIFS('Timesheet Raw'!$P$4:$P$8000,'Timesheet Raw'!$L$4:$L$8000,$A206,'Timesheet Raw'!$C$4:$C$8000,T$3,'Timesheet Raw'!$A$4:$A$8000,"1-Projects"))</f>
        <v>9</v>
      </c>
      <c r="U206" s="341">
        <f>IF($A206="","",SUMIFS('Timesheet Raw'!$P$4:$P$8000,'Timesheet Raw'!$L$4:$L$8000,$A206,'Timesheet Raw'!$C$4:$C$8000,T$3,'Timesheet Raw'!$A$4:$A$8000,"2-Proposals Chargeable")+SUMIFS('Timesheet Raw'!$P$4:$P$8000,'Timesheet Raw'!$L$4:$L$8000,$A206,'Timesheet Raw'!$C$4:$C$8000,T$3,'Timesheet Raw'!$A$4:$A$8000,"3-Proposals Regular"))</f>
        <v>0</v>
      </c>
      <c r="V206" s="341">
        <f>IF($A206="","",SUMIFS('Timesheet Raw'!$P$4:$P$8000,'Timesheet Raw'!$L$4:$L$8000,$A206,'Timesheet Raw'!$C$4:$C$8000,T$3,'Timesheet Raw'!$B$4:$B$8000,'Work Calendar'!$A$26)+SUMIFS('Timesheet Raw'!$P$4:$P$8000,'Timesheet Raw'!$L$4:$L$8000,$A206,'Timesheet Raw'!$C$4:$C$8000,T$3,'Timesheet Raw'!$B$4:$B$8000,'Work Calendar'!$A$27)+SUMIFS('Timesheet Raw'!$P$4:$P$8000,'Timesheet Raw'!$L$4:$L$8000,$A206,'Timesheet Raw'!$C$4:$C$8000,T$3,'Timesheet Raw'!$B$4:$B$8000,'Work Calendar'!$A$28)+SUMIFS('Timesheet Raw'!$P$4:$P$8000,'Timesheet Raw'!$L$4:$L$8000,$A206,'Timesheet Raw'!$C$4:$C$8000,T$3,'Timesheet Raw'!$B$4:$B$8000,'Work Calendar'!$A$29))</f>
        <v>0.75</v>
      </c>
      <c r="W206" s="341">
        <f t="shared" si="15"/>
        <v>0</v>
      </c>
      <c r="X206" s="395">
        <f>IF($A206="","",SUMIFS('Timesheet Raw'!$K$4:$K$8000,'Timesheet Raw'!$L$4:$L$8000,$A206,'Timesheet Raw'!$C$4:$C$8000,T$3))</f>
        <v>1.25</v>
      </c>
      <c r="Y206" s="345">
        <f>IF($A206="","",SUMIFS('Timesheet Raw'!$P$4:$P$8000,'Timesheet Raw'!$L$4:$L$8000,$A206,'Timesheet Raw'!$C$4:$C$8000,T$3))</f>
        <v>9.75</v>
      </c>
      <c r="Z206" s="375"/>
      <c r="AA206" t="str">
        <f>IF($A206="","",IF(Z206&lt;&gt;"",Z206,IF($A206&gt;'Work Calendar'!$B$17,"No data yet",IF(AND(V206&gt;='Work Calendar'!$B$14,T206+U206+W206&gt;0),"Day off - but worked",IF(V206&gt;='Work Calendar'!$B$14,"Day off",IF(T206+U206+W206&gt;0,IF($C206="Working","Charged","Worked weekend"),IF($C206="Working","Leave (not charged)",$C206)))))))</f>
        <v>Charged</v>
      </c>
    </row>
    <row r="207" spans="1:27" x14ac:dyDescent="0.3">
      <c r="A207" s="371">
        <f>IF($A206="","",IF($A206+1&gt;'Work Calendar'!$B$16,"",$A206+1))</f>
        <v>46225</v>
      </c>
      <c r="B207" t="str">
        <f t="shared" si="12"/>
        <v>Wed</v>
      </c>
      <c r="C207" t="str" cm="1">
        <f t="array" ref="C207">IF($A207="","",IF(COUNTIF('Work Calendar'!$E$6:$E$200,$A207)&gt;0,"Holiday",IF(INDEX('Work Calendar'!$C$6:$C$12,WEEKDAY($A207,1))=1,"Working","Weekend")))</f>
        <v>Working</v>
      </c>
      <c r="D207" s="341">
        <f>IF($A207="","",SUMIFS('Timesheet Raw'!$P$4:$P$8000,'Timesheet Raw'!$L$4:$L$8000,$A207,'Timesheet Raw'!$C$4:$C$8000,D$3,'Timesheet Raw'!$A$4:$A$8000,"1-Projects"))</f>
        <v>9.25</v>
      </c>
      <c r="E207" s="341">
        <f>IF($A207="","",SUMIFS('Timesheet Raw'!$P$4:$P$8000,'Timesheet Raw'!$L$4:$L$8000,$A207,'Timesheet Raw'!$C$4:$C$8000,D$3,'Timesheet Raw'!$A$4:$A$8000,"2-Proposals Chargeable")+SUMIFS('Timesheet Raw'!$P$4:$P$8000,'Timesheet Raw'!$L$4:$L$8000,$A207,'Timesheet Raw'!$C$4:$C$8000,D$3,'Timesheet Raw'!$A$4:$A$8000,"3-Proposals Regular"))</f>
        <v>0</v>
      </c>
      <c r="F207" s="341">
        <f>IF($A207="","",SUMIFS('Timesheet Raw'!$P$4:$P$8000,'Timesheet Raw'!$L$4:$L$8000,$A207,'Timesheet Raw'!$C$4:$C$8000,D$3,'Timesheet Raw'!$B$4:$B$8000,'Work Calendar'!$A$26)+SUMIFS('Timesheet Raw'!$P$4:$P$8000,'Timesheet Raw'!$L$4:$L$8000,$A207,'Timesheet Raw'!$C$4:$C$8000,D$3,'Timesheet Raw'!$B$4:$B$8000,'Work Calendar'!$A$27)+SUMIFS('Timesheet Raw'!$P$4:$P$8000,'Timesheet Raw'!$L$4:$L$8000,$A207,'Timesheet Raw'!$C$4:$C$8000,D$3,'Timesheet Raw'!$B$4:$B$8000,'Work Calendar'!$A$28)+SUMIFS('Timesheet Raw'!$P$4:$P$8000,'Timesheet Raw'!$L$4:$L$8000,$A207,'Timesheet Raw'!$C$4:$C$8000,D$3,'Timesheet Raw'!$B$4:$B$8000,'Work Calendar'!$A$29))</f>
        <v>0.5</v>
      </c>
      <c r="G207" s="341">
        <f t="shared" si="13"/>
        <v>0</v>
      </c>
      <c r="H207" s="395">
        <f>IF($A207="","",SUMIFS('Timesheet Raw'!$K$4:$K$8000,'Timesheet Raw'!$L$4:$L$8000,$A207,'Timesheet Raw'!$C$4:$C$8000,D$3))</f>
        <v>1.25</v>
      </c>
      <c r="I207" s="345">
        <f>IF($A207="","",SUMIFS('Timesheet Raw'!$P$4:$P$8000,'Timesheet Raw'!$L$4:$L$8000,$A207,'Timesheet Raw'!$C$4:$C$8000,D$3))</f>
        <v>9.75</v>
      </c>
      <c r="J207" s="375"/>
      <c r="K207" t="str">
        <f>IF($A207="","",IF(J207&lt;&gt;"",J207,IF($A207&gt;'Work Calendar'!$B$17,"No data yet",IF(AND(F207&gt;='Work Calendar'!$B$14,D207+E207+G207&gt;0),"Day off - but worked",IF(F207&gt;='Work Calendar'!$B$14,"Day off",IF(D207+E207+G207&gt;0,IF($C207="Working","Charged","Worked weekend"),IF($C207="Working","Leave (not charged)",$C207)))))))</f>
        <v>Charged</v>
      </c>
      <c r="L207" s="341">
        <f>IF($A207="","",SUMIFS('Timesheet Raw'!$P$4:$P$8000,'Timesheet Raw'!$L$4:$L$8000,$A207,'Timesheet Raw'!$C$4:$C$8000,L$3,'Timesheet Raw'!$A$4:$A$8000,"1-Projects"))</f>
        <v>8.75</v>
      </c>
      <c r="M207" s="341">
        <f>IF($A207="","",SUMIFS('Timesheet Raw'!$P$4:$P$8000,'Timesheet Raw'!$L$4:$L$8000,$A207,'Timesheet Raw'!$C$4:$C$8000,L$3,'Timesheet Raw'!$A$4:$A$8000,"2-Proposals Chargeable")+SUMIFS('Timesheet Raw'!$P$4:$P$8000,'Timesheet Raw'!$L$4:$L$8000,$A207,'Timesheet Raw'!$C$4:$C$8000,L$3,'Timesheet Raw'!$A$4:$A$8000,"3-Proposals Regular"))</f>
        <v>0</v>
      </c>
      <c r="N207" s="341">
        <f>IF($A207="","",SUMIFS('Timesheet Raw'!$P$4:$P$8000,'Timesheet Raw'!$L$4:$L$8000,$A207,'Timesheet Raw'!$C$4:$C$8000,L$3,'Timesheet Raw'!$B$4:$B$8000,'Work Calendar'!$A$26)+SUMIFS('Timesheet Raw'!$P$4:$P$8000,'Timesheet Raw'!$L$4:$L$8000,$A207,'Timesheet Raw'!$C$4:$C$8000,L$3,'Timesheet Raw'!$B$4:$B$8000,'Work Calendar'!$A$27)+SUMIFS('Timesheet Raw'!$P$4:$P$8000,'Timesheet Raw'!$L$4:$L$8000,$A207,'Timesheet Raw'!$C$4:$C$8000,L$3,'Timesheet Raw'!$B$4:$B$8000,'Work Calendar'!$A$28)+SUMIFS('Timesheet Raw'!$P$4:$P$8000,'Timesheet Raw'!$L$4:$L$8000,$A207,'Timesheet Raw'!$C$4:$C$8000,L$3,'Timesheet Raw'!$B$4:$B$8000,'Work Calendar'!$A$29))</f>
        <v>0</v>
      </c>
      <c r="O207" s="341">
        <f t="shared" si="14"/>
        <v>0</v>
      </c>
      <c r="P207" s="395">
        <f>IF($A207="","",SUMIFS('Timesheet Raw'!$K$4:$K$8000,'Timesheet Raw'!$L$4:$L$8000,$A207,'Timesheet Raw'!$C$4:$C$8000,L$3))</f>
        <v>0.25</v>
      </c>
      <c r="Q207" s="345">
        <f>IF($A207="","",SUMIFS('Timesheet Raw'!$P$4:$P$8000,'Timesheet Raw'!$L$4:$L$8000,$A207,'Timesheet Raw'!$C$4:$C$8000,L$3))</f>
        <v>8.75</v>
      </c>
      <c r="R207" s="375"/>
      <c r="S207" t="str">
        <f>IF($A207="","",IF(R207&lt;&gt;"",R207,IF($A207&gt;'Work Calendar'!$B$17,"No data yet",IF(AND(N207&gt;='Work Calendar'!$B$14,L207+M207+O207&gt;0),"Day off - but worked",IF(N207&gt;='Work Calendar'!$B$14,"Day off",IF(L207+M207+O207&gt;0,IF($C207="Working","Charged","Worked weekend"),IF($C207="Working","Leave (not charged)",$C207)))))))</f>
        <v>Charged</v>
      </c>
      <c r="T207" s="341">
        <f>IF($A207="","",SUMIFS('Timesheet Raw'!$P$4:$P$8000,'Timesheet Raw'!$L$4:$L$8000,$A207,'Timesheet Raw'!$C$4:$C$8000,T$3,'Timesheet Raw'!$A$4:$A$8000,"1-Projects"))</f>
        <v>9.5</v>
      </c>
      <c r="U207" s="341">
        <f>IF($A207="","",SUMIFS('Timesheet Raw'!$P$4:$P$8000,'Timesheet Raw'!$L$4:$L$8000,$A207,'Timesheet Raw'!$C$4:$C$8000,T$3,'Timesheet Raw'!$A$4:$A$8000,"2-Proposals Chargeable")+SUMIFS('Timesheet Raw'!$P$4:$P$8000,'Timesheet Raw'!$L$4:$L$8000,$A207,'Timesheet Raw'!$C$4:$C$8000,T$3,'Timesheet Raw'!$A$4:$A$8000,"3-Proposals Regular"))</f>
        <v>0</v>
      </c>
      <c r="V207" s="341">
        <f>IF($A207="","",SUMIFS('Timesheet Raw'!$P$4:$P$8000,'Timesheet Raw'!$L$4:$L$8000,$A207,'Timesheet Raw'!$C$4:$C$8000,T$3,'Timesheet Raw'!$B$4:$B$8000,'Work Calendar'!$A$26)+SUMIFS('Timesheet Raw'!$P$4:$P$8000,'Timesheet Raw'!$L$4:$L$8000,$A207,'Timesheet Raw'!$C$4:$C$8000,T$3,'Timesheet Raw'!$B$4:$B$8000,'Work Calendar'!$A$27)+SUMIFS('Timesheet Raw'!$P$4:$P$8000,'Timesheet Raw'!$L$4:$L$8000,$A207,'Timesheet Raw'!$C$4:$C$8000,T$3,'Timesheet Raw'!$B$4:$B$8000,'Work Calendar'!$A$28)+SUMIFS('Timesheet Raw'!$P$4:$P$8000,'Timesheet Raw'!$L$4:$L$8000,$A207,'Timesheet Raw'!$C$4:$C$8000,T$3,'Timesheet Raw'!$B$4:$B$8000,'Work Calendar'!$A$29))</f>
        <v>0.5</v>
      </c>
      <c r="W207" s="341">
        <f t="shared" si="15"/>
        <v>0</v>
      </c>
      <c r="X207" s="395">
        <f>IF($A207="","",SUMIFS('Timesheet Raw'!$K$4:$K$8000,'Timesheet Raw'!$L$4:$L$8000,$A207,'Timesheet Raw'!$C$4:$C$8000,T$3))</f>
        <v>1.5</v>
      </c>
      <c r="Y207" s="345">
        <f>IF($A207="","",SUMIFS('Timesheet Raw'!$P$4:$P$8000,'Timesheet Raw'!$L$4:$L$8000,$A207,'Timesheet Raw'!$C$4:$C$8000,T$3))</f>
        <v>10</v>
      </c>
      <c r="Z207" s="375"/>
      <c r="AA207" t="str">
        <f>IF($A207="","",IF(Z207&lt;&gt;"",Z207,IF($A207&gt;'Work Calendar'!$B$17,"No data yet",IF(AND(V207&gt;='Work Calendar'!$B$14,T207+U207+W207&gt;0),"Day off - but worked",IF(V207&gt;='Work Calendar'!$B$14,"Day off",IF(T207+U207+W207&gt;0,IF($C207="Working","Charged","Worked weekend"),IF($C207="Working","Leave (not charged)",$C207)))))))</f>
        <v>Charged</v>
      </c>
    </row>
    <row r="208" spans="1:27" x14ac:dyDescent="0.3">
      <c r="A208" s="371">
        <f>IF($A207="","",IF($A207+1&gt;'Work Calendar'!$B$16,"",$A207+1))</f>
        <v>46226</v>
      </c>
      <c r="B208" t="str">
        <f t="shared" si="12"/>
        <v>Thu</v>
      </c>
      <c r="C208" t="str" cm="1">
        <f t="array" ref="C208">IF($A208="","",IF(COUNTIF('Work Calendar'!$E$6:$E$200,$A208)&gt;0,"Holiday",IF(INDEX('Work Calendar'!$C$6:$C$12,WEEKDAY($A208,1))=1,"Working","Weekend")))</f>
        <v>Working</v>
      </c>
      <c r="D208" s="341">
        <f>IF($A208="","",SUMIFS('Timesheet Raw'!$P$4:$P$8000,'Timesheet Raw'!$L$4:$L$8000,$A208,'Timesheet Raw'!$C$4:$C$8000,D$3,'Timesheet Raw'!$A$4:$A$8000,"1-Projects"))</f>
        <v>0</v>
      </c>
      <c r="E208" s="341">
        <f>IF($A208="","",SUMIFS('Timesheet Raw'!$P$4:$P$8000,'Timesheet Raw'!$L$4:$L$8000,$A208,'Timesheet Raw'!$C$4:$C$8000,D$3,'Timesheet Raw'!$A$4:$A$8000,"2-Proposals Chargeable")+SUMIFS('Timesheet Raw'!$P$4:$P$8000,'Timesheet Raw'!$L$4:$L$8000,$A208,'Timesheet Raw'!$C$4:$C$8000,D$3,'Timesheet Raw'!$A$4:$A$8000,"3-Proposals Regular"))</f>
        <v>0</v>
      </c>
      <c r="F208" s="341">
        <f>IF($A208="","",SUMIFS('Timesheet Raw'!$P$4:$P$8000,'Timesheet Raw'!$L$4:$L$8000,$A208,'Timesheet Raw'!$C$4:$C$8000,D$3,'Timesheet Raw'!$B$4:$B$8000,'Work Calendar'!$A$26)+SUMIFS('Timesheet Raw'!$P$4:$P$8000,'Timesheet Raw'!$L$4:$L$8000,$A208,'Timesheet Raw'!$C$4:$C$8000,D$3,'Timesheet Raw'!$B$4:$B$8000,'Work Calendar'!$A$27)+SUMIFS('Timesheet Raw'!$P$4:$P$8000,'Timesheet Raw'!$L$4:$L$8000,$A208,'Timesheet Raw'!$C$4:$C$8000,D$3,'Timesheet Raw'!$B$4:$B$8000,'Work Calendar'!$A$28)+SUMIFS('Timesheet Raw'!$P$4:$P$8000,'Timesheet Raw'!$L$4:$L$8000,$A208,'Timesheet Raw'!$C$4:$C$8000,D$3,'Timesheet Raw'!$B$4:$B$8000,'Work Calendar'!$A$29))</f>
        <v>8.5</v>
      </c>
      <c r="G208" s="341">
        <f t="shared" si="13"/>
        <v>0</v>
      </c>
      <c r="H208" s="395">
        <f>IF($A208="","",SUMIFS('Timesheet Raw'!$K$4:$K$8000,'Timesheet Raw'!$L$4:$L$8000,$A208,'Timesheet Raw'!$C$4:$C$8000,D$3))</f>
        <v>0</v>
      </c>
      <c r="I208" s="345">
        <f>IF($A208="","",SUMIFS('Timesheet Raw'!$P$4:$P$8000,'Timesheet Raw'!$L$4:$L$8000,$A208,'Timesheet Raw'!$C$4:$C$8000,D$3))</f>
        <v>8.5</v>
      </c>
      <c r="J208" s="375"/>
      <c r="K208" t="str">
        <f>IF($A208="","",IF(J208&lt;&gt;"",J208,IF($A208&gt;'Work Calendar'!$B$17,"No data yet",IF(AND(F208&gt;='Work Calendar'!$B$14,D208+E208+G208&gt;0),"Day off - but worked",IF(F208&gt;='Work Calendar'!$B$14,"Day off",IF(D208+E208+G208&gt;0,IF($C208="Working","Charged","Worked weekend"),IF($C208="Working","Leave (not charged)",$C208)))))))</f>
        <v>Day off</v>
      </c>
      <c r="L208" s="341">
        <f>IF($A208="","",SUMIFS('Timesheet Raw'!$P$4:$P$8000,'Timesheet Raw'!$L$4:$L$8000,$A208,'Timesheet Raw'!$C$4:$C$8000,L$3,'Timesheet Raw'!$A$4:$A$8000,"1-Projects"))</f>
        <v>0</v>
      </c>
      <c r="M208" s="341">
        <f>IF($A208="","",SUMIFS('Timesheet Raw'!$P$4:$P$8000,'Timesheet Raw'!$L$4:$L$8000,$A208,'Timesheet Raw'!$C$4:$C$8000,L$3,'Timesheet Raw'!$A$4:$A$8000,"2-Proposals Chargeable")+SUMIFS('Timesheet Raw'!$P$4:$P$8000,'Timesheet Raw'!$L$4:$L$8000,$A208,'Timesheet Raw'!$C$4:$C$8000,L$3,'Timesheet Raw'!$A$4:$A$8000,"3-Proposals Regular"))</f>
        <v>0</v>
      </c>
      <c r="N208" s="341">
        <f>IF($A208="","",SUMIFS('Timesheet Raw'!$P$4:$P$8000,'Timesheet Raw'!$L$4:$L$8000,$A208,'Timesheet Raw'!$C$4:$C$8000,L$3,'Timesheet Raw'!$B$4:$B$8000,'Work Calendar'!$A$26)+SUMIFS('Timesheet Raw'!$P$4:$P$8000,'Timesheet Raw'!$L$4:$L$8000,$A208,'Timesheet Raw'!$C$4:$C$8000,L$3,'Timesheet Raw'!$B$4:$B$8000,'Work Calendar'!$A$27)+SUMIFS('Timesheet Raw'!$P$4:$P$8000,'Timesheet Raw'!$L$4:$L$8000,$A208,'Timesheet Raw'!$C$4:$C$8000,L$3,'Timesheet Raw'!$B$4:$B$8000,'Work Calendar'!$A$28)+SUMIFS('Timesheet Raw'!$P$4:$P$8000,'Timesheet Raw'!$L$4:$L$8000,$A208,'Timesheet Raw'!$C$4:$C$8000,L$3,'Timesheet Raw'!$B$4:$B$8000,'Work Calendar'!$A$29))</f>
        <v>8.5</v>
      </c>
      <c r="O208" s="341">
        <f t="shared" si="14"/>
        <v>0</v>
      </c>
      <c r="P208" s="395">
        <f>IF($A208="","",SUMIFS('Timesheet Raw'!$K$4:$K$8000,'Timesheet Raw'!$L$4:$L$8000,$A208,'Timesheet Raw'!$C$4:$C$8000,L$3))</f>
        <v>0</v>
      </c>
      <c r="Q208" s="345">
        <f>IF($A208="","",SUMIFS('Timesheet Raw'!$P$4:$P$8000,'Timesheet Raw'!$L$4:$L$8000,$A208,'Timesheet Raw'!$C$4:$C$8000,L$3))</f>
        <v>8.5</v>
      </c>
      <c r="R208" s="375"/>
      <c r="S208" t="str">
        <f>IF($A208="","",IF(R208&lt;&gt;"",R208,IF($A208&gt;'Work Calendar'!$B$17,"No data yet",IF(AND(N208&gt;='Work Calendar'!$B$14,L208+M208+O208&gt;0),"Day off - but worked",IF(N208&gt;='Work Calendar'!$B$14,"Day off",IF(L208+M208+O208&gt;0,IF($C208="Working","Charged","Worked weekend"),IF($C208="Working","Leave (not charged)",$C208)))))))</f>
        <v>Day off</v>
      </c>
      <c r="T208" s="341">
        <f>IF($A208="","",SUMIFS('Timesheet Raw'!$P$4:$P$8000,'Timesheet Raw'!$L$4:$L$8000,$A208,'Timesheet Raw'!$C$4:$C$8000,T$3,'Timesheet Raw'!$A$4:$A$8000,"1-Projects"))</f>
        <v>0</v>
      </c>
      <c r="U208" s="341">
        <f>IF($A208="","",SUMIFS('Timesheet Raw'!$P$4:$P$8000,'Timesheet Raw'!$L$4:$L$8000,$A208,'Timesheet Raw'!$C$4:$C$8000,T$3,'Timesheet Raw'!$A$4:$A$8000,"2-Proposals Chargeable")+SUMIFS('Timesheet Raw'!$P$4:$P$8000,'Timesheet Raw'!$L$4:$L$8000,$A208,'Timesheet Raw'!$C$4:$C$8000,T$3,'Timesheet Raw'!$A$4:$A$8000,"3-Proposals Regular"))</f>
        <v>0</v>
      </c>
      <c r="V208" s="341">
        <f>IF($A208="","",SUMIFS('Timesheet Raw'!$P$4:$P$8000,'Timesheet Raw'!$L$4:$L$8000,$A208,'Timesheet Raw'!$C$4:$C$8000,T$3,'Timesheet Raw'!$B$4:$B$8000,'Work Calendar'!$A$26)+SUMIFS('Timesheet Raw'!$P$4:$P$8000,'Timesheet Raw'!$L$4:$L$8000,$A208,'Timesheet Raw'!$C$4:$C$8000,T$3,'Timesheet Raw'!$B$4:$B$8000,'Work Calendar'!$A$27)+SUMIFS('Timesheet Raw'!$P$4:$P$8000,'Timesheet Raw'!$L$4:$L$8000,$A208,'Timesheet Raw'!$C$4:$C$8000,T$3,'Timesheet Raw'!$B$4:$B$8000,'Work Calendar'!$A$28)+SUMIFS('Timesheet Raw'!$P$4:$P$8000,'Timesheet Raw'!$L$4:$L$8000,$A208,'Timesheet Raw'!$C$4:$C$8000,T$3,'Timesheet Raw'!$B$4:$B$8000,'Work Calendar'!$A$29))</f>
        <v>8.5</v>
      </c>
      <c r="W208" s="341">
        <f t="shared" si="15"/>
        <v>0</v>
      </c>
      <c r="X208" s="395">
        <f>IF($A208="","",SUMIFS('Timesheet Raw'!$K$4:$K$8000,'Timesheet Raw'!$L$4:$L$8000,$A208,'Timesheet Raw'!$C$4:$C$8000,T$3))</f>
        <v>0</v>
      </c>
      <c r="Y208" s="345">
        <f>IF($A208="","",SUMIFS('Timesheet Raw'!$P$4:$P$8000,'Timesheet Raw'!$L$4:$L$8000,$A208,'Timesheet Raw'!$C$4:$C$8000,T$3))</f>
        <v>8.5</v>
      </c>
      <c r="Z208" s="375"/>
      <c r="AA208" t="str">
        <f>IF($A208="","",IF(Z208&lt;&gt;"",Z208,IF($A208&gt;'Work Calendar'!$B$17,"No data yet",IF(AND(V208&gt;='Work Calendar'!$B$14,T208+U208+W208&gt;0),"Day off - but worked",IF(V208&gt;='Work Calendar'!$B$14,"Day off",IF(T208+U208+W208&gt;0,IF($C208="Working","Charged","Worked weekend"),IF($C208="Working","Leave (not charged)",$C208)))))))</f>
        <v>Day off</v>
      </c>
    </row>
    <row r="209" spans="1:27" x14ac:dyDescent="0.3">
      <c r="A209" s="371">
        <f>IF($A208="","",IF($A208+1&gt;'Work Calendar'!$B$16,"",$A208+1))</f>
        <v>46227</v>
      </c>
      <c r="B209" t="str">
        <f t="shared" si="12"/>
        <v>Fri</v>
      </c>
      <c r="C209" t="str" cm="1">
        <f t="array" ref="C209">IF($A209="","",IF(COUNTIF('Work Calendar'!$E$6:$E$200,$A209)&gt;0,"Holiday",IF(INDEX('Work Calendar'!$C$6:$C$12,WEEKDAY($A209,1))=1,"Working","Weekend")))</f>
        <v>Weekend</v>
      </c>
      <c r="D209" s="341">
        <f>IF($A209="","",SUMIFS('Timesheet Raw'!$P$4:$P$8000,'Timesheet Raw'!$L$4:$L$8000,$A209,'Timesheet Raw'!$C$4:$C$8000,D$3,'Timesheet Raw'!$A$4:$A$8000,"1-Projects"))</f>
        <v>0</v>
      </c>
      <c r="E209" s="341">
        <f>IF($A209="","",SUMIFS('Timesheet Raw'!$P$4:$P$8000,'Timesheet Raw'!$L$4:$L$8000,$A209,'Timesheet Raw'!$C$4:$C$8000,D$3,'Timesheet Raw'!$A$4:$A$8000,"2-Proposals Chargeable")+SUMIFS('Timesheet Raw'!$P$4:$P$8000,'Timesheet Raw'!$L$4:$L$8000,$A209,'Timesheet Raw'!$C$4:$C$8000,D$3,'Timesheet Raw'!$A$4:$A$8000,"3-Proposals Regular"))</f>
        <v>0</v>
      </c>
      <c r="F209" s="341">
        <f>IF($A209="","",SUMIFS('Timesheet Raw'!$P$4:$P$8000,'Timesheet Raw'!$L$4:$L$8000,$A209,'Timesheet Raw'!$C$4:$C$8000,D$3,'Timesheet Raw'!$B$4:$B$8000,'Work Calendar'!$A$26)+SUMIFS('Timesheet Raw'!$P$4:$P$8000,'Timesheet Raw'!$L$4:$L$8000,$A209,'Timesheet Raw'!$C$4:$C$8000,D$3,'Timesheet Raw'!$B$4:$B$8000,'Work Calendar'!$A$27)+SUMIFS('Timesheet Raw'!$P$4:$P$8000,'Timesheet Raw'!$L$4:$L$8000,$A209,'Timesheet Raw'!$C$4:$C$8000,D$3,'Timesheet Raw'!$B$4:$B$8000,'Work Calendar'!$A$28)+SUMIFS('Timesheet Raw'!$P$4:$P$8000,'Timesheet Raw'!$L$4:$L$8000,$A209,'Timesheet Raw'!$C$4:$C$8000,D$3,'Timesheet Raw'!$B$4:$B$8000,'Work Calendar'!$A$29))</f>
        <v>0</v>
      </c>
      <c r="G209" s="341">
        <f t="shared" si="13"/>
        <v>0</v>
      </c>
      <c r="H209" s="395">
        <f>IF($A209="","",SUMIFS('Timesheet Raw'!$K$4:$K$8000,'Timesheet Raw'!$L$4:$L$8000,$A209,'Timesheet Raw'!$C$4:$C$8000,D$3))</f>
        <v>0</v>
      </c>
      <c r="I209" s="345">
        <f>IF($A209="","",SUMIFS('Timesheet Raw'!$P$4:$P$8000,'Timesheet Raw'!$L$4:$L$8000,$A209,'Timesheet Raw'!$C$4:$C$8000,D$3))</f>
        <v>0</v>
      </c>
      <c r="J209" s="375"/>
      <c r="K209" t="str">
        <f>IF($A209="","",IF(J209&lt;&gt;"",J209,IF($A209&gt;'Work Calendar'!$B$17,"No data yet",IF(AND(F209&gt;='Work Calendar'!$B$14,D209+E209+G209&gt;0),"Day off - but worked",IF(F209&gt;='Work Calendar'!$B$14,"Day off",IF(D209+E209+G209&gt;0,IF($C209="Working","Charged","Worked weekend"),IF($C209="Working","Leave (not charged)",$C209)))))))</f>
        <v>Weekend</v>
      </c>
      <c r="L209" s="341">
        <f>IF($A209="","",SUMIFS('Timesheet Raw'!$P$4:$P$8000,'Timesheet Raw'!$L$4:$L$8000,$A209,'Timesheet Raw'!$C$4:$C$8000,L$3,'Timesheet Raw'!$A$4:$A$8000,"1-Projects"))</f>
        <v>0</v>
      </c>
      <c r="M209" s="341">
        <f>IF($A209="","",SUMIFS('Timesheet Raw'!$P$4:$P$8000,'Timesheet Raw'!$L$4:$L$8000,$A209,'Timesheet Raw'!$C$4:$C$8000,L$3,'Timesheet Raw'!$A$4:$A$8000,"2-Proposals Chargeable")+SUMIFS('Timesheet Raw'!$P$4:$P$8000,'Timesheet Raw'!$L$4:$L$8000,$A209,'Timesheet Raw'!$C$4:$C$8000,L$3,'Timesheet Raw'!$A$4:$A$8000,"3-Proposals Regular"))</f>
        <v>0</v>
      </c>
      <c r="N209" s="341">
        <f>IF($A209="","",SUMIFS('Timesheet Raw'!$P$4:$P$8000,'Timesheet Raw'!$L$4:$L$8000,$A209,'Timesheet Raw'!$C$4:$C$8000,L$3,'Timesheet Raw'!$B$4:$B$8000,'Work Calendar'!$A$26)+SUMIFS('Timesheet Raw'!$P$4:$P$8000,'Timesheet Raw'!$L$4:$L$8000,$A209,'Timesheet Raw'!$C$4:$C$8000,L$3,'Timesheet Raw'!$B$4:$B$8000,'Work Calendar'!$A$27)+SUMIFS('Timesheet Raw'!$P$4:$P$8000,'Timesheet Raw'!$L$4:$L$8000,$A209,'Timesheet Raw'!$C$4:$C$8000,L$3,'Timesheet Raw'!$B$4:$B$8000,'Work Calendar'!$A$28)+SUMIFS('Timesheet Raw'!$P$4:$P$8000,'Timesheet Raw'!$L$4:$L$8000,$A209,'Timesheet Raw'!$C$4:$C$8000,L$3,'Timesheet Raw'!$B$4:$B$8000,'Work Calendar'!$A$29))</f>
        <v>0</v>
      </c>
      <c r="O209" s="341">
        <f t="shared" si="14"/>
        <v>0</v>
      </c>
      <c r="P209" s="395">
        <f>IF($A209="","",SUMIFS('Timesheet Raw'!$K$4:$K$8000,'Timesheet Raw'!$L$4:$L$8000,$A209,'Timesheet Raw'!$C$4:$C$8000,L$3))</f>
        <v>0</v>
      </c>
      <c r="Q209" s="345">
        <f>IF($A209="","",SUMIFS('Timesheet Raw'!$P$4:$P$8000,'Timesheet Raw'!$L$4:$L$8000,$A209,'Timesheet Raw'!$C$4:$C$8000,L$3))</f>
        <v>0</v>
      </c>
      <c r="R209" s="375"/>
      <c r="S209" t="str">
        <f>IF($A209="","",IF(R209&lt;&gt;"",R209,IF($A209&gt;'Work Calendar'!$B$17,"No data yet",IF(AND(N209&gt;='Work Calendar'!$B$14,L209+M209+O209&gt;0),"Day off - but worked",IF(N209&gt;='Work Calendar'!$B$14,"Day off",IF(L209+M209+O209&gt;0,IF($C209="Working","Charged","Worked weekend"),IF($C209="Working","Leave (not charged)",$C209)))))))</f>
        <v>Weekend</v>
      </c>
      <c r="T209" s="341">
        <f>IF($A209="","",SUMIFS('Timesheet Raw'!$P$4:$P$8000,'Timesheet Raw'!$L$4:$L$8000,$A209,'Timesheet Raw'!$C$4:$C$8000,T$3,'Timesheet Raw'!$A$4:$A$8000,"1-Projects"))</f>
        <v>0</v>
      </c>
      <c r="U209" s="341">
        <f>IF($A209="","",SUMIFS('Timesheet Raw'!$P$4:$P$8000,'Timesheet Raw'!$L$4:$L$8000,$A209,'Timesheet Raw'!$C$4:$C$8000,T$3,'Timesheet Raw'!$A$4:$A$8000,"2-Proposals Chargeable")+SUMIFS('Timesheet Raw'!$P$4:$P$8000,'Timesheet Raw'!$L$4:$L$8000,$A209,'Timesheet Raw'!$C$4:$C$8000,T$3,'Timesheet Raw'!$A$4:$A$8000,"3-Proposals Regular"))</f>
        <v>0</v>
      </c>
      <c r="V209" s="341">
        <f>IF($A209="","",SUMIFS('Timesheet Raw'!$P$4:$P$8000,'Timesheet Raw'!$L$4:$L$8000,$A209,'Timesheet Raw'!$C$4:$C$8000,T$3,'Timesheet Raw'!$B$4:$B$8000,'Work Calendar'!$A$26)+SUMIFS('Timesheet Raw'!$P$4:$P$8000,'Timesheet Raw'!$L$4:$L$8000,$A209,'Timesheet Raw'!$C$4:$C$8000,T$3,'Timesheet Raw'!$B$4:$B$8000,'Work Calendar'!$A$27)+SUMIFS('Timesheet Raw'!$P$4:$P$8000,'Timesheet Raw'!$L$4:$L$8000,$A209,'Timesheet Raw'!$C$4:$C$8000,T$3,'Timesheet Raw'!$B$4:$B$8000,'Work Calendar'!$A$28)+SUMIFS('Timesheet Raw'!$P$4:$P$8000,'Timesheet Raw'!$L$4:$L$8000,$A209,'Timesheet Raw'!$C$4:$C$8000,T$3,'Timesheet Raw'!$B$4:$B$8000,'Work Calendar'!$A$29))</f>
        <v>0</v>
      </c>
      <c r="W209" s="341">
        <f t="shared" si="15"/>
        <v>0</v>
      </c>
      <c r="X209" s="395">
        <f>IF($A209="","",SUMIFS('Timesheet Raw'!$K$4:$K$8000,'Timesheet Raw'!$L$4:$L$8000,$A209,'Timesheet Raw'!$C$4:$C$8000,T$3))</f>
        <v>0</v>
      </c>
      <c r="Y209" s="345">
        <f>IF($A209="","",SUMIFS('Timesheet Raw'!$P$4:$P$8000,'Timesheet Raw'!$L$4:$L$8000,$A209,'Timesheet Raw'!$C$4:$C$8000,T$3))</f>
        <v>0</v>
      </c>
      <c r="Z209" s="375"/>
      <c r="AA209" t="str">
        <f>IF($A209="","",IF(Z209&lt;&gt;"",Z209,IF($A209&gt;'Work Calendar'!$B$17,"No data yet",IF(AND(V209&gt;='Work Calendar'!$B$14,T209+U209+W209&gt;0),"Day off - but worked",IF(V209&gt;='Work Calendar'!$B$14,"Day off",IF(T209+U209+W209&gt;0,IF($C209="Working","Charged","Worked weekend"),IF($C209="Working","Leave (not charged)",$C209)))))))</f>
        <v>Weekend</v>
      </c>
    </row>
    <row r="210" spans="1:27" x14ac:dyDescent="0.3">
      <c r="A210" s="371">
        <f>IF($A209="","",IF($A209+1&gt;'Work Calendar'!$B$16,"",$A209+1))</f>
        <v>46228</v>
      </c>
      <c r="B210" t="str">
        <f t="shared" si="12"/>
        <v>Sat</v>
      </c>
      <c r="C210" t="str" cm="1">
        <f t="array" ref="C210">IF($A210="","",IF(COUNTIF('Work Calendar'!$E$6:$E$200,$A210)&gt;0,"Holiday",IF(INDEX('Work Calendar'!$C$6:$C$12,WEEKDAY($A210,1))=1,"Working","Weekend")))</f>
        <v>Weekend</v>
      </c>
      <c r="D210" s="341">
        <f>IF($A210="","",SUMIFS('Timesheet Raw'!$P$4:$P$8000,'Timesheet Raw'!$L$4:$L$8000,$A210,'Timesheet Raw'!$C$4:$C$8000,D$3,'Timesheet Raw'!$A$4:$A$8000,"1-Projects"))</f>
        <v>0</v>
      </c>
      <c r="E210" s="341">
        <f>IF($A210="","",SUMIFS('Timesheet Raw'!$P$4:$P$8000,'Timesheet Raw'!$L$4:$L$8000,$A210,'Timesheet Raw'!$C$4:$C$8000,D$3,'Timesheet Raw'!$A$4:$A$8000,"2-Proposals Chargeable")+SUMIFS('Timesheet Raw'!$P$4:$P$8000,'Timesheet Raw'!$L$4:$L$8000,$A210,'Timesheet Raw'!$C$4:$C$8000,D$3,'Timesheet Raw'!$A$4:$A$8000,"3-Proposals Regular"))</f>
        <v>0</v>
      </c>
      <c r="F210" s="341">
        <f>IF($A210="","",SUMIFS('Timesheet Raw'!$P$4:$P$8000,'Timesheet Raw'!$L$4:$L$8000,$A210,'Timesheet Raw'!$C$4:$C$8000,D$3,'Timesheet Raw'!$B$4:$B$8000,'Work Calendar'!$A$26)+SUMIFS('Timesheet Raw'!$P$4:$P$8000,'Timesheet Raw'!$L$4:$L$8000,$A210,'Timesheet Raw'!$C$4:$C$8000,D$3,'Timesheet Raw'!$B$4:$B$8000,'Work Calendar'!$A$27)+SUMIFS('Timesheet Raw'!$P$4:$P$8000,'Timesheet Raw'!$L$4:$L$8000,$A210,'Timesheet Raw'!$C$4:$C$8000,D$3,'Timesheet Raw'!$B$4:$B$8000,'Work Calendar'!$A$28)+SUMIFS('Timesheet Raw'!$P$4:$P$8000,'Timesheet Raw'!$L$4:$L$8000,$A210,'Timesheet Raw'!$C$4:$C$8000,D$3,'Timesheet Raw'!$B$4:$B$8000,'Work Calendar'!$A$29))</f>
        <v>0</v>
      </c>
      <c r="G210" s="341">
        <f t="shared" si="13"/>
        <v>0</v>
      </c>
      <c r="H210" s="395">
        <f>IF($A210="","",SUMIFS('Timesheet Raw'!$K$4:$K$8000,'Timesheet Raw'!$L$4:$L$8000,$A210,'Timesheet Raw'!$C$4:$C$8000,D$3))</f>
        <v>0</v>
      </c>
      <c r="I210" s="345">
        <f>IF($A210="","",SUMIFS('Timesheet Raw'!$P$4:$P$8000,'Timesheet Raw'!$L$4:$L$8000,$A210,'Timesheet Raw'!$C$4:$C$8000,D$3))</f>
        <v>0</v>
      </c>
      <c r="J210" s="375"/>
      <c r="K210" t="str">
        <f>IF($A210="","",IF(J210&lt;&gt;"",J210,IF($A210&gt;'Work Calendar'!$B$17,"No data yet",IF(AND(F210&gt;='Work Calendar'!$B$14,D210+E210+G210&gt;0),"Day off - but worked",IF(F210&gt;='Work Calendar'!$B$14,"Day off",IF(D210+E210+G210&gt;0,IF($C210="Working","Charged","Worked weekend"),IF($C210="Working","Leave (not charged)",$C210)))))))</f>
        <v>Weekend</v>
      </c>
      <c r="L210" s="341">
        <f>IF($A210="","",SUMIFS('Timesheet Raw'!$P$4:$P$8000,'Timesheet Raw'!$L$4:$L$8000,$A210,'Timesheet Raw'!$C$4:$C$8000,L$3,'Timesheet Raw'!$A$4:$A$8000,"1-Projects"))</f>
        <v>0</v>
      </c>
      <c r="M210" s="341">
        <f>IF($A210="","",SUMIFS('Timesheet Raw'!$P$4:$P$8000,'Timesheet Raw'!$L$4:$L$8000,$A210,'Timesheet Raw'!$C$4:$C$8000,L$3,'Timesheet Raw'!$A$4:$A$8000,"2-Proposals Chargeable")+SUMIFS('Timesheet Raw'!$P$4:$P$8000,'Timesheet Raw'!$L$4:$L$8000,$A210,'Timesheet Raw'!$C$4:$C$8000,L$3,'Timesheet Raw'!$A$4:$A$8000,"3-Proposals Regular"))</f>
        <v>0</v>
      </c>
      <c r="N210" s="341">
        <f>IF($A210="","",SUMIFS('Timesheet Raw'!$P$4:$P$8000,'Timesheet Raw'!$L$4:$L$8000,$A210,'Timesheet Raw'!$C$4:$C$8000,L$3,'Timesheet Raw'!$B$4:$B$8000,'Work Calendar'!$A$26)+SUMIFS('Timesheet Raw'!$P$4:$P$8000,'Timesheet Raw'!$L$4:$L$8000,$A210,'Timesheet Raw'!$C$4:$C$8000,L$3,'Timesheet Raw'!$B$4:$B$8000,'Work Calendar'!$A$27)+SUMIFS('Timesheet Raw'!$P$4:$P$8000,'Timesheet Raw'!$L$4:$L$8000,$A210,'Timesheet Raw'!$C$4:$C$8000,L$3,'Timesheet Raw'!$B$4:$B$8000,'Work Calendar'!$A$28)+SUMIFS('Timesheet Raw'!$P$4:$P$8000,'Timesheet Raw'!$L$4:$L$8000,$A210,'Timesheet Raw'!$C$4:$C$8000,L$3,'Timesheet Raw'!$B$4:$B$8000,'Work Calendar'!$A$29))</f>
        <v>0</v>
      </c>
      <c r="O210" s="341">
        <f t="shared" si="14"/>
        <v>0</v>
      </c>
      <c r="P210" s="395">
        <f>IF($A210="","",SUMIFS('Timesheet Raw'!$K$4:$K$8000,'Timesheet Raw'!$L$4:$L$8000,$A210,'Timesheet Raw'!$C$4:$C$8000,L$3))</f>
        <v>0</v>
      </c>
      <c r="Q210" s="345">
        <f>IF($A210="","",SUMIFS('Timesheet Raw'!$P$4:$P$8000,'Timesheet Raw'!$L$4:$L$8000,$A210,'Timesheet Raw'!$C$4:$C$8000,L$3))</f>
        <v>0</v>
      </c>
      <c r="R210" s="375"/>
      <c r="S210" t="str">
        <f>IF($A210="","",IF(R210&lt;&gt;"",R210,IF($A210&gt;'Work Calendar'!$B$17,"No data yet",IF(AND(N210&gt;='Work Calendar'!$B$14,L210+M210+O210&gt;0),"Day off - but worked",IF(N210&gt;='Work Calendar'!$B$14,"Day off",IF(L210+M210+O210&gt;0,IF($C210="Working","Charged","Worked weekend"),IF($C210="Working","Leave (not charged)",$C210)))))))</f>
        <v>Weekend</v>
      </c>
      <c r="T210" s="341">
        <f>IF($A210="","",SUMIFS('Timesheet Raw'!$P$4:$P$8000,'Timesheet Raw'!$L$4:$L$8000,$A210,'Timesheet Raw'!$C$4:$C$8000,T$3,'Timesheet Raw'!$A$4:$A$8000,"1-Projects"))</f>
        <v>0</v>
      </c>
      <c r="U210" s="341">
        <f>IF($A210="","",SUMIFS('Timesheet Raw'!$P$4:$P$8000,'Timesheet Raw'!$L$4:$L$8000,$A210,'Timesheet Raw'!$C$4:$C$8000,T$3,'Timesheet Raw'!$A$4:$A$8000,"2-Proposals Chargeable")+SUMIFS('Timesheet Raw'!$P$4:$P$8000,'Timesheet Raw'!$L$4:$L$8000,$A210,'Timesheet Raw'!$C$4:$C$8000,T$3,'Timesheet Raw'!$A$4:$A$8000,"3-Proposals Regular"))</f>
        <v>0</v>
      </c>
      <c r="V210" s="341">
        <f>IF($A210="","",SUMIFS('Timesheet Raw'!$P$4:$P$8000,'Timesheet Raw'!$L$4:$L$8000,$A210,'Timesheet Raw'!$C$4:$C$8000,T$3,'Timesheet Raw'!$B$4:$B$8000,'Work Calendar'!$A$26)+SUMIFS('Timesheet Raw'!$P$4:$P$8000,'Timesheet Raw'!$L$4:$L$8000,$A210,'Timesheet Raw'!$C$4:$C$8000,T$3,'Timesheet Raw'!$B$4:$B$8000,'Work Calendar'!$A$27)+SUMIFS('Timesheet Raw'!$P$4:$P$8000,'Timesheet Raw'!$L$4:$L$8000,$A210,'Timesheet Raw'!$C$4:$C$8000,T$3,'Timesheet Raw'!$B$4:$B$8000,'Work Calendar'!$A$28)+SUMIFS('Timesheet Raw'!$P$4:$P$8000,'Timesheet Raw'!$L$4:$L$8000,$A210,'Timesheet Raw'!$C$4:$C$8000,T$3,'Timesheet Raw'!$B$4:$B$8000,'Work Calendar'!$A$29))</f>
        <v>0</v>
      </c>
      <c r="W210" s="341">
        <f t="shared" si="15"/>
        <v>0</v>
      </c>
      <c r="X210" s="395">
        <f>IF($A210="","",SUMIFS('Timesheet Raw'!$K$4:$K$8000,'Timesheet Raw'!$L$4:$L$8000,$A210,'Timesheet Raw'!$C$4:$C$8000,T$3))</f>
        <v>0</v>
      </c>
      <c r="Y210" s="345">
        <f>IF($A210="","",SUMIFS('Timesheet Raw'!$P$4:$P$8000,'Timesheet Raw'!$L$4:$L$8000,$A210,'Timesheet Raw'!$C$4:$C$8000,T$3))</f>
        <v>0</v>
      </c>
      <c r="Z210" s="375"/>
      <c r="AA210" t="str">
        <f>IF($A210="","",IF(Z210&lt;&gt;"",Z210,IF($A210&gt;'Work Calendar'!$B$17,"No data yet",IF(AND(V210&gt;='Work Calendar'!$B$14,T210+U210+W210&gt;0),"Day off - but worked",IF(V210&gt;='Work Calendar'!$B$14,"Day off",IF(T210+U210+W210&gt;0,IF($C210="Working","Charged","Worked weekend"),IF($C210="Working","Leave (not charged)",$C210)))))))</f>
        <v>Weekend</v>
      </c>
    </row>
    <row r="211" spans="1:27" x14ac:dyDescent="0.3">
      <c r="A211" s="371">
        <f>IF($A210="","",IF($A210+1&gt;'Work Calendar'!$B$16,"",$A210+1))</f>
        <v>46229</v>
      </c>
      <c r="B211" t="str">
        <f t="shared" si="12"/>
        <v>Sun</v>
      </c>
      <c r="C211" t="str" cm="1">
        <f t="array" ref="C211">IF($A211="","",IF(COUNTIF('Work Calendar'!$E$6:$E$200,$A211)&gt;0,"Holiday",IF(INDEX('Work Calendar'!$C$6:$C$12,WEEKDAY($A211,1))=1,"Working","Weekend")))</f>
        <v>Working</v>
      </c>
      <c r="D211" s="341">
        <f>IF($A211="","",SUMIFS('Timesheet Raw'!$P$4:$P$8000,'Timesheet Raw'!$L$4:$L$8000,$A211,'Timesheet Raw'!$C$4:$C$8000,D$3,'Timesheet Raw'!$A$4:$A$8000,"1-Projects"))</f>
        <v>0</v>
      </c>
      <c r="E211" s="341">
        <f>IF($A211="","",SUMIFS('Timesheet Raw'!$P$4:$P$8000,'Timesheet Raw'!$L$4:$L$8000,$A211,'Timesheet Raw'!$C$4:$C$8000,D$3,'Timesheet Raw'!$A$4:$A$8000,"2-Proposals Chargeable")+SUMIFS('Timesheet Raw'!$P$4:$P$8000,'Timesheet Raw'!$L$4:$L$8000,$A211,'Timesheet Raw'!$C$4:$C$8000,D$3,'Timesheet Raw'!$A$4:$A$8000,"3-Proposals Regular"))</f>
        <v>0</v>
      </c>
      <c r="F211" s="341">
        <f>IF($A211="","",SUMIFS('Timesheet Raw'!$P$4:$P$8000,'Timesheet Raw'!$L$4:$L$8000,$A211,'Timesheet Raw'!$C$4:$C$8000,D$3,'Timesheet Raw'!$B$4:$B$8000,'Work Calendar'!$A$26)+SUMIFS('Timesheet Raw'!$P$4:$P$8000,'Timesheet Raw'!$L$4:$L$8000,$A211,'Timesheet Raw'!$C$4:$C$8000,D$3,'Timesheet Raw'!$B$4:$B$8000,'Work Calendar'!$A$27)+SUMIFS('Timesheet Raw'!$P$4:$P$8000,'Timesheet Raw'!$L$4:$L$8000,$A211,'Timesheet Raw'!$C$4:$C$8000,D$3,'Timesheet Raw'!$B$4:$B$8000,'Work Calendar'!$A$28)+SUMIFS('Timesheet Raw'!$P$4:$P$8000,'Timesheet Raw'!$L$4:$L$8000,$A211,'Timesheet Raw'!$C$4:$C$8000,D$3,'Timesheet Raw'!$B$4:$B$8000,'Work Calendar'!$A$29))</f>
        <v>8.5</v>
      </c>
      <c r="G211" s="341">
        <f t="shared" si="13"/>
        <v>0</v>
      </c>
      <c r="H211" s="395">
        <f>IF($A211="","",SUMIFS('Timesheet Raw'!$K$4:$K$8000,'Timesheet Raw'!$L$4:$L$8000,$A211,'Timesheet Raw'!$C$4:$C$8000,D$3))</f>
        <v>0</v>
      </c>
      <c r="I211" s="345">
        <f>IF($A211="","",SUMIFS('Timesheet Raw'!$P$4:$P$8000,'Timesheet Raw'!$L$4:$L$8000,$A211,'Timesheet Raw'!$C$4:$C$8000,D$3))</f>
        <v>8.5</v>
      </c>
      <c r="J211" s="375"/>
      <c r="K211" t="str">
        <f>IF($A211="","",IF(J211&lt;&gt;"",J211,IF($A211&gt;'Work Calendar'!$B$17,"No data yet",IF(AND(F211&gt;='Work Calendar'!$B$14,D211+E211+G211&gt;0),"Day off - but worked",IF(F211&gt;='Work Calendar'!$B$14,"Day off",IF(D211+E211+G211&gt;0,IF($C211="Working","Charged","Worked weekend"),IF($C211="Working","Leave (not charged)",$C211)))))))</f>
        <v>Day off</v>
      </c>
      <c r="L211" s="341">
        <f>IF($A211="","",SUMIFS('Timesheet Raw'!$P$4:$P$8000,'Timesheet Raw'!$L$4:$L$8000,$A211,'Timesheet Raw'!$C$4:$C$8000,L$3,'Timesheet Raw'!$A$4:$A$8000,"1-Projects"))</f>
        <v>12.75</v>
      </c>
      <c r="M211" s="341">
        <f>IF($A211="","",SUMIFS('Timesheet Raw'!$P$4:$P$8000,'Timesheet Raw'!$L$4:$L$8000,$A211,'Timesheet Raw'!$C$4:$C$8000,L$3,'Timesheet Raw'!$A$4:$A$8000,"2-Proposals Chargeable")+SUMIFS('Timesheet Raw'!$P$4:$P$8000,'Timesheet Raw'!$L$4:$L$8000,$A211,'Timesheet Raw'!$C$4:$C$8000,L$3,'Timesheet Raw'!$A$4:$A$8000,"3-Proposals Regular"))</f>
        <v>0</v>
      </c>
      <c r="N211" s="341">
        <f>IF($A211="","",SUMIFS('Timesheet Raw'!$P$4:$P$8000,'Timesheet Raw'!$L$4:$L$8000,$A211,'Timesheet Raw'!$C$4:$C$8000,L$3,'Timesheet Raw'!$B$4:$B$8000,'Work Calendar'!$A$26)+SUMIFS('Timesheet Raw'!$P$4:$P$8000,'Timesheet Raw'!$L$4:$L$8000,$A211,'Timesheet Raw'!$C$4:$C$8000,L$3,'Timesheet Raw'!$B$4:$B$8000,'Work Calendar'!$A$27)+SUMIFS('Timesheet Raw'!$P$4:$P$8000,'Timesheet Raw'!$L$4:$L$8000,$A211,'Timesheet Raw'!$C$4:$C$8000,L$3,'Timesheet Raw'!$B$4:$B$8000,'Work Calendar'!$A$28)+SUMIFS('Timesheet Raw'!$P$4:$P$8000,'Timesheet Raw'!$L$4:$L$8000,$A211,'Timesheet Raw'!$C$4:$C$8000,L$3,'Timesheet Raw'!$B$4:$B$8000,'Work Calendar'!$A$29))</f>
        <v>0.25</v>
      </c>
      <c r="O211" s="341">
        <f t="shared" si="14"/>
        <v>0</v>
      </c>
      <c r="P211" s="395">
        <f>IF($A211="","",SUMIFS('Timesheet Raw'!$K$4:$K$8000,'Timesheet Raw'!$L$4:$L$8000,$A211,'Timesheet Raw'!$C$4:$C$8000,L$3))</f>
        <v>4.5</v>
      </c>
      <c r="Q211" s="345">
        <f>IF($A211="","",SUMIFS('Timesheet Raw'!$P$4:$P$8000,'Timesheet Raw'!$L$4:$L$8000,$A211,'Timesheet Raw'!$C$4:$C$8000,L$3))</f>
        <v>13</v>
      </c>
      <c r="R211" s="375"/>
      <c r="S211" t="str">
        <f>IF($A211="","",IF(R211&lt;&gt;"",R211,IF($A211&gt;'Work Calendar'!$B$17,"No data yet",IF(AND(N211&gt;='Work Calendar'!$B$14,L211+M211+O211&gt;0),"Day off - but worked",IF(N211&gt;='Work Calendar'!$B$14,"Day off",IF(L211+M211+O211&gt;0,IF($C211="Working","Charged","Worked weekend"),IF($C211="Working","Leave (not charged)",$C211)))))))</f>
        <v>Charged</v>
      </c>
      <c r="T211" s="341">
        <f>IF($A211="","",SUMIFS('Timesheet Raw'!$P$4:$P$8000,'Timesheet Raw'!$L$4:$L$8000,$A211,'Timesheet Raw'!$C$4:$C$8000,T$3,'Timesheet Raw'!$A$4:$A$8000,"1-Projects"))</f>
        <v>12</v>
      </c>
      <c r="U211" s="341">
        <f>IF($A211="","",SUMIFS('Timesheet Raw'!$P$4:$P$8000,'Timesheet Raw'!$L$4:$L$8000,$A211,'Timesheet Raw'!$C$4:$C$8000,T$3,'Timesheet Raw'!$A$4:$A$8000,"2-Proposals Chargeable")+SUMIFS('Timesheet Raw'!$P$4:$P$8000,'Timesheet Raw'!$L$4:$L$8000,$A211,'Timesheet Raw'!$C$4:$C$8000,T$3,'Timesheet Raw'!$A$4:$A$8000,"3-Proposals Regular"))</f>
        <v>0</v>
      </c>
      <c r="V211" s="341">
        <f>IF($A211="","",SUMIFS('Timesheet Raw'!$P$4:$P$8000,'Timesheet Raw'!$L$4:$L$8000,$A211,'Timesheet Raw'!$C$4:$C$8000,T$3,'Timesheet Raw'!$B$4:$B$8000,'Work Calendar'!$A$26)+SUMIFS('Timesheet Raw'!$P$4:$P$8000,'Timesheet Raw'!$L$4:$L$8000,$A211,'Timesheet Raw'!$C$4:$C$8000,T$3,'Timesheet Raw'!$B$4:$B$8000,'Work Calendar'!$A$27)+SUMIFS('Timesheet Raw'!$P$4:$P$8000,'Timesheet Raw'!$L$4:$L$8000,$A211,'Timesheet Raw'!$C$4:$C$8000,T$3,'Timesheet Raw'!$B$4:$B$8000,'Work Calendar'!$A$28)+SUMIFS('Timesheet Raw'!$P$4:$P$8000,'Timesheet Raw'!$L$4:$L$8000,$A211,'Timesheet Raw'!$C$4:$C$8000,T$3,'Timesheet Raw'!$B$4:$B$8000,'Work Calendar'!$A$29))</f>
        <v>0.75</v>
      </c>
      <c r="W211" s="341">
        <f t="shared" si="15"/>
        <v>0</v>
      </c>
      <c r="X211" s="395">
        <f>IF($A211="","",SUMIFS('Timesheet Raw'!$K$4:$K$8000,'Timesheet Raw'!$L$4:$L$8000,$A211,'Timesheet Raw'!$C$4:$C$8000,T$3))</f>
        <v>4.25</v>
      </c>
      <c r="Y211" s="345">
        <f>IF($A211="","",SUMIFS('Timesheet Raw'!$P$4:$P$8000,'Timesheet Raw'!$L$4:$L$8000,$A211,'Timesheet Raw'!$C$4:$C$8000,T$3))</f>
        <v>12.75</v>
      </c>
      <c r="Z211" s="375"/>
      <c r="AA211" t="str">
        <f>IF($A211="","",IF(Z211&lt;&gt;"",Z211,IF($A211&gt;'Work Calendar'!$B$17,"No data yet",IF(AND(V211&gt;='Work Calendar'!$B$14,T211+U211+W211&gt;0),"Day off - but worked",IF(V211&gt;='Work Calendar'!$B$14,"Day off",IF(T211+U211+W211&gt;0,IF($C211="Working","Charged","Worked weekend"),IF($C211="Working","Leave (not charged)",$C211)))))))</f>
        <v>Charged</v>
      </c>
    </row>
    <row r="212" spans="1:27" x14ac:dyDescent="0.3">
      <c r="A212" s="371">
        <f>IF($A211="","",IF($A211+1&gt;'Work Calendar'!$B$16,"",$A211+1))</f>
        <v>46230</v>
      </c>
      <c r="B212" t="str">
        <f t="shared" si="12"/>
        <v>Mon</v>
      </c>
      <c r="C212" t="str" cm="1">
        <f t="array" ref="C212">IF($A212="","",IF(COUNTIF('Work Calendar'!$E$6:$E$200,$A212)&gt;0,"Holiday",IF(INDEX('Work Calendar'!$C$6:$C$12,WEEKDAY($A212,1))=1,"Working","Weekend")))</f>
        <v>Working</v>
      </c>
      <c r="D212" s="341">
        <f>IF($A212="","",SUMIFS('Timesheet Raw'!$P$4:$P$8000,'Timesheet Raw'!$L$4:$L$8000,$A212,'Timesheet Raw'!$C$4:$C$8000,D$3,'Timesheet Raw'!$A$4:$A$8000,"1-Projects"))</f>
        <v>0</v>
      </c>
      <c r="E212" s="341">
        <f>IF($A212="","",SUMIFS('Timesheet Raw'!$P$4:$P$8000,'Timesheet Raw'!$L$4:$L$8000,$A212,'Timesheet Raw'!$C$4:$C$8000,D$3,'Timesheet Raw'!$A$4:$A$8000,"2-Proposals Chargeable")+SUMIFS('Timesheet Raw'!$P$4:$P$8000,'Timesheet Raw'!$L$4:$L$8000,$A212,'Timesheet Raw'!$C$4:$C$8000,D$3,'Timesheet Raw'!$A$4:$A$8000,"3-Proposals Regular"))</f>
        <v>0</v>
      </c>
      <c r="F212" s="341">
        <f>IF($A212="","",SUMIFS('Timesheet Raw'!$P$4:$P$8000,'Timesheet Raw'!$L$4:$L$8000,$A212,'Timesheet Raw'!$C$4:$C$8000,D$3,'Timesheet Raw'!$B$4:$B$8000,'Work Calendar'!$A$26)+SUMIFS('Timesheet Raw'!$P$4:$P$8000,'Timesheet Raw'!$L$4:$L$8000,$A212,'Timesheet Raw'!$C$4:$C$8000,D$3,'Timesheet Raw'!$B$4:$B$8000,'Work Calendar'!$A$27)+SUMIFS('Timesheet Raw'!$P$4:$P$8000,'Timesheet Raw'!$L$4:$L$8000,$A212,'Timesheet Raw'!$C$4:$C$8000,D$3,'Timesheet Raw'!$B$4:$B$8000,'Work Calendar'!$A$28)+SUMIFS('Timesheet Raw'!$P$4:$P$8000,'Timesheet Raw'!$L$4:$L$8000,$A212,'Timesheet Raw'!$C$4:$C$8000,D$3,'Timesheet Raw'!$B$4:$B$8000,'Work Calendar'!$A$29))</f>
        <v>0</v>
      </c>
      <c r="G212" s="341">
        <f t="shared" si="13"/>
        <v>0</v>
      </c>
      <c r="H212" s="395">
        <f>IF($A212="","",SUMIFS('Timesheet Raw'!$K$4:$K$8000,'Timesheet Raw'!$L$4:$L$8000,$A212,'Timesheet Raw'!$C$4:$C$8000,D$3))</f>
        <v>0</v>
      </c>
      <c r="I212" s="345">
        <f>IF($A212="","",SUMIFS('Timesheet Raw'!$P$4:$P$8000,'Timesheet Raw'!$L$4:$L$8000,$A212,'Timesheet Raw'!$C$4:$C$8000,D$3))</f>
        <v>0</v>
      </c>
      <c r="J212" s="375"/>
      <c r="K212" t="str">
        <f>IF($A212="","",IF(J212&lt;&gt;"",J212,IF($A212&gt;'Work Calendar'!$B$17,"No data yet",IF(AND(F212&gt;='Work Calendar'!$B$14,D212+E212+G212&gt;0),"Day off - but worked",IF(F212&gt;='Work Calendar'!$B$14,"Day off",IF(D212+E212+G212&gt;0,IF($C212="Working","Charged","Worked weekend"),IF($C212="Working","Leave (not charged)",$C212)))))))</f>
        <v>Leave (not charged)</v>
      </c>
      <c r="L212" s="341">
        <f>IF($A212="","",SUMIFS('Timesheet Raw'!$P$4:$P$8000,'Timesheet Raw'!$L$4:$L$8000,$A212,'Timesheet Raw'!$C$4:$C$8000,L$3,'Timesheet Raw'!$A$4:$A$8000,"1-Projects"))</f>
        <v>13</v>
      </c>
      <c r="M212" s="341">
        <f>IF($A212="","",SUMIFS('Timesheet Raw'!$P$4:$P$8000,'Timesheet Raw'!$L$4:$L$8000,$A212,'Timesheet Raw'!$C$4:$C$8000,L$3,'Timesheet Raw'!$A$4:$A$8000,"2-Proposals Chargeable")+SUMIFS('Timesheet Raw'!$P$4:$P$8000,'Timesheet Raw'!$L$4:$L$8000,$A212,'Timesheet Raw'!$C$4:$C$8000,L$3,'Timesheet Raw'!$A$4:$A$8000,"3-Proposals Regular"))</f>
        <v>0</v>
      </c>
      <c r="N212" s="341">
        <f>IF($A212="","",SUMIFS('Timesheet Raw'!$P$4:$P$8000,'Timesheet Raw'!$L$4:$L$8000,$A212,'Timesheet Raw'!$C$4:$C$8000,L$3,'Timesheet Raw'!$B$4:$B$8000,'Work Calendar'!$A$26)+SUMIFS('Timesheet Raw'!$P$4:$P$8000,'Timesheet Raw'!$L$4:$L$8000,$A212,'Timesheet Raw'!$C$4:$C$8000,L$3,'Timesheet Raw'!$B$4:$B$8000,'Work Calendar'!$A$27)+SUMIFS('Timesheet Raw'!$P$4:$P$8000,'Timesheet Raw'!$L$4:$L$8000,$A212,'Timesheet Raw'!$C$4:$C$8000,L$3,'Timesheet Raw'!$B$4:$B$8000,'Work Calendar'!$A$28)+SUMIFS('Timesheet Raw'!$P$4:$P$8000,'Timesheet Raw'!$L$4:$L$8000,$A212,'Timesheet Raw'!$C$4:$C$8000,L$3,'Timesheet Raw'!$B$4:$B$8000,'Work Calendar'!$A$29))</f>
        <v>0</v>
      </c>
      <c r="O212" s="341">
        <f t="shared" si="14"/>
        <v>0</v>
      </c>
      <c r="P212" s="395">
        <f>IF($A212="","",SUMIFS('Timesheet Raw'!$K$4:$K$8000,'Timesheet Raw'!$L$4:$L$8000,$A212,'Timesheet Raw'!$C$4:$C$8000,L$3))</f>
        <v>4.5</v>
      </c>
      <c r="Q212" s="345">
        <f>IF($A212="","",SUMIFS('Timesheet Raw'!$P$4:$P$8000,'Timesheet Raw'!$L$4:$L$8000,$A212,'Timesheet Raw'!$C$4:$C$8000,L$3))</f>
        <v>13</v>
      </c>
      <c r="R212" s="375"/>
      <c r="S212" t="str">
        <f>IF($A212="","",IF(R212&lt;&gt;"",R212,IF($A212&gt;'Work Calendar'!$B$17,"No data yet",IF(AND(N212&gt;='Work Calendar'!$B$14,L212+M212+O212&gt;0),"Day off - but worked",IF(N212&gt;='Work Calendar'!$B$14,"Day off",IF(L212+M212+O212&gt;0,IF($C212="Working","Charged","Worked weekend"),IF($C212="Working","Leave (not charged)",$C212)))))))</f>
        <v>Charged</v>
      </c>
      <c r="T212" s="341">
        <f>IF($A212="","",SUMIFS('Timesheet Raw'!$P$4:$P$8000,'Timesheet Raw'!$L$4:$L$8000,$A212,'Timesheet Raw'!$C$4:$C$8000,T$3,'Timesheet Raw'!$A$4:$A$8000,"1-Projects"))</f>
        <v>12.5</v>
      </c>
      <c r="U212" s="341">
        <f>IF($A212="","",SUMIFS('Timesheet Raw'!$P$4:$P$8000,'Timesheet Raw'!$L$4:$L$8000,$A212,'Timesheet Raw'!$C$4:$C$8000,T$3,'Timesheet Raw'!$A$4:$A$8000,"2-Proposals Chargeable")+SUMIFS('Timesheet Raw'!$P$4:$P$8000,'Timesheet Raw'!$L$4:$L$8000,$A212,'Timesheet Raw'!$C$4:$C$8000,T$3,'Timesheet Raw'!$A$4:$A$8000,"3-Proposals Regular"))</f>
        <v>0</v>
      </c>
      <c r="V212" s="341">
        <f>IF($A212="","",SUMIFS('Timesheet Raw'!$P$4:$P$8000,'Timesheet Raw'!$L$4:$L$8000,$A212,'Timesheet Raw'!$C$4:$C$8000,T$3,'Timesheet Raw'!$B$4:$B$8000,'Work Calendar'!$A$26)+SUMIFS('Timesheet Raw'!$P$4:$P$8000,'Timesheet Raw'!$L$4:$L$8000,$A212,'Timesheet Raw'!$C$4:$C$8000,T$3,'Timesheet Raw'!$B$4:$B$8000,'Work Calendar'!$A$27)+SUMIFS('Timesheet Raw'!$P$4:$P$8000,'Timesheet Raw'!$L$4:$L$8000,$A212,'Timesheet Raw'!$C$4:$C$8000,T$3,'Timesheet Raw'!$B$4:$B$8000,'Work Calendar'!$A$28)+SUMIFS('Timesheet Raw'!$P$4:$P$8000,'Timesheet Raw'!$L$4:$L$8000,$A212,'Timesheet Raw'!$C$4:$C$8000,T$3,'Timesheet Raw'!$B$4:$B$8000,'Work Calendar'!$A$29))</f>
        <v>0.5</v>
      </c>
      <c r="W212" s="341">
        <f t="shared" si="15"/>
        <v>0</v>
      </c>
      <c r="X212" s="395">
        <f>IF($A212="","",SUMIFS('Timesheet Raw'!$K$4:$K$8000,'Timesheet Raw'!$L$4:$L$8000,$A212,'Timesheet Raw'!$C$4:$C$8000,T$3))</f>
        <v>4.5</v>
      </c>
      <c r="Y212" s="345">
        <f>IF($A212="","",SUMIFS('Timesheet Raw'!$P$4:$P$8000,'Timesheet Raw'!$L$4:$L$8000,$A212,'Timesheet Raw'!$C$4:$C$8000,T$3))</f>
        <v>13</v>
      </c>
      <c r="Z212" s="375"/>
      <c r="AA212" t="str">
        <f>IF($A212="","",IF(Z212&lt;&gt;"",Z212,IF($A212&gt;'Work Calendar'!$B$17,"No data yet",IF(AND(V212&gt;='Work Calendar'!$B$14,T212+U212+W212&gt;0),"Day off - but worked",IF(V212&gt;='Work Calendar'!$B$14,"Day off",IF(T212+U212+W212&gt;0,IF($C212="Working","Charged","Worked weekend"),IF($C212="Working","Leave (not charged)",$C212)))))))</f>
        <v>Charged</v>
      </c>
    </row>
    <row r="213" spans="1:27" x14ac:dyDescent="0.3">
      <c r="A213" s="371">
        <f>IF($A212="","",IF($A212+1&gt;'Work Calendar'!$B$16,"",$A212+1))</f>
        <v>46231</v>
      </c>
      <c r="B213" t="str">
        <f t="shared" si="12"/>
        <v>Tue</v>
      </c>
      <c r="C213" t="str" cm="1">
        <f t="array" ref="C213">IF($A213="","",IF(COUNTIF('Work Calendar'!$E$6:$E$200,$A213)&gt;0,"Holiday",IF(INDEX('Work Calendar'!$C$6:$C$12,WEEKDAY($A213,1))=1,"Working","Weekend")))</f>
        <v>Working</v>
      </c>
      <c r="D213" s="341">
        <f>IF($A213="","",SUMIFS('Timesheet Raw'!$P$4:$P$8000,'Timesheet Raw'!$L$4:$L$8000,$A213,'Timesheet Raw'!$C$4:$C$8000,D$3,'Timesheet Raw'!$A$4:$A$8000,"1-Projects"))</f>
        <v>0</v>
      </c>
      <c r="E213" s="341">
        <f>IF($A213="","",SUMIFS('Timesheet Raw'!$P$4:$P$8000,'Timesheet Raw'!$L$4:$L$8000,$A213,'Timesheet Raw'!$C$4:$C$8000,D$3,'Timesheet Raw'!$A$4:$A$8000,"2-Proposals Chargeable")+SUMIFS('Timesheet Raw'!$P$4:$P$8000,'Timesheet Raw'!$L$4:$L$8000,$A213,'Timesheet Raw'!$C$4:$C$8000,D$3,'Timesheet Raw'!$A$4:$A$8000,"3-Proposals Regular"))</f>
        <v>0</v>
      </c>
      <c r="F213" s="341">
        <f>IF($A213="","",SUMIFS('Timesheet Raw'!$P$4:$P$8000,'Timesheet Raw'!$L$4:$L$8000,$A213,'Timesheet Raw'!$C$4:$C$8000,D$3,'Timesheet Raw'!$B$4:$B$8000,'Work Calendar'!$A$26)+SUMIFS('Timesheet Raw'!$P$4:$P$8000,'Timesheet Raw'!$L$4:$L$8000,$A213,'Timesheet Raw'!$C$4:$C$8000,D$3,'Timesheet Raw'!$B$4:$B$8000,'Work Calendar'!$A$27)+SUMIFS('Timesheet Raw'!$P$4:$P$8000,'Timesheet Raw'!$L$4:$L$8000,$A213,'Timesheet Raw'!$C$4:$C$8000,D$3,'Timesheet Raw'!$B$4:$B$8000,'Work Calendar'!$A$28)+SUMIFS('Timesheet Raw'!$P$4:$P$8000,'Timesheet Raw'!$L$4:$L$8000,$A213,'Timesheet Raw'!$C$4:$C$8000,D$3,'Timesheet Raw'!$B$4:$B$8000,'Work Calendar'!$A$29))</f>
        <v>0</v>
      </c>
      <c r="G213" s="341">
        <f t="shared" si="13"/>
        <v>0</v>
      </c>
      <c r="H213" s="395">
        <f>IF($A213="","",SUMIFS('Timesheet Raw'!$K$4:$K$8000,'Timesheet Raw'!$L$4:$L$8000,$A213,'Timesheet Raw'!$C$4:$C$8000,D$3))</f>
        <v>0</v>
      </c>
      <c r="I213" s="345">
        <f>IF($A213="","",SUMIFS('Timesheet Raw'!$P$4:$P$8000,'Timesheet Raw'!$L$4:$L$8000,$A213,'Timesheet Raw'!$C$4:$C$8000,D$3))</f>
        <v>0</v>
      </c>
      <c r="J213" s="375"/>
      <c r="K213" t="str">
        <f>IF($A213="","",IF(J213&lt;&gt;"",J213,IF($A213&gt;'Work Calendar'!$B$17,"No data yet",IF(AND(F213&gt;='Work Calendar'!$B$14,D213+E213+G213&gt;0),"Day off - but worked",IF(F213&gt;='Work Calendar'!$B$14,"Day off",IF(D213+E213+G213&gt;0,IF($C213="Working","Charged","Worked weekend"),IF($C213="Working","Leave (not charged)",$C213)))))))</f>
        <v>Leave (not charged)</v>
      </c>
      <c r="L213" s="341">
        <f>IF($A213="","",SUMIFS('Timesheet Raw'!$P$4:$P$8000,'Timesheet Raw'!$L$4:$L$8000,$A213,'Timesheet Raw'!$C$4:$C$8000,L$3,'Timesheet Raw'!$A$4:$A$8000,"1-Projects"))</f>
        <v>13.25</v>
      </c>
      <c r="M213" s="341">
        <f>IF($A213="","",SUMIFS('Timesheet Raw'!$P$4:$P$8000,'Timesheet Raw'!$L$4:$L$8000,$A213,'Timesheet Raw'!$C$4:$C$8000,L$3,'Timesheet Raw'!$A$4:$A$8000,"2-Proposals Chargeable")+SUMIFS('Timesheet Raw'!$P$4:$P$8000,'Timesheet Raw'!$L$4:$L$8000,$A213,'Timesheet Raw'!$C$4:$C$8000,L$3,'Timesheet Raw'!$A$4:$A$8000,"3-Proposals Regular"))</f>
        <v>0</v>
      </c>
      <c r="N213" s="341">
        <f>IF($A213="","",SUMIFS('Timesheet Raw'!$P$4:$P$8000,'Timesheet Raw'!$L$4:$L$8000,$A213,'Timesheet Raw'!$C$4:$C$8000,L$3,'Timesheet Raw'!$B$4:$B$8000,'Work Calendar'!$A$26)+SUMIFS('Timesheet Raw'!$P$4:$P$8000,'Timesheet Raw'!$L$4:$L$8000,$A213,'Timesheet Raw'!$C$4:$C$8000,L$3,'Timesheet Raw'!$B$4:$B$8000,'Work Calendar'!$A$27)+SUMIFS('Timesheet Raw'!$P$4:$P$8000,'Timesheet Raw'!$L$4:$L$8000,$A213,'Timesheet Raw'!$C$4:$C$8000,L$3,'Timesheet Raw'!$B$4:$B$8000,'Work Calendar'!$A$28)+SUMIFS('Timesheet Raw'!$P$4:$P$8000,'Timesheet Raw'!$L$4:$L$8000,$A213,'Timesheet Raw'!$C$4:$C$8000,L$3,'Timesheet Raw'!$B$4:$B$8000,'Work Calendar'!$A$29))</f>
        <v>0</v>
      </c>
      <c r="O213" s="341">
        <f t="shared" si="14"/>
        <v>0</v>
      </c>
      <c r="P213" s="395">
        <f>IF($A213="","",SUMIFS('Timesheet Raw'!$K$4:$K$8000,'Timesheet Raw'!$L$4:$L$8000,$A213,'Timesheet Raw'!$C$4:$C$8000,L$3))</f>
        <v>4.75</v>
      </c>
      <c r="Q213" s="345">
        <f>IF($A213="","",SUMIFS('Timesheet Raw'!$P$4:$P$8000,'Timesheet Raw'!$L$4:$L$8000,$A213,'Timesheet Raw'!$C$4:$C$8000,L$3))</f>
        <v>13.25</v>
      </c>
      <c r="R213" s="375"/>
      <c r="S213" t="str">
        <f>IF($A213="","",IF(R213&lt;&gt;"",R213,IF($A213&gt;'Work Calendar'!$B$17,"No data yet",IF(AND(N213&gt;='Work Calendar'!$B$14,L213+M213+O213&gt;0),"Day off - but worked",IF(N213&gt;='Work Calendar'!$B$14,"Day off",IF(L213+M213+O213&gt;0,IF($C213="Working","Charged","Worked weekend"),IF($C213="Working","Leave (not charged)",$C213)))))))</f>
        <v>Charged</v>
      </c>
      <c r="T213" s="341">
        <f>IF($A213="","",SUMIFS('Timesheet Raw'!$P$4:$P$8000,'Timesheet Raw'!$L$4:$L$8000,$A213,'Timesheet Raw'!$C$4:$C$8000,T$3,'Timesheet Raw'!$A$4:$A$8000,"1-Projects"))</f>
        <v>11.75</v>
      </c>
      <c r="U213" s="341">
        <f>IF($A213="","",SUMIFS('Timesheet Raw'!$P$4:$P$8000,'Timesheet Raw'!$L$4:$L$8000,$A213,'Timesheet Raw'!$C$4:$C$8000,T$3,'Timesheet Raw'!$A$4:$A$8000,"2-Proposals Chargeable")+SUMIFS('Timesheet Raw'!$P$4:$P$8000,'Timesheet Raw'!$L$4:$L$8000,$A213,'Timesheet Raw'!$C$4:$C$8000,T$3,'Timesheet Raw'!$A$4:$A$8000,"3-Proposals Regular"))</f>
        <v>0</v>
      </c>
      <c r="V213" s="341">
        <f>IF($A213="","",SUMIFS('Timesheet Raw'!$P$4:$P$8000,'Timesheet Raw'!$L$4:$L$8000,$A213,'Timesheet Raw'!$C$4:$C$8000,T$3,'Timesheet Raw'!$B$4:$B$8000,'Work Calendar'!$A$26)+SUMIFS('Timesheet Raw'!$P$4:$P$8000,'Timesheet Raw'!$L$4:$L$8000,$A213,'Timesheet Raw'!$C$4:$C$8000,T$3,'Timesheet Raw'!$B$4:$B$8000,'Work Calendar'!$A$27)+SUMIFS('Timesheet Raw'!$P$4:$P$8000,'Timesheet Raw'!$L$4:$L$8000,$A213,'Timesheet Raw'!$C$4:$C$8000,T$3,'Timesheet Raw'!$B$4:$B$8000,'Work Calendar'!$A$28)+SUMIFS('Timesheet Raw'!$P$4:$P$8000,'Timesheet Raw'!$L$4:$L$8000,$A213,'Timesheet Raw'!$C$4:$C$8000,T$3,'Timesheet Raw'!$B$4:$B$8000,'Work Calendar'!$A$29))</f>
        <v>1.25</v>
      </c>
      <c r="W213" s="341">
        <f t="shared" si="15"/>
        <v>0</v>
      </c>
      <c r="X213" s="395">
        <f>IF($A213="","",SUMIFS('Timesheet Raw'!$K$4:$K$8000,'Timesheet Raw'!$L$4:$L$8000,$A213,'Timesheet Raw'!$C$4:$C$8000,T$3))</f>
        <v>4.5</v>
      </c>
      <c r="Y213" s="345">
        <f>IF($A213="","",SUMIFS('Timesheet Raw'!$P$4:$P$8000,'Timesheet Raw'!$L$4:$L$8000,$A213,'Timesheet Raw'!$C$4:$C$8000,T$3))</f>
        <v>13</v>
      </c>
      <c r="Z213" s="375"/>
      <c r="AA213" t="str">
        <f>IF($A213="","",IF(Z213&lt;&gt;"",Z213,IF($A213&gt;'Work Calendar'!$B$17,"No data yet",IF(AND(V213&gt;='Work Calendar'!$B$14,T213+U213+W213&gt;0),"Day off - but worked",IF(V213&gt;='Work Calendar'!$B$14,"Day off",IF(T213+U213+W213&gt;0,IF($C213="Working","Charged","Worked weekend"),IF($C213="Working","Leave (not charged)",$C213)))))))</f>
        <v>Charged</v>
      </c>
    </row>
    <row r="214" spans="1:27" x14ac:dyDescent="0.3">
      <c r="A214" s="371">
        <f>IF($A213="","",IF($A213+1&gt;'Work Calendar'!$B$16,"",$A213+1))</f>
        <v>46232</v>
      </c>
      <c r="B214" t="str">
        <f t="shared" si="12"/>
        <v>Wed</v>
      </c>
      <c r="C214" t="str" cm="1">
        <f t="array" ref="C214">IF($A214="","",IF(COUNTIF('Work Calendar'!$E$6:$E$200,$A214)&gt;0,"Holiday",IF(INDEX('Work Calendar'!$C$6:$C$12,WEEKDAY($A214,1))=1,"Working","Weekend")))</f>
        <v>Working</v>
      </c>
      <c r="D214" s="341">
        <f>IF($A214="","",SUMIFS('Timesheet Raw'!$P$4:$P$8000,'Timesheet Raw'!$L$4:$L$8000,$A214,'Timesheet Raw'!$C$4:$C$8000,D$3,'Timesheet Raw'!$A$4:$A$8000,"1-Projects"))</f>
        <v>0</v>
      </c>
      <c r="E214" s="341">
        <f>IF($A214="","",SUMIFS('Timesheet Raw'!$P$4:$P$8000,'Timesheet Raw'!$L$4:$L$8000,$A214,'Timesheet Raw'!$C$4:$C$8000,D$3,'Timesheet Raw'!$A$4:$A$8000,"2-Proposals Chargeable")+SUMIFS('Timesheet Raw'!$P$4:$P$8000,'Timesheet Raw'!$L$4:$L$8000,$A214,'Timesheet Raw'!$C$4:$C$8000,D$3,'Timesheet Raw'!$A$4:$A$8000,"3-Proposals Regular"))</f>
        <v>0</v>
      </c>
      <c r="F214" s="341">
        <f>IF($A214="","",SUMIFS('Timesheet Raw'!$P$4:$P$8000,'Timesheet Raw'!$L$4:$L$8000,$A214,'Timesheet Raw'!$C$4:$C$8000,D$3,'Timesheet Raw'!$B$4:$B$8000,'Work Calendar'!$A$26)+SUMIFS('Timesheet Raw'!$P$4:$P$8000,'Timesheet Raw'!$L$4:$L$8000,$A214,'Timesheet Raw'!$C$4:$C$8000,D$3,'Timesheet Raw'!$B$4:$B$8000,'Work Calendar'!$A$27)+SUMIFS('Timesheet Raw'!$P$4:$P$8000,'Timesheet Raw'!$L$4:$L$8000,$A214,'Timesheet Raw'!$C$4:$C$8000,D$3,'Timesheet Raw'!$B$4:$B$8000,'Work Calendar'!$A$28)+SUMIFS('Timesheet Raw'!$P$4:$P$8000,'Timesheet Raw'!$L$4:$L$8000,$A214,'Timesheet Raw'!$C$4:$C$8000,D$3,'Timesheet Raw'!$B$4:$B$8000,'Work Calendar'!$A$29))</f>
        <v>0</v>
      </c>
      <c r="G214" s="341">
        <f t="shared" si="13"/>
        <v>0</v>
      </c>
      <c r="H214" s="395">
        <f>IF($A214="","",SUMIFS('Timesheet Raw'!$K$4:$K$8000,'Timesheet Raw'!$L$4:$L$8000,$A214,'Timesheet Raw'!$C$4:$C$8000,D$3))</f>
        <v>0</v>
      </c>
      <c r="I214" s="345">
        <f>IF($A214="","",SUMIFS('Timesheet Raw'!$P$4:$P$8000,'Timesheet Raw'!$L$4:$L$8000,$A214,'Timesheet Raw'!$C$4:$C$8000,D$3))</f>
        <v>0</v>
      </c>
      <c r="J214" s="375"/>
      <c r="K214" t="str">
        <f>IF($A214="","",IF(J214&lt;&gt;"",J214,IF($A214&gt;'Work Calendar'!$B$17,"No data yet",IF(AND(F214&gt;='Work Calendar'!$B$14,D214+E214+G214&gt;0),"Day off - but worked",IF(F214&gt;='Work Calendar'!$B$14,"Day off",IF(D214+E214+G214&gt;0,IF($C214="Working","Charged","Worked weekend"),IF($C214="Working","Leave (not charged)",$C214)))))))</f>
        <v>Leave (not charged)</v>
      </c>
      <c r="L214" s="341">
        <f>IF($A214="","",SUMIFS('Timesheet Raw'!$P$4:$P$8000,'Timesheet Raw'!$L$4:$L$8000,$A214,'Timesheet Raw'!$C$4:$C$8000,L$3,'Timesheet Raw'!$A$4:$A$8000,"1-Projects"))</f>
        <v>14.75</v>
      </c>
      <c r="M214" s="341">
        <f>IF($A214="","",SUMIFS('Timesheet Raw'!$P$4:$P$8000,'Timesheet Raw'!$L$4:$L$8000,$A214,'Timesheet Raw'!$C$4:$C$8000,L$3,'Timesheet Raw'!$A$4:$A$8000,"2-Proposals Chargeable")+SUMIFS('Timesheet Raw'!$P$4:$P$8000,'Timesheet Raw'!$L$4:$L$8000,$A214,'Timesheet Raw'!$C$4:$C$8000,L$3,'Timesheet Raw'!$A$4:$A$8000,"3-Proposals Regular"))</f>
        <v>0</v>
      </c>
      <c r="N214" s="341">
        <f>IF($A214="","",SUMIFS('Timesheet Raw'!$P$4:$P$8000,'Timesheet Raw'!$L$4:$L$8000,$A214,'Timesheet Raw'!$C$4:$C$8000,L$3,'Timesheet Raw'!$B$4:$B$8000,'Work Calendar'!$A$26)+SUMIFS('Timesheet Raw'!$P$4:$P$8000,'Timesheet Raw'!$L$4:$L$8000,$A214,'Timesheet Raw'!$C$4:$C$8000,L$3,'Timesheet Raw'!$B$4:$B$8000,'Work Calendar'!$A$27)+SUMIFS('Timesheet Raw'!$P$4:$P$8000,'Timesheet Raw'!$L$4:$L$8000,$A214,'Timesheet Raw'!$C$4:$C$8000,L$3,'Timesheet Raw'!$B$4:$B$8000,'Work Calendar'!$A$28)+SUMIFS('Timesheet Raw'!$P$4:$P$8000,'Timesheet Raw'!$L$4:$L$8000,$A214,'Timesheet Raw'!$C$4:$C$8000,L$3,'Timesheet Raw'!$B$4:$B$8000,'Work Calendar'!$A$29))</f>
        <v>0</v>
      </c>
      <c r="O214" s="341">
        <f t="shared" si="14"/>
        <v>0</v>
      </c>
      <c r="P214" s="395">
        <f>IF($A214="","",SUMIFS('Timesheet Raw'!$K$4:$K$8000,'Timesheet Raw'!$L$4:$L$8000,$A214,'Timesheet Raw'!$C$4:$C$8000,L$3))</f>
        <v>6.25</v>
      </c>
      <c r="Q214" s="345">
        <f>IF($A214="","",SUMIFS('Timesheet Raw'!$P$4:$P$8000,'Timesheet Raw'!$L$4:$L$8000,$A214,'Timesheet Raw'!$C$4:$C$8000,L$3))</f>
        <v>14.75</v>
      </c>
      <c r="R214" s="375"/>
      <c r="S214" t="str">
        <f>IF($A214="","",IF(R214&lt;&gt;"",R214,IF($A214&gt;'Work Calendar'!$B$17,"No data yet",IF(AND(N214&gt;='Work Calendar'!$B$14,L214+M214+O214&gt;0),"Day off - but worked",IF(N214&gt;='Work Calendar'!$B$14,"Day off",IF(L214+M214+O214&gt;0,IF($C214="Working","Charged","Worked weekend"),IF($C214="Working","Leave (not charged)",$C214)))))))</f>
        <v>Charged</v>
      </c>
      <c r="T214" s="341">
        <f>IF($A214="","",SUMIFS('Timesheet Raw'!$P$4:$P$8000,'Timesheet Raw'!$L$4:$L$8000,$A214,'Timesheet Raw'!$C$4:$C$8000,T$3,'Timesheet Raw'!$A$4:$A$8000,"1-Projects"))</f>
        <v>13.75</v>
      </c>
      <c r="U214" s="341">
        <f>IF($A214="","",SUMIFS('Timesheet Raw'!$P$4:$P$8000,'Timesheet Raw'!$L$4:$L$8000,$A214,'Timesheet Raw'!$C$4:$C$8000,T$3,'Timesheet Raw'!$A$4:$A$8000,"2-Proposals Chargeable")+SUMIFS('Timesheet Raw'!$P$4:$P$8000,'Timesheet Raw'!$L$4:$L$8000,$A214,'Timesheet Raw'!$C$4:$C$8000,T$3,'Timesheet Raw'!$A$4:$A$8000,"3-Proposals Regular"))</f>
        <v>0</v>
      </c>
      <c r="V214" s="341">
        <f>IF($A214="","",SUMIFS('Timesheet Raw'!$P$4:$P$8000,'Timesheet Raw'!$L$4:$L$8000,$A214,'Timesheet Raw'!$C$4:$C$8000,T$3,'Timesheet Raw'!$B$4:$B$8000,'Work Calendar'!$A$26)+SUMIFS('Timesheet Raw'!$P$4:$P$8000,'Timesheet Raw'!$L$4:$L$8000,$A214,'Timesheet Raw'!$C$4:$C$8000,T$3,'Timesheet Raw'!$B$4:$B$8000,'Work Calendar'!$A$27)+SUMIFS('Timesheet Raw'!$P$4:$P$8000,'Timesheet Raw'!$L$4:$L$8000,$A214,'Timesheet Raw'!$C$4:$C$8000,T$3,'Timesheet Raw'!$B$4:$B$8000,'Work Calendar'!$A$28)+SUMIFS('Timesheet Raw'!$P$4:$P$8000,'Timesheet Raw'!$L$4:$L$8000,$A214,'Timesheet Raw'!$C$4:$C$8000,T$3,'Timesheet Raw'!$B$4:$B$8000,'Work Calendar'!$A$29))</f>
        <v>0.5</v>
      </c>
      <c r="W214" s="341">
        <f t="shared" si="15"/>
        <v>0</v>
      </c>
      <c r="X214" s="395">
        <f>IF($A214="","",SUMIFS('Timesheet Raw'!$K$4:$K$8000,'Timesheet Raw'!$L$4:$L$8000,$A214,'Timesheet Raw'!$C$4:$C$8000,T$3))</f>
        <v>5.75</v>
      </c>
      <c r="Y214" s="345">
        <f>IF($A214="","",SUMIFS('Timesheet Raw'!$P$4:$P$8000,'Timesheet Raw'!$L$4:$L$8000,$A214,'Timesheet Raw'!$C$4:$C$8000,T$3))</f>
        <v>14.25</v>
      </c>
      <c r="Z214" s="375"/>
      <c r="AA214" t="str">
        <f>IF($A214="","",IF(Z214&lt;&gt;"",Z214,IF($A214&gt;'Work Calendar'!$B$17,"No data yet",IF(AND(V214&gt;='Work Calendar'!$B$14,T214+U214+W214&gt;0),"Day off - but worked",IF(V214&gt;='Work Calendar'!$B$14,"Day off",IF(T214+U214+W214&gt;0,IF($C214="Working","Charged","Worked weekend"),IF($C214="Working","Leave (not charged)",$C214)))))))</f>
        <v>Charged</v>
      </c>
    </row>
    <row r="215" spans="1:27" x14ac:dyDescent="0.3">
      <c r="A215" s="371">
        <f>IF($A214="","",IF($A214+1&gt;'Work Calendar'!$B$16,"",$A214+1))</f>
        <v>46233</v>
      </c>
      <c r="B215" t="str">
        <f t="shared" si="12"/>
        <v>Thu</v>
      </c>
      <c r="C215" t="str" cm="1">
        <f t="array" ref="C215">IF($A215="","",IF(COUNTIF('Work Calendar'!$E$6:$E$200,$A215)&gt;0,"Holiday",IF(INDEX('Work Calendar'!$C$6:$C$12,WEEKDAY($A215,1))=1,"Working","Weekend")))</f>
        <v>Working</v>
      </c>
      <c r="D215" s="341">
        <f>IF($A215="","",SUMIFS('Timesheet Raw'!$P$4:$P$8000,'Timesheet Raw'!$L$4:$L$8000,$A215,'Timesheet Raw'!$C$4:$C$8000,D$3,'Timesheet Raw'!$A$4:$A$8000,"1-Projects"))</f>
        <v>0</v>
      </c>
      <c r="E215" s="341">
        <f>IF($A215="","",SUMIFS('Timesheet Raw'!$P$4:$P$8000,'Timesheet Raw'!$L$4:$L$8000,$A215,'Timesheet Raw'!$C$4:$C$8000,D$3,'Timesheet Raw'!$A$4:$A$8000,"2-Proposals Chargeable")+SUMIFS('Timesheet Raw'!$P$4:$P$8000,'Timesheet Raw'!$L$4:$L$8000,$A215,'Timesheet Raw'!$C$4:$C$8000,D$3,'Timesheet Raw'!$A$4:$A$8000,"3-Proposals Regular"))</f>
        <v>0</v>
      </c>
      <c r="F215" s="341">
        <f>IF($A215="","",SUMIFS('Timesheet Raw'!$P$4:$P$8000,'Timesheet Raw'!$L$4:$L$8000,$A215,'Timesheet Raw'!$C$4:$C$8000,D$3,'Timesheet Raw'!$B$4:$B$8000,'Work Calendar'!$A$26)+SUMIFS('Timesheet Raw'!$P$4:$P$8000,'Timesheet Raw'!$L$4:$L$8000,$A215,'Timesheet Raw'!$C$4:$C$8000,D$3,'Timesheet Raw'!$B$4:$B$8000,'Work Calendar'!$A$27)+SUMIFS('Timesheet Raw'!$P$4:$P$8000,'Timesheet Raw'!$L$4:$L$8000,$A215,'Timesheet Raw'!$C$4:$C$8000,D$3,'Timesheet Raw'!$B$4:$B$8000,'Work Calendar'!$A$28)+SUMIFS('Timesheet Raw'!$P$4:$P$8000,'Timesheet Raw'!$L$4:$L$8000,$A215,'Timesheet Raw'!$C$4:$C$8000,D$3,'Timesheet Raw'!$B$4:$B$8000,'Work Calendar'!$A$29))</f>
        <v>0</v>
      </c>
      <c r="G215" s="341">
        <f t="shared" si="13"/>
        <v>0</v>
      </c>
      <c r="H215" s="395">
        <f>IF($A215="","",SUMIFS('Timesheet Raw'!$K$4:$K$8000,'Timesheet Raw'!$L$4:$L$8000,$A215,'Timesheet Raw'!$C$4:$C$8000,D$3))</f>
        <v>0</v>
      </c>
      <c r="I215" s="345">
        <f>IF($A215="","",SUMIFS('Timesheet Raw'!$P$4:$P$8000,'Timesheet Raw'!$L$4:$L$8000,$A215,'Timesheet Raw'!$C$4:$C$8000,D$3))</f>
        <v>0</v>
      </c>
      <c r="J215" s="375"/>
      <c r="K215" t="str">
        <f>IF($A215="","",IF(J215&lt;&gt;"",J215,IF($A215&gt;'Work Calendar'!$B$17,"No data yet",IF(AND(F215&gt;='Work Calendar'!$B$14,D215+E215+G215&gt;0),"Day off - but worked",IF(F215&gt;='Work Calendar'!$B$14,"Day off",IF(D215+E215+G215&gt;0,IF($C215="Working","Charged","Worked weekend"),IF($C215="Working","Leave (not charged)",$C215)))))))</f>
        <v>Leave (not charged)</v>
      </c>
      <c r="L215" s="341">
        <f>IF($A215="","",SUMIFS('Timesheet Raw'!$P$4:$P$8000,'Timesheet Raw'!$L$4:$L$8000,$A215,'Timesheet Raw'!$C$4:$C$8000,L$3,'Timesheet Raw'!$A$4:$A$8000,"1-Projects"))</f>
        <v>14.5</v>
      </c>
      <c r="M215" s="341">
        <f>IF($A215="","",SUMIFS('Timesheet Raw'!$P$4:$P$8000,'Timesheet Raw'!$L$4:$L$8000,$A215,'Timesheet Raw'!$C$4:$C$8000,L$3,'Timesheet Raw'!$A$4:$A$8000,"2-Proposals Chargeable")+SUMIFS('Timesheet Raw'!$P$4:$P$8000,'Timesheet Raw'!$L$4:$L$8000,$A215,'Timesheet Raw'!$C$4:$C$8000,L$3,'Timesheet Raw'!$A$4:$A$8000,"3-Proposals Regular"))</f>
        <v>0</v>
      </c>
      <c r="N215" s="341">
        <f>IF($A215="","",SUMIFS('Timesheet Raw'!$P$4:$P$8000,'Timesheet Raw'!$L$4:$L$8000,$A215,'Timesheet Raw'!$C$4:$C$8000,L$3,'Timesheet Raw'!$B$4:$B$8000,'Work Calendar'!$A$26)+SUMIFS('Timesheet Raw'!$P$4:$P$8000,'Timesheet Raw'!$L$4:$L$8000,$A215,'Timesheet Raw'!$C$4:$C$8000,L$3,'Timesheet Raw'!$B$4:$B$8000,'Work Calendar'!$A$27)+SUMIFS('Timesheet Raw'!$P$4:$P$8000,'Timesheet Raw'!$L$4:$L$8000,$A215,'Timesheet Raw'!$C$4:$C$8000,L$3,'Timesheet Raw'!$B$4:$B$8000,'Work Calendar'!$A$28)+SUMIFS('Timesheet Raw'!$P$4:$P$8000,'Timesheet Raw'!$L$4:$L$8000,$A215,'Timesheet Raw'!$C$4:$C$8000,L$3,'Timesheet Raw'!$B$4:$B$8000,'Work Calendar'!$A$29))</f>
        <v>2</v>
      </c>
      <c r="O215" s="341">
        <f t="shared" si="14"/>
        <v>0</v>
      </c>
      <c r="P215" s="395">
        <f>IF($A215="","",SUMIFS('Timesheet Raw'!$K$4:$K$8000,'Timesheet Raw'!$L$4:$L$8000,$A215,'Timesheet Raw'!$C$4:$C$8000,L$3))</f>
        <v>8</v>
      </c>
      <c r="Q215" s="345">
        <f>IF($A215="","",SUMIFS('Timesheet Raw'!$P$4:$P$8000,'Timesheet Raw'!$L$4:$L$8000,$A215,'Timesheet Raw'!$C$4:$C$8000,L$3))</f>
        <v>16.5</v>
      </c>
      <c r="R215" s="375"/>
      <c r="S215" t="str">
        <f>IF($A215="","",IF(R215&lt;&gt;"",R215,IF($A215&gt;'Work Calendar'!$B$17,"No data yet",IF(AND(N215&gt;='Work Calendar'!$B$14,L215+M215+O215&gt;0),"Day off - but worked",IF(N215&gt;='Work Calendar'!$B$14,"Day off",IF(L215+M215+O215&gt;0,IF($C215="Working","Charged","Worked weekend"),IF($C215="Working","Leave (not charged)",$C215)))))))</f>
        <v>Charged</v>
      </c>
      <c r="T215" s="341">
        <f>IF($A215="","",SUMIFS('Timesheet Raw'!$P$4:$P$8000,'Timesheet Raw'!$L$4:$L$8000,$A215,'Timesheet Raw'!$C$4:$C$8000,T$3,'Timesheet Raw'!$A$4:$A$8000,"1-Projects"))</f>
        <v>15.25</v>
      </c>
      <c r="U215" s="341">
        <f>IF($A215="","",SUMIFS('Timesheet Raw'!$P$4:$P$8000,'Timesheet Raw'!$L$4:$L$8000,$A215,'Timesheet Raw'!$C$4:$C$8000,T$3,'Timesheet Raw'!$A$4:$A$8000,"2-Proposals Chargeable")+SUMIFS('Timesheet Raw'!$P$4:$P$8000,'Timesheet Raw'!$L$4:$L$8000,$A215,'Timesheet Raw'!$C$4:$C$8000,T$3,'Timesheet Raw'!$A$4:$A$8000,"3-Proposals Regular"))</f>
        <v>0</v>
      </c>
      <c r="V215" s="341">
        <f>IF($A215="","",SUMIFS('Timesheet Raw'!$P$4:$P$8000,'Timesheet Raw'!$L$4:$L$8000,$A215,'Timesheet Raw'!$C$4:$C$8000,T$3,'Timesheet Raw'!$B$4:$B$8000,'Work Calendar'!$A$26)+SUMIFS('Timesheet Raw'!$P$4:$P$8000,'Timesheet Raw'!$L$4:$L$8000,$A215,'Timesheet Raw'!$C$4:$C$8000,T$3,'Timesheet Raw'!$B$4:$B$8000,'Work Calendar'!$A$27)+SUMIFS('Timesheet Raw'!$P$4:$P$8000,'Timesheet Raw'!$L$4:$L$8000,$A215,'Timesheet Raw'!$C$4:$C$8000,T$3,'Timesheet Raw'!$B$4:$B$8000,'Work Calendar'!$A$28)+SUMIFS('Timesheet Raw'!$P$4:$P$8000,'Timesheet Raw'!$L$4:$L$8000,$A215,'Timesheet Raw'!$C$4:$C$8000,T$3,'Timesheet Raw'!$B$4:$B$8000,'Work Calendar'!$A$29))</f>
        <v>1.25</v>
      </c>
      <c r="W215" s="341">
        <f t="shared" si="15"/>
        <v>0</v>
      </c>
      <c r="X215" s="395">
        <f>IF($A215="","",SUMIFS('Timesheet Raw'!$K$4:$K$8000,'Timesheet Raw'!$L$4:$L$8000,$A215,'Timesheet Raw'!$C$4:$C$8000,T$3))</f>
        <v>8</v>
      </c>
      <c r="Y215" s="345">
        <f>IF($A215="","",SUMIFS('Timesheet Raw'!$P$4:$P$8000,'Timesheet Raw'!$L$4:$L$8000,$A215,'Timesheet Raw'!$C$4:$C$8000,T$3))</f>
        <v>16.5</v>
      </c>
      <c r="Z215" s="375"/>
      <c r="AA215" t="str">
        <f>IF($A215="","",IF(Z215&lt;&gt;"",Z215,IF($A215&gt;'Work Calendar'!$B$17,"No data yet",IF(AND(V215&gt;='Work Calendar'!$B$14,T215+U215+W215&gt;0),"Day off - but worked",IF(V215&gt;='Work Calendar'!$B$14,"Day off",IF(T215+U215+W215&gt;0,IF($C215="Working","Charged","Worked weekend"),IF($C215="Working","Leave (not charged)",$C215)))))))</f>
        <v>Charged</v>
      </c>
    </row>
    <row r="216" spans="1:27" x14ac:dyDescent="0.3">
      <c r="A216" s="371">
        <f>IF($A215="","",IF($A215+1&gt;'Work Calendar'!$B$16,"",$A215+1))</f>
        <v>46234</v>
      </c>
      <c r="B216" t="str">
        <f t="shared" si="12"/>
        <v>Fri</v>
      </c>
      <c r="C216" t="str" cm="1">
        <f t="array" ref="C216">IF($A216="","",IF(COUNTIF('Work Calendar'!$E$6:$E$200,$A216)&gt;0,"Holiday",IF(INDEX('Work Calendar'!$C$6:$C$12,WEEKDAY($A216,1))=1,"Working","Weekend")))</f>
        <v>Weekend</v>
      </c>
      <c r="D216" s="341">
        <f>IF($A216="","",SUMIFS('Timesheet Raw'!$P$4:$P$8000,'Timesheet Raw'!$L$4:$L$8000,$A216,'Timesheet Raw'!$C$4:$C$8000,D$3,'Timesheet Raw'!$A$4:$A$8000,"1-Projects"))</f>
        <v>0</v>
      </c>
      <c r="E216" s="341">
        <f>IF($A216="","",SUMIFS('Timesheet Raw'!$P$4:$P$8000,'Timesheet Raw'!$L$4:$L$8000,$A216,'Timesheet Raw'!$C$4:$C$8000,D$3,'Timesheet Raw'!$A$4:$A$8000,"2-Proposals Chargeable")+SUMIFS('Timesheet Raw'!$P$4:$P$8000,'Timesheet Raw'!$L$4:$L$8000,$A216,'Timesheet Raw'!$C$4:$C$8000,D$3,'Timesheet Raw'!$A$4:$A$8000,"3-Proposals Regular"))</f>
        <v>0</v>
      </c>
      <c r="F216" s="341">
        <f>IF($A216="","",SUMIFS('Timesheet Raw'!$P$4:$P$8000,'Timesheet Raw'!$L$4:$L$8000,$A216,'Timesheet Raw'!$C$4:$C$8000,D$3,'Timesheet Raw'!$B$4:$B$8000,'Work Calendar'!$A$26)+SUMIFS('Timesheet Raw'!$P$4:$P$8000,'Timesheet Raw'!$L$4:$L$8000,$A216,'Timesheet Raw'!$C$4:$C$8000,D$3,'Timesheet Raw'!$B$4:$B$8000,'Work Calendar'!$A$27)+SUMIFS('Timesheet Raw'!$P$4:$P$8000,'Timesheet Raw'!$L$4:$L$8000,$A216,'Timesheet Raw'!$C$4:$C$8000,D$3,'Timesheet Raw'!$B$4:$B$8000,'Work Calendar'!$A$28)+SUMIFS('Timesheet Raw'!$P$4:$P$8000,'Timesheet Raw'!$L$4:$L$8000,$A216,'Timesheet Raw'!$C$4:$C$8000,D$3,'Timesheet Raw'!$B$4:$B$8000,'Work Calendar'!$A$29))</f>
        <v>0</v>
      </c>
      <c r="G216" s="341">
        <f t="shared" si="13"/>
        <v>0</v>
      </c>
      <c r="H216" s="395">
        <f>IF($A216="","",SUMIFS('Timesheet Raw'!$K$4:$K$8000,'Timesheet Raw'!$L$4:$L$8000,$A216,'Timesheet Raw'!$C$4:$C$8000,D$3))</f>
        <v>0</v>
      </c>
      <c r="I216" s="345">
        <f>IF($A216="","",SUMIFS('Timesheet Raw'!$P$4:$P$8000,'Timesheet Raw'!$L$4:$L$8000,$A216,'Timesheet Raw'!$C$4:$C$8000,D$3))</f>
        <v>0</v>
      </c>
      <c r="J216" s="375"/>
      <c r="K216" t="str">
        <f>IF($A216="","",IF(J216&lt;&gt;"",J216,IF($A216&gt;'Work Calendar'!$B$17,"No data yet",IF(AND(F216&gt;='Work Calendar'!$B$14,D216+E216+G216&gt;0),"Day off - but worked",IF(F216&gt;='Work Calendar'!$B$14,"Day off",IF(D216+E216+G216&gt;0,IF($C216="Working","Charged","Worked weekend"),IF($C216="Working","Leave (not charged)",$C216)))))))</f>
        <v>Weekend</v>
      </c>
      <c r="L216" s="341">
        <f>IF($A216="","",SUMIFS('Timesheet Raw'!$P$4:$P$8000,'Timesheet Raw'!$L$4:$L$8000,$A216,'Timesheet Raw'!$C$4:$C$8000,L$3,'Timesheet Raw'!$A$4:$A$8000,"1-Projects"))</f>
        <v>0</v>
      </c>
      <c r="M216" s="341">
        <f>IF($A216="","",SUMIFS('Timesheet Raw'!$P$4:$P$8000,'Timesheet Raw'!$L$4:$L$8000,$A216,'Timesheet Raw'!$C$4:$C$8000,L$3,'Timesheet Raw'!$A$4:$A$8000,"2-Proposals Chargeable")+SUMIFS('Timesheet Raw'!$P$4:$P$8000,'Timesheet Raw'!$L$4:$L$8000,$A216,'Timesheet Raw'!$C$4:$C$8000,L$3,'Timesheet Raw'!$A$4:$A$8000,"3-Proposals Regular"))</f>
        <v>0</v>
      </c>
      <c r="N216" s="341">
        <f>IF($A216="","",SUMIFS('Timesheet Raw'!$P$4:$P$8000,'Timesheet Raw'!$L$4:$L$8000,$A216,'Timesheet Raw'!$C$4:$C$8000,L$3,'Timesheet Raw'!$B$4:$B$8000,'Work Calendar'!$A$26)+SUMIFS('Timesheet Raw'!$P$4:$P$8000,'Timesheet Raw'!$L$4:$L$8000,$A216,'Timesheet Raw'!$C$4:$C$8000,L$3,'Timesheet Raw'!$B$4:$B$8000,'Work Calendar'!$A$27)+SUMIFS('Timesheet Raw'!$P$4:$P$8000,'Timesheet Raw'!$L$4:$L$8000,$A216,'Timesheet Raw'!$C$4:$C$8000,L$3,'Timesheet Raw'!$B$4:$B$8000,'Work Calendar'!$A$28)+SUMIFS('Timesheet Raw'!$P$4:$P$8000,'Timesheet Raw'!$L$4:$L$8000,$A216,'Timesheet Raw'!$C$4:$C$8000,L$3,'Timesheet Raw'!$B$4:$B$8000,'Work Calendar'!$A$29))</f>
        <v>0</v>
      </c>
      <c r="O216" s="341">
        <f t="shared" si="14"/>
        <v>0</v>
      </c>
      <c r="P216" s="395">
        <f>IF($A216="","",SUMIFS('Timesheet Raw'!$K$4:$K$8000,'Timesheet Raw'!$L$4:$L$8000,$A216,'Timesheet Raw'!$C$4:$C$8000,L$3))</f>
        <v>0</v>
      </c>
      <c r="Q216" s="345">
        <f>IF($A216="","",SUMIFS('Timesheet Raw'!$P$4:$P$8000,'Timesheet Raw'!$L$4:$L$8000,$A216,'Timesheet Raw'!$C$4:$C$8000,L$3))</f>
        <v>0</v>
      </c>
      <c r="R216" s="375"/>
      <c r="S216" t="str">
        <f>IF($A216="","",IF(R216&lt;&gt;"",R216,IF($A216&gt;'Work Calendar'!$B$17,"No data yet",IF(AND(N216&gt;='Work Calendar'!$B$14,L216+M216+O216&gt;0),"Day off - but worked",IF(N216&gt;='Work Calendar'!$B$14,"Day off",IF(L216+M216+O216&gt;0,IF($C216="Working","Charged","Worked weekend"),IF($C216="Working","Leave (not charged)",$C216)))))))</f>
        <v>Weekend</v>
      </c>
      <c r="T216" s="341">
        <f>IF($A216="","",SUMIFS('Timesheet Raw'!$P$4:$P$8000,'Timesheet Raw'!$L$4:$L$8000,$A216,'Timesheet Raw'!$C$4:$C$8000,T$3,'Timesheet Raw'!$A$4:$A$8000,"1-Projects"))</f>
        <v>0</v>
      </c>
      <c r="U216" s="341">
        <f>IF($A216="","",SUMIFS('Timesheet Raw'!$P$4:$P$8000,'Timesheet Raw'!$L$4:$L$8000,$A216,'Timesheet Raw'!$C$4:$C$8000,T$3,'Timesheet Raw'!$A$4:$A$8000,"2-Proposals Chargeable")+SUMIFS('Timesheet Raw'!$P$4:$P$8000,'Timesheet Raw'!$L$4:$L$8000,$A216,'Timesheet Raw'!$C$4:$C$8000,T$3,'Timesheet Raw'!$A$4:$A$8000,"3-Proposals Regular"))</f>
        <v>0</v>
      </c>
      <c r="V216" s="341">
        <f>IF($A216="","",SUMIFS('Timesheet Raw'!$P$4:$P$8000,'Timesheet Raw'!$L$4:$L$8000,$A216,'Timesheet Raw'!$C$4:$C$8000,T$3,'Timesheet Raw'!$B$4:$B$8000,'Work Calendar'!$A$26)+SUMIFS('Timesheet Raw'!$P$4:$P$8000,'Timesheet Raw'!$L$4:$L$8000,$A216,'Timesheet Raw'!$C$4:$C$8000,T$3,'Timesheet Raw'!$B$4:$B$8000,'Work Calendar'!$A$27)+SUMIFS('Timesheet Raw'!$P$4:$P$8000,'Timesheet Raw'!$L$4:$L$8000,$A216,'Timesheet Raw'!$C$4:$C$8000,T$3,'Timesheet Raw'!$B$4:$B$8000,'Work Calendar'!$A$28)+SUMIFS('Timesheet Raw'!$P$4:$P$8000,'Timesheet Raw'!$L$4:$L$8000,$A216,'Timesheet Raw'!$C$4:$C$8000,T$3,'Timesheet Raw'!$B$4:$B$8000,'Work Calendar'!$A$29))</f>
        <v>0</v>
      </c>
      <c r="W216" s="341">
        <f t="shared" si="15"/>
        <v>0</v>
      </c>
      <c r="X216" s="395">
        <f>IF($A216="","",SUMIFS('Timesheet Raw'!$K$4:$K$8000,'Timesheet Raw'!$L$4:$L$8000,$A216,'Timesheet Raw'!$C$4:$C$8000,T$3))</f>
        <v>0</v>
      </c>
      <c r="Y216" s="345">
        <f>IF($A216="","",SUMIFS('Timesheet Raw'!$P$4:$P$8000,'Timesheet Raw'!$L$4:$L$8000,$A216,'Timesheet Raw'!$C$4:$C$8000,T$3))</f>
        <v>0</v>
      </c>
      <c r="Z216" s="375"/>
      <c r="AA216" t="str">
        <f>IF($A216="","",IF(Z216&lt;&gt;"",Z216,IF($A216&gt;'Work Calendar'!$B$17,"No data yet",IF(AND(V216&gt;='Work Calendar'!$B$14,T216+U216+W216&gt;0),"Day off - but worked",IF(V216&gt;='Work Calendar'!$B$14,"Day off",IF(T216+U216+W216&gt;0,IF($C216="Working","Charged","Worked weekend"),IF($C216="Working","Leave (not charged)",$C216)))))))</f>
        <v>Weekend</v>
      </c>
    </row>
    <row r="217" spans="1:27" x14ac:dyDescent="0.3">
      <c r="A217" s="371">
        <f>IF($A216="","",IF($A216+1&gt;'Work Calendar'!$B$16,"",$A216+1))</f>
        <v>46235</v>
      </c>
      <c r="B217" t="str">
        <f t="shared" si="12"/>
        <v>Sat</v>
      </c>
      <c r="C217" t="str" cm="1">
        <f t="array" ref="C217">IF($A217="","",IF(COUNTIF('Work Calendar'!$E$6:$E$200,$A217)&gt;0,"Holiday",IF(INDEX('Work Calendar'!$C$6:$C$12,WEEKDAY($A217,1))=1,"Working","Weekend")))</f>
        <v>Weekend</v>
      </c>
      <c r="D217" s="341">
        <f>IF($A217="","",SUMIFS('Timesheet Raw'!$P$4:$P$8000,'Timesheet Raw'!$L$4:$L$8000,$A217,'Timesheet Raw'!$C$4:$C$8000,D$3,'Timesheet Raw'!$A$4:$A$8000,"1-Projects"))</f>
        <v>0</v>
      </c>
      <c r="E217" s="341">
        <f>IF($A217="","",SUMIFS('Timesheet Raw'!$P$4:$P$8000,'Timesheet Raw'!$L$4:$L$8000,$A217,'Timesheet Raw'!$C$4:$C$8000,D$3,'Timesheet Raw'!$A$4:$A$8000,"2-Proposals Chargeable")+SUMIFS('Timesheet Raw'!$P$4:$P$8000,'Timesheet Raw'!$L$4:$L$8000,$A217,'Timesheet Raw'!$C$4:$C$8000,D$3,'Timesheet Raw'!$A$4:$A$8000,"3-Proposals Regular"))</f>
        <v>0</v>
      </c>
      <c r="F217" s="341">
        <f>IF($A217="","",SUMIFS('Timesheet Raw'!$P$4:$P$8000,'Timesheet Raw'!$L$4:$L$8000,$A217,'Timesheet Raw'!$C$4:$C$8000,D$3,'Timesheet Raw'!$B$4:$B$8000,'Work Calendar'!$A$26)+SUMIFS('Timesheet Raw'!$P$4:$P$8000,'Timesheet Raw'!$L$4:$L$8000,$A217,'Timesheet Raw'!$C$4:$C$8000,D$3,'Timesheet Raw'!$B$4:$B$8000,'Work Calendar'!$A$27)+SUMIFS('Timesheet Raw'!$P$4:$P$8000,'Timesheet Raw'!$L$4:$L$8000,$A217,'Timesheet Raw'!$C$4:$C$8000,D$3,'Timesheet Raw'!$B$4:$B$8000,'Work Calendar'!$A$28)+SUMIFS('Timesheet Raw'!$P$4:$P$8000,'Timesheet Raw'!$L$4:$L$8000,$A217,'Timesheet Raw'!$C$4:$C$8000,D$3,'Timesheet Raw'!$B$4:$B$8000,'Work Calendar'!$A$29))</f>
        <v>0</v>
      </c>
      <c r="G217" s="341">
        <f t="shared" si="13"/>
        <v>0</v>
      </c>
      <c r="H217" s="395">
        <f>IF($A217="","",SUMIFS('Timesheet Raw'!$K$4:$K$8000,'Timesheet Raw'!$L$4:$L$8000,$A217,'Timesheet Raw'!$C$4:$C$8000,D$3))</f>
        <v>0</v>
      </c>
      <c r="I217" s="345">
        <f>IF($A217="","",SUMIFS('Timesheet Raw'!$P$4:$P$8000,'Timesheet Raw'!$L$4:$L$8000,$A217,'Timesheet Raw'!$C$4:$C$8000,D$3))</f>
        <v>0</v>
      </c>
      <c r="J217" s="375"/>
      <c r="K217" t="str">
        <f>IF($A217="","",IF(J217&lt;&gt;"",J217,IF($A217&gt;'Work Calendar'!$B$17,"No data yet",IF(AND(F217&gt;='Work Calendar'!$B$14,D217+E217+G217&gt;0),"Day off - but worked",IF(F217&gt;='Work Calendar'!$B$14,"Day off",IF(D217+E217+G217&gt;0,IF($C217="Working","Charged","Worked weekend"),IF($C217="Working","Leave (not charged)",$C217)))))))</f>
        <v>Weekend</v>
      </c>
      <c r="L217" s="341">
        <f>IF($A217="","",SUMIFS('Timesheet Raw'!$P$4:$P$8000,'Timesheet Raw'!$L$4:$L$8000,$A217,'Timesheet Raw'!$C$4:$C$8000,L$3,'Timesheet Raw'!$A$4:$A$8000,"1-Projects"))</f>
        <v>0</v>
      </c>
      <c r="M217" s="341">
        <f>IF($A217="","",SUMIFS('Timesheet Raw'!$P$4:$P$8000,'Timesheet Raw'!$L$4:$L$8000,$A217,'Timesheet Raw'!$C$4:$C$8000,L$3,'Timesheet Raw'!$A$4:$A$8000,"2-Proposals Chargeable")+SUMIFS('Timesheet Raw'!$P$4:$P$8000,'Timesheet Raw'!$L$4:$L$8000,$A217,'Timesheet Raw'!$C$4:$C$8000,L$3,'Timesheet Raw'!$A$4:$A$8000,"3-Proposals Regular"))</f>
        <v>0</v>
      </c>
      <c r="N217" s="341">
        <f>IF($A217="","",SUMIFS('Timesheet Raw'!$P$4:$P$8000,'Timesheet Raw'!$L$4:$L$8000,$A217,'Timesheet Raw'!$C$4:$C$8000,L$3,'Timesheet Raw'!$B$4:$B$8000,'Work Calendar'!$A$26)+SUMIFS('Timesheet Raw'!$P$4:$P$8000,'Timesheet Raw'!$L$4:$L$8000,$A217,'Timesheet Raw'!$C$4:$C$8000,L$3,'Timesheet Raw'!$B$4:$B$8000,'Work Calendar'!$A$27)+SUMIFS('Timesheet Raw'!$P$4:$P$8000,'Timesheet Raw'!$L$4:$L$8000,$A217,'Timesheet Raw'!$C$4:$C$8000,L$3,'Timesheet Raw'!$B$4:$B$8000,'Work Calendar'!$A$28)+SUMIFS('Timesheet Raw'!$P$4:$P$8000,'Timesheet Raw'!$L$4:$L$8000,$A217,'Timesheet Raw'!$C$4:$C$8000,L$3,'Timesheet Raw'!$B$4:$B$8000,'Work Calendar'!$A$29))</f>
        <v>0</v>
      </c>
      <c r="O217" s="341">
        <f t="shared" si="14"/>
        <v>0</v>
      </c>
      <c r="P217" s="395">
        <f>IF($A217="","",SUMIFS('Timesheet Raw'!$K$4:$K$8000,'Timesheet Raw'!$L$4:$L$8000,$A217,'Timesheet Raw'!$C$4:$C$8000,L$3))</f>
        <v>0</v>
      </c>
      <c r="Q217" s="345">
        <f>IF($A217="","",SUMIFS('Timesheet Raw'!$P$4:$P$8000,'Timesheet Raw'!$L$4:$L$8000,$A217,'Timesheet Raw'!$C$4:$C$8000,L$3))</f>
        <v>0</v>
      </c>
      <c r="R217" s="375"/>
      <c r="S217" t="str">
        <f>IF($A217="","",IF(R217&lt;&gt;"",R217,IF($A217&gt;'Work Calendar'!$B$17,"No data yet",IF(AND(N217&gt;='Work Calendar'!$B$14,L217+M217+O217&gt;0),"Day off - but worked",IF(N217&gt;='Work Calendar'!$B$14,"Day off",IF(L217+M217+O217&gt;0,IF($C217="Working","Charged","Worked weekend"),IF($C217="Working","Leave (not charged)",$C217)))))))</f>
        <v>Weekend</v>
      </c>
      <c r="T217" s="341">
        <f>IF($A217="","",SUMIFS('Timesheet Raw'!$P$4:$P$8000,'Timesheet Raw'!$L$4:$L$8000,$A217,'Timesheet Raw'!$C$4:$C$8000,T$3,'Timesheet Raw'!$A$4:$A$8000,"1-Projects"))</f>
        <v>0</v>
      </c>
      <c r="U217" s="341">
        <f>IF($A217="","",SUMIFS('Timesheet Raw'!$P$4:$P$8000,'Timesheet Raw'!$L$4:$L$8000,$A217,'Timesheet Raw'!$C$4:$C$8000,T$3,'Timesheet Raw'!$A$4:$A$8000,"2-Proposals Chargeable")+SUMIFS('Timesheet Raw'!$P$4:$P$8000,'Timesheet Raw'!$L$4:$L$8000,$A217,'Timesheet Raw'!$C$4:$C$8000,T$3,'Timesheet Raw'!$A$4:$A$8000,"3-Proposals Regular"))</f>
        <v>0</v>
      </c>
      <c r="V217" s="341">
        <f>IF($A217="","",SUMIFS('Timesheet Raw'!$P$4:$P$8000,'Timesheet Raw'!$L$4:$L$8000,$A217,'Timesheet Raw'!$C$4:$C$8000,T$3,'Timesheet Raw'!$B$4:$B$8000,'Work Calendar'!$A$26)+SUMIFS('Timesheet Raw'!$P$4:$P$8000,'Timesheet Raw'!$L$4:$L$8000,$A217,'Timesheet Raw'!$C$4:$C$8000,T$3,'Timesheet Raw'!$B$4:$B$8000,'Work Calendar'!$A$27)+SUMIFS('Timesheet Raw'!$P$4:$P$8000,'Timesheet Raw'!$L$4:$L$8000,$A217,'Timesheet Raw'!$C$4:$C$8000,T$3,'Timesheet Raw'!$B$4:$B$8000,'Work Calendar'!$A$28)+SUMIFS('Timesheet Raw'!$P$4:$P$8000,'Timesheet Raw'!$L$4:$L$8000,$A217,'Timesheet Raw'!$C$4:$C$8000,T$3,'Timesheet Raw'!$B$4:$B$8000,'Work Calendar'!$A$29))</f>
        <v>0</v>
      </c>
      <c r="W217" s="341">
        <f t="shared" si="15"/>
        <v>0</v>
      </c>
      <c r="X217" s="395">
        <f>IF($A217="","",SUMIFS('Timesheet Raw'!$K$4:$K$8000,'Timesheet Raw'!$L$4:$L$8000,$A217,'Timesheet Raw'!$C$4:$C$8000,T$3))</f>
        <v>0</v>
      </c>
      <c r="Y217" s="345">
        <f>IF($A217="","",SUMIFS('Timesheet Raw'!$P$4:$P$8000,'Timesheet Raw'!$L$4:$L$8000,$A217,'Timesheet Raw'!$C$4:$C$8000,T$3))</f>
        <v>0</v>
      </c>
      <c r="Z217" s="375"/>
      <c r="AA217" t="str">
        <f>IF($A217="","",IF(Z217&lt;&gt;"",Z217,IF($A217&gt;'Work Calendar'!$B$17,"No data yet",IF(AND(V217&gt;='Work Calendar'!$B$14,T217+U217+W217&gt;0),"Day off - but worked",IF(V217&gt;='Work Calendar'!$B$14,"Day off",IF(T217+U217+W217&gt;0,IF($C217="Working","Charged","Worked weekend"),IF($C217="Working","Leave (not charged)",$C217)))))))</f>
        <v>Weekend</v>
      </c>
    </row>
    <row r="218" spans="1:27" x14ac:dyDescent="0.3">
      <c r="A218" s="371">
        <f>IF($A217="","",IF($A217+1&gt;'Work Calendar'!$B$16,"",$A217+1))</f>
        <v>46236</v>
      </c>
      <c r="B218" t="str">
        <f t="shared" si="12"/>
        <v>Sun</v>
      </c>
      <c r="C218" t="str" cm="1">
        <f t="array" ref="C218">IF($A218="","",IF(COUNTIF('Work Calendar'!$E$6:$E$200,$A218)&gt;0,"Holiday",IF(INDEX('Work Calendar'!$C$6:$C$12,WEEKDAY($A218,1))=1,"Working","Weekend")))</f>
        <v>Working</v>
      </c>
      <c r="D218" s="341">
        <f>IF($A218="","",SUMIFS('Timesheet Raw'!$P$4:$P$8000,'Timesheet Raw'!$L$4:$L$8000,$A218,'Timesheet Raw'!$C$4:$C$8000,D$3,'Timesheet Raw'!$A$4:$A$8000,"1-Projects"))</f>
        <v>0</v>
      </c>
      <c r="E218" s="341">
        <f>IF($A218="","",SUMIFS('Timesheet Raw'!$P$4:$P$8000,'Timesheet Raw'!$L$4:$L$8000,$A218,'Timesheet Raw'!$C$4:$C$8000,D$3,'Timesheet Raw'!$A$4:$A$8000,"2-Proposals Chargeable")+SUMIFS('Timesheet Raw'!$P$4:$P$8000,'Timesheet Raw'!$L$4:$L$8000,$A218,'Timesheet Raw'!$C$4:$C$8000,D$3,'Timesheet Raw'!$A$4:$A$8000,"3-Proposals Regular"))</f>
        <v>0</v>
      </c>
      <c r="F218" s="341">
        <f>IF($A218="","",SUMIFS('Timesheet Raw'!$P$4:$P$8000,'Timesheet Raw'!$L$4:$L$8000,$A218,'Timesheet Raw'!$C$4:$C$8000,D$3,'Timesheet Raw'!$B$4:$B$8000,'Work Calendar'!$A$26)+SUMIFS('Timesheet Raw'!$P$4:$P$8000,'Timesheet Raw'!$L$4:$L$8000,$A218,'Timesheet Raw'!$C$4:$C$8000,D$3,'Timesheet Raw'!$B$4:$B$8000,'Work Calendar'!$A$27)+SUMIFS('Timesheet Raw'!$P$4:$P$8000,'Timesheet Raw'!$L$4:$L$8000,$A218,'Timesheet Raw'!$C$4:$C$8000,D$3,'Timesheet Raw'!$B$4:$B$8000,'Work Calendar'!$A$28)+SUMIFS('Timesheet Raw'!$P$4:$P$8000,'Timesheet Raw'!$L$4:$L$8000,$A218,'Timesheet Raw'!$C$4:$C$8000,D$3,'Timesheet Raw'!$B$4:$B$8000,'Work Calendar'!$A$29))</f>
        <v>0</v>
      </c>
      <c r="G218" s="341">
        <f t="shared" si="13"/>
        <v>0</v>
      </c>
      <c r="H218" s="395">
        <f>IF($A218="","",SUMIFS('Timesheet Raw'!$K$4:$K$8000,'Timesheet Raw'!$L$4:$L$8000,$A218,'Timesheet Raw'!$C$4:$C$8000,D$3))</f>
        <v>0</v>
      </c>
      <c r="I218" s="345">
        <f>IF($A218="","",SUMIFS('Timesheet Raw'!$P$4:$P$8000,'Timesheet Raw'!$L$4:$L$8000,$A218,'Timesheet Raw'!$C$4:$C$8000,D$3))</f>
        <v>0</v>
      </c>
      <c r="J218" s="375"/>
      <c r="K218" t="str">
        <f>IF($A218="","",IF(J218&lt;&gt;"",J218,IF($A218&gt;'Work Calendar'!$B$17,"No data yet",IF(AND(F218&gt;='Work Calendar'!$B$14,D218+E218+G218&gt;0),"Day off - but worked",IF(F218&gt;='Work Calendar'!$B$14,"Day off",IF(D218+E218+G218&gt;0,IF($C218="Working","Charged","Worked weekend"),IF($C218="Working","Leave (not charged)",$C218)))))))</f>
        <v>Leave (not charged)</v>
      </c>
      <c r="L218" s="341">
        <f>IF($A218="","",SUMIFS('Timesheet Raw'!$P$4:$P$8000,'Timesheet Raw'!$L$4:$L$8000,$A218,'Timesheet Raw'!$C$4:$C$8000,L$3,'Timesheet Raw'!$A$4:$A$8000,"1-Projects"))</f>
        <v>9</v>
      </c>
      <c r="M218" s="341">
        <f>IF($A218="","",SUMIFS('Timesheet Raw'!$P$4:$P$8000,'Timesheet Raw'!$L$4:$L$8000,$A218,'Timesheet Raw'!$C$4:$C$8000,L$3,'Timesheet Raw'!$A$4:$A$8000,"2-Proposals Chargeable")+SUMIFS('Timesheet Raw'!$P$4:$P$8000,'Timesheet Raw'!$L$4:$L$8000,$A218,'Timesheet Raw'!$C$4:$C$8000,L$3,'Timesheet Raw'!$A$4:$A$8000,"3-Proposals Regular"))</f>
        <v>0</v>
      </c>
      <c r="N218" s="341">
        <f>IF($A218="","",SUMIFS('Timesheet Raw'!$P$4:$P$8000,'Timesheet Raw'!$L$4:$L$8000,$A218,'Timesheet Raw'!$C$4:$C$8000,L$3,'Timesheet Raw'!$B$4:$B$8000,'Work Calendar'!$A$26)+SUMIFS('Timesheet Raw'!$P$4:$P$8000,'Timesheet Raw'!$L$4:$L$8000,$A218,'Timesheet Raw'!$C$4:$C$8000,L$3,'Timesheet Raw'!$B$4:$B$8000,'Work Calendar'!$A$27)+SUMIFS('Timesheet Raw'!$P$4:$P$8000,'Timesheet Raw'!$L$4:$L$8000,$A218,'Timesheet Raw'!$C$4:$C$8000,L$3,'Timesheet Raw'!$B$4:$B$8000,'Work Calendar'!$A$28)+SUMIFS('Timesheet Raw'!$P$4:$P$8000,'Timesheet Raw'!$L$4:$L$8000,$A218,'Timesheet Raw'!$C$4:$C$8000,L$3,'Timesheet Raw'!$B$4:$B$8000,'Work Calendar'!$A$29))</f>
        <v>0</v>
      </c>
      <c r="O218" s="341">
        <f t="shared" si="14"/>
        <v>0</v>
      </c>
      <c r="P218" s="395">
        <f>IF($A218="","",SUMIFS('Timesheet Raw'!$K$4:$K$8000,'Timesheet Raw'!$L$4:$L$8000,$A218,'Timesheet Raw'!$C$4:$C$8000,L$3))</f>
        <v>0.5</v>
      </c>
      <c r="Q218" s="345">
        <f>IF($A218="","",SUMIFS('Timesheet Raw'!$P$4:$P$8000,'Timesheet Raw'!$L$4:$L$8000,$A218,'Timesheet Raw'!$C$4:$C$8000,L$3))</f>
        <v>9</v>
      </c>
      <c r="R218" s="375"/>
      <c r="S218" t="str">
        <f>IF($A218="","",IF(R218&lt;&gt;"",R218,IF($A218&gt;'Work Calendar'!$B$17,"No data yet",IF(AND(N218&gt;='Work Calendar'!$B$14,L218+M218+O218&gt;0),"Day off - but worked",IF(N218&gt;='Work Calendar'!$B$14,"Day off",IF(L218+M218+O218&gt;0,IF($C218="Working","Charged","Worked weekend"),IF($C218="Working","Leave (not charged)",$C218)))))))</f>
        <v>Charged</v>
      </c>
      <c r="T218" s="341">
        <f>IF($A218="","",SUMIFS('Timesheet Raw'!$P$4:$P$8000,'Timesheet Raw'!$L$4:$L$8000,$A218,'Timesheet Raw'!$C$4:$C$8000,T$3,'Timesheet Raw'!$A$4:$A$8000,"1-Projects"))</f>
        <v>10.5</v>
      </c>
      <c r="U218" s="341">
        <f>IF($A218="","",SUMIFS('Timesheet Raw'!$P$4:$P$8000,'Timesheet Raw'!$L$4:$L$8000,$A218,'Timesheet Raw'!$C$4:$C$8000,T$3,'Timesheet Raw'!$A$4:$A$8000,"2-Proposals Chargeable")+SUMIFS('Timesheet Raw'!$P$4:$P$8000,'Timesheet Raw'!$L$4:$L$8000,$A218,'Timesheet Raw'!$C$4:$C$8000,T$3,'Timesheet Raw'!$A$4:$A$8000,"3-Proposals Regular"))</f>
        <v>0</v>
      </c>
      <c r="V218" s="341">
        <f>IF($A218="","",SUMIFS('Timesheet Raw'!$P$4:$P$8000,'Timesheet Raw'!$L$4:$L$8000,$A218,'Timesheet Raw'!$C$4:$C$8000,T$3,'Timesheet Raw'!$B$4:$B$8000,'Work Calendar'!$A$26)+SUMIFS('Timesheet Raw'!$P$4:$P$8000,'Timesheet Raw'!$L$4:$L$8000,$A218,'Timesheet Raw'!$C$4:$C$8000,T$3,'Timesheet Raw'!$B$4:$B$8000,'Work Calendar'!$A$27)+SUMIFS('Timesheet Raw'!$P$4:$P$8000,'Timesheet Raw'!$L$4:$L$8000,$A218,'Timesheet Raw'!$C$4:$C$8000,T$3,'Timesheet Raw'!$B$4:$B$8000,'Work Calendar'!$A$28)+SUMIFS('Timesheet Raw'!$P$4:$P$8000,'Timesheet Raw'!$L$4:$L$8000,$A218,'Timesheet Raw'!$C$4:$C$8000,T$3,'Timesheet Raw'!$B$4:$B$8000,'Work Calendar'!$A$29))</f>
        <v>0.25</v>
      </c>
      <c r="W218" s="341">
        <f t="shared" si="15"/>
        <v>0</v>
      </c>
      <c r="X218" s="395">
        <f>IF($A218="","",SUMIFS('Timesheet Raw'!$K$4:$K$8000,'Timesheet Raw'!$L$4:$L$8000,$A218,'Timesheet Raw'!$C$4:$C$8000,T$3))</f>
        <v>2.25</v>
      </c>
      <c r="Y218" s="345">
        <f>IF($A218="","",SUMIFS('Timesheet Raw'!$P$4:$P$8000,'Timesheet Raw'!$L$4:$L$8000,$A218,'Timesheet Raw'!$C$4:$C$8000,T$3))</f>
        <v>10.75</v>
      </c>
      <c r="Z218" s="375"/>
      <c r="AA218" t="str">
        <f>IF($A218="","",IF(Z218&lt;&gt;"",Z218,IF($A218&gt;'Work Calendar'!$B$17,"No data yet",IF(AND(V218&gt;='Work Calendar'!$B$14,T218+U218+W218&gt;0),"Day off - but worked",IF(V218&gt;='Work Calendar'!$B$14,"Day off",IF(T218+U218+W218&gt;0,IF($C218="Working","Charged","Worked weekend"),IF($C218="Working","Leave (not charged)",$C218)))))))</f>
        <v>Charged</v>
      </c>
    </row>
    <row r="219" spans="1:27" x14ac:dyDescent="0.3">
      <c r="A219" s="371">
        <f>IF($A218="","",IF($A218+1&gt;'Work Calendar'!$B$16,"",$A218+1))</f>
        <v>46237</v>
      </c>
      <c r="B219" t="str">
        <f t="shared" si="12"/>
        <v>Mon</v>
      </c>
      <c r="C219" t="str" cm="1">
        <f t="array" ref="C219">IF($A219="","",IF(COUNTIF('Work Calendar'!$E$6:$E$200,$A219)&gt;0,"Holiday",IF(INDEX('Work Calendar'!$C$6:$C$12,WEEKDAY($A219,1))=1,"Working","Weekend")))</f>
        <v>Working</v>
      </c>
      <c r="D219" s="341">
        <f>IF($A219="","",SUMIFS('Timesheet Raw'!$P$4:$P$8000,'Timesheet Raw'!$L$4:$L$8000,$A219,'Timesheet Raw'!$C$4:$C$8000,D$3,'Timesheet Raw'!$A$4:$A$8000,"1-Projects"))</f>
        <v>7.75</v>
      </c>
      <c r="E219" s="341">
        <f>IF($A219="","",SUMIFS('Timesheet Raw'!$P$4:$P$8000,'Timesheet Raw'!$L$4:$L$8000,$A219,'Timesheet Raw'!$C$4:$C$8000,D$3,'Timesheet Raw'!$A$4:$A$8000,"2-Proposals Chargeable")+SUMIFS('Timesheet Raw'!$P$4:$P$8000,'Timesheet Raw'!$L$4:$L$8000,$A219,'Timesheet Raw'!$C$4:$C$8000,D$3,'Timesheet Raw'!$A$4:$A$8000,"3-Proposals Regular"))</f>
        <v>0</v>
      </c>
      <c r="F219" s="341">
        <f>IF($A219="","",SUMIFS('Timesheet Raw'!$P$4:$P$8000,'Timesheet Raw'!$L$4:$L$8000,$A219,'Timesheet Raw'!$C$4:$C$8000,D$3,'Timesheet Raw'!$B$4:$B$8000,'Work Calendar'!$A$26)+SUMIFS('Timesheet Raw'!$P$4:$P$8000,'Timesheet Raw'!$L$4:$L$8000,$A219,'Timesheet Raw'!$C$4:$C$8000,D$3,'Timesheet Raw'!$B$4:$B$8000,'Work Calendar'!$A$27)+SUMIFS('Timesheet Raw'!$P$4:$P$8000,'Timesheet Raw'!$L$4:$L$8000,$A219,'Timesheet Raw'!$C$4:$C$8000,D$3,'Timesheet Raw'!$B$4:$B$8000,'Work Calendar'!$A$28)+SUMIFS('Timesheet Raw'!$P$4:$P$8000,'Timesheet Raw'!$L$4:$L$8000,$A219,'Timesheet Raw'!$C$4:$C$8000,D$3,'Timesheet Raw'!$B$4:$B$8000,'Work Calendar'!$A$29))</f>
        <v>2</v>
      </c>
      <c r="G219" s="341">
        <f t="shared" si="13"/>
        <v>0</v>
      </c>
      <c r="H219" s="395">
        <f>IF($A219="","",SUMIFS('Timesheet Raw'!$K$4:$K$8000,'Timesheet Raw'!$L$4:$L$8000,$A219,'Timesheet Raw'!$C$4:$C$8000,D$3))</f>
        <v>1.25</v>
      </c>
      <c r="I219" s="345">
        <f>IF($A219="","",SUMIFS('Timesheet Raw'!$P$4:$P$8000,'Timesheet Raw'!$L$4:$L$8000,$A219,'Timesheet Raw'!$C$4:$C$8000,D$3))</f>
        <v>9.75</v>
      </c>
      <c r="J219" s="375"/>
      <c r="K219" t="str">
        <f>IF($A219="","",IF(J219&lt;&gt;"",J219,IF($A219&gt;'Work Calendar'!$B$17,"No data yet",IF(AND(F219&gt;='Work Calendar'!$B$14,D219+E219+G219&gt;0),"Day off - but worked",IF(F219&gt;='Work Calendar'!$B$14,"Day off",IF(D219+E219+G219&gt;0,IF($C219="Working","Charged","Worked weekend"),IF($C219="Working","Leave (not charged)",$C219)))))))</f>
        <v>Charged</v>
      </c>
      <c r="L219" s="341">
        <f>IF($A219="","",SUMIFS('Timesheet Raw'!$P$4:$P$8000,'Timesheet Raw'!$L$4:$L$8000,$A219,'Timesheet Raw'!$C$4:$C$8000,L$3,'Timesheet Raw'!$A$4:$A$8000,"1-Projects"))</f>
        <v>0</v>
      </c>
      <c r="M219" s="341">
        <f>IF($A219="","",SUMIFS('Timesheet Raw'!$P$4:$P$8000,'Timesheet Raw'!$L$4:$L$8000,$A219,'Timesheet Raw'!$C$4:$C$8000,L$3,'Timesheet Raw'!$A$4:$A$8000,"2-Proposals Chargeable")+SUMIFS('Timesheet Raw'!$P$4:$P$8000,'Timesheet Raw'!$L$4:$L$8000,$A219,'Timesheet Raw'!$C$4:$C$8000,L$3,'Timesheet Raw'!$A$4:$A$8000,"3-Proposals Regular"))</f>
        <v>0</v>
      </c>
      <c r="N219" s="341">
        <f>IF($A219="","",SUMIFS('Timesheet Raw'!$P$4:$P$8000,'Timesheet Raw'!$L$4:$L$8000,$A219,'Timesheet Raw'!$C$4:$C$8000,L$3,'Timesheet Raw'!$B$4:$B$8000,'Work Calendar'!$A$26)+SUMIFS('Timesheet Raw'!$P$4:$P$8000,'Timesheet Raw'!$L$4:$L$8000,$A219,'Timesheet Raw'!$C$4:$C$8000,L$3,'Timesheet Raw'!$B$4:$B$8000,'Work Calendar'!$A$27)+SUMIFS('Timesheet Raw'!$P$4:$P$8000,'Timesheet Raw'!$L$4:$L$8000,$A219,'Timesheet Raw'!$C$4:$C$8000,L$3,'Timesheet Raw'!$B$4:$B$8000,'Work Calendar'!$A$28)+SUMIFS('Timesheet Raw'!$P$4:$P$8000,'Timesheet Raw'!$L$4:$L$8000,$A219,'Timesheet Raw'!$C$4:$C$8000,L$3,'Timesheet Raw'!$B$4:$B$8000,'Work Calendar'!$A$29))</f>
        <v>8.5</v>
      </c>
      <c r="O219" s="341">
        <f t="shared" si="14"/>
        <v>0</v>
      </c>
      <c r="P219" s="395">
        <f>IF($A219="","",SUMIFS('Timesheet Raw'!$K$4:$K$8000,'Timesheet Raw'!$L$4:$L$8000,$A219,'Timesheet Raw'!$C$4:$C$8000,L$3))</f>
        <v>0</v>
      </c>
      <c r="Q219" s="345">
        <f>IF($A219="","",SUMIFS('Timesheet Raw'!$P$4:$P$8000,'Timesheet Raw'!$L$4:$L$8000,$A219,'Timesheet Raw'!$C$4:$C$8000,L$3))</f>
        <v>8.5</v>
      </c>
      <c r="R219" s="375"/>
      <c r="S219" t="str">
        <f>IF($A219="","",IF(R219&lt;&gt;"",R219,IF($A219&gt;'Work Calendar'!$B$17,"No data yet",IF(AND(N219&gt;='Work Calendar'!$B$14,L219+M219+O219&gt;0),"Day off - but worked",IF(N219&gt;='Work Calendar'!$B$14,"Day off",IF(L219+M219+O219&gt;0,IF($C219="Working","Charged","Worked weekend"),IF($C219="Working","Leave (not charged)",$C219)))))))</f>
        <v>Day off</v>
      </c>
      <c r="T219" s="341">
        <f>IF($A219="","",SUMIFS('Timesheet Raw'!$P$4:$P$8000,'Timesheet Raw'!$L$4:$L$8000,$A219,'Timesheet Raw'!$C$4:$C$8000,T$3,'Timesheet Raw'!$A$4:$A$8000,"1-Projects"))</f>
        <v>8.5</v>
      </c>
      <c r="U219" s="341">
        <f>IF($A219="","",SUMIFS('Timesheet Raw'!$P$4:$P$8000,'Timesheet Raw'!$L$4:$L$8000,$A219,'Timesheet Raw'!$C$4:$C$8000,T$3,'Timesheet Raw'!$A$4:$A$8000,"2-Proposals Chargeable")+SUMIFS('Timesheet Raw'!$P$4:$P$8000,'Timesheet Raw'!$L$4:$L$8000,$A219,'Timesheet Raw'!$C$4:$C$8000,T$3,'Timesheet Raw'!$A$4:$A$8000,"3-Proposals Regular"))</f>
        <v>0</v>
      </c>
      <c r="V219" s="341">
        <f>IF($A219="","",SUMIFS('Timesheet Raw'!$P$4:$P$8000,'Timesheet Raw'!$L$4:$L$8000,$A219,'Timesheet Raw'!$C$4:$C$8000,T$3,'Timesheet Raw'!$B$4:$B$8000,'Work Calendar'!$A$26)+SUMIFS('Timesheet Raw'!$P$4:$P$8000,'Timesheet Raw'!$L$4:$L$8000,$A219,'Timesheet Raw'!$C$4:$C$8000,T$3,'Timesheet Raw'!$B$4:$B$8000,'Work Calendar'!$A$27)+SUMIFS('Timesheet Raw'!$P$4:$P$8000,'Timesheet Raw'!$L$4:$L$8000,$A219,'Timesheet Raw'!$C$4:$C$8000,T$3,'Timesheet Raw'!$B$4:$B$8000,'Work Calendar'!$A$28)+SUMIFS('Timesheet Raw'!$P$4:$P$8000,'Timesheet Raw'!$L$4:$L$8000,$A219,'Timesheet Raw'!$C$4:$C$8000,T$3,'Timesheet Raw'!$B$4:$B$8000,'Work Calendar'!$A$29))</f>
        <v>1.25</v>
      </c>
      <c r="W219" s="341">
        <f t="shared" si="15"/>
        <v>0</v>
      </c>
      <c r="X219" s="395">
        <f>IF($A219="","",SUMIFS('Timesheet Raw'!$K$4:$K$8000,'Timesheet Raw'!$L$4:$L$8000,$A219,'Timesheet Raw'!$C$4:$C$8000,T$3))</f>
        <v>1.25</v>
      </c>
      <c r="Y219" s="345">
        <f>IF($A219="","",SUMIFS('Timesheet Raw'!$P$4:$P$8000,'Timesheet Raw'!$L$4:$L$8000,$A219,'Timesheet Raw'!$C$4:$C$8000,T$3))</f>
        <v>9.75</v>
      </c>
      <c r="Z219" s="375"/>
      <c r="AA219" t="str">
        <f>IF($A219="","",IF(Z219&lt;&gt;"",Z219,IF($A219&gt;'Work Calendar'!$B$17,"No data yet",IF(AND(V219&gt;='Work Calendar'!$B$14,T219+U219+W219&gt;0),"Day off - but worked",IF(V219&gt;='Work Calendar'!$B$14,"Day off",IF(T219+U219+W219&gt;0,IF($C219="Working","Charged","Worked weekend"),IF($C219="Working","Leave (not charged)",$C219)))))))</f>
        <v>Charged</v>
      </c>
    </row>
    <row r="220" spans="1:27" x14ac:dyDescent="0.3">
      <c r="A220" s="371">
        <f>IF($A219="","",IF($A219+1&gt;'Work Calendar'!$B$16,"",$A219+1))</f>
        <v>46238</v>
      </c>
      <c r="B220" t="str">
        <f t="shared" si="12"/>
        <v>Tue</v>
      </c>
      <c r="C220" t="str" cm="1">
        <f t="array" ref="C220">IF($A220="","",IF(COUNTIF('Work Calendar'!$E$6:$E$200,$A220)&gt;0,"Holiday",IF(INDEX('Work Calendar'!$C$6:$C$12,WEEKDAY($A220,1))=1,"Working","Weekend")))</f>
        <v>Working</v>
      </c>
      <c r="D220" s="341">
        <f>IF($A220="","",SUMIFS('Timesheet Raw'!$P$4:$P$8000,'Timesheet Raw'!$L$4:$L$8000,$A220,'Timesheet Raw'!$C$4:$C$8000,D$3,'Timesheet Raw'!$A$4:$A$8000,"1-Projects"))</f>
        <v>9</v>
      </c>
      <c r="E220" s="341">
        <f>IF($A220="","",SUMIFS('Timesheet Raw'!$P$4:$P$8000,'Timesheet Raw'!$L$4:$L$8000,$A220,'Timesheet Raw'!$C$4:$C$8000,D$3,'Timesheet Raw'!$A$4:$A$8000,"2-Proposals Chargeable")+SUMIFS('Timesheet Raw'!$P$4:$P$8000,'Timesheet Raw'!$L$4:$L$8000,$A220,'Timesheet Raw'!$C$4:$C$8000,D$3,'Timesheet Raw'!$A$4:$A$8000,"3-Proposals Regular"))</f>
        <v>0</v>
      </c>
      <c r="F220" s="341">
        <f>IF($A220="","",SUMIFS('Timesheet Raw'!$P$4:$P$8000,'Timesheet Raw'!$L$4:$L$8000,$A220,'Timesheet Raw'!$C$4:$C$8000,D$3,'Timesheet Raw'!$B$4:$B$8000,'Work Calendar'!$A$26)+SUMIFS('Timesheet Raw'!$P$4:$P$8000,'Timesheet Raw'!$L$4:$L$8000,$A220,'Timesheet Raw'!$C$4:$C$8000,D$3,'Timesheet Raw'!$B$4:$B$8000,'Work Calendar'!$A$27)+SUMIFS('Timesheet Raw'!$P$4:$P$8000,'Timesheet Raw'!$L$4:$L$8000,$A220,'Timesheet Raw'!$C$4:$C$8000,D$3,'Timesheet Raw'!$B$4:$B$8000,'Work Calendar'!$A$28)+SUMIFS('Timesheet Raw'!$P$4:$P$8000,'Timesheet Raw'!$L$4:$L$8000,$A220,'Timesheet Raw'!$C$4:$C$8000,D$3,'Timesheet Raw'!$B$4:$B$8000,'Work Calendar'!$A$29))</f>
        <v>1</v>
      </c>
      <c r="G220" s="341">
        <f t="shared" si="13"/>
        <v>0</v>
      </c>
      <c r="H220" s="395">
        <f>IF($A220="","",SUMIFS('Timesheet Raw'!$K$4:$K$8000,'Timesheet Raw'!$L$4:$L$8000,$A220,'Timesheet Raw'!$C$4:$C$8000,D$3))</f>
        <v>1.5</v>
      </c>
      <c r="I220" s="345">
        <f>IF($A220="","",SUMIFS('Timesheet Raw'!$P$4:$P$8000,'Timesheet Raw'!$L$4:$L$8000,$A220,'Timesheet Raw'!$C$4:$C$8000,D$3))</f>
        <v>10</v>
      </c>
      <c r="J220" s="375"/>
      <c r="K220" t="str">
        <f>IF($A220="","",IF(J220&lt;&gt;"",J220,IF($A220&gt;'Work Calendar'!$B$17,"No data yet",IF(AND(F220&gt;='Work Calendar'!$B$14,D220+E220+G220&gt;0),"Day off - but worked",IF(F220&gt;='Work Calendar'!$B$14,"Day off",IF(D220+E220+G220&gt;0,IF($C220="Working","Charged","Worked weekend"),IF($C220="Working","Leave (not charged)",$C220)))))))</f>
        <v>Charged</v>
      </c>
      <c r="L220" s="341">
        <f>IF($A220="","",SUMIFS('Timesheet Raw'!$P$4:$P$8000,'Timesheet Raw'!$L$4:$L$8000,$A220,'Timesheet Raw'!$C$4:$C$8000,L$3,'Timesheet Raw'!$A$4:$A$8000,"1-Projects"))</f>
        <v>12.5</v>
      </c>
      <c r="M220" s="341">
        <f>IF($A220="","",SUMIFS('Timesheet Raw'!$P$4:$P$8000,'Timesheet Raw'!$L$4:$L$8000,$A220,'Timesheet Raw'!$C$4:$C$8000,L$3,'Timesheet Raw'!$A$4:$A$8000,"2-Proposals Chargeable")+SUMIFS('Timesheet Raw'!$P$4:$P$8000,'Timesheet Raw'!$L$4:$L$8000,$A220,'Timesheet Raw'!$C$4:$C$8000,L$3,'Timesheet Raw'!$A$4:$A$8000,"3-Proposals Regular"))</f>
        <v>0</v>
      </c>
      <c r="N220" s="341">
        <f>IF($A220="","",SUMIFS('Timesheet Raw'!$P$4:$P$8000,'Timesheet Raw'!$L$4:$L$8000,$A220,'Timesheet Raw'!$C$4:$C$8000,L$3,'Timesheet Raw'!$B$4:$B$8000,'Work Calendar'!$A$26)+SUMIFS('Timesheet Raw'!$P$4:$P$8000,'Timesheet Raw'!$L$4:$L$8000,$A220,'Timesheet Raw'!$C$4:$C$8000,L$3,'Timesheet Raw'!$B$4:$B$8000,'Work Calendar'!$A$27)+SUMIFS('Timesheet Raw'!$P$4:$P$8000,'Timesheet Raw'!$L$4:$L$8000,$A220,'Timesheet Raw'!$C$4:$C$8000,L$3,'Timesheet Raw'!$B$4:$B$8000,'Work Calendar'!$A$28)+SUMIFS('Timesheet Raw'!$P$4:$P$8000,'Timesheet Raw'!$L$4:$L$8000,$A220,'Timesheet Raw'!$C$4:$C$8000,L$3,'Timesheet Raw'!$B$4:$B$8000,'Work Calendar'!$A$29))</f>
        <v>0</v>
      </c>
      <c r="O220" s="341">
        <f t="shared" si="14"/>
        <v>0</v>
      </c>
      <c r="P220" s="395">
        <f>IF($A220="","",SUMIFS('Timesheet Raw'!$K$4:$K$8000,'Timesheet Raw'!$L$4:$L$8000,$A220,'Timesheet Raw'!$C$4:$C$8000,L$3))</f>
        <v>4</v>
      </c>
      <c r="Q220" s="345">
        <f>IF($A220="","",SUMIFS('Timesheet Raw'!$P$4:$P$8000,'Timesheet Raw'!$L$4:$L$8000,$A220,'Timesheet Raw'!$C$4:$C$8000,L$3))</f>
        <v>12.5</v>
      </c>
      <c r="R220" s="375"/>
      <c r="S220" t="str">
        <f>IF($A220="","",IF(R220&lt;&gt;"",R220,IF($A220&gt;'Work Calendar'!$B$17,"No data yet",IF(AND(N220&gt;='Work Calendar'!$B$14,L220+M220+O220&gt;0),"Day off - but worked",IF(N220&gt;='Work Calendar'!$B$14,"Day off",IF(L220+M220+O220&gt;0,IF($C220="Working","Charged","Worked weekend"),IF($C220="Working","Leave (not charged)",$C220)))))))</f>
        <v>Charged</v>
      </c>
      <c r="T220" s="341">
        <f>IF($A220="","",SUMIFS('Timesheet Raw'!$P$4:$P$8000,'Timesheet Raw'!$L$4:$L$8000,$A220,'Timesheet Raw'!$C$4:$C$8000,T$3,'Timesheet Raw'!$A$4:$A$8000,"1-Projects"))</f>
        <v>11</v>
      </c>
      <c r="U220" s="341">
        <f>IF($A220="","",SUMIFS('Timesheet Raw'!$P$4:$P$8000,'Timesheet Raw'!$L$4:$L$8000,$A220,'Timesheet Raw'!$C$4:$C$8000,T$3,'Timesheet Raw'!$A$4:$A$8000,"2-Proposals Chargeable")+SUMIFS('Timesheet Raw'!$P$4:$P$8000,'Timesheet Raw'!$L$4:$L$8000,$A220,'Timesheet Raw'!$C$4:$C$8000,T$3,'Timesheet Raw'!$A$4:$A$8000,"3-Proposals Regular"))</f>
        <v>0</v>
      </c>
      <c r="V220" s="341">
        <f>IF($A220="","",SUMIFS('Timesheet Raw'!$P$4:$P$8000,'Timesheet Raw'!$L$4:$L$8000,$A220,'Timesheet Raw'!$C$4:$C$8000,T$3,'Timesheet Raw'!$B$4:$B$8000,'Work Calendar'!$A$26)+SUMIFS('Timesheet Raw'!$P$4:$P$8000,'Timesheet Raw'!$L$4:$L$8000,$A220,'Timesheet Raw'!$C$4:$C$8000,T$3,'Timesheet Raw'!$B$4:$B$8000,'Work Calendar'!$A$27)+SUMIFS('Timesheet Raw'!$P$4:$P$8000,'Timesheet Raw'!$L$4:$L$8000,$A220,'Timesheet Raw'!$C$4:$C$8000,T$3,'Timesheet Raw'!$B$4:$B$8000,'Work Calendar'!$A$28)+SUMIFS('Timesheet Raw'!$P$4:$P$8000,'Timesheet Raw'!$L$4:$L$8000,$A220,'Timesheet Raw'!$C$4:$C$8000,T$3,'Timesheet Raw'!$B$4:$B$8000,'Work Calendar'!$A$29))</f>
        <v>1.75</v>
      </c>
      <c r="W220" s="341">
        <f t="shared" si="15"/>
        <v>0</v>
      </c>
      <c r="X220" s="395">
        <f>IF($A220="","",SUMIFS('Timesheet Raw'!$K$4:$K$8000,'Timesheet Raw'!$L$4:$L$8000,$A220,'Timesheet Raw'!$C$4:$C$8000,T$3))</f>
        <v>4.25</v>
      </c>
      <c r="Y220" s="345">
        <f>IF($A220="","",SUMIFS('Timesheet Raw'!$P$4:$P$8000,'Timesheet Raw'!$L$4:$L$8000,$A220,'Timesheet Raw'!$C$4:$C$8000,T$3))</f>
        <v>12.75</v>
      </c>
      <c r="Z220" s="375"/>
      <c r="AA220" t="str">
        <f>IF($A220="","",IF(Z220&lt;&gt;"",Z220,IF($A220&gt;'Work Calendar'!$B$17,"No data yet",IF(AND(V220&gt;='Work Calendar'!$B$14,T220+U220+W220&gt;0),"Day off - but worked",IF(V220&gt;='Work Calendar'!$B$14,"Day off",IF(T220+U220+W220&gt;0,IF($C220="Working","Charged","Worked weekend"),IF($C220="Working","Leave (not charged)",$C220)))))))</f>
        <v>Charged</v>
      </c>
    </row>
    <row r="221" spans="1:27" x14ac:dyDescent="0.3">
      <c r="A221" s="371">
        <f>IF($A220="","",IF($A220+1&gt;'Work Calendar'!$B$16,"",$A220+1))</f>
        <v>46239</v>
      </c>
      <c r="B221" t="str">
        <f t="shared" si="12"/>
        <v>Wed</v>
      </c>
      <c r="C221" t="str" cm="1">
        <f t="array" ref="C221">IF($A221="","",IF(COUNTIF('Work Calendar'!$E$6:$E$200,$A221)&gt;0,"Holiday",IF(INDEX('Work Calendar'!$C$6:$C$12,WEEKDAY($A221,1))=1,"Working","Weekend")))</f>
        <v>Working</v>
      </c>
      <c r="D221" s="341">
        <f>IF($A221="","",SUMIFS('Timesheet Raw'!$P$4:$P$8000,'Timesheet Raw'!$L$4:$L$8000,$A221,'Timesheet Raw'!$C$4:$C$8000,D$3,'Timesheet Raw'!$A$4:$A$8000,"1-Projects"))</f>
        <v>10.75</v>
      </c>
      <c r="E221" s="341">
        <f>IF($A221="","",SUMIFS('Timesheet Raw'!$P$4:$P$8000,'Timesheet Raw'!$L$4:$L$8000,$A221,'Timesheet Raw'!$C$4:$C$8000,D$3,'Timesheet Raw'!$A$4:$A$8000,"2-Proposals Chargeable")+SUMIFS('Timesheet Raw'!$P$4:$P$8000,'Timesheet Raw'!$L$4:$L$8000,$A221,'Timesheet Raw'!$C$4:$C$8000,D$3,'Timesheet Raw'!$A$4:$A$8000,"3-Proposals Regular"))</f>
        <v>0</v>
      </c>
      <c r="F221" s="341">
        <f>IF($A221="","",SUMIFS('Timesheet Raw'!$P$4:$P$8000,'Timesheet Raw'!$L$4:$L$8000,$A221,'Timesheet Raw'!$C$4:$C$8000,D$3,'Timesheet Raw'!$B$4:$B$8000,'Work Calendar'!$A$26)+SUMIFS('Timesheet Raw'!$P$4:$P$8000,'Timesheet Raw'!$L$4:$L$8000,$A221,'Timesheet Raw'!$C$4:$C$8000,D$3,'Timesheet Raw'!$B$4:$B$8000,'Work Calendar'!$A$27)+SUMIFS('Timesheet Raw'!$P$4:$P$8000,'Timesheet Raw'!$L$4:$L$8000,$A221,'Timesheet Raw'!$C$4:$C$8000,D$3,'Timesheet Raw'!$B$4:$B$8000,'Work Calendar'!$A$28)+SUMIFS('Timesheet Raw'!$P$4:$P$8000,'Timesheet Raw'!$L$4:$L$8000,$A221,'Timesheet Raw'!$C$4:$C$8000,D$3,'Timesheet Raw'!$B$4:$B$8000,'Work Calendar'!$A$29))</f>
        <v>0.5</v>
      </c>
      <c r="G221" s="341">
        <f t="shared" si="13"/>
        <v>0</v>
      </c>
      <c r="H221" s="395">
        <f>IF($A221="","",SUMIFS('Timesheet Raw'!$K$4:$K$8000,'Timesheet Raw'!$L$4:$L$8000,$A221,'Timesheet Raw'!$C$4:$C$8000,D$3))</f>
        <v>2.75</v>
      </c>
      <c r="I221" s="345">
        <f>IF($A221="","",SUMIFS('Timesheet Raw'!$P$4:$P$8000,'Timesheet Raw'!$L$4:$L$8000,$A221,'Timesheet Raw'!$C$4:$C$8000,D$3))</f>
        <v>11.25</v>
      </c>
      <c r="J221" s="375"/>
      <c r="K221" t="str">
        <f>IF($A221="","",IF(J221&lt;&gt;"",J221,IF($A221&gt;'Work Calendar'!$B$17,"No data yet",IF(AND(F221&gt;='Work Calendar'!$B$14,D221+E221+G221&gt;0),"Day off - but worked",IF(F221&gt;='Work Calendar'!$B$14,"Day off",IF(D221+E221+G221&gt;0,IF($C221="Working","Charged","Worked weekend"),IF($C221="Working","Leave (not charged)",$C221)))))))</f>
        <v>Charged</v>
      </c>
      <c r="L221" s="341">
        <f>IF($A221="","",SUMIFS('Timesheet Raw'!$P$4:$P$8000,'Timesheet Raw'!$L$4:$L$8000,$A221,'Timesheet Raw'!$C$4:$C$8000,L$3,'Timesheet Raw'!$A$4:$A$8000,"1-Projects"))</f>
        <v>8.75</v>
      </c>
      <c r="M221" s="341">
        <f>IF($A221="","",SUMIFS('Timesheet Raw'!$P$4:$P$8000,'Timesheet Raw'!$L$4:$L$8000,$A221,'Timesheet Raw'!$C$4:$C$8000,L$3,'Timesheet Raw'!$A$4:$A$8000,"2-Proposals Chargeable")+SUMIFS('Timesheet Raw'!$P$4:$P$8000,'Timesheet Raw'!$L$4:$L$8000,$A221,'Timesheet Raw'!$C$4:$C$8000,L$3,'Timesheet Raw'!$A$4:$A$8000,"3-Proposals Regular"))</f>
        <v>0</v>
      </c>
      <c r="N221" s="341">
        <f>IF($A221="","",SUMIFS('Timesheet Raw'!$P$4:$P$8000,'Timesheet Raw'!$L$4:$L$8000,$A221,'Timesheet Raw'!$C$4:$C$8000,L$3,'Timesheet Raw'!$B$4:$B$8000,'Work Calendar'!$A$26)+SUMIFS('Timesheet Raw'!$P$4:$P$8000,'Timesheet Raw'!$L$4:$L$8000,$A221,'Timesheet Raw'!$C$4:$C$8000,L$3,'Timesheet Raw'!$B$4:$B$8000,'Work Calendar'!$A$27)+SUMIFS('Timesheet Raw'!$P$4:$P$8000,'Timesheet Raw'!$L$4:$L$8000,$A221,'Timesheet Raw'!$C$4:$C$8000,L$3,'Timesheet Raw'!$B$4:$B$8000,'Work Calendar'!$A$28)+SUMIFS('Timesheet Raw'!$P$4:$P$8000,'Timesheet Raw'!$L$4:$L$8000,$A221,'Timesheet Raw'!$C$4:$C$8000,L$3,'Timesheet Raw'!$B$4:$B$8000,'Work Calendar'!$A$29))</f>
        <v>0.25</v>
      </c>
      <c r="O221" s="341">
        <f t="shared" si="14"/>
        <v>0</v>
      </c>
      <c r="P221" s="395">
        <f>IF($A221="","",SUMIFS('Timesheet Raw'!$K$4:$K$8000,'Timesheet Raw'!$L$4:$L$8000,$A221,'Timesheet Raw'!$C$4:$C$8000,L$3))</f>
        <v>0.5</v>
      </c>
      <c r="Q221" s="345">
        <f>IF($A221="","",SUMIFS('Timesheet Raw'!$P$4:$P$8000,'Timesheet Raw'!$L$4:$L$8000,$A221,'Timesheet Raw'!$C$4:$C$8000,L$3))</f>
        <v>9</v>
      </c>
      <c r="R221" s="375"/>
      <c r="S221" t="str">
        <f>IF($A221="","",IF(R221&lt;&gt;"",R221,IF($A221&gt;'Work Calendar'!$B$17,"No data yet",IF(AND(N221&gt;='Work Calendar'!$B$14,L221+M221+O221&gt;0),"Day off - but worked",IF(N221&gt;='Work Calendar'!$B$14,"Day off",IF(L221+M221+O221&gt;0,IF($C221="Working","Charged","Worked weekend"),IF($C221="Working","Leave (not charged)",$C221)))))))</f>
        <v>Charged</v>
      </c>
      <c r="T221" s="341">
        <f>IF($A221="","",SUMIFS('Timesheet Raw'!$P$4:$P$8000,'Timesheet Raw'!$L$4:$L$8000,$A221,'Timesheet Raw'!$C$4:$C$8000,T$3,'Timesheet Raw'!$A$4:$A$8000,"1-Projects"))</f>
        <v>10.5</v>
      </c>
      <c r="U221" s="341">
        <f>IF($A221="","",SUMIFS('Timesheet Raw'!$P$4:$P$8000,'Timesheet Raw'!$L$4:$L$8000,$A221,'Timesheet Raw'!$C$4:$C$8000,T$3,'Timesheet Raw'!$A$4:$A$8000,"2-Proposals Chargeable")+SUMIFS('Timesheet Raw'!$P$4:$P$8000,'Timesheet Raw'!$L$4:$L$8000,$A221,'Timesheet Raw'!$C$4:$C$8000,T$3,'Timesheet Raw'!$A$4:$A$8000,"3-Proposals Regular"))</f>
        <v>0</v>
      </c>
      <c r="V221" s="341">
        <f>IF($A221="","",SUMIFS('Timesheet Raw'!$P$4:$P$8000,'Timesheet Raw'!$L$4:$L$8000,$A221,'Timesheet Raw'!$C$4:$C$8000,T$3,'Timesheet Raw'!$B$4:$B$8000,'Work Calendar'!$A$26)+SUMIFS('Timesheet Raw'!$P$4:$P$8000,'Timesheet Raw'!$L$4:$L$8000,$A221,'Timesheet Raw'!$C$4:$C$8000,T$3,'Timesheet Raw'!$B$4:$B$8000,'Work Calendar'!$A$27)+SUMIFS('Timesheet Raw'!$P$4:$P$8000,'Timesheet Raw'!$L$4:$L$8000,$A221,'Timesheet Raw'!$C$4:$C$8000,T$3,'Timesheet Raw'!$B$4:$B$8000,'Work Calendar'!$A$28)+SUMIFS('Timesheet Raw'!$P$4:$P$8000,'Timesheet Raw'!$L$4:$L$8000,$A221,'Timesheet Raw'!$C$4:$C$8000,T$3,'Timesheet Raw'!$B$4:$B$8000,'Work Calendar'!$A$29))</f>
        <v>0.75</v>
      </c>
      <c r="W221" s="341">
        <f t="shared" si="15"/>
        <v>0</v>
      </c>
      <c r="X221" s="395">
        <f>IF($A221="","",SUMIFS('Timesheet Raw'!$K$4:$K$8000,'Timesheet Raw'!$L$4:$L$8000,$A221,'Timesheet Raw'!$C$4:$C$8000,T$3))</f>
        <v>2.75</v>
      </c>
      <c r="Y221" s="345">
        <f>IF($A221="","",SUMIFS('Timesheet Raw'!$P$4:$P$8000,'Timesheet Raw'!$L$4:$L$8000,$A221,'Timesheet Raw'!$C$4:$C$8000,T$3))</f>
        <v>11.25</v>
      </c>
      <c r="Z221" s="375"/>
      <c r="AA221" t="str">
        <f>IF($A221="","",IF(Z221&lt;&gt;"",Z221,IF($A221&gt;'Work Calendar'!$B$17,"No data yet",IF(AND(V221&gt;='Work Calendar'!$B$14,T221+U221+W221&gt;0),"Day off - but worked",IF(V221&gt;='Work Calendar'!$B$14,"Day off",IF(T221+U221+W221&gt;0,IF($C221="Working","Charged","Worked weekend"),IF($C221="Working","Leave (not charged)",$C221)))))))</f>
        <v>Charged</v>
      </c>
    </row>
    <row r="222" spans="1:27" x14ac:dyDescent="0.3">
      <c r="A222" s="371">
        <f>IF($A221="","",IF($A221+1&gt;'Work Calendar'!$B$16,"",$A221+1))</f>
        <v>46240</v>
      </c>
      <c r="B222" t="str">
        <f t="shared" si="12"/>
        <v>Thu</v>
      </c>
      <c r="C222" t="str" cm="1">
        <f t="array" ref="C222">IF($A222="","",IF(COUNTIF('Work Calendar'!$E$6:$E$200,$A222)&gt;0,"Holiday",IF(INDEX('Work Calendar'!$C$6:$C$12,WEEKDAY($A222,1))=1,"Working","Weekend")))</f>
        <v>Working</v>
      </c>
      <c r="D222" s="341">
        <f>IF($A222="","",SUMIFS('Timesheet Raw'!$P$4:$P$8000,'Timesheet Raw'!$L$4:$L$8000,$A222,'Timesheet Raw'!$C$4:$C$8000,D$3,'Timesheet Raw'!$A$4:$A$8000,"1-Projects"))</f>
        <v>9.75</v>
      </c>
      <c r="E222" s="341">
        <f>IF($A222="","",SUMIFS('Timesheet Raw'!$P$4:$P$8000,'Timesheet Raw'!$L$4:$L$8000,$A222,'Timesheet Raw'!$C$4:$C$8000,D$3,'Timesheet Raw'!$A$4:$A$8000,"2-Proposals Chargeable")+SUMIFS('Timesheet Raw'!$P$4:$P$8000,'Timesheet Raw'!$L$4:$L$8000,$A222,'Timesheet Raw'!$C$4:$C$8000,D$3,'Timesheet Raw'!$A$4:$A$8000,"3-Proposals Regular"))</f>
        <v>0</v>
      </c>
      <c r="F222" s="341">
        <f>IF($A222="","",SUMIFS('Timesheet Raw'!$P$4:$P$8000,'Timesheet Raw'!$L$4:$L$8000,$A222,'Timesheet Raw'!$C$4:$C$8000,D$3,'Timesheet Raw'!$B$4:$B$8000,'Work Calendar'!$A$26)+SUMIFS('Timesheet Raw'!$P$4:$P$8000,'Timesheet Raw'!$L$4:$L$8000,$A222,'Timesheet Raw'!$C$4:$C$8000,D$3,'Timesheet Raw'!$B$4:$B$8000,'Work Calendar'!$A$27)+SUMIFS('Timesheet Raw'!$P$4:$P$8000,'Timesheet Raw'!$L$4:$L$8000,$A222,'Timesheet Raw'!$C$4:$C$8000,D$3,'Timesheet Raw'!$B$4:$B$8000,'Work Calendar'!$A$28)+SUMIFS('Timesheet Raw'!$P$4:$P$8000,'Timesheet Raw'!$L$4:$L$8000,$A222,'Timesheet Raw'!$C$4:$C$8000,D$3,'Timesheet Raw'!$B$4:$B$8000,'Work Calendar'!$A$29))</f>
        <v>1.25</v>
      </c>
      <c r="G222" s="341">
        <f t="shared" si="13"/>
        <v>0</v>
      </c>
      <c r="H222" s="395">
        <f>IF($A222="","",SUMIFS('Timesheet Raw'!$K$4:$K$8000,'Timesheet Raw'!$L$4:$L$8000,$A222,'Timesheet Raw'!$C$4:$C$8000,D$3))</f>
        <v>2.5</v>
      </c>
      <c r="I222" s="345">
        <f>IF($A222="","",SUMIFS('Timesheet Raw'!$P$4:$P$8000,'Timesheet Raw'!$L$4:$L$8000,$A222,'Timesheet Raw'!$C$4:$C$8000,D$3))</f>
        <v>11</v>
      </c>
      <c r="J222" s="375"/>
      <c r="K222" t="str">
        <f>IF($A222="","",IF(J222&lt;&gt;"",J222,IF($A222&gt;'Work Calendar'!$B$17,"No data yet",IF(AND(F222&gt;='Work Calendar'!$B$14,D222+E222+G222&gt;0),"Day off - but worked",IF(F222&gt;='Work Calendar'!$B$14,"Day off",IF(D222+E222+G222&gt;0,IF($C222="Working","Charged","Worked weekend"),IF($C222="Working","Leave (not charged)",$C222)))))))</f>
        <v>Charged</v>
      </c>
      <c r="L222" s="341">
        <f>IF($A222="","",SUMIFS('Timesheet Raw'!$P$4:$P$8000,'Timesheet Raw'!$L$4:$L$8000,$A222,'Timesheet Raw'!$C$4:$C$8000,L$3,'Timesheet Raw'!$A$4:$A$8000,"1-Projects"))</f>
        <v>9</v>
      </c>
      <c r="M222" s="341">
        <f>IF($A222="","",SUMIFS('Timesheet Raw'!$P$4:$P$8000,'Timesheet Raw'!$L$4:$L$8000,$A222,'Timesheet Raw'!$C$4:$C$8000,L$3,'Timesheet Raw'!$A$4:$A$8000,"2-Proposals Chargeable")+SUMIFS('Timesheet Raw'!$P$4:$P$8000,'Timesheet Raw'!$L$4:$L$8000,$A222,'Timesheet Raw'!$C$4:$C$8000,L$3,'Timesheet Raw'!$A$4:$A$8000,"3-Proposals Regular"))</f>
        <v>0</v>
      </c>
      <c r="N222" s="341">
        <f>IF($A222="","",SUMIFS('Timesheet Raw'!$P$4:$P$8000,'Timesheet Raw'!$L$4:$L$8000,$A222,'Timesheet Raw'!$C$4:$C$8000,L$3,'Timesheet Raw'!$B$4:$B$8000,'Work Calendar'!$A$26)+SUMIFS('Timesheet Raw'!$P$4:$P$8000,'Timesheet Raw'!$L$4:$L$8000,$A222,'Timesheet Raw'!$C$4:$C$8000,L$3,'Timesheet Raw'!$B$4:$B$8000,'Work Calendar'!$A$27)+SUMIFS('Timesheet Raw'!$P$4:$P$8000,'Timesheet Raw'!$L$4:$L$8000,$A222,'Timesheet Raw'!$C$4:$C$8000,L$3,'Timesheet Raw'!$B$4:$B$8000,'Work Calendar'!$A$28)+SUMIFS('Timesheet Raw'!$P$4:$P$8000,'Timesheet Raw'!$L$4:$L$8000,$A222,'Timesheet Raw'!$C$4:$C$8000,L$3,'Timesheet Raw'!$B$4:$B$8000,'Work Calendar'!$A$29))</f>
        <v>0</v>
      </c>
      <c r="O222" s="341">
        <f t="shared" si="14"/>
        <v>0</v>
      </c>
      <c r="P222" s="395">
        <f>IF($A222="","",SUMIFS('Timesheet Raw'!$K$4:$K$8000,'Timesheet Raw'!$L$4:$L$8000,$A222,'Timesheet Raw'!$C$4:$C$8000,L$3))</f>
        <v>0.5</v>
      </c>
      <c r="Q222" s="345">
        <f>IF($A222="","",SUMIFS('Timesheet Raw'!$P$4:$P$8000,'Timesheet Raw'!$L$4:$L$8000,$A222,'Timesheet Raw'!$C$4:$C$8000,L$3))</f>
        <v>9</v>
      </c>
      <c r="R222" s="375"/>
      <c r="S222" t="str">
        <f>IF($A222="","",IF(R222&lt;&gt;"",R222,IF($A222&gt;'Work Calendar'!$B$17,"No data yet",IF(AND(N222&gt;='Work Calendar'!$B$14,L222+M222+O222&gt;0),"Day off - but worked",IF(N222&gt;='Work Calendar'!$B$14,"Day off",IF(L222+M222+O222&gt;0,IF($C222="Working","Charged","Worked weekend"),IF($C222="Working","Leave (not charged)",$C222)))))))</f>
        <v>Charged</v>
      </c>
      <c r="T222" s="341">
        <f>IF($A222="","",SUMIFS('Timesheet Raw'!$P$4:$P$8000,'Timesheet Raw'!$L$4:$L$8000,$A222,'Timesheet Raw'!$C$4:$C$8000,T$3,'Timesheet Raw'!$A$4:$A$8000,"1-Projects"))</f>
        <v>14.25</v>
      </c>
      <c r="U222" s="341">
        <f>IF($A222="","",SUMIFS('Timesheet Raw'!$P$4:$P$8000,'Timesheet Raw'!$L$4:$L$8000,$A222,'Timesheet Raw'!$C$4:$C$8000,T$3,'Timesheet Raw'!$A$4:$A$8000,"2-Proposals Chargeable")+SUMIFS('Timesheet Raw'!$P$4:$P$8000,'Timesheet Raw'!$L$4:$L$8000,$A222,'Timesheet Raw'!$C$4:$C$8000,T$3,'Timesheet Raw'!$A$4:$A$8000,"3-Proposals Regular"))</f>
        <v>0</v>
      </c>
      <c r="V222" s="341">
        <f>IF($A222="","",SUMIFS('Timesheet Raw'!$P$4:$P$8000,'Timesheet Raw'!$L$4:$L$8000,$A222,'Timesheet Raw'!$C$4:$C$8000,T$3,'Timesheet Raw'!$B$4:$B$8000,'Work Calendar'!$A$26)+SUMIFS('Timesheet Raw'!$P$4:$P$8000,'Timesheet Raw'!$L$4:$L$8000,$A222,'Timesheet Raw'!$C$4:$C$8000,T$3,'Timesheet Raw'!$B$4:$B$8000,'Work Calendar'!$A$27)+SUMIFS('Timesheet Raw'!$P$4:$P$8000,'Timesheet Raw'!$L$4:$L$8000,$A222,'Timesheet Raw'!$C$4:$C$8000,T$3,'Timesheet Raw'!$B$4:$B$8000,'Work Calendar'!$A$28)+SUMIFS('Timesheet Raw'!$P$4:$P$8000,'Timesheet Raw'!$L$4:$L$8000,$A222,'Timesheet Raw'!$C$4:$C$8000,T$3,'Timesheet Raw'!$B$4:$B$8000,'Work Calendar'!$A$29))</f>
        <v>0.75</v>
      </c>
      <c r="W222" s="341">
        <f t="shared" si="15"/>
        <v>0</v>
      </c>
      <c r="X222" s="395">
        <f>IF($A222="","",SUMIFS('Timesheet Raw'!$K$4:$K$8000,'Timesheet Raw'!$L$4:$L$8000,$A222,'Timesheet Raw'!$C$4:$C$8000,T$3))</f>
        <v>6.5</v>
      </c>
      <c r="Y222" s="345">
        <f>IF($A222="","",SUMIFS('Timesheet Raw'!$P$4:$P$8000,'Timesheet Raw'!$L$4:$L$8000,$A222,'Timesheet Raw'!$C$4:$C$8000,T$3))</f>
        <v>15</v>
      </c>
      <c r="Z222" s="375"/>
      <c r="AA222" t="str">
        <f>IF($A222="","",IF(Z222&lt;&gt;"",Z222,IF($A222&gt;'Work Calendar'!$B$17,"No data yet",IF(AND(V222&gt;='Work Calendar'!$B$14,T222+U222+W222&gt;0),"Day off - but worked",IF(V222&gt;='Work Calendar'!$B$14,"Day off",IF(T222+U222+W222&gt;0,IF($C222="Working","Charged","Worked weekend"),IF($C222="Working","Leave (not charged)",$C222)))))))</f>
        <v>Charged</v>
      </c>
    </row>
    <row r="223" spans="1:27" x14ac:dyDescent="0.3">
      <c r="A223" s="371">
        <f>IF($A222="","",IF($A222+1&gt;'Work Calendar'!$B$16,"",$A222+1))</f>
        <v>46241</v>
      </c>
      <c r="B223" t="str">
        <f t="shared" si="12"/>
        <v>Fri</v>
      </c>
      <c r="C223" t="str" cm="1">
        <f t="array" ref="C223">IF($A223="","",IF(COUNTIF('Work Calendar'!$E$6:$E$200,$A223)&gt;0,"Holiday",IF(INDEX('Work Calendar'!$C$6:$C$12,WEEKDAY($A223,1))=1,"Working","Weekend")))</f>
        <v>Weekend</v>
      </c>
      <c r="D223" s="341">
        <f>IF($A223="","",SUMIFS('Timesheet Raw'!$P$4:$P$8000,'Timesheet Raw'!$L$4:$L$8000,$A223,'Timesheet Raw'!$C$4:$C$8000,D$3,'Timesheet Raw'!$A$4:$A$8000,"1-Projects"))</f>
        <v>0</v>
      </c>
      <c r="E223" s="341">
        <f>IF($A223="","",SUMIFS('Timesheet Raw'!$P$4:$P$8000,'Timesheet Raw'!$L$4:$L$8000,$A223,'Timesheet Raw'!$C$4:$C$8000,D$3,'Timesheet Raw'!$A$4:$A$8000,"2-Proposals Chargeable")+SUMIFS('Timesheet Raw'!$P$4:$P$8000,'Timesheet Raw'!$L$4:$L$8000,$A223,'Timesheet Raw'!$C$4:$C$8000,D$3,'Timesheet Raw'!$A$4:$A$8000,"3-Proposals Regular"))</f>
        <v>0</v>
      </c>
      <c r="F223" s="341">
        <f>IF($A223="","",SUMIFS('Timesheet Raw'!$P$4:$P$8000,'Timesheet Raw'!$L$4:$L$8000,$A223,'Timesheet Raw'!$C$4:$C$8000,D$3,'Timesheet Raw'!$B$4:$B$8000,'Work Calendar'!$A$26)+SUMIFS('Timesheet Raw'!$P$4:$P$8000,'Timesheet Raw'!$L$4:$L$8000,$A223,'Timesheet Raw'!$C$4:$C$8000,D$3,'Timesheet Raw'!$B$4:$B$8000,'Work Calendar'!$A$27)+SUMIFS('Timesheet Raw'!$P$4:$P$8000,'Timesheet Raw'!$L$4:$L$8000,$A223,'Timesheet Raw'!$C$4:$C$8000,D$3,'Timesheet Raw'!$B$4:$B$8000,'Work Calendar'!$A$28)+SUMIFS('Timesheet Raw'!$P$4:$P$8000,'Timesheet Raw'!$L$4:$L$8000,$A223,'Timesheet Raw'!$C$4:$C$8000,D$3,'Timesheet Raw'!$B$4:$B$8000,'Work Calendar'!$A$29))</f>
        <v>0</v>
      </c>
      <c r="G223" s="341">
        <f t="shared" si="13"/>
        <v>0</v>
      </c>
      <c r="H223" s="395">
        <f>IF($A223="","",SUMIFS('Timesheet Raw'!$K$4:$K$8000,'Timesheet Raw'!$L$4:$L$8000,$A223,'Timesheet Raw'!$C$4:$C$8000,D$3))</f>
        <v>0</v>
      </c>
      <c r="I223" s="345">
        <f>IF($A223="","",SUMIFS('Timesheet Raw'!$P$4:$P$8000,'Timesheet Raw'!$L$4:$L$8000,$A223,'Timesheet Raw'!$C$4:$C$8000,D$3))</f>
        <v>0</v>
      </c>
      <c r="J223" s="375"/>
      <c r="K223" t="str">
        <f>IF($A223="","",IF(J223&lt;&gt;"",J223,IF($A223&gt;'Work Calendar'!$B$17,"No data yet",IF(AND(F223&gt;='Work Calendar'!$B$14,D223+E223+G223&gt;0),"Day off - but worked",IF(F223&gt;='Work Calendar'!$B$14,"Day off",IF(D223+E223+G223&gt;0,IF($C223="Working","Charged","Worked weekend"),IF($C223="Working","Leave (not charged)",$C223)))))))</f>
        <v>Weekend</v>
      </c>
      <c r="L223" s="341">
        <f>IF($A223="","",SUMIFS('Timesheet Raw'!$P$4:$P$8000,'Timesheet Raw'!$L$4:$L$8000,$A223,'Timesheet Raw'!$C$4:$C$8000,L$3,'Timesheet Raw'!$A$4:$A$8000,"1-Projects"))</f>
        <v>0</v>
      </c>
      <c r="M223" s="341">
        <f>IF($A223="","",SUMIFS('Timesheet Raw'!$P$4:$P$8000,'Timesheet Raw'!$L$4:$L$8000,$A223,'Timesheet Raw'!$C$4:$C$8000,L$3,'Timesheet Raw'!$A$4:$A$8000,"2-Proposals Chargeable")+SUMIFS('Timesheet Raw'!$P$4:$P$8000,'Timesheet Raw'!$L$4:$L$8000,$A223,'Timesheet Raw'!$C$4:$C$8000,L$3,'Timesheet Raw'!$A$4:$A$8000,"3-Proposals Regular"))</f>
        <v>0</v>
      </c>
      <c r="N223" s="341">
        <f>IF($A223="","",SUMIFS('Timesheet Raw'!$P$4:$P$8000,'Timesheet Raw'!$L$4:$L$8000,$A223,'Timesheet Raw'!$C$4:$C$8000,L$3,'Timesheet Raw'!$B$4:$B$8000,'Work Calendar'!$A$26)+SUMIFS('Timesheet Raw'!$P$4:$P$8000,'Timesheet Raw'!$L$4:$L$8000,$A223,'Timesheet Raw'!$C$4:$C$8000,L$3,'Timesheet Raw'!$B$4:$B$8000,'Work Calendar'!$A$27)+SUMIFS('Timesheet Raw'!$P$4:$P$8000,'Timesheet Raw'!$L$4:$L$8000,$A223,'Timesheet Raw'!$C$4:$C$8000,L$3,'Timesheet Raw'!$B$4:$B$8000,'Work Calendar'!$A$28)+SUMIFS('Timesheet Raw'!$P$4:$P$8000,'Timesheet Raw'!$L$4:$L$8000,$A223,'Timesheet Raw'!$C$4:$C$8000,L$3,'Timesheet Raw'!$B$4:$B$8000,'Work Calendar'!$A$29))</f>
        <v>0</v>
      </c>
      <c r="O223" s="341">
        <f t="shared" si="14"/>
        <v>0</v>
      </c>
      <c r="P223" s="395">
        <f>IF($A223="","",SUMIFS('Timesheet Raw'!$K$4:$K$8000,'Timesheet Raw'!$L$4:$L$8000,$A223,'Timesheet Raw'!$C$4:$C$8000,L$3))</f>
        <v>0</v>
      </c>
      <c r="Q223" s="345">
        <f>IF($A223="","",SUMIFS('Timesheet Raw'!$P$4:$P$8000,'Timesheet Raw'!$L$4:$L$8000,$A223,'Timesheet Raw'!$C$4:$C$8000,L$3))</f>
        <v>0</v>
      </c>
      <c r="R223" s="375"/>
      <c r="S223" t="str">
        <f>IF($A223="","",IF(R223&lt;&gt;"",R223,IF($A223&gt;'Work Calendar'!$B$17,"No data yet",IF(AND(N223&gt;='Work Calendar'!$B$14,L223+M223+O223&gt;0),"Day off - but worked",IF(N223&gt;='Work Calendar'!$B$14,"Day off",IF(L223+M223+O223&gt;0,IF($C223="Working","Charged","Worked weekend"),IF($C223="Working","Leave (not charged)",$C223)))))))</f>
        <v>Weekend</v>
      </c>
      <c r="T223" s="341">
        <f>IF($A223="","",SUMIFS('Timesheet Raw'!$P$4:$P$8000,'Timesheet Raw'!$L$4:$L$8000,$A223,'Timesheet Raw'!$C$4:$C$8000,T$3,'Timesheet Raw'!$A$4:$A$8000,"1-Projects"))</f>
        <v>0</v>
      </c>
      <c r="U223" s="341">
        <f>IF($A223="","",SUMIFS('Timesheet Raw'!$P$4:$P$8000,'Timesheet Raw'!$L$4:$L$8000,$A223,'Timesheet Raw'!$C$4:$C$8000,T$3,'Timesheet Raw'!$A$4:$A$8000,"2-Proposals Chargeable")+SUMIFS('Timesheet Raw'!$P$4:$P$8000,'Timesheet Raw'!$L$4:$L$8000,$A223,'Timesheet Raw'!$C$4:$C$8000,T$3,'Timesheet Raw'!$A$4:$A$8000,"3-Proposals Regular"))</f>
        <v>0</v>
      </c>
      <c r="V223" s="341">
        <f>IF($A223="","",SUMIFS('Timesheet Raw'!$P$4:$P$8000,'Timesheet Raw'!$L$4:$L$8000,$A223,'Timesheet Raw'!$C$4:$C$8000,T$3,'Timesheet Raw'!$B$4:$B$8000,'Work Calendar'!$A$26)+SUMIFS('Timesheet Raw'!$P$4:$P$8000,'Timesheet Raw'!$L$4:$L$8000,$A223,'Timesheet Raw'!$C$4:$C$8000,T$3,'Timesheet Raw'!$B$4:$B$8000,'Work Calendar'!$A$27)+SUMIFS('Timesheet Raw'!$P$4:$P$8000,'Timesheet Raw'!$L$4:$L$8000,$A223,'Timesheet Raw'!$C$4:$C$8000,T$3,'Timesheet Raw'!$B$4:$B$8000,'Work Calendar'!$A$28)+SUMIFS('Timesheet Raw'!$P$4:$P$8000,'Timesheet Raw'!$L$4:$L$8000,$A223,'Timesheet Raw'!$C$4:$C$8000,T$3,'Timesheet Raw'!$B$4:$B$8000,'Work Calendar'!$A$29))</f>
        <v>0</v>
      </c>
      <c r="W223" s="341">
        <f t="shared" si="15"/>
        <v>0</v>
      </c>
      <c r="X223" s="395">
        <f>IF($A223="","",SUMIFS('Timesheet Raw'!$K$4:$K$8000,'Timesheet Raw'!$L$4:$L$8000,$A223,'Timesheet Raw'!$C$4:$C$8000,T$3))</f>
        <v>0</v>
      </c>
      <c r="Y223" s="345">
        <f>IF($A223="","",SUMIFS('Timesheet Raw'!$P$4:$P$8000,'Timesheet Raw'!$L$4:$L$8000,$A223,'Timesheet Raw'!$C$4:$C$8000,T$3))</f>
        <v>0</v>
      </c>
      <c r="Z223" s="375"/>
      <c r="AA223" t="str">
        <f>IF($A223="","",IF(Z223&lt;&gt;"",Z223,IF($A223&gt;'Work Calendar'!$B$17,"No data yet",IF(AND(V223&gt;='Work Calendar'!$B$14,T223+U223+W223&gt;0),"Day off - but worked",IF(V223&gt;='Work Calendar'!$B$14,"Day off",IF(T223+U223+W223&gt;0,IF($C223="Working","Charged","Worked weekend"),IF($C223="Working","Leave (not charged)",$C223)))))))</f>
        <v>Weekend</v>
      </c>
    </row>
    <row r="224" spans="1:27" x14ac:dyDescent="0.3">
      <c r="A224" s="371">
        <f>IF($A223="","",IF($A223+1&gt;'Work Calendar'!$B$16,"",$A223+1))</f>
        <v>46242</v>
      </c>
      <c r="B224" t="str">
        <f t="shared" si="12"/>
        <v>Sat</v>
      </c>
      <c r="C224" t="str" cm="1">
        <f t="array" ref="C224">IF($A224="","",IF(COUNTIF('Work Calendar'!$E$6:$E$200,$A224)&gt;0,"Holiday",IF(INDEX('Work Calendar'!$C$6:$C$12,WEEKDAY($A224,1))=1,"Working","Weekend")))</f>
        <v>Weekend</v>
      </c>
      <c r="D224" s="341">
        <f>IF($A224="","",SUMIFS('Timesheet Raw'!$P$4:$P$8000,'Timesheet Raw'!$L$4:$L$8000,$A224,'Timesheet Raw'!$C$4:$C$8000,D$3,'Timesheet Raw'!$A$4:$A$8000,"1-Projects"))</f>
        <v>0</v>
      </c>
      <c r="E224" s="341">
        <f>IF($A224="","",SUMIFS('Timesheet Raw'!$P$4:$P$8000,'Timesheet Raw'!$L$4:$L$8000,$A224,'Timesheet Raw'!$C$4:$C$8000,D$3,'Timesheet Raw'!$A$4:$A$8000,"2-Proposals Chargeable")+SUMIFS('Timesheet Raw'!$P$4:$P$8000,'Timesheet Raw'!$L$4:$L$8000,$A224,'Timesheet Raw'!$C$4:$C$8000,D$3,'Timesheet Raw'!$A$4:$A$8000,"3-Proposals Regular"))</f>
        <v>0</v>
      </c>
      <c r="F224" s="341">
        <f>IF($A224="","",SUMIFS('Timesheet Raw'!$P$4:$P$8000,'Timesheet Raw'!$L$4:$L$8000,$A224,'Timesheet Raw'!$C$4:$C$8000,D$3,'Timesheet Raw'!$B$4:$B$8000,'Work Calendar'!$A$26)+SUMIFS('Timesheet Raw'!$P$4:$P$8000,'Timesheet Raw'!$L$4:$L$8000,$A224,'Timesheet Raw'!$C$4:$C$8000,D$3,'Timesheet Raw'!$B$4:$B$8000,'Work Calendar'!$A$27)+SUMIFS('Timesheet Raw'!$P$4:$P$8000,'Timesheet Raw'!$L$4:$L$8000,$A224,'Timesheet Raw'!$C$4:$C$8000,D$3,'Timesheet Raw'!$B$4:$B$8000,'Work Calendar'!$A$28)+SUMIFS('Timesheet Raw'!$P$4:$P$8000,'Timesheet Raw'!$L$4:$L$8000,$A224,'Timesheet Raw'!$C$4:$C$8000,D$3,'Timesheet Raw'!$B$4:$B$8000,'Work Calendar'!$A$29))</f>
        <v>0</v>
      </c>
      <c r="G224" s="341">
        <f t="shared" si="13"/>
        <v>0</v>
      </c>
      <c r="H224" s="395">
        <f>IF($A224="","",SUMIFS('Timesheet Raw'!$K$4:$K$8000,'Timesheet Raw'!$L$4:$L$8000,$A224,'Timesheet Raw'!$C$4:$C$8000,D$3))</f>
        <v>0</v>
      </c>
      <c r="I224" s="345">
        <f>IF($A224="","",SUMIFS('Timesheet Raw'!$P$4:$P$8000,'Timesheet Raw'!$L$4:$L$8000,$A224,'Timesheet Raw'!$C$4:$C$8000,D$3))</f>
        <v>0</v>
      </c>
      <c r="J224" s="375"/>
      <c r="K224" t="str">
        <f>IF($A224="","",IF(J224&lt;&gt;"",J224,IF($A224&gt;'Work Calendar'!$B$17,"No data yet",IF(AND(F224&gt;='Work Calendar'!$B$14,D224+E224+G224&gt;0),"Day off - but worked",IF(F224&gt;='Work Calendar'!$B$14,"Day off",IF(D224+E224+G224&gt;0,IF($C224="Working","Charged","Worked weekend"),IF($C224="Working","Leave (not charged)",$C224)))))))</f>
        <v>Weekend</v>
      </c>
      <c r="L224" s="341">
        <f>IF($A224="","",SUMIFS('Timesheet Raw'!$P$4:$P$8000,'Timesheet Raw'!$L$4:$L$8000,$A224,'Timesheet Raw'!$C$4:$C$8000,L$3,'Timesheet Raw'!$A$4:$A$8000,"1-Projects"))</f>
        <v>0</v>
      </c>
      <c r="M224" s="341">
        <f>IF($A224="","",SUMIFS('Timesheet Raw'!$P$4:$P$8000,'Timesheet Raw'!$L$4:$L$8000,$A224,'Timesheet Raw'!$C$4:$C$8000,L$3,'Timesheet Raw'!$A$4:$A$8000,"2-Proposals Chargeable")+SUMIFS('Timesheet Raw'!$P$4:$P$8000,'Timesheet Raw'!$L$4:$L$8000,$A224,'Timesheet Raw'!$C$4:$C$8000,L$3,'Timesheet Raw'!$A$4:$A$8000,"3-Proposals Regular"))</f>
        <v>0</v>
      </c>
      <c r="N224" s="341">
        <f>IF($A224="","",SUMIFS('Timesheet Raw'!$P$4:$P$8000,'Timesheet Raw'!$L$4:$L$8000,$A224,'Timesheet Raw'!$C$4:$C$8000,L$3,'Timesheet Raw'!$B$4:$B$8000,'Work Calendar'!$A$26)+SUMIFS('Timesheet Raw'!$P$4:$P$8000,'Timesheet Raw'!$L$4:$L$8000,$A224,'Timesheet Raw'!$C$4:$C$8000,L$3,'Timesheet Raw'!$B$4:$B$8000,'Work Calendar'!$A$27)+SUMIFS('Timesheet Raw'!$P$4:$P$8000,'Timesheet Raw'!$L$4:$L$8000,$A224,'Timesheet Raw'!$C$4:$C$8000,L$3,'Timesheet Raw'!$B$4:$B$8000,'Work Calendar'!$A$28)+SUMIFS('Timesheet Raw'!$P$4:$P$8000,'Timesheet Raw'!$L$4:$L$8000,$A224,'Timesheet Raw'!$C$4:$C$8000,L$3,'Timesheet Raw'!$B$4:$B$8000,'Work Calendar'!$A$29))</f>
        <v>0</v>
      </c>
      <c r="O224" s="341">
        <f t="shared" si="14"/>
        <v>0</v>
      </c>
      <c r="P224" s="395">
        <f>IF($A224="","",SUMIFS('Timesheet Raw'!$K$4:$K$8000,'Timesheet Raw'!$L$4:$L$8000,$A224,'Timesheet Raw'!$C$4:$C$8000,L$3))</f>
        <v>0</v>
      </c>
      <c r="Q224" s="345">
        <f>IF($A224="","",SUMIFS('Timesheet Raw'!$P$4:$P$8000,'Timesheet Raw'!$L$4:$L$8000,$A224,'Timesheet Raw'!$C$4:$C$8000,L$3))</f>
        <v>0</v>
      </c>
      <c r="R224" s="375"/>
      <c r="S224" t="str">
        <f>IF($A224="","",IF(R224&lt;&gt;"",R224,IF($A224&gt;'Work Calendar'!$B$17,"No data yet",IF(AND(N224&gt;='Work Calendar'!$B$14,L224+M224+O224&gt;0),"Day off - but worked",IF(N224&gt;='Work Calendar'!$B$14,"Day off",IF(L224+M224+O224&gt;0,IF($C224="Working","Charged","Worked weekend"),IF($C224="Working","Leave (not charged)",$C224)))))))</f>
        <v>Weekend</v>
      </c>
      <c r="T224" s="341">
        <f>IF($A224="","",SUMIFS('Timesheet Raw'!$P$4:$P$8000,'Timesheet Raw'!$L$4:$L$8000,$A224,'Timesheet Raw'!$C$4:$C$8000,T$3,'Timesheet Raw'!$A$4:$A$8000,"1-Projects"))</f>
        <v>0</v>
      </c>
      <c r="U224" s="341">
        <f>IF($A224="","",SUMIFS('Timesheet Raw'!$P$4:$P$8000,'Timesheet Raw'!$L$4:$L$8000,$A224,'Timesheet Raw'!$C$4:$C$8000,T$3,'Timesheet Raw'!$A$4:$A$8000,"2-Proposals Chargeable")+SUMIFS('Timesheet Raw'!$P$4:$P$8000,'Timesheet Raw'!$L$4:$L$8000,$A224,'Timesheet Raw'!$C$4:$C$8000,T$3,'Timesheet Raw'!$A$4:$A$8000,"3-Proposals Regular"))</f>
        <v>0</v>
      </c>
      <c r="V224" s="341">
        <f>IF($A224="","",SUMIFS('Timesheet Raw'!$P$4:$P$8000,'Timesheet Raw'!$L$4:$L$8000,$A224,'Timesheet Raw'!$C$4:$C$8000,T$3,'Timesheet Raw'!$B$4:$B$8000,'Work Calendar'!$A$26)+SUMIFS('Timesheet Raw'!$P$4:$P$8000,'Timesheet Raw'!$L$4:$L$8000,$A224,'Timesheet Raw'!$C$4:$C$8000,T$3,'Timesheet Raw'!$B$4:$B$8000,'Work Calendar'!$A$27)+SUMIFS('Timesheet Raw'!$P$4:$P$8000,'Timesheet Raw'!$L$4:$L$8000,$A224,'Timesheet Raw'!$C$4:$C$8000,T$3,'Timesheet Raw'!$B$4:$B$8000,'Work Calendar'!$A$28)+SUMIFS('Timesheet Raw'!$P$4:$P$8000,'Timesheet Raw'!$L$4:$L$8000,$A224,'Timesheet Raw'!$C$4:$C$8000,T$3,'Timesheet Raw'!$B$4:$B$8000,'Work Calendar'!$A$29))</f>
        <v>0</v>
      </c>
      <c r="W224" s="341">
        <f t="shared" si="15"/>
        <v>0</v>
      </c>
      <c r="X224" s="395">
        <f>IF($A224="","",SUMIFS('Timesheet Raw'!$K$4:$K$8000,'Timesheet Raw'!$L$4:$L$8000,$A224,'Timesheet Raw'!$C$4:$C$8000,T$3))</f>
        <v>0</v>
      </c>
      <c r="Y224" s="345">
        <f>IF($A224="","",SUMIFS('Timesheet Raw'!$P$4:$P$8000,'Timesheet Raw'!$L$4:$L$8000,$A224,'Timesheet Raw'!$C$4:$C$8000,T$3))</f>
        <v>0</v>
      </c>
      <c r="Z224" s="375"/>
      <c r="AA224" t="str">
        <f>IF($A224="","",IF(Z224&lt;&gt;"",Z224,IF($A224&gt;'Work Calendar'!$B$17,"No data yet",IF(AND(V224&gt;='Work Calendar'!$B$14,T224+U224+W224&gt;0),"Day off - but worked",IF(V224&gt;='Work Calendar'!$B$14,"Day off",IF(T224+U224+W224&gt;0,IF($C224="Working","Charged","Worked weekend"),IF($C224="Working","Leave (not charged)",$C224)))))))</f>
        <v>Weekend</v>
      </c>
    </row>
    <row r="225" spans="1:27" x14ac:dyDescent="0.3">
      <c r="A225" s="371">
        <f>IF($A224="","",IF($A224+1&gt;'Work Calendar'!$B$16,"",$A224+1))</f>
        <v>46243</v>
      </c>
      <c r="B225" t="str">
        <f t="shared" si="12"/>
        <v>Sun</v>
      </c>
      <c r="C225" t="str" cm="1">
        <f t="array" ref="C225">IF($A225="","",IF(COUNTIF('Work Calendar'!$E$6:$E$200,$A225)&gt;0,"Holiday",IF(INDEX('Work Calendar'!$C$6:$C$12,WEEKDAY($A225,1))=1,"Working","Weekend")))</f>
        <v>Working</v>
      </c>
      <c r="D225" s="341">
        <f>IF($A225="","",SUMIFS('Timesheet Raw'!$P$4:$P$8000,'Timesheet Raw'!$L$4:$L$8000,$A225,'Timesheet Raw'!$C$4:$C$8000,D$3,'Timesheet Raw'!$A$4:$A$8000,"1-Projects"))</f>
        <v>0</v>
      </c>
      <c r="E225" s="341">
        <f>IF($A225="","",SUMIFS('Timesheet Raw'!$P$4:$P$8000,'Timesheet Raw'!$L$4:$L$8000,$A225,'Timesheet Raw'!$C$4:$C$8000,D$3,'Timesheet Raw'!$A$4:$A$8000,"2-Proposals Chargeable")+SUMIFS('Timesheet Raw'!$P$4:$P$8000,'Timesheet Raw'!$L$4:$L$8000,$A225,'Timesheet Raw'!$C$4:$C$8000,D$3,'Timesheet Raw'!$A$4:$A$8000,"3-Proposals Regular"))</f>
        <v>0</v>
      </c>
      <c r="F225" s="341">
        <f>IF($A225="","",SUMIFS('Timesheet Raw'!$P$4:$P$8000,'Timesheet Raw'!$L$4:$L$8000,$A225,'Timesheet Raw'!$C$4:$C$8000,D$3,'Timesheet Raw'!$B$4:$B$8000,'Work Calendar'!$A$26)+SUMIFS('Timesheet Raw'!$P$4:$P$8000,'Timesheet Raw'!$L$4:$L$8000,$A225,'Timesheet Raw'!$C$4:$C$8000,D$3,'Timesheet Raw'!$B$4:$B$8000,'Work Calendar'!$A$27)+SUMIFS('Timesheet Raw'!$P$4:$P$8000,'Timesheet Raw'!$L$4:$L$8000,$A225,'Timesheet Raw'!$C$4:$C$8000,D$3,'Timesheet Raw'!$B$4:$B$8000,'Work Calendar'!$A$28)+SUMIFS('Timesheet Raw'!$P$4:$P$8000,'Timesheet Raw'!$L$4:$L$8000,$A225,'Timesheet Raw'!$C$4:$C$8000,D$3,'Timesheet Raw'!$B$4:$B$8000,'Work Calendar'!$A$29))</f>
        <v>8.5</v>
      </c>
      <c r="G225" s="341">
        <f t="shared" si="13"/>
        <v>0</v>
      </c>
      <c r="H225" s="395">
        <f>IF($A225="","",SUMIFS('Timesheet Raw'!$K$4:$K$8000,'Timesheet Raw'!$L$4:$L$8000,$A225,'Timesheet Raw'!$C$4:$C$8000,D$3))</f>
        <v>0</v>
      </c>
      <c r="I225" s="345">
        <f>IF($A225="","",SUMIFS('Timesheet Raw'!$P$4:$P$8000,'Timesheet Raw'!$L$4:$L$8000,$A225,'Timesheet Raw'!$C$4:$C$8000,D$3))</f>
        <v>8.5</v>
      </c>
      <c r="J225" s="375"/>
      <c r="K225" t="str">
        <f>IF($A225="","",IF(J225&lt;&gt;"",J225,IF($A225&gt;'Work Calendar'!$B$17,"No data yet",IF(AND(F225&gt;='Work Calendar'!$B$14,D225+E225+G225&gt;0),"Day off - but worked",IF(F225&gt;='Work Calendar'!$B$14,"Day off",IF(D225+E225+G225&gt;0,IF($C225="Working","Charged","Worked weekend"),IF($C225="Working","Leave (not charged)",$C225)))))))</f>
        <v>Day off</v>
      </c>
      <c r="L225" s="341">
        <f>IF($A225="","",SUMIFS('Timesheet Raw'!$P$4:$P$8000,'Timesheet Raw'!$L$4:$L$8000,$A225,'Timesheet Raw'!$C$4:$C$8000,L$3,'Timesheet Raw'!$A$4:$A$8000,"1-Projects"))</f>
        <v>13.5</v>
      </c>
      <c r="M225" s="341">
        <f>IF($A225="","",SUMIFS('Timesheet Raw'!$P$4:$P$8000,'Timesheet Raw'!$L$4:$L$8000,$A225,'Timesheet Raw'!$C$4:$C$8000,L$3,'Timesheet Raw'!$A$4:$A$8000,"2-Proposals Chargeable")+SUMIFS('Timesheet Raw'!$P$4:$P$8000,'Timesheet Raw'!$L$4:$L$8000,$A225,'Timesheet Raw'!$C$4:$C$8000,L$3,'Timesheet Raw'!$A$4:$A$8000,"3-Proposals Regular"))</f>
        <v>0</v>
      </c>
      <c r="N225" s="341">
        <f>IF($A225="","",SUMIFS('Timesheet Raw'!$P$4:$P$8000,'Timesheet Raw'!$L$4:$L$8000,$A225,'Timesheet Raw'!$C$4:$C$8000,L$3,'Timesheet Raw'!$B$4:$B$8000,'Work Calendar'!$A$26)+SUMIFS('Timesheet Raw'!$P$4:$P$8000,'Timesheet Raw'!$L$4:$L$8000,$A225,'Timesheet Raw'!$C$4:$C$8000,L$3,'Timesheet Raw'!$B$4:$B$8000,'Work Calendar'!$A$27)+SUMIFS('Timesheet Raw'!$P$4:$P$8000,'Timesheet Raw'!$L$4:$L$8000,$A225,'Timesheet Raw'!$C$4:$C$8000,L$3,'Timesheet Raw'!$B$4:$B$8000,'Work Calendar'!$A$28)+SUMIFS('Timesheet Raw'!$P$4:$P$8000,'Timesheet Raw'!$L$4:$L$8000,$A225,'Timesheet Raw'!$C$4:$C$8000,L$3,'Timesheet Raw'!$B$4:$B$8000,'Work Calendar'!$A$29))</f>
        <v>0</v>
      </c>
      <c r="O225" s="341">
        <f t="shared" si="14"/>
        <v>0</v>
      </c>
      <c r="P225" s="395">
        <f>IF($A225="","",SUMIFS('Timesheet Raw'!$K$4:$K$8000,'Timesheet Raw'!$L$4:$L$8000,$A225,'Timesheet Raw'!$C$4:$C$8000,L$3))</f>
        <v>5</v>
      </c>
      <c r="Q225" s="345">
        <f>IF($A225="","",SUMIFS('Timesheet Raw'!$P$4:$P$8000,'Timesheet Raw'!$L$4:$L$8000,$A225,'Timesheet Raw'!$C$4:$C$8000,L$3))</f>
        <v>13.5</v>
      </c>
      <c r="R225" s="375"/>
      <c r="S225" t="str">
        <f>IF($A225="","",IF(R225&lt;&gt;"",R225,IF($A225&gt;'Work Calendar'!$B$17,"No data yet",IF(AND(N225&gt;='Work Calendar'!$B$14,L225+M225+O225&gt;0),"Day off - but worked",IF(N225&gt;='Work Calendar'!$B$14,"Day off",IF(L225+M225+O225&gt;0,IF($C225="Working","Charged","Worked weekend"),IF($C225="Working","Leave (not charged)",$C225)))))))</f>
        <v>Charged</v>
      </c>
      <c r="T225" s="341">
        <f>IF($A225="","",SUMIFS('Timesheet Raw'!$P$4:$P$8000,'Timesheet Raw'!$L$4:$L$8000,$A225,'Timesheet Raw'!$C$4:$C$8000,T$3,'Timesheet Raw'!$A$4:$A$8000,"1-Projects"))</f>
        <v>11.5</v>
      </c>
      <c r="U225" s="341">
        <f>IF($A225="","",SUMIFS('Timesheet Raw'!$P$4:$P$8000,'Timesheet Raw'!$L$4:$L$8000,$A225,'Timesheet Raw'!$C$4:$C$8000,T$3,'Timesheet Raw'!$A$4:$A$8000,"2-Proposals Chargeable")+SUMIFS('Timesheet Raw'!$P$4:$P$8000,'Timesheet Raw'!$L$4:$L$8000,$A225,'Timesheet Raw'!$C$4:$C$8000,T$3,'Timesheet Raw'!$A$4:$A$8000,"3-Proposals Regular"))</f>
        <v>0</v>
      </c>
      <c r="V225" s="341">
        <f>IF($A225="","",SUMIFS('Timesheet Raw'!$P$4:$P$8000,'Timesheet Raw'!$L$4:$L$8000,$A225,'Timesheet Raw'!$C$4:$C$8000,T$3,'Timesheet Raw'!$B$4:$B$8000,'Work Calendar'!$A$26)+SUMIFS('Timesheet Raw'!$P$4:$P$8000,'Timesheet Raw'!$L$4:$L$8000,$A225,'Timesheet Raw'!$C$4:$C$8000,T$3,'Timesheet Raw'!$B$4:$B$8000,'Work Calendar'!$A$27)+SUMIFS('Timesheet Raw'!$P$4:$P$8000,'Timesheet Raw'!$L$4:$L$8000,$A225,'Timesheet Raw'!$C$4:$C$8000,T$3,'Timesheet Raw'!$B$4:$B$8000,'Work Calendar'!$A$28)+SUMIFS('Timesheet Raw'!$P$4:$P$8000,'Timesheet Raw'!$L$4:$L$8000,$A225,'Timesheet Raw'!$C$4:$C$8000,T$3,'Timesheet Raw'!$B$4:$B$8000,'Work Calendar'!$A$29))</f>
        <v>1.25</v>
      </c>
      <c r="W225" s="341">
        <f t="shared" si="15"/>
        <v>0</v>
      </c>
      <c r="X225" s="395">
        <f>IF($A225="","",SUMIFS('Timesheet Raw'!$K$4:$K$8000,'Timesheet Raw'!$L$4:$L$8000,$A225,'Timesheet Raw'!$C$4:$C$8000,T$3))</f>
        <v>4.25</v>
      </c>
      <c r="Y225" s="345">
        <f>IF($A225="","",SUMIFS('Timesheet Raw'!$P$4:$P$8000,'Timesheet Raw'!$L$4:$L$8000,$A225,'Timesheet Raw'!$C$4:$C$8000,T$3))</f>
        <v>12.75</v>
      </c>
      <c r="Z225" s="375"/>
      <c r="AA225" t="str">
        <f>IF($A225="","",IF(Z225&lt;&gt;"",Z225,IF($A225&gt;'Work Calendar'!$B$17,"No data yet",IF(AND(V225&gt;='Work Calendar'!$B$14,T225+U225+W225&gt;0),"Day off - but worked",IF(V225&gt;='Work Calendar'!$B$14,"Day off",IF(T225+U225+W225&gt;0,IF($C225="Working","Charged","Worked weekend"),IF($C225="Working","Leave (not charged)",$C225)))))))</f>
        <v>Charged</v>
      </c>
    </row>
    <row r="226" spans="1:27" x14ac:dyDescent="0.3">
      <c r="A226" s="371">
        <f>IF($A225="","",IF($A225+1&gt;'Work Calendar'!$B$16,"",$A225+1))</f>
        <v>46244</v>
      </c>
      <c r="B226" t="str">
        <f t="shared" si="12"/>
        <v>Mon</v>
      </c>
      <c r="C226" t="str" cm="1">
        <f t="array" ref="C226">IF($A226="","",IF(COUNTIF('Work Calendar'!$E$6:$E$200,$A226)&gt;0,"Holiday",IF(INDEX('Work Calendar'!$C$6:$C$12,WEEKDAY($A226,1))=1,"Working","Weekend")))</f>
        <v>Working</v>
      </c>
      <c r="D226" s="341">
        <f>IF($A226="","",SUMIFS('Timesheet Raw'!$P$4:$P$8000,'Timesheet Raw'!$L$4:$L$8000,$A226,'Timesheet Raw'!$C$4:$C$8000,D$3,'Timesheet Raw'!$A$4:$A$8000,"1-Projects"))</f>
        <v>0</v>
      </c>
      <c r="E226" s="341">
        <f>IF($A226="","",SUMIFS('Timesheet Raw'!$P$4:$P$8000,'Timesheet Raw'!$L$4:$L$8000,$A226,'Timesheet Raw'!$C$4:$C$8000,D$3,'Timesheet Raw'!$A$4:$A$8000,"2-Proposals Chargeable")+SUMIFS('Timesheet Raw'!$P$4:$P$8000,'Timesheet Raw'!$L$4:$L$8000,$A226,'Timesheet Raw'!$C$4:$C$8000,D$3,'Timesheet Raw'!$A$4:$A$8000,"3-Proposals Regular"))</f>
        <v>0</v>
      </c>
      <c r="F226" s="341">
        <f>IF($A226="","",SUMIFS('Timesheet Raw'!$P$4:$P$8000,'Timesheet Raw'!$L$4:$L$8000,$A226,'Timesheet Raw'!$C$4:$C$8000,D$3,'Timesheet Raw'!$B$4:$B$8000,'Work Calendar'!$A$26)+SUMIFS('Timesheet Raw'!$P$4:$P$8000,'Timesheet Raw'!$L$4:$L$8000,$A226,'Timesheet Raw'!$C$4:$C$8000,D$3,'Timesheet Raw'!$B$4:$B$8000,'Work Calendar'!$A$27)+SUMIFS('Timesheet Raw'!$P$4:$P$8000,'Timesheet Raw'!$L$4:$L$8000,$A226,'Timesheet Raw'!$C$4:$C$8000,D$3,'Timesheet Raw'!$B$4:$B$8000,'Work Calendar'!$A$28)+SUMIFS('Timesheet Raw'!$P$4:$P$8000,'Timesheet Raw'!$L$4:$L$8000,$A226,'Timesheet Raw'!$C$4:$C$8000,D$3,'Timesheet Raw'!$B$4:$B$8000,'Work Calendar'!$A$29))</f>
        <v>0</v>
      </c>
      <c r="G226" s="341">
        <f t="shared" si="13"/>
        <v>0</v>
      </c>
      <c r="H226" s="395">
        <f>IF($A226="","",SUMIFS('Timesheet Raw'!$K$4:$K$8000,'Timesheet Raw'!$L$4:$L$8000,$A226,'Timesheet Raw'!$C$4:$C$8000,D$3))</f>
        <v>0</v>
      </c>
      <c r="I226" s="345">
        <f>IF($A226="","",SUMIFS('Timesheet Raw'!$P$4:$P$8000,'Timesheet Raw'!$L$4:$L$8000,$A226,'Timesheet Raw'!$C$4:$C$8000,D$3))</f>
        <v>0</v>
      </c>
      <c r="J226" s="375"/>
      <c r="K226" t="str">
        <f>IF($A226="","",IF(J226&lt;&gt;"",J226,IF($A226&gt;'Work Calendar'!$B$17,"No data yet",IF(AND(F226&gt;='Work Calendar'!$B$14,D226+E226+G226&gt;0),"Day off - but worked",IF(F226&gt;='Work Calendar'!$B$14,"Day off",IF(D226+E226+G226&gt;0,IF($C226="Working","Charged","Worked weekend"),IF($C226="Working","Leave (not charged)",$C226)))))))</f>
        <v>Leave (not charged)</v>
      </c>
      <c r="L226" s="341">
        <f>IF($A226="","",SUMIFS('Timesheet Raw'!$P$4:$P$8000,'Timesheet Raw'!$L$4:$L$8000,$A226,'Timesheet Raw'!$C$4:$C$8000,L$3,'Timesheet Raw'!$A$4:$A$8000,"1-Projects"))</f>
        <v>0</v>
      </c>
      <c r="M226" s="341">
        <f>IF($A226="","",SUMIFS('Timesheet Raw'!$P$4:$P$8000,'Timesheet Raw'!$L$4:$L$8000,$A226,'Timesheet Raw'!$C$4:$C$8000,L$3,'Timesheet Raw'!$A$4:$A$8000,"2-Proposals Chargeable")+SUMIFS('Timesheet Raw'!$P$4:$P$8000,'Timesheet Raw'!$L$4:$L$8000,$A226,'Timesheet Raw'!$C$4:$C$8000,L$3,'Timesheet Raw'!$A$4:$A$8000,"3-Proposals Regular"))</f>
        <v>0</v>
      </c>
      <c r="N226" s="341">
        <f>IF($A226="","",SUMIFS('Timesheet Raw'!$P$4:$P$8000,'Timesheet Raw'!$L$4:$L$8000,$A226,'Timesheet Raw'!$C$4:$C$8000,L$3,'Timesheet Raw'!$B$4:$B$8000,'Work Calendar'!$A$26)+SUMIFS('Timesheet Raw'!$P$4:$P$8000,'Timesheet Raw'!$L$4:$L$8000,$A226,'Timesheet Raw'!$C$4:$C$8000,L$3,'Timesheet Raw'!$B$4:$B$8000,'Work Calendar'!$A$27)+SUMIFS('Timesheet Raw'!$P$4:$P$8000,'Timesheet Raw'!$L$4:$L$8000,$A226,'Timesheet Raw'!$C$4:$C$8000,L$3,'Timesheet Raw'!$B$4:$B$8000,'Work Calendar'!$A$28)+SUMIFS('Timesheet Raw'!$P$4:$P$8000,'Timesheet Raw'!$L$4:$L$8000,$A226,'Timesheet Raw'!$C$4:$C$8000,L$3,'Timesheet Raw'!$B$4:$B$8000,'Work Calendar'!$A$29))</f>
        <v>0</v>
      </c>
      <c r="O226" s="341">
        <f t="shared" si="14"/>
        <v>0</v>
      </c>
      <c r="P226" s="395">
        <f>IF($A226="","",SUMIFS('Timesheet Raw'!$K$4:$K$8000,'Timesheet Raw'!$L$4:$L$8000,$A226,'Timesheet Raw'!$C$4:$C$8000,L$3))</f>
        <v>0</v>
      </c>
      <c r="Q226" s="345">
        <f>IF($A226="","",SUMIFS('Timesheet Raw'!$P$4:$P$8000,'Timesheet Raw'!$L$4:$L$8000,$A226,'Timesheet Raw'!$C$4:$C$8000,L$3))</f>
        <v>0</v>
      </c>
      <c r="R226" s="375"/>
      <c r="S226" t="str">
        <f>IF($A226="","",IF(R226&lt;&gt;"",R226,IF($A226&gt;'Work Calendar'!$B$17,"No data yet",IF(AND(N226&gt;='Work Calendar'!$B$14,L226+M226+O226&gt;0),"Day off - but worked",IF(N226&gt;='Work Calendar'!$B$14,"Day off",IF(L226+M226+O226&gt;0,IF($C226="Working","Charged","Worked weekend"),IF($C226="Working","Leave (not charged)",$C226)))))))</f>
        <v>Leave (not charged)</v>
      </c>
      <c r="T226" s="341">
        <f>IF($A226="","",SUMIFS('Timesheet Raw'!$P$4:$P$8000,'Timesheet Raw'!$L$4:$L$8000,$A226,'Timesheet Raw'!$C$4:$C$8000,T$3,'Timesheet Raw'!$A$4:$A$8000,"1-Projects"))</f>
        <v>9.5</v>
      </c>
      <c r="U226" s="341">
        <f>IF($A226="","",SUMIFS('Timesheet Raw'!$P$4:$P$8000,'Timesheet Raw'!$L$4:$L$8000,$A226,'Timesheet Raw'!$C$4:$C$8000,T$3,'Timesheet Raw'!$A$4:$A$8000,"2-Proposals Chargeable")+SUMIFS('Timesheet Raw'!$P$4:$P$8000,'Timesheet Raw'!$L$4:$L$8000,$A226,'Timesheet Raw'!$C$4:$C$8000,T$3,'Timesheet Raw'!$A$4:$A$8000,"3-Proposals Regular"))</f>
        <v>0</v>
      </c>
      <c r="V226" s="341">
        <f>IF($A226="","",SUMIFS('Timesheet Raw'!$P$4:$P$8000,'Timesheet Raw'!$L$4:$L$8000,$A226,'Timesheet Raw'!$C$4:$C$8000,T$3,'Timesheet Raw'!$B$4:$B$8000,'Work Calendar'!$A$26)+SUMIFS('Timesheet Raw'!$P$4:$P$8000,'Timesheet Raw'!$L$4:$L$8000,$A226,'Timesheet Raw'!$C$4:$C$8000,T$3,'Timesheet Raw'!$B$4:$B$8000,'Work Calendar'!$A$27)+SUMIFS('Timesheet Raw'!$P$4:$P$8000,'Timesheet Raw'!$L$4:$L$8000,$A226,'Timesheet Raw'!$C$4:$C$8000,T$3,'Timesheet Raw'!$B$4:$B$8000,'Work Calendar'!$A$28)+SUMIFS('Timesheet Raw'!$P$4:$P$8000,'Timesheet Raw'!$L$4:$L$8000,$A226,'Timesheet Raw'!$C$4:$C$8000,T$3,'Timesheet Raw'!$B$4:$B$8000,'Work Calendar'!$A$29))</f>
        <v>1.5</v>
      </c>
      <c r="W226" s="341">
        <f t="shared" si="15"/>
        <v>0</v>
      </c>
      <c r="X226" s="395">
        <f>IF($A226="","",SUMIFS('Timesheet Raw'!$K$4:$K$8000,'Timesheet Raw'!$L$4:$L$8000,$A226,'Timesheet Raw'!$C$4:$C$8000,T$3))</f>
        <v>2.5</v>
      </c>
      <c r="Y226" s="345">
        <f>IF($A226="","",SUMIFS('Timesheet Raw'!$P$4:$P$8000,'Timesheet Raw'!$L$4:$L$8000,$A226,'Timesheet Raw'!$C$4:$C$8000,T$3))</f>
        <v>11</v>
      </c>
      <c r="Z226" s="375"/>
      <c r="AA226" t="str">
        <f>IF($A226="","",IF(Z226&lt;&gt;"",Z226,IF($A226&gt;'Work Calendar'!$B$17,"No data yet",IF(AND(V226&gt;='Work Calendar'!$B$14,T226+U226+W226&gt;0),"Day off - but worked",IF(V226&gt;='Work Calendar'!$B$14,"Day off",IF(T226+U226+W226&gt;0,IF($C226="Working","Charged","Worked weekend"),IF($C226="Working","Leave (not charged)",$C226)))))))</f>
        <v>Charged</v>
      </c>
    </row>
    <row r="227" spans="1:27" x14ac:dyDescent="0.3">
      <c r="A227" s="371">
        <f>IF($A226="","",IF($A226+1&gt;'Work Calendar'!$B$16,"",$A226+1))</f>
        <v>46245</v>
      </c>
      <c r="B227" t="str">
        <f t="shared" si="12"/>
        <v>Tue</v>
      </c>
      <c r="C227" t="str" cm="1">
        <f t="array" ref="C227">IF($A227="","",IF(COUNTIF('Work Calendar'!$E$6:$E$200,$A227)&gt;0,"Holiday",IF(INDEX('Work Calendar'!$C$6:$C$12,WEEKDAY($A227,1))=1,"Working","Weekend")))</f>
        <v>Working</v>
      </c>
      <c r="D227" s="341">
        <f>IF($A227="","",SUMIFS('Timesheet Raw'!$P$4:$P$8000,'Timesheet Raw'!$L$4:$L$8000,$A227,'Timesheet Raw'!$C$4:$C$8000,D$3,'Timesheet Raw'!$A$4:$A$8000,"1-Projects"))</f>
        <v>0</v>
      </c>
      <c r="E227" s="341">
        <f>IF($A227="","",SUMIFS('Timesheet Raw'!$P$4:$P$8000,'Timesheet Raw'!$L$4:$L$8000,$A227,'Timesheet Raw'!$C$4:$C$8000,D$3,'Timesheet Raw'!$A$4:$A$8000,"2-Proposals Chargeable")+SUMIFS('Timesheet Raw'!$P$4:$P$8000,'Timesheet Raw'!$L$4:$L$8000,$A227,'Timesheet Raw'!$C$4:$C$8000,D$3,'Timesheet Raw'!$A$4:$A$8000,"3-Proposals Regular"))</f>
        <v>0</v>
      </c>
      <c r="F227" s="341">
        <f>IF($A227="","",SUMIFS('Timesheet Raw'!$P$4:$P$8000,'Timesheet Raw'!$L$4:$L$8000,$A227,'Timesheet Raw'!$C$4:$C$8000,D$3,'Timesheet Raw'!$B$4:$B$8000,'Work Calendar'!$A$26)+SUMIFS('Timesheet Raw'!$P$4:$P$8000,'Timesheet Raw'!$L$4:$L$8000,$A227,'Timesheet Raw'!$C$4:$C$8000,D$3,'Timesheet Raw'!$B$4:$B$8000,'Work Calendar'!$A$27)+SUMIFS('Timesheet Raw'!$P$4:$P$8000,'Timesheet Raw'!$L$4:$L$8000,$A227,'Timesheet Raw'!$C$4:$C$8000,D$3,'Timesheet Raw'!$B$4:$B$8000,'Work Calendar'!$A$28)+SUMIFS('Timesheet Raw'!$P$4:$P$8000,'Timesheet Raw'!$L$4:$L$8000,$A227,'Timesheet Raw'!$C$4:$C$8000,D$3,'Timesheet Raw'!$B$4:$B$8000,'Work Calendar'!$A$29))</f>
        <v>0</v>
      </c>
      <c r="G227" s="341">
        <f t="shared" si="13"/>
        <v>0</v>
      </c>
      <c r="H227" s="395">
        <f>IF($A227="","",SUMIFS('Timesheet Raw'!$K$4:$K$8000,'Timesheet Raw'!$L$4:$L$8000,$A227,'Timesheet Raw'!$C$4:$C$8000,D$3))</f>
        <v>0</v>
      </c>
      <c r="I227" s="345">
        <f>IF($A227="","",SUMIFS('Timesheet Raw'!$P$4:$P$8000,'Timesheet Raw'!$L$4:$L$8000,$A227,'Timesheet Raw'!$C$4:$C$8000,D$3))</f>
        <v>0</v>
      </c>
      <c r="J227" s="375"/>
      <c r="K227" t="str">
        <f>IF($A227="","",IF(J227&lt;&gt;"",J227,IF($A227&gt;'Work Calendar'!$B$17,"No data yet",IF(AND(F227&gt;='Work Calendar'!$B$14,D227+E227+G227&gt;0),"Day off - but worked",IF(F227&gt;='Work Calendar'!$B$14,"Day off",IF(D227+E227+G227&gt;0,IF($C227="Working","Charged","Worked weekend"),IF($C227="Working","Leave (not charged)",$C227)))))))</f>
        <v>Leave (not charged)</v>
      </c>
      <c r="L227" s="341">
        <f>IF($A227="","",SUMIFS('Timesheet Raw'!$P$4:$P$8000,'Timesheet Raw'!$L$4:$L$8000,$A227,'Timesheet Raw'!$C$4:$C$8000,L$3,'Timesheet Raw'!$A$4:$A$8000,"1-Projects"))</f>
        <v>0</v>
      </c>
      <c r="M227" s="341">
        <f>IF($A227="","",SUMIFS('Timesheet Raw'!$P$4:$P$8000,'Timesheet Raw'!$L$4:$L$8000,$A227,'Timesheet Raw'!$C$4:$C$8000,L$3,'Timesheet Raw'!$A$4:$A$8000,"2-Proposals Chargeable")+SUMIFS('Timesheet Raw'!$P$4:$P$8000,'Timesheet Raw'!$L$4:$L$8000,$A227,'Timesheet Raw'!$C$4:$C$8000,L$3,'Timesheet Raw'!$A$4:$A$8000,"3-Proposals Regular"))</f>
        <v>0</v>
      </c>
      <c r="N227" s="341">
        <f>IF($A227="","",SUMIFS('Timesheet Raw'!$P$4:$P$8000,'Timesheet Raw'!$L$4:$L$8000,$A227,'Timesheet Raw'!$C$4:$C$8000,L$3,'Timesheet Raw'!$B$4:$B$8000,'Work Calendar'!$A$26)+SUMIFS('Timesheet Raw'!$P$4:$P$8000,'Timesheet Raw'!$L$4:$L$8000,$A227,'Timesheet Raw'!$C$4:$C$8000,L$3,'Timesheet Raw'!$B$4:$B$8000,'Work Calendar'!$A$27)+SUMIFS('Timesheet Raw'!$P$4:$P$8000,'Timesheet Raw'!$L$4:$L$8000,$A227,'Timesheet Raw'!$C$4:$C$8000,L$3,'Timesheet Raw'!$B$4:$B$8000,'Work Calendar'!$A$28)+SUMIFS('Timesheet Raw'!$P$4:$P$8000,'Timesheet Raw'!$L$4:$L$8000,$A227,'Timesheet Raw'!$C$4:$C$8000,L$3,'Timesheet Raw'!$B$4:$B$8000,'Work Calendar'!$A$29))</f>
        <v>0</v>
      </c>
      <c r="O227" s="341">
        <f t="shared" si="14"/>
        <v>0</v>
      </c>
      <c r="P227" s="395">
        <f>IF($A227="","",SUMIFS('Timesheet Raw'!$K$4:$K$8000,'Timesheet Raw'!$L$4:$L$8000,$A227,'Timesheet Raw'!$C$4:$C$8000,L$3))</f>
        <v>0</v>
      </c>
      <c r="Q227" s="345">
        <f>IF($A227="","",SUMIFS('Timesheet Raw'!$P$4:$P$8000,'Timesheet Raw'!$L$4:$L$8000,$A227,'Timesheet Raw'!$C$4:$C$8000,L$3))</f>
        <v>0</v>
      </c>
      <c r="R227" s="375"/>
      <c r="S227" t="str">
        <f>IF($A227="","",IF(R227&lt;&gt;"",R227,IF($A227&gt;'Work Calendar'!$B$17,"No data yet",IF(AND(N227&gt;='Work Calendar'!$B$14,L227+M227+O227&gt;0),"Day off - but worked",IF(N227&gt;='Work Calendar'!$B$14,"Day off",IF(L227+M227+O227&gt;0,IF($C227="Working","Charged","Worked weekend"),IF($C227="Working","Leave (not charged)",$C227)))))))</f>
        <v>Leave (not charged)</v>
      </c>
      <c r="T227" s="341">
        <f>IF($A227="","",SUMIFS('Timesheet Raw'!$P$4:$P$8000,'Timesheet Raw'!$L$4:$L$8000,$A227,'Timesheet Raw'!$C$4:$C$8000,T$3,'Timesheet Raw'!$A$4:$A$8000,"1-Projects"))</f>
        <v>12.25</v>
      </c>
      <c r="U227" s="341">
        <f>IF($A227="","",SUMIFS('Timesheet Raw'!$P$4:$P$8000,'Timesheet Raw'!$L$4:$L$8000,$A227,'Timesheet Raw'!$C$4:$C$8000,T$3,'Timesheet Raw'!$A$4:$A$8000,"2-Proposals Chargeable")+SUMIFS('Timesheet Raw'!$P$4:$P$8000,'Timesheet Raw'!$L$4:$L$8000,$A227,'Timesheet Raw'!$C$4:$C$8000,T$3,'Timesheet Raw'!$A$4:$A$8000,"3-Proposals Regular"))</f>
        <v>0</v>
      </c>
      <c r="V227" s="341">
        <f>IF($A227="","",SUMIFS('Timesheet Raw'!$P$4:$P$8000,'Timesheet Raw'!$L$4:$L$8000,$A227,'Timesheet Raw'!$C$4:$C$8000,T$3,'Timesheet Raw'!$B$4:$B$8000,'Work Calendar'!$A$26)+SUMIFS('Timesheet Raw'!$P$4:$P$8000,'Timesheet Raw'!$L$4:$L$8000,$A227,'Timesheet Raw'!$C$4:$C$8000,T$3,'Timesheet Raw'!$B$4:$B$8000,'Work Calendar'!$A$27)+SUMIFS('Timesheet Raw'!$P$4:$P$8000,'Timesheet Raw'!$L$4:$L$8000,$A227,'Timesheet Raw'!$C$4:$C$8000,T$3,'Timesheet Raw'!$B$4:$B$8000,'Work Calendar'!$A$28)+SUMIFS('Timesheet Raw'!$P$4:$P$8000,'Timesheet Raw'!$L$4:$L$8000,$A227,'Timesheet Raw'!$C$4:$C$8000,T$3,'Timesheet Raw'!$B$4:$B$8000,'Work Calendar'!$A$29))</f>
        <v>1</v>
      </c>
      <c r="W227" s="341">
        <f t="shared" si="15"/>
        <v>0</v>
      </c>
      <c r="X227" s="395">
        <f>IF($A227="","",SUMIFS('Timesheet Raw'!$K$4:$K$8000,'Timesheet Raw'!$L$4:$L$8000,$A227,'Timesheet Raw'!$C$4:$C$8000,T$3))</f>
        <v>4.75</v>
      </c>
      <c r="Y227" s="345">
        <f>IF($A227="","",SUMIFS('Timesheet Raw'!$P$4:$P$8000,'Timesheet Raw'!$L$4:$L$8000,$A227,'Timesheet Raw'!$C$4:$C$8000,T$3))</f>
        <v>13.25</v>
      </c>
      <c r="Z227" s="375"/>
      <c r="AA227" t="str">
        <f>IF($A227="","",IF(Z227&lt;&gt;"",Z227,IF($A227&gt;'Work Calendar'!$B$17,"No data yet",IF(AND(V227&gt;='Work Calendar'!$B$14,T227+U227+W227&gt;0),"Day off - but worked",IF(V227&gt;='Work Calendar'!$B$14,"Day off",IF(T227+U227+W227&gt;0,IF($C227="Working","Charged","Worked weekend"),IF($C227="Working","Leave (not charged)",$C227)))))))</f>
        <v>Charged</v>
      </c>
    </row>
    <row r="228" spans="1:27" x14ac:dyDescent="0.3">
      <c r="A228" s="371">
        <f>IF($A227="","",IF($A227+1&gt;'Work Calendar'!$B$16,"",$A227+1))</f>
        <v>46246</v>
      </c>
      <c r="B228" t="str">
        <f t="shared" si="12"/>
        <v>Wed</v>
      </c>
      <c r="C228" t="str" cm="1">
        <f t="array" ref="C228">IF($A228="","",IF(COUNTIF('Work Calendar'!$E$6:$E$200,$A228)&gt;0,"Holiday",IF(INDEX('Work Calendar'!$C$6:$C$12,WEEKDAY($A228,1))=1,"Working","Weekend")))</f>
        <v>Working</v>
      </c>
      <c r="D228" s="341">
        <f>IF($A228="","",SUMIFS('Timesheet Raw'!$P$4:$P$8000,'Timesheet Raw'!$L$4:$L$8000,$A228,'Timesheet Raw'!$C$4:$C$8000,D$3,'Timesheet Raw'!$A$4:$A$8000,"1-Projects"))</f>
        <v>0</v>
      </c>
      <c r="E228" s="341">
        <f>IF($A228="","",SUMIFS('Timesheet Raw'!$P$4:$P$8000,'Timesheet Raw'!$L$4:$L$8000,$A228,'Timesheet Raw'!$C$4:$C$8000,D$3,'Timesheet Raw'!$A$4:$A$8000,"2-Proposals Chargeable")+SUMIFS('Timesheet Raw'!$P$4:$P$8000,'Timesheet Raw'!$L$4:$L$8000,$A228,'Timesheet Raw'!$C$4:$C$8000,D$3,'Timesheet Raw'!$A$4:$A$8000,"3-Proposals Regular"))</f>
        <v>0</v>
      </c>
      <c r="F228" s="341">
        <f>IF($A228="","",SUMIFS('Timesheet Raw'!$P$4:$P$8000,'Timesheet Raw'!$L$4:$L$8000,$A228,'Timesheet Raw'!$C$4:$C$8000,D$3,'Timesheet Raw'!$B$4:$B$8000,'Work Calendar'!$A$26)+SUMIFS('Timesheet Raw'!$P$4:$P$8000,'Timesheet Raw'!$L$4:$L$8000,$A228,'Timesheet Raw'!$C$4:$C$8000,D$3,'Timesheet Raw'!$B$4:$B$8000,'Work Calendar'!$A$27)+SUMIFS('Timesheet Raw'!$P$4:$P$8000,'Timesheet Raw'!$L$4:$L$8000,$A228,'Timesheet Raw'!$C$4:$C$8000,D$3,'Timesheet Raw'!$B$4:$B$8000,'Work Calendar'!$A$28)+SUMIFS('Timesheet Raw'!$P$4:$P$8000,'Timesheet Raw'!$L$4:$L$8000,$A228,'Timesheet Raw'!$C$4:$C$8000,D$3,'Timesheet Raw'!$B$4:$B$8000,'Work Calendar'!$A$29))</f>
        <v>0</v>
      </c>
      <c r="G228" s="341">
        <f t="shared" si="13"/>
        <v>0</v>
      </c>
      <c r="H228" s="395">
        <f>IF($A228="","",SUMIFS('Timesheet Raw'!$K$4:$K$8000,'Timesheet Raw'!$L$4:$L$8000,$A228,'Timesheet Raw'!$C$4:$C$8000,D$3))</f>
        <v>0</v>
      </c>
      <c r="I228" s="345">
        <f>IF($A228="","",SUMIFS('Timesheet Raw'!$P$4:$P$8000,'Timesheet Raw'!$L$4:$L$8000,$A228,'Timesheet Raw'!$C$4:$C$8000,D$3))</f>
        <v>0</v>
      </c>
      <c r="J228" s="375"/>
      <c r="K228" t="str">
        <f>IF($A228="","",IF(J228&lt;&gt;"",J228,IF($A228&gt;'Work Calendar'!$B$17,"No data yet",IF(AND(F228&gt;='Work Calendar'!$B$14,D228+E228+G228&gt;0),"Day off - but worked",IF(F228&gt;='Work Calendar'!$B$14,"Day off",IF(D228+E228+G228&gt;0,IF($C228="Working","Charged","Worked weekend"),IF($C228="Working","Leave (not charged)",$C228)))))))</f>
        <v>Leave (not charged)</v>
      </c>
      <c r="L228" s="341">
        <f>IF($A228="","",SUMIFS('Timesheet Raw'!$P$4:$P$8000,'Timesheet Raw'!$L$4:$L$8000,$A228,'Timesheet Raw'!$C$4:$C$8000,L$3,'Timesheet Raw'!$A$4:$A$8000,"1-Projects"))</f>
        <v>0</v>
      </c>
      <c r="M228" s="341">
        <f>IF($A228="","",SUMIFS('Timesheet Raw'!$P$4:$P$8000,'Timesheet Raw'!$L$4:$L$8000,$A228,'Timesheet Raw'!$C$4:$C$8000,L$3,'Timesheet Raw'!$A$4:$A$8000,"2-Proposals Chargeable")+SUMIFS('Timesheet Raw'!$P$4:$P$8000,'Timesheet Raw'!$L$4:$L$8000,$A228,'Timesheet Raw'!$C$4:$C$8000,L$3,'Timesheet Raw'!$A$4:$A$8000,"3-Proposals Regular"))</f>
        <v>0</v>
      </c>
      <c r="N228" s="341">
        <f>IF($A228="","",SUMIFS('Timesheet Raw'!$P$4:$P$8000,'Timesheet Raw'!$L$4:$L$8000,$A228,'Timesheet Raw'!$C$4:$C$8000,L$3,'Timesheet Raw'!$B$4:$B$8000,'Work Calendar'!$A$26)+SUMIFS('Timesheet Raw'!$P$4:$P$8000,'Timesheet Raw'!$L$4:$L$8000,$A228,'Timesheet Raw'!$C$4:$C$8000,L$3,'Timesheet Raw'!$B$4:$B$8000,'Work Calendar'!$A$27)+SUMIFS('Timesheet Raw'!$P$4:$P$8000,'Timesheet Raw'!$L$4:$L$8000,$A228,'Timesheet Raw'!$C$4:$C$8000,L$3,'Timesheet Raw'!$B$4:$B$8000,'Work Calendar'!$A$28)+SUMIFS('Timesheet Raw'!$P$4:$P$8000,'Timesheet Raw'!$L$4:$L$8000,$A228,'Timesheet Raw'!$C$4:$C$8000,L$3,'Timesheet Raw'!$B$4:$B$8000,'Work Calendar'!$A$29))</f>
        <v>0</v>
      </c>
      <c r="O228" s="341">
        <f t="shared" si="14"/>
        <v>0</v>
      </c>
      <c r="P228" s="395">
        <f>IF($A228="","",SUMIFS('Timesheet Raw'!$K$4:$K$8000,'Timesheet Raw'!$L$4:$L$8000,$A228,'Timesheet Raw'!$C$4:$C$8000,L$3))</f>
        <v>0</v>
      </c>
      <c r="Q228" s="345">
        <f>IF($A228="","",SUMIFS('Timesheet Raw'!$P$4:$P$8000,'Timesheet Raw'!$L$4:$L$8000,$A228,'Timesheet Raw'!$C$4:$C$8000,L$3))</f>
        <v>0</v>
      </c>
      <c r="R228" s="375"/>
      <c r="S228" t="str">
        <f>IF($A228="","",IF(R228&lt;&gt;"",R228,IF($A228&gt;'Work Calendar'!$B$17,"No data yet",IF(AND(N228&gt;='Work Calendar'!$B$14,L228+M228+O228&gt;0),"Day off - but worked",IF(N228&gt;='Work Calendar'!$B$14,"Day off",IF(L228+M228+O228&gt;0,IF($C228="Working","Charged","Worked weekend"),IF($C228="Working","Leave (not charged)",$C228)))))))</f>
        <v>Leave (not charged)</v>
      </c>
      <c r="T228" s="341">
        <f>IF($A228="","",SUMIFS('Timesheet Raw'!$P$4:$P$8000,'Timesheet Raw'!$L$4:$L$8000,$A228,'Timesheet Raw'!$C$4:$C$8000,T$3,'Timesheet Raw'!$A$4:$A$8000,"1-Projects"))</f>
        <v>9.25</v>
      </c>
      <c r="U228" s="341">
        <f>IF($A228="","",SUMIFS('Timesheet Raw'!$P$4:$P$8000,'Timesheet Raw'!$L$4:$L$8000,$A228,'Timesheet Raw'!$C$4:$C$8000,T$3,'Timesheet Raw'!$A$4:$A$8000,"2-Proposals Chargeable")+SUMIFS('Timesheet Raw'!$P$4:$P$8000,'Timesheet Raw'!$L$4:$L$8000,$A228,'Timesheet Raw'!$C$4:$C$8000,T$3,'Timesheet Raw'!$A$4:$A$8000,"3-Proposals Regular"))</f>
        <v>0</v>
      </c>
      <c r="V228" s="341">
        <f>IF($A228="","",SUMIFS('Timesheet Raw'!$P$4:$P$8000,'Timesheet Raw'!$L$4:$L$8000,$A228,'Timesheet Raw'!$C$4:$C$8000,T$3,'Timesheet Raw'!$B$4:$B$8000,'Work Calendar'!$A$26)+SUMIFS('Timesheet Raw'!$P$4:$P$8000,'Timesheet Raw'!$L$4:$L$8000,$A228,'Timesheet Raw'!$C$4:$C$8000,T$3,'Timesheet Raw'!$B$4:$B$8000,'Work Calendar'!$A$27)+SUMIFS('Timesheet Raw'!$P$4:$P$8000,'Timesheet Raw'!$L$4:$L$8000,$A228,'Timesheet Raw'!$C$4:$C$8000,T$3,'Timesheet Raw'!$B$4:$B$8000,'Work Calendar'!$A$28)+SUMIFS('Timesheet Raw'!$P$4:$P$8000,'Timesheet Raw'!$L$4:$L$8000,$A228,'Timesheet Raw'!$C$4:$C$8000,T$3,'Timesheet Raw'!$B$4:$B$8000,'Work Calendar'!$A$29))</f>
        <v>1.25</v>
      </c>
      <c r="W228" s="341">
        <f t="shared" si="15"/>
        <v>0</v>
      </c>
      <c r="X228" s="395">
        <f>IF($A228="","",SUMIFS('Timesheet Raw'!$K$4:$K$8000,'Timesheet Raw'!$L$4:$L$8000,$A228,'Timesheet Raw'!$C$4:$C$8000,T$3))</f>
        <v>2</v>
      </c>
      <c r="Y228" s="345">
        <f>IF($A228="","",SUMIFS('Timesheet Raw'!$P$4:$P$8000,'Timesheet Raw'!$L$4:$L$8000,$A228,'Timesheet Raw'!$C$4:$C$8000,T$3))</f>
        <v>10.5</v>
      </c>
      <c r="Z228" s="375"/>
      <c r="AA228" t="str">
        <f>IF($A228="","",IF(Z228&lt;&gt;"",Z228,IF($A228&gt;'Work Calendar'!$B$17,"No data yet",IF(AND(V228&gt;='Work Calendar'!$B$14,T228+U228+W228&gt;0),"Day off - but worked",IF(V228&gt;='Work Calendar'!$B$14,"Day off",IF(T228+U228+W228&gt;0,IF($C228="Working","Charged","Worked weekend"),IF($C228="Working","Leave (not charged)",$C228)))))))</f>
        <v>Charged</v>
      </c>
    </row>
    <row r="229" spans="1:27" x14ac:dyDescent="0.3">
      <c r="A229" s="371">
        <f>IF($A228="","",IF($A228+1&gt;'Work Calendar'!$B$16,"",$A228+1))</f>
        <v>46247</v>
      </c>
      <c r="B229" t="str">
        <f t="shared" si="12"/>
        <v>Thu</v>
      </c>
      <c r="C229" t="str" cm="1">
        <f t="array" ref="C229">IF($A229="","",IF(COUNTIF('Work Calendar'!$E$6:$E$200,$A229)&gt;0,"Holiday",IF(INDEX('Work Calendar'!$C$6:$C$12,WEEKDAY($A229,1))=1,"Working","Weekend")))</f>
        <v>Working</v>
      </c>
      <c r="D229" s="341">
        <f>IF($A229="","",SUMIFS('Timesheet Raw'!$P$4:$P$8000,'Timesheet Raw'!$L$4:$L$8000,$A229,'Timesheet Raw'!$C$4:$C$8000,D$3,'Timesheet Raw'!$A$4:$A$8000,"1-Projects"))</f>
        <v>0</v>
      </c>
      <c r="E229" s="341">
        <f>IF($A229="","",SUMIFS('Timesheet Raw'!$P$4:$P$8000,'Timesheet Raw'!$L$4:$L$8000,$A229,'Timesheet Raw'!$C$4:$C$8000,D$3,'Timesheet Raw'!$A$4:$A$8000,"2-Proposals Chargeable")+SUMIFS('Timesheet Raw'!$P$4:$P$8000,'Timesheet Raw'!$L$4:$L$8000,$A229,'Timesheet Raw'!$C$4:$C$8000,D$3,'Timesheet Raw'!$A$4:$A$8000,"3-Proposals Regular"))</f>
        <v>0</v>
      </c>
      <c r="F229" s="341">
        <f>IF($A229="","",SUMIFS('Timesheet Raw'!$P$4:$P$8000,'Timesheet Raw'!$L$4:$L$8000,$A229,'Timesheet Raw'!$C$4:$C$8000,D$3,'Timesheet Raw'!$B$4:$B$8000,'Work Calendar'!$A$26)+SUMIFS('Timesheet Raw'!$P$4:$P$8000,'Timesheet Raw'!$L$4:$L$8000,$A229,'Timesheet Raw'!$C$4:$C$8000,D$3,'Timesheet Raw'!$B$4:$B$8000,'Work Calendar'!$A$27)+SUMIFS('Timesheet Raw'!$P$4:$P$8000,'Timesheet Raw'!$L$4:$L$8000,$A229,'Timesheet Raw'!$C$4:$C$8000,D$3,'Timesheet Raw'!$B$4:$B$8000,'Work Calendar'!$A$28)+SUMIFS('Timesheet Raw'!$P$4:$P$8000,'Timesheet Raw'!$L$4:$L$8000,$A229,'Timesheet Raw'!$C$4:$C$8000,D$3,'Timesheet Raw'!$B$4:$B$8000,'Work Calendar'!$A$29))</f>
        <v>0</v>
      </c>
      <c r="G229" s="341">
        <f t="shared" si="13"/>
        <v>0</v>
      </c>
      <c r="H229" s="395">
        <f>IF($A229="","",SUMIFS('Timesheet Raw'!$K$4:$K$8000,'Timesheet Raw'!$L$4:$L$8000,$A229,'Timesheet Raw'!$C$4:$C$8000,D$3))</f>
        <v>0</v>
      </c>
      <c r="I229" s="345">
        <f>IF($A229="","",SUMIFS('Timesheet Raw'!$P$4:$P$8000,'Timesheet Raw'!$L$4:$L$8000,$A229,'Timesheet Raw'!$C$4:$C$8000,D$3))</f>
        <v>0</v>
      </c>
      <c r="J229" s="375"/>
      <c r="K229" t="str">
        <f>IF($A229="","",IF(J229&lt;&gt;"",J229,IF($A229&gt;'Work Calendar'!$B$17,"No data yet",IF(AND(F229&gt;='Work Calendar'!$B$14,D229+E229+G229&gt;0),"Day off - but worked",IF(F229&gt;='Work Calendar'!$B$14,"Day off",IF(D229+E229+G229&gt;0,IF($C229="Working","Charged","Worked weekend"),IF($C229="Working","Leave (not charged)",$C229)))))))</f>
        <v>Leave (not charged)</v>
      </c>
      <c r="L229" s="341">
        <f>IF($A229="","",SUMIFS('Timesheet Raw'!$P$4:$P$8000,'Timesheet Raw'!$L$4:$L$8000,$A229,'Timesheet Raw'!$C$4:$C$8000,L$3,'Timesheet Raw'!$A$4:$A$8000,"1-Projects"))</f>
        <v>0</v>
      </c>
      <c r="M229" s="341">
        <f>IF($A229="","",SUMIFS('Timesheet Raw'!$P$4:$P$8000,'Timesheet Raw'!$L$4:$L$8000,$A229,'Timesheet Raw'!$C$4:$C$8000,L$3,'Timesheet Raw'!$A$4:$A$8000,"2-Proposals Chargeable")+SUMIFS('Timesheet Raw'!$P$4:$P$8000,'Timesheet Raw'!$L$4:$L$8000,$A229,'Timesheet Raw'!$C$4:$C$8000,L$3,'Timesheet Raw'!$A$4:$A$8000,"3-Proposals Regular"))</f>
        <v>0</v>
      </c>
      <c r="N229" s="341">
        <f>IF($A229="","",SUMIFS('Timesheet Raw'!$P$4:$P$8000,'Timesheet Raw'!$L$4:$L$8000,$A229,'Timesheet Raw'!$C$4:$C$8000,L$3,'Timesheet Raw'!$B$4:$B$8000,'Work Calendar'!$A$26)+SUMIFS('Timesheet Raw'!$P$4:$P$8000,'Timesheet Raw'!$L$4:$L$8000,$A229,'Timesheet Raw'!$C$4:$C$8000,L$3,'Timesheet Raw'!$B$4:$B$8000,'Work Calendar'!$A$27)+SUMIFS('Timesheet Raw'!$P$4:$P$8000,'Timesheet Raw'!$L$4:$L$8000,$A229,'Timesheet Raw'!$C$4:$C$8000,L$3,'Timesheet Raw'!$B$4:$B$8000,'Work Calendar'!$A$28)+SUMIFS('Timesheet Raw'!$P$4:$P$8000,'Timesheet Raw'!$L$4:$L$8000,$A229,'Timesheet Raw'!$C$4:$C$8000,L$3,'Timesheet Raw'!$B$4:$B$8000,'Work Calendar'!$A$29))</f>
        <v>0</v>
      </c>
      <c r="O229" s="341">
        <f t="shared" si="14"/>
        <v>0</v>
      </c>
      <c r="P229" s="395">
        <f>IF($A229="","",SUMIFS('Timesheet Raw'!$K$4:$K$8000,'Timesheet Raw'!$L$4:$L$8000,$A229,'Timesheet Raw'!$C$4:$C$8000,L$3))</f>
        <v>0</v>
      </c>
      <c r="Q229" s="345">
        <f>IF($A229="","",SUMIFS('Timesheet Raw'!$P$4:$P$8000,'Timesheet Raw'!$L$4:$L$8000,$A229,'Timesheet Raw'!$C$4:$C$8000,L$3))</f>
        <v>0</v>
      </c>
      <c r="R229" s="375"/>
      <c r="S229" t="str">
        <f>IF($A229="","",IF(R229&lt;&gt;"",R229,IF($A229&gt;'Work Calendar'!$B$17,"No data yet",IF(AND(N229&gt;='Work Calendar'!$B$14,L229+M229+O229&gt;0),"Day off - but worked",IF(N229&gt;='Work Calendar'!$B$14,"Day off",IF(L229+M229+O229&gt;0,IF($C229="Working","Charged","Worked weekend"),IF($C229="Working","Leave (not charged)",$C229)))))))</f>
        <v>Leave (not charged)</v>
      </c>
      <c r="T229" s="341">
        <f>IF($A229="","",SUMIFS('Timesheet Raw'!$P$4:$P$8000,'Timesheet Raw'!$L$4:$L$8000,$A229,'Timesheet Raw'!$C$4:$C$8000,T$3,'Timesheet Raw'!$A$4:$A$8000,"1-Projects"))</f>
        <v>9.75</v>
      </c>
      <c r="U229" s="341">
        <f>IF($A229="","",SUMIFS('Timesheet Raw'!$P$4:$P$8000,'Timesheet Raw'!$L$4:$L$8000,$A229,'Timesheet Raw'!$C$4:$C$8000,T$3,'Timesheet Raw'!$A$4:$A$8000,"2-Proposals Chargeable")+SUMIFS('Timesheet Raw'!$P$4:$P$8000,'Timesheet Raw'!$L$4:$L$8000,$A229,'Timesheet Raw'!$C$4:$C$8000,T$3,'Timesheet Raw'!$A$4:$A$8000,"3-Proposals Regular"))</f>
        <v>0</v>
      </c>
      <c r="V229" s="341">
        <f>IF($A229="","",SUMIFS('Timesheet Raw'!$P$4:$P$8000,'Timesheet Raw'!$L$4:$L$8000,$A229,'Timesheet Raw'!$C$4:$C$8000,T$3,'Timesheet Raw'!$B$4:$B$8000,'Work Calendar'!$A$26)+SUMIFS('Timesheet Raw'!$P$4:$P$8000,'Timesheet Raw'!$L$4:$L$8000,$A229,'Timesheet Raw'!$C$4:$C$8000,T$3,'Timesheet Raw'!$B$4:$B$8000,'Work Calendar'!$A$27)+SUMIFS('Timesheet Raw'!$P$4:$P$8000,'Timesheet Raw'!$L$4:$L$8000,$A229,'Timesheet Raw'!$C$4:$C$8000,T$3,'Timesheet Raw'!$B$4:$B$8000,'Work Calendar'!$A$28)+SUMIFS('Timesheet Raw'!$P$4:$P$8000,'Timesheet Raw'!$L$4:$L$8000,$A229,'Timesheet Raw'!$C$4:$C$8000,T$3,'Timesheet Raw'!$B$4:$B$8000,'Work Calendar'!$A$29))</f>
        <v>1.5</v>
      </c>
      <c r="W229" s="341">
        <f t="shared" si="15"/>
        <v>0</v>
      </c>
      <c r="X229" s="395">
        <f>IF($A229="","",SUMIFS('Timesheet Raw'!$K$4:$K$8000,'Timesheet Raw'!$L$4:$L$8000,$A229,'Timesheet Raw'!$C$4:$C$8000,T$3))</f>
        <v>2.75</v>
      </c>
      <c r="Y229" s="345">
        <f>IF($A229="","",SUMIFS('Timesheet Raw'!$P$4:$P$8000,'Timesheet Raw'!$L$4:$L$8000,$A229,'Timesheet Raw'!$C$4:$C$8000,T$3))</f>
        <v>11.25</v>
      </c>
      <c r="Z229" s="375"/>
      <c r="AA229" t="str">
        <f>IF($A229="","",IF(Z229&lt;&gt;"",Z229,IF($A229&gt;'Work Calendar'!$B$17,"No data yet",IF(AND(V229&gt;='Work Calendar'!$B$14,T229+U229+W229&gt;0),"Day off - but worked",IF(V229&gt;='Work Calendar'!$B$14,"Day off",IF(T229+U229+W229&gt;0,IF($C229="Working","Charged","Worked weekend"),IF($C229="Working","Leave (not charged)",$C229)))))))</f>
        <v>Charged</v>
      </c>
    </row>
    <row r="230" spans="1:27" x14ac:dyDescent="0.3">
      <c r="A230" s="371">
        <f>IF($A229="","",IF($A229+1&gt;'Work Calendar'!$B$16,"",$A229+1))</f>
        <v>46248</v>
      </c>
      <c r="B230" t="str">
        <f t="shared" si="12"/>
        <v>Fri</v>
      </c>
      <c r="C230" t="str" cm="1">
        <f t="array" ref="C230">IF($A230="","",IF(COUNTIF('Work Calendar'!$E$6:$E$200,$A230)&gt;0,"Holiday",IF(INDEX('Work Calendar'!$C$6:$C$12,WEEKDAY($A230,1))=1,"Working","Weekend")))</f>
        <v>Weekend</v>
      </c>
      <c r="D230" s="341">
        <f>IF($A230="","",SUMIFS('Timesheet Raw'!$P$4:$P$8000,'Timesheet Raw'!$L$4:$L$8000,$A230,'Timesheet Raw'!$C$4:$C$8000,D$3,'Timesheet Raw'!$A$4:$A$8000,"1-Projects"))</f>
        <v>0</v>
      </c>
      <c r="E230" s="341">
        <f>IF($A230="","",SUMIFS('Timesheet Raw'!$P$4:$P$8000,'Timesheet Raw'!$L$4:$L$8000,$A230,'Timesheet Raw'!$C$4:$C$8000,D$3,'Timesheet Raw'!$A$4:$A$8000,"2-Proposals Chargeable")+SUMIFS('Timesheet Raw'!$P$4:$P$8000,'Timesheet Raw'!$L$4:$L$8000,$A230,'Timesheet Raw'!$C$4:$C$8000,D$3,'Timesheet Raw'!$A$4:$A$8000,"3-Proposals Regular"))</f>
        <v>0</v>
      </c>
      <c r="F230" s="341">
        <f>IF($A230="","",SUMIFS('Timesheet Raw'!$P$4:$P$8000,'Timesheet Raw'!$L$4:$L$8000,$A230,'Timesheet Raw'!$C$4:$C$8000,D$3,'Timesheet Raw'!$B$4:$B$8000,'Work Calendar'!$A$26)+SUMIFS('Timesheet Raw'!$P$4:$P$8000,'Timesheet Raw'!$L$4:$L$8000,$A230,'Timesheet Raw'!$C$4:$C$8000,D$3,'Timesheet Raw'!$B$4:$B$8000,'Work Calendar'!$A$27)+SUMIFS('Timesheet Raw'!$P$4:$P$8000,'Timesheet Raw'!$L$4:$L$8000,$A230,'Timesheet Raw'!$C$4:$C$8000,D$3,'Timesheet Raw'!$B$4:$B$8000,'Work Calendar'!$A$28)+SUMIFS('Timesheet Raw'!$P$4:$P$8000,'Timesheet Raw'!$L$4:$L$8000,$A230,'Timesheet Raw'!$C$4:$C$8000,D$3,'Timesheet Raw'!$B$4:$B$8000,'Work Calendar'!$A$29))</f>
        <v>0</v>
      </c>
      <c r="G230" s="341">
        <f t="shared" si="13"/>
        <v>0</v>
      </c>
      <c r="H230" s="395">
        <f>IF($A230="","",SUMIFS('Timesheet Raw'!$K$4:$K$8000,'Timesheet Raw'!$L$4:$L$8000,$A230,'Timesheet Raw'!$C$4:$C$8000,D$3))</f>
        <v>0</v>
      </c>
      <c r="I230" s="345">
        <f>IF($A230="","",SUMIFS('Timesheet Raw'!$P$4:$P$8000,'Timesheet Raw'!$L$4:$L$8000,$A230,'Timesheet Raw'!$C$4:$C$8000,D$3))</f>
        <v>0</v>
      </c>
      <c r="J230" s="375"/>
      <c r="K230" t="str">
        <f>IF($A230="","",IF(J230&lt;&gt;"",J230,IF($A230&gt;'Work Calendar'!$B$17,"No data yet",IF(AND(F230&gt;='Work Calendar'!$B$14,D230+E230+G230&gt;0),"Day off - but worked",IF(F230&gt;='Work Calendar'!$B$14,"Day off",IF(D230+E230+G230&gt;0,IF($C230="Working","Charged","Worked weekend"),IF($C230="Working","Leave (not charged)",$C230)))))))</f>
        <v>Weekend</v>
      </c>
      <c r="L230" s="341">
        <f>IF($A230="","",SUMIFS('Timesheet Raw'!$P$4:$P$8000,'Timesheet Raw'!$L$4:$L$8000,$A230,'Timesheet Raw'!$C$4:$C$8000,L$3,'Timesheet Raw'!$A$4:$A$8000,"1-Projects"))</f>
        <v>0</v>
      </c>
      <c r="M230" s="341">
        <f>IF($A230="","",SUMIFS('Timesheet Raw'!$P$4:$P$8000,'Timesheet Raw'!$L$4:$L$8000,$A230,'Timesheet Raw'!$C$4:$C$8000,L$3,'Timesheet Raw'!$A$4:$A$8000,"2-Proposals Chargeable")+SUMIFS('Timesheet Raw'!$P$4:$P$8000,'Timesheet Raw'!$L$4:$L$8000,$A230,'Timesheet Raw'!$C$4:$C$8000,L$3,'Timesheet Raw'!$A$4:$A$8000,"3-Proposals Regular"))</f>
        <v>0</v>
      </c>
      <c r="N230" s="341">
        <f>IF($A230="","",SUMIFS('Timesheet Raw'!$P$4:$P$8000,'Timesheet Raw'!$L$4:$L$8000,$A230,'Timesheet Raw'!$C$4:$C$8000,L$3,'Timesheet Raw'!$B$4:$B$8000,'Work Calendar'!$A$26)+SUMIFS('Timesheet Raw'!$P$4:$P$8000,'Timesheet Raw'!$L$4:$L$8000,$A230,'Timesheet Raw'!$C$4:$C$8000,L$3,'Timesheet Raw'!$B$4:$B$8000,'Work Calendar'!$A$27)+SUMIFS('Timesheet Raw'!$P$4:$P$8000,'Timesheet Raw'!$L$4:$L$8000,$A230,'Timesheet Raw'!$C$4:$C$8000,L$3,'Timesheet Raw'!$B$4:$B$8000,'Work Calendar'!$A$28)+SUMIFS('Timesheet Raw'!$P$4:$P$8000,'Timesheet Raw'!$L$4:$L$8000,$A230,'Timesheet Raw'!$C$4:$C$8000,L$3,'Timesheet Raw'!$B$4:$B$8000,'Work Calendar'!$A$29))</f>
        <v>0</v>
      </c>
      <c r="O230" s="341">
        <f t="shared" si="14"/>
        <v>0</v>
      </c>
      <c r="P230" s="395">
        <f>IF($A230="","",SUMIFS('Timesheet Raw'!$K$4:$K$8000,'Timesheet Raw'!$L$4:$L$8000,$A230,'Timesheet Raw'!$C$4:$C$8000,L$3))</f>
        <v>0</v>
      </c>
      <c r="Q230" s="345">
        <f>IF($A230="","",SUMIFS('Timesheet Raw'!$P$4:$P$8000,'Timesheet Raw'!$L$4:$L$8000,$A230,'Timesheet Raw'!$C$4:$C$8000,L$3))</f>
        <v>0</v>
      </c>
      <c r="R230" s="375"/>
      <c r="S230" t="str">
        <f>IF($A230="","",IF(R230&lt;&gt;"",R230,IF($A230&gt;'Work Calendar'!$B$17,"No data yet",IF(AND(N230&gt;='Work Calendar'!$B$14,L230+M230+O230&gt;0),"Day off - but worked",IF(N230&gt;='Work Calendar'!$B$14,"Day off",IF(L230+M230+O230&gt;0,IF($C230="Working","Charged","Worked weekend"),IF($C230="Working","Leave (not charged)",$C230)))))))</f>
        <v>Weekend</v>
      </c>
      <c r="T230" s="341">
        <f>IF($A230="","",SUMIFS('Timesheet Raw'!$P$4:$P$8000,'Timesheet Raw'!$L$4:$L$8000,$A230,'Timesheet Raw'!$C$4:$C$8000,T$3,'Timesheet Raw'!$A$4:$A$8000,"1-Projects"))</f>
        <v>0</v>
      </c>
      <c r="U230" s="341">
        <f>IF($A230="","",SUMIFS('Timesheet Raw'!$P$4:$P$8000,'Timesheet Raw'!$L$4:$L$8000,$A230,'Timesheet Raw'!$C$4:$C$8000,T$3,'Timesheet Raw'!$A$4:$A$8000,"2-Proposals Chargeable")+SUMIFS('Timesheet Raw'!$P$4:$P$8000,'Timesheet Raw'!$L$4:$L$8000,$A230,'Timesheet Raw'!$C$4:$C$8000,T$3,'Timesheet Raw'!$A$4:$A$8000,"3-Proposals Regular"))</f>
        <v>0</v>
      </c>
      <c r="V230" s="341">
        <f>IF($A230="","",SUMIFS('Timesheet Raw'!$P$4:$P$8000,'Timesheet Raw'!$L$4:$L$8000,$A230,'Timesheet Raw'!$C$4:$C$8000,T$3,'Timesheet Raw'!$B$4:$B$8000,'Work Calendar'!$A$26)+SUMIFS('Timesheet Raw'!$P$4:$P$8000,'Timesheet Raw'!$L$4:$L$8000,$A230,'Timesheet Raw'!$C$4:$C$8000,T$3,'Timesheet Raw'!$B$4:$B$8000,'Work Calendar'!$A$27)+SUMIFS('Timesheet Raw'!$P$4:$P$8000,'Timesheet Raw'!$L$4:$L$8000,$A230,'Timesheet Raw'!$C$4:$C$8000,T$3,'Timesheet Raw'!$B$4:$B$8000,'Work Calendar'!$A$28)+SUMIFS('Timesheet Raw'!$P$4:$P$8000,'Timesheet Raw'!$L$4:$L$8000,$A230,'Timesheet Raw'!$C$4:$C$8000,T$3,'Timesheet Raw'!$B$4:$B$8000,'Work Calendar'!$A$29))</f>
        <v>0</v>
      </c>
      <c r="W230" s="341">
        <f t="shared" si="15"/>
        <v>0</v>
      </c>
      <c r="X230" s="395">
        <f>IF($A230="","",SUMIFS('Timesheet Raw'!$K$4:$K$8000,'Timesheet Raw'!$L$4:$L$8000,$A230,'Timesheet Raw'!$C$4:$C$8000,T$3))</f>
        <v>0</v>
      </c>
      <c r="Y230" s="345">
        <f>IF($A230="","",SUMIFS('Timesheet Raw'!$P$4:$P$8000,'Timesheet Raw'!$L$4:$L$8000,$A230,'Timesheet Raw'!$C$4:$C$8000,T$3))</f>
        <v>0</v>
      </c>
      <c r="Z230" s="375"/>
      <c r="AA230" t="str">
        <f>IF($A230="","",IF(Z230&lt;&gt;"",Z230,IF($A230&gt;'Work Calendar'!$B$17,"No data yet",IF(AND(V230&gt;='Work Calendar'!$B$14,T230+U230+W230&gt;0),"Day off - but worked",IF(V230&gt;='Work Calendar'!$B$14,"Day off",IF(T230+U230+W230&gt;0,IF($C230="Working","Charged","Worked weekend"),IF($C230="Working","Leave (not charged)",$C230)))))))</f>
        <v>Weekend</v>
      </c>
    </row>
    <row r="231" spans="1:27" x14ac:dyDescent="0.3">
      <c r="A231" s="371">
        <f>IF($A230="","",IF($A230+1&gt;'Work Calendar'!$B$16,"",$A230+1))</f>
        <v>46249</v>
      </c>
      <c r="B231" t="str">
        <f t="shared" si="12"/>
        <v>Sat</v>
      </c>
      <c r="C231" t="str" cm="1">
        <f t="array" ref="C231">IF($A231="","",IF(COUNTIF('Work Calendar'!$E$6:$E$200,$A231)&gt;0,"Holiday",IF(INDEX('Work Calendar'!$C$6:$C$12,WEEKDAY($A231,1))=1,"Working","Weekend")))</f>
        <v>Weekend</v>
      </c>
      <c r="D231" s="341">
        <f>IF($A231="","",SUMIFS('Timesheet Raw'!$P$4:$P$8000,'Timesheet Raw'!$L$4:$L$8000,$A231,'Timesheet Raw'!$C$4:$C$8000,D$3,'Timesheet Raw'!$A$4:$A$8000,"1-Projects"))</f>
        <v>0</v>
      </c>
      <c r="E231" s="341">
        <f>IF($A231="","",SUMIFS('Timesheet Raw'!$P$4:$P$8000,'Timesheet Raw'!$L$4:$L$8000,$A231,'Timesheet Raw'!$C$4:$C$8000,D$3,'Timesheet Raw'!$A$4:$A$8000,"2-Proposals Chargeable")+SUMIFS('Timesheet Raw'!$P$4:$P$8000,'Timesheet Raw'!$L$4:$L$8000,$A231,'Timesheet Raw'!$C$4:$C$8000,D$3,'Timesheet Raw'!$A$4:$A$8000,"3-Proposals Regular"))</f>
        <v>0</v>
      </c>
      <c r="F231" s="341">
        <f>IF($A231="","",SUMIFS('Timesheet Raw'!$P$4:$P$8000,'Timesheet Raw'!$L$4:$L$8000,$A231,'Timesheet Raw'!$C$4:$C$8000,D$3,'Timesheet Raw'!$B$4:$B$8000,'Work Calendar'!$A$26)+SUMIFS('Timesheet Raw'!$P$4:$P$8000,'Timesheet Raw'!$L$4:$L$8000,$A231,'Timesheet Raw'!$C$4:$C$8000,D$3,'Timesheet Raw'!$B$4:$B$8000,'Work Calendar'!$A$27)+SUMIFS('Timesheet Raw'!$P$4:$P$8000,'Timesheet Raw'!$L$4:$L$8000,$A231,'Timesheet Raw'!$C$4:$C$8000,D$3,'Timesheet Raw'!$B$4:$B$8000,'Work Calendar'!$A$28)+SUMIFS('Timesheet Raw'!$P$4:$P$8000,'Timesheet Raw'!$L$4:$L$8000,$A231,'Timesheet Raw'!$C$4:$C$8000,D$3,'Timesheet Raw'!$B$4:$B$8000,'Work Calendar'!$A$29))</f>
        <v>0</v>
      </c>
      <c r="G231" s="341">
        <f t="shared" si="13"/>
        <v>0</v>
      </c>
      <c r="H231" s="395">
        <f>IF($A231="","",SUMIFS('Timesheet Raw'!$K$4:$K$8000,'Timesheet Raw'!$L$4:$L$8000,$A231,'Timesheet Raw'!$C$4:$C$8000,D$3))</f>
        <v>0</v>
      </c>
      <c r="I231" s="345">
        <f>IF($A231="","",SUMIFS('Timesheet Raw'!$P$4:$P$8000,'Timesheet Raw'!$L$4:$L$8000,$A231,'Timesheet Raw'!$C$4:$C$8000,D$3))</f>
        <v>0</v>
      </c>
      <c r="J231" s="375"/>
      <c r="K231" t="str">
        <f>IF($A231="","",IF(J231&lt;&gt;"",J231,IF($A231&gt;'Work Calendar'!$B$17,"No data yet",IF(AND(F231&gt;='Work Calendar'!$B$14,D231+E231+G231&gt;0),"Day off - but worked",IF(F231&gt;='Work Calendar'!$B$14,"Day off",IF(D231+E231+G231&gt;0,IF($C231="Working","Charged","Worked weekend"),IF($C231="Working","Leave (not charged)",$C231)))))))</f>
        <v>Weekend</v>
      </c>
      <c r="L231" s="341">
        <f>IF($A231="","",SUMIFS('Timesheet Raw'!$P$4:$P$8000,'Timesheet Raw'!$L$4:$L$8000,$A231,'Timesheet Raw'!$C$4:$C$8000,L$3,'Timesheet Raw'!$A$4:$A$8000,"1-Projects"))</f>
        <v>0</v>
      </c>
      <c r="M231" s="341">
        <f>IF($A231="","",SUMIFS('Timesheet Raw'!$P$4:$P$8000,'Timesheet Raw'!$L$4:$L$8000,$A231,'Timesheet Raw'!$C$4:$C$8000,L$3,'Timesheet Raw'!$A$4:$A$8000,"2-Proposals Chargeable")+SUMIFS('Timesheet Raw'!$P$4:$P$8000,'Timesheet Raw'!$L$4:$L$8000,$A231,'Timesheet Raw'!$C$4:$C$8000,L$3,'Timesheet Raw'!$A$4:$A$8000,"3-Proposals Regular"))</f>
        <v>0</v>
      </c>
      <c r="N231" s="341">
        <f>IF($A231="","",SUMIFS('Timesheet Raw'!$P$4:$P$8000,'Timesheet Raw'!$L$4:$L$8000,$A231,'Timesheet Raw'!$C$4:$C$8000,L$3,'Timesheet Raw'!$B$4:$B$8000,'Work Calendar'!$A$26)+SUMIFS('Timesheet Raw'!$P$4:$P$8000,'Timesheet Raw'!$L$4:$L$8000,$A231,'Timesheet Raw'!$C$4:$C$8000,L$3,'Timesheet Raw'!$B$4:$B$8000,'Work Calendar'!$A$27)+SUMIFS('Timesheet Raw'!$P$4:$P$8000,'Timesheet Raw'!$L$4:$L$8000,$A231,'Timesheet Raw'!$C$4:$C$8000,L$3,'Timesheet Raw'!$B$4:$B$8000,'Work Calendar'!$A$28)+SUMIFS('Timesheet Raw'!$P$4:$P$8000,'Timesheet Raw'!$L$4:$L$8000,$A231,'Timesheet Raw'!$C$4:$C$8000,L$3,'Timesheet Raw'!$B$4:$B$8000,'Work Calendar'!$A$29))</f>
        <v>0</v>
      </c>
      <c r="O231" s="341">
        <f t="shared" si="14"/>
        <v>0</v>
      </c>
      <c r="P231" s="395">
        <f>IF($A231="","",SUMIFS('Timesheet Raw'!$K$4:$K$8000,'Timesheet Raw'!$L$4:$L$8000,$A231,'Timesheet Raw'!$C$4:$C$8000,L$3))</f>
        <v>0</v>
      </c>
      <c r="Q231" s="345">
        <f>IF($A231="","",SUMIFS('Timesheet Raw'!$P$4:$P$8000,'Timesheet Raw'!$L$4:$L$8000,$A231,'Timesheet Raw'!$C$4:$C$8000,L$3))</f>
        <v>0</v>
      </c>
      <c r="R231" s="375"/>
      <c r="S231" t="str">
        <f>IF($A231="","",IF(R231&lt;&gt;"",R231,IF($A231&gt;'Work Calendar'!$B$17,"No data yet",IF(AND(N231&gt;='Work Calendar'!$B$14,L231+M231+O231&gt;0),"Day off - but worked",IF(N231&gt;='Work Calendar'!$B$14,"Day off",IF(L231+M231+O231&gt;0,IF($C231="Working","Charged","Worked weekend"),IF($C231="Working","Leave (not charged)",$C231)))))))</f>
        <v>Weekend</v>
      </c>
      <c r="T231" s="341">
        <f>IF($A231="","",SUMIFS('Timesheet Raw'!$P$4:$P$8000,'Timesheet Raw'!$L$4:$L$8000,$A231,'Timesheet Raw'!$C$4:$C$8000,T$3,'Timesheet Raw'!$A$4:$A$8000,"1-Projects"))</f>
        <v>0</v>
      </c>
      <c r="U231" s="341">
        <f>IF($A231="","",SUMIFS('Timesheet Raw'!$P$4:$P$8000,'Timesheet Raw'!$L$4:$L$8000,$A231,'Timesheet Raw'!$C$4:$C$8000,T$3,'Timesheet Raw'!$A$4:$A$8000,"2-Proposals Chargeable")+SUMIFS('Timesheet Raw'!$P$4:$P$8000,'Timesheet Raw'!$L$4:$L$8000,$A231,'Timesheet Raw'!$C$4:$C$8000,T$3,'Timesheet Raw'!$A$4:$A$8000,"3-Proposals Regular"))</f>
        <v>0</v>
      </c>
      <c r="V231" s="341">
        <f>IF($A231="","",SUMIFS('Timesheet Raw'!$P$4:$P$8000,'Timesheet Raw'!$L$4:$L$8000,$A231,'Timesheet Raw'!$C$4:$C$8000,T$3,'Timesheet Raw'!$B$4:$B$8000,'Work Calendar'!$A$26)+SUMIFS('Timesheet Raw'!$P$4:$P$8000,'Timesheet Raw'!$L$4:$L$8000,$A231,'Timesheet Raw'!$C$4:$C$8000,T$3,'Timesheet Raw'!$B$4:$B$8000,'Work Calendar'!$A$27)+SUMIFS('Timesheet Raw'!$P$4:$P$8000,'Timesheet Raw'!$L$4:$L$8000,$A231,'Timesheet Raw'!$C$4:$C$8000,T$3,'Timesheet Raw'!$B$4:$B$8000,'Work Calendar'!$A$28)+SUMIFS('Timesheet Raw'!$P$4:$P$8000,'Timesheet Raw'!$L$4:$L$8000,$A231,'Timesheet Raw'!$C$4:$C$8000,T$3,'Timesheet Raw'!$B$4:$B$8000,'Work Calendar'!$A$29))</f>
        <v>0</v>
      </c>
      <c r="W231" s="341">
        <f t="shared" si="15"/>
        <v>0</v>
      </c>
      <c r="X231" s="395">
        <f>IF($A231="","",SUMIFS('Timesheet Raw'!$K$4:$K$8000,'Timesheet Raw'!$L$4:$L$8000,$A231,'Timesheet Raw'!$C$4:$C$8000,T$3))</f>
        <v>0</v>
      </c>
      <c r="Y231" s="345">
        <f>IF($A231="","",SUMIFS('Timesheet Raw'!$P$4:$P$8000,'Timesheet Raw'!$L$4:$L$8000,$A231,'Timesheet Raw'!$C$4:$C$8000,T$3))</f>
        <v>0</v>
      </c>
      <c r="Z231" s="375"/>
      <c r="AA231" t="str">
        <f>IF($A231="","",IF(Z231&lt;&gt;"",Z231,IF($A231&gt;'Work Calendar'!$B$17,"No data yet",IF(AND(V231&gt;='Work Calendar'!$B$14,T231+U231+W231&gt;0),"Day off - but worked",IF(V231&gt;='Work Calendar'!$B$14,"Day off",IF(T231+U231+W231&gt;0,IF($C231="Working","Charged","Worked weekend"),IF($C231="Working","Leave (not charged)",$C231)))))))</f>
        <v>Weekend</v>
      </c>
    </row>
    <row r="232" spans="1:27" x14ac:dyDescent="0.3">
      <c r="A232" s="371">
        <f>IF($A231="","",IF($A231+1&gt;'Work Calendar'!$B$16,"",$A231+1))</f>
        <v>46250</v>
      </c>
      <c r="B232" t="str">
        <f t="shared" si="12"/>
        <v>Sun</v>
      </c>
      <c r="C232" t="str" cm="1">
        <f t="array" ref="C232">IF($A232="","",IF(COUNTIF('Work Calendar'!$E$6:$E$200,$A232)&gt;0,"Holiday",IF(INDEX('Work Calendar'!$C$6:$C$12,WEEKDAY($A232,1))=1,"Working","Weekend")))</f>
        <v>Working</v>
      </c>
      <c r="D232" s="341">
        <f>IF($A232="","",SUMIFS('Timesheet Raw'!$P$4:$P$8000,'Timesheet Raw'!$L$4:$L$8000,$A232,'Timesheet Raw'!$C$4:$C$8000,D$3,'Timesheet Raw'!$A$4:$A$8000,"1-Projects"))</f>
        <v>0</v>
      </c>
      <c r="E232" s="341">
        <f>IF($A232="","",SUMIFS('Timesheet Raw'!$P$4:$P$8000,'Timesheet Raw'!$L$4:$L$8000,$A232,'Timesheet Raw'!$C$4:$C$8000,D$3,'Timesheet Raw'!$A$4:$A$8000,"2-Proposals Chargeable")+SUMIFS('Timesheet Raw'!$P$4:$P$8000,'Timesheet Raw'!$L$4:$L$8000,$A232,'Timesheet Raw'!$C$4:$C$8000,D$3,'Timesheet Raw'!$A$4:$A$8000,"3-Proposals Regular"))</f>
        <v>0</v>
      </c>
      <c r="F232" s="341">
        <f>IF($A232="","",SUMIFS('Timesheet Raw'!$P$4:$P$8000,'Timesheet Raw'!$L$4:$L$8000,$A232,'Timesheet Raw'!$C$4:$C$8000,D$3,'Timesheet Raw'!$B$4:$B$8000,'Work Calendar'!$A$26)+SUMIFS('Timesheet Raw'!$P$4:$P$8000,'Timesheet Raw'!$L$4:$L$8000,$A232,'Timesheet Raw'!$C$4:$C$8000,D$3,'Timesheet Raw'!$B$4:$B$8000,'Work Calendar'!$A$27)+SUMIFS('Timesheet Raw'!$P$4:$P$8000,'Timesheet Raw'!$L$4:$L$8000,$A232,'Timesheet Raw'!$C$4:$C$8000,D$3,'Timesheet Raw'!$B$4:$B$8000,'Work Calendar'!$A$28)+SUMIFS('Timesheet Raw'!$P$4:$P$8000,'Timesheet Raw'!$L$4:$L$8000,$A232,'Timesheet Raw'!$C$4:$C$8000,D$3,'Timesheet Raw'!$B$4:$B$8000,'Work Calendar'!$A$29))</f>
        <v>0</v>
      </c>
      <c r="G232" s="341">
        <f t="shared" si="13"/>
        <v>0</v>
      </c>
      <c r="H232" s="395">
        <f>IF($A232="","",SUMIFS('Timesheet Raw'!$K$4:$K$8000,'Timesheet Raw'!$L$4:$L$8000,$A232,'Timesheet Raw'!$C$4:$C$8000,D$3))</f>
        <v>0</v>
      </c>
      <c r="I232" s="345">
        <f>IF($A232="","",SUMIFS('Timesheet Raw'!$P$4:$P$8000,'Timesheet Raw'!$L$4:$L$8000,$A232,'Timesheet Raw'!$C$4:$C$8000,D$3))</f>
        <v>0</v>
      </c>
      <c r="J232" s="375"/>
      <c r="K232" t="str">
        <f>IF($A232="","",IF(J232&lt;&gt;"",J232,IF($A232&gt;'Work Calendar'!$B$17,"No data yet",IF(AND(F232&gt;='Work Calendar'!$B$14,D232+E232+G232&gt;0),"Day off - but worked",IF(F232&gt;='Work Calendar'!$B$14,"Day off",IF(D232+E232+G232&gt;0,IF($C232="Working","Charged","Worked weekend"),IF($C232="Working","Leave (not charged)",$C232)))))))</f>
        <v>Leave (not charged)</v>
      </c>
      <c r="L232" s="341">
        <f>IF($A232="","",SUMIFS('Timesheet Raw'!$P$4:$P$8000,'Timesheet Raw'!$L$4:$L$8000,$A232,'Timesheet Raw'!$C$4:$C$8000,L$3,'Timesheet Raw'!$A$4:$A$8000,"1-Projects"))</f>
        <v>0</v>
      </c>
      <c r="M232" s="341">
        <f>IF($A232="","",SUMIFS('Timesheet Raw'!$P$4:$P$8000,'Timesheet Raw'!$L$4:$L$8000,$A232,'Timesheet Raw'!$C$4:$C$8000,L$3,'Timesheet Raw'!$A$4:$A$8000,"2-Proposals Chargeable")+SUMIFS('Timesheet Raw'!$P$4:$P$8000,'Timesheet Raw'!$L$4:$L$8000,$A232,'Timesheet Raw'!$C$4:$C$8000,L$3,'Timesheet Raw'!$A$4:$A$8000,"3-Proposals Regular"))</f>
        <v>0</v>
      </c>
      <c r="N232" s="341">
        <f>IF($A232="","",SUMIFS('Timesheet Raw'!$P$4:$P$8000,'Timesheet Raw'!$L$4:$L$8000,$A232,'Timesheet Raw'!$C$4:$C$8000,L$3,'Timesheet Raw'!$B$4:$B$8000,'Work Calendar'!$A$26)+SUMIFS('Timesheet Raw'!$P$4:$P$8000,'Timesheet Raw'!$L$4:$L$8000,$A232,'Timesheet Raw'!$C$4:$C$8000,L$3,'Timesheet Raw'!$B$4:$B$8000,'Work Calendar'!$A$27)+SUMIFS('Timesheet Raw'!$P$4:$P$8000,'Timesheet Raw'!$L$4:$L$8000,$A232,'Timesheet Raw'!$C$4:$C$8000,L$3,'Timesheet Raw'!$B$4:$B$8000,'Work Calendar'!$A$28)+SUMIFS('Timesheet Raw'!$P$4:$P$8000,'Timesheet Raw'!$L$4:$L$8000,$A232,'Timesheet Raw'!$C$4:$C$8000,L$3,'Timesheet Raw'!$B$4:$B$8000,'Work Calendar'!$A$29))</f>
        <v>0</v>
      </c>
      <c r="O232" s="341">
        <f t="shared" si="14"/>
        <v>0</v>
      </c>
      <c r="P232" s="395">
        <f>IF($A232="","",SUMIFS('Timesheet Raw'!$K$4:$K$8000,'Timesheet Raw'!$L$4:$L$8000,$A232,'Timesheet Raw'!$C$4:$C$8000,L$3))</f>
        <v>0</v>
      </c>
      <c r="Q232" s="345">
        <f>IF($A232="","",SUMIFS('Timesheet Raw'!$P$4:$P$8000,'Timesheet Raw'!$L$4:$L$8000,$A232,'Timesheet Raw'!$C$4:$C$8000,L$3))</f>
        <v>0</v>
      </c>
      <c r="R232" s="375"/>
      <c r="S232" t="str">
        <f>IF($A232="","",IF(R232&lt;&gt;"",R232,IF($A232&gt;'Work Calendar'!$B$17,"No data yet",IF(AND(N232&gt;='Work Calendar'!$B$14,L232+M232+O232&gt;0),"Day off - but worked",IF(N232&gt;='Work Calendar'!$B$14,"Day off",IF(L232+M232+O232&gt;0,IF($C232="Working","Charged","Worked weekend"),IF($C232="Working","Leave (not charged)",$C232)))))))</f>
        <v>Leave (not charged)</v>
      </c>
      <c r="T232" s="341">
        <f>IF($A232="","",SUMIFS('Timesheet Raw'!$P$4:$P$8000,'Timesheet Raw'!$L$4:$L$8000,$A232,'Timesheet Raw'!$C$4:$C$8000,T$3,'Timesheet Raw'!$A$4:$A$8000,"1-Projects"))</f>
        <v>12.5</v>
      </c>
      <c r="U232" s="341">
        <f>IF($A232="","",SUMIFS('Timesheet Raw'!$P$4:$P$8000,'Timesheet Raw'!$L$4:$L$8000,$A232,'Timesheet Raw'!$C$4:$C$8000,T$3,'Timesheet Raw'!$A$4:$A$8000,"2-Proposals Chargeable")+SUMIFS('Timesheet Raw'!$P$4:$P$8000,'Timesheet Raw'!$L$4:$L$8000,$A232,'Timesheet Raw'!$C$4:$C$8000,T$3,'Timesheet Raw'!$A$4:$A$8000,"3-Proposals Regular"))</f>
        <v>0</v>
      </c>
      <c r="V232" s="341">
        <f>IF($A232="","",SUMIFS('Timesheet Raw'!$P$4:$P$8000,'Timesheet Raw'!$L$4:$L$8000,$A232,'Timesheet Raw'!$C$4:$C$8000,T$3,'Timesheet Raw'!$B$4:$B$8000,'Work Calendar'!$A$26)+SUMIFS('Timesheet Raw'!$P$4:$P$8000,'Timesheet Raw'!$L$4:$L$8000,$A232,'Timesheet Raw'!$C$4:$C$8000,T$3,'Timesheet Raw'!$B$4:$B$8000,'Work Calendar'!$A$27)+SUMIFS('Timesheet Raw'!$P$4:$P$8000,'Timesheet Raw'!$L$4:$L$8000,$A232,'Timesheet Raw'!$C$4:$C$8000,T$3,'Timesheet Raw'!$B$4:$B$8000,'Work Calendar'!$A$28)+SUMIFS('Timesheet Raw'!$P$4:$P$8000,'Timesheet Raw'!$L$4:$L$8000,$A232,'Timesheet Raw'!$C$4:$C$8000,T$3,'Timesheet Raw'!$B$4:$B$8000,'Work Calendar'!$A$29))</f>
        <v>1.75</v>
      </c>
      <c r="W232" s="341">
        <f t="shared" si="15"/>
        <v>0</v>
      </c>
      <c r="X232" s="395">
        <f>IF($A232="","",SUMIFS('Timesheet Raw'!$K$4:$K$8000,'Timesheet Raw'!$L$4:$L$8000,$A232,'Timesheet Raw'!$C$4:$C$8000,T$3))</f>
        <v>5.75</v>
      </c>
      <c r="Y232" s="345">
        <f>IF($A232="","",SUMIFS('Timesheet Raw'!$P$4:$P$8000,'Timesheet Raw'!$L$4:$L$8000,$A232,'Timesheet Raw'!$C$4:$C$8000,T$3))</f>
        <v>14.25</v>
      </c>
      <c r="Z232" s="375"/>
      <c r="AA232" t="str">
        <f>IF($A232="","",IF(Z232&lt;&gt;"",Z232,IF($A232&gt;'Work Calendar'!$B$17,"No data yet",IF(AND(V232&gt;='Work Calendar'!$B$14,T232+U232+W232&gt;0),"Day off - but worked",IF(V232&gt;='Work Calendar'!$B$14,"Day off",IF(T232+U232+W232&gt;0,IF($C232="Working","Charged","Worked weekend"),IF($C232="Working","Leave (not charged)",$C232)))))))</f>
        <v>Charged</v>
      </c>
    </row>
    <row r="233" spans="1:27" x14ac:dyDescent="0.3">
      <c r="A233" s="371">
        <f>IF($A232="","",IF($A232+1&gt;'Work Calendar'!$B$16,"",$A232+1))</f>
        <v>46251</v>
      </c>
      <c r="B233" t="str">
        <f t="shared" si="12"/>
        <v>Mon</v>
      </c>
      <c r="C233" t="str" cm="1">
        <f t="array" ref="C233">IF($A233="","",IF(COUNTIF('Work Calendar'!$E$6:$E$200,$A233)&gt;0,"Holiday",IF(INDEX('Work Calendar'!$C$6:$C$12,WEEKDAY($A233,1))=1,"Working","Weekend")))</f>
        <v>Working</v>
      </c>
      <c r="D233" s="341">
        <f>IF($A233="","",SUMIFS('Timesheet Raw'!$P$4:$P$8000,'Timesheet Raw'!$L$4:$L$8000,$A233,'Timesheet Raw'!$C$4:$C$8000,D$3,'Timesheet Raw'!$A$4:$A$8000,"1-Projects"))</f>
        <v>0</v>
      </c>
      <c r="E233" s="341">
        <f>IF($A233="","",SUMIFS('Timesheet Raw'!$P$4:$P$8000,'Timesheet Raw'!$L$4:$L$8000,$A233,'Timesheet Raw'!$C$4:$C$8000,D$3,'Timesheet Raw'!$A$4:$A$8000,"2-Proposals Chargeable")+SUMIFS('Timesheet Raw'!$P$4:$P$8000,'Timesheet Raw'!$L$4:$L$8000,$A233,'Timesheet Raw'!$C$4:$C$8000,D$3,'Timesheet Raw'!$A$4:$A$8000,"3-Proposals Regular"))</f>
        <v>0</v>
      </c>
      <c r="F233" s="341">
        <f>IF($A233="","",SUMIFS('Timesheet Raw'!$P$4:$P$8000,'Timesheet Raw'!$L$4:$L$8000,$A233,'Timesheet Raw'!$C$4:$C$8000,D$3,'Timesheet Raw'!$B$4:$B$8000,'Work Calendar'!$A$26)+SUMIFS('Timesheet Raw'!$P$4:$P$8000,'Timesheet Raw'!$L$4:$L$8000,$A233,'Timesheet Raw'!$C$4:$C$8000,D$3,'Timesheet Raw'!$B$4:$B$8000,'Work Calendar'!$A$27)+SUMIFS('Timesheet Raw'!$P$4:$P$8000,'Timesheet Raw'!$L$4:$L$8000,$A233,'Timesheet Raw'!$C$4:$C$8000,D$3,'Timesheet Raw'!$B$4:$B$8000,'Work Calendar'!$A$28)+SUMIFS('Timesheet Raw'!$P$4:$P$8000,'Timesheet Raw'!$L$4:$L$8000,$A233,'Timesheet Raw'!$C$4:$C$8000,D$3,'Timesheet Raw'!$B$4:$B$8000,'Work Calendar'!$A$29))</f>
        <v>0</v>
      </c>
      <c r="G233" s="341">
        <f t="shared" si="13"/>
        <v>0</v>
      </c>
      <c r="H233" s="395">
        <f>IF($A233="","",SUMIFS('Timesheet Raw'!$K$4:$K$8000,'Timesheet Raw'!$L$4:$L$8000,$A233,'Timesheet Raw'!$C$4:$C$8000,D$3))</f>
        <v>0</v>
      </c>
      <c r="I233" s="345">
        <f>IF($A233="","",SUMIFS('Timesheet Raw'!$P$4:$P$8000,'Timesheet Raw'!$L$4:$L$8000,$A233,'Timesheet Raw'!$C$4:$C$8000,D$3))</f>
        <v>0</v>
      </c>
      <c r="J233" s="375"/>
      <c r="K233" t="str">
        <f>IF($A233="","",IF(J233&lt;&gt;"",J233,IF($A233&gt;'Work Calendar'!$B$17,"No data yet",IF(AND(F233&gt;='Work Calendar'!$B$14,D233+E233+G233&gt;0),"Day off - but worked",IF(F233&gt;='Work Calendar'!$B$14,"Day off",IF(D233+E233+G233&gt;0,IF($C233="Working","Charged","Worked weekend"),IF($C233="Working","Leave (not charged)",$C233)))))))</f>
        <v>No data yet</v>
      </c>
      <c r="L233" s="341">
        <f>IF($A233="","",SUMIFS('Timesheet Raw'!$P$4:$P$8000,'Timesheet Raw'!$L$4:$L$8000,$A233,'Timesheet Raw'!$C$4:$C$8000,L$3,'Timesheet Raw'!$A$4:$A$8000,"1-Projects"))</f>
        <v>0</v>
      </c>
      <c r="M233" s="341">
        <f>IF($A233="","",SUMIFS('Timesheet Raw'!$P$4:$P$8000,'Timesheet Raw'!$L$4:$L$8000,$A233,'Timesheet Raw'!$C$4:$C$8000,L$3,'Timesheet Raw'!$A$4:$A$8000,"2-Proposals Chargeable")+SUMIFS('Timesheet Raw'!$P$4:$P$8000,'Timesheet Raw'!$L$4:$L$8000,$A233,'Timesheet Raw'!$C$4:$C$8000,L$3,'Timesheet Raw'!$A$4:$A$8000,"3-Proposals Regular"))</f>
        <v>0</v>
      </c>
      <c r="N233" s="341">
        <f>IF($A233="","",SUMIFS('Timesheet Raw'!$P$4:$P$8000,'Timesheet Raw'!$L$4:$L$8000,$A233,'Timesheet Raw'!$C$4:$C$8000,L$3,'Timesheet Raw'!$B$4:$B$8000,'Work Calendar'!$A$26)+SUMIFS('Timesheet Raw'!$P$4:$P$8000,'Timesheet Raw'!$L$4:$L$8000,$A233,'Timesheet Raw'!$C$4:$C$8000,L$3,'Timesheet Raw'!$B$4:$B$8000,'Work Calendar'!$A$27)+SUMIFS('Timesheet Raw'!$P$4:$P$8000,'Timesheet Raw'!$L$4:$L$8000,$A233,'Timesheet Raw'!$C$4:$C$8000,L$3,'Timesheet Raw'!$B$4:$B$8000,'Work Calendar'!$A$28)+SUMIFS('Timesheet Raw'!$P$4:$P$8000,'Timesheet Raw'!$L$4:$L$8000,$A233,'Timesheet Raw'!$C$4:$C$8000,L$3,'Timesheet Raw'!$B$4:$B$8000,'Work Calendar'!$A$29))</f>
        <v>0</v>
      </c>
      <c r="O233" s="341">
        <f t="shared" si="14"/>
        <v>0</v>
      </c>
      <c r="P233" s="395">
        <f>IF($A233="","",SUMIFS('Timesheet Raw'!$K$4:$K$8000,'Timesheet Raw'!$L$4:$L$8000,$A233,'Timesheet Raw'!$C$4:$C$8000,L$3))</f>
        <v>0</v>
      </c>
      <c r="Q233" s="345">
        <f>IF($A233="","",SUMIFS('Timesheet Raw'!$P$4:$P$8000,'Timesheet Raw'!$L$4:$L$8000,$A233,'Timesheet Raw'!$C$4:$C$8000,L$3))</f>
        <v>0</v>
      </c>
      <c r="R233" s="375"/>
      <c r="S233" t="str">
        <f>IF($A233="","",IF(R233&lt;&gt;"",R233,IF($A233&gt;'Work Calendar'!$B$17,"No data yet",IF(AND(N233&gt;='Work Calendar'!$B$14,L233+M233+O233&gt;0),"Day off - but worked",IF(N233&gt;='Work Calendar'!$B$14,"Day off",IF(L233+M233+O233&gt;0,IF($C233="Working","Charged","Worked weekend"),IF($C233="Working","Leave (not charged)",$C233)))))))</f>
        <v>No data yet</v>
      </c>
      <c r="T233" s="341">
        <f>IF($A233="","",SUMIFS('Timesheet Raw'!$P$4:$P$8000,'Timesheet Raw'!$L$4:$L$8000,$A233,'Timesheet Raw'!$C$4:$C$8000,T$3,'Timesheet Raw'!$A$4:$A$8000,"1-Projects"))</f>
        <v>0</v>
      </c>
      <c r="U233" s="341">
        <f>IF($A233="","",SUMIFS('Timesheet Raw'!$P$4:$P$8000,'Timesheet Raw'!$L$4:$L$8000,$A233,'Timesheet Raw'!$C$4:$C$8000,T$3,'Timesheet Raw'!$A$4:$A$8000,"2-Proposals Chargeable")+SUMIFS('Timesheet Raw'!$P$4:$P$8000,'Timesheet Raw'!$L$4:$L$8000,$A233,'Timesheet Raw'!$C$4:$C$8000,T$3,'Timesheet Raw'!$A$4:$A$8000,"3-Proposals Regular"))</f>
        <v>0</v>
      </c>
      <c r="V233" s="341">
        <f>IF($A233="","",SUMIFS('Timesheet Raw'!$P$4:$P$8000,'Timesheet Raw'!$L$4:$L$8000,$A233,'Timesheet Raw'!$C$4:$C$8000,T$3,'Timesheet Raw'!$B$4:$B$8000,'Work Calendar'!$A$26)+SUMIFS('Timesheet Raw'!$P$4:$P$8000,'Timesheet Raw'!$L$4:$L$8000,$A233,'Timesheet Raw'!$C$4:$C$8000,T$3,'Timesheet Raw'!$B$4:$B$8000,'Work Calendar'!$A$27)+SUMIFS('Timesheet Raw'!$P$4:$P$8000,'Timesheet Raw'!$L$4:$L$8000,$A233,'Timesheet Raw'!$C$4:$C$8000,T$3,'Timesheet Raw'!$B$4:$B$8000,'Work Calendar'!$A$28)+SUMIFS('Timesheet Raw'!$P$4:$P$8000,'Timesheet Raw'!$L$4:$L$8000,$A233,'Timesheet Raw'!$C$4:$C$8000,T$3,'Timesheet Raw'!$B$4:$B$8000,'Work Calendar'!$A$29))</f>
        <v>0</v>
      </c>
      <c r="W233" s="341">
        <f t="shared" si="15"/>
        <v>0</v>
      </c>
      <c r="X233" s="395">
        <f>IF($A233="","",SUMIFS('Timesheet Raw'!$K$4:$K$8000,'Timesheet Raw'!$L$4:$L$8000,$A233,'Timesheet Raw'!$C$4:$C$8000,T$3))</f>
        <v>0</v>
      </c>
      <c r="Y233" s="345">
        <f>IF($A233="","",SUMIFS('Timesheet Raw'!$P$4:$P$8000,'Timesheet Raw'!$L$4:$L$8000,$A233,'Timesheet Raw'!$C$4:$C$8000,T$3))</f>
        <v>0</v>
      </c>
      <c r="Z233" s="375"/>
      <c r="AA233" t="str">
        <f>IF($A233="","",IF(Z233&lt;&gt;"",Z233,IF($A233&gt;'Work Calendar'!$B$17,"No data yet",IF(AND(V233&gt;='Work Calendar'!$B$14,T233+U233+W233&gt;0),"Day off - but worked",IF(V233&gt;='Work Calendar'!$B$14,"Day off",IF(T233+U233+W233&gt;0,IF($C233="Working","Charged","Worked weekend"),IF($C233="Working","Leave (not charged)",$C233)))))))</f>
        <v>No data yet</v>
      </c>
    </row>
    <row r="234" spans="1:27" x14ac:dyDescent="0.3">
      <c r="A234" s="371">
        <f>IF($A233="","",IF($A233+1&gt;'Work Calendar'!$B$16,"",$A233+1))</f>
        <v>46252</v>
      </c>
      <c r="B234" t="str">
        <f t="shared" si="12"/>
        <v>Tue</v>
      </c>
      <c r="C234" t="str" cm="1">
        <f t="array" ref="C234">IF($A234="","",IF(COUNTIF('Work Calendar'!$E$6:$E$200,$A234)&gt;0,"Holiday",IF(INDEX('Work Calendar'!$C$6:$C$12,WEEKDAY($A234,1))=1,"Working","Weekend")))</f>
        <v>Working</v>
      </c>
      <c r="D234" s="341">
        <f>IF($A234="","",SUMIFS('Timesheet Raw'!$P$4:$P$8000,'Timesheet Raw'!$L$4:$L$8000,$A234,'Timesheet Raw'!$C$4:$C$8000,D$3,'Timesheet Raw'!$A$4:$A$8000,"1-Projects"))</f>
        <v>0</v>
      </c>
      <c r="E234" s="341">
        <f>IF($A234="","",SUMIFS('Timesheet Raw'!$P$4:$P$8000,'Timesheet Raw'!$L$4:$L$8000,$A234,'Timesheet Raw'!$C$4:$C$8000,D$3,'Timesheet Raw'!$A$4:$A$8000,"2-Proposals Chargeable")+SUMIFS('Timesheet Raw'!$P$4:$P$8000,'Timesheet Raw'!$L$4:$L$8000,$A234,'Timesheet Raw'!$C$4:$C$8000,D$3,'Timesheet Raw'!$A$4:$A$8000,"3-Proposals Regular"))</f>
        <v>0</v>
      </c>
      <c r="F234" s="341">
        <f>IF($A234="","",SUMIFS('Timesheet Raw'!$P$4:$P$8000,'Timesheet Raw'!$L$4:$L$8000,$A234,'Timesheet Raw'!$C$4:$C$8000,D$3,'Timesheet Raw'!$B$4:$B$8000,'Work Calendar'!$A$26)+SUMIFS('Timesheet Raw'!$P$4:$P$8000,'Timesheet Raw'!$L$4:$L$8000,$A234,'Timesheet Raw'!$C$4:$C$8000,D$3,'Timesheet Raw'!$B$4:$B$8000,'Work Calendar'!$A$27)+SUMIFS('Timesheet Raw'!$P$4:$P$8000,'Timesheet Raw'!$L$4:$L$8000,$A234,'Timesheet Raw'!$C$4:$C$8000,D$3,'Timesheet Raw'!$B$4:$B$8000,'Work Calendar'!$A$28)+SUMIFS('Timesheet Raw'!$P$4:$P$8000,'Timesheet Raw'!$L$4:$L$8000,$A234,'Timesheet Raw'!$C$4:$C$8000,D$3,'Timesheet Raw'!$B$4:$B$8000,'Work Calendar'!$A$29))</f>
        <v>0</v>
      </c>
      <c r="G234" s="341">
        <f t="shared" si="13"/>
        <v>0</v>
      </c>
      <c r="H234" s="395">
        <f>IF($A234="","",SUMIFS('Timesheet Raw'!$K$4:$K$8000,'Timesheet Raw'!$L$4:$L$8000,$A234,'Timesheet Raw'!$C$4:$C$8000,D$3))</f>
        <v>0</v>
      </c>
      <c r="I234" s="345">
        <f>IF($A234="","",SUMIFS('Timesheet Raw'!$P$4:$P$8000,'Timesheet Raw'!$L$4:$L$8000,$A234,'Timesheet Raw'!$C$4:$C$8000,D$3))</f>
        <v>0</v>
      </c>
      <c r="J234" s="375"/>
      <c r="K234" t="str">
        <f>IF($A234="","",IF(J234&lt;&gt;"",J234,IF($A234&gt;'Work Calendar'!$B$17,"No data yet",IF(AND(F234&gt;='Work Calendar'!$B$14,D234+E234+G234&gt;0),"Day off - but worked",IF(F234&gt;='Work Calendar'!$B$14,"Day off",IF(D234+E234+G234&gt;0,IF($C234="Working","Charged","Worked weekend"),IF($C234="Working","Leave (not charged)",$C234)))))))</f>
        <v>No data yet</v>
      </c>
      <c r="L234" s="341">
        <f>IF($A234="","",SUMIFS('Timesheet Raw'!$P$4:$P$8000,'Timesheet Raw'!$L$4:$L$8000,$A234,'Timesheet Raw'!$C$4:$C$8000,L$3,'Timesheet Raw'!$A$4:$A$8000,"1-Projects"))</f>
        <v>0</v>
      </c>
      <c r="M234" s="341">
        <f>IF($A234="","",SUMIFS('Timesheet Raw'!$P$4:$P$8000,'Timesheet Raw'!$L$4:$L$8000,$A234,'Timesheet Raw'!$C$4:$C$8000,L$3,'Timesheet Raw'!$A$4:$A$8000,"2-Proposals Chargeable")+SUMIFS('Timesheet Raw'!$P$4:$P$8000,'Timesheet Raw'!$L$4:$L$8000,$A234,'Timesheet Raw'!$C$4:$C$8000,L$3,'Timesheet Raw'!$A$4:$A$8000,"3-Proposals Regular"))</f>
        <v>0</v>
      </c>
      <c r="N234" s="341">
        <f>IF($A234="","",SUMIFS('Timesheet Raw'!$P$4:$P$8000,'Timesheet Raw'!$L$4:$L$8000,$A234,'Timesheet Raw'!$C$4:$C$8000,L$3,'Timesheet Raw'!$B$4:$B$8000,'Work Calendar'!$A$26)+SUMIFS('Timesheet Raw'!$P$4:$P$8000,'Timesheet Raw'!$L$4:$L$8000,$A234,'Timesheet Raw'!$C$4:$C$8000,L$3,'Timesheet Raw'!$B$4:$B$8000,'Work Calendar'!$A$27)+SUMIFS('Timesheet Raw'!$P$4:$P$8000,'Timesheet Raw'!$L$4:$L$8000,$A234,'Timesheet Raw'!$C$4:$C$8000,L$3,'Timesheet Raw'!$B$4:$B$8000,'Work Calendar'!$A$28)+SUMIFS('Timesheet Raw'!$P$4:$P$8000,'Timesheet Raw'!$L$4:$L$8000,$A234,'Timesheet Raw'!$C$4:$C$8000,L$3,'Timesheet Raw'!$B$4:$B$8000,'Work Calendar'!$A$29))</f>
        <v>0</v>
      </c>
      <c r="O234" s="341">
        <f t="shared" si="14"/>
        <v>0</v>
      </c>
      <c r="P234" s="395">
        <f>IF($A234="","",SUMIFS('Timesheet Raw'!$K$4:$K$8000,'Timesheet Raw'!$L$4:$L$8000,$A234,'Timesheet Raw'!$C$4:$C$8000,L$3))</f>
        <v>0</v>
      </c>
      <c r="Q234" s="345">
        <f>IF($A234="","",SUMIFS('Timesheet Raw'!$P$4:$P$8000,'Timesheet Raw'!$L$4:$L$8000,$A234,'Timesheet Raw'!$C$4:$C$8000,L$3))</f>
        <v>0</v>
      </c>
      <c r="R234" s="375"/>
      <c r="S234" t="str">
        <f>IF($A234="","",IF(R234&lt;&gt;"",R234,IF($A234&gt;'Work Calendar'!$B$17,"No data yet",IF(AND(N234&gt;='Work Calendar'!$B$14,L234+M234+O234&gt;0),"Day off - but worked",IF(N234&gt;='Work Calendar'!$B$14,"Day off",IF(L234+M234+O234&gt;0,IF($C234="Working","Charged","Worked weekend"),IF($C234="Working","Leave (not charged)",$C234)))))))</f>
        <v>No data yet</v>
      </c>
      <c r="T234" s="341">
        <f>IF($A234="","",SUMIFS('Timesheet Raw'!$P$4:$P$8000,'Timesheet Raw'!$L$4:$L$8000,$A234,'Timesheet Raw'!$C$4:$C$8000,T$3,'Timesheet Raw'!$A$4:$A$8000,"1-Projects"))</f>
        <v>0</v>
      </c>
      <c r="U234" s="341">
        <f>IF($A234="","",SUMIFS('Timesheet Raw'!$P$4:$P$8000,'Timesheet Raw'!$L$4:$L$8000,$A234,'Timesheet Raw'!$C$4:$C$8000,T$3,'Timesheet Raw'!$A$4:$A$8000,"2-Proposals Chargeable")+SUMIFS('Timesheet Raw'!$P$4:$P$8000,'Timesheet Raw'!$L$4:$L$8000,$A234,'Timesheet Raw'!$C$4:$C$8000,T$3,'Timesheet Raw'!$A$4:$A$8000,"3-Proposals Regular"))</f>
        <v>0</v>
      </c>
      <c r="V234" s="341">
        <f>IF($A234="","",SUMIFS('Timesheet Raw'!$P$4:$P$8000,'Timesheet Raw'!$L$4:$L$8000,$A234,'Timesheet Raw'!$C$4:$C$8000,T$3,'Timesheet Raw'!$B$4:$B$8000,'Work Calendar'!$A$26)+SUMIFS('Timesheet Raw'!$P$4:$P$8000,'Timesheet Raw'!$L$4:$L$8000,$A234,'Timesheet Raw'!$C$4:$C$8000,T$3,'Timesheet Raw'!$B$4:$B$8000,'Work Calendar'!$A$27)+SUMIFS('Timesheet Raw'!$P$4:$P$8000,'Timesheet Raw'!$L$4:$L$8000,$A234,'Timesheet Raw'!$C$4:$C$8000,T$3,'Timesheet Raw'!$B$4:$B$8000,'Work Calendar'!$A$28)+SUMIFS('Timesheet Raw'!$P$4:$P$8000,'Timesheet Raw'!$L$4:$L$8000,$A234,'Timesheet Raw'!$C$4:$C$8000,T$3,'Timesheet Raw'!$B$4:$B$8000,'Work Calendar'!$A$29))</f>
        <v>0</v>
      </c>
      <c r="W234" s="341">
        <f t="shared" si="15"/>
        <v>0</v>
      </c>
      <c r="X234" s="395">
        <f>IF($A234="","",SUMIFS('Timesheet Raw'!$K$4:$K$8000,'Timesheet Raw'!$L$4:$L$8000,$A234,'Timesheet Raw'!$C$4:$C$8000,T$3))</f>
        <v>0</v>
      </c>
      <c r="Y234" s="345">
        <f>IF($A234="","",SUMIFS('Timesheet Raw'!$P$4:$P$8000,'Timesheet Raw'!$L$4:$L$8000,$A234,'Timesheet Raw'!$C$4:$C$8000,T$3))</f>
        <v>0</v>
      </c>
      <c r="Z234" s="375"/>
      <c r="AA234" t="str">
        <f>IF($A234="","",IF(Z234&lt;&gt;"",Z234,IF($A234&gt;'Work Calendar'!$B$17,"No data yet",IF(AND(V234&gt;='Work Calendar'!$B$14,T234+U234+W234&gt;0),"Day off - but worked",IF(V234&gt;='Work Calendar'!$B$14,"Day off",IF(T234+U234+W234&gt;0,IF($C234="Working","Charged","Worked weekend"),IF($C234="Working","Leave (not charged)",$C234)))))))</f>
        <v>No data yet</v>
      </c>
    </row>
    <row r="235" spans="1:27" x14ac:dyDescent="0.3">
      <c r="A235" s="371">
        <f>IF($A234="","",IF($A234+1&gt;'Work Calendar'!$B$16,"",$A234+1))</f>
        <v>46253</v>
      </c>
      <c r="B235" t="str">
        <f t="shared" si="12"/>
        <v>Wed</v>
      </c>
      <c r="C235" t="str" cm="1">
        <f t="array" ref="C235">IF($A235="","",IF(COUNTIF('Work Calendar'!$E$6:$E$200,$A235)&gt;0,"Holiday",IF(INDEX('Work Calendar'!$C$6:$C$12,WEEKDAY($A235,1))=1,"Working","Weekend")))</f>
        <v>Working</v>
      </c>
      <c r="D235" s="341">
        <f>IF($A235="","",SUMIFS('Timesheet Raw'!$P$4:$P$8000,'Timesheet Raw'!$L$4:$L$8000,$A235,'Timesheet Raw'!$C$4:$C$8000,D$3,'Timesheet Raw'!$A$4:$A$8000,"1-Projects"))</f>
        <v>0</v>
      </c>
      <c r="E235" s="341">
        <f>IF($A235="","",SUMIFS('Timesheet Raw'!$P$4:$P$8000,'Timesheet Raw'!$L$4:$L$8000,$A235,'Timesheet Raw'!$C$4:$C$8000,D$3,'Timesheet Raw'!$A$4:$A$8000,"2-Proposals Chargeable")+SUMIFS('Timesheet Raw'!$P$4:$P$8000,'Timesheet Raw'!$L$4:$L$8000,$A235,'Timesheet Raw'!$C$4:$C$8000,D$3,'Timesheet Raw'!$A$4:$A$8000,"3-Proposals Regular"))</f>
        <v>0</v>
      </c>
      <c r="F235" s="341">
        <f>IF($A235="","",SUMIFS('Timesheet Raw'!$P$4:$P$8000,'Timesheet Raw'!$L$4:$L$8000,$A235,'Timesheet Raw'!$C$4:$C$8000,D$3,'Timesheet Raw'!$B$4:$B$8000,'Work Calendar'!$A$26)+SUMIFS('Timesheet Raw'!$P$4:$P$8000,'Timesheet Raw'!$L$4:$L$8000,$A235,'Timesheet Raw'!$C$4:$C$8000,D$3,'Timesheet Raw'!$B$4:$B$8000,'Work Calendar'!$A$27)+SUMIFS('Timesheet Raw'!$P$4:$P$8000,'Timesheet Raw'!$L$4:$L$8000,$A235,'Timesheet Raw'!$C$4:$C$8000,D$3,'Timesheet Raw'!$B$4:$B$8000,'Work Calendar'!$A$28)+SUMIFS('Timesheet Raw'!$P$4:$P$8000,'Timesheet Raw'!$L$4:$L$8000,$A235,'Timesheet Raw'!$C$4:$C$8000,D$3,'Timesheet Raw'!$B$4:$B$8000,'Work Calendar'!$A$29))</f>
        <v>0</v>
      </c>
      <c r="G235" s="341">
        <f t="shared" si="13"/>
        <v>0</v>
      </c>
      <c r="H235" s="395">
        <f>IF($A235="","",SUMIFS('Timesheet Raw'!$K$4:$K$8000,'Timesheet Raw'!$L$4:$L$8000,$A235,'Timesheet Raw'!$C$4:$C$8000,D$3))</f>
        <v>0</v>
      </c>
      <c r="I235" s="345">
        <f>IF($A235="","",SUMIFS('Timesheet Raw'!$P$4:$P$8000,'Timesheet Raw'!$L$4:$L$8000,$A235,'Timesheet Raw'!$C$4:$C$8000,D$3))</f>
        <v>0</v>
      </c>
      <c r="J235" s="375"/>
      <c r="K235" t="str">
        <f>IF($A235="","",IF(J235&lt;&gt;"",J235,IF($A235&gt;'Work Calendar'!$B$17,"No data yet",IF(AND(F235&gt;='Work Calendar'!$B$14,D235+E235+G235&gt;0),"Day off - but worked",IF(F235&gt;='Work Calendar'!$B$14,"Day off",IF(D235+E235+G235&gt;0,IF($C235="Working","Charged","Worked weekend"),IF($C235="Working","Leave (not charged)",$C235)))))))</f>
        <v>No data yet</v>
      </c>
      <c r="L235" s="341">
        <f>IF($A235="","",SUMIFS('Timesheet Raw'!$P$4:$P$8000,'Timesheet Raw'!$L$4:$L$8000,$A235,'Timesheet Raw'!$C$4:$C$8000,L$3,'Timesheet Raw'!$A$4:$A$8000,"1-Projects"))</f>
        <v>0</v>
      </c>
      <c r="M235" s="341">
        <f>IF($A235="","",SUMIFS('Timesheet Raw'!$P$4:$P$8000,'Timesheet Raw'!$L$4:$L$8000,$A235,'Timesheet Raw'!$C$4:$C$8000,L$3,'Timesheet Raw'!$A$4:$A$8000,"2-Proposals Chargeable")+SUMIFS('Timesheet Raw'!$P$4:$P$8000,'Timesheet Raw'!$L$4:$L$8000,$A235,'Timesheet Raw'!$C$4:$C$8000,L$3,'Timesheet Raw'!$A$4:$A$8000,"3-Proposals Regular"))</f>
        <v>0</v>
      </c>
      <c r="N235" s="341">
        <f>IF($A235="","",SUMIFS('Timesheet Raw'!$P$4:$P$8000,'Timesheet Raw'!$L$4:$L$8000,$A235,'Timesheet Raw'!$C$4:$C$8000,L$3,'Timesheet Raw'!$B$4:$B$8000,'Work Calendar'!$A$26)+SUMIFS('Timesheet Raw'!$P$4:$P$8000,'Timesheet Raw'!$L$4:$L$8000,$A235,'Timesheet Raw'!$C$4:$C$8000,L$3,'Timesheet Raw'!$B$4:$B$8000,'Work Calendar'!$A$27)+SUMIFS('Timesheet Raw'!$P$4:$P$8000,'Timesheet Raw'!$L$4:$L$8000,$A235,'Timesheet Raw'!$C$4:$C$8000,L$3,'Timesheet Raw'!$B$4:$B$8000,'Work Calendar'!$A$28)+SUMIFS('Timesheet Raw'!$P$4:$P$8000,'Timesheet Raw'!$L$4:$L$8000,$A235,'Timesheet Raw'!$C$4:$C$8000,L$3,'Timesheet Raw'!$B$4:$B$8000,'Work Calendar'!$A$29))</f>
        <v>0</v>
      </c>
      <c r="O235" s="341">
        <f t="shared" si="14"/>
        <v>0</v>
      </c>
      <c r="P235" s="395">
        <f>IF($A235="","",SUMIFS('Timesheet Raw'!$K$4:$K$8000,'Timesheet Raw'!$L$4:$L$8000,$A235,'Timesheet Raw'!$C$4:$C$8000,L$3))</f>
        <v>0</v>
      </c>
      <c r="Q235" s="345">
        <f>IF($A235="","",SUMIFS('Timesheet Raw'!$P$4:$P$8000,'Timesheet Raw'!$L$4:$L$8000,$A235,'Timesheet Raw'!$C$4:$C$8000,L$3))</f>
        <v>0</v>
      </c>
      <c r="R235" s="375"/>
      <c r="S235" t="str">
        <f>IF($A235="","",IF(R235&lt;&gt;"",R235,IF($A235&gt;'Work Calendar'!$B$17,"No data yet",IF(AND(N235&gt;='Work Calendar'!$B$14,L235+M235+O235&gt;0),"Day off - but worked",IF(N235&gt;='Work Calendar'!$B$14,"Day off",IF(L235+M235+O235&gt;0,IF($C235="Working","Charged","Worked weekend"),IF($C235="Working","Leave (not charged)",$C235)))))))</f>
        <v>No data yet</v>
      </c>
      <c r="T235" s="341">
        <f>IF($A235="","",SUMIFS('Timesheet Raw'!$P$4:$P$8000,'Timesheet Raw'!$L$4:$L$8000,$A235,'Timesheet Raw'!$C$4:$C$8000,T$3,'Timesheet Raw'!$A$4:$A$8000,"1-Projects"))</f>
        <v>0</v>
      </c>
      <c r="U235" s="341">
        <f>IF($A235="","",SUMIFS('Timesheet Raw'!$P$4:$P$8000,'Timesheet Raw'!$L$4:$L$8000,$A235,'Timesheet Raw'!$C$4:$C$8000,T$3,'Timesheet Raw'!$A$4:$A$8000,"2-Proposals Chargeable")+SUMIFS('Timesheet Raw'!$P$4:$P$8000,'Timesheet Raw'!$L$4:$L$8000,$A235,'Timesheet Raw'!$C$4:$C$8000,T$3,'Timesheet Raw'!$A$4:$A$8000,"3-Proposals Regular"))</f>
        <v>0</v>
      </c>
      <c r="V235" s="341">
        <f>IF($A235="","",SUMIFS('Timesheet Raw'!$P$4:$P$8000,'Timesheet Raw'!$L$4:$L$8000,$A235,'Timesheet Raw'!$C$4:$C$8000,T$3,'Timesheet Raw'!$B$4:$B$8000,'Work Calendar'!$A$26)+SUMIFS('Timesheet Raw'!$P$4:$P$8000,'Timesheet Raw'!$L$4:$L$8000,$A235,'Timesheet Raw'!$C$4:$C$8000,T$3,'Timesheet Raw'!$B$4:$B$8000,'Work Calendar'!$A$27)+SUMIFS('Timesheet Raw'!$P$4:$P$8000,'Timesheet Raw'!$L$4:$L$8000,$A235,'Timesheet Raw'!$C$4:$C$8000,T$3,'Timesheet Raw'!$B$4:$B$8000,'Work Calendar'!$A$28)+SUMIFS('Timesheet Raw'!$P$4:$P$8000,'Timesheet Raw'!$L$4:$L$8000,$A235,'Timesheet Raw'!$C$4:$C$8000,T$3,'Timesheet Raw'!$B$4:$B$8000,'Work Calendar'!$A$29))</f>
        <v>0</v>
      </c>
      <c r="W235" s="341">
        <f t="shared" si="15"/>
        <v>0</v>
      </c>
      <c r="X235" s="395">
        <f>IF($A235="","",SUMIFS('Timesheet Raw'!$K$4:$K$8000,'Timesheet Raw'!$L$4:$L$8000,$A235,'Timesheet Raw'!$C$4:$C$8000,T$3))</f>
        <v>0</v>
      </c>
      <c r="Y235" s="345">
        <f>IF($A235="","",SUMIFS('Timesheet Raw'!$P$4:$P$8000,'Timesheet Raw'!$L$4:$L$8000,$A235,'Timesheet Raw'!$C$4:$C$8000,T$3))</f>
        <v>0</v>
      </c>
      <c r="Z235" s="375"/>
      <c r="AA235" t="str">
        <f>IF($A235="","",IF(Z235&lt;&gt;"",Z235,IF($A235&gt;'Work Calendar'!$B$17,"No data yet",IF(AND(V235&gt;='Work Calendar'!$B$14,T235+U235+W235&gt;0),"Day off - but worked",IF(V235&gt;='Work Calendar'!$B$14,"Day off",IF(T235+U235+W235&gt;0,IF($C235="Working","Charged","Worked weekend"),IF($C235="Working","Leave (not charged)",$C235)))))))</f>
        <v>No data yet</v>
      </c>
    </row>
    <row r="236" spans="1:27" x14ac:dyDescent="0.3">
      <c r="A236" s="371">
        <f>IF($A235="","",IF($A235+1&gt;'Work Calendar'!$B$16,"",$A235+1))</f>
        <v>46254</v>
      </c>
      <c r="B236" t="str">
        <f t="shared" si="12"/>
        <v>Thu</v>
      </c>
      <c r="C236" t="str" cm="1">
        <f t="array" ref="C236">IF($A236="","",IF(COUNTIF('Work Calendar'!$E$6:$E$200,$A236)&gt;0,"Holiday",IF(INDEX('Work Calendar'!$C$6:$C$12,WEEKDAY($A236,1))=1,"Working","Weekend")))</f>
        <v>Working</v>
      </c>
      <c r="D236" s="341">
        <f>IF($A236="","",SUMIFS('Timesheet Raw'!$P$4:$P$8000,'Timesheet Raw'!$L$4:$L$8000,$A236,'Timesheet Raw'!$C$4:$C$8000,D$3,'Timesheet Raw'!$A$4:$A$8000,"1-Projects"))</f>
        <v>0</v>
      </c>
      <c r="E236" s="341">
        <f>IF($A236="","",SUMIFS('Timesheet Raw'!$P$4:$P$8000,'Timesheet Raw'!$L$4:$L$8000,$A236,'Timesheet Raw'!$C$4:$C$8000,D$3,'Timesheet Raw'!$A$4:$A$8000,"2-Proposals Chargeable")+SUMIFS('Timesheet Raw'!$P$4:$P$8000,'Timesheet Raw'!$L$4:$L$8000,$A236,'Timesheet Raw'!$C$4:$C$8000,D$3,'Timesheet Raw'!$A$4:$A$8000,"3-Proposals Regular"))</f>
        <v>0</v>
      </c>
      <c r="F236" s="341">
        <f>IF($A236="","",SUMIFS('Timesheet Raw'!$P$4:$P$8000,'Timesheet Raw'!$L$4:$L$8000,$A236,'Timesheet Raw'!$C$4:$C$8000,D$3,'Timesheet Raw'!$B$4:$B$8000,'Work Calendar'!$A$26)+SUMIFS('Timesheet Raw'!$P$4:$P$8000,'Timesheet Raw'!$L$4:$L$8000,$A236,'Timesheet Raw'!$C$4:$C$8000,D$3,'Timesheet Raw'!$B$4:$B$8000,'Work Calendar'!$A$27)+SUMIFS('Timesheet Raw'!$P$4:$P$8000,'Timesheet Raw'!$L$4:$L$8000,$A236,'Timesheet Raw'!$C$4:$C$8000,D$3,'Timesheet Raw'!$B$4:$B$8000,'Work Calendar'!$A$28)+SUMIFS('Timesheet Raw'!$P$4:$P$8000,'Timesheet Raw'!$L$4:$L$8000,$A236,'Timesheet Raw'!$C$4:$C$8000,D$3,'Timesheet Raw'!$B$4:$B$8000,'Work Calendar'!$A$29))</f>
        <v>0</v>
      </c>
      <c r="G236" s="341">
        <f t="shared" si="13"/>
        <v>0</v>
      </c>
      <c r="H236" s="395">
        <f>IF($A236="","",SUMIFS('Timesheet Raw'!$K$4:$K$8000,'Timesheet Raw'!$L$4:$L$8000,$A236,'Timesheet Raw'!$C$4:$C$8000,D$3))</f>
        <v>0</v>
      </c>
      <c r="I236" s="345">
        <f>IF($A236="","",SUMIFS('Timesheet Raw'!$P$4:$P$8000,'Timesheet Raw'!$L$4:$L$8000,$A236,'Timesheet Raw'!$C$4:$C$8000,D$3))</f>
        <v>0</v>
      </c>
      <c r="J236" s="375"/>
      <c r="K236" t="str">
        <f>IF($A236="","",IF(J236&lt;&gt;"",J236,IF($A236&gt;'Work Calendar'!$B$17,"No data yet",IF(AND(F236&gt;='Work Calendar'!$B$14,D236+E236+G236&gt;0),"Day off - but worked",IF(F236&gt;='Work Calendar'!$B$14,"Day off",IF(D236+E236+G236&gt;0,IF($C236="Working","Charged","Worked weekend"),IF($C236="Working","Leave (not charged)",$C236)))))))</f>
        <v>No data yet</v>
      </c>
      <c r="L236" s="341">
        <f>IF($A236="","",SUMIFS('Timesheet Raw'!$P$4:$P$8000,'Timesheet Raw'!$L$4:$L$8000,$A236,'Timesheet Raw'!$C$4:$C$8000,L$3,'Timesheet Raw'!$A$4:$A$8000,"1-Projects"))</f>
        <v>0</v>
      </c>
      <c r="M236" s="341">
        <f>IF($A236="","",SUMIFS('Timesheet Raw'!$P$4:$P$8000,'Timesheet Raw'!$L$4:$L$8000,$A236,'Timesheet Raw'!$C$4:$C$8000,L$3,'Timesheet Raw'!$A$4:$A$8000,"2-Proposals Chargeable")+SUMIFS('Timesheet Raw'!$P$4:$P$8000,'Timesheet Raw'!$L$4:$L$8000,$A236,'Timesheet Raw'!$C$4:$C$8000,L$3,'Timesheet Raw'!$A$4:$A$8000,"3-Proposals Regular"))</f>
        <v>0</v>
      </c>
      <c r="N236" s="341">
        <f>IF($A236="","",SUMIFS('Timesheet Raw'!$P$4:$P$8000,'Timesheet Raw'!$L$4:$L$8000,$A236,'Timesheet Raw'!$C$4:$C$8000,L$3,'Timesheet Raw'!$B$4:$B$8000,'Work Calendar'!$A$26)+SUMIFS('Timesheet Raw'!$P$4:$P$8000,'Timesheet Raw'!$L$4:$L$8000,$A236,'Timesheet Raw'!$C$4:$C$8000,L$3,'Timesheet Raw'!$B$4:$B$8000,'Work Calendar'!$A$27)+SUMIFS('Timesheet Raw'!$P$4:$P$8000,'Timesheet Raw'!$L$4:$L$8000,$A236,'Timesheet Raw'!$C$4:$C$8000,L$3,'Timesheet Raw'!$B$4:$B$8000,'Work Calendar'!$A$28)+SUMIFS('Timesheet Raw'!$P$4:$P$8000,'Timesheet Raw'!$L$4:$L$8000,$A236,'Timesheet Raw'!$C$4:$C$8000,L$3,'Timesheet Raw'!$B$4:$B$8000,'Work Calendar'!$A$29))</f>
        <v>0</v>
      </c>
      <c r="O236" s="341">
        <f t="shared" si="14"/>
        <v>0</v>
      </c>
      <c r="P236" s="395">
        <f>IF($A236="","",SUMIFS('Timesheet Raw'!$K$4:$K$8000,'Timesheet Raw'!$L$4:$L$8000,$A236,'Timesheet Raw'!$C$4:$C$8000,L$3))</f>
        <v>0</v>
      </c>
      <c r="Q236" s="345">
        <f>IF($A236="","",SUMIFS('Timesheet Raw'!$P$4:$P$8000,'Timesheet Raw'!$L$4:$L$8000,$A236,'Timesheet Raw'!$C$4:$C$8000,L$3))</f>
        <v>0</v>
      </c>
      <c r="R236" s="375"/>
      <c r="S236" t="str">
        <f>IF($A236="","",IF(R236&lt;&gt;"",R236,IF($A236&gt;'Work Calendar'!$B$17,"No data yet",IF(AND(N236&gt;='Work Calendar'!$B$14,L236+M236+O236&gt;0),"Day off - but worked",IF(N236&gt;='Work Calendar'!$B$14,"Day off",IF(L236+M236+O236&gt;0,IF($C236="Working","Charged","Worked weekend"),IF($C236="Working","Leave (not charged)",$C236)))))))</f>
        <v>No data yet</v>
      </c>
      <c r="T236" s="341">
        <f>IF($A236="","",SUMIFS('Timesheet Raw'!$P$4:$P$8000,'Timesheet Raw'!$L$4:$L$8000,$A236,'Timesheet Raw'!$C$4:$C$8000,T$3,'Timesheet Raw'!$A$4:$A$8000,"1-Projects"))</f>
        <v>0</v>
      </c>
      <c r="U236" s="341">
        <f>IF($A236="","",SUMIFS('Timesheet Raw'!$P$4:$P$8000,'Timesheet Raw'!$L$4:$L$8000,$A236,'Timesheet Raw'!$C$4:$C$8000,T$3,'Timesheet Raw'!$A$4:$A$8000,"2-Proposals Chargeable")+SUMIFS('Timesheet Raw'!$P$4:$P$8000,'Timesheet Raw'!$L$4:$L$8000,$A236,'Timesheet Raw'!$C$4:$C$8000,T$3,'Timesheet Raw'!$A$4:$A$8000,"3-Proposals Regular"))</f>
        <v>0</v>
      </c>
      <c r="V236" s="341">
        <f>IF($A236="","",SUMIFS('Timesheet Raw'!$P$4:$P$8000,'Timesheet Raw'!$L$4:$L$8000,$A236,'Timesheet Raw'!$C$4:$C$8000,T$3,'Timesheet Raw'!$B$4:$B$8000,'Work Calendar'!$A$26)+SUMIFS('Timesheet Raw'!$P$4:$P$8000,'Timesheet Raw'!$L$4:$L$8000,$A236,'Timesheet Raw'!$C$4:$C$8000,T$3,'Timesheet Raw'!$B$4:$B$8000,'Work Calendar'!$A$27)+SUMIFS('Timesheet Raw'!$P$4:$P$8000,'Timesheet Raw'!$L$4:$L$8000,$A236,'Timesheet Raw'!$C$4:$C$8000,T$3,'Timesheet Raw'!$B$4:$B$8000,'Work Calendar'!$A$28)+SUMIFS('Timesheet Raw'!$P$4:$P$8000,'Timesheet Raw'!$L$4:$L$8000,$A236,'Timesheet Raw'!$C$4:$C$8000,T$3,'Timesheet Raw'!$B$4:$B$8000,'Work Calendar'!$A$29))</f>
        <v>0</v>
      </c>
      <c r="W236" s="341">
        <f t="shared" si="15"/>
        <v>0</v>
      </c>
      <c r="X236" s="395">
        <f>IF($A236="","",SUMIFS('Timesheet Raw'!$K$4:$K$8000,'Timesheet Raw'!$L$4:$L$8000,$A236,'Timesheet Raw'!$C$4:$C$8000,T$3))</f>
        <v>0</v>
      </c>
      <c r="Y236" s="345">
        <f>IF($A236="","",SUMIFS('Timesheet Raw'!$P$4:$P$8000,'Timesheet Raw'!$L$4:$L$8000,$A236,'Timesheet Raw'!$C$4:$C$8000,T$3))</f>
        <v>0</v>
      </c>
      <c r="Z236" s="375"/>
      <c r="AA236" t="str">
        <f>IF($A236="","",IF(Z236&lt;&gt;"",Z236,IF($A236&gt;'Work Calendar'!$B$17,"No data yet",IF(AND(V236&gt;='Work Calendar'!$B$14,T236+U236+W236&gt;0),"Day off - but worked",IF(V236&gt;='Work Calendar'!$B$14,"Day off",IF(T236+U236+W236&gt;0,IF($C236="Working","Charged","Worked weekend"),IF($C236="Working","Leave (not charged)",$C236)))))))</f>
        <v>No data yet</v>
      </c>
    </row>
    <row r="237" spans="1:27" x14ac:dyDescent="0.3">
      <c r="A237" s="371">
        <f>IF($A236="","",IF($A236+1&gt;'Work Calendar'!$B$16,"",$A236+1))</f>
        <v>46255</v>
      </c>
      <c r="B237" t="str">
        <f t="shared" si="12"/>
        <v>Fri</v>
      </c>
      <c r="C237" t="str" cm="1">
        <f t="array" ref="C237">IF($A237="","",IF(COUNTIF('Work Calendar'!$E$6:$E$200,$A237)&gt;0,"Holiday",IF(INDEX('Work Calendar'!$C$6:$C$12,WEEKDAY($A237,1))=1,"Working","Weekend")))</f>
        <v>Weekend</v>
      </c>
      <c r="D237" s="341">
        <f>IF($A237="","",SUMIFS('Timesheet Raw'!$P$4:$P$8000,'Timesheet Raw'!$L$4:$L$8000,$A237,'Timesheet Raw'!$C$4:$C$8000,D$3,'Timesheet Raw'!$A$4:$A$8000,"1-Projects"))</f>
        <v>0</v>
      </c>
      <c r="E237" s="341">
        <f>IF($A237="","",SUMIFS('Timesheet Raw'!$P$4:$P$8000,'Timesheet Raw'!$L$4:$L$8000,$A237,'Timesheet Raw'!$C$4:$C$8000,D$3,'Timesheet Raw'!$A$4:$A$8000,"2-Proposals Chargeable")+SUMIFS('Timesheet Raw'!$P$4:$P$8000,'Timesheet Raw'!$L$4:$L$8000,$A237,'Timesheet Raw'!$C$4:$C$8000,D$3,'Timesheet Raw'!$A$4:$A$8000,"3-Proposals Regular"))</f>
        <v>0</v>
      </c>
      <c r="F237" s="341">
        <f>IF($A237="","",SUMIFS('Timesheet Raw'!$P$4:$P$8000,'Timesheet Raw'!$L$4:$L$8000,$A237,'Timesheet Raw'!$C$4:$C$8000,D$3,'Timesheet Raw'!$B$4:$B$8000,'Work Calendar'!$A$26)+SUMIFS('Timesheet Raw'!$P$4:$P$8000,'Timesheet Raw'!$L$4:$L$8000,$A237,'Timesheet Raw'!$C$4:$C$8000,D$3,'Timesheet Raw'!$B$4:$B$8000,'Work Calendar'!$A$27)+SUMIFS('Timesheet Raw'!$P$4:$P$8000,'Timesheet Raw'!$L$4:$L$8000,$A237,'Timesheet Raw'!$C$4:$C$8000,D$3,'Timesheet Raw'!$B$4:$B$8000,'Work Calendar'!$A$28)+SUMIFS('Timesheet Raw'!$P$4:$P$8000,'Timesheet Raw'!$L$4:$L$8000,$A237,'Timesheet Raw'!$C$4:$C$8000,D$3,'Timesheet Raw'!$B$4:$B$8000,'Work Calendar'!$A$29))</f>
        <v>0</v>
      </c>
      <c r="G237" s="341">
        <f t="shared" si="13"/>
        <v>0</v>
      </c>
      <c r="H237" s="395">
        <f>IF($A237="","",SUMIFS('Timesheet Raw'!$K$4:$K$8000,'Timesheet Raw'!$L$4:$L$8000,$A237,'Timesheet Raw'!$C$4:$C$8000,D$3))</f>
        <v>0</v>
      </c>
      <c r="I237" s="345">
        <f>IF($A237="","",SUMIFS('Timesheet Raw'!$P$4:$P$8000,'Timesheet Raw'!$L$4:$L$8000,$A237,'Timesheet Raw'!$C$4:$C$8000,D$3))</f>
        <v>0</v>
      </c>
      <c r="J237" s="375"/>
      <c r="K237" t="str">
        <f>IF($A237="","",IF(J237&lt;&gt;"",J237,IF($A237&gt;'Work Calendar'!$B$17,"No data yet",IF(AND(F237&gt;='Work Calendar'!$B$14,D237+E237+G237&gt;0),"Day off - but worked",IF(F237&gt;='Work Calendar'!$B$14,"Day off",IF(D237+E237+G237&gt;0,IF($C237="Working","Charged","Worked weekend"),IF($C237="Working","Leave (not charged)",$C237)))))))</f>
        <v>No data yet</v>
      </c>
      <c r="L237" s="341">
        <f>IF($A237="","",SUMIFS('Timesheet Raw'!$P$4:$P$8000,'Timesheet Raw'!$L$4:$L$8000,$A237,'Timesheet Raw'!$C$4:$C$8000,L$3,'Timesheet Raw'!$A$4:$A$8000,"1-Projects"))</f>
        <v>0</v>
      </c>
      <c r="M237" s="341">
        <f>IF($A237="","",SUMIFS('Timesheet Raw'!$P$4:$P$8000,'Timesheet Raw'!$L$4:$L$8000,$A237,'Timesheet Raw'!$C$4:$C$8000,L$3,'Timesheet Raw'!$A$4:$A$8000,"2-Proposals Chargeable")+SUMIFS('Timesheet Raw'!$P$4:$P$8000,'Timesheet Raw'!$L$4:$L$8000,$A237,'Timesheet Raw'!$C$4:$C$8000,L$3,'Timesheet Raw'!$A$4:$A$8000,"3-Proposals Regular"))</f>
        <v>0</v>
      </c>
      <c r="N237" s="341">
        <f>IF($A237="","",SUMIFS('Timesheet Raw'!$P$4:$P$8000,'Timesheet Raw'!$L$4:$L$8000,$A237,'Timesheet Raw'!$C$4:$C$8000,L$3,'Timesheet Raw'!$B$4:$B$8000,'Work Calendar'!$A$26)+SUMIFS('Timesheet Raw'!$P$4:$P$8000,'Timesheet Raw'!$L$4:$L$8000,$A237,'Timesheet Raw'!$C$4:$C$8000,L$3,'Timesheet Raw'!$B$4:$B$8000,'Work Calendar'!$A$27)+SUMIFS('Timesheet Raw'!$P$4:$P$8000,'Timesheet Raw'!$L$4:$L$8000,$A237,'Timesheet Raw'!$C$4:$C$8000,L$3,'Timesheet Raw'!$B$4:$B$8000,'Work Calendar'!$A$28)+SUMIFS('Timesheet Raw'!$P$4:$P$8000,'Timesheet Raw'!$L$4:$L$8000,$A237,'Timesheet Raw'!$C$4:$C$8000,L$3,'Timesheet Raw'!$B$4:$B$8000,'Work Calendar'!$A$29))</f>
        <v>0</v>
      </c>
      <c r="O237" s="341">
        <f t="shared" si="14"/>
        <v>0</v>
      </c>
      <c r="P237" s="395">
        <f>IF($A237="","",SUMIFS('Timesheet Raw'!$K$4:$K$8000,'Timesheet Raw'!$L$4:$L$8000,$A237,'Timesheet Raw'!$C$4:$C$8000,L$3))</f>
        <v>0</v>
      </c>
      <c r="Q237" s="345">
        <f>IF($A237="","",SUMIFS('Timesheet Raw'!$P$4:$P$8000,'Timesheet Raw'!$L$4:$L$8000,$A237,'Timesheet Raw'!$C$4:$C$8000,L$3))</f>
        <v>0</v>
      </c>
      <c r="R237" s="375"/>
      <c r="S237" t="str">
        <f>IF($A237="","",IF(R237&lt;&gt;"",R237,IF($A237&gt;'Work Calendar'!$B$17,"No data yet",IF(AND(N237&gt;='Work Calendar'!$B$14,L237+M237+O237&gt;0),"Day off - but worked",IF(N237&gt;='Work Calendar'!$B$14,"Day off",IF(L237+M237+O237&gt;0,IF($C237="Working","Charged","Worked weekend"),IF($C237="Working","Leave (not charged)",$C237)))))))</f>
        <v>No data yet</v>
      </c>
      <c r="T237" s="341">
        <f>IF($A237="","",SUMIFS('Timesheet Raw'!$P$4:$P$8000,'Timesheet Raw'!$L$4:$L$8000,$A237,'Timesheet Raw'!$C$4:$C$8000,T$3,'Timesheet Raw'!$A$4:$A$8000,"1-Projects"))</f>
        <v>0</v>
      </c>
      <c r="U237" s="341">
        <f>IF($A237="","",SUMIFS('Timesheet Raw'!$P$4:$P$8000,'Timesheet Raw'!$L$4:$L$8000,$A237,'Timesheet Raw'!$C$4:$C$8000,T$3,'Timesheet Raw'!$A$4:$A$8000,"2-Proposals Chargeable")+SUMIFS('Timesheet Raw'!$P$4:$P$8000,'Timesheet Raw'!$L$4:$L$8000,$A237,'Timesheet Raw'!$C$4:$C$8000,T$3,'Timesheet Raw'!$A$4:$A$8000,"3-Proposals Regular"))</f>
        <v>0</v>
      </c>
      <c r="V237" s="341">
        <f>IF($A237="","",SUMIFS('Timesheet Raw'!$P$4:$P$8000,'Timesheet Raw'!$L$4:$L$8000,$A237,'Timesheet Raw'!$C$4:$C$8000,T$3,'Timesheet Raw'!$B$4:$B$8000,'Work Calendar'!$A$26)+SUMIFS('Timesheet Raw'!$P$4:$P$8000,'Timesheet Raw'!$L$4:$L$8000,$A237,'Timesheet Raw'!$C$4:$C$8000,T$3,'Timesheet Raw'!$B$4:$B$8000,'Work Calendar'!$A$27)+SUMIFS('Timesheet Raw'!$P$4:$P$8000,'Timesheet Raw'!$L$4:$L$8000,$A237,'Timesheet Raw'!$C$4:$C$8000,T$3,'Timesheet Raw'!$B$4:$B$8000,'Work Calendar'!$A$28)+SUMIFS('Timesheet Raw'!$P$4:$P$8000,'Timesheet Raw'!$L$4:$L$8000,$A237,'Timesheet Raw'!$C$4:$C$8000,T$3,'Timesheet Raw'!$B$4:$B$8000,'Work Calendar'!$A$29))</f>
        <v>0</v>
      </c>
      <c r="W237" s="341">
        <f t="shared" si="15"/>
        <v>0</v>
      </c>
      <c r="X237" s="395">
        <f>IF($A237="","",SUMIFS('Timesheet Raw'!$K$4:$K$8000,'Timesheet Raw'!$L$4:$L$8000,$A237,'Timesheet Raw'!$C$4:$C$8000,T$3))</f>
        <v>0</v>
      </c>
      <c r="Y237" s="345">
        <f>IF($A237="","",SUMIFS('Timesheet Raw'!$P$4:$P$8000,'Timesheet Raw'!$L$4:$L$8000,$A237,'Timesheet Raw'!$C$4:$C$8000,T$3))</f>
        <v>0</v>
      </c>
      <c r="Z237" s="375"/>
      <c r="AA237" t="str">
        <f>IF($A237="","",IF(Z237&lt;&gt;"",Z237,IF($A237&gt;'Work Calendar'!$B$17,"No data yet",IF(AND(V237&gt;='Work Calendar'!$B$14,T237+U237+W237&gt;0),"Day off - but worked",IF(V237&gt;='Work Calendar'!$B$14,"Day off",IF(T237+U237+W237&gt;0,IF($C237="Working","Charged","Worked weekend"),IF($C237="Working","Leave (not charged)",$C237)))))))</f>
        <v>No data yet</v>
      </c>
    </row>
    <row r="238" spans="1:27" x14ac:dyDescent="0.3">
      <c r="A238" s="371">
        <f>IF($A237="","",IF($A237+1&gt;'Work Calendar'!$B$16,"",$A237+1))</f>
        <v>46256</v>
      </c>
      <c r="B238" t="str">
        <f t="shared" si="12"/>
        <v>Sat</v>
      </c>
      <c r="C238" t="str" cm="1">
        <f t="array" ref="C238">IF($A238="","",IF(COUNTIF('Work Calendar'!$E$6:$E$200,$A238)&gt;0,"Holiday",IF(INDEX('Work Calendar'!$C$6:$C$12,WEEKDAY($A238,1))=1,"Working","Weekend")))</f>
        <v>Weekend</v>
      </c>
      <c r="D238" s="341">
        <f>IF($A238="","",SUMIFS('Timesheet Raw'!$P$4:$P$8000,'Timesheet Raw'!$L$4:$L$8000,$A238,'Timesheet Raw'!$C$4:$C$8000,D$3,'Timesheet Raw'!$A$4:$A$8000,"1-Projects"))</f>
        <v>0</v>
      </c>
      <c r="E238" s="341">
        <f>IF($A238="","",SUMIFS('Timesheet Raw'!$P$4:$P$8000,'Timesheet Raw'!$L$4:$L$8000,$A238,'Timesheet Raw'!$C$4:$C$8000,D$3,'Timesheet Raw'!$A$4:$A$8000,"2-Proposals Chargeable")+SUMIFS('Timesheet Raw'!$P$4:$P$8000,'Timesheet Raw'!$L$4:$L$8000,$A238,'Timesheet Raw'!$C$4:$C$8000,D$3,'Timesheet Raw'!$A$4:$A$8000,"3-Proposals Regular"))</f>
        <v>0</v>
      </c>
      <c r="F238" s="341">
        <f>IF($A238="","",SUMIFS('Timesheet Raw'!$P$4:$P$8000,'Timesheet Raw'!$L$4:$L$8000,$A238,'Timesheet Raw'!$C$4:$C$8000,D$3,'Timesheet Raw'!$B$4:$B$8000,'Work Calendar'!$A$26)+SUMIFS('Timesheet Raw'!$P$4:$P$8000,'Timesheet Raw'!$L$4:$L$8000,$A238,'Timesheet Raw'!$C$4:$C$8000,D$3,'Timesheet Raw'!$B$4:$B$8000,'Work Calendar'!$A$27)+SUMIFS('Timesheet Raw'!$P$4:$P$8000,'Timesheet Raw'!$L$4:$L$8000,$A238,'Timesheet Raw'!$C$4:$C$8000,D$3,'Timesheet Raw'!$B$4:$B$8000,'Work Calendar'!$A$28)+SUMIFS('Timesheet Raw'!$P$4:$P$8000,'Timesheet Raw'!$L$4:$L$8000,$A238,'Timesheet Raw'!$C$4:$C$8000,D$3,'Timesheet Raw'!$B$4:$B$8000,'Work Calendar'!$A$29))</f>
        <v>0</v>
      </c>
      <c r="G238" s="341">
        <f t="shared" si="13"/>
        <v>0</v>
      </c>
      <c r="H238" s="395">
        <f>IF($A238="","",SUMIFS('Timesheet Raw'!$K$4:$K$8000,'Timesheet Raw'!$L$4:$L$8000,$A238,'Timesheet Raw'!$C$4:$C$8000,D$3))</f>
        <v>0</v>
      </c>
      <c r="I238" s="345">
        <f>IF($A238="","",SUMIFS('Timesheet Raw'!$P$4:$P$8000,'Timesheet Raw'!$L$4:$L$8000,$A238,'Timesheet Raw'!$C$4:$C$8000,D$3))</f>
        <v>0</v>
      </c>
      <c r="J238" s="375"/>
      <c r="K238" t="str">
        <f>IF($A238="","",IF(J238&lt;&gt;"",J238,IF($A238&gt;'Work Calendar'!$B$17,"No data yet",IF(AND(F238&gt;='Work Calendar'!$B$14,D238+E238+G238&gt;0),"Day off - but worked",IF(F238&gt;='Work Calendar'!$B$14,"Day off",IF(D238+E238+G238&gt;0,IF($C238="Working","Charged","Worked weekend"),IF($C238="Working","Leave (not charged)",$C238)))))))</f>
        <v>No data yet</v>
      </c>
      <c r="L238" s="341">
        <f>IF($A238="","",SUMIFS('Timesheet Raw'!$P$4:$P$8000,'Timesheet Raw'!$L$4:$L$8000,$A238,'Timesheet Raw'!$C$4:$C$8000,L$3,'Timesheet Raw'!$A$4:$A$8000,"1-Projects"))</f>
        <v>0</v>
      </c>
      <c r="M238" s="341">
        <f>IF($A238="","",SUMIFS('Timesheet Raw'!$P$4:$P$8000,'Timesheet Raw'!$L$4:$L$8000,$A238,'Timesheet Raw'!$C$4:$C$8000,L$3,'Timesheet Raw'!$A$4:$A$8000,"2-Proposals Chargeable")+SUMIFS('Timesheet Raw'!$P$4:$P$8000,'Timesheet Raw'!$L$4:$L$8000,$A238,'Timesheet Raw'!$C$4:$C$8000,L$3,'Timesheet Raw'!$A$4:$A$8000,"3-Proposals Regular"))</f>
        <v>0</v>
      </c>
      <c r="N238" s="341">
        <f>IF($A238="","",SUMIFS('Timesheet Raw'!$P$4:$P$8000,'Timesheet Raw'!$L$4:$L$8000,$A238,'Timesheet Raw'!$C$4:$C$8000,L$3,'Timesheet Raw'!$B$4:$B$8000,'Work Calendar'!$A$26)+SUMIFS('Timesheet Raw'!$P$4:$P$8000,'Timesheet Raw'!$L$4:$L$8000,$A238,'Timesheet Raw'!$C$4:$C$8000,L$3,'Timesheet Raw'!$B$4:$B$8000,'Work Calendar'!$A$27)+SUMIFS('Timesheet Raw'!$P$4:$P$8000,'Timesheet Raw'!$L$4:$L$8000,$A238,'Timesheet Raw'!$C$4:$C$8000,L$3,'Timesheet Raw'!$B$4:$B$8000,'Work Calendar'!$A$28)+SUMIFS('Timesheet Raw'!$P$4:$P$8000,'Timesheet Raw'!$L$4:$L$8000,$A238,'Timesheet Raw'!$C$4:$C$8000,L$3,'Timesheet Raw'!$B$4:$B$8000,'Work Calendar'!$A$29))</f>
        <v>0</v>
      </c>
      <c r="O238" s="341">
        <f t="shared" si="14"/>
        <v>0</v>
      </c>
      <c r="P238" s="395">
        <f>IF($A238="","",SUMIFS('Timesheet Raw'!$K$4:$K$8000,'Timesheet Raw'!$L$4:$L$8000,$A238,'Timesheet Raw'!$C$4:$C$8000,L$3))</f>
        <v>0</v>
      </c>
      <c r="Q238" s="345">
        <f>IF($A238="","",SUMIFS('Timesheet Raw'!$P$4:$P$8000,'Timesheet Raw'!$L$4:$L$8000,$A238,'Timesheet Raw'!$C$4:$C$8000,L$3))</f>
        <v>0</v>
      </c>
      <c r="R238" s="375"/>
      <c r="S238" t="str">
        <f>IF($A238="","",IF(R238&lt;&gt;"",R238,IF($A238&gt;'Work Calendar'!$B$17,"No data yet",IF(AND(N238&gt;='Work Calendar'!$B$14,L238+M238+O238&gt;0),"Day off - but worked",IF(N238&gt;='Work Calendar'!$B$14,"Day off",IF(L238+M238+O238&gt;0,IF($C238="Working","Charged","Worked weekend"),IF($C238="Working","Leave (not charged)",$C238)))))))</f>
        <v>No data yet</v>
      </c>
      <c r="T238" s="341">
        <f>IF($A238="","",SUMIFS('Timesheet Raw'!$P$4:$P$8000,'Timesheet Raw'!$L$4:$L$8000,$A238,'Timesheet Raw'!$C$4:$C$8000,T$3,'Timesheet Raw'!$A$4:$A$8000,"1-Projects"))</f>
        <v>0</v>
      </c>
      <c r="U238" s="341">
        <f>IF($A238="","",SUMIFS('Timesheet Raw'!$P$4:$P$8000,'Timesheet Raw'!$L$4:$L$8000,$A238,'Timesheet Raw'!$C$4:$C$8000,T$3,'Timesheet Raw'!$A$4:$A$8000,"2-Proposals Chargeable")+SUMIFS('Timesheet Raw'!$P$4:$P$8000,'Timesheet Raw'!$L$4:$L$8000,$A238,'Timesheet Raw'!$C$4:$C$8000,T$3,'Timesheet Raw'!$A$4:$A$8000,"3-Proposals Regular"))</f>
        <v>0</v>
      </c>
      <c r="V238" s="341">
        <f>IF($A238="","",SUMIFS('Timesheet Raw'!$P$4:$P$8000,'Timesheet Raw'!$L$4:$L$8000,$A238,'Timesheet Raw'!$C$4:$C$8000,T$3,'Timesheet Raw'!$B$4:$B$8000,'Work Calendar'!$A$26)+SUMIFS('Timesheet Raw'!$P$4:$P$8000,'Timesheet Raw'!$L$4:$L$8000,$A238,'Timesheet Raw'!$C$4:$C$8000,T$3,'Timesheet Raw'!$B$4:$B$8000,'Work Calendar'!$A$27)+SUMIFS('Timesheet Raw'!$P$4:$P$8000,'Timesheet Raw'!$L$4:$L$8000,$A238,'Timesheet Raw'!$C$4:$C$8000,T$3,'Timesheet Raw'!$B$4:$B$8000,'Work Calendar'!$A$28)+SUMIFS('Timesheet Raw'!$P$4:$P$8000,'Timesheet Raw'!$L$4:$L$8000,$A238,'Timesheet Raw'!$C$4:$C$8000,T$3,'Timesheet Raw'!$B$4:$B$8000,'Work Calendar'!$A$29))</f>
        <v>0</v>
      </c>
      <c r="W238" s="341">
        <f t="shared" si="15"/>
        <v>0</v>
      </c>
      <c r="X238" s="395">
        <f>IF($A238="","",SUMIFS('Timesheet Raw'!$K$4:$K$8000,'Timesheet Raw'!$L$4:$L$8000,$A238,'Timesheet Raw'!$C$4:$C$8000,T$3))</f>
        <v>0</v>
      </c>
      <c r="Y238" s="345">
        <f>IF($A238="","",SUMIFS('Timesheet Raw'!$P$4:$P$8000,'Timesheet Raw'!$L$4:$L$8000,$A238,'Timesheet Raw'!$C$4:$C$8000,T$3))</f>
        <v>0</v>
      </c>
      <c r="Z238" s="375"/>
      <c r="AA238" t="str">
        <f>IF($A238="","",IF(Z238&lt;&gt;"",Z238,IF($A238&gt;'Work Calendar'!$B$17,"No data yet",IF(AND(V238&gt;='Work Calendar'!$B$14,T238+U238+W238&gt;0),"Day off - but worked",IF(V238&gt;='Work Calendar'!$B$14,"Day off",IF(T238+U238+W238&gt;0,IF($C238="Working","Charged","Worked weekend"),IF($C238="Working","Leave (not charged)",$C238)))))))</f>
        <v>No data yet</v>
      </c>
    </row>
    <row r="239" spans="1:27" x14ac:dyDescent="0.3">
      <c r="A239" s="371">
        <f>IF($A238="","",IF($A238+1&gt;'Work Calendar'!$B$16,"",$A238+1))</f>
        <v>46257</v>
      </c>
      <c r="B239" t="str">
        <f t="shared" si="12"/>
        <v>Sun</v>
      </c>
      <c r="C239" t="str" cm="1">
        <f t="array" ref="C239">IF($A239="","",IF(COUNTIF('Work Calendar'!$E$6:$E$200,$A239)&gt;0,"Holiday",IF(INDEX('Work Calendar'!$C$6:$C$12,WEEKDAY($A239,1))=1,"Working","Weekend")))</f>
        <v>Working</v>
      </c>
      <c r="D239" s="341">
        <f>IF($A239="","",SUMIFS('Timesheet Raw'!$P$4:$P$8000,'Timesheet Raw'!$L$4:$L$8000,$A239,'Timesheet Raw'!$C$4:$C$8000,D$3,'Timesheet Raw'!$A$4:$A$8000,"1-Projects"))</f>
        <v>0</v>
      </c>
      <c r="E239" s="341">
        <f>IF($A239="","",SUMIFS('Timesheet Raw'!$P$4:$P$8000,'Timesheet Raw'!$L$4:$L$8000,$A239,'Timesheet Raw'!$C$4:$C$8000,D$3,'Timesheet Raw'!$A$4:$A$8000,"2-Proposals Chargeable")+SUMIFS('Timesheet Raw'!$P$4:$P$8000,'Timesheet Raw'!$L$4:$L$8000,$A239,'Timesheet Raw'!$C$4:$C$8000,D$3,'Timesheet Raw'!$A$4:$A$8000,"3-Proposals Regular"))</f>
        <v>0</v>
      </c>
      <c r="F239" s="341">
        <f>IF($A239="","",SUMIFS('Timesheet Raw'!$P$4:$P$8000,'Timesheet Raw'!$L$4:$L$8000,$A239,'Timesheet Raw'!$C$4:$C$8000,D$3,'Timesheet Raw'!$B$4:$B$8000,'Work Calendar'!$A$26)+SUMIFS('Timesheet Raw'!$P$4:$P$8000,'Timesheet Raw'!$L$4:$L$8000,$A239,'Timesheet Raw'!$C$4:$C$8000,D$3,'Timesheet Raw'!$B$4:$B$8000,'Work Calendar'!$A$27)+SUMIFS('Timesheet Raw'!$P$4:$P$8000,'Timesheet Raw'!$L$4:$L$8000,$A239,'Timesheet Raw'!$C$4:$C$8000,D$3,'Timesheet Raw'!$B$4:$B$8000,'Work Calendar'!$A$28)+SUMIFS('Timesheet Raw'!$P$4:$P$8000,'Timesheet Raw'!$L$4:$L$8000,$A239,'Timesheet Raw'!$C$4:$C$8000,D$3,'Timesheet Raw'!$B$4:$B$8000,'Work Calendar'!$A$29))</f>
        <v>0</v>
      </c>
      <c r="G239" s="341">
        <f t="shared" si="13"/>
        <v>0</v>
      </c>
      <c r="H239" s="395">
        <f>IF($A239="","",SUMIFS('Timesheet Raw'!$K$4:$K$8000,'Timesheet Raw'!$L$4:$L$8000,$A239,'Timesheet Raw'!$C$4:$C$8000,D$3))</f>
        <v>0</v>
      </c>
      <c r="I239" s="345">
        <f>IF($A239="","",SUMIFS('Timesheet Raw'!$P$4:$P$8000,'Timesheet Raw'!$L$4:$L$8000,$A239,'Timesheet Raw'!$C$4:$C$8000,D$3))</f>
        <v>0</v>
      </c>
      <c r="J239" s="375"/>
      <c r="K239" t="str">
        <f>IF($A239="","",IF(J239&lt;&gt;"",J239,IF($A239&gt;'Work Calendar'!$B$17,"No data yet",IF(AND(F239&gt;='Work Calendar'!$B$14,D239+E239+G239&gt;0),"Day off - but worked",IF(F239&gt;='Work Calendar'!$B$14,"Day off",IF(D239+E239+G239&gt;0,IF($C239="Working","Charged","Worked weekend"),IF($C239="Working","Leave (not charged)",$C239)))))))</f>
        <v>No data yet</v>
      </c>
      <c r="L239" s="341">
        <f>IF($A239="","",SUMIFS('Timesheet Raw'!$P$4:$P$8000,'Timesheet Raw'!$L$4:$L$8000,$A239,'Timesheet Raw'!$C$4:$C$8000,L$3,'Timesheet Raw'!$A$4:$A$8000,"1-Projects"))</f>
        <v>0</v>
      </c>
      <c r="M239" s="341">
        <f>IF($A239="","",SUMIFS('Timesheet Raw'!$P$4:$P$8000,'Timesheet Raw'!$L$4:$L$8000,$A239,'Timesheet Raw'!$C$4:$C$8000,L$3,'Timesheet Raw'!$A$4:$A$8000,"2-Proposals Chargeable")+SUMIFS('Timesheet Raw'!$P$4:$P$8000,'Timesheet Raw'!$L$4:$L$8000,$A239,'Timesheet Raw'!$C$4:$C$8000,L$3,'Timesheet Raw'!$A$4:$A$8000,"3-Proposals Regular"))</f>
        <v>0</v>
      </c>
      <c r="N239" s="341">
        <f>IF($A239="","",SUMIFS('Timesheet Raw'!$P$4:$P$8000,'Timesheet Raw'!$L$4:$L$8000,$A239,'Timesheet Raw'!$C$4:$C$8000,L$3,'Timesheet Raw'!$B$4:$B$8000,'Work Calendar'!$A$26)+SUMIFS('Timesheet Raw'!$P$4:$P$8000,'Timesheet Raw'!$L$4:$L$8000,$A239,'Timesheet Raw'!$C$4:$C$8000,L$3,'Timesheet Raw'!$B$4:$B$8000,'Work Calendar'!$A$27)+SUMIFS('Timesheet Raw'!$P$4:$P$8000,'Timesheet Raw'!$L$4:$L$8000,$A239,'Timesheet Raw'!$C$4:$C$8000,L$3,'Timesheet Raw'!$B$4:$B$8000,'Work Calendar'!$A$28)+SUMIFS('Timesheet Raw'!$P$4:$P$8000,'Timesheet Raw'!$L$4:$L$8000,$A239,'Timesheet Raw'!$C$4:$C$8000,L$3,'Timesheet Raw'!$B$4:$B$8000,'Work Calendar'!$A$29))</f>
        <v>0</v>
      </c>
      <c r="O239" s="341">
        <f t="shared" si="14"/>
        <v>0</v>
      </c>
      <c r="P239" s="395">
        <f>IF($A239="","",SUMIFS('Timesheet Raw'!$K$4:$K$8000,'Timesheet Raw'!$L$4:$L$8000,$A239,'Timesheet Raw'!$C$4:$C$8000,L$3))</f>
        <v>0</v>
      </c>
      <c r="Q239" s="345">
        <f>IF($A239="","",SUMIFS('Timesheet Raw'!$P$4:$P$8000,'Timesheet Raw'!$L$4:$L$8000,$A239,'Timesheet Raw'!$C$4:$C$8000,L$3))</f>
        <v>0</v>
      </c>
      <c r="R239" s="375"/>
      <c r="S239" t="str">
        <f>IF($A239="","",IF(R239&lt;&gt;"",R239,IF($A239&gt;'Work Calendar'!$B$17,"No data yet",IF(AND(N239&gt;='Work Calendar'!$B$14,L239+M239+O239&gt;0),"Day off - but worked",IF(N239&gt;='Work Calendar'!$B$14,"Day off",IF(L239+M239+O239&gt;0,IF($C239="Working","Charged","Worked weekend"),IF($C239="Working","Leave (not charged)",$C239)))))))</f>
        <v>No data yet</v>
      </c>
      <c r="T239" s="341">
        <f>IF($A239="","",SUMIFS('Timesheet Raw'!$P$4:$P$8000,'Timesheet Raw'!$L$4:$L$8000,$A239,'Timesheet Raw'!$C$4:$C$8000,T$3,'Timesheet Raw'!$A$4:$A$8000,"1-Projects"))</f>
        <v>0</v>
      </c>
      <c r="U239" s="341">
        <f>IF($A239="","",SUMIFS('Timesheet Raw'!$P$4:$P$8000,'Timesheet Raw'!$L$4:$L$8000,$A239,'Timesheet Raw'!$C$4:$C$8000,T$3,'Timesheet Raw'!$A$4:$A$8000,"2-Proposals Chargeable")+SUMIFS('Timesheet Raw'!$P$4:$P$8000,'Timesheet Raw'!$L$4:$L$8000,$A239,'Timesheet Raw'!$C$4:$C$8000,T$3,'Timesheet Raw'!$A$4:$A$8000,"3-Proposals Regular"))</f>
        <v>0</v>
      </c>
      <c r="V239" s="341">
        <f>IF($A239="","",SUMIFS('Timesheet Raw'!$P$4:$P$8000,'Timesheet Raw'!$L$4:$L$8000,$A239,'Timesheet Raw'!$C$4:$C$8000,T$3,'Timesheet Raw'!$B$4:$B$8000,'Work Calendar'!$A$26)+SUMIFS('Timesheet Raw'!$P$4:$P$8000,'Timesheet Raw'!$L$4:$L$8000,$A239,'Timesheet Raw'!$C$4:$C$8000,T$3,'Timesheet Raw'!$B$4:$B$8000,'Work Calendar'!$A$27)+SUMIFS('Timesheet Raw'!$P$4:$P$8000,'Timesheet Raw'!$L$4:$L$8000,$A239,'Timesheet Raw'!$C$4:$C$8000,T$3,'Timesheet Raw'!$B$4:$B$8000,'Work Calendar'!$A$28)+SUMIFS('Timesheet Raw'!$P$4:$P$8000,'Timesheet Raw'!$L$4:$L$8000,$A239,'Timesheet Raw'!$C$4:$C$8000,T$3,'Timesheet Raw'!$B$4:$B$8000,'Work Calendar'!$A$29))</f>
        <v>0</v>
      </c>
      <c r="W239" s="341">
        <f t="shared" si="15"/>
        <v>0</v>
      </c>
      <c r="X239" s="395">
        <f>IF($A239="","",SUMIFS('Timesheet Raw'!$K$4:$K$8000,'Timesheet Raw'!$L$4:$L$8000,$A239,'Timesheet Raw'!$C$4:$C$8000,T$3))</f>
        <v>0</v>
      </c>
      <c r="Y239" s="345">
        <f>IF($A239="","",SUMIFS('Timesheet Raw'!$P$4:$P$8000,'Timesheet Raw'!$L$4:$L$8000,$A239,'Timesheet Raw'!$C$4:$C$8000,T$3))</f>
        <v>0</v>
      </c>
      <c r="Z239" s="375"/>
      <c r="AA239" t="str">
        <f>IF($A239="","",IF(Z239&lt;&gt;"",Z239,IF($A239&gt;'Work Calendar'!$B$17,"No data yet",IF(AND(V239&gt;='Work Calendar'!$B$14,T239+U239+W239&gt;0),"Day off - but worked",IF(V239&gt;='Work Calendar'!$B$14,"Day off",IF(T239+U239+W239&gt;0,IF($C239="Working","Charged","Worked weekend"),IF($C239="Working","Leave (not charged)",$C239)))))))</f>
        <v>No data yet</v>
      </c>
    </row>
    <row r="240" spans="1:27" x14ac:dyDescent="0.3">
      <c r="A240" s="371">
        <f>IF($A239="","",IF($A239+1&gt;'Work Calendar'!$B$16,"",$A239+1))</f>
        <v>46258</v>
      </c>
      <c r="B240" t="str">
        <f t="shared" si="12"/>
        <v>Mon</v>
      </c>
      <c r="C240" t="str" cm="1">
        <f t="array" ref="C240">IF($A240="","",IF(COUNTIF('Work Calendar'!$E$6:$E$200,$A240)&gt;0,"Holiday",IF(INDEX('Work Calendar'!$C$6:$C$12,WEEKDAY($A240,1))=1,"Working","Weekend")))</f>
        <v>Working</v>
      </c>
      <c r="D240" s="341">
        <f>IF($A240="","",SUMIFS('Timesheet Raw'!$P$4:$P$8000,'Timesheet Raw'!$L$4:$L$8000,$A240,'Timesheet Raw'!$C$4:$C$8000,D$3,'Timesheet Raw'!$A$4:$A$8000,"1-Projects"))</f>
        <v>0</v>
      </c>
      <c r="E240" s="341">
        <f>IF($A240="","",SUMIFS('Timesheet Raw'!$P$4:$P$8000,'Timesheet Raw'!$L$4:$L$8000,$A240,'Timesheet Raw'!$C$4:$C$8000,D$3,'Timesheet Raw'!$A$4:$A$8000,"2-Proposals Chargeable")+SUMIFS('Timesheet Raw'!$P$4:$P$8000,'Timesheet Raw'!$L$4:$L$8000,$A240,'Timesheet Raw'!$C$4:$C$8000,D$3,'Timesheet Raw'!$A$4:$A$8000,"3-Proposals Regular"))</f>
        <v>0</v>
      </c>
      <c r="F240" s="341">
        <f>IF($A240="","",SUMIFS('Timesheet Raw'!$P$4:$P$8000,'Timesheet Raw'!$L$4:$L$8000,$A240,'Timesheet Raw'!$C$4:$C$8000,D$3,'Timesheet Raw'!$B$4:$B$8000,'Work Calendar'!$A$26)+SUMIFS('Timesheet Raw'!$P$4:$P$8000,'Timesheet Raw'!$L$4:$L$8000,$A240,'Timesheet Raw'!$C$4:$C$8000,D$3,'Timesheet Raw'!$B$4:$B$8000,'Work Calendar'!$A$27)+SUMIFS('Timesheet Raw'!$P$4:$P$8000,'Timesheet Raw'!$L$4:$L$8000,$A240,'Timesheet Raw'!$C$4:$C$8000,D$3,'Timesheet Raw'!$B$4:$B$8000,'Work Calendar'!$A$28)+SUMIFS('Timesheet Raw'!$P$4:$P$8000,'Timesheet Raw'!$L$4:$L$8000,$A240,'Timesheet Raw'!$C$4:$C$8000,D$3,'Timesheet Raw'!$B$4:$B$8000,'Work Calendar'!$A$29))</f>
        <v>0</v>
      </c>
      <c r="G240" s="341">
        <f t="shared" si="13"/>
        <v>0</v>
      </c>
      <c r="H240" s="395">
        <f>IF($A240="","",SUMIFS('Timesheet Raw'!$K$4:$K$8000,'Timesheet Raw'!$L$4:$L$8000,$A240,'Timesheet Raw'!$C$4:$C$8000,D$3))</f>
        <v>0</v>
      </c>
      <c r="I240" s="345">
        <f>IF($A240="","",SUMIFS('Timesheet Raw'!$P$4:$P$8000,'Timesheet Raw'!$L$4:$L$8000,$A240,'Timesheet Raw'!$C$4:$C$8000,D$3))</f>
        <v>0</v>
      </c>
      <c r="J240" s="375"/>
      <c r="K240" t="str">
        <f>IF($A240="","",IF(J240&lt;&gt;"",J240,IF($A240&gt;'Work Calendar'!$B$17,"No data yet",IF(AND(F240&gt;='Work Calendar'!$B$14,D240+E240+G240&gt;0),"Day off - but worked",IF(F240&gt;='Work Calendar'!$B$14,"Day off",IF(D240+E240+G240&gt;0,IF($C240="Working","Charged","Worked weekend"),IF($C240="Working","Leave (not charged)",$C240)))))))</f>
        <v>No data yet</v>
      </c>
      <c r="L240" s="341">
        <f>IF($A240="","",SUMIFS('Timesheet Raw'!$P$4:$P$8000,'Timesheet Raw'!$L$4:$L$8000,$A240,'Timesheet Raw'!$C$4:$C$8000,L$3,'Timesheet Raw'!$A$4:$A$8000,"1-Projects"))</f>
        <v>0</v>
      </c>
      <c r="M240" s="341">
        <f>IF($A240="","",SUMIFS('Timesheet Raw'!$P$4:$P$8000,'Timesheet Raw'!$L$4:$L$8000,$A240,'Timesheet Raw'!$C$4:$C$8000,L$3,'Timesheet Raw'!$A$4:$A$8000,"2-Proposals Chargeable")+SUMIFS('Timesheet Raw'!$P$4:$P$8000,'Timesheet Raw'!$L$4:$L$8000,$A240,'Timesheet Raw'!$C$4:$C$8000,L$3,'Timesheet Raw'!$A$4:$A$8000,"3-Proposals Regular"))</f>
        <v>0</v>
      </c>
      <c r="N240" s="341">
        <f>IF($A240="","",SUMIFS('Timesheet Raw'!$P$4:$P$8000,'Timesheet Raw'!$L$4:$L$8000,$A240,'Timesheet Raw'!$C$4:$C$8000,L$3,'Timesheet Raw'!$B$4:$B$8000,'Work Calendar'!$A$26)+SUMIFS('Timesheet Raw'!$P$4:$P$8000,'Timesheet Raw'!$L$4:$L$8000,$A240,'Timesheet Raw'!$C$4:$C$8000,L$3,'Timesheet Raw'!$B$4:$B$8000,'Work Calendar'!$A$27)+SUMIFS('Timesheet Raw'!$P$4:$P$8000,'Timesheet Raw'!$L$4:$L$8000,$A240,'Timesheet Raw'!$C$4:$C$8000,L$3,'Timesheet Raw'!$B$4:$B$8000,'Work Calendar'!$A$28)+SUMIFS('Timesheet Raw'!$P$4:$P$8000,'Timesheet Raw'!$L$4:$L$8000,$A240,'Timesheet Raw'!$C$4:$C$8000,L$3,'Timesheet Raw'!$B$4:$B$8000,'Work Calendar'!$A$29))</f>
        <v>0</v>
      </c>
      <c r="O240" s="341">
        <f t="shared" si="14"/>
        <v>0</v>
      </c>
      <c r="P240" s="395">
        <f>IF($A240="","",SUMIFS('Timesheet Raw'!$K$4:$K$8000,'Timesheet Raw'!$L$4:$L$8000,$A240,'Timesheet Raw'!$C$4:$C$8000,L$3))</f>
        <v>0</v>
      </c>
      <c r="Q240" s="345">
        <f>IF($A240="","",SUMIFS('Timesheet Raw'!$P$4:$P$8000,'Timesheet Raw'!$L$4:$L$8000,$A240,'Timesheet Raw'!$C$4:$C$8000,L$3))</f>
        <v>0</v>
      </c>
      <c r="R240" s="375"/>
      <c r="S240" t="str">
        <f>IF($A240="","",IF(R240&lt;&gt;"",R240,IF($A240&gt;'Work Calendar'!$B$17,"No data yet",IF(AND(N240&gt;='Work Calendar'!$B$14,L240+M240+O240&gt;0),"Day off - but worked",IF(N240&gt;='Work Calendar'!$B$14,"Day off",IF(L240+M240+O240&gt;0,IF($C240="Working","Charged","Worked weekend"),IF($C240="Working","Leave (not charged)",$C240)))))))</f>
        <v>No data yet</v>
      </c>
      <c r="T240" s="341">
        <f>IF($A240="","",SUMIFS('Timesheet Raw'!$P$4:$P$8000,'Timesheet Raw'!$L$4:$L$8000,$A240,'Timesheet Raw'!$C$4:$C$8000,T$3,'Timesheet Raw'!$A$4:$A$8000,"1-Projects"))</f>
        <v>0</v>
      </c>
      <c r="U240" s="341">
        <f>IF($A240="","",SUMIFS('Timesheet Raw'!$P$4:$P$8000,'Timesheet Raw'!$L$4:$L$8000,$A240,'Timesheet Raw'!$C$4:$C$8000,T$3,'Timesheet Raw'!$A$4:$A$8000,"2-Proposals Chargeable")+SUMIFS('Timesheet Raw'!$P$4:$P$8000,'Timesheet Raw'!$L$4:$L$8000,$A240,'Timesheet Raw'!$C$4:$C$8000,T$3,'Timesheet Raw'!$A$4:$A$8000,"3-Proposals Regular"))</f>
        <v>0</v>
      </c>
      <c r="V240" s="341">
        <f>IF($A240="","",SUMIFS('Timesheet Raw'!$P$4:$P$8000,'Timesheet Raw'!$L$4:$L$8000,$A240,'Timesheet Raw'!$C$4:$C$8000,T$3,'Timesheet Raw'!$B$4:$B$8000,'Work Calendar'!$A$26)+SUMIFS('Timesheet Raw'!$P$4:$P$8000,'Timesheet Raw'!$L$4:$L$8000,$A240,'Timesheet Raw'!$C$4:$C$8000,T$3,'Timesheet Raw'!$B$4:$B$8000,'Work Calendar'!$A$27)+SUMIFS('Timesheet Raw'!$P$4:$P$8000,'Timesheet Raw'!$L$4:$L$8000,$A240,'Timesheet Raw'!$C$4:$C$8000,T$3,'Timesheet Raw'!$B$4:$B$8000,'Work Calendar'!$A$28)+SUMIFS('Timesheet Raw'!$P$4:$P$8000,'Timesheet Raw'!$L$4:$L$8000,$A240,'Timesheet Raw'!$C$4:$C$8000,T$3,'Timesheet Raw'!$B$4:$B$8000,'Work Calendar'!$A$29))</f>
        <v>0</v>
      </c>
      <c r="W240" s="341">
        <f t="shared" si="15"/>
        <v>0</v>
      </c>
      <c r="X240" s="395">
        <f>IF($A240="","",SUMIFS('Timesheet Raw'!$K$4:$K$8000,'Timesheet Raw'!$L$4:$L$8000,$A240,'Timesheet Raw'!$C$4:$C$8000,T$3))</f>
        <v>0</v>
      </c>
      <c r="Y240" s="345">
        <f>IF($A240="","",SUMIFS('Timesheet Raw'!$P$4:$P$8000,'Timesheet Raw'!$L$4:$L$8000,$A240,'Timesheet Raw'!$C$4:$C$8000,T$3))</f>
        <v>0</v>
      </c>
      <c r="Z240" s="375"/>
      <c r="AA240" t="str">
        <f>IF($A240="","",IF(Z240&lt;&gt;"",Z240,IF($A240&gt;'Work Calendar'!$B$17,"No data yet",IF(AND(V240&gt;='Work Calendar'!$B$14,T240+U240+W240&gt;0),"Day off - but worked",IF(V240&gt;='Work Calendar'!$B$14,"Day off",IF(T240+U240+W240&gt;0,IF($C240="Working","Charged","Worked weekend"),IF($C240="Working","Leave (not charged)",$C240)))))))</f>
        <v>No data yet</v>
      </c>
    </row>
    <row r="241" spans="1:27" x14ac:dyDescent="0.3">
      <c r="A241" s="371">
        <f>IF($A240="","",IF($A240+1&gt;'Work Calendar'!$B$16,"",$A240+1))</f>
        <v>46259</v>
      </c>
      <c r="B241" t="str">
        <f t="shared" si="12"/>
        <v>Tue</v>
      </c>
      <c r="C241" t="str" cm="1">
        <f t="array" ref="C241">IF($A241="","",IF(COUNTIF('Work Calendar'!$E$6:$E$200,$A241)&gt;0,"Holiday",IF(INDEX('Work Calendar'!$C$6:$C$12,WEEKDAY($A241,1))=1,"Working","Weekend")))</f>
        <v>Working</v>
      </c>
      <c r="D241" s="341">
        <f>IF($A241="","",SUMIFS('Timesheet Raw'!$P$4:$P$8000,'Timesheet Raw'!$L$4:$L$8000,$A241,'Timesheet Raw'!$C$4:$C$8000,D$3,'Timesheet Raw'!$A$4:$A$8000,"1-Projects"))</f>
        <v>0</v>
      </c>
      <c r="E241" s="341">
        <f>IF($A241="","",SUMIFS('Timesheet Raw'!$P$4:$P$8000,'Timesheet Raw'!$L$4:$L$8000,$A241,'Timesheet Raw'!$C$4:$C$8000,D$3,'Timesheet Raw'!$A$4:$A$8000,"2-Proposals Chargeable")+SUMIFS('Timesheet Raw'!$P$4:$P$8000,'Timesheet Raw'!$L$4:$L$8000,$A241,'Timesheet Raw'!$C$4:$C$8000,D$3,'Timesheet Raw'!$A$4:$A$8000,"3-Proposals Regular"))</f>
        <v>0</v>
      </c>
      <c r="F241" s="341">
        <f>IF($A241="","",SUMIFS('Timesheet Raw'!$P$4:$P$8000,'Timesheet Raw'!$L$4:$L$8000,$A241,'Timesheet Raw'!$C$4:$C$8000,D$3,'Timesheet Raw'!$B$4:$B$8000,'Work Calendar'!$A$26)+SUMIFS('Timesheet Raw'!$P$4:$P$8000,'Timesheet Raw'!$L$4:$L$8000,$A241,'Timesheet Raw'!$C$4:$C$8000,D$3,'Timesheet Raw'!$B$4:$B$8000,'Work Calendar'!$A$27)+SUMIFS('Timesheet Raw'!$P$4:$P$8000,'Timesheet Raw'!$L$4:$L$8000,$A241,'Timesheet Raw'!$C$4:$C$8000,D$3,'Timesheet Raw'!$B$4:$B$8000,'Work Calendar'!$A$28)+SUMIFS('Timesheet Raw'!$P$4:$P$8000,'Timesheet Raw'!$L$4:$L$8000,$A241,'Timesheet Raw'!$C$4:$C$8000,D$3,'Timesheet Raw'!$B$4:$B$8000,'Work Calendar'!$A$29))</f>
        <v>0</v>
      </c>
      <c r="G241" s="341">
        <f t="shared" si="13"/>
        <v>0</v>
      </c>
      <c r="H241" s="395">
        <f>IF($A241="","",SUMIFS('Timesheet Raw'!$K$4:$K$8000,'Timesheet Raw'!$L$4:$L$8000,$A241,'Timesheet Raw'!$C$4:$C$8000,D$3))</f>
        <v>0</v>
      </c>
      <c r="I241" s="345">
        <f>IF($A241="","",SUMIFS('Timesheet Raw'!$P$4:$P$8000,'Timesheet Raw'!$L$4:$L$8000,$A241,'Timesheet Raw'!$C$4:$C$8000,D$3))</f>
        <v>0</v>
      </c>
      <c r="J241" s="375"/>
      <c r="K241" t="str">
        <f>IF($A241="","",IF(J241&lt;&gt;"",J241,IF($A241&gt;'Work Calendar'!$B$17,"No data yet",IF(AND(F241&gt;='Work Calendar'!$B$14,D241+E241+G241&gt;0),"Day off - but worked",IF(F241&gt;='Work Calendar'!$B$14,"Day off",IF(D241+E241+G241&gt;0,IF($C241="Working","Charged","Worked weekend"),IF($C241="Working","Leave (not charged)",$C241)))))))</f>
        <v>No data yet</v>
      </c>
      <c r="L241" s="341">
        <f>IF($A241="","",SUMIFS('Timesheet Raw'!$P$4:$P$8000,'Timesheet Raw'!$L$4:$L$8000,$A241,'Timesheet Raw'!$C$4:$C$8000,L$3,'Timesheet Raw'!$A$4:$A$8000,"1-Projects"))</f>
        <v>0</v>
      </c>
      <c r="M241" s="341">
        <f>IF($A241="","",SUMIFS('Timesheet Raw'!$P$4:$P$8000,'Timesheet Raw'!$L$4:$L$8000,$A241,'Timesheet Raw'!$C$4:$C$8000,L$3,'Timesheet Raw'!$A$4:$A$8000,"2-Proposals Chargeable")+SUMIFS('Timesheet Raw'!$P$4:$P$8000,'Timesheet Raw'!$L$4:$L$8000,$A241,'Timesheet Raw'!$C$4:$C$8000,L$3,'Timesheet Raw'!$A$4:$A$8000,"3-Proposals Regular"))</f>
        <v>0</v>
      </c>
      <c r="N241" s="341">
        <f>IF($A241="","",SUMIFS('Timesheet Raw'!$P$4:$P$8000,'Timesheet Raw'!$L$4:$L$8000,$A241,'Timesheet Raw'!$C$4:$C$8000,L$3,'Timesheet Raw'!$B$4:$B$8000,'Work Calendar'!$A$26)+SUMIFS('Timesheet Raw'!$P$4:$P$8000,'Timesheet Raw'!$L$4:$L$8000,$A241,'Timesheet Raw'!$C$4:$C$8000,L$3,'Timesheet Raw'!$B$4:$B$8000,'Work Calendar'!$A$27)+SUMIFS('Timesheet Raw'!$P$4:$P$8000,'Timesheet Raw'!$L$4:$L$8000,$A241,'Timesheet Raw'!$C$4:$C$8000,L$3,'Timesheet Raw'!$B$4:$B$8000,'Work Calendar'!$A$28)+SUMIFS('Timesheet Raw'!$P$4:$P$8000,'Timesheet Raw'!$L$4:$L$8000,$A241,'Timesheet Raw'!$C$4:$C$8000,L$3,'Timesheet Raw'!$B$4:$B$8000,'Work Calendar'!$A$29))</f>
        <v>0</v>
      </c>
      <c r="O241" s="341">
        <f t="shared" si="14"/>
        <v>0</v>
      </c>
      <c r="P241" s="395">
        <f>IF($A241="","",SUMIFS('Timesheet Raw'!$K$4:$K$8000,'Timesheet Raw'!$L$4:$L$8000,$A241,'Timesheet Raw'!$C$4:$C$8000,L$3))</f>
        <v>0</v>
      </c>
      <c r="Q241" s="345">
        <f>IF($A241="","",SUMIFS('Timesheet Raw'!$P$4:$P$8000,'Timesheet Raw'!$L$4:$L$8000,$A241,'Timesheet Raw'!$C$4:$C$8000,L$3))</f>
        <v>0</v>
      </c>
      <c r="R241" s="375"/>
      <c r="S241" t="str">
        <f>IF($A241="","",IF(R241&lt;&gt;"",R241,IF($A241&gt;'Work Calendar'!$B$17,"No data yet",IF(AND(N241&gt;='Work Calendar'!$B$14,L241+M241+O241&gt;0),"Day off - but worked",IF(N241&gt;='Work Calendar'!$B$14,"Day off",IF(L241+M241+O241&gt;0,IF($C241="Working","Charged","Worked weekend"),IF($C241="Working","Leave (not charged)",$C241)))))))</f>
        <v>No data yet</v>
      </c>
      <c r="T241" s="341">
        <f>IF($A241="","",SUMIFS('Timesheet Raw'!$P$4:$P$8000,'Timesheet Raw'!$L$4:$L$8000,$A241,'Timesheet Raw'!$C$4:$C$8000,T$3,'Timesheet Raw'!$A$4:$A$8000,"1-Projects"))</f>
        <v>0</v>
      </c>
      <c r="U241" s="341">
        <f>IF($A241="","",SUMIFS('Timesheet Raw'!$P$4:$P$8000,'Timesheet Raw'!$L$4:$L$8000,$A241,'Timesheet Raw'!$C$4:$C$8000,T$3,'Timesheet Raw'!$A$4:$A$8000,"2-Proposals Chargeable")+SUMIFS('Timesheet Raw'!$P$4:$P$8000,'Timesheet Raw'!$L$4:$L$8000,$A241,'Timesheet Raw'!$C$4:$C$8000,T$3,'Timesheet Raw'!$A$4:$A$8000,"3-Proposals Regular"))</f>
        <v>0</v>
      </c>
      <c r="V241" s="341">
        <f>IF($A241="","",SUMIFS('Timesheet Raw'!$P$4:$P$8000,'Timesheet Raw'!$L$4:$L$8000,$A241,'Timesheet Raw'!$C$4:$C$8000,T$3,'Timesheet Raw'!$B$4:$B$8000,'Work Calendar'!$A$26)+SUMIFS('Timesheet Raw'!$P$4:$P$8000,'Timesheet Raw'!$L$4:$L$8000,$A241,'Timesheet Raw'!$C$4:$C$8000,T$3,'Timesheet Raw'!$B$4:$B$8000,'Work Calendar'!$A$27)+SUMIFS('Timesheet Raw'!$P$4:$P$8000,'Timesheet Raw'!$L$4:$L$8000,$A241,'Timesheet Raw'!$C$4:$C$8000,T$3,'Timesheet Raw'!$B$4:$B$8000,'Work Calendar'!$A$28)+SUMIFS('Timesheet Raw'!$P$4:$P$8000,'Timesheet Raw'!$L$4:$L$8000,$A241,'Timesheet Raw'!$C$4:$C$8000,T$3,'Timesheet Raw'!$B$4:$B$8000,'Work Calendar'!$A$29))</f>
        <v>0</v>
      </c>
      <c r="W241" s="341">
        <f t="shared" si="15"/>
        <v>0</v>
      </c>
      <c r="X241" s="395">
        <f>IF($A241="","",SUMIFS('Timesheet Raw'!$K$4:$K$8000,'Timesheet Raw'!$L$4:$L$8000,$A241,'Timesheet Raw'!$C$4:$C$8000,T$3))</f>
        <v>0</v>
      </c>
      <c r="Y241" s="345">
        <f>IF($A241="","",SUMIFS('Timesheet Raw'!$P$4:$P$8000,'Timesheet Raw'!$L$4:$L$8000,$A241,'Timesheet Raw'!$C$4:$C$8000,T$3))</f>
        <v>0</v>
      </c>
      <c r="Z241" s="375"/>
      <c r="AA241" t="str">
        <f>IF($A241="","",IF(Z241&lt;&gt;"",Z241,IF($A241&gt;'Work Calendar'!$B$17,"No data yet",IF(AND(V241&gt;='Work Calendar'!$B$14,T241+U241+W241&gt;0),"Day off - but worked",IF(V241&gt;='Work Calendar'!$B$14,"Day off",IF(T241+U241+W241&gt;0,IF($C241="Working","Charged","Worked weekend"),IF($C241="Working","Leave (not charged)",$C241)))))))</f>
        <v>No data yet</v>
      </c>
    </row>
    <row r="242" spans="1:27" x14ac:dyDescent="0.3">
      <c r="A242" s="371">
        <f>IF($A241="","",IF($A241+1&gt;'Work Calendar'!$B$16,"",$A241+1))</f>
        <v>46260</v>
      </c>
      <c r="B242" t="str">
        <f t="shared" si="12"/>
        <v>Wed</v>
      </c>
      <c r="C242" t="str" cm="1">
        <f t="array" ref="C242">IF($A242="","",IF(COUNTIF('Work Calendar'!$E$6:$E$200,$A242)&gt;0,"Holiday",IF(INDEX('Work Calendar'!$C$6:$C$12,WEEKDAY($A242,1))=1,"Working","Weekend")))</f>
        <v>Working</v>
      </c>
      <c r="D242" s="341">
        <f>IF($A242="","",SUMIFS('Timesheet Raw'!$P$4:$P$8000,'Timesheet Raw'!$L$4:$L$8000,$A242,'Timesheet Raw'!$C$4:$C$8000,D$3,'Timesheet Raw'!$A$4:$A$8000,"1-Projects"))</f>
        <v>0</v>
      </c>
      <c r="E242" s="341">
        <f>IF($A242="","",SUMIFS('Timesheet Raw'!$P$4:$P$8000,'Timesheet Raw'!$L$4:$L$8000,$A242,'Timesheet Raw'!$C$4:$C$8000,D$3,'Timesheet Raw'!$A$4:$A$8000,"2-Proposals Chargeable")+SUMIFS('Timesheet Raw'!$P$4:$P$8000,'Timesheet Raw'!$L$4:$L$8000,$A242,'Timesheet Raw'!$C$4:$C$8000,D$3,'Timesheet Raw'!$A$4:$A$8000,"3-Proposals Regular"))</f>
        <v>0</v>
      </c>
      <c r="F242" s="341">
        <f>IF($A242="","",SUMIFS('Timesheet Raw'!$P$4:$P$8000,'Timesheet Raw'!$L$4:$L$8000,$A242,'Timesheet Raw'!$C$4:$C$8000,D$3,'Timesheet Raw'!$B$4:$B$8000,'Work Calendar'!$A$26)+SUMIFS('Timesheet Raw'!$P$4:$P$8000,'Timesheet Raw'!$L$4:$L$8000,$A242,'Timesheet Raw'!$C$4:$C$8000,D$3,'Timesheet Raw'!$B$4:$B$8000,'Work Calendar'!$A$27)+SUMIFS('Timesheet Raw'!$P$4:$P$8000,'Timesheet Raw'!$L$4:$L$8000,$A242,'Timesheet Raw'!$C$4:$C$8000,D$3,'Timesheet Raw'!$B$4:$B$8000,'Work Calendar'!$A$28)+SUMIFS('Timesheet Raw'!$P$4:$P$8000,'Timesheet Raw'!$L$4:$L$8000,$A242,'Timesheet Raw'!$C$4:$C$8000,D$3,'Timesheet Raw'!$B$4:$B$8000,'Work Calendar'!$A$29))</f>
        <v>0</v>
      </c>
      <c r="G242" s="341">
        <f t="shared" si="13"/>
        <v>0</v>
      </c>
      <c r="H242" s="395">
        <f>IF($A242="","",SUMIFS('Timesheet Raw'!$K$4:$K$8000,'Timesheet Raw'!$L$4:$L$8000,$A242,'Timesheet Raw'!$C$4:$C$8000,D$3))</f>
        <v>0</v>
      </c>
      <c r="I242" s="345">
        <f>IF($A242="","",SUMIFS('Timesheet Raw'!$P$4:$P$8000,'Timesheet Raw'!$L$4:$L$8000,$A242,'Timesheet Raw'!$C$4:$C$8000,D$3))</f>
        <v>0</v>
      </c>
      <c r="J242" s="375"/>
      <c r="K242" t="str">
        <f>IF($A242="","",IF(J242&lt;&gt;"",J242,IF($A242&gt;'Work Calendar'!$B$17,"No data yet",IF(AND(F242&gt;='Work Calendar'!$B$14,D242+E242+G242&gt;0),"Day off - but worked",IF(F242&gt;='Work Calendar'!$B$14,"Day off",IF(D242+E242+G242&gt;0,IF($C242="Working","Charged","Worked weekend"),IF($C242="Working","Leave (not charged)",$C242)))))))</f>
        <v>No data yet</v>
      </c>
      <c r="L242" s="341">
        <f>IF($A242="","",SUMIFS('Timesheet Raw'!$P$4:$P$8000,'Timesheet Raw'!$L$4:$L$8000,$A242,'Timesheet Raw'!$C$4:$C$8000,L$3,'Timesheet Raw'!$A$4:$A$8000,"1-Projects"))</f>
        <v>0</v>
      </c>
      <c r="M242" s="341">
        <f>IF($A242="","",SUMIFS('Timesheet Raw'!$P$4:$P$8000,'Timesheet Raw'!$L$4:$L$8000,$A242,'Timesheet Raw'!$C$4:$C$8000,L$3,'Timesheet Raw'!$A$4:$A$8000,"2-Proposals Chargeable")+SUMIFS('Timesheet Raw'!$P$4:$P$8000,'Timesheet Raw'!$L$4:$L$8000,$A242,'Timesheet Raw'!$C$4:$C$8000,L$3,'Timesheet Raw'!$A$4:$A$8000,"3-Proposals Regular"))</f>
        <v>0</v>
      </c>
      <c r="N242" s="341">
        <f>IF($A242="","",SUMIFS('Timesheet Raw'!$P$4:$P$8000,'Timesheet Raw'!$L$4:$L$8000,$A242,'Timesheet Raw'!$C$4:$C$8000,L$3,'Timesheet Raw'!$B$4:$B$8000,'Work Calendar'!$A$26)+SUMIFS('Timesheet Raw'!$P$4:$P$8000,'Timesheet Raw'!$L$4:$L$8000,$A242,'Timesheet Raw'!$C$4:$C$8000,L$3,'Timesheet Raw'!$B$4:$B$8000,'Work Calendar'!$A$27)+SUMIFS('Timesheet Raw'!$P$4:$P$8000,'Timesheet Raw'!$L$4:$L$8000,$A242,'Timesheet Raw'!$C$4:$C$8000,L$3,'Timesheet Raw'!$B$4:$B$8000,'Work Calendar'!$A$28)+SUMIFS('Timesheet Raw'!$P$4:$P$8000,'Timesheet Raw'!$L$4:$L$8000,$A242,'Timesheet Raw'!$C$4:$C$8000,L$3,'Timesheet Raw'!$B$4:$B$8000,'Work Calendar'!$A$29))</f>
        <v>0</v>
      </c>
      <c r="O242" s="341">
        <f t="shared" si="14"/>
        <v>0</v>
      </c>
      <c r="P242" s="395">
        <f>IF($A242="","",SUMIFS('Timesheet Raw'!$K$4:$K$8000,'Timesheet Raw'!$L$4:$L$8000,$A242,'Timesheet Raw'!$C$4:$C$8000,L$3))</f>
        <v>0</v>
      </c>
      <c r="Q242" s="345">
        <f>IF($A242="","",SUMIFS('Timesheet Raw'!$P$4:$P$8000,'Timesheet Raw'!$L$4:$L$8000,$A242,'Timesheet Raw'!$C$4:$C$8000,L$3))</f>
        <v>0</v>
      </c>
      <c r="R242" s="375"/>
      <c r="S242" t="str">
        <f>IF($A242="","",IF(R242&lt;&gt;"",R242,IF($A242&gt;'Work Calendar'!$B$17,"No data yet",IF(AND(N242&gt;='Work Calendar'!$B$14,L242+M242+O242&gt;0),"Day off - but worked",IF(N242&gt;='Work Calendar'!$B$14,"Day off",IF(L242+M242+O242&gt;0,IF($C242="Working","Charged","Worked weekend"),IF($C242="Working","Leave (not charged)",$C242)))))))</f>
        <v>No data yet</v>
      </c>
      <c r="T242" s="341">
        <f>IF($A242="","",SUMIFS('Timesheet Raw'!$P$4:$P$8000,'Timesheet Raw'!$L$4:$L$8000,$A242,'Timesheet Raw'!$C$4:$C$8000,T$3,'Timesheet Raw'!$A$4:$A$8000,"1-Projects"))</f>
        <v>0</v>
      </c>
      <c r="U242" s="341">
        <f>IF($A242="","",SUMIFS('Timesheet Raw'!$P$4:$P$8000,'Timesheet Raw'!$L$4:$L$8000,$A242,'Timesheet Raw'!$C$4:$C$8000,T$3,'Timesheet Raw'!$A$4:$A$8000,"2-Proposals Chargeable")+SUMIFS('Timesheet Raw'!$P$4:$P$8000,'Timesheet Raw'!$L$4:$L$8000,$A242,'Timesheet Raw'!$C$4:$C$8000,T$3,'Timesheet Raw'!$A$4:$A$8000,"3-Proposals Regular"))</f>
        <v>0</v>
      </c>
      <c r="V242" s="341">
        <f>IF($A242="","",SUMIFS('Timesheet Raw'!$P$4:$P$8000,'Timesheet Raw'!$L$4:$L$8000,$A242,'Timesheet Raw'!$C$4:$C$8000,T$3,'Timesheet Raw'!$B$4:$B$8000,'Work Calendar'!$A$26)+SUMIFS('Timesheet Raw'!$P$4:$P$8000,'Timesheet Raw'!$L$4:$L$8000,$A242,'Timesheet Raw'!$C$4:$C$8000,T$3,'Timesheet Raw'!$B$4:$B$8000,'Work Calendar'!$A$27)+SUMIFS('Timesheet Raw'!$P$4:$P$8000,'Timesheet Raw'!$L$4:$L$8000,$A242,'Timesheet Raw'!$C$4:$C$8000,T$3,'Timesheet Raw'!$B$4:$B$8000,'Work Calendar'!$A$28)+SUMIFS('Timesheet Raw'!$P$4:$P$8000,'Timesheet Raw'!$L$4:$L$8000,$A242,'Timesheet Raw'!$C$4:$C$8000,T$3,'Timesheet Raw'!$B$4:$B$8000,'Work Calendar'!$A$29))</f>
        <v>0</v>
      </c>
      <c r="W242" s="341">
        <f t="shared" si="15"/>
        <v>0</v>
      </c>
      <c r="X242" s="395">
        <f>IF($A242="","",SUMIFS('Timesheet Raw'!$K$4:$K$8000,'Timesheet Raw'!$L$4:$L$8000,$A242,'Timesheet Raw'!$C$4:$C$8000,T$3))</f>
        <v>0</v>
      </c>
      <c r="Y242" s="345">
        <f>IF($A242="","",SUMIFS('Timesheet Raw'!$P$4:$P$8000,'Timesheet Raw'!$L$4:$L$8000,$A242,'Timesheet Raw'!$C$4:$C$8000,T$3))</f>
        <v>0</v>
      </c>
      <c r="Z242" s="375"/>
      <c r="AA242" t="str">
        <f>IF($A242="","",IF(Z242&lt;&gt;"",Z242,IF($A242&gt;'Work Calendar'!$B$17,"No data yet",IF(AND(V242&gt;='Work Calendar'!$B$14,T242+U242+W242&gt;0),"Day off - but worked",IF(V242&gt;='Work Calendar'!$B$14,"Day off",IF(T242+U242+W242&gt;0,IF($C242="Working","Charged","Worked weekend"),IF($C242="Working","Leave (not charged)",$C242)))))))</f>
        <v>No data yet</v>
      </c>
    </row>
    <row r="243" spans="1:27" x14ac:dyDescent="0.3">
      <c r="A243" s="371">
        <f>IF($A242="","",IF($A242+1&gt;'Work Calendar'!$B$16,"",$A242+1))</f>
        <v>46261</v>
      </c>
      <c r="B243" t="str">
        <f t="shared" si="12"/>
        <v>Thu</v>
      </c>
      <c r="C243" t="str" cm="1">
        <f t="array" ref="C243">IF($A243="","",IF(COUNTIF('Work Calendar'!$E$6:$E$200,$A243)&gt;0,"Holiday",IF(INDEX('Work Calendar'!$C$6:$C$12,WEEKDAY($A243,1))=1,"Working","Weekend")))</f>
        <v>Working</v>
      </c>
      <c r="D243" s="341">
        <f>IF($A243="","",SUMIFS('Timesheet Raw'!$P$4:$P$8000,'Timesheet Raw'!$L$4:$L$8000,$A243,'Timesheet Raw'!$C$4:$C$8000,D$3,'Timesheet Raw'!$A$4:$A$8000,"1-Projects"))</f>
        <v>0</v>
      </c>
      <c r="E243" s="341">
        <f>IF($A243="","",SUMIFS('Timesheet Raw'!$P$4:$P$8000,'Timesheet Raw'!$L$4:$L$8000,$A243,'Timesheet Raw'!$C$4:$C$8000,D$3,'Timesheet Raw'!$A$4:$A$8000,"2-Proposals Chargeable")+SUMIFS('Timesheet Raw'!$P$4:$P$8000,'Timesheet Raw'!$L$4:$L$8000,$A243,'Timesheet Raw'!$C$4:$C$8000,D$3,'Timesheet Raw'!$A$4:$A$8000,"3-Proposals Regular"))</f>
        <v>0</v>
      </c>
      <c r="F243" s="341">
        <f>IF($A243="","",SUMIFS('Timesheet Raw'!$P$4:$P$8000,'Timesheet Raw'!$L$4:$L$8000,$A243,'Timesheet Raw'!$C$4:$C$8000,D$3,'Timesheet Raw'!$B$4:$B$8000,'Work Calendar'!$A$26)+SUMIFS('Timesheet Raw'!$P$4:$P$8000,'Timesheet Raw'!$L$4:$L$8000,$A243,'Timesheet Raw'!$C$4:$C$8000,D$3,'Timesheet Raw'!$B$4:$B$8000,'Work Calendar'!$A$27)+SUMIFS('Timesheet Raw'!$P$4:$P$8000,'Timesheet Raw'!$L$4:$L$8000,$A243,'Timesheet Raw'!$C$4:$C$8000,D$3,'Timesheet Raw'!$B$4:$B$8000,'Work Calendar'!$A$28)+SUMIFS('Timesheet Raw'!$P$4:$P$8000,'Timesheet Raw'!$L$4:$L$8000,$A243,'Timesheet Raw'!$C$4:$C$8000,D$3,'Timesheet Raw'!$B$4:$B$8000,'Work Calendar'!$A$29))</f>
        <v>0</v>
      </c>
      <c r="G243" s="341">
        <f t="shared" si="13"/>
        <v>0</v>
      </c>
      <c r="H243" s="395">
        <f>IF($A243="","",SUMIFS('Timesheet Raw'!$K$4:$K$8000,'Timesheet Raw'!$L$4:$L$8000,$A243,'Timesheet Raw'!$C$4:$C$8000,D$3))</f>
        <v>0</v>
      </c>
      <c r="I243" s="345">
        <f>IF($A243="","",SUMIFS('Timesheet Raw'!$P$4:$P$8000,'Timesheet Raw'!$L$4:$L$8000,$A243,'Timesheet Raw'!$C$4:$C$8000,D$3))</f>
        <v>0</v>
      </c>
      <c r="J243" s="375"/>
      <c r="K243" t="str">
        <f>IF($A243="","",IF(J243&lt;&gt;"",J243,IF($A243&gt;'Work Calendar'!$B$17,"No data yet",IF(AND(F243&gt;='Work Calendar'!$B$14,D243+E243+G243&gt;0),"Day off - but worked",IF(F243&gt;='Work Calendar'!$B$14,"Day off",IF(D243+E243+G243&gt;0,IF($C243="Working","Charged","Worked weekend"),IF($C243="Working","Leave (not charged)",$C243)))))))</f>
        <v>No data yet</v>
      </c>
      <c r="L243" s="341">
        <f>IF($A243="","",SUMIFS('Timesheet Raw'!$P$4:$P$8000,'Timesheet Raw'!$L$4:$L$8000,$A243,'Timesheet Raw'!$C$4:$C$8000,L$3,'Timesheet Raw'!$A$4:$A$8000,"1-Projects"))</f>
        <v>0</v>
      </c>
      <c r="M243" s="341">
        <f>IF($A243="","",SUMIFS('Timesheet Raw'!$P$4:$P$8000,'Timesheet Raw'!$L$4:$L$8000,$A243,'Timesheet Raw'!$C$4:$C$8000,L$3,'Timesheet Raw'!$A$4:$A$8000,"2-Proposals Chargeable")+SUMIFS('Timesheet Raw'!$P$4:$P$8000,'Timesheet Raw'!$L$4:$L$8000,$A243,'Timesheet Raw'!$C$4:$C$8000,L$3,'Timesheet Raw'!$A$4:$A$8000,"3-Proposals Regular"))</f>
        <v>0</v>
      </c>
      <c r="N243" s="341">
        <f>IF($A243="","",SUMIFS('Timesheet Raw'!$P$4:$P$8000,'Timesheet Raw'!$L$4:$L$8000,$A243,'Timesheet Raw'!$C$4:$C$8000,L$3,'Timesheet Raw'!$B$4:$B$8000,'Work Calendar'!$A$26)+SUMIFS('Timesheet Raw'!$P$4:$P$8000,'Timesheet Raw'!$L$4:$L$8000,$A243,'Timesheet Raw'!$C$4:$C$8000,L$3,'Timesheet Raw'!$B$4:$B$8000,'Work Calendar'!$A$27)+SUMIFS('Timesheet Raw'!$P$4:$P$8000,'Timesheet Raw'!$L$4:$L$8000,$A243,'Timesheet Raw'!$C$4:$C$8000,L$3,'Timesheet Raw'!$B$4:$B$8000,'Work Calendar'!$A$28)+SUMIFS('Timesheet Raw'!$P$4:$P$8000,'Timesheet Raw'!$L$4:$L$8000,$A243,'Timesheet Raw'!$C$4:$C$8000,L$3,'Timesheet Raw'!$B$4:$B$8000,'Work Calendar'!$A$29))</f>
        <v>0</v>
      </c>
      <c r="O243" s="341">
        <f t="shared" si="14"/>
        <v>0</v>
      </c>
      <c r="P243" s="395">
        <f>IF($A243="","",SUMIFS('Timesheet Raw'!$K$4:$K$8000,'Timesheet Raw'!$L$4:$L$8000,$A243,'Timesheet Raw'!$C$4:$C$8000,L$3))</f>
        <v>0</v>
      </c>
      <c r="Q243" s="345">
        <f>IF($A243="","",SUMIFS('Timesheet Raw'!$P$4:$P$8000,'Timesheet Raw'!$L$4:$L$8000,$A243,'Timesheet Raw'!$C$4:$C$8000,L$3))</f>
        <v>0</v>
      </c>
      <c r="R243" s="375"/>
      <c r="S243" t="str">
        <f>IF($A243="","",IF(R243&lt;&gt;"",R243,IF($A243&gt;'Work Calendar'!$B$17,"No data yet",IF(AND(N243&gt;='Work Calendar'!$B$14,L243+M243+O243&gt;0),"Day off - but worked",IF(N243&gt;='Work Calendar'!$B$14,"Day off",IF(L243+M243+O243&gt;0,IF($C243="Working","Charged","Worked weekend"),IF($C243="Working","Leave (not charged)",$C243)))))))</f>
        <v>No data yet</v>
      </c>
      <c r="T243" s="341">
        <f>IF($A243="","",SUMIFS('Timesheet Raw'!$P$4:$P$8000,'Timesheet Raw'!$L$4:$L$8000,$A243,'Timesheet Raw'!$C$4:$C$8000,T$3,'Timesheet Raw'!$A$4:$A$8000,"1-Projects"))</f>
        <v>0</v>
      </c>
      <c r="U243" s="341">
        <f>IF($A243="","",SUMIFS('Timesheet Raw'!$P$4:$P$8000,'Timesheet Raw'!$L$4:$L$8000,$A243,'Timesheet Raw'!$C$4:$C$8000,T$3,'Timesheet Raw'!$A$4:$A$8000,"2-Proposals Chargeable")+SUMIFS('Timesheet Raw'!$P$4:$P$8000,'Timesheet Raw'!$L$4:$L$8000,$A243,'Timesheet Raw'!$C$4:$C$8000,T$3,'Timesheet Raw'!$A$4:$A$8000,"3-Proposals Regular"))</f>
        <v>0</v>
      </c>
      <c r="V243" s="341">
        <f>IF($A243="","",SUMIFS('Timesheet Raw'!$P$4:$P$8000,'Timesheet Raw'!$L$4:$L$8000,$A243,'Timesheet Raw'!$C$4:$C$8000,T$3,'Timesheet Raw'!$B$4:$B$8000,'Work Calendar'!$A$26)+SUMIFS('Timesheet Raw'!$P$4:$P$8000,'Timesheet Raw'!$L$4:$L$8000,$A243,'Timesheet Raw'!$C$4:$C$8000,T$3,'Timesheet Raw'!$B$4:$B$8000,'Work Calendar'!$A$27)+SUMIFS('Timesheet Raw'!$P$4:$P$8000,'Timesheet Raw'!$L$4:$L$8000,$A243,'Timesheet Raw'!$C$4:$C$8000,T$3,'Timesheet Raw'!$B$4:$B$8000,'Work Calendar'!$A$28)+SUMIFS('Timesheet Raw'!$P$4:$P$8000,'Timesheet Raw'!$L$4:$L$8000,$A243,'Timesheet Raw'!$C$4:$C$8000,T$3,'Timesheet Raw'!$B$4:$B$8000,'Work Calendar'!$A$29))</f>
        <v>0</v>
      </c>
      <c r="W243" s="341">
        <f t="shared" si="15"/>
        <v>0</v>
      </c>
      <c r="X243" s="395">
        <f>IF($A243="","",SUMIFS('Timesheet Raw'!$K$4:$K$8000,'Timesheet Raw'!$L$4:$L$8000,$A243,'Timesheet Raw'!$C$4:$C$8000,T$3))</f>
        <v>0</v>
      </c>
      <c r="Y243" s="345">
        <f>IF($A243="","",SUMIFS('Timesheet Raw'!$P$4:$P$8000,'Timesheet Raw'!$L$4:$L$8000,$A243,'Timesheet Raw'!$C$4:$C$8000,T$3))</f>
        <v>0</v>
      </c>
      <c r="Z243" s="375"/>
      <c r="AA243" t="str">
        <f>IF($A243="","",IF(Z243&lt;&gt;"",Z243,IF($A243&gt;'Work Calendar'!$B$17,"No data yet",IF(AND(V243&gt;='Work Calendar'!$B$14,T243+U243+W243&gt;0),"Day off - but worked",IF(V243&gt;='Work Calendar'!$B$14,"Day off",IF(T243+U243+W243&gt;0,IF($C243="Working","Charged","Worked weekend"),IF($C243="Working","Leave (not charged)",$C243)))))))</f>
        <v>No data yet</v>
      </c>
    </row>
    <row r="244" spans="1:27" x14ac:dyDescent="0.3">
      <c r="A244" s="371">
        <f>IF($A243="","",IF($A243+1&gt;'Work Calendar'!$B$16,"",$A243+1))</f>
        <v>46262</v>
      </c>
      <c r="B244" t="str">
        <f t="shared" si="12"/>
        <v>Fri</v>
      </c>
      <c r="C244" t="str" cm="1">
        <f t="array" ref="C244">IF($A244="","",IF(COUNTIF('Work Calendar'!$E$6:$E$200,$A244)&gt;0,"Holiday",IF(INDEX('Work Calendar'!$C$6:$C$12,WEEKDAY($A244,1))=1,"Working","Weekend")))</f>
        <v>Weekend</v>
      </c>
      <c r="D244" s="341">
        <f>IF($A244="","",SUMIFS('Timesheet Raw'!$P$4:$P$8000,'Timesheet Raw'!$L$4:$L$8000,$A244,'Timesheet Raw'!$C$4:$C$8000,D$3,'Timesheet Raw'!$A$4:$A$8000,"1-Projects"))</f>
        <v>0</v>
      </c>
      <c r="E244" s="341">
        <f>IF($A244="","",SUMIFS('Timesheet Raw'!$P$4:$P$8000,'Timesheet Raw'!$L$4:$L$8000,$A244,'Timesheet Raw'!$C$4:$C$8000,D$3,'Timesheet Raw'!$A$4:$A$8000,"2-Proposals Chargeable")+SUMIFS('Timesheet Raw'!$P$4:$P$8000,'Timesheet Raw'!$L$4:$L$8000,$A244,'Timesheet Raw'!$C$4:$C$8000,D$3,'Timesheet Raw'!$A$4:$A$8000,"3-Proposals Regular"))</f>
        <v>0</v>
      </c>
      <c r="F244" s="341">
        <f>IF($A244="","",SUMIFS('Timesheet Raw'!$P$4:$P$8000,'Timesheet Raw'!$L$4:$L$8000,$A244,'Timesheet Raw'!$C$4:$C$8000,D$3,'Timesheet Raw'!$B$4:$B$8000,'Work Calendar'!$A$26)+SUMIFS('Timesheet Raw'!$P$4:$P$8000,'Timesheet Raw'!$L$4:$L$8000,$A244,'Timesheet Raw'!$C$4:$C$8000,D$3,'Timesheet Raw'!$B$4:$B$8000,'Work Calendar'!$A$27)+SUMIFS('Timesheet Raw'!$P$4:$P$8000,'Timesheet Raw'!$L$4:$L$8000,$A244,'Timesheet Raw'!$C$4:$C$8000,D$3,'Timesheet Raw'!$B$4:$B$8000,'Work Calendar'!$A$28)+SUMIFS('Timesheet Raw'!$P$4:$P$8000,'Timesheet Raw'!$L$4:$L$8000,$A244,'Timesheet Raw'!$C$4:$C$8000,D$3,'Timesheet Raw'!$B$4:$B$8000,'Work Calendar'!$A$29))</f>
        <v>0</v>
      </c>
      <c r="G244" s="341">
        <f t="shared" si="13"/>
        <v>0</v>
      </c>
      <c r="H244" s="395">
        <f>IF($A244="","",SUMIFS('Timesheet Raw'!$K$4:$K$8000,'Timesheet Raw'!$L$4:$L$8000,$A244,'Timesheet Raw'!$C$4:$C$8000,D$3))</f>
        <v>0</v>
      </c>
      <c r="I244" s="345">
        <f>IF($A244="","",SUMIFS('Timesheet Raw'!$P$4:$P$8000,'Timesheet Raw'!$L$4:$L$8000,$A244,'Timesheet Raw'!$C$4:$C$8000,D$3))</f>
        <v>0</v>
      </c>
      <c r="J244" s="375"/>
      <c r="K244" t="str">
        <f>IF($A244="","",IF(J244&lt;&gt;"",J244,IF($A244&gt;'Work Calendar'!$B$17,"No data yet",IF(AND(F244&gt;='Work Calendar'!$B$14,D244+E244+G244&gt;0),"Day off - but worked",IF(F244&gt;='Work Calendar'!$B$14,"Day off",IF(D244+E244+G244&gt;0,IF($C244="Working","Charged","Worked weekend"),IF($C244="Working","Leave (not charged)",$C244)))))))</f>
        <v>No data yet</v>
      </c>
      <c r="L244" s="341">
        <f>IF($A244="","",SUMIFS('Timesheet Raw'!$P$4:$P$8000,'Timesheet Raw'!$L$4:$L$8000,$A244,'Timesheet Raw'!$C$4:$C$8000,L$3,'Timesheet Raw'!$A$4:$A$8000,"1-Projects"))</f>
        <v>0</v>
      </c>
      <c r="M244" s="341">
        <f>IF($A244="","",SUMIFS('Timesheet Raw'!$P$4:$P$8000,'Timesheet Raw'!$L$4:$L$8000,$A244,'Timesheet Raw'!$C$4:$C$8000,L$3,'Timesheet Raw'!$A$4:$A$8000,"2-Proposals Chargeable")+SUMIFS('Timesheet Raw'!$P$4:$P$8000,'Timesheet Raw'!$L$4:$L$8000,$A244,'Timesheet Raw'!$C$4:$C$8000,L$3,'Timesheet Raw'!$A$4:$A$8000,"3-Proposals Regular"))</f>
        <v>0</v>
      </c>
      <c r="N244" s="341">
        <f>IF($A244="","",SUMIFS('Timesheet Raw'!$P$4:$P$8000,'Timesheet Raw'!$L$4:$L$8000,$A244,'Timesheet Raw'!$C$4:$C$8000,L$3,'Timesheet Raw'!$B$4:$B$8000,'Work Calendar'!$A$26)+SUMIFS('Timesheet Raw'!$P$4:$P$8000,'Timesheet Raw'!$L$4:$L$8000,$A244,'Timesheet Raw'!$C$4:$C$8000,L$3,'Timesheet Raw'!$B$4:$B$8000,'Work Calendar'!$A$27)+SUMIFS('Timesheet Raw'!$P$4:$P$8000,'Timesheet Raw'!$L$4:$L$8000,$A244,'Timesheet Raw'!$C$4:$C$8000,L$3,'Timesheet Raw'!$B$4:$B$8000,'Work Calendar'!$A$28)+SUMIFS('Timesheet Raw'!$P$4:$P$8000,'Timesheet Raw'!$L$4:$L$8000,$A244,'Timesheet Raw'!$C$4:$C$8000,L$3,'Timesheet Raw'!$B$4:$B$8000,'Work Calendar'!$A$29))</f>
        <v>0</v>
      </c>
      <c r="O244" s="341">
        <f t="shared" si="14"/>
        <v>0</v>
      </c>
      <c r="P244" s="395">
        <f>IF($A244="","",SUMIFS('Timesheet Raw'!$K$4:$K$8000,'Timesheet Raw'!$L$4:$L$8000,$A244,'Timesheet Raw'!$C$4:$C$8000,L$3))</f>
        <v>0</v>
      </c>
      <c r="Q244" s="345">
        <f>IF($A244="","",SUMIFS('Timesheet Raw'!$P$4:$P$8000,'Timesheet Raw'!$L$4:$L$8000,$A244,'Timesheet Raw'!$C$4:$C$8000,L$3))</f>
        <v>0</v>
      </c>
      <c r="R244" s="375"/>
      <c r="S244" t="str">
        <f>IF($A244="","",IF(R244&lt;&gt;"",R244,IF($A244&gt;'Work Calendar'!$B$17,"No data yet",IF(AND(N244&gt;='Work Calendar'!$B$14,L244+M244+O244&gt;0),"Day off - but worked",IF(N244&gt;='Work Calendar'!$B$14,"Day off",IF(L244+M244+O244&gt;0,IF($C244="Working","Charged","Worked weekend"),IF($C244="Working","Leave (not charged)",$C244)))))))</f>
        <v>No data yet</v>
      </c>
      <c r="T244" s="341">
        <f>IF($A244="","",SUMIFS('Timesheet Raw'!$P$4:$P$8000,'Timesheet Raw'!$L$4:$L$8000,$A244,'Timesheet Raw'!$C$4:$C$8000,T$3,'Timesheet Raw'!$A$4:$A$8000,"1-Projects"))</f>
        <v>0</v>
      </c>
      <c r="U244" s="341">
        <f>IF($A244="","",SUMIFS('Timesheet Raw'!$P$4:$P$8000,'Timesheet Raw'!$L$4:$L$8000,$A244,'Timesheet Raw'!$C$4:$C$8000,T$3,'Timesheet Raw'!$A$4:$A$8000,"2-Proposals Chargeable")+SUMIFS('Timesheet Raw'!$P$4:$P$8000,'Timesheet Raw'!$L$4:$L$8000,$A244,'Timesheet Raw'!$C$4:$C$8000,T$3,'Timesheet Raw'!$A$4:$A$8000,"3-Proposals Regular"))</f>
        <v>0</v>
      </c>
      <c r="V244" s="341">
        <f>IF($A244="","",SUMIFS('Timesheet Raw'!$P$4:$P$8000,'Timesheet Raw'!$L$4:$L$8000,$A244,'Timesheet Raw'!$C$4:$C$8000,T$3,'Timesheet Raw'!$B$4:$B$8000,'Work Calendar'!$A$26)+SUMIFS('Timesheet Raw'!$P$4:$P$8000,'Timesheet Raw'!$L$4:$L$8000,$A244,'Timesheet Raw'!$C$4:$C$8000,T$3,'Timesheet Raw'!$B$4:$B$8000,'Work Calendar'!$A$27)+SUMIFS('Timesheet Raw'!$P$4:$P$8000,'Timesheet Raw'!$L$4:$L$8000,$A244,'Timesheet Raw'!$C$4:$C$8000,T$3,'Timesheet Raw'!$B$4:$B$8000,'Work Calendar'!$A$28)+SUMIFS('Timesheet Raw'!$P$4:$P$8000,'Timesheet Raw'!$L$4:$L$8000,$A244,'Timesheet Raw'!$C$4:$C$8000,T$3,'Timesheet Raw'!$B$4:$B$8000,'Work Calendar'!$A$29))</f>
        <v>0</v>
      </c>
      <c r="W244" s="341">
        <f t="shared" si="15"/>
        <v>0</v>
      </c>
      <c r="X244" s="395">
        <f>IF($A244="","",SUMIFS('Timesheet Raw'!$K$4:$K$8000,'Timesheet Raw'!$L$4:$L$8000,$A244,'Timesheet Raw'!$C$4:$C$8000,T$3))</f>
        <v>0</v>
      </c>
      <c r="Y244" s="345">
        <f>IF($A244="","",SUMIFS('Timesheet Raw'!$P$4:$P$8000,'Timesheet Raw'!$L$4:$L$8000,$A244,'Timesheet Raw'!$C$4:$C$8000,T$3))</f>
        <v>0</v>
      </c>
      <c r="Z244" s="375"/>
      <c r="AA244" t="str">
        <f>IF($A244="","",IF(Z244&lt;&gt;"",Z244,IF($A244&gt;'Work Calendar'!$B$17,"No data yet",IF(AND(V244&gt;='Work Calendar'!$B$14,T244+U244+W244&gt;0),"Day off - but worked",IF(V244&gt;='Work Calendar'!$B$14,"Day off",IF(T244+U244+W244&gt;0,IF($C244="Working","Charged","Worked weekend"),IF($C244="Working","Leave (not charged)",$C244)))))))</f>
        <v>No data yet</v>
      </c>
    </row>
    <row r="245" spans="1:27" x14ac:dyDescent="0.3">
      <c r="A245" s="371">
        <f>IF($A244="","",IF($A244+1&gt;'Work Calendar'!$B$16,"",$A244+1))</f>
        <v>46263</v>
      </c>
      <c r="B245" t="str">
        <f t="shared" si="12"/>
        <v>Sat</v>
      </c>
      <c r="C245" t="str" cm="1">
        <f t="array" ref="C245">IF($A245="","",IF(COUNTIF('Work Calendar'!$E$6:$E$200,$A245)&gt;0,"Holiday",IF(INDEX('Work Calendar'!$C$6:$C$12,WEEKDAY($A245,1))=1,"Working","Weekend")))</f>
        <v>Weekend</v>
      </c>
      <c r="D245" s="341">
        <f>IF($A245="","",SUMIFS('Timesheet Raw'!$P$4:$P$8000,'Timesheet Raw'!$L$4:$L$8000,$A245,'Timesheet Raw'!$C$4:$C$8000,D$3,'Timesheet Raw'!$A$4:$A$8000,"1-Projects"))</f>
        <v>0</v>
      </c>
      <c r="E245" s="341">
        <f>IF($A245="","",SUMIFS('Timesheet Raw'!$P$4:$P$8000,'Timesheet Raw'!$L$4:$L$8000,$A245,'Timesheet Raw'!$C$4:$C$8000,D$3,'Timesheet Raw'!$A$4:$A$8000,"2-Proposals Chargeable")+SUMIFS('Timesheet Raw'!$P$4:$P$8000,'Timesheet Raw'!$L$4:$L$8000,$A245,'Timesheet Raw'!$C$4:$C$8000,D$3,'Timesheet Raw'!$A$4:$A$8000,"3-Proposals Regular"))</f>
        <v>0</v>
      </c>
      <c r="F245" s="341">
        <f>IF($A245="","",SUMIFS('Timesheet Raw'!$P$4:$P$8000,'Timesheet Raw'!$L$4:$L$8000,$A245,'Timesheet Raw'!$C$4:$C$8000,D$3,'Timesheet Raw'!$B$4:$B$8000,'Work Calendar'!$A$26)+SUMIFS('Timesheet Raw'!$P$4:$P$8000,'Timesheet Raw'!$L$4:$L$8000,$A245,'Timesheet Raw'!$C$4:$C$8000,D$3,'Timesheet Raw'!$B$4:$B$8000,'Work Calendar'!$A$27)+SUMIFS('Timesheet Raw'!$P$4:$P$8000,'Timesheet Raw'!$L$4:$L$8000,$A245,'Timesheet Raw'!$C$4:$C$8000,D$3,'Timesheet Raw'!$B$4:$B$8000,'Work Calendar'!$A$28)+SUMIFS('Timesheet Raw'!$P$4:$P$8000,'Timesheet Raw'!$L$4:$L$8000,$A245,'Timesheet Raw'!$C$4:$C$8000,D$3,'Timesheet Raw'!$B$4:$B$8000,'Work Calendar'!$A$29))</f>
        <v>0</v>
      </c>
      <c r="G245" s="341">
        <f t="shared" si="13"/>
        <v>0</v>
      </c>
      <c r="H245" s="395">
        <f>IF($A245="","",SUMIFS('Timesheet Raw'!$K$4:$K$8000,'Timesheet Raw'!$L$4:$L$8000,$A245,'Timesheet Raw'!$C$4:$C$8000,D$3))</f>
        <v>0</v>
      </c>
      <c r="I245" s="345">
        <f>IF($A245="","",SUMIFS('Timesheet Raw'!$P$4:$P$8000,'Timesheet Raw'!$L$4:$L$8000,$A245,'Timesheet Raw'!$C$4:$C$8000,D$3))</f>
        <v>0</v>
      </c>
      <c r="J245" s="375"/>
      <c r="K245" t="str">
        <f>IF($A245="","",IF(J245&lt;&gt;"",J245,IF($A245&gt;'Work Calendar'!$B$17,"No data yet",IF(AND(F245&gt;='Work Calendar'!$B$14,D245+E245+G245&gt;0),"Day off - but worked",IF(F245&gt;='Work Calendar'!$B$14,"Day off",IF(D245+E245+G245&gt;0,IF($C245="Working","Charged","Worked weekend"),IF($C245="Working","Leave (not charged)",$C245)))))))</f>
        <v>No data yet</v>
      </c>
      <c r="L245" s="341">
        <f>IF($A245="","",SUMIFS('Timesheet Raw'!$P$4:$P$8000,'Timesheet Raw'!$L$4:$L$8000,$A245,'Timesheet Raw'!$C$4:$C$8000,L$3,'Timesheet Raw'!$A$4:$A$8000,"1-Projects"))</f>
        <v>0</v>
      </c>
      <c r="M245" s="341">
        <f>IF($A245="","",SUMIFS('Timesheet Raw'!$P$4:$P$8000,'Timesheet Raw'!$L$4:$L$8000,$A245,'Timesheet Raw'!$C$4:$C$8000,L$3,'Timesheet Raw'!$A$4:$A$8000,"2-Proposals Chargeable")+SUMIFS('Timesheet Raw'!$P$4:$P$8000,'Timesheet Raw'!$L$4:$L$8000,$A245,'Timesheet Raw'!$C$4:$C$8000,L$3,'Timesheet Raw'!$A$4:$A$8000,"3-Proposals Regular"))</f>
        <v>0</v>
      </c>
      <c r="N245" s="341">
        <f>IF($A245="","",SUMIFS('Timesheet Raw'!$P$4:$P$8000,'Timesheet Raw'!$L$4:$L$8000,$A245,'Timesheet Raw'!$C$4:$C$8000,L$3,'Timesheet Raw'!$B$4:$B$8000,'Work Calendar'!$A$26)+SUMIFS('Timesheet Raw'!$P$4:$P$8000,'Timesheet Raw'!$L$4:$L$8000,$A245,'Timesheet Raw'!$C$4:$C$8000,L$3,'Timesheet Raw'!$B$4:$B$8000,'Work Calendar'!$A$27)+SUMIFS('Timesheet Raw'!$P$4:$P$8000,'Timesheet Raw'!$L$4:$L$8000,$A245,'Timesheet Raw'!$C$4:$C$8000,L$3,'Timesheet Raw'!$B$4:$B$8000,'Work Calendar'!$A$28)+SUMIFS('Timesheet Raw'!$P$4:$P$8000,'Timesheet Raw'!$L$4:$L$8000,$A245,'Timesheet Raw'!$C$4:$C$8000,L$3,'Timesheet Raw'!$B$4:$B$8000,'Work Calendar'!$A$29))</f>
        <v>0</v>
      </c>
      <c r="O245" s="341">
        <f t="shared" si="14"/>
        <v>0</v>
      </c>
      <c r="P245" s="395">
        <f>IF($A245="","",SUMIFS('Timesheet Raw'!$K$4:$K$8000,'Timesheet Raw'!$L$4:$L$8000,$A245,'Timesheet Raw'!$C$4:$C$8000,L$3))</f>
        <v>0</v>
      </c>
      <c r="Q245" s="345">
        <f>IF($A245="","",SUMIFS('Timesheet Raw'!$P$4:$P$8000,'Timesheet Raw'!$L$4:$L$8000,$A245,'Timesheet Raw'!$C$4:$C$8000,L$3))</f>
        <v>0</v>
      </c>
      <c r="R245" s="375"/>
      <c r="S245" t="str">
        <f>IF($A245="","",IF(R245&lt;&gt;"",R245,IF($A245&gt;'Work Calendar'!$B$17,"No data yet",IF(AND(N245&gt;='Work Calendar'!$B$14,L245+M245+O245&gt;0),"Day off - but worked",IF(N245&gt;='Work Calendar'!$B$14,"Day off",IF(L245+M245+O245&gt;0,IF($C245="Working","Charged","Worked weekend"),IF($C245="Working","Leave (not charged)",$C245)))))))</f>
        <v>No data yet</v>
      </c>
      <c r="T245" s="341">
        <f>IF($A245="","",SUMIFS('Timesheet Raw'!$P$4:$P$8000,'Timesheet Raw'!$L$4:$L$8000,$A245,'Timesheet Raw'!$C$4:$C$8000,T$3,'Timesheet Raw'!$A$4:$A$8000,"1-Projects"))</f>
        <v>0</v>
      </c>
      <c r="U245" s="341">
        <f>IF($A245="","",SUMIFS('Timesheet Raw'!$P$4:$P$8000,'Timesheet Raw'!$L$4:$L$8000,$A245,'Timesheet Raw'!$C$4:$C$8000,T$3,'Timesheet Raw'!$A$4:$A$8000,"2-Proposals Chargeable")+SUMIFS('Timesheet Raw'!$P$4:$P$8000,'Timesheet Raw'!$L$4:$L$8000,$A245,'Timesheet Raw'!$C$4:$C$8000,T$3,'Timesheet Raw'!$A$4:$A$8000,"3-Proposals Regular"))</f>
        <v>0</v>
      </c>
      <c r="V245" s="341">
        <f>IF($A245="","",SUMIFS('Timesheet Raw'!$P$4:$P$8000,'Timesheet Raw'!$L$4:$L$8000,$A245,'Timesheet Raw'!$C$4:$C$8000,T$3,'Timesheet Raw'!$B$4:$B$8000,'Work Calendar'!$A$26)+SUMIFS('Timesheet Raw'!$P$4:$P$8000,'Timesheet Raw'!$L$4:$L$8000,$A245,'Timesheet Raw'!$C$4:$C$8000,T$3,'Timesheet Raw'!$B$4:$B$8000,'Work Calendar'!$A$27)+SUMIFS('Timesheet Raw'!$P$4:$P$8000,'Timesheet Raw'!$L$4:$L$8000,$A245,'Timesheet Raw'!$C$4:$C$8000,T$3,'Timesheet Raw'!$B$4:$B$8000,'Work Calendar'!$A$28)+SUMIFS('Timesheet Raw'!$P$4:$P$8000,'Timesheet Raw'!$L$4:$L$8000,$A245,'Timesheet Raw'!$C$4:$C$8000,T$3,'Timesheet Raw'!$B$4:$B$8000,'Work Calendar'!$A$29))</f>
        <v>0</v>
      </c>
      <c r="W245" s="341">
        <f t="shared" si="15"/>
        <v>0</v>
      </c>
      <c r="X245" s="395">
        <f>IF($A245="","",SUMIFS('Timesheet Raw'!$K$4:$K$8000,'Timesheet Raw'!$L$4:$L$8000,$A245,'Timesheet Raw'!$C$4:$C$8000,T$3))</f>
        <v>0</v>
      </c>
      <c r="Y245" s="345">
        <f>IF($A245="","",SUMIFS('Timesheet Raw'!$P$4:$P$8000,'Timesheet Raw'!$L$4:$L$8000,$A245,'Timesheet Raw'!$C$4:$C$8000,T$3))</f>
        <v>0</v>
      </c>
      <c r="Z245" s="375"/>
      <c r="AA245" t="str">
        <f>IF($A245="","",IF(Z245&lt;&gt;"",Z245,IF($A245&gt;'Work Calendar'!$B$17,"No data yet",IF(AND(V245&gt;='Work Calendar'!$B$14,T245+U245+W245&gt;0),"Day off - but worked",IF(V245&gt;='Work Calendar'!$B$14,"Day off",IF(T245+U245+W245&gt;0,IF($C245="Working","Charged","Worked weekend"),IF($C245="Working","Leave (not charged)",$C245)))))))</f>
        <v>No data yet</v>
      </c>
    </row>
    <row r="246" spans="1:27" x14ac:dyDescent="0.3">
      <c r="A246" s="371">
        <f>IF($A245="","",IF($A245+1&gt;'Work Calendar'!$B$16,"",$A245+1))</f>
        <v>46264</v>
      </c>
      <c r="B246" t="str">
        <f t="shared" si="12"/>
        <v>Sun</v>
      </c>
      <c r="C246" t="str" cm="1">
        <f t="array" ref="C246">IF($A246="","",IF(COUNTIF('Work Calendar'!$E$6:$E$200,$A246)&gt;0,"Holiday",IF(INDEX('Work Calendar'!$C$6:$C$12,WEEKDAY($A246,1))=1,"Working","Weekend")))</f>
        <v>Working</v>
      </c>
      <c r="D246" s="341">
        <f>IF($A246="","",SUMIFS('Timesheet Raw'!$P$4:$P$8000,'Timesheet Raw'!$L$4:$L$8000,$A246,'Timesheet Raw'!$C$4:$C$8000,D$3,'Timesheet Raw'!$A$4:$A$8000,"1-Projects"))</f>
        <v>0</v>
      </c>
      <c r="E246" s="341">
        <f>IF($A246="","",SUMIFS('Timesheet Raw'!$P$4:$P$8000,'Timesheet Raw'!$L$4:$L$8000,$A246,'Timesheet Raw'!$C$4:$C$8000,D$3,'Timesheet Raw'!$A$4:$A$8000,"2-Proposals Chargeable")+SUMIFS('Timesheet Raw'!$P$4:$P$8000,'Timesheet Raw'!$L$4:$L$8000,$A246,'Timesheet Raw'!$C$4:$C$8000,D$3,'Timesheet Raw'!$A$4:$A$8000,"3-Proposals Regular"))</f>
        <v>0</v>
      </c>
      <c r="F246" s="341">
        <f>IF($A246="","",SUMIFS('Timesheet Raw'!$P$4:$P$8000,'Timesheet Raw'!$L$4:$L$8000,$A246,'Timesheet Raw'!$C$4:$C$8000,D$3,'Timesheet Raw'!$B$4:$B$8000,'Work Calendar'!$A$26)+SUMIFS('Timesheet Raw'!$P$4:$P$8000,'Timesheet Raw'!$L$4:$L$8000,$A246,'Timesheet Raw'!$C$4:$C$8000,D$3,'Timesheet Raw'!$B$4:$B$8000,'Work Calendar'!$A$27)+SUMIFS('Timesheet Raw'!$P$4:$P$8000,'Timesheet Raw'!$L$4:$L$8000,$A246,'Timesheet Raw'!$C$4:$C$8000,D$3,'Timesheet Raw'!$B$4:$B$8000,'Work Calendar'!$A$28)+SUMIFS('Timesheet Raw'!$P$4:$P$8000,'Timesheet Raw'!$L$4:$L$8000,$A246,'Timesheet Raw'!$C$4:$C$8000,D$3,'Timesheet Raw'!$B$4:$B$8000,'Work Calendar'!$A$29))</f>
        <v>0</v>
      </c>
      <c r="G246" s="341">
        <f t="shared" si="13"/>
        <v>0</v>
      </c>
      <c r="H246" s="395">
        <f>IF($A246="","",SUMIFS('Timesheet Raw'!$K$4:$K$8000,'Timesheet Raw'!$L$4:$L$8000,$A246,'Timesheet Raw'!$C$4:$C$8000,D$3))</f>
        <v>0</v>
      </c>
      <c r="I246" s="345">
        <f>IF($A246="","",SUMIFS('Timesheet Raw'!$P$4:$P$8000,'Timesheet Raw'!$L$4:$L$8000,$A246,'Timesheet Raw'!$C$4:$C$8000,D$3))</f>
        <v>0</v>
      </c>
      <c r="J246" s="375"/>
      <c r="K246" t="str">
        <f>IF($A246="","",IF(J246&lt;&gt;"",J246,IF($A246&gt;'Work Calendar'!$B$17,"No data yet",IF(AND(F246&gt;='Work Calendar'!$B$14,D246+E246+G246&gt;0),"Day off - but worked",IF(F246&gt;='Work Calendar'!$B$14,"Day off",IF(D246+E246+G246&gt;0,IF($C246="Working","Charged","Worked weekend"),IF($C246="Working","Leave (not charged)",$C246)))))))</f>
        <v>No data yet</v>
      </c>
      <c r="L246" s="341">
        <f>IF($A246="","",SUMIFS('Timesheet Raw'!$P$4:$P$8000,'Timesheet Raw'!$L$4:$L$8000,$A246,'Timesheet Raw'!$C$4:$C$8000,L$3,'Timesheet Raw'!$A$4:$A$8000,"1-Projects"))</f>
        <v>0</v>
      </c>
      <c r="M246" s="341">
        <f>IF($A246="","",SUMIFS('Timesheet Raw'!$P$4:$P$8000,'Timesheet Raw'!$L$4:$L$8000,$A246,'Timesheet Raw'!$C$4:$C$8000,L$3,'Timesheet Raw'!$A$4:$A$8000,"2-Proposals Chargeable")+SUMIFS('Timesheet Raw'!$P$4:$P$8000,'Timesheet Raw'!$L$4:$L$8000,$A246,'Timesheet Raw'!$C$4:$C$8000,L$3,'Timesheet Raw'!$A$4:$A$8000,"3-Proposals Regular"))</f>
        <v>0</v>
      </c>
      <c r="N246" s="341">
        <f>IF($A246="","",SUMIFS('Timesheet Raw'!$P$4:$P$8000,'Timesheet Raw'!$L$4:$L$8000,$A246,'Timesheet Raw'!$C$4:$C$8000,L$3,'Timesheet Raw'!$B$4:$B$8000,'Work Calendar'!$A$26)+SUMIFS('Timesheet Raw'!$P$4:$P$8000,'Timesheet Raw'!$L$4:$L$8000,$A246,'Timesheet Raw'!$C$4:$C$8000,L$3,'Timesheet Raw'!$B$4:$B$8000,'Work Calendar'!$A$27)+SUMIFS('Timesheet Raw'!$P$4:$P$8000,'Timesheet Raw'!$L$4:$L$8000,$A246,'Timesheet Raw'!$C$4:$C$8000,L$3,'Timesheet Raw'!$B$4:$B$8000,'Work Calendar'!$A$28)+SUMIFS('Timesheet Raw'!$P$4:$P$8000,'Timesheet Raw'!$L$4:$L$8000,$A246,'Timesheet Raw'!$C$4:$C$8000,L$3,'Timesheet Raw'!$B$4:$B$8000,'Work Calendar'!$A$29))</f>
        <v>0</v>
      </c>
      <c r="O246" s="341">
        <f t="shared" si="14"/>
        <v>0</v>
      </c>
      <c r="P246" s="395">
        <f>IF($A246="","",SUMIFS('Timesheet Raw'!$K$4:$K$8000,'Timesheet Raw'!$L$4:$L$8000,$A246,'Timesheet Raw'!$C$4:$C$8000,L$3))</f>
        <v>0</v>
      </c>
      <c r="Q246" s="345">
        <f>IF($A246="","",SUMIFS('Timesheet Raw'!$P$4:$P$8000,'Timesheet Raw'!$L$4:$L$8000,$A246,'Timesheet Raw'!$C$4:$C$8000,L$3))</f>
        <v>0</v>
      </c>
      <c r="R246" s="375"/>
      <c r="S246" t="str">
        <f>IF($A246="","",IF(R246&lt;&gt;"",R246,IF($A246&gt;'Work Calendar'!$B$17,"No data yet",IF(AND(N246&gt;='Work Calendar'!$B$14,L246+M246+O246&gt;0),"Day off - but worked",IF(N246&gt;='Work Calendar'!$B$14,"Day off",IF(L246+M246+O246&gt;0,IF($C246="Working","Charged","Worked weekend"),IF($C246="Working","Leave (not charged)",$C246)))))))</f>
        <v>No data yet</v>
      </c>
      <c r="T246" s="341">
        <f>IF($A246="","",SUMIFS('Timesheet Raw'!$P$4:$P$8000,'Timesheet Raw'!$L$4:$L$8000,$A246,'Timesheet Raw'!$C$4:$C$8000,T$3,'Timesheet Raw'!$A$4:$A$8000,"1-Projects"))</f>
        <v>0</v>
      </c>
      <c r="U246" s="341">
        <f>IF($A246="","",SUMIFS('Timesheet Raw'!$P$4:$P$8000,'Timesheet Raw'!$L$4:$L$8000,$A246,'Timesheet Raw'!$C$4:$C$8000,T$3,'Timesheet Raw'!$A$4:$A$8000,"2-Proposals Chargeable")+SUMIFS('Timesheet Raw'!$P$4:$P$8000,'Timesheet Raw'!$L$4:$L$8000,$A246,'Timesheet Raw'!$C$4:$C$8000,T$3,'Timesheet Raw'!$A$4:$A$8000,"3-Proposals Regular"))</f>
        <v>0</v>
      </c>
      <c r="V246" s="341">
        <f>IF($A246="","",SUMIFS('Timesheet Raw'!$P$4:$P$8000,'Timesheet Raw'!$L$4:$L$8000,$A246,'Timesheet Raw'!$C$4:$C$8000,T$3,'Timesheet Raw'!$B$4:$B$8000,'Work Calendar'!$A$26)+SUMIFS('Timesheet Raw'!$P$4:$P$8000,'Timesheet Raw'!$L$4:$L$8000,$A246,'Timesheet Raw'!$C$4:$C$8000,T$3,'Timesheet Raw'!$B$4:$B$8000,'Work Calendar'!$A$27)+SUMIFS('Timesheet Raw'!$P$4:$P$8000,'Timesheet Raw'!$L$4:$L$8000,$A246,'Timesheet Raw'!$C$4:$C$8000,T$3,'Timesheet Raw'!$B$4:$B$8000,'Work Calendar'!$A$28)+SUMIFS('Timesheet Raw'!$P$4:$P$8000,'Timesheet Raw'!$L$4:$L$8000,$A246,'Timesheet Raw'!$C$4:$C$8000,T$3,'Timesheet Raw'!$B$4:$B$8000,'Work Calendar'!$A$29))</f>
        <v>0</v>
      </c>
      <c r="W246" s="341">
        <f t="shared" si="15"/>
        <v>0</v>
      </c>
      <c r="X246" s="395">
        <f>IF($A246="","",SUMIFS('Timesheet Raw'!$K$4:$K$8000,'Timesheet Raw'!$L$4:$L$8000,$A246,'Timesheet Raw'!$C$4:$C$8000,T$3))</f>
        <v>0</v>
      </c>
      <c r="Y246" s="345">
        <f>IF($A246="","",SUMIFS('Timesheet Raw'!$P$4:$P$8000,'Timesheet Raw'!$L$4:$L$8000,$A246,'Timesheet Raw'!$C$4:$C$8000,T$3))</f>
        <v>0</v>
      </c>
      <c r="Z246" s="375"/>
      <c r="AA246" t="str">
        <f>IF($A246="","",IF(Z246&lt;&gt;"",Z246,IF($A246&gt;'Work Calendar'!$B$17,"No data yet",IF(AND(V246&gt;='Work Calendar'!$B$14,T246+U246+W246&gt;0),"Day off - but worked",IF(V246&gt;='Work Calendar'!$B$14,"Day off",IF(T246+U246+W246&gt;0,IF($C246="Working","Charged","Worked weekend"),IF($C246="Working","Leave (not charged)",$C246)))))))</f>
        <v>No data yet</v>
      </c>
    </row>
    <row r="247" spans="1:27" x14ac:dyDescent="0.3">
      <c r="A247" s="371">
        <f>IF($A246="","",IF($A246+1&gt;'Work Calendar'!$B$16,"",$A246+1))</f>
        <v>46265</v>
      </c>
      <c r="B247" t="str">
        <f t="shared" si="12"/>
        <v>Mon</v>
      </c>
      <c r="C247" t="str" cm="1">
        <f t="array" ref="C247">IF($A247="","",IF(COUNTIF('Work Calendar'!$E$6:$E$200,$A247)&gt;0,"Holiday",IF(INDEX('Work Calendar'!$C$6:$C$12,WEEKDAY($A247,1))=1,"Working","Weekend")))</f>
        <v>Working</v>
      </c>
      <c r="D247" s="341">
        <f>IF($A247="","",SUMIFS('Timesheet Raw'!$P$4:$P$8000,'Timesheet Raw'!$L$4:$L$8000,$A247,'Timesheet Raw'!$C$4:$C$8000,D$3,'Timesheet Raw'!$A$4:$A$8000,"1-Projects"))</f>
        <v>0</v>
      </c>
      <c r="E247" s="341">
        <f>IF($A247="","",SUMIFS('Timesheet Raw'!$P$4:$P$8000,'Timesheet Raw'!$L$4:$L$8000,$A247,'Timesheet Raw'!$C$4:$C$8000,D$3,'Timesheet Raw'!$A$4:$A$8000,"2-Proposals Chargeable")+SUMIFS('Timesheet Raw'!$P$4:$P$8000,'Timesheet Raw'!$L$4:$L$8000,$A247,'Timesheet Raw'!$C$4:$C$8000,D$3,'Timesheet Raw'!$A$4:$A$8000,"3-Proposals Regular"))</f>
        <v>0</v>
      </c>
      <c r="F247" s="341">
        <f>IF($A247="","",SUMIFS('Timesheet Raw'!$P$4:$P$8000,'Timesheet Raw'!$L$4:$L$8000,$A247,'Timesheet Raw'!$C$4:$C$8000,D$3,'Timesheet Raw'!$B$4:$B$8000,'Work Calendar'!$A$26)+SUMIFS('Timesheet Raw'!$P$4:$P$8000,'Timesheet Raw'!$L$4:$L$8000,$A247,'Timesheet Raw'!$C$4:$C$8000,D$3,'Timesheet Raw'!$B$4:$B$8000,'Work Calendar'!$A$27)+SUMIFS('Timesheet Raw'!$P$4:$P$8000,'Timesheet Raw'!$L$4:$L$8000,$A247,'Timesheet Raw'!$C$4:$C$8000,D$3,'Timesheet Raw'!$B$4:$B$8000,'Work Calendar'!$A$28)+SUMIFS('Timesheet Raw'!$P$4:$P$8000,'Timesheet Raw'!$L$4:$L$8000,$A247,'Timesheet Raw'!$C$4:$C$8000,D$3,'Timesheet Raw'!$B$4:$B$8000,'Work Calendar'!$A$29))</f>
        <v>0</v>
      </c>
      <c r="G247" s="341">
        <f t="shared" si="13"/>
        <v>0</v>
      </c>
      <c r="H247" s="395">
        <f>IF($A247="","",SUMIFS('Timesheet Raw'!$K$4:$K$8000,'Timesheet Raw'!$L$4:$L$8000,$A247,'Timesheet Raw'!$C$4:$C$8000,D$3))</f>
        <v>0</v>
      </c>
      <c r="I247" s="345">
        <f>IF($A247="","",SUMIFS('Timesheet Raw'!$P$4:$P$8000,'Timesheet Raw'!$L$4:$L$8000,$A247,'Timesheet Raw'!$C$4:$C$8000,D$3))</f>
        <v>0</v>
      </c>
      <c r="J247" s="375"/>
      <c r="K247" t="str">
        <f>IF($A247="","",IF(J247&lt;&gt;"",J247,IF($A247&gt;'Work Calendar'!$B$17,"No data yet",IF(AND(F247&gt;='Work Calendar'!$B$14,D247+E247+G247&gt;0),"Day off - but worked",IF(F247&gt;='Work Calendar'!$B$14,"Day off",IF(D247+E247+G247&gt;0,IF($C247="Working","Charged","Worked weekend"),IF($C247="Working","Leave (not charged)",$C247)))))))</f>
        <v>No data yet</v>
      </c>
      <c r="L247" s="341">
        <f>IF($A247="","",SUMIFS('Timesheet Raw'!$P$4:$P$8000,'Timesheet Raw'!$L$4:$L$8000,$A247,'Timesheet Raw'!$C$4:$C$8000,L$3,'Timesheet Raw'!$A$4:$A$8000,"1-Projects"))</f>
        <v>0</v>
      </c>
      <c r="M247" s="341">
        <f>IF($A247="","",SUMIFS('Timesheet Raw'!$P$4:$P$8000,'Timesheet Raw'!$L$4:$L$8000,$A247,'Timesheet Raw'!$C$4:$C$8000,L$3,'Timesheet Raw'!$A$4:$A$8000,"2-Proposals Chargeable")+SUMIFS('Timesheet Raw'!$P$4:$P$8000,'Timesheet Raw'!$L$4:$L$8000,$A247,'Timesheet Raw'!$C$4:$C$8000,L$3,'Timesheet Raw'!$A$4:$A$8000,"3-Proposals Regular"))</f>
        <v>0</v>
      </c>
      <c r="N247" s="341">
        <f>IF($A247="","",SUMIFS('Timesheet Raw'!$P$4:$P$8000,'Timesheet Raw'!$L$4:$L$8000,$A247,'Timesheet Raw'!$C$4:$C$8000,L$3,'Timesheet Raw'!$B$4:$B$8000,'Work Calendar'!$A$26)+SUMIFS('Timesheet Raw'!$P$4:$P$8000,'Timesheet Raw'!$L$4:$L$8000,$A247,'Timesheet Raw'!$C$4:$C$8000,L$3,'Timesheet Raw'!$B$4:$B$8000,'Work Calendar'!$A$27)+SUMIFS('Timesheet Raw'!$P$4:$P$8000,'Timesheet Raw'!$L$4:$L$8000,$A247,'Timesheet Raw'!$C$4:$C$8000,L$3,'Timesheet Raw'!$B$4:$B$8000,'Work Calendar'!$A$28)+SUMIFS('Timesheet Raw'!$P$4:$P$8000,'Timesheet Raw'!$L$4:$L$8000,$A247,'Timesheet Raw'!$C$4:$C$8000,L$3,'Timesheet Raw'!$B$4:$B$8000,'Work Calendar'!$A$29))</f>
        <v>0</v>
      </c>
      <c r="O247" s="341">
        <f t="shared" si="14"/>
        <v>0</v>
      </c>
      <c r="P247" s="395">
        <f>IF($A247="","",SUMIFS('Timesheet Raw'!$K$4:$K$8000,'Timesheet Raw'!$L$4:$L$8000,$A247,'Timesheet Raw'!$C$4:$C$8000,L$3))</f>
        <v>0</v>
      </c>
      <c r="Q247" s="345">
        <f>IF($A247="","",SUMIFS('Timesheet Raw'!$P$4:$P$8000,'Timesheet Raw'!$L$4:$L$8000,$A247,'Timesheet Raw'!$C$4:$C$8000,L$3))</f>
        <v>0</v>
      </c>
      <c r="R247" s="375"/>
      <c r="S247" t="str">
        <f>IF($A247="","",IF(R247&lt;&gt;"",R247,IF($A247&gt;'Work Calendar'!$B$17,"No data yet",IF(AND(N247&gt;='Work Calendar'!$B$14,L247+M247+O247&gt;0),"Day off - but worked",IF(N247&gt;='Work Calendar'!$B$14,"Day off",IF(L247+M247+O247&gt;0,IF($C247="Working","Charged","Worked weekend"),IF($C247="Working","Leave (not charged)",$C247)))))))</f>
        <v>No data yet</v>
      </c>
      <c r="T247" s="341">
        <f>IF($A247="","",SUMIFS('Timesheet Raw'!$P$4:$P$8000,'Timesheet Raw'!$L$4:$L$8000,$A247,'Timesheet Raw'!$C$4:$C$8000,T$3,'Timesheet Raw'!$A$4:$A$8000,"1-Projects"))</f>
        <v>0</v>
      </c>
      <c r="U247" s="341">
        <f>IF($A247="","",SUMIFS('Timesheet Raw'!$P$4:$P$8000,'Timesheet Raw'!$L$4:$L$8000,$A247,'Timesheet Raw'!$C$4:$C$8000,T$3,'Timesheet Raw'!$A$4:$A$8000,"2-Proposals Chargeable")+SUMIFS('Timesheet Raw'!$P$4:$P$8000,'Timesheet Raw'!$L$4:$L$8000,$A247,'Timesheet Raw'!$C$4:$C$8000,T$3,'Timesheet Raw'!$A$4:$A$8000,"3-Proposals Regular"))</f>
        <v>0</v>
      </c>
      <c r="V247" s="341">
        <f>IF($A247="","",SUMIFS('Timesheet Raw'!$P$4:$P$8000,'Timesheet Raw'!$L$4:$L$8000,$A247,'Timesheet Raw'!$C$4:$C$8000,T$3,'Timesheet Raw'!$B$4:$B$8000,'Work Calendar'!$A$26)+SUMIFS('Timesheet Raw'!$P$4:$P$8000,'Timesheet Raw'!$L$4:$L$8000,$A247,'Timesheet Raw'!$C$4:$C$8000,T$3,'Timesheet Raw'!$B$4:$B$8000,'Work Calendar'!$A$27)+SUMIFS('Timesheet Raw'!$P$4:$P$8000,'Timesheet Raw'!$L$4:$L$8000,$A247,'Timesheet Raw'!$C$4:$C$8000,T$3,'Timesheet Raw'!$B$4:$B$8000,'Work Calendar'!$A$28)+SUMIFS('Timesheet Raw'!$P$4:$P$8000,'Timesheet Raw'!$L$4:$L$8000,$A247,'Timesheet Raw'!$C$4:$C$8000,T$3,'Timesheet Raw'!$B$4:$B$8000,'Work Calendar'!$A$29))</f>
        <v>0</v>
      </c>
      <c r="W247" s="341">
        <f t="shared" si="15"/>
        <v>0</v>
      </c>
      <c r="X247" s="395">
        <f>IF($A247="","",SUMIFS('Timesheet Raw'!$K$4:$K$8000,'Timesheet Raw'!$L$4:$L$8000,$A247,'Timesheet Raw'!$C$4:$C$8000,T$3))</f>
        <v>0</v>
      </c>
      <c r="Y247" s="345">
        <f>IF($A247="","",SUMIFS('Timesheet Raw'!$P$4:$P$8000,'Timesheet Raw'!$L$4:$L$8000,$A247,'Timesheet Raw'!$C$4:$C$8000,T$3))</f>
        <v>0</v>
      </c>
      <c r="Z247" s="375"/>
      <c r="AA247" t="str">
        <f>IF($A247="","",IF(Z247&lt;&gt;"",Z247,IF($A247&gt;'Work Calendar'!$B$17,"No data yet",IF(AND(V247&gt;='Work Calendar'!$B$14,T247+U247+W247&gt;0),"Day off - but worked",IF(V247&gt;='Work Calendar'!$B$14,"Day off",IF(T247+U247+W247&gt;0,IF($C247="Working","Charged","Worked weekend"),IF($C247="Working","Leave (not charged)",$C247)))))))</f>
        <v>No data yet</v>
      </c>
    </row>
    <row r="248" spans="1:27" x14ac:dyDescent="0.3">
      <c r="A248" s="371">
        <f>IF($A247="","",IF($A247+1&gt;'Work Calendar'!$B$16,"",$A247+1))</f>
        <v>46266</v>
      </c>
      <c r="B248" t="str">
        <f t="shared" si="12"/>
        <v>Tue</v>
      </c>
      <c r="C248" t="str" cm="1">
        <f t="array" ref="C248">IF($A248="","",IF(COUNTIF('Work Calendar'!$E$6:$E$200,$A248)&gt;0,"Holiday",IF(INDEX('Work Calendar'!$C$6:$C$12,WEEKDAY($A248,1))=1,"Working","Weekend")))</f>
        <v>Working</v>
      </c>
      <c r="D248" s="341">
        <f>IF($A248="","",SUMIFS('Timesheet Raw'!$P$4:$P$8000,'Timesheet Raw'!$L$4:$L$8000,$A248,'Timesheet Raw'!$C$4:$C$8000,D$3,'Timesheet Raw'!$A$4:$A$8000,"1-Projects"))</f>
        <v>0</v>
      </c>
      <c r="E248" s="341">
        <f>IF($A248="","",SUMIFS('Timesheet Raw'!$P$4:$P$8000,'Timesheet Raw'!$L$4:$L$8000,$A248,'Timesheet Raw'!$C$4:$C$8000,D$3,'Timesheet Raw'!$A$4:$A$8000,"2-Proposals Chargeable")+SUMIFS('Timesheet Raw'!$P$4:$P$8000,'Timesheet Raw'!$L$4:$L$8000,$A248,'Timesheet Raw'!$C$4:$C$8000,D$3,'Timesheet Raw'!$A$4:$A$8000,"3-Proposals Regular"))</f>
        <v>0</v>
      </c>
      <c r="F248" s="341">
        <f>IF($A248="","",SUMIFS('Timesheet Raw'!$P$4:$P$8000,'Timesheet Raw'!$L$4:$L$8000,$A248,'Timesheet Raw'!$C$4:$C$8000,D$3,'Timesheet Raw'!$B$4:$B$8000,'Work Calendar'!$A$26)+SUMIFS('Timesheet Raw'!$P$4:$P$8000,'Timesheet Raw'!$L$4:$L$8000,$A248,'Timesheet Raw'!$C$4:$C$8000,D$3,'Timesheet Raw'!$B$4:$B$8000,'Work Calendar'!$A$27)+SUMIFS('Timesheet Raw'!$P$4:$P$8000,'Timesheet Raw'!$L$4:$L$8000,$A248,'Timesheet Raw'!$C$4:$C$8000,D$3,'Timesheet Raw'!$B$4:$B$8000,'Work Calendar'!$A$28)+SUMIFS('Timesheet Raw'!$P$4:$P$8000,'Timesheet Raw'!$L$4:$L$8000,$A248,'Timesheet Raw'!$C$4:$C$8000,D$3,'Timesheet Raw'!$B$4:$B$8000,'Work Calendar'!$A$29))</f>
        <v>0</v>
      </c>
      <c r="G248" s="341">
        <f t="shared" si="13"/>
        <v>0</v>
      </c>
      <c r="H248" s="395">
        <f>IF($A248="","",SUMIFS('Timesheet Raw'!$K$4:$K$8000,'Timesheet Raw'!$L$4:$L$8000,$A248,'Timesheet Raw'!$C$4:$C$8000,D$3))</f>
        <v>0</v>
      </c>
      <c r="I248" s="345">
        <f>IF($A248="","",SUMIFS('Timesheet Raw'!$P$4:$P$8000,'Timesheet Raw'!$L$4:$L$8000,$A248,'Timesheet Raw'!$C$4:$C$8000,D$3))</f>
        <v>0</v>
      </c>
      <c r="J248" s="375"/>
      <c r="K248" t="str">
        <f>IF($A248="","",IF(J248&lt;&gt;"",J248,IF($A248&gt;'Work Calendar'!$B$17,"No data yet",IF(AND(F248&gt;='Work Calendar'!$B$14,D248+E248+G248&gt;0),"Day off - but worked",IF(F248&gt;='Work Calendar'!$B$14,"Day off",IF(D248+E248+G248&gt;0,IF($C248="Working","Charged","Worked weekend"),IF($C248="Working","Leave (not charged)",$C248)))))))</f>
        <v>No data yet</v>
      </c>
      <c r="L248" s="341">
        <f>IF($A248="","",SUMIFS('Timesheet Raw'!$P$4:$P$8000,'Timesheet Raw'!$L$4:$L$8000,$A248,'Timesheet Raw'!$C$4:$C$8000,L$3,'Timesheet Raw'!$A$4:$A$8000,"1-Projects"))</f>
        <v>0</v>
      </c>
      <c r="M248" s="341">
        <f>IF($A248="","",SUMIFS('Timesheet Raw'!$P$4:$P$8000,'Timesheet Raw'!$L$4:$L$8000,$A248,'Timesheet Raw'!$C$4:$C$8000,L$3,'Timesheet Raw'!$A$4:$A$8000,"2-Proposals Chargeable")+SUMIFS('Timesheet Raw'!$P$4:$P$8000,'Timesheet Raw'!$L$4:$L$8000,$A248,'Timesheet Raw'!$C$4:$C$8000,L$3,'Timesheet Raw'!$A$4:$A$8000,"3-Proposals Regular"))</f>
        <v>0</v>
      </c>
      <c r="N248" s="341">
        <f>IF($A248="","",SUMIFS('Timesheet Raw'!$P$4:$P$8000,'Timesheet Raw'!$L$4:$L$8000,$A248,'Timesheet Raw'!$C$4:$C$8000,L$3,'Timesheet Raw'!$B$4:$B$8000,'Work Calendar'!$A$26)+SUMIFS('Timesheet Raw'!$P$4:$P$8000,'Timesheet Raw'!$L$4:$L$8000,$A248,'Timesheet Raw'!$C$4:$C$8000,L$3,'Timesheet Raw'!$B$4:$B$8000,'Work Calendar'!$A$27)+SUMIFS('Timesheet Raw'!$P$4:$P$8000,'Timesheet Raw'!$L$4:$L$8000,$A248,'Timesheet Raw'!$C$4:$C$8000,L$3,'Timesheet Raw'!$B$4:$B$8000,'Work Calendar'!$A$28)+SUMIFS('Timesheet Raw'!$P$4:$P$8000,'Timesheet Raw'!$L$4:$L$8000,$A248,'Timesheet Raw'!$C$4:$C$8000,L$3,'Timesheet Raw'!$B$4:$B$8000,'Work Calendar'!$A$29))</f>
        <v>0</v>
      </c>
      <c r="O248" s="341">
        <f t="shared" si="14"/>
        <v>0</v>
      </c>
      <c r="P248" s="395">
        <f>IF($A248="","",SUMIFS('Timesheet Raw'!$K$4:$K$8000,'Timesheet Raw'!$L$4:$L$8000,$A248,'Timesheet Raw'!$C$4:$C$8000,L$3))</f>
        <v>0</v>
      </c>
      <c r="Q248" s="345">
        <f>IF($A248="","",SUMIFS('Timesheet Raw'!$P$4:$P$8000,'Timesheet Raw'!$L$4:$L$8000,$A248,'Timesheet Raw'!$C$4:$C$8000,L$3))</f>
        <v>0</v>
      </c>
      <c r="R248" s="375"/>
      <c r="S248" t="str">
        <f>IF($A248="","",IF(R248&lt;&gt;"",R248,IF($A248&gt;'Work Calendar'!$B$17,"No data yet",IF(AND(N248&gt;='Work Calendar'!$B$14,L248+M248+O248&gt;0),"Day off - but worked",IF(N248&gt;='Work Calendar'!$B$14,"Day off",IF(L248+M248+O248&gt;0,IF($C248="Working","Charged","Worked weekend"),IF($C248="Working","Leave (not charged)",$C248)))))))</f>
        <v>No data yet</v>
      </c>
      <c r="T248" s="341">
        <f>IF($A248="","",SUMIFS('Timesheet Raw'!$P$4:$P$8000,'Timesheet Raw'!$L$4:$L$8000,$A248,'Timesheet Raw'!$C$4:$C$8000,T$3,'Timesheet Raw'!$A$4:$A$8000,"1-Projects"))</f>
        <v>0</v>
      </c>
      <c r="U248" s="341">
        <f>IF($A248="","",SUMIFS('Timesheet Raw'!$P$4:$P$8000,'Timesheet Raw'!$L$4:$L$8000,$A248,'Timesheet Raw'!$C$4:$C$8000,T$3,'Timesheet Raw'!$A$4:$A$8000,"2-Proposals Chargeable")+SUMIFS('Timesheet Raw'!$P$4:$P$8000,'Timesheet Raw'!$L$4:$L$8000,$A248,'Timesheet Raw'!$C$4:$C$8000,T$3,'Timesheet Raw'!$A$4:$A$8000,"3-Proposals Regular"))</f>
        <v>0</v>
      </c>
      <c r="V248" s="341">
        <f>IF($A248="","",SUMIFS('Timesheet Raw'!$P$4:$P$8000,'Timesheet Raw'!$L$4:$L$8000,$A248,'Timesheet Raw'!$C$4:$C$8000,T$3,'Timesheet Raw'!$B$4:$B$8000,'Work Calendar'!$A$26)+SUMIFS('Timesheet Raw'!$P$4:$P$8000,'Timesheet Raw'!$L$4:$L$8000,$A248,'Timesheet Raw'!$C$4:$C$8000,T$3,'Timesheet Raw'!$B$4:$B$8000,'Work Calendar'!$A$27)+SUMIFS('Timesheet Raw'!$P$4:$P$8000,'Timesheet Raw'!$L$4:$L$8000,$A248,'Timesheet Raw'!$C$4:$C$8000,T$3,'Timesheet Raw'!$B$4:$B$8000,'Work Calendar'!$A$28)+SUMIFS('Timesheet Raw'!$P$4:$P$8000,'Timesheet Raw'!$L$4:$L$8000,$A248,'Timesheet Raw'!$C$4:$C$8000,T$3,'Timesheet Raw'!$B$4:$B$8000,'Work Calendar'!$A$29))</f>
        <v>0</v>
      </c>
      <c r="W248" s="341">
        <f t="shared" si="15"/>
        <v>0</v>
      </c>
      <c r="X248" s="395">
        <f>IF($A248="","",SUMIFS('Timesheet Raw'!$K$4:$K$8000,'Timesheet Raw'!$L$4:$L$8000,$A248,'Timesheet Raw'!$C$4:$C$8000,T$3))</f>
        <v>0</v>
      </c>
      <c r="Y248" s="345">
        <f>IF($A248="","",SUMIFS('Timesheet Raw'!$P$4:$P$8000,'Timesheet Raw'!$L$4:$L$8000,$A248,'Timesheet Raw'!$C$4:$C$8000,T$3))</f>
        <v>0</v>
      </c>
      <c r="Z248" s="375"/>
      <c r="AA248" t="str">
        <f>IF($A248="","",IF(Z248&lt;&gt;"",Z248,IF($A248&gt;'Work Calendar'!$B$17,"No data yet",IF(AND(V248&gt;='Work Calendar'!$B$14,T248+U248+W248&gt;0),"Day off - but worked",IF(V248&gt;='Work Calendar'!$B$14,"Day off",IF(T248+U248+W248&gt;0,IF($C248="Working","Charged","Worked weekend"),IF($C248="Working","Leave (not charged)",$C248)))))))</f>
        <v>No data yet</v>
      </c>
    </row>
    <row r="249" spans="1:27" x14ac:dyDescent="0.3">
      <c r="A249" s="371">
        <f>IF($A248="","",IF($A248+1&gt;'Work Calendar'!$B$16,"",$A248+1))</f>
        <v>46267</v>
      </c>
      <c r="B249" t="str">
        <f t="shared" si="12"/>
        <v>Wed</v>
      </c>
      <c r="C249" t="str" cm="1">
        <f t="array" ref="C249">IF($A249="","",IF(COUNTIF('Work Calendar'!$E$6:$E$200,$A249)&gt;0,"Holiday",IF(INDEX('Work Calendar'!$C$6:$C$12,WEEKDAY($A249,1))=1,"Working","Weekend")))</f>
        <v>Working</v>
      </c>
      <c r="D249" s="341">
        <f>IF($A249="","",SUMIFS('Timesheet Raw'!$P$4:$P$8000,'Timesheet Raw'!$L$4:$L$8000,$A249,'Timesheet Raw'!$C$4:$C$8000,D$3,'Timesheet Raw'!$A$4:$A$8000,"1-Projects"))</f>
        <v>0</v>
      </c>
      <c r="E249" s="341">
        <f>IF($A249="","",SUMIFS('Timesheet Raw'!$P$4:$P$8000,'Timesheet Raw'!$L$4:$L$8000,$A249,'Timesheet Raw'!$C$4:$C$8000,D$3,'Timesheet Raw'!$A$4:$A$8000,"2-Proposals Chargeable")+SUMIFS('Timesheet Raw'!$P$4:$P$8000,'Timesheet Raw'!$L$4:$L$8000,$A249,'Timesheet Raw'!$C$4:$C$8000,D$3,'Timesheet Raw'!$A$4:$A$8000,"3-Proposals Regular"))</f>
        <v>0</v>
      </c>
      <c r="F249" s="341">
        <f>IF($A249="","",SUMIFS('Timesheet Raw'!$P$4:$P$8000,'Timesheet Raw'!$L$4:$L$8000,$A249,'Timesheet Raw'!$C$4:$C$8000,D$3,'Timesheet Raw'!$B$4:$B$8000,'Work Calendar'!$A$26)+SUMIFS('Timesheet Raw'!$P$4:$P$8000,'Timesheet Raw'!$L$4:$L$8000,$A249,'Timesheet Raw'!$C$4:$C$8000,D$3,'Timesheet Raw'!$B$4:$B$8000,'Work Calendar'!$A$27)+SUMIFS('Timesheet Raw'!$P$4:$P$8000,'Timesheet Raw'!$L$4:$L$8000,$A249,'Timesheet Raw'!$C$4:$C$8000,D$3,'Timesheet Raw'!$B$4:$B$8000,'Work Calendar'!$A$28)+SUMIFS('Timesheet Raw'!$P$4:$P$8000,'Timesheet Raw'!$L$4:$L$8000,$A249,'Timesheet Raw'!$C$4:$C$8000,D$3,'Timesheet Raw'!$B$4:$B$8000,'Work Calendar'!$A$29))</f>
        <v>0</v>
      </c>
      <c r="G249" s="341">
        <f t="shared" si="13"/>
        <v>0</v>
      </c>
      <c r="H249" s="395">
        <f>IF($A249="","",SUMIFS('Timesheet Raw'!$K$4:$K$8000,'Timesheet Raw'!$L$4:$L$8000,$A249,'Timesheet Raw'!$C$4:$C$8000,D$3))</f>
        <v>0</v>
      </c>
      <c r="I249" s="345">
        <f>IF($A249="","",SUMIFS('Timesheet Raw'!$P$4:$P$8000,'Timesheet Raw'!$L$4:$L$8000,$A249,'Timesheet Raw'!$C$4:$C$8000,D$3))</f>
        <v>0</v>
      </c>
      <c r="J249" s="375"/>
      <c r="K249" t="str">
        <f>IF($A249="","",IF(J249&lt;&gt;"",J249,IF($A249&gt;'Work Calendar'!$B$17,"No data yet",IF(AND(F249&gt;='Work Calendar'!$B$14,D249+E249+G249&gt;0),"Day off - but worked",IF(F249&gt;='Work Calendar'!$B$14,"Day off",IF(D249+E249+G249&gt;0,IF($C249="Working","Charged","Worked weekend"),IF($C249="Working","Leave (not charged)",$C249)))))))</f>
        <v>No data yet</v>
      </c>
      <c r="L249" s="341">
        <f>IF($A249="","",SUMIFS('Timesheet Raw'!$P$4:$P$8000,'Timesheet Raw'!$L$4:$L$8000,$A249,'Timesheet Raw'!$C$4:$C$8000,L$3,'Timesheet Raw'!$A$4:$A$8000,"1-Projects"))</f>
        <v>0</v>
      </c>
      <c r="M249" s="341">
        <f>IF($A249="","",SUMIFS('Timesheet Raw'!$P$4:$P$8000,'Timesheet Raw'!$L$4:$L$8000,$A249,'Timesheet Raw'!$C$4:$C$8000,L$3,'Timesheet Raw'!$A$4:$A$8000,"2-Proposals Chargeable")+SUMIFS('Timesheet Raw'!$P$4:$P$8000,'Timesheet Raw'!$L$4:$L$8000,$A249,'Timesheet Raw'!$C$4:$C$8000,L$3,'Timesheet Raw'!$A$4:$A$8000,"3-Proposals Regular"))</f>
        <v>0</v>
      </c>
      <c r="N249" s="341">
        <f>IF($A249="","",SUMIFS('Timesheet Raw'!$P$4:$P$8000,'Timesheet Raw'!$L$4:$L$8000,$A249,'Timesheet Raw'!$C$4:$C$8000,L$3,'Timesheet Raw'!$B$4:$B$8000,'Work Calendar'!$A$26)+SUMIFS('Timesheet Raw'!$P$4:$P$8000,'Timesheet Raw'!$L$4:$L$8000,$A249,'Timesheet Raw'!$C$4:$C$8000,L$3,'Timesheet Raw'!$B$4:$B$8000,'Work Calendar'!$A$27)+SUMIFS('Timesheet Raw'!$P$4:$P$8000,'Timesheet Raw'!$L$4:$L$8000,$A249,'Timesheet Raw'!$C$4:$C$8000,L$3,'Timesheet Raw'!$B$4:$B$8000,'Work Calendar'!$A$28)+SUMIFS('Timesheet Raw'!$P$4:$P$8000,'Timesheet Raw'!$L$4:$L$8000,$A249,'Timesheet Raw'!$C$4:$C$8000,L$3,'Timesheet Raw'!$B$4:$B$8000,'Work Calendar'!$A$29))</f>
        <v>0</v>
      </c>
      <c r="O249" s="341">
        <f t="shared" si="14"/>
        <v>0</v>
      </c>
      <c r="P249" s="395">
        <f>IF($A249="","",SUMIFS('Timesheet Raw'!$K$4:$K$8000,'Timesheet Raw'!$L$4:$L$8000,$A249,'Timesheet Raw'!$C$4:$C$8000,L$3))</f>
        <v>0</v>
      </c>
      <c r="Q249" s="345">
        <f>IF($A249="","",SUMIFS('Timesheet Raw'!$P$4:$P$8000,'Timesheet Raw'!$L$4:$L$8000,$A249,'Timesheet Raw'!$C$4:$C$8000,L$3))</f>
        <v>0</v>
      </c>
      <c r="R249" s="375"/>
      <c r="S249" t="str">
        <f>IF($A249="","",IF(R249&lt;&gt;"",R249,IF($A249&gt;'Work Calendar'!$B$17,"No data yet",IF(AND(N249&gt;='Work Calendar'!$B$14,L249+M249+O249&gt;0),"Day off - but worked",IF(N249&gt;='Work Calendar'!$B$14,"Day off",IF(L249+M249+O249&gt;0,IF($C249="Working","Charged","Worked weekend"),IF($C249="Working","Leave (not charged)",$C249)))))))</f>
        <v>No data yet</v>
      </c>
      <c r="T249" s="341">
        <f>IF($A249="","",SUMIFS('Timesheet Raw'!$P$4:$P$8000,'Timesheet Raw'!$L$4:$L$8000,$A249,'Timesheet Raw'!$C$4:$C$8000,T$3,'Timesheet Raw'!$A$4:$A$8000,"1-Projects"))</f>
        <v>0</v>
      </c>
      <c r="U249" s="341">
        <f>IF($A249="","",SUMIFS('Timesheet Raw'!$P$4:$P$8000,'Timesheet Raw'!$L$4:$L$8000,$A249,'Timesheet Raw'!$C$4:$C$8000,T$3,'Timesheet Raw'!$A$4:$A$8000,"2-Proposals Chargeable")+SUMIFS('Timesheet Raw'!$P$4:$P$8000,'Timesheet Raw'!$L$4:$L$8000,$A249,'Timesheet Raw'!$C$4:$C$8000,T$3,'Timesheet Raw'!$A$4:$A$8000,"3-Proposals Regular"))</f>
        <v>0</v>
      </c>
      <c r="V249" s="341">
        <f>IF($A249="","",SUMIFS('Timesheet Raw'!$P$4:$P$8000,'Timesheet Raw'!$L$4:$L$8000,$A249,'Timesheet Raw'!$C$4:$C$8000,T$3,'Timesheet Raw'!$B$4:$B$8000,'Work Calendar'!$A$26)+SUMIFS('Timesheet Raw'!$P$4:$P$8000,'Timesheet Raw'!$L$4:$L$8000,$A249,'Timesheet Raw'!$C$4:$C$8000,T$3,'Timesheet Raw'!$B$4:$B$8000,'Work Calendar'!$A$27)+SUMIFS('Timesheet Raw'!$P$4:$P$8000,'Timesheet Raw'!$L$4:$L$8000,$A249,'Timesheet Raw'!$C$4:$C$8000,T$3,'Timesheet Raw'!$B$4:$B$8000,'Work Calendar'!$A$28)+SUMIFS('Timesheet Raw'!$P$4:$P$8000,'Timesheet Raw'!$L$4:$L$8000,$A249,'Timesheet Raw'!$C$4:$C$8000,T$3,'Timesheet Raw'!$B$4:$B$8000,'Work Calendar'!$A$29))</f>
        <v>0</v>
      </c>
      <c r="W249" s="341">
        <f t="shared" si="15"/>
        <v>0</v>
      </c>
      <c r="X249" s="395">
        <f>IF($A249="","",SUMIFS('Timesheet Raw'!$K$4:$K$8000,'Timesheet Raw'!$L$4:$L$8000,$A249,'Timesheet Raw'!$C$4:$C$8000,T$3))</f>
        <v>0</v>
      </c>
      <c r="Y249" s="345">
        <f>IF($A249="","",SUMIFS('Timesheet Raw'!$P$4:$P$8000,'Timesheet Raw'!$L$4:$L$8000,$A249,'Timesheet Raw'!$C$4:$C$8000,T$3))</f>
        <v>0</v>
      </c>
      <c r="Z249" s="375"/>
      <c r="AA249" t="str">
        <f>IF($A249="","",IF(Z249&lt;&gt;"",Z249,IF($A249&gt;'Work Calendar'!$B$17,"No data yet",IF(AND(V249&gt;='Work Calendar'!$B$14,T249+U249+W249&gt;0),"Day off - but worked",IF(V249&gt;='Work Calendar'!$B$14,"Day off",IF(T249+U249+W249&gt;0,IF($C249="Working","Charged","Worked weekend"),IF($C249="Working","Leave (not charged)",$C249)))))))</f>
        <v>No data yet</v>
      </c>
    </row>
    <row r="250" spans="1:27" x14ac:dyDescent="0.3">
      <c r="A250" s="371">
        <f>IF($A249="","",IF($A249+1&gt;'Work Calendar'!$B$16,"",$A249+1))</f>
        <v>46268</v>
      </c>
      <c r="B250" t="str">
        <f t="shared" si="12"/>
        <v>Thu</v>
      </c>
      <c r="C250" t="str" cm="1">
        <f t="array" ref="C250">IF($A250="","",IF(COUNTIF('Work Calendar'!$E$6:$E$200,$A250)&gt;0,"Holiday",IF(INDEX('Work Calendar'!$C$6:$C$12,WEEKDAY($A250,1))=1,"Working","Weekend")))</f>
        <v>Working</v>
      </c>
      <c r="D250" s="341">
        <f>IF($A250="","",SUMIFS('Timesheet Raw'!$P$4:$P$8000,'Timesheet Raw'!$L$4:$L$8000,$A250,'Timesheet Raw'!$C$4:$C$8000,D$3,'Timesheet Raw'!$A$4:$A$8000,"1-Projects"))</f>
        <v>0</v>
      </c>
      <c r="E250" s="341">
        <f>IF($A250="","",SUMIFS('Timesheet Raw'!$P$4:$P$8000,'Timesheet Raw'!$L$4:$L$8000,$A250,'Timesheet Raw'!$C$4:$C$8000,D$3,'Timesheet Raw'!$A$4:$A$8000,"2-Proposals Chargeable")+SUMIFS('Timesheet Raw'!$P$4:$P$8000,'Timesheet Raw'!$L$4:$L$8000,$A250,'Timesheet Raw'!$C$4:$C$8000,D$3,'Timesheet Raw'!$A$4:$A$8000,"3-Proposals Regular"))</f>
        <v>0</v>
      </c>
      <c r="F250" s="341">
        <f>IF($A250="","",SUMIFS('Timesheet Raw'!$P$4:$P$8000,'Timesheet Raw'!$L$4:$L$8000,$A250,'Timesheet Raw'!$C$4:$C$8000,D$3,'Timesheet Raw'!$B$4:$B$8000,'Work Calendar'!$A$26)+SUMIFS('Timesheet Raw'!$P$4:$P$8000,'Timesheet Raw'!$L$4:$L$8000,$A250,'Timesheet Raw'!$C$4:$C$8000,D$3,'Timesheet Raw'!$B$4:$B$8000,'Work Calendar'!$A$27)+SUMIFS('Timesheet Raw'!$P$4:$P$8000,'Timesheet Raw'!$L$4:$L$8000,$A250,'Timesheet Raw'!$C$4:$C$8000,D$3,'Timesheet Raw'!$B$4:$B$8000,'Work Calendar'!$A$28)+SUMIFS('Timesheet Raw'!$P$4:$P$8000,'Timesheet Raw'!$L$4:$L$8000,$A250,'Timesheet Raw'!$C$4:$C$8000,D$3,'Timesheet Raw'!$B$4:$B$8000,'Work Calendar'!$A$29))</f>
        <v>0</v>
      </c>
      <c r="G250" s="341">
        <f t="shared" si="13"/>
        <v>0</v>
      </c>
      <c r="H250" s="395">
        <f>IF($A250="","",SUMIFS('Timesheet Raw'!$K$4:$K$8000,'Timesheet Raw'!$L$4:$L$8000,$A250,'Timesheet Raw'!$C$4:$C$8000,D$3))</f>
        <v>0</v>
      </c>
      <c r="I250" s="345">
        <f>IF($A250="","",SUMIFS('Timesheet Raw'!$P$4:$P$8000,'Timesheet Raw'!$L$4:$L$8000,$A250,'Timesheet Raw'!$C$4:$C$8000,D$3))</f>
        <v>0</v>
      </c>
      <c r="J250" s="375"/>
      <c r="K250" t="str">
        <f>IF($A250="","",IF(J250&lt;&gt;"",J250,IF($A250&gt;'Work Calendar'!$B$17,"No data yet",IF(AND(F250&gt;='Work Calendar'!$B$14,D250+E250+G250&gt;0),"Day off - but worked",IF(F250&gt;='Work Calendar'!$B$14,"Day off",IF(D250+E250+G250&gt;0,IF($C250="Working","Charged","Worked weekend"),IF($C250="Working","Leave (not charged)",$C250)))))))</f>
        <v>No data yet</v>
      </c>
      <c r="L250" s="341">
        <f>IF($A250="","",SUMIFS('Timesheet Raw'!$P$4:$P$8000,'Timesheet Raw'!$L$4:$L$8000,$A250,'Timesheet Raw'!$C$4:$C$8000,L$3,'Timesheet Raw'!$A$4:$A$8000,"1-Projects"))</f>
        <v>0</v>
      </c>
      <c r="M250" s="341">
        <f>IF($A250="","",SUMIFS('Timesheet Raw'!$P$4:$P$8000,'Timesheet Raw'!$L$4:$L$8000,$A250,'Timesheet Raw'!$C$4:$C$8000,L$3,'Timesheet Raw'!$A$4:$A$8000,"2-Proposals Chargeable")+SUMIFS('Timesheet Raw'!$P$4:$P$8000,'Timesheet Raw'!$L$4:$L$8000,$A250,'Timesheet Raw'!$C$4:$C$8000,L$3,'Timesheet Raw'!$A$4:$A$8000,"3-Proposals Regular"))</f>
        <v>0</v>
      </c>
      <c r="N250" s="341">
        <f>IF($A250="","",SUMIFS('Timesheet Raw'!$P$4:$P$8000,'Timesheet Raw'!$L$4:$L$8000,$A250,'Timesheet Raw'!$C$4:$C$8000,L$3,'Timesheet Raw'!$B$4:$B$8000,'Work Calendar'!$A$26)+SUMIFS('Timesheet Raw'!$P$4:$P$8000,'Timesheet Raw'!$L$4:$L$8000,$A250,'Timesheet Raw'!$C$4:$C$8000,L$3,'Timesheet Raw'!$B$4:$B$8000,'Work Calendar'!$A$27)+SUMIFS('Timesheet Raw'!$P$4:$P$8000,'Timesheet Raw'!$L$4:$L$8000,$A250,'Timesheet Raw'!$C$4:$C$8000,L$3,'Timesheet Raw'!$B$4:$B$8000,'Work Calendar'!$A$28)+SUMIFS('Timesheet Raw'!$P$4:$P$8000,'Timesheet Raw'!$L$4:$L$8000,$A250,'Timesheet Raw'!$C$4:$C$8000,L$3,'Timesheet Raw'!$B$4:$B$8000,'Work Calendar'!$A$29))</f>
        <v>0</v>
      </c>
      <c r="O250" s="341">
        <f t="shared" si="14"/>
        <v>0</v>
      </c>
      <c r="P250" s="395">
        <f>IF($A250="","",SUMIFS('Timesheet Raw'!$K$4:$K$8000,'Timesheet Raw'!$L$4:$L$8000,$A250,'Timesheet Raw'!$C$4:$C$8000,L$3))</f>
        <v>0</v>
      </c>
      <c r="Q250" s="345">
        <f>IF($A250="","",SUMIFS('Timesheet Raw'!$P$4:$P$8000,'Timesheet Raw'!$L$4:$L$8000,$A250,'Timesheet Raw'!$C$4:$C$8000,L$3))</f>
        <v>0</v>
      </c>
      <c r="R250" s="375"/>
      <c r="S250" t="str">
        <f>IF($A250="","",IF(R250&lt;&gt;"",R250,IF($A250&gt;'Work Calendar'!$B$17,"No data yet",IF(AND(N250&gt;='Work Calendar'!$B$14,L250+M250+O250&gt;0),"Day off - but worked",IF(N250&gt;='Work Calendar'!$B$14,"Day off",IF(L250+M250+O250&gt;0,IF($C250="Working","Charged","Worked weekend"),IF($C250="Working","Leave (not charged)",$C250)))))))</f>
        <v>No data yet</v>
      </c>
      <c r="T250" s="341">
        <f>IF($A250="","",SUMIFS('Timesheet Raw'!$P$4:$P$8000,'Timesheet Raw'!$L$4:$L$8000,$A250,'Timesheet Raw'!$C$4:$C$8000,T$3,'Timesheet Raw'!$A$4:$A$8000,"1-Projects"))</f>
        <v>0</v>
      </c>
      <c r="U250" s="341">
        <f>IF($A250="","",SUMIFS('Timesheet Raw'!$P$4:$P$8000,'Timesheet Raw'!$L$4:$L$8000,$A250,'Timesheet Raw'!$C$4:$C$8000,T$3,'Timesheet Raw'!$A$4:$A$8000,"2-Proposals Chargeable")+SUMIFS('Timesheet Raw'!$P$4:$P$8000,'Timesheet Raw'!$L$4:$L$8000,$A250,'Timesheet Raw'!$C$4:$C$8000,T$3,'Timesheet Raw'!$A$4:$A$8000,"3-Proposals Regular"))</f>
        <v>0</v>
      </c>
      <c r="V250" s="341">
        <f>IF($A250="","",SUMIFS('Timesheet Raw'!$P$4:$P$8000,'Timesheet Raw'!$L$4:$L$8000,$A250,'Timesheet Raw'!$C$4:$C$8000,T$3,'Timesheet Raw'!$B$4:$B$8000,'Work Calendar'!$A$26)+SUMIFS('Timesheet Raw'!$P$4:$P$8000,'Timesheet Raw'!$L$4:$L$8000,$A250,'Timesheet Raw'!$C$4:$C$8000,T$3,'Timesheet Raw'!$B$4:$B$8000,'Work Calendar'!$A$27)+SUMIFS('Timesheet Raw'!$P$4:$P$8000,'Timesheet Raw'!$L$4:$L$8000,$A250,'Timesheet Raw'!$C$4:$C$8000,T$3,'Timesheet Raw'!$B$4:$B$8000,'Work Calendar'!$A$28)+SUMIFS('Timesheet Raw'!$P$4:$P$8000,'Timesheet Raw'!$L$4:$L$8000,$A250,'Timesheet Raw'!$C$4:$C$8000,T$3,'Timesheet Raw'!$B$4:$B$8000,'Work Calendar'!$A$29))</f>
        <v>0</v>
      </c>
      <c r="W250" s="341">
        <f t="shared" si="15"/>
        <v>0</v>
      </c>
      <c r="X250" s="395">
        <f>IF($A250="","",SUMIFS('Timesheet Raw'!$K$4:$K$8000,'Timesheet Raw'!$L$4:$L$8000,$A250,'Timesheet Raw'!$C$4:$C$8000,T$3))</f>
        <v>0</v>
      </c>
      <c r="Y250" s="345">
        <f>IF($A250="","",SUMIFS('Timesheet Raw'!$P$4:$P$8000,'Timesheet Raw'!$L$4:$L$8000,$A250,'Timesheet Raw'!$C$4:$C$8000,T$3))</f>
        <v>0</v>
      </c>
      <c r="Z250" s="375"/>
      <c r="AA250" t="str">
        <f>IF($A250="","",IF(Z250&lt;&gt;"",Z250,IF($A250&gt;'Work Calendar'!$B$17,"No data yet",IF(AND(V250&gt;='Work Calendar'!$B$14,T250+U250+W250&gt;0),"Day off - but worked",IF(V250&gt;='Work Calendar'!$B$14,"Day off",IF(T250+U250+W250&gt;0,IF($C250="Working","Charged","Worked weekend"),IF($C250="Working","Leave (not charged)",$C250)))))))</f>
        <v>No data yet</v>
      </c>
    </row>
    <row r="251" spans="1:27" x14ac:dyDescent="0.3">
      <c r="A251" s="371">
        <f>IF($A250="","",IF($A250+1&gt;'Work Calendar'!$B$16,"",$A250+1))</f>
        <v>46269</v>
      </c>
      <c r="B251" t="str">
        <f t="shared" si="12"/>
        <v>Fri</v>
      </c>
      <c r="C251" t="str" cm="1">
        <f t="array" ref="C251">IF($A251="","",IF(COUNTIF('Work Calendar'!$E$6:$E$200,$A251)&gt;0,"Holiday",IF(INDEX('Work Calendar'!$C$6:$C$12,WEEKDAY($A251,1))=1,"Working","Weekend")))</f>
        <v>Weekend</v>
      </c>
      <c r="D251" s="341">
        <f>IF($A251="","",SUMIFS('Timesheet Raw'!$P$4:$P$8000,'Timesheet Raw'!$L$4:$L$8000,$A251,'Timesheet Raw'!$C$4:$C$8000,D$3,'Timesheet Raw'!$A$4:$A$8000,"1-Projects"))</f>
        <v>0</v>
      </c>
      <c r="E251" s="341">
        <f>IF($A251="","",SUMIFS('Timesheet Raw'!$P$4:$P$8000,'Timesheet Raw'!$L$4:$L$8000,$A251,'Timesheet Raw'!$C$4:$C$8000,D$3,'Timesheet Raw'!$A$4:$A$8000,"2-Proposals Chargeable")+SUMIFS('Timesheet Raw'!$P$4:$P$8000,'Timesheet Raw'!$L$4:$L$8000,$A251,'Timesheet Raw'!$C$4:$C$8000,D$3,'Timesheet Raw'!$A$4:$A$8000,"3-Proposals Regular"))</f>
        <v>0</v>
      </c>
      <c r="F251" s="341">
        <f>IF($A251="","",SUMIFS('Timesheet Raw'!$P$4:$P$8000,'Timesheet Raw'!$L$4:$L$8000,$A251,'Timesheet Raw'!$C$4:$C$8000,D$3,'Timesheet Raw'!$B$4:$B$8000,'Work Calendar'!$A$26)+SUMIFS('Timesheet Raw'!$P$4:$P$8000,'Timesheet Raw'!$L$4:$L$8000,$A251,'Timesheet Raw'!$C$4:$C$8000,D$3,'Timesheet Raw'!$B$4:$B$8000,'Work Calendar'!$A$27)+SUMIFS('Timesheet Raw'!$P$4:$P$8000,'Timesheet Raw'!$L$4:$L$8000,$A251,'Timesheet Raw'!$C$4:$C$8000,D$3,'Timesheet Raw'!$B$4:$B$8000,'Work Calendar'!$A$28)+SUMIFS('Timesheet Raw'!$P$4:$P$8000,'Timesheet Raw'!$L$4:$L$8000,$A251,'Timesheet Raw'!$C$4:$C$8000,D$3,'Timesheet Raw'!$B$4:$B$8000,'Work Calendar'!$A$29))</f>
        <v>0</v>
      </c>
      <c r="G251" s="341">
        <f t="shared" si="13"/>
        <v>0</v>
      </c>
      <c r="H251" s="395">
        <f>IF($A251="","",SUMIFS('Timesheet Raw'!$K$4:$K$8000,'Timesheet Raw'!$L$4:$L$8000,$A251,'Timesheet Raw'!$C$4:$C$8000,D$3))</f>
        <v>0</v>
      </c>
      <c r="I251" s="345">
        <f>IF($A251="","",SUMIFS('Timesheet Raw'!$P$4:$P$8000,'Timesheet Raw'!$L$4:$L$8000,$A251,'Timesheet Raw'!$C$4:$C$8000,D$3))</f>
        <v>0</v>
      </c>
      <c r="J251" s="375"/>
      <c r="K251" t="str">
        <f>IF($A251="","",IF(J251&lt;&gt;"",J251,IF($A251&gt;'Work Calendar'!$B$17,"No data yet",IF(AND(F251&gt;='Work Calendar'!$B$14,D251+E251+G251&gt;0),"Day off - but worked",IF(F251&gt;='Work Calendar'!$B$14,"Day off",IF(D251+E251+G251&gt;0,IF($C251="Working","Charged","Worked weekend"),IF($C251="Working","Leave (not charged)",$C251)))))))</f>
        <v>No data yet</v>
      </c>
      <c r="L251" s="341">
        <f>IF($A251="","",SUMIFS('Timesheet Raw'!$P$4:$P$8000,'Timesheet Raw'!$L$4:$L$8000,$A251,'Timesheet Raw'!$C$4:$C$8000,L$3,'Timesheet Raw'!$A$4:$A$8000,"1-Projects"))</f>
        <v>0</v>
      </c>
      <c r="M251" s="341">
        <f>IF($A251="","",SUMIFS('Timesheet Raw'!$P$4:$P$8000,'Timesheet Raw'!$L$4:$L$8000,$A251,'Timesheet Raw'!$C$4:$C$8000,L$3,'Timesheet Raw'!$A$4:$A$8000,"2-Proposals Chargeable")+SUMIFS('Timesheet Raw'!$P$4:$P$8000,'Timesheet Raw'!$L$4:$L$8000,$A251,'Timesheet Raw'!$C$4:$C$8000,L$3,'Timesheet Raw'!$A$4:$A$8000,"3-Proposals Regular"))</f>
        <v>0</v>
      </c>
      <c r="N251" s="341">
        <f>IF($A251="","",SUMIFS('Timesheet Raw'!$P$4:$P$8000,'Timesheet Raw'!$L$4:$L$8000,$A251,'Timesheet Raw'!$C$4:$C$8000,L$3,'Timesheet Raw'!$B$4:$B$8000,'Work Calendar'!$A$26)+SUMIFS('Timesheet Raw'!$P$4:$P$8000,'Timesheet Raw'!$L$4:$L$8000,$A251,'Timesheet Raw'!$C$4:$C$8000,L$3,'Timesheet Raw'!$B$4:$B$8000,'Work Calendar'!$A$27)+SUMIFS('Timesheet Raw'!$P$4:$P$8000,'Timesheet Raw'!$L$4:$L$8000,$A251,'Timesheet Raw'!$C$4:$C$8000,L$3,'Timesheet Raw'!$B$4:$B$8000,'Work Calendar'!$A$28)+SUMIFS('Timesheet Raw'!$P$4:$P$8000,'Timesheet Raw'!$L$4:$L$8000,$A251,'Timesheet Raw'!$C$4:$C$8000,L$3,'Timesheet Raw'!$B$4:$B$8000,'Work Calendar'!$A$29))</f>
        <v>0</v>
      </c>
      <c r="O251" s="341">
        <f t="shared" si="14"/>
        <v>0</v>
      </c>
      <c r="P251" s="395">
        <f>IF($A251="","",SUMIFS('Timesheet Raw'!$K$4:$K$8000,'Timesheet Raw'!$L$4:$L$8000,$A251,'Timesheet Raw'!$C$4:$C$8000,L$3))</f>
        <v>0</v>
      </c>
      <c r="Q251" s="345">
        <f>IF($A251="","",SUMIFS('Timesheet Raw'!$P$4:$P$8000,'Timesheet Raw'!$L$4:$L$8000,$A251,'Timesheet Raw'!$C$4:$C$8000,L$3))</f>
        <v>0</v>
      </c>
      <c r="R251" s="375"/>
      <c r="S251" t="str">
        <f>IF($A251="","",IF(R251&lt;&gt;"",R251,IF($A251&gt;'Work Calendar'!$B$17,"No data yet",IF(AND(N251&gt;='Work Calendar'!$B$14,L251+M251+O251&gt;0),"Day off - but worked",IF(N251&gt;='Work Calendar'!$B$14,"Day off",IF(L251+M251+O251&gt;0,IF($C251="Working","Charged","Worked weekend"),IF($C251="Working","Leave (not charged)",$C251)))))))</f>
        <v>No data yet</v>
      </c>
      <c r="T251" s="341">
        <f>IF($A251="","",SUMIFS('Timesheet Raw'!$P$4:$P$8000,'Timesheet Raw'!$L$4:$L$8000,$A251,'Timesheet Raw'!$C$4:$C$8000,T$3,'Timesheet Raw'!$A$4:$A$8000,"1-Projects"))</f>
        <v>0</v>
      </c>
      <c r="U251" s="341">
        <f>IF($A251="","",SUMIFS('Timesheet Raw'!$P$4:$P$8000,'Timesheet Raw'!$L$4:$L$8000,$A251,'Timesheet Raw'!$C$4:$C$8000,T$3,'Timesheet Raw'!$A$4:$A$8000,"2-Proposals Chargeable")+SUMIFS('Timesheet Raw'!$P$4:$P$8000,'Timesheet Raw'!$L$4:$L$8000,$A251,'Timesheet Raw'!$C$4:$C$8000,T$3,'Timesheet Raw'!$A$4:$A$8000,"3-Proposals Regular"))</f>
        <v>0</v>
      </c>
      <c r="V251" s="341">
        <f>IF($A251="","",SUMIFS('Timesheet Raw'!$P$4:$P$8000,'Timesheet Raw'!$L$4:$L$8000,$A251,'Timesheet Raw'!$C$4:$C$8000,T$3,'Timesheet Raw'!$B$4:$B$8000,'Work Calendar'!$A$26)+SUMIFS('Timesheet Raw'!$P$4:$P$8000,'Timesheet Raw'!$L$4:$L$8000,$A251,'Timesheet Raw'!$C$4:$C$8000,T$3,'Timesheet Raw'!$B$4:$B$8000,'Work Calendar'!$A$27)+SUMIFS('Timesheet Raw'!$P$4:$P$8000,'Timesheet Raw'!$L$4:$L$8000,$A251,'Timesheet Raw'!$C$4:$C$8000,T$3,'Timesheet Raw'!$B$4:$B$8000,'Work Calendar'!$A$28)+SUMIFS('Timesheet Raw'!$P$4:$P$8000,'Timesheet Raw'!$L$4:$L$8000,$A251,'Timesheet Raw'!$C$4:$C$8000,T$3,'Timesheet Raw'!$B$4:$B$8000,'Work Calendar'!$A$29))</f>
        <v>0</v>
      </c>
      <c r="W251" s="341">
        <f t="shared" si="15"/>
        <v>0</v>
      </c>
      <c r="X251" s="395">
        <f>IF($A251="","",SUMIFS('Timesheet Raw'!$K$4:$K$8000,'Timesheet Raw'!$L$4:$L$8000,$A251,'Timesheet Raw'!$C$4:$C$8000,T$3))</f>
        <v>0</v>
      </c>
      <c r="Y251" s="345">
        <f>IF($A251="","",SUMIFS('Timesheet Raw'!$P$4:$P$8000,'Timesheet Raw'!$L$4:$L$8000,$A251,'Timesheet Raw'!$C$4:$C$8000,T$3))</f>
        <v>0</v>
      </c>
      <c r="Z251" s="375"/>
      <c r="AA251" t="str">
        <f>IF($A251="","",IF(Z251&lt;&gt;"",Z251,IF($A251&gt;'Work Calendar'!$B$17,"No data yet",IF(AND(V251&gt;='Work Calendar'!$B$14,T251+U251+W251&gt;0),"Day off - but worked",IF(V251&gt;='Work Calendar'!$B$14,"Day off",IF(T251+U251+W251&gt;0,IF($C251="Working","Charged","Worked weekend"),IF($C251="Working","Leave (not charged)",$C251)))))))</f>
        <v>No data yet</v>
      </c>
    </row>
    <row r="252" spans="1:27" x14ac:dyDescent="0.3">
      <c r="A252" s="371">
        <f>IF($A251="","",IF($A251+1&gt;'Work Calendar'!$B$16,"",$A251+1))</f>
        <v>46270</v>
      </c>
      <c r="B252" t="str">
        <f t="shared" si="12"/>
        <v>Sat</v>
      </c>
      <c r="C252" t="str" cm="1">
        <f t="array" ref="C252">IF($A252="","",IF(COUNTIF('Work Calendar'!$E$6:$E$200,$A252)&gt;0,"Holiday",IF(INDEX('Work Calendar'!$C$6:$C$12,WEEKDAY($A252,1))=1,"Working","Weekend")))</f>
        <v>Weekend</v>
      </c>
      <c r="D252" s="341">
        <f>IF($A252="","",SUMIFS('Timesheet Raw'!$P$4:$P$8000,'Timesheet Raw'!$L$4:$L$8000,$A252,'Timesheet Raw'!$C$4:$C$8000,D$3,'Timesheet Raw'!$A$4:$A$8000,"1-Projects"))</f>
        <v>0</v>
      </c>
      <c r="E252" s="341">
        <f>IF($A252="","",SUMIFS('Timesheet Raw'!$P$4:$P$8000,'Timesheet Raw'!$L$4:$L$8000,$A252,'Timesheet Raw'!$C$4:$C$8000,D$3,'Timesheet Raw'!$A$4:$A$8000,"2-Proposals Chargeable")+SUMIFS('Timesheet Raw'!$P$4:$P$8000,'Timesheet Raw'!$L$4:$L$8000,$A252,'Timesheet Raw'!$C$4:$C$8000,D$3,'Timesheet Raw'!$A$4:$A$8000,"3-Proposals Regular"))</f>
        <v>0</v>
      </c>
      <c r="F252" s="341">
        <f>IF($A252="","",SUMIFS('Timesheet Raw'!$P$4:$P$8000,'Timesheet Raw'!$L$4:$L$8000,$A252,'Timesheet Raw'!$C$4:$C$8000,D$3,'Timesheet Raw'!$B$4:$B$8000,'Work Calendar'!$A$26)+SUMIFS('Timesheet Raw'!$P$4:$P$8000,'Timesheet Raw'!$L$4:$L$8000,$A252,'Timesheet Raw'!$C$4:$C$8000,D$3,'Timesheet Raw'!$B$4:$B$8000,'Work Calendar'!$A$27)+SUMIFS('Timesheet Raw'!$P$4:$P$8000,'Timesheet Raw'!$L$4:$L$8000,$A252,'Timesheet Raw'!$C$4:$C$8000,D$3,'Timesheet Raw'!$B$4:$B$8000,'Work Calendar'!$A$28)+SUMIFS('Timesheet Raw'!$P$4:$P$8000,'Timesheet Raw'!$L$4:$L$8000,$A252,'Timesheet Raw'!$C$4:$C$8000,D$3,'Timesheet Raw'!$B$4:$B$8000,'Work Calendar'!$A$29))</f>
        <v>0</v>
      </c>
      <c r="G252" s="341">
        <f t="shared" si="13"/>
        <v>0</v>
      </c>
      <c r="H252" s="395">
        <f>IF($A252="","",SUMIFS('Timesheet Raw'!$K$4:$K$8000,'Timesheet Raw'!$L$4:$L$8000,$A252,'Timesheet Raw'!$C$4:$C$8000,D$3))</f>
        <v>0</v>
      </c>
      <c r="I252" s="345">
        <f>IF($A252="","",SUMIFS('Timesheet Raw'!$P$4:$P$8000,'Timesheet Raw'!$L$4:$L$8000,$A252,'Timesheet Raw'!$C$4:$C$8000,D$3))</f>
        <v>0</v>
      </c>
      <c r="J252" s="375"/>
      <c r="K252" t="str">
        <f>IF($A252="","",IF(J252&lt;&gt;"",J252,IF($A252&gt;'Work Calendar'!$B$17,"No data yet",IF(AND(F252&gt;='Work Calendar'!$B$14,D252+E252+G252&gt;0),"Day off - but worked",IF(F252&gt;='Work Calendar'!$B$14,"Day off",IF(D252+E252+G252&gt;0,IF($C252="Working","Charged","Worked weekend"),IF($C252="Working","Leave (not charged)",$C252)))))))</f>
        <v>No data yet</v>
      </c>
      <c r="L252" s="341">
        <f>IF($A252="","",SUMIFS('Timesheet Raw'!$P$4:$P$8000,'Timesheet Raw'!$L$4:$L$8000,$A252,'Timesheet Raw'!$C$4:$C$8000,L$3,'Timesheet Raw'!$A$4:$A$8000,"1-Projects"))</f>
        <v>0</v>
      </c>
      <c r="M252" s="341">
        <f>IF($A252="","",SUMIFS('Timesheet Raw'!$P$4:$P$8000,'Timesheet Raw'!$L$4:$L$8000,$A252,'Timesheet Raw'!$C$4:$C$8000,L$3,'Timesheet Raw'!$A$4:$A$8000,"2-Proposals Chargeable")+SUMIFS('Timesheet Raw'!$P$4:$P$8000,'Timesheet Raw'!$L$4:$L$8000,$A252,'Timesheet Raw'!$C$4:$C$8000,L$3,'Timesheet Raw'!$A$4:$A$8000,"3-Proposals Regular"))</f>
        <v>0</v>
      </c>
      <c r="N252" s="341">
        <f>IF($A252="","",SUMIFS('Timesheet Raw'!$P$4:$P$8000,'Timesheet Raw'!$L$4:$L$8000,$A252,'Timesheet Raw'!$C$4:$C$8000,L$3,'Timesheet Raw'!$B$4:$B$8000,'Work Calendar'!$A$26)+SUMIFS('Timesheet Raw'!$P$4:$P$8000,'Timesheet Raw'!$L$4:$L$8000,$A252,'Timesheet Raw'!$C$4:$C$8000,L$3,'Timesheet Raw'!$B$4:$B$8000,'Work Calendar'!$A$27)+SUMIFS('Timesheet Raw'!$P$4:$P$8000,'Timesheet Raw'!$L$4:$L$8000,$A252,'Timesheet Raw'!$C$4:$C$8000,L$3,'Timesheet Raw'!$B$4:$B$8000,'Work Calendar'!$A$28)+SUMIFS('Timesheet Raw'!$P$4:$P$8000,'Timesheet Raw'!$L$4:$L$8000,$A252,'Timesheet Raw'!$C$4:$C$8000,L$3,'Timesheet Raw'!$B$4:$B$8000,'Work Calendar'!$A$29))</f>
        <v>0</v>
      </c>
      <c r="O252" s="341">
        <f t="shared" si="14"/>
        <v>0</v>
      </c>
      <c r="P252" s="395">
        <f>IF($A252="","",SUMIFS('Timesheet Raw'!$K$4:$K$8000,'Timesheet Raw'!$L$4:$L$8000,$A252,'Timesheet Raw'!$C$4:$C$8000,L$3))</f>
        <v>0</v>
      </c>
      <c r="Q252" s="345">
        <f>IF($A252="","",SUMIFS('Timesheet Raw'!$P$4:$P$8000,'Timesheet Raw'!$L$4:$L$8000,$A252,'Timesheet Raw'!$C$4:$C$8000,L$3))</f>
        <v>0</v>
      </c>
      <c r="R252" s="375"/>
      <c r="S252" t="str">
        <f>IF($A252="","",IF(R252&lt;&gt;"",R252,IF($A252&gt;'Work Calendar'!$B$17,"No data yet",IF(AND(N252&gt;='Work Calendar'!$B$14,L252+M252+O252&gt;0),"Day off - but worked",IF(N252&gt;='Work Calendar'!$B$14,"Day off",IF(L252+M252+O252&gt;0,IF($C252="Working","Charged","Worked weekend"),IF($C252="Working","Leave (not charged)",$C252)))))))</f>
        <v>No data yet</v>
      </c>
      <c r="T252" s="341">
        <f>IF($A252="","",SUMIFS('Timesheet Raw'!$P$4:$P$8000,'Timesheet Raw'!$L$4:$L$8000,$A252,'Timesheet Raw'!$C$4:$C$8000,T$3,'Timesheet Raw'!$A$4:$A$8000,"1-Projects"))</f>
        <v>0</v>
      </c>
      <c r="U252" s="341">
        <f>IF($A252="","",SUMIFS('Timesheet Raw'!$P$4:$P$8000,'Timesheet Raw'!$L$4:$L$8000,$A252,'Timesheet Raw'!$C$4:$C$8000,T$3,'Timesheet Raw'!$A$4:$A$8000,"2-Proposals Chargeable")+SUMIFS('Timesheet Raw'!$P$4:$P$8000,'Timesheet Raw'!$L$4:$L$8000,$A252,'Timesheet Raw'!$C$4:$C$8000,T$3,'Timesheet Raw'!$A$4:$A$8000,"3-Proposals Regular"))</f>
        <v>0</v>
      </c>
      <c r="V252" s="341">
        <f>IF($A252="","",SUMIFS('Timesheet Raw'!$P$4:$P$8000,'Timesheet Raw'!$L$4:$L$8000,$A252,'Timesheet Raw'!$C$4:$C$8000,T$3,'Timesheet Raw'!$B$4:$B$8000,'Work Calendar'!$A$26)+SUMIFS('Timesheet Raw'!$P$4:$P$8000,'Timesheet Raw'!$L$4:$L$8000,$A252,'Timesheet Raw'!$C$4:$C$8000,T$3,'Timesheet Raw'!$B$4:$B$8000,'Work Calendar'!$A$27)+SUMIFS('Timesheet Raw'!$P$4:$P$8000,'Timesheet Raw'!$L$4:$L$8000,$A252,'Timesheet Raw'!$C$4:$C$8000,T$3,'Timesheet Raw'!$B$4:$B$8000,'Work Calendar'!$A$28)+SUMIFS('Timesheet Raw'!$P$4:$P$8000,'Timesheet Raw'!$L$4:$L$8000,$A252,'Timesheet Raw'!$C$4:$C$8000,T$3,'Timesheet Raw'!$B$4:$B$8000,'Work Calendar'!$A$29))</f>
        <v>0</v>
      </c>
      <c r="W252" s="341">
        <f t="shared" si="15"/>
        <v>0</v>
      </c>
      <c r="X252" s="395">
        <f>IF($A252="","",SUMIFS('Timesheet Raw'!$K$4:$K$8000,'Timesheet Raw'!$L$4:$L$8000,$A252,'Timesheet Raw'!$C$4:$C$8000,T$3))</f>
        <v>0</v>
      </c>
      <c r="Y252" s="345">
        <f>IF($A252="","",SUMIFS('Timesheet Raw'!$P$4:$P$8000,'Timesheet Raw'!$L$4:$L$8000,$A252,'Timesheet Raw'!$C$4:$C$8000,T$3))</f>
        <v>0</v>
      </c>
      <c r="Z252" s="375"/>
      <c r="AA252" t="str">
        <f>IF($A252="","",IF(Z252&lt;&gt;"",Z252,IF($A252&gt;'Work Calendar'!$B$17,"No data yet",IF(AND(V252&gt;='Work Calendar'!$B$14,T252+U252+W252&gt;0),"Day off - but worked",IF(V252&gt;='Work Calendar'!$B$14,"Day off",IF(T252+U252+W252&gt;0,IF($C252="Working","Charged","Worked weekend"),IF($C252="Working","Leave (not charged)",$C252)))))))</f>
        <v>No data yet</v>
      </c>
    </row>
    <row r="253" spans="1:27" x14ac:dyDescent="0.3">
      <c r="A253" s="371">
        <f>IF($A252="","",IF($A252+1&gt;'Work Calendar'!$B$16,"",$A252+1))</f>
        <v>46271</v>
      </c>
      <c r="B253" t="str">
        <f t="shared" si="12"/>
        <v>Sun</v>
      </c>
      <c r="C253" t="str" cm="1">
        <f t="array" ref="C253">IF($A253="","",IF(COUNTIF('Work Calendar'!$E$6:$E$200,$A253)&gt;0,"Holiday",IF(INDEX('Work Calendar'!$C$6:$C$12,WEEKDAY($A253,1))=1,"Working","Weekend")))</f>
        <v>Working</v>
      </c>
      <c r="D253" s="341">
        <f>IF($A253="","",SUMIFS('Timesheet Raw'!$P$4:$P$8000,'Timesheet Raw'!$L$4:$L$8000,$A253,'Timesheet Raw'!$C$4:$C$8000,D$3,'Timesheet Raw'!$A$4:$A$8000,"1-Projects"))</f>
        <v>0</v>
      </c>
      <c r="E253" s="341">
        <f>IF($A253="","",SUMIFS('Timesheet Raw'!$P$4:$P$8000,'Timesheet Raw'!$L$4:$L$8000,$A253,'Timesheet Raw'!$C$4:$C$8000,D$3,'Timesheet Raw'!$A$4:$A$8000,"2-Proposals Chargeable")+SUMIFS('Timesheet Raw'!$P$4:$P$8000,'Timesheet Raw'!$L$4:$L$8000,$A253,'Timesheet Raw'!$C$4:$C$8000,D$3,'Timesheet Raw'!$A$4:$A$8000,"3-Proposals Regular"))</f>
        <v>0</v>
      </c>
      <c r="F253" s="341">
        <f>IF($A253="","",SUMIFS('Timesheet Raw'!$P$4:$P$8000,'Timesheet Raw'!$L$4:$L$8000,$A253,'Timesheet Raw'!$C$4:$C$8000,D$3,'Timesheet Raw'!$B$4:$B$8000,'Work Calendar'!$A$26)+SUMIFS('Timesheet Raw'!$P$4:$P$8000,'Timesheet Raw'!$L$4:$L$8000,$A253,'Timesheet Raw'!$C$4:$C$8000,D$3,'Timesheet Raw'!$B$4:$B$8000,'Work Calendar'!$A$27)+SUMIFS('Timesheet Raw'!$P$4:$P$8000,'Timesheet Raw'!$L$4:$L$8000,$A253,'Timesheet Raw'!$C$4:$C$8000,D$3,'Timesheet Raw'!$B$4:$B$8000,'Work Calendar'!$A$28)+SUMIFS('Timesheet Raw'!$P$4:$P$8000,'Timesheet Raw'!$L$4:$L$8000,$A253,'Timesheet Raw'!$C$4:$C$8000,D$3,'Timesheet Raw'!$B$4:$B$8000,'Work Calendar'!$A$29))</f>
        <v>0</v>
      </c>
      <c r="G253" s="341">
        <f t="shared" si="13"/>
        <v>0</v>
      </c>
      <c r="H253" s="395">
        <f>IF($A253="","",SUMIFS('Timesheet Raw'!$K$4:$K$8000,'Timesheet Raw'!$L$4:$L$8000,$A253,'Timesheet Raw'!$C$4:$C$8000,D$3))</f>
        <v>0</v>
      </c>
      <c r="I253" s="345">
        <f>IF($A253="","",SUMIFS('Timesheet Raw'!$P$4:$P$8000,'Timesheet Raw'!$L$4:$L$8000,$A253,'Timesheet Raw'!$C$4:$C$8000,D$3))</f>
        <v>0</v>
      </c>
      <c r="J253" s="375"/>
      <c r="K253" t="str">
        <f>IF($A253="","",IF(J253&lt;&gt;"",J253,IF($A253&gt;'Work Calendar'!$B$17,"No data yet",IF(AND(F253&gt;='Work Calendar'!$B$14,D253+E253+G253&gt;0),"Day off - but worked",IF(F253&gt;='Work Calendar'!$B$14,"Day off",IF(D253+E253+G253&gt;0,IF($C253="Working","Charged","Worked weekend"),IF($C253="Working","Leave (not charged)",$C253)))))))</f>
        <v>No data yet</v>
      </c>
      <c r="L253" s="341">
        <f>IF($A253="","",SUMIFS('Timesheet Raw'!$P$4:$P$8000,'Timesheet Raw'!$L$4:$L$8000,$A253,'Timesheet Raw'!$C$4:$C$8000,L$3,'Timesheet Raw'!$A$4:$A$8000,"1-Projects"))</f>
        <v>0</v>
      </c>
      <c r="M253" s="341">
        <f>IF($A253="","",SUMIFS('Timesheet Raw'!$P$4:$P$8000,'Timesheet Raw'!$L$4:$L$8000,$A253,'Timesheet Raw'!$C$4:$C$8000,L$3,'Timesheet Raw'!$A$4:$A$8000,"2-Proposals Chargeable")+SUMIFS('Timesheet Raw'!$P$4:$P$8000,'Timesheet Raw'!$L$4:$L$8000,$A253,'Timesheet Raw'!$C$4:$C$8000,L$3,'Timesheet Raw'!$A$4:$A$8000,"3-Proposals Regular"))</f>
        <v>0</v>
      </c>
      <c r="N253" s="341">
        <f>IF($A253="","",SUMIFS('Timesheet Raw'!$P$4:$P$8000,'Timesheet Raw'!$L$4:$L$8000,$A253,'Timesheet Raw'!$C$4:$C$8000,L$3,'Timesheet Raw'!$B$4:$B$8000,'Work Calendar'!$A$26)+SUMIFS('Timesheet Raw'!$P$4:$P$8000,'Timesheet Raw'!$L$4:$L$8000,$A253,'Timesheet Raw'!$C$4:$C$8000,L$3,'Timesheet Raw'!$B$4:$B$8000,'Work Calendar'!$A$27)+SUMIFS('Timesheet Raw'!$P$4:$P$8000,'Timesheet Raw'!$L$4:$L$8000,$A253,'Timesheet Raw'!$C$4:$C$8000,L$3,'Timesheet Raw'!$B$4:$B$8000,'Work Calendar'!$A$28)+SUMIFS('Timesheet Raw'!$P$4:$P$8000,'Timesheet Raw'!$L$4:$L$8000,$A253,'Timesheet Raw'!$C$4:$C$8000,L$3,'Timesheet Raw'!$B$4:$B$8000,'Work Calendar'!$A$29))</f>
        <v>0</v>
      </c>
      <c r="O253" s="341">
        <f t="shared" si="14"/>
        <v>0</v>
      </c>
      <c r="P253" s="395">
        <f>IF($A253="","",SUMIFS('Timesheet Raw'!$K$4:$K$8000,'Timesheet Raw'!$L$4:$L$8000,$A253,'Timesheet Raw'!$C$4:$C$8000,L$3))</f>
        <v>0</v>
      </c>
      <c r="Q253" s="345">
        <f>IF($A253="","",SUMIFS('Timesheet Raw'!$P$4:$P$8000,'Timesheet Raw'!$L$4:$L$8000,$A253,'Timesheet Raw'!$C$4:$C$8000,L$3))</f>
        <v>0</v>
      </c>
      <c r="R253" s="375"/>
      <c r="S253" t="str">
        <f>IF($A253="","",IF(R253&lt;&gt;"",R253,IF($A253&gt;'Work Calendar'!$B$17,"No data yet",IF(AND(N253&gt;='Work Calendar'!$B$14,L253+M253+O253&gt;0),"Day off - but worked",IF(N253&gt;='Work Calendar'!$B$14,"Day off",IF(L253+M253+O253&gt;0,IF($C253="Working","Charged","Worked weekend"),IF($C253="Working","Leave (not charged)",$C253)))))))</f>
        <v>No data yet</v>
      </c>
      <c r="T253" s="341">
        <f>IF($A253="","",SUMIFS('Timesheet Raw'!$P$4:$P$8000,'Timesheet Raw'!$L$4:$L$8000,$A253,'Timesheet Raw'!$C$4:$C$8000,T$3,'Timesheet Raw'!$A$4:$A$8000,"1-Projects"))</f>
        <v>0</v>
      </c>
      <c r="U253" s="341">
        <f>IF($A253="","",SUMIFS('Timesheet Raw'!$P$4:$P$8000,'Timesheet Raw'!$L$4:$L$8000,$A253,'Timesheet Raw'!$C$4:$C$8000,T$3,'Timesheet Raw'!$A$4:$A$8000,"2-Proposals Chargeable")+SUMIFS('Timesheet Raw'!$P$4:$P$8000,'Timesheet Raw'!$L$4:$L$8000,$A253,'Timesheet Raw'!$C$4:$C$8000,T$3,'Timesheet Raw'!$A$4:$A$8000,"3-Proposals Regular"))</f>
        <v>0</v>
      </c>
      <c r="V253" s="341">
        <f>IF($A253="","",SUMIFS('Timesheet Raw'!$P$4:$P$8000,'Timesheet Raw'!$L$4:$L$8000,$A253,'Timesheet Raw'!$C$4:$C$8000,T$3,'Timesheet Raw'!$B$4:$B$8000,'Work Calendar'!$A$26)+SUMIFS('Timesheet Raw'!$P$4:$P$8000,'Timesheet Raw'!$L$4:$L$8000,$A253,'Timesheet Raw'!$C$4:$C$8000,T$3,'Timesheet Raw'!$B$4:$B$8000,'Work Calendar'!$A$27)+SUMIFS('Timesheet Raw'!$P$4:$P$8000,'Timesheet Raw'!$L$4:$L$8000,$A253,'Timesheet Raw'!$C$4:$C$8000,T$3,'Timesheet Raw'!$B$4:$B$8000,'Work Calendar'!$A$28)+SUMIFS('Timesheet Raw'!$P$4:$P$8000,'Timesheet Raw'!$L$4:$L$8000,$A253,'Timesheet Raw'!$C$4:$C$8000,T$3,'Timesheet Raw'!$B$4:$B$8000,'Work Calendar'!$A$29))</f>
        <v>0</v>
      </c>
      <c r="W253" s="341">
        <f t="shared" si="15"/>
        <v>0</v>
      </c>
      <c r="X253" s="395">
        <f>IF($A253="","",SUMIFS('Timesheet Raw'!$K$4:$K$8000,'Timesheet Raw'!$L$4:$L$8000,$A253,'Timesheet Raw'!$C$4:$C$8000,T$3))</f>
        <v>0</v>
      </c>
      <c r="Y253" s="345">
        <f>IF($A253="","",SUMIFS('Timesheet Raw'!$P$4:$P$8000,'Timesheet Raw'!$L$4:$L$8000,$A253,'Timesheet Raw'!$C$4:$C$8000,T$3))</f>
        <v>0</v>
      </c>
      <c r="Z253" s="375"/>
      <c r="AA253" t="str">
        <f>IF($A253="","",IF(Z253&lt;&gt;"",Z253,IF($A253&gt;'Work Calendar'!$B$17,"No data yet",IF(AND(V253&gt;='Work Calendar'!$B$14,T253+U253+W253&gt;0),"Day off - but worked",IF(V253&gt;='Work Calendar'!$B$14,"Day off",IF(T253+U253+W253&gt;0,IF($C253="Working","Charged","Worked weekend"),IF($C253="Working","Leave (not charged)",$C253)))))))</f>
        <v>No data yet</v>
      </c>
    </row>
    <row r="254" spans="1:27" x14ac:dyDescent="0.3">
      <c r="A254" s="371">
        <f>IF($A253="","",IF($A253+1&gt;'Work Calendar'!$B$16,"",$A253+1))</f>
        <v>46272</v>
      </c>
      <c r="B254" t="str">
        <f t="shared" si="12"/>
        <v>Mon</v>
      </c>
      <c r="C254" t="str" cm="1">
        <f t="array" ref="C254">IF($A254="","",IF(COUNTIF('Work Calendar'!$E$6:$E$200,$A254)&gt;0,"Holiday",IF(INDEX('Work Calendar'!$C$6:$C$12,WEEKDAY($A254,1))=1,"Working","Weekend")))</f>
        <v>Working</v>
      </c>
      <c r="D254" s="341">
        <f>IF($A254="","",SUMIFS('Timesheet Raw'!$P$4:$P$8000,'Timesheet Raw'!$L$4:$L$8000,$A254,'Timesheet Raw'!$C$4:$C$8000,D$3,'Timesheet Raw'!$A$4:$A$8000,"1-Projects"))</f>
        <v>0</v>
      </c>
      <c r="E254" s="341">
        <f>IF($A254="","",SUMIFS('Timesheet Raw'!$P$4:$P$8000,'Timesheet Raw'!$L$4:$L$8000,$A254,'Timesheet Raw'!$C$4:$C$8000,D$3,'Timesheet Raw'!$A$4:$A$8000,"2-Proposals Chargeable")+SUMIFS('Timesheet Raw'!$P$4:$P$8000,'Timesheet Raw'!$L$4:$L$8000,$A254,'Timesheet Raw'!$C$4:$C$8000,D$3,'Timesheet Raw'!$A$4:$A$8000,"3-Proposals Regular"))</f>
        <v>0</v>
      </c>
      <c r="F254" s="341">
        <f>IF($A254="","",SUMIFS('Timesheet Raw'!$P$4:$P$8000,'Timesheet Raw'!$L$4:$L$8000,$A254,'Timesheet Raw'!$C$4:$C$8000,D$3,'Timesheet Raw'!$B$4:$B$8000,'Work Calendar'!$A$26)+SUMIFS('Timesheet Raw'!$P$4:$P$8000,'Timesheet Raw'!$L$4:$L$8000,$A254,'Timesheet Raw'!$C$4:$C$8000,D$3,'Timesheet Raw'!$B$4:$B$8000,'Work Calendar'!$A$27)+SUMIFS('Timesheet Raw'!$P$4:$P$8000,'Timesheet Raw'!$L$4:$L$8000,$A254,'Timesheet Raw'!$C$4:$C$8000,D$3,'Timesheet Raw'!$B$4:$B$8000,'Work Calendar'!$A$28)+SUMIFS('Timesheet Raw'!$P$4:$P$8000,'Timesheet Raw'!$L$4:$L$8000,$A254,'Timesheet Raw'!$C$4:$C$8000,D$3,'Timesheet Raw'!$B$4:$B$8000,'Work Calendar'!$A$29))</f>
        <v>0</v>
      </c>
      <c r="G254" s="341">
        <f t="shared" si="13"/>
        <v>0</v>
      </c>
      <c r="H254" s="395">
        <f>IF($A254="","",SUMIFS('Timesheet Raw'!$K$4:$K$8000,'Timesheet Raw'!$L$4:$L$8000,$A254,'Timesheet Raw'!$C$4:$C$8000,D$3))</f>
        <v>0</v>
      </c>
      <c r="I254" s="345">
        <f>IF($A254="","",SUMIFS('Timesheet Raw'!$P$4:$P$8000,'Timesheet Raw'!$L$4:$L$8000,$A254,'Timesheet Raw'!$C$4:$C$8000,D$3))</f>
        <v>0</v>
      </c>
      <c r="J254" s="375"/>
      <c r="K254" t="str">
        <f>IF($A254="","",IF(J254&lt;&gt;"",J254,IF($A254&gt;'Work Calendar'!$B$17,"No data yet",IF(AND(F254&gt;='Work Calendar'!$B$14,D254+E254+G254&gt;0),"Day off - but worked",IF(F254&gt;='Work Calendar'!$B$14,"Day off",IF(D254+E254+G254&gt;0,IF($C254="Working","Charged","Worked weekend"),IF($C254="Working","Leave (not charged)",$C254)))))))</f>
        <v>No data yet</v>
      </c>
      <c r="L254" s="341">
        <f>IF($A254="","",SUMIFS('Timesheet Raw'!$P$4:$P$8000,'Timesheet Raw'!$L$4:$L$8000,$A254,'Timesheet Raw'!$C$4:$C$8000,L$3,'Timesheet Raw'!$A$4:$A$8000,"1-Projects"))</f>
        <v>0</v>
      </c>
      <c r="M254" s="341">
        <f>IF($A254="","",SUMIFS('Timesheet Raw'!$P$4:$P$8000,'Timesheet Raw'!$L$4:$L$8000,$A254,'Timesheet Raw'!$C$4:$C$8000,L$3,'Timesheet Raw'!$A$4:$A$8000,"2-Proposals Chargeable")+SUMIFS('Timesheet Raw'!$P$4:$P$8000,'Timesheet Raw'!$L$4:$L$8000,$A254,'Timesheet Raw'!$C$4:$C$8000,L$3,'Timesheet Raw'!$A$4:$A$8000,"3-Proposals Regular"))</f>
        <v>0</v>
      </c>
      <c r="N254" s="341">
        <f>IF($A254="","",SUMIFS('Timesheet Raw'!$P$4:$P$8000,'Timesheet Raw'!$L$4:$L$8000,$A254,'Timesheet Raw'!$C$4:$C$8000,L$3,'Timesheet Raw'!$B$4:$B$8000,'Work Calendar'!$A$26)+SUMIFS('Timesheet Raw'!$P$4:$P$8000,'Timesheet Raw'!$L$4:$L$8000,$A254,'Timesheet Raw'!$C$4:$C$8000,L$3,'Timesheet Raw'!$B$4:$B$8000,'Work Calendar'!$A$27)+SUMIFS('Timesheet Raw'!$P$4:$P$8000,'Timesheet Raw'!$L$4:$L$8000,$A254,'Timesheet Raw'!$C$4:$C$8000,L$3,'Timesheet Raw'!$B$4:$B$8000,'Work Calendar'!$A$28)+SUMIFS('Timesheet Raw'!$P$4:$P$8000,'Timesheet Raw'!$L$4:$L$8000,$A254,'Timesheet Raw'!$C$4:$C$8000,L$3,'Timesheet Raw'!$B$4:$B$8000,'Work Calendar'!$A$29))</f>
        <v>0</v>
      </c>
      <c r="O254" s="341">
        <f t="shared" si="14"/>
        <v>0</v>
      </c>
      <c r="P254" s="395">
        <f>IF($A254="","",SUMIFS('Timesheet Raw'!$K$4:$K$8000,'Timesheet Raw'!$L$4:$L$8000,$A254,'Timesheet Raw'!$C$4:$C$8000,L$3))</f>
        <v>0</v>
      </c>
      <c r="Q254" s="345">
        <f>IF($A254="","",SUMIFS('Timesheet Raw'!$P$4:$P$8000,'Timesheet Raw'!$L$4:$L$8000,$A254,'Timesheet Raw'!$C$4:$C$8000,L$3))</f>
        <v>0</v>
      </c>
      <c r="R254" s="375"/>
      <c r="S254" t="str">
        <f>IF($A254="","",IF(R254&lt;&gt;"",R254,IF($A254&gt;'Work Calendar'!$B$17,"No data yet",IF(AND(N254&gt;='Work Calendar'!$B$14,L254+M254+O254&gt;0),"Day off - but worked",IF(N254&gt;='Work Calendar'!$B$14,"Day off",IF(L254+M254+O254&gt;0,IF($C254="Working","Charged","Worked weekend"),IF($C254="Working","Leave (not charged)",$C254)))))))</f>
        <v>No data yet</v>
      </c>
      <c r="T254" s="341">
        <f>IF($A254="","",SUMIFS('Timesheet Raw'!$P$4:$P$8000,'Timesheet Raw'!$L$4:$L$8000,$A254,'Timesheet Raw'!$C$4:$C$8000,T$3,'Timesheet Raw'!$A$4:$A$8000,"1-Projects"))</f>
        <v>0</v>
      </c>
      <c r="U254" s="341">
        <f>IF($A254="","",SUMIFS('Timesheet Raw'!$P$4:$P$8000,'Timesheet Raw'!$L$4:$L$8000,$A254,'Timesheet Raw'!$C$4:$C$8000,T$3,'Timesheet Raw'!$A$4:$A$8000,"2-Proposals Chargeable")+SUMIFS('Timesheet Raw'!$P$4:$P$8000,'Timesheet Raw'!$L$4:$L$8000,$A254,'Timesheet Raw'!$C$4:$C$8000,T$3,'Timesheet Raw'!$A$4:$A$8000,"3-Proposals Regular"))</f>
        <v>0</v>
      </c>
      <c r="V254" s="341">
        <f>IF($A254="","",SUMIFS('Timesheet Raw'!$P$4:$P$8000,'Timesheet Raw'!$L$4:$L$8000,$A254,'Timesheet Raw'!$C$4:$C$8000,T$3,'Timesheet Raw'!$B$4:$B$8000,'Work Calendar'!$A$26)+SUMIFS('Timesheet Raw'!$P$4:$P$8000,'Timesheet Raw'!$L$4:$L$8000,$A254,'Timesheet Raw'!$C$4:$C$8000,T$3,'Timesheet Raw'!$B$4:$B$8000,'Work Calendar'!$A$27)+SUMIFS('Timesheet Raw'!$P$4:$P$8000,'Timesheet Raw'!$L$4:$L$8000,$A254,'Timesheet Raw'!$C$4:$C$8000,T$3,'Timesheet Raw'!$B$4:$B$8000,'Work Calendar'!$A$28)+SUMIFS('Timesheet Raw'!$P$4:$P$8000,'Timesheet Raw'!$L$4:$L$8000,$A254,'Timesheet Raw'!$C$4:$C$8000,T$3,'Timesheet Raw'!$B$4:$B$8000,'Work Calendar'!$A$29))</f>
        <v>0</v>
      </c>
      <c r="W254" s="341">
        <f t="shared" si="15"/>
        <v>0</v>
      </c>
      <c r="X254" s="395">
        <f>IF($A254="","",SUMIFS('Timesheet Raw'!$K$4:$K$8000,'Timesheet Raw'!$L$4:$L$8000,$A254,'Timesheet Raw'!$C$4:$C$8000,T$3))</f>
        <v>0</v>
      </c>
      <c r="Y254" s="345">
        <f>IF($A254="","",SUMIFS('Timesheet Raw'!$P$4:$P$8000,'Timesheet Raw'!$L$4:$L$8000,$A254,'Timesheet Raw'!$C$4:$C$8000,T$3))</f>
        <v>0</v>
      </c>
      <c r="Z254" s="375"/>
      <c r="AA254" t="str">
        <f>IF($A254="","",IF(Z254&lt;&gt;"",Z254,IF($A254&gt;'Work Calendar'!$B$17,"No data yet",IF(AND(V254&gt;='Work Calendar'!$B$14,T254+U254+W254&gt;0),"Day off - but worked",IF(V254&gt;='Work Calendar'!$B$14,"Day off",IF(T254+U254+W254&gt;0,IF($C254="Working","Charged","Worked weekend"),IF($C254="Working","Leave (not charged)",$C254)))))))</f>
        <v>No data yet</v>
      </c>
    </row>
    <row r="255" spans="1:27" x14ac:dyDescent="0.3">
      <c r="A255" s="371">
        <f>IF($A254="","",IF($A254+1&gt;'Work Calendar'!$B$16,"",$A254+1))</f>
        <v>46273</v>
      </c>
      <c r="B255" t="str">
        <f t="shared" si="12"/>
        <v>Tue</v>
      </c>
      <c r="C255" t="str" cm="1">
        <f t="array" ref="C255">IF($A255="","",IF(COUNTIF('Work Calendar'!$E$6:$E$200,$A255)&gt;0,"Holiday",IF(INDEX('Work Calendar'!$C$6:$C$12,WEEKDAY($A255,1))=1,"Working","Weekend")))</f>
        <v>Working</v>
      </c>
      <c r="D255" s="341">
        <f>IF($A255="","",SUMIFS('Timesheet Raw'!$P$4:$P$8000,'Timesheet Raw'!$L$4:$L$8000,$A255,'Timesheet Raw'!$C$4:$C$8000,D$3,'Timesheet Raw'!$A$4:$A$8000,"1-Projects"))</f>
        <v>0</v>
      </c>
      <c r="E255" s="341">
        <f>IF($A255="","",SUMIFS('Timesheet Raw'!$P$4:$P$8000,'Timesheet Raw'!$L$4:$L$8000,$A255,'Timesheet Raw'!$C$4:$C$8000,D$3,'Timesheet Raw'!$A$4:$A$8000,"2-Proposals Chargeable")+SUMIFS('Timesheet Raw'!$P$4:$P$8000,'Timesheet Raw'!$L$4:$L$8000,$A255,'Timesheet Raw'!$C$4:$C$8000,D$3,'Timesheet Raw'!$A$4:$A$8000,"3-Proposals Regular"))</f>
        <v>0</v>
      </c>
      <c r="F255" s="341">
        <f>IF($A255="","",SUMIFS('Timesheet Raw'!$P$4:$P$8000,'Timesheet Raw'!$L$4:$L$8000,$A255,'Timesheet Raw'!$C$4:$C$8000,D$3,'Timesheet Raw'!$B$4:$B$8000,'Work Calendar'!$A$26)+SUMIFS('Timesheet Raw'!$P$4:$P$8000,'Timesheet Raw'!$L$4:$L$8000,$A255,'Timesheet Raw'!$C$4:$C$8000,D$3,'Timesheet Raw'!$B$4:$B$8000,'Work Calendar'!$A$27)+SUMIFS('Timesheet Raw'!$P$4:$P$8000,'Timesheet Raw'!$L$4:$L$8000,$A255,'Timesheet Raw'!$C$4:$C$8000,D$3,'Timesheet Raw'!$B$4:$B$8000,'Work Calendar'!$A$28)+SUMIFS('Timesheet Raw'!$P$4:$P$8000,'Timesheet Raw'!$L$4:$L$8000,$A255,'Timesheet Raw'!$C$4:$C$8000,D$3,'Timesheet Raw'!$B$4:$B$8000,'Work Calendar'!$A$29))</f>
        <v>0</v>
      </c>
      <c r="G255" s="341">
        <f t="shared" si="13"/>
        <v>0</v>
      </c>
      <c r="H255" s="395">
        <f>IF($A255="","",SUMIFS('Timesheet Raw'!$K$4:$K$8000,'Timesheet Raw'!$L$4:$L$8000,$A255,'Timesheet Raw'!$C$4:$C$8000,D$3))</f>
        <v>0</v>
      </c>
      <c r="I255" s="345">
        <f>IF($A255="","",SUMIFS('Timesheet Raw'!$P$4:$P$8000,'Timesheet Raw'!$L$4:$L$8000,$A255,'Timesheet Raw'!$C$4:$C$8000,D$3))</f>
        <v>0</v>
      </c>
      <c r="J255" s="375"/>
      <c r="K255" t="str">
        <f>IF($A255="","",IF(J255&lt;&gt;"",J255,IF($A255&gt;'Work Calendar'!$B$17,"No data yet",IF(AND(F255&gt;='Work Calendar'!$B$14,D255+E255+G255&gt;0),"Day off - but worked",IF(F255&gt;='Work Calendar'!$B$14,"Day off",IF(D255+E255+G255&gt;0,IF($C255="Working","Charged","Worked weekend"),IF($C255="Working","Leave (not charged)",$C255)))))))</f>
        <v>No data yet</v>
      </c>
      <c r="L255" s="341">
        <f>IF($A255="","",SUMIFS('Timesheet Raw'!$P$4:$P$8000,'Timesheet Raw'!$L$4:$L$8000,$A255,'Timesheet Raw'!$C$4:$C$8000,L$3,'Timesheet Raw'!$A$4:$A$8000,"1-Projects"))</f>
        <v>0</v>
      </c>
      <c r="M255" s="341">
        <f>IF($A255="","",SUMIFS('Timesheet Raw'!$P$4:$P$8000,'Timesheet Raw'!$L$4:$L$8000,$A255,'Timesheet Raw'!$C$4:$C$8000,L$3,'Timesheet Raw'!$A$4:$A$8000,"2-Proposals Chargeable")+SUMIFS('Timesheet Raw'!$P$4:$P$8000,'Timesheet Raw'!$L$4:$L$8000,$A255,'Timesheet Raw'!$C$4:$C$8000,L$3,'Timesheet Raw'!$A$4:$A$8000,"3-Proposals Regular"))</f>
        <v>0</v>
      </c>
      <c r="N255" s="341">
        <f>IF($A255="","",SUMIFS('Timesheet Raw'!$P$4:$P$8000,'Timesheet Raw'!$L$4:$L$8000,$A255,'Timesheet Raw'!$C$4:$C$8000,L$3,'Timesheet Raw'!$B$4:$B$8000,'Work Calendar'!$A$26)+SUMIFS('Timesheet Raw'!$P$4:$P$8000,'Timesheet Raw'!$L$4:$L$8000,$A255,'Timesheet Raw'!$C$4:$C$8000,L$3,'Timesheet Raw'!$B$4:$B$8000,'Work Calendar'!$A$27)+SUMIFS('Timesheet Raw'!$P$4:$P$8000,'Timesheet Raw'!$L$4:$L$8000,$A255,'Timesheet Raw'!$C$4:$C$8000,L$3,'Timesheet Raw'!$B$4:$B$8000,'Work Calendar'!$A$28)+SUMIFS('Timesheet Raw'!$P$4:$P$8000,'Timesheet Raw'!$L$4:$L$8000,$A255,'Timesheet Raw'!$C$4:$C$8000,L$3,'Timesheet Raw'!$B$4:$B$8000,'Work Calendar'!$A$29))</f>
        <v>0</v>
      </c>
      <c r="O255" s="341">
        <f t="shared" si="14"/>
        <v>0</v>
      </c>
      <c r="P255" s="395">
        <f>IF($A255="","",SUMIFS('Timesheet Raw'!$K$4:$K$8000,'Timesheet Raw'!$L$4:$L$8000,$A255,'Timesheet Raw'!$C$4:$C$8000,L$3))</f>
        <v>0</v>
      </c>
      <c r="Q255" s="345">
        <f>IF($A255="","",SUMIFS('Timesheet Raw'!$P$4:$P$8000,'Timesheet Raw'!$L$4:$L$8000,$A255,'Timesheet Raw'!$C$4:$C$8000,L$3))</f>
        <v>0</v>
      </c>
      <c r="R255" s="375"/>
      <c r="S255" t="str">
        <f>IF($A255="","",IF(R255&lt;&gt;"",R255,IF($A255&gt;'Work Calendar'!$B$17,"No data yet",IF(AND(N255&gt;='Work Calendar'!$B$14,L255+M255+O255&gt;0),"Day off - but worked",IF(N255&gt;='Work Calendar'!$B$14,"Day off",IF(L255+M255+O255&gt;0,IF($C255="Working","Charged","Worked weekend"),IF($C255="Working","Leave (not charged)",$C255)))))))</f>
        <v>No data yet</v>
      </c>
      <c r="T255" s="341">
        <f>IF($A255="","",SUMIFS('Timesheet Raw'!$P$4:$P$8000,'Timesheet Raw'!$L$4:$L$8000,$A255,'Timesheet Raw'!$C$4:$C$8000,T$3,'Timesheet Raw'!$A$4:$A$8000,"1-Projects"))</f>
        <v>0</v>
      </c>
      <c r="U255" s="341">
        <f>IF($A255="","",SUMIFS('Timesheet Raw'!$P$4:$P$8000,'Timesheet Raw'!$L$4:$L$8000,$A255,'Timesheet Raw'!$C$4:$C$8000,T$3,'Timesheet Raw'!$A$4:$A$8000,"2-Proposals Chargeable")+SUMIFS('Timesheet Raw'!$P$4:$P$8000,'Timesheet Raw'!$L$4:$L$8000,$A255,'Timesheet Raw'!$C$4:$C$8000,T$3,'Timesheet Raw'!$A$4:$A$8000,"3-Proposals Regular"))</f>
        <v>0</v>
      </c>
      <c r="V255" s="341">
        <f>IF($A255="","",SUMIFS('Timesheet Raw'!$P$4:$P$8000,'Timesheet Raw'!$L$4:$L$8000,$A255,'Timesheet Raw'!$C$4:$C$8000,T$3,'Timesheet Raw'!$B$4:$B$8000,'Work Calendar'!$A$26)+SUMIFS('Timesheet Raw'!$P$4:$P$8000,'Timesheet Raw'!$L$4:$L$8000,$A255,'Timesheet Raw'!$C$4:$C$8000,T$3,'Timesheet Raw'!$B$4:$B$8000,'Work Calendar'!$A$27)+SUMIFS('Timesheet Raw'!$P$4:$P$8000,'Timesheet Raw'!$L$4:$L$8000,$A255,'Timesheet Raw'!$C$4:$C$8000,T$3,'Timesheet Raw'!$B$4:$B$8000,'Work Calendar'!$A$28)+SUMIFS('Timesheet Raw'!$P$4:$P$8000,'Timesheet Raw'!$L$4:$L$8000,$A255,'Timesheet Raw'!$C$4:$C$8000,T$3,'Timesheet Raw'!$B$4:$B$8000,'Work Calendar'!$A$29))</f>
        <v>0</v>
      </c>
      <c r="W255" s="341">
        <f t="shared" si="15"/>
        <v>0</v>
      </c>
      <c r="X255" s="395">
        <f>IF($A255="","",SUMIFS('Timesheet Raw'!$K$4:$K$8000,'Timesheet Raw'!$L$4:$L$8000,$A255,'Timesheet Raw'!$C$4:$C$8000,T$3))</f>
        <v>0</v>
      </c>
      <c r="Y255" s="345">
        <f>IF($A255="","",SUMIFS('Timesheet Raw'!$P$4:$P$8000,'Timesheet Raw'!$L$4:$L$8000,$A255,'Timesheet Raw'!$C$4:$C$8000,T$3))</f>
        <v>0</v>
      </c>
      <c r="Z255" s="375"/>
      <c r="AA255" t="str">
        <f>IF($A255="","",IF(Z255&lt;&gt;"",Z255,IF($A255&gt;'Work Calendar'!$B$17,"No data yet",IF(AND(V255&gt;='Work Calendar'!$B$14,T255+U255+W255&gt;0),"Day off - but worked",IF(V255&gt;='Work Calendar'!$B$14,"Day off",IF(T255+U255+W255&gt;0,IF($C255="Working","Charged","Worked weekend"),IF($C255="Working","Leave (not charged)",$C255)))))))</f>
        <v>No data yet</v>
      </c>
    </row>
    <row r="256" spans="1:27" x14ac:dyDescent="0.3">
      <c r="A256" s="371">
        <f>IF($A255="","",IF($A255+1&gt;'Work Calendar'!$B$16,"",$A255+1))</f>
        <v>46274</v>
      </c>
      <c r="B256" t="str">
        <f t="shared" si="12"/>
        <v>Wed</v>
      </c>
      <c r="C256" t="str" cm="1">
        <f t="array" ref="C256">IF($A256="","",IF(COUNTIF('Work Calendar'!$E$6:$E$200,$A256)&gt;0,"Holiday",IF(INDEX('Work Calendar'!$C$6:$C$12,WEEKDAY($A256,1))=1,"Working","Weekend")))</f>
        <v>Working</v>
      </c>
      <c r="D256" s="341">
        <f>IF($A256="","",SUMIFS('Timesheet Raw'!$P$4:$P$8000,'Timesheet Raw'!$L$4:$L$8000,$A256,'Timesheet Raw'!$C$4:$C$8000,D$3,'Timesheet Raw'!$A$4:$A$8000,"1-Projects"))</f>
        <v>0</v>
      </c>
      <c r="E256" s="341">
        <f>IF($A256="","",SUMIFS('Timesheet Raw'!$P$4:$P$8000,'Timesheet Raw'!$L$4:$L$8000,$A256,'Timesheet Raw'!$C$4:$C$8000,D$3,'Timesheet Raw'!$A$4:$A$8000,"2-Proposals Chargeable")+SUMIFS('Timesheet Raw'!$P$4:$P$8000,'Timesheet Raw'!$L$4:$L$8000,$A256,'Timesheet Raw'!$C$4:$C$8000,D$3,'Timesheet Raw'!$A$4:$A$8000,"3-Proposals Regular"))</f>
        <v>0</v>
      </c>
      <c r="F256" s="341">
        <f>IF($A256="","",SUMIFS('Timesheet Raw'!$P$4:$P$8000,'Timesheet Raw'!$L$4:$L$8000,$A256,'Timesheet Raw'!$C$4:$C$8000,D$3,'Timesheet Raw'!$B$4:$B$8000,'Work Calendar'!$A$26)+SUMIFS('Timesheet Raw'!$P$4:$P$8000,'Timesheet Raw'!$L$4:$L$8000,$A256,'Timesheet Raw'!$C$4:$C$8000,D$3,'Timesheet Raw'!$B$4:$B$8000,'Work Calendar'!$A$27)+SUMIFS('Timesheet Raw'!$P$4:$P$8000,'Timesheet Raw'!$L$4:$L$8000,$A256,'Timesheet Raw'!$C$4:$C$8000,D$3,'Timesheet Raw'!$B$4:$B$8000,'Work Calendar'!$A$28)+SUMIFS('Timesheet Raw'!$P$4:$P$8000,'Timesheet Raw'!$L$4:$L$8000,$A256,'Timesheet Raw'!$C$4:$C$8000,D$3,'Timesheet Raw'!$B$4:$B$8000,'Work Calendar'!$A$29))</f>
        <v>0</v>
      </c>
      <c r="G256" s="341">
        <f t="shared" si="13"/>
        <v>0</v>
      </c>
      <c r="H256" s="395">
        <f>IF($A256="","",SUMIFS('Timesheet Raw'!$K$4:$K$8000,'Timesheet Raw'!$L$4:$L$8000,$A256,'Timesheet Raw'!$C$4:$C$8000,D$3))</f>
        <v>0</v>
      </c>
      <c r="I256" s="345">
        <f>IF($A256="","",SUMIFS('Timesheet Raw'!$P$4:$P$8000,'Timesheet Raw'!$L$4:$L$8000,$A256,'Timesheet Raw'!$C$4:$C$8000,D$3))</f>
        <v>0</v>
      </c>
      <c r="J256" s="375"/>
      <c r="K256" t="str">
        <f>IF($A256="","",IF(J256&lt;&gt;"",J256,IF($A256&gt;'Work Calendar'!$B$17,"No data yet",IF(AND(F256&gt;='Work Calendar'!$B$14,D256+E256+G256&gt;0),"Day off - but worked",IF(F256&gt;='Work Calendar'!$B$14,"Day off",IF(D256+E256+G256&gt;0,IF($C256="Working","Charged","Worked weekend"),IF($C256="Working","Leave (not charged)",$C256)))))))</f>
        <v>No data yet</v>
      </c>
      <c r="L256" s="341">
        <f>IF($A256="","",SUMIFS('Timesheet Raw'!$P$4:$P$8000,'Timesheet Raw'!$L$4:$L$8000,$A256,'Timesheet Raw'!$C$4:$C$8000,L$3,'Timesheet Raw'!$A$4:$A$8000,"1-Projects"))</f>
        <v>0</v>
      </c>
      <c r="M256" s="341">
        <f>IF($A256="","",SUMIFS('Timesheet Raw'!$P$4:$P$8000,'Timesheet Raw'!$L$4:$L$8000,$A256,'Timesheet Raw'!$C$4:$C$8000,L$3,'Timesheet Raw'!$A$4:$A$8000,"2-Proposals Chargeable")+SUMIFS('Timesheet Raw'!$P$4:$P$8000,'Timesheet Raw'!$L$4:$L$8000,$A256,'Timesheet Raw'!$C$4:$C$8000,L$3,'Timesheet Raw'!$A$4:$A$8000,"3-Proposals Regular"))</f>
        <v>0</v>
      </c>
      <c r="N256" s="341">
        <f>IF($A256="","",SUMIFS('Timesheet Raw'!$P$4:$P$8000,'Timesheet Raw'!$L$4:$L$8000,$A256,'Timesheet Raw'!$C$4:$C$8000,L$3,'Timesheet Raw'!$B$4:$B$8000,'Work Calendar'!$A$26)+SUMIFS('Timesheet Raw'!$P$4:$P$8000,'Timesheet Raw'!$L$4:$L$8000,$A256,'Timesheet Raw'!$C$4:$C$8000,L$3,'Timesheet Raw'!$B$4:$B$8000,'Work Calendar'!$A$27)+SUMIFS('Timesheet Raw'!$P$4:$P$8000,'Timesheet Raw'!$L$4:$L$8000,$A256,'Timesheet Raw'!$C$4:$C$8000,L$3,'Timesheet Raw'!$B$4:$B$8000,'Work Calendar'!$A$28)+SUMIFS('Timesheet Raw'!$P$4:$P$8000,'Timesheet Raw'!$L$4:$L$8000,$A256,'Timesheet Raw'!$C$4:$C$8000,L$3,'Timesheet Raw'!$B$4:$B$8000,'Work Calendar'!$A$29))</f>
        <v>0</v>
      </c>
      <c r="O256" s="341">
        <f t="shared" si="14"/>
        <v>0</v>
      </c>
      <c r="P256" s="395">
        <f>IF($A256="","",SUMIFS('Timesheet Raw'!$K$4:$K$8000,'Timesheet Raw'!$L$4:$L$8000,$A256,'Timesheet Raw'!$C$4:$C$8000,L$3))</f>
        <v>0</v>
      </c>
      <c r="Q256" s="345">
        <f>IF($A256="","",SUMIFS('Timesheet Raw'!$P$4:$P$8000,'Timesheet Raw'!$L$4:$L$8000,$A256,'Timesheet Raw'!$C$4:$C$8000,L$3))</f>
        <v>0</v>
      </c>
      <c r="R256" s="375"/>
      <c r="S256" t="str">
        <f>IF($A256="","",IF(R256&lt;&gt;"",R256,IF($A256&gt;'Work Calendar'!$B$17,"No data yet",IF(AND(N256&gt;='Work Calendar'!$B$14,L256+M256+O256&gt;0),"Day off - but worked",IF(N256&gt;='Work Calendar'!$B$14,"Day off",IF(L256+M256+O256&gt;0,IF($C256="Working","Charged","Worked weekend"),IF($C256="Working","Leave (not charged)",$C256)))))))</f>
        <v>No data yet</v>
      </c>
      <c r="T256" s="341">
        <f>IF($A256="","",SUMIFS('Timesheet Raw'!$P$4:$P$8000,'Timesheet Raw'!$L$4:$L$8000,$A256,'Timesheet Raw'!$C$4:$C$8000,T$3,'Timesheet Raw'!$A$4:$A$8000,"1-Projects"))</f>
        <v>0</v>
      </c>
      <c r="U256" s="341">
        <f>IF($A256="","",SUMIFS('Timesheet Raw'!$P$4:$P$8000,'Timesheet Raw'!$L$4:$L$8000,$A256,'Timesheet Raw'!$C$4:$C$8000,T$3,'Timesheet Raw'!$A$4:$A$8000,"2-Proposals Chargeable")+SUMIFS('Timesheet Raw'!$P$4:$P$8000,'Timesheet Raw'!$L$4:$L$8000,$A256,'Timesheet Raw'!$C$4:$C$8000,T$3,'Timesheet Raw'!$A$4:$A$8000,"3-Proposals Regular"))</f>
        <v>0</v>
      </c>
      <c r="V256" s="341">
        <f>IF($A256="","",SUMIFS('Timesheet Raw'!$P$4:$P$8000,'Timesheet Raw'!$L$4:$L$8000,$A256,'Timesheet Raw'!$C$4:$C$8000,T$3,'Timesheet Raw'!$B$4:$B$8000,'Work Calendar'!$A$26)+SUMIFS('Timesheet Raw'!$P$4:$P$8000,'Timesheet Raw'!$L$4:$L$8000,$A256,'Timesheet Raw'!$C$4:$C$8000,T$3,'Timesheet Raw'!$B$4:$B$8000,'Work Calendar'!$A$27)+SUMIFS('Timesheet Raw'!$P$4:$P$8000,'Timesheet Raw'!$L$4:$L$8000,$A256,'Timesheet Raw'!$C$4:$C$8000,T$3,'Timesheet Raw'!$B$4:$B$8000,'Work Calendar'!$A$28)+SUMIFS('Timesheet Raw'!$P$4:$P$8000,'Timesheet Raw'!$L$4:$L$8000,$A256,'Timesheet Raw'!$C$4:$C$8000,T$3,'Timesheet Raw'!$B$4:$B$8000,'Work Calendar'!$A$29))</f>
        <v>0</v>
      </c>
      <c r="W256" s="341">
        <f t="shared" si="15"/>
        <v>0</v>
      </c>
      <c r="X256" s="395">
        <f>IF($A256="","",SUMIFS('Timesheet Raw'!$K$4:$K$8000,'Timesheet Raw'!$L$4:$L$8000,$A256,'Timesheet Raw'!$C$4:$C$8000,T$3))</f>
        <v>0</v>
      </c>
      <c r="Y256" s="345">
        <f>IF($A256="","",SUMIFS('Timesheet Raw'!$P$4:$P$8000,'Timesheet Raw'!$L$4:$L$8000,$A256,'Timesheet Raw'!$C$4:$C$8000,T$3))</f>
        <v>0</v>
      </c>
      <c r="Z256" s="375"/>
      <c r="AA256" t="str">
        <f>IF($A256="","",IF(Z256&lt;&gt;"",Z256,IF($A256&gt;'Work Calendar'!$B$17,"No data yet",IF(AND(V256&gt;='Work Calendar'!$B$14,T256+U256+W256&gt;0),"Day off - but worked",IF(V256&gt;='Work Calendar'!$B$14,"Day off",IF(T256+U256+W256&gt;0,IF($C256="Working","Charged","Worked weekend"),IF($C256="Working","Leave (not charged)",$C256)))))))</f>
        <v>No data yet</v>
      </c>
    </row>
    <row r="257" spans="1:27" x14ac:dyDescent="0.3">
      <c r="A257" s="371">
        <f>IF($A256="","",IF($A256+1&gt;'Work Calendar'!$B$16,"",$A256+1))</f>
        <v>46275</v>
      </c>
      <c r="B257" t="str">
        <f t="shared" si="12"/>
        <v>Thu</v>
      </c>
      <c r="C257" t="str" cm="1">
        <f t="array" ref="C257">IF($A257="","",IF(COUNTIF('Work Calendar'!$E$6:$E$200,$A257)&gt;0,"Holiday",IF(INDEX('Work Calendar'!$C$6:$C$12,WEEKDAY($A257,1))=1,"Working","Weekend")))</f>
        <v>Working</v>
      </c>
      <c r="D257" s="341">
        <f>IF($A257="","",SUMIFS('Timesheet Raw'!$P$4:$P$8000,'Timesheet Raw'!$L$4:$L$8000,$A257,'Timesheet Raw'!$C$4:$C$8000,D$3,'Timesheet Raw'!$A$4:$A$8000,"1-Projects"))</f>
        <v>0</v>
      </c>
      <c r="E257" s="341">
        <f>IF($A257="","",SUMIFS('Timesheet Raw'!$P$4:$P$8000,'Timesheet Raw'!$L$4:$L$8000,$A257,'Timesheet Raw'!$C$4:$C$8000,D$3,'Timesheet Raw'!$A$4:$A$8000,"2-Proposals Chargeable")+SUMIFS('Timesheet Raw'!$P$4:$P$8000,'Timesheet Raw'!$L$4:$L$8000,$A257,'Timesheet Raw'!$C$4:$C$8000,D$3,'Timesheet Raw'!$A$4:$A$8000,"3-Proposals Regular"))</f>
        <v>0</v>
      </c>
      <c r="F257" s="341">
        <f>IF($A257="","",SUMIFS('Timesheet Raw'!$P$4:$P$8000,'Timesheet Raw'!$L$4:$L$8000,$A257,'Timesheet Raw'!$C$4:$C$8000,D$3,'Timesheet Raw'!$B$4:$B$8000,'Work Calendar'!$A$26)+SUMIFS('Timesheet Raw'!$P$4:$P$8000,'Timesheet Raw'!$L$4:$L$8000,$A257,'Timesheet Raw'!$C$4:$C$8000,D$3,'Timesheet Raw'!$B$4:$B$8000,'Work Calendar'!$A$27)+SUMIFS('Timesheet Raw'!$P$4:$P$8000,'Timesheet Raw'!$L$4:$L$8000,$A257,'Timesheet Raw'!$C$4:$C$8000,D$3,'Timesheet Raw'!$B$4:$B$8000,'Work Calendar'!$A$28)+SUMIFS('Timesheet Raw'!$P$4:$P$8000,'Timesheet Raw'!$L$4:$L$8000,$A257,'Timesheet Raw'!$C$4:$C$8000,D$3,'Timesheet Raw'!$B$4:$B$8000,'Work Calendar'!$A$29))</f>
        <v>0</v>
      </c>
      <c r="G257" s="341">
        <f t="shared" si="13"/>
        <v>0</v>
      </c>
      <c r="H257" s="395">
        <f>IF($A257="","",SUMIFS('Timesheet Raw'!$K$4:$K$8000,'Timesheet Raw'!$L$4:$L$8000,$A257,'Timesheet Raw'!$C$4:$C$8000,D$3))</f>
        <v>0</v>
      </c>
      <c r="I257" s="345">
        <f>IF($A257="","",SUMIFS('Timesheet Raw'!$P$4:$P$8000,'Timesheet Raw'!$L$4:$L$8000,$A257,'Timesheet Raw'!$C$4:$C$8000,D$3))</f>
        <v>0</v>
      </c>
      <c r="J257" s="375"/>
      <c r="K257" t="str">
        <f>IF($A257="","",IF(J257&lt;&gt;"",J257,IF($A257&gt;'Work Calendar'!$B$17,"No data yet",IF(AND(F257&gt;='Work Calendar'!$B$14,D257+E257+G257&gt;0),"Day off - but worked",IF(F257&gt;='Work Calendar'!$B$14,"Day off",IF(D257+E257+G257&gt;0,IF($C257="Working","Charged","Worked weekend"),IF($C257="Working","Leave (not charged)",$C257)))))))</f>
        <v>No data yet</v>
      </c>
      <c r="L257" s="341">
        <f>IF($A257="","",SUMIFS('Timesheet Raw'!$P$4:$P$8000,'Timesheet Raw'!$L$4:$L$8000,$A257,'Timesheet Raw'!$C$4:$C$8000,L$3,'Timesheet Raw'!$A$4:$A$8000,"1-Projects"))</f>
        <v>0</v>
      </c>
      <c r="M257" s="341">
        <f>IF($A257="","",SUMIFS('Timesheet Raw'!$P$4:$P$8000,'Timesheet Raw'!$L$4:$L$8000,$A257,'Timesheet Raw'!$C$4:$C$8000,L$3,'Timesheet Raw'!$A$4:$A$8000,"2-Proposals Chargeable")+SUMIFS('Timesheet Raw'!$P$4:$P$8000,'Timesheet Raw'!$L$4:$L$8000,$A257,'Timesheet Raw'!$C$4:$C$8000,L$3,'Timesheet Raw'!$A$4:$A$8000,"3-Proposals Regular"))</f>
        <v>0</v>
      </c>
      <c r="N257" s="341">
        <f>IF($A257="","",SUMIFS('Timesheet Raw'!$P$4:$P$8000,'Timesheet Raw'!$L$4:$L$8000,$A257,'Timesheet Raw'!$C$4:$C$8000,L$3,'Timesheet Raw'!$B$4:$B$8000,'Work Calendar'!$A$26)+SUMIFS('Timesheet Raw'!$P$4:$P$8000,'Timesheet Raw'!$L$4:$L$8000,$A257,'Timesheet Raw'!$C$4:$C$8000,L$3,'Timesheet Raw'!$B$4:$B$8000,'Work Calendar'!$A$27)+SUMIFS('Timesheet Raw'!$P$4:$P$8000,'Timesheet Raw'!$L$4:$L$8000,$A257,'Timesheet Raw'!$C$4:$C$8000,L$3,'Timesheet Raw'!$B$4:$B$8000,'Work Calendar'!$A$28)+SUMIFS('Timesheet Raw'!$P$4:$P$8000,'Timesheet Raw'!$L$4:$L$8000,$A257,'Timesheet Raw'!$C$4:$C$8000,L$3,'Timesheet Raw'!$B$4:$B$8000,'Work Calendar'!$A$29))</f>
        <v>0</v>
      </c>
      <c r="O257" s="341">
        <f t="shared" si="14"/>
        <v>0</v>
      </c>
      <c r="P257" s="395">
        <f>IF($A257="","",SUMIFS('Timesheet Raw'!$K$4:$K$8000,'Timesheet Raw'!$L$4:$L$8000,$A257,'Timesheet Raw'!$C$4:$C$8000,L$3))</f>
        <v>0</v>
      </c>
      <c r="Q257" s="345">
        <f>IF($A257="","",SUMIFS('Timesheet Raw'!$P$4:$P$8000,'Timesheet Raw'!$L$4:$L$8000,$A257,'Timesheet Raw'!$C$4:$C$8000,L$3))</f>
        <v>0</v>
      </c>
      <c r="R257" s="375"/>
      <c r="S257" t="str">
        <f>IF($A257="","",IF(R257&lt;&gt;"",R257,IF($A257&gt;'Work Calendar'!$B$17,"No data yet",IF(AND(N257&gt;='Work Calendar'!$B$14,L257+M257+O257&gt;0),"Day off - but worked",IF(N257&gt;='Work Calendar'!$B$14,"Day off",IF(L257+M257+O257&gt;0,IF($C257="Working","Charged","Worked weekend"),IF($C257="Working","Leave (not charged)",$C257)))))))</f>
        <v>No data yet</v>
      </c>
      <c r="T257" s="341">
        <f>IF($A257="","",SUMIFS('Timesheet Raw'!$P$4:$P$8000,'Timesheet Raw'!$L$4:$L$8000,$A257,'Timesheet Raw'!$C$4:$C$8000,T$3,'Timesheet Raw'!$A$4:$A$8000,"1-Projects"))</f>
        <v>0</v>
      </c>
      <c r="U257" s="341">
        <f>IF($A257="","",SUMIFS('Timesheet Raw'!$P$4:$P$8000,'Timesheet Raw'!$L$4:$L$8000,$A257,'Timesheet Raw'!$C$4:$C$8000,T$3,'Timesheet Raw'!$A$4:$A$8000,"2-Proposals Chargeable")+SUMIFS('Timesheet Raw'!$P$4:$P$8000,'Timesheet Raw'!$L$4:$L$8000,$A257,'Timesheet Raw'!$C$4:$C$8000,T$3,'Timesheet Raw'!$A$4:$A$8000,"3-Proposals Regular"))</f>
        <v>0</v>
      </c>
      <c r="V257" s="341">
        <f>IF($A257="","",SUMIFS('Timesheet Raw'!$P$4:$P$8000,'Timesheet Raw'!$L$4:$L$8000,$A257,'Timesheet Raw'!$C$4:$C$8000,T$3,'Timesheet Raw'!$B$4:$B$8000,'Work Calendar'!$A$26)+SUMIFS('Timesheet Raw'!$P$4:$P$8000,'Timesheet Raw'!$L$4:$L$8000,$A257,'Timesheet Raw'!$C$4:$C$8000,T$3,'Timesheet Raw'!$B$4:$B$8000,'Work Calendar'!$A$27)+SUMIFS('Timesheet Raw'!$P$4:$P$8000,'Timesheet Raw'!$L$4:$L$8000,$A257,'Timesheet Raw'!$C$4:$C$8000,T$3,'Timesheet Raw'!$B$4:$B$8000,'Work Calendar'!$A$28)+SUMIFS('Timesheet Raw'!$P$4:$P$8000,'Timesheet Raw'!$L$4:$L$8000,$A257,'Timesheet Raw'!$C$4:$C$8000,T$3,'Timesheet Raw'!$B$4:$B$8000,'Work Calendar'!$A$29))</f>
        <v>0</v>
      </c>
      <c r="W257" s="341">
        <f t="shared" si="15"/>
        <v>0</v>
      </c>
      <c r="X257" s="395">
        <f>IF($A257="","",SUMIFS('Timesheet Raw'!$K$4:$K$8000,'Timesheet Raw'!$L$4:$L$8000,$A257,'Timesheet Raw'!$C$4:$C$8000,T$3))</f>
        <v>0</v>
      </c>
      <c r="Y257" s="345">
        <f>IF($A257="","",SUMIFS('Timesheet Raw'!$P$4:$P$8000,'Timesheet Raw'!$L$4:$L$8000,$A257,'Timesheet Raw'!$C$4:$C$8000,T$3))</f>
        <v>0</v>
      </c>
      <c r="Z257" s="375"/>
      <c r="AA257" t="str">
        <f>IF($A257="","",IF(Z257&lt;&gt;"",Z257,IF($A257&gt;'Work Calendar'!$B$17,"No data yet",IF(AND(V257&gt;='Work Calendar'!$B$14,T257+U257+W257&gt;0),"Day off - but worked",IF(V257&gt;='Work Calendar'!$B$14,"Day off",IF(T257+U257+W257&gt;0,IF($C257="Working","Charged","Worked weekend"),IF($C257="Working","Leave (not charged)",$C257)))))))</f>
        <v>No data yet</v>
      </c>
    </row>
    <row r="258" spans="1:27" x14ac:dyDescent="0.3">
      <c r="A258" s="371">
        <f>IF($A257="","",IF($A257+1&gt;'Work Calendar'!$B$16,"",$A257+1))</f>
        <v>46276</v>
      </c>
      <c r="B258" t="str">
        <f t="shared" si="12"/>
        <v>Fri</v>
      </c>
      <c r="C258" t="str" cm="1">
        <f t="array" ref="C258">IF($A258="","",IF(COUNTIF('Work Calendar'!$E$6:$E$200,$A258)&gt;0,"Holiday",IF(INDEX('Work Calendar'!$C$6:$C$12,WEEKDAY($A258,1))=1,"Working","Weekend")))</f>
        <v>Weekend</v>
      </c>
      <c r="D258" s="341">
        <f>IF($A258="","",SUMIFS('Timesheet Raw'!$P$4:$P$8000,'Timesheet Raw'!$L$4:$L$8000,$A258,'Timesheet Raw'!$C$4:$C$8000,D$3,'Timesheet Raw'!$A$4:$A$8000,"1-Projects"))</f>
        <v>0</v>
      </c>
      <c r="E258" s="341">
        <f>IF($A258="","",SUMIFS('Timesheet Raw'!$P$4:$P$8000,'Timesheet Raw'!$L$4:$L$8000,$A258,'Timesheet Raw'!$C$4:$C$8000,D$3,'Timesheet Raw'!$A$4:$A$8000,"2-Proposals Chargeable")+SUMIFS('Timesheet Raw'!$P$4:$P$8000,'Timesheet Raw'!$L$4:$L$8000,$A258,'Timesheet Raw'!$C$4:$C$8000,D$3,'Timesheet Raw'!$A$4:$A$8000,"3-Proposals Regular"))</f>
        <v>0</v>
      </c>
      <c r="F258" s="341">
        <f>IF($A258="","",SUMIFS('Timesheet Raw'!$P$4:$P$8000,'Timesheet Raw'!$L$4:$L$8000,$A258,'Timesheet Raw'!$C$4:$C$8000,D$3,'Timesheet Raw'!$B$4:$B$8000,'Work Calendar'!$A$26)+SUMIFS('Timesheet Raw'!$P$4:$P$8000,'Timesheet Raw'!$L$4:$L$8000,$A258,'Timesheet Raw'!$C$4:$C$8000,D$3,'Timesheet Raw'!$B$4:$B$8000,'Work Calendar'!$A$27)+SUMIFS('Timesheet Raw'!$P$4:$P$8000,'Timesheet Raw'!$L$4:$L$8000,$A258,'Timesheet Raw'!$C$4:$C$8000,D$3,'Timesheet Raw'!$B$4:$B$8000,'Work Calendar'!$A$28)+SUMIFS('Timesheet Raw'!$P$4:$P$8000,'Timesheet Raw'!$L$4:$L$8000,$A258,'Timesheet Raw'!$C$4:$C$8000,D$3,'Timesheet Raw'!$B$4:$B$8000,'Work Calendar'!$A$29))</f>
        <v>0</v>
      </c>
      <c r="G258" s="341">
        <f t="shared" si="13"/>
        <v>0</v>
      </c>
      <c r="H258" s="395">
        <f>IF($A258="","",SUMIFS('Timesheet Raw'!$K$4:$K$8000,'Timesheet Raw'!$L$4:$L$8000,$A258,'Timesheet Raw'!$C$4:$C$8000,D$3))</f>
        <v>0</v>
      </c>
      <c r="I258" s="345">
        <f>IF($A258="","",SUMIFS('Timesheet Raw'!$P$4:$P$8000,'Timesheet Raw'!$L$4:$L$8000,$A258,'Timesheet Raw'!$C$4:$C$8000,D$3))</f>
        <v>0</v>
      </c>
      <c r="J258" s="375"/>
      <c r="K258" t="str">
        <f>IF($A258="","",IF(J258&lt;&gt;"",J258,IF($A258&gt;'Work Calendar'!$B$17,"No data yet",IF(AND(F258&gt;='Work Calendar'!$B$14,D258+E258+G258&gt;0),"Day off - but worked",IF(F258&gt;='Work Calendar'!$B$14,"Day off",IF(D258+E258+G258&gt;0,IF($C258="Working","Charged","Worked weekend"),IF($C258="Working","Leave (not charged)",$C258)))))))</f>
        <v>No data yet</v>
      </c>
      <c r="L258" s="341">
        <f>IF($A258="","",SUMIFS('Timesheet Raw'!$P$4:$P$8000,'Timesheet Raw'!$L$4:$L$8000,$A258,'Timesheet Raw'!$C$4:$C$8000,L$3,'Timesheet Raw'!$A$4:$A$8000,"1-Projects"))</f>
        <v>0</v>
      </c>
      <c r="M258" s="341">
        <f>IF($A258="","",SUMIFS('Timesheet Raw'!$P$4:$P$8000,'Timesheet Raw'!$L$4:$L$8000,$A258,'Timesheet Raw'!$C$4:$C$8000,L$3,'Timesheet Raw'!$A$4:$A$8000,"2-Proposals Chargeable")+SUMIFS('Timesheet Raw'!$P$4:$P$8000,'Timesheet Raw'!$L$4:$L$8000,$A258,'Timesheet Raw'!$C$4:$C$8000,L$3,'Timesheet Raw'!$A$4:$A$8000,"3-Proposals Regular"))</f>
        <v>0</v>
      </c>
      <c r="N258" s="341">
        <f>IF($A258="","",SUMIFS('Timesheet Raw'!$P$4:$P$8000,'Timesheet Raw'!$L$4:$L$8000,$A258,'Timesheet Raw'!$C$4:$C$8000,L$3,'Timesheet Raw'!$B$4:$B$8000,'Work Calendar'!$A$26)+SUMIFS('Timesheet Raw'!$P$4:$P$8000,'Timesheet Raw'!$L$4:$L$8000,$A258,'Timesheet Raw'!$C$4:$C$8000,L$3,'Timesheet Raw'!$B$4:$B$8000,'Work Calendar'!$A$27)+SUMIFS('Timesheet Raw'!$P$4:$P$8000,'Timesheet Raw'!$L$4:$L$8000,$A258,'Timesheet Raw'!$C$4:$C$8000,L$3,'Timesheet Raw'!$B$4:$B$8000,'Work Calendar'!$A$28)+SUMIFS('Timesheet Raw'!$P$4:$P$8000,'Timesheet Raw'!$L$4:$L$8000,$A258,'Timesheet Raw'!$C$4:$C$8000,L$3,'Timesheet Raw'!$B$4:$B$8000,'Work Calendar'!$A$29))</f>
        <v>0</v>
      </c>
      <c r="O258" s="341">
        <f t="shared" si="14"/>
        <v>0</v>
      </c>
      <c r="P258" s="395">
        <f>IF($A258="","",SUMIFS('Timesheet Raw'!$K$4:$K$8000,'Timesheet Raw'!$L$4:$L$8000,$A258,'Timesheet Raw'!$C$4:$C$8000,L$3))</f>
        <v>0</v>
      </c>
      <c r="Q258" s="345">
        <f>IF($A258="","",SUMIFS('Timesheet Raw'!$P$4:$P$8000,'Timesheet Raw'!$L$4:$L$8000,$A258,'Timesheet Raw'!$C$4:$C$8000,L$3))</f>
        <v>0</v>
      </c>
      <c r="R258" s="375"/>
      <c r="S258" t="str">
        <f>IF($A258="","",IF(R258&lt;&gt;"",R258,IF($A258&gt;'Work Calendar'!$B$17,"No data yet",IF(AND(N258&gt;='Work Calendar'!$B$14,L258+M258+O258&gt;0),"Day off - but worked",IF(N258&gt;='Work Calendar'!$B$14,"Day off",IF(L258+M258+O258&gt;0,IF($C258="Working","Charged","Worked weekend"),IF($C258="Working","Leave (not charged)",$C258)))))))</f>
        <v>No data yet</v>
      </c>
      <c r="T258" s="341">
        <f>IF($A258="","",SUMIFS('Timesheet Raw'!$P$4:$P$8000,'Timesheet Raw'!$L$4:$L$8000,$A258,'Timesheet Raw'!$C$4:$C$8000,T$3,'Timesheet Raw'!$A$4:$A$8000,"1-Projects"))</f>
        <v>0</v>
      </c>
      <c r="U258" s="341">
        <f>IF($A258="","",SUMIFS('Timesheet Raw'!$P$4:$P$8000,'Timesheet Raw'!$L$4:$L$8000,$A258,'Timesheet Raw'!$C$4:$C$8000,T$3,'Timesheet Raw'!$A$4:$A$8000,"2-Proposals Chargeable")+SUMIFS('Timesheet Raw'!$P$4:$P$8000,'Timesheet Raw'!$L$4:$L$8000,$A258,'Timesheet Raw'!$C$4:$C$8000,T$3,'Timesheet Raw'!$A$4:$A$8000,"3-Proposals Regular"))</f>
        <v>0</v>
      </c>
      <c r="V258" s="341">
        <f>IF($A258="","",SUMIFS('Timesheet Raw'!$P$4:$P$8000,'Timesheet Raw'!$L$4:$L$8000,$A258,'Timesheet Raw'!$C$4:$C$8000,T$3,'Timesheet Raw'!$B$4:$B$8000,'Work Calendar'!$A$26)+SUMIFS('Timesheet Raw'!$P$4:$P$8000,'Timesheet Raw'!$L$4:$L$8000,$A258,'Timesheet Raw'!$C$4:$C$8000,T$3,'Timesheet Raw'!$B$4:$B$8000,'Work Calendar'!$A$27)+SUMIFS('Timesheet Raw'!$P$4:$P$8000,'Timesheet Raw'!$L$4:$L$8000,$A258,'Timesheet Raw'!$C$4:$C$8000,T$3,'Timesheet Raw'!$B$4:$B$8000,'Work Calendar'!$A$28)+SUMIFS('Timesheet Raw'!$P$4:$P$8000,'Timesheet Raw'!$L$4:$L$8000,$A258,'Timesheet Raw'!$C$4:$C$8000,T$3,'Timesheet Raw'!$B$4:$B$8000,'Work Calendar'!$A$29))</f>
        <v>0</v>
      </c>
      <c r="W258" s="341">
        <f t="shared" si="15"/>
        <v>0</v>
      </c>
      <c r="X258" s="395">
        <f>IF($A258="","",SUMIFS('Timesheet Raw'!$K$4:$K$8000,'Timesheet Raw'!$L$4:$L$8000,$A258,'Timesheet Raw'!$C$4:$C$8000,T$3))</f>
        <v>0</v>
      </c>
      <c r="Y258" s="345">
        <f>IF($A258="","",SUMIFS('Timesheet Raw'!$P$4:$P$8000,'Timesheet Raw'!$L$4:$L$8000,$A258,'Timesheet Raw'!$C$4:$C$8000,T$3))</f>
        <v>0</v>
      </c>
      <c r="Z258" s="375"/>
      <c r="AA258" t="str">
        <f>IF($A258="","",IF(Z258&lt;&gt;"",Z258,IF($A258&gt;'Work Calendar'!$B$17,"No data yet",IF(AND(V258&gt;='Work Calendar'!$B$14,T258+U258+W258&gt;0),"Day off - but worked",IF(V258&gt;='Work Calendar'!$B$14,"Day off",IF(T258+U258+W258&gt;0,IF($C258="Working","Charged","Worked weekend"),IF($C258="Working","Leave (not charged)",$C258)))))))</f>
        <v>No data yet</v>
      </c>
    </row>
    <row r="259" spans="1:27" x14ac:dyDescent="0.3">
      <c r="A259" s="371">
        <f>IF($A258="","",IF($A258+1&gt;'Work Calendar'!$B$16,"",$A258+1))</f>
        <v>46277</v>
      </c>
      <c r="B259" t="str">
        <f t="shared" si="12"/>
        <v>Sat</v>
      </c>
      <c r="C259" t="str" cm="1">
        <f t="array" ref="C259">IF($A259="","",IF(COUNTIF('Work Calendar'!$E$6:$E$200,$A259)&gt;0,"Holiday",IF(INDEX('Work Calendar'!$C$6:$C$12,WEEKDAY($A259,1))=1,"Working","Weekend")))</f>
        <v>Weekend</v>
      </c>
      <c r="D259" s="341">
        <f>IF($A259="","",SUMIFS('Timesheet Raw'!$P$4:$P$8000,'Timesheet Raw'!$L$4:$L$8000,$A259,'Timesheet Raw'!$C$4:$C$8000,D$3,'Timesheet Raw'!$A$4:$A$8000,"1-Projects"))</f>
        <v>0</v>
      </c>
      <c r="E259" s="341">
        <f>IF($A259="","",SUMIFS('Timesheet Raw'!$P$4:$P$8000,'Timesheet Raw'!$L$4:$L$8000,$A259,'Timesheet Raw'!$C$4:$C$8000,D$3,'Timesheet Raw'!$A$4:$A$8000,"2-Proposals Chargeable")+SUMIFS('Timesheet Raw'!$P$4:$P$8000,'Timesheet Raw'!$L$4:$L$8000,$A259,'Timesheet Raw'!$C$4:$C$8000,D$3,'Timesheet Raw'!$A$4:$A$8000,"3-Proposals Regular"))</f>
        <v>0</v>
      </c>
      <c r="F259" s="341">
        <f>IF($A259="","",SUMIFS('Timesheet Raw'!$P$4:$P$8000,'Timesheet Raw'!$L$4:$L$8000,$A259,'Timesheet Raw'!$C$4:$C$8000,D$3,'Timesheet Raw'!$B$4:$B$8000,'Work Calendar'!$A$26)+SUMIFS('Timesheet Raw'!$P$4:$P$8000,'Timesheet Raw'!$L$4:$L$8000,$A259,'Timesheet Raw'!$C$4:$C$8000,D$3,'Timesheet Raw'!$B$4:$B$8000,'Work Calendar'!$A$27)+SUMIFS('Timesheet Raw'!$P$4:$P$8000,'Timesheet Raw'!$L$4:$L$8000,$A259,'Timesheet Raw'!$C$4:$C$8000,D$3,'Timesheet Raw'!$B$4:$B$8000,'Work Calendar'!$A$28)+SUMIFS('Timesheet Raw'!$P$4:$P$8000,'Timesheet Raw'!$L$4:$L$8000,$A259,'Timesheet Raw'!$C$4:$C$8000,D$3,'Timesheet Raw'!$B$4:$B$8000,'Work Calendar'!$A$29))</f>
        <v>0</v>
      </c>
      <c r="G259" s="341">
        <f t="shared" si="13"/>
        <v>0</v>
      </c>
      <c r="H259" s="395">
        <f>IF($A259="","",SUMIFS('Timesheet Raw'!$K$4:$K$8000,'Timesheet Raw'!$L$4:$L$8000,$A259,'Timesheet Raw'!$C$4:$C$8000,D$3))</f>
        <v>0</v>
      </c>
      <c r="I259" s="345">
        <f>IF($A259="","",SUMIFS('Timesheet Raw'!$P$4:$P$8000,'Timesheet Raw'!$L$4:$L$8000,$A259,'Timesheet Raw'!$C$4:$C$8000,D$3))</f>
        <v>0</v>
      </c>
      <c r="J259" s="375"/>
      <c r="K259" t="str">
        <f>IF($A259="","",IF(J259&lt;&gt;"",J259,IF($A259&gt;'Work Calendar'!$B$17,"No data yet",IF(AND(F259&gt;='Work Calendar'!$B$14,D259+E259+G259&gt;0),"Day off - but worked",IF(F259&gt;='Work Calendar'!$B$14,"Day off",IF(D259+E259+G259&gt;0,IF($C259="Working","Charged","Worked weekend"),IF($C259="Working","Leave (not charged)",$C259)))))))</f>
        <v>No data yet</v>
      </c>
      <c r="L259" s="341">
        <f>IF($A259="","",SUMIFS('Timesheet Raw'!$P$4:$P$8000,'Timesheet Raw'!$L$4:$L$8000,$A259,'Timesheet Raw'!$C$4:$C$8000,L$3,'Timesheet Raw'!$A$4:$A$8000,"1-Projects"))</f>
        <v>0</v>
      </c>
      <c r="M259" s="341">
        <f>IF($A259="","",SUMIFS('Timesheet Raw'!$P$4:$P$8000,'Timesheet Raw'!$L$4:$L$8000,$A259,'Timesheet Raw'!$C$4:$C$8000,L$3,'Timesheet Raw'!$A$4:$A$8000,"2-Proposals Chargeable")+SUMIFS('Timesheet Raw'!$P$4:$P$8000,'Timesheet Raw'!$L$4:$L$8000,$A259,'Timesheet Raw'!$C$4:$C$8000,L$3,'Timesheet Raw'!$A$4:$A$8000,"3-Proposals Regular"))</f>
        <v>0</v>
      </c>
      <c r="N259" s="341">
        <f>IF($A259="","",SUMIFS('Timesheet Raw'!$P$4:$P$8000,'Timesheet Raw'!$L$4:$L$8000,$A259,'Timesheet Raw'!$C$4:$C$8000,L$3,'Timesheet Raw'!$B$4:$B$8000,'Work Calendar'!$A$26)+SUMIFS('Timesheet Raw'!$P$4:$P$8000,'Timesheet Raw'!$L$4:$L$8000,$A259,'Timesheet Raw'!$C$4:$C$8000,L$3,'Timesheet Raw'!$B$4:$B$8000,'Work Calendar'!$A$27)+SUMIFS('Timesheet Raw'!$P$4:$P$8000,'Timesheet Raw'!$L$4:$L$8000,$A259,'Timesheet Raw'!$C$4:$C$8000,L$3,'Timesheet Raw'!$B$4:$B$8000,'Work Calendar'!$A$28)+SUMIFS('Timesheet Raw'!$P$4:$P$8000,'Timesheet Raw'!$L$4:$L$8000,$A259,'Timesheet Raw'!$C$4:$C$8000,L$3,'Timesheet Raw'!$B$4:$B$8000,'Work Calendar'!$A$29))</f>
        <v>0</v>
      </c>
      <c r="O259" s="341">
        <f t="shared" si="14"/>
        <v>0</v>
      </c>
      <c r="P259" s="395">
        <f>IF($A259="","",SUMIFS('Timesheet Raw'!$K$4:$K$8000,'Timesheet Raw'!$L$4:$L$8000,$A259,'Timesheet Raw'!$C$4:$C$8000,L$3))</f>
        <v>0</v>
      </c>
      <c r="Q259" s="345">
        <f>IF($A259="","",SUMIFS('Timesheet Raw'!$P$4:$P$8000,'Timesheet Raw'!$L$4:$L$8000,$A259,'Timesheet Raw'!$C$4:$C$8000,L$3))</f>
        <v>0</v>
      </c>
      <c r="R259" s="375"/>
      <c r="S259" t="str">
        <f>IF($A259="","",IF(R259&lt;&gt;"",R259,IF($A259&gt;'Work Calendar'!$B$17,"No data yet",IF(AND(N259&gt;='Work Calendar'!$B$14,L259+M259+O259&gt;0),"Day off - but worked",IF(N259&gt;='Work Calendar'!$B$14,"Day off",IF(L259+M259+O259&gt;0,IF($C259="Working","Charged","Worked weekend"),IF($C259="Working","Leave (not charged)",$C259)))))))</f>
        <v>No data yet</v>
      </c>
      <c r="T259" s="341">
        <f>IF($A259="","",SUMIFS('Timesheet Raw'!$P$4:$P$8000,'Timesheet Raw'!$L$4:$L$8000,$A259,'Timesheet Raw'!$C$4:$C$8000,T$3,'Timesheet Raw'!$A$4:$A$8000,"1-Projects"))</f>
        <v>0</v>
      </c>
      <c r="U259" s="341">
        <f>IF($A259="","",SUMIFS('Timesheet Raw'!$P$4:$P$8000,'Timesheet Raw'!$L$4:$L$8000,$A259,'Timesheet Raw'!$C$4:$C$8000,T$3,'Timesheet Raw'!$A$4:$A$8000,"2-Proposals Chargeable")+SUMIFS('Timesheet Raw'!$P$4:$P$8000,'Timesheet Raw'!$L$4:$L$8000,$A259,'Timesheet Raw'!$C$4:$C$8000,T$3,'Timesheet Raw'!$A$4:$A$8000,"3-Proposals Regular"))</f>
        <v>0</v>
      </c>
      <c r="V259" s="341">
        <f>IF($A259="","",SUMIFS('Timesheet Raw'!$P$4:$P$8000,'Timesheet Raw'!$L$4:$L$8000,$A259,'Timesheet Raw'!$C$4:$C$8000,T$3,'Timesheet Raw'!$B$4:$B$8000,'Work Calendar'!$A$26)+SUMIFS('Timesheet Raw'!$P$4:$P$8000,'Timesheet Raw'!$L$4:$L$8000,$A259,'Timesheet Raw'!$C$4:$C$8000,T$3,'Timesheet Raw'!$B$4:$B$8000,'Work Calendar'!$A$27)+SUMIFS('Timesheet Raw'!$P$4:$P$8000,'Timesheet Raw'!$L$4:$L$8000,$A259,'Timesheet Raw'!$C$4:$C$8000,T$3,'Timesheet Raw'!$B$4:$B$8000,'Work Calendar'!$A$28)+SUMIFS('Timesheet Raw'!$P$4:$P$8000,'Timesheet Raw'!$L$4:$L$8000,$A259,'Timesheet Raw'!$C$4:$C$8000,T$3,'Timesheet Raw'!$B$4:$B$8000,'Work Calendar'!$A$29))</f>
        <v>0</v>
      </c>
      <c r="W259" s="341">
        <f t="shared" si="15"/>
        <v>0</v>
      </c>
      <c r="X259" s="395">
        <f>IF($A259="","",SUMIFS('Timesheet Raw'!$K$4:$K$8000,'Timesheet Raw'!$L$4:$L$8000,$A259,'Timesheet Raw'!$C$4:$C$8000,T$3))</f>
        <v>0</v>
      </c>
      <c r="Y259" s="345">
        <f>IF($A259="","",SUMIFS('Timesheet Raw'!$P$4:$P$8000,'Timesheet Raw'!$L$4:$L$8000,$A259,'Timesheet Raw'!$C$4:$C$8000,T$3))</f>
        <v>0</v>
      </c>
      <c r="Z259" s="375"/>
      <c r="AA259" t="str">
        <f>IF($A259="","",IF(Z259&lt;&gt;"",Z259,IF($A259&gt;'Work Calendar'!$B$17,"No data yet",IF(AND(V259&gt;='Work Calendar'!$B$14,T259+U259+W259&gt;0),"Day off - but worked",IF(V259&gt;='Work Calendar'!$B$14,"Day off",IF(T259+U259+W259&gt;0,IF($C259="Working","Charged","Worked weekend"),IF($C259="Working","Leave (not charged)",$C259)))))))</f>
        <v>No data yet</v>
      </c>
    </row>
    <row r="260" spans="1:27" x14ac:dyDescent="0.3">
      <c r="A260" s="371">
        <f>IF($A259="","",IF($A259+1&gt;'Work Calendar'!$B$16,"",$A259+1))</f>
        <v>46278</v>
      </c>
      <c r="B260" t="str">
        <f t="shared" si="12"/>
        <v>Sun</v>
      </c>
      <c r="C260" t="str" cm="1">
        <f t="array" ref="C260">IF($A260="","",IF(COUNTIF('Work Calendar'!$E$6:$E$200,$A260)&gt;0,"Holiday",IF(INDEX('Work Calendar'!$C$6:$C$12,WEEKDAY($A260,1))=1,"Working","Weekend")))</f>
        <v>Working</v>
      </c>
      <c r="D260" s="341">
        <f>IF($A260="","",SUMIFS('Timesheet Raw'!$P$4:$P$8000,'Timesheet Raw'!$L$4:$L$8000,$A260,'Timesheet Raw'!$C$4:$C$8000,D$3,'Timesheet Raw'!$A$4:$A$8000,"1-Projects"))</f>
        <v>0</v>
      </c>
      <c r="E260" s="341">
        <f>IF($A260="","",SUMIFS('Timesheet Raw'!$P$4:$P$8000,'Timesheet Raw'!$L$4:$L$8000,$A260,'Timesheet Raw'!$C$4:$C$8000,D$3,'Timesheet Raw'!$A$4:$A$8000,"2-Proposals Chargeable")+SUMIFS('Timesheet Raw'!$P$4:$P$8000,'Timesheet Raw'!$L$4:$L$8000,$A260,'Timesheet Raw'!$C$4:$C$8000,D$3,'Timesheet Raw'!$A$4:$A$8000,"3-Proposals Regular"))</f>
        <v>0</v>
      </c>
      <c r="F260" s="341">
        <f>IF($A260="","",SUMIFS('Timesheet Raw'!$P$4:$P$8000,'Timesheet Raw'!$L$4:$L$8000,$A260,'Timesheet Raw'!$C$4:$C$8000,D$3,'Timesheet Raw'!$B$4:$B$8000,'Work Calendar'!$A$26)+SUMIFS('Timesheet Raw'!$P$4:$P$8000,'Timesheet Raw'!$L$4:$L$8000,$A260,'Timesheet Raw'!$C$4:$C$8000,D$3,'Timesheet Raw'!$B$4:$B$8000,'Work Calendar'!$A$27)+SUMIFS('Timesheet Raw'!$P$4:$P$8000,'Timesheet Raw'!$L$4:$L$8000,$A260,'Timesheet Raw'!$C$4:$C$8000,D$3,'Timesheet Raw'!$B$4:$B$8000,'Work Calendar'!$A$28)+SUMIFS('Timesheet Raw'!$P$4:$P$8000,'Timesheet Raw'!$L$4:$L$8000,$A260,'Timesheet Raw'!$C$4:$C$8000,D$3,'Timesheet Raw'!$B$4:$B$8000,'Work Calendar'!$A$29))</f>
        <v>0</v>
      </c>
      <c r="G260" s="341">
        <f t="shared" si="13"/>
        <v>0</v>
      </c>
      <c r="H260" s="395">
        <f>IF($A260="","",SUMIFS('Timesheet Raw'!$K$4:$K$8000,'Timesheet Raw'!$L$4:$L$8000,$A260,'Timesheet Raw'!$C$4:$C$8000,D$3))</f>
        <v>0</v>
      </c>
      <c r="I260" s="345">
        <f>IF($A260="","",SUMIFS('Timesheet Raw'!$P$4:$P$8000,'Timesheet Raw'!$L$4:$L$8000,$A260,'Timesheet Raw'!$C$4:$C$8000,D$3))</f>
        <v>0</v>
      </c>
      <c r="J260" s="375"/>
      <c r="K260" t="str">
        <f>IF($A260="","",IF(J260&lt;&gt;"",J260,IF($A260&gt;'Work Calendar'!$B$17,"No data yet",IF(AND(F260&gt;='Work Calendar'!$B$14,D260+E260+G260&gt;0),"Day off - but worked",IF(F260&gt;='Work Calendar'!$B$14,"Day off",IF(D260+E260+G260&gt;0,IF($C260="Working","Charged","Worked weekend"),IF($C260="Working","Leave (not charged)",$C260)))))))</f>
        <v>No data yet</v>
      </c>
      <c r="L260" s="341">
        <f>IF($A260="","",SUMIFS('Timesheet Raw'!$P$4:$P$8000,'Timesheet Raw'!$L$4:$L$8000,$A260,'Timesheet Raw'!$C$4:$C$8000,L$3,'Timesheet Raw'!$A$4:$A$8000,"1-Projects"))</f>
        <v>0</v>
      </c>
      <c r="M260" s="341">
        <f>IF($A260="","",SUMIFS('Timesheet Raw'!$P$4:$P$8000,'Timesheet Raw'!$L$4:$L$8000,$A260,'Timesheet Raw'!$C$4:$C$8000,L$3,'Timesheet Raw'!$A$4:$A$8000,"2-Proposals Chargeable")+SUMIFS('Timesheet Raw'!$P$4:$P$8000,'Timesheet Raw'!$L$4:$L$8000,$A260,'Timesheet Raw'!$C$4:$C$8000,L$3,'Timesheet Raw'!$A$4:$A$8000,"3-Proposals Regular"))</f>
        <v>0</v>
      </c>
      <c r="N260" s="341">
        <f>IF($A260="","",SUMIFS('Timesheet Raw'!$P$4:$P$8000,'Timesheet Raw'!$L$4:$L$8000,$A260,'Timesheet Raw'!$C$4:$C$8000,L$3,'Timesheet Raw'!$B$4:$B$8000,'Work Calendar'!$A$26)+SUMIFS('Timesheet Raw'!$P$4:$P$8000,'Timesheet Raw'!$L$4:$L$8000,$A260,'Timesheet Raw'!$C$4:$C$8000,L$3,'Timesheet Raw'!$B$4:$B$8000,'Work Calendar'!$A$27)+SUMIFS('Timesheet Raw'!$P$4:$P$8000,'Timesheet Raw'!$L$4:$L$8000,$A260,'Timesheet Raw'!$C$4:$C$8000,L$3,'Timesheet Raw'!$B$4:$B$8000,'Work Calendar'!$A$28)+SUMIFS('Timesheet Raw'!$P$4:$P$8000,'Timesheet Raw'!$L$4:$L$8000,$A260,'Timesheet Raw'!$C$4:$C$8000,L$3,'Timesheet Raw'!$B$4:$B$8000,'Work Calendar'!$A$29))</f>
        <v>0</v>
      </c>
      <c r="O260" s="341">
        <f t="shared" si="14"/>
        <v>0</v>
      </c>
      <c r="P260" s="395">
        <f>IF($A260="","",SUMIFS('Timesheet Raw'!$K$4:$K$8000,'Timesheet Raw'!$L$4:$L$8000,$A260,'Timesheet Raw'!$C$4:$C$8000,L$3))</f>
        <v>0</v>
      </c>
      <c r="Q260" s="345">
        <f>IF($A260="","",SUMIFS('Timesheet Raw'!$P$4:$P$8000,'Timesheet Raw'!$L$4:$L$8000,$A260,'Timesheet Raw'!$C$4:$C$8000,L$3))</f>
        <v>0</v>
      </c>
      <c r="R260" s="375"/>
      <c r="S260" t="str">
        <f>IF($A260="","",IF(R260&lt;&gt;"",R260,IF($A260&gt;'Work Calendar'!$B$17,"No data yet",IF(AND(N260&gt;='Work Calendar'!$B$14,L260+M260+O260&gt;0),"Day off - but worked",IF(N260&gt;='Work Calendar'!$B$14,"Day off",IF(L260+M260+O260&gt;0,IF($C260="Working","Charged","Worked weekend"),IF($C260="Working","Leave (not charged)",$C260)))))))</f>
        <v>No data yet</v>
      </c>
      <c r="T260" s="341">
        <f>IF($A260="","",SUMIFS('Timesheet Raw'!$P$4:$P$8000,'Timesheet Raw'!$L$4:$L$8000,$A260,'Timesheet Raw'!$C$4:$C$8000,T$3,'Timesheet Raw'!$A$4:$A$8000,"1-Projects"))</f>
        <v>0</v>
      </c>
      <c r="U260" s="341">
        <f>IF($A260="","",SUMIFS('Timesheet Raw'!$P$4:$P$8000,'Timesheet Raw'!$L$4:$L$8000,$A260,'Timesheet Raw'!$C$4:$C$8000,T$3,'Timesheet Raw'!$A$4:$A$8000,"2-Proposals Chargeable")+SUMIFS('Timesheet Raw'!$P$4:$P$8000,'Timesheet Raw'!$L$4:$L$8000,$A260,'Timesheet Raw'!$C$4:$C$8000,T$3,'Timesheet Raw'!$A$4:$A$8000,"3-Proposals Regular"))</f>
        <v>0</v>
      </c>
      <c r="V260" s="341">
        <f>IF($A260="","",SUMIFS('Timesheet Raw'!$P$4:$P$8000,'Timesheet Raw'!$L$4:$L$8000,$A260,'Timesheet Raw'!$C$4:$C$8000,T$3,'Timesheet Raw'!$B$4:$B$8000,'Work Calendar'!$A$26)+SUMIFS('Timesheet Raw'!$P$4:$P$8000,'Timesheet Raw'!$L$4:$L$8000,$A260,'Timesheet Raw'!$C$4:$C$8000,T$3,'Timesheet Raw'!$B$4:$B$8000,'Work Calendar'!$A$27)+SUMIFS('Timesheet Raw'!$P$4:$P$8000,'Timesheet Raw'!$L$4:$L$8000,$A260,'Timesheet Raw'!$C$4:$C$8000,T$3,'Timesheet Raw'!$B$4:$B$8000,'Work Calendar'!$A$28)+SUMIFS('Timesheet Raw'!$P$4:$P$8000,'Timesheet Raw'!$L$4:$L$8000,$A260,'Timesheet Raw'!$C$4:$C$8000,T$3,'Timesheet Raw'!$B$4:$B$8000,'Work Calendar'!$A$29))</f>
        <v>0</v>
      </c>
      <c r="W260" s="341">
        <f t="shared" si="15"/>
        <v>0</v>
      </c>
      <c r="X260" s="395">
        <f>IF($A260="","",SUMIFS('Timesheet Raw'!$K$4:$K$8000,'Timesheet Raw'!$L$4:$L$8000,$A260,'Timesheet Raw'!$C$4:$C$8000,T$3))</f>
        <v>0</v>
      </c>
      <c r="Y260" s="345">
        <f>IF($A260="","",SUMIFS('Timesheet Raw'!$P$4:$P$8000,'Timesheet Raw'!$L$4:$L$8000,$A260,'Timesheet Raw'!$C$4:$C$8000,T$3))</f>
        <v>0</v>
      </c>
      <c r="Z260" s="375"/>
      <c r="AA260" t="str">
        <f>IF($A260="","",IF(Z260&lt;&gt;"",Z260,IF($A260&gt;'Work Calendar'!$B$17,"No data yet",IF(AND(V260&gt;='Work Calendar'!$B$14,T260+U260+W260&gt;0),"Day off - but worked",IF(V260&gt;='Work Calendar'!$B$14,"Day off",IF(T260+U260+W260&gt;0,IF($C260="Working","Charged","Worked weekend"),IF($C260="Working","Leave (not charged)",$C260)))))))</f>
        <v>No data yet</v>
      </c>
    </row>
    <row r="261" spans="1:27" x14ac:dyDescent="0.3">
      <c r="A261" s="371">
        <f>IF($A260="","",IF($A260+1&gt;'Work Calendar'!$B$16,"",$A260+1))</f>
        <v>46279</v>
      </c>
      <c r="B261" t="str">
        <f t="shared" si="12"/>
        <v>Mon</v>
      </c>
      <c r="C261" t="str" cm="1">
        <f t="array" ref="C261">IF($A261="","",IF(COUNTIF('Work Calendar'!$E$6:$E$200,$A261)&gt;0,"Holiday",IF(INDEX('Work Calendar'!$C$6:$C$12,WEEKDAY($A261,1))=1,"Working","Weekend")))</f>
        <v>Working</v>
      </c>
      <c r="D261" s="341">
        <f>IF($A261="","",SUMIFS('Timesheet Raw'!$P$4:$P$8000,'Timesheet Raw'!$L$4:$L$8000,$A261,'Timesheet Raw'!$C$4:$C$8000,D$3,'Timesheet Raw'!$A$4:$A$8000,"1-Projects"))</f>
        <v>0</v>
      </c>
      <c r="E261" s="341">
        <f>IF($A261="","",SUMIFS('Timesheet Raw'!$P$4:$P$8000,'Timesheet Raw'!$L$4:$L$8000,$A261,'Timesheet Raw'!$C$4:$C$8000,D$3,'Timesheet Raw'!$A$4:$A$8000,"2-Proposals Chargeable")+SUMIFS('Timesheet Raw'!$P$4:$P$8000,'Timesheet Raw'!$L$4:$L$8000,$A261,'Timesheet Raw'!$C$4:$C$8000,D$3,'Timesheet Raw'!$A$4:$A$8000,"3-Proposals Regular"))</f>
        <v>0</v>
      </c>
      <c r="F261" s="341">
        <f>IF($A261="","",SUMIFS('Timesheet Raw'!$P$4:$P$8000,'Timesheet Raw'!$L$4:$L$8000,$A261,'Timesheet Raw'!$C$4:$C$8000,D$3,'Timesheet Raw'!$B$4:$B$8000,'Work Calendar'!$A$26)+SUMIFS('Timesheet Raw'!$P$4:$P$8000,'Timesheet Raw'!$L$4:$L$8000,$A261,'Timesheet Raw'!$C$4:$C$8000,D$3,'Timesheet Raw'!$B$4:$B$8000,'Work Calendar'!$A$27)+SUMIFS('Timesheet Raw'!$P$4:$P$8000,'Timesheet Raw'!$L$4:$L$8000,$A261,'Timesheet Raw'!$C$4:$C$8000,D$3,'Timesheet Raw'!$B$4:$B$8000,'Work Calendar'!$A$28)+SUMIFS('Timesheet Raw'!$P$4:$P$8000,'Timesheet Raw'!$L$4:$L$8000,$A261,'Timesheet Raw'!$C$4:$C$8000,D$3,'Timesheet Raw'!$B$4:$B$8000,'Work Calendar'!$A$29))</f>
        <v>0</v>
      </c>
      <c r="G261" s="341">
        <f t="shared" si="13"/>
        <v>0</v>
      </c>
      <c r="H261" s="395">
        <f>IF($A261="","",SUMIFS('Timesheet Raw'!$K$4:$K$8000,'Timesheet Raw'!$L$4:$L$8000,$A261,'Timesheet Raw'!$C$4:$C$8000,D$3))</f>
        <v>0</v>
      </c>
      <c r="I261" s="345">
        <f>IF($A261="","",SUMIFS('Timesheet Raw'!$P$4:$P$8000,'Timesheet Raw'!$L$4:$L$8000,$A261,'Timesheet Raw'!$C$4:$C$8000,D$3))</f>
        <v>0</v>
      </c>
      <c r="J261" s="375"/>
      <c r="K261" t="str">
        <f>IF($A261="","",IF(J261&lt;&gt;"",J261,IF($A261&gt;'Work Calendar'!$B$17,"No data yet",IF(AND(F261&gt;='Work Calendar'!$B$14,D261+E261+G261&gt;0),"Day off - but worked",IF(F261&gt;='Work Calendar'!$B$14,"Day off",IF(D261+E261+G261&gt;0,IF($C261="Working","Charged","Worked weekend"),IF($C261="Working","Leave (not charged)",$C261)))))))</f>
        <v>No data yet</v>
      </c>
      <c r="L261" s="341">
        <f>IF($A261="","",SUMIFS('Timesheet Raw'!$P$4:$P$8000,'Timesheet Raw'!$L$4:$L$8000,$A261,'Timesheet Raw'!$C$4:$C$8000,L$3,'Timesheet Raw'!$A$4:$A$8000,"1-Projects"))</f>
        <v>0</v>
      </c>
      <c r="M261" s="341">
        <f>IF($A261="","",SUMIFS('Timesheet Raw'!$P$4:$P$8000,'Timesheet Raw'!$L$4:$L$8000,$A261,'Timesheet Raw'!$C$4:$C$8000,L$3,'Timesheet Raw'!$A$4:$A$8000,"2-Proposals Chargeable")+SUMIFS('Timesheet Raw'!$P$4:$P$8000,'Timesheet Raw'!$L$4:$L$8000,$A261,'Timesheet Raw'!$C$4:$C$8000,L$3,'Timesheet Raw'!$A$4:$A$8000,"3-Proposals Regular"))</f>
        <v>0</v>
      </c>
      <c r="N261" s="341">
        <f>IF($A261="","",SUMIFS('Timesheet Raw'!$P$4:$P$8000,'Timesheet Raw'!$L$4:$L$8000,$A261,'Timesheet Raw'!$C$4:$C$8000,L$3,'Timesheet Raw'!$B$4:$B$8000,'Work Calendar'!$A$26)+SUMIFS('Timesheet Raw'!$P$4:$P$8000,'Timesheet Raw'!$L$4:$L$8000,$A261,'Timesheet Raw'!$C$4:$C$8000,L$3,'Timesheet Raw'!$B$4:$B$8000,'Work Calendar'!$A$27)+SUMIFS('Timesheet Raw'!$P$4:$P$8000,'Timesheet Raw'!$L$4:$L$8000,$A261,'Timesheet Raw'!$C$4:$C$8000,L$3,'Timesheet Raw'!$B$4:$B$8000,'Work Calendar'!$A$28)+SUMIFS('Timesheet Raw'!$P$4:$P$8000,'Timesheet Raw'!$L$4:$L$8000,$A261,'Timesheet Raw'!$C$4:$C$8000,L$3,'Timesheet Raw'!$B$4:$B$8000,'Work Calendar'!$A$29))</f>
        <v>0</v>
      </c>
      <c r="O261" s="341">
        <f t="shared" si="14"/>
        <v>0</v>
      </c>
      <c r="P261" s="395">
        <f>IF($A261="","",SUMIFS('Timesheet Raw'!$K$4:$K$8000,'Timesheet Raw'!$L$4:$L$8000,$A261,'Timesheet Raw'!$C$4:$C$8000,L$3))</f>
        <v>0</v>
      </c>
      <c r="Q261" s="345">
        <f>IF($A261="","",SUMIFS('Timesheet Raw'!$P$4:$P$8000,'Timesheet Raw'!$L$4:$L$8000,$A261,'Timesheet Raw'!$C$4:$C$8000,L$3))</f>
        <v>0</v>
      </c>
      <c r="R261" s="375"/>
      <c r="S261" t="str">
        <f>IF($A261="","",IF(R261&lt;&gt;"",R261,IF($A261&gt;'Work Calendar'!$B$17,"No data yet",IF(AND(N261&gt;='Work Calendar'!$B$14,L261+M261+O261&gt;0),"Day off - but worked",IF(N261&gt;='Work Calendar'!$B$14,"Day off",IF(L261+M261+O261&gt;0,IF($C261="Working","Charged","Worked weekend"),IF($C261="Working","Leave (not charged)",$C261)))))))</f>
        <v>No data yet</v>
      </c>
      <c r="T261" s="341">
        <f>IF($A261="","",SUMIFS('Timesheet Raw'!$P$4:$P$8000,'Timesheet Raw'!$L$4:$L$8000,$A261,'Timesheet Raw'!$C$4:$C$8000,T$3,'Timesheet Raw'!$A$4:$A$8000,"1-Projects"))</f>
        <v>0</v>
      </c>
      <c r="U261" s="341">
        <f>IF($A261="","",SUMIFS('Timesheet Raw'!$P$4:$P$8000,'Timesheet Raw'!$L$4:$L$8000,$A261,'Timesheet Raw'!$C$4:$C$8000,T$3,'Timesheet Raw'!$A$4:$A$8000,"2-Proposals Chargeable")+SUMIFS('Timesheet Raw'!$P$4:$P$8000,'Timesheet Raw'!$L$4:$L$8000,$A261,'Timesheet Raw'!$C$4:$C$8000,T$3,'Timesheet Raw'!$A$4:$A$8000,"3-Proposals Regular"))</f>
        <v>0</v>
      </c>
      <c r="V261" s="341">
        <f>IF($A261="","",SUMIFS('Timesheet Raw'!$P$4:$P$8000,'Timesheet Raw'!$L$4:$L$8000,$A261,'Timesheet Raw'!$C$4:$C$8000,T$3,'Timesheet Raw'!$B$4:$B$8000,'Work Calendar'!$A$26)+SUMIFS('Timesheet Raw'!$P$4:$P$8000,'Timesheet Raw'!$L$4:$L$8000,$A261,'Timesheet Raw'!$C$4:$C$8000,T$3,'Timesheet Raw'!$B$4:$B$8000,'Work Calendar'!$A$27)+SUMIFS('Timesheet Raw'!$P$4:$P$8000,'Timesheet Raw'!$L$4:$L$8000,$A261,'Timesheet Raw'!$C$4:$C$8000,T$3,'Timesheet Raw'!$B$4:$B$8000,'Work Calendar'!$A$28)+SUMIFS('Timesheet Raw'!$P$4:$P$8000,'Timesheet Raw'!$L$4:$L$8000,$A261,'Timesheet Raw'!$C$4:$C$8000,T$3,'Timesheet Raw'!$B$4:$B$8000,'Work Calendar'!$A$29))</f>
        <v>0</v>
      </c>
      <c r="W261" s="341">
        <f t="shared" si="15"/>
        <v>0</v>
      </c>
      <c r="X261" s="395">
        <f>IF($A261="","",SUMIFS('Timesheet Raw'!$K$4:$K$8000,'Timesheet Raw'!$L$4:$L$8000,$A261,'Timesheet Raw'!$C$4:$C$8000,T$3))</f>
        <v>0</v>
      </c>
      <c r="Y261" s="345">
        <f>IF($A261="","",SUMIFS('Timesheet Raw'!$P$4:$P$8000,'Timesheet Raw'!$L$4:$L$8000,$A261,'Timesheet Raw'!$C$4:$C$8000,T$3))</f>
        <v>0</v>
      </c>
      <c r="Z261" s="375"/>
      <c r="AA261" t="str">
        <f>IF($A261="","",IF(Z261&lt;&gt;"",Z261,IF($A261&gt;'Work Calendar'!$B$17,"No data yet",IF(AND(V261&gt;='Work Calendar'!$B$14,T261+U261+W261&gt;0),"Day off - but worked",IF(V261&gt;='Work Calendar'!$B$14,"Day off",IF(T261+U261+W261&gt;0,IF($C261="Working","Charged","Worked weekend"),IF($C261="Working","Leave (not charged)",$C261)))))))</f>
        <v>No data yet</v>
      </c>
    </row>
    <row r="262" spans="1:27" x14ac:dyDescent="0.3">
      <c r="A262" s="371">
        <f>IF($A261="","",IF($A261+1&gt;'Work Calendar'!$B$16,"",$A261+1))</f>
        <v>46280</v>
      </c>
      <c r="B262" t="str">
        <f t="shared" ref="B262:B325" si="16">IF($A262="","",TEXT($A262,"ddd"))</f>
        <v>Tue</v>
      </c>
      <c r="C262" t="str" cm="1">
        <f t="array" ref="C262">IF($A262="","",IF(COUNTIF('Work Calendar'!$E$6:$E$200,$A262)&gt;0,"Holiday",IF(INDEX('Work Calendar'!$C$6:$C$12,WEEKDAY($A262,1))=1,"Working","Weekend")))</f>
        <v>Working</v>
      </c>
      <c r="D262" s="341">
        <f>IF($A262="","",SUMIFS('Timesheet Raw'!$P$4:$P$8000,'Timesheet Raw'!$L$4:$L$8000,$A262,'Timesheet Raw'!$C$4:$C$8000,D$3,'Timesheet Raw'!$A$4:$A$8000,"1-Projects"))</f>
        <v>0</v>
      </c>
      <c r="E262" s="341">
        <f>IF($A262="","",SUMIFS('Timesheet Raw'!$P$4:$P$8000,'Timesheet Raw'!$L$4:$L$8000,$A262,'Timesheet Raw'!$C$4:$C$8000,D$3,'Timesheet Raw'!$A$4:$A$8000,"2-Proposals Chargeable")+SUMIFS('Timesheet Raw'!$P$4:$P$8000,'Timesheet Raw'!$L$4:$L$8000,$A262,'Timesheet Raw'!$C$4:$C$8000,D$3,'Timesheet Raw'!$A$4:$A$8000,"3-Proposals Regular"))</f>
        <v>0</v>
      </c>
      <c r="F262" s="341">
        <f>IF($A262="","",SUMIFS('Timesheet Raw'!$P$4:$P$8000,'Timesheet Raw'!$L$4:$L$8000,$A262,'Timesheet Raw'!$C$4:$C$8000,D$3,'Timesheet Raw'!$B$4:$B$8000,'Work Calendar'!$A$26)+SUMIFS('Timesheet Raw'!$P$4:$P$8000,'Timesheet Raw'!$L$4:$L$8000,$A262,'Timesheet Raw'!$C$4:$C$8000,D$3,'Timesheet Raw'!$B$4:$B$8000,'Work Calendar'!$A$27)+SUMIFS('Timesheet Raw'!$P$4:$P$8000,'Timesheet Raw'!$L$4:$L$8000,$A262,'Timesheet Raw'!$C$4:$C$8000,D$3,'Timesheet Raw'!$B$4:$B$8000,'Work Calendar'!$A$28)+SUMIFS('Timesheet Raw'!$P$4:$P$8000,'Timesheet Raw'!$L$4:$L$8000,$A262,'Timesheet Raw'!$C$4:$C$8000,D$3,'Timesheet Raw'!$B$4:$B$8000,'Work Calendar'!$A$29))</f>
        <v>0</v>
      </c>
      <c r="G262" s="341">
        <f t="shared" ref="G262:G325" si="17">IF($A262="","",MAX(0,I262-D262-E262-F262))</f>
        <v>0</v>
      </c>
      <c r="H262" s="395">
        <f>IF($A262="","",SUMIFS('Timesheet Raw'!$K$4:$K$8000,'Timesheet Raw'!$L$4:$L$8000,$A262,'Timesheet Raw'!$C$4:$C$8000,D$3))</f>
        <v>0</v>
      </c>
      <c r="I262" s="345">
        <f>IF($A262="","",SUMIFS('Timesheet Raw'!$P$4:$P$8000,'Timesheet Raw'!$L$4:$L$8000,$A262,'Timesheet Raw'!$C$4:$C$8000,D$3))</f>
        <v>0</v>
      </c>
      <c r="J262" s="375"/>
      <c r="K262" t="str">
        <f>IF($A262="","",IF(J262&lt;&gt;"",J262,IF($A262&gt;'Work Calendar'!$B$17,"No data yet",IF(AND(F262&gt;='Work Calendar'!$B$14,D262+E262+G262&gt;0),"Day off - but worked",IF(F262&gt;='Work Calendar'!$B$14,"Day off",IF(D262+E262+G262&gt;0,IF($C262="Working","Charged","Worked weekend"),IF($C262="Working","Leave (not charged)",$C262)))))))</f>
        <v>No data yet</v>
      </c>
      <c r="L262" s="341">
        <f>IF($A262="","",SUMIFS('Timesheet Raw'!$P$4:$P$8000,'Timesheet Raw'!$L$4:$L$8000,$A262,'Timesheet Raw'!$C$4:$C$8000,L$3,'Timesheet Raw'!$A$4:$A$8000,"1-Projects"))</f>
        <v>0</v>
      </c>
      <c r="M262" s="341">
        <f>IF($A262="","",SUMIFS('Timesheet Raw'!$P$4:$P$8000,'Timesheet Raw'!$L$4:$L$8000,$A262,'Timesheet Raw'!$C$4:$C$8000,L$3,'Timesheet Raw'!$A$4:$A$8000,"2-Proposals Chargeable")+SUMIFS('Timesheet Raw'!$P$4:$P$8000,'Timesheet Raw'!$L$4:$L$8000,$A262,'Timesheet Raw'!$C$4:$C$8000,L$3,'Timesheet Raw'!$A$4:$A$8000,"3-Proposals Regular"))</f>
        <v>0</v>
      </c>
      <c r="N262" s="341">
        <f>IF($A262="","",SUMIFS('Timesheet Raw'!$P$4:$P$8000,'Timesheet Raw'!$L$4:$L$8000,$A262,'Timesheet Raw'!$C$4:$C$8000,L$3,'Timesheet Raw'!$B$4:$B$8000,'Work Calendar'!$A$26)+SUMIFS('Timesheet Raw'!$P$4:$P$8000,'Timesheet Raw'!$L$4:$L$8000,$A262,'Timesheet Raw'!$C$4:$C$8000,L$3,'Timesheet Raw'!$B$4:$B$8000,'Work Calendar'!$A$27)+SUMIFS('Timesheet Raw'!$P$4:$P$8000,'Timesheet Raw'!$L$4:$L$8000,$A262,'Timesheet Raw'!$C$4:$C$8000,L$3,'Timesheet Raw'!$B$4:$B$8000,'Work Calendar'!$A$28)+SUMIFS('Timesheet Raw'!$P$4:$P$8000,'Timesheet Raw'!$L$4:$L$8000,$A262,'Timesheet Raw'!$C$4:$C$8000,L$3,'Timesheet Raw'!$B$4:$B$8000,'Work Calendar'!$A$29))</f>
        <v>0</v>
      </c>
      <c r="O262" s="341">
        <f t="shared" ref="O262:O325" si="18">IF($A262="","",MAX(0,Q262-L262-M262-N262))</f>
        <v>0</v>
      </c>
      <c r="P262" s="395">
        <f>IF($A262="","",SUMIFS('Timesheet Raw'!$K$4:$K$8000,'Timesheet Raw'!$L$4:$L$8000,$A262,'Timesheet Raw'!$C$4:$C$8000,L$3))</f>
        <v>0</v>
      </c>
      <c r="Q262" s="345">
        <f>IF($A262="","",SUMIFS('Timesheet Raw'!$P$4:$P$8000,'Timesheet Raw'!$L$4:$L$8000,$A262,'Timesheet Raw'!$C$4:$C$8000,L$3))</f>
        <v>0</v>
      </c>
      <c r="R262" s="375"/>
      <c r="S262" t="str">
        <f>IF($A262="","",IF(R262&lt;&gt;"",R262,IF($A262&gt;'Work Calendar'!$B$17,"No data yet",IF(AND(N262&gt;='Work Calendar'!$B$14,L262+M262+O262&gt;0),"Day off - but worked",IF(N262&gt;='Work Calendar'!$B$14,"Day off",IF(L262+M262+O262&gt;0,IF($C262="Working","Charged","Worked weekend"),IF($C262="Working","Leave (not charged)",$C262)))))))</f>
        <v>No data yet</v>
      </c>
      <c r="T262" s="341">
        <f>IF($A262="","",SUMIFS('Timesheet Raw'!$P$4:$P$8000,'Timesheet Raw'!$L$4:$L$8000,$A262,'Timesheet Raw'!$C$4:$C$8000,T$3,'Timesheet Raw'!$A$4:$A$8000,"1-Projects"))</f>
        <v>0</v>
      </c>
      <c r="U262" s="341">
        <f>IF($A262="","",SUMIFS('Timesheet Raw'!$P$4:$P$8000,'Timesheet Raw'!$L$4:$L$8000,$A262,'Timesheet Raw'!$C$4:$C$8000,T$3,'Timesheet Raw'!$A$4:$A$8000,"2-Proposals Chargeable")+SUMIFS('Timesheet Raw'!$P$4:$P$8000,'Timesheet Raw'!$L$4:$L$8000,$A262,'Timesheet Raw'!$C$4:$C$8000,T$3,'Timesheet Raw'!$A$4:$A$8000,"3-Proposals Regular"))</f>
        <v>0</v>
      </c>
      <c r="V262" s="341">
        <f>IF($A262="","",SUMIFS('Timesheet Raw'!$P$4:$P$8000,'Timesheet Raw'!$L$4:$L$8000,$A262,'Timesheet Raw'!$C$4:$C$8000,T$3,'Timesheet Raw'!$B$4:$B$8000,'Work Calendar'!$A$26)+SUMIFS('Timesheet Raw'!$P$4:$P$8000,'Timesheet Raw'!$L$4:$L$8000,$A262,'Timesheet Raw'!$C$4:$C$8000,T$3,'Timesheet Raw'!$B$4:$B$8000,'Work Calendar'!$A$27)+SUMIFS('Timesheet Raw'!$P$4:$P$8000,'Timesheet Raw'!$L$4:$L$8000,$A262,'Timesheet Raw'!$C$4:$C$8000,T$3,'Timesheet Raw'!$B$4:$B$8000,'Work Calendar'!$A$28)+SUMIFS('Timesheet Raw'!$P$4:$P$8000,'Timesheet Raw'!$L$4:$L$8000,$A262,'Timesheet Raw'!$C$4:$C$8000,T$3,'Timesheet Raw'!$B$4:$B$8000,'Work Calendar'!$A$29))</f>
        <v>0</v>
      </c>
      <c r="W262" s="341">
        <f t="shared" ref="W262:W325" si="19">IF($A262="","",MAX(0,Y262-T262-U262-V262))</f>
        <v>0</v>
      </c>
      <c r="X262" s="395">
        <f>IF($A262="","",SUMIFS('Timesheet Raw'!$K$4:$K$8000,'Timesheet Raw'!$L$4:$L$8000,$A262,'Timesheet Raw'!$C$4:$C$8000,T$3))</f>
        <v>0</v>
      </c>
      <c r="Y262" s="345">
        <f>IF($A262="","",SUMIFS('Timesheet Raw'!$P$4:$P$8000,'Timesheet Raw'!$L$4:$L$8000,$A262,'Timesheet Raw'!$C$4:$C$8000,T$3))</f>
        <v>0</v>
      </c>
      <c r="Z262" s="375"/>
      <c r="AA262" t="str">
        <f>IF($A262="","",IF(Z262&lt;&gt;"",Z262,IF($A262&gt;'Work Calendar'!$B$17,"No data yet",IF(AND(V262&gt;='Work Calendar'!$B$14,T262+U262+W262&gt;0),"Day off - but worked",IF(V262&gt;='Work Calendar'!$B$14,"Day off",IF(T262+U262+W262&gt;0,IF($C262="Working","Charged","Worked weekend"),IF($C262="Working","Leave (not charged)",$C262)))))))</f>
        <v>No data yet</v>
      </c>
    </row>
    <row r="263" spans="1:27" x14ac:dyDescent="0.3">
      <c r="A263" s="371">
        <f>IF($A262="","",IF($A262+1&gt;'Work Calendar'!$B$16,"",$A262+1))</f>
        <v>46281</v>
      </c>
      <c r="B263" t="str">
        <f t="shared" si="16"/>
        <v>Wed</v>
      </c>
      <c r="C263" t="str" cm="1">
        <f t="array" ref="C263">IF($A263="","",IF(COUNTIF('Work Calendar'!$E$6:$E$200,$A263)&gt;0,"Holiday",IF(INDEX('Work Calendar'!$C$6:$C$12,WEEKDAY($A263,1))=1,"Working","Weekend")))</f>
        <v>Working</v>
      </c>
      <c r="D263" s="341">
        <f>IF($A263="","",SUMIFS('Timesheet Raw'!$P$4:$P$8000,'Timesheet Raw'!$L$4:$L$8000,$A263,'Timesheet Raw'!$C$4:$C$8000,D$3,'Timesheet Raw'!$A$4:$A$8000,"1-Projects"))</f>
        <v>0</v>
      </c>
      <c r="E263" s="341">
        <f>IF($A263="","",SUMIFS('Timesheet Raw'!$P$4:$P$8000,'Timesheet Raw'!$L$4:$L$8000,$A263,'Timesheet Raw'!$C$4:$C$8000,D$3,'Timesheet Raw'!$A$4:$A$8000,"2-Proposals Chargeable")+SUMIFS('Timesheet Raw'!$P$4:$P$8000,'Timesheet Raw'!$L$4:$L$8000,$A263,'Timesheet Raw'!$C$4:$C$8000,D$3,'Timesheet Raw'!$A$4:$A$8000,"3-Proposals Regular"))</f>
        <v>0</v>
      </c>
      <c r="F263" s="341">
        <f>IF($A263="","",SUMIFS('Timesheet Raw'!$P$4:$P$8000,'Timesheet Raw'!$L$4:$L$8000,$A263,'Timesheet Raw'!$C$4:$C$8000,D$3,'Timesheet Raw'!$B$4:$B$8000,'Work Calendar'!$A$26)+SUMIFS('Timesheet Raw'!$P$4:$P$8000,'Timesheet Raw'!$L$4:$L$8000,$A263,'Timesheet Raw'!$C$4:$C$8000,D$3,'Timesheet Raw'!$B$4:$B$8000,'Work Calendar'!$A$27)+SUMIFS('Timesheet Raw'!$P$4:$P$8000,'Timesheet Raw'!$L$4:$L$8000,$A263,'Timesheet Raw'!$C$4:$C$8000,D$3,'Timesheet Raw'!$B$4:$B$8000,'Work Calendar'!$A$28)+SUMIFS('Timesheet Raw'!$P$4:$P$8000,'Timesheet Raw'!$L$4:$L$8000,$A263,'Timesheet Raw'!$C$4:$C$8000,D$3,'Timesheet Raw'!$B$4:$B$8000,'Work Calendar'!$A$29))</f>
        <v>0</v>
      </c>
      <c r="G263" s="341">
        <f t="shared" si="17"/>
        <v>0</v>
      </c>
      <c r="H263" s="395">
        <f>IF($A263="","",SUMIFS('Timesheet Raw'!$K$4:$K$8000,'Timesheet Raw'!$L$4:$L$8000,$A263,'Timesheet Raw'!$C$4:$C$8000,D$3))</f>
        <v>0</v>
      </c>
      <c r="I263" s="345">
        <f>IF($A263="","",SUMIFS('Timesheet Raw'!$P$4:$P$8000,'Timesheet Raw'!$L$4:$L$8000,$A263,'Timesheet Raw'!$C$4:$C$8000,D$3))</f>
        <v>0</v>
      </c>
      <c r="J263" s="375"/>
      <c r="K263" t="str">
        <f>IF($A263="","",IF(J263&lt;&gt;"",J263,IF($A263&gt;'Work Calendar'!$B$17,"No data yet",IF(AND(F263&gt;='Work Calendar'!$B$14,D263+E263+G263&gt;0),"Day off - but worked",IF(F263&gt;='Work Calendar'!$B$14,"Day off",IF(D263+E263+G263&gt;0,IF($C263="Working","Charged","Worked weekend"),IF($C263="Working","Leave (not charged)",$C263)))))))</f>
        <v>No data yet</v>
      </c>
      <c r="L263" s="341">
        <f>IF($A263="","",SUMIFS('Timesheet Raw'!$P$4:$P$8000,'Timesheet Raw'!$L$4:$L$8000,$A263,'Timesheet Raw'!$C$4:$C$8000,L$3,'Timesheet Raw'!$A$4:$A$8000,"1-Projects"))</f>
        <v>0</v>
      </c>
      <c r="M263" s="341">
        <f>IF($A263="","",SUMIFS('Timesheet Raw'!$P$4:$P$8000,'Timesheet Raw'!$L$4:$L$8000,$A263,'Timesheet Raw'!$C$4:$C$8000,L$3,'Timesheet Raw'!$A$4:$A$8000,"2-Proposals Chargeable")+SUMIFS('Timesheet Raw'!$P$4:$P$8000,'Timesheet Raw'!$L$4:$L$8000,$A263,'Timesheet Raw'!$C$4:$C$8000,L$3,'Timesheet Raw'!$A$4:$A$8000,"3-Proposals Regular"))</f>
        <v>0</v>
      </c>
      <c r="N263" s="341">
        <f>IF($A263="","",SUMIFS('Timesheet Raw'!$P$4:$P$8000,'Timesheet Raw'!$L$4:$L$8000,$A263,'Timesheet Raw'!$C$4:$C$8000,L$3,'Timesheet Raw'!$B$4:$B$8000,'Work Calendar'!$A$26)+SUMIFS('Timesheet Raw'!$P$4:$P$8000,'Timesheet Raw'!$L$4:$L$8000,$A263,'Timesheet Raw'!$C$4:$C$8000,L$3,'Timesheet Raw'!$B$4:$B$8000,'Work Calendar'!$A$27)+SUMIFS('Timesheet Raw'!$P$4:$P$8000,'Timesheet Raw'!$L$4:$L$8000,$A263,'Timesheet Raw'!$C$4:$C$8000,L$3,'Timesheet Raw'!$B$4:$B$8000,'Work Calendar'!$A$28)+SUMIFS('Timesheet Raw'!$P$4:$P$8000,'Timesheet Raw'!$L$4:$L$8000,$A263,'Timesheet Raw'!$C$4:$C$8000,L$3,'Timesheet Raw'!$B$4:$B$8000,'Work Calendar'!$A$29))</f>
        <v>0</v>
      </c>
      <c r="O263" s="341">
        <f t="shared" si="18"/>
        <v>0</v>
      </c>
      <c r="P263" s="395">
        <f>IF($A263="","",SUMIFS('Timesheet Raw'!$K$4:$K$8000,'Timesheet Raw'!$L$4:$L$8000,$A263,'Timesheet Raw'!$C$4:$C$8000,L$3))</f>
        <v>0</v>
      </c>
      <c r="Q263" s="345">
        <f>IF($A263="","",SUMIFS('Timesheet Raw'!$P$4:$P$8000,'Timesheet Raw'!$L$4:$L$8000,$A263,'Timesheet Raw'!$C$4:$C$8000,L$3))</f>
        <v>0</v>
      </c>
      <c r="R263" s="375"/>
      <c r="S263" t="str">
        <f>IF($A263="","",IF(R263&lt;&gt;"",R263,IF($A263&gt;'Work Calendar'!$B$17,"No data yet",IF(AND(N263&gt;='Work Calendar'!$B$14,L263+M263+O263&gt;0),"Day off - but worked",IF(N263&gt;='Work Calendar'!$B$14,"Day off",IF(L263+M263+O263&gt;0,IF($C263="Working","Charged","Worked weekend"),IF($C263="Working","Leave (not charged)",$C263)))))))</f>
        <v>No data yet</v>
      </c>
      <c r="T263" s="341">
        <f>IF($A263="","",SUMIFS('Timesheet Raw'!$P$4:$P$8000,'Timesheet Raw'!$L$4:$L$8000,$A263,'Timesheet Raw'!$C$4:$C$8000,T$3,'Timesheet Raw'!$A$4:$A$8000,"1-Projects"))</f>
        <v>0</v>
      </c>
      <c r="U263" s="341">
        <f>IF($A263="","",SUMIFS('Timesheet Raw'!$P$4:$P$8000,'Timesheet Raw'!$L$4:$L$8000,$A263,'Timesheet Raw'!$C$4:$C$8000,T$3,'Timesheet Raw'!$A$4:$A$8000,"2-Proposals Chargeable")+SUMIFS('Timesheet Raw'!$P$4:$P$8000,'Timesheet Raw'!$L$4:$L$8000,$A263,'Timesheet Raw'!$C$4:$C$8000,T$3,'Timesheet Raw'!$A$4:$A$8000,"3-Proposals Regular"))</f>
        <v>0</v>
      </c>
      <c r="V263" s="341">
        <f>IF($A263="","",SUMIFS('Timesheet Raw'!$P$4:$P$8000,'Timesheet Raw'!$L$4:$L$8000,$A263,'Timesheet Raw'!$C$4:$C$8000,T$3,'Timesheet Raw'!$B$4:$B$8000,'Work Calendar'!$A$26)+SUMIFS('Timesheet Raw'!$P$4:$P$8000,'Timesheet Raw'!$L$4:$L$8000,$A263,'Timesheet Raw'!$C$4:$C$8000,T$3,'Timesheet Raw'!$B$4:$B$8000,'Work Calendar'!$A$27)+SUMIFS('Timesheet Raw'!$P$4:$P$8000,'Timesheet Raw'!$L$4:$L$8000,$A263,'Timesheet Raw'!$C$4:$C$8000,T$3,'Timesheet Raw'!$B$4:$B$8000,'Work Calendar'!$A$28)+SUMIFS('Timesheet Raw'!$P$4:$P$8000,'Timesheet Raw'!$L$4:$L$8000,$A263,'Timesheet Raw'!$C$4:$C$8000,T$3,'Timesheet Raw'!$B$4:$B$8000,'Work Calendar'!$A$29))</f>
        <v>0</v>
      </c>
      <c r="W263" s="341">
        <f t="shared" si="19"/>
        <v>0</v>
      </c>
      <c r="X263" s="395">
        <f>IF($A263="","",SUMIFS('Timesheet Raw'!$K$4:$K$8000,'Timesheet Raw'!$L$4:$L$8000,$A263,'Timesheet Raw'!$C$4:$C$8000,T$3))</f>
        <v>0</v>
      </c>
      <c r="Y263" s="345">
        <f>IF($A263="","",SUMIFS('Timesheet Raw'!$P$4:$P$8000,'Timesheet Raw'!$L$4:$L$8000,$A263,'Timesheet Raw'!$C$4:$C$8000,T$3))</f>
        <v>0</v>
      </c>
      <c r="Z263" s="375"/>
      <c r="AA263" t="str">
        <f>IF($A263="","",IF(Z263&lt;&gt;"",Z263,IF($A263&gt;'Work Calendar'!$B$17,"No data yet",IF(AND(V263&gt;='Work Calendar'!$B$14,T263+U263+W263&gt;0),"Day off - but worked",IF(V263&gt;='Work Calendar'!$B$14,"Day off",IF(T263+U263+W263&gt;0,IF($C263="Working","Charged","Worked weekend"),IF($C263="Working","Leave (not charged)",$C263)))))))</f>
        <v>No data yet</v>
      </c>
    </row>
    <row r="264" spans="1:27" x14ac:dyDescent="0.3">
      <c r="A264" s="371">
        <f>IF($A263="","",IF($A263+1&gt;'Work Calendar'!$B$16,"",$A263+1))</f>
        <v>46282</v>
      </c>
      <c r="B264" t="str">
        <f t="shared" si="16"/>
        <v>Thu</v>
      </c>
      <c r="C264" t="str" cm="1">
        <f t="array" ref="C264">IF($A264="","",IF(COUNTIF('Work Calendar'!$E$6:$E$200,$A264)&gt;0,"Holiday",IF(INDEX('Work Calendar'!$C$6:$C$12,WEEKDAY($A264,1))=1,"Working","Weekend")))</f>
        <v>Working</v>
      </c>
      <c r="D264" s="341">
        <f>IF($A264="","",SUMIFS('Timesheet Raw'!$P$4:$P$8000,'Timesheet Raw'!$L$4:$L$8000,$A264,'Timesheet Raw'!$C$4:$C$8000,D$3,'Timesheet Raw'!$A$4:$A$8000,"1-Projects"))</f>
        <v>0</v>
      </c>
      <c r="E264" s="341">
        <f>IF($A264="","",SUMIFS('Timesheet Raw'!$P$4:$P$8000,'Timesheet Raw'!$L$4:$L$8000,$A264,'Timesheet Raw'!$C$4:$C$8000,D$3,'Timesheet Raw'!$A$4:$A$8000,"2-Proposals Chargeable")+SUMIFS('Timesheet Raw'!$P$4:$P$8000,'Timesheet Raw'!$L$4:$L$8000,$A264,'Timesheet Raw'!$C$4:$C$8000,D$3,'Timesheet Raw'!$A$4:$A$8000,"3-Proposals Regular"))</f>
        <v>0</v>
      </c>
      <c r="F264" s="341">
        <f>IF($A264="","",SUMIFS('Timesheet Raw'!$P$4:$P$8000,'Timesheet Raw'!$L$4:$L$8000,$A264,'Timesheet Raw'!$C$4:$C$8000,D$3,'Timesheet Raw'!$B$4:$B$8000,'Work Calendar'!$A$26)+SUMIFS('Timesheet Raw'!$P$4:$P$8000,'Timesheet Raw'!$L$4:$L$8000,$A264,'Timesheet Raw'!$C$4:$C$8000,D$3,'Timesheet Raw'!$B$4:$B$8000,'Work Calendar'!$A$27)+SUMIFS('Timesheet Raw'!$P$4:$P$8000,'Timesheet Raw'!$L$4:$L$8000,$A264,'Timesheet Raw'!$C$4:$C$8000,D$3,'Timesheet Raw'!$B$4:$B$8000,'Work Calendar'!$A$28)+SUMIFS('Timesheet Raw'!$P$4:$P$8000,'Timesheet Raw'!$L$4:$L$8000,$A264,'Timesheet Raw'!$C$4:$C$8000,D$3,'Timesheet Raw'!$B$4:$B$8000,'Work Calendar'!$A$29))</f>
        <v>0</v>
      </c>
      <c r="G264" s="341">
        <f t="shared" si="17"/>
        <v>0</v>
      </c>
      <c r="H264" s="395">
        <f>IF($A264="","",SUMIFS('Timesheet Raw'!$K$4:$K$8000,'Timesheet Raw'!$L$4:$L$8000,$A264,'Timesheet Raw'!$C$4:$C$8000,D$3))</f>
        <v>0</v>
      </c>
      <c r="I264" s="345">
        <f>IF($A264="","",SUMIFS('Timesheet Raw'!$P$4:$P$8000,'Timesheet Raw'!$L$4:$L$8000,$A264,'Timesheet Raw'!$C$4:$C$8000,D$3))</f>
        <v>0</v>
      </c>
      <c r="J264" s="375"/>
      <c r="K264" t="str">
        <f>IF($A264="","",IF(J264&lt;&gt;"",J264,IF($A264&gt;'Work Calendar'!$B$17,"No data yet",IF(AND(F264&gt;='Work Calendar'!$B$14,D264+E264+G264&gt;0),"Day off - but worked",IF(F264&gt;='Work Calendar'!$B$14,"Day off",IF(D264+E264+G264&gt;0,IF($C264="Working","Charged","Worked weekend"),IF($C264="Working","Leave (not charged)",$C264)))))))</f>
        <v>No data yet</v>
      </c>
      <c r="L264" s="341">
        <f>IF($A264="","",SUMIFS('Timesheet Raw'!$P$4:$P$8000,'Timesheet Raw'!$L$4:$L$8000,$A264,'Timesheet Raw'!$C$4:$C$8000,L$3,'Timesheet Raw'!$A$4:$A$8000,"1-Projects"))</f>
        <v>0</v>
      </c>
      <c r="M264" s="341">
        <f>IF($A264="","",SUMIFS('Timesheet Raw'!$P$4:$P$8000,'Timesheet Raw'!$L$4:$L$8000,$A264,'Timesheet Raw'!$C$4:$C$8000,L$3,'Timesheet Raw'!$A$4:$A$8000,"2-Proposals Chargeable")+SUMIFS('Timesheet Raw'!$P$4:$P$8000,'Timesheet Raw'!$L$4:$L$8000,$A264,'Timesheet Raw'!$C$4:$C$8000,L$3,'Timesheet Raw'!$A$4:$A$8000,"3-Proposals Regular"))</f>
        <v>0</v>
      </c>
      <c r="N264" s="341">
        <f>IF($A264="","",SUMIFS('Timesheet Raw'!$P$4:$P$8000,'Timesheet Raw'!$L$4:$L$8000,$A264,'Timesheet Raw'!$C$4:$C$8000,L$3,'Timesheet Raw'!$B$4:$B$8000,'Work Calendar'!$A$26)+SUMIFS('Timesheet Raw'!$P$4:$P$8000,'Timesheet Raw'!$L$4:$L$8000,$A264,'Timesheet Raw'!$C$4:$C$8000,L$3,'Timesheet Raw'!$B$4:$B$8000,'Work Calendar'!$A$27)+SUMIFS('Timesheet Raw'!$P$4:$P$8000,'Timesheet Raw'!$L$4:$L$8000,$A264,'Timesheet Raw'!$C$4:$C$8000,L$3,'Timesheet Raw'!$B$4:$B$8000,'Work Calendar'!$A$28)+SUMIFS('Timesheet Raw'!$P$4:$P$8000,'Timesheet Raw'!$L$4:$L$8000,$A264,'Timesheet Raw'!$C$4:$C$8000,L$3,'Timesheet Raw'!$B$4:$B$8000,'Work Calendar'!$A$29))</f>
        <v>0</v>
      </c>
      <c r="O264" s="341">
        <f t="shared" si="18"/>
        <v>0</v>
      </c>
      <c r="P264" s="395">
        <f>IF($A264="","",SUMIFS('Timesheet Raw'!$K$4:$K$8000,'Timesheet Raw'!$L$4:$L$8000,$A264,'Timesheet Raw'!$C$4:$C$8000,L$3))</f>
        <v>0</v>
      </c>
      <c r="Q264" s="345">
        <f>IF($A264="","",SUMIFS('Timesheet Raw'!$P$4:$P$8000,'Timesheet Raw'!$L$4:$L$8000,$A264,'Timesheet Raw'!$C$4:$C$8000,L$3))</f>
        <v>0</v>
      </c>
      <c r="R264" s="375"/>
      <c r="S264" t="str">
        <f>IF($A264="","",IF(R264&lt;&gt;"",R264,IF($A264&gt;'Work Calendar'!$B$17,"No data yet",IF(AND(N264&gt;='Work Calendar'!$B$14,L264+M264+O264&gt;0),"Day off - but worked",IF(N264&gt;='Work Calendar'!$B$14,"Day off",IF(L264+M264+O264&gt;0,IF($C264="Working","Charged","Worked weekend"),IF($C264="Working","Leave (not charged)",$C264)))))))</f>
        <v>No data yet</v>
      </c>
      <c r="T264" s="341">
        <f>IF($A264="","",SUMIFS('Timesheet Raw'!$P$4:$P$8000,'Timesheet Raw'!$L$4:$L$8000,$A264,'Timesheet Raw'!$C$4:$C$8000,T$3,'Timesheet Raw'!$A$4:$A$8000,"1-Projects"))</f>
        <v>0</v>
      </c>
      <c r="U264" s="341">
        <f>IF($A264="","",SUMIFS('Timesheet Raw'!$P$4:$P$8000,'Timesheet Raw'!$L$4:$L$8000,$A264,'Timesheet Raw'!$C$4:$C$8000,T$3,'Timesheet Raw'!$A$4:$A$8000,"2-Proposals Chargeable")+SUMIFS('Timesheet Raw'!$P$4:$P$8000,'Timesheet Raw'!$L$4:$L$8000,$A264,'Timesheet Raw'!$C$4:$C$8000,T$3,'Timesheet Raw'!$A$4:$A$8000,"3-Proposals Regular"))</f>
        <v>0</v>
      </c>
      <c r="V264" s="341">
        <f>IF($A264="","",SUMIFS('Timesheet Raw'!$P$4:$P$8000,'Timesheet Raw'!$L$4:$L$8000,$A264,'Timesheet Raw'!$C$4:$C$8000,T$3,'Timesheet Raw'!$B$4:$B$8000,'Work Calendar'!$A$26)+SUMIFS('Timesheet Raw'!$P$4:$P$8000,'Timesheet Raw'!$L$4:$L$8000,$A264,'Timesheet Raw'!$C$4:$C$8000,T$3,'Timesheet Raw'!$B$4:$B$8000,'Work Calendar'!$A$27)+SUMIFS('Timesheet Raw'!$P$4:$P$8000,'Timesheet Raw'!$L$4:$L$8000,$A264,'Timesheet Raw'!$C$4:$C$8000,T$3,'Timesheet Raw'!$B$4:$B$8000,'Work Calendar'!$A$28)+SUMIFS('Timesheet Raw'!$P$4:$P$8000,'Timesheet Raw'!$L$4:$L$8000,$A264,'Timesheet Raw'!$C$4:$C$8000,T$3,'Timesheet Raw'!$B$4:$B$8000,'Work Calendar'!$A$29))</f>
        <v>0</v>
      </c>
      <c r="W264" s="341">
        <f t="shared" si="19"/>
        <v>0</v>
      </c>
      <c r="X264" s="395">
        <f>IF($A264="","",SUMIFS('Timesheet Raw'!$K$4:$K$8000,'Timesheet Raw'!$L$4:$L$8000,$A264,'Timesheet Raw'!$C$4:$C$8000,T$3))</f>
        <v>0</v>
      </c>
      <c r="Y264" s="345">
        <f>IF($A264="","",SUMIFS('Timesheet Raw'!$P$4:$P$8000,'Timesheet Raw'!$L$4:$L$8000,$A264,'Timesheet Raw'!$C$4:$C$8000,T$3))</f>
        <v>0</v>
      </c>
      <c r="Z264" s="375"/>
      <c r="AA264" t="str">
        <f>IF($A264="","",IF(Z264&lt;&gt;"",Z264,IF($A264&gt;'Work Calendar'!$B$17,"No data yet",IF(AND(V264&gt;='Work Calendar'!$B$14,T264+U264+W264&gt;0),"Day off - but worked",IF(V264&gt;='Work Calendar'!$B$14,"Day off",IF(T264+U264+W264&gt;0,IF($C264="Working","Charged","Worked weekend"),IF($C264="Working","Leave (not charged)",$C264)))))))</f>
        <v>No data yet</v>
      </c>
    </row>
    <row r="265" spans="1:27" x14ac:dyDescent="0.3">
      <c r="A265" s="371">
        <f>IF($A264="","",IF($A264+1&gt;'Work Calendar'!$B$16,"",$A264+1))</f>
        <v>46283</v>
      </c>
      <c r="B265" t="str">
        <f t="shared" si="16"/>
        <v>Fri</v>
      </c>
      <c r="C265" t="str" cm="1">
        <f t="array" ref="C265">IF($A265="","",IF(COUNTIF('Work Calendar'!$E$6:$E$200,$A265)&gt;0,"Holiday",IF(INDEX('Work Calendar'!$C$6:$C$12,WEEKDAY($A265,1))=1,"Working","Weekend")))</f>
        <v>Weekend</v>
      </c>
      <c r="D265" s="341">
        <f>IF($A265="","",SUMIFS('Timesheet Raw'!$P$4:$P$8000,'Timesheet Raw'!$L$4:$L$8000,$A265,'Timesheet Raw'!$C$4:$C$8000,D$3,'Timesheet Raw'!$A$4:$A$8000,"1-Projects"))</f>
        <v>0</v>
      </c>
      <c r="E265" s="341">
        <f>IF($A265="","",SUMIFS('Timesheet Raw'!$P$4:$P$8000,'Timesheet Raw'!$L$4:$L$8000,$A265,'Timesheet Raw'!$C$4:$C$8000,D$3,'Timesheet Raw'!$A$4:$A$8000,"2-Proposals Chargeable")+SUMIFS('Timesheet Raw'!$P$4:$P$8000,'Timesheet Raw'!$L$4:$L$8000,$A265,'Timesheet Raw'!$C$4:$C$8000,D$3,'Timesheet Raw'!$A$4:$A$8000,"3-Proposals Regular"))</f>
        <v>0</v>
      </c>
      <c r="F265" s="341">
        <f>IF($A265="","",SUMIFS('Timesheet Raw'!$P$4:$P$8000,'Timesheet Raw'!$L$4:$L$8000,$A265,'Timesheet Raw'!$C$4:$C$8000,D$3,'Timesheet Raw'!$B$4:$B$8000,'Work Calendar'!$A$26)+SUMIFS('Timesheet Raw'!$P$4:$P$8000,'Timesheet Raw'!$L$4:$L$8000,$A265,'Timesheet Raw'!$C$4:$C$8000,D$3,'Timesheet Raw'!$B$4:$B$8000,'Work Calendar'!$A$27)+SUMIFS('Timesheet Raw'!$P$4:$P$8000,'Timesheet Raw'!$L$4:$L$8000,$A265,'Timesheet Raw'!$C$4:$C$8000,D$3,'Timesheet Raw'!$B$4:$B$8000,'Work Calendar'!$A$28)+SUMIFS('Timesheet Raw'!$P$4:$P$8000,'Timesheet Raw'!$L$4:$L$8000,$A265,'Timesheet Raw'!$C$4:$C$8000,D$3,'Timesheet Raw'!$B$4:$B$8000,'Work Calendar'!$A$29))</f>
        <v>0</v>
      </c>
      <c r="G265" s="341">
        <f t="shared" si="17"/>
        <v>0</v>
      </c>
      <c r="H265" s="395">
        <f>IF($A265="","",SUMIFS('Timesheet Raw'!$K$4:$K$8000,'Timesheet Raw'!$L$4:$L$8000,$A265,'Timesheet Raw'!$C$4:$C$8000,D$3))</f>
        <v>0</v>
      </c>
      <c r="I265" s="345">
        <f>IF($A265="","",SUMIFS('Timesheet Raw'!$P$4:$P$8000,'Timesheet Raw'!$L$4:$L$8000,$A265,'Timesheet Raw'!$C$4:$C$8000,D$3))</f>
        <v>0</v>
      </c>
      <c r="J265" s="375"/>
      <c r="K265" t="str">
        <f>IF($A265="","",IF(J265&lt;&gt;"",J265,IF($A265&gt;'Work Calendar'!$B$17,"No data yet",IF(AND(F265&gt;='Work Calendar'!$B$14,D265+E265+G265&gt;0),"Day off - but worked",IF(F265&gt;='Work Calendar'!$B$14,"Day off",IF(D265+E265+G265&gt;0,IF($C265="Working","Charged","Worked weekend"),IF($C265="Working","Leave (not charged)",$C265)))))))</f>
        <v>No data yet</v>
      </c>
      <c r="L265" s="341">
        <f>IF($A265="","",SUMIFS('Timesheet Raw'!$P$4:$P$8000,'Timesheet Raw'!$L$4:$L$8000,$A265,'Timesheet Raw'!$C$4:$C$8000,L$3,'Timesheet Raw'!$A$4:$A$8000,"1-Projects"))</f>
        <v>0</v>
      </c>
      <c r="M265" s="341">
        <f>IF($A265="","",SUMIFS('Timesheet Raw'!$P$4:$P$8000,'Timesheet Raw'!$L$4:$L$8000,$A265,'Timesheet Raw'!$C$4:$C$8000,L$3,'Timesheet Raw'!$A$4:$A$8000,"2-Proposals Chargeable")+SUMIFS('Timesheet Raw'!$P$4:$P$8000,'Timesheet Raw'!$L$4:$L$8000,$A265,'Timesheet Raw'!$C$4:$C$8000,L$3,'Timesheet Raw'!$A$4:$A$8000,"3-Proposals Regular"))</f>
        <v>0</v>
      </c>
      <c r="N265" s="341">
        <f>IF($A265="","",SUMIFS('Timesheet Raw'!$P$4:$P$8000,'Timesheet Raw'!$L$4:$L$8000,$A265,'Timesheet Raw'!$C$4:$C$8000,L$3,'Timesheet Raw'!$B$4:$B$8000,'Work Calendar'!$A$26)+SUMIFS('Timesheet Raw'!$P$4:$P$8000,'Timesheet Raw'!$L$4:$L$8000,$A265,'Timesheet Raw'!$C$4:$C$8000,L$3,'Timesheet Raw'!$B$4:$B$8000,'Work Calendar'!$A$27)+SUMIFS('Timesheet Raw'!$P$4:$P$8000,'Timesheet Raw'!$L$4:$L$8000,$A265,'Timesheet Raw'!$C$4:$C$8000,L$3,'Timesheet Raw'!$B$4:$B$8000,'Work Calendar'!$A$28)+SUMIFS('Timesheet Raw'!$P$4:$P$8000,'Timesheet Raw'!$L$4:$L$8000,$A265,'Timesheet Raw'!$C$4:$C$8000,L$3,'Timesheet Raw'!$B$4:$B$8000,'Work Calendar'!$A$29))</f>
        <v>0</v>
      </c>
      <c r="O265" s="341">
        <f t="shared" si="18"/>
        <v>0</v>
      </c>
      <c r="P265" s="395">
        <f>IF($A265="","",SUMIFS('Timesheet Raw'!$K$4:$K$8000,'Timesheet Raw'!$L$4:$L$8000,$A265,'Timesheet Raw'!$C$4:$C$8000,L$3))</f>
        <v>0</v>
      </c>
      <c r="Q265" s="345">
        <f>IF($A265="","",SUMIFS('Timesheet Raw'!$P$4:$P$8000,'Timesheet Raw'!$L$4:$L$8000,$A265,'Timesheet Raw'!$C$4:$C$8000,L$3))</f>
        <v>0</v>
      </c>
      <c r="R265" s="375"/>
      <c r="S265" t="str">
        <f>IF($A265="","",IF(R265&lt;&gt;"",R265,IF($A265&gt;'Work Calendar'!$B$17,"No data yet",IF(AND(N265&gt;='Work Calendar'!$B$14,L265+M265+O265&gt;0),"Day off - but worked",IF(N265&gt;='Work Calendar'!$B$14,"Day off",IF(L265+M265+O265&gt;0,IF($C265="Working","Charged","Worked weekend"),IF($C265="Working","Leave (not charged)",$C265)))))))</f>
        <v>No data yet</v>
      </c>
      <c r="T265" s="341">
        <f>IF($A265="","",SUMIFS('Timesheet Raw'!$P$4:$P$8000,'Timesheet Raw'!$L$4:$L$8000,$A265,'Timesheet Raw'!$C$4:$C$8000,T$3,'Timesheet Raw'!$A$4:$A$8000,"1-Projects"))</f>
        <v>0</v>
      </c>
      <c r="U265" s="341">
        <f>IF($A265="","",SUMIFS('Timesheet Raw'!$P$4:$P$8000,'Timesheet Raw'!$L$4:$L$8000,$A265,'Timesheet Raw'!$C$4:$C$8000,T$3,'Timesheet Raw'!$A$4:$A$8000,"2-Proposals Chargeable")+SUMIFS('Timesheet Raw'!$P$4:$P$8000,'Timesheet Raw'!$L$4:$L$8000,$A265,'Timesheet Raw'!$C$4:$C$8000,T$3,'Timesheet Raw'!$A$4:$A$8000,"3-Proposals Regular"))</f>
        <v>0</v>
      </c>
      <c r="V265" s="341">
        <f>IF($A265="","",SUMIFS('Timesheet Raw'!$P$4:$P$8000,'Timesheet Raw'!$L$4:$L$8000,$A265,'Timesheet Raw'!$C$4:$C$8000,T$3,'Timesheet Raw'!$B$4:$B$8000,'Work Calendar'!$A$26)+SUMIFS('Timesheet Raw'!$P$4:$P$8000,'Timesheet Raw'!$L$4:$L$8000,$A265,'Timesheet Raw'!$C$4:$C$8000,T$3,'Timesheet Raw'!$B$4:$B$8000,'Work Calendar'!$A$27)+SUMIFS('Timesheet Raw'!$P$4:$P$8000,'Timesheet Raw'!$L$4:$L$8000,$A265,'Timesheet Raw'!$C$4:$C$8000,T$3,'Timesheet Raw'!$B$4:$B$8000,'Work Calendar'!$A$28)+SUMIFS('Timesheet Raw'!$P$4:$P$8000,'Timesheet Raw'!$L$4:$L$8000,$A265,'Timesheet Raw'!$C$4:$C$8000,T$3,'Timesheet Raw'!$B$4:$B$8000,'Work Calendar'!$A$29))</f>
        <v>0</v>
      </c>
      <c r="W265" s="341">
        <f t="shared" si="19"/>
        <v>0</v>
      </c>
      <c r="X265" s="395">
        <f>IF($A265="","",SUMIFS('Timesheet Raw'!$K$4:$K$8000,'Timesheet Raw'!$L$4:$L$8000,$A265,'Timesheet Raw'!$C$4:$C$8000,T$3))</f>
        <v>0</v>
      </c>
      <c r="Y265" s="345">
        <f>IF($A265="","",SUMIFS('Timesheet Raw'!$P$4:$P$8000,'Timesheet Raw'!$L$4:$L$8000,$A265,'Timesheet Raw'!$C$4:$C$8000,T$3))</f>
        <v>0</v>
      </c>
      <c r="Z265" s="375"/>
      <c r="AA265" t="str">
        <f>IF($A265="","",IF(Z265&lt;&gt;"",Z265,IF($A265&gt;'Work Calendar'!$B$17,"No data yet",IF(AND(V265&gt;='Work Calendar'!$B$14,T265+U265+W265&gt;0),"Day off - but worked",IF(V265&gt;='Work Calendar'!$B$14,"Day off",IF(T265+U265+W265&gt;0,IF($C265="Working","Charged","Worked weekend"),IF($C265="Working","Leave (not charged)",$C265)))))))</f>
        <v>No data yet</v>
      </c>
    </row>
    <row r="266" spans="1:27" x14ac:dyDescent="0.3">
      <c r="A266" s="371">
        <f>IF($A265="","",IF($A265+1&gt;'Work Calendar'!$B$16,"",$A265+1))</f>
        <v>46284</v>
      </c>
      <c r="B266" t="str">
        <f t="shared" si="16"/>
        <v>Sat</v>
      </c>
      <c r="C266" t="str" cm="1">
        <f t="array" ref="C266">IF($A266="","",IF(COUNTIF('Work Calendar'!$E$6:$E$200,$A266)&gt;0,"Holiday",IF(INDEX('Work Calendar'!$C$6:$C$12,WEEKDAY($A266,1))=1,"Working","Weekend")))</f>
        <v>Weekend</v>
      </c>
      <c r="D266" s="341">
        <f>IF($A266="","",SUMIFS('Timesheet Raw'!$P$4:$P$8000,'Timesheet Raw'!$L$4:$L$8000,$A266,'Timesheet Raw'!$C$4:$C$8000,D$3,'Timesheet Raw'!$A$4:$A$8000,"1-Projects"))</f>
        <v>0</v>
      </c>
      <c r="E266" s="341">
        <f>IF($A266="","",SUMIFS('Timesheet Raw'!$P$4:$P$8000,'Timesheet Raw'!$L$4:$L$8000,$A266,'Timesheet Raw'!$C$4:$C$8000,D$3,'Timesheet Raw'!$A$4:$A$8000,"2-Proposals Chargeable")+SUMIFS('Timesheet Raw'!$P$4:$P$8000,'Timesheet Raw'!$L$4:$L$8000,$A266,'Timesheet Raw'!$C$4:$C$8000,D$3,'Timesheet Raw'!$A$4:$A$8000,"3-Proposals Regular"))</f>
        <v>0</v>
      </c>
      <c r="F266" s="341">
        <f>IF($A266="","",SUMIFS('Timesheet Raw'!$P$4:$P$8000,'Timesheet Raw'!$L$4:$L$8000,$A266,'Timesheet Raw'!$C$4:$C$8000,D$3,'Timesheet Raw'!$B$4:$B$8000,'Work Calendar'!$A$26)+SUMIFS('Timesheet Raw'!$P$4:$P$8000,'Timesheet Raw'!$L$4:$L$8000,$A266,'Timesheet Raw'!$C$4:$C$8000,D$3,'Timesheet Raw'!$B$4:$B$8000,'Work Calendar'!$A$27)+SUMIFS('Timesheet Raw'!$P$4:$P$8000,'Timesheet Raw'!$L$4:$L$8000,$A266,'Timesheet Raw'!$C$4:$C$8000,D$3,'Timesheet Raw'!$B$4:$B$8000,'Work Calendar'!$A$28)+SUMIFS('Timesheet Raw'!$P$4:$P$8000,'Timesheet Raw'!$L$4:$L$8000,$A266,'Timesheet Raw'!$C$4:$C$8000,D$3,'Timesheet Raw'!$B$4:$B$8000,'Work Calendar'!$A$29))</f>
        <v>0</v>
      </c>
      <c r="G266" s="341">
        <f t="shared" si="17"/>
        <v>0</v>
      </c>
      <c r="H266" s="395">
        <f>IF($A266="","",SUMIFS('Timesheet Raw'!$K$4:$K$8000,'Timesheet Raw'!$L$4:$L$8000,$A266,'Timesheet Raw'!$C$4:$C$8000,D$3))</f>
        <v>0</v>
      </c>
      <c r="I266" s="345">
        <f>IF($A266="","",SUMIFS('Timesheet Raw'!$P$4:$P$8000,'Timesheet Raw'!$L$4:$L$8000,$A266,'Timesheet Raw'!$C$4:$C$8000,D$3))</f>
        <v>0</v>
      </c>
      <c r="J266" s="375"/>
      <c r="K266" t="str">
        <f>IF($A266="","",IF(J266&lt;&gt;"",J266,IF($A266&gt;'Work Calendar'!$B$17,"No data yet",IF(AND(F266&gt;='Work Calendar'!$B$14,D266+E266+G266&gt;0),"Day off - but worked",IF(F266&gt;='Work Calendar'!$B$14,"Day off",IF(D266+E266+G266&gt;0,IF($C266="Working","Charged","Worked weekend"),IF($C266="Working","Leave (not charged)",$C266)))))))</f>
        <v>No data yet</v>
      </c>
      <c r="L266" s="341">
        <f>IF($A266="","",SUMIFS('Timesheet Raw'!$P$4:$P$8000,'Timesheet Raw'!$L$4:$L$8000,$A266,'Timesheet Raw'!$C$4:$C$8000,L$3,'Timesheet Raw'!$A$4:$A$8000,"1-Projects"))</f>
        <v>0</v>
      </c>
      <c r="M266" s="341">
        <f>IF($A266="","",SUMIFS('Timesheet Raw'!$P$4:$P$8000,'Timesheet Raw'!$L$4:$L$8000,$A266,'Timesheet Raw'!$C$4:$C$8000,L$3,'Timesheet Raw'!$A$4:$A$8000,"2-Proposals Chargeable")+SUMIFS('Timesheet Raw'!$P$4:$P$8000,'Timesheet Raw'!$L$4:$L$8000,$A266,'Timesheet Raw'!$C$4:$C$8000,L$3,'Timesheet Raw'!$A$4:$A$8000,"3-Proposals Regular"))</f>
        <v>0</v>
      </c>
      <c r="N266" s="341">
        <f>IF($A266="","",SUMIFS('Timesheet Raw'!$P$4:$P$8000,'Timesheet Raw'!$L$4:$L$8000,$A266,'Timesheet Raw'!$C$4:$C$8000,L$3,'Timesheet Raw'!$B$4:$B$8000,'Work Calendar'!$A$26)+SUMIFS('Timesheet Raw'!$P$4:$P$8000,'Timesheet Raw'!$L$4:$L$8000,$A266,'Timesheet Raw'!$C$4:$C$8000,L$3,'Timesheet Raw'!$B$4:$B$8000,'Work Calendar'!$A$27)+SUMIFS('Timesheet Raw'!$P$4:$P$8000,'Timesheet Raw'!$L$4:$L$8000,$A266,'Timesheet Raw'!$C$4:$C$8000,L$3,'Timesheet Raw'!$B$4:$B$8000,'Work Calendar'!$A$28)+SUMIFS('Timesheet Raw'!$P$4:$P$8000,'Timesheet Raw'!$L$4:$L$8000,$A266,'Timesheet Raw'!$C$4:$C$8000,L$3,'Timesheet Raw'!$B$4:$B$8000,'Work Calendar'!$A$29))</f>
        <v>0</v>
      </c>
      <c r="O266" s="341">
        <f t="shared" si="18"/>
        <v>0</v>
      </c>
      <c r="P266" s="395">
        <f>IF($A266="","",SUMIFS('Timesheet Raw'!$K$4:$K$8000,'Timesheet Raw'!$L$4:$L$8000,$A266,'Timesheet Raw'!$C$4:$C$8000,L$3))</f>
        <v>0</v>
      </c>
      <c r="Q266" s="345">
        <f>IF($A266="","",SUMIFS('Timesheet Raw'!$P$4:$P$8000,'Timesheet Raw'!$L$4:$L$8000,$A266,'Timesheet Raw'!$C$4:$C$8000,L$3))</f>
        <v>0</v>
      </c>
      <c r="R266" s="375"/>
      <c r="S266" t="str">
        <f>IF($A266="","",IF(R266&lt;&gt;"",R266,IF($A266&gt;'Work Calendar'!$B$17,"No data yet",IF(AND(N266&gt;='Work Calendar'!$B$14,L266+M266+O266&gt;0),"Day off - but worked",IF(N266&gt;='Work Calendar'!$B$14,"Day off",IF(L266+M266+O266&gt;0,IF($C266="Working","Charged","Worked weekend"),IF($C266="Working","Leave (not charged)",$C266)))))))</f>
        <v>No data yet</v>
      </c>
      <c r="T266" s="341">
        <f>IF($A266="","",SUMIFS('Timesheet Raw'!$P$4:$P$8000,'Timesheet Raw'!$L$4:$L$8000,$A266,'Timesheet Raw'!$C$4:$C$8000,T$3,'Timesheet Raw'!$A$4:$A$8000,"1-Projects"))</f>
        <v>0</v>
      </c>
      <c r="U266" s="341">
        <f>IF($A266="","",SUMIFS('Timesheet Raw'!$P$4:$P$8000,'Timesheet Raw'!$L$4:$L$8000,$A266,'Timesheet Raw'!$C$4:$C$8000,T$3,'Timesheet Raw'!$A$4:$A$8000,"2-Proposals Chargeable")+SUMIFS('Timesheet Raw'!$P$4:$P$8000,'Timesheet Raw'!$L$4:$L$8000,$A266,'Timesheet Raw'!$C$4:$C$8000,T$3,'Timesheet Raw'!$A$4:$A$8000,"3-Proposals Regular"))</f>
        <v>0</v>
      </c>
      <c r="V266" s="341">
        <f>IF($A266="","",SUMIFS('Timesheet Raw'!$P$4:$P$8000,'Timesheet Raw'!$L$4:$L$8000,$A266,'Timesheet Raw'!$C$4:$C$8000,T$3,'Timesheet Raw'!$B$4:$B$8000,'Work Calendar'!$A$26)+SUMIFS('Timesheet Raw'!$P$4:$P$8000,'Timesheet Raw'!$L$4:$L$8000,$A266,'Timesheet Raw'!$C$4:$C$8000,T$3,'Timesheet Raw'!$B$4:$B$8000,'Work Calendar'!$A$27)+SUMIFS('Timesheet Raw'!$P$4:$P$8000,'Timesheet Raw'!$L$4:$L$8000,$A266,'Timesheet Raw'!$C$4:$C$8000,T$3,'Timesheet Raw'!$B$4:$B$8000,'Work Calendar'!$A$28)+SUMIFS('Timesheet Raw'!$P$4:$P$8000,'Timesheet Raw'!$L$4:$L$8000,$A266,'Timesheet Raw'!$C$4:$C$8000,T$3,'Timesheet Raw'!$B$4:$B$8000,'Work Calendar'!$A$29))</f>
        <v>0</v>
      </c>
      <c r="W266" s="341">
        <f t="shared" si="19"/>
        <v>0</v>
      </c>
      <c r="X266" s="395">
        <f>IF($A266="","",SUMIFS('Timesheet Raw'!$K$4:$K$8000,'Timesheet Raw'!$L$4:$L$8000,$A266,'Timesheet Raw'!$C$4:$C$8000,T$3))</f>
        <v>0</v>
      </c>
      <c r="Y266" s="345">
        <f>IF($A266="","",SUMIFS('Timesheet Raw'!$P$4:$P$8000,'Timesheet Raw'!$L$4:$L$8000,$A266,'Timesheet Raw'!$C$4:$C$8000,T$3))</f>
        <v>0</v>
      </c>
      <c r="Z266" s="375"/>
      <c r="AA266" t="str">
        <f>IF($A266="","",IF(Z266&lt;&gt;"",Z266,IF($A266&gt;'Work Calendar'!$B$17,"No data yet",IF(AND(V266&gt;='Work Calendar'!$B$14,T266+U266+W266&gt;0),"Day off - but worked",IF(V266&gt;='Work Calendar'!$B$14,"Day off",IF(T266+U266+W266&gt;0,IF($C266="Working","Charged","Worked weekend"),IF($C266="Working","Leave (not charged)",$C266)))))))</f>
        <v>No data yet</v>
      </c>
    </row>
    <row r="267" spans="1:27" x14ac:dyDescent="0.3">
      <c r="A267" s="371">
        <f>IF($A266="","",IF($A266+1&gt;'Work Calendar'!$B$16,"",$A266+1))</f>
        <v>46285</v>
      </c>
      <c r="B267" t="str">
        <f t="shared" si="16"/>
        <v>Sun</v>
      </c>
      <c r="C267" t="str" cm="1">
        <f t="array" ref="C267">IF($A267="","",IF(COUNTIF('Work Calendar'!$E$6:$E$200,$A267)&gt;0,"Holiday",IF(INDEX('Work Calendar'!$C$6:$C$12,WEEKDAY($A267,1))=1,"Working","Weekend")))</f>
        <v>Working</v>
      </c>
      <c r="D267" s="341">
        <f>IF($A267="","",SUMIFS('Timesheet Raw'!$P$4:$P$8000,'Timesheet Raw'!$L$4:$L$8000,$A267,'Timesheet Raw'!$C$4:$C$8000,D$3,'Timesheet Raw'!$A$4:$A$8000,"1-Projects"))</f>
        <v>0</v>
      </c>
      <c r="E267" s="341">
        <f>IF($A267="","",SUMIFS('Timesheet Raw'!$P$4:$P$8000,'Timesheet Raw'!$L$4:$L$8000,$A267,'Timesheet Raw'!$C$4:$C$8000,D$3,'Timesheet Raw'!$A$4:$A$8000,"2-Proposals Chargeable")+SUMIFS('Timesheet Raw'!$P$4:$P$8000,'Timesheet Raw'!$L$4:$L$8000,$A267,'Timesheet Raw'!$C$4:$C$8000,D$3,'Timesheet Raw'!$A$4:$A$8000,"3-Proposals Regular"))</f>
        <v>0</v>
      </c>
      <c r="F267" s="341">
        <f>IF($A267="","",SUMIFS('Timesheet Raw'!$P$4:$P$8000,'Timesheet Raw'!$L$4:$L$8000,$A267,'Timesheet Raw'!$C$4:$C$8000,D$3,'Timesheet Raw'!$B$4:$B$8000,'Work Calendar'!$A$26)+SUMIFS('Timesheet Raw'!$P$4:$P$8000,'Timesheet Raw'!$L$4:$L$8000,$A267,'Timesheet Raw'!$C$4:$C$8000,D$3,'Timesheet Raw'!$B$4:$B$8000,'Work Calendar'!$A$27)+SUMIFS('Timesheet Raw'!$P$4:$P$8000,'Timesheet Raw'!$L$4:$L$8000,$A267,'Timesheet Raw'!$C$4:$C$8000,D$3,'Timesheet Raw'!$B$4:$B$8000,'Work Calendar'!$A$28)+SUMIFS('Timesheet Raw'!$P$4:$P$8000,'Timesheet Raw'!$L$4:$L$8000,$A267,'Timesheet Raw'!$C$4:$C$8000,D$3,'Timesheet Raw'!$B$4:$B$8000,'Work Calendar'!$A$29))</f>
        <v>0</v>
      </c>
      <c r="G267" s="341">
        <f t="shared" si="17"/>
        <v>0</v>
      </c>
      <c r="H267" s="395">
        <f>IF($A267="","",SUMIFS('Timesheet Raw'!$K$4:$K$8000,'Timesheet Raw'!$L$4:$L$8000,$A267,'Timesheet Raw'!$C$4:$C$8000,D$3))</f>
        <v>0</v>
      </c>
      <c r="I267" s="345">
        <f>IF($A267="","",SUMIFS('Timesheet Raw'!$P$4:$P$8000,'Timesheet Raw'!$L$4:$L$8000,$A267,'Timesheet Raw'!$C$4:$C$8000,D$3))</f>
        <v>0</v>
      </c>
      <c r="J267" s="375"/>
      <c r="K267" t="str">
        <f>IF($A267="","",IF(J267&lt;&gt;"",J267,IF($A267&gt;'Work Calendar'!$B$17,"No data yet",IF(AND(F267&gt;='Work Calendar'!$B$14,D267+E267+G267&gt;0),"Day off - but worked",IF(F267&gt;='Work Calendar'!$B$14,"Day off",IF(D267+E267+G267&gt;0,IF($C267="Working","Charged","Worked weekend"),IF($C267="Working","Leave (not charged)",$C267)))))))</f>
        <v>No data yet</v>
      </c>
      <c r="L267" s="341">
        <f>IF($A267="","",SUMIFS('Timesheet Raw'!$P$4:$P$8000,'Timesheet Raw'!$L$4:$L$8000,$A267,'Timesheet Raw'!$C$4:$C$8000,L$3,'Timesheet Raw'!$A$4:$A$8000,"1-Projects"))</f>
        <v>0</v>
      </c>
      <c r="M267" s="341">
        <f>IF($A267="","",SUMIFS('Timesheet Raw'!$P$4:$P$8000,'Timesheet Raw'!$L$4:$L$8000,$A267,'Timesheet Raw'!$C$4:$C$8000,L$3,'Timesheet Raw'!$A$4:$A$8000,"2-Proposals Chargeable")+SUMIFS('Timesheet Raw'!$P$4:$P$8000,'Timesheet Raw'!$L$4:$L$8000,$A267,'Timesheet Raw'!$C$4:$C$8000,L$3,'Timesheet Raw'!$A$4:$A$8000,"3-Proposals Regular"))</f>
        <v>0</v>
      </c>
      <c r="N267" s="341">
        <f>IF($A267="","",SUMIFS('Timesheet Raw'!$P$4:$P$8000,'Timesheet Raw'!$L$4:$L$8000,$A267,'Timesheet Raw'!$C$4:$C$8000,L$3,'Timesheet Raw'!$B$4:$B$8000,'Work Calendar'!$A$26)+SUMIFS('Timesheet Raw'!$P$4:$P$8000,'Timesheet Raw'!$L$4:$L$8000,$A267,'Timesheet Raw'!$C$4:$C$8000,L$3,'Timesheet Raw'!$B$4:$B$8000,'Work Calendar'!$A$27)+SUMIFS('Timesheet Raw'!$P$4:$P$8000,'Timesheet Raw'!$L$4:$L$8000,$A267,'Timesheet Raw'!$C$4:$C$8000,L$3,'Timesheet Raw'!$B$4:$B$8000,'Work Calendar'!$A$28)+SUMIFS('Timesheet Raw'!$P$4:$P$8000,'Timesheet Raw'!$L$4:$L$8000,$A267,'Timesheet Raw'!$C$4:$C$8000,L$3,'Timesheet Raw'!$B$4:$B$8000,'Work Calendar'!$A$29))</f>
        <v>0</v>
      </c>
      <c r="O267" s="341">
        <f t="shared" si="18"/>
        <v>0</v>
      </c>
      <c r="P267" s="395">
        <f>IF($A267="","",SUMIFS('Timesheet Raw'!$K$4:$K$8000,'Timesheet Raw'!$L$4:$L$8000,$A267,'Timesheet Raw'!$C$4:$C$8000,L$3))</f>
        <v>0</v>
      </c>
      <c r="Q267" s="345">
        <f>IF($A267="","",SUMIFS('Timesheet Raw'!$P$4:$P$8000,'Timesheet Raw'!$L$4:$L$8000,$A267,'Timesheet Raw'!$C$4:$C$8000,L$3))</f>
        <v>0</v>
      </c>
      <c r="R267" s="375"/>
      <c r="S267" t="str">
        <f>IF($A267="","",IF(R267&lt;&gt;"",R267,IF($A267&gt;'Work Calendar'!$B$17,"No data yet",IF(AND(N267&gt;='Work Calendar'!$B$14,L267+M267+O267&gt;0),"Day off - but worked",IF(N267&gt;='Work Calendar'!$B$14,"Day off",IF(L267+M267+O267&gt;0,IF($C267="Working","Charged","Worked weekend"),IF($C267="Working","Leave (not charged)",$C267)))))))</f>
        <v>No data yet</v>
      </c>
      <c r="T267" s="341">
        <f>IF($A267="","",SUMIFS('Timesheet Raw'!$P$4:$P$8000,'Timesheet Raw'!$L$4:$L$8000,$A267,'Timesheet Raw'!$C$4:$C$8000,T$3,'Timesheet Raw'!$A$4:$A$8000,"1-Projects"))</f>
        <v>0</v>
      </c>
      <c r="U267" s="341">
        <f>IF($A267="","",SUMIFS('Timesheet Raw'!$P$4:$P$8000,'Timesheet Raw'!$L$4:$L$8000,$A267,'Timesheet Raw'!$C$4:$C$8000,T$3,'Timesheet Raw'!$A$4:$A$8000,"2-Proposals Chargeable")+SUMIFS('Timesheet Raw'!$P$4:$P$8000,'Timesheet Raw'!$L$4:$L$8000,$A267,'Timesheet Raw'!$C$4:$C$8000,T$3,'Timesheet Raw'!$A$4:$A$8000,"3-Proposals Regular"))</f>
        <v>0</v>
      </c>
      <c r="V267" s="341">
        <f>IF($A267="","",SUMIFS('Timesheet Raw'!$P$4:$P$8000,'Timesheet Raw'!$L$4:$L$8000,$A267,'Timesheet Raw'!$C$4:$C$8000,T$3,'Timesheet Raw'!$B$4:$B$8000,'Work Calendar'!$A$26)+SUMIFS('Timesheet Raw'!$P$4:$P$8000,'Timesheet Raw'!$L$4:$L$8000,$A267,'Timesheet Raw'!$C$4:$C$8000,T$3,'Timesheet Raw'!$B$4:$B$8000,'Work Calendar'!$A$27)+SUMIFS('Timesheet Raw'!$P$4:$P$8000,'Timesheet Raw'!$L$4:$L$8000,$A267,'Timesheet Raw'!$C$4:$C$8000,T$3,'Timesheet Raw'!$B$4:$B$8000,'Work Calendar'!$A$28)+SUMIFS('Timesheet Raw'!$P$4:$P$8000,'Timesheet Raw'!$L$4:$L$8000,$A267,'Timesheet Raw'!$C$4:$C$8000,T$3,'Timesheet Raw'!$B$4:$B$8000,'Work Calendar'!$A$29))</f>
        <v>0</v>
      </c>
      <c r="W267" s="341">
        <f t="shared" si="19"/>
        <v>0</v>
      </c>
      <c r="X267" s="395">
        <f>IF($A267="","",SUMIFS('Timesheet Raw'!$K$4:$K$8000,'Timesheet Raw'!$L$4:$L$8000,$A267,'Timesheet Raw'!$C$4:$C$8000,T$3))</f>
        <v>0</v>
      </c>
      <c r="Y267" s="345">
        <f>IF($A267="","",SUMIFS('Timesheet Raw'!$P$4:$P$8000,'Timesheet Raw'!$L$4:$L$8000,$A267,'Timesheet Raw'!$C$4:$C$8000,T$3))</f>
        <v>0</v>
      </c>
      <c r="Z267" s="375"/>
      <c r="AA267" t="str">
        <f>IF($A267="","",IF(Z267&lt;&gt;"",Z267,IF($A267&gt;'Work Calendar'!$B$17,"No data yet",IF(AND(V267&gt;='Work Calendar'!$B$14,T267+U267+W267&gt;0),"Day off - but worked",IF(V267&gt;='Work Calendar'!$B$14,"Day off",IF(T267+U267+W267&gt;0,IF($C267="Working","Charged","Worked weekend"),IF($C267="Working","Leave (not charged)",$C267)))))))</f>
        <v>No data yet</v>
      </c>
    </row>
    <row r="268" spans="1:27" x14ac:dyDescent="0.3">
      <c r="A268" s="371">
        <f>IF($A267="","",IF($A267+1&gt;'Work Calendar'!$B$16,"",$A267+1))</f>
        <v>46286</v>
      </c>
      <c r="B268" t="str">
        <f t="shared" si="16"/>
        <v>Mon</v>
      </c>
      <c r="C268" t="str" cm="1">
        <f t="array" ref="C268">IF($A268="","",IF(COUNTIF('Work Calendar'!$E$6:$E$200,$A268)&gt;0,"Holiday",IF(INDEX('Work Calendar'!$C$6:$C$12,WEEKDAY($A268,1))=1,"Working","Weekend")))</f>
        <v>Working</v>
      </c>
      <c r="D268" s="341">
        <f>IF($A268="","",SUMIFS('Timesheet Raw'!$P$4:$P$8000,'Timesheet Raw'!$L$4:$L$8000,$A268,'Timesheet Raw'!$C$4:$C$8000,D$3,'Timesheet Raw'!$A$4:$A$8000,"1-Projects"))</f>
        <v>0</v>
      </c>
      <c r="E268" s="341">
        <f>IF($A268="","",SUMIFS('Timesheet Raw'!$P$4:$P$8000,'Timesheet Raw'!$L$4:$L$8000,$A268,'Timesheet Raw'!$C$4:$C$8000,D$3,'Timesheet Raw'!$A$4:$A$8000,"2-Proposals Chargeable")+SUMIFS('Timesheet Raw'!$P$4:$P$8000,'Timesheet Raw'!$L$4:$L$8000,$A268,'Timesheet Raw'!$C$4:$C$8000,D$3,'Timesheet Raw'!$A$4:$A$8000,"3-Proposals Regular"))</f>
        <v>0</v>
      </c>
      <c r="F268" s="341">
        <f>IF($A268="","",SUMIFS('Timesheet Raw'!$P$4:$P$8000,'Timesheet Raw'!$L$4:$L$8000,$A268,'Timesheet Raw'!$C$4:$C$8000,D$3,'Timesheet Raw'!$B$4:$B$8000,'Work Calendar'!$A$26)+SUMIFS('Timesheet Raw'!$P$4:$P$8000,'Timesheet Raw'!$L$4:$L$8000,$A268,'Timesheet Raw'!$C$4:$C$8000,D$3,'Timesheet Raw'!$B$4:$B$8000,'Work Calendar'!$A$27)+SUMIFS('Timesheet Raw'!$P$4:$P$8000,'Timesheet Raw'!$L$4:$L$8000,$A268,'Timesheet Raw'!$C$4:$C$8000,D$3,'Timesheet Raw'!$B$4:$B$8000,'Work Calendar'!$A$28)+SUMIFS('Timesheet Raw'!$P$4:$P$8000,'Timesheet Raw'!$L$4:$L$8000,$A268,'Timesheet Raw'!$C$4:$C$8000,D$3,'Timesheet Raw'!$B$4:$B$8000,'Work Calendar'!$A$29))</f>
        <v>0</v>
      </c>
      <c r="G268" s="341">
        <f t="shared" si="17"/>
        <v>0</v>
      </c>
      <c r="H268" s="395">
        <f>IF($A268="","",SUMIFS('Timesheet Raw'!$K$4:$K$8000,'Timesheet Raw'!$L$4:$L$8000,$A268,'Timesheet Raw'!$C$4:$C$8000,D$3))</f>
        <v>0</v>
      </c>
      <c r="I268" s="345">
        <f>IF($A268="","",SUMIFS('Timesheet Raw'!$P$4:$P$8000,'Timesheet Raw'!$L$4:$L$8000,$A268,'Timesheet Raw'!$C$4:$C$8000,D$3))</f>
        <v>0</v>
      </c>
      <c r="J268" s="375"/>
      <c r="K268" t="str">
        <f>IF($A268="","",IF(J268&lt;&gt;"",J268,IF($A268&gt;'Work Calendar'!$B$17,"No data yet",IF(AND(F268&gt;='Work Calendar'!$B$14,D268+E268+G268&gt;0),"Day off - but worked",IF(F268&gt;='Work Calendar'!$B$14,"Day off",IF(D268+E268+G268&gt;0,IF($C268="Working","Charged","Worked weekend"),IF($C268="Working","Leave (not charged)",$C268)))))))</f>
        <v>No data yet</v>
      </c>
      <c r="L268" s="341">
        <f>IF($A268="","",SUMIFS('Timesheet Raw'!$P$4:$P$8000,'Timesheet Raw'!$L$4:$L$8000,$A268,'Timesheet Raw'!$C$4:$C$8000,L$3,'Timesheet Raw'!$A$4:$A$8000,"1-Projects"))</f>
        <v>0</v>
      </c>
      <c r="M268" s="341">
        <f>IF($A268="","",SUMIFS('Timesheet Raw'!$P$4:$P$8000,'Timesheet Raw'!$L$4:$L$8000,$A268,'Timesheet Raw'!$C$4:$C$8000,L$3,'Timesheet Raw'!$A$4:$A$8000,"2-Proposals Chargeable")+SUMIFS('Timesheet Raw'!$P$4:$P$8000,'Timesheet Raw'!$L$4:$L$8000,$A268,'Timesheet Raw'!$C$4:$C$8000,L$3,'Timesheet Raw'!$A$4:$A$8000,"3-Proposals Regular"))</f>
        <v>0</v>
      </c>
      <c r="N268" s="341">
        <f>IF($A268="","",SUMIFS('Timesheet Raw'!$P$4:$P$8000,'Timesheet Raw'!$L$4:$L$8000,$A268,'Timesheet Raw'!$C$4:$C$8000,L$3,'Timesheet Raw'!$B$4:$B$8000,'Work Calendar'!$A$26)+SUMIFS('Timesheet Raw'!$P$4:$P$8000,'Timesheet Raw'!$L$4:$L$8000,$A268,'Timesheet Raw'!$C$4:$C$8000,L$3,'Timesheet Raw'!$B$4:$B$8000,'Work Calendar'!$A$27)+SUMIFS('Timesheet Raw'!$P$4:$P$8000,'Timesheet Raw'!$L$4:$L$8000,$A268,'Timesheet Raw'!$C$4:$C$8000,L$3,'Timesheet Raw'!$B$4:$B$8000,'Work Calendar'!$A$28)+SUMIFS('Timesheet Raw'!$P$4:$P$8000,'Timesheet Raw'!$L$4:$L$8000,$A268,'Timesheet Raw'!$C$4:$C$8000,L$3,'Timesheet Raw'!$B$4:$B$8000,'Work Calendar'!$A$29))</f>
        <v>0</v>
      </c>
      <c r="O268" s="341">
        <f t="shared" si="18"/>
        <v>0</v>
      </c>
      <c r="P268" s="395">
        <f>IF($A268="","",SUMIFS('Timesheet Raw'!$K$4:$K$8000,'Timesheet Raw'!$L$4:$L$8000,$A268,'Timesheet Raw'!$C$4:$C$8000,L$3))</f>
        <v>0</v>
      </c>
      <c r="Q268" s="345">
        <f>IF($A268="","",SUMIFS('Timesheet Raw'!$P$4:$P$8000,'Timesheet Raw'!$L$4:$L$8000,$A268,'Timesheet Raw'!$C$4:$C$8000,L$3))</f>
        <v>0</v>
      </c>
      <c r="R268" s="375"/>
      <c r="S268" t="str">
        <f>IF($A268="","",IF(R268&lt;&gt;"",R268,IF($A268&gt;'Work Calendar'!$B$17,"No data yet",IF(AND(N268&gt;='Work Calendar'!$B$14,L268+M268+O268&gt;0),"Day off - but worked",IF(N268&gt;='Work Calendar'!$B$14,"Day off",IF(L268+M268+O268&gt;0,IF($C268="Working","Charged","Worked weekend"),IF($C268="Working","Leave (not charged)",$C268)))))))</f>
        <v>No data yet</v>
      </c>
      <c r="T268" s="341">
        <f>IF($A268="","",SUMIFS('Timesheet Raw'!$P$4:$P$8000,'Timesheet Raw'!$L$4:$L$8000,$A268,'Timesheet Raw'!$C$4:$C$8000,T$3,'Timesheet Raw'!$A$4:$A$8000,"1-Projects"))</f>
        <v>0</v>
      </c>
      <c r="U268" s="341">
        <f>IF($A268="","",SUMIFS('Timesheet Raw'!$P$4:$P$8000,'Timesheet Raw'!$L$4:$L$8000,$A268,'Timesheet Raw'!$C$4:$C$8000,T$3,'Timesheet Raw'!$A$4:$A$8000,"2-Proposals Chargeable")+SUMIFS('Timesheet Raw'!$P$4:$P$8000,'Timesheet Raw'!$L$4:$L$8000,$A268,'Timesheet Raw'!$C$4:$C$8000,T$3,'Timesheet Raw'!$A$4:$A$8000,"3-Proposals Regular"))</f>
        <v>0</v>
      </c>
      <c r="V268" s="341">
        <f>IF($A268="","",SUMIFS('Timesheet Raw'!$P$4:$P$8000,'Timesheet Raw'!$L$4:$L$8000,$A268,'Timesheet Raw'!$C$4:$C$8000,T$3,'Timesheet Raw'!$B$4:$B$8000,'Work Calendar'!$A$26)+SUMIFS('Timesheet Raw'!$P$4:$P$8000,'Timesheet Raw'!$L$4:$L$8000,$A268,'Timesheet Raw'!$C$4:$C$8000,T$3,'Timesheet Raw'!$B$4:$B$8000,'Work Calendar'!$A$27)+SUMIFS('Timesheet Raw'!$P$4:$P$8000,'Timesheet Raw'!$L$4:$L$8000,$A268,'Timesheet Raw'!$C$4:$C$8000,T$3,'Timesheet Raw'!$B$4:$B$8000,'Work Calendar'!$A$28)+SUMIFS('Timesheet Raw'!$P$4:$P$8000,'Timesheet Raw'!$L$4:$L$8000,$A268,'Timesheet Raw'!$C$4:$C$8000,T$3,'Timesheet Raw'!$B$4:$B$8000,'Work Calendar'!$A$29))</f>
        <v>0</v>
      </c>
      <c r="W268" s="341">
        <f t="shared" si="19"/>
        <v>0</v>
      </c>
      <c r="X268" s="395">
        <f>IF($A268="","",SUMIFS('Timesheet Raw'!$K$4:$K$8000,'Timesheet Raw'!$L$4:$L$8000,$A268,'Timesheet Raw'!$C$4:$C$8000,T$3))</f>
        <v>0</v>
      </c>
      <c r="Y268" s="345">
        <f>IF($A268="","",SUMIFS('Timesheet Raw'!$P$4:$P$8000,'Timesheet Raw'!$L$4:$L$8000,$A268,'Timesheet Raw'!$C$4:$C$8000,T$3))</f>
        <v>0</v>
      </c>
      <c r="Z268" s="375"/>
      <c r="AA268" t="str">
        <f>IF($A268="","",IF(Z268&lt;&gt;"",Z268,IF($A268&gt;'Work Calendar'!$B$17,"No data yet",IF(AND(V268&gt;='Work Calendar'!$B$14,T268+U268+W268&gt;0),"Day off - but worked",IF(V268&gt;='Work Calendar'!$B$14,"Day off",IF(T268+U268+W268&gt;0,IF($C268="Working","Charged","Worked weekend"),IF($C268="Working","Leave (not charged)",$C268)))))))</f>
        <v>No data yet</v>
      </c>
    </row>
    <row r="269" spans="1:27" x14ac:dyDescent="0.3">
      <c r="A269" s="371">
        <f>IF($A268="","",IF($A268+1&gt;'Work Calendar'!$B$16,"",$A268+1))</f>
        <v>46287</v>
      </c>
      <c r="B269" t="str">
        <f t="shared" si="16"/>
        <v>Tue</v>
      </c>
      <c r="C269" t="str" cm="1">
        <f t="array" ref="C269">IF($A269="","",IF(COUNTIF('Work Calendar'!$E$6:$E$200,$A269)&gt;0,"Holiday",IF(INDEX('Work Calendar'!$C$6:$C$12,WEEKDAY($A269,1))=1,"Working","Weekend")))</f>
        <v>Working</v>
      </c>
      <c r="D269" s="341">
        <f>IF($A269="","",SUMIFS('Timesheet Raw'!$P$4:$P$8000,'Timesheet Raw'!$L$4:$L$8000,$A269,'Timesheet Raw'!$C$4:$C$8000,D$3,'Timesheet Raw'!$A$4:$A$8000,"1-Projects"))</f>
        <v>0</v>
      </c>
      <c r="E269" s="341">
        <f>IF($A269="","",SUMIFS('Timesheet Raw'!$P$4:$P$8000,'Timesheet Raw'!$L$4:$L$8000,$A269,'Timesheet Raw'!$C$4:$C$8000,D$3,'Timesheet Raw'!$A$4:$A$8000,"2-Proposals Chargeable")+SUMIFS('Timesheet Raw'!$P$4:$P$8000,'Timesheet Raw'!$L$4:$L$8000,$A269,'Timesheet Raw'!$C$4:$C$8000,D$3,'Timesheet Raw'!$A$4:$A$8000,"3-Proposals Regular"))</f>
        <v>0</v>
      </c>
      <c r="F269" s="341">
        <f>IF($A269="","",SUMIFS('Timesheet Raw'!$P$4:$P$8000,'Timesheet Raw'!$L$4:$L$8000,$A269,'Timesheet Raw'!$C$4:$C$8000,D$3,'Timesheet Raw'!$B$4:$B$8000,'Work Calendar'!$A$26)+SUMIFS('Timesheet Raw'!$P$4:$P$8000,'Timesheet Raw'!$L$4:$L$8000,$A269,'Timesheet Raw'!$C$4:$C$8000,D$3,'Timesheet Raw'!$B$4:$B$8000,'Work Calendar'!$A$27)+SUMIFS('Timesheet Raw'!$P$4:$P$8000,'Timesheet Raw'!$L$4:$L$8000,$A269,'Timesheet Raw'!$C$4:$C$8000,D$3,'Timesheet Raw'!$B$4:$B$8000,'Work Calendar'!$A$28)+SUMIFS('Timesheet Raw'!$P$4:$P$8000,'Timesheet Raw'!$L$4:$L$8000,$A269,'Timesheet Raw'!$C$4:$C$8000,D$3,'Timesheet Raw'!$B$4:$B$8000,'Work Calendar'!$A$29))</f>
        <v>0</v>
      </c>
      <c r="G269" s="341">
        <f t="shared" si="17"/>
        <v>0</v>
      </c>
      <c r="H269" s="395">
        <f>IF($A269="","",SUMIFS('Timesheet Raw'!$K$4:$K$8000,'Timesheet Raw'!$L$4:$L$8000,$A269,'Timesheet Raw'!$C$4:$C$8000,D$3))</f>
        <v>0</v>
      </c>
      <c r="I269" s="345">
        <f>IF($A269="","",SUMIFS('Timesheet Raw'!$P$4:$P$8000,'Timesheet Raw'!$L$4:$L$8000,$A269,'Timesheet Raw'!$C$4:$C$8000,D$3))</f>
        <v>0</v>
      </c>
      <c r="J269" s="375"/>
      <c r="K269" t="str">
        <f>IF($A269="","",IF(J269&lt;&gt;"",J269,IF($A269&gt;'Work Calendar'!$B$17,"No data yet",IF(AND(F269&gt;='Work Calendar'!$B$14,D269+E269+G269&gt;0),"Day off - but worked",IF(F269&gt;='Work Calendar'!$B$14,"Day off",IF(D269+E269+G269&gt;0,IF($C269="Working","Charged","Worked weekend"),IF($C269="Working","Leave (not charged)",$C269)))))))</f>
        <v>No data yet</v>
      </c>
      <c r="L269" s="341">
        <f>IF($A269="","",SUMIFS('Timesheet Raw'!$P$4:$P$8000,'Timesheet Raw'!$L$4:$L$8000,$A269,'Timesheet Raw'!$C$4:$C$8000,L$3,'Timesheet Raw'!$A$4:$A$8000,"1-Projects"))</f>
        <v>0</v>
      </c>
      <c r="M269" s="341">
        <f>IF($A269="","",SUMIFS('Timesheet Raw'!$P$4:$P$8000,'Timesheet Raw'!$L$4:$L$8000,$A269,'Timesheet Raw'!$C$4:$C$8000,L$3,'Timesheet Raw'!$A$4:$A$8000,"2-Proposals Chargeable")+SUMIFS('Timesheet Raw'!$P$4:$P$8000,'Timesheet Raw'!$L$4:$L$8000,$A269,'Timesheet Raw'!$C$4:$C$8000,L$3,'Timesheet Raw'!$A$4:$A$8000,"3-Proposals Regular"))</f>
        <v>0</v>
      </c>
      <c r="N269" s="341">
        <f>IF($A269="","",SUMIFS('Timesheet Raw'!$P$4:$P$8000,'Timesheet Raw'!$L$4:$L$8000,$A269,'Timesheet Raw'!$C$4:$C$8000,L$3,'Timesheet Raw'!$B$4:$B$8000,'Work Calendar'!$A$26)+SUMIFS('Timesheet Raw'!$P$4:$P$8000,'Timesheet Raw'!$L$4:$L$8000,$A269,'Timesheet Raw'!$C$4:$C$8000,L$3,'Timesheet Raw'!$B$4:$B$8000,'Work Calendar'!$A$27)+SUMIFS('Timesheet Raw'!$P$4:$P$8000,'Timesheet Raw'!$L$4:$L$8000,$A269,'Timesheet Raw'!$C$4:$C$8000,L$3,'Timesheet Raw'!$B$4:$B$8000,'Work Calendar'!$A$28)+SUMIFS('Timesheet Raw'!$P$4:$P$8000,'Timesheet Raw'!$L$4:$L$8000,$A269,'Timesheet Raw'!$C$4:$C$8000,L$3,'Timesheet Raw'!$B$4:$B$8000,'Work Calendar'!$A$29))</f>
        <v>0</v>
      </c>
      <c r="O269" s="341">
        <f t="shared" si="18"/>
        <v>0</v>
      </c>
      <c r="P269" s="395">
        <f>IF($A269="","",SUMIFS('Timesheet Raw'!$K$4:$K$8000,'Timesheet Raw'!$L$4:$L$8000,$A269,'Timesheet Raw'!$C$4:$C$8000,L$3))</f>
        <v>0</v>
      </c>
      <c r="Q269" s="345">
        <f>IF($A269="","",SUMIFS('Timesheet Raw'!$P$4:$P$8000,'Timesheet Raw'!$L$4:$L$8000,$A269,'Timesheet Raw'!$C$4:$C$8000,L$3))</f>
        <v>0</v>
      </c>
      <c r="R269" s="375"/>
      <c r="S269" t="str">
        <f>IF($A269="","",IF(R269&lt;&gt;"",R269,IF($A269&gt;'Work Calendar'!$B$17,"No data yet",IF(AND(N269&gt;='Work Calendar'!$B$14,L269+M269+O269&gt;0),"Day off - but worked",IF(N269&gt;='Work Calendar'!$B$14,"Day off",IF(L269+M269+O269&gt;0,IF($C269="Working","Charged","Worked weekend"),IF($C269="Working","Leave (not charged)",$C269)))))))</f>
        <v>No data yet</v>
      </c>
      <c r="T269" s="341">
        <f>IF($A269="","",SUMIFS('Timesheet Raw'!$P$4:$P$8000,'Timesheet Raw'!$L$4:$L$8000,$A269,'Timesheet Raw'!$C$4:$C$8000,T$3,'Timesheet Raw'!$A$4:$A$8000,"1-Projects"))</f>
        <v>0</v>
      </c>
      <c r="U269" s="341">
        <f>IF($A269="","",SUMIFS('Timesheet Raw'!$P$4:$P$8000,'Timesheet Raw'!$L$4:$L$8000,$A269,'Timesheet Raw'!$C$4:$C$8000,T$3,'Timesheet Raw'!$A$4:$A$8000,"2-Proposals Chargeable")+SUMIFS('Timesheet Raw'!$P$4:$P$8000,'Timesheet Raw'!$L$4:$L$8000,$A269,'Timesheet Raw'!$C$4:$C$8000,T$3,'Timesheet Raw'!$A$4:$A$8000,"3-Proposals Regular"))</f>
        <v>0</v>
      </c>
      <c r="V269" s="341">
        <f>IF($A269="","",SUMIFS('Timesheet Raw'!$P$4:$P$8000,'Timesheet Raw'!$L$4:$L$8000,$A269,'Timesheet Raw'!$C$4:$C$8000,T$3,'Timesheet Raw'!$B$4:$B$8000,'Work Calendar'!$A$26)+SUMIFS('Timesheet Raw'!$P$4:$P$8000,'Timesheet Raw'!$L$4:$L$8000,$A269,'Timesheet Raw'!$C$4:$C$8000,T$3,'Timesheet Raw'!$B$4:$B$8000,'Work Calendar'!$A$27)+SUMIFS('Timesheet Raw'!$P$4:$P$8000,'Timesheet Raw'!$L$4:$L$8000,$A269,'Timesheet Raw'!$C$4:$C$8000,T$3,'Timesheet Raw'!$B$4:$B$8000,'Work Calendar'!$A$28)+SUMIFS('Timesheet Raw'!$P$4:$P$8000,'Timesheet Raw'!$L$4:$L$8000,$A269,'Timesheet Raw'!$C$4:$C$8000,T$3,'Timesheet Raw'!$B$4:$B$8000,'Work Calendar'!$A$29))</f>
        <v>0</v>
      </c>
      <c r="W269" s="341">
        <f t="shared" si="19"/>
        <v>0</v>
      </c>
      <c r="X269" s="395">
        <f>IF($A269="","",SUMIFS('Timesheet Raw'!$K$4:$K$8000,'Timesheet Raw'!$L$4:$L$8000,$A269,'Timesheet Raw'!$C$4:$C$8000,T$3))</f>
        <v>0</v>
      </c>
      <c r="Y269" s="345">
        <f>IF($A269="","",SUMIFS('Timesheet Raw'!$P$4:$P$8000,'Timesheet Raw'!$L$4:$L$8000,$A269,'Timesheet Raw'!$C$4:$C$8000,T$3))</f>
        <v>0</v>
      </c>
      <c r="Z269" s="375"/>
      <c r="AA269" t="str">
        <f>IF($A269="","",IF(Z269&lt;&gt;"",Z269,IF($A269&gt;'Work Calendar'!$B$17,"No data yet",IF(AND(V269&gt;='Work Calendar'!$B$14,T269+U269+W269&gt;0),"Day off - but worked",IF(V269&gt;='Work Calendar'!$B$14,"Day off",IF(T269+U269+W269&gt;0,IF($C269="Working","Charged","Worked weekend"),IF($C269="Working","Leave (not charged)",$C269)))))))</f>
        <v>No data yet</v>
      </c>
    </row>
    <row r="270" spans="1:27" x14ac:dyDescent="0.3">
      <c r="A270" s="371">
        <f>IF($A269="","",IF($A269+1&gt;'Work Calendar'!$B$16,"",$A269+1))</f>
        <v>46288</v>
      </c>
      <c r="B270" t="str">
        <f t="shared" si="16"/>
        <v>Wed</v>
      </c>
      <c r="C270" t="str" cm="1">
        <f t="array" ref="C270">IF($A270="","",IF(COUNTIF('Work Calendar'!$E$6:$E$200,$A270)&gt;0,"Holiday",IF(INDEX('Work Calendar'!$C$6:$C$12,WEEKDAY($A270,1))=1,"Working","Weekend")))</f>
        <v>Working</v>
      </c>
      <c r="D270" s="341">
        <f>IF($A270="","",SUMIFS('Timesheet Raw'!$P$4:$P$8000,'Timesheet Raw'!$L$4:$L$8000,$A270,'Timesheet Raw'!$C$4:$C$8000,D$3,'Timesheet Raw'!$A$4:$A$8000,"1-Projects"))</f>
        <v>0</v>
      </c>
      <c r="E270" s="341">
        <f>IF($A270="","",SUMIFS('Timesheet Raw'!$P$4:$P$8000,'Timesheet Raw'!$L$4:$L$8000,$A270,'Timesheet Raw'!$C$4:$C$8000,D$3,'Timesheet Raw'!$A$4:$A$8000,"2-Proposals Chargeable")+SUMIFS('Timesheet Raw'!$P$4:$P$8000,'Timesheet Raw'!$L$4:$L$8000,$A270,'Timesheet Raw'!$C$4:$C$8000,D$3,'Timesheet Raw'!$A$4:$A$8000,"3-Proposals Regular"))</f>
        <v>0</v>
      </c>
      <c r="F270" s="341">
        <f>IF($A270="","",SUMIFS('Timesheet Raw'!$P$4:$P$8000,'Timesheet Raw'!$L$4:$L$8000,$A270,'Timesheet Raw'!$C$4:$C$8000,D$3,'Timesheet Raw'!$B$4:$B$8000,'Work Calendar'!$A$26)+SUMIFS('Timesheet Raw'!$P$4:$P$8000,'Timesheet Raw'!$L$4:$L$8000,$A270,'Timesheet Raw'!$C$4:$C$8000,D$3,'Timesheet Raw'!$B$4:$B$8000,'Work Calendar'!$A$27)+SUMIFS('Timesheet Raw'!$P$4:$P$8000,'Timesheet Raw'!$L$4:$L$8000,$A270,'Timesheet Raw'!$C$4:$C$8000,D$3,'Timesheet Raw'!$B$4:$B$8000,'Work Calendar'!$A$28)+SUMIFS('Timesheet Raw'!$P$4:$P$8000,'Timesheet Raw'!$L$4:$L$8000,$A270,'Timesheet Raw'!$C$4:$C$8000,D$3,'Timesheet Raw'!$B$4:$B$8000,'Work Calendar'!$A$29))</f>
        <v>0</v>
      </c>
      <c r="G270" s="341">
        <f t="shared" si="17"/>
        <v>0</v>
      </c>
      <c r="H270" s="395">
        <f>IF($A270="","",SUMIFS('Timesheet Raw'!$K$4:$K$8000,'Timesheet Raw'!$L$4:$L$8000,$A270,'Timesheet Raw'!$C$4:$C$8000,D$3))</f>
        <v>0</v>
      </c>
      <c r="I270" s="345">
        <f>IF($A270="","",SUMIFS('Timesheet Raw'!$P$4:$P$8000,'Timesheet Raw'!$L$4:$L$8000,$A270,'Timesheet Raw'!$C$4:$C$8000,D$3))</f>
        <v>0</v>
      </c>
      <c r="J270" s="375"/>
      <c r="K270" t="str">
        <f>IF($A270="","",IF(J270&lt;&gt;"",J270,IF($A270&gt;'Work Calendar'!$B$17,"No data yet",IF(AND(F270&gt;='Work Calendar'!$B$14,D270+E270+G270&gt;0),"Day off - but worked",IF(F270&gt;='Work Calendar'!$B$14,"Day off",IF(D270+E270+G270&gt;0,IF($C270="Working","Charged","Worked weekend"),IF($C270="Working","Leave (not charged)",$C270)))))))</f>
        <v>No data yet</v>
      </c>
      <c r="L270" s="341">
        <f>IF($A270="","",SUMIFS('Timesheet Raw'!$P$4:$P$8000,'Timesheet Raw'!$L$4:$L$8000,$A270,'Timesheet Raw'!$C$4:$C$8000,L$3,'Timesheet Raw'!$A$4:$A$8000,"1-Projects"))</f>
        <v>0</v>
      </c>
      <c r="M270" s="341">
        <f>IF($A270="","",SUMIFS('Timesheet Raw'!$P$4:$P$8000,'Timesheet Raw'!$L$4:$L$8000,$A270,'Timesheet Raw'!$C$4:$C$8000,L$3,'Timesheet Raw'!$A$4:$A$8000,"2-Proposals Chargeable")+SUMIFS('Timesheet Raw'!$P$4:$P$8000,'Timesheet Raw'!$L$4:$L$8000,$A270,'Timesheet Raw'!$C$4:$C$8000,L$3,'Timesheet Raw'!$A$4:$A$8000,"3-Proposals Regular"))</f>
        <v>0</v>
      </c>
      <c r="N270" s="341">
        <f>IF($A270="","",SUMIFS('Timesheet Raw'!$P$4:$P$8000,'Timesheet Raw'!$L$4:$L$8000,$A270,'Timesheet Raw'!$C$4:$C$8000,L$3,'Timesheet Raw'!$B$4:$B$8000,'Work Calendar'!$A$26)+SUMIFS('Timesheet Raw'!$P$4:$P$8000,'Timesheet Raw'!$L$4:$L$8000,$A270,'Timesheet Raw'!$C$4:$C$8000,L$3,'Timesheet Raw'!$B$4:$B$8000,'Work Calendar'!$A$27)+SUMIFS('Timesheet Raw'!$P$4:$P$8000,'Timesheet Raw'!$L$4:$L$8000,$A270,'Timesheet Raw'!$C$4:$C$8000,L$3,'Timesheet Raw'!$B$4:$B$8000,'Work Calendar'!$A$28)+SUMIFS('Timesheet Raw'!$P$4:$P$8000,'Timesheet Raw'!$L$4:$L$8000,$A270,'Timesheet Raw'!$C$4:$C$8000,L$3,'Timesheet Raw'!$B$4:$B$8000,'Work Calendar'!$A$29))</f>
        <v>0</v>
      </c>
      <c r="O270" s="341">
        <f t="shared" si="18"/>
        <v>0</v>
      </c>
      <c r="P270" s="395">
        <f>IF($A270="","",SUMIFS('Timesheet Raw'!$K$4:$K$8000,'Timesheet Raw'!$L$4:$L$8000,$A270,'Timesheet Raw'!$C$4:$C$8000,L$3))</f>
        <v>0</v>
      </c>
      <c r="Q270" s="345">
        <f>IF($A270="","",SUMIFS('Timesheet Raw'!$P$4:$P$8000,'Timesheet Raw'!$L$4:$L$8000,$A270,'Timesheet Raw'!$C$4:$C$8000,L$3))</f>
        <v>0</v>
      </c>
      <c r="R270" s="375"/>
      <c r="S270" t="str">
        <f>IF($A270="","",IF(R270&lt;&gt;"",R270,IF($A270&gt;'Work Calendar'!$B$17,"No data yet",IF(AND(N270&gt;='Work Calendar'!$B$14,L270+M270+O270&gt;0),"Day off - but worked",IF(N270&gt;='Work Calendar'!$B$14,"Day off",IF(L270+M270+O270&gt;0,IF($C270="Working","Charged","Worked weekend"),IF($C270="Working","Leave (not charged)",$C270)))))))</f>
        <v>No data yet</v>
      </c>
      <c r="T270" s="341">
        <f>IF($A270="","",SUMIFS('Timesheet Raw'!$P$4:$P$8000,'Timesheet Raw'!$L$4:$L$8000,$A270,'Timesheet Raw'!$C$4:$C$8000,T$3,'Timesheet Raw'!$A$4:$A$8000,"1-Projects"))</f>
        <v>0</v>
      </c>
      <c r="U270" s="341">
        <f>IF($A270="","",SUMIFS('Timesheet Raw'!$P$4:$P$8000,'Timesheet Raw'!$L$4:$L$8000,$A270,'Timesheet Raw'!$C$4:$C$8000,T$3,'Timesheet Raw'!$A$4:$A$8000,"2-Proposals Chargeable")+SUMIFS('Timesheet Raw'!$P$4:$P$8000,'Timesheet Raw'!$L$4:$L$8000,$A270,'Timesheet Raw'!$C$4:$C$8000,T$3,'Timesheet Raw'!$A$4:$A$8000,"3-Proposals Regular"))</f>
        <v>0</v>
      </c>
      <c r="V270" s="341">
        <f>IF($A270="","",SUMIFS('Timesheet Raw'!$P$4:$P$8000,'Timesheet Raw'!$L$4:$L$8000,$A270,'Timesheet Raw'!$C$4:$C$8000,T$3,'Timesheet Raw'!$B$4:$B$8000,'Work Calendar'!$A$26)+SUMIFS('Timesheet Raw'!$P$4:$P$8000,'Timesheet Raw'!$L$4:$L$8000,$A270,'Timesheet Raw'!$C$4:$C$8000,T$3,'Timesheet Raw'!$B$4:$B$8000,'Work Calendar'!$A$27)+SUMIFS('Timesheet Raw'!$P$4:$P$8000,'Timesheet Raw'!$L$4:$L$8000,$A270,'Timesheet Raw'!$C$4:$C$8000,T$3,'Timesheet Raw'!$B$4:$B$8000,'Work Calendar'!$A$28)+SUMIFS('Timesheet Raw'!$P$4:$P$8000,'Timesheet Raw'!$L$4:$L$8000,$A270,'Timesheet Raw'!$C$4:$C$8000,T$3,'Timesheet Raw'!$B$4:$B$8000,'Work Calendar'!$A$29))</f>
        <v>0</v>
      </c>
      <c r="W270" s="341">
        <f t="shared" si="19"/>
        <v>0</v>
      </c>
      <c r="X270" s="395">
        <f>IF($A270="","",SUMIFS('Timesheet Raw'!$K$4:$K$8000,'Timesheet Raw'!$L$4:$L$8000,$A270,'Timesheet Raw'!$C$4:$C$8000,T$3))</f>
        <v>0</v>
      </c>
      <c r="Y270" s="345">
        <f>IF($A270="","",SUMIFS('Timesheet Raw'!$P$4:$P$8000,'Timesheet Raw'!$L$4:$L$8000,$A270,'Timesheet Raw'!$C$4:$C$8000,T$3))</f>
        <v>0</v>
      </c>
      <c r="Z270" s="375"/>
      <c r="AA270" t="str">
        <f>IF($A270="","",IF(Z270&lt;&gt;"",Z270,IF($A270&gt;'Work Calendar'!$B$17,"No data yet",IF(AND(V270&gt;='Work Calendar'!$B$14,T270+U270+W270&gt;0),"Day off - but worked",IF(V270&gt;='Work Calendar'!$B$14,"Day off",IF(T270+U270+W270&gt;0,IF($C270="Working","Charged","Worked weekend"),IF($C270="Working","Leave (not charged)",$C270)))))))</f>
        <v>No data yet</v>
      </c>
    </row>
    <row r="271" spans="1:27" x14ac:dyDescent="0.3">
      <c r="A271" s="371">
        <f>IF($A270="","",IF($A270+1&gt;'Work Calendar'!$B$16,"",$A270+1))</f>
        <v>46289</v>
      </c>
      <c r="B271" t="str">
        <f t="shared" si="16"/>
        <v>Thu</v>
      </c>
      <c r="C271" t="str" cm="1">
        <f t="array" ref="C271">IF($A271="","",IF(COUNTIF('Work Calendar'!$E$6:$E$200,$A271)&gt;0,"Holiday",IF(INDEX('Work Calendar'!$C$6:$C$12,WEEKDAY($A271,1))=1,"Working","Weekend")))</f>
        <v>Working</v>
      </c>
      <c r="D271" s="341">
        <f>IF($A271="","",SUMIFS('Timesheet Raw'!$P$4:$P$8000,'Timesheet Raw'!$L$4:$L$8000,$A271,'Timesheet Raw'!$C$4:$C$8000,D$3,'Timesheet Raw'!$A$4:$A$8000,"1-Projects"))</f>
        <v>0</v>
      </c>
      <c r="E271" s="341">
        <f>IF($A271="","",SUMIFS('Timesheet Raw'!$P$4:$P$8000,'Timesheet Raw'!$L$4:$L$8000,$A271,'Timesheet Raw'!$C$4:$C$8000,D$3,'Timesheet Raw'!$A$4:$A$8000,"2-Proposals Chargeable")+SUMIFS('Timesheet Raw'!$P$4:$P$8000,'Timesheet Raw'!$L$4:$L$8000,$A271,'Timesheet Raw'!$C$4:$C$8000,D$3,'Timesheet Raw'!$A$4:$A$8000,"3-Proposals Regular"))</f>
        <v>0</v>
      </c>
      <c r="F271" s="341">
        <f>IF($A271="","",SUMIFS('Timesheet Raw'!$P$4:$P$8000,'Timesheet Raw'!$L$4:$L$8000,$A271,'Timesheet Raw'!$C$4:$C$8000,D$3,'Timesheet Raw'!$B$4:$B$8000,'Work Calendar'!$A$26)+SUMIFS('Timesheet Raw'!$P$4:$P$8000,'Timesheet Raw'!$L$4:$L$8000,$A271,'Timesheet Raw'!$C$4:$C$8000,D$3,'Timesheet Raw'!$B$4:$B$8000,'Work Calendar'!$A$27)+SUMIFS('Timesheet Raw'!$P$4:$P$8000,'Timesheet Raw'!$L$4:$L$8000,$A271,'Timesheet Raw'!$C$4:$C$8000,D$3,'Timesheet Raw'!$B$4:$B$8000,'Work Calendar'!$A$28)+SUMIFS('Timesheet Raw'!$P$4:$P$8000,'Timesheet Raw'!$L$4:$L$8000,$A271,'Timesheet Raw'!$C$4:$C$8000,D$3,'Timesheet Raw'!$B$4:$B$8000,'Work Calendar'!$A$29))</f>
        <v>0</v>
      </c>
      <c r="G271" s="341">
        <f t="shared" si="17"/>
        <v>0</v>
      </c>
      <c r="H271" s="395">
        <f>IF($A271="","",SUMIFS('Timesheet Raw'!$K$4:$K$8000,'Timesheet Raw'!$L$4:$L$8000,$A271,'Timesheet Raw'!$C$4:$C$8000,D$3))</f>
        <v>0</v>
      </c>
      <c r="I271" s="345">
        <f>IF($A271="","",SUMIFS('Timesheet Raw'!$P$4:$P$8000,'Timesheet Raw'!$L$4:$L$8000,$A271,'Timesheet Raw'!$C$4:$C$8000,D$3))</f>
        <v>0</v>
      </c>
      <c r="J271" s="375"/>
      <c r="K271" t="str">
        <f>IF($A271="","",IF(J271&lt;&gt;"",J271,IF($A271&gt;'Work Calendar'!$B$17,"No data yet",IF(AND(F271&gt;='Work Calendar'!$B$14,D271+E271+G271&gt;0),"Day off - but worked",IF(F271&gt;='Work Calendar'!$B$14,"Day off",IF(D271+E271+G271&gt;0,IF($C271="Working","Charged","Worked weekend"),IF($C271="Working","Leave (not charged)",$C271)))))))</f>
        <v>No data yet</v>
      </c>
      <c r="L271" s="341">
        <f>IF($A271="","",SUMIFS('Timesheet Raw'!$P$4:$P$8000,'Timesheet Raw'!$L$4:$L$8000,$A271,'Timesheet Raw'!$C$4:$C$8000,L$3,'Timesheet Raw'!$A$4:$A$8000,"1-Projects"))</f>
        <v>0</v>
      </c>
      <c r="M271" s="341">
        <f>IF($A271="","",SUMIFS('Timesheet Raw'!$P$4:$P$8000,'Timesheet Raw'!$L$4:$L$8000,$A271,'Timesheet Raw'!$C$4:$C$8000,L$3,'Timesheet Raw'!$A$4:$A$8000,"2-Proposals Chargeable")+SUMIFS('Timesheet Raw'!$P$4:$P$8000,'Timesheet Raw'!$L$4:$L$8000,$A271,'Timesheet Raw'!$C$4:$C$8000,L$3,'Timesheet Raw'!$A$4:$A$8000,"3-Proposals Regular"))</f>
        <v>0</v>
      </c>
      <c r="N271" s="341">
        <f>IF($A271="","",SUMIFS('Timesheet Raw'!$P$4:$P$8000,'Timesheet Raw'!$L$4:$L$8000,$A271,'Timesheet Raw'!$C$4:$C$8000,L$3,'Timesheet Raw'!$B$4:$B$8000,'Work Calendar'!$A$26)+SUMIFS('Timesheet Raw'!$P$4:$P$8000,'Timesheet Raw'!$L$4:$L$8000,$A271,'Timesheet Raw'!$C$4:$C$8000,L$3,'Timesheet Raw'!$B$4:$B$8000,'Work Calendar'!$A$27)+SUMIFS('Timesheet Raw'!$P$4:$P$8000,'Timesheet Raw'!$L$4:$L$8000,$A271,'Timesheet Raw'!$C$4:$C$8000,L$3,'Timesheet Raw'!$B$4:$B$8000,'Work Calendar'!$A$28)+SUMIFS('Timesheet Raw'!$P$4:$P$8000,'Timesheet Raw'!$L$4:$L$8000,$A271,'Timesheet Raw'!$C$4:$C$8000,L$3,'Timesheet Raw'!$B$4:$B$8000,'Work Calendar'!$A$29))</f>
        <v>0</v>
      </c>
      <c r="O271" s="341">
        <f t="shared" si="18"/>
        <v>0</v>
      </c>
      <c r="P271" s="395">
        <f>IF($A271="","",SUMIFS('Timesheet Raw'!$K$4:$K$8000,'Timesheet Raw'!$L$4:$L$8000,$A271,'Timesheet Raw'!$C$4:$C$8000,L$3))</f>
        <v>0</v>
      </c>
      <c r="Q271" s="345">
        <f>IF($A271="","",SUMIFS('Timesheet Raw'!$P$4:$P$8000,'Timesheet Raw'!$L$4:$L$8000,$A271,'Timesheet Raw'!$C$4:$C$8000,L$3))</f>
        <v>0</v>
      </c>
      <c r="R271" s="375"/>
      <c r="S271" t="str">
        <f>IF($A271="","",IF(R271&lt;&gt;"",R271,IF($A271&gt;'Work Calendar'!$B$17,"No data yet",IF(AND(N271&gt;='Work Calendar'!$B$14,L271+M271+O271&gt;0),"Day off - but worked",IF(N271&gt;='Work Calendar'!$B$14,"Day off",IF(L271+M271+O271&gt;0,IF($C271="Working","Charged","Worked weekend"),IF($C271="Working","Leave (not charged)",$C271)))))))</f>
        <v>No data yet</v>
      </c>
      <c r="T271" s="341">
        <f>IF($A271="","",SUMIFS('Timesheet Raw'!$P$4:$P$8000,'Timesheet Raw'!$L$4:$L$8000,$A271,'Timesheet Raw'!$C$4:$C$8000,T$3,'Timesheet Raw'!$A$4:$A$8000,"1-Projects"))</f>
        <v>0</v>
      </c>
      <c r="U271" s="341">
        <f>IF($A271="","",SUMIFS('Timesheet Raw'!$P$4:$P$8000,'Timesheet Raw'!$L$4:$L$8000,$A271,'Timesheet Raw'!$C$4:$C$8000,T$3,'Timesheet Raw'!$A$4:$A$8000,"2-Proposals Chargeable")+SUMIFS('Timesheet Raw'!$P$4:$P$8000,'Timesheet Raw'!$L$4:$L$8000,$A271,'Timesheet Raw'!$C$4:$C$8000,T$3,'Timesheet Raw'!$A$4:$A$8000,"3-Proposals Regular"))</f>
        <v>0</v>
      </c>
      <c r="V271" s="341">
        <f>IF($A271="","",SUMIFS('Timesheet Raw'!$P$4:$P$8000,'Timesheet Raw'!$L$4:$L$8000,$A271,'Timesheet Raw'!$C$4:$C$8000,T$3,'Timesheet Raw'!$B$4:$B$8000,'Work Calendar'!$A$26)+SUMIFS('Timesheet Raw'!$P$4:$P$8000,'Timesheet Raw'!$L$4:$L$8000,$A271,'Timesheet Raw'!$C$4:$C$8000,T$3,'Timesheet Raw'!$B$4:$B$8000,'Work Calendar'!$A$27)+SUMIFS('Timesheet Raw'!$P$4:$P$8000,'Timesheet Raw'!$L$4:$L$8000,$A271,'Timesheet Raw'!$C$4:$C$8000,T$3,'Timesheet Raw'!$B$4:$B$8000,'Work Calendar'!$A$28)+SUMIFS('Timesheet Raw'!$P$4:$P$8000,'Timesheet Raw'!$L$4:$L$8000,$A271,'Timesheet Raw'!$C$4:$C$8000,T$3,'Timesheet Raw'!$B$4:$B$8000,'Work Calendar'!$A$29))</f>
        <v>0</v>
      </c>
      <c r="W271" s="341">
        <f t="shared" si="19"/>
        <v>0</v>
      </c>
      <c r="X271" s="395">
        <f>IF($A271="","",SUMIFS('Timesheet Raw'!$K$4:$K$8000,'Timesheet Raw'!$L$4:$L$8000,$A271,'Timesheet Raw'!$C$4:$C$8000,T$3))</f>
        <v>0</v>
      </c>
      <c r="Y271" s="345">
        <f>IF($A271="","",SUMIFS('Timesheet Raw'!$P$4:$P$8000,'Timesheet Raw'!$L$4:$L$8000,$A271,'Timesheet Raw'!$C$4:$C$8000,T$3))</f>
        <v>0</v>
      </c>
      <c r="Z271" s="375"/>
      <c r="AA271" t="str">
        <f>IF($A271="","",IF(Z271&lt;&gt;"",Z271,IF($A271&gt;'Work Calendar'!$B$17,"No data yet",IF(AND(V271&gt;='Work Calendar'!$B$14,T271+U271+W271&gt;0),"Day off - but worked",IF(V271&gt;='Work Calendar'!$B$14,"Day off",IF(T271+U271+W271&gt;0,IF($C271="Working","Charged","Worked weekend"),IF($C271="Working","Leave (not charged)",$C271)))))))</f>
        <v>No data yet</v>
      </c>
    </row>
    <row r="272" spans="1:27" x14ac:dyDescent="0.3">
      <c r="A272" s="371">
        <f>IF($A271="","",IF($A271+1&gt;'Work Calendar'!$B$16,"",$A271+1))</f>
        <v>46290</v>
      </c>
      <c r="B272" t="str">
        <f t="shared" si="16"/>
        <v>Fri</v>
      </c>
      <c r="C272" t="str" cm="1">
        <f t="array" ref="C272">IF($A272="","",IF(COUNTIF('Work Calendar'!$E$6:$E$200,$A272)&gt;0,"Holiday",IF(INDEX('Work Calendar'!$C$6:$C$12,WEEKDAY($A272,1))=1,"Working","Weekend")))</f>
        <v>Weekend</v>
      </c>
      <c r="D272" s="341">
        <f>IF($A272="","",SUMIFS('Timesheet Raw'!$P$4:$P$8000,'Timesheet Raw'!$L$4:$L$8000,$A272,'Timesheet Raw'!$C$4:$C$8000,D$3,'Timesheet Raw'!$A$4:$A$8000,"1-Projects"))</f>
        <v>0</v>
      </c>
      <c r="E272" s="341">
        <f>IF($A272="","",SUMIFS('Timesheet Raw'!$P$4:$P$8000,'Timesheet Raw'!$L$4:$L$8000,$A272,'Timesheet Raw'!$C$4:$C$8000,D$3,'Timesheet Raw'!$A$4:$A$8000,"2-Proposals Chargeable")+SUMIFS('Timesheet Raw'!$P$4:$P$8000,'Timesheet Raw'!$L$4:$L$8000,$A272,'Timesheet Raw'!$C$4:$C$8000,D$3,'Timesheet Raw'!$A$4:$A$8000,"3-Proposals Regular"))</f>
        <v>0</v>
      </c>
      <c r="F272" s="341">
        <f>IF($A272="","",SUMIFS('Timesheet Raw'!$P$4:$P$8000,'Timesheet Raw'!$L$4:$L$8000,$A272,'Timesheet Raw'!$C$4:$C$8000,D$3,'Timesheet Raw'!$B$4:$B$8000,'Work Calendar'!$A$26)+SUMIFS('Timesheet Raw'!$P$4:$P$8000,'Timesheet Raw'!$L$4:$L$8000,$A272,'Timesheet Raw'!$C$4:$C$8000,D$3,'Timesheet Raw'!$B$4:$B$8000,'Work Calendar'!$A$27)+SUMIFS('Timesheet Raw'!$P$4:$P$8000,'Timesheet Raw'!$L$4:$L$8000,$A272,'Timesheet Raw'!$C$4:$C$8000,D$3,'Timesheet Raw'!$B$4:$B$8000,'Work Calendar'!$A$28)+SUMIFS('Timesheet Raw'!$P$4:$P$8000,'Timesheet Raw'!$L$4:$L$8000,$A272,'Timesheet Raw'!$C$4:$C$8000,D$3,'Timesheet Raw'!$B$4:$B$8000,'Work Calendar'!$A$29))</f>
        <v>0</v>
      </c>
      <c r="G272" s="341">
        <f t="shared" si="17"/>
        <v>0</v>
      </c>
      <c r="H272" s="395">
        <f>IF($A272="","",SUMIFS('Timesheet Raw'!$K$4:$K$8000,'Timesheet Raw'!$L$4:$L$8000,$A272,'Timesheet Raw'!$C$4:$C$8000,D$3))</f>
        <v>0</v>
      </c>
      <c r="I272" s="345">
        <f>IF($A272="","",SUMIFS('Timesheet Raw'!$P$4:$P$8000,'Timesheet Raw'!$L$4:$L$8000,$A272,'Timesheet Raw'!$C$4:$C$8000,D$3))</f>
        <v>0</v>
      </c>
      <c r="J272" s="375"/>
      <c r="K272" t="str">
        <f>IF($A272="","",IF(J272&lt;&gt;"",J272,IF($A272&gt;'Work Calendar'!$B$17,"No data yet",IF(AND(F272&gt;='Work Calendar'!$B$14,D272+E272+G272&gt;0),"Day off - but worked",IF(F272&gt;='Work Calendar'!$B$14,"Day off",IF(D272+E272+G272&gt;0,IF($C272="Working","Charged","Worked weekend"),IF($C272="Working","Leave (not charged)",$C272)))))))</f>
        <v>No data yet</v>
      </c>
      <c r="L272" s="341">
        <f>IF($A272="","",SUMIFS('Timesheet Raw'!$P$4:$P$8000,'Timesheet Raw'!$L$4:$L$8000,$A272,'Timesheet Raw'!$C$4:$C$8000,L$3,'Timesheet Raw'!$A$4:$A$8000,"1-Projects"))</f>
        <v>0</v>
      </c>
      <c r="M272" s="341">
        <f>IF($A272="","",SUMIFS('Timesheet Raw'!$P$4:$P$8000,'Timesheet Raw'!$L$4:$L$8000,$A272,'Timesheet Raw'!$C$4:$C$8000,L$3,'Timesheet Raw'!$A$4:$A$8000,"2-Proposals Chargeable")+SUMIFS('Timesheet Raw'!$P$4:$P$8000,'Timesheet Raw'!$L$4:$L$8000,$A272,'Timesheet Raw'!$C$4:$C$8000,L$3,'Timesheet Raw'!$A$4:$A$8000,"3-Proposals Regular"))</f>
        <v>0</v>
      </c>
      <c r="N272" s="341">
        <f>IF($A272="","",SUMIFS('Timesheet Raw'!$P$4:$P$8000,'Timesheet Raw'!$L$4:$L$8000,$A272,'Timesheet Raw'!$C$4:$C$8000,L$3,'Timesheet Raw'!$B$4:$B$8000,'Work Calendar'!$A$26)+SUMIFS('Timesheet Raw'!$P$4:$P$8000,'Timesheet Raw'!$L$4:$L$8000,$A272,'Timesheet Raw'!$C$4:$C$8000,L$3,'Timesheet Raw'!$B$4:$B$8000,'Work Calendar'!$A$27)+SUMIFS('Timesheet Raw'!$P$4:$P$8000,'Timesheet Raw'!$L$4:$L$8000,$A272,'Timesheet Raw'!$C$4:$C$8000,L$3,'Timesheet Raw'!$B$4:$B$8000,'Work Calendar'!$A$28)+SUMIFS('Timesheet Raw'!$P$4:$P$8000,'Timesheet Raw'!$L$4:$L$8000,$A272,'Timesheet Raw'!$C$4:$C$8000,L$3,'Timesheet Raw'!$B$4:$B$8000,'Work Calendar'!$A$29))</f>
        <v>0</v>
      </c>
      <c r="O272" s="341">
        <f t="shared" si="18"/>
        <v>0</v>
      </c>
      <c r="P272" s="395">
        <f>IF($A272="","",SUMIFS('Timesheet Raw'!$K$4:$K$8000,'Timesheet Raw'!$L$4:$L$8000,$A272,'Timesheet Raw'!$C$4:$C$8000,L$3))</f>
        <v>0</v>
      </c>
      <c r="Q272" s="345">
        <f>IF($A272="","",SUMIFS('Timesheet Raw'!$P$4:$P$8000,'Timesheet Raw'!$L$4:$L$8000,$A272,'Timesheet Raw'!$C$4:$C$8000,L$3))</f>
        <v>0</v>
      </c>
      <c r="R272" s="375"/>
      <c r="S272" t="str">
        <f>IF($A272="","",IF(R272&lt;&gt;"",R272,IF($A272&gt;'Work Calendar'!$B$17,"No data yet",IF(AND(N272&gt;='Work Calendar'!$B$14,L272+M272+O272&gt;0),"Day off - but worked",IF(N272&gt;='Work Calendar'!$B$14,"Day off",IF(L272+M272+O272&gt;0,IF($C272="Working","Charged","Worked weekend"),IF($C272="Working","Leave (not charged)",$C272)))))))</f>
        <v>No data yet</v>
      </c>
      <c r="T272" s="341">
        <f>IF($A272="","",SUMIFS('Timesheet Raw'!$P$4:$P$8000,'Timesheet Raw'!$L$4:$L$8000,$A272,'Timesheet Raw'!$C$4:$C$8000,T$3,'Timesheet Raw'!$A$4:$A$8000,"1-Projects"))</f>
        <v>0</v>
      </c>
      <c r="U272" s="341">
        <f>IF($A272="","",SUMIFS('Timesheet Raw'!$P$4:$P$8000,'Timesheet Raw'!$L$4:$L$8000,$A272,'Timesheet Raw'!$C$4:$C$8000,T$3,'Timesheet Raw'!$A$4:$A$8000,"2-Proposals Chargeable")+SUMIFS('Timesheet Raw'!$P$4:$P$8000,'Timesheet Raw'!$L$4:$L$8000,$A272,'Timesheet Raw'!$C$4:$C$8000,T$3,'Timesheet Raw'!$A$4:$A$8000,"3-Proposals Regular"))</f>
        <v>0</v>
      </c>
      <c r="V272" s="341">
        <f>IF($A272="","",SUMIFS('Timesheet Raw'!$P$4:$P$8000,'Timesheet Raw'!$L$4:$L$8000,$A272,'Timesheet Raw'!$C$4:$C$8000,T$3,'Timesheet Raw'!$B$4:$B$8000,'Work Calendar'!$A$26)+SUMIFS('Timesheet Raw'!$P$4:$P$8000,'Timesheet Raw'!$L$4:$L$8000,$A272,'Timesheet Raw'!$C$4:$C$8000,T$3,'Timesheet Raw'!$B$4:$B$8000,'Work Calendar'!$A$27)+SUMIFS('Timesheet Raw'!$P$4:$P$8000,'Timesheet Raw'!$L$4:$L$8000,$A272,'Timesheet Raw'!$C$4:$C$8000,T$3,'Timesheet Raw'!$B$4:$B$8000,'Work Calendar'!$A$28)+SUMIFS('Timesheet Raw'!$P$4:$P$8000,'Timesheet Raw'!$L$4:$L$8000,$A272,'Timesheet Raw'!$C$4:$C$8000,T$3,'Timesheet Raw'!$B$4:$B$8000,'Work Calendar'!$A$29))</f>
        <v>0</v>
      </c>
      <c r="W272" s="341">
        <f t="shared" si="19"/>
        <v>0</v>
      </c>
      <c r="X272" s="395">
        <f>IF($A272="","",SUMIFS('Timesheet Raw'!$K$4:$K$8000,'Timesheet Raw'!$L$4:$L$8000,$A272,'Timesheet Raw'!$C$4:$C$8000,T$3))</f>
        <v>0</v>
      </c>
      <c r="Y272" s="345">
        <f>IF($A272="","",SUMIFS('Timesheet Raw'!$P$4:$P$8000,'Timesheet Raw'!$L$4:$L$8000,$A272,'Timesheet Raw'!$C$4:$C$8000,T$3))</f>
        <v>0</v>
      </c>
      <c r="Z272" s="375"/>
      <c r="AA272" t="str">
        <f>IF($A272="","",IF(Z272&lt;&gt;"",Z272,IF($A272&gt;'Work Calendar'!$B$17,"No data yet",IF(AND(V272&gt;='Work Calendar'!$B$14,T272+U272+W272&gt;0),"Day off - but worked",IF(V272&gt;='Work Calendar'!$B$14,"Day off",IF(T272+U272+W272&gt;0,IF($C272="Working","Charged","Worked weekend"),IF($C272="Working","Leave (not charged)",$C272)))))))</f>
        <v>No data yet</v>
      </c>
    </row>
    <row r="273" spans="1:27" x14ac:dyDescent="0.3">
      <c r="A273" s="371">
        <f>IF($A272="","",IF($A272+1&gt;'Work Calendar'!$B$16,"",$A272+1))</f>
        <v>46291</v>
      </c>
      <c r="B273" t="str">
        <f t="shared" si="16"/>
        <v>Sat</v>
      </c>
      <c r="C273" t="str" cm="1">
        <f t="array" ref="C273">IF($A273="","",IF(COUNTIF('Work Calendar'!$E$6:$E$200,$A273)&gt;0,"Holiday",IF(INDEX('Work Calendar'!$C$6:$C$12,WEEKDAY($A273,1))=1,"Working","Weekend")))</f>
        <v>Weekend</v>
      </c>
      <c r="D273" s="341">
        <f>IF($A273="","",SUMIFS('Timesheet Raw'!$P$4:$P$8000,'Timesheet Raw'!$L$4:$L$8000,$A273,'Timesheet Raw'!$C$4:$C$8000,D$3,'Timesheet Raw'!$A$4:$A$8000,"1-Projects"))</f>
        <v>0</v>
      </c>
      <c r="E273" s="341">
        <f>IF($A273="","",SUMIFS('Timesheet Raw'!$P$4:$P$8000,'Timesheet Raw'!$L$4:$L$8000,$A273,'Timesheet Raw'!$C$4:$C$8000,D$3,'Timesheet Raw'!$A$4:$A$8000,"2-Proposals Chargeable")+SUMIFS('Timesheet Raw'!$P$4:$P$8000,'Timesheet Raw'!$L$4:$L$8000,$A273,'Timesheet Raw'!$C$4:$C$8000,D$3,'Timesheet Raw'!$A$4:$A$8000,"3-Proposals Regular"))</f>
        <v>0</v>
      </c>
      <c r="F273" s="341">
        <f>IF($A273="","",SUMIFS('Timesheet Raw'!$P$4:$P$8000,'Timesheet Raw'!$L$4:$L$8000,$A273,'Timesheet Raw'!$C$4:$C$8000,D$3,'Timesheet Raw'!$B$4:$B$8000,'Work Calendar'!$A$26)+SUMIFS('Timesheet Raw'!$P$4:$P$8000,'Timesheet Raw'!$L$4:$L$8000,$A273,'Timesheet Raw'!$C$4:$C$8000,D$3,'Timesheet Raw'!$B$4:$B$8000,'Work Calendar'!$A$27)+SUMIFS('Timesheet Raw'!$P$4:$P$8000,'Timesheet Raw'!$L$4:$L$8000,$A273,'Timesheet Raw'!$C$4:$C$8000,D$3,'Timesheet Raw'!$B$4:$B$8000,'Work Calendar'!$A$28)+SUMIFS('Timesheet Raw'!$P$4:$P$8000,'Timesheet Raw'!$L$4:$L$8000,$A273,'Timesheet Raw'!$C$4:$C$8000,D$3,'Timesheet Raw'!$B$4:$B$8000,'Work Calendar'!$A$29))</f>
        <v>0</v>
      </c>
      <c r="G273" s="341">
        <f t="shared" si="17"/>
        <v>0</v>
      </c>
      <c r="H273" s="395">
        <f>IF($A273="","",SUMIFS('Timesheet Raw'!$K$4:$K$8000,'Timesheet Raw'!$L$4:$L$8000,$A273,'Timesheet Raw'!$C$4:$C$8000,D$3))</f>
        <v>0</v>
      </c>
      <c r="I273" s="345">
        <f>IF($A273="","",SUMIFS('Timesheet Raw'!$P$4:$P$8000,'Timesheet Raw'!$L$4:$L$8000,$A273,'Timesheet Raw'!$C$4:$C$8000,D$3))</f>
        <v>0</v>
      </c>
      <c r="J273" s="375"/>
      <c r="K273" t="str">
        <f>IF($A273="","",IF(J273&lt;&gt;"",J273,IF($A273&gt;'Work Calendar'!$B$17,"No data yet",IF(AND(F273&gt;='Work Calendar'!$B$14,D273+E273+G273&gt;0),"Day off - but worked",IF(F273&gt;='Work Calendar'!$B$14,"Day off",IF(D273+E273+G273&gt;0,IF($C273="Working","Charged","Worked weekend"),IF($C273="Working","Leave (not charged)",$C273)))))))</f>
        <v>No data yet</v>
      </c>
      <c r="L273" s="341">
        <f>IF($A273="","",SUMIFS('Timesheet Raw'!$P$4:$P$8000,'Timesheet Raw'!$L$4:$L$8000,$A273,'Timesheet Raw'!$C$4:$C$8000,L$3,'Timesheet Raw'!$A$4:$A$8000,"1-Projects"))</f>
        <v>0</v>
      </c>
      <c r="M273" s="341">
        <f>IF($A273="","",SUMIFS('Timesheet Raw'!$P$4:$P$8000,'Timesheet Raw'!$L$4:$L$8000,$A273,'Timesheet Raw'!$C$4:$C$8000,L$3,'Timesheet Raw'!$A$4:$A$8000,"2-Proposals Chargeable")+SUMIFS('Timesheet Raw'!$P$4:$P$8000,'Timesheet Raw'!$L$4:$L$8000,$A273,'Timesheet Raw'!$C$4:$C$8000,L$3,'Timesheet Raw'!$A$4:$A$8000,"3-Proposals Regular"))</f>
        <v>0</v>
      </c>
      <c r="N273" s="341">
        <f>IF($A273="","",SUMIFS('Timesheet Raw'!$P$4:$P$8000,'Timesheet Raw'!$L$4:$L$8000,$A273,'Timesheet Raw'!$C$4:$C$8000,L$3,'Timesheet Raw'!$B$4:$B$8000,'Work Calendar'!$A$26)+SUMIFS('Timesheet Raw'!$P$4:$P$8000,'Timesheet Raw'!$L$4:$L$8000,$A273,'Timesheet Raw'!$C$4:$C$8000,L$3,'Timesheet Raw'!$B$4:$B$8000,'Work Calendar'!$A$27)+SUMIFS('Timesheet Raw'!$P$4:$P$8000,'Timesheet Raw'!$L$4:$L$8000,$A273,'Timesheet Raw'!$C$4:$C$8000,L$3,'Timesheet Raw'!$B$4:$B$8000,'Work Calendar'!$A$28)+SUMIFS('Timesheet Raw'!$P$4:$P$8000,'Timesheet Raw'!$L$4:$L$8000,$A273,'Timesheet Raw'!$C$4:$C$8000,L$3,'Timesheet Raw'!$B$4:$B$8000,'Work Calendar'!$A$29))</f>
        <v>0</v>
      </c>
      <c r="O273" s="341">
        <f t="shared" si="18"/>
        <v>0</v>
      </c>
      <c r="P273" s="395">
        <f>IF($A273="","",SUMIFS('Timesheet Raw'!$K$4:$K$8000,'Timesheet Raw'!$L$4:$L$8000,$A273,'Timesheet Raw'!$C$4:$C$8000,L$3))</f>
        <v>0</v>
      </c>
      <c r="Q273" s="345">
        <f>IF($A273="","",SUMIFS('Timesheet Raw'!$P$4:$P$8000,'Timesheet Raw'!$L$4:$L$8000,$A273,'Timesheet Raw'!$C$4:$C$8000,L$3))</f>
        <v>0</v>
      </c>
      <c r="R273" s="375"/>
      <c r="S273" t="str">
        <f>IF($A273="","",IF(R273&lt;&gt;"",R273,IF($A273&gt;'Work Calendar'!$B$17,"No data yet",IF(AND(N273&gt;='Work Calendar'!$B$14,L273+M273+O273&gt;0),"Day off - but worked",IF(N273&gt;='Work Calendar'!$B$14,"Day off",IF(L273+M273+O273&gt;0,IF($C273="Working","Charged","Worked weekend"),IF($C273="Working","Leave (not charged)",$C273)))))))</f>
        <v>No data yet</v>
      </c>
      <c r="T273" s="341">
        <f>IF($A273="","",SUMIFS('Timesheet Raw'!$P$4:$P$8000,'Timesheet Raw'!$L$4:$L$8000,$A273,'Timesheet Raw'!$C$4:$C$8000,T$3,'Timesheet Raw'!$A$4:$A$8000,"1-Projects"))</f>
        <v>0</v>
      </c>
      <c r="U273" s="341">
        <f>IF($A273="","",SUMIFS('Timesheet Raw'!$P$4:$P$8000,'Timesheet Raw'!$L$4:$L$8000,$A273,'Timesheet Raw'!$C$4:$C$8000,T$3,'Timesheet Raw'!$A$4:$A$8000,"2-Proposals Chargeable")+SUMIFS('Timesheet Raw'!$P$4:$P$8000,'Timesheet Raw'!$L$4:$L$8000,$A273,'Timesheet Raw'!$C$4:$C$8000,T$3,'Timesheet Raw'!$A$4:$A$8000,"3-Proposals Regular"))</f>
        <v>0</v>
      </c>
      <c r="V273" s="341">
        <f>IF($A273="","",SUMIFS('Timesheet Raw'!$P$4:$P$8000,'Timesheet Raw'!$L$4:$L$8000,$A273,'Timesheet Raw'!$C$4:$C$8000,T$3,'Timesheet Raw'!$B$4:$B$8000,'Work Calendar'!$A$26)+SUMIFS('Timesheet Raw'!$P$4:$P$8000,'Timesheet Raw'!$L$4:$L$8000,$A273,'Timesheet Raw'!$C$4:$C$8000,T$3,'Timesheet Raw'!$B$4:$B$8000,'Work Calendar'!$A$27)+SUMIFS('Timesheet Raw'!$P$4:$P$8000,'Timesheet Raw'!$L$4:$L$8000,$A273,'Timesheet Raw'!$C$4:$C$8000,T$3,'Timesheet Raw'!$B$4:$B$8000,'Work Calendar'!$A$28)+SUMIFS('Timesheet Raw'!$P$4:$P$8000,'Timesheet Raw'!$L$4:$L$8000,$A273,'Timesheet Raw'!$C$4:$C$8000,T$3,'Timesheet Raw'!$B$4:$B$8000,'Work Calendar'!$A$29))</f>
        <v>0</v>
      </c>
      <c r="W273" s="341">
        <f t="shared" si="19"/>
        <v>0</v>
      </c>
      <c r="X273" s="395">
        <f>IF($A273="","",SUMIFS('Timesheet Raw'!$K$4:$K$8000,'Timesheet Raw'!$L$4:$L$8000,$A273,'Timesheet Raw'!$C$4:$C$8000,T$3))</f>
        <v>0</v>
      </c>
      <c r="Y273" s="345">
        <f>IF($A273="","",SUMIFS('Timesheet Raw'!$P$4:$P$8000,'Timesheet Raw'!$L$4:$L$8000,$A273,'Timesheet Raw'!$C$4:$C$8000,T$3))</f>
        <v>0</v>
      </c>
      <c r="Z273" s="375"/>
      <c r="AA273" t="str">
        <f>IF($A273="","",IF(Z273&lt;&gt;"",Z273,IF($A273&gt;'Work Calendar'!$B$17,"No data yet",IF(AND(V273&gt;='Work Calendar'!$B$14,T273+U273+W273&gt;0),"Day off - but worked",IF(V273&gt;='Work Calendar'!$B$14,"Day off",IF(T273+U273+W273&gt;0,IF($C273="Working","Charged","Worked weekend"),IF($C273="Working","Leave (not charged)",$C273)))))))</f>
        <v>No data yet</v>
      </c>
    </row>
    <row r="274" spans="1:27" x14ac:dyDescent="0.3">
      <c r="A274" s="371">
        <f>IF($A273="","",IF($A273+1&gt;'Work Calendar'!$B$16,"",$A273+1))</f>
        <v>46292</v>
      </c>
      <c r="B274" t="str">
        <f t="shared" si="16"/>
        <v>Sun</v>
      </c>
      <c r="C274" t="str" cm="1">
        <f t="array" ref="C274">IF($A274="","",IF(COUNTIF('Work Calendar'!$E$6:$E$200,$A274)&gt;0,"Holiday",IF(INDEX('Work Calendar'!$C$6:$C$12,WEEKDAY($A274,1))=1,"Working","Weekend")))</f>
        <v>Working</v>
      </c>
      <c r="D274" s="341">
        <f>IF($A274="","",SUMIFS('Timesheet Raw'!$P$4:$P$8000,'Timesheet Raw'!$L$4:$L$8000,$A274,'Timesheet Raw'!$C$4:$C$8000,D$3,'Timesheet Raw'!$A$4:$A$8000,"1-Projects"))</f>
        <v>0</v>
      </c>
      <c r="E274" s="341">
        <f>IF($A274="","",SUMIFS('Timesheet Raw'!$P$4:$P$8000,'Timesheet Raw'!$L$4:$L$8000,$A274,'Timesheet Raw'!$C$4:$C$8000,D$3,'Timesheet Raw'!$A$4:$A$8000,"2-Proposals Chargeable")+SUMIFS('Timesheet Raw'!$P$4:$P$8000,'Timesheet Raw'!$L$4:$L$8000,$A274,'Timesheet Raw'!$C$4:$C$8000,D$3,'Timesheet Raw'!$A$4:$A$8000,"3-Proposals Regular"))</f>
        <v>0</v>
      </c>
      <c r="F274" s="341">
        <f>IF($A274="","",SUMIFS('Timesheet Raw'!$P$4:$P$8000,'Timesheet Raw'!$L$4:$L$8000,$A274,'Timesheet Raw'!$C$4:$C$8000,D$3,'Timesheet Raw'!$B$4:$B$8000,'Work Calendar'!$A$26)+SUMIFS('Timesheet Raw'!$P$4:$P$8000,'Timesheet Raw'!$L$4:$L$8000,$A274,'Timesheet Raw'!$C$4:$C$8000,D$3,'Timesheet Raw'!$B$4:$B$8000,'Work Calendar'!$A$27)+SUMIFS('Timesheet Raw'!$P$4:$P$8000,'Timesheet Raw'!$L$4:$L$8000,$A274,'Timesheet Raw'!$C$4:$C$8000,D$3,'Timesheet Raw'!$B$4:$B$8000,'Work Calendar'!$A$28)+SUMIFS('Timesheet Raw'!$P$4:$P$8000,'Timesheet Raw'!$L$4:$L$8000,$A274,'Timesheet Raw'!$C$4:$C$8000,D$3,'Timesheet Raw'!$B$4:$B$8000,'Work Calendar'!$A$29))</f>
        <v>0</v>
      </c>
      <c r="G274" s="341">
        <f t="shared" si="17"/>
        <v>0</v>
      </c>
      <c r="H274" s="395">
        <f>IF($A274="","",SUMIFS('Timesheet Raw'!$K$4:$K$8000,'Timesheet Raw'!$L$4:$L$8000,$A274,'Timesheet Raw'!$C$4:$C$8000,D$3))</f>
        <v>0</v>
      </c>
      <c r="I274" s="345">
        <f>IF($A274="","",SUMIFS('Timesheet Raw'!$P$4:$P$8000,'Timesheet Raw'!$L$4:$L$8000,$A274,'Timesheet Raw'!$C$4:$C$8000,D$3))</f>
        <v>0</v>
      </c>
      <c r="J274" s="375"/>
      <c r="K274" t="str">
        <f>IF($A274="","",IF(J274&lt;&gt;"",J274,IF($A274&gt;'Work Calendar'!$B$17,"No data yet",IF(AND(F274&gt;='Work Calendar'!$B$14,D274+E274+G274&gt;0),"Day off - but worked",IF(F274&gt;='Work Calendar'!$B$14,"Day off",IF(D274+E274+G274&gt;0,IF($C274="Working","Charged","Worked weekend"),IF($C274="Working","Leave (not charged)",$C274)))))))</f>
        <v>No data yet</v>
      </c>
      <c r="L274" s="341">
        <f>IF($A274="","",SUMIFS('Timesheet Raw'!$P$4:$P$8000,'Timesheet Raw'!$L$4:$L$8000,$A274,'Timesheet Raw'!$C$4:$C$8000,L$3,'Timesheet Raw'!$A$4:$A$8000,"1-Projects"))</f>
        <v>0</v>
      </c>
      <c r="M274" s="341">
        <f>IF($A274="","",SUMIFS('Timesheet Raw'!$P$4:$P$8000,'Timesheet Raw'!$L$4:$L$8000,$A274,'Timesheet Raw'!$C$4:$C$8000,L$3,'Timesheet Raw'!$A$4:$A$8000,"2-Proposals Chargeable")+SUMIFS('Timesheet Raw'!$P$4:$P$8000,'Timesheet Raw'!$L$4:$L$8000,$A274,'Timesheet Raw'!$C$4:$C$8000,L$3,'Timesheet Raw'!$A$4:$A$8000,"3-Proposals Regular"))</f>
        <v>0</v>
      </c>
      <c r="N274" s="341">
        <f>IF($A274="","",SUMIFS('Timesheet Raw'!$P$4:$P$8000,'Timesheet Raw'!$L$4:$L$8000,$A274,'Timesheet Raw'!$C$4:$C$8000,L$3,'Timesheet Raw'!$B$4:$B$8000,'Work Calendar'!$A$26)+SUMIFS('Timesheet Raw'!$P$4:$P$8000,'Timesheet Raw'!$L$4:$L$8000,$A274,'Timesheet Raw'!$C$4:$C$8000,L$3,'Timesheet Raw'!$B$4:$B$8000,'Work Calendar'!$A$27)+SUMIFS('Timesheet Raw'!$P$4:$P$8000,'Timesheet Raw'!$L$4:$L$8000,$A274,'Timesheet Raw'!$C$4:$C$8000,L$3,'Timesheet Raw'!$B$4:$B$8000,'Work Calendar'!$A$28)+SUMIFS('Timesheet Raw'!$P$4:$P$8000,'Timesheet Raw'!$L$4:$L$8000,$A274,'Timesheet Raw'!$C$4:$C$8000,L$3,'Timesheet Raw'!$B$4:$B$8000,'Work Calendar'!$A$29))</f>
        <v>0</v>
      </c>
      <c r="O274" s="341">
        <f t="shared" si="18"/>
        <v>0</v>
      </c>
      <c r="P274" s="395">
        <f>IF($A274="","",SUMIFS('Timesheet Raw'!$K$4:$K$8000,'Timesheet Raw'!$L$4:$L$8000,$A274,'Timesheet Raw'!$C$4:$C$8000,L$3))</f>
        <v>0</v>
      </c>
      <c r="Q274" s="345">
        <f>IF($A274="","",SUMIFS('Timesheet Raw'!$P$4:$P$8000,'Timesheet Raw'!$L$4:$L$8000,$A274,'Timesheet Raw'!$C$4:$C$8000,L$3))</f>
        <v>0</v>
      </c>
      <c r="R274" s="375"/>
      <c r="S274" t="str">
        <f>IF($A274="","",IF(R274&lt;&gt;"",R274,IF($A274&gt;'Work Calendar'!$B$17,"No data yet",IF(AND(N274&gt;='Work Calendar'!$B$14,L274+M274+O274&gt;0),"Day off - but worked",IF(N274&gt;='Work Calendar'!$B$14,"Day off",IF(L274+M274+O274&gt;0,IF($C274="Working","Charged","Worked weekend"),IF($C274="Working","Leave (not charged)",$C274)))))))</f>
        <v>No data yet</v>
      </c>
      <c r="T274" s="341">
        <f>IF($A274="","",SUMIFS('Timesheet Raw'!$P$4:$P$8000,'Timesheet Raw'!$L$4:$L$8000,$A274,'Timesheet Raw'!$C$4:$C$8000,T$3,'Timesheet Raw'!$A$4:$A$8000,"1-Projects"))</f>
        <v>0</v>
      </c>
      <c r="U274" s="341">
        <f>IF($A274="","",SUMIFS('Timesheet Raw'!$P$4:$P$8000,'Timesheet Raw'!$L$4:$L$8000,$A274,'Timesheet Raw'!$C$4:$C$8000,T$3,'Timesheet Raw'!$A$4:$A$8000,"2-Proposals Chargeable")+SUMIFS('Timesheet Raw'!$P$4:$P$8000,'Timesheet Raw'!$L$4:$L$8000,$A274,'Timesheet Raw'!$C$4:$C$8000,T$3,'Timesheet Raw'!$A$4:$A$8000,"3-Proposals Regular"))</f>
        <v>0</v>
      </c>
      <c r="V274" s="341">
        <f>IF($A274="","",SUMIFS('Timesheet Raw'!$P$4:$P$8000,'Timesheet Raw'!$L$4:$L$8000,$A274,'Timesheet Raw'!$C$4:$C$8000,T$3,'Timesheet Raw'!$B$4:$B$8000,'Work Calendar'!$A$26)+SUMIFS('Timesheet Raw'!$P$4:$P$8000,'Timesheet Raw'!$L$4:$L$8000,$A274,'Timesheet Raw'!$C$4:$C$8000,T$3,'Timesheet Raw'!$B$4:$B$8000,'Work Calendar'!$A$27)+SUMIFS('Timesheet Raw'!$P$4:$P$8000,'Timesheet Raw'!$L$4:$L$8000,$A274,'Timesheet Raw'!$C$4:$C$8000,T$3,'Timesheet Raw'!$B$4:$B$8000,'Work Calendar'!$A$28)+SUMIFS('Timesheet Raw'!$P$4:$P$8000,'Timesheet Raw'!$L$4:$L$8000,$A274,'Timesheet Raw'!$C$4:$C$8000,T$3,'Timesheet Raw'!$B$4:$B$8000,'Work Calendar'!$A$29))</f>
        <v>0</v>
      </c>
      <c r="W274" s="341">
        <f t="shared" si="19"/>
        <v>0</v>
      </c>
      <c r="X274" s="395">
        <f>IF($A274="","",SUMIFS('Timesheet Raw'!$K$4:$K$8000,'Timesheet Raw'!$L$4:$L$8000,$A274,'Timesheet Raw'!$C$4:$C$8000,T$3))</f>
        <v>0</v>
      </c>
      <c r="Y274" s="345">
        <f>IF($A274="","",SUMIFS('Timesheet Raw'!$P$4:$P$8000,'Timesheet Raw'!$L$4:$L$8000,$A274,'Timesheet Raw'!$C$4:$C$8000,T$3))</f>
        <v>0</v>
      </c>
      <c r="Z274" s="375"/>
      <c r="AA274" t="str">
        <f>IF($A274="","",IF(Z274&lt;&gt;"",Z274,IF($A274&gt;'Work Calendar'!$B$17,"No data yet",IF(AND(V274&gt;='Work Calendar'!$B$14,T274+U274+W274&gt;0),"Day off - but worked",IF(V274&gt;='Work Calendar'!$B$14,"Day off",IF(T274+U274+W274&gt;0,IF($C274="Working","Charged","Worked weekend"),IF($C274="Working","Leave (not charged)",$C274)))))))</f>
        <v>No data yet</v>
      </c>
    </row>
    <row r="275" spans="1:27" x14ac:dyDescent="0.3">
      <c r="A275" s="371">
        <f>IF($A274="","",IF($A274+1&gt;'Work Calendar'!$B$16,"",$A274+1))</f>
        <v>46293</v>
      </c>
      <c r="B275" t="str">
        <f t="shared" si="16"/>
        <v>Mon</v>
      </c>
      <c r="C275" t="str" cm="1">
        <f t="array" ref="C275">IF($A275="","",IF(COUNTIF('Work Calendar'!$E$6:$E$200,$A275)&gt;0,"Holiday",IF(INDEX('Work Calendar'!$C$6:$C$12,WEEKDAY($A275,1))=1,"Working","Weekend")))</f>
        <v>Working</v>
      </c>
      <c r="D275" s="341">
        <f>IF($A275="","",SUMIFS('Timesheet Raw'!$P$4:$P$8000,'Timesheet Raw'!$L$4:$L$8000,$A275,'Timesheet Raw'!$C$4:$C$8000,D$3,'Timesheet Raw'!$A$4:$A$8000,"1-Projects"))</f>
        <v>0</v>
      </c>
      <c r="E275" s="341">
        <f>IF($A275="","",SUMIFS('Timesheet Raw'!$P$4:$P$8000,'Timesheet Raw'!$L$4:$L$8000,$A275,'Timesheet Raw'!$C$4:$C$8000,D$3,'Timesheet Raw'!$A$4:$A$8000,"2-Proposals Chargeable")+SUMIFS('Timesheet Raw'!$P$4:$P$8000,'Timesheet Raw'!$L$4:$L$8000,$A275,'Timesheet Raw'!$C$4:$C$8000,D$3,'Timesheet Raw'!$A$4:$A$8000,"3-Proposals Regular"))</f>
        <v>0</v>
      </c>
      <c r="F275" s="341">
        <f>IF($A275="","",SUMIFS('Timesheet Raw'!$P$4:$P$8000,'Timesheet Raw'!$L$4:$L$8000,$A275,'Timesheet Raw'!$C$4:$C$8000,D$3,'Timesheet Raw'!$B$4:$B$8000,'Work Calendar'!$A$26)+SUMIFS('Timesheet Raw'!$P$4:$P$8000,'Timesheet Raw'!$L$4:$L$8000,$A275,'Timesheet Raw'!$C$4:$C$8000,D$3,'Timesheet Raw'!$B$4:$B$8000,'Work Calendar'!$A$27)+SUMIFS('Timesheet Raw'!$P$4:$P$8000,'Timesheet Raw'!$L$4:$L$8000,$A275,'Timesheet Raw'!$C$4:$C$8000,D$3,'Timesheet Raw'!$B$4:$B$8000,'Work Calendar'!$A$28)+SUMIFS('Timesheet Raw'!$P$4:$P$8000,'Timesheet Raw'!$L$4:$L$8000,$A275,'Timesheet Raw'!$C$4:$C$8000,D$3,'Timesheet Raw'!$B$4:$B$8000,'Work Calendar'!$A$29))</f>
        <v>0</v>
      </c>
      <c r="G275" s="341">
        <f t="shared" si="17"/>
        <v>0</v>
      </c>
      <c r="H275" s="395">
        <f>IF($A275="","",SUMIFS('Timesheet Raw'!$K$4:$K$8000,'Timesheet Raw'!$L$4:$L$8000,$A275,'Timesheet Raw'!$C$4:$C$8000,D$3))</f>
        <v>0</v>
      </c>
      <c r="I275" s="345">
        <f>IF($A275="","",SUMIFS('Timesheet Raw'!$P$4:$P$8000,'Timesheet Raw'!$L$4:$L$8000,$A275,'Timesheet Raw'!$C$4:$C$8000,D$3))</f>
        <v>0</v>
      </c>
      <c r="J275" s="375"/>
      <c r="K275" t="str">
        <f>IF($A275="","",IF(J275&lt;&gt;"",J275,IF($A275&gt;'Work Calendar'!$B$17,"No data yet",IF(AND(F275&gt;='Work Calendar'!$B$14,D275+E275+G275&gt;0),"Day off - but worked",IF(F275&gt;='Work Calendar'!$B$14,"Day off",IF(D275+E275+G275&gt;0,IF($C275="Working","Charged","Worked weekend"),IF($C275="Working","Leave (not charged)",$C275)))))))</f>
        <v>No data yet</v>
      </c>
      <c r="L275" s="341">
        <f>IF($A275="","",SUMIFS('Timesheet Raw'!$P$4:$P$8000,'Timesheet Raw'!$L$4:$L$8000,$A275,'Timesheet Raw'!$C$4:$C$8000,L$3,'Timesheet Raw'!$A$4:$A$8000,"1-Projects"))</f>
        <v>0</v>
      </c>
      <c r="M275" s="341">
        <f>IF($A275="","",SUMIFS('Timesheet Raw'!$P$4:$P$8000,'Timesheet Raw'!$L$4:$L$8000,$A275,'Timesheet Raw'!$C$4:$C$8000,L$3,'Timesheet Raw'!$A$4:$A$8000,"2-Proposals Chargeable")+SUMIFS('Timesheet Raw'!$P$4:$P$8000,'Timesheet Raw'!$L$4:$L$8000,$A275,'Timesheet Raw'!$C$4:$C$8000,L$3,'Timesheet Raw'!$A$4:$A$8000,"3-Proposals Regular"))</f>
        <v>0</v>
      </c>
      <c r="N275" s="341">
        <f>IF($A275="","",SUMIFS('Timesheet Raw'!$P$4:$P$8000,'Timesheet Raw'!$L$4:$L$8000,$A275,'Timesheet Raw'!$C$4:$C$8000,L$3,'Timesheet Raw'!$B$4:$B$8000,'Work Calendar'!$A$26)+SUMIFS('Timesheet Raw'!$P$4:$P$8000,'Timesheet Raw'!$L$4:$L$8000,$A275,'Timesheet Raw'!$C$4:$C$8000,L$3,'Timesheet Raw'!$B$4:$B$8000,'Work Calendar'!$A$27)+SUMIFS('Timesheet Raw'!$P$4:$P$8000,'Timesheet Raw'!$L$4:$L$8000,$A275,'Timesheet Raw'!$C$4:$C$8000,L$3,'Timesheet Raw'!$B$4:$B$8000,'Work Calendar'!$A$28)+SUMIFS('Timesheet Raw'!$P$4:$P$8000,'Timesheet Raw'!$L$4:$L$8000,$A275,'Timesheet Raw'!$C$4:$C$8000,L$3,'Timesheet Raw'!$B$4:$B$8000,'Work Calendar'!$A$29))</f>
        <v>0</v>
      </c>
      <c r="O275" s="341">
        <f t="shared" si="18"/>
        <v>0</v>
      </c>
      <c r="P275" s="395">
        <f>IF($A275="","",SUMIFS('Timesheet Raw'!$K$4:$K$8000,'Timesheet Raw'!$L$4:$L$8000,$A275,'Timesheet Raw'!$C$4:$C$8000,L$3))</f>
        <v>0</v>
      </c>
      <c r="Q275" s="345">
        <f>IF($A275="","",SUMIFS('Timesheet Raw'!$P$4:$P$8000,'Timesheet Raw'!$L$4:$L$8000,$A275,'Timesheet Raw'!$C$4:$C$8000,L$3))</f>
        <v>0</v>
      </c>
      <c r="R275" s="375"/>
      <c r="S275" t="str">
        <f>IF($A275="","",IF(R275&lt;&gt;"",R275,IF($A275&gt;'Work Calendar'!$B$17,"No data yet",IF(AND(N275&gt;='Work Calendar'!$B$14,L275+M275+O275&gt;0),"Day off - but worked",IF(N275&gt;='Work Calendar'!$B$14,"Day off",IF(L275+M275+O275&gt;0,IF($C275="Working","Charged","Worked weekend"),IF($C275="Working","Leave (not charged)",$C275)))))))</f>
        <v>No data yet</v>
      </c>
      <c r="T275" s="341">
        <f>IF($A275="","",SUMIFS('Timesheet Raw'!$P$4:$P$8000,'Timesheet Raw'!$L$4:$L$8000,$A275,'Timesheet Raw'!$C$4:$C$8000,T$3,'Timesheet Raw'!$A$4:$A$8000,"1-Projects"))</f>
        <v>0</v>
      </c>
      <c r="U275" s="341">
        <f>IF($A275="","",SUMIFS('Timesheet Raw'!$P$4:$P$8000,'Timesheet Raw'!$L$4:$L$8000,$A275,'Timesheet Raw'!$C$4:$C$8000,T$3,'Timesheet Raw'!$A$4:$A$8000,"2-Proposals Chargeable")+SUMIFS('Timesheet Raw'!$P$4:$P$8000,'Timesheet Raw'!$L$4:$L$8000,$A275,'Timesheet Raw'!$C$4:$C$8000,T$3,'Timesheet Raw'!$A$4:$A$8000,"3-Proposals Regular"))</f>
        <v>0</v>
      </c>
      <c r="V275" s="341">
        <f>IF($A275="","",SUMIFS('Timesheet Raw'!$P$4:$P$8000,'Timesheet Raw'!$L$4:$L$8000,$A275,'Timesheet Raw'!$C$4:$C$8000,T$3,'Timesheet Raw'!$B$4:$B$8000,'Work Calendar'!$A$26)+SUMIFS('Timesheet Raw'!$P$4:$P$8000,'Timesheet Raw'!$L$4:$L$8000,$A275,'Timesheet Raw'!$C$4:$C$8000,T$3,'Timesheet Raw'!$B$4:$B$8000,'Work Calendar'!$A$27)+SUMIFS('Timesheet Raw'!$P$4:$P$8000,'Timesheet Raw'!$L$4:$L$8000,$A275,'Timesheet Raw'!$C$4:$C$8000,T$3,'Timesheet Raw'!$B$4:$B$8000,'Work Calendar'!$A$28)+SUMIFS('Timesheet Raw'!$P$4:$P$8000,'Timesheet Raw'!$L$4:$L$8000,$A275,'Timesheet Raw'!$C$4:$C$8000,T$3,'Timesheet Raw'!$B$4:$B$8000,'Work Calendar'!$A$29))</f>
        <v>0</v>
      </c>
      <c r="W275" s="341">
        <f t="shared" si="19"/>
        <v>0</v>
      </c>
      <c r="X275" s="395">
        <f>IF($A275="","",SUMIFS('Timesheet Raw'!$K$4:$K$8000,'Timesheet Raw'!$L$4:$L$8000,$A275,'Timesheet Raw'!$C$4:$C$8000,T$3))</f>
        <v>0</v>
      </c>
      <c r="Y275" s="345">
        <f>IF($A275="","",SUMIFS('Timesheet Raw'!$P$4:$P$8000,'Timesheet Raw'!$L$4:$L$8000,$A275,'Timesheet Raw'!$C$4:$C$8000,T$3))</f>
        <v>0</v>
      </c>
      <c r="Z275" s="375"/>
      <c r="AA275" t="str">
        <f>IF($A275="","",IF(Z275&lt;&gt;"",Z275,IF($A275&gt;'Work Calendar'!$B$17,"No data yet",IF(AND(V275&gt;='Work Calendar'!$B$14,T275+U275+W275&gt;0),"Day off - but worked",IF(V275&gt;='Work Calendar'!$B$14,"Day off",IF(T275+U275+W275&gt;0,IF($C275="Working","Charged","Worked weekend"),IF($C275="Working","Leave (not charged)",$C275)))))))</f>
        <v>No data yet</v>
      </c>
    </row>
    <row r="276" spans="1:27" x14ac:dyDescent="0.3">
      <c r="A276" s="371">
        <f>IF($A275="","",IF($A275+1&gt;'Work Calendar'!$B$16,"",$A275+1))</f>
        <v>46294</v>
      </c>
      <c r="B276" t="str">
        <f t="shared" si="16"/>
        <v>Tue</v>
      </c>
      <c r="C276" t="str" cm="1">
        <f t="array" ref="C276">IF($A276="","",IF(COUNTIF('Work Calendar'!$E$6:$E$200,$A276)&gt;0,"Holiday",IF(INDEX('Work Calendar'!$C$6:$C$12,WEEKDAY($A276,1))=1,"Working","Weekend")))</f>
        <v>Working</v>
      </c>
      <c r="D276" s="341">
        <f>IF($A276="","",SUMIFS('Timesheet Raw'!$P$4:$P$8000,'Timesheet Raw'!$L$4:$L$8000,$A276,'Timesheet Raw'!$C$4:$C$8000,D$3,'Timesheet Raw'!$A$4:$A$8000,"1-Projects"))</f>
        <v>0</v>
      </c>
      <c r="E276" s="341">
        <f>IF($A276="","",SUMIFS('Timesheet Raw'!$P$4:$P$8000,'Timesheet Raw'!$L$4:$L$8000,$A276,'Timesheet Raw'!$C$4:$C$8000,D$3,'Timesheet Raw'!$A$4:$A$8000,"2-Proposals Chargeable")+SUMIFS('Timesheet Raw'!$P$4:$P$8000,'Timesheet Raw'!$L$4:$L$8000,$A276,'Timesheet Raw'!$C$4:$C$8000,D$3,'Timesheet Raw'!$A$4:$A$8000,"3-Proposals Regular"))</f>
        <v>0</v>
      </c>
      <c r="F276" s="341">
        <f>IF($A276="","",SUMIFS('Timesheet Raw'!$P$4:$P$8000,'Timesheet Raw'!$L$4:$L$8000,$A276,'Timesheet Raw'!$C$4:$C$8000,D$3,'Timesheet Raw'!$B$4:$B$8000,'Work Calendar'!$A$26)+SUMIFS('Timesheet Raw'!$P$4:$P$8000,'Timesheet Raw'!$L$4:$L$8000,$A276,'Timesheet Raw'!$C$4:$C$8000,D$3,'Timesheet Raw'!$B$4:$B$8000,'Work Calendar'!$A$27)+SUMIFS('Timesheet Raw'!$P$4:$P$8000,'Timesheet Raw'!$L$4:$L$8000,$A276,'Timesheet Raw'!$C$4:$C$8000,D$3,'Timesheet Raw'!$B$4:$B$8000,'Work Calendar'!$A$28)+SUMIFS('Timesheet Raw'!$P$4:$P$8000,'Timesheet Raw'!$L$4:$L$8000,$A276,'Timesheet Raw'!$C$4:$C$8000,D$3,'Timesheet Raw'!$B$4:$B$8000,'Work Calendar'!$A$29))</f>
        <v>0</v>
      </c>
      <c r="G276" s="341">
        <f t="shared" si="17"/>
        <v>0</v>
      </c>
      <c r="H276" s="395">
        <f>IF($A276="","",SUMIFS('Timesheet Raw'!$K$4:$K$8000,'Timesheet Raw'!$L$4:$L$8000,$A276,'Timesheet Raw'!$C$4:$C$8000,D$3))</f>
        <v>0</v>
      </c>
      <c r="I276" s="345">
        <f>IF($A276="","",SUMIFS('Timesheet Raw'!$P$4:$P$8000,'Timesheet Raw'!$L$4:$L$8000,$A276,'Timesheet Raw'!$C$4:$C$8000,D$3))</f>
        <v>0</v>
      </c>
      <c r="J276" s="375"/>
      <c r="K276" t="str">
        <f>IF($A276="","",IF(J276&lt;&gt;"",J276,IF($A276&gt;'Work Calendar'!$B$17,"No data yet",IF(AND(F276&gt;='Work Calendar'!$B$14,D276+E276+G276&gt;0),"Day off - but worked",IF(F276&gt;='Work Calendar'!$B$14,"Day off",IF(D276+E276+G276&gt;0,IF($C276="Working","Charged","Worked weekend"),IF($C276="Working","Leave (not charged)",$C276)))))))</f>
        <v>No data yet</v>
      </c>
      <c r="L276" s="341">
        <f>IF($A276="","",SUMIFS('Timesheet Raw'!$P$4:$P$8000,'Timesheet Raw'!$L$4:$L$8000,$A276,'Timesheet Raw'!$C$4:$C$8000,L$3,'Timesheet Raw'!$A$4:$A$8000,"1-Projects"))</f>
        <v>0</v>
      </c>
      <c r="M276" s="341">
        <f>IF($A276="","",SUMIFS('Timesheet Raw'!$P$4:$P$8000,'Timesheet Raw'!$L$4:$L$8000,$A276,'Timesheet Raw'!$C$4:$C$8000,L$3,'Timesheet Raw'!$A$4:$A$8000,"2-Proposals Chargeable")+SUMIFS('Timesheet Raw'!$P$4:$P$8000,'Timesheet Raw'!$L$4:$L$8000,$A276,'Timesheet Raw'!$C$4:$C$8000,L$3,'Timesheet Raw'!$A$4:$A$8000,"3-Proposals Regular"))</f>
        <v>0</v>
      </c>
      <c r="N276" s="341">
        <f>IF($A276="","",SUMIFS('Timesheet Raw'!$P$4:$P$8000,'Timesheet Raw'!$L$4:$L$8000,$A276,'Timesheet Raw'!$C$4:$C$8000,L$3,'Timesheet Raw'!$B$4:$B$8000,'Work Calendar'!$A$26)+SUMIFS('Timesheet Raw'!$P$4:$P$8000,'Timesheet Raw'!$L$4:$L$8000,$A276,'Timesheet Raw'!$C$4:$C$8000,L$3,'Timesheet Raw'!$B$4:$B$8000,'Work Calendar'!$A$27)+SUMIFS('Timesheet Raw'!$P$4:$P$8000,'Timesheet Raw'!$L$4:$L$8000,$A276,'Timesheet Raw'!$C$4:$C$8000,L$3,'Timesheet Raw'!$B$4:$B$8000,'Work Calendar'!$A$28)+SUMIFS('Timesheet Raw'!$P$4:$P$8000,'Timesheet Raw'!$L$4:$L$8000,$A276,'Timesheet Raw'!$C$4:$C$8000,L$3,'Timesheet Raw'!$B$4:$B$8000,'Work Calendar'!$A$29))</f>
        <v>0</v>
      </c>
      <c r="O276" s="341">
        <f t="shared" si="18"/>
        <v>0</v>
      </c>
      <c r="P276" s="395">
        <f>IF($A276="","",SUMIFS('Timesheet Raw'!$K$4:$K$8000,'Timesheet Raw'!$L$4:$L$8000,$A276,'Timesheet Raw'!$C$4:$C$8000,L$3))</f>
        <v>0</v>
      </c>
      <c r="Q276" s="345">
        <f>IF($A276="","",SUMIFS('Timesheet Raw'!$P$4:$P$8000,'Timesheet Raw'!$L$4:$L$8000,$A276,'Timesheet Raw'!$C$4:$C$8000,L$3))</f>
        <v>0</v>
      </c>
      <c r="R276" s="375"/>
      <c r="S276" t="str">
        <f>IF($A276="","",IF(R276&lt;&gt;"",R276,IF($A276&gt;'Work Calendar'!$B$17,"No data yet",IF(AND(N276&gt;='Work Calendar'!$B$14,L276+M276+O276&gt;0),"Day off - but worked",IF(N276&gt;='Work Calendar'!$B$14,"Day off",IF(L276+M276+O276&gt;0,IF($C276="Working","Charged","Worked weekend"),IF($C276="Working","Leave (not charged)",$C276)))))))</f>
        <v>No data yet</v>
      </c>
      <c r="T276" s="341">
        <f>IF($A276="","",SUMIFS('Timesheet Raw'!$P$4:$P$8000,'Timesheet Raw'!$L$4:$L$8000,$A276,'Timesheet Raw'!$C$4:$C$8000,T$3,'Timesheet Raw'!$A$4:$A$8000,"1-Projects"))</f>
        <v>0</v>
      </c>
      <c r="U276" s="341">
        <f>IF($A276="","",SUMIFS('Timesheet Raw'!$P$4:$P$8000,'Timesheet Raw'!$L$4:$L$8000,$A276,'Timesheet Raw'!$C$4:$C$8000,T$3,'Timesheet Raw'!$A$4:$A$8000,"2-Proposals Chargeable")+SUMIFS('Timesheet Raw'!$P$4:$P$8000,'Timesheet Raw'!$L$4:$L$8000,$A276,'Timesheet Raw'!$C$4:$C$8000,T$3,'Timesheet Raw'!$A$4:$A$8000,"3-Proposals Regular"))</f>
        <v>0</v>
      </c>
      <c r="V276" s="341">
        <f>IF($A276="","",SUMIFS('Timesheet Raw'!$P$4:$P$8000,'Timesheet Raw'!$L$4:$L$8000,$A276,'Timesheet Raw'!$C$4:$C$8000,T$3,'Timesheet Raw'!$B$4:$B$8000,'Work Calendar'!$A$26)+SUMIFS('Timesheet Raw'!$P$4:$P$8000,'Timesheet Raw'!$L$4:$L$8000,$A276,'Timesheet Raw'!$C$4:$C$8000,T$3,'Timesheet Raw'!$B$4:$B$8000,'Work Calendar'!$A$27)+SUMIFS('Timesheet Raw'!$P$4:$P$8000,'Timesheet Raw'!$L$4:$L$8000,$A276,'Timesheet Raw'!$C$4:$C$8000,T$3,'Timesheet Raw'!$B$4:$B$8000,'Work Calendar'!$A$28)+SUMIFS('Timesheet Raw'!$P$4:$P$8000,'Timesheet Raw'!$L$4:$L$8000,$A276,'Timesheet Raw'!$C$4:$C$8000,T$3,'Timesheet Raw'!$B$4:$B$8000,'Work Calendar'!$A$29))</f>
        <v>0</v>
      </c>
      <c r="W276" s="341">
        <f t="shared" si="19"/>
        <v>0</v>
      </c>
      <c r="X276" s="395">
        <f>IF($A276="","",SUMIFS('Timesheet Raw'!$K$4:$K$8000,'Timesheet Raw'!$L$4:$L$8000,$A276,'Timesheet Raw'!$C$4:$C$8000,T$3))</f>
        <v>0</v>
      </c>
      <c r="Y276" s="345">
        <f>IF($A276="","",SUMIFS('Timesheet Raw'!$P$4:$P$8000,'Timesheet Raw'!$L$4:$L$8000,$A276,'Timesheet Raw'!$C$4:$C$8000,T$3))</f>
        <v>0</v>
      </c>
      <c r="Z276" s="375"/>
      <c r="AA276" t="str">
        <f>IF($A276="","",IF(Z276&lt;&gt;"",Z276,IF($A276&gt;'Work Calendar'!$B$17,"No data yet",IF(AND(V276&gt;='Work Calendar'!$B$14,T276+U276+W276&gt;0),"Day off - but worked",IF(V276&gt;='Work Calendar'!$B$14,"Day off",IF(T276+U276+W276&gt;0,IF($C276="Working","Charged","Worked weekend"),IF($C276="Working","Leave (not charged)",$C276)))))))</f>
        <v>No data yet</v>
      </c>
    </row>
    <row r="277" spans="1:27" x14ac:dyDescent="0.3">
      <c r="A277" s="371">
        <f>IF($A276="","",IF($A276+1&gt;'Work Calendar'!$B$16,"",$A276+1))</f>
        <v>46295</v>
      </c>
      <c r="B277" t="str">
        <f t="shared" si="16"/>
        <v>Wed</v>
      </c>
      <c r="C277" t="str" cm="1">
        <f t="array" ref="C277">IF($A277="","",IF(COUNTIF('Work Calendar'!$E$6:$E$200,$A277)&gt;0,"Holiday",IF(INDEX('Work Calendar'!$C$6:$C$12,WEEKDAY($A277,1))=1,"Working","Weekend")))</f>
        <v>Working</v>
      </c>
      <c r="D277" s="341">
        <f>IF($A277="","",SUMIFS('Timesheet Raw'!$P$4:$P$8000,'Timesheet Raw'!$L$4:$L$8000,$A277,'Timesheet Raw'!$C$4:$C$8000,D$3,'Timesheet Raw'!$A$4:$A$8000,"1-Projects"))</f>
        <v>0</v>
      </c>
      <c r="E277" s="341">
        <f>IF($A277="","",SUMIFS('Timesheet Raw'!$P$4:$P$8000,'Timesheet Raw'!$L$4:$L$8000,$A277,'Timesheet Raw'!$C$4:$C$8000,D$3,'Timesheet Raw'!$A$4:$A$8000,"2-Proposals Chargeable")+SUMIFS('Timesheet Raw'!$P$4:$P$8000,'Timesheet Raw'!$L$4:$L$8000,$A277,'Timesheet Raw'!$C$4:$C$8000,D$3,'Timesheet Raw'!$A$4:$A$8000,"3-Proposals Regular"))</f>
        <v>0</v>
      </c>
      <c r="F277" s="341">
        <f>IF($A277="","",SUMIFS('Timesheet Raw'!$P$4:$P$8000,'Timesheet Raw'!$L$4:$L$8000,$A277,'Timesheet Raw'!$C$4:$C$8000,D$3,'Timesheet Raw'!$B$4:$B$8000,'Work Calendar'!$A$26)+SUMIFS('Timesheet Raw'!$P$4:$P$8000,'Timesheet Raw'!$L$4:$L$8000,$A277,'Timesheet Raw'!$C$4:$C$8000,D$3,'Timesheet Raw'!$B$4:$B$8000,'Work Calendar'!$A$27)+SUMIFS('Timesheet Raw'!$P$4:$P$8000,'Timesheet Raw'!$L$4:$L$8000,$A277,'Timesheet Raw'!$C$4:$C$8000,D$3,'Timesheet Raw'!$B$4:$B$8000,'Work Calendar'!$A$28)+SUMIFS('Timesheet Raw'!$P$4:$P$8000,'Timesheet Raw'!$L$4:$L$8000,$A277,'Timesheet Raw'!$C$4:$C$8000,D$3,'Timesheet Raw'!$B$4:$B$8000,'Work Calendar'!$A$29))</f>
        <v>0</v>
      </c>
      <c r="G277" s="341">
        <f t="shared" si="17"/>
        <v>0</v>
      </c>
      <c r="H277" s="395">
        <f>IF($A277="","",SUMIFS('Timesheet Raw'!$K$4:$K$8000,'Timesheet Raw'!$L$4:$L$8000,$A277,'Timesheet Raw'!$C$4:$C$8000,D$3))</f>
        <v>0</v>
      </c>
      <c r="I277" s="345">
        <f>IF($A277="","",SUMIFS('Timesheet Raw'!$P$4:$P$8000,'Timesheet Raw'!$L$4:$L$8000,$A277,'Timesheet Raw'!$C$4:$C$8000,D$3))</f>
        <v>0</v>
      </c>
      <c r="J277" s="375"/>
      <c r="K277" t="str">
        <f>IF($A277="","",IF(J277&lt;&gt;"",J277,IF($A277&gt;'Work Calendar'!$B$17,"No data yet",IF(AND(F277&gt;='Work Calendar'!$B$14,D277+E277+G277&gt;0),"Day off - but worked",IF(F277&gt;='Work Calendar'!$B$14,"Day off",IF(D277+E277+G277&gt;0,IF($C277="Working","Charged","Worked weekend"),IF($C277="Working","Leave (not charged)",$C277)))))))</f>
        <v>No data yet</v>
      </c>
      <c r="L277" s="341">
        <f>IF($A277="","",SUMIFS('Timesheet Raw'!$P$4:$P$8000,'Timesheet Raw'!$L$4:$L$8000,$A277,'Timesheet Raw'!$C$4:$C$8000,L$3,'Timesheet Raw'!$A$4:$A$8000,"1-Projects"))</f>
        <v>0</v>
      </c>
      <c r="M277" s="341">
        <f>IF($A277="","",SUMIFS('Timesheet Raw'!$P$4:$P$8000,'Timesheet Raw'!$L$4:$L$8000,$A277,'Timesheet Raw'!$C$4:$C$8000,L$3,'Timesheet Raw'!$A$4:$A$8000,"2-Proposals Chargeable")+SUMIFS('Timesheet Raw'!$P$4:$P$8000,'Timesheet Raw'!$L$4:$L$8000,$A277,'Timesheet Raw'!$C$4:$C$8000,L$3,'Timesheet Raw'!$A$4:$A$8000,"3-Proposals Regular"))</f>
        <v>0</v>
      </c>
      <c r="N277" s="341">
        <f>IF($A277="","",SUMIFS('Timesheet Raw'!$P$4:$P$8000,'Timesheet Raw'!$L$4:$L$8000,$A277,'Timesheet Raw'!$C$4:$C$8000,L$3,'Timesheet Raw'!$B$4:$B$8000,'Work Calendar'!$A$26)+SUMIFS('Timesheet Raw'!$P$4:$P$8000,'Timesheet Raw'!$L$4:$L$8000,$A277,'Timesheet Raw'!$C$4:$C$8000,L$3,'Timesheet Raw'!$B$4:$B$8000,'Work Calendar'!$A$27)+SUMIFS('Timesheet Raw'!$P$4:$P$8000,'Timesheet Raw'!$L$4:$L$8000,$A277,'Timesheet Raw'!$C$4:$C$8000,L$3,'Timesheet Raw'!$B$4:$B$8000,'Work Calendar'!$A$28)+SUMIFS('Timesheet Raw'!$P$4:$P$8000,'Timesheet Raw'!$L$4:$L$8000,$A277,'Timesheet Raw'!$C$4:$C$8000,L$3,'Timesheet Raw'!$B$4:$B$8000,'Work Calendar'!$A$29))</f>
        <v>0</v>
      </c>
      <c r="O277" s="341">
        <f t="shared" si="18"/>
        <v>0</v>
      </c>
      <c r="P277" s="395">
        <f>IF($A277="","",SUMIFS('Timesheet Raw'!$K$4:$K$8000,'Timesheet Raw'!$L$4:$L$8000,$A277,'Timesheet Raw'!$C$4:$C$8000,L$3))</f>
        <v>0</v>
      </c>
      <c r="Q277" s="345">
        <f>IF($A277="","",SUMIFS('Timesheet Raw'!$P$4:$P$8000,'Timesheet Raw'!$L$4:$L$8000,$A277,'Timesheet Raw'!$C$4:$C$8000,L$3))</f>
        <v>0</v>
      </c>
      <c r="R277" s="375"/>
      <c r="S277" t="str">
        <f>IF($A277="","",IF(R277&lt;&gt;"",R277,IF($A277&gt;'Work Calendar'!$B$17,"No data yet",IF(AND(N277&gt;='Work Calendar'!$B$14,L277+M277+O277&gt;0),"Day off - but worked",IF(N277&gt;='Work Calendar'!$B$14,"Day off",IF(L277+M277+O277&gt;0,IF($C277="Working","Charged","Worked weekend"),IF($C277="Working","Leave (not charged)",$C277)))))))</f>
        <v>No data yet</v>
      </c>
      <c r="T277" s="341">
        <f>IF($A277="","",SUMIFS('Timesheet Raw'!$P$4:$P$8000,'Timesheet Raw'!$L$4:$L$8000,$A277,'Timesheet Raw'!$C$4:$C$8000,T$3,'Timesheet Raw'!$A$4:$A$8000,"1-Projects"))</f>
        <v>0</v>
      </c>
      <c r="U277" s="341">
        <f>IF($A277="","",SUMIFS('Timesheet Raw'!$P$4:$P$8000,'Timesheet Raw'!$L$4:$L$8000,$A277,'Timesheet Raw'!$C$4:$C$8000,T$3,'Timesheet Raw'!$A$4:$A$8000,"2-Proposals Chargeable")+SUMIFS('Timesheet Raw'!$P$4:$P$8000,'Timesheet Raw'!$L$4:$L$8000,$A277,'Timesheet Raw'!$C$4:$C$8000,T$3,'Timesheet Raw'!$A$4:$A$8000,"3-Proposals Regular"))</f>
        <v>0</v>
      </c>
      <c r="V277" s="341">
        <f>IF($A277="","",SUMIFS('Timesheet Raw'!$P$4:$P$8000,'Timesheet Raw'!$L$4:$L$8000,$A277,'Timesheet Raw'!$C$4:$C$8000,T$3,'Timesheet Raw'!$B$4:$B$8000,'Work Calendar'!$A$26)+SUMIFS('Timesheet Raw'!$P$4:$P$8000,'Timesheet Raw'!$L$4:$L$8000,$A277,'Timesheet Raw'!$C$4:$C$8000,T$3,'Timesheet Raw'!$B$4:$B$8000,'Work Calendar'!$A$27)+SUMIFS('Timesheet Raw'!$P$4:$P$8000,'Timesheet Raw'!$L$4:$L$8000,$A277,'Timesheet Raw'!$C$4:$C$8000,T$3,'Timesheet Raw'!$B$4:$B$8000,'Work Calendar'!$A$28)+SUMIFS('Timesheet Raw'!$P$4:$P$8000,'Timesheet Raw'!$L$4:$L$8000,$A277,'Timesheet Raw'!$C$4:$C$8000,T$3,'Timesheet Raw'!$B$4:$B$8000,'Work Calendar'!$A$29))</f>
        <v>0</v>
      </c>
      <c r="W277" s="341">
        <f t="shared" si="19"/>
        <v>0</v>
      </c>
      <c r="X277" s="395">
        <f>IF($A277="","",SUMIFS('Timesheet Raw'!$K$4:$K$8000,'Timesheet Raw'!$L$4:$L$8000,$A277,'Timesheet Raw'!$C$4:$C$8000,T$3))</f>
        <v>0</v>
      </c>
      <c r="Y277" s="345">
        <f>IF($A277="","",SUMIFS('Timesheet Raw'!$P$4:$P$8000,'Timesheet Raw'!$L$4:$L$8000,$A277,'Timesheet Raw'!$C$4:$C$8000,T$3))</f>
        <v>0</v>
      </c>
      <c r="Z277" s="375"/>
      <c r="AA277" t="str">
        <f>IF($A277="","",IF(Z277&lt;&gt;"",Z277,IF($A277&gt;'Work Calendar'!$B$17,"No data yet",IF(AND(V277&gt;='Work Calendar'!$B$14,T277+U277+W277&gt;0),"Day off - but worked",IF(V277&gt;='Work Calendar'!$B$14,"Day off",IF(T277+U277+W277&gt;0,IF($C277="Working","Charged","Worked weekend"),IF($C277="Working","Leave (not charged)",$C277)))))))</f>
        <v>No data yet</v>
      </c>
    </row>
    <row r="278" spans="1:27" x14ac:dyDescent="0.3">
      <c r="A278" s="371">
        <f>IF($A277="","",IF($A277+1&gt;'Work Calendar'!$B$16,"",$A277+1))</f>
        <v>46296</v>
      </c>
      <c r="B278" t="str">
        <f t="shared" si="16"/>
        <v>Thu</v>
      </c>
      <c r="C278" t="str" cm="1">
        <f t="array" ref="C278">IF($A278="","",IF(COUNTIF('Work Calendar'!$E$6:$E$200,$A278)&gt;0,"Holiday",IF(INDEX('Work Calendar'!$C$6:$C$12,WEEKDAY($A278,1))=1,"Working","Weekend")))</f>
        <v>Working</v>
      </c>
      <c r="D278" s="341">
        <f>IF($A278="","",SUMIFS('Timesheet Raw'!$P$4:$P$8000,'Timesheet Raw'!$L$4:$L$8000,$A278,'Timesheet Raw'!$C$4:$C$8000,D$3,'Timesheet Raw'!$A$4:$A$8000,"1-Projects"))</f>
        <v>0</v>
      </c>
      <c r="E278" s="341">
        <f>IF($A278="","",SUMIFS('Timesheet Raw'!$P$4:$P$8000,'Timesheet Raw'!$L$4:$L$8000,$A278,'Timesheet Raw'!$C$4:$C$8000,D$3,'Timesheet Raw'!$A$4:$A$8000,"2-Proposals Chargeable")+SUMIFS('Timesheet Raw'!$P$4:$P$8000,'Timesheet Raw'!$L$4:$L$8000,$A278,'Timesheet Raw'!$C$4:$C$8000,D$3,'Timesheet Raw'!$A$4:$A$8000,"3-Proposals Regular"))</f>
        <v>0</v>
      </c>
      <c r="F278" s="341">
        <f>IF($A278="","",SUMIFS('Timesheet Raw'!$P$4:$P$8000,'Timesheet Raw'!$L$4:$L$8000,$A278,'Timesheet Raw'!$C$4:$C$8000,D$3,'Timesheet Raw'!$B$4:$B$8000,'Work Calendar'!$A$26)+SUMIFS('Timesheet Raw'!$P$4:$P$8000,'Timesheet Raw'!$L$4:$L$8000,$A278,'Timesheet Raw'!$C$4:$C$8000,D$3,'Timesheet Raw'!$B$4:$B$8000,'Work Calendar'!$A$27)+SUMIFS('Timesheet Raw'!$P$4:$P$8000,'Timesheet Raw'!$L$4:$L$8000,$A278,'Timesheet Raw'!$C$4:$C$8000,D$3,'Timesheet Raw'!$B$4:$B$8000,'Work Calendar'!$A$28)+SUMIFS('Timesheet Raw'!$P$4:$P$8000,'Timesheet Raw'!$L$4:$L$8000,$A278,'Timesheet Raw'!$C$4:$C$8000,D$3,'Timesheet Raw'!$B$4:$B$8000,'Work Calendar'!$A$29))</f>
        <v>0</v>
      </c>
      <c r="G278" s="341">
        <f t="shared" si="17"/>
        <v>0</v>
      </c>
      <c r="H278" s="395">
        <f>IF($A278="","",SUMIFS('Timesheet Raw'!$K$4:$K$8000,'Timesheet Raw'!$L$4:$L$8000,$A278,'Timesheet Raw'!$C$4:$C$8000,D$3))</f>
        <v>0</v>
      </c>
      <c r="I278" s="345">
        <f>IF($A278="","",SUMIFS('Timesheet Raw'!$P$4:$P$8000,'Timesheet Raw'!$L$4:$L$8000,$A278,'Timesheet Raw'!$C$4:$C$8000,D$3))</f>
        <v>0</v>
      </c>
      <c r="J278" s="375"/>
      <c r="K278" t="str">
        <f>IF($A278="","",IF(J278&lt;&gt;"",J278,IF($A278&gt;'Work Calendar'!$B$17,"No data yet",IF(AND(F278&gt;='Work Calendar'!$B$14,D278+E278+G278&gt;0),"Day off - but worked",IF(F278&gt;='Work Calendar'!$B$14,"Day off",IF(D278+E278+G278&gt;0,IF($C278="Working","Charged","Worked weekend"),IF($C278="Working","Leave (not charged)",$C278)))))))</f>
        <v>No data yet</v>
      </c>
      <c r="L278" s="341">
        <f>IF($A278="","",SUMIFS('Timesheet Raw'!$P$4:$P$8000,'Timesheet Raw'!$L$4:$L$8000,$A278,'Timesheet Raw'!$C$4:$C$8000,L$3,'Timesheet Raw'!$A$4:$A$8000,"1-Projects"))</f>
        <v>0</v>
      </c>
      <c r="M278" s="341">
        <f>IF($A278="","",SUMIFS('Timesheet Raw'!$P$4:$P$8000,'Timesheet Raw'!$L$4:$L$8000,$A278,'Timesheet Raw'!$C$4:$C$8000,L$3,'Timesheet Raw'!$A$4:$A$8000,"2-Proposals Chargeable")+SUMIFS('Timesheet Raw'!$P$4:$P$8000,'Timesheet Raw'!$L$4:$L$8000,$A278,'Timesheet Raw'!$C$4:$C$8000,L$3,'Timesheet Raw'!$A$4:$A$8000,"3-Proposals Regular"))</f>
        <v>0</v>
      </c>
      <c r="N278" s="341">
        <f>IF($A278="","",SUMIFS('Timesheet Raw'!$P$4:$P$8000,'Timesheet Raw'!$L$4:$L$8000,$A278,'Timesheet Raw'!$C$4:$C$8000,L$3,'Timesheet Raw'!$B$4:$B$8000,'Work Calendar'!$A$26)+SUMIFS('Timesheet Raw'!$P$4:$P$8000,'Timesheet Raw'!$L$4:$L$8000,$A278,'Timesheet Raw'!$C$4:$C$8000,L$3,'Timesheet Raw'!$B$4:$B$8000,'Work Calendar'!$A$27)+SUMIFS('Timesheet Raw'!$P$4:$P$8000,'Timesheet Raw'!$L$4:$L$8000,$A278,'Timesheet Raw'!$C$4:$C$8000,L$3,'Timesheet Raw'!$B$4:$B$8000,'Work Calendar'!$A$28)+SUMIFS('Timesheet Raw'!$P$4:$P$8000,'Timesheet Raw'!$L$4:$L$8000,$A278,'Timesheet Raw'!$C$4:$C$8000,L$3,'Timesheet Raw'!$B$4:$B$8000,'Work Calendar'!$A$29))</f>
        <v>0</v>
      </c>
      <c r="O278" s="341">
        <f t="shared" si="18"/>
        <v>0</v>
      </c>
      <c r="P278" s="395">
        <f>IF($A278="","",SUMIFS('Timesheet Raw'!$K$4:$K$8000,'Timesheet Raw'!$L$4:$L$8000,$A278,'Timesheet Raw'!$C$4:$C$8000,L$3))</f>
        <v>0</v>
      </c>
      <c r="Q278" s="345">
        <f>IF($A278="","",SUMIFS('Timesheet Raw'!$P$4:$P$8000,'Timesheet Raw'!$L$4:$L$8000,$A278,'Timesheet Raw'!$C$4:$C$8000,L$3))</f>
        <v>0</v>
      </c>
      <c r="R278" s="375"/>
      <c r="S278" t="str">
        <f>IF($A278="","",IF(R278&lt;&gt;"",R278,IF($A278&gt;'Work Calendar'!$B$17,"No data yet",IF(AND(N278&gt;='Work Calendar'!$B$14,L278+M278+O278&gt;0),"Day off - but worked",IF(N278&gt;='Work Calendar'!$B$14,"Day off",IF(L278+M278+O278&gt;0,IF($C278="Working","Charged","Worked weekend"),IF($C278="Working","Leave (not charged)",$C278)))))))</f>
        <v>No data yet</v>
      </c>
      <c r="T278" s="341">
        <f>IF($A278="","",SUMIFS('Timesheet Raw'!$P$4:$P$8000,'Timesheet Raw'!$L$4:$L$8000,$A278,'Timesheet Raw'!$C$4:$C$8000,T$3,'Timesheet Raw'!$A$4:$A$8000,"1-Projects"))</f>
        <v>0</v>
      </c>
      <c r="U278" s="341">
        <f>IF($A278="","",SUMIFS('Timesheet Raw'!$P$4:$P$8000,'Timesheet Raw'!$L$4:$L$8000,$A278,'Timesheet Raw'!$C$4:$C$8000,T$3,'Timesheet Raw'!$A$4:$A$8000,"2-Proposals Chargeable")+SUMIFS('Timesheet Raw'!$P$4:$P$8000,'Timesheet Raw'!$L$4:$L$8000,$A278,'Timesheet Raw'!$C$4:$C$8000,T$3,'Timesheet Raw'!$A$4:$A$8000,"3-Proposals Regular"))</f>
        <v>0</v>
      </c>
      <c r="V278" s="341">
        <f>IF($A278="","",SUMIFS('Timesheet Raw'!$P$4:$P$8000,'Timesheet Raw'!$L$4:$L$8000,$A278,'Timesheet Raw'!$C$4:$C$8000,T$3,'Timesheet Raw'!$B$4:$B$8000,'Work Calendar'!$A$26)+SUMIFS('Timesheet Raw'!$P$4:$P$8000,'Timesheet Raw'!$L$4:$L$8000,$A278,'Timesheet Raw'!$C$4:$C$8000,T$3,'Timesheet Raw'!$B$4:$B$8000,'Work Calendar'!$A$27)+SUMIFS('Timesheet Raw'!$P$4:$P$8000,'Timesheet Raw'!$L$4:$L$8000,$A278,'Timesheet Raw'!$C$4:$C$8000,T$3,'Timesheet Raw'!$B$4:$B$8000,'Work Calendar'!$A$28)+SUMIFS('Timesheet Raw'!$P$4:$P$8000,'Timesheet Raw'!$L$4:$L$8000,$A278,'Timesheet Raw'!$C$4:$C$8000,T$3,'Timesheet Raw'!$B$4:$B$8000,'Work Calendar'!$A$29))</f>
        <v>0</v>
      </c>
      <c r="W278" s="341">
        <f t="shared" si="19"/>
        <v>0</v>
      </c>
      <c r="X278" s="395">
        <f>IF($A278="","",SUMIFS('Timesheet Raw'!$K$4:$K$8000,'Timesheet Raw'!$L$4:$L$8000,$A278,'Timesheet Raw'!$C$4:$C$8000,T$3))</f>
        <v>0</v>
      </c>
      <c r="Y278" s="345">
        <f>IF($A278="","",SUMIFS('Timesheet Raw'!$P$4:$P$8000,'Timesheet Raw'!$L$4:$L$8000,$A278,'Timesheet Raw'!$C$4:$C$8000,T$3))</f>
        <v>0</v>
      </c>
      <c r="Z278" s="375"/>
      <c r="AA278" t="str">
        <f>IF($A278="","",IF(Z278&lt;&gt;"",Z278,IF($A278&gt;'Work Calendar'!$B$17,"No data yet",IF(AND(V278&gt;='Work Calendar'!$B$14,T278+U278+W278&gt;0),"Day off - but worked",IF(V278&gt;='Work Calendar'!$B$14,"Day off",IF(T278+U278+W278&gt;0,IF($C278="Working","Charged","Worked weekend"),IF($C278="Working","Leave (not charged)",$C278)))))))</f>
        <v>No data yet</v>
      </c>
    </row>
    <row r="279" spans="1:27" x14ac:dyDescent="0.3">
      <c r="A279" s="371">
        <f>IF($A278="","",IF($A278+1&gt;'Work Calendar'!$B$16,"",$A278+1))</f>
        <v>46297</v>
      </c>
      <c r="B279" t="str">
        <f t="shared" si="16"/>
        <v>Fri</v>
      </c>
      <c r="C279" t="str" cm="1">
        <f t="array" ref="C279">IF($A279="","",IF(COUNTIF('Work Calendar'!$E$6:$E$200,$A279)&gt;0,"Holiday",IF(INDEX('Work Calendar'!$C$6:$C$12,WEEKDAY($A279,1))=1,"Working","Weekend")))</f>
        <v>Weekend</v>
      </c>
      <c r="D279" s="341">
        <f>IF($A279="","",SUMIFS('Timesheet Raw'!$P$4:$P$8000,'Timesheet Raw'!$L$4:$L$8000,$A279,'Timesheet Raw'!$C$4:$C$8000,D$3,'Timesheet Raw'!$A$4:$A$8000,"1-Projects"))</f>
        <v>0</v>
      </c>
      <c r="E279" s="341">
        <f>IF($A279="","",SUMIFS('Timesheet Raw'!$P$4:$P$8000,'Timesheet Raw'!$L$4:$L$8000,$A279,'Timesheet Raw'!$C$4:$C$8000,D$3,'Timesheet Raw'!$A$4:$A$8000,"2-Proposals Chargeable")+SUMIFS('Timesheet Raw'!$P$4:$P$8000,'Timesheet Raw'!$L$4:$L$8000,$A279,'Timesheet Raw'!$C$4:$C$8000,D$3,'Timesheet Raw'!$A$4:$A$8000,"3-Proposals Regular"))</f>
        <v>0</v>
      </c>
      <c r="F279" s="341">
        <f>IF($A279="","",SUMIFS('Timesheet Raw'!$P$4:$P$8000,'Timesheet Raw'!$L$4:$L$8000,$A279,'Timesheet Raw'!$C$4:$C$8000,D$3,'Timesheet Raw'!$B$4:$B$8000,'Work Calendar'!$A$26)+SUMIFS('Timesheet Raw'!$P$4:$P$8000,'Timesheet Raw'!$L$4:$L$8000,$A279,'Timesheet Raw'!$C$4:$C$8000,D$3,'Timesheet Raw'!$B$4:$B$8000,'Work Calendar'!$A$27)+SUMIFS('Timesheet Raw'!$P$4:$P$8000,'Timesheet Raw'!$L$4:$L$8000,$A279,'Timesheet Raw'!$C$4:$C$8000,D$3,'Timesheet Raw'!$B$4:$B$8000,'Work Calendar'!$A$28)+SUMIFS('Timesheet Raw'!$P$4:$P$8000,'Timesheet Raw'!$L$4:$L$8000,$A279,'Timesheet Raw'!$C$4:$C$8000,D$3,'Timesheet Raw'!$B$4:$B$8000,'Work Calendar'!$A$29))</f>
        <v>0</v>
      </c>
      <c r="G279" s="341">
        <f t="shared" si="17"/>
        <v>0</v>
      </c>
      <c r="H279" s="395">
        <f>IF($A279="","",SUMIFS('Timesheet Raw'!$K$4:$K$8000,'Timesheet Raw'!$L$4:$L$8000,$A279,'Timesheet Raw'!$C$4:$C$8000,D$3))</f>
        <v>0</v>
      </c>
      <c r="I279" s="345">
        <f>IF($A279="","",SUMIFS('Timesheet Raw'!$P$4:$P$8000,'Timesheet Raw'!$L$4:$L$8000,$A279,'Timesheet Raw'!$C$4:$C$8000,D$3))</f>
        <v>0</v>
      </c>
      <c r="J279" s="375"/>
      <c r="K279" t="str">
        <f>IF($A279="","",IF(J279&lt;&gt;"",J279,IF($A279&gt;'Work Calendar'!$B$17,"No data yet",IF(AND(F279&gt;='Work Calendar'!$B$14,D279+E279+G279&gt;0),"Day off - but worked",IF(F279&gt;='Work Calendar'!$B$14,"Day off",IF(D279+E279+G279&gt;0,IF($C279="Working","Charged","Worked weekend"),IF($C279="Working","Leave (not charged)",$C279)))))))</f>
        <v>No data yet</v>
      </c>
      <c r="L279" s="341">
        <f>IF($A279="","",SUMIFS('Timesheet Raw'!$P$4:$P$8000,'Timesheet Raw'!$L$4:$L$8000,$A279,'Timesheet Raw'!$C$4:$C$8000,L$3,'Timesheet Raw'!$A$4:$A$8000,"1-Projects"))</f>
        <v>0</v>
      </c>
      <c r="M279" s="341">
        <f>IF($A279="","",SUMIFS('Timesheet Raw'!$P$4:$P$8000,'Timesheet Raw'!$L$4:$L$8000,$A279,'Timesheet Raw'!$C$4:$C$8000,L$3,'Timesheet Raw'!$A$4:$A$8000,"2-Proposals Chargeable")+SUMIFS('Timesheet Raw'!$P$4:$P$8000,'Timesheet Raw'!$L$4:$L$8000,$A279,'Timesheet Raw'!$C$4:$C$8000,L$3,'Timesheet Raw'!$A$4:$A$8000,"3-Proposals Regular"))</f>
        <v>0</v>
      </c>
      <c r="N279" s="341">
        <f>IF($A279="","",SUMIFS('Timesheet Raw'!$P$4:$P$8000,'Timesheet Raw'!$L$4:$L$8000,$A279,'Timesheet Raw'!$C$4:$C$8000,L$3,'Timesheet Raw'!$B$4:$B$8000,'Work Calendar'!$A$26)+SUMIFS('Timesheet Raw'!$P$4:$P$8000,'Timesheet Raw'!$L$4:$L$8000,$A279,'Timesheet Raw'!$C$4:$C$8000,L$3,'Timesheet Raw'!$B$4:$B$8000,'Work Calendar'!$A$27)+SUMIFS('Timesheet Raw'!$P$4:$P$8000,'Timesheet Raw'!$L$4:$L$8000,$A279,'Timesheet Raw'!$C$4:$C$8000,L$3,'Timesheet Raw'!$B$4:$B$8000,'Work Calendar'!$A$28)+SUMIFS('Timesheet Raw'!$P$4:$P$8000,'Timesheet Raw'!$L$4:$L$8000,$A279,'Timesheet Raw'!$C$4:$C$8000,L$3,'Timesheet Raw'!$B$4:$B$8000,'Work Calendar'!$A$29))</f>
        <v>0</v>
      </c>
      <c r="O279" s="341">
        <f t="shared" si="18"/>
        <v>0</v>
      </c>
      <c r="P279" s="395">
        <f>IF($A279="","",SUMIFS('Timesheet Raw'!$K$4:$K$8000,'Timesheet Raw'!$L$4:$L$8000,$A279,'Timesheet Raw'!$C$4:$C$8000,L$3))</f>
        <v>0</v>
      </c>
      <c r="Q279" s="345">
        <f>IF($A279="","",SUMIFS('Timesheet Raw'!$P$4:$P$8000,'Timesheet Raw'!$L$4:$L$8000,$A279,'Timesheet Raw'!$C$4:$C$8000,L$3))</f>
        <v>0</v>
      </c>
      <c r="R279" s="375"/>
      <c r="S279" t="str">
        <f>IF($A279="","",IF(R279&lt;&gt;"",R279,IF($A279&gt;'Work Calendar'!$B$17,"No data yet",IF(AND(N279&gt;='Work Calendar'!$B$14,L279+M279+O279&gt;0),"Day off - but worked",IF(N279&gt;='Work Calendar'!$B$14,"Day off",IF(L279+M279+O279&gt;0,IF($C279="Working","Charged","Worked weekend"),IF($C279="Working","Leave (not charged)",$C279)))))))</f>
        <v>No data yet</v>
      </c>
      <c r="T279" s="341">
        <f>IF($A279="","",SUMIFS('Timesheet Raw'!$P$4:$P$8000,'Timesheet Raw'!$L$4:$L$8000,$A279,'Timesheet Raw'!$C$4:$C$8000,T$3,'Timesheet Raw'!$A$4:$A$8000,"1-Projects"))</f>
        <v>0</v>
      </c>
      <c r="U279" s="341">
        <f>IF($A279="","",SUMIFS('Timesheet Raw'!$P$4:$P$8000,'Timesheet Raw'!$L$4:$L$8000,$A279,'Timesheet Raw'!$C$4:$C$8000,T$3,'Timesheet Raw'!$A$4:$A$8000,"2-Proposals Chargeable")+SUMIFS('Timesheet Raw'!$P$4:$P$8000,'Timesheet Raw'!$L$4:$L$8000,$A279,'Timesheet Raw'!$C$4:$C$8000,T$3,'Timesheet Raw'!$A$4:$A$8000,"3-Proposals Regular"))</f>
        <v>0</v>
      </c>
      <c r="V279" s="341">
        <f>IF($A279="","",SUMIFS('Timesheet Raw'!$P$4:$P$8000,'Timesheet Raw'!$L$4:$L$8000,$A279,'Timesheet Raw'!$C$4:$C$8000,T$3,'Timesheet Raw'!$B$4:$B$8000,'Work Calendar'!$A$26)+SUMIFS('Timesheet Raw'!$P$4:$P$8000,'Timesheet Raw'!$L$4:$L$8000,$A279,'Timesheet Raw'!$C$4:$C$8000,T$3,'Timesheet Raw'!$B$4:$B$8000,'Work Calendar'!$A$27)+SUMIFS('Timesheet Raw'!$P$4:$P$8000,'Timesheet Raw'!$L$4:$L$8000,$A279,'Timesheet Raw'!$C$4:$C$8000,T$3,'Timesheet Raw'!$B$4:$B$8000,'Work Calendar'!$A$28)+SUMIFS('Timesheet Raw'!$P$4:$P$8000,'Timesheet Raw'!$L$4:$L$8000,$A279,'Timesheet Raw'!$C$4:$C$8000,T$3,'Timesheet Raw'!$B$4:$B$8000,'Work Calendar'!$A$29))</f>
        <v>0</v>
      </c>
      <c r="W279" s="341">
        <f t="shared" si="19"/>
        <v>0</v>
      </c>
      <c r="X279" s="395">
        <f>IF($A279="","",SUMIFS('Timesheet Raw'!$K$4:$K$8000,'Timesheet Raw'!$L$4:$L$8000,$A279,'Timesheet Raw'!$C$4:$C$8000,T$3))</f>
        <v>0</v>
      </c>
      <c r="Y279" s="345">
        <f>IF($A279="","",SUMIFS('Timesheet Raw'!$P$4:$P$8000,'Timesheet Raw'!$L$4:$L$8000,$A279,'Timesheet Raw'!$C$4:$C$8000,T$3))</f>
        <v>0</v>
      </c>
      <c r="Z279" s="375"/>
      <c r="AA279" t="str">
        <f>IF($A279="","",IF(Z279&lt;&gt;"",Z279,IF($A279&gt;'Work Calendar'!$B$17,"No data yet",IF(AND(V279&gt;='Work Calendar'!$B$14,T279+U279+W279&gt;0),"Day off - but worked",IF(V279&gt;='Work Calendar'!$B$14,"Day off",IF(T279+U279+W279&gt;0,IF($C279="Working","Charged","Worked weekend"),IF($C279="Working","Leave (not charged)",$C279)))))))</f>
        <v>No data yet</v>
      </c>
    </row>
    <row r="280" spans="1:27" x14ac:dyDescent="0.3">
      <c r="A280" s="371">
        <f>IF($A279="","",IF($A279+1&gt;'Work Calendar'!$B$16,"",$A279+1))</f>
        <v>46298</v>
      </c>
      <c r="B280" t="str">
        <f t="shared" si="16"/>
        <v>Sat</v>
      </c>
      <c r="C280" t="str" cm="1">
        <f t="array" ref="C280">IF($A280="","",IF(COUNTIF('Work Calendar'!$E$6:$E$200,$A280)&gt;0,"Holiday",IF(INDEX('Work Calendar'!$C$6:$C$12,WEEKDAY($A280,1))=1,"Working","Weekend")))</f>
        <v>Weekend</v>
      </c>
      <c r="D280" s="341">
        <f>IF($A280="","",SUMIFS('Timesheet Raw'!$P$4:$P$8000,'Timesheet Raw'!$L$4:$L$8000,$A280,'Timesheet Raw'!$C$4:$C$8000,D$3,'Timesheet Raw'!$A$4:$A$8000,"1-Projects"))</f>
        <v>0</v>
      </c>
      <c r="E280" s="341">
        <f>IF($A280="","",SUMIFS('Timesheet Raw'!$P$4:$P$8000,'Timesheet Raw'!$L$4:$L$8000,$A280,'Timesheet Raw'!$C$4:$C$8000,D$3,'Timesheet Raw'!$A$4:$A$8000,"2-Proposals Chargeable")+SUMIFS('Timesheet Raw'!$P$4:$P$8000,'Timesheet Raw'!$L$4:$L$8000,$A280,'Timesheet Raw'!$C$4:$C$8000,D$3,'Timesheet Raw'!$A$4:$A$8000,"3-Proposals Regular"))</f>
        <v>0</v>
      </c>
      <c r="F280" s="341">
        <f>IF($A280="","",SUMIFS('Timesheet Raw'!$P$4:$P$8000,'Timesheet Raw'!$L$4:$L$8000,$A280,'Timesheet Raw'!$C$4:$C$8000,D$3,'Timesheet Raw'!$B$4:$B$8000,'Work Calendar'!$A$26)+SUMIFS('Timesheet Raw'!$P$4:$P$8000,'Timesheet Raw'!$L$4:$L$8000,$A280,'Timesheet Raw'!$C$4:$C$8000,D$3,'Timesheet Raw'!$B$4:$B$8000,'Work Calendar'!$A$27)+SUMIFS('Timesheet Raw'!$P$4:$P$8000,'Timesheet Raw'!$L$4:$L$8000,$A280,'Timesheet Raw'!$C$4:$C$8000,D$3,'Timesheet Raw'!$B$4:$B$8000,'Work Calendar'!$A$28)+SUMIFS('Timesheet Raw'!$P$4:$P$8000,'Timesheet Raw'!$L$4:$L$8000,$A280,'Timesheet Raw'!$C$4:$C$8000,D$3,'Timesheet Raw'!$B$4:$B$8000,'Work Calendar'!$A$29))</f>
        <v>0</v>
      </c>
      <c r="G280" s="341">
        <f t="shared" si="17"/>
        <v>0</v>
      </c>
      <c r="H280" s="395">
        <f>IF($A280="","",SUMIFS('Timesheet Raw'!$K$4:$K$8000,'Timesheet Raw'!$L$4:$L$8000,$A280,'Timesheet Raw'!$C$4:$C$8000,D$3))</f>
        <v>0</v>
      </c>
      <c r="I280" s="345">
        <f>IF($A280="","",SUMIFS('Timesheet Raw'!$P$4:$P$8000,'Timesheet Raw'!$L$4:$L$8000,$A280,'Timesheet Raw'!$C$4:$C$8000,D$3))</f>
        <v>0</v>
      </c>
      <c r="J280" s="375"/>
      <c r="K280" t="str">
        <f>IF($A280="","",IF(J280&lt;&gt;"",J280,IF($A280&gt;'Work Calendar'!$B$17,"No data yet",IF(AND(F280&gt;='Work Calendar'!$B$14,D280+E280+G280&gt;0),"Day off - but worked",IF(F280&gt;='Work Calendar'!$B$14,"Day off",IF(D280+E280+G280&gt;0,IF($C280="Working","Charged","Worked weekend"),IF($C280="Working","Leave (not charged)",$C280)))))))</f>
        <v>No data yet</v>
      </c>
      <c r="L280" s="341">
        <f>IF($A280="","",SUMIFS('Timesheet Raw'!$P$4:$P$8000,'Timesheet Raw'!$L$4:$L$8000,$A280,'Timesheet Raw'!$C$4:$C$8000,L$3,'Timesheet Raw'!$A$4:$A$8000,"1-Projects"))</f>
        <v>0</v>
      </c>
      <c r="M280" s="341">
        <f>IF($A280="","",SUMIFS('Timesheet Raw'!$P$4:$P$8000,'Timesheet Raw'!$L$4:$L$8000,$A280,'Timesheet Raw'!$C$4:$C$8000,L$3,'Timesheet Raw'!$A$4:$A$8000,"2-Proposals Chargeable")+SUMIFS('Timesheet Raw'!$P$4:$P$8000,'Timesheet Raw'!$L$4:$L$8000,$A280,'Timesheet Raw'!$C$4:$C$8000,L$3,'Timesheet Raw'!$A$4:$A$8000,"3-Proposals Regular"))</f>
        <v>0</v>
      </c>
      <c r="N280" s="341">
        <f>IF($A280="","",SUMIFS('Timesheet Raw'!$P$4:$P$8000,'Timesheet Raw'!$L$4:$L$8000,$A280,'Timesheet Raw'!$C$4:$C$8000,L$3,'Timesheet Raw'!$B$4:$B$8000,'Work Calendar'!$A$26)+SUMIFS('Timesheet Raw'!$P$4:$P$8000,'Timesheet Raw'!$L$4:$L$8000,$A280,'Timesheet Raw'!$C$4:$C$8000,L$3,'Timesheet Raw'!$B$4:$B$8000,'Work Calendar'!$A$27)+SUMIFS('Timesheet Raw'!$P$4:$P$8000,'Timesheet Raw'!$L$4:$L$8000,$A280,'Timesheet Raw'!$C$4:$C$8000,L$3,'Timesheet Raw'!$B$4:$B$8000,'Work Calendar'!$A$28)+SUMIFS('Timesheet Raw'!$P$4:$P$8000,'Timesheet Raw'!$L$4:$L$8000,$A280,'Timesheet Raw'!$C$4:$C$8000,L$3,'Timesheet Raw'!$B$4:$B$8000,'Work Calendar'!$A$29))</f>
        <v>0</v>
      </c>
      <c r="O280" s="341">
        <f t="shared" si="18"/>
        <v>0</v>
      </c>
      <c r="P280" s="395">
        <f>IF($A280="","",SUMIFS('Timesheet Raw'!$K$4:$K$8000,'Timesheet Raw'!$L$4:$L$8000,$A280,'Timesheet Raw'!$C$4:$C$8000,L$3))</f>
        <v>0</v>
      </c>
      <c r="Q280" s="345">
        <f>IF($A280="","",SUMIFS('Timesheet Raw'!$P$4:$P$8000,'Timesheet Raw'!$L$4:$L$8000,$A280,'Timesheet Raw'!$C$4:$C$8000,L$3))</f>
        <v>0</v>
      </c>
      <c r="R280" s="375"/>
      <c r="S280" t="str">
        <f>IF($A280="","",IF(R280&lt;&gt;"",R280,IF($A280&gt;'Work Calendar'!$B$17,"No data yet",IF(AND(N280&gt;='Work Calendar'!$B$14,L280+M280+O280&gt;0),"Day off - but worked",IF(N280&gt;='Work Calendar'!$B$14,"Day off",IF(L280+M280+O280&gt;0,IF($C280="Working","Charged","Worked weekend"),IF($C280="Working","Leave (not charged)",$C280)))))))</f>
        <v>No data yet</v>
      </c>
      <c r="T280" s="341">
        <f>IF($A280="","",SUMIFS('Timesheet Raw'!$P$4:$P$8000,'Timesheet Raw'!$L$4:$L$8000,$A280,'Timesheet Raw'!$C$4:$C$8000,T$3,'Timesheet Raw'!$A$4:$A$8000,"1-Projects"))</f>
        <v>0</v>
      </c>
      <c r="U280" s="341">
        <f>IF($A280="","",SUMIFS('Timesheet Raw'!$P$4:$P$8000,'Timesheet Raw'!$L$4:$L$8000,$A280,'Timesheet Raw'!$C$4:$C$8000,T$3,'Timesheet Raw'!$A$4:$A$8000,"2-Proposals Chargeable")+SUMIFS('Timesheet Raw'!$P$4:$P$8000,'Timesheet Raw'!$L$4:$L$8000,$A280,'Timesheet Raw'!$C$4:$C$8000,T$3,'Timesheet Raw'!$A$4:$A$8000,"3-Proposals Regular"))</f>
        <v>0</v>
      </c>
      <c r="V280" s="341">
        <f>IF($A280="","",SUMIFS('Timesheet Raw'!$P$4:$P$8000,'Timesheet Raw'!$L$4:$L$8000,$A280,'Timesheet Raw'!$C$4:$C$8000,T$3,'Timesheet Raw'!$B$4:$B$8000,'Work Calendar'!$A$26)+SUMIFS('Timesheet Raw'!$P$4:$P$8000,'Timesheet Raw'!$L$4:$L$8000,$A280,'Timesheet Raw'!$C$4:$C$8000,T$3,'Timesheet Raw'!$B$4:$B$8000,'Work Calendar'!$A$27)+SUMIFS('Timesheet Raw'!$P$4:$P$8000,'Timesheet Raw'!$L$4:$L$8000,$A280,'Timesheet Raw'!$C$4:$C$8000,T$3,'Timesheet Raw'!$B$4:$B$8000,'Work Calendar'!$A$28)+SUMIFS('Timesheet Raw'!$P$4:$P$8000,'Timesheet Raw'!$L$4:$L$8000,$A280,'Timesheet Raw'!$C$4:$C$8000,T$3,'Timesheet Raw'!$B$4:$B$8000,'Work Calendar'!$A$29))</f>
        <v>0</v>
      </c>
      <c r="W280" s="341">
        <f t="shared" si="19"/>
        <v>0</v>
      </c>
      <c r="X280" s="395">
        <f>IF($A280="","",SUMIFS('Timesheet Raw'!$K$4:$K$8000,'Timesheet Raw'!$L$4:$L$8000,$A280,'Timesheet Raw'!$C$4:$C$8000,T$3))</f>
        <v>0</v>
      </c>
      <c r="Y280" s="345">
        <f>IF($A280="","",SUMIFS('Timesheet Raw'!$P$4:$P$8000,'Timesheet Raw'!$L$4:$L$8000,$A280,'Timesheet Raw'!$C$4:$C$8000,T$3))</f>
        <v>0</v>
      </c>
      <c r="Z280" s="375"/>
      <c r="AA280" t="str">
        <f>IF($A280="","",IF(Z280&lt;&gt;"",Z280,IF($A280&gt;'Work Calendar'!$B$17,"No data yet",IF(AND(V280&gt;='Work Calendar'!$B$14,T280+U280+W280&gt;0),"Day off - but worked",IF(V280&gt;='Work Calendar'!$B$14,"Day off",IF(T280+U280+W280&gt;0,IF($C280="Working","Charged","Worked weekend"),IF($C280="Working","Leave (not charged)",$C280)))))))</f>
        <v>No data yet</v>
      </c>
    </row>
    <row r="281" spans="1:27" x14ac:dyDescent="0.3">
      <c r="A281" s="371">
        <f>IF($A280="","",IF($A280+1&gt;'Work Calendar'!$B$16,"",$A280+1))</f>
        <v>46299</v>
      </c>
      <c r="B281" t="str">
        <f t="shared" si="16"/>
        <v>Sun</v>
      </c>
      <c r="C281" t="str" cm="1">
        <f t="array" ref="C281">IF($A281="","",IF(COUNTIF('Work Calendar'!$E$6:$E$200,$A281)&gt;0,"Holiday",IF(INDEX('Work Calendar'!$C$6:$C$12,WEEKDAY($A281,1))=1,"Working","Weekend")))</f>
        <v>Working</v>
      </c>
      <c r="D281" s="341">
        <f>IF($A281="","",SUMIFS('Timesheet Raw'!$P$4:$P$8000,'Timesheet Raw'!$L$4:$L$8000,$A281,'Timesheet Raw'!$C$4:$C$8000,D$3,'Timesheet Raw'!$A$4:$A$8000,"1-Projects"))</f>
        <v>0</v>
      </c>
      <c r="E281" s="341">
        <f>IF($A281="","",SUMIFS('Timesheet Raw'!$P$4:$P$8000,'Timesheet Raw'!$L$4:$L$8000,$A281,'Timesheet Raw'!$C$4:$C$8000,D$3,'Timesheet Raw'!$A$4:$A$8000,"2-Proposals Chargeable")+SUMIFS('Timesheet Raw'!$P$4:$P$8000,'Timesheet Raw'!$L$4:$L$8000,$A281,'Timesheet Raw'!$C$4:$C$8000,D$3,'Timesheet Raw'!$A$4:$A$8000,"3-Proposals Regular"))</f>
        <v>0</v>
      </c>
      <c r="F281" s="341">
        <f>IF($A281="","",SUMIFS('Timesheet Raw'!$P$4:$P$8000,'Timesheet Raw'!$L$4:$L$8000,$A281,'Timesheet Raw'!$C$4:$C$8000,D$3,'Timesheet Raw'!$B$4:$B$8000,'Work Calendar'!$A$26)+SUMIFS('Timesheet Raw'!$P$4:$P$8000,'Timesheet Raw'!$L$4:$L$8000,$A281,'Timesheet Raw'!$C$4:$C$8000,D$3,'Timesheet Raw'!$B$4:$B$8000,'Work Calendar'!$A$27)+SUMIFS('Timesheet Raw'!$P$4:$P$8000,'Timesheet Raw'!$L$4:$L$8000,$A281,'Timesheet Raw'!$C$4:$C$8000,D$3,'Timesheet Raw'!$B$4:$B$8000,'Work Calendar'!$A$28)+SUMIFS('Timesheet Raw'!$P$4:$P$8000,'Timesheet Raw'!$L$4:$L$8000,$A281,'Timesheet Raw'!$C$4:$C$8000,D$3,'Timesheet Raw'!$B$4:$B$8000,'Work Calendar'!$A$29))</f>
        <v>0</v>
      </c>
      <c r="G281" s="341">
        <f t="shared" si="17"/>
        <v>0</v>
      </c>
      <c r="H281" s="395">
        <f>IF($A281="","",SUMIFS('Timesheet Raw'!$K$4:$K$8000,'Timesheet Raw'!$L$4:$L$8000,$A281,'Timesheet Raw'!$C$4:$C$8000,D$3))</f>
        <v>0</v>
      </c>
      <c r="I281" s="345">
        <f>IF($A281="","",SUMIFS('Timesheet Raw'!$P$4:$P$8000,'Timesheet Raw'!$L$4:$L$8000,$A281,'Timesheet Raw'!$C$4:$C$8000,D$3))</f>
        <v>0</v>
      </c>
      <c r="J281" s="375"/>
      <c r="K281" t="str">
        <f>IF($A281="","",IF(J281&lt;&gt;"",J281,IF($A281&gt;'Work Calendar'!$B$17,"No data yet",IF(AND(F281&gt;='Work Calendar'!$B$14,D281+E281+G281&gt;0),"Day off - but worked",IF(F281&gt;='Work Calendar'!$B$14,"Day off",IF(D281+E281+G281&gt;0,IF($C281="Working","Charged","Worked weekend"),IF($C281="Working","Leave (not charged)",$C281)))))))</f>
        <v>No data yet</v>
      </c>
      <c r="L281" s="341">
        <f>IF($A281="","",SUMIFS('Timesheet Raw'!$P$4:$P$8000,'Timesheet Raw'!$L$4:$L$8000,$A281,'Timesheet Raw'!$C$4:$C$8000,L$3,'Timesheet Raw'!$A$4:$A$8000,"1-Projects"))</f>
        <v>0</v>
      </c>
      <c r="M281" s="341">
        <f>IF($A281="","",SUMIFS('Timesheet Raw'!$P$4:$P$8000,'Timesheet Raw'!$L$4:$L$8000,$A281,'Timesheet Raw'!$C$4:$C$8000,L$3,'Timesheet Raw'!$A$4:$A$8000,"2-Proposals Chargeable")+SUMIFS('Timesheet Raw'!$P$4:$P$8000,'Timesheet Raw'!$L$4:$L$8000,$A281,'Timesheet Raw'!$C$4:$C$8000,L$3,'Timesheet Raw'!$A$4:$A$8000,"3-Proposals Regular"))</f>
        <v>0</v>
      </c>
      <c r="N281" s="341">
        <f>IF($A281="","",SUMIFS('Timesheet Raw'!$P$4:$P$8000,'Timesheet Raw'!$L$4:$L$8000,$A281,'Timesheet Raw'!$C$4:$C$8000,L$3,'Timesheet Raw'!$B$4:$B$8000,'Work Calendar'!$A$26)+SUMIFS('Timesheet Raw'!$P$4:$P$8000,'Timesheet Raw'!$L$4:$L$8000,$A281,'Timesheet Raw'!$C$4:$C$8000,L$3,'Timesheet Raw'!$B$4:$B$8000,'Work Calendar'!$A$27)+SUMIFS('Timesheet Raw'!$P$4:$P$8000,'Timesheet Raw'!$L$4:$L$8000,$A281,'Timesheet Raw'!$C$4:$C$8000,L$3,'Timesheet Raw'!$B$4:$B$8000,'Work Calendar'!$A$28)+SUMIFS('Timesheet Raw'!$P$4:$P$8000,'Timesheet Raw'!$L$4:$L$8000,$A281,'Timesheet Raw'!$C$4:$C$8000,L$3,'Timesheet Raw'!$B$4:$B$8000,'Work Calendar'!$A$29))</f>
        <v>0</v>
      </c>
      <c r="O281" s="341">
        <f t="shared" si="18"/>
        <v>0</v>
      </c>
      <c r="P281" s="395">
        <f>IF($A281="","",SUMIFS('Timesheet Raw'!$K$4:$K$8000,'Timesheet Raw'!$L$4:$L$8000,$A281,'Timesheet Raw'!$C$4:$C$8000,L$3))</f>
        <v>0</v>
      </c>
      <c r="Q281" s="345">
        <f>IF($A281="","",SUMIFS('Timesheet Raw'!$P$4:$P$8000,'Timesheet Raw'!$L$4:$L$8000,$A281,'Timesheet Raw'!$C$4:$C$8000,L$3))</f>
        <v>0</v>
      </c>
      <c r="R281" s="375"/>
      <c r="S281" t="str">
        <f>IF($A281="","",IF(R281&lt;&gt;"",R281,IF($A281&gt;'Work Calendar'!$B$17,"No data yet",IF(AND(N281&gt;='Work Calendar'!$B$14,L281+M281+O281&gt;0),"Day off - but worked",IF(N281&gt;='Work Calendar'!$B$14,"Day off",IF(L281+M281+O281&gt;0,IF($C281="Working","Charged","Worked weekend"),IF($C281="Working","Leave (not charged)",$C281)))))))</f>
        <v>No data yet</v>
      </c>
      <c r="T281" s="341">
        <f>IF($A281="","",SUMIFS('Timesheet Raw'!$P$4:$P$8000,'Timesheet Raw'!$L$4:$L$8000,$A281,'Timesheet Raw'!$C$4:$C$8000,T$3,'Timesheet Raw'!$A$4:$A$8000,"1-Projects"))</f>
        <v>0</v>
      </c>
      <c r="U281" s="341">
        <f>IF($A281="","",SUMIFS('Timesheet Raw'!$P$4:$P$8000,'Timesheet Raw'!$L$4:$L$8000,$A281,'Timesheet Raw'!$C$4:$C$8000,T$3,'Timesheet Raw'!$A$4:$A$8000,"2-Proposals Chargeable")+SUMIFS('Timesheet Raw'!$P$4:$P$8000,'Timesheet Raw'!$L$4:$L$8000,$A281,'Timesheet Raw'!$C$4:$C$8000,T$3,'Timesheet Raw'!$A$4:$A$8000,"3-Proposals Regular"))</f>
        <v>0</v>
      </c>
      <c r="V281" s="341">
        <f>IF($A281="","",SUMIFS('Timesheet Raw'!$P$4:$P$8000,'Timesheet Raw'!$L$4:$L$8000,$A281,'Timesheet Raw'!$C$4:$C$8000,T$3,'Timesheet Raw'!$B$4:$B$8000,'Work Calendar'!$A$26)+SUMIFS('Timesheet Raw'!$P$4:$P$8000,'Timesheet Raw'!$L$4:$L$8000,$A281,'Timesheet Raw'!$C$4:$C$8000,T$3,'Timesheet Raw'!$B$4:$B$8000,'Work Calendar'!$A$27)+SUMIFS('Timesheet Raw'!$P$4:$P$8000,'Timesheet Raw'!$L$4:$L$8000,$A281,'Timesheet Raw'!$C$4:$C$8000,T$3,'Timesheet Raw'!$B$4:$B$8000,'Work Calendar'!$A$28)+SUMIFS('Timesheet Raw'!$P$4:$P$8000,'Timesheet Raw'!$L$4:$L$8000,$A281,'Timesheet Raw'!$C$4:$C$8000,T$3,'Timesheet Raw'!$B$4:$B$8000,'Work Calendar'!$A$29))</f>
        <v>0</v>
      </c>
      <c r="W281" s="341">
        <f t="shared" si="19"/>
        <v>0</v>
      </c>
      <c r="X281" s="395">
        <f>IF($A281="","",SUMIFS('Timesheet Raw'!$K$4:$K$8000,'Timesheet Raw'!$L$4:$L$8000,$A281,'Timesheet Raw'!$C$4:$C$8000,T$3))</f>
        <v>0</v>
      </c>
      <c r="Y281" s="345">
        <f>IF($A281="","",SUMIFS('Timesheet Raw'!$P$4:$P$8000,'Timesheet Raw'!$L$4:$L$8000,$A281,'Timesheet Raw'!$C$4:$C$8000,T$3))</f>
        <v>0</v>
      </c>
      <c r="Z281" s="375"/>
      <c r="AA281" t="str">
        <f>IF($A281="","",IF(Z281&lt;&gt;"",Z281,IF($A281&gt;'Work Calendar'!$B$17,"No data yet",IF(AND(V281&gt;='Work Calendar'!$B$14,T281+U281+W281&gt;0),"Day off - but worked",IF(V281&gt;='Work Calendar'!$B$14,"Day off",IF(T281+U281+W281&gt;0,IF($C281="Working","Charged","Worked weekend"),IF($C281="Working","Leave (not charged)",$C281)))))))</f>
        <v>No data yet</v>
      </c>
    </row>
    <row r="282" spans="1:27" x14ac:dyDescent="0.3">
      <c r="A282" s="371">
        <f>IF($A281="","",IF($A281+1&gt;'Work Calendar'!$B$16,"",$A281+1))</f>
        <v>46300</v>
      </c>
      <c r="B282" t="str">
        <f t="shared" si="16"/>
        <v>Mon</v>
      </c>
      <c r="C282" t="str" cm="1">
        <f t="array" ref="C282">IF($A282="","",IF(COUNTIF('Work Calendar'!$E$6:$E$200,$A282)&gt;0,"Holiday",IF(INDEX('Work Calendar'!$C$6:$C$12,WEEKDAY($A282,1))=1,"Working","Weekend")))</f>
        <v>Working</v>
      </c>
      <c r="D282" s="341">
        <f>IF($A282="","",SUMIFS('Timesheet Raw'!$P$4:$P$8000,'Timesheet Raw'!$L$4:$L$8000,$A282,'Timesheet Raw'!$C$4:$C$8000,D$3,'Timesheet Raw'!$A$4:$A$8000,"1-Projects"))</f>
        <v>0</v>
      </c>
      <c r="E282" s="341">
        <f>IF($A282="","",SUMIFS('Timesheet Raw'!$P$4:$P$8000,'Timesheet Raw'!$L$4:$L$8000,$A282,'Timesheet Raw'!$C$4:$C$8000,D$3,'Timesheet Raw'!$A$4:$A$8000,"2-Proposals Chargeable")+SUMIFS('Timesheet Raw'!$P$4:$P$8000,'Timesheet Raw'!$L$4:$L$8000,$A282,'Timesheet Raw'!$C$4:$C$8000,D$3,'Timesheet Raw'!$A$4:$A$8000,"3-Proposals Regular"))</f>
        <v>0</v>
      </c>
      <c r="F282" s="341">
        <f>IF($A282="","",SUMIFS('Timesheet Raw'!$P$4:$P$8000,'Timesheet Raw'!$L$4:$L$8000,$A282,'Timesheet Raw'!$C$4:$C$8000,D$3,'Timesheet Raw'!$B$4:$B$8000,'Work Calendar'!$A$26)+SUMIFS('Timesheet Raw'!$P$4:$P$8000,'Timesheet Raw'!$L$4:$L$8000,$A282,'Timesheet Raw'!$C$4:$C$8000,D$3,'Timesheet Raw'!$B$4:$B$8000,'Work Calendar'!$A$27)+SUMIFS('Timesheet Raw'!$P$4:$P$8000,'Timesheet Raw'!$L$4:$L$8000,$A282,'Timesheet Raw'!$C$4:$C$8000,D$3,'Timesheet Raw'!$B$4:$B$8000,'Work Calendar'!$A$28)+SUMIFS('Timesheet Raw'!$P$4:$P$8000,'Timesheet Raw'!$L$4:$L$8000,$A282,'Timesheet Raw'!$C$4:$C$8000,D$3,'Timesheet Raw'!$B$4:$B$8000,'Work Calendar'!$A$29))</f>
        <v>0</v>
      </c>
      <c r="G282" s="341">
        <f t="shared" si="17"/>
        <v>0</v>
      </c>
      <c r="H282" s="395">
        <f>IF($A282="","",SUMIFS('Timesheet Raw'!$K$4:$K$8000,'Timesheet Raw'!$L$4:$L$8000,$A282,'Timesheet Raw'!$C$4:$C$8000,D$3))</f>
        <v>0</v>
      </c>
      <c r="I282" s="345">
        <f>IF($A282="","",SUMIFS('Timesheet Raw'!$P$4:$P$8000,'Timesheet Raw'!$L$4:$L$8000,$A282,'Timesheet Raw'!$C$4:$C$8000,D$3))</f>
        <v>0</v>
      </c>
      <c r="J282" s="375"/>
      <c r="K282" t="str">
        <f>IF($A282="","",IF(J282&lt;&gt;"",J282,IF($A282&gt;'Work Calendar'!$B$17,"No data yet",IF(AND(F282&gt;='Work Calendar'!$B$14,D282+E282+G282&gt;0),"Day off - but worked",IF(F282&gt;='Work Calendar'!$B$14,"Day off",IF(D282+E282+G282&gt;0,IF($C282="Working","Charged","Worked weekend"),IF($C282="Working","Leave (not charged)",$C282)))))))</f>
        <v>No data yet</v>
      </c>
      <c r="L282" s="341">
        <f>IF($A282="","",SUMIFS('Timesheet Raw'!$P$4:$P$8000,'Timesheet Raw'!$L$4:$L$8000,$A282,'Timesheet Raw'!$C$4:$C$8000,L$3,'Timesheet Raw'!$A$4:$A$8000,"1-Projects"))</f>
        <v>0</v>
      </c>
      <c r="M282" s="341">
        <f>IF($A282="","",SUMIFS('Timesheet Raw'!$P$4:$P$8000,'Timesheet Raw'!$L$4:$L$8000,$A282,'Timesheet Raw'!$C$4:$C$8000,L$3,'Timesheet Raw'!$A$4:$A$8000,"2-Proposals Chargeable")+SUMIFS('Timesheet Raw'!$P$4:$P$8000,'Timesheet Raw'!$L$4:$L$8000,$A282,'Timesheet Raw'!$C$4:$C$8000,L$3,'Timesheet Raw'!$A$4:$A$8000,"3-Proposals Regular"))</f>
        <v>0</v>
      </c>
      <c r="N282" s="341">
        <f>IF($A282="","",SUMIFS('Timesheet Raw'!$P$4:$P$8000,'Timesheet Raw'!$L$4:$L$8000,$A282,'Timesheet Raw'!$C$4:$C$8000,L$3,'Timesheet Raw'!$B$4:$B$8000,'Work Calendar'!$A$26)+SUMIFS('Timesheet Raw'!$P$4:$P$8000,'Timesheet Raw'!$L$4:$L$8000,$A282,'Timesheet Raw'!$C$4:$C$8000,L$3,'Timesheet Raw'!$B$4:$B$8000,'Work Calendar'!$A$27)+SUMIFS('Timesheet Raw'!$P$4:$P$8000,'Timesheet Raw'!$L$4:$L$8000,$A282,'Timesheet Raw'!$C$4:$C$8000,L$3,'Timesheet Raw'!$B$4:$B$8000,'Work Calendar'!$A$28)+SUMIFS('Timesheet Raw'!$P$4:$P$8000,'Timesheet Raw'!$L$4:$L$8000,$A282,'Timesheet Raw'!$C$4:$C$8000,L$3,'Timesheet Raw'!$B$4:$B$8000,'Work Calendar'!$A$29))</f>
        <v>0</v>
      </c>
      <c r="O282" s="341">
        <f t="shared" si="18"/>
        <v>0</v>
      </c>
      <c r="P282" s="395">
        <f>IF($A282="","",SUMIFS('Timesheet Raw'!$K$4:$K$8000,'Timesheet Raw'!$L$4:$L$8000,$A282,'Timesheet Raw'!$C$4:$C$8000,L$3))</f>
        <v>0</v>
      </c>
      <c r="Q282" s="345">
        <f>IF($A282="","",SUMIFS('Timesheet Raw'!$P$4:$P$8000,'Timesheet Raw'!$L$4:$L$8000,$A282,'Timesheet Raw'!$C$4:$C$8000,L$3))</f>
        <v>0</v>
      </c>
      <c r="R282" s="375"/>
      <c r="S282" t="str">
        <f>IF($A282="","",IF(R282&lt;&gt;"",R282,IF($A282&gt;'Work Calendar'!$B$17,"No data yet",IF(AND(N282&gt;='Work Calendar'!$B$14,L282+M282+O282&gt;0),"Day off - but worked",IF(N282&gt;='Work Calendar'!$B$14,"Day off",IF(L282+M282+O282&gt;0,IF($C282="Working","Charged","Worked weekend"),IF($C282="Working","Leave (not charged)",$C282)))))))</f>
        <v>No data yet</v>
      </c>
      <c r="T282" s="341">
        <f>IF($A282="","",SUMIFS('Timesheet Raw'!$P$4:$P$8000,'Timesheet Raw'!$L$4:$L$8000,$A282,'Timesheet Raw'!$C$4:$C$8000,T$3,'Timesheet Raw'!$A$4:$A$8000,"1-Projects"))</f>
        <v>0</v>
      </c>
      <c r="U282" s="341">
        <f>IF($A282="","",SUMIFS('Timesheet Raw'!$P$4:$P$8000,'Timesheet Raw'!$L$4:$L$8000,$A282,'Timesheet Raw'!$C$4:$C$8000,T$3,'Timesheet Raw'!$A$4:$A$8000,"2-Proposals Chargeable")+SUMIFS('Timesheet Raw'!$P$4:$P$8000,'Timesheet Raw'!$L$4:$L$8000,$A282,'Timesheet Raw'!$C$4:$C$8000,T$3,'Timesheet Raw'!$A$4:$A$8000,"3-Proposals Regular"))</f>
        <v>0</v>
      </c>
      <c r="V282" s="341">
        <f>IF($A282="","",SUMIFS('Timesheet Raw'!$P$4:$P$8000,'Timesheet Raw'!$L$4:$L$8000,$A282,'Timesheet Raw'!$C$4:$C$8000,T$3,'Timesheet Raw'!$B$4:$B$8000,'Work Calendar'!$A$26)+SUMIFS('Timesheet Raw'!$P$4:$P$8000,'Timesheet Raw'!$L$4:$L$8000,$A282,'Timesheet Raw'!$C$4:$C$8000,T$3,'Timesheet Raw'!$B$4:$B$8000,'Work Calendar'!$A$27)+SUMIFS('Timesheet Raw'!$P$4:$P$8000,'Timesheet Raw'!$L$4:$L$8000,$A282,'Timesheet Raw'!$C$4:$C$8000,T$3,'Timesheet Raw'!$B$4:$B$8000,'Work Calendar'!$A$28)+SUMIFS('Timesheet Raw'!$P$4:$P$8000,'Timesheet Raw'!$L$4:$L$8000,$A282,'Timesheet Raw'!$C$4:$C$8000,T$3,'Timesheet Raw'!$B$4:$B$8000,'Work Calendar'!$A$29))</f>
        <v>0</v>
      </c>
      <c r="W282" s="341">
        <f t="shared" si="19"/>
        <v>0</v>
      </c>
      <c r="X282" s="395">
        <f>IF($A282="","",SUMIFS('Timesheet Raw'!$K$4:$K$8000,'Timesheet Raw'!$L$4:$L$8000,$A282,'Timesheet Raw'!$C$4:$C$8000,T$3))</f>
        <v>0</v>
      </c>
      <c r="Y282" s="345">
        <f>IF($A282="","",SUMIFS('Timesheet Raw'!$P$4:$P$8000,'Timesheet Raw'!$L$4:$L$8000,$A282,'Timesheet Raw'!$C$4:$C$8000,T$3))</f>
        <v>0</v>
      </c>
      <c r="Z282" s="375"/>
      <c r="AA282" t="str">
        <f>IF($A282="","",IF(Z282&lt;&gt;"",Z282,IF($A282&gt;'Work Calendar'!$B$17,"No data yet",IF(AND(V282&gt;='Work Calendar'!$B$14,T282+U282+W282&gt;0),"Day off - but worked",IF(V282&gt;='Work Calendar'!$B$14,"Day off",IF(T282+U282+W282&gt;0,IF($C282="Working","Charged","Worked weekend"),IF($C282="Working","Leave (not charged)",$C282)))))))</f>
        <v>No data yet</v>
      </c>
    </row>
    <row r="283" spans="1:27" x14ac:dyDescent="0.3">
      <c r="A283" s="371">
        <f>IF($A282="","",IF($A282+1&gt;'Work Calendar'!$B$16,"",$A282+1))</f>
        <v>46301</v>
      </c>
      <c r="B283" t="str">
        <f t="shared" si="16"/>
        <v>Tue</v>
      </c>
      <c r="C283" t="str" cm="1">
        <f t="array" ref="C283">IF($A283="","",IF(COUNTIF('Work Calendar'!$E$6:$E$200,$A283)&gt;0,"Holiday",IF(INDEX('Work Calendar'!$C$6:$C$12,WEEKDAY($A283,1))=1,"Working","Weekend")))</f>
        <v>Working</v>
      </c>
      <c r="D283" s="341">
        <f>IF($A283="","",SUMIFS('Timesheet Raw'!$P$4:$P$8000,'Timesheet Raw'!$L$4:$L$8000,$A283,'Timesheet Raw'!$C$4:$C$8000,D$3,'Timesheet Raw'!$A$4:$A$8000,"1-Projects"))</f>
        <v>0</v>
      </c>
      <c r="E283" s="341">
        <f>IF($A283="","",SUMIFS('Timesheet Raw'!$P$4:$P$8000,'Timesheet Raw'!$L$4:$L$8000,$A283,'Timesheet Raw'!$C$4:$C$8000,D$3,'Timesheet Raw'!$A$4:$A$8000,"2-Proposals Chargeable")+SUMIFS('Timesheet Raw'!$P$4:$P$8000,'Timesheet Raw'!$L$4:$L$8000,$A283,'Timesheet Raw'!$C$4:$C$8000,D$3,'Timesheet Raw'!$A$4:$A$8000,"3-Proposals Regular"))</f>
        <v>0</v>
      </c>
      <c r="F283" s="341">
        <f>IF($A283="","",SUMIFS('Timesheet Raw'!$P$4:$P$8000,'Timesheet Raw'!$L$4:$L$8000,$A283,'Timesheet Raw'!$C$4:$C$8000,D$3,'Timesheet Raw'!$B$4:$B$8000,'Work Calendar'!$A$26)+SUMIFS('Timesheet Raw'!$P$4:$P$8000,'Timesheet Raw'!$L$4:$L$8000,$A283,'Timesheet Raw'!$C$4:$C$8000,D$3,'Timesheet Raw'!$B$4:$B$8000,'Work Calendar'!$A$27)+SUMIFS('Timesheet Raw'!$P$4:$P$8000,'Timesheet Raw'!$L$4:$L$8000,$A283,'Timesheet Raw'!$C$4:$C$8000,D$3,'Timesheet Raw'!$B$4:$B$8000,'Work Calendar'!$A$28)+SUMIFS('Timesheet Raw'!$P$4:$P$8000,'Timesheet Raw'!$L$4:$L$8000,$A283,'Timesheet Raw'!$C$4:$C$8000,D$3,'Timesheet Raw'!$B$4:$B$8000,'Work Calendar'!$A$29))</f>
        <v>0</v>
      </c>
      <c r="G283" s="341">
        <f t="shared" si="17"/>
        <v>0</v>
      </c>
      <c r="H283" s="395">
        <f>IF($A283="","",SUMIFS('Timesheet Raw'!$K$4:$K$8000,'Timesheet Raw'!$L$4:$L$8000,$A283,'Timesheet Raw'!$C$4:$C$8000,D$3))</f>
        <v>0</v>
      </c>
      <c r="I283" s="345">
        <f>IF($A283="","",SUMIFS('Timesheet Raw'!$P$4:$P$8000,'Timesheet Raw'!$L$4:$L$8000,$A283,'Timesheet Raw'!$C$4:$C$8000,D$3))</f>
        <v>0</v>
      </c>
      <c r="J283" s="375"/>
      <c r="K283" t="str">
        <f>IF($A283="","",IF(J283&lt;&gt;"",J283,IF($A283&gt;'Work Calendar'!$B$17,"No data yet",IF(AND(F283&gt;='Work Calendar'!$B$14,D283+E283+G283&gt;0),"Day off - but worked",IF(F283&gt;='Work Calendar'!$B$14,"Day off",IF(D283+E283+G283&gt;0,IF($C283="Working","Charged","Worked weekend"),IF($C283="Working","Leave (not charged)",$C283)))))))</f>
        <v>No data yet</v>
      </c>
      <c r="L283" s="341">
        <f>IF($A283="","",SUMIFS('Timesheet Raw'!$P$4:$P$8000,'Timesheet Raw'!$L$4:$L$8000,$A283,'Timesheet Raw'!$C$4:$C$8000,L$3,'Timesheet Raw'!$A$4:$A$8000,"1-Projects"))</f>
        <v>0</v>
      </c>
      <c r="M283" s="341">
        <f>IF($A283="","",SUMIFS('Timesheet Raw'!$P$4:$P$8000,'Timesheet Raw'!$L$4:$L$8000,$A283,'Timesheet Raw'!$C$4:$C$8000,L$3,'Timesheet Raw'!$A$4:$A$8000,"2-Proposals Chargeable")+SUMIFS('Timesheet Raw'!$P$4:$P$8000,'Timesheet Raw'!$L$4:$L$8000,$A283,'Timesheet Raw'!$C$4:$C$8000,L$3,'Timesheet Raw'!$A$4:$A$8000,"3-Proposals Regular"))</f>
        <v>0</v>
      </c>
      <c r="N283" s="341">
        <f>IF($A283="","",SUMIFS('Timesheet Raw'!$P$4:$P$8000,'Timesheet Raw'!$L$4:$L$8000,$A283,'Timesheet Raw'!$C$4:$C$8000,L$3,'Timesheet Raw'!$B$4:$B$8000,'Work Calendar'!$A$26)+SUMIFS('Timesheet Raw'!$P$4:$P$8000,'Timesheet Raw'!$L$4:$L$8000,$A283,'Timesheet Raw'!$C$4:$C$8000,L$3,'Timesheet Raw'!$B$4:$B$8000,'Work Calendar'!$A$27)+SUMIFS('Timesheet Raw'!$P$4:$P$8000,'Timesheet Raw'!$L$4:$L$8000,$A283,'Timesheet Raw'!$C$4:$C$8000,L$3,'Timesheet Raw'!$B$4:$B$8000,'Work Calendar'!$A$28)+SUMIFS('Timesheet Raw'!$P$4:$P$8000,'Timesheet Raw'!$L$4:$L$8000,$A283,'Timesheet Raw'!$C$4:$C$8000,L$3,'Timesheet Raw'!$B$4:$B$8000,'Work Calendar'!$A$29))</f>
        <v>0</v>
      </c>
      <c r="O283" s="341">
        <f t="shared" si="18"/>
        <v>0</v>
      </c>
      <c r="P283" s="395">
        <f>IF($A283="","",SUMIFS('Timesheet Raw'!$K$4:$K$8000,'Timesheet Raw'!$L$4:$L$8000,$A283,'Timesheet Raw'!$C$4:$C$8000,L$3))</f>
        <v>0</v>
      </c>
      <c r="Q283" s="345">
        <f>IF($A283="","",SUMIFS('Timesheet Raw'!$P$4:$P$8000,'Timesheet Raw'!$L$4:$L$8000,$A283,'Timesheet Raw'!$C$4:$C$8000,L$3))</f>
        <v>0</v>
      </c>
      <c r="R283" s="375"/>
      <c r="S283" t="str">
        <f>IF($A283="","",IF(R283&lt;&gt;"",R283,IF($A283&gt;'Work Calendar'!$B$17,"No data yet",IF(AND(N283&gt;='Work Calendar'!$B$14,L283+M283+O283&gt;0),"Day off - but worked",IF(N283&gt;='Work Calendar'!$B$14,"Day off",IF(L283+M283+O283&gt;0,IF($C283="Working","Charged","Worked weekend"),IF($C283="Working","Leave (not charged)",$C283)))))))</f>
        <v>No data yet</v>
      </c>
      <c r="T283" s="341">
        <f>IF($A283="","",SUMIFS('Timesheet Raw'!$P$4:$P$8000,'Timesheet Raw'!$L$4:$L$8000,$A283,'Timesheet Raw'!$C$4:$C$8000,T$3,'Timesheet Raw'!$A$4:$A$8000,"1-Projects"))</f>
        <v>0</v>
      </c>
      <c r="U283" s="341">
        <f>IF($A283="","",SUMIFS('Timesheet Raw'!$P$4:$P$8000,'Timesheet Raw'!$L$4:$L$8000,$A283,'Timesheet Raw'!$C$4:$C$8000,T$3,'Timesheet Raw'!$A$4:$A$8000,"2-Proposals Chargeable")+SUMIFS('Timesheet Raw'!$P$4:$P$8000,'Timesheet Raw'!$L$4:$L$8000,$A283,'Timesheet Raw'!$C$4:$C$8000,T$3,'Timesheet Raw'!$A$4:$A$8000,"3-Proposals Regular"))</f>
        <v>0</v>
      </c>
      <c r="V283" s="341">
        <f>IF($A283="","",SUMIFS('Timesheet Raw'!$P$4:$P$8000,'Timesheet Raw'!$L$4:$L$8000,$A283,'Timesheet Raw'!$C$4:$C$8000,T$3,'Timesheet Raw'!$B$4:$B$8000,'Work Calendar'!$A$26)+SUMIFS('Timesheet Raw'!$P$4:$P$8000,'Timesheet Raw'!$L$4:$L$8000,$A283,'Timesheet Raw'!$C$4:$C$8000,T$3,'Timesheet Raw'!$B$4:$B$8000,'Work Calendar'!$A$27)+SUMIFS('Timesheet Raw'!$P$4:$P$8000,'Timesheet Raw'!$L$4:$L$8000,$A283,'Timesheet Raw'!$C$4:$C$8000,T$3,'Timesheet Raw'!$B$4:$B$8000,'Work Calendar'!$A$28)+SUMIFS('Timesheet Raw'!$P$4:$P$8000,'Timesheet Raw'!$L$4:$L$8000,$A283,'Timesheet Raw'!$C$4:$C$8000,T$3,'Timesheet Raw'!$B$4:$B$8000,'Work Calendar'!$A$29))</f>
        <v>0</v>
      </c>
      <c r="W283" s="341">
        <f t="shared" si="19"/>
        <v>0</v>
      </c>
      <c r="X283" s="395">
        <f>IF($A283="","",SUMIFS('Timesheet Raw'!$K$4:$K$8000,'Timesheet Raw'!$L$4:$L$8000,$A283,'Timesheet Raw'!$C$4:$C$8000,T$3))</f>
        <v>0</v>
      </c>
      <c r="Y283" s="345">
        <f>IF($A283="","",SUMIFS('Timesheet Raw'!$P$4:$P$8000,'Timesheet Raw'!$L$4:$L$8000,$A283,'Timesheet Raw'!$C$4:$C$8000,T$3))</f>
        <v>0</v>
      </c>
      <c r="Z283" s="375"/>
      <c r="AA283" t="str">
        <f>IF($A283="","",IF(Z283&lt;&gt;"",Z283,IF($A283&gt;'Work Calendar'!$B$17,"No data yet",IF(AND(V283&gt;='Work Calendar'!$B$14,T283+U283+W283&gt;0),"Day off - but worked",IF(V283&gt;='Work Calendar'!$B$14,"Day off",IF(T283+U283+W283&gt;0,IF($C283="Working","Charged","Worked weekend"),IF($C283="Working","Leave (not charged)",$C283)))))))</f>
        <v>No data yet</v>
      </c>
    </row>
    <row r="284" spans="1:27" x14ac:dyDescent="0.3">
      <c r="A284" s="371">
        <f>IF($A283="","",IF($A283+1&gt;'Work Calendar'!$B$16,"",$A283+1))</f>
        <v>46302</v>
      </c>
      <c r="B284" t="str">
        <f t="shared" si="16"/>
        <v>Wed</v>
      </c>
      <c r="C284" t="str" cm="1">
        <f t="array" ref="C284">IF($A284="","",IF(COUNTIF('Work Calendar'!$E$6:$E$200,$A284)&gt;0,"Holiday",IF(INDEX('Work Calendar'!$C$6:$C$12,WEEKDAY($A284,1))=1,"Working","Weekend")))</f>
        <v>Working</v>
      </c>
      <c r="D284" s="341">
        <f>IF($A284="","",SUMIFS('Timesheet Raw'!$P$4:$P$8000,'Timesheet Raw'!$L$4:$L$8000,$A284,'Timesheet Raw'!$C$4:$C$8000,D$3,'Timesheet Raw'!$A$4:$A$8000,"1-Projects"))</f>
        <v>0</v>
      </c>
      <c r="E284" s="341">
        <f>IF($A284="","",SUMIFS('Timesheet Raw'!$P$4:$P$8000,'Timesheet Raw'!$L$4:$L$8000,$A284,'Timesheet Raw'!$C$4:$C$8000,D$3,'Timesheet Raw'!$A$4:$A$8000,"2-Proposals Chargeable")+SUMIFS('Timesheet Raw'!$P$4:$P$8000,'Timesheet Raw'!$L$4:$L$8000,$A284,'Timesheet Raw'!$C$4:$C$8000,D$3,'Timesheet Raw'!$A$4:$A$8000,"3-Proposals Regular"))</f>
        <v>0</v>
      </c>
      <c r="F284" s="341">
        <f>IF($A284="","",SUMIFS('Timesheet Raw'!$P$4:$P$8000,'Timesheet Raw'!$L$4:$L$8000,$A284,'Timesheet Raw'!$C$4:$C$8000,D$3,'Timesheet Raw'!$B$4:$B$8000,'Work Calendar'!$A$26)+SUMIFS('Timesheet Raw'!$P$4:$P$8000,'Timesheet Raw'!$L$4:$L$8000,$A284,'Timesheet Raw'!$C$4:$C$8000,D$3,'Timesheet Raw'!$B$4:$B$8000,'Work Calendar'!$A$27)+SUMIFS('Timesheet Raw'!$P$4:$P$8000,'Timesheet Raw'!$L$4:$L$8000,$A284,'Timesheet Raw'!$C$4:$C$8000,D$3,'Timesheet Raw'!$B$4:$B$8000,'Work Calendar'!$A$28)+SUMIFS('Timesheet Raw'!$P$4:$P$8000,'Timesheet Raw'!$L$4:$L$8000,$A284,'Timesheet Raw'!$C$4:$C$8000,D$3,'Timesheet Raw'!$B$4:$B$8000,'Work Calendar'!$A$29))</f>
        <v>0</v>
      </c>
      <c r="G284" s="341">
        <f t="shared" si="17"/>
        <v>0</v>
      </c>
      <c r="H284" s="395">
        <f>IF($A284="","",SUMIFS('Timesheet Raw'!$K$4:$K$8000,'Timesheet Raw'!$L$4:$L$8000,$A284,'Timesheet Raw'!$C$4:$C$8000,D$3))</f>
        <v>0</v>
      </c>
      <c r="I284" s="345">
        <f>IF($A284="","",SUMIFS('Timesheet Raw'!$P$4:$P$8000,'Timesheet Raw'!$L$4:$L$8000,$A284,'Timesheet Raw'!$C$4:$C$8000,D$3))</f>
        <v>0</v>
      </c>
      <c r="J284" s="375"/>
      <c r="K284" t="str">
        <f>IF($A284="","",IF(J284&lt;&gt;"",J284,IF($A284&gt;'Work Calendar'!$B$17,"No data yet",IF(AND(F284&gt;='Work Calendar'!$B$14,D284+E284+G284&gt;0),"Day off - but worked",IF(F284&gt;='Work Calendar'!$B$14,"Day off",IF(D284+E284+G284&gt;0,IF($C284="Working","Charged","Worked weekend"),IF($C284="Working","Leave (not charged)",$C284)))))))</f>
        <v>No data yet</v>
      </c>
      <c r="L284" s="341">
        <f>IF($A284="","",SUMIFS('Timesheet Raw'!$P$4:$P$8000,'Timesheet Raw'!$L$4:$L$8000,$A284,'Timesheet Raw'!$C$4:$C$8000,L$3,'Timesheet Raw'!$A$4:$A$8000,"1-Projects"))</f>
        <v>0</v>
      </c>
      <c r="M284" s="341">
        <f>IF($A284="","",SUMIFS('Timesheet Raw'!$P$4:$P$8000,'Timesheet Raw'!$L$4:$L$8000,$A284,'Timesheet Raw'!$C$4:$C$8000,L$3,'Timesheet Raw'!$A$4:$A$8000,"2-Proposals Chargeable")+SUMIFS('Timesheet Raw'!$P$4:$P$8000,'Timesheet Raw'!$L$4:$L$8000,$A284,'Timesheet Raw'!$C$4:$C$8000,L$3,'Timesheet Raw'!$A$4:$A$8000,"3-Proposals Regular"))</f>
        <v>0</v>
      </c>
      <c r="N284" s="341">
        <f>IF($A284="","",SUMIFS('Timesheet Raw'!$P$4:$P$8000,'Timesheet Raw'!$L$4:$L$8000,$A284,'Timesheet Raw'!$C$4:$C$8000,L$3,'Timesheet Raw'!$B$4:$B$8000,'Work Calendar'!$A$26)+SUMIFS('Timesheet Raw'!$P$4:$P$8000,'Timesheet Raw'!$L$4:$L$8000,$A284,'Timesheet Raw'!$C$4:$C$8000,L$3,'Timesheet Raw'!$B$4:$B$8000,'Work Calendar'!$A$27)+SUMIFS('Timesheet Raw'!$P$4:$P$8000,'Timesheet Raw'!$L$4:$L$8000,$A284,'Timesheet Raw'!$C$4:$C$8000,L$3,'Timesheet Raw'!$B$4:$B$8000,'Work Calendar'!$A$28)+SUMIFS('Timesheet Raw'!$P$4:$P$8000,'Timesheet Raw'!$L$4:$L$8000,$A284,'Timesheet Raw'!$C$4:$C$8000,L$3,'Timesheet Raw'!$B$4:$B$8000,'Work Calendar'!$A$29))</f>
        <v>0</v>
      </c>
      <c r="O284" s="341">
        <f t="shared" si="18"/>
        <v>0</v>
      </c>
      <c r="P284" s="395">
        <f>IF($A284="","",SUMIFS('Timesheet Raw'!$K$4:$K$8000,'Timesheet Raw'!$L$4:$L$8000,$A284,'Timesheet Raw'!$C$4:$C$8000,L$3))</f>
        <v>0</v>
      </c>
      <c r="Q284" s="345">
        <f>IF($A284="","",SUMIFS('Timesheet Raw'!$P$4:$P$8000,'Timesheet Raw'!$L$4:$L$8000,$A284,'Timesheet Raw'!$C$4:$C$8000,L$3))</f>
        <v>0</v>
      </c>
      <c r="R284" s="375"/>
      <c r="S284" t="str">
        <f>IF($A284="","",IF(R284&lt;&gt;"",R284,IF($A284&gt;'Work Calendar'!$B$17,"No data yet",IF(AND(N284&gt;='Work Calendar'!$B$14,L284+M284+O284&gt;0),"Day off - but worked",IF(N284&gt;='Work Calendar'!$B$14,"Day off",IF(L284+M284+O284&gt;0,IF($C284="Working","Charged","Worked weekend"),IF($C284="Working","Leave (not charged)",$C284)))))))</f>
        <v>No data yet</v>
      </c>
      <c r="T284" s="341">
        <f>IF($A284="","",SUMIFS('Timesheet Raw'!$P$4:$P$8000,'Timesheet Raw'!$L$4:$L$8000,$A284,'Timesheet Raw'!$C$4:$C$8000,T$3,'Timesheet Raw'!$A$4:$A$8000,"1-Projects"))</f>
        <v>0</v>
      </c>
      <c r="U284" s="341">
        <f>IF($A284="","",SUMIFS('Timesheet Raw'!$P$4:$P$8000,'Timesheet Raw'!$L$4:$L$8000,$A284,'Timesheet Raw'!$C$4:$C$8000,T$3,'Timesheet Raw'!$A$4:$A$8000,"2-Proposals Chargeable")+SUMIFS('Timesheet Raw'!$P$4:$P$8000,'Timesheet Raw'!$L$4:$L$8000,$A284,'Timesheet Raw'!$C$4:$C$8000,T$3,'Timesheet Raw'!$A$4:$A$8000,"3-Proposals Regular"))</f>
        <v>0</v>
      </c>
      <c r="V284" s="341">
        <f>IF($A284="","",SUMIFS('Timesheet Raw'!$P$4:$P$8000,'Timesheet Raw'!$L$4:$L$8000,$A284,'Timesheet Raw'!$C$4:$C$8000,T$3,'Timesheet Raw'!$B$4:$B$8000,'Work Calendar'!$A$26)+SUMIFS('Timesheet Raw'!$P$4:$P$8000,'Timesheet Raw'!$L$4:$L$8000,$A284,'Timesheet Raw'!$C$4:$C$8000,T$3,'Timesheet Raw'!$B$4:$B$8000,'Work Calendar'!$A$27)+SUMIFS('Timesheet Raw'!$P$4:$P$8000,'Timesheet Raw'!$L$4:$L$8000,$A284,'Timesheet Raw'!$C$4:$C$8000,T$3,'Timesheet Raw'!$B$4:$B$8000,'Work Calendar'!$A$28)+SUMIFS('Timesheet Raw'!$P$4:$P$8000,'Timesheet Raw'!$L$4:$L$8000,$A284,'Timesheet Raw'!$C$4:$C$8000,T$3,'Timesheet Raw'!$B$4:$B$8000,'Work Calendar'!$A$29))</f>
        <v>0</v>
      </c>
      <c r="W284" s="341">
        <f t="shared" si="19"/>
        <v>0</v>
      </c>
      <c r="X284" s="395">
        <f>IF($A284="","",SUMIFS('Timesheet Raw'!$K$4:$K$8000,'Timesheet Raw'!$L$4:$L$8000,$A284,'Timesheet Raw'!$C$4:$C$8000,T$3))</f>
        <v>0</v>
      </c>
      <c r="Y284" s="345">
        <f>IF($A284="","",SUMIFS('Timesheet Raw'!$P$4:$P$8000,'Timesheet Raw'!$L$4:$L$8000,$A284,'Timesheet Raw'!$C$4:$C$8000,T$3))</f>
        <v>0</v>
      </c>
      <c r="Z284" s="375"/>
      <c r="AA284" t="str">
        <f>IF($A284="","",IF(Z284&lt;&gt;"",Z284,IF($A284&gt;'Work Calendar'!$B$17,"No data yet",IF(AND(V284&gt;='Work Calendar'!$B$14,T284+U284+W284&gt;0),"Day off - but worked",IF(V284&gt;='Work Calendar'!$B$14,"Day off",IF(T284+U284+W284&gt;0,IF($C284="Working","Charged","Worked weekend"),IF($C284="Working","Leave (not charged)",$C284)))))))</f>
        <v>No data yet</v>
      </c>
    </row>
    <row r="285" spans="1:27" x14ac:dyDescent="0.3">
      <c r="A285" s="371">
        <f>IF($A284="","",IF($A284+1&gt;'Work Calendar'!$B$16,"",$A284+1))</f>
        <v>46303</v>
      </c>
      <c r="B285" t="str">
        <f t="shared" si="16"/>
        <v>Thu</v>
      </c>
      <c r="C285" t="str" cm="1">
        <f t="array" ref="C285">IF($A285="","",IF(COUNTIF('Work Calendar'!$E$6:$E$200,$A285)&gt;0,"Holiday",IF(INDEX('Work Calendar'!$C$6:$C$12,WEEKDAY($A285,1))=1,"Working","Weekend")))</f>
        <v>Working</v>
      </c>
      <c r="D285" s="341">
        <f>IF($A285="","",SUMIFS('Timesheet Raw'!$P$4:$P$8000,'Timesheet Raw'!$L$4:$L$8000,$A285,'Timesheet Raw'!$C$4:$C$8000,D$3,'Timesheet Raw'!$A$4:$A$8000,"1-Projects"))</f>
        <v>0</v>
      </c>
      <c r="E285" s="341">
        <f>IF($A285="","",SUMIFS('Timesheet Raw'!$P$4:$P$8000,'Timesheet Raw'!$L$4:$L$8000,$A285,'Timesheet Raw'!$C$4:$C$8000,D$3,'Timesheet Raw'!$A$4:$A$8000,"2-Proposals Chargeable")+SUMIFS('Timesheet Raw'!$P$4:$P$8000,'Timesheet Raw'!$L$4:$L$8000,$A285,'Timesheet Raw'!$C$4:$C$8000,D$3,'Timesheet Raw'!$A$4:$A$8000,"3-Proposals Regular"))</f>
        <v>0</v>
      </c>
      <c r="F285" s="341">
        <f>IF($A285="","",SUMIFS('Timesheet Raw'!$P$4:$P$8000,'Timesheet Raw'!$L$4:$L$8000,$A285,'Timesheet Raw'!$C$4:$C$8000,D$3,'Timesheet Raw'!$B$4:$B$8000,'Work Calendar'!$A$26)+SUMIFS('Timesheet Raw'!$P$4:$P$8000,'Timesheet Raw'!$L$4:$L$8000,$A285,'Timesheet Raw'!$C$4:$C$8000,D$3,'Timesheet Raw'!$B$4:$B$8000,'Work Calendar'!$A$27)+SUMIFS('Timesheet Raw'!$P$4:$P$8000,'Timesheet Raw'!$L$4:$L$8000,$A285,'Timesheet Raw'!$C$4:$C$8000,D$3,'Timesheet Raw'!$B$4:$B$8000,'Work Calendar'!$A$28)+SUMIFS('Timesheet Raw'!$P$4:$P$8000,'Timesheet Raw'!$L$4:$L$8000,$A285,'Timesheet Raw'!$C$4:$C$8000,D$3,'Timesheet Raw'!$B$4:$B$8000,'Work Calendar'!$A$29))</f>
        <v>0</v>
      </c>
      <c r="G285" s="341">
        <f t="shared" si="17"/>
        <v>0</v>
      </c>
      <c r="H285" s="395">
        <f>IF($A285="","",SUMIFS('Timesheet Raw'!$K$4:$K$8000,'Timesheet Raw'!$L$4:$L$8000,$A285,'Timesheet Raw'!$C$4:$C$8000,D$3))</f>
        <v>0</v>
      </c>
      <c r="I285" s="345">
        <f>IF($A285="","",SUMIFS('Timesheet Raw'!$P$4:$P$8000,'Timesheet Raw'!$L$4:$L$8000,$A285,'Timesheet Raw'!$C$4:$C$8000,D$3))</f>
        <v>0</v>
      </c>
      <c r="J285" s="375"/>
      <c r="K285" t="str">
        <f>IF($A285="","",IF(J285&lt;&gt;"",J285,IF($A285&gt;'Work Calendar'!$B$17,"No data yet",IF(AND(F285&gt;='Work Calendar'!$B$14,D285+E285+G285&gt;0),"Day off - but worked",IF(F285&gt;='Work Calendar'!$B$14,"Day off",IF(D285+E285+G285&gt;0,IF($C285="Working","Charged","Worked weekend"),IF($C285="Working","Leave (not charged)",$C285)))))))</f>
        <v>No data yet</v>
      </c>
      <c r="L285" s="341">
        <f>IF($A285="","",SUMIFS('Timesheet Raw'!$P$4:$P$8000,'Timesheet Raw'!$L$4:$L$8000,$A285,'Timesheet Raw'!$C$4:$C$8000,L$3,'Timesheet Raw'!$A$4:$A$8000,"1-Projects"))</f>
        <v>0</v>
      </c>
      <c r="M285" s="341">
        <f>IF($A285="","",SUMIFS('Timesheet Raw'!$P$4:$P$8000,'Timesheet Raw'!$L$4:$L$8000,$A285,'Timesheet Raw'!$C$4:$C$8000,L$3,'Timesheet Raw'!$A$4:$A$8000,"2-Proposals Chargeable")+SUMIFS('Timesheet Raw'!$P$4:$P$8000,'Timesheet Raw'!$L$4:$L$8000,$A285,'Timesheet Raw'!$C$4:$C$8000,L$3,'Timesheet Raw'!$A$4:$A$8000,"3-Proposals Regular"))</f>
        <v>0</v>
      </c>
      <c r="N285" s="341">
        <f>IF($A285="","",SUMIFS('Timesheet Raw'!$P$4:$P$8000,'Timesheet Raw'!$L$4:$L$8000,$A285,'Timesheet Raw'!$C$4:$C$8000,L$3,'Timesheet Raw'!$B$4:$B$8000,'Work Calendar'!$A$26)+SUMIFS('Timesheet Raw'!$P$4:$P$8000,'Timesheet Raw'!$L$4:$L$8000,$A285,'Timesheet Raw'!$C$4:$C$8000,L$3,'Timesheet Raw'!$B$4:$B$8000,'Work Calendar'!$A$27)+SUMIFS('Timesheet Raw'!$P$4:$P$8000,'Timesheet Raw'!$L$4:$L$8000,$A285,'Timesheet Raw'!$C$4:$C$8000,L$3,'Timesheet Raw'!$B$4:$B$8000,'Work Calendar'!$A$28)+SUMIFS('Timesheet Raw'!$P$4:$P$8000,'Timesheet Raw'!$L$4:$L$8000,$A285,'Timesheet Raw'!$C$4:$C$8000,L$3,'Timesheet Raw'!$B$4:$B$8000,'Work Calendar'!$A$29))</f>
        <v>0</v>
      </c>
      <c r="O285" s="341">
        <f t="shared" si="18"/>
        <v>0</v>
      </c>
      <c r="P285" s="395">
        <f>IF($A285="","",SUMIFS('Timesheet Raw'!$K$4:$K$8000,'Timesheet Raw'!$L$4:$L$8000,$A285,'Timesheet Raw'!$C$4:$C$8000,L$3))</f>
        <v>0</v>
      </c>
      <c r="Q285" s="345">
        <f>IF($A285="","",SUMIFS('Timesheet Raw'!$P$4:$P$8000,'Timesheet Raw'!$L$4:$L$8000,$A285,'Timesheet Raw'!$C$4:$C$8000,L$3))</f>
        <v>0</v>
      </c>
      <c r="R285" s="375"/>
      <c r="S285" t="str">
        <f>IF($A285="","",IF(R285&lt;&gt;"",R285,IF($A285&gt;'Work Calendar'!$B$17,"No data yet",IF(AND(N285&gt;='Work Calendar'!$B$14,L285+M285+O285&gt;0),"Day off - but worked",IF(N285&gt;='Work Calendar'!$B$14,"Day off",IF(L285+M285+O285&gt;0,IF($C285="Working","Charged","Worked weekend"),IF($C285="Working","Leave (not charged)",$C285)))))))</f>
        <v>No data yet</v>
      </c>
      <c r="T285" s="341">
        <f>IF($A285="","",SUMIFS('Timesheet Raw'!$P$4:$P$8000,'Timesheet Raw'!$L$4:$L$8000,$A285,'Timesheet Raw'!$C$4:$C$8000,T$3,'Timesheet Raw'!$A$4:$A$8000,"1-Projects"))</f>
        <v>0</v>
      </c>
      <c r="U285" s="341">
        <f>IF($A285="","",SUMIFS('Timesheet Raw'!$P$4:$P$8000,'Timesheet Raw'!$L$4:$L$8000,$A285,'Timesheet Raw'!$C$4:$C$8000,T$3,'Timesheet Raw'!$A$4:$A$8000,"2-Proposals Chargeable")+SUMIFS('Timesheet Raw'!$P$4:$P$8000,'Timesheet Raw'!$L$4:$L$8000,$A285,'Timesheet Raw'!$C$4:$C$8000,T$3,'Timesheet Raw'!$A$4:$A$8000,"3-Proposals Regular"))</f>
        <v>0</v>
      </c>
      <c r="V285" s="341">
        <f>IF($A285="","",SUMIFS('Timesheet Raw'!$P$4:$P$8000,'Timesheet Raw'!$L$4:$L$8000,$A285,'Timesheet Raw'!$C$4:$C$8000,T$3,'Timesheet Raw'!$B$4:$B$8000,'Work Calendar'!$A$26)+SUMIFS('Timesheet Raw'!$P$4:$P$8000,'Timesheet Raw'!$L$4:$L$8000,$A285,'Timesheet Raw'!$C$4:$C$8000,T$3,'Timesheet Raw'!$B$4:$B$8000,'Work Calendar'!$A$27)+SUMIFS('Timesheet Raw'!$P$4:$P$8000,'Timesheet Raw'!$L$4:$L$8000,$A285,'Timesheet Raw'!$C$4:$C$8000,T$3,'Timesheet Raw'!$B$4:$B$8000,'Work Calendar'!$A$28)+SUMIFS('Timesheet Raw'!$P$4:$P$8000,'Timesheet Raw'!$L$4:$L$8000,$A285,'Timesheet Raw'!$C$4:$C$8000,T$3,'Timesheet Raw'!$B$4:$B$8000,'Work Calendar'!$A$29))</f>
        <v>0</v>
      </c>
      <c r="W285" s="341">
        <f t="shared" si="19"/>
        <v>0</v>
      </c>
      <c r="X285" s="395">
        <f>IF($A285="","",SUMIFS('Timesheet Raw'!$K$4:$K$8000,'Timesheet Raw'!$L$4:$L$8000,$A285,'Timesheet Raw'!$C$4:$C$8000,T$3))</f>
        <v>0</v>
      </c>
      <c r="Y285" s="345">
        <f>IF($A285="","",SUMIFS('Timesheet Raw'!$P$4:$P$8000,'Timesheet Raw'!$L$4:$L$8000,$A285,'Timesheet Raw'!$C$4:$C$8000,T$3))</f>
        <v>0</v>
      </c>
      <c r="Z285" s="375"/>
      <c r="AA285" t="str">
        <f>IF($A285="","",IF(Z285&lt;&gt;"",Z285,IF($A285&gt;'Work Calendar'!$B$17,"No data yet",IF(AND(V285&gt;='Work Calendar'!$B$14,T285+U285+W285&gt;0),"Day off - but worked",IF(V285&gt;='Work Calendar'!$B$14,"Day off",IF(T285+U285+W285&gt;0,IF($C285="Working","Charged","Worked weekend"),IF($C285="Working","Leave (not charged)",$C285)))))))</f>
        <v>No data yet</v>
      </c>
    </row>
    <row r="286" spans="1:27" x14ac:dyDescent="0.3">
      <c r="A286" s="371">
        <f>IF($A285="","",IF($A285+1&gt;'Work Calendar'!$B$16,"",$A285+1))</f>
        <v>46304</v>
      </c>
      <c r="B286" t="str">
        <f t="shared" si="16"/>
        <v>Fri</v>
      </c>
      <c r="C286" t="str" cm="1">
        <f t="array" ref="C286">IF($A286="","",IF(COUNTIF('Work Calendar'!$E$6:$E$200,$A286)&gt;0,"Holiday",IF(INDEX('Work Calendar'!$C$6:$C$12,WEEKDAY($A286,1))=1,"Working","Weekend")))</f>
        <v>Weekend</v>
      </c>
      <c r="D286" s="341">
        <f>IF($A286="","",SUMIFS('Timesheet Raw'!$P$4:$P$8000,'Timesheet Raw'!$L$4:$L$8000,$A286,'Timesheet Raw'!$C$4:$C$8000,D$3,'Timesheet Raw'!$A$4:$A$8000,"1-Projects"))</f>
        <v>0</v>
      </c>
      <c r="E286" s="341">
        <f>IF($A286="","",SUMIFS('Timesheet Raw'!$P$4:$P$8000,'Timesheet Raw'!$L$4:$L$8000,$A286,'Timesheet Raw'!$C$4:$C$8000,D$3,'Timesheet Raw'!$A$4:$A$8000,"2-Proposals Chargeable")+SUMIFS('Timesheet Raw'!$P$4:$P$8000,'Timesheet Raw'!$L$4:$L$8000,$A286,'Timesheet Raw'!$C$4:$C$8000,D$3,'Timesheet Raw'!$A$4:$A$8000,"3-Proposals Regular"))</f>
        <v>0</v>
      </c>
      <c r="F286" s="341">
        <f>IF($A286="","",SUMIFS('Timesheet Raw'!$P$4:$P$8000,'Timesheet Raw'!$L$4:$L$8000,$A286,'Timesheet Raw'!$C$4:$C$8000,D$3,'Timesheet Raw'!$B$4:$B$8000,'Work Calendar'!$A$26)+SUMIFS('Timesheet Raw'!$P$4:$P$8000,'Timesheet Raw'!$L$4:$L$8000,$A286,'Timesheet Raw'!$C$4:$C$8000,D$3,'Timesheet Raw'!$B$4:$B$8000,'Work Calendar'!$A$27)+SUMIFS('Timesheet Raw'!$P$4:$P$8000,'Timesheet Raw'!$L$4:$L$8000,$A286,'Timesheet Raw'!$C$4:$C$8000,D$3,'Timesheet Raw'!$B$4:$B$8000,'Work Calendar'!$A$28)+SUMIFS('Timesheet Raw'!$P$4:$P$8000,'Timesheet Raw'!$L$4:$L$8000,$A286,'Timesheet Raw'!$C$4:$C$8000,D$3,'Timesheet Raw'!$B$4:$B$8000,'Work Calendar'!$A$29))</f>
        <v>0</v>
      </c>
      <c r="G286" s="341">
        <f t="shared" si="17"/>
        <v>0</v>
      </c>
      <c r="H286" s="395">
        <f>IF($A286="","",SUMIFS('Timesheet Raw'!$K$4:$K$8000,'Timesheet Raw'!$L$4:$L$8000,$A286,'Timesheet Raw'!$C$4:$C$8000,D$3))</f>
        <v>0</v>
      </c>
      <c r="I286" s="345">
        <f>IF($A286="","",SUMIFS('Timesheet Raw'!$P$4:$P$8000,'Timesheet Raw'!$L$4:$L$8000,$A286,'Timesheet Raw'!$C$4:$C$8000,D$3))</f>
        <v>0</v>
      </c>
      <c r="J286" s="375"/>
      <c r="K286" t="str">
        <f>IF($A286="","",IF(J286&lt;&gt;"",J286,IF($A286&gt;'Work Calendar'!$B$17,"No data yet",IF(AND(F286&gt;='Work Calendar'!$B$14,D286+E286+G286&gt;0),"Day off - but worked",IF(F286&gt;='Work Calendar'!$B$14,"Day off",IF(D286+E286+G286&gt;0,IF($C286="Working","Charged","Worked weekend"),IF($C286="Working","Leave (not charged)",$C286)))))))</f>
        <v>No data yet</v>
      </c>
      <c r="L286" s="341">
        <f>IF($A286="","",SUMIFS('Timesheet Raw'!$P$4:$P$8000,'Timesheet Raw'!$L$4:$L$8000,$A286,'Timesheet Raw'!$C$4:$C$8000,L$3,'Timesheet Raw'!$A$4:$A$8000,"1-Projects"))</f>
        <v>0</v>
      </c>
      <c r="M286" s="341">
        <f>IF($A286="","",SUMIFS('Timesheet Raw'!$P$4:$P$8000,'Timesheet Raw'!$L$4:$L$8000,$A286,'Timesheet Raw'!$C$4:$C$8000,L$3,'Timesheet Raw'!$A$4:$A$8000,"2-Proposals Chargeable")+SUMIFS('Timesheet Raw'!$P$4:$P$8000,'Timesheet Raw'!$L$4:$L$8000,$A286,'Timesheet Raw'!$C$4:$C$8000,L$3,'Timesheet Raw'!$A$4:$A$8000,"3-Proposals Regular"))</f>
        <v>0</v>
      </c>
      <c r="N286" s="341">
        <f>IF($A286="","",SUMIFS('Timesheet Raw'!$P$4:$P$8000,'Timesheet Raw'!$L$4:$L$8000,$A286,'Timesheet Raw'!$C$4:$C$8000,L$3,'Timesheet Raw'!$B$4:$B$8000,'Work Calendar'!$A$26)+SUMIFS('Timesheet Raw'!$P$4:$P$8000,'Timesheet Raw'!$L$4:$L$8000,$A286,'Timesheet Raw'!$C$4:$C$8000,L$3,'Timesheet Raw'!$B$4:$B$8000,'Work Calendar'!$A$27)+SUMIFS('Timesheet Raw'!$P$4:$P$8000,'Timesheet Raw'!$L$4:$L$8000,$A286,'Timesheet Raw'!$C$4:$C$8000,L$3,'Timesheet Raw'!$B$4:$B$8000,'Work Calendar'!$A$28)+SUMIFS('Timesheet Raw'!$P$4:$P$8000,'Timesheet Raw'!$L$4:$L$8000,$A286,'Timesheet Raw'!$C$4:$C$8000,L$3,'Timesheet Raw'!$B$4:$B$8000,'Work Calendar'!$A$29))</f>
        <v>0</v>
      </c>
      <c r="O286" s="341">
        <f t="shared" si="18"/>
        <v>0</v>
      </c>
      <c r="P286" s="395">
        <f>IF($A286="","",SUMIFS('Timesheet Raw'!$K$4:$K$8000,'Timesheet Raw'!$L$4:$L$8000,$A286,'Timesheet Raw'!$C$4:$C$8000,L$3))</f>
        <v>0</v>
      </c>
      <c r="Q286" s="345">
        <f>IF($A286="","",SUMIFS('Timesheet Raw'!$P$4:$P$8000,'Timesheet Raw'!$L$4:$L$8000,$A286,'Timesheet Raw'!$C$4:$C$8000,L$3))</f>
        <v>0</v>
      </c>
      <c r="R286" s="375"/>
      <c r="S286" t="str">
        <f>IF($A286="","",IF(R286&lt;&gt;"",R286,IF($A286&gt;'Work Calendar'!$B$17,"No data yet",IF(AND(N286&gt;='Work Calendar'!$B$14,L286+M286+O286&gt;0),"Day off - but worked",IF(N286&gt;='Work Calendar'!$B$14,"Day off",IF(L286+M286+O286&gt;0,IF($C286="Working","Charged","Worked weekend"),IF($C286="Working","Leave (not charged)",$C286)))))))</f>
        <v>No data yet</v>
      </c>
      <c r="T286" s="341">
        <f>IF($A286="","",SUMIFS('Timesheet Raw'!$P$4:$P$8000,'Timesheet Raw'!$L$4:$L$8000,$A286,'Timesheet Raw'!$C$4:$C$8000,T$3,'Timesheet Raw'!$A$4:$A$8000,"1-Projects"))</f>
        <v>0</v>
      </c>
      <c r="U286" s="341">
        <f>IF($A286="","",SUMIFS('Timesheet Raw'!$P$4:$P$8000,'Timesheet Raw'!$L$4:$L$8000,$A286,'Timesheet Raw'!$C$4:$C$8000,T$3,'Timesheet Raw'!$A$4:$A$8000,"2-Proposals Chargeable")+SUMIFS('Timesheet Raw'!$P$4:$P$8000,'Timesheet Raw'!$L$4:$L$8000,$A286,'Timesheet Raw'!$C$4:$C$8000,T$3,'Timesheet Raw'!$A$4:$A$8000,"3-Proposals Regular"))</f>
        <v>0</v>
      </c>
      <c r="V286" s="341">
        <f>IF($A286="","",SUMIFS('Timesheet Raw'!$P$4:$P$8000,'Timesheet Raw'!$L$4:$L$8000,$A286,'Timesheet Raw'!$C$4:$C$8000,T$3,'Timesheet Raw'!$B$4:$B$8000,'Work Calendar'!$A$26)+SUMIFS('Timesheet Raw'!$P$4:$P$8000,'Timesheet Raw'!$L$4:$L$8000,$A286,'Timesheet Raw'!$C$4:$C$8000,T$3,'Timesheet Raw'!$B$4:$B$8000,'Work Calendar'!$A$27)+SUMIFS('Timesheet Raw'!$P$4:$P$8000,'Timesheet Raw'!$L$4:$L$8000,$A286,'Timesheet Raw'!$C$4:$C$8000,T$3,'Timesheet Raw'!$B$4:$B$8000,'Work Calendar'!$A$28)+SUMIFS('Timesheet Raw'!$P$4:$P$8000,'Timesheet Raw'!$L$4:$L$8000,$A286,'Timesheet Raw'!$C$4:$C$8000,T$3,'Timesheet Raw'!$B$4:$B$8000,'Work Calendar'!$A$29))</f>
        <v>0</v>
      </c>
      <c r="W286" s="341">
        <f t="shared" si="19"/>
        <v>0</v>
      </c>
      <c r="X286" s="395">
        <f>IF($A286="","",SUMIFS('Timesheet Raw'!$K$4:$K$8000,'Timesheet Raw'!$L$4:$L$8000,$A286,'Timesheet Raw'!$C$4:$C$8000,T$3))</f>
        <v>0</v>
      </c>
      <c r="Y286" s="345">
        <f>IF($A286="","",SUMIFS('Timesheet Raw'!$P$4:$P$8000,'Timesheet Raw'!$L$4:$L$8000,$A286,'Timesheet Raw'!$C$4:$C$8000,T$3))</f>
        <v>0</v>
      </c>
      <c r="Z286" s="375"/>
      <c r="AA286" t="str">
        <f>IF($A286="","",IF(Z286&lt;&gt;"",Z286,IF($A286&gt;'Work Calendar'!$B$17,"No data yet",IF(AND(V286&gt;='Work Calendar'!$B$14,T286+U286+W286&gt;0),"Day off - but worked",IF(V286&gt;='Work Calendar'!$B$14,"Day off",IF(T286+U286+W286&gt;0,IF($C286="Working","Charged","Worked weekend"),IF($C286="Working","Leave (not charged)",$C286)))))))</f>
        <v>No data yet</v>
      </c>
    </row>
    <row r="287" spans="1:27" x14ac:dyDescent="0.3">
      <c r="A287" s="371">
        <f>IF($A286="","",IF($A286+1&gt;'Work Calendar'!$B$16,"",$A286+1))</f>
        <v>46305</v>
      </c>
      <c r="B287" t="str">
        <f t="shared" si="16"/>
        <v>Sat</v>
      </c>
      <c r="C287" t="str" cm="1">
        <f t="array" ref="C287">IF($A287="","",IF(COUNTIF('Work Calendar'!$E$6:$E$200,$A287)&gt;0,"Holiday",IF(INDEX('Work Calendar'!$C$6:$C$12,WEEKDAY($A287,1))=1,"Working","Weekend")))</f>
        <v>Weekend</v>
      </c>
      <c r="D287" s="341">
        <f>IF($A287="","",SUMIFS('Timesheet Raw'!$P$4:$P$8000,'Timesheet Raw'!$L$4:$L$8000,$A287,'Timesheet Raw'!$C$4:$C$8000,D$3,'Timesheet Raw'!$A$4:$A$8000,"1-Projects"))</f>
        <v>0</v>
      </c>
      <c r="E287" s="341">
        <f>IF($A287="","",SUMIFS('Timesheet Raw'!$P$4:$P$8000,'Timesheet Raw'!$L$4:$L$8000,$A287,'Timesheet Raw'!$C$4:$C$8000,D$3,'Timesheet Raw'!$A$4:$A$8000,"2-Proposals Chargeable")+SUMIFS('Timesheet Raw'!$P$4:$P$8000,'Timesheet Raw'!$L$4:$L$8000,$A287,'Timesheet Raw'!$C$4:$C$8000,D$3,'Timesheet Raw'!$A$4:$A$8000,"3-Proposals Regular"))</f>
        <v>0</v>
      </c>
      <c r="F287" s="341">
        <f>IF($A287="","",SUMIFS('Timesheet Raw'!$P$4:$P$8000,'Timesheet Raw'!$L$4:$L$8000,$A287,'Timesheet Raw'!$C$4:$C$8000,D$3,'Timesheet Raw'!$B$4:$B$8000,'Work Calendar'!$A$26)+SUMIFS('Timesheet Raw'!$P$4:$P$8000,'Timesheet Raw'!$L$4:$L$8000,$A287,'Timesheet Raw'!$C$4:$C$8000,D$3,'Timesheet Raw'!$B$4:$B$8000,'Work Calendar'!$A$27)+SUMIFS('Timesheet Raw'!$P$4:$P$8000,'Timesheet Raw'!$L$4:$L$8000,$A287,'Timesheet Raw'!$C$4:$C$8000,D$3,'Timesheet Raw'!$B$4:$B$8000,'Work Calendar'!$A$28)+SUMIFS('Timesheet Raw'!$P$4:$P$8000,'Timesheet Raw'!$L$4:$L$8000,$A287,'Timesheet Raw'!$C$4:$C$8000,D$3,'Timesheet Raw'!$B$4:$B$8000,'Work Calendar'!$A$29))</f>
        <v>0</v>
      </c>
      <c r="G287" s="341">
        <f t="shared" si="17"/>
        <v>0</v>
      </c>
      <c r="H287" s="395">
        <f>IF($A287="","",SUMIFS('Timesheet Raw'!$K$4:$K$8000,'Timesheet Raw'!$L$4:$L$8000,$A287,'Timesheet Raw'!$C$4:$C$8000,D$3))</f>
        <v>0</v>
      </c>
      <c r="I287" s="345">
        <f>IF($A287="","",SUMIFS('Timesheet Raw'!$P$4:$P$8000,'Timesheet Raw'!$L$4:$L$8000,$A287,'Timesheet Raw'!$C$4:$C$8000,D$3))</f>
        <v>0</v>
      </c>
      <c r="J287" s="375"/>
      <c r="K287" t="str">
        <f>IF($A287="","",IF(J287&lt;&gt;"",J287,IF($A287&gt;'Work Calendar'!$B$17,"No data yet",IF(AND(F287&gt;='Work Calendar'!$B$14,D287+E287+G287&gt;0),"Day off - but worked",IF(F287&gt;='Work Calendar'!$B$14,"Day off",IF(D287+E287+G287&gt;0,IF($C287="Working","Charged","Worked weekend"),IF($C287="Working","Leave (not charged)",$C287)))))))</f>
        <v>No data yet</v>
      </c>
      <c r="L287" s="341">
        <f>IF($A287="","",SUMIFS('Timesheet Raw'!$P$4:$P$8000,'Timesheet Raw'!$L$4:$L$8000,$A287,'Timesheet Raw'!$C$4:$C$8000,L$3,'Timesheet Raw'!$A$4:$A$8000,"1-Projects"))</f>
        <v>0</v>
      </c>
      <c r="M287" s="341">
        <f>IF($A287="","",SUMIFS('Timesheet Raw'!$P$4:$P$8000,'Timesheet Raw'!$L$4:$L$8000,$A287,'Timesheet Raw'!$C$4:$C$8000,L$3,'Timesheet Raw'!$A$4:$A$8000,"2-Proposals Chargeable")+SUMIFS('Timesheet Raw'!$P$4:$P$8000,'Timesheet Raw'!$L$4:$L$8000,$A287,'Timesheet Raw'!$C$4:$C$8000,L$3,'Timesheet Raw'!$A$4:$A$8000,"3-Proposals Regular"))</f>
        <v>0</v>
      </c>
      <c r="N287" s="341">
        <f>IF($A287="","",SUMIFS('Timesheet Raw'!$P$4:$P$8000,'Timesheet Raw'!$L$4:$L$8000,$A287,'Timesheet Raw'!$C$4:$C$8000,L$3,'Timesheet Raw'!$B$4:$B$8000,'Work Calendar'!$A$26)+SUMIFS('Timesheet Raw'!$P$4:$P$8000,'Timesheet Raw'!$L$4:$L$8000,$A287,'Timesheet Raw'!$C$4:$C$8000,L$3,'Timesheet Raw'!$B$4:$B$8000,'Work Calendar'!$A$27)+SUMIFS('Timesheet Raw'!$P$4:$P$8000,'Timesheet Raw'!$L$4:$L$8000,$A287,'Timesheet Raw'!$C$4:$C$8000,L$3,'Timesheet Raw'!$B$4:$B$8000,'Work Calendar'!$A$28)+SUMIFS('Timesheet Raw'!$P$4:$P$8000,'Timesheet Raw'!$L$4:$L$8000,$A287,'Timesheet Raw'!$C$4:$C$8000,L$3,'Timesheet Raw'!$B$4:$B$8000,'Work Calendar'!$A$29))</f>
        <v>0</v>
      </c>
      <c r="O287" s="341">
        <f t="shared" si="18"/>
        <v>0</v>
      </c>
      <c r="P287" s="395">
        <f>IF($A287="","",SUMIFS('Timesheet Raw'!$K$4:$K$8000,'Timesheet Raw'!$L$4:$L$8000,$A287,'Timesheet Raw'!$C$4:$C$8000,L$3))</f>
        <v>0</v>
      </c>
      <c r="Q287" s="345">
        <f>IF($A287="","",SUMIFS('Timesheet Raw'!$P$4:$P$8000,'Timesheet Raw'!$L$4:$L$8000,$A287,'Timesheet Raw'!$C$4:$C$8000,L$3))</f>
        <v>0</v>
      </c>
      <c r="R287" s="375"/>
      <c r="S287" t="str">
        <f>IF($A287="","",IF(R287&lt;&gt;"",R287,IF($A287&gt;'Work Calendar'!$B$17,"No data yet",IF(AND(N287&gt;='Work Calendar'!$B$14,L287+M287+O287&gt;0),"Day off - but worked",IF(N287&gt;='Work Calendar'!$B$14,"Day off",IF(L287+M287+O287&gt;0,IF($C287="Working","Charged","Worked weekend"),IF($C287="Working","Leave (not charged)",$C287)))))))</f>
        <v>No data yet</v>
      </c>
      <c r="T287" s="341">
        <f>IF($A287="","",SUMIFS('Timesheet Raw'!$P$4:$P$8000,'Timesheet Raw'!$L$4:$L$8000,$A287,'Timesheet Raw'!$C$4:$C$8000,T$3,'Timesheet Raw'!$A$4:$A$8000,"1-Projects"))</f>
        <v>0</v>
      </c>
      <c r="U287" s="341">
        <f>IF($A287="","",SUMIFS('Timesheet Raw'!$P$4:$P$8000,'Timesheet Raw'!$L$4:$L$8000,$A287,'Timesheet Raw'!$C$4:$C$8000,T$3,'Timesheet Raw'!$A$4:$A$8000,"2-Proposals Chargeable")+SUMIFS('Timesheet Raw'!$P$4:$P$8000,'Timesheet Raw'!$L$4:$L$8000,$A287,'Timesheet Raw'!$C$4:$C$8000,T$3,'Timesheet Raw'!$A$4:$A$8000,"3-Proposals Regular"))</f>
        <v>0</v>
      </c>
      <c r="V287" s="341">
        <f>IF($A287="","",SUMIFS('Timesheet Raw'!$P$4:$P$8000,'Timesheet Raw'!$L$4:$L$8000,$A287,'Timesheet Raw'!$C$4:$C$8000,T$3,'Timesheet Raw'!$B$4:$B$8000,'Work Calendar'!$A$26)+SUMIFS('Timesheet Raw'!$P$4:$P$8000,'Timesheet Raw'!$L$4:$L$8000,$A287,'Timesheet Raw'!$C$4:$C$8000,T$3,'Timesheet Raw'!$B$4:$B$8000,'Work Calendar'!$A$27)+SUMIFS('Timesheet Raw'!$P$4:$P$8000,'Timesheet Raw'!$L$4:$L$8000,$A287,'Timesheet Raw'!$C$4:$C$8000,T$3,'Timesheet Raw'!$B$4:$B$8000,'Work Calendar'!$A$28)+SUMIFS('Timesheet Raw'!$P$4:$P$8000,'Timesheet Raw'!$L$4:$L$8000,$A287,'Timesheet Raw'!$C$4:$C$8000,T$3,'Timesheet Raw'!$B$4:$B$8000,'Work Calendar'!$A$29))</f>
        <v>0</v>
      </c>
      <c r="W287" s="341">
        <f t="shared" si="19"/>
        <v>0</v>
      </c>
      <c r="X287" s="395">
        <f>IF($A287="","",SUMIFS('Timesheet Raw'!$K$4:$K$8000,'Timesheet Raw'!$L$4:$L$8000,$A287,'Timesheet Raw'!$C$4:$C$8000,T$3))</f>
        <v>0</v>
      </c>
      <c r="Y287" s="345">
        <f>IF($A287="","",SUMIFS('Timesheet Raw'!$P$4:$P$8000,'Timesheet Raw'!$L$4:$L$8000,$A287,'Timesheet Raw'!$C$4:$C$8000,T$3))</f>
        <v>0</v>
      </c>
      <c r="Z287" s="375"/>
      <c r="AA287" t="str">
        <f>IF($A287="","",IF(Z287&lt;&gt;"",Z287,IF($A287&gt;'Work Calendar'!$B$17,"No data yet",IF(AND(V287&gt;='Work Calendar'!$B$14,T287+U287+W287&gt;0),"Day off - but worked",IF(V287&gt;='Work Calendar'!$B$14,"Day off",IF(T287+U287+W287&gt;0,IF($C287="Working","Charged","Worked weekend"),IF($C287="Working","Leave (not charged)",$C287)))))))</f>
        <v>No data yet</v>
      </c>
    </row>
    <row r="288" spans="1:27" x14ac:dyDescent="0.3">
      <c r="A288" s="371">
        <f>IF($A287="","",IF($A287+1&gt;'Work Calendar'!$B$16,"",$A287+1))</f>
        <v>46306</v>
      </c>
      <c r="B288" t="str">
        <f t="shared" si="16"/>
        <v>Sun</v>
      </c>
      <c r="C288" t="str" cm="1">
        <f t="array" ref="C288">IF($A288="","",IF(COUNTIF('Work Calendar'!$E$6:$E$200,$A288)&gt;0,"Holiday",IF(INDEX('Work Calendar'!$C$6:$C$12,WEEKDAY($A288,1))=1,"Working","Weekend")))</f>
        <v>Working</v>
      </c>
      <c r="D288" s="341">
        <f>IF($A288="","",SUMIFS('Timesheet Raw'!$P$4:$P$8000,'Timesheet Raw'!$L$4:$L$8000,$A288,'Timesheet Raw'!$C$4:$C$8000,D$3,'Timesheet Raw'!$A$4:$A$8000,"1-Projects"))</f>
        <v>0</v>
      </c>
      <c r="E288" s="341">
        <f>IF($A288="","",SUMIFS('Timesheet Raw'!$P$4:$P$8000,'Timesheet Raw'!$L$4:$L$8000,$A288,'Timesheet Raw'!$C$4:$C$8000,D$3,'Timesheet Raw'!$A$4:$A$8000,"2-Proposals Chargeable")+SUMIFS('Timesheet Raw'!$P$4:$P$8000,'Timesheet Raw'!$L$4:$L$8000,$A288,'Timesheet Raw'!$C$4:$C$8000,D$3,'Timesheet Raw'!$A$4:$A$8000,"3-Proposals Regular"))</f>
        <v>0</v>
      </c>
      <c r="F288" s="341">
        <f>IF($A288="","",SUMIFS('Timesheet Raw'!$P$4:$P$8000,'Timesheet Raw'!$L$4:$L$8000,$A288,'Timesheet Raw'!$C$4:$C$8000,D$3,'Timesheet Raw'!$B$4:$B$8000,'Work Calendar'!$A$26)+SUMIFS('Timesheet Raw'!$P$4:$P$8000,'Timesheet Raw'!$L$4:$L$8000,$A288,'Timesheet Raw'!$C$4:$C$8000,D$3,'Timesheet Raw'!$B$4:$B$8000,'Work Calendar'!$A$27)+SUMIFS('Timesheet Raw'!$P$4:$P$8000,'Timesheet Raw'!$L$4:$L$8000,$A288,'Timesheet Raw'!$C$4:$C$8000,D$3,'Timesheet Raw'!$B$4:$B$8000,'Work Calendar'!$A$28)+SUMIFS('Timesheet Raw'!$P$4:$P$8000,'Timesheet Raw'!$L$4:$L$8000,$A288,'Timesheet Raw'!$C$4:$C$8000,D$3,'Timesheet Raw'!$B$4:$B$8000,'Work Calendar'!$A$29))</f>
        <v>0</v>
      </c>
      <c r="G288" s="341">
        <f t="shared" si="17"/>
        <v>0</v>
      </c>
      <c r="H288" s="395">
        <f>IF($A288="","",SUMIFS('Timesheet Raw'!$K$4:$K$8000,'Timesheet Raw'!$L$4:$L$8000,$A288,'Timesheet Raw'!$C$4:$C$8000,D$3))</f>
        <v>0</v>
      </c>
      <c r="I288" s="345">
        <f>IF($A288="","",SUMIFS('Timesheet Raw'!$P$4:$P$8000,'Timesheet Raw'!$L$4:$L$8000,$A288,'Timesheet Raw'!$C$4:$C$8000,D$3))</f>
        <v>0</v>
      </c>
      <c r="J288" s="375"/>
      <c r="K288" t="str">
        <f>IF($A288="","",IF(J288&lt;&gt;"",J288,IF($A288&gt;'Work Calendar'!$B$17,"No data yet",IF(AND(F288&gt;='Work Calendar'!$B$14,D288+E288+G288&gt;0),"Day off - but worked",IF(F288&gt;='Work Calendar'!$B$14,"Day off",IF(D288+E288+G288&gt;0,IF($C288="Working","Charged","Worked weekend"),IF($C288="Working","Leave (not charged)",$C288)))))))</f>
        <v>No data yet</v>
      </c>
      <c r="L288" s="341">
        <f>IF($A288="","",SUMIFS('Timesheet Raw'!$P$4:$P$8000,'Timesheet Raw'!$L$4:$L$8000,$A288,'Timesheet Raw'!$C$4:$C$8000,L$3,'Timesheet Raw'!$A$4:$A$8000,"1-Projects"))</f>
        <v>0</v>
      </c>
      <c r="M288" s="341">
        <f>IF($A288="","",SUMIFS('Timesheet Raw'!$P$4:$P$8000,'Timesheet Raw'!$L$4:$L$8000,$A288,'Timesheet Raw'!$C$4:$C$8000,L$3,'Timesheet Raw'!$A$4:$A$8000,"2-Proposals Chargeable")+SUMIFS('Timesheet Raw'!$P$4:$P$8000,'Timesheet Raw'!$L$4:$L$8000,$A288,'Timesheet Raw'!$C$4:$C$8000,L$3,'Timesheet Raw'!$A$4:$A$8000,"3-Proposals Regular"))</f>
        <v>0</v>
      </c>
      <c r="N288" s="341">
        <f>IF($A288="","",SUMIFS('Timesheet Raw'!$P$4:$P$8000,'Timesheet Raw'!$L$4:$L$8000,$A288,'Timesheet Raw'!$C$4:$C$8000,L$3,'Timesheet Raw'!$B$4:$B$8000,'Work Calendar'!$A$26)+SUMIFS('Timesheet Raw'!$P$4:$P$8000,'Timesheet Raw'!$L$4:$L$8000,$A288,'Timesheet Raw'!$C$4:$C$8000,L$3,'Timesheet Raw'!$B$4:$B$8000,'Work Calendar'!$A$27)+SUMIFS('Timesheet Raw'!$P$4:$P$8000,'Timesheet Raw'!$L$4:$L$8000,$A288,'Timesheet Raw'!$C$4:$C$8000,L$3,'Timesheet Raw'!$B$4:$B$8000,'Work Calendar'!$A$28)+SUMIFS('Timesheet Raw'!$P$4:$P$8000,'Timesheet Raw'!$L$4:$L$8000,$A288,'Timesheet Raw'!$C$4:$C$8000,L$3,'Timesheet Raw'!$B$4:$B$8000,'Work Calendar'!$A$29))</f>
        <v>0</v>
      </c>
      <c r="O288" s="341">
        <f t="shared" si="18"/>
        <v>0</v>
      </c>
      <c r="P288" s="395">
        <f>IF($A288="","",SUMIFS('Timesheet Raw'!$K$4:$K$8000,'Timesheet Raw'!$L$4:$L$8000,$A288,'Timesheet Raw'!$C$4:$C$8000,L$3))</f>
        <v>0</v>
      </c>
      <c r="Q288" s="345">
        <f>IF($A288="","",SUMIFS('Timesheet Raw'!$P$4:$P$8000,'Timesheet Raw'!$L$4:$L$8000,$A288,'Timesheet Raw'!$C$4:$C$8000,L$3))</f>
        <v>0</v>
      </c>
      <c r="R288" s="375"/>
      <c r="S288" t="str">
        <f>IF($A288="","",IF(R288&lt;&gt;"",R288,IF($A288&gt;'Work Calendar'!$B$17,"No data yet",IF(AND(N288&gt;='Work Calendar'!$B$14,L288+M288+O288&gt;0),"Day off - but worked",IF(N288&gt;='Work Calendar'!$B$14,"Day off",IF(L288+M288+O288&gt;0,IF($C288="Working","Charged","Worked weekend"),IF($C288="Working","Leave (not charged)",$C288)))))))</f>
        <v>No data yet</v>
      </c>
      <c r="T288" s="341">
        <f>IF($A288="","",SUMIFS('Timesheet Raw'!$P$4:$P$8000,'Timesheet Raw'!$L$4:$L$8000,$A288,'Timesheet Raw'!$C$4:$C$8000,T$3,'Timesheet Raw'!$A$4:$A$8000,"1-Projects"))</f>
        <v>0</v>
      </c>
      <c r="U288" s="341">
        <f>IF($A288="","",SUMIFS('Timesheet Raw'!$P$4:$P$8000,'Timesheet Raw'!$L$4:$L$8000,$A288,'Timesheet Raw'!$C$4:$C$8000,T$3,'Timesheet Raw'!$A$4:$A$8000,"2-Proposals Chargeable")+SUMIFS('Timesheet Raw'!$P$4:$P$8000,'Timesheet Raw'!$L$4:$L$8000,$A288,'Timesheet Raw'!$C$4:$C$8000,T$3,'Timesheet Raw'!$A$4:$A$8000,"3-Proposals Regular"))</f>
        <v>0</v>
      </c>
      <c r="V288" s="341">
        <f>IF($A288="","",SUMIFS('Timesheet Raw'!$P$4:$P$8000,'Timesheet Raw'!$L$4:$L$8000,$A288,'Timesheet Raw'!$C$4:$C$8000,T$3,'Timesheet Raw'!$B$4:$B$8000,'Work Calendar'!$A$26)+SUMIFS('Timesheet Raw'!$P$4:$P$8000,'Timesheet Raw'!$L$4:$L$8000,$A288,'Timesheet Raw'!$C$4:$C$8000,T$3,'Timesheet Raw'!$B$4:$B$8000,'Work Calendar'!$A$27)+SUMIFS('Timesheet Raw'!$P$4:$P$8000,'Timesheet Raw'!$L$4:$L$8000,$A288,'Timesheet Raw'!$C$4:$C$8000,T$3,'Timesheet Raw'!$B$4:$B$8000,'Work Calendar'!$A$28)+SUMIFS('Timesheet Raw'!$P$4:$P$8000,'Timesheet Raw'!$L$4:$L$8000,$A288,'Timesheet Raw'!$C$4:$C$8000,T$3,'Timesheet Raw'!$B$4:$B$8000,'Work Calendar'!$A$29))</f>
        <v>0</v>
      </c>
      <c r="W288" s="341">
        <f t="shared" si="19"/>
        <v>0</v>
      </c>
      <c r="X288" s="395">
        <f>IF($A288="","",SUMIFS('Timesheet Raw'!$K$4:$K$8000,'Timesheet Raw'!$L$4:$L$8000,$A288,'Timesheet Raw'!$C$4:$C$8000,T$3))</f>
        <v>0</v>
      </c>
      <c r="Y288" s="345">
        <f>IF($A288="","",SUMIFS('Timesheet Raw'!$P$4:$P$8000,'Timesheet Raw'!$L$4:$L$8000,$A288,'Timesheet Raw'!$C$4:$C$8000,T$3))</f>
        <v>0</v>
      </c>
      <c r="Z288" s="375"/>
      <c r="AA288" t="str">
        <f>IF($A288="","",IF(Z288&lt;&gt;"",Z288,IF($A288&gt;'Work Calendar'!$B$17,"No data yet",IF(AND(V288&gt;='Work Calendar'!$B$14,T288+U288+W288&gt;0),"Day off - but worked",IF(V288&gt;='Work Calendar'!$B$14,"Day off",IF(T288+U288+W288&gt;0,IF($C288="Working","Charged","Worked weekend"),IF($C288="Working","Leave (not charged)",$C288)))))))</f>
        <v>No data yet</v>
      </c>
    </row>
    <row r="289" spans="1:27" x14ac:dyDescent="0.3">
      <c r="A289" s="371">
        <f>IF($A288="","",IF($A288+1&gt;'Work Calendar'!$B$16,"",$A288+1))</f>
        <v>46307</v>
      </c>
      <c r="B289" t="str">
        <f t="shared" si="16"/>
        <v>Mon</v>
      </c>
      <c r="C289" t="str" cm="1">
        <f t="array" ref="C289">IF($A289="","",IF(COUNTIF('Work Calendar'!$E$6:$E$200,$A289)&gt;0,"Holiday",IF(INDEX('Work Calendar'!$C$6:$C$12,WEEKDAY($A289,1))=1,"Working","Weekend")))</f>
        <v>Working</v>
      </c>
      <c r="D289" s="341">
        <f>IF($A289="","",SUMIFS('Timesheet Raw'!$P$4:$P$8000,'Timesheet Raw'!$L$4:$L$8000,$A289,'Timesheet Raw'!$C$4:$C$8000,D$3,'Timesheet Raw'!$A$4:$A$8000,"1-Projects"))</f>
        <v>0</v>
      </c>
      <c r="E289" s="341">
        <f>IF($A289="","",SUMIFS('Timesheet Raw'!$P$4:$P$8000,'Timesheet Raw'!$L$4:$L$8000,$A289,'Timesheet Raw'!$C$4:$C$8000,D$3,'Timesheet Raw'!$A$4:$A$8000,"2-Proposals Chargeable")+SUMIFS('Timesheet Raw'!$P$4:$P$8000,'Timesheet Raw'!$L$4:$L$8000,$A289,'Timesheet Raw'!$C$4:$C$8000,D$3,'Timesheet Raw'!$A$4:$A$8000,"3-Proposals Regular"))</f>
        <v>0</v>
      </c>
      <c r="F289" s="341">
        <f>IF($A289="","",SUMIFS('Timesheet Raw'!$P$4:$P$8000,'Timesheet Raw'!$L$4:$L$8000,$A289,'Timesheet Raw'!$C$4:$C$8000,D$3,'Timesheet Raw'!$B$4:$B$8000,'Work Calendar'!$A$26)+SUMIFS('Timesheet Raw'!$P$4:$P$8000,'Timesheet Raw'!$L$4:$L$8000,$A289,'Timesheet Raw'!$C$4:$C$8000,D$3,'Timesheet Raw'!$B$4:$B$8000,'Work Calendar'!$A$27)+SUMIFS('Timesheet Raw'!$P$4:$P$8000,'Timesheet Raw'!$L$4:$L$8000,$A289,'Timesheet Raw'!$C$4:$C$8000,D$3,'Timesheet Raw'!$B$4:$B$8000,'Work Calendar'!$A$28)+SUMIFS('Timesheet Raw'!$P$4:$P$8000,'Timesheet Raw'!$L$4:$L$8000,$A289,'Timesheet Raw'!$C$4:$C$8000,D$3,'Timesheet Raw'!$B$4:$B$8000,'Work Calendar'!$A$29))</f>
        <v>0</v>
      </c>
      <c r="G289" s="341">
        <f t="shared" si="17"/>
        <v>0</v>
      </c>
      <c r="H289" s="395">
        <f>IF($A289="","",SUMIFS('Timesheet Raw'!$K$4:$K$8000,'Timesheet Raw'!$L$4:$L$8000,$A289,'Timesheet Raw'!$C$4:$C$8000,D$3))</f>
        <v>0</v>
      </c>
      <c r="I289" s="345">
        <f>IF($A289="","",SUMIFS('Timesheet Raw'!$P$4:$P$8000,'Timesheet Raw'!$L$4:$L$8000,$A289,'Timesheet Raw'!$C$4:$C$8000,D$3))</f>
        <v>0</v>
      </c>
      <c r="J289" s="375"/>
      <c r="K289" t="str">
        <f>IF($A289="","",IF(J289&lt;&gt;"",J289,IF($A289&gt;'Work Calendar'!$B$17,"No data yet",IF(AND(F289&gt;='Work Calendar'!$B$14,D289+E289+G289&gt;0),"Day off - but worked",IF(F289&gt;='Work Calendar'!$B$14,"Day off",IF(D289+E289+G289&gt;0,IF($C289="Working","Charged","Worked weekend"),IF($C289="Working","Leave (not charged)",$C289)))))))</f>
        <v>No data yet</v>
      </c>
      <c r="L289" s="341">
        <f>IF($A289="","",SUMIFS('Timesheet Raw'!$P$4:$P$8000,'Timesheet Raw'!$L$4:$L$8000,$A289,'Timesheet Raw'!$C$4:$C$8000,L$3,'Timesheet Raw'!$A$4:$A$8000,"1-Projects"))</f>
        <v>0</v>
      </c>
      <c r="M289" s="341">
        <f>IF($A289="","",SUMIFS('Timesheet Raw'!$P$4:$P$8000,'Timesheet Raw'!$L$4:$L$8000,$A289,'Timesheet Raw'!$C$4:$C$8000,L$3,'Timesheet Raw'!$A$4:$A$8000,"2-Proposals Chargeable")+SUMIFS('Timesheet Raw'!$P$4:$P$8000,'Timesheet Raw'!$L$4:$L$8000,$A289,'Timesheet Raw'!$C$4:$C$8000,L$3,'Timesheet Raw'!$A$4:$A$8000,"3-Proposals Regular"))</f>
        <v>0</v>
      </c>
      <c r="N289" s="341">
        <f>IF($A289="","",SUMIFS('Timesheet Raw'!$P$4:$P$8000,'Timesheet Raw'!$L$4:$L$8000,$A289,'Timesheet Raw'!$C$4:$C$8000,L$3,'Timesheet Raw'!$B$4:$B$8000,'Work Calendar'!$A$26)+SUMIFS('Timesheet Raw'!$P$4:$P$8000,'Timesheet Raw'!$L$4:$L$8000,$A289,'Timesheet Raw'!$C$4:$C$8000,L$3,'Timesheet Raw'!$B$4:$B$8000,'Work Calendar'!$A$27)+SUMIFS('Timesheet Raw'!$P$4:$P$8000,'Timesheet Raw'!$L$4:$L$8000,$A289,'Timesheet Raw'!$C$4:$C$8000,L$3,'Timesheet Raw'!$B$4:$B$8000,'Work Calendar'!$A$28)+SUMIFS('Timesheet Raw'!$P$4:$P$8000,'Timesheet Raw'!$L$4:$L$8000,$A289,'Timesheet Raw'!$C$4:$C$8000,L$3,'Timesheet Raw'!$B$4:$B$8000,'Work Calendar'!$A$29))</f>
        <v>0</v>
      </c>
      <c r="O289" s="341">
        <f t="shared" si="18"/>
        <v>0</v>
      </c>
      <c r="P289" s="395">
        <f>IF($A289="","",SUMIFS('Timesheet Raw'!$K$4:$K$8000,'Timesheet Raw'!$L$4:$L$8000,$A289,'Timesheet Raw'!$C$4:$C$8000,L$3))</f>
        <v>0</v>
      </c>
      <c r="Q289" s="345">
        <f>IF($A289="","",SUMIFS('Timesheet Raw'!$P$4:$P$8000,'Timesheet Raw'!$L$4:$L$8000,$A289,'Timesheet Raw'!$C$4:$C$8000,L$3))</f>
        <v>0</v>
      </c>
      <c r="R289" s="375"/>
      <c r="S289" t="str">
        <f>IF($A289="","",IF(R289&lt;&gt;"",R289,IF($A289&gt;'Work Calendar'!$B$17,"No data yet",IF(AND(N289&gt;='Work Calendar'!$B$14,L289+M289+O289&gt;0),"Day off - but worked",IF(N289&gt;='Work Calendar'!$B$14,"Day off",IF(L289+M289+O289&gt;0,IF($C289="Working","Charged","Worked weekend"),IF($C289="Working","Leave (not charged)",$C289)))))))</f>
        <v>No data yet</v>
      </c>
      <c r="T289" s="341">
        <f>IF($A289="","",SUMIFS('Timesheet Raw'!$P$4:$P$8000,'Timesheet Raw'!$L$4:$L$8000,$A289,'Timesheet Raw'!$C$4:$C$8000,T$3,'Timesheet Raw'!$A$4:$A$8000,"1-Projects"))</f>
        <v>0</v>
      </c>
      <c r="U289" s="341">
        <f>IF($A289="","",SUMIFS('Timesheet Raw'!$P$4:$P$8000,'Timesheet Raw'!$L$4:$L$8000,$A289,'Timesheet Raw'!$C$4:$C$8000,T$3,'Timesheet Raw'!$A$4:$A$8000,"2-Proposals Chargeable")+SUMIFS('Timesheet Raw'!$P$4:$P$8000,'Timesheet Raw'!$L$4:$L$8000,$A289,'Timesheet Raw'!$C$4:$C$8000,T$3,'Timesheet Raw'!$A$4:$A$8000,"3-Proposals Regular"))</f>
        <v>0</v>
      </c>
      <c r="V289" s="341">
        <f>IF($A289="","",SUMIFS('Timesheet Raw'!$P$4:$P$8000,'Timesheet Raw'!$L$4:$L$8000,$A289,'Timesheet Raw'!$C$4:$C$8000,T$3,'Timesheet Raw'!$B$4:$B$8000,'Work Calendar'!$A$26)+SUMIFS('Timesheet Raw'!$P$4:$P$8000,'Timesheet Raw'!$L$4:$L$8000,$A289,'Timesheet Raw'!$C$4:$C$8000,T$3,'Timesheet Raw'!$B$4:$B$8000,'Work Calendar'!$A$27)+SUMIFS('Timesheet Raw'!$P$4:$P$8000,'Timesheet Raw'!$L$4:$L$8000,$A289,'Timesheet Raw'!$C$4:$C$8000,T$3,'Timesheet Raw'!$B$4:$B$8000,'Work Calendar'!$A$28)+SUMIFS('Timesheet Raw'!$P$4:$P$8000,'Timesheet Raw'!$L$4:$L$8000,$A289,'Timesheet Raw'!$C$4:$C$8000,T$3,'Timesheet Raw'!$B$4:$B$8000,'Work Calendar'!$A$29))</f>
        <v>0</v>
      </c>
      <c r="W289" s="341">
        <f t="shared" si="19"/>
        <v>0</v>
      </c>
      <c r="X289" s="395">
        <f>IF($A289="","",SUMIFS('Timesheet Raw'!$K$4:$K$8000,'Timesheet Raw'!$L$4:$L$8000,$A289,'Timesheet Raw'!$C$4:$C$8000,T$3))</f>
        <v>0</v>
      </c>
      <c r="Y289" s="345">
        <f>IF($A289="","",SUMIFS('Timesheet Raw'!$P$4:$P$8000,'Timesheet Raw'!$L$4:$L$8000,$A289,'Timesheet Raw'!$C$4:$C$8000,T$3))</f>
        <v>0</v>
      </c>
      <c r="Z289" s="375"/>
      <c r="AA289" t="str">
        <f>IF($A289="","",IF(Z289&lt;&gt;"",Z289,IF($A289&gt;'Work Calendar'!$B$17,"No data yet",IF(AND(V289&gt;='Work Calendar'!$B$14,T289+U289+W289&gt;0),"Day off - but worked",IF(V289&gt;='Work Calendar'!$B$14,"Day off",IF(T289+U289+W289&gt;0,IF($C289="Working","Charged","Worked weekend"),IF($C289="Working","Leave (not charged)",$C289)))))))</f>
        <v>No data yet</v>
      </c>
    </row>
    <row r="290" spans="1:27" x14ac:dyDescent="0.3">
      <c r="A290" s="371">
        <f>IF($A289="","",IF($A289+1&gt;'Work Calendar'!$B$16,"",$A289+1))</f>
        <v>46308</v>
      </c>
      <c r="B290" t="str">
        <f t="shared" si="16"/>
        <v>Tue</v>
      </c>
      <c r="C290" t="str" cm="1">
        <f t="array" ref="C290">IF($A290="","",IF(COUNTIF('Work Calendar'!$E$6:$E$200,$A290)&gt;0,"Holiday",IF(INDEX('Work Calendar'!$C$6:$C$12,WEEKDAY($A290,1))=1,"Working","Weekend")))</f>
        <v>Working</v>
      </c>
      <c r="D290" s="341">
        <f>IF($A290="","",SUMIFS('Timesheet Raw'!$P$4:$P$8000,'Timesheet Raw'!$L$4:$L$8000,$A290,'Timesheet Raw'!$C$4:$C$8000,D$3,'Timesheet Raw'!$A$4:$A$8000,"1-Projects"))</f>
        <v>0</v>
      </c>
      <c r="E290" s="341">
        <f>IF($A290="","",SUMIFS('Timesheet Raw'!$P$4:$P$8000,'Timesheet Raw'!$L$4:$L$8000,$A290,'Timesheet Raw'!$C$4:$C$8000,D$3,'Timesheet Raw'!$A$4:$A$8000,"2-Proposals Chargeable")+SUMIFS('Timesheet Raw'!$P$4:$P$8000,'Timesheet Raw'!$L$4:$L$8000,$A290,'Timesheet Raw'!$C$4:$C$8000,D$3,'Timesheet Raw'!$A$4:$A$8000,"3-Proposals Regular"))</f>
        <v>0</v>
      </c>
      <c r="F290" s="341">
        <f>IF($A290="","",SUMIFS('Timesheet Raw'!$P$4:$P$8000,'Timesheet Raw'!$L$4:$L$8000,$A290,'Timesheet Raw'!$C$4:$C$8000,D$3,'Timesheet Raw'!$B$4:$B$8000,'Work Calendar'!$A$26)+SUMIFS('Timesheet Raw'!$P$4:$P$8000,'Timesheet Raw'!$L$4:$L$8000,$A290,'Timesheet Raw'!$C$4:$C$8000,D$3,'Timesheet Raw'!$B$4:$B$8000,'Work Calendar'!$A$27)+SUMIFS('Timesheet Raw'!$P$4:$P$8000,'Timesheet Raw'!$L$4:$L$8000,$A290,'Timesheet Raw'!$C$4:$C$8000,D$3,'Timesheet Raw'!$B$4:$B$8000,'Work Calendar'!$A$28)+SUMIFS('Timesheet Raw'!$P$4:$P$8000,'Timesheet Raw'!$L$4:$L$8000,$A290,'Timesheet Raw'!$C$4:$C$8000,D$3,'Timesheet Raw'!$B$4:$B$8000,'Work Calendar'!$A$29))</f>
        <v>0</v>
      </c>
      <c r="G290" s="341">
        <f t="shared" si="17"/>
        <v>0</v>
      </c>
      <c r="H290" s="395">
        <f>IF($A290="","",SUMIFS('Timesheet Raw'!$K$4:$K$8000,'Timesheet Raw'!$L$4:$L$8000,$A290,'Timesheet Raw'!$C$4:$C$8000,D$3))</f>
        <v>0</v>
      </c>
      <c r="I290" s="345">
        <f>IF($A290="","",SUMIFS('Timesheet Raw'!$P$4:$P$8000,'Timesheet Raw'!$L$4:$L$8000,$A290,'Timesheet Raw'!$C$4:$C$8000,D$3))</f>
        <v>0</v>
      </c>
      <c r="J290" s="375"/>
      <c r="K290" t="str">
        <f>IF($A290="","",IF(J290&lt;&gt;"",J290,IF($A290&gt;'Work Calendar'!$B$17,"No data yet",IF(AND(F290&gt;='Work Calendar'!$B$14,D290+E290+G290&gt;0),"Day off - but worked",IF(F290&gt;='Work Calendar'!$B$14,"Day off",IF(D290+E290+G290&gt;0,IF($C290="Working","Charged","Worked weekend"),IF($C290="Working","Leave (not charged)",$C290)))))))</f>
        <v>No data yet</v>
      </c>
      <c r="L290" s="341">
        <f>IF($A290="","",SUMIFS('Timesheet Raw'!$P$4:$P$8000,'Timesheet Raw'!$L$4:$L$8000,$A290,'Timesheet Raw'!$C$4:$C$8000,L$3,'Timesheet Raw'!$A$4:$A$8000,"1-Projects"))</f>
        <v>0</v>
      </c>
      <c r="M290" s="341">
        <f>IF($A290="","",SUMIFS('Timesheet Raw'!$P$4:$P$8000,'Timesheet Raw'!$L$4:$L$8000,$A290,'Timesheet Raw'!$C$4:$C$8000,L$3,'Timesheet Raw'!$A$4:$A$8000,"2-Proposals Chargeable")+SUMIFS('Timesheet Raw'!$P$4:$P$8000,'Timesheet Raw'!$L$4:$L$8000,$A290,'Timesheet Raw'!$C$4:$C$8000,L$3,'Timesheet Raw'!$A$4:$A$8000,"3-Proposals Regular"))</f>
        <v>0</v>
      </c>
      <c r="N290" s="341">
        <f>IF($A290="","",SUMIFS('Timesheet Raw'!$P$4:$P$8000,'Timesheet Raw'!$L$4:$L$8000,$A290,'Timesheet Raw'!$C$4:$C$8000,L$3,'Timesheet Raw'!$B$4:$B$8000,'Work Calendar'!$A$26)+SUMIFS('Timesheet Raw'!$P$4:$P$8000,'Timesheet Raw'!$L$4:$L$8000,$A290,'Timesheet Raw'!$C$4:$C$8000,L$3,'Timesheet Raw'!$B$4:$B$8000,'Work Calendar'!$A$27)+SUMIFS('Timesheet Raw'!$P$4:$P$8000,'Timesheet Raw'!$L$4:$L$8000,$A290,'Timesheet Raw'!$C$4:$C$8000,L$3,'Timesheet Raw'!$B$4:$B$8000,'Work Calendar'!$A$28)+SUMIFS('Timesheet Raw'!$P$4:$P$8000,'Timesheet Raw'!$L$4:$L$8000,$A290,'Timesheet Raw'!$C$4:$C$8000,L$3,'Timesheet Raw'!$B$4:$B$8000,'Work Calendar'!$A$29))</f>
        <v>0</v>
      </c>
      <c r="O290" s="341">
        <f t="shared" si="18"/>
        <v>0</v>
      </c>
      <c r="P290" s="395">
        <f>IF($A290="","",SUMIFS('Timesheet Raw'!$K$4:$K$8000,'Timesheet Raw'!$L$4:$L$8000,$A290,'Timesheet Raw'!$C$4:$C$8000,L$3))</f>
        <v>0</v>
      </c>
      <c r="Q290" s="345">
        <f>IF($A290="","",SUMIFS('Timesheet Raw'!$P$4:$P$8000,'Timesheet Raw'!$L$4:$L$8000,$A290,'Timesheet Raw'!$C$4:$C$8000,L$3))</f>
        <v>0</v>
      </c>
      <c r="R290" s="375"/>
      <c r="S290" t="str">
        <f>IF($A290="","",IF(R290&lt;&gt;"",R290,IF($A290&gt;'Work Calendar'!$B$17,"No data yet",IF(AND(N290&gt;='Work Calendar'!$B$14,L290+M290+O290&gt;0),"Day off - but worked",IF(N290&gt;='Work Calendar'!$B$14,"Day off",IF(L290+M290+O290&gt;0,IF($C290="Working","Charged","Worked weekend"),IF($C290="Working","Leave (not charged)",$C290)))))))</f>
        <v>No data yet</v>
      </c>
      <c r="T290" s="341">
        <f>IF($A290="","",SUMIFS('Timesheet Raw'!$P$4:$P$8000,'Timesheet Raw'!$L$4:$L$8000,$A290,'Timesheet Raw'!$C$4:$C$8000,T$3,'Timesheet Raw'!$A$4:$A$8000,"1-Projects"))</f>
        <v>0</v>
      </c>
      <c r="U290" s="341">
        <f>IF($A290="","",SUMIFS('Timesheet Raw'!$P$4:$P$8000,'Timesheet Raw'!$L$4:$L$8000,$A290,'Timesheet Raw'!$C$4:$C$8000,T$3,'Timesheet Raw'!$A$4:$A$8000,"2-Proposals Chargeable")+SUMIFS('Timesheet Raw'!$P$4:$P$8000,'Timesheet Raw'!$L$4:$L$8000,$A290,'Timesheet Raw'!$C$4:$C$8000,T$3,'Timesheet Raw'!$A$4:$A$8000,"3-Proposals Regular"))</f>
        <v>0</v>
      </c>
      <c r="V290" s="341">
        <f>IF($A290="","",SUMIFS('Timesheet Raw'!$P$4:$P$8000,'Timesheet Raw'!$L$4:$L$8000,$A290,'Timesheet Raw'!$C$4:$C$8000,T$3,'Timesheet Raw'!$B$4:$B$8000,'Work Calendar'!$A$26)+SUMIFS('Timesheet Raw'!$P$4:$P$8000,'Timesheet Raw'!$L$4:$L$8000,$A290,'Timesheet Raw'!$C$4:$C$8000,T$3,'Timesheet Raw'!$B$4:$B$8000,'Work Calendar'!$A$27)+SUMIFS('Timesheet Raw'!$P$4:$P$8000,'Timesheet Raw'!$L$4:$L$8000,$A290,'Timesheet Raw'!$C$4:$C$8000,T$3,'Timesheet Raw'!$B$4:$B$8000,'Work Calendar'!$A$28)+SUMIFS('Timesheet Raw'!$P$4:$P$8000,'Timesheet Raw'!$L$4:$L$8000,$A290,'Timesheet Raw'!$C$4:$C$8000,T$3,'Timesheet Raw'!$B$4:$B$8000,'Work Calendar'!$A$29))</f>
        <v>0</v>
      </c>
      <c r="W290" s="341">
        <f t="shared" si="19"/>
        <v>0</v>
      </c>
      <c r="X290" s="395">
        <f>IF($A290="","",SUMIFS('Timesheet Raw'!$K$4:$K$8000,'Timesheet Raw'!$L$4:$L$8000,$A290,'Timesheet Raw'!$C$4:$C$8000,T$3))</f>
        <v>0</v>
      </c>
      <c r="Y290" s="345">
        <f>IF($A290="","",SUMIFS('Timesheet Raw'!$P$4:$P$8000,'Timesheet Raw'!$L$4:$L$8000,$A290,'Timesheet Raw'!$C$4:$C$8000,T$3))</f>
        <v>0</v>
      </c>
      <c r="Z290" s="375"/>
      <c r="AA290" t="str">
        <f>IF($A290="","",IF(Z290&lt;&gt;"",Z290,IF($A290&gt;'Work Calendar'!$B$17,"No data yet",IF(AND(V290&gt;='Work Calendar'!$B$14,T290+U290+W290&gt;0),"Day off - but worked",IF(V290&gt;='Work Calendar'!$B$14,"Day off",IF(T290+U290+W290&gt;0,IF($C290="Working","Charged","Worked weekend"),IF($C290="Working","Leave (not charged)",$C290)))))))</f>
        <v>No data yet</v>
      </c>
    </row>
    <row r="291" spans="1:27" x14ac:dyDescent="0.3">
      <c r="A291" s="371">
        <f>IF($A290="","",IF($A290+1&gt;'Work Calendar'!$B$16,"",$A290+1))</f>
        <v>46309</v>
      </c>
      <c r="B291" t="str">
        <f t="shared" si="16"/>
        <v>Wed</v>
      </c>
      <c r="C291" t="str" cm="1">
        <f t="array" ref="C291">IF($A291="","",IF(COUNTIF('Work Calendar'!$E$6:$E$200,$A291)&gt;0,"Holiday",IF(INDEX('Work Calendar'!$C$6:$C$12,WEEKDAY($A291,1))=1,"Working","Weekend")))</f>
        <v>Working</v>
      </c>
      <c r="D291" s="341">
        <f>IF($A291="","",SUMIFS('Timesheet Raw'!$P$4:$P$8000,'Timesheet Raw'!$L$4:$L$8000,$A291,'Timesheet Raw'!$C$4:$C$8000,D$3,'Timesheet Raw'!$A$4:$A$8000,"1-Projects"))</f>
        <v>0</v>
      </c>
      <c r="E291" s="341">
        <f>IF($A291="","",SUMIFS('Timesheet Raw'!$P$4:$P$8000,'Timesheet Raw'!$L$4:$L$8000,$A291,'Timesheet Raw'!$C$4:$C$8000,D$3,'Timesheet Raw'!$A$4:$A$8000,"2-Proposals Chargeable")+SUMIFS('Timesheet Raw'!$P$4:$P$8000,'Timesheet Raw'!$L$4:$L$8000,$A291,'Timesheet Raw'!$C$4:$C$8000,D$3,'Timesheet Raw'!$A$4:$A$8000,"3-Proposals Regular"))</f>
        <v>0</v>
      </c>
      <c r="F291" s="341">
        <f>IF($A291="","",SUMIFS('Timesheet Raw'!$P$4:$P$8000,'Timesheet Raw'!$L$4:$L$8000,$A291,'Timesheet Raw'!$C$4:$C$8000,D$3,'Timesheet Raw'!$B$4:$B$8000,'Work Calendar'!$A$26)+SUMIFS('Timesheet Raw'!$P$4:$P$8000,'Timesheet Raw'!$L$4:$L$8000,$A291,'Timesheet Raw'!$C$4:$C$8000,D$3,'Timesheet Raw'!$B$4:$B$8000,'Work Calendar'!$A$27)+SUMIFS('Timesheet Raw'!$P$4:$P$8000,'Timesheet Raw'!$L$4:$L$8000,$A291,'Timesheet Raw'!$C$4:$C$8000,D$3,'Timesheet Raw'!$B$4:$B$8000,'Work Calendar'!$A$28)+SUMIFS('Timesheet Raw'!$P$4:$P$8000,'Timesheet Raw'!$L$4:$L$8000,$A291,'Timesheet Raw'!$C$4:$C$8000,D$3,'Timesheet Raw'!$B$4:$B$8000,'Work Calendar'!$A$29))</f>
        <v>0</v>
      </c>
      <c r="G291" s="341">
        <f t="shared" si="17"/>
        <v>0</v>
      </c>
      <c r="H291" s="395">
        <f>IF($A291="","",SUMIFS('Timesheet Raw'!$K$4:$K$8000,'Timesheet Raw'!$L$4:$L$8000,$A291,'Timesheet Raw'!$C$4:$C$8000,D$3))</f>
        <v>0</v>
      </c>
      <c r="I291" s="345">
        <f>IF($A291="","",SUMIFS('Timesheet Raw'!$P$4:$P$8000,'Timesheet Raw'!$L$4:$L$8000,$A291,'Timesheet Raw'!$C$4:$C$8000,D$3))</f>
        <v>0</v>
      </c>
      <c r="J291" s="375"/>
      <c r="K291" t="str">
        <f>IF($A291="","",IF(J291&lt;&gt;"",J291,IF($A291&gt;'Work Calendar'!$B$17,"No data yet",IF(AND(F291&gt;='Work Calendar'!$B$14,D291+E291+G291&gt;0),"Day off - but worked",IF(F291&gt;='Work Calendar'!$B$14,"Day off",IF(D291+E291+G291&gt;0,IF($C291="Working","Charged","Worked weekend"),IF($C291="Working","Leave (not charged)",$C291)))))))</f>
        <v>No data yet</v>
      </c>
      <c r="L291" s="341">
        <f>IF($A291="","",SUMIFS('Timesheet Raw'!$P$4:$P$8000,'Timesheet Raw'!$L$4:$L$8000,$A291,'Timesheet Raw'!$C$4:$C$8000,L$3,'Timesheet Raw'!$A$4:$A$8000,"1-Projects"))</f>
        <v>0</v>
      </c>
      <c r="M291" s="341">
        <f>IF($A291="","",SUMIFS('Timesheet Raw'!$P$4:$P$8000,'Timesheet Raw'!$L$4:$L$8000,$A291,'Timesheet Raw'!$C$4:$C$8000,L$3,'Timesheet Raw'!$A$4:$A$8000,"2-Proposals Chargeable")+SUMIFS('Timesheet Raw'!$P$4:$P$8000,'Timesheet Raw'!$L$4:$L$8000,$A291,'Timesheet Raw'!$C$4:$C$8000,L$3,'Timesheet Raw'!$A$4:$A$8000,"3-Proposals Regular"))</f>
        <v>0</v>
      </c>
      <c r="N291" s="341">
        <f>IF($A291="","",SUMIFS('Timesheet Raw'!$P$4:$P$8000,'Timesheet Raw'!$L$4:$L$8000,$A291,'Timesheet Raw'!$C$4:$C$8000,L$3,'Timesheet Raw'!$B$4:$B$8000,'Work Calendar'!$A$26)+SUMIFS('Timesheet Raw'!$P$4:$P$8000,'Timesheet Raw'!$L$4:$L$8000,$A291,'Timesheet Raw'!$C$4:$C$8000,L$3,'Timesheet Raw'!$B$4:$B$8000,'Work Calendar'!$A$27)+SUMIFS('Timesheet Raw'!$P$4:$P$8000,'Timesheet Raw'!$L$4:$L$8000,$A291,'Timesheet Raw'!$C$4:$C$8000,L$3,'Timesheet Raw'!$B$4:$B$8000,'Work Calendar'!$A$28)+SUMIFS('Timesheet Raw'!$P$4:$P$8000,'Timesheet Raw'!$L$4:$L$8000,$A291,'Timesheet Raw'!$C$4:$C$8000,L$3,'Timesheet Raw'!$B$4:$B$8000,'Work Calendar'!$A$29))</f>
        <v>0</v>
      </c>
      <c r="O291" s="341">
        <f t="shared" si="18"/>
        <v>0</v>
      </c>
      <c r="P291" s="395">
        <f>IF($A291="","",SUMIFS('Timesheet Raw'!$K$4:$K$8000,'Timesheet Raw'!$L$4:$L$8000,$A291,'Timesheet Raw'!$C$4:$C$8000,L$3))</f>
        <v>0</v>
      </c>
      <c r="Q291" s="345">
        <f>IF($A291="","",SUMIFS('Timesheet Raw'!$P$4:$P$8000,'Timesheet Raw'!$L$4:$L$8000,$A291,'Timesheet Raw'!$C$4:$C$8000,L$3))</f>
        <v>0</v>
      </c>
      <c r="R291" s="375"/>
      <c r="S291" t="str">
        <f>IF($A291="","",IF(R291&lt;&gt;"",R291,IF($A291&gt;'Work Calendar'!$B$17,"No data yet",IF(AND(N291&gt;='Work Calendar'!$B$14,L291+M291+O291&gt;0),"Day off - but worked",IF(N291&gt;='Work Calendar'!$B$14,"Day off",IF(L291+M291+O291&gt;0,IF($C291="Working","Charged","Worked weekend"),IF($C291="Working","Leave (not charged)",$C291)))))))</f>
        <v>No data yet</v>
      </c>
      <c r="T291" s="341">
        <f>IF($A291="","",SUMIFS('Timesheet Raw'!$P$4:$P$8000,'Timesheet Raw'!$L$4:$L$8000,$A291,'Timesheet Raw'!$C$4:$C$8000,T$3,'Timesheet Raw'!$A$4:$A$8000,"1-Projects"))</f>
        <v>0</v>
      </c>
      <c r="U291" s="341">
        <f>IF($A291="","",SUMIFS('Timesheet Raw'!$P$4:$P$8000,'Timesheet Raw'!$L$4:$L$8000,$A291,'Timesheet Raw'!$C$4:$C$8000,T$3,'Timesheet Raw'!$A$4:$A$8000,"2-Proposals Chargeable")+SUMIFS('Timesheet Raw'!$P$4:$P$8000,'Timesheet Raw'!$L$4:$L$8000,$A291,'Timesheet Raw'!$C$4:$C$8000,T$3,'Timesheet Raw'!$A$4:$A$8000,"3-Proposals Regular"))</f>
        <v>0</v>
      </c>
      <c r="V291" s="341">
        <f>IF($A291="","",SUMIFS('Timesheet Raw'!$P$4:$P$8000,'Timesheet Raw'!$L$4:$L$8000,$A291,'Timesheet Raw'!$C$4:$C$8000,T$3,'Timesheet Raw'!$B$4:$B$8000,'Work Calendar'!$A$26)+SUMIFS('Timesheet Raw'!$P$4:$P$8000,'Timesheet Raw'!$L$4:$L$8000,$A291,'Timesheet Raw'!$C$4:$C$8000,T$3,'Timesheet Raw'!$B$4:$B$8000,'Work Calendar'!$A$27)+SUMIFS('Timesheet Raw'!$P$4:$P$8000,'Timesheet Raw'!$L$4:$L$8000,$A291,'Timesheet Raw'!$C$4:$C$8000,T$3,'Timesheet Raw'!$B$4:$B$8000,'Work Calendar'!$A$28)+SUMIFS('Timesheet Raw'!$P$4:$P$8000,'Timesheet Raw'!$L$4:$L$8000,$A291,'Timesheet Raw'!$C$4:$C$8000,T$3,'Timesheet Raw'!$B$4:$B$8000,'Work Calendar'!$A$29))</f>
        <v>0</v>
      </c>
      <c r="W291" s="341">
        <f t="shared" si="19"/>
        <v>0</v>
      </c>
      <c r="X291" s="395">
        <f>IF($A291="","",SUMIFS('Timesheet Raw'!$K$4:$K$8000,'Timesheet Raw'!$L$4:$L$8000,$A291,'Timesheet Raw'!$C$4:$C$8000,T$3))</f>
        <v>0</v>
      </c>
      <c r="Y291" s="345">
        <f>IF($A291="","",SUMIFS('Timesheet Raw'!$P$4:$P$8000,'Timesheet Raw'!$L$4:$L$8000,$A291,'Timesheet Raw'!$C$4:$C$8000,T$3))</f>
        <v>0</v>
      </c>
      <c r="Z291" s="375"/>
      <c r="AA291" t="str">
        <f>IF($A291="","",IF(Z291&lt;&gt;"",Z291,IF($A291&gt;'Work Calendar'!$B$17,"No data yet",IF(AND(V291&gt;='Work Calendar'!$B$14,T291+U291+W291&gt;0),"Day off - but worked",IF(V291&gt;='Work Calendar'!$B$14,"Day off",IF(T291+U291+W291&gt;0,IF($C291="Working","Charged","Worked weekend"),IF($C291="Working","Leave (not charged)",$C291)))))))</f>
        <v>No data yet</v>
      </c>
    </row>
    <row r="292" spans="1:27" x14ac:dyDescent="0.3">
      <c r="A292" s="371">
        <f>IF($A291="","",IF($A291+1&gt;'Work Calendar'!$B$16,"",$A291+1))</f>
        <v>46310</v>
      </c>
      <c r="B292" t="str">
        <f t="shared" si="16"/>
        <v>Thu</v>
      </c>
      <c r="C292" t="str" cm="1">
        <f t="array" ref="C292">IF($A292="","",IF(COUNTIF('Work Calendar'!$E$6:$E$200,$A292)&gt;0,"Holiday",IF(INDEX('Work Calendar'!$C$6:$C$12,WEEKDAY($A292,1))=1,"Working","Weekend")))</f>
        <v>Working</v>
      </c>
      <c r="D292" s="341">
        <f>IF($A292="","",SUMIFS('Timesheet Raw'!$P$4:$P$8000,'Timesheet Raw'!$L$4:$L$8000,$A292,'Timesheet Raw'!$C$4:$C$8000,D$3,'Timesheet Raw'!$A$4:$A$8000,"1-Projects"))</f>
        <v>0</v>
      </c>
      <c r="E292" s="341">
        <f>IF($A292="","",SUMIFS('Timesheet Raw'!$P$4:$P$8000,'Timesheet Raw'!$L$4:$L$8000,$A292,'Timesheet Raw'!$C$4:$C$8000,D$3,'Timesheet Raw'!$A$4:$A$8000,"2-Proposals Chargeable")+SUMIFS('Timesheet Raw'!$P$4:$P$8000,'Timesheet Raw'!$L$4:$L$8000,$A292,'Timesheet Raw'!$C$4:$C$8000,D$3,'Timesheet Raw'!$A$4:$A$8000,"3-Proposals Regular"))</f>
        <v>0</v>
      </c>
      <c r="F292" s="341">
        <f>IF($A292="","",SUMIFS('Timesheet Raw'!$P$4:$P$8000,'Timesheet Raw'!$L$4:$L$8000,$A292,'Timesheet Raw'!$C$4:$C$8000,D$3,'Timesheet Raw'!$B$4:$B$8000,'Work Calendar'!$A$26)+SUMIFS('Timesheet Raw'!$P$4:$P$8000,'Timesheet Raw'!$L$4:$L$8000,$A292,'Timesheet Raw'!$C$4:$C$8000,D$3,'Timesheet Raw'!$B$4:$B$8000,'Work Calendar'!$A$27)+SUMIFS('Timesheet Raw'!$P$4:$P$8000,'Timesheet Raw'!$L$4:$L$8000,$A292,'Timesheet Raw'!$C$4:$C$8000,D$3,'Timesheet Raw'!$B$4:$B$8000,'Work Calendar'!$A$28)+SUMIFS('Timesheet Raw'!$P$4:$P$8000,'Timesheet Raw'!$L$4:$L$8000,$A292,'Timesheet Raw'!$C$4:$C$8000,D$3,'Timesheet Raw'!$B$4:$B$8000,'Work Calendar'!$A$29))</f>
        <v>0</v>
      </c>
      <c r="G292" s="341">
        <f t="shared" si="17"/>
        <v>0</v>
      </c>
      <c r="H292" s="395">
        <f>IF($A292="","",SUMIFS('Timesheet Raw'!$K$4:$K$8000,'Timesheet Raw'!$L$4:$L$8000,$A292,'Timesheet Raw'!$C$4:$C$8000,D$3))</f>
        <v>0</v>
      </c>
      <c r="I292" s="345">
        <f>IF($A292="","",SUMIFS('Timesheet Raw'!$P$4:$P$8000,'Timesheet Raw'!$L$4:$L$8000,$A292,'Timesheet Raw'!$C$4:$C$8000,D$3))</f>
        <v>0</v>
      </c>
      <c r="J292" s="375"/>
      <c r="K292" t="str">
        <f>IF($A292="","",IF(J292&lt;&gt;"",J292,IF($A292&gt;'Work Calendar'!$B$17,"No data yet",IF(AND(F292&gt;='Work Calendar'!$B$14,D292+E292+G292&gt;0),"Day off - but worked",IF(F292&gt;='Work Calendar'!$B$14,"Day off",IF(D292+E292+G292&gt;0,IF($C292="Working","Charged","Worked weekend"),IF($C292="Working","Leave (not charged)",$C292)))))))</f>
        <v>No data yet</v>
      </c>
      <c r="L292" s="341">
        <f>IF($A292="","",SUMIFS('Timesheet Raw'!$P$4:$P$8000,'Timesheet Raw'!$L$4:$L$8000,$A292,'Timesheet Raw'!$C$4:$C$8000,L$3,'Timesheet Raw'!$A$4:$A$8000,"1-Projects"))</f>
        <v>0</v>
      </c>
      <c r="M292" s="341">
        <f>IF($A292="","",SUMIFS('Timesheet Raw'!$P$4:$P$8000,'Timesheet Raw'!$L$4:$L$8000,$A292,'Timesheet Raw'!$C$4:$C$8000,L$3,'Timesheet Raw'!$A$4:$A$8000,"2-Proposals Chargeable")+SUMIFS('Timesheet Raw'!$P$4:$P$8000,'Timesheet Raw'!$L$4:$L$8000,$A292,'Timesheet Raw'!$C$4:$C$8000,L$3,'Timesheet Raw'!$A$4:$A$8000,"3-Proposals Regular"))</f>
        <v>0</v>
      </c>
      <c r="N292" s="341">
        <f>IF($A292="","",SUMIFS('Timesheet Raw'!$P$4:$P$8000,'Timesheet Raw'!$L$4:$L$8000,$A292,'Timesheet Raw'!$C$4:$C$8000,L$3,'Timesheet Raw'!$B$4:$B$8000,'Work Calendar'!$A$26)+SUMIFS('Timesheet Raw'!$P$4:$P$8000,'Timesheet Raw'!$L$4:$L$8000,$A292,'Timesheet Raw'!$C$4:$C$8000,L$3,'Timesheet Raw'!$B$4:$B$8000,'Work Calendar'!$A$27)+SUMIFS('Timesheet Raw'!$P$4:$P$8000,'Timesheet Raw'!$L$4:$L$8000,$A292,'Timesheet Raw'!$C$4:$C$8000,L$3,'Timesheet Raw'!$B$4:$B$8000,'Work Calendar'!$A$28)+SUMIFS('Timesheet Raw'!$P$4:$P$8000,'Timesheet Raw'!$L$4:$L$8000,$A292,'Timesheet Raw'!$C$4:$C$8000,L$3,'Timesheet Raw'!$B$4:$B$8000,'Work Calendar'!$A$29))</f>
        <v>0</v>
      </c>
      <c r="O292" s="341">
        <f t="shared" si="18"/>
        <v>0</v>
      </c>
      <c r="P292" s="395">
        <f>IF($A292="","",SUMIFS('Timesheet Raw'!$K$4:$K$8000,'Timesheet Raw'!$L$4:$L$8000,$A292,'Timesheet Raw'!$C$4:$C$8000,L$3))</f>
        <v>0</v>
      </c>
      <c r="Q292" s="345">
        <f>IF($A292="","",SUMIFS('Timesheet Raw'!$P$4:$P$8000,'Timesheet Raw'!$L$4:$L$8000,$A292,'Timesheet Raw'!$C$4:$C$8000,L$3))</f>
        <v>0</v>
      </c>
      <c r="R292" s="375"/>
      <c r="S292" t="str">
        <f>IF($A292="","",IF(R292&lt;&gt;"",R292,IF($A292&gt;'Work Calendar'!$B$17,"No data yet",IF(AND(N292&gt;='Work Calendar'!$B$14,L292+M292+O292&gt;0),"Day off - but worked",IF(N292&gt;='Work Calendar'!$B$14,"Day off",IF(L292+M292+O292&gt;0,IF($C292="Working","Charged","Worked weekend"),IF($C292="Working","Leave (not charged)",$C292)))))))</f>
        <v>No data yet</v>
      </c>
      <c r="T292" s="341">
        <f>IF($A292="","",SUMIFS('Timesheet Raw'!$P$4:$P$8000,'Timesheet Raw'!$L$4:$L$8000,$A292,'Timesheet Raw'!$C$4:$C$8000,T$3,'Timesheet Raw'!$A$4:$A$8000,"1-Projects"))</f>
        <v>0</v>
      </c>
      <c r="U292" s="341">
        <f>IF($A292="","",SUMIFS('Timesheet Raw'!$P$4:$P$8000,'Timesheet Raw'!$L$4:$L$8000,$A292,'Timesheet Raw'!$C$4:$C$8000,T$3,'Timesheet Raw'!$A$4:$A$8000,"2-Proposals Chargeable")+SUMIFS('Timesheet Raw'!$P$4:$P$8000,'Timesheet Raw'!$L$4:$L$8000,$A292,'Timesheet Raw'!$C$4:$C$8000,T$3,'Timesheet Raw'!$A$4:$A$8000,"3-Proposals Regular"))</f>
        <v>0</v>
      </c>
      <c r="V292" s="341">
        <f>IF($A292="","",SUMIFS('Timesheet Raw'!$P$4:$P$8000,'Timesheet Raw'!$L$4:$L$8000,$A292,'Timesheet Raw'!$C$4:$C$8000,T$3,'Timesheet Raw'!$B$4:$B$8000,'Work Calendar'!$A$26)+SUMIFS('Timesheet Raw'!$P$4:$P$8000,'Timesheet Raw'!$L$4:$L$8000,$A292,'Timesheet Raw'!$C$4:$C$8000,T$3,'Timesheet Raw'!$B$4:$B$8000,'Work Calendar'!$A$27)+SUMIFS('Timesheet Raw'!$P$4:$P$8000,'Timesheet Raw'!$L$4:$L$8000,$A292,'Timesheet Raw'!$C$4:$C$8000,T$3,'Timesheet Raw'!$B$4:$B$8000,'Work Calendar'!$A$28)+SUMIFS('Timesheet Raw'!$P$4:$P$8000,'Timesheet Raw'!$L$4:$L$8000,$A292,'Timesheet Raw'!$C$4:$C$8000,T$3,'Timesheet Raw'!$B$4:$B$8000,'Work Calendar'!$A$29))</f>
        <v>0</v>
      </c>
      <c r="W292" s="341">
        <f t="shared" si="19"/>
        <v>0</v>
      </c>
      <c r="X292" s="395">
        <f>IF($A292="","",SUMIFS('Timesheet Raw'!$K$4:$K$8000,'Timesheet Raw'!$L$4:$L$8000,$A292,'Timesheet Raw'!$C$4:$C$8000,T$3))</f>
        <v>0</v>
      </c>
      <c r="Y292" s="345">
        <f>IF($A292="","",SUMIFS('Timesheet Raw'!$P$4:$P$8000,'Timesheet Raw'!$L$4:$L$8000,$A292,'Timesheet Raw'!$C$4:$C$8000,T$3))</f>
        <v>0</v>
      </c>
      <c r="Z292" s="375"/>
      <c r="AA292" t="str">
        <f>IF($A292="","",IF(Z292&lt;&gt;"",Z292,IF($A292&gt;'Work Calendar'!$B$17,"No data yet",IF(AND(V292&gt;='Work Calendar'!$B$14,T292+U292+W292&gt;0),"Day off - but worked",IF(V292&gt;='Work Calendar'!$B$14,"Day off",IF(T292+U292+W292&gt;0,IF($C292="Working","Charged","Worked weekend"),IF($C292="Working","Leave (not charged)",$C292)))))))</f>
        <v>No data yet</v>
      </c>
    </row>
    <row r="293" spans="1:27" x14ac:dyDescent="0.3">
      <c r="A293" s="371">
        <f>IF($A292="","",IF($A292+1&gt;'Work Calendar'!$B$16,"",$A292+1))</f>
        <v>46311</v>
      </c>
      <c r="B293" t="str">
        <f t="shared" si="16"/>
        <v>Fri</v>
      </c>
      <c r="C293" t="str" cm="1">
        <f t="array" ref="C293">IF($A293="","",IF(COUNTIF('Work Calendar'!$E$6:$E$200,$A293)&gt;0,"Holiday",IF(INDEX('Work Calendar'!$C$6:$C$12,WEEKDAY($A293,1))=1,"Working","Weekend")))</f>
        <v>Weekend</v>
      </c>
      <c r="D293" s="341">
        <f>IF($A293="","",SUMIFS('Timesheet Raw'!$P$4:$P$8000,'Timesheet Raw'!$L$4:$L$8000,$A293,'Timesheet Raw'!$C$4:$C$8000,D$3,'Timesheet Raw'!$A$4:$A$8000,"1-Projects"))</f>
        <v>0</v>
      </c>
      <c r="E293" s="341">
        <f>IF($A293="","",SUMIFS('Timesheet Raw'!$P$4:$P$8000,'Timesheet Raw'!$L$4:$L$8000,$A293,'Timesheet Raw'!$C$4:$C$8000,D$3,'Timesheet Raw'!$A$4:$A$8000,"2-Proposals Chargeable")+SUMIFS('Timesheet Raw'!$P$4:$P$8000,'Timesheet Raw'!$L$4:$L$8000,$A293,'Timesheet Raw'!$C$4:$C$8000,D$3,'Timesheet Raw'!$A$4:$A$8000,"3-Proposals Regular"))</f>
        <v>0</v>
      </c>
      <c r="F293" s="341">
        <f>IF($A293="","",SUMIFS('Timesheet Raw'!$P$4:$P$8000,'Timesheet Raw'!$L$4:$L$8000,$A293,'Timesheet Raw'!$C$4:$C$8000,D$3,'Timesheet Raw'!$B$4:$B$8000,'Work Calendar'!$A$26)+SUMIFS('Timesheet Raw'!$P$4:$P$8000,'Timesheet Raw'!$L$4:$L$8000,$A293,'Timesheet Raw'!$C$4:$C$8000,D$3,'Timesheet Raw'!$B$4:$B$8000,'Work Calendar'!$A$27)+SUMIFS('Timesheet Raw'!$P$4:$P$8000,'Timesheet Raw'!$L$4:$L$8000,$A293,'Timesheet Raw'!$C$4:$C$8000,D$3,'Timesheet Raw'!$B$4:$B$8000,'Work Calendar'!$A$28)+SUMIFS('Timesheet Raw'!$P$4:$P$8000,'Timesheet Raw'!$L$4:$L$8000,$A293,'Timesheet Raw'!$C$4:$C$8000,D$3,'Timesheet Raw'!$B$4:$B$8000,'Work Calendar'!$A$29))</f>
        <v>0</v>
      </c>
      <c r="G293" s="341">
        <f t="shared" si="17"/>
        <v>0</v>
      </c>
      <c r="H293" s="395">
        <f>IF($A293="","",SUMIFS('Timesheet Raw'!$K$4:$K$8000,'Timesheet Raw'!$L$4:$L$8000,$A293,'Timesheet Raw'!$C$4:$C$8000,D$3))</f>
        <v>0</v>
      </c>
      <c r="I293" s="345">
        <f>IF($A293="","",SUMIFS('Timesheet Raw'!$P$4:$P$8000,'Timesheet Raw'!$L$4:$L$8000,$A293,'Timesheet Raw'!$C$4:$C$8000,D$3))</f>
        <v>0</v>
      </c>
      <c r="J293" s="375"/>
      <c r="K293" t="str">
        <f>IF($A293="","",IF(J293&lt;&gt;"",J293,IF($A293&gt;'Work Calendar'!$B$17,"No data yet",IF(AND(F293&gt;='Work Calendar'!$B$14,D293+E293+G293&gt;0),"Day off - but worked",IF(F293&gt;='Work Calendar'!$B$14,"Day off",IF(D293+E293+G293&gt;0,IF($C293="Working","Charged","Worked weekend"),IF($C293="Working","Leave (not charged)",$C293)))))))</f>
        <v>No data yet</v>
      </c>
      <c r="L293" s="341">
        <f>IF($A293="","",SUMIFS('Timesheet Raw'!$P$4:$P$8000,'Timesheet Raw'!$L$4:$L$8000,$A293,'Timesheet Raw'!$C$4:$C$8000,L$3,'Timesheet Raw'!$A$4:$A$8000,"1-Projects"))</f>
        <v>0</v>
      </c>
      <c r="M293" s="341">
        <f>IF($A293="","",SUMIFS('Timesheet Raw'!$P$4:$P$8000,'Timesheet Raw'!$L$4:$L$8000,$A293,'Timesheet Raw'!$C$4:$C$8000,L$3,'Timesheet Raw'!$A$4:$A$8000,"2-Proposals Chargeable")+SUMIFS('Timesheet Raw'!$P$4:$P$8000,'Timesheet Raw'!$L$4:$L$8000,$A293,'Timesheet Raw'!$C$4:$C$8000,L$3,'Timesheet Raw'!$A$4:$A$8000,"3-Proposals Regular"))</f>
        <v>0</v>
      </c>
      <c r="N293" s="341">
        <f>IF($A293="","",SUMIFS('Timesheet Raw'!$P$4:$P$8000,'Timesheet Raw'!$L$4:$L$8000,$A293,'Timesheet Raw'!$C$4:$C$8000,L$3,'Timesheet Raw'!$B$4:$B$8000,'Work Calendar'!$A$26)+SUMIFS('Timesheet Raw'!$P$4:$P$8000,'Timesheet Raw'!$L$4:$L$8000,$A293,'Timesheet Raw'!$C$4:$C$8000,L$3,'Timesheet Raw'!$B$4:$B$8000,'Work Calendar'!$A$27)+SUMIFS('Timesheet Raw'!$P$4:$P$8000,'Timesheet Raw'!$L$4:$L$8000,$A293,'Timesheet Raw'!$C$4:$C$8000,L$3,'Timesheet Raw'!$B$4:$B$8000,'Work Calendar'!$A$28)+SUMIFS('Timesheet Raw'!$P$4:$P$8000,'Timesheet Raw'!$L$4:$L$8000,$A293,'Timesheet Raw'!$C$4:$C$8000,L$3,'Timesheet Raw'!$B$4:$B$8000,'Work Calendar'!$A$29))</f>
        <v>0</v>
      </c>
      <c r="O293" s="341">
        <f t="shared" si="18"/>
        <v>0</v>
      </c>
      <c r="P293" s="395">
        <f>IF($A293="","",SUMIFS('Timesheet Raw'!$K$4:$K$8000,'Timesheet Raw'!$L$4:$L$8000,$A293,'Timesheet Raw'!$C$4:$C$8000,L$3))</f>
        <v>0</v>
      </c>
      <c r="Q293" s="345">
        <f>IF($A293="","",SUMIFS('Timesheet Raw'!$P$4:$P$8000,'Timesheet Raw'!$L$4:$L$8000,$A293,'Timesheet Raw'!$C$4:$C$8000,L$3))</f>
        <v>0</v>
      </c>
      <c r="R293" s="375"/>
      <c r="S293" t="str">
        <f>IF($A293="","",IF(R293&lt;&gt;"",R293,IF($A293&gt;'Work Calendar'!$B$17,"No data yet",IF(AND(N293&gt;='Work Calendar'!$B$14,L293+M293+O293&gt;0),"Day off - but worked",IF(N293&gt;='Work Calendar'!$B$14,"Day off",IF(L293+M293+O293&gt;0,IF($C293="Working","Charged","Worked weekend"),IF($C293="Working","Leave (not charged)",$C293)))))))</f>
        <v>No data yet</v>
      </c>
      <c r="T293" s="341">
        <f>IF($A293="","",SUMIFS('Timesheet Raw'!$P$4:$P$8000,'Timesheet Raw'!$L$4:$L$8000,$A293,'Timesheet Raw'!$C$4:$C$8000,T$3,'Timesheet Raw'!$A$4:$A$8000,"1-Projects"))</f>
        <v>0</v>
      </c>
      <c r="U293" s="341">
        <f>IF($A293="","",SUMIFS('Timesheet Raw'!$P$4:$P$8000,'Timesheet Raw'!$L$4:$L$8000,$A293,'Timesheet Raw'!$C$4:$C$8000,T$3,'Timesheet Raw'!$A$4:$A$8000,"2-Proposals Chargeable")+SUMIFS('Timesheet Raw'!$P$4:$P$8000,'Timesheet Raw'!$L$4:$L$8000,$A293,'Timesheet Raw'!$C$4:$C$8000,T$3,'Timesheet Raw'!$A$4:$A$8000,"3-Proposals Regular"))</f>
        <v>0</v>
      </c>
      <c r="V293" s="341">
        <f>IF($A293="","",SUMIFS('Timesheet Raw'!$P$4:$P$8000,'Timesheet Raw'!$L$4:$L$8000,$A293,'Timesheet Raw'!$C$4:$C$8000,T$3,'Timesheet Raw'!$B$4:$B$8000,'Work Calendar'!$A$26)+SUMIFS('Timesheet Raw'!$P$4:$P$8000,'Timesheet Raw'!$L$4:$L$8000,$A293,'Timesheet Raw'!$C$4:$C$8000,T$3,'Timesheet Raw'!$B$4:$B$8000,'Work Calendar'!$A$27)+SUMIFS('Timesheet Raw'!$P$4:$P$8000,'Timesheet Raw'!$L$4:$L$8000,$A293,'Timesheet Raw'!$C$4:$C$8000,T$3,'Timesheet Raw'!$B$4:$B$8000,'Work Calendar'!$A$28)+SUMIFS('Timesheet Raw'!$P$4:$P$8000,'Timesheet Raw'!$L$4:$L$8000,$A293,'Timesheet Raw'!$C$4:$C$8000,T$3,'Timesheet Raw'!$B$4:$B$8000,'Work Calendar'!$A$29))</f>
        <v>0</v>
      </c>
      <c r="W293" s="341">
        <f t="shared" si="19"/>
        <v>0</v>
      </c>
      <c r="X293" s="395">
        <f>IF($A293="","",SUMIFS('Timesheet Raw'!$K$4:$K$8000,'Timesheet Raw'!$L$4:$L$8000,$A293,'Timesheet Raw'!$C$4:$C$8000,T$3))</f>
        <v>0</v>
      </c>
      <c r="Y293" s="345">
        <f>IF($A293="","",SUMIFS('Timesheet Raw'!$P$4:$P$8000,'Timesheet Raw'!$L$4:$L$8000,$A293,'Timesheet Raw'!$C$4:$C$8000,T$3))</f>
        <v>0</v>
      </c>
      <c r="Z293" s="375"/>
      <c r="AA293" t="str">
        <f>IF($A293="","",IF(Z293&lt;&gt;"",Z293,IF($A293&gt;'Work Calendar'!$B$17,"No data yet",IF(AND(V293&gt;='Work Calendar'!$B$14,T293+U293+W293&gt;0),"Day off - but worked",IF(V293&gt;='Work Calendar'!$B$14,"Day off",IF(T293+U293+W293&gt;0,IF($C293="Working","Charged","Worked weekend"),IF($C293="Working","Leave (not charged)",$C293)))))))</f>
        <v>No data yet</v>
      </c>
    </row>
    <row r="294" spans="1:27" x14ac:dyDescent="0.3">
      <c r="A294" s="371">
        <f>IF($A293="","",IF($A293+1&gt;'Work Calendar'!$B$16,"",$A293+1))</f>
        <v>46312</v>
      </c>
      <c r="B294" t="str">
        <f t="shared" si="16"/>
        <v>Sat</v>
      </c>
      <c r="C294" t="str" cm="1">
        <f t="array" ref="C294">IF($A294="","",IF(COUNTIF('Work Calendar'!$E$6:$E$200,$A294)&gt;0,"Holiday",IF(INDEX('Work Calendar'!$C$6:$C$12,WEEKDAY($A294,1))=1,"Working","Weekend")))</f>
        <v>Weekend</v>
      </c>
      <c r="D294" s="341">
        <f>IF($A294="","",SUMIFS('Timesheet Raw'!$P$4:$P$8000,'Timesheet Raw'!$L$4:$L$8000,$A294,'Timesheet Raw'!$C$4:$C$8000,D$3,'Timesheet Raw'!$A$4:$A$8000,"1-Projects"))</f>
        <v>0</v>
      </c>
      <c r="E294" s="341">
        <f>IF($A294="","",SUMIFS('Timesheet Raw'!$P$4:$P$8000,'Timesheet Raw'!$L$4:$L$8000,$A294,'Timesheet Raw'!$C$4:$C$8000,D$3,'Timesheet Raw'!$A$4:$A$8000,"2-Proposals Chargeable")+SUMIFS('Timesheet Raw'!$P$4:$P$8000,'Timesheet Raw'!$L$4:$L$8000,$A294,'Timesheet Raw'!$C$4:$C$8000,D$3,'Timesheet Raw'!$A$4:$A$8000,"3-Proposals Regular"))</f>
        <v>0</v>
      </c>
      <c r="F294" s="341">
        <f>IF($A294="","",SUMIFS('Timesheet Raw'!$P$4:$P$8000,'Timesheet Raw'!$L$4:$L$8000,$A294,'Timesheet Raw'!$C$4:$C$8000,D$3,'Timesheet Raw'!$B$4:$B$8000,'Work Calendar'!$A$26)+SUMIFS('Timesheet Raw'!$P$4:$P$8000,'Timesheet Raw'!$L$4:$L$8000,$A294,'Timesheet Raw'!$C$4:$C$8000,D$3,'Timesheet Raw'!$B$4:$B$8000,'Work Calendar'!$A$27)+SUMIFS('Timesheet Raw'!$P$4:$P$8000,'Timesheet Raw'!$L$4:$L$8000,$A294,'Timesheet Raw'!$C$4:$C$8000,D$3,'Timesheet Raw'!$B$4:$B$8000,'Work Calendar'!$A$28)+SUMIFS('Timesheet Raw'!$P$4:$P$8000,'Timesheet Raw'!$L$4:$L$8000,$A294,'Timesheet Raw'!$C$4:$C$8000,D$3,'Timesheet Raw'!$B$4:$B$8000,'Work Calendar'!$A$29))</f>
        <v>0</v>
      </c>
      <c r="G294" s="341">
        <f t="shared" si="17"/>
        <v>0</v>
      </c>
      <c r="H294" s="395">
        <f>IF($A294="","",SUMIFS('Timesheet Raw'!$K$4:$K$8000,'Timesheet Raw'!$L$4:$L$8000,$A294,'Timesheet Raw'!$C$4:$C$8000,D$3))</f>
        <v>0</v>
      </c>
      <c r="I294" s="345">
        <f>IF($A294="","",SUMIFS('Timesheet Raw'!$P$4:$P$8000,'Timesheet Raw'!$L$4:$L$8000,$A294,'Timesheet Raw'!$C$4:$C$8000,D$3))</f>
        <v>0</v>
      </c>
      <c r="J294" s="375"/>
      <c r="K294" t="str">
        <f>IF($A294="","",IF(J294&lt;&gt;"",J294,IF($A294&gt;'Work Calendar'!$B$17,"No data yet",IF(AND(F294&gt;='Work Calendar'!$B$14,D294+E294+G294&gt;0),"Day off - but worked",IF(F294&gt;='Work Calendar'!$B$14,"Day off",IF(D294+E294+G294&gt;0,IF($C294="Working","Charged","Worked weekend"),IF($C294="Working","Leave (not charged)",$C294)))))))</f>
        <v>No data yet</v>
      </c>
      <c r="L294" s="341">
        <f>IF($A294="","",SUMIFS('Timesheet Raw'!$P$4:$P$8000,'Timesheet Raw'!$L$4:$L$8000,$A294,'Timesheet Raw'!$C$4:$C$8000,L$3,'Timesheet Raw'!$A$4:$A$8000,"1-Projects"))</f>
        <v>0</v>
      </c>
      <c r="M294" s="341">
        <f>IF($A294="","",SUMIFS('Timesheet Raw'!$P$4:$P$8000,'Timesheet Raw'!$L$4:$L$8000,$A294,'Timesheet Raw'!$C$4:$C$8000,L$3,'Timesheet Raw'!$A$4:$A$8000,"2-Proposals Chargeable")+SUMIFS('Timesheet Raw'!$P$4:$P$8000,'Timesheet Raw'!$L$4:$L$8000,$A294,'Timesheet Raw'!$C$4:$C$8000,L$3,'Timesheet Raw'!$A$4:$A$8000,"3-Proposals Regular"))</f>
        <v>0</v>
      </c>
      <c r="N294" s="341">
        <f>IF($A294="","",SUMIFS('Timesheet Raw'!$P$4:$P$8000,'Timesheet Raw'!$L$4:$L$8000,$A294,'Timesheet Raw'!$C$4:$C$8000,L$3,'Timesheet Raw'!$B$4:$B$8000,'Work Calendar'!$A$26)+SUMIFS('Timesheet Raw'!$P$4:$P$8000,'Timesheet Raw'!$L$4:$L$8000,$A294,'Timesheet Raw'!$C$4:$C$8000,L$3,'Timesheet Raw'!$B$4:$B$8000,'Work Calendar'!$A$27)+SUMIFS('Timesheet Raw'!$P$4:$P$8000,'Timesheet Raw'!$L$4:$L$8000,$A294,'Timesheet Raw'!$C$4:$C$8000,L$3,'Timesheet Raw'!$B$4:$B$8000,'Work Calendar'!$A$28)+SUMIFS('Timesheet Raw'!$P$4:$P$8000,'Timesheet Raw'!$L$4:$L$8000,$A294,'Timesheet Raw'!$C$4:$C$8000,L$3,'Timesheet Raw'!$B$4:$B$8000,'Work Calendar'!$A$29))</f>
        <v>0</v>
      </c>
      <c r="O294" s="341">
        <f t="shared" si="18"/>
        <v>0</v>
      </c>
      <c r="P294" s="395">
        <f>IF($A294="","",SUMIFS('Timesheet Raw'!$K$4:$K$8000,'Timesheet Raw'!$L$4:$L$8000,$A294,'Timesheet Raw'!$C$4:$C$8000,L$3))</f>
        <v>0</v>
      </c>
      <c r="Q294" s="345">
        <f>IF($A294="","",SUMIFS('Timesheet Raw'!$P$4:$P$8000,'Timesheet Raw'!$L$4:$L$8000,$A294,'Timesheet Raw'!$C$4:$C$8000,L$3))</f>
        <v>0</v>
      </c>
      <c r="R294" s="375"/>
      <c r="S294" t="str">
        <f>IF($A294="","",IF(R294&lt;&gt;"",R294,IF($A294&gt;'Work Calendar'!$B$17,"No data yet",IF(AND(N294&gt;='Work Calendar'!$B$14,L294+M294+O294&gt;0),"Day off - but worked",IF(N294&gt;='Work Calendar'!$B$14,"Day off",IF(L294+M294+O294&gt;0,IF($C294="Working","Charged","Worked weekend"),IF($C294="Working","Leave (not charged)",$C294)))))))</f>
        <v>No data yet</v>
      </c>
      <c r="T294" s="341">
        <f>IF($A294="","",SUMIFS('Timesheet Raw'!$P$4:$P$8000,'Timesheet Raw'!$L$4:$L$8000,$A294,'Timesheet Raw'!$C$4:$C$8000,T$3,'Timesheet Raw'!$A$4:$A$8000,"1-Projects"))</f>
        <v>0</v>
      </c>
      <c r="U294" s="341">
        <f>IF($A294="","",SUMIFS('Timesheet Raw'!$P$4:$P$8000,'Timesheet Raw'!$L$4:$L$8000,$A294,'Timesheet Raw'!$C$4:$C$8000,T$3,'Timesheet Raw'!$A$4:$A$8000,"2-Proposals Chargeable")+SUMIFS('Timesheet Raw'!$P$4:$P$8000,'Timesheet Raw'!$L$4:$L$8000,$A294,'Timesheet Raw'!$C$4:$C$8000,T$3,'Timesheet Raw'!$A$4:$A$8000,"3-Proposals Regular"))</f>
        <v>0</v>
      </c>
      <c r="V294" s="341">
        <f>IF($A294="","",SUMIFS('Timesheet Raw'!$P$4:$P$8000,'Timesheet Raw'!$L$4:$L$8000,$A294,'Timesheet Raw'!$C$4:$C$8000,T$3,'Timesheet Raw'!$B$4:$B$8000,'Work Calendar'!$A$26)+SUMIFS('Timesheet Raw'!$P$4:$P$8000,'Timesheet Raw'!$L$4:$L$8000,$A294,'Timesheet Raw'!$C$4:$C$8000,T$3,'Timesheet Raw'!$B$4:$B$8000,'Work Calendar'!$A$27)+SUMIFS('Timesheet Raw'!$P$4:$P$8000,'Timesheet Raw'!$L$4:$L$8000,$A294,'Timesheet Raw'!$C$4:$C$8000,T$3,'Timesheet Raw'!$B$4:$B$8000,'Work Calendar'!$A$28)+SUMIFS('Timesheet Raw'!$P$4:$P$8000,'Timesheet Raw'!$L$4:$L$8000,$A294,'Timesheet Raw'!$C$4:$C$8000,T$3,'Timesheet Raw'!$B$4:$B$8000,'Work Calendar'!$A$29))</f>
        <v>0</v>
      </c>
      <c r="W294" s="341">
        <f t="shared" si="19"/>
        <v>0</v>
      </c>
      <c r="X294" s="395">
        <f>IF($A294="","",SUMIFS('Timesheet Raw'!$K$4:$K$8000,'Timesheet Raw'!$L$4:$L$8000,$A294,'Timesheet Raw'!$C$4:$C$8000,T$3))</f>
        <v>0</v>
      </c>
      <c r="Y294" s="345">
        <f>IF($A294="","",SUMIFS('Timesheet Raw'!$P$4:$P$8000,'Timesheet Raw'!$L$4:$L$8000,$A294,'Timesheet Raw'!$C$4:$C$8000,T$3))</f>
        <v>0</v>
      </c>
      <c r="Z294" s="375"/>
      <c r="AA294" t="str">
        <f>IF($A294="","",IF(Z294&lt;&gt;"",Z294,IF($A294&gt;'Work Calendar'!$B$17,"No data yet",IF(AND(V294&gt;='Work Calendar'!$B$14,T294+U294+W294&gt;0),"Day off - but worked",IF(V294&gt;='Work Calendar'!$B$14,"Day off",IF(T294+U294+W294&gt;0,IF($C294="Working","Charged","Worked weekend"),IF($C294="Working","Leave (not charged)",$C294)))))))</f>
        <v>No data yet</v>
      </c>
    </row>
    <row r="295" spans="1:27" x14ac:dyDescent="0.3">
      <c r="A295" s="371">
        <f>IF($A294="","",IF($A294+1&gt;'Work Calendar'!$B$16,"",$A294+1))</f>
        <v>46313</v>
      </c>
      <c r="B295" t="str">
        <f t="shared" si="16"/>
        <v>Sun</v>
      </c>
      <c r="C295" t="str" cm="1">
        <f t="array" ref="C295">IF($A295="","",IF(COUNTIF('Work Calendar'!$E$6:$E$200,$A295)&gt;0,"Holiday",IF(INDEX('Work Calendar'!$C$6:$C$12,WEEKDAY($A295,1))=1,"Working","Weekend")))</f>
        <v>Working</v>
      </c>
      <c r="D295" s="341">
        <f>IF($A295="","",SUMIFS('Timesheet Raw'!$P$4:$P$8000,'Timesheet Raw'!$L$4:$L$8000,$A295,'Timesheet Raw'!$C$4:$C$8000,D$3,'Timesheet Raw'!$A$4:$A$8000,"1-Projects"))</f>
        <v>0</v>
      </c>
      <c r="E295" s="341">
        <f>IF($A295="","",SUMIFS('Timesheet Raw'!$P$4:$P$8000,'Timesheet Raw'!$L$4:$L$8000,$A295,'Timesheet Raw'!$C$4:$C$8000,D$3,'Timesheet Raw'!$A$4:$A$8000,"2-Proposals Chargeable")+SUMIFS('Timesheet Raw'!$P$4:$P$8000,'Timesheet Raw'!$L$4:$L$8000,$A295,'Timesheet Raw'!$C$4:$C$8000,D$3,'Timesheet Raw'!$A$4:$A$8000,"3-Proposals Regular"))</f>
        <v>0</v>
      </c>
      <c r="F295" s="341">
        <f>IF($A295="","",SUMIFS('Timesheet Raw'!$P$4:$P$8000,'Timesheet Raw'!$L$4:$L$8000,$A295,'Timesheet Raw'!$C$4:$C$8000,D$3,'Timesheet Raw'!$B$4:$B$8000,'Work Calendar'!$A$26)+SUMIFS('Timesheet Raw'!$P$4:$P$8000,'Timesheet Raw'!$L$4:$L$8000,$A295,'Timesheet Raw'!$C$4:$C$8000,D$3,'Timesheet Raw'!$B$4:$B$8000,'Work Calendar'!$A$27)+SUMIFS('Timesheet Raw'!$P$4:$P$8000,'Timesheet Raw'!$L$4:$L$8000,$A295,'Timesheet Raw'!$C$4:$C$8000,D$3,'Timesheet Raw'!$B$4:$B$8000,'Work Calendar'!$A$28)+SUMIFS('Timesheet Raw'!$P$4:$P$8000,'Timesheet Raw'!$L$4:$L$8000,$A295,'Timesheet Raw'!$C$4:$C$8000,D$3,'Timesheet Raw'!$B$4:$B$8000,'Work Calendar'!$A$29))</f>
        <v>0</v>
      </c>
      <c r="G295" s="341">
        <f t="shared" si="17"/>
        <v>0</v>
      </c>
      <c r="H295" s="395">
        <f>IF($A295="","",SUMIFS('Timesheet Raw'!$K$4:$K$8000,'Timesheet Raw'!$L$4:$L$8000,$A295,'Timesheet Raw'!$C$4:$C$8000,D$3))</f>
        <v>0</v>
      </c>
      <c r="I295" s="345">
        <f>IF($A295="","",SUMIFS('Timesheet Raw'!$P$4:$P$8000,'Timesheet Raw'!$L$4:$L$8000,$A295,'Timesheet Raw'!$C$4:$C$8000,D$3))</f>
        <v>0</v>
      </c>
      <c r="J295" s="375"/>
      <c r="K295" t="str">
        <f>IF($A295="","",IF(J295&lt;&gt;"",J295,IF($A295&gt;'Work Calendar'!$B$17,"No data yet",IF(AND(F295&gt;='Work Calendar'!$B$14,D295+E295+G295&gt;0),"Day off - but worked",IF(F295&gt;='Work Calendar'!$B$14,"Day off",IF(D295+E295+G295&gt;0,IF($C295="Working","Charged","Worked weekend"),IF($C295="Working","Leave (not charged)",$C295)))))))</f>
        <v>No data yet</v>
      </c>
      <c r="L295" s="341">
        <f>IF($A295="","",SUMIFS('Timesheet Raw'!$P$4:$P$8000,'Timesheet Raw'!$L$4:$L$8000,$A295,'Timesheet Raw'!$C$4:$C$8000,L$3,'Timesheet Raw'!$A$4:$A$8000,"1-Projects"))</f>
        <v>0</v>
      </c>
      <c r="M295" s="341">
        <f>IF($A295="","",SUMIFS('Timesheet Raw'!$P$4:$P$8000,'Timesheet Raw'!$L$4:$L$8000,$A295,'Timesheet Raw'!$C$4:$C$8000,L$3,'Timesheet Raw'!$A$4:$A$8000,"2-Proposals Chargeable")+SUMIFS('Timesheet Raw'!$P$4:$P$8000,'Timesheet Raw'!$L$4:$L$8000,$A295,'Timesheet Raw'!$C$4:$C$8000,L$3,'Timesheet Raw'!$A$4:$A$8000,"3-Proposals Regular"))</f>
        <v>0</v>
      </c>
      <c r="N295" s="341">
        <f>IF($A295="","",SUMIFS('Timesheet Raw'!$P$4:$P$8000,'Timesheet Raw'!$L$4:$L$8000,$A295,'Timesheet Raw'!$C$4:$C$8000,L$3,'Timesheet Raw'!$B$4:$B$8000,'Work Calendar'!$A$26)+SUMIFS('Timesheet Raw'!$P$4:$P$8000,'Timesheet Raw'!$L$4:$L$8000,$A295,'Timesheet Raw'!$C$4:$C$8000,L$3,'Timesheet Raw'!$B$4:$B$8000,'Work Calendar'!$A$27)+SUMIFS('Timesheet Raw'!$P$4:$P$8000,'Timesheet Raw'!$L$4:$L$8000,$A295,'Timesheet Raw'!$C$4:$C$8000,L$3,'Timesheet Raw'!$B$4:$B$8000,'Work Calendar'!$A$28)+SUMIFS('Timesheet Raw'!$P$4:$P$8000,'Timesheet Raw'!$L$4:$L$8000,$A295,'Timesheet Raw'!$C$4:$C$8000,L$3,'Timesheet Raw'!$B$4:$B$8000,'Work Calendar'!$A$29))</f>
        <v>0</v>
      </c>
      <c r="O295" s="341">
        <f t="shared" si="18"/>
        <v>0</v>
      </c>
      <c r="P295" s="395">
        <f>IF($A295="","",SUMIFS('Timesheet Raw'!$K$4:$K$8000,'Timesheet Raw'!$L$4:$L$8000,$A295,'Timesheet Raw'!$C$4:$C$8000,L$3))</f>
        <v>0</v>
      </c>
      <c r="Q295" s="345">
        <f>IF($A295="","",SUMIFS('Timesheet Raw'!$P$4:$P$8000,'Timesheet Raw'!$L$4:$L$8000,$A295,'Timesheet Raw'!$C$4:$C$8000,L$3))</f>
        <v>0</v>
      </c>
      <c r="R295" s="375"/>
      <c r="S295" t="str">
        <f>IF($A295="","",IF(R295&lt;&gt;"",R295,IF($A295&gt;'Work Calendar'!$B$17,"No data yet",IF(AND(N295&gt;='Work Calendar'!$B$14,L295+M295+O295&gt;0),"Day off - but worked",IF(N295&gt;='Work Calendar'!$B$14,"Day off",IF(L295+M295+O295&gt;0,IF($C295="Working","Charged","Worked weekend"),IF($C295="Working","Leave (not charged)",$C295)))))))</f>
        <v>No data yet</v>
      </c>
      <c r="T295" s="341">
        <f>IF($A295="","",SUMIFS('Timesheet Raw'!$P$4:$P$8000,'Timesheet Raw'!$L$4:$L$8000,$A295,'Timesheet Raw'!$C$4:$C$8000,T$3,'Timesheet Raw'!$A$4:$A$8000,"1-Projects"))</f>
        <v>0</v>
      </c>
      <c r="U295" s="341">
        <f>IF($A295="","",SUMIFS('Timesheet Raw'!$P$4:$P$8000,'Timesheet Raw'!$L$4:$L$8000,$A295,'Timesheet Raw'!$C$4:$C$8000,T$3,'Timesheet Raw'!$A$4:$A$8000,"2-Proposals Chargeable")+SUMIFS('Timesheet Raw'!$P$4:$P$8000,'Timesheet Raw'!$L$4:$L$8000,$A295,'Timesheet Raw'!$C$4:$C$8000,T$3,'Timesheet Raw'!$A$4:$A$8000,"3-Proposals Regular"))</f>
        <v>0</v>
      </c>
      <c r="V295" s="341">
        <f>IF($A295="","",SUMIFS('Timesheet Raw'!$P$4:$P$8000,'Timesheet Raw'!$L$4:$L$8000,$A295,'Timesheet Raw'!$C$4:$C$8000,T$3,'Timesheet Raw'!$B$4:$B$8000,'Work Calendar'!$A$26)+SUMIFS('Timesheet Raw'!$P$4:$P$8000,'Timesheet Raw'!$L$4:$L$8000,$A295,'Timesheet Raw'!$C$4:$C$8000,T$3,'Timesheet Raw'!$B$4:$B$8000,'Work Calendar'!$A$27)+SUMIFS('Timesheet Raw'!$P$4:$P$8000,'Timesheet Raw'!$L$4:$L$8000,$A295,'Timesheet Raw'!$C$4:$C$8000,T$3,'Timesheet Raw'!$B$4:$B$8000,'Work Calendar'!$A$28)+SUMIFS('Timesheet Raw'!$P$4:$P$8000,'Timesheet Raw'!$L$4:$L$8000,$A295,'Timesheet Raw'!$C$4:$C$8000,T$3,'Timesheet Raw'!$B$4:$B$8000,'Work Calendar'!$A$29))</f>
        <v>0</v>
      </c>
      <c r="W295" s="341">
        <f t="shared" si="19"/>
        <v>0</v>
      </c>
      <c r="X295" s="395">
        <f>IF($A295="","",SUMIFS('Timesheet Raw'!$K$4:$K$8000,'Timesheet Raw'!$L$4:$L$8000,$A295,'Timesheet Raw'!$C$4:$C$8000,T$3))</f>
        <v>0</v>
      </c>
      <c r="Y295" s="345">
        <f>IF($A295="","",SUMIFS('Timesheet Raw'!$P$4:$P$8000,'Timesheet Raw'!$L$4:$L$8000,$A295,'Timesheet Raw'!$C$4:$C$8000,T$3))</f>
        <v>0</v>
      </c>
      <c r="Z295" s="375"/>
      <c r="AA295" t="str">
        <f>IF($A295="","",IF(Z295&lt;&gt;"",Z295,IF($A295&gt;'Work Calendar'!$B$17,"No data yet",IF(AND(V295&gt;='Work Calendar'!$B$14,T295+U295+W295&gt;0),"Day off - but worked",IF(V295&gt;='Work Calendar'!$B$14,"Day off",IF(T295+U295+W295&gt;0,IF($C295="Working","Charged","Worked weekend"),IF($C295="Working","Leave (not charged)",$C295)))))))</f>
        <v>No data yet</v>
      </c>
    </row>
    <row r="296" spans="1:27" x14ac:dyDescent="0.3">
      <c r="A296" s="371">
        <f>IF($A295="","",IF($A295+1&gt;'Work Calendar'!$B$16,"",$A295+1))</f>
        <v>46314</v>
      </c>
      <c r="B296" t="str">
        <f t="shared" si="16"/>
        <v>Mon</v>
      </c>
      <c r="C296" t="str" cm="1">
        <f t="array" ref="C296">IF($A296="","",IF(COUNTIF('Work Calendar'!$E$6:$E$200,$A296)&gt;0,"Holiday",IF(INDEX('Work Calendar'!$C$6:$C$12,WEEKDAY($A296,1))=1,"Working","Weekend")))</f>
        <v>Working</v>
      </c>
      <c r="D296" s="341">
        <f>IF($A296="","",SUMIFS('Timesheet Raw'!$P$4:$P$8000,'Timesheet Raw'!$L$4:$L$8000,$A296,'Timesheet Raw'!$C$4:$C$8000,D$3,'Timesheet Raw'!$A$4:$A$8000,"1-Projects"))</f>
        <v>0</v>
      </c>
      <c r="E296" s="341">
        <f>IF($A296="","",SUMIFS('Timesheet Raw'!$P$4:$P$8000,'Timesheet Raw'!$L$4:$L$8000,$A296,'Timesheet Raw'!$C$4:$C$8000,D$3,'Timesheet Raw'!$A$4:$A$8000,"2-Proposals Chargeable")+SUMIFS('Timesheet Raw'!$P$4:$P$8000,'Timesheet Raw'!$L$4:$L$8000,$A296,'Timesheet Raw'!$C$4:$C$8000,D$3,'Timesheet Raw'!$A$4:$A$8000,"3-Proposals Regular"))</f>
        <v>0</v>
      </c>
      <c r="F296" s="341">
        <f>IF($A296="","",SUMIFS('Timesheet Raw'!$P$4:$P$8000,'Timesheet Raw'!$L$4:$L$8000,$A296,'Timesheet Raw'!$C$4:$C$8000,D$3,'Timesheet Raw'!$B$4:$B$8000,'Work Calendar'!$A$26)+SUMIFS('Timesheet Raw'!$P$4:$P$8000,'Timesheet Raw'!$L$4:$L$8000,$A296,'Timesheet Raw'!$C$4:$C$8000,D$3,'Timesheet Raw'!$B$4:$B$8000,'Work Calendar'!$A$27)+SUMIFS('Timesheet Raw'!$P$4:$P$8000,'Timesheet Raw'!$L$4:$L$8000,$A296,'Timesheet Raw'!$C$4:$C$8000,D$3,'Timesheet Raw'!$B$4:$B$8000,'Work Calendar'!$A$28)+SUMIFS('Timesheet Raw'!$P$4:$P$8000,'Timesheet Raw'!$L$4:$L$8000,$A296,'Timesheet Raw'!$C$4:$C$8000,D$3,'Timesheet Raw'!$B$4:$B$8000,'Work Calendar'!$A$29))</f>
        <v>0</v>
      </c>
      <c r="G296" s="341">
        <f t="shared" si="17"/>
        <v>0</v>
      </c>
      <c r="H296" s="395">
        <f>IF($A296="","",SUMIFS('Timesheet Raw'!$K$4:$K$8000,'Timesheet Raw'!$L$4:$L$8000,$A296,'Timesheet Raw'!$C$4:$C$8000,D$3))</f>
        <v>0</v>
      </c>
      <c r="I296" s="345">
        <f>IF($A296="","",SUMIFS('Timesheet Raw'!$P$4:$P$8000,'Timesheet Raw'!$L$4:$L$8000,$A296,'Timesheet Raw'!$C$4:$C$8000,D$3))</f>
        <v>0</v>
      </c>
      <c r="J296" s="375"/>
      <c r="K296" t="str">
        <f>IF($A296="","",IF(J296&lt;&gt;"",J296,IF($A296&gt;'Work Calendar'!$B$17,"No data yet",IF(AND(F296&gt;='Work Calendar'!$B$14,D296+E296+G296&gt;0),"Day off - but worked",IF(F296&gt;='Work Calendar'!$B$14,"Day off",IF(D296+E296+G296&gt;0,IF($C296="Working","Charged","Worked weekend"),IF($C296="Working","Leave (not charged)",$C296)))))))</f>
        <v>No data yet</v>
      </c>
      <c r="L296" s="341">
        <f>IF($A296="","",SUMIFS('Timesheet Raw'!$P$4:$P$8000,'Timesheet Raw'!$L$4:$L$8000,$A296,'Timesheet Raw'!$C$4:$C$8000,L$3,'Timesheet Raw'!$A$4:$A$8000,"1-Projects"))</f>
        <v>0</v>
      </c>
      <c r="M296" s="341">
        <f>IF($A296="","",SUMIFS('Timesheet Raw'!$P$4:$P$8000,'Timesheet Raw'!$L$4:$L$8000,$A296,'Timesheet Raw'!$C$4:$C$8000,L$3,'Timesheet Raw'!$A$4:$A$8000,"2-Proposals Chargeable")+SUMIFS('Timesheet Raw'!$P$4:$P$8000,'Timesheet Raw'!$L$4:$L$8000,$A296,'Timesheet Raw'!$C$4:$C$8000,L$3,'Timesheet Raw'!$A$4:$A$8000,"3-Proposals Regular"))</f>
        <v>0</v>
      </c>
      <c r="N296" s="341">
        <f>IF($A296="","",SUMIFS('Timesheet Raw'!$P$4:$P$8000,'Timesheet Raw'!$L$4:$L$8000,$A296,'Timesheet Raw'!$C$4:$C$8000,L$3,'Timesheet Raw'!$B$4:$B$8000,'Work Calendar'!$A$26)+SUMIFS('Timesheet Raw'!$P$4:$P$8000,'Timesheet Raw'!$L$4:$L$8000,$A296,'Timesheet Raw'!$C$4:$C$8000,L$3,'Timesheet Raw'!$B$4:$B$8000,'Work Calendar'!$A$27)+SUMIFS('Timesheet Raw'!$P$4:$P$8000,'Timesheet Raw'!$L$4:$L$8000,$A296,'Timesheet Raw'!$C$4:$C$8000,L$3,'Timesheet Raw'!$B$4:$B$8000,'Work Calendar'!$A$28)+SUMIFS('Timesheet Raw'!$P$4:$P$8000,'Timesheet Raw'!$L$4:$L$8000,$A296,'Timesheet Raw'!$C$4:$C$8000,L$3,'Timesheet Raw'!$B$4:$B$8000,'Work Calendar'!$A$29))</f>
        <v>0</v>
      </c>
      <c r="O296" s="341">
        <f t="shared" si="18"/>
        <v>0</v>
      </c>
      <c r="P296" s="395">
        <f>IF($A296="","",SUMIFS('Timesheet Raw'!$K$4:$K$8000,'Timesheet Raw'!$L$4:$L$8000,$A296,'Timesheet Raw'!$C$4:$C$8000,L$3))</f>
        <v>0</v>
      </c>
      <c r="Q296" s="345">
        <f>IF($A296="","",SUMIFS('Timesheet Raw'!$P$4:$P$8000,'Timesheet Raw'!$L$4:$L$8000,$A296,'Timesheet Raw'!$C$4:$C$8000,L$3))</f>
        <v>0</v>
      </c>
      <c r="R296" s="375"/>
      <c r="S296" t="str">
        <f>IF($A296="","",IF(R296&lt;&gt;"",R296,IF($A296&gt;'Work Calendar'!$B$17,"No data yet",IF(AND(N296&gt;='Work Calendar'!$B$14,L296+M296+O296&gt;0),"Day off - but worked",IF(N296&gt;='Work Calendar'!$B$14,"Day off",IF(L296+M296+O296&gt;0,IF($C296="Working","Charged","Worked weekend"),IF($C296="Working","Leave (not charged)",$C296)))))))</f>
        <v>No data yet</v>
      </c>
      <c r="T296" s="341">
        <f>IF($A296="","",SUMIFS('Timesheet Raw'!$P$4:$P$8000,'Timesheet Raw'!$L$4:$L$8000,$A296,'Timesheet Raw'!$C$4:$C$8000,T$3,'Timesheet Raw'!$A$4:$A$8000,"1-Projects"))</f>
        <v>0</v>
      </c>
      <c r="U296" s="341">
        <f>IF($A296="","",SUMIFS('Timesheet Raw'!$P$4:$P$8000,'Timesheet Raw'!$L$4:$L$8000,$A296,'Timesheet Raw'!$C$4:$C$8000,T$3,'Timesheet Raw'!$A$4:$A$8000,"2-Proposals Chargeable")+SUMIFS('Timesheet Raw'!$P$4:$P$8000,'Timesheet Raw'!$L$4:$L$8000,$A296,'Timesheet Raw'!$C$4:$C$8000,T$3,'Timesheet Raw'!$A$4:$A$8000,"3-Proposals Regular"))</f>
        <v>0</v>
      </c>
      <c r="V296" s="341">
        <f>IF($A296="","",SUMIFS('Timesheet Raw'!$P$4:$P$8000,'Timesheet Raw'!$L$4:$L$8000,$A296,'Timesheet Raw'!$C$4:$C$8000,T$3,'Timesheet Raw'!$B$4:$B$8000,'Work Calendar'!$A$26)+SUMIFS('Timesheet Raw'!$P$4:$P$8000,'Timesheet Raw'!$L$4:$L$8000,$A296,'Timesheet Raw'!$C$4:$C$8000,T$3,'Timesheet Raw'!$B$4:$B$8000,'Work Calendar'!$A$27)+SUMIFS('Timesheet Raw'!$P$4:$P$8000,'Timesheet Raw'!$L$4:$L$8000,$A296,'Timesheet Raw'!$C$4:$C$8000,T$3,'Timesheet Raw'!$B$4:$B$8000,'Work Calendar'!$A$28)+SUMIFS('Timesheet Raw'!$P$4:$P$8000,'Timesheet Raw'!$L$4:$L$8000,$A296,'Timesheet Raw'!$C$4:$C$8000,T$3,'Timesheet Raw'!$B$4:$B$8000,'Work Calendar'!$A$29))</f>
        <v>0</v>
      </c>
      <c r="W296" s="341">
        <f t="shared" si="19"/>
        <v>0</v>
      </c>
      <c r="X296" s="395">
        <f>IF($A296="","",SUMIFS('Timesheet Raw'!$K$4:$K$8000,'Timesheet Raw'!$L$4:$L$8000,$A296,'Timesheet Raw'!$C$4:$C$8000,T$3))</f>
        <v>0</v>
      </c>
      <c r="Y296" s="345">
        <f>IF($A296="","",SUMIFS('Timesheet Raw'!$P$4:$P$8000,'Timesheet Raw'!$L$4:$L$8000,$A296,'Timesheet Raw'!$C$4:$C$8000,T$3))</f>
        <v>0</v>
      </c>
      <c r="Z296" s="375"/>
      <c r="AA296" t="str">
        <f>IF($A296="","",IF(Z296&lt;&gt;"",Z296,IF($A296&gt;'Work Calendar'!$B$17,"No data yet",IF(AND(V296&gt;='Work Calendar'!$B$14,T296+U296+W296&gt;0),"Day off - but worked",IF(V296&gt;='Work Calendar'!$B$14,"Day off",IF(T296+U296+W296&gt;0,IF($C296="Working","Charged","Worked weekend"),IF($C296="Working","Leave (not charged)",$C296)))))))</f>
        <v>No data yet</v>
      </c>
    </row>
    <row r="297" spans="1:27" x14ac:dyDescent="0.3">
      <c r="A297" s="371">
        <f>IF($A296="","",IF($A296+1&gt;'Work Calendar'!$B$16,"",$A296+1))</f>
        <v>46315</v>
      </c>
      <c r="B297" t="str">
        <f t="shared" si="16"/>
        <v>Tue</v>
      </c>
      <c r="C297" t="str" cm="1">
        <f t="array" ref="C297">IF($A297="","",IF(COUNTIF('Work Calendar'!$E$6:$E$200,$A297)&gt;0,"Holiday",IF(INDEX('Work Calendar'!$C$6:$C$12,WEEKDAY($A297,1))=1,"Working","Weekend")))</f>
        <v>Working</v>
      </c>
      <c r="D297" s="341">
        <f>IF($A297="","",SUMIFS('Timesheet Raw'!$P$4:$P$8000,'Timesheet Raw'!$L$4:$L$8000,$A297,'Timesheet Raw'!$C$4:$C$8000,D$3,'Timesheet Raw'!$A$4:$A$8000,"1-Projects"))</f>
        <v>0</v>
      </c>
      <c r="E297" s="341">
        <f>IF($A297="","",SUMIFS('Timesheet Raw'!$P$4:$P$8000,'Timesheet Raw'!$L$4:$L$8000,$A297,'Timesheet Raw'!$C$4:$C$8000,D$3,'Timesheet Raw'!$A$4:$A$8000,"2-Proposals Chargeable")+SUMIFS('Timesheet Raw'!$P$4:$P$8000,'Timesheet Raw'!$L$4:$L$8000,$A297,'Timesheet Raw'!$C$4:$C$8000,D$3,'Timesheet Raw'!$A$4:$A$8000,"3-Proposals Regular"))</f>
        <v>0</v>
      </c>
      <c r="F297" s="341">
        <f>IF($A297="","",SUMIFS('Timesheet Raw'!$P$4:$P$8000,'Timesheet Raw'!$L$4:$L$8000,$A297,'Timesheet Raw'!$C$4:$C$8000,D$3,'Timesheet Raw'!$B$4:$B$8000,'Work Calendar'!$A$26)+SUMIFS('Timesheet Raw'!$P$4:$P$8000,'Timesheet Raw'!$L$4:$L$8000,$A297,'Timesheet Raw'!$C$4:$C$8000,D$3,'Timesheet Raw'!$B$4:$B$8000,'Work Calendar'!$A$27)+SUMIFS('Timesheet Raw'!$P$4:$P$8000,'Timesheet Raw'!$L$4:$L$8000,$A297,'Timesheet Raw'!$C$4:$C$8000,D$3,'Timesheet Raw'!$B$4:$B$8000,'Work Calendar'!$A$28)+SUMIFS('Timesheet Raw'!$P$4:$P$8000,'Timesheet Raw'!$L$4:$L$8000,$A297,'Timesheet Raw'!$C$4:$C$8000,D$3,'Timesheet Raw'!$B$4:$B$8000,'Work Calendar'!$A$29))</f>
        <v>0</v>
      </c>
      <c r="G297" s="341">
        <f t="shared" si="17"/>
        <v>0</v>
      </c>
      <c r="H297" s="395">
        <f>IF($A297="","",SUMIFS('Timesheet Raw'!$K$4:$K$8000,'Timesheet Raw'!$L$4:$L$8000,$A297,'Timesheet Raw'!$C$4:$C$8000,D$3))</f>
        <v>0</v>
      </c>
      <c r="I297" s="345">
        <f>IF($A297="","",SUMIFS('Timesheet Raw'!$P$4:$P$8000,'Timesheet Raw'!$L$4:$L$8000,$A297,'Timesheet Raw'!$C$4:$C$8000,D$3))</f>
        <v>0</v>
      </c>
      <c r="J297" s="375"/>
      <c r="K297" t="str">
        <f>IF($A297="","",IF(J297&lt;&gt;"",J297,IF($A297&gt;'Work Calendar'!$B$17,"No data yet",IF(AND(F297&gt;='Work Calendar'!$B$14,D297+E297+G297&gt;0),"Day off - but worked",IF(F297&gt;='Work Calendar'!$B$14,"Day off",IF(D297+E297+G297&gt;0,IF($C297="Working","Charged","Worked weekend"),IF($C297="Working","Leave (not charged)",$C297)))))))</f>
        <v>No data yet</v>
      </c>
      <c r="L297" s="341">
        <f>IF($A297="","",SUMIFS('Timesheet Raw'!$P$4:$P$8000,'Timesheet Raw'!$L$4:$L$8000,$A297,'Timesheet Raw'!$C$4:$C$8000,L$3,'Timesheet Raw'!$A$4:$A$8000,"1-Projects"))</f>
        <v>0</v>
      </c>
      <c r="M297" s="341">
        <f>IF($A297="","",SUMIFS('Timesheet Raw'!$P$4:$P$8000,'Timesheet Raw'!$L$4:$L$8000,$A297,'Timesheet Raw'!$C$4:$C$8000,L$3,'Timesheet Raw'!$A$4:$A$8000,"2-Proposals Chargeable")+SUMIFS('Timesheet Raw'!$P$4:$P$8000,'Timesheet Raw'!$L$4:$L$8000,$A297,'Timesheet Raw'!$C$4:$C$8000,L$3,'Timesheet Raw'!$A$4:$A$8000,"3-Proposals Regular"))</f>
        <v>0</v>
      </c>
      <c r="N297" s="341">
        <f>IF($A297="","",SUMIFS('Timesheet Raw'!$P$4:$P$8000,'Timesheet Raw'!$L$4:$L$8000,$A297,'Timesheet Raw'!$C$4:$C$8000,L$3,'Timesheet Raw'!$B$4:$B$8000,'Work Calendar'!$A$26)+SUMIFS('Timesheet Raw'!$P$4:$P$8000,'Timesheet Raw'!$L$4:$L$8000,$A297,'Timesheet Raw'!$C$4:$C$8000,L$3,'Timesheet Raw'!$B$4:$B$8000,'Work Calendar'!$A$27)+SUMIFS('Timesheet Raw'!$P$4:$P$8000,'Timesheet Raw'!$L$4:$L$8000,$A297,'Timesheet Raw'!$C$4:$C$8000,L$3,'Timesheet Raw'!$B$4:$B$8000,'Work Calendar'!$A$28)+SUMIFS('Timesheet Raw'!$P$4:$P$8000,'Timesheet Raw'!$L$4:$L$8000,$A297,'Timesheet Raw'!$C$4:$C$8000,L$3,'Timesheet Raw'!$B$4:$B$8000,'Work Calendar'!$A$29))</f>
        <v>0</v>
      </c>
      <c r="O297" s="341">
        <f t="shared" si="18"/>
        <v>0</v>
      </c>
      <c r="P297" s="395">
        <f>IF($A297="","",SUMIFS('Timesheet Raw'!$K$4:$K$8000,'Timesheet Raw'!$L$4:$L$8000,$A297,'Timesheet Raw'!$C$4:$C$8000,L$3))</f>
        <v>0</v>
      </c>
      <c r="Q297" s="345">
        <f>IF($A297="","",SUMIFS('Timesheet Raw'!$P$4:$P$8000,'Timesheet Raw'!$L$4:$L$8000,$A297,'Timesheet Raw'!$C$4:$C$8000,L$3))</f>
        <v>0</v>
      </c>
      <c r="R297" s="375"/>
      <c r="S297" t="str">
        <f>IF($A297="","",IF(R297&lt;&gt;"",R297,IF($A297&gt;'Work Calendar'!$B$17,"No data yet",IF(AND(N297&gt;='Work Calendar'!$B$14,L297+M297+O297&gt;0),"Day off - but worked",IF(N297&gt;='Work Calendar'!$B$14,"Day off",IF(L297+M297+O297&gt;0,IF($C297="Working","Charged","Worked weekend"),IF($C297="Working","Leave (not charged)",$C297)))))))</f>
        <v>No data yet</v>
      </c>
      <c r="T297" s="341">
        <f>IF($A297="","",SUMIFS('Timesheet Raw'!$P$4:$P$8000,'Timesheet Raw'!$L$4:$L$8000,$A297,'Timesheet Raw'!$C$4:$C$8000,T$3,'Timesheet Raw'!$A$4:$A$8000,"1-Projects"))</f>
        <v>0</v>
      </c>
      <c r="U297" s="341">
        <f>IF($A297="","",SUMIFS('Timesheet Raw'!$P$4:$P$8000,'Timesheet Raw'!$L$4:$L$8000,$A297,'Timesheet Raw'!$C$4:$C$8000,T$3,'Timesheet Raw'!$A$4:$A$8000,"2-Proposals Chargeable")+SUMIFS('Timesheet Raw'!$P$4:$P$8000,'Timesheet Raw'!$L$4:$L$8000,$A297,'Timesheet Raw'!$C$4:$C$8000,T$3,'Timesheet Raw'!$A$4:$A$8000,"3-Proposals Regular"))</f>
        <v>0</v>
      </c>
      <c r="V297" s="341">
        <f>IF($A297="","",SUMIFS('Timesheet Raw'!$P$4:$P$8000,'Timesheet Raw'!$L$4:$L$8000,$A297,'Timesheet Raw'!$C$4:$C$8000,T$3,'Timesheet Raw'!$B$4:$B$8000,'Work Calendar'!$A$26)+SUMIFS('Timesheet Raw'!$P$4:$P$8000,'Timesheet Raw'!$L$4:$L$8000,$A297,'Timesheet Raw'!$C$4:$C$8000,T$3,'Timesheet Raw'!$B$4:$B$8000,'Work Calendar'!$A$27)+SUMIFS('Timesheet Raw'!$P$4:$P$8000,'Timesheet Raw'!$L$4:$L$8000,$A297,'Timesheet Raw'!$C$4:$C$8000,T$3,'Timesheet Raw'!$B$4:$B$8000,'Work Calendar'!$A$28)+SUMIFS('Timesheet Raw'!$P$4:$P$8000,'Timesheet Raw'!$L$4:$L$8000,$A297,'Timesheet Raw'!$C$4:$C$8000,T$3,'Timesheet Raw'!$B$4:$B$8000,'Work Calendar'!$A$29))</f>
        <v>0</v>
      </c>
      <c r="W297" s="341">
        <f t="shared" si="19"/>
        <v>0</v>
      </c>
      <c r="X297" s="395">
        <f>IF($A297="","",SUMIFS('Timesheet Raw'!$K$4:$K$8000,'Timesheet Raw'!$L$4:$L$8000,$A297,'Timesheet Raw'!$C$4:$C$8000,T$3))</f>
        <v>0</v>
      </c>
      <c r="Y297" s="345">
        <f>IF($A297="","",SUMIFS('Timesheet Raw'!$P$4:$P$8000,'Timesheet Raw'!$L$4:$L$8000,$A297,'Timesheet Raw'!$C$4:$C$8000,T$3))</f>
        <v>0</v>
      </c>
      <c r="Z297" s="375"/>
      <c r="AA297" t="str">
        <f>IF($A297="","",IF(Z297&lt;&gt;"",Z297,IF($A297&gt;'Work Calendar'!$B$17,"No data yet",IF(AND(V297&gt;='Work Calendar'!$B$14,T297+U297+W297&gt;0),"Day off - but worked",IF(V297&gt;='Work Calendar'!$B$14,"Day off",IF(T297+U297+W297&gt;0,IF($C297="Working","Charged","Worked weekend"),IF($C297="Working","Leave (not charged)",$C297)))))))</f>
        <v>No data yet</v>
      </c>
    </row>
    <row r="298" spans="1:27" x14ac:dyDescent="0.3">
      <c r="A298" s="371">
        <f>IF($A297="","",IF($A297+1&gt;'Work Calendar'!$B$16,"",$A297+1))</f>
        <v>46316</v>
      </c>
      <c r="B298" t="str">
        <f t="shared" si="16"/>
        <v>Wed</v>
      </c>
      <c r="C298" t="str" cm="1">
        <f t="array" ref="C298">IF($A298="","",IF(COUNTIF('Work Calendar'!$E$6:$E$200,$A298)&gt;0,"Holiday",IF(INDEX('Work Calendar'!$C$6:$C$12,WEEKDAY($A298,1))=1,"Working","Weekend")))</f>
        <v>Working</v>
      </c>
      <c r="D298" s="341">
        <f>IF($A298="","",SUMIFS('Timesheet Raw'!$P$4:$P$8000,'Timesheet Raw'!$L$4:$L$8000,$A298,'Timesheet Raw'!$C$4:$C$8000,D$3,'Timesheet Raw'!$A$4:$A$8000,"1-Projects"))</f>
        <v>0</v>
      </c>
      <c r="E298" s="341">
        <f>IF($A298="","",SUMIFS('Timesheet Raw'!$P$4:$P$8000,'Timesheet Raw'!$L$4:$L$8000,$A298,'Timesheet Raw'!$C$4:$C$8000,D$3,'Timesheet Raw'!$A$4:$A$8000,"2-Proposals Chargeable")+SUMIFS('Timesheet Raw'!$P$4:$P$8000,'Timesheet Raw'!$L$4:$L$8000,$A298,'Timesheet Raw'!$C$4:$C$8000,D$3,'Timesheet Raw'!$A$4:$A$8000,"3-Proposals Regular"))</f>
        <v>0</v>
      </c>
      <c r="F298" s="341">
        <f>IF($A298="","",SUMIFS('Timesheet Raw'!$P$4:$P$8000,'Timesheet Raw'!$L$4:$L$8000,$A298,'Timesheet Raw'!$C$4:$C$8000,D$3,'Timesheet Raw'!$B$4:$B$8000,'Work Calendar'!$A$26)+SUMIFS('Timesheet Raw'!$P$4:$P$8000,'Timesheet Raw'!$L$4:$L$8000,$A298,'Timesheet Raw'!$C$4:$C$8000,D$3,'Timesheet Raw'!$B$4:$B$8000,'Work Calendar'!$A$27)+SUMIFS('Timesheet Raw'!$P$4:$P$8000,'Timesheet Raw'!$L$4:$L$8000,$A298,'Timesheet Raw'!$C$4:$C$8000,D$3,'Timesheet Raw'!$B$4:$B$8000,'Work Calendar'!$A$28)+SUMIFS('Timesheet Raw'!$P$4:$P$8000,'Timesheet Raw'!$L$4:$L$8000,$A298,'Timesheet Raw'!$C$4:$C$8000,D$3,'Timesheet Raw'!$B$4:$B$8000,'Work Calendar'!$A$29))</f>
        <v>0</v>
      </c>
      <c r="G298" s="341">
        <f t="shared" si="17"/>
        <v>0</v>
      </c>
      <c r="H298" s="395">
        <f>IF($A298="","",SUMIFS('Timesheet Raw'!$K$4:$K$8000,'Timesheet Raw'!$L$4:$L$8000,$A298,'Timesheet Raw'!$C$4:$C$8000,D$3))</f>
        <v>0</v>
      </c>
      <c r="I298" s="345">
        <f>IF($A298="","",SUMIFS('Timesheet Raw'!$P$4:$P$8000,'Timesheet Raw'!$L$4:$L$8000,$A298,'Timesheet Raw'!$C$4:$C$8000,D$3))</f>
        <v>0</v>
      </c>
      <c r="J298" s="375"/>
      <c r="K298" t="str">
        <f>IF($A298="","",IF(J298&lt;&gt;"",J298,IF($A298&gt;'Work Calendar'!$B$17,"No data yet",IF(AND(F298&gt;='Work Calendar'!$B$14,D298+E298+G298&gt;0),"Day off - but worked",IF(F298&gt;='Work Calendar'!$B$14,"Day off",IF(D298+E298+G298&gt;0,IF($C298="Working","Charged","Worked weekend"),IF($C298="Working","Leave (not charged)",$C298)))))))</f>
        <v>No data yet</v>
      </c>
      <c r="L298" s="341">
        <f>IF($A298="","",SUMIFS('Timesheet Raw'!$P$4:$P$8000,'Timesheet Raw'!$L$4:$L$8000,$A298,'Timesheet Raw'!$C$4:$C$8000,L$3,'Timesheet Raw'!$A$4:$A$8000,"1-Projects"))</f>
        <v>0</v>
      </c>
      <c r="M298" s="341">
        <f>IF($A298="","",SUMIFS('Timesheet Raw'!$P$4:$P$8000,'Timesheet Raw'!$L$4:$L$8000,$A298,'Timesheet Raw'!$C$4:$C$8000,L$3,'Timesheet Raw'!$A$4:$A$8000,"2-Proposals Chargeable")+SUMIFS('Timesheet Raw'!$P$4:$P$8000,'Timesheet Raw'!$L$4:$L$8000,$A298,'Timesheet Raw'!$C$4:$C$8000,L$3,'Timesheet Raw'!$A$4:$A$8000,"3-Proposals Regular"))</f>
        <v>0</v>
      </c>
      <c r="N298" s="341">
        <f>IF($A298="","",SUMIFS('Timesheet Raw'!$P$4:$P$8000,'Timesheet Raw'!$L$4:$L$8000,$A298,'Timesheet Raw'!$C$4:$C$8000,L$3,'Timesheet Raw'!$B$4:$B$8000,'Work Calendar'!$A$26)+SUMIFS('Timesheet Raw'!$P$4:$P$8000,'Timesheet Raw'!$L$4:$L$8000,$A298,'Timesheet Raw'!$C$4:$C$8000,L$3,'Timesheet Raw'!$B$4:$B$8000,'Work Calendar'!$A$27)+SUMIFS('Timesheet Raw'!$P$4:$P$8000,'Timesheet Raw'!$L$4:$L$8000,$A298,'Timesheet Raw'!$C$4:$C$8000,L$3,'Timesheet Raw'!$B$4:$B$8000,'Work Calendar'!$A$28)+SUMIFS('Timesheet Raw'!$P$4:$P$8000,'Timesheet Raw'!$L$4:$L$8000,$A298,'Timesheet Raw'!$C$4:$C$8000,L$3,'Timesheet Raw'!$B$4:$B$8000,'Work Calendar'!$A$29))</f>
        <v>0</v>
      </c>
      <c r="O298" s="341">
        <f t="shared" si="18"/>
        <v>0</v>
      </c>
      <c r="P298" s="395">
        <f>IF($A298="","",SUMIFS('Timesheet Raw'!$K$4:$K$8000,'Timesheet Raw'!$L$4:$L$8000,$A298,'Timesheet Raw'!$C$4:$C$8000,L$3))</f>
        <v>0</v>
      </c>
      <c r="Q298" s="345">
        <f>IF($A298="","",SUMIFS('Timesheet Raw'!$P$4:$P$8000,'Timesheet Raw'!$L$4:$L$8000,$A298,'Timesheet Raw'!$C$4:$C$8000,L$3))</f>
        <v>0</v>
      </c>
      <c r="R298" s="375"/>
      <c r="S298" t="str">
        <f>IF($A298="","",IF(R298&lt;&gt;"",R298,IF($A298&gt;'Work Calendar'!$B$17,"No data yet",IF(AND(N298&gt;='Work Calendar'!$B$14,L298+M298+O298&gt;0),"Day off - but worked",IF(N298&gt;='Work Calendar'!$B$14,"Day off",IF(L298+M298+O298&gt;0,IF($C298="Working","Charged","Worked weekend"),IF($C298="Working","Leave (not charged)",$C298)))))))</f>
        <v>No data yet</v>
      </c>
      <c r="T298" s="341">
        <f>IF($A298="","",SUMIFS('Timesheet Raw'!$P$4:$P$8000,'Timesheet Raw'!$L$4:$L$8000,$A298,'Timesheet Raw'!$C$4:$C$8000,T$3,'Timesheet Raw'!$A$4:$A$8000,"1-Projects"))</f>
        <v>0</v>
      </c>
      <c r="U298" s="341">
        <f>IF($A298="","",SUMIFS('Timesheet Raw'!$P$4:$P$8000,'Timesheet Raw'!$L$4:$L$8000,$A298,'Timesheet Raw'!$C$4:$C$8000,T$3,'Timesheet Raw'!$A$4:$A$8000,"2-Proposals Chargeable")+SUMIFS('Timesheet Raw'!$P$4:$P$8000,'Timesheet Raw'!$L$4:$L$8000,$A298,'Timesheet Raw'!$C$4:$C$8000,T$3,'Timesheet Raw'!$A$4:$A$8000,"3-Proposals Regular"))</f>
        <v>0</v>
      </c>
      <c r="V298" s="341">
        <f>IF($A298="","",SUMIFS('Timesheet Raw'!$P$4:$P$8000,'Timesheet Raw'!$L$4:$L$8000,$A298,'Timesheet Raw'!$C$4:$C$8000,T$3,'Timesheet Raw'!$B$4:$B$8000,'Work Calendar'!$A$26)+SUMIFS('Timesheet Raw'!$P$4:$P$8000,'Timesheet Raw'!$L$4:$L$8000,$A298,'Timesheet Raw'!$C$4:$C$8000,T$3,'Timesheet Raw'!$B$4:$B$8000,'Work Calendar'!$A$27)+SUMIFS('Timesheet Raw'!$P$4:$P$8000,'Timesheet Raw'!$L$4:$L$8000,$A298,'Timesheet Raw'!$C$4:$C$8000,T$3,'Timesheet Raw'!$B$4:$B$8000,'Work Calendar'!$A$28)+SUMIFS('Timesheet Raw'!$P$4:$P$8000,'Timesheet Raw'!$L$4:$L$8000,$A298,'Timesheet Raw'!$C$4:$C$8000,T$3,'Timesheet Raw'!$B$4:$B$8000,'Work Calendar'!$A$29))</f>
        <v>0</v>
      </c>
      <c r="W298" s="341">
        <f t="shared" si="19"/>
        <v>0</v>
      </c>
      <c r="X298" s="395">
        <f>IF($A298="","",SUMIFS('Timesheet Raw'!$K$4:$K$8000,'Timesheet Raw'!$L$4:$L$8000,$A298,'Timesheet Raw'!$C$4:$C$8000,T$3))</f>
        <v>0</v>
      </c>
      <c r="Y298" s="345">
        <f>IF($A298="","",SUMIFS('Timesheet Raw'!$P$4:$P$8000,'Timesheet Raw'!$L$4:$L$8000,$A298,'Timesheet Raw'!$C$4:$C$8000,T$3))</f>
        <v>0</v>
      </c>
      <c r="Z298" s="375"/>
      <c r="AA298" t="str">
        <f>IF($A298="","",IF(Z298&lt;&gt;"",Z298,IF($A298&gt;'Work Calendar'!$B$17,"No data yet",IF(AND(V298&gt;='Work Calendar'!$B$14,T298+U298+W298&gt;0),"Day off - but worked",IF(V298&gt;='Work Calendar'!$B$14,"Day off",IF(T298+U298+W298&gt;0,IF($C298="Working","Charged","Worked weekend"),IF($C298="Working","Leave (not charged)",$C298)))))))</f>
        <v>No data yet</v>
      </c>
    </row>
    <row r="299" spans="1:27" x14ac:dyDescent="0.3">
      <c r="A299" s="371">
        <f>IF($A298="","",IF($A298+1&gt;'Work Calendar'!$B$16,"",$A298+1))</f>
        <v>46317</v>
      </c>
      <c r="B299" t="str">
        <f t="shared" si="16"/>
        <v>Thu</v>
      </c>
      <c r="C299" t="str" cm="1">
        <f t="array" ref="C299">IF($A299="","",IF(COUNTIF('Work Calendar'!$E$6:$E$200,$A299)&gt;0,"Holiday",IF(INDEX('Work Calendar'!$C$6:$C$12,WEEKDAY($A299,1))=1,"Working","Weekend")))</f>
        <v>Working</v>
      </c>
      <c r="D299" s="341">
        <f>IF($A299="","",SUMIFS('Timesheet Raw'!$P$4:$P$8000,'Timesheet Raw'!$L$4:$L$8000,$A299,'Timesheet Raw'!$C$4:$C$8000,D$3,'Timesheet Raw'!$A$4:$A$8000,"1-Projects"))</f>
        <v>0</v>
      </c>
      <c r="E299" s="341">
        <f>IF($A299="","",SUMIFS('Timesheet Raw'!$P$4:$P$8000,'Timesheet Raw'!$L$4:$L$8000,$A299,'Timesheet Raw'!$C$4:$C$8000,D$3,'Timesheet Raw'!$A$4:$A$8000,"2-Proposals Chargeable")+SUMIFS('Timesheet Raw'!$P$4:$P$8000,'Timesheet Raw'!$L$4:$L$8000,$A299,'Timesheet Raw'!$C$4:$C$8000,D$3,'Timesheet Raw'!$A$4:$A$8000,"3-Proposals Regular"))</f>
        <v>0</v>
      </c>
      <c r="F299" s="341">
        <f>IF($A299="","",SUMIFS('Timesheet Raw'!$P$4:$P$8000,'Timesheet Raw'!$L$4:$L$8000,$A299,'Timesheet Raw'!$C$4:$C$8000,D$3,'Timesheet Raw'!$B$4:$B$8000,'Work Calendar'!$A$26)+SUMIFS('Timesheet Raw'!$P$4:$P$8000,'Timesheet Raw'!$L$4:$L$8000,$A299,'Timesheet Raw'!$C$4:$C$8000,D$3,'Timesheet Raw'!$B$4:$B$8000,'Work Calendar'!$A$27)+SUMIFS('Timesheet Raw'!$P$4:$P$8000,'Timesheet Raw'!$L$4:$L$8000,$A299,'Timesheet Raw'!$C$4:$C$8000,D$3,'Timesheet Raw'!$B$4:$B$8000,'Work Calendar'!$A$28)+SUMIFS('Timesheet Raw'!$P$4:$P$8000,'Timesheet Raw'!$L$4:$L$8000,$A299,'Timesheet Raw'!$C$4:$C$8000,D$3,'Timesheet Raw'!$B$4:$B$8000,'Work Calendar'!$A$29))</f>
        <v>0</v>
      </c>
      <c r="G299" s="341">
        <f t="shared" si="17"/>
        <v>0</v>
      </c>
      <c r="H299" s="395">
        <f>IF($A299="","",SUMIFS('Timesheet Raw'!$K$4:$K$8000,'Timesheet Raw'!$L$4:$L$8000,$A299,'Timesheet Raw'!$C$4:$C$8000,D$3))</f>
        <v>0</v>
      </c>
      <c r="I299" s="345">
        <f>IF($A299="","",SUMIFS('Timesheet Raw'!$P$4:$P$8000,'Timesheet Raw'!$L$4:$L$8000,$A299,'Timesheet Raw'!$C$4:$C$8000,D$3))</f>
        <v>0</v>
      </c>
      <c r="J299" s="375"/>
      <c r="K299" t="str">
        <f>IF($A299="","",IF(J299&lt;&gt;"",J299,IF($A299&gt;'Work Calendar'!$B$17,"No data yet",IF(AND(F299&gt;='Work Calendar'!$B$14,D299+E299+G299&gt;0),"Day off - but worked",IF(F299&gt;='Work Calendar'!$B$14,"Day off",IF(D299+E299+G299&gt;0,IF($C299="Working","Charged","Worked weekend"),IF($C299="Working","Leave (not charged)",$C299)))))))</f>
        <v>No data yet</v>
      </c>
      <c r="L299" s="341">
        <f>IF($A299="","",SUMIFS('Timesheet Raw'!$P$4:$P$8000,'Timesheet Raw'!$L$4:$L$8000,$A299,'Timesheet Raw'!$C$4:$C$8000,L$3,'Timesheet Raw'!$A$4:$A$8000,"1-Projects"))</f>
        <v>0</v>
      </c>
      <c r="M299" s="341">
        <f>IF($A299="","",SUMIFS('Timesheet Raw'!$P$4:$P$8000,'Timesheet Raw'!$L$4:$L$8000,$A299,'Timesheet Raw'!$C$4:$C$8000,L$3,'Timesheet Raw'!$A$4:$A$8000,"2-Proposals Chargeable")+SUMIFS('Timesheet Raw'!$P$4:$P$8000,'Timesheet Raw'!$L$4:$L$8000,$A299,'Timesheet Raw'!$C$4:$C$8000,L$3,'Timesheet Raw'!$A$4:$A$8000,"3-Proposals Regular"))</f>
        <v>0</v>
      </c>
      <c r="N299" s="341">
        <f>IF($A299="","",SUMIFS('Timesheet Raw'!$P$4:$P$8000,'Timesheet Raw'!$L$4:$L$8000,$A299,'Timesheet Raw'!$C$4:$C$8000,L$3,'Timesheet Raw'!$B$4:$B$8000,'Work Calendar'!$A$26)+SUMIFS('Timesheet Raw'!$P$4:$P$8000,'Timesheet Raw'!$L$4:$L$8000,$A299,'Timesheet Raw'!$C$4:$C$8000,L$3,'Timesheet Raw'!$B$4:$B$8000,'Work Calendar'!$A$27)+SUMIFS('Timesheet Raw'!$P$4:$P$8000,'Timesheet Raw'!$L$4:$L$8000,$A299,'Timesheet Raw'!$C$4:$C$8000,L$3,'Timesheet Raw'!$B$4:$B$8000,'Work Calendar'!$A$28)+SUMIFS('Timesheet Raw'!$P$4:$P$8000,'Timesheet Raw'!$L$4:$L$8000,$A299,'Timesheet Raw'!$C$4:$C$8000,L$3,'Timesheet Raw'!$B$4:$B$8000,'Work Calendar'!$A$29))</f>
        <v>0</v>
      </c>
      <c r="O299" s="341">
        <f t="shared" si="18"/>
        <v>0</v>
      </c>
      <c r="P299" s="395">
        <f>IF($A299="","",SUMIFS('Timesheet Raw'!$K$4:$K$8000,'Timesheet Raw'!$L$4:$L$8000,$A299,'Timesheet Raw'!$C$4:$C$8000,L$3))</f>
        <v>0</v>
      </c>
      <c r="Q299" s="345">
        <f>IF($A299="","",SUMIFS('Timesheet Raw'!$P$4:$P$8000,'Timesheet Raw'!$L$4:$L$8000,$A299,'Timesheet Raw'!$C$4:$C$8000,L$3))</f>
        <v>0</v>
      </c>
      <c r="R299" s="375"/>
      <c r="S299" t="str">
        <f>IF($A299="","",IF(R299&lt;&gt;"",R299,IF($A299&gt;'Work Calendar'!$B$17,"No data yet",IF(AND(N299&gt;='Work Calendar'!$B$14,L299+M299+O299&gt;0),"Day off - but worked",IF(N299&gt;='Work Calendar'!$B$14,"Day off",IF(L299+M299+O299&gt;0,IF($C299="Working","Charged","Worked weekend"),IF($C299="Working","Leave (not charged)",$C299)))))))</f>
        <v>No data yet</v>
      </c>
      <c r="T299" s="341">
        <f>IF($A299="","",SUMIFS('Timesheet Raw'!$P$4:$P$8000,'Timesheet Raw'!$L$4:$L$8000,$A299,'Timesheet Raw'!$C$4:$C$8000,T$3,'Timesheet Raw'!$A$4:$A$8000,"1-Projects"))</f>
        <v>0</v>
      </c>
      <c r="U299" s="341">
        <f>IF($A299="","",SUMIFS('Timesheet Raw'!$P$4:$P$8000,'Timesheet Raw'!$L$4:$L$8000,$A299,'Timesheet Raw'!$C$4:$C$8000,T$3,'Timesheet Raw'!$A$4:$A$8000,"2-Proposals Chargeable")+SUMIFS('Timesheet Raw'!$P$4:$P$8000,'Timesheet Raw'!$L$4:$L$8000,$A299,'Timesheet Raw'!$C$4:$C$8000,T$3,'Timesheet Raw'!$A$4:$A$8000,"3-Proposals Regular"))</f>
        <v>0</v>
      </c>
      <c r="V299" s="341">
        <f>IF($A299="","",SUMIFS('Timesheet Raw'!$P$4:$P$8000,'Timesheet Raw'!$L$4:$L$8000,$A299,'Timesheet Raw'!$C$4:$C$8000,T$3,'Timesheet Raw'!$B$4:$B$8000,'Work Calendar'!$A$26)+SUMIFS('Timesheet Raw'!$P$4:$P$8000,'Timesheet Raw'!$L$4:$L$8000,$A299,'Timesheet Raw'!$C$4:$C$8000,T$3,'Timesheet Raw'!$B$4:$B$8000,'Work Calendar'!$A$27)+SUMIFS('Timesheet Raw'!$P$4:$P$8000,'Timesheet Raw'!$L$4:$L$8000,$A299,'Timesheet Raw'!$C$4:$C$8000,T$3,'Timesheet Raw'!$B$4:$B$8000,'Work Calendar'!$A$28)+SUMIFS('Timesheet Raw'!$P$4:$P$8000,'Timesheet Raw'!$L$4:$L$8000,$A299,'Timesheet Raw'!$C$4:$C$8000,T$3,'Timesheet Raw'!$B$4:$B$8000,'Work Calendar'!$A$29))</f>
        <v>0</v>
      </c>
      <c r="W299" s="341">
        <f t="shared" si="19"/>
        <v>0</v>
      </c>
      <c r="X299" s="395">
        <f>IF($A299="","",SUMIFS('Timesheet Raw'!$K$4:$K$8000,'Timesheet Raw'!$L$4:$L$8000,$A299,'Timesheet Raw'!$C$4:$C$8000,T$3))</f>
        <v>0</v>
      </c>
      <c r="Y299" s="345">
        <f>IF($A299="","",SUMIFS('Timesheet Raw'!$P$4:$P$8000,'Timesheet Raw'!$L$4:$L$8000,$A299,'Timesheet Raw'!$C$4:$C$8000,T$3))</f>
        <v>0</v>
      </c>
      <c r="Z299" s="375"/>
      <c r="AA299" t="str">
        <f>IF($A299="","",IF(Z299&lt;&gt;"",Z299,IF($A299&gt;'Work Calendar'!$B$17,"No data yet",IF(AND(V299&gt;='Work Calendar'!$B$14,T299+U299+W299&gt;0),"Day off - but worked",IF(V299&gt;='Work Calendar'!$B$14,"Day off",IF(T299+U299+W299&gt;0,IF($C299="Working","Charged","Worked weekend"),IF($C299="Working","Leave (not charged)",$C299)))))))</f>
        <v>No data yet</v>
      </c>
    </row>
    <row r="300" spans="1:27" x14ac:dyDescent="0.3">
      <c r="A300" s="371">
        <f>IF($A299="","",IF($A299+1&gt;'Work Calendar'!$B$16,"",$A299+1))</f>
        <v>46318</v>
      </c>
      <c r="B300" t="str">
        <f t="shared" si="16"/>
        <v>Fri</v>
      </c>
      <c r="C300" t="str" cm="1">
        <f t="array" ref="C300">IF($A300="","",IF(COUNTIF('Work Calendar'!$E$6:$E$200,$A300)&gt;0,"Holiday",IF(INDEX('Work Calendar'!$C$6:$C$12,WEEKDAY($A300,1))=1,"Working","Weekend")))</f>
        <v>Weekend</v>
      </c>
      <c r="D300" s="341">
        <f>IF($A300="","",SUMIFS('Timesheet Raw'!$P$4:$P$8000,'Timesheet Raw'!$L$4:$L$8000,$A300,'Timesheet Raw'!$C$4:$C$8000,D$3,'Timesheet Raw'!$A$4:$A$8000,"1-Projects"))</f>
        <v>0</v>
      </c>
      <c r="E300" s="341">
        <f>IF($A300="","",SUMIFS('Timesheet Raw'!$P$4:$P$8000,'Timesheet Raw'!$L$4:$L$8000,$A300,'Timesheet Raw'!$C$4:$C$8000,D$3,'Timesheet Raw'!$A$4:$A$8000,"2-Proposals Chargeable")+SUMIFS('Timesheet Raw'!$P$4:$P$8000,'Timesheet Raw'!$L$4:$L$8000,$A300,'Timesheet Raw'!$C$4:$C$8000,D$3,'Timesheet Raw'!$A$4:$A$8000,"3-Proposals Regular"))</f>
        <v>0</v>
      </c>
      <c r="F300" s="341">
        <f>IF($A300="","",SUMIFS('Timesheet Raw'!$P$4:$P$8000,'Timesheet Raw'!$L$4:$L$8000,$A300,'Timesheet Raw'!$C$4:$C$8000,D$3,'Timesheet Raw'!$B$4:$B$8000,'Work Calendar'!$A$26)+SUMIFS('Timesheet Raw'!$P$4:$P$8000,'Timesheet Raw'!$L$4:$L$8000,$A300,'Timesheet Raw'!$C$4:$C$8000,D$3,'Timesheet Raw'!$B$4:$B$8000,'Work Calendar'!$A$27)+SUMIFS('Timesheet Raw'!$P$4:$P$8000,'Timesheet Raw'!$L$4:$L$8000,$A300,'Timesheet Raw'!$C$4:$C$8000,D$3,'Timesheet Raw'!$B$4:$B$8000,'Work Calendar'!$A$28)+SUMIFS('Timesheet Raw'!$P$4:$P$8000,'Timesheet Raw'!$L$4:$L$8000,$A300,'Timesheet Raw'!$C$4:$C$8000,D$3,'Timesheet Raw'!$B$4:$B$8000,'Work Calendar'!$A$29))</f>
        <v>0</v>
      </c>
      <c r="G300" s="341">
        <f t="shared" si="17"/>
        <v>0</v>
      </c>
      <c r="H300" s="395">
        <f>IF($A300="","",SUMIFS('Timesheet Raw'!$K$4:$K$8000,'Timesheet Raw'!$L$4:$L$8000,$A300,'Timesheet Raw'!$C$4:$C$8000,D$3))</f>
        <v>0</v>
      </c>
      <c r="I300" s="345">
        <f>IF($A300="","",SUMIFS('Timesheet Raw'!$P$4:$P$8000,'Timesheet Raw'!$L$4:$L$8000,$A300,'Timesheet Raw'!$C$4:$C$8000,D$3))</f>
        <v>0</v>
      </c>
      <c r="J300" s="375"/>
      <c r="K300" t="str">
        <f>IF($A300="","",IF(J300&lt;&gt;"",J300,IF($A300&gt;'Work Calendar'!$B$17,"No data yet",IF(AND(F300&gt;='Work Calendar'!$B$14,D300+E300+G300&gt;0),"Day off - but worked",IF(F300&gt;='Work Calendar'!$B$14,"Day off",IF(D300+E300+G300&gt;0,IF($C300="Working","Charged","Worked weekend"),IF($C300="Working","Leave (not charged)",$C300)))))))</f>
        <v>No data yet</v>
      </c>
      <c r="L300" s="341">
        <f>IF($A300="","",SUMIFS('Timesheet Raw'!$P$4:$P$8000,'Timesheet Raw'!$L$4:$L$8000,$A300,'Timesheet Raw'!$C$4:$C$8000,L$3,'Timesheet Raw'!$A$4:$A$8000,"1-Projects"))</f>
        <v>0</v>
      </c>
      <c r="M300" s="341">
        <f>IF($A300="","",SUMIFS('Timesheet Raw'!$P$4:$P$8000,'Timesheet Raw'!$L$4:$L$8000,$A300,'Timesheet Raw'!$C$4:$C$8000,L$3,'Timesheet Raw'!$A$4:$A$8000,"2-Proposals Chargeable")+SUMIFS('Timesheet Raw'!$P$4:$P$8000,'Timesheet Raw'!$L$4:$L$8000,$A300,'Timesheet Raw'!$C$4:$C$8000,L$3,'Timesheet Raw'!$A$4:$A$8000,"3-Proposals Regular"))</f>
        <v>0</v>
      </c>
      <c r="N300" s="341">
        <f>IF($A300="","",SUMIFS('Timesheet Raw'!$P$4:$P$8000,'Timesheet Raw'!$L$4:$L$8000,$A300,'Timesheet Raw'!$C$4:$C$8000,L$3,'Timesheet Raw'!$B$4:$B$8000,'Work Calendar'!$A$26)+SUMIFS('Timesheet Raw'!$P$4:$P$8000,'Timesheet Raw'!$L$4:$L$8000,$A300,'Timesheet Raw'!$C$4:$C$8000,L$3,'Timesheet Raw'!$B$4:$B$8000,'Work Calendar'!$A$27)+SUMIFS('Timesheet Raw'!$P$4:$P$8000,'Timesheet Raw'!$L$4:$L$8000,$A300,'Timesheet Raw'!$C$4:$C$8000,L$3,'Timesheet Raw'!$B$4:$B$8000,'Work Calendar'!$A$28)+SUMIFS('Timesheet Raw'!$P$4:$P$8000,'Timesheet Raw'!$L$4:$L$8000,$A300,'Timesheet Raw'!$C$4:$C$8000,L$3,'Timesheet Raw'!$B$4:$B$8000,'Work Calendar'!$A$29))</f>
        <v>0</v>
      </c>
      <c r="O300" s="341">
        <f t="shared" si="18"/>
        <v>0</v>
      </c>
      <c r="P300" s="395">
        <f>IF($A300="","",SUMIFS('Timesheet Raw'!$K$4:$K$8000,'Timesheet Raw'!$L$4:$L$8000,$A300,'Timesheet Raw'!$C$4:$C$8000,L$3))</f>
        <v>0</v>
      </c>
      <c r="Q300" s="345">
        <f>IF($A300="","",SUMIFS('Timesheet Raw'!$P$4:$P$8000,'Timesheet Raw'!$L$4:$L$8000,$A300,'Timesheet Raw'!$C$4:$C$8000,L$3))</f>
        <v>0</v>
      </c>
      <c r="R300" s="375"/>
      <c r="S300" t="str">
        <f>IF($A300="","",IF(R300&lt;&gt;"",R300,IF($A300&gt;'Work Calendar'!$B$17,"No data yet",IF(AND(N300&gt;='Work Calendar'!$B$14,L300+M300+O300&gt;0),"Day off - but worked",IF(N300&gt;='Work Calendar'!$B$14,"Day off",IF(L300+M300+O300&gt;0,IF($C300="Working","Charged","Worked weekend"),IF($C300="Working","Leave (not charged)",$C300)))))))</f>
        <v>No data yet</v>
      </c>
      <c r="T300" s="341">
        <f>IF($A300="","",SUMIFS('Timesheet Raw'!$P$4:$P$8000,'Timesheet Raw'!$L$4:$L$8000,$A300,'Timesheet Raw'!$C$4:$C$8000,T$3,'Timesheet Raw'!$A$4:$A$8000,"1-Projects"))</f>
        <v>0</v>
      </c>
      <c r="U300" s="341">
        <f>IF($A300="","",SUMIFS('Timesheet Raw'!$P$4:$P$8000,'Timesheet Raw'!$L$4:$L$8000,$A300,'Timesheet Raw'!$C$4:$C$8000,T$3,'Timesheet Raw'!$A$4:$A$8000,"2-Proposals Chargeable")+SUMIFS('Timesheet Raw'!$P$4:$P$8000,'Timesheet Raw'!$L$4:$L$8000,$A300,'Timesheet Raw'!$C$4:$C$8000,T$3,'Timesheet Raw'!$A$4:$A$8000,"3-Proposals Regular"))</f>
        <v>0</v>
      </c>
      <c r="V300" s="341">
        <f>IF($A300="","",SUMIFS('Timesheet Raw'!$P$4:$P$8000,'Timesheet Raw'!$L$4:$L$8000,$A300,'Timesheet Raw'!$C$4:$C$8000,T$3,'Timesheet Raw'!$B$4:$B$8000,'Work Calendar'!$A$26)+SUMIFS('Timesheet Raw'!$P$4:$P$8000,'Timesheet Raw'!$L$4:$L$8000,$A300,'Timesheet Raw'!$C$4:$C$8000,T$3,'Timesheet Raw'!$B$4:$B$8000,'Work Calendar'!$A$27)+SUMIFS('Timesheet Raw'!$P$4:$P$8000,'Timesheet Raw'!$L$4:$L$8000,$A300,'Timesheet Raw'!$C$4:$C$8000,T$3,'Timesheet Raw'!$B$4:$B$8000,'Work Calendar'!$A$28)+SUMIFS('Timesheet Raw'!$P$4:$P$8000,'Timesheet Raw'!$L$4:$L$8000,$A300,'Timesheet Raw'!$C$4:$C$8000,T$3,'Timesheet Raw'!$B$4:$B$8000,'Work Calendar'!$A$29))</f>
        <v>0</v>
      </c>
      <c r="W300" s="341">
        <f t="shared" si="19"/>
        <v>0</v>
      </c>
      <c r="X300" s="395">
        <f>IF($A300="","",SUMIFS('Timesheet Raw'!$K$4:$K$8000,'Timesheet Raw'!$L$4:$L$8000,$A300,'Timesheet Raw'!$C$4:$C$8000,T$3))</f>
        <v>0</v>
      </c>
      <c r="Y300" s="345">
        <f>IF($A300="","",SUMIFS('Timesheet Raw'!$P$4:$P$8000,'Timesheet Raw'!$L$4:$L$8000,$A300,'Timesheet Raw'!$C$4:$C$8000,T$3))</f>
        <v>0</v>
      </c>
      <c r="Z300" s="375"/>
      <c r="AA300" t="str">
        <f>IF($A300="","",IF(Z300&lt;&gt;"",Z300,IF($A300&gt;'Work Calendar'!$B$17,"No data yet",IF(AND(V300&gt;='Work Calendar'!$B$14,T300+U300+W300&gt;0),"Day off - but worked",IF(V300&gt;='Work Calendar'!$B$14,"Day off",IF(T300+U300+W300&gt;0,IF($C300="Working","Charged","Worked weekend"),IF($C300="Working","Leave (not charged)",$C300)))))))</f>
        <v>No data yet</v>
      </c>
    </row>
    <row r="301" spans="1:27" x14ac:dyDescent="0.3">
      <c r="A301" s="371">
        <f>IF($A300="","",IF($A300+1&gt;'Work Calendar'!$B$16,"",$A300+1))</f>
        <v>46319</v>
      </c>
      <c r="B301" t="str">
        <f t="shared" si="16"/>
        <v>Sat</v>
      </c>
      <c r="C301" t="str" cm="1">
        <f t="array" ref="C301">IF($A301="","",IF(COUNTIF('Work Calendar'!$E$6:$E$200,$A301)&gt;0,"Holiday",IF(INDEX('Work Calendar'!$C$6:$C$12,WEEKDAY($A301,1))=1,"Working","Weekend")))</f>
        <v>Weekend</v>
      </c>
      <c r="D301" s="341">
        <f>IF($A301="","",SUMIFS('Timesheet Raw'!$P$4:$P$8000,'Timesheet Raw'!$L$4:$L$8000,$A301,'Timesheet Raw'!$C$4:$C$8000,D$3,'Timesheet Raw'!$A$4:$A$8000,"1-Projects"))</f>
        <v>0</v>
      </c>
      <c r="E301" s="341">
        <f>IF($A301="","",SUMIFS('Timesheet Raw'!$P$4:$P$8000,'Timesheet Raw'!$L$4:$L$8000,$A301,'Timesheet Raw'!$C$4:$C$8000,D$3,'Timesheet Raw'!$A$4:$A$8000,"2-Proposals Chargeable")+SUMIFS('Timesheet Raw'!$P$4:$P$8000,'Timesheet Raw'!$L$4:$L$8000,$A301,'Timesheet Raw'!$C$4:$C$8000,D$3,'Timesheet Raw'!$A$4:$A$8000,"3-Proposals Regular"))</f>
        <v>0</v>
      </c>
      <c r="F301" s="341">
        <f>IF($A301="","",SUMIFS('Timesheet Raw'!$P$4:$P$8000,'Timesheet Raw'!$L$4:$L$8000,$A301,'Timesheet Raw'!$C$4:$C$8000,D$3,'Timesheet Raw'!$B$4:$B$8000,'Work Calendar'!$A$26)+SUMIFS('Timesheet Raw'!$P$4:$P$8000,'Timesheet Raw'!$L$4:$L$8000,$A301,'Timesheet Raw'!$C$4:$C$8000,D$3,'Timesheet Raw'!$B$4:$B$8000,'Work Calendar'!$A$27)+SUMIFS('Timesheet Raw'!$P$4:$P$8000,'Timesheet Raw'!$L$4:$L$8000,$A301,'Timesheet Raw'!$C$4:$C$8000,D$3,'Timesheet Raw'!$B$4:$B$8000,'Work Calendar'!$A$28)+SUMIFS('Timesheet Raw'!$P$4:$P$8000,'Timesheet Raw'!$L$4:$L$8000,$A301,'Timesheet Raw'!$C$4:$C$8000,D$3,'Timesheet Raw'!$B$4:$B$8000,'Work Calendar'!$A$29))</f>
        <v>0</v>
      </c>
      <c r="G301" s="341">
        <f t="shared" si="17"/>
        <v>0</v>
      </c>
      <c r="H301" s="395">
        <f>IF($A301="","",SUMIFS('Timesheet Raw'!$K$4:$K$8000,'Timesheet Raw'!$L$4:$L$8000,$A301,'Timesheet Raw'!$C$4:$C$8000,D$3))</f>
        <v>0</v>
      </c>
      <c r="I301" s="345">
        <f>IF($A301="","",SUMIFS('Timesheet Raw'!$P$4:$P$8000,'Timesheet Raw'!$L$4:$L$8000,$A301,'Timesheet Raw'!$C$4:$C$8000,D$3))</f>
        <v>0</v>
      </c>
      <c r="J301" s="375"/>
      <c r="K301" t="str">
        <f>IF($A301="","",IF(J301&lt;&gt;"",J301,IF($A301&gt;'Work Calendar'!$B$17,"No data yet",IF(AND(F301&gt;='Work Calendar'!$B$14,D301+E301+G301&gt;0),"Day off - but worked",IF(F301&gt;='Work Calendar'!$B$14,"Day off",IF(D301+E301+G301&gt;0,IF($C301="Working","Charged","Worked weekend"),IF($C301="Working","Leave (not charged)",$C301)))))))</f>
        <v>No data yet</v>
      </c>
      <c r="L301" s="341">
        <f>IF($A301="","",SUMIFS('Timesheet Raw'!$P$4:$P$8000,'Timesheet Raw'!$L$4:$L$8000,$A301,'Timesheet Raw'!$C$4:$C$8000,L$3,'Timesheet Raw'!$A$4:$A$8000,"1-Projects"))</f>
        <v>0</v>
      </c>
      <c r="M301" s="341">
        <f>IF($A301="","",SUMIFS('Timesheet Raw'!$P$4:$P$8000,'Timesheet Raw'!$L$4:$L$8000,$A301,'Timesheet Raw'!$C$4:$C$8000,L$3,'Timesheet Raw'!$A$4:$A$8000,"2-Proposals Chargeable")+SUMIFS('Timesheet Raw'!$P$4:$P$8000,'Timesheet Raw'!$L$4:$L$8000,$A301,'Timesheet Raw'!$C$4:$C$8000,L$3,'Timesheet Raw'!$A$4:$A$8000,"3-Proposals Regular"))</f>
        <v>0</v>
      </c>
      <c r="N301" s="341">
        <f>IF($A301="","",SUMIFS('Timesheet Raw'!$P$4:$P$8000,'Timesheet Raw'!$L$4:$L$8000,$A301,'Timesheet Raw'!$C$4:$C$8000,L$3,'Timesheet Raw'!$B$4:$B$8000,'Work Calendar'!$A$26)+SUMIFS('Timesheet Raw'!$P$4:$P$8000,'Timesheet Raw'!$L$4:$L$8000,$A301,'Timesheet Raw'!$C$4:$C$8000,L$3,'Timesheet Raw'!$B$4:$B$8000,'Work Calendar'!$A$27)+SUMIFS('Timesheet Raw'!$P$4:$P$8000,'Timesheet Raw'!$L$4:$L$8000,$A301,'Timesheet Raw'!$C$4:$C$8000,L$3,'Timesheet Raw'!$B$4:$B$8000,'Work Calendar'!$A$28)+SUMIFS('Timesheet Raw'!$P$4:$P$8000,'Timesheet Raw'!$L$4:$L$8000,$A301,'Timesheet Raw'!$C$4:$C$8000,L$3,'Timesheet Raw'!$B$4:$B$8000,'Work Calendar'!$A$29))</f>
        <v>0</v>
      </c>
      <c r="O301" s="341">
        <f t="shared" si="18"/>
        <v>0</v>
      </c>
      <c r="P301" s="395">
        <f>IF($A301="","",SUMIFS('Timesheet Raw'!$K$4:$K$8000,'Timesheet Raw'!$L$4:$L$8000,$A301,'Timesheet Raw'!$C$4:$C$8000,L$3))</f>
        <v>0</v>
      </c>
      <c r="Q301" s="345">
        <f>IF($A301="","",SUMIFS('Timesheet Raw'!$P$4:$P$8000,'Timesheet Raw'!$L$4:$L$8000,$A301,'Timesheet Raw'!$C$4:$C$8000,L$3))</f>
        <v>0</v>
      </c>
      <c r="R301" s="375"/>
      <c r="S301" t="str">
        <f>IF($A301="","",IF(R301&lt;&gt;"",R301,IF($A301&gt;'Work Calendar'!$B$17,"No data yet",IF(AND(N301&gt;='Work Calendar'!$B$14,L301+M301+O301&gt;0),"Day off - but worked",IF(N301&gt;='Work Calendar'!$B$14,"Day off",IF(L301+M301+O301&gt;0,IF($C301="Working","Charged","Worked weekend"),IF($C301="Working","Leave (not charged)",$C301)))))))</f>
        <v>No data yet</v>
      </c>
      <c r="T301" s="341">
        <f>IF($A301="","",SUMIFS('Timesheet Raw'!$P$4:$P$8000,'Timesheet Raw'!$L$4:$L$8000,$A301,'Timesheet Raw'!$C$4:$C$8000,T$3,'Timesheet Raw'!$A$4:$A$8000,"1-Projects"))</f>
        <v>0</v>
      </c>
      <c r="U301" s="341">
        <f>IF($A301="","",SUMIFS('Timesheet Raw'!$P$4:$P$8000,'Timesheet Raw'!$L$4:$L$8000,$A301,'Timesheet Raw'!$C$4:$C$8000,T$3,'Timesheet Raw'!$A$4:$A$8000,"2-Proposals Chargeable")+SUMIFS('Timesheet Raw'!$P$4:$P$8000,'Timesheet Raw'!$L$4:$L$8000,$A301,'Timesheet Raw'!$C$4:$C$8000,T$3,'Timesheet Raw'!$A$4:$A$8000,"3-Proposals Regular"))</f>
        <v>0</v>
      </c>
      <c r="V301" s="341">
        <f>IF($A301="","",SUMIFS('Timesheet Raw'!$P$4:$P$8000,'Timesheet Raw'!$L$4:$L$8000,$A301,'Timesheet Raw'!$C$4:$C$8000,T$3,'Timesheet Raw'!$B$4:$B$8000,'Work Calendar'!$A$26)+SUMIFS('Timesheet Raw'!$P$4:$P$8000,'Timesheet Raw'!$L$4:$L$8000,$A301,'Timesheet Raw'!$C$4:$C$8000,T$3,'Timesheet Raw'!$B$4:$B$8000,'Work Calendar'!$A$27)+SUMIFS('Timesheet Raw'!$P$4:$P$8000,'Timesheet Raw'!$L$4:$L$8000,$A301,'Timesheet Raw'!$C$4:$C$8000,T$3,'Timesheet Raw'!$B$4:$B$8000,'Work Calendar'!$A$28)+SUMIFS('Timesheet Raw'!$P$4:$P$8000,'Timesheet Raw'!$L$4:$L$8000,$A301,'Timesheet Raw'!$C$4:$C$8000,T$3,'Timesheet Raw'!$B$4:$B$8000,'Work Calendar'!$A$29))</f>
        <v>0</v>
      </c>
      <c r="W301" s="341">
        <f t="shared" si="19"/>
        <v>0</v>
      </c>
      <c r="X301" s="395">
        <f>IF($A301="","",SUMIFS('Timesheet Raw'!$K$4:$K$8000,'Timesheet Raw'!$L$4:$L$8000,$A301,'Timesheet Raw'!$C$4:$C$8000,T$3))</f>
        <v>0</v>
      </c>
      <c r="Y301" s="345">
        <f>IF($A301="","",SUMIFS('Timesheet Raw'!$P$4:$P$8000,'Timesheet Raw'!$L$4:$L$8000,$A301,'Timesheet Raw'!$C$4:$C$8000,T$3))</f>
        <v>0</v>
      </c>
      <c r="Z301" s="375"/>
      <c r="AA301" t="str">
        <f>IF($A301="","",IF(Z301&lt;&gt;"",Z301,IF($A301&gt;'Work Calendar'!$B$17,"No data yet",IF(AND(V301&gt;='Work Calendar'!$B$14,T301+U301+W301&gt;0),"Day off - but worked",IF(V301&gt;='Work Calendar'!$B$14,"Day off",IF(T301+U301+W301&gt;0,IF($C301="Working","Charged","Worked weekend"),IF($C301="Working","Leave (not charged)",$C301)))))))</f>
        <v>No data yet</v>
      </c>
    </row>
    <row r="302" spans="1:27" x14ac:dyDescent="0.3">
      <c r="A302" s="371">
        <f>IF($A301="","",IF($A301+1&gt;'Work Calendar'!$B$16,"",$A301+1))</f>
        <v>46320</v>
      </c>
      <c r="B302" t="str">
        <f t="shared" si="16"/>
        <v>Sun</v>
      </c>
      <c r="C302" t="str" cm="1">
        <f t="array" ref="C302">IF($A302="","",IF(COUNTIF('Work Calendar'!$E$6:$E$200,$A302)&gt;0,"Holiday",IF(INDEX('Work Calendar'!$C$6:$C$12,WEEKDAY($A302,1))=1,"Working","Weekend")))</f>
        <v>Working</v>
      </c>
      <c r="D302" s="341">
        <f>IF($A302="","",SUMIFS('Timesheet Raw'!$P$4:$P$8000,'Timesheet Raw'!$L$4:$L$8000,$A302,'Timesheet Raw'!$C$4:$C$8000,D$3,'Timesheet Raw'!$A$4:$A$8000,"1-Projects"))</f>
        <v>0</v>
      </c>
      <c r="E302" s="341">
        <f>IF($A302="","",SUMIFS('Timesheet Raw'!$P$4:$P$8000,'Timesheet Raw'!$L$4:$L$8000,$A302,'Timesheet Raw'!$C$4:$C$8000,D$3,'Timesheet Raw'!$A$4:$A$8000,"2-Proposals Chargeable")+SUMIFS('Timesheet Raw'!$P$4:$P$8000,'Timesheet Raw'!$L$4:$L$8000,$A302,'Timesheet Raw'!$C$4:$C$8000,D$3,'Timesheet Raw'!$A$4:$A$8000,"3-Proposals Regular"))</f>
        <v>0</v>
      </c>
      <c r="F302" s="341">
        <f>IF($A302="","",SUMIFS('Timesheet Raw'!$P$4:$P$8000,'Timesheet Raw'!$L$4:$L$8000,$A302,'Timesheet Raw'!$C$4:$C$8000,D$3,'Timesheet Raw'!$B$4:$B$8000,'Work Calendar'!$A$26)+SUMIFS('Timesheet Raw'!$P$4:$P$8000,'Timesheet Raw'!$L$4:$L$8000,$A302,'Timesheet Raw'!$C$4:$C$8000,D$3,'Timesheet Raw'!$B$4:$B$8000,'Work Calendar'!$A$27)+SUMIFS('Timesheet Raw'!$P$4:$P$8000,'Timesheet Raw'!$L$4:$L$8000,$A302,'Timesheet Raw'!$C$4:$C$8000,D$3,'Timesheet Raw'!$B$4:$B$8000,'Work Calendar'!$A$28)+SUMIFS('Timesheet Raw'!$P$4:$P$8000,'Timesheet Raw'!$L$4:$L$8000,$A302,'Timesheet Raw'!$C$4:$C$8000,D$3,'Timesheet Raw'!$B$4:$B$8000,'Work Calendar'!$A$29))</f>
        <v>0</v>
      </c>
      <c r="G302" s="341">
        <f t="shared" si="17"/>
        <v>0</v>
      </c>
      <c r="H302" s="395">
        <f>IF($A302="","",SUMIFS('Timesheet Raw'!$K$4:$K$8000,'Timesheet Raw'!$L$4:$L$8000,$A302,'Timesheet Raw'!$C$4:$C$8000,D$3))</f>
        <v>0</v>
      </c>
      <c r="I302" s="345">
        <f>IF($A302="","",SUMIFS('Timesheet Raw'!$P$4:$P$8000,'Timesheet Raw'!$L$4:$L$8000,$A302,'Timesheet Raw'!$C$4:$C$8000,D$3))</f>
        <v>0</v>
      </c>
      <c r="J302" s="375"/>
      <c r="K302" t="str">
        <f>IF($A302="","",IF(J302&lt;&gt;"",J302,IF($A302&gt;'Work Calendar'!$B$17,"No data yet",IF(AND(F302&gt;='Work Calendar'!$B$14,D302+E302+G302&gt;0),"Day off - but worked",IF(F302&gt;='Work Calendar'!$B$14,"Day off",IF(D302+E302+G302&gt;0,IF($C302="Working","Charged","Worked weekend"),IF($C302="Working","Leave (not charged)",$C302)))))))</f>
        <v>No data yet</v>
      </c>
      <c r="L302" s="341">
        <f>IF($A302="","",SUMIFS('Timesheet Raw'!$P$4:$P$8000,'Timesheet Raw'!$L$4:$L$8000,$A302,'Timesheet Raw'!$C$4:$C$8000,L$3,'Timesheet Raw'!$A$4:$A$8000,"1-Projects"))</f>
        <v>0</v>
      </c>
      <c r="M302" s="341">
        <f>IF($A302="","",SUMIFS('Timesheet Raw'!$P$4:$P$8000,'Timesheet Raw'!$L$4:$L$8000,$A302,'Timesheet Raw'!$C$4:$C$8000,L$3,'Timesheet Raw'!$A$4:$A$8000,"2-Proposals Chargeable")+SUMIFS('Timesheet Raw'!$P$4:$P$8000,'Timesheet Raw'!$L$4:$L$8000,$A302,'Timesheet Raw'!$C$4:$C$8000,L$3,'Timesheet Raw'!$A$4:$A$8000,"3-Proposals Regular"))</f>
        <v>0</v>
      </c>
      <c r="N302" s="341">
        <f>IF($A302="","",SUMIFS('Timesheet Raw'!$P$4:$P$8000,'Timesheet Raw'!$L$4:$L$8000,$A302,'Timesheet Raw'!$C$4:$C$8000,L$3,'Timesheet Raw'!$B$4:$B$8000,'Work Calendar'!$A$26)+SUMIFS('Timesheet Raw'!$P$4:$P$8000,'Timesheet Raw'!$L$4:$L$8000,$A302,'Timesheet Raw'!$C$4:$C$8000,L$3,'Timesheet Raw'!$B$4:$B$8000,'Work Calendar'!$A$27)+SUMIFS('Timesheet Raw'!$P$4:$P$8000,'Timesheet Raw'!$L$4:$L$8000,$A302,'Timesheet Raw'!$C$4:$C$8000,L$3,'Timesheet Raw'!$B$4:$B$8000,'Work Calendar'!$A$28)+SUMIFS('Timesheet Raw'!$P$4:$P$8000,'Timesheet Raw'!$L$4:$L$8000,$A302,'Timesheet Raw'!$C$4:$C$8000,L$3,'Timesheet Raw'!$B$4:$B$8000,'Work Calendar'!$A$29))</f>
        <v>0</v>
      </c>
      <c r="O302" s="341">
        <f t="shared" si="18"/>
        <v>0</v>
      </c>
      <c r="P302" s="395">
        <f>IF($A302="","",SUMIFS('Timesheet Raw'!$K$4:$K$8000,'Timesheet Raw'!$L$4:$L$8000,$A302,'Timesheet Raw'!$C$4:$C$8000,L$3))</f>
        <v>0</v>
      </c>
      <c r="Q302" s="345">
        <f>IF($A302="","",SUMIFS('Timesheet Raw'!$P$4:$P$8000,'Timesheet Raw'!$L$4:$L$8000,$A302,'Timesheet Raw'!$C$4:$C$8000,L$3))</f>
        <v>0</v>
      </c>
      <c r="R302" s="375"/>
      <c r="S302" t="str">
        <f>IF($A302="","",IF(R302&lt;&gt;"",R302,IF($A302&gt;'Work Calendar'!$B$17,"No data yet",IF(AND(N302&gt;='Work Calendar'!$B$14,L302+M302+O302&gt;0),"Day off - but worked",IF(N302&gt;='Work Calendar'!$B$14,"Day off",IF(L302+M302+O302&gt;0,IF($C302="Working","Charged","Worked weekend"),IF($C302="Working","Leave (not charged)",$C302)))))))</f>
        <v>No data yet</v>
      </c>
      <c r="T302" s="341">
        <f>IF($A302="","",SUMIFS('Timesheet Raw'!$P$4:$P$8000,'Timesheet Raw'!$L$4:$L$8000,$A302,'Timesheet Raw'!$C$4:$C$8000,T$3,'Timesheet Raw'!$A$4:$A$8000,"1-Projects"))</f>
        <v>0</v>
      </c>
      <c r="U302" s="341">
        <f>IF($A302="","",SUMIFS('Timesheet Raw'!$P$4:$P$8000,'Timesheet Raw'!$L$4:$L$8000,$A302,'Timesheet Raw'!$C$4:$C$8000,T$3,'Timesheet Raw'!$A$4:$A$8000,"2-Proposals Chargeable")+SUMIFS('Timesheet Raw'!$P$4:$P$8000,'Timesheet Raw'!$L$4:$L$8000,$A302,'Timesheet Raw'!$C$4:$C$8000,T$3,'Timesheet Raw'!$A$4:$A$8000,"3-Proposals Regular"))</f>
        <v>0</v>
      </c>
      <c r="V302" s="341">
        <f>IF($A302="","",SUMIFS('Timesheet Raw'!$P$4:$P$8000,'Timesheet Raw'!$L$4:$L$8000,$A302,'Timesheet Raw'!$C$4:$C$8000,T$3,'Timesheet Raw'!$B$4:$B$8000,'Work Calendar'!$A$26)+SUMIFS('Timesheet Raw'!$P$4:$P$8000,'Timesheet Raw'!$L$4:$L$8000,$A302,'Timesheet Raw'!$C$4:$C$8000,T$3,'Timesheet Raw'!$B$4:$B$8000,'Work Calendar'!$A$27)+SUMIFS('Timesheet Raw'!$P$4:$P$8000,'Timesheet Raw'!$L$4:$L$8000,$A302,'Timesheet Raw'!$C$4:$C$8000,T$3,'Timesheet Raw'!$B$4:$B$8000,'Work Calendar'!$A$28)+SUMIFS('Timesheet Raw'!$P$4:$P$8000,'Timesheet Raw'!$L$4:$L$8000,$A302,'Timesheet Raw'!$C$4:$C$8000,T$3,'Timesheet Raw'!$B$4:$B$8000,'Work Calendar'!$A$29))</f>
        <v>0</v>
      </c>
      <c r="W302" s="341">
        <f t="shared" si="19"/>
        <v>0</v>
      </c>
      <c r="X302" s="395">
        <f>IF($A302="","",SUMIFS('Timesheet Raw'!$K$4:$K$8000,'Timesheet Raw'!$L$4:$L$8000,$A302,'Timesheet Raw'!$C$4:$C$8000,T$3))</f>
        <v>0</v>
      </c>
      <c r="Y302" s="345">
        <f>IF($A302="","",SUMIFS('Timesheet Raw'!$P$4:$P$8000,'Timesheet Raw'!$L$4:$L$8000,$A302,'Timesheet Raw'!$C$4:$C$8000,T$3))</f>
        <v>0</v>
      </c>
      <c r="Z302" s="375"/>
      <c r="AA302" t="str">
        <f>IF($A302="","",IF(Z302&lt;&gt;"",Z302,IF($A302&gt;'Work Calendar'!$B$17,"No data yet",IF(AND(V302&gt;='Work Calendar'!$B$14,T302+U302+W302&gt;0),"Day off - but worked",IF(V302&gt;='Work Calendar'!$B$14,"Day off",IF(T302+U302+W302&gt;0,IF($C302="Working","Charged","Worked weekend"),IF($C302="Working","Leave (not charged)",$C302)))))))</f>
        <v>No data yet</v>
      </c>
    </row>
    <row r="303" spans="1:27" x14ac:dyDescent="0.3">
      <c r="A303" s="371">
        <f>IF($A302="","",IF($A302+1&gt;'Work Calendar'!$B$16,"",$A302+1))</f>
        <v>46321</v>
      </c>
      <c r="B303" t="str">
        <f t="shared" si="16"/>
        <v>Mon</v>
      </c>
      <c r="C303" t="str" cm="1">
        <f t="array" ref="C303">IF($A303="","",IF(COUNTIF('Work Calendar'!$E$6:$E$200,$A303)&gt;0,"Holiday",IF(INDEX('Work Calendar'!$C$6:$C$12,WEEKDAY($A303,1))=1,"Working","Weekend")))</f>
        <v>Working</v>
      </c>
      <c r="D303" s="341">
        <f>IF($A303="","",SUMIFS('Timesheet Raw'!$P$4:$P$8000,'Timesheet Raw'!$L$4:$L$8000,$A303,'Timesheet Raw'!$C$4:$C$8000,D$3,'Timesheet Raw'!$A$4:$A$8000,"1-Projects"))</f>
        <v>0</v>
      </c>
      <c r="E303" s="341">
        <f>IF($A303="","",SUMIFS('Timesheet Raw'!$P$4:$P$8000,'Timesheet Raw'!$L$4:$L$8000,$A303,'Timesheet Raw'!$C$4:$C$8000,D$3,'Timesheet Raw'!$A$4:$A$8000,"2-Proposals Chargeable")+SUMIFS('Timesheet Raw'!$P$4:$P$8000,'Timesheet Raw'!$L$4:$L$8000,$A303,'Timesheet Raw'!$C$4:$C$8000,D$3,'Timesheet Raw'!$A$4:$A$8000,"3-Proposals Regular"))</f>
        <v>0</v>
      </c>
      <c r="F303" s="341">
        <f>IF($A303="","",SUMIFS('Timesheet Raw'!$P$4:$P$8000,'Timesheet Raw'!$L$4:$L$8000,$A303,'Timesheet Raw'!$C$4:$C$8000,D$3,'Timesheet Raw'!$B$4:$B$8000,'Work Calendar'!$A$26)+SUMIFS('Timesheet Raw'!$P$4:$P$8000,'Timesheet Raw'!$L$4:$L$8000,$A303,'Timesheet Raw'!$C$4:$C$8000,D$3,'Timesheet Raw'!$B$4:$B$8000,'Work Calendar'!$A$27)+SUMIFS('Timesheet Raw'!$P$4:$P$8000,'Timesheet Raw'!$L$4:$L$8000,$A303,'Timesheet Raw'!$C$4:$C$8000,D$3,'Timesheet Raw'!$B$4:$B$8000,'Work Calendar'!$A$28)+SUMIFS('Timesheet Raw'!$P$4:$P$8000,'Timesheet Raw'!$L$4:$L$8000,$A303,'Timesheet Raw'!$C$4:$C$8000,D$3,'Timesheet Raw'!$B$4:$B$8000,'Work Calendar'!$A$29))</f>
        <v>0</v>
      </c>
      <c r="G303" s="341">
        <f t="shared" si="17"/>
        <v>0</v>
      </c>
      <c r="H303" s="395">
        <f>IF($A303="","",SUMIFS('Timesheet Raw'!$K$4:$K$8000,'Timesheet Raw'!$L$4:$L$8000,$A303,'Timesheet Raw'!$C$4:$C$8000,D$3))</f>
        <v>0</v>
      </c>
      <c r="I303" s="345">
        <f>IF($A303="","",SUMIFS('Timesheet Raw'!$P$4:$P$8000,'Timesheet Raw'!$L$4:$L$8000,$A303,'Timesheet Raw'!$C$4:$C$8000,D$3))</f>
        <v>0</v>
      </c>
      <c r="J303" s="375"/>
      <c r="K303" t="str">
        <f>IF($A303="","",IF(J303&lt;&gt;"",J303,IF($A303&gt;'Work Calendar'!$B$17,"No data yet",IF(AND(F303&gt;='Work Calendar'!$B$14,D303+E303+G303&gt;0),"Day off - but worked",IF(F303&gt;='Work Calendar'!$B$14,"Day off",IF(D303+E303+G303&gt;0,IF($C303="Working","Charged","Worked weekend"),IF($C303="Working","Leave (not charged)",$C303)))))))</f>
        <v>No data yet</v>
      </c>
      <c r="L303" s="341">
        <f>IF($A303="","",SUMIFS('Timesheet Raw'!$P$4:$P$8000,'Timesheet Raw'!$L$4:$L$8000,$A303,'Timesheet Raw'!$C$4:$C$8000,L$3,'Timesheet Raw'!$A$4:$A$8000,"1-Projects"))</f>
        <v>0</v>
      </c>
      <c r="M303" s="341">
        <f>IF($A303="","",SUMIFS('Timesheet Raw'!$P$4:$P$8000,'Timesheet Raw'!$L$4:$L$8000,$A303,'Timesheet Raw'!$C$4:$C$8000,L$3,'Timesheet Raw'!$A$4:$A$8000,"2-Proposals Chargeable")+SUMIFS('Timesheet Raw'!$P$4:$P$8000,'Timesheet Raw'!$L$4:$L$8000,$A303,'Timesheet Raw'!$C$4:$C$8000,L$3,'Timesheet Raw'!$A$4:$A$8000,"3-Proposals Regular"))</f>
        <v>0</v>
      </c>
      <c r="N303" s="341">
        <f>IF($A303="","",SUMIFS('Timesheet Raw'!$P$4:$P$8000,'Timesheet Raw'!$L$4:$L$8000,$A303,'Timesheet Raw'!$C$4:$C$8000,L$3,'Timesheet Raw'!$B$4:$B$8000,'Work Calendar'!$A$26)+SUMIFS('Timesheet Raw'!$P$4:$P$8000,'Timesheet Raw'!$L$4:$L$8000,$A303,'Timesheet Raw'!$C$4:$C$8000,L$3,'Timesheet Raw'!$B$4:$B$8000,'Work Calendar'!$A$27)+SUMIFS('Timesheet Raw'!$P$4:$P$8000,'Timesheet Raw'!$L$4:$L$8000,$A303,'Timesheet Raw'!$C$4:$C$8000,L$3,'Timesheet Raw'!$B$4:$B$8000,'Work Calendar'!$A$28)+SUMIFS('Timesheet Raw'!$P$4:$P$8000,'Timesheet Raw'!$L$4:$L$8000,$A303,'Timesheet Raw'!$C$4:$C$8000,L$3,'Timesheet Raw'!$B$4:$B$8000,'Work Calendar'!$A$29))</f>
        <v>0</v>
      </c>
      <c r="O303" s="341">
        <f t="shared" si="18"/>
        <v>0</v>
      </c>
      <c r="P303" s="395">
        <f>IF($A303="","",SUMIFS('Timesheet Raw'!$K$4:$K$8000,'Timesheet Raw'!$L$4:$L$8000,$A303,'Timesheet Raw'!$C$4:$C$8000,L$3))</f>
        <v>0</v>
      </c>
      <c r="Q303" s="345">
        <f>IF($A303="","",SUMIFS('Timesheet Raw'!$P$4:$P$8000,'Timesheet Raw'!$L$4:$L$8000,$A303,'Timesheet Raw'!$C$4:$C$8000,L$3))</f>
        <v>0</v>
      </c>
      <c r="R303" s="375"/>
      <c r="S303" t="str">
        <f>IF($A303="","",IF(R303&lt;&gt;"",R303,IF($A303&gt;'Work Calendar'!$B$17,"No data yet",IF(AND(N303&gt;='Work Calendar'!$B$14,L303+M303+O303&gt;0),"Day off - but worked",IF(N303&gt;='Work Calendar'!$B$14,"Day off",IF(L303+M303+O303&gt;0,IF($C303="Working","Charged","Worked weekend"),IF($C303="Working","Leave (not charged)",$C303)))))))</f>
        <v>No data yet</v>
      </c>
      <c r="T303" s="341">
        <f>IF($A303="","",SUMIFS('Timesheet Raw'!$P$4:$P$8000,'Timesheet Raw'!$L$4:$L$8000,$A303,'Timesheet Raw'!$C$4:$C$8000,T$3,'Timesheet Raw'!$A$4:$A$8000,"1-Projects"))</f>
        <v>0</v>
      </c>
      <c r="U303" s="341">
        <f>IF($A303="","",SUMIFS('Timesheet Raw'!$P$4:$P$8000,'Timesheet Raw'!$L$4:$L$8000,$A303,'Timesheet Raw'!$C$4:$C$8000,T$3,'Timesheet Raw'!$A$4:$A$8000,"2-Proposals Chargeable")+SUMIFS('Timesheet Raw'!$P$4:$P$8000,'Timesheet Raw'!$L$4:$L$8000,$A303,'Timesheet Raw'!$C$4:$C$8000,T$3,'Timesheet Raw'!$A$4:$A$8000,"3-Proposals Regular"))</f>
        <v>0</v>
      </c>
      <c r="V303" s="341">
        <f>IF($A303="","",SUMIFS('Timesheet Raw'!$P$4:$P$8000,'Timesheet Raw'!$L$4:$L$8000,$A303,'Timesheet Raw'!$C$4:$C$8000,T$3,'Timesheet Raw'!$B$4:$B$8000,'Work Calendar'!$A$26)+SUMIFS('Timesheet Raw'!$P$4:$P$8000,'Timesheet Raw'!$L$4:$L$8000,$A303,'Timesheet Raw'!$C$4:$C$8000,T$3,'Timesheet Raw'!$B$4:$B$8000,'Work Calendar'!$A$27)+SUMIFS('Timesheet Raw'!$P$4:$P$8000,'Timesheet Raw'!$L$4:$L$8000,$A303,'Timesheet Raw'!$C$4:$C$8000,T$3,'Timesheet Raw'!$B$4:$B$8000,'Work Calendar'!$A$28)+SUMIFS('Timesheet Raw'!$P$4:$P$8000,'Timesheet Raw'!$L$4:$L$8000,$A303,'Timesheet Raw'!$C$4:$C$8000,T$3,'Timesheet Raw'!$B$4:$B$8000,'Work Calendar'!$A$29))</f>
        <v>0</v>
      </c>
      <c r="W303" s="341">
        <f t="shared" si="19"/>
        <v>0</v>
      </c>
      <c r="X303" s="395">
        <f>IF($A303="","",SUMIFS('Timesheet Raw'!$K$4:$K$8000,'Timesheet Raw'!$L$4:$L$8000,$A303,'Timesheet Raw'!$C$4:$C$8000,T$3))</f>
        <v>0</v>
      </c>
      <c r="Y303" s="345">
        <f>IF($A303="","",SUMIFS('Timesheet Raw'!$P$4:$P$8000,'Timesheet Raw'!$L$4:$L$8000,$A303,'Timesheet Raw'!$C$4:$C$8000,T$3))</f>
        <v>0</v>
      </c>
      <c r="Z303" s="375"/>
      <c r="AA303" t="str">
        <f>IF($A303="","",IF(Z303&lt;&gt;"",Z303,IF($A303&gt;'Work Calendar'!$B$17,"No data yet",IF(AND(V303&gt;='Work Calendar'!$B$14,T303+U303+W303&gt;0),"Day off - but worked",IF(V303&gt;='Work Calendar'!$B$14,"Day off",IF(T303+U303+W303&gt;0,IF($C303="Working","Charged","Worked weekend"),IF($C303="Working","Leave (not charged)",$C303)))))))</f>
        <v>No data yet</v>
      </c>
    </row>
    <row r="304" spans="1:27" x14ac:dyDescent="0.3">
      <c r="A304" s="371">
        <f>IF($A303="","",IF($A303+1&gt;'Work Calendar'!$B$16,"",$A303+1))</f>
        <v>46322</v>
      </c>
      <c r="B304" t="str">
        <f t="shared" si="16"/>
        <v>Tue</v>
      </c>
      <c r="C304" t="str" cm="1">
        <f t="array" ref="C304">IF($A304="","",IF(COUNTIF('Work Calendar'!$E$6:$E$200,$A304)&gt;0,"Holiday",IF(INDEX('Work Calendar'!$C$6:$C$12,WEEKDAY($A304,1))=1,"Working","Weekend")))</f>
        <v>Working</v>
      </c>
      <c r="D304" s="341">
        <f>IF($A304="","",SUMIFS('Timesheet Raw'!$P$4:$P$8000,'Timesheet Raw'!$L$4:$L$8000,$A304,'Timesheet Raw'!$C$4:$C$8000,D$3,'Timesheet Raw'!$A$4:$A$8000,"1-Projects"))</f>
        <v>0</v>
      </c>
      <c r="E304" s="341">
        <f>IF($A304="","",SUMIFS('Timesheet Raw'!$P$4:$P$8000,'Timesheet Raw'!$L$4:$L$8000,$A304,'Timesheet Raw'!$C$4:$C$8000,D$3,'Timesheet Raw'!$A$4:$A$8000,"2-Proposals Chargeable")+SUMIFS('Timesheet Raw'!$P$4:$P$8000,'Timesheet Raw'!$L$4:$L$8000,$A304,'Timesheet Raw'!$C$4:$C$8000,D$3,'Timesheet Raw'!$A$4:$A$8000,"3-Proposals Regular"))</f>
        <v>0</v>
      </c>
      <c r="F304" s="341">
        <f>IF($A304="","",SUMIFS('Timesheet Raw'!$P$4:$P$8000,'Timesheet Raw'!$L$4:$L$8000,$A304,'Timesheet Raw'!$C$4:$C$8000,D$3,'Timesheet Raw'!$B$4:$B$8000,'Work Calendar'!$A$26)+SUMIFS('Timesheet Raw'!$P$4:$P$8000,'Timesheet Raw'!$L$4:$L$8000,$A304,'Timesheet Raw'!$C$4:$C$8000,D$3,'Timesheet Raw'!$B$4:$B$8000,'Work Calendar'!$A$27)+SUMIFS('Timesheet Raw'!$P$4:$P$8000,'Timesheet Raw'!$L$4:$L$8000,$A304,'Timesheet Raw'!$C$4:$C$8000,D$3,'Timesheet Raw'!$B$4:$B$8000,'Work Calendar'!$A$28)+SUMIFS('Timesheet Raw'!$P$4:$P$8000,'Timesheet Raw'!$L$4:$L$8000,$A304,'Timesheet Raw'!$C$4:$C$8000,D$3,'Timesheet Raw'!$B$4:$B$8000,'Work Calendar'!$A$29))</f>
        <v>0</v>
      </c>
      <c r="G304" s="341">
        <f t="shared" si="17"/>
        <v>0</v>
      </c>
      <c r="H304" s="395">
        <f>IF($A304="","",SUMIFS('Timesheet Raw'!$K$4:$K$8000,'Timesheet Raw'!$L$4:$L$8000,$A304,'Timesheet Raw'!$C$4:$C$8000,D$3))</f>
        <v>0</v>
      </c>
      <c r="I304" s="345">
        <f>IF($A304="","",SUMIFS('Timesheet Raw'!$P$4:$P$8000,'Timesheet Raw'!$L$4:$L$8000,$A304,'Timesheet Raw'!$C$4:$C$8000,D$3))</f>
        <v>0</v>
      </c>
      <c r="J304" s="375"/>
      <c r="K304" t="str">
        <f>IF($A304="","",IF(J304&lt;&gt;"",J304,IF($A304&gt;'Work Calendar'!$B$17,"No data yet",IF(AND(F304&gt;='Work Calendar'!$B$14,D304+E304+G304&gt;0),"Day off - but worked",IF(F304&gt;='Work Calendar'!$B$14,"Day off",IF(D304+E304+G304&gt;0,IF($C304="Working","Charged","Worked weekend"),IF($C304="Working","Leave (not charged)",$C304)))))))</f>
        <v>No data yet</v>
      </c>
      <c r="L304" s="341">
        <f>IF($A304="","",SUMIFS('Timesheet Raw'!$P$4:$P$8000,'Timesheet Raw'!$L$4:$L$8000,$A304,'Timesheet Raw'!$C$4:$C$8000,L$3,'Timesheet Raw'!$A$4:$A$8000,"1-Projects"))</f>
        <v>0</v>
      </c>
      <c r="M304" s="341">
        <f>IF($A304="","",SUMIFS('Timesheet Raw'!$P$4:$P$8000,'Timesheet Raw'!$L$4:$L$8000,$A304,'Timesheet Raw'!$C$4:$C$8000,L$3,'Timesheet Raw'!$A$4:$A$8000,"2-Proposals Chargeable")+SUMIFS('Timesheet Raw'!$P$4:$P$8000,'Timesheet Raw'!$L$4:$L$8000,$A304,'Timesheet Raw'!$C$4:$C$8000,L$3,'Timesheet Raw'!$A$4:$A$8000,"3-Proposals Regular"))</f>
        <v>0</v>
      </c>
      <c r="N304" s="341">
        <f>IF($A304="","",SUMIFS('Timesheet Raw'!$P$4:$P$8000,'Timesheet Raw'!$L$4:$L$8000,$A304,'Timesheet Raw'!$C$4:$C$8000,L$3,'Timesheet Raw'!$B$4:$B$8000,'Work Calendar'!$A$26)+SUMIFS('Timesheet Raw'!$P$4:$P$8000,'Timesheet Raw'!$L$4:$L$8000,$A304,'Timesheet Raw'!$C$4:$C$8000,L$3,'Timesheet Raw'!$B$4:$B$8000,'Work Calendar'!$A$27)+SUMIFS('Timesheet Raw'!$P$4:$P$8000,'Timesheet Raw'!$L$4:$L$8000,$A304,'Timesheet Raw'!$C$4:$C$8000,L$3,'Timesheet Raw'!$B$4:$B$8000,'Work Calendar'!$A$28)+SUMIFS('Timesheet Raw'!$P$4:$P$8000,'Timesheet Raw'!$L$4:$L$8000,$A304,'Timesheet Raw'!$C$4:$C$8000,L$3,'Timesheet Raw'!$B$4:$B$8000,'Work Calendar'!$A$29))</f>
        <v>0</v>
      </c>
      <c r="O304" s="341">
        <f t="shared" si="18"/>
        <v>0</v>
      </c>
      <c r="P304" s="395">
        <f>IF($A304="","",SUMIFS('Timesheet Raw'!$K$4:$K$8000,'Timesheet Raw'!$L$4:$L$8000,$A304,'Timesheet Raw'!$C$4:$C$8000,L$3))</f>
        <v>0</v>
      </c>
      <c r="Q304" s="345">
        <f>IF($A304="","",SUMIFS('Timesheet Raw'!$P$4:$P$8000,'Timesheet Raw'!$L$4:$L$8000,$A304,'Timesheet Raw'!$C$4:$C$8000,L$3))</f>
        <v>0</v>
      </c>
      <c r="R304" s="375"/>
      <c r="S304" t="str">
        <f>IF($A304="","",IF(R304&lt;&gt;"",R304,IF($A304&gt;'Work Calendar'!$B$17,"No data yet",IF(AND(N304&gt;='Work Calendar'!$B$14,L304+M304+O304&gt;0),"Day off - but worked",IF(N304&gt;='Work Calendar'!$B$14,"Day off",IF(L304+M304+O304&gt;0,IF($C304="Working","Charged","Worked weekend"),IF($C304="Working","Leave (not charged)",$C304)))))))</f>
        <v>No data yet</v>
      </c>
      <c r="T304" s="341">
        <f>IF($A304="","",SUMIFS('Timesheet Raw'!$P$4:$P$8000,'Timesheet Raw'!$L$4:$L$8000,$A304,'Timesheet Raw'!$C$4:$C$8000,T$3,'Timesheet Raw'!$A$4:$A$8000,"1-Projects"))</f>
        <v>0</v>
      </c>
      <c r="U304" s="341">
        <f>IF($A304="","",SUMIFS('Timesheet Raw'!$P$4:$P$8000,'Timesheet Raw'!$L$4:$L$8000,$A304,'Timesheet Raw'!$C$4:$C$8000,T$3,'Timesheet Raw'!$A$4:$A$8000,"2-Proposals Chargeable")+SUMIFS('Timesheet Raw'!$P$4:$P$8000,'Timesheet Raw'!$L$4:$L$8000,$A304,'Timesheet Raw'!$C$4:$C$8000,T$3,'Timesheet Raw'!$A$4:$A$8000,"3-Proposals Regular"))</f>
        <v>0</v>
      </c>
      <c r="V304" s="341">
        <f>IF($A304="","",SUMIFS('Timesheet Raw'!$P$4:$P$8000,'Timesheet Raw'!$L$4:$L$8000,$A304,'Timesheet Raw'!$C$4:$C$8000,T$3,'Timesheet Raw'!$B$4:$B$8000,'Work Calendar'!$A$26)+SUMIFS('Timesheet Raw'!$P$4:$P$8000,'Timesheet Raw'!$L$4:$L$8000,$A304,'Timesheet Raw'!$C$4:$C$8000,T$3,'Timesheet Raw'!$B$4:$B$8000,'Work Calendar'!$A$27)+SUMIFS('Timesheet Raw'!$P$4:$P$8000,'Timesheet Raw'!$L$4:$L$8000,$A304,'Timesheet Raw'!$C$4:$C$8000,T$3,'Timesheet Raw'!$B$4:$B$8000,'Work Calendar'!$A$28)+SUMIFS('Timesheet Raw'!$P$4:$P$8000,'Timesheet Raw'!$L$4:$L$8000,$A304,'Timesheet Raw'!$C$4:$C$8000,T$3,'Timesheet Raw'!$B$4:$B$8000,'Work Calendar'!$A$29))</f>
        <v>0</v>
      </c>
      <c r="W304" s="341">
        <f t="shared" si="19"/>
        <v>0</v>
      </c>
      <c r="X304" s="395">
        <f>IF($A304="","",SUMIFS('Timesheet Raw'!$K$4:$K$8000,'Timesheet Raw'!$L$4:$L$8000,$A304,'Timesheet Raw'!$C$4:$C$8000,T$3))</f>
        <v>0</v>
      </c>
      <c r="Y304" s="345">
        <f>IF($A304="","",SUMIFS('Timesheet Raw'!$P$4:$P$8000,'Timesheet Raw'!$L$4:$L$8000,$A304,'Timesheet Raw'!$C$4:$C$8000,T$3))</f>
        <v>0</v>
      </c>
      <c r="Z304" s="375"/>
      <c r="AA304" t="str">
        <f>IF($A304="","",IF(Z304&lt;&gt;"",Z304,IF($A304&gt;'Work Calendar'!$B$17,"No data yet",IF(AND(V304&gt;='Work Calendar'!$B$14,T304+U304+W304&gt;0),"Day off - but worked",IF(V304&gt;='Work Calendar'!$B$14,"Day off",IF(T304+U304+W304&gt;0,IF($C304="Working","Charged","Worked weekend"),IF($C304="Working","Leave (not charged)",$C304)))))))</f>
        <v>No data yet</v>
      </c>
    </row>
    <row r="305" spans="1:27" x14ac:dyDescent="0.3">
      <c r="A305" s="371">
        <f>IF($A304="","",IF($A304+1&gt;'Work Calendar'!$B$16,"",$A304+1))</f>
        <v>46323</v>
      </c>
      <c r="B305" t="str">
        <f t="shared" si="16"/>
        <v>Wed</v>
      </c>
      <c r="C305" t="str" cm="1">
        <f t="array" ref="C305">IF($A305="","",IF(COUNTIF('Work Calendar'!$E$6:$E$200,$A305)&gt;0,"Holiday",IF(INDEX('Work Calendar'!$C$6:$C$12,WEEKDAY($A305,1))=1,"Working","Weekend")))</f>
        <v>Working</v>
      </c>
      <c r="D305" s="341">
        <f>IF($A305="","",SUMIFS('Timesheet Raw'!$P$4:$P$8000,'Timesheet Raw'!$L$4:$L$8000,$A305,'Timesheet Raw'!$C$4:$C$8000,D$3,'Timesheet Raw'!$A$4:$A$8000,"1-Projects"))</f>
        <v>0</v>
      </c>
      <c r="E305" s="341">
        <f>IF($A305="","",SUMIFS('Timesheet Raw'!$P$4:$P$8000,'Timesheet Raw'!$L$4:$L$8000,$A305,'Timesheet Raw'!$C$4:$C$8000,D$3,'Timesheet Raw'!$A$4:$A$8000,"2-Proposals Chargeable")+SUMIFS('Timesheet Raw'!$P$4:$P$8000,'Timesheet Raw'!$L$4:$L$8000,$A305,'Timesheet Raw'!$C$4:$C$8000,D$3,'Timesheet Raw'!$A$4:$A$8000,"3-Proposals Regular"))</f>
        <v>0</v>
      </c>
      <c r="F305" s="341">
        <f>IF($A305="","",SUMIFS('Timesheet Raw'!$P$4:$P$8000,'Timesheet Raw'!$L$4:$L$8000,$A305,'Timesheet Raw'!$C$4:$C$8000,D$3,'Timesheet Raw'!$B$4:$B$8000,'Work Calendar'!$A$26)+SUMIFS('Timesheet Raw'!$P$4:$P$8000,'Timesheet Raw'!$L$4:$L$8000,$A305,'Timesheet Raw'!$C$4:$C$8000,D$3,'Timesheet Raw'!$B$4:$B$8000,'Work Calendar'!$A$27)+SUMIFS('Timesheet Raw'!$P$4:$P$8000,'Timesheet Raw'!$L$4:$L$8000,$A305,'Timesheet Raw'!$C$4:$C$8000,D$3,'Timesheet Raw'!$B$4:$B$8000,'Work Calendar'!$A$28)+SUMIFS('Timesheet Raw'!$P$4:$P$8000,'Timesheet Raw'!$L$4:$L$8000,$A305,'Timesheet Raw'!$C$4:$C$8000,D$3,'Timesheet Raw'!$B$4:$B$8000,'Work Calendar'!$A$29))</f>
        <v>0</v>
      </c>
      <c r="G305" s="341">
        <f t="shared" si="17"/>
        <v>0</v>
      </c>
      <c r="H305" s="395">
        <f>IF($A305="","",SUMIFS('Timesheet Raw'!$K$4:$K$8000,'Timesheet Raw'!$L$4:$L$8000,$A305,'Timesheet Raw'!$C$4:$C$8000,D$3))</f>
        <v>0</v>
      </c>
      <c r="I305" s="345">
        <f>IF($A305="","",SUMIFS('Timesheet Raw'!$P$4:$P$8000,'Timesheet Raw'!$L$4:$L$8000,$A305,'Timesheet Raw'!$C$4:$C$8000,D$3))</f>
        <v>0</v>
      </c>
      <c r="J305" s="375"/>
      <c r="K305" t="str">
        <f>IF($A305="","",IF(J305&lt;&gt;"",J305,IF($A305&gt;'Work Calendar'!$B$17,"No data yet",IF(AND(F305&gt;='Work Calendar'!$B$14,D305+E305+G305&gt;0),"Day off - but worked",IF(F305&gt;='Work Calendar'!$B$14,"Day off",IF(D305+E305+G305&gt;0,IF($C305="Working","Charged","Worked weekend"),IF($C305="Working","Leave (not charged)",$C305)))))))</f>
        <v>No data yet</v>
      </c>
      <c r="L305" s="341">
        <f>IF($A305="","",SUMIFS('Timesheet Raw'!$P$4:$P$8000,'Timesheet Raw'!$L$4:$L$8000,$A305,'Timesheet Raw'!$C$4:$C$8000,L$3,'Timesheet Raw'!$A$4:$A$8000,"1-Projects"))</f>
        <v>0</v>
      </c>
      <c r="M305" s="341">
        <f>IF($A305="","",SUMIFS('Timesheet Raw'!$P$4:$P$8000,'Timesheet Raw'!$L$4:$L$8000,$A305,'Timesheet Raw'!$C$4:$C$8000,L$3,'Timesheet Raw'!$A$4:$A$8000,"2-Proposals Chargeable")+SUMIFS('Timesheet Raw'!$P$4:$P$8000,'Timesheet Raw'!$L$4:$L$8000,$A305,'Timesheet Raw'!$C$4:$C$8000,L$3,'Timesheet Raw'!$A$4:$A$8000,"3-Proposals Regular"))</f>
        <v>0</v>
      </c>
      <c r="N305" s="341">
        <f>IF($A305="","",SUMIFS('Timesheet Raw'!$P$4:$P$8000,'Timesheet Raw'!$L$4:$L$8000,$A305,'Timesheet Raw'!$C$4:$C$8000,L$3,'Timesheet Raw'!$B$4:$B$8000,'Work Calendar'!$A$26)+SUMIFS('Timesheet Raw'!$P$4:$P$8000,'Timesheet Raw'!$L$4:$L$8000,$A305,'Timesheet Raw'!$C$4:$C$8000,L$3,'Timesheet Raw'!$B$4:$B$8000,'Work Calendar'!$A$27)+SUMIFS('Timesheet Raw'!$P$4:$P$8000,'Timesheet Raw'!$L$4:$L$8000,$A305,'Timesheet Raw'!$C$4:$C$8000,L$3,'Timesheet Raw'!$B$4:$B$8000,'Work Calendar'!$A$28)+SUMIFS('Timesheet Raw'!$P$4:$P$8000,'Timesheet Raw'!$L$4:$L$8000,$A305,'Timesheet Raw'!$C$4:$C$8000,L$3,'Timesheet Raw'!$B$4:$B$8000,'Work Calendar'!$A$29))</f>
        <v>0</v>
      </c>
      <c r="O305" s="341">
        <f t="shared" si="18"/>
        <v>0</v>
      </c>
      <c r="P305" s="395">
        <f>IF($A305="","",SUMIFS('Timesheet Raw'!$K$4:$K$8000,'Timesheet Raw'!$L$4:$L$8000,$A305,'Timesheet Raw'!$C$4:$C$8000,L$3))</f>
        <v>0</v>
      </c>
      <c r="Q305" s="345">
        <f>IF($A305="","",SUMIFS('Timesheet Raw'!$P$4:$P$8000,'Timesheet Raw'!$L$4:$L$8000,$A305,'Timesheet Raw'!$C$4:$C$8000,L$3))</f>
        <v>0</v>
      </c>
      <c r="R305" s="375"/>
      <c r="S305" t="str">
        <f>IF($A305="","",IF(R305&lt;&gt;"",R305,IF($A305&gt;'Work Calendar'!$B$17,"No data yet",IF(AND(N305&gt;='Work Calendar'!$B$14,L305+M305+O305&gt;0),"Day off - but worked",IF(N305&gt;='Work Calendar'!$B$14,"Day off",IF(L305+M305+O305&gt;0,IF($C305="Working","Charged","Worked weekend"),IF($C305="Working","Leave (not charged)",$C305)))))))</f>
        <v>No data yet</v>
      </c>
      <c r="T305" s="341">
        <f>IF($A305="","",SUMIFS('Timesheet Raw'!$P$4:$P$8000,'Timesheet Raw'!$L$4:$L$8000,$A305,'Timesheet Raw'!$C$4:$C$8000,T$3,'Timesheet Raw'!$A$4:$A$8000,"1-Projects"))</f>
        <v>0</v>
      </c>
      <c r="U305" s="341">
        <f>IF($A305="","",SUMIFS('Timesheet Raw'!$P$4:$P$8000,'Timesheet Raw'!$L$4:$L$8000,$A305,'Timesheet Raw'!$C$4:$C$8000,T$3,'Timesheet Raw'!$A$4:$A$8000,"2-Proposals Chargeable")+SUMIFS('Timesheet Raw'!$P$4:$P$8000,'Timesheet Raw'!$L$4:$L$8000,$A305,'Timesheet Raw'!$C$4:$C$8000,T$3,'Timesheet Raw'!$A$4:$A$8000,"3-Proposals Regular"))</f>
        <v>0</v>
      </c>
      <c r="V305" s="341">
        <f>IF($A305="","",SUMIFS('Timesheet Raw'!$P$4:$P$8000,'Timesheet Raw'!$L$4:$L$8000,$A305,'Timesheet Raw'!$C$4:$C$8000,T$3,'Timesheet Raw'!$B$4:$B$8000,'Work Calendar'!$A$26)+SUMIFS('Timesheet Raw'!$P$4:$P$8000,'Timesheet Raw'!$L$4:$L$8000,$A305,'Timesheet Raw'!$C$4:$C$8000,T$3,'Timesheet Raw'!$B$4:$B$8000,'Work Calendar'!$A$27)+SUMIFS('Timesheet Raw'!$P$4:$P$8000,'Timesheet Raw'!$L$4:$L$8000,$A305,'Timesheet Raw'!$C$4:$C$8000,T$3,'Timesheet Raw'!$B$4:$B$8000,'Work Calendar'!$A$28)+SUMIFS('Timesheet Raw'!$P$4:$P$8000,'Timesheet Raw'!$L$4:$L$8000,$A305,'Timesheet Raw'!$C$4:$C$8000,T$3,'Timesheet Raw'!$B$4:$B$8000,'Work Calendar'!$A$29))</f>
        <v>0</v>
      </c>
      <c r="W305" s="341">
        <f t="shared" si="19"/>
        <v>0</v>
      </c>
      <c r="X305" s="395">
        <f>IF($A305="","",SUMIFS('Timesheet Raw'!$K$4:$K$8000,'Timesheet Raw'!$L$4:$L$8000,$A305,'Timesheet Raw'!$C$4:$C$8000,T$3))</f>
        <v>0</v>
      </c>
      <c r="Y305" s="345">
        <f>IF($A305="","",SUMIFS('Timesheet Raw'!$P$4:$P$8000,'Timesheet Raw'!$L$4:$L$8000,$A305,'Timesheet Raw'!$C$4:$C$8000,T$3))</f>
        <v>0</v>
      </c>
      <c r="Z305" s="375"/>
      <c r="AA305" t="str">
        <f>IF($A305="","",IF(Z305&lt;&gt;"",Z305,IF($A305&gt;'Work Calendar'!$B$17,"No data yet",IF(AND(V305&gt;='Work Calendar'!$B$14,T305+U305+W305&gt;0),"Day off - but worked",IF(V305&gt;='Work Calendar'!$B$14,"Day off",IF(T305+U305+W305&gt;0,IF($C305="Working","Charged","Worked weekend"),IF($C305="Working","Leave (not charged)",$C305)))))))</f>
        <v>No data yet</v>
      </c>
    </row>
    <row r="306" spans="1:27" x14ac:dyDescent="0.3">
      <c r="A306" s="371">
        <f>IF($A305="","",IF($A305+1&gt;'Work Calendar'!$B$16,"",$A305+1))</f>
        <v>46324</v>
      </c>
      <c r="B306" t="str">
        <f t="shared" si="16"/>
        <v>Thu</v>
      </c>
      <c r="C306" t="str" cm="1">
        <f t="array" ref="C306">IF($A306="","",IF(COUNTIF('Work Calendar'!$E$6:$E$200,$A306)&gt;0,"Holiday",IF(INDEX('Work Calendar'!$C$6:$C$12,WEEKDAY($A306,1))=1,"Working","Weekend")))</f>
        <v>Working</v>
      </c>
      <c r="D306" s="341">
        <f>IF($A306="","",SUMIFS('Timesheet Raw'!$P$4:$P$8000,'Timesheet Raw'!$L$4:$L$8000,$A306,'Timesheet Raw'!$C$4:$C$8000,D$3,'Timesheet Raw'!$A$4:$A$8000,"1-Projects"))</f>
        <v>0</v>
      </c>
      <c r="E306" s="341">
        <f>IF($A306="","",SUMIFS('Timesheet Raw'!$P$4:$P$8000,'Timesheet Raw'!$L$4:$L$8000,$A306,'Timesheet Raw'!$C$4:$C$8000,D$3,'Timesheet Raw'!$A$4:$A$8000,"2-Proposals Chargeable")+SUMIFS('Timesheet Raw'!$P$4:$P$8000,'Timesheet Raw'!$L$4:$L$8000,$A306,'Timesheet Raw'!$C$4:$C$8000,D$3,'Timesheet Raw'!$A$4:$A$8000,"3-Proposals Regular"))</f>
        <v>0</v>
      </c>
      <c r="F306" s="341">
        <f>IF($A306="","",SUMIFS('Timesheet Raw'!$P$4:$P$8000,'Timesheet Raw'!$L$4:$L$8000,$A306,'Timesheet Raw'!$C$4:$C$8000,D$3,'Timesheet Raw'!$B$4:$B$8000,'Work Calendar'!$A$26)+SUMIFS('Timesheet Raw'!$P$4:$P$8000,'Timesheet Raw'!$L$4:$L$8000,$A306,'Timesheet Raw'!$C$4:$C$8000,D$3,'Timesheet Raw'!$B$4:$B$8000,'Work Calendar'!$A$27)+SUMIFS('Timesheet Raw'!$P$4:$P$8000,'Timesheet Raw'!$L$4:$L$8000,$A306,'Timesheet Raw'!$C$4:$C$8000,D$3,'Timesheet Raw'!$B$4:$B$8000,'Work Calendar'!$A$28)+SUMIFS('Timesheet Raw'!$P$4:$P$8000,'Timesheet Raw'!$L$4:$L$8000,$A306,'Timesheet Raw'!$C$4:$C$8000,D$3,'Timesheet Raw'!$B$4:$B$8000,'Work Calendar'!$A$29))</f>
        <v>0</v>
      </c>
      <c r="G306" s="341">
        <f t="shared" si="17"/>
        <v>0</v>
      </c>
      <c r="H306" s="395">
        <f>IF($A306="","",SUMIFS('Timesheet Raw'!$K$4:$K$8000,'Timesheet Raw'!$L$4:$L$8000,$A306,'Timesheet Raw'!$C$4:$C$8000,D$3))</f>
        <v>0</v>
      </c>
      <c r="I306" s="345">
        <f>IF($A306="","",SUMIFS('Timesheet Raw'!$P$4:$P$8000,'Timesheet Raw'!$L$4:$L$8000,$A306,'Timesheet Raw'!$C$4:$C$8000,D$3))</f>
        <v>0</v>
      </c>
      <c r="J306" s="375"/>
      <c r="K306" t="str">
        <f>IF($A306="","",IF(J306&lt;&gt;"",J306,IF($A306&gt;'Work Calendar'!$B$17,"No data yet",IF(AND(F306&gt;='Work Calendar'!$B$14,D306+E306+G306&gt;0),"Day off - but worked",IF(F306&gt;='Work Calendar'!$B$14,"Day off",IF(D306+E306+G306&gt;0,IF($C306="Working","Charged","Worked weekend"),IF($C306="Working","Leave (not charged)",$C306)))))))</f>
        <v>No data yet</v>
      </c>
      <c r="L306" s="341">
        <f>IF($A306="","",SUMIFS('Timesheet Raw'!$P$4:$P$8000,'Timesheet Raw'!$L$4:$L$8000,$A306,'Timesheet Raw'!$C$4:$C$8000,L$3,'Timesheet Raw'!$A$4:$A$8000,"1-Projects"))</f>
        <v>0</v>
      </c>
      <c r="M306" s="341">
        <f>IF($A306="","",SUMIFS('Timesheet Raw'!$P$4:$P$8000,'Timesheet Raw'!$L$4:$L$8000,$A306,'Timesheet Raw'!$C$4:$C$8000,L$3,'Timesheet Raw'!$A$4:$A$8000,"2-Proposals Chargeable")+SUMIFS('Timesheet Raw'!$P$4:$P$8000,'Timesheet Raw'!$L$4:$L$8000,$A306,'Timesheet Raw'!$C$4:$C$8000,L$3,'Timesheet Raw'!$A$4:$A$8000,"3-Proposals Regular"))</f>
        <v>0</v>
      </c>
      <c r="N306" s="341">
        <f>IF($A306="","",SUMIFS('Timesheet Raw'!$P$4:$P$8000,'Timesheet Raw'!$L$4:$L$8000,$A306,'Timesheet Raw'!$C$4:$C$8000,L$3,'Timesheet Raw'!$B$4:$B$8000,'Work Calendar'!$A$26)+SUMIFS('Timesheet Raw'!$P$4:$P$8000,'Timesheet Raw'!$L$4:$L$8000,$A306,'Timesheet Raw'!$C$4:$C$8000,L$3,'Timesheet Raw'!$B$4:$B$8000,'Work Calendar'!$A$27)+SUMIFS('Timesheet Raw'!$P$4:$P$8000,'Timesheet Raw'!$L$4:$L$8000,$A306,'Timesheet Raw'!$C$4:$C$8000,L$3,'Timesheet Raw'!$B$4:$B$8000,'Work Calendar'!$A$28)+SUMIFS('Timesheet Raw'!$P$4:$P$8000,'Timesheet Raw'!$L$4:$L$8000,$A306,'Timesheet Raw'!$C$4:$C$8000,L$3,'Timesheet Raw'!$B$4:$B$8000,'Work Calendar'!$A$29))</f>
        <v>0</v>
      </c>
      <c r="O306" s="341">
        <f t="shared" si="18"/>
        <v>0</v>
      </c>
      <c r="P306" s="395">
        <f>IF($A306="","",SUMIFS('Timesheet Raw'!$K$4:$K$8000,'Timesheet Raw'!$L$4:$L$8000,$A306,'Timesheet Raw'!$C$4:$C$8000,L$3))</f>
        <v>0</v>
      </c>
      <c r="Q306" s="345">
        <f>IF($A306="","",SUMIFS('Timesheet Raw'!$P$4:$P$8000,'Timesheet Raw'!$L$4:$L$8000,$A306,'Timesheet Raw'!$C$4:$C$8000,L$3))</f>
        <v>0</v>
      </c>
      <c r="R306" s="375"/>
      <c r="S306" t="str">
        <f>IF($A306="","",IF(R306&lt;&gt;"",R306,IF($A306&gt;'Work Calendar'!$B$17,"No data yet",IF(AND(N306&gt;='Work Calendar'!$B$14,L306+M306+O306&gt;0),"Day off - but worked",IF(N306&gt;='Work Calendar'!$B$14,"Day off",IF(L306+M306+O306&gt;0,IF($C306="Working","Charged","Worked weekend"),IF($C306="Working","Leave (not charged)",$C306)))))))</f>
        <v>No data yet</v>
      </c>
      <c r="T306" s="341">
        <f>IF($A306="","",SUMIFS('Timesheet Raw'!$P$4:$P$8000,'Timesheet Raw'!$L$4:$L$8000,$A306,'Timesheet Raw'!$C$4:$C$8000,T$3,'Timesheet Raw'!$A$4:$A$8000,"1-Projects"))</f>
        <v>0</v>
      </c>
      <c r="U306" s="341">
        <f>IF($A306="","",SUMIFS('Timesheet Raw'!$P$4:$P$8000,'Timesheet Raw'!$L$4:$L$8000,$A306,'Timesheet Raw'!$C$4:$C$8000,T$3,'Timesheet Raw'!$A$4:$A$8000,"2-Proposals Chargeable")+SUMIFS('Timesheet Raw'!$P$4:$P$8000,'Timesheet Raw'!$L$4:$L$8000,$A306,'Timesheet Raw'!$C$4:$C$8000,T$3,'Timesheet Raw'!$A$4:$A$8000,"3-Proposals Regular"))</f>
        <v>0</v>
      </c>
      <c r="V306" s="341">
        <f>IF($A306="","",SUMIFS('Timesheet Raw'!$P$4:$P$8000,'Timesheet Raw'!$L$4:$L$8000,$A306,'Timesheet Raw'!$C$4:$C$8000,T$3,'Timesheet Raw'!$B$4:$B$8000,'Work Calendar'!$A$26)+SUMIFS('Timesheet Raw'!$P$4:$P$8000,'Timesheet Raw'!$L$4:$L$8000,$A306,'Timesheet Raw'!$C$4:$C$8000,T$3,'Timesheet Raw'!$B$4:$B$8000,'Work Calendar'!$A$27)+SUMIFS('Timesheet Raw'!$P$4:$P$8000,'Timesheet Raw'!$L$4:$L$8000,$A306,'Timesheet Raw'!$C$4:$C$8000,T$3,'Timesheet Raw'!$B$4:$B$8000,'Work Calendar'!$A$28)+SUMIFS('Timesheet Raw'!$P$4:$P$8000,'Timesheet Raw'!$L$4:$L$8000,$A306,'Timesheet Raw'!$C$4:$C$8000,T$3,'Timesheet Raw'!$B$4:$B$8000,'Work Calendar'!$A$29))</f>
        <v>0</v>
      </c>
      <c r="W306" s="341">
        <f t="shared" si="19"/>
        <v>0</v>
      </c>
      <c r="X306" s="395">
        <f>IF($A306="","",SUMIFS('Timesheet Raw'!$K$4:$K$8000,'Timesheet Raw'!$L$4:$L$8000,$A306,'Timesheet Raw'!$C$4:$C$8000,T$3))</f>
        <v>0</v>
      </c>
      <c r="Y306" s="345">
        <f>IF($A306="","",SUMIFS('Timesheet Raw'!$P$4:$P$8000,'Timesheet Raw'!$L$4:$L$8000,$A306,'Timesheet Raw'!$C$4:$C$8000,T$3))</f>
        <v>0</v>
      </c>
      <c r="Z306" s="375"/>
      <c r="AA306" t="str">
        <f>IF($A306="","",IF(Z306&lt;&gt;"",Z306,IF($A306&gt;'Work Calendar'!$B$17,"No data yet",IF(AND(V306&gt;='Work Calendar'!$B$14,T306+U306+W306&gt;0),"Day off - but worked",IF(V306&gt;='Work Calendar'!$B$14,"Day off",IF(T306+U306+W306&gt;0,IF($C306="Working","Charged","Worked weekend"),IF($C306="Working","Leave (not charged)",$C306)))))))</f>
        <v>No data yet</v>
      </c>
    </row>
    <row r="307" spans="1:27" x14ac:dyDescent="0.3">
      <c r="A307" s="371">
        <f>IF($A306="","",IF($A306+1&gt;'Work Calendar'!$B$16,"",$A306+1))</f>
        <v>46325</v>
      </c>
      <c r="B307" t="str">
        <f t="shared" si="16"/>
        <v>Fri</v>
      </c>
      <c r="C307" t="str" cm="1">
        <f t="array" ref="C307">IF($A307="","",IF(COUNTIF('Work Calendar'!$E$6:$E$200,$A307)&gt;0,"Holiday",IF(INDEX('Work Calendar'!$C$6:$C$12,WEEKDAY($A307,1))=1,"Working","Weekend")))</f>
        <v>Weekend</v>
      </c>
      <c r="D307" s="341">
        <f>IF($A307="","",SUMIFS('Timesheet Raw'!$P$4:$P$8000,'Timesheet Raw'!$L$4:$L$8000,$A307,'Timesheet Raw'!$C$4:$C$8000,D$3,'Timesheet Raw'!$A$4:$A$8000,"1-Projects"))</f>
        <v>0</v>
      </c>
      <c r="E307" s="341">
        <f>IF($A307="","",SUMIFS('Timesheet Raw'!$P$4:$P$8000,'Timesheet Raw'!$L$4:$L$8000,$A307,'Timesheet Raw'!$C$4:$C$8000,D$3,'Timesheet Raw'!$A$4:$A$8000,"2-Proposals Chargeable")+SUMIFS('Timesheet Raw'!$P$4:$P$8000,'Timesheet Raw'!$L$4:$L$8000,$A307,'Timesheet Raw'!$C$4:$C$8000,D$3,'Timesheet Raw'!$A$4:$A$8000,"3-Proposals Regular"))</f>
        <v>0</v>
      </c>
      <c r="F307" s="341">
        <f>IF($A307="","",SUMIFS('Timesheet Raw'!$P$4:$P$8000,'Timesheet Raw'!$L$4:$L$8000,$A307,'Timesheet Raw'!$C$4:$C$8000,D$3,'Timesheet Raw'!$B$4:$B$8000,'Work Calendar'!$A$26)+SUMIFS('Timesheet Raw'!$P$4:$P$8000,'Timesheet Raw'!$L$4:$L$8000,$A307,'Timesheet Raw'!$C$4:$C$8000,D$3,'Timesheet Raw'!$B$4:$B$8000,'Work Calendar'!$A$27)+SUMIFS('Timesheet Raw'!$P$4:$P$8000,'Timesheet Raw'!$L$4:$L$8000,$A307,'Timesheet Raw'!$C$4:$C$8000,D$3,'Timesheet Raw'!$B$4:$B$8000,'Work Calendar'!$A$28)+SUMIFS('Timesheet Raw'!$P$4:$P$8000,'Timesheet Raw'!$L$4:$L$8000,$A307,'Timesheet Raw'!$C$4:$C$8000,D$3,'Timesheet Raw'!$B$4:$B$8000,'Work Calendar'!$A$29))</f>
        <v>0</v>
      </c>
      <c r="G307" s="341">
        <f t="shared" si="17"/>
        <v>0</v>
      </c>
      <c r="H307" s="395">
        <f>IF($A307="","",SUMIFS('Timesheet Raw'!$K$4:$K$8000,'Timesheet Raw'!$L$4:$L$8000,$A307,'Timesheet Raw'!$C$4:$C$8000,D$3))</f>
        <v>0</v>
      </c>
      <c r="I307" s="345">
        <f>IF($A307="","",SUMIFS('Timesheet Raw'!$P$4:$P$8000,'Timesheet Raw'!$L$4:$L$8000,$A307,'Timesheet Raw'!$C$4:$C$8000,D$3))</f>
        <v>0</v>
      </c>
      <c r="J307" s="375"/>
      <c r="K307" t="str">
        <f>IF($A307="","",IF(J307&lt;&gt;"",J307,IF($A307&gt;'Work Calendar'!$B$17,"No data yet",IF(AND(F307&gt;='Work Calendar'!$B$14,D307+E307+G307&gt;0),"Day off - but worked",IF(F307&gt;='Work Calendar'!$B$14,"Day off",IF(D307+E307+G307&gt;0,IF($C307="Working","Charged","Worked weekend"),IF($C307="Working","Leave (not charged)",$C307)))))))</f>
        <v>No data yet</v>
      </c>
      <c r="L307" s="341">
        <f>IF($A307="","",SUMIFS('Timesheet Raw'!$P$4:$P$8000,'Timesheet Raw'!$L$4:$L$8000,$A307,'Timesheet Raw'!$C$4:$C$8000,L$3,'Timesheet Raw'!$A$4:$A$8000,"1-Projects"))</f>
        <v>0</v>
      </c>
      <c r="M307" s="341">
        <f>IF($A307="","",SUMIFS('Timesheet Raw'!$P$4:$P$8000,'Timesheet Raw'!$L$4:$L$8000,$A307,'Timesheet Raw'!$C$4:$C$8000,L$3,'Timesheet Raw'!$A$4:$A$8000,"2-Proposals Chargeable")+SUMIFS('Timesheet Raw'!$P$4:$P$8000,'Timesheet Raw'!$L$4:$L$8000,$A307,'Timesheet Raw'!$C$4:$C$8000,L$3,'Timesheet Raw'!$A$4:$A$8000,"3-Proposals Regular"))</f>
        <v>0</v>
      </c>
      <c r="N307" s="341">
        <f>IF($A307="","",SUMIFS('Timesheet Raw'!$P$4:$P$8000,'Timesheet Raw'!$L$4:$L$8000,$A307,'Timesheet Raw'!$C$4:$C$8000,L$3,'Timesheet Raw'!$B$4:$B$8000,'Work Calendar'!$A$26)+SUMIFS('Timesheet Raw'!$P$4:$P$8000,'Timesheet Raw'!$L$4:$L$8000,$A307,'Timesheet Raw'!$C$4:$C$8000,L$3,'Timesheet Raw'!$B$4:$B$8000,'Work Calendar'!$A$27)+SUMIFS('Timesheet Raw'!$P$4:$P$8000,'Timesheet Raw'!$L$4:$L$8000,$A307,'Timesheet Raw'!$C$4:$C$8000,L$3,'Timesheet Raw'!$B$4:$B$8000,'Work Calendar'!$A$28)+SUMIFS('Timesheet Raw'!$P$4:$P$8000,'Timesheet Raw'!$L$4:$L$8000,$A307,'Timesheet Raw'!$C$4:$C$8000,L$3,'Timesheet Raw'!$B$4:$B$8000,'Work Calendar'!$A$29))</f>
        <v>0</v>
      </c>
      <c r="O307" s="341">
        <f t="shared" si="18"/>
        <v>0</v>
      </c>
      <c r="P307" s="395">
        <f>IF($A307="","",SUMIFS('Timesheet Raw'!$K$4:$K$8000,'Timesheet Raw'!$L$4:$L$8000,$A307,'Timesheet Raw'!$C$4:$C$8000,L$3))</f>
        <v>0</v>
      </c>
      <c r="Q307" s="345">
        <f>IF($A307="","",SUMIFS('Timesheet Raw'!$P$4:$P$8000,'Timesheet Raw'!$L$4:$L$8000,$A307,'Timesheet Raw'!$C$4:$C$8000,L$3))</f>
        <v>0</v>
      </c>
      <c r="R307" s="375"/>
      <c r="S307" t="str">
        <f>IF($A307="","",IF(R307&lt;&gt;"",R307,IF($A307&gt;'Work Calendar'!$B$17,"No data yet",IF(AND(N307&gt;='Work Calendar'!$B$14,L307+M307+O307&gt;0),"Day off - but worked",IF(N307&gt;='Work Calendar'!$B$14,"Day off",IF(L307+M307+O307&gt;0,IF($C307="Working","Charged","Worked weekend"),IF($C307="Working","Leave (not charged)",$C307)))))))</f>
        <v>No data yet</v>
      </c>
      <c r="T307" s="341">
        <f>IF($A307="","",SUMIFS('Timesheet Raw'!$P$4:$P$8000,'Timesheet Raw'!$L$4:$L$8000,$A307,'Timesheet Raw'!$C$4:$C$8000,T$3,'Timesheet Raw'!$A$4:$A$8000,"1-Projects"))</f>
        <v>0</v>
      </c>
      <c r="U307" s="341">
        <f>IF($A307="","",SUMIFS('Timesheet Raw'!$P$4:$P$8000,'Timesheet Raw'!$L$4:$L$8000,$A307,'Timesheet Raw'!$C$4:$C$8000,T$3,'Timesheet Raw'!$A$4:$A$8000,"2-Proposals Chargeable")+SUMIFS('Timesheet Raw'!$P$4:$P$8000,'Timesheet Raw'!$L$4:$L$8000,$A307,'Timesheet Raw'!$C$4:$C$8000,T$3,'Timesheet Raw'!$A$4:$A$8000,"3-Proposals Regular"))</f>
        <v>0</v>
      </c>
      <c r="V307" s="341">
        <f>IF($A307="","",SUMIFS('Timesheet Raw'!$P$4:$P$8000,'Timesheet Raw'!$L$4:$L$8000,$A307,'Timesheet Raw'!$C$4:$C$8000,T$3,'Timesheet Raw'!$B$4:$B$8000,'Work Calendar'!$A$26)+SUMIFS('Timesheet Raw'!$P$4:$P$8000,'Timesheet Raw'!$L$4:$L$8000,$A307,'Timesheet Raw'!$C$4:$C$8000,T$3,'Timesheet Raw'!$B$4:$B$8000,'Work Calendar'!$A$27)+SUMIFS('Timesheet Raw'!$P$4:$P$8000,'Timesheet Raw'!$L$4:$L$8000,$A307,'Timesheet Raw'!$C$4:$C$8000,T$3,'Timesheet Raw'!$B$4:$B$8000,'Work Calendar'!$A$28)+SUMIFS('Timesheet Raw'!$P$4:$P$8000,'Timesheet Raw'!$L$4:$L$8000,$A307,'Timesheet Raw'!$C$4:$C$8000,T$3,'Timesheet Raw'!$B$4:$B$8000,'Work Calendar'!$A$29))</f>
        <v>0</v>
      </c>
      <c r="W307" s="341">
        <f t="shared" si="19"/>
        <v>0</v>
      </c>
      <c r="X307" s="395">
        <f>IF($A307="","",SUMIFS('Timesheet Raw'!$K$4:$K$8000,'Timesheet Raw'!$L$4:$L$8000,$A307,'Timesheet Raw'!$C$4:$C$8000,T$3))</f>
        <v>0</v>
      </c>
      <c r="Y307" s="345">
        <f>IF($A307="","",SUMIFS('Timesheet Raw'!$P$4:$P$8000,'Timesheet Raw'!$L$4:$L$8000,$A307,'Timesheet Raw'!$C$4:$C$8000,T$3))</f>
        <v>0</v>
      </c>
      <c r="Z307" s="375"/>
      <c r="AA307" t="str">
        <f>IF($A307="","",IF(Z307&lt;&gt;"",Z307,IF($A307&gt;'Work Calendar'!$B$17,"No data yet",IF(AND(V307&gt;='Work Calendar'!$B$14,T307+U307+W307&gt;0),"Day off - but worked",IF(V307&gt;='Work Calendar'!$B$14,"Day off",IF(T307+U307+W307&gt;0,IF($C307="Working","Charged","Worked weekend"),IF($C307="Working","Leave (not charged)",$C307)))))))</f>
        <v>No data yet</v>
      </c>
    </row>
    <row r="308" spans="1:27" x14ac:dyDescent="0.3">
      <c r="A308" s="371">
        <f>IF($A307="","",IF($A307+1&gt;'Work Calendar'!$B$16,"",$A307+1))</f>
        <v>46326</v>
      </c>
      <c r="B308" t="str">
        <f t="shared" si="16"/>
        <v>Sat</v>
      </c>
      <c r="C308" t="str" cm="1">
        <f t="array" ref="C308">IF($A308="","",IF(COUNTIF('Work Calendar'!$E$6:$E$200,$A308)&gt;0,"Holiday",IF(INDEX('Work Calendar'!$C$6:$C$12,WEEKDAY($A308,1))=1,"Working","Weekend")))</f>
        <v>Weekend</v>
      </c>
      <c r="D308" s="341">
        <f>IF($A308="","",SUMIFS('Timesheet Raw'!$P$4:$P$8000,'Timesheet Raw'!$L$4:$L$8000,$A308,'Timesheet Raw'!$C$4:$C$8000,D$3,'Timesheet Raw'!$A$4:$A$8000,"1-Projects"))</f>
        <v>0</v>
      </c>
      <c r="E308" s="341">
        <f>IF($A308="","",SUMIFS('Timesheet Raw'!$P$4:$P$8000,'Timesheet Raw'!$L$4:$L$8000,$A308,'Timesheet Raw'!$C$4:$C$8000,D$3,'Timesheet Raw'!$A$4:$A$8000,"2-Proposals Chargeable")+SUMIFS('Timesheet Raw'!$P$4:$P$8000,'Timesheet Raw'!$L$4:$L$8000,$A308,'Timesheet Raw'!$C$4:$C$8000,D$3,'Timesheet Raw'!$A$4:$A$8000,"3-Proposals Regular"))</f>
        <v>0</v>
      </c>
      <c r="F308" s="341">
        <f>IF($A308="","",SUMIFS('Timesheet Raw'!$P$4:$P$8000,'Timesheet Raw'!$L$4:$L$8000,$A308,'Timesheet Raw'!$C$4:$C$8000,D$3,'Timesheet Raw'!$B$4:$B$8000,'Work Calendar'!$A$26)+SUMIFS('Timesheet Raw'!$P$4:$P$8000,'Timesheet Raw'!$L$4:$L$8000,$A308,'Timesheet Raw'!$C$4:$C$8000,D$3,'Timesheet Raw'!$B$4:$B$8000,'Work Calendar'!$A$27)+SUMIFS('Timesheet Raw'!$P$4:$P$8000,'Timesheet Raw'!$L$4:$L$8000,$A308,'Timesheet Raw'!$C$4:$C$8000,D$3,'Timesheet Raw'!$B$4:$B$8000,'Work Calendar'!$A$28)+SUMIFS('Timesheet Raw'!$P$4:$P$8000,'Timesheet Raw'!$L$4:$L$8000,$A308,'Timesheet Raw'!$C$4:$C$8000,D$3,'Timesheet Raw'!$B$4:$B$8000,'Work Calendar'!$A$29))</f>
        <v>0</v>
      </c>
      <c r="G308" s="341">
        <f t="shared" si="17"/>
        <v>0</v>
      </c>
      <c r="H308" s="395">
        <f>IF($A308="","",SUMIFS('Timesheet Raw'!$K$4:$K$8000,'Timesheet Raw'!$L$4:$L$8000,$A308,'Timesheet Raw'!$C$4:$C$8000,D$3))</f>
        <v>0</v>
      </c>
      <c r="I308" s="345">
        <f>IF($A308="","",SUMIFS('Timesheet Raw'!$P$4:$P$8000,'Timesheet Raw'!$L$4:$L$8000,$A308,'Timesheet Raw'!$C$4:$C$8000,D$3))</f>
        <v>0</v>
      </c>
      <c r="J308" s="375"/>
      <c r="K308" t="str">
        <f>IF($A308="","",IF(J308&lt;&gt;"",J308,IF($A308&gt;'Work Calendar'!$B$17,"No data yet",IF(AND(F308&gt;='Work Calendar'!$B$14,D308+E308+G308&gt;0),"Day off - but worked",IF(F308&gt;='Work Calendar'!$B$14,"Day off",IF(D308+E308+G308&gt;0,IF($C308="Working","Charged","Worked weekend"),IF($C308="Working","Leave (not charged)",$C308)))))))</f>
        <v>No data yet</v>
      </c>
      <c r="L308" s="341">
        <f>IF($A308="","",SUMIFS('Timesheet Raw'!$P$4:$P$8000,'Timesheet Raw'!$L$4:$L$8000,$A308,'Timesheet Raw'!$C$4:$C$8000,L$3,'Timesheet Raw'!$A$4:$A$8000,"1-Projects"))</f>
        <v>0</v>
      </c>
      <c r="M308" s="341">
        <f>IF($A308="","",SUMIFS('Timesheet Raw'!$P$4:$P$8000,'Timesheet Raw'!$L$4:$L$8000,$A308,'Timesheet Raw'!$C$4:$C$8000,L$3,'Timesheet Raw'!$A$4:$A$8000,"2-Proposals Chargeable")+SUMIFS('Timesheet Raw'!$P$4:$P$8000,'Timesheet Raw'!$L$4:$L$8000,$A308,'Timesheet Raw'!$C$4:$C$8000,L$3,'Timesheet Raw'!$A$4:$A$8000,"3-Proposals Regular"))</f>
        <v>0</v>
      </c>
      <c r="N308" s="341">
        <f>IF($A308="","",SUMIFS('Timesheet Raw'!$P$4:$P$8000,'Timesheet Raw'!$L$4:$L$8000,$A308,'Timesheet Raw'!$C$4:$C$8000,L$3,'Timesheet Raw'!$B$4:$B$8000,'Work Calendar'!$A$26)+SUMIFS('Timesheet Raw'!$P$4:$P$8000,'Timesheet Raw'!$L$4:$L$8000,$A308,'Timesheet Raw'!$C$4:$C$8000,L$3,'Timesheet Raw'!$B$4:$B$8000,'Work Calendar'!$A$27)+SUMIFS('Timesheet Raw'!$P$4:$P$8000,'Timesheet Raw'!$L$4:$L$8000,$A308,'Timesheet Raw'!$C$4:$C$8000,L$3,'Timesheet Raw'!$B$4:$B$8000,'Work Calendar'!$A$28)+SUMIFS('Timesheet Raw'!$P$4:$P$8000,'Timesheet Raw'!$L$4:$L$8000,$A308,'Timesheet Raw'!$C$4:$C$8000,L$3,'Timesheet Raw'!$B$4:$B$8000,'Work Calendar'!$A$29))</f>
        <v>0</v>
      </c>
      <c r="O308" s="341">
        <f t="shared" si="18"/>
        <v>0</v>
      </c>
      <c r="P308" s="395">
        <f>IF($A308="","",SUMIFS('Timesheet Raw'!$K$4:$K$8000,'Timesheet Raw'!$L$4:$L$8000,$A308,'Timesheet Raw'!$C$4:$C$8000,L$3))</f>
        <v>0</v>
      </c>
      <c r="Q308" s="345">
        <f>IF($A308="","",SUMIFS('Timesheet Raw'!$P$4:$P$8000,'Timesheet Raw'!$L$4:$L$8000,$A308,'Timesheet Raw'!$C$4:$C$8000,L$3))</f>
        <v>0</v>
      </c>
      <c r="R308" s="375"/>
      <c r="S308" t="str">
        <f>IF($A308="","",IF(R308&lt;&gt;"",R308,IF($A308&gt;'Work Calendar'!$B$17,"No data yet",IF(AND(N308&gt;='Work Calendar'!$B$14,L308+M308+O308&gt;0),"Day off - but worked",IF(N308&gt;='Work Calendar'!$B$14,"Day off",IF(L308+M308+O308&gt;0,IF($C308="Working","Charged","Worked weekend"),IF($C308="Working","Leave (not charged)",$C308)))))))</f>
        <v>No data yet</v>
      </c>
      <c r="T308" s="341">
        <f>IF($A308="","",SUMIFS('Timesheet Raw'!$P$4:$P$8000,'Timesheet Raw'!$L$4:$L$8000,$A308,'Timesheet Raw'!$C$4:$C$8000,T$3,'Timesheet Raw'!$A$4:$A$8000,"1-Projects"))</f>
        <v>0</v>
      </c>
      <c r="U308" s="341">
        <f>IF($A308="","",SUMIFS('Timesheet Raw'!$P$4:$P$8000,'Timesheet Raw'!$L$4:$L$8000,$A308,'Timesheet Raw'!$C$4:$C$8000,T$3,'Timesheet Raw'!$A$4:$A$8000,"2-Proposals Chargeable")+SUMIFS('Timesheet Raw'!$P$4:$P$8000,'Timesheet Raw'!$L$4:$L$8000,$A308,'Timesheet Raw'!$C$4:$C$8000,T$3,'Timesheet Raw'!$A$4:$A$8000,"3-Proposals Regular"))</f>
        <v>0</v>
      </c>
      <c r="V308" s="341">
        <f>IF($A308="","",SUMIFS('Timesheet Raw'!$P$4:$P$8000,'Timesheet Raw'!$L$4:$L$8000,$A308,'Timesheet Raw'!$C$4:$C$8000,T$3,'Timesheet Raw'!$B$4:$B$8000,'Work Calendar'!$A$26)+SUMIFS('Timesheet Raw'!$P$4:$P$8000,'Timesheet Raw'!$L$4:$L$8000,$A308,'Timesheet Raw'!$C$4:$C$8000,T$3,'Timesheet Raw'!$B$4:$B$8000,'Work Calendar'!$A$27)+SUMIFS('Timesheet Raw'!$P$4:$P$8000,'Timesheet Raw'!$L$4:$L$8000,$A308,'Timesheet Raw'!$C$4:$C$8000,T$3,'Timesheet Raw'!$B$4:$B$8000,'Work Calendar'!$A$28)+SUMIFS('Timesheet Raw'!$P$4:$P$8000,'Timesheet Raw'!$L$4:$L$8000,$A308,'Timesheet Raw'!$C$4:$C$8000,T$3,'Timesheet Raw'!$B$4:$B$8000,'Work Calendar'!$A$29))</f>
        <v>0</v>
      </c>
      <c r="W308" s="341">
        <f t="shared" si="19"/>
        <v>0</v>
      </c>
      <c r="X308" s="395">
        <f>IF($A308="","",SUMIFS('Timesheet Raw'!$K$4:$K$8000,'Timesheet Raw'!$L$4:$L$8000,$A308,'Timesheet Raw'!$C$4:$C$8000,T$3))</f>
        <v>0</v>
      </c>
      <c r="Y308" s="345">
        <f>IF($A308="","",SUMIFS('Timesheet Raw'!$P$4:$P$8000,'Timesheet Raw'!$L$4:$L$8000,$A308,'Timesheet Raw'!$C$4:$C$8000,T$3))</f>
        <v>0</v>
      </c>
      <c r="Z308" s="375"/>
      <c r="AA308" t="str">
        <f>IF($A308="","",IF(Z308&lt;&gt;"",Z308,IF($A308&gt;'Work Calendar'!$B$17,"No data yet",IF(AND(V308&gt;='Work Calendar'!$B$14,T308+U308+W308&gt;0),"Day off - but worked",IF(V308&gt;='Work Calendar'!$B$14,"Day off",IF(T308+U308+W308&gt;0,IF($C308="Working","Charged","Worked weekend"),IF($C308="Working","Leave (not charged)",$C308)))))))</f>
        <v>No data yet</v>
      </c>
    </row>
    <row r="309" spans="1:27" x14ac:dyDescent="0.3">
      <c r="A309" s="371">
        <f>IF($A308="","",IF($A308+1&gt;'Work Calendar'!$B$16,"",$A308+1))</f>
        <v>46327</v>
      </c>
      <c r="B309" t="str">
        <f t="shared" si="16"/>
        <v>Sun</v>
      </c>
      <c r="C309" t="str" cm="1">
        <f t="array" ref="C309">IF($A309="","",IF(COUNTIF('Work Calendar'!$E$6:$E$200,$A309)&gt;0,"Holiday",IF(INDEX('Work Calendar'!$C$6:$C$12,WEEKDAY($A309,1))=1,"Working","Weekend")))</f>
        <v>Working</v>
      </c>
      <c r="D309" s="341">
        <f>IF($A309="","",SUMIFS('Timesheet Raw'!$P$4:$P$8000,'Timesheet Raw'!$L$4:$L$8000,$A309,'Timesheet Raw'!$C$4:$C$8000,D$3,'Timesheet Raw'!$A$4:$A$8000,"1-Projects"))</f>
        <v>0</v>
      </c>
      <c r="E309" s="341">
        <f>IF($A309="","",SUMIFS('Timesheet Raw'!$P$4:$P$8000,'Timesheet Raw'!$L$4:$L$8000,$A309,'Timesheet Raw'!$C$4:$C$8000,D$3,'Timesheet Raw'!$A$4:$A$8000,"2-Proposals Chargeable")+SUMIFS('Timesheet Raw'!$P$4:$P$8000,'Timesheet Raw'!$L$4:$L$8000,$A309,'Timesheet Raw'!$C$4:$C$8000,D$3,'Timesheet Raw'!$A$4:$A$8000,"3-Proposals Regular"))</f>
        <v>0</v>
      </c>
      <c r="F309" s="341">
        <f>IF($A309="","",SUMIFS('Timesheet Raw'!$P$4:$P$8000,'Timesheet Raw'!$L$4:$L$8000,$A309,'Timesheet Raw'!$C$4:$C$8000,D$3,'Timesheet Raw'!$B$4:$B$8000,'Work Calendar'!$A$26)+SUMIFS('Timesheet Raw'!$P$4:$P$8000,'Timesheet Raw'!$L$4:$L$8000,$A309,'Timesheet Raw'!$C$4:$C$8000,D$3,'Timesheet Raw'!$B$4:$B$8000,'Work Calendar'!$A$27)+SUMIFS('Timesheet Raw'!$P$4:$P$8000,'Timesheet Raw'!$L$4:$L$8000,$A309,'Timesheet Raw'!$C$4:$C$8000,D$3,'Timesheet Raw'!$B$4:$B$8000,'Work Calendar'!$A$28)+SUMIFS('Timesheet Raw'!$P$4:$P$8000,'Timesheet Raw'!$L$4:$L$8000,$A309,'Timesheet Raw'!$C$4:$C$8000,D$3,'Timesheet Raw'!$B$4:$B$8000,'Work Calendar'!$A$29))</f>
        <v>0</v>
      </c>
      <c r="G309" s="341">
        <f t="shared" si="17"/>
        <v>0</v>
      </c>
      <c r="H309" s="395">
        <f>IF($A309="","",SUMIFS('Timesheet Raw'!$K$4:$K$8000,'Timesheet Raw'!$L$4:$L$8000,$A309,'Timesheet Raw'!$C$4:$C$8000,D$3))</f>
        <v>0</v>
      </c>
      <c r="I309" s="345">
        <f>IF($A309="","",SUMIFS('Timesheet Raw'!$P$4:$P$8000,'Timesheet Raw'!$L$4:$L$8000,$A309,'Timesheet Raw'!$C$4:$C$8000,D$3))</f>
        <v>0</v>
      </c>
      <c r="J309" s="375"/>
      <c r="K309" t="str">
        <f>IF($A309="","",IF(J309&lt;&gt;"",J309,IF($A309&gt;'Work Calendar'!$B$17,"No data yet",IF(AND(F309&gt;='Work Calendar'!$B$14,D309+E309+G309&gt;0),"Day off - but worked",IF(F309&gt;='Work Calendar'!$B$14,"Day off",IF(D309+E309+G309&gt;0,IF($C309="Working","Charged","Worked weekend"),IF($C309="Working","Leave (not charged)",$C309)))))))</f>
        <v>No data yet</v>
      </c>
      <c r="L309" s="341">
        <f>IF($A309="","",SUMIFS('Timesheet Raw'!$P$4:$P$8000,'Timesheet Raw'!$L$4:$L$8000,$A309,'Timesheet Raw'!$C$4:$C$8000,L$3,'Timesheet Raw'!$A$4:$A$8000,"1-Projects"))</f>
        <v>0</v>
      </c>
      <c r="M309" s="341">
        <f>IF($A309="","",SUMIFS('Timesheet Raw'!$P$4:$P$8000,'Timesheet Raw'!$L$4:$L$8000,$A309,'Timesheet Raw'!$C$4:$C$8000,L$3,'Timesheet Raw'!$A$4:$A$8000,"2-Proposals Chargeable")+SUMIFS('Timesheet Raw'!$P$4:$P$8000,'Timesheet Raw'!$L$4:$L$8000,$A309,'Timesheet Raw'!$C$4:$C$8000,L$3,'Timesheet Raw'!$A$4:$A$8000,"3-Proposals Regular"))</f>
        <v>0</v>
      </c>
      <c r="N309" s="341">
        <f>IF($A309="","",SUMIFS('Timesheet Raw'!$P$4:$P$8000,'Timesheet Raw'!$L$4:$L$8000,$A309,'Timesheet Raw'!$C$4:$C$8000,L$3,'Timesheet Raw'!$B$4:$B$8000,'Work Calendar'!$A$26)+SUMIFS('Timesheet Raw'!$P$4:$P$8000,'Timesheet Raw'!$L$4:$L$8000,$A309,'Timesheet Raw'!$C$4:$C$8000,L$3,'Timesheet Raw'!$B$4:$B$8000,'Work Calendar'!$A$27)+SUMIFS('Timesheet Raw'!$P$4:$P$8000,'Timesheet Raw'!$L$4:$L$8000,$A309,'Timesheet Raw'!$C$4:$C$8000,L$3,'Timesheet Raw'!$B$4:$B$8000,'Work Calendar'!$A$28)+SUMIFS('Timesheet Raw'!$P$4:$P$8000,'Timesheet Raw'!$L$4:$L$8000,$A309,'Timesheet Raw'!$C$4:$C$8000,L$3,'Timesheet Raw'!$B$4:$B$8000,'Work Calendar'!$A$29))</f>
        <v>0</v>
      </c>
      <c r="O309" s="341">
        <f t="shared" si="18"/>
        <v>0</v>
      </c>
      <c r="P309" s="395">
        <f>IF($A309="","",SUMIFS('Timesheet Raw'!$K$4:$K$8000,'Timesheet Raw'!$L$4:$L$8000,$A309,'Timesheet Raw'!$C$4:$C$8000,L$3))</f>
        <v>0</v>
      </c>
      <c r="Q309" s="345">
        <f>IF($A309="","",SUMIFS('Timesheet Raw'!$P$4:$P$8000,'Timesheet Raw'!$L$4:$L$8000,$A309,'Timesheet Raw'!$C$4:$C$8000,L$3))</f>
        <v>0</v>
      </c>
      <c r="R309" s="375"/>
      <c r="S309" t="str">
        <f>IF($A309="","",IF(R309&lt;&gt;"",R309,IF($A309&gt;'Work Calendar'!$B$17,"No data yet",IF(AND(N309&gt;='Work Calendar'!$B$14,L309+M309+O309&gt;0),"Day off - but worked",IF(N309&gt;='Work Calendar'!$B$14,"Day off",IF(L309+M309+O309&gt;0,IF($C309="Working","Charged","Worked weekend"),IF($C309="Working","Leave (not charged)",$C309)))))))</f>
        <v>No data yet</v>
      </c>
      <c r="T309" s="341">
        <f>IF($A309="","",SUMIFS('Timesheet Raw'!$P$4:$P$8000,'Timesheet Raw'!$L$4:$L$8000,$A309,'Timesheet Raw'!$C$4:$C$8000,T$3,'Timesheet Raw'!$A$4:$A$8000,"1-Projects"))</f>
        <v>0</v>
      </c>
      <c r="U309" s="341">
        <f>IF($A309="","",SUMIFS('Timesheet Raw'!$P$4:$P$8000,'Timesheet Raw'!$L$4:$L$8000,$A309,'Timesheet Raw'!$C$4:$C$8000,T$3,'Timesheet Raw'!$A$4:$A$8000,"2-Proposals Chargeable")+SUMIFS('Timesheet Raw'!$P$4:$P$8000,'Timesheet Raw'!$L$4:$L$8000,$A309,'Timesheet Raw'!$C$4:$C$8000,T$3,'Timesheet Raw'!$A$4:$A$8000,"3-Proposals Regular"))</f>
        <v>0</v>
      </c>
      <c r="V309" s="341">
        <f>IF($A309="","",SUMIFS('Timesheet Raw'!$P$4:$P$8000,'Timesheet Raw'!$L$4:$L$8000,$A309,'Timesheet Raw'!$C$4:$C$8000,T$3,'Timesheet Raw'!$B$4:$B$8000,'Work Calendar'!$A$26)+SUMIFS('Timesheet Raw'!$P$4:$P$8000,'Timesheet Raw'!$L$4:$L$8000,$A309,'Timesheet Raw'!$C$4:$C$8000,T$3,'Timesheet Raw'!$B$4:$B$8000,'Work Calendar'!$A$27)+SUMIFS('Timesheet Raw'!$P$4:$P$8000,'Timesheet Raw'!$L$4:$L$8000,$A309,'Timesheet Raw'!$C$4:$C$8000,T$3,'Timesheet Raw'!$B$4:$B$8000,'Work Calendar'!$A$28)+SUMIFS('Timesheet Raw'!$P$4:$P$8000,'Timesheet Raw'!$L$4:$L$8000,$A309,'Timesheet Raw'!$C$4:$C$8000,T$3,'Timesheet Raw'!$B$4:$B$8000,'Work Calendar'!$A$29))</f>
        <v>0</v>
      </c>
      <c r="W309" s="341">
        <f t="shared" si="19"/>
        <v>0</v>
      </c>
      <c r="X309" s="395">
        <f>IF($A309="","",SUMIFS('Timesheet Raw'!$K$4:$K$8000,'Timesheet Raw'!$L$4:$L$8000,$A309,'Timesheet Raw'!$C$4:$C$8000,T$3))</f>
        <v>0</v>
      </c>
      <c r="Y309" s="345">
        <f>IF($A309="","",SUMIFS('Timesheet Raw'!$P$4:$P$8000,'Timesheet Raw'!$L$4:$L$8000,$A309,'Timesheet Raw'!$C$4:$C$8000,T$3))</f>
        <v>0</v>
      </c>
      <c r="Z309" s="375"/>
      <c r="AA309" t="str">
        <f>IF($A309="","",IF(Z309&lt;&gt;"",Z309,IF($A309&gt;'Work Calendar'!$B$17,"No data yet",IF(AND(V309&gt;='Work Calendar'!$B$14,T309+U309+W309&gt;0),"Day off - but worked",IF(V309&gt;='Work Calendar'!$B$14,"Day off",IF(T309+U309+W309&gt;0,IF($C309="Working","Charged","Worked weekend"),IF($C309="Working","Leave (not charged)",$C309)))))))</f>
        <v>No data yet</v>
      </c>
    </row>
    <row r="310" spans="1:27" x14ac:dyDescent="0.3">
      <c r="A310" s="371">
        <f>IF($A309="","",IF($A309+1&gt;'Work Calendar'!$B$16,"",$A309+1))</f>
        <v>46328</v>
      </c>
      <c r="B310" t="str">
        <f t="shared" si="16"/>
        <v>Mon</v>
      </c>
      <c r="C310" t="str" cm="1">
        <f t="array" ref="C310">IF($A310="","",IF(COUNTIF('Work Calendar'!$E$6:$E$200,$A310)&gt;0,"Holiday",IF(INDEX('Work Calendar'!$C$6:$C$12,WEEKDAY($A310,1))=1,"Working","Weekend")))</f>
        <v>Working</v>
      </c>
      <c r="D310" s="341">
        <f>IF($A310="","",SUMIFS('Timesheet Raw'!$P$4:$P$8000,'Timesheet Raw'!$L$4:$L$8000,$A310,'Timesheet Raw'!$C$4:$C$8000,D$3,'Timesheet Raw'!$A$4:$A$8000,"1-Projects"))</f>
        <v>0</v>
      </c>
      <c r="E310" s="341">
        <f>IF($A310="","",SUMIFS('Timesheet Raw'!$P$4:$P$8000,'Timesheet Raw'!$L$4:$L$8000,$A310,'Timesheet Raw'!$C$4:$C$8000,D$3,'Timesheet Raw'!$A$4:$A$8000,"2-Proposals Chargeable")+SUMIFS('Timesheet Raw'!$P$4:$P$8000,'Timesheet Raw'!$L$4:$L$8000,$A310,'Timesheet Raw'!$C$4:$C$8000,D$3,'Timesheet Raw'!$A$4:$A$8000,"3-Proposals Regular"))</f>
        <v>0</v>
      </c>
      <c r="F310" s="341">
        <f>IF($A310="","",SUMIFS('Timesheet Raw'!$P$4:$P$8000,'Timesheet Raw'!$L$4:$L$8000,$A310,'Timesheet Raw'!$C$4:$C$8000,D$3,'Timesheet Raw'!$B$4:$B$8000,'Work Calendar'!$A$26)+SUMIFS('Timesheet Raw'!$P$4:$P$8000,'Timesheet Raw'!$L$4:$L$8000,$A310,'Timesheet Raw'!$C$4:$C$8000,D$3,'Timesheet Raw'!$B$4:$B$8000,'Work Calendar'!$A$27)+SUMIFS('Timesheet Raw'!$P$4:$P$8000,'Timesheet Raw'!$L$4:$L$8000,$A310,'Timesheet Raw'!$C$4:$C$8000,D$3,'Timesheet Raw'!$B$4:$B$8000,'Work Calendar'!$A$28)+SUMIFS('Timesheet Raw'!$P$4:$P$8000,'Timesheet Raw'!$L$4:$L$8000,$A310,'Timesheet Raw'!$C$4:$C$8000,D$3,'Timesheet Raw'!$B$4:$B$8000,'Work Calendar'!$A$29))</f>
        <v>0</v>
      </c>
      <c r="G310" s="341">
        <f t="shared" si="17"/>
        <v>0</v>
      </c>
      <c r="H310" s="395">
        <f>IF($A310="","",SUMIFS('Timesheet Raw'!$K$4:$K$8000,'Timesheet Raw'!$L$4:$L$8000,$A310,'Timesheet Raw'!$C$4:$C$8000,D$3))</f>
        <v>0</v>
      </c>
      <c r="I310" s="345">
        <f>IF($A310="","",SUMIFS('Timesheet Raw'!$P$4:$P$8000,'Timesheet Raw'!$L$4:$L$8000,$A310,'Timesheet Raw'!$C$4:$C$8000,D$3))</f>
        <v>0</v>
      </c>
      <c r="J310" s="375"/>
      <c r="K310" t="str">
        <f>IF($A310="","",IF(J310&lt;&gt;"",J310,IF($A310&gt;'Work Calendar'!$B$17,"No data yet",IF(AND(F310&gt;='Work Calendar'!$B$14,D310+E310+G310&gt;0),"Day off - but worked",IF(F310&gt;='Work Calendar'!$B$14,"Day off",IF(D310+E310+G310&gt;0,IF($C310="Working","Charged","Worked weekend"),IF($C310="Working","Leave (not charged)",$C310)))))))</f>
        <v>No data yet</v>
      </c>
      <c r="L310" s="341">
        <f>IF($A310="","",SUMIFS('Timesheet Raw'!$P$4:$P$8000,'Timesheet Raw'!$L$4:$L$8000,$A310,'Timesheet Raw'!$C$4:$C$8000,L$3,'Timesheet Raw'!$A$4:$A$8000,"1-Projects"))</f>
        <v>0</v>
      </c>
      <c r="M310" s="341">
        <f>IF($A310="","",SUMIFS('Timesheet Raw'!$P$4:$P$8000,'Timesheet Raw'!$L$4:$L$8000,$A310,'Timesheet Raw'!$C$4:$C$8000,L$3,'Timesheet Raw'!$A$4:$A$8000,"2-Proposals Chargeable")+SUMIFS('Timesheet Raw'!$P$4:$P$8000,'Timesheet Raw'!$L$4:$L$8000,$A310,'Timesheet Raw'!$C$4:$C$8000,L$3,'Timesheet Raw'!$A$4:$A$8000,"3-Proposals Regular"))</f>
        <v>0</v>
      </c>
      <c r="N310" s="341">
        <f>IF($A310="","",SUMIFS('Timesheet Raw'!$P$4:$P$8000,'Timesheet Raw'!$L$4:$L$8000,$A310,'Timesheet Raw'!$C$4:$C$8000,L$3,'Timesheet Raw'!$B$4:$B$8000,'Work Calendar'!$A$26)+SUMIFS('Timesheet Raw'!$P$4:$P$8000,'Timesheet Raw'!$L$4:$L$8000,$A310,'Timesheet Raw'!$C$4:$C$8000,L$3,'Timesheet Raw'!$B$4:$B$8000,'Work Calendar'!$A$27)+SUMIFS('Timesheet Raw'!$P$4:$P$8000,'Timesheet Raw'!$L$4:$L$8000,$A310,'Timesheet Raw'!$C$4:$C$8000,L$3,'Timesheet Raw'!$B$4:$B$8000,'Work Calendar'!$A$28)+SUMIFS('Timesheet Raw'!$P$4:$P$8000,'Timesheet Raw'!$L$4:$L$8000,$A310,'Timesheet Raw'!$C$4:$C$8000,L$3,'Timesheet Raw'!$B$4:$B$8000,'Work Calendar'!$A$29))</f>
        <v>0</v>
      </c>
      <c r="O310" s="341">
        <f t="shared" si="18"/>
        <v>0</v>
      </c>
      <c r="P310" s="395">
        <f>IF($A310="","",SUMIFS('Timesheet Raw'!$K$4:$K$8000,'Timesheet Raw'!$L$4:$L$8000,$A310,'Timesheet Raw'!$C$4:$C$8000,L$3))</f>
        <v>0</v>
      </c>
      <c r="Q310" s="345">
        <f>IF($A310="","",SUMIFS('Timesheet Raw'!$P$4:$P$8000,'Timesheet Raw'!$L$4:$L$8000,$A310,'Timesheet Raw'!$C$4:$C$8000,L$3))</f>
        <v>0</v>
      </c>
      <c r="R310" s="375"/>
      <c r="S310" t="str">
        <f>IF($A310="","",IF(R310&lt;&gt;"",R310,IF($A310&gt;'Work Calendar'!$B$17,"No data yet",IF(AND(N310&gt;='Work Calendar'!$B$14,L310+M310+O310&gt;0),"Day off - but worked",IF(N310&gt;='Work Calendar'!$B$14,"Day off",IF(L310+M310+O310&gt;0,IF($C310="Working","Charged","Worked weekend"),IF($C310="Working","Leave (not charged)",$C310)))))))</f>
        <v>No data yet</v>
      </c>
      <c r="T310" s="341">
        <f>IF($A310="","",SUMIFS('Timesheet Raw'!$P$4:$P$8000,'Timesheet Raw'!$L$4:$L$8000,$A310,'Timesheet Raw'!$C$4:$C$8000,T$3,'Timesheet Raw'!$A$4:$A$8000,"1-Projects"))</f>
        <v>0</v>
      </c>
      <c r="U310" s="341">
        <f>IF($A310="","",SUMIFS('Timesheet Raw'!$P$4:$P$8000,'Timesheet Raw'!$L$4:$L$8000,$A310,'Timesheet Raw'!$C$4:$C$8000,T$3,'Timesheet Raw'!$A$4:$A$8000,"2-Proposals Chargeable")+SUMIFS('Timesheet Raw'!$P$4:$P$8000,'Timesheet Raw'!$L$4:$L$8000,$A310,'Timesheet Raw'!$C$4:$C$8000,T$3,'Timesheet Raw'!$A$4:$A$8000,"3-Proposals Regular"))</f>
        <v>0</v>
      </c>
      <c r="V310" s="341">
        <f>IF($A310="","",SUMIFS('Timesheet Raw'!$P$4:$P$8000,'Timesheet Raw'!$L$4:$L$8000,$A310,'Timesheet Raw'!$C$4:$C$8000,T$3,'Timesheet Raw'!$B$4:$B$8000,'Work Calendar'!$A$26)+SUMIFS('Timesheet Raw'!$P$4:$P$8000,'Timesheet Raw'!$L$4:$L$8000,$A310,'Timesheet Raw'!$C$4:$C$8000,T$3,'Timesheet Raw'!$B$4:$B$8000,'Work Calendar'!$A$27)+SUMIFS('Timesheet Raw'!$P$4:$P$8000,'Timesheet Raw'!$L$4:$L$8000,$A310,'Timesheet Raw'!$C$4:$C$8000,T$3,'Timesheet Raw'!$B$4:$B$8000,'Work Calendar'!$A$28)+SUMIFS('Timesheet Raw'!$P$4:$P$8000,'Timesheet Raw'!$L$4:$L$8000,$A310,'Timesheet Raw'!$C$4:$C$8000,T$3,'Timesheet Raw'!$B$4:$B$8000,'Work Calendar'!$A$29))</f>
        <v>0</v>
      </c>
      <c r="W310" s="341">
        <f t="shared" si="19"/>
        <v>0</v>
      </c>
      <c r="X310" s="395">
        <f>IF($A310="","",SUMIFS('Timesheet Raw'!$K$4:$K$8000,'Timesheet Raw'!$L$4:$L$8000,$A310,'Timesheet Raw'!$C$4:$C$8000,T$3))</f>
        <v>0</v>
      </c>
      <c r="Y310" s="345">
        <f>IF($A310="","",SUMIFS('Timesheet Raw'!$P$4:$P$8000,'Timesheet Raw'!$L$4:$L$8000,$A310,'Timesheet Raw'!$C$4:$C$8000,T$3))</f>
        <v>0</v>
      </c>
      <c r="Z310" s="375"/>
      <c r="AA310" t="str">
        <f>IF($A310="","",IF(Z310&lt;&gt;"",Z310,IF($A310&gt;'Work Calendar'!$B$17,"No data yet",IF(AND(V310&gt;='Work Calendar'!$B$14,T310+U310+W310&gt;0),"Day off - but worked",IF(V310&gt;='Work Calendar'!$B$14,"Day off",IF(T310+U310+W310&gt;0,IF($C310="Working","Charged","Worked weekend"),IF($C310="Working","Leave (not charged)",$C310)))))))</f>
        <v>No data yet</v>
      </c>
    </row>
    <row r="311" spans="1:27" x14ac:dyDescent="0.3">
      <c r="A311" s="371">
        <f>IF($A310="","",IF($A310+1&gt;'Work Calendar'!$B$16,"",$A310+1))</f>
        <v>46329</v>
      </c>
      <c r="B311" t="str">
        <f t="shared" si="16"/>
        <v>Tue</v>
      </c>
      <c r="C311" t="str" cm="1">
        <f t="array" ref="C311">IF($A311="","",IF(COUNTIF('Work Calendar'!$E$6:$E$200,$A311)&gt;0,"Holiday",IF(INDEX('Work Calendar'!$C$6:$C$12,WEEKDAY($A311,1))=1,"Working","Weekend")))</f>
        <v>Working</v>
      </c>
      <c r="D311" s="341">
        <f>IF($A311="","",SUMIFS('Timesheet Raw'!$P$4:$P$8000,'Timesheet Raw'!$L$4:$L$8000,$A311,'Timesheet Raw'!$C$4:$C$8000,D$3,'Timesheet Raw'!$A$4:$A$8000,"1-Projects"))</f>
        <v>0</v>
      </c>
      <c r="E311" s="341">
        <f>IF($A311="","",SUMIFS('Timesheet Raw'!$P$4:$P$8000,'Timesheet Raw'!$L$4:$L$8000,$A311,'Timesheet Raw'!$C$4:$C$8000,D$3,'Timesheet Raw'!$A$4:$A$8000,"2-Proposals Chargeable")+SUMIFS('Timesheet Raw'!$P$4:$P$8000,'Timesheet Raw'!$L$4:$L$8000,$A311,'Timesheet Raw'!$C$4:$C$8000,D$3,'Timesheet Raw'!$A$4:$A$8000,"3-Proposals Regular"))</f>
        <v>0</v>
      </c>
      <c r="F311" s="341">
        <f>IF($A311="","",SUMIFS('Timesheet Raw'!$P$4:$P$8000,'Timesheet Raw'!$L$4:$L$8000,$A311,'Timesheet Raw'!$C$4:$C$8000,D$3,'Timesheet Raw'!$B$4:$B$8000,'Work Calendar'!$A$26)+SUMIFS('Timesheet Raw'!$P$4:$P$8000,'Timesheet Raw'!$L$4:$L$8000,$A311,'Timesheet Raw'!$C$4:$C$8000,D$3,'Timesheet Raw'!$B$4:$B$8000,'Work Calendar'!$A$27)+SUMIFS('Timesheet Raw'!$P$4:$P$8000,'Timesheet Raw'!$L$4:$L$8000,$A311,'Timesheet Raw'!$C$4:$C$8000,D$3,'Timesheet Raw'!$B$4:$B$8000,'Work Calendar'!$A$28)+SUMIFS('Timesheet Raw'!$P$4:$P$8000,'Timesheet Raw'!$L$4:$L$8000,$A311,'Timesheet Raw'!$C$4:$C$8000,D$3,'Timesheet Raw'!$B$4:$B$8000,'Work Calendar'!$A$29))</f>
        <v>0</v>
      </c>
      <c r="G311" s="341">
        <f t="shared" si="17"/>
        <v>0</v>
      </c>
      <c r="H311" s="395">
        <f>IF($A311="","",SUMIFS('Timesheet Raw'!$K$4:$K$8000,'Timesheet Raw'!$L$4:$L$8000,$A311,'Timesheet Raw'!$C$4:$C$8000,D$3))</f>
        <v>0</v>
      </c>
      <c r="I311" s="345">
        <f>IF($A311="","",SUMIFS('Timesheet Raw'!$P$4:$P$8000,'Timesheet Raw'!$L$4:$L$8000,$A311,'Timesheet Raw'!$C$4:$C$8000,D$3))</f>
        <v>0</v>
      </c>
      <c r="J311" s="375"/>
      <c r="K311" t="str">
        <f>IF($A311="","",IF(J311&lt;&gt;"",J311,IF($A311&gt;'Work Calendar'!$B$17,"No data yet",IF(AND(F311&gt;='Work Calendar'!$B$14,D311+E311+G311&gt;0),"Day off - but worked",IF(F311&gt;='Work Calendar'!$B$14,"Day off",IF(D311+E311+G311&gt;0,IF($C311="Working","Charged","Worked weekend"),IF($C311="Working","Leave (not charged)",$C311)))))))</f>
        <v>No data yet</v>
      </c>
      <c r="L311" s="341">
        <f>IF($A311="","",SUMIFS('Timesheet Raw'!$P$4:$P$8000,'Timesheet Raw'!$L$4:$L$8000,$A311,'Timesheet Raw'!$C$4:$C$8000,L$3,'Timesheet Raw'!$A$4:$A$8000,"1-Projects"))</f>
        <v>0</v>
      </c>
      <c r="M311" s="341">
        <f>IF($A311="","",SUMIFS('Timesheet Raw'!$P$4:$P$8000,'Timesheet Raw'!$L$4:$L$8000,$A311,'Timesheet Raw'!$C$4:$C$8000,L$3,'Timesheet Raw'!$A$4:$A$8000,"2-Proposals Chargeable")+SUMIFS('Timesheet Raw'!$P$4:$P$8000,'Timesheet Raw'!$L$4:$L$8000,$A311,'Timesheet Raw'!$C$4:$C$8000,L$3,'Timesheet Raw'!$A$4:$A$8000,"3-Proposals Regular"))</f>
        <v>0</v>
      </c>
      <c r="N311" s="341">
        <f>IF($A311="","",SUMIFS('Timesheet Raw'!$P$4:$P$8000,'Timesheet Raw'!$L$4:$L$8000,$A311,'Timesheet Raw'!$C$4:$C$8000,L$3,'Timesheet Raw'!$B$4:$B$8000,'Work Calendar'!$A$26)+SUMIFS('Timesheet Raw'!$P$4:$P$8000,'Timesheet Raw'!$L$4:$L$8000,$A311,'Timesheet Raw'!$C$4:$C$8000,L$3,'Timesheet Raw'!$B$4:$B$8000,'Work Calendar'!$A$27)+SUMIFS('Timesheet Raw'!$P$4:$P$8000,'Timesheet Raw'!$L$4:$L$8000,$A311,'Timesheet Raw'!$C$4:$C$8000,L$3,'Timesheet Raw'!$B$4:$B$8000,'Work Calendar'!$A$28)+SUMIFS('Timesheet Raw'!$P$4:$P$8000,'Timesheet Raw'!$L$4:$L$8000,$A311,'Timesheet Raw'!$C$4:$C$8000,L$3,'Timesheet Raw'!$B$4:$B$8000,'Work Calendar'!$A$29))</f>
        <v>0</v>
      </c>
      <c r="O311" s="341">
        <f t="shared" si="18"/>
        <v>0</v>
      </c>
      <c r="P311" s="395">
        <f>IF($A311="","",SUMIFS('Timesheet Raw'!$K$4:$K$8000,'Timesheet Raw'!$L$4:$L$8000,$A311,'Timesheet Raw'!$C$4:$C$8000,L$3))</f>
        <v>0</v>
      </c>
      <c r="Q311" s="345">
        <f>IF($A311="","",SUMIFS('Timesheet Raw'!$P$4:$P$8000,'Timesheet Raw'!$L$4:$L$8000,$A311,'Timesheet Raw'!$C$4:$C$8000,L$3))</f>
        <v>0</v>
      </c>
      <c r="R311" s="375"/>
      <c r="S311" t="str">
        <f>IF($A311="","",IF(R311&lt;&gt;"",R311,IF($A311&gt;'Work Calendar'!$B$17,"No data yet",IF(AND(N311&gt;='Work Calendar'!$B$14,L311+M311+O311&gt;0),"Day off - but worked",IF(N311&gt;='Work Calendar'!$B$14,"Day off",IF(L311+M311+O311&gt;0,IF($C311="Working","Charged","Worked weekend"),IF($C311="Working","Leave (not charged)",$C311)))))))</f>
        <v>No data yet</v>
      </c>
      <c r="T311" s="341">
        <f>IF($A311="","",SUMIFS('Timesheet Raw'!$P$4:$P$8000,'Timesheet Raw'!$L$4:$L$8000,$A311,'Timesheet Raw'!$C$4:$C$8000,T$3,'Timesheet Raw'!$A$4:$A$8000,"1-Projects"))</f>
        <v>0</v>
      </c>
      <c r="U311" s="341">
        <f>IF($A311="","",SUMIFS('Timesheet Raw'!$P$4:$P$8000,'Timesheet Raw'!$L$4:$L$8000,$A311,'Timesheet Raw'!$C$4:$C$8000,T$3,'Timesheet Raw'!$A$4:$A$8000,"2-Proposals Chargeable")+SUMIFS('Timesheet Raw'!$P$4:$P$8000,'Timesheet Raw'!$L$4:$L$8000,$A311,'Timesheet Raw'!$C$4:$C$8000,T$3,'Timesheet Raw'!$A$4:$A$8000,"3-Proposals Regular"))</f>
        <v>0</v>
      </c>
      <c r="V311" s="341">
        <f>IF($A311="","",SUMIFS('Timesheet Raw'!$P$4:$P$8000,'Timesheet Raw'!$L$4:$L$8000,$A311,'Timesheet Raw'!$C$4:$C$8000,T$3,'Timesheet Raw'!$B$4:$B$8000,'Work Calendar'!$A$26)+SUMIFS('Timesheet Raw'!$P$4:$P$8000,'Timesheet Raw'!$L$4:$L$8000,$A311,'Timesheet Raw'!$C$4:$C$8000,T$3,'Timesheet Raw'!$B$4:$B$8000,'Work Calendar'!$A$27)+SUMIFS('Timesheet Raw'!$P$4:$P$8000,'Timesheet Raw'!$L$4:$L$8000,$A311,'Timesheet Raw'!$C$4:$C$8000,T$3,'Timesheet Raw'!$B$4:$B$8000,'Work Calendar'!$A$28)+SUMIFS('Timesheet Raw'!$P$4:$P$8000,'Timesheet Raw'!$L$4:$L$8000,$A311,'Timesheet Raw'!$C$4:$C$8000,T$3,'Timesheet Raw'!$B$4:$B$8000,'Work Calendar'!$A$29))</f>
        <v>0</v>
      </c>
      <c r="W311" s="341">
        <f t="shared" si="19"/>
        <v>0</v>
      </c>
      <c r="X311" s="395">
        <f>IF($A311="","",SUMIFS('Timesheet Raw'!$K$4:$K$8000,'Timesheet Raw'!$L$4:$L$8000,$A311,'Timesheet Raw'!$C$4:$C$8000,T$3))</f>
        <v>0</v>
      </c>
      <c r="Y311" s="345">
        <f>IF($A311="","",SUMIFS('Timesheet Raw'!$P$4:$P$8000,'Timesheet Raw'!$L$4:$L$8000,$A311,'Timesheet Raw'!$C$4:$C$8000,T$3))</f>
        <v>0</v>
      </c>
      <c r="Z311" s="375"/>
      <c r="AA311" t="str">
        <f>IF($A311="","",IF(Z311&lt;&gt;"",Z311,IF($A311&gt;'Work Calendar'!$B$17,"No data yet",IF(AND(V311&gt;='Work Calendar'!$B$14,T311+U311+W311&gt;0),"Day off - but worked",IF(V311&gt;='Work Calendar'!$B$14,"Day off",IF(T311+U311+W311&gt;0,IF($C311="Working","Charged","Worked weekend"),IF($C311="Working","Leave (not charged)",$C311)))))))</f>
        <v>No data yet</v>
      </c>
    </row>
    <row r="312" spans="1:27" x14ac:dyDescent="0.3">
      <c r="A312" s="371">
        <f>IF($A311="","",IF($A311+1&gt;'Work Calendar'!$B$16,"",$A311+1))</f>
        <v>46330</v>
      </c>
      <c r="B312" t="str">
        <f t="shared" si="16"/>
        <v>Wed</v>
      </c>
      <c r="C312" t="str" cm="1">
        <f t="array" ref="C312">IF($A312="","",IF(COUNTIF('Work Calendar'!$E$6:$E$200,$A312)&gt;0,"Holiday",IF(INDEX('Work Calendar'!$C$6:$C$12,WEEKDAY($A312,1))=1,"Working","Weekend")))</f>
        <v>Working</v>
      </c>
      <c r="D312" s="341">
        <f>IF($A312="","",SUMIFS('Timesheet Raw'!$P$4:$P$8000,'Timesheet Raw'!$L$4:$L$8000,$A312,'Timesheet Raw'!$C$4:$C$8000,D$3,'Timesheet Raw'!$A$4:$A$8000,"1-Projects"))</f>
        <v>0</v>
      </c>
      <c r="E312" s="341">
        <f>IF($A312="","",SUMIFS('Timesheet Raw'!$P$4:$P$8000,'Timesheet Raw'!$L$4:$L$8000,$A312,'Timesheet Raw'!$C$4:$C$8000,D$3,'Timesheet Raw'!$A$4:$A$8000,"2-Proposals Chargeable")+SUMIFS('Timesheet Raw'!$P$4:$P$8000,'Timesheet Raw'!$L$4:$L$8000,$A312,'Timesheet Raw'!$C$4:$C$8000,D$3,'Timesheet Raw'!$A$4:$A$8000,"3-Proposals Regular"))</f>
        <v>0</v>
      </c>
      <c r="F312" s="341">
        <f>IF($A312="","",SUMIFS('Timesheet Raw'!$P$4:$P$8000,'Timesheet Raw'!$L$4:$L$8000,$A312,'Timesheet Raw'!$C$4:$C$8000,D$3,'Timesheet Raw'!$B$4:$B$8000,'Work Calendar'!$A$26)+SUMIFS('Timesheet Raw'!$P$4:$P$8000,'Timesheet Raw'!$L$4:$L$8000,$A312,'Timesheet Raw'!$C$4:$C$8000,D$3,'Timesheet Raw'!$B$4:$B$8000,'Work Calendar'!$A$27)+SUMIFS('Timesheet Raw'!$P$4:$P$8000,'Timesheet Raw'!$L$4:$L$8000,$A312,'Timesheet Raw'!$C$4:$C$8000,D$3,'Timesheet Raw'!$B$4:$B$8000,'Work Calendar'!$A$28)+SUMIFS('Timesheet Raw'!$P$4:$P$8000,'Timesheet Raw'!$L$4:$L$8000,$A312,'Timesheet Raw'!$C$4:$C$8000,D$3,'Timesheet Raw'!$B$4:$B$8000,'Work Calendar'!$A$29))</f>
        <v>0</v>
      </c>
      <c r="G312" s="341">
        <f t="shared" si="17"/>
        <v>0</v>
      </c>
      <c r="H312" s="395">
        <f>IF($A312="","",SUMIFS('Timesheet Raw'!$K$4:$K$8000,'Timesheet Raw'!$L$4:$L$8000,$A312,'Timesheet Raw'!$C$4:$C$8000,D$3))</f>
        <v>0</v>
      </c>
      <c r="I312" s="345">
        <f>IF($A312="","",SUMIFS('Timesheet Raw'!$P$4:$P$8000,'Timesheet Raw'!$L$4:$L$8000,$A312,'Timesheet Raw'!$C$4:$C$8000,D$3))</f>
        <v>0</v>
      </c>
      <c r="J312" s="375"/>
      <c r="K312" t="str">
        <f>IF($A312="","",IF(J312&lt;&gt;"",J312,IF($A312&gt;'Work Calendar'!$B$17,"No data yet",IF(AND(F312&gt;='Work Calendar'!$B$14,D312+E312+G312&gt;0),"Day off - but worked",IF(F312&gt;='Work Calendar'!$B$14,"Day off",IF(D312+E312+G312&gt;0,IF($C312="Working","Charged","Worked weekend"),IF($C312="Working","Leave (not charged)",$C312)))))))</f>
        <v>No data yet</v>
      </c>
      <c r="L312" s="341">
        <f>IF($A312="","",SUMIFS('Timesheet Raw'!$P$4:$P$8000,'Timesheet Raw'!$L$4:$L$8000,$A312,'Timesheet Raw'!$C$4:$C$8000,L$3,'Timesheet Raw'!$A$4:$A$8000,"1-Projects"))</f>
        <v>0</v>
      </c>
      <c r="M312" s="341">
        <f>IF($A312="","",SUMIFS('Timesheet Raw'!$P$4:$P$8000,'Timesheet Raw'!$L$4:$L$8000,$A312,'Timesheet Raw'!$C$4:$C$8000,L$3,'Timesheet Raw'!$A$4:$A$8000,"2-Proposals Chargeable")+SUMIFS('Timesheet Raw'!$P$4:$P$8000,'Timesheet Raw'!$L$4:$L$8000,$A312,'Timesheet Raw'!$C$4:$C$8000,L$3,'Timesheet Raw'!$A$4:$A$8000,"3-Proposals Regular"))</f>
        <v>0</v>
      </c>
      <c r="N312" s="341">
        <f>IF($A312="","",SUMIFS('Timesheet Raw'!$P$4:$P$8000,'Timesheet Raw'!$L$4:$L$8000,$A312,'Timesheet Raw'!$C$4:$C$8000,L$3,'Timesheet Raw'!$B$4:$B$8000,'Work Calendar'!$A$26)+SUMIFS('Timesheet Raw'!$P$4:$P$8000,'Timesheet Raw'!$L$4:$L$8000,$A312,'Timesheet Raw'!$C$4:$C$8000,L$3,'Timesheet Raw'!$B$4:$B$8000,'Work Calendar'!$A$27)+SUMIFS('Timesheet Raw'!$P$4:$P$8000,'Timesheet Raw'!$L$4:$L$8000,$A312,'Timesheet Raw'!$C$4:$C$8000,L$3,'Timesheet Raw'!$B$4:$B$8000,'Work Calendar'!$A$28)+SUMIFS('Timesheet Raw'!$P$4:$P$8000,'Timesheet Raw'!$L$4:$L$8000,$A312,'Timesheet Raw'!$C$4:$C$8000,L$3,'Timesheet Raw'!$B$4:$B$8000,'Work Calendar'!$A$29))</f>
        <v>0</v>
      </c>
      <c r="O312" s="341">
        <f t="shared" si="18"/>
        <v>0</v>
      </c>
      <c r="P312" s="395">
        <f>IF($A312="","",SUMIFS('Timesheet Raw'!$K$4:$K$8000,'Timesheet Raw'!$L$4:$L$8000,$A312,'Timesheet Raw'!$C$4:$C$8000,L$3))</f>
        <v>0</v>
      </c>
      <c r="Q312" s="345">
        <f>IF($A312="","",SUMIFS('Timesheet Raw'!$P$4:$P$8000,'Timesheet Raw'!$L$4:$L$8000,$A312,'Timesheet Raw'!$C$4:$C$8000,L$3))</f>
        <v>0</v>
      </c>
      <c r="R312" s="375"/>
      <c r="S312" t="str">
        <f>IF($A312="","",IF(R312&lt;&gt;"",R312,IF($A312&gt;'Work Calendar'!$B$17,"No data yet",IF(AND(N312&gt;='Work Calendar'!$B$14,L312+M312+O312&gt;0),"Day off - but worked",IF(N312&gt;='Work Calendar'!$B$14,"Day off",IF(L312+M312+O312&gt;0,IF($C312="Working","Charged","Worked weekend"),IF($C312="Working","Leave (not charged)",$C312)))))))</f>
        <v>No data yet</v>
      </c>
      <c r="T312" s="341">
        <f>IF($A312="","",SUMIFS('Timesheet Raw'!$P$4:$P$8000,'Timesheet Raw'!$L$4:$L$8000,$A312,'Timesheet Raw'!$C$4:$C$8000,T$3,'Timesheet Raw'!$A$4:$A$8000,"1-Projects"))</f>
        <v>0</v>
      </c>
      <c r="U312" s="341">
        <f>IF($A312="","",SUMIFS('Timesheet Raw'!$P$4:$P$8000,'Timesheet Raw'!$L$4:$L$8000,$A312,'Timesheet Raw'!$C$4:$C$8000,T$3,'Timesheet Raw'!$A$4:$A$8000,"2-Proposals Chargeable")+SUMIFS('Timesheet Raw'!$P$4:$P$8000,'Timesheet Raw'!$L$4:$L$8000,$A312,'Timesheet Raw'!$C$4:$C$8000,T$3,'Timesheet Raw'!$A$4:$A$8000,"3-Proposals Regular"))</f>
        <v>0</v>
      </c>
      <c r="V312" s="341">
        <f>IF($A312="","",SUMIFS('Timesheet Raw'!$P$4:$P$8000,'Timesheet Raw'!$L$4:$L$8000,$A312,'Timesheet Raw'!$C$4:$C$8000,T$3,'Timesheet Raw'!$B$4:$B$8000,'Work Calendar'!$A$26)+SUMIFS('Timesheet Raw'!$P$4:$P$8000,'Timesheet Raw'!$L$4:$L$8000,$A312,'Timesheet Raw'!$C$4:$C$8000,T$3,'Timesheet Raw'!$B$4:$B$8000,'Work Calendar'!$A$27)+SUMIFS('Timesheet Raw'!$P$4:$P$8000,'Timesheet Raw'!$L$4:$L$8000,$A312,'Timesheet Raw'!$C$4:$C$8000,T$3,'Timesheet Raw'!$B$4:$B$8000,'Work Calendar'!$A$28)+SUMIFS('Timesheet Raw'!$P$4:$P$8000,'Timesheet Raw'!$L$4:$L$8000,$A312,'Timesheet Raw'!$C$4:$C$8000,T$3,'Timesheet Raw'!$B$4:$B$8000,'Work Calendar'!$A$29))</f>
        <v>0</v>
      </c>
      <c r="W312" s="341">
        <f t="shared" si="19"/>
        <v>0</v>
      </c>
      <c r="X312" s="395">
        <f>IF($A312="","",SUMIFS('Timesheet Raw'!$K$4:$K$8000,'Timesheet Raw'!$L$4:$L$8000,$A312,'Timesheet Raw'!$C$4:$C$8000,T$3))</f>
        <v>0</v>
      </c>
      <c r="Y312" s="345">
        <f>IF($A312="","",SUMIFS('Timesheet Raw'!$P$4:$P$8000,'Timesheet Raw'!$L$4:$L$8000,$A312,'Timesheet Raw'!$C$4:$C$8000,T$3))</f>
        <v>0</v>
      </c>
      <c r="Z312" s="375"/>
      <c r="AA312" t="str">
        <f>IF($A312="","",IF(Z312&lt;&gt;"",Z312,IF($A312&gt;'Work Calendar'!$B$17,"No data yet",IF(AND(V312&gt;='Work Calendar'!$B$14,T312+U312+W312&gt;0),"Day off - but worked",IF(V312&gt;='Work Calendar'!$B$14,"Day off",IF(T312+U312+W312&gt;0,IF($C312="Working","Charged","Worked weekend"),IF($C312="Working","Leave (not charged)",$C312)))))))</f>
        <v>No data yet</v>
      </c>
    </row>
    <row r="313" spans="1:27" x14ac:dyDescent="0.3">
      <c r="A313" s="371">
        <f>IF($A312="","",IF($A312+1&gt;'Work Calendar'!$B$16,"",$A312+1))</f>
        <v>46331</v>
      </c>
      <c r="B313" t="str">
        <f t="shared" si="16"/>
        <v>Thu</v>
      </c>
      <c r="C313" t="str" cm="1">
        <f t="array" ref="C313">IF($A313="","",IF(COUNTIF('Work Calendar'!$E$6:$E$200,$A313)&gt;0,"Holiday",IF(INDEX('Work Calendar'!$C$6:$C$12,WEEKDAY($A313,1))=1,"Working","Weekend")))</f>
        <v>Working</v>
      </c>
      <c r="D313" s="341">
        <f>IF($A313="","",SUMIFS('Timesheet Raw'!$P$4:$P$8000,'Timesheet Raw'!$L$4:$L$8000,$A313,'Timesheet Raw'!$C$4:$C$8000,D$3,'Timesheet Raw'!$A$4:$A$8000,"1-Projects"))</f>
        <v>0</v>
      </c>
      <c r="E313" s="341">
        <f>IF($A313="","",SUMIFS('Timesheet Raw'!$P$4:$P$8000,'Timesheet Raw'!$L$4:$L$8000,$A313,'Timesheet Raw'!$C$4:$C$8000,D$3,'Timesheet Raw'!$A$4:$A$8000,"2-Proposals Chargeable")+SUMIFS('Timesheet Raw'!$P$4:$P$8000,'Timesheet Raw'!$L$4:$L$8000,$A313,'Timesheet Raw'!$C$4:$C$8000,D$3,'Timesheet Raw'!$A$4:$A$8000,"3-Proposals Regular"))</f>
        <v>0</v>
      </c>
      <c r="F313" s="341">
        <f>IF($A313="","",SUMIFS('Timesheet Raw'!$P$4:$P$8000,'Timesheet Raw'!$L$4:$L$8000,$A313,'Timesheet Raw'!$C$4:$C$8000,D$3,'Timesheet Raw'!$B$4:$B$8000,'Work Calendar'!$A$26)+SUMIFS('Timesheet Raw'!$P$4:$P$8000,'Timesheet Raw'!$L$4:$L$8000,$A313,'Timesheet Raw'!$C$4:$C$8000,D$3,'Timesheet Raw'!$B$4:$B$8000,'Work Calendar'!$A$27)+SUMIFS('Timesheet Raw'!$P$4:$P$8000,'Timesheet Raw'!$L$4:$L$8000,$A313,'Timesheet Raw'!$C$4:$C$8000,D$3,'Timesheet Raw'!$B$4:$B$8000,'Work Calendar'!$A$28)+SUMIFS('Timesheet Raw'!$P$4:$P$8000,'Timesheet Raw'!$L$4:$L$8000,$A313,'Timesheet Raw'!$C$4:$C$8000,D$3,'Timesheet Raw'!$B$4:$B$8000,'Work Calendar'!$A$29))</f>
        <v>0</v>
      </c>
      <c r="G313" s="341">
        <f t="shared" si="17"/>
        <v>0</v>
      </c>
      <c r="H313" s="395">
        <f>IF($A313="","",SUMIFS('Timesheet Raw'!$K$4:$K$8000,'Timesheet Raw'!$L$4:$L$8000,$A313,'Timesheet Raw'!$C$4:$C$8000,D$3))</f>
        <v>0</v>
      </c>
      <c r="I313" s="345">
        <f>IF($A313="","",SUMIFS('Timesheet Raw'!$P$4:$P$8000,'Timesheet Raw'!$L$4:$L$8000,$A313,'Timesheet Raw'!$C$4:$C$8000,D$3))</f>
        <v>0</v>
      </c>
      <c r="J313" s="375"/>
      <c r="K313" t="str">
        <f>IF($A313="","",IF(J313&lt;&gt;"",J313,IF($A313&gt;'Work Calendar'!$B$17,"No data yet",IF(AND(F313&gt;='Work Calendar'!$B$14,D313+E313+G313&gt;0),"Day off - but worked",IF(F313&gt;='Work Calendar'!$B$14,"Day off",IF(D313+E313+G313&gt;0,IF($C313="Working","Charged","Worked weekend"),IF($C313="Working","Leave (not charged)",$C313)))))))</f>
        <v>No data yet</v>
      </c>
      <c r="L313" s="341">
        <f>IF($A313="","",SUMIFS('Timesheet Raw'!$P$4:$P$8000,'Timesheet Raw'!$L$4:$L$8000,$A313,'Timesheet Raw'!$C$4:$C$8000,L$3,'Timesheet Raw'!$A$4:$A$8000,"1-Projects"))</f>
        <v>0</v>
      </c>
      <c r="M313" s="341">
        <f>IF($A313="","",SUMIFS('Timesheet Raw'!$P$4:$P$8000,'Timesheet Raw'!$L$4:$L$8000,$A313,'Timesheet Raw'!$C$4:$C$8000,L$3,'Timesheet Raw'!$A$4:$A$8000,"2-Proposals Chargeable")+SUMIFS('Timesheet Raw'!$P$4:$P$8000,'Timesheet Raw'!$L$4:$L$8000,$A313,'Timesheet Raw'!$C$4:$C$8000,L$3,'Timesheet Raw'!$A$4:$A$8000,"3-Proposals Regular"))</f>
        <v>0</v>
      </c>
      <c r="N313" s="341">
        <f>IF($A313="","",SUMIFS('Timesheet Raw'!$P$4:$P$8000,'Timesheet Raw'!$L$4:$L$8000,$A313,'Timesheet Raw'!$C$4:$C$8000,L$3,'Timesheet Raw'!$B$4:$B$8000,'Work Calendar'!$A$26)+SUMIFS('Timesheet Raw'!$P$4:$P$8000,'Timesheet Raw'!$L$4:$L$8000,$A313,'Timesheet Raw'!$C$4:$C$8000,L$3,'Timesheet Raw'!$B$4:$B$8000,'Work Calendar'!$A$27)+SUMIFS('Timesheet Raw'!$P$4:$P$8000,'Timesheet Raw'!$L$4:$L$8000,$A313,'Timesheet Raw'!$C$4:$C$8000,L$3,'Timesheet Raw'!$B$4:$B$8000,'Work Calendar'!$A$28)+SUMIFS('Timesheet Raw'!$P$4:$P$8000,'Timesheet Raw'!$L$4:$L$8000,$A313,'Timesheet Raw'!$C$4:$C$8000,L$3,'Timesheet Raw'!$B$4:$B$8000,'Work Calendar'!$A$29))</f>
        <v>0</v>
      </c>
      <c r="O313" s="341">
        <f t="shared" si="18"/>
        <v>0</v>
      </c>
      <c r="P313" s="395">
        <f>IF($A313="","",SUMIFS('Timesheet Raw'!$K$4:$K$8000,'Timesheet Raw'!$L$4:$L$8000,$A313,'Timesheet Raw'!$C$4:$C$8000,L$3))</f>
        <v>0</v>
      </c>
      <c r="Q313" s="345">
        <f>IF($A313="","",SUMIFS('Timesheet Raw'!$P$4:$P$8000,'Timesheet Raw'!$L$4:$L$8000,$A313,'Timesheet Raw'!$C$4:$C$8000,L$3))</f>
        <v>0</v>
      </c>
      <c r="R313" s="375"/>
      <c r="S313" t="str">
        <f>IF($A313="","",IF(R313&lt;&gt;"",R313,IF($A313&gt;'Work Calendar'!$B$17,"No data yet",IF(AND(N313&gt;='Work Calendar'!$B$14,L313+M313+O313&gt;0),"Day off - but worked",IF(N313&gt;='Work Calendar'!$B$14,"Day off",IF(L313+M313+O313&gt;0,IF($C313="Working","Charged","Worked weekend"),IF($C313="Working","Leave (not charged)",$C313)))))))</f>
        <v>No data yet</v>
      </c>
      <c r="T313" s="341">
        <f>IF($A313="","",SUMIFS('Timesheet Raw'!$P$4:$P$8000,'Timesheet Raw'!$L$4:$L$8000,$A313,'Timesheet Raw'!$C$4:$C$8000,T$3,'Timesheet Raw'!$A$4:$A$8000,"1-Projects"))</f>
        <v>0</v>
      </c>
      <c r="U313" s="341">
        <f>IF($A313="","",SUMIFS('Timesheet Raw'!$P$4:$P$8000,'Timesheet Raw'!$L$4:$L$8000,$A313,'Timesheet Raw'!$C$4:$C$8000,T$3,'Timesheet Raw'!$A$4:$A$8000,"2-Proposals Chargeable")+SUMIFS('Timesheet Raw'!$P$4:$P$8000,'Timesheet Raw'!$L$4:$L$8000,$A313,'Timesheet Raw'!$C$4:$C$8000,T$3,'Timesheet Raw'!$A$4:$A$8000,"3-Proposals Regular"))</f>
        <v>0</v>
      </c>
      <c r="V313" s="341">
        <f>IF($A313="","",SUMIFS('Timesheet Raw'!$P$4:$P$8000,'Timesheet Raw'!$L$4:$L$8000,$A313,'Timesheet Raw'!$C$4:$C$8000,T$3,'Timesheet Raw'!$B$4:$B$8000,'Work Calendar'!$A$26)+SUMIFS('Timesheet Raw'!$P$4:$P$8000,'Timesheet Raw'!$L$4:$L$8000,$A313,'Timesheet Raw'!$C$4:$C$8000,T$3,'Timesheet Raw'!$B$4:$B$8000,'Work Calendar'!$A$27)+SUMIFS('Timesheet Raw'!$P$4:$P$8000,'Timesheet Raw'!$L$4:$L$8000,$A313,'Timesheet Raw'!$C$4:$C$8000,T$3,'Timesheet Raw'!$B$4:$B$8000,'Work Calendar'!$A$28)+SUMIFS('Timesheet Raw'!$P$4:$P$8000,'Timesheet Raw'!$L$4:$L$8000,$A313,'Timesheet Raw'!$C$4:$C$8000,T$3,'Timesheet Raw'!$B$4:$B$8000,'Work Calendar'!$A$29))</f>
        <v>0</v>
      </c>
      <c r="W313" s="341">
        <f t="shared" si="19"/>
        <v>0</v>
      </c>
      <c r="X313" s="395">
        <f>IF($A313="","",SUMIFS('Timesheet Raw'!$K$4:$K$8000,'Timesheet Raw'!$L$4:$L$8000,$A313,'Timesheet Raw'!$C$4:$C$8000,T$3))</f>
        <v>0</v>
      </c>
      <c r="Y313" s="345">
        <f>IF($A313="","",SUMIFS('Timesheet Raw'!$P$4:$P$8000,'Timesheet Raw'!$L$4:$L$8000,$A313,'Timesheet Raw'!$C$4:$C$8000,T$3))</f>
        <v>0</v>
      </c>
      <c r="Z313" s="375"/>
      <c r="AA313" t="str">
        <f>IF($A313="","",IF(Z313&lt;&gt;"",Z313,IF($A313&gt;'Work Calendar'!$B$17,"No data yet",IF(AND(V313&gt;='Work Calendar'!$B$14,T313+U313+W313&gt;0),"Day off - but worked",IF(V313&gt;='Work Calendar'!$B$14,"Day off",IF(T313+U313+W313&gt;0,IF($C313="Working","Charged","Worked weekend"),IF($C313="Working","Leave (not charged)",$C313)))))))</f>
        <v>No data yet</v>
      </c>
    </row>
    <row r="314" spans="1:27" x14ac:dyDescent="0.3">
      <c r="A314" s="371">
        <f>IF($A313="","",IF($A313+1&gt;'Work Calendar'!$B$16,"",$A313+1))</f>
        <v>46332</v>
      </c>
      <c r="B314" t="str">
        <f t="shared" si="16"/>
        <v>Fri</v>
      </c>
      <c r="C314" t="str" cm="1">
        <f t="array" ref="C314">IF($A314="","",IF(COUNTIF('Work Calendar'!$E$6:$E$200,$A314)&gt;0,"Holiday",IF(INDEX('Work Calendar'!$C$6:$C$12,WEEKDAY($A314,1))=1,"Working","Weekend")))</f>
        <v>Weekend</v>
      </c>
      <c r="D314" s="341">
        <f>IF($A314="","",SUMIFS('Timesheet Raw'!$P$4:$P$8000,'Timesheet Raw'!$L$4:$L$8000,$A314,'Timesheet Raw'!$C$4:$C$8000,D$3,'Timesheet Raw'!$A$4:$A$8000,"1-Projects"))</f>
        <v>0</v>
      </c>
      <c r="E314" s="341">
        <f>IF($A314="","",SUMIFS('Timesheet Raw'!$P$4:$P$8000,'Timesheet Raw'!$L$4:$L$8000,$A314,'Timesheet Raw'!$C$4:$C$8000,D$3,'Timesheet Raw'!$A$4:$A$8000,"2-Proposals Chargeable")+SUMIFS('Timesheet Raw'!$P$4:$P$8000,'Timesheet Raw'!$L$4:$L$8000,$A314,'Timesheet Raw'!$C$4:$C$8000,D$3,'Timesheet Raw'!$A$4:$A$8000,"3-Proposals Regular"))</f>
        <v>0</v>
      </c>
      <c r="F314" s="341">
        <f>IF($A314="","",SUMIFS('Timesheet Raw'!$P$4:$P$8000,'Timesheet Raw'!$L$4:$L$8000,$A314,'Timesheet Raw'!$C$4:$C$8000,D$3,'Timesheet Raw'!$B$4:$B$8000,'Work Calendar'!$A$26)+SUMIFS('Timesheet Raw'!$P$4:$P$8000,'Timesheet Raw'!$L$4:$L$8000,$A314,'Timesheet Raw'!$C$4:$C$8000,D$3,'Timesheet Raw'!$B$4:$B$8000,'Work Calendar'!$A$27)+SUMIFS('Timesheet Raw'!$P$4:$P$8000,'Timesheet Raw'!$L$4:$L$8000,$A314,'Timesheet Raw'!$C$4:$C$8000,D$3,'Timesheet Raw'!$B$4:$B$8000,'Work Calendar'!$A$28)+SUMIFS('Timesheet Raw'!$P$4:$P$8000,'Timesheet Raw'!$L$4:$L$8000,$A314,'Timesheet Raw'!$C$4:$C$8000,D$3,'Timesheet Raw'!$B$4:$B$8000,'Work Calendar'!$A$29))</f>
        <v>0</v>
      </c>
      <c r="G314" s="341">
        <f t="shared" si="17"/>
        <v>0</v>
      </c>
      <c r="H314" s="395">
        <f>IF($A314="","",SUMIFS('Timesheet Raw'!$K$4:$K$8000,'Timesheet Raw'!$L$4:$L$8000,$A314,'Timesheet Raw'!$C$4:$C$8000,D$3))</f>
        <v>0</v>
      </c>
      <c r="I314" s="345">
        <f>IF($A314="","",SUMIFS('Timesheet Raw'!$P$4:$P$8000,'Timesheet Raw'!$L$4:$L$8000,$A314,'Timesheet Raw'!$C$4:$C$8000,D$3))</f>
        <v>0</v>
      </c>
      <c r="J314" s="375"/>
      <c r="K314" t="str">
        <f>IF($A314="","",IF(J314&lt;&gt;"",J314,IF($A314&gt;'Work Calendar'!$B$17,"No data yet",IF(AND(F314&gt;='Work Calendar'!$B$14,D314+E314+G314&gt;0),"Day off - but worked",IF(F314&gt;='Work Calendar'!$B$14,"Day off",IF(D314+E314+G314&gt;0,IF($C314="Working","Charged","Worked weekend"),IF($C314="Working","Leave (not charged)",$C314)))))))</f>
        <v>No data yet</v>
      </c>
      <c r="L314" s="341">
        <f>IF($A314="","",SUMIFS('Timesheet Raw'!$P$4:$P$8000,'Timesheet Raw'!$L$4:$L$8000,$A314,'Timesheet Raw'!$C$4:$C$8000,L$3,'Timesheet Raw'!$A$4:$A$8000,"1-Projects"))</f>
        <v>0</v>
      </c>
      <c r="M314" s="341">
        <f>IF($A314="","",SUMIFS('Timesheet Raw'!$P$4:$P$8000,'Timesheet Raw'!$L$4:$L$8000,$A314,'Timesheet Raw'!$C$4:$C$8000,L$3,'Timesheet Raw'!$A$4:$A$8000,"2-Proposals Chargeable")+SUMIFS('Timesheet Raw'!$P$4:$P$8000,'Timesheet Raw'!$L$4:$L$8000,$A314,'Timesheet Raw'!$C$4:$C$8000,L$3,'Timesheet Raw'!$A$4:$A$8000,"3-Proposals Regular"))</f>
        <v>0</v>
      </c>
      <c r="N314" s="341">
        <f>IF($A314="","",SUMIFS('Timesheet Raw'!$P$4:$P$8000,'Timesheet Raw'!$L$4:$L$8000,$A314,'Timesheet Raw'!$C$4:$C$8000,L$3,'Timesheet Raw'!$B$4:$B$8000,'Work Calendar'!$A$26)+SUMIFS('Timesheet Raw'!$P$4:$P$8000,'Timesheet Raw'!$L$4:$L$8000,$A314,'Timesheet Raw'!$C$4:$C$8000,L$3,'Timesheet Raw'!$B$4:$B$8000,'Work Calendar'!$A$27)+SUMIFS('Timesheet Raw'!$P$4:$P$8000,'Timesheet Raw'!$L$4:$L$8000,$A314,'Timesheet Raw'!$C$4:$C$8000,L$3,'Timesheet Raw'!$B$4:$B$8000,'Work Calendar'!$A$28)+SUMIFS('Timesheet Raw'!$P$4:$P$8000,'Timesheet Raw'!$L$4:$L$8000,$A314,'Timesheet Raw'!$C$4:$C$8000,L$3,'Timesheet Raw'!$B$4:$B$8000,'Work Calendar'!$A$29))</f>
        <v>0</v>
      </c>
      <c r="O314" s="341">
        <f t="shared" si="18"/>
        <v>0</v>
      </c>
      <c r="P314" s="395">
        <f>IF($A314="","",SUMIFS('Timesheet Raw'!$K$4:$K$8000,'Timesheet Raw'!$L$4:$L$8000,$A314,'Timesheet Raw'!$C$4:$C$8000,L$3))</f>
        <v>0</v>
      </c>
      <c r="Q314" s="345">
        <f>IF($A314="","",SUMIFS('Timesheet Raw'!$P$4:$P$8000,'Timesheet Raw'!$L$4:$L$8000,$A314,'Timesheet Raw'!$C$4:$C$8000,L$3))</f>
        <v>0</v>
      </c>
      <c r="R314" s="375"/>
      <c r="S314" t="str">
        <f>IF($A314="","",IF(R314&lt;&gt;"",R314,IF($A314&gt;'Work Calendar'!$B$17,"No data yet",IF(AND(N314&gt;='Work Calendar'!$B$14,L314+M314+O314&gt;0),"Day off - but worked",IF(N314&gt;='Work Calendar'!$B$14,"Day off",IF(L314+M314+O314&gt;0,IF($C314="Working","Charged","Worked weekend"),IF($C314="Working","Leave (not charged)",$C314)))))))</f>
        <v>No data yet</v>
      </c>
      <c r="T314" s="341">
        <f>IF($A314="","",SUMIFS('Timesheet Raw'!$P$4:$P$8000,'Timesheet Raw'!$L$4:$L$8000,$A314,'Timesheet Raw'!$C$4:$C$8000,T$3,'Timesheet Raw'!$A$4:$A$8000,"1-Projects"))</f>
        <v>0</v>
      </c>
      <c r="U314" s="341">
        <f>IF($A314="","",SUMIFS('Timesheet Raw'!$P$4:$P$8000,'Timesheet Raw'!$L$4:$L$8000,$A314,'Timesheet Raw'!$C$4:$C$8000,T$3,'Timesheet Raw'!$A$4:$A$8000,"2-Proposals Chargeable")+SUMIFS('Timesheet Raw'!$P$4:$P$8000,'Timesheet Raw'!$L$4:$L$8000,$A314,'Timesheet Raw'!$C$4:$C$8000,T$3,'Timesheet Raw'!$A$4:$A$8000,"3-Proposals Regular"))</f>
        <v>0</v>
      </c>
      <c r="V314" s="341">
        <f>IF($A314="","",SUMIFS('Timesheet Raw'!$P$4:$P$8000,'Timesheet Raw'!$L$4:$L$8000,$A314,'Timesheet Raw'!$C$4:$C$8000,T$3,'Timesheet Raw'!$B$4:$B$8000,'Work Calendar'!$A$26)+SUMIFS('Timesheet Raw'!$P$4:$P$8000,'Timesheet Raw'!$L$4:$L$8000,$A314,'Timesheet Raw'!$C$4:$C$8000,T$3,'Timesheet Raw'!$B$4:$B$8000,'Work Calendar'!$A$27)+SUMIFS('Timesheet Raw'!$P$4:$P$8000,'Timesheet Raw'!$L$4:$L$8000,$A314,'Timesheet Raw'!$C$4:$C$8000,T$3,'Timesheet Raw'!$B$4:$B$8000,'Work Calendar'!$A$28)+SUMIFS('Timesheet Raw'!$P$4:$P$8000,'Timesheet Raw'!$L$4:$L$8000,$A314,'Timesheet Raw'!$C$4:$C$8000,T$3,'Timesheet Raw'!$B$4:$B$8000,'Work Calendar'!$A$29))</f>
        <v>0</v>
      </c>
      <c r="W314" s="341">
        <f t="shared" si="19"/>
        <v>0</v>
      </c>
      <c r="X314" s="395">
        <f>IF($A314="","",SUMIFS('Timesheet Raw'!$K$4:$K$8000,'Timesheet Raw'!$L$4:$L$8000,$A314,'Timesheet Raw'!$C$4:$C$8000,T$3))</f>
        <v>0</v>
      </c>
      <c r="Y314" s="345">
        <f>IF($A314="","",SUMIFS('Timesheet Raw'!$P$4:$P$8000,'Timesheet Raw'!$L$4:$L$8000,$A314,'Timesheet Raw'!$C$4:$C$8000,T$3))</f>
        <v>0</v>
      </c>
      <c r="Z314" s="375"/>
      <c r="AA314" t="str">
        <f>IF($A314="","",IF(Z314&lt;&gt;"",Z314,IF($A314&gt;'Work Calendar'!$B$17,"No data yet",IF(AND(V314&gt;='Work Calendar'!$B$14,T314+U314+W314&gt;0),"Day off - but worked",IF(V314&gt;='Work Calendar'!$B$14,"Day off",IF(T314+U314+W314&gt;0,IF($C314="Working","Charged","Worked weekend"),IF($C314="Working","Leave (not charged)",$C314)))))))</f>
        <v>No data yet</v>
      </c>
    </row>
    <row r="315" spans="1:27" x14ac:dyDescent="0.3">
      <c r="A315" s="371">
        <f>IF($A314="","",IF($A314+1&gt;'Work Calendar'!$B$16,"",$A314+1))</f>
        <v>46333</v>
      </c>
      <c r="B315" t="str">
        <f t="shared" si="16"/>
        <v>Sat</v>
      </c>
      <c r="C315" t="str" cm="1">
        <f t="array" ref="C315">IF($A315="","",IF(COUNTIF('Work Calendar'!$E$6:$E$200,$A315)&gt;0,"Holiday",IF(INDEX('Work Calendar'!$C$6:$C$12,WEEKDAY($A315,1))=1,"Working","Weekend")))</f>
        <v>Weekend</v>
      </c>
      <c r="D315" s="341">
        <f>IF($A315="","",SUMIFS('Timesheet Raw'!$P$4:$P$8000,'Timesheet Raw'!$L$4:$L$8000,$A315,'Timesheet Raw'!$C$4:$C$8000,D$3,'Timesheet Raw'!$A$4:$A$8000,"1-Projects"))</f>
        <v>0</v>
      </c>
      <c r="E315" s="341">
        <f>IF($A315="","",SUMIFS('Timesheet Raw'!$P$4:$P$8000,'Timesheet Raw'!$L$4:$L$8000,$A315,'Timesheet Raw'!$C$4:$C$8000,D$3,'Timesheet Raw'!$A$4:$A$8000,"2-Proposals Chargeable")+SUMIFS('Timesheet Raw'!$P$4:$P$8000,'Timesheet Raw'!$L$4:$L$8000,$A315,'Timesheet Raw'!$C$4:$C$8000,D$3,'Timesheet Raw'!$A$4:$A$8000,"3-Proposals Regular"))</f>
        <v>0</v>
      </c>
      <c r="F315" s="341">
        <f>IF($A315="","",SUMIFS('Timesheet Raw'!$P$4:$P$8000,'Timesheet Raw'!$L$4:$L$8000,$A315,'Timesheet Raw'!$C$4:$C$8000,D$3,'Timesheet Raw'!$B$4:$B$8000,'Work Calendar'!$A$26)+SUMIFS('Timesheet Raw'!$P$4:$P$8000,'Timesheet Raw'!$L$4:$L$8000,$A315,'Timesheet Raw'!$C$4:$C$8000,D$3,'Timesheet Raw'!$B$4:$B$8000,'Work Calendar'!$A$27)+SUMIFS('Timesheet Raw'!$P$4:$P$8000,'Timesheet Raw'!$L$4:$L$8000,$A315,'Timesheet Raw'!$C$4:$C$8000,D$3,'Timesheet Raw'!$B$4:$B$8000,'Work Calendar'!$A$28)+SUMIFS('Timesheet Raw'!$P$4:$P$8000,'Timesheet Raw'!$L$4:$L$8000,$A315,'Timesheet Raw'!$C$4:$C$8000,D$3,'Timesheet Raw'!$B$4:$B$8000,'Work Calendar'!$A$29))</f>
        <v>0</v>
      </c>
      <c r="G315" s="341">
        <f t="shared" si="17"/>
        <v>0</v>
      </c>
      <c r="H315" s="395">
        <f>IF($A315="","",SUMIFS('Timesheet Raw'!$K$4:$K$8000,'Timesheet Raw'!$L$4:$L$8000,$A315,'Timesheet Raw'!$C$4:$C$8000,D$3))</f>
        <v>0</v>
      </c>
      <c r="I315" s="345">
        <f>IF($A315="","",SUMIFS('Timesheet Raw'!$P$4:$P$8000,'Timesheet Raw'!$L$4:$L$8000,$A315,'Timesheet Raw'!$C$4:$C$8000,D$3))</f>
        <v>0</v>
      </c>
      <c r="J315" s="375"/>
      <c r="K315" t="str">
        <f>IF($A315="","",IF(J315&lt;&gt;"",J315,IF($A315&gt;'Work Calendar'!$B$17,"No data yet",IF(AND(F315&gt;='Work Calendar'!$B$14,D315+E315+G315&gt;0),"Day off - but worked",IF(F315&gt;='Work Calendar'!$B$14,"Day off",IF(D315+E315+G315&gt;0,IF($C315="Working","Charged","Worked weekend"),IF($C315="Working","Leave (not charged)",$C315)))))))</f>
        <v>No data yet</v>
      </c>
      <c r="L315" s="341">
        <f>IF($A315="","",SUMIFS('Timesheet Raw'!$P$4:$P$8000,'Timesheet Raw'!$L$4:$L$8000,$A315,'Timesheet Raw'!$C$4:$C$8000,L$3,'Timesheet Raw'!$A$4:$A$8000,"1-Projects"))</f>
        <v>0</v>
      </c>
      <c r="M315" s="341">
        <f>IF($A315="","",SUMIFS('Timesheet Raw'!$P$4:$P$8000,'Timesheet Raw'!$L$4:$L$8000,$A315,'Timesheet Raw'!$C$4:$C$8000,L$3,'Timesheet Raw'!$A$4:$A$8000,"2-Proposals Chargeable")+SUMIFS('Timesheet Raw'!$P$4:$P$8000,'Timesheet Raw'!$L$4:$L$8000,$A315,'Timesheet Raw'!$C$4:$C$8000,L$3,'Timesheet Raw'!$A$4:$A$8000,"3-Proposals Regular"))</f>
        <v>0</v>
      </c>
      <c r="N315" s="341">
        <f>IF($A315="","",SUMIFS('Timesheet Raw'!$P$4:$P$8000,'Timesheet Raw'!$L$4:$L$8000,$A315,'Timesheet Raw'!$C$4:$C$8000,L$3,'Timesheet Raw'!$B$4:$B$8000,'Work Calendar'!$A$26)+SUMIFS('Timesheet Raw'!$P$4:$P$8000,'Timesheet Raw'!$L$4:$L$8000,$A315,'Timesheet Raw'!$C$4:$C$8000,L$3,'Timesheet Raw'!$B$4:$B$8000,'Work Calendar'!$A$27)+SUMIFS('Timesheet Raw'!$P$4:$P$8000,'Timesheet Raw'!$L$4:$L$8000,$A315,'Timesheet Raw'!$C$4:$C$8000,L$3,'Timesheet Raw'!$B$4:$B$8000,'Work Calendar'!$A$28)+SUMIFS('Timesheet Raw'!$P$4:$P$8000,'Timesheet Raw'!$L$4:$L$8000,$A315,'Timesheet Raw'!$C$4:$C$8000,L$3,'Timesheet Raw'!$B$4:$B$8000,'Work Calendar'!$A$29))</f>
        <v>0</v>
      </c>
      <c r="O315" s="341">
        <f t="shared" si="18"/>
        <v>0</v>
      </c>
      <c r="P315" s="395">
        <f>IF($A315="","",SUMIFS('Timesheet Raw'!$K$4:$K$8000,'Timesheet Raw'!$L$4:$L$8000,$A315,'Timesheet Raw'!$C$4:$C$8000,L$3))</f>
        <v>0</v>
      </c>
      <c r="Q315" s="345">
        <f>IF($A315="","",SUMIFS('Timesheet Raw'!$P$4:$P$8000,'Timesheet Raw'!$L$4:$L$8000,$A315,'Timesheet Raw'!$C$4:$C$8000,L$3))</f>
        <v>0</v>
      </c>
      <c r="R315" s="375"/>
      <c r="S315" t="str">
        <f>IF($A315="","",IF(R315&lt;&gt;"",R315,IF($A315&gt;'Work Calendar'!$B$17,"No data yet",IF(AND(N315&gt;='Work Calendar'!$B$14,L315+M315+O315&gt;0),"Day off - but worked",IF(N315&gt;='Work Calendar'!$B$14,"Day off",IF(L315+M315+O315&gt;0,IF($C315="Working","Charged","Worked weekend"),IF($C315="Working","Leave (not charged)",$C315)))))))</f>
        <v>No data yet</v>
      </c>
      <c r="T315" s="341">
        <f>IF($A315="","",SUMIFS('Timesheet Raw'!$P$4:$P$8000,'Timesheet Raw'!$L$4:$L$8000,$A315,'Timesheet Raw'!$C$4:$C$8000,T$3,'Timesheet Raw'!$A$4:$A$8000,"1-Projects"))</f>
        <v>0</v>
      </c>
      <c r="U315" s="341">
        <f>IF($A315="","",SUMIFS('Timesheet Raw'!$P$4:$P$8000,'Timesheet Raw'!$L$4:$L$8000,$A315,'Timesheet Raw'!$C$4:$C$8000,T$3,'Timesheet Raw'!$A$4:$A$8000,"2-Proposals Chargeable")+SUMIFS('Timesheet Raw'!$P$4:$P$8000,'Timesheet Raw'!$L$4:$L$8000,$A315,'Timesheet Raw'!$C$4:$C$8000,T$3,'Timesheet Raw'!$A$4:$A$8000,"3-Proposals Regular"))</f>
        <v>0</v>
      </c>
      <c r="V315" s="341">
        <f>IF($A315="","",SUMIFS('Timesheet Raw'!$P$4:$P$8000,'Timesheet Raw'!$L$4:$L$8000,$A315,'Timesheet Raw'!$C$4:$C$8000,T$3,'Timesheet Raw'!$B$4:$B$8000,'Work Calendar'!$A$26)+SUMIFS('Timesheet Raw'!$P$4:$P$8000,'Timesheet Raw'!$L$4:$L$8000,$A315,'Timesheet Raw'!$C$4:$C$8000,T$3,'Timesheet Raw'!$B$4:$B$8000,'Work Calendar'!$A$27)+SUMIFS('Timesheet Raw'!$P$4:$P$8000,'Timesheet Raw'!$L$4:$L$8000,$A315,'Timesheet Raw'!$C$4:$C$8000,T$3,'Timesheet Raw'!$B$4:$B$8000,'Work Calendar'!$A$28)+SUMIFS('Timesheet Raw'!$P$4:$P$8000,'Timesheet Raw'!$L$4:$L$8000,$A315,'Timesheet Raw'!$C$4:$C$8000,T$3,'Timesheet Raw'!$B$4:$B$8000,'Work Calendar'!$A$29))</f>
        <v>0</v>
      </c>
      <c r="W315" s="341">
        <f t="shared" si="19"/>
        <v>0</v>
      </c>
      <c r="X315" s="395">
        <f>IF($A315="","",SUMIFS('Timesheet Raw'!$K$4:$K$8000,'Timesheet Raw'!$L$4:$L$8000,$A315,'Timesheet Raw'!$C$4:$C$8000,T$3))</f>
        <v>0</v>
      </c>
      <c r="Y315" s="345">
        <f>IF($A315="","",SUMIFS('Timesheet Raw'!$P$4:$P$8000,'Timesheet Raw'!$L$4:$L$8000,$A315,'Timesheet Raw'!$C$4:$C$8000,T$3))</f>
        <v>0</v>
      </c>
      <c r="Z315" s="375"/>
      <c r="AA315" t="str">
        <f>IF($A315="","",IF(Z315&lt;&gt;"",Z315,IF($A315&gt;'Work Calendar'!$B$17,"No data yet",IF(AND(V315&gt;='Work Calendar'!$B$14,T315+U315+W315&gt;0),"Day off - but worked",IF(V315&gt;='Work Calendar'!$B$14,"Day off",IF(T315+U315+W315&gt;0,IF($C315="Working","Charged","Worked weekend"),IF($C315="Working","Leave (not charged)",$C315)))))))</f>
        <v>No data yet</v>
      </c>
    </row>
    <row r="316" spans="1:27" x14ac:dyDescent="0.3">
      <c r="A316" s="371">
        <f>IF($A315="","",IF($A315+1&gt;'Work Calendar'!$B$16,"",$A315+1))</f>
        <v>46334</v>
      </c>
      <c r="B316" t="str">
        <f t="shared" si="16"/>
        <v>Sun</v>
      </c>
      <c r="C316" t="str" cm="1">
        <f t="array" ref="C316">IF($A316="","",IF(COUNTIF('Work Calendar'!$E$6:$E$200,$A316)&gt;0,"Holiday",IF(INDEX('Work Calendar'!$C$6:$C$12,WEEKDAY($A316,1))=1,"Working","Weekend")))</f>
        <v>Working</v>
      </c>
      <c r="D316" s="341">
        <f>IF($A316="","",SUMIFS('Timesheet Raw'!$P$4:$P$8000,'Timesheet Raw'!$L$4:$L$8000,$A316,'Timesheet Raw'!$C$4:$C$8000,D$3,'Timesheet Raw'!$A$4:$A$8000,"1-Projects"))</f>
        <v>0</v>
      </c>
      <c r="E316" s="341">
        <f>IF($A316="","",SUMIFS('Timesheet Raw'!$P$4:$P$8000,'Timesheet Raw'!$L$4:$L$8000,$A316,'Timesheet Raw'!$C$4:$C$8000,D$3,'Timesheet Raw'!$A$4:$A$8000,"2-Proposals Chargeable")+SUMIFS('Timesheet Raw'!$P$4:$P$8000,'Timesheet Raw'!$L$4:$L$8000,$A316,'Timesheet Raw'!$C$4:$C$8000,D$3,'Timesheet Raw'!$A$4:$A$8000,"3-Proposals Regular"))</f>
        <v>0</v>
      </c>
      <c r="F316" s="341">
        <f>IF($A316="","",SUMIFS('Timesheet Raw'!$P$4:$P$8000,'Timesheet Raw'!$L$4:$L$8000,$A316,'Timesheet Raw'!$C$4:$C$8000,D$3,'Timesheet Raw'!$B$4:$B$8000,'Work Calendar'!$A$26)+SUMIFS('Timesheet Raw'!$P$4:$P$8000,'Timesheet Raw'!$L$4:$L$8000,$A316,'Timesheet Raw'!$C$4:$C$8000,D$3,'Timesheet Raw'!$B$4:$B$8000,'Work Calendar'!$A$27)+SUMIFS('Timesheet Raw'!$P$4:$P$8000,'Timesheet Raw'!$L$4:$L$8000,$A316,'Timesheet Raw'!$C$4:$C$8000,D$3,'Timesheet Raw'!$B$4:$B$8000,'Work Calendar'!$A$28)+SUMIFS('Timesheet Raw'!$P$4:$P$8000,'Timesheet Raw'!$L$4:$L$8000,$A316,'Timesheet Raw'!$C$4:$C$8000,D$3,'Timesheet Raw'!$B$4:$B$8000,'Work Calendar'!$A$29))</f>
        <v>0</v>
      </c>
      <c r="G316" s="341">
        <f t="shared" si="17"/>
        <v>0</v>
      </c>
      <c r="H316" s="395">
        <f>IF($A316="","",SUMIFS('Timesheet Raw'!$K$4:$K$8000,'Timesheet Raw'!$L$4:$L$8000,$A316,'Timesheet Raw'!$C$4:$C$8000,D$3))</f>
        <v>0</v>
      </c>
      <c r="I316" s="345">
        <f>IF($A316="","",SUMIFS('Timesheet Raw'!$P$4:$P$8000,'Timesheet Raw'!$L$4:$L$8000,$A316,'Timesheet Raw'!$C$4:$C$8000,D$3))</f>
        <v>0</v>
      </c>
      <c r="J316" s="375"/>
      <c r="K316" t="str">
        <f>IF($A316="","",IF(J316&lt;&gt;"",J316,IF($A316&gt;'Work Calendar'!$B$17,"No data yet",IF(AND(F316&gt;='Work Calendar'!$B$14,D316+E316+G316&gt;0),"Day off - but worked",IF(F316&gt;='Work Calendar'!$B$14,"Day off",IF(D316+E316+G316&gt;0,IF($C316="Working","Charged","Worked weekend"),IF($C316="Working","Leave (not charged)",$C316)))))))</f>
        <v>No data yet</v>
      </c>
      <c r="L316" s="341">
        <f>IF($A316="","",SUMIFS('Timesheet Raw'!$P$4:$P$8000,'Timesheet Raw'!$L$4:$L$8000,$A316,'Timesheet Raw'!$C$4:$C$8000,L$3,'Timesheet Raw'!$A$4:$A$8000,"1-Projects"))</f>
        <v>0</v>
      </c>
      <c r="M316" s="341">
        <f>IF($A316="","",SUMIFS('Timesheet Raw'!$P$4:$P$8000,'Timesheet Raw'!$L$4:$L$8000,$A316,'Timesheet Raw'!$C$4:$C$8000,L$3,'Timesheet Raw'!$A$4:$A$8000,"2-Proposals Chargeable")+SUMIFS('Timesheet Raw'!$P$4:$P$8000,'Timesheet Raw'!$L$4:$L$8000,$A316,'Timesheet Raw'!$C$4:$C$8000,L$3,'Timesheet Raw'!$A$4:$A$8000,"3-Proposals Regular"))</f>
        <v>0</v>
      </c>
      <c r="N316" s="341">
        <f>IF($A316="","",SUMIFS('Timesheet Raw'!$P$4:$P$8000,'Timesheet Raw'!$L$4:$L$8000,$A316,'Timesheet Raw'!$C$4:$C$8000,L$3,'Timesheet Raw'!$B$4:$B$8000,'Work Calendar'!$A$26)+SUMIFS('Timesheet Raw'!$P$4:$P$8000,'Timesheet Raw'!$L$4:$L$8000,$A316,'Timesheet Raw'!$C$4:$C$8000,L$3,'Timesheet Raw'!$B$4:$B$8000,'Work Calendar'!$A$27)+SUMIFS('Timesheet Raw'!$P$4:$P$8000,'Timesheet Raw'!$L$4:$L$8000,$A316,'Timesheet Raw'!$C$4:$C$8000,L$3,'Timesheet Raw'!$B$4:$B$8000,'Work Calendar'!$A$28)+SUMIFS('Timesheet Raw'!$P$4:$P$8000,'Timesheet Raw'!$L$4:$L$8000,$A316,'Timesheet Raw'!$C$4:$C$8000,L$3,'Timesheet Raw'!$B$4:$B$8000,'Work Calendar'!$A$29))</f>
        <v>0</v>
      </c>
      <c r="O316" s="341">
        <f t="shared" si="18"/>
        <v>0</v>
      </c>
      <c r="P316" s="395">
        <f>IF($A316="","",SUMIFS('Timesheet Raw'!$K$4:$K$8000,'Timesheet Raw'!$L$4:$L$8000,$A316,'Timesheet Raw'!$C$4:$C$8000,L$3))</f>
        <v>0</v>
      </c>
      <c r="Q316" s="345">
        <f>IF($A316="","",SUMIFS('Timesheet Raw'!$P$4:$P$8000,'Timesheet Raw'!$L$4:$L$8000,$A316,'Timesheet Raw'!$C$4:$C$8000,L$3))</f>
        <v>0</v>
      </c>
      <c r="R316" s="375"/>
      <c r="S316" t="str">
        <f>IF($A316="","",IF(R316&lt;&gt;"",R316,IF($A316&gt;'Work Calendar'!$B$17,"No data yet",IF(AND(N316&gt;='Work Calendar'!$B$14,L316+M316+O316&gt;0),"Day off - but worked",IF(N316&gt;='Work Calendar'!$B$14,"Day off",IF(L316+M316+O316&gt;0,IF($C316="Working","Charged","Worked weekend"),IF($C316="Working","Leave (not charged)",$C316)))))))</f>
        <v>No data yet</v>
      </c>
      <c r="T316" s="341">
        <f>IF($A316="","",SUMIFS('Timesheet Raw'!$P$4:$P$8000,'Timesheet Raw'!$L$4:$L$8000,$A316,'Timesheet Raw'!$C$4:$C$8000,T$3,'Timesheet Raw'!$A$4:$A$8000,"1-Projects"))</f>
        <v>0</v>
      </c>
      <c r="U316" s="341">
        <f>IF($A316="","",SUMIFS('Timesheet Raw'!$P$4:$P$8000,'Timesheet Raw'!$L$4:$L$8000,$A316,'Timesheet Raw'!$C$4:$C$8000,T$3,'Timesheet Raw'!$A$4:$A$8000,"2-Proposals Chargeable")+SUMIFS('Timesheet Raw'!$P$4:$P$8000,'Timesheet Raw'!$L$4:$L$8000,$A316,'Timesheet Raw'!$C$4:$C$8000,T$3,'Timesheet Raw'!$A$4:$A$8000,"3-Proposals Regular"))</f>
        <v>0</v>
      </c>
      <c r="V316" s="341">
        <f>IF($A316="","",SUMIFS('Timesheet Raw'!$P$4:$P$8000,'Timesheet Raw'!$L$4:$L$8000,$A316,'Timesheet Raw'!$C$4:$C$8000,T$3,'Timesheet Raw'!$B$4:$B$8000,'Work Calendar'!$A$26)+SUMIFS('Timesheet Raw'!$P$4:$P$8000,'Timesheet Raw'!$L$4:$L$8000,$A316,'Timesheet Raw'!$C$4:$C$8000,T$3,'Timesheet Raw'!$B$4:$B$8000,'Work Calendar'!$A$27)+SUMIFS('Timesheet Raw'!$P$4:$P$8000,'Timesheet Raw'!$L$4:$L$8000,$A316,'Timesheet Raw'!$C$4:$C$8000,T$3,'Timesheet Raw'!$B$4:$B$8000,'Work Calendar'!$A$28)+SUMIFS('Timesheet Raw'!$P$4:$P$8000,'Timesheet Raw'!$L$4:$L$8000,$A316,'Timesheet Raw'!$C$4:$C$8000,T$3,'Timesheet Raw'!$B$4:$B$8000,'Work Calendar'!$A$29))</f>
        <v>0</v>
      </c>
      <c r="W316" s="341">
        <f t="shared" si="19"/>
        <v>0</v>
      </c>
      <c r="X316" s="395">
        <f>IF($A316="","",SUMIFS('Timesheet Raw'!$K$4:$K$8000,'Timesheet Raw'!$L$4:$L$8000,$A316,'Timesheet Raw'!$C$4:$C$8000,T$3))</f>
        <v>0</v>
      </c>
      <c r="Y316" s="345">
        <f>IF($A316="","",SUMIFS('Timesheet Raw'!$P$4:$P$8000,'Timesheet Raw'!$L$4:$L$8000,$A316,'Timesheet Raw'!$C$4:$C$8000,T$3))</f>
        <v>0</v>
      </c>
      <c r="Z316" s="375"/>
      <c r="AA316" t="str">
        <f>IF($A316="","",IF(Z316&lt;&gt;"",Z316,IF($A316&gt;'Work Calendar'!$B$17,"No data yet",IF(AND(V316&gt;='Work Calendar'!$B$14,T316+U316+W316&gt;0),"Day off - but worked",IF(V316&gt;='Work Calendar'!$B$14,"Day off",IF(T316+U316+W316&gt;0,IF($C316="Working","Charged","Worked weekend"),IF($C316="Working","Leave (not charged)",$C316)))))))</f>
        <v>No data yet</v>
      </c>
    </row>
    <row r="317" spans="1:27" x14ac:dyDescent="0.3">
      <c r="A317" s="371">
        <f>IF($A316="","",IF($A316+1&gt;'Work Calendar'!$B$16,"",$A316+1))</f>
        <v>46335</v>
      </c>
      <c r="B317" t="str">
        <f t="shared" si="16"/>
        <v>Mon</v>
      </c>
      <c r="C317" t="str" cm="1">
        <f t="array" ref="C317">IF($A317="","",IF(COUNTIF('Work Calendar'!$E$6:$E$200,$A317)&gt;0,"Holiday",IF(INDEX('Work Calendar'!$C$6:$C$12,WEEKDAY($A317,1))=1,"Working","Weekend")))</f>
        <v>Working</v>
      </c>
      <c r="D317" s="341">
        <f>IF($A317="","",SUMIFS('Timesheet Raw'!$P$4:$P$8000,'Timesheet Raw'!$L$4:$L$8000,$A317,'Timesheet Raw'!$C$4:$C$8000,D$3,'Timesheet Raw'!$A$4:$A$8000,"1-Projects"))</f>
        <v>0</v>
      </c>
      <c r="E317" s="341">
        <f>IF($A317="","",SUMIFS('Timesheet Raw'!$P$4:$P$8000,'Timesheet Raw'!$L$4:$L$8000,$A317,'Timesheet Raw'!$C$4:$C$8000,D$3,'Timesheet Raw'!$A$4:$A$8000,"2-Proposals Chargeable")+SUMIFS('Timesheet Raw'!$P$4:$P$8000,'Timesheet Raw'!$L$4:$L$8000,$A317,'Timesheet Raw'!$C$4:$C$8000,D$3,'Timesheet Raw'!$A$4:$A$8000,"3-Proposals Regular"))</f>
        <v>0</v>
      </c>
      <c r="F317" s="341">
        <f>IF($A317="","",SUMIFS('Timesheet Raw'!$P$4:$P$8000,'Timesheet Raw'!$L$4:$L$8000,$A317,'Timesheet Raw'!$C$4:$C$8000,D$3,'Timesheet Raw'!$B$4:$B$8000,'Work Calendar'!$A$26)+SUMIFS('Timesheet Raw'!$P$4:$P$8000,'Timesheet Raw'!$L$4:$L$8000,$A317,'Timesheet Raw'!$C$4:$C$8000,D$3,'Timesheet Raw'!$B$4:$B$8000,'Work Calendar'!$A$27)+SUMIFS('Timesheet Raw'!$P$4:$P$8000,'Timesheet Raw'!$L$4:$L$8000,$A317,'Timesheet Raw'!$C$4:$C$8000,D$3,'Timesheet Raw'!$B$4:$B$8000,'Work Calendar'!$A$28)+SUMIFS('Timesheet Raw'!$P$4:$P$8000,'Timesheet Raw'!$L$4:$L$8000,$A317,'Timesheet Raw'!$C$4:$C$8000,D$3,'Timesheet Raw'!$B$4:$B$8000,'Work Calendar'!$A$29))</f>
        <v>0</v>
      </c>
      <c r="G317" s="341">
        <f t="shared" si="17"/>
        <v>0</v>
      </c>
      <c r="H317" s="395">
        <f>IF($A317="","",SUMIFS('Timesheet Raw'!$K$4:$K$8000,'Timesheet Raw'!$L$4:$L$8000,$A317,'Timesheet Raw'!$C$4:$C$8000,D$3))</f>
        <v>0</v>
      </c>
      <c r="I317" s="345">
        <f>IF($A317="","",SUMIFS('Timesheet Raw'!$P$4:$P$8000,'Timesheet Raw'!$L$4:$L$8000,$A317,'Timesheet Raw'!$C$4:$C$8000,D$3))</f>
        <v>0</v>
      </c>
      <c r="J317" s="375"/>
      <c r="K317" t="str">
        <f>IF($A317="","",IF(J317&lt;&gt;"",J317,IF($A317&gt;'Work Calendar'!$B$17,"No data yet",IF(AND(F317&gt;='Work Calendar'!$B$14,D317+E317+G317&gt;0),"Day off - but worked",IF(F317&gt;='Work Calendar'!$B$14,"Day off",IF(D317+E317+G317&gt;0,IF($C317="Working","Charged","Worked weekend"),IF($C317="Working","Leave (not charged)",$C317)))))))</f>
        <v>No data yet</v>
      </c>
      <c r="L317" s="341">
        <f>IF($A317="","",SUMIFS('Timesheet Raw'!$P$4:$P$8000,'Timesheet Raw'!$L$4:$L$8000,$A317,'Timesheet Raw'!$C$4:$C$8000,L$3,'Timesheet Raw'!$A$4:$A$8000,"1-Projects"))</f>
        <v>0</v>
      </c>
      <c r="M317" s="341">
        <f>IF($A317="","",SUMIFS('Timesheet Raw'!$P$4:$P$8000,'Timesheet Raw'!$L$4:$L$8000,$A317,'Timesheet Raw'!$C$4:$C$8000,L$3,'Timesheet Raw'!$A$4:$A$8000,"2-Proposals Chargeable")+SUMIFS('Timesheet Raw'!$P$4:$P$8000,'Timesheet Raw'!$L$4:$L$8000,$A317,'Timesheet Raw'!$C$4:$C$8000,L$3,'Timesheet Raw'!$A$4:$A$8000,"3-Proposals Regular"))</f>
        <v>0</v>
      </c>
      <c r="N317" s="341">
        <f>IF($A317="","",SUMIFS('Timesheet Raw'!$P$4:$P$8000,'Timesheet Raw'!$L$4:$L$8000,$A317,'Timesheet Raw'!$C$4:$C$8000,L$3,'Timesheet Raw'!$B$4:$B$8000,'Work Calendar'!$A$26)+SUMIFS('Timesheet Raw'!$P$4:$P$8000,'Timesheet Raw'!$L$4:$L$8000,$A317,'Timesheet Raw'!$C$4:$C$8000,L$3,'Timesheet Raw'!$B$4:$B$8000,'Work Calendar'!$A$27)+SUMIFS('Timesheet Raw'!$P$4:$P$8000,'Timesheet Raw'!$L$4:$L$8000,$A317,'Timesheet Raw'!$C$4:$C$8000,L$3,'Timesheet Raw'!$B$4:$B$8000,'Work Calendar'!$A$28)+SUMIFS('Timesheet Raw'!$P$4:$P$8000,'Timesheet Raw'!$L$4:$L$8000,$A317,'Timesheet Raw'!$C$4:$C$8000,L$3,'Timesheet Raw'!$B$4:$B$8000,'Work Calendar'!$A$29))</f>
        <v>0</v>
      </c>
      <c r="O317" s="341">
        <f t="shared" si="18"/>
        <v>0</v>
      </c>
      <c r="P317" s="395">
        <f>IF($A317="","",SUMIFS('Timesheet Raw'!$K$4:$K$8000,'Timesheet Raw'!$L$4:$L$8000,$A317,'Timesheet Raw'!$C$4:$C$8000,L$3))</f>
        <v>0</v>
      </c>
      <c r="Q317" s="345">
        <f>IF($A317="","",SUMIFS('Timesheet Raw'!$P$4:$P$8000,'Timesheet Raw'!$L$4:$L$8000,$A317,'Timesheet Raw'!$C$4:$C$8000,L$3))</f>
        <v>0</v>
      </c>
      <c r="R317" s="375"/>
      <c r="S317" t="str">
        <f>IF($A317="","",IF(R317&lt;&gt;"",R317,IF($A317&gt;'Work Calendar'!$B$17,"No data yet",IF(AND(N317&gt;='Work Calendar'!$B$14,L317+M317+O317&gt;0),"Day off - but worked",IF(N317&gt;='Work Calendar'!$B$14,"Day off",IF(L317+M317+O317&gt;0,IF($C317="Working","Charged","Worked weekend"),IF($C317="Working","Leave (not charged)",$C317)))))))</f>
        <v>No data yet</v>
      </c>
      <c r="T317" s="341">
        <f>IF($A317="","",SUMIFS('Timesheet Raw'!$P$4:$P$8000,'Timesheet Raw'!$L$4:$L$8000,$A317,'Timesheet Raw'!$C$4:$C$8000,T$3,'Timesheet Raw'!$A$4:$A$8000,"1-Projects"))</f>
        <v>0</v>
      </c>
      <c r="U317" s="341">
        <f>IF($A317="","",SUMIFS('Timesheet Raw'!$P$4:$P$8000,'Timesheet Raw'!$L$4:$L$8000,$A317,'Timesheet Raw'!$C$4:$C$8000,T$3,'Timesheet Raw'!$A$4:$A$8000,"2-Proposals Chargeable")+SUMIFS('Timesheet Raw'!$P$4:$P$8000,'Timesheet Raw'!$L$4:$L$8000,$A317,'Timesheet Raw'!$C$4:$C$8000,T$3,'Timesheet Raw'!$A$4:$A$8000,"3-Proposals Regular"))</f>
        <v>0</v>
      </c>
      <c r="V317" s="341">
        <f>IF($A317="","",SUMIFS('Timesheet Raw'!$P$4:$P$8000,'Timesheet Raw'!$L$4:$L$8000,$A317,'Timesheet Raw'!$C$4:$C$8000,T$3,'Timesheet Raw'!$B$4:$B$8000,'Work Calendar'!$A$26)+SUMIFS('Timesheet Raw'!$P$4:$P$8000,'Timesheet Raw'!$L$4:$L$8000,$A317,'Timesheet Raw'!$C$4:$C$8000,T$3,'Timesheet Raw'!$B$4:$B$8000,'Work Calendar'!$A$27)+SUMIFS('Timesheet Raw'!$P$4:$P$8000,'Timesheet Raw'!$L$4:$L$8000,$A317,'Timesheet Raw'!$C$4:$C$8000,T$3,'Timesheet Raw'!$B$4:$B$8000,'Work Calendar'!$A$28)+SUMIFS('Timesheet Raw'!$P$4:$P$8000,'Timesheet Raw'!$L$4:$L$8000,$A317,'Timesheet Raw'!$C$4:$C$8000,T$3,'Timesheet Raw'!$B$4:$B$8000,'Work Calendar'!$A$29))</f>
        <v>0</v>
      </c>
      <c r="W317" s="341">
        <f t="shared" si="19"/>
        <v>0</v>
      </c>
      <c r="X317" s="395">
        <f>IF($A317="","",SUMIFS('Timesheet Raw'!$K$4:$K$8000,'Timesheet Raw'!$L$4:$L$8000,$A317,'Timesheet Raw'!$C$4:$C$8000,T$3))</f>
        <v>0</v>
      </c>
      <c r="Y317" s="345">
        <f>IF($A317="","",SUMIFS('Timesheet Raw'!$P$4:$P$8000,'Timesheet Raw'!$L$4:$L$8000,$A317,'Timesheet Raw'!$C$4:$C$8000,T$3))</f>
        <v>0</v>
      </c>
      <c r="Z317" s="375"/>
      <c r="AA317" t="str">
        <f>IF($A317="","",IF(Z317&lt;&gt;"",Z317,IF($A317&gt;'Work Calendar'!$B$17,"No data yet",IF(AND(V317&gt;='Work Calendar'!$B$14,T317+U317+W317&gt;0),"Day off - but worked",IF(V317&gt;='Work Calendar'!$B$14,"Day off",IF(T317+U317+W317&gt;0,IF($C317="Working","Charged","Worked weekend"),IF($C317="Working","Leave (not charged)",$C317)))))))</f>
        <v>No data yet</v>
      </c>
    </row>
    <row r="318" spans="1:27" x14ac:dyDescent="0.3">
      <c r="A318" s="371">
        <f>IF($A317="","",IF($A317+1&gt;'Work Calendar'!$B$16,"",$A317+1))</f>
        <v>46336</v>
      </c>
      <c r="B318" t="str">
        <f t="shared" si="16"/>
        <v>Tue</v>
      </c>
      <c r="C318" t="str" cm="1">
        <f t="array" ref="C318">IF($A318="","",IF(COUNTIF('Work Calendar'!$E$6:$E$200,$A318)&gt;0,"Holiday",IF(INDEX('Work Calendar'!$C$6:$C$12,WEEKDAY($A318,1))=1,"Working","Weekend")))</f>
        <v>Working</v>
      </c>
      <c r="D318" s="341">
        <f>IF($A318="","",SUMIFS('Timesheet Raw'!$P$4:$P$8000,'Timesheet Raw'!$L$4:$L$8000,$A318,'Timesheet Raw'!$C$4:$C$8000,D$3,'Timesheet Raw'!$A$4:$A$8000,"1-Projects"))</f>
        <v>0</v>
      </c>
      <c r="E318" s="341">
        <f>IF($A318="","",SUMIFS('Timesheet Raw'!$P$4:$P$8000,'Timesheet Raw'!$L$4:$L$8000,$A318,'Timesheet Raw'!$C$4:$C$8000,D$3,'Timesheet Raw'!$A$4:$A$8000,"2-Proposals Chargeable")+SUMIFS('Timesheet Raw'!$P$4:$P$8000,'Timesheet Raw'!$L$4:$L$8000,$A318,'Timesheet Raw'!$C$4:$C$8000,D$3,'Timesheet Raw'!$A$4:$A$8000,"3-Proposals Regular"))</f>
        <v>0</v>
      </c>
      <c r="F318" s="341">
        <f>IF($A318="","",SUMIFS('Timesheet Raw'!$P$4:$P$8000,'Timesheet Raw'!$L$4:$L$8000,$A318,'Timesheet Raw'!$C$4:$C$8000,D$3,'Timesheet Raw'!$B$4:$B$8000,'Work Calendar'!$A$26)+SUMIFS('Timesheet Raw'!$P$4:$P$8000,'Timesheet Raw'!$L$4:$L$8000,$A318,'Timesheet Raw'!$C$4:$C$8000,D$3,'Timesheet Raw'!$B$4:$B$8000,'Work Calendar'!$A$27)+SUMIFS('Timesheet Raw'!$P$4:$P$8000,'Timesheet Raw'!$L$4:$L$8000,$A318,'Timesheet Raw'!$C$4:$C$8000,D$3,'Timesheet Raw'!$B$4:$B$8000,'Work Calendar'!$A$28)+SUMIFS('Timesheet Raw'!$P$4:$P$8000,'Timesheet Raw'!$L$4:$L$8000,$A318,'Timesheet Raw'!$C$4:$C$8000,D$3,'Timesheet Raw'!$B$4:$B$8000,'Work Calendar'!$A$29))</f>
        <v>0</v>
      </c>
      <c r="G318" s="341">
        <f t="shared" si="17"/>
        <v>0</v>
      </c>
      <c r="H318" s="395">
        <f>IF($A318="","",SUMIFS('Timesheet Raw'!$K$4:$K$8000,'Timesheet Raw'!$L$4:$L$8000,$A318,'Timesheet Raw'!$C$4:$C$8000,D$3))</f>
        <v>0</v>
      </c>
      <c r="I318" s="345">
        <f>IF($A318="","",SUMIFS('Timesheet Raw'!$P$4:$P$8000,'Timesheet Raw'!$L$4:$L$8000,$A318,'Timesheet Raw'!$C$4:$C$8000,D$3))</f>
        <v>0</v>
      </c>
      <c r="J318" s="375"/>
      <c r="K318" t="str">
        <f>IF($A318="","",IF(J318&lt;&gt;"",J318,IF($A318&gt;'Work Calendar'!$B$17,"No data yet",IF(AND(F318&gt;='Work Calendar'!$B$14,D318+E318+G318&gt;0),"Day off - but worked",IF(F318&gt;='Work Calendar'!$B$14,"Day off",IF(D318+E318+G318&gt;0,IF($C318="Working","Charged","Worked weekend"),IF($C318="Working","Leave (not charged)",$C318)))))))</f>
        <v>No data yet</v>
      </c>
      <c r="L318" s="341">
        <f>IF($A318="","",SUMIFS('Timesheet Raw'!$P$4:$P$8000,'Timesheet Raw'!$L$4:$L$8000,$A318,'Timesheet Raw'!$C$4:$C$8000,L$3,'Timesheet Raw'!$A$4:$A$8000,"1-Projects"))</f>
        <v>0</v>
      </c>
      <c r="M318" s="341">
        <f>IF($A318="","",SUMIFS('Timesheet Raw'!$P$4:$P$8000,'Timesheet Raw'!$L$4:$L$8000,$A318,'Timesheet Raw'!$C$4:$C$8000,L$3,'Timesheet Raw'!$A$4:$A$8000,"2-Proposals Chargeable")+SUMIFS('Timesheet Raw'!$P$4:$P$8000,'Timesheet Raw'!$L$4:$L$8000,$A318,'Timesheet Raw'!$C$4:$C$8000,L$3,'Timesheet Raw'!$A$4:$A$8000,"3-Proposals Regular"))</f>
        <v>0</v>
      </c>
      <c r="N318" s="341">
        <f>IF($A318="","",SUMIFS('Timesheet Raw'!$P$4:$P$8000,'Timesheet Raw'!$L$4:$L$8000,$A318,'Timesheet Raw'!$C$4:$C$8000,L$3,'Timesheet Raw'!$B$4:$B$8000,'Work Calendar'!$A$26)+SUMIFS('Timesheet Raw'!$P$4:$P$8000,'Timesheet Raw'!$L$4:$L$8000,$A318,'Timesheet Raw'!$C$4:$C$8000,L$3,'Timesheet Raw'!$B$4:$B$8000,'Work Calendar'!$A$27)+SUMIFS('Timesheet Raw'!$P$4:$P$8000,'Timesheet Raw'!$L$4:$L$8000,$A318,'Timesheet Raw'!$C$4:$C$8000,L$3,'Timesheet Raw'!$B$4:$B$8000,'Work Calendar'!$A$28)+SUMIFS('Timesheet Raw'!$P$4:$P$8000,'Timesheet Raw'!$L$4:$L$8000,$A318,'Timesheet Raw'!$C$4:$C$8000,L$3,'Timesheet Raw'!$B$4:$B$8000,'Work Calendar'!$A$29))</f>
        <v>0</v>
      </c>
      <c r="O318" s="341">
        <f t="shared" si="18"/>
        <v>0</v>
      </c>
      <c r="P318" s="395">
        <f>IF($A318="","",SUMIFS('Timesheet Raw'!$K$4:$K$8000,'Timesheet Raw'!$L$4:$L$8000,$A318,'Timesheet Raw'!$C$4:$C$8000,L$3))</f>
        <v>0</v>
      </c>
      <c r="Q318" s="345">
        <f>IF($A318="","",SUMIFS('Timesheet Raw'!$P$4:$P$8000,'Timesheet Raw'!$L$4:$L$8000,$A318,'Timesheet Raw'!$C$4:$C$8000,L$3))</f>
        <v>0</v>
      </c>
      <c r="R318" s="375"/>
      <c r="S318" t="str">
        <f>IF($A318="","",IF(R318&lt;&gt;"",R318,IF($A318&gt;'Work Calendar'!$B$17,"No data yet",IF(AND(N318&gt;='Work Calendar'!$B$14,L318+M318+O318&gt;0),"Day off - but worked",IF(N318&gt;='Work Calendar'!$B$14,"Day off",IF(L318+M318+O318&gt;0,IF($C318="Working","Charged","Worked weekend"),IF($C318="Working","Leave (not charged)",$C318)))))))</f>
        <v>No data yet</v>
      </c>
      <c r="T318" s="341">
        <f>IF($A318="","",SUMIFS('Timesheet Raw'!$P$4:$P$8000,'Timesheet Raw'!$L$4:$L$8000,$A318,'Timesheet Raw'!$C$4:$C$8000,T$3,'Timesheet Raw'!$A$4:$A$8000,"1-Projects"))</f>
        <v>0</v>
      </c>
      <c r="U318" s="341">
        <f>IF($A318="","",SUMIFS('Timesheet Raw'!$P$4:$P$8000,'Timesheet Raw'!$L$4:$L$8000,$A318,'Timesheet Raw'!$C$4:$C$8000,T$3,'Timesheet Raw'!$A$4:$A$8000,"2-Proposals Chargeable")+SUMIFS('Timesheet Raw'!$P$4:$P$8000,'Timesheet Raw'!$L$4:$L$8000,$A318,'Timesheet Raw'!$C$4:$C$8000,T$3,'Timesheet Raw'!$A$4:$A$8000,"3-Proposals Regular"))</f>
        <v>0</v>
      </c>
      <c r="V318" s="341">
        <f>IF($A318="","",SUMIFS('Timesheet Raw'!$P$4:$P$8000,'Timesheet Raw'!$L$4:$L$8000,$A318,'Timesheet Raw'!$C$4:$C$8000,T$3,'Timesheet Raw'!$B$4:$B$8000,'Work Calendar'!$A$26)+SUMIFS('Timesheet Raw'!$P$4:$P$8000,'Timesheet Raw'!$L$4:$L$8000,$A318,'Timesheet Raw'!$C$4:$C$8000,T$3,'Timesheet Raw'!$B$4:$B$8000,'Work Calendar'!$A$27)+SUMIFS('Timesheet Raw'!$P$4:$P$8000,'Timesheet Raw'!$L$4:$L$8000,$A318,'Timesheet Raw'!$C$4:$C$8000,T$3,'Timesheet Raw'!$B$4:$B$8000,'Work Calendar'!$A$28)+SUMIFS('Timesheet Raw'!$P$4:$P$8000,'Timesheet Raw'!$L$4:$L$8000,$A318,'Timesheet Raw'!$C$4:$C$8000,T$3,'Timesheet Raw'!$B$4:$B$8000,'Work Calendar'!$A$29))</f>
        <v>0</v>
      </c>
      <c r="W318" s="341">
        <f t="shared" si="19"/>
        <v>0</v>
      </c>
      <c r="X318" s="395">
        <f>IF($A318="","",SUMIFS('Timesheet Raw'!$K$4:$K$8000,'Timesheet Raw'!$L$4:$L$8000,$A318,'Timesheet Raw'!$C$4:$C$8000,T$3))</f>
        <v>0</v>
      </c>
      <c r="Y318" s="345">
        <f>IF($A318="","",SUMIFS('Timesheet Raw'!$P$4:$P$8000,'Timesheet Raw'!$L$4:$L$8000,$A318,'Timesheet Raw'!$C$4:$C$8000,T$3))</f>
        <v>0</v>
      </c>
      <c r="Z318" s="375"/>
      <c r="AA318" t="str">
        <f>IF($A318="","",IF(Z318&lt;&gt;"",Z318,IF($A318&gt;'Work Calendar'!$B$17,"No data yet",IF(AND(V318&gt;='Work Calendar'!$B$14,T318+U318+W318&gt;0),"Day off - but worked",IF(V318&gt;='Work Calendar'!$B$14,"Day off",IF(T318+U318+W318&gt;0,IF($C318="Working","Charged","Worked weekend"),IF($C318="Working","Leave (not charged)",$C318)))))))</f>
        <v>No data yet</v>
      </c>
    </row>
    <row r="319" spans="1:27" x14ac:dyDescent="0.3">
      <c r="A319" s="371">
        <f>IF($A318="","",IF($A318+1&gt;'Work Calendar'!$B$16,"",$A318+1))</f>
        <v>46337</v>
      </c>
      <c r="B319" t="str">
        <f t="shared" si="16"/>
        <v>Wed</v>
      </c>
      <c r="C319" t="str" cm="1">
        <f t="array" ref="C319">IF($A319="","",IF(COUNTIF('Work Calendar'!$E$6:$E$200,$A319)&gt;0,"Holiday",IF(INDEX('Work Calendar'!$C$6:$C$12,WEEKDAY($A319,1))=1,"Working","Weekend")))</f>
        <v>Working</v>
      </c>
      <c r="D319" s="341">
        <f>IF($A319="","",SUMIFS('Timesheet Raw'!$P$4:$P$8000,'Timesheet Raw'!$L$4:$L$8000,$A319,'Timesheet Raw'!$C$4:$C$8000,D$3,'Timesheet Raw'!$A$4:$A$8000,"1-Projects"))</f>
        <v>0</v>
      </c>
      <c r="E319" s="341">
        <f>IF($A319="","",SUMIFS('Timesheet Raw'!$P$4:$P$8000,'Timesheet Raw'!$L$4:$L$8000,$A319,'Timesheet Raw'!$C$4:$C$8000,D$3,'Timesheet Raw'!$A$4:$A$8000,"2-Proposals Chargeable")+SUMIFS('Timesheet Raw'!$P$4:$P$8000,'Timesheet Raw'!$L$4:$L$8000,$A319,'Timesheet Raw'!$C$4:$C$8000,D$3,'Timesheet Raw'!$A$4:$A$8000,"3-Proposals Regular"))</f>
        <v>0</v>
      </c>
      <c r="F319" s="341">
        <f>IF($A319="","",SUMIFS('Timesheet Raw'!$P$4:$P$8000,'Timesheet Raw'!$L$4:$L$8000,$A319,'Timesheet Raw'!$C$4:$C$8000,D$3,'Timesheet Raw'!$B$4:$B$8000,'Work Calendar'!$A$26)+SUMIFS('Timesheet Raw'!$P$4:$P$8000,'Timesheet Raw'!$L$4:$L$8000,$A319,'Timesheet Raw'!$C$4:$C$8000,D$3,'Timesheet Raw'!$B$4:$B$8000,'Work Calendar'!$A$27)+SUMIFS('Timesheet Raw'!$P$4:$P$8000,'Timesheet Raw'!$L$4:$L$8000,$A319,'Timesheet Raw'!$C$4:$C$8000,D$3,'Timesheet Raw'!$B$4:$B$8000,'Work Calendar'!$A$28)+SUMIFS('Timesheet Raw'!$P$4:$P$8000,'Timesheet Raw'!$L$4:$L$8000,$A319,'Timesheet Raw'!$C$4:$C$8000,D$3,'Timesheet Raw'!$B$4:$B$8000,'Work Calendar'!$A$29))</f>
        <v>0</v>
      </c>
      <c r="G319" s="341">
        <f t="shared" si="17"/>
        <v>0</v>
      </c>
      <c r="H319" s="395">
        <f>IF($A319="","",SUMIFS('Timesheet Raw'!$K$4:$K$8000,'Timesheet Raw'!$L$4:$L$8000,$A319,'Timesheet Raw'!$C$4:$C$8000,D$3))</f>
        <v>0</v>
      </c>
      <c r="I319" s="345">
        <f>IF($A319="","",SUMIFS('Timesheet Raw'!$P$4:$P$8000,'Timesheet Raw'!$L$4:$L$8000,$A319,'Timesheet Raw'!$C$4:$C$8000,D$3))</f>
        <v>0</v>
      </c>
      <c r="J319" s="375"/>
      <c r="K319" t="str">
        <f>IF($A319="","",IF(J319&lt;&gt;"",J319,IF($A319&gt;'Work Calendar'!$B$17,"No data yet",IF(AND(F319&gt;='Work Calendar'!$B$14,D319+E319+G319&gt;0),"Day off - but worked",IF(F319&gt;='Work Calendar'!$B$14,"Day off",IF(D319+E319+G319&gt;0,IF($C319="Working","Charged","Worked weekend"),IF($C319="Working","Leave (not charged)",$C319)))))))</f>
        <v>No data yet</v>
      </c>
      <c r="L319" s="341">
        <f>IF($A319="","",SUMIFS('Timesheet Raw'!$P$4:$P$8000,'Timesheet Raw'!$L$4:$L$8000,$A319,'Timesheet Raw'!$C$4:$C$8000,L$3,'Timesheet Raw'!$A$4:$A$8000,"1-Projects"))</f>
        <v>0</v>
      </c>
      <c r="M319" s="341">
        <f>IF($A319="","",SUMIFS('Timesheet Raw'!$P$4:$P$8000,'Timesheet Raw'!$L$4:$L$8000,$A319,'Timesheet Raw'!$C$4:$C$8000,L$3,'Timesheet Raw'!$A$4:$A$8000,"2-Proposals Chargeable")+SUMIFS('Timesheet Raw'!$P$4:$P$8000,'Timesheet Raw'!$L$4:$L$8000,$A319,'Timesheet Raw'!$C$4:$C$8000,L$3,'Timesheet Raw'!$A$4:$A$8000,"3-Proposals Regular"))</f>
        <v>0</v>
      </c>
      <c r="N319" s="341">
        <f>IF($A319="","",SUMIFS('Timesheet Raw'!$P$4:$P$8000,'Timesheet Raw'!$L$4:$L$8000,$A319,'Timesheet Raw'!$C$4:$C$8000,L$3,'Timesheet Raw'!$B$4:$B$8000,'Work Calendar'!$A$26)+SUMIFS('Timesheet Raw'!$P$4:$P$8000,'Timesheet Raw'!$L$4:$L$8000,$A319,'Timesheet Raw'!$C$4:$C$8000,L$3,'Timesheet Raw'!$B$4:$B$8000,'Work Calendar'!$A$27)+SUMIFS('Timesheet Raw'!$P$4:$P$8000,'Timesheet Raw'!$L$4:$L$8000,$A319,'Timesheet Raw'!$C$4:$C$8000,L$3,'Timesheet Raw'!$B$4:$B$8000,'Work Calendar'!$A$28)+SUMIFS('Timesheet Raw'!$P$4:$P$8000,'Timesheet Raw'!$L$4:$L$8000,$A319,'Timesheet Raw'!$C$4:$C$8000,L$3,'Timesheet Raw'!$B$4:$B$8000,'Work Calendar'!$A$29))</f>
        <v>0</v>
      </c>
      <c r="O319" s="341">
        <f t="shared" si="18"/>
        <v>0</v>
      </c>
      <c r="P319" s="395">
        <f>IF($A319="","",SUMIFS('Timesheet Raw'!$K$4:$K$8000,'Timesheet Raw'!$L$4:$L$8000,$A319,'Timesheet Raw'!$C$4:$C$8000,L$3))</f>
        <v>0</v>
      </c>
      <c r="Q319" s="345">
        <f>IF($A319="","",SUMIFS('Timesheet Raw'!$P$4:$P$8000,'Timesheet Raw'!$L$4:$L$8000,$A319,'Timesheet Raw'!$C$4:$C$8000,L$3))</f>
        <v>0</v>
      </c>
      <c r="R319" s="375"/>
      <c r="S319" t="str">
        <f>IF($A319="","",IF(R319&lt;&gt;"",R319,IF($A319&gt;'Work Calendar'!$B$17,"No data yet",IF(AND(N319&gt;='Work Calendar'!$B$14,L319+M319+O319&gt;0),"Day off - but worked",IF(N319&gt;='Work Calendar'!$B$14,"Day off",IF(L319+M319+O319&gt;0,IF($C319="Working","Charged","Worked weekend"),IF($C319="Working","Leave (not charged)",$C319)))))))</f>
        <v>No data yet</v>
      </c>
      <c r="T319" s="341">
        <f>IF($A319="","",SUMIFS('Timesheet Raw'!$P$4:$P$8000,'Timesheet Raw'!$L$4:$L$8000,$A319,'Timesheet Raw'!$C$4:$C$8000,T$3,'Timesheet Raw'!$A$4:$A$8000,"1-Projects"))</f>
        <v>0</v>
      </c>
      <c r="U319" s="341">
        <f>IF($A319="","",SUMIFS('Timesheet Raw'!$P$4:$P$8000,'Timesheet Raw'!$L$4:$L$8000,$A319,'Timesheet Raw'!$C$4:$C$8000,T$3,'Timesheet Raw'!$A$4:$A$8000,"2-Proposals Chargeable")+SUMIFS('Timesheet Raw'!$P$4:$P$8000,'Timesheet Raw'!$L$4:$L$8000,$A319,'Timesheet Raw'!$C$4:$C$8000,T$3,'Timesheet Raw'!$A$4:$A$8000,"3-Proposals Regular"))</f>
        <v>0</v>
      </c>
      <c r="V319" s="341">
        <f>IF($A319="","",SUMIFS('Timesheet Raw'!$P$4:$P$8000,'Timesheet Raw'!$L$4:$L$8000,$A319,'Timesheet Raw'!$C$4:$C$8000,T$3,'Timesheet Raw'!$B$4:$B$8000,'Work Calendar'!$A$26)+SUMIFS('Timesheet Raw'!$P$4:$P$8000,'Timesheet Raw'!$L$4:$L$8000,$A319,'Timesheet Raw'!$C$4:$C$8000,T$3,'Timesheet Raw'!$B$4:$B$8000,'Work Calendar'!$A$27)+SUMIFS('Timesheet Raw'!$P$4:$P$8000,'Timesheet Raw'!$L$4:$L$8000,$A319,'Timesheet Raw'!$C$4:$C$8000,T$3,'Timesheet Raw'!$B$4:$B$8000,'Work Calendar'!$A$28)+SUMIFS('Timesheet Raw'!$P$4:$P$8000,'Timesheet Raw'!$L$4:$L$8000,$A319,'Timesheet Raw'!$C$4:$C$8000,T$3,'Timesheet Raw'!$B$4:$B$8000,'Work Calendar'!$A$29))</f>
        <v>0</v>
      </c>
      <c r="W319" s="341">
        <f t="shared" si="19"/>
        <v>0</v>
      </c>
      <c r="X319" s="395">
        <f>IF($A319="","",SUMIFS('Timesheet Raw'!$K$4:$K$8000,'Timesheet Raw'!$L$4:$L$8000,$A319,'Timesheet Raw'!$C$4:$C$8000,T$3))</f>
        <v>0</v>
      </c>
      <c r="Y319" s="345">
        <f>IF($A319="","",SUMIFS('Timesheet Raw'!$P$4:$P$8000,'Timesheet Raw'!$L$4:$L$8000,$A319,'Timesheet Raw'!$C$4:$C$8000,T$3))</f>
        <v>0</v>
      </c>
      <c r="Z319" s="375"/>
      <c r="AA319" t="str">
        <f>IF($A319="","",IF(Z319&lt;&gt;"",Z319,IF($A319&gt;'Work Calendar'!$B$17,"No data yet",IF(AND(V319&gt;='Work Calendar'!$B$14,T319+U319+W319&gt;0),"Day off - but worked",IF(V319&gt;='Work Calendar'!$B$14,"Day off",IF(T319+U319+W319&gt;0,IF($C319="Working","Charged","Worked weekend"),IF($C319="Working","Leave (not charged)",$C319)))))))</f>
        <v>No data yet</v>
      </c>
    </row>
    <row r="320" spans="1:27" x14ac:dyDescent="0.3">
      <c r="A320" s="371">
        <f>IF($A319="","",IF($A319+1&gt;'Work Calendar'!$B$16,"",$A319+1))</f>
        <v>46338</v>
      </c>
      <c r="B320" t="str">
        <f t="shared" si="16"/>
        <v>Thu</v>
      </c>
      <c r="C320" t="str" cm="1">
        <f t="array" ref="C320">IF($A320="","",IF(COUNTIF('Work Calendar'!$E$6:$E$200,$A320)&gt;0,"Holiday",IF(INDEX('Work Calendar'!$C$6:$C$12,WEEKDAY($A320,1))=1,"Working","Weekend")))</f>
        <v>Working</v>
      </c>
      <c r="D320" s="341">
        <f>IF($A320="","",SUMIFS('Timesheet Raw'!$P$4:$P$8000,'Timesheet Raw'!$L$4:$L$8000,$A320,'Timesheet Raw'!$C$4:$C$8000,D$3,'Timesheet Raw'!$A$4:$A$8000,"1-Projects"))</f>
        <v>0</v>
      </c>
      <c r="E320" s="341">
        <f>IF($A320="","",SUMIFS('Timesheet Raw'!$P$4:$P$8000,'Timesheet Raw'!$L$4:$L$8000,$A320,'Timesheet Raw'!$C$4:$C$8000,D$3,'Timesheet Raw'!$A$4:$A$8000,"2-Proposals Chargeable")+SUMIFS('Timesheet Raw'!$P$4:$P$8000,'Timesheet Raw'!$L$4:$L$8000,$A320,'Timesheet Raw'!$C$4:$C$8000,D$3,'Timesheet Raw'!$A$4:$A$8000,"3-Proposals Regular"))</f>
        <v>0</v>
      </c>
      <c r="F320" s="341">
        <f>IF($A320="","",SUMIFS('Timesheet Raw'!$P$4:$P$8000,'Timesheet Raw'!$L$4:$L$8000,$A320,'Timesheet Raw'!$C$4:$C$8000,D$3,'Timesheet Raw'!$B$4:$B$8000,'Work Calendar'!$A$26)+SUMIFS('Timesheet Raw'!$P$4:$P$8000,'Timesheet Raw'!$L$4:$L$8000,$A320,'Timesheet Raw'!$C$4:$C$8000,D$3,'Timesheet Raw'!$B$4:$B$8000,'Work Calendar'!$A$27)+SUMIFS('Timesheet Raw'!$P$4:$P$8000,'Timesheet Raw'!$L$4:$L$8000,$A320,'Timesheet Raw'!$C$4:$C$8000,D$3,'Timesheet Raw'!$B$4:$B$8000,'Work Calendar'!$A$28)+SUMIFS('Timesheet Raw'!$P$4:$P$8000,'Timesheet Raw'!$L$4:$L$8000,$A320,'Timesheet Raw'!$C$4:$C$8000,D$3,'Timesheet Raw'!$B$4:$B$8000,'Work Calendar'!$A$29))</f>
        <v>0</v>
      </c>
      <c r="G320" s="341">
        <f t="shared" si="17"/>
        <v>0</v>
      </c>
      <c r="H320" s="395">
        <f>IF($A320="","",SUMIFS('Timesheet Raw'!$K$4:$K$8000,'Timesheet Raw'!$L$4:$L$8000,$A320,'Timesheet Raw'!$C$4:$C$8000,D$3))</f>
        <v>0</v>
      </c>
      <c r="I320" s="345">
        <f>IF($A320="","",SUMIFS('Timesheet Raw'!$P$4:$P$8000,'Timesheet Raw'!$L$4:$L$8000,$A320,'Timesheet Raw'!$C$4:$C$8000,D$3))</f>
        <v>0</v>
      </c>
      <c r="J320" s="375"/>
      <c r="K320" t="str">
        <f>IF($A320="","",IF(J320&lt;&gt;"",J320,IF($A320&gt;'Work Calendar'!$B$17,"No data yet",IF(AND(F320&gt;='Work Calendar'!$B$14,D320+E320+G320&gt;0),"Day off - but worked",IF(F320&gt;='Work Calendar'!$B$14,"Day off",IF(D320+E320+G320&gt;0,IF($C320="Working","Charged","Worked weekend"),IF($C320="Working","Leave (not charged)",$C320)))))))</f>
        <v>No data yet</v>
      </c>
      <c r="L320" s="341">
        <f>IF($A320="","",SUMIFS('Timesheet Raw'!$P$4:$P$8000,'Timesheet Raw'!$L$4:$L$8000,$A320,'Timesheet Raw'!$C$4:$C$8000,L$3,'Timesheet Raw'!$A$4:$A$8000,"1-Projects"))</f>
        <v>0</v>
      </c>
      <c r="M320" s="341">
        <f>IF($A320="","",SUMIFS('Timesheet Raw'!$P$4:$P$8000,'Timesheet Raw'!$L$4:$L$8000,$A320,'Timesheet Raw'!$C$4:$C$8000,L$3,'Timesheet Raw'!$A$4:$A$8000,"2-Proposals Chargeable")+SUMIFS('Timesheet Raw'!$P$4:$P$8000,'Timesheet Raw'!$L$4:$L$8000,$A320,'Timesheet Raw'!$C$4:$C$8000,L$3,'Timesheet Raw'!$A$4:$A$8000,"3-Proposals Regular"))</f>
        <v>0</v>
      </c>
      <c r="N320" s="341">
        <f>IF($A320="","",SUMIFS('Timesheet Raw'!$P$4:$P$8000,'Timesheet Raw'!$L$4:$L$8000,$A320,'Timesheet Raw'!$C$4:$C$8000,L$3,'Timesheet Raw'!$B$4:$B$8000,'Work Calendar'!$A$26)+SUMIFS('Timesheet Raw'!$P$4:$P$8000,'Timesheet Raw'!$L$4:$L$8000,$A320,'Timesheet Raw'!$C$4:$C$8000,L$3,'Timesheet Raw'!$B$4:$B$8000,'Work Calendar'!$A$27)+SUMIFS('Timesheet Raw'!$P$4:$P$8000,'Timesheet Raw'!$L$4:$L$8000,$A320,'Timesheet Raw'!$C$4:$C$8000,L$3,'Timesheet Raw'!$B$4:$B$8000,'Work Calendar'!$A$28)+SUMIFS('Timesheet Raw'!$P$4:$P$8000,'Timesheet Raw'!$L$4:$L$8000,$A320,'Timesheet Raw'!$C$4:$C$8000,L$3,'Timesheet Raw'!$B$4:$B$8000,'Work Calendar'!$A$29))</f>
        <v>0</v>
      </c>
      <c r="O320" s="341">
        <f t="shared" si="18"/>
        <v>0</v>
      </c>
      <c r="P320" s="395">
        <f>IF($A320="","",SUMIFS('Timesheet Raw'!$K$4:$K$8000,'Timesheet Raw'!$L$4:$L$8000,$A320,'Timesheet Raw'!$C$4:$C$8000,L$3))</f>
        <v>0</v>
      </c>
      <c r="Q320" s="345">
        <f>IF($A320="","",SUMIFS('Timesheet Raw'!$P$4:$P$8000,'Timesheet Raw'!$L$4:$L$8000,$A320,'Timesheet Raw'!$C$4:$C$8000,L$3))</f>
        <v>0</v>
      </c>
      <c r="R320" s="375"/>
      <c r="S320" t="str">
        <f>IF($A320="","",IF(R320&lt;&gt;"",R320,IF($A320&gt;'Work Calendar'!$B$17,"No data yet",IF(AND(N320&gt;='Work Calendar'!$B$14,L320+M320+O320&gt;0),"Day off - but worked",IF(N320&gt;='Work Calendar'!$B$14,"Day off",IF(L320+M320+O320&gt;0,IF($C320="Working","Charged","Worked weekend"),IF($C320="Working","Leave (not charged)",$C320)))))))</f>
        <v>No data yet</v>
      </c>
      <c r="T320" s="341">
        <f>IF($A320="","",SUMIFS('Timesheet Raw'!$P$4:$P$8000,'Timesheet Raw'!$L$4:$L$8000,$A320,'Timesheet Raw'!$C$4:$C$8000,T$3,'Timesheet Raw'!$A$4:$A$8000,"1-Projects"))</f>
        <v>0</v>
      </c>
      <c r="U320" s="341">
        <f>IF($A320="","",SUMIFS('Timesheet Raw'!$P$4:$P$8000,'Timesheet Raw'!$L$4:$L$8000,$A320,'Timesheet Raw'!$C$4:$C$8000,T$3,'Timesheet Raw'!$A$4:$A$8000,"2-Proposals Chargeable")+SUMIFS('Timesheet Raw'!$P$4:$P$8000,'Timesheet Raw'!$L$4:$L$8000,$A320,'Timesheet Raw'!$C$4:$C$8000,T$3,'Timesheet Raw'!$A$4:$A$8000,"3-Proposals Regular"))</f>
        <v>0</v>
      </c>
      <c r="V320" s="341">
        <f>IF($A320="","",SUMIFS('Timesheet Raw'!$P$4:$P$8000,'Timesheet Raw'!$L$4:$L$8000,$A320,'Timesheet Raw'!$C$4:$C$8000,T$3,'Timesheet Raw'!$B$4:$B$8000,'Work Calendar'!$A$26)+SUMIFS('Timesheet Raw'!$P$4:$P$8000,'Timesheet Raw'!$L$4:$L$8000,$A320,'Timesheet Raw'!$C$4:$C$8000,T$3,'Timesheet Raw'!$B$4:$B$8000,'Work Calendar'!$A$27)+SUMIFS('Timesheet Raw'!$P$4:$P$8000,'Timesheet Raw'!$L$4:$L$8000,$A320,'Timesheet Raw'!$C$4:$C$8000,T$3,'Timesheet Raw'!$B$4:$B$8000,'Work Calendar'!$A$28)+SUMIFS('Timesheet Raw'!$P$4:$P$8000,'Timesheet Raw'!$L$4:$L$8000,$A320,'Timesheet Raw'!$C$4:$C$8000,T$3,'Timesheet Raw'!$B$4:$B$8000,'Work Calendar'!$A$29))</f>
        <v>0</v>
      </c>
      <c r="W320" s="341">
        <f t="shared" si="19"/>
        <v>0</v>
      </c>
      <c r="X320" s="395">
        <f>IF($A320="","",SUMIFS('Timesheet Raw'!$K$4:$K$8000,'Timesheet Raw'!$L$4:$L$8000,$A320,'Timesheet Raw'!$C$4:$C$8000,T$3))</f>
        <v>0</v>
      </c>
      <c r="Y320" s="345">
        <f>IF($A320="","",SUMIFS('Timesheet Raw'!$P$4:$P$8000,'Timesheet Raw'!$L$4:$L$8000,$A320,'Timesheet Raw'!$C$4:$C$8000,T$3))</f>
        <v>0</v>
      </c>
      <c r="Z320" s="375"/>
      <c r="AA320" t="str">
        <f>IF($A320="","",IF(Z320&lt;&gt;"",Z320,IF($A320&gt;'Work Calendar'!$B$17,"No data yet",IF(AND(V320&gt;='Work Calendar'!$B$14,T320+U320+W320&gt;0),"Day off - but worked",IF(V320&gt;='Work Calendar'!$B$14,"Day off",IF(T320+U320+W320&gt;0,IF($C320="Working","Charged","Worked weekend"),IF($C320="Working","Leave (not charged)",$C320)))))))</f>
        <v>No data yet</v>
      </c>
    </row>
    <row r="321" spans="1:27" x14ac:dyDescent="0.3">
      <c r="A321" s="371">
        <f>IF($A320="","",IF($A320+1&gt;'Work Calendar'!$B$16,"",$A320+1))</f>
        <v>46339</v>
      </c>
      <c r="B321" t="str">
        <f t="shared" si="16"/>
        <v>Fri</v>
      </c>
      <c r="C321" t="str" cm="1">
        <f t="array" ref="C321">IF($A321="","",IF(COUNTIF('Work Calendar'!$E$6:$E$200,$A321)&gt;0,"Holiday",IF(INDEX('Work Calendar'!$C$6:$C$12,WEEKDAY($A321,1))=1,"Working","Weekend")))</f>
        <v>Weekend</v>
      </c>
      <c r="D321" s="341">
        <f>IF($A321="","",SUMIFS('Timesheet Raw'!$P$4:$P$8000,'Timesheet Raw'!$L$4:$L$8000,$A321,'Timesheet Raw'!$C$4:$C$8000,D$3,'Timesheet Raw'!$A$4:$A$8000,"1-Projects"))</f>
        <v>0</v>
      </c>
      <c r="E321" s="341">
        <f>IF($A321="","",SUMIFS('Timesheet Raw'!$P$4:$P$8000,'Timesheet Raw'!$L$4:$L$8000,$A321,'Timesheet Raw'!$C$4:$C$8000,D$3,'Timesheet Raw'!$A$4:$A$8000,"2-Proposals Chargeable")+SUMIFS('Timesheet Raw'!$P$4:$P$8000,'Timesheet Raw'!$L$4:$L$8000,$A321,'Timesheet Raw'!$C$4:$C$8000,D$3,'Timesheet Raw'!$A$4:$A$8000,"3-Proposals Regular"))</f>
        <v>0</v>
      </c>
      <c r="F321" s="341">
        <f>IF($A321="","",SUMIFS('Timesheet Raw'!$P$4:$P$8000,'Timesheet Raw'!$L$4:$L$8000,$A321,'Timesheet Raw'!$C$4:$C$8000,D$3,'Timesheet Raw'!$B$4:$B$8000,'Work Calendar'!$A$26)+SUMIFS('Timesheet Raw'!$P$4:$P$8000,'Timesheet Raw'!$L$4:$L$8000,$A321,'Timesheet Raw'!$C$4:$C$8000,D$3,'Timesheet Raw'!$B$4:$B$8000,'Work Calendar'!$A$27)+SUMIFS('Timesheet Raw'!$P$4:$P$8000,'Timesheet Raw'!$L$4:$L$8000,$A321,'Timesheet Raw'!$C$4:$C$8000,D$3,'Timesheet Raw'!$B$4:$B$8000,'Work Calendar'!$A$28)+SUMIFS('Timesheet Raw'!$P$4:$P$8000,'Timesheet Raw'!$L$4:$L$8000,$A321,'Timesheet Raw'!$C$4:$C$8000,D$3,'Timesheet Raw'!$B$4:$B$8000,'Work Calendar'!$A$29))</f>
        <v>0</v>
      </c>
      <c r="G321" s="341">
        <f t="shared" si="17"/>
        <v>0</v>
      </c>
      <c r="H321" s="395">
        <f>IF($A321="","",SUMIFS('Timesheet Raw'!$K$4:$K$8000,'Timesheet Raw'!$L$4:$L$8000,$A321,'Timesheet Raw'!$C$4:$C$8000,D$3))</f>
        <v>0</v>
      </c>
      <c r="I321" s="345">
        <f>IF($A321="","",SUMIFS('Timesheet Raw'!$P$4:$P$8000,'Timesheet Raw'!$L$4:$L$8000,$A321,'Timesheet Raw'!$C$4:$C$8000,D$3))</f>
        <v>0</v>
      </c>
      <c r="J321" s="375"/>
      <c r="K321" t="str">
        <f>IF($A321="","",IF(J321&lt;&gt;"",J321,IF($A321&gt;'Work Calendar'!$B$17,"No data yet",IF(AND(F321&gt;='Work Calendar'!$B$14,D321+E321+G321&gt;0),"Day off - but worked",IF(F321&gt;='Work Calendar'!$B$14,"Day off",IF(D321+E321+G321&gt;0,IF($C321="Working","Charged","Worked weekend"),IF($C321="Working","Leave (not charged)",$C321)))))))</f>
        <v>No data yet</v>
      </c>
      <c r="L321" s="341">
        <f>IF($A321="","",SUMIFS('Timesheet Raw'!$P$4:$P$8000,'Timesheet Raw'!$L$4:$L$8000,$A321,'Timesheet Raw'!$C$4:$C$8000,L$3,'Timesheet Raw'!$A$4:$A$8000,"1-Projects"))</f>
        <v>0</v>
      </c>
      <c r="M321" s="341">
        <f>IF($A321="","",SUMIFS('Timesheet Raw'!$P$4:$P$8000,'Timesheet Raw'!$L$4:$L$8000,$A321,'Timesheet Raw'!$C$4:$C$8000,L$3,'Timesheet Raw'!$A$4:$A$8000,"2-Proposals Chargeable")+SUMIFS('Timesheet Raw'!$P$4:$P$8000,'Timesheet Raw'!$L$4:$L$8000,$A321,'Timesheet Raw'!$C$4:$C$8000,L$3,'Timesheet Raw'!$A$4:$A$8000,"3-Proposals Regular"))</f>
        <v>0</v>
      </c>
      <c r="N321" s="341">
        <f>IF($A321="","",SUMIFS('Timesheet Raw'!$P$4:$P$8000,'Timesheet Raw'!$L$4:$L$8000,$A321,'Timesheet Raw'!$C$4:$C$8000,L$3,'Timesheet Raw'!$B$4:$B$8000,'Work Calendar'!$A$26)+SUMIFS('Timesheet Raw'!$P$4:$P$8000,'Timesheet Raw'!$L$4:$L$8000,$A321,'Timesheet Raw'!$C$4:$C$8000,L$3,'Timesheet Raw'!$B$4:$B$8000,'Work Calendar'!$A$27)+SUMIFS('Timesheet Raw'!$P$4:$P$8000,'Timesheet Raw'!$L$4:$L$8000,$A321,'Timesheet Raw'!$C$4:$C$8000,L$3,'Timesheet Raw'!$B$4:$B$8000,'Work Calendar'!$A$28)+SUMIFS('Timesheet Raw'!$P$4:$P$8000,'Timesheet Raw'!$L$4:$L$8000,$A321,'Timesheet Raw'!$C$4:$C$8000,L$3,'Timesheet Raw'!$B$4:$B$8000,'Work Calendar'!$A$29))</f>
        <v>0</v>
      </c>
      <c r="O321" s="341">
        <f t="shared" si="18"/>
        <v>0</v>
      </c>
      <c r="P321" s="395">
        <f>IF($A321="","",SUMIFS('Timesheet Raw'!$K$4:$K$8000,'Timesheet Raw'!$L$4:$L$8000,$A321,'Timesheet Raw'!$C$4:$C$8000,L$3))</f>
        <v>0</v>
      </c>
      <c r="Q321" s="345">
        <f>IF($A321="","",SUMIFS('Timesheet Raw'!$P$4:$P$8000,'Timesheet Raw'!$L$4:$L$8000,$A321,'Timesheet Raw'!$C$4:$C$8000,L$3))</f>
        <v>0</v>
      </c>
      <c r="R321" s="375"/>
      <c r="S321" t="str">
        <f>IF($A321="","",IF(R321&lt;&gt;"",R321,IF($A321&gt;'Work Calendar'!$B$17,"No data yet",IF(AND(N321&gt;='Work Calendar'!$B$14,L321+M321+O321&gt;0),"Day off - but worked",IF(N321&gt;='Work Calendar'!$B$14,"Day off",IF(L321+M321+O321&gt;0,IF($C321="Working","Charged","Worked weekend"),IF($C321="Working","Leave (not charged)",$C321)))))))</f>
        <v>No data yet</v>
      </c>
      <c r="T321" s="341">
        <f>IF($A321="","",SUMIFS('Timesheet Raw'!$P$4:$P$8000,'Timesheet Raw'!$L$4:$L$8000,$A321,'Timesheet Raw'!$C$4:$C$8000,T$3,'Timesheet Raw'!$A$4:$A$8000,"1-Projects"))</f>
        <v>0</v>
      </c>
      <c r="U321" s="341">
        <f>IF($A321="","",SUMIFS('Timesheet Raw'!$P$4:$P$8000,'Timesheet Raw'!$L$4:$L$8000,$A321,'Timesheet Raw'!$C$4:$C$8000,T$3,'Timesheet Raw'!$A$4:$A$8000,"2-Proposals Chargeable")+SUMIFS('Timesheet Raw'!$P$4:$P$8000,'Timesheet Raw'!$L$4:$L$8000,$A321,'Timesheet Raw'!$C$4:$C$8000,T$3,'Timesheet Raw'!$A$4:$A$8000,"3-Proposals Regular"))</f>
        <v>0</v>
      </c>
      <c r="V321" s="341">
        <f>IF($A321="","",SUMIFS('Timesheet Raw'!$P$4:$P$8000,'Timesheet Raw'!$L$4:$L$8000,$A321,'Timesheet Raw'!$C$4:$C$8000,T$3,'Timesheet Raw'!$B$4:$B$8000,'Work Calendar'!$A$26)+SUMIFS('Timesheet Raw'!$P$4:$P$8000,'Timesheet Raw'!$L$4:$L$8000,$A321,'Timesheet Raw'!$C$4:$C$8000,T$3,'Timesheet Raw'!$B$4:$B$8000,'Work Calendar'!$A$27)+SUMIFS('Timesheet Raw'!$P$4:$P$8000,'Timesheet Raw'!$L$4:$L$8000,$A321,'Timesheet Raw'!$C$4:$C$8000,T$3,'Timesheet Raw'!$B$4:$B$8000,'Work Calendar'!$A$28)+SUMIFS('Timesheet Raw'!$P$4:$P$8000,'Timesheet Raw'!$L$4:$L$8000,$A321,'Timesheet Raw'!$C$4:$C$8000,T$3,'Timesheet Raw'!$B$4:$B$8000,'Work Calendar'!$A$29))</f>
        <v>0</v>
      </c>
      <c r="W321" s="341">
        <f t="shared" si="19"/>
        <v>0</v>
      </c>
      <c r="X321" s="395">
        <f>IF($A321="","",SUMIFS('Timesheet Raw'!$K$4:$K$8000,'Timesheet Raw'!$L$4:$L$8000,$A321,'Timesheet Raw'!$C$4:$C$8000,T$3))</f>
        <v>0</v>
      </c>
      <c r="Y321" s="345">
        <f>IF($A321="","",SUMIFS('Timesheet Raw'!$P$4:$P$8000,'Timesheet Raw'!$L$4:$L$8000,$A321,'Timesheet Raw'!$C$4:$C$8000,T$3))</f>
        <v>0</v>
      </c>
      <c r="Z321" s="375"/>
      <c r="AA321" t="str">
        <f>IF($A321="","",IF(Z321&lt;&gt;"",Z321,IF($A321&gt;'Work Calendar'!$B$17,"No data yet",IF(AND(V321&gt;='Work Calendar'!$B$14,T321+U321+W321&gt;0),"Day off - but worked",IF(V321&gt;='Work Calendar'!$B$14,"Day off",IF(T321+U321+W321&gt;0,IF($C321="Working","Charged","Worked weekend"),IF($C321="Working","Leave (not charged)",$C321)))))))</f>
        <v>No data yet</v>
      </c>
    </row>
    <row r="322" spans="1:27" x14ac:dyDescent="0.3">
      <c r="A322" s="371">
        <f>IF($A321="","",IF($A321+1&gt;'Work Calendar'!$B$16,"",$A321+1))</f>
        <v>46340</v>
      </c>
      <c r="B322" t="str">
        <f t="shared" si="16"/>
        <v>Sat</v>
      </c>
      <c r="C322" t="str" cm="1">
        <f t="array" ref="C322">IF($A322="","",IF(COUNTIF('Work Calendar'!$E$6:$E$200,$A322)&gt;0,"Holiday",IF(INDEX('Work Calendar'!$C$6:$C$12,WEEKDAY($A322,1))=1,"Working","Weekend")))</f>
        <v>Weekend</v>
      </c>
      <c r="D322" s="341">
        <f>IF($A322="","",SUMIFS('Timesheet Raw'!$P$4:$P$8000,'Timesheet Raw'!$L$4:$L$8000,$A322,'Timesheet Raw'!$C$4:$C$8000,D$3,'Timesheet Raw'!$A$4:$A$8000,"1-Projects"))</f>
        <v>0</v>
      </c>
      <c r="E322" s="341">
        <f>IF($A322="","",SUMIFS('Timesheet Raw'!$P$4:$P$8000,'Timesheet Raw'!$L$4:$L$8000,$A322,'Timesheet Raw'!$C$4:$C$8000,D$3,'Timesheet Raw'!$A$4:$A$8000,"2-Proposals Chargeable")+SUMIFS('Timesheet Raw'!$P$4:$P$8000,'Timesheet Raw'!$L$4:$L$8000,$A322,'Timesheet Raw'!$C$4:$C$8000,D$3,'Timesheet Raw'!$A$4:$A$8000,"3-Proposals Regular"))</f>
        <v>0</v>
      </c>
      <c r="F322" s="341">
        <f>IF($A322="","",SUMIFS('Timesheet Raw'!$P$4:$P$8000,'Timesheet Raw'!$L$4:$L$8000,$A322,'Timesheet Raw'!$C$4:$C$8000,D$3,'Timesheet Raw'!$B$4:$B$8000,'Work Calendar'!$A$26)+SUMIFS('Timesheet Raw'!$P$4:$P$8000,'Timesheet Raw'!$L$4:$L$8000,$A322,'Timesheet Raw'!$C$4:$C$8000,D$3,'Timesheet Raw'!$B$4:$B$8000,'Work Calendar'!$A$27)+SUMIFS('Timesheet Raw'!$P$4:$P$8000,'Timesheet Raw'!$L$4:$L$8000,$A322,'Timesheet Raw'!$C$4:$C$8000,D$3,'Timesheet Raw'!$B$4:$B$8000,'Work Calendar'!$A$28)+SUMIFS('Timesheet Raw'!$P$4:$P$8000,'Timesheet Raw'!$L$4:$L$8000,$A322,'Timesheet Raw'!$C$4:$C$8000,D$3,'Timesheet Raw'!$B$4:$B$8000,'Work Calendar'!$A$29))</f>
        <v>0</v>
      </c>
      <c r="G322" s="341">
        <f t="shared" si="17"/>
        <v>0</v>
      </c>
      <c r="H322" s="395">
        <f>IF($A322="","",SUMIFS('Timesheet Raw'!$K$4:$K$8000,'Timesheet Raw'!$L$4:$L$8000,$A322,'Timesheet Raw'!$C$4:$C$8000,D$3))</f>
        <v>0</v>
      </c>
      <c r="I322" s="345">
        <f>IF($A322="","",SUMIFS('Timesheet Raw'!$P$4:$P$8000,'Timesheet Raw'!$L$4:$L$8000,$A322,'Timesheet Raw'!$C$4:$C$8000,D$3))</f>
        <v>0</v>
      </c>
      <c r="J322" s="375"/>
      <c r="K322" t="str">
        <f>IF($A322="","",IF(J322&lt;&gt;"",J322,IF($A322&gt;'Work Calendar'!$B$17,"No data yet",IF(AND(F322&gt;='Work Calendar'!$B$14,D322+E322+G322&gt;0),"Day off - but worked",IF(F322&gt;='Work Calendar'!$B$14,"Day off",IF(D322+E322+G322&gt;0,IF($C322="Working","Charged","Worked weekend"),IF($C322="Working","Leave (not charged)",$C322)))))))</f>
        <v>No data yet</v>
      </c>
      <c r="L322" s="341">
        <f>IF($A322="","",SUMIFS('Timesheet Raw'!$P$4:$P$8000,'Timesheet Raw'!$L$4:$L$8000,$A322,'Timesheet Raw'!$C$4:$C$8000,L$3,'Timesheet Raw'!$A$4:$A$8000,"1-Projects"))</f>
        <v>0</v>
      </c>
      <c r="M322" s="341">
        <f>IF($A322="","",SUMIFS('Timesheet Raw'!$P$4:$P$8000,'Timesheet Raw'!$L$4:$L$8000,$A322,'Timesheet Raw'!$C$4:$C$8000,L$3,'Timesheet Raw'!$A$4:$A$8000,"2-Proposals Chargeable")+SUMIFS('Timesheet Raw'!$P$4:$P$8000,'Timesheet Raw'!$L$4:$L$8000,$A322,'Timesheet Raw'!$C$4:$C$8000,L$3,'Timesheet Raw'!$A$4:$A$8000,"3-Proposals Regular"))</f>
        <v>0</v>
      </c>
      <c r="N322" s="341">
        <f>IF($A322="","",SUMIFS('Timesheet Raw'!$P$4:$P$8000,'Timesheet Raw'!$L$4:$L$8000,$A322,'Timesheet Raw'!$C$4:$C$8000,L$3,'Timesheet Raw'!$B$4:$B$8000,'Work Calendar'!$A$26)+SUMIFS('Timesheet Raw'!$P$4:$P$8000,'Timesheet Raw'!$L$4:$L$8000,$A322,'Timesheet Raw'!$C$4:$C$8000,L$3,'Timesheet Raw'!$B$4:$B$8000,'Work Calendar'!$A$27)+SUMIFS('Timesheet Raw'!$P$4:$P$8000,'Timesheet Raw'!$L$4:$L$8000,$A322,'Timesheet Raw'!$C$4:$C$8000,L$3,'Timesheet Raw'!$B$4:$B$8000,'Work Calendar'!$A$28)+SUMIFS('Timesheet Raw'!$P$4:$P$8000,'Timesheet Raw'!$L$4:$L$8000,$A322,'Timesheet Raw'!$C$4:$C$8000,L$3,'Timesheet Raw'!$B$4:$B$8000,'Work Calendar'!$A$29))</f>
        <v>0</v>
      </c>
      <c r="O322" s="341">
        <f t="shared" si="18"/>
        <v>0</v>
      </c>
      <c r="P322" s="395">
        <f>IF($A322="","",SUMIFS('Timesheet Raw'!$K$4:$K$8000,'Timesheet Raw'!$L$4:$L$8000,$A322,'Timesheet Raw'!$C$4:$C$8000,L$3))</f>
        <v>0</v>
      </c>
      <c r="Q322" s="345">
        <f>IF($A322="","",SUMIFS('Timesheet Raw'!$P$4:$P$8000,'Timesheet Raw'!$L$4:$L$8000,$A322,'Timesheet Raw'!$C$4:$C$8000,L$3))</f>
        <v>0</v>
      </c>
      <c r="R322" s="375"/>
      <c r="S322" t="str">
        <f>IF($A322="","",IF(R322&lt;&gt;"",R322,IF($A322&gt;'Work Calendar'!$B$17,"No data yet",IF(AND(N322&gt;='Work Calendar'!$B$14,L322+M322+O322&gt;0),"Day off - but worked",IF(N322&gt;='Work Calendar'!$B$14,"Day off",IF(L322+M322+O322&gt;0,IF($C322="Working","Charged","Worked weekend"),IF($C322="Working","Leave (not charged)",$C322)))))))</f>
        <v>No data yet</v>
      </c>
      <c r="T322" s="341">
        <f>IF($A322="","",SUMIFS('Timesheet Raw'!$P$4:$P$8000,'Timesheet Raw'!$L$4:$L$8000,$A322,'Timesheet Raw'!$C$4:$C$8000,T$3,'Timesheet Raw'!$A$4:$A$8000,"1-Projects"))</f>
        <v>0</v>
      </c>
      <c r="U322" s="341">
        <f>IF($A322="","",SUMIFS('Timesheet Raw'!$P$4:$P$8000,'Timesheet Raw'!$L$4:$L$8000,$A322,'Timesheet Raw'!$C$4:$C$8000,T$3,'Timesheet Raw'!$A$4:$A$8000,"2-Proposals Chargeable")+SUMIFS('Timesheet Raw'!$P$4:$P$8000,'Timesheet Raw'!$L$4:$L$8000,$A322,'Timesheet Raw'!$C$4:$C$8000,T$3,'Timesheet Raw'!$A$4:$A$8000,"3-Proposals Regular"))</f>
        <v>0</v>
      </c>
      <c r="V322" s="341">
        <f>IF($A322="","",SUMIFS('Timesheet Raw'!$P$4:$P$8000,'Timesheet Raw'!$L$4:$L$8000,$A322,'Timesheet Raw'!$C$4:$C$8000,T$3,'Timesheet Raw'!$B$4:$B$8000,'Work Calendar'!$A$26)+SUMIFS('Timesheet Raw'!$P$4:$P$8000,'Timesheet Raw'!$L$4:$L$8000,$A322,'Timesheet Raw'!$C$4:$C$8000,T$3,'Timesheet Raw'!$B$4:$B$8000,'Work Calendar'!$A$27)+SUMIFS('Timesheet Raw'!$P$4:$P$8000,'Timesheet Raw'!$L$4:$L$8000,$A322,'Timesheet Raw'!$C$4:$C$8000,T$3,'Timesheet Raw'!$B$4:$B$8000,'Work Calendar'!$A$28)+SUMIFS('Timesheet Raw'!$P$4:$P$8000,'Timesheet Raw'!$L$4:$L$8000,$A322,'Timesheet Raw'!$C$4:$C$8000,T$3,'Timesheet Raw'!$B$4:$B$8000,'Work Calendar'!$A$29))</f>
        <v>0</v>
      </c>
      <c r="W322" s="341">
        <f t="shared" si="19"/>
        <v>0</v>
      </c>
      <c r="X322" s="395">
        <f>IF($A322="","",SUMIFS('Timesheet Raw'!$K$4:$K$8000,'Timesheet Raw'!$L$4:$L$8000,$A322,'Timesheet Raw'!$C$4:$C$8000,T$3))</f>
        <v>0</v>
      </c>
      <c r="Y322" s="345">
        <f>IF($A322="","",SUMIFS('Timesheet Raw'!$P$4:$P$8000,'Timesheet Raw'!$L$4:$L$8000,$A322,'Timesheet Raw'!$C$4:$C$8000,T$3))</f>
        <v>0</v>
      </c>
      <c r="Z322" s="375"/>
      <c r="AA322" t="str">
        <f>IF($A322="","",IF(Z322&lt;&gt;"",Z322,IF($A322&gt;'Work Calendar'!$B$17,"No data yet",IF(AND(V322&gt;='Work Calendar'!$B$14,T322+U322+W322&gt;0),"Day off - but worked",IF(V322&gt;='Work Calendar'!$B$14,"Day off",IF(T322+U322+W322&gt;0,IF($C322="Working","Charged","Worked weekend"),IF($C322="Working","Leave (not charged)",$C322)))))))</f>
        <v>No data yet</v>
      </c>
    </row>
    <row r="323" spans="1:27" x14ac:dyDescent="0.3">
      <c r="A323" s="371">
        <f>IF($A322="","",IF($A322+1&gt;'Work Calendar'!$B$16,"",$A322+1))</f>
        <v>46341</v>
      </c>
      <c r="B323" t="str">
        <f t="shared" si="16"/>
        <v>Sun</v>
      </c>
      <c r="C323" t="str" cm="1">
        <f t="array" ref="C323">IF($A323="","",IF(COUNTIF('Work Calendar'!$E$6:$E$200,$A323)&gt;0,"Holiday",IF(INDEX('Work Calendar'!$C$6:$C$12,WEEKDAY($A323,1))=1,"Working","Weekend")))</f>
        <v>Working</v>
      </c>
      <c r="D323" s="341">
        <f>IF($A323="","",SUMIFS('Timesheet Raw'!$P$4:$P$8000,'Timesheet Raw'!$L$4:$L$8000,$A323,'Timesheet Raw'!$C$4:$C$8000,D$3,'Timesheet Raw'!$A$4:$A$8000,"1-Projects"))</f>
        <v>0</v>
      </c>
      <c r="E323" s="341">
        <f>IF($A323="","",SUMIFS('Timesheet Raw'!$P$4:$P$8000,'Timesheet Raw'!$L$4:$L$8000,$A323,'Timesheet Raw'!$C$4:$C$8000,D$3,'Timesheet Raw'!$A$4:$A$8000,"2-Proposals Chargeable")+SUMIFS('Timesheet Raw'!$P$4:$P$8000,'Timesheet Raw'!$L$4:$L$8000,$A323,'Timesheet Raw'!$C$4:$C$8000,D$3,'Timesheet Raw'!$A$4:$A$8000,"3-Proposals Regular"))</f>
        <v>0</v>
      </c>
      <c r="F323" s="341">
        <f>IF($A323="","",SUMIFS('Timesheet Raw'!$P$4:$P$8000,'Timesheet Raw'!$L$4:$L$8000,$A323,'Timesheet Raw'!$C$4:$C$8000,D$3,'Timesheet Raw'!$B$4:$B$8000,'Work Calendar'!$A$26)+SUMIFS('Timesheet Raw'!$P$4:$P$8000,'Timesheet Raw'!$L$4:$L$8000,$A323,'Timesheet Raw'!$C$4:$C$8000,D$3,'Timesheet Raw'!$B$4:$B$8000,'Work Calendar'!$A$27)+SUMIFS('Timesheet Raw'!$P$4:$P$8000,'Timesheet Raw'!$L$4:$L$8000,$A323,'Timesheet Raw'!$C$4:$C$8000,D$3,'Timesheet Raw'!$B$4:$B$8000,'Work Calendar'!$A$28)+SUMIFS('Timesheet Raw'!$P$4:$P$8000,'Timesheet Raw'!$L$4:$L$8000,$A323,'Timesheet Raw'!$C$4:$C$8000,D$3,'Timesheet Raw'!$B$4:$B$8000,'Work Calendar'!$A$29))</f>
        <v>0</v>
      </c>
      <c r="G323" s="341">
        <f t="shared" si="17"/>
        <v>0</v>
      </c>
      <c r="H323" s="395">
        <f>IF($A323="","",SUMIFS('Timesheet Raw'!$K$4:$K$8000,'Timesheet Raw'!$L$4:$L$8000,$A323,'Timesheet Raw'!$C$4:$C$8000,D$3))</f>
        <v>0</v>
      </c>
      <c r="I323" s="345">
        <f>IF($A323="","",SUMIFS('Timesheet Raw'!$P$4:$P$8000,'Timesheet Raw'!$L$4:$L$8000,$A323,'Timesheet Raw'!$C$4:$C$8000,D$3))</f>
        <v>0</v>
      </c>
      <c r="J323" s="375"/>
      <c r="K323" t="str">
        <f>IF($A323="","",IF(J323&lt;&gt;"",J323,IF($A323&gt;'Work Calendar'!$B$17,"No data yet",IF(AND(F323&gt;='Work Calendar'!$B$14,D323+E323+G323&gt;0),"Day off - but worked",IF(F323&gt;='Work Calendar'!$B$14,"Day off",IF(D323+E323+G323&gt;0,IF($C323="Working","Charged","Worked weekend"),IF($C323="Working","Leave (not charged)",$C323)))))))</f>
        <v>No data yet</v>
      </c>
      <c r="L323" s="341">
        <f>IF($A323="","",SUMIFS('Timesheet Raw'!$P$4:$P$8000,'Timesheet Raw'!$L$4:$L$8000,$A323,'Timesheet Raw'!$C$4:$C$8000,L$3,'Timesheet Raw'!$A$4:$A$8000,"1-Projects"))</f>
        <v>0</v>
      </c>
      <c r="M323" s="341">
        <f>IF($A323="","",SUMIFS('Timesheet Raw'!$P$4:$P$8000,'Timesheet Raw'!$L$4:$L$8000,$A323,'Timesheet Raw'!$C$4:$C$8000,L$3,'Timesheet Raw'!$A$4:$A$8000,"2-Proposals Chargeable")+SUMIFS('Timesheet Raw'!$P$4:$P$8000,'Timesheet Raw'!$L$4:$L$8000,$A323,'Timesheet Raw'!$C$4:$C$8000,L$3,'Timesheet Raw'!$A$4:$A$8000,"3-Proposals Regular"))</f>
        <v>0</v>
      </c>
      <c r="N323" s="341">
        <f>IF($A323="","",SUMIFS('Timesheet Raw'!$P$4:$P$8000,'Timesheet Raw'!$L$4:$L$8000,$A323,'Timesheet Raw'!$C$4:$C$8000,L$3,'Timesheet Raw'!$B$4:$B$8000,'Work Calendar'!$A$26)+SUMIFS('Timesheet Raw'!$P$4:$P$8000,'Timesheet Raw'!$L$4:$L$8000,$A323,'Timesheet Raw'!$C$4:$C$8000,L$3,'Timesheet Raw'!$B$4:$B$8000,'Work Calendar'!$A$27)+SUMIFS('Timesheet Raw'!$P$4:$P$8000,'Timesheet Raw'!$L$4:$L$8000,$A323,'Timesheet Raw'!$C$4:$C$8000,L$3,'Timesheet Raw'!$B$4:$B$8000,'Work Calendar'!$A$28)+SUMIFS('Timesheet Raw'!$P$4:$P$8000,'Timesheet Raw'!$L$4:$L$8000,$A323,'Timesheet Raw'!$C$4:$C$8000,L$3,'Timesheet Raw'!$B$4:$B$8000,'Work Calendar'!$A$29))</f>
        <v>0</v>
      </c>
      <c r="O323" s="341">
        <f t="shared" si="18"/>
        <v>0</v>
      </c>
      <c r="P323" s="395">
        <f>IF($A323="","",SUMIFS('Timesheet Raw'!$K$4:$K$8000,'Timesheet Raw'!$L$4:$L$8000,$A323,'Timesheet Raw'!$C$4:$C$8000,L$3))</f>
        <v>0</v>
      </c>
      <c r="Q323" s="345">
        <f>IF($A323="","",SUMIFS('Timesheet Raw'!$P$4:$P$8000,'Timesheet Raw'!$L$4:$L$8000,$A323,'Timesheet Raw'!$C$4:$C$8000,L$3))</f>
        <v>0</v>
      </c>
      <c r="R323" s="375"/>
      <c r="S323" t="str">
        <f>IF($A323="","",IF(R323&lt;&gt;"",R323,IF($A323&gt;'Work Calendar'!$B$17,"No data yet",IF(AND(N323&gt;='Work Calendar'!$B$14,L323+M323+O323&gt;0),"Day off - but worked",IF(N323&gt;='Work Calendar'!$B$14,"Day off",IF(L323+M323+O323&gt;0,IF($C323="Working","Charged","Worked weekend"),IF($C323="Working","Leave (not charged)",$C323)))))))</f>
        <v>No data yet</v>
      </c>
      <c r="T323" s="341">
        <f>IF($A323="","",SUMIFS('Timesheet Raw'!$P$4:$P$8000,'Timesheet Raw'!$L$4:$L$8000,$A323,'Timesheet Raw'!$C$4:$C$8000,T$3,'Timesheet Raw'!$A$4:$A$8000,"1-Projects"))</f>
        <v>0</v>
      </c>
      <c r="U323" s="341">
        <f>IF($A323="","",SUMIFS('Timesheet Raw'!$P$4:$P$8000,'Timesheet Raw'!$L$4:$L$8000,$A323,'Timesheet Raw'!$C$4:$C$8000,T$3,'Timesheet Raw'!$A$4:$A$8000,"2-Proposals Chargeable")+SUMIFS('Timesheet Raw'!$P$4:$P$8000,'Timesheet Raw'!$L$4:$L$8000,$A323,'Timesheet Raw'!$C$4:$C$8000,T$3,'Timesheet Raw'!$A$4:$A$8000,"3-Proposals Regular"))</f>
        <v>0</v>
      </c>
      <c r="V323" s="341">
        <f>IF($A323="","",SUMIFS('Timesheet Raw'!$P$4:$P$8000,'Timesheet Raw'!$L$4:$L$8000,$A323,'Timesheet Raw'!$C$4:$C$8000,T$3,'Timesheet Raw'!$B$4:$B$8000,'Work Calendar'!$A$26)+SUMIFS('Timesheet Raw'!$P$4:$P$8000,'Timesheet Raw'!$L$4:$L$8000,$A323,'Timesheet Raw'!$C$4:$C$8000,T$3,'Timesheet Raw'!$B$4:$B$8000,'Work Calendar'!$A$27)+SUMIFS('Timesheet Raw'!$P$4:$P$8000,'Timesheet Raw'!$L$4:$L$8000,$A323,'Timesheet Raw'!$C$4:$C$8000,T$3,'Timesheet Raw'!$B$4:$B$8000,'Work Calendar'!$A$28)+SUMIFS('Timesheet Raw'!$P$4:$P$8000,'Timesheet Raw'!$L$4:$L$8000,$A323,'Timesheet Raw'!$C$4:$C$8000,T$3,'Timesheet Raw'!$B$4:$B$8000,'Work Calendar'!$A$29))</f>
        <v>0</v>
      </c>
      <c r="W323" s="341">
        <f t="shared" si="19"/>
        <v>0</v>
      </c>
      <c r="X323" s="395">
        <f>IF($A323="","",SUMIFS('Timesheet Raw'!$K$4:$K$8000,'Timesheet Raw'!$L$4:$L$8000,$A323,'Timesheet Raw'!$C$4:$C$8000,T$3))</f>
        <v>0</v>
      </c>
      <c r="Y323" s="345">
        <f>IF($A323="","",SUMIFS('Timesheet Raw'!$P$4:$P$8000,'Timesheet Raw'!$L$4:$L$8000,$A323,'Timesheet Raw'!$C$4:$C$8000,T$3))</f>
        <v>0</v>
      </c>
      <c r="Z323" s="375"/>
      <c r="AA323" t="str">
        <f>IF($A323="","",IF(Z323&lt;&gt;"",Z323,IF($A323&gt;'Work Calendar'!$B$17,"No data yet",IF(AND(V323&gt;='Work Calendar'!$B$14,T323+U323+W323&gt;0),"Day off - but worked",IF(V323&gt;='Work Calendar'!$B$14,"Day off",IF(T323+U323+W323&gt;0,IF($C323="Working","Charged","Worked weekend"),IF($C323="Working","Leave (not charged)",$C323)))))))</f>
        <v>No data yet</v>
      </c>
    </row>
    <row r="324" spans="1:27" x14ac:dyDescent="0.3">
      <c r="A324" s="371">
        <f>IF($A323="","",IF($A323+1&gt;'Work Calendar'!$B$16,"",$A323+1))</f>
        <v>46342</v>
      </c>
      <c r="B324" t="str">
        <f t="shared" si="16"/>
        <v>Mon</v>
      </c>
      <c r="C324" t="str" cm="1">
        <f t="array" ref="C324">IF($A324="","",IF(COUNTIF('Work Calendar'!$E$6:$E$200,$A324)&gt;0,"Holiday",IF(INDEX('Work Calendar'!$C$6:$C$12,WEEKDAY($A324,1))=1,"Working","Weekend")))</f>
        <v>Working</v>
      </c>
      <c r="D324" s="341">
        <f>IF($A324="","",SUMIFS('Timesheet Raw'!$P$4:$P$8000,'Timesheet Raw'!$L$4:$L$8000,$A324,'Timesheet Raw'!$C$4:$C$8000,D$3,'Timesheet Raw'!$A$4:$A$8000,"1-Projects"))</f>
        <v>0</v>
      </c>
      <c r="E324" s="341">
        <f>IF($A324="","",SUMIFS('Timesheet Raw'!$P$4:$P$8000,'Timesheet Raw'!$L$4:$L$8000,$A324,'Timesheet Raw'!$C$4:$C$8000,D$3,'Timesheet Raw'!$A$4:$A$8000,"2-Proposals Chargeable")+SUMIFS('Timesheet Raw'!$P$4:$P$8000,'Timesheet Raw'!$L$4:$L$8000,$A324,'Timesheet Raw'!$C$4:$C$8000,D$3,'Timesheet Raw'!$A$4:$A$8000,"3-Proposals Regular"))</f>
        <v>0</v>
      </c>
      <c r="F324" s="341">
        <f>IF($A324="","",SUMIFS('Timesheet Raw'!$P$4:$P$8000,'Timesheet Raw'!$L$4:$L$8000,$A324,'Timesheet Raw'!$C$4:$C$8000,D$3,'Timesheet Raw'!$B$4:$B$8000,'Work Calendar'!$A$26)+SUMIFS('Timesheet Raw'!$P$4:$P$8000,'Timesheet Raw'!$L$4:$L$8000,$A324,'Timesheet Raw'!$C$4:$C$8000,D$3,'Timesheet Raw'!$B$4:$B$8000,'Work Calendar'!$A$27)+SUMIFS('Timesheet Raw'!$P$4:$P$8000,'Timesheet Raw'!$L$4:$L$8000,$A324,'Timesheet Raw'!$C$4:$C$8000,D$3,'Timesheet Raw'!$B$4:$B$8000,'Work Calendar'!$A$28)+SUMIFS('Timesheet Raw'!$P$4:$P$8000,'Timesheet Raw'!$L$4:$L$8000,$A324,'Timesheet Raw'!$C$4:$C$8000,D$3,'Timesheet Raw'!$B$4:$B$8000,'Work Calendar'!$A$29))</f>
        <v>0</v>
      </c>
      <c r="G324" s="341">
        <f t="shared" si="17"/>
        <v>0</v>
      </c>
      <c r="H324" s="395">
        <f>IF($A324="","",SUMIFS('Timesheet Raw'!$K$4:$K$8000,'Timesheet Raw'!$L$4:$L$8000,$A324,'Timesheet Raw'!$C$4:$C$8000,D$3))</f>
        <v>0</v>
      </c>
      <c r="I324" s="345">
        <f>IF($A324="","",SUMIFS('Timesheet Raw'!$P$4:$P$8000,'Timesheet Raw'!$L$4:$L$8000,$A324,'Timesheet Raw'!$C$4:$C$8000,D$3))</f>
        <v>0</v>
      </c>
      <c r="J324" s="375"/>
      <c r="K324" t="str">
        <f>IF($A324="","",IF(J324&lt;&gt;"",J324,IF($A324&gt;'Work Calendar'!$B$17,"No data yet",IF(AND(F324&gt;='Work Calendar'!$B$14,D324+E324+G324&gt;0),"Day off - but worked",IF(F324&gt;='Work Calendar'!$B$14,"Day off",IF(D324+E324+G324&gt;0,IF($C324="Working","Charged","Worked weekend"),IF($C324="Working","Leave (not charged)",$C324)))))))</f>
        <v>No data yet</v>
      </c>
      <c r="L324" s="341">
        <f>IF($A324="","",SUMIFS('Timesheet Raw'!$P$4:$P$8000,'Timesheet Raw'!$L$4:$L$8000,$A324,'Timesheet Raw'!$C$4:$C$8000,L$3,'Timesheet Raw'!$A$4:$A$8000,"1-Projects"))</f>
        <v>0</v>
      </c>
      <c r="M324" s="341">
        <f>IF($A324="","",SUMIFS('Timesheet Raw'!$P$4:$P$8000,'Timesheet Raw'!$L$4:$L$8000,$A324,'Timesheet Raw'!$C$4:$C$8000,L$3,'Timesheet Raw'!$A$4:$A$8000,"2-Proposals Chargeable")+SUMIFS('Timesheet Raw'!$P$4:$P$8000,'Timesheet Raw'!$L$4:$L$8000,$A324,'Timesheet Raw'!$C$4:$C$8000,L$3,'Timesheet Raw'!$A$4:$A$8000,"3-Proposals Regular"))</f>
        <v>0</v>
      </c>
      <c r="N324" s="341">
        <f>IF($A324="","",SUMIFS('Timesheet Raw'!$P$4:$P$8000,'Timesheet Raw'!$L$4:$L$8000,$A324,'Timesheet Raw'!$C$4:$C$8000,L$3,'Timesheet Raw'!$B$4:$B$8000,'Work Calendar'!$A$26)+SUMIFS('Timesheet Raw'!$P$4:$P$8000,'Timesheet Raw'!$L$4:$L$8000,$A324,'Timesheet Raw'!$C$4:$C$8000,L$3,'Timesheet Raw'!$B$4:$B$8000,'Work Calendar'!$A$27)+SUMIFS('Timesheet Raw'!$P$4:$P$8000,'Timesheet Raw'!$L$4:$L$8000,$A324,'Timesheet Raw'!$C$4:$C$8000,L$3,'Timesheet Raw'!$B$4:$B$8000,'Work Calendar'!$A$28)+SUMIFS('Timesheet Raw'!$P$4:$P$8000,'Timesheet Raw'!$L$4:$L$8000,$A324,'Timesheet Raw'!$C$4:$C$8000,L$3,'Timesheet Raw'!$B$4:$B$8000,'Work Calendar'!$A$29))</f>
        <v>0</v>
      </c>
      <c r="O324" s="341">
        <f t="shared" si="18"/>
        <v>0</v>
      </c>
      <c r="P324" s="395">
        <f>IF($A324="","",SUMIFS('Timesheet Raw'!$K$4:$K$8000,'Timesheet Raw'!$L$4:$L$8000,$A324,'Timesheet Raw'!$C$4:$C$8000,L$3))</f>
        <v>0</v>
      </c>
      <c r="Q324" s="345">
        <f>IF($A324="","",SUMIFS('Timesheet Raw'!$P$4:$P$8000,'Timesheet Raw'!$L$4:$L$8000,$A324,'Timesheet Raw'!$C$4:$C$8000,L$3))</f>
        <v>0</v>
      </c>
      <c r="R324" s="375"/>
      <c r="S324" t="str">
        <f>IF($A324="","",IF(R324&lt;&gt;"",R324,IF($A324&gt;'Work Calendar'!$B$17,"No data yet",IF(AND(N324&gt;='Work Calendar'!$B$14,L324+M324+O324&gt;0),"Day off - but worked",IF(N324&gt;='Work Calendar'!$B$14,"Day off",IF(L324+M324+O324&gt;0,IF($C324="Working","Charged","Worked weekend"),IF($C324="Working","Leave (not charged)",$C324)))))))</f>
        <v>No data yet</v>
      </c>
      <c r="T324" s="341">
        <f>IF($A324="","",SUMIFS('Timesheet Raw'!$P$4:$P$8000,'Timesheet Raw'!$L$4:$L$8000,$A324,'Timesheet Raw'!$C$4:$C$8000,T$3,'Timesheet Raw'!$A$4:$A$8000,"1-Projects"))</f>
        <v>0</v>
      </c>
      <c r="U324" s="341">
        <f>IF($A324="","",SUMIFS('Timesheet Raw'!$P$4:$P$8000,'Timesheet Raw'!$L$4:$L$8000,$A324,'Timesheet Raw'!$C$4:$C$8000,T$3,'Timesheet Raw'!$A$4:$A$8000,"2-Proposals Chargeable")+SUMIFS('Timesheet Raw'!$P$4:$P$8000,'Timesheet Raw'!$L$4:$L$8000,$A324,'Timesheet Raw'!$C$4:$C$8000,T$3,'Timesheet Raw'!$A$4:$A$8000,"3-Proposals Regular"))</f>
        <v>0</v>
      </c>
      <c r="V324" s="341">
        <f>IF($A324="","",SUMIFS('Timesheet Raw'!$P$4:$P$8000,'Timesheet Raw'!$L$4:$L$8000,$A324,'Timesheet Raw'!$C$4:$C$8000,T$3,'Timesheet Raw'!$B$4:$B$8000,'Work Calendar'!$A$26)+SUMIFS('Timesheet Raw'!$P$4:$P$8000,'Timesheet Raw'!$L$4:$L$8000,$A324,'Timesheet Raw'!$C$4:$C$8000,T$3,'Timesheet Raw'!$B$4:$B$8000,'Work Calendar'!$A$27)+SUMIFS('Timesheet Raw'!$P$4:$P$8000,'Timesheet Raw'!$L$4:$L$8000,$A324,'Timesheet Raw'!$C$4:$C$8000,T$3,'Timesheet Raw'!$B$4:$B$8000,'Work Calendar'!$A$28)+SUMIFS('Timesheet Raw'!$P$4:$P$8000,'Timesheet Raw'!$L$4:$L$8000,$A324,'Timesheet Raw'!$C$4:$C$8000,T$3,'Timesheet Raw'!$B$4:$B$8000,'Work Calendar'!$A$29))</f>
        <v>0</v>
      </c>
      <c r="W324" s="341">
        <f t="shared" si="19"/>
        <v>0</v>
      </c>
      <c r="X324" s="395">
        <f>IF($A324="","",SUMIFS('Timesheet Raw'!$K$4:$K$8000,'Timesheet Raw'!$L$4:$L$8000,$A324,'Timesheet Raw'!$C$4:$C$8000,T$3))</f>
        <v>0</v>
      </c>
      <c r="Y324" s="345">
        <f>IF($A324="","",SUMIFS('Timesheet Raw'!$P$4:$P$8000,'Timesheet Raw'!$L$4:$L$8000,$A324,'Timesheet Raw'!$C$4:$C$8000,T$3))</f>
        <v>0</v>
      </c>
      <c r="Z324" s="375"/>
      <c r="AA324" t="str">
        <f>IF($A324="","",IF(Z324&lt;&gt;"",Z324,IF($A324&gt;'Work Calendar'!$B$17,"No data yet",IF(AND(V324&gt;='Work Calendar'!$B$14,T324+U324+W324&gt;0),"Day off - but worked",IF(V324&gt;='Work Calendar'!$B$14,"Day off",IF(T324+U324+W324&gt;0,IF($C324="Working","Charged","Worked weekend"),IF($C324="Working","Leave (not charged)",$C324)))))))</f>
        <v>No data yet</v>
      </c>
    </row>
    <row r="325" spans="1:27" x14ac:dyDescent="0.3">
      <c r="A325" s="371">
        <f>IF($A324="","",IF($A324+1&gt;'Work Calendar'!$B$16,"",$A324+1))</f>
        <v>46343</v>
      </c>
      <c r="B325" t="str">
        <f t="shared" si="16"/>
        <v>Tue</v>
      </c>
      <c r="C325" t="str" cm="1">
        <f t="array" ref="C325">IF($A325="","",IF(COUNTIF('Work Calendar'!$E$6:$E$200,$A325)&gt;0,"Holiday",IF(INDEX('Work Calendar'!$C$6:$C$12,WEEKDAY($A325,1))=1,"Working","Weekend")))</f>
        <v>Working</v>
      </c>
      <c r="D325" s="341">
        <f>IF($A325="","",SUMIFS('Timesheet Raw'!$P$4:$P$8000,'Timesheet Raw'!$L$4:$L$8000,$A325,'Timesheet Raw'!$C$4:$C$8000,D$3,'Timesheet Raw'!$A$4:$A$8000,"1-Projects"))</f>
        <v>0</v>
      </c>
      <c r="E325" s="341">
        <f>IF($A325="","",SUMIFS('Timesheet Raw'!$P$4:$P$8000,'Timesheet Raw'!$L$4:$L$8000,$A325,'Timesheet Raw'!$C$4:$C$8000,D$3,'Timesheet Raw'!$A$4:$A$8000,"2-Proposals Chargeable")+SUMIFS('Timesheet Raw'!$P$4:$P$8000,'Timesheet Raw'!$L$4:$L$8000,$A325,'Timesheet Raw'!$C$4:$C$8000,D$3,'Timesheet Raw'!$A$4:$A$8000,"3-Proposals Regular"))</f>
        <v>0</v>
      </c>
      <c r="F325" s="341">
        <f>IF($A325="","",SUMIFS('Timesheet Raw'!$P$4:$P$8000,'Timesheet Raw'!$L$4:$L$8000,$A325,'Timesheet Raw'!$C$4:$C$8000,D$3,'Timesheet Raw'!$B$4:$B$8000,'Work Calendar'!$A$26)+SUMIFS('Timesheet Raw'!$P$4:$P$8000,'Timesheet Raw'!$L$4:$L$8000,$A325,'Timesheet Raw'!$C$4:$C$8000,D$3,'Timesheet Raw'!$B$4:$B$8000,'Work Calendar'!$A$27)+SUMIFS('Timesheet Raw'!$P$4:$P$8000,'Timesheet Raw'!$L$4:$L$8000,$A325,'Timesheet Raw'!$C$4:$C$8000,D$3,'Timesheet Raw'!$B$4:$B$8000,'Work Calendar'!$A$28)+SUMIFS('Timesheet Raw'!$P$4:$P$8000,'Timesheet Raw'!$L$4:$L$8000,$A325,'Timesheet Raw'!$C$4:$C$8000,D$3,'Timesheet Raw'!$B$4:$B$8000,'Work Calendar'!$A$29))</f>
        <v>0</v>
      </c>
      <c r="G325" s="341">
        <f t="shared" si="17"/>
        <v>0</v>
      </c>
      <c r="H325" s="395">
        <f>IF($A325="","",SUMIFS('Timesheet Raw'!$K$4:$K$8000,'Timesheet Raw'!$L$4:$L$8000,$A325,'Timesheet Raw'!$C$4:$C$8000,D$3))</f>
        <v>0</v>
      </c>
      <c r="I325" s="345">
        <f>IF($A325="","",SUMIFS('Timesheet Raw'!$P$4:$P$8000,'Timesheet Raw'!$L$4:$L$8000,$A325,'Timesheet Raw'!$C$4:$C$8000,D$3))</f>
        <v>0</v>
      </c>
      <c r="J325" s="375"/>
      <c r="K325" t="str">
        <f>IF($A325="","",IF(J325&lt;&gt;"",J325,IF($A325&gt;'Work Calendar'!$B$17,"No data yet",IF(AND(F325&gt;='Work Calendar'!$B$14,D325+E325+G325&gt;0),"Day off - but worked",IF(F325&gt;='Work Calendar'!$B$14,"Day off",IF(D325+E325+G325&gt;0,IF($C325="Working","Charged","Worked weekend"),IF($C325="Working","Leave (not charged)",$C325)))))))</f>
        <v>No data yet</v>
      </c>
      <c r="L325" s="341">
        <f>IF($A325="","",SUMIFS('Timesheet Raw'!$P$4:$P$8000,'Timesheet Raw'!$L$4:$L$8000,$A325,'Timesheet Raw'!$C$4:$C$8000,L$3,'Timesheet Raw'!$A$4:$A$8000,"1-Projects"))</f>
        <v>0</v>
      </c>
      <c r="M325" s="341">
        <f>IF($A325="","",SUMIFS('Timesheet Raw'!$P$4:$P$8000,'Timesheet Raw'!$L$4:$L$8000,$A325,'Timesheet Raw'!$C$4:$C$8000,L$3,'Timesheet Raw'!$A$4:$A$8000,"2-Proposals Chargeable")+SUMIFS('Timesheet Raw'!$P$4:$P$8000,'Timesheet Raw'!$L$4:$L$8000,$A325,'Timesheet Raw'!$C$4:$C$8000,L$3,'Timesheet Raw'!$A$4:$A$8000,"3-Proposals Regular"))</f>
        <v>0</v>
      </c>
      <c r="N325" s="341">
        <f>IF($A325="","",SUMIFS('Timesheet Raw'!$P$4:$P$8000,'Timesheet Raw'!$L$4:$L$8000,$A325,'Timesheet Raw'!$C$4:$C$8000,L$3,'Timesheet Raw'!$B$4:$B$8000,'Work Calendar'!$A$26)+SUMIFS('Timesheet Raw'!$P$4:$P$8000,'Timesheet Raw'!$L$4:$L$8000,$A325,'Timesheet Raw'!$C$4:$C$8000,L$3,'Timesheet Raw'!$B$4:$B$8000,'Work Calendar'!$A$27)+SUMIFS('Timesheet Raw'!$P$4:$P$8000,'Timesheet Raw'!$L$4:$L$8000,$A325,'Timesheet Raw'!$C$4:$C$8000,L$3,'Timesheet Raw'!$B$4:$B$8000,'Work Calendar'!$A$28)+SUMIFS('Timesheet Raw'!$P$4:$P$8000,'Timesheet Raw'!$L$4:$L$8000,$A325,'Timesheet Raw'!$C$4:$C$8000,L$3,'Timesheet Raw'!$B$4:$B$8000,'Work Calendar'!$A$29))</f>
        <v>0</v>
      </c>
      <c r="O325" s="341">
        <f t="shared" si="18"/>
        <v>0</v>
      </c>
      <c r="P325" s="395">
        <f>IF($A325="","",SUMIFS('Timesheet Raw'!$K$4:$K$8000,'Timesheet Raw'!$L$4:$L$8000,$A325,'Timesheet Raw'!$C$4:$C$8000,L$3))</f>
        <v>0</v>
      </c>
      <c r="Q325" s="345">
        <f>IF($A325="","",SUMIFS('Timesheet Raw'!$P$4:$P$8000,'Timesheet Raw'!$L$4:$L$8000,$A325,'Timesheet Raw'!$C$4:$C$8000,L$3))</f>
        <v>0</v>
      </c>
      <c r="R325" s="375"/>
      <c r="S325" t="str">
        <f>IF($A325="","",IF(R325&lt;&gt;"",R325,IF($A325&gt;'Work Calendar'!$B$17,"No data yet",IF(AND(N325&gt;='Work Calendar'!$B$14,L325+M325+O325&gt;0),"Day off - but worked",IF(N325&gt;='Work Calendar'!$B$14,"Day off",IF(L325+M325+O325&gt;0,IF($C325="Working","Charged","Worked weekend"),IF($C325="Working","Leave (not charged)",$C325)))))))</f>
        <v>No data yet</v>
      </c>
      <c r="T325" s="341">
        <f>IF($A325="","",SUMIFS('Timesheet Raw'!$P$4:$P$8000,'Timesheet Raw'!$L$4:$L$8000,$A325,'Timesheet Raw'!$C$4:$C$8000,T$3,'Timesheet Raw'!$A$4:$A$8000,"1-Projects"))</f>
        <v>0</v>
      </c>
      <c r="U325" s="341">
        <f>IF($A325="","",SUMIFS('Timesheet Raw'!$P$4:$P$8000,'Timesheet Raw'!$L$4:$L$8000,$A325,'Timesheet Raw'!$C$4:$C$8000,T$3,'Timesheet Raw'!$A$4:$A$8000,"2-Proposals Chargeable")+SUMIFS('Timesheet Raw'!$P$4:$P$8000,'Timesheet Raw'!$L$4:$L$8000,$A325,'Timesheet Raw'!$C$4:$C$8000,T$3,'Timesheet Raw'!$A$4:$A$8000,"3-Proposals Regular"))</f>
        <v>0</v>
      </c>
      <c r="V325" s="341">
        <f>IF($A325="","",SUMIFS('Timesheet Raw'!$P$4:$P$8000,'Timesheet Raw'!$L$4:$L$8000,$A325,'Timesheet Raw'!$C$4:$C$8000,T$3,'Timesheet Raw'!$B$4:$B$8000,'Work Calendar'!$A$26)+SUMIFS('Timesheet Raw'!$P$4:$P$8000,'Timesheet Raw'!$L$4:$L$8000,$A325,'Timesheet Raw'!$C$4:$C$8000,T$3,'Timesheet Raw'!$B$4:$B$8000,'Work Calendar'!$A$27)+SUMIFS('Timesheet Raw'!$P$4:$P$8000,'Timesheet Raw'!$L$4:$L$8000,$A325,'Timesheet Raw'!$C$4:$C$8000,T$3,'Timesheet Raw'!$B$4:$B$8000,'Work Calendar'!$A$28)+SUMIFS('Timesheet Raw'!$P$4:$P$8000,'Timesheet Raw'!$L$4:$L$8000,$A325,'Timesheet Raw'!$C$4:$C$8000,T$3,'Timesheet Raw'!$B$4:$B$8000,'Work Calendar'!$A$29))</f>
        <v>0</v>
      </c>
      <c r="W325" s="341">
        <f t="shared" si="19"/>
        <v>0</v>
      </c>
      <c r="X325" s="395">
        <f>IF($A325="","",SUMIFS('Timesheet Raw'!$K$4:$K$8000,'Timesheet Raw'!$L$4:$L$8000,$A325,'Timesheet Raw'!$C$4:$C$8000,T$3))</f>
        <v>0</v>
      </c>
      <c r="Y325" s="345">
        <f>IF($A325="","",SUMIFS('Timesheet Raw'!$P$4:$P$8000,'Timesheet Raw'!$L$4:$L$8000,$A325,'Timesheet Raw'!$C$4:$C$8000,T$3))</f>
        <v>0</v>
      </c>
      <c r="Z325" s="375"/>
      <c r="AA325" t="str">
        <f>IF($A325="","",IF(Z325&lt;&gt;"",Z325,IF($A325&gt;'Work Calendar'!$B$17,"No data yet",IF(AND(V325&gt;='Work Calendar'!$B$14,T325+U325+W325&gt;0),"Day off - but worked",IF(V325&gt;='Work Calendar'!$B$14,"Day off",IF(T325+U325+W325&gt;0,IF($C325="Working","Charged","Worked weekend"),IF($C325="Working","Leave (not charged)",$C325)))))))</f>
        <v>No data yet</v>
      </c>
    </row>
    <row r="326" spans="1:27" x14ac:dyDescent="0.3">
      <c r="A326" s="371">
        <f>IF($A325="","",IF($A325+1&gt;'Work Calendar'!$B$16,"",$A325+1))</f>
        <v>46344</v>
      </c>
      <c r="B326" t="str">
        <f t="shared" ref="B326:B369" si="20">IF($A326="","",TEXT($A326,"ddd"))</f>
        <v>Wed</v>
      </c>
      <c r="C326" t="str" cm="1">
        <f t="array" ref="C326">IF($A326="","",IF(COUNTIF('Work Calendar'!$E$6:$E$200,$A326)&gt;0,"Holiday",IF(INDEX('Work Calendar'!$C$6:$C$12,WEEKDAY($A326,1))=1,"Working","Weekend")))</f>
        <v>Working</v>
      </c>
      <c r="D326" s="341">
        <f>IF($A326="","",SUMIFS('Timesheet Raw'!$P$4:$P$8000,'Timesheet Raw'!$L$4:$L$8000,$A326,'Timesheet Raw'!$C$4:$C$8000,D$3,'Timesheet Raw'!$A$4:$A$8000,"1-Projects"))</f>
        <v>0</v>
      </c>
      <c r="E326" s="341">
        <f>IF($A326="","",SUMIFS('Timesheet Raw'!$P$4:$P$8000,'Timesheet Raw'!$L$4:$L$8000,$A326,'Timesheet Raw'!$C$4:$C$8000,D$3,'Timesheet Raw'!$A$4:$A$8000,"2-Proposals Chargeable")+SUMIFS('Timesheet Raw'!$P$4:$P$8000,'Timesheet Raw'!$L$4:$L$8000,$A326,'Timesheet Raw'!$C$4:$C$8000,D$3,'Timesheet Raw'!$A$4:$A$8000,"3-Proposals Regular"))</f>
        <v>0</v>
      </c>
      <c r="F326" s="341">
        <f>IF($A326="","",SUMIFS('Timesheet Raw'!$P$4:$P$8000,'Timesheet Raw'!$L$4:$L$8000,$A326,'Timesheet Raw'!$C$4:$C$8000,D$3,'Timesheet Raw'!$B$4:$B$8000,'Work Calendar'!$A$26)+SUMIFS('Timesheet Raw'!$P$4:$P$8000,'Timesheet Raw'!$L$4:$L$8000,$A326,'Timesheet Raw'!$C$4:$C$8000,D$3,'Timesheet Raw'!$B$4:$B$8000,'Work Calendar'!$A$27)+SUMIFS('Timesheet Raw'!$P$4:$P$8000,'Timesheet Raw'!$L$4:$L$8000,$A326,'Timesheet Raw'!$C$4:$C$8000,D$3,'Timesheet Raw'!$B$4:$B$8000,'Work Calendar'!$A$28)+SUMIFS('Timesheet Raw'!$P$4:$P$8000,'Timesheet Raw'!$L$4:$L$8000,$A326,'Timesheet Raw'!$C$4:$C$8000,D$3,'Timesheet Raw'!$B$4:$B$8000,'Work Calendar'!$A$29))</f>
        <v>0</v>
      </c>
      <c r="G326" s="341">
        <f t="shared" ref="G326:G369" si="21">IF($A326="","",MAX(0,I326-D326-E326-F326))</f>
        <v>0</v>
      </c>
      <c r="H326" s="395">
        <f>IF($A326="","",SUMIFS('Timesheet Raw'!$K$4:$K$8000,'Timesheet Raw'!$L$4:$L$8000,$A326,'Timesheet Raw'!$C$4:$C$8000,D$3))</f>
        <v>0</v>
      </c>
      <c r="I326" s="345">
        <f>IF($A326="","",SUMIFS('Timesheet Raw'!$P$4:$P$8000,'Timesheet Raw'!$L$4:$L$8000,$A326,'Timesheet Raw'!$C$4:$C$8000,D$3))</f>
        <v>0</v>
      </c>
      <c r="J326" s="375"/>
      <c r="K326" t="str">
        <f>IF($A326="","",IF(J326&lt;&gt;"",J326,IF($A326&gt;'Work Calendar'!$B$17,"No data yet",IF(AND(F326&gt;='Work Calendar'!$B$14,D326+E326+G326&gt;0),"Day off - but worked",IF(F326&gt;='Work Calendar'!$B$14,"Day off",IF(D326+E326+G326&gt;0,IF($C326="Working","Charged","Worked weekend"),IF($C326="Working","Leave (not charged)",$C326)))))))</f>
        <v>No data yet</v>
      </c>
      <c r="L326" s="341">
        <f>IF($A326="","",SUMIFS('Timesheet Raw'!$P$4:$P$8000,'Timesheet Raw'!$L$4:$L$8000,$A326,'Timesheet Raw'!$C$4:$C$8000,L$3,'Timesheet Raw'!$A$4:$A$8000,"1-Projects"))</f>
        <v>0</v>
      </c>
      <c r="M326" s="341">
        <f>IF($A326="","",SUMIFS('Timesheet Raw'!$P$4:$P$8000,'Timesheet Raw'!$L$4:$L$8000,$A326,'Timesheet Raw'!$C$4:$C$8000,L$3,'Timesheet Raw'!$A$4:$A$8000,"2-Proposals Chargeable")+SUMIFS('Timesheet Raw'!$P$4:$P$8000,'Timesheet Raw'!$L$4:$L$8000,$A326,'Timesheet Raw'!$C$4:$C$8000,L$3,'Timesheet Raw'!$A$4:$A$8000,"3-Proposals Regular"))</f>
        <v>0</v>
      </c>
      <c r="N326" s="341">
        <f>IF($A326="","",SUMIFS('Timesheet Raw'!$P$4:$P$8000,'Timesheet Raw'!$L$4:$L$8000,$A326,'Timesheet Raw'!$C$4:$C$8000,L$3,'Timesheet Raw'!$B$4:$B$8000,'Work Calendar'!$A$26)+SUMIFS('Timesheet Raw'!$P$4:$P$8000,'Timesheet Raw'!$L$4:$L$8000,$A326,'Timesheet Raw'!$C$4:$C$8000,L$3,'Timesheet Raw'!$B$4:$B$8000,'Work Calendar'!$A$27)+SUMIFS('Timesheet Raw'!$P$4:$P$8000,'Timesheet Raw'!$L$4:$L$8000,$A326,'Timesheet Raw'!$C$4:$C$8000,L$3,'Timesheet Raw'!$B$4:$B$8000,'Work Calendar'!$A$28)+SUMIFS('Timesheet Raw'!$P$4:$P$8000,'Timesheet Raw'!$L$4:$L$8000,$A326,'Timesheet Raw'!$C$4:$C$8000,L$3,'Timesheet Raw'!$B$4:$B$8000,'Work Calendar'!$A$29))</f>
        <v>0</v>
      </c>
      <c r="O326" s="341">
        <f t="shared" ref="O326:O369" si="22">IF($A326="","",MAX(0,Q326-L326-M326-N326))</f>
        <v>0</v>
      </c>
      <c r="P326" s="395">
        <f>IF($A326="","",SUMIFS('Timesheet Raw'!$K$4:$K$8000,'Timesheet Raw'!$L$4:$L$8000,$A326,'Timesheet Raw'!$C$4:$C$8000,L$3))</f>
        <v>0</v>
      </c>
      <c r="Q326" s="345">
        <f>IF($A326="","",SUMIFS('Timesheet Raw'!$P$4:$P$8000,'Timesheet Raw'!$L$4:$L$8000,$A326,'Timesheet Raw'!$C$4:$C$8000,L$3))</f>
        <v>0</v>
      </c>
      <c r="R326" s="375"/>
      <c r="S326" t="str">
        <f>IF($A326="","",IF(R326&lt;&gt;"",R326,IF($A326&gt;'Work Calendar'!$B$17,"No data yet",IF(AND(N326&gt;='Work Calendar'!$B$14,L326+M326+O326&gt;0),"Day off - but worked",IF(N326&gt;='Work Calendar'!$B$14,"Day off",IF(L326+M326+O326&gt;0,IF($C326="Working","Charged","Worked weekend"),IF($C326="Working","Leave (not charged)",$C326)))))))</f>
        <v>No data yet</v>
      </c>
      <c r="T326" s="341">
        <f>IF($A326="","",SUMIFS('Timesheet Raw'!$P$4:$P$8000,'Timesheet Raw'!$L$4:$L$8000,$A326,'Timesheet Raw'!$C$4:$C$8000,T$3,'Timesheet Raw'!$A$4:$A$8000,"1-Projects"))</f>
        <v>0</v>
      </c>
      <c r="U326" s="341">
        <f>IF($A326="","",SUMIFS('Timesheet Raw'!$P$4:$P$8000,'Timesheet Raw'!$L$4:$L$8000,$A326,'Timesheet Raw'!$C$4:$C$8000,T$3,'Timesheet Raw'!$A$4:$A$8000,"2-Proposals Chargeable")+SUMIFS('Timesheet Raw'!$P$4:$P$8000,'Timesheet Raw'!$L$4:$L$8000,$A326,'Timesheet Raw'!$C$4:$C$8000,T$3,'Timesheet Raw'!$A$4:$A$8000,"3-Proposals Regular"))</f>
        <v>0</v>
      </c>
      <c r="V326" s="341">
        <f>IF($A326="","",SUMIFS('Timesheet Raw'!$P$4:$P$8000,'Timesheet Raw'!$L$4:$L$8000,$A326,'Timesheet Raw'!$C$4:$C$8000,T$3,'Timesheet Raw'!$B$4:$B$8000,'Work Calendar'!$A$26)+SUMIFS('Timesheet Raw'!$P$4:$P$8000,'Timesheet Raw'!$L$4:$L$8000,$A326,'Timesheet Raw'!$C$4:$C$8000,T$3,'Timesheet Raw'!$B$4:$B$8000,'Work Calendar'!$A$27)+SUMIFS('Timesheet Raw'!$P$4:$P$8000,'Timesheet Raw'!$L$4:$L$8000,$A326,'Timesheet Raw'!$C$4:$C$8000,T$3,'Timesheet Raw'!$B$4:$B$8000,'Work Calendar'!$A$28)+SUMIFS('Timesheet Raw'!$P$4:$P$8000,'Timesheet Raw'!$L$4:$L$8000,$A326,'Timesheet Raw'!$C$4:$C$8000,T$3,'Timesheet Raw'!$B$4:$B$8000,'Work Calendar'!$A$29))</f>
        <v>0</v>
      </c>
      <c r="W326" s="341">
        <f t="shared" ref="W326:W369" si="23">IF($A326="","",MAX(0,Y326-T326-U326-V326))</f>
        <v>0</v>
      </c>
      <c r="X326" s="395">
        <f>IF($A326="","",SUMIFS('Timesheet Raw'!$K$4:$K$8000,'Timesheet Raw'!$L$4:$L$8000,$A326,'Timesheet Raw'!$C$4:$C$8000,T$3))</f>
        <v>0</v>
      </c>
      <c r="Y326" s="345">
        <f>IF($A326="","",SUMIFS('Timesheet Raw'!$P$4:$P$8000,'Timesheet Raw'!$L$4:$L$8000,$A326,'Timesheet Raw'!$C$4:$C$8000,T$3))</f>
        <v>0</v>
      </c>
      <c r="Z326" s="375"/>
      <c r="AA326" t="str">
        <f>IF($A326="","",IF(Z326&lt;&gt;"",Z326,IF($A326&gt;'Work Calendar'!$B$17,"No data yet",IF(AND(V326&gt;='Work Calendar'!$B$14,T326+U326+W326&gt;0),"Day off - but worked",IF(V326&gt;='Work Calendar'!$B$14,"Day off",IF(T326+U326+W326&gt;0,IF($C326="Working","Charged","Worked weekend"),IF($C326="Working","Leave (not charged)",$C326)))))))</f>
        <v>No data yet</v>
      </c>
    </row>
    <row r="327" spans="1:27" x14ac:dyDescent="0.3">
      <c r="A327" s="371">
        <f>IF($A326="","",IF($A326+1&gt;'Work Calendar'!$B$16,"",$A326+1))</f>
        <v>46345</v>
      </c>
      <c r="B327" t="str">
        <f t="shared" si="20"/>
        <v>Thu</v>
      </c>
      <c r="C327" t="str" cm="1">
        <f t="array" ref="C327">IF($A327="","",IF(COUNTIF('Work Calendar'!$E$6:$E$200,$A327)&gt;0,"Holiday",IF(INDEX('Work Calendar'!$C$6:$C$12,WEEKDAY($A327,1))=1,"Working","Weekend")))</f>
        <v>Working</v>
      </c>
      <c r="D327" s="341">
        <f>IF($A327="","",SUMIFS('Timesheet Raw'!$P$4:$P$8000,'Timesheet Raw'!$L$4:$L$8000,$A327,'Timesheet Raw'!$C$4:$C$8000,D$3,'Timesheet Raw'!$A$4:$A$8000,"1-Projects"))</f>
        <v>0</v>
      </c>
      <c r="E327" s="341">
        <f>IF($A327="","",SUMIFS('Timesheet Raw'!$P$4:$P$8000,'Timesheet Raw'!$L$4:$L$8000,$A327,'Timesheet Raw'!$C$4:$C$8000,D$3,'Timesheet Raw'!$A$4:$A$8000,"2-Proposals Chargeable")+SUMIFS('Timesheet Raw'!$P$4:$P$8000,'Timesheet Raw'!$L$4:$L$8000,$A327,'Timesheet Raw'!$C$4:$C$8000,D$3,'Timesheet Raw'!$A$4:$A$8000,"3-Proposals Regular"))</f>
        <v>0</v>
      </c>
      <c r="F327" s="341">
        <f>IF($A327="","",SUMIFS('Timesheet Raw'!$P$4:$P$8000,'Timesheet Raw'!$L$4:$L$8000,$A327,'Timesheet Raw'!$C$4:$C$8000,D$3,'Timesheet Raw'!$B$4:$B$8000,'Work Calendar'!$A$26)+SUMIFS('Timesheet Raw'!$P$4:$P$8000,'Timesheet Raw'!$L$4:$L$8000,$A327,'Timesheet Raw'!$C$4:$C$8000,D$3,'Timesheet Raw'!$B$4:$B$8000,'Work Calendar'!$A$27)+SUMIFS('Timesheet Raw'!$P$4:$P$8000,'Timesheet Raw'!$L$4:$L$8000,$A327,'Timesheet Raw'!$C$4:$C$8000,D$3,'Timesheet Raw'!$B$4:$B$8000,'Work Calendar'!$A$28)+SUMIFS('Timesheet Raw'!$P$4:$P$8000,'Timesheet Raw'!$L$4:$L$8000,$A327,'Timesheet Raw'!$C$4:$C$8000,D$3,'Timesheet Raw'!$B$4:$B$8000,'Work Calendar'!$A$29))</f>
        <v>0</v>
      </c>
      <c r="G327" s="341">
        <f t="shared" si="21"/>
        <v>0</v>
      </c>
      <c r="H327" s="395">
        <f>IF($A327="","",SUMIFS('Timesheet Raw'!$K$4:$K$8000,'Timesheet Raw'!$L$4:$L$8000,$A327,'Timesheet Raw'!$C$4:$C$8000,D$3))</f>
        <v>0</v>
      </c>
      <c r="I327" s="345">
        <f>IF($A327="","",SUMIFS('Timesheet Raw'!$P$4:$P$8000,'Timesheet Raw'!$L$4:$L$8000,$A327,'Timesheet Raw'!$C$4:$C$8000,D$3))</f>
        <v>0</v>
      </c>
      <c r="J327" s="375"/>
      <c r="K327" t="str">
        <f>IF($A327="","",IF(J327&lt;&gt;"",J327,IF($A327&gt;'Work Calendar'!$B$17,"No data yet",IF(AND(F327&gt;='Work Calendar'!$B$14,D327+E327+G327&gt;0),"Day off - but worked",IF(F327&gt;='Work Calendar'!$B$14,"Day off",IF(D327+E327+G327&gt;0,IF($C327="Working","Charged","Worked weekend"),IF($C327="Working","Leave (not charged)",$C327)))))))</f>
        <v>No data yet</v>
      </c>
      <c r="L327" s="341">
        <f>IF($A327="","",SUMIFS('Timesheet Raw'!$P$4:$P$8000,'Timesheet Raw'!$L$4:$L$8000,$A327,'Timesheet Raw'!$C$4:$C$8000,L$3,'Timesheet Raw'!$A$4:$A$8000,"1-Projects"))</f>
        <v>0</v>
      </c>
      <c r="M327" s="341">
        <f>IF($A327="","",SUMIFS('Timesheet Raw'!$P$4:$P$8000,'Timesheet Raw'!$L$4:$L$8000,$A327,'Timesheet Raw'!$C$4:$C$8000,L$3,'Timesheet Raw'!$A$4:$A$8000,"2-Proposals Chargeable")+SUMIFS('Timesheet Raw'!$P$4:$P$8000,'Timesheet Raw'!$L$4:$L$8000,$A327,'Timesheet Raw'!$C$4:$C$8000,L$3,'Timesheet Raw'!$A$4:$A$8000,"3-Proposals Regular"))</f>
        <v>0</v>
      </c>
      <c r="N327" s="341">
        <f>IF($A327="","",SUMIFS('Timesheet Raw'!$P$4:$P$8000,'Timesheet Raw'!$L$4:$L$8000,$A327,'Timesheet Raw'!$C$4:$C$8000,L$3,'Timesheet Raw'!$B$4:$B$8000,'Work Calendar'!$A$26)+SUMIFS('Timesheet Raw'!$P$4:$P$8000,'Timesheet Raw'!$L$4:$L$8000,$A327,'Timesheet Raw'!$C$4:$C$8000,L$3,'Timesheet Raw'!$B$4:$B$8000,'Work Calendar'!$A$27)+SUMIFS('Timesheet Raw'!$P$4:$P$8000,'Timesheet Raw'!$L$4:$L$8000,$A327,'Timesheet Raw'!$C$4:$C$8000,L$3,'Timesheet Raw'!$B$4:$B$8000,'Work Calendar'!$A$28)+SUMIFS('Timesheet Raw'!$P$4:$P$8000,'Timesheet Raw'!$L$4:$L$8000,$A327,'Timesheet Raw'!$C$4:$C$8000,L$3,'Timesheet Raw'!$B$4:$B$8000,'Work Calendar'!$A$29))</f>
        <v>0</v>
      </c>
      <c r="O327" s="341">
        <f t="shared" si="22"/>
        <v>0</v>
      </c>
      <c r="P327" s="395">
        <f>IF($A327="","",SUMIFS('Timesheet Raw'!$K$4:$K$8000,'Timesheet Raw'!$L$4:$L$8000,$A327,'Timesheet Raw'!$C$4:$C$8000,L$3))</f>
        <v>0</v>
      </c>
      <c r="Q327" s="345">
        <f>IF($A327="","",SUMIFS('Timesheet Raw'!$P$4:$P$8000,'Timesheet Raw'!$L$4:$L$8000,$A327,'Timesheet Raw'!$C$4:$C$8000,L$3))</f>
        <v>0</v>
      </c>
      <c r="R327" s="375"/>
      <c r="S327" t="str">
        <f>IF($A327="","",IF(R327&lt;&gt;"",R327,IF($A327&gt;'Work Calendar'!$B$17,"No data yet",IF(AND(N327&gt;='Work Calendar'!$B$14,L327+M327+O327&gt;0),"Day off - but worked",IF(N327&gt;='Work Calendar'!$B$14,"Day off",IF(L327+M327+O327&gt;0,IF($C327="Working","Charged","Worked weekend"),IF($C327="Working","Leave (not charged)",$C327)))))))</f>
        <v>No data yet</v>
      </c>
      <c r="T327" s="341">
        <f>IF($A327="","",SUMIFS('Timesheet Raw'!$P$4:$P$8000,'Timesheet Raw'!$L$4:$L$8000,$A327,'Timesheet Raw'!$C$4:$C$8000,T$3,'Timesheet Raw'!$A$4:$A$8000,"1-Projects"))</f>
        <v>0</v>
      </c>
      <c r="U327" s="341">
        <f>IF($A327="","",SUMIFS('Timesheet Raw'!$P$4:$P$8000,'Timesheet Raw'!$L$4:$L$8000,$A327,'Timesheet Raw'!$C$4:$C$8000,T$3,'Timesheet Raw'!$A$4:$A$8000,"2-Proposals Chargeable")+SUMIFS('Timesheet Raw'!$P$4:$P$8000,'Timesheet Raw'!$L$4:$L$8000,$A327,'Timesheet Raw'!$C$4:$C$8000,T$3,'Timesheet Raw'!$A$4:$A$8000,"3-Proposals Regular"))</f>
        <v>0</v>
      </c>
      <c r="V327" s="341">
        <f>IF($A327="","",SUMIFS('Timesheet Raw'!$P$4:$P$8000,'Timesheet Raw'!$L$4:$L$8000,$A327,'Timesheet Raw'!$C$4:$C$8000,T$3,'Timesheet Raw'!$B$4:$B$8000,'Work Calendar'!$A$26)+SUMIFS('Timesheet Raw'!$P$4:$P$8000,'Timesheet Raw'!$L$4:$L$8000,$A327,'Timesheet Raw'!$C$4:$C$8000,T$3,'Timesheet Raw'!$B$4:$B$8000,'Work Calendar'!$A$27)+SUMIFS('Timesheet Raw'!$P$4:$P$8000,'Timesheet Raw'!$L$4:$L$8000,$A327,'Timesheet Raw'!$C$4:$C$8000,T$3,'Timesheet Raw'!$B$4:$B$8000,'Work Calendar'!$A$28)+SUMIFS('Timesheet Raw'!$P$4:$P$8000,'Timesheet Raw'!$L$4:$L$8000,$A327,'Timesheet Raw'!$C$4:$C$8000,T$3,'Timesheet Raw'!$B$4:$B$8000,'Work Calendar'!$A$29))</f>
        <v>0</v>
      </c>
      <c r="W327" s="341">
        <f t="shared" si="23"/>
        <v>0</v>
      </c>
      <c r="X327" s="395">
        <f>IF($A327="","",SUMIFS('Timesheet Raw'!$K$4:$K$8000,'Timesheet Raw'!$L$4:$L$8000,$A327,'Timesheet Raw'!$C$4:$C$8000,T$3))</f>
        <v>0</v>
      </c>
      <c r="Y327" s="345">
        <f>IF($A327="","",SUMIFS('Timesheet Raw'!$P$4:$P$8000,'Timesheet Raw'!$L$4:$L$8000,$A327,'Timesheet Raw'!$C$4:$C$8000,T$3))</f>
        <v>0</v>
      </c>
      <c r="Z327" s="375"/>
      <c r="AA327" t="str">
        <f>IF($A327="","",IF(Z327&lt;&gt;"",Z327,IF($A327&gt;'Work Calendar'!$B$17,"No data yet",IF(AND(V327&gt;='Work Calendar'!$B$14,T327+U327+W327&gt;0),"Day off - but worked",IF(V327&gt;='Work Calendar'!$B$14,"Day off",IF(T327+U327+W327&gt;0,IF($C327="Working","Charged","Worked weekend"),IF($C327="Working","Leave (not charged)",$C327)))))))</f>
        <v>No data yet</v>
      </c>
    </row>
    <row r="328" spans="1:27" x14ac:dyDescent="0.3">
      <c r="A328" s="371">
        <f>IF($A327="","",IF($A327+1&gt;'Work Calendar'!$B$16,"",$A327+1))</f>
        <v>46346</v>
      </c>
      <c r="B328" t="str">
        <f t="shared" si="20"/>
        <v>Fri</v>
      </c>
      <c r="C328" t="str" cm="1">
        <f t="array" ref="C328">IF($A328="","",IF(COUNTIF('Work Calendar'!$E$6:$E$200,$A328)&gt;0,"Holiday",IF(INDEX('Work Calendar'!$C$6:$C$12,WEEKDAY($A328,1))=1,"Working","Weekend")))</f>
        <v>Weekend</v>
      </c>
      <c r="D328" s="341">
        <f>IF($A328="","",SUMIFS('Timesheet Raw'!$P$4:$P$8000,'Timesheet Raw'!$L$4:$L$8000,$A328,'Timesheet Raw'!$C$4:$C$8000,D$3,'Timesheet Raw'!$A$4:$A$8000,"1-Projects"))</f>
        <v>0</v>
      </c>
      <c r="E328" s="341">
        <f>IF($A328="","",SUMIFS('Timesheet Raw'!$P$4:$P$8000,'Timesheet Raw'!$L$4:$L$8000,$A328,'Timesheet Raw'!$C$4:$C$8000,D$3,'Timesheet Raw'!$A$4:$A$8000,"2-Proposals Chargeable")+SUMIFS('Timesheet Raw'!$P$4:$P$8000,'Timesheet Raw'!$L$4:$L$8000,$A328,'Timesheet Raw'!$C$4:$C$8000,D$3,'Timesheet Raw'!$A$4:$A$8000,"3-Proposals Regular"))</f>
        <v>0</v>
      </c>
      <c r="F328" s="341">
        <f>IF($A328="","",SUMIFS('Timesheet Raw'!$P$4:$P$8000,'Timesheet Raw'!$L$4:$L$8000,$A328,'Timesheet Raw'!$C$4:$C$8000,D$3,'Timesheet Raw'!$B$4:$B$8000,'Work Calendar'!$A$26)+SUMIFS('Timesheet Raw'!$P$4:$P$8000,'Timesheet Raw'!$L$4:$L$8000,$A328,'Timesheet Raw'!$C$4:$C$8000,D$3,'Timesheet Raw'!$B$4:$B$8000,'Work Calendar'!$A$27)+SUMIFS('Timesheet Raw'!$P$4:$P$8000,'Timesheet Raw'!$L$4:$L$8000,$A328,'Timesheet Raw'!$C$4:$C$8000,D$3,'Timesheet Raw'!$B$4:$B$8000,'Work Calendar'!$A$28)+SUMIFS('Timesheet Raw'!$P$4:$P$8000,'Timesheet Raw'!$L$4:$L$8000,$A328,'Timesheet Raw'!$C$4:$C$8000,D$3,'Timesheet Raw'!$B$4:$B$8000,'Work Calendar'!$A$29))</f>
        <v>0</v>
      </c>
      <c r="G328" s="341">
        <f t="shared" si="21"/>
        <v>0</v>
      </c>
      <c r="H328" s="395">
        <f>IF($A328="","",SUMIFS('Timesheet Raw'!$K$4:$K$8000,'Timesheet Raw'!$L$4:$L$8000,$A328,'Timesheet Raw'!$C$4:$C$8000,D$3))</f>
        <v>0</v>
      </c>
      <c r="I328" s="345">
        <f>IF($A328="","",SUMIFS('Timesheet Raw'!$P$4:$P$8000,'Timesheet Raw'!$L$4:$L$8000,$A328,'Timesheet Raw'!$C$4:$C$8000,D$3))</f>
        <v>0</v>
      </c>
      <c r="J328" s="375"/>
      <c r="K328" t="str">
        <f>IF($A328="","",IF(J328&lt;&gt;"",J328,IF($A328&gt;'Work Calendar'!$B$17,"No data yet",IF(AND(F328&gt;='Work Calendar'!$B$14,D328+E328+G328&gt;0),"Day off - but worked",IF(F328&gt;='Work Calendar'!$B$14,"Day off",IF(D328+E328+G328&gt;0,IF($C328="Working","Charged","Worked weekend"),IF($C328="Working","Leave (not charged)",$C328)))))))</f>
        <v>No data yet</v>
      </c>
      <c r="L328" s="341">
        <f>IF($A328="","",SUMIFS('Timesheet Raw'!$P$4:$P$8000,'Timesheet Raw'!$L$4:$L$8000,$A328,'Timesheet Raw'!$C$4:$C$8000,L$3,'Timesheet Raw'!$A$4:$A$8000,"1-Projects"))</f>
        <v>0</v>
      </c>
      <c r="M328" s="341">
        <f>IF($A328="","",SUMIFS('Timesheet Raw'!$P$4:$P$8000,'Timesheet Raw'!$L$4:$L$8000,$A328,'Timesheet Raw'!$C$4:$C$8000,L$3,'Timesheet Raw'!$A$4:$A$8000,"2-Proposals Chargeable")+SUMIFS('Timesheet Raw'!$P$4:$P$8000,'Timesheet Raw'!$L$4:$L$8000,$A328,'Timesheet Raw'!$C$4:$C$8000,L$3,'Timesheet Raw'!$A$4:$A$8000,"3-Proposals Regular"))</f>
        <v>0</v>
      </c>
      <c r="N328" s="341">
        <f>IF($A328="","",SUMIFS('Timesheet Raw'!$P$4:$P$8000,'Timesheet Raw'!$L$4:$L$8000,$A328,'Timesheet Raw'!$C$4:$C$8000,L$3,'Timesheet Raw'!$B$4:$B$8000,'Work Calendar'!$A$26)+SUMIFS('Timesheet Raw'!$P$4:$P$8000,'Timesheet Raw'!$L$4:$L$8000,$A328,'Timesheet Raw'!$C$4:$C$8000,L$3,'Timesheet Raw'!$B$4:$B$8000,'Work Calendar'!$A$27)+SUMIFS('Timesheet Raw'!$P$4:$P$8000,'Timesheet Raw'!$L$4:$L$8000,$A328,'Timesheet Raw'!$C$4:$C$8000,L$3,'Timesheet Raw'!$B$4:$B$8000,'Work Calendar'!$A$28)+SUMIFS('Timesheet Raw'!$P$4:$P$8000,'Timesheet Raw'!$L$4:$L$8000,$A328,'Timesheet Raw'!$C$4:$C$8000,L$3,'Timesheet Raw'!$B$4:$B$8000,'Work Calendar'!$A$29))</f>
        <v>0</v>
      </c>
      <c r="O328" s="341">
        <f t="shared" si="22"/>
        <v>0</v>
      </c>
      <c r="P328" s="395">
        <f>IF($A328="","",SUMIFS('Timesheet Raw'!$K$4:$K$8000,'Timesheet Raw'!$L$4:$L$8000,$A328,'Timesheet Raw'!$C$4:$C$8000,L$3))</f>
        <v>0</v>
      </c>
      <c r="Q328" s="345">
        <f>IF($A328="","",SUMIFS('Timesheet Raw'!$P$4:$P$8000,'Timesheet Raw'!$L$4:$L$8000,$A328,'Timesheet Raw'!$C$4:$C$8000,L$3))</f>
        <v>0</v>
      </c>
      <c r="R328" s="375"/>
      <c r="S328" t="str">
        <f>IF($A328="","",IF(R328&lt;&gt;"",R328,IF($A328&gt;'Work Calendar'!$B$17,"No data yet",IF(AND(N328&gt;='Work Calendar'!$B$14,L328+M328+O328&gt;0),"Day off - but worked",IF(N328&gt;='Work Calendar'!$B$14,"Day off",IF(L328+M328+O328&gt;0,IF($C328="Working","Charged","Worked weekend"),IF($C328="Working","Leave (not charged)",$C328)))))))</f>
        <v>No data yet</v>
      </c>
      <c r="T328" s="341">
        <f>IF($A328="","",SUMIFS('Timesheet Raw'!$P$4:$P$8000,'Timesheet Raw'!$L$4:$L$8000,$A328,'Timesheet Raw'!$C$4:$C$8000,T$3,'Timesheet Raw'!$A$4:$A$8000,"1-Projects"))</f>
        <v>0</v>
      </c>
      <c r="U328" s="341">
        <f>IF($A328="","",SUMIFS('Timesheet Raw'!$P$4:$P$8000,'Timesheet Raw'!$L$4:$L$8000,$A328,'Timesheet Raw'!$C$4:$C$8000,T$3,'Timesheet Raw'!$A$4:$A$8000,"2-Proposals Chargeable")+SUMIFS('Timesheet Raw'!$P$4:$P$8000,'Timesheet Raw'!$L$4:$L$8000,$A328,'Timesheet Raw'!$C$4:$C$8000,T$3,'Timesheet Raw'!$A$4:$A$8000,"3-Proposals Regular"))</f>
        <v>0</v>
      </c>
      <c r="V328" s="341">
        <f>IF($A328="","",SUMIFS('Timesheet Raw'!$P$4:$P$8000,'Timesheet Raw'!$L$4:$L$8000,$A328,'Timesheet Raw'!$C$4:$C$8000,T$3,'Timesheet Raw'!$B$4:$B$8000,'Work Calendar'!$A$26)+SUMIFS('Timesheet Raw'!$P$4:$P$8000,'Timesheet Raw'!$L$4:$L$8000,$A328,'Timesheet Raw'!$C$4:$C$8000,T$3,'Timesheet Raw'!$B$4:$B$8000,'Work Calendar'!$A$27)+SUMIFS('Timesheet Raw'!$P$4:$P$8000,'Timesheet Raw'!$L$4:$L$8000,$A328,'Timesheet Raw'!$C$4:$C$8000,T$3,'Timesheet Raw'!$B$4:$B$8000,'Work Calendar'!$A$28)+SUMIFS('Timesheet Raw'!$P$4:$P$8000,'Timesheet Raw'!$L$4:$L$8000,$A328,'Timesheet Raw'!$C$4:$C$8000,T$3,'Timesheet Raw'!$B$4:$B$8000,'Work Calendar'!$A$29))</f>
        <v>0</v>
      </c>
      <c r="W328" s="341">
        <f t="shared" si="23"/>
        <v>0</v>
      </c>
      <c r="X328" s="395">
        <f>IF($A328="","",SUMIFS('Timesheet Raw'!$K$4:$K$8000,'Timesheet Raw'!$L$4:$L$8000,$A328,'Timesheet Raw'!$C$4:$C$8000,T$3))</f>
        <v>0</v>
      </c>
      <c r="Y328" s="345">
        <f>IF($A328="","",SUMIFS('Timesheet Raw'!$P$4:$P$8000,'Timesheet Raw'!$L$4:$L$8000,$A328,'Timesheet Raw'!$C$4:$C$8000,T$3))</f>
        <v>0</v>
      </c>
      <c r="Z328" s="375"/>
      <c r="AA328" t="str">
        <f>IF($A328="","",IF(Z328&lt;&gt;"",Z328,IF($A328&gt;'Work Calendar'!$B$17,"No data yet",IF(AND(V328&gt;='Work Calendar'!$B$14,T328+U328+W328&gt;0),"Day off - but worked",IF(V328&gt;='Work Calendar'!$B$14,"Day off",IF(T328+U328+W328&gt;0,IF($C328="Working","Charged","Worked weekend"),IF($C328="Working","Leave (not charged)",$C328)))))))</f>
        <v>No data yet</v>
      </c>
    </row>
    <row r="329" spans="1:27" x14ac:dyDescent="0.3">
      <c r="A329" s="371">
        <f>IF($A328="","",IF($A328+1&gt;'Work Calendar'!$B$16,"",$A328+1))</f>
        <v>46347</v>
      </c>
      <c r="B329" t="str">
        <f t="shared" si="20"/>
        <v>Sat</v>
      </c>
      <c r="C329" t="str" cm="1">
        <f t="array" ref="C329">IF($A329="","",IF(COUNTIF('Work Calendar'!$E$6:$E$200,$A329)&gt;0,"Holiday",IF(INDEX('Work Calendar'!$C$6:$C$12,WEEKDAY($A329,1))=1,"Working","Weekend")))</f>
        <v>Weekend</v>
      </c>
      <c r="D329" s="341">
        <f>IF($A329="","",SUMIFS('Timesheet Raw'!$P$4:$P$8000,'Timesheet Raw'!$L$4:$L$8000,$A329,'Timesheet Raw'!$C$4:$C$8000,D$3,'Timesheet Raw'!$A$4:$A$8000,"1-Projects"))</f>
        <v>0</v>
      </c>
      <c r="E329" s="341">
        <f>IF($A329="","",SUMIFS('Timesheet Raw'!$P$4:$P$8000,'Timesheet Raw'!$L$4:$L$8000,$A329,'Timesheet Raw'!$C$4:$C$8000,D$3,'Timesheet Raw'!$A$4:$A$8000,"2-Proposals Chargeable")+SUMIFS('Timesheet Raw'!$P$4:$P$8000,'Timesheet Raw'!$L$4:$L$8000,$A329,'Timesheet Raw'!$C$4:$C$8000,D$3,'Timesheet Raw'!$A$4:$A$8000,"3-Proposals Regular"))</f>
        <v>0</v>
      </c>
      <c r="F329" s="341">
        <f>IF($A329="","",SUMIFS('Timesheet Raw'!$P$4:$P$8000,'Timesheet Raw'!$L$4:$L$8000,$A329,'Timesheet Raw'!$C$4:$C$8000,D$3,'Timesheet Raw'!$B$4:$B$8000,'Work Calendar'!$A$26)+SUMIFS('Timesheet Raw'!$P$4:$P$8000,'Timesheet Raw'!$L$4:$L$8000,$A329,'Timesheet Raw'!$C$4:$C$8000,D$3,'Timesheet Raw'!$B$4:$B$8000,'Work Calendar'!$A$27)+SUMIFS('Timesheet Raw'!$P$4:$P$8000,'Timesheet Raw'!$L$4:$L$8000,$A329,'Timesheet Raw'!$C$4:$C$8000,D$3,'Timesheet Raw'!$B$4:$B$8000,'Work Calendar'!$A$28)+SUMIFS('Timesheet Raw'!$P$4:$P$8000,'Timesheet Raw'!$L$4:$L$8000,$A329,'Timesheet Raw'!$C$4:$C$8000,D$3,'Timesheet Raw'!$B$4:$B$8000,'Work Calendar'!$A$29))</f>
        <v>0</v>
      </c>
      <c r="G329" s="341">
        <f t="shared" si="21"/>
        <v>0</v>
      </c>
      <c r="H329" s="395">
        <f>IF($A329="","",SUMIFS('Timesheet Raw'!$K$4:$K$8000,'Timesheet Raw'!$L$4:$L$8000,$A329,'Timesheet Raw'!$C$4:$C$8000,D$3))</f>
        <v>0</v>
      </c>
      <c r="I329" s="345">
        <f>IF($A329="","",SUMIFS('Timesheet Raw'!$P$4:$P$8000,'Timesheet Raw'!$L$4:$L$8000,$A329,'Timesheet Raw'!$C$4:$C$8000,D$3))</f>
        <v>0</v>
      </c>
      <c r="J329" s="375"/>
      <c r="K329" t="str">
        <f>IF($A329="","",IF(J329&lt;&gt;"",J329,IF($A329&gt;'Work Calendar'!$B$17,"No data yet",IF(AND(F329&gt;='Work Calendar'!$B$14,D329+E329+G329&gt;0),"Day off - but worked",IF(F329&gt;='Work Calendar'!$B$14,"Day off",IF(D329+E329+G329&gt;0,IF($C329="Working","Charged","Worked weekend"),IF($C329="Working","Leave (not charged)",$C329)))))))</f>
        <v>No data yet</v>
      </c>
      <c r="L329" s="341">
        <f>IF($A329="","",SUMIFS('Timesheet Raw'!$P$4:$P$8000,'Timesheet Raw'!$L$4:$L$8000,$A329,'Timesheet Raw'!$C$4:$C$8000,L$3,'Timesheet Raw'!$A$4:$A$8000,"1-Projects"))</f>
        <v>0</v>
      </c>
      <c r="M329" s="341">
        <f>IF($A329="","",SUMIFS('Timesheet Raw'!$P$4:$P$8000,'Timesheet Raw'!$L$4:$L$8000,$A329,'Timesheet Raw'!$C$4:$C$8000,L$3,'Timesheet Raw'!$A$4:$A$8000,"2-Proposals Chargeable")+SUMIFS('Timesheet Raw'!$P$4:$P$8000,'Timesheet Raw'!$L$4:$L$8000,$A329,'Timesheet Raw'!$C$4:$C$8000,L$3,'Timesheet Raw'!$A$4:$A$8000,"3-Proposals Regular"))</f>
        <v>0</v>
      </c>
      <c r="N329" s="341">
        <f>IF($A329="","",SUMIFS('Timesheet Raw'!$P$4:$P$8000,'Timesheet Raw'!$L$4:$L$8000,$A329,'Timesheet Raw'!$C$4:$C$8000,L$3,'Timesheet Raw'!$B$4:$B$8000,'Work Calendar'!$A$26)+SUMIFS('Timesheet Raw'!$P$4:$P$8000,'Timesheet Raw'!$L$4:$L$8000,$A329,'Timesheet Raw'!$C$4:$C$8000,L$3,'Timesheet Raw'!$B$4:$B$8000,'Work Calendar'!$A$27)+SUMIFS('Timesheet Raw'!$P$4:$P$8000,'Timesheet Raw'!$L$4:$L$8000,$A329,'Timesheet Raw'!$C$4:$C$8000,L$3,'Timesheet Raw'!$B$4:$B$8000,'Work Calendar'!$A$28)+SUMIFS('Timesheet Raw'!$P$4:$P$8000,'Timesheet Raw'!$L$4:$L$8000,$A329,'Timesheet Raw'!$C$4:$C$8000,L$3,'Timesheet Raw'!$B$4:$B$8000,'Work Calendar'!$A$29))</f>
        <v>0</v>
      </c>
      <c r="O329" s="341">
        <f t="shared" si="22"/>
        <v>0</v>
      </c>
      <c r="P329" s="395">
        <f>IF($A329="","",SUMIFS('Timesheet Raw'!$K$4:$K$8000,'Timesheet Raw'!$L$4:$L$8000,$A329,'Timesheet Raw'!$C$4:$C$8000,L$3))</f>
        <v>0</v>
      </c>
      <c r="Q329" s="345">
        <f>IF($A329="","",SUMIFS('Timesheet Raw'!$P$4:$P$8000,'Timesheet Raw'!$L$4:$L$8000,$A329,'Timesheet Raw'!$C$4:$C$8000,L$3))</f>
        <v>0</v>
      </c>
      <c r="R329" s="375"/>
      <c r="S329" t="str">
        <f>IF($A329="","",IF(R329&lt;&gt;"",R329,IF($A329&gt;'Work Calendar'!$B$17,"No data yet",IF(AND(N329&gt;='Work Calendar'!$B$14,L329+M329+O329&gt;0),"Day off - but worked",IF(N329&gt;='Work Calendar'!$B$14,"Day off",IF(L329+M329+O329&gt;0,IF($C329="Working","Charged","Worked weekend"),IF($C329="Working","Leave (not charged)",$C329)))))))</f>
        <v>No data yet</v>
      </c>
      <c r="T329" s="341">
        <f>IF($A329="","",SUMIFS('Timesheet Raw'!$P$4:$P$8000,'Timesheet Raw'!$L$4:$L$8000,$A329,'Timesheet Raw'!$C$4:$C$8000,T$3,'Timesheet Raw'!$A$4:$A$8000,"1-Projects"))</f>
        <v>0</v>
      </c>
      <c r="U329" s="341">
        <f>IF($A329="","",SUMIFS('Timesheet Raw'!$P$4:$P$8000,'Timesheet Raw'!$L$4:$L$8000,$A329,'Timesheet Raw'!$C$4:$C$8000,T$3,'Timesheet Raw'!$A$4:$A$8000,"2-Proposals Chargeable")+SUMIFS('Timesheet Raw'!$P$4:$P$8000,'Timesheet Raw'!$L$4:$L$8000,$A329,'Timesheet Raw'!$C$4:$C$8000,T$3,'Timesheet Raw'!$A$4:$A$8000,"3-Proposals Regular"))</f>
        <v>0</v>
      </c>
      <c r="V329" s="341">
        <f>IF($A329="","",SUMIFS('Timesheet Raw'!$P$4:$P$8000,'Timesheet Raw'!$L$4:$L$8000,$A329,'Timesheet Raw'!$C$4:$C$8000,T$3,'Timesheet Raw'!$B$4:$B$8000,'Work Calendar'!$A$26)+SUMIFS('Timesheet Raw'!$P$4:$P$8000,'Timesheet Raw'!$L$4:$L$8000,$A329,'Timesheet Raw'!$C$4:$C$8000,T$3,'Timesheet Raw'!$B$4:$B$8000,'Work Calendar'!$A$27)+SUMIFS('Timesheet Raw'!$P$4:$P$8000,'Timesheet Raw'!$L$4:$L$8000,$A329,'Timesheet Raw'!$C$4:$C$8000,T$3,'Timesheet Raw'!$B$4:$B$8000,'Work Calendar'!$A$28)+SUMIFS('Timesheet Raw'!$P$4:$P$8000,'Timesheet Raw'!$L$4:$L$8000,$A329,'Timesheet Raw'!$C$4:$C$8000,T$3,'Timesheet Raw'!$B$4:$B$8000,'Work Calendar'!$A$29))</f>
        <v>0</v>
      </c>
      <c r="W329" s="341">
        <f t="shared" si="23"/>
        <v>0</v>
      </c>
      <c r="X329" s="395">
        <f>IF($A329="","",SUMIFS('Timesheet Raw'!$K$4:$K$8000,'Timesheet Raw'!$L$4:$L$8000,$A329,'Timesheet Raw'!$C$4:$C$8000,T$3))</f>
        <v>0</v>
      </c>
      <c r="Y329" s="345">
        <f>IF($A329="","",SUMIFS('Timesheet Raw'!$P$4:$P$8000,'Timesheet Raw'!$L$4:$L$8000,$A329,'Timesheet Raw'!$C$4:$C$8000,T$3))</f>
        <v>0</v>
      </c>
      <c r="Z329" s="375"/>
      <c r="AA329" t="str">
        <f>IF($A329="","",IF(Z329&lt;&gt;"",Z329,IF($A329&gt;'Work Calendar'!$B$17,"No data yet",IF(AND(V329&gt;='Work Calendar'!$B$14,T329+U329+W329&gt;0),"Day off - but worked",IF(V329&gt;='Work Calendar'!$B$14,"Day off",IF(T329+U329+W329&gt;0,IF($C329="Working","Charged","Worked weekend"),IF($C329="Working","Leave (not charged)",$C329)))))))</f>
        <v>No data yet</v>
      </c>
    </row>
    <row r="330" spans="1:27" x14ac:dyDescent="0.3">
      <c r="A330" s="371">
        <f>IF($A329="","",IF($A329+1&gt;'Work Calendar'!$B$16,"",$A329+1))</f>
        <v>46348</v>
      </c>
      <c r="B330" t="str">
        <f t="shared" si="20"/>
        <v>Sun</v>
      </c>
      <c r="C330" t="str" cm="1">
        <f t="array" ref="C330">IF($A330="","",IF(COUNTIF('Work Calendar'!$E$6:$E$200,$A330)&gt;0,"Holiday",IF(INDEX('Work Calendar'!$C$6:$C$12,WEEKDAY($A330,1))=1,"Working","Weekend")))</f>
        <v>Working</v>
      </c>
      <c r="D330" s="341">
        <f>IF($A330="","",SUMIFS('Timesheet Raw'!$P$4:$P$8000,'Timesheet Raw'!$L$4:$L$8000,$A330,'Timesheet Raw'!$C$4:$C$8000,D$3,'Timesheet Raw'!$A$4:$A$8000,"1-Projects"))</f>
        <v>0</v>
      </c>
      <c r="E330" s="341">
        <f>IF($A330="","",SUMIFS('Timesheet Raw'!$P$4:$P$8000,'Timesheet Raw'!$L$4:$L$8000,$A330,'Timesheet Raw'!$C$4:$C$8000,D$3,'Timesheet Raw'!$A$4:$A$8000,"2-Proposals Chargeable")+SUMIFS('Timesheet Raw'!$P$4:$P$8000,'Timesheet Raw'!$L$4:$L$8000,$A330,'Timesheet Raw'!$C$4:$C$8000,D$3,'Timesheet Raw'!$A$4:$A$8000,"3-Proposals Regular"))</f>
        <v>0</v>
      </c>
      <c r="F330" s="341">
        <f>IF($A330="","",SUMIFS('Timesheet Raw'!$P$4:$P$8000,'Timesheet Raw'!$L$4:$L$8000,$A330,'Timesheet Raw'!$C$4:$C$8000,D$3,'Timesheet Raw'!$B$4:$B$8000,'Work Calendar'!$A$26)+SUMIFS('Timesheet Raw'!$P$4:$P$8000,'Timesheet Raw'!$L$4:$L$8000,$A330,'Timesheet Raw'!$C$4:$C$8000,D$3,'Timesheet Raw'!$B$4:$B$8000,'Work Calendar'!$A$27)+SUMIFS('Timesheet Raw'!$P$4:$P$8000,'Timesheet Raw'!$L$4:$L$8000,$A330,'Timesheet Raw'!$C$4:$C$8000,D$3,'Timesheet Raw'!$B$4:$B$8000,'Work Calendar'!$A$28)+SUMIFS('Timesheet Raw'!$P$4:$P$8000,'Timesheet Raw'!$L$4:$L$8000,$A330,'Timesheet Raw'!$C$4:$C$8000,D$3,'Timesheet Raw'!$B$4:$B$8000,'Work Calendar'!$A$29))</f>
        <v>0</v>
      </c>
      <c r="G330" s="341">
        <f t="shared" si="21"/>
        <v>0</v>
      </c>
      <c r="H330" s="395">
        <f>IF($A330="","",SUMIFS('Timesheet Raw'!$K$4:$K$8000,'Timesheet Raw'!$L$4:$L$8000,$A330,'Timesheet Raw'!$C$4:$C$8000,D$3))</f>
        <v>0</v>
      </c>
      <c r="I330" s="345">
        <f>IF($A330="","",SUMIFS('Timesheet Raw'!$P$4:$P$8000,'Timesheet Raw'!$L$4:$L$8000,$A330,'Timesheet Raw'!$C$4:$C$8000,D$3))</f>
        <v>0</v>
      </c>
      <c r="J330" s="375"/>
      <c r="K330" t="str">
        <f>IF($A330="","",IF(J330&lt;&gt;"",J330,IF($A330&gt;'Work Calendar'!$B$17,"No data yet",IF(AND(F330&gt;='Work Calendar'!$B$14,D330+E330+G330&gt;0),"Day off - but worked",IF(F330&gt;='Work Calendar'!$B$14,"Day off",IF(D330+E330+G330&gt;0,IF($C330="Working","Charged","Worked weekend"),IF($C330="Working","Leave (not charged)",$C330)))))))</f>
        <v>No data yet</v>
      </c>
      <c r="L330" s="341">
        <f>IF($A330="","",SUMIFS('Timesheet Raw'!$P$4:$P$8000,'Timesheet Raw'!$L$4:$L$8000,$A330,'Timesheet Raw'!$C$4:$C$8000,L$3,'Timesheet Raw'!$A$4:$A$8000,"1-Projects"))</f>
        <v>0</v>
      </c>
      <c r="M330" s="341">
        <f>IF($A330="","",SUMIFS('Timesheet Raw'!$P$4:$P$8000,'Timesheet Raw'!$L$4:$L$8000,$A330,'Timesheet Raw'!$C$4:$C$8000,L$3,'Timesheet Raw'!$A$4:$A$8000,"2-Proposals Chargeable")+SUMIFS('Timesheet Raw'!$P$4:$P$8000,'Timesheet Raw'!$L$4:$L$8000,$A330,'Timesheet Raw'!$C$4:$C$8000,L$3,'Timesheet Raw'!$A$4:$A$8000,"3-Proposals Regular"))</f>
        <v>0</v>
      </c>
      <c r="N330" s="341">
        <f>IF($A330="","",SUMIFS('Timesheet Raw'!$P$4:$P$8000,'Timesheet Raw'!$L$4:$L$8000,$A330,'Timesheet Raw'!$C$4:$C$8000,L$3,'Timesheet Raw'!$B$4:$B$8000,'Work Calendar'!$A$26)+SUMIFS('Timesheet Raw'!$P$4:$P$8000,'Timesheet Raw'!$L$4:$L$8000,$A330,'Timesheet Raw'!$C$4:$C$8000,L$3,'Timesheet Raw'!$B$4:$B$8000,'Work Calendar'!$A$27)+SUMIFS('Timesheet Raw'!$P$4:$P$8000,'Timesheet Raw'!$L$4:$L$8000,$A330,'Timesheet Raw'!$C$4:$C$8000,L$3,'Timesheet Raw'!$B$4:$B$8000,'Work Calendar'!$A$28)+SUMIFS('Timesheet Raw'!$P$4:$P$8000,'Timesheet Raw'!$L$4:$L$8000,$A330,'Timesheet Raw'!$C$4:$C$8000,L$3,'Timesheet Raw'!$B$4:$B$8000,'Work Calendar'!$A$29))</f>
        <v>0</v>
      </c>
      <c r="O330" s="341">
        <f t="shared" si="22"/>
        <v>0</v>
      </c>
      <c r="P330" s="395">
        <f>IF($A330="","",SUMIFS('Timesheet Raw'!$K$4:$K$8000,'Timesheet Raw'!$L$4:$L$8000,$A330,'Timesheet Raw'!$C$4:$C$8000,L$3))</f>
        <v>0</v>
      </c>
      <c r="Q330" s="345">
        <f>IF($A330="","",SUMIFS('Timesheet Raw'!$P$4:$P$8000,'Timesheet Raw'!$L$4:$L$8000,$A330,'Timesheet Raw'!$C$4:$C$8000,L$3))</f>
        <v>0</v>
      </c>
      <c r="R330" s="375"/>
      <c r="S330" t="str">
        <f>IF($A330="","",IF(R330&lt;&gt;"",R330,IF($A330&gt;'Work Calendar'!$B$17,"No data yet",IF(AND(N330&gt;='Work Calendar'!$B$14,L330+M330+O330&gt;0),"Day off - but worked",IF(N330&gt;='Work Calendar'!$B$14,"Day off",IF(L330+M330+O330&gt;0,IF($C330="Working","Charged","Worked weekend"),IF($C330="Working","Leave (not charged)",$C330)))))))</f>
        <v>No data yet</v>
      </c>
      <c r="T330" s="341">
        <f>IF($A330="","",SUMIFS('Timesheet Raw'!$P$4:$P$8000,'Timesheet Raw'!$L$4:$L$8000,$A330,'Timesheet Raw'!$C$4:$C$8000,T$3,'Timesheet Raw'!$A$4:$A$8000,"1-Projects"))</f>
        <v>0</v>
      </c>
      <c r="U330" s="341">
        <f>IF($A330="","",SUMIFS('Timesheet Raw'!$P$4:$P$8000,'Timesheet Raw'!$L$4:$L$8000,$A330,'Timesheet Raw'!$C$4:$C$8000,T$3,'Timesheet Raw'!$A$4:$A$8000,"2-Proposals Chargeable")+SUMIFS('Timesheet Raw'!$P$4:$P$8000,'Timesheet Raw'!$L$4:$L$8000,$A330,'Timesheet Raw'!$C$4:$C$8000,T$3,'Timesheet Raw'!$A$4:$A$8000,"3-Proposals Regular"))</f>
        <v>0</v>
      </c>
      <c r="V330" s="341">
        <f>IF($A330="","",SUMIFS('Timesheet Raw'!$P$4:$P$8000,'Timesheet Raw'!$L$4:$L$8000,$A330,'Timesheet Raw'!$C$4:$C$8000,T$3,'Timesheet Raw'!$B$4:$B$8000,'Work Calendar'!$A$26)+SUMIFS('Timesheet Raw'!$P$4:$P$8000,'Timesheet Raw'!$L$4:$L$8000,$A330,'Timesheet Raw'!$C$4:$C$8000,T$3,'Timesheet Raw'!$B$4:$B$8000,'Work Calendar'!$A$27)+SUMIFS('Timesheet Raw'!$P$4:$P$8000,'Timesheet Raw'!$L$4:$L$8000,$A330,'Timesheet Raw'!$C$4:$C$8000,T$3,'Timesheet Raw'!$B$4:$B$8000,'Work Calendar'!$A$28)+SUMIFS('Timesheet Raw'!$P$4:$P$8000,'Timesheet Raw'!$L$4:$L$8000,$A330,'Timesheet Raw'!$C$4:$C$8000,T$3,'Timesheet Raw'!$B$4:$B$8000,'Work Calendar'!$A$29))</f>
        <v>0</v>
      </c>
      <c r="W330" s="341">
        <f t="shared" si="23"/>
        <v>0</v>
      </c>
      <c r="X330" s="395">
        <f>IF($A330="","",SUMIFS('Timesheet Raw'!$K$4:$K$8000,'Timesheet Raw'!$L$4:$L$8000,$A330,'Timesheet Raw'!$C$4:$C$8000,T$3))</f>
        <v>0</v>
      </c>
      <c r="Y330" s="345">
        <f>IF($A330="","",SUMIFS('Timesheet Raw'!$P$4:$P$8000,'Timesheet Raw'!$L$4:$L$8000,$A330,'Timesheet Raw'!$C$4:$C$8000,T$3))</f>
        <v>0</v>
      </c>
      <c r="Z330" s="375"/>
      <c r="AA330" t="str">
        <f>IF($A330="","",IF(Z330&lt;&gt;"",Z330,IF($A330&gt;'Work Calendar'!$B$17,"No data yet",IF(AND(V330&gt;='Work Calendar'!$B$14,T330+U330+W330&gt;0),"Day off - but worked",IF(V330&gt;='Work Calendar'!$B$14,"Day off",IF(T330+U330+W330&gt;0,IF($C330="Working","Charged","Worked weekend"),IF($C330="Working","Leave (not charged)",$C330)))))))</f>
        <v>No data yet</v>
      </c>
    </row>
    <row r="331" spans="1:27" x14ac:dyDescent="0.3">
      <c r="A331" s="371">
        <f>IF($A330="","",IF($A330+1&gt;'Work Calendar'!$B$16,"",$A330+1))</f>
        <v>46349</v>
      </c>
      <c r="B331" t="str">
        <f t="shared" si="20"/>
        <v>Mon</v>
      </c>
      <c r="C331" t="str" cm="1">
        <f t="array" ref="C331">IF($A331="","",IF(COUNTIF('Work Calendar'!$E$6:$E$200,$A331)&gt;0,"Holiday",IF(INDEX('Work Calendar'!$C$6:$C$12,WEEKDAY($A331,1))=1,"Working","Weekend")))</f>
        <v>Working</v>
      </c>
      <c r="D331" s="341">
        <f>IF($A331="","",SUMIFS('Timesheet Raw'!$P$4:$P$8000,'Timesheet Raw'!$L$4:$L$8000,$A331,'Timesheet Raw'!$C$4:$C$8000,D$3,'Timesheet Raw'!$A$4:$A$8000,"1-Projects"))</f>
        <v>0</v>
      </c>
      <c r="E331" s="341">
        <f>IF($A331="","",SUMIFS('Timesheet Raw'!$P$4:$P$8000,'Timesheet Raw'!$L$4:$L$8000,$A331,'Timesheet Raw'!$C$4:$C$8000,D$3,'Timesheet Raw'!$A$4:$A$8000,"2-Proposals Chargeable")+SUMIFS('Timesheet Raw'!$P$4:$P$8000,'Timesheet Raw'!$L$4:$L$8000,$A331,'Timesheet Raw'!$C$4:$C$8000,D$3,'Timesheet Raw'!$A$4:$A$8000,"3-Proposals Regular"))</f>
        <v>0</v>
      </c>
      <c r="F331" s="341">
        <f>IF($A331="","",SUMIFS('Timesheet Raw'!$P$4:$P$8000,'Timesheet Raw'!$L$4:$L$8000,$A331,'Timesheet Raw'!$C$4:$C$8000,D$3,'Timesheet Raw'!$B$4:$B$8000,'Work Calendar'!$A$26)+SUMIFS('Timesheet Raw'!$P$4:$P$8000,'Timesheet Raw'!$L$4:$L$8000,$A331,'Timesheet Raw'!$C$4:$C$8000,D$3,'Timesheet Raw'!$B$4:$B$8000,'Work Calendar'!$A$27)+SUMIFS('Timesheet Raw'!$P$4:$P$8000,'Timesheet Raw'!$L$4:$L$8000,$A331,'Timesheet Raw'!$C$4:$C$8000,D$3,'Timesheet Raw'!$B$4:$B$8000,'Work Calendar'!$A$28)+SUMIFS('Timesheet Raw'!$P$4:$P$8000,'Timesheet Raw'!$L$4:$L$8000,$A331,'Timesheet Raw'!$C$4:$C$8000,D$3,'Timesheet Raw'!$B$4:$B$8000,'Work Calendar'!$A$29))</f>
        <v>0</v>
      </c>
      <c r="G331" s="341">
        <f t="shared" si="21"/>
        <v>0</v>
      </c>
      <c r="H331" s="395">
        <f>IF($A331="","",SUMIFS('Timesheet Raw'!$K$4:$K$8000,'Timesheet Raw'!$L$4:$L$8000,$A331,'Timesheet Raw'!$C$4:$C$8000,D$3))</f>
        <v>0</v>
      </c>
      <c r="I331" s="345">
        <f>IF($A331="","",SUMIFS('Timesheet Raw'!$P$4:$P$8000,'Timesheet Raw'!$L$4:$L$8000,$A331,'Timesheet Raw'!$C$4:$C$8000,D$3))</f>
        <v>0</v>
      </c>
      <c r="J331" s="375"/>
      <c r="K331" t="str">
        <f>IF($A331="","",IF(J331&lt;&gt;"",J331,IF($A331&gt;'Work Calendar'!$B$17,"No data yet",IF(AND(F331&gt;='Work Calendar'!$B$14,D331+E331+G331&gt;0),"Day off - but worked",IF(F331&gt;='Work Calendar'!$B$14,"Day off",IF(D331+E331+G331&gt;0,IF($C331="Working","Charged","Worked weekend"),IF($C331="Working","Leave (not charged)",$C331)))))))</f>
        <v>No data yet</v>
      </c>
      <c r="L331" s="341">
        <f>IF($A331="","",SUMIFS('Timesheet Raw'!$P$4:$P$8000,'Timesheet Raw'!$L$4:$L$8000,$A331,'Timesheet Raw'!$C$4:$C$8000,L$3,'Timesheet Raw'!$A$4:$A$8000,"1-Projects"))</f>
        <v>0</v>
      </c>
      <c r="M331" s="341">
        <f>IF($A331="","",SUMIFS('Timesheet Raw'!$P$4:$P$8000,'Timesheet Raw'!$L$4:$L$8000,$A331,'Timesheet Raw'!$C$4:$C$8000,L$3,'Timesheet Raw'!$A$4:$A$8000,"2-Proposals Chargeable")+SUMIFS('Timesheet Raw'!$P$4:$P$8000,'Timesheet Raw'!$L$4:$L$8000,$A331,'Timesheet Raw'!$C$4:$C$8000,L$3,'Timesheet Raw'!$A$4:$A$8000,"3-Proposals Regular"))</f>
        <v>0</v>
      </c>
      <c r="N331" s="341">
        <f>IF($A331="","",SUMIFS('Timesheet Raw'!$P$4:$P$8000,'Timesheet Raw'!$L$4:$L$8000,$A331,'Timesheet Raw'!$C$4:$C$8000,L$3,'Timesheet Raw'!$B$4:$B$8000,'Work Calendar'!$A$26)+SUMIFS('Timesheet Raw'!$P$4:$P$8000,'Timesheet Raw'!$L$4:$L$8000,$A331,'Timesheet Raw'!$C$4:$C$8000,L$3,'Timesheet Raw'!$B$4:$B$8000,'Work Calendar'!$A$27)+SUMIFS('Timesheet Raw'!$P$4:$P$8000,'Timesheet Raw'!$L$4:$L$8000,$A331,'Timesheet Raw'!$C$4:$C$8000,L$3,'Timesheet Raw'!$B$4:$B$8000,'Work Calendar'!$A$28)+SUMIFS('Timesheet Raw'!$P$4:$P$8000,'Timesheet Raw'!$L$4:$L$8000,$A331,'Timesheet Raw'!$C$4:$C$8000,L$3,'Timesheet Raw'!$B$4:$B$8000,'Work Calendar'!$A$29))</f>
        <v>0</v>
      </c>
      <c r="O331" s="341">
        <f t="shared" si="22"/>
        <v>0</v>
      </c>
      <c r="P331" s="395">
        <f>IF($A331="","",SUMIFS('Timesheet Raw'!$K$4:$K$8000,'Timesheet Raw'!$L$4:$L$8000,$A331,'Timesheet Raw'!$C$4:$C$8000,L$3))</f>
        <v>0</v>
      </c>
      <c r="Q331" s="345">
        <f>IF($A331="","",SUMIFS('Timesheet Raw'!$P$4:$P$8000,'Timesheet Raw'!$L$4:$L$8000,$A331,'Timesheet Raw'!$C$4:$C$8000,L$3))</f>
        <v>0</v>
      </c>
      <c r="R331" s="375"/>
      <c r="S331" t="str">
        <f>IF($A331="","",IF(R331&lt;&gt;"",R331,IF($A331&gt;'Work Calendar'!$B$17,"No data yet",IF(AND(N331&gt;='Work Calendar'!$B$14,L331+M331+O331&gt;0),"Day off - but worked",IF(N331&gt;='Work Calendar'!$B$14,"Day off",IF(L331+M331+O331&gt;0,IF($C331="Working","Charged","Worked weekend"),IF($C331="Working","Leave (not charged)",$C331)))))))</f>
        <v>No data yet</v>
      </c>
      <c r="T331" s="341">
        <f>IF($A331="","",SUMIFS('Timesheet Raw'!$P$4:$P$8000,'Timesheet Raw'!$L$4:$L$8000,$A331,'Timesheet Raw'!$C$4:$C$8000,T$3,'Timesheet Raw'!$A$4:$A$8000,"1-Projects"))</f>
        <v>0</v>
      </c>
      <c r="U331" s="341">
        <f>IF($A331="","",SUMIFS('Timesheet Raw'!$P$4:$P$8000,'Timesheet Raw'!$L$4:$L$8000,$A331,'Timesheet Raw'!$C$4:$C$8000,T$3,'Timesheet Raw'!$A$4:$A$8000,"2-Proposals Chargeable")+SUMIFS('Timesheet Raw'!$P$4:$P$8000,'Timesheet Raw'!$L$4:$L$8000,$A331,'Timesheet Raw'!$C$4:$C$8000,T$3,'Timesheet Raw'!$A$4:$A$8000,"3-Proposals Regular"))</f>
        <v>0</v>
      </c>
      <c r="V331" s="341">
        <f>IF($A331="","",SUMIFS('Timesheet Raw'!$P$4:$P$8000,'Timesheet Raw'!$L$4:$L$8000,$A331,'Timesheet Raw'!$C$4:$C$8000,T$3,'Timesheet Raw'!$B$4:$B$8000,'Work Calendar'!$A$26)+SUMIFS('Timesheet Raw'!$P$4:$P$8000,'Timesheet Raw'!$L$4:$L$8000,$A331,'Timesheet Raw'!$C$4:$C$8000,T$3,'Timesheet Raw'!$B$4:$B$8000,'Work Calendar'!$A$27)+SUMIFS('Timesheet Raw'!$P$4:$P$8000,'Timesheet Raw'!$L$4:$L$8000,$A331,'Timesheet Raw'!$C$4:$C$8000,T$3,'Timesheet Raw'!$B$4:$B$8000,'Work Calendar'!$A$28)+SUMIFS('Timesheet Raw'!$P$4:$P$8000,'Timesheet Raw'!$L$4:$L$8000,$A331,'Timesheet Raw'!$C$4:$C$8000,T$3,'Timesheet Raw'!$B$4:$B$8000,'Work Calendar'!$A$29))</f>
        <v>0</v>
      </c>
      <c r="W331" s="341">
        <f t="shared" si="23"/>
        <v>0</v>
      </c>
      <c r="X331" s="395">
        <f>IF($A331="","",SUMIFS('Timesheet Raw'!$K$4:$K$8000,'Timesheet Raw'!$L$4:$L$8000,$A331,'Timesheet Raw'!$C$4:$C$8000,T$3))</f>
        <v>0</v>
      </c>
      <c r="Y331" s="345">
        <f>IF($A331="","",SUMIFS('Timesheet Raw'!$P$4:$P$8000,'Timesheet Raw'!$L$4:$L$8000,$A331,'Timesheet Raw'!$C$4:$C$8000,T$3))</f>
        <v>0</v>
      </c>
      <c r="Z331" s="375"/>
      <c r="AA331" t="str">
        <f>IF($A331="","",IF(Z331&lt;&gt;"",Z331,IF($A331&gt;'Work Calendar'!$B$17,"No data yet",IF(AND(V331&gt;='Work Calendar'!$B$14,T331+U331+W331&gt;0),"Day off - but worked",IF(V331&gt;='Work Calendar'!$B$14,"Day off",IF(T331+U331+W331&gt;0,IF($C331="Working","Charged","Worked weekend"),IF($C331="Working","Leave (not charged)",$C331)))))))</f>
        <v>No data yet</v>
      </c>
    </row>
    <row r="332" spans="1:27" x14ac:dyDescent="0.3">
      <c r="A332" s="371">
        <f>IF($A331="","",IF($A331+1&gt;'Work Calendar'!$B$16,"",$A331+1))</f>
        <v>46350</v>
      </c>
      <c r="B332" t="str">
        <f t="shared" si="20"/>
        <v>Tue</v>
      </c>
      <c r="C332" t="str" cm="1">
        <f t="array" ref="C332">IF($A332="","",IF(COUNTIF('Work Calendar'!$E$6:$E$200,$A332)&gt;0,"Holiday",IF(INDEX('Work Calendar'!$C$6:$C$12,WEEKDAY($A332,1))=1,"Working","Weekend")))</f>
        <v>Working</v>
      </c>
      <c r="D332" s="341">
        <f>IF($A332="","",SUMIFS('Timesheet Raw'!$P$4:$P$8000,'Timesheet Raw'!$L$4:$L$8000,$A332,'Timesheet Raw'!$C$4:$C$8000,D$3,'Timesheet Raw'!$A$4:$A$8000,"1-Projects"))</f>
        <v>0</v>
      </c>
      <c r="E332" s="341">
        <f>IF($A332="","",SUMIFS('Timesheet Raw'!$P$4:$P$8000,'Timesheet Raw'!$L$4:$L$8000,$A332,'Timesheet Raw'!$C$4:$C$8000,D$3,'Timesheet Raw'!$A$4:$A$8000,"2-Proposals Chargeable")+SUMIFS('Timesheet Raw'!$P$4:$P$8000,'Timesheet Raw'!$L$4:$L$8000,$A332,'Timesheet Raw'!$C$4:$C$8000,D$3,'Timesheet Raw'!$A$4:$A$8000,"3-Proposals Regular"))</f>
        <v>0</v>
      </c>
      <c r="F332" s="341">
        <f>IF($A332="","",SUMIFS('Timesheet Raw'!$P$4:$P$8000,'Timesheet Raw'!$L$4:$L$8000,$A332,'Timesheet Raw'!$C$4:$C$8000,D$3,'Timesheet Raw'!$B$4:$B$8000,'Work Calendar'!$A$26)+SUMIFS('Timesheet Raw'!$P$4:$P$8000,'Timesheet Raw'!$L$4:$L$8000,$A332,'Timesheet Raw'!$C$4:$C$8000,D$3,'Timesheet Raw'!$B$4:$B$8000,'Work Calendar'!$A$27)+SUMIFS('Timesheet Raw'!$P$4:$P$8000,'Timesheet Raw'!$L$4:$L$8000,$A332,'Timesheet Raw'!$C$4:$C$8000,D$3,'Timesheet Raw'!$B$4:$B$8000,'Work Calendar'!$A$28)+SUMIFS('Timesheet Raw'!$P$4:$P$8000,'Timesheet Raw'!$L$4:$L$8000,$A332,'Timesheet Raw'!$C$4:$C$8000,D$3,'Timesheet Raw'!$B$4:$B$8000,'Work Calendar'!$A$29))</f>
        <v>0</v>
      </c>
      <c r="G332" s="341">
        <f t="shared" si="21"/>
        <v>0</v>
      </c>
      <c r="H332" s="395">
        <f>IF($A332="","",SUMIFS('Timesheet Raw'!$K$4:$K$8000,'Timesheet Raw'!$L$4:$L$8000,$A332,'Timesheet Raw'!$C$4:$C$8000,D$3))</f>
        <v>0</v>
      </c>
      <c r="I332" s="345">
        <f>IF($A332="","",SUMIFS('Timesheet Raw'!$P$4:$P$8000,'Timesheet Raw'!$L$4:$L$8000,$A332,'Timesheet Raw'!$C$4:$C$8000,D$3))</f>
        <v>0</v>
      </c>
      <c r="J332" s="375"/>
      <c r="K332" t="str">
        <f>IF($A332="","",IF(J332&lt;&gt;"",J332,IF($A332&gt;'Work Calendar'!$B$17,"No data yet",IF(AND(F332&gt;='Work Calendar'!$B$14,D332+E332+G332&gt;0),"Day off - but worked",IF(F332&gt;='Work Calendar'!$B$14,"Day off",IF(D332+E332+G332&gt;0,IF($C332="Working","Charged","Worked weekend"),IF($C332="Working","Leave (not charged)",$C332)))))))</f>
        <v>No data yet</v>
      </c>
      <c r="L332" s="341">
        <f>IF($A332="","",SUMIFS('Timesheet Raw'!$P$4:$P$8000,'Timesheet Raw'!$L$4:$L$8000,$A332,'Timesheet Raw'!$C$4:$C$8000,L$3,'Timesheet Raw'!$A$4:$A$8000,"1-Projects"))</f>
        <v>0</v>
      </c>
      <c r="M332" s="341">
        <f>IF($A332="","",SUMIFS('Timesheet Raw'!$P$4:$P$8000,'Timesheet Raw'!$L$4:$L$8000,$A332,'Timesheet Raw'!$C$4:$C$8000,L$3,'Timesheet Raw'!$A$4:$A$8000,"2-Proposals Chargeable")+SUMIFS('Timesheet Raw'!$P$4:$P$8000,'Timesheet Raw'!$L$4:$L$8000,$A332,'Timesheet Raw'!$C$4:$C$8000,L$3,'Timesheet Raw'!$A$4:$A$8000,"3-Proposals Regular"))</f>
        <v>0</v>
      </c>
      <c r="N332" s="341">
        <f>IF($A332="","",SUMIFS('Timesheet Raw'!$P$4:$P$8000,'Timesheet Raw'!$L$4:$L$8000,$A332,'Timesheet Raw'!$C$4:$C$8000,L$3,'Timesheet Raw'!$B$4:$B$8000,'Work Calendar'!$A$26)+SUMIFS('Timesheet Raw'!$P$4:$P$8000,'Timesheet Raw'!$L$4:$L$8000,$A332,'Timesheet Raw'!$C$4:$C$8000,L$3,'Timesheet Raw'!$B$4:$B$8000,'Work Calendar'!$A$27)+SUMIFS('Timesheet Raw'!$P$4:$P$8000,'Timesheet Raw'!$L$4:$L$8000,$A332,'Timesheet Raw'!$C$4:$C$8000,L$3,'Timesheet Raw'!$B$4:$B$8000,'Work Calendar'!$A$28)+SUMIFS('Timesheet Raw'!$P$4:$P$8000,'Timesheet Raw'!$L$4:$L$8000,$A332,'Timesheet Raw'!$C$4:$C$8000,L$3,'Timesheet Raw'!$B$4:$B$8000,'Work Calendar'!$A$29))</f>
        <v>0</v>
      </c>
      <c r="O332" s="341">
        <f t="shared" si="22"/>
        <v>0</v>
      </c>
      <c r="P332" s="395">
        <f>IF($A332="","",SUMIFS('Timesheet Raw'!$K$4:$K$8000,'Timesheet Raw'!$L$4:$L$8000,$A332,'Timesheet Raw'!$C$4:$C$8000,L$3))</f>
        <v>0</v>
      </c>
      <c r="Q332" s="345">
        <f>IF($A332="","",SUMIFS('Timesheet Raw'!$P$4:$P$8000,'Timesheet Raw'!$L$4:$L$8000,$A332,'Timesheet Raw'!$C$4:$C$8000,L$3))</f>
        <v>0</v>
      </c>
      <c r="R332" s="375"/>
      <c r="S332" t="str">
        <f>IF($A332="","",IF(R332&lt;&gt;"",R332,IF($A332&gt;'Work Calendar'!$B$17,"No data yet",IF(AND(N332&gt;='Work Calendar'!$B$14,L332+M332+O332&gt;0),"Day off - but worked",IF(N332&gt;='Work Calendar'!$B$14,"Day off",IF(L332+M332+O332&gt;0,IF($C332="Working","Charged","Worked weekend"),IF($C332="Working","Leave (not charged)",$C332)))))))</f>
        <v>No data yet</v>
      </c>
      <c r="T332" s="341">
        <f>IF($A332="","",SUMIFS('Timesheet Raw'!$P$4:$P$8000,'Timesheet Raw'!$L$4:$L$8000,$A332,'Timesheet Raw'!$C$4:$C$8000,T$3,'Timesheet Raw'!$A$4:$A$8000,"1-Projects"))</f>
        <v>0</v>
      </c>
      <c r="U332" s="341">
        <f>IF($A332="","",SUMIFS('Timesheet Raw'!$P$4:$P$8000,'Timesheet Raw'!$L$4:$L$8000,$A332,'Timesheet Raw'!$C$4:$C$8000,T$3,'Timesheet Raw'!$A$4:$A$8000,"2-Proposals Chargeable")+SUMIFS('Timesheet Raw'!$P$4:$P$8000,'Timesheet Raw'!$L$4:$L$8000,$A332,'Timesheet Raw'!$C$4:$C$8000,T$3,'Timesheet Raw'!$A$4:$A$8000,"3-Proposals Regular"))</f>
        <v>0</v>
      </c>
      <c r="V332" s="341">
        <f>IF($A332="","",SUMIFS('Timesheet Raw'!$P$4:$P$8000,'Timesheet Raw'!$L$4:$L$8000,$A332,'Timesheet Raw'!$C$4:$C$8000,T$3,'Timesheet Raw'!$B$4:$B$8000,'Work Calendar'!$A$26)+SUMIFS('Timesheet Raw'!$P$4:$P$8000,'Timesheet Raw'!$L$4:$L$8000,$A332,'Timesheet Raw'!$C$4:$C$8000,T$3,'Timesheet Raw'!$B$4:$B$8000,'Work Calendar'!$A$27)+SUMIFS('Timesheet Raw'!$P$4:$P$8000,'Timesheet Raw'!$L$4:$L$8000,$A332,'Timesheet Raw'!$C$4:$C$8000,T$3,'Timesheet Raw'!$B$4:$B$8000,'Work Calendar'!$A$28)+SUMIFS('Timesheet Raw'!$P$4:$P$8000,'Timesheet Raw'!$L$4:$L$8000,$A332,'Timesheet Raw'!$C$4:$C$8000,T$3,'Timesheet Raw'!$B$4:$B$8000,'Work Calendar'!$A$29))</f>
        <v>0</v>
      </c>
      <c r="W332" s="341">
        <f t="shared" si="23"/>
        <v>0</v>
      </c>
      <c r="X332" s="395">
        <f>IF($A332="","",SUMIFS('Timesheet Raw'!$K$4:$K$8000,'Timesheet Raw'!$L$4:$L$8000,$A332,'Timesheet Raw'!$C$4:$C$8000,T$3))</f>
        <v>0</v>
      </c>
      <c r="Y332" s="345">
        <f>IF($A332="","",SUMIFS('Timesheet Raw'!$P$4:$P$8000,'Timesheet Raw'!$L$4:$L$8000,$A332,'Timesheet Raw'!$C$4:$C$8000,T$3))</f>
        <v>0</v>
      </c>
      <c r="Z332" s="375"/>
      <c r="AA332" t="str">
        <f>IF($A332="","",IF(Z332&lt;&gt;"",Z332,IF($A332&gt;'Work Calendar'!$B$17,"No data yet",IF(AND(V332&gt;='Work Calendar'!$B$14,T332+U332+W332&gt;0),"Day off - but worked",IF(V332&gt;='Work Calendar'!$B$14,"Day off",IF(T332+U332+W332&gt;0,IF($C332="Working","Charged","Worked weekend"),IF($C332="Working","Leave (not charged)",$C332)))))))</f>
        <v>No data yet</v>
      </c>
    </row>
    <row r="333" spans="1:27" x14ac:dyDescent="0.3">
      <c r="A333" s="371">
        <f>IF($A332="","",IF($A332+1&gt;'Work Calendar'!$B$16,"",$A332+1))</f>
        <v>46351</v>
      </c>
      <c r="B333" t="str">
        <f t="shared" si="20"/>
        <v>Wed</v>
      </c>
      <c r="C333" t="str" cm="1">
        <f t="array" ref="C333">IF($A333="","",IF(COUNTIF('Work Calendar'!$E$6:$E$200,$A333)&gt;0,"Holiday",IF(INDEX('Work Calendar'!$C$6:$C$12,WEEKDAY($A333,1))=1,"Working","Weekend")))</f>
        <v>Working</v>
      </c>
      <c r="D333" s="341">
        <f>IF($A333="","",SUMIFS('Timesheet Raw'!$P$4:$P$8000,'Timesheet Raw'!$L$4:$L$8000,$A333,'Timesheet Raw'!$C$4:$C$8000,D$3,'Timesheet Raw'!$A$4:$A$8000,"1-Projects"))</f>
        <v>0</v>
      </c>
      <c r="E333" s="341">
        <f>IF($A333="","",SUMIFS('Timesheet Raw'!$P$4:$P$8000,'Timesheet Raw'!$L$4:$L$8000,$A333,'Timesheet Raw'!$C$4:$C$8000,D$3,'Timesheet Raw'!$A$4:$A$8000,"2-Proposals Chargeable")+SUMIFS('Timesheet Raw'!$P$4:$P$8000,'Timesheet Raw'!$L$4:$L$8000,$A333,'Timesheet Raw'!$C$4:$C$8000,D$3,'Timesheet Raw'!$A$4:$A$8000,"3-Proposals Regular"))</f>
        <v>0</v>
      </c>
      <c r="F333" s="341">
        <f>IF($A333="","",SUMIFS('Timesheet Raw'!$P$4:$P$8000,'Timesheet Raw'!$L$4:$L$8000,$A333,'Timesheet Raw'!$C$4:$C$8000,D$3,'Timesheet Raw'!$B$4:$B$8000,'Work Calendar'!$A$26)+SUMIFS('Timesheet Raw'!$P$4:$P$8000,'Timesheet Raw'!$L$4:$L$8000,$A333,'Timesheet Raw'!$C$4:$C$8000,D$3,'Timesheet Raw'!$B$4:$B$8000,'Work Calendar'!$A$27)+SUMIFS('Timesheet Raw'!$P$4:$P$8000,'Timesheet Raw'!$L$4:$L$8000,$A333,'Timesheet Raw'!$C$4:$C$8000,D$3,'Timesheet Raw'!$B$4:$B$8000,'Work Calendar'!$A$28)+SUMIFS('Timesheet Raw'!$P$4:$P$8000,'Timesheet Raw'!$L$4:$L$8000,$A333,'Timesheet Raw'!$C$4:$C$8000,D$3,'Timesheet Raw'!$B$4:$B$8000,'Work Calendar'!$A$29))</f>
        <v>0</v>
      </c>
      <c r="G333" s="341">
        <f t="shared" si="21"/>
        <v>0</v>
      </c>
      <c r="H333" s="395">
        <f>IF($A333="","",SUMIFS('Timesheet Raw'!$K$4:$K$8000,'Timesheet Raw'!$L$4:$L$8000,$A333,'Timesheet Raw'!$C$4:$C$8000,D$3))</f>
        <v>0</v>
      </c>
      <c r="I333" s="345">
        <f>IF($A333="","",SUMIFS('Timesheet Raw'!$P$4:$P$8000,'Timesheet Raw'!$L$4:$L$8000,$A333,'Timesheet Raw'!$C$4:$C$8000,D$3))</f>
        <v>0</v>
      </c>
      <c r="J333" s="375"/>
      <c r="K333" t="str">
        <f>IF($A333="","",IF(J333&lt;&gt;"",J333,IF($A333&gt;'Work Calendar'!$B$17,"No data yet",IF(AND(F333&gt;='Work Calendar'!$B$14,D333+E333+G333&gt;0),"Day off - but worked",IF(F333&gt;='Work Calendar'!$B$14,"Day off",IF(D333+E333+G333&gt;0,IF($C333="Working","Charged","Worked weekend"),IF($C333="Working","Leave (not charged)",$C333)))))))</f>
        <v>No data yet</v>
      </c>
      <c r="L333" s="341">
        <f>IF($A333="","",SUMIFS('Timesheet Raw'!$P$4:$P$8000,'Timesheet Raw'!$L$4:$L$8000,$A333,'Timesheet Raw'!$C$4:$C$8000,L$3,'Timesheet Raw'!$A$4:$A$8000,"1-Projects"))</f>
        <v>0</v>
      </c>
      <c r="M333" s="341">
        <f>IF($A333="","",SUMIFS('Timesheet Raw'!$P$4:$P$8000,'Timesheet Raw'!$L$4:$L$8000,$A333,'Timesheet Raw'!$C$4:$C$8000,L$3,'Timesheet Raw'!$A$4:$A$8000,"2-Proposals Chargeable")+SUMIFS('Timesheet Raw'!$P$4:$P$8000,'Timesheet Raw'!$L$4:$L$8000,$A333,'Timesheet Raw'!$C$4:$C$8000,L$3,'Timesheet Raw'!$A$4:$A$8000,"3-Proposals Regular"))</f>
        <v>0</v>
      </c>
      <c r="N333" s="341">
        <f>IF($A333="","",SUMIFS('Timesheet Raw'!$P$4:$P$8000,'Timesheet Raw'!$L$4:$L$8000,$A333,'Timesheet Raw'!$C$4:$C$8000,L$3,'Timesheet Raw'!$B$4:$B$8000,'Work Calendar'!$A$26)+SUMIFS('Timesheet Raw'!$P$4:$P$8000,'Timesheet Raw'!$L$4:$L$8000,$A333,'Timesheet Raw'!$C$4:$C$8000,L$3,'Timesheet Raw'!$B$4:$B$8000,'Work Calendar'!$A$27)+SUMIFS('Timesheet Raw'!$P$4:$P$8000,'Timesheet Raw'!$L$4:$L$8000,$A333,'Timesheet Raw'!$C$4:$C$8000,L$3,'Timesheet Raw'!$B$4:$B$8000,'Work Calendar'!$A$28)+SUMIFS('Timesheet Raw'!$P$4:$P$8000,'Timesheet Raw'!$L$4:$L$8000,$A333,'Timesheet Raw'!$C$4:$C$8000,L$3,'Timesheet Raw'!$B$4:$B$8000,'Work Calendar'!$A$29))</f>
        <v>0</v>
      </c>
      <c r="O333" s="341">
        <f t="shared" si="22"/>
        <v>0</v>
      </c>
      <c r="P333" s="395">
        <f>IF($A333="","",SUMIFS('Timesheet Raw'!$K$4:$K$8000,'Timesheet Raw'!$L$4:$L$8000,$A333,'Timesheet Raw'!$C$4:$C$8000,L$3))</f>
        <v>0</v>
      </c>
      <c r="Q333" s="345">
        <f>IF($A333="","",SUMIFS('Timesheet Raw'!$P$4:$P$8000,'Timesheet Raw'!$L$4:$L$8000,$A333,'Timesheet Raw'!$C$4:$C$8000,L$3))</f>
        <v>0</v>
      </c>
      <c r="R333" s="375"/>
      <c r="S333" t="str">
        <f>IF($A333="","",IF(R333&lt;&gt;"",R333,IF($A333&gt;'Work Calendar'!$B$17,"No data yet",IF(AND(N333&gt;='Work Calendar'!$B$14,L333+M333+O333&gt;0),"Day off - but worked",IF(N333&gt;='Work Calendar'!$B$14,"Day off",IF(L333+M333+O333&gt;0,IF($C333="Working","Charged","Worked weekend"),IF($C333="Working","Leave (not charged)",$C333)))))))</f>
        <v>No data yet</v>
      </c>
      <c r="T333" s="341">
        <f>IF($A333="","",SUMIFS('Timesheet Raw'!$P$4:$P$8000,'Timesheet Raw'!$L$4:$L$8000,$A333,'Timesheet Raw'!$C$4:$C$8000,T$3,'Timesheet Raw'!$A$4:$A$8000,"1-Projects"))</f>
        <v>0</v>
      </c>
      <c r="U333" s="341">
        <f>IF($A333="","",SUMIFS('Timesheet Raw'!$P$4:$P$8000,'Timesheet Raw'!$L$4:$L$8000,$A333,'Timesheet Raw'!$C$4:$C$8000,T$3,'Timesheet Raw'!$A$4:$A$8000,"2-Proposals Chargeable")+SUMIFS('Timesheet Raw'!$P$4:$P$8000,'Timesheet Raw'!$L$4:$L$8000,$A333,'Timesheet Raw'!$C$4:$C$8000,T$3,'Timesheet Raw'!$A$4:$A$8000,"3-Proposals Regular"))</f>
        <v>0</v>
      </c>
      <c r="V333" s="341">
        <f>IF($A333="","",SUMIFS('Timesheet Raw'!$P$4:$P$8000,'Timesheet Raw'!$L$4:$L$8000,$A333,'Timesheet Raw'!$C$4:$C$8000,T$3,'Timesheet Raw'!$B$4:$B$8000,'Work Calendar'!$A$26)+SUMIFS('Timesheet Raw'!$P$4:$P$8000,'Timesheet Raw'!$L$4:$L$8000,$A333,'Timesheet Raw'!$C$4:$C$8000,T$3,'Timesheet Raw'!$B$4:$B$8000,'Work Calendar'!$A$27)+SUMIFS('Timesheet Raw'!$P$4:$P$8000,'Timesheet Raw'!$L$4:$L$8000,$A333,'Timesheet Raw'!$C$4:$C$8000,T$3,'Timesheet Raw'!$B$4:$B$8000,'Work Calendar'!$A$28)+SUMIFS('Timesheet Raw'!$P$4:$P$8000,'Timesheet Raw'!$L$4:$L$8000,$A333,'Timesheet Raw'!$C$4:$C$8000,T$3,'Timesheet Raw'!$B$4:$B$8000,'Work Calendar'!$A$29))</f>
        <v>0</v>
      </c>
      <c r="W333" s="341">
        <f t="shared" si="23"/>
        <v>0</v>
      </c>
      <c r="X333" s="395">
        <f>IF($A333="","",SUMIFS('Timesheet Raw'!$K$4:$K$8000,'Timesheet Raw'!$L$4:$L$8000,$A333,'Timesheet Raw'!$C$4:$C$8000,T$3))</f>
        <v>0</v>
      </c>
      <c r="Y333" s="345">
        <f>IF($A333="","",SUMIFS('Timesheet Raw'!$P$4:$P$8000,'Timesheet Raw'!$L$4:$L$8000,$A333,'Timesheet Raw'!$C$4:$C$8000,T$3))</f>
        <v>0</v>
      </c>
      <c r="Z333" s="375"/>
      <c r="AA333" t="str">
        <f>IF($A333="","",IF(Z333&lt;&gt;"",Z333,IF($A333&gt;'Work Calendar'!$B$17,"No data yet",IF(AND(V333&gt;='Work Calendar'!$B$14,T333+U333+W333&gt;0),"Day off - but worked",IF(V333&gt;='Work Calendar'!$B$14,"Day off",IF(T333+U333+W333&gt;0,IF($C333="Working","Charged","Worked weekend"),IF($C333="Working","Leave (not charged)",$C333)))))))</f>
        <v>No data yet</v>
      </c>
    </row>
    <row r="334" spans="1:27" x14ac:dyDescent="0.3">
      <c r="A334" s="371">
        <f>IF($A333="","",IF($A333+1&gt;'Work Calendar'!$B$16,"",$A333+1))</f>
        <v>46352</v>
      </c>
      <c r="B334" t="str">
        <f t="shared" si="20"/>
        <v>Thu</v>
      </c>
      <c r="C334" t="str" cm="1">
        <f t="array" ref="C334">IF($A334="","",IF(COUNTIF('Work Calendar'!$E$6:$E$200,$A334)&gt;0,"Holiday",IF(INDEX('Work Calendar'!$C$6:$C$12,WEEKDAY($A334,1))=1,"Working","Weekend")))</f>
        <v>Working</v>
      </c>
      <c r="D334" s="341">
        <f>IF($A334="","",SUMIFS('Timesheet Raw'!$P$4:$P$8000,'Timesheet Raw'!$L$4:$L$8000,$A334,'Timesheet Raw'!$C$4:$C$8000,D$3,'Timesheet Raw'!$A$4:$A$8000,"1-Projects"))</f>
        <v>0</v>
      </c>
      <c r="E334" s="341">
        <f>IF($A334="","",SUMIFS('Timesheet Raw'!$P$4:$P$8000,'Timesheet Raw'!$L$4:$L$8000,$A334,'Timesheet Raw'!$C$4:$C$8000,D$3,'Timesheet Raw'!$A$4:$A$8000,"2-Proposals Chargeable")+SUMIFS('Timesheet Raw'!$P$4:$P$8000,'Timesheet Raw'!$L$4:$L$8000,$A334,'Timesheet Raw'!$C$4:$C$8000,D$3,'Timesheet Raw'!$A$4:$A$8000,"3-Proposals Regular"))</f>
        <v>0</v>
      </c>
      <c r="F334" s="341">
        <f>IF($A334="","",SUMIFS('Timesheet Raw'!$P$4:$P$8000,'Timesheet Raw'!$L$4:$L$8000,$A334,'Timesheet Raw'!$C$4:$C$8000,D$3,'Timesheet Raw'!$B$4:$B$8000,'Work Calendar'!$A$26)+SUMIFS('Timesheet Raw'!$P$4:$P$8000,'Timesheet Raw'!$L$4:$L$8000,$A334,'Timesheet Raw'!$C$4:$C$8000,D$3,'Timesheet Raw'!$B$4:$B$8000,'Work Calendar'!$A$27)+SUMIFS('Timesheet Raw'!$P$4:$P$8000,'Timesheet Raw'!$L$4:$L$8000,$A334,'Timesheet Raw'!$C$4:$C$8000,D$3,'Timesheet Raw'!$B$4:$B$8000,'Work Calendar'!$A$28)+SUMIFS('Timesheet Raw'!$P$4:$P$8000,'Timesheet Raw'!$L$4:$L$8000,$A334,'Timesheet Raw'!$C$4:$C$8000,D$3,'Timesheet Raw'!$B$4:$B$8000,'Work Calendar'!$A$29))</f>
        <v>0</v>
      </c>
      <c r="G334" s="341">
        <f t="shared" si="21"/>
        <v>0</v>
      </c>
      <c r="H334" s="395">
        <f>IF($A334="","",SUMIFS('Timesheet Raw'!$K$4:$K$8000,'Timesheet Raw'!$L$4:$L$8000,$A334,'Timesheet Raw'!$C$4:$C$8000,D$3))</f>
        <v>0</v>
      </c>
      <c r="I334" s="345">
        <f>IF($A334="","",SUMIFS('Timesheet Raw'!$P$4:$P$8000,'Timesheet Raw'!$L$4:$L$8000,$A334,'Timesheet Raw'!$C$4:$C$8000,D$3))</f>
        <v>0</v>
      </c>
      <c r="J334" s="375"/>
      <c r="K334" t="str">
        <f>IF($A334="","",IF(J334&lt;&gt;"",J334,IF($A334&gt;'Work Calendar'!$B$17,"No data yet",IF(AND(F334&gt;='Work Calendar'!$B$14,D334+E334+G334&gt;0),"Day off - but worked",IF(F334&gt;='Work Calendar'!$B$14,"Day off",IF(D334+E334+G334&gt;0,IF($C334="Working","Charged","Worked weekend"),IF($C334="Working","Leave (not charged)",$C334)))))))</f>
        <v>No data yet</v>
      </c>
      <c r="L334" s="341">
        <f>IF($A334="","",SUMIFS('Timesheet Raw'!$P$4:$P$8000,'Timesheet Raw'!$L$4:$L$8000,$A334,'Timesheet Raw'!$C$4:$C$8000,L$3,'Timesheet Raw'!$A$4:$A$8000,"1-Projects"))</f>
        <v>0</v>
      </c>
      <c r="M334" s="341">
        <f>IF($A334="","",SUMIFS('Timesheet Raw'!$P$4:$P$8000,'Timesheet Raw'!$L$4:$L$8000,$A334,'Timesheet Raw'!$C$4:$C$8000,L$3,'Timesheet Raw'!$A$4:$A$8000,"2-Proposals Chargeable")+SUMIFS('Timesheet Raw'!$P$4:$P$8000,'Timesheet Raw'!$L$4:$L$8000,$A334,'Timesheet Raw'!$C$4:$C$8000,L$3,'Timesheet Raw'!$A$4:$A$8000,"3-Proposals Regular"))</f>
        <v>0</v>
      </c>
      <c r="N334" s="341">
        <f>IF($A334="","",SUMIFS('Timesheet Raw'!$P$4:$P$8000,'Timesheet Raw'!$L$4:$L$8000,$A334,'Timesheet Raw'!$C$4:$C$8000,L$3,'Timesheet Raw'!$B$4:$B$8000,'Work Calendar'!$A$26)+SUMIFS('Timesheet Raw'!$P$4:$P$8000,'Timesheet Raw'!$L$4:$L$8000,$A334,'Timesheet Raw'!$C$4:$C$8000,L$3,'Timesheet Raw'!$B$4:$B$8000,'Work Calendar'!$A$27)+SUMIFS('Timesheet Raw'!$P$4:$P$8000,'Timesheet Raw'!$L$4:$L$8000,$A334,'Timesheet Raw'!$C$4:$C$8000,L$3,'Timesheet Raw'!$B$4:$B$8000,'Work Calendar'!$A$28)+SUMIFS('Timesheet Raw'!$P$4:$P$8000,'Timesheet Raw'!$L$4:$L$8000,$A334,'Timesheet Raw'!$C$4:$C$8000,L$3,'Timesheet Raw'!$B$4:$B$8000,'Work Calendar'!$A$29))</f>
        <v>0</v>
      </c>
      <c r="O334" s="341">
        <f t="shared" si="22"/>
        <v>0</v>
      </c>
      <c r="P334" s="395">
        <f>IF($A334="","",SUMIFS('Timesheet Raw'!$K$4:$K$8000,'Timesheet Raw'!$L$4:$L$8000,$A334,'Timesheet Raw'!$C$4:$C$8000,L$3))</f>
        <v>0</v>
      </c>
      <c r="Q334" s="345">
        <f>IF($A334="","",SUMIFS('Timesheet Raw'!$P$4:$P$8000,'Timesheet Raw'!$L$4:$L$8000,$A334,'Timesheet Raw'!$C$4:$C$8000,L$3))</f>
        <v>0</v>
      </c>
      <c r="R334" s="375"/>
      <c r="S334" t="str">
        <f>IF($A334="","",IF(R334&lt;&gt;"",R334,IF($A334&gt;'Work Calendar'!$B$17,"No data yet",IF(AND(N334&gt;='Work Calendar'!$B$14,L334+M334+O334&gt;0),"Day off - but worked",IF(N334&gt;='Work Calendar'!$B$14,"Day off",IF(L334+M334+O334&gt;0,IF($C334="Working","Charged","Worked weekend"),IF($C334="Working","Leave (not charged)",$C334)))))))</f>
        <v>No data yet</v>
      </c>
      <c r="T334" s="341">
        <f>IF($A334="","",SUMIFS('Timesheet Raw'!$P$4:$P$8000,'Timesheet Raw'!$L$4:$L$8000,$A334,'Timesheet Raw'!$C$4:$C$8000,T$3,'Timesheet Raw'!$A$4:$A$8000,"1-Projects"))</f>
        <v>0</v>
      </c>
      <c r="U334" s="341">
        <f>IF($A334="","",SUMIFS('Timesheet Raw'!$P$4:$P$8000,'Timesheet Raw'!$L$4:$L$8000,$A334,'Timesheet Raw'!$C$4:$C$8000,T$3,'Timesheet Raw'!$A$4:$A$8000,"2-Proposals Chargeable")+SUMIFS('Timesheet Raw'!$P$4:$P$8000,'Timesheet Raw'!$L$4:$L$8000,$A334,'Timesheet Raw'!$C$4:$C$8000,T$3,'Timesheet Raw'!$A$4:$A$8000,"3-Proposals Regular"))</f>
        <v>0</v>
      </c>
      <c r="V334" s="341">
        <f>IF($A334="","",SUMIFS('Timesheet Raw'!$P$4:$P$8000,'Timesheet Raw'!$L$4:$L$8000,$A334,'Timesheet Raw'!$C$4:$C$8000,T$3,'Timesheet Raw'!$B$4:$B$8000,'Work Calendar'!$A$26)+SUMIFS('Timesheet Raw'!$P$4:$P$8000,'Timesheet Raw'!$L$4:$L$8000,$A334,'Timesheet Raw'!$C$4:$C$8000,T$3,'Timesheet Raw'!$B$4:$B$8000,'Work Calendar'!$A$27)+SUMIFS('Timesheet Raw'!$P$4:$P$8000,'Timesheet Raw'!$L$4:$L$8000,$A334,'Timesheet Raw'!$C$4:$C$8000,T$3,'Timesheet Raw'!$B$4:$B$8000,'Work Calendar'!$A$28)+SUMIFS('Timesheet Raw'!$P$4:$P$8000,'Timesheet Raw'!$L$4:$L$8000,$A334,'Timesheet Raw'!$C$4:$C$8000,T$3,'Timesheet Raw'!$B$4:$B$8000,'Work Calendar'!$A$29))</f>
        <v>0</v>
      </c>
      <c r="W334" s="341">
        <f t="shared" si="23"/>
        <v>0</v>
      </c>
      <c r="X334" s="395">
        <f>IF($A334="","",SUMIFS('Timesheet Raw'!$K$4:$K$8000,'Timesheet Raw'!$L$4:$L$8000,$A334,'Timesheet Raw'!$C$4:$C$8000,T$3))</f>
        <v>0</v>
      </c>
      <c r="Y334" s="345">
        <f>IF($A334="","",SUMIFS('Timesheet Raw'!$P$4:$P$8000,'Timesheet Raw'!$L$4:$L$8000,$A334,'Timesheet Raw'!$C$4:$C$8000,T$3))</f>
        <v>0</v>
      </c>
      <c r="Z334" s="375"/>
      <c r="AA334" t="str">
        <f>IF($A334="","",IF(Z334&lt;&gt;"",Z334,IF($A334&gt;'Work Calendar'!$B$17,"No data yet",IF(AND(V334&gt;='Work Calendar'!$B$14,T334+U334+W334&gt;0),"Day off - but worked",IF(V334&gt;='Work Calendar'!$B$14,"Day off",IF(T334+U334+W334&gt;0,IF($C334="Working","Charged","Worked weekend"),IF($C334="Working","Leave (not charged)",$C334)))))))</f>
        <v>No data yet</v>
      </c>
    </row>
    <row r="335" spans="1:27" x14ac:dyDescent="0.3">
      <c r="A335" s="371">
        <f>IF($A334="","",IF($A334+1&gt;'Work Calendar'!$B$16,"",$A334+1))</f>
        <v>46353</v>
      </c>
      <c r="B335" t="str">
        <f t="shared" si="20"/>
        <v>Fri</v>
      </c>
      <c r="C335" t="str" cm="1">
        <f t="array" ref="C335">IF($A335="","",IF(COUNTIF('Work Calendar'!$E$6:$E$200,$A335)&gt;0,"Holiday",IF(INDEX('Work Calendar'!$C$6:$C$12,WEEKDAY($A335,1))=1,"Working","Weekend")))</f>
        <v>Weekend</v>
      </c>
      <c r="D335" s="341">
        <f>IF($A335="","",SUMIFS('Timesheet Raw'!$P$4:$P$8000,'Timesheet Raw'!$L$4:$L$8000,$A335,'Timesheet Raw'!$C$4:$C$8000,D$3,'Timesheet Raw'!$A$4:$A$8000,"1-Projects"))</f>
        <v>0</v>
      </c>
      <c r="E335" s="341">
        <f>IF($A335="","",SUMIFS('Timesheet Raw'!$P$4:$P$8000,'Timesheet Raw'!$L$4:$L$8000,$A335,'Timesheet Raw'!$C$4:$C$8000,D$3,'Timesheet Raw'!$A$4:$A$8000,"2-Proposals Chargeable")+SUMIFS('Timesheet Raw'!$P$4:$P$8000,'Timesheet Raw'!$L$4:$L$8000,$A335,'Timesheet Raw'!$C$4:$C$8000,D$3,'Timesheet Raw'!$A$4:$A$8000,"3-Proposals Regular"))</f>
        <v>0</v>
      </c>
      <c r="F335" s="341">
        <f>IF($A335="","",SUMIFS('Timesheet Raw'!$P$4:$P$8000,'Timesheet Raw'!$L$4:$L$8000,$A335,'Timesheet Raw'!$C$4:$C$8000,D$3,'Timesheet Raw'!$B$4:$B$8000,'Work Calendar'!$A$26)+SUMIFS('Timesheet Raw'!$P$4:$P$8000,'Timesheet Raw'!$L$4:$L$8000,$A335,'Timesheet Raw'!$C$4:$C$8000,D$3,'Timesheet Raw'!$B$4:$B$8000,'Work Calendar'!$A$27)+SUMIFS('Timesheet Raw'!$P$4:$P$8000,'Timesheet Raw'!$L$4:$L$8000,$A335,'Timesheet Raw'!$C$4:$C$8000,D$3,'Timesheet Raw'!$B$4:$B$8000,'Work Calendar'!$A$28)+SUMIFS('Timesheet Raw'!$P$4:$P$8000,'Timesheet Raw'!$L$4:$L$8000,$A335,'Timesheet Raw'!$C$4:$C$8000,D$3,'Timesheet Raw'!$B$4:$B$8000,'Work Calendar'!$A$29))</f>
        <v>0</v>
      </c>
      <c r="G335" s="341">
        <f t="shared" si="21"/>
        <v>0</v>
      </c>
      <c r="H335" s="395">
        <f>IF($A335="","",SUMIFS('Timesheet Raw'!$K$4:$K$8000,'Timesheet Raw'!$L$4:$L$8000,$A335,'Timesheet Raw'!$C$4:$C$8000,D$3))</f>
        <v>0</v>
      </c>
      <c r="I335" s="345">
        <f>IF($A335="","",SUMIFS('Timesheet Raw'!$P$4:$P$8000,'Timesheet Raw'!$L$4:$L$8000,$A335,'Timesheet Raw'!$C$4:$C$8000,D$3))</f>
        <v>0</v>
      </c>
      <c r="J335" s="375"/>
      <c r="K335" t="str">
        <f>IF($A335="","",IF(J335&lt;&gt;"",J335,IF($A335&gt;'Work Calendar'!$B$17,"No data yet",IF(AND(F335&gt;='Work Calendar'!$B$14,D335+E335+G335&gt;0),"Day off - but worked",IF(F335&gt;='Work Calendar'!$B$14,"Day off",IF(D335+E335+G335&gt;0,IF($C335="Working","Charged","Worked weekend"),IF($C335="Working","Leave (not charged)",$C335)))))))</f>
        <v>No data yet</v>
      </c>
      <c r="L335" s="341">
        <f>IF($A335="","",SUMIFS('Timesheet Raw'!$P$4:$P$8000,'Timesheet Raw'!$L$4:$L$8000,$A335,'Timesheet Raw'!$C$4:$C$8000,L$3,'Timesheet Raw'!$A$4:$A$8000,"1-Projects"))</f>
        <v>0</v>
      </c>
      <c r="M335" s="341">
        <f>IF($A335="","",SUMIFS('Timesheet Raw'!$P$4:$P$8000,'Timesheet Raw'!$L$4:$L$8000,$A335,'Timesheet Raw'!$C$4:$C$8000,L$3,'Timesheet Raw'!$A$4:$A$8000,"2-Proposals Chargeable")+SUMIFS('Timesheet Raw'!$P$4:$P$8000,'Timesheet Raw'!$L$4:$L$8000,$A335,'Timesheet Raw'!$C$4:$C$8000,L$3,'Timesheet Raw'!$A$4:$A$8000,"3-Proposals Regular"))</f>
        <v>0</v>
      </c>
      <c r="N335" s="341">
        <f>IF($A335="","",SUMIFS('Timesheet Raw'!$P$4:$P$8000,'Timesheet Raw'!$L$4:$L$8000,$A335,'Timesheet Raw'!$C$4:$C$8000,L$3,'Timesheet Raw'!$B$4:$B$8000,'Work Calendar'!$A$26)+SUMIFS('Timesheet Raw'!$P$4:$P$8000,'Timesheet Raw'!$L$4:$L$8000,$A335,'Timesheet Raw'!$C$4:$C$8000,L$3,'Timesheet Raw'!$B$4:$B$8000,'Work Calendar'!$A$27)+SUMIFS('Timesheet Raw'!$P$4:$P$8000,'Timesheet Raw'!$L$4:$L$8000,$A335,'Timesheet Raw'!$C$4:$C$8000,L$3,'Timesheet Raw'!$B$4:$B$8000,'Work Calendar'!$A$28)+SUMIFS('Timesheet Raw'!$P$4:$P$8000,'Timesheet Raw'!$L$4:$L$8000,$A335,'Timesheet Raw'!$C$4:$C$8000,L$3,'Timesheet Raw'!$B$4:$B$8000,'Work Calendar'!$A$29))</f>
        <v>0</v>
      </c>
      <c r="O335" s="341">
        <f t="shared" si="22"/>
        <v>0</v>
      </c>
      <c r="P335" s="395">
        <f>IF($A335="","",SUMIFS('Timesheet Raw'!$K$4:$K$8000,'Timesheet Raw'!$L$4:$L$8000,$A335,'Timesheet Raw'!$C$4:$C$8000,L$3))</f>
        <v>0</v>
      </c>
      <c r="Q335" s="345">
        <f>IF($A335="","",SUMIFS('Timesheet Raw'!$P$4:$P$8000,'Timesheet Raw'!$L$4:$L$8000,$A335,'Timesheet Raw'!$C$4:$C$8000,L$3))</f>
        <v>0</v>
      </c>
      <c r="R335" s="375"/>
      <c r="S335" t="str">
        <f>IF($A335="","",IF(R335&lt;&gt;"",R335,IF($A335&gt;'Work Calendar'!$B$17,"No data yet",IF(AND(N335&gt;='Work Calendar'!$B$14,L335+M335+O335&gt;0),"Day off - but worked",IF(N335&gt;='Work Calendar'!$B$14,"Day off",IF(L335+M335+O335&gt;0,IF($C335="Working","Charged","Worked weekend"),IF($C335="Working","Leave (not charged)",$C335)))))))</f>
        <v>No data yet</v>
      </c>
      <c r="T335" s="341">
        <f>IF($A335="","",SUMIFS('Timesheet Raw'!$P$4:$P$8000,'Timesheet Raw'!$L$4:$L$8000,$A335,'Timesheet Raw'!$C$4:$C$8000,T$3,'Timesheet Raw'!$A$4:$A$8000,"1-Projects"))</f>
        <v>0</v>
      </c>
      <c r="U335" s="341">
        <f>IF($A335="","",SUMIFS('Timesheet Raw'!$P$4:$P$8000,'Timesheet Raw'!$L$4:$L$8000,$A335,'Timesheet Raw'!$C$4:$C$8000,T$3,'Timesheet Raw'!$A$4:$A$8000,"2-Proposals Chargeable")+SUMIFS('Timesheet Raw'!$P$4:$P$8000,'Timesheet Raw'!$L$4:$L$8000,$A335,'Timesheet Raw'!$C$4:$C$8000,T$3,'Timesheet Raw'!$A$4:$A$8000,"3-Proposals Regular"))</f>
        <v>0</v>
      </c>
      <c r="V335" s="341">
        <f>IF($A335="","",SUMIFS('Timesheet Raw'!$P$4:$P$8000,'Timesheet Raw'!$L$4:$L$8000,$A335,'Timesheet Raw'!$C$4:$C$8000,T$3,'Timesheet Raw'!$B$4:$B$8000,'Work Calendar'!$A$26)+SUMIFS('Timesheet Raw'!$P$4:$P$8000,'Timesheet Raw'!$L$4:$L$8000,$A335,'Timesheet Raw'!$C$4:$C$8000,T$3,'Timesheet Raw'!$B$4:$B$8000,'Work Calendar'!$A$27)+SUMIFS('Timesheet Raw'!$P$4:$P$8000,'Timesheet Raw'!$L$4:$L$8000,$A335,'Timesheet Raw'!$C$4:$C$8000,T$3,'Timesheet Raw'!$B$4:$B$8000,'Work Calendar'!$A$28)+SUMIFS('Timesheet Raw'!$P$4:$P$8000,'Timesheet Raw'!$L$4:$L$8000,$A335,'Timesheet Raw'!$C$4:$C$8000,T$3,'Timesheet Raw'!$B$4:$B$8000,'Work Calendar'!$A$29))</f>
        <v>0</v>
      </c>
      <c r="W335" s="341">
        <f t="shared" si="23"/>
        <v>0</v>
      </c>
      <c r="X335" s="395">
        <f>IF($A335="","",SUMIFS('Timesheet Raw'!$K$4:$K$8000,'Timesheet Raw'!$L$4:$L$8000,$A335,'Timesheet Raw'!$C$4:$C$8000,T$3))</f>
        <v>0</v>
      </c>
      <c r="Y335" s="345">
        <f>IF($A335="","",SUMIFS('Timesheet Raw'!$P$4:$P$8000,'Timesheet Raw'!$L$4:$L$8000,$A335,'Timesheet Raw'!$C$4:$C$8000,T$3))</f>
        <v>0</v>
      </c>
      <c r="Z335" s="375"/>
      <c r="AA335" t="str">
        <f>IF($A335="","",IF(Z335&lt;&gt;"",Z335,IF($A335&gt;'Work Calendar'!$B$17,"No data yet",IF(AND(V335&gt;='Work Calendar'!$B$14,T335+U335+W335&gt;0),"Day off - but worked",IF(V335&gt;='Work Calendar'!$B$14,"Day off",IF(T335+U335+W335&gt;0,IF($C335="Working","Charged","Worked weekend"),IF($C335="Working","Leave (not charged)",$C335)))))))</f>
        <v>No data yet</v>
      </c>
    </row>
    <row r="336" spans="1:27" x14ac:dyDescent="0.3">
      <c r="A336" s="371">
        <f>IF($A335="","",IF($A335+1&gt;'Work Calendar'!$B$16,"",$A335+1))</f>
        <v>46354</v>
      </c>
      <c r="B336" t="str">
        <f t="shared" si="20"/>
        <v>Sat</v>
      </c>
      <c r="C336" t="str" cm="1">
        <f t="array" ref="C336">IF($A336="","",IF(COUNTIF('Work Calendar'!$E$6:$E$200,$A336)&gt;0,"Holiday",IF(INDEX('Work Calendar'!$C$6:$C$12,WEEKDAY($A336,1))=1,"Working","Weekend")))</f>
        <v>Weekend</v>
      </c>
      <c r="D336" s="341">
        <f>IF($A336="","",SUMIFS('Timesheet Raw'!$P$4:$P$8000,'Timesheet Raw'!$L$4:$L$8000,$A336,'Timesheet Raw'!$C$4:$C$8000,D$3,'Timesheet Raw'!$A$4:$A$8000,"1-Projects"))</f>
        <v>0</v>
      </c>
      <c r="E336" s="341">
        <f>IF($A336="","",SUMIFS('Timesheet Raw'!$P$4:$P$8000,'Timesheet Raw'!$L$4:$L$8000,$A336,'Timesheet Raw'!$C$4:$C$8000,D$3,'Timesheet Raw'!$A$4:$A$8000,"2-Proposals Chargeable")+SUMIFS('Timesheet Raw'!$P$4:$P$8000,'Timesheet Raw'!$L$4:$L$8000,$A336,'Timesheet Raw'!$C$4:$C$8000,D$3,'Timesheet Raw'!$A$4:$A$8000,"3-Proposals Regular"))</f>
        <v>0</v>
      </c>
      <c r="F336" s="341">
        <f>IF($A336="","",SUMIFS('Timesheet Raw'!$P$4:$P$8000,'Timesheet Raw'!$L$4:$L$8000,$A336,'Timesheet Raw'!$C$4:$C$8000,D$3,'Timesheet Raw'!$B$4:$B$8000,'Work Calendar'!$A$26)+SUMIFS('Timesheet Raw'!$P$4:$P$8000,'Timesheet Raw'!$L$4:$L$8000,$A336,'Timesheet Raw'!$C$4:$C$8000,D$3,'Timesheet Raw'!$B$4:$B$8000,'Work Calendar'!$A$27)+SUMIFS('Timesheet Raw'!$P$4:$P$8000,'Timesheet Raw'!$L$4:$L$8000,$A336,'Timesheet Raw'!$C$4:$C$8000,D$3,'Timesheet Raw'!$B$4:$B$8000,'Work Calendar'!$A$28)+SUMIFS('Timesheet Raw'!$P$4:$P$8000,'Timesheet Raw'!$L$4:$L$8000,$A336,'Timesheet Raw'!$C$4:$C$8000,D$3,'Timesheet Raw'!$B$4:$B$8000,'Work Calendar'!$A$29))</f>
        <v>0</v>
      </c>
      <c r="G336" s="341">
        <f t="shared" si="21"/>
        <v>0</v>
      </c>
      <c r="H336" s="395">
        <f>IF($A336="","",SUMIFS('Timesheet Raw'!$K$4:$K$8000,'Timesheet Raw'!$L$4:$L$8000,$A336,'Timesheet Raw'!$C$4:$C$8000,D$3))</f>
        <v>0</v>
      </c>
      <c r="I336" s="345">
        <f>IF($A336="","",SUMIFS('Timesheet Raw'!$P$4:$P$8000,'Timesheet Raw'!$L$4:$L$8000,$A336,'Timesheet Raw'!$C$4:$C$8000,D$3))</f>
        <v>0</v>
      </c>
      <c r="J336" s="375"/>
      <c r="K336" t="str">
        <f>IF($A336="","",IF(J336&lt;&gt;"",J336,IF($A336&gt;'Work Calendar'!$B$17,"No data yet",IF(AND(F336&gt;='Work Calendar'!$B$14,D336+E336+G336&gt;0),"Day off - but worked",IF(F336&gt;='Work Calendar'!$B$14,"Day off",IF(D336+E336+G336&gt;0,IF($C336="Working","Charged","Worked weekend"),IF($C336="Working","Leave (not charged)",$C336)))))))</f>
        <v>No data yet</v>
      </c>
      <c r="L336" s="341">
        <f>IF($A336="","",SUMIFS('Timesheet Raw'!$P$4:$P$8000,'Timesheet Raw'!$L$4:$L$8000,$A336,'Timesheet Raw'!$C$4:$C$8000,L$3,'Timesheet Raw'!$A$4:$A$8000,"1-Projects"))</f>
        <v>0</v>
      </c>
      <c r="M336" s="341">
        <f>IF($A336="","",SUMIFS('Timesheet Raw'!$P$4:$P$8000,'Timesheet Raw'!$L$4:$L$8000,$A336,'Timesheet Raw'!$C$4:$C$8000,L$3,'Timesheet Raw'!$A$4:$A$8000,"2-Proposals Chargeable")+SUMIFS('Timesheet Raw'!$P$4:$P$8000,'Timesheet Raw'!$L$4:$L$8000,$A336,'Timesheet Raw'!$C$4:$C$8000,L$3,'Timesheet Raw'!$A$4:$A$8000,"3-Proposals Regular"))</f>
        <v>0</v>
      </c>
      <c r="N336" s="341">
        <f>IF($A336="","",SUMIFS('Timesheet Raw'!$P$4:$P$8000,'Timesheet Raw'!$L$4:$L$8000,$A336,'Timesheet Raw'!$C$4:$C$8000,L$3,'Timesheet Raw'!$B$4:$B$8000,'Work Calendar'!$A$26)+SUMIFS('Timesheet Raw'!$P$4:$P$8000,'Timesheet Raw'!$L$4:$L$8000,$A336,'Timesheet Raw'!$C$4:$C$8000,L$3,'Timesheet Raw'!$B$4:$B$8000,'Work Calendar'!$A$27)+SUMIFS('Timesheet Raw'!$P$4:$P$8000,'Timesheet Raw'!$L$4:$L$8000,$A336,'Timesheet Raw'!$C$4:$C$8000,L$3,'Timesheet Raw'!$B$4:$B$8000,'Work Calendar'!$A$28)+SUMIFS('Timesheet Raw'!$P$4:$P$8000,'Timesheet Raw'!$L$4:$L$8000,$A336,'Timesheet Raw'!$C$4:$C$8000,L$3,'Timesheet Raw'!$B$4:$B$8000,'Work Calendar'!$A$29))</f>
        <v>0</v>
      </c>
      <c r="O336" s="341">
        <f t="shared" si="22"/>
        <v>0</v>
      </c>
      <c r="P336" s="395">
        <f>IF($A336="","",SUMIFS('Timesheet Raw'!$K$4:$K$8000,'Timesheet Raw'!$L$4:$L$8000,$A336,'Timesheet Raw'!$C$4:$C$8000,L$3))</f>
        <v>0</v>
      </c>
      <c r="Q336" s="345">
        <f>IF($A336="","",SUMIFS('Timesheet Raw'!$P$4:$P$8000,'Timesheet Raw'!$L$4:$L$8000,$A336,'Timesheet Raw'!$C$4:$C$8000,L$3))</f>
        <v>0</v>
      </c>
      <c r="R336" s="375"/>
      <c r="S336" t="str">
        <f>IF($A336="","",IF(R336&lt;&gt;"",R336,IF($A336&gt;'Work Calendar'!$B$17,"No data yet",IF(AND(N336&gt;='Work Calendar'!$B$14,L336+M336+O336&gt;0),"Day off - but worked",IF(N336&gt;='Work Calendar'!$B$14,"Day off",IF(L336+M336+O336&gt;0,IF($C336="Working","Charged","Worked weekend"),IF($C336="Working","Leave (not charged)",$C336)))))))</f>
        <v>No data yet</v>
      </c>
      <c r="T336" s="341">
        <f>IF($A336="","",SUMIFS('Timesheet Raw'!$P$4:$P$8000,'Timesheet Raw'!$L$4:$L$8000,$A336,'Timesheet Raw'!$C$4:$C$8000,T$3,'Timesheet Raw'!$A$4:$A$8000,"1-Projects"))</f>
        <v>0</v>
      </c>
      <c r="U336" s="341">
        <f>IF($A336="","",SUMIFS('Timesheet Raw'!$P$4:$P$8000,'Timesheet Raw'!$L$4:$L$8000,$A336,'Timesheet Raw'!$C$4:$C$8000,T$3,'Timesheet Raw'!$A$4:$A$8000,"2-Proposals Chargeable")+SUMIFS('Timesheet Raw'!$P$4:$P$8000,'Timesheet Raw'!$L$4:$L$8000,$A336,'Timesheet Raw'!$C$4:$C$8000,T$3,'Timesheet Raw'!$A$4:$A$8000,"3-Proposals Regular"))</f>
        <v>0</v>
      </c>
      <c r="V336" s="341">
        <f>IF($A336="","",SUMIFS('Timesheet Raw'!$P$4:$P$8000,'Timesheet Raw'!$L$4:$L$8000,$A336,'Timesheet Raw'!$C$4:$C$8000,T$3,'Timesheet Raw'!$B$4:$B$8000,'Work Calendar'!$A$26)+SUMIFS('Timesheet Raw'!$P$4:$P$8000,'Timesheet Raw'!$L$4:$L$8000,$A336,'Timesheet Raw'!$C$4:$C$8000,T$3,'Timesheet Raw'!$B$4:$B$8000,'Work Calendar'!$A$27)+SUMIFS('Timesheet Raw'!$P$4:$P$8000,'Timesheet Raw'!$L$4:$L$8000,$A336,'Timesheet Raw'!$C$4:$C$8000,T$3,'Timesheet Raw'!$B$4:$B$8000,'Work Calendar'!$A$28)+SUMIFS('Timesheet Raw'!$P$4:$P$8000,'Timesheet Raw'!$L$4:$L$8000,$A336,'Timesheet Raw'!$C$4:$C$8000,T$3,'Timesheet Raw'!$B$4:$B$8000,'Work Calendar'!$A$29))</f>
        <v>0</v>
      </c>
      <c r="W336" s="341">
        <f t="shared" si="23"/>
        <v>0</v>
      </c>
      <c r="X336" s="395">
        <f>IF($A336="","",SUMIFS('Timesheet Raw'!$K$4:$K$8000,'Timesheet Raw'!$L$4:$L$8000,$A336,'Timesheet Raw'!$C$4:$C$8000,T$3))</f>
        <v>0</v>
      </c>
      <c r="Y336" s="345">
        <f>IF($A336="","",SUMIFS('Timesheet Raw'!$P$4:$P$8000,'Timesheet Raw'!$L$4:$L$8000,$A336,'Timesheet Raw'!$C$4:$C$8000,T$3))</f>
        <v>0</v>
      </c>
      <c r="Z336" s="375"/>
      <c r="AA336" t="str">
        <f>IF($A336="","",IF(Z336&lt;&gt;"",Z336,IF($A336&gt;'Work Calendar'!$B$17,"No data yet",IF(AND(V336&gt;='Work Calendar'!$B$14,T336+U336+W336&gt;0),"Day off - but worked",IF(V336&gt;='Work Calendar'!$B$14,"Day off",IF(T336+U336+W336&gt;0,IF($C336="Working","Charged","Worked weekend"),IF($C336="Working","Leave (not charged)",$C336)))))))</f>
        <v>No data yet</v>
      </c>
    </row>
    <row r="337" spans="1:27" x14ac:dyDescent="0.3">
      <c r="A337" s="371">
        <f>IF($A336="","",IF($A336+1&gt;'Work Calendar'!$B$16,"",$A336+1))</f>
        <v>46355</v>
      </c>
      <c r="B337" t="str">
        <f t="shared" si="20"/>
        <v>Sun</v>
      </c>
      <c r="C337" t="str" cm="1">
        <f t="array" ref="C337">IF($A337="","",IF(COUNTIF('Work Calendar'!$E$6:$E$200,$A337)&gt;0,"Holiday",IF(INDEX('Work Calendar'!$C$6:$C$12,WEEKDAY($A337,1))=1,"Working","Weekend")))</f>
        <v>Working</v>
      </c>
      <c r="D337" s="341">
        <f>IF($A337="","",SUMIFS('Timesheet Raw'!$P$4:$P$8000,'Timesheet Raw'!$L$4:$L$8000,$A337,'Timesheet Raw'!$C$4:$C$8000,D$3,'Timesheet Raw'!$A$4:$A$8000,"1-Projects"))</f>
        <v>0</v>
      </c>
      <c r="E337" s="341">
        <f>IF($A337="","",SUMIFS('Timesheet Raw'!$P$4:$P$8000,'Timesheet Raw'!$L$4:$L$8000,$A337,'Timesheet Raw'!$C$4:$C$8000,D$3,'Timesheet Raw'!$A$4:$A$8000,"2-Proposals Chargeable")+SUMIFS('Timesheet Raw'!$P$4:$P$8000,'Timesheet Raw'!$L$4:$L$8000,$A337,'Timesheet Raw'!$C$4:$C$8000,D$3,'Timesheet Raw'!$A$4:$A$8000,"3-Proposals Regular"))</f>
        <v>0</v>
      </c>
      <c r="F337" s="341">
        <f>IF($A337="","",SUMIFS('Timesheet Raw'!$P$4:$P$8000,'Timesheet Raw'!$L$4:$L$8000,$A337,'Timesheet Raw'!$C$4:$C$8000,D$3,'Timesheet Raw'!$B$4:$B$8000,'Work Calendar'!$A$26)+SUMIFS('Timesheet Raw'!$P$4:$P$8000,'Timesheet Raw'!$L$4:$L$8000,$A337,'Timesheet Raw'!$C$4:$C$8000,D$3,'Timesheet Raw'!$B$4:$B$8000,'Work Calendar'!$A$27)+SUMIFS('Timesheet Raw'!$P$4:$P$8000,'Timesheet Raw'!$L$4:$L$8000,$A337,'Timesheet Raw'!$C$4:$C$8000,D$3,'Timesheet Raw'!$B$4:$B$8000,'Work Calendar'!$A$28)+SUMIFS('Timesheet Raw'!$P$4:$P$8000,'Timesheet Raw'!$L$4:$L$8000,$A337,'Timesheet Raw'!$C$4:$C$8000,D$3,'Timesheet Raw'!$B$4:$B$8000,'Work Calendar'!$A$29))</f>
        <v>0</v>
      </c>
      <c r="G337" s="341">
        <f t="shared" si="21"/>
        <v>0</v>
      </c>
      <c r="H337" s="395">
        <f>IF($A337="","",SUMIFS('Timesheet Raw'!$K$4:$K$8000,'Timesheet Raw'!$L$4:$L$8000,$A337,'Timesheet Raw'!$C$4:$C$8000,D$3))</f>
        <v>0</v>
      </c>
      <c r="I337" s="345">
        <f>IF($A337="","",SUMIFS('Timesheet Raw'!$P$4:$P$8000,'Timesheet Raw'!$L$4:$L$8000,$A337,'Timesheet Raw'!$C$4:$C$8000,D$3))</f>
        <v>0</v>
      </c>
      <c r="J337" s="375"/>
      <c r="K337" t="str">
        <f>IF($A337="","",IF(J337&lt;&gt;"",J337,IF($A337&gt;'Work Calendar'!$B$17,"No data yet",IF(AND(F337&gt;='Work Calendar'!$B$14,D337+E337+G337&gt;0),"Day off - but worked",IF(F337&gt;='Work Calendar'!$B$14,"Day off",IF(D337+E337+G337&gt;0,IF($C337="Working","Charged","Worked weekend"),IF($C337="Working","Leave (not charged)",$C337)))))))</f>
        <v>No data yet</v>
      </c>
      <c r="L337" s="341">
        <f>IF($A337="","",SUMIFS('Timesheet Raw'!$P$4:$P$8000,'Timesheet Raw'!$L$4:$L$8000,$A337,'Timesheet Raw'!$C$4:$C$8000,L$3,'Timesheet Raw'!$A$4:$A$8000,"1-Projects"))</f>
        <v>0</v>
      </c>
      <c r="M337" s="341">
        <f>IF($A337="","",SUMIFS('Timesheet Raw'!$P$4:$P$8000,'Timesheet Raw'!$L$4:$L$8000,$A337,'Timesheet Raw'!$C$4:$C$8000,L$3,'Timesheet Raw'!$A$4:$A$8000,"2-Proposals Chargeable")+SUMIFS('Timesheet Raw'!$P$4:$P$8000,'Timesheet Raw'!$L$4:$L$8000,$A337,'Timesheet Raw'!$C$4:$C$8000,L$3,'Timesheet Raw'!$A$4:$A$8000,"3-Proposals Regular"))</f>
        <v>0</v>
      </c>
      <c r="N337" s="341">
        <f>IF($A337="","",SUMIFS('Timesheet Raw'!$P$4:$P$8000,'Timesheet Raw'!$L$4:$L$8000,$A337,'Timesheet Raw'!$C$4:$C$8000,L$3,'Timesheet Raw'!$B$4:$B$8000,'Work Calendar'!$A$26)+SUMIFS('Timesheet Raw'!$P$4:$P$8000,'Timesheet Raw'!$L$4:$L$8000,$A337,'Timesheet Raw'!$C$4:$C$8000,L$3,'Timesheet Raw'!$B$4:$B$8000,'Work Calendar'!$A$27)+SUMIFS('Timesheet Raw'!$P$4:$P$8000,'Timesheet Raw'!$L$4:$L$8000,$A337,'Timesheet Raw'!$C$4:$C$8000,L$3,'Timesheet Raw'!$B$4:$B$8000,'Work Calendar'!$A$28)+SUMIFS('Timesheet Raw'!$P$4:$P$8000,'Timesheet Raw'!$L$4:$L$8000,$A337,'Timesheet Raw'!$C$4:$C$8000,L$3,'Timesheet Raw'!$B$4:$B$8000,'Work Calendar'!$A$29))</f>
        <v>0</v>
      </c>
      <c r="O337" s="341">
        <f t="shared" si="22"/>
        <v>0</v>
      </c>
      <c r="P337" s="395">
        <f>IF($A337="","",SUMIFS('Timesheet Raw'!$K$4:$K$8000,'Timesheet Raw'!$L$4:$L$8000,$A337,'Timesheet Raw'!$C$4:$C$8000,L$3))</f>
        <v>0</v>
      </c>
      <c r="Q337" s="345">
        <f>IF($A337="","",SUMIFS('Timesheet Raw'!$P$4:$P$8000,'Timesheet Raw'!$L$4:$L$8000,$A337,'Timesheet Raw'!$C$4:$C$8000,L$3))</f>
        <v>0</v>
      </c>
      <c r="R337" s="375"/>
      <c r="S337" t="str">
        <f>IF($A337="","",IF(R337&lt;&gt;"",R337,IF($A337&gt;'Work Calendar'!$B$17,"No data yet",IF(AND(N337&gt;='Work Calendar'!$B$14,L337+M337+O337&gt;0),"Day off - but worked",IF(N337&gt;='Work Calendar'!$B$14,"Day off",IF(L337+M337+O337&gt;0,IF($C337="Working","Charged","Worked weekend"),IF($C337="Working","Leave (not charged)",$C337)))))))</f>
        <v>No data yet</v>
      </c>
      <c r="T337" s="341">
        <f>IF($A337="","",SUMIFS('Timesheet Raw'!$P$4:$P$8000,'Timesheet Raw'!$L$4:$L$8000,$A337,'Timesheet Raw'!$C$4:$C$8000,T$3,'Timesheet Raw'!$A$4:$A$8000,"1-Projects"))</f>
        <v>0</v>
      </c>
      <c r="U337" s="341">
        <f>IF($A337="","",SUMIFS('Timesheet Raw'!$P$4:$P$8000,'Timesheet Raw'!$L$4:$L$8000,$A337,'Timesheet Raw'!$C$4:$C$8000,T$3,'Timesheet Raw'!$A$4:$A$8000,"2-Proposals Chargeable")+SUMIFS('Timesheet Raw'!$P$4:$P$8000,'Timesheet Raw'!$L$4:$L$8000,$A337,'Timesheet Raw'!$C$4:$C$8000,T$3,'Timesheet Raw'!$A$4:$A$8000,"3-Proposals Regular"))</f>
        <v>0</v>
      </c>
      <c r="V337" s="341">
        <f>IF($A337="","",SUMIFS('Timesheet Raw'!$P$4:$P$8000,'Timesheet Raw'!$L$4:$L$8000,$A337,'Timesheet Raw'!$C$4:$C$8000,T$3,'Timesheet Raw'!$B$4:$B$8000,'Work Calendar'!$A$26)+SUMIFS('Timesheet Raw'!$P$4:$P$8000,'Timesheet Raw'!$L$4:$L$8000,$A337,'Timesheet Raw'!$C$4:$C$8000,T$3,'Timesheet Raw'!$B$4:$B$8000,'Work Calendar'!$A$27)+SUMIFS('Timesheet Raw'!$P$4:$P$8000,'Timesheet Raw'!$L$4:$L$8000,$A337,'Timesheet Raw'!$C$4:$C$8000,T$3,'Timesheet Raw'!$B$4:$B$8000,'Work Calendar'!$A$28)+SUMIFS('Timesheet Raw'!$P$4:$P$8000,'Timesheet Raw'!$L$4:$L$8000,$A337,'Timesheet Raw'!$C$4:$C$8000,T$3,'Timesheet Raw'!$B$4:$B$8000,'Work Calendar'!$A$29))</f>
        <v>0</v>
      </c>
      <c r="W337" s="341">
        <f t="shared" si="23"/>
        <v>0</v>
      </c>
      <c r="X337" s="395">
        <f>IF($A337="","",SUMIFS('Timesheet Raw'!$K$4:$K$8000,'Timesheet Raw'!$L$4:$L$8000,$A337,'Timesheet Raw'!$C$4:$C$8000,T$3))</f>
        <v>0</v>
      </c>
      <c r="Y337" s="345">
        <f>IF($A337="","",SUMIFS('Timesheet Raw'!$P$4:$P$8000,'Timesheet Raw'!$L$4:$L$8000,$A337,'Timesheet Raw'!$C$4:$C$8000,T$3))</f>
        <v>0</v>
      </c>
      <c r="Z337" s="375"/>
      <c r="AA337" t="str">
        <f>IF($A337="","",IF(Z337&lt;&gt;"",Z337,IF($A337&gt;'Work Calendar'!$B$17,"No data yet",IF(AND(V337&gt;='Work Calendar'!$B$14,T337+U337+W337&gt;0),"Day off - but worked",IF(V337&gt;='Work Calendar'!$B$14,"Day off",IF(T337+U337+W337&gt;0,IF($C337="Working","Charged","Worked weekend"),IF($C337="Working","Leave (not charged)",$C337)))))))</f>
        <v>No data yet</v>
      </c>
    </row>
    <row r="338" spans="1:27" x14ac:dyDescent="0.3">
      <c r="A338" s="371">
        <f>IF($A337="","",IF($A337+1&gt;'Work Calendar'!$B$16,"",$A337+1))</f>
        <v>46356</v>
      </c>
      <c r="B338" t="str">
        <f t="shared" si="20"/>
        <v>Mon</v>
      </c>
      <c r="C338" t="str" cm="1">
        <f t="array" ref="C338">IF($A338="","",IF(COUNTIF('Work Calendar'!$E$6:$E$200,$A338)&gt;0,"Holiday",IF(INDEX('Work Calendar'!$C$6:$C$12,WEEKDAY($A338,1))=1,"Working","Weekend")))</f>
        <v>Working</v>
      </c>
      <c r="D338" s="341">
        <f>IF($A338="","",SUMIFS('Timesheet Raw'!$P$4:$P$8000,'Timesheet Raw'!$L$4:$L$8000,$A338,'Timesheet Raw'!$C$4:$C$8000,D$3,'Timesheet Raw'!$A$4:$A$8000,"1-Projects"))</f>
        <v>0</v>
      </c>
      <c r="E338" s="341">
        <f>IF($A338="","",SUMIFS('Timesheet Raw'!$P$4:$P$8000,'Timesheet Raw'!$L$4:$L$8000,$A338,'Timesheet Raw'!$C$4:$C$8000,D$3,'Timesheet Raw'!$A$4:$A$8000,"2-Proposals Chargeable")+SUMIFS('Timesheet Raw'!$P$4:$P$8000,'Timesheet Raw'!$L$4:$L$8000,$A338,'Timesheet Raw'!$C$4:$C$8000,D$3,'Timesheet Raw'!$A$4:$A$8000,"3-Proposals Regular"))</f>
        <v>0</v>
      </c>
      <c r="F338" s="341">
        <f>IF($A338="","",SUMIFS('Timesheet Raw'!$P$4:$P$8000,'Timesheet Raw'!$L$4:$L$8000,$A338,'Timesheet Raw'!$C$4:$C$8000,D$3,'Timesheet Raw'!$B$4:$B$8000,'Work Calendar'!$A$26)+SUMIFS('Timesheet Raw'!$P$4:$P$8000,'Timesheet Raw'!$L$4:$L$8000,$A338,'Timesheet Raw'!$C$4:$C$8000,D$3,'Timesheet Raw'!$B$4:$B$8000,'Work Calendar'!$A$27)+SUMIFS('Timesheet Raw'!$P$4:$P$8000,'Timesheet Raw'!$L$4:$L$8000,$A338,'Timesheet Raw'!$C$4:$C$8000,D$3,'Timesheet Raw'!$B$4:$B$8000,'Work Calendar'!$A$28)+SUMIFS('Timesheet Raw'!$P$4:$P$8000,'Timesheet Raw'!$L$4:$L$8000,$A338,'Timesheet Raw'!$C$4:$C$8000,D$3,'Timesheet Raw'!$B$4:$B$8000,'Work Calendar'!$A$29))</f>
        <v>0</v>
      </c>
      <c r="G338" s="341">
        <f t="shared" si="21"/>
        <v>0</v>
      </c>
      <c r="H338" s="395">
        <f>IF($A338="","",SUMIFS('Timesheet Raw'!$K$4:$K$8000,'Timesheet Raw'!$L$4:$L$8000,$A338,'Timesheet Raw'!$C$4:$C$8000,D$3))</f>
        <v>0</v>
      </c>
      <c r="I338" s="345">
        <f>IF($A338="","",SUMIFS('Timesheet Raw'!$P$4:$P$8000,'Timesheet Raw'!$L$4:$L$8000,$A338,'Timesheet Raw'!$C$4:$C$8000,D$3))</f>
        <v>0</v>
      </c>
      <c r="J338" s="375"/>
      <c r="K338" t="str">
        <f>IF($A338="","",IF(J338&lt;&gt;"",J338,IF($A338&gt;'Work Calendar'!$B$17,"No data yet",IF(AND(F338&gt;='Work Calendar'!$B$14,D338+E338+G338&gt;0),"Day off - but worked",IF(F338&gt;='Work Calendar'!$B$14,"Day off",IF(D338+E338+G338&gt;0,IF($C338="Working","Charged","Worked weekend"),IF($C338="Working","Leave (not charged)",$C338)))))))</f>
        <v>No data yet</v>
      </c>
      <c r="L338" s="341">
        <f>IF($A338="","",SUMIFS('Timesheet Raw'!$P$4:$P$8000,'Timesheet Raw'!$L$4:$L$8000,$A338,'Timesheet Raw'!$C$4:$C$8000,L$3,'Timesheet Raw'!$A$4:$A$8000,"1-Projects"))</f>
        <v>0</v>
      </c>
      <c r="M338" s="341">
        <f>IF($A338="","",SUMIFS('Timesheet Raw'!$P$4:$P$8000,'Timesheet Raw'!$L$4:$L$8000,$A338,'Timesheet Raw'!$C$4:$C$8000,L$3,'Timesheet Raw'!$A$4:$A$8000,"2-Proposals Chargeable")+SUMIFS('Timesheet Raw'!$P$4:$P$8000,'Timesheet Raw'!$L$4:$L$8000,$A338,'Timesheet Raw'!$C$4:$C$8000,L$3,'Timesheet Raw'!$A$4:$A$8000,"3-Proposals Regular"))</f>
        <v>0</v>
      </c>
      <c r="N338" s="341">
        <f>IF($A338="","",SUMIFS('Timesheet Raw'!$P$4:$P$8000,'Timesheet Raw'!$L$4:$L$8000,$A338,'Timesheet Raw'!$C$4:$C$8000,L$3,'Timesheet Raw'!$B$4:$B$8000,'Work Calendar'!$A$26)+SUMIFS('Timesheet Raw'!$P$4:$P$8000,'Timesheet Raw'!$L$4:$L$8000,$A338,'Timesheet Raw'!$C$4:$C$8000,L$3,'Timesheet Raw'!$B$4:$B$8000,'Work Calendar'!$A$27)+SUMIFS('Timesheet Raw'!$P$4:$P$8000,'Timesheet Raw'!$L$4:$L$8000,$A338,'Timesheet Raw'!$C$4:$C$8000,L$3,'Timesheet Raw'!$B$4:$B$8000,'Work Calendar'!$A$28)+SUMIFS('Timesheet Raw'!$P$4:$P$8000,'Timesheet Raw'!$L$4:$L$8000,$A338,'Timesheet Raw'!$C$4:$C$8000,L$3,'Timesheet Raw'!$B$4:$B$8000,'Work Calendar'!$A$29))</f>
        <v>0</v>
      </c>
      <c r="O338" s="341">
        <f t="shared" si="22"/>
        <v>0</v>
      </c>
      <c r="P338" s="395">
        <f>IF($A338="","",SUMIFS('Timesheet Raw'!$K$4:$K$8000,'Timesheet Raw'!$L$4:$L$8000,$A338,'Timesheet Raw'!$C$4:$C$8000,L$3))</f>
        <v>0</v>
      </c>
      <c r="Q338" s="345">
        <f>IF($A338="","",SUMIFS('Timesheet Raw'!$P$4:$P$8000,'Timesheet Raw'!$L$4:$L$8000,$A338,'Timesheet Raw'!$C$4:$C$8000,L$3))</f>
        <v>0</v>
      </c>
      <c r="R338" s="375"/>
      <c r="S338" t="str">
        <f>IF($A338="","",IF(R338&lt;&gt;"",R338,IF($A338&gt;'Work Calendar'!$B$17,"No data yet",IF(AND(N338&gt;='Work Calendar'!$B$14,L338+M338+O338&gt;0),"Day off - but worked",IF(N338&gt;='Work Calendar'!$B$14,"Day off",IF(L338+M338+O338&gt;0,IF($C338="Working","Charged","Worked weekend"),IF($C338="Working","Leave (not charged)",$C338)))))))</f>
        <v>No data yet</v>
      </c>
      <c r="T338" s="341">
        <f>IF($A338="","",SUMIFS('Timesheet Raw'!$P$4:$P$8000,'Timesheet Raw'!$L$4:$L$8000,$A338,'Timesheet Raw'!$C$4:$C$8000,T$3,'Timesheet Raw'!$A$4:$A$8000,"1-Projects"))</f>
        <v>0</v>
      </c>
      <c r="U338" s="341">
        <f>IF($A338="","",SUMIFS('Timesheet Raw'!$P$4:$P$8000,'Timesheet Raw'!$L$4:$L$8000,$A338,'Timesheet Raw'!$C$4:$C$8000,T$3,'Timesheet Raw'!$A$4:$A$8000,"2-Proposals Chargeable")+SUMIFS('Timesheet Raw'!$P$4:$P$8000,'Timesheet Raw'!$L$4:$L$8000,$A338,'Timesheet Raw'!$C$4:$C$8000,T$3,'Timesheet Raw'!$A$4:$A$8000,"3-Proposals Regular"))</f>
        <v>0</v>
      </c>
      <c r="V338" s="341">
        <f>IF($A338="","",SUMIFS('Timesheet Raw'!$P$4:$P$8000,'Timesheet Raw'!$L$4:$L$8000,$A338,'Timesheet Raw'!$C$4:$C$8000,T$3,'Timesheet Raw'!$B$4:$B$8000,'Work Calendar'!$A$26)+SUMIFS('Timesheet Raw'!$P$4:$P$8000,'Timesheet Raw'!$L$4:$L$8000,$A338,'Timesheet Raw'!$C$4:$C$8000,T$3,'Timesheet Raw'!$B$4:$B$8000,'Work Calendar'!$A$27)+SUMIFS('Timesheet Raw'!$P$4:$P$8000,'Timesheet Raw'!$L$4:$L$8000,$A338,'Timesheet Raw'!$C$4:$C$8000,T$3,'Timesheet Raw'!$B$4:$B$8000,'Work Calendar'!$A$28)+SUMIFS('Timesheet Raw'!$P$4:$P$8000,'Timesheet Raw'!$L$4:$L$8000,$A338,'Timesheet Raw'!$C$4:$C$8000,T$3,'Timesheet Raw'!$B$4:$B$8000,'Work Calendar'!$A$29))</f>
        <v>0</v>
      </c>
      <c r="W338" s="341">
        <f t="shared" si="23"/>
        <v>0</v>
      </c>
      <c r="X338" s="395">
        <f>IF($A338="","",SUMIFS('Timesheet Raw'!$K$4:$K$8000,'Timesheet Raw'!$L$4:$L$8000,$A338,'Timesheet Raw'!$C$4:$C$8000,T$3))</f>
        <v>0</v>
      </c>
      <c r="Y338" s="345">
        <f>IF($A338="","",SUMIFS('Timesheet Raw'!$P$4:$P$8000,'Timesheet Raw'!$L$4:$L$8000,$A338,'Timesheet Raw'!$C$4:$C$8000,T$3))</f>
        <v>0</v>
      </c>
      <c r="Z338" s="375"/>
      <c r="AA338" t="str">
        <f>IF($A338="","",IF(Z338&lt;&gt;"",Z338,IF($A338&gt;'Work Calendar'!$B$17,"No data yet",IF(AND(V338&gt;='Work Calendar'!$B$14,T338+U338+W338&gt;0),"Day off - but worked",IF(V338&gt;='Work Calendar'!$B$14,"Day off",IF(T338+U338+W338&gt;0,IF($C338="Working","Charged","Worked weekend"),IF($C338="Working","Leave (not charged)",$C338)))))))</f>
        <v>No data yet</v>
      </c>
    </row>
    <row r="339" spans="1:27" x14ac:dyDescent="0.3">
      <c r="A339" s="371">
        <f>IF($A338="","",IF($A338+1&gt;'Work Calendar'!$B$16,"",$A338+1))</f>
        <v>46357</v>
      </c>
      <c r="B339" t="str">
        <f t="shared" si="20"/>
        <v>Tue</v>
      </c>
      <c r="C339" t="str" cm="1">
        <f t="array" ref="C339">IF($A339="","",IF(COUNTIF('Work Calendar'!$E$6:$E$200,$A339)&gt;0,"Holiday",IF(INDEX('Work Calendar'!$C$6:$C$12,WEEKDAY($A339,1))=1,"Working","Weekend")))</f>
        <v>Working</v>
      </c>
      <c r="D339" s="341">
        <f>IF($A339="","",SUMIFS('Timesheet Raw'!$P$4:$P$8000,'Timesheet Raw'!$L$4:$L$8000,$A339,'Timesheet Raw'!$C$4:$C$8000,D$3,'Timesheet Raw'!$A$4:$A$8000,"1-Projects"))</f>
        <v>0</v>
      </c>
      <c r="E339" s="341">
        <f>IF($A339="","",SUMIFS('Timesheet Raw'!$P$4:$P$8000,'Timesheet Raw'!$L$4:$L$8000,$A339,'Timesheet Raw'!$C$4:$C$8000,D$3,'Timesheet Raw'!$A$4:$A$8000,"2-Proposals Chargeable")+SUMIFS('Timesheet Raw'!$P$4:$P$8000,'Timesheet Raw'!$L$4:$L$8000,$A339,'Timesheet Raw'!$C$4:$C$8000,D$3,'Timesheet Raw'!$A$4:$A$8000,"3-Proposals Regular"))</f>
        <v>0</v>
      </c>
      <c r="F339" s="341">
        <f>IF($A339="","",SUMIFS('Timesheet Raw'!$P$4:$P$8000,'Timesheet Raw'!$L$4:$L$8000,$A339,'Timesheet Raw'!$C$4:$C$8000,D$3,'Timesheet Raw'!$B$4:$B$8000,'Work Calendar'!$A$26)+SUMIFS('Timesheet Raw'!$P$4:$P$8000,'Timesheet Raw'!$L$4:$L$8000,$A339,'Timesheet Raw'!$C$4:$C$8000,D$3,'Timesheet Raw'!$B$4:$B$8000,'Work Calendar'!$A$27)+SUMIFS('Timesheet Raw'!$P$4:$P$8000,'Timesheet Raw'!$L$4:$L$8000,$A339,'Timesheet Raw'!$C$4:$C$8000,D$3,'Timesheet Raw'!$B$4:$B$8000,'Work Calendar'!$A$28)+SUMIFS('Timesheet Raw'!$P$4:$P$8000,'Timesheet Raw'!$L$4:$L$8000,$A339,'Timesheet Raw'!$C$4:$C$8000,D$3,'Timesheet Raw'!$B$4:$B$8000,'Work Calendar'!$A$29))</f>
        <v>0</v>
      </c>
      <c r="G339" s="341">
        <f t="shared" si="21"/>
        <v>0</v>
      </c>
      <c r="H339" s="395">
        <f>IF($A339="","",SUMIFS('Timesheet Raw'!$K$4:$K$8000,'Timesheet Raw'!$L$4:$L$8000,$A339,'Timesheet Raw'!$C$4:$C$8000,D$3))</f>
        <v>0</v>
      </c>
      <c r="I339" s="345">
        <f>IF($A339="","",SUMIFS('Timesheet Raw'!$P$4:$P$8000,'Timesheet Raw'!$L$4:$L$8000,$A339,'Timesheet Raw'!$C$4:$C$8000,D$3))</f>
        <v>0</v>
      </c>
      <c r="J339" s="375"/>
      <c r="K339" t="str">
        <f>IF($A339="","",IF(J339&lt;&gt;"",J339,IF($A339&gt;'Work Calendar'!$B$17,"No data yet",IF(AND(F339&gt;='Work Calendar'!$B$14,D339+E339+G339&gt;0),"Day off - but worked",IF(F339&gt;='Work Calendar'!$B$14,"Day off",IF(D339+E339+G339&gt;0,IF($C339="Working","Charged","Worked weekend"),IF($C339="Working","Leave (not charged)",$C339)))))))</f>
        <v>No data yet</v>
      </c>
      <c r="L339" s="341">
        <f>IF($A339="","",SUMIFS('Timesheet Raw'!$P$4:$P$8000,'Timesheet Raw'!$L$4:$L$8000,$A339,'Timesheet Raw'!$C$4:$C$8000,L$3,'Timesheet Raw'!$A$4:$A$8000,"1-Projects"))</f>
        <v>0</v>
      </c>
      <c r="M339" s="341">
        <f>IF($A339="","",SUMIFS('Timesheet Raw'!$P$4:$P$8000,'Timesheet Raw'!$L$4:$L$8000,$A339,'Timesheet Raw'!$C$4:$C$8000,L$3,'Timesheet Raw'!$A$4:$A$8000,"2-Proposals Chargeable")+SUMIFS('Timesheet Raw'!$P$4:$P$8000,'Timesheet Raw'!$L$4:$L$8000,$A339,'Timesheet Raw'!$C$4:$C$8000,L$3,'Timesheet Raw'!$A$4:$A$8000,"3-Proposals Regular"))</f>
        <v>0</v>
      </c>
      <c r="N339" s="341">
        <f>IF($A339="","",SUMIFS('Timesheet Raw'!$P$4:$P$8000,'Timesheet Raw'!$L$4:$L$8000,$A339,'Timesheet Raw'!$C$4:$C$8000,L$3,'Timesheet Raw'!$B$4:$B$8000,'Work Calendar'!$A$26)+SUMIFS('Timesheet Raw'!$P$4:$P$8000,'Timesheet Raw'!$L$4:$L$8000,$A339,'Timesheet Raw'!$C$4:$C$8000,L$3,'Timesheet Raw'!$B$4:$B$8000,'Work Calendar'!$A$27)+SUMIFS('Timesheet Raw'!$P$4:$P$8000,'Timesheet Raw'!$L$4:$L$8000,$A339,'Timesheet Raw'!$C$4:$C$8000,L$3,'Timesheet Raw'!$B$4:$B$8000,'Work Calendar'!$A$28)+SUMIFS('Timesheet Raw'!$P$4:$P$8000,'Timesheet Raw'!$L$4:$L$8000,$A339,'Timesheet Raw'!$C$4:$C$8000,L$3,'Timesheet Raw'!$B$4:$B$8000,'Work Calendar'!$A$29))</f>
        <v>0</v>
      </c>
      <c r="O339" s="341">
        <f t="shared" si="22"/>
        <v>0</v>
      </c>
      <c r="P339" s="395">
        <f>IF($A339="","",SUMIFS('Timesheet Raw'!$K$4:$K$8000,'Timesheet Raw'!$L$4:$L$8000,$A339,'Timesheet Raw'!$C$4:$C$8000,L$3))</f>
        <v>0</v>
      </c>
      <c r="Q339" s="345">
        <f>IF($A339="","",SUMIFS('Timesheet Raw'!$P$4:$P$8000,'Timesheet Raw'!$L$4:$L$8000,$A339,'Timesheet Raw'!$C$4:$C$8000,L$3))</f>
        <v>0</v>
      </c>
      <c r="R339" s="375"/>
      <c r="S339" t="str">
        <f>IF($A339="","",IF(R339&lt;&gt;"",R339,IF($A339&gt;'Work Calendar'!$B$17,"No data yet",IF(AND(N339&gt;='Work Calendar'!$B$14,L339+M339+O339&gt;0),"Day off - but worked",IF(N339&gt;='Work Calendar'!$B$14,"Day off",IF(L339+M339+O339&gt;0,IF($C339="Working","Charged","Worked weekend"),IF($C339="Working","Leave (not charged)",$C339)))))))</f>
        <v>No data yet</v>
      </c>
      <c r="T339" s="341">
        <f>IF($A339="","",SUMIFS('Timesheet Raw'!$P$4:$P$8000,'Timesheet Raw'!$L$4:$L$8000,$A339,'Timesheet Raw'!$C$4:$C$8000,T$3,'Timesheet Raw'!$A$4:$A$8000,"1-Projects"))</f>
        <v>0</v>
      </c>
      <c r="U339" s="341">
        <f>IF($A339="","",SUMIFS('Timesheet Raw'!$P$4:$P$8000,'Timesheet Raw'!$L$4:$L$8000,$A339,'Timesheet Raw'!$C$4:$C$8000,T$3,'Timesheet Raw'!$A$4:$A$8000,"2-Proposals Chargeable")+SUMIFS('Timesheet Raw'!$P$4:$P$8000,'Timesheet Raw'!$L$4:$L$8000,$A339,'Timesheet Raw'!$C$4:$C$8000,T$3,'Timesheet Raw'!$A$4:$A$8000,"3-Proposals Regular"))</f>
        <v>0</v>
      </c>
      <c r="V339" s="341">
        <f>IF($A339="","",SUMIFS('Timesheet Raw'!$P$4:$P$8000,'Timesheet Raw'!$L$4:$L$8000,$A339,'Timesheet Raw'!$C$4:$C$8000,T$3,'Timesheet Raw'!$B$4:$B$8000,'Work Calendar'!$A$26)+SUMIFS('Timesheet Raw'!$P$4:$P$8000,'Timesheet Raw'!$L$4:$L$8000,$A339,'Timesheet Raw'!$C$4:$C$8000,T$3,'Timesheet Raw'!$B$4:$B$8000,'Work Calendar'!$A$27)+SUMIFS('Timesheet Raw'!$P$4:$P$8000,'Timesheet Raw'!$L$4:$L$8000,$A339,'Timesheet Raw'!$C$4:$C$8000,T$3,'Timesheet Raw'!$B$4:$B$8000,'Work Calendar'!$A$28)+SUMIFS('Timesheet Raw'!$P$4:$P$8000,'Timesheet Raw'!$L$4:$L$8000,$A339,'Timesheet Raw'!$C$4:$C$8000,T$3,'Timesheet Raw'!$B$4:$B$8000,'Work Calendar'!$A$29))</f>
        <v>0</v>
      </c>
      <c r="W339" s="341">
        <f t="shared" si="23"/>
        <v>0</v>
      </c>
      <c r="X339" s="395">
        <f>IF($A339="","",SUMIFS('Timesheet Raw'!$K$4:$K$8000,'Timesheet Raw'!$L$4:$L$8000,$A339,'Timesheet Raw'!$C$4:$C$8000,T$3))</f>
        <v>0</v>
      </c>
      <c r="Y339" s="345">
        <f>IF($A339="","",SUMIFS('Timesheet Raw'!$P$4:$P$8000,'Timesheet Raw'!$L$4:$L$8000,$A339,'Timesheet Raw'!$C$4:$C$8000,T$3))</f>
        <v>0</v>
      </c>
      <c r="Z339" s="375"/>
      <c r="AA339" t="str">
        <f>IF($A339="","",IF(Z339&lt;&gt;"",Z339,IF($A339&gt;'Work Calendar'!$B$17,"No data yet",IF(AND(V339&gt;='Work Calendar'!$B$14,T339+U339+W339&gt;0),"Day off - but worked",IF(V339&gt;='Work Calendar'!$B$14,"Day off",IF(T339+U339+W339&gt;0,IF($C339="Working","Charged","Worked weekend"),IF($C339="Working","Leave (not charged)",$C339)))))))</f>
        <v>No data yet</v>
      </c>
    </row>
    <row r="340" spans="1:27" x14ac:dyDescent="0.3">
      <c r="A340" s="371">
        <f>IF($A339="","",IF($A339+1&gt;'Work Calendar'!$B$16,"",$A339+1))</f>
        <v>46358</v>
      </c>
      <c r="B340" t="str">
        <f t="shared" si="20"/>
        <v>Wed</v>
      </c>
      <c r="C340" t="str" cm="1">
        <f t="array" ref="C340">IF($A340="","",IF(COUNTIF('Work Calendar'!$E$6:$E$200,$A340)&gt;0,"Holiday",IF(INDEX('Work Calendar'!$C$6:$C$12,WEEKDAY($A340,1))=1,"Working","Weekend")))</f>
        <v>Working</v>
      </c>
      <c r="D340" s="341">
        <f>IF($A340="","",SUMIFS('Timesheet Raw'!$P$4:$P$8000,'Timesheet Raw'!$L$4:$L$8000,$A340,'Timesheet Raw'!$C$4:$C$8000,D$3,'Timesheet Raw'!$A$4:$A$8000,"1-Projects"))</f>
        <v>0</v>
      </c>
      <c r="E340" s="341">
        <f>IF($A340="","",SUMIFS('Timesheet Raw'!$P$4:$P$8000,'Timesheet Raw'!$L$4:$L$8000,$A340,'Timesheet Raw'!$C$4:$C$8000,D$3,'Timesheet Raw'!$A$4:$A$8000,"2-Proposals Chargeable")+SUMIFS('Timesheet Raw'!$P$4:$P$8000,'Timesheet Raw'!$L$4:$L$8000,$A340,'Timesheet Raw'!$C$4:$C$8000,D$3,'Timesheet Raw'!$A$4:$A$8000,"3-Proposals Regular"))</f>
        <v>0</v>
      </c>
      <c r="F340" s="341">
        <f>IF($A340="","",SUMIFS('Timesheet Raw'!$P$4:$P$8000,'Timesheet Raw'!$L$4:$L$8000,$A340,'Timesheet Raw'!$C$4:$C$8000,D$3,'Timesheet Raw'!$B$4:$B$8000,'Work Calendar'!$A$26)+SUMIFS('Timesheet Raw'!$P$4:$P$8000,'Timesheet Raw'!$L$4:$L$8000,$A340,'Timesheet Raw'!$C$4:$C$8000,D$3,'Timesheet Raw'!$B$4:$B$8000,'Work Calendar'!$A$27)+SUMIFS('Timesheet Raw'!$P$4:$P$8000,'Timesheet Raw'!$L$4:$L$8000,$A340,'Timesheet Raw'!$C$4:$C$8000,D$3,'Timesheet Raw'!$B$4:$B$8000,'Work Calendar'!$A$28)+SUMIFS('Timesheet Raw'!$P$4:$P$8000,'Timesheet Raw'!$L$4:$L$8000,$A340,'Timesheet Raw'!$C$4:$C$8000,D$3,'Timesheet Raw'!$B$4:$B$8000,'Work Calendar'!$A$29))</f>
        <v>0</v>
      </c>
      <c r="G340" s="341">
        <f t="shared" si="21"/>
        <v>0</v>
      </c>
      <c r="H340" s="395">
        <f>IF($A340="","",SUMIFS('Timesheet Raw'!$K$4:$K$8000,'Timesheet Raw'!$L$4:$L$8000,$A340,'Timesheet Raw'!$C$4:$C$8000,D$3))</f>
        <v>0</v>
      </c>
      <c r="I340" s="345">
        <f>IF($A340="","",SUMIFS('Timesheet Raw'!$P$4:$P$8000,'Timesheet Raw'!$L$4:$L$8000,$A340,'Timesheet Raw'!$C$4:$C$8000,D$3))</f>
        <v>0</v>
      </c>
      <c r="J340" s="375"/>
      <c r="K340" t="str">
        <f>IF($A340="","",IF(J340&lt;&gt;"",J340,IF($A340&gt;'Work Calendar'!$B$17,"No data yet",IF(AND(F340&gt;='Work Calendar'!$B$14,D340+E340+G340&gt;0),"Day off - but worked",IF(F340&gt;='Work Calendar'!$B$14,"Day off",IF(D340+E340+G340&gt;0,IF($C340="Working","Charged","Worked weekend"),IF($C340="Working","Leave (not charged)",$C340)))))))</f>
        <v>No data yet</v>
      </c>
      <c r="L340" s="341">
        <f>IF($A340="","",SUMIFS('Timesheet Raw'!$P$4:$P$8000,'Timesheet Raw'!$L$4:$L$8000,$A340,'Timesheet Raw'!$C$4:$C$8000,L$3,'Timesheet Raw'!$A$4:$A$8000,"1-Projects"))</f>
        <v>0</v>
      </c>
      <c r="M340" s="341">
        <f>IF($A340="","",SUMIFS('Timesheet Raw'!$P$4:$P$8000,'Timesheet Raw'!$L$4:$L$8000,$A340,'Timesheet Raw'!$C$4:$C$8000,L$3,'Timesheet Raw'!$A$4:$A$8000,"2-Proposals Chargeable")+SUMIFS('Timesheet Raw'!$P$4:$P$8000,'Timesheet Raw'!$L$4:$L$8000,$A340,'Timesheet Raw'!$C$4:$C$8000,L$3,'Timesheet Raw'!$A$4:$A$8000,"3-Proposals Regular"))</f>
        <v>0</v>
      </c>
      <c r="N340" s="341">
        <f>IF($A340="","",SUMIFS('Timesheet Raw'!$P$4:$P$8000,'Timesheet Raw'!$L$4:$L$8000,$A340,'Timesheet Raw'!$C$4:$C$8000,L$3,'Timesheet Raw'!$B$4:$B$8000,'Work Calendar'!$A$26)+SUMIFS('Timesheet Raw'!$P$4:$P$8000,'Timesheet Raw'!$L$4:$L$8000,$A340,'Timesheet Raw'!$C$4:$C$8000,L$3,'Timesheet Raw'!$B$4:$B$8000,'Work Calendar'!$A$27)+SUMIFS('Timesheet Raw'!$P$4:$P$8000,'Timesheet Raw'!$L$4:$L$8000,$A340,'Timesheet Raw'!$C$4:$C$8000,L$3,'Timesheet Raw'!$B$4:$B$8000,'Work Calendar'!$A$28)+SUMIFS('Timesheet Raw'!$P$4:$P$8000,'Timesheet Raw'!$L$4:$L$8000,$A340,'Timesheet Raw'!$C$4:$C$8000,L$3,'Timesheet Raw'!$B$4:$B$8000,'Work Calendar'!$A$29))</f>
        <v>0</v>
      </c>
      <c r="O340" s="341">
        <f t="shared" si="22"/>
        <v>0</v>
      </c>
      <c r="P340" s="395">
        <f>IF($A340="","",SUMIFS('Timesheet Raw'!$K$4:$K$8000,'Timesheet Raw'!$L$4:$L$8000,$A340,'Timesheet Raw'!$C$4:$C$8000,L$3))</f>
        <v>0</v>
      </c>
      <c r="Q340" s="345">
        <f>IF($A340="","",SUMIFS('Timesheet Raw'!$P$4:$P$8000,'Timesheet Raw'!$L$4:$L$8000,$A340,'Timesheet Raw'!$C$4:$C$8000,L$3))</f>
        <v>0</v>
      </c>
      <c r="R340" s="375"/>
      <c r="S340" t="str">
        <f>IF($A340="","",IF(R340&lt;&gt;"",R340,IF($A340&gt;'Work Calendar'!$B$17,"No data yet",IF(AND(N340&gt;='Work Calendar'!$B$14,L340+M340+O340&gt;0),"Day off - but worked",IF(N340&gt;='Work Calendar'!$B$14,"Day off",IF(L340+M340+O340&gt;0,IF($C340="Working","Charged","Worked weekend"),IF($C340="Working","Leave (not charged)",$C340)))))))</f>
        <v>No data yet</v>
      </c>
      <c r="T340" s="341">
        <f>IF($A340="","",SUMIFS('Timesheet Raw'!$P$4:$P$8000,'Timesheet Raw'!$L$4:$L$8000,$A340,'Timesheet Raw'!$C$4:$C$8000,T$3,'Timesheet Raw'!$A$4:$A$8000,"1-Projects"))</f>
        <v>0</v>
      </c>
      <c r="U340" s="341">
        <f>IF($A340="","",SUMIFS('Timesheet Raw'!$P$4:$P$8000,'Timesheet Raw'!$L$4:$L$8000,$A340,'Timesheet Raw'!$C$4:$C$8000,T$3,'Timesheet Raw'!$A$4:$A$8000,"2-Proposals Chargeable")+SUMIFS('Timesheet Raw'!$P$4:$P$8000,'Timesheet Raw'!$L$4:$L$8000,$A340,'Timesheet Raw'!$C$4:$C$8000,T$3,'Timesheet Raw'!$A$4:$A$8000,"3-Proposals Regular"))</f>
        <v>0</v>
      </c>
      <c r="V340" s="341">
        <f>IF($A340="","",SUMIFS('Timesheet Raw'!$P$4:$P$8000,'Timesheet Raw'!$L$4:$L$8000,$A340,'Timesheet Raw'!$C$4:$C$8000,T$3,'Timesheet Raw'!$B$4:$B$8000,'Work Calendar'!$A$26)+SUMIFS('Timesheet Raw'!$P$4:$P$8000,'Timesheet Raw'!$L$4:$L$8000,$A340,'Timesheet Raw'!$C$4:$C$8000,T$3,'Timesheet Raw'!$B$4:$B$8000,'Work Calendar'!$A$27)+SUMIFS('Timesheet Raw'!$P$4:$P$8000,'Timesheet Raw'!$L$4:$L$8000,$A340,'Timesheet Raw'!$C$4:$C$8000,T$3,'Timesheet Raw'!$B$4:$B$8000,'Work Calendar'!$A$28)+SUMIFS('Timesheet Raw'!$P$4:$P$8000,'Timesheet Raw'!$L$4:$L$8000,$A340,'Timesheet Raw'!$C$4:$C$8000,T$3,'Timesheet Raw'!$B$4:$B$8000,'Work Calendar'!$A$29))</f>
        <v>0</v>
      </c>
      <c r="W340" s="341">
        <f t="shared" si="23"/>
        <v>0</v>
      </c>
      <c r="X340" s="395">
        <f>IF($A340="","",SUMIFS('Timesheet Raw'!$K$4:$K$8000,'Timesheet Raw'!$L$4:$L$8000,$A340,'Timesheet Raw'!$C$4:$C$8000,T$3))</f>
        <v>0</v>
      </c>
      <c r="Y340" s="345">
        <f>IF($A340="","",SUMIFS('Timesheet Raw'!$P$4:$P$8000,'Timesheet Raw'!$L$4:$L$8000,$A340,'Timesheet Raw'!$C$4:$C$8000,T$3))</f>
        <v>0</v>
      </c>
      <c r="Z340" s="375"/>
      <c r="AA340" t="str">
        <f>IF($A340="","",IF(Z340&lt;&gt;"",Z340,IF($A340&gt;'Work Calendar'!$B$17,"No data yet",IF(AND(V340&gt;='Work Calendar'!$B$14,T340+U340+W340&gt;0),"Day off - but worked",IF(V340&gt;='Work Calendar'!$B$14,"Day off",IF(T340+U340+W340&gt;0,IF($C340="Working","Charged","Worked weekend"),IF($C340="Working","Leave (not charged)",$C340)))))))</f>
        <v>No data yet</v>
      </c>
    </row>
    <row r="341" spans="1:27" x14ac:dyDescent="0.3">
      <c r="A341" s="371">
        <f>IF($A340="","",IF($A340+1&gt;'Work Calendar'!$B$16,"",$A340+1))</f>
        <v>46359</v>
      </c>
      <c r="B341" t="str">
        <f t="shared" si="20"/>
        <v>Thu</v>
      </c>
      <c r="C341" t="str" cm="1">
        <f t="array" ref="C341">IF($A341="","",IF(COUNTIF('Work Calendar'!$E$6:$E$200,$A341)&gt;0,"Holiday",IF(INDEX('Work Calendar'!$C$6:$C$12,WEEKDAY($A341,1))=1,"Working","Weekend")))</f>
        <v>Working</v>
      </c>
      <c r="D341" s="341">
        <f>IF($A341="","",SUMIFS('Timesheet Raw'!$P$4:$P$8000,'Timesheet Raw'!$L$4:$L$8000,$A341,'Timesheet Raw'!$C$4:$C$8000,D$3,'Timesheet Raw'!$A$4:$A$8000,"1-Projects"))</f>
        <v>0</v>
      </c>
      <c r="E341" s="341">
        <f>IF($A341="","",SUMIFS('Timesheet Raw'!$P$4:$P$8000,'Timesheet Raw'!$L$4:$L$8000,$A341,'Timesheet Raw'!$C$4:$C$8000,D$3,'Timesheet Raw'!$A$4:$A$8000,"2-Proposals Chargeable")+SUMIFS('Timesheet Raw'!$P$4:$P$8000,'Timesheet Raw'!$L$4:$L$8000,$A341,'Timesheet Raw'!$C$4:$C$8000,D$3,'Timesheet Raw'!$A$4:$A$8000,"3-Proposals Regular"))</f>
        <v>0</v>
      </c>
      <c r="F341" s="341">
        <f>IF($A341="","",SUMIFS('Timesheet Raw'!$P$4:$P$8000,'Timesheet Raw'!$L$4:$L$8000,$A341,'Timesheet Raw'!$C$4:$C$8000,D$3,'Timesheet Raw'!$B$4:$B$8000,'Work Calendar'!$A$26)+SUMIFS('Timesheet Raw'!$P$4:$P$8000,'Timesheet Raw'!$L$4:$L$8000,$A341,'Timesheet Raw'!$C$4:$C$8000,D$3,'Timesheet Raw'!$B$4:$B$8000,'Work Calendar'!$A$27)+SUMIFS('Timesheet Raw'!$P$4:$P$8000,'Timesheet Raw'!$L$4:$L$8000,$A341,'Timesheet Raw'!$C$4:$C$8000,D$3,'Timesheet Raw'!$B$4:$B$8000,'Work Calendar'!$A$28)+SUMIFS('Timesheet Raw'!$P$4:$P$8000,'Timesheet Raw'!$L$4:$L$8000,$A341,'Timesheet Raw'!$C$4:$C$8000,D$3,'Timesheet Raw'!$B$4:$B$8000,'Work Calendar'!$A$29))</f>
        <v>0</v>
      </c>
      <c r="G341" s="341">
        <f t="shared" si="21"/>
        <v>0</v>
      </c>
      <c r="H341" s="395">
        <f>IF($A341="","",SUMIFS('Timesheet Raw'!$K$4:$K$8000,'Timesheet Raw'!$L$4:$L$8000,$A341,'Timesheet Raw'!$C$4:$C$8000,D$3))</f>
        <v>0</v>
      </c>
      <c r="I341" s="345">
        <f>IF($A341="","",SUMIFS('Timesheet Raw'!$P$4:$P$8000,'Timesheet Raw'!$L$4:$L$8000,$A341,'Timesheet Raw'!$C$4:$C$8000,D$3))</f>
        <v>0</v>
      </c>
      <c r="J341" s="375"/>
      <c r="K341" t="str">
        <f>IF($A341="","",IF(J341&lt;&gt;"",J341,IF($A341&gt;'Work Calendar'!$B$17,"No data yet",IF(AND(F341&gt;='Work Calendar'!$B$14,D341+E341+G341&gt;0),"Day off - but worked",IF(F341&gt;='Work Calendar'!$B$14,"Day off",IF(D341+E341+G341&gt;0,IF($C341="Working","Charged","Worked weekend"),IF($C341="Working","Leave (not charged)",$C341)))))))</f>
        <v>No data yet</v>
      </c>
      <c r="L341" s="341">
        <f>IF($A341="","",SUMIFS('Timesheet Raw'!$P$4:$P$8000,'Timesheet Raw'!$L$4:$L$8000,$A341,'Timesheet Raw'!$C$4:$C$8000,L$3,'Timesheet Raw'!$A$4:$A$8000,"1-Projects"))</f>
        <v>0</v>
      </c>
      <c r="M341" s="341">
        <f>IF($A341="","",SUMIFS('Timesheet Raw'!$P$4:$P$8000,'Timesheet Raw'!$L$4:$L$8000,$A341,'Timesheet Raw'!$C$4:$C$8000,L$3,'Timesheet Raw'!$A$4:$A$8000,"2-Proposals Chargeable")+SUMIFS('Timesheet Raw'!$P$4:$P$8000,'Timesheet Raw'!$L$4:$L$8000,$A341,'Timesheet Raw'!$C$4:$C$8000,L$3,'Timesheet Raw'!$A$4:$A$8000,"3-Proposals Regular"))</f>
        <v>0</v>
      </c>
      <c r="N341" s="341">
        <f>IF($A341="","",SUMIFS('Timesheet Raw'!$P$4:$P$8000,'Timesheet Raw'!$L$4:$L$8000,$A341,'Timesheet Raw'!$C$4:$C$8000,L$3,'Timesheet Raw'!$B$4:$B$8000,'Work Calendar'!$A$26)+SUMIFS('Timesheet Raw'!$P$4:$P$8000,'Timesheet Raw'!$L$4:$L$8000,$A341,'Timesheet Raw'!$C$4:$C$8000,L$3,'Timesheet Raw'!$B$4:$B$8000,'Work Calendar'!$A$27)+SUMIFS('Timesheet Raw'!$P$4:$P$8000,'Timesheet Raw'!$L$4:$L$8000,$A341,'Timesheet Raw'!$C$4:$C$8000,L$3,'Timesheet Raw'!$B$4:$B$8000,'Work Calendar'!$A$28)+SUMIFS('Timesheet Raw'!$P$4:$P$8000,'Timesheet Raw'!$L$4:$L$8000,$A341,'Timesheet Raw'!$C$4:$C$8000,L$3,'Timesheet Raw'!$B$4:$B$8000,'Work Calendar'!$A$29))</f>
        <v>0</v>
      </c>
      <c r="O341" s="341">
        <f t="shared" si="22"/>
        <v>0</v>
      </c>
      <c r="P341" s="395">
        <f>IF($A341="","",SUMIFS('Timesheet Raw'!$K$4:$K$8000,'Timesheet Raw'!$L$4:$L$8000,$A341,'Timesheet Raw'!$C$4:$C$8000,L$3))</f>
        <v>0</v>
      </c>
      <c r="Q341" s="345">
        <f>IF($A341="","",SUMIFS('Timesheet Raw'!$P$4:$P$8000,'Timesheet Raw'!$L$4:$L$8000,$A341,'Timesheet Raw'!$C$4:$C$8000,L$3))</f>
        <v>0</v>
      </c>
      <c r="R341" s="375"/>
      <c r="S341" t="str">
        <f>IF($A341="","",IF(R341&lt;&gt;"",R341,IF($A341&gt;'Work Calendar'!$B$17,"No data yet",IF(AND(N341&gt;='Work Calendar'!$B$14,L341+M341+O341&gt;0),"Day off - but worked",IF(N341&gt;='Work Calendar'!$B$14,"Day off",IF(L341+M341+O341&gt;0,IF($C341="Working","Charged","Worked weekend"),IF($C341="Working","Leave (not charged)",$C341)))))))</f>
        <v>No data yet</v>
      </c>
      <c r="T341" s="341">
        <f>IF($A341="","",SUMIFS('Timesheet Raw'!$P$4:$P$8000,'Timesheet Raw'!$L$4:$L$8000,$A341,'Timesheet Raw'!$C$4:$C$8000,T$3,'Timesheet Raw'!$A$4:$A$8000,"1-Projects"))</f>
        <v>0</v>
      </c>
      <c r="U341" s="341">
        <f>IF($A341="","",SUMIFS('Timesheet Raw'!$P$4:$P$8000,'Timesheet Raw'!$L$4:$L$8000,$A341,'Timesheet Raw'!$C$4:$C$8000,T$3,'Timesheet Raw'!$A$4:$A$8000,"2-Proposals Chargeable")+SUMIFS('Timesheet Raw'!$P$4:$P$8000,'Timesheet Raw'!$L$4:$L$8000,$A341,'Timesheet Raw'!$C$4:$C$8000,T$3,'Timesheet Raw'!$A$4:$A$8000,"3-Proposals Regular"))</f>
        <v>0</v>
      </c>
      <c r="V341" s="341">
        <f>IF($A341="","",SUMIFS('Timesheet Raw'!$P$4:$P$8000,'Timesheet Raw'!$L$4:$L$8000,$A341,'Timesheet Raw'!$C$4:$C$8000,T$3,'Timesheet Raw'!$B$4:$B$8000,'Work Calendar'!$A$26)+SUMIFS('Timesheet Raw'!$P$4:$P$8000,'Timesheet Raw'!$L$4:$L$8000,$A341,'Timesheet Raw'!$C$4:$C$8000,T$3,'Timesheet Raw'!$B$4:$B$8000,'Work Calendar'!$A$27)+SUMIFS('Timesheet Raw'!$P$4:$P$8000,'Timesheet Raw'!$L$4:$L$8000,$A341,'Timesheet Raw'!$C$4:$C$8000,T$3,'Timesheet Raw'!$B$4:$B$8000,'Work Calendar'!$A$28)+SUMIFS('Timesheet Raw'!$P$4:$P$8000,'Timesheet Raw'!$L$4:$L$8000,$A341,'Timesheet Raw'!$C$4:$C$8000,T$3,'Timesheet Raw'!$B$4:$B$8000,'Work Calendar'!$A$29))</f>
        <v>0</v>
      </c>
      <c r="W341" s="341">
        <f t="shared" si="23"/>
        <v>0</v>
      </c>
      <c r="X341" s="395">
        <f>IF($A341="","",SUMIFS('Timesheet Raw'!$K$4:$K$8000,'Timesheet Raw'!$L$4:$L$8000,$A341,'Timesheet Raw'!$C$4:$C$8000,T$3))</f>
        <v>0</v>
      </c>
      <c r="Y341" s="345">
        <f>IF($A341="","",SUMIFS('Timesheet Raw'!$P$4:$P$8000,'Timesheet Raw'!$L$4:$L$8000,$A341,'Timesheet Raw'!$C$4:$C$8000,T$3))</f>
        <v>0</v>
      </c>
      <c r="Z341" s="375"/>
      <c r="AA341" t="str">
        <f>IF($A341="","",IF(Z341&lt;&gt;"",Z341,IF($A341&gt;'Work Calendar'!$B$17,"No data yet",IF(AND(V341&gt;='Work Calendar'!$B$14,T341+U341+W341&gt;0),"Day off - but worked",IF(V341&gt;='Work Calendar'!$B$14,"Day off",IF(T341+U341+W341&gt;0,IF($C341="Working","Charged","Worked weekend"),IF($C341="Working","Leave (not charged)",$C341)))))))</f>
        <v>No data yet</v>
      </c>
    </row>
    <row r="342" spans="1:27" x14ac:dyDescent="0.3">
      <c r="A342" s="371">
        <f>IF($A341="","",IF($A341+1&gt;'Work Calendar'!$B$16,"",$A341+1))</f>
        <v>46360</v>
      </c>
      <c r="B342" t="str">
        <f t="shared" si="20"/>
        <v>Fri</v>
      </c>
      <c r="C342" t="str" cm="1">
        <f t="array" ref="C342">IF($A342="","",IF(COUNTIF('Work Calendar'!$E$6:$E$200,$A342)&gt;0,"Holiday",IF(INDEX('Work Calendar'!$C$6:$C$12,WEEKDAY($A342,1))=1,"Working","Weekend")))</f>
        <v>Weekend</v>
      </c>
      <c r="D342" s="341">
        <f>IF($A342="","",SUMIFS('Timesheet Raw'!$P$4:$P$8000,'Timesheet Raw'!$L$4:$L$8000,$A342,'Timesheet Raw'!$C$4:$C$8000,D$3,'Timesheet Raw'!$A$4:$A$8000,"1-Projects"))</f>
        <v>0</v>
      </c>
      <c r="E342" s="341">
        <f>IF($A342="","",SUMIFS('Timesheet Raw'!$P$4:$P$8000,'Timesheet Raw'!$L$4:$L$8000,$A342,'Timesheet Raw'!$C$4:$C$8000,D$3,'Timesheet Raw'!$A$4:$A$8000,"2-Proposals Chargeable")+SUMIFS('Timesheet Raw'!$P$4:$P$8000,'Timesheet Raw'!$L$4:$L$8000,$A342,'Timesheet Raw'!$C$4:$C$8000,D$3,'Timesheet Raw'!$A$4:$A$8000,"3-Proposals Regular"))</f>
        <v>0</v>
      </c>
      <c r="F342" s="341">
        <f>IF($A342="","",SUMIFS('Timesheet Raw'!$P$4:$P$8000,'Timesheet Raw'!$L$4:$L$8000,$A342,'Timesheet Raw'!$C$4:$C$8000,D$3,'Timesheet Raw'!$B$4:$B$8000,'Work Calendar'!$A$26)+SUMIFS('Timesheet Raw'!$P$4:$P$8000,'Timesheet Raw'!$L$4:$L$8000,$A342,'Timesheet Raw'!$C$4:$C$8000,D$3,'Timesheet Raw'!$B$4:$B$8000,'Work Calendar'!$A$27)+SUMIFS('Timesheet Raw'!$P$4:$P$8000,'Timesheet Raw'!$L$4:$L$8000,$A342,'Timesheet Raw'!$C$4:$C$8000,D$3,'Timesheet Raw'!$B$4:$B$8000,'Work Calendar'!$A$28)+SUMIFS('Timesheet Raw'!$P$4:$P$8000,'Timesheet Raw'!$L$4:$L$8000,$A342,'Timesheet Raw'!$C$4:$C$8000,D$3,'Timesheet Raw'!$B$4:$B$8000,'Work Calendar'!$A$29))</f>
        <v>0</v>
      </c>
      <c r="G342" s="341">
        <f t="shared" si="21"/>
        <v>0</v>
      </c>
      <c r="H342" s="395">
        <f>IF($A342="","",SUMIFS('Timesheet Raw'!$K$4:$K$8000,'Timesheet Raw'!$L$4:$L$8000,$A342,'Timesheet Raw'!$C$4:$C$8000,D$3))</f>
        <v>0</v>
      </c>
      <c r="I342" s="345">
        <f>IF($A342="","",SUMIFS('Timesheet Raw'!$P$4:$P$8000,'Timesheet Raw'!$L$4:$L$8000,$A342,'Timesheet Raw'!$C$4:$C$8000,D$3))</f>
        <v>0</v>
      </c>
      <c r="J342" s="375"/>
      <c r="K342" t="str">
        <f>IF($A342="","",IF(J342&lt;&gt;"",J342,IF($A342&gt;'Work Calendar'!$B$17,"No data yet",IF(AND(F342&gt;='Work Calendar'!$B$14,D342+E342+G342&gt;0),"Day off - but worked",IF(F342&gt;='Work Calendar'!$B$14,"Day off",IF(D342+E342+G342&gt;0,IF($C342="Working","Charged","Worked weekend"),IF($C342="Working","Leave (not charged)",$C342)))))))</f>
        <v>No data yet</v>
      </c>
      <c r="L342" s="341">
        <f>IF($A342="","",SUMIFS('Timesheet Raw'!$P$4:$P$8000,'Timesheet Raw'!$L$4:$L$8000,$A342,'Timesheet Raw'!$C$4:$C$8000,L$3,'Timesheet Raw'!$A$4:$A$8000,"1-Projects"))</f>
        <v>0</v>
      </c>
      <c r="M342" s="341">
        <f>IF($A342="","",SUMIFS('Timesheet Raw'!$P$4:$P$8000,'Timesheet Raw'!$L$4:$L$8000,$A342,'Timesheet Raw'!$C$4:$C$8000,L$3,'Timesheet Raw'!$A$4:$A$8000,"2-Proposals Chargeable")+SUMIFS('Timesheet Raw'!$P$4:$P$8000,'Timesheet Raw'!$L$4:$L$8000,$A342,'Timesheet Raw'!$C$4:$C$8000,L$3,'Timesheet Raw'!$A$4:$A$8000,"3-Proposals Regular"))</f>
        <v>0</v>
      </c>
      <c r="N342" s="341">
        <f>IF($A342="","",SUMIFS('Timesheet Raw'!$P$4:$P$8000,'Timesheet Raw'!$L$4:$L$8000,$A342,'Timesheet Raw'!$C$4:$C$8000,L$3,'Timesheet Raw'!$B$4:$B$8000,'Work Calendar'!$A$26)+SUMIFS('Timesheet Raw'!$P$4:$P$8000,'Timesheet Raw'!$L$4:$L$8000,$A342,'Timesheet Raw'!$C$4:$C$8000,L$3,'Timesheet Raw'!$B$4:$B$8000,'Work Calendar'!$A$27)+SUMIFS('Timesheet Raw'!$P$4:$P$8000,'Timesheet Raw'!$L$4:$L$8000,$A342,'Timesheet Raw'!$C$4:$C$8000,L$3,'Timesheet Raw'!$B$4:$B$8000,'Work Calendar'!$A$28)+SUMIFS('Timesheet Raw'!$P$4:$P$8000,'Timesheet Raw'!$L$4:$L$8000,$A342,'Timesheet Raw'!$C$4:$C$8000,L$3,'Timesheet Raw'!$B$4:$B$8000,'Work Calendar'!$A$29))</f>
        <v>0</v>
      </c>
      <c r="O342" s="341">
        <f t="shared" si="22"/>
        <v>0</v>
      </c>
      <c r="P342" s="395">
        <f>IF($A342="","",SUMIFS('Timesheet Raw'!$K$4:$K$8000,'Timesheet Raw'!$L$4:$L$8000,$A342,'Timesheet Raw'!$C$4:$C$8000,L$3))</f>
        <v>0</v>
      </c>
      <c r="Q342" s="345">
        <f>IF($A342="","",SUMIFS('Timesheet Raw'!$P$4:$P$8000,'Timesheet Raw'!$L$4:$L$8000,$A342,'Timesheet Raw'!$C$4:$C$8000,L$3))</f>
        <v>0</v>
      </c>
      <c r="R342" s="375"/>
      <c r="S342" t="str">
        <f>IF($A342="","",IF(R342&lt;&gt;"",R342,IF($A342&gt;'Work Calendar'!$B$17,"No data yet",IF(AND(N342&gt;='Work Calendar'!$B$14,L342+M342+O342&gt;0),"Day off - but worked",IF(N342&gt;='Work Calendar'!$B$14,"Day off",IF(L342+M342+O342&gt;0,IF($C342="Working","Charged","Worked weekend"),IF($C342="Working","Leave (not charged)",$C342)))))))</f>
        <v>No data yet</v>
      </c>
      <c r="T342" s="341">
        <f>IF($A342="","",SUMIFS('Timesheet Raw'!$P$4:$P$8000,'Timesheet Raw'!$L$4:$L$8000,$A342,'Timesheet Raw'!$C$4:$C$8000,T$3,'Timesheet Raw'!$A$4:$A$8000,"1-Projects"))</f>
        <v>0</v>
      </c>
      <c r="U342" s="341">
        <f>IF($A342="","",SUMIFS('Timesheet Raw'!$P$4:$P$8000,'Timesheet Raw'!$L$4:$L$8000,$A342,'Timesheet Raw'!$C$4:$C$8000,T$3,'Timesheet Raw'!$A$4:$A$8000,"2-Proposals Chargeable")+SUMIFS('Timesheet Raw'!$P$4:$P$8000,'Timesheet Raw'!$L$4:$L$8000,$A342,'Timesheet Raw'!$C$4:$C$8000,T$3,'Timesheet Raw'!$A$4:$A$8000,"3-Proposals Regular"))</f>
        <v>0</v>
      </c>
      <c r="V342" s="341">
        <f>IF($A342="","",SUMIFS('Timesheet Raw'!$P$4:$P$8000,'Timesheet Raw'!$L$4:$L$8000,$A342,'Timesheet Raw'!$C$4:$C$8000,T$3,'Timesheet Raw'!$B$4:$B$8000,'Work Calendar'!$A$26)+SUMIFS('Timesheet Raw'!$P$4:$P$8000,'Timesheet Raw'!$L$4:$L$8000,$A342,'Timesheet Raw'!$C$4:$C$8000,T$3,'Timesheet Raw'!$B$4:$B$8000,'Work Calendar'!$A$27)+SUMIFS('Timesheet Raw'!$P$4:$P$8000,'Timesheet Raw'!$L$4:$L$8000,$A342,'Timesheet Raw'!$C$4:$C$8000,T$3,'Timesheet Raw'!$B$4:$B$8000,'Work Calendar'!$A$28)+SUMIFS('Timesheet Raw'!$P$4:$P$8000,'Timesheet Raw'!$L$4:$L$8000,$A342,'Timesheet Raw'!$C$4:$C$8000,T$3,'Timesheet Raw'!$B$4:$B$8000,'Work Calendar'!$A$29))</f>
        <v>0</v>
      </c>
      <c r="W342" s="341">
        <f t="shared" si="23"/>
        <v>0</v>
      </c>
      <c r="X342" s="395">
        <f>IF($A342="","",SUMIFS('Timesheet Raw'!$K$4:$K$8000,'Timesheet Raw'!$L$4:$L$8000,$A342,'Timesheet Raw'!$C$4:$C$8000,T$3))</f>
        <v>0</v>
      </c>
      <c r="Y342" s="345">
        <f>IF($A342="","",SUMIFS('Timesheet Raw'!$P$4:$P$8000,'Timesheet Raw'!$L$4:$L$8000,$A342,'Timesheet Raw'!$C$4:$C$8000,T$3))</f>
        <v>0</v>
      </c>
      <c r="Z342" s="375"/>
      <c r="AA342" t="str">
        <f>IF($A342="","",IF(Z342&lt;&gt;"",Z342,IF($A342&gt;'Work Calendar'!$B$17,"No data yet",IF(AND(V342&gt;='Work Calendar'!$B$14,T342+U342+W342&gt;0),"Day off - but worked",IF(V342&gt;='Work Calendar'!$B$14,"Day off",IF(T342+U342+W342&gt;0,IF($C342="Working","Charged","Worked weekend"),IF($C342="Working","Leave (not charged)",$C342)))))))</f>
        <v>No data yet</v>
      </c>
    </row>
    <row r="343" spans="1:27" x14ac:dyDescent="0.3">
      <c r="A343" s="371">
        <f>IF($A342="","",IF($A342+1&gt;'Work Calendar'!$B$16,"",$A342+1))</f>
        <v>46361</v>
      </c>
      <c r="B343" t="str">
        <f t="shared" si="20"/>
        <v>Sat</v>
      </c>
      <c r="C343" t="str" cm="1">
        <f t="array" ref="C343">IF($A343="","",IF(COUNTIF('Work Calendar'!$E$6:$E$200,$A343)&gt;0,"Holiday",IF(INDEX('Work Calendar'!$C$6:$C$12,WEEKDAY($A343,1))=1,"Working","Weekend")))</f>
        <v>Weekend</v>
      </c>
      <c r="D343" s="341">
        <f>IF($A343="","",SUMIFS('Timesheet Raw'!$P$4:$P$8000,'Timesheet Raw'!$L$4:$L$8000,$A343,'Timesheet Raw'!$C$4:$C$8000,D$3,'Timesheet Raw'!$A$4:$A$8000,"1-Projects"))</f>
        <v>0</v>
      </c>
      <c r="E343" s="341">
        <f>IF($A343="","",SUMIFS('Timesheet Raw'!$P$4:$P$8000,'Timesheet Raw'!$L$4:$L$8000,$A343,'Timesheet Raw'!$C$4:$C$8000,D$3,'Timesheet Raw'!$A$4:$A$8000,"2-Proposals Chargeable")+SUMIFS('Timesheet Raw'!$P$4:$P$8000,'Timesheet Raw'!$L$4:$L$8000,$A343,'Timesheet Raw'!$C$4:$C$8000,D$3,'Timesheet Raw'!$A$4:$A$8000,"3-Proposals Regular"))</f>
        <v>0</v>
      </c>
      <c r="F343" s="341">
        <f>IF($A343="","",SUMIFS('Timesheet Raw'!$P$4:$P$8000,'Timesheet Raw'!$L$4:$L$8000,$A343,'Timesheet Raw'!$C$4:$C$8000,D$3,'Timesheet Raw'!$B$4:$B$8000,'Work Calendar'!$A$26)+SUMIFS('Timesheet Raw'!$P$4:$P$8000,'Timesheet Raw'!$L$4:$L$8000,$A343,'Timesheet Raw'!$C$4:$C$8000,D$3,'Timesheet Raw'!$B$4:$B$8000,'Work Calendar'!$A$27)+SUMIFS('Timesheet Raw'!$P$4:$P$8000,'Timesheet Raw'!$L$4:$L$8000,$A343,'Timesheet Raw'!$C$4:$C$8000,D$3,'Timesheet Raw'!$B$4:$B$8000,'Work Calendar'!$A$28)+SUMIFS('Timesheet Raw'!$P$4:$P$8000,'Timesheet Raw'!$L$4:$L$8000,$A343,'Timesheet Raw'!$C$4:$C$8000,D$3,'Timesheet Raw'!$B$4:$B$8000,'Work Calendar'!$A$29))</f>
        <v>0</v>
      </c>
      <c r="G343" s="341">
        <f t="shared" si="21"/>
        <v>0</v>
      </c>
      <c r="H343" s="395">
        <f>IF($A343="","",SUMIFS('Timesheet Raw'!$K$4:$K$8000,'Timesheet Raw'!$L$4:$L$8000,$A343,'Timesheet Raw'!$C$4:$C$8000,D$3))</f>
        <v>0</v>
      </c>
      <c r="I343" s="345">
        <f>IF($A343="","",SUMIFS('Timesheet Raw'!$P$4:$P$8000,'Timesheet Raw'!$L$4:$L$8000,$A343,'Timesheet Raw'!$C$4:$C$8000,D$3))</f>
        <v>0</v>
      </c>
      <c r="J343" s="375"/>
      <c r="K343" t="str">
        <f>IF($A343="","",IF(J343&lt;&gt;"",J343,IF($A343&gt;'Work Calendar'!$B$17,"No data yet",IF(AND(F343&gt;='Work Calendar'!$B$14,D343+E343+G343&gt;0),"Day off - but worked",IF(F343&gt;='Work Calendar'!$B$14,"Day off",IF(D343+E343+G343&gt;0,IF($C343="Working","Charged","Worked weekend"),IF($C343="Working","Leave (not charged)",$C343)))))))</f>
        <v>No data yet</v>
      </c>
      <c r="L343" s="341">
        <f>IF($A343="","",SUMIFS('Timesheet Raw'!$P$4:$P$8000,'Timesheet Raw'!$L$4:$L$8000,$A343,'Timesheet Raw'!$C$4:$C$8000,L$3,'Timesheet Raw'!$A$4:$A$8000,"1-Projects"))</f>
        <v>0</v>
      </c>
      <c r="M343" s="341">
        <f>IF($A343="","",SUMIFS('Timesheet Raw'!$P$4:$P$8000,'Timesheet Raw'!$L$4:$L$8000,$A343,'Timesheet Raw'!$C$4:$C$8000,L$3,'Timesheet Raw'!$A$4:$A$8000,"2-Proposals Chargeable")+SUMIFS('Timesheet Raw'!$P$4:$P$8000,'Timesheet Raw'!$L$4:$L$8000,$A343,'Timesheet Raw'!$C$4:$C$8000,L$3,'Timesheet Raw'!$A$4:$A$8000,"3-Proposals Regular"))</f>
        <v>0</v>
      </c>
      <c r="N343" s="341">
        <f>IF($A343="","",SUMIFS('Timesheet Raw'!$P$4:$P$8000,'Timesheet Raw'!$L$4:$L$8000,$A343,'Timesheet Raw'!$C$4:$C$8000,L$3,'Timesheet Raw'!$B$4:$B$8000,'Work Calendar'!$A$26)+SUMIFS('Timesheet Raw'!$P$4:$P$8000,'Timesheet Raw'!$L$4:$L$8000,$A343,'Timesheet Raw'!$C$4:$C$8000,L$3,'Timesheet Raw'!$B$4:$B$8000,'Work Calendar'!$A$27)+SUMIFS('Timesheet Raw'!$P$4:$P$8000,'Timesheet Raw'!$L$4:$L$8000,$A343,'Timesheet Raw'!$C$4:$C$8000,L$3,'Timesheet Raw'!$B$4:$B$8000,'Work Calendar'!$A$28)+SUMIFS('Timesheet Raw'!$P$4:$P$8000,'Timesheet Raw'!$L$4:$L$8000,$A343,'Timesheet Raw'!$C$4:$C$8000,L$3,'Timesheet Raw'!$B$4:$B$8000,'Work Calendar'!$A$29))</f>
        <v>0</v>
      </c>
      <c r="O343" s="341">
        <f t="shared" si="22"/>
        <v>0</v>
      </c>
      <c r="P343" s="395">
        <f>IF($A343="","",SUMIFS('Timesheet Raw'!$K$4:$K$8000,'Timesheet Raw'!$L$4:$L$8000,$A343,'Timesheet Raw'!$C$4:$C$8000,L$3))</f>
        <v>0</v>
      </c>
      <c r="Q343" s="345">
        <f>IF($A343="","",SUMIFS('Timesheet Raw'!$P$4:$P$8000,'Timesheet Raw'!$L$4:$L$8000,$A343,'Timesheet Raw'!$C$4:$C$8000,L$3))</f>
        <v>0</v>
      </c>
      <c r="R343" s="375"/>
      <c r="S343" t="str">
        <f>IF($A343="","",IF(R343&lt;&gt;"",R343,IF($A343&gt;'Work Calendar'!$B$17,"No data yet",IF(AND(N343&gt;='Work Calendar'!$B$14,L343+M343+O343&gt;0),"Day off - but worked",IF(N343&gt;='Work Calendar'!$B$14,"Day off",IF(L343+M343+O343&gt;0,IF($C343="Working","Charged","Worked weekend"),IF($C343="Working","Leave (not charged)",$C343)))))))</f>
        <v>No data yet</v>
      </c>
      <c r="T343" s="341">
        <f>IF($A343="","",SUMIFS('Timesheet Raw'!$P$4:$P$8000,'Timesheet Raw'!$L$4:$L$8000,$A343,'Timesheet Raw'!$C$4:$C$8000,T$3,'Timesheet Raw'!$A$4:$A$8000,"1-Projects"))</f>
        <v>0</v>
      </c>
      <c r="U343" s="341">
        <f>IF($A343="","",SUMIFS('Timesheet Raw'!$P$4:$P$8000,'Timesheet Raw'!$L$4:$L$8000,$A343,'Timesheet Raw'!$C$4:$C$8000,T$3,'Timesheet Raw'!$A$4:$A$8000,"2-Proposals Chargeable")+SUMIFS('Timesheet Raw'!$P$4:$P$8000,'Timesheet Raw'!$L$4:$L$8000,$A343,'Timesheet Raw'!$C$4:$C$8000,T$3,'Timesheet Raw'!$A$4:$A$8000,"3-Proposals Regular"))</f>
        <v>0</v>
      </c>
      <c r="V343" s="341">
        <f>IF($A343="","",SUMIFS('Timesheet Raw'!$P$4:$P$8000,'Timesheet Raw'!$L$4:$L$8000,$A343,'Timesheet Raw'!$C$4:$C$8000,T$3,'Timesheet Raw'!$B$4:$B$8000,'Work Calendar'!$A$26)+SUMIFS('Timesheet Raw'!$P$4:$P$8000,'Timesheet Raw'!$L$4:$L$8000,$A343,'Timesheet Raw'!$C$4:$C$8000,T$3,'Timesheet Raw'!$B$4:$B$8000,'Work Calendar'!$A$27)+SUMIFS('Timesheet Raw'!$P$4:$P$8000,'Timesheet Raw'!$L$4:$L$8000,$A343,'Timesheet Raw'!$C$4:$C$8000,T$3,'Timesheet Raw'!$B$4:$B$8000,'Work Calendar'!$A$28)+SUMIFS('Timesheet Raw'!$P$4:$P$8000,'Timesheet Raw'!$L$4:$L$8000,$A343,'Timesheet Raw'!$C$4:$C$8000,T$3,'Timesheet Raw'!$B$4:$B$8000,'Work Calendar'!$A$29))</f>
        <v>0</v>
      </c>
      <c r="W343" s="341">
        <f t="shared" si="23"/>
        <v>0</v>
      </c>
      <c r="X343" s="395">
        <f>IF($A343="","",SUMIFS('Timesheet Raw'!$K$4:$K$8000,'Timesheet Raw'!$L$4:$L$8000,$A343,'Timesheet Raw'!$C$4:$C$8000,T$3))</f>
        <v>0</v>
      </c>
      <c r="Y343" s="345">
        <f>IF($A343="","",SUMIFS('Timesheet Raw'!$P$4:$P$8000,'Timesheet Raw'!$L$4:$L$8000,$A343,'Timesheet Raw'!$C$4:$C$8000,T$3))</f>
        <v>0</v>
      </c>
      <c r="Z343" s="375"/>
      <c r="AA343" t="str">
        <f>IF($A343="","",IF(Z343&lt;&gt;"",Z343,IF($A343&gt;'Work Calendar'!$B$17,"No data yet",IF(AND(V343&gt;='Work Calendar'!$B$14,T343+U343+W343&gt;0),"Day off - but worked",IF(V343&gt;='Work Calendar'!$B$14,"Day off",IF(T343+U343+W343&gt;0,IF($C343="Working","Charged","Worked weekend"),IF($C343="Working","Leave (not charged)",$C343)))))))</f>
        <v>No data yet</v>
      </c>
    </row>
    <row r="344" spans="1:27" x14ac:dyDescent="0.3">
      <c r="A344" s="371">
        <f>IF($A343="","",IF($A343+1&gt;'Work Calendar'!$B$16,"",$A343+1))</f>
        <v>46362</v>
      </c>
      <c r="B344" t="str">
        <f t="shared" si="20"/>
        <v>Sun</v>
      </c>
      <c r="C344" t="str" cm="1">
        <f t="array" ref="C344">IF($A344="","",IF(COUNTIF('Work Calendar'!$E$6:$E$200,$A344)&gt;0,"Holiday",IF(INDEX('Work Calendar'!$C$6:$C$12,WEEKDAY($A344,1))=1,"Working","Weekend")))</f>
        <v>Working</v>
      </c>
      <c r="D344" s="341">
        <f>IF($A344="","",SUMIFS('Timesheet Raw'!$P$4:$P$8000,'Timesheet Raw'!$L$4:$L$8000,$A344,'Timesheet Raw'!$C$4:$C$8000,D$3,'Timesheet Raw'!$A$4:$A$8000,"1-Projects"))</f>
        <v>0</v>
      </c>
      <c r="E344" s="341">
        <f>IF($A344="","",SUMIFS('Timesheet Raw'!$P$4:$P$8000,'Timesheet Raw'!$L$4:$L$8000,$A344,'Timesheet Raw'!$C$4:$C$8000,D$3,'Timesheet Raw'!$A$4:$A$8000,"2-Proposals Chargeable")+SUMIFS('Timesheet Raw'!$P$4:$P$8000,'Timesheet Raw'!$L$4:$L$8000,$A344,'Timesheet Raw'!$C$4:$C$8000,D$3,'Timesheet Raw'!$A$4:$A$8000,"3-Proposals Regular"))</f>
        <v>0</v>
      </c>
      <c r="F344" s="341">
        <f>IF($A344="","",SUMIFS('Timesheet Raw'!$P$4:$P$8000,'Timesheet Raw'!$L$4:$L$8000,$A344,'Timesheet Raw'!$C$4:$C$8000,D$3,'Timesheet Raw'!$B$4:$B$8000,'Work Calendar'!$A$26)+SUMIFS('Timesheet Raw'!$P$4:$P$8000,'Timesheet Raw'!$L$4:$L$8000,$A344,'Timesheet Raw'!$C$4:$C$8000,D$3,'Timesheet Raw'!$B$4:$B$8000,'Work Calendar'!$A$27)+SUMIFS('Timesheet Raw'!$P$4:$P$8000,'Timesheet Raw'!$L$4:$L$8000,$A344,'Timesheet Raw'!$C$4:$C$8000,D$3,'Timesheet Raw'!$B$4:$B$8000,'Work Calendar'!$A$28)+SUMIFS('Timesheet Raw'!$P$4:$P$8000,'Timesheet Raw'!$L$4:$L$8000,$A344,'Timesheet Raw'!$C$4:$C$8000,D$3,'Timesheet Raw'!$B$4:$B$8000,'Work Calendar'!$A$29))</f>
        <v>0</v>
      </c>
      <c r="G344" s="341">
        <f t="shared" si="21"/>
        <v>0</v>
      </c>
      <c r="H344" s="395">
        <f>IF($A344="","",SUMIFS('Timesheet Raw'!$K$4:$K$8000,'Timesheet Raw'!$L$4:$L$8000,$A344,'Timesheet Raw'!$C$4:$C$8000,D$3))</f>
        <v>0</v>
      </c>
      <c r="I344" s="345">
        <f>IF($A344="","",SUMIFS('Timesheet Raw'!$P$4:$P$8000,'Timesheet Raw'!$L$4:$L$8000,$A344,'Timesheet Raw'!$C$4:$C$8000,D$3))</f>
        <v>0</v>
      </c>
      <c r="J344" s="375"/>
      <c r="K344" t="str">
        <f>IF($A344="","",IF(J344&lt;&gt;"",J344,IF($A344&gt;'Work Calendar'!$B$17,"No data yet",IF(AND(F344&gt;='Work Calendar'!$B$14,D344+E344+G344&gt;0),"Day off - but worked",IF(F344&gt;='Work Calendar'!$B$14,"Day off",IF(D344+E344+G344&gt;0,IF($C344="Working","Charged","Worked weekend"),IF($C344="Working","Leave (not charged)",$C344)))))))</f>
        <v>No data yet</v>
      </c>
      <c r="L344" s="341">
        <f>IF($A344="","",SUMIFS('Timesheet Raw'!$P$4:$P$8000,'Timesheet Raw'!$L$4:$L$8000,$A344,'Timesheet Raw'!$C$4:$C$8000,L$3,'Timesheet Raw'!$A$4:$A$8000,"1-Projects"))</f>
        <v>0</v>
      </c>
      <c r="M344" s="341">
        <f>IF($A344="","",SUMIFS('Timesheet Raw'!$P$4:$P$8000,'Timesheet Raw'!$L$4:$L$8000,$A344,'Timesheet Raw'!$C$4:$C$8000,L$3,'Timesheet Raw'!$A$4:$A$8000,"2-Proposals Chargeable")+SUMIFS('Timesheet Raw'!$P$4:$P$8000,'Timesheet Raw'!$L$4:$L$8000,$A344,'Timesheet Raw'!$C$4:$C$8000,L$3,'Timesheet Raw'!$A$4:$A$8000,"3-Proposals Regular"))</f>
        <v>0</v>
      </c>
      <c r="N344" s="341">
        <f>IF($A344="","",SUMIFS('Timesheet Raw'!$P$4:$P$8000,'Timesheet Raw'!$L$4:$L$8000,$A344,'Timesheet Raw'!$C$4:$C$8000,L$3,'Timesheet Raw'!$B$4:$B$8000,'Work Calendar'!$A$26)+SUMIFS('Timesheet Raw'!$P$4:$P$8000,'Timesheet Raw'!$L$4:$L$8000,$A344,'Timesheet Raw'!$C$4:$C$8000,L$3,'Timesheet Raw'!$B$4:$B$8000,'Work Calendar'!$A$27)+SUMIFS('Timesheet Raw'!$P$4:$P$8000,'Timesheet Raw'!$L$4:$L$8000,$A344,'Timesheet Raw'!$C$4:$C$8000,L$3,'Timesheet Raw'!$B$4:$B$8000,'Work Calendar'!$A$28)+SUMIFS('Timesheet Raw'!$P$4:$P$8000,'Timesheet Raw'!$L$4:$L$8000,$A344,'Timesheet Raw'!$C$4:$C$8000,L$3,'Timesheet Raw'!$B$4:$B$8000,'Work Calendar'!$A$29))</f>
        <v>0</v>
      </c>
      <c r="O344" s="341">
        <f t="shared" si="22"/>
        <v>0</v>
      </c>
      <c r="P344" s="395">
        <f>IF($A344="","",SUMIFS('Timesheet Raw'!$K$4:$K$8000,'Timesheet Raw'!$L$4:$L$8000,$A344,'Timesheet Raw'!$C$4:$C$8000,L$3))</f>
        <v>0</v>
      </c>
      <c r="Q344" s="345">
        <f>IF($A344="","",SUMIFS('Timesheet Raw'!$P$4:$P$8000,'Timesheet Raw'!$L$4:$L$8000,$A344,'Timesheet Raw'!$C$4:$C$8000,L$3))</f>
        <v>0</v>
      </c>
      <c r="R344" s="375"/>
      <c r="S344" t="str">
        <f>IF($A344="","",IF(R344&lt;&gt;"",R344,IF($A344&gt;'Work Calendar'!$B$17,"No data yet",IF(AND(N344&gt;='Work Calendar'!$B$14,L344+M344+O344&gt;0),"Day off - but worked",IF(N344&gt;='Work Calendar'!$B$14,"Day off",IF(L344+M344+O344&gt;0,IF($C344="Working","Charged","Worked weekend"),IF($C344="Working","Leave (not charged)",$C344)))))))</f>
        <v>No data yet</v>
      </c>
      <c r="T344" s="341">
        <f>IF($A344="","",SUMIFS('Timesheet Raw'!$P$4:$P$8000,'Timesheet Raw'!$L$4:$L$8000,$A344,'Timesheet Raw'!$C$4:$C$8000,T$3,'Timesheet Raw'!$A$4:$A$8000,"1-Projects"))</f>
        <v>0</v>
      </c>
      <c r="U344" s="341">
        <f>IF($A344="","",SUMIFS('Timesheet Raw'!$P$4:$P$8000,'Timesheet Raw'!$L$4:$L$8000,$A344,'Timesheet Raw'!$C$4:$C$8000,T$3,'Timesheet Raw'!$A$4:$A$8000,"2-Proposals Chargeable")+SUMIFS('Timesheet Raw'!$P$4:$P$8000,'Timesheet Raw'!$L$4:$L$8000,$A344,'Timesheet Raw'!$C$4:$C$8000,T$3,'Timesheet Raw'!$A$4:$A$8000,"3-Proposals Regular"))</f>
        <v>0</v>
      </c>
      <c r="V344" s="341">
        <f>IF($A344="","",SUMIFS('Timesheet Raw'!$P$4:$P$8000,'Timesheet Raw'!$L$4:$L$8000,$A344,'Timesheet Raw'!$C$4:$C$8000,T$3,'Timesheet Raw'!$B$4:$B$8000,'Work Calendar'!$A$26)+SUMIFS('Timesheet Raw'!$P$4:$P$8000,'Timesheet Raw'!$L$4:$L$8000,$A344,'Timesheet Raw'!$C$4:$C$8000,T$3,'Timesheet Raw'!$B$4:$B$8000,'Work Calendar'!$A$27)+SUMIFS('Timesheet Raw'!$P$4:$P$8000,'Timesheet Raw'!$L$4:$L$8000,$A344,'Timesheet Raw'!$C$4:$C$8000,T$3,'Timesheet Raw'!$B$4:$B$8000,'Work Calendar'!$A$28)+SUMIFS('Timesheet Raw'!$P$4:$P$8000,'Timesheet Raw'!$L$4:$L$8000,$A344,'Timesheet Raw'!$C$4:$C$8000,T$3,'Timesheet Raw'!$B$4:$B$8000,'Work Calendar'!$A$29))</f>
        <v>0</v>
      </c>
      <c r="W344" s="341">
        <f t="shared" si="23"/>
        <v>0</v>
      </c>
      <c r="X344" s="395">
        <f>IF($A344="","",SUMIFS('Timesheet Raw'!$K$4:$K$8000,'Timesheet Raw'!$L$4:$L$8000,$A344,'Timesheet Raw'!$C$4:$C$8000,T$3))</f>
        <v>0</v>
      </c>
      <c r="Y344" s="345">
        <f>IF($A344="","",SUMIFS('Timesheet Raw'!$P$4:$P$8000,'Timesheet Raw'!$L$4:$L$8000,$A344,'Timesheet Raw'!$C$4:$C$8000,T$3))</f>
        <v>0</v>
      </c>
      <c r="Z344" s="375"/>
      <c r="AA344" t="str">
        <f>IF($A344="","",IF(Z344&lt;&gt;"",Z344,IF($A344&gt;'Work Calendar'!$B$17,"No data yet",IF(AND(V344&gt;='Work Calendar'!$B$14,T344+U344+W344&gt;0),"Day off - but worked",IF(V344&gt;='Work Calendar'!$B$14,"Day off",IF(T344+U344+W344&gt;0,IF($C344="Working","Charged","Worked weekend"),IF($C344="Working","Leave (not charged)",$C344)))))))</f>
        <v>No data yet</v>
      </c>
    </row>
    <row r="345" spans="1:27" x14ac:dyDescent="0.3">
      <c r="A345" s="371">
        <f>IF($A344="","",IF($A344+1&gt;'Work Calendar'!$B$16,"",$A344+1))</f>
        <v>46363</v>
      </c>
      <c r="B345" t="str">
        <f t="shared" si="20"/>
        <v>Mon</v>
      </c>
      <c r="C345" t="str" cm="1">
        <f t="array" ref="C345">IF($A345="","",IF(COUNTIF('Work Calendar'!$E$6:$E$200,$A345)&gt;0,"Holiday",IF(INDEX('Work Calendar'!$C$6:$C$12,WEEKDAY($A345,1))=1,"Working","Weekend")))</f>
        <v>Working</v>
      </c>
      <c r="D345" s="341">
        <f>IF($A345="","",SUMIFS('Timesheet Raw'!$P$4:$P$8000,'Timesheet Raw'!$L$4:$L$8000,$A345,'Timesheet Raw'!$C$4:$C$8000,D$3,'Timesheet Raw'!$A$4:$A$8000,"1-Projects"))</f>
        <v>0</v>
      </c>
      <c r="E345" s="341">
        <f>IF($A345="","",SUMIFS('Timesheet Raw'!$P$4:$P$8000,'Timesheet Raw'!$L$4:$L$8000,$A345,'Timesheet Raw'!$C$4:$C$8000,D$3,'Timesheet Raw'!$A$4:$A$8000,"2-Proposals Chargeable")+SUMIFS('Timesheet Raw'!$P$4:$P$8000,'Timesheet Raw'!$L$4:$L$8000,$A345,'Timesheet Raw'!$C$4:$C$8000,D$3,'Timesheet Raw'!$A$4:$A$8000,"3-Proposals Regular"))</f>
        <v>0</v>
      </c>
      <c r="F345" s="341">
        <f>IF($A345="","",SUMIFS('Timesheet Raw'!$P$4:$P$8000,'Timesheet Raw'!$L$4:$L$8000,$A345,'Timesheet Raw'!$C$4:$C$8000,D$3,'Timesheet Raw'!$B$4:$B$8000,'Work Calendar'!$A$26)+SUMIFS('Timesheet Raw'!$P$4:$P$8000,'Timesheet Raw'!$L$4:$L$8000,$A345,'Timesheet Raw'!$C$4:$C$8000,D$3,'Timesheet Raw'!$B$4:$B$8000,'Work Calendar'!$A$27)+SUMIFS('Timesheet Raw'!$P$4:$P$8000,'Timesheet Raw'!$L$4:$L$8000,$A345,'Timesheet Raw'!$C$4:$C$8000,D$3,'Timesheet Raw'!$B$4:$B$8000,'Work Calendar'!$A$28)+SUMIFS('Timesheet Raw'!$P$4:$P$8000,'Timesheet Raw'!$L$4:$L$8000,$A345,'Timesheet Raw'!$C$4:$C$8000,D$3,'Timesheet Raw'!$B$4:$B$8000,'Work Calendar'!$A$29))</f>
        <v>0</v>
      </c>
      <c r="G345" s="341">
        <f t="shared" si="21"/>
        <v>0</v>
      </c>
      <c r="H345" s="395">
        <f>IF($A345="","",SUMIFS('Timesheet Raw'!$K$4:$K$8000,'Timesheet Raw'!$L$4:$L$8000,$A345,'Timesheet Raw'!$C$4:$C$8000,D$3))</f>
        <v>0</v>
      </c>
      <c r="I345" s="345">
        <f>IF($A345="","",SUMIFS('Timesheet Raw'!$P$4:$P$8000,'Timesheet Raw'!$L$4:$L$8000,$A345,'Timesheet Raw'!$C$4:$C$8000,D$3))</f>
        <v>0</v>
      </c>
      <c r="J345" s="375"/>
      <c r="K345" t="str">
        <f>IF($A345="","",IF(J345&lt;&gt;"",J345,IF($A345&gt;'Work Calendar'!$B$17,"No data yet",IF(AND(F345&gt;='Work Calendar'!$B$14,D345+E345+G345&gt;0),"Day off - but worked",IF(F345&gt;='Work Calendar'!$B$14,"Day off",IF(D345+E345+G345&gt;0,IF($C345="Working","Charged","Worked weekend"),IF($C345="Working","Leave (not charged)",$C345)))))))</f>
        <v>No data yet</v>
      </c>
      <c r="L345" s="341">
        <f>IF($A345="","",SUMIFS('Timesheet Raw'!$P$4:$P$8000,'Timesheet Raw'!$L$4:$L$8000,$A345,'Timesheet Raw'!$C$4:$C$8000,L$3,'Timesheet Raw'!$A$4:$A$8000,"1-Projects"))</f>
        <v>0</v>
      </c>
      <c r="M345" s="341">
        <f>IF($A345="","",SUMIFS('Timesheet Raw'!$P$4:$P$8000,'Timesheet Raw'!$L$4:$L$8000,$A345,'Timesheet Raw'!$C$4:$C$8000,L$3,'Timesheet Raw'!$A$4:$A$8000,"2-Proposals Chargeable")+SUMIFS('Timesheet Raw'!$P$4:$P$8000,'Timesheet Raw'!$L$4:$L$8000,$A345,'Timesheet Raw'!$C$4:$C$8000,L$3,'Timesheet Raw'!$A$4:$A$8000,"3-Proposals Regular"))</f>
        <v>0</v>
      </c>
      <c r="N345" s="341">
        <f>IF($A345="","",SUMIFS('Timesheet Raw'!$P$4:$P$8000,'Timesheet Raw'!$L$4:$L$8000,$A345,'Timesheet Raw'!$C$4:$C$8000,L$3,'Timesheet Raw'!$B$4:$B$8000,'Work Calendar'!$A$26)+SUMIFS('Timesheet Raw'!$P$4:$P$8000,'Timesheet Raw'!$L$4:$L$8000,$A345,'Timesheet Raw'!$C$4:$C$8000,L$3,'Timesheet Raw'!$B$4:$B$8000,'Work Calendar'!$A$27)+SUMIFS('Timesheet Raw'!$P$4:$P$8000,'Timesheet Raw'!$L$4:$L$8000,$A345,'Timesheet Raw'!$C$4:$C$8000,L$3,'Timesheet Raw'!$B$4:$B$8000,'Work Calendar'!$A$28)+SUMIFS('Timesheet Raw'!$P$4:$P$8000,'Timesheet Raw'!$L$4:$L$8000,$A345,'Timesheet Raw'!$C$4:$C$8000,L$3,'Timesheet Raw'!$B$4:$B$8000,'Work Calendar'!$A$29))</f>
        <v>0</v>
      </c>
      <c r="O345" s="341">
        <f t="shared" si="22"/>
        <v>0</v>
      </c>
      <c r="P345" s="395">
        <f>IF($A345="","",SUMIFS('Timesheet Raw'!$K$4:$K$8000,'Timesheet Raw'!$L$4:$L$8000,$A345,'Timesheet Raw'!$C$4:$C$8000,L$3))</f>
        <v>0</v>
      </c>
      <c r="Q345" s="345">
        <f>IF($A345="","",SUMIFS('Timesheet Raw'!$P$4:$P$8000,'Timesheet Raw'!$L$4:$L$8000,$A345,'Timesheet Raw'!$C$4:$C$8000,L$3))</f>
        <v>0</v>
      </c>
      <c r="R345" s="375"/>
      <c r="S345" t="str">
        <f>IF($A345="","",IF(R345&lt;&gt;"",R345,IF($A345&gt;'Work Calendar'!$B$17,"No data yet",IF(AND(N345&gt;='Work Calendar'!$B$14,L345+M345+O345&gt;0),"Day off - but worked",IF(N345&gt;='Work Calendar'!$B$14,"Day off",IF(L345+M345+O345&gt;0,IF($C345="Working","Charged","Worked weekend"),IF($C345="Working","Leave (not charged)",$C345)))))))</f>
        <v>No data yet</v>
      </c>
      <c r="T345" s="341">
        <f>IF($A345="","",SUMIFS('Timesheet Raw'!$P$4:$P$8000,'Timesheet Raw'!$L$4:$L$8000,$A345,'Timesheet Raw'!$C$4:$C$8000,T$3,'Timesheet Raw'!$A$4:$A$8000,"1-Projects"))</f>
        <v>0</v>
      </c>
      <c r="U345" s="341">
        <f>IF($A345="","",SUMIFS('Timesheet Raw'!$P$4:$P$8000,'Timesheet Raw'!$L$4:$L$8000,$A345,'Timesheet Raw'!$C$4:$C$8000,T$3,'Timesheet Raw'!$A$4:$A$8000,"2-Proposals Chargeable")+SUMIFS('Timesheet Raw'!$P$4:$P$8000,'Timesheet Raw'!$L$4:$L$8000,$A345,'Timesheet Raw'!$C$4:$C$8000,T$3,'Timesheet Raw'!$A$4:$A$8000,"3-Proposals Regular"))</f>
        <v>0</v>
      </c>
      <c r="V345" s="341">
        <f>IF($A345="","",SUMIFS('Timesheet Raw'!$P$4:$P$8000,'Timesheet Raw'!$L$4:$L$8000,$A345,'Timesheet Raw'!$C$4:$C$8000,T$3,'Timesheet Raw'!$B$4:$B$8000,'Work Calendar'!$A$26)+SUMIFS('Timesheet Raw'!$P$4:$P$8000,'Timesheet Raw'!$L$4:$L$8000,$A345,'Timesheet Raw'!$C$4:$C$8000,T$3,'Timesheet Raw'!$B$4:$B$8000,'Work Calendar'!$A$27)+SUMIFS('Timesheet Raw'!$P$4:$P$8000,'Timesheet Raw'!$L$4:$L$8000,$A345,'Timesheet Raw'!$C$4:$C$8000,T$3,'Timesheet Raw'!$B$4:$B$8000,'Work Calendar'!$A$28)+SUMIFS('Timesheet Raw'!$P$4:$P$8000,'Timesheet Raw'!$L$4:$L$8000,$A345,'Timesheet Raw'!$C$4:$C$8000,T$3,'Timesheet Raw'!$B$4:$B$8000,'Work Calendar'!$A$29))</f>
        <v>0</v>
      </c>
      <c r="W345" s="341">
        <f t="shared" si="23"/>
        <v>0</v>
      </c>
      <c r="X345" s="395">
        <f>IF($A345="","",SUMIFS('Timesheet Raw'!$K$4:$K$8000,'Timesheet Raw'!$L$4:$L$8000,$A345,'Timesheet Raw'!$C$4:$C$8000,T$3))</f>
        <v>0</v>
      </c>
      <c r="Y345" s="345">
        <f>IF($A345="","",SUMIFS('Timesheet Raw'!$P$4:$P$8000,'Timesheet Raw'!$L$4:$L$8000,$A345,'Timesheet Raw'!$C$4:$C$8000,T$3))</f>
        <v>0</v>
      </c>
      <c r="Z345" s="375"/>
      <c r="AA345" t="str">
        <f>IF($A345="","",IF(Z345&lt;&gt;"",Z345,IF($A345&gt;'Work Calendar'!$B$17,"No data yet",IF(AND(V345&gt;='Work Calendar'!$B$14,T345+U345+W345&gt;0),"Day off - but worked",IF(V345&gt;='Work Calendar'!$B$14,"Day off",IF(T345+U345+W345&gt;0,IF($C345="Working","Charged","Worked weekend"),IF($C345="Working","Leave (not charged)",$C345)))))))</f>
        <v>No data yet</v>
      </c>
    </row>
    <row r="346" spans="1:27" x14ac:dyDescent="0.3">
      <c r="A346" s="371">
        <f>IF($A345="","",IF($A345+1&gt;'Work Calendar'!$B$16,"",$A345+1))</f>
        <v>46364</v>
      </c>
      <c r="B346" t="str">
        <f t="shared" si="20"/>
        <v>Tue</v>
      </c>
      <c r="C346" t="str" cm="1">
        <f t="array" ref="C346">IF($A346="","",IF(COUNTIF('Work Calendar'!$E$6:$E$200,$A346)&gt;0,"Holiday",IF(INDEX('Work Calendar'!$C$6:$C$12,WEEKDAY($A346,1))=1,"Working","Weekend")))</f>
        <v>Working</v>
      </c>
      <c r="D346" s="341">
        <f>IF($A346="","",SUMIFS('Timesheet Raw'!$P$4:$P$8000,'Timesheet Raw'!$L$4:$L$8000,$A346,'Timesheet Raw'!$C$4:$C$8000,D$3,'Timesheet Raw'!$A$4:$A$8000,"1-Projects"))</f>
        <v>0</v>
      </c>
      <c r="E346" s="341">
        <f>IF($A346="","",SUMIFS('Timesheet Raw'!$P$4:$P$8000,'Timesheet Raw'!$L$4:$L$8000,$A346,'Timesheet Raw'!$C$4:$C$8000,D$3,'Timesheet Raw'!$A$4:$A$8000,"2-Proposals Chargeable")+SUMIFS('Timesheet Raw'!$P$4:$P$8000,'Timesheet Raw'!$L$4:$L$8000,$A346,'Timesheet Raw'!$C$4:$C$8000,D$3,'Timesheet Raw'!$A$4:$A$8000,"3-Proposals Regular"))</f>
        <v>0</v>
      </c>
      <c r="F346" s="341">
        <f>IF($A346="","",SUMIFS('Timesheet Raw'!$P$4:$P$8000,'Timesheet Raw'!$L$4:$L$8000,$A346,'Timesheet Raw'!$C$4:$C$8000,D$3,'Timesheet Raw'!$B$4:$B$8000,'Work Calendar'!$A$26)+SUMIFS('Timesheet Raw'!$P$4:$P$8000,'Timesheet Raw'!$L$4:$L$8000,$A346,'Timesheet Raw'!$C$4:$C$8000,D$3,'Timesheet Raw'!$B$4:$B$8000,'Work Calendar'!$A$27)+SUMIFS('Timesheet Raw'!$P$4:$P$8000,'Timesheet Raw'!$L$4:$L$8000,$A346,'Timesheet Raw'!$C$4:$C$8000,D$3,'Timesheet Raw'!$B$4:$B$8000,'Work Calendar'!$A$28)+SUMIFS('Timesheet Raw'!$P$4:$P$8000,'Timesheet Raw'!$L$4:$L$8000,$A346,'Timesheet Raw'!$C$4:$C$8000,D$3,'Timesheet Raw'!$B$4:$B$8000,'Work Calendar'!$A$29))</f>
        <v>0</v>
      </c>
      <c r="G346" s="341">
        <f t="shared" si="21"/>
        <v>0</v>
      </c>
      <c r="H346" s="395">
        <f>IF($A346="","",SUMIFS('Timesheet Raw'!$K$4:$K$8000,'Timesheet Raw'!$L$4:$L$8000,$A346,'Timesheet Raw'!$C$4:$C$8000,D$3))</f>
        <v>0</v>
      </c>
      <c r="I346" s="345">
        <f>IF($A346="","",SUMIFS('Timesheet Raw'!$P$4:$P$8000,'Timesheet Raw'!$L$4:$L$8000,$A346,'Timesheet Raw'!$C$4:$C$8000,D$3))</f>
        <v>0</v>
      </c>
      <c r="J346" s="375"/>
      <c r="K346" t="str">
        <f>IF($A346="","",IF(J346&lt;&gt;"",J346,IF($A346&gt;'Work Calendar'!$B$17,"No data yet",IF(AND(F346&gt;='Work Calendar'!$B$14,D346+E346+G346&gt;0),"Day off - but worked",IF(F346&gt;='Work Calendar'!$B$14,"Day off",IF(D346+E346+G346&gt;0,IF($C346="Working","Charged","Worked weekend"),IF($C346="Working","Leave (not charged)",$C346)))))))</f>
        <v>No data yet</v>
      </c>
      <c r="L346" s="341">
        <f>IF($A346="","",SUMIFS('Timesheet Raw'!$P$4:$P$8000,'Timesheet Raw'!$L$4:$L$8000,$A346,'Timesheet Raw'!$C$4:$C$8000,L$3,'Timesheet Raw'!$A$4:$A$8000,"1-Projects"))</f>
        <v>0</v>
      </c>
      <c r="M346" s="341">
        <f>IF($A346="","",SUMIFS('Timesheet Raw'!$P$4:$P$8000,'Timesheet Raw'!$L$4:$L$8000,$A346,'Timesheet Raw'!$C$4:$C$8000,L$3,'Timesheet Raw'!$A$4:$A$8000,"2-Proposals Chargeable")+SUMIFS('Timesheet Raw'!$P$4:$P$8000,'Timesheet Raw'!$L$4:$L$8000,$A346,'Timesheet Raw'!$C$4:$C$8000,L$3,'Timesheet Raw'!$A$4:$A$8000,"3-Proposals Regular"))</f>
        <v>0</v>
      </c>
      <c r="N346" s="341">
        <f>IF($A346="","",SUMIFS('Timesheet Raw'!$P$4:$P$8000,'Timesheet Raw'!$L$4:$L$8000,$A346,'Timesheet Raw'!$C$4:$C$8000,L$3,'Timesheet Raw'!$B$4:$B$8000,'Work Calendar'!$A$26)+SUMIFS('Timesheet Raw'!$P$4:$P$8000,'Timesheet Raw'!$L$4:$L$8000,$A346,'Timesheet Raw'!$C$4:$C$8000,L$3,'Timesheet Raw'!$B$4:$B$8000,'Work Calendar'!$A$27)+SUMIFS('Timesheet Raw'!$P$4:$P$8000,'Timesheet Raw'!$L$4:$L$8000,$A346,'Timesheet Raw'!$C$4:$C$8000,L$3,'Timesheet Raw'!$B$4:$B$8000,'Work Calendar'!$A$28)+SUMIFS('Timesheet Raw'!$P$4:$P$8000,'Timesheet Raw'!$L$4:$L$8000,$A346,'Timesheet Raw'!$C$4:$C$8000,L$3,'Timesheet Raw'!$B$4:$B$8000,'Work Calendar'!$A$29))</f>
        <v>0</v>
      </c>
      <c r="O346" s="341">
        <f t="shared" si="22"/>
        <v>0</v>
      </c>
      <c r="P346" s="395">
        <f>IF($A346="","",SUMIFS('Timesheet Raw'!$K$4:$K$8000,'Timesheet Raw'!$L$4:$L$8000,$A346,'Timesheet Raw'!$C$4:$C$8000,L$3))</f>
        <v>0</v>
      </c>
      <c r="Q346" s="345">
        <f>IF($A346="","",SUMIFS('Timesheet Raw'!$P$4:$P$8000,'Timesheet Raw'!$L$4:$L$8000,$A346,'Timesheet Raw'!$C$4:$C$8000,L$3))</f>
        <v>0</v>
      </c>
      <c r="R346" s="375"/>
      <c r="S346" t="str">
        <f>IF($A346="","",IF(R346&lt;&gt;"",R346,IF($A346&gt;'Work Calendar'!$B$17,"No data yet",IF(AND(N346&gt;='Work Calendar'!$B$14,L346+M346+O346&gt;0),"Day off - but worked",IF(N346&gt;='Work Calendar'!$B$14,"Day off",IF(L346+M346+O346&gt;0,IF($C346="Working","Charged","Worked weekend"),IF($C346="Working","Leave (not charged)",$C346)))))))</f>
        <v>No data yet</v>
      </c>
      <c r="T346" s="341">
        <f>IF($A346="","",SUMIFS('Timesheet Raw'!$P$4:$P$8000,'Timesheet Raw'!$L$4:$L$8000,$A346,'Timesheet Raw'!$C$4:$C$8000,T$3,'Timesheet Raw'!$A$4:$A$8000,"1-Projects"))</f>
        <v>0</v>
      </c>
      <c r="U346" s="341">
        <f>IF($A346="","",SUMIFS('Timesheet Raw'!$P$4:$P$8000,'Timesheet Raw'!$L$4:$L$8000,$A346,'Timesheet Raw'!$C$4:$C$8000,T$3,'Timesheet Raw'!$A$4:$A$8000,"2-Proposals Chargeable")+SUMIFS('Timesheet Raw'!$P$4:$P$8000,'Timesheet Raw'!$L$4:$L$8000,$A346,'Timesheet Raw'!$C$4:$C$8000,T$3,'Timesheet Raw'!$A$4:$A$8000,"3-Proposals Regular"))</f>
        <v>0</v>
      </c>
      <c r="V346" s="341">
        <f>IF($A346="","",SUMIFS('Timesheet Raw'!$P$4:$P$8000,'Timesheet Raw'!$L$4:$L$8000,$A346,'Timesheet Raw'!$C$4:$C$8000,T$3,'Timesheet Raw'!$B$4:$B$8000,'Work Calendar'!$A$26)+SUMIFS('Timesheet Raw'!$P$4:$P$8000,'Timesheet Raw'!$L$4:$L$8000,$A346,'Timesheet Raw'!$C$4:$C$8000,T$3,'Timesheet Raw'!$B$4:$B$8000,'Work Calendar'!$A$27)+SUMIFS('Timesheet Raw'!$P$4:$P$8000,'Timesheet Raw'!$L$4:$L$8000,$A346,'Timesheet Raw'!$C$4:$C$8000,T$3,'Timesheet Raw'!$B$4:$B$8000,'Work Calendar'!$A$28)+SUMIFS('Timesheet Raw'!$P$4:$P$8000,'Timesheet Raw'!$L$4:$L$8000,$A346,'Timesheet Raw'!$C$4:$C$8000,T$3,'Timesheet Raw'!$B$4:$B$8000,'Work Calendar'!$A$29))</f>
        <v>0</v>
      </c>
      <c r="W346" s="341">
        <f t="shared" si="23"/>
        <v>0</v>
      </c>
      <c r="X346" s="395">
        <f>IF($A346="","",SUMIFS('Timesheet Raw'!$K$4:$K$8000,'Timesheet Raw'!$L$4:$L$8000,$A346,'Timesheet Raw'!$C$4:$C$8000,T$3))</f>
        <v>0</v>
      </c>
      <c r="Y346" s="345">
        <f>IF($A346="","",SUMIFS('Timesheet Raw'!$P$4:$P$8000,'Timesheet Raw'!$L$4:$L$8000,$A346,'Timesheet Raw'!$C$4:$C$8000,T$3))</f>
        <v>0</v>
      </c>
      <c r="Z346" s="375"/>
      <c r="AA346" t="str">
        <f>IF($A346="","",IF(Z346&lt;&gt;"",Z346,IF($A346&gt;'Work Calendar'!$B$17,"No data yet",IF(AND(V346&gt;='Work Calendar'!$B$14,T346+U346+W346&gt;0),"Day off - but worked",IF(V346&gt;='Work Calendar'!$B$14,"Day off",IF(T346+U346+W346&gt;0,IF($C346="Working","Charged","Worked weekend"),IF($C346="Working","Leave (not charged)",$C346)))))))</f>
        <v>No data yet</v>
      </c>
    </row>
    <row r="347" spans="1:27" x14ac:dyDescent="0.3">
      <c r="A347" s="371">
        <f>IF($A346="","",IF($A346+1&gt;'Work Calendar'!$B$16,"",$A346+1))</f>
        <v>46365</v>
      </c>
      <c r="B347" t="str">
        <f t="shared" si="20"/>
        <v>Wed</v>
      </c>
      <c r="C347" t="str" cm="1">
        <f t="array" ref="C347">IF($A347="","",IF(COUNTIF('Work Calendar'!$E$6:$E$200,$A347)&gt;0,"Holiday",IF(INDEX('Work Calendar'!$C$6:$C$12,WEEKDAY($A347,1))=1,"Working","Weekend")))</f>
        <v>Working</v>
      </c>
      <c r="D347" s="341">
        <f>IF($A347="","",SUMIFS('Timesheet Raw'!$P$4:$P$8000,'Timesheet Raw'!$L$4:$L$8000,$A347,'Timesheet Raw'!$C$4:$C$8000,D$3,'Timesheet Raw'!$A$4:$A$8000,"1-Projects"))</f>
        <v>0</v>
      </c>
      <c r="E347" s="341">
        <f>IF($A347="","",SUMIFS('Timesheet Raw'!$P$4:$P$8000,'Timesheet Raw'!$L$4:$L$8000,$A347,'Timesheet Raw'!$C$4:$C$8000,D$3,'Timesheet Raw'!$A$4:$A$8000,"2-Proposals Chargeable")+SUMIFS('Timesheet Raw'!$P$4:$P$8000,'Timesheet Raw'!$L$4:$L$8000,$A347,'Timesheet Raw'!$C$4:$C$8000,D$3,'Timesheet Raw'!$A$4:$A$8000,"3-Proposals Regular"))</f>
        <v>0</v>
      </c>
      <c r="F347" s="341">
        <f>IF($A347="","",SUMIFS('Timesheet Raw'!$P$4:$P$8000,'Timesheet Raw'!$L$4:$L$8000,$A347,'Timesheet Raw'!$C$4:$C$8000,D$3,'Timesheet Raw'!$B$4:$B$8000,'Work Calendar'!$A$26)+SUMIFS('Timesheet Raw'!$P$4:$P$8000,'Timesheet Raw'!$L$4:$L$8000,$A347,'Timesheet Raw'!$C$4:$C$8000,D$3,'Timesheet Raw'!$B$4:$B$8000,'Work Calendar'!$A$27)+SUMIFS('Timesheet Raw'!$P$4:$P$8000,'Timesheet Raw'!$L$4:$L$8000,$A347,'Timesheet Raw'!$C$4:$C$8000,D$3,'Timesheet Raw'!$B$4:$B$8000,'Work Calendar'!$A$28)+SUMIFS('Timesheet Raw'!$P$4:$P$8000,'Timesheet Raw'!$L$4:$L$8000,$A347,'Timesheet Raw'!$C$4:$C$8000,D$3,'Timesheet Raw'!$B$4:$B$8000,'Work Calendar'!$A$29))</f>
        <v>0</v>
      </c>
      <c r="G347" s="341">
        <f t="shared" si="21"/>
        <v>0</v>
      </c>
      <c r="H347" s="395">
        <f>IF($A347="","",SUMIFS('Timesheet Raw'!$K$4:$K$8000,'Timesheet Raw'!$L$4:$L$8000,$A347,'Timesheet Raw'!$C$4:$C$8000,D$3))</f>
        <v>0</v>
      </c>
      <c r="I347" s="345">
        <f>IF($A347="","",SUMIFS('Timesheet Raw'!$P$4:$P$8000,'Timesheet Raw'!$L$4:$L$8000,$A347,'Timesheet Raw'!$C$4:$C$8000,D$3))</f>
        <v>0</v>
      </c>
      <c r="J347" s="375"/>
      <c r="K347" t="str">
        <f>IF($A347="","",IF(J347&lt;&gt;"",J347,IF($A347&gt;'Work Calendar'!$B$17,"No data yet",IF(AND(F347&gt;='Work Calendar'!$B$14,D347+E347+G347&gt;0),"Day off - but worked",IF(F347&gt;='Work Calendar'!$B$14,"Day off",IF(D347+E347+G347&gt;0,IF($C347="Working","Charged","Worked weekend"),IF($C347="Working","Leave (not charged)",$C347)))))))</f>
        <v>No data yet</v>
      </c>
      <c r="L347" s="341">
        <f>IF($A347="","",SUMIFS('Timesheet Raw'!$P$4:$P$8000,'Timesheet Raw'!$L$4:$L$8000,$A347,'Timesheet Raw'!$C$4:$C$8000,L$3,'Timesheet Raw'!$A$4:$A$8000,"1-Projects"))</f>
        <v>0</v>
      </c>
      <c r="M347" s="341">
        <f>IF($A347="","",SUMIFS('Timesheet Raw'!$P$4:$P$8000,'Timesheet Raw'!$L$4:$L$8000,$A347,'Timesheet Raw'!$C$4:$C$8000,L$3,'Timesheet Raw'!$A$4:$A$8000,"2-Proposals Chargeable")+SUMIFS('Timesheet Raw'!$P$4:$P$8000,'Timesheet Raw'!$L$4:$L$8000,$A347,'Timesheet Raw'!$C$4:$C$8000,L$3,'Timesheet Raw'!$A$4:$A$8000,"3-Proposals Regular"))</f>
        <v>0</v>
      </c>
      <c r="N347" s="341">
        <f>IF($A347="","",SUMIFS('Timesheet Raw'!$P$4:$P$8000,'Timesheet Raw'!$L$4:$L$8000,$A347,'Timesheet Raw'!$C$4:$C$8000,L$3,'Timesheet Raw'!$B$4:$B$8000,'Work Calendar'!$A$26)+SUMIFS('Timesheet Raw'!$P$4:$P$8000,'Timesheet Raw'!$L$4:$L$8000,$A347,'Timesheet Raw'!$C$4:$C$8000,L$3,'Timesheet Raw'!$B$4:$B$8000,'Work Calendar'!$A$27)+SUMIFS('Timesheet Raw'!$P$4:$P$8000,'Timesheet Raw'!$L$4:$L$8000,$A347,'Timesheet Raw'!$C$4:$C$8000,L$3,'Timesheet Raw'!$B$4:$B$8000,'Work Calendar'!$A$28)+SUMIFS('Timesheet Raw'!$P$4:$P$8000,'Timesheet Raw'!$L$4:$L$8000,$A347,'Timesheet Raw'!$C$4:$C$8000,L$3,'Timesheet Raw'!$B$4:$B$8000,'Work Calendar'!$A$29))</f>
        <v>0</v>
      </c>
      <c r="O347" s="341">
        <f t="shared" si="22"/>
        <v>0</v>
      </c>
      <c r="P347" s="395">
        <f>IF($A347="","",SUMIFS('Timesheet Raw'!$K$4:$K$8000,'Timesheet Raw'!$L$4:$L$8000,$A347,'Timesheet Raw'!$C$4:$C$8000,L$3))</f>
        <v>0</v>
      </c>
      <c r="Q347" s="345">
        <f>IF($A347="","",SUMIFS('Timesheet Raw'!$P$4:$P$8000,'Timesheet Raw'!$L$4:$L$8000,$A347,'Timesheet Raw'!$C$4:$C$8000,L$3))</f>
        <v>0</v>
      </c>
      <c r="R347" s="375"/>
      <c r="S347" t="str">
        <f>IF($A347="","",IF(R347&lt;&gt;"",R347,IF($A347&gt;'Work Calendar'!$B$17,"No data yet",IF(AND(N347&gt;='Work Calendar'!$B$14,L347+M347+O347&gt;0),"Day off - but worked",IF(N347&gt;='Work Calendar'!$B$14,"Day off",IF(L347+M347+O347&gt;0,IF($C347="Working","Charged","Worked weekend"),IF($C347="Working","Leave (not charged)",$C347)))))))</f>
        <v>No data yet</v>
      </c>
      <c r="T347" s="341">
        <f>IF($A347="","",SUMIFS('Timesheet Raw'!$P$4:$P$8000,'Timesheet Raw'!$L$4:$L$8000,$A347,'Timesheet Raw'!$C$4:$C$8000,T$3,'Timesheet Raw'!$A$4:$A$8000,"1-Projects"))</f>
        <v>0</v>
      </c>
      <c r="U347" s="341">
        <f>IF($A347="","",SUMIFS('Timesheet Raw'!$P$4:$P$8000,'Timesheet Raw'!$L$4:$L$8000,$A347,'Timesheet Raw'!$C$4:$C$8000,T$3,'Timesheet Raw'!$A$4:$A$8000,"2-Proposals Chargeable")+SUMIFS('Timesheet Raw'!$P$4:$P$8000,'Timesheet Raw'!$L$4:$L$8000,$A347,'Timesheet Raw'!$C$4:$C$8000,T$3,'Timesheet Raw'!$A$4:$A$8000,"3-Proposals Regular"))</f>
        <v>0</v>
      </c>
      <c r="V347" s="341">
        <f>IF($A347="","",SUMIFS('Timesheet Raw'!$P$4:$P$8000,'Timesheet Raw'!$L$4:$L$8000,$A347,'Timesheet Raw'!$C$4:$C$8000,T$3,'Timesheet Raw'!$B$4:$B$8000,'Work Calendar'!$A$26)+SUMIFS('Timesheet Raw'!$P$4:$P$8000,'Timesheet Raw'!$L$4:$L$8000,$A347,'Timesheet Raw'!$C$4:$C$8000,T$3,'Timesheet Raw'!$B$4:$B$8000,'Work Calendar'!$A$27)+SUMIFS('Timesheet Raw'!$P$4:$P$8000,'Timesheet Raw'!$L$4:$L$8000,$A347,'Timesheet Raw'!$C$4:$C$8000,T$3,'Timesheet Raw'!$B$4:$B$8000,'Work Calendar'!$A$28)+SUMIFS('Timesheet Raw'!$P$4:$P$8000,'Timesheet Raw'!$L$4:$L$8000,$A347,'Timesheet Raw'!$C$4:$C$8000,T$3,'Timesheet Raw'!$B$4:$B$8000,'Work Calendar'!$A$29))</f>
        <v>0</v>
      </c>
      <c r="W347" s="341">
        <f t="shared" si="23"/>
        <v>0</v>
      </c>
      <c r="X347" s="395">
        <f>IF($A347="","",SUMIFS('Timesheet Raw'!$K$4:$K$8000,'Timesheet Raw'!$L$4:$L$8000,$A347,'Timesheet Raw'!$C$4:$C$8000,T$3))</f>
        <v>0</v>
      </c>
      <c r="Y347" s="345">
        <f>IF($A347="","",SUMIFS('Timesheet Raw'!$P$4:$P$8000,'Timesheet Raw'!$L$4:$L$8000,$A347,'Timesheet Raw'!$C$4:$C$8000,T$3))</f>
        <v>0</v>
      </c>
      <c r="Z347" s="375"/>
      <c r="AA347" t="str">
        <f>IF($A347="","",IF(Z347&lt;&gt;"",Z347,IF($A347&gt;'Work Calendar'!$B$17,"No data yet",IF(AND(V347&gt;='Work Calendar'!$B$14,T347+U347+W347&gt;0),"Day off - but worked",IF(V347&gt;='Work Calendar'!$B$14,"Day off",IF(T347+U347+W347&gt;0,IF($C347="Working","Charged","Worked weekend"),IF($C347="Working","Leave (not charged)",$C347)))))))</f>
        <v>No data yet</v>
      </c>
    </row>
    <row r="348" spans="1:27" x14ac:dyDescent="0.3">
      <c r="A348" s="371">
        <f>IF($A347="","",IF($A347+1&gt;'Work Calendar'!$B$16,"",$A347+1))</f>
        <v>46366</v>
      </c>
      <c r="B348" t="str">
        <f t="shared" si="20"/>
        <v>Thu</v>
      </c>
      <c r="C348" t="str" cm="1">
        <f t="array" ref="C348">IF($A348="","",IF(COUNTIF('Work Calendar'!$E$6:$E$200,$A348)&gt;0,"Holiday",IF(INDEX('Work Calendar'!$C$6:$C$12,WEEKDAY($A348,1))=1,"Working","Weekend")))</f>
        <v>Working</v>
      </c>
      <c r="D348" s="341">
        <f>IF($A348="","",SUMIFS('Timesheet Raw'!$P$4:$P$8000,'Timesheet Raw'!$L$4:$L$8000,$A348,'Timesheet Raw'!$C$4:$C$8000,D$3,'Timesheet Raw'!$A$4:$A$8000,"1-Projects"))</f>
        <v>0</v>
      </c>
      <c r="E348" s="341">
        <f>IF($A348="","",SUMIFS('Timesheet Raw'!$P$4:$P$8000,'Timesheet Raw'!$L$4:$L$8000,$A348,'Timesheet Raw'!$C$4:$C$8000,D$3,'Timesheet Raw'!$A$4:$A$8000,"2-Proposals Chargeable")+SUMIFS('Timesheet Raw'!$P$4:$P$8000,'Timesheet Raw'!$L$4:$L$8000,$A348,'Timesheet Raw'!$C$4:$C$8000,D$3,'Timesheet Raw'!$A$4:$A$8000,"3-Proposals Regular"))</f>
        <v>0</v>
      </c>
      <c r="F348" s="341">
        <f>IF($A348="","",SUMIFS('Timesheet Raw'!$P$4:$P$8000,'Timesheet Raw'!$L$4:$L$8000,$A348,'Timesheet Raw'!$C$4:$C$8000,D$3,'Timesheet Raw'!$B$4:$B$8000,'Work Calendar'!$A$26)+SUMIFS('Timesheet Raw'!$P$4:$P$8000,'Timesheet Raw'!$L$4:$L$8000,$A348,'Timesheet Raw'!$C$4:$C$8000,D$3,'Timesheet Raw'!$B$4:$B$8000,'Work Calendar'!$A$27)+SUMIFS('Timesheet Raw'!$P$4:$P$8000,'Timesheet Raw'!$L$4:$L$8000,$A348,'Timesheet Raw'!$C$4:$C$8000,D$3,'Timesheet Raw'!$B$4:$B$8000,'Work Calendar'!$A$28)+SUMIFS('Timesheet Raw'!$P$4:$P$8000,'Timesheet Raw'!$L$4:$L$8000,$A348,'Timesheet Raw'!$C$4:$C$8000,D$3,'Timesheet Raw'!$B$4:$B$8000,'Work Calendar'!$A$29))</f>
        <v>0</v>
      </c>
      <c r="G348" s="341">
        <f t="shared" si="21"/>
        <v>0</v>
      </c>
      <c r="H348" s="395">
        <f>IF($A348="","",SUMIFS('Timesheet Raw'!$K$4:$K$8000,'Timesheet Raw'!$L$4:$L$8000,$A348,'Timesheet Raw'!$C$4:$C$8000,D$3))</f>
        <v>0</v>
      </c>
      <c r="I348" s="345">
        <f>IF($A348="","",SUMIFS('Timesheet Raw'!$P$4:$P$8000,'Timesheet Raw'!$L$4:$L$8000,$A348,'Timesheet Raw'!$C$4:$C$8000,D$3))</f>
        <v>0</v>
      </c>
      <c r="J348" s="375"/>
      <c r="K348" t="str">
        <f>IF($A348="","",IF(J348&lt;&gt;"",J348,IF($A348&gt;'Work Calendar'!$B$17,"No data yet",IF(AND(F348&gt;='Work Calendar'!$B$14,D348+E348+G348&gt;0),"Day off - but worked",IF(F348&gt;='Work Calendar'!$B$14,"Day off",IF(D348+E348+G348&gt;0,IF($C348="Working","Charged","Worked weekend"),IF($C348="Working","Leave (not charged)",$C348)))))))</f>
        <v>No data yet</v>
      </c>
      <c r="L348" s="341">
        <f>IF($A348="","",SUMIFS('Timesheet Raw'!$P$4:$P$8000,'Timesheet Raw'!$L$4:$L$8000,$A348,'Timesheet Raw'!$C$4:$C$8000,L$3,'Timesheet Raw'!$A$4:$A$8000,"1-Projects"))</f>
        <v>0</v>
      </c>
      <c r="M348" s="341">
        <f>IF($A348="","",SUMIFS('Timesheet Raw'!$P$4:$P$8000,'Timesheet Raw'!$L$4:$L$8000,$A348,'Timesheet Raw'!$C$4:$C$8000,L$3,'Timesheet Raw'!$A$4:$A$8000,"2-Proposals Chargeable")+SUMIFS('Timesheet Raw'!$P$4:$P$8000,'Timesheet Raw'!$L$4:$L$8000,$A348,'Timesheet Raw'!$C$4:$C$8000,L$3,'Timesheet Raw'!$A$4:$A$8000,"3-Proposals Regular"))</f>
        <v>0</v>
      </c>
      <c r="N348" s="341">
        <f>IF($A348="","",SUMIFS('Timesheet Raw'!$P$4:$P$8000,'Timesheet Raw'!$L$4:$L$8000,$A348,'Timesheet Raw'!$C$4:$C$8000,L$3,'Timesheet Raw'!$B$4:$B$8000,'Work Calendar'!$A$26)+SUMIFS('Timesheet Raw'!$P$4:$P$8000,'Timesheet Raw'!$L$4:$L$8000,$A348,'Timesheet Raw'!$C$4:$C$8000,L$3,'Timesheet Raw'!$B$4:$B$8000,'Work Calendar'!$A$27)+SUMIFS('Timesheet Raw'!$P$4:$P$8000,'Timesheet Raw'!$L$4:$L$8000,$A348,'Timesheet Raw'!$C$4:$C$8000,L$3,'Timesheet Raw'!$B$4:$B$8000,'Work Calendar'!$A$28)+SUMIFS('Timesheet Raw'!$P$4:$P$8000,'Timesheet Raw'!$L$4:$L$8000,$A348,'Timesheet Raw'!$C$4:$C$8000,L$3,'Timesheet Raw'!$B$4:$B$8000,'Work Calendar'!$A$29))</f>
        <v>0</v>
      </c>
      <c r="O348" s="341">
        <f t="shared" si="22"/>
        <v>0</v>
      </c>
      <c r="P348" s="395">
        <f>IF($A348="","",SUMIFS('Timesheet Raw'!$K$4:$K$8000,'Timesheet Raw'!$L$4:$L$8000,$A348,'Timesheet Raw'!$C$4:$C$8000,L$3))</f>
        <v>0</v>
      </c>
      <c r="Q348" s="345">
        <f>IF($A348="","",SUMIFS('Timesheet Raw'!$P$4:$P$8000,'Timesheet Raw'!$L$4:$L$8000,$A348,'Timesheet Raw'!$C$4:$C$8000,L$3))</f>
        <v>0</v>
      </c>
      <c r="R348" s="375"/>
      <c r="S348" t="str">
        <f>IF($A348="","",IF(R348&lt;&gt;"",R348,IF($A348&gt;'Work Calendar'!$B$17,"No data yet",IF(AND(N348&gt;='Work Calendar'!$B$14,L348+M348+O348&gt;0),"Day off - but worked",IF(N348&gt;='Work Calendar'!$B$14,"Day off",IF(L348+M348+O348&gt;0,IF($C348="Working","Charged","Worked weekend"),IF($C348="Working","Leave (not charged)",$C348)))))))</f>
        <v>No data yet</v>
      </c>
      <c r="T348" s="341">
        <f>IF($A348="","",SUMIFS('Timesheet Raw'!$P$4:$P$8000,'Timesheet Raw'!$L$4:$L$8000,$A348,'Timesheet Raw'!$C$4:$C$8000,T$3,'Timesheet Raw'!$A$4:$A$8000,"1-Projects"))</f>
        <v>0</v>
      </c>
      <c r="U348" s="341">
        <f>IF($A348="","",SUMIFS('Timesheet Raw'!$P$4:$P$8000,'Timesheet Raw'!$L$4:$L$8000,$A348,'Timesheet Raw'!$C$4:$C$8000,T$3,'Timesheet Raw'!$A$4:$A$8000,"2-Proposals Chargeable")+SUMIFS('Timesheet Raw'!$P$4:$P$8000,'Timesheet Raw'!$L$4:$L$8000,$A348,'Timesheet Raw'!$C$4:$C$8000,T$3,'Timesheet Raw'!$A$4:$A$8000,"3-Proposals Regular"))</f>
        <v>0</v>
      </c>
      <c r="V348" s="341">
        <f>IF($A348="","",SUMIFS('Timesheet Raw'!$P$4:$P$8000,'Timesheet Raw'!$L$4:$L$8000,$A348,'Timesheet Raw'!$C$4:$C$8000,T$3,'Timesheet Raw'!$B$4:$B$8000,'Work Calendar'!$A$26)+SUMIFS('Timesheet Raw'!$P$4:$P$8000,'Timesheet Raw'!$L$4:$L$8000,$A348,'Timesheet Raw'!$C$4:$C$8000,T$3,'Timesheet Raw'!$B$4:$B$8000,'Work Calendar'!$A$27)+SUMIFS('Timesheet Raw'!$P$4:$P$8000,'Timesheet Raw'!$L$4:$L$8000,$A348,'Timesheet Raw'!$C$4:$C$8000,T$3,'Timesheet Raw'!$B$4:$B$8000,'Work Calendar'!$A$28)+SUMIFS('Timesheet Raw'!$P$4:$P$8000,'Timesheet Raw'!$L$4:$L$8000,$A348,'Timesheet Raw'!$C$4:$C$8000,T$3,'Timesheet Raw'!$B$4:$B$8000,'Work Calendar'!$A$29))</f>
        <v>0</v>
      </c>
      <c r="W348" s="341">
        <f t="shared" si="23"/>
        <v>0</v>
      </c>
      <c r="X348" s="395">
        <f>IF($A348="","",SUMIFS('Timesheet Raw'!$K$4:$K$8000,'Timesheet Raw'!$L$4:$L$8000,$A348,'Timesheet Raw'!$C$4:$C$8000,T$3))</f>
        <v>0</v>
      </c>
      <c r="Y348" s="345">
        <f>IF($A348="","",SUMIFS('Timesheet Raw'!$P$4:$P$8000,'Timesheet Raw'!$L$4:$L$8000,$A348,'Timesheet Raw'!$C$4:$C$8000,T$3))</f>
        <v>0</v>
      </c>
      <c r="Z348" s="375"/>
      <c r="AA348" t="str">
        <f>IF($A348="","",IF(Z348&lt;&gt;"",Z348,IF($A348&gt;'Work Calendar'!$B$17,"No data yet",IF(AND(V348&gt;='Work Calendar'!$B$14,T348+U348+W348&gt;0),"Day off - but worked",IF(V348&gt;='Work Calendar'!$B$14,"Day off",IF(T348+U348+W348&gt;0,IF($C348="Working","Charged","Worked weekend"),IF($C348="Working","Leave (not charged)",$C348)))))))</f>
        <v>No data yet</v>
      </c>
    </row>
    <row r="349" spans="1:27" x14ac:dyDescent="0.3">
      <c r="A349" s="371">
        <f>IF($A348="","",IF($A348+1&gt;'Work Calendar'!$B$16,"",$A348+1))</f>
        <v>46367</v>
      </c>
      <c r="B349" t="str">
        <f t="shared" si="20"/>
        <v>Fri</v>
      </c>
      <c r="C349" t="str" cm="1">
        <f t="array" ref="C349">IF($A349="","",IF(COUNTIF('Work Calendar'!$E$6:$E$200,$A349)&gt;0,"Holiday",IF(INDEX('Work Calendar'!$C$6:$C$12,WEEKDAY($A349,1))=1,"Working","Weekend")))</f>
        <v>Weekend</v>
      </c>
      <c r="D349" s="341">
        <f>IF($A349="","",SUMIFS('Timesheet Raw'!$P$4:$P$8000,'Timesheet Raw'!$L$4:$L$8000,$A349,'Timesheet Raw'!$C$4:$C$8000,D$3,'Timesheet Raw'!$A$4:$A$8000,"1-Projects"))</f>
        <v>0</v>
      </c>
      <c r="E349" s="341">
        <f>IF($A349="","",SUMIFS('Timesheet Raw'!$P$4:$P$8000,'Timesheet Raw'!$L$4:$L$8000,$A349,'Timesheet Raw'!$C$4:$C$8000,D$3,'Timesheet Raw'!$A$4:$A$8000,"2-Proposals Chargeable")+SUMIFS('Timesheet Raw'!$P$4:$P$8000,'Timesheet Raw'!$L$4:$L$8000,$A349,'Timesheet Raw'!$C$4:$C$8000,D$3,'Timesheet Raw'!$A$4:$A$8000,"3-Proposals Regular"))</f>
        <v>0</v>
      </c>
      <c r="F349" s="341">
        <f>IF($A349="","",SUMIFS('Timesheet Raw'!$P$4:$P$8000,'Timesheet Raw'!$L$4:$L$8000,$A349,'Timesheet Raw'!$C$4:$C$8000,D$3,'Timesheet Raw'!$B$4:$B$8000,'Work Calendar'!$A$26)+SUMIFS('Timesheet Raw'!$P$4:$P$8000,'Timesheet Raw'!$L$4:$L$8000,$A349,'Timesheet Raw'!$C$4:$C$8000,D$3,'Timesheet Raw'!$B$4:$B$8000,'Work Calendar'!$A$27)+SUMIFS('Timesheet Raw'!$P$4:$P$8000,'Timesheet Raw'!$L$4:$L$8000,$A349,'Timesheet Raw'!$C$4:$C$8000,D$3,'Timesheet Raw'!$B$4:$B$8000,'Work Calendar'!$A$28)+SUMIFS('Timesheet Raw'!$P$4:$P$8000,'Timesheet Raw'!$L$4:$L$8000,$A349,'Timesheet Raw'!$C$4:$C$8000,D$3,'Timesheet Raw'!$B$4:$B$8000,'Work Calendar'!$A$29))</f>
        <v>0</v>
      </c>
      <c r="G349" s="341">
        <f t="shared" si="21"/>
        <v>0</v>
      </c>
      <c r="H349" s="395">
        <f>IF($A349="","",SUMIFS('Timesheet Raw'!$K$4:$K$8000,'Timesheet Raw'!$L$4:$L$8000,$A349,'Timesheet Raw'!$C$4:$C$8000,D$3))</f>
        <v>0</v>
      </c>
      <c r="I349" s="345">
        <f>IF($A349="","",SUMIFS('Timesheet Raw'!$P$4:$P$8000,'Timesheet Raw'!$L$4:$L$8000,$A349,'Timesheet Raw'!$C$4:$C$8000,D$3))</f>
        <v>0</v>
      </c>
      <c r="J349" s="375"/>
      <c r="K349" t="str">
        <f>IF($A349="","",IF(J349&lt;&gt;"",J349,IF($A349&gt;'Work Calendar'!$B$17,"No data yet",IF(AND(F349&gt;='Work Calendar'!$B$14,D349+E349+G349&gt;0),"Day off - but worked",IF(F349&gt;='Work Calendar'!$B$14,"Day off",IF(D349+E349+G349&gt;0,IF($C349="Working","Charged","Worked weekend"),IF($C349="Working","Leave (not charged)",$C349)))))))</f>
        <v>No data yet</v>
      </c>
      <c r="L349" s="341">
        <f>IF($A349="","",SUMIFS('Timesheet Raw'!$P$4:$P$8000,'Timesheet Raw'!$L$4:$L$8000,$A349,'Timesheet Raw'!$C$4:$C$8000,L$3,'Timesheet Raw'!$A$4:$A$8000,"1-Projects"))</f>
        <v>0</v>
      </c>
      <c r="M349" s="341">
        <f>IF($A349="","",SUMIFS('Timesheet Raw'!$P$4:$P$8000,'Timesheet Raw'!$L$4:$L$8000,$A349,'Timesheet Raw'!$C$4:$C$8000,L$3,'Timesheet Raw'!$A$4:$A$8000,"2-Proposals Chargeable")+SUMIFS('Timesheet Raw'!$P$4:$P$8000,'Timesheet Raw'!$L$4:$L$8000,$A349,'Timesheet Raw'!$C$4:$C$8000,L$3,'Timesheet Raw'!$A$4:$A$8000,"3-Proposals Regular"))</f>
        <v>0</v>
      </c>
      <c r="N349" s="341">
        <f>IF($A349="","",SUMIFS('Timesheet Raw'!$P$4:$P$8000,'Timesheet Raw'!$L$4:$L$8000,$A349,'Timesheet Raw'!$C$4:$C$8000,L$3,'Timesheet Raw'!$B$4:$B$8000,'Work Calendar'!$A$26)+SUMIFS('Timesheet Raw'!$P$4:$P$8000,'Timesheet Raw'!$L$4:$L$8000,$A349,'Timesheet Raw'!$C$4:$C$8000,L$3,'Timesheet Raw'!$B$4:$B$8000,'Work Calendar'!$A$27)+SUMIFS('Timesheet Raw'!$P$4:$P$8000,'Timesheet Raw'!$L$4:$L$8000,$A349,'Timesheet Raw'!$C$4:$C$8000,L$3,'Timesheet Raw'!$B$4:$B$8000,'Work Calendar'!$A$28)+SUMIFS('Timesheet Raw'!$P$4:$P$8000,'Timesheet Raw'!$L$4:$L$8000,$A349,'Timesheet Raw'!$C$4:$C$8000,L$3,'Timesheet Raw'!$B$4:$B$8000,'Work Calendar'!$A$29))</f>
        <v>0</v>
      </c>
      <c r="O349" s="341">
        <f t="shared" si="22"/>
        <v>0</v>
      </c>
      <c r="P349" s="395">
        <f>IF($A349="","",SUMIFS('Timesheet Raw'!$K$4:$K$8000,'Timesheet Raw'!$L$4:$L$8000,$A349,'Timesheet Raw'!$C$4:$C$8000,L$3))</f>
        <v>0</v>
      </c>
      <c r="Q349" s="345">
        <f>IF($A349="","",SUMIFS('Timesheet Raw'!$P$4:$P$8000,'Timesheet Raw'!$L$4:$L$8000,$A349,'Timesheet Raw'!$C$4:$C$8000,L$3))</f>
        <v>0</v>
      </c>
      <c r="R349" s="375"/>
      <c r="S349" t="str">
        <f>IF($A349="","",IF(R349&lt;&gt;"",R349,IF($A349&gt;'Work Calendar'!$B$17,"No data yet",IF(AND(N349&gt;='Work Calendar'!$B$14,L349+M349+O349&gt;0),"Day off - but worked",IF(N349&gt;='Work Calendar'!$B$14,"Day off",IF(L349+M349+O349&gt;0,IF($C349="Working","Charged","Worked weekend"),IF($C349="Working","Leave (not charged)",$C349)))))))</f>
        <v>No data yet</v>
      </c>
      <c r="T349" s="341">
        <f>IF($A349="","",SUMIFS('Timesheet Raw'!$P$4:$P$8000,'Timesheet Raw'!$L$4:$L$8000,$A349,'Timesheet Raw'!$C$4:$C$8000,T$3,'Timesheet Raw'!$A$4:$A$8000,"1-Projects"))</f>
        <v>0</v>
      </c>
      <c r="U349" s="341">
        <f>IF($A349="","",SUMIFS('Timesheet Raw'!$P$4:$P$8000,'Timesheet Raw'!$L$4:$L$8000,$A349,'Timesheet Raw'!$C$4:$C$8000,T$3,'Timesheet Raw'!$A$4:$A$8000,"2-Proposals Chargeable")+SUMIFS('Timesheet Raw'!$P$4:$P$8000,'Timesheet Raw'!$L$4:$L$8000,$A349,'Timesheet Raw'!$C$4:$C$8000,T$3,'Timesheet Raw'!$A$4:$A$8000,"3-Proposals Regular"))</f>
        <v>0</v>
      </c>
      <c r="V349" s="341">
        <f>IF($A349="","",SUMIFS('Timesheet Raw'!$P$4:$P$8000,'Timesheet Raw'!$L$4:$L$8000,$A349,'Timesheet Raw'!$C$4:$C$8000,T$3,'Timesheet Raw'!$B$4:$B$8000,'Work Calendar'!$A$26)+SUMIFS('Timesheet Raw'!$P$4:$P$8000,'Timesheet Raw'!$L$4:$L$8000,$A349,'Timesheet Raw'!$C$4:$C$8000,T$3,'Timesheet Raw'!$B$4:$B$8000,'Work Calendar'!$A$27)+SUMIFS('Timesheet Raw'!$P$4:$P$8000,'Timesheet Raw'!$L$4:$L$8000,$A349,'Timesheet Raw'!$C$4:$C$8000,T$3,'Timesheet Raw'!$B$4:$B$8000,'Work Calendar'!$A$28)+SUMIFS('Timesheet Raw'!$P$4:$P$8000,'Timesheet Raw'!$L$4:$L$8000,$A349,'Timesheet Raw'!$C$4:$C$8000,T$3,'Timesheet Raw'!$B$4:$B$8000,'Work Calendar'!$A$29))</f>
        <v>0</v>
      </c>
      <c r="W349" s="341">
        <f t="shared" si="23"/>
        <v>0</v>
      </c>
      <c r="X349" s="395">
        <f>IF($A349="","",SUMIFS('Timesheet Raw'!$K$4:$K$8000,'Timesheet Raw'!$L$4:$L$8000,$A349,'Timesheet Raw'!$C$4:$C$8000,T$3))</f>
        <v>0</v>
      </c>
      <c r="Y349" s="345">
        <f>IF($A349="","",SUMIFS('Timesheet Raw'!$P$4:$P$8000,'Timesheet Raw'!$L$4:$L$8000,$A349,'Timesheet Raw'!$C$4:$C$8000,T$3))</f>
        <v>0</v>
      </c>
      <c r="Z349" s="375"/>
      <c r="AA349" t="str">
        <f>IF($A349="","",IF(Z349&lt;&gt;"",Z349,IF($A349&gt;'Work Calendar'!$B$17,"No data yet",IF(AND(V349&gt;='Work Calendar'!$B$14,T349+U349+W349&gt;0),"Day off - but worked",IF(V349&gt;='Work Calendar'!$B$14,"Day off",IF(T349+U349+W349&gt;0,IF($C349="Working","Charged","Worked weekend"),IF($C349="Working","Leave (not charged)",$C349)))))))</f>
        <v>No data yet</v>
      </c>
    </row>
    <row r="350" spans="1:27" x14ac:dyDescent="0.3">
      <c r="A350" s="371">
        <f>IF($A349="","",IF($A349+1&gt;'Work Calendar'!$B$16,"",$A349+1))</f>
        <v>46368</v>
      </c>
      <c r="B350" t="str">
        <f t="shared" si="20"/>
        <v>Sat</v>
      </c>
      <c r="C350" t="str" cm="1">
        <f t="array" ref="C350">IF($A350="","",IF(COUNTIF('Work Calendar'!$E$6:$E$200,$A350)&gt;0,"Holiday",IF(INDEX('Work Calendar'!$C$6:$C$12,WEEKDAY($A350,1))=1,"Working","Weekend")))</f>
        <v>Weekend</v>
      </c>
      <c r="D350" s="341">
        <f>IF($A350="","",SUMIFS('Timesheet Raw'!$P$4:$P$8000,'Timesheet Raw'!$L$4:$L$8000,$A350,'Timesheet Raw'!$C$4:$C$8000,D$3,'Timesheet Raw'!$A$4:$A$8000,"1-Projects"))</f>
        <v>0</v>
      </c>
      <c r="E350" s="341">
        <f>IF($A350="","",SUMIFS('Timesheet Raw'!$P$4:$P$8000,'Timesheet Raw'!$L$4:$L$8000,$A350,'Timesheet Raw'!$C$4:$C$8000,D$3,'Timesheet Raw'!$A$4:$A$8000,"2-Proposals Chargeable")+SUMIFS('Timesheet Raw'!$P$4:$P$8000,'Timesheet Raw'!$L$4:$L$8000,$A350,'Timesheet Raw'!$C$4:$C$8000,D$3,'Timesheet Raw'!$A$4:$A$8000,"3-Proposals Regular"))</f>
        <v>0</v>
      </c>
      <c r="F350" s="341">
        <f>IF($A350="","",SUMIFS('Timesheet Raw'!$P$4:$P$8000,'Timesheet Raw'!$L$4:$L$8000,$A350,'Timesheet Raw'!$C$4:$C$8000,D$3,'Timesheet Raw'!$B$4:$B$8000,'Work Calendar'!$A$26)+SUMIFS('Timesheet Raw'!$P$4:$P$8000,'Timesheet Raw'!$L$4:$L$8000,$A350,'Timesheet Raw'!$C$4:$C$8000,D$3,'Timesheet Raw'!$B$4:$B$8000,'Work Calendar'!$A$27)+SUMIFS('Timesheet Raw'!$P$4:$P$8000,'Timesheet Raw'!$L$4:$L$8000,$A350,'Timesheet Raw'!$C$4:$C$8000,D$3,'Timesheet Raw'!$B$4:$B$8000,'Work Calendar'!$A$28)+SUMIFS('Timesheet Raw'!$P$4:$P$8000,'Timesheet Raw'!$L$4:$L$8000,$A350,'Timesheet Raw'!$C$4:$C$8000,D$3,'Timesheet Raw'!$B$4:$B$8000,'Work Calendar'!$A$29))</f>
        <v>0</v>
      </c>
      <c r="G350" s="341">
        <f t="shared" si="21"/>
        <v>0</v>
      </c>
      <c r="H350" s="395">
        <f>IF($A350="","",SUMIFS('Timesheet Raw'!$K$4:$K$8000,'Timesheet Raw'!$L$4:$L$8000,$A350,'Timesheet Raw'!$C$4:$C$8000,D$3))</f>
        <v>0</v>
      </c>
      <c r="I350" s="345">
        <f>IF($A350="","",SUMIFS('Timesheet Raw'!$P$4:$P$8000,'Timesheet Raw'!$L$4:$L$8000,$A350,'Timesheet Raw'!$C$4:$C$8000,D$3))</f>
        <v>0</v>
      </c>
      <c r="J350" s="375"/>
      <c r="K350" t="str">
        <f>IF($A350="","",IF(J350&lt;&gt;"",J350,IF($A350&gt;'Work Calendar'!$B$17,"No data yet",IF(AND(F350&gt;='Work Calendar'!$B$14,D350+E350+G350&gt;0),"Day off - but worked",IF(F350&gt;='Work Calendar'!$B$14,"Day off",IF(D350+E350+G350&gt;0,IF($C350="Working","Charged","Worked weekend"),IF($C350="Working","Leave (not charged)",$C350)))))))</f>
        <v>No data yet</v>
      </c>
      <c r="L350" s="341">
        <f>IF($A350="","",SUMIFS('Timesheet Raw'!$P$4:$P$8000,'Timesheet Raw'!$L$4:$L$8000,$A350,'Timesheet Raw'!$C$4:$C$8000,L$3,'Timesheet Raw'!$A$4:$A$8000,"1-Projects"))</f>
        <v>0</v>
      </c>
      <c r="M350" s="341">
        <f>IF($A350="","",SUMIFS('Timesheet Raw'!$P$4:$P$8000,'Timesheet Raw'!$L$4:$L$8000,$A350,'Timesheet Raw'!$C$4:$C$8000,L$3,'Timesheet Raw'!$A$4:$A$8000,"2-Proposals Chargeable")+SUMIFS('Timesheet Raw'!$P$4:$P$8000,'Timesheet Raw'!$L$4:$L$8000,$A350,'Timesheet Raw'!$C$4:$C$8000,L$3,'Timesheet Raw'!$A$4:$A$8000,"3-Proposals Regular"))</f>
        <v>0</v>
      </c>
      <c r="N350" s="341">
        <f>IF($A350="","",SUMIFS('Timesheet Raw'!$P$4:$P$8000,'Timesheet Raw'!$L$4:$L$8000,$A350,'Timesheet Raw'!$C$4:$C$8000,L$3,'Timesheet Raw'!$B$4:$B$8000,'Work Calendar'!$A$26)+SUMIFS('Timesheet Raw'!$P$4:$P$8000,'Timesheet Raw'!$L$4:$L$8000,$A350,'Timesheet Raw'!$C$4:$C$8000,L$3,'Timesheet Raw'!$B$4:$B$8000,'Work Calendar'!$A$27)+SUMIFS('Timesheet Raw'!$P$4:$P$8000,'Timesheet Raw'!$L$4:$L$8000,$A350,'Timesheet Raw'!$C$4:$C$8000,L$3,'Timesheet Raw'!$B$4:$B$8000,'Work Calendar'!$A$28)+SUMIFS('Timesheet Raw'!$P$4:$P$8000,'Timesheet Raw'!$L$4:$L$8000,$A350,'Timesheet Raw'!$C$4:$C$8000,L$3,'Timesheet Raw'!$B$4:$B$8000,'Work Calendar'!$A$29))</f>
        <v>0</v>
      </c>
      <c r="O350" s="341">
        <f t="shared" si="22"/>
        <v>0</v>
      </c>
      <c r="P350" s="395">
        <f>IF($A350="","",SUMIFS('Timesheet Raw'!$K$4:$K$8000,'Timesheet Raw'!$L$4:$L$8000,$A350,'Timesheet Raw'!$C$4:$C$8000,L$3))</f>
        <v>0</v>
      </c>
      <c r="Q350" s="345">
        <f>IF($A350="","",SUMIFS('Timesheet Raw'!$P$4:$P$8000,'Timesheet Raw'!$L$4:$L$8000,$A350,'Timesheet Raw'!$C$4:$C$8000,L$3))</f>
        <v>0</v>
      </c>
      <c r="R350" s="375"/>
      <c r="S350" t="str">
        <f>IF($A350="","",IF(R350&lt;&gt;"",R350,IF($A350&gt;'Work Calendar'!$B$17,"No data yet",IF(AND(N350&gt;='Work Calendar'!$B$14,L350+M350+O350&gt;0),"Day off - but worked",IF(N350&gt;='Work Calendar'!$B$14,"Day off",IF(L350+M350+O350&gt;0,IF($C350="Working","Charged","Worked weekend"),IF($C350="Working","Leave (not charged)",$C350)))))))</f>
        <v>No data yet</v>
      </c>
      <c r="T350" s="341">
        <f>IF($A350="","",SUMIFS('Timesheet Raw'!$P$4:$P$8000,'Timesheet Raw'!$L$4:$L$8000,$A350,'Timesheet Raw'!$C$4:$C$8000,T$3,'Timesheet Raw'!$A$4:$A$8000,"1-Projects"))</f>
        <v>0</v>
      </c>
      <c r="U350" s="341">
        <f>IF($A350="","",SUMIFS('Timesheet Raw'!$P$4:$P$8000,'Timesheet Raw'!$L$4:$L$8000,$A350,'Timesheet Raw'!$C$4:$C$8000,T$3,'Timesheet Raw'!$A$4:$A$8000,"2-Proposals Chargeable")+SUMIFS('Timesheet Raw'!$P$4:$P$8000,'Timesheet Raw'!$L$4:$L$8000,$A350,'Timesheet Raw'!$C$4:$C$8000,T$3,'Timesheet Raw'!$A$4:$A$8000,"3-Proposals Regular"))</f>
        <v>0</v>
      </c>
      <c r="V350" s="341">
        <f>IF($A350="","",SUMIFS('Timesheet Raw'!$P$4:$P$8000,'Timesheet Raw'!$L$4:$L$8000,$A350,'Timesheet Raw'!$C$4:$C$8000,T$3,'Timesheet Raw'!$B$4:$B$8000,'Work Calendar'!$A$26)+SUMIFS('Timesheet Raw'!$P$4:$P$8000,'Timesheet Raw'!$L$4:$L$8000,$A350,'Timesheet Raw'!$C$4:$C$8000,T$3,'Timesheet Raw'!$B$4:$B$8000,'Work Calendar'!$A$27)+SUMIFS('Timesheet Raw'!$P$4:$P$8000,'Timesheet Raw'!$L$4:$L$8000,$A350,'Timesheet Raw'!$C$4:$C$8000,T$3,'Timesheet Raw'!$B$4:$B$8000,'Work Calendar'!$A$28)+SUMIFS('Timesheet Raw'!$P$4:$P$8000,'Timesheet Raw'!$L$4:$L$8000,$A350,'Timesheet Raw'!$C$4:$C$8000,T$3,'Timesheet Raw'!$B$4:$B$8000,'Work Calendar'!$A$29))</f>
        <v>0</v>
      </c>
      <c r="W350" s="341">
        <f t="shared" si="23"/>
        <v>0</v>
      </c>
      <c r="X350" s="395">
        <f>IF($A350="","",SUMIFS('Timesheet Raw'!$K$4:$K$8000,'Timesheet Raw'!$L$4:$L$8000,$A350,'Timesheet Raw'!$C$4:$C$8000,T$3))</f>
        <v>0</v>
      </c>
      <c r="Y350" s="345">
        <f>IF($A350="","",SUMIFS('Timesheet Raw'!$P$4:$P$8000,'Timesheet Raw'!$L$4:$L$8000,$A350,'Timesheet Raw'!$C$4:$C$8000,T$3))</f>
        <v>0</v>
      </c>
      <c r="Z350" s="375"/>
      <c r="AA350" t="str">
        <f>IF($A350="","",IF(Z350&lt;&gt;"",Z350,IF($A350&gt;'Work Calendar'!$B$17,"No data yet",IF(AND(V350&gt;='Work Calendar'!$B$14,T350+U350+W350&gt;0),"Day off - but worked",IF(V350&gt;='Work Calendar'!$B$14,"Day off",IF(T350+U350+W350&gt;0,IF($C350="Working","Charged","Worked weekend"),IF($C350="Working","Leave (not charged)",$C350)))))))</f>
        <v>No data yet</v>
      </c>
    </row>
    <row r="351" spans="1:27" x14ac:dyDescent="0.3">
      <c r="A351" s="371">
        <f>IF($A350="","",IF($A350+1&gt;'Work Calendar'!$B$16,"",$A350+1))</f>
        <v>46369</v>
      </c>
      <c r="B351" t="str">
        <f t="shared" si="20"/>
        <v>Sun</v>
      </c>
      <c r="C351" t="str" cm="1">
        <f t="array" ref="C351">IF($A351="","",IF(COUNTIF('Work Calendar'!$E$6:$E$200,$A351)&gt;0,"Holiday",IF(INDEX('Work Calendar'!$C$6:$C$12,WEEKDAY($A351,1))=1,"Working","Weekend")))</f>
        <v>Working</v>
      </c>
      <c r="D351" s="341">
        <f>IF($A351="","",SUMIFS('Timesheet Raw'!$P$4:$P$8000,'Timesheet Raw'!$L$4:$L$8000,$A351,'Timesheet Raw'!$C$4:$C$8000,D$3,'Timesheet Raw'!$A$4:$A$8000,"1-Projects"))</f>
        <v>0</v>
      </c>
      <c r="E351" s="341">
        <f>IF($A351="","",SUMIFS('Timesheet Raw'!$P$4:$P$8000,'Timesheet Raw'!$L$4:$L$8000,$A351,'Timesheet Raw'!$C$4:$C$8000,D$3,'Timesheet Raw'!$A$4:$A$8000,"2-Proposals Chargeable")+SUMIFS('Timesheet Raw'!$P$4:$P$8000,'Timesheet Raw'!$L$4:$L$8000,$A351,'Timesheet Raw'!$C$4:$C$8000,D$3,'Timesheet Raw'!$A$4:$A$8000,"3-Proposals Regular"))</f>
        <v>0</v>
      </c>
      <c r="F351" s="341">
        <f>IF($A351="","",SUMIFS('Timesheet Raw'!$P$4:$P$8000,'Timesheet Raw'!$L$4:$L$8000,$A351,'Timesheet Raw'!$C$4:$C$8000,D$3,'Timesheet Raw'!$B$4:$B$8000,'Work Calendar'!$A$26)+SUMIFS('Timesheet Raw'!$P$4:$P$8000,'Timesheet Raw'!$L$4:$L$8000,$A351,'Timesheet Raw'!$C$4:$C$8000,D$3,'Timesheet Raw'!$B$4:$B$8000,'Work Calendar'!$A$27)+SUMIFS('Timesheet Raw'!$P$4:$P$8000,'Timesheet Raw'!$L$4:$L$8000,$A351,'Timesheet Raw'!$C$4:$C$8000,D$3,'Timesheet Raw'!$B$4:$B$8000,'Work Calendar'!$A$28)+SUMIFS('Timesheet Raw'!$P$4:$P$8000,'Timesheet Raw'!$L$4:$L$8000,$A351,'Timesheet Raw'!$C$4:$C$8000,D$3,'Timesheet Raw'!$B$4:$B$8000,'Work Calendar'!$A$29))</f>
        <v>0</v>
      </c>
      <c r="G351" s="341">
        <f t="shared" si="21"/>
        <v>0</v>
      </c>
      <c r="H351" s="395">
        <f>IF($A351="","",SUMIFS('Timesheet Raw'!$K$4:$K$8000,'Timesheet Raw'!$L$4:$L$8000,$A351,'Timesheet Raw'!$C$4:$C$8000,D$3))</f>
        <v>0</v>
      </c>
      <c r="I351" s="345">
        <f>IF($A351="","",SUMIFS('Timesheet Raw'!$P$4:$P$8000,'Timesheet Raw'!$L$4:$L$8000,$A351,'Timesheet Raw'!$C$4:$C$8000,D$3))</f>
        <v>0</v>
      </c>
      <c r="J351" s="375"/>
      <c r="K351" t="str">
        <f>IF($A351="","",IF(J351&lt;&gt;"",J351,IF($A351&gt;'Work Calendar'!$B$17,"No data yet",IF(AND(F351&gt;='Work Calendar'!$B$14,D351+E351+G351&gt;0),"Day off - but worked",IF(F351&gt;='Work Calendar'!$B$14,"Day off",IF(D351+E351+G351&gt;0,IF($C351="Working","Charged","Worked weekend"),IF($C351="Working","Leave (not charged)",$C351)))))))</f>
        <v>No data yet</v>
      </c>
      <c r="L351" s="341">
        <f>IF($A351="","",SUMIFS('Timesheet Raw'!$P$4:$P$8000,'Timesheet Raw'!$L$4:$L$8000,$A351,'Timesheet Raw'!$C$4:$C$8000,L$3,'Timesheet Raw'!$A$4:$A$8000,"1-Projects"))</f>
        <v>0</v>
      </c>
      <c r="M351" s="341">
        <f>IF($A351="","",SUMIFS('Timesheet Raw'!$P$4:$P$8000,'Timesheet Raw'!$L$4:$L$8000,$A351,'Timesheet Raw'!$C$4:$C$8000,L$3,'Timesheet Raw'!$A$4:$A$8000,"2-Proposals Chargeable")+SUMIFS('Timesheet Raw'!$P$4:$P$8000,'Timesheet Raw'!$L$4:$L$8000,$A351,'Timesheet Raw'!$C$4:$C$8000,L$3,'Timesheet Raw'!$A$4:$A$8000,"3-Proposals Regular"))</f>
        <v>0</v>
      </c>
      <c r="N351" s="341">
        <f>IF($A351="","",SUMIFS('Timesheet Raw'!$P$4:$P$8000,'Timesheet Raw'!$L$4:$L$8000,$A351,'Timesheet Raw'!$C$4:$C$8000,L$3,'Timesheet Raw'!$B$4:$B$8000,'Work Calendar'!$A$26)+SUMIFS('Timesheet Raw'!$P$4:$P$8000,'Timesheet Raw'!$L$4:$L$8000,$A351,'Timesheet Raw'!$C$4:$C$8000,L$3,'Timesheet Raw'!$B$4:$B$8000,'Work Calendar'!$A$27)+SUMIFS('Timesheet Raw'!$P$4:$P$8000,'Timesheet Raw'!$L$4:$L$8000,$A351,'Timesheet Raw'!$C$4:$C$8000,L$3,'Timesheet Raw'!$B$4:$B$8000,'Work Calendar'!$A$28)+SUMIFS('Timesheet Raw'!$P$4:$P$8000,'Timesheet Raw'!$L$4:$L$8000,$A351,'Timesheet Raw'!$C$4:$C$8000,L$3,'Timesheet Raw'!$B$4:$B$8000,'Work Calendar'!$A$29))</f>
        <v>0</v>
      </c>
      <c r="O351" s="341">
        <f t="shared" si="22"/>
        <v>0</v>
      </c>
      <c r="P351" s="395">
        <f>IF($A351="","",SUMIFS('Timesheet Raw'!$K$4:$K$8000,'Timesheet Raw'!$L$4:$L$8000,$A351,'Timesheet Raw'!$C$4:$C$8000,L$3))</f>
        <v>0</v>
      </c>
      <c r="Q351" s="345">
        <f>IF($A351="","",SUMIFS('Timesheet Raw'!$P$4:$P$8000,'Timesheet Raw'!$L$4:$L$8000,$A351,'Timesheet Raw'!$C$4:$C$8000,L$3))</f>
        <v>0</v>
      </c>
      <c r="R351" s="375"/>
      <c r="S351" t="str">
        <f>IF($A351="","",IF(R351&lt;&gt;"",R351,IF($A351&gt;'Work Calendar'!$B$17,"No data yet",IF(AND(N351&gt;='Work Calendar'!$B$14,L351+M351+O351&gt;0),"Day off - but worked",IF(N351&gt;='Work Calendar'!$B$14,"Day off",IF(L351+M351+O351&gt;0,IF($C351="Working","Charged","Worked weekend"),IF($C351="Working","Leave (not charged)",$C351)))))))</f>
        <v>No data yet</v>
      </c>
      <c r="T351" s="341">
        <f>IF($A351="","",SUMIFS('Timesheet Raw'!$P$4:$P$8000,'Timesheet Raw'!$L$4:$L$8000,$A351,'Timesheet Raw'!$C$4:$C$8000,T$3,'Timesheet Raw'!$A$4:$A$8000,"1-Projects"))</f>
        <v>0</v>
      </c>
      <c r="U351" s="341">
        <f>IF($A351="","",SUMIFS('Timesheet Raw'!$P$4:$P$8000,'Timesheet Raw'!$L$4:$L$8000,$A351,'Timesheet Raw'!$C$4:$C$8000,T$3,'Timesheet Raw'!$A$4:$A$8000,"2-Proposals Chargeable")+SUMIFS('Timesheet Raw'!$P$4:$P$8000,'Timesheet Raw'!$L$4:$L$8000,$A351,'Timesheet Raw'!$C$4:$C$8000,T$3,'Timesheet Raw'!$A$4:$A$8000,"3-Proposals Regular"))</f>
        <v>0</v>
      </c>
      <c r="V351" s="341">
        <f>IF($A351="","",SUMIFS('Timesheet Raw'!$P$4:$P$8000,'Timesheet Raw'!$L$4:$L$8000,$A351,'Timesheet Raw'!$C$4:$C$8000,T$3,'Timesheet Raw'!$B$4:$B$8000,'Work Calendar'!$A$26)+SUMIFS('Timesheet Raw'!$P$4:$P$8000,'Timesheet Raw'!$L$4:$L$8000,$A351,'Timesheet Raw'!$C$4:$C$8000,T$3,'Timesheet Raw'!$B$4:$B$8000,'Work Calendar'!$A$27)+SUMIFS('Timesheet Raw'!$P$4:$P$8000,'Timesheet Raw'!$L$4:$L$8000,$A351,'Timesheet Raw'!$C$4:$C$8000,T$3,'Timesheet Raw'!$B$4:$B$8000,'Work Calendar'!$A$28)+SUMIFS('Timesheet Raw'!$P$4:$P$8000,'Timesheet Raw'!$L$4:$L$8000,$A351,'Timesheet Raw'!$C$4:$C$8000,T$3,'Timesheet Raw'!$B$4:$B$8000,'Work Calendar'!$A$29))</f>
        <v>0</v>
      </c>
      <c r="W351" s="341">
        <f t="shared" si="23"/>
        <v>0</v>
      </c>
      <c r="X351" s="395">
        <f>IF($A351="","",SUMIFS('Timesheet Raw'!$K$4:$K$8000,'Timesheet Raw'!$L$4:$L$8000,$A351,'Timesheet Raw'!$C$4:$C$8000,T$3))</f>
        <v>0</v>
      </c>
      <c r="Y351" s="345">
        <f>IF($A351="","",SUMIFS('Timesheet Raw'!$P$4:$P$8000,'Timesheet Raw'!$L$4:$L$8000,$A351,'Timesheet Raw'!$C$4:$C$8000,T$3))</f>
        <v>0</v>
      </c>
      <c r="Z351" s="375"/>
      <c r="AA351" t="str">
        <f>IF($A351="","",IF(Z351&lt;&gt;"",Z351,IF($A351&gt;'Work Calendar'!$B$17,"No data yet",IF(AND(V351&gt;='Work Calendar'!$B$14,T351+U351+W351&gt;0),"Day off - but worked",IF(V351&gt;='Work Calendar'!$B$14,"Day off",IF(T351+U351+W351&gt;0,IF($C351="Working","Charged","Worked weekend"),IF($C351="Working","Leave (not charged)",$C351)))))))</f>
        <v>No data yet</v>
      </c>
    </row>
    <row r="352" spans="1:27" x14ac:dyDescent="0.3">
      <c r="A352" s="371">
        <f>IF($A351="","",IF($A351+1&gt;'Work Calendar'!$B$16,"",$A351+1))</f>
        <v>46370</v>
      </c>
      <c r="B352" t="str">
        <f t="shared" si="20"/>
        <v>Mon</v>
      </c>
      <c r="C352" t="str" cm="1">
        <f t="array" ref="C352">IF($A352="","",IF(COUNTIF('Work Calendar'!$E$6:$E$200,$A352)&gt;0,"Holiday",IF(INDEX('Work Calendar'!$C$6:$C$12,WEEKDAY($A352,1))=1,"Working","Weekend")))</f>
        <v>Working</v>
      </c>
      <c r="D352" s="341">
        <f>IF($A352="","",SUMIFS('Timesheet Raw'!$P$4:$P$8000,'Timesheet Raw'!$L$4:$L$8000,$A352,'Timesheet Raw'!$C$4:$C$8000,D$3,'Timesheet Raw'!$A$4:$A$8000,"1-Projects"))</f>
        <v>0</v>
      </c>
      <c r="E352" s="341">
        <f>IF($A352="","",SUMIFS('Timesheet Raw'!$P$4:$P$8000,'Timesheet Raw'!$L$4:$L$8000,$A352,'Timesheet Raw'!$C$4:$C$8000,D$3,'Timesheet Raw'!$A$4:$A$8000,"2-Proposals Chargeable")+SUMIFS('Timesheet Raw'!$P$4:$P$8000,'Timesheet Raw'!$L$4:$L$8000,$A352,'Timesheet Raw'!$C$4:$C$8000,D$3,'Timesheet Raw'!$A$4:$A$8000,"3-Proposals Regular"))</f>
        <v>0</v>
      </c>
      <c r="F352" s="341">
        <f>IF($A352="","",SUMIFS('Timesheet Raw'!$P$4:$P$8000,'Timesheet Raw'!$L$4:$L$8000,$A352,'Timesheet Raw'!$C$4:$C$8000,D$3,'Timesheet Raw'!$B$4:$B$8000,'Work Calendar'!$A$26)+SUMIFS('Timesheet Raw'!$P$4:$P$8000,'Timesheet Raw'!$L$4:$L$8000,$A352,'Timesheet Raw'!$C$4:$C$8000,D$3,'Timesheet Raw'!$B$4:$B$8000,'Work Calendar'!$A$27)+SUMIFS('Timesheet Raw'!$P$4:$P$8000,'Timesheet Raw'!$L$4:$L$8000,$A352,'Timesheet Raw'!$C$4:$C$8000,D$3,'Timesheet Raw'!$B$4:$B$8000,'Work Calendar'!$A$28)+SUMIFS('Timesheet Raw'!$P$4:$P$8000,'Timesheet Raw'!$L$4:$L$8000,$A352,'Timesheet Raw'!$C$4:$C$8000,D$3,'Timesheet Raw'!$B$4:$B$8000,'Work Calendar'!$A$29))</f>
        <v>0</v>
      </c>
      <c r="G352" s="341">
        <f t="shared" si="21"/>
        <v>0</v>
      </c>
      <c r="H352" s="395">
        <f>IF($A352="","",SUMIFS('Timesheet Raw'!$K$4:$K$8000,'Timesheet Raw'!$L$4:$L$8000,$A352,'Timesheet Raw'!$C$4:$C$8000,D$3))</f>
        <v>0</v>
      </c>
      <c r="I352" s="345">
        <f>IF($A352="","",SUMIFS('Timesheet Raw'!$P$4:$P$8000,'Timesheet Raw'!$L$4:$L$8000,$A352,'Timesheet Raw'!$C$4:$C$8000,D$3))</f>
        <v>0</v>
      </c>
      <c r="J352" s="375"/>
      <c r="K352" t="str">
        <f>IF($A352="","",IF(J352&lt;&gt;"",J352,IF($A352&gt;'Work Calendar'!$B$17,"No data yet",IF(AND(F352&gt;='Work Calendar'!$B$14,D352+E352+G352&gt;0),"Day off - but worked",IF(F352&gt;='Work Calendar'!$B$14,"Day off",IF(D352+E352+G352&gt;0,IF($C352="Working","Charged","Worked weekend"),IF($C352="Working","Leave (not charged)",$C352)))))))</f>
        <v>No data yet</v>
      </c>
      <c r="L352" s="341">
        <f>IF($A352="","",SUMIFS('Timesheet Raw'!$P$4:$P$8000,'Timesheet Raw'!$L$4:$L$8000,$A352,'Timesheet Raw'!$C$4:$C$8000,L$3,'Timesheet Raw'!$A$4:$A$8000,"1-Projects"))</f>
        <v>0</v>
      </c>
      <c r="M352" s="341">
        <f>IF($A352="","",SUMIFS('Timesheet Raw'!$P$4:$P$8000,'Timesheet Raw'!$L$4:$L$8000,$A352,'Timesheet Raw'!$C$4:$C$8000,L$3,'Timesheet Raw'!$A$4:$A$8000,"2-Proposals Chargeable")+SUMIFS('Timesheet Raw'!$P$4:$P$8000,'Timesheet Raw'!$L$4:$L$8000,$A352,'Timesheet Raw'!$C$4:$C$8000,L$3,'Timesheet Raw'!$A$4:$A$8000,"3-Proposals Regular"))</f>
        <v>0</v>
      </c>
      <c r="N352" s="341">
        <f>IF($A352="","",SUMIFS('Timesheet Raw'!$P$4:$P$8000,'Timesheet Raw'!$L$4:$L$8000,$A352,'Timesheet Raw'!$C$4:$C$8000,L$3,'Timesheet Raw'!$B$4:$B$8000,'Work Calendar'!$A$26)+SUMIFS('Timesheet Raw'!$P$4:$P$8000,'Timesheet Raw'!$L$4:$L$8000,$A352,'Timesheet Raw'!$C$4:$C$8000,L$3,'Timesheet Raw'!$B$4:$B$8000,'Work Calendar'!$A$27)+SUMIFS('Timesheet Raw'!$P$4:$P$8000,'Timesheet Raw'!$L$4:$L$8000,$A352,'Timesheet Raw'!$C$4:$C$8000,L$3,'Timesheet Raw'!$B$4:$B$8000,'Work Calendar'!$A$28)+SUMIFS('Timesheet Raw'!$P$4:$P$8000,'Timesheet Raw'!$L$4:$L$8000,$A352,'Timesheet Raw'!$C$4:$C$8000,L$3,'Timesheet Raw'!$B$4:$B$8000,'Work Calendar'!$A$29))</f>
        <v>0</v>
      </c>
      <c r="O352" s="341">
        <f t="shared" si="22"/>
        <v>0</v>
      </c>
      <c r="P352" s="395">
        <f>IF($A352="","",SUMIFS('Timesheet Raw'!$K$4:$K$8000,'Timesheet Raw'!$L$4:$L$8000,$A352,'Timesheet Raw'!$C$4:$C$8000,L$3))</f>
        <v>0</v>
      </c>
      <c r="Q352" s="345">
        <f>IF($A352="","",SUMIFS('Timesheet Raw'!$P$4:$P$8000,'Timesheet Raw'!$L$4:$L$8000,$A352,'Timesheet Raw'!$C$4:$C$8000,L$3))</f>
        <v>0</v>
      </c>
      <c r="R352" s="375"/>
      <c r="S352" t="str">
        <f>IF($A352="","",IF(R352&lt;&gt;"",R352,IF($A352&gt;'Work Calendar'!$B$17,"No data yet",IF(AND(N352&gt;='Work Calendar'!$B$14,L352+M352+O352&gt;0),"Day off - but worked",IF(N352&gt;='Work Calendar'!$B$14,"Day off",IF(L352+M352+O352&gt;0,IF($C352="Working","Charged","Worked weekend"),IF($C352="Working","Leave (not charged)",$C352)))))))</f>
        <v>No data yet</v>
      </c>
      <c r="T352" s="341">
        <f>IF($A352="","",SUMIFS('Timesheet Raw'!$P$4:$P$8000,'Timesheet Raw'!$L$4:$L$8000,$A352,'Timesheet Raw'!$C$4:$C$8000,T$3,'Timesheet Raw'!$A$4:$A$8000,"1-Projects"))</f>
        <v>0</v>
      </c>
      <c r="U352" s="341">
        <f>IF($A352="","",SUMIFS('Timesheet Raw'!$P$4:$P$8000,'Timesheet Raw'!$L$4:$L$8000,$A352,'Timesheet Raw'!$C$4:$C$8000,T$3,'Timesheet Raw'!$A$4:$A$8000,"2-Proposals Chargeable")+SUMIFS('Timesheet Raw'!$P$4:$P$8000,'Timesheet Raw'!$L$4:$L$8000,$A352,'Timesheet Raw'!$C$4:$C$8000,T$3,'Timesheet Raw'!$A$4:$A$8000,"3-Proposals Regular"))</f>
        <v>0</v>
      </c>
      <c r="V352" s="341">
        <f>IF($A352="","",SUMIFS('Timesheet Raw'!$P$4:$P$8000,'Timesheet Raw'!$L$4:$L$8000,$A352,'Timesheet Raw'!$C$4:$C$8000,T$3,'Timesheet Raw'!$B$4:$B$8000,'Work Calendar'!$A$26)+SUMIFS('Timesheet Raw'!$P$4:$P$8000,'Timesheet Raw'!$L$4:$L$8000,$A352,'Timesheet Raw'!$C$4:$C$8000,T$3,'Timesheet Raw'!$B$4:$B$8000,'Work Calendar'!$A$27)+SUMIFS('Timesheet Raw'!$P$4:$P$8000,'Timesheet Raw'!$L$4:$L$8000,$A352,'Timesheet Raw'!$C$4:$C$8000,T$3,'Timesheet Raw'!$B$4:$B$8000,'Work Calendar'!$A$28)+SUMIFS('Timesheet Raw'!$P$4:$P$8000,'Timesheet Raw'!$L$4:$L$8000,$A352,'Timesheet Raw'!$C$4:$C$8000,T$3,'Timesheet Raw'!$B$4:$B$8000,'Work Calendar'!$A$29))</f>
        <v>0</v>
      </c>
      <c r="W352" s="341">
        <f t="shared" si="23"/>
        <v>0</v>
      </c>
      <c r="X352" s="395">
        <f>IF($A352="","",SUMIFS('Timesheet Raw'!$K$4:$K$8000,'Timesheet Raw'!$L$4:$L$8000,$A352,'Timesheet Raw'!$C$4:$C$8000,T$3))</f>
        <v>0</v>
      </c>
      <c r="Y352" s="345">
        <f>IF($A352="","",SUMIFS('Timesheet Raw'!$P$4:$P$8000,'Timesheet Raw'!$L$4:$L$8000,$A352,'Timesheet Raw'!$C$4:$C$8000,T$3))</f>
        <v>0</v>
      </c>
      <c r="Z352" s="375"/>
      <c r="AA352" t="str">
        <f>IF($A352="","",IF(Z352&lt;&gt;"",Z352,IF($A352&gt;'Work Calendar'!$B$17,"No data yet",IF(AND(V352&gt;='Work Calendar'!$B$14,T352+U352+W352&gt;0),"Day off - but worked",IF(V352&gt;='Work Calendar'!$B$14,"Day off",IF(T352+U352+W352&gt;0,IF($C352="Working","Charged","Worked weekend"),IF($C352="Working","Leave (not charged)",$C352)))))))</f>
        <v>No data yet</v>
      </c>
    </row>
    <row r="353" spans="1:27" x14ac:dyDescent="0.3">
      <c r="A353" s="371">
        <f>IF($A352="","",IF($A352+1&gt;'Work Calendar'!$B$16,"",$A352+1))</f>
        <v>46371</v>
      </c>
      <c r="B353" t="str">
        <f t="shared" si="20"/>
        <v>Tue</v>
      </c>
      <c r="C353" t="str" cm="1">
        <f t="array" ref="C353">IF($A353="","",IF(COUNTIF('Work Calendar'!$E$6:$E$200,$A353)&gt;0,"Holiday",IF(INDEX('Work Calendar'!$C$6:$C$12,WEEKDAY($A353,1))=1,"Working","Weekend")))</f>
        <v>Working</v>
      </c>
      <c r="D353" s="341">
        <f>IF($A353="","",SUMIFS('Timesheet Raw'!$P$4:$P$8000,'Timesheet Raw'!$L$4:$L$8000,$A353,'Timesheet Raw'!$C$4:$C$8000,D$3,'Timesheet Raw'!$A$4:$A$8000,"1-Projects"))</f>
        <v>0</v>
      </c>
      <c r="E353" s="341">
        <f>IF($A353="","",SUMIFS('Timesheet Raw'!$P$4:$P$8000,'Timesheet Raw'!$L$4:$L$8000,$A353,'Timesheet Raw'!$C$4:$C$8000,D$3,'Timesheet Raw'!$A$4:$A$8000,"2-Proposals Chargeable")+SUMIFS('Timesheet Raw'!$P$4:$P$8000,'Timesheet Raw'!$L$4:$L$8000,$A353,'Timesheet Raw'!$C$4:$C$8000,D$3,'Timesheet Raw'!$A$4:$A$8000,"3-Proposals Regular"))</f>
        <v>0</v>
      </c>
      <c r="F353" s="341">
        <f>IF($A353="","",SUMIFS('Timesheet Raw'!$P$4:$P$8000,'Timesheet Raw'!$L$4:$L$8000,$A353,'Timesheet Raw'!$C$4:$C$8000,D$3,'Timesheet Raw'!$B$4:$B$8000,'Work Calendar'!$A$26)+SUMIFS('Timesheet Raw'!$P$4:$P$8000,'Timesheet Raw'!$L$4:$L$8000,$A353,'Timesheet Raw'!$C$4:$C$8000,D$3,'Timesheet Raw'!$B$4:$B$8000,'Work Calendar'!$A$27)+SUMIFS('Timesheet Raw'!$P$4:$P$8000,'Timesheet Raw'!$L$4:$L$8000,$A353,'Timesheet Raw'!$C$4:$C$8000,D$3,'Timesheet Raw'!$B$4:$B$8000,'Work Calendar'!$A$28)+SUMIFS('Timesheet Raw'!$P$4:$P$8000,'Timesheet Raw'!$L$4:$L$8000,$A353,'Timesheet Raw'!$C$4:$C$8000,D$3,'Timesheet Raw'!$B$4:$B$8000,'Work Calendar'!$A$29))</f>
        <v>0</v>
      </c>
      <c r="G353" s="341">
        <f t="shared" si="21"/>
        <v>0</v>
      </c>
      <c r="H353" s="395">
        <f>IF($A353="","",SUMIFS('Timesheet Raw'!$K$4:$K$8000,'Timesheet Raw'!$L$4:$L$8000,$A353,'Timesheet Raw'!$C$4:$C$8000,D$3))</f>
        <v>0</v>
      </c>
      <c r="I353" s="345">
        <f>IF($A353="","",SUMIFS('Timesheet Raw'!$P$4:$P$8000,'Timesheet Raw'!$L$4:$L$8000,$A353,'Timesheet Raw'!$C$4:$C$8000,D$3))</f>
        <v>0</v>
      </c>
      <c r="J353" s="375"/>
      <c r="K353" t="str">
        <f>IF($A353="","",IF(J353&lt;&gt;"",J353,IF($A353&gt;'Work Calendar'!$B$17,"No data yet",IF(AND(F353&gt;='Work Calendar'!$B$14,D353+E353+G353&gt;0),"Day off - but worked",IF(F353&gt;='Work Calendar'!$B$14,"Day off",IF(D353+E353+G353&gt;0,IF($C353="Working","Charged","Worked weekend"),IF($C353="Working","Leave (not charged)",$C353)))))))</f>
        <v>No data yet</v>
      </c>
      <c r="L353" s="341">
        <f>IF($A353="","",SUMIFS('Timesheet Raw'!$P$4:$P$8000,'Timesheet Raw'!$L$4:$L$8000,$A353,'Timesheet Raw'!$C$4:$C$8000,L$3,'Timesheet Raw'!$A$4:$A$8000,"1-Projects"))</f>
        <v>0</v>
      </c>
      <c r="M353" s="341">
        <f>IF($A353="","",SUMIFS('Timesheet Raw'!$P$4:$P$8000,'Timesheet Raw'!$L$4:$L$8000,$A353,'Timesheet Raw'!$C$4:$C$8000,L$3,'Timesheet Raw'!$A$4:$A$8000,"2-Proposals Chargeable")+SUMIFS('Timesheet Raw'!$P$4:$P$8000,'Timesheet Raw'!$L$4:$L$8000,$A353,'Timesheet Raw'!$C$4:$C$8000,L$3,'Timesheet Raw'!$A$4:$A$8000,"3-Proposals Regular"))</f>
        <v>0</v>
      </c>
      <c r="N353" s="341">
        <f>IF($A353="","",SUMIFS('Timesheet Raw'!$P$4:$P$8000,'Timesheet Raw'!$L$4:$L$8000,$A353,'Timesheet Raw'!$C$4:$C$8000,L$3,'Timesheet Raw'!$B$4:$B$8000,'Work Calendar'!$A$26)+SUMIFS('Timesheet Raw'!$P$4:$P$8000,'Timesheet Raw'!$L$4:$L$8000,$A353,'Timesheet Raw'!$C$4:$C$8000,L$3,'Timesheet Raw'!$B$4:$B$8000,'Work Calendar'!$A$27)+SUMIFS('Timesheet Raw'!$P$4:$P$8000,'Timesheet Raw'!$L$4:$L$8000,$A353,'Timesheet Raw'!$C$4:$C$8000,L$3,'Timesheet Raw'!$B$4:$B$8000,'Work Calendar'!$A$28)+SUMIFS('Timesheet Raw'!$P$4:$P$8000,'Timesheet Raw'!$L$4:$L$8000,$A353,'Timesheet Raw'!$C$4:$C$8000,L$3,'Timesheet Raw'!$B$4:$B$8000,'Work Calendar'!$A$29))</f>
        <v>0</v>
      </c>
      <c r="O353" s="341">
        <f t="shared" si="22"/>
        <v>0</v>
      </c>
      <c r="P353" s="395">
        <f>IF($A353="","",SUMIFS('Timesheet Raw'!$K$4:$K$8000,'Timesheet Raw'!$L$4:$L$8000,$A353,'Timesheet Raw'!$C$4:$C$8000,L$3))</f>
        <v>0</v>
      </c>
      <c r="Q353" s="345">
        <f>IF($A353="","",SUMIFS('Timesheet Raw'!$P$4:$P$8000,'Timesheet Raw'!$L$4:$L$8000,$A353,'Timesheet Raw'!$C$4:$C$8000,L$3))</f>
        <v>0</v>
      </c>
      <c r="R353" s="375"/>
      <c r="S353" t="str">
        <f>IF($A353="","",IF(R353&lt;&gt;"",R353,IF($A353&gt;'Work Calendar'!$B$17,"No data yet",IF(AND(N353&gt;='Work Calendar'!$B$14,L353+M353+O353&gt;0),"Day off - but worked",IF(N353&gt;='Work Calendar'!$B$14,"Day off",IF(L353+M353+O353&gt;0,IF($C353="Working","Charged","Worked weekend"),IF($C353="Working","Leave (not charged)",$C353)))))))</f>
        <v>No data yet</v>
      </c>
      <c r="T353" s="341">
        <f>IF($A353="","",SUMIFS('Timesheet Raw'!$P$4:$P$8000,'Timesheet Raw'!$L$4:$L$8000,$A353,'Timesheet Raw'!$C$4:$C$8000,T$3,'Timesheet Raw'!$A$4:$A$8000,"1-Projects"))</f>
        <v>0</v>
      </c>
      <c r="U353" s="341">
        <f>IF($A353="","",SUMIFS('Timesheet Raw'!$P$4:$P$8000,'Timesheet Raw'!$L$4:$L$8000,$A353,'Timesheet Raw'!$C$4:$C$8000,T$3,'Timesheet Raw'!$A$4:$A$8000,"2-Proposals Chargeable")+SUMIFS('Timesheet Raw'!$P$4:$P$8000,'Timesheet Raw'!$L$4:$L$8000,$A353,'Timesheet Raw'!$C$4:$C$8000,T$3,'Timesheet Raw'!$A$4:$A$8000,"3-Proposals Regular"))</f>
        <v>0</v>
      </c>
      <c r="V353" s="341">
        <f>IF($A353="","",SUMIFS('Timesheet Raw'!$P$4:$P$8000,'Timesheet Raw'!$L$4:$L$8000,$A353,'Timesheet Raw'!$C$4:$C$8000,T$3,'Timesheet Raw'!$B$4:$B$8000,'Work Calendar'!$A$26)+SUMIFS('Timesheet Raw'!$P$4:$P$8000,'Timesheet Raw'!$L$4:$L$8000,$A353,'Timesheet Raw'!$C$4:$C$8000,T$3,'Timesheet Raw'!$B$4:$B$8000,'Work Calendar'!$A$27)+SUMIFS('Timesheet Raw'!$P$4:$P$8000,'Timesheet Raw'!$L$4:$L$8000,$A353,'Timesheet Raw'!$C$4:$C$8000,T$3,'Timesheet Raw'!$B$4:$B$8000,'Work Calendar'!$A$28)+SUMIFS('Timesheet Raw'!$P$4:$P$8000,'Timesheet Raw'!$L$4:$L$8000,$A353,'Timesheet Raw'!$C$4:$C$8000,T$3,'Timesheet Raw'!$B$4:$B$8000,'Work Calendar'!$A$29))</f>
        <v>0</v>
      </c>
      <c r="W353" s="341">
        <f t="shared" si="23"/>
        <v>0</v>
      </c>
      <c r="X353" s="395">
        <f>IF($A353="","",SUMIFS('Timesheet Raw'!$K$4:$K$8000,'Timesheet Raw'!$L$4:$L$8000,$A353,'Timesheet Raw'!$C$4:$C$8000,T$3))</f>
        <v>0</v>
      </c>
      <c r="Y353" s="345">
        <f>IF($A353="","",SUMIFS('Timesheet Raw'!$P$4:$P$8000,'Timesheet Raw'!$L$4:$L$8000,$A353,'Timesheet Raw'!$C$4:$C$8000,T$3))</f>
        <v>0</v>
      </c>
      <c r="Z353" s="375"/>
      <c r="AA353" t="str">
        <f>IF($A353="","",IF(Z353&lt;&gt;"",Z353,IF($A353&gt;'Work Calendar'!$B$17,"No data yet",IF(AND(V353&gt;='Work Calendar'!$B$14,T353+U353+W353&gt;0),"Day off - but worked",IF(V353&gt;='Work Calendar'!$B$14,"Day off",IF(T353+U353+W353&gt;0,IF($C353="Working","Charged","Worked weekend"),IF($C353="Working","Leave (not charged)",$C353)))))))</f>
        <v>No data yet</v>
      </c>
    </row>
    <row r="354" spans="1:27" x14ac:dyDescent="0.3">
      <c r="A354" s="371">
        <f>IF($A353="","",IF($A353+1&gt;'Work Calendar'!$B$16,"",$A353+1))</f>
        <v>46372</v>
      </c>
      <c r="B354" t="str">
        <f t="shared" si="20"/>
        <v>Wed</v>
      </c>
      <c r="C354" t="str" cm="1">
        <f t="array" ref="C354">IF($A354="","",IF(COUNTIF('Work Calendar'!$E$6:$E$200,$A354)&gt;0,"Holiday",IF(INDEX('Work Calendar'!$C$6:$C$12,WEEKDAY($A354,1))=1,"Working","Weekend")))</f>
        <v>Working</v>
      </c>
      <c r="D354" s="341">
        <f>IF($A354="","",SUMIFS('Timesheet Raw'!$P$4:$P$8000,'Timesheet Raw'!$L$4:$L$8000,$A354,'Timesheet Raw'!$C$4:$C$8000,D$3,'Timesheet Raw'!$A$4:$A$8000,"1-Projects"))</f>
        <v>0</v>
      </c>
      <c r="E354" s="341">
        <f>IF($A354="","",SUMIFS('Timesheet Raw'!$P$4:$P$8000,'Timesheet Raw'!$L$4:$L$8000,$A354,'Timesheet Raw'!$C$4:$C$8000,D$3,'Timesheet Raw'!$A$4:$A$8000,"2-Proposals Chargeable")+SUMIFS('Timesheet Raw'!$P$4:$P$8000,'Timesheet Raw'!$L$4:$L$8000,$A354,'Timesheet Raw'!$C$4:$C$8000,D$3,'Timesheet Raw'!$A$4:$A$8000,"3-Proposals Regular"))</f>
        <v>0</v>
      </c>
      <c r="F354" s="341">
        <f>IF($A354="","",SUMIFS('Timesheet Raw'!$P$4:$P$8000,'Timesheet Raw'!$L$4:$L$8000,$A354,'Timesheet Raw'!$C$4:$C$8000,D$3,'Timesheet Raw'!$B$4:$B$8000,'Work Calendar'!$A$26)+SUMIFS('Timesheet Raw'!$P$4:$P$8000,'Timesheet Raw'!$L$4:$L$8000,$A354,'Timesheet Raw'!$C$4:$C$8000,D$3,'Timesheet Raw'!$B$4:$B$8000,'Work Calendar'!$A$27)+SUMIFS('Timesheet Raw'!$P$4:$P$8000,'Timesheet Raw'!$L$4:$L$8000,$A354,'Timesheet Raw'!$C$4:$C$8000,D$3,'Timesheet Raw'!$B$4:$B$8000,'Work Calendar'!$A$28)+SUMIFS('Timesheet Raw'!$P$4:$P$8000,'Timesheet Raw'!$L$4:$L$8000,$A354,'Timesheet Raw'!$C$4:$C$8000,D$3,'Timesheet Raw'!$B$4:$B$8000,'Work Calendar'!$A$29))</f>
        <v>0</v>
      </c>
      <c r="G354" s="341">
        <f t="shared" si="21"/>
        <v>0</v>
      </c>
      <c r="H354" s="395">
        <f>IF($A354="","",SUMIFS('Timesheet Raw'!$K$4:$K$8000,'Timesheet Raw'!$L$4:$L$8000,$A354,'Timesheet Raw'!$C$4:$C$8000,D$3))</f>
        <v>0</v>
      </c>
      <c r="I354" s="345">
        <f>IF($A354="","",SUMIFS('Timesheet Raw'!$P$4:$P$8000,'Timesheet Raw'!$L$4:$L$8000,$A354,'Timesheet Raw'!$C$4:$C$8000,D$3))</f>
        <v>0</v>
      </c>
      <c r="J354" s="375"/>
      <c r="K354" t="str">
        <f>IF($A354="","",IF(J354&lt;&gt;"",J354,IF($A354&gt;'Work Calendar'!$B$17,"No data yet",IF(AND(F354&gt;='Work Calendar'!$B$14,D354+E354+G354&gt;0),"Day off - but worked",IF(F354&gt;='Work Calendar'!$B$14,"Day off",IF(D354+E354+G354&gt;0,IF($C354="Working","Charged","Worked weekend"),IF($C354="Working","Leave (not charged)",$C354)))))))</f>
        <v>No data yet</v>
      </c>
      <c r="L354" s="341">
        <f>IF($A354="","",SUMIFS('Timesheet Raw'!$P$4:$P$8000,'Timesheet Raw'!$L$4:$L$8000,$A354,'Timesheet Raw'!$C$4:$C$8000,L$3,'Timesheet Raw'!$A$4:$A$8000,"1-Projects"))</f>
        <v>0</v>
      </c>
      <c r="M354" s="341">
        <f>IF($A354="","",SUMIFS('Timesheet Raw'!$P$4:$P$8000,'Timesheet Raw'!$L$4:$L$8000,$A354,'Timesheet Raw'!$C$4:$C$8000,L$3,'Timesheet Raw'!$A$4:$A$8000,"2-Proposals Chargeable")+SUMIFS('Timesheet Raw'!$P$4:$P$8000,'Timesheet Raw'!$L$4:$L$8000,$A354,'Timesheet Raw'!$C$4:$C$8000,L$3,'Timesheet Raw'!$A$4:$A$8000,"3-Proposals Regular"))</f>
        <v>0</v>
      </c>
      <c r="N354" s="341">
        <f>IF($A354="","",SUMIFS('Timesheet Raw'!$P$4:$P$8000,'Timesheet Raw'!$L$4:$L$8000,$A354,'Timesheet Raw'!$C$4:$C$8000,L$3,'Timesheet Raw'!$B$4:$B$8000,'Work Calendar'!$A$26)+SUMIFS('Timesheet Raw'!$P$4:$P$8000,'Timesheet Raw'!$L$4:$L$8000,$A354,'Timesheet Raw'!$C$4:$C$8000,L$3,'Timesheet Raw'!$B$4:$B$8000,'Work Calendar'!$A$27)+SUMIFS('Timesheet Raw'!$P$4:$P$8000,'Timesheet Raw'!$L$4:$L$8000,$A354,'Timesheet Raw'!$C$4:$C$8000,L$3,'Timesheet Raw'!$B$4:$B$8000,'Work Calendar'!$A$28)+SUMIFS('Timesheet Raw'!$P$4:$P$8000,'Timesheet Raw'!$L$4:$L$8000,$A354,'Timesheet Raw'!$C$4:$C$8000,L$3,'Timesheet Raw'!$B$4:$B$8000,'Work Calendar'!$A$29))</f>
        <v>0</v>
      </c>
      <c r="O354" s="341">
        <f t="shared" si="22"/>
        <v>0</v>
      </c>
      <c r="P354" s="395">
        <f>IF($A354="","",SUMIFS('Timesheet Raw'!$K$4:$K$8000,'Timesheet Raw'!$L$4:$L$8000,$A354,'Timesheet Raw'!$C$4:$C$8000,L$3))</f>
        <v>0</v>
      </c>
      <c r="Q354" s="345">
        <f>IF($A354="","",SUMIFS('Timesheet Raw'!$P$4:$P$8000,'Timesheet Raw'!$L$4:$L$8000,$A354,'Timesheet Raw'!$C$4:$C$8000,L$3))</f>
        <v>0</v>
      </c>
      <c r="R354" s="375"/>
      <c r="S354" t="str">
        <f>IF($A354="","",IF(R354&lt;&gt;"",R354,IF($A354&gt;'Work Calendar'!$B$17,"No data yet",IF(AND(N354&gt;='Work Calendar'!$B$14,L354+M354+O354&gt;0),"Day off - but worked",IF(N354&gt;='Work Calendar'!$B$14,"Day off",IF(L354+M354+O354&gt;0,IF($C354="Working","Charged","Worked weekend"),IF($C354="Working","Leave (not charged)",$C354)))))))</f>
        <v>No data yet</v>
      </c>
      <c r="T354" s="341">
        <f>IF($A354="","",SUMIFS('Timesheet Raw'!$P$4:$P$8000,'Timesheet Raw'!$L$4:$L$8000,$A354,'Timesheet Raw'!$C$4:$C$8000,T$3,'Timesheet Raw'!$A$4:$A$8000,"1-Projects"))</f>
        <v>0</v>
      </c>
      <c r="U354" s="341">
        <f>IF($A354="","",SUMIFS('Timesheet Raw'!$P$4:$P$8000,'Timesheet Raw'!$L$4:$L$8000,$A354,'Timesheet Raw'!$C$4:$C$8000,T$3,'Timesheet Raw'!$A$4:$A$8000,"2-Proposals Chargeable")+SUMIFS('Timesheet Raw'!$P$4:$P$8000,'Timesheet Raw'!$L$4:$L$8000,$A354,'Timesheet Raw'!$C$4:$C$8000,T$3,'Timesheet Raw'!$A$4:$A$8000,"3-Proposals Regular"))</f>
        <v>0</v>
      </c>
      <c r="V354" s="341">
        <f>IF($A354="","",SUMIFS('Timesheet Raw'!$P$4:$P$8000,'Timesheet Raw'!$L$4:$L$8000,$A354,'Timesheet Raw'!$C$4:$C$8000,T$3,'Timesheet Raw'!$B$4:$B$8000,'Work Calendar'!$A$26)+SUMIFS('Timesheet Raw'!$P$4:$P$8000,'Timesheet Raw'!$L$4:$L$8000,$A354,'Timesheet Raw'!$C$4:$C$8000,T$3,'Timesheet Raw'!$B$4:$B$8000,'Work Calendar'!$A$27)+SUMIFS('Timesheet Raw'!$P$4:$P$8000,'Timesheet Raw'!$L$4:$L$8000,$A354,'Timesheet Raw'!$C$4:$C$8000,T$3,'Timesheet Raw'!$B$4:$B$8000,'Work Calendar'!$A$28)+SUMIFS('Timesheet Raw'!$P$4:$P$8000,'Timesheet Raw'!$L$4:$L$8000,$A354,'Timesheet Raw'!$C$4:$C$8000,T$3,'Timesheet Raw'!$B$4:$B$8000,'Work Calendar'!$A$29))</f>
        <v>0</v>
      </c>
      <c r="W354" s="341">
        <f t="shared" si="23"/>
        <v>0</v>
      </c>
      <c r="X354" s="395">
        <f>IF($A354="","",SUMIFS('Timesheet Raw'!$K$4:$K$8000,'Timesheet Raw'!$L$4:$L$8000,$A354,'Timesheet Raw'!$C$4:$C$8000,T$3))</f>
        <v>0</v>
      </c>
      <c r="Y354" s="345">
        <f>IF($A354="","",SUMIFS('Timesheet Raw'!$P$4:$P$8000,'Timesheet Raw'!$L$4:$L$8000,$A354,'Timesheet Raw'!$C$4:$C$8000,T$3))</f>
        <v>0</v>
      </c>
      <c r="Z354" s="375"/>
      <c r="AA354" t="str">
        <f>IF($A354="","",IF(Z354&lt;&gt;"",Z354,IF($A354&gt;'Work Calendar'!$B$17,"No data yet",IF(AND(V354&gt;='Work Calendar'!$B$14,T354+U354+W354&gt;0),"Day off - but worked",IF(V354&gt;='Work Calendar'!$B$14,"Day off",IF(T354+U354+W354&gt;0,IF($C354="Working","Charged","Worked weekend"),IF($C354="Working","Leave (not charged)",$C354)))))))</f>
        <v>No data yet</v>
      </c>
    </row>
    <row r="355" spans="1:27" x14ac:dyDescent="0.3">
      <c r="A355" s="371">
        <f>IF($A354="","",IF($A354+1&gt;'Work Calendar'!$B$16,"",$A354+1))</f>
        <v>46373</v>
      </c>
      <c r="B355" t="str">
        <f t="shared" si="20"/>
        <v>Thu</v>
      </c>
      <c r="C355" t="str" cm="1">
        <f t="array" ref="C355">IF($A355="","",IF(COUNTIF('Work Calendar'!$E$6:$E$200,$A355)&gt;0,"Holiday",IF(INDEX('Work Calendar'!$C$6:$C$12,WEEKDAY($A355,1))=1,"Working","Weekend")))</f>
        <v>Working</v>
      </c>
      <c r="D355" s="341">
        <f>IF($A355="","",SUMIFS('Timesheet Raw'!$P$4:$P$8000,'Timesheet Raw'!$L$4:$L$8000,$A355,'Timesheet Raw'!$C$4:$C$8000,D$3,'Timesheet Raw'!$A$4:$A$8000,"1-Projects"))</f>
        <v>0</v>
      </c>
      <c r="E355" s="341">
        <f>IF($A355="","",SUMIFS('Timesheet Raw'!$P$4:$P$8000,'Timesheet Raw'!$L$4:$L$8000,$A355,'Timesheet Raw'!$C$4:$C$8000,D$3,'Timesheet Raw'!$A$4:$A$8000,"2-Proposals Chargeable")+SUMIFS('Timesheet Raw'!$P$4:$P$8000,'Timesheet Raw'!$L$4:$L$8000,$A355,'Timesheet Raw'!$C$4:$C$8000,D$3,'Timesheet Raw'!$A$4:$A$8000,"3-Proposals Regular"))</f>
        <v>0</v>
      </c>
      <c r="F355" s="341">
        <f>IF($A355="","",SUMIFS('Timesheet Raw'!$P$4:$P$8000,'Timesheet Raw'!$L$4:$L$8000,$A355,'Timesheet Raw'!$C$4:$C$8000,D$3,'Timesheet Raw'!$B$4:$B$8000,'Work Calendar'!$A$26)+SUMIFS('Timesheet Raw'!$P$4:$P$8000,'Timesheet Raw'!$L$4:$L$8000,$A355,'Timesheet Raw'!$C$4:$C$8000,D$3,'Timesheet Raw'!$B$4:$B$8000,'Work Calendar'!$A$27)+SUMIFS('Timesheet Raw'!$P$4:$P$8000,'Timesheet Raw'!$L$4:$L$8000,$A355,'Timesheet Raw'!$C$4:$C$8000,D$3,'Timesheet Raw'!$B$4:$B$8000,'Work Calendar'!$A$28)+SUMIFS('Timesheet Raw'!$P$4:$P$8000,'Timesheet Raw'!$L$4:$L$8000,$A355,'Timesheet Raw'!$C$4:$C$8000,D$3,'Timesheet Raw'!$B$4:$B$8000,'Work Calendar'!$A$29))</f>
        <v>0</v>
      </c>
      <c r="G355" s="341">
        <f t="shared" si="21"/>
        <v>0</v>
      </c>
      <c r="H355" s="395">
        <f>IF($A355="","",SUMIFS('Timesheet Raw'!$K$4:$K$8000,'Timesheet Raw'!$L$4:$L$8000,$A355,'Timesheet Raw'!$C$4:$C$8000,D$3))</f>
        <v>0</v>
      </c>
      <c r="I355" s="345">
        <f>IF($A355="","",SUMIFS('Timesheet Raw'!$P$4:$P$8000,'Timesheet Raw'!$L$4:$L$8000,$A355,'Timesheet Raw'!$C$4:$C$8000,D$3))</f>
        <v>0</v>
      </c>
      <c r="J355" s="375"/>
      <c r="K355" t="str">
        <f>IF($A355="","",IF(J355&lt;&gt;"",J355,IF($A355&gt;'Work Calendar'!$B$17,"No data yet",IF(AND(F355&gt;='Work Calendar'!$B$14,D355+E355+G355&gt;0),"Day off - but worked",IF(F355&gt;='Work Calendar'!$B$14,"Day off",IF(D355+E355+G355&gt;0,IF($C355="Working","Charged","Worked weekend"),IF($C355="Working","Leave (not charged)",$C355)))))))</f>
        <v>No data yet</v>
      </c>
      <c r="L355" s="341">
        <f>IF($A355="","",SUMIFS('Timesheet Raw'!$P$4:$P$8000,'Timesheet Raw'!$L$4:$L$8000,$A355,'Timesheet Raw'!$C$4:$C$8000,L$3,'Timesheet Raw'!$A$4:$A$8000,"1-Projects"))</f>
        <v>0</v>
      </c>
      <c r="M355" s="341">
        <f>IF($A355="","",SUMIFS('Timesheet Raw'!$P$4:$P$8000,'Timesheet Raw'!$L$4:$L$8000,$A355,'Timesheet Raw'!$C$4:$C$8000,L$3,'Timesheet Raw'!$A$4:$A$8000,"2-Proposals Chargeable")+SUMIFS('Timesheet Raw'!$P$4:$P$8000,'Timesheet Raw'!$L$4:$L$8000,$A355,'Timesheet Raw'!$C$4:$C$8000,L$3,'Timesheet Raw'!$A$4:$A$8000,"3-Proposals Regular"))</f>
        <v>0</v>
      </c>
      <c r="N355" s="341">
        <f>IF($A355="","",SUMIFS('Timesheet Raw'!$P$4:$P$8000,'Timesheet Raw'!$L$4:$L$8000,$A355,'Timesheet Raw'!$C$4:$C$8000,L$3,'Timesheet Raw'!$B$4:$B$8000,'Work Calendar'!$A$26)+SUMIFS('Timesheet Raw'!$P$4:$P$8000,'Timesheet Raw'!$L$4:$L$8000,$A355,'Timesheet Raw'!$C$4:$C$8000,L$3,'Timesheet Raw'!$B$4:$B$8000,'Work Calendar'!$A$27)+SUMIFS('Timesheet Raw'!$P$4:$P$8000,'Timesheet Raw'!$L$4:$L$8000,$A355,'Timesheet Raw'!$C$4:$C$8000,L$3,'Timesheet Raw'!$B$4:$B$8000,'Work Calendar'!$A$28)+SUMIFS('Timesheet Raw'!$P$4:$P$8000,'Timesheet Raw'!$L$4:$L$8000,$A355,'Timesheet Raw'!$C$4:$C$8000,L$3,'Timesheet Raw'!$B$4:$B$8000,'Work Calendar'!$A$29))</f>
        <v>0</v>
      </c>
      <c r="O355" s="341">
        <f t="shared" si="22"/>
        <v>0</v>
      </c>
      <c r="P355" s="395">
        <f>IF($A355="","",SUMIFS('Timesheet Raw'!$K$4:$K$8000,'Timesheet Raw'!$L$4:$L$8000,$A355,'Timesheet Raw'!$C$4:$C$8000,L$3))</f>
        <v>0</v>
      </c>
      <c r="Q355" s="345">
        <f>IF($A355="","",SUMIFS('Timesheet Raw'!$P$4:$P$8000,'Timesheet Raw'!$L$4:$L$8000,$A355,'Timesheet Raw'!$C$4:$C$8000,L$3))</f>
        <v>0</v>
      </c>
      <c r="R355" s="375"/>
      <c r="S355" t="str">
        <f>IF($A355="","",IF(R355&lt;&gt;"",R355,IF($A355&gt;'Work Calendar'!$B$17,"No data yet",IF(AND(N355&gt;='Work Calendar'!$B$14,L355+M355+O355&gt;0),"Day off - but worked",IF(N355&gt;='Work Calendar'!$B$14,"Day off",IF(L355+M355+O355&gt;0,IF($C355="Working","Charged","Worked weekend"),IF($C355="Working","Leave (not charged)",$C355)))))))</f>
        <v>No data yet</v>
      </c>
      <c r="T355" s="341">
        <f>IF($A355="","",SUMIFS('Timesheet Raw'!$P$4:$P$8000,'Timesheet Raw'!$L$4:$L$8000,$A355,'Timesheet Raw'!$C$4:$C$8000,T$3,'Timesheet Raw'!$A$4:$A$8000,"1-Projects"))</f>
        <v>0</v>
      </c>
      <c r="U355" s="341">
        <f>IF($A355="","",SUMIFS('Timesheet Raw'!$P$4:$P$8000,'Timesheet Raw'!$L$4:$L$8000,$A355,'Timesheet Raw'!$C$4:$C$8000,T$3,'Timesheet Raw'!$A$4:$A$8000,"2-Proposals Chargeable")+SUMIFS('Timesheet Raw'!$P$4:$P$8000,'Timesheet Raw'!$L$4:$L$8000,$A355,'Timesheet Raw'!$C$4:$C$8000,T$3,'Timesheet Raw'!$A$4:$A$8000,"3-Proposals Regular"))</f>
        <v>0</v>
      </c>
      <c r="V355" s="341">
        <f>IF($A355="","",SUMIFS('Timesheet Raw'!$P$4:$P$8000,'Timesheet Raw'!$L$4:$L$8000,$A355,'Timesheet Raw'!$C$4:$C$8000,T$3,'Timesheet Raw'!$B$4:$B$8000,'Work Calendar'!$A$26)+SUMIFS('Timesheet Raw'!$P$4:$P$8000,'Timesheet Raw'!$L$4:$L$8000,$A355,'Timesheet Raw'!$C$4:$C$8000,T$3,'Timesheet Raw'!$B$4:$B$8000,'Work Calendar'!$A$27)+SUMIFS('Timesheet Raw'!$P$4:$P$8000,'Timesheet Raw'!$L$4:$L$8000,$A355,'Timesheet Raw'!$C$4:$C$8000,T$3,'Timesheet Raw'!$B$4:$B$8000,'Work Calendar'!$A$28)+SUMIFS('Timesheet Raw'!$P$4:$P$8000,'Timesheet Raw'!$L$4:$L$8000,$A355,'Timesheet Raw'!$C$4:$C$8000,T$3,'Timesheet Raw'!$B$4:$B$8000,'Work Calendar'!$A$29))</f>
        <v>0</v>
      </c>
      <c r="W355" s="341">
        <f t="shared" si="23"/>
        <v>0</v>
      </c>
      <c r="X355" s="395">
        <f>IF($A355="","",SUMIFS('Timesheet Raw'!$K$4:$K$8000,'Timesheet Raw'!$L$4:$L$8000,$A355,'Timesheet Raw'!$C$4:$C$8000,T$3))</f>
        <v>0</v>
      </c>
      <c r="Y355" s="345">
        <f>IF($A355="","",SUMIFS('Timesheet Raw'!$P$4:$P$8000,'Timesheet Raw'!$L$4:$L$8000,$A355,'Timesheet Raw'!$C$4:$C$8000,T$3))</f>
        <v>0</v>
      </c>
      <c r="Z355" s="375"/>
      <c r="AA355" t="str">
        <f>IF($A355="","",IF(Z355&lt;&gt;"",Z355,IF($A355&gt;'Work Calendar'!$B$17,"No data yet",IF(AND(V355&gt;='Work Calendar'!$B$14,T355+U355+W355&gt;0),"Day off - but worked",IF(V355&gt;='Work Calendar'!$B$14,"Day off",IF(T355+U355+W355&gt;0,IF($C355="Working","Charged","Worked weekend"),IF($C355="Working","Leave (not charged)",$C355)))))))</f>
        <v>No data yet</v>
      </c>
    </row>
    <row r="356" spans="1:27" x14ac:dyDescent="0.3">
      <c r="A356" s="371">
        <f>IF($A355="","",IF($A355+1&gt;'Work Calendar'!$B$16,"",$A355+1))</f>
        <v>46374</v>
      </c>
      <c r="B356" t="str">
        <f t="shared" si="20"/>
        <v>Fri</v>
      </c>
      <c r="C356" t="str" cm="1">
        <f t="array" ref="C356">IF($A356="","",IF(COUNTIF('Work Calendar'!$E$6:$E$200,$A356)&gt;0,"Holiday",IF(INDEX('Work Calendar'!$C$6:$C$12,WEEKDAY($A356,1))=1,"Working","Weekend")))</f>
        <v>Weekend</v>
      </c>
      <c r="D356" s="341">
        <f>IF($A356="","",SUMIFS('Timesheet Raw'!$P$4:$P$8000,'Timesheet Raw'!$L$4:$L$8000,$A356,'Timesheet Raw'!$C$4:$C$8000,D$3,'Timesheet Raw'!$A$4:$A$8000,"1-Projects"))</f>
        <v>0</v>
      </c>
      <c r="E356" s="341">
        <f>IF($A356="","",SUMIFS('Timesheet Raw'!$P$4:$P$8000,'Timesheet Raw'!$L$4:$L$8000,$A356,'Timesheet Raw'!$C$4:$C$8000,D$3,'Timesheet Raw'!$A$4:$A$8000,"2-Proposals Chargeable")+SUMIFS('Timesheet Raw'!$P$4:$P$8000,'Timesheet Raw'!$L$4:$L$8000,$A356,'Timesheet Raw'!$C$4:$C$8000,D$3,'Timesheet Raw'!$A$4:$A$8000,"3-Proposals Regular"))</f>
        <v>0</v>
      </c>
      <c r="F356" s="341">
        <f>IF($A356="","",SUMIFS('Timesheet Raw'!$P$4:$P$8000,'Timesheet Raw'!$L$4:$L$8000,$A356,'Timesheet Raw'!$C$4:$C$8000,D$3,'Timesheet Raw'!$B$4:$B$8000,'Work Calendar'!$A$26)+SUMIFS('Timesheet Raw'!$P$4:$P$8000,'Timesheet Raw'!$L$4:$L$8000,$A356,'Timesheet Raw'!$C$4:$C$8000,D$3,'Timesheet Raw'!$B$4:$B$8000,'Work Calendar'!$A$27)+SUMIFS('Timesheet Raw'!$P$4:$P$8000,'Timesheet Raw'!$L$4:$L$8000,$A356,'Timesheet Raw'!$C$4:$C$8000,D$3,'Timesheet Raw'!$B$4:$B$8000,'Work Calendar'!$A$28)+SUMIFS('Timesheet Raw'!$P$4:$P$8000,'Timesheet Raw'!$L$4:$L$8000,$A356,'Timesheet Raw'!$C$4:$C$8000,D$3,'Timesheet Raw'!$B$4:$B$8000,'Work Calendar'!$A$29))</f>
        <v>0</v>
      </c>
      <c r="G356" s="341">
        <f t="shared" si="21"/>
        <v>0</v>
      </c>
      <c r="H356" s="395">
        <f>IF($A356="","",SUMIFS('Timesheet Raw'!$K$4:$K$8000,'Timesheet Raw'!$L$4:$L$8000,$A356,'Timesheet Raw'!$C$4:$C$8000,D$3))</f>
        <v>0</v>
      </c>
      <c r="I356" s="345">
        <f>IF($A356="","",SUMIFS('Timesheet Raw'!$P$4:$P$8000,'Timesheet Raw'!$L$4:$L$8000,$A356,'Timesheet Raw'!$C$4:$C$8000,D$3))</f>
        <v>0</v>
      </c>
      <c r="J356" s="375"/>
      <c r="K356" t="str">
        <f>IF($A356="","",IF(J356&lt;&gt;"",J356,IF($A356&gt;'Work Calendar'!$B$17,"No data yet",IF(AND(F356&gt;='Work Calendar'!$B$14,D356+E356+G356&gt;0),"Day off - but worked",IF(F356&gt;='Work Calendar'!$B$14,"Day off",IF(D356+E356+G356&gt;0,IF($C356="Working","Charged","Worked weekend"),IF($C356="Working","Leave (not charged)",$C356)))))))</f>
        <v>No data yet</v>
      </c>
      <c r="L356" s="341">
        <f>IF($A356="","",SUMIFS('Timesheet Raw'!$P$4:$P$8000,'Timesheet Raw'!$L$4:$L$8000,$A356,'Timesheet Raw'!$C$4:$C$8000,L$3,'Timesheet Raw'!$A$4:$A$8000,"1-Projects"))</f>
        <v>0</v>
      </c>
      <c r="M356" s="341">
        <f>IF($A356="","",SUMIFS('Timesheet Raw'!$P$4:$P$8000,'Timesheet Raw'!$L$4:$L$8000,$A356,'Timesheet Raw'!$C$4:$C$8000,L$3,'Timesheet Raw'!$A$4:$A$8000,"2-Proposals Chargeable")+SUMIFS('Timesheet Raw'!$P$4:$P$8000,'Timesheet Raw'!$L$4:$L$8000,$A356,'Timesheet Raw'!$C$4:$C$8000,L$3,'Timesheet Raw'!$A$4:$A$8000,"3-Proposals Regular"))</f>
        <v>0</v>
      </c>
      <c r="N356" s="341">
        <f>IF($A356="","",SUMIFS('Timesheet Raw'!$P$4:$P$8000,'Timesheet Raw'!$L$4:$L$8000,$A356,'Timesheet Raw'!$C$4:$C$8000,L$3,'Timesheet Raw'!$B$4:$B$8000,'Work Calendar'!$A$26)+SUMIFS('Timesheet Raw'!$P$4:$P$8000,'Timesheet Raw'!$L$4:$L$8000,$A356,'Timesheet Raw'!$C$4:$C$8000,L$3,'Timesheet Raw'!$B$4:$B$8000,'Work Calendar'!$A$27)+SUMIFS('Timesheet Raw'!$P$4:$P$8000,'Timesheet Raw'!$L$4:$L$8000,$A356,'Timesheet Raw'!$C$4:$C$8000,L$3,'Timesheet Raw'!$B$4:$B$8000,'Work Calendar'!$A$28)+SUMIFS('Timesheet Raw'!$P$4:$P$8000,'Timesheet Raw'!$L$4:$L$8000,$A356,'Timesheet Raw'!$C$4:$C$8000,L$3,'Timesheet Raw'!$B$4:$B$8000,'Work Calendar'!$A$29))</f>
        <v>0</v>
      </c>
      <c r="O356" s="341">
        <f t="shared" si="22"/>
        <v>0</v>
      </c>
      <c r="P356" s="395">
        <f>IF($A356="","",SUMIFS('Timesheet Raw'!$K$4:$K$8000,'Timesheet Raw'!$L$4:$L$8000,$A356,'Timesheet Raw'!$C$4:$C$8000,L$3))</f>
        <v>0</v>
      </c>
      <c r="Q356" s="345">
        <f>IF($A356="","",SUMIFS('Timesheet Raw'!$P$4:$P$8000,'Timesheet Raw'!$L$4:$L$8000,$A356,'Timesheet Raw'!$C$4:$C$8000,L$3))</f>
        <v>0</v>
      </c>
      <c r="R356" s="375"/>
      <c r="S356" t="str">
        <f>IF($A356="","",IF(R356&lt;&gt;"",R356,IF($A356&gt;'Work Calendar'!$B$17,"No data yet",IF(AND(N356&gt;='Work Calendar'!$B$14,L356+M356+O356&gt;0),"Day off - but worked",IF(N356&gt;='Work Calendar'!$B$14,"Day off",IF(L356+M356+O356&gt;0,IF($C356="Working","Charged","Worked weekend"),IF($C356="Working","Leave (not charged)",$C356)))))))</f>
        <v>No data yet</v>
      </c>
      <c r="T356" s="341">
        <f>IF($A356="","",SUMIFS('Timesheet Raw'!$P$4:$P$8000,'Timesheet Raw'!$L$4:$L$8000,$A356,'Timesheet Raw'!$C$4:$C$8000,T$3,'Timesheet Raw'!$A$4:$A$8000,"1-Projects"))</f>
        <v>0</v>
      </c>
      <c r="U356" s="341">
        <f>IF($A356="","",SUMIFS('Timesheet Raw'!$P$4:$P$8000,'Timesheet Raw'!$L$4:$L$8000,$A356,'Timesheet Raw'!$C$4:$C$8000,T$3,'Timesheet Raw'!$A$4:$A$8000,"2-Proposals Chargeable")+SUMIFS('Timesheet Raw'!$P$4:$P$8000,'Timesheet Raw'!$L$4:$L$8000,$A356,'Timesheet Raw'!$C$4:$C$8000,T$3,'Timesheet Raw'!$A$4:$A$8000,"3-Proposals Regular"))</f>
        <v>0</v>
      </c>
      <c r="V356" s="341">
        <f>IF($A356="","",SUMIFS('Timesheet Raw'!$P$4:$P$8000,'Timesheet Raw'!$L$4:$L$8000,$A356,'Timesheet Raw'!$C$4:$C$8000,T$3,'Timesheet Raw'!$B$4:$B$8000,'Work Calendar'!$A$26)+SUMIFS('Timesheet Raw'!$P$4:$P$8000,'Timesheet Raw'!$L$4:$L$8000,$A356,'Timesheet Raw'!$C$4:$C$8000,T$3,'Timesheet Raw'!$B$4:$B$8000,'Work Calendar'!$A$27)+SUMIFS('Timesheet Raw'!$P$4:$P$8000,'Timesheet Raw'!$L$4:$L$8000,$A356,'Timesheet Raw'!$C$4:$C$8000,T$3,'Timesheet Raw'!$B$4:$B$8000,'Work Calendar'!$A$28)+SUMIFS('Timesheet Raw'!$P$4:$P$8000,'Timesheet Raw'!$L$4:$L$8000,$A356,'Timesheet Raw'!$C$4:$C$8000,T$3,'Timesheet Raw'!$B$4:$B$8000,'Work Calendar'!$A$29))</f>
        <v>0</v>
      </c>
      <c r="W356" s="341">
        <f t="shared" si="23"/>
        <v>0</v>
      </c>
      <c r="X356" s="395">
        <f>IF($A356="","",SUMIFS('Timesheet Raw'!$K$4:$K$8000,'Timesheet Raw'!$L$4:$L$8000,$A356,'Timesheet Raw'!$C$4:$C$8000,T$3))</f>
        <v>0</v>
      </c>
      <c r="Y356" s="345">
        <f>IF($A356="","",SUMIFS('Timesheet Raw'!$P$4:$P$8000,'Timesheet Raw'!$L$4:$L$8000,$A356,'Timesheet Raw'!$C$4:$C$8000,T$3))</f>
        <v>0</v>
      </c>
      <c r="Z356" s="375"/>
      <c r="AA356" t="str">
        <f>IF($A356="","",IF(Z356&lt;&gt;"",Z356,IF($A356&gt;'Work Calendar'!$B$17,"No data yet",IF(AND(V356&gt;='Work Calendar'!$B$14,T356+U356+W356&gt;0),"Day off - but worked",IF(V356&gt;='Work Calendar'!$B$14,"Day off",IF(T356+U356+W356&gt;0,IF($C356="Working","Charged","Worked weekend"),IF($C356="Working","Leave (not charged)",$C356)))))))</f>
        <v>No data yet</v>
      </c>
    </row>
    <row r="357" spans="1:27" x14ac:dyDescent="0.3">
      <c r="A357" s="371">
        <f>IF($A356="","",IF($A356+1&gt;'Work Calendar'!$B$16,"",$A356+1))</f>
        <v>46375</v>
      </c>
      <c r="B357" t="str">
        <f t="shared" si="20"/>
        <v>Sat</v>
      </c>
      <c r="C357" t="str" cm="1">
        <f t="array" ref="C357">IF($A357="","",IF(COUNTIF('Work Calendar'!$E$6:$E$200,$A357)&gt;0,"Holiday",IF(INDEX('Work Calendar'!$C$6:$C$12,WEEKDAY($A357,1))=1,"Working","Weekend")))</f>
        <v>Weekend</v>
      </c>
      <c r="D357" s="341">
        <f>IF($A357="","",SUMIFS('Timesheet Raw'!$P$4:$P$8000,'Timesheet Raw'!$L$4:$L$8000,$A357,'Timesheet Raw'!$C$4:$C$8000,D$3,'Timesheet Raw'!$A$4:$A$8000,"1-Projects"))</f>
        <v>0</v>
      </c>
      <c r="E357" s="341">
        <f>IF($A357="","",SUMIFS('Timesheet Raw'!$P$4:$P$8000,'Timesheet Raw'!$L$4:$L$8000,$A357,'Timesheet Raw'!$C$4:$C$8000,D$3,'Timesheet Raw'!$A$4:$A$8000,"2-Proposals Chargeable")+SUMIFS('Timesheet Raw'!$P$4:$P$8000,'Timesheet Raw'!$L$4:$L$8000,$A357,'Timesheet Raw'!$C$4:$C$8000,D$3,'Timesheet Raw'!$A$4:$A$8000,"3-Proposals Regular"))</f>
        <v>0</v>
      </c>
      <c r="F357" s="341">
        <f>IF($A357="","",SUMIFS('Timesheet Raw'!$P$4:$P$8000,'Timesheet Raw'!$L$4:$L$8000,$A357,'Timesheet Raw'!$C$4:$C$8000,D$3,'Timesheet Raw'!$B$4:$B$8000,'Work Calendar'!$A$26)+SUMIFS('Timesheet Raw'!$P$4:$P$8000,'Timesheet Raw'!$L$4:$L$8000,$A357,'Timesheet Raw'!$C$4:$C$8000,D$3,'Timesheet Raw'!$B$4:$B$8000,'Work Calendar'!$A$27)+SUMIFS('Timesheet Raw'!$P$4:$P$8000,'Timesheet Raw'!$L$4:$L$8000,$A357,'Timesheet Raw'!$C$4:$C$8000,D$3,'Timesheet Raw'!$B$4:$B$8000,'Work Calendar'!$A$28)+SUMIFS('Timesheet Raw'!$P$4:$P$8000,'Timesheet Raw'!$L$4:$L$8000,$A357,'Timesheet Raw'!$C$4:$C$8000,D$3,'Timesheet Raw'!$B$4:$B$8000,'Work Calendar'!$A$29))</f>
        <v>0</v>
      </c>
      <c r="G357" s="341">
        <f t="shared" si="21"/>
        <v>0</v>
      </c>
      <c r="H357" s="395">
        <f>IF($A357="","",SUMIFS('Timesheet Raw'!$K$4:$K$8000,'Timesheet Raw'!$L$4:$L$8000,$A357,'Timesheet Raw'!$C$4:$C$8000,D$3))</f>
        <v>0</v>
      </c>
      <c r="I357" s="345">
        <f>IF($A357="","",SUMIFS('Timesheet Raw'!$P$4:$P$8000,'Timesheet Raw'!$L$4:$L$8000,$A357,'Timesheet Raw'!$C$4:$C$8000,D$3))</f>
        <v>0</v>
      </c>
      <c r="J357" s="375"/>
      <c r="K357" t="str">
        <f>IF($A357="","",IF(J357&lt;&gt;"",J357,IF($A357&gt;'Work Calendar'!$B$17,"No data yet",IF(AND(F357&gt;='Work Calendar'!$B$14,D357+E357+G357&gt;0),"Day off - but worked",IF(F357&gt;='Work Calendar'!$B$14,"Day off",IF(D357+E357+G357&gt;0,IF($C357="Working","Charged","Worked weekend"),IF($C357="Working","Leave (not charged)",$C357)))))))</f>
        <v>No data yet</v>
      </c>
      <c r="L357" s="341">
        <f>IF($A357="","",SUMIFS('Timesheet Raw'!$P$4:$P$8000,'Timesheet Raw'!$L$4:$L$8000,$A357,'Timesheet Raw'!$C$4:$C$8000,L$3,'Timesheet Raw'!$A$4:$A$8000,"1-Projects"))</f>
        <v>0</v>
      </c>
      <c r="M357" s="341">
        <f>IF($A357="","",SUMIFS('Timesheet Raw'!$P$4:$P$8000,'Timesheet Raw'!$L$4:$L$8000,$A357,'Timesheet Raw'!$C$4:$C$8000,L$3,'Timesheet Raw'!$A$4:$A$8000,"2-Proposals Chargeable")+SUMIFS('Timesheet Raw'!$P$4:$P$8000,'Timesheet Raw'!$L$4:$L$8000,$A357,'Timesheet Raw'!$C$4:$C$8000,L$3,'Timesheet Raw'!$A$4:$A$8000,"3-Proposals Regular"))</f>
        <v>0</v>
      </c>
      <c r="N357" s="341">
        <f>IF($A357="","",SUMIFS('Timesheet Raw'!$P$4:$P$8000,'Timesheet Raw'!$L$4:$L$8000,$A357,'Timesheet Raw'!$C$4:$C$8000,L$3,'Timesheet Raw'!$B$4:$B$8000,'Work Calendar'!$A$26)+SUMIFS('Timesheet Raw'!$P$4:$P$8000,'Timesheet Raw'!$L$4:$L$8000,$A357,'Timesheet Raw'!$C$4:$C$8000,L$3,'Timesheet Raw'!$B$4:$B$8000,'Work Calendar'!$A$27)+SUMIFS('Timesheet Raw'!$P$4:$P$8000,'Timesheet Raw'!$L$4:$L$8000,$A357,'Timesheet Raw'!$C$4:$C$8000,L$3,'Timesheet Raw'!$B$4:$B$8000,'Work Calendar'!$A$28)+SUMIFS('Timesheet Raw'!$P$4:$P$8000,'Timesheet Raw'!$L$4:$L$8000,$A357,'Timesheet Raw'!$C$4:$C$8000,L$3,'Timesheet Raw'!$B$4:$B$8000,'Work Calendar'!$A$29))</f>
        <v>0</v>
      </c>
      <c r="O357" s="341">
        <f t="shared" si="22"/>
        <v>0</v>
      </c>
      <c r="P357" s="395">
        <f>IF($A357="","",SUMIFS('Timesheet Raw'!$K$4:$K$8000,'Timesheet Raw'!$L$4:$L$8000,$A357,'Timesheet Raw'!$C$4:$C$8000,L$3))</f>
        <v>0</v>
      </c>
      <c r="Q357" s="345">
        <f>IF($A357="","",SUMIFS('Timesheet Raw'!$P$4:$P$8000,'Timesheet Raw'!$L$4:$L$8000,$A357,'Timesheet Raw'!$C$4:$C$8000,L$3))</f>
        <v>0</v>
      </c>
      <c r="R357" s="375"/>
      <c r="S357" t="str">
        <f>IF($A357="","",IF(R357&lt;&gt;"",R357,IF($A357&gt;'Work Calendar'!$B$17,"No data yet",IF(AND(N357&gt;='Work Calendar'!$B$14,L357+M357+O357&gt;0),"Day off - but worked",IF(N357&gt;='Work Calendar'!$B$14,"Day off",IF(L357+M357+O357&gt;0,IF($C357="Working","Charged","Worked weekend"),IF($C357="Working","Leave (not charged)",$C357)))))))</f>
        <v>No data yet</v>
      </c>
      <c r="T357" s="341">
        <f>IF($A357="","",SUMIFS('Timesheet Raw'!$P$4:$P$8000,'Timesheet Raw'!$L$4:$L$8000,$A357,'Timesheet Raw'!$C$4:$C$8000,T$3,'Timesheet Raw'!$A$4:$A$8000,"1-Projects"))</f>
        <v>0</v>
      </c>
      <c r="U357" s="341">
        <f>IF($A357="","",SUMIFS('Timesheet Raw'!$P$4:$P$8000,'Timesheet Raw'!$L$4:$L$8000,$A357,'Timesheet Raw'!$C$4:$C$8000,T$3,'Timesheet Raw'!$A$4:$A$8000,"2-Proposals Chargeable")+SUMIFS('Timesheet Raw'!$P$4:$P$8000,'Timesheet Raw'!$L$4:$L$8000,$A357,'Timesheet Raw'!$C$4:$C$8000,T$3,'Timesheet Raw'!$A$4:$A$8000,"3-Proposals Regular"))</f>
        <v>0</v>
      </c>
      <c r="V357" s="341">
        <f>IF($A357="","",SUMIFS('Timesheet Raw'!$P$4:$P$8000,'Timesheet Raw'!$L$4:$L$8000,$A357,'Timesheet Raw'!$C$4:$C$8000,T$3,'Timesheet Raw'!$B$4:$B$8000,'Work Calendar'!$A$26)+SUMIFS('Timesheet Raw'!$P$4:$P$8000,'Timesheet Raw'!$L$4:$L$8000,$A357,'Timesheet Raw'!$C$4:$C$8000,T$3,'Timesheet Raw'!$B$4:$B$8000,'Work Calendar'!$A$27)+SUMIFS('Timesheet Raw'!$P$4:$P$8000,'Timesheet Raw'!$L$4:$L$8000,$A357,'Timesheet Raw'!$C$4:$C$8000,T$3,'Timesheet Raw'!$B$4:$B$8000,'Work Calendar'!$A$28)+SUMIFS('Timesheet Raw'!$P$4:$P$8000,'Timesheet Raw'!$L$4:$L$8000,$A357,'Timesheet Raw'!$C$4:$C$8000,T$3,'Timesheet Raw'!$B$4:$B$8000,'Work Calendar'!$A$29))</f>
        <v>0</v>
      </c>
      <c r="W357" s="341">
        <f t="shared" si="23"/>
        <v>0</v>
      </c>
      <c r="X357" s="395">
        <f>IF($A357="","",SUMIFS('Timesheet Raw'!$K$4:$K$8000,'Timesheet Raw'!$L$4:$L$8000,$A357,'Timesheet Raw'!$C$4:$C$8000,T$3))</f>
        <v>0</v>
      </c>
      <c r="Y357" s="345">
        <f>IF($A357="","",SUMIFS('Timesheet Raw'!$P$4:$P$8000,'Timesheet Raw'!$L$4:$L$8000,$A357,'Timesheet Raw'!$C$4:$C$8000,T$3))</f>
        <v>0</v>
      </c>
      <c r="Z357" s="375"/>
      <c r="AA357" t="str">
        <f>IF($A357="","",IF(Z357&lt;&gt;"",Z357,IF($A357&gt;'Work Calendar'!$B$17,"No data yet",IF(AND(V357&gt;='Work Calendar'!$B$14,T357+U357+W357&gt;0),"Day off - but worked",IF(V357&gt;='Work Calendar'!$B$14,"Day off",IF(T357+U357+W357&gt;0,IF($C357="Working","Charged","Worked weekend"),IF($C357="Working","Leave (not charged)",$C357)))))))</f>
        <v>No data yet</v>
      </c>
    </row>
    <row r="358" spans="1:27" x14ac:dyDescent="0.3">
      <c r="A358" s="371">
        <f>IF($A357="","",IF($A357+1&gt;'Work Calendar'!$B$16,"",$A357+1))</f>
        <v>46376</v>
      </c>
      <c r="B358" t="str">
        <f t="shared" si="20"/>
        <v>Sun</v>
      </c>
      <c r="C358" t="str" cm="1">
        <f t="array" ref="C358">IF($A358="","",IF(COUNTIF('Work Calendar'!$E$6:$E$200,$A358)&gt;0,"Holiday",IF(INDEX('Work Calendar'!$C$6:$C$12,WEEKDAY($A358,1))=1,"Working","Weekend")))</f>
        <v>Working</v>
      </c>
      <c r="D358" s="341">
        <f>IF($A358="","",SUMIFS('Timesheet Raw'!$P$4:$P$8000,'Timesheet Raw'!$L$4:$L$8000,$A358,'Timesheet Raw'!$C$4:$C$8000,D$3,'Timesheet Raw'!$A$4:$A$8000,"1-Projects"))</f>
        <v>0</v>
      </c>
      <c r="E358" s="341">
        <f>IF($A358="","",SUMIFS('Timesheet Raw'!$P$4:$P$8000,'Timesheet Raw'!$L$4:$L$8000,$A358,'Timesheet Raw'!$C$4:$C$8000,D$3,'Timesheet Raw'!$A$4:$A$8000,"2-Proposals Chargeable")+SUMIFS('Timesheet Raw'!$P$4:$P$8000,'Timesheet Raw'!$L$4:$L$8000,$A358,'Timesheet Raw'!$C$4:$C$8000,D$3,'Timesheet Raw'!$A$4:$A$8000,"3-Proposals Regular"))</f>
        <v>0</v>
      </c>
      <c r="F358" s="341">
        <f>IF($A358="","",SUMIFS('Timesheet Raw'!$P$4:$P$8000,'Timesheet Raw'!$L$4:$L$8000,$A358,'Timesheet Raw'!$C$4:$C$8000,D$3,'Timesheet Raw'!$B$4:$B$8000,'Work Calendar'!$A$26)+SUMIFS('Timesheet Raw'!$P$4:$P$8000,'Timesheet Raw'!$L$4:$L$8000,$A358,'Timesheet Raw'!$C$4:$C$8000,D$3,'Timesheet Raw'!$B$4:$B$8000,'Work Calendar'!$A$27)+SUMIFS('Timesheet Raw'!$P$4:$P$8000,'Timesheet Raw'!$L$4:$L$8000,$A358,'Timesheet Raw'!$C$4:$C$8000,D$3,'Timesheet Raw'!$B$4:$B$8000,'Work Calendar'!$A$28)+SUMIFS('Timesheet Raw'!$P$4:$P$8000,'Timesheet Raw'!$L$4:$L$8000,$A358,'Timesheet Raw'!$C$4:$C$8000,D$3,'Timesheet Raw'!$B$4:$B$8000,'Work Calendar'!$A$29))</f>
        <v>0</v>
      </c>
      <c r="G358" s="341">
        <f t="shared" si="21"/>
        <v>0</v>
      </c>
      <c r="H358" s="395">
        <f>IF($A358="","",SUMIFS('Timesheet Raw'!$K$4:$K$8000,'Timesheet Raw'!$L$4:$L$8000,$A358,'Timesheet Raw'!$C$4:$C$8000,D$3))</f>
        <v>0</v>
      </c>
      <c r="I358" s="345">
        <f>IF($A358="","",SUMIFS('Timesheet Raw'!$P$4:$P$8000,'Timesheet Raw'!$L$4:$L$8000,$A358,'Timesheet Raw'!$C$4:$C$8000,D$3))</f>
        <v>0</v>
      </c>
      <c r="J358" s="375"/>
      <c r="K358" t="str">
        <f>IF($A358="","",IF(J358&lt;&gt;"",J358,IF($A358&gt;'Work Calendar'!$B$17,"No data yet",IF(AND(F358&gt;='Work Calendar'!$B$14,D358+E358+G358&gt;0),"Day off - but worked",IF(F358&gt;='Work Calendar'!$B$14,"Day off",IF(D358+E358+G358&gt;0,IF($C358="Working","Charged","Worked weekend"),IF($C358="Working","Leave (not charged)",$C358)))))))</f>
        <v>No data yet</v>
      </c>
      <c r="L358" s="341">
        <f>IF($A358="","",SUMIFS('Timesheet Raw'!$P$4:$P$8000,'Timesheet Raw'!$L$4:$L$8000,$A358,'Timesheet Raw'!$C$4:$C$8000,L$3,'Timesheet Raw'!$A$4:$A$8000,"1-Projects"))</f>
        <v>0</v>
      </c>
      <c r="M358" s="341">
        <f>IF($A358="","",SUMIFS('Timesheet Raw'!$P$4:$P$8000,'Timesheet Raw'!$L$4:$L$8000,$A358,'Timesheet Raw'!$C$4:$C$8000,L$3,'Timesheet Raw'!$A$4:$A$8000,"2-Proposals Chargeable")+SUMIFS('Timesheet Raw'!$P$4:$P$8000,'Timesheet Raw'!$L$4:$L$8000,$A358,'Timesheet Raw'!$C$4:$C$8000,L$3,'Timesheet Raw'!$A$4:$A$8000,"3-Proposals Regular"))</f>
        <v>0</v>
      </c>
      <c r="N358" s="341">
        <f>IF($A358="","",SUMIFS('Timesheet Raw'!$P$4:$P$8000,'Timesheet Raw'!$L$4:$L$8000,$A358,'Timesheet Raw'!$C$4:$C$8000,L$3,'Timesheet Raw'!$B$4:$B$8000,'Work Calendar'!$A$26)+SUMIFS('Timesheet Raw'!$P$4:$P$8000,'Timesheet Raw'!$L$4:$L$8000,$A358,'Timesheet Raw'!$C$4:$C$8000,L$3,'Timesheet Raw'!$B$4:$B$8000,'Work Calendar'!$A$27)+SUMIFS('Timesheet Raw'!$P$4:$P$8000,'Timesheet Raw'!$L$4:$L$8000,$A358,'Timesheet Raw'!$C$4:$C$8000,L$3,'Timesheet Raw'!$B$4:$B$8000,'Work Calendar'!$A$28)+SUMIFS('Timesheet Raw'!$P$4:$P$8000,'Timesheet Raw'!$L$4:$L$8000,$A358,'Timesheet Raw'!$C$4:$C$8000,L$3,'Timesheet Raw'!$B$4:$B$8000,'Work Calendar'!$A$29))</f>
        <v>0</v>
      </c>
      <c r="O358" s="341">
        <f t="shared" si="22"/>
        <v>0</v>
      </c>
      <c r="P358" s="395">
        <f>IF($A358="","",SUMIFS('Timesheet Raw'!$K$4:$K$8000,'Timesheet Raw'!$L$4:$L$8000,$A358,'Timesheet Raw'!$C$4:$C$8000,L$3))</f>
        <v>0</v>
      </c>
      <c r="Q358" s="345">
        <f>IF($A358="","",SUMIFS('Timesheet Raw'!$P$4:$P$8000,'Timesheet Raw'!$L$4:$L$8000,$A358,'Timesheet Raw'!$C$4:$C$8000,L$3))</f>
        <v>0</v>
      </c>
      <c r="R358" s="375"/>
      <c r="S358" t="str">
        <f>IF($A358="","",IF(R358&lt;&gt;"",R358,IF($A358&gt;'Work Calendar'!$B$17,"No data yet",IF(AND(N358&gt;='Work Calendar'!$B$14,L358+M358+O358&gt;0),"Day off - but worked",IF(N358&gt;='Work Calendar'!$B$14,"Day off",IF(L358+M358+O358&gt;0,IF($C358="Working","Charged","Worked weekend"),IF($C358="Working","Leave (not charged)",$C358)))))))</f>
        <v>No data yet</v>
      </c>
      <c r="T358" s="341">
        <f>IF($A358="","",SUMIFS('Timesheet Raw'!$P$4:$P$8000,'Timesheet Raw'!$L$4:$L$8000,$A358,'Timesheet Raw'!$C$4:$C$8000,T$3,'Timesheet Raw'!$A$4:$A$8000,"1-Projects"))</f>
        <v>0</v>
      </c>
      <c r="U358" s="341">
        <f>IF($A358="","",SUMIFS('Timesheet Raw'!$P$4:$P$8000,'Timesheet Raw'!$L$4:$L$8000,$A358,'Timesheet Raw'!$C$4:$C$8000,T$3,'Timesheet Raw'!$A$4:$A$8000,"2-Proposals Chargeable")+SUMIFS('Timesheet Raw'!$P$4:$P$8000,'Timesheet Raw'!$L$4:$L$8000,$A358,'Timesheet Raw'!$C$4:$C$8000,T$3,'Timesheet Raw'!$A$4:$A$8000,"3-Proposals Regular"))</f>
        <v>0</v>
      </c>
      <c r="V358" s="341">
        <f>IF($A358="","",SUMIFS('Timesheet Raw'!$P$4:$P$8000,'Timesheet Raw'!$L$4:$L$8000,$A358,'Timesheet Raw'!$C$4:$C$8000,T$3,'Timesheet Raw'!$B$4:$B$8000,'Work Calendar'!$A$26)+SUMIFS('Timesheet Raw'!$P$4:$P$8000,'Timesheet Raw'!$L$4:$L$8000,$A358,'Timesheet Raw'!$C$4:$C$8000,T$3,'Timesheet Raw'!$B$4:$B$8000,'Work Calendar'!$A$27)+SUMIFS('Timesheet Raw'!$P$4:$P$8000,'Timesheet Raw'!$L$4:$L$8000,$A358,'Timesheet Raw'!$C$4:$C$8000,T$3,'Timesheet Raw'!$B$4:$B$8000,'Work Calendar'!$A$28)+SUMIFS('Timesheet Raw'!$P$4:$P$8000,'Timesheet Raw'!$L$4:$L$8000,$A358,'Timesheet Raw'!$C$4:$C$8000,T$3,'Timesheet Raw'!$B$4:$B$8000,'Work Calendar'!$A$29))</f>
        <v>0</v>
      </c>
      <c r="W358" s="341">
        <f t="shared" si="23"/>
        <v>0</v>
      </c>
      <c r="X358" s="395">
        <f>IF($A358="","",SUMIFS('Timesheet Raw'!$K$4:$K$8000,'Timesheet Raw'!$L$4:$L$8000,$A358,'Timesheet Raw'!$C$4:$C$8000,T$3))</f>
        <v>0</v>
      </c>
      <c r="Y358" s="345">
        <f>IF($A358="","",SUMIFS('Timesheet Raw'!$P$4:$P$8000,'Timesheet Raw'!$L$4:$L$8000,$A358,'Timesheet Raw'!$C$4:$C$8000,T$3))</f>
        <v>0</v>
      </c>
      <c r="Z358" s="375"/>
      <c r="AA358" t="str">
        <f>IF($A358="","",IF(Z358&lt;&gt;"",Z358,IF($A358&gt;'Work Calendar'!$B$17,"No data yet",IF(AND(V358&gt;='Work Calendar'!$B$14,T358+U358+W358&gt;0),"Day off - but worked",IF(V358&gt;='Work Calendar'!$B$14,"Day off",IF(T358+U358+W358&gt;0,IF($C358="Working","Charged","Worked weekend"),IF($C358="Working","Leave (not charged)",$C358)))))))</f>
        <v>No data yet</v>
      </c>
    </row>
    <row r="359" spans="1:27" x14ac:dyDescent="0.3">
      <c r="A359" s="371">
        <f>IF($A358="","",IF($A358+1&gt;'Work Calendar'!$B$16,"",$A358+1))</f>
        <v>46377</v>
      </c>
      <c r="B359" t="str">
        <f t="shared" si="20"/>
        <v>Mon</v>
      </c>
      <c r="C359" t="str" cm="1">
        <f t="array" ref="C359">IF($A359="","",IF(COUNTIF('Work Calendar'!$E$6:$E$200,$A359)&gt;0,"Holiday",IF(INDEX('Work Calendar'!$C$6:$C$12,WEEKDAY($A359,1))=1,"Working","Weekend")))</f>
        <v>Working</v>
      </c>
      <c r="D359" s="341">
        <f>IF($A359="","",SUMIFS('Timesheet Raw'!$P$4:$P$8000,'Timesheet Raw'!$L$4:$L$8000,$A359,'Timesheet Raw'!$C$4:$C$8000,D$3,'Timesheet Raw'!$A$4:$A$8000,"1-Projects"))</f>
        <v>0</v>
      </c>
      <c r="E359" s="341">
        <f>IF($A359="","",SUMIFS('Timesheet Raw'!$P$4:$P$8000,'Timesheet Raw'!$L$4:$L$8000,$A359,'Timesheet Raw'!$C$4:$C$8000,D$3,'Timesheet Raw'!$A$4:$A$8000,"2-Proposals Chargeable")+SUMIFS('Timesheet Raw'!$P$4:$P$8000,'Timesheet Raw'!$L$4:$L$8000,$A359,'Timesheet Raw'!$C$4:$C$8000,D$3,'Timesheet Raw'!$A$4:$A$8000,"3-Proposals Regular"))</f>
        <v>0</v>
      </c>
      <c r="F359" s="341">
        <f>IF($A359="","",SUMIFS('Timesheet Raw'!$P$4:$P$8000,'Timesheet Raw'!$L$4:$L$8000,$A359,'Timesheet Raw'!$C$4:$C$8000,D$3,'Timesheet Raw'!$B$4:$B$8000,'Work Calendar'!$A$26)+SUMIFS('Timesheet Raw'!$P$4:$P$8000,'Timesheet Raw'!$L$4:$L$8000,$A359,'Timesheet Raw'!$C$4:$C$8000,D$3,'Timesheet Raw'!$B$4:$B$8000,'Work Calendar'!$A$27)+SUMIFS('Timesheet Raw'!$P$4:$P$8000,'Timesheet Raw'!$L$4:$L$8000,$A359,'Timesheet Raw'!$C$4:$C$8000,D$3,'Timesheet Raw'!$B$4:$B$8000,'Work Calendar'!$A$28)+SUMIFS('Timesheet Raw'!$P$4:$P$8000,'Timesheet Raw'!$L$4:$L$8000,$A359,'Timesheet Raw'!$C$4:$C$8000,D$3,'Timesheet Raw'!$B$4:$B$8000,'Work Calendar'!$A$29))</f>
        <v>0</v>
      </c>
      <c r="G359" s="341">
        <f t="shared" si="21"/>
        <v>0</v>
      </c>
      <c r="H359" s="395">
        <f>IF($A359="","",SUMIFS('Timesheet Raw'!$K$4:$K$8000,'Timesheet Raw'!$L$4:$L$8000,$A359,'Timesheet Raw'!$C$4:$C$8000,D$3))</f>
        <v>0</v>
      </c>
      <c r="I359" s="345">
        <f>IF($A359="","",SUMIFS('Timesheet Raw'!$P$4:$P$8000,'Timesheet Raw'!$L$4:$L$8000,$A359,'Timesheet Raw'!$C$4:$C$8000,D$3))</f>
        <v>0</v>
      </c>
      <c r="J359" s="375"/>
      <c r="K359" t="str">
        <f>IF($A359="","",IF(J359&lt;&gt;"",J359,IF($A359&gt;'Work Calendar'!$B$17,"No data yet",IF(AND(F359&gt;='Work Calendar'!$B$14,D359+E359+G359&gt;0),"Day off - but worked",IF(F359&gt;='Work Calendar'!$B$14,"Day off",IF(D359+E359+G359&gt;0,IF($C359="Working","Charged","Worked weekend"),IF($C359="Working","Leave (not charged)",$C359)))))))</f>
        <v>No data yet</v>
      </c>
      <c r="L359" s="341">
        <f>IF($A359="","",SUMIFS('Timesheet Raw'!$P$4:$P$8000,'Timesheet Raw'!$L$4:$L$8000,$A359,'Timesheet Raw'!$C$4:$C$8000,L$3,'Timesheet Raw'!$A$4:$A$8000,"1-Projects"))</f>
        <v>0</v>
      </c>
      <c r="M359" s="341">
        <f>IF($A359="","",SUMIFS('Timesheet Raw'!$P$4:$P$8000,'Timesheet Raw'!$L$4:$L$8000,$A359,'Timesheet Raw'!$C$4:$C$8000,L$3,'Timesheet Raw'!$A$4:$A$8000,"2-Proposals Chargeable")+SUMIFS('Timesheet Raw'!$P$4:$P$8000,'Timesheet Raw'!$L$4:$L$8000,$A359,'Timesheet Raw'!$C$4:$C$8000,L$3,'Timesheet Raw'!$A$4:$A$8000,"3-Proposals Regular"))</f>
        <v>0</v>
      </c>
      <c r="N359" s="341">
        <f>IF($A359="","",SUMIFS('Timesheet Raw'!$P$4:$P$8000,'Timesheet Raw'!$L$4:$L$8000,$A359,'Timesheet Raw'!$C$4:$C$8000,L$3,'Timesheet Raw'!$B$4:$B$8000,'Work Calendar'!$A$26)+SUMIFS('Timesheet Raw'!$P$4:$P$8000,'Timesheet Raw'!$L$4:$L$8000,$A359,'Timesheet Raw'!$C$4:$C$8000,L$3,'Timesheet Raw'!$B$4:$B$8000,'Work Calendar'!$A$27)+SUMIFS('Timesheet Raw'!$P$4:$P$8000,'Timesheet Raw'!$L$4:$L$8000,$A359,'Timesheet Raw'!$C$4:$C$8000,L$3,'Timesheet Raw'!$B$4:$B$8000,'Work Calendar'!$A$28)+SUMIFS('Timesheet Raw'!$P$4:$P$8000,'Timesheet Raw'!$L$4:$L$8000,$A359,'Timesheet Raw'!$C$4:$C$8000,L$3,'Timesheet Raw'!$B$4:$B$8000,'Work Calendar'!$A$29))</f>
        <v>0</v>
      </c>
      <c r="O359" s="341">
        <f t="shared" si="22"/>
        <v>0</v>
      </c>
      <c r="P359" s="395">
        <f>IF($A359="","",SUMIFS('Timesheet Raw'!$K$4:$K$8000,'Timesheet Raw'!$L$4:$L$8000,$A359,'Timesheet Raw'!$C$4:$C$8000,L$3))</f>
        <v>0</v>
      </c>
      <c r="Q359" s="345">
        <f>IF($A359="","",SUMIFS('Timesheet Raw'!$P$4:$P$8000,'Timesheet Raw'!$L$4:$L$8000,$A359,'Timesheet Raw'!$C$4:$C$8000,L$3))</f>
        <v>0</v>
      </c>
      <c r="R359" s="375"/>
      <c r="S359" t="str">
        <f>IF($A359="","",IF(R359&lt;&gt;"",R359,IF($A359&gt;'Work Calendar'!$B$17,"No data yet",IF(AND(N359&gt;='Work Calendar'!$B$14,L359+M359+O359&gt;0),"Day off - but worked",IF(N359&gt;='Work Calendar'!$B$14,"Day off",IF(L359+M359+O359&gt;0,IF($C359="Working","Charged","Worked weekend"),IF($C359="Working","Leave (not charged)",$C359)))))))</f>
        <v>No data yet</v>
      </c>
      <c r="T359" s="341">
        <f>IF($A359="","",SUMIFS('Timesheet Raw'!$P$4:$P$8000,'Timesheet Raw'!$L$4:$L$8000,$A359,'Timesheet Raw'!$C$4:$C$8000,T$3,'Timesheet Raw'!$A$4:$A$8000,"1-Projects"))</f>
        <v>0</v>
      </c>
      <c r="U359" s="341">
        <f>IF($A359="","",SUMIFS('Timesheet Raw'!$P$4:$P$8000,'Timesheet Raw'!$L$4:$L$8000,$A359,'Timesheet Raw'!$C$4:$C$8000,T$3,'Timesheet Raw'!$A$4:$A$8000,"2-Proposals Chargeable")+SUMIFS('Timesheet Raw'!$P$4:$P$8000,'Timesheet Raw'!$L$4:$L$8000,$A359,'Timesheet Raw'!$C$4:$C$8000,T$3,'Timesheet Raw'!$A$4:$A$8000,"3-Proposals Regular"))</f>
        <v>0</v>
      </c>
      <c r="V359" s="341">
        <f>IF($A359="","",SUMIFS('Timesheet Raw'!$P$4:$P$8000,'Timesheet Raw'!$L$4:$L$8000,$A359,'Timesheet Raw'!$C$4:$C$8000,T$3,'Timesheet Raw'!$B$4:$B$8000,'Work Calendar'!$A$26)+SUMIFS('Timesheet Raw'!$P$4:$P$8000,'Timesheet Raw'!$L$4:$L$8000,$A359,'Timesheet Raw'!$C$4:$C$8000,T$3,'Timesheet Raw'!$B$4:$B$8000,'Work Calendar'!$A$27)+SUMIFS('Timesheet Raw'!$P$4:$P$8000,'Timesheet Raw'!$L$4:$L$8000,$A359,'Timesheet Raw'!$C$4:$C$8000,T$3,'Timesheet Raw'!$B$4:$B$8000,'Work Calendar'!$A$28)+SUMIFS('Timesheet Raw'!$P$4:$P$8000,'Timesheet Raw'!$L$4:$L$8000,$A359,'Timesheet Raw'!$C$4:$C$8000,T$3,'Timesheet Raw'!$B$4:$B$8000,'Work Calendar'!$A$29))</f>
        <v>0</v>
      </c>
      <c r="W359" s="341">
        <f t="shared" si="23"/>
        <v>0</v>
      </c>
      <c r="X359" s="395">
        <f>IF($A359="","",SUMIFS('Timesheet Raw'!$K$4:$K$8000,'Timesheet Raw'!$L$4:$L$8000,$A359,'Timesheet Raw'!$C$4:$C$8000,T$3))</f>
        <v>0</v>
      </c>
      <c r="Y359" s="345">
        <f>IF($A359="","",SUMIFS('Timesheet Raw'!$P$4:$P$8000,'Timesheet Raw'!$L$4:$L$8000,$A359,'Timesheet Raw'!$C$4:$C$8000,T$3))</f>
        <v>0</v>
      </c>
      <c r="Z359" s="375"/>
      <c r="AA359" t="str">
        <f>IF($A359="","",IF(Z359&lt;&gt;"",Z359,IF($A359&gt;'Work Calendar'!$B$17,"No data yet",IF(AND(V359&gt;='Work Calendar'!$B$14,T359+U359+W359&gt;0),"Day off - but worked",IF(V359&gt;='Work Calendar'!$B$14,"Day off",IF(T359+U359+W359&gt;0,IF($C359="Working","Charged","Worked weekend"),IF($C359="Working","Leave (not charged)",$C359)))))))</f>
        <v>No data yet</v>
      </c>
    </row>
    <row r="360" spans="1:27" x14ac:dyDescent="0.3">
      <c r="A360" s="371">
        <f>IF($A359="","",IF($A359+1&gt;'Work Calendar'!$B$16,"",$A359+1))</f>
        <v>46378</v>
      </c>
      <c r="B360" t="str">
        <f t="shared" si="20"/>
        <v>Tue</v>
      </c>
      <c r="C360" t="str" cm="1">
        <f t="array" ref="C360">IF($A360="","",IF(COUNTIF('Work Calendar'!$E$6:$E$200,$A360)&gt;0,"Holiday",IF(INDEX('Work Calendar'!$C$6:$C$12,WEEKDAY($A360,1))=1,"Working","Weekend")))</f>
        <v>Working</v>
      </c>
      <c r="D360" s="341">
        <f>IF($A360="","",SUMIFS('Timesheet Raw'!$P$4:$P$8000,'Timesheet Raw'!$L$4:$L$8000,$A360,'Timesheet Raw'!$C$4:$C$8000,D$3,'Timesheet Raw'!$A$4:$A$8000,"1-Projects"))</f>
        <v>0</v>
      </c>
      <c r="E360" s="341">
        <f>IF($A360="","",SUMIFS('Timesheet Raw'!$P$4:$P$8000,'Timesheet Raw'!$L$4:$L$8000,$A360,'Timesheet Raw'!$C$4:$C$8000,D$3,'Timesheet Raw'!$A$4:$A$8000,"2-Proposals Chargeable")+SUMIFS('Timesheet Raw'!$P$4:$P$8000,'Timesheet Raw'!$L$4:$L$8000,$A360,'Timesheet Raw'!$C$4:$C$8000,D$3,'Timesheet Raw'!$A$4:$A$8000,"3-Proposals Regular"))</f>
        <v>0</v>
      </c>
      <c r="F360" s="341">
        <f>IF($A360="","",SUMIFS('Timesheet Raw'!$P$4:$P$8000,'Timesheet Raw'!$L$4:$L$8000,$A360,'Timesheet Raw'!$C$4:$C$8000,D$3,'Timesheet Raw'!$B$4:$B$8000,'Work Calendar'!$A$26)+SUMIFS('Timesheet Raw'!$P$4:$P$8000,'Timesheet Raw'!$L$4:$L$8000,$A360,'Timesheet Raw'!$C$4:$C$8000,D$3,'Timesheet Raw'!$B$4:$B$8000,'Work Calendar'!$A$27)+SUMIFS('Timesheet Raw'!$P$4:$P$8000,'Timesheet Raw'!$L$4:$L$8000,$A360,'Timesheet Raw'!$C$4:$C$8000,D$3,'Timesheet Raw'!$B$4:$B$8000,'Work Calendar'!$A$28)+SUMIFS('Timesheet Raw'!$P$4:$P$8000,'Timesheet Raw'!$L$4:$L$8000,$A360,'Timesheet Raw'!$C$4:$C$8000,D$3,'Timesheet Raw'!$B$4:$B$8000,'Work Calendar'!$A$29))</f>
        <v>0</v>
      </c>
      <c r="G360" s="341">
        <f t="shared" si="21"/>
        <v>0</v>
      </c>
      <c r="H360" s="395">
        <f>IF($A360="","",SUMIFS('Timesheet Raw'!$K$4:$K$8000,'Timesheet Raw'!$L$4:$L$8000,$A360,'Timesheet Raw'!$C$4:$C$8000,D$3))</f>
        <v>0</v>
      </c>
      <c r="I360" s="345">
        <f>IF($A360="","",SUMIFS('Timesheet Raw'!$P$4:$P$8000,'Timesheet Raw'!$L$4:$L$8000,$A360,'Timesheet Raw'!$C$4:$C$8000,D$3))</f>
        <v>0</v>
      </c>
      <c r="J360" s="375"/>
      <c r="K360" t="str">
        <f>IF($A360="","",IF(J360&lt;&gt;"",J360,IF($A360&gt;'Work Calendar'!$B$17,"No data yet",IF(AND(F360&gt;='Work Calendar'!$B$14,D360+E360+G360&gt;0),"Day off - but worked",IF(F360&gt;='Work Calendar'!$B$14,"Day off",IF(D360+E360+G360&gt;0,IF($C360="Working","Charged","Worked weekend"),IF($C360="Working","Leave (not charged)",$C360)))))))</f>
        <v>No data yet</v>
      </c>
      <c r="L360" s="341">
        <f>IF($A360="","",SUMIFS('Timesheet Raw'!$P$4:$P$8000,'Timesheet Raw'!$L$4:$L$8000,$A360,'Timesheet Raw'!$C$4:$C$8000,L$3,'Timesheet Raw'!$A$4:$A$8000,"1-Projects"))</f>
        <v>0</v>
      </c>
      <c r="M360" s="341">
        <f>IF($A360="","",SUMIFS('Timesheet Raw'!$P$4:$P$8000,'Timesheet Raw'!$L$4:$L$8000,$A360,'Timesheet Raw'!$C$4:$C$8000,L$3,'Timesheet Raw'!$A$4:$A$8000,"2-Proposals Chargeable")+SUMIFS('Timesheet Raw'!$P$4:$P$8000,'Timesheet Raw'!$L$4:$L$8000,$A360,'Timesheet Raw'!$C$4:$C$8000,L$3,'Timesheet Raw'!$A$4:$A$8000,"3-Proposals Regular"))</f>
        <v>0</v>
      </c>
      <c r="N360" s="341">
        <f>IF($A360="","",SUMIFS('Timesheet Raw'!$P$4:$P$8000,'Timesheet Raw'!$L$4:$L$8000,$A360,'Timesheet Raw'!$C$4:$C$8000,L$3,'Timesheet Raw'!$B$4:$B$8000,'Work Calendar'!$A$26)+SUMIFS('Timesheet Raw'!$P$4:$P$8000,'Timesheet Raw'!$L$4:$L$8000,$A360,'Timesheet Raw'!$C$4:$C$8000,L$3,'Timesheet Raw'!$B$4:$B$8000,'Work Calendar'!$A$27)+SUMIFS('Timesheet Raw'!$P$4:$P$8000,'Timesheet Raw'!$L$4:$L$8000,$A360,'Timesheet Raw'!$C$4:$C$8000,L$3,'Timesheet Raw'!$B$4:$B$8000,'Work Calendar'!$A$28)+SUMIFS('Timesheet Raw'!$P$4:$P$8000,'Timesheet Raw'!$L$4:$L$8000,$A360,'Timesheet Raw'!$C$4:$C$8000,L$3,'Timesheet Raw'!$B$4:$B$8000,'Work Calendar'!$A$29))</f>
        <v>0</v>
      </c>
      <c r="O360" s="341">
        <f t="shared" si="22"/>
        <v>0</v>
      </c>
      <c r="P360" s="395">
        <f>IF($A360="","",SUMIFS('Timesheet Raw'!$K$4:$K$8000,'Timesheet Raw'!$L$4:$L$8000,$A360,'Timesheet Raw'!$C$4:$C$8000,L$3))</f>
        <v>0</v>
      </c>
      <c r="Q360" s="345">
        <f>IF($A360="","",SUMIFS('Timesheet Raw'!$P$4:$P$8000,'Timesheet Raw'!$L$4:$L$8000,$A360,'Timesheet Raw'!$C$4:$C$8000,L$3))</f>
        <v>0</v>
      </c>
      <c r="R360" s="375"/>
      <c r="S360" t="str">
        <f>IF($A360="","",IF(R360&lt;&gt;"",R360,IF($A360&gt;'Work Calendar'!$B$17,"No data yet",IF(AND(N360&gt;='Work Calendar'!$B$14,L360+M360+O360&gt;0),"Day off - but worked",IF(N360&gt;='Work Calendar'!$B$14,"Day off",IF(L360+M360+O360&gt;0,IF($C360="Working","Charged","Worked weekend"),IF($C360="Working","Leave (not charged)",$C360)))))))</f>
        <v>No data yet</v>
      </c>
      <c r="T360" s="341">
        <f>IF($A360="","",SUMIFS('Timesheet Raw'!$P$4:$P$8000,'Timesheet Raw'!$L$4:$L$8000,$A360,'Timesheet Raw'!$C$4:$C$8000,T$3,'Timesheet Raw'!$A$4:$A$8000,"1-Projects"))</f>
        <v>0</v>
      </c>
      <c r="U360" s="341">
        <f>IF($A360="","",SUMIFS('Timesheet Raw'!$P$4:$P$8000,'Timesheet Raw'!$L$4:$L$8000,$A360,'Timesheet Raw'!$C$4:$C$8000,T$3,'Timesheet Raw'!$A$4:$A$8000,"2-Proposals Chargeable")+SUMIFS('Timesheet Raw'!$P$4:$P$8000,'Timesheet Raw'!$L$4:$L$8000,$A360,'Timesheet Raw'!$C$4:$C$8000,T$3,'Timesheet Raw'!$A$4:$A$8000,"3-Proposals Regular"))</f>
        <v>0</v>
      </c>
      <c r="V360" s="341">
        <f>IF($A360="","",SUMIFS('Timesheet Raw'!$P$4:$P$8000,'Timesheet Raw'!$L$4:$L$8000,$A360,'Timesheet Raw'!$C$4:$C$8000,T$3,'Timesheet Raw'!$B$4:$B$8000,'Work Calendar'!$A$26)+SUMIFS('Timesheet Raw'!$P$4:$P$8000,'Timesheet Raw'!$L$4:$L$8000,$A360,'Timesheet Raw'!$C$4:$C$8000,T$3,'Timesheet Raw'!$B$4:$B$8000,'Work Calendar'!$A$27)+SUMIFS('Timesheet Raw'!$P$4:$P$8000,'Timesheet Raw'!$L$4:$L$8000,$A360,'Timesheet Raw'!$C$4:$C$8000,T$3,'Timesheet Raw'!$B$4:$B$8000,'Work Calendar'!$A$28)+SUMIFS('Timesheet Raw'!$P$4:$P$8000,'Timesheet Raw'!$L$4:$L$8000,$A360,'Timesheet Raw'!$C$4:$C$8000,T$3,'Timesheet Raw'!$B$4:$B$8000,'Work Calendar'!$A$29))</f>
        <v>0</v>
      </c>
      <c r="W360" s="341">
        <f t="shared" si="23"/>
        <v>0</v>
      </c>
      <c r="X360" s="395">
        <f>IF($A360="","",SUMIFS('Timesheet Raw'!$K$4:$K$8000,'Timesheet Raw'!$L$4:$L$8000,$A360,'Timesheet Raw'!$C$4:$C$8000,T$3))</f>
        <v>0</v>
      </c>
      <c r="Y360" s="345">
        <f>IF($A360="","",SUMIFS('Timesheet Raw'!$P$4:$P$8000,'Timesheet Raw'!$L$4:$L$8000,$A360,'Timesheet Raw'!$C$4:$C$8000,T$3))</f>
        <v>0</v>
      </c>
      <c r="Z360" s="375"/>
      <c r="AA360" t="str">
        <f>IF($A360="","",IF(Z360&lt;&gt;"",Z360,IF($A360&gt;'Work Calendar'!$B$17,"No data yet",IF(AND(V360&gt;='Work Calendar'!$B$14,T360+U360+W360&gt;0),"Day off - but worked",IF(V360&gt;='Work Calendar'!$B$14,"Day off",IF(T360+U360+W360&gt;0,IF($C360="Working","Charged","Worked weekend"),IF($C360="Working","Leave (not charged)",$C360)))))))</f>
        <v>No data yet</v>
      </c>
    </row>
    <row r="361" spans="1:27" x14ac:dyDescent="0.3">
      <c r="A361" s="371">
        <f>IF($A360="","",IF($A360+1&gt;'Work Calendar'!$B$16,"",$A360+1))</f>
        <v>46379</v>
      </c>
      <c r="B361" t="str">
        <f t="shared" si="20"/>
        <v>Wed</v>
      </c>
      <c r="C361" t="str" cm="1">
        <f t="array" ref="C361">IF($A361="","",IF(COUNTIF('Work Calendar'!$E$6:$E$200,$A361)&gt;0,"Holiday",IF(INDEX('Work Calendar'!$C$6:$C$12,WEEKDAY($A361,1))=1,"Working","Weekend")))</f>
        <v>Working</v>
      </c>
      <c r="D361" s="341">
        <f>IF($A361="","",SUMIFS('Timesheet Raw'!$P$4:$P$8000,'Timesheet Raw'!$L$4:$L$8000,$A361,'Timesheet Raw'!$C$4:$C$8000,D$3,'Timesheet Raw'!$A$4:$A$8000,"1-Projects"))</f>
        <v>0</v>
      </c>
      <c r="E361" s="341">
        <f>IF($A361="","",SUMIFS('Timesheet Raw'!$P$4:$P$8000,'Timesheet Raw'!$L$4:$L$8000,$A361,'Timesheet Raw'!$C$4:$C$8000,D$3,'Timesheet Raw'!$A$4:$A$8000,"2-Proposals Chargeable")+SUMIFS('Timesheet Raw'!$P$4:$P$8000,'Timesheet Raw'!$L$4:$L$8000,$A361,'Timesheet Raw'!$C$4:$C$8000,D$3,'Timesheet Raw'!$A$4:$A$8000,"3-Proposals Regular"))</f>
        <v>0</v>
      </c>
      <c r="F361" s="341">
        <f>IF($A361="","",SUMIFS('Timesheet Raw'!$P$4:$P$8000,'Timesheet Raw'!$L$4:$L$8000,$A361,'Timesheet Raw'!$C$4:$C$8000,D$3,'Timesheet Raw'!$B$4:$B$8000,'Work Calendar'!$A$26)+SUMIFS('Timesheet Raw'!$P$4:$P$8000,'Timesheet Raw'!$L$4:$L$8000,$A361,'Timesheet Raw'!$C$4:$C$8000,D$3,'Timesheet Raw'!$B$4:$B$8000,'Work Calendar'!$A$27)+SUMIFS('Timesheet Raw'!$P$4:$P$8000,'Timesheet Raw'!$L$4:$L$8000,$A361,'Timesheet Raw'!$C$4:$C$8000,D$3,'Timesheet Raw'!$B$4:$B$8000,'Work Calendar'!$A$28)+SUMIFS('Timesheet Raw'!$P$4:$P$8000,'Timesheet Raw'!$L$4:$L$8000,$A361,'Timesheet Raw'!$C$4:$C$8000,D$3,'Timesheet Raw'!$B$4:$B$8000,'Work Calendar'!$A$29))</f>
        <v>0</v>
      </c>
      <c r="G361" s="341">
        <f t="shared" si="21"/>
        <v>0</v>
      </c>
      <c r="H361" s="395">
        <f>IF($A361="","",SUMIFS('Timesheet Raw'!$K$4:$K$8000,'Timesheet Raw'!$L$4:$L$8000,$A361,'Timesheet Raw'!$C$4:$C$8000,D$3))</f>
        <v>0</v>
      </c>
      <c r="I361" s="345">
        <f>IF($A361="","",SUMIFS('Timesheet Raw'!$P$4:$P$8000,'Timesheet Raw'!$L$4:$L$8000,$A361,'Timesheet Raw'!$C$4:$C$8000,D$3))</f>
        <v>0</v>
      </c>
      <c r="J361" s="375"/>
      <c r="K361" t="str">
        <f>IF($A361="","",IF(J361&lt;&gt;"",J361,IF($A361&gt;'Work Calendar'!$B$17,"No data yet",IF(AND(F361&gt;='Work Calendar'!$B$14,D361+E361+G361&gt;0),"Day off - but worked",IF(F361&gt;='Work Calendar'!$B$14,"Day off",IF(D361+E361+G361&gt;0,IF($C361="Working","Charged","Worked weekend"),IF($C361="Working","Leave (not charged)",$C361)))))))</f>
        <v>No data yet</v>
      </c>
      <c r="L361" s="341">
        <f>IF($A361="","",SUMIFS('Timesheet Raw'!$P$4:$P$8000,'Timesheet Raw'!$L$4:$L$8000,$A361,'Timesheet Raw'!$C$4:$C$8000,L$3,'Timesheet Raw'!$A$4:$A$8000,"1-Projects"))</f>
        <v>0</v>
      </c>
      <c r="M361" s="341">
        <f>IF($A361="","",SUMIFS('Timesheet Raw'!$P$4:$P$8000,'Timesheet Raw'!$L$4:$L$8000,$A361,'Timesheet Raw'!$C$4:$C$8000,L$3,'Timesheet Raw'!$A$4:$A$8000,"2-Proposals Chargeable")+SUMIFS('Timesheet Raw'!$P$4:$P$8000,'Timesheet Raw'!$L$4:$L$8000,$A361,'Timesheet Raw'!$C$4:$C$8000,L$3,'Timesheet Raw'!$A$4:$A$8000,"3-Proposals Regular"))</f>
        <v>0</v>
      </c>
      <c r="N361" s="341">
        <f>IF($A361="","",SUMIFS('Timesheet Raw'!$P$4:$P$8000,'Timesheet Raw'!$L$4:$L$8000,$A361,'Timesheet Raw'!$C$4:$C$8000,L$3,'Timesheet Raw'!$B$4:$B$8000,'Work Calendar'!$A$26)+SUMIFS('Timesheet Raw'!$P$4:$P$8000,'Timesheet Raw'!$L$4:$L$8000,$A361,'Timesheet Raw'!$C$4:$C$8000,L$3,'Timesheet Raw'!$B$4:$B$8000,'Work Calendar'!$A$27)+SUMIFS('Timesheet Raw'!$P$4:$P$8000,'Timesheet Raw'!$L$4:$L$8000,$A361,'Timesheet Raw'!$C$4:$C$8000,L$3,'Timesheet Raw'!$B$4:$B$8000,'Work Calendar'!$A$28)+SUMIFS('Timesheet Raw'!$P$4:$P$8000,'Timesheet Raw'!$L$4:$L$8000,$A361,'Timesheet Raw'!$C$4:$C$8000,L$3,'Timesheet Raw'!$B$4:$B$8000,'Work Calendar'!$A$29))</f>
        <v>0</v>
      </c>
      <c r="O361" s="341">
        <f t="shared" si="22"/>
        <v>0</v>
      </c>
      <c r="P361" s="395">
        <f>IF($A361="","",SUMIFS('Timesheet Raw'!$K$4:$K$8000,'Timesheet Raw'!$L$4:$L$8000,$A361,'Timesheet Raw'!$C$4:$C$8000,L$3))</f>
        <v>0</v>
      </c>
      <c r="Q361" s="345">
        <f>IF($A361="","",SUMIFS('Timesheet Raw'!$P$4:$P$8000,'Timesheet Raw'!$L$4:$L$8000,$A361,'Timesheet Raw'!$C$4:$C$8000,L$3))</f>
        <v>0</v>
      </c>
      <c r="R361" s="375"/>
      <c r="S361" t="str">
        <f>IF($A361="","",IF(R361&lt;&gt;"",R361,IF($A361&gt;'Work Calendar'!$B$17,"No data yet",IF(AND(N361&gt;='Work Calendar'!$B$14,L361+M361+O361&gt;0),"Day off - but worked",IF(N361&gt;='Work Calendar'!$B$14,"Day off",IF(L361+M361+O361&gt;0,IF($C361="Working","Charged","Worked weekend"),IF($C361="Working","Leave (not charged)",$C361)))))))</f>
        <v>No data yet</v>
      </c>
      <c r="T361" s="341">
        <f>IF($A361="","",SUMIFS('Timesheet Raw'!$P$4:$P$8000,'Timesheet Raw'!$L$4:$L$8000,$A361,'Timesheet Raw'!$C$4:$C$8000,T$3,'Timesheet Raw'!$A$4:$A$8000,"1-Projects"))</f>
        <v>0</v>
      </c>
      <c r="U361" s="341">
        <f>IF($A361="","",SUMIFS('Timesheet Raw'!$P$4:$P$8000,'Timesheet Raw'!$L$4:$L$8000,$A361,'Timesheet Raw'!$C$4:$C$8000,T$3,'Timesheet Raw'!$A$4:$A$8000,"2-Proposals Chargeable")+SUMIFS('Timesheet Raw'!$P$4:$P$8000,'Timesheet Raw'!$L$4:$L$8000,$A361,'Timesheet Raw'!$C$4:$C$8000,T$3,'Timesheet Raw'!$A$4:$A$8000,"3-Proposals Regular"))</f>
        <v>0</v>
      </c>
      <c r="V361" s="341">
        <f>IF($A361="","",SUMIFS('Timesheet Raw'!$P$4:$P$8000,'Timesheet Raw'!$L$4:$L$8000,$A361,'Timesheet Raw'!$C$4:$C$8000,T$3,'Timesheet Raw'!$B$4:$B$8000,'Work Calendar'!$A$26)+SUMIFS('Timesheet Raw'!$P$4:$P$8000,'Timesheet Raw'!$L$4:$L$8000,$A361,'Timesheet Raw'!$C$4:$C$8000,T$3,'Timesheet Raw'!$B$4:$B$8000,'Work Calendar'!$A$27)+SUMIFS('Timesheet Raw'!$P$4:$P$8000,'Timesheet Raw'!$L$4:$L$8000,$A361,'Timesheet Raw'!$C$4:$C$8000,T$3,'Timesheet Raw'!$B$4:$B$8000,'Work Calendar'!$A$28)+SUMIFS('Timesheet Raw'!$P$4:$P$8000,'Timesheet Raw'!$L$4:$L$8000,$A361,'Timesheet Raw'!$C$4:$C$8000,T$3,'Timesheet Raw'!$B$4:$B$8000,'Work Calendar'!$A$29))</f>
        <v>0</v>
      </c>
      <c r="W361" s="341">
        <f t="shared" si="23"/>
        <v>0</v>
      </c>
      <c r="X361" s="395">
        <f>IF($A361="","",SUMIFS('Timesheet Raw'!$K$4:$K$8000,'Timesheet Raw'!$L$4:$L$8000,$A361,'Timesheet Raw'!$C$4:$C$8000,T$3))</f>
        <v>0</v>
      </c>
      <c r="Y361" s="345">
        <f>IF($A361="","",SUMIFS('Timesheet Raw'!$P$4:$P$8000,'Timesheet Raw'!$L$4:$L$8000,$A361,'Timesheet Raw'!$C$4:$C$8000,T$3))</f>
        <v>0</v>
      </c>
      <c r="Z361" s="375"/>
      <c r="AA361" t="str">
        <f>IF($A361="","",IF(Z361&lt;&gt;"",Z361,IF($A361&gt;'Work Calendar'!$B$17,"No data yet",IF(AND(V361&gt;='Work Calendar'!$B$14,T361+U361+W361&gt;0),"Day off - but worked",IF(V361&gt;='Work Calendar'!$B$14,"Day off",IF(T361+U361+W361&gt;0,IF($C361="Working","Charged","Worked weekend"),IF($C361="Working","Leave (not charged)",$C361)))))))</f>
        <v>No data yet</v>
      </c>
    </row>
    <row r="362" spans="1:27" x14ac:dyDescent="0.3">
      <c r="A362" s="371">
        <f>IF($A361="","",IF($A361+1&gt;'Work Calendar'!$B$16,"",$A361+1))</f>
        <v>46380</v>
      </c>
      <c r="B362" t="str">
        <f t="shared" si="20"/>
        <v>Thu</v>
      </c>
      <c r="C362" t="str" cm="1">
        <f t="array" ref="C362">IF($A362="","",IF(COUNTIF('Work Calendar'!$E$6:$E$200,$A362)&gt;0,"Holiday",IF(INDEX('Work Calendar'!$C$6:$C$12,WEEKDAY($A362,1))=1,"Working","Weekend")))</f>
        <v>Working</v>
      </c>
      <c r="D362" s="341">
        <f>IF($A362="","",SUMIFS('Timesheet Raw'!$P$4:$P$8000,'Timesheet Raw'!$L$4:$L$8000,$A362,'Timesheet Raw'!$C$4:$C$8000,D$3,'Timesheet Raw'!$A$4:$A$8000,"1-Projects"))</f>
        <v>0</v>
      </c>
      <c r="E362" s="341">
        <f>IF($A362="","",SUMIFS('Timesheet Raw'!$P$4:$P$8000,'Timesheet Raw'!$L$4:$L$8000,$A362,'Timesheet Raw'!$C$4:$C$8000,D$3,'Timesheet Raw'!$A$4:$A$8000,"2-Proposals Chargeable")+SUMIFS('Timesheet Raw'!$P$4:$P$8000,'Timesheet Raw'!$L$4:$L$8000,$A362,'Timesheet Raw'!$C$4:$C$8000,D$3,'Timesheet Raw'!$A$4:$A$8000,"3-Proposals Regular"))</f>
        <v>0</v>
      </c>
      <c r="F362" s="341">
        <f>IF($A362="","",SUMIFS('Timesheet Raw'!$P$4:$P$8000,'Timesheet Raw'!$L$4:$L$8000,$A362,'Timesheet Raw'!$C$4:$C$8000,D$3,'Timesheet Raw'!$B$4:$B$8000,'Work Calendar'!$A$26)+SUMIFS('Timesheet Raw'!$P$4:$P$8000,'Timesheet Raw'!$L$4:$L$8000,$A362,'Timesheet Raw'!$C$4:$C$8000,D$3,'Timesheet Raw'!$B$4:$B$8000,'Work Calendar'!$A$27)+SUMIFS('Timesheet Raw'!$P$4:$P$8000,'Timesheet Raw'!$L$4:$L$8000,$A362,'Timesheet Raw'!$C$4:$C$8000,D$3,'Timesheet Raw'!$B$4:$B$8000,'Work Calendar'!$A$28)+SUMIFS('Timesheet Raw'!$P$4:$P$8000,'Timesheet Raw'!$L$4:$L$8000,$A362,'Timesheet Raw'!$C$4:$C$8000,D$3,'Timesheet Raw'!$B$4:$B$8000,'Work Calendar'!$A$29))</f>
        <v>0</v>
      </c>
      <c r="G362" s="341">
        <f t="shared" si="21"/>
        <v>0</v>
      </c>
      <c r="H362" s="395">
        <f>IF($A362="","",SUMIFS('Timesheet Raw'!$K$4:$K$8000,'Timesheet Raw'!$L$4:$L$8000,$A362,'Timesheet Raw'!$C$4:$C$8000,D$3))</f>
        <v>0</v>
      </c>
      <c r="I362" s="345">
        <f>IF($A362="","",SUMIFS('Timesheet Raw'!$P$4:$P$8000,'Timesheet Raw'!$L$4:$L$8000,$A362,'Timesheet Raw'!$C$4:$C$8000,D$3))</f>
        <v>0</v>
      </c>
      <c r="J362" s="375"/>
      <c r="K362" t="str">
        <f>IF($A362="","",IF(J362&lt;&gt;"",J362,IF($A362&gt;'Work Calendar'!$B$17,"No data yet",IF(AND(F362&gt;='Work Calendar'!$B$14,D362+E362+G362&gt;0),"Day off - but worked",IF(F362&gt;='Work Calendar'!$B$14,"Day off",IF(D362+E362+G362&gt;0,IF($C362="Working","Charged","Worked weekend"),IF($C362="Working","Leave (not charged)",$C362)))))))</f>
        <v>No data yet</v>
      </c>
      <c r="L362" s="341">
        <f>IF($A362="","",SUMIFS('Timesheet Raw'!$P$4:$P$8000,'Timesheet Raw'!$L$4:$L$8000,$A362,'Timesheet Raw'!$C$4:$C$8000,L$3,'Timesheet Raw'!$A$4:$A$8000,"1-Projects"))</f>
        <v>0</v>
      </c>
      <c r="M362" s="341">
        <f>IF($A362="","",SUMIFS('Timesheet Raw'!$P$4:$P$8000,'Timesheet Raw'!$L$4:$L$8000,$A362,'Timesheet Raw'!$C$4:$C$8000,L$3,'Timesheet Raw'!$A$4:$A$8000,"2-Proposals Chargeable")+SUMIFS('Timesheet Raw'!$P$4:$P$8000,'Timesheet Raw'!$L$4:$L$8000,$A362,'Timesheet Raw'!$C$4:$C$8000,L$3,'Timesheet Raw'!$A$4:$A$8000,"3-Proposals Regular"))</f>
        <v>0</v>
      </c>
      <c r="N362" s="341">
        <f>IF($A362="","",SUMIFS('Timesheet Raw'!$P$4:$P$8000,'Timesheet Raw'!$L$4:$L$8000,$A362,'Timesheet Raw'!$C$4:$C$8000,L$3,'Timesheet Raw'!$B$4:$B$8000,'Work Calendar'!$A$26)+SUMIFS('Timesheet Raw'!$P$4:$P$8000,'Timesheet Raw'!$L$4:$L$8000,$A362,'Timesheet Raw'!$C$4:$C$8000,L$3,'Timesheet Raw'!$B$4:$B$8000,'Work Calendar'!$A$27)+SUMIFS('Timesheet Raw'!$P$4:$P$8000,'Timesheet Raw'!$L$4:$L$8000,$A362,'Timesheet Raw'!$C$4:$C$8000,L$3,'Timesheet Raw'!$B$4:$B$8000,'Work Calendar'!$A$28)+SUMIFS('Timesheet Raw'!$P$4:$P$8000,'Timesheet Raw'!$L$4:$L$8000,$A362,'Timesheet Raw'!$C$4:$C$8000,L$3,'Timesheet Raw'!$B$4:$B$8000,'Work Calendar'!$A$29))</f>
        <v>0</v>
      </c>
      <c r="O362" s="341">
        <f t="shared" si="22"/>
        <v>0</v>
      </c>
      <c r="P362" s="395">
        <f>IF($A362="","",SUMIFS('Timesheet Raw'!$K$4:$K$8000,'Timesheet Raw'!$L$4:$L$8000,$A362,'Timesheet Raw'!$C$4:$C$8000,L$3))</f>
        <v>0</v>
      </c>
      <c r="Q362" s="345">
        <f>IF($A362="","",SUMIFS('Timesheet Raw'!$P$4:$P$8000,'Timesheet Raw'!$L$4:$L$8000,$A362,'Timesheet Raw'!$C$4:$C$8000,L$3))</f>
        <v>0</v>
      </c>
      <c r="R362" s="375"/>
      <c r="S362" t="str">
        <f>IF($A362="","",IF(R362&lt;&gt;"",R362,IF($A362&gt;'Work Calendar'!$B$17,"No data yet",IF(AND(N362&gt;='Work Calendar'!$B$14,L362+M362+O362&gt;0),"Day off - but worked",IF(N362&gt;='Work Calendar'!$B$14,"Day off",IF(L362+M362+O362&gt;0,IF($C362="Working","Charged","Worked weekend"),IF($C362="Working","Leave (not charged)",$C362)))))))</f>
        <v>No data yet</v>
      </c>
      <c r="T362" s="341">
        <f>IF($A362="","",SUMIFS('Timesheet Raw'!$P$4:$P$8000,'Timesheet Raw'!$L$4:$L$8000,$A362,'Timesheet Raw'!$C$4:$C$8000,T$3,'Timesheet Raw'!$A$4:$A$8000,"1-Projects"))</f>
        <v>0</v>
      </c>
      <c r="U362" s="341">
        <f>IF($A362="","",SUMIFS('Timesheet Raw'!$P$4:$P$8000,'Timesheet Raw'!$L$4:$L$8000,$A362,'Timesheet Raw'!$C$4:$C$8000,T$3,'Timesheet Raw'!$A$4:$A$8000,"2-Proposals Chargeable")+SUMIFS('Timesheet Raw'!$P$4:$P$8000,'Timesheet Raw'!$L$4:$L$8000,$A362,'Timesheet Raw'!$C$4:$C$8000,T$3,'Timesheet Raw'!$A$4:$A$8000,"3-Proposals Regular"))</f>
        <v>0</v>
      </c>
      <c r="V362" s="341">
        <f>IF($A362="","",SUMIFS('Timesheet Raw'!$P$4:$P$8000,'Timesheet Raw'!$L$4:$L$8000,$A362,'Timesheet Raw'!$C$4:$C$8000,T$3,'Timesheet Raw'!$B$4:$B$8000,'Work Calendar'!$A$26)+SUMIFS('Timesheet Raw'!$P$4:$P$8000,'Timesheet Raw'!$L$4:$L$8000,$A362,'Timesheet Raw'!$C$4:$C$8000,T$3,'Timesheet Raw'!$B$4:$B$8000,'Work Calendar'!$A$27)+SUMIFS('Timesheet Raw'!$P$4:$P$8000,'Timesheet Raw'!$L$4:$L$8000,$A362,'Timesheet Raw'!$C$4:$C$8000,T$3,'Timesheet Raw'!$B$4:$B$8000,'Work Calendar'!$A$28)+SUMIFS('Timesheet Raw'!$P$4:$P$8000,'Timesheet Raw'!$L$4:$L$8000,$A362,'Timesheet Raw'!$C$4:$C$8000,T$3,'Timesheet Raw'!$B$4:$B$8000,'Work Calendar'!$A$29))</f>
        <v>0</v>
      </c>
      <c r="W362" s="341">
        <f t="shared" si="23"/>
        <v>0</v>
      </c>
      <c r="X362" s="395">
        <f>IF($A362="","",SUMIFS('Timesheet Raw'!$K$4:$K$8000,'Timesheet Raw'!$L$4:$L$8000,$A362,'Timesheet Raw'!$C$4:$C$8000,T$3))</f>
        <v>0</v>
      </c>
      <c r="Y362" s="345">
        <f>IF($A362="","",SUMIFS('Timesheet Raw'!$P$4:$P$8000,'Timesheet Raw'!$L$4:$L$8000,$A362,'Timesheet Raw'!$C$4:$C$8000,T$3))</f>
        <v>0</v>
      </c>
      <c r="Z362" s="375"/>
      <c r="AA362" t="str">
        <f>IF($A362="","",IF(Z362&lt;&gt;"",Z362,IF($A362&gt;'Work Calendar'!$B$17,"No data yet",IF(AND(V362&gt;='Work Calendar'!$B$14,T362+U362+W362&gt;0),"Day off - but worked",IF(V362&gt;='Work Calendar'!$B$14,"Day off",IF(T362+U362+W362&gt;0,IF($C362="Working","Charged","Worked weekend"),IF($C362="Working","Leave (not charged)",$C362)))))))</f>
        <v>No data yet</v>
      </c>
    </row>
    <row r="363" spans="1:27" x14ac:dyDescent="0.3">
      <c r="A363" s="371">
        <f>IF($A362="","",IF($A362+1&gt;'Work Calendar'!$B$16,"",$A362+1))</f>
        <v>46381</v>
      </c>
      <c r="B363" t="str">
        <f t="shared" si="20"/>
        <v>Fri</v>
      </c>
      <c r="C363" t="str" cm="1">
        <f t="array" ref="C363">IF($A363="","",IF(COUNTIF('Work Calendar'!$E$6:$E$200,$A363)&gt;0,"Holiday",IF(INDEX('Work Calendar'!$C$6:$C$12,WEEKDAY($A363,1))=1,"Working","Weekend")))</f>
        <v>Weekend</v>
      </c>
      <c r="D363" s="341">
        <f>IF($A363="","",SUMIFS('Timesheet Raw'!$P$4:$P$8000,'Timesheet Raw'!$L$4:$L$8000,$A363,'Timesheet Raw'!$C$4:$C$8000,D$3,'Timesheet Raw'!$A$4:$A$8000,"1-Projects"))</f>
        <v>0</v>
      </c>
      <c r="E363" s="341">
        <f>IF($A363="","",SUMIFS('Timesheet Raw'!$P$4:$P$8000,'Timesheet Raw'!$L$4:$L$8000,$A363,'Timesheet Raw'!$C$4:$C$8000,D$3,'Timesheet Raw'!$A$4:$A$8000,"2-Proposals Chargeable")+SUMIFS('Timesheet Raw'!$P$4:$P$8000,'Timesheet Raw'!$L$4:$L$8000,$A363,'Timesheet Raw'!$C$4:$C$8000,D$3,'Timesheet Raw'!$A$4:$A$8000,"3-Proposals Regular"))</f>
        <v>0</v>
      </c>
      <c r="F363" s="341">
        <f>IF($A363="","",SUMIFS('Timesheet Raw'!$P$4:$P$8000,'Timesheet Raw'!$L$4:$L$8000,$A363,'Timesheet Raw'!$C$4:$C$8000,D$3,'Timesheet Raw'!$B$4:$B$8000,'Work Calendar'!$A$26)+SUMIFS('Timesheet Raw'!$P$4:$P$8000,'Timesheet Raw'!$L$4:$L$8000,$A363,'Timesheet Raw'!$C$4:$C$8000,D$3,'Timesheet Raw'!$B$4:$B$8000,'Work Calendar'!$A$27)+SUMIFS('Timesheet Raw'!$P$4:$P$8000,'Timesheet Raw'!$L$4:$L$8000,$A363,'Timesheet Raw'!$C$4:$C$8000,D$3,'Timesheet Raw'!$B$4:$B$8000,'Work Calendar'!$A$28)+SUMIFS('Timesheet Raw'!$P$4:$P$8000,'Timesheet Raw'!$L$4:$L$8000,$A363,'Timesheet Raw'!$C$4:$C$8000,D$3,'Timesheet Raw'!$B$4:$B$8000,'Work Calendar'!$A$29))</f>
        <v>0</v>
      </c>
      <c r="G363" s="341">
        <f t="shared" si="21"/>
        <v>0</v>
      </c>
      <c r="H363" s="395">
        <f>IF($A363="","",SUMIFS('Timesheet Raw'!$K$4:$K$8000,'Timesheet Raw'!$L$4:$L$8000,$A363,'Timesheet Raw'!$C$4:$C$8000,D$3))</f>
        <v>0</v>
      </c>
      <c r="I363" s="345">
        <f>IF($A363="","",SUMIFS('Timesheet Raw'!$P$4:$P$8000,'Timesheet Raw'!$L$4:$L$8000,$A363,'Timesheet Raw'!$C$4:$C$8000,D$3))</f>
        <v>0</v>
      </c>
      <c r="J363" s="375"/>
      <c r="K363" t="str">
        <f>IF($A363="","",IF(J363&lt;&gt;"",J363,IF($A363&gt;'Work Calendar'!$B$17,"No data yet",IF(AND(F363&gt;='Work Calendar'!$B$14,D363+E363+G363&gt;0),"Day off - but worked",IF(F363&gt;='Work Calendar'!$B$14,"Day off",IF(D363+E363+G363&gt;0,IF($C363="Working","Charged","Worked weekend"),IF($C363="Working","Leave (not charged)",$C363)))))))</f>
        <v>No data yet</v>
      </c>
      <c r="L363" s="341">
        <f>IF($A363="","",SUMIFS('Timesheet Raw'!$P$4:$P$8000,'Timesheet Raw'!$L$4:$L$8000,$A363,'Timesheet Raw'!$C$4:$C$8000,L$3,'Timesheet Raw'!$A$4:$A$8000,"1-Projects"))</f>
        <v>0</v>
      </c>
      <c r="M363" s="341">
        <f>IF($A363="","",SUMIFS('Timesheet Raw'!$P$4:$P$8000,'Timesheet Raw'!$L$4:$L$8000,$A363,'Timesheet Raw'!$C$4:$C$8000,L$3,'Timesheet Raw'!$A$4:$A$8000,"2-Proposals Chargeable")+SUMIFS('Timesheet Raw'!$P$4:$P$8000,'Timesheet Raw'!$L$4:$L$8000,$A363,'Timesheet Raw'!$C$4:$C$8000,L$3,'Timesheet Raw'!$A$4:$A$8000,"3-Proposals Regular"))</f>
        <v>0</v>
      </c>
      <c r="N363" s="341">
        <f>IF($A363="","",SUMIFS('Timesheet Raw'!$P$4:$P$8000,'Timesheet Raw'!$L$4:$L$8000,$A363,'Timesheet Raw'!$C$4:$C$8000,L$3,'Timesheet Raw'!$B$4:$B$8000,'Work Calendar'!$A$26)+SUMIFS('Timesheet Raw'!$P$4:$P$8000,'Timesheet Raw'!$L$4:$L$8000,$A363,'Timesheet Raw'!$C$4:$C$8000,L$3,'Timesheet Raw'!$B$4:$B$8000,'Work Calendar'!$A$27)+SUMIFS('Timesheet Raw'!$P$4:$P$8000,'Timesheet Raw'!$L$4:$L$8000,$A363,'Timesheet Raw'!$C$4:$C$8000,L$3,'Timesheet Raw'!$B$4:$B$8000,'Work Calendar'!$A$28)+SUMIFS('Timesheet Raw'!$P$4:$P$8000,'Timesheet Raw'!$L$4:$L$8000,$A363,'Timesheet Raw'!$C$4:$C$8000,L$3,'Timesheet Raw'!$B$4:$B$8000,'Work Calendar'!$A$29))</f>
        <v>0</v>
      </c>
      <c r="O363" s="341">
        <f t="shared" si="22"/>
        <v>0</v>
      </c>
      <c r="P363" s="395">
        <f>IF($A363="","",SUMIFS('Timesheet Raw'!$K$4:$K$8000,'Timesheet Raw'!$L$4:$L$8000,$A363,'Timesheet Raw'!$C$4:$C$8000,L$3))</f>
        <v>0</v>
      </c>
      <c r="Q363" s="345">
        <f>IF($A363="","",SUMIFS('Timesheet Raw'!$P$4:$P$8000,'Timesheet Raw'!$L$4:$L$8000,$A363,'Timesheet Raw'!$C$4:$C$8000,L$3))</f>
        <v>0</v>
      </c>
      <c r="R363" s="375"/>
      <c r="S363" t="str">
        <f>IF($A363="","",IF(R363&lt;&gt;"",R363,IF($A363&gt;'Work Calendar'!$B$17,"No data yet",IF(AND(N363&gt;='Work Calendar'!$B$14,L363+M363+O363&gt;0),"Day off - but worked",IF(N363&gt;='Work Calendar'!$B$14,"Day off",IF(L363+M363+O363&gt;0,IF($C363="Working","Charged","Worked weekend"),IF($C363="Working","Leave (not charged)",$C363)))))))</f>
        <v>No data yet</v>
      </c>
      <c r="T363" s="341">
        <f>IF($A363="","",SUMIFS('Timesheet Raw'!$P$4:$P$8000,'Timesheet Raw'!$L$4:$L$8000,$A363,'Timesheet Raw'!$C$4:$C$8000,T$3,'Timesheet Raw'!$A$4:$A$8000,"1-Projects"))</f>
        <v>0</v>
      </c>
      <c r="U363" s="341">
        <f>IF($A363="","",SUMIFS('Timesheet Raw'!$P$4:$P$8000,'Timesheet Raw'!$L$4:$L$8000,$A363,'Timesheet Raw'!$C$4:$C$8000,T$3,'Timesheet Raw'!$A$4:$A$8000,"2-Proposals Chargeable")+SUMIFS('Timesheet Raw'!$P$4:$P$8000,'Timesheet Raw'!$L$4:$L$8000,$A363,'Timesheet Raw'!$C$4:$C$8000,T$3,'Timesheet Raw'!$A$4:$A$8000,"3-Proposals Regular"))</f>
        <v>0</v>
      </c>
      <c r="V363" s="341">
        <f>IF($A363="","",SUMIFS('Timesheet Raw'!$P$4:$P$8000,'Timesheet Raw'!$L$4:$L$8000,$A363,'Timesheet Raw'!$C$4:$C$8000,T$3,'Timesheet Raw'!$B$4:$B$8000,'Work Calendar'!$A$26)+SUMIFS('Timesheet Raw'!$P$4:$P$8000,'Timesheet Raw'!$L$4:$L$8000,$A363,'Timesheet Raw'!$C$4:$C$8000,T$3,'Timesheet Raw'!$B$4:$B$8000,'Work Calendar'!$A$27)+SUMIFS('Timesheet Raw'!$P$4:$P$8000,'Timesheet Raw'!$L$4:$L$8000,$A363,'Timesheet Raw'!$C$4:$C$8000,T$3,'Timesheet Raw'!$B$4:$B$8000,'Work Calendar'!$A$28)+SUMIFS('Timesheet Raw'!$P$4:$P$8000,'Timesheet Raw'!$L$4:$L$8000,$A363,'Timesheet Raw'!$C$4:$C$8000,T$3,'Timesheet Raw'!$B$4:$B$8000,'Work Calendar'!$A$29))</f>
        <v>0</v>
      </c>
      <c r="W363" s="341">
        <f t="shared" si="23"/>
        <v>0</v>
      </c>
      <c r="X363" s="395">
        <f>IF($A363="","",SUMIFS('Timesheet Raw'!$K$4:$K$8000,'Timesheet Raw'!$L$4:$L$8000,$A363,'Timesheet Raw'!$C$4:$C$8000,T$3))</f>
        <v>0</v>
      </c>
      <c r="Y363" s="345">
        <f>IF($A363="","",SUMIFS('Timesheet Raw'!$P$4:$P$8000,'Timesheet Raw'!$L$4:$L$8000,$A363,'Timesheet Raw'!$C$4:$C$8000,T$3))</f>
        <v>0</v>
      </c>
      <c r="Z363" s="375"/>
      <c r="AA363" t="str">
        <f>IF($A363="","",IF(Z363&lt;&gt;"",Z363,IF($A363&gt;'Work Calendar'!$B$17,"No data yet",IF(AND(V363&gt;='Work Calendar'!$B$14,T363+U363+W363&gt;0),"Day off - but worked",IF(V363&gt;='Work Calendar'!$B$14,"Day off",IF(T363+U363+W363&gt;0,IF($C363="Working","Charged","Worked weekend"),IF($C363="Working","Leave (not charged)",$C363)))))))</f>
        <v>No data yet</v>
      </c>
    </row>
    <row r="364" spans="1:27" x14ac:dyDescent="0.3">
      <c r="A364" s="371">
        <f>IF($A363="","",IF($A363+1&gt;'Work Calendar'!$B$16,"",$A363+1))</f>
        <v>46382</v>
      </c>
      <c r="B364" t="str">
        <f t="shared" si="20"/>
        <v>Sat</v>
      </c>
      <c r="C364" t="str" cm="1">
        <f t="array" ref="C364">IF($A364="","",IF(COUNTIF('Work Calendar'!$E$6:$E$200,$A364)&gt;0,"Holiday",IF(INDEX('Work Calendar'!$C$6:$C$12,WEEKDAY($A364,1))=1,"Working","Weekend")))</f>
        <v>Weekend</v>
      </c>
      <c r="D364" s="341">
        <f>IF($A364="","",SUMIFS('Timesheet Raw'!$P$4:$P$8000,'Timesheet Raw'!$L$4:$L$8000,$A364,'Timesheet Raw'!$C$4:$C$8000,D$3,'Timesheet Raw'!$A$4:$A$8000,"1-Projects"))</f>
        <v>0</v>
      </c>
      <c r="E364" s="341">
        <f>IF($A364="","",SUMIFS('Timesheet Raw'!$P$4:$P$8000,'Timesheet Raw'!$L$4:$L$8000,$A364,'Timesheet Raw'!$C$4:$C$8000,D$3,'Timesheet Raw'!$A$4:$A$8000,"2-Proposals Chargeable")+SUMIFS('Timesheet Raw'!$P$4:$P$8000,'Timesheet Raw'!$L$4:$L$8000,$A364,'Timesheet Raw'!$C$4:$C$8000,D$3,'Timesheet Raw'!$A$4:$A$8000,"3-Proposals Regular"))</f>
        <v>0</v>
      </c>
      <c r="F364" s="341">
        <f>IF($A364="","",SUMIFS('Timesheet Raw'!$P$4:$P$8000,'Timesheet Raw'!$L$4:$L$8000,$A364,'Timesheet Raw'!$C$4:$C$8000,D$3,'Timesheet Raw'!$B$4:$B$8000,'Work Calendar'!$A$26)+SUMIFS('Timesheet Raw'!$P$4:$P$8000,'Timesheet Raw'!$L$4:$L$8000,$A364,'Timesheet Raw'!$C$4:$C$8000,D$3,'Timesheet Raw'!$B$4:$B$8000,'Work Calendar'!$A$27)+SUMIFS('Timesheet Raw'!$P$4:$P$8000,'Timesheet Raw'!$L$4:$L$8000,$A364,'Timesheet Raw'!$C$4:$C$8000,D$3,'Timesheet Raw'!$B$4:$B$8000,'Work Calendar'!$A$28)+SUMIFS('Timesheet Raw'!$P$4:$P$8000,'Timesheet Raw'!$L$4:$L$8000,$A364,'Timesheet Raw'!$C$4:$C$8000,D$3,'Timesheet Raw'!$B$4:$B$8000,'Work Calendar'!$A$29))</f>
        <v>0</v>
      </c>
      <c r="G364" s="341">
        <f t="shared" si="21"/>
        <v>0</v>
      </c>
      <c r="H364" s="395">
        <f>IF($A364="","",SUMIFS('Timesheet Raw'!$K$4:$K$8000,'Timesheet Raw'!$L$4:$L$8000,$A364,'Timesheet Raw'!$C$4:$C$8000,D$3))</f>
        <v>0</v>
      </c>
      <c r="I364" s="345">
        <f>IF($A364="","",SUMIFS('Timesheet Raw'!$P$4:$P$8000,'Timesheet Raw'!$L$4:$L$8000,$A364,'Timesheet Raw'!$C$4:$C$8000,D$3))</f>
        <v>0</v>
      </c>
      <c r="J364" s="375"/>
      <c r="K364" t="str">
        <f>IF($A364="","",IF(J364&lt;&gt;"",J364,IF($A364&gt;'Work Calendar'!$B$17,"No data yet",IF(AND(F364&gt;='Work Calendar'!$B$14,D364+E364+G364&gt;0),"Day off - but worked",IF(F364&gt;='Work Calendar'!$B$14,"Day off",IF(D364+E364+G364&gt;0,IF($C364="Working","Charged","Worked weekend"),IF($C364="Working","Leave (not charged)",$C364)))))))</f>
        <v>No data yet</v>
      </c>
      <c r="L364" s="341">
        <f>IF($A364="","",SUMIFS('Timesheet Raw'!$P$4:$P$8000,'Timesheet Raw'!$L$4:$L$8000,$A364,'Timesheet Raw'!$C$4:$C$8000,L$3,'Timesheet Raw'!$A$4:$A$8000,"1-Projects"))</f>
        <v>0</v>
      </c>
      <c r="M364" s="341">
        <f>IF($A364="","",SUMIFS('Timesheet Raw'!$P$4:$P$8000,'Timesheet Raw'!$L$4:$L$8000,$A364,'Timesheet Raw'!$C$4:$C$8000,L$3,'Timesheet Raw'!$A$4:$A$8000,"2-Proposals Chargeable")+SUMIFS('Timesheet Raw'!$P$4:$P$8000,'Timesheet Raw'!$L$4:$L$8000,$A364,'Timesheet Raw'!$C$4:$C$8000,L$3,'Timesheet Raw'!$A$4:$A$8000,"3-Proposals Regular"))</f>
        <v>0</v>
      </c>
      <c r="N364" s="341">
        <f>IF($A364="","",SUMIFS('Timesheet Raw'!$P$4:$P$8000,'Timesheet Raw'!$L$4:$L$8000,$A364,'Timesheet Raw'!$C$4:$C$8000,L$3,'Timesheet Raw'!$B$4:$B$8000,'Work Calendar'!$A$26)+SUMIFS('Timesheet Raw'!$P$4:$P$8000,'Timesheet Raw'!$L$4:$L$8000,$A364,'Timesheet Raw'!$C$4:$C$8000,L$3,'Timesheet Raw'!$B$4:$B$8000,'Work Calendar'!$A$27)+SUMIFS('Timesheet Raw'!$P$4:$P$8000,'Timesheet Raw'!$L$4:$L$8000,$A364,'Timesheet Raw'!$C$4:$C$8000,L$3,'Timesheet Raw'!$B$4:$B$8000,'Work Calendar'!$A$28)+SUMIFS('Timesheet Raw'!$P$4:$P$8000,'Timesheet Raw'!$L$4:$L$8000,$A364,'Timesheet Raw'!$C$4:$C$8000,L$3,'Timesheet Raw'!$B$4:$B$8000,'Work Calendar'!$A$29))</f>
        <v>0</v>
      </c>
      <c r="O364" s="341">
        <f t="shared" si="22"/>
        <v>0</v>
      </c>
      <c r="P364" s="395">
        <f>IF($A364="","",SUMIFS('Timesheet Raw'!$K$4:$K$8000,'Timesheet Raw'!$L$4:$L$8000,$A364,'Timesheet Raw'!$C$4:$C$8000,L$3))</f>
        <v>0</v>
      </c>
      <c r="Q364" s="345">
        <f>IF($A364="","",SUMIFS('Timesheet Raw'!$P$4:$P$8000,'Timesheet Raw'!$L$4:$L$8000,$A364,'Timesheet Raw'!$C$4:$C$8000,L$3))</f>
        <v>0</v>
      </c>
      <c r="R364" s="375"/>
      <c r="S364" t="str">
        <f>IF($A364="","",IF(R364&lt;&gt;"",R364,IF($A364&gt;'Work Calendar'!$B$17,"No data yet",IF(AND(N364&gt;='Work Calendar'!$B$14,L364+M364+O364&gt;0),"Day off - but worked",IF(N364&gt;='Work Calendar'!$B$14,"Day off",IF(L364+M364+O364&gt;0,IF($C364="Working","Charged","Worked weekend"),IF($C364="Working","Leave (not charged)",$C364)))))))</f>
        <v>No data yet</v>
      </c>
      <c r="T364" s="341">
        <f>IF($A364="","",SUMIFS('Timesheet Raw'!$P$4:$P$8000,'Timesheet Raw'!$L$4:$L$8000,$A364,'Timesheet Raw'!$C$4:$C$8000,T$3,'Timesheet Raw'!$A$4:$A$8000,"1-Projects"))</f>
        <v>0</v>
      </c>
      <c r="U364" s="341">
        <f>IF($A364="","",SUMIFS('Timesheet Raw'!$P$4:$P$8000,'Timesheet Raw'!$L$4:$L$8000,$A364,'Timesheet Raw'!$C$4:$C$8000,T$3,'Timesheet Raw'!$A$4:$A$8000,"2-Proposals Chargeable")+SUMIFS('Timesheet Raw'!$P$4:$P$8000,'Timesheet Raw'!$L$4:$L$8000,$A364,'Timesheet Raw'!$C$4:$C$8000,T$3,'Timesheet Raw'!$A$4:$A$8000,"3-Proposals Regular"))</f>
        <v>0</v>
      </c>
      <c r="V364" s="341">
        <f>IF($A364="","",SUMIFS('Timesheet Raw'!$P$4:$P$8000,'Timesheet Raw'!$L$4:$L$8000,$A364,'Timesheet Raw'!$C$4:$C$8000,T$3,'Timesheet Raw'!$B$4:$B$8000,'Work Calendar'!$A$26)+SUMIFS('Timesheet Raw'!$P$4:$P$8000,'Timesheet Raw'!$L$4:$L$8000,$A364,'Timesheet Raw'!$C$4:$C$8000,T$3,'Timesheet Raw'!$B$4:$B$8000,'Work Calendar'!$A$27)+SUMIFS('Timesheet Raw'!$P$4:$P$8000,'Timesheet Raw'!$L$4:$L$8000,$A364,'Timesheet Raw'!$C$4:$C$8000,T$3,'Timesheet Raw'!$B$4:$B$8000,'Work Calendar'!$A$28)+SUMIFS('Timesheet Raw'!$P$4:$P$8000,'Timesheet Raw'!$L$4:$L$8000,$A364,'Timesheet Raw'!$C$4:$C$8000,T$3,'Timesheet Raw'!$B$4:$B$8000,'Work Calendar'!$A$29))</f>
        <v>0</v>
      </c>
      <c r="W364" s="341">
        <f t="shared" si="23"/>
        <v>0</v>
      </c>
      <c r="X364" s="395">
        <f>IF($A364="","",SUMIFS('Timesheet Raw'!$K$4:$K$8000,'Timesheet Raw'!$L$4:$L$8000,$A364,'Timesheet Raw'!$C$4:$C$8000,T$3))</f>
        <v>0</v>
      </c>
      <c r="Y364" s="345">
        <f>IF($A364="","",SUMIFS('Timesheet Raw'!$P$4:$P$8000,'Timesheet Raw'!$L$4:$L$8000,$A364,'Timesheet Raw'!$C$4:$C$8000,T$3))</f>
        <v>0</v>
      </c>
      <c r="Z364" s="375"/>
      <c r="AA364" t="str">
        <f>IF($A364="","",IF(Z364&lt;&gt;"",Z364,IF($A364&gt;'Work Calendar'!$B$17,"No data yet",IF(AND(V364&gt;='Work Calendar'!$B$14,T364+U364+W364&gt;0),"Day off - but worked",IF(V364&gt;='Work Calendar'!$B$14,"Day off",IF(T364+U364+W364&gt;0,IF($C364="Working","Charged","Worked weekend"),IF($C364="Working","Leave (not charged)",$C364)))))))</f>
        <v>No data yet</v>
      </c>
    </row>
    <row r="365" spans="1:27" x14ac:dyDescent="0.3">
      <c r="A365" s="371">
        <f>IF($A364="","",IF($A364+1&gt;'Work Calendar'!$B$16,"",$A364+1))</f>
        <v>46383</v>
      </c>
      <c r="B365" t="str">
        <f t="shared" si="20"/>
        <v>Sun</v>
      </c>
      <c r="C365" t="str" cm="1">
        <f t="array" ref="C365">IF($A365="","",IF(COUNTIF('Work Calendar'!$E$6:$E$200,$A365)&gt;0,"Holiday",IF(INDEX('Work Calendar'!$C$6:$C$12,WEEKDAY($A365,1))=1,"Working","Weekend")))</f>
        <v>Working</v>
      </c>
      <c r="D365" s="341">
        <f>IF($A365="","",SUMIFS('Timesheet Raw'!$P$4:$P$8000,'Timesheet Raw'!$L$4:$L$8000,$A365,'Timesheet Raw'!$C$4:$C$8000,D$3,'Timesheet Raw'!$A$4:$A$8000,"1-Projects"))</f>
        <v>0</v>
      </c>
      <c r="E365" s="341">
        <f>IF($A365="","",SUMIFS('Timesheet Raw'!$P$4:$P$8000,'Timesheet Raw'!$L$4:$L$8000,$A365,'Timesheet Raw'!$C$4:$C$8000,D$3,'Timesheet Raw'!$A$4:$A$8000,"2-Proposals Chargeable")+SUMIFS('Timesheet Raw'!$P$4:$P$8000,'Timesheet Raw'!$L$4:$L$8000,$A365,'Timesheet Raw'!$C$4:$C$8000,D$3,'Timesheet Raw'!$A$4:$A$8000,"3-Proposals Regular"))</f>
        <v>0</v>
      </c>
      <c r="F365" s="341">
        <f>IF($A365="","",SUMIFS('Timesheet Raw'!$P$4:$P$8000,'Timesheet Raw'!$L$4:$L$8000,$A365,'Timesheet Raw'!$C$4:$C$8000,D$3,'Timesheet Raw'!$B$4:$B$8000,'Work Calendar'!$A$26)+SUMIFS('Timesheet Raw'!$P$4:$P$8000,'Timesheet Raw'!$L$4:$L$8000,$A365,'Timesheet Raw'!$C$4:$C$8000,D$3,'Timesheet Raw'!$B$4:$B$8000,'Work Calendar'!$A$27)+SUMIFS('Timesheet Raw'!$P$4:$P$8000,'Timesheet Raw'!$L$4:$L$8000,$A365,'Timesheet Raw'!$C$4:$C$8000,D$3,'Timesheet Raw'!$B$4:$B$8000,'Work Calendar'!$A$28)+SUMIFS('Timesheet Raw'!$P$4:$P$8000,'Timesheet Raw'!$L$4:$L$8000,$A365,'Timesheet Raw'!$C$4:$C$8000,D$3,'Timesheet Raw'!$B$4:$B$8000,'Work Calendar'!$A$29))</f>
        <v>0</v>
      </c>
      <c r="G365" s="341">
        <f t="shared" si="21"/>
        <v>0</v>
      </c>
      <c r="H365" s="395">
        <f>IF($A365="","",SUMIFS('Timesheet Raw'!$K$4:$K$8000,'Timesheet Raw'!$L$4:$L$8000,$A365,'Timesheet Raw'!$C$4:$C$8000,D$3))</f>
        <v>0</v>
      </c>
      <c r="I365" s="345">
        <f>IF($A365="","",SUMIFS('Timesheet Raw'!$P$4:$P$8000,'Timesheet Raw'!$L$4:$L$8000,$A365,'Timesheet Raw'!$C$4:$C$8000,D$3))</f>
        <v>0</v>
      </c>
      <c r="J365" s="375"/>
      <c r="K365" t="str">
        <f>IF($A365="","",IF(J365&lt;&gt;"",J365,IF($A365&gt;'Work Calendar'!$B$17,"No data yet",IF(AND(F365&gt;='Work Calendar'!$B$14,D365+E365+G365&gt;0),"Day off - but worked",IF(F365&gt;='Work Calendar'!$B$14,"Day off",IF(D365+E365+G365&gt;0,IF($C365="Working","Charged","Worked weekend"),IF($C365="Working","Leave (not charged)",$C365)))))))</f>
        <v>No data yet</v>
      </c>
      <c r="L365" s="341">
        <f>IF($A365="","",SUMIFS('Timesheet Raw'!$P$4:$P$8000,'Timesheet Raw'!$L$4:$L$8000,$A365,'Timesheet Raw'!$C$4:$C$8000,L$3,'Timesheet Raw'!$A$4:$A$8000,"1-Projects"))</f>
        <v>0</v>
      </c>
      <c r="M365" s="341">
        <f>IF($A365="","",SUMIFS('Timesheet Raw'!$P$4:$P$8000,'Timesheet Raw'!$L$4:$L$8000,$A365,'Timesheet Raw'!$C$4:$C$8000,L$3,'Timesheet Raw'!$A$4:$A$8000,"2-Proposals Chargeable")+SUMIFS('Timesheet Raw'!$P$4:$P$8000,'Timesheet Raw'!$L$4:$L$8000,$A365,'Timesheet Raw'!$C$4:$C$8000,L$3,'Timesheet Raw'!$A$4:$A$8000,"3-Proposals Regular"))</f>
        <v>0</v>
      </c>
      <c r="N365" s="341">
        <f>IF($A365="","",SUMIFS('Timesheet Raw'!$P$4:$P$8000,'Timesheet Raw'!$L$4:$L$8000,$A365,'Timesheet Raw'!$C$4:$C$8000,L$3,'Timesheet Raw'!$B$4:$B$8000,'Work Calendar'!$A$26)+SUMIFS('Timesheet Raw'!$P$4:$P$8000,'Timesheet Raw'!$L$4:$L$8000,$A365,'Timesheet Raw'!$C$4:$C$8000,L$3,'Timesheet Raw'!$B$4:$B$8000,'Work Calendar'!$A$27)+SUMIFS('Timesheet Raw'!$P$4:$P$8000,'Timesheet Raw'!$L$4:$L$8000,$A365,'Timesheet Raw'!$C$4:$C$8000,L$3,'Timesheet Raw'!$B$4:$B$8000,'Work Calendar'!$A$28)+SUMIFS('Timesheet Raw'!$P$4:$P$8000,'Timesheet Raw'!$L$4:$L$8000,$A365,'Timesheet Raw'!$C$4:$C$8000,L$3,'Timesheet Raw'!$B$4:$B$8000,'Work Calendar'!$A$29))</f>
        <v>0</v>
      </c>
      <c r="O365" s="341">
        <f t="shared" si="22"/>
        <v>0</v>
      </c>
      <c r="P365" s="395">
        <f>IF($A365="","",SUMIFS('Timesheet Raw'!$K$4:$K$8000,'Timesheet Raw'!$L$4:$L$8000,$A365,'Timesheet Raw'!$C$4:$C$8000,L$3))</f>
        <v>0</v>
      </c>
      <c r="Q365" s="345">
        <f>IF($A365="","",SUMIFS('Timesheet Raw'!$P$4:$P$8000,'Timesheet Raw'!$L$4:$L$8000,$A365,'Timesheet Raw'!$C$4:$C$8000,L$3))</f>
        <v>0</v>
      </c>
      <c r="R365" s="375"/>
      <c r="S365" t="str">
        <f>IF($A365="","",IF(R365&lt;&gt;"",R365,IF($A365&gt;'Work Calendar'!$B$17,"No data yet",IF(AND(N365&gt;='Work Calendar'!$B$14,L365+M365+O365&gt;0),"Day off - but worked",IF(N365&gt;='Work Calendar'!$B$14,"Day off",IF(L365+M365+O365&gt;0,IF($C365="Working","Charged","Worked weekend"),IF($C365="Working","Leave (not charged)",$C365)))))))</f>
        <v>No data yet</v>
      </c>
      <c r="T365" s="341">
        <f>IF($A365="","",SUMIFS('Timesheet Raw'!$P$4:$P$8000,'Timesheet Raw'!$L$4:$L$8000,$A365,'Timesheet Raw'!$C$4:$C$8000,T$3,'Timesheet Raw'!$A$4:$A$8000,"1-Projects"))</f>
        <v>0</v>
      </c>
      <c r="U365" s="341">
        <f>IF($A365="","",SUMIFS('Timesheet Raw'!$P$4:$P$8000,'Timesheet Raw'!$L$4:$L$8000,$A365,'Timesheet Raw'!$C$4:$C$8000,T$3,'Timesheet Raw'!$A$4:$A$8000,"2-Proposals Chargeable")+SUMIFS('Timesheet Raw'!$P$4:$P$8000,'Timesheet Raw'!$L$4:$L$8000,$A365,'Timesheet Raw'!$C$4:$C$8000,T$3,'Timesheet Raw'!$A$4:$A$8000,"3-Proposals Regular"))</f>
        <v>0</v>
      </c>
      <c r="V365" s="341">
        <f>IF($A365="","",SUMIFS('Timesheet Raw'!$P$4:$P$8000,'Timesheet Raw'!$L$4:$L$8000,$A365,'Timesheet Raw'!$C$4:$C$8000,T$3,'Timesheet Raw'!$B$4:$B$8000,'Work Calendar'!$A$26)+SUMIFS('Timesheet Raw'!$P$4:$P$8000,'Timesheet Raw'!$L$4:$L$8000,$A365,'Timesheet Raw'!$C$4:$C$8000,T$3,'Timesheet Raw'!$B$4:$B$8000,'Work Calendar'!$A$27)+SUMIFS('Timesheet Raw'!$P$4:$P$8000,'Timesheet Raw'!$L$4:$L$8000,$A365,'Timesheet Raw'!$C$4:$C$8000,T$3,'Timesheet Raw'!$B$4:$B$8000,'Work Calendar'!$A$28)+SUMIFS('Timesheet Raw'!$P$4:$P$8000,'Timesheet Raw'!$L$4:$L$8000,$A365,'Timesheet Raw'!$C$4:$C$8000,T$3,'Timesheet Raw'!$B$4:$B$8000,'Work Calendar'!$A$29))</f>
        <v>0</v>
      </c>
      <c r="W365" s="341">
        <f t="shared" si="23"/>
        <v>0</v>
      </c>
      <c r="X365" s="395">
        <f>IF($A365="","",SUMIFS('Timesheet Raw'!$K$4:$K$8000,'Timesheet Raw'!$L$4:$L$8000,$A365,'Timesheet Raw'!$C$4:$C$8000,T$3))</f>
        <v>0</v>
      </c>
      <c r="Y365" s="345">
        <f>IF($A365="","",SUMIFS('Timesheet Raw'!$P$4:$P$8000,'Timesheet Raw'!$L$4:$L$8000,$A365,'Timesheet Raw'!$C$4:$C$8000,T$3))</f>
        <v>0</v>
      </c>
      <c r="Z365" s="375"/>
      <c r="AA365" t="str">
        <f>IF($A365="","",IF(Z365&lt;&gt;"",Z365,IF($A365&gt;'Work Calendar'!$B$17,"No data yet",IF(AND(V365&gt;='Work Calendar'!$B$14,T365+U365+W365&gt;0),"Day off - but worked",IF(V365&gt;='Work Calendar'!$B$14,"Day off",IF(T365+U365+W365&gt;0,IF($C365="Working","Charged","Worked weekend"),IF($C365="Working","Leave (not charged)",$C365)))))))</f>
        <v>No data yet</v>
      </c>
    </row>
    <row r="366" spans="1:27" x14ac:dyDescent="0.3">
      <c r="A366" s="371">
        <f>IF($A365="","",IF($A365+1&gt;'Work Calendar'!$B$16,"",$A365+1))</f>
        <v>46384</v>
      </c>
      <c r="B366" t="str">
        <f t="shared" si="20"/>
        <v>Mon</v>
      </c>
      <c r="C366" t="str" cm="1">
        <f t="array" ref="C366">IF($A366="","",IF(COUNTIF('Work Calendar'!$E$6:$E$200,$A366)&gt;0,"Holiday",IF(INDEX('Work Calendar'!$C$6:$C$12,WEEKDAY($A366,1))=1,"Working","Weekend")))</f>
        <v>Working</v>
      </c>
      <c r="D366" s="341">
        <f>IF($A366="","",SUMIFS('Timesheet Raw'!$P$4:$P$8000,'Timesheet Raw'!$L$4:$L$8000,$A366,'Timesheet Raw'!$C$4:$C$8000,D$3,'Timesheet Raw'!$A$4:$A$8000,"1-Projects"))</f>
        <v>0</v>
      </c>
      <c r="E366" s="341">
        <f>IF($A366="","",SUMIFS('Timesheet Raw'!$P$4:$P$8000,'Timesheet Raw'!$L$4:$L$8000,$A366,'Timesheet Raw'!$C$4:$C$8000,D$3,'Timesheet Raw'!$A$4:$A$8000,"2-Proposals Chargeable")+SUMIFS('Timesheet Raw'!$P$4:$P$8000,'Timesheet Raw'!$L$4:$L$8000,$A366,'Timesheet Raw'!$C$4:$C$8000,D$3,'Timesheet Raw'!$A$4:$A$8000,"3-Proposals Regular"))</f>
        <v>0</v>
      </c>
      <c r="F366" s="341">
        <f>IF($A366="","",SUMIFS('Timesheet Raw'!$P$4:$P$8000,'Timesheet Raw'!$L$4:$L$8000,$A366,'Timesheet Raw'!$C$4:$C$8000,D$3,'Timesheet Raw'!$B$4:$B$8000,'Work Calendar'!$A$26)+SUMIFS('Timesheet Raw'!$P$4:$P$8000,'Timesheet Raw'!$L$4:$L$8000,$A366,'Timesheet Raw'!$C$4:$C$8000,D$3,'Timesheet Raw'!$B$4:$B$8000,'Work Calendar'!$A$27)+SUMIFS('Timesheet Raw'!$P$4:$P$8000,'Timesheet Raw'!$L$4:$L$8000,$A366,'Timesheet Raw'!$C$4:$C$8000,D$3,'Timesheet Raw'!$B$4:$B$8000,'Work Calendar'!$A$28)+SUMIFS('Timesheet Raw'!$P$4:$P$8000,'Timesheet Raw'!$L$4:$L$8000,$A366,'Timesheet Raw'!$C$4:$C$8000,D$3,'Timesheet Raw'!$B$4:$B$8000,'Work Calendar'!$A$29))</f>
        <v>0</v>
      </c>
      <c r="G366" s="341">
        <f t="shared" si="21"/>
        <v>0</v>
      </c>
      <c r="H366" s="395">
        <f>IF($A366="","",SUMIFS('Timesheet Raw'!$K$4:$K$8000,'Timesheet Raw'!$L$4:$L$8000,$A366,'Timesheet Raw'!$C$4:$C$8000,D$3))</f>
        <v>0</v>
      </c>
      <c r="I366" s="345">
        <f>IF($A366="","",SUMIFS('Timesheet Raw'!$P$4:$P$8000,'Timesheet Raw'!$L$4:$L$8000,$A366,'Timesheet Raw'!$C$4:$C$8000,D$3))</f>
        <v>0</v>
      </c>
      <c r="J366" s="375"/>
      <c r="K366" t="str">
        <f>IF($A366="","",IF(J366&lt;&gt;"",J366,IF($A366&gt;'Work Calendar'!$B$17,"No data yet",IF(AND(F366&gt;='Work Calendar'!$B$14,D366+E366+G366&gt;0),"Day off - but worked",IF(F366&gt;='Work Calendar'!$B$14,"Day off",IF(D366+E366+G366&gt;0,IF($C366="Working","Charged","Worked weekend"),IF($C366="Working","Leave (not charged)",$C366)))))))</f>
        <v>No data yet</v>
      </c>
      <c r="L366" s="341">
        <f>IF($A366="","",SUMIFS('Timesheet Raw'!$P$4:$P$8000,'Timesheet Raw'!$L$4:$L$8000,$A366,'Timesheet Raw'!$C$4:$C$8000,L$3,'Timesheet Raw'!$A$4:$A$8000,"1-Projects"))</f>
        <v>0</v>
      </c>
      <c r="M366" s="341">
        <f>IF($A366="","",SUMIFS('Timesheet Raw'!$P$4:$P$8000,'Timesheet Raw'!$L$4:$L$8000,$A366,'Timesheet Raw'!$C$4:$C$8000,L$3,'Timesheet Raw'!$A$4:$A$8000,"2-Proposals Chargeable")+SUMIFS('Timesheet Raw'!$P$4:$P$8000,'Timesheet Raw'!$L$4:$L$8000,$A366,'Timesheet Raw'!$C$4:$C$8000,L$3,'Timesheet Raw'!$A$4:$A$8000,"3-Proposals Regular"))</f>
        <v>0</v>
      </c>
      <c r="N366" s="341">
        <f>IF($A366="","",SUMIFS('Timesheet Raw'!$P$4:$P$8000,'Timesheet Raw'!$L$4:$L$8000,$A366,'Timesheet Raw'!$C$4:$C$8000,L$3,'Timesheet Raw'!$B$4:$B$8000,'Work Calendar'!$A$26)+SUMIFS('Timesheet Raw'!$P$4:$P$8000,'Timesheet Raw'!$L$4:$L$8000,$A366,'Timesheet Raw'!$C$4:$C$8000,L$3,'Timesheet Raw'!$B$4:$B$8000,'Work Calendar'!$A$27)+SUMIFS('Timesheet Raw'!$P$4:$P$8000,'Timesheet Raw'!$L$4:$L$8000,$A366,'Timesheet Raw'!$C$4:$C$8000,L$3,'Timesheet Raw'!$B$4:$B$8000,'Work Calendar'!$A$28)+SUMIFS('Timesheet Raw'!$P$4:$P$8000,'Timesheet Raw'!$L$4:$L$8000,$A366,'Timesheet Raw'!$C$4:$C$8000,L$3,'Timesheet Raw'!$B$4:$B$8000,'Work Calendar'!$A$29))</f>
        <v>0</v>
      </c>
      <c r="O366" s="341">
        <f t="shared" si="22"/>
        <v>0</v>
      </c>
      <c r="P366" s="395">
        <f>IF($A366="","",SUMIFS('Timesheet Raw'!$K$4:$K$8000,'Timesheet Raw'!$L$4:$L$8000,$A366,'Timesheet Raw'!$C$4:$C$8000,L$3))</f>
        <v>0</v>
      </c>
      <c r="Q366" s="345">
        <f>IF($A366="","",SUMIFS('Timesheet Raw'!$P$4:$P$8000,'Timesheet Raw'!$L$4:$L$8000,$A366,'Timesheet Raw'!$C$4:$C$8000,L$3))</f>
        <v>0</v>
      </c>
      <c r="R366" s="375"/>
      <c r="S366" t="str">
        <f>IF($A366="","",IF(R366&lt;&gt;"",R366,IF($A366&gt;'Work Calendar'!$B$17,"No data yet",IF(AND(N366&gt;='Work Calendar'!$B$14,L366+M366+O366&gt;0),"Day off - but worked",IF(N366&gt;='Work Calendar'!$B$14,"Day off",IF(L366+M366+O366&gt;0,IF($C366="Working","Charged","Worked weekend"),IF($C366="Working","Leave (not charged)",$C366)))))))</f>
        <v>No data yet</v>
      </c>
      <c r="T366" s="341">
        <f>IF($A366="","",SUMIFS('Timesheet Raw'!$P$4:$P$8000,'Timesheet Raw'!$L$4:$L$8000,$A366,'Timesheet Raw'!$C$4:$C$8000,T$3,'Timesheet Raw'!$A$4:$A$8000,"1-Projects"))</f>
        <v>0</v>
      </c>
      <c r="U366" s="341">
        <f>IF($A366="","",SUMIFS('Timesheet Raw'!$P$4:$P$8000,'Timesheet Raw'!$L$4:$L$8000,$A366,'Timesheet Raw'!$C$4:$C$8000,T$3,'Timesheet Raw'!$A$4:$A$8000,"2-Proposals Chargeable")+SUMIFS('Timesheet Raw'!$P$4:$P$8000,'Timesheet Raw'!$L$4:$L$8000,$A366,'Timesheet Raw'!$C$4:$C$8000,T$3,'Timesheet Raw'!$A$4:$A$8000,"3-Proposals Regular"))</f>
        <v>0</v>
      </c>
      <c r="V366" s="341">
        <f>IF($A366="","",SUMIFS('Timesheet Raw'!$P$4:$P$8000,'Timesheet Raw'!$L$4:$L$8000,$A366,'Timesheet Raw'!$C$4:$C$8000,T$3,'Timesheet Raw'!$B$4:$B$8000,'Work Calendar'!$A$26)+SUMIFS('Timesheet Raw'!$P$4:$P$8000,'Timesheet Raw'!$L$4:$L$8000,$A366,'Timesheet Raw'!$C$4:$C$8000,T$3,'Timesheet Raw'!$B$4:$B$8000,'Work Calendar'!$A$27)+SUMIFS('Timesheet Raw'!$P$4:$P$8000,'Timesheet Raw'!$L$4:$L$8000,$A366,'Timesheet Raw'!$C$4:$C$8000,T$3,'Timesheet Raw'!$B$4:$B$8000,'Work Calendar'!$A$28)+SUMIFS('Timesheet Raw'!$P$4:$P$8000,'Timesheet Raw'!$L$4:$L$8000,$A366,'Timesheet Raw'!$C$4:$C$8000,T$3,'Timesheet Raw'!$B$4:$B$8000,'Work Calendar'!$A$29))</f>
        <v>0</v>
      </c>
      <c r="W366" s="341">
        <f t="shared" si="23"/>
        <v>0</v>
      </c>
      <c r="X366" s="395">
        <f>IF($A366="","",SUMIFS('Timesheet Raw'!$K$4:$K$8000,'Timesheet Raw'!$L$4:$L$8000,$A366,'Timesheet Raw'!$C$4:$C$8000,T$3))</f>
        <v>0</v>
      </c>
      <c r="Y366" s="345">
        <f>IF($A366="","",SUMIFS('Timesheet Raw'!$P$4:$P$8000,'Timesheet Raw'!$L$4:$L$8000,$A366,'Timesheet Raw'!$C$4:$C$8000,T$3))</f>
        <v>0</v>
      </c>
      <c r="Z366" s="375"/>
      <c r="AA366" t="str">
        <f>IF($A366="","",IF(Z366&lt;&gt;"",Z366,IF($A366&gt;'Work Calendar'!$B$17,"No data yet",IF(AND(V366&gt;='Work Calendar'!$B$14,T366+U366+W366&gt;0),"Day off - but worked",IF(V366&gt;='Work Calendar'!$B$14,"Day off",IF(T366+U366+W366&gt;0,IF($C366="Working","Charged","Worked weekend"),IF($C366="Working","Leave (not charged)",$C366)))))))</f>
        <v>No data yet</v>
      </c>
    </row>
    <row r="367" spans="1:27" x14ac:dyDescent="0.3">
      <c r="A367" s="371">
        <f>IF($A366="","",IF($A366+1&gt;'Work Calendar'!$B$16,"",$A366+1))</f>
        <v>46385</v>
      </c>
      <c r="B367" t="str">
        <f t="shared" si="20"/>
        <v>Tue</v>
      </c>
      <c r="C367" t="str" cm="1">
        <f t="array" ref="C367">IF($A367="","",IF(COUNTIF('Work Calendar'!$E$6:$E$200,$A367)&gt;0,"Holiday",IF(INDEX('Work Calendar'!$C$6:$C$12,WEEKDAY($A367,1))=1,"Working","Weekend")))</f>
        <v>Working</v>
      </c>
      <c r="D367" s="341">
        <f>IF($A367="","",SUMIFS('Timesheet Raw'!$P$4:$P$8000,'Timesheet Raw'!$L$4:$L$8000,$A367,'Timesheet Raw'!$C$4:$C$8000,D$3,'Timesheet Raw'!$A$4:$A$8000,"1-Projects"))</f>
        <v>0</v>
      </c>
      <c r="E367" s="341">
        <f>IF($A367="","",SUMIFS('Timesheet Raw'!$P$4:$P$8000,'Timesheet Raw'!$L$4:$L$8000,$A367,'Timesheet Raw'!$C$4:$C$8000,D$3,'Timesheet Raw'!$A$4:$A$8000,"2-Proposals Chargeable")+SUMIFS('Timesheet Raw'!$P$4:$P$8000,'Timesheet Raw'!$L$4:$L$8000,$A367,'Timesheet Raw'!$C$4:$C$8000,D$3,'Timesheet Raw'!$A$4:$A$8000,"3-Proposals Regular"))</f>
        <v>0</v>
      </c>
      <c r="F367" s="341">
        <f>IF($A367="","",SUMIFS('Timesheet Raw'!$P$4:$P$8000,'Timesheet Raw'!$L$4:$L$8000,$A367,'Timesheet Raw'!$C$4:$C$8000,D$3,'Timesheet Raw'!$B$4:$B$8000,'Work Calendar'!$A$26)+SUMIFS('Timesheet Raw'!$P$4:$P$8000,'Timesheet Raw'!$L$4:$L$8000,$A367,'Timesheet Raw'!$C$4:$C$8000,D$3,'Timesheet Raw'!$B$4:$B$8000,'Work Calendar'!$A$27)+SUMIFS('Timesheet Raw'!$P$4:$P$8000,'Timesheet Raw'!$L$4:$L$8000,$A367,'Timesheet Raw'!$C$4:$C$8000,D$3,'Timesheet Raw'!$B$4:$B$8000,'Work Calendar'!$A$28)+SUMIFS('Timesheet Raw'!$P$4:$P$8000,'Timesheet Raw'!$L$4:$L$8000,$A367,'Timesheet Raw'!$C$4:$C$8000,D$3,'Timesheet Raw'!$B$4:$B$8000,'Work Calendar'!$A$29))</f>
        <v>0</v>
      </c>
      <c r="G367" s="341">
        <f t="shared" si="21"/>
        <v>0</v>
      </c>
      <c r="H367" s="395">
        <f>IF($A367="","",SUMIFS('Timesheet Raw'!$K$4:$K$8000,'Timesheet Raw'!$L$4:$L$8000,$A367,'Timesheet Raw'!$C$4:$C$8000,D$3))</f>
        <v>0</v>
      </c>
      <c r="I367" s="345">
        <f>IF($A367="","",SUMIFS('Timesheet Raw'!$P$4:$P$8000,'Timesheet Raw'!$L$4:$L$8000,$A367,'Timesheet Raw'!$C$4:$C$8000,D$3))</f>
        <v>0</v>
      </c>
      <c r="J367" s="375"/>
      <c r="K367" t="str">
        <f>IF($A367="","",IF(J367&lt;&gt;"",J367,IF($A367&gt;'Work Calendar'!$B$17,"No data yet",IF(AND(F367&gt;='Work Calendar'!$B$14,D367+E367+G367&gt;0),"Day off - but worked",IF(F367&gt;='Work Calendar'!$B$14,"Day off",IF(D367+E367+G367&gt;0,IF($C367="Working","Charged","Worked weekend"),IF($C367="Working","Leave (not charged)",$C367)))))))</f>
        <v>No data yet</v>
      </c>
      <c r="L367" s="341">
        <f>IF($A367="","",SUMIFS('Timesheet Raw'!$P$4:$P$8000,'Timesheet Raw'!$L$4:$L$8000,$A367,'Timesheet Raw'!$C$4:$C$8000,L$3,'Timesheet Raw'!$A$4:$A$8000,"1-Projects"))</f>
        <v>0</v>
      </c>
      <c r="M367" s="341">
        <f>IF($A367="","",SUMIFS('Timesheet Raw'!$P$4:$P$8000,'Timesheet Raw'!$L$4:$L$8000,$A367,'Timesheet Raw'!$C$4:$C$8000,L$3,'Timesheet Raw'!$A$4:$A$8000,"2-Proposals Chargeable")+SUMIFS('Timesheet Raw'!$P$4:$P$8000,'Timesheet Raw'!$L$4:$L$8000,$A367,'Timesheet Raw'!$C$4:$C$8000,L$3,'Timesheet Raw'!$A$4:$A$8000,"3-Proposals Regular"))</f>
        <v>0</v>
      </c>
      <c r="N367" s="341">
        <f>IF($A367="","",SUMIFS('Timesheet Raw'!$P$4:$P$8000,'Timesheet Raw'!$L$4:$L$8000,$A367,'Timesheet Raw'!$C$4:$C$8000,L$3,'Timesheet Raw'!$B$4:$B$8000,'Work Calendar'!$A$26)+SUMIFS('Timesheet Raw'!$P$4:$P$8000,'Timesheet Raw'!$L$4:$L$8000,$A367,'Timesheet Raw'!$C$4:$C$8000,L$3,'Timesheet Raw'!$B$4:$B$8000,'Work Calendar'!$A$27)+SUMIFS('Timesheet Raw'!$P$4:$P$8000,'Timesheet Raw'!$L$4:$L$8000,$A367,'Timesheet Raw'!$C$4:$C$8000,L$3,'Timesheet Raw'!$B$4:$B$8000,'Work Calendar'!$A$28)+SUMIFS('Timesheet Raw'!$P$4:$P$8000,'Timesheet Raw'!$L$4:$L$8000,$A367,'Timesheet Raw'!$C$4:$C$8000,L$3,'Timesheet Raw'!$B$4:$B$8000,'Work Calendar'!$A$29))</f>
        <v>0</v>
      </c>
      <c r="O367" s="341">
        <f t="shared" si="22"/>
        <v>0</v>
      </c>
      <c r="P367" s="395">
        <f>IF($A367="","",SUMIFS('Timesheet Raw'!$K$4:$K$8000,'Timesheet Raw'!$L$4:$L$8000,$A367,'Timesheet Raw'!$C$4:$C$8000,L$3))</f>
        <v>0</v>
      </c>
      <c r="Q367" s="345">
        <f>IF($A367="","",SUMIFS('Timesheet Raw'!$P$4:$P$8000,'Timesheet Raw'!$L$4:$L$8000,$A367,'Timesheet Raw'!$C$4:$C$8000,L$3))</f>
        <v>0</v>
      </c>
      <c r="R367" s="375"/>
      <c r="S367" t="str">
        <f>IF($A367="","",IF(R367&lt;&gt;"",R367,IF($A367&gt;'Work Calendar'!$B$17,"No data yet",IF(AND(N367&gt;='Work Calendar'!$B$14,L367+M367+O367&gt;0),"Day off - but worked",IF(N367&gt;='Work Calendar'!$B$14,"Day off",IF(L367+M367+O367&gt;0,IF($C367="Working","Charged","Worked weekend"),IF($C367="Working","Leave (not charged)",$C367)))))))</f>
        <v>No data yet</v>
      </c>
      <c r="T367" s="341">
        <f>IF($A367="","",SUMIFS('Timesheet Raw'!$P$4:$P$8000,'Timesheet Raw'!$L$4:$L$8000,$A367,'Timesheet Raw'!$C$4:$C$8000,T$3,'Timesheet Raw'!$A$4:$A$8000,"1-Projects"))</f>
        <v>0</v>
      </c>
      <c r="U367" s="341">
        <f>IF($A367="","",SUMIFS('Timesheet Raw'!$P$4:$P$8000,'Timesheet Raw'!$L$4:$L$8000,$A367,'Timesheet Raw'!$C$4:$C$8000,T$3,'Timesheet Raw'!$A$4:$A$8000,"2-Proposals Chargeable")+SUMIFS('Timesheet Raw'!$P$4:$P$8000,'Timesheet Raw'!$L$4:$L$8000,$A367,'Timesheet Raw'!$C$4:$C$8000,T$3,'Timesheet Raw'!$A$4:$A$8000,"3-Proposals Regular"))</f>
        <v>0</v>
      </c>
      <c r="V367" s="341">
        <f>IF($A367="","",SUMIFS('Timesheet Raw'!$P$4:$P$8000,'Timesheet Raw'!$L$4:$L$8000,$A367,'Timesheet Raw'!$C$4:$C$8000,T$3,'Timesheet Raw'!$B$4:$B$8000,'Work Calendar'!$A$26)+SUMIFS('Timesheet Raw'!$P$4:$P$8000,'Timesheet Raw'!$L$4:$L$8000,$A367,'Timesheet Raw'!$C$4:$C$8000,T$3,'Timesheet Raw'!$B$4:$B$8000,'Work Calendar'!$A$27)+SUMIFS('Timesheet Raw'!$P$4:$P$8000,'Timesheet Raw'!$L$4:$L$8000,$A367,'Timesheet Raw'!$C$4:$C$8000,T$3,'Timesheet Raw'!$B$4:$B$8000,'Work Calendar'!$A$28)+SUMIFS('Timesheet Raw'!$P$4:$P$8000,'Timesheet Raw'!$L$4:$L$8000,$A367,'Timesheet Raw'!$C$4:$C$8000,T$3,'Timesheet Raw'!$B$4:$B$8000,'Work Calendar'!$A$29))</f>
        <v>0</v>
      </c>
      <c r="W367" s="341">
        <f t="shared" si="23"/>
        <v>0</v>
      </c>
      <c r="X367" s="395">
        <f>IF($A367="","",SUMIFS('Timesheet Raw'!$K$4:$K$8000,'Timesheet Raw'!$L$4:$L$8000,$A367,'Timesheet Raw'!$C$4:$C$8000,T$3))</f>
        <v>0</v>
      </c>
      <c r="Y367" s="345">
        <f>IF($A367="","",SUMIFS('Timesheet Raw'!$P$4:$P$8000,'Timesheet Raw'!$L$4:$L$8000,$A367,'Timesheet Raw'!$C$4:$C$8000,T$3))</f>
        <v>0</v>
      </c>
      <c r="Z367" s="375"/>
      <c r="AA367" t="str">
        <f>IF($A367="","",IF(Z367&lt;&gt;"",Z367,IF($A367&gt;'Work Calendar'!$B$17,"No data yet",IF(AND(V367&gt;='Work Calendar'!$B$14,T367+U367+W367&gt;0),"Day off - but worked",IF(V367&gt;='Work Calendar'!$B$14,"Day off",IF(T367+U367+W367&gt;0,IF($C367="Working","Charged","Worked weekend"),IF($C367="Working","Leave (not charged)",$C367)))))))</f>
        <v>No data yet</v>
      </c>
    </row>
    <row r="368" spans="1:27" x14ac:dyDescent="0.3">
      <c r="A368" s="371">
        <f>IF($A367="","",IF($A367+1&gt;'Work Calendar'!$B$16,"",$A367+1))</f>
        <v>46386</v>
      </c>
      <c r="B368" t="str">
        <f t="shared" si="20"/>
        <v>Wed</v>
      </c>
      <c r="C368" t="str" cm="1">
        <f t="array" ref="C368">IF($A368="","",IF(COUNTIF('Work Calendar'!$E$6:$E$200,$A368)&gt;0,"Holiday",IF(INDEX('Work Calendar'!$C$6:$C$12,WEEKDAY($A368,1))=1,"Working","Weekend")))</f>
        <v>Working</v>
      </c>
      <c r="D368" s="341">
        <f>IF($A368="","",SUMIFS('Timesheet Raw'!$P$4:$P$8000,'Timesheet Raw'!$L$4:$L$8000,$A368,'Timesheet Raw'!$C$4:$C$8000,D$3,'Timesheet Raw'!$A$4:$A$8000,"1-Projects"))</f>
        <v>0</v>
      </c>
      <c r="E368" s="341">
        <f>IF($A368="","",SUMIFS('Timesheet Raw'!$P$4:$P$8000,'Timesheet Raw'!$L$4:$L$8000,$A368,'Timesheet Raw'!$C$4:$C$8000,D$3,'Timesheet Raw'!$A$4:$A$8000,"2-Proposals Chargeable")+SUMIFS('Timesheet Raw'!$P$4:$P$8000,'Timesheet Raw'!$L$4:$L$8000,$A368,'Timesheet Raw'!$C$4:$C$8000,D$3,'Timesheet Raw'!$A$4:$A$8000,"3-Proposals Regular"))</f>
        <v>0</v>
      </c>
      <c r="F368" s="341">
        <f>IF($A368="","",SUMIFS('Timesheet Raw'!$P$4:$P$8000,'Timesheet Raw'!$L$4:$L$8000,$A368,'Timesheet Raw'!$C$4:$C$8000,D$3,'Timesheet Raw'!$B$4:$B$8000,'Work Calendar'!$A$26)+SUMIFS('Timesheet Raw'!$P$4:$P$8000,'Timesheet Raw'!$L$4:$L$8000,$A368,'Timesheet Raw'!$C$4:$C$8000,D$3,'Timesheet Raw'!$B$4:$B$8000,'Work Calendar'!$A$27)+SUMIFS('Timesheet Raw'!$P$4:$P$8000,'Timesheet Raw'!$L$4:$L$8000,$A368,'Timesheet Raw'!$C$4:$C$8000,D$3,'Timesheet Raw'!$B$4:$B$8000,'Work Calendar'!$A$28)+SUMIFS('Timesheet Raw'!$P$4:$P$8000,'Timesheet Raw'!$L$4:$L$8000,$A368,'Timesheet Raw'!$C$4:$C$8000,D$3,'Timesheet Raw'!$B$4:$B$8000,'Work Calendar'!$A$29))</f>
        <v>0</v>
      </c>
      <c r="G368" s="341">
        <f t="shared" si="21"/>
        <v>0</v>
      </c>
      <c r="H368" s="395">
        <f>IF($A368="","",SUMIFS('Timesheet Raw'!$K$4:$K$8000,'Timesheet Raw'!$L$4:$L$8000,$A368,'Timesheet Raw'!$C$4:$C$8000,D$3))</f>
        <v>0</v>
      </c>
      <c r="I368" s="345">
        <f>IF($A368="","",SUMIFS('Timesheet Raw'!$P$4:$P$8000,'Timesheet Raw'!$L$4:$L$8000,$A368,'Timesheet Raw'!$C$4:$C$8000,D$3))</f>
        <v>0</v>
      </c>
      <c r="J368" s="375"/>
      <c r="K368" t="str">
        <f>IF($A368="","",IF(J368&lt;&gt;"",J368,IF($A368&gt;'Work Calendar'!$B$17,"No data yet",IF(AND(F368&gt;='Work Calendar'!$B$14,D368+E368+G368&gt;0),"Day off - but worked",IF(F368&gt;='Work Calendar'!$B$14,"Day off",IF(D368+E368+G368&gt;0,IF($C368="Working","Charged","Worked weekend"),IF($C368="Working","Leave (not charged)",$C368)))))))</f>
        <v>No data yet</v>
      </c>
      <c r="L368" s="341">
        <f>IF($A368="","",SUMIFS('Timesheet Raw'!$P$4:$P$8000,'Timesheet Raw'!$L$4:$L$8000,$A368,'Timesheet Raw'!$C$4:$C$8000,L$3,'Timesheet Raw'!$A$4:$A$8000,"1-Projects"))</f>
        <v>0</v>
      </c>
      <c r="M368" s="341">
        <f>IF($A368="","",SUMIFS('Timesheet Raw'!$P$4:$P$8000,'Timesheet Raw'!$L$4:$L$8000,$A368,'Timesheet Raw'!$C$4:$C$8000,L$3,'Timesheet Raw'!$A$4:$A$8000,"2-Proposals Chargeable")+SUMIFS('Timesheet Raw'!$P$4:$P$8000,'Timesheet Raw'!$L$4:$L$8000,$A368,'Timesheet Raw'!$C$4:$C$8000,L$3,'Timesheet Raw'!$A$4:$A$8000,"3-Proposals Regular"))</f>
        <v>0</v>
      </c>
      <c r="N368" s="341">
        <f>IF($A368="","",SUMIFS('Timesheet Raw'!$P$4:$P$8000,'Timesheet Raw'!$L$4:$L$8000,$A368,'Timesheet Raw'!$C$4:$C$8000,L$3,'Timesheet Raw'!$B$4:$B$8000,'Work Calendar'!$A$26)+SUMIFS('Timesheet Raw'!$P$4:$P$8000,'Timesheet Raw'!$L$4:$L$8000,$A368,'Timesheet Raw'!$C$4:$C$8000,L$3,'Timesheet Raw'!$B$4:$B$8000,'Work Calendar'!$A$27)+SUMIFS('Timesheet Raw'!$P$4:$P$8000,'Timesheet Raw'!$L$4:$L$8000,$A368,'Timesheet Raw'!$C$4:$C$8000,L$3,'Timesheet Raw'!$B$4:$B$8000,'Work Calendar'!$A$28)+SUMIFS('Timesheet Raw'!$P$4:$P$8000,'Timesheet Raw'!$L$4:$L$8000,$A368,'Timesheet Raw'!$C$4:$C$8000,L$3,'Timesheet Raw'!$B$4:$B$8000,'Work Calendar'!$A$29))</f>
        <v>0</v>
      </c>
      <c r="O368" s="341">
        <f t="shared" si="22"/>
        <v>0</v>
      </c>
      <c r="P368" s="395">
        <f>IF($A368="","",SUMIFS('Timesheet Raw'!$K$4:$K$8000,'Timesheet Raw'!$L$4:$L$8000,$A368,'Timesheet Raw'!$C$4:$C$8000,L$3))</f>
        <v>0</v>
      </c>
      <c r="Q368" s="345">
        <f>IF($A368="","",SUMIFS('Timesheet Raw'!$P$4:$P$8000,'Timesheet Raw'!$L$4:$L$8000,$A368,'Timesheet Raw'!$C$4:$C$8000,L$3))</f>
        <v>0</v>
      </c>
      <c r="R368" s="375"/>
      <c r="S368" t="str">
        <f>IF($A368="","",IF(R368&lt;&gt;"",R368,IF($A368&gt;'Work Calendar'!$B$17,"No data yet",IF(AND(N368&gt;='Work Calendar'!$B$14,L368+M368+O368&gt;0),"Day off - but worked",IF(N368&gt;='Work Calendar'!$B$14,"Day off",IF(L368+M368+O368&gt;0,IF($C368="Working","Charged","Worked weekend"),IF($C368="Working","Leave (not charged)",$C368)))))))</f>
        <v>No data yet</v>
      </c>
      <c r="T368" s="341">
        <f>IF($A368="","",SUMIFS('Timesheet Raw'!$P$4:$P$8000,'Timesheet Raw'!$L$4:$L$8000,$A368,'Timesheet Raw'!$C$4:$C$8000,T$3,'Timesheet Raw'!$A$4:$A$8000,"1-Projects"))</f>
        <v>0</v>
      </c>
      <c r="U368" s="341">
        <f>IF($A368="","",SUMIFS('Timesheet Raw'!$P$4:$P$8000,'Timesheet Raw'!$L$4:$L$8000,$A368,'Timesheet Raw'!$C$4:$C$8000,T$3,'Timesheet Raw'!$A$4:$A$8000,"2-Proposals Chargeable")+SUMIFS('Timesheet Raw'!$P$4:$P$8000,'Timesheet Raw'!$L$4:$L$8000,$A368,'Timesheet Raw'!$C$4:$C$8000,T$3,'Timesheet Raw'!$A$4:$A$8000,"3-Proposals Regular"))</f>
        <v>0</v>
      </c>
      <c r="V368" s="341">
        <f>IF($A368="","",SUMIFS('Timesheet Raw'!$P$4:$P$8000,'Timesheet Raw'!$L$4:$L$8000,$A368,'Timesheet Raw'!$C$4:$C$8000,T$3,'Timesheet Raw'!$B$4:$B$8000,'Work Calendar'!$A$26)+SUMIFS('Timesheet Raw'!$P$4:$P$8000,'Timesheet Raw'!$L$4:$L$8000,$A368,'Timesheet Raw'!$C$4:$C$8000,T$3,'Timesheet Raw'!$B$4:$B$8000,'Work Calendar'!$A$27)+SUMIFS('Timesheet Raw'!$P$4:$P$8000,'Timesheet Raw'!$L$4:$L$8000,$A368,'Timesheet Raw'!$C$4:$C$8000,T$3,'Timesheet Raw'!$B$4:$B$8000,'Work Calendar'!$A$28)+SUMIFS('Timesheet Raw'!$P$4:$P$8000,'Timesheet Raw'!$L$4:$L$8000,$A368,'Timesheet Raw'!$C$4:$C$8000,T$3,'Timesheet Raw'!$B$4:$B$8000,'Work Calendar'!$A$29))</f>
        <v>0</v>
      </c>
      <c r="W368" s="341">
        <f t="shared" si="23"/>
        <v>0</v>
      </c>
      <c r="X368" s="395">
        <f>IF($A368="","",SUMIFS('Timesheet Raw'!$K$4:$K$8000,'Timesheet Raw'!$L$4:$L$8000,$A368,'Timesheet Raw'!$C$4:$C$8000,T$3))</f>
        <v>0</v>
      </c>
      <c r="Y368" s="345">
        <f>IF($A368="","",SUMIFS('Timesheet Raw'!$P$4:$P$8000,'Timesheet Raw'!$L$4:$L$8000,$A368,'Timesheet Raw'!$C$4:$C$8000,T$3))</f>
        <v>0</v>
      </c>
      <c r="Z368" s="375"/>
      <c r="AA368" t="str">
        <f>IF($A368="","",IF(Z368&lt;&gt;"",Z368,IF($A368&gt;'Work Calendar'!$B$17,"No data yet",IF(AND(V368&gt;='Work Calendar'!$B$14,T368+U368+W368&gt;0),"Day off - but worked",IF(V368&gt;='Work Calendar'!$B$14,"Day off",IF(T368+U368+W368&gt;0,IF($C368="Working","Charged","Worked weekend"),IF($C368="Working","Leave (not charged)",$C368)))))))</f>
        <v>No data yet</v>
      </c>
    </row>
    <row r="369" spans="1:27" x14ac:dyDescent="0.3">
      <c r="A369" s="371">
        <f>IF($A368="","",IF($A368+1&gt;'Work Calendar'!$B$16,"",$A368+1))</f>
        <v>46387</v>
      </c>
      <c r="B369" t="str">
        <f t="shared" si="20"/>
        <v>Thu</v>
      </c>
      <c r="C369" t="str" cm="1">
        <f t="array" ref="C369">IF($A369="","",IF(COUNTIF('Work Calendar'!$E$6:$E$200,$A369)&gt;0,"Holiday",IF(INDEX('Work Calendar'!$C$6:$C$12,WEEKDAY($A369,1))=1,"Working","Weekend")))</f>
        <v>Working</v>
      </c>
      <c r="D369" s="341">
        <f>IF($A369="","",SUMIFS('Timesheet Raw'!$P$4:$P$8000,'Timesheet Raw'!$L$4:$L$8000,$A369,'Timesheet Raw'!$C$4:$C$8000,D$3,'Timesheet Raw'!$A$4:$A$8000,"1-Projects"))</f>
        <v>0</v>
      </c>
      <c r="E369" s="341">
        <f>IF($A369="","",SUMIFS('Timesheet Raw'!$P$4:$P$8000,'Timesheet Raw'!$L$4:$L$8000,$A369,'Timesheet Raw'!$C$4:$C$8000,D$3,'Timesheet Raw'!$A$4:$A$8000,"2-Proposals Chargeable")+SUMIFS('Timesheet Raw'!$P$4:$P$8000,'Timesheet Raw'!$L$4:$L$8000,$A369,'Timesheet Raw'!$C$4:$C$8000,D$3,'Timesheet Raw'!$A$4:$A$8000,"3-Proposals Regular"))</f>
        <v>0</v>
      </c>
      <c r="F369" s="341">
        <f>IF($A369="","",SUMIFS('Timesheet Raw'!$P$4:$P$8000,'Timesheet Raw'!$L$4:$L$8000,$A369,'Timesheet Raw'!$C$4:$C$8000,D$3,'Timesheet Raw'!$B$4:$B$8000,'Work Calendar'!$A$26)+SUMIFS('Timesheet Raw'!$P$4:$P$8000,'Timesheet Raw'!$L$4:$L$8000,$A369,'Timesheet Raw'!$C$4:$C$8000,D$3,'Timesheet Raw'!$B$4:$B$8000,'Work Calendar'!$A$27)+SUMIFS('Timesheet Raw'!$P$4:$P$8000,'Timesheet Raw'!$L$4:$L$8000,$A369,'Timesheet Raw'!$C$4:$C$8000,D$3,'Timesheet Raw'!$B$4:$B$8000,'Work Calendar'!$A$28)+SUMIFS('Timesheet Raw'!$P$4:$P$8000,'Timesheet Raw'!$L$4:$L$8000,$A369,'Timesheet Raw'!$C$4:$C$8000,D$3,'Timesheet Raw'!$B$4:$B$8000,'Work Calendar'!$A$29))</f>
        <v>0</v>
      </c>
      <c r="G369" s="341">
        <f t="shared" si="21"/>
        <v>0</v>
      </c>
      <c r="H369" s="395">
        <f>IF($A369="","",SUMIFS('Timesheet Raw'!$K$4:$K$8000,'Timesheet Raw'!$L$4:$L$8000,$A369,'Timesheet Raw'!$C$4:$C$8000,D$3))</f>
        <v>0</v>
      </c>
      <c r="I369" s="345">
        <f>IF($A369="","",SUMIFS('Timesheet Raw'!$P$4:$P$8000,'Timesheet Raw'!$L$4:$L$8000,$A369,'Timesheet Raw'!$C$4:$C$8000,D$3))</f>
        <v>0</v>
      </c>
      <c r="J369" s="375"/>
      <c r="K369" t="str">
        <f>IF($A369="","",IF(J369&lt;&gt;"",J369,IF($A369&gt;'Work Calendar'!$B$17,"No data yet",IF(AND(F369&gt;='Work Calendar'!$B$14,D369+E369+G369&gt;0),"Day off - but worked",IF(F369&gt;='Work Calendar'!$B$14,"Day off",IF(D369+E369+G369&gt;0,IF($C369="Working","Charged","Worked weekend"),IF($C369="Working","Leave (not charged)",$C369)))))))</f>
        <v>No data yet</v>
      </c>
      <c r="L369" s="341">
        <f>IF($A369="","",SUMIFS('Timesheet Raw'!$P$4:$P$8000,'Timesheet Raw'!$L$4:$L$8000,$A369,'Timesheet Raw'!$C$4:$C$8000,L$3,'Timesheet Raw'!$A$4:$A$8000,"1-Projects"))</f>
        <v>0</v>
      </c>
      <c r="M369" s="341">
        <f>IF($A369="","",SUMIFS('Timesheet Raw'!$P$4:$P$8000,'Timesheet Raw'!$L$4:$L$8000,$A369,'Timesheet Raw'!$C$4:$C$8000,L$3,'Timesheet Raw'!$A$4:$A$8000,"2-Proposals Chargeable")+SUMIFS('Timesheet Raw'!$P$4:$P$8000,'Timesheet Raw'!$L$4:$L$8000,$A369,'Timesheet Raw'!$C$4:$C$8000,L$3,'Timesheet Raw'!$A$4:$A$8000,"3-Proposals Regular"))</f>
        <v>0</v>
      </c>
      <c r="N369" s="341">
        <f>IF($A369="","",SUMIFS('Timesheet Raw'!$P$4:$P$8000,'Timesheet Raw'!$L$4:$L$8000,$A369,'Timesheet Raw'!$C$4:$C$8000,L$3,'Timesheet Raw'!$B$4:$B$8000,'Work Calendar'!$A$26)+SUMIFS('Timesheet Raw'!$P$4:$P$8000,'Timesheet Raw'!$L$4:$L$8000,$A369,'Timesheet Raw'!$C$4:$C$8000,L$3,'Timesheet Raw'!$B$4:$B$8000,'Work Calendar'!$A$27)+SUMIFS('Timesheet Raw'!$P$4:$P$8000,'Timesheet Raw'!$L$4:$L$8000,$A369,'Timesheet Raw'!$C$4:$C$8000,L$3,'Timesheet Raw'!$B$4:$B$8000,'Work Calendar'!$A$28)+SUMIFS('Timesheet Raw'!$P$4:$P$8000,'Timesheet Raw'!$L$4:$L$8000,$A369,'Timesheet Raw'!$C$4:$C$8000,L$3,'Timesheet Raw'!$B$4:$B$8000,'Work Calendar'!$A$29))</f>
        <v>0</v>
      </c>
      <c r="O369" s="341">
        <f t="shared" si="22"/>
        <v>0</v>
      </c>
      <c r="P369" s="395">
        <f>IF($A369="","",SUMIFS('Timesheet Raw'!$K$4:$K$8000,'Timesheet Raw'!$L$4:$L$8000,$A369,'Timesheet Raw'!$C$4:$C$8000,L$3))</f>
        <v>0</v>
      </c>
      <c r="Q369" s="345">
        <f>IF($A369="","",SUMIFS('Timesheet Raw'!$P$4:$P$8000,'Timesheet Raw'!$L$4:$L$8000,$A369,'Timesheet Raw'!$C$4:$C$8000,L$3))</f>
        <v>0</v>
      </c>
      <c r="R369" s="375"/>
      <c r="S369" t="str">
        <f>IF($A369="","",IF(R369&lt;&gt;"",R369,IF($A369&gt;'Work Calendar'!$B$17,"No data yet",IF(AND(N369&gt;='Work Calendar'!$B$14,L369+M369+O369&gt;0),"Day off - but worked",IF(N369&gt;='Work Calendar'!$B$14,"Day off",IF(L369+M369+O369&gt;0,IF($C369="Working","Charged","Worked weekend"),IF($C369="Working","Leave (not charged)",$C369)))))))</f>
        <v>No data yet</v>
      </c>
      <c r="T369" s="341">
        <f>IF($A369="","",SUMIFS('Timesheet Raw'!$P$4:$P$8000,'Timesheet Raw'!$L$4:$L$8000,$A369,'Timesheet Raw'!$C$4:$C$8000,T$3,'Timesheet Raw'!$A$4:$A$8000,"1-Projects"))</f>
        <v>0</v>
      </c>
      <c r="U369" s="341">
        <f>IF($A369="","",SUMIFS('Timesheet Raw'!$P$4:$P$8000,'Timesheet Raw'!$L$4:$L$8000,$A369,'Timesheet Raw'!$C$4:$C$8000,T$3,'Timesheet Raw'!$A$4:$A$8000,"2-Proposals Chargeable")+SUMIFS('Timesheet Raw'!$P$4:$P$8000,'Timesheet Raw'!$L$4:$L$8000,$A369,'Timesheet Raw'!$C$4:$C$8000,T$3,'Timesheet Raw'!$A$4:$A$8000,"3-Proposals Regular"))</f>
        <v>0</v>
      </c>
      <c r="V369" s="341">
        <f>IF($A369="","",SUMIFS('Timesheet Raw'!$P$4:$P$8000,'Timesheet Raw'!$L$4:$L$8000,$A369,'Timesheet Raw'!$C$4:$C$8000,T$3,'Timesheet Raw'!$B$4:$B$8000,'Work Calendar'!$A$26)+SUMIFS('Timesheet Raw'!$P$4:$P$8000,'Timesheet Raw'!$L$4:$L$8000,$A369,'Timesheet Raw'!$C$4:$C$8000,T$3,'Timesheet Raw'!$B$4:$B$8000,'Work Calendar'!$A$27)+SUMIFS('Timesheet Raw'!$P$4:$P$8000,'Timesheet Raw'!$L$4:$L$8000,$A369,'Timesheet Raw'!$C$4:$C$8000,T$3,'Timesheet Raw'!$B$4:$B$8000,'Work Calendar'!$A$28)+SUMIFS('Timesheet Raw'!$P$4:$P$8000,'Timesheet Raw'!$L$4:$L$8000,$A369,'Timesheet Raw'!$C$4:$C$8000,T$3,'Timesheet Raw'!$B$4:$B$8000,'Work Calendar'!$A$29))</f>
        <v>0</v>
      </c>
      <c r="W369" s="341">
        <f t="shared" si="23"/>
        <v>0</v>
      </c>
      <c r="X369" s="395">
        <f>IF($A369="","",SUMIFS('Timesheet Raw'!$K$4:$K$8000,'Timesheet Raw'!$L$4:$L$8000,$A369,'Timesheet Raw'!$C$4:$C$8000,T$3))</f>
        <v>0</v>
      </c>
      <c r="Y369" s="345">
        <f>IF($A369="","",SUMIFS('Timesheet Raw'!$P$4:$P$8000,'Timesheet Raw'!$L$4:$L$8000,$A369,'Timesheet Raw'!$C$4:$C$8000,T$3))</f>
        <v>0</v>
      </c>
      <c r="Z369" s="375"/>
      <c r="AA369" t="str">
        <f>IF($A369="","",IF(Z369&lt;&gt;"",Z369,IF($A369&gt;'Work Calendar'!$B$17,"No data yet",IF(AND(V369&gt;='Work Calendar'!$B$14,T369+U369+W369&gt;0),"Day off - but worked",IF(V369&gt;='Work Calendar'!$B$14,"Day off",IF(T369+U369+W369&gt;0,IF($C369="Working","Charged","Worked weekend"),IF($C369="Working","Leave (not charged)",$C369)))))))</f>
        <v>No data yet</v>
      </c>
    </row>
  </sheetData>
  <conditionalFormatting sqref="H5:H369">
    <cfRule type="expression" dxfId="44" priority="36">
      <formula>AND($H5&gt;0,OR($C5&lt;&gt;"Working",$K5="Day off",$K5="Worked weekend"))</formula>
    </cfRule>
  </conditionalFormatting>
  <conditionalFormatting sqref="P5:P369">
    <cfRule type="expression" dxfId="43" priority="37">
      <formula>AND($P5&gt;0,OR($C5&lt;&gt;"Working",$S5="Day off",$S5="Worked weekend"))</formula>
    </cfRule>
  </conditionalFormatting>
  <conditionalFormatting sqref="X5:X369">
    <cfRule type="expression" dxfId="42" priority="38">
      <formula>AND($X5&gt;0,OR($C5&lt;&gt;"Working",$AA5="Day off",$AA5="Worked weekend"))</formula>
    </cfRule>
  </conditionalFormatting>
  <conditionalFormatting sqref="K5:K369">
    <cfRule type="containsText" dxfId="23" priority="39" operator="containsText" text="Leave (not charged)">
      <formula>NOT(ISERROR(SEARCH("Leave (not charged)",K5)))</formula>
    </cfRule>
  </conditionalFormatting>
  <conditionalFormatting sqref="K5:K369">
    <cfRule type="containsText" dxfId="22" priority="40" operator="containsText" text="Charged">
      <formula>NOT(ISERROR(SEARCH("Charged",K5)))</formula>
    </cfRule>
  </conditionalFormatting>
  <conditionalFormatting sqref="K5:K369">
    <cfRule type="containsText" dxfId="21" priority="41" operator="containsText" text="Day off - but worked">
      <formula>NOT(ISERROR(SEARCH("Day off - but worked",K5)))</formula>
    </cfRule>
  </conditionalFormatting>
  <conditionalFormatting sqref="K5:K369">
    <cfRule type="containsText" dxfId="20" priority="42" operator="containsText" text="Day off">
      <formula>NOT(ISERROR(SEARCH("Day off",K5)))</formula>
    </cfRule>
  </conditionalFormatting>
  <conditionalFormatting sqref="K5:K369">
    <cfRule type="containsText" dxfId="19" priority="43" operator="containsText" text="Weekend">
      <formula>NOT(ISERROR(SEARCH("Weekend",K5)))</formula>
    </cfRule>
  </conditionalFormatting>
  <conditionalFormatting sqref="K5:K369">
    <cfRule type="containsText" dxfId="18" priority="44" operator="containsText" text="Worked weekend">
      <formula>NOT(ISERROR(SEARCH("Worked weekend",K5)))</formula>
    </cfRule>
  </conditionalFormatting>
  <conditionalFormatting sqref="K5:K369">
    <cfRule type="containsText" dxfId="17" priority="45" operator="containsText" text="No data yet">
      <formula>NOT(ISERROR(SEARCH("No data yet",K5)))</formula>
    </cfRule>
  </conditionalFormatting>
  <conditionalFormatting sqref="S5:S369">
    <cfRule type="containsText" dxfId="16" priority="46" operator="containsText" text="Leave (not charged)">
      <formula>NOT(ISERROR(SEARCH("Leave (not charged)",S5)))</formula>
    </cfRule>
  </conditionalFormatting>
  <conditionalFormatting sqref="S5:S369">
    <cfRule type="containsText" dxfId="15" priority="47" operator="containsText" text="Charged">
      <formula>NOT(ISERROR(SEARCH("Charged",S5)))</formula>
    </cfRule>
  </conditionalFormatting>
  <conditionalFormatting sqref="S5:S369">
    <cfRule type="containsText" dxfId="14" priority="48" operator="containsText" text="Day off - but worked">
      <formula>NOT(ISERROR(SEARCH("Day off - but worked",S5)))</formula>
    </cfRule>
  </conditionalFormatting>
  <conditionalFormatting sqref="S5:S369">
    <cfRule type="containsText" dxfId="13" priority="49" operator="containsText" text="Day off">
      <formula>NOT(ISERROR(SEARCH("Day off",S5)))</formula>
    </cfRule>
  </conditionalFormatting>
  <conditionalFormatting sqref="S5:S369">
    <cfRule type="containsText" dxfId="12" priority="50" operator="containsText" text="Weekend">
      <formula>NOT(ISERROR(SEARCH("Weekend",S5)))</formula>
    </cfRule>
  </conditionalFormatting>
  <conditionalFormatting sqref="S5:S369">
    <cfRule type="containsText" dxfId="11" priority="51" operator="containsText" text="Worked weekend">
      <formula>NOT(ISERROR(SEARCH("Worked weekend",S5)))</formula>
    </cfRule>
  </conditionalFormatting>
  <conditionalFormatting sqref="S5:S369">
    <cfRule type="containsText" dxfId="10" priority="52" operator="containsText" text="No data yet">
      <formula>NOT(ISERROR(SEARCH("No data yet",S5)))</formula>
    </cfRule>
  </conditionalFormatting>
  <conditionalFormatting sqref="AA5:AA369">
    <cfRule type="containsText" dxfId="9" priority="53" operator="containsText" text="Leave (not charged)">
      <formula>NOT(ISERROR(SEARCH("Leave (not charged)",AA5)))</formula>
    </cfRule>
  </conditionalFormatting>
  <conditionalFormatting sqref="AA5:AA369">
    <cfRule type="containsText" dxfId="8" priority="54" operator="containsText" text="Charged">
      <formula>NOT(ISERROR(SEARCH("Charged",AA5)))</formula>
    </cfRule>
  </conditionalFormatting>
  <conditionalFormatting sqref="AA5:AA369">
    <cfRule type="containsText" dxfId="7" priority="55" operator="containsText" text="Day off - but worked">
      <formula>NOT(ISERROR(SEARCH("Day off - but worked",AA5)))</formula>
    </cfRule>
  </conditionalFormatting>
  <conditionalFormatting sqref="AA5:AA369">
    <cfRule type="containsText" dxfId="6" priority="56" operator="containsText" text="Day off">
      <formula>NOT(ISERROR(SEARCH("Day off",AA5)))</formula>
    </cfRule>
  </conditionalFormatting>
  <conditionalFormatting sqref="AA5:AA369">
    <cfRule type="containsText" dxfId="5" priority="57" operator="containsText" text="Weekend">
      <formula>NOT(ISERROR(SEARCH("Weekend",AA5)))</formula>
    </cfRule>
  </conditionalFormatting>
  <conditionalFormatting sqref="AA5:AA369">
    <cfRule type="containsText" dxfId="4" priority="58" operator="containsText" text="Worked weekend">
      <formula>NOT(ISERROR(SEARCH("Worked weekend",AA5)))</formula>
    </cfRule>
  </conditionalFormatting>
  <conditionalFormatting sqref="AA5:AA369">
    <cfRule type="containsText" dxfId="3" priority="59" operator="containsText" text="No data yet">
      <formula>NOT(ISERROR(SEARCH("No data yet",AA5)))</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E10C7-0E79-4EC1-B12E-A98404390D6C}">
  <sheetPr>
    <tabColor rgb="FF808080"/>
  </sheetPr>
  <dimension ref="A1:BX8000"/>
  <sheetViews>
    <sheetView zoomScale="70" zoomScaleNormal="70" workbookViewId="0">
      <pane ySplit="3" topLeftCell="A7029" activePane="bottomLeft" state="frozen"/>
      <selection pane="bottomLeft" activeCell="G8" sqref="G8"/>
    </sheetView>
  </sheetViews>
  <sheetFormatPr defaultRowHeight="14.4" x14ac:dyDescent="0.3"/>
  <cols>
    <col min="1" max="1" width="21.109375" customWidth="1"/>
    <col min="2" max="2" width="14.44140625" bestFit="1" customWidth="1"/>
    <col min="3" max="3" width="13.5546875" bestFit="1" customWidth="1"/>
    <col min="12" max="12" width="16.5546875" customWidth="1"/>
  </cols>
  <sheetData>
    <row r="1" spans="1:76" x14ac:dyDescent="0.3">
      <c r="A1" s="370" t="s">
        <v>920</v>
      </c>
    </row>
    <row r="2" spans="1:76" x14ac:dyDescent="0.3">
      <c r="A2" s="355" t="s">
        <v>987</v>
      </c>
    </row>
    <row r="3" spans="1:76" x14ac:dyDescent="0.3">
      <c r="A3" s="334" t="s">
        <v>632</v>
      </c>
      <c r="B3" s="334" t="s">
        <v>633</v>
      </c>
      <c r="C3" s="334" t="s">
        <v>634</v>
      </c>
      <c r="D3" s="334" t="s">
        <v>635</v>
      </c>
      <c r="E3" s="334" t="s">
        <v>636</v>
      </c>
      <c r="F3" s="334" t="s">
        <v>637</v>
      </c>
      <c r="G3" s="334" t="s">
        <v>638</v>
      </c>
      <c r="H3" s="334" t="s">
        <v>639</v>
      </c>
      <c r="I3" s="334" t="s">
        <v>640</v>
      </c>
      <c r="J3" s="334" t="s">
        <v>641</v>
      </c>
      <c r="K3" s="334" t="s">
        <v>642</v>
      </c>
      <c r="L3" s="334" t="s">
        <v>643</v>
      </c>
      <c r="M3" s="334" t="s">
        <v>644</v>
      </c>
      <c r="N3" s="334" t="s">
        <v>645</v>
      </c>
      <c r="O3" s="334" t="s">
        <v>646</v>
      </c>
      <c r="P3" s="334" t="s">
        <v>647</v>
      </c>
      <c r="Q3" s="334" t="s">
        <v>648</v>
      </c>
      <c r="R3" s="334" t="s">
        <v>649</v>
      </c>
      <c r="S3" s="334" t="s">
        <v>650</v>
      </c>
      <c r="T3" s="334" t="s">
        <v>0</v>
      </c>
      <c r="U3" s="334" t="s">
        <v>651</v>
      </c>
      <c r="V3" s="334" t="s">
        <v>652</v>
      </c>
      <c r="W3" s="334" t="s">
        <v>653</v>
      </c>
      <c r="X3" s="334" t="s">
        <v>654</v>
      </c>
      <c r="Y3" s="334" t="s">
        <v>655</v>
      </c>
      <c r="Z3" s="334" t="s">
        <v>656</v>
      </c>
      <c r="AA3" s="334" t="s">
        <v>657</v>
      </c>
      <c r="AB3" s="334" t="s">
        <v>658</v>
      </c>
      <c r="AC3" s="334" t="s">
        <v>659</v>
      </c>
      <c r="AD3" s="334" t="s">
        <v>660</v>
      </c>
      <c r="AE3" s="334" t="s">
        <v>661</v>
      </c>
      <c r="AF3" s="334" t="s">
        <v>662</v>
      </c>
      <c r="AG3" s="334" t="s">
        <v>663</v>
      </c>
      <c r="AH3" s="334" t="s">
        <v>664</v>
      </c>
      <c r="AI3" s="334" t="s">
        <v>665</v>
      </c>
      <c r="AJ3" s="334" t="s">
        <v>666</v>
      </c>
      <c r="AK3" s="334" t="s">
        <v>667</v>
      </c>
      <c r="AL3" s="334" t="s">
        <v>668</v>
      </c>
      <c r="AM3" s="334" t="s">
        <v>669</v>
      </c>
      <c r="AN3" s="334" t="s">
        <v>670</v>
      </c>
      <c r="AO3" s="334" t="s">
        <v>671</v>
      </c>
      <c r="AP3" s="334" t="s">
        <v>672</v>
      </c>
      <c r="AQ3" s="334" t="s">
        <v>673</v>
      </c>
      <c r="AR3" s="334" t="s">
        <v>674</v>
      </c>
      <c r="AS3" s="334" t="s">
        <v>675</v>
      </c>
      <c r="AT3" s="334" t="s">
        <v>676</v>
      </c>
      <c r="AU3" s="334" t="s">
        <v>677</v>
      </c>
      <c r="AV3" s="334" t="s">
        <v>678</v>
      </c>
      <c r="AW3" s="334" t="s">
        <v>679</v>
      </c>
      <c r="AX3" s="334" t="s">
        <v>680</v>
      </c>
      <c r="AY3" s="334" t="s">
        <v>681</v>
      </c>
      <c r="AZ3" s="334" t="s">
        <v>682</v>
      </c>
      <c r="BA3" s="334" t="s">
        <v>683</v>
      </c>
      <c r="BB3" s="334" t="s">
        <v>684</v>
      </c>
      <c r="BC3" s="334" t="s">
        <v>685</v>
      </c>
      <c r="BD3" s="334" t="s">
        <v>686</v>
      </c>
      <c r="BE3" s="334" t="s">
        <v>687</v>
      </c>
      <c r="BF3" s="334" t="s">
        <v>688</v>
      </c>
      <c r="BG3" s="334" t="s">
        <v>689</v>
      </c>
      <c r="BH3" s="334" t="s">
        <v>690</v>
      </c>
      <c r="BI3" s="334" t="s">
        <v>691</v>
      </c>
      <c r="BJ3" s="334" t="s">
        <v>692</v>
      </c>
      <c r="BK3" s="334" t="s">
        <v>693</v>
      </c>
      <c r="BL3" s="334" t="s">
        <v>694</v>
      </c>
      <c r="BM3" s="334" t="s">
        <v>695</v>
      </c>
      <c r="BN3" s="334" t="s">
        <v>696</v>
      </c>
      <c r="BO3" s="334" t="s">
        <v>697</v>
      </c>
      <c r="BP3" s="334" t="s">
        <v>698</v>
      </c>
      <c r="BQ3" s="334" t="s">
        <v>699</v>
      </c>
      <c r="BR3" s="334" t="s">
        <v>700</v>
      </c>
      <c r="BS3" s="334" t="s">
        <v>701</v>
      </c>
      <c r="BT3" s="334" t="s">
        <v>702</v>
      </c>
      <c r="BU3" s="383" t="s">
        <v>784</v>
      </c>
      <c r="BV3" s="383" t="s">
        <v>783</v>
      </c>
      <c r="BW3" s="383" t="s">
        <v>829</v>
      </c>
      <c r="BX3" s="383" t="s">
        <v>830</v>
      </c>
    </row>
    <row r="4" spans="1:76" x14ac:dyDescent="0.3">
      <c r="A4" t="str" cm="1">
        <f t="array" ref="A4:P7685">_xlfn.LET(_xlpm.x,_xlfn.VSTACK('TS Engineer 1'!$A$4:$P$6000,'TS Engineer 2'!$A$4:$P$6000,'TS Engineer 3'!$A$4:$P$6000),_xlfn._xlws.FILTER(_xlpm.x,INDEX(_xlpm.x,0,12)&gt;0,""))</f>
        <v>1-Projects</v>
      </c>
      <c r="B4" t="str">
        <v>AN22137-0100D</v>
      </c>
      <c r="C4" t="str">
        <v>Ahmed Mitwally</v>
      </c>
      <c r="D4">
        <v>0.10539999999999999</v>
      </c>
      <c r="E4">
        <v>2.2941176470588198</v>
      </c>
      <c r="F4" t="str">
        <v>39-0</v>
      </c>
      <c r="G4" t="str">
        <v>39-0</v>
      </c>
      <c r="H4" t="str">
        <v>SB</v>
      </c>
      <c r="I4" t="str">
        <v>063381</v>
      </c>
      <c r="J4">
        <v>8.5</v>
      </c>
      <c r="K4">
        <v>11</v>
      </c>
      <c r="L4" s="371">
        <v>45532</v>
      </c>
      <c r="M4">
        <v>1</v>
      </c>
      <c r="N4">
        <v>1</v>
      </c>
      <c r="O4" t="str">
        <v>HO Design</v>
      </c>
      <c r="P4">
        <v>19.5</v>
      </c>
      <c r="BU4" t="str">
        <f>IF($L4="","",$B4&amp;"|"&amp;$M4&amp;"|"&amp;$L4)</f>
        <v>AN22137-0100D|1|45532</v>
      </c>
      <c r="BV4">
        <f>IF($BU4="","",IF(COUNTIF($BU$4:$BU4,$BU4)=1,1,0))</f>
        <v>1</v>
      </c>
      <c r="BW4" s="371">
        <f>IF($BU4="","",IFERROR(_xlfn.MAXIFS($L$4:$L$8000,$B$4:$B$8000,$B4,$M$4:$M$8000,$M4,$L$4:$L$8000,"&lt;"&amp;$L4),""))</f>
        <v>45531</v>
      </c>
      <c r="BX4">
        <f>IF(OR($BW4="",$BW4=0),"",MAX(0,NETWORKDAYS.INTL($BW4,$L4,'Work Calendar'!$B$31)-2))</f>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BCA9A-B0D4-42AD-88F9-1E0EBDDD9BDE}">
  <sheetPr>
    <tabColor rgb="FF808080"/>
  </sheetPr>
  <dimension ref="A1:BT3"/>
  <sheetViews>
    <sheetView workbookViewId="0">
      <pane ySplit="3" topLeftCell="A4" activePane="bottomLeft" state="frozen"/>
      <selection pane="bottomLeft" activeCell="L17" sqref="L17"/>
    </sheetView>
  </sheetViews>
  <sheetFormatPr defaultRowHeight="14.4" x14ac:dyDescent="0.3"/>
  <sheetData>
    <row r="1" spans="1:72" x14ac:dyDescent="0.3">
      <c r="A1" s="370" t="inlineStr">
        <is>
          <t xml:space="preserve">TIMESHEET - ENGINEER 1  |  PASTE TARGET. Delete row 4 downward, then paste this person's export into A4. Do not touch row 3.</t>
        </is>
      </c>
    </row>
    <row r="3" spans="1:72" x14ac:dyDescent="0.3">
      <c r="A3" s="334" t="s">
        <v>632</v>
      </c>
      <c r="B3" s="334" t="s">
        <v>633</v>
      </c>
      <c r="C3" s="334" t="s">
        <v>634</v>
      </c>
      <c r="D3" s="334" t="s">
        <v>635</v>
      </c>
      <c r="E3" s="334" t="s">
        <v>636</v>
      </c>
      <c r="F3" s="334" t="s">
        <v>637</v>
      </c>
      <c r="G3" s="334" t="s">
        <v>638</v>
      </c>
      <c r="H3" s="334" t="s">
        <v>639</v>
      </c>
      <c r="I3" s="334" t="s">
        <v>640</v>
      </c>
      <c r="J3" s="334" t="s">
        <v>641</v>
      </c>
      <c r="K3" s="334" t="s">
        <v>642</v>
      </c>
      <c r="L3" s="334" t="s">
        <v>643</v>
      </c>
      <c r="M3" s="334" t="s">
        <v>644</v>
      </c>
      <c r="N3" s="334" t="s">
        <v>645</v>
      </c>
      <c r="O3" s="334" t="s">
        <v>646</v>
      </c>
      <c r="P3" s="334" t="s">
        <v>647</v>
      </c>
      <c r="Q3" s="334" t="s">
        <v>648</v>
      </c>
      <c r="R3" s="334" t="s">
        <v>649</v>
      </c>
      <c r="S3" s="334" t="s">
        <v>650</v>
      </c>
      <c r="T3" s="334" t="s">
        <v>0</v>
      </c>
      <c r="U3" s="334" t="s">
        <v>651</v>
      </c>
      <c r="V3" s="334" t="s">
        <v>652</v>
      </c>
      <c r="W3" s="334" t="s">
        <v>653</v>
      </c>
      <c r="X3" s="334" t="s">
        <v>654</v>
      </c>
      <c r="Y3" s="334" t="s">
        <v>655</v>
      </c>
      <c r="Z3" s="334" t="s">
        <v>656</v>
      </c>
      <c r="AA3" s="334" t="s">
        <v>657</v>
      </c>
      <c r="AB3" s="334" t="s">
        <v>658</v>
      </c>
      <c r="AC3" s="334" t="s">
        <v>659</v>
      </c>
      <c r="AD3" s="334" t="s">
        <v>660</v>
      </c>
      <c r="AE3" s="334" t="s">
        <v>661</v>
      </c>
      <c r="AF3" s="334" t="s">
        <v>662</v>
      </c>
      <c r="AG3" s="334" t="s">
        <v>663</v>
      </c>
      <c r="AH3" s="334" t="s">
        <v>664</v>
      </c>
      <c r="AI3" s="334" t="s">
        <v>665</v>
      </c>
      <c r="AJ3" s="334" t="s">
        <v>666</v>
      </c>
      <c r="AK3" s="334" t="s">
        <v>667</v>
      </c>
      <c r="AL3" s="334" t="s">
        <v>668</v>
      </c>
      <c r="AM3" s="334" t="s">
        <v>669</v>
      </c>
      <c r="AN3" s="334" t="s">
        <v>670</v>
      </c>
      <c r="AO3" s="334" t="s">
        <v>671</v>
      </c>
      <c r="AP3" s="334" t="s">
        <v>672</v>
      </c>
      <c r="AQ3" s="334" t="s">
        <v>673</v>
      </c>
      <c r="AR3" s="334" t="s">
        <v>674</v>
      </c>
      <c r="AS3" s="334" t="s">
        <v>675</v>
      </c>
      <c r="AT3" s="334" t="s">
        <v>676</v>
      </c>
      <c r="AU3" s="334" t="s">
        <v>677</v>
      </c>
      <c r="AV3" s="334" t="s">
        <v>678</v>
      </c>
      <c r="AW3" s="334" t="s">
        <v>679</v>
      </c>
      <c r="AX3" s="334" t="s">
        <v>680</v>
      </c>
      <c r="AY3" s="334" t="s">
        <v>681</v>
      </c>
      <c r="AZ3" s="334" t="s">
        <v>682</v>
      </c>
      <c r="BA3" s="334" t="s">
        <v>683</v>
      </c>
      <c r="BB3" s="334" t="s">
        <v>684</v>
      </c>
      <c r="BC3" s="334" t="s">
        <v>685</v>
      </c>
      <c r="BD3" s="334" t="s">
        <v>686</v>
      </c>
      <c r="BE3" s="334" t="s">
        <v>687</v>
      </c>
      <c r="BF3" s="334" t="s">
        <v>688</v>
      </c>
      <c r="BG3" s="334" t="s">
        <v>689</v>
      </c>
      <c r="BH3" s="334" t="s">
        <v>690</v>
      </c>
      <c r="BI3" s="334" t="s">
        <v>691</v>
      </c>
      <c r="BJ3" s="334" t="s">
        <v>692</v>
      </c>
      <c r="BK3" s="334" t="s">
        <v>693</v>
      </c>
      <c r="BL3" s="334" t="s">
        <v>694</v>
      </c>
      <c r="BM3" s="334" t="s">
        <v>695</v>
      </c>
      <c r="BN3" s="334" t="s">
        <v>696</v>
      </c>
      <c r="BO3" s="334" t="s">
        <v>697</v>
      </c>
      <c r="BP3" s="334" t="s">
        <v>698</v>
      </c>
      <c r="BQ3" s="334" t="s">
        <v>699</v>
      </c>
      <c r="BR3" s="334" t="s">
        <v>700</v>
      </c>
      <c r="BS3" s="334" t="s">
        <v>701</v>
      </c>
      <c r="BT3" s="334" t="s">
        <v>702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52F97-44C1-40A8-9CF6-63099FFBDF53}">
  <sheetPr>
    <tabColor rgb="FF808080"/>
  </sheetPr>
  <dimension ref="A1:BT3"/>
  <sheetViews>
    <sheetView workbookViewId="0">
      <pane ySplit="3" topLeftCell="A872" activePane="bottomLeft" state="frozen"/>
      <selection pane="bottomLeft" activeCell="M915" sqref="M915"/>
    </sheetView>
  </sheetViews>
  <sheetFormatPr defaultRowHeight="14.4" x14ac:dyDescent="0.3"/>
  <sheetData>
    <row r="1" spans="1:72" x14ac:dyDescent="0.3">
      <c r="A1" s="370" t="inlineStr">
        <is>
          <t xml:space="preserve">TIMESHEET - ENGINEER 2  |  PASTE TARGET. Delete row 4 downward, then paste this person's export into A4. Do not touch row 3.</t>
        </is>
      </c>
    </row>
    <row r="3" spans="1:72" x14ac:dyDescent="0.3">
      <c r="A3" s="334" t="s">
        <v>632</v>
      </c>
      <c r="B3" s="334" t="s">
        <v>633</v>
      </c>
      <c r="C3" s="334" t="s">
        <v>634</v>
      </c>
      <c r="D3" s="334" t="s">
        <v>635</v>
      </c>
      <c r="E3" s="334" t="s">
        <v>636</v>
      </c>
      <c r="F3" s="334" t="s">
        <v>637</v>
      </c>
      <c r="G3" s="334" t="s">
        <v>638</v>
      </c>
      <c r="H3" s="334" t="s">
        <v>639</v>
      </c>
      <c r="I3" s="334" t="s">
        <v>640</v>
      </c>
      <c r="J3" s="334" t="s">
        <v>641</v>
      </c>
      <c r="K3" s="334" t="s">
        <v>642</v>
      </c>
      <c r="L3" s="334" t="s">
        <v>643</v>
      </c>
      <c r="M3" s="334" t="s">
        <v>644</v>
      </c>
      <c r="N3" s="334" t="s">
        <v>645</v>
      </c>
      <c r="O3" s="334" t="s">
        <v>646</v>
      </c>
      <c r="P3" s="334" t="s">
        <v>647</v>
      </c>
      <c r="Q3" s="334" t="s">
        <v>648</v>
      </c>
      <c r="R3" s="334" t="s">
        <v>649</v>
      </c>
      <c r="S3" s="334" t="s">
        <v>650</v>
      </c>
      <c r="T3" s="334" t="s">
        <v>0</v>
      </c>
      <c r="U3" s="334" t="s">
        <v>651</v>
      </c>
      <c r="V3" s="334" t="s">
        <v>652</v>
      </c>
      <c r="W3" s="334" t="s">
        <v>653</v>
      </c>
      <c r="X3" s="334" t="s">
        <v>654</v>
      </c>
      <c r="Y3" s="334" t="s">
        <v>655</v>
      </c>
      <c r="Z3" s="334" t="s">
        <v>656</v>
      </c>
      <c r="AA3" s="334" t="s">
        <v>657</v>
      </c>
      <c r="AB3" s="334" t="s">
        <v>658</v>
      </c>
      <c r="AC3" s="334" t="s">
        <v>659</v>
      </c>
      <c r="AD3" s="334" t="s">
        <v>660</v>
      </c>
      <c r="AE3" s="334" t="s">
        <v>661</v>
      </c>
      <c r="AF3" s="334" t="s">
        <v>662</v>
      </c>
      <c r="AG3" s="334" t="s">
        <v>663</v>
      </c>
      <c r="AH3" s="334" t="s">
        <v>664</v>
      </c>
      <c r="AI3" s="334" t="s">
        <v>665</v>
      </c>
      <c r="AJ3" s="334" t="s">
        <v>666</v>
      </c>
      <c r="AK3" s="334" t="s">
        <v>667</v>
      </c>
      <c r="AL3" s="334" t="s">
        <v>668</v>
      </c>
      <c r="AM3" s="334" t="s">
        <v>669</v>
      </c>
      <c r="AN3" s="334" t="s">
        <v>670</v>
      </c>
      <c r="AO3" s="334" t="s">
        <v>671</v>
      </c>
      <c r="AP3" s="334" t="s">
        <v>672</v>
      </c>
      <c r="AQ3" s="334" t="s">
        <v>673</v>
      </c>
      <c r="AR3" s="334" t="s">
        <v>674</v>
      </c>
      <c r="AS3" s="334" t="s">
        <v>675</v>
      </c>
      <c r="AT3" s="334" t="s">
        <v>676</v>
      </c>
      <c r="AU3" s="334" t="s">
        <v>677</v>
      </c>
      <c r="AV3" s="334" t="s">
        <v>678</v>
      </c>
      <c r="AW3" s="334" t="s">
        <v>679</v>
      </c>
      <c r="AX3" s="334" t="s">
        <v>680</v>
      </c>
      <c r="AY3" s="334" t="s">
        <v>681</v>
      </c>
      <c r="AZ3" s="334" t="s">
        <v>682</v>
      </c>
      <c r="BA3" s="334" t="s">
        <v>683</v>
      </c>
      <c r="BB3" s="334" t="s">
        <v>684</v>
      </c>
      <c r="BC3" s="334" t="s">
        <v>685</v>
      </c>
      <c r="BD3" s="334" t="s">
        <v>686</v>
      </c>
      <c r="BE3" s="334" t="s">
        <v>687</v>
      </c>
      <c r="BF3" s="334" t="s">
        <v>688</v>
      </c>
      <c r="BG3" s="334" t="s">
        <v>689</v>
      </c>
      <c r="BH3" s="334" t="s">
        <v>690</v>
      </c>
      <c r="BI3" s="334" t="s">
        <v>691</v>
      </c>
      <c r="BJ3" s="334" t="s">
        <v>692</v>
      </c>
      <c r="BK3" s="334" t="s">
        <v>693</v>
      </c>
      <c r="BL3" s="334" t="s">
        <v>694</v>
      </c>
      <c r="BM3" s="334" t="s">
        <v>695</v>
      </c>
      <c r="BN3" s="334" t="s">
        <v>696</v>
      </c>
      <c r="BO3" s="334" t="s">
        <v>697</v>
      </c>
      <c r="BP3" s="334" t="s">
        <v>698</v>
      </c>
      <c r="BQ3" s="334" t="s">
        <v>699</v>
      </c>
      <c r="BR3" s="334" t="s">
        <v>700</v>
      </c>
      <c r="BS3" s="334" t="s">
        <v>701</v>
      </c>
      <c r="BT3" s="334" t="s">
        <v>702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BFD03-1D7C-4723-9CC9-A4416D00F153}">
  <sheetPr>
    <tabColor rgb="FF808080"/>
  </sheetPr>
  <dimension ref="A1:BT3"/>
  <sheetViews>
    <sheetView workbookViewId="0">
      <pane ySplit="3" topLeftCell="A4" activePane="bottomLeft" state="frozen"/>
      <selection pane="bottomLeft" activeCell="J21" sqref="J21"/>
    </sheetView>
  </sheetViews>
  <sheetFormatPr defaultRowHeight="14.4" x14ac:dyDescent="0.3"/>
  <sheetData>
    <row r="1" spans="1:72" x14ac:dyDescent="0.3">
      <c r="A1" s="370" t="inlineStr">
        <is>
          <t xml:space="preserve">TIMESHEET - ENGINEER 3  |  PASTE TARGET. Delete row 4 downward, then paste this person's export into A4. Do not touch row 3.</t>
        </is>
      </c>
    </row>
    <row r="3" spans="1:72" x14ac:dyDescent="0.3">
      <c r="A3" s="334" t="s">
        <v>632</v>
      </c>
      <c r="B3" s="334" t="s">
        <v>633</v>
      </c>
      <c r="C3" s="334" t="s">
        <v>634</v>
      </c>
      <c r="D3" s="334" t="s">
        <v>635</v>
      </c>
      <c r="E3" s="334" t="s">
        <v>636</v>
      </c>
      <c r="F3" s="334" t="s">
        <v>637</v>
      </c>
      <c r="G3" s="334" t="s">
        <v>638</v>
      </c>
      <c r="H3" s="334" t="s">
        <v>639</v>
      </c>
      <c r="I3" s="334" t="s">
        <v>640</v>
      </c>
      <c r="J3" s="334" t="s">
        <v>641</v>
      </c>
      <c r="K3" s="334" t="s">
        <v>642</v>
      </c>
      <c r="L3" s="334" t="s">
        <v>643</v>
      </c>
      <c r="M3" s="334" t="s">
        <v>644</v>
      </c>
      <c r="N3" s="334" t="s">
        <v>645</v>
      </c>
      <c r="O3" s="334" t="s">
        <v>646</v>
      </c>
      <c r="P3" s="334" t="s">
        <v>647</v>
      </c>
      <c r="Q3" s="334" t="s">
        <v>648</v>
      </c>
      <c r="R3" s="334" t="s">
        <v>649</v>
      </c>
      <c r="S3" s="334" t="s">
        <v>650</v>
      </c>
      <c r="T3" s="334" t="s">
        <v>0</v>
      </c>
      <c r="U3" s="334" t="s">
        <v>651</v>
      </c>
      <c r="V3" s="334" t="s">
        <v>652</v>
      </c>
      <c r="W3" s="334" t="s">
        <v>653</v>
      </c>
      <c r="X3" s="334" t="s">
        <v>654</v>
      </c>
      <c r="Y3" s="334" t="s">
        <v>655</v>
      </c>
      <c r="Z3" s="334" t="s">
        <v>656</v>
      </c>
      <c r="AA3" s="334" t="s">
        <v>657</v>
      </c>
      <c r="AB3" s="334" t="s">
        <v>658</v>
      </c>
      <c r="AC3" s="334" t="s">
        <v>659</v>
      </c>
      <c r="AD3" s="334" t="s">
        <v>660</v>
      </c>
      <c r="AE3" s="334" t="s">
        <v>661</v>
      </c>
      <c r="AF3" s="334" t="s">
        <v>662</v>
      </c>
      <c r="AG3" s="334" t="s">
        <v>663</v>
      </c>
      <c r="AH3" s="334" t="s">
        <v>664</v>
      </c>
      <c r="AI3" s="334" t="s">
        <v>665</v>
      </c>
      <c r="AJ3" s="334" t="s">
        <v>666</v>
      </c>
      <c r="AK3" s="334" t="s">
        <v>667</v>
      </c>
      <c r="AL3" s="334" t="s">
        <v>668</v>
      </c>
      <c r="AM3" s="334" t="s">
        <v>669</v>
      </c>
      <c r="AN3" s="334" t="s">
        <v>670</v>
      </c>
      <c r="AO3" s="334" t="s">
        <v>671</v>
      </c>
      <c r="AP3" s="334" t="s">
        <v>672</v>
      </c>
      <c r="AQ3" s="334" t="s">
        <v>673</v>
      </c>
      <c r="AR3" s="334" t="s">
        <v>674</v>
      </c>
      <c r="AS3" s="334" t="s">
        <v>675</v>
      </c>
      <c r="AT3" s="334" t="s">
        <v>676</v>
      </c>
      <c r="AU3" s="334" t="s">
        <v>677</v>
      </c>
      <c r="AV3" s="334" t="s">
        <v>678</v>
      </c>
      <c r="AW3" s="334" t="s">
        <v>679</v>
      </c>
      <c r="AX3" s="334" t="s">
        <v>680</v>
      </c>
      <c r="AY3" s="334" t="s">
        <v>681</v>
      </c>
      <c r="AZ3" s="334" t="s">
        <v>682</v>
      </c>
      <c r="BA3" s="334" t="s">
        <v>683</v>
      </c>
      <c r="BB3" s="334" t="s">
        <v>684</v>
      </c>
      <c r="BC3" s="334" t="s">
        <v>685</v>
      </c>
      <c r="BD3" s="334" t="s">
        <v>686</v>
      </c>
      <c r="BE3" s="334" t="s">
        <v>687</v>
      </c>
      <c r="BF3" s="334" t="s">
        <v>688</v>
      </c>
      <c r="BG3" s="334" t="s">
        <v>689</v>
      </c>
      <c r="BH3" s="334" t="s">
        <v>690</v>
      </c>
      <c r="BI3" s="334" t="s">
        <v>691</v>
      </c>
      <c r="BJ3" s="334" t="s">
        <v>692</v>
      </c>
      <c r="BK3" s="334" t="s">
        <v>693</v>
      </c>
      <c r="BL3" s="334" t="s">
        <v>694</v>
      </c>
      <c r="BM3" s="334" t="s">
        <v>695</v>
      </c>
      <c r="BN3" s="334" t="s">
        <v>696</v>
      </c>
      <c r="BO3" s="334" t="s">
        <v>697</v>
      </c>
      <c r="BP3" s="334" t="s">
        <v>698</v>
      </c>
      <c r="BQ3" s="334" t="s">
        <v>699</v>
      </c>
      <c r="BR3" s="334" t="s">
        <v>700</v>
      </c>
      <c r="BS3" s="334" t="s">
        <v>701</v>
      </c>
      <c r="BT3" s="334" t="s">
        <v>702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8</vt:i4>
      </vt:variant>
    </vt:vector>
  </HeadingPairs>
  <TitlesOfParts>
    <vt:vector size="32" baseType="lpstr">
      <vt:lpstr>START HERE</vt:lpstr>
      <vt:lpstr>Definitions</vt:lpstr>
      <vt:lpstr>Dashboard</vt:lpstr>
      <vt:lpstr>Mgmt Review</vt:lpstr>
      <vt:lpstr>Engineer KPIs</vt:lpstr>
      <vt:lpstr>Team Member</vt:lpstr>
      <vt:lpstr>Scorecard</vt:lpstr>
      <vt:lpstr>Delivery Sequence</vt:lpstr>
      <vt:lpstr>Inputs</vt:lpstr>
      <vt:lpstr>Deliverables</vt:lpstr>
      <vt:lpstr>Profit Plan</vt:lpstr>
      <vt:lpstr>Support Plan</vt:lpstr>
      <vt:lpstr>Proposals</vt:lpstr>
      <vt:lpstr>Phasing</vt:lpstr>
      <vt:lpstr>Analysis</vt:lpstr>
      <vt:lpstr>Project Types</vt:lpstr>
      <vt:lpstr>Rules of Credit</vt:lpstr>
      <vt:lpstr>Work Calendar</vt:lpstr>
      <vt:lpstr>Deliverable Actuals</vt:lpstr>
      <vt:lpstr>Timesheet Daily</vt:lpstr>
      <vt:lpstr>Timesheet Raw</vt:lpstr>
      <vt:lpstr>TS Ahmed</vt:lpstr>
      <vt:lpstr>TS Osama</vt:lpstr>
      <vt:lpstr>TS Kirolos</vt:lpstr>
      <vt:lpstr>Analysis!Print_Area</vt:lpstr>
      <vt:lpstr>Dashboard!Print_Area</vt:lpstr>
      <vt:lpstr>Definitions!Print_Area</vt:lpstr>
      <vt:lpstr>'Engineer KPIs'!Print_Area</vt:lpstr>
      <vt:lpstr>Inputs!Print_Area</vt:lpstr>
      <vt:lpstr>'Mgmt Review'!Print_Area</vt:lpstr>
      <vt:lpstr>Scorecard!Print_Area</vt:lpstr>
      <vt:lpstr>'Team Member'!Print_Area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Mitwally</dc:creator>
  <cp:lastModifiedBy>Ahmed Mitwally</cp:lastModifiedBy>
  <cp:lastPrinted>2026-08-25T18:33:16Z</cp:lastPrinted>
  <dcterms:created xsi:type="dcterms:W3CDTF">2026-08-24T10:09:36Z</dcterms:created>
  <dcterms:modified xsi:type="dcterms:W3CDTF">2026-09-01T09:13:18Z</dcterms:modified>
</cp:coreProperties>
</file>